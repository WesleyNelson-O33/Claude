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ead Me" sheetId="1" state="visible" r:id="rId3"/>
    <sheet name="Dashboard" sheetId="2" state="visible" r:id="rId4"/>
    <sheet name="Monthly Outlook" sheetId="3" state="visible" r:id="rId5"/>
    <sheet name="Customer Risk" sheetId="4" state="visible" r:id="rId6"/>
    <sheet name="Zoho Dump" sheetId="5" state="visible" r:id="rId7"/>
    <sheet name="P&amp;L Dump" sheetId="6" state="visible" r:id="rId8"/>
    <sheet name="Adjustments" sheetId="7" state="visible" r:id="rId9"/>
    <sheet name="Budget" sheetId="8" state="visible" r:id="rId10"/>
    <sheet name="Account Map" sheetId="9" state="visible" r:id="rId11"/>
    <sheet name="Settings"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<sst xmlns="http://schemas.openxmlformats.org/spreadsheetml/2006/main" count="3498" uniqueCount="1860">
  <si>
    <t xml:space="preserve">How to use the Revenue Risk Profile</t>
  </si>
  <si>
    <t xml:space="preserve">What it shows</t>
  </si>
  <si>
    <t xml:space="preserve">How much of this year's revenue is already earned, how much is signed, and how much still depends on pipeline. It shows what happens if pipeline does not come through, or if certain customers walk away. It does this for each department.</t>
  </si>
  <si>
    <t xml:space="preserve">Each month</t>
  </si>
  <si>
    <t xml:space="preserve">1. Settings: change the last month of P&amp;L actuals to the new month end.</t>
  </si>
  <si>
    <t xml:space="preserve">2. P&amp;L Dump: clear A7 to Z1006. Paste the Xero Profit and Loss from cell A7, account names in column A, months across. In row 5, pick the month for each pasted column.</t>
  </si>
  <si>
    <t xml:space="preserve">3. Zoho Dump: clear columns A to J. Run the Zoho report All Deals by Stage and paste the whole export into cell A1, exactly as it comes out.</t>
  </si>
  <si>
    <t xml:space="preserve">4. Adjustments: add signed or likely revenue that is not in Zoho, such as recurring support contracts.</t>
  </si>
  <si>
    <t xml:space="preserve">5. Dashboard: check the Data checks box at the bottom. Every line should say OK.</t>
  </si>
  <si>
    <t xml:space="preserve">6. Dashboard: pick customers to withdraw and set the stress case to show management the risk.</t>
  </si>
  <si>
    <t xml:space="preserve">Colours</t>
  </si>
  <si>
    <t xml:space="preserve">Yellow cells with blue text are inputs. Everything else is a formula. Do not type over formulas.</t>
  </si>
  <si>
    <t xml:space="preserve">How the numbers are built</t>
  </si>
  <si>
    <t xml:space="preserve">Actual: Income accounts in the P&amp;L, by department, from the Account Map.</t>
  </si>
  <si>
    <t xml:space="preserve">Backlog: Zoho Closed Won deals with a closing date after the last P&amp;L month, in the month they close.</t>
  </si>
  <si>
    <t xml:space="preserve">Pipeline: open Zoho deals. Full value, and weighted by the stage probability on Settings.</t>
  </si>
  <si>
    <t xml:space="preserve">Base forecast: actuals for past months, then backlog plus weighted pipeline for future months.</t>
  </si>
  <si>
    <t xml:space="preserve">If pipeline falls through: actuals plus backlog, plus pipeline at the stress case rate. At 0 percent, no open deal lands.</t>
  </si>
  <si>
    <t xml:space="preserve">Customer withdrawal: removes that customer's backlog and weighted pipeline for the rest of the year.</t>
  </si>
  <si>
    <t xml:space="preserve">Risk rating: the worst of three tests on Settings. Forecast against budget, largest customer share, and how much of forward revenue is still pipeline.</t>
  </si>
  <si>
    <t xml:space="preserve">Things to confirm</t>
  </si>
  <si>
    <t xml:space="preserve">Stage probabilities and risk thresholds on Settings are placeholders. Management should set them.</t>
  </si>
  <si>
    <t xml:space="preserve">Zoho department Support is mapped to Onsite, and Multi-Service to Unallocated. Both are assumptions. Please confirm.</t>
  </si>
  <si>
    <t xml:space="preserve">Most income accounts have no department in the current account list, so they show as Unallocated. Assign them on the Account Map if they belong to one team.</t>
  </si>
  <si>
    <t xml:space="preserve">It is not known whether Zoho amounts include GST. The P&amp;L is ex GST. Please confirm with sales.</t>
  </si>
  <si>
    <t xml:space="preserve">Revenue that is never entered in Zoho, like recurring contracts, only shows if it is added on Adjustments.</t>
  </si>
  <si>
    <t xml:space="preserve">Revenue Risk Profile</t>
  </si>
  <si>
    <t xml:space="preserve">Scenario levers (yellow cells)</t>
  </si>
  <si>
    <t xml:space="preserve">Stress case: share of pipeline that still comes through</t>
  </si>
  <si>
    <t xml:space="preserve">0% means no open deal lands. Backlog is kept in full.</t>
  </si>
  <si>
    <t xml:space="preserve">Customers who withdraw (pick from the list)</t>
  </si>
  <si>
    <t xml:space="preserve">A withdrawal removes that customer's backlog and pipeline for the rest of the year. It does not touch actuals already earned, or revenue that is not in Zoho or Adjustments.</t>
  </si>
  <si>
    <t xml:space="preserve">Department</t>
  </si>
  <si>
    <t xml:space="preserve">Actual to date (P&amp;L)</t>
  </si>
  <si>
    <t xml:space="preserve">Backlog, signed</t>
  </si>
  <si>
    <t xml:space="preserve">Pipeline, full value</t>
  </si>
  <si>
    <t xml:space="preserve">Pipeline, weighted</t>
  </si>
  <si>
    <t xml:space="preserve">Base forecast for FY</t>
  </si>
  <si>
    <t xml:space="preserve">Budget for FY</t>
  </si>
  <si>
    <t xml:space="preserve">Forecast less budget</t>
  </si>
  <si>
    <t xml:space="preserve">Signed as % of budget</t>
  </si>
  <si>
    <t xml:space="preserve">Pipeline share of forward revenue</t>
  </si>
  <si>
    <t xml:space="preserve">If pipeline falls through</t>
  </si>
  <si>
    <t xml:space="preserve">Revenue at risk from pipeline</t>
  </si>
  <si>
    <t xml:space="preserve">Lost if selected customers withdraw</t>
  </si>
  <si>
    <t xml:space="preserve">Forecast after withdrawals</t>
  </si>
  <si>
    <t xml:space="preserve">Worst case: both</t>
  </si>
  <si>
    <t xml:space="preserve">Largest customer</t>
  </si>
  <si>
    <t xml:space="preserve">Largest customer share</t>
  </si>
  <si>
    <t xml:space="preserve">Overdue Zoho deals, full value</t>
  </si>
  <si>
    <t xml:space="preserve">Won to date in Zoho (reference)</t>
  </si>
  <si>
    <t xml:space="preserve">Risk rating</t>
  </si>
  <si>
    <t xml:space="preserve">Budget score</t>
  </si>
  <si>
    <t xml:space="preserve">Concentration score</t>
  </si>
  <si>
    <t xml:space="preserve">Pipeline score</t>
  </si>
  <si>
    <t xml:space="preserve">Total</t>
  </si>
  <si>
    <t xml:space="preserve">Top 10 customers by forward revenue</t>
  </si>
  <si>
    <t xml:space="preserve">Rank</t>
  </si>
  <si>
    <t xml:space="preserve">Customer</t>
  </si>
  <si>
    <t xml:space="preserve">Forward revenue</t>
  </si>
  <si>
    <t xml:space="preserve">Share of all forward revenue</t>
  </si>
  <si>
    <t xml:space="preserve">Cumulative share</t>
  </si>
  <si>
    <t xml:space="preserve">Withdrawn in scenario</t>
  </si>
  <si>
    <t xml:space="preserve">Data checks</t>
  </si>
  <si>
    <t xml:space="preserve">Check</t>
  </si>
  <si>
    <t xml:space="preserve">Result</t>
  </si>
  <si>
    <t xml:space="preserve">Status</t>
  </si>
  <si>
    <t xml:space="preserve">Zoho column headings found</t>
  </si>
  <si>
    <t xml:space="preserve">Zoho deals read</t>
  </si>
  <si>
    <t xml:space="preserve">Deals whose Zoho department is not mapped</t>
  </si>
  <si>
    <t xml:space="preserve">Deals whose stage is not in Settings</t>
  </si>
  <si>
    <t xml:space="preserve">Deals with no closing date</t>
  </si>
  <si>
    <t xml:space="preserve">Open deals with zero or blank amount</t>
  </si>
  <si>
    <t xml:space="preserve">Open deals past their closing date</t>
  </si>
  <si>
    <t xml:space="preserve">P&amp;L months picked in row 5</t>
  </si>
  <si>
    <t xml:space="preserve">Actual months with no P&amp;L column</t>
  </si>
  <si>
    <t xml:space="preserve">P&amp;L rows not in the Account Map</t>
  </si>
  <si>
    <t xml:space="preserve">Customers in the Zoho export</t>
  </si>
  <si>
    <t xml:space="preserve">Monthly Outlook by department</t>
  </si>
  <si>
    <t xml:space="preserve">Months up to the last P&amp;L month show actuals. Later months show Zoho backlog plus weighted pipeline, plus Adjustments.</t>
  </si>
  <si>
    <t xml:space="preserve">Month</t>
  </si>
  <si>
    <t xml:space="preserve">FY total</t>
  </si>
  <si>
    <t xml:space="preserve">Actual or forecast</t>
  </si>
  <si>
    <t xml:space="preserve">Actual revenue</t>
  </si>
  <si>
    <t xml:space="preserve">From P&amp;L Dump, Income accounts</t>
  </si>
  <si>
    <t xml:space="preserve">Backlog</t>
  </si>
  <si>
    <t xml:space="preserve">Signed. Zoho Closed Won after the last P&amp;L month, plus Adjustments</t>
  </si>
  <si>
    <t xml:space="preserve">Pipeline (weighted)</t>
  </si>
  <si>
    <t xml:space="preserve">Open Zoho deals times stage probability, plus Adjustments</t>
  </si>
  <si>
    <t xml:space="preserve">Forecast</t>
  </si>
  <si>
    <t xml:space="preserve">Actuals to date, then backlog plus weighted pipeline</t>
  </si>
  <si>
    <t xml:space="preserve">Actuals, then backlog plus pipeline at the stress case rate on the Dashboard</t>
  </si>
  <si>
    <t xml:space="preserve">Budget</t>
  </si>
  <si>
    <t xml:space="preserve">From the Budget sheet</t>
  </si>
  <si>
    <t xml:space="preserve">Negative means short of budget</t>
  </si>
  <si>
    <t xml:space="preserve">Customer Risk</t>
  </si>
  <si>
    <t xml:space="preserve">Every customer in the Zoho export. Forward revenue means backlog plus weighted pipeline for the rest of this FY.</t>
  </si>
  <si>
    <t xml:space="preserve">#</t>
  </si>
  <si>
    <t xml:space="preserve">Won this FY to date (Zoho)</t>
  </si>
  <si>
    <t xml:space="preserve">Backlog this FY</t>
  </si>
  <si>
    <t xml:space="preserve">Pipeline full value</t>
  </si>
  <si>
    <t xml:space="preserve">Pipeline weighted</t>
  </si>
  <si>
    <t xml:space="preserve">Lost this FY (Zoho)</t>
  </si>
  <si>
    <t xml:space="preserve">Forward: Onsite</t>
  </si>
  <si>
    <t xml:space="preserve">Forward: Production</t>
  </si>
  <si>
    <t xml:space="preserve">Forward: Video</t>
  </si>
  <si>
    <t xml:space="preserve">Forward: Consulting</t>
  </si>
  <si>
    <t xml:space="preserve">Forward: Integration</t>
  </si>
  <si>
    <t xml:space="preserve">Forward: Admin</t>
  </si>
  <si>
    <t xml:space="preserve">Forward: Unallocated</t>
  </si>
  <si>
    <t xml:space="preserve">Sort key</t>
  </si>
  <si>
    <t xml:space="preserve">Helper columns. Formulas only. Do not type here.</t>
  </si>
  <si>
    <t xml:space="preserve">  All Deals by Stage (FY26-FY27)</t>
  </si>
  <si>
    <t xml:space="preserve">    Generated by Jordan Sexty on 12/10/2026 11:49 AM</t>
  </si>
  <si>
    <t xml:space="preserve">Column found at:</t>
  </si>
  <si>
    <t xml:space="preserve">    Record Count : 663</t>
  </si>
  <si>
    <t xml:space="preserve">Stage</t>
  </si>
  <si>
    <t xml:space="preserve">Deal Name</t>
  </si>
  <si>
    <t xml:space="preserve">Account Name</t>
  </si>
  <si>
    <t xml:space="preserve">CTS DEPARTMENT</t>
  </si>
  <si>
    <t xml:space="preserve">Amount</t>
  </si>
  <si>
    <t xml:space="preserve">Closing Date</t>
  </si>
  <si>
    <t xml:space="preserve">Amount (Record Currency)</t>
  </si>
  <si>
    <t xml:space="preserve">Opportunity Number</t>
  </si>
  <si>
    <t xml:space="preserve">Deal</t>
  </si>
  <si>
    <t xml:space="preserve">Zoho dept</t>
  </si>
  <si>
    <t xml:space="preserve">P&amp;L dept</t>
  </si>
  <si>
    <t xml:space="preserve">Closing date</t>
  </si>
  <si>
    <t xml:space="preserve">Stage type</t>
  </si>
  <si>
    <t xml:space="preserve">Category</t>
  </si>
  <si>
    <t xml:space="preserve">Probability</t>
  </si>
  <si>
    <t xml:space="preserve">Weighted</t>
  </si>
  <si>
    <t xml:space="preserve">Lands in month</t>
  </si>
  <si>
    <t xml:space="preserve">Forward (weighted, this FY)</t>
  </si>
  <si>
    <t xml:space="preserve">Forward (full value, this FY)</t>
  </si>
  <si>
    <t xml:space="preserve">Stress case value</t>
  </si>
  <si>
    <t xml:space="preserve">Withdrawn customer</t>
  </si>
  <si>
    <t xml:space="preserve">Customer #</t>
  </si>
  <si>
    <t xml:space="preserve">Proposal Sent ( 12 )</t>
  </si>
  <si>
    <t xml:space="preserve">DTTL | SYD Good Rooms programming - 2609601</t>
  </si>
  <si>
    <t xml:space="preserve">Deloitte Australia</t>
  </si>
  <si>
    <t xml:space="preserve">Integration</t>
  </si>
  <si>
    <t xml:space="preserve">2609601</t>
  </si>
  <si>
    <t xml:space="preserve">Investa - Barrack Place Bingo - Feb 27'</t>
  </si>
  <si>
    <t xml:space="preserve">Investa</t>
  </si>
  <si>
    <t xml:space="preserve">Event Production</t>
  </si>
  <si>
    <t xml:space="preserve">26021901</t>
  </si>
  <si>
    <t xml:space="preserve">HP-Stryker | Multi-Site Device Replacement - 2606201</t>
  </si>
  <si>
    <t xml:space="preserve">Stryker</t>
  </si>
  <si>
    <t xml:space="preserve">2606201</t>
  </si>
  <si>
    <t xml:space="preserve">HP-DFAT | Phone Mod x2 - 26091605</t>
  </si>
  <si>
    <t xml:space="preserve">Datacom</t>
  </si>
  <si>
    <t xml:space="preserve">26091605</t>
  </si>
  <si>
    <t xml:space="preserve">PwC | Parra Display Replacement - 26091701</t>
  </si>
  <si>
    <t xml:space="preserve">PWC</t>
  </si>
  <si>
    <t xml:space="preserve">26091701</t>
  </si>
  <si>
    <t xml:space="preserve">AICD | Member Engagement &amp; Sponsor Activation Concept - 2610801</t>
  </si>
  <si>
    <t xml:space="preserve">AICD</t>
  </si>
  <si>
    <t xml:space="preserve">2610801</t>
  </si>
  <si>
    <t xml:space="preserve">Elkiem - Studio Support - 3.11.26</t>
  </si>
  <si>
    <t xml:space="preserve">Elkiem</t>
  </si>
  <si>
    <t xml:space="preserve">26093001</t>
  </si>
  <si>
    <t xml:space="preserve">Automic - AGM RFQ - May 27'</t>
  </si>
  <si>
    <t xml:space="preserve">Automic Group</t>
  </si>
  <si>
    <t xml:space="preserve">26071406</t>
  </si>
  <si>
    <t xml:space="preserve">PDNSW | 6PSQ Eptura Visitor Subscription Renewal - 2610603</t>
  </si>
  <si>
    <t xml:space="preserve">Property and Development NSW</t>
  </si>
  <si>
    <t xml:space="preserve">2610603</t>
  </si>
  <si>
    <t xml:space="preserve">MUFG - NXT DC AGM - 20.11.26</t>
  </si>
  <si>
    <t xml:space="preserve">MUFG IR / Orient Capital</t>
  </si>
  <si>
    <t xml:space="preserve">2608401</t>
  </si>
  <si>
    <t xml:space="preserve">Kirra | WACHS Tender Support - 26072104</t>
  </si>
  <si>
    <t xml:space="preserve">Kirra Services</t>
  </si>
  <si>
    <t xml:space="preserve">Consulting</t>
  </si>
  <si>
    <t xml:space="preserve">26072104</t>
  </si>
  <si>
    <t xml:space="preserve">HP-Amnesium | Austrade Phone Mod x12 - 26091603</t>
  </si>
  <si>
    <t xml:space="preserve">Amnesium</t>
  </si>
  <si>
    <t xml:space="preserve">26091603</t>
  </si>
  <si>
    <t xml:space="preserve">Negotiation/Review ( 9 )</t>
  </si>
  <si>
    <t xml:space="preserve">Perth AV &amp; Hospitality Technician (MAR27-AUG27)</t>
  </si>
  <si>
    <t xml:space="preserve">Support</t>
  </si>
  <si>
    <t xml:space="preserve">26073104</t>
  </si>
  <si>
    <t xml:space="preserve">Chorus Call - Nanosonics Investor Day - TBC.11.26</t>
  </si>
  <si>
    <t xml:space="preserve">Chorus Call</t>
  </si>
  <si>
    <t xml:space="preserve">2608103</t>
  </si>
  <si>
    <t xml:space="preserve">Automic - Capital Markets Forum - November 25-27</t>
  </si>
  <si>
    <t xml:space="preserve">2603405</t>
  </si>
  <si>
    <t xml:space="preserve">MEL Display Replacement</t>
  </si>
  <si>
    <t xml:space="preserve">Aware Super</t>
  </si>
  <si>
    <t xml:space="preserve">2610201</t>
  </si>
  <si>
    <t xml:space="preserve">CBA - Private Hosting Payments Webinar - Postponed to October</t>
  </si>
  <si>
    <t xml:space="preserve">Commonwealth Bank Australia (CBA)</t>
  </si>
  <si>
    <t xml:space="preserve">26081903</t>
  </si>
  <si>
    <t xml:space="preserve">Ventia | Mobile Displays x2 - 26042302</t>
  </si>
  <si>
    <t xml:space="preserve">Ventia</t>
  </si>
  <si>
    <t xml:space="preserve">26042302</t>
  </si>
  <si>
    <t xml:space="preserve">Chorus Call - Nanosonics AGM - 4.11.26</t>
  </si>
  <si>
    <t xml:space="preserve">26073109</t>
  </si>
  <si>
    <t xml:space="preserve">Ricoh / Blackrock SYD</t>
  </si>
  <si>
    <t xml:space="preserve">Ricoh</t>
  </si>
  <si>
    <t xml:space="preserve">25091601</t>
  </si>
  <si>
    <t xml:space="preserve">CBA - Lighting for Global Markets Conference - 19-21.10.26</t>
  </si>
  <si>
    <t xml:space="preserve">2608606</t>
  </si>
  <si>
    <t xml:space="preserve">Closed Won ( 483 )</t>
  </si>
  <si>
    <t xml:space="preserve">QQT &amp; 8PSQ_Crestron Connect Adaptor - 26033005</t>
  </si>
  <si>
    <t xml:space="preserve">Deloitte - Sydney</t>
  </si>
  <si>
    <t xml:space="preserve">26033005</t>
  </si>
  <si>
    <t xml:space="preserve">Ventia - LTI FY26 Video Record</t>
  </si>
  <si>
    <t xml:space="preserve">Video Production</t>
  </si>
  <si>
    <t xml:space="preserve">26052103</t>
  </si>
  <si>
    <t xml:space="preserve">AusPayNet | AV Support -27th of October 2025</t>
  </si>
  <si>
    <t xml:space="preserve">Australian Payments Network</t>
  </si>
  <si>
    <t xml:space="preserve">25093001</t>
  </si>
  <si>
    <t xml:space="preserve">Dimensional - Audio Tech Support - 22.6.26</t>
  </si>
  <si>
    <t xml:space="preserve">Dexus</t>
  </si>
  <si>
    <t xml:space="preserve">2606905</t>
  </si>
  <si>
    <t xml:space="preserve">Garvan - Weizmann Dinner Event - 20.8.26</t>
  </si>
  <si>
    <t xml:space="preserve">Garvan Institute of Medical Research</t>
  </si>
  <si>
    <t xml:space="preserve">26073110</t>
  </si>
  <si>
    <t xml:space="preserve">Perth AV Support | 26/3/26 - 12/4/26 - 2603403</t>
  </si>
  <si>
    <t xml:space="preserve">2603403</t>
  </si>
  <si>
    <t xml:space="preserve">Downer Employee Results Briefing 26.2.26</t>
  </si>
  <si>
    <t xml:space="preserve">Downer EDI</t>
  </si>
  <si>
    <t xml:space="preserve">25121209</t>
  </si>
  <si>
    <t xml:space="preserve">Automic - BFG AGM - 7.5.26</t>
  </si>
  <si>
    <t xml:space="preserve">26031701</t>
  </si>
  <si>
    <t xml:space="preserve">St Catherine's - Dedicated Tech - 12.6.26</t>
  </si>
  <si>
    <t xml:space="preserve">St Catherine's School</t>
  </si>
  <si>
    <t xml:space="preserve">2605803</t>
  </si>
  <si>
    <t xml:space="preserve">QBE - Keynote Event - 27.10.26</t>
  </si>
  <si>
    <t xml:space="preserve">QBE</t>
  </si>
  <si>
    <t xml:space="preserve">26061611</t>
  </si>
  <si>
    <t xml:space="preserve">Novigi SYD/MEL boardroom microphone upgrade + meeting room cable tidying</t>
  </si>
  <si>
    <t xml:space="preserve">Novigi</t>
  </si>
  <si>
    <t xml:space="preserve">25121007</t>
  </si>
  <si>
    <t xml:space="preserve">TWG - Sydney Technician - 05/11/2025 - 06/11/2025</t>
  </si>
  <si>
    <t xml:space="preserve">EY</t>
  </si>
  <si>
    <t xml:space="preserve">25103101</t>
  </si>
  <si>
    <t xml:space="preserve">TLC - FYR26 (MEL) - 19.8.26</t>
  </si>
  <si>
    <t xml:space="preserve">The Lottery Corporation</t>
  </si>
  <si>
    <t xml:space="preserve">26061106</t>
  </si>
  <si>
    <t xml:space="preserve">Studio Support</t>
  </si>
  <si>
    <t xml:space="preserve">2602304</t>
  </si>
  <si>
    <t xml:space="preserve">APA - Investor Briefing FYR26 - 20.8.26</t>
  </si>
  <si>
    <t xml:space="preserve">APA</t>
  </si>
  <si>
    <t xml:space="preserve">26061801</t>
  </si>
  <si>
    <t xml:space="preserve">AGL FYR Investor Brief - Aug 2025</t>
  </si>
  <si>
    <t xml:space="preserve">AGL</t>
  </si>
  <si>
    <t xml:space="preserve">25072302</t>
  </si>
  <si>
    <t xml:space="preserve">Governance Top 100 - 24.10.25</t>
  </si>
  <si>
    <t xml:space="preserve">3YS Owls Pty Ltd</t>
  </si>
  <si>
    <t xml:space="preserve">25091710</t>
  </si>
  <si>
    <t xml:space="preserve">HY26 Results Briefing</t>
  </si>
  <si>
    <t xml:space="preserve">ASX Australian Securities Exchange</t>
  </si>
  <si>
    <t xml:space="preserve">25121201</t>
  </si>
  <si>
    <t xml:space="preserve">AGL - Investor Briefing - 12.8.26</t>
  </si>
  <si>
    <t xml:space="preserve">2605401</t>
  </si>
  <si>
    <t xml:space="preserve">Studio Event 11.12.25</t>
  </si>
  <si>
    <t xml:space="preserve">25111202</t>
  </si>
  <si>
    <t xml:space="preserve">DTTL | MEL Lv29 Display Supply - 26061501</t>
  </si>
  <si>
    <t xml:space="preserve">26061501</t>
  </si>
  <si>
    <t xml:space="preserve">Deloitte Sydney – QQT – Installation of additional microphones in Level 45 Seminar Space</t>
  </si>
  <si>
    <t xml:space="preserve">Multi-Service</t>
  </si>
  <si>
    <t xml:space="preserve">25102801</t>
  </si>
  <si>
    <t xml:space="preserve">PWC - Firmwide Webcast - 30.6.26</t>
  </si>
  <si>
    <t xml:space="preserve">26061201</t>
  </si>
  <si>
    <t xml:space="preserve">Dimensional Audio Op - 12 11 25</t>
  </si>
  <si>
    <t xml:space="preserve">Dimensional Fund Advisors</t>
  </si>
  <si>
    <t xml:space="preserve">25102803</t>
  </si>
  <si>
    <t xml:space="preserve">CBA Live Event Support - October 2025</t>
  </si>
  <si>
    <t xml:space="preserve">2509103</t>
  </si>
  <si>
    <t xml:space="preserve">Downer - FYR &amp; Employee Webcast - 25.8.26</t>
  </si>
  <si>
    <t xml:space="preserve">26073111</t>
  </si>
  <si>
    <t xml:space="preserve">CBA Live Event Support - August 2025</t>
  </si>
  <si>
    <t xml:space="preserve">2507102</t>
  </si>
  <si>
    <t xml:space="preserve">Vega Global - Studio Support - 25.3.26</t>
  </si>
  <si>
    <t xml:space="preserve">Vega Global</t>
  </si>
  <si>
    <t xml:space="preserve">26032401</t>
  </si>
  <si>
    <t xml:space="preserve">PWC Tax Briefing 18.11.25</t>
  </si>
  <si>
    <t xml:space="preserve">2510706</t>
  </si>
  <si>
    <t xml:space="preserve">RSNSW Ordinary General Meeting 5.8.26</t>
  </si>
  <si>
    <t xml:space="preserve">The Royal Society of New South Wales</t>
  </si>
  <si>
    <t xml:space="preserve">2512804</t>
  </si>
  <si>
    <t xml:space="preserve">APA Young Eptura Visitor licence renewal (formerly ProxyClick)</t>
  </si>
  <si>
    <t xml:space="preserve">26012102</t>
  </si>
  <si>
    <t xml:space="preserve">Garvan - Art of Disc Tech 7.8.25</t>
  </si>
  <si>
    <t xml:space="preserve">25072504</t>
  </si>
  <si>
    <t xml:space="preserve">Downer - FYR26 - 20.8.26</t>
  </si>
  <si>
    <t xml:space="preserve">26061107</t>
  </si>
  <si>
    <t xml:space="preserve">Boardroom Acoustic Testing</t>
  </si>
  <si>
    <t xml:space="preserve">Remondis</t>
  </si>
  <si>
    <t xml:space="preserve">2508701</t>
  </si>
  <si>
    <t xml:space="preserve">Microsoft - Microsoft Town Hall - 21.7.26</t>
  </si>
  <si>
    <t xml:space="preserve">Microsoft</t>
  </si>
  <si>
    <t xml:space="preserve">26052703</t>
  </si>
  <si>
    <t xml:space="preserve">Redox AGM - 8.10.25</t>
  </si>
  <si>
    <t xml:space="preserve">25091704</t>
  </si>
  <si>
    <t xml:space="preserve">T-Print 10 VMS Stand</t>
  </si>
  <si>
    <t xml:space="preserve">2512502</t>
  </si>
  <si>
    <t xml:space="preserve">Dedicated Technician 02JUL26</t>
  </si>
  <si>
    <t xml:space="preserve">26062401</t>
  </si>
  <si>
    <t xml:space="preserve">Litecard - Event Hire - 16.7.26</t>
  </si>
  <si>
    <t xml:space="preserve">Litecard Pty Ltd</t>
  </si>
  <si>
    <t xml:space="preserve">2607701</t>
  </si>
  <si>
    <t xml:space="preserve">Pool of hours for National AV Support - 29MAY26</t>
  </si>
  <si>
    <t xml:space="preserve">26052902</t>
  </si>
  <si>
    <t xml:space="preserve">Charity Regatta Highlights Video 2026</t>
  </si>
  <si>
    <t xml:space="preserve">ASX Refinitiv Charity Foundation Ltd</t>
  </si>
  <si>
    <t xml:space="preserve">26011502</t>
  </si>
  <si>
    <t xml:space="preserve">Cochlear FY25 Result Briefing 15.8.25</t>
  </si>
  <si>
    <t xml:space="preserve">Cochlear</t>
  </si>
  <si>
    <t xml:space="preserve">25073007</t>
  </si>
  <si>
    <t xml:space="preserve">AV Event 20.11.25</t>
  </si>
  <si>
    <t xml:space="preserve">Fredon</t>
  </si>
  <si>
    <t xml:space="preserve">25111401</t>
  </si>
  <si>
    <t xml:space="preserve">Bankwest - SLG Forum - 08.12.2025</t>
  </si>
  <si>
    <t xml:space="preserve">Bankwest</t>
  </si>
  <si>
    <t xml:space="preserve">25111702</t>
  </si>
  <si>
    <t xml:space="preserve">Ventia - AGM - 21.5.26</t>
  </si>
  <si>
    <t xml:space="preserve">2604204</t>
  </si>
  <si>
    <t xml:space="preserve">HP Poly Room Assessment at Mission Australia</t>
  </si>
  <si>
    <t xml:space="preserve">HP</t>
  </si>
  <si>
    <t xml:space="preserve">2510202</t>
  </si>
  <si>
    <t xml:space="preserve">ON24/KWM - Mallesons Brand Launch - 31.3.26</t>
  </si>
  <si>
    <t xml:space="preserve">ON24</t>
  </si>
  <si>
    <t xml:space="preserve">26032003</t>
  </si>
  <si>
    <t xml:space="preserve">YSG | Orange Room Upgrade INT - 26071304</t>
  </si>
  <si>
    <t xml:space="preserve">YSG Studio</t>
  </si>
  <si>
    <t xml:space="preserve">26071304</t>
  </si>
  <si>
    <t xml:space="preserve">GP - Talking Philanthropy - 18.9.26</t>
  </si>
  <si>
    <t xml:space="preserve">Global Philanthropic</t>
  </si>
  <si>
    <t xml:space="preserve">26022302</t>
  </si>
  <si>
    <t xml:space="preserve">PWC Perth AV Support | 22/05/2026 &amp; 25/05/2026_26051302</t>
  </si>
  <si>
    <t xml:space="preserve">26051302</t>
  </si>
  <si>
    <t xml:space="preserve">Chorus Call - Redox AGM - 7.10.26</t>
  </si>
  <si>
    <t xml:space="preserve">26061612</t>
  </si>
  <si>
    <t xml:space="preserve">ASX - CEO Farewell - 27.5.26</t>
  </si>
  <si>
    <t xml:space="preserve">2605609</t>
  </si>
  <si>
    <t xml:space="preserve">Westfield Bondi Screen Tests</t>
  </si>
  <si>
    <t xml:space="preserve">Scentre Group</t>
  </si>
  <si>
    <t xml:space="preserve">2510210</t>
  </si>
  <si>
    <t xml:space="preserve">Skykick Ranger - Sydney Performance - 26.7.26</t>
  </si>
  <si>
    <t xml:space="preserve">Skykick Ranger</t>
  </si>
  <si>
    <t xml:space="preserve">26063001</t>
  </si>
  <si>
    <t xml:space="preserve">Deloitte Tech Support - Deloitte x AWS AP AI Symposium | 2605501</t>
  </si>
  <si>
    <t xml:space="preserve">2605501</t>
  </si>
  <si>
    <t xml:space="preserve">CBA - LES - July 2026</t>
  </si>
  <si>
    <t xml:space="preserve">26061701</t>
  </si>
  <si>
    <t xml:space="preserve">Leader Welcome 10 &amp; 11.09.2025</t>
  </si>
  <si>
    <t xml:space="preserve">25082704</t>
  </si>
  <si>
    <t xml:space="preserve">Ventia Withcott QldTown Hall 23.10.25</t>
  </si>
  <si>
    <t xml:space="preserve">25101701</t>
  </si>
  <si>
    <t xml:space="preserve">DAFF | Standards Package Drafting - 26081701</t>
  </si>
  <si>
    <t xml:space="preserve">Department of Agriculture, Fisheries and Forestry (DAFF)</t>
  </si>
  <si>
    <t xml:space="preserve">26081701</t>
  </si>
  <si>
    <t xml:space="preserve">Garvan - AV Event Support - 5.6.26</t>
  </si>
  <si>
    <t xml:space="preserve">2606801</t>
  </si>
  <si>
    <t xml:space="preserve">PWC - Technician Staffing - Melbourne -18th of September 2025</t>
  </si>
  <si>
    <t xml:space="preserve">25091602</t>
  </si>
  <si>
    <t xml:space="preserve">Vega Global - Tech Support - 2.4.26</t>
  </si>
  <si>
    <t xml:space="preserve">2603103</t>
  </si>
  <si>
    <t xml:space="preserve">Pool of hours for National AV Support - 01/2026</t>
  </si>
  <si>
    <t xml:space="preserve">26012203</t>
  </si>
  <si>
    <t xml:space="preserve">Deloitte Tech Support - 23rd of September - CBA Forum</t>
  </si>
  <si>
    <t xml:space="preserve">Deloitte - Parramatta</t>
  </si>
  <si>
    <t xml:space="preserve">25072901</t>
  </si>
  <si>
    <t xml:space="preserve">APA - Qtly All Hands FYR26 - 20.8.26</t>
  </si>
  <si>
    <t xml:space="preserve">26061108</t>
  </si>
  <si>
    <t xml:space="preserve">Event Bump-in/Bump-out</t>
  </si>
  <si>
    <t xml:space="preserve">2607301</t>
  </si>
  <si>
    <t xml:space="preserve">PWC CFO Connect 25.2.26</t>
  </si>
  <si>
    <t xml:space="preserve">26012001</t>
  </si>
  <si>
    <t xml:space="preserve">Garvan - Breast Cancer Public Lecture - 1.10.26</t>
  </si>
  <si>
    <t xml:space="preserve">26082702</t>
  </si>
  <si>
    <t xml:space="preserve">Markets Videos (February 2026)</t>
  </si>
  <si>
    <t xml:space="preserve">26012204</t>
  </si>
  <si>
    <t xml:space="preserve">Webcast Operator - 21.8.25</t>
  </si>
  <si>
    <t xml:space="preserve">Loghic Connect</t>
  </si>
  <si>
    <t xml:space="preserve">25082601</t>
  </si>
  <si>
    <t xml:space="preserve">2026 Annual General Meeting</t>
  </si>
  <si>
    <t xml:space="preserve">Aristocrat Leisure</t>
  </si>
  <si>
    <t xml:space="preserve">25121202</t>
  </si>
  <si>
    <t xml:space="preserve">Regatta Highlights - 14.11.25</t>
  </si>
  <si>
    <t xml:space="preserve">2510803</t>
  </si>
  <si>
    <t xml:space="preserve">Elkiem Studio Support 17.3.26</t>
  </si>
  <si>
    <t xml:space="preserve">2602306</t>
  </si>
  <si>
    <t xml:space="preserve">Deloitte Tech Support - 26th of August - Next Gen</t>
  </si>
  <si>
    <t xml:space="preserve">Deloitte - Melbourne</t>
  </si>
  <si>
    <t xml:space="preserve">2508501</t>
  </si>
  <si>
    <t xml:space="preserve">RSNSW Ordinary General Meeting 7.10.2026</t>
  </si>
  <si>
    <t xml:space="preserve">2512805</t>
  </si>
  <si>
    <t xml:space="preserve">AIM AGM 2025</t>
  </si>
  <si>
    <t xml:space="preserve">Ai-Media</t>
  </si>
  <si>
    <t xml:space="preserve">25081201</t>
  </si>
  <si>
    <t xml:space="preserve">PWC - Tech Hub Support - Sydney, 12 months - 2604901</t>
  </si>
  <si>
    <t xml:space="preserve">2604901</t>
  </si>
  <si>
    <t xml:space="preserve">Aware | SYD Seminar Room Audio Upgrade - 2604704</t>
  </si>
  <si>
    <t xml:space="preserve">2604704</t>
  </si>
  <si>
    <t xml:space="preserve">8PSQ_Bluetooth Audio - 26033006</t>
  </si>
  <si>
    <t xml:space="preserve">26033006</t>
  </si>
  <si>
    <t xml:space="preserve">Appspace Subscription (12 Months)</t>
  </si>
  <si>
    <t xml:space="preserve">26091401</t>
  </si>
  <si>
    <t xml:space="preserve">Firmwide Webcast 19.11.25</t>
  </si>
  <si>
    <t xml:space="preserve">25111102</t>
  </si>
  <si>
    <t xml:space="preserve">CBA Live Event Support - Uplight Dry Hire - 11.12.2025</t>
  </si>
  <si>
    <t xml:space="preserve">25112601</t>
  </si>
  <si>
    <t xml:space="preserve">CBA Full Year Results 13.8.25</t>
  </si>
  <si>
    <t xml:space="preserve">25073001</t>
  </si>
  <si>
    <t xml:space="preserve">Vega Global - AI Forum Audio Assistance - 13 &amp; 14.10.26</t>
  </si>
  <si>
    <t xml:space="preserve">2610901</t>
  </si>
  <si>
    <t xml:space="preserve">Fund Advisors Audio Op - 17 9 25</t>
  </si>
  <si>
    <t xml:space="preserve">25091003</t>
  </si>
  <si>
    <t xml:space="preserve">Ventia - Employee HYR Town Hall - 24.8.26</t>
  </si>
  <si>
    <t xml:space="preserve">26061109</t>
  </si>
  <si>
    <t xml:space="preserve">CTS - Town Hall - 1.5.26</t>
  </si>
  <si>
    <t xml:space="preserve">Corporate Technology Services</t>
  </si>
  <si>
    <t xml:space="preserve">26043002</t>
  </si>
  <si>
    <t xml:space="preserve">Technician Travel (ADL-HOB Return)</t>
  </si>
  <si>
    <t xml:space="preserve">26073107</t>
  </si>
  <si>
    <t xml:space="preserve">CBA Live Event Support - Dec 2025</t>
  </si>
  <si>
    <t xml:space="preserve">25111402</t>
  </si>
  <si>
    <t xml:space="preserve">ETF Education &amp; Meet the Manager Videos - 29/7/2025</t>
  </si>
  <si>
    <t xml:space="preserve">25071603</t>
  </si>
  <si>
    <t xml:space="preserve">Aware | PER USB-C Cable Replacement - 26071601</t>
  </si>
  <si>
    <t xml:space="preserve">26071601</t>
  </si>
  <si>
    <t xml:space="preserve">CBA - LES - September 2026</t>
  </si>
  <si>
    <t xml:space="preserve">26082501</t>
  </si>
  <si>
    <t xml:space="preserve">Perth AV Support | 28/4/26 - 5/5/26 - 2603404</t>
  </si>
  <si>
    <t xml:space="preserve">2603404</t>
  </si>
  <si>
    <t xml:space="preserve">PWC Studio Event 10.12.25</t>
  </si>
  <si>
    <t xml:space="preserve">2511701</t>
  </si>
  <si>
    <t xml:space="preserve">ASX - AGM - 22.10.26</t>
  </si>
  <si>
    <t xml:space="preserve">26042001</t>
  </si>
  <si>
    <t xml:space="preserve">TouchPoint CCX400</t>
  </si>
  <si>
    <t xml:space="preserve">touchpoint</t>
  </si>
  <si>
    <t xml:space="preserve">25082001</t>
  </si>
  <si>
    <t xml:space="preserve">Marion Superscreen (D10396) Test &amp; Certification</t>
  </si>
  <si>
    <t xml:space="preserve">25091703</t>
  </si>
  <si>
    <t xml:space="preserve">AGL - FYR Town Hall - 12.8.26</t>
  </si>
  <si>
    <t xml:space="preserve">2605402</t>
  </si>
  <si>
    <t xml:space="preserve">UoW Liverpool Campus Variation 01</t>
  </si>
  <si>
    <t xml:space="preserve">University of Wollongong</t>
  </si>
  <si>
    <t xml:space="preserve">MeetMagic - AI Behaviour Event - 29.5.26</t>
  </si>
  <si>
    <t xml:space="preserve">Meet Magic</t>
  </si>
  <si>
    <t xml:space="preserve">26052001</t>
  </si>
  <si>
    <t xml:space="preserve">ASX CEO Connect 21.4.26</t>
  </si>
  <si>
    <t xml:space="preserve">26011405</t>
  </si>
  <si>
    <t xml:space="preserve">Half Year Results Briefing</t>
  </si>
  <si>
    <t xml:space="preserve">25121602</t>
  </si>
  <si>
    <t xml:space="preserve">Conference Call</t>
  </si>
  <si>
    <t xml:space="preserve">25121211</t>
  </si>
  <si>
    <t xml:space="preserve">RUOK Lunch &amp; Learn 11.9.25</t>
  </si>
  <si>
    <t xml:space="preserve">25082705</t>
  </si>
  <si>
    <t xml:space="preserve">STL Travel (SYD-MEL Return)</t>
  </si>
  <si>
    <t xml:space="preserve">26062501</t>
  </si>
  <si>
    <t xml:space="preserve">Causeway Productions - Circana Event - 2.6.26</t>
  </si>
  <si>
    <t xml:space="preserve">Causeway Production Services</t>
  </si>
  <si>
    <t xml:space="preserve">26042301</t>
  </si>
  <si>
    <t xml:space="preserve">ASX-Bloomberg - Main and Social Media Videos</t>
  </si>
  <si>
    <t xml:space="preserve">2603901</t>
  </si>
  <si>
    <t xml:space="preserve">APA - RUOK Day - 10.9.26</t>
  </si>
  <si>
    <t xml:space="preserve">26082703</t>
  </si>
  <si>
    <t xml:space="preserve">PWC Perth Support | 3rd - 9th of December 2025</t>
  </si>
  <si>
    <t xml:space="preserve">25112403</t>
  </si>
  <si>
    <t xml:space="preserve">Deloitte Tech Support - 17th of September - FSAA Event</t>
  </si>
  <si>
    <t xml:space="preserve">25072902</t>
  </si>
  <si>
    <t xml:space="preserve">APA | MEL Eptura ProxyClick Renewal - 2605702</t>
  </si>
  <si>
    <t xml:space="preserve">2605702</t>
  </si>
  <si>
    <t xml:space="preserve">20 &amp; 21.11.25 - Event Workshop</t>
  </si>
  <si>
    <t xml:space="preserve">2510707</t>
  </si>
  <si>
    <t xml:space="preserve">CBA LES - May 2026</t>
  </si>
  <si>
    <t xml:space="preserve">26042801</t>
  </si>
  <si>
    <t xml:space="preserve">TLC Full Year Results - 20.8.25</t>
  </si>
  <si>
    <t xml:space="preserve">25073008</t>
  </si>
  <si>
    <t xml:space="preserve">St Catherine's - Sports Lunch 08.08.2025</t>
  </si>
  <si>
    <t xml:space="preserve">25072505</t>
  </si>
  <si>
    <t xml:space="preserve">Litecard - Event Photography - 16.7.26</t>
  </si>
  <si>
    <t xml:space="preserve">26071301</t>
  </si>
  <si>
    <t xml:space="preserve">Stone &amp; Chalk AV Support - Sydney</t>
  </si>
  <si>
    <t xml:space="preserve">Stone &amp; Chalk</t>
  </si>
  <si>
    <t xml:space="preserve">25102901</t>
  </si>
  <si>
    <t xml:space="preserve">ASX - FYR - 13.8.26</t>
  </si>
  <si>
    <t xml:space="preserve">26052702</t>
  </si>
  <si>
    <t xml:space="preserve">Elkiem Studio Support 16.4.26</t>
  </si>
  <si>
    <t xml:space="preserve">2602307</t>
  </si>
  <si>
    <t xml:space="preserve">PWC Melbourne Support | Technician coverage - April - 26041301</t>
  </si>
  <si>
    <t xml:space="preserve">26041301</t>
  </si>
  <si>
    <t xml:space="preserve">Vmix Licence Upgrade</t>
  </si>
  <si>
    <t xml:space="preserve">25081101</t>
  </si>
  <si>
    <t xml:space="preserve">AGL Employee Town Hall - Aug 2025</t>
  </si>
  <si>
    <t xml:space="preserve">25072303</t>
  </si>
  <si>
    <t xml:space="preserve">RSNSW Ordinary General Meeting 2.12.26</t>
  </si>
  <si>
    <t xml:space="preserve">2512806</t>
  </si>
  <si>
    <t xml:space="preserve">Chorus Call - Qube Scheme Meeting - 16.6.26</t>
  </si>
  <si>
    <t xml:space="preserve">2604205</t>
  </si>
  <si>
    <t xml:space="preserve">PWC - Tech Hub Support - Brisbane 12 months - Part Time | 2605604</t>
  </si>
  <si>
    <t xml:space="preserve">2605604</t>
  </si>
  <si>
    <t xml:space="preserve">PWC Studio GB Session | 22.1.26</t>
  </si>
  <si>
    <t xml:space="preserve">26012002</t>
  </si>
  <si>
    <t xml:space="preserve">PWC Sydney Support | AV Support for 2 day's</t>
  </si>
  <si>
    <t xml:space="preserve">2508502</t>
  </si>
  <si>
    <t xml:space="preserve">Annual General Meeting - 15.10.25</t>
  </si>
  <si>
    <t xml:space="preserve">25091705</t>
  </si>
  <si>
    <t xml:space="preserve">End of Year Concert Videos 2026</t>
  </si>
  <si>
    <t xml:space="preserve">N2 Dance Productions</t>
  </si>
  <si>
    <t xml:space="preserve">26041701</t>
  </si>
  <si>
    <t xml:space="preserve">Pool of Hours - National AV / IT Support</t>
  </si>
  <si>
    <t xml:space="preserve">2609401</t>
  </si>
  <si>
    <t xml:space="preserve">RGB Desk Booking</t>
  </si>
  <si>
    <t xml:space="preserve">2510205</t>
  </si>
  <si>
    <t xml:space="preserve">Deloitte MEL_LED Wall QSC Core Replacement | 2605503</t>
  </si>
  <si>
    <t xml:space="preserve">2605503</t>
  </si>
  <si>
    <t xml:space="preserve">DTTL | Mel Lv23 Display Supply - 26052602</t>
  </si>
  <si>
    <t xml:space="preserve">26052602</t>
  </si>
  <si>
    <t xml:space="preserve">DTTL BNE Training Room/s Upgrade | 26052002</t>
  </si>
  <si>
    <t xml:space="preserve">Deloitte - Brisbane</t>
  </si>
  <si>
    <t xml:space="preserve">26052002</t>
  </si>
  <si>
    <t xml:space="preserve">Dry Hire Mics - 13.10.25</t>
  </si>
  <si>
    <t xml:space="preserve">Ootoz Productions</t>
  </si>
  <si>
    <t xml:space="preserve">25101702</t>
  </si>
  <si>
    <t xml:space="preserve">Ventia Employee Town Hall 19.2.26</t>
  </si>
  <si>
    <t xml:space="preserve">25121603</t>
  </si>
  <si>
    <t xml:space="preserve">QQT_Lv45 Seminar-Wheels Repair - 26033007</t>
  </si>
  <si>
    <t xml:space="preserve">26033007</t>
  </si>
  <si>
    <t xml:space="preserve">ASX CEO Connect 2.6.26</t>
  </si>
  <si>
    <t xml:space="preserve">26011406</t>
  </si>
  <si>
    <t xml:space="preserve">PwC | Screen Replacements (SYD/MEL) - 26043003</t>
  </si>
  <si>
    <t xml:space="preserve">26043003</t>
  </si>
  <si>
    <t xml:space="preserve">STAC Conf 11.09.2025</t>
  </si>
  <si>
    <t xml:space="preserve">25082706</t>
  </si>
  <si>
    <t xml:space="preserve">ASX CEO Farewell Highlights Video</t>
  </si>
  <si>
    <t xml:space="preserve">26051201</t>
  </si>
  <si>
    <t xml:space="preserve">Ventia Perth Town Hall 21.11.25</t>
  </si>
  <si>
    <t xml:space="preserve">25111103</t>
  </si>
  <si>
    <t xml:space="preserve">CoS | Barco Projector Shutters Supply - 2605804</t>
  </si>
  <si>
    <t xml:space="preserve">City of Sydney</t>
  </si>
  <si>
    <t xml:space="preserve">2605804</t>
  </si>
  <si>
    <t xml:space="preserve">HP-Telstra: Phone Modification</t>
  </si>
  <si>
    <t xml:space="preserve">Telstra Enterprise</t>
  </si>
  <si>
    <t xml:space="preserve">2602901</t>
  </si>
  <si>
    <t xml:space="preserve">CBA - Full Time Technician Melbourne - 12 month | 26043001</t>
  </si>
  <si>
    <t xml:space="preserve">26043001</t>
  </si>
  <si>
    <t xml:space="preserve">AusPayNet - Prod Support 21 &amp; 22.9.26</t>
  </si>
  <si>
    <t xml:space="preserve">26091702</t>
  </si>
  <si>
    <t xml:space="preserve">DTTL - AV Solutions - Box Sale - AV Peripherals</t>
  </si>
  <si>
    <t xml:space="preserve">2509801</t>
  </si>
  <si>
    <t xml:space="preserve">AusPayNet | Logi Subscription - 26081901</t>
  </si>
  <si>
    <t xml:space="preserve">26081901</t>
  </si>
  <si>
    <t xml:space="preserve">Elkiem Studio Support 26.5.26</t>
  </si>
  <si>
    <t xml:space="preserve">2602308</t>
  </si>
  <si>
    <t xml:space="preserve">KWM Stream 22.9.25</t>
  </si>
  <si>
    <t xml:space="preserve">25091004</t>
  </si>
  <si>
    <t xml:space="preserve">Cochlear - Conference Call - 22.4.26</t>
  </si>
  <si>
    <t xml:space="preserve">26042003</t>
  </si>
  <si>
    <t xml:space="preserve">Garvan - YPO Event - 6.8.26</t>
  </si>
  <si>
    <t xml:space="preserve">2607703</t>
  </si>
  <si>
    <t xml:space="preserve">Ventia - June CEO Town Hall - 18.6.26</t>
  </si>
  <si>
    <t xml:space="preserve">2604206</t>
  </si>
  <si>
    <t xml:space="preserve">PWC Melbourne Support | Additional Tech's June/July 2025</t>
  </si>
  <si>
    <t xml:space="preserve">25071401</t>
  </si>
  <si>
    <t xml:space="preserve">ARUP - Oves Awards - 23.7.26</t>
  </si>
  <si>
    <t xml:space="preserve">Arup</t>
  </si>
  <si>
    <t xml:space="preserve">2605403</t>
  </si>
  <si>
    <t xml:space="preserve">Vega Global - Tech Support 23 &amp; 24.4.26</t>
  </si>
  <si>
    <t xml:space="preserve">26041402</t>
  </si>
  <si>
    <t xml:space="preserve">ASX Investor Day On Demand Videos (May 2026)</t>
  </si>
  <si>
    <t xml:space="preserve">26011503</t>
  </si>
  <si>
    <t xml:space="preserve">CEO Connect 2.12.2025</t>
  </si>
  <si>
    <t xml:space="preserve">2511702</t>
  </si>
  <si>
    <t xml:space="preserve">Zoom Producer 27 &amp; 28.8.25</t>
  </si>
  <si>
    <t xml:space="preserve">Amazon Web Services Australia Pty Ltd</t>
  </si>
  <si>
    <t xml:space="preserve">25082602</t>
  </si>
  <si>
    <t xml:space="preserve">CBA AGM AV UPS</t>
  </si>
  <si>
    <t xml:space="preserve">2510301</t>
  </si>
  <si>
    <t xml:space="preserve">CBA AFR Dinner AV Support 3.3.26</t>
  </si>
  <si>
    <t xml:space="preserve">2602601</t>
  </si>
  <si>
    <t xml:space="preserve">PWC Firmwide Webcast 24.2.26</t>
  </si>
  <si>
    <t xml:space="preserve">26012003</t>
  </si>
  <si>
    <t xml:space="preserve">Perth Finbar Event</t>
  </si>
  <si>
    <t xml:space="preserve">2604803</t>
  </si>
  <si>
    <t xml:space="preserve">EOY Town Hall</t>
  </si>
  <si>
    <t xml:space="preserve">2512503</t>
  </si>
  <si>
    <t xml:space="preserve">DTTL | HBA AV Fitout - 2605605</t>
  </si>
  <si>
    <t xml:space="preserve">2605605</t>
  </si>
  <si>
    <t xml:space="preserve">CBPS Auditorium Upgrade | 2605704</t>
  </si>
  <si>
    <t xml:space="preserve">Commonwealth Bank of Australia - Sydney (CBP)</t>
  </si>
  <si>
    <t xml:space="preserve">2605704</t>
  </si>
  <si>
    <t xml:space="preserve">APA | SYD Eptura ProxyClick Renewal - 2605703</t>
  </si>
  <si>
    <t xml:space="preserve">2605703</t>
  </si>
  <si>
    <t xml:space="preserve">ASX - ASX Live - 1.9.26</t>
  </si>
  <si>
    <t xml:space="preserve">26071701</t>
  </si>
  <si>
    <t xml:space="preserve">Pool of hours for National AV Support - 03/2026_26042901</t>
  </si>
  <si>
    <t xml:space="preserve">26042901</t>
  </si>
  <si>
    <t xml:space="preserve">PwC | Syd Studio Equipment - 2606901</t>
  </si>
  <si>
    <t xml:space="preserve">2606901</t>
  </si>
  <si>
    <t xml:space="preserve">Ordinary General Meeting - 3.12.25</t>
  </si>
  <si>
    <t xml:space="preserve">25121003</t>
  </si>
  <si>
    <t xml:space="preserve">Touchpoint Poly CCX400 modification</t>
  </si>
  <si>
    <t xml:space="preserve">2511101</t>
  </si>
  <si>
    <t xml:space="preserve">TWG - Sydney Technician - 10th &amp; 11th of September 2025</t>
  </si>
  <si>
    <t xml:space="preserve">2509402</t>
  </si>
  <si>
    <t xml:space="preserve">Dedicated Technician - Barker College Dinner</t>
  </si>
  <si>
    <t xml:space="preserve">2606402</t>
  </si>
  <si>
    <t xml:space="preserve">ASX CEO Connect 27.10.26</t>
  </si>
  <si>
    <t xml:space="preserve">26011407</t>
  </si>
  <si>
    <t xml:space="preserve">Presynct QLD Desk Booking</t>
  </si>
  <si>
    <t xml:space="preserve">CommSecurity Pty Ltd</t>
  </si>
  <si>
    <t xml:space="preserve">2510804</t>
  </si>
  <si>
    <t xml:space="preserve">HP-MissionAus_AudioDSPSolution</t>
  </si>
  <si>
    <t xml:space="preserve">25121001</t>
  </si>
  <si>
    <t xml:space="preserve">Evolution EVN AGM - 20.11.25</t>
  </si>
  <si>
    <t xml:space="preserve">2510708</t>
  </si>
  <si>
    <t xml:space="preserve">CEO Summit 2026</t>
  </si>
  <si>
    <t xml:space="preserve">CEO Institute</t>
  </si>
  <si>
    <t xml:space="preserve">25121203</t>
  </si>
  <si>
    <t xml:space="preserve">Loreto Normanhurst - AV Sound Eng Training - 14.4.26</t>
  </si>
  <si>
    <t xml:space="preserve">Loreto Normanhurst</t>
  </si>
  <si>
    <t xml:space="preserve">2604702</t>
  </si>
  <si>
    <t xml:space="preserve">ASX FY26 Town Hall 12.2.26</t>
  </si>
  <si>
    <t xml:space="preserve">26021001</t>
  </si>
  <si>
    <t xml:space="preserve">Ventia - CEO Townhall - 23.4.26 (26031001)</t>
  </si>
  <si>
    <t xml:space="preserve">26031001</t>
  </si>
  <si>
    <t xml:space="preserve">OC - Suncorp - FYR 14.8.25</t>
  </si>
  <si>
    <t xml:space="preserve">25073002</t>
  </si>
  <si>
    <t xml:space="preserve">Investor Day Shoot/Edit - 21.10.25</t>
  </si>
  <si>
    <t xml:space="preserve">2510203</t>
  </si>
  <si>
    <t xml:space="preserve">APA Sydney Tablet Brackets</t>
  </si>
  <si>
    <t xml:space="preserve">25082501</t>
  </si>
  <si>
    <t xml:space="preserve">Cochlear - FY26 Results - 18.8.26</t>
  </si>
  <si>
    <t xml:space="preserve">2603104</t>
  </si>
  <si>
    <t xml:space="preserve">ON24 - Ciena 17-18.3.26</t>
  </si>
  <si>
    <t xml:space="preserve">26011301</t>
  </si>
  <si>
    <t xml:space="preserve">Elkiem Studio Support 1.7.26</t>
  </si>
  <si>
    <t xml:space="preserve">2602309</t>
  </si>
  <si>
    <t xml:space="preserve">Ventia - Melbourne Office Event - 30.7.26</t>
  </si>
  <si>
    <t xml:space="preserve">26071303</t>
  </si>
  <si>
    <t xml:space="preserve">TWG - Sydney Technician - 29th of October 2025</t>
  </si>
  <si>
    <t xml:space="preserve">25102201</t>
  </si>
  <si>
    <t xml:space="preserve">COCHLEAR AGM 23.10.25</t>
  </si>
  <si>
    <t xml:space="preserve">2510701</t>
  </si>
  <si>
    <t xml:space="preserve">PWC Tax Briefing 22.07.2025</t>
  </si>
  <si>
    <t xml:space="preserve">25072304</t>
  </si>
  <si>
    <t xml:space="preserve">Studio Event</t>
  </si>
  <si>
    <t xml:space="preserve">25121501</t>
  </si>
  <si>
    <t xml:space="preserve">Company Secretary Brief 20.08.2025</t>
  </si>
  <si>
    <t xml:space="preserve">2507103</t>
  </si>
  <si>
    <t xml:space="preserve">Perth AV Support | 24th of March 2026 - 2603902</t>
  </si>
  <si>
    <t xml:space="preserve">2603902</t>
  </si>
  <si>
    <t xml:space="preserve">Dimensional - AV Support - 22.9.26</t>
  </si>
  <si>
    <t xml:space="preserve">26092104</t>
  </si>
  <si>
    <t xml:space="preserve">Loghic Law Society Event 29 8 25</t>
  </si>
  <si>
    <t xml:space="preserve">25081202</t>
  </si>
  <si>
    <t xml:space="preserve">DTTL Syd - Christmas Party - 28.11.2025</t>
  </si>
  <si>
    <t xml:space="preserve">25112402</t>
  </si>
  <si>
    <t xml:space="preserve">GP - Talking Philanthropy - Event Videography</t>
  </si>
  <si>
    <t xml:space="preserve">26091002</t>
  </si>
  <si>
    <t xml:space="preserve">APA - 8.7.25 Town Hall</t>
  </si>
  <si>
    <t xml:space="preserve">2507701</t>
  </si>
  <si>
    <t xml:space="preserve">PWC Brisbane AV Support | 6 months</t>
  </si>
  <si>
    <t xml:space="preserve">2508503</t>
  </si>
  <si>
    <t xml:space="preserve">NSW Town Hall 1 &amp; 2.9.25</t>
  </si>
  <si>
    <t xml:space="preserve">25082701</t>
  </si>
  <si>
    <t xml:space="preserve">MEL_Lv31 Repair of LED Panels - 26033008</t>
  </si>
  <si>
    <t xml:space="preserve">26033008</t>
  </si>
  <si>
    <t xml:space="preserve">Dedicated Technician - Future of Commercial Payments &amp; Travel - June Event</t>
  </si>
  <si>
    <t xml:space="preserve">2606403</t>
  </si>
  <si>
    <t xml:space="preserve">Aware | SYD 28.06 Equipment - 26052701</t>
  </si>
  <si>
    <t xml:space="preserve">26052701</t>
  </si>
  <si>
    <t xml:space="preserve">Dairy Australia AGM - 27.11.25</t>
  </si>
  <si>
    <t xml:space="preserve">25111104</t>
  </si>
  <si>
    <t xml:space="preserve">Dimensional Audio Op - 30 10 25</t>
  </si>
  <si>
    <t xml:space="preserve">25101703</t>
  </si>
  <si>
    <t xml:space="preserve">Ventia - Supply Partner Conference - Screen Hire 25.3.26</t>
  </si>
  <si>
    <t xml:space="preserve">26032602</t>
  </si>
  <si>
    <t xml:space="preserve">Bankwest - BCEC WGEA Report Launch - 13.10.2026</t>
  </si>
  <si>
    <t xml:space="preserve">26092101</t>
  </si>
  <si>
    <t xml:space="preserve">PWC - Perth Studio Event - 25.5.26</t>
  </si>
  <si>
    <t xml:space="preserve">26051103</t>
  </si>
  <si>
    <t xml:space="preserve">AVIT - Taronga Zoo AV Support - 18th &amp; 19th May 26'</t>
  </si>
  <si>
    <t xml:space="preserve">AVIT</t>
  </si>
  <si>
    <t xml:space="preserve">26051803</t>
  </si>
  <si>
    <t xml:space="preserve">PWC Melbourne Support | Technician coverage March/April</t>
  </si>
  <si>
    <t xml:space="preserve">26021101</t>
  </si>
  <si>
    <t xml:space="preserve">CBA LES - Feb 2026</t>
  </si>
  <si>
    <t xml:space="preserve">2602501</t>
  </si>
  <si>
    <t xml:space="preserve">CEO Connect 28.10.25</t>
  </si>
  <si>
    <t xml:space="preserve">25091706</t>
  </si>
  <si>
    <t xml:space="preserve">Aware | MEL AV Fitout - 2605806</t>
  </si>
  <si>
    <t xml:space="preserve">2605806</t>
  </si>
  <si>
    <t xml:space="preserve">Neat Bar Pro Box Sale</t>
  </si>
  <si>
    <t xml:space="preserve">Corrivium</t>
  </si>
  <si>
    <t xml:space="preserve">2509401</t>
  </si>
  <si>
    <t xml:space="preserve">Ventia - Supply Partner Conference - 25.3.26</t>
  </si>
  <si>
    <t xml:space="preserve">2603601</t>
  </si>
  <si>
    <t xml:space="preserve">ABS AV Support (Canberra) - 26021602</t>
  </si>
  <si>
    <t xml:space="preserve">Generation-E</t>
  </si>
  <si>
    <t xml:space="preserve">26021602</t>
  </si>
  <si>
    <t xml:space="preserve">Pool of hours for National AV Support - 20JULY26</t>
  </si>
  <si>
    <t xml:space="preserve">26072001</t>
  </si>
  <si>
    <t xml:space="preserve">APA - 22.7.25 Town Hall</t>
  </si>
  <si>
    <t xml:space="preserve">25071601</t>
  </si>
  <si>
    <t xml:space="preserve">CBA Live Event Support - Nov 2025</t>
  </si>
  <si>
    <t xml:space="preserve">25103103</t>
  </si>
  <si>
    <t xml:space="preserve">MUFG - EDV Investor Day - 27.5.26</t>
  </si>
  <si>
    <t xml:space="preserve">26031301</t>
  </si>
  <si>
    <t xml:space="preserve">Dimensional - AV Support - 19.8.26</t>
  </si>
  <si>
    <t xml:space="preserve">26081402</t>
  </si>
  <si>
    <t xml:space="preserve">Tech Support - ARC AI Symposium</t>
  </si>
  <si>
    <t xml:space="preserve">2608104</t>
  </si>
  <si>
    <t xml:space="preserve">ASX - CEO Connect (Extended) - 1.9.26</t>
  </si>
  <si>
    <t xml:space="preserve">26061602</t>
  </si>
  <si>
    <t xml:space="preserve">DTTL - CEO Roadshow - 1.6.26</t>
  </si>
  <si>
    <t xml:space="preserve">26051102</t>
  </si>
  <si>
    <t xml:space="preserve">Dimensional Audio Op - 26 11 25</t>
  </si>
  <si>
    <t xml:space="preserve">2511703</t>
  </si>
  <si>
    <t xml:space="preserve">APA - AV Train the Trainer Session - 21.10.26</t>
  </si>
  <si>
    <t xml:space="preserve">2610604</t>
  </si>
  <si>
    <t xml:space="preserve">ASX CEO Connect 1.12.26</t>
  </si>
  <si>
    <t xml:space="preserve">26011408</t>
  </si>
  <si>
    <t xml:space="preserve">Aware Super | SYD 24.16 UC Engine Replacement - 26062503</t>
  </si>
  <si>
    <t xml:space="preserve">26062503</t>
  </si>
  <si>
    <t xml:space="preserve">Vega Global - Studio Support - 27.3.26</t>
  </si>
  <si>
    <t xml:space="preserve">26032703</t>
  </si>
  <si>
    <t xml:space="preserve">ON24 - KWM Event - 23.7.26</t>
  </si>
  <si>
    <t xml:space="preserve">2607901</t>
  </si>
  <si>
    <t xml:space="preserve">YSG | Orange Room Upgrade CONS - 2602203</t>
  </si>
  <si>
    <t xml:space="preserve">2602203</t>
  </si>
  <si>
    <t xml:space="preserve">Suncorp HYR 18.2.26</t>
  </si>
  <si>
    <t xml:space="preserve">25121204</t>
  </si>
  <si>
    <t xml:space="preserve">Webcast Operator - 28.8.25</t>
  </si>
  <si>
    <t xml:space="preserve">25082603</t>
  </si>
  <si>
    <t xml:space="preserve">Nanosonics AGM 5.11.25</t>
  </si>
  <si>
    <t xml:space="preserve">2510204</t>
  </si>
  <si>
    <t xml:space="preserve">Bankwest Perth | Internship - Tawona Madangure</t>
  </si>
  <si>
    <t xml:space="preserve">25091008</t>
  </si>
  <si>
    <t xml:space="preserve">Business Committee - 17.9.25</t>
  </si>
  <si>
    <t xml:space="preserve">25082707</t>
  </si>
  <si>
    <t xml:space="preserve">Garvan - Breast Cancer Sympsoium - 1.10.26</t>
  </si>
  <si>
    <t xml:space="preserve">26092801</t>
  </si>
  <si>
    <t xml:space="preserve">CBA Live Events - Hybrid Event Support - 10.12.25</t>
  </si>
  <si>
    <t xml:space="preserve">25121004</t>
  </si>
  <si>
    <t xml:space="preserve">Tech Support - Change Maker</t>
  </si>
  <si>
    <t xml:space="preserve">2608502</t>
  </si>
  <si>
    <t xml:space="preserve">PWC Studio Event 5.11.25</t>
  </si>
  <si>
    <t xml:space="preserve">2510702</t>
  </si>
  <si>
    <t xml:space="preserve">TLC - Investor Day - 3.6.26</t>
  </si>
  <si>
    <t xml:space="preserve">26041004</t>
  </si>
  <si>
    <t xml:space="preserve">CBA Panel Event 24.3.26</t>
  </si>
  <si>
    <t xml:space="preserve">2602602</t>
  </si>
  <si>
    <t xml:space="preserve">AVIT - Pinsent Masons Technician Callout</t>
  </si>
  <si>
    <t xml:space="preserve">26061703</t>
  </si>
  <si>
    <t xml:space="preserve">Next Gen AV Dry Hire</t>
  </si>
  <si>
    <t xml:space="preserve">2512504</t>
  </si>
  <si>
    <t xml:space="preserve">Annual National Maintenance | 26022301</t>
  </si>
  <si>
    <t xml:space="preserve">26022301</t>
  </si>
  <si>
    <t xml:space="preserve">HP-CSIRO | Phone Mod x3 - 26082401</t>
  </si>
  <si>
    <t xml:space="preserve">CSIRO</t>
  </si>
  <si>
    <t xml:space="preserve">26082401</t>
  </si>
  <si>
    <t xml:space="preserve">Tech Support - Next Gen</t>
  </si>
  <si>
    <t xml:space="preserve">2608105</t>
  </si>
  <si>
    <t xml:space="preserve">PWC Studio Event 7. 10.25</t>
  </si>
  <si>
    <t xml:space="preserve">25092901</t>
  </si>
  <si>
    <t xml:space="preserve">Deloitte Tech Support - 1st of November 25 - Courageous Principals</t>
  </si>
  <si>
    <t xml:space="preserve">2509101</t>
  </si>
  <si>
    <t xml:space="preserve">Causeway Productions - Stool Hire - 1.6.27</t>
  </si>
  <si>
    <t xml:space="preserve">SoundCredit.tv</t>
  </si>
  <si>
    <t xml:space="preserve">26052901</t>
  </si>
  <si>
    <t xml:space="preserve">CEOi - CEO Connect - 11.8.26</t>
  </si>
  <si>
    <t xml:space="preserve">26063002</t>
  </si>
  <si>
    <t xml:space="preserve">PWC - Lv2 Support for MFA Rollout - SYD / MEL</t>
  </si>
  <si>
    <t xml:space="preserve">25101301</t>
  </si>
  <si>
    <t xml:space="preserve">ICC - Support Technician 29.09.25 - 03.10.25</t>
  </si>
  <si>
    <t xml:space="preserve">ICC Sydney - International Convention &amp; Exhibition Centre</t>
  </si>
  <si>
    <t xml:space="preserve">25092402</t>
  </si>
  <si>
    <t xml:space="preserve">Automic Invest 2025</t>
  </si>
  <si>
    <t xml:space="preserve">25092403</t>
  </si>
  <si>
    <t xml:space="preserve">ASX - Lighting and Confetti Test - 29.9.26</t>
  </si>
  <si>
    <t xml:space="preserve">26092701</t>
  </si>
  <si>
    <t xml:space="preserve">Garvan - All Clear Event Support - 25.8.26</t>
  </si>
  <si>
    <t xml:space="preserve">26061001</t>
  </si>
  <si>
    <t xml:space="preserve">HY25 Results &amp; Sell-side Analyst Call</t>
  </si>
  <si>
    <t xml:space="preserve">Virgin Australia</t>
  </si>
  <si>
    <t xml:space="preserve">25121002</t>
  </si>
  <si>
    <t xml:space="preserve">Bankwest - Stage Hire - 29.10.26</t>
  </si>
  <si>
    <t xml:space="preserve">2610605</t>
  </si>
  <si>
    <t xml:space="preserve">Deloitte Brisbane - Additional Tech Support</t>
  </si>
  <si>
    <t xml:space="preserve">26032001</t>
  </si>
  <si>
    <t xml:space="preserve">Garvan - NECTA Conference 27.3.26</t>
  </si>
  <si>
    <t xml:space="preserve">26022401</t>
  </si>
  <si>
    <t xml:space="preserve">Corrivium - AWS Summit - 12.5.26</t>
  </si>
  <si>
    <t xml:space="preserve">26042902</t>
  </si>
  <si>
    <t xml:space="preserve">Ventia - Finance Conference - 29.4.26 (26031002)</t>
  </si>
  <si>
    <t xml:space="preserve">26031002</t>
  </si>
  <si>
    <t xml:space="preserve">Ord Gen Meet 1.10.25</t>
  </si>
  <si>
    <t xml:space="preserve">25091005</t>
  </si>
  <si>
    <t xml:space="preserve">Ventia - XELT Event - 29.6.26</t>
  </si>
  <si>
    <t xml:space="preserve">26062601</t>
  </si>
  <si>
    <t xml:space="preserve">ASX FY25 Results Briefing 14.8.25</t>
  </si>
  <si>
    <t xml:space="preserve">25073003</t>
  </si>
  <si>
    <t xml:space="preserve">GemLife Listing Stream - 3.7.25</t>
  </si>
  <si>
    <t xml:space="preserve">GemLife</t>
  </si>
  <si>
    <t xml:space="preserve">2506101</t>
  </si>
  <si>
    <t xml:space="preserve">Ricoh / Qantas Extension (2 Months)</t>
  </si>
  <si>
    <t xml:space="preserve">26061704</t>
  </si>
  <si>
    <t xml:space="preserve">Elkiem - Studio Support - 30.6.26</t>
  </si>
  <si>
    <t xml:space="preserve">26061101</t>
  </si>
  <si>
    <t xml:space="preserve">Elkiem - Studio Support - 2.12.26</t>
  </si>
  <si>
    <t xml:space="preserve">26071404</t>
  </si>
  <si>
    <t xml:space="preserve">Elkiem - Studio Support - 11.8.26</t>
  </si>
  <si>
    <t xml:space="preserve">26071901</t>
  </si>
  <si>
    <t xml:space="preserve">26052704</t>
  </si>
  <si>
    <t xml:space="preserve">PWC - Vision Dry Hire - 3.12.25</t>
  </si>
  <si>
    <t xml:space="preserve">25121005</t>
  </si>
  <si>
    <t xml:space="preserve">Woke Announcement</t>
  </si>
  <si>
    <t xml:space="preserve">ZMM Group Public Relations</t>
  </si>
  <si>
    <t xml:space="preserve">2508601</t>
  </si>
  <si>
    <t xml:space="preserve">Optiver - Fireside Event Support - 18.6.26</t>
  </si>
  <si>
    <t xml:space="preserve">Optiver</t>
  </si>
  <si>
    <t xml:space="preserve">26061002</t>
  </si>
  <si>
    <t xml:space="preserve">XELT Session Nth Syd - 26.11.2025</t>
  </si>
  <si>
    <t xml:space="preserve">25111301</t>
  </si>
  <si>
    <t xml:space="preserve">DTTL | Syd Mobile Displays - 26052003</t>
  </si>
  <si>
    <t xml:space="preserve">26052003</t>
  </si>
  <si>
    <t xml:space="preserve">HUB Investor Day 27.11.25</t>
  </si>
  <si>
    <t xml:space="preserve">25111105</t>
  </si>
  <si>
    <t xml:space="preserve">Microsoft - SME&amp;C Town Hall - Oct 26'</t>
  </si>
  <si>
    <t xml:space="preserve">26081801</t>
  </si>
  <si>
    <t xml:space="preserve">Investor Days (16.3) Sydney &amp; (23.3) Melbourne</t>
  </si>
  <si>
    <t xml:space="preserve">26011409</t>
  </si>
  <si>
    <t xml:space="preserve">DHG AGM 04.08.25 (OC) Cam &amp; Lighting</t>
  </si>
  <si>
    <t xml:space="preserve">2508801</t>
  </si>
  <si>
    <t xml:space="preserve">Deloitte Tech Support - 24th of September - Exec and Board Workshop</t>
  </si>
  <si>
    <t xml:space="preserve">25091901</t>
  </si>
  <si>
    <t xml:space="preserve">CBA HYR 2026</t>
  </si>
  <si>
    <t xml:space="preserve">25121205</t>
  </si>
  <si>
    <t xml:space="preserve">ASX NAB Pre-Market Day 17.09.2025</t>
  </si>
  <si>
    <t xml:space="preserve">25082708</t>
  </si>
  <si>
    <t xml:space="preserve">Ubank - Volunteer Day - 11.11.26</t>
  </si>
  <si>
    <t xml:space="preserve">uBank</t>
  </si>
  <si>
    <t xml:space="preserve">26081302</t>
  </si>
  <si>
    <t xml:space="preserve">MUFG - A1N AGM - 7.5.26</t>
  </si>
  <si>
    <t xml:space="preserve">26032701</t>
  </si>
  <si>
    <t xml:space="preserve">CBA LES - March 2026</t>
  </si>
  <si>
    <t xml:space="preserve">26021902</t>
  </si>
  <si>
    <t xml:space="preserve">AV Sound Engineering Training</t>
  </si>
  <si>
    <t xml:space="preserve">2602301</t>
  </si>
  <si>
    <t xml:space="preserve">ART - AMM Briefing Notes System - 25.11.26</t>
  </si>
  <si>
    <t xml:space="preserve">Australian Retirement Trust</t>
  </si>
  <si>
    <t xml:space="preserve">26022601</t>
  </si>
  <si>
    <t xml:space="preserve">Loan Airmedia Purchase</t>
  </si>
  <si>
    <t xml:space="preserve">Hills Grammar</t>
  </si>
  <si>
    <t xml:space="preserve">25081402</t>
  </si>
  <si>
    <t xml:space="preserve">Vega Global - Event Support - 26.5.26</t>
  </si>
  <si>
    <t xml:space="preserve">26042201</t>
  </si>
  <si>
    <t xml:space="preserve">Arinex Techs &amp; Equip - 23.10-26.10.25</t>
  </si>
  <si>
    <t xml:space="preserve">Arinex Group</t>
  </si>
  <si>
    <t xml:space="preserve">25092902</t>
  </si>
  <si>
    <t xml:space="preserve">Deloitte Tech Support - 7th of October 25 - CMHAA Event</t>
  </si>
  <si>
    <t xml:space="preserve">2509102</t>
  </si>
  <si>
    <t xml:space="preserve">PWC - Event Technician - 29.7.26</t>
  </si>
  <si>
    <t xml:space="preserve">26071405</t>
  </si>
  <si>
    <t xml:space="preserve">Novigi Executive Boardroom Upgrade</t>
  </si>
  <si>
    <t xml:space="preserve">25102802</t>
  </si>
  <si>
    <t xml:space="preserve">Novigi | Dharawal Maintenance - 26091501</t>
  </si>
  <si>
    <t xml:space="preserve">26091501</t>
  </si>
  <si>
    <t xml:space="preserve">ON24 - KWM 11,17,19th of March 2026</t>
  </si>
  <si>
    <t xml:space="preserve">26022501</t>
  </si>
  <si>
    <t xml:space="preserve">RSNSW - OGM - 1.7.26</t>
  </si>
  <si>
    <t xml:space="preserve">26032301</t>
  </si>
  <si>
    <t xml:space="preserve">Bankwest - Stage Hire - 27.5.2026</t>
  </si>
  <si>
    <t xml:space="preserve">2604201</t>
  </si>
  <si>
    <t xml:space="preserve">CBA - LES - June 2026</t>
  </si>
  <si>
    <t xml:space="preserve">26052004</t>
  </si>
  <si>
    <t xml:space="preserve">Elkiem - Studio Support - 25.8.26</t>
  </si>
  <si>
    <t xml:space="preserve">26073105</t>
  </si>
  <si>
    <t xml:space="preserve">Aust Wool Limited AGM - 14.11.25</t>
  </si>
  <si>
    <t xml:space="preserve">25101704</t>
  </si>
  <si>
    <t xml:space="preserve">Microphone Supply</t>
  </si>
  <si>
    <t xml:space="preserve">JohnChae</t>
  </si>
  <si>
    <t xml:space="preserve">2507801</t>
  </si>
  <si>
    <t xml:space="preserve">Reconstruction Authority Newcastle Desk Booking</t>
  </si>
  <si>
    <t xml:space="preserve">2510805</t>
  </si>
  <si>
    <t xml:space="preserve">CBA - CommBank Private Hosting - 25.6.26</t>
  </si>
  <si>
    <t xml:space="preserve">26062403</t>
  </si>
  <si>
    <t xml:space="preserve">Suncorp Investor Day - 30.10.25</t>
  </si>
  <si>
    <t xml:space="preserve">25091707</t>
  </si>
  <si>
    <t xml:space="preserve">PWC Firmwide Webcast 23.07.2025</t>
  </si>
  <si>
    <t xml:space="preserve">25071602</t>
  </si>
  <si>
    <t xml:space="preserve">Garvan - AllClear Program Meeting - 2.9.26</t>
  </si>
  <si>
    <t xml:space="preserve">26081904</t>
  </si>
  <si>
    <t xml:space="preserve">Business Committee (Remote)</t>
  </si>
  <si>
    <t xml:space="preserve">2512505</t>
  </si>
  <si>
    <t xml:space="preserve">Downer FY Results Brief 21.8.25</t>
  </si>
  <si>
    <t xml:space="preserve">2507105</t>
  </si>
  <si>
    <t xml:space="preserve">2610203</t>
  </si>
  <si>
    <t xml:space="preserve">CEO Connect 2.9.25</t>
  </si>
  <si>
    <t xml:space="preserve">25082702</t>
  </si>
  <si>
    <t xml:space="preserve">HP-D3 | Austrac Phone Mods x100 - 26052102</t>
  </si>
  <si>
    <t xml:space="preserve">Data#3</t>
  </si>
  <si>
    <t xml:space="preserve">26052102</t>
  </si>
  <si>
    <t xml:space="preserve">Ventia HY25 Results Brief 14.8.25</t>
  </si>
  <si>
    <t xml:space="preserve">25073004</t>
  </si>
  <si>
    <t xml:space="preserve">Elkeim - Studio Support - 10.9.26</t>
  </si>
  <si>
    <t xml:space="preserve">2608701</t>
  </si>
  <si>
    <t xml:space="preserve">PwC - AI Townhall - 6.8.26</t>
  </si>
  <si>
    <t xml:space="preserve">26072902</t>
  </si>
  <si>
    <t xml:space="preserve">Airmedia Supply</t>
  </si>
  <si>
    <t xml:space="preserve">2507203</t>
  </si>
  <si>
    <t xml:space="preserve">ART - AMM Captioning - 25.11.26</t>
  </si>
  <si>
    <t xml:space="preserve">2608101</t>
  </si>
  <si>
    <t xml:space="preserve">ASX-Bloomberg - Image Creation</t>
  </si>
  <si>
    <t xml:space="preserve">26041003</t>
  </si>
  <si>
    <t xml:space="preserve">ICC - Presenter &amp; Speaker Preparation - September 2026</t>
  </si>
  <si>
    <t xml:space="preserve">26082502</t>
  </si>
  <si>
    <t xml:space="preserve">Symal HYR Presentation</t>
  </si>
  <si>
    <t xml:space="preserve">Symal</t>
  </si>
  <si>
    <t xml:space="preserve">26011401</t>
  </si>
  <si>
    <t xml:space="preserve">CBA LES - April 2026</t>
  </si>
  <si>
    <t xml:space="preserve">26032704</t>
  </si>
  <si>
    <t xml:space="preserve">Garvan - Women in Science Conference 13.3.26</t>
  </si>
  <si>
    <t xml:space="preserve">26022402</t>
  </si>
  <si>
    <t xml:space="preserve">PwC | Mel Studio Equipment - 26051801</t>
  </si>
  <si>
    <t xml:space="preserve">26051801</t>
  </si>
  <si>
    <t xml:space="preserve">Elkiem - Dedicated Technician</t>
  </si>
  <si>
    <t xml:space="preserve">25112001</t>
  </si>
  <si>
    <t xml:space="preserve">Optiver - AV Support - 30.4.26</t>
  </si>
  <si>
    <t xml:space="preserve">26042303</t>
  </si>
  <si>
    <t xml:space="preserve">23.9.25 - Event Workshop Record</t>
  </si>
  <si>
    <t xml:space="preserve">2509501</t>
  </si>
  <si>
    <t xml:space="preserve">AVIT - Taronga AV Event Support - 26 &amp; 27th May 26'</t>
  </si>
  <si>
    <t xml:space="preserve">26052501</t>
  </si>
  <si>
    <t xml:space="preserve">EY - Support Technician BNE</t>
  </si>
  <si>
    <t xml:space="preserve">26081301</t>
  </si>
  <si>
    <t xml:space="preserve">HY Results 2026</t>
  </si>
  <si>
    <t xml:space="preserve">25121206</t>
  </si>
  <si>
    <t xml:space="preserve">PWC - GB Webcast - 11.8.26</t>
  </si>
  <si>
    <t xml:space="preserve">26072903</t>
  </si>
  <si>
    <t xml:space="preserve">Curran Library Event 23.9.2025</t>
  </si>
  <si>
    <t xml:space="preserve">25091006</t>
  </si>
  <si>
    <t xml:space="preserve">PWC Future of Finance 6.11.2025</t>
  </si>
  <si>
    <t xml:space="preserve">2510703</t>
  </si>
  <si>
    <t xml:space="preserve">Ventia XELT 11.3.2026</t>
  </si>
  <si>
    <t xml:space="preserve">2603406</t>
  </si>
  <si>
    <t xml:space="preserve">APA - Qtly All Hands (BNE) - 4.11.26</t>
  </si>
  <si>
    <t xml:space="preserve">26061607</t>
  </si>
  <si>
    <t xml:space="preserve">APA | Young Eptura Proxyclick Licence Renewal - 2606101</t>
  </si>
  <si>
    <t xml:space="preserve">2606101</t>
  </si>
  <si>
    <t xml:space="preserve">2608603</t>
  </si>
  <si>
    <t xml:space="preserve">Pool of hours for National AV Support #4</t>
  </si>
  <si>
    <t xml:space="preserve">25072201</t>
  </si>
  <si>
    <t xml:space="preserve">Deloitte Tech Support - Client Seminar Event 20/11</t>
  </si>
  <si>
    <t xml:space="preserve">25111302</t>
  </si>
  <si>
    <t xml:space="preserve">JP Morgan - Audio Technician 4.12.25</t>
  </si>
  <si>
    <t xml:space="preserve">25121006</t>
  </si>
  <si>
    <t xml:space="preserve">Investor Webinar 2026</t>
  </si>
  <si>
    <t xml:space="preserve">Nyrada</t>
  </si>
  <si>
    <t xml:space="preserve">2601801</t>
  </si>
  <si>
    <t xml:space="preserve">ART - Education Session Captioning - 25.11.26</t>
  </si>
  <si>
    <t xml:space="preserve">2608102</t>
  </si>
  <si>
    <t xml:space="preserve">Deloitte Tech Support - Sports Investment Summit 26th of November</t>
  </si>
  <si>
    <t xml:space="preserve">25103001</t>
  </si>
  <si>
    <t xml:space="preserve">25112101</t>
  </si>
  <si>
    <t xml:space="preserve">Noumi AGM 6.11.25</t>
  </si>
  <si>
    <t xml:space="preserve">Noumi</t>
  </si>
  <si>
    <t xml:space="preserve">2510206</t>
  </si>
  <si>
    <t xml:space="preserve">CBA BNE - Event Support - 13.5.26</t>
  </si>
  <si>
    <t xml:space="preserve">2605502</t>
  </si>
  <si>
    <t xml:space="preserve">AVIT - Taronga AV Event Support - 4 &amp; 5th June 26'</t>
  </si>
  <si>
    <t xml:space="preserve">26052502</t>
  </si>
  <si>
    <t xml:space="preserve">AGL CTAP Webcast 21.08.25</t>
  </si>
  <si>
    <t xml:space="preserve">2507106</t>
  </si>
  <si>
    <t xml:space="preserve">Vega - Event Support - 22 &amp; 23rd June</t>
  </si>
  <si>
    <t xml:space="preserve">26052601</t>
  </si>
  <si>
    <t xml:space="preserve">St Vincents Public Hospital - Awards Night - 26.8.25</t>
  </si>
  <si>
    <t xml:space="preserve">St Vincent's Public Hospital Sydney (SVHS)</t>
  </si>
  <si>
    <t xml:space="preserve">2608404</t>
  </si>
  <si>
    <t xml:space="preserve">RSNSW - OGM - 2.9.26</t>
  </si>
  <si>
    <t xml:space="preserve">26032302</t>
  </si>
  <si>
    <t xml:space="preserve">Endeavour EDV AGM - 17.11.25</t>
  </si>
  <si>
    <t xml:space="preserve">25101401</t>
  </si>
  <si>
    <t xml:space="preserve">Meet the Manager Series (March 2026)</t>
  </si>
  <si>
    <t xml:space="preserve">2601902</t>
  </si>
  <si>
    <t xml:space="preserve">APA - Qtly All Hands SYD Screen Hire - 20.8.26</t>
  </si>
  <si>
    <t xml:space="preserve">2608702</t>
  </si>
  <si>
    <t xml:space="preserve">Wisetech Investor Day</t>
  </si>
  <si>
    <t xml:space="preserve">2512501</t>
  </si>
  <si>
    <t xml:space="preserve">APA - Qtly All Hands Sydney - Feb 27</t>
  </si>
  <si>
    <t xml:space="preserve">26061608</t>
  </si>
  <si>
    <t xml:space="preserve">Automic - September All Hands - 25.9.26</t>
  </si>
  <si>
    <t xml:space="preserve">26091601</t>
  </si>
  <si>
    <t xml:space="preserve">PDNSW | Eptura Licence Renewal - 2603202</t>
  </si>
  <si>
    <t xml:space="preserve">2603202</t>
  </si>
  <si>
    <t xml:space="preserve">Ventia - Ventia Awards - 30.7.26</t>
  </si>
  <si>
    <t xml:space="preserve">2604202</t>
  </si>
  <si>
    <t xml:space="preserve">8PSQ Dream Big Microphones - 26033003</t>
  </si>
  <si>
    <t xml:space="preserve">26033003</t>
  </si>
  <si>
    <t xml:space="preserve">ASX - Listing Event Lighting - 14.10.26</t>
  </si>
  <si>
    <t xml:space="preserve">2610601</t>
  </si>
  <si>
    <t xml:space="preserve">Ops Surround Hire</t>
  </si>
  <si>
    <t xml:space="preserve">2602401</t>
  </si>
  <si>
    <t xml:space="preserve">MS Surface Audio Speaker Setup</t>
  </si>
  <si>
    <t xml:space="preserve">2603402</t>
  </si>
  <si>
    <t xml:space="preserve">ON24 - KWM Sydney Event - 18.08.2026</t>
  </si>
  <si>
    <t xml:space="preserve">26072802</t>
  </si>
  <si>
    <t xml:space="preserve">CBA - Screen Hire 08 - 15.08.2025</t>
  </si>
  <si>
    <t xml:space="preserve">2508802</t>
  </si>
  <si>
    <t xml:space="preserve">Downer HY26 Employee Briefing 25.2.2026</t>
  </si>
  <si>
    <t xml:space="preserve">25121207</t>
  </si>
  <si>
    <t xml:space="preserve">Pool of hours for National AV Support #6</t>
  </si>
  <si>
    <t xml:space="preserve">2510201</t>
  </si>
  <si>
    <t xml:space="preserve">Dedicated Tech - Oct 9 - 10 2025</t>
  </si>
  <si>
    <t xml:space="preserve">25091101</t>
  </si>
  <si>
    <t xml:space="preserve">Garvan Curran Library Event 21.08.2025</t>
  </si>
  <si>
    <t xml:space="preserve">2508702</t>
  </si>
  <si>
    <t xml:space="preserve">Morning Tea - 7.11.2025</t>
  </si>
  <si>
    <t xml:space="preserve">25102001</t>
  </si>
  <si>
    <t xml:space="preserve">2603302 - Perth AV Support | 4th of March 2026</t>
  </si>
  <si>
    <t xml:space="preserve">2603302</t>
  </si>
  <si>
    <t xml:space="preserve">PWC Studio Event 31.07.2025</t>
  </si>
  <si>
    <t xml:space="preserve">2508401</t>
  </si>
  <si>
    <t xml:space="preserve">BibbyWorks - Dry Mic Hire - 10.4.26</t>
  </si>
  <si>
    <t xml:space="preserve">BibbyWorks</t>
  </si>
  <si>
    <t xml:space="preserve">26033001</t>
  </si>
  <si>
    <t xml:space="preserve">PwC - Audio Support - 29.4.26</t>
  </si>
  <si>
    <t xml:space="preserve">26041001</t>
  </si>
  <si>
    <t xml:space="preserve">PWC - Tech Hub Support - SYD / MEL / BNE</t>
  </si>
  <si>
    <t xml:space="preserve">26012301</t>
  </si>
  <si>
    <t xml:space="preserve">ClinPrep Medical Conference 21.3.26</t>
  </si>
  <si>
    <t xml:space="preserve">Sydney Clinprep</t>
  </si>
  <si>
    <t xml:space="preserve">26021603</t>
  </si>
  <si>
    <t xml:space="preserve">STL Travel (SYD-PER)</t>
  </si>
  <si>
    <t xml:space="preserve">26082704</t>
  </si>
  <si>
    <t xml:space="preserve">ASX -FYR Employee Town Hall - 13.8.26</t>
  </si>
  <si>
    <t xml:space="preserve">2608604</t>
  </si>
  <si>
    <t xml:space="preserve">ASX Investor Day Social Media Videos (May 2026)</t>
  </si>
  <si>
    <t xml:space="preserve">26042101</t>
  </si>
  <si>
    <t xml:space="preserve">Ventia Leader Welcome 4.3.26</t>
  </si>
  <si>
    <t xml:space="preserve">26011402</t>
  </si>
  <si>
    <t xml:space="preserve">Ventia - RUOK? Day - 10.09.2026</t>
  </si>
  <si>
    <t xml:space="preserve">26072102</t>
  </si>
  <si>
    <t xml:space="preserve">Deloitte Darwin - Meeting Room Extension Cable Install_26042802</t>
  </si>
  <si>
    <t xml:space="preserve">26042802</t>
  </si>
  <si>
    <t xml:space="preserve">Noisebox - Audio Dry Hire - 13.10.16</t>
  </si>
  <si>
    <t xml:space="preserve">Noisebox</t>
  </si>
  <si>
    <t xml:space="preserve">2610701</t>
  </si>
  <si>
    <t xml:space="preserve">DHG AGM 04.08.25 (Orient Capital)</t>
  </si>
  <si>
    <t xml:space="preserve">25072501</t>
  </si>
  <si>
    <t xml:space="preserve">CBA - LES - August 2026</t>
  </si>
  <si>
    <t xml:space="preserve">26072003</t>
  </si>
  <si>
    <t xml:space="preserve">TWG - Sydney Technician - 17/11/2025 - 21/11/2025</t>
  </si>
  <si>
    <t xml:space="preserve">25111201</t>
  </si>
  <si>
    <t xml:space="preserve">TWG - Sydney Technician - 28th of August 2025</t>
  </si>
  <si>
    <t xml:space="preserve">25082101</t>
  </si>
  <si>
    <t xml:space="preserve">Deloitte Tech Support - Market Shapers - 26th of November 25</t>
  </si>
  <si>
    <t xml:space="preserve">25103002</t>
  </si>
  <si>
    <t xml:space="preserve">HYR Employee Town Hall 2026</t>
  </si>
  <si>
    <t xml:space="preserve">26011410</t>
  </si>
  <si>
    <t xml:space="preserve">CHESS Replace Comm 5.11.25</t>
  </si>
  <si>
    <t xml:space="preserve">2510704</t>
  </si>
  <si>
    <t xml:space="preserve">Ventia CEO Results Town Hall 14.8.25</t>
  </si>
  <si>
    <t xml:space="preserve">25073005</t>
  </si>
  <si>
    <t xml:space="preserve">Optiver - Town Hall - 23.7.26</t>
  </si>
  <si>
    <t xml:space="preserve">26041603</t>
  </si>
  <si>
    <t xml:space="preserve">QUBE Holdings AGM - 20.11.25</t>
  </si>
  <si>
    <t xml:space="preserve">2510801</t>
  </si>
  <si>
    <t xml:space="preserve">Ordinary General Meeting</t>
  </si>
  <si>
    <t xml:space="preserve">2512801</t>
  </si>
  <si>
    <t xml:space="preserve">Full Year Staff Brief - 26.08.25</t>
  </si>
  <si>
    <t xml:space="preserve">2507107</t>
  </si>
  <si>
    <t xml:space="preserve">Deloitte Tech Support - 5th of August - Bump In - Fin Crime Event 3.0</t>
  </si>
  <si>
    <t xml:space="preserve">25072801</t>
  </si>
  <si>
    <t xml:space="preserve">CBA Live Event Support - Sept 2025</t>
  </si>
  <si>
    <t xml:space="preserve">2509502</t>
  </si>
  <si>
    <t xml:space="preserve">AVIT - Taronga AV Support - 9-11.6.26</t>
  </si>
  <si>
    <t xml:space="preserve">2606902</t>
  </si>
  <si>
    <t xml:space="preserve">Melb Event Video Highlights - 9.10.25</t>
  </si>
  <si>
    <t xml:space="preserve">London Stock Exchange Group (LSEG)</t>
  </si>
  <si>
    <t xml:space="preserve">25091709</t>
  </si>
  <si>
    <t xml:space="preserve">PWC - Foldback Monitor Hire - 28.5.26</t>
  </si>
  <si>
    <t xml:space="preserve">26051402</t>
  </si>
  <si>
    <t xml:space="preserve">Market Shapers</t>
  </si>
  <si>
    <t xml:space="preserve">26072901</t>
  </si>
  <si>
    <t xml:space="preserve">Dimensional - AV Audio Support - 15.10.26</t>
  </si>
  <si>
    <t xml:space="preserve">2610202</t>
  </si>
  <si>
    <t xml:space="preserve">Dry Hire - Changemakers 8 -9.10.25</t>
  </si>
  <si>
    <t xml:space="preserve">25091701</t>
  </si>
  <si>
    <t xml:space="preserve">HP-BAE | Phone Mod - 26051301</t>
  </si>
  <si>
    <t xml:space="preserve">BAE Systems Australia</t>
  </si>
  <si>
    <t xml:space="preserve">26051301</t>
  </si>
  <si>
    <t xml:space="preserve">APA Town Hall 11.9.25</t>
  </si>
  <si>
    <t xml:space="preserve">25091007</t>
  </si>
  <si>
    <t xml:space="preserve">AGM 11.11.2025</t>
  </si>
  <si>
    <t xml:space="preserve">25092903</t>
  </si>
  <si>
    <t xml:space="preserve">CHESS Replace Comm 3.9.25</t>
  </si>
  <si>
    <t xml:space="preserve">25082703</t>
  </si>
  <si>
    <t xml:space="preserve">PwC Peripherals Box Sale AUG25</t>
  </si>
  <si>
    <t xml:space="preserve">25082202</t>
  </si>
  <si>
    <t xml:space="preserve">Aware | SYD 28.06 Services - 26062901</t>
  </si>
  <si>
    <t xml:space="preserve">26062901</t>
  </si>
  <si>
    <t xml:space="preserve">PWC - Tax &amp; Legal Webcast</t>
  </si>
  <si>
    <t xml:space="preserve">26062201</t>
  </si>
  <si>
    <t xml:space="preserve">Fund Advisors Audio Op - 3 9 25</t>
  </si>
  <si>
    <t xml:space="preserve">25091001</t>
  </si>
  <si>
    <t xml:space="preserve">HUB24 AGM 20.11.25</t>
  </si>
  <si>
    <t xml:space="preserve">2507802</t>
  </si>
  <si>
    <t xml:space="preserve">25081902</t>
  </si>
  <si>
    <t xml:space="preserve">Elkiem - Studio Support 15.4.26</t>
  </si>
  <si>
    <t xml:space="preserve">2604703</t>
  </si>
  <si>
    <t xml:space="preserve">Ventia - Half Year Results Briefing - 24.8.26</t>
  </si>
  <si>
    <t xml:space="preserve">26071501</t>
  </si>
  <si>
    <t xml:space="preserve">Aware | MEL 17.02 Amp Replacement - 26072101</t>
  </si>
  <si>
    <t xml:space="preserve">26072101</t>
  </si>
  <si>
    <t xml:space="preserve">SVHA - International Nurses Day - 12.5.26</t>
  </si>
  <si>
    <t xml:space="preserve">St. Vincent's Private Hospital (SVPH)</t>
  </si>
  <si>
    <t xml:space="preserve">2603102</t>
  </si>
  <si>
    <t xml:space="preserve">Event Support Technician</t>
  </si>
  <si>
    <t xml:space="preserve">26082801</t>
  </si>
  <si>
    <t xml:space="preserve">PWC Melbourne Support | Additional Tech 18th of Nov till 18th of Dec</t>
  </si>
  <si>
    <t xml:space="preserve">25111303</t>
  </si>
  <si>
    <t xml:space="preserve">MEL_Bluetooth Audio - 26033004</t>
  </si>
  <si>
    <t xml:space="preserve">26033004</t>
  </si>
  <si>
    <t xml:space="preserve">CHESS Replacement Committee Aug 2025</t>
  </si>
  <si>
    <t xml:space="preserve">25072502</t>
  </si>
  <si>
    <t xml:space="preserve">Charity Golf Classic Highlights Video 2026</t>
  </si>
  <si>
    <t xml:space="preserve">26011501</t>
  </si>
  <si>
    <t xml:space="preserve">HYR Investor Briefing 2026</t>
  </si>
  <si>
    <t xml:space="preserve">26011411</t>
  </si>
  <si>
    <t xml:space="preserve">The Leadership Program Brand Video</t>
  </si>
  <si>
    <t xml:space="preserve">2601701</t>
  </si>
  <si>
    <t xml:space="preserve">Investor Day Tech Syd &amp; Melb - 8 &amp; 11.25</t>
  </si>
  <si>
    <t xml:space="preserve">2510208</t>
  </si>
  <si>
    <t xml:space="preserve">Regal Partners AGM 18.11.2025</t>
  </si>
  <si>
    <t xml:space="preserve">2510705</t>
  </si>
  <si>
    <t xml:space="preserve">RSNSW Ordinary General Meeting 8.4.26</t>
  </si>
  <si>
    <t xml:space="preserve">2512802</t>
  </si>
  <si>
    <t xml:space="preserve">Vega Global - Studio Support - 30.3.26</t>
  </si>
  <si>
    <t xml:space="preserve">26033002</t>
  </si>
  <si>
    <t xml:space="preserve">Deloitte Tech Support - Sports Investment Summit 25/11</t>
  </si>
  <si>
    <t xml:space="preserve">25112401</t>
  </si>
  <si>
    <t xml:space="preserve">PWC - Event Technician - 30.7.26</t>
  </si>
  <si>
    <t xml:space="preserve">26072904</t>
  </si>
  <si>
    <t xml:space="preserve">26073102</t>
  </si>
  <si>
    <t xml:space="preserve">Dimensional - AV Support - 3&amp;4.6.26</t>
  </si>
  <si>
    <t xml:space="preserve">2605801</t>
  </si>
  <si>
    <t xml:space="preserve">Dimensional Fund Advisors Audio Op - 5 8 25</t>
  </si>
  <si>
    <t xml:space="preserve">2508703</t>
  </si>
  <si>
    <t xml:space="preserve">PWC - Early Careers Webcast - 29.7.26</t>
  </si>
  <si>
    <t xml:space="preserve">26062202</t>
  </si>
  <si>
    <t xml:space="preserve">Optiver - Town Hall - 11.12.2025</t>
  </si>
  <si>
    <t xml:space="preserve">25112002</t>
  </si>
  <si>
    <t xml:space="preserve">CEO Connect (Extended Results) 3.3.26</t>
  </si>
  <si>
    <t xml:space="preserve">26011403</t>
  </si>
  <si>
    <t xml:space="preserve">Ventia IS x-Leadership Team 25.2.25</t>
  </si>
  <si>
    <t xml:space="preserve">26021601</t>
  </si>
  <si>
    <t xml:space="preserve">Elkiem - Studio Support - 28.4.26</t>
  </si>
  <si>
    <t xml:space="preserve">26042002</t>
  </si>
  <si>
    <t xml:space="preserve">Proxyclick VMS Renewal - Brisbane and Darwin</t>
  </si>
  <si>
    <t xml:space="preserve">25070702</t>
  </si>
  <si>
    <t xml:space="preserve">Virgin - FYR 2026 (BNE) - 28.8.26</t>
  </si>
  <si>
    <t xml:space="preserve">2606903</t>
  </si>
  <si>
    <t xml:space="preserve">PWC - NRW Webcast - 11.6.26</t>
  </si>
  <si>
    <t xml:space="preserve">2606401</t>
  </si>
  <si>
    <t xml:space="preserve">Pool of hours for National AV Support - 02/2026</t>
  </si>
  <si>
    <t xml:space="preserve">26032402</t>
  </si>
  <si>
    <t xml:space="preserve">Aware | SYD Occupancy Sensors - 26062902</t>
  </si>
  <si>
    <t xml:space="preserve">26062902</t>
  </si>
  <si>
    <t xml:space="preserve">ChorusCall - Regal Partners AGM - 28.5.26</t>
  </si>
  <si>
    <t xml:space="preserve">26032501</t>
  </si>
  <si>
    <t xml:space="preserve">Ventia - Transport Australia + Ventia Networking- 6.5.26</t>
  </si>
  <si>
    <t xml:space="preserve">26032702</t>
  </si>
  <si>
    <t xml:space="preserve">DEWR - Studio Upgrade - Consulting, Design</t>
  </si>
  <si>
    <t xml:space="preserve">Department of Employment &amp; Workplace Relations (DEWR)</t>
  </si>
  <si>
    <t xml:space="preserve">25102701</t>
  </si>
  <si>
    <t xml:space="preserve">APA - Half &amp; Full Year Investor Briefing - 2026</t>
  </si>
  <si>
    <t xml:space="preserve">25121208</t>
  </si>
  <si>
    <t xml:space="preserve">Elkiem - Studio Support - 16.9.26</t>
  </si>
  <si>
    <t xml:space="preserve">2609801</t>
  </si>
  <si>
    <t xml:space="preserve">2604802</t>
  </si>
  <si>
    <t xml:space="preserve">ASX - CHESS Replacement Comms 03.12.25</t>
  </si>
  <si>
    <t xml:space="preserve">2512401</t>
  </si>
  <si>
    <t xml:space="preserve">MUFG -SUN FYR26 - 12.8.26</t>
  </si>
  <si>
    <t xml:space="preserve">26061104</t>
  </si>
  <si>
    <t xml:space="preserve">APA | ADL Eptura ProxyClick Renewal - 2605701</t>
  </si>
  <si>
    <t xml:space="preserve">2605701</t>
  </si>
  <si>
    <t xml:space="preserve">PWC -Tax &amp; Legal Webcast 10.3.26</t>
  </si>
  <si>
    <t xml:space="preserve">2602305</t>
  </si>
  <si>
    <t xml:space="preserve">Elkiem Studio Support 15.7.26</t>
  </si>
  <si>
    <t xml:space="preserve">2605802</t>
  </si>
  <si>
    <t xml:space="preserve">Garvan - CTF - 12.5.26</t>
  </si>
  <si>
    <t xml:space="preserve">26041002</t>
  </si>
  <si>
    <t xml:space="preserve">Symal - FYR26 (Melb) - 24.8.26</t>
  </si>
  <si>
    <t xml:space="preserve">2606904</t>
  </si>
  <si>
    <t xml:space="preserve">Perth AV &amp; Hospitality Technician (SEP26-FEB27)</t>
  </si>
  <si>
    <t xml:space="preserve">26073103</t>
  </si>
  <si>
    <t xml:space="preserve">APA MEL - iPad &amp; Bouncepad Sale</t>
  </si>
  <si>
    <t xml:space="preserve">25112801</t>
  </si>
  <si>
    <t xml:space="preserve">2603201 - Tech Support Melbourne - Change Makers Event</t>
  </si>
  <si>
    <t xml:space="preserve">2603201</t>
  </si>
  <si>
    <t xml:space="preserve">RSNSW - Ord Gen Meet 6.8.25</t>
  </si>
  <si>
    <t xml:space="preserve">25072503</t>
  </si>
  <si>
    <t xml:space="preserve">PWC - Studio Webcast - 30.3.26</t>
  </si>
  <si>
    <t xml:space="preserve">26031901</t>
  </si>
  <si>
    <t xml:space="preserve">Garvan - Morning Tea Event - 31.7.26</t>
  </si>
  <si>
    <t xml:space="preserve">26061702</t>
  </si>
  <si>
    <t xml:space="preserve">ASX’s Advisory Group on Corporate Governance</t>
  </si>
  <si>
    <t xml:space="preserve">26072906</t>
  </si>
  <si>
    <t xml:space="preserve">Integrated Res AGM 24.11.25</t>
  </si>
  <si>
    <t xml:space="preserve">2510802</t>
  </si>
  <si>
    <t xml:space="preserve">RSNSW Ordinary General Meeting 3.6.26</t>
  </si>
  <si>
    <t xml:space="preserve">2512803</t>
  </si>
  <si>
    <t xml:space="preserve">St Catherines Case Study Video</t>
  </si>
  <si>
    <t xml:space="preserve">2606906</t>
  </si>
  <si>
    <t xml:space="preserve">CBA - FYR26 - 12.8.26</t>
  </si>
  <si>
    <t xml:space="preserve">26061105</t>
  </si>
  <si>
    <t xml:space="preserve">Deloitte Tech Support -2026 ESNSW CBA Forum_2605706</t>
  </si>
  <si>
    <t xml:space="preserve">2605706</t>
  </si>
  <si>
    <t xml:space="preserve">Garvan - Suttons Event - 15.10.26</t>
  </si>
  <si>
    <t xml:space="preserve">2608402</t>
  </si>
  <si>
    <t xml:space="preserve">CHESS Replace Comm 8.10.25</t>
  </si>
  <si>
    <t xml:space="preserve">25091702</t>
  </si>
  <si>
    <t xml:space="preserve">Ventia - Investor Day - 4.5.2026</t>
  </si>
  <si>
    <t xml:space="preserve">2604203</t>
  </si>
  <si>
    <t xml:space="preserve">Garvan - April Morning Tea - 10.4.26</t>
  </si>
  <si>
    <t xml:space="preserve">26032002</t>
  </si>
  <si>
    <t xml:space="preserve">VEGA - Lighting Hire - 24.11.2025</t>
  </si>
  <si>
    <t xml:space="preserve">25112003</t>
  </si>
  <si>
    <t xml:space="preserve">AusPayNet | Quarterly AV Support &amp; Maintenance 2026</t>
  </si>
  <si>
    <t xml:space="preserve">2026021101</t>
  </si>
  <si>
    <t xml:space="preserve">NXT AGM - 13.11.25</t>
  </si>
  <si>
    <t xml:space="preserve">2510209</t>
  </si>
  <si>
    <t xml:space="preserve">MeetMagic - Human AI Event Highlights Videos</t>
  </si>
  <si>
    <t xml:space="preserve">26052101</t>
  </si>
  <si>
    <t xml:space="preserve">Fund Advisors Audio Op - 11 &amp; 12 9 25</t>
  </si>
  <si>
    <t xml:space="preserve">25091002</t>
  </si>
  <si>
    <t xml:space="preserve">CEO Connect (Extended Results) 1.9.26</t>
  </si>
  <si>
    <t xml:space="preserve">26011404</t>
  </si>
  <si>
    <t xml:space="preserve">Ventia HY25 Results Briefing 19.2.2026</t>
  </si>
  <si>
    <t xml:space="preserve">25121601</t>
  </si>
  <si>
    <t xml:space="preserve">Symal Financial Results 26.08.25</t>
  </si>
  <si>
    <t xml:space="preserve">2507108</t>
  </si>
  <si>
    <t xml:space="preserve">Vega Global - Payments Forum - 17.9.26</t>
  </si>
  <si>
    <t xml:space="preserve">26081101</t>
  </si>
  <si>
    <t xml:space="preserve">CoS | Barco E3 Sale - 25111203</t>
  </si>
  <si>
    <t xml:space="preserve">25111203</t>
  </si>
  <si>
    <t xml:space="preserve">Closed Lost ( 117 )</t>
  </si>
  <si>
    <t xml:space="preserve">Aware | Melbourne Display Temporary Swap</t>
  </si>
  <si>
    <t xml:space="preserve">2610702</t>
  </si>
  <si>
    <t xml:space="preserve">Audio Op #2 (Jaaz) - 12 11 25</t>
  </si>
  <si>
    <t xml:space="preserve">25111101</t>
  </si>
  <si>
    <t xml:space="preserve">Conservatorium of Music Lighting Upgrade</t>
  </si>
  <si>
    <t xml:space="preserve">MM Electrical Merchandising</t>
  </si>
  <si>
    <t xml:space="preserve">25101302</t>
  </si>
  <si>
    <t xml:space="preserve">PWC - Firmwide Webcast - 20.8.26</t>
  </si>
  <si>
    <t xml:space="preserve">2608403</t>
  </si>
  <si>
    <t xml:space="preserve">3 x LED wall box sale - 2603203</t>
  </si>
  <si>
    <t xml:space="preserve">ANZ</t>
  </si>
  <si>
    <t xml:space="preserve">2603203</t>
  </si>
  <si>
    <t xml:space="preserve">APA New Melbourne Office Consultation from production Team - 26051503</t>
  </si>
  <si>
    <t xml:space="preserve">26051503</t>
  </si>
  <si>
    <t xml:space="preserve">Mid Year Charity Highlights Video 2026</t>
  </si>
  <si>
    <t xml:space="preserve">2602603</t>
  </si>
  <si>
    <t xml:space="preserve">C3 Church system design - 26031201</t>
  </si>
  <si>
    <t xml:space="preserve">PTS Consulting</t>
  </si>
  <si>
    <t xml:space="preserve">26031201</t>
  </si>
  <si>
    <t xml:space="preserve">Lander &amp; Rogers - Seminar Event - 26.3.26</t>
  </si>
  <si>
    <t xml:space="preserve">Lander &amp; Rogers</t>
  </si>
  <si>
    <t xml:space="preserve">26032503</t>
  </si>
  <si>
    <t xml:space="preserve">Optiver - AV Support - 26.5.26</t>
  </si>
  <si>
    <t xml:space="preserve">2605601</t>
  </si>
  <si>
    <t xml:space="preserve">Touchpoints - Wall mount kits for CCX400</t>
  </si>
  <si>
    <t xml:space="preserve">25103102</t>
  </si>
  <si>
    <t xml:space="preserve">PWC Ops Stage &amp; Drape Supply</t>
  </si>
  <si>
    <t xml:space="preserve">25092401</t>
  </si>
  <si>
    <t xml:space="preserve">Jetstar On-site Resource/s - 2601901</t>
  </si>
  <si>
    <t xml:space="preserve">2601901</t>
  </si>
  <si>
    <t xml:space="preserve">HP-Calvary Flexi-Space AV Upgrade - (CA200305) - 26031004</t>
  </si>
  <si>
    <t xml:space="preserve">26031004</t>
  </si>
  <si>
    <t xml:space="preserve">Studio Fitout - 26021703</t>
  </si>
  <si>
    <t xml:space="preserve">26021703</t>
  </si>
  <si>
    <t xml:space="preserve">PWC Adelaide LED uplight purchase</t>
  </si>
  <si>
    <t xml:space="preserve">2511601</t>
  </si>
  <si>
    <t xml:space="preserve">Perth Office Upgrade</t>
  </si>
  <si>
    <t xml:space="preserve">2511301</t>
  </si>
  <si>
    <t xml:space="preserve">TWG - Brisbane Technician - 05/05/26 - 08/05/26_26041601</t>
  </si>
  <si>
    <t xml:space="preserve">26041601</t>
  </si>
  <si>
    <t xml:space="preserve">ICC - AV Tech Support - 13.8.26</t>
  </si>
  <si>
    <t xml:space="preserve">26072002</t>
  </si>
  <si>
    <t xml:space="preserve">AV Witness Testing - 26031202</t>
  </si>
  <si>
    <t xml:space="preserve">26031202</t>
  </si>
  <si>
    <t xml:space="preserve">HP-PMI | Multiple Rooms MCS Install - 26032601</t>
  </si>
  <si>
    <t xml:space="preserve">26032601</t>
  </si>
  <si>
    <t xml:space="preserve">DTTL ITS consulting engagement - 2603301</t>
  </si>
  <si>
    <t xml:space="preserve">2603301</t>
  </si>
  <si>
    <t xml:space="preserve">Optiver - AV Support - 9.6.26</t>
  </si>
  <si>
    <t xml:space="preserve">2605602</t>
  </si>
  <si>
    <t xml:space="preserve">APA ADL - Brother Printer and Labels</t>
  </si>
  <si>
    <t xml:space="preserve">25121901</t>
  </si>
  <si>
    <t xml:space="preserve">Garvan - Forever Young Cocktail Event - 10.9.26</t>
  </si>
  <si>
    <t xml:space="preserve">2607702</t>
  </si>
  <si>
    <t xml:space="preserve">IDG - Shell House Screen Hire - 25.7.26</t>
  </si>
  <si>
    <t xml:space="preserve">Integrated Design Group</t>
  </si>
  <si>
    <t xml:space="preserve">2603107</t>
  </si>
  <si>
    <t xml:space="preserve">Company X - 3yr Maintenance Contract | 2603101</t>
  </si>
  <si>
    <t xml:space="preserve">2603101</t>
  </si>
  <si>
    <t xml:space="preserve">DFAT Elevations</t>
  </si>
  <si>
    <t xml:space="preserve">Department of Foreign Affairs and Trade</t>
  </si>
  <si>
    <t xml:space="preserve">25112802</t>
  </si>
  <si>
    <t xml:space="preserve">TWG - Brisbane Technician - 05/05/26 - 08/05/26 &amp; 11/05/26 - 15/05/26_26041602</t>
  </si>
  <si>
    <t xml:space="preserve">26041602</t>
  </si>
  <si>
    <t xml:space="preserve">DTTL - Naidoc Event - 23.7.26</t>
  </si>
  <si>
    <t xml:space="preserve">26071302</t>
  </si>
  <si>
    <t xml:space="preserve">ChorusCall (GrowthPoint) - Video and Lighting Equipment supply</t>
  </si>
  <si>
    <t xml:space="preserve">25101303</t>
  </si>
  <si>
    <t xml:space="preserve">Law Partners Q1 Meeting</t>
  </si>
  <si>
    <t xml:space="preserve">Law Partners</t>
  </si>
  <si>
    <t xml:space="preserve">2602201</t>
  </si>
  <si>
    <t xml:space="preserve">CSIRO - Careers Expo - 5.8.26</t>
  </si>
  <si>
    <t xml:space="preserve">26032504</t>
  </si>
  <si>
    <t xml:space="preserve">Optiver - AV Support - 23.6.26</t>
  </si>
  <si>
    <t xml:space="preserve">2605603</t>
  </si>
  <si>
    <t xml:space="preserve">UNE AV Consultancy Services - 26041401</t>
  </si>
  <si>
    <t xml:space="preserve">University of New England</t>
  </si>
  <si>
    <t xml:space="preserve">26041401</t>
  </si>
  <si>
    <t xml:space="preserve">Stone &amp; Chalk - Swytch cable replacement</t>
  </si>
  <si>
    <t xml:space="preserve">25101001</t>
  </si>
  <si>
    <t xml:space="preserve">Arties Awards</t>
  </si>
  <si>
    <t xml:space="preserve">25082201</t>
  </si>
  <si>
    <t xml:space="preserve">Aware | SYD Seminar Rm - 2605805</t>
  </si>
  <si>
    <t xml:space="preserve">2605805</t>
  </si>
  <si>
    <t xml:space="preserve">Chorus Call - IRL AGM - 25.11.26</t>
  </si>
  <si>
    <t xml:space="preserve">26081902</t>
  </si>
  <si>
    <t xml:space="preserve">Ventia - Next Leader Conference - 10.8.26</t>
  </si>
  <si>
    <t xml:space="preserve">26061601</t>
  </si>
  <si>
    <t xml:space="preserve">Ring The Bell Ceremony - 30 7 25</t>
  </si>
  <si>
    <t xml:space="preserve">UN Global Compact Network Australia</t>
  </si>
  <si>
    <t xml:space="preserve">25071604</t>
  </si>
  <si>
    <t xml:space="preserve">DTTL - Mardi Gras/Vivid - 27.5.26</t>
  </si>
  <si>
    <t xml:space="preserve">26051101</t>
  </si>
  <si>
    <t xml:space="preserve">Board Room Uplift - 26021801</t>
  </si>
  <si>
    <t xml:space="preserve">National Pharmacies</t>
  </si>
  <si>
    <t xml:space="preserve">26021801</t>
  </si>
  <si>
    <t xml:space="preserve">HP_CremorneVicMCS - 26032603</t>
  </si>
  <si>
    <t xml:space="preserve">26032603</t>
  </si>
  <si>
    <t xml:space="preserve">Remondis | FPD Anti-Glare Recommendations - 26071502</t>
  </si>
  <si>
    <t xml:space="preserve">26071502</t>
  </si>
  <si>
    <t xml:space="preserve">Wayflyer | AV Install - 26041404</t>
  </si>
  <si>
    <t xml:space="preserve">Wayflyer</t>
  </si>
  <si>
    <t xml:space="preserve">26041404</t>
  </si>
  <si>
    <t xml:space="preserve">EY - Event Support Tech (BNE) - 7.10.26</t>
  </si>
  <si>
    <t xml:space="preserve">26072905</t>
  </si>
  <si>
    <t xml:space="preserve">Ops Drape Supply</t>
  </si>
  <si>
    <t xml:space="preserve">2507101</t>
  </si>
  <si>
    <t xml:space="preserve">City of Sydney PA Renewal</t>
  </si>
  <si>
    <t xml:space="preserve">25111701</t>
  </si>
  <si>
    <t xml:space="preserve">Listed@ASX with [Unknown]</t>
  </si>
  <si>
    <t xml:space="preserve">2604701</t>
  </si>
  <si>
    <t xml:space="preserve">Sydney AV Technologies - OTIS Townhall - 15.8.26</t>
  </si>
  <si>
    <t xml:space="preserve">Sydney AV Technoloies</t>
  </si>
  <si>
    <t xml:space="preserve">26071305</t>
  </si>
  <si>
    <t xml:space="preserve">Elkiem - Studio Support - 9.9.26</t>
  </si>
  <si>
    <t xml:space="preserve">26071402</t>
  </si>
  <si>
    <t xml:space="preserve">Elkiem - Studio Support - 9.6.26</t>
  </si>
  <si>
    <t xml:space="preserve">2604804</t>
  </si>
  <si>
    <t xml:space="preserve">Dexus - Unnamed Client Event Recording</t>
  </si>
  <si>
    <t xml:space="preserve">2606501</t>
  </si>
  <si>
    <t xml:space="preserve">Dexus - AV Event 13.5.2026</t>
  </si>
  <si>
    <t xml:space="preserve">26022701</t>
  </si>
  <si>
    <t xml:space="preserve">TLC - 2026 AGM - Event Highlights Video 14.10.2026</t>
  </si>
  <si>
    <t xml:space="preserve">26091004</t>
  </si>
  <si>
    <t xml:space="preserve">Sante Group - Meeting Room refresh</t>
  </si>
  <si>
    <t xml:space="preserve">Sante Group</t>
  </si>
  <si>
    <t xml:space="preserve">25081401</t>
  </si>
  <si>
    <t xml:space="preserve">Ventia - Auckland Events Office - 14.9.26</t>
  </si>
  <si>
    <t xml:space="preserve">26061603</t>
  </si>
  <si>
    <t xml:space="preserve">Elkiem - Studio Support - 4.11.26</t>
  </si>
  <si>
    <t xml:space="preserve">26071403</t>
  </si>
  <si>
    <t xml:space="preserve">Brain Chip - Investor Day - Late August</t>
  </si>
  <si>
    <t xml:space="preserve">Brain Chip</t>
  </si>
  <si>
    <t xml:space="preserve">2608703</t>
  </si>
  <si>
    <t xml:space="preserve">Ootoz Camera Kit Hire 20.02.2026</t>
  </si>
  <si>
    <t xml:space="preserve">26021701</t>
  </si>
  <si>
    <t xml:space="preserve">Adamantem Capital Highlights Video</t>
  </si>
  <si>
    <t xml:space="preserve">Adamantem Capital</t>
  </si>
  <si>
    <t xml:space="preserve">25091603</t>
  </si>
  <si>
    <t xml:space="preserve">Ventia - Brisbane Depot Event - 15.10.26</t>
  </si>
  <si>
    <t xml:space="preserve">26061604</t>
  </si>
  <si>
    <t xml:space="preserve">ASX - FY26 Financial Results Pre-Recording</t>
  </si>
  <si>
    <t xml:space="preserve">26071401</t>
  </si>
  <si>
    <t xml:space="preserve">ASX - Business Meeting - 27.5.26</t>
  </si>
  <si>
    <t xml:space="preserve">26051401</t>
  </si>
  <si>
    <t xml:space="preserve">St Luke's | Audio Mixing Desk Supply - 2608601</t>
  </si>
  <si>
    <t xml:space="preserve">St Luke's LIverpool</t>
  </si>
  <si>
    <t xml:space="preserve">2608601</t>
  </si>
  <si>
    <t xml:space="preserve">PWC Melbourne Support | 28th &amp; 29th July 2025</t>
  </si>
  <si>
    <t xml:space="preserve">25072301</t>
  </si>
  <si>
    <t xml:space="preserve">System Uplift (100 Harris) - 26012302</t>
  </si>
  <si>
    <t xml:space="preserve">Attcorp</t>
  </si>
  <si>
    <t xml:space="preserve">26012302</t>
  </si>
  <si>
    <t xml:space="preserve">Law Partners - Q3 Meeting - 29.5.2026</t>
  </si>
  <si>
    <t xml:space="preserve">2603401</t>
  </si>
  <si>
    <t xml:space="preserve">Elkiem - Studio Support - 9.7.26</t>
  </si>
  <si>
    <t xml:space="preserve">2606102</t>
  </si>
  <si>
    <t xml:space="preserve">Ingenia Site Promotional Video</t>
  </si>
  <si>
    <t xml:space="preserve">Ingenia Communities Group</t>
  </si>
  <si>
    <t xml:space="preserve">2603407</t>
  </si>
  <si>
    <t xml:space="preserve">CoS - Live Events Tender 2026</t>
  </si>
  <si>
    <t xml:space="preserve">26041403</t>
  </si>
  <si>
    <t xml:space="preserve">Elkiem - Studio Support - 28.7.26</t>
  </si>
  <si>
    <t xml:space="preserve">26071306</t>
  </si>
  <si>
    <t xml:space="preserve">Ventia (MEL) - Town Hall Event - 8.5.26</t>
  </si>
  <si>
    <t xml:space="preserve">2605606</t>
  </si>
  <si>
    <t xml:space="preserve">Perth Display Decommissioning</t>
  </si>
  <si>
    <t xml:space="preserve">26091001</t>
  </si>
  <si>
    <t xml:space="preserve">Elkiem - Studio Support - 29.7.26</t>
  </si>
  <si>
    <t xml:space="preserve">26071307</t>
  </si>
  <si>
    <t xml:space="preserve">Architectus | AV Drawings - 2608602</t>
  </si>
  <si>
    <t xml:space="preserve">Architectus</t>
  </si>
  <si>
    <t xml:space="preserve">2608602</t>
  </si>
  <si>
    <t xml:space="preserve">Wayflyer | Headset Purchase - 2605608</t>
  </si>
  <si>
    <t xml:space="preserve">2605608</t>
  </si>
  <si>
    <t xml:space="preserve">Capital-e - Workato Event - 13 &amp; 14.10.26</t>
  </si>
  <si>
    <t xml:space="preserve">Capital-e</t>
  </si>
  <si>
    <t xml:space="preserve">2610802</t>
  </si>
  <si>
    <t xml:space="preserve">HP Poly Pakenham Professional Services</t>
  </si>
  <si>
    <t xml:space="preserve">Elkiem - Studio Support - 18.9.26</t>
  </si>
  <si>
    <t xml:space="preserve">26073106</t>
  </si>
  <si>
    <t xml:space="preserve">RACA EGM 30.10.25</t>
  </si>
  <si>
    <t xml:space="preserve">25091708</t>
  </si>
  <si>
    <t xml:space="preserve">26021201 - Scyne Canberra | Meeting Room Troubleshooting - Service Call</t>
  </si>
  <si>
    <t xml:space="preserve">26021201</t>
  </si>
  <si>
    <t xml:space="preserve">HP-PMI_Custom Rooms Install - 26032604</t>
  </si>
  <si>
    <t xml:space="preserve">26032604</t>
  </si>
  <si>
    <t xml:space="preserve">CSE - Sri Lanka Invest - 17.8.26</t>
  </si>
  <si>
    <t xml:space="preserve">Columbo Stock Exchange</t>
  </si>
  <si>
    <t xml:space="preserve">26061102</t>
  </si>
  <si>
    <t xml:space="preserve">Automic Client Breakfast</t>
  </si>
  <si>
    <t xml:space="preserve">2602202</t>
  </si>
  <si>
    <t xml:space="preserve">AusPayNet | AV Support -17th of February 2026</t>
  </si>
  <si>
    <t xml:space="preserve">2602303</t>
  </si>
  <si>
    <t xml:space="preserve">Mardi Gras Bingo</t>
  </si>
  <si>
    <t xml:space="preserve">26011901</t>
  </si>
  <si>
    <t xml:space="preserve">Sharp Screen Replacement Sydney</t>
  </si>
  <si>
    <t xml:space="preserve">25091502</t>
  </si>
  <si>
    <t xml:space="preserve">KWM Melbourne Event - 26.8.2026</t>
  </si>
  <si>
    <t xml:space="preserve">26072803</t>
  </si>
  <si>
    <t xml:space="preserve">AV Support Contract (3-years) | 26051403</t>
  </si>
  <si>
    <t xml:space="preserve">TRANSGRID</t>
  </si>
  <si>
    <t xml:space="preserve">26051403</t>
  </si>
  <si>
    <t xml:space="preserve">Vega Global - Event Support - 13/14.10.26</t>
  </si>
  <si>
    <t xml:space="preserve">2610602</t>
  </si>
  <si>
    <t xml:space="preserve">HP-D3 | Austrac Phone Mods x72 - 26091602</t>
  </si>
  <si>
    <t xml:space="preserve">26091602</t>
  </si>
  <si>
    <t xml:space="preserve">Generate</t>
  </si>
  <si>
    <t xml:space="preserve">Generate Property Group</t>
  </si>
  <si>
    <t xml:space="preserve">2602502</t>
  </si>
  <si>
    <t xml:space="preserve">DTTL Perth | Projector Lamp purchase</t>
  </si>
  <si>
    <t xml:space="preserve">Deloitte - Perth</t>
  </si>
  <si>
    <t xml:space="preserve">25091501</t>
  </si>
  <si>
    <t xml:space="preserve">Melbourne Technician coverage -AUG/SEP</t>
  </si>
  <si>
    <t xml:space="preserve">26073101</t>
  </si>
  <si>
    <t xml:space="preserve">Studio Refresh Discovery Phase</t>
  </si>
  <si>
    <t xml:space="preserve">25081901</t>
  </si>
  <si>
    <t xml:space="preserve">HP-Calvary 36Month Support Rate Card - 26042102</t>
  </si>
  <si>
    <t xml:space="preserve">26042102</t>
  </si>
  <si>
    <t xml:space="preserve">Wingecarribee Shire Council RFP</t>
  </si>
  <si>
    <t xml:space="preserve">2510901</t>
  </si>
  <si>
    <t xml:space="preserve">Room Design Service (MEL) - 26031003</t>
  </si>
  <si>
    <t xml:space="preserve">26031003</t>
  </si>
  <si>
    <t xml:space="preserve">Circadia - Circadia Elevate - 14.8.26</t>
  </si>
  <si>
    <t xml:space="preserve">Circadia Australia</t>
  </si>
  <si>
    <t xml:space="preserve">26061103</t>
  </si>
  <si>
    <t xml:space="preserve">SydCustomJoinery | Rack Quote - 26073108</t>
  </si>
  <si>
    <t xml:space="preserve">Sydney Custom Joinery</t>
  </si>
  <si>
    <t xml:space="preserve">26073108</t>
  </si>
  <si>
    <t xml:space="preserve">Deloitte Tech Support - 28th of November 25</t>
  </si>
  <si>
    <t xml:space="preserve">2510207</t>
  </si>
  <si>
    <t xml:space="preserve">HP-Optus Phone Modification - 26051502</t>
  </si>
  <si>
    <t xml:space="preserve">Ingram Micro</t>
  </si>
  <si>
    <t xml:space="preserve">26051502</t>
  </si>
  <si>
    <t xml:space="preserve">QBE - AFL Grand Final Event - 25.9.26</t>
  </si>
  <si>
    <t xml:space="preserve">2607902</t>
  </si>
  <si>
    <t xml:space="preserve">SoundCredit.TV - OnSite Edit - 28/29.7.26</t>
  </si>
  <si>
    <t xml:space="preserve">26062502</t>
  </si>
  <si>
    <t xml:space="preserve">25121801 - AV Support RFP</t>
  </si>
  <si>
    <t xml:space="preserve">Australian Payments Plus</t>
  </si>
  <si>
    <t xml:space="preserve">25121801</t>
  </si>
  <si>
    <t xml:space="preserve">TWG - Sydney Technician - 09/02/2026 - 13/03/2026</t>
  </si>
  <si>
    <t xml:space="preserve">26012701</t>
  </si>
  <si>
    <t xml:space="preserve">Visagio | VC Upgrade - 2605705</t>
  </si>
  <si>
    <t xml:space="preserve">Visagio</t>
  </si>
  <si>
    <t xml:space="preserve">2605705</t>
  </si>
  <si>
    <t xml:space="preserve">CBA - L&amp;GS Forum - 25.8.26</t>
  </si>
  <si>
    <t xml:space="preserve">2608605</t>
  </si>
  <si>
    <t xml:space="preserve">MultiFunction Room Upgrade x3 (MEL) | 26052903</t>
  </si>
  <si>
    <t xml:space="preserve">26052903</t>
  </si>
  <si>
    <t xml:space="preserve">CBA - Matt Comyn Town Hall (Perth) - 15.7.26</t>
  </si>
  <si>
    <t xml:space="preserve">26062504</t>
  </si>
  <si>
    <t xml:space="preserve">ASX Client Case Studies Videos FY27</t>
  </si>
  <si>
    <t xml:space="preserve">26022001</t>
  </si>
  <si>
    <t xml:space="preserve">Kirra | AFP Tender Support - 26073001</t>
  </si>
  <si>
    <t xml:space="preserve">26073001</t>
  </si>
  <si>
    <t xml:space="preserve">HP-Telstra | CSIRO Phone Mod - 2608301</t>
  </si>
  <si>
    <t xml:space="preserve">2608301</t>
  </si>
  <si>
    <t xml:space="preserve">Mirvac FYR 15.8.25</t>
  </si>
  <si>
    <t xml:space="preserve">Notified</t>
  </si>
  <si>
    <t xml:space="preserve">25073006</t>
  </si>
  <si>
    <t xml:space="preserve">ASX MTM Schroders Social Media Video</t>
  </si>
  <si>
    <t xml:space="preserve">26042103</t>
  </si>
  <si>
    <t xml:space="preserve">Verbal Approval ( 14 )</t>
  </si>
  <si>
    <t xml:space="preserve">Automic - Noumi LTD AGM - 5.11.26</t>
  </si>
  <si>
    <t xml:space="preserve">2609803</t>
  </si>
  <si>
    <t xml:space="preserve">The George Institute - Sydney Cardiovascular Symposium - 29 &amp; 30.10.26</t>
  </si>
  <si>
    <t xml:space="preserve">The George Institute</t>
  </si>
  <si>
    <t xml:space="preserve">26091604</t>
  </si>
  <si>
    <t xml:space="preserve">TLC - 2026 AGM - Photography 14.10.2026</t>
  </si>
  <si>
    <t xml:space="preserve">26091003</t>
  </si>
  <si>
    <t xml:space="preserve">Cochlear - AGM - 26.10.26</t>
  </si>
  <si>
    <t xml:space="preserve">2603105</t>
  </si>
  <si>
    <t xml:space="preserve">MUFG - IBM Ltd AGM - 27.10.26</t>
  </si>
  <si>
    <t xml:space="preserve">26061605</t>
  </si>
  <si>
    <t xml:space="preserve">MUFG - Endeavour AGM - 30.10.26</t>
  </si>
  <si>
    <t xml:space="preserve">26061606</t>
  </si>
  <si>
    <t xml:space="preserve">3YS Owls - Governance Top 100 2026 - 30.10.26</t>
  </si>
  <si>
    <t xml:space="preserve">26032502</t>
  </si>
  <si>
    <t xml:space="preserve">Garvan - Morning Tea Event - 20.11.26</t>
  </si>
  <si>
    <t xml:space="preserve">26062301</t>
  </si>
  <si>
    <t xml:space="preserve">CBA - AGM 2027 -</t>
  </si>
  <si>
    <t xml:space="preserve">26061202</t>
  </si>
  <si>
    <t xml:space="preserve">APA - Qtly All Hands (Perth) - May 27'</t>
  </si>
  <si>
    <t xml:space="preserve">26061609</t>
  </si>
  <si>
    <t xml:space="preserve">CBA - LES - October 2026</t>
  </si>
  <si>
    <t xml:space="preserve">26092105</t>
  </si>
  <si>
    <t xml:space="preserve">SLHD - AGM - 2.12.26</t>
  </si>
  <si>
    <t xml:space="preserve">Sydney Local Health District</t>
  </si>
  <si>
    <t xml:space="preserve">2609301</t>
  </si>
  <si>
    <t xml:space="preserve">MUFG - SUN Investor Day - 29.10.26</t>
  </si>
  <si>
    <t xml:space="preserve">2609402</t>
  </si>
  <si>
    <t xml:space="preserve">TLC - 2026 AGM - 14.10.26</t>
  </si>
  <si>
    <t xml:space="preserve">26082402</t>
  </si>
  <si>
    <t xml:space="preserve">Building Value Proposition ( 28 )</t>
  </si>
  <si>
    <t xml:space="preserve">St Lukes | Audio System Supply - OPP</t>
  </si>
  <si>
    <t xml:space="preserve">26092901</t>
  </si>
  <si>
    <t xml:space="preserve">Downer - 2026 AGM - 11.11.26</t>
  </si>
  <si>
    <t xml:space="preserve">26082403</t>
  </si>
  <si>
    <t xml:space="preserve">Audio-Visual Services for Client Services Events | 26051501</t>
  </si>
  <si>
    <t xml:space="preserve">26051501</t>
  </si>
  <si>
    <t xml:space="preserve">Aware Super - SLHD AGM - 2.12.26</t>
  </si>
  <si>
    <t xml:space="preserve">26082705</t>
  </si>
  <si>
    <t xml:space="preserve">Innovation Centre</t>
  </si>
  <si>
    <t xml:space="preserve">26092302</t>
  </si>
  <si>
    <t xml:space="preserve">EY - Feb Event Support - 12.2.26</t>
  </si>
  <si>
    <t xml:space="preserve">26092301</t>
  </si>
  <si>
    <t xml:space="preserve">Sequoia - Client AGM - 26.11.26</t>
  </si>
  <si>
    <t xml:space="preserve">Sequoia Financial Group Limited</t>
  </si>
  <si>
    <t xml:space="preserve">26091703</t>
  </si>
  <si>
    <t xml:space="preserve">DEWR Theatre / Possum Room link</t>
  </si>
  <si>
    <t xml:space="preserve">26081401</t>
  </si>
  <si>
    <t xml:space="preserve">Phillip Street Resturaunt - Melbourne Cup Event - 3.11.26</t>
  </si>
  <si>
    <t xml:space="preserve">Phillip St Restaurant</t>
  </si>
  <si>
    <t xml:space="preserve">26092201</t>
  </si>
  <si>
    <t xml:space="preserve">EHL - 2026 AGM - 19.11.26</t>
  </si>
  <si>
    <t xml:space="preserve">Emeco Group</t>
  </si>
  <si>
    <t xml:space="preserve">26091402</t>
  </si>
  <si>
    <t xml:space="preserve">AV &amp; VC Platform Services and Support - 2604101</t>
  </si>
  <si>
    <t xml:space="preserve">2604101</t>
  </si>
  <si>
    <t xml:space="preserve">ASX - Investor Day - 14.11.26</t>
  </si>
  <si>
    <t xml:space="preserve">2608106</t>
  </si>
  <si>
    <t xml:space="preserve">Cochlear - Capital Markets Day - 13.11.26</t>
  </si>
  <si>
    <t xml:space="preserve">2603106</t>
  </si>
  <si>
    <t xml:space="preserve">Ventia - Leaders Forum - 25.11.26</t>
  </si>
  <si>
    <t xml:space="preserve">26092902</t>
  </si>
  <si>
    <t xml:space="preserve">ASX - Investor Day - 21.11.26</t>
  </si>
  <si>
    <t xml:space="preserve">2608107</t>
  </si>
  <si>
    <t xml:space="preserve">Chorus Call - Regal Funds AGM - 17.11.26</t>
  </si>
  <si>
    <t xml:space="preserve">2609102</t>
  </si>
  <si>
    <t xml:space="preserve">Aware | Wollongong Boardroom Upgrade - 26082701</t>
  </si>
  <si>
    <t xml:space="preserve">26082701</t>
  </si>
  <si>
    <t xml:space="preserve">Automic - HUB24 AGM - 19.11.26</t>
  </si>
  <si>
    <t xml:space="preserve">26061502</t>
  </si>
  <si>
    <t xml:space="preserve">Garvan - Morning Tea Event - Jan' 27</t>
  </si>
  <si>
    <t xml:space="preserve">26062302</t>
  </si>
  <si>
    <t xml:space="preserve">AGIG | Thomastown Proxyclick Renewal - 2609802</t>
  </si>
  <si>
    <t xml:space="preserve">AGIG</t>
  </si>
  <si>
    <t xml:space="preserve">2609802</t>
  </si>
  <si>
    <t xml:space="preserve">Ventia - CEO Town Hall - 28.10.26</t>
  </si>
  <si>
    <t xml:space="preserve">26093002</t>
  </si>
  <si>
    <t xml:space="preserve">Garvan - Morning Tea Event - Apr' 27</t>
  </si>
  <si>
    <t xml:space="preserve">26062303</t>
  </si>
  <si>
    <t xml:space="preserve">PwC | SYD 65" Display Replacement - 2609101</t>
  </si>
  <si>
    <t xml:space="preserve">2609101</t>
  </si>
  <si>
    <t xml:space="preserve">Ventia - CEO Townhall - 10.12.26</t>
  </si>
  <si>
    <t xml:space="preserve">26061610</t>
  </si>
  <si>
    <t xml:space="preserve">MUFG - Australian Wool Innovation AGM - 12.11.26</t>
  </si>
  <si>
    <t xml:space="preserve">2608501</t>
  </si>
  <si>
    <t xml:space="preserve">Optiver - Town Hall - 17.12.26</t>
  </si>
  <si>
    <t xml:space="preserve">26041604</t>
  </si>
  <si>
    <t xml:space="preserve">ASX - Exchange Place External Listing Audio - 30.10.26</t>
  </si>
  <si>
    <t xml:space="preserve">26092102</t>
  </si>
  <si>
    <t xml:space="preserve">Exchange Place Permanent External Audio</t>
  </si>
  <si>
    <t xml:space="preserve">26092103</t>
  </si>
  <si>
    <t xml:space="preserve">P&amp;L Dump: paste the Xero Profit and Loss here</t>
  </si>
  <si>
    <t xml:space="preserve">Paste the Xero P&amp;L with account names in column A and months across. Start at cell A7. Then pick the month for each column in row 5. Only Income accounts are used.</t>
  </si>
  <si>
    <t xml:space="preserve">Clear A7:Z1006 before each paste so old rows do not stay behind. Months can be in any order.</t>
  </si>
  <si>
    <t xml:space="preserve">Month in this column</t>
  </si>
  <si>
    <t xml:space="preserve">Paste starts below (A7)</t>
  </si>
  <si>
    <t xml:space="preserve">Account</t>
  </si>
  <si>
    <t xml:space="preserve">Group</t>
  </si>
  <si>
    <t xml:space="preserve">Not in Account Map</t>
  </si>
  <si>
    <t xml:space="preserve">Adjustments: contracted or likely revenue that is not in Zoho</t>
  </si>
  <si>
    <t xml:space="preserve">For example recurring support contracts, licence renewals, or a deal sales has not logged yet. Yellow cells only.</t>
  </si>
  <si>
    <t xml:space="preserve">Example of a line:  Onsite | Customer name exactly as in Zoho | Monthly help desk contract | Backlog | (leave blank) | 01/11/2026 | 12000</t>
  </si>
  <si>
    <t xml:space="preserve">Type is Backlog (signed) or Pipeline (not signed). Pipeline needs a probability. One row per month.</t>
  </si>
  <si>
    <t xml:space="preserve">P&amp;L department</t>
  </si>
  <si>
    <t xml:space="preserve">Description</t>
  </si>
  <si>
    <t xml:space="preserve">Type</t>
  </si>
  <si>
    <t xml:space="preserve">Budget: revenue by department</t>
  </si>
  <si>
    <t xml:space="preserve">Optional. Paste or type the FY budgeted revenue. It drives the gap to budget and the risk rating.</t>
  </si>
  <si>
    <t xml:space="preserve">Account Map</t>
  </si>
  <si>
    <t xml:space="preserve">Copied from the account list in CTS P&amp;L Reporting. Department is taken from the account suffix (ONS, PRD, VID, CONS, INTEGRATION, ADMIN).</t>
  </si>
  <si>
    <t xml:space="preserve">Most income accounts carry no suffix, so they sit in Unallocated. Change the department in column C if they belong to one team.</t>
  </si>
  <si>
    <t xml:space="preserve">Ad Hoc Service Labour</t>
  </si>
  <si>
    <t xml:space="preserve">Income</t>
  </si>
  <si>
    <t xml:space="preserve">Unallocated</t>
  </si>
  <si>
    <t xml:space="preserve">Closing Work in Progress</t>
  </si>
  <si>
    <t xml:space="preserve">Conference Call Charge</t>
  </si>
  <si>
    <t xml:space="preserve">Contract Help Desk</t>
  </si>
  <si>
    <t xml:space="preserve">Contract Maintenance</t>
  </si>
  <si>
    <t xml:space="preserve">Contract Support Staff</t>
  </si>
  <si>
    <t xml:space="preserve">Credit Card Collected - CONS</t>
  </si>
  <si>
    <t xml:space="preserve">Credit Card Collected - ONS</t>
  </si>
  <si>
    <t xml:space="preserve">Onsite</t>
  </si>
  <si>
    <t xml:space="preserve">Credit Card Collected - PRD</t>
  </si>
  <si>
    <t xml:space="preserve">Production</t>
  </si>
  <si>
    <t xml:space="preserve">Credit Card Collected - VID</t>
  </si>
  <si>
    <t xml:space="preserve">Video</t>
  </si>
  <si>
    <t xml:space="preserve">Credit Card Collected-INTEGRATION</t>
  </si>
  <si>
    <t xml:space="preserve">Credit Card Fees - ADMIN</t>
  </si>
  <si>
    <t xml:space="preserve">Admin</t>
  </si>
  <si>
    <t xml:space="preserve">Equipment Hires</t>
  </si>
  <si>
    <t xml:space="preserve">Equipment Sales</t>
  </si>
  <si>
    <t xml:space="preserve">Freight &amp; Travel - ADMIN</t>
  </si>
  <si>
    <t xml:space="preserve">Freight &amp; Travel - CONS</t>
  </si>
  <si>
    <t xml:space="preserve">Freight &amp; Travel - INTEGRATION</t>
  </si>
  <si>
    <t xml:space="preserve">Freight &amp; Travel - ONS</t>
  </si>
  <si>
    <t xml:space="preserve">Freight &amp; Travel - PRD</t>
  </si>
  <si>
    <t xml:space="preserve">Freight &amp; Travel - VID</t>
  </si>
  <si>
    <t xml:space="preserve">Installation Labour</t>
  </si>
  <si>
    <t xml:space="preserve">Meal &amp; Travel - ADMIN</t>
  </si>
  <si>
    <t xml:space="preserve">Meal &amp; Travel - CONS</t>
  </si>
  <si>
    <t xml:space="preserve">Meal &amp; Travel - INTEGRATION</t>
  </si>
  <si>
    <t xml:space="preserve">Meal &amp; Travel - ONS</t>
  </si>
  <si>
    <t xml:space="preserve">Meal &amp; Travel - PRD</t>
  </si>
  <si>
    <t xml:space="preserve">Meal &amp; Travel - VID</t>
  </si>
  <si>
    <t xml:space="preserve">Miscellaneous Income</t>
  </si>
  <si>
    <t xml:space="preserve">Mobile Phone Plans</t>
  </si>
  <si>
    <t xml:space="preserve">Opening Work in Progress</t>
  </si>
  <si>
    <t xml:space="preserve">Production Labour</t>
  </si>
  <si>
    <t xml:space="preserve">Subscriptions &amp; Licences - Income</t>
  </si>
  <si>
    <t xml:space="preserve">Tech Consulting/Project Manage</t>
  </si>
  <si>
    <t xml:space="preserve">Tech Event Management</t>
  </si>
  <si>
    <t xml:space="preserve">Video Labour</t>
  </si>
  <si>
    <t xml:space="preserve">Credit Card Paid - ADMIN</t>
  </si>
  <si>
    <t xml:space="preserve">Cost of Sales</t>
  </si>
  <si>
    <t xml:space="preserve">Credit Card Paid - CONS</t>
  </si>
  <si>
    <t xml:space="preserve">Credit Card Paid - INTEGRATION</t>
  </si>
  <si>
    <t xml:space="preserve">Credit Card Paid - ONS</t>
  </si>
  <si>
    <t xml:space="preserve">Credit Card Paid - PRD</t>
  </si>
  <si>
    <t xml:space="preserve">Credit Card Paid - VID</t>
  </si>
  <si>
    <t xml:space="preserve">Damage Waiver</t>
  </si>
  <si>
    <t xml:space="preserve">Direct Freight - ADMIN</t>
  </si>
  <si>
    <t xml:space="preserve">Direct Freight - CONS</t>
  </si>
  <si>
    <t xml:space="preserve">Direct Freight - INTEGRATION</t>
  </si>
  <si>
    <t xml:space="preserve">Direct Freight - ONS</t>
  </si>
  <si>
    <t xml:space="preserve">Direct Freight - PRD</t>
  </si>
  <si>
    <t xml:space="preserve">Direct Freight - VID</t>
  </si>
  <si>
    <t xml:space="preserve">Direct Mobile - CONS</t>
  </si>
  <si>
    <t xml:space="preserve">Direct Mobile - INTEGRATION</t>
  </si>
  <si>
    <t xml:space="preserve">Direct Mobile - ONS</t>
  </si>
  <si>
    <t xml:space="preserve">Direct Mobile - PRD</t>
  </si>
  <si>
    <t xml:space="preserve">Direct Mobile - VID</t>
  </si>
  <si>
    <t xml:space="preserve">Direct Salaries - ADMIN</t>
  </si>
  <si>
    <t xml:space="preserve">Direct Salaries - CONS</t>
  </si>
  <si>
    <t xml:space="preserve">Direct Salaries - INTEGRATION</t>
  </si>
  <si>
    <t xml:space="preserve">Direct Salaries - ONS</t>
  </si>
  <si>
    <t xml:space="preserve">Direct Salaries - PRD</t>
  </si>
  <si>
    <t xml:space="preserve">Direct Salaries - VID</t>
  </si>
  <si>
    <t xml:space="preserve">Direct Superannuation - ADMIN</t>
  </si>
  <si>
    <t xml:space="preserve">Direct Superannuation - CONS</t>
  </si>
  <si>
    <t xml:space="preserve">Direct Superannuation - ONS</t>
  </si>
  <si>
    <t xml:space="preserve">Direct Superannuation - PRD</t>
  </si>
  <si>
    <t xml:space="preserve">Direct Superannuation - VID</t>
  </si>
  <si>
    <t xml:space="preserve">Direct Superannuation-INTEGRATION</t>
  </si>
  <si>
    <t xml:space="preserve">Direct Travel - ADMIN</t>
  </si>
  <si>
    <t xml:space="preserve">Direct Travel - CONS</t>
  </si>
  <si>
    <t xml:space="preserve">Direct Travel - INTEGRATION</t>
  </si>
  <si>
    <t xml:space="preserve">Direct Travel - ONS</t>
  </si>
  <si>
    <t xml:space="preserve">Direct Travel - PRD</t>
  </si>
  <si>
    <t xml:space="preserve">Direct Travel - VID</t>
  </si>
  <si>
    <t xml:space="preserve">Direct Wages - CONS</t>
  </si>
  <si>
    <t xml:space="preserve">Direct Wages - INTEGRATION</t>
  </si>
  <si>
    <t xml:space="preserve">Direct Wages - ONS</t>
  </si>
  <si>
    <t xml:space="preserve">Direct Wages - PRD</t>
  </si>
  <si>
    <t xml:space="preserve">Direct Wages - VID</t>
  </si>
  <si>
    <t xml:space="preserve">Direct Workers Comp - ADMIN</t>
  </si>
  <si>
    <t xml:space="preserve">Direct Workers Comp - CONS</t>
  </si>
  <si>
    <t xml:space="preserve">Direct Workers Comp - INTEGRATION</t>
  </si>
  <si>
    <t xml:space="preserve">Direct Workers Comp - ONS</t>
  </si>
  <si>
    <t xml:space="preserve">Direct Workers Comp - PRD</t>
  </si>
  <si>
    <t xml:space="preserve">Direct Workers Comp - VID</t>
  </si>
  <si>
    <t xml:space="preserve">Discounts Given</t>
  </si>
  <si>
    <t xml:space="preserve">Equipment - Hires</t>
  </si>
  <si>
    <t xml:space="preserve">Equipment - Purchase</t>
  </si>
  <si>
    <t xml:space="preserve">Equipment -Maintenance Support</t>
  </si>
  <si>
    <t xml:space="preserve">Service - hires</t>
  </si>
  <si>
    <t xml:space="preserve">Stamp Duty</t>
  </si>
  <si>
    <t xml:space="preserve">Sub-Contract Labour - ADMIN</t>
  </si>
  <si>
    <t xml:space="preserve">Sub-Contract Labour - CONS</t>
  </si>
  <si>
    <t xml:space="preserve">Sub-Contract Labour - INTEGRATION</t>
  </si>
  <si>
    <t xml:space="preserve">Sub-Contract Labour - ONS</t>
  </si>
  <si>
    <t xml:space="preserve">Sub-Contract Labour - PRD</t>
  </si>
  <si>
    <t xml:space="preserve">Sub-Contract Labour - VID</t>
  </si>
  <si>
    <t xml:space="preserve">Subscriptions &amp; Licences - Expense</t>
  </si>
  <si>
    <t xml:space="preserve">Supplier Per Diems - ADMIN</t>
  </si>
  <si>
    <t xml:space="preserve">Supplier Per Diems - CONS</t>
  </si>
  <si>
    <t xml:space="preserve">Supplier Per Diems - INTEGRATION</t>
  </si>
  <si>
    <t xml:space="preserve">Supplier Per Diems - ONS</t>
  </si>
  <si>
    <t xml:space="preserve">Supplier Per Diems - PRD</t>
  </si>
  <si>
    <t xml:space="preserve">Supplier Per Diems - VID</t>
  </si>
  <si>
    <t xml:space="preserve">Cash Flow Boost</t>
  </si>
  <si>
    <t xml:space="preserve">Other Income</t>
  </si>
  <si>
    <t xml:space="preserve">Employee FBT Contribtution</t>
  </si>
  <si>
    <t xml:space="preserve">Gain on lease termination</t>
  </si>
  <si>
    <t xml:space="preserve">Income Other</t>
  </si>
  <si>
    <t xml:space="preserve">Interest Income</t>
  </si>
  <si>
    <t xml:space="preserve">Interest Received</t>
  </si>
  <si>
    <t xml:space="preserve">JobKeeper Subsidy</t>
  </si>
  <si>
    <t xml:space="preserve">JobSaver Subsidy</t>
  </si>
  <si>
    <t xml:space="preserve">Rental Income</t>
  </si>
  <si>
    <t xml:space="preserve">1300 Number</t>
  </si>
  <si>
    <t xml:space="preserve">Expenses</t>
  </si>
  <si>
    <t xml:space="preserve">Accounting Fees</t>
  </si>
  <si>
    <t xml:space="preserve">Advertising</t>
  </si>
  <si>
    <t xml:space="preserve">Bad Debts</t>
  </si>
  <si>
    <t xml:space="preserve">Bank Charges</t>
  </si>
  <si>
    <t xml:space="preserve">Bank Revaluations</t>
  </si>
  <si>
    <t xml:space="preserve">Business Advisory</t>
  </si>
  <si>
    <t xml:space="preserve">Business Combined</t>
  </si>
  <si>
    <t xml:space="preserve">Client Entertainment</t>
  </si>
  <si>
    <t xml:space="preserve">Credit Card Fees Paid</t>
  </si>
  <si>
    <t xml:space="preserve">Custodian Vaults</t>
  </si>
  <si>
    <t xml:space="preserve">Depreciation</t>
  </si>
  <si>
    <t xml:space="preserve">Depreciation - ROU</t>
  </si>
  <si>
    <t xml:space="preserve">Discounts Taken</t>
  </si>
  <si>
    <t xml:space="preserve">Disposal of fixed assets</t>
  </si>
  <si>
    <t xml:space="preserve">Dividend paid [93000]</t>
  </si>
  <si>
    <t xml:space="preserve">Donations / Charity</t>
  </si>
  <si>
    <t xml:space="preserve">Dues &amp; Subscriptions</t>
  </si>
  <si>
    <t xml:space="preserve">Electricity</t>
  </si>
  <si>
    <t xml:space="preserve">Fax</t>
  </si>
  <si>
    <t xml:space="preserve">Filing Fee</t>
  </si>
  <si>
    <t xml:space="preserve">Foreign Currency Translation*</t>
  </si>
  <si>
    <t xml:space="preserve">Freight Paid</t>
  </si>
  <si>
    <t xml:space="preserve">Fringe Benefits Tax</t>
  </si>
  <si>
    <t xml:space="preserve">IT Network Service &amp; Support</t>
  </si>
  <si>
    <t xml:space="preserve">Income Tax Expense</t>
  </si>
  <si>
    <t xml:space="preserve">Indirect Salaries - ADMIN</t>
  </si>
  <si>
    <t xml:space="preserve">Indirect Salaries - CONS</t>
  </si>
  <si>
    <t xml:space="preserve">Indirect Salaries - INTEGRATION</t>
  </si>
  <si>
    <t xml:space="preserve">Indirect Salaries - ONS</t>
  </si>
  <si>
    <t xml:space="preserve">Indirect Salaries - PRD</t>
  </si>
  <si>
    <t xml:space="preserve">Indirect Salaries - VID</t>
  </si>
  <si>
    <t xml:space="preserve">Indirect Wages - ADMIN</t>
  </si>
  <si>
    <t xml:space="preserve">Indirect Wages - CONS</t>
  </si>
  <si>
    <t xml:space="preserve">Indirect Wages - INTEGRATION</t>
  </si>
  <si>
    <t xml:space="preserve">Indirect Wages - ONS</t>
  </si>
  <si>
    <t xml:space="preserve">Indirect Wages - PRD</t>
  </si>
  <si>
    <t xml:space="preserve">Indirect Wages - VID</t>
  </si>
  <si>
    <t xml:space="preserve">Instant Asset Write Off</t>
  </si>
  <si>
    <t xml:space="preserve">Insurance</t>
  </si>
  <si>
    <t xml:space="preserve">Interest Expense</t>
  </si>
  <si>
    <t xml:space="preserve">Internet</t>
  </si>
  <si>
    <t xml:space="preserve">Leave expense (Annual)</t>
  </si>
  <si>
    <t xml:space="preserve">Leave expense (Long Service)</t>
  </si>
  <si>
    <t xml:space="preserve">Legal Fees</t>
  </si>
  <si>
    <t xml:space="preserve">Mobile Phones</t>
  </si>
  <si>
    <t xml:space="preserve">Office Cleaning</t>
  </si>
  <si>
    <t xml:space="preserve">Office Phones</t>
  </si>
  <si>
    <t xml:space="preserve">Office Rentals</t>
  </si>
  <si>
    <t xml:space="preserve">Office Supplies</t>
  </si>
  <si>
    <t xml:space="preserve">Office Supplies [61500]</t>
  </si>
  <si>
    <t xml:space="preserve">Other Expenses [64900]</t>
  </si>
  <si>
    <t xml:space="preserve">Other Insurance</t>
  </si>
  <si>
    <t xml:space="preserve">Other Telco Expenses</t>
  </si>
  <si>
    <t xml:space="preserve">Pager</t>
  </si>
  <si>
    <t xml:space="preserve">Payroll Processing Fee</t>
  </si>
  <si>
    <t xml:space="preserve">Payroll Tax</t>
  </si>
  <si>
    <t xml:space="preserve">Postage</t>
  </si>
  <si>
    <t xml:space="preserve">Printing</t>
  </si>
  <si>
    <t xml:space="preserve">Professional Indemnity</t>
  </si>
  <si>
    <t xml:space="preserve">Realised Currency Gains</t>
  </si>
  <si>
    <t xml:space="preserve">Recruitment</t>
  </si>
  <si>
    <t xml:space="preserve">Rent</t>
  </si>
  <si>
    <t xml:space="preserve">Rental Outgoings</t>
  </si>
  <si>
    <t xml:space="preserve">Repairs &amp; Maintenance</t>
  </si>
  <si>
    <t xml:space="preserve">Replacements</t>
  </si>
  <si>
    <t xml:space="preserve">SGC Penalties</t>
  </si>
  <si>
    <t xml:space="preserve">Staff Amenities</t>
  </si>
  <si>
    <t xml:space="preserve">Staff Entertainment</t>
  </si>
  <si>
    <t xml:space="preserve">Stamp Duty (Indirect)</t>
  </si>
  <si>
    <t xml:space="preserve">Storage Fees</t>
  </si>
  <si>
    <t xml:space="preserve">Stripe Fees</t>
  </si>
  <si>
    <t xml:space="preserve">Superannuation</t>
  </si>
  <si>
    <t xml:space="preserve">Taxis/Parking</t>
  </si>
  <si>
    <t xml:space="preserve">Training Material &amp; Courses</t>
  </si>
  <si>
    <t xml:space="preserve">Travel &amp; Per Diems</t>
  </si>
  <si>
    <t xml:space="preserve">Travel Insurance</t>
  </si>
  <si>
    <t xml:space="preserve">Under/(Over) provision for tax</t>
  </si>
  <si>
    <t xml:space="preserve">Unrealised Currency Gains</t>
  </si>
  <si>
    <t xml:space="preserve">Workers' Compensation</t>
  </si>
  <si>
    <t xml:space="preserve">Settings</t>
  </si>
  <si>
    <t xml:space="preserve">Yellow cells are inputs. Change these when the month or the year rolls over.</t>
  </si>
  <si>
    <t xml:space="preserve">Setting</t>
  </si>
  <si>
    <t xml:space="preserve">Value</t>
  </si>
  <si>
    <t xml:space="preserve">Note</t>
  </si>
  <si>
    <t xml:space="preserve">Financial year starts</t>
  </si>
  <si>
    <t xml:space="preserve">Australian financial year, 1 July.</t>
  </si>
  <si>
    <t xml:space="preserve">Last month of P&amp;L actuals (month end)</t>
  </si>
  <si>
    <t xml:space="preserve">Update each month after the P&amp;L is final. Zoho deals closing after this date count as future revenue.</t>
  </si>
  <si>
    <t xml:space="preserve">Financial year ends</t>
  </si>
  <si>
    <t xml:space="preserve">Formula.</t>
  </si>
  <si>
    <t xml:space="preserve">First forecast month</t>
  </si>
  <si>
    <t xml:space="preserve">Count overdue Zoho deals in the forecast?</t>
  </si>
  <si>
    <t xml:space="preserve">No</t>
  </si>
  <si>
    <t xml:space="preserve">Overdue means an open deal whose closing date has already passed. Yes puts them in the first forecast month at their stage weighting.</t>
  </si>
  <si>
    <t xml:space="preserve">Departments (as in the P&amp;L)</t>
  </si>
  <si>
    <t xml:space="preserve">Months in this FY</t>
  </si>
  <si>
    <t xml:space="preserve">Probability is the chance an open deal closes. These are placeholders. Management should set them.</t>
  </si>
  <si>
    <t xml:space="preserve">Zoho stage</t>
  </si>
  <si>
    <t xml:space="preserve">Closed Won</t>
  </si>
  <si>
    <t xml:space="preserve">Won</t>
  </si>
  <si>
    <t xml:space="preserve">Closed Lost</t>
  </si>
  <si>
    <t xml:space="preserve">Lost</t>
  </si>
  <si>
    <t xml:space="preserve">Verbal Approval</t>
  </si>
  <si>
    <t xml:space="preserve">Open</t>
  </si>
  <si>
    <t xml:space="preserve">Negotiation/Review</t>
  </si>
  <si>
    <t xml:space="preserve">Proposal Sent</t>
  </si>
  <si>
    <t xml:space="preserve">Building Value Proposition</t>
  </si>
  <si>
    <t xml:space="preserve">Type must be Won, Open or Lost. Add any new Zoho stage in a spare row.</t>
  </si>
  <si>
    <t xml:space="preserve">Zoho CTS department</t>
  </si>
  <si>
    <t xml:space="preserve">From the name</t>
  </si>
  <si>
    <t xml:space="preserve">Same name</t>
  </si>
  <si>
    <t xml:space="preserve">ASSUMED. Please confirm</t>
  </si>
  <si>
    <t xml:space="preserve">Thresholds are placeholders. Management should set them.</t>
  </si>
  <si>
    <t xml:space="preserve">Risk rating test</t>
  </si>
  <si>
    <t xml:space="preserve">Medium from</t>
  </si>
  <si>
    <t xml:space="preserve">High from</t>
  </si>
  <si>
    <t xml:space="preserve">Forecast short of budget by</t>
  </si>
  <si>
    <t xml:space="preserve">Largest customer share of forward revenue</t>
  </si>
  <si>
    <t xml:space="preserve">Share of forward revenue that is pipeline, not contracted</t>
  </si>
  <si>
    <t xml:space="preserve">Forecast short of budget: medium if the forecast is below budget at all, high if it is more than 10% below.</t>
  </si>
</sst>
</file>

<file path=xl/styles.xml><?xml version="1.0" encoding="utf-8"?>
<styleSheet xmlns="http://schemas.openxmlformats.org/spreadsheetml/2006/main">
  <numFmts count="8">
    <numFmt numFmtId="164" formatCode="General"/>
    <numFmt numFmtId="165" formatCode="0.0%;\(0.0%\);\-"/>
    <numFmt numFmtId="166" formatCode="\$#,##0;&quot;($&quot;#,##0\);\-"/>
    <numFmt numFmtId="167" formatCode="#,##0"/>
    <numFmt numFmtId="168" formatCode="mmm\-yy"/>
    <numFmt numFmtId="169" formatCode="0.0000000"/>
    <numFmt numFmtId="170" formatCode="&quot;AU$ &quot;#,##0."/>
    <numFmt numFmtId="171" formatCode="dd/mm/yyyy"/>
  </numFmts>
  <fonts count="24">
    <font>
      <sz val="11"/>
      <color theme="1"/>
      <name val="Calibri"/>
      <family val="2"/>
      <charset val="1"/>
    </font>
    <font>
      <sz val="10"/>
      <name val="Arial"/>
      <family val="0"/>
    </font>
    <font>
      <sz val="10"/>
      <name val="Arial"/>
      <family val="0"/>
    </font>
    <font>
      <sz val="10"/>
      <name val="Arial"/>
      <family val="0"/>
    </font>
    <font>
      <b val="true"/>
      <sz val="16"/>
      <color rgb="FF1F4E79"/>
      <name val="Arial"/>
      <family val="0"/>
      <charset val="1"/>
    </font>
    <font>
      <b val="true"/>
      <sz val="11"/>
      <color rgb="FF1F4E79"/>
      <name val="Arial"/>
      <family val="0"/>
      <charset val="1"/>
    </font>
    <font>
      <sz val="10"/>
      <color rgb="FF000000"/>
      <name val="Arial"/>
      <family val="0"/>
      <charset val="1"/>
    </font>
    <font>
      <sz val="9"/>
      <color rgb="FF595959"/>
      <name val="Arial"/>
      <family val="0"/>
      <charset val="1"/>
    </font>
    <font>
      <b val="true"/>
      <sz val="11"/>
      <color rgb="FF000000"/>
      <name val="Arial"/>
      <family val="0"/>
      <charset val="1"/>
    </font>
    <font>
      <sz val="11"/>
      <color rgb="FF000000"/>
      <name val="Arial"/>
      <family val="0"/>
      <charset val="1"/>
    </font>
    <font>
      <b val="true"/>
      <sz val="10"/>
      <color rgb="FFFFFFFF"/>
      <name val="Arial"/>
      <family val="0"/>
      <charset val="1"/>
    </font>
    <font>
      <sz val="10"/>
      <color rgb="FF0000FF"/>
      <name val="Arial"/>
      <family val="0"/>
      <charset val="1"/>
    </font>
    <font>
      <i val="true"/>
      <sz val="10"/>
      <color rgb="FF595959"/>
      <name val="Arial"/>
      <family val="0"/>
      <charset val="1"/>
    </font>
    <font>
      <b val="true"/>
      <sz val="10"/>
      <color rgb="FF000000"/>
      <name val="Arial"/>
      <family val="0"/>
      <charset val="1"/>
    </font>
    <font>
      <sz val="8"/>
      <color rgb="FF595959"/>
      <name val="Arial"/>
      <family val="0"/>
      <charset val="1"/>
    </font>
    <font>
      <i val="true"/>
      <sz val="10"/>
      <color rgb="FFFFFFFF"/>
      <name val="Arial"/>
      <family val="0"/>
      <charset val="1"/>
    </font>
    <font>
      <b val="true"/>
      <sz val="11"/>
      <color rgb="FFC00000"/>
      <name val="Arial"/>
      <family val="0"/>
      <charset val="1"/>
    </font>
    <font>
      <sz val="10"/>
      <name val="Arial"/>
      <family val="0"/>
      <charset val="1"/>
    </font>
    <font>
      <b val="true"/>
      <sz val="10"/>
      <name val="Arial"/>
      <family val="0"/>
      <charset val="1"/>
    </font>
    <font>
      <b val="true"/>
      <sz val="9"/>
      <color rgb="FFFFFFFF"/>
      <name val="Arial"/>
      <family val="0"/>
      <charset val="1"/>
    </font>
    <font>
      <sz val="9"/>
      <name val="Arial"/>
      <family val="0"/>
      <charset val="1"/>
    </font>
    <font>
      <b val="true"/>
      <sz val="9"/>
      <color rgb="FFC00000"/>
      <name val="Arial"/>
      <family val="0"/>
      <charset val="1"/>
    </font>
    <font>
      <sz val="9"/>
      <color rgb="FFC00000"/>
      <name val="Arial"/>
      <family val="0"/>
      <charset val="1"/>
    </font>
    <font>
      <i val="true"/>
      <sz val="10"/>
      <color rgb="FFC00000"/>
      <name val="Arial"/>
      <family val="0"/>
      <charset val="1"/>
    </font>
  </fonts>
  <fills count="6">
    <fill>
      <patternFill patternType="none"/>
    </fill>
    <fill>
      <patternFill patternType="gray125"/>
    </fill>
    <fill>
      <patternFill patternType="solid">
        <fgColor rgb="FF1F4E79"/>
        <bgColor rgb="FF003366"/>
      </patternFill>
    </fill>
    <fill>
      <patternFill patternType="solid">
        <fgColor rgb="FFFFF2CC"/>
        <bgColor rgb="FFF2F2F2"/>
      </patternFill>
    </fill>
    <fill>
      <patternFill patternType="solid">
        <fgColor rgb="FFF2F2F2"/>
        <bgColor rgb="FFFFFFFF"/>
      </patternFill>
    </fill>
    <fill>
      <patternFill patternType="solid">
        <fgColor rgb="FFD9E2F3"/>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11" fillId="3"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1" fillId="3" borderId="1" xfId="0" applyFont="true" applyBorder="tru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6" fontId="14" fillId="0" borderId="1" xfId="0" applyFont="true" applyBorder="true" applyAlignment="false" applyProtection="false">
      <alignment horizontal="general" vertical="bottom" textRotation="0" wrapText="false" indent="0" shrinkToFit="false"/>
      <protection locked="true" hidden="false"/>
    </xf>
    <xf numFmtId="164" fontId="13" fillId="4" borderId="1" xfId="0" applyFont="true" applyBorder="true" applyAlignment="false" applyProtection="false">
      <alignment horizontal="general" vertical="bottom" textRotation="0" wrapText="false" indent="0" shrinkToFit="false"/>
      <protection locked="true" hidden="false"/>
    </xf>
    <xf numFmtId="166" fontId="13" fillId="4" borderId="1" xfId="0" applyFont="true" applyBorder="true" applyAlignment="false" applyProtection="false">
      <alignment horizontal="general" vertical="bottom" textRotation="0" wrapText="false" indent="0" shrinkToFit="false"/>
      <protection locked="true" hidden="false"/>
    </xf>
    <xf numFmtId="165" fontId="13" fillId="4" borderId="1" xfId="0" applyFont="true" applyBorder="true" applyAlignment="false" applyProtection="false">
      <alignment horizontal="general" vertical="bottom" textRotation="0" wrapText="false" indent="0" shrinkToFit="false"/>
      <protection locked="true" hidden="false"/>
    </xf>
    <xf numFmtId="167" fontId="6" fillId="0" borderId="1" xfId="0" applyFont="true" applyBorder="true" applyAlignment="false" applyProtection="false">
      <alignment horizontal="general" vertical="bottom" textRotation="0" wrapText="false" indent="0" shrinkToFit="false"/>
      <protection locked="true" hidden="false"/>
    </xf>
    <xf numFmtId="168" fontId="13" fillId="5" borderId="1" xfId="0" applyFont="true" applyBorder="true" applyAlignment="false" applyProtection="false">
      <alignment horizontal="general" vertical="bottom" textRotation="0" wrapText="false" indent="0" shrinkToFit="false"/>
      <protection locked="true" hidden="false"/>
    </xf>
    <xf numFmtId="164" fontId="13" fillId="5" borderId="1" xfId="0" applyFont="true" applyBorder="true" applyAlignment="false" applyProtection="false">
      <alignment horizontal="general" vertical="bottom" textRotation="0" wrapText="false" indent="0" shrinkToFit="false"/>
      <protection locked="true" hidden="false"/>
    </xf>
    <xf numFmtId="164" fontId="6" fillId="5" borderId="1" xfId="0" applyFont="true" applyBorder="true" applyAlignment="false" applyProtection="false">
      <alignment horizontal="general" vertical="bottom" textRotation="0" wrapText="false" indent="0" shrinkToFit="false"/>
      <protection locked="true" hidden="false"/>
    </xf>
    <xf numFmtId="164" fontId="15" fillId="2" borderId="1" xfId="0" applyFont="true" applyBorder="true" applyAlignment="false" applyProtection="false">
      <alignment horizontal="general" vertical="bottom" textRotation="0" wrapText="false" indent="0" shrinkToFit="false"/>
      <protection locked="true" hidden="false"/>
    </xf>
    <xf numFmtId="166" fontId="13" fillId="0" borderId="1" xfId="0" applyFont="true" applyBorder="true" applyAlignment="false" applyProtection="false">
      <alignment horizontal="general" vertical="bottom" textRotation="0" wrapText="fals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9" fontId="6" fillId="0" borderId="1" xfId="0" applyFont="true" applyBorder="tru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9" fillId="2" borderId="0" xfId="0" applyFont="true" applyBorder="false" applyAlignment="true" applyProtection="false">
      <alignment horizontal="general" vertical="center" textRotation="0" wrapText="true" indent="0" shrinkToFit="false"/>
      <protection locked="true" hidden="false"/>
    </xf>
    <xf numFmtId="170" fontId="17" fillId="0" borderId="0" xfId="0" applyFont="true" applyBorder="false" applyAlignment="false" applyProtection="false">
      <alignment horizontal="general" vertical="bottom" textRotation="0" wrapText="false" indent="0" shrinkToFit="false"/>
      <protection locked="true" hidden="false"/>
    </xf>
    <xf numFmtId="171" fontId="17"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6" fontId="20" fillId="0" borderId="0" xfId="0" applyFont="true" applyBorder="false" applyAlignment="false" applyProtection="false">
      <alignment horizontal="general" vertical="bottom" textRotation="0" wrapText="false" indent="0" shrinkToFit="false"/>
      <protection locked="true" hidden="false"/>
    </xf>
    <xf numFmtId="171" fontId="20" fillId="0" borderId="0" xfId="0" applyFont="true" applyBorder="false" applyAlignment="false" applyProtection="false">
      <alignment horizontal="general" vertical="bottom" textRotation="0" wrapText="false" indent="0" shrinkToFit="false"/>
      <protection locked="true" hidden="false"/>
    </xf>
    <xf numFmtId="165" fontId="20" fillId="0" borderId="0" xfId="0" applyFont="true" applyBorder="false" applyAlignment="false" applyProtection="false">
      <alignment horizontal="general" vertical="bottom" textRotation="0" wrapText="false" indent="0" shrinkToFit="false"/>
      <protection locked="true" hidden="false"/>
    </xf>
    <xf numFmtId="168" fontId="20" fillId="0" borderId="0" xfId="0" applyFont="true" applyBorder="false" applyAlignment="fals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8" fontId="11" fillId="3" borderId="1" xfId="0" applyFont="true" applyBorder="tru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71" fontId="11" fillId="3" borderId="1" xfId="0" applyFont="true" applyBorder="true" applyAlignment="false" applyProtection="false">
      <alignment horizontal="general" vertical="bottom" textRotation="0" wrapText="false" indent="0" shrinkToFit="false"/>
      <protection locked="true" hidden="false"/>
    </xf>
    <xf numFmtId="166" fontId="11" fillId="3" borderId="1" xfId="0" applyFont="true" applyBorder="true" applyAlignment="false" applyProtection="false">
      <alignment horizontal="general" vertical="bottom" textRotation="0" wrapText="false" indent="0" shrinkToFit="false"/>
      <protection locked="true" hidden="false"/>
    </xf>
    <xf numFmtId="168" fontId="6" fillId="0" borderId="1" xfId="0" applyFont="true" applyBorder="true" applyAlignment="false" applyProtection="false">
      <alignment horizontal="general" vertical="bottom" textRotation="0" wrapText="false" indent="0" shrinkToFit="false"/>
      <protection locked="true" hidden="false"/>
    </xf>
    <xf numFmtId="168" fontId="10" fillId="2"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71" fontId="6" fillId="0" borderId="1" xfId="0" applyFont="true" applyBorder="true" applyAlignment="false" applyProtection="false">
      <alignment horizontal="general" vertical="bottom" textRotation="0" wrapText="false" indent="0" shrinkToFit="false"/>
      <protection locked="true" hidden="false"/>
    </xf>
    <xf numFmtId="164" fontId="23"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ont>
        <name val="Arial"/>
        <charset val="1"/>
        <family val="0"/>
        <b val="1"/>
        <color rgb="FF9C0006"/>
      </font>
      <fill>
        <patternFill>
          <bgColor rgb="FFF8CBAD"/>
        </patternFill>
      </fill>
    </dxf>
    <dxf>
      <fill>
        <patternFill>
          <bgColor rgb="FFFFE699"/>
        </patternFill>
      </fill>
    </dxf>
    <dxf>
      <fill>
        <patternFill>
          <bgColor rgb="FFC6EFCE"/>
        </patternFill>
      </fill>
    </dxf>
    <dxf>
      <font>
        <name val="Arial"/>
        <charset val="1"/>
        <family val="0"/>
        <b val="1"/>
        <color rgb="FFC00000"/>
      </font>
    </dxf>
  </dxfs>
  <colors>
    <indexedColors>
      <rgbColor rgb="FF000000"/>
      <rgbColor rgb="FFFFFFFF"/>
      <rgbColor rgb="FFC0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6EFCE"/>
      <rgbColor rgb="FFFFE699"/>
      <rgbColor rgb="FF99CCFF"/>
      <rgbColor rgb="FFFF99CC"/>
      <rgbColor rgb="FFCC99FF"/>
      <rgbColor rgb="FFF8CBAD"/>
      <rgbColor rgb="FF3366FF"/>
      <rgbColor rgb="FF33CCCC"/>
      <rgbColor rgb="FF99CC00"/>
      <rgbColor rgb="FFFFC000"/>
      <rgbColor rgb="FFFF9900"/>
      <rgbColor rgb="FFFF6600"/>
      <rgbColor rgb="FF59595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9.7" hidden="false" customHeight="false" outlineLevel="0" collapsed="false">
      <c r="A1" s="1" t="s">
        <v>0</v>
      </c>
    </row>
    <row r="3" customFormat="false" ht="15" hidden="false" customHeight="false" outlineLevel="0" collapsed="false">
      <c r="A3" s="2" t="s">
        <v>1</v>
      </c>
    </row>
    <row r="4" customFormat="false" ht="23.85" hidden="false" customHeight="false" outlineLevel="0" collapsed="false">
      <c r="A4" s="3" t="s">
        <v>2</v>
      </c>
    </row>
    <row r="5" customFormat="false" ht="15" hidden="false" customHeight="false" outlineLevel="0" collapsed="false">
      <c r="A5" s="3"/>
    </row>
    <row r="6" customFormat="false" ht="15" hidden="false" customHeight="false" outlineLevel="0" collapsed="false">
      <c r="A6" s="2" t="s">
        <v>3</v>
      </c>
    </row>
    <row r="7" customFormat="false" ht="15" hidden="false" customHeight="false" outlineLevel="0" collapsed="false">
      <c r="A7" s="3" t="s">
        <v>4</v>
      </c>
    </row>
    <row r="8" customFormat="false" ht="23.85" hidden="false" customHeight="false" outlineLevel="0" collapsed="false">
      <c r="A8" s="3" t="s">
        <v>5</v>
      </c>
    </row>
    <row r="9" customFormat="false" ht="15" hidden="false" customHeight="false" outlineLevel="0" collapsed="false">
      <c r="A9" s="3" t="s">
        <v>6</v>
      </c>
    </row>
    <row r="10" customFormat="false" ht="15" hidden="false" customHeight="false" outlineLevel="0" collapsed="false">
      <c r="A10" s="3" t="s">
        <v>7</v>
      </c>
    </row>
    <row r="11" customFormat="false" ht="15" hidden="false" customHeight="false" outlineLevel="0" collapsed="false">
      <c r="A11" s="3" t="s">
        <v>8</v>
      </c>
    </row>
    <row r="12" customFormat="false" ht="15" hidden="false" customHeight="false" outlineLevel="0" collapsed="false">
      <c r="A12" s="3" t="s">
        <v>9</v>
      </c>
    </row>
    <row r="13" customFormat="false" ht="15" hidden="false" customHeight="false" outlineLevel="0" collapsed="false">
      <c r="A13" s="3"/>
    </row>
    <row r="14" customFormat="false" ht="15" hidden="false" customHeight="false" outlineLevel="0" collapsed="false">
      <c r="A14" s="2" t="s">
        <v>10</v>
      </c>
    </row>
    <row r="15" customFormat="false" ht="15" hidden="false" customHeight="false" outlineLevel="0" collapsed="false">
      <c r="A15" s="3" t="s">
        <v>11</v>
      </c>
    </row>
    <row r="16" customFormat="false" ht="15" hidden="false" customHeight="false" outlineLevel="0" collapsed="false">
      <c r="A16" s="3"/>
    </row>
    <row r="17" customFormat="false" ht="15" hidden="false" customHeight="false" outlineLevel="0" collapsed="false">
      <c r="A17" s="2" t="s">
        <v>12</v>
      </c>
    </row>
    <row r="18" customFormat="false" ht="15" hidden="false" customHeight="false" outlineLevel="0" collapsed="false">
      <c r="A18" s="3" t="s">
        <v>13</v>
      </c>
    </row>
    <row r="19" customFormat="false" ht="15" hidden="false" customHeight="false" outlineLevel="0" collapsed="false">
      <c r="A19" s="3" t="s">
        <v>14</v>
      </c>
    </row>
    <row r="20" customFormat="false" ht="15" hidden="false" customHeight="false" outlineLevel="0" collapsed="false">
      <c r="A20" s="3" t="s">
        <v>15</v>
      </c>
    </row>
    <row r="21" customFormat="false" ht="15" hidden="false" customHeight="false" outlineLevel="0" collapsed="false">
      <c r="A21" s="3" t="s">
        <v>16</v>
      </c>
    </row>
    <row r="22" customFormat="false" ht="15" hidden="false" customHeight="false" outlineLevel="0" collapsed="false">
      <c r="A22" s="3" t="s">
        <v>17</v>
      </c>
    </row>
    <row r="23" customFormat="false" ht="15" hidden="false" customHeight="false" outlineLevel="0" collapsed="false">
      <c r="A23" s="3" t="s">
        <v>18</v>
      </c>
    </row>
    <row r="24" customFormat="false" ht="15" hidden="false" customHeight="false" outlineLevel="0" collapsed="false">
      <c r="A24" s="3" t="s">
        <v>19</v>
      </c>
    </row>
    <row r="25" customFormat="false" ht="15" hidden="false" customHeight="false" outlineLevel="0" collapsed="false">
      <c r="A25" s="3"/>
    </row>
    <row r="26" customFormat="false" ht="15" hidden="false" customHeight="false" outlineLevel="0" collapsed="false">
      <c r="A26" s="2" t="s">
        <v>20</v>
      </c>
    </row>
    <row r="27" customFormat="false" ht="15" hidden="false" customHeight="false" outlineLevel="0" collapsed="false">
      <c r="A27" s="3" t="s">
        <v>21</v>
      </c>
    </row>
    <row r="28" customFormat="false" ht="15" hidden="false" customHeight="false" outlineLevel="0" collapsed="false">
      <c r="A28" s="3" t="s">
        <v>22</v>
      </c>
    </row>
    <row r="29" customFormat="false" ht="23.85" hidden="false" customHeight="false" outlineLevel="0" collapsed="false">
      <c r="A29" s="3" t="s">
        <v>23</v>
      </c>
    </row>
    <row r="30" customFormat="false" ht="15" hidden="false" customHeight="false" outlineLevel="0" collapsed="false">
      <c r="A30" s="3" t="s">
        <v>24</v>
      </c>
    </row>
    <row r="31" customFormat="false" ht="15" hidden="false" customHeight="false" outlineLevel="0" collapsed="false">
      <c r="A31" s="3" t="s">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9"/>
    <pageSetUpPr fitToPage="false"/>
  </sheetPr>
  <dimension ref="A1:X6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0" topLeftCell="B1" activePane="topRight" state="frozen"/>
      <selection pane="topLeft" activeCell="A1" activeCellId="0" sqref="A1"/>
      <selection pane="top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6"/>
    <col collapsed="false" customWidth="true" hidden="false" outlineLevel="0" max="15" min="3" style="0" width="13"/>
    <col collapsed="false" customWidth="true" hidden="false" outlineLevel="0" max="16" min="16" style="0" width="26"/>
    <col collapsed="false" customWidth="true" hidden="false" outlineLevel="0" max="19" min="17" style="0" width="13"/>
    <col collapsed="false" customWidth="true" hidden="false" outlineLevel="0" max="20" min="20" style="0" width="11"/>
    <col collapsed="false" customWidth="true" hidden="true" outlineLevel="0" max="24" min="22" style="0" width="13"/>
  </cols>
  <sheetData>
    <row r="1" customFormat="false" ht="19.7" hidden="false" customHeight="false" outlineLevel="0" collapsed="false">
      <c r="A1" s="1" t="s">
        <v>26</v>
      </c>
    </row>
    <row r="2" customFormat="false" ht="15" hidden="false" customHeight="false" outlineLevel="0" collapsed="false">
      <c r="A2" s="4" t="str">
        <f aca="false">"Financial year "&amp;TEXT(Settings!$B$4,"dd/mm/yyyy")&amp;" to "&amp;TEXT(Settings!$B$6,"dd/mm/yyyy")&amp;". P&amp;L actuals to "&amp;TEXT(Settings!$B$5,"dd/mm/yyyy")&amp;". Zoho export: "&amp;MID('Zoho Dump'!$A$3,FIND(" on ",'Zoho Dump'!$A$3)+4,40)</f>
        <v>Financial year 01/07/2026 to 30/06/2027. P&amp;L actuals to 30/09/2026. Zoho export: 12/10/2026 11:49 AM</v>
      </c>
    </row>
    <row r="4" customFormat="false" ht="15" hidden="false" customHeight="false" outlineLevel="0" collapsed="false">
      <c r="A4" s="5" t="str">
        <f aca="false">"Base forecast for the year is "&amp;TEXT(F33,"$#,##0")&amp;". Signed so far (actuals plus backlog) is "&amp;TEXT(B33+C33,"$#,##0")&amp;"."</f>
        <v>Base forecast for the year is $853,202. Signed so far (actuals plus backlog) is $85,402.</v>
      </c>
    </row>
    <row r="5" customFormat="false" ht="15" hidden="false" customHeight="false" outlineLevel="0" collapsed="false">
      <c r="A5" s="6" t="str">
        <f aca="false">"If no more pipeline comes through than the stress case below, revenue falls by "&amp;TEXT(L33,"$#,##0")&amp;"."</f>
        <v>If no more pipeline comes through than the stress case below, revenue falls by $767,800.</v>
      </c>
    </row>
    <row r="6" customFormat="false" ht="15" hidden="false" customHeight="false" outlineLevel="0" collapsed="false">
      <c r="A6" s="6" t="str">
        <f aca="false">"The selected customers withdrawing would cost "&amp;TEXT(M33,"$#,##0")&amp;" of forward revenue. Both together leave "&amp;TEXT(O33,"$#,##0")&amp;" for the year."</f>
        <v>The selected customers withdrawing would cost $0 of forward revenue. Both together leave $85,402 for the year.</v>
      </c>
    </row>
    <row r="7" customFormat="false" ht="15" hidden="false" customHeight="false" outlineLevel="0" collapsed="false">
      <c r="A7" s="6" t="str">
        <f aca="false">"Largest single customer: "&amp;B37&amp;", "&amp;TEXT(F37,"0.0%")&amp;" of all forward revenue. Top 10 customers: "&amp;TEXT(G46,"0.0%")&amp;"."</f>
        <v>Largest single customer: Commonwealth Bank Australia (CBA), 50.3% of all forward revenue. Top 10 customers: 85.2%.</v>
      </c>
    </row>
    <row r="9" customFormat="false" ht="15" hidden="false" customHeight="false" outlineLevel="0" collapsed="false">
      <c r="A9" s="7" t="s">
        <v>27</v>
      </c>
      <c r="B9" s="8"/>
      <c r="C9" s="8"/>
    </row>
    <row r="10" customFormat="false" ht="15" hidden="false" customHeight="false" outlineLevel="0" collapsed="false">
      <c r="A10" s="9" t="s">
        <v>28</v>
      </c>
      <c r="B10" s="9"/>
      <c r="C10" s="10" t="n">
        <v>0</v>
      </c>
    </row>
    <row r="11" customFormat="false" ht="15" hidden="false" customHeight="false" outlineLevel="0" collapsed="false">
      <c r="A11" s="11" t="s">
        <v>29</v>
      </c>
    </row>
    <row r="12" customFormat="false" ht="15" hidden="false" customHeight="false" outlineLevel="0" collapsed="false">
      <c r="A12" s="12" t="s">
        <v>30</v>
      </c>
    </row>
    <row r="13" customFormat="false" ht="15" hidden="false" customHeight="false" outlineLevel="0" collapsed="false">
      <c r="B13" s="9" t="n">
        <v>1</v>
      </c>
      <c r="C13" s="13"/>
    </row>
    <row r="14" customFormat="false" ht="15" hidden="false" customHeight="false" outlineLevel="0" collapsed="false">
      <c r="B14" s="9" t="n">
        <v>2</v>
      </c>
      <c r="C14" s="13"/>
    </row>
    <row r="15" customFormat="false" ht="15" hidden="false" customHeight="false" outlineLevel="0" collapsed="false">
      <c r="B15" s="9" t="n">
        <v>3</v>
      </c>
      <c r="C15" s="13"/>
    </row>
    <row r="16" customFormat="false" ht="15" hidden="false" customHeight="false" outlineLevel="0" collapsed="false">
      <c r="B16" s="9" t="n">
        <v>4</v>
      </c>
      <c r="C16" s="13"/>
    </row>
    <row r="17" customFormat="false" ht="15" hidden="false" customHeight="false" outlineLevel="0" collapsed="false">
      <c r="B17" s="9" t="n">
        <v>5</v>
      </c>
      <c r="C17" s="13"/>
    </row>
    <row r="18" customFormat="false" ht="15" hidden="false" customHeight="false" outlineLevel="0" collapsed="false">
      <c r="B18" s="9" t="n">
        <v>6</v>
      </c>
      <c r="C18" s="13"/>
    </row>
    <row r="19" customFormat="false" ht="15" hidden="false" customHeight="false" outlineLevel="0" collapsed="false">
      <c r="B19" s="9" t="n">
        <v>7</v>
      </c>
      <c r="C19" s="13"/>
    </row>
    <row r="20" customFormat="false" ht="15" hidden="false" customHeight="false" outlineLevel="0" collapsed="false">
      <c r="B20" s="9" t="n">
        <v>8</v>
      </c>
      <c r="C20" s="13"/>
    </row>
    <row r="21" customFormat="false" ht="15" hidden="false" customHeight="false" outlineLevel="0" collapsed="false">
      <c r="B21" s="9" t="n">
        <v>9</v>
      </c>
      <c r="C21" s="13"/>
    </row>
    <row r="22" customFormat="false" ht="15" hidden="false" customHeight="false" outlineLevel="0" collapsed="false">
      <c r="B22" s="9" t="n">
        <v>10</v>
      </c>
      <c r="C22" s="13"/>
    </row>
    <row r="23" customFormat="false" ht="15" hidden="false" customHeight="false" outlineLevel="0" collapsed="false">
      <c r="A23" s="4" t="s">
        <v>31</v>
      </c>
    </row>
    <row r="25" customFormat="false" ht="57.75" hidden="false" customHeight="true" outlineLevel="0" collapsed="false">
      <c r="A25" s="14" t="s">
        <v>32</v>
      </c>
      <c r="B25" s="14" t="s">
        <v>33</v>
      </c>
      <c r="C25" s="14" t="s">
        <v>34</v>
      </c>
      <c r="D25" s="14" t="s">
        <v>35</v>
      </c>
      <c r="E25" s="14" t="s">
        <v>36</v>
      </c>
      <c r="F25" s="14" t="s">
        <v>37</v>
      </c>
      <c r="G25" s="14" t="s">
        <v>38</v>
      </c>
      <c r="H25" s="14" t="s">
        <v>39</v>
      </c>
      <c r="I25" s="14" t="s">
        <v>40</v>
      </c>
      <c r="J25" s="14" t="s">
        <v>41</v>
      </c>
      <c r="K25" s="14" t="s">
        <v>42</v>
      </c>
      <c r="L25" s="14" t="s">
        <v>43</v>
      </c>
      <c r="M25" s="14" t="s">
        <v>44</v>
      </c>
      <c r="N25" s="14" t="s">
        <v>45</v>
      </c>
      <c r="O25" s="14" t="s">
        <v>46</v>
      </c>
      <c r="P25" s="14" t="s">
        <v>47</v>
      </c>
      <c r="Q25" s="14" t="s">
        <v>48</v>
      </c>
      <c r="R25" s="14" t="s">
        <v>49</v>
      </c>
      <c r="S25" s="14" t="s">
        <v>50</v>
      </c>
      <c r="T25" s="14" t="s">
        <v>51</v>
      </c>
      <c r="V25" s="15" t="s">
        <v>52</v>
      </c>
      <c r="W25" s="15" t="s">
        <v>53</v>
      </c>
      <c r="X25" s="15" t="s">
        <v>54</v>
      </c>
    </row>
    <row r="26" customFormat="false" ht="15" hidden="false" customHeight="false" outlineLevel="0" collapsed="false">
      <c r="A26" s="16" t="str">
        <f aca="false">Settings!$A$12</f>
        <v>Onsite</v>
      </c>
      <c r="B26" s="17" t="n">
        <f aca="false">SUMIFS('Monthly Outlook'!$C$8:$N$8,'Monthly Outlook'!$C$5:$N$5,"Actual")</f>
        <v>0</v>
      </c>
      <c r="C26" s="17" t="n">
        <f aca="false">'Monthly Outlook'!$O$18</f>
        <v>17000</v>
      </c>
      <c r="D26" s="17" t="n">
        <f aca="false">SUMIFS('Zoho Dump'!$Y$8:$Y$3007,'Zoho Dump'!$P$8:$P$3007,$A26,'Zoho Dump'!$T$8:$T$3007,"Pipeline")+SUMIFS(Adjustments!$L$8:$L$207,Adjustments!$A$8:$A$207,$A26,Adjustments!$H$8:$H$207,"Pipeline")+SUMIFS('Zoho Dump'!$Y$8:$Y$3007,'Zoho Dump'!$P$8:$P$3007,$A26,'Zoho Dump'!$T$8:$T$3007,"Overdue")+SUMIFS(Adjustments!$L$8:$L$207,Adjustments!$A$8:$A$207,$A26,Adjustments!$H$8:$H$207,"Overdue")</f>
        <v>75000</v>
      </c>
      <c r="E26" s="17" t="n">
        <f aca="false">'Monthly Outlook'!$O$28</f>
        <v>52500</v>
      </c>
      <c r="F26" s="17" t="n">
        <f aca="false">'Monthly Outlook'!$O$38</f>
        <v>69500</v>
      </c>
      <c r="G26" s="17" t="n">
        <f aca="false">'Monthly Outlook'!$O$58</f>
        <v>0</v>
      </c>
      <c r="H26" s="17" t="str">
        <f aca="false">IF(G26=0,"No budget",F26-G26)</f>
        <v>No budget</v>
      </c>
      <c r="I26" s="18" t="str">
        <f aca="false">IF(G26=0,"No budget",(B26+C26)/G26)</f>
        <v>No budget</v>
      </c>
      <c r="J26" s="18" t="n">
        <f aca="false">IF(C26+E26=0,0,E26/(C26+E26))</f>
        <v>0.755395683453237</v>
      </c>
      <c r="K26" s="17" t="n">
        <f aca="false">'Monthly Outlook'!$O$48</f>
        <v>17000</v>
      </c>
      <c r="L26" s="17" t="n">
        <f aca="false">F26-K26</f>
        <v>52500</v>
      </c>
      <c r="M26" s="17" t="n">
        <f aca="false">SUMIFS('Zoho Dump'!$X$8:$X$3007,'Zoho Dump'!$P$8:$P$3007,$A26,'Zoho Dump'!$AA$8:$AA$3007,1)+SUMIFS(Adjustments!$K$8:$K$207,Adjustments!$A$8:$A$207,$A26,Adjustments!$N$8:$N$207,1)</f>
        <v>0</v>
      </c>
      <c r="N26" s="17" t="n">
        <f aca="false">F26-M26</f>
        <v>69500</v>
      </c>
      <c r="O26" s="17" t="n">
        <f aca="false">K26-(SUMIFS('Zoho Dump'!$Z$8:$Z$3007,'Zoho Dump'!$P$8:$P$3007,$A26,'Zoho Dump'!$AA$8:$AA$3007,1)+SUMIFS(Adjustments!$M$8:$M$207,Adjustments!$A$8:$A$207,$A26,Adjustments!$N$8:$N$207,1))</f>
        <v>17000</v>
      </c>
      <c r="P26" s="9" t="str">
        <f aca="false">IF(MAX('Customer Risk'!$K$5:$K$404)=0,"-",INDEX('Customer Risk'!$B$5:$B$404,MATCH(MAX('Customer Risk'!$K$5:$K$404),'Customer Risk'!$K$5:$K$404,0)))</f>
        <v>Deloitte Australia</v>
      </c>
      <c r="Q26" s="18" t="n">
        <f aca="false">IF(SUM('Customer Risk'!$K$5:$K$404)=0,0,MAX('Customer Risk'!$K$5:$K$404)/SUM('Customer Risk'!$K$5:$K$404))</f>
        <v>0.755395683453237</v>
      </c>
      <c r="R26" s="17" t="n">
        <f aca="false">SUMIFS('Zoho Dump'!$Q$8:$Q$3007,'Zoho Dump'!$P$8:$P$3007,$A26,'Zoho Dump'!$T$8:$T$3007,"Overdue")+SUMIFS(Adjustments!$G$8:$G$207,Adjustments!$A$8:$A$207,$A26,Adjustments!$H$8:$H$207,"Overdue")</f>
        <v>137200</v>
      </c>
      <c r="S26" s="17" t="n">
        <f aca="false">SUMIFS('Zoho Dump'!$Q$8:$Q$3007,'Zoho Dump'!$P$8:$P$3007,$A26,'Zoho Dump'!$T$8:$T$3007,"Delivered",'Zoho Dump'!$R$8:$R$3007,"&gt;="&amp;Settings!$B$4)</f>
        <v>159259</v>
      </c>
      <c r="T26" s="16" t="str">
        <f aca="false">IF(AND(B26=0,F26=0),"-",CHOOSE(MAX(V26:X26)+1,"Low","Medium","High"))</f>
        <v>High</v>
      </c>
      <c r="V26" s="19" t="n">
        <f aca="false">IF(G26=0,0,IF(F26&lt;G26*(1-Settings!$C$54),2,IF(F26&lt;G26*(1-Settings!$B$54),1,0)))</f>
        <v>0</v>
      </c>
      <c r="W26" s="19" t="n">
        <f aca="false">IF(Q26&gt;=Settings!$C$55,2,IF(Q26&gt;=Settings!$B$55,1,0))</f>
        <v>2</v>
      </c>
      <c r="X26" s="19" t="n">
        <f aca="false">IF(J26&gt;=Settings!$C$56,2,IF(J26&gt;=Settings!$B$56,1,0))</f>
        <v>2</v>
      </c>
    </row>
    <row r="27" customFormat="false" ht="15" hidden="false" customHeight="false" outlineLevel="0" collapsed="false">
      <c r="A27" s="16" t="str">
        <f aca="false">Settings!$A$13</f>
        <v>Production</v>
      </c>
      <c r="B27" s="17" t="n">
        <f aca="false">SUMIFS('Monthly Outlook'!$C$9:$N$9,'Monthly Outlook'!$C$5:$N$5,"Actual")</f>
        <v>0</v>
      </c>
      <c r="C27" s="17" t="n">
        <f aca="false">'Monthly Outlook'!$O$19</f>
        <v>57060</v>
      </c>
      <c r="D27" s="17" t="n">
        <f aca="false">SUMIFS('Zoho Dump'!$Y$8:$Y$3007,'Zoho Dump'!$P$8:$P$3007,$A27,'Zoho Dump'!$T$8:$T$3007,"Pipeline")+SUMIFS(Adjustments!$L$8:$L$207,Adjustments!$A$8:$A$207,$A27,Adjustments!$H$8:$H$207,"Pipeline")+SUMIFS('Zoho Dump'!$Y$8:$Y$3007,'Zoho Dump'!$P$8:$P$3007,$A27,'Zoho Dump'!$T$8:$T$3007,"Overdue")+SUMIFS(Adjustments!$L$8:$L$207,Adjustments!$A$8:$A$207,$A27,Adjustments!$H$8:$H$207,"Overdue")</f>
        <v>874626</v>
      </c>
      <c r="E27" s="17" t="n">
        <f aca="false">'Monthly Outlook'!$O$29</f>
        <v>645044.5</v>
      </c>
      <c r="F27" s="17" t="n">
        <f aca="false">'Monthly Outlook'!$O$39</f>
        <v>702104.5</v>
      </c>
      <c r="G27" s="17" t="n">
        <f aca="false">'Monthly Outlook'!$O$59</f>
        <v>0</v>
      </c>
      <c r="H27" s="17" t="str">
        <f aca="false">IF(G27=0,"No budget",F27-G27)</f>
        <v>No budget</v>
      </c>
      <c r="I27" s="18" t="str">
        <f aca="false">IF(G27=0,"No budget",(B27+C27)/G27)</f>
        <v>No budget</v>
      </c>
      <c r="J27" s="18" t="n">
        <f aca="false">IF(C27+E27=0,0,E27/(C27+E27))</f>
        <v>0.918730046595628</v>
      </c>
      <c r="K27" s="17" t="n">
        <f aca="false">'Monthly Outlook'!$O$49</f>
        <v>57060</v>
      </c>
      <c r="L27" s="17" t="n">
        <f aca="false">F27-K27</f>
        <v>645044.5</v>
      </c>
      <c r="M27" s="17" t="n">
        <f aca="false">SUMIFS('Zoho Dump'!$X$8:$X$3007,'Zoho Dump'!$P$8:$P$3007,$A27,'Zoho Dump'!$AA$8:$AA$3007,1)+SUMIFS(Adjustments!$K$8:$K$207,Adjustments!$A$8:$A$207,$A27,Adjustments!$N$8:$N$207,1)</f>
        <v>0</v>
      </c>
      <c r="N27" s="17" t="n">
        <f aca="false">F27-M27</f>
        <v>702104.5</v>
      </c>
      <c r="O27" s="17" t="n">
        <f aca="false">K27-(SUMIFS('Zoho Dump'!$Z$8:$Z$3007,'Zoho Dump'!$P$8:$P$3007,$A27,'Zoho Dump'!$AA$8:$AA$3007,1)+SUMIFS(Adjustments!$M$8:$M$207,Adjustments!$A$8:$A$207,$A27,Adjustments!$N$8:$N$207,1))</f>
        <v>57060</v>
      </c>
      <c r="P27" s="9" t="str">
        <f aca="false">IF(MAX('Customer Risk'!$L$5:$L$404)=0,"-",INDEX('Customer Risk'!$B$5:$B$404,MATCH(MAX('Customer Risk'!$L$5:$L$404),'Customer Risk'!$L$5:$L$404,0)))</f>
        <v>Commonwealth Bank Australia (CBA)</v>
      </c>
      <c r="Q27" s="18" t="n">
        <f aca="false">IF(SUM('Customer Risk'!$L$5:$L$404)=0,0,MAX('Customer Risk'!$L$5:$L$404)/SUM('Customer Risk'!$L$5:$L$404))</f>
        <v>0.611555687223198</v>
      </c>
      <c r="R27" s="17" t="n">
        <f aca="false">SUMIFS('Zoho Dump'!$Q$8:$Q$3007,'Zoho Dump'!$P$8:$P$3007,$A27,'Zoho Dump'!$T$8:$T$3007,"Overdue")+SUMIFS(Adjustments!$G$8:$G$207,Adjustments!$A$8:$A$207,$A27,Adjustments!$H$8:$H$207,"Overdue")</f>
        <v>60795</v>
      </c>
      <c r="S27" s="17" t="n">
        <f aca="false">SUMIFS('Zoho Dump'!$Q$8:$Q$3007,'Zoho Dump'!$P$8:$P$3007,$A27,'Zoho Dump'!$T$8:$T$3007,"Delivered",'Zoho Dump'!$R$8:$R$3007,"&gt;="&amp;Settings!$B$4)</f>
        <v>478946</v>
      </c>
      <c r="T27" s="16" t="str">
        <f aca="false">IF(AND(B27=0,F27=0),"-",CHOOSE(MAX(V27:X27)+1,"Low","Medium","High"))</f>
        <v>High</v>
      </c>
      <c r="V27" s="19" t="n">
        <f aca="false">IF(G27=0,0,IF(F27&lt;G27*(1-Settings!$C$54),2,IF(F27&lt;G27*(1-Settings!$B$54),1,0)))</f>
        <v>0</v>
      </c>
      <c r="W27" s="19" t="n">
        <f aca="false">IF(Q27&gt;=Settings!$C$55,2,IF(Q27&gt;=Settings!$B$55,1,0))</f>
        <v>2</v>
      </c>
      <c r="X27" s="19" t="n">
        <f aca="false">IF(J27&gt;=Settings!$C$56,2,IF(J27&gt;=Settings!$B$56,1,0))</f>
        <v>2</v>
      </c>
    </row>
    <row r="28" customFormat="false" ht="15" hidden="false" customHeight="false" outlineLevel="0" collapsed="false">
      <c r="A28" s="16" t="str">
        <f aca="false">Settings!$A$14</f>
        <v>Video</v>
      </c>
      <c r="B28" s="17" t="n">
        <f aca="false">SUMIFS('Monthly Outlook'!$C$10:$N$10,'Monthly Outlook'!$C$5:$N$5,"Actual")</f>
        <v>0</v>
      </c>
      <c r="C28" s="17" t="n">
        <f aca="false">'Monthly Outlook'!$O$20</f>
        <v>11342</v>
      </c>
      <c r="D28" s="17" t="n">
        <f aca="false">SUMIFS('Zoho Dump'!$Y$8:$Y$3007,'Zoho Dump'!$P$8:$P$3007,$A28,'Zoho Dump'!$T$8:$T$3007,"Pipeline")+SUMIFS(Adjustments!$L$8:$L$207,Adjustments!$A$8:$A$207,$A28,Adjustments!$H$8:$H$207,"Pipeline")+SUMIFS('Zoho Dump'!$Y$8:$Y$3007,'Zoho Dump'!$P$8:$P$3007,$A28,'Zoho Dump'!$T$8:$T$3007,"Overdue")+SUMIFS(Adjustments!$L$8:$L$207,Adjustments!$A$8:$A$207,$A28,Adjustments!$H$8:$H$207,"Overdue")</f>
        <v>1395</v>
      </c>
      <c r="E28" s="17" t="n">
        <f aca="false">'Monthly Outlook'!$O$30</f>
        <v>1255.5</v>
      </c>
      <c r="F28" s="17" t="n">
        <f aca="false">'Monthly Outlook'!$O$40</f>
        <v>12597.5</v>
      </c>
      <c r="G28" s="17" t="n">
        <f aca="false">'Monthly Outlook'!$O$60</f>
        <v>0</v>
      </c>
      <c r="H28" s="17" t="str">
        <f aca="false">IF(G28=0,"No budget",F28-G28)</f>
        <v>No budget</v>
      </c>
      <c r="I28" s="18" t="str">
        <f aca="false">IF(G28=0,"No budget",(B28+C28)/G28)</f>
        <v>No budget</v>
      </c>
      <c r="J28" s="18" t="n">
        <f aca="false">IF(C28+E28=0,0,E28/(C28+E28))</f>
        <v>0.0996626314744989</v>
      </c>
      <c r="K28" s="17" t="n">
        <f aca="false">'Monthly Outlook'!$O$50</f>
        <v>11342</v>
      </c>
      <c r="L28" s="17" t="n">
        <f aca="false">F28-K28</f>
        <v>1255.5</v>
      </c>
      <c r="M28" s="17" t="n">
        <f aca="false">SUMIFS('Zoho Dump'!$X$8:$X$3007,'Zoho Dump'!$P$8:$P$3007,$A28,'Zoho Dump'!$AA$8:$AA$3007,1)+SUMIFS(Adjustments!$K$8:$K$207,Adjustments!$A$8:$A$207,$A28,Adjustments!$N$8:$N$207,1)</f>
        <v>0</v>
      </c>
      <c r="N28" s="17" t="n">
        <f aca="false">F28-M28</f>
        <v>12597.5</v>
      </c>
      <c r="O28" s="17" t="n">
        <f aca="false">K28-(SUMIFS('Zoho Dump'!$Z$8:$Z$3007,'Zoho Dump'!$P$8:$P$3007,$A28,'Zoho Dump'!$AA$8:$AA$3007,1)+SUMIFS(Adjustments!$M$8:$M$207,Adjustments!$A$8:$A$207,$A28,Adjustments!$N$8:$N$207,1))</f>
        <v>11342</v>
      </c>
      <c r="P28" s="9" t="str">
        <f aca="false">IF(MAX('Customer Risk'!$M$5:$M$404)=0,"-",INDEX('Customer Risk'!$B$5:$B$404,MATCH(MAX('Customer Risk'!$M$5:$M$404),'Customer Risk'!$M$5:$M$404,0)))</f>
        <v>ASX Refinitiv Charity Foundation Ltd</v>
      </c>
      <c r="Q28" s="18" t="n">
        <f aca="false">IF(SUM('Customer Risk'!$M$5:$M$404)=0,0,MAX('Customer Risk'!$M$5:$M$404)/SUM('Customer Risk'!$M$5:$M$404))</f>
        <v>0.701012105576503</v>
      </c>
      <c r="R28" s="17" t="n">
        <f aca="false">SUMIFS('Zoho Dump'!$Q$8:$Q$3007,'Zoho Dump'!$P$8:$P$3007,$A28,'Zoho Dump'!$T$8:$T$3007,"Overdue")+SUMIFS(Adjustments!$G$8:$G$207,Adjustments!$A$8:$A$207,$A28,Adjustments!$H$8:$H$207,"Overdue")</f>
        <v>0</v>
      </c>
      <c r="S28" s="17" t="n">
        <f aca="false">SUMIFS('Zoho Dump'!$Q$8:$Q$3007,'Zoho Dump'!$P$8:$P$3007,$A28,'Zoho Dump'!$T$8:$T$3007,"Delivered",'Zoho Dump'!$R$8:$R$3007,"&gt;="&amp;Settings!$B$4)</f>
        <v>6401</v>
      </c>
      <c r="T28" s="16" t="str">
        <f aca="false">IF(AND(B28=0,F28=0),"-",CHOOSE(MAX(V28:X28)+1,"Low","Medium","High"))</f>
        <v>High</v>
      </c>
      <c r="V28" s="19" t="n">
        <f aca="false">IF(G28=0,0,IF(F28&lt;G28*(1-Settings!$C$54),2,IF(F28&lt;G28*(1-Settings!$B$54),1,0)))</f>
        <v>0</v>
      </c>
      <c r="W28" s="19" t="n">
        <f aca="false">IF(Q28&gt;=Settings!$C$55,2,IF(Q28&gt;=Settings!$B$55,1,0))</f>
        <v>2</v>
      </c>
      <c r="X28" s="19" t="n">
        <f aca="false">IF(J28&gt;=Settings!$C$56,2,IF(J28&gt;=Settings!$B$56,1,0))</f>
        <v>0</v>
      </c>
    </row>
    <row r="29" customFormat="false" ht="15" hidden="false" customHeight="false" outlineLevel="0" collapsed="false">
      <c r="A29" s="16" t="str">
        <f aca="false">Settings!$A$15</f>
        <v>Consulting</v>
      </c>
      <c r="B29" s="17" t="n">
        <f aca="false">SUMIFS('Monthly Outlook'!$C$11:$N$11,'Monthly Outlook'!$C$5:$N$5,"Actual")</f>
        <v>0</v>
      </c>
      <c r="C29" s="17" t="n">
        <f aca="false">'Monthly Outlook'!$O$21</f>
        <v>0</v>
      </c>
      <c r="D29" s="17" t="n">
        <f aca="false">SUMIFS('Zoho Dump'!$Y$8:$Y$3007,'Zoho Dump'!$P$8:$P$3007,$A29,'Zoho Dump'!$T$8:$T$3007,"Pipeline")+SUMIFS(Adjustments!$L$8:$L$207,Adjustments!$A$8:$A$207,$A29,Adjustments!$H$8:$H$207,"Pipeline")+SUMIFS('Zoho Dump'!$Y$8:$Y$3007,'Zoho Dump'!$P$8:$P$3007,$A29,'Zoho Dump'!$T$8:$T$3007,"Overdue")+SUMIFS(Adjustments!$L$8:$L$207,Adjustments!$A$8:$A$207,$A29,Adjustments!$H$8:$H$207,"Overdue")</f>
        <v>75000</v>
      </c>
      <c r="E29" s="17" t="n">
        <f aca="false">'Monthly Outlook'!$O$31</f>
        <v>15000</v>
      </c>
      <c r="F29" s="17" t="n">
        <f aca="false">'Monthly Outlook'!$O$41</f>
        <v>15000</v>
      </c>
      <c r="G29" s="17" t="n">
        <f aca="false">'Monthly Outlook'!$O$61</f>
        <v>0</v>
      </c>
      <c r="H29" s="17" t="str">
        <f aca="false">IF(G29=0,"No budget",F29-G29)</f>
        <v>No budget</v>
      </c>
      <c r="I29" s="18" t="str">
        <f aca="false">IF(G29=0,"No budget",(B29+C29)/G29)</f>
        <v>No budget</v>
      </c>
      <c r="J29" s="18" t="n">
        <f aca="false">IF(C29+E29=0,0,E29/(C29+E29))</f>
        <v>1</v>
      </c>
      <c r="K29" s="17" t="n">
        <f aca="false">'Monthly Outlook'!$O$51</f>
        <v>0</v>
      </c>
      <c r="L29" s="17" t="n">
        <f aca="false">F29-K29</f>
        <v>15000</v>
      </c>
      <c r="M29" s="17" t="n">
        <f aca="false">SUMIFS('Zoho Dump'!$X$8:$X$3007,'Zoho Dump'!$P$8:$P$3007,$A29,'Zoho Dump'!$AA$8:$AA$3007,1)+SUMIFS(Adjustments!$K$8:$K$207,Adjustments!$A$8:$A$207,$A29,Adjustments!$N$8:$N$207,1)</f>
        <v>0</v>
      </c>
      <c r="N29" s="17" t="n">
        <f aca="false">F29-M29</f>
        <v>15000</v>
      </c>
      <c r="O29" s="17" t="n">
        <f aca="false">K29-(SUMIFS('Zoho Dump'!$Z$8:$Z$3007,'Zoho Dump'!$P$8:$P$3007,$A29,'Zoho Dump'!$AA$8:$AA$3007,1)+SUMIFS(Adjustments!$M$8:$M$207,Adjustments!$A$8:$A$207,$A29,Adjustments!$N$8:$N$207,1))</f>
        <v>0</v>
      </c>
      <c r="P29" s="9" t="str">
        <f aca="false">IF(MAX('Customer Risk'!$N$5:$N$404)=0,"-",INDEX('Customer Risk'!$B$5:$B$404,MATCH(MAX('Customer Risk'!$N$5:$N$404),'Customer Risk'!$N$5:$N$404,0)))</f>
        <v>Hills Grammar</v>
      </c>
      <c r="Q29" s="18" t="n">
        <f aca="false">IF(SUM('Customer Risk'!$N$5:$N$404)=0,0,MAX('Customer Risk'!$N$5:$N$404)/SUM('Customer Risk'!$N$5:$N$404))</f>
        <v>1</v>
      </c>
      <c r="R29" s="17" t="n">
        <f aca="false">SUMIFS('Zoho Dump'!$Q$8:$Q$3007,'Zoho Dump'!$P$8:$P$3007,$A29,'Zoho Dump'!$T$8:$T$3007,"Overdue")+SUMIFS(Adjustments!$G$8:$G$207,Adjustments!$A$8:$A$207,$A29,Adjustments!$H$8:$H$207,"Overdue")</f>
        <v>3000</v>
      </c>
      <c r="S29" s="17" t="n">
        <f aca="false">SUMIFS('Zoho Dump'!$Q$8:$Q$3007,'Zoho Dump'!$P$8:$P$3007,$A29,'Zoho Dump'!$T$8:$T$3007,"Delivered",'Zoho Dump'!$R$8:$R$3007,"&gt;="&amp;Settings!$B$4)</f>
        <v>53469</v>
      </c>
      <c r="T29" s="16" t="str">
        <f aca="false">IF(AND(B29=0,F29=0),"-",CHOOSE(MAX(V29:X29)+1,"Low","Medium","High"))</f>
        <v>High</v>
      </c>
      <c r="V29" s="19" t="n">
        <f aca="false">IF(G29=0,0,IF(F29&lt;G29*(1-Settings!$C$54),2,IF(F29&lt;G29*(1-Settings!$B$54),1,0)))</f>
        <v>0</v>
      </c>
      <c r="W29" s="19" t="n">
        <f aca="false">IF(Q29&gt;=Settings!$C$55,2,IF(Q29&gt;=Settings!$B$55,1,0))</f>
        <v>2</v>
      </c>
      <c r="X29" s="19" t="n">
        <f aca="false">IF(J29&gt;=Settings!$C$56,2,IF(J29&gt;=Settings!$B$56,1,0))</f>
        <v>2</v>
      </c>
    </row>
    <row r="30" customFormat="false" ht="15" hidden="false" customHeight="false" outlineLevel="0" collapsed="false">
      <c r="A30" s="16" t="str">
        <f aca="false">Settings!$A$16</f>
        <v>Integration</v>
      </c>
      <c r="B30" s="17" t="n">
        <f aca="false">SUMIFS('Monthly Outlook'!$C$12:$N$12,'Monthly Outlook'!$C$5:$N$5,"Actual")</f>
        <v>0</v>
      </c>
      <c r="C30" s="17" t="n">
        <f aca="false">'Monthly Outlook'!$O$22</f>
        <v>0</v>
      </c>
      <c r="D30" s="17" t="n">
        <f aca="false">SUMIFS('Zoho Dump'!$Y$8:$Y$3007,'Zoho Dump'!$P$8:$P$3007,$A30,'Zoho Dump'!$T$8:$T$3007,"Pipeline")+SUMIFS(Adjustments!$L$8:$L$207,Adjustments!$A$8:$A$207,$A30,Adjustments!$H$8:$H$207,"Pipeline")+SUMIFS('Zoho Dump'!$Y$8:$Y$3007,'Zoho Dump'!$P$8:$P$3007,$A30,'Zoho Dump'!$T$8:$T$3007,"Overdue")+SUMIFS(Adjustments!$L$8:$L$207,Adjustments!$A$8:$A$207,$A30,Adjustments!$H$8:$H$207,"Overdue")</f>
        <v>98456</v>
      </c>
      <c r="E30" s="17" t="n">
        <f aca="false">'Monthly Outlook'!$O$32</f>
        <v>53999.7</v>
      </c>
      <c r="F30" s="17" t="n">
        <f aca="false">'Monthly Outlook'!$O$42</f>
        <v>53999.7</v>
      </c>
      <c r="G30" s="17" t="n">
        <f aca="false">'Monthly Outlook'!$O$62</f>
        <v>0</v>
      </c>
      <c r="H30" s="17" t="str">
        <f aca="false">IF(G30=0,"No budget",F30-G30)</f>
        <v>No budget</v>
      </c>
      <c r="I30" s="18" t="str">
        <f aca="false">IF(G30=0,"No budget",(B30+C30)/G30)</f>
        <v>No budget</v>
      </c>
      <c r="J30" s="18" t="n">
        <f aca="false">IF(C30+E30=0,0,E30/(C30+E30))</f>
        <v>1</v>
      </c>
      <c r="K30" s="17" t="n">
        <f aca="false">'Monthly Outlook'!$O$52</f>
        <v>0</v>
      </c>
      <c r="L30" s="17" t="n">
        <f aca="false">F30-K30</f>
        <v>53999.7</v>
      </c>
      <c r="M30" s="17" t="n">
        <f aca="false">SUMIFS('Zoho Dump'!$X$8:$X$3007,'Zoho Dump'!$P$8:$P$3007,$A30,'Zoho Dump'!$AA$8:$AA$3007,1)+SUMIFS(Adjustments!$K$8:$K$207,Adjustments!$A$8:$A$207,$A30,Adjustments!$N$8:$N$207,1)</f>
        <v>0</v>
      </c>
      <c r="N30" s="17" t="n">
        <f aca="false">F30-M30</f>
        <v>53999.7</v>
      </c>
      <c r="O30" s="17" t="n">
        <f aca="false">K30-(SUMIFS('Zoho Dump'!$Z$8:$Z$3007,'Zoho Dump'!$P$8:$P$3007,$A30,'Zoho Dump'!$AA$8:$AA$3007,1)+SUMIFS(Adjustments!$M$8:$M$207,Adjustments!$A$8:$A$207,$A30,Adjustments!$N$8:$N$207,1))</f>
        <v>0</v>
      </c>
      <c r="P30" s="9" t="str">
        <f aca="false">IF(MAX('Customer Risk'!$O$5:$O$404)=0,"-",INDEX('Customer Risk'!$B$5:$B$404,MATCH(MAX('Customer Risk'!$O$5:$O$404),'Customer Risk'!$O$5:$O$404,0)))</f>
        <v>Aware Super</v>
      </c>
      <c r="Q30" s="18" t="n">
        <f aca="false">IF(SUM('Customer Risk'!$O$5:$O$404)=0,0,MAX('Customer Risk'!$O$5:$O$404)/SUM('Customer Risk'!$O$5:$O$404))</f>
        <v>0.382376198386287</v>
      </c>
      <c r="R30" s="17" t="n">
        <f aca="false">SUMIFS('Zoho Dump'!$Q$8:$Q$3007,'Zoho Dump'!$P$8:$P$3007,$A30,'Zoho Dump'!$T$8:$T$3007,"Overdue")+SUMIFS(Adjustments!$G$8:$G$207,Adjustments!$A$8:$A$207,$A30,Adjustments!$H$8:$H$207,"Overdue")</f>
        <v>0</v>
      </c>
      <c r="S30" s="17" t="n">
        <f aca="false">SUMIFS('Zoho Dump'!$Q$8:$Q$3007,'Zoho Dump'!$P$8:$P$3007,$A30,'Zoho Dump'!$T$8:$T$3007,"Delivered",'Zoho Dump'!$R$8:$R$3007,"&gt;="&amp;Settings!$B$4)</f>
        <v>181846</v>
      </c>
      <c r="T30" s="16" t="str">
        <f aca="false">IF(AND(B30=0,F30=0),"-",CHOOSE(MAX(V30:X30)+1,"Low","Medium","High"))</f>
        <v>High</v>
      </c>
      <c r="V30" s="19" t="n">
        <f aca="false">IF(G30=0,0,IF(F30&lt;G30*(1-Settings!$C$54),2,IF(F30&lt;G30*(1-Settings!$B$54),1,0)))</f>
        <v>0</v>
      </c>
      <c r="W30" s="19" t="n">
        <f aca="false">IF(Q30&gt;=Settings!$C$55,2,IF(Q30&gt;=Settings!$B$55,1,0))</f>
        <v>1</v>
      </c>
      <c r="X30" s="19" t="n">
        <f aca="false">IF(J30&gt;=Settings!$C$56,2,IF(J30&gt;=Settings!$B$56,1,0))</f>
        <v>2</v>
      </c>
    </row>
    <row r="31" customFormat="false" ht="15" hidden="false" customHeight="false" outlineLevel="0" collapsed="false">
      <c r="A31" s="16" t="str">
        <f aca="false">Settings!$A$17</f>
        <v>Admin</v>
      </c>
      <c r="B31" s="17" t="n">
        <f aca="false">SUMIFS('Monthly Outlook'!$C$13:$N$13,'Monthly Outlook'!$C$5:$N$5,"Actual")</f>
        <v>0</v>
      </c>
      <c r="C31" s="17" t="n">
        <f aca="false">'Monthly Outlook'!$O$23</f>
        <v>0</v>
      </c>
      <c r="D31" s="17" t="n">
        <f aca="false">SUMIFS('Zoho Dump'!$Y$8:$Y$3007,'Zoho Dump'!$P$8:$P$3007,$A31,'Zoho Dump'!$T$8:$T$3007,"Pipeline")+SUMIFS(Adjustments!$L$8:$L$207,Adjustments!$A$8:$A$207,$A31,Adjustments!$H$8:$H$207,"Pipeline")+SUMIFS('Zoho Dump'!$Y$8:$Y$3007,'Zoho Dump'!$P$8:$P$3007,$A31,'Zoho Dump'!$T$8:$T$3007,"Overdue")+SUMIFS(Adjustments!$L$8:$L$207,Adjustments!$A$8:$A$207,$A31,Adjustments!$H$8:$H$207,"Overdue")</f>
        <v>0</v>
      </c>
      <c r="E31" s="17" t="n">
        <f aca="false">'Monthly Outlook'!$O$33</f>
        <v>0</v>
      </c>
      <c r="F31" s="17" t="n">
        <f aca="false">'Monthly Outlook'!$O$43</f>
        <v>0</v>
      </c>
      <c r="G31" s="17" t="n">
        <f aca="false">'Monthly Outlook'!$O$63</f>
        <v>0</v>
      </c>
      <c r="H31" s="17" t="str">
        <f aca="false">IF(G31=0,"No budget",F31-G31)</f>
        <v>No budget</v>
      </c>
      <c r="I31" s="18" t="str">
        <f aca="false">IF(G31=0,"No budget",(B31+C31)/G31)</f>
        <v>No budget</v>
      </c>
      <c r="J31" s="18" t="n">
        <f aca="false">IF(C31+E31=0,0,E31/(C31+E31))</f>
        <v>0</v>
      </c>
      <c r="K31" s="17" t="n">
        <f aca="false">'Monthly Outlook'!$O$53</f>
        <v>0</v>
      </c>
      <c r="L31" s="17" t="n">
        <f aca="false">F31-K31</f>
        <v>0</v>
      </c>
      <c r="M31" s="17" t="n">
        <f aca="false">SUMIFS('Zoho Dump'!$X$8:$X$3007,'Zoho Dump'!$P$8:$P$3007,$A31,'Zoho Dump'!$AA$8:$AA$3007,1)+SUMIFS(Adjustments!$K$8:$K$207,Adjustments!$A$8:$A$207,$A31,Adjustments!$N$8:$N$207,1)</f>
        <v>0</v>
      </c>
      <c r="N31" s="17" t="n">
        <f aca="false">F31-M31</f>
        <v>0</v>
      </c>
      <c r="O31" s="17" t="n">
        <f aca="false">K31-(SUMIFS('Zoho Dump'!$Z$8:$Z$3007,'Zoho Dump'!$P$8:$P$3007,$A31,'Zoho Dump'!$AA$8:$AA$3007,1)+SUMIFS(Adjustments!$M$8:$M$207,Adjustments!$A$8:$A$207,$A31,Adjustments!$N$8:$N$207,1))</f>
        <v>0</v>
      </c>
      <c r="P31" s="9" t="str">
        <f aca="false">IF(MAX('Customer Risk'!$P$5:$P$404)=0,"-",INDEX('Customer Risk'!$B$5:$B$404,MATCH(MAX('Customer Risk'!$P$5:$P$404),'Customer Risk'!$P$5:$P$404,0)))</f>
        <v>-</v>
      </c>
      <c r="Q31" s="18" t="n">
        <f aca="false">IF(SUM('Customer Risk'!$P$5:$P$404)=0,0,MAX('Customer Risk'!$P$5:$P$404)/SUM('Customer Risk'!$P$5:$P$404))</f>
        <v>0</v>
      </c>
      <c r="R31" s="17" t="n">
        <f aca="false">SUMIFS('Zoho Dump'!$Q$8:$Q$3007,'Zoho Dump'!$P$8:$P$3007,$A31,'Zoho Dump'!$T$8:$T$3007,"Overdue")+SUMIFS(Adjustments!$G$8:$G$207,Adjustments!$A$8:$A$207,$A31,Adjustments!$H$8:$H$207,"Overdue")</f>
        <v>0</v>
      </c>
      <c r="S31" s="17" t="n">
        <f aca="false">SUMIFS('Zoho Dump'!$Q$8:$Q$3007,'Zoho Dump'!$P$8:$P$3007,$A31,'Zoho Dump'!$T$8:$T$3007,"Delivered",'Zoho Dump'!$R$8:$R$3007,"&gt;="&amp;Settings!$B$4)</f>
        <v>0</v>
      </c>
      <c r="T31" s="16" t="str">
        <f aca="false">IF(AND(B31=0,F31=0),"-",CHOOSE(MAX(V31:X31)+1,"Low","Medium","High"))</f>
        <v>-</v>
      </c>
      <c r="V31" s="19" t="n">
        <f aca="false">IF(G31=0,0,IF(F31&lt;G31*(1-Settings!$C$54),2,IF(F31&lt;G31*(1-Settings!$B$54),1,0)))</f>
        <v>0</v>
      </c>
      <c r="W31" s="19" t="n">
        <f aca="false">IF(Q31&gt;=Settings!$C$55,2,IF(Q31&gt;=Settings!$B$55,1,0))</f>
        <v>0</v>
      </c>
      <c r="X31" s="19" t="n">
        <f aca="false">IF(J31&gt;=Settings!$C$56,2,IF(J31&gt;=Settings!$B$56,1,0))</f>
        <v>0</v>
      </c>
    </row>
    <row r="32" customFormat="false" ht="15" hidden="false" customHeight="false" outlineLevel="0" collapsed="false">
      <c r="A32" s="16" t="str">
        <f aca="false">Settings!$A$18</f>
        <v>Unallocated</v>
      </c>
      <c r="B32" s="17" t="n">
        <f aca="false">SUMIFS('Monthly Outlook'!$C$14:$N$14,'Monthly Outlook'!$C$5:$N$5,"Actual")</f>
        <v>0</v>
      </c>
      <c r="C32" s="17" t="n">
        <f aca="false">'Monthly Outlook'!$O$24</f>
        <v>0</v>
      </c>
      <c r="D32" s="17" t="n">
        <f aca="false">SUMIFS('Zoho Dump'!$Y$8:$Y$3007,'Zoho Dump'!$P$8:$P$3007,$A32,'Zoho Dump'!$T$8:$T$3007,"Pipeline")+SUMIFS(Adjustments!$L$8:$L$207,Adjustments!$A$8:$A$207,$A32,Adjustments!$H$8:$H$207,"Pipeline")+SUMIFS('Zoho Dump'!$Y$8:$Y$3007,'Zoho Dump'!$P$8:$P$3007,$A32,'Zoho Dump'!$T$8:$T$3007,"Overdue")+SUMIFS(Adjustments!$L$8:$L$207,Adjustments!$A$8:$A$207,$A32,Adjustments!$H$8:$H$207,"Overdue")</f>
        <v>0</v>
      </c>
      <c r="E32" s="17" t="n">
        <f aca="false">'Monthly Outlook'!$O$34</f>
        <v>0</v>
      </c>
      <c r="F32" s="17" t="n">
        <f aca="false">'Monthly Outlook'!$O$44</f>
        <v>0</v>
      </c>
      <c r="G32" s="17" t="n">
        <f aca="false">'Monthly Outlook'!$O$64</f>
        <v>0</v>
      </c>
      <c r="H32" s="17" t="str">
        <f aca="false">IF(G32=0,"No budget",F32-G32)</f>
        <v>No budget</v>
      </c>
      <c r="I32" s="18" t="str">
        <f aca="false">IF(G32=0,"No budget",(B32+C32)/G32)</f>
        <v>No budget</v>
      </c>
      <c r="J32" s="18" t="n">
        <f aca="false">IF(C32+E32=0,0,E32/(C32+E32))</f>
        <v>0</v>
      </c>
      <c r="K32" s="17" t="n">
        <f aca="false">'Monthly Outlook'!$O$54</f>
        <v>0</v>
      </c>
      <c r="L32" s="17" t="n">
        <f aca="false">F32-K32</f>
        <v>0</v>
      </c>
      <c r="M32" s="17" t="n">
        <f aca="false">SUMIFS('Zoho Dump'!$X$8:$X$3007,'Zoho Dump'!$P$8:$P$3007,$A32,'Zoho Dump'!$AA$8:$AA$3007,1)+SUMIFS(Adjustments!$K$8:$K$207,Adjustments!$A$8:$A$207,$A32,Adjustments!$N$8:$N$207,1)</f>
        <v>0</v>
      </c>
      <c r="N32" s="17" t="n">
        <f aca="false">F32-M32</f>
        <v>0</v>
      </c>
      <c r="O32" s="17" t="n">
        <f aca="false">K32-(SUMIFS('Zoho Dump'!$Z$8:$Z$3007,'Zoho Dump'!$P$8:$P$3007,$A32,'Zoho Dump'!$AA$8:$AA$3007,1)+SUMIFS(Adjustments!$M$8:$M$207,Adjustments!$A$8:$A$207,$A32,Adjustments!$N$8:$N$207,1))</f>
        <v>0</v>
      </c>
      <c r="P32" s="9" t="str">
        <f aca="false">IF(MAX('Customer Risk'!$Q$5:$Q$404)=0,"-",INDEX('Customer Risk'!$B$5:$B$404,MATCH(MAX('Customer Risk'!$Q$5:$Q$404),'Customer Risk'!$Q$5:$Q$404,0)))</f>
        <v>-</v>
      </c>
      <c r="Q32" s="18" t="n">
        <f aca="false">IF(SUM('Customer Risk'!$Q$5:$Q$404)=0,0,MAX('Customer Risk'!$Q$5:$Q$404)/SUM('Customer Risk'!$Q$5:$Q$404))</f>
        <v>0</v>
      </c>
      <c r="R32" s="17" t="n">
        <f aca="false">SUMIFS('Zoho Dump'!$Q$8:$Q$3007,'Zoho Dump'!$P$8:$P$3007,$A32,'Zoho Dump'!$T$8:$T$3007,"Overdue")+SUMIFS(Adjustments!$G$8:$G$207,Adjustments!$A$8:$A$207,$A32,Adjustments!$H$8:$H$207,"Overdue")</f>
        <v>0</v>
      </c>
      <c r="S32" s="17" t="n">
        <f aca="false">SUMIFS('Zoho Dump'!$Q$8:$Q$3007,'Zoho Dump'!$P$8:$P$3007,$A32,'Zoho Dump'!$T$8:$T$3007,"Delivered",'Zoho Dump'!$R$8:$R$3007,"&gt;="&amp;Settings!$B$4)</f>
        <v>0</v>
      </c>
      <c r="T32" s="16" t="str">
        <f aca="false">IF(AND(B32=0,F32=0),"-",CHOOSE(MAX(V32:X32)+1,"Low","Medium","High"))</f>
        <v>-</v>
      </c>
      <c r="V32" s="19" t="n">
        <f aca="false">IF(G32=0,0,IF(F32&lt;G32*(1-Settings!$C$54),2,IF(F32&lt;G32*(1-Settings!$B$54),1,0)))</f>
        <v>0</v>
      </c>
      <c r="W32" s="19" t="n">
        <f aca="false">IF(Q32&gt;=Settings!$C$55,2,IF(Q32&gt;=Settings!$B$55,1,0))</f>
        <v>0</v>
      </c>
      <c r="X32" s="19" t="n">
        <f aca="false">IF(J32&gt;=Settings!$C$56,2,IF(J32&gt;=Settings!$B$56,1,0))</f>
        <v>0</v>
      </c>
    </row>
    <row r="33" customFormat="false" ht="15" hidden="false" customHeight="false" outlineLevel="0" collapsed="false">
      <c r="A33" s="20" t="s">
        <v>55</v>
      </c>
      <c r="B33" s="21" t="n">
        <f aca="false">SUM(B26:B32)</f>
        <v>0</v>
      </c>
      <c r="C33" s="21" t="n">
        <f aca="false">SUM(C26:C32)</f>
        <v>85402</v>
      </c>
      <c r="D33" s="21" t="n">
        <f aca="false">SUM(D26:D32)</f>
        <v>1124477</v>
      </c>
      <c r="E33" s="21" t="n">
        <f aca="false">SUM(E26:E32)</f>
        <v>767799.7</v>
      </c>
      <c r="F33" s="21" t="n">
        <f aca="false">SUM(F26:F32)</f>
        <v>853201.7</v>
      </c>
      <c r="G33" s="21" t="n">
        <f aca="false">SUM(G26:G32)</f>
        <v>0</v>
      </c>
      <c r="H33" s="21" t="str">
        <f aca="false">IF(G33=0,"No budget",F33-G33)</f>
        <v>No budget</v>
      </c>
      <c r="I33" s="22" t="str">
        <f aca="false">IF(G33=0,"No budget",(B33+C33)/G33)</f>
        <v>No budget</v>
      </c>
      <c r="J33" s="22" t="n">
        <f aca="false">IF(C33+E33=0,0,E33/(C33+E33))</f>
        <v>0.899904090673987</v>
      </c>
      <c r="K33" s="21" t="n">
        <f aca="false">SUM(K26:K32)</f>
        <v>85402</v>
      </c>
      <c r="L33" s="21" t="n">
        <f aca="false">SUM(L26:L32)</f>
        <v>767799.7</v>
      </c>
      <c r="M33" s="21" t="n">
        <f aca="false">SUM(M26:M32)</f>
        <v>0</v>
      </c>
      <c r="N33" s="21" t="n">
        <f aca="false">SUM(N26:N32)</f>
        <v>853201.7</v>
      </c>
      <c r="O33" s="21" t="n">
        <f aca="false">SUM(O26:O32)</f>
        <v>85402</v>
      </c>
      <c r="P33" s="21" t="str">
        <f aca="false">B37</f>
        <v>Commonwealth Bank Australia (CBA)</v>
      </c>
      <c r="Q33" s="22" t="n">
        <f aca="false">F37</f>
        <v>0.503252630649939</v>
      </c>
      <c r="R33" s="21" t="n">
        <f aca="false">SUM(R26:R32)</f>
        <v>200995</v>
      </c>
      <c r="S33" s="21" t="n">
        <f aca="false">SUM(S26:S32)</f>
        <v>879921</v>
      </c>
      <c r="T33" s="21"/>
    </row>
    <row r="35" customFormat="false" ht="15" hidden="false" customHeight="false" outlineLevel="0" collapsed="false">
      <c r="A35" s="7" t="s">
        <v>56</v>
      </c>
    </row>
    <row r="36" customFormat="false" ht="35.05" hidden="false" customHeight="false" outlineLevel="0" collapsed="false">
      <c r="A36" s="14" t="s">
        <v>57</v>
      </c>
      <c r="B36" s="14" t="s">
        <v>58</v>
      </c>
      <c r="C36" s="14" t="s">
        <v>34</v>
      </c>
      <c r="D36" s="14" t="s">
        <v>36</v>
      </c>
      <c r="E36" s="14" t="s">
        <v>59</v>
      </c>
      <c r="F36" s="14" t="s">
        <v>60</v>
      </c>
      <c r="G36" s="14" t="s">
        <v>61</v>
      </c>
      <c r="H36" s="14" t="s">
        <v>62</v>
      </c>
    </row>
    <row r="37" customFormat="false" ht="15" hidden="false" customHeight="false" outlineLevel="0" collapsed="false">
      <c r="A37" s="9" t="n">
        <v>1</v>
      </c>
      <c r="B37" s="9" t="str">
        <f aca="false">IFERROR(INDEX('Customer Risk'!$B$5:$B$404,MATCH(LARGE('Customer Risk'!$R$5:$R$404,1),'Customer Risk'!$R$5:$R$404,0)),"")</f>
        <v>Commonwealth Bank Australia (CBA)</v>
      </c>
      <c r="C37" s="17" t="n">
        <f aca="false">IFERROR(INDEX('Customer Risk'!$D$5:$D$404,MATCH(LARGE('Customer Risk'!$R$5:$R$404,1),'Customer Risk'!$R$5:$R$404,0)),0)</f>
        <v>0</v>
      </c>
      <c r="D37" s="17" t="n">
        <f aca="false">IFERROR(INDEX('Customer Risk'!$F$5:$F$404,MATCH(LARGE('Customer Risk'!$R$5:$R$404,1),'Customer Risk'!$R$5:$R$404,0)),0)</f>
        <v>429376</v>
      </c>
      <c r="E37" s="17" t="n">
        <f aca="false">IFERROR(INDEX('Customer Risk'!$G$5:$G$404,MATCH(LARGE('Customer Risk'!$R$5:$R$404,1),'Customer Risk'!$R$5:$R$404,0)),0)</f>
        <v>429376</v>
      </c>
      <c r="F37" s="18" t="n">
        <f aca="false">IFERROR(INDEX('Customer Risk'!$H$5:$H$404,MATCH(LARGE('Customer Risk'!$R$5:$R$404,1),'Customer Risk'!$R$5:$R$404,0)),0)</f>
        <v>0.503252630649939</v>
      </c>
      <c r="G37" s="18" t="n">
        <f aca="false">SUM($F$37:F37)</f>
        <v>0.503252630649939</v>
      </c>
      <c r="H37" s="9" t="str">
        <f aca="false">IFERROR(INDEX('Customer Risk'!$J$5:$J$404,MATCH(LARGE('Customer Risk'!$R$5:$R$404,1),'Customer Risk'!$R$5:$R$404,0)),"")</f>
        <v/>
      </c>
    </row>
    <row r="38" customFormat="false" ht="15" hidden="false" customHeight="false" outlineLevel="0" collapsed="false">
      <c r="A38" s="9" t="n">
        <v>2</v>
      </c>
      <c r="B38" s="9" t="str">
        <f aca="false">IFERROR(INDEX('Customer Risk'!$B$5:$B$404,MATCH(LARGE('Customer Risk'!$R$5:$R$404,2),'Customer Risk'!$R$5:$R$404,0)),"")</f>
        <v>MUFG IR / Orient Capital</v>
      </c>
      <c r="C38" s="17" t="n">
        <f aca="false">IFERROR(INDEX('Customer Risk'!$D$5:$D$404,MATCH(LARGE('Customer Risk'!$R$5:$R$404,2),'Customer Risk'!$R$5:$R$404,0)),0)</f>
        <v>0</v>
      </c>
      <c r="D38" s="17" t="n">
        <f aca="false">IFERROR(INDEX('Customer Risk'!$F$5:$F$404,MATCH(LARGE('Customer Risk'!$R$5:$R$404,2),'Customer Risk'!$R$5:$R$404,0)),0)</f>
        <v>74751.4</v>
      </c>
      <c r="E38" s="17" t="n">
        <f aca="false">IFERROR(INDEX('Customer Risk'!$G$5:$G$404,MATCH(LARGE('Customer Risk'!$R$5:$R$404,2),'Customer Risk'!$R$5:$R$404,0)),0)</f>
        <v>74751.4</v>
      </c>
      <c r="F38" s="18" t="n">
        <f aca="false">IFERROR(INDEX('Customer Risk'!$H$5:$H$404,MATCH(LARGE('Customer Risk'!$R$5:$R$404,2),'Customer Risk'!$R$5:$R$404,0)),0)</f>
        <v>0.0876128118357008</v>
      </c>
      <c r="G38" s="18" t="n">
        <f aca="false">SUM($F$37:F38)</f>
        <v>0.59086544248564</v>
      </c>
      <c r="H38" s="9" t="str">
        <f aca="false">IFERROR(INDEX('Customer Risk'!$J$5:$J$404,MATCH(LARGE('Customer Risk'!$R$5:$R$404,2),'Customer Risk'!$R$5:$R$404,0)),"")</f>
        <v/>
      </c>
    </row>
    <row r="39" customFormat="false" ht="15" hidden="false" customHeight="false" outlineLevel="0" collapsed="false">
      <c r="A39" s="9" t="n">
        <v>3</v>
      </c>
      <c r="B39" s="9" t="str">
        <f aca="false">IFERROR(INDEX('Customer Risk'!$B$5:$B$404,MATCH(LARGE('Customer Risk'!$R$5:$R$404,3),'Customer Risk'!$R$5:$R$404,0)),"")</f>
        <v>Deloitte Australia</v>
      </c>
      <c r="C39" s="17" t="n">
        <f aca="false">IFERROR(INDEX('Customer Risk'!$D$5:$D$404,MATCH(LARGE('Customer Risk'!$R$5:$R$404,3),'Customer Risk'!$R$5:$R$404,0)),0)</f>
        <v>0</v>
      </c>
      <c r="D39" s="17" t="n">
        <f aca="false">IFERROR(INDEX('Customer Risk'!$F$5:$F$404,MATCH(LARGE('Customer Risk'!$R$5:$R$404,3),'Customer Risk'!$R$5:$R$404,0)),0)</f>
        <v>53012.5</v>
      </c>
      <c r="E39" s="17" t="n">
        <f aca="false">IFERROR(INDEX('Customer Risk'!$G$5:$G$404,MATCH(LARGE('Customer Risk'!$R$5:$R$404,3),'Customer Risk'!$R$5:$R$404,0)),0)</f>
        <v>53012.5</v>
      </c>
      <c r="F39" s="18" t="n">
        <f aca="false">IFERROR(INDEX('Customer Risk'!$H$5:$H$404,MATCH(LARGE('Customer Risk'!$R$5:$R$404,3),'Customer Risk'!$R$5:$R$404,0)),0)</f>
        <v>0.0621336080319578</v>
      </c>
      <c r="G39" s="18" t="n">
        <f aca="false">SUM($F$37:F39)</f>
        <v>0.652999050517598</v>
      </c>
      <c r="H39" s="9" t="str">
        <f aca="false">IFERROR(INDEX('Customer Risk'!$J$5:$J$404,MATCH(LARGE('Customer Risk'!$R$5:$R$404,3),'Customer Risk'!$R$5:$R$404,0)),"")</f>
        <v/>
      </c>
    </row>
    <row r="40" customFormat="false" ht="15" hidden="false" customHeight="false" outlineLevel="0" collapsed="false">
      <c r="A40" s="9" t="n">
        <v>4</v>
      </c>
      <c r="B40" s="9" t="str">
        <f aca="false">IFERROR(INDEX('Customer Risk'!$B$5:$B$404,MATCH(LARGE('Customer Risk'!$R$5:$R$404,4),'Customer Risk'!$R$5:$R$404,0)),"")</f>
        <v>Automic Group</v>
      </c>
      <c r="C40" s="17" t="n">
        <f aca="false">IFERROR(INDEX('Customer Risk'!$D$5:$D$404,MATCH(LARGE('Customer Risk'!$R$5:$R$404,4),'Customer Risk'!$R$5:$R$404,0)),0)</f>
        <v>0</v>
      </c>
      <c r="D40" s="17" t="n">
        <f aca="false">IFERROR(INDEX('Customer Risk'!$F$5:$F$404,MATCH(LARGE('Customer Risk'!$R$5:$R$404,4),'Customer Risk'!$R$5:$R$404,0)),0)</f>
        <v>40654.7</v>
      </c>
      <c r="E40" s="17" t="n">
        <f aca="false">IFERROR(INDEX('Customer Risk'!$G$5:$G$404,MATCH(LARGE('Customer Risk'!$R$5:$R$404,4),'Customer Risk'!$R$5:$R$404,0)),0)</f>
        <v>40654.7</v>
      </c>
      <c r="F40" s="18" t="n">
        <f aca="false">IFERROR(INDEX('Customer Risk'!$H$5:$H$404,MATCH(LARGE('Customer Risk'!$R$5:$R$404,4),'Customer Risk'!$R$5:$R$404,0)),0)</f>
        <v>0.0476495768819964</v>
      </c>
      <c r="G40" s="18" t="n">
        <f aca="false">SUM($F$37:F40)</f>
        <v>0.700648627399594</v>
      </c>
      <c r="H40" s="9" t="str">
        <f aca="false">IFERROR(INDEX('Customer Risk'!$J$5:$J$404,MATCH(LARGE('Customer Risk'!$R$5:$R$404,4),'Customer Risk'!$R$5:$R$404,0)),"")</f>
        <v/>
      </c>
    </row>
    <row r="41" customFormat="false" ht="15" hidden="false" customHeight="false" outlineLevel="0" collapsed="false">
      <c r="A41" s="9" t="n">
        <v>5</v>
      </c>
      <c r="B41" s="9" t="str">
        <f aca="false">IFERROR(INDEX('Customer Risk'!$B$5:$B$404,MATCH(LARGE('Customer Risk'!$R$5:$R$404,5),'Customer Risk'!$R$5:$R$404,0)),"")</f>
        <v>Microsoft</v>
      </c>
      <c r="C41" s="17" t="n">
        <f aca="false">IFERROR(INDEX('Customer Risk'!$D$5:$D$404,MATCH(LARGE('Customer Risk'!$R$5:$R$404,5),'Customer Risk'!$R$5:$R$404,0)),0)</f>
        <v>27122</v>
      </c>
      <c r="D41" s="17" t="n">
        <f aca="false">IFERROR(INDEX('Customer Risk'!$F$5:$F$404,MATCH(LARGE('Customer Risk'!$R$5:$R$404,5),'Customer Risk'!$R$5:$R$404,0)),0)</f>
        <v>0</v>
      </c>
      <c r="E41" s="17" t="n">
        <f aca="false">IFERROR(INDEX('Customer Risk'!$G$5:$G$404,MATCH(LARGE('Customer Risk'!$R$5:$R$404,5),'Customer Risk'!$R$5:$R$404,0)),0)</f>
        <v>27122</v>
      </c>
      <c r="F41" s="18" t="n">
        <f aca="false">IFERROR(INDEX('Customer Risk'!$H$5:$H$404,MATCH(LARGE('Customer Risk'!$R$5:$R$404,5),'Customer Risk'!$R$5:$R$404,0)),0)</f>
        <v>0.0317884973740676</v>
      </c>
      <c r="G41" s="18" t="n">
        <f aca="false">SUM($F$37:F41)</f>
        <v>0.732437124773662</v>
      </c>
      <c r="H41" s="9" t="str">
        <f aca="false">IFERROR(INDEX('Customer Risk'!$J$5:$J$404,MATCH(LARGE('Customer Risk'!$R$5:$R$404,5),'Customer Risk'!$R$5:$R$404,0)),"")</f>
        <v/>
      </c>
    </row>
    <row r="42" customFormat="false" ht="15" hidden="false" customHeight="false" outlineLevel="0" collapsed="false">
      <c r="A42" s="9" t="n">
        <v>6</v>
      </c>
      <c r="B42" s="9" t="str">
        <f aca="false">IFERROR(INDEX('Customer Risk'!$B$5:$B$404,MATCH(LARGE('Customer Risk'!$R$5:$R$404,6),'Customer Risk'!$R$5:$R$404,0)),"")</f>
        <v>The Lottery Corporation</v>
      </c>
      <c r="C42" s="17" t="n">
        <f aca="false">IFERROR(INDEX('Customer Risk'!$D$5:$D$404,MATCH(LARGE('Customer Risk'!$R$5:$R$404,6),'Customer Risk'!$R$5:$R$404,0)),0)</f>
        <v>0</v>
      </c>
      <c r="D42" s="17" t="n">
        <f aca="false">IFERROR(INDEX('Customer Risk'!$F$5:$F$404,MATCH(LARGE('Customer Risk'!$R$5:$R$404,6),'Customer Risk'!$R$5:$R$404,0)),0)</f>
        <v>25543.8</v>
      </c>
      <c r="E42" s="17" t="n">
        <f aca="false">IFERROR(INDEX('Customer Risk'!$G$5:$G$404,MATCH(LARGE('Customer Risk'!$R$5:$R$404,6),'Customer Risk'!$R$5:$R$404,0)),0)</f>
        <v>25543.8</v>
      </c>
      <c r="F42" s="18" t="n">
        <f aca="false">IFERROR(INDEX('Customer Risk'!$H$5:$H$404,MATCH(LARGE('Customer Risk'!$R$5:$R$404,6),'Customer Risk'!$R$5:$R$404,0)),0)</f>
        <v>0.0299387589124588</v>
      </c>
      <c r="G42" s="18" t="n">
        <f aca="false">SUM($F$37:F42)</f>
        <v>0.76237588368612</v>
      </c>
      <c r="H42" s="9" t="str">
        <f aca="false">IFERROR(INDEX('Customer Risk'!$J$5:$J$404,MATCH(LARGE('Customer Risk'!$R$5:$R$404,6),'Customer Risk'!$R$5:$R$404,0)),"")</f>
        <v/>
      </c>
    </row>
    <row r="43" customFormat="false" ht="15" hidden="false" customHeight="false" outlineLevel="0" collapsed="false">
      <c r="A43" s="9" t="n">
        <v>7</v>
      </c>
      <c r="B43" s="9" t="str">
        <f aca="false">IFERROR(INDEX('Customer Risk'!$B$5:$B$404,MATCH(LARGE('Customer Risk'!$R$5:$R$404,7),'Customer Risk'!$R$5:$R$404,0)),"")</f>
        <v>Aware Super</v>
      </c>
      <c r="C43" s="17" t="n">
        <f aca="false">IFERROR(INDEX('Customer Risk'!$D$5:$D$404,MATCH(LARGE('Customer Risk'!$R$5:$R$404,7),'Customer Risk'!$R$5:$R$404,0)),0)</f>
        <v>0</v>
      </c>
      <c r="D43" s="17" t="n">
        <f aca="false">IFERROR(INDEX('Customer Risk'!$F$5:$F$404,MATCH(LARGE('Customer Risk'!$R$5:$R$404,7),'Customer Risk'!$R$5:$R$404,0)),0)</f>
        <v>22648.2</v>
      </c>
      <c r="E43" s="17" t="n">
        <f aca="false">IFERROR(INDEX('Customer Risk'!$G$5:$G$404,MATCH(LARGE('Customer Risk'!$R$5:$R$404,7),'Customer Risk'!$R$5:$R$404,0)),0)</f>
        <v>22648.2</v>
      </c>
      <c r="F43" s="18" t="n">
        <f aca="false">IFERROR(INDEX('Customer Risk'!$H$5:$H$404,MATCH(LARGE('Customer Risk'!$R$5:$R$404,7),'Customer Risk'!$R$5:$R$404,0)),0)</f>
        <v>0.0265449541415588</v>
      </c>
      <c r="G43" s="18" t="n">
        <f aca="false">SUM($F$37:F43)</f>
        <v>0.788920837827679</v>
      </c>
      <c r="H43" s="9" t="str">
        <f aca="false">IFERROR(INDEX('Customer Risk'!$J$5:$J$404,MATCH(LARGE('Customer Risk'!$R$5:$R$404,7),'Customer Risk'!$R$5:$R$404,0)),"")</f>
        <v/>
      </c>
    </row>
    <row r="44" customFormat="false" ht="15" hidden="false" customHeight="false" outlineLevel="0" collapsed="false">
      <c r="A44" s="9" t="n">
        <v>8</v>
      </c>
      <c r="B44" s="9" t="str">
        <f aca="false">IFERROR(INDEX('Customer Risk'!$B$5:$B$404,MATCH(LARGE('Customer Risk'!$R$5:$R$404,8),'Customer Risk'!$R$5:$R$404,0)),"")</f>
        <v>PWC</v>
      </c>
      <c r="C44" s="17" t="n">
        <f aca="false">IFERROR(INDEX('Customer Risk'!$D$5:$D$404,MATCH(LARGE('Customer Risk'!$R$5:$R$404,8),'Customer Risk'!$R$5:$R$404,0)),0)</f>
        <v>17000</v>
      </c>
      <c r="D44" s="17" t="n">
        <f aca="false">IFERROR(INDEX('Customer Risk'!$F$5:$F$404,MATCH(LARGE('Customer Risk'!$R$5:$R$404,8),'Customer Risk'!$R$5:$R$404,0)),0)</f>
        <v>4428</v>
      </c>
      <c r="E44" s="17" t="n">
        <f aca="false">IFERROR(INDEX('Customer Risk'!$G$5:$G$404,MATCH(LARGE('Customer Risk'!$R$5:$R$404,8),'Customer Risk'!$R$5:$R$404,0)),0)</f>
        <v>21428</v>
      </c>
      <c r="F44" s="18" t="n">
        <f aca="false">IFERROR(INDEX('Customer Risk'!$H$5:$H$404,MATCH(LARGE('Customer Risk'!$R$5:$R$404,8),'Customer Risk'!$R$5:$R$404,0)),0)</f>
        <v>0.0251148116559074</v>
      </c>
      <c r="G44" s="18" t="n">
        <f aca="false">SUM($F$37:F44)</f>
        <v>0.814035649483586</v>
      </c>
      <c r="H44" s="9" t="str">
        <f aca="false">IFERROR(INDEX('Customer Risk'!$J$5:$J$404,MATCH(LARGE('Customer Risk'!$R$5:$R$404,8),'Customer Risk'!$R$5:$R$404,0)),"")</f>
        <v/>
      </c>
    </row>
    <row r="45" customFormat="false" ht="15" hidden="false" customHeight="false" outlineLevel="0" collapsed="false">
      <c r="A45" s="9" t="n">
        <v>9</v>
      </c>
      <c r="B45" s="9" t="str">
        <f aca="false">IFERROR(INDEX('Customer Risk'!$B$5:$B$404,MATCH(LARGE('Customer Risk'!$R$5:$R$404,9),'Customer Risk'!$R$5:$R$404,0)),"")</f>
        <v>Stryker</v>
      </c>
      <c r="C45" s="17" t="n">
        <f aca="false">IFERROR(INDEX('Customer Risk'!$D$5:$D$404,MATCH(LARGE('Customer Risk'!$R$5:$R$404,9),'Customer Risk'!$R$5:$R$404,0)),0)</f>
        <v>0</v>
      </c>
      <c r="D45" s="17" t="n">
        <f aca="false">IFERROR(INDEX('Customer Risk'!$F$5:$F$404,MATCH(LARGE('Customer Risk'!$R$5:$R$404,9),'Customer Risk'!$R$5:$R$404,0)),0)</f>
        <v>17034</v>
      </c>
      <c r="E45" s="17" t="n">
        <f aca="false">IFERROR(INDEX('Customer Risk'!$G$5:$G$404,MATCH(LARGE('Customer Risk'!$R$5:$R$404,9),'Customer Risk'!$R$5:$R$404,0)),0)</f>
        <v>17034</v>
      </c>
      <c r="F45" s="18" t="n">
        <f aca="false">IFERROR(INDEX('Customer Risk'!$H$5:$H$404,MATCH(LARGE('Customer Risk'!$R$5:$R$404,9),'Customer Risk'!$R$5:$R$404,0)),0)</f>
        <v>0.0199647984761399</v>
      </c>
      <c r="G45" s="18" t="n">
        <f aca="false">SUM($F$37:F45)</f>
        <v>0.834000447959726</v>
      </c>
      <c r="H45" s="9" t="str">
        <f aca="false">IFERROR(INDEX('Customer Risk'!$J$5:$J$404,MATCH(LARGE('Customer Risk'!$R$5:$R$404,9),'Customer Risk'!$R$5:$R$404,0)),"")</f>
        <v/>
      </c>
    </row>
    <row r="46" customFormat="false" ht="15" hidden="false" customHeight="false" outlineLevel="0" collapsed="false">
      <c r="A46" s="9" t="n">
        <v>10</v>
      </c>
      <c r="B46" s="9" t="str">
        <f aca="false">IFERROR(INDEX('Customer Risk'!$B$5:$B$404,MATCH(LARGE('Customer Risk'!$R$5:$R$404,10),'Customer Risk'!$R$5:$R$404,0)),"")</f>
        <v>APA</v>
      </c>
      <c r="C46" s="17" t="n">
        <f aca="false">IFERROR(INDEX('Customer Risk'!$D$5:$D$404,MATCH(LARGE('Customer Risk'!$R$5:$R$404,10),'Customer Risk'!$R$5:$R$404,0)),0)</f>
        <v>1825</v>
      </c>
      <c r="D46" s="17" t="n">
        <f aca="false">IFERROR(INDEX('Customer Risk'!$F$5:$F$404,MATCH(LARGE('Customer Risk'!$R$5:$R$404,10),'Customer Risk'!$R$5:$R$404,0)),0)</f>
        <v>13383</v>
      </c>
      <c r="E46" s="17" t="n">
        <f aca="false">IFERROR(INDEX('Customer Risk'!$G$5:$G$404,MATCH(LARGE('Customer Risk'!$R$5:$R$404,10),'Customer Risk'!$R$5:$R$404,0)),0)</f>
        <v>15208</v>
      </c>
      <c r="F46" s="18" t="n">
        <f aca="false">IFERROR(INDEX('Customer Risk'!$H$5:$H$404,MATCH(LARGE('Customer Risk'!$R$5:$R$404,10),'Customer Risk'!$R$5:$R$404,0)),0)</f>
        <v>0.0178246245875975</v>
      </c>
      <c r="G46" s="18" t="n">
        <f aca="false">SUM($F$37:F46)</f>
        <v>0.851825072547324</v>
      </c>
      <c r="H46" s="9" t="str">
        <f aca="false">IFERROR(INDEX('Customer Risk'!$J$5:$J$404,MATCH(LARGE('Customer Risk'!$R$5:$R$404,10),'Customer Risk'!$R$5:$R$404,0)),"")</f>
        <v/>
      </c>
    </row>
    <row r="49" customFormat="false" ht="15" hidden="false" customHeight="false" outlineLevel="0" collapsed="false">
      <c r="A49" s="7" t="s">
        <v>63</v>
      </c>
    </row>
    <row r="50" customFormat="false" ht="15" hidden="false" customHeight="false" outlineLevel="0" collapsed="false">
      <c r="A50" s="14" t="s">
        <v>64</v>
      </c>
      <c r="B50" s="14" t="s">
        <v>65</v>
      </c>
      <c r="C50" s="14" t="s">
        <v>66</v>
      </c>
    </row>
    <row r="51" customFormat="false" ht="15" hidden="false" customHeight="false" outlineLevel="0" collapsed="false">
      <c r="A51" s="9" t="s">
        <v>67</v>
      </c>
      <c r="B51" s="23" t="n">
        <f aca="false">COUNTIF('Zoho Dump'!$L$6:$R$6,"&gt;0")</f>
        <v>6</v>
      </c>
      <c r="C51" s="9" t="str">
        <f aca="false">IF(B51=6,"OK","A Zoho heading has changed")</f>
        <v>OK</v>
      </c>
    </row>
    <row r="52" customFormat="false" ht="15" hidden="false" customHeight="false" outlineLevel="0" collapsed="false">
      <c r="A52" s="9" t="s">
        <v>68</v>
      </c>
      <c r="B52" s="23" t="n">
        <f aca="false">COUNTIF('Zoho Dump'!$M$8:$M$3007,"?*")</f>
        <v>663</v>
      </c>
      <c r="C52" s="9" t="str">
        <f aca="false">IFERROR(IF(B52=VALUE(TRIM(MID('Zoho Dump'!$A$5,FIND(":",'Zoho Dump'!$A$5)+1,20))),"OK, matches Zoho record count","Does not match Zoho record count"),"Check")</f>
        <v>OK, matches Zoho record count</v>
      </c>
    </row>
    <row r="53" customFormat="false" ht="15" hidden="false" customHeight="false" outlineLevel="0" collapsed="false">
      <c r="A53" s="9" t="s">
        <v>69</v>
      </c>
      <c r="B53" s="23" t="n">
        <f aca="false">COUNTIF('Zoho Dump'!$P$8:$P$3007,"UNMAPPED")</f>
        <v>0</v>
      </c>
      <c r="C53" s="9" t="str">
        <f aca="false">IF(B53=0,"OK","Add it on Settings")</f>
        <v>OK</v>
      </c>
    </row>
    <row r="54" customFormat="false" ht="15" hidden="false" customHeight="false" outlineLevel="0" collapsed="false">
      <c r="A54" s="9" t="s">
        <v>70</v>
      </c>
      <c r="B54" s="23" t="n">
        <f aca="false">COUNTIF('Zoho Dump'!$S$8:$S$3007,"UNMAPPED")</f>
        <v>0</v>
      </c>
      <c r="C54" s="9" t="str">
        <f aca="false">IF(B54=0,"OK","Add it on Settings")</f>
        <v>OK</v>
      </c>
    </row>
    <row r="55" customFormat="false" ht="15" hidden="false" customHeight="false" outlineLevel="0" collapsed="false">
      <c r="A55" s="9" t="s">
        <v>71</v>
      </c>
      <c r="B55" s="23" t="n">
        <f aca="false">COUNTIF('Zoho Dump'!$T$8:$T$3007,"NO DATE")</f>
        <v>0</v>
      </c>
      <c r="C55" s="9" t="str">
        <f aca="false">IF(B55=0,"OK","Ask sales to fix in Zoho")</f>
        <v>OK</v>
      </c>
    </row>
    <row r="56" customFormat="false" ht="15" hidden="false" customHeight="false" outlineLevel="0" collapsed="false">
      <c r="A56" s="9" t="s">
        <v>72</v>
      </c>
      <c r="B56" s="23" t="n">
        <f aca="false">COUNTIFS('Zoho Dump'!$S$8:$S$3007,"Open",'Zoho Dump'!$Q$8:$Q$3007,0)</f>
        <v>14</v>
      </c>
      <c r="C56" s="9" t="str">
        <f aca="false">IF(B56=0,"OK","Pipeline is understated")</f>
        <v>Pipeline is understated</v>
      </c>
    </row>
    <row r="57" customFormat="false" ht="15" hidden="false" customHeight="false" outlineLevel="0" collapsed="false">
      <c r="A57" s="9" t="s">
        <v>73</v>
      </c>
      <c r="B57" s="23" t="n">
        <f aca="false">COUNTIF('Zoho Dump'!$T$8:$T$3007,"Overdue")</f>
        <v>6</v>
      </c>
      <c r="C57" s="9" t="str">
        <f aca="false">IF(B57=0,"OK",IF(Settings!$B$8="Yes","Counted in forecast","Not counted. Ask sales to update"))</f>
        <v>Not counted. Ask sales to update</v>
      </c>
    </row>
    <row r="58" customFormat="false" ht="15" hidden="false" customHeight="false" outlineLevel="0" collapsed="false">
      <c r="A58" s="9" t="s">
        <v>74</v>
      </c>
      <c r="B58" s="23" t="n">
        <f aca="false">COUNT('P&amp;L Dump'!$B$5:$Z$5)</f>
        <v>0</v>
      </c>
      <c r="C58" s="9" t="str">
        <f aca="false">IF(B58&gt;0,"OK","No P&amp;L pasted yet")</f>
        <v>No P&amp;L pasted yet</v>
      </c>
    </row>
    <row r="59" customFormat="false" ht="15" hidden="false" customHeight="false" outlineLevel="0" collapsed="false">
      <c r="A59" s="9" t="s">
        <v>75</v>
      </c>
      <c r="B59" s="23" t="n">
        <f aca="false">SUMPRODUCT((Settings!$D$12:$D$23&lt;=Settings!$B$5)*(COUNTIF('P&amp;L Dump'!$B$5:$Z$5,Settings!$D$12:$D$23)=0))</f>
        <v>3</v>
      </c>
      <c r="C59" s="9" t="str">
        <f aca="false">IF(B59=0,"OK","Paste or pick the missing months")</f>
        <v>Paste or pick the missing months</v>
      </c>
    </row>
    <row r="60" customFormat="false" ht="15" hidden="false" customHeight="false" outlineLevel="0" collapsed="false">
      <c r="A60" s="9" t="s">
        <v>76</v>
      </c>
      <c r="B60" s="23" t="n">
        <f aca="false">SUM('P&amp;L Dump'!$AE$7:$AE$1006)</f>
        <v>0</v>
      </c>
      <c r="C60" s="9" t="str">
        <f aca="false">IF(B60=0,"OK","Add the account to Account Map")</f>
        <v>OK</v>
      </c>
    </row>
    <row r="61" customFormat="false" ht="15" hidden="false" customHeight="false" outlineLevel="0" collapsed="false">
      <c r="A61" s="9" t="s">
        <v>77</v>
      </c>
      <c r="B61" s="23" t="n">
        <f aca="false">MAX('Zoho Dump'!$AB$8:$AB$3007)</f>
        <v>133</v>
      </c>
      <c r="C61" s="9" t="str">
        <f aca="false">IF(B61&lt;=400,"OK","More than 400. Extend Customer Risk")</f>
        <v>OK</v>
      </c>
    </row>
  </sheetData>
  <conditionalFormatting sqref="T26:T32">
    <cfRule type="expression" priority="2" aboveAverage="0" equalAverage="0" bottom="0" percent="0" rank="0" text="" dxfId="0">
      <formula>$T26="High"</formula>
    </cfRule>
    <cfRule type="expression" priority="3" aboveAverage="0" equalAverage="0" bottom="0" percent="0" rank="0" text="" dxfId="1">
      <formula>$T26="Medium"</formula>
    </cfRule>
    <cfRule type="expression" priority="4" aboveAverage="0" equalAverage="0" bottom="0" percent="0" rank="0" text="" dxfId="2">
      <formula>$T26="Low"</formula>
    </cfRule>
  </conditionalFormatting>
  <conditionalFormatting sqref="C51:C61">
    <cfRule type="expression" priority="5" aboveAverage="0" equalAverage="0" bottom="0" percent="0" rank="0" text="" dxfId="3">
      <formula>LEFT($C51,2)&lt;&gt;"OK"</formula>
    </cfRule>
  </conditionalFormatting>
  <dataValidations count="1">
    <dataValidation allowBlank="true" errorStyle="stop" operator="between" showDropDown="false" showErrorMessage="false" showInputMessage="false" sqref="C13:C22" type="list">
      <formula1>'Customer Risk'!$B$5:$B$404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7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0"/>
    <col collapsed="false" customWidth="true" hidden="false" outlineLevel="0" max="14" min="3" style="0" width="12"/>
    <col collapsed="false" customWidth="true" hidden="false" outlineLevel="0" max="15" min="15" style="0" width="14"/>
  </cols>
  <sheetData>
    <row r="1" customFormat="false" ht="19.7" hidden="false" customHeight="false" outlineLevel="0" collapsed="false">
      <c r="A1" s="1" t="s">
        <v>78</v>
      </c>
    </row>
    <row r="2" customFormat="false" ht="15" hidden="false" customHeight="false" outlineLevel="0" collapsed="false">
      <c r="A2" s="4" t="s">
        <v>79</v>
      </c>
    </row>
    <row r="4" customFormat="false" ht="15" hidden="false" customHeight="false" outlineLevel="0" collapsed="false">
      <c r="A4" s="12" t="s">
        <v>80</v>
      </c>
      <c r="C4" s="24" t="n">
        <f aca="false">Settings!$D$12</f>
        <v>46204</v>
      </c>
      <c r="D4" s="24" t="n">
        <f aca="false">Settings!$D$13</f>
        <v>46235</v>
      </c>
      <c r="E4" s="24" t="n">
        <f aca="false">Settings!$D$14</f>
        <v>46266</v>
      </c>
      <c r="F4" s="24" t="n">
        <f aca="false">Settings!$D$15</f>
        <v>46296</v>
      </c>
      <c r="G4" s="24" t="n">
        <f aca="false">Settings!$D$16</f>
        <v>46327</v>
      </c>
      <c r="H4" s="24" t="n">
        <f aca="false">Settings!$D$17</f>
        <v>46357</v>
      </c>
      <c r="I4" s="24" t="n">
        <f aca="false">Settings!$D$18</f>
        <v>46388</v>
      </c>
      <c r="J4" s="24" t="n">
        <f aca="false">Settings!$D$19</f>
        <v>46419</v>
      </c>
      <c r="K4" s="24" t="n">
        <f aca="false">Settings!$D$20</f>
        <v>46447</v>
      </c>
      <c r="L4" s="24" t="n">
        <f aca="false">Settings!$D$21</f>
        <v>46478</v>
      </c>
      <c r="M4" s="24" t="n">
        <f aca="false">Settings!$D$22</f>
        <v>46508</v>
      </c>
      <c r="N4" s="24" t="n">
        <f aca="false">Settings!$D$23</f>
        <v>46539</v>
      </c>
      <c r="O4" s="25" t="s">
        <v>81</v>
      </c>
    </row>
    <row r="5" customFormat="false" ht="15" hidden="false" customHeight="false" outlineLevel="0" collapsed="false">
      <c r="A5" s="12" t="s">
        <v>82</v>
      </c>
      <c r="C5" s="26" t="str">
        <f aca="false">IF(C$4&lt;=Settings!$B$5,"Actual","Forecast")</f>
        <v>Actual</v>
      </c>
      <c r="D5" s="26" t="str">
        <f aca="false">IF(D$4&lt;=Settings!$B$5,"Actual","Forecast")</f>
        <v>Actual</v>
      </c>
      <c r="E5" s="26" t="str">
        <f aca="false">IF(E$4&lt;=Settings!$B$5,"Actual","Forecast")</f>
        <v>Actual</v>
      </c>
      <c r="F5" s="26" t="str">
        <f aca="false">IF(F$4&lt;=Settings!$B$5,"Actual","Forecast")</f>
        <v>Forecast</v>
      </c>
      <c r="G5" s="26" t="str">
        <f aca="false">IF(G$4&lt;=Settings!$B$5,"Actual","Forecast")</f>
        <v>Forecast</v>
      </c>
      <c r="H5" s="26" t="str">
        <f aca="false">IF(H$4&lt;=Settings!$B$5,"Actual","Forecast")</f>
        <v>Forecast</v>
      </c>
      <c r="I5" s="26" t="str">
        <f aca="false">IF(I$4&lt;=Settings!$B$5,"Actual","Forecast")</f>
        <v>Forecast</v>
      </c>
      <c r="J5" s="26" t="str">
        <f aca="false">IF(J$4&lt;=Settings!$B$5,"Actual","Forecast")</f>
        <v>Forecast</v>
      </c>
      <c r="K5" s="26" t="str">
        <f aca="false">IF(K$4&lt;=Settings!$B$5,"Actual","Forecast")</f>
        <v>Forecast</v>
      </c>
      <c r="L5" s="26" t="str">
        <f aca="false">IF(L$4&lt;=Settings!$B$5,"Actual","Forecast")</f>
        <v>Forecast</v>
      </c>
      <c r="M5" s="26" t="str">
        <f aca="false">IF(M$4&lt;=Settings!$B$5,"Actual","Forecast")</f>
        <v>Forecast</v>
      </c>
      <c r="N5" s="26" t="str">
        <f aca="false">IF(N$4&lt;=Settings!$B$5,"Actual","Forecast")</f>
        <v>Forecast</v>
      </c>
    </row>
    <row r="7" customFormat="false" ht="15" hidden="false" customHeight="false" outlineLevel="0" collapsed="false">
      <c r="A7" s="7" t="s">
        <v>83</v>
      </c>
      <c r="B7" s="27" t="s">
        <v>84</v>
      </c>
      <c r="C7" s="8"/>
      <c r="D7" s="8"/>
      <c r="E7" s="8"/>
      <c r="F7" s="8"/>
      <c r="G7" s="8"/>
      <c r="H7" s="8"/>
      <c r="I7" s="8"/>
      <c r="J7" s="8"/>
      <c r="K7" s="8"/>
      <c r="L7" s="8"/>
      <c r="M7" s="8"/>
      <c r="N7" s="8"/>
      <c r="O7" s="8"/>
    </row>
    <row r="8" customFormat="false" ht="15" hidden="false" customHeight="false" outlineLevel="0" collapsed="false">
      <c r="A8" s="9" t="str">
        <f aca="false">Settings!$A$12</f>
        <v>Onsite</v>
      </c>
      <c r="B8" s="9"/>
      <c r="C8" s="17" t="n">
        <f aca="false">IFERROR(SUMIFS(INDEX('P&amp;L Dump'!$B$7:$Z$1006,0,MATCH(C$4,'P&amp;L Dump'!$B$5:$Z$5,0)),'P&amp;L Dump'!$AC$7:$AC$1006,"Income",'P&amp;L Dump'!$AD$7:$AD$1006,$A8),0)</f>
        <v>0</v>
      </c>
      <c r="D8" s="17" t="n">
        <f aca="false">IFERROR(SUMIFS(INDEX('P&amp;L Dump'!$B$7:$Z$1006,0,MATCH(D$4,'P&amp;L Dump'!$B$5:$Z$5,0)),'P&amp;L Dump'!$AC$7:$AC$1006,"Income",'P&amp;L Dump'!$AD$7:$AD$1006,$A8),0)</f>
        <v>0</v>
      </c>
      <c r="E8" s="17" t="n">
        <f aca="false">IFERROR(SUMIFS(INDEX('P&amp;L Dump'!$B$7:$Z$1006,0,MATCH(E$4,'P&amp;L Dump'!$B$5:$Z$5,0)),'P&amp;L Dump'!$AC$7:$AC$1006,"Income",'P&amp;L Dump'!$AD$7:$AD$1006,$A8),0)</f>
        <v>0</v>
      </c>
      <c r="F8" s="17" t="n">
        <f aca="false">IFERROR(SUMIFS(INDEX('P&amp;L Dump'!$B$7:$Z$1006,0,MATCH(F$4,'P&amp;L Dump'!$B$5:$Z$5,0)),'P&amp;L Dump'!$AC$7:$AC$1006,"Income",'P&amp;L Dump'!$AD$7:$AD$1006,$A8),0)</f>
        <v>0</v>
      </c>
      <c r="G8" s="17" t="n">
        <f aca="false">IFERROR(SUMIFS(INDEX('P&amp;L Dump'!$B$7:$Z$1006,0,MATCH(G$4,'P&amp;L Dump'!$B$5:$Z$5,0)),'P&amp;L Dump'!$AC$7:$AC$1006,"Income",'P&amp;L Dump'!$AD$7:$AD$1006,$A8),0)</f>
        <v>0</v>
      </c>
      <c r="H8" s="17" t="n">
        <f aca="false">IFERROR(SUMIFS(INDEX('P&amp;L Dump'!$B$7:$Z$1006,0,MATCH(H$4,'P&amp;L Dump'!$B$5:$Z$5,0)),'P&amp;L Dump'!$AC$7:$AC$1006,"Income",'P&amp;L Dump'!$AD$7:$AD$1006,$A8),0)</f>
        <v>0</v>
      </c>
      <c r="I8" s="17" t="n">
        <f aca="false">IFERROR(SUMIFS(INDEX('P&amp;L Dump'!$B$7:$Z$1006,0,MATCH(I$4,'P&amp;L Dump'!$B$5:$Z$5,0)),'P&amp;L Dump'!$AC$7:$AC$1006,"Income",'P&amp;L Dump'!$AD$7:$AD$1006,$A8),0)</f>
        <v>0</v>
      </c>
      <c r="J8" s="17" t="n">
        <f aca="false">IFERROR(SUMIFS(INDEX('P&amp;L Dump'!$B$7:$Z$1006,0,MATCH(J$4,'P&amp;L Dump'!$B$5:$Z$5,0)),'P&amp;L Dump'!$AC$7:$AC$1006,"Income",'P&amp;L Dump'!$AD$7:$AD$1006,$A8),0)</f>
        <v>0</v>
      </c>
      <c r="K8" s="17" t="n">
        <f aca="false">IFERROR(SUMIFS(INDEX('P&amp;L Dump'!$B$7:$Z$1006,0,MATCH(K$4,'P&amp;L Dump'!$B$5:$Z$5,0)),'P&amp;L Dump'!$AC$7:$AC$1006,"Income",'P&amp;L Dump'!$AD$7:$AD$1006,$A8),0)</f>
        <v>0</v>
      </c>
      <c r="L8" s="17" t="n">
        <f aca="false">IFERROR(SUMIFS(INDEX('P&amp;L Dump'!$B$7:$Z$1006,0,MATCH(L$4,'P&amp;L Dump'!$B$5:$Z$5,0)),'P&amp;L Dump'!$AC$7:$AC$1006,"Income",'P&amp;L Dump'!$AD$7:$AD$1006,$A8),0)</f>
        <v>0</v>
      </c>
      <c r="M8" s="17" t="n">
        <f aca="false">IFERROR(SUMIFS(INDEX('P&amp;L Dump'!$B$7:$Z$1006,0,MATCH(M$4,'P&amp;L Dump'!$B$5:$Z$5,0)),'P&amp;L Dump'!$AC$7:$AC$1006,"Income",'P&amp;L Dump'!$AD$7:$AD$1006,$A8),0)</f>
        <v>0</v>
      </c>
      <c r="N8" s="17" t="n">
        <f aca="false">IFERROR(SUMIFS(INDEX('P&amp;L Dump'!$B$7:$Z$1006,0,MATCH(N$4,'P&amp;L Dump'!$B$5:$Z$5,0)),'P&amp;L Dump'!$AC$7:$AC$1006,"Income",'P&amp;L Dump'!$AD$7:$AD$1006,$A8),0)</f>
        <v>0</v>
      </c>
      <c r="O8" s="28" t="n">
        <f aca="false">SUM(C8:N8)</f>
        <v>0</v>
      </c>
    </row>
    <row r="9" customFormat="false" ht="15" hidden="false" customHeight="false" outlineLevel="0" collapsed="false">
      <c r="A9" s="9" t="str">
        <f aca="false">Settings!$A$13</f>
        <v>Production</v>
      </c>
      <c r="B9" s="9"/>
      <c r="C9" s="17" t="n">
        <f aca="false">IFERROR(SUMIFS(INDEX('P&amp;L Dump'!$B$7:$Z$1006,0,MATCH(C$4,'P&amp;L Dump'!$B$5:$Z$5,0)),'P&amp;L Dump'!$AC$7:$AC$1006,"Income",'P&amp;L Dump'!$AD$7:$AD$1006,$A9),0)</f>
        <v>0</v>
      </c>
      <c r="D9" s="17" t="n">
        <f aca="false">IFERROR(SUMIFS(INDEX('P&amp;L Dump'!$B$7:$Z$1006,0,MATCH(D$4,'P&amp;L Dump'!$B$5:$Z$5,0)),'P&amp;L Dump'!$AC$7:$AC$1006,"Income",'P&amp;L Dump'!$AD$7:$AD$1006,$A9),0)</f>
        <v>0</v>
      </c>
      <c r="E9" s="17" t="n">
        <f aca="false">IFERROR(SUMIFS(INDEX('P&amp;L Dump'!$B$7:$Z$1006,0,MATCH(E$4,'P&amp;L Dump'!$B$5:$Z$5,0)),'P&amp;L Dump'!$AC$7:$AC$1006,"Income",'P&amp;L Dump'!$AD$7:$AD$1006,$A9),0)</f>
        <v>0</v>
      </c>
      <c r="F9" s="17" t="n">
        <f aca="false">IFERROR(SUMIFS(INDEX('P&amp;L Dump'!$B$7:$Z$1006,0,MATCH(F$4,'P&amp;L Dump'!$B$5:$Z$5,0)),'P&amp;L Dump'!$AC$7:$AC$1006,"Income",'P&amp;L Dump'!$AD$7:$AD$1006,$A9),0)</f>
        <v>0</v>
      </c>
      <c r="G9" s="17" t="n">
        <f aca="false">IFERROR(SUMIFS(INDEX('P&amp;L Dump'!$B$7:$Z$1006,0,MATCH(G$4,'P&amp;L Dump'!$B$5:$Z$5,0)),'P&amp;L Dump'!$AC$7:$AC$1006,"Income",'P&amp;L Dump'!$AD$7:$AD$1006,$A9),0)</f>
        <v>0</v>
      </c>
      <c r="H9" s="17" t="n">
        <f aca="false">IFERROR(SUMIFS(INDEX('P&amp;L Dump'!$B$7:$Z$1006,0,MATCH(H$4,'P&amp;L Dump'!$B$5:$Z$5,0)),'P&amp;L Dump'!$AC$7:$AC$1006,"Income",'P&amp;L Dump'!$AD$7:$AD$1006,$A9),0)</f>
        <v>0</v>
      </c>
      <c r="I9" s="17" t="n">
        <f aca="false">IFERROR(SUMIFS(INDEX('P&amp;L Dump'!$B$7:$Z$1006,0,MATCH(I$4,'P&amp;L Dump'!$B$5:$Z$5,0)),'P&amp;L Dump'!$AC$7:$AC$1006,"Income",'P&amp;L Dump'!$AD$7:$AD$1006,$A9),0)</f>
        <v>0</v>
      </c>
      <c r="J9" s="17" t="n">
        <f aca="false">IFERROR(SUMIFS(INDEX('P&amp;L Dump'!$B$7:$Z$1006,0,MATCH(J$4,'P&amp;L Dump'!$B$5:$Z$5,0)),'P&amp;L Dump'!$AC$7:$AC$1006,"Income",'P&amp;L Dump'!$AD$7:$AD$1006,$A9),0)</f>
        <v>0</v>
      </c>
      <c r="K9" s="17" t="n">
        <f aca="false">IFERROR(SUMIFS(INDEX('P&amp;L Dump'!$B$7:$Z$1006,0,MATCH(K$4,'P&amp;L Dump'!$B$5:$Z$5,0)),'P&amp;L Dump'!$AC$7:$AC$1006,"Income",'P&amp;L Dump'!$AD$7:$AD$1006,$A9),0)</f>
        <v>0</v>
      </c>
      <c r="L9" s="17" t="n">
        <f aca="false">IFERROR(SUMIFS(INDEX('P&amp;L Dump'!$B$7:$Z$1006,0,MATCH(L$4,'P&amp;L Dump'!$B$5:$Z$5,0)),'P&amp;L Dump'!$AC$7:$AC$1006,"Income",'P&amp;L Dump'!$AD$7:$AD$1006,$A9),0)</f>
        <v>0</v>
      </c>
      <c r="M9" s="17" t="n">
        <f aca="false">IFERROR(SUMIFS(INDEX('P&amp;L Dump'!$B$7:$Z$1006,0,MATCH(M$4,'P&amp;L Dump'!$B$5:$Z$5,0)),'P&amp;L Dump'!$AC$7:$AC$1006,"Income",'P&amp;L Dump'!$AD$7:$AD$1006,$A9),0)</f>
        <v>0</v>
      </c>
      <c r="N9" s="17" t="n">
        <f aca="false">IFERROR(SUMIFS(INDEX('P&amp;L Dump'!$B$7:$Z$1006,0,MATCH(N$4,'P&amp;L Dump'!$B$5:$Z$5,0)),'P&amp;L Dump'!$AC$7:$AC$1006,"Income",'P&amp;L Dump'!$AD$7:$AD$1006,$A9),0)</f>
        <v>0</v>
      </c>
      <c r="O9" s="28" t="n">
        <f aca="false">SUM(C9:N9)</f>
        <v>0</v>
      </c>
    </row>
    <row r="10" customFormat="false" ht="15" hidden="false" customHeight="false" outlineLevel="0" collapsed="false">
      <c r="A10" s="9" t="str">
        <f aca="false">Settings!$A$14</f>
        <v>Video</v>
      </c>
      <c r="B10" s="9"/>
      <c r="C10" s="17" t="n">
        <f aca="false">IFERROR(SUMIFS(INDEX('P&amp;L Dump'!$B$7:$Z$1006,0,MATCH(C$4,'P&amp;L Dump'!$B$5:$Z$5,0)),'P&amp;L Dump'!$AC$7:$AC$1006,"Income",'P&amp;L Dump'!$AD$7:$AD$1006,$A10),0)</f>
        <v>0</v>
      </c>
      <c r="D10" s="17" t="n">
        <f aca="false">IFERROR(SUMIFS(INDEX('P&amp;L Dump'!$B$7:$Z$1006,0,MATCH(D$4,'P&amp;L Dump'!$B$5:$Z$5,0)),'P&amp;L Dump'!$AC$7:$AC$1006,"Income",'P&amp;L Dump'!$AD$7:$AD$1006,$A10),0)</f>
        <v>0</v>
      </c>
      <c r="E10" s="17" t="n">
        <f aca="false">IFERROR(SUMIFS(INDEX('P&amp;L Dump'!$B$7:$Z$1006,0,MATCH(E$4,'P&amp;L Dump'!$B$5:$Z$5,0)),'P&amp;L Dump'!$AC$7:$AC$1006,"Income",'P&amp;L Dump'!$AD$7:$AD$1006,$A10),0)</f>
        <v>0</v>
      </c>
      <c r="F10" s="17" t="n">
        <f aca="false">IFERROR(SUMIFS(INDEX('P&amp;L Dump'!$B$7:$Z$1006,0,MATCH(F$4,'P&amp;L Dump'!$B$5:$Z$5,0)),'P&amp;L Dump'!$AC$7:$AC$1006,"Income",'P&amp;L Dump'!$AD$7:$AD$1006,$A10),0)</f>
        <v>0</v>
      </c>
      <c r="G10" s="17" t="n">
        <f aca="false">IFERROR(SUMIFS(INDEX('P&amp;L Dump'!$B$7:$Z$1006,0,MATCH(G$4,'P&amp;L Dump'!$B$5:$Z$5,0)),'P&amp;L Dump'!$AC$7:$AC$1006,"Income",'P&amp;L Dump'!$AD$7:$AD$1006,$A10),0)</f>
        <v>0</v>
      </c>
      <c r="H10" s="17" t="n">
        <f aca="false">IFERROR(SUMIFS(INDEX('P&amp;L Dump'!$B$7:$Z$1006,0,MATCH(H$4,'P&amp;L Dump'!$B$5:$Z$5,0)),'P&amp;L Dump'!$AC$7:$AC$1006,"Income",'P&amp;L Dump'!$AD$7:$AD$1006,$A10),0)</f>
        <v>0</v>
      </c>
      <c r="I10" s="17" t="n">
        <f aca="false">IFERROR(SUMIFS(INDEX('P&amp;L Dump'!$B$7:$Z$1006,0,MATCH(I$4,'P&amp;L Dump'!$B$5:$Z$5,0)),'P&amp;L Dump'!$AC$7:$AC$1006,"Income",'P&amp;L Dump'!$AD$7:$AD$1006,$A10),0)</f>
        <v>0</v>
      </c>
      <c r="J10" s="17" t="n">
        <f aca="false">IFERROR(SUMIFS(INDEX('P&amp;L Dump'!$B$7:$Z$1006,0,MATCH(J$4,'P&amp;L Dump'!$B$5:$Z$5,0)),'P&amp;L Dump'!$AC$7:$AC$1006,"Income",'P&amp;L Dump'!$AD$7:$AD$1006,$A10),0)</f>
        <v>0</v>
      </c>
      <c r="K10" s="17" t="n">
        <f aca="false">IFERROR(SUMIFS(INDEX('P&amp;L Dump'!$B$7:$Z$1006,0,MATCH(K$4,'P&amp;L Dump'!$B$5:$Z$5,0)),'P&amp;L Dump'!$AC$7:$AC$1006,"Income",'P&amp;L Dump'!$AD$7:$AD$1006,$A10),0)</f>
        <v>0</v>
      </c>
      <c r="L10" s="17" t="n">
        <f aca="false">IFERROR(SUMIFS(INDEX('P&amp;L Dump'!$B$7:$Z$1006,0,MATCH(L$4,'P&amp;L Dump'!$B$5:$Z$5,0)),'P&amp;L Dump'!$AC$7:$AC$1006,"Income",'P&amp;L Dump'!$AD$7:$AD$1006,$A10),0)</f>
        <v>0</v>
      </c>
      <c r="M10" s="17" t="n">
        <f aca="false">IFERROR(SUMIFS(INDEX('P&amp;L Dump'!$B$7:$Z$1006,0,MATCH(M$4,'P&amp;L Dump'!$B$5:$Z$5,0)),'P&amp;L Dump'!$AC$7:$AC$1006,"Income",'P&amp;L Dump'!$AD$7:$AD$1006,$A10),0)</f>
        <v>0</v>
      </c>
      <c r="N10" s="17" t="n">
        <f aca="false">IFERROR(SUMIFS(INDEX('P&amp;L Dump'!$B$7:$Z$1006,0,MATCH(N$4,'P&amp;L Dump'!$B$5:$Z$5,0)),'P&amp;L Dump'!$AC$7:$AC$1006,"Income",'P&amp;L Dump'!$AD$7:$AD$1006,$A10),0)</f>
        <v>0</v>
      </c>
      <c r="O10" s="28" t="n">
        <f aca="false">SUM(C10:N10)</f>
        <v>0</v>
      </c>
    </row>
    <row r="11" customFormat="false" ht="15" hidden="false" customHeight="false" outlineLevel="0" collapsed="false">
      <c r="A11" s="9" t="str">
        <f aca="false">Settings!$A$15</f>
        <v>Consulting</v>
      </c>
      <c r="B11" s="9"/>
      <c r="C11" s="17" t="n">
        <f aca="false">IFERROR(SUMIFS(INDEX('P&amp;L Dump'!$B$7:$Z$1006,0,MATCH(C$4,'P&amp;L Dump'!$B$5:$Z$5,0)),'P&amp;L Dump'!$AC$7:$AC$1006,"Income",'P&amp;L Dump'!$AD$7:$AD$1006,$A11),0)</f>
        <v>0</v>
      </c>
      <c r="D11" s="17" t="n">
        <f aca="false">IFERROR(SUMIFS(INDEX('P&amp;L Dump'!$B$7:$Z$1006,0,MATCH(D$4,'P&amp;L Dump'!$B$5:$Z$5,0)),'P&amp;L Dump'!$AC$7:$AC$1006,"Income",'P&amp;L Dump'!$AD$7:$AD$1006,$A11),0)</f>
        <v>0</v>
      </c>
      <c r="E11" s="17" t="n">
        <f aca="false">IFERROR(SUMIFS(INDEX('P&amp;L Dump'!$B$7:$Z$1006,0,MATCH(E$4,'P&amp;L Dump'!$B$5:$Z$5,0)),'P&amp;L Dump'!$AC$7:$AC$1006,"Income",'P&amp;L Dump'!$AD$7:$AD$1006,$A11),0)</f>
        <v>0</v>
      </c>
      <c r="F11" s="17" t="n">
        <f aca="false">IFERROR(SUMIFS(INDEX('P&amp;L Dump'!$B$7:$Z$1006,0,MATCH(F$4,'P&amp;L Dump'!$B$5:$Z$5,0)),'P&amp;L Dump'!$AC$7:$AC$1006,"Income",'P&amp;L Dump'!$AD$7:$AD$1006,$A11),0)</f>
        <v>0</v>
      </c>
      <c r="G11" s="17" t="n">
        <f aca="false">IFERROR(SUMIFS(INDEX('P&amp;L Dump'!$B$7:$Z$1006,0,MATCH(G$4,'P&amp;L Dump'!$B$5:$Z$5,0)),'P&amp;L Dump'!$AC$7:$AC$1006,"Income",'P&amp;L Dump'!$AD$7:$AD$1006,$A11),0)</f>
        <v>0</v>
      </c>
      <c r="H11" s="17" t="n">
        <f aca="false">IFERROR(SUMIFS(INDEX('P&amp;L Dump'!$B$7:$Z$1006,0,MATCH(H$4,'P&amp;L Dump'!$B$5:$Z$5,0)),'P&amp;L Dump'!$AC$7:$AC$1006,"Income",'P&amp;L Dump'!$AD$7:$AD$1006,$A11),0)</f>
        <v>0</v>
      </c>
      <c r="I11" s="17" t="n">
        <f aca="false">IFERROR(SUMIFS(INDEX('P&amp;L Dump'!$B$7:$Z$1006,0,MATCH(I$4,'P&amp;L Dump'!$B$5:$Z$5,0)),'P&amp;L Dump'!$AC$7:$AC$1006,"Income",'P&amp;L Dump'!$AD$7:$AD$1006,$A11),0)</f>
        <v>0</v>
      </c>
      <c r="J11" s="17" t="n">
        <f aca="false">IFERROR(SUMIFS(INDEX('P&amp;L Dump'!$B$7:$Z$1006,0,MATCH(J$4,'P&amp;L Dump'!$B$5:$Z$5,0)),'P&amp;L Dump'!$AC$7:$AC$1006,"Income",'P&amp;L Dump'!$AD$7:$AD$1006,$A11),0)</f>
        <v>0</v>
      </c>
      <c r="K11" s="17" t="n">
        <f aca="false">IFERROR(SUMIFS(INDEX('P&amp;L Dump'!$B$7:$Z$1006,0,MATCH(K$4,'P&amp;L Dump'!$B$5:$Z$5,0)),'P&amp;L Dump'!$AC$7:$AC$1006,"Income",'P&amp;L Dump'!$AD$7:$AD$1006,$A11),0)</f>
        <v>0</v>
      </c>
      <c r="L11" s="17" t="n">
        <f aca="false">IFERROR(SUMIFS(INDEX('P&amp;L Dump'!$B$7:$Z$1006,0,MATCH(L$4,'P&amp;L Dump'!$B$5:$Z$5,0)),'P&amp;L Dump'!$AC$7:$AC$1006,"Income",'P&amp;L Dump'!$AD$7:$AD$1006,$A11),0)</f>
        <v>0</v>
      </c>
      <c r="M11" s="17" t="n">
        <f aca="false">IFERROR(SUMIFS(INDEX('P&amp;L Dump'!$B$7:$Z$1006,0,MATCH(M$4,'P&amp;L Dump'!$B$5:$Z$5,0)),'P&amp;L Dump'!$AC$7:$AC$1006,"Income",'P&amp;L Dump'!$AD$7:$AD$1006,$A11),0)</f>
        <v>0</v>
      </c>
      <c r="N11" s="17" t="n">
        <f aca="false">IFERROR(SUMIFS(INDEX('P&amp;L Dump'!$B$7:$Z$1006,0,MATCH(N$4,'P&amp;L Dump'!$B$5:$Z$5,0)),'P&amp;L Dump'!$AC$7:$AC$1006,"Income",'P&amp;L Dump'!$AD$7:$AD$1006,$A11),0)</f>
        <v>0</v>
      </c>
      <c r="O11" s="28" t="n">
        <f aca="false">SUM(C11:N11)</f>
        <v>0</v>
      </c>
    </row>
    <row r="12" customFormat="false" ht="15" hidden="false" customHeight="false" outlineLevel="0" collapsed="false">
      <c r="A12" s="9" t="str">
        <f aca="false">Settings!$A$16</f>
        <v>Integration</v>
      </c>
      <c r="B12" s="9"/>
      <c r="C12" s="17" t="n">
        <f aca="false">IFERROR(SUMIFS(INDEX('P&amp;L Dump'!$B$7:$Z$1006,0,MATCH(C$4,'P&amp;L Dump'!$B$5:$Z$5,0)),'P&amp;L Dump'!$AC$7:$AC$1006,"Income",'P&amp;L Dump'!$AD$7:$AD$1006,$A12),0)</f>
        <v>0</v>
      </c>
      <c r="D12" s="17" t="n">
        <f aca="false">IFERROR(SUMIFS(INDEX('P&amp;L Dump'!$B$7:$Z$1006,0,MATCH(D$4,'P&amp;L Dump'!$B$5:$Z$5,0)),'P&amp;L Dump'!$AC$7:$AC$1006,"Income",'P&amp;L Dump'!$AD$7:$AD$1006,$A12),0)</f>
        <v>0</v>
      </c>
      <c r="E12" s="17" t="n">
        <f aca="false">IFERROR(SUMIFS(INDEX('P&amp;L Dump'!$B$7:$Z$1006,0,MATCH(E$4,'P&amp;L Dump'!$B$5:$Z$5,0)),'P&amp;L Dump'!$AC$7:$AC$1006,"Income",'P&amp;L Dump'!$AD$7:$AD$1006,$A12),0)</f>
        <v>0</v>
      </c>
      <c r="F12" s="17" t="n">
        <f aca="false">IFERROR(SUMIFS(INDEX('P&amp;L Dump'!$B$7:$Z$1006,0,MATCH(F$4,'P&amp;L Dump'!$B$5:$Z$5,0)),'P&amp;L Dump'!$AC$7:$AC$1006,"Income",'P&amp;L Dump'!$AD$7:$AD$1006,$A12),0)</f>
        <v>0</v>
      </c>
      <c r="G12" s="17" t="n">
        <f aca="false">IFERROR(SUMIFS(INDEX('P&amp;L Dump'!$B$7:$Z$1006,0,MATCH(G$4,'P&amp;L Dump'!$B$5:$Z$5,0)),'P&amp;L Dump'!$AC$7:$AC$1006,"Income",'P&amp;L Dump'!$AD$7:$AD$1006,$A12),0)</f>
        <v>0</v>
      </c>
      <c r="H12" s="17" t="n">
        <f aca="false">IFERROR(SUMIFS(INDEX('P&amp;L Dump'!$B$7:$Z$1006,0,MATCH(H$4,'P&amp;L Dump'!$B$5:$Z$5,0)),'P&amp;L Dump'!$AC$7:$AC$1006,"Income",'P&amp;L Dump'!$AD$7:$AD$1006,$A12),0)</f>
        <v>0</v>
      </c>
      <c r="I12" s="17" t="n">
        <f aca="false">IFERROR(SUMIFS(INDEX('P&amp;L Dump'!$B$7:$Z$1006,0,MATCH(I$4,'P&amp;L Dump'!$B$5:$Z$5,0)),'P&amp;L Dump'!$AC$7:$AC$1006,"Income",'P&amp;L Dump'!$AD$7:$AD$1006,$A12),0)</f>
        <v>0</v>
      </c>
      <c r="J12" s="17" t="n">
        <f aca="false">IFERROR(SUMIFS(INDEX('P&amp;L Dump'!$B$7:$Z$1006,0,MATCH(J$4,'P&amp;L Dump'!$B$5:$Z$5,0)),'P&amp;L Dump'!$AC$7:$AC$1006,"Income",'P&amp;L Dump'!$AD$7:$AD$1006,$A12),0)</f>
        <v>0</v>
      </c>
      <c r="K12" s="17" t="n">
        <f aca="false">IFERROR(SUMIFS(INDEX('P&amp;L Dump'!$B$7:$Z$1006,0,MATCH(K$4,'P&amp;L Dump'!$B$5:$Z$5,0)),'P&amp;L Dump'!$AC$7:$AC$1006,"Income",'P&amp;L Dump'!$AD$7:$AD$1006,$A12),0)</f>
        <v>0</v>
      </c>
      <c r="L12" s="17" t="n">
        <f aca="false">IFERROR(SUMIFS(INDEX('P&amp;L Dump'!$B$7:$Z$1006,0,MATCH(L$4,'P&amp;L Dump'!$B$5:$Z$5,0)),'P&amp;L Dump'!$AC$7:$AC$1006,"Income",'P&amp;L Dump'!$AD$7:$AD$1006,$A12),0)</f>
        <v>0</v>
      </c>
      <c r="M12" s="17" t="n">
        <f aca="false">IFERROR(SUMIFS(INDEX('P&amp;L Dump'!$B$7:$Z$1006,0,MATCH(M$4,'P&amp;L Dump'!$B$5:$Z$5,0)),'P&amp;L Dump'!$AC$7:$AC$1006,"Income",'P&amp;L Dump'!$AD$7:$AD$1006,$A12),0)</f>
        <v>0</v>
      </c>
      <c r="N12" s="17" t="n">
        <f aca="false">IFERROR(SUMIFS(INDEX('P&amp;L Dump'!$B$7:$Z$1006,0,MATCH(N$4,'P&amp;L Dump'!$B$5:$Z$5,0)),'P&amp;L Dump'!$AC$7:$AC$1006,"Income",'P&amp;L Dump'!$AD$7:$AD$1006,$A12),0)</f>
        <v>0</v>
      </c>
      <c r="O12" s="28" t="n">
        <f aca="false">SUM(C12:N12)</f>
        <v>0</v>
      </c>
    </row>
    <row r="13" customFormat="false" ht="15" hidden="false" customHeight="false" outlineLevel="0" collapsed="false">
      <c r="A13" s="9" t="str">
        <f aca="false">Settings!$A$17</f>
        <v>Admin</v>
      </c>
      <c r="B13" s="9"/>
      <c r="C13" s="17" t="n">
        <f aca="false">IFERROR(SUMIFS(INDEX('P&amp;L Dump'!$B$7:$Z$1006,0,MATCH(C$4,'P&amp;L Dump'!$B$5:$Z$5,0)),'P&amp;L Dump'!$AC$7:$AC$1006,"Income",'P&amp;L Dump'!$AD$7:$AD$1006,$A13),0)</f>
        <v>0</v>
      </c>
      <c r="D13" s="17" t="n">
        <f aca="false">IFERROR(SUMIFS(INDEX('P&amp;L Dump'!$B$7:$Z$1006,0,MATCH(D$4,'P&amp;L Dump'!$B$5:$Z$5,0)),'P&amp;L Dump'!$AC$7:$AC$1006,"Income",'P&amp;L Dump'!$AD$7:$AD$1006,$A13),0)</f>
        <v>0</v>
      </c>
      <c r="E13" s="17" t="n">
        <f aca="false">IFERROR(SUMIFS(INDEX('P&amp;L Dump'!$B$7:$Z$1006,0,MATCH(E$4,'P&amp;L Dump'!$B$5:$Z$5,0)),'P&amp;L Dump'!$AC$7:$AC$1006,"Income",'P&amp;L Dump'!$AD$7:$AD$1006,$A13),0)</f>
        <v>0</v>
      </c>
      <c r="F13" s="17" t="n">
        <f aca="false">IFERROR(SUMIFS(INDEX('P&amp;L Dump'!$B$7:$Z$1006,0,MATCH(F$4,'P&amp;L Dump'!$B$5:$Z$5,0)),'P&amp;L Dump'!$AC$7:$AC$1006,"Income",'P&amp;L Dump'!$AD$7:$AD$1006,$A13),0)</f>
        <v>0</v>
      </c>
      <c r="G13" s="17" t="n">
        <f aca="false">IFERROR(SUMIFS(INDEX('P&amp;L Dump'!$B$7:$Z$1006,0,MATCH(G$4,'P&amp;L Dump'!$B$5:$Z$5,0)),'P&amp;L Dump'!$AC$7:$AC$1006,"Income",'P&amp;L Dump'!$AD$7:$AD$1006,$A13),0)</f>
        <v>0</v>
      </c>
      <c r="H13" s="17" t="n">
        <f aca="false">IFERROR(SUMIFS(INDEX('P&amp;L Dump'!$B$7:$Z$1006,0,MATCH(H$4,'P&amp;L Dump'!$B$5:$Z$5,0)),'P&amp;L Dump'!$AC$7:$AC$1006,"Income",'P&amp;L Dump'!$AD$7:$AD$1006,$A13),0)</f>
        <v>0</v>
      </c>
      <c r="I13" s="17" t="n">
        <f aca="false">IFERROR(SUMIFS(INDEX('P&amp;L Dump'!$B$7:$Z$1006,0,MATCH(I$4,'P&amp;L Dump'!$B$5:$Z$5,0)),'P&amp;L Dump'!$AC$7:$AC$1006,"Income",'P&amp;L Dump'!$AD$7:$AD$1006,$A13),0)</f>
        <v>0</v>
      </c>
      <c r="J13" s="17" t="n">
        <f aca="false">IFERROR(SUMIFS(INDEX('P&amp;L Dump'!$B$7:$Z$1006,0,MATCH(J$4,'P&amp;L Dump'!$B$5:$Z$5,0)),'P&amp;L Dump'!$AC$7:$AC$1006,"Income",'P&amp;L Dump'!$AD$7:$AD$1006,$A13),0)</f>
        <v>0</v>
      </c>
      <c r="K13" s="17" t="n">
        <f aca="false">IFERROR(SUMIFS(INDEX('P&amp;L Dump'!$B$7:$Z$1006,0,MATCH(K$4,'P&amp;L Dump'!$B$5:$Z$5,0)),'P&amp;L Dump'!$AC$7:$AC$1006,"Income",'P&amp;L Dump'!$AD$7:$AD$1006,$A13),0)</f>
        <v>0</v>
      </c>
      <c r="L13" s="17" t="n">
        <f aca="false">IFERROR(SUMIFS(INDEX('P&amp;L Dump'!$B$7:$Z$1006,0,MATCH(L$4,'P&amp;L Dump'!$B$5:$Z$5,0)),'P&amp;L Dump'!$AC$7:$AC$1006,"Income",'P&amp;L Dump'!$AD$7:$AD$1006,$A13),0)</f>
        <v>0</v>
      </c>
      <c r="M13" s="17" t="n">
        <f aca="false">IFERROR(SUMIFS(INDEX('P&amp;L Dump'!$B$7:$Z$1006,0,MATCH(M$4,'P&amp;L Dump'!$B$5:$Z$5,0)),'P&amp;L Dump'!$AC$7:$AC$1006,"Income",'P&amp;L Dump'!$AD$7:$AD$1006,$A13),0)</f>
        <v>0</v>
      </c>
      <c r="N13" s="17" t="n">
        <f aca="false">IFERROR(SUMIFS(INDEX('P&amp;L Dump'!$B$7:$Z$1006,0,MATCH(N$4,'P&amp;L Dump'!$B$5:$Z$5,0)),'P&amp;L Dump'!$AC$7:$AC$1006,"Income",'P&amp;L Dump'!$AD$7:$AD$1006,$A13),0)</f>
        <v>0</v>
      </c>
      <c r="O13" s="28" t="n">
        <f aca="false">SUM(C13:N13)</f>
        <v>0</v>
      </c>
    </row>
    <row r="14" customFormat="false" ht="15" hidden="false" customHeight="false" outlineLevel="0" collapsed="false">
      <c r="A14" s="9" t="str">
        <f aca="false">Settings!$A$18</f>
        <v>Unallocated</v>
      </c>
      <c r="B14" s="9"/>
      <c r="C14" s="17" t="n">
        <f aca="false">IFERROR(SUMIFS(INDEX('P&amp;L Dump'!$B$7:$Z$1006,0,MATCH(C$4,'P&amp;L Dump'!$B$5:$Z$5,0)),'P&amp;L Dump'!$AC$7:$AC$1006,"Income",'P&amp;L Dump'!$AD$7:$AD$1006,$A14),0)</f>
        <v>0</v>
      </c>
      <c r="D14" s="17" t="n">
        <f aca="false">IFERROR(SUMIFS(INDEX('P&amp;L Dump'!$B$7:$Z$1006,0,MATCH(D$4,'P&amp;L Dump'!$B$5:$Z$5,0)),'P&amp;L Dump'!$AC$7:$AC$1006,"Income",'P&amp;L Dump'!$AD$7:$AD$1006,$A14),0)</f>
        <v>0</v>
      </c>
      <c r="E14" s="17" t="n">
        <f aca="false">IFERROR(SUMIFS(INDEX('P&amp;L Dump'!$B$7:$Z$1006,0,MATCH(E$4,'P&amp;L Dump'!$B$5:$Z$5,0)),'P&amp;L Dump'!$AC$7:$AC$1006,"Income",'P&amp;L Dump'!$AD$7:$AD$1006,$A14),0)</f>
        <v>0</v>
      </c>
      <c r="F14" s="17" t="n">
        <f aca="false">IFERROR(SUMIFS(INDEX('P&amp;L Dump'!$B$7:$Z$1006,0,MATCH(F$4,'P&amp;L Dump'!$B$5:$Z$5,0)),'P&amp;L Dump'!$AC$7:$AC$1006,"Income",'P&amp;L Dump'!$AD$7:$AD$1006,$A14),0)</f>
        <v>0</v>
      </c>
      <c r="G14" s="17" t="n">
        <f aca="false">IFERROR(SUMIFS(INDEX('P&amp;L Dump'!$B$7:$Z$1006,0,MATCH(G$4,'P&amp;L Dump'!$B$5:$Z$5,0)),'P&amp;L Dump'!$AC$7:$AC$1006,"Income",'P&amp;L Dump'!$AD$7:$AD$1006,$A14),0)</f>
        <v>0</v>
      </c>
      <c r="H14" s="17" t="n">
        <f aca="false">IFERROR(SUMIFS(INDEX('P&amp;L Dump'!$B$7:$Z$1006,0,MATCH(H$4,'P&amp;L Dump'!$B$5:$Z$5,0)),'P&amp;L Dump'!$AC$7:$AC$1006,"Income",'P&amp;L Dump'!$AD$7:$AD$1006,$A14),0)</f>
        <v>0</v>
      </c>
      <c r="I14" s="17" t="n">
        <f aca="false">IFERROR(SUMIFS(INDEX('P&amp;L Dump'!$B$7:$Z$1006,0,MATCH(I$4,'P&amp;L Dump'!$B$5:$Z$5,0)),'P&amp;L Dump'!$AC$7:$AC$1006,"Income",'P&amp;L Dump'!$AD$7:$AD$1006,$A14),0)</f>
        <v>0</v>
      </c>
      <c r="J14" s="17" t="n">
        <f aca="false">IFERROR(SUMIFS(INDEX('P&amp;L Dump'!$B$7:$Z$1006,0,MATCH(J$4,'P&amp;L Dump'!$B$5:$Z$5,0)),'P&amp;L Dump'!$AC$7:$AC$1006,"Income",'P&amp;L Dump'!$AD$7:$AD$1006,$A14),0)</f>
        <v>0</v>
      </c>
      <c r="K14" s="17" t="n">
        <f aca="false">IFERROR(SUMIFS(INDEX('P&amp;L Dump'!$B$7:$Z$1006,0,MATCH(K$4,'P&amp;L Dump'!$B$5:$Z$5,0)),'P&amp;L Dump'!$AC$7:$AC$1006,"Income",'P&amp;L Dump'!$AD$7:$AD$1006,$A14),0)</f>
        <v>0</v>
      </c>
      <c r="L14" s="17" t="n">
        <f aca="false">IFERROR(SUMIFS(INDEX('P&amp;L Dump'!$B$7:$Z$1006,0,MATCH(L$4,'P&amp;L Dump'!$B$5:$Z$5,0)),'P&amp;L Dump'!$AC$7:$AC$1006,"Income",'P&amp;L Dump'!$AD$7:$AD$1006,$A14),0)</f>
        <v>0</v>
      </c>
      <c r="M14" s="17" t="n">
        <f aca="false">IFERROR(SUMIFS(INDEX('P&amp;L Dump'!$B$7:$Z$1006,0,MATCH(M$4,'P&amp;L Dump'!$B$5:$Z$5,0)),'P&amp;L Dump'!$AC$7:$AC$1006,"Income",'P&amp;L Dump'!$AD$7:$AD$1006,$A14),0)</f>
        <v>0</v>
      </c>
      <c r="N14" s="17" t="n">
        <f aca="false">IFERROR(SUMIFS(INDEX('P&amp;L Dump'!$B$7:$Z$1006,0,MATCH(N$4,'P&amp;L Dump'!$B$5:$Z$5,0)),'P&amp;L Dump'!$AC$7:$AC$1006,"Income",'P&amp;L Dump'!$AD$7:$AD$1006,$A14),0)</f>
        <v>0</v>
      </c>
      <c r="O14" s="28" t="n">
        <f aca="false">SUM(C14:N14)</f>
        <v>0</v>
      </c>
    </row>
    <row r="15" customFormat="false" ht="15" hidden="false" customHeight="false" outlineLevel="0" collapsed="false">
      <c r="A15" s="20" t="s">
        <v>55</v>
      </c>
      <c r="B15" s="29"/>
      <c r="C15" s="21" t="n">
        <f aca="false">SUM(C8:C14)</f>
        <v>0</v>
      </c>
      <c r="D15" s="21" t="n">
        <f aca="false">SUM(D8:D14)</f>
        <v>0</v>
      </c>
      <c r="E15" s="21" t="n">
        <f aca="false">SUM(E8:E14)</f>
        <v>0</v>
      </c>
      <c r="F15" s="21" t="n">
        <f aca="false">SUM(F8:F14)</f>
        <v>0</v>
      </c>
      <c r="G15" s="21" t="n">
        <f aca="false">SUM(G8:G14)</f>
        <v>0</v>
      </c>
      <c r="H15" s="21" t="n">
        <f aca="false">SUM(H8:H14)</f>
        <v>0</v>
      </c>
      <c r="I15" s="21" t="n">
        <f aca="false">SUM(I8:I14)</f>
        <v>0</v>
      </c>
      <c r="J15" s="21" t="n">
        <f aca="false">SUM(J8:J14)</f>
        <v>0</v>
      </c>
      <c r="K15" s="21" t="n">
        <f aca="false">SUM(K8:K14)</f>
        <v>0</v>
      </c>
      <c r="L15" s="21" t="n">
        <f aca="false">SUM(L8:L14)</f>
        <v>0</v>
      </c>
      <c r="M15" s="21" t="n">
        <f aca="false">SUM(M8:M14)</f>
        <v>0</v>
      </c>
      <c r="N15" s="21" t="n">
        <f aca="false">SUM(N8:N14)</f>
        <v>0</v>
      </c>
      <c r="O15" s="21" t="n">
        <f aca="false">SUM(O8:O14)</f>
        <v>0</v>
      </c>
    </row>
    <row r="17" customFormat="false" ht="15" hidden="false" customHeight="false" outlineLevel="0" collapsed="false">
      <c r="A17" s="7" t="s">
        <v>85</v>
      </c>
      <c r="B17" s="27" t="s">
        <v>86</v>
      </c>
      <c r="C17" s="8"/>
      <c r="D17" s="8"/>
      <c r="E17" s="8"/>
      <c r="F17" s="8"/>
      <c r="G17" s="8"/>
      <c r="H17" s="8"/>
      <c r="I17" s="8"/>
      <c r="J17" s="8"/>
      <c r="K17" s="8"/>
      <c r="L17" s="8"/>
      <c r="M17" s="8"/>
      <c r="N17" s="8"/>
      <c r="O17" s="8"/>
    </row>
    <row r="18" customFormat="false" ht="15" hidden="false" customHeight="false" outlineLevel="0" collapsed="false">
      <c r="A18" s="9" t="str">
        <f aca="false">Settings!$A$12</f>
        <v>Onsite</v>
      </c>
      <c r="B18" s="9"/>
      <c r="C18" s="17" t="n">
        <f aca="false">SUMIFS('Zoho Dump'!$X$8:$X$3007,'Zoho Dump'!$P$8:$P$3007,$A18,'Zoho Dump'!$W$8:$W$3007,C$4,'Zoho Dump'!$T$8:$T$3007,"Backlog")+SUMIFS(Adjustments!$K$8:$K$207,Adjustments!$A$8:$A$207,$A18,Adjustments!$J$8:$J$207,C$4,Adjustments!$H$8:$H$207,"Backlog")</f>
        <v>0</v>
      </c>
      <c r="D18" s="17" t="n">
        <f aca="false">SUMIFS('Zoho Dump'!$X$8:$X$3007,'Zoho Dump'!$P$8:$P$3007,$A18,'Zoho Dump'!$W$8:$W$3007,D$4,'Zoho Dump'!$T$8:$T$3007,"Backlog")+SUMIFS(Adjustments!$K$8:$K$207,Adjustments!$A$8:$A$207,$A18,Adjustments!$J$8:$J$207,D$4,Adjustments!$H$8:$H$207,"Backlog")</f>
        <v>0</v>
      </c>
      <c r="E18" s="17" t="n">
        <f aca="false">SUMIFS('Zoho Dump'!$X$8:$X$3007,'Zoho Dump'!$P$8:$P$3007,$A18,'Zoho Dump'!$W$8:$W$3007,E$4,'Zoho Dump'!$T$8:$T$3007,"Backlog")+SUMIFS(Adjustments!$K$8:$K$207,Adjustments!$A$8:$A$207,$A18,Adjustments!$J$8:$J$207,E$4,Adjustments!$H$8:$H$207,"Backlog")</f>
        <v>0</v>
      </c>
      <c r="F18" s="17" t="n">
        <f aca="false">SUMIFS('Zoho Dump'!$X$8:$X$3007,'Zoho Dump'!$P$8:$P$3007,$A18,'Zoho Dump'!$W$8:$W$3007,F$4,'Zoho Dump'!$T$8:$T$3007,"Backlog")+SUMIFS(Adjustments!$K$8:$K$207,Adjustments!$A$8:$A$207,$A18,Adjustments!$J$8:$J$207,F$4,Adjustments!$H$8:$H$207,"Backlog")</f>
        <v>17000</v>
      </c>
      <c r="G18" s="17" t="n">
        <f aca="false">SUMIFS('Zoho Dump'!$X$8:$X$3007,'Zoho Dump'!$P$8:$P$3007,$A18,'Zoho Dump'!$W$8:$W$3007,G$4,'Zoho Dump'!$T$8:$T$3007,"Backlog")+SUMIFS(Adjustments!$K$8:$K$207,Adjustments!$A$8:$A$207,$A18,Adjustments!$J$8:$J$207,G$4,Adjustments!$H$8:$H$207,"Backlog")</f>
        <v>0</v>
      </c>
      <c r="H18" s="17" t="n">
        <f aca="false">SUMIFS('Zoho Dump'!$X$8:$X$3007,'Zoho Dump'!$P$8:$P$3007,$A18,'Zoho Dump'!$W$8:$W$3007,H$4,'Zoho Dump'!$T$8:$T$3007,"Backlog")+SUMIFS(Adjustments!$K$8:$K$207,Adjustments!$A$8:$A$207,$A18,Adjustments!$J$8:$J$207,H$4,Adjustments!$H$8:$H$207,"Backlog")</f>
        <v>0</v>
      </c>
      <c r="I18" s="17" t="n">
        <f aca="false">SUMIFS('Zoho Dump'!$X$8:$X$3007,'Zoho Dump'!$P$8:$P$3007,$A18,'Zoho Dump'!$W$8:$W$3007,I$4,'Zoho Dump'!$T$8:$T$3007,"Backlog")+SUMIFS(Adjustments!$K$8:$K$207,Adjustments!$A$8:$A$207,$A18,Adjustments!$J$8:$J$207,I$4,Adjustments!$H$8:$H$207,"Backlog")</f>
        <v>0</v>
      </c>
      <c r="J18" s="17" t="n">
        <f aca="false">SUMIFS('Zoho Dump'!$X$8:$X$3007,'Zoho Dump'!$P$8:$P$3007,$A18,'Zoho Dump'!$W$8:$W$3007,J$4,'Zoho Dump'!$T$8:$T$3007,"Backlog")+SUMIFS(Adjustments!$K$8:$K$207,Adjustments!$A$8:$A$207,$A18,Adjustments!$J$8:$J$207,J$4,Adjustments!$H$8:$H$207,"Backlog")</f>
        <v>0</v>
      </c>
      <c r="K18" s="17" t="n">
        <f aca="false">SUMIFS('Zoho Dump'!$X$8:$X$3007,'Zoho Dump'!$P$8:$P$3007,$A18,'Zoho Dump'!$W$8:$W$3007,K$4,'Zoho Dump'!$T$8:$T$3007,"Backlog")+SUMIFS(Adjustments!$K$8:$K$207,Adjustments!$A$8:$A$207,$A18,Adjustments!$J$8:$J$207,K$4,Adjustments!$H$8:$H$207,"Backlog")</f>
        <v>0</v>
      </c>
      <c r="L18" s="17" t="n">
        <f aca="false">SUMIFS('Zoho Dump'!$X$8:$X$3007,'Zoho Dump'!$P$8:$P$3007,$A18,'Zoho Dump'!$W$8:$W$3007,L$4,'Zoho Dump'!$T$8:$T$3007,"Backlog")+SUMIFS(Adjustments!$K$8:$K$207,Adjustments!$A$8:$A$207,$A18,Adjustments!$J$8:$J$207,L$4,Adjustments!$H$8:$H$207,"Backlog")</f>
        <v>0</v>
      </c>
      <c r="M18" s="17" t="n">
        <f aca="false">SUMIFS('Zoho Dump'!$X$8:$X$3007,'Zoho Dump'!$P$8:$P$3007,$A18,'Zoho Dump'!$W$8:$W$3007,M$4,'Zoho Dump'!$T$8:$T$3007,"Backlog")+SUMIFS(Adjustments!$K$8:$K$207,Adjustments!$A$8:$A$207,$A18,Adjustments!$J$8:$J$207,M$4,Adjustments!$H$8:$H$207,"Backlog")</f>
        <v>0</v>
      </c>
      <c r="N18" s="17" t="n">
        <f aca="false">SUMIFS('Zoho Dump'!$X$8:$X$3007,'Zoho Dump'!$P$8:$P$3007,$A18,'Zoho Dump'!$W$8:$W$3007,N$4,'Zoho Dump'!$T$8:$T$3007,"Backlog")+SUMIFS(Adjustments!$K$8:$K$207,Adjustments!$A$8:$A$207,$A18,Adjustments!$J$8:$J$207,N$4,Adjustments!$H$8:$H$207,"Backlog")</f>
        <v>0</v>
      </c>
      <c r="O18" s="28" t="n">
        <f aca="false">SUM(C18:N18)</f>
        <v>17000</v>
      </c>
    </row>
    <row r="19" customFormat="false" ht="15" hidden="false" customHeight="false" outlineLevel="0" collapsed="false">
      <c r="A19" s="9" t="str">
        <f aca="false">Settings!$A$13</f>
        <v>Production</v>
      </c>
      <c r="B19" s="9"/>
      <c r="C19" s="17" t="n">
        <f aca="false">SUMIFS('Zoho Dump'!$X$8:$X$3007,'Zoho Dump'!$P$8:$P$3007,$A19,'Zoho Dump'!$W$8:$W$3007,C$4,'Zoho Dump'!$T$8:$T$3007,"Backlog")+SUMIFS(Adjustments!$K$8:$K$207,Adjustments!$A$8:$A$207,$A19,Adjustments!$J$8:$J$207,C$4,Adjustments!$H$8:$H$207,"Backlog")</f>
        <v>0</v>
      </c>
      <c r="D19" s="17" t="n">
        <f aca="false">SUMIFS('Zoho Dump'!$X$8:$X$3007,'Zoho Dump'!$P$8:$P$3007,$A19,'Zoho Dump'!$W$8:$W$3007,D$4,'Zoho Dump'!$T$8:$T$3007,"Backlog")+SUMIFS(Adjustments!$K$8:$K$207,Adjustments!$A$8:$A$207,$A19,Adjustments!$J$8:$J$207,D$4,Adjustments!$H$8:$H$207,"Backlog")</f>
        <v>0</v>
      </c>
      <c r="E19" s="17" t="n">
        <f aca="false">SUMIFS('Zoho Dump'!$X$8:$X$3007,'Zoho Dump'!$P$8:$P$3007,$A19,'Zoho Dump'!$W$8:$W$3007,E$4,'Zoho Dump'!$T$8:$T$3007,"Backlog")+SUMIFS(Adjustments!$K$8:$K$207,Adjustments!$A$8:$A$207,$A19,Adjustments!$J$8:$J$207,E$4,Adjustments!$H$8:$H$207,"Backlog")</f>
        <v>0</v>
      </c>
      <c r="F19" s="17" t="n">
        <f aca="false">SUMIFS('Zoho Dump'!$X$8:$X$3007,'Zoho Dump'!$P$8:$P$3007,$A19,'Zoho Dump'!$W$8:$W$3007,F$4,'Zoho Dump'!$T$8:$T$3007,"Backlog")+SUMIFS(Adjustments!$K$8:$K$207,Adjustments!$A$8:$A$207,$A19,Adjustments!$J$8:$J$207,F$4,Adjustments!$H$8:$H$207,"Backlog")</f>
        <v>40626</v>
      </c>
      <c r="G19" s="17" t="n">
        <f aca="false">SUMIFS('Zoho Dump'!$X$8:$X$3007,'Zoho Dump'!$P$8:$P$3007,$A19,'Zoho Dump'!$W$8:$W$3007,G$4,'Zoho Dump'!$T$8:$T$3007,"Backlog")+SUMIFS(Adjustments!$K$8:$K$207,Adjustments!$A$8:$A$207,$A19,Adjustments!$J$8:$J$207,G$4,Adjustments!$H$8:$H$207,"Backlog")</f>
        <v>13553</v>
      </c>
      <c r="H19" s="17" t="n">
        <f aca="false">SUMIFS('Zoho Dump'!$X$8:$X$3007,'Zoho Dump'!$P$8:$P$3007,$A19,'Zoho Dump'!$W$8:$W$3007,H$4,'Zoho Dump'!$T$8:$T$3007,"Backlog")+SUMIFS(Adjustments!$K$8:$K$207,Adjustments!$A$8:$A$207,$A19,Adjustments!$J$8:$J$207,H$4,Adjustments!$H$8:$H$207,"Backlog")</f>
        <v>2881</v>
      </c>
      <c r="I19" s="17" t="n">
        <f aca="false">SUMIFS('Zoho Dump'!$X$8:$X$3007,'Zoho Dump'!$P$8:$P$3007,$A19,'Zoho Dump'!$W$8:$W$3007,I$4,'Zoho Dump'!$T$8:$T$3007,"Backlog")+SUMIFS(Adjustments!$K$8:$K$207,Adjustments!$A$8:$A$207,$A19,Adjustments!$J$8:$J$207,I$4,Adjustments!$H$8:$H$207,"Backlog")</f>
        <v>0</v>
      </c>
      <c r="J19" s="17" t="n">
        <f aca="false">SUMIFS('Zoho Dump'!$X$8:$X$3007,'Zoho Dump'!$P$8:$P$3007,$A19,'Zoho Dump'!$W$8:$W$3007,J$4,'Zoho Dump'!$T$8:$T$3007,"Backlog")+SUMIFS(Adjustments!$K$8:$K$207,Adjustments!$A$8:$A$207,$A19,Adjustments!$J$8:$J$207,J$4,Adjustments!$H$8:$H$207,"Backlog")</f>
        <v>0</v>
      </c>
      <c r="K19" s="17" t="n">
        <f aca="false">SUMIFS('Zoho Dump'!$X$8:$X$3007,'Zoho Dump'!$P$8:$P$3007,$A19,'Zoho Dump'!$W$8:$W$3007,K$4,'Zoho Dump'!$T$8:$T$3007,"Backlog")+SUMIFS(Adjustments!$K$8:$K$207,Adjustments!$A$8:$A$207,$A19,Adjustments!$J$8:$J$207,K$4,Adjustments!$H$8:$H$207,"Backlog")</f>
        <v>0</v>
      </c>
      <c r="L19" s="17" t="n">
        <f aca="false">SUMIFS('Zoho Dump'!$X$8:$X$3007,'Zoho Dump'!$P$8:$P$3007,$A19,'Zoho Dump'!$W$8:$W$3007,L$4,'Zoho Dump'!$T$8:$T$3007,"Backlog")+SUMIFS(Adjustments!$K$8:$K$207,Adjustments!$A$8:$A$207,$A19,Adjustments!$J$8:$J$207,L$4,Adjustments!$H$8:$H$207,"Backlog")</f>
        <v>0</v>
      </c>
      <c r="M19" s="17" t="n">
        <f aca="false">SUMIFS('Zoho Dump'!$X$8:$X$3007,'Zoho Dump'!$P$8:$P$3007,$A19,'Zoho Dump'!$W$8:$W$3007,M$4,'Zoho Dump'!$T$8:$T$3007,"Backlog")+SUMIFS(Adjustments!$K$8:$K$207,Adjustments!$A$8:$A$207,$A19,Adjustments!$J$8:$J$207,M$4,Adjustments!$H$8:$H$207,"Backlog")</f>
        <v>0</v>
      </c>
      <c r="N19" s="17" t="n">
        <f aca="false">SUMIFS('Zoho Dump'!$X$8:$X$3007,'Zoho Dump'!$P$8:$P$3007,$A19,'Zoho Dump'!$W$8:$W$3007,N$4,'Zoho Dump'!$T$8:$T$3007,"Backlog")+SUMIFS(Adjustments!$K$8:$K$207,Adjustments!$A$8:$A$207,$A19,Adjustments!$J$8:$J$207,N$4,Adjustments!$H$8:$H$207,"Backlog")</f>
        <v>0</v>
      </c>
      <c r="O19" s="28" t="n">
        <f aca="false">SUM(C19:N19)</f>
        <v>57060</v>
      </c>
    </row>
    <row r="20" customFormat="false" ht="15" hidden="false" customHeight="false" outlineLevel="0" collapsed="false">
      <c r="A20" s="9" t="str">
        <f aca="false">Settings!$A$14</f>
        <v>Video</v>
      </c>
      <c r="B20" s="9"/>
      <c r="C20" s="17" t="n">
        <f aca="false">SUMIFS('Zoho Dump'!$X$8:$X$3007,'Zoho Dump'!$P$8:$P$3007,$A20,'Zoho Dump'!$W$8:$W$3007,C$4,'Zoho Dump'!$T$8:$T$3007,"Backlog")+SUMIFS(Adjustments!$K$8:$K$207,Adjustments!$A$8:$A$207,$A20,Adjustments!$J$8:$J$207,C$4,Adjustments!$H$8:$H$207,"Backlog")</f>
        <v>0</v>
      </c>
      <c r="D20" s="17" t="n">
        <f aca="false">SUMIFS('Zoho Dump'!$X$8:$X$3007,'Zoho Dump'!$P$8:$P$3007,$A20,'Zoho Dump'!$W$8:$W$3007,D$4,'Zoho Dump'!$T$8:$T$3007,"Backlog")+SUMIFS(Adjustments!$K$8:$K$207,Adjustments!$A$8:$A$207,$A20,Adjustments!$J$8:$J$207,D$4,Adjustments!$H$8:$H$207,"Backlog")</f>
        <v>0</v>
      </c>
      <c r="E20" s="17" t="n">
        <f aca="false">SUMIFS('Zoho Dump'!$X$8:$X$3007,'Zoho Dump'!$P$8:$P$3007,$A20,'Zoho Dump'!$W$8:$W$3007,E$4,'Zoho Dump'!$T$8:$T$3007,"Backlog")+SUMIFS(Adjustments!$K$8:$K$207,Adjustments!$A$8:$A$207,$A20,Adjustments!$J$8:$J$207,E$4,Adjustments!$H$8:$H$207,"Backlog")</f>
        <v>0</v>
      </c>
      <c r="F20" s="17" t="n">
        <f aca="false">SUMIFS('Zoho Dump'!$X$8:$X$3007,'Zoho Dump'!$P$8:$P$3007,$A20,'Zoho Dump'!$W$8:$W$3007,F$4,'Zoho Dump'!$T$8:$T$3007,"Backlog")+SUMIFS(Adjustments!$K$8:$K$207,Adjustments!$A$8:$A$207,$A20,Adjustments!$J$8:$J$207,F$4,Adjustments!$H$8:$H$207,"Backlog")</f>
        <v>0</v>
      </c>
      <c r="G20" s="17" t="n">
        <f aca="false">SUMIFS('Zoho Dump'!$X$8:$X$3007,'Zoho Dump'!$P$8:$P$3007,$A20,'Zoho Dump'!$W$8:$W$3007,G$4,'Zoho Dump'!$T$8:$T$3007,"Backlog")+SUMIFS(Adjustments!$K$8:$K$207,Adjustments!$A$8:$A$207,$A20,Adjustments!$J$8:$J$207,G$4,Adjustments!$H$8:$H$207,"Backlog")</f>
        <v>11342</v>
      </c>
      <c r="H20" s="17" t="n">
        <f aca="false">SUMIFS('Zoho Dump'!$X$8:$X$3007,'Zoho Dump'!$P$8:$P$3007,$A20,'Zoho Dump'!$W$8:$W$3007,H$4,'Zoho Dump'!$T$8:$T$3007,"Backlog")+SUMIFS(Adjustments!$K$8:$K$207,Adjustments!$A$8:$A$207,$A20,Adjustments!$J$8:$J$207,H$4,Adjustments!$H$8:$H$207,"Backlog")</f>
        <v>0</v>
      </c>
      <c r="I20" s="17" t="n">
        <f aca="false">SUMIFS('Zoho Dump'!$X$8:$X$3007,'Zoho Dump'!$P$8:$P$3007,$A20,'Zoho Dump'!$W$8:$W$3007,I$4,'Zoho Dump'!$T$8:$T$3007,"Backlog")+SUMIFS(Adjustments!$K$8:$K$207,Adjustments!$A$8:$A$207,$A20,Adjustments!$J$8:$J$207,I$4,Adjustments!$H$8:$H$207,"Backlog")</f>
        <v>0</v>
      </c>
      <c r="J20" s="17" t="n">
        <f aca="false">SUMIFS('Zoho Dump'!$X$8:$X$3007,'Zoho Dump'!$P$8:$P$3007,$A20,'Zoho Dump'!$W$8:$W$3007,J$4,'Zoho Dump'!$T$8:$T$3007,"Backlog")+SUMIFS(Adjustments!$K$8:$K$207,Adjustments!$A$8:$A$207,$A20,Adjustments!$J$8:$J$207,J$4,Adjustments!$H$8:$H$207,"Backlog")</f>
        <v>0</v>
      </c>
      <c r="K20" s="17" t="n">
        <f aca="false">SUMIFS('Zoho Dump'!$X$8:$X$3007,'Zoho Dump'!$P$8:$P$3007,$A20,'Zoho Dump'!$W$8:$W$3007,K$4,'Zoho Dump'!$T$8:$T$3007,"Backlog")+SUMIFS(Adjustments!$K$8:$K$207,Adjustments!$A$8:$A$207,$A20,Adjustments!$J$8:$J$207,K$4,Adjustments!$H$8:$H$207,"Backlog")</f>
        <v>0</v>
      </c>
      <c r="L20" s="17" t="n">
        <f aca="false">SUMIFS('Zoho Dump'!$X$8:$X$3007,'Zoho Dump'!$P$8:$P$3007,$A20,'Zoho Dump'!$W$8:$W$3007,L$4,'Zoho Dump'!$T$8:$T$3007,"Backlog")+SUMIFS(Adjustments!$K$8:$K$207,Adjustments!$A$8:$A$207,$A20,Adjustments!$J$8:$J$207,L$4,Adjustments!$H$8:$H$207,"Backlog")</f>
        <v>0</v>
      </c>
      <c r="M20" s="17" t="n">
        <f aca="false">SUMIFS('Zoho Dump'!$X$8:$X$3007,'Zoho Dump'!$P$8:$P$3007,$A20,'Zoho Dump'!$W$8:$W$3007,M$4,'Zoho Dump'!$T$8:$T$3007,"Backlog")+SUMIFS(Adjustments!$K$8:$K$207,Adjustments!$A$8:$A$207,$A20,Adjustments!$J$8:$J$207,M$4,Adjustments!$H$8:$H$207,"Backlog")</f>
        <v>0</v>
      </c>
      <c r="N20" s="17" t="n">
        <f aca="false">SUMIFS('Zoho Dump'!$X$8:$X$3007,'Zoho Dump'!$P$8:$P$3007,$A20,'Zoho Dump'!$W$8:$W$3007,N$4,'Zoho Dump'!$T$8:$T$3007,"Backlog")+SUMIFS(Adjustments!$K$8:$K$207,Adjustments!$A$8:$A$207,$A20,Adjustments!$J$8:$J$207,N$4,Adjustments!$H$8:$H$207,"Backlog")</f>
        <v>0</v>
      </c>
      <c r="O20" s="28" t="n">
        <f aca="false">SUM(C20:N20)</f>
        <v>11342</v>
      </c>
    </row>
    <row r="21" customFormat="false" ht="15" hidden="false" customHeight="false" outlineLevel="0" collapsed="false">
      <c r="A21" s="9" t="str">
        <f aca="false">Settings!$A$15</f>
        <v>Consulting</v>
      </c>
      <c r="B21" s="9"/>
      <c r="C21" s="17" t="n">
        <f aca="false">SUMIFS('Zoho Dump'!$X$8:$X$3007,'Zoho Dump'!$P$8:$P$3007,$A21,'Zoho Dump'!$W$8:$W$3007,C$4,'Zoho Dump'!$T$8:$T$3007,"Backlog")+SUMIFS(Adjustments!$K$8:$K$207,Adjustments!$A$8:$A$207,$A21,Adjustments!$J$8:$J$207,C$4,Adjustments!$H$8:$H$207,"Backlog")</f>
        <v>0</v>
      </c>
      <c r="D21" s="17" t="n">
        <f aca="false">SUMIFS('Zoho Dump'!$X$8:$X$3007,'Zoho Dump'!$P$8:$P$3007,$A21,'Zoho Dump'!$W$8:$W$3007,D$4,'Zoho Dump'!$T$8:$T$3007,"Backlog")+SUMIFS(Adjustments!$K$8:$K$207,Adjustments!$A$8:$A$207,$A21,Adjustments!$J$8:$J$207,D$4,Adjustments!$H$8:$H$207,"Backlog")</f>
        <v>0</v>
      </c>
      <c r="E21" s="17" t="n">
        <f aca="false">SUMIFS('Zoho Dump'!$X$8:$X$3007,'Zoho Dump'!$P$8:$P$3007,$A21,'Zoho Dump'!$W$8:$W$3007,E$4,'Zoho Dump'!$T$8:$T$3007,"Backlog")+SUMIFS(Adjustments!$K$8:$K$207,Adjustments!$A$8:$A$207,$A21,Adjustments!$J$8:$J$207,E$4,Adjustments!$H$8:$H$207,"Backlog")</f>
        <v>0</v>
      </c>
      <c r="F21" s="17" t="n">
        <f aca="false">SUMIFS('Zoho Dump'!$X$8:$X$3007,'Zoho Dump'!$P$8:$P$3007,$A21,'Zoho Dump'!$W$8:$W$3007,F$4,'Zoho Dump'!$T$8:$T$3007,"Backlog")+SUMIFS(Adjustments!$K$8:$K$207,Adjustments!$A$8:$A$207,$A21,Adjustments!$J$8:$J$207,F$4,Adjustments!$H$8:$H$207,"Backlog")</f>
        <v>0</v>
      </c>
      <c r="G21" s="17" t="n">
        <f aca="false">SUMIFS('Zoho Dump'!$X$8:$X$3007,'Zoho Dump'!$P$8:$P$3007,$A21,'Zoho Dump'!$W$8:$W$3007,G$4,'Zoho Dump'!$T$8:$T$3007,"Backlog")+SUMIFS(Adjustments!$K$8:$K$207,Adjustments!$A$8:$A$207,$A21,Adjustments!$J$8:$J$207,G$4,Adjustments!$H$8:$H$207,"Backlog")</f>
        <v>0</v>
      </c>
      <c r="H21" s="17" t="n">
        <f aca="false">SUMIFS('Zoho Dump'!$X$8:$X$3007,'Zoho Dump'!$P$8:$P$3007,$A21,'Zoho Dump'!$W$8:$W$3007,H$4,'Zoho Dump'!$T$8:$T$3007,"Backlog")+SUMIFS(Adjustments!$K$8:$K$207,Adjustments!$A$8:$A$207,$A21,Adjustments!$J$8:$J$207,H$4,Adjustments!$H$8:$H$207,"Backlog")</f>
        <v>0</v>
      </c>
      <c r="I21" s="17" t="n">
        <f aca="false">SUMIFS('Zoho Dump'!$X$8:$X$3007,'Zoho Dump'!$P$8:$P$3007,$A21,'Zoho Dump'!$W$8:$W$3007,I$4,'Zoho Dump'!$T$8:$T$3007,"Backlog")+SUMIFS(Adjustments!$K$8:$K$207,Adjustments!$A$8:$A$207,$A21,Adjustments!$J$8:$J$207,I$4,Adjustments!$H$8:$H$207,"Backlog")</f>
        <v>0</v>
      </c>
      <c r="J21" s="17" t="n">
        <f aca="false">SUMIFS('Zoho Dump'!$X$8:$X$3007,'Zoho Dump'!$P$8:$P$3007,$A21,'Zoho Dump'!$W$8:$W$3007,J$4,'Zoho Dump'!$T$8:$T$3007,"Backlog")+SUMIFS(Adjustments!$K$8:$K$207,Adjustments!$A$8:$A$207,$A21,Adjustments!$J$8:$J$207,J$4,Adjustments!$H$8:$H$207,"Backlog")</f>
        <v>0</v>
      </c>
      <c r="K21" s="17" t="n">
        <f aca="false">SUMIFS('Zoho Dump'!$X$8:$X$3007,'Zoho Dump'!$P$8:$P$3007,$A21,'Zoho Dump'!$W$8:$W$3007,K$4,'Zoho Dump'!$T$8:$T$3007,"Backlog")+SUMIFS(Adjustments!$K$8:$K$207,Adjustments!$A$8:$A$207,$A21,Adjustments!$J$8:$J$207,K$4,Adjustments!$H$8:$H$207,"Backlog")</f>
        <v>0</v>
      </c>
      <c r="L21" s="17" t="n">
        <f aca="false">SUMIFS('Zoho Dump'!$X$8:$X$3007,'Zoho Dump'!$P$8:$P$3007,$A21,'Zoho Dump'!$W$8:$W$3007,L$4,'Zoho Dump'!$T$8:$T$3007,"Backlog")+SUMIFS(Adjustments!$K$8:$K$207,Adjustments!$A$8:$A$207,$A21,Adjustments!$J$8:$J$207,L$4,Adjustments!$H$8:$H$207,"Backlog")</f>
        <v>0</v>
      </c>
      <c r="M21" s="17" t="n">
        <f aca="false">SUMIFS('Zoho Dump'!$X$8:$X$3007,'Zoho Dump'!$P$8:$P$3007,$A21,'Zoho Dump'!$W$8:$W$3007,M$4,'Zoho Dump'!$T$8:$T$3007,"Backlog")+SUMIFS(Adjustments!$K$8:$K$207,Adjustments!$A$8:$A$207,$A21,Adjustments!$J$8:$J$207,M$4,Adjustments!$H$8:$H$207,"Backlog")</f>
        <v>0</v>
      </c>
      <c r="N21" s="17" t="n">
        <f aca="false">SUMIFS('Zoho Dump'!$X$8:$X$3007,'Zoho Dump'!$P$8:$P$3007,$A21,'Zoho Dump'!$W$8:$W$3007,N$4,'Zoho Dump'!$T$8:$T$3007,"Backlog")+SUMIFS(Adjustments!$K$8:$K$207,Adjustments!$A$8:$A$207,$A21,Adjustments!$J$8:$J$207,N$4,Adjustments!$H$8:$H$207,"Backlog")</f>
        <v>0</v>
      </c>
      <c r="O21" s="28" t="n">
        <f aca="false">SUM(C21:N21)</f>
        <v>0</v>
      </c>
    </row>
    <row r="22" customFormat="false" ht="15" hidden="false" customHeight="false" outlineLevel="0" collapsed="false">
      <c r="A22" s="9" t="str">
        <f aca="false">Settings!$A$16</f>
        <v>Integration</v>
      </c>
      <c r="B22" s="9"/>
      <c r="C22" s="17" t="n">
        <f aca="false">SUMIFS('Zoho Dump'!$X$8:$X$3007,'Zoho Dump'!$P$8:$P$3007,$A22,'Zoho Dump'!$W$8:$W$3007,C$4,'Zoho Dump'!$T$8:$T$3007,"Backlog")+SUMIFS(Adjustments!$K$8:$K$207,Adjustments!$A$8:$A$207,$A22,Adjustments!$J$8:$J$207,C$4,Adjustments!$H$8:$H$207,"Backlog")</f>
        <v>0</v>
      </c>
      <c r="D22" s="17" t="n">
        <f aca="false">SUMIFS('Zoho Dump'!$X$8:$X$3007,'Zoho Dump'!$P$8:$P$3007,$A22,'Zoho Dump'!$W$8:$W$3007,D$4,'Zoho Dump'!$T$8:$T$3007,"Backlog")+SUMIFS(Adjustments!$K$8:$K$207,Adjustments!$A$8:$A$207,$A22,Adjustments!$J$8:$J$207,D$4,Adjustments!$H$8:$H$207,"Backlog")</f>
        <v>0</v>
      </c>
      <c r="E22" s="17" t="n">
        <f aca="false">SUMIFS('Zoho Dump'!$X$8:$X$3007,'Zoho Dump'!$P$8:$P$3007,$A22,'Zoho Dump'!$W$8:$W$3007,E$4,'Zoho Dump'!$T$8:$T$3007,"Backlog")+SUMIFS(Adjustments!$K$8:$K$207,Adjustments!$A$8:$A$207,$A22,Adjustments!$J$8:$J$207,E$4,Adjustments!$H$8:$H$207,"Backlog")</f>
        <v>0</v>
      </c>
      <c r="F22" s="17" t="n">
        <f aca="false">SUMIFS('Zoho Dump'!$X$8:$X$3007,'Zoho Dump'!$P$8:$P$3007,$A22,'Zoho Dump'!$W$8:$W$3007,F$4,'Zoho Dump'!$T$8:$T$3007,"Backlog")+SUMIFS(Adjustments!$K$8:$K$207,Adjustments!$A$8:$A$207,$A22,Adjustments!$J$8:$J$207,F$4,Adjustments!$H$8:$H$207,"Backlog")</f>
        <v>0</v>
      </c>
      <c r="G22" s="17" t="n">
        <f aca="false">SUMIFS('Zoho Dump'!$X$8:$X$3007,'Zoho Dump'!$P$8:$P$3007,$A22,'Zoho Dump'!$W$8:$W$3007,G$4,'Zoho Dump'!$T$8:$T$3007,"Backlog")+SUMIFS(Adjustments!$K$8:$K$207,Adjustments!$A$8:$A$207,$A22,Adjustments!$J$8:$J$207,G$4,Adjustments!$H$8:$H$207,"Backlog")</f>
        <v>0</v>
      </c>
      <c r="H22" s="17" t="n">
        <f aca="false">SUMIFS('Zoho Dump'!$X$8:$X$3007,'Zoho Dump'!$P$8:$P$3007,$A22,'Zoho Dump'!$W$8:$W$3007,H$4,'Zoho Dump'!$T$8:$T$3007,"Backlog")+SUMIFS(Adjustments!$K$8:$K$207,Adjustments!$A$8:$A$207,$A22,Adjustments!$J$8:$J$207,H$4,Adjustments!$H$8:$H$207,"Backlog")</f>
        <v>0</v>
      </c>
      <c r="I22" s="17" t="n">
        <f aca="false">SUMIFS('Zoho Dump'!$X$8:$X$3007,'Zoho Dump'!$P$8:$P$3007,$A22,'Zoho Dump'!$W$8:$W$3007,I$4,'Zoho Dump'!$T$8:$T$3007,"Backlog")+SUMIFS(Adjustments!$K$8:$K$207,Adjustments!$A$8:$A$207,$A22,Adjustments!$J$8:$J$207,I$4,Adjustments!$H$8:$H$207,"Backlog")</f>
        <v>0</v>
      </c>
      <c r="J22" s="17" t="n">
        <f aca="false">SUMIFS('Zoho Dump'!$X$8:$X$3007,'Zoho Dump'!$P$8:$P$3007,$A22,'Zoho Dump'!$W$8:$W$3007,J$4,'Zoho Dump'!$T$8:$T$3007,"Backlog")+SUMIFS(Adjustments!$K$8:$K$207,Adjustments!$A$8:$A$207,$A22,Adjustments!$J$8:$J$207,J$4,Adjustments!$H$8:$H$207,"Backlog")</f>
        <v>0</v>
      </c>
      <c r="K22" s="17" t="n">
        <f aca="false">SUMIFS('Zoho Dump'!$X$8:$X$3007,'Zoho Dump'!$P$8:$P$3007,$A22,'Zoho Dump'!$W$8:$W$3007,K$4,'Zoho Dump'!$T$8:$T$3007,"Backlog")+SUMIFS(Adjustments!$K$8:$K$207,Adjustments!$A$8:$A$207,$A22,Adjustments!$J$8:$J$207,K$4,Adjustments!$H$8:$H$207,"Backlog")</f>
        <v>0</v>
      </c>
      <c r="L22" s="17" t="n">
        <f aca="false">SUMIFS('Zoho Dump'!$X$8:$X$3007,'Zoho Dump'!$P$8:$P$3007,$A22,'Zoho Dump'!$W$8:$W$3007,L$4,'Zoho Dump'!$T$8:$T$3007,"Backlog")+SUMIFS(Adjustments!$K$8:$K$207,Adjustments!$A$8:$A$207,$A22,Adjustments!$J$8:$J$207,L$4,Adjustments!$H$8:$H$207,"Backlog")</f>
        <v>0</v>
      </c>
      <c r="M22" s="17" t="n">
        <f aca="false">SUMIFS('Zoho Dump'!$X$8:$X$3007,'Zoho Dump'!$P$8:$P$3007,$A22,'Zoho Dump'!$W$8:$W$3007,M$4,'Zoho Dump'!$T$8:$T$3007,"Backlog")+SUMIFS(Adjustments!$K$8:$K$207,Adjustments!$A$8:$A$207,$A22,Adjustments!$J$8:$J$207,M$4,Adjustments!$H$8:$H$207,"Backlog")</f>
        <v>0</v>
      </c>
      <c r="N22" s="17" t="n">
        <f aca="false">SUMIFS('Zoho Dump'!$X$8:$X$3007,'Zoho Dump'!$P$8:$P$3007,$A22,'Zoho Dump'!$W$8:$W$3007,N$4,'Zoho Dump'!$T$8:$T$3007,"Backlog")+SUMIFS(Adjustments!$K$8:$K$207,Adjustments!$A$8:$A$207,$A22,Adjustments!$J$8:$J$207,N$4,Adjustments!$H$8:$H$207,"Backlog")</f>
        <v>0</v>
      </c>
      <c r="O22" s="28" t="n">
        <f aca="false">SUM(C22:N22)</f>
        <v>0</v>
      </c>
    </row>
    <row r="23" customFormat="false" ht="15" hidden="false" customHeight="false" outlineLevel="0" collapsed="false">
      <c r="A23" s="9" t="str">
        <f aca="false">Settings!$A$17</f>
        <v>Admin</v>
      </c>
      <c r="B23" s="9"/>
      <c r="C23" s="17" t="n">
        <f aca="false">SUMIFS('Zoho Dump'!$X$8:$X$3007,'Zoho Dump'!$P$8:$P$3007,$A23,'Zoho Dump'!$W$8:$W$3007,C$4,'Zoho Dump'!$T$8:$T$3007,"Backlog")+SUMIFS(Adjustments!$K$8:$K$207,Adjustments!$A$8:$A$207,$A23,Adjustments!$J$8:$J$207,C$4,Adjustments!$H$8:$H$207,"Backlog")</f>
        <v>0</v>
      </c>
      <c r="D23" s="17" t="n">
        <f aca="false">SUMIFS('Zoho Dump'!$X$8:$X$3007,'Zoho Dump'!$P$8:$P$3007,$A23,'Zoho Dump'!$W$8:$W$3007,D$4,'Zoho Dump'!$T$8:$T$3007,"Backlog")+SUMIFS(Adjustments!$K$8:$K$207,Adjustments!$A$8:$A$207,$A23,Adjustments!$J$8:$J$207,D$4,Adjustments!$H$8:$H$207,"Backlog")</f>
        <v>0</v>
      </c>
      <c r="E23" s="17" t="n">
        <f aca="false">SUMIFS('Zoho Dump'!$X$8:$X$3007,'Zoho Dump'!$P$8:$P$3007,$A23,'Zoho Dump'!$W$8:$W$3007,E$4,'Zoho Dump'!$T$8:$T$3007,"Backlog")+SUMIFS(Adjustments!$K$8:$K$207,Adjustments!$A$8:$A$207,$A23,Adjustments!$J$8:$J$207,E$4,Adjustments!$H$8:$H$207,"Backlog")</f>
        <v>0</v>
      </c>
      <c r="F23" s="17" t="n">
        <f aca="false">SUMIFS('Zoho Dump'!$X$8:$X$3007,'Zoho Dump'!$P$8:$P$3007,$A23,'Zoho Dump'!$W$8:$W$3007,F$4,'Zoho Dump'!$T$8:$T$3007,"Backlog")+SUMIFS(Adjustments!$K$8:$K$207,Adjustments!$A$8:$A$207,$A23,Adjustments!$J$8:$J$207,F$4,Adjustments!$H$8:$H$207,"Backlog")</f>
        <v>0</v>
      </c>
      <c r="G23" s="17" t="n">
        <f aca="false">SUMIFS('Zoho Dump'!$X$8:$X$3007,'Zoho Dump'!$P$8:$P$3007,$A23,'Zoho Dump'!$W$8:$W$3007,G$4,'Zoho Dump'!$T$8:$T$3007,"Backlog")+SUMIFS(Adjustments!$K$8:$K$207,Adjustments!$A$8:$A$207,$A23,Adjustments!$J$8:$J$207,G$4,Adjustments!$H$8:$H$207,"Backlog")</f>
        <v>0</v>
      </c>
      <c r="H23" s="17" t="n">
        <f aca="false">SUMIFS('Zoho Dump'!$X$8:$X$3007,'Zoho Dump'!$P$8:$P$3007,$A23,'Zoho Dump'!$W$8:$W$3007,H$4,'Zoho Dump'!$T$8:$T$3007,"Backlog")+SUMIFS(Adjustments!$K$8:$K$207,Adjustments!$A$8:$A$207,$A23,Adjustments!$J$8:$J$207,H$4,Adjustments!$H$8:$H$207,"Backlog")</f>
        <v>0</v>
      </c>
      <c r="I23" s="17" t="n">
        <f aca="false">SUMIFS('Zoho Dump'!$X$8:$X$3007,'Zoho Dump'!$P$8:$P$3007,$A23,'Zoho Dump'!$W$8:$W$3007,I$4,'Zoho Dump'!$T$8:$T$3007,"Backlog")+SUMIFS(Adjustments!$K$8:$K$207,Adjustments!$A$8:$A$207,$A23,Adjustments!$J$8:$J$207,I$4,Adjustments!$H$8:$H$207,"Backlog")</f>
        <v>0</v>
      </c>
      <c r="J23" s="17" t="n">
        <f aca="false">SUMIFS('Zoho Dump'!$X$8:$X$3007,'Zoho Dump'!$P$8:$P$3007,$A23,'Zoho Dump'!$W$8:$W$3007,J$4,'Zoho Dump'!$T$8:$T$3007,"Backlog")+SUMIFS(Adjustments!$K$8:$K$207,Adjustments!$A$8:$A$207,$A23,Adjustments!$J$8:$J$207,J$4,Adjustments!$H$8:$H$207,"Backlog")</f>
        <v>0</v>
      </c>
      <c r="K23" s="17" t="n">
        <f aca="false">SUMIFS('Zoho Dump'!$X$8:$X$3007,'Zoho Dump'!$P$8:$P$3007,$A23,'Zoho Dump'!$W$8:$W$3007,K$4,'Zoho Dump'!$T$8:$T$3007,"Backlog")+SUMIFS(Adjustments!$K$8:$K$207,Adjustments!$A$8:$A$207,$A23,Adjustments!$J$8:$J$207,K$4,Adjustments!$H$8:$H$207,"Backlog")</f>
        <v>0</v>
      </c>
      <c r="L23" s="17" t="n">
        <f aca="false">SUMIFS('Zoho Dump'!$X$8:$X$3007,'Zoho Dump'!$P$8:$P$3007,$A23,'Zoho Dump'!$W$8:$W$3007,L$4,'Zoho Dump'!$T$8:$T$3007,"Backlog")+SUMIFS(Adjustments!$K$8:$K$207,Adjustments!$A$8:$A$207,$A23,Adjustments!$J$8:$J$207,L$4,Adjustments!$H$8:$H$207,"Backlog")</f>
        <v>0</v>
      </c>
      <c r="M23" s="17" t="n">
        <f aca="false">SUMIFS('Zoho Dump'!$X$8:$X$3007,'Zoho Dump'!$P$8:$P$3007,$A23,'Zoho Dump'!$W$8:$W$3007,M$4,'Zoho Dump'!$T$8:$T$3007,"Backlog")+SUMIFS(Adjustments!$K$8:$K$207,Adjustments!$A$8:$A$207,$A23,Adjustments!$J$8:$J$207,M$4,Adjustments!$H$8:$H$207,"Backlog")</f>
        <v>0</v>
      </c>
      <c r="N23" s="17" t="n">
        <f aca="false">SUMIFS('Zoho Dump'!$X$8:$X$3007,'Zoho Dump'!$P$8:$P$3007,$A23,'Zoho Dump'!$W$8:$W$3007,N$4,'Zoho Dump'!$T$8:$T$3007,"Backlog")+SUMIFS(Adjustments!$K$8:$K$207,Adjustments!$A$8:$A$207,$A23,Adjustments!$J$8:$J$207,N$4,Adjustments!$H$8:$H$207,"Backlog")</f>
        <v>0</v>
      </c>
      <c r="O23" s="28" t="n">
        <f aca="false">SUM(C23:N23)</f>
        <v>0</v>
      </c>
    </row>
    <row r="24" customFormat="false" ht="15" hidden="false" customHeight="false" outlineLevel="0" collapsed="false">
      <c r="A24" s="9" t="str">
        <f aca="false">Settings!$A$18</f>
        <v>Unallocated</v>
      </c>
      <c r="B24" s="9"/>
      <c r="C24" s="17" t="n">
        <f aca="false">SUMIFS('Zoho Dump'!$X$8:$X$3007,'Zoho Dump'!$P$8:$P$3007,$A24,'Zoho Dump'!$W$8:$W$3007,C$4,'Zoho Dump'!$T$8:$T$3007,"Backlog")+SUMIFS(Adjustments!$K$8:$K$207,Adjustments!$A$8:$A$207,$A24,Adjustments!$J$8:$J$207,C$4,Adjustments!$H$8:$H$207,"Backlog")</f>
        <v>0</v>
      </c>
      <c r="D24" s="17" t="n">
        <f aca="false">SUMIFS('Zoho Dump'!$X$8:$X$3007,'Zoho Dump'!$P$8:$P$3007,$A24,'Zoho Dump'!$W$8:$W$3007,D$4,'Zoho Dump'!$T$8:$T$3007,"Backlog")+SUMIFS(Adjustments!$K$8:$K$207,Adjustments!$A$8:$A$207,$A24,Adjustments!$J$8:$J$207,D$4,Adjustments!$H$8:$H$207,"Backlog")</f>
        <v>0</v>
      </c>
      <c r="E24" s="17" t="n">
        <f aca="false">SUMIFS('Zoho Dump'!$X$8:$X$3007,'Zoho Dump'!$P$8:$P$3007,$A24,'Zoho Dump'!$W$8:$W$3007,E$4,'Zoho Dump'!$T$8:$T$3007,"Backlog")+SUMIFS(Adjustments!$K$8:$K$207,Adjustments!$A$8:$A$207,$A24,Adjustments!$J$8:$J$207,E$4,Adjustments!$H$8:$H$207,"Backlog")</f>
        <v>0</v>
      </c>
      <c r="F24" s="17" t="n">
        <f aca="false">SUMIFS('Zoho Dump'!$X$8:$X$3007,'Zoho Dump'!$P$8:$P$3007,$A24,'Zoho Dump'!$W$8:$W$3007,F$4,'Zoho Dump'!$T$8:$T$3007,"Backlog")+SUMIFS(Adjustments!$K$8:$K$207,Adjustments!$A$8:$A$207,$A24,Adjustments!$J$8:$J$207,F$4,Adjustments!$H$8:$H$207,"Backlog")</f>
        <v>0</v>
      </c>
      <c r="G24" s="17" t="n">
        <f aca="false">SUMIFS('Zoho Dump'!$X$8:$X$3007,'Zoho Dump'!$P$8:$P$3007,$A24,'Zoho Dump'!$W$8:$W$3007,G$4,'Zoho Dump'!$T$8:$T$3007,"Backlog")+SUMIFS(Adjustments!$K$8:$K$207,Adjustments!$A$8:$A$207,$A24,Adjustments!$J$8:$J$207,G$4,Adjustments!$H$8:$H$207,"Backlog")</f>
        <v>0</v>
      </c>
      <c r="H24" s="17" t="n">
        <f aca="false">SUMIFS('Zoho Dump'!$X$8:$X$3007,'Zoho Dump'!$P$8:$P$3007,$A24,'Zoho Dump'!$W$8:$W$3007,H$4,'Zoho Dump'!$T$8:$T$3007,"Backlog")+SUMIFS(Adjustments!$K$8:$K$207,Adjustments!$A$8:$A$207,$A24,Adjustments!$J$8:$J$207,H$4,Adjustments!$H$8:$H$207,"Backlog")</f>
        <v>0</v>
      </c>
      <c r="I24" s="17" t="n">
        <f aca="false">SUMIFS('Zoho Dump'!$X$8:$X$3007,'Zoho Dump'!$P$8:$P$3007,$A24,'Zoho Dump'!$W$8:$W$3007,I$4,'Zoho Dump'!$T$8:$T$3007,"Backlog")+SUMIFS(Adjustments!$K$8:$K$207,Adjustments!$A$8:$A$207,$A24,Adjustments!$J$8:$J$207,I$4,Adjustments!$H$8:$H$207,"Backlog")</f>
        <v>0</v>
      </c>
      <c r="J24" s="17" t="n">
        <f aca="false">SUMIFS('Zoho Dump'!$X$8:$X$3007,'Zoho Dump'!$P$8:$P$3007,$A24,'Zoho Dump'!$W$8:$W$3007,J$4,'Zoho Dump'!$T$8:$T$3007,"Backlog")+SUMIFS(Adjustments!$K$8:$K$207,Adjustments!$A$8:$A$207,$A24,Adjustments!$J$8:$J$207,J$4,Adjustments!$H$8:$H$207,"Backlog")</f>
        <v>0</v>
      </c>
      <c r="K24" s="17" t="n">
        <f aca="false">SUMIFS('Zoho Dump'!$X$8:$X$3007,'Zoho Dump'!$P$8:$P$3007,$A24,'Zoho Dump'!$W$8:$W$3007,K$4,'Zoho Dump'!$T$8:$T$3007,"Backlog")+SUMIFS(Adjustments!$K$8:$K$207,Adjustments!$A$8:$A$207,$A24,Adjustments!$J$8:$J$207,K$4,Adjustments!$H$8:$H$207,"Backlog")</f>
        <v>0</v>
      </c>
      <c r="L24" s="17" t="n">
        <f aca="false">SUMIFS('Zoho Dump'!$X$8:$X$3007,'Zoho Dump'!$P$8:$P$3007,$A24,'Zoho Dump'!$W$8:$W$3007,L$4,'Zoho Dump'!$T$8:$T$3007,"Backlog")+SUMIFS(Adjustments!$K$8:$K$207,Adjustments!$A$8:$A$207,$A24,Adjustments!$J$8:$J$207,L$4,Adjustments!$H$8:$H$207,"Backlog")</f>
        <v>0</v>
      </c>
      <c r="M24" s="17" t="n">
        <f aca="false">SUMIFS('Zoho Dump'!$X$8:$X$3007,'Zoho Dump'!$P$8:$P$3007,$A24,'Zoho Dump'!$W$8:$W$3007,M$4,'Zoho Dump'!$T$8:$T$3007,"Backlog")+SUMIFS(Adjustments!$K$8:$K$207,Adjustments!$A$8:$A$207,$A24,Adjustments!$J$8:$J$207,M$4,Adjustments!$H$8:$H$207,"Backlog")</f>
        <v>0</v>
      </c>
      <c r="N24" s="17" t="n">
        <f aca="false">SUMIFS('Zoho Dump'!$X$8:$X$3007,'Zoho Dump'!$P$8:$P$3007,$A24,'Zoho Dump'!$W$8:$W$3007,N$4,'Zoho Dump'!$T$8:$T$3007,"Backlog")+SUMIFS(Adjustments!$K$8:$K$207,Adjustments!$A$8:$A$207,$A24,Adjustments!$J$8:$J$207,N$4,Adjustments!$H$8:$H$207,"Backlog")</f>
        <v>0</v>
      </c>
      <c r="O24" s="28" t="n">
        <f aca="false">SUM(C24:N24)</f>
        <v>0</v>
      </c>
    </row>
    <row r="25" customFormat="false" ht="15" hidden="false" customHeight="false" outlineLevel="0" collapsed="false">
      <c r="A25" s="20" t="s">
        <v>55</v>
      </c>
      <c r="B25" s="29"/>
      <c r="C25" s="21" t="n">
        <f aca="false">SUM(C18:C24)</f>
        <v>0</v>
      </c>
      <c r="D25" s="21" t="n">
        <f aca="false">SUM(D18:D24)</f>
        <v>0</v>
      </c>
      <c r="E25" s="21" t="n">
        <f aca="false">SUM(E18:E24)</f>
        <v>0</v>
      </c>
      <c r="F25" s="21" t="n">
        <f aca="false">SUM(F18:F24)</f>
        <v>57626</v>
      </c>
      <c r="G25" s="21" t="n">
        <f aca="false">SUM(G18:G24)</f>
        <v>24895</v>
      </c>
      <c r="H25" s="21" t="n">
        <f aca="false">SUM(H18:H24)</f>
        <v>2881</v>
      </c>
      <c r="I25" s="21" t="n">
        <f aca="false">SUM(I18:I24)</f>
        <v>0</v>
      </c>
      <c r="J25" s="21" t="n">
        <f aca="false">SUM(J18:J24)</f>
        <v>0</v>
      </c>
      <c r="K25" s="21" t="n">
        <f aca="false">SUM(K18:K24)</f>
        <v>0</v>
      </c>
      <c r="L25" s="21" t="n">
        <f aca="false">SUM(L18:L24)</f>
        <v>0</v>
      </c>
      <c r="M25" s="21" t="n">
        <f aca="false">SUM(M18:M24)</f>
        <v>0</v>
      </c>
      <c r="N25" s="21" t="n">
        <f aca="false">SUM(N18:N24)</f>
        <v>0</v>
      </c>
      <c r="O25" s="21" t="n">
        <f aca="false">SUM(O18:O24)</f>
        <v>85402</v>
      </c>
    </row>
    <row r="27" customFormat="false" ht="15" hidden="false" customHeight="false" outlineLevel="0" collapsed="false">
      <c r="A27" s="7" t="s">
        <v>87</v>
      </c>
      <c r="B27" s="27" t="s">
        <v>88</v>
      </c>
      <c r="C27" s="8"/>
      <c r="D27" s="8"/>
      <c r="E27" s="8"/>
      <c r="F27" s="8"/>
      <c r="G27" s="8"/>
      <c r="H27" s="8"/>
      <c r="I27" s="8"/>
      <c r="J27" s="8"/>
      <c r="K27" s="8"/>
      <c r="L27" s="8"/>
      <c r="M27" s="8"/>
      <c r="N27" s="8"/>
      <c r="O27" s="8"/>
    </row>
    <row r="28" customFormat="false" ht="15" hidden="false" customHeight="false" outlineLevel="0" collapsed="false">
      <c r="A28" s="9" t="str">
        <f aca="false">Settings!$A$12</f>
        <v>Onsite</v>
      </c>
      <c r="B28" s="9"/>
      <c r="C28" s="17" t="n">
        <f aca="false">SUMIFS('Zoho Dump'!$X$8:$X$3007,'Zoho Dump'!$P$8:$P$3007,$A28,'Zoho Dump'!$W$8:$W$3007,C$4,'Zoho Dump'!$T$8:$T$3007,"Pipeline")+SUMIFS(Adjustments!$K$8:$K$207,Adjustments!$A$8:$A$207,$A28,Adjustments!$J$8:$J$207,C$4,Adjustments!$H$8:$H$207,"Pipeline")+SUMIFS('Zoho Dump'!$X$8:$X$3007,'Zoho Dump'!$P$8:$P$3007,$A28,'Zoho Dump'!$W$8:$W$3007,C$4,'Zoho Dump'!$T$8:$T$3007,"Overdue")+SUMIFS(Adjustments!$K$8:$K$207,Adjustments!$A$8:$A$207,$A28,Adjustments!$J$8:$J$207,C$4,Adjustments!$H$8:$H$207,"Overdue")</f>
        <v>0</v>
      </c>
      <c r="D28" s="17" t="n">
        <f aca="false">SUMIFS('Zoho Dump'!$X$8:$X$3007,'Zoho Dump'!$P$8:$P$3007,$A28,'Zoho Dump'!$W$8:$W$3007,D$4,'Zoho Dump'!$T$8:$T$3007,"Pipeline")+SUMIFS(Adjustments!$K$8:$K$207,Adjustments!$A$8:$A$207,$A28,Adjustments!$J$8:$J$207,D$4,Adjustments!$H$8:$H$207,"Pipeline")+SUMIFS('Zoho Dump'!$X$8:$X$3007,'Zoho Dump'!$P$8:$P$3007,$A28,'Zoho Dump'!$W$8:$W$3007,D$4,'Zoho Dump'!$T$8:$T$3007,"Overdue")+SUMIFS(Adjustments!$K$8:$K$207,Adjustments!$A$8:$A$207,$A28,Adjustments!$J$8:$J$207,D$4,Adjustments!$H$8:$H$207,"Overdue")</f>
        <v>0</v>
      </c>
      <c r="E28" s="17" t="n">
        <f aca="false">SUMIFS('Zoho Dump'!$X$8:$X$3007,'Zoho Dump'!$P$8:$P$3007,$A28,'Zoho Dump'!$W$8:$W$3007,E$4,'Zoho Dump'!$T$8:$T$3007,"Pipeline")+SUMIFS(Adjustments!$K$8:$K$207,Adjustments!$A$8:$A$207,$A28,Adjustments!$J$8:$J$207,E$4,Adjustments!$H$8:$H$207,"Pipeline")+SUMIFS('Zoho Dump'!$X$8:$X$3007,'Zoho Dump'!$P$8:$P$3007,$A28,'Zoho Dump'!$W$8:$W$3007,E$4,'Zoho Dump'!$T$8:$T$3007,"Overdue")+SUMIFS(Adjustments!$K$8:$K$207,Adjustments!$A$8:$A$207,$A28,Adjustments!$J$8:$J$207,E$4,Adjustments!$H$8:$H$207,"Overdue")</f>
        <v>0</v>
      </c>
      <c r="F28" s="17" t="n">
        <f aca="false">SUMIFS('Zoho Dump'!$X$8:$X$3007,'Zoho Dump'!$P$8:$P$3007,$A28,'Zoho Dump'!$W$8:$W$3007,F$4,'Zoho Dump'!$T$8:$T$3007,"Pipeline")+SUMIFS(Adjustments!$K$8:$K$207,Adjustments!$A$8:$A$207,$A28,Adjustments!$J$8:$J$207,F$4,Adjustments!$H$8:$H$207,"Pipeline")+SUMIFS('Zoho Dump'!$X$8:$X$3007,'Zoho Dump'!$P$8:$P$3007,$A28,'Zoho Dump'!$W$8:$W$3007,F$4,'Zoho Dump'!$T$8:$T$3007,"Overdue")+SUMIFS(Adjustments!$K$8:$K$207,Adjustments!$A$8:$A$207,$A28,Adjustments!$J$8:$J$207,F$4,Adjustments!$H$8:$H$207,"Overdue")</f>
        <v>0</v>
      </c>
      <c r="G28" s="17" t="n">
        <f aca="false">SUMIFS('Zoho Dump'!$X$8:$X$3007,'Zoho Dump'!$P$8:$P$3007,$A28,'Zoho Dump'!$W$8:$W$3007,G$4,'Zoho Dump'!$T$8:$T$3007,"Pipeline")+SUMIFS(Adjustments!$K$8:$K$207,Adjustments!$A$8:$A$207,$A28,Adjustments!$J$8:$J$207,G$4,Adjustments!$H$8:$H$207,"Pipeline")+SUMIFS('Zoho Dump'!$X$8:$X$3007,'Zoho Dump'!$P$8:$P$3007,$A28,'Zoho Dump'!$W$8:$W$3007,G$4,'Zoho Dump'!$T$8:$T$3007,"Overdue")+SUMIFS(Adjustments!$K$8:$K$207,Adjustments!$A$8:$A$207,$A28,Adjustments!$J$8:$J$207,G$4,Adjustments!$H$8:$H$207,"Overdue")</f>
        <v>0</v>
      </c>
      <c r="H28" s="17" t="n">
        <f aca="false">SUMIFS('Zoho Dump'!$X$8:$X$3007,'Zoho Dump'!$P$8:$P$3007,$A28,'Zoho Dump'!$W$8:$W$3007,H$4,'Zoho Dump'!$T$8:$T$3007,"Pipeline")+SUMIFS(Adjustments!$K$8:$K$207,Adjustments!$A$8:$A$207,$A28,Adjustments!$J$8:$J$207,H$4,Adjustments!$H$8:$H$207,"Pipeline")+SUMIFS('Zoho Dump'!$X$8:$X$3007,'Zoho Dump'!$P$8:$P$3007,$A28,'Zoho Dump'!$W$8:$W$3007,H$4,'Zoho Dump'!$T$8:$T$3007,"Overdue")+SUMIFS(Adjustments!$K$8:$K$207,Adjustments!$A$8:$A$207,$A28,Adjustments!$J$8:$J$207,H$4,Adjustments!$H$8:$H$207,"Overdue")</f>
        <v>0</v>
      </c>
      <c r="I28" s="17" t="n">
        <f aca="false">SUMIFS('Zoho Dump'!$X$8:$X$3007,'Zoho Dump'!$P$8:$P$3007,$A28,'Zoho Dump'!$W$8:$W$3007,I$4,'Zoho Dump'!$T$8:$T$3007,"Pipeline")+SUMIFS(Adjustments!$K$8:$K$207,Adjustments!$A$8:$A$207,$A28,Adjustments!$J$8:$J$207,I$4,Adjustments!$H$8:$H$207,"Pipeline")+SUMIFS('Zoho Dump'!$X$8:$X$3007,'Zoho Dump'!$P$8:$P$3007,$A28,'Zoho Dump'!$W$8:$W$3007,I$4,'Zoho Dump'!$T$8:$T$3007,"Overdue")+SUMIFS(Adjustments!$K$8:$K$207,Adjustments!$A$8:$A$207,$A28,Adjustments!$J$8:$J$207,I$4,Adjustments!$H$8:$H$207,"Overdue")</f>
        <v>0</v>
      </c>
      <c r="J28" s="17" t="n">
        <f aca="false">SUMIFS('Zoho Dump'!$X$8:$X$3007,'Zoho Dump'!$P$8:$P$3007,$A28,'Zoho Dump'!$W$8:$W$3007,J$4,'Zoho Dump'!$T$8:$T$3007,"Pipeline")+SUMIFS(Adjustments!$K$8:$K$207,Adjustments!$A$8:$A$207,$A28,Adjustments!$J$8:$J$207,J$4,Adjustments!$H$8:$H$207,"Pipeline")+SUMIFS('Zoho Dump'!$X$8:$X$3007,'Zoho Dump'!$P$8:$P$3007,$A28,'Zoho Dump'!$W$8:$W$3007,J$4,'Zoho Dump'!$T$8:$T$3007,"Overdue")+SUMIFS(Adjustments!$K$8:$K$207,Adjustments!$A$8:$A$207,$A28,Adjustments!$J$8:$J$207,J$4,Adjustments!$H$8:$H$207,"Overdue")</f>
        <v>52500</v>
      </c>
      <c r="K28" s="17" t="n">
        <f aca="false">SUMIFS('Zoho Dump'!$X$8:$X$3007,'Zoho Dump'!$P$8:$P$3007,$A28,'Zoho Dump'!$W$8:$W$3007,K$4,'Zoho Dump'!$T$8:$T$3007,"Pipeline")+SUMIFS(Adjustments!$K$8:$K$207,Adjustments!$A$8:$A$207,$A28,Adjustments!$J$8:$J$207,K$4,Adjustments!$H$8:$H$207,"Pipeline")+SUMIFS('Zoho Dump'!$X$8:$X$3007,'Zoho Dump'!$P$8:$P$3007,$A28,'Zoho Dump'!$W$8:$W$3007,K$4,'Zoho Dump'!$T$8:$T$3007,"Overdue")+SUMIFS(Adjustments!$K$8:$K$207,Adjustments!$A$8:$A$207,$A28,Adjustments!$J$8:$J$207,K$4,Adjustments!$H$8:$H$207,"Overdue")</f>
        <v>0</v>
      </c>
      <c r="L28" s="17" t="n">
        <f aca="false">SUMIFS('Zoho Dump'!$X$8:$X$3007,'Zoho Dump'!$P$8:$P$3007,$A28,'Zoho Dump'!$W$8:$W$3007,L$4,'Zoho Dump'!$T$8:$T$3007,"Pipeline")+SUMIFS(Adjustments!$K$8:$K$207,Adjustments!$A$8:$A$207,$A28,Adjustments!$J$8:$J$207,L$4,Adjustments!$H$8:$H$207,"Pipeline")+SUMIFS('Zoho Dump'!$X$8:$X$3007,'Zoho Dump'!$P$8:$P$3007,$A28,'Zoho Dump'!$W$8:$W$3007,L$4,'Zoho Dump'!$T$8:$T$3007,"Overdue")+SUMIFS(Adjustments!$K$8:$K$207,Adjustments!$A$8:$A$207,$A28,Adjustments!$J$8:$J$207,L$4,Adjustments!$H$8:$H$207,"Overdue")</f>
        <v>0</v>
      </c>
      <c r="M28" s="17" t="n">
        <f aca="false">SUMIFS('Zoho Dump'!$X$8:$X$3007,'Zoho Dump'!$P$8:$P$3007,$A28,'Zoho Dump'!$W$8:$W$3007,M$4,'Zoho Dump'!$T$8:$T$3007,"Pipeline")+SUMIFS(Adjustments!$K$8:$K$207,Adjustments!$A$8:$A$207,$A28,Adjustments!$J$8:$J$207,M$4,Adjustments!$H$8:$H$207,"Pipeline")+SUMIFS('Zoho Dump'!$X$8:$X$3007,'Zoho Dump'!$P$8:$P$3007,$A28,'Zoho Dump'!$W$8:$W$3007,M$4,'Zoho Dump'!$T$8:$T$3007,"Overdue")+SUMIFS(Adjustments!$K$8:$K$207,Adjustments!$A$8:$A$207,$A28,Adjustments!$J$8:$J$207,M$4,Adjustments!$H$8:$H$207,"Overdue")</f>
        <v>0</v>
      </c>
      <c r="N28" s="17" t="n">
        <f aca="false">SUMIFS('Zoho Dump'!$X$8:$X$3007,'Zoho Dump'!$P$8:$P$3007,$A28,'Zoho Dump'!$W$8:$W$3007,N$4,'Zoho Dump'!$T$8:$T$3007,"Pipeline")+SUMIFS(Adjustments!$K$8:$K$207,Adjustments!$A$8:$A$207,$A28,Adjustments!$J$8:$J$207,N$4,Adjustments!$H$8:$H$207,"Pipeline")+SUMIFS('Zoho Dump'!$X$8:$X$3007,'Zoho Dump'!$P$8:$P$3007,$A28,'Zoho Dump'!$W$8:$W$3007,N$4,'Zoho Dump'!$T$8:$T$3007,"Overdue")+SUMIFS(Adjustments!$K$8:$K$207,Adjustments!$A$8:$A$207,$A28,Adjustments!$J$8:$J$207,N$4,Adjustments!$H$8:$H$207,"Overdue")</f>
        <v>0</v>
      </c>
      <c r="O28" s="28" t="n">
        <f aca="false">SUM(C28:N28)</f>
        <v>52500</v>
      </c>
    </row>
    <row r="29" customFormat="false" ht="15" hidden="false" customHeight="false" outlineLevel="0" collapsed="false">
      <c r="A29" s="9" t="str">
        <f aca="false">Settings!$A$13</f>
        <v>Production</v>
      </c>
      <c r="B29" s="9"/>
      <c r="C29" s="17" t="n">
        <f aca="false">SUMIFS('Zoho Dump'!$X$8:$X$3007,'Zoho Dump'!$P$8:$P$3007,$A29,'Zoho Dump'!$W$8:$W$3007,C$4,'Zoho Dump'!$T$8:$T$3007,"Pipeline")+SUMIFS(Adjustments!$K$8:$K$207,Adjustments!$A$8:$A$207,$A29,Adjustments!$J$8:$J$207,C$4,Adjustments!$H$8:$H$207,"Pipeline")+SUMIFS('Zoho Dump'!$X$8:$X$3007,'Zoho Dump'!$P$8:$P$3007,$A29,'Zoho Dump'!$W$8:$W$3007,C$4,'Zoho Dump'!$T$8:$T$3007,"Overdue")+SUMIFS(Adjustments!$K$8:$K$207,Adjustments!$A$8:$A$207,$A29,Adjustments!$J$8:$J$207,C$4,Adjustments!$H$8:$H$207,"Overdue")</f>
        <v>0</v>
      </c>
      <c r="D29" s="17" t="n">
        <f aca="false">SUMIFS('Zoho Dump'!$X$8:$X$3007,'Zoho Dump'!$P$8:$P$3007,$A29,'Zoho Dump'!$W$8:$W$3007,D$4,'Zoho Dump'!$T$8:$T$3007,"Pipeline")+SUMIFS(Adjustments!$K$8:$K$207,Adjustments!$A$8:$A$207,$A29,Adjustments!$J$8:$J$207,D$4,Adjustments!$H$8:$H$207,"Pipeline")+SUMIFS('Zoho Dump'!$X$8:$X$3007,'Zoho Dump'!$P$8:$P$3007,$A29,'Zoho Dump'!$W$8:$W$3007,D$4,'Zoho Dump'!$T$8:$T$3007,"Overdue")+SUMIFS(Adjustments!$K$8:$K$207,Adjustments!$A$8:$A$207,$A29,Adjustments!$J$8:$J$207,D$4,Adjustments!$H$8:$H$207,"Overdue")</f>
        <v>0</v>
      </c>
      <c r="E29" s="17" t="n">
        <f aca="false">SUMIFS('Zoho Dump'!$X$8:$X$3007,'Zoho Dump'!$P$8:$P$3007,$A29,'Zoho Dump'!$W$8:$W$3007,E$4,'Zoho Dump'!$T$8:$T$3007,"Pipeline")+SUMIFS(Adjustments!$K$8:$K$207,Adjustments!$A$8:$A$207,$A29,Adjustments!$J$8:$J$207,E$4,Adjustments!$H$8:$H$207,"Pipeline")+SUMIFS('Zoho Dump'!$X$8:$X$3007,'Zoho Dump'!$P$8:$P$3007,$A29,'Zoho Dump'!$W$8:$W$3007,E$4,'Zoho Dump'!$T$8:$T$3007,"Overdue")+SUMIFS(Adjustments!$K$8:$K$207,Adjustments!$A$8:$A$207,$A29,Adjustments!$J$8:$J$207,E$4,Adjustments!$H$8:$H$207,"Overdue")</f>
        <v>0</v>
      </c>
      <c r="F29" s="17" t="n">
        <f aca="false">SUMIFS('Zoho Dump'!$X$8:$X$3007,'Zoho Dump'!$P$8:$P$3007,$A29,'Zoho Dump'!$W$8:$W$3007,F$4,'Zoho Dump'!$T$8:$T$3007,"Pipeline")+SUMIFS(Adjustments!$K$8:$K$207,Adjustments!$A$8:$A$207,$A29,Adjustments!$J$8:$J$207,F$4,Adjustments!$H$8:$H$207,"Pipeline")+SUMIFS('Zoho Dump'!$X$8:$X$3007,'Zoho Dump'!$P$8:$P$3007,$A29,'Zoho Dump'!$W$8:$W$3007,F$4,'Zoho Dump'!$T$8:$T$3007,"Overdue")+SUMIFS(Adjustments!$K$8:$K$207,Adjustments!$A$8:$A$207,$A29,Adjustments!$J$8:$J$207,F$4,Adjustments!$H$8:$H$207,"Overdue")</f>
        <v>132772.2</v>
      </c>
      <c r="G29" s="17" t="n">
        <f aca="false">SUMIFS('Zoho Dump'!$X$8:$X$3007,'Zoho Dump'!$P$8:$P$3007,$A29,'Zoho Dump'!$W$8:$W$3007,G$4,'Zoho Dump'!$T$8:$T$3007,"Pipeline")+SUMIFS(Adjustments!$K$8:$K$207,Adjustments!$A$8:$A$207,$A29,Adjustments!$J$8:$J$207,G$4,Adjustments!$H$8:$H$207,"Pipeline")+SUMIFS('Zoho Dump'!$X$8:$X$3007,'Zoho Dump'!$P$8:$P$3007,$A29,'Zoho Dump'!$W$8:$W$3007,G$4,'Zoho Dump'!$T$8:$T$3007,"Overdue")+SUMIFS(Adjustments!$K$8:$K$207,Adjustments!$A$8:$A$207,$A29,Adjustments!$J$8:$J$207,G$4,Adjustments!$H$8:$H$207,"Overdue")</f>
        <v>61320.6</v>
      </c>
      <c r="H29" s="17" t="n">
        <f aca="false">SUMIFS('Zoho Dump'!$X$8:$X$3007,'Zoho Dump'!$P$8:$P$3007,$A29,'Zoho Dump'!$W$8:$W$3007,H$4,'Zoho Dump'!$T$8:$T$3007,"Pipeline")+SUMIFS(Adjustments!$K$8:$K$207,Adjustments!$A$8:$A$207,$A29,Adjustments!$J$8:$J$207,H$4,Adjustments!$H$8:$H$207,"Pipeline")+SUMIFS('Zoho Dump'!$X$8:$X$3007,'Zoho Dump'!$P$8:$P$3007,$A29,'Zoho Dump'!$W$8:$W$3007,H$4,'Zoho Dump'!$T$8:$T$3007,"Overdue")+SUMIFS(Adjustments!$K$8:$K$207,Adjustments!$A$8:$A$207,$A29,Adjustments!$J$8:$J$207,H$4,Adjustments!$H$8:$H$207,"Overdue")</f>
        <v>21270.7</v>
      </c>
      <c r="I29" s="17" t="n">
        <f aca="false">SUMIFS('Zoho Dump'!$X$8:$X$3007,'Zoho Dump'!$P$8:$P$3007,$A29,'Zoho Dump'!$W$8:$W$3007,I$4,'Zoho Dump'!$T$8:$T$3007,"Pipeline")+SUMIFS(Adjustments!$K$8:$K$207,Adjustments!$A$8:$A$207,$A29,Adjustments!$J$8:$J$207,I$4,Adjustments!$H$8:$H$207,"Pipeline")+SUMIFS('Zoho Dump'!$X$8:$X$3007,'Zoho Dump'!$P$8:$P$3007,$A29,'Zoho Dump'!$W$8:$W$3007,I$4,'Zoho Dump'!$T$8:$T$3007,"Overdue")+SUMIFS(Adjustments!$K$8:$K$207,Adjustments!$A$8:$A$207,$A29,Adjustments!$J$8:$J$207,I$4,Adjustments!$H$8:$H$207,"Overdue")</f>
        <v>224</v>
      </c>
      <c r="J29" s="17" t="n">
        <f aca="false">SUMIFS('Zoho Dump'!$X$8:$X$3007,'Zoho Dump'!$P$8:$P$3007,$A29,'Zoho Dump'!$W$8:$W$3007,J$4,'Zoho Dump'!$T$8:$T$3007,"Pipeline")+SUMIFS(Adjustments!$K$8:$K$207,Adjustments!$A$8:$A$207,$A29,Adjustments!$J$8:$J$207,J$4,Adjustments!$H$8:$H$207,"Pipeline")+SUMIFS('Zoho Dump'!$X$8:$X$3007,'Zoho Dump'!$P$8:$P$3007,$A29,'Zoho Dump'!$W$8:$W$3007,J$4,'Zoho Dump'!$T$8:$T$3007,"Overdue")+SUMIFS(Adjustments!$K$8:$K$207,Adjustments!$A$8:$A$207,$A29,Adjustments!$J$8:$J$207,J$4,Adjustments!$H$8:$H$207,"Overdue")</f>
        <v>1600</v>
      </c>
      <c r="K29" s="17" t="n">
        <f aca="false">SUMIFS('Zoho Dump'!$X$8:$X$3007,'Zoho Dump'!$P$8:$P$3007,$A29,'Zoho Dump'!$W$8:$W$3007,K$4,'Zoho Dump'!$T$8:$T$3007,"Pipeline")+SUMIFS(Adjustments!$K$8:$K$207,Adjustments!$A$8:$A$207,$A29,Adjustments!$J$8:$J$207,K$4,Adjustments!$H$8:$H$207,"Pipeline")+SUMIFS('Zoho Dump'!$X$8:$X$3007,'Zoho Dump'!$P$8:$P$3007,$A29,'Zoho Dump'!$W$8:$W$3007,K$4,'Zoho Dump'!$T$8:$T$3007,"Overdue")+SUMIFS(Adjustments!$K$8:$K$207,Adjustments!$A$8:$A$207,$A29,Adjustments!$J$8:$J$207,K$4,Adjustments!$H$8:$H$207,"Overdue")</f>
        <v>0</v>
      </c>
      <c r="L29" s="17" t="n">
        <f aca="false">SUMIFS('Zoho Dump'!$X$8:$X$3007,'Zoho Dump'!$P$8:$P$3007,$A29,'Zoho Dump'!$W$8:$W$3007,L$4,'Zoho Dump'!$T$8:$T$3007,"Pipeline")+SUMIFS(Adjustments!$K$8:$K$207,Adjustments!$A$8:$A$207,$A29,Adjustments!$J$8:$J$207,L$4,Adjustments!$H$8:$H$207,"Pipeline")+SUMIFS('Zoho Dump'!$X$8:$X$3007,'Zoho Dump'!$P$8:$P$3007,$A29,'Zoho Dump'!$W$8:$W$3007,L$4,'Zoho Dump'!$T$8:$T$3007,"Overdue")+SUMIFS(Adjustments!$K$8:$K$207,Adjustments!$A$8:$A$207,$A29,Adjustments!$J$8:$J$207,L$4,Adjustments!$H$8:$H$207,"Overdue")</f>
        <v>224</v>
      </c>
      <c r="M29" s="17" t="n">
        <f aca="false">SUMIFS('Zoho Dump'!$X$8:$X$3007,'Zoho Dump'!$P$8:$P$3007,$A29,'Zoho Dump'!$W$8:$W$3007,M$4,'Zoho Dump'!$T$8:$T$3007,"Pipeline")+SUMIFS(Adjustments!$K$8:$K$207,Adjustments!$A$8:$A$207,$A29,Adjustments!$J$8:$J$207,M$4,Adjustments!$H$8:$H$207,"Pipeline")+SUMIFS('Zoho Dump'!$X$8:$X$3007,'Zoho Dump'!$P$8:$P$3007,$A29,'Zoho Dump'!$W$8:$W$3007,M$4,'Zoho Dump'!$T$8:$T$3007,"Overdue")+SUMIFS(Adjustments!$K$8:$K$207,Adjustments!$A$8:$A$207,$A29,Adjustments!$J$8:$J$207,M$4,Adjustments!$H$8:$H$207,"Overdue")</f>
        <v>427633</v>
      </c>
      <c r="N29" s="17" t="n">
        <f aca="false">SUMIFS('Zoho Dump'!$X$8:$X$3007,'Zoho Dump'!$P$8:$P$3007,$A29,'Zoho Dump'!$W$8:$W$3007,N$4,'Zoho Dump'!$T$8:$T$3007,"Pipeline")+SUMIFS(Adjustments!$K$8:$K$207,Adjustments!$A$8:$A$207,$A29,Adjustments!$J$8:$J$207,N$4,Adjustments!$H$8:$H$207,"Pipeline")+SUMIFS('Zoho Dump'!$X$8:$X$3007,'Zoho Dump'!$P$8:$P$3007,$A29,'Zoho Dump'!$W$8:$W$3007,N$4,'Zoho Dump'!$T$8:$T$3007,"Overdue")+SUMIFS(Adjustments!$K$8:$K$207,Adjustments!$A$8:$A$207,$A29,Adjustments!$J$8:$J$207,N$4,Adjustments!$H$8:$H$207,"Overdue")</f>
        <v>0</v>
      </c>
      <c r="O29" s="28" t="n">
        <f aca="false">SUM(C29:N29)</f>
        <v>645044.5</v>
      </c>
    </row>
    <row r="30" customFormat="false" ht="15" hidden="false" customHeight="false" outlineLevel="0" collapsed="false">
      <c r="A30" s="9" t="str">
        <f aca="false">Settings!$A$14</f>
        <v>Video</v>
      </c>
      <c r="B30" s="9"/>
      <c r="C30" s="17" t="n">
        <f aca="false">SUMIFS('Zoho Dump'!$X$8:$X$3007,'Zoho Dump'!$P$8:$P$3007,$A30,'Zoho Dump'!$W$8:$W$3007,C$4,'Zoho Dump'!$T$8:$T$3007,"Pipeline")+SUMIFS(Adjustments!$K$8:$K$207,Adjustments!$A$8:$A$207,$A30,Adjustments!$J$8:$J$207,C$4,Adjustments!$H$8:$H$207,"Pipeline")+SUMIFS('Zoho Dump'!$X$8:$X$3007,'Zoho Dump'!$P$8:$P$3007,$A30,'Zoho Dump'!$W$8:$W$3007,C$4,'Zoho Dump'!$T$8:$T$3007,"Overdue")+SUMIFS(Adjustments!$K$8:$K$207,Adjustments!$A$8:$A$207,$A30,Adjustments!$J$8:$J$207,C$4,Adjustments!$H$8:$H$207,"Overdue")</f>
        <v>0</v>
      </c>
      <c r="D30" s="17" t="n">
        <f aca="false">SUMIFS('Zoho Dump'!$X$8:$X$3007,'Zoho Dump'!$P$8:$P$3007,$A30,'Zoho Dump'!$W$8:$W$3007,D$4,'Zoho Dump'!$T$8:$T$3007,"Pipeline")+SUMIFS(Adjustments!$K$8:$K$207,Adjustments!$A$8:$A$207,$A30,Adjustments!$J$8:$J$207,D$4,Adjustments!$H$8:$H$207,"Pipeline")+SUMIFS('Zoho Dump'!$X$8:$X$3007,'Zoho Dump'!$P$8:$P$3007,$A30,'Zoho Dump'!$W$8:$W$3007,D$4,'Zoho Dump'!$T$8:$T$3007,"Overdue")+SUMIFS(Adjustments!$K$8:$K$207,Adjustments!$A$8:$A$207,$A30,Adjustments!$J$8:$J$207,D$4,Adjustments!$H$8:$H$207,"Overdue")</f>
        <v>0</v>
      </c>
      <c r="E30" s="17" t="n">
        <f aca="false">SUMIFS('Zoho Dump'!$X$8:$X$3007,'Zoho Dump'!$P$8:$P$3007,$A30,'Zoho Dump'!$W$8:$W$3007,E$4,'Zoho Dump'!$T$8:$T$3007,"Pipeline")+SUMIFS(Adjustments!$K$8:$K$207,Adjustments!$A$8:$A$207,$A30,Adjustments!$J$8:$J$207,E$4,Adjustments!$H$8:$H$207,"Pipeline")+SUMIFS('Zoho Dump'!$X$8:$X$3007,'Zoho Dump'!$P$8:$P$3007,$A30,'Zoho Dump'!$W$8:$W$3007,E$4,'Zoho Dump'!$T$8:$T$3007,"Overdue")+SUMIFS(Adjustments!$K$8:$K$207,Adjustments!$A$8:$A$207,$A30,Adjustments!$J$8:$J$207,E$4,Adjustments!$H$8:$H$207,"Overdue")</f>
        <v>0</v>
      </c>
      <c r="F30" s="17" t="n">
        <f aca="false">SUMIFS('Zoho Dump'!$X$8:$X$3007,'Zoho Dump'!$P$8:$P$3007,$A30,'Zoho Dump'!$W$8:$W$3007,F$4,'Zoho Dump'!$T$8:$T$3007,"Pipeline")+SUMIFS(Adjustments!$K$8:$K$207,Adjustments!$A$8:$A$207,$A30,Adjustments!$J$8:$J$207,F$4,Adjustments!$H$8:$H$207,"Pipeline")+SUMIFS('Zoho Dump'!$X$8:$X$3007,'Zoho Dump'!$P$8:$P$3007,$A30,'Zoho Dump'!$W$8:$W$3007,F$4,'Zoho Dump'!$T$8:$T$3007,"Overdue")+SUMIFS(Adjustments!$K$8:$K$207,Adjustments!$A$8:$A$207,$A30,Adjustments!$J$8:$J$207,F$4,Adjustments!$H$8:$H$207,"Overdue")</f>
        <v>1255.5</v>
      </c>
      <c r="G30" s="17" t="n">
        <f aca="false">SUMIFS('Zoho Dump'!$X$8:$X$3007,'Zoho Dump'!$P$8:$P$3007,$A30,'Zoho Dump'!$W$8:$W$3007,G$4,'Zoho Dump'!$T$8:$T$3007,"Pipeline")+SUMIFS(Adjustments!$K$8:$K$207,Adjustments!$A$8:$A$207,$A30,Adjustments!$J$8:$J$207,G$4,Adjustments!$H$8:$H$207,"Pipeline")+SUMIFS('Zoho Dump'!$X$8:$X$3007,'Zoho Dump'!$P$8:$P$3007,$A30,'Zoho Dump'!$W$8:$W$3007,G$4,'Zoho Dump'!$T$8:$T$3007,"Overdue")+SUMIFS(Adjustments!$K$8:$K$207,Adjustments!$A$8:$A$207,$A30,Adjustments!$J$8:$J$207,G$4,Adjustments!$H$8:$H$207,"Overdue")</f>
        <v>0</v>
      </c>
      <c r="H30" s="17" t="n">
        <f aca="false">SUMIFS('Zoho Dump'!$X$8:$X$3007,'Zoho Dump'!$P$8:$P$3007,$A30,'Zoho Dump'!$W$8:$W$3007,H$4,'Zoho Dump'!$T$8:$T$3007,"Pipeline")+SUMIFS(Adjustments!$K$8:$K$207,Adjustments!$A$8:$A$207,$A30,Adjustments!$J$8:$J$207,H$4,Adjustments!$H$8:$H$207,"Pipeline")+SUMIFS('Zoho Dump'!$X$8:$X$3007,'Zoho Dump'!$P$8:$P$3007,$A30,'Zoho Dump'!$W$8:$W$3007,H$4,'Zoho Dump'!$T$8:$T$3007,"Overdue")+SUMIFS(Adjustments!$K$8:$K$207,Adjustments!$A$8:$A$207,$A30,Adjustments!$J$8:$J$207,H$4,Adjustments!$H$8:$H$207,"Overdue")</f>
        <v>0</v>
      </c>
      <c r="I30" s="17" t="n">
        <f aca="false">SUMIFS('Zoho Dump'!$X$8:$X$3007,'Zoho Dump'!$P$8:$P$3007,$A30,'Zoho Dump'!$W$8:$W$3007,I$4,'Zoho Dump'!$T$8:$T$3007,"Pipeline")+SUMIFS(Adjustments!$K$8:$K$207,Adjustments!$A$8:$A$207,$A30,Adjustments!$J$8:$J$207,I$4,Adjustments!$H$8:$H$207,"Pipeline")+SUMIFS('Zoho Dump'!$X$8:$X$3007,'Zoho Dump'!$P$8:$P$3007,$A30,'Zoho Dump'!$W$8:$W$3007,I$4,'Zoho Dump'!$T$8:$T$3007,"Overdue")+SUMIFS(Adjustments!$K$8:$K$207,Adjustments!$A$8:$A$207,$A30,Adjustments!$J$8:$J$207,I$4,Adjustments!$H$8:$H$207,"Overdue")</f>
        <v>0</v>
      </c>
      <c r="J30" s="17" t="n">
        <f aca="false">SUMIFS('Zoho Dump'!$X$8:$X$3007,'Zoho Dump'!$P$8:$P$3007,$A30,'Zoho Dump'!$W$8:$W$3007,J$4,'Zoho Dump'!$T$8:$T$3007,"Pipeline")+SUMIFS(Adjustments!$K$8:$K$207,Adjustments!$A$8:$A$207,$A30,Adjustments!$J$8:$J$207,J$4,Adjustments!$H$8:$H$207,"Pipeline")+SUMIFS('Zoho Dump'!$X$8:$X$3007,'Zoho Dump'!$P$8:$P$3007,$A30,'Zoho Dump'!$W$8:$W$3007,J$4,'Zoho Dump'!$T$8:$T$3007,"Overdue")+SUMIFS(Adjustments!$K$8:$K$207,Adjustments!$A$8:$A$207,$A30,Adjustments!$J$8:$J$207,J$4,Adjustments!$H$8:$H$207,"Overdue")</f>
        <v>0</v>
      </c>
      <c r="K30" s="17" t="n">
        <f aca="false">SUMIFS('Zoho Dump'!$X$8:$X$3007,'Zoho Dump'!$P$8:$P$3007,$A30,'Zoho Dump'!$W$8:$W$3007,K$4,'Zoho Dump'!$T$8:$T$3007,"Pipeline")+SUMIFS(Adjustments!$K$8:$K$207,Adjustments!$A$8:$A$207,$A30,Adjustments!$J$8:$J$207,K$4,Adjustments!$H$8:$H$207,"Pipeline")+SUMIFS('Zoho Dump'!$X$8:$X$3007,'Zoho Dump'!$P$8:$P$3007,$A30,'Zoho Dump'!$W$8:$W$3007,K$4,'Zoho Dump'!$T$8:$T$3007,"Overdue")+SUMIFS(Adjustments!$K$8:$K$207,Adjustments!$A$8:$A$207,$A30,Adjustments!$J$8:$J$207,K$4,Adjustments!$H$8:$H$207,"Overdue")</f>
        <v>0</v>
      </c>
      <c r="L30" s="17" t="n">
        <f aca="false">SUMIFS('Zoho Dump'!$X$8:$X$3007,'Zoho Dump'!$P$8:$P$3007,$A30,'Zoho Dump'!$W$8:$W$3007,L$4,'Zoho Dump'!$T$8:$T$3007,"Pipeline")+SUMIFS(Adjustments!$K$8:$K$207,Adjustments!$A$8:$A$207,$A30,Adjustments!$J$8:$J$207,L$4,Adjustments!$H$8:$H$207,"Pipeline")+SUMIFS('Zoho Dump'!$X$8:$X$3007,'Zoho Dump'!$P$8:$P$3007,$A30,'Zoho Dump'!$W$8:$W$3007,L$4,'Zoho Dump'!$T$8:$T$3007,"Overdue")+SUMIFS(Adjustments!$K$8:$K$207,Adjustments!$A$8:$A$207,$A30,Adjustments!$J$8:$J$207,L$4,Adjustments!$H$8:$H$207,"Overdue")</f>
        <v>0</v>
      </c>
      <c r="M30" s="17" t="n">
        <f aca="false">SUMIFS('Zoho Dump'!$X$8:$X$3007,'Zoho Dump'!$P$8:$P$3007,$A30,'Zoho Dump'!$W$8:$W$3007,M$4,'Zoho Dump'!$T$8:$T$3007,"Pipeline")+SUMIFS(Adjustments!$K$8:$K$207,Adjustments!$A$8:$A$207,$A30,Adjustments!$J$8:$J$207,M$4,Adjustments!$H$8:$H$207,"Pipeline")+SUMIFS('Zoho Dump'!$X$8:$X$3007,'Zoho Dump'!$P$8:$P$3007,$A30,'Zoho Dump'!$W$8:$W$3007,M$4,'Zoho Dump'!$T$8:$T$3007,"Overdue")+SUMIFS(Adjustments!$K$8:$K$207,Adjustments!$A$8:$A$207,$A30,Adjustments!$J$8:$J$207,M$4,Adjustments!$H$8:$H$207,"Overdue")</f>
        <v>0</v>
      </c>
      <c r="N30" s="17" t="n">
        <f aca="false">SUMIFS('Zoho Dump'!$X$8:$X$3007,'Zoho Dump'!$P$8:$P$3007,$A30,'Zoho Dump'!$W$8:$W$3007,N$4,'Zoho Dump'!$T$8:$T$3007,"Pipeline")+SUMIFS(Adjustments!$K$8:$K$207,Adjustments!$A$8:$A$207,$A30,Adjustments!$J$8:$J$207,N$4,Adjustments!$H$8:$H$207,"Pipeline")+SUMIFS('Zoho Dump'!$X$8:$X$3007,'Zoho Dump'!$P$8:$P$3007,$A30,'Zoho Dump'!$W$8:$W$3007,N$4,'Zoho Dump'!$T$8:$T$3007,"Overdue")+SUMIFS(Adjustments!$K$8:$K$207,Adjustments!$A$8:$A$207,$A30,Adjustments!$J$8:$J$207,N$4,Adjustments!$H$8:$H$207,"Overdue")</f>
        <v>0</v>
      </c>
      <c r="O30" s="28" t="n">
        <f aca="false">SUM(C30:N30)</f>
        <v>1255.5</v>
      </c>
    </row>
    <row r="31" customFormat="false" ht="15" hidden="false" customHeight="false" outlineLevel="0" collapsed="false">
      <c r="A31" s="9" t="str">
        <f aca="false">Settings!$A$15</f>
        <v>Consulting</v>
      </c>
      <c r="B31" s="9"/>
      <c r="C31" s="17" t="n">
        <f aca="false">SUMIFS('Zoho Dump'!$X$8:$X$3007,'Zoho Dump'!$P$8:$P$3007,$A31,'Zoho Dump'!$W$8:$W$3007,C$4,'Zoho Dump'!$T$8:$T$3007,"Pipeline")+SUMIFS(Adjustments!$K$8:$K$207,Adjustments!$A$8:$A$207,$A31,Adjustments!$J$8:$J$207,C$4,Adjustments!$H$8:$H$207,"Pipeline")+SUMIFS('Zoho Dump'!$X$8:$X$3007,'Zoho Dump'!$P$8:$P$3007,$A31,'Zoho Dump'!$W$8:$W$3007,C$4,'Zoho Dump'!$T$8:$T$3007,"Overdue")+SUMIFS(Adjustments!$K$8:$K$207,Adjustments!$A$8:$A$207,$A31,Adjustments!$J$8:$J$207,C$4,Adjustments!$H$8:$H$207,"Overdue")</f>
        <v>0</v>
      </c>
      <c r="D31" s="17" t="n">
        <f aca="false">SUMIFS('Zoho Dump'!$X$8:$X$3007,'Zoho Dump'!$P$8:$P$3007,$A31,'Zoho Dump'!$W$8:$W$3007,D$4,'Zoho Dump'!$T$8:$T$3007,"Pipeline")+SUMIFS(Adjustments!$K$8:$K$207,Adjustments!$A$8:$A$207,$A31,Adjustments!$J$8:$J$207,D$4,Adjustments!$H$8:$H$207,"Pipeline")+SUMIFS('Zoho Dump'!$X$8:$X$3007,'Zoho Dump'!$P$8:$P$3007,$A31,'Zoho Dump'!$W$8:$W$3007,D$4,'Zoho Dump'!$T$8:$T$3007,"Overdue")+SUMIFS(Adjustments!$K$8:$K$207,Adjustments!$A$8:$A$207,$A31,Adjustments!$J$8:$J$207,D$4,Adjustments!$H$8:$H$207,"Overdue")</f>
        <v>0</v>
      </c>
      <c r="E31" s="17" t="n">
        <f aca="false">SUMIFS('Zoho Dump'!$X$8:$X$3007,'Zoho Dump'!$P$8:$P$3007,$A31,'Zoho Dump'!$W$8:$W$3007,E$4,'Zoho Dump'!$T$8:$T$3007,"Pipeline")+SUMIFS(Adjustments!$K$8:$K$207,Adjustments!$A$8:$A$207,$A31,Adjustments!$J$8:$J$207,E$4,Adjustments!$H$8:$H$207,"Pipeline")+SUMIFS('Zoho Dump'!$X$8:$X$3007,'Zoho Dump'!$P$8:$P$3007,$A31,'Zoho Dump'!$W$8:$W$3007,E$4,'Zoho Dump'!$T$8:$T$3007,"Overdue")+SUMIFS(Adjustments!$K$8:$K$207,Adjustments!$A$8:$A$207,$A31,Adjustments!$J$8:$J$207,E$4,Adjustments!$H$8:$H$207,"Overdue")</f>
        <v>0</v>
      </c>
      <c r="F31" s="17" t="n">
        <f aca="false">SUMIFS('Zoho Dump'!$X$8:$X$3007,'Zoho Dump'!$P$8:$P$3007,$A31,'Zoho Dump'!$W$8:$W$3007,F$4,'Zoho Dump'!$T$8:$T$3007,"Pipeline")+SUMIFS(Adjustments!$K$8:$K$207,Adjustments!$A$8:$A$207,$A31,Adjustments!$J$8:$J$207,F$4,Adjustments!$H$8:$H$207,"Pipeline")+SUMIFS('Zoho Dump'!$X$8:$X$3007,'Zoho Dump'!$P$8:$P$3007,$A31,'Zoho Dump'!$W$8:$W$3007,F$4,'Zoho Dump'!$T$8:$T$3007,"Overdue")+SUMIFS(Adjustments!$K$8:$K$207,Adjustments!$A$8:$A$207,$A31,Adjustments!$J$8:$J$207,F$4,Adjustments!$H$8:$H$207,"Overdue")</f>
        <v>0</v>
      </c>
      <c r="G31" s="17" t="n">
        <f aca="false">SUMIFS('Zoho Dump'!$X$8:$X$3007,'Zoho Dump'!$P$8:$P$3007,$A31,'Zoho Dump'!$W$8:$W$3007,G$4,'Zoho Dump'!$T$8:$T$3007,"Pipeline")+SUMIFS(Adjustments!$K$8:$K$207,Adjustments!$A$8:$A$207,$A31,Adjustments!$J$8:$J$207,G$4,Adjustments!$H$8:$H$207,"Pipeline")+SUMIFS('Zoho Dump'!$X$8:$X$3007,'Zoho Dump'!$P$8:$P$3007,$A31,'Zoho Dump'!$W$8:$W$3007,G$4,'Zoho Dump'!$T$8:$T$3007,"Overdue")+SUMIFS(Adjustments!$K$8:$K$207,Adjustments!$A$8:$A$207,$A31,Adjustments!$J$8:$J$207,G$4,Adjustments!$H$8:$H$207,"Overdue")</f>
        <v>15000</v>
      </c>
      <c r="H31" s="17" t="n">
        <f aca="false">SUMIFS('Zoho Dump'!$X$8:$X$3007,'Zoho Dump'!$P$8:$P$3007,$A31,'Zoho Dump'!$W$8:$W$3007,H$4,'Zoho Dump'!$T$8:$T$3007,"Pipeline")+SUMIFS(Adjustments!$K$8:$K$207,Adjustments!$A$8:$A$207,$A31,Adjustments!$J$8:$J$207,H$4,Adjustments!$H$8:$H$207,"Pipeline")+SUMIFS('Zoho Dump'!$X$8:$X$3007,'Zoho Dump'!$P$8:$P$3007,$A31,'Zoho Dump'!$W$8:$W$3007,H$4,'Zoho Dump'!$T$8:$T$3007,"Overdue")+SUMIFS(Adjustments!$K$8:$K$207,Adjustments!$A$8:$A$207,$A31,Adjustments!$J$8:$J$207,H$4,Adjustments!$H$8:$H$207,"Overdue")</f>
        <v>0</v>
      </c>
      <c r="I31" s="17" t="n">
        <f aca="false">SUMIFS('Zoho Dump'!$X$8:$X$3007,'Zoho Dump'!$P$8:$P$3007,$A31,'Zoho Dump'!$W$8:$W$3007,I$4,'Zoho Dump'!$T$8:$T$3007,"Pipeline")+SUMIFS(Adjustments!$K$8:$K$207,Adjustments!$A$8:$A$207,$A31,Adjustments!$J$8:$J$207,I$4,Adjustments!$H$8:$H$207,"Pipeline")+SUMIFS('Zoho Dump'!$X$8:$X$3007,'Zoho Dump'!$P$8:$P$3007,$A31,'Zoho Dump'!$W$8:$W$3007,I$4,'Zoho Dump'!$T$8:$T$3007,"Overdue")+SUMIFS(Adjustments!$K$8:$K$207,Adjustments!$A$8:$A$207,$A31,Adjustments!$J$8:$J$207,I$4,Adjustments!$H$8:$H$207,"Overdue")</f>
        <v>0</v>
      </c>
      <c r="J31" s="17" t="n">
        <f aca="false">SUMIFS('Zoho Dump'!$X$8:$X$3007,'Zoho Dump'!$P$8:$P$3007,$A31,'Zoho Dump'!$W$8:$W$3007,J$4,'Zoho Dump'!$T$8:$T$3007,"Pipeline")+SUMIFS(Adjustments!$K$8:$K$207,Adjustments!$A$8:$A$207,$A31,Adjustments!$J$8:$J$207,J$4,Adjustments!$H$8:$H$207,"Pipeline")+SUMIFS('Zoho Dump'!$X$8:$X$3007,'Zoho Dump'!$P$8:$P$3007,$A31,'Zoho Dump'!$W$8:$W$3007,J$4,'Zoho Dump'!$T$8:$T$3007,"Overdue")+SUMIFS(Adjustments!$K$8:$K$207,Adjustments!$A$8:$A$207,$A31,Adjustments!$J$8:$J$207,J$4,Adjustments!$H$8:$H$207,"Overdue")</f>
        <v>0</v>
      </c>
      <c r="K31" s="17" t="n">
        <f aca="false">SUMIFS('Zoho Dump'!$X$8:$X$3007,'Zoho Dump'!$P$8:$P$3007,$A31,'Zoho Dump'!$W$8:$W$3007,K$4,'Zoho Dump'!$T$8:$T$3007,"Pipeline")+SUMIFS(Adjustments!$K$8:$K$207,Adjustments!$A$8:$A$207,$A31,Adjustments!$J$8:$J$207,K$4,Adjustments!$H$8:$H$207,"Pipeline")+SUMIFS('Zoho Dump'!$X$8:$X$3007,'Zoho Dump'!$P$8:$P$3007,$A31,'Zoho Dump'!$W$8:$W$3007,K$4,'Zoho Dump'!$T$8:$T$3007,"Overdue")+SUMIFS(Adjustments!$K$8:$K$207,Adjustments!$A$8:$A$207,$A31,Adjustments!$J$8:$J$207,K$4,Adjustments!$H$8:$H$207,"Overdue")</f>
        <v>0</v>
      </c>
      <c r="L31" s="17" t="n">
        <f aca="false">SUMIFS('Zoho Dump'!$X$8:$X$3007,'Zoho Dump'!$P$8:$P$3007,$A31,'Zoho Dump'!$W$8:$W$3007,L$4,'Zoho Dump'!$T$8:$T$3007,"Pipeline")+SUMIFS(Adjustments!$K$8:$K$207,Adjustments!$A$8:$A$207,$A31,Adjustments!$J$8:$J$207,L$4,Adjustments!$H$8:$H$207,"Pipeline")+SUMIFS('Zoho Dump'!$X$8:$X$3007,'Zoho Dump'!$P$8:$P$3007,$A31,'Zoho Dump'!$W$8:$W$3007,L$4,'Zoho Dump'!$T$8:$T$3007,"Overdue")+SUMIFS(Adjustments!$K$8:$K$207,Adjustments!$A$8:$A$207,$A31,Adjustments!$J$8:$J$207,L$4,Adjustments!$H$8:$H$207,"Overdue")</f>
        <v>0</v>
      </c>
      <c r="M31" s="17" t="n">
        <f aca="false">SUMIFS('Zoho Dump'!$X$8:$X$3007,'Zoho Dump'!$P$8:$P$3007,$A31,'Zoho Dump'!$W$8:$W$3007,M$4,'Zoho Dump'!$T$8:$T$3007,"Pipeline")+SUMIFS(Adjustments!$K$8:$K$207,Adjustments!$A$8:$A$207,$A31,Adjustments!$J$8:$J$207,M$4,Adjustments!$H$8:$H$207,"Pipeline")+SUMIFS('Zoho Dump'!$X$8:$X$3007,'Zoho Dump'!$P$8:$P$3007,$A31,'Zoho Dump'!$W$8:$W$3007,M$4,'Zoho Dump'!$T$8:$T$3007,"Overdue")+SUMIFS(Adjustments!$K$8:$K$207,Adjustments!$A$8:$A$207,$A31,Adjustments!$J$8:$J$207,M$4,Adjustments!$H$8:$H$207,"Overdue")</f>
        <v>0</v>
      </c>
      <c r="N31" s="17" t="n">
        <f aca="false">SUMIFS('Zoho Dump'!$X$8:$X$3007,'Zoho Dump'!$P$8:$P$3007,$A31,'Zoho Dump'!$W$8:$W$3007,N$4,'Zoho Dump'!$T$8:$T$3007,"Pipeline")+SUMIFS(Adjustments!$K$8:$K$207,Adjustments!$A$8:$A$207,$A31,Adjustments!$J$8:$J$207,N$4,Adjustments!$H$8:$H$207,"Pipeline")+SUMIFS('Zoho Dump'!$X$8:$X$3007,'Zoho Dump'!$P$8:$P$3007,$A31,'Zoho Dump'!$W$8:$W$3007,N$4,'Zoho Dump'!$T$8:$T$3007,"Overdue")+SUMIFS(Adjustments!$K$8:$K$207,Adjustments!$A$8:$A$207,$A31,Adjustments!$J$8:$J$207,N$4,Adjustments!$H$8:$H$207,"Overdue")</f>
        <v>0</v>
      </c>
      <c r="O31" s="28" t="n">
        <f aca="false">SUM(C31:N31)</f>
        <v>15000</v>
      </c>
    </row>
    <row r="32" customFormat="false" ht="15" hidden="false" customHeight="false" outlineLevel="0" collapsed="false">
      <c r="A32" s="9" t="str">
        <f aca="false">Settings!$A$16</f>
        <v>Integration</v>
      </c>
      <c r="B32" s="9"/>
      <c r="C32" s="17" t="n">
        <f aca="false">SUMIFS('Zoho Dump'!$X$8:$X$3007,'Zoho Dump'!$P$8:$P$3007,$A32,'Zoho Dump'!$W$8:$W$3007,C$4,'Zoho Dump'!$T$8:$T$3007,"Pipeline")+SUMIFS(Adjustments!$K$8:$K$207,Adjustments!$A$8:$A$207,$A32,Adjustments!$J$8:$J$207,C$4,Adjustments!$H$8:$H$207,"Pipeline")+SUMIFS('Zoho Dump'!$X$8:$X$3007,'Zoho Dump'!$P$8:$P$3007,$A32,'Zoho Dump'!$W$8:$W$3007,C$4,'Zoho Dump'!$T$8:$T$3007,"Overdue")+SUMIFS(Adjustments!$K$8:$K$207,Adjustments!$A$8:$A$207,$A32,Adjustments!$J$8:$J$207,C$4,Adjustments!$H$8:$H$207,"Overdue")</f>
        <v>0</v>
      </c>
      <c r="D32" s="17" t="n">
        <f aca="false">SUMIFS('Zoho Dump'!$X$8:$X$3007,'Zoho Dump'!$P$8:$P$3007,$A32,'Zoho Dump'!$W$8:$W$3007,D$4,'Zoho Dump'!$T$8:$T$3007,"Pipeline")+SUMIFS(Adjustments!$K$8:$K$207,Adjustments!$A$8:$A$207,$A32,Adjustments!$J$8:$J$207,D$4,Adjustments!$H$8:$H$207,"Pipeline")+SUMIFS('Zoho Dump'!$X$8:$X$3007,'Zoho Dump'!$P$8:$P$3007,$A32,'Zoho Dump'!$W$8:$W$3007,D$4,'Zoho Dump'!$T$8:$T$3007,"Overdue")+SUMIFS(Adjustments!$K$8:$K$207,Adjustments!$A$8:$A$207,$A32,Adjustments!$J$8:$J$207,D$4,Adjustments!$H$8:$H$207,"Overdue")</f>
        <v>0</v>
      </c>
      <c r="E32" s="17" t="n">
        <f aca="false">SUMIFS('Zoho Dump'!$X$8:$X$3007,'Zoho Dump'!$P$8:$P$3007,$A32,'Zoho Dump'!$W$8:$W$3007,E$4,'Zoho Dump'!$T$8:$T$3007,"Pipeline")+SUMIFS(Adjustments!$K$8:$K$207,Adjustments!$A$8:$A$207,$A32,Adjustments!$J$8:$J$207,E$4,Adjustments!$H$8:$H$207,"Pipeline")+SUMIFS('Zoho Dump'!$X$8:$X$3007,'Zoho Dump'!$P$8:$P$3007,$A32,'Zoho Dump'!$W$8:$W$3007,E$4,'Zoho Dump'!$T$8:$T$3007,"Overdue")+SUMIFS(Adjustments!$K$8:$K$207,Adjustments!$A$8:$A$207,$A32,Adjustments!$J$8:$J$207,E$4,Adjustments!$H$8:$H$207,"Overdue")</f>
        <v>0</v>
      </c>
      <c r="F32" s="17" t="n">
        <f aca="false">SUMIFS('Zoho Dump'!$X$8:$X$3007,'Zoho Dump'!$P$8:$P$3007,$A32,'Zoho Dump'!$W$8:$W$3007,F$4,'Zoho Dump'!$T$8:$T$3007,"Pipeline")+SUMIFS(Adjustments!$K$8:$K$207,Adjustments!$A$8:$A$207,$A32,Adjustments!$J$8:$J$207,F$4,Adjustments!$H$8:$H$207,"Pipeline")+SUMIFS('Zoho Dump'!$X$8:$X$3007,'Zoho Dump'!$P$8:$P$3007,$A32,'Zoho Dump'!$W$8:$W$3007,F$4,'Zoho Dump'!$T$8:$T$3007,"Overdue")+SUMIFS(Adjustments!$K$8:$K$207,Adjustments!$A$8:$A$207,$A32,Adjustments!$J$8:$J$207,F$4,Adjustments!$H$8:$H$207,"Overdue")</f>
        <v>52346.7</v>
      </c>
      <c r="G32" s="17" t="n">
        <f aca="false">SUMIFS('Zoho Dump'!$X$8:$X$3007,'Zoho Dump'!$P$8:$P$3007,$A32,'Zoho Dump'!$W$8:$W$3007,G$4,'Zoho Dump'!$T$8:$T$3007,"Pipeline")+SUMIFS(Adjustments!$K$8:$K$207,Adjustments!$A$8:$A$207,$A32,Adjustments!$J$8:$J$207,G$4,Adjustments!$H$8:$H$207,"Pipeline")+SUMIFS('Zoho Dump'!$X$8:$X$3007,'Zoho Dump'!$P$8:$P$3007,$A32,'Zoho Dump'!$W$8:$W$3007,G$4,'Zoho Dump'!$T$8:$T$3007,"Overdue")+SUMIFS(Adjustments!$K$8:$K$207,Adjustments!$A$8:$A$207,$A32,Adjustments!$J$8:$J$207,G$4,Adjustments!$H$8:$H$207,"Overdue")</f>
        <v>1653</v>
      </c>
      <c r="H32" s="17" t="n">
        <f aca="false">SUMIFS('Zoho Dump'!$X$8:$X$3007,'Zoho Dump'!$P$8:$P$3007,$A32,'Zoho Dump'!$W$8:$W$3007,H$4,'Zoho Dump'!$T$8:$T$3007,"Pipeline")+SUMIFS(Adjustments!$K$8:$K$207,Adjustments!$A$8:$A$207,$A32,Adjustments!$J$8:$J$207,H$4,Adjustments!$H$8:$H$207,"Pipeline")+SUMIFS('Zoho Dump'!$X$8:$X$3007,'Zoho Dump'!$P$8:$P$3007,$A32,'Zoho Dump'!$W$8:$W$3007,H$4,'Zoho Dump'!$T$8:$T$3007,"Overdue")+SUMIFS(Adjustments!$K$8:$K$207,Adjustments!$A$8:$A$207,$A32,Adjustments!$J$8:$J$207,H$4,Adjustments!$H$8:$H$207,"Overdue")</f>
        <v>0</v>
      </c>
      <c r="I32" s="17" t="n">
        <f aca="false">SUMIFS('Zoho Dump'!$X$8:$X$3007,'Zoho Dump'!$P$8:$P$3007,$A32,'Zoho Dump'!$W$8:$W$3007,I$4,'Zoho Dump'!$T$8:$T$3007,"Pipeline")+SUMIFS(Adjustments!$K$8:$K$207,Adjustments!$A$8:$A$207,$A32,Adjustments!$J$8:$J$207,I$4,Adjustments!$H$8:$H$207,"Pipeline")+SUMIFS('Zoho Dump'!$X$8:$X$3007,'Zoho Dump'!$P$8:$P$3007,$A32,'Zoho Dump'!$W$8:$W$3007,I$4,'Zoho Dump'!$T$8:$T$3007,"Overdue")+SUMIFS(Adjustments!$K$8:$K$207,Adjustments!$A$8:$A$207,$A32,Adjustments!$J$8:$J$207,I$4,Adjustments!$H$8:$H$207,"Overdue")</f>
        <v>0</v>
      </c>
      <c r="J32" s="17" t="n">
        <f aca="false">SUMIFS('Zoho Dump'!$X$8:$X$3007,'Zoho Dump'!$P$8:$P$3007,$A32,'Zoho Dump'!$W$8:$W$3007,J$4,'Zoho Dump'!$T$8:$T$3007,"Pipeline")+SUMIFS(Adjustments!$K$8:$K$207,Adjustments!$A$8:$A$207,$A32,Adjustments!$J$8:$J$207,J$4,Adjustments!$H$8:$H$207,"Pipeline")+SUMIFS('Zoho Dump'!$X$8:$X$3007,'Zoho Dump'!$P$8:$P$3007,$A32,'Zoho Dump'!$W$8:$W$3007,J$4,'Zoho Dump'!$T$8:$T$3007,"Overdue")+SUMIFS(Adjustments!$K$8:$K$207,Adjustments!$A$8:$A$207,$A32,Adjustments!$J$8:$J$207,J$4,Adjustments!$H$8:$H$207,"Overdue")</f>
        <v>0</v>
      </c>
      <c r="K32" s="17" t="n">
        <f aca="false">SUMIFS('Zoho Dump'!$X$8:$X$3007,'Zoho Dump'!$P$8:$P$3007,$A32,'Zoho Dump'!$W$8:$W$3007,K$4,'Zoho Dump'!$T$8:$T$3007,"Pipeline")+SUMIFS(Adjustments!$K$8:$K$207,Adjustments!$A$8:$A$207,$A32,Adjustments!$J$8:$J$207,K$4,Adjustments!$H$8:$H$207,"Pipeline")+SUMIFS('Zoho Dump'!$X$8:$X$3007,'Zoho Dump'!$P$8:$P$3007,$A32,'Zoho Dump'!$W$8:$W$3007,K$4,'Zoho Dump'!$T$8:$T$3007,"Overdue")+SUMIFS(Adjustments!$K$8:$K$207,Adjustments!$A$8:$A$207,$A32,Adjustments!$J$8:$J$207,K$4,Adjustments!$H$8:$H$207,"Overdue")</f>
        <v>0</v>
      </c>
      <c r="L32" s="17" t="n">
        <f aca="false">SUMIFS('Zoho Dump'!$X$8:$X$3007,'Zoho Dump'!$P$8:$P$3007,$A32,'Zoho Dump'!$W$8:$W$3007,L$4,'Zoho Dump'!$T$8:$T$3007,"Pipeline")+SUMIFS(Adjustments!$K$8:$K$207,Adjustments!$A$8:$A$207,$A32,Adjustments!$J$8:$J$207,L$4,Adjustments!$H$8:$H$207,"Pipeline")+SUMIFS('Zoho Dump'!$X$8:$X$3007,'Zoho Dump'!$P$8:$P$3007,$A32,'Zoho Dump'!$W$8:$W$3007,L$4,'Zoho Dump'!$T$8:$T$3007,"Overdue")+SUMIFS(Adjustments!$K$8:$K$207,Adjustments!$A$8:$A$207,$A32,Adjustments!$J$8:$J$207,L$4,Adjustments!$H$8:$H$207,"Overdue")</f>
        <v>0</v>
      </c>
      <c r="M32" s="17" t="n">
        <f aca="false">SUMIFS('Zoho Dump'!$X$8:$X$3007,'Zoho Dump'!$P$8:$P$3007,$A32,'Zoho Dump'!$W$8:$W$3007,M$4,'Zoho Dump'!$T$8:$T$3007,"Pipeline")+SUMIFS(Adjustments!$K$8:$K$207,Adjustments!$A$8:$A$207,$A32,Adjustments!$J$8:$J$207,M$4,Adjustments!$H$8:$H$207,"Pipeline")+SUMIFS('Zoho Dump'!$X$8:$X$3007,'Zoho Dump'!$P$8:$P$3007,$A32,'Zoho Dump'!$W$8:$W$3007,M$4,'Zoho Dump'!$T$8:$T$3007,"Overdue")+SUMIFS(Adjustments!$K$8:$K$207,Adjustments!$A$8:$A$207,$A32,Adjustments!$J$8:$J$207,M$4,Adjustments!$H$8:$H$207,"Overdue")</f>
        <v>0</v>
      </c>
      <c r="N32" s="17" t="n">
        <f aca="false">SUMIFS('Zoho Dump'!$X$8:$X$3007,'Zoho Dump'!$P$8:$P$3007,$A32,'Zoho Dump'!$W$8:$W$3007,N$4,'Zoho Dump'!$T$8:$T$3007,"Pipeline")+SUMIFS(Adjustments!$K$8:$K$207,Adjustments!$A$8:$A$207,$A32,Adjustments!$J$8:$J$207,N$4,Adjustments!$H$8:$H$207,"Pipeline")+SUMIFS('Zoho Dump'!$X$8:$X$3007,'Zoho Dump'!$P$8:$P$3007,$A32,'Zoho Dump'!$W$8:$W$3007,N$4,'Zoho Dump'!$T$8:$T$3007,"Overdue")+SUMIFS(Adjustments!$K$8:$K$207,Adjustments!$A$8:$A$207,$A32,Adjustments!$J$8:$J$207,N$4,Adjustments!$H$8:$H$207,"Overdue")</f>
        <v>0</v>
      </c>
      <c r="O32" s="28" t="n">
        <f aca="false">SUM(C32:N32)</f>
        <v>53999.7</v>
      </c>
    </row>
    <row r="33" customFormat="false" ht="15" hidden="false" customHeight="false" outlineLevel="0" collapsed="false">
      <c r="A33" s="9" t="str">
        <f aca="false">Settings!$A$17</f>
        <v>Admin</v>
      </c>
      <c r="B33" s="9"/>
      <c r="C33" s="17" t="n">
        <f aca="false">SUMIFS('Zoho Dump'!$X$8:$X$3007,'Zoho Dump'!$P$8:$P$3007,$A33,'Zoho Dump'!$W$8:$W$3007,C$4,'Zoho Dump'!$T$8:$T$3007,"Pipeline")+SUMIFS(Adjustments!$K$8:$K$207,Adjustments!$A$8:$A$207,$A33,Adjustments!$J$8:$J$207,C$4,Adjustments!$H$8:$H$207,"Pipeline")+SUMIFS('Zoho Dump'!$X$8:$X$3007,'Zoho Dump'!$P$8:$P$3007,$A33,'Zoho Dump'!$W$8:$W$3007,C$4,'Zoho Dump'!$T$8:$T$3007,"Overdue")+SUMIFS(Adjustments!$K$8:$K$207,Adjustments!$A$8:$A$207,$A33,Adjustments!$J$8:$J$207,C$4,Adjustments!$H$8:$H$207,"Overdue")</f>
        <v>0</v>
      </c>
      <c r="D33" s="17" t="n">
        <f aca="false">SUMIFS('Zoho Dump'!$X$8:$X$3007,'Zoho Dump'!$P$8:$P$3007,$A33,'Zoho Dump'!$W$8:$W$3007,D$4,'Zoho Dump'!$T$8:$T$3007,"Pipeline")+SUMIFS(Adjustments!$K$8:$K$207,Adjustments!$A$8:$A$207,$A33,Adjustments!$J$8:$J$207,D$4,Adjustments!$H$8:$H$207,"Pipeline")+SUMIFS('Zoho Dump'!$X$8:$X$3007,'Zoho Dump'!$P$8:$P$3007,$A33,'Zoho Dump'!$W$8:$W$3007,D$4,'Zoho Dump'!$T$8:$T$3007,"Overdue")+SUMIFS(Adjustments!$K$8:$K$207,Adjustments!$A$8:$A$207,$A33,Adjustments!$J$8:$J$207,D$4,Adjustments!$H$8:$H$207,"Overdue")</f>
        <v>0</v>
      </c>
      <c r="E33" s="17" t="n">
        <f aca="false">SUMIFS('Zoho Dump'!$X$8:$X$3007,'Zoho Dump'!$P$8:$P$3007,$A33,'Zoho Dump'!$W$8:$W$3007,E$4,'Zoho Dump'!$T$8:$T$3007,"Pipeline")+SUMIFS(Adjustments!$K$8:$K$207,Adjustments!$A$8:$A$207,$A33,Adjustments!$J$8:$J$207,E$4,Adjustments!$H$8:$H$207,"Pipeline")+SUMIFS('Zoho Dump'!$X$8:$X$3007,'Zoho Dump'!$P$8:$P$3007,$A33,'Zoho Dump'!$W$8:$W$3007,E$4,'Zoho Dump'!$T$8:$T$3007,"Overdue")+SUMIFS(Adjustments!$K$8:$K$207,Adjustments!$A$8:$A$207,$A33,Adjustments!$J$8:$J$207,E$4,Adjustments!$H$8:$H$207,"Overdue")</f>
        <v>0</v>
      </c>
      <c r="F33" s="17" t="n">
        <f aca="false">SUMIFS('Zoho Dump'!$X$8:$X$3007,'Zoho Dump'!$P$8:$P$3007,$A33,'Zoho Dump'!$W$8:$W$3007,F$4,'Zoho Dump'!$T$8:$T$3007,"Pipeline")+SUMIFS(Adjustments!$K$8:$K$207,Adjustments!$A$8:$A$207,$A33,Adjustments!$J$8:$J$207,F$4,Adjustments!$H$8:$H$207,"Pipeline")+SUMIFS('Zoho Dump'!$X$8:$X$3007,'Zoho Dump'!$P$8:$P$3007,$A33,'Zoho Dump'!$W$8:$W$3007,F$4,'Zoho Dump'!$T$8:$T$3007,"Overdue")+SUMIFS(Adjustments!$K$8:$K$207,Adjustments!$A$8:$A$207,$A33,Adjustments!$J$8:$J$207,F$4,Adjustments!$H$8:$H$207,"Overdue")</f>
        <v>0</v>
      </c>
      <c r="G33" s="17" t="n">
        <f aca="false">SUMIFS('Zoho Dump'!$X$8:$X$3007,'Zoho Dump'!$P$8:$P$3007,$A33,'Zoho Dump'!$W$8:$W$3007,G$4,'Zoho Dump'!$T$8:$T$3007,"Pipeline")+SUMIFS(Adjustments!$K$8:$K$207,Adjustments!$A$8:$A$207,$A33,Adjustments!$J$8:$J$207,G$4,Adjustments!$H$8:$H$207,"Pipeline")+SUMIFS('Zoho Dump'!$X$8:$X$3007,'Zoho Dump'!$P$8:$P$3007,$A33,'Zoho Dump'!$W$8:$W$3007,G$4,'Zoho Dump'!$T$8:$T$3007,"Overdue")+SUMIFS(Adjustments!$K$8:$K$207,Adjustments!$A$8:$A$207,$A33,Adjustments!$J$8:$J$207,G$4,Adjustments!$H$8:$H$207,"Overdue")</f>
        <v>0</v>
      </c>
      <c r="H33" s="17" t="n">
        <f aca="false">SUMIFS('Zoho Dump'!$X$8:$X$3007,'Zoho Dump'!$P$8:$P$3007,$A33,'Zoho Dump'!$W$8:$W$3007,H$4,'Zoho Dump'!$T$8:$T$3007,"Pipeline")+SUMIFS(Adjustments!$K$8:$K$207,Adjustments!$A$8:$A$207,$A33,Adjustments!$J$8:$J$207,H$4,Adjustments!$H$8:$H$207,"Pipeline")+SUMIFS('Zoho Dump'!$X$8:$X$3007,'Zoho Dump'!$P$8:$P$3007,$A33,'Zoho Dump'!$W$8:$W$3007,H$4,'Zoho Dump'!$T$8:$T$3007,"Overdue")+SUMIFS(Adjustments!$K$8:$K$207,Adjustments!$A$8:$A$207,$A33,Adjustments!$J$8:$J$207,H$4,Adjustments!$H$8:$H$207,"Overdue")</f>
        <v>0</v>
      </c>
      <c r="I33" s="17" t="n">
        <f aca="false">SUMIFS('Zoho Dump'!$X$8:$X$3007,'Zoho Dump'!$P$8:$P$3007,$A33,'Zoho Dump'!$W$8:$W$3007,I$4,'Zoho Dump'!$T$8:$T$3007,"Pipeline")+SUMIFS(Adjustments!$K$8:$K$207,Adjustments!$A$8:$A$207,$A33,Adjustments!$J$8:$J$207,I$4,Adjustments!$H$8:$H$207,"Pipeline")+SUMIFS('Zoho Dump'!$X$8:$X$3007,'Zoho Dump'!$P$8:$P$3007,$A33,'Zoho Dump'!$W$8:$W$3007,I$4,'Zoho Dump'!$T$8:$T$3007,"Overdue")+SUMIFS(Adjustments!$K$8:$K$207,Adjustments!$A$8:$A$207,$A33,Adjustments!$J$8:$J$207,I$4,Adjustments!$H$8:$H$207,"Overdue")</f>
        <v>0</v>
      </c>
      <c r="J33" s="17" t="n">
        <f aca="false">SUMIFS('Zoho Dump'!$X$8:$X$3007,'Zoho Dump'!$P$8:$P$3007,$A33,'Zoho Dump'!$W$8:$W$3007,J$4,'Zoho Dump'!$T$8:$T$3007,"Pipeline")+SUMIFS(Adjustments!$K$8:$K$207,Adjustments!$A$8:$A$207,$A33,Adjustments!$J$8:$J$207,J$4,Adjustments!$H$8:$H$207,"Pipeline")+SUMIFS('Zoho Dump'!$X$8:$X$3007,'Zoho Dump'!$P$8:$P$3007,$A33,'Zoho Dump'!$W$8:$W$3007,J$4,'Zoho Dump'!$T$8:$T$3007,"Overdue")+SUMIFS(Adjustments!$K$8:$K$207,Adjustments!$A$8:$A$207,$A33,Adjustments!$J$8:$J$207,J$4,Adjustments!$H$8:$H$207,"Overdue")</f>
        <v>0</v>
      </c>
      <c r="K33" s="17" t="n">
        <f aca="false">SUMIFS('Zoho Dump'!$X$8:$X$3007,'Zoho Dump'!$P$8:$P$3007,$A33,'Zoho Dump'!$W$8:$W$3007,K$4,'Zoho Dump'!$T$8:$T$3007,"Pipeline")+SUMIFS(Adjustments!$K$8:$K$207,Adjustments!$A$8:$A$207,$A33,Adjustments!$J$8:$J$207,K$4,Adjustments!$H$8:$H$207,"Pipeline")+SUMIFS('Zoho Dump'!$X$8:$X$3007,'Zoho Dump'!$P$8:$P$3007,$A33,'Zoho Dump'!$W$8:$W$3007,K$4,'Zoho Dump'!$T$8:$T$3007,"Overdue")+SUMIFS(Adjustments!$K$8:$K$207,Adjustments!$A$8:$A$207,$A33,Adjustments!$J$8:$J$207,K$4,Adjustments!$H$8:$H$207,"Overdue")</f>
        <v>0</v>
      </c>
      <c r="L33" s="17" t="n">
        <f aca="false">SUMIFS('Zoho Dump'!$X$8:$X$3007,'Zoho Dump'!$P$8:$P$3007,$A33,'Zoho Dump'!$W$8:$W$3007,L$4,'Zoho Dump'!$T$8:$T$3007,"Pipeline")+SUMIFS(Adjustments!$K$8:$K$207,Adjustments!$A$8:$A$207,$A33,Adjustments!$J$8:$J$207,L$4,Adjustments!$H$8:$H$207,"Pipeline")+SUMIFS('Zoho Dump'!$X$8:$X$3007,'Zoho Dump'!$P$8:$P$3007,$A33,'Zoho Dump'!$W$8:$W$3007,L$4,'Zoho Dump'!$T$8:$T$3007,"Overdue")+SUMIFS(Adjustments!$K$8:$K$207,Adjustments!$A$8:$A$207,$A33,Adjustments!$J$8:$J$207,L$4,Adjustments!$H$8:$H$207,"Overdue")</f>
        <v>0</v>
      </c>
      <c r="M33" s="17" t="n">
        <f aca="false">SUMIFS('Zoho Dump'!$X$8:$X$3007,'Zoho Dump'!$P$8:$P$3007,$A33,'Zoho Dump'!$W$8:$W$3007,M$4,'Zoho Dump'!$T$8:$T$3007,"Pipeline")+SUMIFS(Adjustments!$K$8:$K$207,Adjustments!$A$8:$A$207,$A33,Adjustments!$J$8:$J$207,M$4,Adjustments!$H$8:$H$207,"Pipeline")+SUMIFS('Zoho Dump'!$X$8:$X$3007,'Zoho Dump'!$P$8:$P$3007,$A33,'Zoho Dump'!$W$8:$W$3007,M$4,'Zoho Dump'!$T$8:$T$3007,"Overdue")+SUMIFS(Adjustments!$K$8:$K$207,Adjustments!$A$8:$A$207,$A33,Adjustments!$J$8:$J$207,M$4,Adjustments!$H$8:$H$207,"Overdue")</f>
        <v>0</v>
      </c>
      <c r="N33" s="17" t="n">
        <f aca="false">SUMIFS('Zoho Dump'!$X$8:$X$3007,'Zoho Dump'!$P$8:$P$3007,$A33,'Zoho Dump'!$W$8:$W$3007,N$4,'Zoho Dump'!$T$8:$T$3007,"Pipeline")+SUMIFS(Adjustments!$K$8:$K$207,Adjustments!$A$8:$A$207,$A33,Adjustments!$J$8:$J$207,N$4,Adjustments!$H$8:$H$207,"Pipeline")+SUMIFS('Zoho Dump'!$X$8:$X$3007,'Zoho Dump'!$P$8:$P$3007,$A33,'Zoho Dump'!$W$8:$W$3007,N$4,'Zoho Dump'!$T$8:$T$3007,"Overdue")+SUMIFS(Adjustments!$K$8:$K$207,Adjustments!$A$8:$A$207,$A33,Adjustments!$J$8:$J$207,N$4,Adjustments!$H$8:$H$207,"Overdue")</f>
        <v>0</v>
      </c>
      <c r="O33" s="28" t="n">
        <f aca="false">SUM(C33:N33)</f>
        <v>0</v>
      </c>
    </row>
    <row r="34" customFormat="false" ht="15" hidden="false" customHeight="false" outlineLevel="0" collapsed="false">
      <c r="A34" s="9" t="str">
        <f aca="false">Settings!$A$18</f>
        <v>Unallocated</v>
      </c>
      <c r="B34" s="9"/>
      <c r="C34" s="17" t="n">
        <f aca="false">SUMIFS('Zoho Dump'!$X$8:$X$3007,'Zoho Dump'!$P$8:$P$3007,$A34,'Zoho Dump'!$W$8:$W$3007,C$4,'Zoho Dump'!$T$8:$T$3007,"Pipeline")+SUMIFS(Adjustments!$K$8:$K$207,Adjustments!$A$8:$A$207,$A34,Adjustments!$J$8:$J$207,C$4,Adjustments!$H$8:$H$207,"Pipeline")+SUMIFS('Zoho Dump'!$X$8:$X$3007,'Zoho Dump'!$P$8:$P$3007,$A34,'Zoho Dump'!$W$8:$W$3007,C$4,'Zoho Dump'!$T$8:$T$3007,"Overdue")+SUMIFS(Adjustments!$K$8:$K$207,Adjustments!$A$8:$A$207,$A34,Adjustments!$J$8:$J$207,C$4,Adjustments!$H$8:$H$207,"Overdue")</f>
        <v>0</v>
      </c>
      <c r="D34" s="17" t="n">
        <f aca="false">SUMIFS('Zoho Dump'!$X$8:$X$3007,'Zoho Dump'!$P$8:$P$3007,$A34,'Zoho Dump'!$W$8:$W$3007,D$4,'Zoho Dump'!$T$8:$T$3007,"Pipeline")+SUMIFS(Adjustments!$K$8:$K$207,Adjustments!$A$8:$A$207,$A34,Adjustments!$J$8:$J$207,D$4,Adjustments!$H$8:$H$207,"Pipeline")+SUMIFS('Zoho Dump'!$X$8:$X$3007,'Zoho Dump'!$P$8:$P$3007,$A34,'Zoho Dump'!$W$8:$W$3007,D$4,'Zoho Dump'!$T$8:$T$3007,"Overdue")+SUMIFS(Adjustments!$K$8:$K$207,Adjustments!$A$8:$A$207,$A34,Adjustments!$J$8:$J$207,D$4,Adjustments!$H$8:$H$207,"Overdue")</f>
        <v>0</v>
      </c>
      <c r="E34" s="17" t="n">
        <f aca="false">SUMIFS('Zoho Dump'!$X$8:$X$3007,'Zoho Dump'!$P$8:$P$3007,$A34,'Zoho Dump'!$W$8:$W$3007,E$4,'Zoho Dump'!$T$8:$T$3007,"Pipeline")+SUMIFS(Adjustments!$K$8:$K$207,Adjustments!$A$8:$A$207,$A34,Adjustments!$J$8:$J$207,E$4,Adjustments!$H$8:$H$207,"Pipeline")+SUMIFS('Zoho Dump'!$X$8:$X$3007,'Zoho Dump'!$P$8:$P$3007,$A34,'Zoho Dump'!$W$8:$W$3007,E$4,'Zoho Dump'!$T$8:$T$3007,"Overdue")+SUMIFS(Adjustments!$K$8:$K$207,Adjustments!$A$8:$A$207,$A34,Adjustments!$J$8:$J$207,E$4,Adjustments!$H$8:$H$207,"Overdue")</f>
        <v>0</v>
      </c>
      <c r="F34" s="17" t="n">
        <f aca="false">SUMIFS('Zoho Dump'!$X$8:$X$3007,'Zoho Dump'!$P$8:$P$3007,$A34,'Zoho Dump'!$W$8:$W$3007,F$4,'Zoho Dump'!$T$8:$T$3007,"Pipeline")+SUMIFS(Adjustments!$K$8:$K$207,Adjustments!$A$8:$A$207,$A34,Adjustments!$J$8:$J$207,F$4,Adjustments!$H$8:$H$207,"Pipeline")+SUMIFS('Zoho Dump'!$X$8:$X$3007,'Zoho Dump'!$P$8:$P$3007,$A34,'Zoho Dump'!$W$8:$W$3007,F$4,'Zoho Dump'!$T$8:$T$3007,"Overdue")+SUMIFS(Adjustments!$K$8:$K$207,Adjustments!$A$8:$A$207,$A34,Adjustments!$J$8:$J$207,F$4,Adjustments!$H$8:$H$207,"Overdue")</f>
        <v>0</v>
      </c>
      <c r="G34" s="17" t="n">
        <f aca="false">SUMIFS('Zoho Dump'!$X$8:$X$3007,'Zoho Dump'!$P$8:$P$3007,$A34,'Zoho Dump'!$W$8:$W$3007,G$4,'Zoho Dump'!$T$8:$T$3007,"Pipeline")+SUMIFS(Adjustments!$K$8:$K$207,Adjustments!$A$8:$A$207,$A34,Adjustments!$J$8:$J$207,G$4,Adjustments!$H$8:$H$207,"Pipeline")+SUMIFS('Zoho Dump'!$X$8:$X$3007,'Zoho Dump'!$P$8:$P$3007,$A34,'Zoho Dump'!$W$8:$W$3007,G$4,'Zoho Dump'!$T$8:$T$3007,"Overdue")+SUMIFS(Adjustments!$K$8:$K$207,Adjustments!$A$8:$A$207,$A34,Adjustments!$J$8:$J$207,G$4,Adjustments!$H$8:$H$207,"Overdue")</f>
        <v>0</v>
      </c>
      <c r="H34" s="17" t="n">
        <f aca="false">SUMIFS('Zoho Dump'!$X$8:$X$3007,'Zoho Dump'!$P$8:$P$3007,$A34,'Zoho Dump'!$W$8:$W$3007,H$4,'Zoho Dump'!$T$8:$T$3007,"Pipeline")+SUMIFS(Adjustments!$K$8:$K$207,Adjustments!$A$8:$A$207,$A34,Adjustments!$J$8:$J$207,H$4,Adjustments!$H$8:$H$207,"Pipeline")+SUMIFS('Zoho Dump'!$X$8:$X$3007,'Zoho Dump'!$P$8:$P$3007,$A34,'Zoho Dump'!$W$8:$W$3007,H$4,'Zoho Dump'!$T$8:$T$3007,"Overdue")+SUMIFS(Adjustments!$K$8:$K$207,Adjustments!$A$8:$A$207,$A34,Adjustments!$J$8:$J$207,H$4,Adjustments!$H$8:$H$207,"Overdue")</f>
        <v>0</v>
      </c>
      <c r="I34" s="17" t="n">
        <f aca="false">SUMIFS('Zoho Dump'!$X$8:$X$3007,'Zoho Dump'!$P$8:$P$3007,$A34,'Zoho Dump'!$W$8:$W$3007,I$4,'Zoho Dump'!$T$8:$T$3007,"Pipeline")+SUMIFS(Adjustments!$K$8:$K$207,Adjustments!$A$8:$A$207,$A34,Adjustments!$J$8:$J$207,I$4,Adjustments!$H$8:$H$207,"Pipeline")+SUMIFS('Zoho Dump'!$X$8:$X$3007,'Zoho Dump'!$P$8:$P$3007,$A34,'Zoho Dump'!$W$8:$W$3007,I$4,'Zoho Dump'!$T$8:$T$3007,"Overdue")+SUMIFS(Adjustments!$K$8:$K$207,Adjustments!$A$8:$A$207,$A34,Adjustments!$J$8:$J$207,I$4,Adjustments!$H$8:$H$207,"Overdue")</f>
        <v>0</v>
      </c>
      <c r="J34" s="17" t="n">
        <f aca="false">SUMIFS('Zoho Dump'!$X$8:$X$3007,'Zoho Dump'!$P$8:$P$3007,$A34,'Zoho Dump'!$W$8:$W$3007,J$4,'Zoho Dump'!$T$8:$T$3007,"Pipeline")+SUMIFS(Adjustments!$K$8:$K$207,Adjustments!$A$8:$A$207,$A34,Adjustments!$J$8:$J$207,J$4,Adjustments!$H$8:$H$207,"Pipeline")+SUMIFS('Zoho Dump'!$X$8:$X$3007,'Zoho Dump'!$P$8:$P$3007,$A34,'Zoho Dump'!$W$8:$W$3007,J$4,'Zoho Dump'!$T$8:$T$3007,"Overdue")+SUMIFS(Adjustments!$K$8:$K$207,Adjustments!$A$8:$A$207,$A34,Adjustments!$J$8:$J$207,J$4,Adjustments!$H$8:$H$207,"Overdue")</f>
        <v>0</v>
      </c>
      <c r="K34" s="17" t="n">
        <f aca="false">SUMIFS('Zoho Dump'!$X$8:$X$3007,'Zoho Dump'!$P$8:$P$3007,$A34,'Zoho Dump'!$W$8:$W$3007,K$4,'Zoho Dump'!$T$8:$T$3007,"Pipeline")+SUMIFS(Adjustments!$K$8:$K$207,Adjustments!$A$8:$A$207,$A34,Adjustments!$J$8:$J$207,K$4,Adjustments!$H$8:$H$207,"Pipeline")+SUMIFS('Zoho Dump'!$X$8:$X$3007,'Zoho Dump'!$P$8:$P$3007,$A34,'Zoho Dump'!$W$8:$W$3007,K$4,'Zoho Dump'!$T$8:$T$3007,"Overdue")+SUMIFS(Adjustments!$K$8:$K$207,Adjustments!$A$8:$A$207,$A34,Adjustments!$J$8:$J$207,K$4,Adjustments!$H$8:$H$207,"Overdue")</f>
        <v>0</v>
      </c>
      <c r="L34" s="17" t="n">
        <f aca="false">SUMIFS('Zoho Dump'!$X$8:$X$3007,'Zoho Dump'!$P$8:$P$3007,$A34,'Zoho Dump'!$W$8:$W$3007,L$4,'Zoho Dump'!$T$8:$T$3007,"Pipeline")+SUMIFS(Adjustments!$K$8:$K$207,Adjustments!$A$8:$A$207,$A34,Adjustments!$J$8:$J$207,L$4,Adjustments!$H$8:$H$207,"Pipeline")+SUMIFS('Zoho Dump'!$X$8:$X$3007,'Zoho Dump'!$P$8:$P$3007,$A34,'Zoho Dump'!$W$8:$W$3007,L$4,'Zoho Dump'!$T$8:$T$3007,"Overdue")+SUMIFS(Adjustments!$K$8:$K$207,Adjustments!$A$8:$A$207,$A34,Adjustments!$J$8:$J$207,L$4,Adjustments!$H$8:$H$207,"Overdue")</f>
        <v>0</v>
      </c>
      <c r="M34" s="17" t="n">
        <f aca="false">SUMIFS('Zoho Dump'!$X$8:$X$3007,'Zoho Dump'!$P$8:$P$3007,$A34,'Zoho Dump'!$W$8:$W$3007,M$4,'Zoho Dump'!$T$8:$T$3007,"Pipeline")+SUMIFS(Adjustments!$K$8:$K$207,Adjustments!$A$8:$A$207,$A34,Adjustments!$J$8:$J$207,M$4,Adjustments!$H$8:$H$207,"Pipeline")+SUMIFS('Zoho Dump'!$X$8:$X$3007,'Zoho Dump'!$P$8:$P$3007,$A34,'Zoho Dump'!$W$8:$W$3007,M$4,'Zoho Dump'!$T$8:$T$3007,"Overdue")+SUMIFS(Adjustments!$K$8:$K$207,Adjustments!$A$8:$A$207,$A34,Adjustments!$J$8:$J$207,M$4,Adjustments!$H$8:$H$207,"Overdue")</f>
        <v>0</v>
      </c>
      <c r="N34" s="17" t="n">
        <f aca="false">SUMIFS('Zoho Dump'!$X$8:$X$3007,'Zoho Dump'!$P$8:$P$3007,$A34,'Zoho Dump'!$W$8:$W$3007,N$4,'Zoho Dump'!$T$8:$T$3007,"Pipeline")+SUMIFS(Adjustments!$K$8:$K$207,Adjustments!$A$8:$A$207,$A34,Adjustments!$J$8:$J$207,N$4,Adjustments!$H$8:$H$207,"Pipeline")+SUMIFS('Zoho Dump'!$X$8:$X$3007,'Zoho Dump'!$P$8:$P$3007,$A34,'Zoho Dump'!$W$8:$W$3007,N$4,'Zoho Dump'!$T$8:$T$3007,"Overdue")+SUMIFS(Adjustments!$K$8:$K$207,Adjustments!$A$8:$A$207,$A34,Adjustments!$J$8:$J$207,N$4,Adjustments!$H$8:$H$207,"Overdue")</f>
        <v>0</v>
      </c>
      <c r="O34" s="28" t="n">
        <f aca="false">SUM(C34:N34)</f>
        <v>0</v>
      </c>
    </row>
    <row r="35" customFormat="false" ht="15" hidden="false" customHeight="false" outlineLevel="0" collapsed="false">
      <c r="A35" s="20" t="s">
        <v>55</v>
      </c>
      <c r="B35" s="29"/>
      <c r="C35" s="21" t="n">
        <f aca="false">SUM(C28:C34)</f>
        <v>0</v>
      </c>
      <c r="D35" s="21" t="n">
        <f aca="false">SUM(D28:D34)</f>
        <v>0</v>
      </c>
      <c r="E35" s="21" t="n">
        <f aca="false">SUM(E28:E34)</f>
        <v>0</v>
      </c>
      <c r="F35" s="21" t="n">
        <f aca="false">SUM(F28:F34)</f>
        <v>186374.4</v>
      </c>
      <c r="G35" s="21" t="n">
        <f aca="false">SUM(G28:G34)</f>
        <v>77973.6</v>
      </c>
      <c r="H35" s="21" t="n">
        <f aca="false">SUM(H28:H34)</f>
        <v>21270.7</v>
      </c>
      <c r="I35" s="21" t="n">
        <f aca="false">SUM(I28:I34)</f>
        <v>224</v>
      </c>
      <c r="J35" s="21" t="n">
        <f aca="false">SUM(J28:J34)</f>
        <v>54100</v>
      </c>
      <c r="K35" s="21" t="n">
        <f aca="false">SUM(K28:K34)</f>
        <v>0</v>
      </c>
      <c r="L35" s="21" t="n">
        <f aca="false">SUM(L28:L34)</f>
        <v>224</v>
      </c>
      <c r="M35" s="21" t="n">
        <f aca="false">SUM(M28:M34)</f>
        <v>427633</v>
      </c>
      <c r="N35" s="21" t="n">
        <f aca="false">SUM(N28:N34)</f>
        <v>0</v>
      </c>
      <c r="O35" s="21" t="n">
        <f aca="false">SUM(O28:O34)</f>
        <v>767799.7</v>
      </c>
    </row>
    <row r="37" customFormat="false" ht="15" hidden="false" customHeight="false" outlineLevel="0" collapsed="false">
      <c r="A37" s="7" t="s">
        <v>89</v>
      </c>
      <c r="B37" s="27" t="s">
        <v>90</v>
      </c>
      <c r="C37" s="8"/>
      <c r="D37" s="8"/>
      <c r="E37" s="8"/>
      <c r="F37" s="8"/>
      <c r="G37" s="8"/>
      <c r="H37" s="8"/>
      <c r="I37" s="8"/>
      <c r="J37" s="8"/>
      <c r="K37" s="8"/>
      <c r="L37" s="8"/>
      <c r="M37" s="8"/>
      <c r="N37" s="8"/>
      <c r="O37" s="8"/>
    </row>
    <row r="38" customFormat="false" ht="15" hidden="false" customHeight="false" outlineLevel="0" collapsed="false">
      <c r="A38" s="9" t="str">
        <f aca="false">Settings!$A$12</f>
        <v>Onsite</v>
      </c>
      <c r="B38" s="9"/>
      <c r="C38" s="17" t="n">
        <f aca="false">IF(C$4&lt;=Settings!$B$5,C8,C18+C28)</f>
        <v>0</v>
      </c>
      <c r="D38" s="17" t="n">
        <f aca="false">IF(D$4&lt;=Settings!$B$5,D8,D18+D28)</f>
        <v>0</v>
      </c>
      <c r="E38" s="17" t="n">
        <f aca="false">IF(E$4&lt;=Settings!$B$5,E8,E18+E28)</f>
        <v>0</v>
      </c>
      <c r="F38" s="17" t="n">
        <f aca="false">IF(F$4&lt;=Settings!$B$5,F8,F18+F28)</f>
        <v>17000</v>
      </c>
      <c r="G38" s="17" t="n">
        <f aca="false">IF(G$4&lt;=Settings!$B$5,G8,G18+G28)</f>
        <v>0</v>
      </c>
      <c r="H38" s="17" t="n">
        <f aca="false">IF(H$4&lt;=Settings!$B$5,H8,H18+H28)</f>
        <v>0</v>
      </c>
      <c r="I38" s="17" t="n">
        <f aca="false">IF(I$4&lt;=Settings!$B$5,I8,I18+I28)</f>
        <v>0</v>
      </c>
      <c r="J38" s="17" t="n">
        <f aca="false">IF(J$4&lt;=Settings!$B$5,J8,J18+J28)</f>
        <v>52500</v>
      </c>
      <c r="K38" s="17" t="n">
        <f aca="false">IF(K$4&lt;=Settings!$B$5,K8,K18+K28)</f>
        <v>0</v>
      </c>
      <c r="L38" s="17" t="n">
        <f aca="false">IF(L$4&lt;=Settings!$B$5,L8,L18+L28)</f>
        <v>0</v>
      </c>
      <c r="M38" s="17" t="n">
        <f aca="false">IF(M$4&lt;=Settings!$B$5,M8,M18+M28)</f>
        <v>0</v>
      </c>
      <c r="N38" s="17" t="n">
        <f aca="false">IF(N$4&lt;=Settings!$B$5,N8,N18+N28)</f>
        <v>0</v>
      </c>
      <c r="O38" s="28" t="n">
        <f aca="false">SUM(C38:N38)</f>
        <v>69500</v>
      </c>
    </row>
    <row r="39" customFormat="false" ht="15" hidden="false" customHeight="false" outlineLevel="0" collapsed="false">
      <c r="A39" s="9" t="str">
        <f aca="false">Settings!$A$13</f>
        <v>Production</v>
      </c>
      <c r="B39" s="9"/>
      <c r="C39" s="17" t="n">
        <f aca="false">IF(C$4&lt;=Settings!$B$5,C9,C19+C29)</f>
        <v>0</v>
      </c>
      <c r="D39" s="17" t="n">
        <f aca="false">IF(D$4&lt;=Settings!$B$5,D9,D19+D29)</f>
        <v>0</v>
      </c>
      <c r="E39" s="17" t="n">
        <f aca="false">IF(E$4&lt;=Settings!$B$5,E9,E19+E29)</f>
        <v>0</v>
      </c>
      <c r="F39" s="17" t="n">
        <f aca="false">IF(F$4&lt;=Settings!$B$5,F9,F19+F29)</f>
        <v>173398.2</v>
      </c>
      <c r="G39" s="17" t="n">
        <f aca="false">IF(G$4&lt;=Settings!$B$5,G9,G19+G29)</f>
        <v>74873.6</v>
      </c>
      <c r="H39" s="17" t="n">
        <f aca="false">IF(H$4&lt;=Settings!$B$5,H9,H19+H29)</f>
        <v>24151.7</v>
      </c>
      <c r="I39" s="17" t="n">
        <f aca="false">IF(I$4&lt;=Settings!$B$5,I9,I19+I29)</f>
        <v>224</v>
      </c>
      <c r="J39" s="17" t="n">
        <f aca="false">IF(J$4&lt;=Settings!$B$5,J9,J19+J29)</f>
        <v>1600</v>
      </c>
      <c r="K39" s="17" t="n">
        <f aca="false">IF(K$4&lt;=Settings!$B$5,K9,K19+K29)</f>
        <v>0</v>
      </c>
      <c r="L39" s="17" t="n">
        <f aca="false">IF(L$4&lt;=Settings!$B$5,L9,L19+L29)</f>
        <v>224</v>
      </c>
      <c r="M39" s="17" t="n">
        <f aca="false">IF(M$4&lt;=Settings!$B$5,M9,M19+M29)</f>
        <v>427633</v>
      </c>
      <c r="N39" s="17" t="n">
        <f aca="false">IF(N$4&lt;=Settings!$B$5,N9,N19+N29)</f>
        <v>0</v>
      </c>
      <c r="O39" s="28" t="n">
        <f aca="false">SUM(C39:N39)</f>
        <v>702104.5</v>
      </c>
    </row>
    <row r="40" customFormat="false" ht="15" hidden="false" customHeight="false" outlineLevel="0" collapsed="false">
      <c r="A40" s="9" t="str">
        <f aca="false">Settings!$A$14</f>
        <v>Video</v>
      </c>
      <c r="B40" s="9"/>
      <c r="C40" s="17" t="n">
        <f aca="false">IF(C$4&lt;=Settings!$B$5,C10,C20+C30)</f>
        <v>0</v>
      </c>
      <c r="D40" s="17" t="n">
        <f aca="false">IF(D$4&lt;=Settings!$B$5,D10,D20+D30)</f>
        <v>0</v>
      </c>
      <c r="E40" s="17" t="n">
        <f aca="false">IF(E$4&lt;=Settings!$B$5,E10,E20+E30)</f>
        <v>0</v>
      </c>
      <c r="F40" s="17" t="n">
        <f aca="false">IF(F$4&lt;=Settings!$B$5,F10,F20+F30)</f>
        <v>1255.5</v>
      </c>
      <c r="G40" s="17" t="n">
        <f aca="false">IF(G$4&lt;=Settings!$B$5,G10,G20+G30)</f>
        <v>11342</v>
      </c>
      <c r="H40" s="17" t="n">
        <f aca="false">IF(H$4&lt;=Settings!$B$5,H10,H20+H30)</f>
        <v>0</v>
      </c>
      <c r="I40" s="17" t="n">
        <f aca="false">IF(I$4&lt;=Settings!$B$5,I10,I20+I30)</f>
        <v>0</v>
      </c>
      <c r="J40" s="17" t="n">
        <f aca="false">IF(J$4&lt;=Settings!$B$5,J10,J20+J30)</f>
        <v>0</v>
      </c>
      <c r="K40" s="17" t="n">
        <f aca="false">IF(K$4&lt;=Settings!$B$5,K10,K20+K30)</f>
        <v>0</v>
      </c>
      <c r="L40" s="17" t="n">
        <f aca="false">IF(L$4&lt;=Settings!$B$5,L10,L20+L30)</f>
        <v>0</v>
      </c>
      <c r="M40" s="17" t="n">
        <f aca="false">IF(M$4&lt;=Settings!$B$5,M10,M20+M30)</f>
        <v>0</v>
      </c>
      <c r="N40" s="17" t="n">
        <f aca="false">IF(N$4&lt;=Settings!$B$5,N10,N20+N30)</f>
        <v>0</v>
      </c>
      <c r="O40" s="28" t="n">
        <f aca="false">SUM(C40:N40)</f>
        <v>12597.5</v>
      </c>
    </row>
    <row r="41" customFormat="false" ht="15" hidden="false" customHeight="false" outlineLevel="0" collapsed="false">
      <c r="A41" s="9" t="str">
        <f aca="false">Settings!$A$15</f>
        <v>Consulting</v>
      </c>
      <c r="B41" s="9"/>
      <c r="C41" s="17" t="n">
        <f aca="false">IF(C$4&lt;=Settings!$B$5,C11,C21+C31)</f>
        <v>0</v>
      </c>
      <c r="D41" s="17" t="n">
        <f aca="false">IF(D$4&lt;=Settings!$B$5,D11,D21+D31)</f>
        <v>0</v>
      </c>
      <c r="E41" s="17" t="n">
        <f aca="false">IF(E$4&lt;=Settings!$B$5,E11,E21+E31)</f>
        <v>0</v>
      </c>
      <c r="F41" s="17" t="n">
        <f aca="false">IF(F$4&lt;=Settings!$B$5,F11,F21+F31)</f>
        <v>0</v>
      </c>
      <c r="G41" s="17" t="n">
        <f aca="false">IF(G$4&lt;=Settings!$B$5,G11,G21+G31)</f>
        <v>15000</v>
      </c>
      <c r="H41" s="17" t="n">
        <f aca="false">IF(H$4&lt;=Settings!$B$5,H11,H21+H31)</f>
        <v>0</v>
      </c>
      <c r="I41" s="17" t="n">
        <f aca="false">IF(I$4&lt;=Settings!$B$5,I11,I21+I31)</f>
        <v>0</v>
      </c>
      <c r="J41" s="17" t="n">
        <f aca="false">IF(J$4&lt;=Settings!$B$5,J11,J21+J31)</f>
        <v>0</v>
      </c>
      <c r="K41" s="17" t="n">
        <f aca="false">IF(K$4&lt;=Settings!$B$5,K11,K21+K31)</f>
        <v>0</v>
      </c>
      <c r="L41" s="17" t="n">
        <f aca="false">IF(L$4&lt;=Settings!$B$5,L11,L21+L31)</f>
        <v>0</v>
      </c>
      <c r="M41" s="17" t="n">
        <f aca="false">IF(M$4&lt;=Settings!$B$5,M11,M21+M31)</f>
        <v>0</v>
      </c>
      <c r="N41" s="17" t="n">
        <f aca="false">IF(N$4&lt;=Settings!$B$5,N11,N21+N31)</f>
        <v>0</v>
      </c>
      <c r="O41" s="28" t="n">
        <f aca="false">SUM(C41:N41)</f>
        <v>15000</v>
      </c>
    </row>
    <row r="42" customFormat="false" ht="15" hidden="false" customHeight="false" outlineLevel="0" collapsed="false">
      <c r="A42" s="9" t="str">
        <f aca="false">Settings!$A$16</f>
        <v>Integration</v>
      </c>
      <c r="B42" s="9"/>
      <c r="C42" s="17" t="n">
        <f aca="false">IF(C$4&lt;=Settings!$B$5,C12,C22+C32)</f>
        <v>0</v>
      </c>
      <c r="D42" s="17" t="n">
        <f aca="false">IF(D$4&lt;=Settings!$B$5,D12,D22+D32)</f>
        <v>0</v>
      </c>
      <c r="E42" s="17" t="n">
        <f aca="false">IF(E$4&lt;=Settings!$B$5,E12,E22+E32)</f>
        <v>0</v>
      </c>
      <c r="F42" s="17" t="n">
        <f aca="false">IF(F$4&lt;=Settings!$B$5,F12,F22+F32)</f>
        <v>52346.7</v>
      </c>
      <c r="G42" s="17" t="n">
        <f aca="false">IF(G$4&lt;=Settings!$B$5,G12,G22+G32)</f>
        <v>1653</v>
      </c>
      <c r="H42" s="17" t="n">
        <f aca="false">IF(H$4&lt;=Settings!$B$5,H12,H22+H32)</f>
        <v>0</v>
      </c>
      <c r="I42" s="17" t="n">
        <f aca="false">IF(I$4&lt;=Settings!$B$5,I12,I22+I32)</f>
        <v>0</v>
      </c>
      <c r="J42" s="17" t="n">
        <f aca="false">IF(J$4&lt;=Settings!$B$5,J12,J22+J32)</f>
        <v>0</v>
      </c>
      <c r="K42" s="17" t="n">
        <f aca="false">IF(K$4&lt;=Settings!$B$5,K12,K22+K32)</f>
        <v>0</v>
      </c>
      <c r="L42" s="17" t="n">
        <f aca="false">IF(L$4&lt;=Settings!$B$5,L12,L22+L32)</f>
        <v>0</v>
      </c>
      <c r="M42" s="17" t="n">
        <f aca="false">IF(M$4&lt;=Settings!$B$5,M12,M22+M32)</f>
        <v>0</v>
      </c>
      <c r="N42" s="17" t="n">
        <f aca="false">IF(N$4&lt;=Settings!$B$5,N12,N22+N32)</f>
        <v>0</v>
      </c>
      <c r="O42" s="28" t="n">
        <f aca="false">SUM(C42:N42)</f>
        <v>53999.7</v>
      </c>
    </row>
    <row r="43" customFormat="false" ht="15" hidden="false" customHeight="false" outlineLevel="0" collapsed="false">
      <c r="A43" s="9" t="str">
        <f aca="false">Settings!$A$17</f>
        <v>Admin</v>
      </c>
      <c r="B43" s="9"/>
      <c r="C43" s="17" t="n">
        <f aca="false">IF(C$4&lt;=Settings!$B$5,C13,C23+C33)</f>
        <v>0</v>
      </c>
      <c r="D43" s="17" t="n">
        <f aca="false">IF(D$4&lt;=Settings!$B$5,D13,D23+D33)</f>
        <v>0</v>
      </c>
      <c r="E43" s="17" t="n">
        <f aca="false">IF(E$4&lt;=Settings!$B$5,E13,E23+E33)</f>
        <v>0</v>
      </c>
      <c r="F43" s="17" t="n">
        <f aca="false">IF(F$4&lt;=Settings!$B$5,F13,F23+F33)</f>
        <v>0</v>
      </c>
      <c r="G43" s="17" t="n">
        <f aca="false">IF(G$4&lt;=Settings!$B$5,G13,G23+G33)</f>
        <v>0</v>
      </c>
      <c r="H43" s="17" t="n">
        <f aca="false">IF(H$4&lt;=Settings!$B$5,H13,H23+H33)</f>
        <v>0</v>
      </c>
      <c r="I43" s="17" t="n">
        <f aca="false">IF(I$4&lt;=Settings!$B$5,I13,I23+I33)</f>
        <v>0</v>
      </c>
      <c r="J43" s="17" t="n">
        <f aca="false">IF(J$4&lt;=Settings!$B$5,J13,J23+J33)</f>
        <v>0</v>
      </c>
      <c r="K43" s="17" t="n">
        <f aca="false">IF(K$4&lt;=Settings!$B$5,K13,K23+K33)</f>
        <v>0</v>
      </c>
      <c r="L43" s="17" t="n">
        <f aca="false">IF(L$4&lt;=Settings!$B$5,L13,L23+L33)</f>
        <v>0</v>
      </c>
      <c r="M43" s="17" t="n">
        <f aca="false">IF(M$4&lt;=Settings!$B$5,M13,M23+M33)</f>
        <v>0</v>
      </c>
      <c r="N43" s="17" t="n">
        <f aca="false">IF(N$4&lt;=Settings!$B$5,N13,N23+N33)</f>
        <v>0</v>
      </c>
      <c r="O43" s="28" t="n">
        <f aca="false">SUM(C43:N43)</f>
        <v>0</v>
      </c>
    </row>
    <row r="44" customFormat="false" ht="15" hidden="false" customHeight="false" outlineLevel="0" collapsed="false">
      <c r="A44" s="9" t="str">
        <f aca="false">Settings!$A$18</f>
        <v>Unallocated</v>
      </c>
      <c r="B44" s="9"/>
      <c r="C44" s="17" t="n">
        <f aca="false">IF(C$4&lt;=Settings!$B$5,C14,C24+C34)</f>
        <v>0</v>
      </c>
      <c r="D44" s="17" t="n">
        <f aca="false">IF(D$4&lt;=Settings!$B$5,D14,D24+D34)</f>
        <v>0</v>
      </c>
      <c r="E44" s="17" t="n">
        <f aca="false">IF(E$4&lt;=Settings!$B$5,E14,E24+E34)</f>
        <v>0</v>
      </c>
      <c r="F44" s="17" t="n">
        <f aca="false">IF(F$4&lt;=Settings!$B$5,F14,F24+F34)</f>
        <v>0</v>
      </c>
      <c r="G44" s="17" t="n">
        <f aca="false">IF(G$4&lt;=Settings!$B$5,G14,G24+G34)</f>
        <v>0</v>
      </c>
      <c r="H44" s="17" t="n">
        <f aca="false">IF(H$4&lt;=Settings!$B$5,H14,H24+H34)</f>
        <v>0</v>
      </c>
      <c r="I44" s="17" t="n">
        <f aca="false">IF(I$4&lt;=Settings!$B$5,I14,I24+I34)</f>
        <v>0</v>
      </c>
      <c r="J44" s="17" t="n">
        <f aca="false">IF(J$4&lt;=Settings!$B$5,J14,J24+J34)</f>
        <v>0</v>
      </c>
      <c r="K44" s="17" t="n">
        <f aca="false">IF(K$4&lt;=Settings!$B$5,K14,K24+K34)</f>
        <v>0</v>
      </c>
      <c r="L44" s="17" t="n">
        <f aca="false">IF(L$4&lt;=Settings!$B$5,L14,L24+L34)</f>
        <v>0</v>
      </c>
      <c r="M44" s="17" t="n">
        <f aca="false">IF(M$4&lt;=Settings!$B$5,M14,M24+M34)</f>
        <v>0</v>
      </c>
      <c r="N44" s="17" t="n">
        <f aca="false">IF(N$4&lt;=Settings!$B$5,N14,N24+N34)</f>
        <v>0</v>
      </c>
      <c r="O44" s="28" t="n">
        <f aca="false">SUM(C44:N44)</f>
        <v>0</v>
      </c>
    </row>
    <row r="45" customFormat="false" ht="15" hidden="false" customHeight="false" outlineLevel="0" collapsed="false">
      <c r="A45" s="20" t="s">
        <v>55</v>
      </c>
      <c r="B45" s="29"/>
      <c r="C45" s="21" t="n">
        <f aca="false">SUM(C38:C44)</f>
        <v>0</v>
      </c>
      <c r="D45" s="21" t="n">
        <f aca="false">SUM(D38:D44)</f>
        <v>0</v>
      </c>
      <c r="E45" s="21" t="n">
        <f aca="false">SUM(E38:E44)</f>
        <v>0</v>
      </c>
      <c r="F45" s="21" t="n">
        <f aca="false">SUM(F38:F44)</f>
        <v>244000.4</v>
      </c>
      <c r="G45" s="21" t="n">
        <f aca="false">SUM(G38:G44)</f>
        <v>102868.6</v>
      </c>
      <c r="H45" s="21" t="n">
        <f aca="false">SUM(H38:H44)</f>
        <v>24151.7</v>
      </c>
      <c r="I45" s="21" t="n">
        <f aca="false">SUM(I38:I44)</f>
        <v>224</v>
      </c>
      <c r="J45" s="21" t="n">
        <f aca="false">SUM(J38:J44)</f>
        <v>54100</v>
      </c>
      <c r="K45" s="21" t="n">
        <f aca="false">SUM(K38:K44)</f>
        <v>0</v>
      </c>
      <c r="L45" s="21" t="n">
        <f aca="false">SUM(L38:L44)</f>
        <v>224</v>
      </c>
      <c r="M45" s="21" t="n">
        <f aca="false">SUM(M38:M44)</f>
        <v>427633</v>
      </c>
      <c r="N45" s="21" t="n">
        <f aca="false">SUM(N38:N44)</f>
        <v>0</v>
      </c>
      <c r="O45" s="21" t="n">
        <f aca="false">SUM(O38:O44)</f>
        <v>853201.7</v>
      </c>
    </row>
    <row r="47" customFormat="false" ht="15" hidden="false" customHeight="false" outlineLevel="0" collapsed="false">
      <c r="A47" s="7" t="s">
        <v>42</v>
      </c>
      <c r="B47" s="27" t="s">
        <v>91</v>
      </c>
      <c r="C47" s="8"/>
      <c r="D47" s="8"/>
      <c r="E47" s="8"/>
      <c r="F47" s="8"/>
      <c r="G47" s="8"/>
      <c r="H47" s="8"/>
      <c r="I47" s="8"/>
      <c r="J47" s="8"/>
      <c r="K47" s="8"/>
      <c r="L47" s="8"/>
      <c r="M47" s="8"/>
      <c r="N47" s="8"/>
      <c r="O47" s="8"/>
    </row>
    <row r="48" customFormat="false" ht="15" hidden="false" customHeight="false" outlineLevel="0" collapsed="false">
      <c r="A48" s="9" t="str">
        <f aca="false">Settings!$A$12</f>
        <v>Onsite</v>
      </c>
      <c r="B48" s="9"/>
      <c r="C48" s="17" t="n">
        <f aca="false">IF(C$4&lt;=Settings!$B$5,C8,SUMIFS('Zoho Dump'!$Z$8:$Z$3007,'Zoho Dump'!$P$8:$P$3007,$A48,'Zoho Dump'!$W$8:$W$3007,C$4)+SUMIFS(Adjustments!$M$8:$M$207,Adjustments!$A$8:$A$207,$A48,Adjustments!$J$8:$J$207,C$4))</f>
        <v>0</v>
      </c>
      <c r="D48" s="17" t="n">
        <f aca="false">IF(D$4&lt;=Settings!$B$5,D8,SUMIFS('Zoho Dump'!$Z$8:$Z$3007,'Zoho Dump'!$P$8:$P$3007,$A48,'Zoho Dump'!$W$8:$W$3007,D$4)+SUMIFS(Adjustments!$M$8:$M$207,Adjustments!$A$8:$A$207,$A48,Adjustments!$J$8:$J$207,D$4))</f>
        <v>0</v>
      </c>
      <c r="E48" s="17" t="n">
        <f aca="false">IF(E$4&lt;=Settings!$B$5,E8,SUMIFS('Zoho Dump'!$Z$8:$Z$3007,'Zoho Dump'!$P$8:$P$3007,$A48,'Zoho Dump'!$W$8:$W$3007,E$4)+SUMIFS(Adjustments!$M$8:$M$207,Adjustments!$A$8:$A$207,$A48,Adjustments!$J$8:$J$207,E$4))</f>
        <v>0</v>
      </c>
      <c r="F48" s="17" t="n">
        <f aca="false">IF(F$4&lt;=Settings!$B$5,F8,SUMIFS('Zoho Dump'!$Z$8:$Z$3007,'Zoho Dump'!$P$8:$P$3007,$A48,'Zoho Dump'!$W$8:$W$3007,F$4)+SUMIFS(Adjustments!$M$8:$M$207,Adjustments!$A$8:$A$207,$A48,Adjustments!$J$8:$J$207,F$4))</f>
        <v>17000</v>
      </c>
      <c r="G48" s="17" t="n">
        <f aca="false">IF(G$4&lt;=Settings!$B$5,G8,SUMIFS('Zoho Dump'!$Z$8:$Z$3007,'Zoho Dump'!$P$8:$P$3007,$A48,'Zoho Dump'!$W$8:$W$3007,G$4)+SUMIFS(Adjustments!$M$8:$M$207,Adjustments!$A$8:$A$207,$A48,Adjustments!$J$8:$J$207,G$4))</f>
        <v>0</v>
      </c>
      <c r="H48" s="17" t="n">
        <f aca="false">IF(H$4&lt;=Settings!$B$5,H8,SUMIFS('Zoho Dump'!$Z$8:$Z$3007,'Zoho Dump'!$P$8:$P$3007,$A48,'Zoho Dump'!$W$8:$W$3007,H$4)+SUMIFS(Adjustments!$M$8:$M$207,Adjustments!$A$8:$A$207,$A48,Adjustments!$J$8:$J$207,H$4))</f>
        <v>0</v>
      </c>
      <c r="I48" s="17" t="n">
        <f aca="false">IF(I$4&lt;=Settings!$B$5,I8,SUMIFS('Zoho Dump'!$Z$8:$Z$3007,'Zoho Dump'!$P$8:$P$3007,$A48,'Zoho Dump'!$W$8:$W$3007,I$4)+SUMIFS(Adjustments!$M$8:$M$207,Adjustments!$A$8:$A$207,$A48,Adjustments!$J$8:$J$207,I$4))</f>
        <v>0</v>
      </c>
      <c r="J48" s="17" t="n">
        <f aca="false">IF(J$4&lt;=Settings!$B$5,J8,SUMIFS('Zoho Dump'!$Z$8:$Z$3007,'Zoho Dump'!$P$8:$P$3007,$A48,'Zoho Dump'!$W$8:$W$3007,J$4)+SUMIFS(Adjustments!$M$8:$M$207,Adjustments!$A$8:$A$207,$A48,Adjustments!$J$8:$J$207,J$4))</f>
        <v>0</v>
      </c>
      <c r="K48" s="17" t="n">
        <f aca="false">IF(K$4&lt;=Settings!$B$5,K8,SUMIFS('Zoho Dump'!$Z$8:$Z$3007,'Zoho Dump'!$P$8:$P$3007,$A48,'Zoho Dump'!$W$8:$W$3007,K$4)+SUMIFS(Adjustments!$M$8:$M$207,Adjustments!$A$8:$A$207,$A48,Adjustments!$J$8:$J$207,K$4))</f>
        <v>0</v>
      </c>
      <c r="L48" s="17" t="n">
        <f aca="false">IF(L$4&lt;=Settings!$B$5,L8,SUMIFS('Zoho Dump'!$Z$8:$Z$3007,'Zoho Dump'!$P$8:$P$3007,$A48,'Zoho Dump'!$W$8:$W$3007,L$4)+SUMIFS(Adjustments!$M$8:$M$207,Adjustments!$A$8:$A$207,$A48,Adjustments!$J$8:$J$207,L$4))</f>
        <v>0</v>
      </c>
      <c r="M48" s="17" t="n">
        <f aca="false">IF(M$4&lt;=Settings!$B$5,M8,SUMIFS('Zoho Dump'!$Z$8:$Z$3007,'Zoho Dump'!$P$8:$P$3007,$A48,'Zoho Dump'!$W$8:$W$3007,M$4)+SUMIFS(Adjustments!$M$8:$M$207,Adjustments!$A$8:$A$207,$A48,Adjustments!$J$8:$J$207,M$4))</f>
        <v>0</v>
      </c>
      <c r="N48" s="17" t="n">
        <f aca="false">IF(N$4&lt;=Settings!$B$5,N8,SUMIFS('Zoho Dump'!$Z$8:$Z$3007,'Zoho Dump'!$P$8:$P$3007,$A48,'Zoho Dump'!$W$8:$W$3007,N$4)+SUMIFS(Adjustments!$M$8:$M$207,Adjustments!$A$8:$A$207,$A48,Adjustments!$J$8:$J$207,N$4))</f>
        <v>0</v>
      </c>
      <c r="O48" s="28" t="n">
        <f aca="false">SUM(C48:N48)</f>
        <v>17000</v>
      </c>
    </row>
    <row r="49" customFormat="false" ht="15" hidden="false" customHeight="false" outlineLevel="0" collapsed="false">
      <c r="A49" s="9" t="str">
        <f aca="false">Settings!$A$13</f>
        <v>Production</v>
      </c>
      <c r="B49" s="9"/>
      <c r="C49" s="17" t="n">
        <f aca="false">IF(C$4&lt;=Settings!$B$5,C9,SUMIFS('Zoho Dump'!$Z$8:$Z$3007,'Zoho Dump'!$P$8:$P$3007,$A49,'Zoho Dump'!$W$8:$W$3007,C$4)+SUMIFS(Adjustments!$M$8:$M$207,Adjustments!$A$8:$A$207,$A49,Adjustments!$J$8:$J$207,C$4))</f>
        <v>0</v>
      </c>
      <c r="D49" s="17" t="n">
        <f aca="false">IF(D$4&lt;=Settings!$B$5,D9,SUMIFS('Zoho Dump'!$Z$8:$Z$3007,'Zoho Dump'!$P$8:$P$3007,$A49,'Zoho Dump'!$W$8:$W$3007,D$4)+SUMIFS(Adjustments!$M$8:$M$207,Adjustments!$A$8:$A$207,$A49,Adjustments!$J$8:$J$207,D$4))</f>
        <v>0</v>
      </c>
      <c r="E49" s="17" t="n">
        <f aca="false">IF(E$4&lt;=Settings!$B$5,E9,SUMIFS('Zoho Dump'!$Z$8:$Z$3007,'Zoho Dump'!$P$8:$P$3007,$A49,'Zoho Dump'!$W$8:$W$3007,E$4)+SUMIFS(Adjustments!$M$8:$M$207,Adjustments!$A$8:$A$207,$A49,Adjustments!$J$8:$J$207,E$4))</f>
        <v>0</v>
      </c>
      <c r="F49" s="17" t="n">
        <f aca="false">IF(F$4&lt;=Settings!$B$5,F9,SUMIFS('Zoho Dump'!$Z$8:$Z$3007,'Zoho Dump'!$P$8:$P$3007,$A49,'Zoho Dump'!$W$8:$W$3007,F$4)+SUMIFS(Adjustments!$M$8:$M$207,Adjustments!$A$8:$A$207,$A49,Adjustments!$J$8:$J$207,F$4))</f>
        <v>40626</v>
      </c>
      <c r="G49" s="17" t="n">
        <f aca="false">IF(G$4&lt;=Settings!$B$5,G9,SUMIFS('Zoho Dump'!$Z$8:$Z$3007,'Zoho Dump'!$P$8:$P$3007,$A49,'Zoho Dump'!$W$8:$W$3007,G$4)+SUMIFS(Adjustments!$M$8:$M$207,Adjustments!$A$8:$A$207,$A49,Adjustments!$J$8:$J$207,G$4))</f>
        <v>13553</v>
      </c>
      <c r="H49" s="17" t="n">
        <f aca="false">IF(H$4&lt;=Settings!$B$5,H9,SUMIFS('Zoho Dump'!$Z$8:$Z$3007,'Zoho Dump'!$P$8:$P$3007,$A49,'Zoho Dump'!$W$8:$W$3007,H$4)+SUMIFS(Adjustments!$M$8:$M$207,Adjustments!$A$8:$A$207,$A49,Adjustments!$J$8:$J$207,H$4))</f>
        <v>2881</v>
      </c>
      <c r="I49" s="17" t="n">
        <f aca="false">IF(I$4&lt;=Settings!$B$5,I9,SUMIFS('Zoho Dump'!$Z$8:$Z$3007,'Zoho Dump'!$P$8:$P$3007,$A49,'Zoho Dump'!$W$8:$W$3007,I$4)+SUMIFS(Adjustments!$M$8:$M$207,Adjustments!$A$8:$A$207,$A49,Adjustments!$J$8:$J$207,I$4))</f>
        <v>0</v>
      </c>
      <c r="J49" s="17" t="n">
        <f aca="false">IF(J$4&lt;=Settings!$B$5,J9,SUMIFS('Zoho Dump'!$Z$8:$Z$3007,'Zoho Dump'!$P$8:$P$3007,$A49,'Zoho Dump'!$W$8:$W$3007,J$4)+SUMIFS(Adjustments!$M$8:$M$207,Adjustments!$A$8:$A$207,$A49,Adjustments!$J$8:$J$207,J$4))</f>
        <v>0</v>
      </c>
      <c r="K49" s="17" t="n">
        <f aca="false">IF(K$4&lt;=Settings!$B$5,K9,SUMIFS('Zoho Dump'!$Z$8:$Z$3007,'Zoho Dump'!$P$8:$P$3007,$A49,'Zoho Dump'!$W$8:$W$3007,K$4)+SUMIFS(Adjustments!$M$8:$M$207,Adjustments!$A$8:$A$207,$A49,Adjustments!$J$8:$J$207,K$4))</f>
        <v>0</v>
      </c>
      <c r="L49" s="17" t="n">
        <f aca="false">IF(L$4&lt;=Settings!$B$5,L9,SUMIFS('Zoho Dump'!$Z$8:$Z$3007,'Zoho Dump'!$P$8:$P$3007,$A49,'Zoho Dump'!$W$8:$W$3007,L$4)+SUMIFS(Adjustments!$M$8:$M$207,Adjustments!$A$8:$A$207,$A49,Adjustments!$J$8:$J$207,L$4))</f>
        <v>0</v>
      </c>
      <c r="M49" s="17" t="n">
        <f aca="false">IF(M$4&lt;=Settings!$B$5,M9,SUMIFS('Zoho Dump'!$Z$8:$Z$3007,'Zoho Dump'!$P$8:$P$3007,$A49,'Zoho Dump'!$W$8:$W$3007,M$4)+SUMIFS(Adjustments!$M$8:$M$207,Adjustments!$A$8:$A$207,$A49,Adjustments!$J$8:$J$207,M$4))</f>
        <v>0</v>
      </c>
      <c r="N49" s="17" t="n">
        <f aca="false">IF(N$4&lt;=Settings!$B$5,N9,SUMIFS('Zoho Dump'!$Z$8:$Z$3007,'Zoho Dump'!$P$8:$P$3007,$A49,'Zoho Dump'!$W$8:$W$3007,N$4)+SUMIFS(Adjustments!$M$8:$M$207,Adjustments!$A$8:$A$207,$A49,Adjustments!$J$8:$J$207,N$4))</f>
        <v>0</v>
      </c>
      <c r="O49" s="28" t="n">
        <f aca="false">SUM(C49:N49)</f>
        <v>57060</v>
      </c>
    </row>
    <row r="50" customFormat="false" ht="15" hidden="false" customHeight="false" outlineLevel="0" collapsed="false">
      <c r="A50" s="9" t="str">
        <f aca="false">Settings!$A$14</f>
        <v>Video</v>
      </c>
      <c r="B50" s="9"/>
      <c r="C50" s="17" t="n">
        <f aca="false">IF(C$4&lt;=Settings!$B$5,C10,SUMIFS('Zoho Dump'!$Z$8:$Z$3007,'Zoho Dump'!$P$8:$P$3007,$A50,'Zoho Dump'!$W$8:$W$3007,C$4)+SUMIFS(Adjustments!$M$8:$M$207,Adjustments!$A$8:$A$207,$A50,Adjustments!$J$8:$J$207,C$4))</f>
        <v>0</v>
      </c>
      <c r="D50" s="17" t="n">
        <f aca="false">IF(D$4&lt;=Settings!$B$5,D10,SUMIFS('Zoho Dump'!$Z$8:$Z$3007,'Zoho Dump'!$P$8:$P$3007,$A50,'Zoho Dump'!$W$8:$W$3007,D$4)+SUMIFS(Adjustments!$M$8:$M$207,Adjustments!$A$8:$A$207,$A50,Adjustments!$J$8:$J$207,D$4))</f>
        <v>0</v>
      </c>
      <c r="E50" s="17" t="n">
        <f aca="false">IF(E$4&lt;=Settings!$B$5,E10,SUMIFS('Zoho Dump'!$Z$8:$Z$3007,'Zoho Dump'!$P$8:$P$3007,$A50,'Zoho Dump'!$W$8:$W$3007,E$4)+SUMIFS(Adjustments!$M$8:$M$207,Adjustments!$A$8:$A$207,$A50,Adjustments!$J$8:$J$207,E$4))</f>
        <v>0</v>
      </c>
      <c r="F50" s="17" t="n">
        <f aca="false">IF(F$4&lt;=Settings!$B$5,F10,SUMIFS('Zoho Dump'!$Z$8:$Z$3007,'Zoho Dump'!$P$8:$P$3007,$A50,'Zoho Dump'!$W$8:$W$3007,F$4)+SUMIFS(Adjustments!$M$8:$M$207,Adjustments!$A$8:$A$207,$A50,Adjustments!$J$8:$J$207,F$4))</f>
        <v>0</v>
      </c>
      <c r="G50" s="17" t="n">
        <f aca="false">IF(G$4&lt;=Settings!$B$5,G10,SUMIFS('Zoho Dump'!$Z$8:$Z$3007,'Zoho Dump'!$P$8:$P$3007,$A50,'Zoho Dump'!$W$8:$W$3007,G$4)+SUMIFS(Adjustments!$M$8:$M$207,Adjustments!$A$8:$A$207,$A50,Adjustments!$J$8:$J$207,G$4))</f>
        <v>11342</v>
      </c>
      <c r="H50" s="17" t="n">
        <f aca="false">IF(H$4&lt;=Settings!$B$5,H10,SUMIFS('Zoho Dump'!$Z$8:$Z$3007,'Zoho Dump'!$P$8:$P$3007,$A50,'Zoho Dump'!$W$8:$W$3007,H$4)+SUMIFS(Adjustments!$M$8:$M$207,Adjustments!$A$8:$A$207,$A50,Adjustments!$J$8:$J$207,H$4))</f>
        <v>0</v>
      </c>
      <c r="I50" s="17" t="n">
        <f aca="false">IF(I$4&lt;=Settings!$B$5,I10,SUMIFS('Zoho Dump'!$Z$8:$Z$3007,'Zoho Dump'!$P$8:$P$3007,$A50,'Zoho Dump'!$W$8:$W$3007,I$4)+SUMIFS(Adjustments!$M$8:$M$207,Adjustments!$A$8:$A$207,$A50,Adjustments!$J$8:$J$207,I$4))</f>
        <v>0</v>
      </c>
      <c r="J50" s="17" t="n">
        <f aca="false">IF(J$4&lt;=Settings!$B$5,J10,SUMIFS('Zoho Dump'!$Z$8:$Z$3007,'Zoho Dump'!$P$8:$P$3007,$A50,'Zoho Dump'!$W$8:$W$3007,J$4)+SUMIFS(Adjustments!$M$8:$M$207,Adjustments!$A$8:$A$207,$A50,Adjustments!$J$8:$J$207,J$4))</f>
        <v>0</v>
      </c>
      <c r="K50" s="17" t="n">
        <f aca="false">IF(K$4&lt;=Settings!$B$5,K10,SUMIFS('Zoho Dump'!$Z$8:$Z$3007,'Zoho Dump'!$P$8:$P$3007,$A50,'Zoho Dump'!$W$8:$W$3007,K$4)+SUMIFS(Adjustments!$M$8:$M$207,Adjustments!$A$8:$A$207,$A50,Adjustments!$J$8:$J$207,K$4))</f>
        <v>0</v>
      </c>
      <c r="L50" s="17" t="n">
        <f aca="false">IF(L$4&lt;=Settings!$B$5,L10,SUMIFS('Zoho Dump'!$Z$8:$Z$3007,'Zoho Dump'!$P$8:$P$3007,$A50,'Zoho Dump'!$W$8:$W$3007,L$4)+SUMIFS(Adjustments!$M$8:$M$207,Adjustments!$A$8:$A$207,$A50,Adjustments!$J$8:$J$207,L$4))</f>
        <v>0</v>
      </c>
      <c r="M50" s="17" t="n">
        <f aca="false">IF(M$4&lt;=Settings!$B$5,M10,SUMIFS('Zoho Dump'!$Z$8:$Z$3007,'Zoho Dump'!$P$8:$P$3007,$A50,'Zoho Dump'!$W$8:$W$3007,M$4)+SUMIFS(Adjustments!$M$8:$M$207,Adjustments!$A$8:$A$207,$A50,Adjustments!$J$8:$J$207,M$4))</f>
        <v>0</v>
      </c>
      <c r="N50" s="17" t="n">
        <f aca="false">IF(N$4&lt;=Settings!$B$5,N10,SUMIFS('Zoho Dump'!$Z$8:$Z$3007,'Zoho Dump'!$P$8:$P$3007,$A50,'Zoho Dump'!$W$8:$W$3007,N$4)+SUMIFS(Adjustments!$M$8:$M$207,Adjustments!$A$8:$A$207,$A50,Adjustments!$J$8:$J$207,N$4))</f>
        <v>0</v>
      </c>
      <c r="O50" s="28" t="n">
        <f aca="false">SUM(C50:N50)</f>
        <v>11342</v>
      </c>
    </row>
    <row r="51" customFormat="false" ht="15" hidden="false" customHeight="false" outlineLevel="0" collapsed="false">
      <c r="A51" s="9" t="str">
        <f aca="false">Settings!$A$15</f>
        <v>Consulting</v>
      </c>
      <c r="B51" s="9"/>
      <c r="C51" s="17" t="n">
        <f aca="false">IF(C$4&lt;=Settings!$B$5,C11,SUMIFS('Zoho Dump'!$Z$8:$Z$3007,'Zoho Dump'!$P$8:$P$3007,$A51,'Zoho Dump'!$W$8:$W$3007,C$4)+SUMIFS(Adjustments!$M$8:$M$207,Adjustments!$A$8:$A$207,$A51,Adjustments!$J$8:$J$207,C$4))</f>
        <v>0</v>
      </c>
      <c r="D51" s="17" t="n">
        <f aca="false">IF(D$4&lt;=Settings!$B$5,D11,SUMIFS('Zoho Dump'!$Z$8:$Z$3007,'Zoho Dump'!$P$8:$P$3007,$A51,'Zoho Dump'!$W$8:$W$3007,D$4)+SUMIFS(Adjustments!$M$8:$M$207,Adjustments!$A$8:$A$207,$A51,Adjustments!$J$8:$J$207,D$4))</f>
        <v>0</v>
      </c>
      <c r="E51" s="17" t="n">
        <f aca="false">IF(E$4&lt;=Settings!$B$5,E11,SUMIFS('Zoho Dump'!$Z$8:$Z$3007,'Zoho Dump'!$P$8:$P$3007,$A51,'Zoho Dump'!$W$8:$W$3007,E$4)+SUMIFS(Adjustments!$M$8:$M$207,Adjustments!$A$8:$A$207,$A51,Adjustments!$J$8:$J$207,E$4))</f>
        <v>0</v>
      </c>
      <c r="F51" s="17" t="n">
        <f aca="false">IF(F$4&lt;=Settings!$B$5,F11,SUMIFS('Zoho Dump'!$Z$8:$Z$3007,'Zoho Dump'!$P$8:$P$3007,$A51,'Zoho Dump'!$W$8:$W$3007,F$4)+SUMIFS(Adjustments!$M$8:$M$207,Adjustments!$A$8:$A$207,$A51,Adjustments!$J$8:$J$207,F$4))</f>
        <v>0</v>
      </c>
      <c r="G51" s="17" t="n">
        <f aca="false">IF(G$4&lt;=Settings!$B$5,G11,SUMIFS('Zoho Dump'!$Z$8:$Z$3007,'Zoho Dump'!$P$8:$P$3007,$A51,'Zoho Dump'!$W$8:$W$3007,G$4)+SUMIFS(Adjustments!$M$8:$M$207,Adjustments!$A$8:$A$207,$A51,Adjustments!$J$8:$J$207,G$4))</f>
        <v>0</v>
      </c>
      <c r="H51" s="17" t="n">
        <f aca="false">IF(H$4&lt;=Settings!$B$5,H11,SUMIFS('Zoho Dump'!$Z$8:$Z$3007,'Zoho Dump'!$P$8:$P$3007,$A51,'Zoho Dump'!$W$8:$W$3007,H$4)+SUMIFS(Adjustments!$M$8:$M$207,Adjustments!$A$8:$A$207,$A51,Adjustments!$J$8:$J$207,H$4))</f>
        <v>0</v>
      </c>
      <c r="I51" s="17" t="n">
        <f aca="false">IF(I$4&lt;=Settings!$B$5,I11,SUMIFS('Zoho Dump'!$Z$8:$Z$3007,'Zoho Dump'!$P$8:$P$3007,$A51,'Zoho Dump'!$W$8:$W$3007,I$4)+SUMIFS(Adjustments!$M$8:$M$207,Adjustments!$A$8:$A$207,$A51,Adjustments!$J$8:$J$207,I$4))</f>
        <v>0</v>
      </c>
      <c r="J51" s="17" t="n">
        <f aca="false">IF(J$4&lt;=Settings!$B$5,J11,SUMIFS('Zoho Dump'!$Z$8:$Z$3007,'Zoho Dump'!$P$8:$P$3007,$A51,'Zoho Dump'!$W$8:$W$3007,J$4)+SUMIFS(Adjustments!$M$8:$M$207,Adjustments!$A$8:$A$207,$A51,Adjustments!$J$8:$J$207,J$4))</f>
        <v>0</v>
      </c>
      <c r="K51" s="17" t="n">
        <f aca="false">IF(K$4&lt;=Settings!$B$5,K11,SUMIFS('Zoho Dump'!$Z$8:$Z$3007,'Zoho Dump'!$P$8:$P$3007,$A51,'Zoho Dump'!$W$8:$W$3007,K$4)+SUMIFS(Adjustments!$M$8:$M$207,Adjustments!$A$8:$A$207,$A51,Adjustments!$J$8:$J$207,K$4))</f>
        <v>0</v>
      </c>
      <c r="L51" s="17" t="n">
        <f aca="false">IF(L$4&lt;=Settings!$B$5,L11,SUMIFS('Zoho Dump'!$Z$8:$Z$3007,'Zoho Dump'!$P$8:$P$3007,$A51,'Zoho Dump'!$W$8:$W$3007,L$4)+SUMIFS(Adjustments!$M$8:$M$207,Adjustments!$A$8:$A$207,$A51,Adjustments!$J$8:$J$207,L$4))</f>
        <v>0</v>
      </c>
      <c r="M51" s="17" t="n">
        <f aca="false">IF(M$4&lt;=Settings!$B$5,M11,SUMIFS('Zoho Dump'!$Z$8:$Z$3007,'Zoho Dump'!$P$8:$P$3007,$A51,'Zoho Dump'!$W$8:$W$3007,M$4)+SUMIFS(Adjustments!$M$8:$M$207,Adjustments!$A$8:$A$207,$A51,Adjustments!$J$8:$J$207,M$4))</f>
        <v>0</v>
      </c>
      <c r="N51" s="17" t="n">
        <f aca="false">IF(N$4&lt;=Settings!$B$5,N11,SUMIFS('Zoho Dump'!$Z$8:$Z$3007,'Zoho Dump'!$P$8:$P$3007,$A51,'Zoho Dump'!$W$8:$W$3007,N$4)+SUMIFS(Adjustments!$M$8:$M$207,Adjustments!$A$8:$A$207,$A51,Adjustments!$J$8:$J$207,N$4))</f>
        <v>0</v>
      </c>
      <c r="O51" s="28" t="n">
        <f aca="false">SUM(C51:N51)</f>
        <v>0</v>
      </c>
    </row>
    <row r="52" customFormat="false" ht="15" hidden="false" customHeight="false" outlineLevel="0" collapsed="false">
      <c r="A52" s="9" t="str">
        <f aca="false">Settings!$A$16</f>
        <v>Integration</v>
      </c>
      <c r="B52" s="9"/>
      <c r="C52" s="17" t="n">
        <f aca="false">IF(C$4&lt;=Settings!$B$5,C12,SUMIFS('Zoho Dump'!$Z$8:$Z$3007,'Zoho Dump'!$P$8:$P$3007,$A52,'Zoho Dump'!$W$8:$W$3007,C$4)+SUMIFS(Adjustments!$M$8:$M$207,Adjustments!$A$8:$A$207,$A52,Adjustments!$J$8:$J$207,C$4))</f>
        <v>0</v>
      </c>
      <c r="D52" s="17" t="n">
        <f aca="false">IF(D$4&lt;=Settings!$B$5,D12,SUMIFS('Zoho Dump'!$Z$8:$Z$3007,'Zoho Dump'!$P$8:$P$3007,$A52,'Zoho Dump'!$W$8:$W$3007,D$4)+SUMIFS(Adjustments!$M$8:$M$207,Adjustments!$A$8:$A$207,$A52,Adjustments!$J$8:$J$207,D$4))</f>
        <v>0</v>
      </c>
      <c r="E52" s="17" t="n">
        <f aca="false">IF(E$4&lt;=Settings!$B$5,E12,SUMIFS('Zoho Dump'!$Z$8:$Z$3007,'Zoho Dump'!$P$8:$P$3007,$A52,'Zoho Dump'!$W$8:$W$3007,E$4)+SUMIFS(Adjustments!$M$8:$M$207,Adjustments!$A$8:$A$207,$A52,Adjustments!$J$8:$J$207,E$4))</f>
        <v>0</v>
      </c>
      <c r="F52" s="17" t="n">
        <f aca="false">IF(F$4&lt;=Settings!$B$5,F12,SUMIFS('Zoho Dump'!$Z$8:$Z$3007,'Zoho Dump'!$P$8:$P$3007,$A52,'Zoho Dump'!$W$8:$W$3007,F$4)+SUMIFS(Adjustments!$M$8:$M$207,Adjustments!$A$8:$A$207,$A52,Adjustments!$J$8:$J$207,F$4))</f>
        <v>0</v>
      </c>
      <c r="G52" s="17" t="n">
        <f aca="false">IF(G$4&lt;=Settings!$B$5,G12,SUMIFS('Zoho Dump'!$Z$8:$Z$3007,'Zoho Dump'!$P$8:$P$3007,$A52,'Zoho Dump'!$W$8:$W$3007,G$4)+SUMIFS(Adjustments!$M$8:$M$207,Adjustments!$A$8:$A$207,$A52,Adjustments!$J$8:$J$207,G$4))</f>
        <v>0</v>
      </c>
      <c r="H52" s="17" t="n">
        <f aca="false">IF(H$4&lt;=Settings!$B$5,H12,SUMIFS('Zoho Dump'!$Z$8:$Z$3007,'Zoho Dump'!$P$8:$P$3007,$A52,'Zoho Dump'!$W$8:$W$3007,H$4)+SUMIFS(Adjustments!$M$8:$M$207,Adjustments!$A$8:$A$207,$A52,Adjustments!$J$8:$J$207,H$4))</f>
        <v>0</v>
      </c>
      <c r="I52" s="17" t="n">
        <f aca="false">IF(I$4&lt;=Settings!$B$5,I12,SUMIFS('Zoho Dump'!$Z$8:$Z$3007,'Zoho Dump'!$P$8:$P$3007,$A52,'Zoho Dump'!$W$8:$W$3007,I$4)+SUMIFS(Adjustments!$M$8:$M$207,Adjustments!$A$8:$A$207,$A52,Adjustments!$J$8:$J$207,I$4))</f>
        <v>0</v>
      </c>
      <c r="J52" s="17" t="n">
        <f aca="false">IF(J$4&lt;=Settings!$B$5,J12,SUMIFS('Zoho Dump'!$Z$8:$Z$3007,'Zoho Dump'!$P$8:$P$3007,$A52,'Zoho Dump'!$W$8:$W$3007,J$4)+SUMIFS(Adjustments!$M$8:$M$207,Adjustments!$A$8:$A$207,$A52,Adjustments!$J$8:$J$207,J$4))</f>
        <v>0</v>
      </c>
      <c r="K52" s="17" t="n">
        <f aca="false">IF(K$4&lt;=Settings!$B$5,K12,SUMIFS('Zoho Dump'!$Z$8:$Z$3007,'Zoho Dump'!$P$8:$P$3007,$A52,'Zoho Dump'!$W$8:$W$3007,K$4)+SUMIFS(Adjustments!$M$8:$M$207,Adjustments!$A$8:$A$207,$A52,Adjustments!$J$8:$J$207,K$4))</f>
        <v>0</v>
      </c>
      <c r="L52" s="17" t="n">
        <f aca="false">IF(L$4&lt;=Settings!$B$5,L12,SUMIFS('Zoho Dump'!$Z$8:$Z$3007,'Zoho Dump'!$P$8:$P$3007,$A52,'Zoho Dump'!$W$8:$W$3007,L$4)+SUMIFS(Adjustments!$M$8:$M$207,Adjustments!$A$8:$A$207,$A52,Adjustments!$J$8:$J$207,L$4))</f>
        <v>0</v>
      </c>
      <c r="M52" s="17" t="n">
        <f aca="false">IF(M$4&lt;=Settings!$B$5,M12,SUMIFS('Zoho Dump'!$Z$8:$Z$3007,'Zoho Dump'!$P$8:$P$3007,$A52,'Zoho Dump'!$W$8:$W$3007,M$4)+SUMIFS(Adjustments!$M$8:$M$207,Adjustments!$A$8:$A$207,$A52,Adjustments!$J$8:$J$207,M$4))</f>
        <v>0</v>
      </c>
      <c r="N52" s="17" t="n">
        <f aca="false">IF(N$4&lt;=Settings!$B$5,N12,SUMIFS('Zoho Dump'!$Z$8:$Z$3007,'Zoho Dump'!$P$8:$P$3007,$A52,'Zoho Dump'!$W$8:$W$3007,N$4)+SUMIFS(Adjustments!$M$8:$M$207,Adjustments!$A$8:$A$207,$A52,Adjustments!$J$8:$J$207,N$4))</f>
        <v>0</v>
      </c>
      <c r="O52" s="28" t="n">
        <f aca="false">SUM(C52:N52)</f>
        <v>0</v>
      </c>
    </row>
    <row r="53" customFormat="false" ht="15" hidden="false" customHeight="false" outlineLevel="0" collapsed="false">
      <c r="A53" s="9" t="str">
        <f aca="false">Settings!$A$17</f>
        <v>Admin</v>
      </c>
      <c r="B53" s="9"/>
      <c r="C53" s="17" t="n">
        <f aca="false">IF(C$4&lt;=Settings!$B$5,C13,SUMIFS('Zoho Dump'!$Z$8:$Z$3007,'Zoho Dump'!$P$8:$P$3007,$A53,'Zoho Dump'!$W$8:$W$3007,C$4)+SUMIFS(Adjustments!$M$8:$M$207,Adjustments!$A$8:$A$207,$A53,Adjustments!$J$8:$J$207,C$4))</f>
        <v>0</v>
      </c>
      <c r="D53" s="17" t="n">
        <f aca="false">IF(D$4&lt;=Settings!$B$5,D13,SUMIFS('Zoho Dump'!$Z$8:$Z$3007,'Zoho Dump'!$P$8:$P$3007,$A53,'Zoho Dump'!$W$8:$W$3007,D$4)+SUMIFS(Adjustments!$M$8:$M$207,Adjustments!$A$8:$A$207,$A53,Adjustments!$J$8:$J$207,D$4))</f>
        <v>0</v>
      </c>
      <c r="E53" s="17" t="n">
        <f aca="false">IF(E$4&lt;=Settings!$B$5,E13,SUMIFS('Zoho Dump'!$Z$8:$Z$3007,'Zoho Dump'!$P$8:$P$3007,$A53,'Zoho Dump'!$W$8:$W$3007,E$4)+SUMIFS(Adjustments!$M$8:$M$207,Adjustments!$A$8:$A$207,$A53,Adjustments!$J$8:$J$207,E$4))</f>
        <v>0</v>
      </c>
      <c r="F53" s="17" t="n">
        <f aca="false">IF(F$4&lt;=Settings!$B$5,F13,SUMIFS('Zoho Dump'!$Z$8:$Z$3007,'Zoho Dump'!$P$8:$P$3007,$A53,'Zoho Dump'!$W$8:$W$3007,F$4)+SUMIFS(Adjustments!$M$8:$M$207,Adjustments!$A$8:$A$207,$A53,Adjustments!$J$8:$J$207,F$4))</f>
        <v>0</v>
      </c>
      <c r="G53" s="17" t="n">
        <f aca="false">IF(G$4&lt;=Settings!$B$5,G13,SUMIFS('Zoho Dump'!$Z$8:$Z$3007,'Zoho Dump'!$P$8:$P$3007,$A53,'Zoho Dump'!$W$8:$W$3007,G$4)+SUMIFS(Adjustments!$M$8:$M$207,Adjustments!$A$8:$A$207,$A53,Adjustments!$J$8:$J$207,G$4))</f>
        <v>0</v>
      </c>
      <c r="H53" s="17" t="n">
        <f aca="false">IF(H$4&lt;=Settings!$B$5,H13,SUMIFS('Zoho Dump'!$Z$8:$Z$3007,'Zoho Dump'!$P$8:$P$3007,$A53,'Zoho Dump'!$W$8:$W$3007,H$4)+SUMIFS(Adjustments!$M$8:$M$207,Adjustments!$A$8:$A$207,$A53,Adjustments!$J$8:$J$207,H$4))</f>
        <v>0</v>
      </c>
      <c r="I53" s="17" t="n">
        <f aca="false">IF(I$4&lt;=Settings!$B$5,I13,SUMIFS('Zoho Dump'!$Z$8:$Z$3007,'Zoho Dump'!$P$8:$P$3007,$A53,'Zoho Dump'!$W$8:$W$3007,I$4)+SUMIFS(Adjustments!$M$8:$M$207,Adjustments!$A$8:$A$207,$A53,Adjustments!$J$8:$J$207,I$4))</f>
        <v>0</v>
      </c>
      <c r="J53" s="17" t="n">
        <f aca="false">IF(J$4&lt;=Settings!$B$5,J13,SUMIFS('Zoho Dump'!$Z$8:$Z$3007,'Zoho Dump'!$P$8:$P$3007,$A53,'Zoho Dump'!$W$8:$W$3007,J$4)+SUMIFS(Adjustments!$M$8:$M$207,Adjustments!$A$8:$A$207,$A53,Adjustments!$J$8:$J$207,J$4))</f>
        <v>0</v>
      </c>
      <c r="K53" s="17" t="n">
        <f aca="false">IF(K$4&lt;=Settings!$B$5,K13,SUMIFS('Zoho Dump'!$Z$8:$Z$3007,'Zoho Dump'!$P$8:$P$3007,$A53,'Zoho Dump'!$W$8:$W$3007,K$4)+SUMIFS(Adjustments!$M$8:$M$207,Adjustments!$A$8:$A$207,$A53,Adjustments!$J$8:$J$207,K$4))</f>
        <v>0</v>
      </c>
      <c r="L53" s="17" t="n">
        <f aca="false">IF(L$4&lt;=Settings!$B$5,L13,SUMIFS('Zoho Dump'!$Z$8:$Z$3007,'Zoho Dump'!$P$8:$P$3007,$A53,'Zoho Dump'!$W$8:$W$3007,L$4)+SUMIFS(Adjustments!$M$8:$M$207,Adjustments!$A$8:$A$207,$A53,Adjustments!$J$8:$J$207,L$4))</f>
        <v>0</v>
      </c>
      <c r="M53" s="17" t="n">
        <f aca="false">IF(M$4&lt;=Settings!$B$5,M13,SUMIFS('Zoho Dump'!$Z$8:$Z$3007,'Zoho Dump'!$P$8:$P$3007,$A53,'Zoho Dump'!$W$8:$W$3007,M$4)+SUMIFS(Adjustments!$M$8:$M$207,Adjustments!$A$8:$A$207,$A53,Adjustments!$J$8:$J$207,M$4))</f>
        <v>0</v>
      </c>
      <c r="N53" s="17" t="n">
        <f aca="false">IF(N$4&lt;=Settings!$B$5,N13,SUMIFS('Zoho Dump'!$Z$8:$Z$3007,'Zoho Dump'!$P$8:$P$3007,$A53,'Zoho Dump'!$W$8:$W$3007,N$4)+SUMIFS(Adjustments!$M$8:$M$207,Adjustments!$A$8:$A$207,$A53,Adjustments!$J$8:$J$207,N$4))</f>
        <v>0</v>
      </c>
      <c r="O53" s="28" t="n">
        <f aca="false">SUM(C53:N53)</f>
        <v>0</v>
      </c>
    </row>
    <row r="54" customFormat="false" ht="15" hidden="false" customHeight="false" outlineLevel="0" collapsed="false">
      <c r="A54" s="9" t="str">
        <f aca="false">Settings!$A$18</f>
        <v>Unallocated</v>
      </c>
      <c r="B54" s="9"/>
      <c r="C54" s="17" t="n">
        <f aca="false">IF(C$4&lt;=Settings!$B$5,C14,SUMIFS('Zoho Dump'!$Z$8:$Z$3007,'Zoho Dump'!$P$8:$P$3007,$A54,'Zoho Dump'!$W$8:$W$3007,C$4)+SUMIFS(Adjustments!$M$8:$M$207,Adjustments!$A$8:$A$207,$A54,Adjustments!$J$8:$J$207,C$4))</f>
        <v>0</v>
      </c>
      <c r="D54" s="17" t="n">
        <f aca="false">IF(D$4&lt;=Settings!$B$5,D14,SUMIFS('Zoho Dump'!$Z$8:$Z$3007,'Zoho Dump'!$P$8:$P$3007,$A54,'Zoho Dump'!$W$8:$W$3007,D$4)+SUMIFS(Adjustments!$M$8:$M$207,Adjustments!$A$8:$A$207,$A54,Adjustments!$J$8:$J$207,D$4))</f>
        <v>0</v>
      </c>
      <c r="E54" s="17" t="n">
        <f aca="false">IF(E$4&lt;=Settings!$B$5,E14,SUMIFS('Zoho Dump'!$Z$8:$Z$3007,'Zoho Dump'!$P$8:$P$3007,$A54,'Zoho Dump'!$W$8:$W$3007,E$4)+SUMIFS(Adjustments!$M$8:$M$207,Adjustments!$A$8:$A$207,$A54,Adjustments!$J$8:$J$207,E$4))</f>
        <v>0</v>
      </c>
      <c r="F54" s="17" t="n">
        <f aca="false">IF(F$4&lt;=Settings!$B$5,F14,SUMIFS('Zoho Dump'!$Z$8:$Z$3007,'Zoho Dump'!$P$8:$P$3007,$A54,'Zoho Dump'!$W$8:$W$3007,F$4)+SUMIFS(Adjustments!$M$8:$M$207,Adjustments!$A$8:$A$207,$A54,Adjustments!$J$8:$J$207,F$4))</f>
        <v>0</v>
      </c>
      <c r="G54" s="17" t="n">
        <f aca="false">IF(G$4&lt;=Settings!$B$5,G14,SUMIFS('Zoho Dump'!$Z$8:$Z$3007,'Zoho Dump'!$P$8:$P$3007,$A54,'Zoho Dump'!$W$8:$W$3007,G$4)+SUMIFS(Adjustments!$M$8:$M$207,Adjustments!$A$8:$A$207,$A54,Adjustments!$J$8:$J$207,G$4))</f>
        <v>0</v>
      </c>
      <c r="H54" s="17" t="n">
        <f aca="false">IF(H$4&lt;=Settings!$B$5,H14,SUMIFS('Zoho Dump'!$Z$8:$Z$3007,'Zoho Dump'!$P$8:$P$3007,$A54,'Zoho Dump'!$W$8:$W$3007,H$4)+SUMIFS(Adjustments!$M$8:$M$207,Adjustments!$A$8:$A$207,$A54,Adjustments!$J$8:$J$207,H$4))</f>
        <v>0</v>
      </c>
      <c r="I54" s="17" t="n">
        <f aca="false">IF(I$4&lt;=Settings!$B$5,I14,SUMIFS('Zoho Dump'!$Z$8:$Z$3007,'Zoho Dump'!$P$8:$P$3007,$A54,'Zoho Dump'!$W$8:$W$3007,I$4)+SUMIFS(Adjustments!$M$8:$M$207,Adjustments!$A$8:$A$207,$A54,Adjustments!$J$8:$J$207,I$4))</f>
        <v>0</v>
      </c>
      <c r="J54" s="17" t="n">
        <f aca="false">IF(J$4&lt;=Settings!$B$5,J14,SUMIFS('Zoho Dump'!$Z$8:$Z$3007,'Zoho Dump'!$P$8:$P$3007,$A54,'Zoho Dump'!$W$8:$W$3007,J$4)+SUMIFS(Adjustments!$M$8:$M$207,Adjustments!$A$8:$A$207,$A54,Adjustments!$J$8:$J$207,J$4))</f>
        <v>0</v>
      </c>
      <c r="K54" s="17" t="n">
        <f aca="false">IF(K$4&lt;=Settings!$B$5,K14,SUMIFS('Zoho Dump'!$Z$8:$Z$3007,'Zoho Dump'!$P$8:$P$3007,$A54,'Zoho Dump'!$W$8:$W$3007,K$4)+SUMIFS(Adjustments!$M$8:$M$207,Adjustments!$A$8:$A$207,$A54,Adjustments!$J$8:$J$207,K$4))</f>
        <v>0</v>
      </c>
      <c r="L54" s="17" t="n">
        <f aca="false">IF(L$4&lt;=Settings!$B$5,L14,SUMIFS('Zoho Dump'!$Z$8:$Z$3007,'Zoho Dump'!$P$8:$P$3007,$A54,'Zoho Dump'!$W$8:$W$3007,L$4)+SUMIFS(Adjustments!$M$8:$M$207,Adjustments!$A$8:$A$207,$A54,Adjustments!$J$8:$J$207,L$4))</f>
        <v>0</v>
      </c>
      <c r="M54" s="17" t="n">
        <f aca="false">IF(M$4&lt;=Settings!$B$5,M14,SUMIFS('Zoho Dump'!$Z$8:$Z$3007,'Zoho Dump'!$P$8:$P$3007,$A54,'Zoho Dump'!$W$8:$W$3007,M$4)+SUMIFS(Adjustments!$M$8:$M$207,Adjustments!$A$8:$A$207,$A54,Adjustments!$J$8:$J$207,M$4))</f>
        <v>0</v>
      </c>
      <c r="N54" s="17" t="n">
        <f aca="false">IF(N$4&lt;=Settings!$B$5,N14,SUMIFS('Zoho Dump'!$Z$8:$Z$3007,'Zoho Dump'!$P$8:$P$3007,$A54,'Zoho Dump'!$W$8:$W$3007,N$4)+SUMIFS(Adjustments!$M$8:$M$207,Adjustments!$A$8:$A$207,$A54,Adjustments!$J$8:$J$207,N$4))</f>
        <v>0</v>
      </c>
      <c r="O54" s="28" t="n">
        <f aca="false">SUM(C54:N54)</f>
        <v>0</v>
      </c>
    </row>
    <row r="55" customFormat="false" ht="15" hidden="false" customHeight="false" outlineLevel="0" collapsed="false">
      <c r="A55" s="20" t="s">
        <v>55</v>
      </c>
      <c r="B55" s="29"/>
      <c r="C55" s="21" t="n">
        <f aca="false">SUM(C48:C54)</f>
        <v>0</v>
      </c>
      <c r="D55" s="21" t="n">
        <f aca="false">SUM(D48:D54)</f>
        <v>0</v>
      </c>
      <c r="E55" s="21" t="n">
        <f aca="false">SUM(E48:E54)</f>
        <v>0</v>
      </c>
      <c r="F55" s="21" t="n">
        <f aca="false">SUM(F48:F54)</f>
        <v>57626</v>
      </c>
      <c r="G55" s="21" t="n">
        <f aca="false">SUM(G48:G54)</f>
        <v>24895</v>
      </c>
      <c r="H55" s="21" t="n">
        <f aca="false">SUM(H48:H54)</f>
        <v>2881</v>
      </c>
      <c r="I55" s="21" t="n">
        <f aca="false">SUM(I48:I54)</f>
        <v>0</v>
      </c>
      <c r="J55" s="21" t="n">
        <f aca="false">SUM(J48:J54)</f>
        <v>0</v>
      </c>
      <c r="K55" s="21" t="n">
        <f aca="false">SUM(K48:K54)</f>
        <v>0</v>
      </c>
      <c r="L55" s="21" t="n">
        <f aca="false">SUM(L48:L54)</f>
        <v>0</v>
      </c>
      <c r="M55" s="21" t="n">
        <f aca="false">SUM(M48:M54)</f>
        <v>0</v>
      </c>
      <c r="N55" s="21" t="n">
        <f aca="false">SUM(N48:N54)</f>
        <v>0</v>
      </c>
      <c r="O55" s="21" t="n">
        <f aca="false">SUM(O48:O54)</f>
        <v>85402</v>
      </c>
    </row>
    <row r="57" customFormat="false" ht="15" hidden="false" customHeight="false" outlineLevel="0" collapsed="false">
      <c r="A57" s="7" t="s">
        <v>92</v>
      </c>
      <c r="B57" s="27" t="s">
        <v>93</v>
      </c>
      <c r="C57" s="8"/>
      <c r="D57" s="8"/>
      <c r="E57" s="8"/>
      <c r="F57" s="8"/>
      <c r="G57" s="8"/>
      <c r="H57" s="8"/>
      <c r="I57" s="8"/>
      <c r="J57" s="8"/>
      <c r="K57" s="8"/>
      <c r="L57" s="8"/>
      <c r="M57" s="8"/>
      <c r="N57" s="8"/>
      <c r="O57" s="8"/>
    </row>
    <row r="58" customFormat="false" ht="15" hidden="false" customHeight="false" outlineLevel="0" collapsed="false">
      <c r="A58" s="9" t="str">
        <f aca="false">Settings!$A$12</f>
        <v>Onsite</v>
      </c>
      <c r="B58" s="9"/>
      <c r="C58" s="17" t="n">
        <f aca="false">Budget!B5</f>
        <v>0</v>
      </c>
      <c r="D58" s="17" t="n">
        <f aca="false">Budget!C5</f>
        <v>0</v>
      </c>
      <c r="E58" s="17" t="n">
        <f aca="false">Budget!D5</f>
        <v>0</v>
      </c>
      <c r="F58" s="17" t="n">
        <f aca="false">Budget!E5</f>
        <v>0</v>
      </c>
      <c r="G58" s="17" t="n">
        <f aca="false">Budget!F5</f>
        <v>0</v>
      </c>
      <c r="H58" s="17" t="n">
        <f aca="false">Budget!G5</f>
        <v>0</v>
      </c>
      <c r="I58" s="17" t="n">
        <f aca="false">Budget!H5</f>
        <v>0</v>
      </c>
      <c r="J58" s="17" t="n">
        <f aca="false">Budget!I5</f>
        <v>0</v>
      </c>
      <c r="K58" s="17" t="n">
        <f aca="false">Budget!J5</f>
        <v>0</v>
      </c>
      <c r="L58" s="17" t="n">
        <f aca="false">Budget!K5</f>
        <v>0</v>
      </c>
      <c r="M58" s="17" t="n">
        <f aca="false">Budget!L5</f>
        <v>0</v>
      </c>
      <c r="N58" s="17" t="n">
        <f aca="false">Budget!M5</f>
        <v>0</v>
      </c>
      <c r="O58" s="28" t="n">
        <f aca="false">SUM(C58:N58)</f>
        <v>0</v>
      </c>
    </row>
    <row r="59" customFormat="false" ht="15" hidden="false" customHeight="false" outlineLevel="0" collapsed="false">
      <c r="A59" s="9" t="str">
        <f aca="false">Settings!$A$13</f>
        <v>Production</v>
      </c>
      <c r="B59" s="9"/>
      <c r="C59" s="17" t="n">
        <f aca="false">Budget!B6</f>
        <v>0</v>
      </c>
      <c r="D59" s="17" t="n">
        <f aca="false">Budget!C6</f>
        <v>0</v>
      </c>
      <c r="E59" s="17" t="n">
        <f aca="false">Budget!D6</f>
        <v>0</v>
      </c>
      <c r="F59" s="17" t="n">
        <f aca="false">Budget!E6</f>
        <v>0</v>
      </c>
      <c r="G59" s="17" t="n">
        <f aca="false">Budget!F6</f>
        <v>0</v>
      </c>
      <c r="H59" s="17" t="n">
        <f aca="false">Budget!G6</f>
        <v>0</v>
      </c>
      <c r="I59" s="17" t="n">
        <f aca="false">Budget!H6</f>
        <v>0</v>
      </c>
      <c r="J59" s="17" t="n">
        <f aca="false">Budget!I6</f>
        <v>0</v>
      </c>
      <c r="K59" s="17" t="n">
        <f aca="false">Budget!J6</f>
        <v>0</v>
      </c>
      <c r="L59" s="17" t="n">
        <f aca="false">Budget!K6</f>
        <v>0</v>
      </c>
      <c r="M59" s="17" t="n">
        <f aca="false">Budget!L6</f>
        <v>0</v>
      </c>
      <c r="N59" s="17" t="n">
        <f aca="false">Budget!M6</f>
        <v>0</v>
      </c>
      <c r="O59" s="28" t="n">
        <f aca="false">SUM(C59:N59)</f>
        <v>0</v>
      </c>
    </row>
    <row r="60" customFormat="false" ht="15" hidden="false" customHeight="false" outlineLevel="0" collapsed="false">
      <c r="A60" s="9" t="str">
        <f aca="false">Settings!$A$14</f>
        <v>Video</v>
      </c>
      <c r="B60" s="9"/>
      <c r="C60" s="17" t="n">
        <f aca="false">Budget!B7</f>
        <v>0</v>
      </c>
      <c r="D60" s="17" t="n">
        <f aca="false">Budget!C7</f>
        <v>0</v>
      </c>
      <c r="E60" s="17" t="n">
        <f aca="false">Budget!D7</f>
        <v>0</v>
      </c>
      <c r="F60" s="17" t="n">
        <f aca="false">Budget!E7</f>
        <v>0</v>
      </c>
      <c r="G60" s="17" t="n">
        <f aca="false">Budget!F7</f>
        <v>0</v>
      </c>
      <c r="H60" s="17" t="n">
        <f aca="false">Budget!G7</f>
        <v>0</v>
      </c>
      <c r="I60" s="17" t="n">
        <f aca="false">Budget!H7</f>
        <v>0</v>
      </c>
      <c r="J60" s="17" t="n">
        <f aca="false">Budget!I7</f>
        <v>0</v>
      </c>
      <c r="K60" s="17" t="n">
        <f aca="false">Budget!J7</f>
        <v>0</v>
      </c>
      <c r="L60" s="17" t="n">
        <f aca="false">Budget!K7</f>
        <v>0</v>
      </c>
      <c r="M60" s="17" t="n">
        <f aca="false">Budget!L7</f>
        <v>0</v>
      </c>
      <c r="N60" s="17" t="n">
        <f aca="false">Budget!M7</f>
        <v>0</v>
      </c>
      <c r="O60" s="28" t="n">
        <f aca="false">SUM(C60:N60)</f>
        <v>0</v>
      </c>
    </row>
    <row r="61" customFormat="false" ht="15" hidden="false" customHeight="false" outlineLevel="0" collapsed="false">
      <c r="A61" s="9" t="str">
        <f aca="false">Settings!$A$15</f>
        <v>Consulting</v>
      </c>
      <c r="B61" s="9"/>
      <c r="C61" s="17" t="n">
        <f aca="false">Budget!B8</f>
        <v>0</v>
      </c>
      <c r="D61" s="17" t="n">
        <f aca="false">Budget!C8</f>
        <v>0</v>
      </c>
      <c r="E61" s="17" t="n">
        <f aca="false">Budget!D8</f>
        <v>0</v>
      </c>
      <c r="F61" s="17" t="n">
        <f aca="false">Budget!E8</f>
        <v>0</v>
      </c>
      <c r="G61" s="17" t="n">
        <f aca="false">Budget!F8</f>
        <v>0</v>
      </c>
      <c r="H61" s="17" t="n">
        <f aca="false">Budget!G8</f>
        <v>0</v>
      </c>
      <c r="I61" s="17" t="n">
        <f aca="false">Budget!H8</f>
        <v>0</v>
      </c>
      <c r="J61" s="17" t="n">
        <f aca="false">Budget!I8</f>
        <v>0</v>
      </c>
      <c r="K61" s="17" t="n">
        <f aca="false">Budget!J8</f>
        <v>0</v>
      </c>
      <c r="L61" s="17" t="n">
        <f aca="false">Budget!K8</f>
        <v>0</v>
      </c>
      <c r="M61" s="17" t="n">
        <f aca="false">Budget!L8</f>
        <v>0</v>
      </c>
      <c r="N61" s="17" t="n">
        <f aca="false">Budget!M8</f>
        <v>0</v>
      </c>
      <c r="O61" s="28" t="n">
        <f aca="false">SUM(C61:N61)</f>
        <v>0</v>
      </c>
    </row>
    <row r="62" customFormat="false" ht="15" hidden="false" customHeight="false" outlineLevel="0" collapsed="false">
      <c r="A62" s="9" t="str">
        <f aca="false">Settings!$A$16</f>
        <v>Integration</v>
      </c>
      <c r="B62" s="9"/>
      <c r="C62" s="17" t="n">
        <f aca="false">Budget!B9</f>
        <v>0</v>
      </c>
      <c r="D62" s="17" t="n">
        <f aca="false">Budget!C9</f>
        <v>0</v>
      </c>
      <c r="E62" s="17" t="n">
        <f aca="false">Budget!D9</f>
        <v>0</v>
      </c>
      <c r="F62" s="17" t="n">
        <f aca="false">Budget!E9</f>
        <v>0</v>
      </c>
      <c r="G62" s="17" t="n">
        <f aca="false">Budget!F9</f>
        <v>0</v>
      </c>
      <c r="H62" s="17" t="n">
        <f aca="false">Budget!G9</f>
        <v>0</v>
      </c>
      <c r="I62" s="17" t="n">
        <f aca="false">Budget!H9</f>
        <v>0</v>
      </c>
      <c r="J62" s="17" t="n">
        <f aca="false">Budget!I9</f>
        <v>0</v>
      </c>
      <c r="K62" s="17" t="n">
        <f aca="false">Budget!J9</f>
        <v>0</v>
      </c>
      <c r="L62" s="17" t="n">
        <f aca="false">Budget!K9</f>
        <v>0</v>
      </c>
      <c r="M62" s="17" t="n">
        <f aca="false">Budget!L9</f>
        <v>0</v>
      </c>
      <c r="N62" s="17" t="n">
        <f aca="false">Budget!M9</f>
        <v>0</v>
      </c>
      <c r="O62" s="28" t="n">
        <f aca="false">SUM(C62:N62)</f>
        <v>0</v>
      </c>
    </row>
    <row r="63" customFormat="false" ht="15" hidden="false" customHeight="false" outlineLevel="0" collapsed="false">
      <c r="A63" s="9" t="str">
        <f aca="false">Settings!$A$17</f>
        <v>Admin</v>
      </c>
      <c r="B63" s="9"/>
      <c r="C63" s="17" t="n">
        <f aca="false">Budget!B10</f>
        <v>0</v>
      </c>
      <c r="D63" s="17" t="n">
        <f aca="false">Budget!C10</f>
        <v>0</v>
      </c>
      <c r="E63" s="17" t="n">
        <f aca="false">Budget!D10</f>
        <v>0</v>
      </c>
      <c r="F63" s="17" t="n">
        <f aca="false">Budget!E10</f>
        <v>0</v>
      </c>
      <c r="G63" s="17" t="n">
        <f aca="false">Budget!F10</f>
        <v>0</v>
      </c>
      <c r="H63" s="17" t="n">
        <f aca="false">Budget!G10</f>
        <v>0</v>
      </c>
      <c r="I63" s="17" t="n">
        <f aca="false">Budget!H10</f>
        <v>0</v>
      </c>
      <c r="J63" s="17" t="n">
        <f aca="false">Budget!I10</f>
        <v>0</v>
      </c>
      <c r="K63" s="17" t="n">
        <f aca="false">Budget!J10</f>
        <v>0</v>
      </c>
      <c r="L63" s="17" t="n">
        <f aca="false">Budget!K10</f>
        <v>0</v>
      </c>
      <c r="M63" s="17" t="n">
        <f aca="false">Budget!L10</f>
        <v>0</v>
      </c>
      <c r="N63" s="17" t="n">
        <f aca="false">Budget!M10</f>
        <v>0</v>
      </c>
      <c r="O63" s="28" t="n">
        <f aca="false">SUM(C63:N63)</f>
        <v>0</v>
      </c>
    </row>
    <row r="64" customFormat="false" ht="15" hidden="false" customHeight="false" outlineLevel="0" collapsed="false">
      <c r="A64" s="9" t="str">
        <f aca="false">Settings!$A$18</f>
        <v>Unallocated</v>
      </c>
      <c r="B64" s="9"/>
      <c r="C64" s="17" t="n">
        <f aca="false">Budget!B11</f>
        <v>0</v>
      </c>
      <c r="D64" s="17" t="n">
        <f aca="false">Budget!C11</f>
        <v>0</v>
      </c>
      <c r="E64" s="17" t="n">
        <f aca="false">Budget!D11</f>
        <v>0</v>
      </c>
      <c r="F64" s="17" t="n">
        <f aca="false">Budget!E11</f>
        <v>0</v>
      </c>
      <c r="G64" s="17" t="n">
        <f aca="false">Budget!F11</f>
        <v>0</v>
      </c>
      <c r="H64" s="17" t="n">
        <f aca="false">Budget!G11</f>
        <v>0</v>
      </c>
      <c r="I64" s="17" t="n">
        <f aca="false">Budget!H11</f>
        <v>0</v>
      </c>
      <c r="J64" s="17" t="n">
        <f aca="false">Budget!I11</f>
        <v>0</v>
      </c>
      <c r="K64" s="17" t="n">
        <f aca="false">Budget!J11</f>
        <v>0</v>
      </c>
      <c r="L64" s="17" t="n">
        <f aca="false">Budget!K11</f>
        <v>0</v>
      </c>
      <c r="M64" s="17" t="n">
        <f aca="false">Budget!L11</f>
        <v>0</v>
      </c>
      <c r="N64" s="17" t="n">
        <f aca="false">Budget!M11</f>
        <v>0</v>
      </c>
      <c r="O64" s="28" t="n">
        <f aca="false">SUM(C64:N64)</f>
        <v>0</v>
      </c>
    </row>
    <row r="65" customFormat="false" ht="15" hidden="false" customHeight="false" outlineLevel="0" collapsed="false">
      <c r="A65" s="20" t="s">
        <v>55</v>
      </c>
      <c r="B65" s="29"/>
      <c r="C65" s="21" t="n">
        <f aca="false">SUM(C58:C64)</f>
        <v>0</v>
      </c>
      <c r="D65" s="21" t="n">
        <f aca="false">SUM(D58:D64)</f>
        <v>0</v>
      </c>
      <c r="E65" s="21" t="n">
        <f aca="false">SUM(E58:E64)</f>
        <v>0</v>
      </c>
      <c r="F65" s="21" t="n">
        <f aca="false">SUM(F58:F64)</f>
        <v>0</v>
      </c>
      <c r="G65" s="21" t="n">
        <f aca="false">SUM(G58:G64)</f>
        <v>0</v>
      </c>
      <c r="H65" s="21" t="n">
        <f aca="false">SUM(H58:H64)</f>
        <v>0</v>
      </c>
      <c r="I65" s="21" t="n">
        <f aca="false">SUM(I58:I64)</f>
        <v>0</v>
      </c>
      <c r="J65" s="21" t="n">
        <f aca="false">SUM(J58:J64)</f>
        <v>0</v>
      </c>
      <c r="K65" s="21" t="n">
        <f aca="false">SUM(K58:K64)</f>
        <v>0</v>
      </c>
      <c r="L65" s="21" t="n">
        <f aca="false">SUM(L58:L64)</f>
        <v>0</v>
      </c>
      <c r="M65" s="21" t="n">
        <f aca="false">SUM(M58:M64)</f>
        <v>0</v>
      </c>
      <c r="N65" s="21" t="n">
        <f aca="false">SUM(N58:N64)</f>
        <v>0</v>
      </c>
      <c r="O65" s="21" t="n">
        <f aca="false">SUM(O58:O64)</f>
        <v>0</v>
      </c>
    </row>
    <row r="67" customFormat="false" ht="15" hidden="false" customHeight="false" outlineLevel="0" collapsed="false">
      <c r="A67" s="7" t="s">
        <v>39</v>
      </c>
      <c r="B67" s="27" t="s">
        <v>94</v>
      </c>
      <c r="C67" s="8"/>
      <c r="D67" s="8"/>
      <c r="E67" s="8"/>
      <c r="F67" s="8"/>
      <c r="G67" s="8"/>
      <c r="H67" s="8"/>
      <c r="I67" s="8"/>
      <c r="J67" s="8"/>
      <c r="K67" s="8"/>
      <c r="L67" s="8"/>
      <c r="M67" s="8"/>
      <c r="N67" s="8"/>
      <c r="O67" s="8"/>
    </row>
    <row r="68" customFormat="false" ht="15" hidden="false" customHeight="false" outlineLevel="0" collapsed="false">
      <c r="A68" s="9" t="str">
        <f aca="false">Settings!$A$12</f>
        <v>Onsite</v>
      </c>
      <c r="B68" s="9"/>
      <c r="C68" s="17" t="n">
        <f aca="false">C38-C58</f>
        <v>0</v>
      </c>
      <c r="D68" s="17" t="n">
        <f aca="false">D38-D58</f>
        <v>0</v>
      </c>
      <c r="E68" s="17" t="n">
        <f aca="false">E38-E58</f>
        <v>0</v>
      </c>
      <c r="F68" s="17" t="n">
        <f aca="false">F38-F58</f>
        <v>17000</v>
      </c>
      <c r="G68" s="17" t="n">
        <f aca="false">G38-G58</f>
        <v>0</v>
      </c>
      <c r="H68" s="17" t="n">
        <f aca="false">H38-H58</f>
        <v>0</v>
      </c>
      <c r="I68" s="17" t="n">
        <f aca="false">I38-I58</f>
        <v>0</v>
      </c>
      <c r="J68" s="17" t="n">
        <f aca="false">J38-J58</f>
        <v>52500</v>
      </c>
      <c r="K68" s="17" t="n">
        <f aca="false">K38-K58</f>
        <v>0</v>
      </c>
      <c r="L68" s="17" t="n">
        <f aca="false">L38-L58</f>
        <v>0</v>
      </c>
      <c r="M68" s="17" t="n">
        <f aca="false">M38-M58</f>
        <v>0</v>
      </c>
      <c r="N68" s="17" t="n">
        <f aca="false">N38-N58</f>
        <v>0</v>
      </c>
      <c r="O68" s="28" t="n">
        <f aca="false">SUM(C68:N68)</f>
        <v>69500</v>
      </c>
    </row>
    <row r="69" customFormat="false" ht="15" hidden="false" customHeight="false" outlineLevel="0" collapsed="false">
      <c r="A69" s="9" t="str">
        <f aca="false">Settings!$A$13</f>
        <v>Production</v>
      </c>
      <c r="B69" s="9"/>
      <c r="C69" s="17" t="n">
        <f aca="false">C39-C59</f>
        <v>0</v>
      </c>
      <c r="D69" s="17" t="n">
        <f aca="false">D39-D59</f>
        <v>0</v>
      </c>
      <c r="E69" s="17" t="n">
        <f aca="false">E39-E59</f>
        <v>0</v>
      </c>
      <c r="F69" s="17" t="n">
        <f aca="false">F39-F59</f>
        <v>173398.2</v>
      </c>
      <c r="G69" s="17" t="n">
        <f aca="false">G39-G59</f>
        <v>74873.6</v>
      </c>
      <c r="H69" s="17" t="n">
        <f aca="false">H39-H59</f>
        <v>24151.7</v>
      </c>
      <c r="I69" s="17" t="n">
        <f aca="false">I39-I59</f>
        <v>224</v>
      </c>
      <c r="J69" s="17" t="n">
        <f aca="false">J39-J59</f>
        <v>1600</v>
      </c>
      <c r="K69" s="17" t="n">
        <f aca="false">K39-K59</f>
        <v>0</v>
      </c>
      <c r="L69" s="17" t="n">
        <f aca="false">L39-L59</f>
        <v>224</v>
      </c>
      <c r="M69" s="17" t="n">
        <f aca="false">M39-M59</f>
        <v>427633</v>
      </c>
      <c r="N69" s="17" t="n">
        <f aca="false">N39-N59</f>
        <v>0</v>
      </c>
      <c r="O69" s="28" t="n">
        <f aca="false">SUM(C69:N69)</f>
        <v>702104.5</v>
      </c>
    </row>
    <row r="70" customFormat="false" ht="15" hidden="false" customHeight="false" outlineLevel="0" collapsed="false">
      <c r="A70" s="9" t="str">
        <f aca="false">Settings!$A$14</f>
        <v>Video</v>
      </c>
      <c r="B70" s="9"/>
      <c r="C70" s="17" t="n">
        <f aca="false">C40-C60</f>
        <v>0</v>
      </c>
      <c r="D70" s="17" t="n">
        <f aca="false">D40-D60</f>
        <v>0</v>
      </c>
      <c r="E70" s="17" t="n">
        <f aca="false">E40-E60</f>
        <v>0</v>
      </c>
      <c r="F70" s="17" t="n">
        <f aca="false">F40-F60</f>
        <v>1255.5</v>
      </c>
      <c r="G70" s="17" t="n">
        <f aca="false">G40-G60</f>
        <v>11342</v>
      </c>
      <c r="H70" s="17" t="n">
        <f aca="false">H40-H60</f>
        <v>0</v>
      </c>
      <c r="I70" s="17" t="n">
        <f aca="false">I40-I60</f>
        <v>0</v>
      </c>
      <c r="J70" s="17" t="n">
        <f aca="false">J40-J60</f>
        <v>0</v>
      </c>
      <c r="K70" s="17" t="n">
        <f aca="false">K40-K60</f>
        <v>0</v>
      </c>
      <c r="L70" s="17" t="n">
        <f aca="false">L40-L60</f>
        <v>0</v>
      </c>
      <c r="M70" s="17" t="n">
        <f aca="false">M40-M60</f>
        <v>0</v>
      </c>
      <c r="N70" s="17" t="n">
        <f aca="false">N40-N60</f>
        <v>0</v>
      </c>
      <c r="O70" s="28" t="n">
        <f aca="false">SUM(C70:N70)</f>
        <v>12597.5</v>
      </c>
    </row>
    <row r="71" customFormat="false" ht="15" hidden="false" customHeight="false" outlineLevel="0" collapsed="false">
      <c r="A71" s="9" t="str">
        <f aca="false">Settings!$A$15</f>
        <v>Consulting</v>
      </c>
      <c r="B71" s="9"/>
      <c r="C71" s="17" t="n">
        <f aca="false">C41-C61</f>
        <v>0</v>
      </c>
      <c r="D71" s="17" t="n">
        <f aca="false">D41-D61</f>
        <v>0</v>
      </c>
      <c r="E71" s="17" t="n">
        <f aca="false">E41-E61</f>
        <v>0</v>
      </c>
      <c r="F71" s="17" t="n">
        <f aca="false">F41-F61</f>
        <v>0</v>
      </c>
      <c r="G71" s="17" t="n">
        <f aca="false">G41-G61</f>
        <v>15000</v>
      </c>
      <c r="H71" s="17" t="n">
        <f aca="false">H41-H61</f>
        <v>0</v>
      </c>
      <c r="I71" s="17" t="n">
        <f aca="false">I41-I61</f>
        <v>0</v>
      </c>
      <c r="J71" s="17" t="n">
        <f aca="false">J41-J61</f>
        <v>0</v>
      </c>
      <c r="K71" s="17" t="n">
        <f aca="false">K41-K61</f>
        <v>0</v>
      </c>
      <c r="L71" s="17" t="n">
        <f aca="false">L41-L61</f>
        <v>0</v>
      </c>
      <c r="M71" s="17" t="n">
        <f aca="false">M41-M61</f>
        <v>0</v>
      </c>
      <c r="N71" s="17" t="n">
        <f aca="false">N41-N61</f>
        <v>0</v>
      </c>
      <c r="O71" s="28" t="n">
        <f aca="false">SUM(C71:N71)</f>
        <v>15000</v>
      </c>
    </row>
    <row r="72" customFormat="false" ht="15" hidden="false" customHeight="false" outlineLevel="0" collapsed="false">
      <c r="A72" s="9" t="str">
        <f aca="false">Settings!$A$16</f>
        <v>Integration</v>
      </c>
      <c r="B72" s="9"/>
      <c r="C72" s="17" t="n">
        <f aca="false">C42-C62</f>
        <v>0</v>
      </c>
      <c r="D72" s="17" t="n">
        <f aca="false">D42-D62</f>
        <v>0</v>
      </c>
      <c r="E72" s="17" t="n">
        <f aca="false">E42-E62</f>
        <v>0</v>
      </c>
      <c r="F72" s="17" t="n">
        <f aca="false">F42-F62</f>
        <v>52346.7</v>
      </c>
      <c r="G72" s="17" t="n">
        <f aca="false">G42-G62</f>
        <v>1653</v>
      </c>
      <c r="H72" s="17" t="n">
        <f aca="false">H42-H62</f>
        <v>0</v>
      </c>
      <c r="I72" s="17" t="n">
        <f aca="false">I42-I62</f>
        <v>0</v>
      </c>
      <c r="J72" s="17" t="n">
        <f aca="false">J42-J62</f>
        <v>0</v>
      </c>
      <c r="K72" s="17" t="n">
        <f aca="false">K42-K62</f>
        <v>0</v>
      </c>
      <c r="L72" s="17" t="n">
        <f aca="false">L42-L62</f>
        <v>0</v>
      </c>
      <c r="M72" s="17" t="n">
        <f aca="false">M42-M62</f>
        <v>0</v>
      </c>
      <c r="N72" s="17" t="n">
        <f aca="false">N42-N62</f>
        <v>0</v>
      </c>
      <c r="O72" s="28" t="n">
        <f aca="false">SUM(C72:N72)</f>
        <v>53999.7</v>
      </c>
    </row>
    <row r="73" customFormat="false" ht="15" hidden="false" customHeight="false" outlineLevel="0" collapsed="false">
      <c r="A73" s="9" t="str">
        <f aca="false">Settings!$A$17</f>
        <v>Admin</v>
      </c>
      <c r="B73" s="9"/>
      <c r="C73" s="17" t="n">
        <f aca="false">C43-C63</f>
        <v>0</v>
      </c>
      <c r="D73" s="17" t="n">
        <f aca="false">D43-D63</f>
        <v>0</v>
      </c>
      <c r="E73" s="17" t="n">
        <f aca="false">E43-E63</f>
        <v>0</v>
      </c>
      <c r="F73" s="17" t="n">
        <f aca="false">F43-F63</f>
        <v>0</v>
      </c>
      <c r="G73" s="17" t="n">
        <f aca="false">G43-G63</f>
        <v>0</v>
      </c>
      <c r="H73" s="17" t="n">
        <f aca="false">H43-H63</f>
        <v>0</v>
      </c>
      <c r="I73" s="17" t="n">
        <f aca="false">I43-I63</f>
        <v>0</v>
      </c>
      <c r="J73" s="17" t="n">
        <f aca="false">J43-J63</f>
        <v>0</v>
      </c>
      <c r="K73" s="17" t="n">
        <f aca="false">K43-K63</f>
        <v>0</v>
      </c>
      <c r="L73" s="17" t="n">
        <f aca="false">L43-L63</f>
        <v>0</v>
      </c>
      <c r="M73" s="17" t="n">
        <f aca="false">M43-M63</f>
        <v>0</v>
      </c>
      <c r="N73" s="17" t="n">
        <f aca="false">N43-N63</f>
        <v>0</v>
      </c>
      <c r="O73" s="28" t="n">
        <f aca="false">SUM(C73:N73)</f>
        <v>0</v>
      </c>
    </row>
    <row r="74" customFormat="false" ht="15" hidden="false" customHeight="false" outlineLevel="0" collapsed="false">
      <c r="A74" s="9" t="str">
        <f aca="false">Settings!$A$18</f>
        <v>Unallocated</v>
      </c>
      <c r="B74" s="9"/>
      <c r="C74" s="17" t="n">
        <f aca="false">C44-C64</f>
        <v>0</v>
      </c>
      <c r="D74" s="17" t="n">
        <f aca="false">D44-D64</f>
        <v>0</v>
      </c>
      <c r="E74" s="17" t="n">
        <f aca="false">E44-E64</f>
        <v>0</v>
      </c>
      <c r="F74" s="17" t="n">
        <f aca="false">F44-F64</f>
        <v>0</v>
      </c>
      <c r="G74" s="17" t="n">
        <f aca="false">G44-G64</f>
        <v>0</v>
      </c>
      <c r="H74" s="17" t="n">
        <f aca="false">H44-H64</f>
        <v>0</v>
      </c>
      <c r="I74" s="17" t="n">
        <f aca="false">I44-I64</f>
        <v>0</v>
      </c>
      <c r="J74" s="17" t="n">
        <f aca="false">J44-J64</f>
        <v>0</v>
      </c>
      <c r="K74" s="17" t="n">
        <f aca="false">K44-K64</f>
        <v>0</v>
      </c>
      <c r="L74" s="17" t="n">
        <f aca="false">L44-L64</f>
        <v>0</v>
      </c>
      <c r="M74" s="17" t="n">
        <f aca="false">M44-M64</f>
        <v>0</v>
      </c>
      <c r="N74" s="17" t="n">
        <f aca="false">N44-N64</f>
        <v>0</v>
      </c>
      <c r="O74" s="28" t="n">
        <f aca="false">SUM(C74:N74)</f>
        <v>0</v>
      </c>
    </row>
    <row r="75" customFormat="false" ht="15" hidden="false" customHeight="false" outlineLevel="0" collapsed="false">
      <c r="A75" s="20" t="s">
        <v>55</v>
      </c>
      <c r="B75" s="29"/>
      <c r="C75" s="21" t="n">
        <f aca="false">SUM(C68:C74)</f>
        <v>0</v>
      </c>
      <c r="D75" s="21" t="n">
        <f aca="false">SUM(D68:D74)</f>
        <v>0</v>
      </c>
      <c r="E75" s="21" t="n">
        <f aca="false">SUM(E68:E74)</f>
        <v>0</v>
      </c>
      <c r="F75" s="21" t="n">
        <f aca="false">SUM(F68:F74)</f>
        <v>244000.4</v>
      </c>
      <c r="G75" s="21" t="n">
        <f aca="false">SUM(G68:G74)</f>
        <v>102868.6</v>
      </c>
      <c r="H75" s="21" t="n">
        <f aca="false">SUM(H68:H74)</f>
        <v>24151.7</v>
      </c>
      <c r="I75" s="21" t="n">
        <f aca="false">SUM(I68:I74)</f>
        <v>224</v>
      </c>
      <c r="J75" s="21" t="n">
        <f aca="false">SUM(J68:J74)</f>
        <v>54100</v>
      </c>
      <c r="K75" s="21" t="n">
        <f aca="false">SUM(K68:K74)</f>
        <v>0</v>
      </c>
      <c r="L75" s="21" t="n">
        <f aca="false">SUM(L68:L74)</f>
        <v>224</v>
      </c>
      <c r="M75" s="21" t="n">
        <f aca="false">SUM(M68:M74)</f>
        <v>427633</v>
      </c>
      <c r="N75" s="21" t="n">
        <f aca="false">SUM(N68:N74)</f>
        <v>0</v>
      </c>
      <c r="O75" s="21" t="n">
        <f aca="false">SUM(O68:O74)</f>
        <v>853201.7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4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4"/>
    <col collapsed="false" customWidth="true" hidden="false" outlineLevel="0" max="17" min="3" style="0" width="13"/>
    <col collapsed="false" customWidth="true" hidden="true" outlineLevel="0" max="18" min="18" style="0" width="13"/>
  </cols>
  <sheetData>
    <row r="1" customFormat="false" ht="19.7" hidden="false" customHeight="false" outlineLevel="0" collapsed="false">
      <c r="A1" s="1" t="s">
        <v>95</v>
      </c>
    </row>
    <row r="2" customFormat="false" ht="15" hidden="false" customHeight="false" outlineLevel="0" collapsed="false">
      <c r="A2" s="4" t="s">
        <v>96</v>
      </c>
    </row>
    <row r="4" customFormat="false" ht="45" hidden="false" customHeight="true" outlineLevel="0" collapsed="false">
      <c r="A4" s="14" t="s">
        <v>97</v>
      </c>
      <c r="B4" s="14" t="s">
        <v>58</v>
      </c>
      <c r="C4" s="14" t="s">
        <v>98</v>
      </c>
      <c r="D4" s="14" t="s">
        <v>99</v>
      </c>
      <c r="E4" s="14" t="s">
        <v>100</v>
      </c>
      <c r="F4" s="14" t="s">
        <v>101</v>
      </c>
      <c r="G4" s="14" t="s">
        <v>59</v>
      </c>
      <c r="H4" s="14" t="s">
        <v>60</v>
      </c>
      <c r="I4" s="14" t="s">
        <v>102</v>
      </c>
      <c r="J4" s="14" t="s">
        <v>62</v>
      </c>
      <c r="K4" s="14" t="s">
        <v>103</v>
      </c>
      <c r="L4" s="14" t="s">
        <v>104</v>
      </c>
      <c r="M4" s="14" t="s">
        <v>105</v>
      </c>
      <c r="N4" s="14" t="s">
        <v>106</v>
      </c>
      <c r="O4" s="14" t="s">
        <v>107</v>
      </c>
      <c r="P4" s="14" t="s">
        <v>108</v>
      </c>
      <c r="Q4" s="14" t="s">
        <v>109</v>
      </c>
      <c r="R4" s="14" t="s">
        <v>110</v>
      </c>
    </row>
    <row r="5" customFormat="false" ht="15" hidden="false" customHeight="false" outlineLevel="0" collapsed="false">
      <c r="A5" s="9" t="n">
        <v>1</v>
      </c>
      <c r="B5" s="9" t="str">
        <f aca="false">IFERROR(INDEX('Zoho Dump'!$N$8:$N$3007,MATCH(A5,'Zoho Dump'!$AB$8:$AB$3007,0)),"")</f>
        <v>Deloitte Australia</v>
      </c>
      <c r="C5" s="17" t="n">
        <f aca="false">IF($B5="",0,SUMIFS('Zoho Dump'!$Q$8:$Q$3007,'Zoho Dump'!$N$8:$N$3007,$B5,'Zoho Dump'!$T$8:$T$3007,"Delivered",'Zoho Dump'!$R$8:$R$3007,"&gt;="&amp;Settings!$B$4))</f>
        <v>164246</v>
      </c>
      <c r="D5" s="17" t="n">
        <f aca="false">IF($B5="",0,SUMIFS('Zoho Dump'!$X$8:$X$3007,'Zoho Dump'!$N$8:$N$3007,$B5,'Zoho Dump'!$T$8:$T$3007,"Backlog")+SUMIFS(Adjustments!$K$8:$K$207,Adjustments!$B$8:$B$207,$B5,Adjustments!$H$8:$H$207,"Backlog"))</f>
        <v>0</v>
      </c>
      <c r="E5" s="17" t="n">
        <f aca="false">IF($B5="",0,SUMIFS('Zoho Dump'!$Y$8:$Y$3007,'Zoho Dump'!$N$8:$N$3007,$B5,'Zoho Dump'!$T$8:$T$3007,"Pipeline")+SUMIFS(Adjustments!$L$8:$L$207,Adjustments!$B$8:$B$207,$B5,Adjustments!$H$8:$H$207,"Pipeline")+SUMIFS('Zoho Dump'!$Y$8:$Y$3007,'Zoho Dump'!$N$8:$N$3007,$B5,'Zoho Dump'!$T$8:$T$3007,"Overdue")+SUMIFS(Adjustments!$L$8:$L$207,Adjustments!$B$8:$B$207,$B5,Adjustments!$H$8:$H$207,"Overdue"))</f>
        <v>76025</v>
      </c>
      <c r="F5" s="17" t="n">
        <f aca="false">IF($B5="",0,SUMIFS('Zoho Dump'!$X$8:$X$3007,'Zoho Dump'!$N$8:$N$3007,$B5,'Zoho Dump'!$T$8:$T$3007,"Pipeline")+SUMIFS(Adjustments!$K$8:$K$207,Adjustments!$B$8:$B$207,$B5,Adjustments!$H$8:$H$207,"Pipeline")+SUMIFS('Zoho Dump'!$X$8:$X$3007,'Zoho Dump'!$N$8:$N$3007,$B5,'Zoho Dump'!$T$8:$T$3007,"Overdue")+SUMIFS(Adjustments!$K$8:$K$207,Adjustments!$B$8:$B$207,$B5,Adjustments!$H$8:$H$207,"Overdue"))</f>
        <v>53012.5</v>
      </c>
      <c r="G5" s="17" t="n">
        <f aca="false">D5+F5</f>
        <v>53012.5</v>
      </c>
      <c r="H5" s="18" t="n">
        <f aca="false">IF(SUM($G$5:$G$404)=0,0,G5/SUM($G$5:$G$404))</f>
        <v>0.0621336080319578</v>
      </c>
      <c r="I5" s="17" t="n">
        <f aca="false">IF($B5="",0,SUMIFS('Zoho Dump'!$Q$8:$Q$3007,'Zoho Dump'!$N$8:$N$3007,$B5,'Zoho Dump'!$T$8:$T$3007,"Lost",'Zoho Dump'!$R$8:$R$3007,"&gt;="&amp;Settings!$B$4))</f>
        <v>1426</v>
      </c>
      <c r="J5" s="9" t="str">
        <f aca="false">IF($B5="","",IF(COUNTIF(Dashboard!$C$13:$C$22,$B5)&gt;0,"Yes",""))</f>
        <v/>
      </c>
      <c r="K5" s="17" t="n">
        <f aca="false">IF($B5="",0,SUMIFS('Zoho Dump'!$X$8:$X$3007,'Zoho Dump'!$N$8:$N$3007,$B5,'Zoho Dump'!$P$8:$P$3007,Settings!$A$12)+SUMIFS(Adjustments!$K$8:$K$207,Adjustments!$B$8:$B$207,$B5,Adjustments!$A$8:$A$207,Settings!$A$12))</f>
        <v>52500</v>
      </c>
      <c r="L5" s="17" t="n">
        <f aca="false">IF($B5="",0,SUMIFS('Zoho Dump'!$X$8:$X$3007,'Zoho Dump'!$N$8:$N$3007,$B5,'Zoho Dump'!$P$8:$P$3007,Settings!$A$13)+SUMIFS(Adjustments!$K$8:$K$207,Adjustments!$B$8:$B$207,$B5,Adjustments!$A$8:$A$207,Settings!$A$13))</f>
        <v>0</v>
      </c>
      <c r="M5" s="17" t="n">
        <f aca="false">IF($B5="",0,SUMIFS('Zoho Dump'!$X$8:$X$3007,'Zoho Dump'!$N$8:$N$3007,$B5,'Zoho Dump'!$P$8:$P$3007,Settings!$A$14)+SUMIFS(Adjustments!$K$8:$K$207,Adjustments!$B$8:$B$207,$B5,Adjustments!$A$8:$A$207,Settings!$A$14))</f>
        <v>0</v>
      </c>
      <c r="N5" s="17" t="n">
        <f aca="false">IF($B5="",0,SUMIFS('Zoho Dump'!$X$8:$X$3007,'Zoho Dump'!$N$8:$N$3007,$B5,'Zoho Dump'!$P$8:$P$3007,Settings!$A$15)+SUMIFS(Adjustments!$K$8:$K$207,Adjustments!$B$8:$B$207,$B5,Adjustments!$A$8:$A$207,Settings!$A$15))</f>
        <v>0</v>
      </c>
      <c r="O5" s="17" t="n">
        <f aca="false">IF($B5="",0,SUMIFS('Zoho Dump'!$X$8:$X$3007,'Zoho Dump'!$N$8:$N$3007,$B5,'Zoho Dump'!$P$8:$P$3007,Settings!$A$16)+SUMIFS(Adjustments!$K$8:$K$207,Adjustments!$B$8:$B$207,$B5,Adjustments!$A$8:$A$207,Settings!$A$16))</f>
        <v>512.5</v>
      </c>
      <c r="P5" s="17" t="n">
        <f aca="false">IF($B5="",0,SUMIFS('Zoho Dump'!$X$8:$X$3007,'Zoho Dump'!$N$8:$N$3007,$B5,'Zoho Dump'!$P$8:$P$3007,Settings!$A$17)+SUMIFS(Adjustments!$K$8:$K$207,Adjustments!$B$8:$B$207,$B5,Adjustments!$A$8:$A$207,Settings!$A$17))</f>
        <v>0</v>
      </c>
      <c r="Q5" s="17" t="n">
        <f aca="false">IF($B5="",0,SUMIFS('Zoho Dump'!$X$8:$X$3007,'Zoho Dump'!$N$8:$N$3007,$B5,'Zoho Dump'!$P$8:$P$3007,Settings!$A$18)+SUMIFS(Adjustments!$K$8:$K$207,Adjustments!$B$8:$B$207,$B5,Adjustments!$A$8:$A$207,Settings!$A$18))</f>
        <v>0</v>
      </c>
      <c r="R5" s="30" t="n">
        <f aca="false">IF(G5&gt;0,G5+A5/10000000,"")</f>
        <v>53012.5000001</v>
      </c>
    </row>
    <row r="6" customFormat="false" ht="15" hidden="false" customHeight="false" outlineLevel="0" collapsed="false">
      <c r="A6" s="9" t="n">
        <v>2</v>
      </c>
      <c r="B6" s="9" t="str">
        <f aca="false">IFERROR(INDEX('Zoho Dump'!$N$8:$N$3007,MATCH(A6,'Zoho Dump'!$AB$8:$AB$3007,0)),"")</f>
        <v>Investa</v>
      </c>
      <c r="C6" s="17" t="n">
        <f aca="false">IF($B6="",0,SUMIFS('Zoho Dump'!$Q$8:$Q$3007,'Zoho Dump'!$N$8:$N$3007,$B6,'Zoho Dump'!$T$8:$T$3007,"Delivered",'Zoho Dump'!$R$8:$R$3007,"&gt;="&amp;Settings!$B$4))</f>
        <v>0</v>
      </c>
      <c r="D6" s="17" t="n">
        <f aca="false">IF($B6="",0,SUMIFS('Zoho Dump'!$X$8:$X$3007,'Zoho Dump'!$N$8:$N$3007,$B6,'Zoho Dump'!$T$8:$T$3007,"Backlog")+SUMIFS(Adjustments!$K$8:$K$207,Adjustments!$B$8:$B$207,$B6,Adjustments!$H$8:$H$207,"Backlog"))</f>
        <v>0</v>
      </c>
      <c r="E6" s="17" t="n">
        <f aca="false">IF($B6="",0,SUMIFS('Zoho Dump'!$Y$8:$Y$3007,'Zoho Dump'!$N$8:$N$3007,$B6,'Zoho Dump'!$T$8:$T$3007,"Pipeline")+SUMIFS(Adjustments!$L$8:$L$207,Adjustments!$B$8:$B$207,$B6,Adjustments!$H$8:$H$207,"Pipeline")+SUMIFS('Zoho Dump'!$Y$8:$Y$3007,'Zoho Dump'!$N$8:$N$3007,$B6,'Zoho Dump'!$T$8:$T$3007,"Overdue")+SUMIFS(Adjustments!$L$8:$L$207,Adjustments!$B$8:$B$207,$B6,Adjustments!$H$8:$H$207,"Overdue"))</f>
        <v>2400</v>
      </c>
      <c r="F6" s="17" t="n">
        <f aca="false">IF($B6="",0,SUMIFS('Zoho Dump'!$X$8:$X$3007,'Zoho Dump'!$N$8:$N$3007,$B6,'Zoho Dump'!$T$8:$T$3007,"Pipeline")+SUMIFS(Adjustments!$K$8:$K$207,Adjustments!$B$8:$B$207,$B6,Adjustments!$H$8:$H$207,"Pipeline")+SUMIFS('Zoho Dump'!$X$8:$X$3007,'Zoho Dump'!$N$8:$N$3007,$B6,'Zoho Dump'!$T$8:$T$3007,"Overdue")+SUMIFS(Adjustments!$K$8:$K$207,Adjustments!$B$8:$B$207,$B6,Adjustments!$H$8:$H$207,"Overdue"))</f>
        <v>1200</v>
      </c>
      <c r="G6" s="17" t="n">
        <f aca="false">D6+F6</f>
        <v>1200</v>
      </c>
      <c r="H6" s="18" t="n">
        <f aca="false">IF(SUM($G$5:$G$404)=0,0,G6/SUM($G$5:$G$404))</f>
        <v>0.00140646695851637</v>
      </c>
      <c r="I6" s="17" t="n">
        <f aca="false">IF($B6="",0,SUMIFS('Zoho Dump'!$Q$8:$Q$3007,'Zoho Dump'!$N$8:$N$3007,$B6,'Zoho Dump'!$T$8:$T$3007,"Lost",'Zoho Dump'!$R$8:$R$3007,"&gt;="&amp;Settings!$B$4))</f>
        <v>0</v>
      </c>
      <c r="J6" s="9" t="str">
        <f aca="false">IF($B6="","",IF(COUNTIF(Dashboard!$C$13:$C$22,$B6)&gt;0,"Yes",""))</f>
        <v/>
      </c>
      <c r="K6" s="17" t="n">
        <f aca="false">IF($B6="",0,SUMIFS('Zoho Dump'!$X$8:$X$3007,'Zoho Dump'!$N$8:$N$3007,$B6,'Zoho Dump'!$P$8:$P$3007,Settings!$A$12)+SUMIFS(Adjustments!$K$8:$K$207,Adjustments!$B$8:$B$207,$B6,Adjustments!$A$8:$A$207,Settings!$A$12))</f>
        <v>0</v>
      </c>
      <c r="L6" s="17" t="n">
        <f aca="false">IF($B6="",0,SUMIFS('Zoho Dump'!$X$8:$X$3007,'Zoho Dump'!$N$8:$N$3007,$B6,'Zoho Dump'!$P$8:$P$3007,Settings!$A$13)+SUMIFS(Adjustments!$K$8:$K$207,Adjustments!$B$8:$B$207,$B6,Adjustments!$A$8:$A$207,Settings!$A$13))</f>
        <v>1200</v>
      </c>
      <c r="M6" s="17" t="n">
        <f aca="false">IF($B6="",0,SUMIFS('Zoho Dump'!$X$8:$X$3007,'Zoho Dump'!$N$8:$N$3007,$B6,'Zoho Dump'!$P$8:$P$3007,Settings!$A$14)+SUMIFS(Adjustments!$K$8:$K$207,Adjustments!$B$8:$B$207,$B6,Adjustments!$A$8:$A$207,Settings!$A$14))</f>
        <v>0</v>
      </c>
      <c r="N6" s="17" t="n">
        <f aca="false">IF($B6="",0,SUMIFS('Zoho Dump'!$X$8:$X$3007,'Zoho Dump'!$N$8:$N$3007,$B6,'Zoho Dump'!$P$8:$P$3007,Settings!$A$15)+SUMIFS(Adjustments!$K$8:$K$207,Adjustments!$B$8:$B$207,$B6,Adjustments!$A$8:$A$207,Settings!$A$15))</f>
        <v>0</v>
      </c>
      <c r="O6" s="17" t="n">
        <f aca="false">IF($B6="",0,SUMIFS('Zoho Dump'!$X$8:$X$3007,'Zoho Dump'!$N$8:$N$3007,$B6,'Zoho Dump'!$P$8:$P$3007,Settings!$A$16)+SUMIFS(Adjustments!$K$8:$K$207,Adjustments!$B$8:$B$207,$B6,Adjustments!$A$8:$A$207,Settings!$A$16))</f>
        <v>0</v>
      </c>
      <c r="P6" s="17" t="n">
        <f aca="false">IF($B6="",0,SUMIFS('Zoho Dump'!$X$8:$X$3007,'Zoho Dump'!$N$8:$N$3007,$B6,'Zoho Dump'!$P$8:$P$3007,Settings!$A$17)+SUMIFS(Adjustments!$K$8:$K$207,Adjustments!$B$8:$B$207,$B6,Adjustments!$A$8:$A$207,Settings!$A$17))</f>
        <v>0</v>
      </c>
      <c r="Q6" s="17" t="n">
        <f aca="false">IF($B6="",0,SUMIFS('Zoho Dump'!$X$8:$X$3007,'Zoho Dump'!$N$8:$N$3007,$B6,'Zoho Dump'!$P$8:$P$3007,Settings!$A$18)+SUMIFS(Adjustments!$K$8:$K$207,Adjustments!$B$8:$B$207,$B6,Adjustments!$A$8:$A$207,Settings!$A$18))</f>
        <v>0</v>
      </c>
      <c r="R6" s="30" t="n">
        <f aca="false">IF(G6&gt;0,G6+A6/10000000,"")</f>
        <v>1200.0000002</v>
      </c>
    </row>
    <row r="7" customFormat="false" ht="15" hidden="false" customHeight="false" outlineLevel="0" collapsed="false">
      <c r="A7" s="9" t="n">
        <v>3</v>
      </c>
      <c r="B7" s="9" t="str">
        <f aca="false">IFERROR(INDEX('Zoho Dump'!$N$8:$N$3007,MATCH(A7,'Zoho Dump'!$AB$8:$AB$3007,0)),"")</f>
        <v>Stryker</v>
      </c>
      <c r="C7" s="17" t="n">
        <f aca="false">IF($B7="",0,SUMIFS('Zoho Dump'!$Q$8:$Q$3007,'Zoho Dump'!$N$8:$N$3007,$B7,'Zoho Dump'!$T$8:$T$3007,"Delivered",'Zoho Dump'!$R$8:$R$3007,"&gt;="&amp;Settings!$B$4))</f>
        <v>0</v>
      </c>
      <c r="D7" s="17" t="n">
        <f aca="false">IF($B7="",0,SUMIFS('Zoho Dump'!$X$8:$X$3007,'Zoho Dump'!$N$8:$N$3007,$B7,'Zoho Dump'!$T$8:$T$3007,"Backlog")+SUMIFS(Adjustments!$K$8:$K$207,Adjustments!$B$8:$B$207,$B7,Adjustments!$H$8:$H$207,"Backlog"))</f>
        <v>0</v>
      </c>
      <c r="E7" s="17" t="n">
        <f aca="false">IF($B7="",0,SUMIFS('Zoho Dump'!$Y$8:$Y$3007,'Zoho Dump'!$N$8:$N$3007,$B7,'Zoho Dump'!$T$8:$T$3007,"Pipeline")+SUMIFS(Adjustments!$L$8:$L$207,Adjustments!$B$8:$B$207,$B7,Adjustments!$H$8:$H$207,"Pipeline")+SUMIFS('Zoho Dump'!$Y$8:$Y$3007,'Zoho Dump'!$N$8:$N$3007,$B7,'Zoho Dump'!$T$8:$T$3007,"Overdue")+SUMIFS(Adjustments!$L$8:$L$207,Adjustments!$B$8:$B$207,$B7,Adjustments!$H$8:$H$207,"Overdue"))</f>
        <v>34068</v>
      </c>
      <c r="F7" s="17" t="n">
        <f aca="false">IF($B7="",0,SUMIFS('Zoho Dump'!$X$8:$X$3007,'Zoho Dump'!$N$8:$N$3007,$B7,'Zoho Dump'!$T$8:$T$3007,"Pipeline")+SUMIFS(Adjustments!$K$8:$K$207,Adjustments!$B$8:$B$207,$B7,Adjustments!$H$8:$H$207,"Pipeline")+SUMIFS('Zoho Dump'!$X$8:$X$3007,'Zoho Dump'!$N$8:$N$3007,$B7,'Zoho Dump'!$T$8:$T$3007,"Overdue")+SUMIFS(Adjustments!$K$8:$K$207,Adjustments!$B$8:$B$207,$B7,Adjustments!$H$8:$H$207,"Overdue"))</f>
        <v>17034</v>
      </c>
      <c r="G7" s="17" t="n">
        <f aca="false">D7+F7</f>
        <v>17034</v>
      </c>
      <c r="H7" s="18" t="n">
        <f aca="false">IF(SUM($G$5:$G$404)=0,0,G7/SUM($G$5:$G$404))</f>
        <v>0.0199647984761399</v>
      </c>
      <c r="I7" s="17" t="n">
        <f aca="false">IF($B7="",0,SUMIFS('Zoho Dump'!$Q$8:$Q$3007,'Zoho Dump'!$N$8:$N$3007,$B7,'Zoho Dump'!$T$8:$T$3007,"Lost",'Zoho Dump'!$R$8:$R$3007,"&gt;="&amp;Settings!$B$4))</f>
        <v>0</v>
      </c>
      <c r="J7" s="9" t="str">
        <f aca="false">IF($B7="","",IF(COUNTIF(Dashboard!$C$13:$C$22,$B7)&gt;0,"Yes",""))</f>
        <v/>
      </c>
      <c r="K7" s="17" t="n">
        <f aca="false">IF($B7="",0,SUMIFS('Zoho Dump'!$X$8:$X$3007,'Zoho Dump'!$N$8:$N$3007,$B7,'Zoho Dump'!$P$8:$P$3007,Settings!$A$12)+SUMIFS(Adjustments!$K$8:$K$207,Adjustments!$B$8:$B$207,$B7,Adjustments!$A$8:$A$207,Settings!$A$12))</f>
        <v>0</v>
      </c>
      <c r="L7" s="17" t="n">
        <f aca="false">IF($B7="",0,SUMIFS('Zoho Dump'!$X$8:$X$3007,'Zoho Dump'!$N$8:$N$3007,$B7,'Zoho Dump'!$P$8:$P$3007,Settings!$A$13)+SUMIFS(Adjustments!$K$8:$K$207,Adjustments!$B$8:$B$207,$B7,Adjustments!$A$8:$A$207,Settings!$A$13))</f>
        <v>0</v>
      </c>
      <c r="M7" s="17" t="n">
        <f aca="false">IF($B7="",0,SUMIFS('Zoho Dump'!$X$8:$X$3007,'Zoho Dump'!$N$8:$N$3007,$B7,'Zoho Dump'!$P$8:$P$3007,Settings!$A$14)+SUMIFS(Adjustments!$K$8:$K$207,Adjustments!$B$8:$B$207,$B7,Adjustments!$A$8:$A$207,Settings!$A$14))</f>
        <v>0</v>
      </c>
      <c r="N7" s="17" t="n">
        <f aca="false">IF($B7="",0,SUMIFS('Zoho Dump'!$X$8:$X$3007,'Zoho Dump'!$N$8:$N$3007,$B7,'Zoho Dump'!$P$8:$P$3007,Settings!$A$15)+SUMIFS(Adjustments!$K$8:$K$207,Adjustments!$B$8:$B$207,$B7,Adjustments!$A$8:$A$207,Settings!$A$15))</f>
        <v>0</v>
      </c>
      <c r="O7" s="17" t="n">
        <f aca="false">IF($B7="",0,SUMIFS('Zoho Dump'!$X$8:$X$3007,'Zoho Dump'!$N$8:$N$3007,$B7,'Zoho Dump'!$P$8:$P$3007,Settings!$A$16)+SUMIFS(Adjustments!$K$8:$K$207,Adjustments!$B$8:$B$207,$B7,Adjustments!$A$8:$A$207,Settings!$A$16))</f>
        <v>17034</v>
      </c>
      <c r="P7" s="17" t="n">
        <f aca="false">IF($B7="",0,SUMIFS('Zoho Dump'!$X$8:$X$3007,'Zoho Dump'!$N$8:$N$3007,$B7,'Zoho Dump'!$P$8:$P$3007,Settings!$A$17)+SUMIFS(Adjustments!$K$8:$K$207,Adjustments!$B$8:$B$207,$B7,Adjustments!$A$8:$A$207,Settings!$A$17))</f>
        <v>0</v>
      </c>
      <c r="Q7" s="17" t="n">
        <f aca="false">IF($B7="",0,SUMIFS('Zoho Dump'!$X$8:$X$3007,'Zoho Dump'!$N$8:$N$3007,$B7,'Zoho Dump'!$P$8:$P$3007,Settings!$A$18)+SUMIFS(Adjustments!$K$8:$K$207,Adjustments!$B$8:$B$207,$B7,Adjustments!$A$8:$A$207,Settings!$A$18))</f>
        <v>0</v>
      </c>
      <c r="R7" s="30" t="n">
        <f aca="false">IF(G7&gt;0,G7+A7/10000000,"")</f>
        <v>17034.0000003</v>
      </c>
    </row>
    <row r="8" customFormat="false" ht="15" hidden="false" customHeight="false" outlineLevel="0" collapsed="false">
      <c r="A8" s="9" t="n">
        <v>4</v>
      </c>
      <c r="B8" s="9" t="str">
        <f aca="false">IFERROR(INDEX('Zoho Dump'!$N$8:$N$3007,MATCH(A8,'Zoho Dump'!$AB$8:$AB$3007,0)),"")</f>
        <v>Datacom</v>
      </c>
      <c r="C8" s="17" t="n">
        <f aca="false">IF($B8="",0,SUMIFS('Zoho Dump'!$Q$8:$Q$3007,'Zoho Dump'!$N$8:$N$3007,$B8,'Zoho Dump'!$T$8:$T$3007,"Delivered",'Zoho Dump'!$R$8:$R$3007,"&gt;="&amp;Settings!$B$4))</f>
        <v>0</v>
      </c>
      <c r="D8" s="17" t="n">
        <f aca="false">IF($B8="",0,SUMIFS('Zoho Dump'!$X$8:$X$3007,'Zoho Dump'!$N$8:$N$3007,$B8,'Zoho Dump'!$T$8:$T$3007,"Backlog")+SUMIFS(Adjustments!$K$8:$K$207,Adjustments!$B$8:$B$207,$B8,Adjustments!$H$8:$H$207,"Backlog"))</f>
        <v>0</v>
      </c>
      <c r="E8" s="17" t="n">
        <f aca="false">IF($B8="",0,SUMIFS('Zoho Dump'!$Y$8:$Y$3007,'Zoho Dump'!$N$8:$N$3007,$B8,'Zoho Dump'!$T$8:$T$3007,"Pipeline")+SUMIFS(Adjustments!$L$8:$L$207,Adjustments!$B$8:$B$207,$B8,Adjustments!$H$8:$H$207,"Pipeline")+SUMIFS('Zoho Dump'!$Y$8:$Y$3007,'Zoho Dump'!$N$8:$N$3007,$B8,'Zoho Dump'!$T$8:$T$3007,"Overdue")+SUMIFS(Adjustments!$L$8:$L$207,Adjustments!$B$8:$B$207,$B8,Adjustments!$H$8:$H$207,"Overdue"))</f>
        <v>1175</v>
      </c>
      <c r="F8" s="17" t="n">
        <f aca="false">IF($B8="",0,SUMIFS('Zoho Dump'!$X$8:$X$3007,'Zoho Dump'!$N$8:$N$3007,$B8,'Zoho Dump'!$T$8:$T$3007,"Pipeline")+SUMIFS(Adjustments!$K$8:$K$207,Adjustments!$B$8:$B$207,$B8,Adjustments!$H$8:$H$207,"Pipeline")+SUMIFS('Zoho Dump'!$X$8:$X$3007,'Zoho Dump'!$N$8:$N$3007,$B8,'Zoho Dump'!$T$8:$T$3007,"Overdue")+SUMIFS(Adjustments!$K$8:$K$207,Adjustments!$B$8:$B$207,$B8,Adjustments!$H$8:$H$207,"Overdue"))</f>
        <v>587.5</v>
      </c>
      <c r="G8" s="17" t="n">
        <f aca="false">D8+F8</f>
        <v>587.5</v>
      </c>
      <c r="H8" s="18" t="n">
        <f aca="false">IF(SUM($G$5:$G$404)=0,0,G8/SUM($G$5:$G$404))</f>
        <v>0.000688582781773642</v>
      </c>
      <c r="I8" s="17" t="n">
        <f aca="false">IF($B8="",0,SUMIFS('Zoho Dump'!$Q$8:$Q$3007,'Zoho Dump'!$N$8:$N$3007,$B8,'Zoho Dump'!$T$8:$T$3007,"Lost",'Zoho Dump'!$R$8:$R$3007,"&gt;="&amp;Settings!$B$4))</f>
        <v>0</v>
      </c>
      <c r="J8" s="9" t="str">
        <f aca="false">IF($B8="","",IF(COUNTIF(Dashboard!$C$13:$C$22,$B8)&gt;0,"Yes",""))</f>
        <v/>
      </c>
      <c r="K8" s="17" t="n">
        <f aca="false">IF($B8="",0,SUMIFS('Zoho Dump'!$X$8:$X$3007,'Zoho Dump'!$N$8:$N$3007,$B8,'Zoho Dump'!$P$8:$P$3007,Settings!$A$12)+SUMIFS(Adjustments!$K$8:$K$207,Adjustments!$B$8:$B$207,$B8,Adjustments!$A$8:$A$207,Settings!$A$12))</f>
        <v>0</v>
      </c>
      <c r="L8" s="17" t="n">
        <f aca="false">IF($B8="",0,SUMIFS('Zoho Dump'!$X$8:$X$3007,'Zoho Dump'!$N$8:$N$3007,$B8,'Zoho Dump'!$P$8:$P$3007,Settings!$A$13)+SUMIFS(Adjustments!$K$8:$K$207,Adjustments!$B$8:$B$207,$B8,Adjustments!$A$8:$A$207,Settings!$A$13))</f>
        <v>0</v>
      </c>
      <c r="M8" s="17" t="n">
        <f aca="false">IF($B8="",0,SUMIFS('Zoho Dump'!$X$8:$X$3007,'Zoho Dump'!$N$8:$N$3007,$B8,'Zoho Dump'!$P$8:$P$3007,Settings!$A$14)+SUMIFS(Adjustments!$K$8:$K$207,Adjustments!$B$8:$B$207,$B8,Adjustments!$A$8:$A$207,Settings!$A$14))</f>
        <v>0</v>
      </c>
      <c r="N8" s="17" t="n">
        <f aca="false">IF($B8="",0,SUMIFS('Zoho Dump'!$X$8:$X$3007,'Zoho Dump'!$N$8:$N$3007,$B8,'Zoho Dump'!$P$8:$P$3007,Settings!$A$15)+SUMIFS(Adjustments!$K$8:$K$207,Adjustments!$B$8:$B$207,$B8,Adjustments!$A$8:$A$207,Settings!$A$15))</f>
        <v>0</v>
      </c>
      <c r="O8" s="17" t="n">
        <f aca="false">IF($B8="",0,SUMIFS('Zoho Dump'!$X$8:$X$3007,'Zoho Dump'!$N$8:$N$3007,$B8,'Zoho Dump'!$P$8:$P$3007,Settings!$A$16)+SUMIFS(Adjustments!$K$8:$K$207,Adjustments!$B$8:$B$207,$B8,Adjustments!$A$8:$A$207,Settings!$A$16))</f>
        <v>587.5</v>
      </c>
      <c r="P8" s="17" t="n">
        <f aca="false">IF($B8="",0,SUMIFS('Zoho Dump'!$X$8:$X$3007,'Zoho Dump'!$N$8:$N$3007,$B8,'Zoho Dump'!$P$8:$P$3007,Settings!$A$17)+SUMIFS(Adjustments!$K$8:$K$207,Adjustments!$B$8:$B$207,$B8,Adjustments!$A$8:$A$207,Settings!$A$17))</f>
        <v>0</v>
      </c>
      <c r="Q8" s="17" t="n">
        <f aca="false">IF($B8="",0,SUMIFS('Zoho Dump'!$X$8:$X$3007,'Zoho Dump'!$N$8:$N$3007,$B8,'Zoho Dump'!$P$8:$P$3007,Settings!$A$18)+SUMIFS(Adjustments!$K$8:$K$207,Adjustments!$B$8:$B$207,$B8,Adjustments!$A$8:$A$207,Settings!$A$18))</f>
        <v>0</v>
      </c>
      <c r="R8" s="30" t="n">
        <f aca="false">IF(G8&gt;0,G8+A8/10000000,"")</f>
        <v>587.5000004</v>
      </c>
    </row>
    <row r="9" customFormat="false" ht="15" hidden="false" customHeight="false" outlineLevel="0" collapsed="false">
      <c r="A9" s="9" t="n">
        <v>5</v>
      </c>
      <c r="B9" s="9" t="str">
        <f aca="false">IFERROR(INDEX('Zoho Dump'!$N$8:$N$3007,MATCH(A9,'Zoho Dump'!$AB$8:$AB$3007,0)),"")</f>
        <v>PWC</v>
      </c>
      <c r="C9" s="17" t="n">
        <f aca="false">IF($B9="",0,SUMIFS('Zoho Dump'!$Q$8:$Q$3007,'Zoho Dump'!$N$8:$N$3007,$B9,'Zoho Dump'!$T$8:$T$3007,"Delivered",'Zoho Dump'!$R$8:$R$3007,"&gt;="&amp;Settings!$B$4))</f>
        <v>36380</v>
      </c>
      <c r="D9" s="17" t="n">
        <f aca="false">IF($B9="",0,SUMIFS('Zoho Dump'!$X$8:$X$3007,'Zoho Dump'!$N$8:$N$3007,$B9,'Zoho Dump'!$T$8:$T$3007,"Backlog")+SUMIFS(Adjustments!$K$8:$K$207,Adjustments!$B$8:$B$207,$B9,Adjustments!$H$8:$H$207,"Backlog"))</f>
        <v>17000</v>
      </c>
      <c r="E9" s="17" t="n">
        <f aca="false">IF($B9="",0,SUMIFS('Zoho Dump'!$Y$8:$Y$3007,'Zoho Dump'!$N$8:$N$3007,$B9,'Zoho Dump'!$T$8:$T$3007,"Pipeline")+SUMIFS(Adjustments!$L$8:$L$207,Adjustments!$B$8:$B$207,$B9,Adjustments!$H$8:$H$207,"Pipeline")+SUMIFS('Zoho Dump'!$Y$8:$Y$3007,'Zoho Dump'!$N$8:$N$3007,$B9,'Zoho Dump'!$T$8:$T$3007,"Overdue")+SUMIFS(Adjustments!$L$8:$L$207,Adjustments!$B$8:$B$207,$B9,Adjustments!$H$8:$H$207,"Overdue"))</f>
        <v>8856</v>
      </c>
      <c r="F9" s="17" t="n">
        <f aca="false">IF($B9="",0,SUMIFS('Zoho Dump'!$X$8:$X$3007,'Zoho Dump'!$N$8:$N$3007,$B9,'Zoho Dump'!$T$8:$T$3007,"Pipeline")+SUMIFS(Adjustments!$K$8:$K$207,Adjustments!$B$8:$B$207,$B9,Adjustments!$H$8:$H$207,"Pipeline")+SUMIFS('Zoho Dump'!$X$8:$X$3007,'Zoho Dump'!$N$8:$N$3007,$B9,'Zoho Dump'!$T$8:$T$3007,"Overdue")+SUMIFS(Adjustments!$K$8:$K$207,Adjustments!$B$8:$B$207,$B9,Adjustments!$H$8:$H$207,"Overdue"))</f>
        <v>4428</v>
      </c>
      <c r="G9" s="17" t="n">
        <f aca="false">D9+F9</f>
        <v>21428</v>
      </c>
      <c r="H9" s="18" t="n">
        <f aca="false">IF(SUM($G$5:$G$404)=0,0,G9/SUM($G$5:$G$404))</f>
        <v>0.0251148116559074</v>
      </c>
      <c r="I9" s="17" t="n">
        <f aca="false">IF($B9="",0,SUMIFS('Zoho Dump'!$Q$8:$Q$3007,'Zoho Dump'!$N$8:$N$3007,$B9,'Zoho Dump'!$T$8:$T$3007,"Lost",'Zoho Dump'!$R$8:$R$3007,"&gt;="&amp;Settings!$B$4))</f>
        <v>682119</v>
      </c>
      <c r="J9" s="9" t="str">
        <f aca="false">IF($B9="","",IF(COUNTIF(Dashboard!$C$13:$C$22,$B9)&gt;0,"Yes",""))</f>
        <v/>
      </c>
      <c r="K9" s="17" t="n">
        <f aca="false">IF($B9="",0,SUMIFS('Zoho Dump'!$X$8:$X$3007,'Zoho Dump'!$N$8:$N$3007,$B9,'Zoho Dump'!$P$8:$P$3007,Settings!$A$12)+SUMIFS(Adjustments!$K$8:$K$207,Adjustments!$B$8:$B$207,$B9,Adjustments!$A$8:$A$207,Settings!$A$12))</f>
        <v>17000</v>
      </c>
      <c r="L9" s="17" t="n">
        <f aca="false">IF($B9="",0,SUMIFS('Zoho Dump'!$X$8:$X$3007,'Zoho Dump'!$N$8:$N$3007,$B9,'Zoho Dump'!$P$8:$P$3007,Settings!$A$13)+SUMIFS(Adjustments!$K$8:$K$207,Adjustments!$B$8:$B$207,$B9,Adjustments!$A$8:$A$207,Settings!$A$13))</f>
        <v>0</v>
      </c>
      <c r="M9" s="17" t="n">
        <f aca="false">IF($B9="",0,SUMIFS('Zoho Dump'!$X$8:$X$3007,'Zoho Dump'!$N$8:$N$3007,$B9,'Zoho Dump'!$P$8:$P$3007,Settings!$A$14)+SUMIFS(Adjustments!$K$8:$K$207,Adjustments!$B$8:$B$207,$B9,Adjustments!$A$8:$A$207,Settings!$A$14))</f>
        <v>0</v>
      </c>
      <c r="N9" s="17" t="n">
        <f aca="false">IF($B9="",0,SUMIFS('Zoho Dump'!$X$8:$X$3007,'Zoho Dump'!$N$8:$N$3007,$B9,'Zoho Dump'!$P$8:$P$3007,Settings!$A$15)+SUMIFS(Adjustments!$K$8:$K$207,Adjustments!$B$8:$B$207,$B9,Adjustments!$A$8:$A$207,Settings!$A$15))</f>
        <v>0</v>
      </c>
      <c r="O9" s="17" t="n">
        <f aca="false">IF($B9="",0,SUMIFS('Zoho Dump'!$X$8:$X$3007,'Zoho Dump'!$N$8:$N$3007,$B9,'Zoho Dump'!$P$8:$P$3007,Settings!$A$16)+SUMIFS(Adjustments!$K$8:$K$207,Adjustments!$B$8:$B$207,$B9,Adjustments!$A$8:$A$207,Settings!$A$16))</f>
        <v>4428</v>
      </c>
      <c r="P9" s="17" t="n">
        <f aca="false">IF($B9="",0,SUMIFS('Zoho Dump'!$X$8:$X$3007,'Zoho Dump'!$N$8:$N$3007,$B9,'Zoho Dump'!$P$8:$P$3007,Settings!$A$17)+SUMIFS(Adjustments!$K$8:$K$207,Adjustments!$B$8:$B$207,$B9,Adjustments!$A$8:$A$207,Settings!$A$17))</f>
        <v>0</v>
      </c>
      <c r="Q9" s="17" t="n">
        <f aca="false">IF($B9="",0,SUMIFS('Zoho Dump'!$X$8:$X$3007,'Zoho Dump'!$N$8:$N$3007,$B9,'Zoho Dump'!$P$8:$P$3007,Settings!$A$18)+SUMIFS(Adjustments!$K$8:$K$207,Adjustments!$B$8:$B$207,$B9,Adjustments!$A$8:$A$207,Settings!$A$18))</f>
        <v>0</v>
      </c>
      <c r="R9" s="30" t="n">
        <f aca="false">IF(G9&gt;0,G9+A9/10000000,"")</f>
        <v>21428.0000005</v>
      </c>
    </row>
    <row r="10" customFormat="false" ht="15" hidden="false" customHeight="false" outlineLevel="0" collapsed="false">
      <c r="A10" s="9" t="n">
        <v>6</v>
      </c>
      <c r="B10" s="9" t="str">
        <f aca="false">IFERROR(INDEX('Zoho Dump'!$N$8:$N$3007,MATCH(A10,'Zoho Dump'!$AB$8:$AB$3007,0)),"")</f>
        <v>AICD</v>
      </c>
      <c r="C10" s="17" t="n">
        <f aca="false">IF($B10="",0,SUMIFS('Zoho Dump'!$Q$8:$Q$3007,'Zoho Dump'!$N$8:$N$3007,$B10,'Zoho Dump'!$T$8:$T$3007,"Delivered",'Zoho Dump'!$R$8:$R$3007,"&gt;="&amp;Settings!$B$4))</f>
        <v>0</v>
      </c>
      <c r="D10" s="17" t="n">
        <f aca="false">IF($B10="",0,SUMIFS('Zoho Dump'!$X$8:$X$3007,'Zoho Dump'!$N$8:$N$3007,$B10,'Zoho Dump'!$T$8:$T$3007,"Backlog")+SUMIFS(Adjustments!$K$8:$K$207,Adjustments!$B$8:$B$207,$B10,Adjustments!$H$8:$H$207,"Backlog"))</f>
        <v>0</v>
      </c>
      <c r="E10" s="17" t="n">
        <f aca="false">IF($B10="",0,SUMIFS('Zoho Dump'!$Y$8:$Y$3007,'Zoho Dump'!$N$8:$N$3007,$B10,'Zoho Dump'!$T$8:$T$3007,"Pipeline")+SUMIFS(Adjustments!$L$8:$L$207,Adjustments!$B$8:$B$207,$B10,Adjustments!$H$8:$H$207,"Pipeline")+SUMIFS('Zoho Dump'!$Y$8:$Y$3007,'Zoho Dump'!$N$8:$N$3007,$B10,'Zoho Dump'!$T$8:$T$3007,"Overdue")+SUMIFS(Adjustments!$L$8:$L$207,Adjustments!$B$8:$B$207,$B10,Adjustments!$H$8:$H$207,"Overdue"))</f>
        <v>0</v>
      </c>
      <c r="F10" s="17" t="n">
        <f aca="false">IF($B10="",0,SUMIFS('Zoho Dump'!$X$8:$X$3007,'Zoho Dump'!$N$8:$N$3007,$B10,'Zoho Dump'!$T$8:$T$3007,"Pipeline")+SUMIFS(Adjustments!$K$8:$K$207,Adjustments!$B$8:$B$207,$B10,Adjustments!$H$8:$H$207,"Pipeline")+SUMIFS('Zoho Dump'!$X$8:$X$3007,'Zoho Dump'!$N$8:$N$3007,$B10,'Zoho Dump'!$T$8:$T$3007,"Overdue")+SUMIFS(Adjustments!$K$8:$K$207,Adjustments!$B$8:$B$207,$B10,Adjustments!$H$8:$H$207,"Overdue"))</f>
        <v>0</v>
      </c>
      <c r="G10" s="17" t="n">
        <f aca="false">D10+F10</f>
        <v>0</v>
      </c>
      <c r="H10" s="18" t="n">
        <f aca="false">IF(SUM($G$5:$G$404)=0,0,G10/SUM($G$5:$G$404))</f>
        <v>0</v>
      </c>
      <c r="I10" s="17" t="n">
        <f aca="false">IF($B10="",0,SUMIFS('Zoho Dump'!$Q$8:$Q$3007,'Zoho Dump'!$N$8:$N$3007,$B10,'Zoho Dump'!$T$8:$T$3007,"Lost",'Zoho Dump'!$R$8:$R$3007,"&gt;="&amp;Settings!$B$4))</f>
        <v>0</v>
      </c>
      <c r="J10" s="9" t="str">
        <f aca="false">IF($B10="","",IF(COUNTIF(Dashboard!$C$13:$C$22,$B10)&gt;0,"Yes",""))</f>
        <v/>
      </c>
      <c r="K10" s="17" t="n">
        <f aca="false">IF($B10="",0,SUMIFS('Zoho Dump'!$X$8:$X$3007,'Zoho Dump'!$N$8:$N$3007,$B10,'Zoho Dump'!$P$8:$P$3007,Settings!$A$12)+SUMIFS(Adjustments!$K$8:$K$207,Adjustments!$B$8:$B$207,$B10,Adjustments!$A$8:$A$207,Settings!$A$12))</f>
        <v>0</v>
      </c>
      <c r="L10" s="17" t="n">
        <f aca="false">IF($B10="",0,SUMIFS('Zoho Dump'!$X$8:$X$3007,'Zoho Dump'!$N$8:$N$3007,$B10,'Zoho Dump'!$P$8:$P$3007,Settings!$A$13)+SUMIFS(Adjustments!$K$8:$K$207,Adjustments!$B$8:$B$207,$B10,Adjustments!$A$8:$A$207,Settings!$A$13))</f>
        <v>0</v>
      </c>
      <c r="M10" s="17" t="n">
        <f aca="false">IF($B10="",0,SUMIFS('Zoho Dump'!$X$8:$X$3007,'Zoho Dump'!$N$8:$N$3007,$B10,'Zoho Dump'!$P$8:$P$3007,Settings!$A$14)+SUMIFS(Adjustments!$K$8:$K$207,Adjustments!$B$8:$B$207,$B10,Adjustments!$A$8:$A$207,Settings!$A$14))</f>
        <v>0</v>
      </c>
      <c r="N10" s="17" t="n">
        <f aca="false">IF($B10="",0,SUMIFS('Zoho Dump'!$X$8:$X$3007,'Zoho Dump'!$N$8:$N$3007,$B10,'Zoho Dump'!$P$8:$P$3007,Settings!$A$15)+SUMIFS(Adjustments!$K$8:$K$207,Adjustments!$B$8:$B$207,$B10,Adjustments!$A$8:$A$207,Settings!$A$15))</f>
        <v>0</v>
      </c>
      <c r="O10" s="17" t="n">
        <f aca="false">IF($B10="",0,SUMIFS('Zoho Dump'!$X$8:$X$3007,'Zoho Dump'!$N$8:$N$3007,$B10,'Zoho Dump'!$P$8:$P$3007,Settings!$A$16)+SUMIFS(Adjustments!$K$8:$K$207,Adjustments!$B$8:$B$207,$B10,Adjustments!$A$8:$A$207,Settings!$A$16))</f>
        <v>0</v>
      </c>
      <c r="P10" s="17" t="n">
        <f aca="false">IF($B10="",0,SUMIFS('Zoho Dump'!$X$8:$X$3007,'Zoho Dump'!$N$8:$N$3007,$B10,'Zoho Dump'!$P$8:$P$3007,Settings!$A$17)+SUMIFS(Adjustments!$K$8:$K$207,Adjustments!$B$8:$B$207,$B10,Adjustments!$A$8:$A$207,Settings!$A$17))</f>
        <v>0</v>
      </c>
      <c r="Q10" s="17" t="n">
        <f aca="false">IF($B10="",0,SUMIFS('Zoho Dump'!$X$8:$X$3007,'Zoho Dump'!$N$8:$N$3007,$B10,'Zoho Dump'!$P$8:$P$3007,Settings!$A$18)+SUMIFS(Adjustments!$K$8:$K$207,Adjustments!$B$8:$B$207,$B10,Adjustments!$A$8:$A$207,Settings!$A$18))</f>
        <v>0</v>
      </c>
      <c r="R10" s="30" t="str">
        <f aca="false">IF(G10&gt;0,G10+A10/10000000,"")</f>
        <v/>
      </c>
    </row>
    <row r="11" customFormat="false" ht="15" hidden="false" customHeight="false" outlineLevel="0" collapsed="false">
      <c r="A11" s="9" t="n">
        <v>7</v>
      </c>
      <c r="B11" s="9" t="str">
        <f aca="false">IFERROR(INDEX('Zoho Dump'!$N$8:$N$3007,MATCH(A11,'Zoho Dump'!$AB$8:$AB$3007,0)),"")</f>
        <v>Elkiem</v>
      </c>
      <c r="C11" s="17" t="n">
        <f aca="false">IF($B11="",0,SUMIFS('Zoho Dump'!$Q$8:$Q$3007,'Zoho Dump'!$N$8:$N$3007,$B11,'Zoho Dump'!$T$8:$T$3007,"Delivered",'Zoho Dump'!$R$8:$R$3007,"&gt;="&amp;Settings!$B$4))</f>
        <v>2280</v>
      </c>
      <c r="D11" s="17" t="n">
        <f aca="false">IF($B11="",0,SUMIFS('Zoho Dump'!$X$8:$X$3007,'Zoho Dump'!$N$8:$N$3007,$B11,'Zoho Dump'!$T$8:$T$3007,"Backlog")+SUMIFS(Adjustments!$K$8:$K$207,Adjustments!$B$8:$B$207,$B11,Adjustments!$H$8:$H$207,"Backlog"))</f>
        <v>0</v>
      </c>
      <c r="E11" s="17" t="n">
        <f aca="false">IF($B11="",0,SUMIFS('Zoho Dump'!$Y$8:$Y$3007,'Zoho Dump'!$N$8:$N$3007,$B11,'Zoho Dump'!$T$8:$T$3007,"Pipeline")+SUMIFS(Adjustments!$L$8:$L$207,Adjustments!$B$8:$B$207,$B11,Adjustments!$H$8:$H$207,"Pipeline")+SUMIFS('Zoho Dump'!$Y$8:$Y$3007,'Zoho Dump'!$N$8:$N$3007,$B11,'Zoho Dump'!$T$8:$T$3007,"Overdue")+SUMIFS(Adjustments!$L$8:$L$207,Adjustments!$B$8:$B$207,$B11,Adjustments!$H$8:$H$207,"Overdue"))</f>
        <v>380</v>
      </c>
      <c r="F11" s="17" t="n">
        <f aca="false">IF($B11="",0,SUMIFS('Zoho Dump'!$X$8:$X$3007,'Zoho Dump'!$N$8:$N$3007,$B11,'Zoho Dump'!$T$8:$T$3007,"Pipeline")+SUMIFS(Adjustments!$K$8:$K$207,Adjustments!$B$8:$B$207,$B11,Adjustments!$H$8:$H$207,"Pipeline")+SUMIFS('Zoho Dump'!$X$8:$X$3007,'Zoho Dump'!$N$8:$N$3007,$B11,'Zoho Dump'!$T$8:$T$3007,"Overdue")+SUMIFS(Adjustments!$K$8:$K$207,Adjustments!$B$8:$B$207,$B11,Adjustments!$H$8:$H$207,"Overdue"))</f>
        <v>190</v>
      </c>
      <c r="G11" s="17" t="n">
        <f aca="false">D11+F11</f>
        <v>190</v>
      </c>
      <c r="H11" s="18" t="n">
        <f aca="false">IF(SUM($G$5:$G$404)=0,0,G11/SUM($G$5:$G$404))</f>
        <v>0.000222690601765093</v>
      </c>
      <c r="I11" s="17" t="n">
        <f aca="false">IF($B11="",0,SUMIFS('Zoho Dump'!$Q$8:$Q$3007,'Zoho Dump'!$N$8:$N$3007,$B11,'Zoho Dump'!$T$8:$T$3007,"Lost",'Zoho Dump'!$R$8:$R$3007,"&gt;="&amp;Settings!$B$4))</f>
        <v>2280</v>
      </c>
      <c r="J11" s="9" t="str">
        <f aca="false">IF($B11="","",IF(COUNTIF(Dashboard!$C$13:$C$22,$B11)&gt;0,"Yes",""))</f>
        <v/>
      </c>
      <c r="K11" s="17" t="n">
        <f aca="false">IF($B11="",0,SUMIFS('Zoho Dump'!$X$8:$X$3007,'Zoho Dump'!$N$8:$N$3007,$B11,'Zoho Dump'!$P$8:$P$3007,Settings!$A$12)+SUMIFS(Adjustments!$K$8:$K$207,Adjustments!$B$8:$B$207,$B11,Adjustments!$A$8:$A$207,Settings!$A$12))</f>
        <v>0</v>
      </c>
      <c r="L11" s="17" t="n">
        <f aca="false">IF($B11="",0,SUMIFS('Zoho Dump'!$X$8:$X$3007,'Zoho Dump'!$N$8:$N$3007,$B11,'Zoho Dump'!$P$8:$P$3007,Settings!$A$13)+SUMIFS(Adjustments!$K$8:$K$207,Adjustments!$B$8:$B$207,$B11,Adjustments!$A$8:$A$207,Settings!$A$13))</f>
        <v>190</v>
      </c>
      <c r="M11" s="17" t="n">
        <f aca="false">IF($B11="",0,SUMIFS('Zoho Dump'!$X$8:$X$3007,'Zoho Dump'!$N$8:$N$3007,$B11,'Zoho Dump'!$P$8:$P$3007,Settings!$A$14)+SUMIFS(Adjustments!$K$8:$K$207,Adjustments!$B$8:$B$207,$B11,Adjustments!$A$8:$A$207,Settings!$A$14))</f>
        <v>0</v>
      </c>
      <c r="N11" s="17" t="n">
        <f aca="false">IF($B11="",0,SUMIFS('Zoho Dump'!$X$8:$X$3007,'Zoho Dump'!$N$8:$N$3007,$B11,'Zoho Dump'!$P$8:$P$3007,Settings!$A$15)+SUMIFS(Adjustments!$K$8:$K$207,Adjustments!$B$8:$B$207,$B11,Adjustments!$A$8:$A$207,Settings!$A$15))</f>
        <v>0</v>
      </c>
      <c r="O11" s="17" t="n">
        <f aca="false">IF($B11="",0,SUMIFS('Zoho Dump'!$X$8:$X$3007,'Zoho Dump'!$N$8:$N$3007,$B11,'Zoho Dump'!$P$8:$P$3007,Settings!$A$16)+SUMIFS(Adjustments!$K$8:$K$207,Adjustments!$B$8:$B$207,$B11,Adjustments!$A$8:$A$207,Settings!$A$16))</f>
        <v>0</v>
      </c>
      <c r="P11" s="17" t="n">
        <f aca="false">IF($B11="",0,SUMIFS('Zoho Dump'!$X$8:$X$3007,'Zoho Dump'!$N$8:$N$3007,$B11,'Zoho Dump'!$P$8:$P$3007,Settings!$A$17)+SUMIFS(Adjustments!$K$8:$K$207,Adjustments!$B$8:$B$207,$B11,Adjustments!$A$8:$A$207,Settings!$A$17))</f>
        <v>0</v>
      </c>
      <c r="Q11" s="17" t="n">
        <f aca="false">IF($B11="",0,SUMIFS('Zoho Dump'!$X$8:$X$3007,'Zoho Dump'!$N$8:$N$3007,$B11,'Zoho Dump'!$P$8:$P$3007,Settings!$A$18)+SUMIFS(Adjustments!$K$8:$K$207,Adjustments!$B$8:$B$207,$B11,Adjustments!$A$8:$A$207,Settings!$A$18))</f>
        <v>0</v>
      </c>
      <c r="R11" s="30" t="n">
        <f aca="false">IF(G11&gt;0,G11+A11/10000000,"")</f>
        <v>190.0000007</v>
      </c>
    </row>
    <row r="12" customFormat="false" ht="15" hidden="false" customHeight="false" outlineLevel="0" collapsed="false">
      <c r="A12" s="9" t="n">
        <v>8</v>
      </c>
      <c r="B12" s="9" t="str">
        <f aca="false">IFERROR(INDEX('Zoho Dump'!$N$8:$N$3007,MATCH(A12,'Zoho Dump'!$AB$8:$AB$3007,0)),"")</f>
        <v>Automic Group</v>
      </c>
      <c r="C12" s="17" t="n">
        <f aca="false">IF($B12="",0,SUMIFS('Zoho Dump'!$Q$8:$Q$3007,'Zoho Dump'!$N$8:$N$3007,$B12,'Zoho Dump'!$T$8:$T$3007,"Delivered",'Zoho Dump'!$R$8:$R$3007,"&gt;="&amp;Settings!$B$4))</f>
        <v>7978</v>
      </c>
      <c r="D12" s="17" t="n">
        <f aca="false">IF($B12="",0,SUMIFS('Zoho Dump'!$X$8:$X$3007,'Zoho Dump'!$N$8:$N$3007,$B12,'Zoho Dump'!$T$8:$T$3007,"Backlog")+SUMIFS(Adjustments!$K$8:$K$207,Adjustments!$B$8:$B$207,$B12,Adjustments!$H$8:$H$207,"Backlog"))</f>
        <v>0</v>
      </c>
      <c r="E12" s="17" t="n">
        <f aca="false">IF($B12="",0,SUMIFS('Zoho Dump'!$Y$8:$Y$3007,'Zoho Dump'!$N$8:$N$3007,$B12,'Zoho Dump'!$T$8:$T$3007,"Pipeline")+SUMIFS(Adjustments!$L$8:$L$207,Adjustments!$B$8:$B$207,$B12,Adjustments!$H$8:$H$207,"Pipeline")+SUMIFS('Zoho Dump'!$Y$8:$Y$3007,'Zoho Dump'!$N$8:$N$3007,$B12,'Zoho Dump'!$T$8:$T$3007,"Overdue")+SUMIFS(Adjustments!$L$8:$L$207,Adjustments!$B$8:$B$207,$B12,Adjustments!$H$8:$H$207,"Overdue"))</f>
        <v>71283</v>
      </c>
      <c r="F12" s="17" t="n">
        <f aca="false">IF($B12="",0,SUMIFS('Zoho Dump'!$X$8:$X$3007,'Zoho Dump'!$N$8:$N$3007,$B12,'Zoho Dump'!$T$8:$T$3007,"Pipeline")+SUMIFS(Adjustments!$K$8:$K$207,Adjustments!$B$8:$B$207,$B12,Adjustments!$H$8:$H$207,"Pipeline")+SUMIFS('Zoho Dump'!$X$8:$X$3007,'Zoho Dump'!$N$8:$N$3007,$B12,'Zoho Dump'!$T$8:$T$3007,"Overdue")+SUMIFS(Adjustments!$K$8:$K$207,Adjustments!$B$8:$B$207,$B12,Adjustments!$H$8:$H$207,"Overdue"))</f>
        <v>40654.7</v>
      </c>
      <c r="G12" s="17" t="n">
        <f aca="false">D12+F12</f>
        <v>40654.7</v>
      </c>
      <c r="H12" s="18" t="n">
        <f aca="false">IF(SUM($G$5:$G$404)=0,0,G12/SUM($G$5:$G$404))</f>
        <v>0.0476495768819964</v>
      </c>
      <c r="I12" s="17" t="n">
        <f aca="false">IF($B12="",0,SUMIFS('Zoho Dump'!$Q$8:$Q$3007,'Zoho Dump'!$N$8:$N$3007,$B12,'Zoho Dump'!$T$8:$T$3007,"Lost",'Zoho Dump'!$R$8:$R$3007,"&gt;="&amp;Settings!$B$4))</f>
        <v>0</v>
      </c>
      <c r="J12" s="9" t="str">
        <f aca="false">IF($B12="","",IF(COUNTIF(Dashboard!$C$13:$C$22,$B12)&gt;0,"Yes",""))</f>
        <v/>
      </c>
      <c r="K12" s="17" t="n">
        <f aca="false">IF($B12="",0,SUMIFS('Zoho Dump'!$X$8:$X$3007,'Zoho Dump'!$N$8:$N$3007,$B12,'Zoho Dump'!$P$8:$P$3007,Settings!$A$12)+SUMIFS(Adjustments!$K$8:$K$207,Adjustments!$B$8:$B$207,$B12,Adjustments!$A$8:$A$207,Settings!$A$12))</f>
        <v>0</v>
      </c>
      <c r="L12" s="17" t="n">
        <f aca="false">IF($B12="",0,SUMIFS('Zoho Dump'!$X$8:$X$3007,'Zoho Dump'!$N$8:$N$3007,$B12,'Zoho Dump'!$P$8:$P$3007,Settings!$A$13)+SUMIFS(Adjustments!$K$8:$K$207,Adjustments!$B$8:$B$207,$B12,Adjustments!$A$8:$A$207,Settings!$A$13))</f>
        <v>40654.7</v>
      </c>
      <c r="M12" s="17" t="n">
        <f aca="false">IF($B12="",0,SUMIFS('Zoho Dump'!$X$8:$X$3007,'Zoho Dump'!$N$8:$N$3007,$B12,'Zoho Dump'!$P$8:$P$3007,Settings!$A$14)+SUMIFS(Adjustments!$K$8:$K$207,Adjustments!$B$8:$B$207,$B12,Adjustments!$A$8:$A$207,Settings!$A$14))</f>
        <v>0</v>
      </c>
      <c r="N12" s="17" t="n">
        <f aca="false">IF($B12="",0,SUMIFS('Zoho Dump'!$X$8:$X$3007,'Zoho Dump'!$N$8:$N$3007,$B12,'Zoho Dump'!$P$8:$P$3007,Settings!$A$15)+SUMIFS(Adjustments!$K$8:$K$207,Adjustments!$B$8:$B$207,$B12,Adjustments!$A$8:$A$207,Settings!$A$15))</f>
        <v>0</v>
      </c>
      <c r="O12" s="17" t="n">
        <f aca="false">IF($B12="",0,SUMIFS('Zoho Dump'!$X$8:$X$3007,'Zoho Dump'!$N$8:$N$3007,$B12,'Zoho Dump'!$P$8:$P$3007,Settings!$A$16)+SUMIFS(Adjustments!$K$8:$K$207,Adjustments!$B$8:$B$207,$B12,Adjustments!$A$8:$A$207,Settings!$A$16))</f>
        <v>0</v>
      </c>
      <c r="P12" s="17" t="n">
        <f aca="false">IF($B12="",0,SUMIFS('Zoho Dump'!$X$8:$X$3007,'Zoho Dump'!$N$8:$N$3007,$B12,'Zoho Dump'!$P$8:$P$3007,Settings!$A$17)+SUMIFS(Adjustments!$K$8:$K$207,Adjustments!$B$8:$B$207,$B12,Adjustments!$A$8:$A$207,Settings!$A$17))</f>
        <v>0</v>
      </c>
      <c r="Q12" s="17" t="n">
        <f aca="false">IF($B12="",0,SUMIFS('Zoho Dump'!$X$8:$X$3007,'Zoho Dump'!$N$8:$N$3007,$B12,'Zoho Dump'!$P$8:$P$3007,Settings!$A$18)+SUMIFS(Adjustments!$K$8:$K$207,Adjustments!$B$8:$B$207,$B12,Adjustments!$A$8:$A$207,Settings!$A$18))</f>
        <v>0</v>
      </c>
      <c r="R12" s="30" t="n">
        <f aca="false">IF(G12&gt;0,G12+A12/10000000,"")</f>
        <v>40654.7000008</v>
      </c>
    </row>
    <row r="13" customFormat="false" ht="15" hidden="false" customHeight="false" outlineLevel="0" collapsed="false">
      <c r="A13" s="9" t="n">
        <v>9</v>
      </c>
      <c r="B13" s="9" t="str">
        <f aca="false">IFERROR(INDEX('Zoho Dump'!$N$8:$N$3007,MATCH(A13,'Zoho Dump'!$AB$8:$AB$3007,0)),"")</f>
        <v>Property and Development NSW</v>
      </c>
      <c r="C13" s="17" t="n">
        <f aca="false">IF($B13="",0,SUMIFS('Zoho Dump'!$Q$8:$Q$3007,'Zoho Dump'!$N$8:$N$3007,$B13,'Zoho Dump'!$T$8:$T$3007,"Delivered",'Zoho Dump'!$R$8:$R$3007,"&gt;="&amp;Settings!$B$4))</f>
        <v>0</v>
      </c>
      <c r="D13" s="17" t="n">
        <f aca="false">IF($B13="",0,SUMIFS('Zoho Dump'!$X$8:$X$3007,'Zoho Dump'!$N$8:$N$3007,$B13,'Zoho Dump'!$T$8:$T$3007,"Backlog")+SUMIFS(Adjustments!$K$8:$K$207,Adjustments!$B$8:$B$207,$B13,Adjustments!$H$8:$H$207,"Backlog"))</f>
        <v>0</v>
      </c>
      <c r="E13" s="17" t="n">
        <f aca="false">IF($B13="",0,SUMIFS('Zoho Dump'!$Y$8:$Y$3007,'Zoho Dump'!$N$8:$N$3007,$B13,'Zoho Dump'!$T$8:$T$3007,"Pipeline")+SUMIFS(Adjustments!$L$8:$L$207,Adjustments!$B$8:$B$207,$B13,Adjustments!$H$8:$H$207,"Pipeline")+SUMIFS('Zoho Dump'!$Y$8:$Y$3007,'Zoho Dump'!$N$8:$N$3007,$B13,'Zoho Dump'!$T$8:$T$3007,"Overdue")+SUMIFS(Adjustments!$L$8:$L$207,Adjustments!$B$8:$B$207,$B13,Adjustments!$H$8:$H$207,"Overdue"))</f>
        <v>0</v>
      </c>
      <c r="F13" s="17" t="n">
        <f aca="false">IF($B13="",0,SUMIFS('Zoho Dump'!$X$8:$X$3007,'Zoho Dump'!$N$8:$N$3007,$B13,'Zoho Dump'!$T$8:$T$3007,"Pipeline")+SUMIFS(Adjustments!$K$8:$K$207,Adjustments!$B$8:$B$207,$B13,Adjustments!$H$8:$H$207,"Pipeline")+SUMIFS('Zoho Dump'!$X$8:$X$3007,'Zoho Dump'!$N$8:$N$3007,$B13,'Zoho Dump'!$T$8:$T$3007,"Overdue")+SUMIFS(Adjustments!$K$8:$K$207,Adjustments!$B$8:$B$207,$B13,Adjustments!$H$8:$H$207,"Overdue"))</f>
        <v>0</v>
      </c>
      <c r="G13" s="17" t="n">
        <f aca="false">D13+F13</f>
        <v>0</v>
      </c>
      <c r="H13" s="18" t="n">
        <f aca="false">IF(SUM($G$5:$G$404)=0,0,G13/SUM($G$5:$G$404))</f>
        <v>0</v>
      </c>
      <c r="I13" s="17" t="n">
        <f aca="false">IF($B13="",0,SUMIFS('Zoho Dump'!$Q$8:$Q$3007,'Zoho Dump'!$N$8:$N$3007,$B13,'Zoho Dump'!$T$8:$T$3007,"Lost",'Zoho Dump'!$R$8:$R$3007,"&gt;="&amp;Settings!$B$4))</f>
        <v>0</v>
      </c>
      <c r="J13" s="9" t="str">
        <f aca="false">IF($B13="","",IF(COUNTIF(Dashboard!$C$13:$C$22,$B13)&gt;0,"Yes",""))</f>
        <v/>
      </c>
      <c r="K13" s="17" t="n">
        <f aca="false">IF($B13="",0,SUMIFS('Zoho Dump'!$X$8:$X$3007,'Zoho Dump'!$N$8:$N$3007,$B13,'Zoho Dump'!$P$8:$P$3007,Settings!$A$12)+SUMIFS(Adjustments!$K$8:$K$207,Adjustments!$B$8:$B$207,$B13,Adjustments!$A$8:$A$207,Settings!$A$12))</f>
        <v>0</v>
      </c>
      <c r="L13" s="17" t="n">
        <f aca="false">IF($B13="",0,SUMIFS('Zoho Dump'!$X$8:$X$3007,'Zoho Dump'!$N$8:$N$3007,$B13,'Zoho Dump'!$P$8:$P$3007,Settings!$A$13)+SUMIFS(Adjustments!$K$8:$K$207,Adjustments!$B$8:$B$207,$B13,Adjustments!$A$8:$A$207,Settings!$A$13))</f>
        <v>0</v>
      </c>
      <c r="M13" s="17" t="n">
        <f aca="false">IF($B13="",0,SUMIFS('Zoho Dump'!$X$8:$X$3007,'Zoho Dump'!$N$8:$N$3007,$B13,'Zoho Dump'!$P$8:$P$3007,Settings!$A$14)+SUMIFS(Adjustments!$K$8:$K$207,Adjustments!$B$8:$B$207,$B13,Adjustments!$A$8:$A$207,Settings!$A$14))</f>
        <v>0</v>
      </c>
      <c r="N13" s="17" t="n">
        <f aca="false">IF($B13="",0,SUMIFS('Zoho Dump'!$X$8:$X$3007,'Zoho Dump'!$N$8:$N$3007,$B13,'Zoho Dump'!$P$8:$P$3007,Settings!$A$15)+SUMIFS(Adjustments!$K$8:$K$207,Adjustments!$B$8:$B$207,$B13,Adjustments!$A$8:$A$207,Settings!$A$15))</f>
        <v>0</v>
      </c>
      <c r="O13" s="17" t="n">
        <f aca="false">IF($B13="",0,SUMIFS('Zoho Dump'!$X$8:$X$3007,'Zoho Dump'!$N$8:$N$3007,$B13,'Zoho Dump'!$P$8:$P$3007,Settings!$A$16)+SUMIFS(Adjustments!$K$8:$K$207,Adjustments!$B$8:$B$207,$B13,Adjustments!$A$8:$A$207,Settings!$A$16))</f>
        <v>0</v>
      </c>
      <c r="P13" s="17" t="n">
        <f aca="false">IF($B13="",0,SUMIFS('Zoho Dump'!$X$8:$X$3007,'Zoho Dump'!$N$8:$N$3007,$B13,'Zoho Dump'!$P$8:$P$3007,Settings!$A$17)+SUMIFS(Adjustments!$K$8:$K$207,Adjustments!$B$8:$B$207,$B13,Adjustments!$A$8:$A$207,Settings!$A$17))</f>
        <v>0</v>
      </c>
      <c r="Q13" s="17" t="n">
        <f aca="false">IF($B13="",0,SUMIFS('Zoho Dump'!$X$8:$X$3007,'Zoho Dump'!$N$8:$N$3007,$B13,'Zoho Dump'!$P$8:$P$3007,Settings!$A$18)+SUMIFS(Adjustments!$K$8:$K$207,Adjustments!$B$8:$B$207,$B13,Adjustments!$A$8:$A$207,Settings!$A$18))</f>
        <v>0</v>
      </c>
      <c r="R13" s="30" t="str">
        <f aca="false">IF(G13&gt;0,G13+A13/10000000,"")</f>
        <v/>
      </c>
    </row>
    <row r="14" customFormat="false" ht="15" hidden="false" customHeight="false" outlineLevel="0" collapsed="false">
      <c r="A14" s="9" t="n">
        <v>10</v>
      </c>
      <c r="B14" s="9" t="str">
        <f aca="false">IFERROR(INDEX('Zoho Dump'!$N$8:$N$3007,MATCH(A14,'Zoho Dump'!$AB$8:$AB$3007,0)),"")</f>
        <v>MUFG IR / Orient Capital</v>
      </c>
      <c r="C14" s="17" t="n">
        <f aca="false">IF($B14="",0,SUMIFS('Zoho Dump'!$Q$8:$Q$3007,'Zoho Dump'!$N$8:$N$3007,$B14,'Zoho Dump'!$T$8:$T$3007,"Delivered",'Zoho Dump'!$R$8:$R$3007,"&gt;="&amp;Settings!$B$4))</f>
        <v>28652</v>
      </c>
      <c r="D14" s="17" t="n">
        <f aca="false">IF($B14="",0,SUMIFS('Zoho Dump'!$X$8:$X$3007,'Zoho Dump'!$N$8:$N$3007,$B14,'Zoho Dump'!$T$8:$T$3007,"Backlog")+SUMIFS(Adjustments!$K$8:$K$207,Adjustments!$B$8:$B$207,$B14,Adjustments!$H$8:$H$207,"Backlog"))</f>
        <v>0</v>
      </c>
      <c r="E14" s="17" t="n">
        <f aca="false">IF($B14="",0,SUMIFS('Zoho Dump'!$Y$8:$Y$3007,'Zoho Dump'!$N$8:$N$3007,$B14,'Zoho Dump'!$T$8:$T$3007,"Pipeline")+SUMIFS(Adjustments!$L$8:$L$207,Adjustments!$B$8:$B$207,$B14,Adjustments!$H$8:$H$207,"Pipeline")+SUMIFS('Zoho Dump'!$Y$8:$Y$3007,'Zoho Dump'!$N$8:$N$3007,$B14,'Zoho Dump'!$T$8:$T$3007,"Overdue")+SUMIFS(Adjustments!$L$8:$L$207,Adjustments!$B$8:$B$207,$B14,Adjustments!$H$8:$H$207,"Overdue"))</f>
        <v>110686</v>
      </c>
      <c r="F14" s="17" t="n">
        <f aca="false">IF($B14="",0,SUMIFS('Zoho Dump'!$X$8:$X$3007,'Zoho Dump'!$N$8:$N$3007,$B14,'Zoho Dump'!$T$8:$T$3007,"Pipeline")+SUMIFS(Adjustments!$K$8:$K$207,Adjustments!$B$8:$B$207,$B14,Adjustments!$H$8:$H$207,"Pipeline")+SUMIFS('Zoho Dump'!$X$8:$X$3007,'Zoho Dump'!$N$8:$N$3007,$B14,'Zoho Dump'!$T$8:$T$3007,"Overdue")+SUMIFS(Adjustments!$K$8:$K$207,Adjustments!$B$8:$B$207,$B14,Adjustments!$H$8:$H$207,"Overdue"))</f>
        <v>74751.4</v>
      </c>
      <c r="G14" s="17" t="n">
        <f aca="false">D14+F14</f>
        <v>74751.4</v>
      </c>
      <c r="H14" s="18" t="n">
        <f aca="false">IF(SUM($G$5:$G$404)=0,0,G14/SUM($G$5:$G$404))</f>
        <v>0.0876128118357008</v>
      </c>
      <c r="I14" s="17" t="n">
        <f aca="false">IF($B14="",0,SUMIFS('Zoho Dump'!$Q$8:$Q$3007,'Zoho Dump'!$N$8:$N$3007,$B14,'Zoho Dump'!$T$8:$T$3007,"Lost",'Zoho Dump'!$R$8:$R$3007,"&gt;="&amp;Settings!$B$4))</f>
        <v>0</v>
      </c>
      <c r="J14" s="9" t="str">
        <f aca="false">IF($B14="","",IF(COUNTIF(Dashboard!$C$13:$C$22,$B14)&gt;0,"Yes",""))</f>
        <v/>
      </c>
      <c r="K14" s="17" t="n">
        <f aca="false">IF($B14="",0,SUMIFS('Zoho Dump'!$X$8:$X$3007,'Zoho Dump'!$N$8:$N$3007,$B14,'Zoho Dump'!$P$8:$P$3007,Settings!$A$12)+SUMIFS(Adjustments!$K$8:$K$207,Adjustments!$B$8:$B$207,$B14,Adjustments!$A$8:$A$207,Settings!$A$12))</f>
        <v>0</v>
      </c>
      <c r="L14" s="17" t="n">
        <f aca="false">IF($B14="",0,SUMIFS('Zoho Dump'!$X$8:$X$3007,'Zoho Dump'!$N$8:$N$3007,$B14,'Zoho Dump'!$P$8:$P$3007,Settings!$A$13)+SUMIFS(Adjustments!$K$8:$K$207,Adjustments!$B$8:$B$207,$B14,Adjustments!$A$8:$A$207,Settings!$A$13))</f>
        <v>74751.4</v>
      </c>
      <c r="M14" s="17" t="n">
        <f aca="false">IF($B14="",0,SUMIFS('Zoho Dump'!$X$8:$X$3007,'Zoho Dump'!$N$8:$N$3007,$B14,'Zoho Dump'!$P$8:$P$3007,Settings!$A$14)+SUMIFS(Adjustments!$K$8:$K$207,Adjustments!$B$8:$B$207,$B14,Adjustments!$A$8:$A$207,Settings!$A$14))</f>
        <v>0</v>
      </c>
      <c r="N14" s="17" t="n">
        <f aca="false">IF($B14="",0,SUMIFS('Zoho Dump'!$X$8:$X$3007,'Zoho Dump'!$N$8:$N$3007,$B14,'Zoho Dump'!$P$8:$P$3007,Settings!$A$15)+SUMIFS(Adjustments!$K$8:$K$207,Adjustments!$B$8:$B$207,$B14,Adjustments!$A$8:$A$207,Settings!$A$15))</f>
        <v>0</v>
      </c>
      <c r="O14" s="17" t="n">
        <f aca="false">IF($B14="",0,SUMIFS('Zoho Dump'!$X$8:$X$3007,'Zoho Dump'!$N$8:$N$3007,$B14,'Zoho Dump'!$P$8:$P$3007,Settings!$A$16)+SUMIFS(Adjustments!$K$8:$K$207,Adjustments!$B$8:$B$207,$B14,Adjustments!$A$8:$A$207,Settings!$A$16))</f>
        <v>0</v>
      </c>
      <c r="P14" s="17" t="n">
        <f aca="false">IF($B14="",0,SUMIFS('Zoho Dump'!$X$8:$X$3007,'Zoho Dump'!$N$8:$N$3007,$B14,'Zoho Dump'!$P$8:$P$3007,Settings!$A$17)+SUMIFS(Adjustments!$K$8:$K$207,Adjustments!$B$8:$B$207,$B14,Adjustments!$A$8:$A$207,Settings!$A$17))</f>
        <v>0</v>
      </c>
      <c r="Q14" s="17" t="n">
        <f aca="false">IF($B14="",0,SUMIFS('Zoho Dump'!$X$8:$X$3007,'Zoho Dump'!$N$8:$N$3007,$B14,'Zoho Dump'!$P$8:$P$3007,Settings!$A$18)+SUMIFS(Adjustments!$K$8:$K$207,Adjustments!$B$8:$B$207,$B14,Adjustments!$A$8:$A$207,Settings!$A$18))</f>
        <v>0</v>
      </c>
      <c r="R14" s="30" t="n">
        <f aca="false">IF(G14&gt;0,G14+A14/10000000,"")</f>
        <v>74751.400001</v>
      </c>
    </row>
    <row r="15" customFormat="false" ht="15" hidden="false" customHeight="false" outlineLevel="0" collapsed="false">
      <c r="A15" s="9" t="n">
        <v>11</v>
      </c>
      <c r="B15" s="9" t="str">
        <f aca="false">IFERROR(INDEX('Zoho Dump'!$N$8:$N$3007,MATCH(A15,'Zoho Dump'!$AB$8:$AB$3007,0)),"")</f>
        <v>Kirra Services</v>
      </c>
      <c r="C15" s="17" t="n">
        <f aca="false">IF($B15="",0,SUMIFS('Zoho Dump'!$Q$8:$Q$3007,'Zoho Dump'!$N$8:$N$3007,$B15,'Zoho Dump'!$T$8:$T$3007,"Delivered",'Zoho Dump'!$R$8:$R$3007,"&gt;="&amp;Settings!$B$4))</f>
        <v>0</v>
      </c>
      <c r="D15" s="17" t="n">
        <f aca="false">IF($B15="",0,SUMIFS('Zoho Dump'!$X$8:$X$3007,'Zoho Dump'!$N$8:$N$3007,$B15,'Zoho Dump'!$T$8:$T$3007,"Backlog")+SUMIFS(Adjustments!$K$8:$K$207,Adjustments!$B$8:$B$207,$B15,Adjustments!$H$8:$H$207,"Backlog"))</f>
        <v>0</v>
      </c>
      <c r="E15" s="17" t="n">
        <f aca="false">IF($B15="",0,SUMIFS('Zoho Dump'!$Y$8:$Y$3007,'Zoho Dump'!$N$8:$N$3007,$B15,'Zoho Dump'!$T$8:$T$3007,"Pipeline")+SUMIFS(Adjustments!$L$8:$L$207,Adjustments!$B$8:$B$207,$B15,Adjustments!$H$8:$H$207,"Pipeline")+SUMIFS('Zoho Dump'!$Y$8:$Y$3007,'Zoho Dump'!$N$8:$N$3007,$B15,'Zoho Dump'!$T$8:$T$3007,"Overdue")+SUMIFS(Adjustments!$L$8:$L$207,Adjustments!$B$8:$B$207,$B15,Adjustments!$H$8:$H$207,"Overdue"))</f>
        <v>0</v>
      </c>
      <c r="F15" s="17" t="n">
        <f aca="false">IF($B15="",0,SUMIFS('Zoho Dump'!$X$8:$X$3007,'Zoho Dump'!$N$8:$N$3007,$B15,'Zoho Dump'!$T$8:$T$3007,"Pipeline")+SUMIFS(Adjustments!$K$8:$K$207,Adjustments!$B$8:$B$207,$B15,Adjustments!$H$8:$H$207,"Pipeline")+SUMIFS('Zoho Dump'!$X$8:$X$3007,'Zoho Dump'!$N$8:$N$3007,$B15,'Zoho Dump'!$T$8:$T$3007,"Overdue")+SUMIFS(Adjustments!$K$8:$K$207,Adjustments!$B$8:$B$207,$B15,Adjustments!$H$8:$H$207,"Overdue"))</f>
        <v>0</v>
      </c>
      <c r="G15" s="17" t="n">
        <f aca="false">D15+F15</f>
        <v>0</v>
      </c>
      <c r="H15" s="18" t="n">
        <f aca="false">IF(SUM($G$5:$G$404)=0,0,G15/SUM($G$5:$G$404))</f>
        <v>0</v>
      </c>
      <c r="I15" s="17" t="n">
        <f aca="false">IF($B15="",0,SUMIFS('Zoho Dump'!$Q$8:$Q$3007,'Zoho Dump'!$N$8:$N$3007,$B15,'Zoho Dump'!$T$8:$T$3007,"Lost",'Zoho Dump'!$R$8:$R$3007,"&gt;="&amp;Settings!$B$4))</f>
        <v>58850</v>
      </c>
      <c r="J15" s="9" t="str">
        <f aca="false">IF($B15="","",IF(COUNTIF(Dashboard!$C$13:$C$22,$B15)&gt;0,"Yes",""))</f>
        <v/>
      </c>
      <c r="K15" s="17" t="n">
        <f aca="false">IF($B15="",0,SUMIFS('Zoho Dump'!$X$8:$X$3007,'Zoho Dump'!$N$8:$N$3007,$B15,'Zoho Dump'!$P$8:$P$3007,Settings!$A$12)+SUMIFS(Adjustments!$K$8:$K$207,Adjustments!$B$8:$B$207,$B15,Adjustments!$A$8:$A$207,Settings!$A$12))</f>
        <v>0</v>
      </c>
      <c r="L15" s="17" t="n">
        <f aca="false">IF($B15="",0,SUMIFS('Zoho Dump'!$X$8:$X$3007,'Zoho Dump'!$N$8:$N$3007,$B15,'Zoho Dump'!$P$8:$P$3007,Settings!$A$13)+SUMIFS(Adjustments!$K$8:$K$207,Adjustments!$B$8:$B$207,$B15,Adjustments!$A$8:$A$207,Settings!$A$13))</f>
        <v>0</v>
      </c>
      <c r="M15" s="17" t="n">
        <f aca="false">IF($B15="",0,SUMIFS('Zoho Dump'!$X$8:$X$3007,'Zoho Dump'!$N$8:$N$3007,$B15,'Zoho Dump'!$P$8:$P$3007,Settings!$A$14)+SUMIFS(Adjustments!$K$8:$K$207,Adjustments!$B$8:$B$207,$B15,Adjustments!$A$8:$A$207,Settings!$A$14))</f>
        <v>0</v>
      </c>
      <c r="N15" s="17" t="n">
        <f aca="false">IF($B15="",0,SUMIFS('Zoho Dump'!$X$8:$X$3007,'Zoho Dump'!$N$8:$N$3007,$B15,'Zoho Dump'!$P$8:$P$3007,Settings!$A$15)+SUMIFS(Adjustments!$K$8:$K$207,Adjustments!$B$8:$B$207,$B15,Adjustments!$A$8:$A$207,Settings!$A$15))</f>
        <v>0</v>
      </c>
      <c r="O15" s="17" t="n">
        <f aca="false">IF($B15="",0,SUMIFS('Zoho Dump'!$X$8:$X$3007,'Zoho Dump'!$N$8:$N$3007,$B15,'Zoho Dump'!$P$8:$P$3007,Settings!$A$16)+SUMIFS(Adjustments!$K$8:$K$207,Adjustments!$B$8:$B$207,$B15,Adjustments!$A$8:$A$207,Settings!$A$16))</f>
        <v>0</v>
      </c>
      <c r="P15" s="17" t="n">
        <f aca="false">IF($B15="",0,SUMIFS('Zoho Dump'!$X$8:$X$3007,'Zoho Dump'!$N$8:$N$3007,$B15,'Zoho Dump'!$P$8:$P$3007,Settings!$A$17)+SUMIFS(Adjustments!$K$8:$K$207,Adjustments!$B$8:$B$207,$B15,Adjustments!$A$8:$A$207,Settings!$A$17))</f>
        <v>0</v>
      </c>
      <c r="Q15" s="17" t="n">
        <f aca="false">IF($B15="",0,SUMIFS('Zoho Dump'!$X$8:$X$3007,'Zoho Dump'!$N$8:$N$3007,$B15,'Zoho Dump'!$P$8:$P$3007,Settings!$A$18)+SUMIFS(Adjustments!$K$8:$K$207,Adjustments!$B$8:$B$207,$B15,Adjustments!$A$8:$A$207,Settings!$A$18))</f>
        <v>0</v>
      </c>
      <c r="R15" s="30" t="str">
        <f aca="false">IF(G15&gt;0,G15+A15/10000000,"")</f>
        <v/>
      </c>
    </row>
    <row r="16" customFormat="false" ht="15" hidden="false" customHeight="false" outlineLevel="0" collapsed="false">
      <c r="A16" s="9" t="n">
        <v>12</v>
      </c>
      <c r="B16" s="9" t="str">
        <f aca="false">IFERROR(INDEX('Zoho Dump'!$N$8:$N$3007,MATCH(A16,'Zoho Dump'!$AB$8:$AB$3007,0)),"")</f>
        <v>Amnesium</v>
      </c>
      <c r="C16" s="17" t="n">
        <f aca="false">IF($B16="",0,SUMIFS('Zoho Dump'!$Q$8:$Q$3007,'Zoho Dump'!$N$8:$N$3007,$B16,'Zoho Dump'!$T$8:$T$3007,"Delivered",'Zoho Dump'!$R$8:$R$3007,"&gt;="&amp;Settings!$B$4))</f>
        <v>0</v>
      </c>
      <c r="D16" s="17" t="n">
        <f aca="false">IF($B16="",0,SUMIFS('Zoho Dump'!$X$8:$X$3007,'Zoho Dump'!$N$8:$N$3007,$B16,'Zoho Dump'!$T$8:$T$3007,"Backlog")+SUMIFS(Adjustments!$K$8:$K$207,Adjustments!$B$8:$B$207,$B16,Adjustments!$H$8:$H$207,"Backlog"))</f>
        <v>0</v>
      </c>
      <c r="E16" s="17" t="n">
        <f aca="false">IF($B16="",0,SUMIFS('Zoho Dump'!$Y$8:$Y$3007,'Zoho Dump'!$N$8:$N$3007,$B16,'Zoho Dump'!$T$8:$T$3007,"Pipeline")+SUMIFS(Adjustments!$L$8:$L$207,Adjustments!$B$8:$B$207,$B16,Adjustments!$H$8:$H$207,"Pipeline")+SUMIFS('Zoho Dump'!$Y$8:$Y$3007,'Zoho Dump'!$N$8:$N$3007,$B16,'Zoho Dump'!$T$8:$T$3007,"Overdue")+SUMIFS(Adjustments!$L$8:$L$207,Adjustments!$B$8:$B$207,$B16,Adjustments!$H$8:$H$207,"Overdue"))</f>
        <v>8811</v>
      </c>
      <c r="F16" s="17" t="n">
        <f aca="false">IF($B16="",0,SUMIFS('Zoho Dump'!$X$8:$X$3007,'Zoho Dump'!$N$8:$N$3007,$B16,'Zoho Dump'!$T$8:$T$3007,"Pipeline")+SUMIFS(Adjustments!$K$8:$K$207,Adjustments!$B$8:$B$207,$B16,Adjustments!$H$8:$H$207,"Pipeline")+SUMIFS('Zoho Dump'!$X$8:$X$3007,'Zoho Dump'!$N$8:$N$3007,$B16,'Zoho Dump'!$T$8:$T$3007,"Overdue")+SUMIFS(Adjustments!$K$8:$K$207,Adjustments!$B$8:$B$207,$B16,Adjustments!$H$8:$H$207,"Overdue"))</f>
        <v>4405.5</v>
      </c>
      <c r="G16" s="17" t="n">
        <f aca="false">D16+F16</f>
        <v>4405.5</v>
      </c>
      <c r="H16" s="18" t="n">
        <f aca="false">IF(SUM($G$5:$G$404)=0,0,G16/SUM($G$5:$G$404))</f>
        <v>0.00516349182145324</v>
      </c>
      <c r="I16" s="17" t="n">
        <f aca="false">IF($B16="",0,SUMIFS('Zoho Dump'!$Q$8:$Q$3007,'Zoho Dump'!$N$8:$N$3007,$B16,'Zoho Dump'!$T$8:$T$3007,"Lost",'Zoho Dump'!$R$8:$R$3007,"&gt;="&amp;Settings!$B$4))</f>
        <v>0</v>
      </c>
      <c r="J16" s="9" t="str">
        <f aca="false">IF($B16="","",IF(COUNTIF(Dashboard!$C$13:$C$22,$B16)&gt;0,"Yes",""))</f>
        <v/>
      </c>
      <c r="K16" s="17" t="n">
        <f aca="false">IF($B16="",0,SUMIFS('Zoho Dump'!$X$8:$X$3007,'Zoho Dump'!$N$8:$N$3007,$B16,'Zoho Dump'!$P$8:$P$3007,Settings!$A$12)+SUMIFS(Adjustments!$K$8:$K$207,Adjustments!$B$8:$B$207,$B16,Adjustments!$A$8:$A$207,Settings!$A$12))</f>
        <v>0</v>
      </c>
      <c r="L16" s="17" t="n">
        <f aca="false">IF($B16="",0,SUMIFS('Zoho Dump'!$X$8:$X$3007,'Zoho Dump'!$N$8:$N$3007,$B16,'Zoho Dump'!$P$8:$P$3007,Settings!$A$13)+SUMIFS(Adjustments!$K$8:$K$207,Adjustments!$B$8:$B$207,$B16,Adjustments!$A$8:$A$207,Settings!$A$13))</f>
        <v>0</v>
      </c>
      <c r="M16" s="17" t="n">
        <f aca="false">IF($B16="",0,SUMIFS('Zoho Dump'!$X$8:$X$3007,'Zoho Dump'!$N$8:$N$3007,$B16,'Zoho Dump'!$P$8:$P$3007,Settings!$A$14)+SUMIFS(Adjustments!$K$8:$K$207,Adjustments!$B$8:$B$207,$B16,Adjustments!$A$8:$A$207,Settings!$A$14))</f>
        <v>0</v>
      </c>
      <c r="N16" s="17" t="n">
        <f aca="false">IF($B16="",0,SUMIFS('Zoho Dump'!$X$8:$X$3007,'Zoho Dump'!$N$8:$N$3007,$B16,'Zoho Dump'!$P$8:$P$3007,Settings!$A$15)+SUMIFS(Adjustments!$K$8:$K$207,Adjustments!$B$8:$B$207,$B16,Adjustments!$A$8:$A$207,Settings!$A$15))</f>
        <v>0</v>
      </c>
      <c r="O16" s="17" t="n">
        <f aca="false">IF($B16="",0,SUMIFS('Zoho Dump'!$X$8:$X$3007,'Zoho Dump'!$N$8:$N$3007,$B16,'Zoho Dump'!$P$8:$P$3007,Settings!$A$16)+SUMIFS(Adjustments!$K$8:$K$207,Adjustments!$B$8:$B$207,$B16,Adjustments!$A$8:$A$207,Settings!$A$16))</f>
        <v>4405.5</v>
      </c>
      <c r="P16" s="17" t="n">
        <f aca="false">IF($B16="",0,SUMIFS('Zoho Dump'!$X$8:$X$3007,'Zoho Dump'!$N$8:$N$3007,$B16,'Zoho Dump'!$P$8:$P$3007,Settings!$A$17)+SUMIFS(Adjustments!$K$8:$K$207,Adjustments!$B$8:$B$207,$B16,Adjustments!$A$8:$A$207,Settings!$A$17))</f>
        <v>0</v>
      </c>
      <c r="Q16" s="17" t="n">
        <f aca="false">IF($B16="",0,SUMIFS('Zoho Dump'!$X$8:$X$3007,'Zoho Dump'!$N$8:$N$3007,$B16,'Zoho Dump'!$P$8:$P$3007,Settings!$A$18)+SUMIFS(Adjustments!$K$8:$K$207,Adjustments!$B$8:$B$207,$B16,Adjustments!$A$8:$A$207,Settings!$A$18))</f>
        <v>0</v>
      </c>
      <c r="R16" s="30" t="n">
        <f aca="false">IF(G16&gt;0,G16+A16/10000000,"")</f>
        <v>4405.5000012</v>
      </c>
    </row>
    <row r="17" customFormat="false" ht="15" hidden="false" customHeight="false" outlineLevel="0" collapsed="false">
      <c r="A17" s="9" t="n">
        <v>13</v>
      </c>
      <c r="B17" s="9" t="str">
        <f aca="false">IFERROR(INDEX('Zoho Dump'!$N$8:$N$3007,MATCH(A17,'Zoho Dump'!$AB$8:$AB$3007,0)),"")</f>
        <v>Chorus Call</v>
      </c>
      <c r="C17" s="17" t="n">
        <f aca="false">IF($B17="",0,SUMIFS('Zoho Dump'!$Q$8:$Q$3007,'Zoho Dump'!$N$8:$N$3007,$B17,'Zoho Dump'!$T$8:$T$3007,"Delivered",'Zoho Dump'!$R$8:$R$3007,"&gt;="&amp;Settings!$B$4))</f>
        <v>4842</v>
      </c>
      <c r="D17" s="17" t="n">
        <f aca="false">IF($B17="",0,SUMIFS('Zoho Dump'!$X$8:$X$3007,'Zoho Dump'!$N$8:$N$3007,$B17,'Zoho Dump'!$T$8:$T$3007,"Backlog")+SUMIFS(Adjustments!$K$8:$K$207,Adjustments!$B$8:$B$207,$B17,Adjustments!$H$8:$H$207,"Backlog"))</f>
        <v>0</v>
      </c>
      <c r="E17" s="17" t="n">
        <f aca="false">IF($B17="",0,SUMIFS('Zoho Dump'!$Y$8:$Y$3007,'Zoho Dump'!$N$8:$N$3007,$B17,'Zoho Dump'!$T$8:$T$3007,"Pipeline")+SUMIFS(Adjustments!$L$8:$L$207,Adjustments!$B$8:$B$207,$B17,Adjustments!$H$8:$H$207,"Pipeline")+SUMIFS('Zoho Dump'!$Y$8:$Y$3007,'Zoho Dump'!$N$8:$N$3007,$B17,'Zoho Dump'!$T$8:$T$3007,"Overdue")+SUMIFS(Adjustments!$L$8:$L$207,Adjustments!$B$8:$B$207,$B17,Adjustments!$H$8:$H$207,"Overdue"))</f>
        <v>24222</v>
      </c>
      <c r="F17" s="17" t="n">
        <f aca="false">IF($B17="",0,SUMIFS('Zoho Dump'!$X$8:$X$3007,'Zoho Dump'!$N$8:$N$3007,$B17,'Zoho Dump'!$T$8:$T$3007,"Pipeline")+SUMIFS(Adjustments!$K$8:$K$207,Adjustments!$B$8:$B$207,$B17,Adjustments!$H$8:$H$207,"Pipeline")+SUMIFS('Zoho Dump'!$X$8:$X$3007,'Zoho Dump'!$N$8:$N$3007,$B17,'Zoho Dump'!$T$8:$T$3007,"Overdue")+SUMIFS(Adjustments!$K$8:$K$207,Adjustments!$B$8:$B$207,$B17,Adjustments!$H$8:$H$207,"Overdue"))</f>
        <v>9455.4</v>
      </c>
      <c r="G17" s="17" t="n">
        <f aca="false">D17+F17</f>
        <v>9455.4</v>
      </c>
      <c r="H17" s="18" t="n">
        <f aca="false">IF(SUM($G$5:$G$404)=0,0,G17/SUM($G$5:$G$404))</f>
        <v>0.0110822563996298</v>
      </c>
      <c r="I17" s="17" t="n">
        <f aca="false">IF($B17="",0,SUMIFS('Zoho Dump'!$Q$8:$Q$3007,'Zoho Dump'!$N$8:$N$3007,$B17,'Zoho Dump'!$T$8:$T$3007,"Lost",'Zoho Dump'!$R$8:$R$3007,"&gt;="&amp;Settings!$B$4))</f>
        <v>6957</v>
      </c>
      <c r="J17" s="9" t="str">
        <f aca="false">IF($B17="","",IF(COUNTIF(Dashboard!$C$13:$C$22,$B17)&gt;0,"Yes",""))</f>
        <v/>
      </c>
      <c r="K17" s="17" t="n">
        <f aca="false">IF($B17="",0,SUMIFS('Zoho Dump'!$X$8:$X$3007,'Zoho Dump'!$N$8:$N$3007,$B17,'Zoho Dump'!$P$8:$P$3007,Settings!$A$12)+SUMIFS(Adjustments!$K$8:$K$207,Adjustments!$B$8:$B$207,$B17,Adjustments!$A$8:$A$207,Settings!$A$12))</f>
        <v>0</v>
      </c>
      <c r="L17" s="17" t="n">
        <f aca="false">IF($B17="",0,SUMIFS('Zoho Dump'!$X$8:$X$3007,'Zoho Dump'!$N$8:$N$3007,$B17,'Zoho Dump'!$P$8:$P$3007,Settings!$A$13)+SUMIFS(Adjustments!$K$8:$K$207,Adjustments!$B$8:$B$207,$B17,Adjustments!$A$8:$A$207,Settings!$A$13))</f>
        <v>9455.4</v>
      </c>
      <c r="M17" s="17" t="n">
        <f aca="false">IF($B17="",0,SUMIFS('Zoho Dump'!$X$8:$X$3007,'Zoho Dump'!$N$8:$N$3007,$B17,'Zoho Dump'!$P$8:$P$3007,Settings!$A$14)+SUMIFS(Adjustments!$K$8:$K$207,Adjustments!$B$8:$B$207,$B17,Adjustments!$A$8:$A$207,Settings!$A$14))</f>
        <v>0</v>
      </c>
      <c r="N17" s="17" t="n">
        <f aca="false">IF($B17="",0,SUMIFS('Zoho Dump'!$X$8:$X$3007,'Zoho Dump'!$N$8:$N$3007,$B17,'Zoho Dump'!$P$8:$P$3007,Settings!$A$15)+SUMIFS(Adjustments!$K$8:$K$207,Adjustments!$B$8:$B$207,$B17,Adjustments!$A$8:$A$207,Settings!$A$15))</f>
        <v>0</v>
      </c>
      <c r="O17" s="17" t="n">
        <f aca="false">IF($B17="",0,SUMIFS('Zoho Dump'!$X$8:$X$3007,'Zoho Dump'!$N$8:$N$3007,$B17,'Zoho Dump'!$P$8:$P$3007,Settings!$A$16)+SUMIFS(Adjustments!$K$8:$K$207,Adjustments!$B$8:$B$207,$B17,Adjustments!$A$8:$A$207,Settings!$A$16))</f>
        <v>0</v>
      </c>
      <c r="P17" s="17" t="n">
        <f aca="false">IF($B17="",0,SUMIFS('Zoho Dump'!$X$8:$X$3007,'Zoho Dump'!$N$8:$N$3007,$B17,'Zoho Dump'!$P$8:$P$3007,Settings!$A$17)+SUMIFS(Adjustments!$K$8:$K$207,Adjustments!$B$8:$B$207,$B17,Adjustments!$A$8:$A$207,Settings!$A$17))</f>
        <v>0</v>
      </c>
      <c r="Q17" s="17" t="n">
        <f aca="false">IF($B17="",0,SUMIFS('Zoho Dump'!$X$8:$X$3007,'Zoho Dump'!$N$8:$N$3007,$B17,'Zoho Dump'!$P$8:$P$3007,Settings!$A$18)+SUMIFS(Adjustments!$K$8:$K$207,Adjustments!$B$8:$B$207,$B17,Adjustments!$A$8:$A$207,Settings!$A$18))</f>
        <v>0</v>
      </c>
      <c r="R17" s="30" t="n">
        <f aca="false">IF(G17&gt;0,G17+A17/10000000,"")</f>
        <v>9455.4000013</v>
      </c>
    </row>
    <row r="18" customFormat="false" ht="15" hidden="false" customHeight="false" outlineLevel="0" collapsed="false">
      <c r="A18" s="9" t="n">
        <v>14</v>
      </c>
      <c r="B18" s="9" t="str">
        <f aca="false">IFERROR(INDEX('Zoho Dump'!$N$8:$N$3007,MATCH(A18,'Zoho Dump'!$AB$8:$AB$3007,0)),"")</f>
        <v>Aware Super</v>
      </c>
      <c r="C18" s="17" t="n">
        <f aca="false">IF($B18="",0,SUMIFS('Zoho Dump'!$Q$8:$Q$3007,'Zoho Dump'!$N$8:$N$3007,$B18,'Zoho Dump'!$T$8:$T$3007,"Delivered",'Zoho Dump'!$R$8:$R$3007,"&gt;="&amp;Settings!$B$4))</f>
        <v>55545</v>
      </c>
      <c r="D18" s="17" t="n">
        <f aca="false">IF($B18="",0,SUMIFS('Zoho Dump'!$X$8:$X$3007,'Zoho Dump'!$N$8:$N$3007,$B18,'Zoho Dump'!$T$8:$T$3007,"Backlog")+SUMIFS(Adjustments!$K$8:$K$207,Adjustments!$B$8:$B$207,$B18,Adjustments!$H$8:$H$207,"Backlog"))</f>
        <v>0</v>
      </c>
      <c r="E18" s="17" t="n">
        <f aca="false">IF($B18="",0,SUMIFS('Zoho Dump'!$Y$8:$Y$3007,'Zoho Dump'!$N$8:$N$3007,$B18,'Zoho Dump'!$T$8:$T$3007,"Pipeline")+SUMIFS(Adjustments!$L$8:$L$207,Adjustments!$B$8:$B$207,$B18,Adjustments!$H$8:$H$207,"Pipeline")+SUMIFS('Zoho Dump'!$Y$8:$Y$3007,'Zoho Dump'!$N$8:$N$3007,$B18,'Zoho Dump'!$T$8:$T$3007,"Overdue")+SUMIFS(Adjustments!$L$8:$L$207,Adjustments!$B$8:$B$207,$B18,Adjustments!$H$8:$H$207,"Overdue"))</f>
        <v>45401</v>
      </c>
      <c r="F18" s="17" t="n">
        <f aca="false">IF($B18="",0,SUMIFS('Zoho Dump'!$X$8:$X$3007,'Zoho Dump'!$N$8:$N$3007,$B18,'Zoho Dump'!$T$8:$T$3007,"Pipeline")+SUMIFS(Adjustments!$K$8:$K$207,Adjustments!$B$8:$B$207,$B18,Adjustments!$H$8:$H$207,"Pipeline")+SUMIFS('Zoho Dump'!$X$8:$X$3007,'Zoho Dump'!$N$8:$N$3007,$B18,'Zoho Dump'!$T$8:$T$3007,"Overdue")+SUMIFS(Adjustments!$K$8:$K$207,Adjustments!$B$8:$B$207,$B18,Adjustments!$H$8:$H$207,"Overdue"))</f>
        <v>22648.2</v>
      </c>
      <c r="G18" s="17" t="n">
        <f aca="false">D18+F18</f>
        <v>22648.2</v>
      </c>
      <c r="H18" s="18" t="n">
        <f aca="false">IF(SUM($G$5:$G$404)=0,0,G18/SUM($G$5:$G$404))</f>
        <v>0.0265449541415588</v>
      </c>
      <c r="I18" s="17" t="n">
        <f aca="false">IF($B18="",0,SUMIFS('Zoho Dump'!$Q$8:$Q$3007,'Zoho Dump'!$N$8:$N$3007,$B18,'Zoho Dump'!$T$8:$T$3007,"Lost",'Zoho Dump'!$R$8:$R$3007,"&gt;="&amp;Settings!$B$4))</f>
        <v>500</v>
      </c>
      <c r="J18" s="9" t="str">
        <f aca="false">IF($B18="","",IF(COUNTIF(Dashboard!$C$13:$C$22,$B18)&gt;0,"Yes",""))</f>
        <v/>
      </c>
      <c r="K18" s="17" t="n">
        <f aca="false">IF($B18="",0,SUMIFS('Zoho Dump'!$X$8:$X$3007,'Zoho Dump'!$N$8:$N$3007,$B18,'Zoho Dump'!$P$8:$P$3007,Settings!$A$12)+SUMIFS(Adjustments!$K$8:$K$207,Adjustments!$B$8:$B$207,$B18,Adjustments!$A$8:$A$207,Settings!$A$12))</f>
        <v>0</v>
      </c>
      <c r="L18" s="17" t="n">
        <f aca="false">IF($B18="",0,SUMIFS('Zoho Dump'!$X$8:$X$3007,'Zoho Dump'!$N$8:$N$3007,$B18,'Zoho Dump'!$P$8:$P$3007,Settings!$A$13)+SUMIFS(Adjustments!$K$8:$K$207,Adjustments!$B$8:$B$207,$B18,Adjustments!$A$8:$A$207,Settings!$A$13))</f>
        <v>2000</v>
      </c>
      <c r="M18" s="17" t="n">
        <f aca="false">IF($B18="",0,SUMIFS('Zoho Dump'!$X$8:$X$3007,'Zoho Dump'!$N$8:$N$3007,$B18,'Zoho Dump'!$P$8:$P$3007,Settings!$A$14)+SUMIFS(Adjustments!$K$8:$K$207,Adjustments!$B$8:$B$207,$B18,Adjustments!$A$8:$A$207,Settings!$A$14))</f>
        <v>0</v>
      </c>
      <c r="N18" s="17" t="n">
        <f aca="false">IF($B18="",0,SUMIFS('Zoho Dump'!$X$8:$X$3007,'Zoho Dump'!$N$8:$N$3007,$B18,'Zoho Dump'!$P$8:$P$3007,Settings!$A$15)+SUMIFS(Adjustments!$K$8:$K$207,Adjustments!$B$8:$B$207,$B18,Adjustments!$A$8:$A$207,Settings!$A$15))</f>
        <v>0</v>
      </c>
      <c r="O18" s="17" t="n">
        <f aca="false">IF($B18="",0,SUMIFS('Zoho Dump'!$X$8:$X$3007,'Zoho Dump'!$N$8:$N$3007,$B18,'Zoho Dump'!$P$8:$P$3007,Settings!$A$16)+SUMIFS(Adjustments!$K$8:$K$207,Adjustments!$B$8:$B$207,$B18,Adjustments!$A$8:$A$207,Settings!$A$16))</f>
        <v>20648.2</v>
      </c>
      <c r="P18" s="17" t="n">
        <f aca="false">IF($B18="",0,SUMIFS('Zoho Dump'!$X$8:$X$3007,'Zoho Dump'!$N$8:$N$3007,$B18,'Zoho Dump'!$P$8:$P$3007,Settings!$A$17)+SUMIFS(Adjustments!$K$8:$K$207,Adjustments!$B$8:$B$207,$B18,Adjustments!$A$8:$A$207,Settings!$A$17))</f>
        <v>0</v>
      </c>
      <c r="Q18" s="17" t="n">
        <f aca="false">IF($B18="",0,SUMIFS('Zoho Dump'!$X$8:$X$3007,'Zoho Dump'!$N$8:$N$3007,$B18,'Zoho Dump'!$P$8:$P$3007,Settings!$A$18)+SUMIFS(Adjustments!$K$8:$K$207,Adjustments!$B$8:$B$207,$B18,Adjustments!$A$8:$A$207,Settings!$A$18))</f>
        <v>0</v>
      </c>
      <c r="R18" s="30" t="n">
        <f aca="false">IF(G18&gt;0,G18+A18/10000000,"")</f>
        <v>22648.2000014</v>
      </c>
    </row>
    <row r="19" customFormat="false" ht="15" hidden="false" customHeight="false" outlineLevel="0" collapsed="false">
      <c r="A19" s="9" t="n">
        <v>15</v>
      </c>
      <c r="B19" s="9" t="str">
        <f aca="false">IFERROR(INDEX('Zoho Dump'!$N$8:$N$3007,MATCH(A19,'Zoho Dump'!$AB$8:$AB$3007,0)),"")</f>
        <v>Commonwealth Bank Australia (CBA)</v>
      </c>
      <c r="C19" s="17" t="n">
        <f aca="false">IF($B19="",0,SUMIFS('Zoho Dump'!$Q$8:$Q$3007,'Zoho Dump'!$N$8:$N$3007,$B19,'Zoho Dump'!$T$8:$T$3007,"Delivered",'Zoho Dump'!$R$8:$R$3007,"&gt;="&amp;Settings!$B$4))</f>
        <v>29950</v>
      </c>
      <c r="D19" s="17" t="n">
        <f aca="false">IF($B19="",0,SUMIFS('Zoho Dump'!$X$8:$X$3007,'Zoho Dump'!$N$8:$N$3007,$B19,'Zoho Dump'!$T$8:$T$3007,"Backlog")+SUMIFS(Adjustments!$K$8:$K$207,Adjustments!$B$8:$B$207,$B19,Adjustments!$H$8:$H$207,"Backlog"))</f>
        <v>0</v>
      </c>
      <c r="E19" s="17" t="n">
        <f aca="false">IF($B19="",0,SUMIFS('Zoho Dump'!$Y$8:$Y$3007,'Zoho Dump'!$N$8:$N$3007,$B19,'Zoho Dump'!$T$8:$T$3007,"Pipeline")+SUMIFS(Adjustments!$L$8:$L$207,Adjustments!$B$8:$B$207,$B19,Adjustments!$H$8:$H$207,"Pipeline")+SUMIFS('Zoho Dump'!$Y$8:$Y$3007,'Zoho Dump'!$N$8:$N$3007,$B19,'Zoho Dump'!$T$8:$T$3007,"Overdue")+SUMIFS(Adjustments!$L$8:$L$207,Adjustments!$B$8:$B$207,$B19,Adjustments!$H$8:$H$207,"Overdue"))</f>
        <v>482680</v>
      </c>
      <c r="F19" s="17" t="n">
        <f aca="false">IF($B19="",0,SUMIFS('Zoho Dump'!$X$8:$X$3007,'Zoho Dump'!$N$8:$N$3007,$B19,'Zoho Dump'!$T$8:$T$3007,"Pipeline")+SUMIFS(Adjustments!$K$8:$K$207,Adjustments!$B$8:$B$207,$B19,Adjustments!$H$8:$H$207,"Pipeline")+SUMIFS('Zoho Dump'!$X$8:$X$3007,'Zoho Dump'!$N$8:$N$3007,$B19,'Zoho Dump'!$T$8:$T$3007,"Overdue")+SUMIFS(Adjustments!$K$8:$K$207,Adjustments!$B$8:$B$207,$B19,Adjustments!$H$8:$H$207,"Overdue"))</f>
        <v>429376</v>
      </c>
      <c r="G19" s="17" t="n">
        <f aca="false">D19+F19</f>
        <v>429376</v>
      </c>
      <c r="H19" s="18" t="n">
        <f aca="false">IF(SUM($G$5:$G$404)=0,0,G19/SUM($G$5:$G$404))</f>
        <v>0.503252630649939</v>
      </c>
      <c r="I19" s="17" t="n">
        <f aca="false">IF($B19="",0,SUMIFS('Zoho Dump'!$Q$8:$Q$3007,'Zoho Dump'!$N$8:$N$3007,$B19,'Zoho Dump'!$T$8:$T$3007,"Lost",'Zoho Dump'!$R$8:$R$3007,"&gt;="&amp;Settings!$B$4))</f>
        <v>10508</v>
      </c>
      <c r="J19" s="9" t="str">
        <f aca="false">IF($B19="","",IF(COUNTIF(Dashboard!$C$13:$C$22,$B19)&gt;0,"Yes",""))</f>
        <v/>
      </c>
      <c r="K19" s="17" t="n">
        <f aca="false">IF($B19="",0,SUMIFS('Zoho Dump'!$X$8:$X$3007,'Zoho Dump'!$N$8:$N$3007,$B19,'Zoho Dump'!$P$8:$P$3007,Settings!$A$12)+SUMIFS(Adjustments!$K$8:$K$207,Adjustments!$B$8:$B$207,$B19,Adjustments!$A$8:$A$207,Settings!$A$12))</f>
        <v>0</v>
      </c>
      <c r="L19" s="17" t="n">
        <f aca="false">IF($B19="",0,SUMIFS('Zoho Dump'!$X$8:$X$3007,'Zoho Dump'!$N$8:$N$3007,$B19,'Zoho Dump'!$P$8:$P$3007,Settings!$A$13)+SUMIFS(Adjustments!$K$8:$K$207,Adjustments!$B$8:$B$207,$B19,Adjustments!$A$8:$A$207,Settings!$A$13))</f>
        <v>429376</v>
      </c>
      <c r="M19" s="17" t="n">
        <f aca="false">IF($B19="",0,SUMIFS('Zoho Dump'!$X$8:$X$3007,'Zoho Dump'!$N$8:$N$3007,$B19,'Zoho Dump'!$P$8:$P$3007,Settings!$A$14)+SUMIFS(Adjustments!$K$8:$K$207,Adjustments!$B$8:$B$207,$B19,Adjustments!$A$8:$A$207,Settings!$A$14))</f>
        <v>0</v>
      </c>
      <c r="N19" s="17" t="n">
        <f aca="false">IF($B19="",0,SUMIFS('Zoho Dump'!$X$8:$X$3007,'Zoho Dump'!$N$8:$N$3007,$B19,'Zoho Dump'!$P$8:$P$3007,Settings!$A$15)+SUMIFS(Adjustments!$K$8:$K$207,Adjustments!$B$8:$B$207,$B19,Adjustments!$A$8:$A$207,Settings!$A$15))</f>
        <v>0</v>
      </c>
      <c r="O19" s="17" t="n">
        <f aca="false">IF($B19="",0,SUMIFS('Zoho Dump'!$X$8:$X$3007,'Zoho Dump'!$N$8:$N$3007,$B19,'Zoho Dump'!$P$8:$P$3007,Settings!$A$16)+SUMIFS(Adjustments!$K$8:$K$207,Adjustments!$B$8:$B$207,$B19,Adjustments!$A$8:$A$207,Settings!$A$16))</f>
        <v>0</v>
      </c>
      <c r="P19" s="17" t="n">
        <f aca="false">IF($B19="",0,SUMIFS('Zoho Dump'!$X$8:$X$3007,'Zoho Dump'!$N$8:$N$3007,$B19,'Zoho Dump'!$P$8:$P$3007,Settings!$A$17)+SUMIFS(Adjustments!$K$8:$K$207,Adjustments!$B$8:$B$207,$B19,Adjustments!$A$8:$A$207,Settings!$A$17))</f>
        <v>0</v>
      </c>
      <c r="Q19" s="17" t="n">
        <f aca="false">IF($B19="",0,SUMIFS('Zoho Dump'!$X$8:$X$3007,'Zoho Dump'!$N$8:$N$3007,$B19,'Zoho Dump'!$P$8:$P$3007,Settings!$A$18)+SUMIFS(Adjustments!$K$8:$K$207,Adjustments!$B$8:$B$207,$B19,Adjustments!$A$8:$A$207,Settings!$A$18))</f>
        <v>0</v>
      </c>
      <c r="R19" s="30" t="n">
        <f aca="false">IF(G19&gt;0,G19+A19/10000000,"")</f>
        <v>429376.0000015</v>
      </c>
    </row>
    <row r="20" customFormat="false" ht="15" hidden="false" customHeight="false" outlineLevel="0" collapsed="false">
      <c r="A20" s="9" t="n">
        <v>16</v>
      </c>
      <c r="B20" s="9" t="str">
        <f aca="false">IFERROR(INDEX('Zoho Dump'!$N$8:$N$3007,MATCH(A20,'Zoho Dump'!$AB$8:$AB$3007,0)),"")</f>
        <v>Ventia</v>
      </c>
      <c r="C20" s="17" t="n">
        <f aca="false">IF($B20="",0,SUMIFS('Zoho Dump'!$Q$8:$Q$3007,'Zoho Dump'!$N$8:$N$3007,$B20,'Zoho Dump'!$T$8:$T$3007,"Delivered",'Zoho Dump'!$R$8:$R$3007,"&gt;="&amp;Settings!$B$4))</f>
        <v>97316</v>
      </c>
      <c r="D20" s="17" t="n">
        <f aca="false">IF($B20="",0,SUMIFS('Zoho Dump'!$X$8:$X$3007,'Zoho Dump'!$N$8:$N$3007,$B20,'Zoho Dump'!$T$8:$T$3007,"Backlog")+SUMIFS(Adjustments!$K$8:$K$207,Adjustments!$B$8:$B$207,$B20,Adjustments!$H$8:$H$207,"Backlog"))</f>
        <v>0</v>
      </c>
      <c r="E20" s="17" t="n">
        <f aca="false">IF($B20="",0,SUMIFS('Zoho Dump'!$Y$8:$Y$3007,'Zoho Dump'!$N$8:$N$3007,$B20,'Zoho Dump'!$T$8:$T$3007,"Pipeline")+SUMIFS(Adjustments!$L$8:$L$207,Adjustments!$B$8:$B$207,$B20,Adjustments!$H$8:$H$207,"Pipeline")+SUMIFS('Zoho Dump'!$Y$8:$Y$3007,'Zoho Dump'!$N$8:$N$3007,$B20,'Zoho Dump'!$T$8:$T$3007,"Overdue")+SUMIFS(Adjustments!$L$8:$L$207,Adjustments!$B$8:$B$207,$B20,Adjustments!$H$8:$H$207,"Overdue"))</f>
        <v>39120</v>
      </c>
      <c r="F20" s="17" t="n">
        <f aca="false">IF($B20="",0,SUMIFS('Zoho Dump'!$X$8:$X$3007,'Zoho Dump'!$N$8:$N$3007,$B20,'Zoho Dump'!$T$8:$T$3007,"Pipeline")+SUMIFS(Adjustments!$K$8:$K$207,Adjustments!$B$8:$B$207,$B20,Adjustments!$H$8:$H$207,"Pipeline")+SUMIFS('Zoho Dump'!$X$8:$X$3007,'Zoho Dump'!$N$8:$N$3007,$B20,'Zoho Dump'!$T$8:$T$3007,"Overdue")+SUMIFS(Adjustments!$K$8:$K$207,Adjustments!$B$8:$B$207,$B20,Adjustments!$H$8:$H$207,"Overdue"))</f>
        <v>12384</v>
      </c>
      <c r="G20" s="17" t="n">
        <f aca="false">D20+F20</f>
        <v>12384</v>
      </c>
      <c r="H20" s="18" t="n">
        <f aca="false">IF(SUM($G$5:$G$404)=0,0,G20/SUM($G$5:$G$404))</f>
        <v>0.014514739011889</v>
      </c>
      <c r="I20" s="17" t="n">
        <f aca="false">IF($B20="",0,SUMIFS('Zoho Dump'!$Q$8:$Q$3007,'Zoho Dump'!$N$8:$N$3007,$B20,'Zoho Dump'!$T$8:$T$3007,"Lost",'Zoho Dump'!$R$8:$R$3007,"&gt;="&amp;Settings!$B$4))</f>
        <v>25000</v>
      </c>
      <c r="J20" s="9" t="str">
        <f aca="false">IF($B20="","",IF(COUNTIF(Dashboard!$C$13:$C$22,$B20)&gt;0,"Yes",""))</f>
        <v/>
      </c>
      <c r="K20" s="17" t="n">
        <f aca="false">IF($B20="",0,SUMIFS('Zoho Dump'!$X$8:$X$3007,'Zoho Dump'!$N$8:$N$3007,$B20,'Zoho Dump'!$P$8:$P$3007,Settings!$A$12)+SUMIFS(Adjustments!$K$8:$K$207,Adjustments!$B$8:$B$207,$B20,Adjustments!$A$8:$A$207,Settings!$A$12))</f>
        <v>0</v>
      </c>
      <c r="L20" s="17" t="n">
        <f aca="false">IF($B20="",0,SUMIFS('Zoho Dump'!$X$8:$X$3007,'Zoho Dump'!$N$8:$N$3007,$B20,'Zoho Dump'!$P$8:$P$3007,Settings!$A$13)+SUMIFS(Adjustments!$K$8:$K$207,Adjustments!$B$8:$B$207,$B20,Adjustments!$A$8:$A$207,Settings!$A$13))</f>
        <v>6000</v>
      </c>
      <c r="M20" s="17" t="n">
        <f aca="false">IF($B20="",0,SUMIFS('Zoho Dump'!$X$8:$X$3007,'Zoho Dump'!$N$8:$N$3007,$B20,'Zoho Dump'!$P$8:$P$3007,Settings!$A$14)+SUMIFS(Adjustments!$K$8:$K$207,Adjustments!$B$8:$B$207,$B20,Adjustments!$A$8:$A$207,Settings!$A$14))</f>
        <v>0</v>
      </c>
      <c r="N20" s="17" t="n">
        <f aca="false">IF($B20="",0,SUMIFS('Zoho Dump'!$X$8:$X$3007,'Zoho Dump'!$N$8:$N$3007,$B20,'Zoho Dump'!$P$8:$P$3007,Settings!$A$15)+SUMIFS(Adjustments!$K$8:$K$207,Adjustments!$B$8:$B$207,$B20,Adjustments!$A$8:$A$207,Settings!$A$15))</f>
        <v>0</v>
      </c>
      <c r="O20" s="17" t="n">
        <f aca="false">IF($B20="",0,SUMIFS('Zoho Dump'!$X$8:$X$3007,'Zoho Dump'!$N$8:$N$3007,$B20,'Zoho Dump'!$P$8:$P$3007,Settings!$A$16)+SUMIFS(Adjustments!$K$8:$K$207,Adjustments!$B$8:$B$207,$B20,Adjustments!$A$8:$A$207,Settings!$A$16))</f>
        <v>6384</v>
      </c>
      <c r="P20" s="17" t="n">
        <f aca="false">IF($B20="",0,SUMIFS('Zoho Dump'!$X$8:$X$3007,'Zoho Dump'!$N$8:$N$3007,$B20,'Zoho Dump'!$P$8:$P$3007,Settings!$A$17)+SUMIFS(Adjustments!$K$8:$K$207,Adjustments!$B$8:$B$207,$B20,Adjustments!$A$8:$A$207,Settings!$A$17))</f>
        <v>0</v>
      </c>
      <c r="Q20" s="17" t="n">
        <f aca="false">IF($B20="",0,SUMIFS('Zoho Dump'!$X$8:$X$3007,'Zoho Dump'!$N$8:$N$3007,$B20,'Zoho Dump'!$P$8:$P$3007,Settings!$A$18)+SUMIFS(Adjustments!$K$8:$K$207,Adjustments!$B$8:$B$207,$B20,Adjustments!$A$8:$A$207,Settings!$A$18))</f>
        <v>0</v>
      </c>
      <c r="R20" s="30" t="n">
        <f aca="false">IF(G20&gt;0,G20+A20/10000000,"")</f>
        <v>12384.0000016</v>
      </c>
    </row>
    <row r="21" customFormat="false" ht="15" hidden="false" customHeight="false" outlineLevel="0" collapsed="false">
      <c r="A21" s="9" t="n">
        <v>17</v>
      </c>
      <c r="B21" s="9" t="str">
        <f aca="false">IFERROR(INDEX('Zoho Dump'!$N$8:$N$3007,MATCH(A21,'Zoho Dump'!$AB$8:$AB$3007,0)),"")</f>
        <v>Ricoh</v>
      </c>
      <c r="C21" s="17" t="n">
        <f aca="false">IF($B21="",0,SUMIFS('Zoho Dump'!$Q$8:$Q$3007,'Zoho Dump'!$N$8:$N$3007,$B21,'Zoho Dump'!$T$8:$T$3007,"Delivered",'Zoho Dump'!$R$8:$R$3007,"&gt;="&amp;Settings!$B$4))</f>
        <v>24061</v>
      </c>
      <c r="D21" s="17" t="n">
        <f aca="false">IF($B21="",0,SUMIFS('Zoho Dump'!$X$8:$X$3007,'Zoho Dump'!$N$8:$N$3007,$B21,'Zoho Dump'!$T$8:$T$3007,"Backlog")+SUMIFS(Adjustments!$K$8:$K$207,Adjustments!$B$8:$B$207,$B21,Adjustments!$H$8:$H$207,"Backlog"))</f>
        <v>0</v>
      </c>
      <c r="E21" s="17" t="n">
        <f aca="false">IF($B21="",0,SUMIFS('Zoho Dump'!$Y$8:$Y$3007,'Zoho Dump'!$N$8:$N$3007,$B21,'Zoho Dump'!$T$8:$T$3007,"Pipeline")+SUMIFS(Adjustments!$L$8:$L$207,Adjustments!$B$8:$B$207,$B21,Adjustments!$H$8:$H$207,"Pipeline")+SUMIFS('Zoho Dump'!$Y$8:$Y$3007,'Zoho Dump'!$N$8:$N$3007,$B21,'Zoho Dump'!$T$8:$T$3007,"Overdue")+SUMIFS(Adjustments!$L$8:$L$207,Adjustments!$B$8:$B$207,$B21,Adjustments!$H$8:$H$207,"Overdue"))</f>
        <v>0</v>
      </c>
      <c r="F21" s="17" t="n">
        <f aca="false">IF($B21="",0,SUMIFS('Zoho Dump'!$X$8:$X$3007,'Zoho Dump'!$N$8:$N$3007,$B21,'Zoho Dump'!$T$8:$T$3007,"Pipeline")+SUMIFS(Adjustments!$K$8:$K$207,Adjustments!$B$8:$B$207,$B21,Adjustments!$H$8:$H$207,"Pipeline")+SUMIFS('Zoho Dump'!$X$8:$X$3007,'Zoho Dump'!$N$8:$N$3007,$B21,'Zoho Dump'!$T$8:$T$3007,"Overdue")+SUMIFS(Adjustments!$K$8:$K$207,Adjustments!$B$8:$B$207,$B21,Adjustments!$H$8:$H$207,"Overdue"))</f>
        <v>0</v>
      </c>
      <c r="G21" s="17" t="n">
        <f aca="false">D21+F21</f>
        <v>0</v>
      </c>
      <c r="H21" s="18" t="n">
        <f aca="false">IF(SUM($G$5:$G$404)=0,0,G21/SUM($G$5:$G$404))</f>
        <v>0</v>
      </c>
      <c r="I21" s="17" t="n">
        <f aca="false">IF($B21="",0,SUMIFS('Zoho Dump'!$Q$8:$Q$3007,'Zoho Dump'!$N$8:$N$3007,$B21,'Zoho Dump'!$T$8:$T$3007,"Lost",'Zoho Dump'!$R$8:$R$3007,"&gt;="&amp;Settings!$B$4))</f>
        <v>0</v>
      </c>
      <c r="J21" s="9" t="str">
        <f aca="false">IF($B21="","",IF(COUNTIF(Dashboard!$C$13:$C$22,$B21)&gt;0,"Yes",""))</f>
        <v/>
      </c>
      <c r="K21" s="17" t="n">
        <f aca="false">IF($B21="",0,SUMIFS('Zoho Dump'!$X$8:$X$3007,'Zoho Dump'!$N$8:$N$3007,$B21,'Zoho Dump'!$P$8:$P$3007,Settings!$A$12)+SUMIFS(Adjustments!$K$8:$K$207,Adjustments!$B$8:$B$207,$B21,Adjustments!$A$8:$A$207,Settings!$A$12))</f>
        <v>0</v>
      </c>
      <c r="L21" s="17" t="n">
        <f aca="false">IF($B21="",0,SUMIFS('Zoho Dump'!$X$8:$X$3007,'Zoho Dump'!$N$8:$N$3007,$B21,'Zoho Dump'!$P$8:$P$3007,Settings!$A$13)+SUMIFS(Adjustments!$K$8:$K$207,Adjustments!$B$8:$B$207,$B21,Adjustments!$A$8:$A$207,Settings!$A$13))</f>
        <v>0</v>
      </c>
      <c r="M21" s="17" t="n">
        <f aca="false">IF($B21="",0,SUMIFS('Zoho Dump'!$X$8:$X$3007,'Zoho Dump'!$N$8:$N$3007,$B21,'Zoho Dump'!$P$8:$P$3007,Settings!$A$14)+SUMIFS(Adjustments!$K$8:$K$207,Adjustments!$B$8:$B$207,$B21,Adjustments!$A$8:$A$207,Settings!$A$14))</f>
        <v>0</v>
      </c>
      <c r="N21" s="17" t="n">
        <f aca="false">IF($B21="",0,SUMIFS('Zoho Dump'!$X$8:$X$3007,'Zoho Dump'!$N$8:$N$3007,$B21,'Zoho Dump'!$P$8:$P$3007,Settings!$A$15)+SUMIFS(Adjustments!$K$8:$K$207,Adjustments!$B$8:$B$207,$B21,Adjustments!$A$8:$A$207,Settings!$A$15))</f>
        <v>0</v>
      </c>
      <c r="O21" s="17" t="n">
        <f aca="false">IF($B21="",0,SUMIFS('Zoho Dump'!$X$8:$X$3007,'Zoho Dump'!$N$8:$N$3007,$B21,'Zoho Dump'!$P$8:$P$3007,Settings!$A$16)+SUMIFS(Adjustments!$K$8:$K$207,Adjustments!$B$8:$B$207,$B21,Adjustments!$A$8:$A$207,Settings!$A$16))</f>
        <v>0</v>
      </c>
      <c r="P21" s="17" t="n">
        <f aca="false">IF($B21="",0,SUMIFS('Zoho Dump'!$X$8:$X$3007,'Zoho Dump'!$N$8:$N$3007,$B21,'Zoho Dump'!$P$8:$P$3007,Settings!$A$17)+SUMIFS(Adjustments!$K$8:$K$207,Adjustments!$B$8:$B$207,$B21,Adjustments!$A$8:$A$207,Settings!$A$17))</f>
        <v>0</v>
      </c>
      <c r="Q21" s="17" t="n">
        <f aca="false">IF($B21="",0,SUMIFS('Zoho Dump'!$X$8:$X$3007,'Zoho Dump'!$N$8:$N$3007,$B21,'Zoho Dump'!$P$8:$P$3007,Settings!$A$18)+SUMIFS(Adjustments!$K$8:$K$207,Adjustments!$B$8:$B$207,$B21,Adjustments!$A$8:$A$207,Settings!$A$18))</f>
        <v>0</v>
      </c>
      <c r="R21" s="30" t="str">
        <f aca="false">IF(G21&gt;0,G21+A21/10000000,"")</f>
        <v/>
      </c>
    </row>
    <row r="22" customFormat="false" ht="15" hidden="false" customHeight="false" outlineLevel="0" collapsed="false">
      <c r="A22" s="9" t="n">
        <v>18</v>
      </c>
      <c r="B22" s="9" t="str">
        <f aca="false">IFERROR(INDEX('Zoho Dump'!$N$8:$N$3007,MATCH(A22,'Zoho Dump'!$AB$8:$AB$3007,0)),"")</f>
        <v>Deloitte - Sydney</v>
      </c>
      <c r="C22" s="17" t="n">
        <f aca="false">IF($B22="",0,SUMIFS('Zoho Dump'!$Q$8:$Q$3007,'Zoho Dump'!$N$8:$N$3007,$B22,'Zoho Dump'!$T$8:$T$3007,"Delivered",'Zoho Dump'!$R$8:$R$3007,"&gt;="&amp;Settings!$B$4))</f>
        <v>0</v>
      </c>
      <c r="D22" s="17" t="n">
        <f aca="false">IF($B22="",0,SUMIFS('Zoho Dump'!$X$8:$X$3007,'Zoho Dump'!$N$8:$N$3007,$B22,'Zoho Dump'!$T$8:$T$3007,"Backlog")+SUMIFS(Adjustments!$K$8:$K$207,Adjustments!$B$8:$B$207,$B22,Adjustments!$H$8:$H$207,"Backlog"))</f>
        <v>0</v>
      </c>
      <c r="E22" s="17" t="n">
        <f aca="false">IF($B22="",0,SUMIFS('Zoho Dump'!$Y$8:$Y$3007,'Zoho Dump'!$N$8:$N$3007,$B22,'Zoho Dump'!$T$8:$T$3007,"Pipeline")+SUMIFS(Adjustments!$L$8:$L$207,Adjustments!$B$8:$B$207,$B22,Adjustments!$H$8:$H$207,"Pipeline")+SUMIFS('Zoho Dump'!$Y$8:$Y$3007,'Zoho Dump'!$N$8:$N$3007,$B22,'Zoho Dump'!$T$8:$T$3007,"Overdue")+SUMIFS(Adjustments!$L$8:$L$207,Adjustments!$B$8:$B$207,$B22,Adjustments!$H$8:$H$207,"Overdue"))</f>
        <v>0</v>
      </c>
      <c r="F22" s="17" t="n">
        <f aca="false">IF($B22="",0,SUMIFS('Zoho Dump'!$X$8:$X$3007,'Zoho Dump'!$N$8:$N$3007,$B22,'Zoho Dump'!$T$8:$T$3007,"Pipeline")+SUMIFS(Adjustments!$K$8:$K$207,Adjustments!$B$8:$B$207,$B22,Adjustments!$H$8:$H$207,"Pipeline")+SUMIFS('Zoho Dump'!$X$8:$X$3007,'Zoho Dump'!$N$8:$N$3007,$B22,'Zoho Dump'!$T$8:$T$3007,"Overdue")+SUMIFS(Adjustments!$K$8:$K$207,Adjustments!$B$8:$B$207,$B22,Adjustments!$H$8:$H$207,"Overdue"))</f>
        <v>0</v>
      </c>
      <c r="G22" s="17" t="n">
        <f aca="false">D22+F22</f>
        <v>0</v>
      </c>
      <c r="H22" s="18" t="n">
        <f aca="false">IF(SUM($G$5:$G$404)=0,0,G22/SUM($G$5:$G$404))</f>
        <v>0</v>
      </c>
      <c r="I22" s="17" t="n">
        <f aca="false">IF($B22="",0,SUMIFS('Zoho Dump'!$Q$8:$Q$3007,'Zoho Dump'!$N$8:$N$3007,$B22,'Zoho Dump'!$T$8:$T$3007,"Lost",'Zoho Dump'!$R$8:$R$3007,"&gt;="&amp;Settings!$B$4))</f>
        <v>5450</v>
      </c>
      <c r="J22" s="9" t="str">
        <f aca="false">IF($B22="","",IF(COUNTIF(Dashboard!$C$13:$C$22,$B22)&gt;0,"Yes",""))</f>
        <v/>
      </c>
      <c r="K22" s="17" t="n">
        <f aca="false">IF($B22="",0,SUMIFS('Zoho Dump'!$X$8:$X$3007,'Zoho Dump'!$N$8:$N$3007,$B22,'Zoho Dump'!$P$8:$P$3007,Settings!$A$12)+SUMIFS(Adjustments!$K$8:$K$207,Adjustments!$B$8:$B$207,$B22,Adjustments!$A$8:$A$207,Settings!$A$12))</f>
        <v>0</v>
      </c>
      <c r="L22" s="17" t="n">
        <f aca="false">IF($B22="",0,SUMIFS('Zoho Dump'!$X$8:$X$3007,'Zoho Dump'!$N$8:$N$3007,$B22,'Zoho Dump'!$P$8:$P$3007,Settings!$A$13)+SUMIFS(Adjustments!$K$8:$K$207,Adjustments!$B$8:$B$207,$B22,Adjustments!$A$8:$A$207,Settings!$A$13))</f>
        <v>0</v>
      </c>
      <c r="M22" s="17" t="n">
        <f aca="false">IF($B22="",0,SUMIFS('Zoho Dump'!$X$8:$X$3007,'Zoho Dump'!$N$8:$N$3007,$B22,'Zoho Dump'!$P$8:$P$3007,Settings!$A$14)+SUMIFS(Adjustments!$K$8:$K$207,Adjustments!$B$8:$B$207,$B22,Adjustments!$A$8:$A$207,Settings!$A$14))</f>
        <v>0</v>
      </c>
      <c r="N22" s="17" t="n">
        <f aca="false">IF($B22="",0,SUMIFS('Zoho Dump'!$X$8:$X$3007,'Zoho Dump'!$N$8:$N$3007,$B22,'Zoho Dump'!$P$8:$P$3007,Settings!$A$15)+SUMIFS(Adjustments!$K$8:$K$207,Adjustments!$B$8:$B$207,$B22,Adjustments!$A$8:$A$207,Settings!$A$15))</f>
        <v>0</v>
      </c>
      <c r="O22" s="17" t="n">
        <f aca="false">IF($B22="",0,SUMIFS('Zoho Dump'!$X$8:$X$3007,'Zoho Dump'!$N$8:$N$3007,$B22,'Zoho Dump'!$P$8:$P$3007,Settings!$A$16)+SUMIFS(Adjustments!$K$8:$K$207,Adjustments!$B$8:$B$207,$B22,Adjustments!$A$8:$A$207,Settings!$A$16))</f>
        <v>0</v>
      </c>
      <c r="P22" s="17" t="n">
        <f aca="false">IF($B22="",0,SUMIFS('Zoho Dump'!$X$8:$X$3007,'Zoho Dump'!$N$8:$N$3007,$B22,'Zoho Dump'!$P$8:$P$3007,Settings!$A$17)+SUMIFS(Adjustments!$K$8:$K$207,Adjustments!$B$8:$B$207,$B22,Adjustments!$A$8:$A$207,Settings!$A$17))</f>
        <v>0</v>
      </c>
      <c r="Q22" s="17" t="n">
        <f aca="false">IF($B22="",0,SUMIFS('Zoho Dump'!$X$8:$X$3007,'Zoho Dump'!$N$8:$N$3007,$B22,'Zoho Dump'!$P$8:$P$3007,Settings!$A$18)+SUMIFS(Adjustments!$K$8:$K$207,Adjustments!$B$8:$B$207,$B22,Adjustments!$A$8:$A$207,Settings!$A$18))</f>
        <v>0</v>
      </c>
      <c r="R22" s="30" t="str">
        <f aca="false">IF(G22&gt;0,G22+A22/10000000,"")</f>
        <v/>
      </c>
    </row>
    <row r="23" customFormat="false" ht="15" hidden="false" customHeight="false" outlineLevel="0" collapsed="false">
      <c r="A23" s="9" t="n">
        <v>19</v>
      </c>
      <c r="B23" s="9" t="str">
        <f aca="false">IFERROR(INDEX('Zoho Dump'!$N$8:$N$3007,MATCH(A23,'Zoho Dump'!$AB$8:$AB$3007,0)),"")</f>
        <v>Australian Payments Network</v>
      </c>
      <c r="C23" s="17" t="n">
        <f aca="false">IF($B23="",0,SUMIFS('Zoho Dump'!$Q$8:$Q$3007,'Zoho Dump'!$N$8:$N$3007,$B23,'Zoho Dump'!$T$8:$T$3007,"Delivered",'Zoho Dump'!$R$8:$R$3007,"&gt;="&amp;Settings!$B$4))</f>
        <v>2353</v>
      </c>
      <c r="D23" s="17" t="n">
        <f aca="false">IF($B23="",0,SUMIFS('Zoho Dump'!$X$8:$X$3007,'Zoho Dump'!$N$8:$N$3007,$B23,'Zoho Dump'!$T$8:$T$3007,"Backlog")+SUMIFS(Adjustments!$K$8:$K$207,Adjustments!$B$8:$B$207,$B23,Adjustments!$H$8:$H$207,"Backlog"))</f>
        <v>0</v>
      </c>
      <c r="E23" s="17" t="n">
        <f aca="false">IF($B23="",0,SUMIFS('Zoho Dump'!$Y$8:$Y$3007,'Zoho Dump'!$N$8:$N$3007,$B23,'Zoho Dump'!$T$8:$T$3007,"Pipeline")+SUMIFS(Adjustments!$L$8:$L$207,Adjustments!$B$8:$B$207,$B23,Adjustments!$H$8:$H$207,"Pipeline")+SUMIFS('Zoho Dump'!$Y$8:$Y$3007,'Zoho Dump'!$N$8:$N$3007,$B23,'Zoho Dump'!$T$8:$T$3007,"Overdue")+SUMIFS(Adjustments!$L$8:$L$207,Adjustments!$B$8:$B$207,$B23,Adjustments!$H$8:$H$207,"Overdue"))</f>
        <v>0</v>
      </c>
      <c r="F23" s="17" t="n">
        <f aca="false">IF($B23="",0,SUMIFS('Zoho Dump'!$X$8:$X$3007,'Zoho Dump'!$N$8:$N$3007,$B23,'Zoho Dump'!$T$8:$T$3007,"Pipeline")+SUMIFS(Adjustments!$K$8:$K$207,Adjustments!$B$8:$B$207,$B23,Adjustments!$H$8:$H$207,"Pipeline")+SUMIFS('Zoho Dump'!$X$8:$X$3007,'Zoho Dump'!$N$8:$N$3007,$B23,'Zoho Dump'!$T$8:$T$3007,"Overdue")+SUMIFS(Adjustments!$K$8:$K$207,Adjustments!$B$8:$B$207,$B23,Adjustments!$H$8:$H$207,"Overdue"))</f>
        <v>0</v>
      </c>
      <c r="G23" s="17" t="n">
        <f aca="false">D23+F23</f>
        <v>0</v>
      </c>
      <c r="H23" s="18" t="n">
        <f aca="false">IF(SUM($G$5:$G$404)=0,0,G23/SUM($G$5:$G$404))</f>
        <v>0</v>
      </c>
      <c r="I23" s="17" t="n">
        <f aca="false">IF($B23="",0,SUMIFS('Zoho Dump'!$Q$8:$Q$3007,'Zoho Dump'!$N$8:$N$3007,$B23,'Zoho Dump'!$T$8:$T$3007,"Lost",'Zoho Dump'!$R$8:$R$3007,"&gt;="&amp;Settings!$B$4))</f>
        <v>0</v>
      </c>
      <c r="J23" s="9" t="str">
        <f aca="false">IF($B23="","",IF(COUNTIF(Dashboard!$C$13:$C$22,$B23)&gt;0,"Yes",""))</f>
        <v/>
      </c>
      <c r="K23" s="17" t="n">
        <f aca="false">IF($B23="",0,SUMIFS('Zoho Dump'!$X$8:$X$3007,'Zoho Dump'!$N$8:$N$3007,$B23,'Zoho Dump'!$P$8:$P$3007,Settings!$A$12)+SUMIFS(Adjustments!$K$8:$K$207,Adjustments!$B$8:$B$207,$B23,Adjustments!$A$8:$A$207,Settings!$A$12))</f>
        <v>0</v>
      </c>
      <c r="L23" s="17" t="n">
        <f aca="false">IF($B23="",0,SUMIFS('Zoho Dump'!$X$8:$X$3007,'Zoho Dump'!$N$8:$N$3007,$B23,'Zoho Dump'!$P$8:$P$3007,Settings!$A$13)+SUMIFS(Adjustments!$K$8:$K$207,Adjustments!$B$8:$B$207,$B23,Adjustments!$A$8:$A$207,Settings!$A$13))</f>
        <v>0</v>
      </c>
      <c r="M23" s="17" t="n">
        <f aca="false">IF($B23="",0,SUMIFS('Zoho Dump'!$X$8:$X$3007,'Zoho Dump'!$N$8:$N$3007,$B23,'Zoho Dump'!$P$8:$P$3007,Settings!$A$14)+SUMIFS(Adjustments!$K$8:$K$207,Adjustments!$B$8:$B$207,$B23,Adjustments!$A$8:$A$207,Settings!$A$14))</f>
        <v>0</v>
      </c>
      <c r="N23" s="17" t="n">
        <f aca="false">IF($B23="",0,SUMIFS('Zoho Dump'!$X$8:$X$3007,'Zoho Dump'!$N$8:$N$3007,$B23,'Zoho Dump'!$P$8:$P$3007,Settings!$A$15)+SUMIFS(Adjustments!$K$8:$K$207,Adjustments!$B$8:$B$207,$B23,Adjustments!$A$8:$A$207,Settings!$A$15))</f>
        <v>0</v>
      </c>
      <c r="O23" s="17" t="n">
        <f aca="false">IF($B23="",0,SUMIFS('Zoho Dump'!$X$8:$X$3007,'Zoho Dump'!$N$8:$N$3007,$B23,'Zoho Dump'!$P$8:$P$3007,Settings!$A$16)+SUMIFS(Adjustments!$K$8:$K$207,Adjustments!$B$8:$B$207,$B23,Adjustments!$A$8:$A$207,Settings!$A$16))</f>
        <v>0</v>
      </c>
      <c r="P23" s="17" t="n">
        <f aca="false">IF($B23="",0,SUMIFS('Zoho Dump'!$X$8:$X$3007,'Zoho Dump'!$N$8:$N$3007,$B23,'Zoho Dump'!$P$8:$P$3007,Settings!$A$17)+SUMIFS(Adjustments!$K$8:$K$207,Adjustments!$B$8:$B$207,$B23,Adjustments!$A$8:$A$207,Settings!$A$17))</f>
        <v>0</v>
      </c>
      <c r="Q23" s="17" t="n">
        <f aca="false">IF($B23="",0,SUMIFS('Zoho Dump'!$X$8:$X$3007,'Zoho Dump'!$N$8:$N$3007,$B23,'Zoho Dump'!$P$8:$P$3007,Settings!$A$18)+SUMIFS(Adjustments!$K$8:$K$207,Adjustments!$B$8:$B$207,$B23,Adjustments!$A$8:$A$207,Settings!$A$18))</f>
        <v>0</v>
      </c>
      <c r="R23" s="30" t="str">
        <f aca="false">IF(G23&gt;0,G23+A23/10000000,"")</f>
        <v/>
      </c>
    </row>
    <row r="24" customFormat="false" ht="15" hidden="false" customHeight="false" outlineLevel="0" collapsed="false">
      <c r="A24" s="9" t="n">
        <v>20</v>
      </c>
      <c r="B24" s="9" t="str">
        <f aca="false">IFERROR(INDEX('Zoho Dump'!$N$8:$N$3007,MATCH(A24,'Zoho Dump'!$AB$8:$AB$3007,0)),"")</f>
        <v>Dexus</v>
      </c>
      <c r="C24" s="17" t="n">
        <f aca="false">IF($B24="",0,SUMIFS('Zoho Dump'!$Q$8:$Q$3007,'Zoho Dump'!$N$8:$N$3007,$B24,'Zoho Dump'!$T$8:$T$3007,"Delivered",'Zoho Dump'!$R$8:$R$3007,"&gt;="&amp;Settings!$B$4))</f>
        <v>0</v>
      </c>
      <c r="D24" s="17" t="n">
        <f aca="false">IF($B24="",0,SUMIFS('Zoho Dump'!$X$8:$X$3007,'Zoho Dump'!$N$8:$N$3007,$B24,'Zoho Dump'!$T$8:$T$3007,"Backlog")+SUMIFS(Adjustments!$K$8:$K$207,Adjustments!$B$8:$B$207,$B24,Adjustments!$H$8:$H$207,"Backlog"))</f>
        <v>0</v>
      </c>
      <c r="E24" s="17" t="n">
        <f aca="false">IF($B24="",0,SUMIFS('Zoho Dump'!$Y$8:$Y$3007,'Zoho Dump'!$N$8:$N$3007,$B24,'Zoho Dump'!$T$8:$T$3007,"Pipeline")+SUMIFS(Adjustments!$L$8:$L$207,Adjustments!$B$8:$B$207,$B24,Adjustments!$H$8:$H$207,"Pipeline")+SUMIFS('Zoho Dump'!$Y$8:$Y$3007,'Zoho Dump'!$N$8:$N$3007,$B24,'Zoho Dump'!$T$8:$T$3007,"Overdue")+SUMIFS(Adjustments!$L$8:$L$207,Adjustments!$B$8:$B$207,$B24,Adjustments!$H$8:$H$207,"Overdue"))</f>
        <v>0</v>
      </c>
      <c r="F24" s="17" t="n">
        <f aca="false">IF($B24="",0,SUMIFS('Zoho Dump'!$X$8:$X$3007,'Zoho Dump'!$N$8:$N$3007,$B24,'Zoho Dump'!$T$8:$T$3007,"Pipeline")+SUMIFS(Adjustments!$K$8:$K$207,Adjustments!$B$8:$B$207,$B24,Adjustments!$H$8:$H$207,"Pipeline")+SUMIFS('Zoho Dump'!$X$8:$X$3007,'Zoho Dump'!$N$8:$N$3007,$B24,'Zoho Dump'!$T$8:$T$3007,"Overdue")+SUMIFS(Adjustments!$K$8:$K$207,Adjustments!$B$8:$B$207,$B24,Adjustments!$H$8:$H$207,"Overdue"))</f>
        <v>0</v>
      </c>
      <c r="G24" s="17" t="n">
        <f aca="false">D24+F24</f>
        <v>0</v>
      </c>
      <c r="H24" s="18" t="n">
        <f aca="false">IF(SUM($G$5:$G$404)=0,0,G24/SUM($G$5:$G$404))</f>
        <v>0</v>
      </c>
      <c r="I24" s="17" t="n">
        <f aca="false">IF($B24="",0,SUMIFS('Zoho Dump'!$Q$8:$Q$3007,'Zoho Dump'!$N$8:$N$3007,$B24,'Zoho Dump'!$T$8:$T$3007,"Lost",'Zoho Dump'!$R$8:$R$3007,"&gt;="&amp;Settings!$B$4))</f>
        <v>0</v>
      </c>
      <c r="J24" s="9" t="str">
        <f aca="false">IF($B24="","",IF(COUNTIF(Dashboard!$C$13:$C$22,$B24)&gt;0,"Yes",""))</f>
        <v/>
      </c>
      <c r="K24" s="17" t="n">
        <f aca="false">IF($B24="",0,SUMIFS('Zoho Dump'!$X$8:$X$3007,'Zoho Dump'!$N$8:$N$3007,$B24,'Zoho Dump'!$P$8:$P$3007,Settings!$A$12)+SUMIFS(Adjustments!$K$8:$K$207,Adjustments!$B$8:$B$207,$B24,Adjustments!$A$8:$A$207,Settings!$A$12))</f>
        <v>0</v>
      </c>
      <c r="L24" s="17" t="n">
        <f aca="false">IF($B24="",0,SUMIFS('Zoho Dump'!$X$8:$X$3007,'Zoho Dump'!$N$8:$N$3007,$B24,'Zoho Dump'!$P$8:$P$3007,Settings!$A$13)+SUMIFS(Adjustments!$K$8:$K$207,Adjustments!$B$8:$B$207,$B24,Adjustments!$A$8:$A$207,Settings!$A$13))</f>
        <v>0</v>
      </c>
      <c r="M24" s="17" t="n">
        <f aca="false">IF($B24="",0,SUMIFS('Zoho Dump'!$X$8:$X$3007,'Zoho Dump'!$N$8:$N$3007,$B24,'Zoho Dump'!$P$8:$P$3007,Settings!$A$14)+SUMIFS(Adjustments!$K$8:$K$207,Adjustments!$B$8:$B$207,$B24,Adjustments!$A$8:$A$207,Settings!$A$14))</f>
        <v>0</v>
      </c>
      <c r="N24" s="17" t="n">
        <f aca="false">IF($B24="",0,SUMIFS('Zoho Dump'!$X$8:$X$3007,'Zoho Dump'!$N$8:$N$3007,$B24,'Zoho Dump'!$P$8:$P$3007,Settings!$A$15)+SUMIFS(Adjustments!$K$8:$K$207,Adjustments!$B$8:$B$207,$B24,Adjustments!$A$8:$A$207,Settings!$A$15))</f>
        <v>0</v>
      </c>
      <c r="O24" s="17" t="n">
        <f aca="false">IF($B24="",0,SUMIFS('Zoho Dump'!$X$8:$X$3007,'Zoho Dump'!$N$8:$N$3007,$B24,'Zoho Dump'!$P$8:$P$3007,Settings!$A$16)+SUMIFS(Adjustments!$K$8:$K$207,Adjustments!$B$8:$B$207,$B24,Adjustments!$A$8:$A$207,Settings!$A$16))</f>
        <v>0</v>
      </c>
      <c r="P24" s="17" t="n">
        <f aca="false">IF($B24="",0,SUMIFS('Zoho Dump'!$X$8:$X$3007,'Zoho Dump'!$N$8:$N$3007,$B24,'Zoho Dump'!$P$8:$P$3007,Settings!$A$17)+SUMIFS(Adjustments!$K$8:$K$207,Adjustments!$B$8:$B$207,$B24,Adjustments!$A$8:$A$207,Settings!$A$17))</f>
        <v>0</v>
      </c>
      <c r="Q24" s="17" t="n">
        <f aca="false">IF($B24="",0,SUMIFS('Zoho Dump'!$X$8:$X$3007,'Zoho Dump'!$N$8:$N$3007,$B24,'Zoho Dump'!$P$8:$P$3007,Settings!$A$18)+SUMIFS(Adjustments!$K$8:$K$207,Adjustments!$B$8:$B$207,$B24,Adjustments!$A$8:$A$207,Settings!$A$18))</f>
        <v>0</v>
      </c>
      <c r="R24" s="30" t="str">
        <f aca="false">IF(G24&gt;0,G24+A24/10000000,"")</f>
        <v/>
      </c>
    </row>
    <row r="25" customFormat="false" ht="15" hidden="false" customHeight="false" outlineLevel="0" collapsed="false">
      <c r="A25" s="9" t="n">
        <v>21</v>
      </c>
      <c r="B25" s="9" t="str">
        <f aca="false">IFERROR(INDEX('Zoho Dump'!$N$8:$N$3007,MATCH(A25,'Zoho Dump'!$AB$8:$AB$3007,0)),"")</f>
        <v>Garvan Institute of Medical Research</v>
      </c>
      <c r="C25" s="17" t="n">
        <f aca="false">IF($B25="",0,SUMIFS('Zoho Dump'!$Q$8:$Q$3007,'Zoho Dump'!$N$8:$N$3007,$B25,'Zoho Dump'!$T$8:$T$3007,"Delivered",'Zoho Dump'!$R$8:$R$3007,"&gt;="&amp;Settings!$B$4))</f>
        <v>6152</v>
      </c>
      <c r="D25" s="17" t="n">
        <f aca="false">IF($B25="",0,SUMIFS('Zoho Dump'!$X$8:$X$3007,'Zoho Dump'!$N$8:$N$3007,$B25,'Zoho Dump'!$T$8:$T$3007,"Backlog")+SUMIFS(Adjustments!$K$8:$K$207,Adjustments!$B$8:$B$207,$B25,Adjustments!$H$8:$H$207,"Backlog"))</f>
        <v>0</v>
      </c>
      <c r="E25" s="17" t="n">
        <f aca="false">IF($B25="",0,SUMIFS('Zoho Dump'!$Y$8:$Y$3007,'Zoho Dump'!$N$8:$N$3007,$B25,'Zoho Dump'!$T$8:$T$3007,"Pipeline")+SUMIFS(Adjustments!$L$8:$L$207,Adjustments!$B$8:$B$207,$B25,Adjustments!$H$8:$H$207,"Pipeline")+SUMIFS('Zoho Dump'!$Y$8:$Y$3007,'Zoho Dump'!$N$8:$N$3007,$B25,'Zoho Dump'!$T$8:$T$3007,"Overdue")+SUMIFS(Adjustments!$L$8:$L$207,Adjustments!$B$8:$B$207,$B25,Adjustments!$H$8:$H$207,"Overdue"))</f>
        <v>3360</v>
      </c>
      <c r="F25" s="17" t="n">
        <f aca="false">IF($B25="",0,SUMIFS('Zoho Dump'!$X$8:$X$3007,'Zoho Dump'!$N$8:$N$3007,$B25,'Zoho Dump'!$T$8:$T$3007,"Pipeline")+SUMIFS(Adjustments!$K$8:$K$207,Adjustments!$B$8:$B$207,$B25,Adjustments!$H$8:$H$207,"Pipeline")+SUMIFS('Zoho Dump'!$X$8:$X$3007,'Zoho Dump'!$N$8:$N$3007,$B25,'Zoho Dump'!$T$8:$T$3007,"Overdue")+SUMIFS(Adjustments!$K$8:$K$207,Adjustments!$B$8:$B$207,$B25,Adjustments!$H$8:$H$207,"Overdue"))</f>
        <v>1456</v>
      </c>
      <c r="G25" s="17" t="n">
        <f aca="false">D25+F25</f>
        <v>1456</v>
      </c>
      <c r="H25" s="18" t="n">
        <f aca="false">IF(SUM($G$5:$G$404)=0,0,G25/SUM($G$5:$G$404))</f>
        <v>0.00170651324299987</v>
      </c>
      <c r="I25" s="17" t="n">
        <f aca="false">IF($B25="",0,SUMIFS('Zoho Dump'!$Q$8:$Q$3007,'Zoho Dump'!$N$8:$N$3007,$B25,'Zoho Dump'!$T$8:$T$3007,"Lost",'Zoho Dump'!$R$8:$R$3007,"&gt;="&amp;Settings!$B$4))</f>
        <v>995</v>
      </c>
      <c r="J25" s="9" t="str">
        <f aca="false">IF($B25="","",IF(COUNTIF(Dashboard!$C$13:$C$22,$B25)&gt;0,"Yes",""))</f>
        <v/>
      </c>
      <c r="K25" s="17" t="n">
        <f aca="false">IF($B25="",0,SUMIFS('Zoho Dump'!$X$8:$X$3007,'Zoho Dump'!$N$8:$N$3007,$B25,'Zoho Dump'!$P$8:$P$3007,Settings!$A$12)+SUMIFS(Adjustments!$K$8:$K$207,Adjustments!$B$8:$B$207,$B25,Adjustments!$A$8:$A$207,Settings!$A$12))</f>
        <v>0</v>
      </c>
      <c r="L25" s="17" t="n">
        <f aca="false">IF($B25="",0,SUMIFS('Zoho Dump'!$X$8:$X$3007,'Zoho Dump'!$N$8:$N$3007,$B25,'Zoho Dump'!$P$8:$P$3007,Settings!$A$13)+SUMIFS(Adjustments!$K$8:$K$207,Adjustments!$B$8:$B$207,$B25,Adjustments!$A$8:$A$207,Settings!$A$13))</f>
        <v>1456</v>
      </c>
      <c r="M25" s="17" t="n">
        <f aca="false">IF($B25="",0,SUMIFS('Zoho Dump'!$X$8:$X$3007,'Zoho Dump'!$N$8:$N$3007,$B25,'Zoho Dump'!$P$8:$P$3007,Settings!$A$14)+SUMIFS(Adjustments!$K$8:$K$207,Adjustments!$B$8:$B$207,$B25,Adjustments!$A$8:$A$207,Settings!$A$14))</f>
        <v>0</v>
      </c>
      <c r="N25" s="17" t="n">
        <f aca="false">IF($B25="",0,SUMIFS('Zoho Dump'!$X$8:$X$3007,'Zoho Dump'!$N$8:$N$3007,$B25,'Zoho Dump'!$P$8:$P$3007,Settings!$A$15)+SUMIFS(Adjustments!$K$8:$K$207,Adjustments!$B$8:$B$207,$B25,Adjustments!$A$8:$A$207,Settings!$A$15))</f>
        <v>0</v>
      </c>
      <c r="O25" s="17" t="n">
        <f aca="false">IF($B25="",0,SUMIFS('Zoho Dump'!$X$8:$X$3007,'Zoho Dump'!$N$8:$N$3007,$B25,'Zoho Dump'!$P$8:$P$3007,Settings!$A$16)+SUMIFS(Adjustments!$K$8:$K$207,Adjustments!$B$8:$B$207,$B25,Adjustments!$A$8:$A$207,Settings!$A$16))</f>
        <v>0</v>
      </c>
      <c r="P25" s="17" t="n">
        <f aca="false">IF($B25="",0,SUMIFS('Zoho Dump'!$X$8:$X$3007,'Zoho Dump'!$N$8:$N$3007,$B25,'Zoho Dump'!$P$8:$P$3007,Settings!$A$17)+SUMIFS(Adjustments!$K$8:$K$207,Adjustments!$B$8:$B$207,$B25,Adjustments!$A$8:$A$207,Settings!$A$17))</f>
        <v>0</v>
      </c>
      <c r="Q25" s="17" t="n">
        <f aca="false">IF($B25="",0,SUMIFS('Zoho Dump'!$X$8:$X$3007,'Zoho Dump'!$N$8:$N$3007,$B25,'Zoho Dump'!$P$8:$P$3007,Settings!$A$18)+SUMIFS(Adjustments!$K$8:$K$207,Adjustments!$B$8:$B$207,$B25,Adjustments!$A$8:$A$207,Settings!$A$18))</f>
        <v>0</v>
      </c>
      <c r="R25" s="30" t="n">
        <f aca="false">IF(G25&gt;0,G25+A25/10000000,"")</f>
        <v>1456.0000021</v>
      </c>
    </row>
    <row r="26" customFormat="false" ht="15" hidden="false" customHeight="false" outlineLevel="0" collapsed="false">
      <c r="A26" s="9" t="n">
        <v>22</v>
      </c>
      <c r="B26" s="9" t="str">
        <f aca="false">IFERROR(INDEX('Zoho Dump'!$N$8:$N$3007,MATCH(A26,'Zoho Dump'!$AB$8:$AB$3007,0)),"")</f>
        <v>Downer EDI</v>
      </c>
      <c r="C26" s="17" t="n">
        <f aca="false">IF($B26="",0,SUMIFS('Zoho Dump'!$Q$8:$Q$3007,'Zoho Dump'!$N$8:$N$3007,$B26,'Zoho Dump'!$T$8:$T$3007,"Delivered",'Zoho Dump'!$R$8:$R$3007,"&gt;="&amp;Settings!$B$4))</f>
        <v>36058</v>
      </c>
      <c r="D26" s="17" t="n">
        <f aca="false">IF($B26="",0,SUMIFS('Zoho Dump'!$X$8:$X$3007,'Zoho Dump'!$N$8:$N$3007,$B26,'Zoho Dump'!$T$8:$T$3007,"Backlog")+SUMIFS(Adjustments!$K$8:$K$207,Adjustments!$B$8:$B$207,$B26,Adjustments!$H$8:$H$207,"Backlog"))</f>
        <v>0</v>
      </c>
      <c r="E26" s="17" t="n">
        <f aca="false">IF($B26="",0,SUMIFS('Zoho Dump'!$Y$8:$Y$3007,'Zoho Dump'!$N$8:$N$3007,$B26,'Zoho Dump'!$T$8:$T$3007,"Pipeline")+SUMIFS(Adjustments!$L$8:$L$207,Adjustments!$B$8:$B$207,$B26,Adjustments!$H$8:$H$207,"Pipeline")+SUMIFS('Zoho Dump'!$Y$8:$Y$3007,'Zoho Dump'!$N$8:$N$3007,$B26,'Zoho Dump'!$T$8:$T$3007,"Overdue")+SUMIFS(Adjustments!$L$8:$L$207,Adjustments!$B$8:$B$207,$B26,Adjustments!$H$8:$H$207,"Overdue"))</f>
        <v>18200</v>
      </c>
      <c r="F26" s="17" t="n">
        <f aca="false">IF($B26="",0,SUMIFS('Zoho Dump'!$X$8:$X$3007,'Zoho Dump'!$N$8:$N$3007,$B26,'Zoho Dump'!$T$8:$T$3007,"Pipeline")+SUMIFS(Adjustments!$K$8:$K$207,Adjustments!$B$8:$B$207,$B26,Adjustments!$H$8:$H$207,"Pipeline")+SUMIFS('Zoho Dump'!$X$8:$X$3007,'Zoho Dump'!$N$8:$N$3007,$B26,'Zoho Dump'!$T$8:$T$3007,"Overdue")+SUMIFS(Adjustments!$K$8:$K$207,Adjustments!$B$8:$B$207,$B26,Adjustments!$H$8:$H$207,"Overdue"))</f>
        <v>3640</v>
      </c>
      <c r="G26" s="17" t="n">
        <f aca="false">D26+F26</f>
        <v>3640</v>
      </c>
      <c r="H26" s="18" t="n">
        <f aca="false">IF(SUM($G$5:$G$404)=0,0,G26/SUM($G$5:$G$404))</f>
        <v>0.00426628310749967</v>
      </c>
      <c r="I26" s="17" t="n">
        <f aca="false">IF($B26="",0,SUMIFS('Zoho Dump'!$Q$8:$Q$3007,'Zoho Dump'!$N$8:$N$3007,$B26,'Zoho Dump'!$T$8:$T$3007,"Lost",'Zoho Dump'!$R$8:$R$3007,"&gt;="&amp;Settings!$B$4))</f>
        <v>0</v>
      </c>
      <c r="J26" s="9" t="str">
        <f aca="false">IF($B26="","",IF(COUNTIF(Dashboard!$C$13:$C$22,$B26)&gt;0,"Yes",""))</f>
        <v/>
      </c>
      <c r="K26" s="17" t="n">
        <f aca="false">IF($B26="",0,SUMIFS('Zoho Dump'!$X$8:$X$3007,'Zoho Dump'!$N$8:$N$3007,$B26,'Zoho Dump'!$P$8:$P$3007,Settings!$A$12)+SUMIFS(Adjustments!$K$8:$K$207,Adjustments!$B$8:$B$207,$B26,Adjustments!$A$8:$A$207,Settings!$A$12))</f>
        <v>0</v>
      </c>
      <c r="L26" s="17" t="n">
        <f aca="false">IF($B26="",0,SUMIFS('Zoho Dump'!$X$8:$X$3007,'Zoho Dump'!$N$8:$N$3007,$B26,'Zoho Dump'!$P$8:$P$3007,Settings!$A$13)+SUMIFS(Adjustments!$K$8:$K$207,Adjustments!$B$8:$B$207,$B26,Adjustments!$A$8:$A$207,Settings!$A$13))</f>
        <v>3640</v>
      </c>
      <c r="M26" s="17" t="n">
        <f aca="false">IF($B26="",0,SUMIFS('Zoho Dump'!$X$8:$X$3007,'Zoho Dump'!$N$8:$N$3007,$B26,'Zoho Dump'!$P$8:$P$3007,Settings!$A$14)+SUMIFS(Adjustments!$K$8:$K$207,Adjustments!$B$8:$B$207,$B26,Adjustments!$A$8:$A$207,Settings!$A$14))</f>
        <v>0</v>
      </c>
      <c r="N26" s="17" t="n">
        <f aca="false">IF($B26="",0,SUMIFS('Zoho Dump'!$X$8:$X$3007,'Zoho Dump'!$N$8:$N$3007,$B26,'Zoho Dump'!$P$8:$P$3007,Settings!$A$15)+SUMIFS(Adjustments!$K$8:$K$207,Adjustments!$B$8:$B$207,$B26,Adjustments!$A$8:$A$207,Settings!$A$15))</f>
        <v>0</v>
      </c>
      <c r="O26" s="17" t="n">
        <f aca="false">IF($B26="",0,SUMIFS('Zoho Dump'!$X$8:$X$3007,'Zoho Dump'!$N$8:$N$3007,$B26,'Zoho Dump'!$P$8:$P$3007,Settings!$A$16)+SUMIFS(Adjustments!$K$8:$K$207,Adjustments!$B$8:$B$207,$B26,Adjustments!$A$8:$A$207,Settings!$A$16))</f>
        <v>0</v>
      </c>
      <c r="P26" s="17" t="n">
        <f aca="false">IF($B26="",0,SUMIFS('Zoho Dump'!$X$8:$X$3007,'Zoho Dump'!$N$8:$N$3007,$B26,'Zoho Dump'!$P$8:$P$3007,Settings!$A$17)+SUMIFS(Adjustments!$K$8:$K$207,Adjustments!$B$8:$B$207,$B26,Adjustments!$A$8:$A$207,Settings!$A$17))</f>
        <v>0</v>
      </c>
      <c r="Q26" s="17" t="n">
        <f aca="false">IF($B26="",0,SUMIFS('Zoho Dump'!$X$8:$X$3007,'Zoho Dump'!$N$8:$N$3007,$B26,'Zoho Dump'!$P$8:$P$3007,Settings!$A$18)+SUMIFS(Adjustments!$K$8:$K$207,Adjustments!$B$8:$B$207,$B26,Adjustments!$A$8:$A$207,Settings!$A$18))</f>
        <v>0</v>
      </c>
      <c r="R26" s="30" t="n">
        <f aca="false">IF(G26&gt;0,G26+A26/10000000,"")</f>
        <v>3640.0000022</v>
      </c>
    </row>
    <row r="27" customFormat="false" ht="15" hidden="false" customHeight="false" outlineLevel="0" collapsed="false">
      <c r="A27" s="9" t="n">
        <v>23</v>
      </c>
      <c r="B27" s="9" t="str">
        <f aca="false">IFERROR(INDEX('Zoho Dump'!$N$8:$N$3007,MATCH(A27,'Zoho Dump'!$AB$8:$AB$3007,0)),"")</f>
        <v>St Catherine's School</v>
      </c>
      <c r="C27" s="17" t="n">
        <f aca="false">IF($B27="",0,SUMIFS('Zoho Dump'!$Q$8:$Q$3007,'Zoho Dump'!$N$8:$N$3007,$B27,'Zoho Dump'!$T$8:$T$3007,"Delivered",'Zoho Dump'!$R$8:$R$3007,"&gt;="&amp;Settings!$B$4))</f>
        <v>0</v>
      </c>
      <c r="D27" s="17" t="n">
        <f aca="false">IF($B27="",0,SUMIFS('Zoho Dump'!$X$8:$X$3007,'Zoho Dump'!$N$8:$N$3007,$B27,'Zoho Dump'!$T$8:$T$3007,"Backlog")+SUMIFS(Adjustments!$K$8:$K$207,Adjustments!$B$8:$B$207,$B27,Adjustments!$H$8:$H$207,"Backlog"))</f>
        <v>0</v>
      </c>
      <c r="E27" s="17" t="n">
        <f aca="false">IF($B27="",0,SUMIFS('Zoho Dump'!$Y$8:$Y$3007,'Zoho Dump'!$N$8:$N$3007,$B27,'Zoho Dump'!$T$8:$T$3007,"Pipeline")+SUMIFS(Adjustments!$L$8:$L$207,Adjustments!$B$8:$B$207,$B27,Adjustments!$H$8:$H$207,"Pipeline")+SUMIFS('Zoho Dump'!$Y$8:$Y$3007,'Zoho Dump'!$N$8:$N$3007,$B27,'Zoho Dump'!$T$8:$T$3007,"Overdue")+SUMIFS(Adjustments!$L$8:$L$207,Adjustments!$B$8:$B$207,$B27,Adjustments!$H$8:$H$207,"Overdue"))</f>
        <v>0</v>
      </c>
      <c r="F27" s="17" t="n">
        <f aca="false">IF($B27="",0,SUMIFS('Zoho Dump'!$X$8:$X$3007,'Zoho Dump'!$N$8:$N$3007,$B27,'Zoho Dump'!$T$8:$T$3007,"Pipeline")+SUMIFS(Adjustments!$K$8:$K$207,Adjustments!$B$8:$B$207,$B27,Adjustments!$H$8:$H$207,"Pipeline")+SUMIFS('Zoho Dump'!$X$8:$X$3007,'Zoho Dump'!$N$8:$N$3007,$B27,'Zoho Dump'!$T$8:$T$3007,"Overdue")+SUMIFS(Adjustments!$K$8:$K$207,Adjustments!$B$8:$B$207,$B27,Adjustments!$H$8:$H$207,"Overdue"))</f>
        <v>0</v>
      </c>
      <c r="G27" s="17" t="n">
        <f aca="false">D27+F27</f>
        <v>0</v>
      </c>
      <c r="H27" s="18" t="n">
        <f aca="false">IF(SUM($G$5:$G$404)=0,0,G27/SUM($G$5:$G$404))</f>
        <v>0</v>
      </c>
      <c r="I27" s="17" t="n">
        <f aca="false">IF($B27="",0,SUMIFS('Zoho Dump'!$Q$8:$Q$3007,'Zoho Dump'!$N$8:$N$3007,$B27,'Zoho Dump'!$T$8:$T$3007,"Lost",'Zoho Dump'!$R$8:$R$3007,"&gt;="&amp;Settings!$B$4))</f>
        <v>0</v>
      </c>
      <c r="J27" s="9" t="str">
        <f aca="false">IF($B27="","",IF(COUNTIF(Dashboard!$C$13:$C$22,$B27)&gt;0,"Yes",""))</f>
        <v/>
      </c>
      <c r="K27" s="17" t="n">
        <f aca="false">IF($B27="",0,SUMIFS('Zoho Dump'!$X$8:$X$3007,'Zoho Dump'!$N$8:$N$3007,$B27,'Zoho Dump'!$P$8:$P$3007,Settings!$A$12)+SUMIFS(Adjustments!$K$8:$K$207,Adjustments!$B$8:$B$207,$B27,Adjustments!$A$8:$A$207,Settings!$A$12))</f>
        <v>0</v>
      </c>
      <c r="L27" s="17" t="n">
        <f aca="false">IF($B27="",0,SUMIFS('Zoho Dump'!$X$8:$X$3007,'Zoho Dump'!$N$8:$N$3007,$B27,'Zoho Dump'!$P$8:$P$3007,Settings!$A$13)+SUMIFS(Adjustments!$K$8:$K$207,Adjustments!$B$8:$B$207,$B27,Adjustments!$A$8:$A$207,Settings!$A$13))</f>
        <v>0</v>
      </c>
      <c r="M27" s="17" t="n">
        <f aca="false">IF($B27="",0,SUMIFS('Zoho Dump'!$X$8:$X$3007,'Zoho Dump'!$N$8:$N$3007,$B27,'Zoho Dump'!$P$8:$P$3007,Settings!$A$14)+SUMIFS(Adjustments!$K$8:$K$207,Adjustments!$B$8:$B$207,$B27,Adjustments!$A$8:$A$207,Settings!$A$14))</f>
        <v>0</v>
      </c>
      <c r="N27" s="17" t="n">
        <f aca="false">IF($B27="",0,SUMIFS('Zoho Dump'!$X$8:$X$3007,'Zoho Dump'!$N$8:$N$3007,$B27,'Zoho Dump'!$P$8:$P$3007,Settings!$A$15)+SUMIFS(Adjustments!$K$8:$K$207,Adjustments!$B$8:$B$207,$B27,Adjustments!$A$8:$A$207,Settings!$A$15))</f>
        <v>0</v>
      </c>
      <c r="O27" s="17" t="n">
        <f aca="false">IF($B27="",0,SUMIFS('Zoho Dump'!$X$8:$X$3007,'Zoho Dump'!$N$8:$N$3007,$B27,'Zoho Dump'!$P$8:$P$3007,Settings!$A$16)+SUMIFS(Adjustments!$K$8:$K$207,Adjustments!$B$8:$B$207,$B27,Adjustments!$A$8:$A$207,Settings!$A$16))</f>
        <v>0</v>
      </c>
      <c r="P27" s="17" t="n">
        <f aca="false">IF($B27="",0,SUMIFS('Zoho Dump'!$X$8:$X$3007,'Zoho Dump'!$N$8:$N$3007,$B27,'Zoho Dump'!$P$8:$P$3007,Settings!$A$17)+SUMIFS(Adjustments!$K$8:$K$207,Adjustments!$B$8:$B$207,$B27,Adjustments!$A$8:$A$207,Settings!$A$17))</f>
        <v>0</v>
      </c>
      <c r="Q27" s="17" t="n">
        <f aca="false">IF($B27="",0,SUMIFS('Zoho Dump'!$X$8:$X$3007,'Zoho Dump'!$N$8:$N$3007,$B27,'Zoho Dump'!$P$8:$P$3007,Settings!$A$18)+SUMIFS(Adjustments!$K$8:$K$207,Adjustments!$B$8:$B$207,$B27,Adjustments!$A$8:$A$207,Settings!$A$18))</f>
        <v>0</v>
      </c>
      <c r="R27" s="30" t="str">
        <f aca="false">IF(G27&gt;0,G27+A27/10000000,"")</f>
        <v/>
      </c>
    </row>
    <row r="28" customFormat="false" ht="15" hidden="false" customHeight="false" outlineLevel="0" collapsed="false">
      <c r="A28" s="9" t="n">
        <v>24</v>
      </c>
      <c r="B28" s="9" t="str">
        <f aca="false">IFERROR(INDEX('Zoho Dump'!$N$8:$N$3007,MATCH(A28,'Zoho Dump'!$AB$8:$AB$3007,0)),"")</f>
        <v>QBE</v>
      </c>
      <c r="C28" s="17" t="n">
        <f aca="false">IF($B28="",0,SUMIFS('Zoho Dump'!$Q$8:$Q$3007,'Zoho Dump'!$N$8:$N$3007,$B28,'Zoho Dump'!$T$8:$T$3007,"Delivered",'Zoho Dump'!$R$8:$R$3007,"&gt;="&amp;Settings!$B$4))</f>
        <v>0</v>
      </c>
      <c r="D28" s="17" t="n">
        <f aca="false">IF($B28="",0,SUMIFS('Zoho Dump'!$X$8:$X$3007,'Zoho Dump'!$N$8:$N$3007,$B28,'Zoho Dump'!$T$8:$T$3007,"Backlog")+SUMIFS(Adjustments!$K$8:$K$207,Adjustments!$B$8:$B$207,$B28,Adjustments!$H$8:$H$207,"Backlog"))</f>
        <v>0</v>
      </c>
      <c r="E28" s="17" t="n">
        <f aca="false">IF($B28="",0,SUMIFS('Zoho Dump'!$Y$8:$Y$3007,'Zoho Dump'!$N$8:$N$3007,$B28,'Zoho Dump'!$T$8:$T$3007,"Pipeline")+SUMIFS(Adjustments!$L$8:$L$207,Adjustments!$B$8:$B$207,$B28,Adjustments!$H$8:$H$207,"Pipeline")+SUMIFS('Zoho Dump'!$Y$8:$Y$3007,'Zoho Dump'!$N$8:$N$3007,$B28,'Zoho Dump'!$T$8:$T$3007,"Overdue")+SUMIFS(Adjustments!$L$8:$L$207,Adjustments!$B$8:$B$207,$B28,Adjustments!$H$8:$H$207,"Overdue"))</f>
        <v>0</v>
      </c>
      <c r="F28" s="17" t="n">
        <f aca="false">IF($B28="",0,SUMIFS('Zoho Dump'!$X$8:$X$3007,'Zoho Dump'!$N$8:$N$3007,$B28,'Zoho Dump'!$T$8:$T$3007,"Pipeline")+SUMIFS(Adjustments!$K$8:$K$207,Adjustments!$B$8:$B$207,$B28,Adjustments!$H$8:$H$207,"Pipeline")+SUMIFS('Zoho Dump'!$X$8:$X$3007,'Zoho Dump'!$N$8:$N$3007,$B28,'Zoho Dump'!$T$8:$T$3007,"Overdue")+SUMIFS(Adjustments!$K$8:$K$207,Adjustments!$B$8:$B$207,$B28,Adjustments!$H$8:$H$207,"Overdue"))</f>
        <v>0</v>
      </c>
      <c r="G28" s="17" t="n">
        <f aca="false">D28+F28</f>
        <v>0</v>
      </c>
      <c r="H28" s="18" t="n">
        <f aca="false">IF(SUM($G$5:$G$404)=0,0,G28/SUM($G$5:$G$404))</f>
        <v>0</v>
      </c>
      <c r="I28" s="17" t="n">
        <f aca="false">IF($B28="",0,SUMIFS('Zoho Dump'!$Q$8:$Q$3007,'Zoho Dump'!$N$8:$N$3007,$B28,'Zoho Dump'!$T$8:$T$3007,"Lost",'Zoho Dump'!$R$8:$R$3007,"&gt;="&amp;Settings!$B$4))</f>
        <v>6245</v>
      </c>
      <c r="J28" s="9" t="str">
        <f aca="false">IF($B28="","",IF(COUNTIF(Dashboard!$C$13:$C$22,$B28)&gt;0,"Yes",""))</f>
        <v/>
      </c>
      <c r="K28" s="17" t="n">
        <f aca="false">IF($B28="",0,SUMIFS('Zoho Dump'!$X$8:$X$3007,'Zoho Dump'!$N$8:$N$3007,$B28,'Zoho Dump'!$P$8:$P$3007,Settings!$A$12)+SUMIFS(Adjustments!$K$8:$K$207,Adjustments!$B$8:$B$207,$B28,Adjustments!$A$8:$A$207,Settings!$A$12))</f>
        <v>0</v>
      </c>
      <c r="L28" s="17" t="n">
        <f aca="false">IF($B28="",0,SUMIFS('Zoho Dump'!$X$8:$X$3007,'Zoho Dump'!$N$8:$N$3007,$B28,'Zoho Dump'!$P$8:$P$3007,Settings!$A$13)+SUMIFS(Adjustments!$K$8:$K$207,Adjustments!$B$8:$B$207,$B28,Adjustments!$A$8:$A$207,Settings!$A$13))</f>
        <v>0</v>
      </c>
      <c r="M28" s="17" t="n">
        <f aca="false">IF($B28="",0,SUMIFS('Zoho Dump'!$X$8:$X$3007,'Zoho Dump'!$N$8:$N$3007,$B28,'Zoho Dump'!$P$8:$P$3007,Settings!$A$14)+SUMIFS(Adjustments!$K$8:$K$207,Adjustments!$B$8:$B$207,$B28,Adjustments!$A$8:$A$207,Settings!$A$14))</f>
        <v>0</v>
      </c>
      <c r="N28" s="17" t="n">
        <f aca="false">IF($B28="",0,SUMIFS('Zoho Dump'!$X$8:$X$3007,'Zoho Dump'!$N$8:$N$3007,$B28,'Zoho Dump'!$P$8:$P$3007,Settings!$A$15)+SUMIFS(Adjustments!$K$8:$K$207,Adjustments!$B$8:$B$207,$B28,Adjustments!$A$8:$A$207,Settings!$A$15))</f>
        <v>0</v>
      </c>
      <c r="O28" s="17" t="n">
        <f aca="false">IF($B28="",0,SUMIFS('Zoho Dump'!$X$8:$X$3007,'Zoho Dump'!$N$8:$N$3007,$B28,'Zoho Dump'!$P$8:$P$3007,Settings!$A$16)+SUMIFS(Adjustments!$K$8:$K$207,Adjustments!$B$8:$B$207,$B28,Adjustments!$A$8:$A$207,Settings!$A$16))</f>
        <v>0</v>
      </c>
      <c r="P28" s="17" t="n">
        <f aca="false">IF($B28="",0,SUMIFS('Zoho Dump'!$X$8:$X$3007,'Zoho Dump'!$N$8:$N$3007,$B28,'Zoho Dump'!$P$8:$P$3007,Settings!$A$17)+SUMIFS(Adjustments!$K$8:$K$207,Adjustments!$B$8:$B$207,$B28,Adjustments!$A$8:$A$207,Settings!$A$17))</f>
        <v>0</v>
      </c>
      <c r="Q28" s="17" t="n">
        <f aca="false">IF($B28="",0,SUMIFS('Zoho Dump'!$X$8:$X$3007,'Zoho Dump'!$N$8:$N$3007,$B28,'Zoho Dump'!$P$8:$P$3007,Settings!$A$18)+SUMIFS(Adjustments!$K$8:$K$207,Adjustments!$B$8:$B$207,$B28,Adjustments!$A$8:$A$207,Settings!$A$18))</f>
        <v>0</v>
      </c>
      <c r="R28" s="30" t="str">
        <f aca="false">IF(G28&gt;0,G28+A28/10000000,"")</f>
        <v/>
      </c>
    </row>
    <row r="29" customFormat="false" ht="15" hidden="false" customHeight="false" outlineLevel="0" collapsed="false">
      <c r="A29" s="9" t="n">
        <v>25</v>
      </c>
      <c r="B29" s="9" t="str">
        <f aca="false">IFERROR(INDEX('Zoho Dump'!$N$8:$N$3007,MATCH(A29,'Zoho Dump'!$AB$8:$AB$3007,0)),"")</f>
        <v>Novigi</v>
      </c>
      <c r="C29" s="17" t="n">
        <f aca="false">IF($B29="",0,SUMIFS('Zoho Dump'!$Q$8:$Q$3007,'Zoho Dump'!$N$8:$N$3007,$B29,'Zoho Dump'!$T$8:$T$3007,"Delivered",'Zoho Dump'!$R$8:$R$3007,"&gt;="&amp;Settings!$B$4))</f>
        <v>340</v>
      </c>
      <c r="D29" s="17" t="n">
        <f aca="false">IF($B29="",0,SUMIFS('Zoho Dump'!$X$8:$X$3007,'Zoho Dump'!$N$8:$N$3007,$B29,'Zoho Dump'!$T$8:$T$3007,"Backlog")+SUMIFS(Adjustments!$K$8:$K$207,Adjustments!$B$8:$B$207,$B29,Adjustments!$H$8:$H$207,"Backlog"))</f>
        <v>0</v>
      </c>
      <c r="E29" s="17" t="n">
        <f aca="false">IF($B29="",0,SUMIFS('Zoho Dump'!$Y$8:$Y$3007,'Zoho Dump'!$N$8:$N$3007,$B29,'Zoho Dump'!$T$8:$T$3007,"Pipeline")+SUMIFS(Adjustments!$L$8:$L$207,Adjustments!$B$8:$B$207,$B29,Adjustments!$H$8:$H$207,"Pipeline")+SUMIFS('Zoho Dump'!$Y$8:$Y$3007,'Zoho Dump'!$N$8:$N$3007,$B29,'Zoho Dump'!$T$8:$T$3007,"Overdue")+SUMIFS(Adjustments!$L$8:$L$207,Adjustments!$B$8:$B$207,$B29,Adjustments!$H$8:$H$207,"Overdue"))</f>
        <v>0</v>
      </c>
      <c r="F29" s="17" t="n">
        <f aca="false">IF($B29="",0,SUMIFS('Zoho Dump'!$X$8:$X$3007,'Zoho Dump'!$N$8:$N$3007,$B29,'Zoho Dump'!$T$8:$T$3007,"Pipeline")+SUMIFS(Adjustments!$K$8:$K$207,Adjustments!$B$8:$B$207,$B29,Adjustments!$H$8:$H$207,"Pipeline")+SUMIFS('Zoho Dump'!$X$8:$X$3007,'Zoho Dump'!$N$8:$N$3007,$B29,'Zoho Dump'!$T$8:$T$3007,"Overdue")+SUMIFS(Adjustments!$K$8:$K$207,Adjustments!$B$8:$B$207,$B29,Adjustments!$H$8:$H$207,"Overdue"))</f>
        <v>0</v>
      </c>
      <c r="G29" s="17" t="n">
        <f aca="false">D29+F29</f>
        <v>0</v>
      </c>
      <c r="H29" s="18" t="n">
        <f aca="false">IF(SUM($G$5:$G$404)=0,0,G29/SUM($G$5:$G$404))</f>
        <v>0</v>
      </c>
      <c r="I29" s="17" t="n">
        <f aca="false">IF($B29="",0,SUMIFS('Zoho Dump'!$Q$8:$Q$3007,'Zoho Dump'!$N$8:$N$3007,$B29,'Zoho Dump'!$T$8:$T$3007,"Lost",'Zoho Dump'!$R$8:$R$3007,"&gt;="&amp;Settings!$B$4))</f>
        <v>0</v>
      </c>
      <c r="J29" s="9" t="str">
        <f aca="false">IF($B29="","",IF(COUNTIF(Dashboard!$C$13:$C$22,$B29)&gt;0,"Yes",""))</f>
        <v/>
      </c>
      <c r="K29" s="17" t="n">
        <f aca="false">IF($B29="",0,SUMIFS('Zoho Dump'!$X$8:$X$3007,'Zoho Dump'!$N$8:$N$3007,$B29,'Zoho Dump'!$P$8:$P$3007,Settings!$A$12)+SUMIFS(Adjustments!$K$8:$K$207,Adjustments!$B$8:$B$207,$B29,Adjustments!$A$8:$A$207,Settings!$A$12))</f>
        <v>0</v>
      </c>
      <c r="L29" s="17" t="n">
        <f aca="false">IF($B29="",0,SUMIFS('Zoho Dump'!$X$8:$X$3007,'Zoho Dump'!$N$8:$N$3007,$B29,'Zoho Dump'!$P$8:$P$3007,Settings!$A$13)+SUMIFS(Adjustments!$K$8:$K$207,Adjustments!$B$8:$B$207,$B29,Adjustments!$A$8:$A$207,Settings!$A$13))</f>
        <v>0</v>
      </c>
      <c r="M29" s="17" t="n">
        <f aca="false">IF($B29="",0,SUMIFS('Zoho Dump'!$X$8:$X$3007,'Zoho Dump'!$N$8:$N$3007,$B29,'Zoho Dump'!$P$8:$P$3007,Settings!$A$14)+SUMIFS(Adjustments!$K$8:$K$207,Adjustments!$B$8:$B$207,$B29,Adjustments!$A$8:$A$207,Settings!$A$14))</f>
        <v>0</v>
      </c>
      <c r="N29" s="17" t="n">
        <f aca="false">IF($B29="",0,SUMIFS('Zoho Dump'!$X$8:$X$3007,'Zoho Dump'!$N$8:$N$3007,$B29,'Zoho Dump'!$P$8:$P$3007,Settings!$A$15)+SUMIFS(Adjustments!$K$8:$K$207,Adjustments!$B$8:$B$207,$B29,Adjustments!$A$8:$A$207,Settings!$A$15))</f>
        <v>0</v>
      </c>
      <c r="O29" s="17" t="n">
        <f aca="false">IF($B29="",0,SUMIFS('Zoho Dump'!$X$8:$X$3007,'Zoho Dump'!$N$8:$N$3007,$B29,'Zoho Dump'!$P$8:$P$3007,Settings!$A$16)+SUMIFS(Adjustments!$K$8:$K$207,Adjustments!$B$8:$B$207,$B29,Adjustments!$A$8:$A$207,Settings!$A$16))</f>
        <v>0</v>
      </c>
      <c r="P29" s="17" t="n">
        <f aca="false">IF($B29="",0,SUMIFS('Zoho Dump'!$X$8:$X$3007,'Zoho Dump'!$N$8:$N$3007,$B29,'Zoho Dump'!$P$8:$P$3007,Settings!$A$17)+SUMIFS(Adjustments!$K$8:$K$207,Adjustments!$B$8:$B$207,$B29,Adjustments!$A$8:$A$207,Settings!$A$17))</f>
        <v>0</v>
      </c>
      <c r="Q29" s="17" t="n">
        <f aca="false">IF($B29="",0,SUMIFS('Zoho Dump'!$X$8:$X$3007,'Zoho Dump'!$N$8:$N$3007,$B29,'Zoho Dump'!$P$8:$P$3007,Settings!$A$18)+SUMIFS(Adjustments!$K$8:$K$207,Adjustments!$B$8:$B$207,$B29,Adjustments!$A$8:$A$207,Settings!$A$18))</f>
        <v>0</v>
      </c>
      <c r="R29" s="30" t="str">
        <f aca="false">IF(G29&gt;0,G29+A29/10000000,"")</f>
        <v/>
      </c>
    </row>
    <row r="30" customFormat="false" ht="15" hidden="false" customHeight="false" outlineLevel="0" collapsed="false">
      <c r="A30" s="9" t="n">
        <v>26</v>
      </c>
      <c r="B30" s="9" t="str">
        <f aca="false">IFERROR(INDEX('Zoho Dump'!$N$8:$N$3007,MATCH(A30,'Zoho Dump'!$AB$8:$AB$3007,0)),"")</f>
        <v>EY</v>
      </c>
      <c r="C30" s="17" t="n">
        <f aca="false">IF($B30="",0,SUMIFS('Zoho Dump'!$Q$8:$Q$3007,'Zoho Dump'!$N$8:$N$3007,$B30,'Zoho Dump'!$T$8:$T$3007,"Delivered",'Zoho Dump'!$R$8:$R$3007,"&gt;="&amp;Settings!$B$4))</f>
        <v>3740</v>
      </c>
      <c r="D30" s="17" t="n">
        <f aca="false">IF($B30="",0,SUMIFS('Zoho Dump'!$X$8:$X$3007,'Zoho Dump'!$N$8:$N$3007,$B30,'Zoho Dump'!$T$8:$T$3007,"Backlog")+SUMIFS(Adjustments!$K$8:$K$207,Adjustments!$B$8:$B$207,$B30,Adjustments!$H$8:$H$207,"Backlog"))</f>
        <v>0</v>
      </c>
      <c r="E30" s="17" t="n">
        <f aca="false">IF($B30="",0,SUMIFS('Zoho Dump'!$Y$8:$Y$3007,'Zoho Dump'!$N$8:$N$3007,$B30,'Zoho Dump'!$T$8:$T$3007,"Pipeline")+SUMIFS(Adjustments!$L$8:$L$207,Adjustments!$B$8:$B$207,$B30,Adjustments!$H$8:$H$207,"Pipeline")+SUMIFS('Zoho Dump'!$Y$8:$Y$3007,'Zoho Dump'!$N$8:$N$3007,$B30,'Zoho Dump'!$T$8:$T$3007,"Overdue")+SUMIFS(Adjustments!$L$8:$L$207,Adjustments!$B$8:$B$207,$B30,Adjustments!$H$8:$H$207,"Overdue"))</f>
        <v>2000</v>
      </c>
      <c r="F30" s="17" t="n">
        <f aca="false">IF($B30="",0,SUMIFS('Zoho Dump'!$X$8:$X$3007,'Zoho Dump'!$N$8:$N$3007,$B30,'Zoho Dump'!$T$8:$T$3007,"Pipeline")+SUMIFS(Adjustments!$K$8:$K$207,Adjustments!$B$8:$B$207,$B30,Adjustments!$H$8:$H$207,"Pipeline")+SUMIFS('Zoho Dump'!$X$8:$X$3007,'Zoho Dump'!$N$8:$N$3007,$B30,'Zoho Dump'!$T$8:$T$3007,"Overdue")+SUMIFS(Adjustments!$K$8:$K$207,Adjustments!$B$8:$B$207,$B30,Adjustments!$H$8:$H$207,"Overdue"))</f>
        <v>400</v>
      </c>
      <c r="G30" s="17" t="n">
        <f aca="false">D30+F30</f>
        <v>400</v>
      </c>
      <c r="H30" s="18" t="n">
        <f aca="false">IF(SUM($G$5:$G$404)=0,0,G30/SUM($G$5:$G$404))</f>
        <v>0.000468822319505458</v>
      </c>
      <c r="I30" s="17" t="n">
        <f aca="false">IF($B30="",0,SUMIFS('Zoho Dump'!$Q$8:$Q$3007,'Zoho Dump'!$N$8:$N$3007,$B30,'Zoho Dump'!$T$8:$T$3007,"Lost",'Zoho Dump'!$R$8:$R$3007,"&gt;="&amp;Settings!$B$4))</f>
        <v>2185</v>
      </c>
      <c r="J30" s="9" t="str">
        <f aca="false">IF($B30="","",IF(COUNTIF(Dashboard!$C$13:$C$22,$B30)&gt;0,"Yes",""))</f>
        <v/>
      </c>
      <c r="K30" s="17" t="n">
        <f aca="false">IF($B30="",0,SUMIFS('Zoho Dump'!$X$8:$X$3007,'Zoho Dump'!$N$8:$N$3007,$B30,'Zoho Dump'!$P$8:$P$3007,Settings!$A$12)+SUMIFS(Adjustments!$K$8:$K$207,Adjustments!$B$8:$B$207,$B30,Adjustments!$A$8:$A$207,Settings!$A$12))</f>
        <v>0</v>
      </c>
      <c r="L30" s="17" t="n">
        <f aca="false">IF($B30="",0,SUMIFS('Zoho Dump'!$X$8:$X$3007,'Zoho Dump'!$N$8:$N$3007,$B30,'Zoho Dump'!$P$8:$P$3007,Settings!$A$13)+SUMIFS(Adjustments!$K$8:$K$207,Adjustments!$B$8:$B$207,$B30,Adjustments!$A$8:$A$207,Settings!$A$13))</f>
        <v>400</v>
      </c>
      <c r="M30" s="17" t="n">
        <f aca="false">IF($B30="",0,SUMIFS('Zoho Dump'!$X$8:$X$3007,'Zoho Dump'!$N$8:$N$3007,$B30,'Zoho Dump'!$P$8:$P$3007,Settings!$A$14)+SUMIFS(Adjustments!$K$8:$K$207,Adjustments!$B$8:$B$207,$B30,Adjustments!$A$8:$A$207,Settings!$A$14))</f>
        <v>0</v>
      </c>
      <c r="N30" s="17" t="n">
        <f aca="false">IF($B30="",0,SUMIFS('Zoho Dump'!$X$8:$X$3007,'Zoho Dump'!$N$8:$N$3007,$B30,'Zoho Dump'!$P$8:$P$3007,Settings!$A$15)+SUMIFS(Adjustments!$K$8:$K$207,Adjustments!$B$8:$B$207,$B30,Adjustments!$A$8:$A$207,Settings!$A$15))</f>
        <v>0</v>
      </c>
      <c r="O30" s="17" t="n">
        <f aca="false">IF($B30="",0,SUMIFS('Zoho Dump'!$X$8:$X$3007,'Zoho Dump'!$N$8:$N$3007,$B30,'Zoho Dump'!$P$8:$P$3007,Settings!$A$16)+SUMIFS(Adjustments!$K$8:$K$207,Adjustments!$B$8:$B$207,$B30,Adjustments!$A$8:$A$207,Settings!$A$16))</f>
        <v>0</v>
      </c>
      <c r="P30" s="17" t="n">
        <f aca="false">IF($B30="",0,SUMIFS('Zoho Dump'!$X$8:$X$3007,'Zoho Dump'!$N$8:$N$3007,$B30,'Zoho Dump'!$P$8:$P$3007,Settings!$A$17)+SUMIFS(Adjustments!$K$8:$K$207,Adjustments!$B$8:$B$207,$B30,Adjustments!$A$8:$A$207,Settings!$A$17))</f>
        <v>0</v>
      </c>
      <c r="Q30" s="17" t="n">
        <f aca="false">IF($B30="",0,SUMIFS('Zoho Dump'!$X$8:$X$3007,'Zoho Dump'!$N$8:$N$3007,$B30,'Zoho Dump'!$P$8:$P$3007,Settings!$A$18)+SUMIFS(Adjustments!$K$8:$K$207,Adjustments!$B$8:$B$207,$B30,Adjustments!$A$8:$A$207,Settings!$A$18))</f>
        <v>0</v>
      </c>
      <c r="R30" s="30" t="n">
        <f aca="false">IF(G30&gt;0,G30+A30/10000000,"")</f>
        <v>400.0000026</v>
      </c>
    </row>
    <row r="31" customFormat="false" ht="15" hidden="false" customHeight="false" outlineLevel="0" collapsed="false">
      <c r="A31" s="9" t="n">
        <v>27</v>
      </c>
      <c r="B31" s="9" t="str">
        <f aca="false">IFERROR(INDEX('Zoho Dump'!$N$8:$N$3007,MATCH(A31,'Zoho Dump'!$AB$8:$AB$3007,0)),"")</f>
        <v>The Lottery Corporation</v>
      </c>
      <c r="C31" s="17" t="n">
        <f aca="false">IF($B31="",0,SUMIFS('Zoho Dump'!$Q$8:$Q$3007,'Zoho Dump'!$N$8:$N$3007,$B31,'Zoho Dump'!$T$8:$T$3007,"Delivered",'Zoho Dump'!$R$8:$R$3007,"&gt;="&amp;Settings!$B$4))</f>
        <v>13661</v>
      </c>
      <c r="D31" s="17" t="n">
        <f aca="false">IF($B31="",0,SUMIFS('Zoho Dump'!$X$8:$X$3007,'Zoho Dump'!$N$8:$N$3007,$B31,'Zoho Dump'!$T$8:$T$3007,"Backlog")+SUMIFS(Adjustments!$K$8:$K$207,Adjustments!$B$8:$B$207,$B31,Adjustments!$H$8:$H$207,"Backlog"))</f>
        <v>0</v>
      </c>
      <c r="E31" s="17" t="n">
        <f aca="false">IF($B31="",0,SUMIFS('Zoho Dump'!$Y$8:$Y$3007,'Zoho Dump'!$N$8:$N$3007,$B31,'Zoho Dump'!$T$8:$T$3007,"Pipeline")+SUMIFS(Adjustments!$L$8:$L$207,Adjustments!$B$8:$B$207,$B31,Adjustments!$H$8:$H$207,"Pipeline")+SUMIFS('Zoho Dump'!$Y$8:$Y$3007,'Zoho Dump'!$N$8:$N$3007,$B31,'Zoho Dump'!$T$8:$T$3007,"Overdue")+SUMIFS(Adjustments!$L$8:$L$207,Adjustments!$B$8:$B$207,$B31,Adjustments!$H$8:$H$207,"Overdue"))</f>
        <v>28382</v>
      </c>
      <c r="F31" s="17" t="n">
        <f aca="false">IF($B31="",0,SUMIFS('Zoho Dump'!$X$8:$X$3007,'Zoho Dump'!$N$8:$N$3007,$B31,'Zoho Dump'!$T$8:$T$3007,"Pipeline")+SUMIFS(Adjustments!$K$8:$K$207,Adjustments!$B$8:$B$207,$B31,Adjustments!$H$8:$H$207,"Pipeline")+SUMIFS('Zoho Dump'!$X$8:$X$3007,'Zoho Dump'!$N$8:$N$3007,$B31,'Zoho Dump'!$T$8:$T$3007,"Overdue")+SUMIFS(Adjustments!$K$8:$K$207,Adjustments!$B$8:$B$207,$B31,Adjustments!$H$8:$H$207,"Overdue"))</f>
        <v>25543.8</v>
      </c>
      <c r="G31" s="17" t="n">
        <f aca="false">D31+F31</f>
        <v>25543.8</v>
      </c>
      <c r="H31" s="18" t="n">
        <f aca="false">IF(SUM($G$5:$G$404)=0,0,G31/SUM($G$5:$G$404))</f>
        <v>0.0299387589124588</v>
      </c>
      <c r="I31" s="17" t="n">
        <f aca="false">IF($B31="",0,SUMIFS('Zoho Dump'!$Q$8:$Q$3007,'Zoho Dump'!$N$8:$N$3007,$B31,'Zoho Dump'!$T$8:$T$3007,"Lost",'Zoho Dump'!$R$8:$R$3007,"&gt;="&amp;Settings!$B$4))</f>
        <v>0</v>
      </c>
      <c r="J31" s="9" t="str">
        <f aca="false">IF($B31="","",IF(COUNTIF(Dashboard!$C$13:$C$22,$B31)&gt;0,"Yes",""))</f>
        <v/>
      </c>
      <c r="K31" s="17" t="n">
        <f aca="false">IF($B31="",0,SUMIFS('Zoho Dump'!$X$8:$X$3007,'Zoho Dump'!$N$8:$N$3007,$B31,'Zoho Dump'!$P$8:$P$3007,Settings!$A$12)+SUMIFS(Adjustments!$K$8:$K$207,Adjustments!$B$8:$B$207,$B31,Adjustments!$A$8:$A$207,Settings!$A$12))</f>
        <v>0</v>
      </c>
      <c r="L31" s="17" t="n">
        <f aca="false">IF($B31="",0,SUMIFS('Zoho Dump'!$X$8:$X$3007,'Zoho Dump'!$N$8:$N$3007,$B31,'Zoho Dump'!$P$8:$P$3007,Settings!$A$13)+SUMIFS(Adjustments!$K$8:$K$207,Adjustments!$B$8:$B$207,$B31,Adjustments!$A$8:$A$207,Settings!$A$13))</f>
        <v>24288.3</v>
      </c>
      <c r="M31" s="17" t="n">
        <f aca="false">IF($B31="",0,SUMIFS('Zoho Dump'!$X$8:$X$3007,'Zoho Dump'!$N$8:$N$3007,$B31,'Zoho Dump'!$P$8:$P$3007,Settings!$A$14)+SUMIFS(Adjustments!$K$8:$K$207,Adjustments!$B$8:$B$207,$B31,Adjustments!$A$8:$A$207,Settings!$A$14))</f>
        <v>1255.5</v>
      </c>
      <c r="N31" s="17" t="n">
        <f aca="false">IF($B31="",0,SUMIFS('Zoho Dump'!$X$8:$X$3007,'Zoho Dump'!$N$8:$N$3007,$B31,'Zoho Dump'!$P$8:$P$3007,Settings!$A$15)+SUMIFS(Adjustments!$K$8:$K$207,Adjustments!$B$8:$B$207,$B31,Adjustments!$A$8:$A$207,Settings!$A$15))</f>
        <v>0</v>
      </c>
      <c r="O31" s="17" t="n">
        <f aca="false">IF($B31="",0,SUMIFS('Zoho Dump'!$X$8:$X$3007,'Zoho Dump'!$N$8:$N$3007,$B31,'Zoho Dump'!$P$8:$P$3007,Settings!$A$16)+SUMIFS(Adjustments!$K$8:$K$207,Adjustments!$B$8:$B$207,$B31,Adjustments!$A$8:$A$207,Settings!$A$16))</f>
        <v>0</v>
      </c>
      <c r="P31" s="17" t="n">
        <f aca="false">IF($B31="",0,SUMIFS('Zoho Dump'!$X$8:$X$3007,'Zoho Dump'!$N$8:$N$3007,$B31,'Zoho Dump'!$P$8:$P$3007,Settings!$A$17)+SUMIFS(Adjustments!$K$8:$K$207,Adjustments!$B$8:$B$207,$B31,Adjustments!$A$8:$A$207,Settings!$A$17))</f>
        <v>0</v>
      </c>
      <c r="Q31" s="17" t="n">
        <f aca="false">IF($B31="",0,SUMIFS('Zoho Dump'!$X$8:$X$3007,'Zoho Dump'!$N$8:$N$3007,$B31,'Zoho Dump'!$P$8:$P$3007,Settings!$A$18)+SUMIFS(Adjustments!$K$8:$K$207,Adjustments!$B$8:$B$207,$B31,Adjustments!$A$8:$A$207,Settings!$A$18))</f>
        <v>0</v>
      </c>
      <c r="R31" s="30" t="n">
        <f aca="false">IF(G31&gt;0,G31+A31/10000000,"")</f>
        <v>25543.8000027</v>
      </c>
    </row>
    <row r="32" customFormat="false" ht="15" hidden="false" customHeight="false" outlineLevel="0" collapsed="false">
      <c r="A32" s="9" t="n">
        <v>28</v>
      </c>
      <c r="B32" s="9" t="str">
        <f aca="false">IFERROR(INDEX('Zoho Dump'!$N$8:$N$3007,MATCH(A32,'Zoho Dump'!$AB$8:$AB$3007,0)),"")</f>
        <v>APA</v>
      </c>
      <c r="C32" s="17" t="n">
        <f aca="false">IF($B32="",0,SUMIFS('Zoho Dump'!$Q$8:$Q$3007,'Zoho Dump'!$N$8:$N$3007,$B32,'Zoho Dump'!$T$8:$T$3007,"Delivered",'Zoho Dump'!$R$8:$R$3007,"&gt;="&amp;Settings!$B$4))</f>
        <v>44788</v>
      </c>
      <c r="D32" s="17" t="n">
        <f aca="false">IF($B32="",0,SUMIFS('Zoho Dump'!$X$8:$X$3007,'Zoho Dump'!$N$8:$N$3007,$B32,'Zoho Dump'!$T$8:$T$3007,"Backlog")+SUMIFS(Adjustments!$K$8:$K$207,Adjustments!$B$8:$B$207,$B32,Adjustments!$H$8:$H$207,"Backlog"))</f>
        <v>1825</v>
      </c>
      <c r="E32" s="17" t="n">
        <f aca="false">IF($B32="",0,SUMIFS('Zoho Dump'!$Y$8:$Y$3007,'Zoho Dump'!$N$8:$N$3007,$B32,'Zoho Dump'!$T$8:$T$3007,"Pipeline")+SUMIFS(Adjustments!$L$8:$L$207,Adjustments!$B$8:$B$207,$B32,Adjustments!$H$8:$H$207,"Pipeline")+SUMIFS('Zoho Dump'!$Y$8:$Y$3007,'Zoho Dump'!$N$8:$N$3007,$B32,'Zoho Dump'!$T$8:$T$3007,"Overdue")+SUMIFS(Adjustments!$L$8:$L$207,Adjustments!$B$8:$B$207,$B32,Adjustments!$H$8:$H$207,"Overdue"))</f>
        <v>14870</v>
      </c>
      <c r="F32" s="17" t="n">
        <f aca="false">IF($B32="",0,SUMIFS('Zoho Dump'!$X$8:$X$3007,'Zoho Dump'!$N$8:$N$3007,$B32,'Zoho Dump'!$T$8:$T$3007,"Pipeline")+SUMIFS(Adjustments!$K$8:$K$207,Adjustments!$B$8:$B$207,$B32,Adjustments!$H$8:$H$207,"Pipeline")+SUMIFS('Zoho Dump'!$X$8:$X$3007,'Zoho Dump'!$N$8:$N$3007,$B32,'Zoho Dump'!$T$8:$T$3007,"Overdue")+SUMIFS(Adjustments!$K$8:$K$207,Adjustments!$B$8:$B$207,$B32,Adjustments!$H$8:$H$207,"Overdue"))</f>
        <v>13383</v>
      </c>
      <c r="G32" s="17" t="n">
        <f aca="false">D32+F32</f>
        <v>15208</v>
      </c>
      <c r="H32" s="18" t="n">
        <f aca="false">IF(SUM($G$5:$G$404)=0,0,G32/SUM($G$5:$G$404))</f>
        <v>0.0178246245875975</v>
      </c>
      <c r="I32" s="17" t="n">
        <f aca="false">IF($B32="",0,SUMIFS('Zoho Dump'!$Q$8:$Q$3007,'Zoho Dump'!$N$8:$N$3007,$B32,'Zoho Dump'!$T$8:$T$3007,"Lost",'Zoho Dump'!$R$8:$R$3007,"&gt;="&amp;Settings!$B$4))</f>
        <v>0</v>
      </c>
      <c r="J32" s="9" t="str">
        <f aca="false">IF($B32="","",IF(COUNTIF(Dashboard!$C$13:$C$22,$B32)&gt;0,"Yes",""))</f>
        <v/>
      </c>
      <c r="K32" s="17" t="n">
        <f aca="false">IF($B32="",0,SUMIFS('Zoho Dump'!$X$8:$X$3007,'Zoho Dump'!$N$8:$N$3007,$B32,'Zoho Dump'!$P$8:$P$3007,Settings!$A$12)+SUMIFS(Adjustments!$K$8:$K$207,Adjustments!$B$8:$B$207,$B32,Adjustments!$A$8:$A$207,Settings!$A$12))</f>
        <v>0</v>
      </c>
      <c r="L32" s="17" t="n">
        <f aca="false">IF($B32="",0,SUMIFS('Zoho Dump'!$X$8:$X$3007,'Zoho Dump'!$N$8:$N$3007,$B32,'Zoho Dump'!$P$8:$P$3007,Settings!$A$13)+SUMIFS(Adjustments!$K$8:$K$207,Adjustments!$B$8:$B$207,$B32,Adjustments!$A$8:$A$207,Settings!$A$13))</f>
        <v>15208</v>
      </c>
      <c r="M32" s="17" t="n">
        <f aca="false">IF($B32="",0,SUMIFS('Zoho Dump'!$X$8:$X$3007,'Zoho Dump'!$N$8:$N$3007,$B32,'Zoho Dump'!$P$8:$P$3007,Settings!$A$14)+SUMIFS(Adjustments!$K$8:$K$207,Adjustments!$B$8:$B$207,$B32,Adjustments!$A$8:$A$207,Settings!$A$14))</f>
        <v>0</v>
      </c>
      <c r="N32" s="17" t="n">
        <f aca="false">IF($B32="",0,SUMIFS('Zoho Dump'!$X$8:$X$3007,'Zoho Dump'!$N$8:$N$3007,$B32,'Zoho Dump'!$P$8:$P$3007,Settings!$A$15)+SUMIFS(Adjustments!$K$8:$K$207,Adjustments!$B$8:$B$207,$B32,Adjustments!$A$8:$A$207,Settings!$A$15))</f>
        <v>0</v>
      </c>
      <c r="O32" s="17" t="n">
        <f aca="false">IF($B32="",0,SUMIFS('Zoho Dump'!$X$8:$X$3007,'Zoho Dump'!$N$8:$N$3007,$B32,'Zoho Dump'!$P$8:$P$3007,Settings!$A$16)+SUMIFS(Adjustments!$K$8:$K$207,Adjustments!$B$8:$B$207,$B32,Adjustments!$A$8:$A$207,Settings!$A$16))</f>
        <v>0</v>
      </c>
      <c r="P32" s="17" t="n">
        <f aca="false">IF($B32="",0,SUMIFS('Zoho Dump'!$X$8:$X$3007,'Zoho Dump'!$N$8:$N$3007,$B32,'Zoho Dump'!$P$8:$P$3007,Settings!$A$17)+SUMIFS(Adjustments!$K$8:$K$207,Adjustments!$B$8:$B$207,$B32,Adjustments!$A$8:$A$207,Settings!$A$17))</f>
        <v>0</v>
      </c>
      <c r="Q32" s="17" t="n">
        <f aca="false">IF($B32="",0,SUMIFS('Zoho Dump'!$X$8:$X$3007,'Zoho Dump'!$N$8:$N$3007,$B32,'Zoho Dump'!$P$8:$P$3007,Settings!$A$18)+SUMIFS(Adjustments!$K$8:$K$207,Adjustments!$B$8:$B$207,$B32,Adjustments!$A$8:$A$207,Settings!$A$18))</f>
        <v>0</v>
      </c>
      <c r="R32" s="30" t="n">
        <f aca="false">IF(G32&gt;0,G32+A32/10000000,"")</f>
        <v>15208.0000028</v>
      </c>
    </row>
    <row r="33" customFormat="false" ht="15" hidden="false" customHeight="false" outlineLevel="0" collapsed="false">
      <c r="A33" s="9" t="n">
        <v>29</v>
      </c>
      <c r="B33" s="9" t="str">
        <f aca="false">IFERROR(INDEX('Zoho Dump'!$N$8:$N$3007,MATCH(A33,'Zoho Dump'!$AB$8:$AB$3007,0)),"")</f>
        <v>AGL</v>
      </c>
      <c r="C33" s="17" t="n">
        <f aca="false">IF($B33="",0,SUMIFS('Zoho Dump'!$Q$8:$Q$3007,'Zoho Dump'!$N$8:$N$3007,$B33,'Zoho Dump'!$T$8:$T$3007,"Delivered",'Zoho Dump'!$R$8:$R$3007,"&gt;="&amp;Settings!$B$4))</f>
        <v>0</v>
      </c>
      <c r="D33" s="17" t="n">
        <f aca="false">IF($B33="",0,SUMIFS('Zoho Dump'!$X$8:$X$3007,'Zoho Dump'!$N$8:$N$3007,$B33,'Zoho Dump'!$T$8:$T$3007,"Backlog")+SUMIFS(Adjustments!$K$8:$K$207,Adjustments!$B$8:$B$207,$B33,Adjustments!$H$8:$H$207,"Backlog"))</f>
        <v>0</v>
      </c>
      <c r="E33" s="17" t="n">
        <f aca="false">IF($B33="",0,SUMIFS('Zoho Dump'!$Y$8:$Y$3007,'Zoho Dump'!$N$8:$N$3007,$B33,'Zoho Dump'!$T$8:$T$3007,"Pipeline")+SUMIFS(Adjustments!$L$8:$L$207,Adjustments!$B$8:$B$207,$B33,Adjustments!$H$8:$H$207,"Pipeline")+SUMIFS('Zoho Dump'!$Y$8:$Y$3007,'Zoho Dump'!$N$8:$N$3007,$B33,'Zoho Dump'!$T$8:$T$3007,"Overdue")+SUMIFS(Adjustments!$L$8:$L$207,Adjustments!$B$8:$B$207,$B33,Adjustments!$H$8:$H$207,"Overdue"))</f>
        <v>0</v>
      </c>
      <c r="F33" s="17" t="n">
        <f aca="false">IF($B33="",0,SUMIFS('Zoho Dump'!$X$8:$X$3007,'Zoho Dump'!$N$8:$N$3007,$B33,'Zoho Dump'!$T$8:$T$3007,"Pipeline")+SUMIFS(Adjustments!$K$8:$K$207,Adjustments!$B$8:$B$207,$B33,Adjustments!$H$8:$H$207,"Pipeline")+SUMIFS('Zoho Dump'!$X$8:$X$3007,'Zoho Dump'!$N$8:$N$3007,$B33,'Zoho Dump'!$T$8:$T$3007,"Overdue")+SUMIFS(Adjustments!$K$8:$K$207,Adjustments!$B$8:$B$207,$B33,Adjustments!$H$8:$H$207,"Overdue"))</f>
        <v>0</v>
      </c>
      <c r="G33" s="17" t="n">
        <f aca="false">D33+F33</f>
        <v>0</v>
      </c>
      <c r="H33" s="18" t="n">
        <f aca="false">IF(SUM($G$5:$G$404)=0,0,G33/SUM($G$5:$G$404))</f>
        <v>0</v>
      </c>
      <c r="I33" s="17" t="n">
        <f aca="false">IF($B33="",0,SUMIFS('Zoho Dump'!$Q$8:$Q$3007,'Zoho Dump'!$N$8:$N$3007,$B33,'Zoho Dump'!$T$8:$T$3007,"Lost",'Zoho Dump'!$R$8:$R$3007,"&gt;="&amp;Settings!$B$4))</f>
        <v>0</v>
      </c>
      <c r="J33" s="9" t="str">
        <f aca="false">IF($B33="","",IF(COUNTIF(Dashboard!$C$13:$C$22,$B33)&gt;0,"Yes",""))</f>
        <v/>
      </c>
      <c r="K33" s="17" t="n">
        <f aca="false">IF($B33="",0,SUMIFS('Zoho Dump'!$X$8:$X$3007,'Zoho Dump'!$N$8:$N$3007,$B33,'Zoho Dump'!$P$8:$P$3007,Settings!$A$12)+SUMIFS(Adjustments!$K$8:$K$207,Adjustments!$B$8:$B$207,$B33,Adjustments!$A$8:$A$207,Settings!$A$12))</f>
        <v>0</v>
      </c>
      <c r="L33" s="17" t="n">
        <f aca="false">IF($B33="",0,SUMIFS('Zoho Dump'!$X$8:$X$3007,'Zoho Dump'!$N$8:$N$3007,$B33,'Zoho Dump'!$P$8:$P$3007,Settings!$A$13)+SUMIFS(Adjustments!$K$8:$K$207,Adjustments!$B$8:$B$207,$B33,Adjustments!$A$8:$A$207,Settings!$A$13))</f>
        <v>0</v>
      </c>
      <c r="M33" s="17" t="n">
        <f aca="false">IF($B33="",0,SUMIFS('Zoho Dump'!$X$8:$X$3007,'Zoho Dump'!$N$8:$N$3007,$B33,'Zoho Dump'!$P$8:$P$3007,Settings!$A$14)+SUMIFS(Adjustments!$K$8:$K$207,Adjustments!$B$8:$B$207,$B33,Adjustments!$A$8:$A$207,Settings!$A$14))</f>
        <v>0</v>
      </c>
      <c r="N33" s="17" t="n">
        <f aca="false">IF($B33="",0,SUMIFS('Zoho Dump'!$X$8:$X$3007,'Zoho Dump'!$N$8:$N$3007,$B33,'Zoho Dump'!$P$8:$P$3007,Settings!$A$15)+SUMIFS(Adjustments!$K$8:$K$207,Adjustments!$B$8:$B$207,$B33,Adjustments!$A$8:$A$207,Settings!$A$15))</f>
        <v>0</v>
      </c>
      <c r="O33" s="17" t="n">
        <f aca="false">IF($B33="",0,SUMIFS('Zoho Dump'!$X$8:$X$3007,'Zoho Dump'!$N$8:$N$3007,$B33,'Zoho Dump'!$P$8:$P$3007,Settings!$A$16)+SUMIFS(Adjustments!$K$8:$K$207,Adjustments!$B$8:$B$207,$B33,Adjustments!$A$8:$A$207,Settings!$A$16))</f>
        <v>0</v>
      </c>
      <c r="P33" s="17" t="n">
        <f aca="false">IF($B33="",0,SUMIFS('Zoho Dump'!$X$8:$X$3007,'Zoho Dump'!$N$8:$N$3007,$B33,'Zoho Dump'!$P$8:$P$3007,Settings!$A$17)+SUMIFS(Adjustments!$K$8:$K$207,Adjustments!$B$8:$B$207,$B33,Adjustments!$A$8:$A$207,Settings!$A$17))</f>
        <v>0</v>
      </c>
      <c r="Q33" s="17" t="n">
        <f aca="false">IF($B33="",0,SUMIFS('Zoho Dump'!$X$8:$X$3007,'Zoho Dump'!$N$8:$N$3007,$B33,'Zoho Dump'!$P$8:$P$3007,Settings!$A$18)+SUMIFS(Adjustments!$K$8:$K$207,Adjustments!$B$8:$B$207,$B33,Adjustments!$A$8:$A$207,Settings!$A$18))</f>
        <v>0</v>
      </c>
      <c r="R33" s="30" t="str">
        <f aca="false">IF(G33&gt;0,G33+A33/10000000,"")</f>
        <v/>
      </c>
    </row>
    <row r="34" customFormat="false" ht="15" hidden="false" customHeight="false" outlineLevel="0" collapsed="false">
      <c r="A34" s="9" t="n">
        <v>30</v>
      </c>
      <c r="B34" s="9" t="str">
        <f aca="false">IFERROR(INDEX('Zoho Dump'!$N$8:$N$3007,MATCH(A34,'Zoho Dump'!$AB$8:$AB$3007,0)),"")</f>
        <v>3YS Owls Pty Ltd</v>
      </c>
      <c r="C34" s="17" t="n">
        <f aca="false">IF($B34="",0,SUMIFS('Zoho Dump'!$Q$8:$Q$3007,'Zoho Dump'!$N$8:$N$3007,$B34,'Zoho Dump'!$T$8:$T$3007,"Delivered",'Zoho Dump'!$R$8:$R$3007,"&gt;="&amp;Settings!$B$4))</f>
        <v>0</v>
      </c>
      <c r="D34" s="17" t="n">
        <f aca="false">IF($B34="",0,SUMIFS('Zoho Dump'!$X$8:$X$3007,'Zoho Dump'!$N$8:$N$3007,$B34,'Zoho Dump'!$T$8:$T$3007,"Backlog")+SUMIFS(Adjustments!$K$8:$K$207,Adjustments!$B$8:$B$207,$B34,Adjustments!$H$8:$H$207,"Backlog"))</f>
        <v>0</v>
      </c>
      <c r="E34" s="17" t="n">
        <f aca="false">IF($B34="",0,SUMIFS('Zoho Dump'!$Y$8:$Y$3007,'Zoho Dump'!$N$8:$N$3007,$B34,'Zoho Dump'!$T$8:$T$3007,"Pipeline")+SUMIFS(Adjustments!$L$8:$L$207,Adjustments!$B$8:$B$207,$B34,Adjustments!$H$8:$H$207,"Pipeline")+SUMIFS('Zoho Dump'!$Y$8:$Y$3007,'Zoho Dump'!$N$8:$N$3007,$B34,'Zoho Dump'!$T$8:$T$3007,"Overdue")+SUMIFS(Adjustments!$L$8:$L$207,Adjustments!$B$8:$B$207,$B34,Adjustments!$H$8:$H$207,"Overdue"))</f>
        <v>12600</v>
      </c>
      <c r="F34" s="17" t="n">
        <f aca="false">IF($B34="",0,SUMIFS('Zoho Dump'!$X$8:$X$3007,'Zoho Dump'!$N$8:$N$3007,$B34,'Zoho Dump'!$T$8:$T$3007,"Pipeline")+SUMIFS(Adjustments!$K$8:$K$207,Adjustments!$B$8:$B$207,$B34,Adjustments!$H$8:$H$207,"Pipeline")+SUMIFS('Zoho Dump'!$X$8:$X$3007,'Zoho Dump'!$N$8:$N$3007,$B34,'Zoho Dump'!$T$8:$T$3007,"Overdue")+SUMIFS(Adjustments!$K$8:$K$207,Adjustments!$B$8:$B$207,$B34,Adjustments!$H$8:$H$207,"Overdue"))</f>
        <v>11340</v>
      </c>
      <c r="G34" s="17" t="n">
        <f aca="false">D34+F34</f>
        <v>11340</v>
      </c>
      <c r="H34" s="18" t="n">
        <f aca="false">IF(SUM($G$5:$G$404)=0,0,G34/SUM($G$5:$G$404))</f>
        <v>0.0132911127579797</v>
      </c>
      <c r="I34" s="17" t="n">
        <f aca="false">IF($B34="",0,SUMIFS('Zoho Dump'!$Q$8:$Q$3007,'Zoho Dump'!$N$8:$N$3007,$B34,'Zoho Dump'!$T$8:$T$3007,"Lost",'Zoho Dump'!$R$8:$R$3007,"&gt;="&amp;Settings!$B$4))</f>
        <v>0</v>
      </c>
      <c r="J34" s="9" t="str">
        <f aca="false">IF($B34="","",IF(COUNTIF(Dashboard!$C$13:$C$22,$B34)&gt;0,"Yes",""))</f>
        <v/>
      </c>
      <c r="K34" s="17" t="n">
        <f aca="false">IF($B34="",0,SUMIFS('Zoho Dump'!$X$8:$X$3007,'Zoho Dump'!$N$8:$N$3007,$B34,'Zoho Dump'!$P$8:$P$3007,Settings!$A$12)+SUMIFS(Adjustments!$K$8:$K$207,Adjustments!$B$8:$B$207,$B34,Adjustments!$A$8:$A$207,Settings!$A$12))</f>
        <v>0</v>
      </c>
      <c r="L34" s="17" t="n">
        <f aca="false">IF($B34="",0,SUMIFS('Zoho Dump'!$X$8:$X$3007,'Zoho Dump'!$N$8:$N$3007,$B34,'Zoho Dump'!$P$8:$P$3007,Settings!$A$13)+SUMIFS(Adjustments!$K$8:$K$207,Adjustments!$B$8:$B$207,$B34,Adjustments!$A$8:$A$207,Settings!$A$13))</f>
        <v>11340</v>
      </c>
      <c r="M34" s="17" t="n">
        <f aca="false">IF($B34="",0,SUMIFS('Zoho Dump'!$X$8:$X$3007,'Zoho Dump'!$N$8:$N$3007,$B34,'Zoho Dump'!$P$8:$P$3007,Settings!$A$14)+SUMIFS(Adjustments!$K$8:$K$207,Adjustments!$B$8:$B$207,$B34,Adjustments!$A$8:$A$207,Settings!$A$14))</f>
        <v>0</v>
      </c>
      <c r="N34" s="17" t="n">
        <f aca="false">IF($B34="",0,SUMIFS('Zoho Dump'!$X$8:$X$3007,'Zoho Dump'!$N$8:$N$3007,$B34,'Zoho Dump'!$P$8:$P$3007,Settings!$A$15)+SUMIFS(Adjustments!$K$8:$K$207,Adjustments!$B$8:$B$207,$B34,Adjustments!$A$8:$A$207,Settings!$A$15))</f>
        <v>0</v>
      </c>
      <c r="O34" s="17" t="n">
        <f aca="false">IF($B34="",0,SUMIFS('Zoho Dump'!$X$8:$X$3007,'Zoho Dump'!$N$8:$N$3007,$B34,'Zoho Dump'!$P$8:$P$3007,Settings!$A$16)+SUMIFS(Adjustments!$K$8:$K$207,Adjustments!$B$8:$B$207,$B34,Adjustments!$A$8:$A$207,Settings!$A$16))</f>
        <v>0</v>
      </c>
      <c r="P34" s="17" t="n">
        <f aca="false">IF($B34="",0,SUMIFS('Zoho Dump'!$X$8:$X$3007,'Zoho Dump'!$N$8:$N$3007,$B34,'Zoho Dump'!$P$8:$P$3007,Settings!$A$17)+SUMIFS(Adjustments!$K$8:$K$207,Adjustments!$B$8:$B$207,$B34,Adjustments!$A$8:$A$207,Settings!$A$17))</f>
        <v>0</v>
      </c>
      <c r="Q34" s="17" t="n">
        <f aca="false">IF($B34="",0,SUMIFS('Zoho Dump'!$X$8:$X$3007,'Zoho Dump'!$N$8:$N$3007,$B34,'Zoho Dump'!$P$8:$P$3007,Settings!$A$18)+SUMIFS(Adjustments!$K$8:$K$207,Adjustments!$B$8:$B$207,$B34,Adjustments!$A$8:$A$207,Settings!$A$18))</f>
        <v>0</v>
      </c>
      <c r="R34" s="30" t="n">
        <f aca="false">IF(G34&gt;0,G34+A34/10000000,"")</f>
        <v>11340.000003</v>
      </c>
    </row>
    <row r="35" customFormat="false" ht="15" hidden="false" customHeight="false" outlineLevel="0" collapsed="false">
      <c r="A35" s="9" t="n">
        <v>31</v>
      </c>
      <c r="B35" s="9" t="str">
        <f aca="false">IFERROR(INDEX('Zoho Dump'!$N$8:$N$3007,MATCH(A35,'Zoho Dump'!$AB$8:$AB$3007,0)),"")</f>
        <v>ASX Australian Securities Exchange</v>
      </c>
      <c r="C35" s="17" t="n">
        <f aca="false">IF($B35="",0,SUMIFS('Zoho Dump'!$Q$8:$Q$3007,'Zoho Dump'!$N$8:$N$3007,$B35,'Zoho Dump'!$T$8:$T$3007,"Delivered",'Zoho Dump'!$R$8:$R$3007,"&gt;="&amp;Settings!$B$4))</f>
        <v>127321</v>
      </c>
      <c r="D35" s="17" t="n">
        <f aca="false">IF($B35="",0,SUMIFS('Zoho Dump'!$X$8:$X$3007,'Zoho Dump'!$N$8:$N$3007,$B35,'Zoho Dump'!$T$8:$T$3007,"Backlog")+SUMIFS(Adjustments!$K$8:$K$207,Adjustments!$B$8:$B$207,$B35,Adjustments!$H$8:$H$207,"Backlog"))</f>
        <v>9078</v>
      </c>
      <c r="E35" s="17" t="n">
        <f aca="false">IF($B35="",0,SUMIFS('Zoho Dump'!$Y$8:$Y$3007,'Zoho Dump'!$N$8:$N$3007,$B35,'Zoho Dump'!$T$8:$T$3007,"Pipeline")+SUMIFS(Adjustments!$L$8:$L$207,Adjustments!$B$8:$B$207,$B35,Adjustments!$H$8:$H$207,"Pipeline")+SUMIFS('Zoho Dump'!$Y$8:$Y$3007,'Zoho Dump'!$N$8:$N$3007,$B35,'Zoho Dump'!$T$8:$T$3007,"Overdue")+SUMIFS(Adjustments!$L$8:$L$207,Adjustments!$B$8:$B$207,$B35,Adjustments!$H$8:$H$207,"Overdue"))</f>
        <v>0</v>
      </c>
      <c r="F35" s="17" t="n">
        <f aca="false">IF($B35="",0,SUMIFS('Zoho Dump'!$X$8:$X$3007,'Zoho Dump'!$N$8:$N$3007,$B35,'Zoho Dump'!$T$8:$T$3007,"Pipeline")+SUMIFS(Adjustments!$K$8:$K$207,Adjustments!$B$8:$B$207,$B35,Adjustments!$H$8:$H$207,"Pipeline")+SUMIFS('Zoho Dump'!$X$8:$X$3007,'Zoho Dump'!$N$8:$N$3007,$B35,'Zoho Dump'!$T$8:$T$3007,"Overdue")+SUMIFS(Adjustments!$K$8:$K$207,Adjustments!$B$8:$B$207,$B35,Adjustments!$H$8:$H$207,"Overdue"))</f>
        <v>0</v>
      </c>
      <c r="G35" s="17" t="n">
        <f aca="false">D35+F35</f>
        <v>9078</v>
      </c>
      <c r="H35" s="18" t="n">
        <f aca="false">IF(SUM($G$5:$G$404)=0,0,G35/SUM($G$5:$G$404))</f>
        <v>0.0106399225411764</v>
      </c>
      <c r="I35" s="17" t="n">
        <f aca="false">IF($B35="",0,SUMIFS('Zoho Dump'!$Q$8:$Q$3007,'Zoho Dump'!$N$8:$N$3007,$B35,'Zoho Dump'!$T$8:$T$3007,"Lost",'Zoho Dump'!$R$8:$R$3007,"&gt;="&amp;Settings!$B$4))</f>
        <v>11423</v>
      </c>
      <c r="J35" s="9" t="str">
        <f aca="false">IF($B35="","",IF(COUNTIF(Dashboard!$C$13:$C$22,$B35)&gt;0,"Yes",""))</f>
        <v/>
      </c>
      <c r="K35" s="17" t="n">
        <f aca="false">IF($B35="",0,SUMIFS('Zoho Dump'!$X$8:$X$3007,'Zoho Dump'!$N$8:$N$3007,$B35,'Zoho Dump'!$P$8:$P$3007,Settings!$A$12)+SUMIFS(Adjustments!$K$8:$K$207,Adjustments!$B$8:$B$207,$B35,Adjustments!$A$8:$A$207,Settings!$A$12))</f>
        <v>0</v>
      </c>
      <c r="L35" s="17" t="n">
        <f aca="false">IF($B35="",0,SUMIFS('Zoho Dump'!$X$8:$X$3007,'Zoho Dump'!$N$8:$N$3007,$B35,'Zoho Dump'!$P$8:$P$3007,Settings!$A$13)+SUMIFS(Adjustments!$K$8:$K$207,Adjustments!$B$8:$B$207,$B35,Adjustments!$A$8:$A$207,Settings!$A$13))</f>
        <v>9078</v>
      </c>
      <c r="M35" s="17" t="n">
        <f aca="false">IF($B35="",0,SUMIFS('Zoho Dump'!$X$8:$X$3007,'Zoho Dump'!$N$8:$N$3007,$B35,'Zoho Dump'!$P$8:$P$3007,Settings!$A$14)+SUMIFS(Adjustments!$K$8:$K$207,Adjustments!$B$8:$B$207,$B35,Adjustments!$A$8:$A$207,Settings!$A$14))</f>
        <v>0</v>
      </c>
      <c r="N35" s="17" t="n">
        <f aca="false">IF($B35="",0,SUMIFS('Zoho Dump'!$X$8:$X$3007,'Zoho Dump'!$N$8:$N$3007,$B35,'Zoho Dump'!$P$8:$P$3007,Settings!$A$15)+SUMIFS(Adjustments!$K$8:$K$207,Adjustments!$B$8:$B$207,$B35,Adjustments!$A$8:$A$207,Settings!$A$15))</f>
        <v>0</v>
      </c>
      <c r="O35" s="17" t="n">
        <f aca="false">IF($B35="",0,SUMIFS('Zoho Dump'!$X$8:$X$3007,'Zoho Dump'!$N$8:$N$3007,$B35,'Zoho Dump'!$P$8:$P$3007,Settings!$A$16)+SUMIFS(Adjustments!$K$8:$K$207,Adjustments!$B$8:$B$207,$B35,Adjustments!$A$8:$A$207,Settings!$A$16))</f>
        <v>0</v>
      </c>
      <c r="P35" s="17" t="n">
        <f aca="false">IF($B35="",0,SUMIFS('Zoho Dump'!$X$8:$X$3007,'Zoho Dump'!$N$8:$N$3007,$B35,'Zoho Dump'!$P$8:$P$3007,Settings!$A$17)+SUMIFS(Adjustments!$K$8:$K$207,Adjustments!$B$8:$B$207,$B35,Adjustments!$A$8:$A$207,Settings!$A$17))</f>
        <v>0</v>
      </c>
      <c r="Q35" s="17" t="n">
        <f aca="false">IF($B35="",0,SUMIFS('Zoho Dump'!$X$8:$X$3007,'Zoho Dump'!$N$8:$N$3007,$B35,'Zoho Dump'!$P$8:$P$3007,Settings!$A$18)+SUMIFS(Adjustments!$K$8:$K$207,Adjustments!$B$8:$B$207,$B35,Adjustments!$A$8:$A$207,Settings!$A$18))</f>
        <v>0</v>
      </c>
      <c r="R35" s="30" t="n">
        <f aca="false">IF(G35&gt;0,G35+A35/10000000,"")</f>
        <v>9078.0000031</v>
      </c>
    </row>
    <row r="36" customFormat="false" ht="15" hidden="false" customHeight="false" outlineLevel="0" collapsed="false">
      <c r="A36" s="9" t="n">
        <v>32</v>
      </c>
      <c r="B36" s="9" t="str">
        <f aca="false">IFERROR(INDEX('Zoho Dump'!$N$8:$N$3007,MATCH(A36,'Zoho Dump'!$AB$8:$AB$3007,0)),"")</f>
        <v>Dimensional Fund Advisors</v>
      </c>
      <c r="C36" s="17" t="n">
        <f aca="false">IF($B36="",0,SUMIFS('Zoho Dump'!$Q$8:$Q$3007,'Zoho Dump'!$N$8:$N$3007,$B36,'Zoho Dump'!$T$8:$T$3007,"Delivered",'Zoho Dump'!$R$8:$R$3007,"&gt;="&amp;Settings!$B$4))</f>
        <v>920</v>
      </c>
      <c r="D36" s="17" t="n">
        <f aca="false">IF($B36="",0,SUMIFS('Zoho Dump'!$X$8:$X$3007,'Zoho Dump'!$N$8:$N$3007,$B36,'Zoho Dump'!$T$8:$T$3007,"Backlog")+SUMIFS(Adjustments!$K$8:$K$207,Adjustments!$B$8:$B$207,$B36,Adjustments!$H$8:$H$207,"Backlog"))</f>
        <v>460</v>
      </c>
      <c r="E36" s="17" t="n">
        <f aca="false">IF($B36="",0,SUMIFS('Zoho Dump'!$Y$8:$Y$3007,'Zoho Dump'!$N$8:$N$3007,$B36,'Zoho Dump'!$T$8:$T$3007,"Pipeline")+SUMIFS(Adjustments!$L$8:$L$207,Adjustments!$B$8:$B$207,$B36,Adjustments!$H$8:$H$207,"Pipeline")+SUMIFS('Zoho Dump'!$Y$8:$Y$3007,'Zoho Dump'!$N$8:$N$3007,$B36,'Zoho Dump'!$T$8:$T$3007,"Overdue")+SUMIFS(Adjustments!$L$8:$L$207,Adjustments!$B$8:$B$207,$B36,Adjustments!$H$8:$H$207,"Overdue"))</f>
        <v>0</v>
      </c>
      <c r="F36" s="17" t="n">
        <f aca="false">IF($B36="",0,SUMIFS('Zoho Dump'!$X$8:$X$3007,'Zoho Dump'!$N$8:$N$3007,$B36,'Zoho Dump'!$T$8:$T$3007,"Pipeline")+SUMIFS(Adjustments!$K$8:$K$207,Adjustments!$B$8:$B$207,$B36,Adjustments!$H$8:$H$207,"Pipeline")+SUMIFS('Zoho Dump'!$X$8:$X$3007,'Zoho Dump'!$N$8:$N$3007,$B36,'Zoho Dump'!$T$8:$T$3007,"Overdue")+SUMIFS(Adjustments!$K$8:$K$207,Adjustments!$B$8:$B$207,$B36,Adjustments!$H$8:$H$207,"Overdue"))</f>
        <v>0</v>
      </c>
      <c r="G36" s="17" t="n">
        <f aca="false">D36+F36</f>
        <v>460</v>
      </c>
      <c r="H36" s="18" t="n">
        <f aca="false">IF(SUM($G$5:$G$404)=0,0,G36/SUM($G$5:$G$404))</f>
        <v>0.000539145667431277</v>
      </c>
      <c r="I36" s="17" t="n">
        <f aca="false">IF($B36="",0,SUMIFS('Zoho Dump'!$Q$8:$Q$3007,'Zoho Dump'!$N$8:$N$3007,$B36,'Zoho Dump'!$T$8:$T$3007,"Lost",'Zoho Dump'!$R$8:$R$3007,"&gt;="&amp;Settings!$B$4))</f>
        <v>0</v>
      </c>
      <c r="J36" s="9" t="str">
        <f aca="false">IF($B36="","",IF(COUNTIF(Dashboard!$C$13:$C$22,$B36)&gt;0,"Yes",""))</f>
        <v/>
      </c>
      <c r="K36" s="17" t="n">
        <f aca="false">IF($B36="",0,SUMIFS('Zoho Dump'!$X$8:$X$3007,'Zoho Dump'!$N$8:$N$3007,$B36,'Zoho Dump'!$P$8:$P$3007,Settings!$A$12)+SUMIFS(Adjustments!$K$8:$K$207,Adjustments!$B$8:$B$207,$B36,Adjustments!$A$8:$A$207,Settings!$A$12))</f>
        <v>0</v>
      </c>
      <c r="L36" s="17" t="n">
        <f aca="false">IF($B36="",0,SUMIFS('Zoho Dump'!$X$8:$X$3007,'Zoho Dump'!$N$8:$N$3007,$B36,'Zoho Dump'!$P$8:$P$3007,Settings!$A$13)+SUMIFS(Adjustments!$K$8:$K$207,Adjustments!$B$8:$B$207,$B36,Adjustments!$A$8:$A$207,Settings!$A$13))</f>
        <v>460</v>
      </c>
      <c r="M36" s="17" t="n">
        <f aca="false">IF($B36="",0,SUMIFS('Zoho Dump'!$X$8:$X$3007,'Zoho Dump'!$N$8:$N$3007,$B36,'Zoho Dump'!$P$8:$P$3007,Settings!$A$14)+SUMIFS(Adjustments!$K$8:$K$207,Adjustments!$B$8:$B$207,$B36,Adjustments!$A$8:$A$207,Settings!$A$14))</f>
        <v>0</v>
      </c>
      <c r="N36" s="17" t="n">
        <f aca="false">IF($B36="",0,SUMIFS('Zoho Dump'!$X$8:$X$3007,'Zoho Dump'!$N$8:$N$3007,$B36,'Zoho Dump'!$P$8:$P$3007,Settings!$A$15)+SUMIFS(Adjustments!$K$8:$K$207,Adjustments!$B$8:$B$207,$B36,Adjustments!$A$8:$A$207,Settings!$A$15))</f>
        <v>0</v>
      </c>
      <c r="O36" s="17" t="n">
        <f aca="false">IF($B36="",0,SUMIFS('Zoho Dump'!$X$8:$X$3007,'Zoho Dump'!$N$8:$N$3007,$B36,'Zoho Dump'!$P$8:$P$3007,Settings!$A$16)+SUMIFS(Adjustments!$K$8:$K$207,Adjustments!$B$8:$B$207,$B36,Adjustments!$A$8:$A$207,Settings!$A$16))</f>
        <v>0</v>
      </c>
      <c r="P36" s="17" t="n">
        <f aca="false">IF($B36="",0,SUMIFS('Zoho Dump'!$X$8:$X$3007,'Zoho Dump'!$N$8:$N$3007,$B36,'Zoho Dump'!$P$8:$P$3007,Settings!$A$17)+SUMIFS(Adjustments!$K$8:$K$207,Adjustments!$B$8:$B$207,$B36,Adjustments!$A$8:$A$207,Settings!$A$17))</f>
        <v>0</v>
      </c>
      <c r="Q36" s="17" t="n">
        <f aca="false">IF($B36="",0,SUMIFS('Zoho Dump'!$X$8:$X$3007,'Zoho Dump'!$N$8:$N$3007,$B36,'Zoho Dump'!$P$8:$P$3007,Settings!$A$18)+SUMIFS(Adjustments!$K$8:$K$207,Adjustments!$B$8:$B$207,$B36,Adjustments!$A$8:$A$207,Settings!$A$18))</f>
        <v>0</v>
      </c>
      <c r="R36" s="30" t="n">
        <f aca="false">IF(G36&gt;0,G36+A36/10000000,"")</f>
        <v>460.0000032</v>
      </c>
    </row>
    <row r="37" customFormat="false" ht="15" hidden="false" customHeight="false" outlineLevel="0" collapsed="false">
      <c r="A37" s="9" t="n">
        <v>33</v>
      </c>
      <c r="B37" s="9" t="str">
        <f aca="false">IFERROR(INDEX('Zoho Dump'!$N$8:$N$3007,MATCH(A37,'Zoho Dump'!$AB$8:$AB$3007,0)),"")</f>
        <v>Vega Global</v>
      </c>
      <c r="C37" s="17" t="n">
        <f aca="false">IF($B37="",0,SUMIFS('Zoho Dump'!$Q$8:$Q$3007,'Zoho Dump'!$N$8:$N$3007,$B37,'Zoho Dump'!$T$8:$T$3007,"Delivered",'Zoho Dump'!$R$8:$R$3007,"&gt;="&amp;Settings!$B$4))</f>
        <v>1790</v>
      </c>
      <c r="D37" s="17" t="n">
        <f aca="false">IF($B37="",0,SUMIFS('Zoho Dump'!$X$8:$X$3007,'Zoho Dump'!$N$8:$N$3007,$B37,'Zoho Dump'!$T$8:$T$3007,"Backlog")+SUMIFS(Adjustments!$K$8:$K$207,Adjustments!$B$8:$B$207,$B37,Adjustments!$H$8:$H$207,"Backlog"))</f>
        <v>1662</v>
      </c>
      <c r="E37" s="17" t="n">
        <f aca="false">IF($B37="",0,SUMIFS('Zoho Dump'!$Y$8:$Y$3007,'Zoho Dump'!$N$8:$N$3007,$B37,'Zoho Dump'!$T$8:$T$3007,"Pipeline")+SUMIFS(Adjustments!$L$8:$L$207,Adjustments!$B$8:$B$207,$B37,Adjustments!$H$8:$H$207,"Pipeline")+SUMIFS('Zoho Dump'!$Y$8:$Y$3007,'Zoho Dump'!$N$8:$N$3007,$B37,'Zoho Dump'!$T$8:$T$3007,"Overdue")+SUMIFS(Adjustments!$L$8:$L$207,Adjustments!$B$8:$B$207,$B37,Adjustments!$H$8:$H$207,"Overdue"))</f>
        <v>0</v>
      </c>
      <c r="F37" s="17" t="n">
        <f aca="false">IF($B37="",0,SUMIFS('Zoho Dump'!$X$8:$X$3007,'Zoho Dump'!$N$8:$N$3007,$B37,'Zoho Dump'!$T$8:$T$3007,"Pipeline")+SUMIFS(Adjustments!$K$8:$K$207,Adjustments!$B$8:$B$207,$B37,Adjustments!$H$8:$H$207,"Pipeline")+SUMIFS('Zoho Dump'!$X$8:$X$3007,'Zoho Dump'!$N$8:$N$3007,$B37,'Zoho Dump'!$T$8:$T$3007,"Overdue")+SUMIFS(Adjustments!$K$8:$K$207,Adjustments!$B$8:$B$207,$B37,Adjustments!$H$8:$H$207,"Overdue"))</f>
        <v>0</v>
      </c>
      <c r="G37" s="17" t="n">
        <f aca="false">D37+F37</f>
        <v>1662</v>
      </c>
      <c r="H37" s="18" t="n">
        <f aca="false">IF(SUM($G$5:$G$404)=0,0,G37/SUM($G$5:$G$404))</f>
        <v>0.00194795673754518</v>
      </c>
      <c r="I37" s="17" t="n">
        <f aca="false">IF($B37="",0,SUMIFS('Zoho Dump'!$Q$8:$Q$3007,'Zoho Dump'!$N$8:$N$3007,$B37,'Zoho Dump'!$T$8:$T$3007,"Lost",'Zoho Dump'!$R$8:$R$3007,"&gt;="&amp;Settings!$B$4))</f>
        <v>860</v>
      </c>
      <c r="J37" s="9" t="str">
        <f aca="false">IF($B37="","",IF(COUNTIF(Dashboard!$C$13:$C$22,$B37)&gt;0,"Yes",""))</f>
        <v/>
      </c>
      <c r="K37" s="17" t="n">
        <f aca="false">IF($B37="",0,SUMIFS('Zoho Dump'!$X$8:$X$3007,'Zoho Dump'!$N$8:$N$3007,$B37,'Zoho Dump'!$P$8:$P$3007,Settings!$A$12)+SUMIFS(Adjustments!$K$8:$K$207,Adjustments!$B$8:$B$207,$B37,Adjustments!$A$8:$A$207,Settings!$A$12))</f>
        <v>0</v>
      </c>
      <c r="L37" s="17" t="n">
        <f aca="false">IF($B37="",0,SUMIFS('Zoho Dump'!$X$8:$X$3007,'Zoho Dump'!$N$8:$N$3007,$B37,'Zoho Dump'!$P$8:$P$3007,Settings!$A$13)+SUMIFS(Adjustments!$K$8:$K$207,Adjustments!$B$8:$B$207,$B37,Adjustments!$A$8:$A$207,Settings!$A$13))</f>
        <v>1662</v>
      </c>
      <c r="M37" s="17" t="n">
        <f aca="false">IF($B37="",0,SUMIFS('Zoho Dump'!$X$8:$X$3007,'Zoho Dump'!$N$8:$N$3007,$B37,'Zoho Dump'!$P$8:$P$3007,Settings!$A$14)+SUMIFS(Adjustments!$K$8:$K$207,Adjustments!$B$8:$B$207,$B37,Adjustments!$A$8:$A$207,Settings!$A$14))</f>
        <v>0</v>
      </c>
      <c r="N37" s="17" t="n">
        <f aca="false">IF($B37="",0,SUMIFS('Zoho Dump'!$X$8:$X$3007,'Zoho Dump'!$N$8:$N$3007,$B37,'Zoho Dump'!$P$8:$P$3007,Settings!$A$15)+SUMIFS(Adjustments!$K$8:$K$207,Adjustments!$B$8:$B$207,$B37,Adjustments!$A$8:$A$207,Settings!$A$15))</f>
        <v>0</v>
      </c>
      <c r="O37" s="17" t="n">
        <f aca="false">IF($B37="",0,SUMIFS('Zoho Dump'!$X$8:$X$3007,'Zoho Dump'!$N$8:$N$3007,$B37,'Zoho Dump'!$P$8:$P$3007,Settings!$A$16)+SUMIFS(Adjustments!$K$8:$K$207,Adjustments!$B$8:$B$207,$B37,Adjustments!$A$8:$A$207,Settings!$A$16))</f>
        <v>0</v>
      </c>
      <c r="P37" s="17" t="n">
        <f aca="false">IF($B37="",0,SUMIFS('Zoho Dump'!$X$8:$X$3007,'Zoho Dump'!$N$8:$N$3007,$B37,'Zoho Dump'!$P$8:$P$3007,Settings!$A$17)+SUMIFS(Adjustments!$K$8:$K$207,Adjustments!$B$8:$B$207,$B37,Adjustments!$A$8:$A$207,Settings!$A$17))</f>
        <v>0</v>
      </c>
      <c r="Q37" s="17" t="n">
        <f aca="false">IF($B37="",0,SUMIFS('Zoho Dump'!$X$8:$X$3007,'Zoho Dump'!$N$8:$N$3007,$B37,'Zoho Dump'!$P$8:$P$3007,Settings!$A$18)+SUMIFS(Adjustments!$K$8:$K$207,Adjustments!$B$8:$B$207,$B37,Adjustments!$A$8:$A$207,Settings!$A$18))</f>
        <v>0</v>
      </c>
      <c r="R37" s="30" t="n">
        <f aca="false">IF(G37&gt;0,G37+A37/10000000,"")</f>
        <v>1662.0000033</v>
      </c>
    </row>
    <row r="38" customFormat="false" ht="15" hidden="false" customHeight="false" outlineLevel="0" collapsed="false">
      <c r="A38" s="9" t="n">
        <v>34</v>
      </c>
      <c r="B38" s="9" t="str">
        <f aca="false">IFERROR(INDEX('Zoho Dump'!$N$8:$N$3007,MATCH(A38,'Zoho Dump'!$AB$8:$AB$3007,0)),"")</f>
        <v>The Royal Society of New South Wales</v>
      </c>
      <c r="C38" s="17" t="n">
        <f aca="false">IF($B38="",0,SUMIFS('Zoho Dump'!$Q$8:$Q$3007,'Zoho Dump'!$N$8:$N$3007,$B38,'Zoho Dump'!$T$8:$T$3007,"Delivered",'Zoho Dump'!$R$8:$R$3007,"&gt;="&amp;Settings!$B$4))</f>
        <v>0</v>
      </c>
      <c r="D38" s="17" t="n">
        <f aca="false">IF($B38="",0,SUMIFS('Zoho Dump'!$X$8:$X$3007,'Zoho Dump'!$N$8:$N$3007,$B38,'Zoho Dump'!$T$8:$T$3007,"Backlog")+SUMIFS(Adjustments!$K$8:$K$207,Adjustments!$B$8:$B$207,$B38,Adjustments!$H$8:$H$207,"Backlog"))</f>
        <v>5762</v>
      </c>
      <c r="E38" s="17" t="n">
        <f aca="false">IF($B38="",0,SUMIFS('Zoho Dump'!$Y$8:$Y$3007,'Zoho Dump'!$N$8:$N$3007,$B38,'Zoho Dump'!$T$8:$T$3007,"Pipeline")+SUMIFS(Adjustments!$L$8:$L$207,Adjustments!$B$8:$B$207,$B38,Adjustments!$H$8:$H$207,"Pipeline")+SUMIFS('Zoho Dump'!$Y$8:$Y$3007,'Zoho Dump'!$N$8:$N$3007,$B38,'Zoho Dump'!$T$8:$T$3007,"Overdue")+SUMIFS(Adjustments!$L$8:$L$207,Adjustments!$B$8:$B$207,$B38,Adjustments!$H$8:$H$207,"Overdue"))</f>
        <v>0</v>
      </c>
      <c r="F38" s="17" t="n">
        <f aca="false">IF($B38="",0,SUMIFS('Zoho Dump'!$X$8:$X$3007,'Zoho Dump'!$N$8:$N$3007,$B38,'Zoho Dump'!$T$8:$T$3007,"Pipeline")+SUMIFS(Adjustments!$K$8:$K$207,Adjustments!$B$8:$B$207,$B38,Adjustments!$H$8:$H$207,"Pipeline")+SUMIFS('Zoho Dump'!$X$8:$X$3007,'Zoho Dump'!$N$8:$N$3007,$B38,'Zoho Dump'!$T$8:$T$3007,"Overdue")+SUMIFS(Adjustments!$K$8:$K$207,Adjustments!$B$8:$B$207,$B38,Adjustments!$H$8:$H$207,"Overdue"))</f>
        <v>0</v>
      </c>
      <c r="G38" s="17" t="n">
        <f aca="false">D38+F38</f>
        <v>5762</v>
      </c>
      <c r="H38" s="18" t="n">
        <f aca="false">IF(SUM($G$5:$G$404)=0,0,G38/SUM($G$5:$G$404))</f>
        <v>0.00675338551247612</v>
      </c>
      <c r="I38" s="17" t="n">
        <f aca="false">IF($B38="",0,SUMIFS('Zoho Dump'!$Q$8:$Q$3007,'Zoho Dump'!$N$8:$N$3007,$B38,'Zoho Dump'!$T$8:$T$3007,"Lost",'Zoho Dump'!$R$8:$R$3007,"&gt;="&amp;Settings!$B$4))</f>
        <v>0</v>
      </c>
      <c r="J38" s="9" t="str">
        <f aca="false">IF($B38="","",IF(COUNTIF(Dashboard!$C$13:$C$22,$B38)&gt;0,"Yes",""))</f>
        <v/>
      </c>
      <c r="K38" s="17" t="n">
        <f aca="false">IF($B38="",0,SUMIFS('Zoho Dump'!$X$8:$X$3007,'Zoho Dump'!$N$8:$N$3007,$B38,'Zoho Dump'!$P$8:$P$3007,Settings!$A$12)+SUMIFS(Adjustments!$K$8:$K$207,Adjustments!$B$8:$B$207,$B38,Adjustments!$A$8:$A$207,Settings!$A$12))</f>
        <v>0</v>
      </c>
      <c r="L38" s="17" t="n">
        <f aca="false">IF($B38="",0,SUMIFS('Zoho Dump'!$X$8:$X$3007,'Zoho Dump'!$N$8:$N$3007,$B38,'Zoho Dump'!$P$8:$P$3007,Settings!$A$13)+SUMIFS(Adjustments!$K$8:$K$207,Adjustments!$B$8:$B$207,$B38,Adjustments!$A$8:$A$207,Settings!$A$13))</f>
        <v>5762</v>
      </c>
      <c r="M38" s="17" t="n">
        <f aca="false">IF($B38="",0,SUMIFS('Zoho Dump'!$X$8:$X$3007,'Zoho Dump'!$N$8:$N$3007,$B38,'Zoho Dump'!$P$8:$P$3007,Settings!$A$14)+SUMIFS(Adjustments!$K$8:$K$207,Adjustments!$B$8:$B$207,$B38,Adjustments!$A$8:$A$207,Settings!$A$14))</f>
        <v>0</v>
      </c>
      <c r="N38" s="17" t="n">
        <f aca="false">IF($B38="",0,SUMIFS('Zoho Dump'!$X$8:$X$3007,'Zoho Dump'!$N$8:$N$3007,$B38,'Zoho Dump'!$P$8:$P$3007,Settings!$A$15)+SUMIFS(Adjustments!$K$8:$K$207,Adjustments!$B$8:$B$207,$B38,Adjustments!$A$8:$A$207,Settings!$A$15))</f>
        <v>0</v>
      </c>
      <c r="O38" s="17" t="n">
        <f aca="false">IF($B38="",0,SUMIFS('Zoho Dump'!$X$8:$X$3007,'Zoho Dump'!$N$8:$N$3007,$B38,'Zoho Dump'!$P$8:$P$3007,Settings!$A$16)+SUMIFS(Adjustments!$K$8:$K$207,Adjustments!$B$8:$B$207,$B38,Adjustments!$A$8:$A$207,Settings!$A$16))</f>
        <v>0</v>
      </c>
      <c r="P38" s="17" t="n">
        <f aca="false">IF($B38="",0,SUMIFS('Zoho Dump'!$X$8:$X$3007,'Zoho Dump'!$N$8:$N$3007,$B38,'Zoho Dump'!$P$8:$P$3007,Settings!$A$17)+SUMIFS(Adjustments!$K$8:$K$207,Adjustments!$B$8:$B$207,$B38,Adjustments!$A$8:$A$207,Settings!$A$17))</f>
        <v>0</v>
      </c>
      <c r="Q38" s="17" t="n">
        <f aca="false">IF($B38="",0,SUMIFS('Zoho Dump'!$X$8:$X$3007,'Zoho Dump'!$N$8:$N$3007,$B38,'Zoho Dump'!$P$8:$P$3007,Settings!$A$18)+SUMIFS(Adjustments!$K$8:$K$207,Adjustments!$B$8:$B$207,$B38,Adjustments!$A$8:$A$207,Settings!$A$18))</f>
        <v>0</v>
      </c>
      <c r="R38" s="30" t="n">
        <f aca="false">IF(G38&gt;0,G38+A38/10000000,"")</f>
        <v>5762.0000034</v>
      </c>
    </row>
    <row r="39" customFormat="false" ht="15" hidden="false" customHeight="false" outlineLevel="0" collapsed="false">
      <c r="A39" s="9" t="n">
        <v>35</v>
      </c>
      <c r="B39" s="9" t="str">
        <f aca="false">IFERROR(INDEX('Zoho Dump'!$N$8:$N$3007,MATCH(A39,'Zoho Dump'!$AB$8:$AB$3007,0)),"")</f>
        <v>Remondis</v>
      </c>
      <c r="C39" s="17" t="n">
        <f aca="false">IF($B39="",0,SUMIFS('Zoho Dump'!$Q$8:$Q$3007,'Zoho Dump'!$N$8:$N$3007,$B39,'Zoho Dump'!$T$8:$T$3007,"Delivered",'Zoho Dump'!$R$8:$R$3007,"&gt;="&amp;Settings!$B$4))</f>
        <v>0</v>
      </c>
      <c r="D39" s="17" t="n">
        <f aca="false">IF($B39="",0,SUMIFS('Zoho Dump'!$X$8:$X$3007,'Zoho Dump'!$N$8:$N$3007,$B39,'Zoho Dump'!$T$8:$T$3007,"Backlog")+SUMIFS(Adjustments!$K$8:$K$207,Adjustments!$B$8:$B$207,$B39,Adjustments!$H$8:$H$207,"Backlog"))</f>
        <v>0</v>
      </c>
      <c r="E39" s="17" t="n">
        <f aca="false">IF($B39="",0,SUMIFS('Zoho Dump'!$Y$8:$Y$3007,'Zoho Dump'!$N$8:$N$3007,$B39,'Zoho Dump'!$T$8:$T$3007,"Pipeline")+SUMIFS(Adjustments!$L$8:$L$207,Adjustments!$B$8:$B$207,$B39,Adjustments!$H$8:$H$207,"Pipeline")+SUMIFS('Zoho Dump'!$Y$8:$Y$3007,'Zoho Dump'!$N$8:$N$3007,$B39,'Zoho Dump'!$T$8:$T$3007,"Overdue")+SUMIFS(Adjustments!$L$8:$L$207,Adjustments!$B$8:$B$207,$B39,Adjustments!$H$8:$H$207,"Overdue"))</f>
        <v>0</v>
      </c>
      <c r="F39" s="17" t="n">
        <f aca="false">IF($B39="",0,SUMIFS('Zoho Dump'!$X$8:$X$3007,'Zoho Dump'!$N$8:$N$3007,$B39,'Zoho Dump'!$T$8:$T$3007,"Pipeline")+SUMIFS(Adjustments!$K$8:$K$207,Adjustments!$B$8:$B$207,$B39,Adjustments!$H$8:$H$207,"Pipeline")+SUMIFS('Zoho Dump'!$X$8:$X$3007,'Zoho Dump'!$N$8:$N$3007,$B39,'Zoho Dump'!$T$8:$T$3007,"Overdue")+SUMIFS(Adjustments!$K$8:$K$207,Adjustments!$B$8:$B$207,$B39,Adjustments!$H$8:$H$207,"Overdue"))</f>
        <v>0</v>
      </c>
      <c r="G39" s="17" t="n">
        <f aca="false">D39+F39</f>
        <v>0</v>
      </c>
      <c r="H39" s="18" t="n">
        <f aca="false">IF(SUM($G$5:$G$404)=0,0,G39/SUM($G$5:$G$404))</f>
        <v>0</v>
      </c>
      <c r="I39" s="17" t="n">
        <f aca="false">IF($B39="",0,SUMIFS('Zoho Dump'!$Q$8:$Q$3007,'Zoho Dump'!$N$8:$N$3007,$B39,'Zoho Dump'!$T$8:$T$3007,"Lost",'Zoho Dump'!$R$8:$R$3007,"&gt;="&amp;Settings!$B$4))</f>
        <v>15171</v>
      </c>
      <c r="J39" s="9" t="str">
        <f aca="false">IF($B39="","",IF(COUNTIF(Dashboard!$C$13:$C$22,$B39)&gt;0,"Yes",""))</f>
        <v/>
      </c>
      <c r="K39" s="17" t="n">
        <f aca="false">IF($B39="",0,SUMIFS('Zoho Dump'!$X$8:$X$3007,'Zoho Dump'!$N$8:$N$3007,$B39,'Zoho Dump'!$P$8:$P$3007,Settings!$A$12)+SUMIFS(Adjustments!$K$8:$K$207,Adjustments!$B$8:$B$207,$B39,Adjustments!$A$8:$A$207,Settings!$A$12))</f>
        <v>0</v>
      </c>
      <c r="L39" s="17" t="n">
        <f aca="false">IF($B39="",0,SUMIFS('Zoho Dump'!$X$8:$X$3007,'Zoho Dump'!$N$8:$N$3007,$B39,'Zoho Dump'!$P$8:$P$3007,Settings!$A$13)+SUMIFS(Adjustments!$K$8:$K$207,Adjustments!$B$8:$B$207,$B39,Adjustments!$A$8:$A$207,Settings!$A$13))</f>
        <v>0</v>
      </c>
      <c r="M39" s="17" t="n">
        <f aca="false">IF($B39="",0,SUMIFS('Zoho Dump'!$X$8:$X$3007,'Zoho Dump'!$N$8:$N$3007,$B39,'Zoho Dump'!$P$8:$P$3007,Settings!$A$14)+SUMIFS(Adjustments!$K$8:$K$207,Adjustments!$B$8:$B$207,$B39,Adjustments!$A$8:$A$207,Settings!$A$14))</f>
        <v>0</v>
      </c>
      <c r="N39" s="17" t="n">
        <f aca="false">IF($B39="",0,SUMIFS('Zoho Dump'!$X$8:$X$3007,'Zoho Dump'!$N$8:$N$3007,$B39,'Zoho Dump'!$P$8:$P$3007,Settings!$A$15)+SUMIFS(Adjustments!$K$8:$K$207,Adjustments!$B$8:$B$207,$B39,Adjustments!$A$8:$A$207,Settings!$A$15))</f>
        <v>0</v>
      </c>
      <c r="O39" s="17" t="n">
        <f aca="false">IF($B39="",0,SUMIFS('Zoho Dump'!$X$8:$X$3007,'Zoho Dump'!$N$8:$N$3007,$B39,'Zoho Dump'!$P$8:$P$3007,Settings!$A$16)+SUMIFS(Adjustments!$K$8:$K$207,Adjustments!$B$8:$B$207,$B39,Adjustments!$A$8:$A$207,Settings!$A$16))</f>
        <v>0</v>
      </c>
      <c r="P39" s="17" t="n">
        <f aca="false">IF($B39="",0,SUMIFS('Zoho Dump'!$X$8:$X$3007,'Zoho Dump'!$N$8:$N$3007,$B39,'Zoho Dump'!$P$8:$P$3007,Settings!$A$17)+SUMIFS(Adjustments!$K$8:$K$207,Adjustments!$B$8:$B$207,$B39,Adjustments!$A$8:$A$207,Settings!$A$17))</f>
        <v>0</v>
      </c>
      <c r="Q39" s="17" t="n">
        <f aca="false">IF($B39="",0,SUMIFS('Zoho Dump'!$X$8:$X$3007,'Zoho Dump'!$N$8:$N$3007,$B39,'Zoho Dump'!$P$8:$P$3007,Settings!$A$18)+SUMIFS(Adjustments!$K$8:$K$207,Adjustments!$B$8:$B$207,$B39,Adjustments!$A$8:$A$207,Settings!$A$18))</f>
        <v>0</v>
      </c>
      <c r="R39" s="30" t="str">
        <f aca="false">IF(G39&gt;0,G39+A39/10000000,"")</f>
        <v/>
      </c>
    </row>
    <row r="40" customFormat="false" ht="15" hidden="false" customHeight="false" outlineLevel="0" collapsed="false">
      <c r="A40" s="9" t="n">
        <v>36</v>
      </c>
      <c r="B40" s="9" t="str">
        <f aca="false">IFERROR(INDEX('Zoho Dump'!$N$8:$N$3007,MATCH(A40,'Zoho Dump'!$AB$8:$AB$3007,0)),"")</f>
        <v>Microsoft</v>
      </c>
      <c r="C40" s="17" t="n">
        <f aca="false">IF($B40="",0,SUMIFS('Zoho Dump'!$Q$8:$Q$3007,'Zoho Dump'!$N$8:$N$3007,$B40,'Zoho Dump'!$T$8:$T$3007,"Delivered",'Zoho Dump'!$R$8:$R$3007,"&gt;="&amp;Settings!$B$4))</f>
        <v>12587</v>
      </c>
      <c r="D40" s="17" t="n">
        <f aca="false">IF($B40="",0,SUMIFS('Zoho Dump'!$X$8:$X$3007,'Zoho Dump'!$N$8:$N$3007,$B40,'Zoho Dump'!$T$8:$T$3007,"Backlog")+SUMIFS(Adjustments!$K$8:$K$207,Adjustments!$B$8:$B$207,$B40,Adjustments!$H$8:$H$207,"Backlog"))</f>
        <v>27122</v>
      </c>
      <c r="E40" s="17" t="n">
        <f aca="false">IF($B40="",0,SUMIFS('Zoho Dump'!$Y$8:$Y$3007,'Zoho Dump'!$N$8:$N$3007,$B40,'Zoho Dump'!$T$8:$T$3007,"Pipeline")+SUMIFS(Adjustments!$L$8:$L$207,Adjustments!$B$8:$B$207,$B40,Adjustments!$H$8:$H$207,"Pipeline")+SUMIFS('Zoho Dump'!$Y$8:$Y$3007,'Zoho Dump'!$N$8:$N$3007,$B40,'Zoho Dump'!$T$8:$T$3007,"Overdue")+SUMIFS(Adjustments!$L$8:$L$207,Adjustments!$B$8:$B$207,$B40,Adjustments!$H$8:$H$207,"Overdue"))</f>
        <v>0</v>
      </c>
      <c r="F40" s="17" t="n">
        <f aca="false">IF($B40="",0,SUMIFS('Zoho Dump'!$X$8:$X$3007,'Zoho Dump'!$N$8:$N$3007,$B40,'Zoho Dump'!$T$8:$T$3007,"Pipeline")+SUMIFS(Adjustments!$K$8:$K$207,Adjustments!$B$8:$B$207,$B40,Adjustments!$H$8:$H$207,"Pipeline")+SUMIFS('Zoho Dump'!$X$8:$X$3007,'Zoho Dump'!$N$8:$N$3007,$B40,'Zoho Dump'!$T$8:$T$3007,"Overdue")+SUMIFS(Adjustments!$K$8:$K$207,Adjustments!$B$8:$B$207,$B40,Adjustments!$H$8:$H$207,"Overdue"))</f>
        <v>0</v>
      </c>
      <c r="G40" s="17" t="n">
        <f aca="false">D40+F40</f>
        <v>27122</v>
      </c>
      <c r="H40" s="18" t="n">
        <f aca="false">IF(SUM($G$5:$G$404)=0,0,G40/SUM($G$5:$G$404))</f>
        <v>0.0317884973740676</v>
      </c>
      <c r="I40" s="17" t="n">
        <f aca="false">IF($B40="",0,SUMIFS('Zoho Dump'!$Q$8:$Q$3007,'Zoho Dump'!$N$8:$N$3007,$B40,'Zoho Dump'!$T$8:$T$3007,"Lost",'Zoho Dump'!$R$8:$R$3007,"&gt;="&amp;Settings!$B$4))</f>
        <v>0</v>
      </c>
      <c r="J40" s="9" t="str">
        <f aca="false">IF($B40="","",IF(COUNTIF(Dashboard!$C$13:$C$22,$B40)&gt;0,"Yes",""))</f>
        <v/>
      </c>
      <c r="K40" s="17" t="n">
        <f aca="false">IF($B40="",0,SUMIFS('Zoho Dump'!$X$8:$X$3007,'Zoho Dump'!$N$8:$N$3007,$B40,'Zoho Dump'!$P$8:$P$3007,Settings!$A$12)+SUMIFS(Adjustments!$K$8:$K$207,Adjustments!$B$8:$B$207,$B40,Adjustments!$A$8:$A$207,Settings!$A$12))</f>
        <v>0</v>
      </c>
      <c r="L40" s="17" t="n">
        <f aca="false">IF($B40="",0,SUMIFS('Zoho Dump'!$X$8:$X$3007,'Zoho Dump'!$N$8:$N$3007,$B40,'Zoho Dump'!$P$8:$P$3007,Settings!$A$13)+SUMIFS(Adjustments!$K$8:$K$207,Adjustments!$B$8:$B$207,$B40,Adjustments!$A$8:$A$207,Settings!$A$13))</f>
        <v>27122</v>
      </c>
      <c r="M40" s="17" t="n">
        <f aca="false">IF($B40="",0,SUMIFS('Zoho Dump'!$X$8:$X$3007,'Zoho Dump'!$N$8:$N$3007,$B40,'Zoho Dump'!$P$8:$P$3007,Settings!$A$14)+SUMIFS(Adjustments!$K$8:$K$207,Adjustments!$B$8:$B$207,$B40,Adjustments!$A$8:$A$207,Settings!$A$14))</f>
        <v>0</v>
      </c>
      <c r="N40" s="17" t="n">
        <f aca="false">IF($B40="",0,SUMIFS('Zoho Dump'!$X$8:$X$3007,'Zoho Dump'!$N$8:$N$3007,$B40,'Zoho Dump'!$P$8:$P$3007,Settings!$A$15)+SUMIFS(Adjustments!$K$8:$K$207,Adjustments!$B$8:$B$207,$B40,Adjustments!$A$8:$A$207,Settings!$A$15))</f>
        <v>0</v>
      </c>
      <c r="O40" s="17" t="n">
        <f aca="false">IF($B40="",0,SUMIFS('Zoho Dump'!$X$8:$X$3007,'Zoho Dump'!$N$8:$N$3007,$B40,'Zoho Dump'!$P$8:$P$3007,Settings!$A$16)+SUMIFS(Adjustments!$K$8:$K$207,Adjustments!$B$8:$B$207,$B40,Adjustments!$A$8:$A$207,Settings!$A$16))</f>
        <v>0</v>
      </c>
      <c r="P40" s="17" t="n">
        <f aca="false">IF($B40="",0,SUMIFS('Zoho Dump'!$X$8:$X$3007,'Zoho Dump'!$N$8:$N$3007,$B40,'Zoho Dump'!$P$8:$P$3007,Settings!$A$17)+SUMIFS(Adjustments!$K$8:$K$207,Adjustments!$B$8:$B$207,$B40,Adjustments!$A$8:$A$207,Settings!$A$17))</f>
        <v>0</v>
      </c>
      <c r="Q40" s="17" t="n">
        <f aca="false">IF($B40="",0,SUMIFS('Zoho Dump'!$X$8:$X$3007,'Zoho Dump'!$N$8:$N$3007,$B40,'Zoho Dump'!$P$8:$P$3007,Settings!$A$18)+SUMIFS(Adjustments!$K$8:$K$207,Adjustments!$B$8:$B$207,$B40,Adjustments!$A$8:$A$207,Settings!$A$18))</f>
        <v>0</v>
      </c>
      <c r="R40" s="30" t="n">
        <f aca="false">IF(G40&gt;0,G40+A40/10000000,"")</f>
        <v>27122.0000036</v>
      </c>
    </row>
    <row r="41" customFormat="false" ht="15" hidden="false" customHeight="false" outlineLevel="0" collapsed="false">
      <c r="A41" s="9" t="n">
        <v>37</v>
      </c>
      <c r="B41" s="9" t="str">
        <f aca="false">IFERROR(INDEX('Zoho Dump'!$N$8:$N$3007,MATCH(A41,'Zoho Dump'!$AB$8:$AB$3007,0)),"")</f>
        <v>Litecard Pty Ltd</v>
      </c>
      <c r="C41" s="17" t="n">
        <f aca="false">IF($B41="",0,SUMIFS('Zoho Dump'!$Q$8:$Q$3007,'Zoho Dump'!$N$8:$N$3007,$B41,'Zoho Dump'!$T$8:$T$3007,"Delivered",'Zoho Dump'!$R$8:$R$3007,"&gt;="&amp;Settings!$B$4))</f>
        <v>1050</v>
      </c>
      <c r="D41" s="17" t="n">
        <f aca="false">IF($B41="",0,SUMIFS('Zoho Dump'!$X$8:$X$3007,'Zoho Dump'!$N$8:$N$3007,$B41,'Zoho Dump'!$T$8:$T$3007,"Backlog")+SUMIFS(Adjustments!$K$8:$K$207,Adjustments!$B$8:$B$207,$B41,Adjustments!$H$8:$H$207,"Backlog"))</f>
        <v>0</v>
      </c>
      <c r="E41" s="17" t="n">
        <f aca="false">IF($B41="",0,SUMIFS('Zoho Dump'!$Y$8:$Y$3007,'Zoho Dump'!$N$8:$N$3007,$B41,'Zoho Dump'!$T$8:$T$3007,"Pipeline")+SUMIFS(Adjustments!$L$8:$L$207,Adjustments!$B$8:$B$207,$B41,Adjustments!$H$8:$H$207,"Pipeline")+SUMIFS('Zoho Dump'!$Y$8:$Y$3007,'Zoho Dump'!$N$8:$N$3007,$B41,'Zoho Dump'!$T$8:$T$3007,"Overdue")+SUMIFS(Adjustments!$L$8:$L$207,Adjustments!$B$8:$B$207,$B41,Adjustments!$H$8:$H$207,"Overdue"))</f>
        <v>0</v>
      </c>
      <c r="F41" s="17" t="n">
        <f aca="false">IF($B41="",0,SUMIFS('Zoho Dump'!$X$8:$X$3007,'Zoho Dump'!$N$8:$N$3007,$B41,'Zoho Dump'!$T$8:$T$3007,"Pipeline")+SUMIFS(Adjustments!$K$8:$K$207,Adjustments!$B$8:$B$207,$B41,Adjustments!$H$8:$H$207,"Pipeline")+SUMIFS('Zoho Dump'!$X$8:$X$3007,'Zoho Dump'!$N$8:$N$3007,$B41,'Zoho Dump'!$T$8:$T$3007,"Overdue")+SUMIFS(Adjustments!$K$8:$K$207,Adjustments!$B$8:$B$207,$B41,Adjustments!$H$8:$H$207,"Overdue"))</f>
        <v>0</v>
      </c>
      <c r="G41" s="17" t="n">
        <f aca="false">D41+F41</f>
        <v>0</v>
      </c>
      <c r="H41" s="18" t="n">
        <f aca="false">IF(SUM($G$5:$G$404)=0,0,G41/SUM($G$5:$G$404))</f>
        <v>0</v>
      </c>
      <c r="I41" s="17" t="n">
        <f aca="false">IF($B41="",0,SUMIFS('Zoho Dump'!$Q$8:$Q$3007,'Zoho Dump'!$N$8:$N$3007,$B41,'Zoho Dump'!$T$8:$T$3007,"Lost",'Zoho Dump'!$R$8:$R$3007,"&gt;="&amp;Settings!$B$4))</f>
        <v>0</v>
      </c>
      <c r="J41" s="9" t="str">
        <f aca="false">IF($B41="","",IF(COUNTIF(Dashboard!$C$13:$C$22,$B41)&gt;0,"Yes",""))</f>
        <v/>
      </c>
      <c r="K41" s="17" t="n">
        <f aca="false">IF($B41="",0,SUMIFS('Zoho Dump'!$X$8:$X$3007,'Zoho Dump'!$N$8:$N$3007,$B41,'Zoho Dump'!$P$8:$P$3007,Settings!$A$12)+SUMIFS(Adjustments!$K$8:$K$207,Adjustments!$B$8:$B$207,$B41,Adjustments!$A$8:$A$207,Settings!$A$12))</f>
        <v>0</v>
      </c>
      <c r="L41" s="17" t="n">
        <f aca="false">IF($B41="",0,SUMIFS('Zoho Dump'!$X$8:$X$3007,'Zoho Dump'!$N$8:$N$3007,$B41,'Zoho Dump'!$P$8:$P$3007,Settings!$A$13)+SUMIFS(Adjustments!$K$8:$K$207,Adjustments!$B$8:$B$207,$B41,Adjustments!$A$8:$A$207,Settings!$A$13))</f>
        <v>0</v>
      </c>
      <c r="M41" s="17" t="n">
        <f aca="false">IF($B41="",0,SUMIFS('Zoho Dump'!$X$8:$X$3007,'Zoho Dump'!$N$8:$N$3007,$B41,'Zoho Dump'!$P$8:$P$3007,Settings!$A$14)+SUMIFS(Adjustments!$K$8:$K$207,Adjustments!$B$8:$B$207,$B41,Adjustments!$A$8:$A$207,Settings!$A$14))</f>
        <v>0</v>
      </c>
      <c r="N41" s="17" t="n">
        <f aca="false">IF($B41="",0,SUMIFS('Zoho Dump'!$X$8:$X$3007,'Zoho Dump'!$N$8:$N$3007,$B41,'Zoho Dump'!$P$8:$P$3007,Settings!$A$15)+SUMIFS(Adjustments!$K$8:$K$207,Adjustments!$B$8:$B$207,$B41,Adjustments!$A$8:$A$207,Settings!$A$15))</f>
        <v>0</v>
      </c>
      <c r="O41" s="17" t="n">
        <f aca="false">IF($B41="",0,SUMIFS('Zoho Dump'!$X$8:$X$3007,'Zoho Dump'!$N$8:$N$3007,$B41,'Zoho Dump'!$P$8:$P$3007,Settings!$A$16)+SUMIFS(Adjustments!$K$8:$K$207,Adjustments!$B$8:$B$207,$B41,Adjustments!$A$8:$A$207,Settings!$A$16))</f>
        <v>0</v>
      </c>
      <c r="P41" s="17" t="n">
        <f aca="false">IF($B41="",0,SUMIFS('Zoho Dump'!$X$8:$X$3007,'Zoho Dump'!$N$8:$N$3007,$B41,'Zoho Dump'!$P$8:$P$3007,Settings!$A$17)+SUMIFS(Adjustments!$K$8:$K$207,Adjustments!$B$8:$B$207,$B41,Adjustments!$A$8:$A$207,Settings!$A$17))</f>
        <v>0</v>
      </c>
      <c r="Q41" s="17" t="n">
        <f aca="false">IF($B41="",0,SUMIFS('Zoho Dump'!$X$8:$X$3007,'Zoho Dump'!$N$8:$N$3007,$B41,'Zoho Dump'!$P$8:$P$3007,Settings!$A$18)+SUMIFS(Adjustments!$K$8:$K$207,Adjustments!$B$8:$B$207,$B41,Adjustments!$A$8:$A$207,Settings!$A$18))</f>
        <v>0</v>
      </c>
      <c r="R41" s="30" t="str">
        <f aca="false">IF(G41&gt;0,G41+A41/10000000,"")</f>
        <v/>
      </c>
    </row>
    <row r="42" customFormat="false" ht="15" hidden="false" customHeight="false" outlineLevel="0" collapsed="false">
      <c r="A42" s="9" t="n">
        <v>38</v>
      </c>
      <c r="B42" s="9" t="str">
        <f aca="false">IFERROR(INDEX('Zoho Dump'!$N$8:$N$3007,MATCH(A42,'Zoho Dump'!$AB$8:$AB$3007,0)),"")</f>
        <v>ASX Refinitiv Charity Foundation Ltd</v>
      </c>
      <c r="C42" s="17" t="n">
        <f aca="false">IF($B42="",0,SUMIFS('Zoho Dump'!$Q$8:$Q$3007,'Zoho Dump'!$N$8:$N$3007,$B42,'Zoho Dump'!$T$8:$T$3007,"Delivered",'Zoho Dump'!$R$8:$R$3007,"&gt;="&amp;Settings!$B$4))</f>
        <v>0</v>
      </c>
      <c r="D42" s="17" t="n">
        <f aca="false">IF($B42="",0,SUMIFS('Zoho Dump'!$X$8:$X$3007,'Zoho Dump'!$N$8:$N$3007,$B42,'Zoho Dump'!$T$8:$T$3007,"Backlog")+SUMIFS(Adjustments!$K$8:$K$207,Adjustments!$B$8:$B$207,$B42,Adjustments!$H$8:$H$207,"Backlog"))</f>
        <v>8831</v>
      </c>
      <c r="E42" s="17" t="n">
        <f aca="false">IF($B42="",0,SUMIFS('Zoho Dump'!$Y$8:$Y$3007,'Zoho Dump'!$N$8:$N$3007,$B42,'Zoho Dump'!$T$8:$T$3007,"Pipeline")+SUMIFS(Adjustments!$L$8:$L$207,Adjustments!$B$8:$B$207,$B42,Adjustments!$H$8:$H$207,"Pipeline")+SUMIFS('Zoho Dump'!$Y$8:$Y$3007,'Zoho Dump'!$N$8:$N$3007,$B42,'Zoho Dump'!$T$8:$T$3007,"Overdue")+SUMIFS(Adjustments!$L$8:$L$207,Adjustments!$B$8:$B$207,$B42,Adjustments!$H$8:$H$207,"Overdue"))</f>
        <v>0</v>
      </c>
      <c r="F42" s="17" t="n">
        <f aca="false">IF($B42="",0,SUMIFS('Zoho Dump'!$X$8:$X$3007,'Zoho Dump'!$N$8:$N$3007,$B42,'Zoho Dump'!$T$8:$T$3007,"Pipeline")+SUMIFS(Adjustments!$K$8:$K$207,Adjustments!$B$8:$B$207,$B42,Adjustments!$H$8:$H$207,"Pipeline")+SUMIFS('Zoho Dump'!$X$8:$X$3007,'Zoho Dump'!$N$8:$N$3007,$B42,'Zoho Dump'!$T$8:$T$3007,"Overdue")+SUMIFS(Adjustments!$K$8:$K$207,Adjustments!$B$8:$B$207,$B42,Adjustments!$H$8:$H$207,"Overdue"))</f>
        <v>0</v>
      </c>
      <c r="G42" s="17" t="n">
        <f aca="false">D42+F42</f>
        <v>8831</v>
      </c>
      <c r="H42" s="18" t="n">
        <f aca="false">IF(SUM($G$5:$G$404)=0,0,G42/SUM($G$5:$G$404))</f>
        <v>0.0103504247588818</v>
      </c>
      <c r="I42" s="17" t="n">
        <f aca="false">IF($B42="",0,SUMIFS('Zoho Dump'!$Q$8:$Q$3007,'Zoho Dump'!$N$8:$N$3007,$B42,'Zoho Dump'!$T$8:$T$3007,"Lost",'Zoho Dump'!$R$8:$R$3007,"&gt;="&amp;Settings!$B$4))</f>
        <v>0</v>
      </c>
      <c r="J42" s="9" t="str">
        <f aca="false">IF($B42="","",IF(COUNTIF(Dashboard!$C$13:$C$22,$B42)&gt;0,"Yes",""))</f>
        <v/>
      </c>
      <c r="K42" s="17" t="n">
        <f aca="false">IF($B42="",0,SUMIFS('Zoho Dump'!$X$8:$X$3007,'Zoho Dump'!$N$8:$N$3007,$B42,'Zoho Dump'!$P$8:$P$3007,Settings!$A$12)+SUMIFS(Adjustments!$K$8:$K$207,Adjustments!$B$8:$B$207,$B42,Adjustments!$A$8:$A$207,Settings!$A$12))</f>
        <v>0</v>
      </c>
      <c r="L42" s="17" t="n">
        <f aca="false">IF($B42="",0,SUMIFS('Zoho Dump'!$X$8:$X$3007,'Zoho Dump'!$N$8:$N$3007,$B42,'Zoho Dump'!$P$8:$P$3007,Settings!$A$13)+SUMIFS(Adjustments!$K$8:$K$207,Adjustments!$B$8:$B$207,$B42,Adjustments!$A$8:$A$207,Settings!$A$13))</f>
        <v>0</v>
      </c>
      <c r="M42" s="17" t="n">
        <f aca="false">IF($B42="",0,SUMIFS('Zoho Dump'!$X$8:$X$3007,'Zoho Dump'!$N$8:$N$3007,$B42,'Zoho Dump'!$P$8:$P$3007,Settings!$A$14)+SUMIFS(Adjustments!$K$8:$K$207,Adjustments!$B$8:$B$207,$B42,Adjustments!$A$8:$A$207,Settings!$A$14))</f>
        <v>8831</v>
      </c>
      <c r="N42" s="17" t="n">
        <f aca="false">IF($B42="",0,SUMIFS('Zoho Dump'!$X$8:$X$3007,'Zoho Dump'!$N$8:$N$3007,$B42,'Zoho Dump'!$P$8:$P$3007,Settings!$A$15)+SUMIFS(Adjustments!$K$8:$K$207,Adjustments!$B$8:$B$207,$B42,Adjustments!$A$8:$A$207,Settings!$A$15))</f>
        <v>0</v>
      </c>
      <c r="O42" s="17" t="n">
        <f aca="false">IF($B42="",0,SUMIFS('Zoho Dump'!$X$8:$X$3007,'Zoho Dump'!$N$8:$N$3007,$B42,'Zoho Dump'!$P$8:$P$3007,Settings!$A$16)+SUMIFS(Adjustments!$K$8:$K$207,Adjustments!$B$8:$B$207,$B42,Adjustments!$A$8:$A$207,Settings!$A$16))</f>
        <v>0</v>
      </c>
      <c r="P42" s="17" t="n">
        <f aca="false">IF($B42="",0,SUMIFS('Zoho Dump'!$X$8:$X$3007,'Zoho Dump'!$N$8:$N$3007,$B42,'Zoho Dump'!$P$8:$P$3007,Settings!$A$17)+SUMIFS(Adjustments!$K$8:$K$207,Adjustments!$B$8:$B$207,$B42,Adjustments!$A$8:$A$207,Settings!$A$17))</f>
        <v>0</v>
      </c>
      <c r="Q42" s="17" t="n">
        <f aca="false">IF($B42="",0,SUMIFS('Zoho Dump'!$X$8:$X$3007,'Zoho Dump'!$N$8:$N$3007,$B42,'Zoho Dump'!$P$8:$P$3007,Settings!$A$18)+SUMIFS(Adjustments!$K$8:$K$207,Adjustments!$B$8:$B$207,$B42,Adjustments!$A$8:$A$207,Settings!$A$18))</f>
        <v>0</v>
      </c>
      <c r="R42" s="30" t="n">
        <f aca="false">IF(G42&gt;0,G42+A42/10000000,"")</f>
        <v>8831.0000038</v>
      </c>
    </row>
    <row r="43" customFormat="false" ht="15" hidden="false" customHeight="false" outlineLevel="0" collapsed="false">
      <c r="A43" s="9" t="n">
        <v>39</v>
      </c>
      <c r="B43" s="9" t="str">
        <f aca="false">IFERROR(INDEX('Zoho Dump'!$N$8:$N$3007,MATCH(A43,'Zoho Dump'!$AB$8:$AB$3007,0)),"")</f>
        <v>Cochlear</v>
      </c>
      <c r="C43" s="17" t="n">
        <f aca="false">IF($B43="",0,SUMIFS('Zoho Dump'!$Q$8:$Q$3007,'Zoho Dump'!$N$8:$N$3007,$B43,'Zoho Dump'!$T$8:$T$3007,"Delivered",'Zoho Dump'!$R$8:$R$3007,"&gt;="&amp;Settings!$B$4))</f>
        <v>9994</v>
      </c>
      <c r="D43" s="17" t="n">
        <f aca="false">IF($B43="",0,SUMIFS('Zoho Dump'!$X$8:$X$3007,'Zoho Dump'!$N$8:$N$3007,$B43,'Zoho Dump'!$T$8:$T$3007,"Backlog")+SUMIFS(Adjustments!$K$8:$K$207,Adjustments!$B$8:$B$207,$B43,Adjustments!$H$8:$H$207,"Backlog"))</f>
        <v>0</v>
      </c>
      <c r="E43" s="17" t="n">
        <f aca="false">IF($B43="",0,SUMIFS('Zoho Dump'!$Y$8:$Y$3007,'Zoho Dump'!$N$8:$N$3007,$B43,'Zoho Dump'!$T$8:$T$3007,"Pipeline")+SUMIFS(Adjustments!$L$8:$L$207,Adjustments!$B$8:$B$207,$B43,Adjustments!$H$8:$H$207,"Pipeline")+SUMIFS('Zoho Dump'!$Y$8:$Y$3007,'Zoho Dump'!$N$8:$N$3007,$B43,'Zoho Dump'!$T$8:$T$3007,"Overdue")+SUMIFS(Adjustments!$L$8:$L$207,Adjustments!$B$8:$B$207,$B43,Adjustments!$H$8:$H$207,"Overdue"))</f>
        <v>24000</v>
      </c>
      <c r="F43" s="17" t="n">
        <f aca="false">IF($B43="",0,SUMIFS('Zoho Dump'!$X$8:$X$3007,'Zoho Dump'!$N$8:$N$3007,$B43,'Zoho Dump'!$T$8:$T$3007,"Pipeline")+SUMIFS(Adjustments!$K$8:$K$207,Adjustments!$B$8:$B$207,$B43,Adjustments!$H$8:$H$207,"Pipeline")+SUMIFS('Zoho Dump'!$X$8:$X$3007,'Zoho Dump'!$N$8:$N$3007,$B43,'Zoho Dump'!$T$8:$T$3007,"Overdue")+SUMIFS(Adjustments!$K$8:$K$207,Adjustments!$B$8:$B$207,$B43,Adjustments!$H$8:$H$207,"Overdue"))</f>
        <v>4800</v>
      </c>
      <c r="G43" s="17" t="n">
        <f aca="false">D43+F43</f>
        <v>4800</v>
      </c>
      <c r="H43" s="18" t="n">
        <f aca="false">IF(SUM($G$5:$G$404)=0,0,G43/SUM($G$5:$G$404))</f>
        <v>0.0056258678340655</v>
      </c>
      <c r="I43" s="17" t="n">
        <f aca="false">IF($B43="",0,SUMIFS('Zoho Dump'!$Q$8:$Q$3007,'Zoho Dump'!$N$8:$N$3007,$B43,'Zoho Dump'!$T$8:$T$3007,"Lost",'Zoho Dump'!$R$8:$R$3007,"&gt;="&amp;Settings!$B$4))</f>
        <v>0</v>
      </c>
      <c r="J43" s="9" t="str">
        <f aca="false">IF($B43="","",IF(COUNTIF(Dashboard!$C$13:$C$22,$B43)&gt;0,"Yes",""))</f>
        <v/>
      </c>
      <c r="K43" s="17" t="n">
        <f aca="false">IF($B43="",0,SUMIFS('Zoho Dump'!$X$8:$X$3007,'Zoho Dump'!$N$8:$N$3007,$B43,'Zoho Dump'!$P$8:$P$3007,Settings!$A$12)+SUMIFS(Adjustments!$K$8:$K$207,Adjustments!$B$8:$B$207,$B43,Adjustments!$A$8:$A$207,Settings!$A$12))</f>
        <v>0</v>
      </c>
      <c r="L43" s="17" t="n">
        <f aca="false">IF($B43="",0,SUMIFS('Zoho Dump'!$X$8:$X$3007,'Zoho Dump'!$N$8:$N$3007,$B43,'Zoho Dump'!$P$8:$P$3007,Settings!$A$13)+SUMIFS(Adjustments!$K$8:$K$207,Adjustments!$B$8:$B$207,$B43,Adjustments!$A$8:$A$207,Settings!$A$13))</f>
        <v>4800</v>
      </c>
      <c r="M43" s="17" t="n">
        <f aca="false">IF($B43="",0,SUMIFS('Zoho Dump'!$X$8:$X$3007,'Zoho Dump'!$N$8:$N$3007,$B43,'Zoho Dump'!$P$8:$P$3007,Settings!$A$14)+SUMIFS(Adjustments!$K$8:$K$207,Adjustments!$B$8:$B$207,$B43,Adjustments!$A$8:$A$207,Settings!$A$14))</f>
        <v>0</v>
      </c>
      <c r="N43" s="17" t="n">
        <f aca="false">IF($B43="",0,SUMIFS('Zoho Dump'!$X$8:$X$3007,'Zoho Dump'!$N$8:$N$3007,$B43,'Zoho Dump'!$P$8:$P$3007,Settings!$A$15)+SUMIFS(Adjustments!$K$8:$K$207,Adjustments!$B$8:$B$207,$B43,Adjustments!$A$8:$A$207,Settings!$A$15))</f>
        <v>0</v>
      </c>
      <c r="O43" s="17" t="n">
        <f aca="false">IF($B43="",0,SUMIFS('Zoho Dump'!$X$8:$X$3007,'Zoho Dump'!$N$8:$N$3007,$B43,'Zoho Dump'!$P$8:$P$3007,Settings!$A$16)+SUMIFS(Adjustments!$K$8:$K$207,Adjustments!$B$8:$B$207,$B43,Adjustments!$A$8:$A$207,Settings!$A$16))</f>
        <v>0</v>
      </c>
      <c r="P43" s="17" t="n">
        <f aca="false">IF($B43="",0,SUMIFS('Zoho Dump'!$X$8:$X$3007,'Zoho Dump'!$N$8:$N$3007,$B43,'Zoho Dump'!$P$8:$P$3007,Settings!$A$17)+SUMIFS(Adjustments!$K$8:$K$207,Adjustments!$B$8:$B$207,$B43,Adjustments!$A$8:$A$207,Settings!$A$17))</f>
        <v>0</v>
      </c>
      <c r="Q43" s="17" t="n">
        <f aca="false">IF($B43="",0,SUMIFS('Zoho Dump'!$X$8:$X$3007,'Zoho Dump'!$N$8:$N$3007,$B43,'Zoho Dump'!$P$8:$P$3007,Settings!$A$18)+SUMIFS(Adjustments!$K$8:$K$207,Adjustments!$B$8:$B$207,$B43,Adjustments!$A$8:$A$207,Settings!$A$18))</f>
        <v>0</v>
      </c>
      <c r="R43" s="30" t="n">
        <f aca="false">IF(G43&gt;0,G43+A43/10000000,"")</f>
        <v>4800.0000039</v>
      </c>
    </row>
    <row r="44" customFormat="false" ht="15" hidden="false" customHeight="false" outlineLevel="0" collapsed="false">
      <c r="A44" s="9" t="n">
        <v>40</v>
      </c>
      <c r="B44" s="9" t="str">
        <f aca="false">IFERROR(INDEX('Zoho Dump'!$N$8:$N$3007,MATCH(A44,'Zoho Dump'!$AB$8:$AB$3007,0)),"")</f>
        <v>Fredon</v>
      </c>
      <c r="C44" s="17" t="n">
        <f aca="false">IF($B44="",0,SUMIFS('Zoho Dump'!$Q$8:$Q$3007,'Zoho Dump'!$N$8:$N$3007,$B44,'Zoho Dump'!$T$8:$T$3007,"Delivered",'Zoho Dump'!$R$8:$R$3007,"&gt;="&amp;Settings!$B$4))</f>
        <v>0</v>
      </c>
      <c r="D44" s="17" t="n">
        <f aca="false">IF($B44="",0,SUMIFS('Zoho Dump'!$X$8:$X$3007,'Zoho Dump'!$N$8:$N$3007,$B44,'Zoho Dump'!$T$8:$T$3007,"Backlog")+SUMIFS(Adjustments!$K$8:$K$207,Adjustments!$B$8:$B$207,$B44,Adjustments!$H$8:$H$207,"Backlog"))</f>
        <v>0</v>
      </c>
      <c r="E44" s="17" t="n">
        <f aca="false">IF($B44="",0,SUMIFS('Zoho Dump'!$Y$8:$Y$3007,'Zoho Dump'!$N$8:$N$3007,$B44,'Zoho Dump'!$T$8:$T$3007,"Pipeline")+SUMIFS(Adjustments!$L$8:$L$207,Adjustments!$B$8:$B$207,$B44,Adjustments!$H$8:$H$207,"Pipeline")+SUMIFS('Zoho Dump'!$Y$8:$Y$3007,'Zoho Dump'!$N$8:$N$3007,$B44,'Zoho Dump'!$T$8:$T$3007,"Overdue")+SUMIFS(Adjustments!$L$8:$L$207,Adjustments!$B$8:$B$207,$B44,Adjustments!$H$8:$H$207,"Overdue"))</f>
        <v>0</v>
      </c>
      <c r="F44" s="17" t="n">
        <f aca="false">IF($B44="",0,SUMIFS('Zoho Dump'!$X$8:$X$3007,'Zoho Dump'!$N$8:$N$3007,$B44,'Zoho Dump'!$T$8:$T$3007,"Pipeline")+SUMIFS(Adjustments!$K$8:$K$207,Adjustments!$B$8:$B$207,$B44,Adjustments!$H$8:$H$207,"Pipeline")+SUMIFS('Zoho Dump'!$X$8:$X$3007,'Zoho Dump'!$N$8:$N$3007,$B44,'Zoho Dump'!$T$8:$T$3007,"Overdue")+SUMIFS(Adjustments!$K$8:$K$207,Adjustments!$B$8:$B$207,$B44,Adjustments!$H$8:$H$207,"Overdue"))</f>
        <v>0</v>
      </c>
      <c r="G44" s="17" t="n">
        <f aca="false">D44+F44</f>
        <v>0</v>
      </c>
      <c r="H44" s="18" t="n">
        <f aca="false">IF(SUM($G$5:$G$404)=0,0,G44/SUM($G$5:$G$404))</f>
        <v>0</v>
      </c>
      <c r="I44" s="17" t="n">
        <f aca="false">IF($B44="",0,SUMIFS('Zoho Dump'!$Q$8:$Q$3007,'Zoho Dump'!$N$8:$N$3007,$B44,'Zoho Dump'!$T$8:$T$3007,"Lost",'Zoho Dump'!$R$8:$R$3007,"&gt;="&amp;Settings!$B$4))</f>
        <v>0</v>
      </c>
      <c r="J44" s="9" t="str">
        <f aca="false">IF($B44="","",IF(COUNTIF(Dashboard!$C$13:$C$22,$B44)&gt;0,"Yes",""))</f>
        <v/>
      </c>
      <c r="K44" s="17" t="n">
        <f aca="false">IF($B44="",0,SUMIFS('Zoho Dump'!$X$8:$X$3007,'Zoho Dump'!$N$8:$N$3007,$B44,'Zoho Dump'!$P$8:$P$3007,Settings!$A$12)+SUMIFS(Adjustments!$K$8:$K$207,Adjustments!$B$8:$B$207,$B44,Adjustments!$A$8:$A$207,Settings!$A$12))</f>
        <v>0</v>
      </c>
      <c r="L44" s="17" t="n">
        <f aca="false">IF($B44="",0,SUMIFS('Zoho Dump'!$X$8:$X$3007,'Zoho Dump'!$N$8:$N$3007,$B44,'Zoho Dump'!$P$8:$P$3007,Settings!$A$13)+SUMIFS(Adjustments!$K$8:$K$207,Adjustments!$B$8:$B$207,$B44,Adjustments!$A$8:$A$207,Settings!$A$13))</f>
        <v>0</v>
      </c>
      <c r="M44" s="17" t="n">
        <f aca="false">IF($B44="",0,SUMIFS('Zoho Dump'!$X$8:$X$3007,'Zoho Dump'!$N$8:$N$3007,$B44,'Zoho Dump'!$P$8:$P$3007,Settings!$A$14)+SUMIFS(Adjustments!$K$8:$K$207,Adjustments!$B$8:$B$207,$B44,Adjustments!$A$8:$A$207,Settings!$A$14))</f>
        <v>0</v>
      </c>
      <c r="N44" s="17" t="n">
        <f aca="false">IF($B44="",0,SUMIFS('Zoho Dump'!$X$8:$X$3007,'Zoho Dump'!$N$8:$N$3007,$B44,'Zoho Dump'!$P$8:$P$3007,Settings!$A$15)+SUMIFS(Adjustments!$K$8:$K$207,Adjustments!$B$8:$B$207,$B44,Adjustments!$A$8:$A$207,Settings!$A$15))</f>
        <v>0</v>
      </c>
      <c r="O44" s="17" t="n">
        <f aca="false">IF($B44="",0,SUMIFS('Zoho Dump'!$X$8:$X$3007,'Zoho Dump'!$N$8:$N$3007,$B44,'Zoho Dump'!$P$8:$P$3007,Settings!$A$16)+SUMIFS(Adjustments!$K$8:$K$207,Adjustments!$B$8:$B$207,$B44,Adjustments!$A$8:$A$207,Settings!$A$16))</f>
        <v>0</v>
      </c>
      <c r="P44" s="17" t="n">
        <f aca="false">IF($B44="",0,SUMIFS('Zoho Dump'!$X$8:$X$3007,'Zoho Dump'!$N$8:$N$3007,$B44,'Zoho Dump'!$P$8:$P$3007,Settings!$A$17)+SUMIFS(Adjustments!$K$8:$K$207,Adjustments!$B$8:$B$207,$B44,Adjustments!$A$8:$A$207,Settings!$A$17))</f>
        <v>0</v>
      </c>
      <c r="Q44" s="17" t="n">
        <f aca="false">IF($B44="",0,SUMIFS('Zoho Dump'!$X$8:$X$3007,'Zoho Dump'!$N$8:$N$3007,$B44,'Zoho Dump'!$P$8:$P$3007,Settings!$A$18)+SUMIFS(Adjustments!$K$8:$K$207,Adjustments!$B$8:$B$207,$B44,Adjustments!$A$8:$A$207,Settings!$A$18))</f>
        <v>0</v>
      </c>
      <c r="R44" s="30" t="str">
        <f aca="false">IF(G44&gt;0,G44+A44/10000000,"")</f>
        <v/>
      </c>
    </row>
    <row r="45" customFormat="false" ht="15" hidden="false" customHeight="false" outlineLevel="0" collapsed="false">
      <c r="A45" s="9" t="n">
        <v>41</v>
      </c>
      <c r="B45" s="9" t="str">
        <f aca="false">IFERROR(INDEX('Zoho Dump'!$N$8:$N$3007,MATCH(A45,'Zoho Dump'!$AB$8:$AB$3007,0)),"")</f>
        <v>Bankwest</v>
      </c>
      <c r="C45" s="17" t="n">
        <f aca="false">IF($B45="",0,SUMIFS('Zoho Dump'!$Q$8:$Q$3007,'Zoho Dump'!$N$8:$N$3007,$B45,'Zoho Dump'!$T$8:$T$3007,"Delivered",'Zoho Dump'!$R$8:$R$3007,"&gt;="&amp;Settings!$B$4))</f>
        <v>950</v>
      </c>
      <c r="D45" s="17" t="n">
        <f aca="false">IF($B45="",0,SUMIFS('Zoho Dump'!$X$8:$X$3007,'Zoho Dump'!$N$8:$N$3007,$B45,'Zoho Dump'!$T$8:$T$3007,"Backlog")+SUMIFS(Adjustments!$K$8:$K$207,Adjustments!$B$8:$B$207,$B45,Adjustments!$H$8:$H$207,"Backlog"))</f>
        <v>1087</v>
      </c>
      <c r="E45" s="17" t="n">
        <f aca="false">IF($B45="",0,SUMIFS('Zoho Dump'!$Y$8:$Y$3007,'Zoho Dump'!$N$8:$N$3007,$B45,'Zoho Dump'!$T$8:$T$3007,"Pipeline")+SUMIFS(Adjustments!$L$8:$L$207,Adjustments!$B$8:$B$207,$B45,Adjustments!$H$8:$H$207,"Pipeline")+SUMIFS('Zoho Dump'!$Y$8:$Y$3007,'Zoho Dump'!$N$8:$N$3007,$B45,'Zoho Dump'!$T$8:$T$3007,"Overdue")+SUMIFS(Adjustments!$L$8:$L$207,Adjustments!$B$8:$B$207,$B45,Adjustments!$H$8:$H$207,"Overdue"))</f>
        <v>0</v>
      </c>
      <c r="F45" s="17" t="n">
        <f aca="false">IF($B45="",0,SUMIFS('Zoho Dump'!$X$8:$X$3007,'Zoho Dump'!$N$8:$N$3007,$B45,'Zoho Dump'!$T$8:$T$3007,"Pipeline")+SUMIFS(Adjustments!$K$8:$K$207,Adjustments!$B$8:$B$207,$B45,Adjustments!$H$8:$H$207,"Pipeline")+SUMIFS('Zoho Dump'!$X$8:$X$3007,'Zoho Dump'!$N$8:$N$3007,$B45,'Zoho Dump'!$T$8:$T$3007,"Overdue")+SUMIFS(Adjustments!$K$8:$K$207,Adjustments!$B$8:$B$207,$B45,Adjustments!$H$8:$H$207,"Overdue"))</f>
        <v>0</v>
      </c>
      <c r="G45" s="17" t="n">
        <f aca="false">D45+F45</f>
        <v>1087</v>
      </c>
      <c r="H45" s="18" t="n">
        <f aca="false">IF(SUM($G$5:$G$404)=0,0,G45/SUM($G$5:$G$404))</f>
        <v>0.00127402465325608</v>
      </c>
      <c r="I45" s="17" t="n">
        <f aca="false">IF($B45="",0,SUMIFS('Zoho Dump'!$Q$8:$Q$3007,'Zoho Dump'!$N$8:$N$3007,$B45,'Zoho Dump'!$T$8:$T$3007,"Lost",'Zoho Dump'!$R$8:$R$3007,"&gt;="&amp;Settings!$B$4))</f>
        <v>0</v>
      </c>
      <c r="J45" s="9" t="str">
        <f aca="false">IF($B45="","",IF(COUNTIF(Dashboard!$C$13:$C$22,$B45)&gt;0,"Yes",""))</f>
        <v/>
      </c>
      <c r="K45" s="17" t="n">
        <f aca="false">IF($B45="",0,SUMIFS('Zoho Dump'!$X$8:$X$3007,'Zoho Dump'!$N$8:$N$3007,$B45,'Zoho Dump'!$P$8:$P$3007,Settings!$A$12)+SUMIFS(Adjustments!$K$8:$K$207,Adjustments!$B$8:$B$207,$B45,Adjustments!$A$8:$A$207,Settings!$A$12))</f>
        <v>0</v>
      </c>
      <c r="L45" s="17" t="n">
        <f aca="false">IF($B45="",0,SUMIFS('Zoho Dump'!$X$8:$X$3007,'Zoho Dump'!$N$8:$N$3007,$B45,'Zoho Dump'!$P$8:$P$3007,Settings!$A$13)+SUMIFS(Adjustments!$K$8:$K$207,Adjustments!$B$8:$B$207,$B45,Adjustments!$A$8:$A$207,Settings!$A$13))</f>
        <v>1087</v>
      </c>
      <c r="M45" s="17" t="n">
        <f aca="false">IF($B45="",0,SUMIFS('Zoho Dump'!$X$8:$X$3007,'Zoho Dump'!$N$8:$N$3007,$B45,'Zoho Dump'!$P$8:$P$3007,Settings!$A$14)+SUMIFS(Adjustments!$K$8:$K$207,Adjustments!$B$8:$B$207,$B45,Adjustments!$A$8:$A$207,Settings!$A$14))</f>
        <v>0</v>
      </c>
      <c r="N45" s="17" t="n">
        <f aca="false">IF($B45="",0,SUMIFS('Zoho Dump'!$X$8:$X$3007,'Zoho Dump'!$N$8:$N$3007,$B45,'Zoho Dump'!$P$8:$P$3007,Settings!$A$15)+SUMIFS(Adjustments!$K$8:$K$207,Adjustments!$B$8:$B$207,$B45,Adjustments!$A$8:$A$207,Settings!$A$15))</f>
        <v>0</v>
      </c>
      <c r="O45" s="17" t="n">
        <f aca="false">IF($B45="",0,SUMIFS('Zoho Dump'!$X$8:$X$3007,'Zoho Dump'!$N$8:$N$3007,$B45,'Zoho Dump'!$P$8:$P$3007,Settings!$A$16)+SUMIFS(Adjustments!$K$8:$K$207,Adjustments!$B$8:$B$207,$B45,Adjustments!$A$8:$A$207,Settings!$A$16))</f>
        <v>0</v>
      </c>
      <c r="P45" s="17" t="n">
        <f aca="false">IF($B45="",0,SUMIFS('Zoho Dump'!$X$8:$X$3007,'Zoho Dump'!$N$8:$N$3007,$B45,'Zoho Dump'!$P$8:$P$3007,Settings!$A$17)+SUMIFS(Adjustments!$K$8:$K$207,Adjustments!$B$8:$B$207,$B45,Adjustments!$A$8:$A$207,Settings!$A$17))</f>
        <v>0</v>
      </c>
      <c r="Q45" s="17" t="n">
        <f aca="false">IF($B45="",0,SUMIFS('Zoho Dump'!$X$8:$X$3007,'Zoho Dump'!$N$8:$N$3007,$B45,'Zoho Dump'!$P$8:$P$3007,Settings!$A$18)+SUMIFS(Adjustments!$K$8:$K$207,Adjustments!$B$8:$B$207,$B45,Adjustments!$A$8:$A$207,Settings!$A$18))</f>
        <v>0</v>
      </c>
      <c r="R45" s="30" t="n">
        <f aca="false">IF(G45&gt;0,G45+A45/10000000,"")</f>
        <v>1087.0000041</v>
      </c>
    </row>
    <row r="46" customFormat="false" ht="15" hidden="false" customHeight="false" outlineLevel="0" collapsed="false">
      <c r="A46" s="9" t="n">
        <v>42</v>
      </c>
      <c r="B46" s="9" t="str">
        <f aca="false">IFERROR(INDEX('Zoho Dump'!$N$8:$N$3007,MATCH(A46,'Zoho Dump'!$AB$8:$AB$3007,0)),"")</f>
        <v>HP</v>
      </c>
      <c r="C46" s="17" t="n">
        <f aca="false">IF($B46="",0,SUMIFS('Zoho Dump'!$Q$8:$Q$3007,'Zoho Dump'!$N$8:$N$3007,$B46,'Zoho Dump'!$T$8:$T$3007,"Delivered",'Zoho Dump'!$R$8:$R$3007,"&gt;="&amp;Settings!$B$4))</f>
        <v>0</v>
      </c>
      <c r="D46" s="17" t="n">
        <f aca="false">IF($B46="",0,SUMIFS('Zoho Dump'!$X$8:$X$3007,'Zoho Dump'!$N$8:$N$3007,$B46,'Zoho Dump'!$T$8:$T$3007,"Backlog")+SUMIFS(Adjustments!$K$8:$K$207,Adjustments!$B$8:$B$207,$B46,Adjustments!$H$8:$H$207,"Backlog"))</f>
        <v>0</v>
      </c>
      <c r="E46" s="17" t="n">
        <f aca="false">IF($B46="",0,SUMIFS('Zoho Dump'!$Y$8:$Y$3007,'Zoho Dump'!$N$8:$N$3007,$B46,'Zoho Dump'!$T$8:$T$3007,"Pipeline")+SUMIFS(Adjustments!$L$8:$L$207,Adjustments!$B$8:$B$207,$B46,Adjustments!$H$8:$H$207,"Pipeline")+SUMIFS('Zoho Dump'!$Y$8:$Y$3007,'Zoho Dump'!$N$8:$N$3007,$B46,'Zoho Dump'!$T$8:$T$3007,"Overdue")+SUMIFS(Adjustments!$L$8:$L$207,Adjustments!$B$8:$B$207,$B46,Adjustments!$H$8:$H$207,"Overdue"))</f>
        <v>0</v>
      </c>
      <c r="F46" s="17" t="n">
        <f aca="false">IF($B46="",0,SUMIFS('Zoho Dump'!$X$8:$X$3007,'Zoho Dump'!$N$8:$N$3007,$B46,'Zoho Dump'!$T$8:$T$3007,"Pipeline")+SUMIFS(Adjustments!$K$8:$K$207,Adjustments!$B$8:$B$207,$B46,Adjustments!$H$8:$H$207,"Pipeline")+SUMIFS('Zoho Dump'!$X$8:$X$3007,'Zoho Dump'!$N$8:$N$3007,$B46,'Zoho Dump'!$T$8:$T$3007,"Overdue")+SUMIFS(Adjustments!$K$8:$K$207,Adjustments!$B$8:$B$207,$B46,Adjustments!$H$8:$H$207,"Overdue"))</f>
        <v>0</v>
      </c>
      <c r="G46" s="17" t="n">
        <f aca="false">D46+F46</f>
        <v>0</v>
      </c>
      <c r="H46" s="18" t="n">
        <f aca="false">IF(SUM($G$5:$G$404)=0,0,G46/SUM($G$5:$G$404))</f>
        <v>0</v>
      </c>
      <c r="I46" s="17" t="n">
        <f aca="false">IF($B46="",0,SUMIFS('Zoho Dump'!$Q$8:$Q$3007,'Zoho Dump'!$N$8:$N$3007,$B46,'Zoho Dump'!$T$8:$T$3007,"Lost",'Zoho Dump'!$R$8:$R$3007,"&gt;="&amp;Settings!$B$4))</f>
        <v>113630</v>
      </c>
      <c r="J46" s="9" t="str">
        <f aca="false">IF($B46="","",IF(COUNTIF(Dashboard!$C$13:$C$22,$B46)&gt;0,"Yes",""))</f>
        <v/>
      </c>
      <c r="K46" s="17" t="n">
        <f aca="false">IF($B46="",0,SUMIFS('Zoho Dump'!$X$8:$X$3007,'Zoho Dump'!$N$8:$N$3007,$B46,'Zoho Dump'!$P$8:$P$3007,Settings!$A$12)+SUMIFS(Adjustments!$K$8:$K$207,Adjustments!$B$8:$B$207,$B46,Adjustments!$A$8:$A$207,Settings!$A$12))</f>
        <v>0</v>
      </c>
      <c r="L46" s="17" t="n">
        <f aca="false">IF($B46="",0,SUMIFS('Zoho Dump'!$X$8:$X$3007,'Zoho Dump'!$N$8:$N$3007,$B46,'Zoho Dump'!$P$8:$P$3007,Settings!$A$13)+SUMIFS(Adjustments!$K$8:$K$207,Adjustments!$B$8:$B$207,$B46,Adjustments!$A$8:$A$207,Settings!$A$13))</f>
        <v>0</v>
      </c>
      <c r="M46" s="17" t="n">
        <f aca="false">IF($B46="",0,SUMIFS('Zoho Dump'!$X$8:$X$3007,'Zoho Dump'!$N$8:$N$3007,$B46,'Zoho Dump'!$P$8:$P$3007,Settings!$A$14)+SUMIFS(Adjustments!$K$8:$K$207,Adjustments!$B$8:$B$207,$B46,Adjustments!$A$8:$A$207,Settings!$A$14))</f>
        <v>0</v>
      </c>
      <c r="N46" s="17" t="n">
        <f aca="false">IF($B46="",0,SUMIFS('Zoho Dump'!$X$8:$X$3007,'Zoho Dump'!$N$8:$N$3007,$B46,'Zoho Dump'!$P$8:$P$3007,Settings!$A$15)+SUMIFS(Adjustments!$K$8:$K$207,Adjustments!$B$8:$B$207,$B46,Adjustments!$A$8:$A$207,Settings!$A$15))</f>
        <v>0</v>
      </c>
      <c r="O46" s="17" t="n">
        <f aca="false">IF($B46="",0,SUMIFS('Zoho Dump'!$X$8:$X$3007,'Zoho Dump'!$N$8:$N$3007,$B46,'Zoho Dump'!$P$8:$P$3007,Settings!$A$16)+SUMIFS(Adjustments!$K$8:$K$207,Adjustments!$B$8:$B$207,$B46,Adjustments!$A$8:$A$207,Settings!$A$16))</f>
        <v>0</v>
      </c>
      <c r="P46" s="17" t="n">
        <f aca="false">IF($B46="",0,SUMIFS('Zoho Dump'!$X$8:$X$3007,'Zoho Dump'!$N$8:$N$3007,$B46,'Zoho Dump'!$P$8:$P$3007,Settings!$A$17)+SUMIFS(Adjustments!$K$8:$K$207,Adjustments!$B$8:$B$207,$B46,Adjustments!$A$8:$A$207,Settings!$A$17))</f>
        <v>0</v>
      </c>
      <c r="Q46" s="17" t="n">
        <f aca="false">IF($B46="",0,SUMIFS('Zoho Dump'!$X$8:$X$3007,'Zoho Dump'!$N$8:$N$3007,$B46,'Zoho Dump'!$P$8:$P$3007,Settings!$A$18)+SUMIFS(Adjustments!$K$8:$K$207,Adjustments!$B$8:$B$207,$B46,Adjustments!$A$8:$A$207,Settings!$A$18))</f>
        <v>0</v>
      </c>
      <c r="R46" s="30" t="str">
        <f aca="false">IF(G46&gt;0,G46+A46/10000000,"")</f>
        <v/>
      </c>
    </row>
    <row r="47" customFormat="false" ht="15" hidden="false" customHeight="false" outlineLevel="0" collapsed="false">
      <c r="A47" s="9" t="n">
        <v>43</v>
      </c>
      <c r="B47" s="9" t="str">
        <f aca="false">IFERROR(INDEX('Zoho Dump'!$N$8:$N$3007,MATCH(A47,'Zoho Dump'!$AB$8:$AB$3007,0)),"")</f>
        <v>ON24</v>
      </c>
      <c r="C47" s="17" t="n">
        <f aca="false">IF($B47="",0,SUMIFS('Zoho Dump'!$Q$8:$Q$3007,'Zoho Dump'!$N$8:$N$3007,$B47,'Zoho Dump'!$T$8:$T$3007,"Delivered",'Zoho Dump'!$R$8:$R$3007,"&gt;="&amp;Settings!$B$4))</f>
        <v>5307</v>
      </c>
      <c r="D47" s="17" t="n">
        <f aca="false">IF($B47="",0,SUMIFS('Zoho Dump'!$X$8:$X$3007,'Zoho Dump'!$N$8:$N$3007,$B47,'Zoho Dump'!$T$8:$T$3007,"Backlog")+SUMIFS(Adjustments!$K$8:$K$207,Adjustments!$B$8:$B$207,$B47,Adjustments!$H$8:$H$207,"Backlog"))</f>
        <v>0</v>
      </c>
      <c r="E47" s="17" t="n">
        <f aca="false">IF($B47="",0,SUMIFS('Zoho Dump'!$Y$8:$Y$3007,'Zoho Dump'!$N$8:$N$3007,$B47,'Zoho Dump'!$T$8:$T$3007,"Pipeline")+SUMIFS(Adjustments!$L$8:$L$207,Adjustments!$B$8:$B$207,$B47,Adjustments!$H$8:$H$207,"Pipeline")+SUMIFS('Zoho Dump'!$Y$8:$Y$3007,'Zoho Dump'!$N$8:$N$3007,$B47,'Zoho Dump'!$T$8:$T$3007,"Overdue")+SUMIFS(Adjustments!$L$8:$L$207,Adjustments!$B$8:$B$207,$B47,Adjustments!$H$8:$H$207,"Overdue"))</f>
        <v>0</v>
      </c>
      <c r="F47" s="17" t="n">
        <f aca="false">IF($B47="",0,SUMIFS('Zoho Dump'!$X$8:$X$3007,'Zoho Dump'!$N$8:$N$3007,$B47,'Zoho Dump'!$T$8:$T$3007,"Pipeline")+SUMIFS(Adjustments!$K$8:$K$207,Adjustments!$B$8:$B$207,$B47,Adjustments!$H$8:$H$207,"Pipeline")+SUMIFS('Zoho Dump'!$X$8:$X$3007,'Zoho Dump'!$N$8:$N$3007,$B47,'Zoho Dump'!$T$8:$T$3007,"Overdue")+SUMIFS(Adjustments!$K$8:$K$207,Adjustments!$B$8:$B$207,$B47,Adjustments!$H$8:$H$207,"Overdue"))</f>
        <v>0</v>
      </c>
      <c r="G47" s="17" t="n">
        <f aca="false">D47+F47</f>
        <v>0</v>
      </c>
      <c r="H47" s="18" t="n">
        <f aca="false">IF(SUM($G$5:$G$404)=0,0,G47/SUM($G$5:$G$404))</f>
        <v>0</v>
      </c>
      <c r="I47" s="17" t="n">
        <f aca="false">IF($B47="",0,SUMIFS('Zoho Dump'!$Q$8:$Q$3007,'Zoho Dump'!$N$8:$N$3007,$B47,'Zoho Dump'!$T$8:$T$3007,"Lost",'Zoho Dump'!$R$8:$R$3007,"&gt;="&amp;Settings!$B$4))</f>
        <v>4055</v>
      </c>
      <c r="J47" s="9" t="str">
        <f aca="false">IF($B47="","",IF(COUNTIF(Dashboard!$C$13:$C$22,$B47)&gt;0,"Yes",""))</f>
        <v/>
      </c>
      <c r="K47" s="17" t="n">
        <f aca="false">IF($B47="",0,SUMIFS('Zoho Dump'!$X$8:$X$3007,'Zoho Dump'!$N$8:$N$3007,$B47,'Zoho Dump'!$P$8:$P$3007,Settings!$A$12)+SUMIFS(Adjustments!$K$8:$K$207,Adjustments!$B$8:$B$207,$B47,Adjustments!$A$8:$A$207,Settings!$A$12))</f>
        <v>0</v>
      </c>
      <c r="L47" s="17" t="n">
        <f aca="false">IF($B47="",0,SUMIFS('Zoho Dump'!$X$8:$X$3007,'Zoho Dump'!$N$8:$N$3007,$B47,'Zoho Dump'!$P$8:$P$3007,Settings!$A$13)+SUMIFS(Adjustments!$K$8:$K$207,Adjustments!$B$8:$B$207,$B47,Adjustments!$A$8:$A$207,Settings!$A$13))</f>
        <v>0</v>
      </c>
      <c r="M47" s="17" t="n">
        <f aca="false">IF($B47="",0,SUMIFS('Zoho Dump'!$X$8:$X$3007,'Zoho Dump'!$N$8:$N$3007,$B47,'Zoho Dump'!$P$8:$P$3007,Settings!$A$14)+SUMIFS(Adjustments!$K$8:$K$207,Adjustments!$B$8:$B$207,$B47,Adjustments!$A$8:$A$207,Settings!$A$14))</f>
        <v>0</v>
      </c>
      <c r="N47" s="17" t="n">
        <f aca="false">IF($B47="",0,SUMIFS('Zoho Dump'!$X$8:$X$3007,'Zoho Dump'!$N$8:$N$3007,$B47,'Zoho Dump'!$P$8:$P$3007,Settings!$A$15)+SUMIFS(Adjustments!$K$8:$K$207,Adjustments!$B$8:$B$207,$B47,Adjustments!$A$8:$A$207,Settings!$A$15))</f>
        <v>0</v>
      </c>
      <c r="O47" s="17" t="n">
        <f aca="false">IF($B47="",0,SUMIFS('Zoho Dump'!$X$8:$X$3007,'Zoho Dump'!$N$8:$N$3007,$B47,'Zoho Dump'!$P$8:$P$3007,Settings!$A$16)+SUMIFS(Adjustments!$K$8:$K$207,Adjustments!$B$8:$B$207,$B47,Adjustments!$A$8:$A$207,Settings!$A$16))</f>
        <v>0</v>
      </c>
      <c r="P47" s="17" t="n">
        <f aca="false">IF($B47="",0,SUMIFS('Zoho Dump'!$X$8:$X$3007,'Zoho Dump'!$N$8:$N$3007,$B47,'Zoho Dump'!$P$8:$P$3007,Settings!$A$17)+SUMIFS(Adjustments!$K$8:$K$207,Adjustments!$B$8:$B$207,$B47,Adjustments!$A$8:$A$207,Settings!$A$17))</f>
        <v>0</v>
      </c>
      <c r="Q47" s="17" t="n">
        <f aca="false">IF($B47="",0,SUMIFS('Zoho Dump'!$X$8:$X$3007,'Zoho Dump'!$N$8:$N$3007,$B47,'Zoho Dump'!$P$8:$P$3007,Settings!$A$18)+SUMIFS(Adjustments!$K$8:$K$207,Adjustments!$B$8:$B$207,$B47,Adjustments!$A$8:$A$207,Settings!$A$18))</f>
        <v>0</v>
      </c>
      <c r="R47" s="30" t="str">
        <f aca="false">IF(G47&gt;0,G47+A47/10000000,"")</f>
        <v/>
      </c>
    </row>
    <row r="48" customFormat="false" ht="15" hidden="false" customHeight="false" outlineLevel="0" collapsed="false">
      <c r="A48" s="9" t="n">
        <v>44</v>
      </c>
      <c r="B48" s="9" t="str">
        <f aca="false">IFERROR(INDEX('Zoho Dump'!$N$8:$N$3007,MATCH(A48,'Zoho Dump'!$AB$8:$AB$3007,0)),"")</f>
        <v>YSG Studio</v>
      </c>
      <c r="C48" s="17" t="n">
        <f aca="false">IF($B48="",0,SUMIFS('Zoho Dump'!$Q$8:$Q$3007,'Zoho Dump'!$N$8:$N$3007,$B48,'Zoho Dump'!$T$8:$T$3007,"Delivered",'Zoho Dump'!$R$8:$R$3007,"&gt;="&amp;Settings!$B$4))</f>
        <v>9164</v>
      </c>
      <c r="D48" s="17" t="n">
        <f aca="false">IF($B48="",0,SUMIFS('Zoho Dump'!$X$8:$X$3007,'Zoho Dump'!$N$8:$N$3007,$B48,'Zoho Dump'!$T$8:$T$3007,"Backlog")+SUMIFS(Adjustments!$K$8:$K$207,Adjustments!$B$8:$B$207,$B48,Adjustments!$H$8:$H$207,"Backlog"))</f>
        <v>0</v>
      </c>
      <c r="E48" s="17" t="n">
        <f aca="false">IF($B48="",0,SUMIFS('Zoho Dump'!$Y$8:$Y$3007,'Zoho Dump'!$N$8:$N$3007,$B48,'Zoho Dump'!$T$8:$T$3007,"Pipeline")+SUMIFS(Adjustments!$L$8:$L$207,Adjustments!$B$8:$B$207,$B48,Adjustments!$H$8:$H$207,"Pipeline")+SUMIFS('Zoho Dump'!$Y$8:$Y$3007,'Zoho Dump'!$N$8:$N$3007,$B48,'Zoho Dump'!$T$8:$T$3007,"Overdue")+SUMIFS(Adjustments!$L$8:$L$207,Adjustments!$B$8:$B$207,$B48,Adjustments!$H$8:$H$207,"Overdue"))</f>
        <v>0</v>
      </c>
      <c r="F48" s="17" t="n">
        <f aca="false">IF($B48="",0,SUMIFS('Zoho Dump'!$X$8:$X$3007,'Zoho Dump'!$N$8:$N$3007,$B48,'Zoho Dump'!$T$8:$T$3007,"Pipeline")+SUMIFS(Adjustments!$K$8:$K$207,Adjustments!$B$8:$B$207,$B48,Adjustments!$H$8:$H$207,"Pipeline")+SUMIFS('Zoho Dump'!$X$8:$X$3007,'Zoho Dump'!$N$8:$N$3007,$B48,'Zoho Dump'!$T$8:$T$3007,"Overdue")+SUMIFS(Adjustments!$K$8:$K$207,Adjustments!$B$8:$B$207,$B48,Adjustments!$H$8:$H$207,"Overdue"))</f>
        <v>0</v>
      </c>
      <c r="G48" s="17" t="n">
        <f aca="false">D48+F48</f>
        <v>0</v>
      </c>
      <c r="H48" s="18" t="n">
        <f aca="false">IF(SUM($G$5:$G$404)=0,0,G48/SUM($G$5:$G$404))</f>
        <v>0</v>
      </c>
      <c r="I48" s="17" t="n">
        <f aca="false">IF($B48="",0,SUMIFS('Zoho Dump'!$Q$8:$Q$3007,'Zoho Dump'!$N$8:$N$3007,$B48,'Zoho Dump'!$T$8:$T$3007,"Lost",'Zoho Dump'!$R$8:$R$3007,"&gt;="&amp;Settings!$B$4))</f>
        <v>0</v>
      </c>
      <c r="J48" s="9" t="str">
        <f aca="false">IF($B48="","",IF(COUNTIF(Dashboard!$C$13:$C$22,$B48)&gt;0,"Yes",""))</f>
        <v/>
      </c>
      <c r="K48" s="17" t="n">
        <f aca="false">IF($B48="",0,SUMIFS('Zoho Dump'!$X$8:$X$3007,'Zoho Dump'!$N$8:$N$3007,$B48,'Zoho Dump'!$P$8:$P$3007,Settings!$A$12)+SUMIFS(Adjustments!$K$8:$K$207,Adjustments!$B$8:$B$207,$B48,Adjustments!$A$8:$A$207,Settings!$A$12))</f>
        <v>0</v>
      </c>
      <c r="L48" s="17" t="n">
        <f aca="false">IF($B48="",0,SUMIFS('Zoho Dump'!$X$8:$X$3007,'Zoho Dump'!$N$8:$N$3007,$B48,'Zoho Dump'!$P$8:$P$3007,Settings!$A$13)+SUMIFS(Adjustments!$K$8:$K$207,Adjustments!$B$8:$B$207,$B48,Adjustments!$A$8:$A$207,Settings!$A$13))</f>
        <v>0</v>
      </c>
      <c r="M48" s="17" t="n">
        <f aca="false">IF($B48="",0,SUMIFS('Zoho Dump'!$X$8:$X$3007,'Zoho Dump'!$N$8:$N$3007,$B48,'Zoho Dump'!$P$8:$P$3007,Settings!$A$14)+SUMIFS(Adjustments!$K$8:$K$207,Adjustments!$B$8:$B$207,$B48,Adjustments!$A$8:$A$207,Settings!$A$14))</f>
        <v>0</v>
      </c>
      <c r="N48" s="17" t="n">
        <f aca="false">IF($B48="",0,SUMIFS('Zoho Dump'!$X$8:$X$3007,'Zoho Dump'!$N$8:$N$3007,$B48,'Zoho Dump'!$P$8:$P$3007,Settings!$A$15)+SUMIFS(Adjustments!$K$8:$K$207,Adjustments!$B$8:$B$207,$B48,Adjustments!$A$8:$A$207,Settings!$A$15))</f>
        <v>0</v>
      </c>
      <c r="O48" s="17" t="n">
        <f aca="false">IF($B48="",0,SUMIFS('Zoho Dump'!$X$8:$X$3007,'Zoho Dump'!$N$8:$N$3007,$B48,'Zoho Dump'!$P$8:$P$3007,Settings!$A$16)+SUMIFS(Adjustments!$K$8:$K$207,Adjustments!$B$8:$B$207,$B48,Adjustments!$A$8:$A$207,Settings!$A$16))</f>
        <v>0</v>
      </c>
      <c r="P48" s="17" t="n">
        <f aca="false">IF($B48="",0,SUMIFS('Zoho Dump'!$X$8:$X$3007,'Zoho Dump'!$N$8:$N$3007,$B48,'Zoho Dump'!$P$8:$P$3007,Settings!$A$17)+SUMIFS(Adjustments!$K$8:$K$207,Adjustments!$B$8:$B$207,$B48,Adjustments!$A$8:$A$207,Settings!$A$17))</f>
        <v>0</v>
      </c>
      <c r="Q48" s="17" t="n">
        <f aca="false">IF($B48="",0,SUMIFS('Zoho Dump'!$X$8:$X$3007,'Zoho Dump'!$N$8:$N$3007,$B48,'Zoho Dump'!$P$8:$P$3007,Settings!$A$18)+SUMIFS(Adjustments!$K$8:$K$207,Adjustments!$B$8:$B$207,$B48,Adjustments!$A$8:$A$207,Settings!$A$18))</f>
        <v>0</v>
      </c>
      <c r="R48" s="30" t="str">
        <f aca="false">IF(G48&gt;0,G48+A48/10000000,"")</f>
        <v/>
      </c>
    </row>
    <row r="49" customFormat="false" ht="15" hidden="false" customHeight="false" outlineLevel="0" collapsed="false">
      <c r="A49" s="9" t="n">
        <v>45</v>
      </c>
      <c r="B49" s="9" t="str">
        <f aca="false">IFERROR(INDEX('Zoho Dump'!$N$8:$N$3007,MATCH(A49,'Zoho Dump'!$AB$8:$AB$3007,0)),"")</f>
        <v>Global Philanthropic</v>
      </c>
      <c r="C49" s="17" t="n">
        <f aca="false">IF($B49="",0,SUMIFS('Zoho Dump'!$Q$8:$Q$3007,'Zoho Dump'!$N$8:$N$3007,$B49,'Zoho Dump'!$T$8:$T$3007,"Delivered",'Zoho Dump'!$R$8:$R$3007,"&gt;="&amp;Settings!$B$4))</f>
        <v>5198</v>
      </c>
      <c r="D49" s="17" t="n">
        <f aca="false">IF($B49="",0,SUMIFS('Zoho Dump'!$X$8:$X$3007,'Zoho Dump'!$N$8:$N$3007,$B49,'Zoho Dump'!$T$8:$T$3007,"Backlog")+SUMIFS(Adjustments!$K$8:$K$207,Adjustments!$B$8:$B$207,$B49,Adjustments!$H$8:$H$207,"Backlog"))</f>
        <v>0</v>
      </c>
      <c r="E49" s="17" t="n">
        <f aca="false">IF($B49="",0,SUMIFS('Zoho Dump'!$Y$8:$Y$3007,'Zoho Dump'!$N$8:$N$3007,$B49,'Zoho Dump'!$T$8:$T$3007,"Pipeline")+SUMIFS(Adjustments!$L$8:$L$207,Adjustments!$B$8:$B$207,$B49,Adjustments!$H$8:$H$207,"Pipeline")+SUMIFS('Zoho Dump'!$Y$8:$Y$3007,'Zoho Dump'!$N$8:$N$3007,$B49,'Zoho Dump'!$T$8:$T$3007,"Overdue")+SUMIFS(Adjustments!$L$8:$L$207,Adjustments!$B$8:$B$207,$B49,Adjustments!$H$8:$H$207,"Overdue"))</f>
        <v>0</v>
      </c>
      <c r="F49" s="17" t="n">
        <f aca="false">IF($B49="",0,SUMIFS('Zoho Dump'!$X$8:$X$3007,'Zoho Dump'!$N$8:$N$3007,$B49,'Zoho Dump'!$T$8:$T$3007,"Pipeline")+SUMIFS(Adjustments!$K$8:$K$207,Adjustments!$B$8:$B$207,$B49,Adjustments!$H$8:$H$207,"Pipeline")+SUMIFS('Zoho Dump'!$X$8:$X$3007,'Zoho Dump'!$N$8:$N$3007,$B49,'Zoho Dump'!$T$8:$T$3007,"Overdue")+SUMIFS(Adjustments!$K$8:$K$207,Adjustments!$B$8:$B$207,$B49,Adjustments!$H$8:$H$207,"Overdue"))</f>
        <v>0</v>
      </c>
      <c r="G49" s="17" t="n">
        <f aca="false">D49+F49</f>
        <v>0</v>
      </c>
      <c r="H49" s="18" t="n">
        <f aca="false">IF(SUM($G$5:$G$404)=0,0,G49/SUM($G$5:$G$404))</f>
        <v>0</v>
      </c>
      <c r="I49" s="17" t="n">
        <f aca="false">IF($B49="",0,SUMIFS('Zoho Dump'!$Q$8:$Q$3007,'Zoho Dump'!$N$8:$N$3007,$B49,'Zoho Dump'!$T$8:$T$3007,"Lost",'Zoho Dump'!$R$8:$R$3007,"&gt;="&amp;Settings!$B$4))</f>
        <v>0</v>
      </c>
      <c r="J49" s="9" t="str">
        <f aca="false">IF($B49="","",IF(COUNTIF(Dashboard!$C$13:$C$22,$B49)&gt;0,"Yes",""))</f>
        <v/>
      </c>
      <c r="K49" s="17" t="n">
        <f aca="false">IF($B49="",0,SUMIFS('Zoho Dump'!$X$8:$X$3007,'Zoho Dump'!$N$8:$N$3007,$B49,'Zoho Dump'!$P$8:$P$3007,Settings!$A$12)+SUMIFS(Adjustments!$K$8:$K$207,Adjustments!$B$8:$B$207,$B49,Adjustments!$A$8:$A$207,Settings!$A$12))</f>
        <v>0</v>
      </c>
      <c r="L49" s="17" t="n">
        <f aca="false">IF($B49="",0,SUMIFS('Zoho Dump'!$X$8:$X$3007,'Zoho Dump'!$N$8:$N$3007,$B49,'Zoho Dump'!$P$8:$P$3007,Settings!$A$13)+SUMIFS(Adjustments!$K$8:$K$207,Adjustments!$B$8:$B$207,$B49,Adjustments!$A$8:$A$207,Settings!$A$13))</f>
        <v>0</v>
      </c>
      <c r="M49" s="17" t="n">
        <f aca="false">IF($B49="",0,SUMIFS('Zoho Dump'!$X$8:$X$3007,'Zoho Dump'!$N$8:$N$3007,$B49,'Zoho Dump'!$P$8:$P$3007,Settings!$A$14)+SUMIFS(Adjustments!$K$8:$K$207,Adjustments!$B$8:$B$207,$B49,Adjustments!$A$8:$A$207,Settings!$A$14))</f>
        <v>0</v>
      </c>
      <c r="N49" s="17" t="n">
        <f aca="false">IF($B49="",0,SUMIFS('Zoho Dump'!$X$8:$X$3007,'Zoho Dump'!$N$8:$N$3007,$B49,'Zoho Dump'!$P$8:$P$3007,Settings!$A$15)+SUMIFS(Adjustments!$K$8:$K$207,Adjustments!$B$8:$B$207,$B49,Adjustments!$A$8:$A$207,Settings!$A$15))</f>
        <v>0</v>
      </c>
      <c r="O49" s="17" t="n">
        <f aca="false">IF($B49="",0,SUMIFS('Zoho Dump'!$X$8:$X$3007,'Zoho Dump'!$N$8:$N$3007,$B49,'Zoho Dump'!$P$8:$P$3007,Settings!$A$16)+SUMIFS(Adjustments!$K$8:$K$207,Adjustments!$B$8:$B$207,$B49,Adjustments!$A$8:$A$207,Settings!$A$16))</f>
        <v>0</v>
      </c>
      <c r="P49" s="17" t="n">
        <f aca="false">IF($B49="",0,SUMIFS('Zoho Dump'!$X$8:$X$3007,'Zoho Dump'!$N$8:$N$3007,$B49,'Zoho Dump'!$P$8:$P$3007,Settings!$A$17)+SUMIFS(Adjustments!$K$8:$K$207,Adjustments!$B$8:$B$207,$B49,Adjustments!$A$8:$A$207,Settings!$A$17))</f>
        <v>0</v>
      </c>
      <c r="Q49" s="17" t="n">
        <f aca="false">IF($B49="",0,SUMIFS('Zoho Dump'!$X$8:$X$3007,'Zoho Dump'!$N$8:$N$3007,$B49,'Zoho Dump'!$P$8:$P$3007,Settings!$A$18)+SUMIFS(Adjustments!$K$8:$K$207,Adjustments!$B$8:$B$207,$B49,Adjustments!$A$8:$A$207,Settings!$A$18))</f>
        <v>0</v>
      </c>
      <c r="R49" s="30" t="str">
        <f aca="false">IF(G49&gt;0,G49+A49/10000000,"")</f>
        <v/>
      </c>
    </row>
    <row r="50" customFormat="false" ht="15" hidden="false" customHeight="false" outlineLevel="0" collapsed="false">
      <c r="A50" s="9" t="n">
        <v>46</v>
      </c>
      <c r="B50" s="9" t="str">
        <f aca="false">IFERROR(INDEX('Zoho Dump'!$N$8:$N$3007,MATCH(A50,'Zoho Dump'!$AB$8:$AB$3007,0)),"")</f>
        <v>Scentre Group</v>
      </c>
      <c r="C50" s="17" t="n">
        <f aca="false">IF($B50="",0,SUMIFS('Zoho Dump'!$Q$8:$Q$3007,'Zoho Dump'!$N$8:$N$3007,$B50,'Zoho Dump'!$T$8:$T$3007,"Delivered",'Zoho Dump'!$R$8:$R$3007,"&gt;="&amp;Settings!$B$4))</f>
        <v>0</v>
      </c>
      <c r="D50" s="17" t="n">
        <f aca="false">IF($B50="",0,SUMIFS('Zoho Dump'!$X$8:$X$3007,'Zoho Dump'!$N$8:$N$3007,$B50,'Zoho Dump'!$T$8:$T$3007,"Backlog")+SUMIFS(Adjustments!$K$8:$K$207,Adjustments!$B$8:$B$207,$B50,Adjustments!$H$8:$H$207,"Backlog"))</f>
        <v>0</v>
      </c>
      <c r="E50" s="17" t="n">
        <f aca="false">IF($B50="",0,SUMIFS('Zoho Dump'!$Y$8:$Y$3007,'Zoho Dump'!$N$8:$N$3007,$B50,'Zoho Dump'!$T$8:$T$3007,"Pipeline")+SUMIFS(Adjustments!$L$8:$L$207,Adjustments!$B$8:$B$207,$B50,Adjustments!$H$8:$H$207,"Pipeline")+SUMIFS('Zoho Dump'!$Y$8:$Y$3007,'Zoho Dump'!$N$8:$N$3007,$B50,'Zoho Dump'!$T$8:$T$3007,"Overdue")+SUMIFS(Adjustments!$L$8:$L$207,Adjustments!$B$8:$B$207,$B50,Adjustments!$H$8:$H$207,"Overdue"))</f>
        <v>0</v>
      </c>
      <c r="F50" s="17" t="n">
        <f aca="false">IF($B50="",0,SUMIFS('Zoho Dump'!$X$8:$X$3007,'Zoho Dump'!$N$8:$N$3007,$B50,'Zoho Dump'!$T$8:$T$3007,"Pipeline")+SUMIFS(Adjustments!$K$8:$K$207,Adjustments!$B$8:$B$207,$B50,Adjustments!$H$8:$H$207,"Pipeline")+SUMIFS('Zoho Dump'!$X$8:$X$3007,'Zoho Dump'!$N$8:$N$3007,$B50,'Zoho Dump'!$T$8:$T$3007,"Overdue")+SUMIFS(Adjustments!$K$8:$K$207,Adjustments!$B$8:$B$207,$B50,Adjustments!$H$8:$H$207,"Overdue"))</f>
        <v>0</v>
      </c>
      <c r="G50" s="17" t="n">
        <f aca="false">D50+F50</f>
        <v>0</v>
      </c>
      <c r="H50" s="18" t="n">
        <f aca="false">IF(SUM($G$5:$G$404)=0,0,G50/SUM($G$5:$G$404))</f>
        <v>0</v>
      </c>
      <c r="I50" s="17" t="n">
        <f aca="false">IF($B50="",0,SUMIFS('Zoho Dump'!$Q$8:$Q$3007,'Zoho Dump'!$N$8:$N$3007,$B50,'Zoho Dump'!$T$8:$T$3007,"Lost",'Zoho Dump'!$R$8:$R$3007,"&gt;="&amp;Settings!$B$4))</f>
        <v>0</v>
      </c>
      <c r="J50" s="9" t="str">
        <f aca="false">IF($B50="","",IF(COUNTIF(Dashboard!$C$13:$C$22,$B50)&gt;0,"Yes",""))</f>
        <v/>
      </c>
      <c r="K50" s="17" t="n">
        <f aca="false">IF($B50="",0,SUMIFS('Zoho Dump'!$X$8:$X$3007,'Zoho Dump'!$N$8:$N$3007,$B50,'Zoho Dump'!$P$8:$P$3007,Settings!$A$12)+SUMIFS(Adjustments!$K$8:$K$207,Adjustments!$B$8:$B$207,$B50,Adjustments!$A$8:$A$207,Settings!$A$12))</f>
        <v>0</v>
      </c>
      <c r="L50" s="17" t="n">
        <f aca="false">IF($B50="",0,SUMIFS('Zoho Dump'!$X$8:$X$3007,'Zoho Dump'!$N$8:$N$3007,$B50,'Zoho Dump'!$P$8:$P$3007,Settings!$A$13)+SUMIFS(Adjustments!$K$8:$K$207,Adjustments!$B$8:$B$207,$B50,Adjustments!$A$8:$A$207,Settings!$A$13))</f>
        <v>0</v>
      </c>
      <c r="M50" s="17" t="n">
        <f aca="false">IF($B50="",0,SUMIFS('Zoho Dump'!$X$8:$X$3007,'Zoho Dump'!$N$8:$N$3007,$B50,'Zoho Dump'!$P$8:$P$3007,Settings!$A$14)+SUMIFS(Adjustments!$K$8:$K$207,Adjustments!$B$8:$B$207,$B50,Adjustments!$A$8:$A$207,Settings!$A$14))</f>
        <v>0</v>
      </c>
      <c r="N50" s="17" t="n">
        <f aca="false">IF($B50="",0,SUMIFS('Zoho Dump'!$X$8:$X$3007,'Zoho Dump'!$N$8:$N$3007,$B50,'Zoho Dump'!$P$8:$P$3007,Settings!$A$15)+SUMIFS(Adjustments!$K$8:$K$207,Adjustments!$B$8:$B$207,$B50,Adjustments!$A$8:$A$207,Settings!$A$15))</f>
        <v>0</v>
      </c>
      <c r="O50" s="17" t="n">
        <f aca="false">IF($B50="",0,SUMIFS('Zoho Dump'!$X$8:$X$3007,'Zoho Dump'!$N$8:$N$3007,$B50,'Zoho Dump'!$P$8:$P$3007,Settings!$A$16)+SUMIFS(Adjustments!$K$8:$K$207,Adjustments!$B$8:$B$207,$B50,Adjustments!$A$8:$A$207,Settings!$A$16))</f>
        <v>0</v>
      </c>
      <c r="P50" s="17" t="n">
        <f aca="false">IF($B50="",0,SUMIFS('Zoho Dump'!$X$8:$X$3007,'Zoho Dump'!$N$8:$N$3007,$B50,'Zoho Dump'!$P$8:$P$3007,Settings!$A$17)+SUMIFS(Adjustments!$K$8:$K$207,Adjustments!$B$8:$B$207,$B50,Adjustments!$A$8:$A$207,Settings!$A$17))</f>
        <v>0</v>
      </c>
      <c r="Q50" s="17" t="n">
        <f aca="false">IF($B50="",0,SUMIFS('Zoho Dump'!$X$8:$X$3007,'Zoho Dump'!$N$8:$N$3007,$B50,'Zoho Dump'!$P$8:$P$3007,Settings!$A$18)+SUMIFS(Adjustments!$K$8:$K$207,Adjustments!$B$8:$B$207,$B50,Adjustments!$A$8:$A$207,Settings!$A$18))</f>
        <v>0</v>
      </c>
      <c r="R50" s="30" t="str">
        <f aca="false">IF(G50&gt;0,G50+A50/10000000,"")</f>
        <v/>
      </c>
    </row>
    <row r="51" customFormat="false" ht="15" hidden="false" customHeight="false" outlineLevel="0" collapsed="false">
      <c r="A51" s="9" t="n">
        <v>47</v>
      </c>
      <c r="B51" s="9" t="str">
        <f aca="false">IFERROR(INDEX('Zoho Dump'!$N$8:$N$3007,MATCH(A51,'Zoho Dump'!$AB$8:$AB$3007,0)),"")</f>
        <v>Skykick Ranger</v>
      </c>
      <c r="C51" s="17" t="n">
        <f aca="false">IF($B51="",0,SUMIFS('Zoho Dump'!$Q$8:$Q$3007,'Zoho Dump'!$N$8:$N$3007,$B51,'Zoho Dump'!$T$8:$T$3007,"Delivered",'Zoho Dump'!$R$8:$R$3007,"&gt;="&amp;Settings!$B$4))</f>
        <v>975</v>
      </c>
      <c r="D51" s="17" t="n">
        <f aca="false">IF($B51="",0,SUMIFS('Zoho Dump'!$X$8:$X$3007,'Zoho Dump'!$N$8:$N$3007,$B51,'Zoho Dump'!$T$8:$T$3007,"Backlog")+SUMIFS(Adjustments!$K$8:$K$207,Adjustments!$B$8:$B$207,$B51,Adjustments!$H$8:$H$207,"Backlog"))</f>
        <v>0</v>
      </c>
      <c r="E51" s="17" t="n">
        <f aca="false">IF($B51="",0,SUMIFS('Zoho Dump'!$Y$8:$Y$3007,'Zoho Dump'!$N$8:$N$3007,$B51,'Zoho Dump'!$T$8:$T$3007,"Pipeline")+SUMIFS(Adjustments!$L$8:$L$207,Adjustments!$B$8:$B$207,$B51,Adjustments!$H$8:$H$207,"Pipeline")+SUMIFS('Zoho Dump'!$Y$8:$Y$3007,'Zoho Dump'!$N$8:$N$3007,$B51,'Zoho Dump'!$T$8:$T$3007,"Overdue")+SUMIFS(Adjustments!$L$8:$L$207,Adjustments!$B$8:$B$207,$B51,Adjustments!$H$8:$H$207,"Overdue"))</f>
        <v>0</v>
      </c>
      <c r="F51" s="17" t="n">
        <f aca="false">IF($B51="",0,SUMIFS('Zoho Dump'!$X$8:$X$3007,'Zoho Dump'!$N$8:$N$3007,$B51,'Zoho Dump'!$T$8:$T$3007,"Pipeline")+SUMIFS(Adjustments!$K$8:$K$207,Adjustments!$B$8:$B$207,$B51,Adjustments!$H$8:$H$207,"Pipeline")+SUMIFS('Zoho Dump'!$X$8:$X$3007,'Zoho Dump'!$N$8:$N$3007,$B51,'Zoho Dump'!$T$8:$T$3007,"Overdue")+SUMIFS(Adjustments!$K$8:$K$207,Adjustments!$B$8:$B$207,$B51,Adjustments!$H$8:$H$207,"Overdue"))</f>
        <v>0</v>
      </c>
      <c r="G51" s="17" t="n">
        <f aca="false">D51+F51</f>
        <v>0</v>
      </c>
      <c r="H51" s="18" t="n">
        <f aca="false">IF(SUM($G$5:$G$404)=0,0,G51/SUM($G$5:$G$404))</f>
        <v>0</v>
      </c>
      <c r="I51" s="17" t="n">
        <f aca="false">IF($B51="",0,SUMIFS('Zoho Dump'!$Q$8:$Q$3007,'Zoho Dump'!$N$8:$N$3007,$B51,'Zoho Dump'!$T$8:$T$3007,"Lost",'Zoho Dump'!$R$8:$R$3007,"&gt;="&amp;Settings!$B$4))</f>
        <v>0</v>
      </c>
      <c r="J51" s="9" t="str">
        <f aca="false">IF($B51="","",IF(COUNTIF(Dashboard!$C$13:$C$22,$B51)&gt;0,"Yes",""))</f>
        <v/>
      </c>
      <c r="K51" s="17" t="n">
        <f aca="false">IF($B51="",0,SUMIFS('Zoho Dump'!$X$8:$X$3007,'Zoho Dump'!$N$8:$N$3007,$B51,'Zoho Dump'!$P$8:$P$3007,Settings!$A$12)+SUMIFS(Adjustments!$K$8:$K$207,Adjustments!$B$8:$B$207,$B51,Adjustments!$A$8:$A$207,Settings!$A$12))</f>
        <v>0</v>
      </c>
      <c r="L51" s="17" t="n">
        <f aca="false">IF($B51="",0,SUMIFS('Zoho Dump'!$X$8:$X$3007,'Zoho Dump'!$N$8:$N$3007,$B51,'Zoho Dump'!$P$8:$P$3007,Settings!$A$13)+SUMIFS(Adjustments!$K$8:$K$207,Adjustments!$B$8:$B$207,$B51,Adjustments!$A$8:$A$207,Settings!$A$13))</f>
        <v>0</v>
      </c>
      <c r="M51" s="17" t="n">
        <f aca="false">IF($B51="",0,SUMIFS('Zoho Dump'!$X$8:$X$3007,'Zoho Dump'!$N$8:$N$3007,$B51,'Zoho Dump'!$P$8:$P$3007,Settings!$A$14)+SUMIFS(Adjustments!$K$8:$K$207,Adjustments!$B$8:$B$207,$B51,Adjustments!$A$8:$A$207,Settings!$A$14))</f>
        <v>0</v>
      </c>
      <c r="N51" s="17" t="n">
        <f aca="false">IF($B51="",0,SUMIFS('Zoho Dump'!$X$8:$X$3007,'Zoho Dump'!$N$8:$N$3007,$B51,'Zoho Dump'!$P$8:$P$3007,Settings!$A$15)+SUMIFS(Adjustments!$K$8:$K$207,Adjustments!$B$8:$B$207,$B51,Adjustments!$A$8:$A$207,Settings!$A$15))</f>
        <v>0</v>
      </c>
      <c r="O51" s="17" t="n">
        <f aca="false">IF($B51="",0,SUMIFS('Zoho Dump'!$X$8:$X$3007,'Zoho Dump'!$N$8:$N$3007,$B51,'Zoho Dump'!$P$8:$P$3007,Settings!$A$16)+SUMIFS(Adjustments!$K$8:$K$207,Adjustments!$B$8:$B$207,$B51,Adjustments!$A$8:$A$207,Settings!$A$16))</f>
        <v>0</v>
      </c>
      <c r="P51" s="17" t="n">
        <f aca="false">IF($B51="",0,SUMIFS('Zoho Dump'!$X$8:$X$3007,'Zoho Dump'!$N$8:$N$3007,$B51,'Zoho Dump'!$P$8:$P$3007,Settings!$A$17)+SUMIFS(Adjustments!$K$8:$K$207,Adjustments!$B$8:$B$207,$B51,Adjustments!$A$8:$A$207,Settings!$A$17))</f>
        <v>0</v>
      </c>
      <c r="Q51" s="17" t="n">
        <f aca="false">IF($B51="",0,SUMIFS('Zoho Dump'!$X$8:$X$3007,'Zoho Dump'!$N$8:$N$3007,$B51,'Zoho Dump'!$P$8:$P$3007,Settings!$A$18)+SUMIFS(Adjustments!$K$8:$K$207,Adjustments!$B$8:$B$207,$B51,Adjustments!$A$8:$A$207,Settings!$A$18))</f>
        <v>0</v>
      </c>
      <c r="R51" s="30" t="str">
        <f aca="false">IF(G51&gt;0,G51+A51/10000000,"")</f>
        <v/>
      </c>
    </row>
    <row r="52" customFormat="false" ht="15" hidden="false" customHeight="false" outlineLevel="0" collapsed="false">
      <c r="A52" s="9" t="n">
        <v>48</v>
      </c>
      <c r="B52" s="9" t="str">
        <f aca="false">IFERROR(INDEX('Zoho Dump'!$N$8:$N$3007,MATCH(A52,'Zoho Dump'!$AB$8:$AB$3007,0)),"")</f>
        <v>Department of Agriculture, Fisheries and Forestry (DAFF)</v>
      </c>
      <c r="C52" s="17" t="n">
        <f aca="false">IF($B52="",0,SUMIFS('Zoho Dump'!$Q$8:$Q$3007,'Zoho Dump'!$N$8:$N$3007,$B52,'Zoho Dump'!$T$8:$T$3007,"Delivered",'Zoho Dump'!$R$8:$R$3007,"&gt;="&amp;Settings!$B$4))</f>
        <v>3500</v>
      </c>
      <c r="D52" s="17" t="n">
        <f aca="false">IF($B52="",0,SUMIFS('Zoho Dump'!$X$8:$X$3007,'Zoho Dump'!$N$8:$N$3007,$B52,'Zoho Dump'!$T$8:$T$3007,"Backlog")+SUMIFS(Adjustments!$K$8:$K$207,Adjustments!$B$8:$B$207,$B52,Adjustments!$H$8:$H$207,"Backlog"))</f>
        <v>0</v>
      </c>
      <c r="E52" s="17" t="n">
        <f aca="false">IF($B52="",0,SUMIFS('Zoho Dump'!$Y$8:$Y$3007,'Zoho Dump'!$N$8:$N$3007,$B52,'Zoho Dump'!$T$8:$T$3007,"Pipeline")+SUMIFS(Adjustments!$L$8:$L$207,Adjustments!$B$8:$B$207,$B52,Adjustments!$H$8:$H$207,"Pipeline")+SUMIFS('Zoho Dump'!$Y$8:$Y$3007,'Zoho Dump'!$N$8:$N$3007,$B52,'Zoho Dump'!$T$8:$T$3007,"Overdue")+SUMIFS(Adjustments!$L$8:$L$207,Adjustments!$B$8:$B$207,$B52,Adjustments!$H$8:$H$207,"Overdue"))</f>
        <v>0</v>
      </c>
      <c r="F52" s="17" t="n">
        <f aca="false">IF($B52="",0,SUMIFS('Zoho Dump'!$X$8:$X$3007,'Zoho Dump'!$N$8:$N$3007,$B52,'Zoho Dump'!$T$8:$T$3007,"Pipeline")+SUMIFS(Adjustments!$K$8:$K$207,Adjustments!$B$8:$B$207,$B52,Adjustments!$H$8:$H$207,"Pipeline")+SUMIFS('Zoho Dump'!$X$8:$X$3007,'Zoho Dump'!$N$8:$N$3007,$B52,'Zoho Dump'!$T$8:$T$3007,"Overdue")+SUMIFS(Adjustments!$K$8:$K$207,Adjustments!$B$8:$B$207,$B52,Adjustments!$H$8:$H$207,"Overdue"))</f>
        <v>0</v>
      </c>
      <c r="G52" s="17" t="n">
        <f aca="false">D52+F52</f>
        <v>0</v>
      </c>
      <c r="H52" s="18" t="n">
        <f aca="false">IF(SUM($G$5:$G$404)=0,0,G52/SUM($G$5:$G$404))</f>
        <v>0</v>
      </c>
      <c r="I52" s="17" t="n">
        <f aca="false">IF($B52="",0,SUMIFS('Zoho Dump'!$Q$8:$Q$3007,'Zoho Dump'!$N$8:$N$3007,$B52,'Zoho Dump'!$T$8:$T$3007,"Lost",'Zoho Dump'!$R$8:$R$3007,"&gt;="&amp;Settings!$B$4))</f>
        <v>0</v>
      </c>
      <c r="J52" s="9" t="str">
        <f aca="false">IF($B52="","",IF(COUNTIF(Dashboard!$C$13:$C$22,$B52)&gt;0,"Yes",""))</f>
        <v/>
      </c>
      <c r="K52" s="17" t="n">
        <f aca="false">IF($B52="",0,SUMIFS('Zoho Dump'!$X$8:$X$3007,'Zoho Dump'!$N$8:$N$3007,$B52,'Zoho Dump'!$P$8:$P$3007,Settings!$A$12)+SUMIFS(Adjustments!$K$8:$K$207,Adjustments!$B$8:$B$207,$B52,Adjustments!$A$8:$A$207,Settings!$A$12))</f>
        <v>0</v>
      </c>
      <c r="L52" s="17" t="n">
        <f aca="false">IF($B52="",0,SUMIFS('Zoho Dump'!$X$8:$X$3007,'Zoho Dump'!$N$8:$N$3007,$B52,'Zoho Dump'!$P$8:$P$3007,Settings!$A$13)+SUMIFS(Adjustments!$K$8:$K$207,Adjustments!$B$8:$B$207,$B52,Adjustments!$A$8:$A$207,Settings!$A$13))</f>
        <v>0</v>
      </c>
      <c r="M52" s="17" t="n">
        <f aca="false">IF($B52="",0,SUMIFS('Zoho Dump'!$X$8:$X$3007,'Zoho Dump'!$N$8:$N$3007,$B52,'Zoho Dump'!$P$8:$P$3007,Settings!$A$14)+SUMIFS(Adjustments!$K$8:$K$207,Adjustments!$B$8:$B$207,$B52,Adjustments!$A$8:$A$207,Settings!$A$14))</f>
        <v>0</v>
      </c>
      <c r="N52" s="17" t="n">
        <f aca="false">IF($B52="",0,SUMIFS('Zoho Dump'!$X$8:$X$3007,'Zoho Dump'!$N$8:$N$3007,$B52,'Zoho Dump'!$P$8:$P$3007,Settings!$A$15)+SUMIFS(Adjustments!$K$8:$K$207,Adjustments!$B$8:$B$207,$B52,Adjustments!$A$8:$A$207,Settings!$A$15))</f>
        <v>0</v>
      </c>
      <c r="O52" s="17" t="n">
        <f aca="false">IF($B52="",0,SUMIFS('Zoho Dump'!$X$8:$X$3007,'Zoho Dump'!$N$8:$N$3007,$B52,'Zoho Dump'!$P$8:$P$3007,Settings!$A$16)+SUMIFS(Adjustments!$K$8:$K$207,Adjustments!$B$8:$B$207,$B52,Adjustments!$A$8:$A$207,Settings!$A$16))</f>
        <v>0</v>
      </c>
      <c r="P52" s="17" t="n">
        <f aca="false">IF($B52="",0,SUMIFS('Zoho Dump'!$X$8:$X$3007,'Zoho Dump'!$N$8:$N$3007,$B52,'Zoho Dump'!$P$8:$P$3007,Settings!$A$17)+SUMIFS(Adjustments!$K$8:$K$207,Adjustments!$B$8:$B$207,$B52,Adjustments!$A$8:$A$207,Settings!$A$17))</f>
        <v>0</v>
      </c>
      <c r="Q52" s="17" t="n">
        <f aca="false">IF($B52="",0,SUMIFS('Zoho Dump'!$X$8:$X$3007,'Zoho Dump'!$N$8:$N$3007,$B52,'Zoho Dump'!$P$8:$P$3007,Settings!$A$18)+SUMIFS(Adjustments!$K$8:$K$207,Adjustments!$B$8:$B$207,$B52,Adjustments!$A$8:$A$207,Settings!$A$18))</f>
        <v>0</v>
      </c>
      <c r="R52" s="30" t="str">
        <f aca="false">IF(G52&gt;0,G52+A52/10000000,"")</f>
        <v/>
      </c>
    </row>
    <row r="53" customFormat="false" ht="15" hidden="false" customHeight="false" outlineLevel="0" collapsed="false">
      <c r="A53" s="9" t="n">
        <v>49</v>
      </c>
      <c r="B53" s="9" t="str">
        <f aca="false">IFERROR(INDEX('Zoho Dump'!$N$8:$N$3007,MATCH(A53,'Zoho Dump'!$AB$8:$AB$3007,0)),"")</f>
        <v>Deloitte - Parramatta</v>
      </c>
      <c r="C53" s="17" t="n">
        <f aca="false">IF($B53="",0,SUMIFS('Zoho Dump'!$Q$8:$Q$3007,'Zoho Dump'!$N$8:$N$3007,$B53,'Zoho Dump'!$T$8:$T$3007,"Delivered",'Zoho Dump'!$R$8:$R$3007,"&gt;="&amp;Settings!$B$4))</f>
        <v>0</v>
      </c>
      <c r="D53" s="17" t="n">
        <f aca="false">IF($B53="",0,SUMIFS('Zoho Dump'!$X$8:$X$3007,'Zoho Dump'!$N$8:$N$3007,$B53,'Zoho Dump'!$T$8:$T$3007,"Backlog")+SUMIFS(Adjustments!$K$8:$K$207,Adjustments!$B$8:$B$207,$B53,Adjustments!$H$8:$H$207,"Backlog"))</f>
        <v>0</v>
      </c>
      <c r="E53" s="17" t="n">
        <f aca="false">IF($B53="",0,SUMIFS('Zoho Dump'!$Y$8:$Y$3007,'Zoho Dump'!$N$8:$N$3007,$B53,'Zoho Dump'!$T$8:$T$3007,"Pipeline")+SUMIFS(Adjustments!$L$8:$L$207,Adjustments!$B$8:$B$207,$B53,Adjustments!$H$8:$H$207,"Pipeline")+SUMIFS('Zoho Dump'!$Y$8:$Y$3007,'Zoho Dump'!$N$8:$N$3007,$B53,'Zoho Dump'!$T$8:$T$3007,"Overdue")+SUMIFS(Adjustments!$L$8:$L$207,Adjustments!$B$8:$B$207,$B53,Adjustments!$H$8:$H$207,"Overdue"))</f>
        <v>0</v>
      </c>
      <c r="F53" s="17" t="n">
        <f aca="false">IF($B53="",0,SUMIFS('Zoho Dump'!$X$8:$X$3007,'Zoho Dump'!$N$8:$N$3007,$B53,'Zoho Dump'!$T$8:$T$3007,"Pipeline")+SUMIFS(Adjustments!$K$8:$K$207,Adjustments!$B$8:$B$207,$B53,Adjustments!$H$8:$H$207,"Pipeline")+SUMIFS('Zoho Dump'!$X$8:$X$3007,'Zoho Dump'!$N$8:$N$3007,$B53,'Zoho Dump'!$T$8:$T$3007,"Overdue")+SUMIFS(Adjustments!$K$8:$K$207,Adjustments!$B$8:$B$207,$B53,Adjustments!$H$8:$H$207,"Overdue"))</f>
        <v>0</v>
      </c>
      <c r="G53" s="17" t="n">
        <f aca="false">D53+F53</f>
        <v>0</v>
      </c>
      <c r="H53" s="18" t="n">
        <f aca="false">IF(SUM($G$5:$G$404)=0,0,G53/SUM($G$5:$G$404))</f>
        <v>0</v>
      </c>
      <c r="I53" s="17" t="n">
        <f aca="false">IF($B53="",0,SUMIFS('Zoho Dump'!$Q$8:$Q$3007,'Zoho Dump'!$N$8:$N$3007,$B53,'Zoho Dump'!$T$8:$T$3007,"Lost",'Zoho Dump'!$R$8:$R$3007,"&gt;="&amp;Settings!$B$4))</f>
        <v>0</v>
      </c>
      <c r="J53" s="9" t="str">
        <f aca="false">IF($B53="","",IF(COUNTIF(Dashboard!$C$13:$C$22,$B53)&gt;0,"Yes",""))</f>
        <v/>
      </c>
      <c r="K53" s="17" t="n">
        <f aca="false">IF($B53="",0,SUMIFS('Zoho Dump'!$X$8:$X$3007,'Zoho Dump'!$N$8:$N$3007,$B53,'Zoho Dump'!$P$8:$P$3007,Settings!$A$12)+SUMIFS(Adjustments!$K$8:$K$207,Adjustments!$B$8:$B$207,$B53,Adjustments!$A$8:$A$207,Settings!$A$12))</f>
        <v>0</v>
      </c>
      <c r="L53" s="17" t="n">
        <f aca="false">IF($B53="",0,SUMIFS('Zoho Dump'!$X$8:$X$3007,'Zoho Dump'!$N$8:$N$3007,$B53,'Zoho Dump'!$P$8:$P$3007,Settings!$A$13)+SUMIFS(Adjustments!$K$8:$K$207,Adjustments!$B$8:$B$207,$B53,Adjustments!$A$8:$A$207,Settings!$A$13))</f>
        <v>0</v>
      </c>
      <c r="M53" s="17" t="n">
        <f aca="false">IF($B53="",0,SUMIFS('Zoho Dump'!$X$8:$X$3007,'Zoho Dump'!$N$8:$N$3007,$B53,'Zoho Dump'!$P$8:$P$3007,Settings!$A$14)+SUMIFS(Adjustments!$K$8:$K$207,Adjustments!$B$8:$B$207,$B53,Adjustments!$A$8:$A$207,Settings!$A$14))</f>
        <v>0</v>
      </c>
      <c r="N53" s="17" t="n">
        <f aca="false">IF($B53="",0,SUMIFS('Zoho Dump'!$X$8:$X$3007,'Zoho Dump'!$N$8:$N$3007,$B53,'Zoho Dump'!$P$8:$P$3007,Settings!$A$15)+SUMIFS(Adjustments!$K$8:$K$207,Adjustments!$B$8:$B$207,$B53,Adjustments!$A$8:$A$207,Settings!$A$15))</f>
        <v>0</v>
      </c>
      <c r="O53" s="17" t="n">
        <f aca="false">IF($B53="",0,SUMIFS('Zoho Dump'!$X$8:$X$3007,'Zoho Dump'!$N$8:$N$3007,$B53,'Zoho Dump'!$P$8:$P$3007,Settings!$A$16)+SUMIFS(Adjustments!$K$8:$K$207,Adjustments!$B$8:$B$207,$B53,Adjustments!$A$8:$A$207,Settings!$A$16))</f>
        <v>0</v>
      </c>
      <c r="P53" s="17" t="n">
        <f aca="false">IF($B53="",0,SUMIFS('Zoho Dump'!$X$8:$X$3007,'Zoho Dump'!$N$8:$N$3007,$B53,'Zoho Dump'!$P$8:$P$3007,Settings!$A$17)+SUMIFS(Adjustments!$K$8:$K$207,Adjustments!$B$8:$B$207,$B53,Adjustments!$A$8:$A$207,Settings!$A$17))</f>
        <v>0</v>
      </c>
      <c r="Q53" s="17" t="n">
        <f aca="false">IF($B53="",0,SUMIFS('Zoho Dump'!$X$8:$X$3007,'Zoho Dump'!$N$8:$N$3007,$B53,'Zoho Dump'!$P$8:$P$3007,Settings!$A$18)+SUMIFS(Adjustments!$K$8:$K$207,Adjustments!$B$8:$B$207,$B53,Adjustments!$A$8:$A$207,Settings!$A$18))</f>
        <v>0</v>
      </c>
      <c r="R53" s="30" t="str">
        <f aca="false">IF(G53&gt;0,G53+A53/10000000,"")</f>
        <v/>
      </c>
    </row>
    <row r="54" customFormat="false" ht="15" hidden="false" customHeight="false" outlineLevel="0" collapsed="false">
      <c r="A54" s="9" t="n">
        <v>50</v>
      </c>
      <c r="B54" s="9" t="str">
        <f aca="false">IFERROR(INDEX('Zoho Dump'!$N$8:$N$3007,MATCH(A54,'Zoho Dump'!$AB$8:$AB$3007,0)),"")</f>
        <v>Loghic Connect</v>
      </c>
      <c r="C54" s="17" t="n">
        <f aca="false">IF($B54="",0,SUMIFS('Zoho Dump'!$Q$8:$Q$3007,'Zoho Dump'!$N$8:$N$3007,$B54,'Zoho Dump'!$T$8:$T$3007,"Delivered",'Zoho Dump'!$R$8:$R$3007,"&gt;="&amp;Settings!$B$4))</f>
        <v>0</v>
      </c>
      <c r="D54" s="17" t="n">
        <f aca="false">IF($B54="",0,SUMIFS('Zoho Dump'!$X$8:$X$3007,'Zoho Dump'!$N$8:$N$3007,$B54,'Zoho Dump'!$T$8:$T$3007,"Backlog")+SUMIFS(Adjustments!$K$8:$K$207,Adjustments!$B$8:$B$207,$B54,Adjustments!$H$8:$H$207,"Backlog"))</f>
        <v>0</v>
      </c>
      <c r="E54" s="17" t="n">
        <f aca="false">IF($B54="",0,SUMIFS('Zoho Dump'!$Y$8:$Y$3007,'Zoho Dump'!$N$8:$N$3007,$B54,'Zoho Dump'!$T$8:$T$3007,"Pipeline")+SUMIFS(Adjustments!$L$8:$L$207,Adjustments!$B$8:$B$207,$B54,Adjustments!$H$8:$H$207,"Pipeline")+SUMIFS('Zoho Dump'!$Y$8:$Y$3007,'Zoho Dump'!$N$8:$N$3007,$B54,'Zoho Dump'!$T$8:$T$3007,"Overdue")+SUMIFS(Adjustments!$L$8:$L$207,Adjustments!$B$8:$B$207,$B54,Adjustments!$H$8:$H$207,"Overdue"))</f>
        <v>0</v>
      </c>
      <c r="F54" s="17" t="n">
        <f aca="false">IF($B54="",0,SUMIFS('Zoho Dump'!$X$8:$X$3007,'Zoho Dump'!$N$8:$N$3007,$B54,'Zoho Dump'!$T$8:$T$3007,"Pipeline")+SUMIFS(Adjustments!$K$8:$K$207,Adjustments!$B$8:$B$207,$B54,Adjustments!$H$8:$H$207,"Pipeline")+SUMIFS('Zoho Dump'!$X$8:$X$3007,'Zoho Dump'!$N$8:$N$3007,$B54,'Zoho Dump'!$T$8:$T$3007,"Overdue")+SUMIFS(Adjustments!$K$8:$K$207,Adjustments!$B$8:$B$207,$B54,Adjustments!$H$8:$H$207,"Overdue"))</f>
        <v>0</v>
      </c>
      <c r="G54" s="17" t="n">
        <f aca="false">D54+F54</f>
        <v>0</v>
      </c>
      <c r="H54" s="18" t="n">
        <f aca="false">IF(SUM($G$5:$G$404)=0,0,G54/SUM($G$5:$G$404))</f>
        <v>0</v>
      </c>
      <c r="I54" s="17" t="n">
        <f aca="false">IF($B54="",0,SUMIFS('Zoho Dump'!$Q$8:$Q$3007,'Zoho Dump'!$N$8:$N$3007,$B54,'Zoho Dump'!$T$8:$T$3007,"Lost",'Zoho Dump'!$R$8:$R$3007,"&gt;="&amp;Settings!$B$4))</f>
        <v>0</v>
      </c>
      <c r="J54" s="9" t="str">
        <f aca="false">IF($B54="","",IF(COUNTIF(Dashboard!$C$13:$C$22,$B54)&gt;0,"Yes",""))</f>
        <v/>
      </c>
      <c r="K54" s="17" t="n">
        <f aca="false">IF($B54="",0,SUMIFS('Zoho Dump'!$X$8:$X$3007,'Zoho Dump'!$N$8:$N$3007,$B54,'Zoho Dump'!$P$8:$P$3007,Settings!$A$12)+SUMIFS(Adjustments!$K$8:$K$207,Adjustments!$B$8:$B$207,$B54,Adjustments!$A$8:$A$207,Settings!$A$12))</f>
        <v>0</v>
      </c>
      <c r="L54" s="17" t="n">
        <f aca="false">IF($B54="",0,SUMIFS('Zoho Dump'!$X$8:$X$3007,'Zoho Dump'!$N$8:$N$3007,$B54,'Zoho Dump'!$P$8:$P$3007,Settings!$A$13)+SUMIFS(Adjustments!$K$8:$K$207,Adjustments!$B$8:$B$207,$B54,Adjustments!$A$8:$A$207,Settings!$A$13))</f>
        <v>0</v>
      </c>
      <c r="M54" s="17" t="n">
        <f aca="false">IF($B54="",0,SUMIFS('Zoho Dump'!$X$8:$X$3007,'Zoho Dump'!$N$8:$N$3007,$B54,'Zoho Dump'!$P$8:$P$3007,Settings!$A$14)+SUMIFS(Adjustments!$K$8:$K$207,Adjustments!$B$8:$B$207,$B54,Adjustments!$A$8:$A$207,Settings!$A$14))</f>
        <v>0</v>
      </c>
      <c r="N54" s="17" t="n">
        <f aca="false">IF($B54="",0,SUMIFS('Zoho Dump'!$X$8:$X$3007,'Zoho Dump'!$N$8:$N$3007,$B54,'Zoho Dump'!$P$8:$P$3007,Settings!$A$15)+SUMIFS(Adjustments!$K$8:$K$207,Adjustments!$B$8:$B$207,$B54,Adjustments!$A$8:$A$207,Settings!$A$15))</f>
        <v>0</v>
      </c>
      <c r="O54" s="17" t="n">
        <f aca="false">IF($B54="",0,SUMIFS('Zoho Dump'!$X$8:$X$3007,'Zoho Dump'!$N$8:$N$3007,$B54,'Zoho Dump'!$P$8:$P$3007,Settings!$A$16)+SUMIFS(Adjustments!$K$8:$K$207,Adjustments!$B$8:$B$207,$B54,Adjustments!$A$8:$A$207,Settings!$A$16))</f>
        <v>0</v>
      </c>
      <c r="P54" s="17" t="n">
        <f aca="false">IF($B54="",0,SUMIFS('Zoho Dump'!$X$8:$X$3007,'Zoho Dump'!$N$8:$N$3007,$B54,'Zoho Dump'!$P$8:$P$3007,Settings!$A$17)+SUMIFS(Adjustments!$K$8:$K$207,Adjustments!$B$8:$B$207,$B54,Adjustments!$A$8:$A$207,Settings!$A$17))</f>
        <v>0</v>
      </c>
      <c r="Q54" s="17" t="n">
        <f aca="false">IF($B54="",0,SUMIFS('Zoho Dump'!$X$8:$X$3007,'Zoho Dump'!$N$8:$N$3007,$B54,'Zoho Dump'!$P$8:$P$3007,Settings!$A$18)+SUMIFS(Adjustments!$K$8:$K$207,Adjustments!$B$8:$B$207,$B54,Adjustments!$A$8:$A$207,Settings!$A$18))</f>
        <v>0</v>
      </c>
      <c r="R54" s="30" t="str">
        <f aca="false">IF(G54&gt;0,G54+A54/10000000,"")</f>
        <v/>
      </c>
    </row>
    <row r="55" customFormat="false" ht="15" hidden="false" customHeight="false" outlineLevel="0" collapsed="false">
      <c r="A55" s="9" t="n">
        <v>51</v>
      </c>
      <c r="B55" s="9" t="str">
        <f aca="false">IFERROR(INDEX('Zoho Dump'!$N$8:$N$3007,MATCH(A55,'Zoho Dump'!$AB$8:$AB$3007,0)),"")</f>
        <v>Aristocrat Leisure</v>
      </c>
      <c r="C55" s="17" t="n">
        <f aca="false">IF($B55="",0,SUMIFS('Zoho Dump'!$Q$8:$Q$3007,'Zoho Dump'!$N$8:$N$3007,$B55,'Zoho Dump'!$T$8:$T$3007,"Delivered",'Zoho Dump'!$R$8:$R$3007,"&gt;="&amp;Settings!$B$4))</f>
        <v>0</v>
      </c>
      <c r="D55" s="17" t="n">
        <f aca="false">IF($B55="",0,SUMIFS('Zoho Dump'!$X$8:$X$3007,'Zoho Dump'!$N$8:$N$3007,$B55,'Zoho Dump'!$T$8:$T$3007,"Backlog")+SUMIFS(Adjustments!$K$8:$K$207,Adjustments!$B$8:$B$207,$B55,Adjustments!$H$8:$H$207,"Backlog"))</f>
        <v>0</v>
      </c>
      <c r="E55" s="17" t="n">
        <f aca="false">IF($B55="",0,SUMIFS('Zoho Dump'!$Y$8:$Y$3007,'Zoho Dump'!$N$8:$N$3007,$B55,'Zoho Dump'!$T$8:$T$3007,"Pipeline")+SUMIFS(Adjustments!$L$8:$L$207,Adjustments!$B$8:$B$207,$B55,Adjustments!$H$8:$H$207,"Pipeline")+SUMIFS('Zoho Dump'!$Y$8:$Y$3007,'Zoho Dump'!$N$8:$N$3007,$B55,'Zoho Dump'!$T$8:$T$3007,"Overdue")+SUMIFS(Adjustments!$L$8:$L$207,Adjustments!$B$8:$B$207,$B55,Adjustments!$H$8:$H$207,"Overdue"))</f>
        <v>0</v>
      </c>
      <c r="F55" s="17" t="n">
        <f aca="false">IF($B55="",0,SUMIFS('Zoho Dump'!$X$8:$X$3007,'Zoho Dump'!$N$8:$N$3007,$B55,'Zoho Dump'!$T$8:$T$3007,"Pipeline")+SUMIFS(Adjustments!$K$8:$K$207,Adjustments!$B$8:$B$207,$B55,Adjustments!$H$8:$H$207,"Pipeline")+SUMIFS('Zoho Dump'!$X$8:$X$3007,'Zoho Dump'!$N$8:$N$3007,$B55,'Zoho Dump'!$T$8:$T$3007,"Overdue")+SUMIFS(Adjustments!$K$8:$K$207,Adjustments!$B$8:$B$207,$B55,Adjustments!$H$8:$H$207,"Overdue"))</f>
        <v>0</v>
      </c>
      <c r="G55" s="17" t="n">
        <f aca="false">D55+F55</f>
        <v>0</v>
      </c>
      <c r="H55" s="18" t="n">
        <f aca="false">IF(SUM($G$5:$G$404)=0,0,G55/SUM($G$5:$G$404))</f>
        <v>0</v>
      </c>
      <c r="I55" s="17" t="n">
        <f aca="false">IF($B55="",0,SUMIFS('Zoho Dump'!$Q$8:$Q$3007,'Zoho Dump'!$N$8:$N$3007,$B55,'Zoho Dump'!$T$8:$T$3007,"Lost",'Zoho Dump'!$R$8:$R$3007,"&gt;="&amp;Settings!$B$4))</f>
        <v>0</v>
      </c>
      <c r="J55" s="9" t="str">
        <f aca="false">IF($B55="","",IF(COUNTIF(Dashboard!$C$13:$C$22,$B55)&gt;0,"Yes",""))</f>
        <v/>
      </c>
      <c r="K55" s="17" t="n">
        <f aca="false">IF($B55="",0,SUMIFS('Zoho Dump'!$X$8:$X$3007,'Zoho Dump'!$N$8:$N$3007,$B55,'Zoho Dump'!$P$8:$P$3007,Settings!$A$12)+SUMIFS(Adjustments!$K$8:$K$207,Adjustments!$B$8:$B$207,$B55,Adjustments!$A$8:$A$207,Settings!$A$12))</f>
        <v>0</v>
      </c>
      <c r="L55" s="17" t="n">
        <f aca="false">IF($B55="",0,SUMIFS('Zoho Dump'!$X$8:$X$3007,'Zoho Dump'!$N$8:$N$3007,$B55,'Zoho Dump'!$P$8:$P$3007,Settings!$A$13)+SUMIFS(Adjustments!$K$8:$K$207,Adjustments!$B$8:$B$207,$B55,Adjustments!$A$8:$A$207,Settings!$A$13))</f>
        <v>0</v>
      </c>
      <c r="M55" s="17" t="n">
        <f aca="false">IF($B55="",0,SUMIFS('Zoho Dump'!$X$8:$X$3007,'Zoho Dump'!$N$8:$N$3007,$B55,'Zoho Dump'!$P$8:$P$3007,Settings!$A$14)+SUMIFS(Adjustments!$K$8:$K$207,Adjustments!$B$8:$B$207,$B55,Adjustments!$A$8:$A$207,Settings!$A$14))</f>
        <v>0</v>
      </c>
      <c r="N55" s="17" t="n">
        <f aca="false">IF($B55="",0,SUMIFS('Zoho Dump'!$X$8:$X$3007,'Zoho Dump'!$N$8:$N$3007,$B55,'Zoho Dump'!$P$8:$P$3007,Settings!$A$15)+SUMIFS(Adjustments!$K$8:$K$207,Adjustments!$B$8:$B$207,$B55,Adjustments!$A$8:$A$207,Settings!$A$15))</f>
        <v>0</v>
      </c>
      <c r="O55" s="17" t="n">
        <f aca="false">IF($B55="",0,SUMIFS('Zoho Dump'!$X$8:$X$3007,'Zoho Dump'!$N$8:$N$3007,$B55,'Zoho Dump'!$P$8:$P$3007,Settings!$A$16)+SUMIFS(Adjustments!$K$8:$K$207,Adjustments!$B$8:$B$207,$B55,Adjustments!$A$8:$A$207,Settings!$A$16))</f>
        <v>0</v>
      </c>
      <c r="P55" s="17" t="n">
        <f aca="false">IF($B55="",0,SUMIFS('Zoho Dump'!$X$8:$X$3007,'Zoho Dump'!$N$8:$N$3007,$B55,'Zoho Dump'!$P$8:$P$3007,Settings!$A$17)+SUMIFS(Adjustments!$K$8:$K$207,Adjustments!$B$8:$B$207,$B55,Adjustments!$A$8:$A$207,Settings!$A$17))</f>
        <v>0</v>
      </c>
      <c r="Q55" s="17" t="n">
        <f aca="false">IF($B55="",0,SUMIFS('Zoho Dump'!$X$8:$X$3007,'Zoho Dump'!$N$8:$N$3007,$B55,'Zoho Dump'!$P$8:$P$3007,Settings!$A$18)+SUMIFS(Adjustments!$K$8:$K$207,Adjustments!$B$8:$B$207,$B55,Adjustments!$A$8:$A$207,Settings!$A$18))</f>
        <v>0</v>
      </c>
      <c r="R55" s="30" t="str">
        <f aca="false">IF(G55&gt;0,G55+A55/10000000,"")</f>
        <v/>
      </c>
    </row>
    <row r="56" customFormat="false" ht="15" hidden="false" customHeight="false" outlineLevel="0" collapsed="false">
      <c r="A56" s="9" t="n">
        <v>52</v>
      </c>
      <c r="B56" s="9" t="str">
        <f aca="false">IFERROR(INDEX('Zoho Dump'!$N$8:$N$3007,MATCH(A56,'Zoho Dump'!$AB$8:$AB$3007,0)),"")</f>
        <v>Deloitte - Melbourne</v>
      </c>
      <c r="C56" s="17" t="n">
        <f aca="false">IF($B56="",0,SUMIFS('Zoho Dump'!$Q$8:$Q$3007,'Zoho Dump'!$N$8:$N$3007,$B56,'Zoho Dump'!$T$8:$T$3007,"Delivered",'Zoho Dump'!$R$8:$R$3007,"&gt;="&amp;Settings!$B$4))</f>
        <v>0</v>
      </c>
      <c r="D56" s="17" t="n">
        <f aca="false">IF($B56="",0,SUMIFS('Zoho Dump'!$X$8:$X$3007,'Zoho Dump'!$N$8:$N$3007,$B56,'Zoho Dump'!$T$8:$T$3007,"Backlog")+SUMIFS(Adjustments!$K$8:$K$207,Adjustments!$B$8:$B$207,$B56,Adjustments!$H$8:$H$207,"Backlog"))</f>
        <v>0</v>
      </c>
      <c r="E56" s="17" t="n">
        <f aca="false">IF($B56="",0,SUMIFS('Zoho Dump'!$Y$8:$Y$3007,'Zoho Dump'!$N$8:$N$3007,$B56,'Zoho Dump'!$T$8:$T$3007,"Pipeline")+SUMIFS(Adjustments!$L$8:$L$207,Adjustments!$B$8:$B$207,$B56,Adjustments!$H$8:$H$207,"Pipeline")+SUMIFS('Zoho Dump'!$Y$8:$Y$3007,'Zoho Dump'!$N$8:$N$3007,$B56,'Zoho Dump'!$T$8:$T$3007,"Overdue")+SUMIFS(Adjustments!$L$8:$L$207,Adjustments!$B$8:$B$207,$B56,Adjustments!$H$8:$H$207,"Overdue"))</f>
        <v>0</v>
      </c>
      <c r="F56" s="17" t="n">
        <f aca="false">IF($B56="",0,SUMIFS('Zoho Dump'!$X$8:$X$3007,'Zoho Dump'!$N$8:$N$3007,$B56,'Zoho Dump'!$T$8:$T$3007,"Pipeline")+SUMIFS(Adjustments!$K$8:$K$207,Adjustments!$B$8:$B$207,$B56,Adjustments!$H$8:$H$207,"Pipeline")+SUMIFS('Zoho Dump'!$X$8:$X$3007,'Zoho Dump'!$N$8:$N$3007,$B56,'Zoho Dump'!$T$8:$T$3007,"Overdue")+SUMIFS(Adjustments!$K$8:$K$207,Adjustments!$B$8:$B$207,$B56,Adjustments!$H$8:$H$207,"Overdue"))</f>
        <v>0</v>
      </c>
      <c r="G56" s="17" t="n">
        <f aca="false">D56+F56</f>
        <v>0</v>
      </c>
      <c r="H56" s="18" t="n">
        <f aca="false">IF(SUM($G$5:$G$404)=0,0,G56/SUM($G$5:$G$404))</f>
        <v>0</v>
      </c>
      <c r="I56" s="17" t="n">
        <f aca="false">IF($B56="",0,SUMIFS('Zoho Dump'!$Q$8:$Q$3007,'Zoho Dump'!$N$8:$N$3007,$B56,'Zoho Dump'!$T$8:$T$3007,"Lost",'Zoho Dump'!$R$8:$R$3007,"&gt;="&amp;Settings!$B$4))</f>
        <v>0</v>
      </c>
      <c r="J56" s="9" t="str">
        <f aca="false">IF($B56="","",IF(COUNTIF(Dashboard!$C$13:$C$22,$B56)&gt;0,"Yes",""))</f>
        <v/>
      </c>
      <c r="K56" s="17" t="n">
        <f aca="false">IF($B56="",0,SUMIFS('Zoho Dump'!$X$8:$X$3007,'Zoho Dump'!$N$8:$N$3007,$B56,'Zoho Dump'!$P$8:$P$3007,Settings!$A$12)+SUMIFS(Adjustments!$K$8:$K$207,Adjustments!$B$8:$B$207,$B56,Adjustments!$A$8:$A$207,Settings!$A$12))</f>
        <v>0</v>
      </c>
      <c r="L56" s="17" t="n">
        <f aca="false">IF($B56="",0,SUMIFS('Zoho Dump'!$X$8:$X$3007,'Zoho Dump'!$N$8:$N$3007,$B56,'Zoho Dump'!$P$8:$P$3007,Settings!$A$13)+SUMIFS(Adjustments!$K$8:$K$207,Adjustments!$B$8:$B$207,$B56,Adjustments!$A$8:$A$207,Settings!$A$13))</f>
        <v>0</v>
      </c>
      <c r="M56" s="17" t="n">
        <f aca="false">IF($B56="",0,SUMIFS('Zoho Dump'!$X$8:$X$3007,'Zoho Dump'!$N$8:$N$3007,$B56,'Zoho Dump'!$P$8:$P$3007,Settings!$A$14)+SUMIFS(Adjustments!$K$8:$K$207,Adjustments!$B$8:$B$207,$B56,Adjustments!$A$8:$A$207,Settings!$A$14))</f>
        <v>0</v>
      </c>
      <c r="N56" s="17" t="n">
        <f aca="false">IF($B56="",0,SUMIFS('Zoho Dump'!$X$8:$X$3007,'Zoho Dump'!$N$8:$N$3007,$B56,'Zoho Dump'!$P$8:$P$3007,Settings!$A$15)+SUMIFS(Adjustments!$K$8:$K$207,Adjustments!$B$8:$B$207,$B56,Adjustments!$A$8:$A$207,Settings!$A$15))</f>
        <v>0</v>
      </c>
      <c r="O56" s="17" t="n">
        <f aca="false">IF($B56="",0,SUMIFS('Zoho Dump'!$X$8:$X$3007,'Zoho Dump'!$N$8:$N$3007,$B56,'Zoho Dump'!$P$8:$P$3007,Settings!$A$16)+SUMIFS(Adjustments!$K$8:$K$207,Adjustments!$B$8:$B$207,$B56,Adjustments!$A$8:$A$207,Settings!$A$16))</f>
        <v>0</v>
      </c>
      <c r="P56" s="17" t="n">
        <f aca="false">IF($B56="",0,SUMIFS('Zoho Dump'!$X$8:$X$3007,'Zoho Dump'!$N$8:$N$3007,$B56,'Zoho Dump'!$P$8:$P$3007,Settings!$A$17)+SUMIFS(Adjustments!$K$8:$K$207,Adjustments!$B$8:$B$207,$B56,Adjustments!$A$8:$A$207,Settings!$A$17))</f>
        <v>0</v>
      </c>
      <c r="Q56" s="17" t="n">
        <f aca="false">IF($B56="",0,SUMIFS('Zoho Dump'!$X$8:$X$3007,'Zoho Dump'!$N$8:$N$3007,$B56,'Zoho Dump'!$P$8:$P$3007,Settings!$A$18)+SUMIFS(Adjustments!$K$8:$K$207,Adjustments!$B$8:$B$207,$B56,Adjustments!$A$8:$A$207,Settings!$A$18))</f>
        <v>0</v>
      </c>
      <c r="R56" s="30" t="str">
        <f aca="false">IF(G56&gt;0,G56+A56/10000000,"")</f>
        <v/>
      </c>
    </row>
    <row r="57" customFormat="false" ht="15" hidden="false" customHeight="false" outlineLevel="0" collapsed="false">
      <c r="A57" s="9" t="n">
        <v>53</v>
      </c>
      <c r="B57" s="9" t="str">
        <f aca="false">IFERROR(INDEX('Zoho Dump'!$N$8:$N$3007,MATCH(A57,'Zoho Dump'!$AB$8:$AB$3007,0)),"")</f>
        <v>Ai-Media</v>
      </c>
      <c r="C57" s="17" t="n">
        <f aca="false">IF($B57="",0,SUMIFS('Zoho Dump'!$Q$8:$Q$3007,'Zoho Dump'!$N$8:$N$3007,$B57,'Zoho Dump'!$T$8:$T$3007,"Delivered",'Zoho Dump'!$R$8:$R$3007,"&gt;="&amp;Settings!$B$4))</f>
        <v>0</v>
      </c>
      <c r="D57" s="17" t="n">
        <f aca="false">IF($B57="",0,SUMIFS('Zoho Dump'!$X$8:$X$3007,'Zoho Dump'!$N$8:$N$3007,$B57,'Zoho Dump'!$T$8:$T$3007,"Backlog")+SUMIFS(Adjustments!$K$8:$K$207,Adjustments!$B$8:$B$207,$B57,Adjustments!$H$8:$H$207,"Backlog"))</f>
        <v>0</v>
      </c>
      <c r="E57" s="17" t="n">
        <f aca="false">IF($B57="",0,SUMIFS('Zoho Dump'!$Y$8:$Y$3007,'Zoho Dump'!$N$8:$N$3007,$B57,'Zoho Dump'!$T$8:$T$3007,"Pipeline")+SUMIFS(Adjustments!$L$8:$L$207,Adjustments!$B$8:$B$207,$B57,Adjustments!$H$8:$H$207,"Pipeline")+SUMIFS('Zoho Dump'!$Y$8:$Y$3007,'Zoho Dump'!$N$8:$N$3007,$B57,'Zoho Dump'!$T$8:$T$3007,"Overdue")+SUMIFS(Adjustments!$L$8:$L$207,Adjustments!$B$8:$B$207,$B57,Adjustments!$H$8:$H$207,"Overdue"))</f>
        <v>0</v>
      </c>
      <c r="F57" s="17" t="n">
        <f aca="false">IF($B57="",0,SUMIFS('Zoho Dump'!$X$8:$X$3007,'Zoho Dump'!$N$8:$N$3007,$B57,'Zoho Dump'!$T$8:$T$3007,"Pipeline")+SUMIFS(Adjustments!$K$8:$K$207,Adjustments!$B$8:$B$207,$B57,Adjustments!$H$8:$H$207,"Pipeline")+SUMIFS('Zoho Dump'!$X$8:$X$3007,'Zoho Dump'!$N$8:$N$3007,$B57,'Zoho Dump'!$T$8:$T$3007,"Overdue")+SUMIFS(Adjustments!$K$8:$K$207,Adjustments!$B$8:$B$207,$B57,Adjustments!$H$8:$H$207,"Overdue"))</f>
        <v>0</v>
      </c>
      <c r="G57" s="17" t="n">
        <f aca="false">D57+F57</f>
        <v>0</v>
      </c>
      <c r="H57" s="18" t="n">
        <f aca="false">IF(SUM($G$5:$G$404)=0,0,G57/SUM($G$5:$G$404))</f>
        <v>0</v>
      </c>
      <c r="I57" s="17" t="n">
        <f aca="false">IF($B57="",0,SUMIFS('Zoho Dump'!$Q$8:$Q$3007,'Zoho Dump'!$N$8:$N$3007,$B57,'Zoho Dump'!$T$8:$T$3007,"Lost",'Zoho Dump'!$R$8:$R$3007,"&gt;="&amp;Settings!$B$4))</f>
        <v>0</v>
      </c>
      <c r="J57" s="9" t="str">
        <f aca="false">IF($B57="","",IF(COUNTIF(Dashboard!$C$13:$C$22,$B57)&gt;0,"Yes",""))</f>
        <v/>
      </c>
      <c r="K57" s="17" t="n">
        <f aca="false">IF($B57="",0,SUMIFS('Zoho Dump'!$X$8:$X$3007,'Zoho Dump'!$N$8:$N$3007,$B57,'Zoho Dump'!$P$8:$P$3007,Settings!$A$12)+SUMIFS(Adjustments!$K$8:$K$207,Adjustments!$B$8:$B$207,$B57,Adjustments!$A$8:$A$207,Settings!$A$12))</f>
        <v>0</v>
      </c>
      <c r="L57" s="17" t="n">
        <f aca="false">IF($B57="",0,SUMIFS('Zoho Dump'!$X$8:$X$3007,'Zoho Dump'!$N$8:$N$3007,$B57,'Zoho Dump'!$P$8:$P$3007,Settings!$A$13)+SUMIFS(Adjustments!$K$8:$K$207,Adjustments!$B$8:$B$207,$B57,Adjustments!$A$8:$A$207,Settings!$A$13))</f>
        <v>0</v>
      </c>
      <c r="M57" s="17" t="n">
        <f aca="false">IF($B57="",0,SUMIFS('Zoho Dump'!$X$8:$X$3007,'Zoho Dump'!$N$8:$N$3007,$B57,'Zoho Dump'!$P$8:$P$3007,Settings!$A$14)+SUMIFS(Adjustments!$K$8:$K$207,Adjustments!$B$8:$B$207,$B57,Adjustments!$A$8:$A$207,Settings!$A$14))</f>
        <v>0</v>
      </c>
      <c r="N57" s="17" t="n">
        <f aca="false">IF($B57="",0,SUMIFS('Zoho Dump'!$X$8:$X$3007,'Zoho Dump'!$N$8:$N$3007,$B57,'Zoho Dump'!$P$8:$P$3007,Settings!$A$15)+SUMIFS(Adjustments!$K$8:$K$207,Adjustments!$B$8:$B$207,$B57,Adjustments!$A$8:$A$207,Settings!$A$15))</f>
        <v>0</v>
      </c>
      <c r="O57" s="17" t="n">
        <f aca="false">IF($B57="",0,SUMIFS('Zoho Dump'!$X$8:$X$3007,'Zoho Dump'!$N$8:$N$3007,$B57,'Zoho Dump'!$P$8:$P$3007,Settings!$A$16)+SUMIFS(Adjustments!$K$8:$K$207,Adjustments!$B$8:$B$207,$B57,Adjustments!$A$8:$A$207,Settings!$A$16))</f>
        <v>0</v>
      </c>
      <c r="P57" s="17" t="n">
        <f aca="false">IF($B57="",0,SUMIFS('Zoho Dump'!$X$8:$X$3007,'Zoho Dump'!$N$8:$N$3007,$B57,'Zoho Dump'!$P$8:$P$3007,Settings!$A$17)+SUMIFS(Adjustments!$K$8:$K$207,Adjustments!$B$8:$B$207,$B57,Adjustments!$A$8:$A$207,Settings!$A$17))</f>
        <v>0</v>
      </c>
      <c r="Q57" s="17" t="n">
        <f aca="false">IF($B57="",0,SUMIFS('Zoho Dump'!$X$8:$X$3007,'Zoho Dump'!$N$8:$N$3007,$B57,'Zoho Dump'!$P$8:$P$3007,Settings!$A$18)+SUMIFS(Adjustments!$K$8:$K$207,Adjustments!$B$8:$B$207,$B57,Adjustments!$A$8:$A$207,Settings!$A$18))</f>
        <v>0</v>
      </c>
      <c r="R57" s="30" t="str">
        <f aca="false">IF(G57&gt;0,G57+A57/10000000,"")</f>
        <v/>
      </c>
    </row>
    <row r="58" customFormat="false" ht="15" hidden="false" customHeight="false" outlineLevel="0" collapsed="false">
      <c r="A58" s="9" t="n">
        <v>54</v>
      </c>
      <c r="B58" s="9" t="str">
        <f aca="false">IFERROR(INDEX('Zoho Dump'!$N$8:$N$3007,MATCH(A58,'Zoho Dump'!$AB$8:$AB$3007,0)),"")</f>
        <v>Corporate Technology Services</v>
      </c>
      <c r="C58" s="17" t="n">
        <f aca="false">IF($B58="",0,SUMIFS('Zoho Dump'!$Q$8:$Q$3007,'Zoho Dump'!$N$8:$N$3007,$B58,'Zoho Dump'!$T$8:$T$3007,"Delivered",'Zoho Dump'!$R$8:$R$3007,"&gt;="&amp;Settings!$B$4))</f>
        <v>0</v>
      </c>
      <c r="D58" s="17" t="n">
        <f aca="false">IF($B58="",0,SUMIFS('Zoho Dump'!$X$8:$X$3007,'Zoho Dump'!$N$8:$N$3007,$B58,'Zoho Dump'!$T$8:$T$3007,"Backlog")+SUMIFS(Adjustments!$K$8:$K$207,Adjustments!$B$8:$B$207,$B58,Adjustments!$H$8:$H$207,"Backlog"))</f>
        <v>0</v>
      </c>
      <c r="E58" s="17" t="n">
        <f aca="false">IF($B58="",0,SUMIFS('Zoho Dump'!$Y$8:$Y$3007,'Zoho Dump'!$N$8:$N$3007,$B58,'Zoho Dump'!$T$8:$T$3007,"Pipeline")+SUMIFS(Adjustments!$L$8:$L$207,Adjustments!$B$8:$B$207,$B58,Adjustments!$H$8:$H$207,"Pipeline")+SUMIFS('Zoho Dump'!$Y$8:$Y$3007,'Zoho Dump'!$N$8:$N$3007,$B58,'Zoho Dump'!$T$8:$T$3007,"Overdue")+SUMIFS(Adjustments!$L$8:$L$207,Adjustments!$B$8:$B$207,$B58,Adjustments!$H$8:$H$207,"Overdue"))</f>
        <v>0</v>
      </c>
      <c r="F58" s="17" t="n">
        <f aca="false">IF($B58="",0,SUMIFS('Zoho Dump'!$X$8:$X$3007,'Zoho Dump'!$N$8:$N$3007,$B58,'Zoho Dump'!$T$8:$T$3007,"Pipeline")+SUMIFS(Adjustments!$K$8:$K$207,Adjustments!$B$8:$B$207,$B58,Adjustments!$H$8:$H$207,"Pipeline")+SUMIFS('Zoho Dump'!$X$8:$X$3007,'Zoho Dump'!$N$8:$N$3007,$B58,'Zoho Dump'!$T$8:$T$3007,"Overdue")+SUMIFS(Adjustments!$K$8:$K$207,Adjustments!$B$8:$B$207,$B58,Adjustments!$H$8:$H$207,"Overdue"))</f>
        <v>0</v>
      </c>
      <c r="G58" s="17" t="n">
        <f aca="false">D58+F58</f>
        <v>0</v>
      </c>
      <c r="H58" s="18" t="n">
        <f aca="false">IF(SUM($G$5:$G$404)=0,0,G58/SUM($G$5:$G$404))</f>
        <v>0</v>
      </c>
      <c r="I58" s="17" t="n">
        <f aca="false">IF($B58="",0,SUMIFS('Zoho Dump'!$Q$8:$Q$3007,'Zoho Dump'!$N$8:$N$3007,$B58,'Zoho Dump'!$T$8:$T$3007,"Lost",'Zoho Dump'!$R$8:$R$3007,"&gt;="&amp;Settings!$B$4))</f>
        <v>0</v>
      </c>
      <c r="J58" s="9" t="str">
        <f aca="false">IF($B58="","",IF(COUNTIF(Dashboard!$C$13:$C$22,$B58)&gt;0,"Yes",""))</f>
        <v/>
      </c>
      <c r="K58" s="17" t="n">
        <f aca="false">IF($B58="",0,SUMIFS('Zoho Dump'!$X$8:$X$3007,'Zoho Dump'!$N$8:$N$3007,$B58,'Zoho Dump'!$P$8:$P$3007,Settings!$A$12)+SUMIFS(Adjustments!$K$8:$K$207,Adjustments!$B$8:$B$207,$B58,Adjustments!$A$8:$A$207,Settings!$A$12))</f>
        <v>0</v>
      </c>
      <c r="L58" s="17" t="n">
        <f aca="false">IF($B58="",0,SUMIFS('Zoho Dump'!$X$8:$X$3007,'Zoho Dump'!$N$8:$N$3007,$B58,'Zoho Dump'!$P$8:$P$3007,Settings!$A$13)+SUMIFS(Adjustments!$K$8:$K$207,Adjustments!$B$8:$B$207,$B58,Adjustments!$A$8:$A$207,Settings!$A$13))</f>
        <v>0</v>
      </c>
      <c r="M58" s="17" t="n">
        <f aca="false">IF($B58="",0,SUMIFS('Zoho Dump'!$X$8:$X$3007,'Zoho Dump'!$N$8:$N$3007,$B58,'Zoho Dump'!$P$8:$P$3007,Settings!$A$14)+SUMIFS(Adjustments!$K$8:$K$207,Adjustments!$B$8:$B$207,$B58,Adjustments!$A$8:$A$207,Settings!$A$14))</f>
        <v>0</v>
      </c>
      <c r="N58" s="17" t="n">
        <f aca="false">IF($B58="",0,SUMIFS('Zoho Dump'!$X$8:$X$3007,'Zoho Dump'!$N$8:$N$3007,$B58,'Zoho Dump'!$P$8:$P$3007,Settings!$A$15)+SUMIFS(Adjustments!$K$8:$K$207,Adjustments!$B$8:$B$207,$B58,Adjustments!$A$8:$A$207,Settings!$A$15))</f>
        <v>0</v>
      </c>
      <c r="O58" s="17" t="n">
        <f aca="false">IF($B58="",0,SUMIFS('Zoho Dump'!$X$8:$X$3007,'Zoho Dump'!$N$8:$N$3007,$B58,'Zoho Dump'!$P$8:$P$3007,Settings!$A$16)+SUMIFS(Adjustments!$K$8:$K$207,Adjustments!$B$8:$B$207,$B58,Adjustments!$A$8:$A$207,Settings!$A$16))</f>
        <v>0</v>
      </c>
      <c r="P58" s="17" t="n">
        <f aca="false">IF($B58="",0,SUMIFS('Zoho Dump'!$X$8:$X$3007,'Zoho Dump'!$N$8:$N$3007,$B58,'Zoho Dump'!$P$8:$P$3007,Settings!$A$17)+SUMIFS(Adjustments!$K$8:$K$207,Adjustments!$B$8:$B$207,$B58,Adjustments!$A$8:$A$207,Settings!$A$17))</f>
        <v>0</v>
      </c>
      <c r="Q58" s="17" t="n">
        <f aca="false">IF($B58="",0,SUMIFS('Zoho Dump'!$X$8:$X$3007,'Zoho Dump'!$N$8:$N$3007,$B58,'Zoho Dump'!$P$8:$P$3007,Settings!$A$18)+SUMIFS(Adjustments!$K$8:$K$207,Adjustments!$B$8:$B$207,$B58,Adjustments!$A$8:$A$207,Settings!$A$18))</f>
        <v>0</v>
      </c>
      <c r="R58" s="30" t="str">
        <f aca="false">IF(G58&gt;0,G58+A58/10000000,"")</f>
        <v/>
      </c>
    </row>
    <row r="59" customFormat="false" ht="15" hidden="false" customHeight="false" outlineLevel="0" collapsed="false">
      <c r="A59" s="9" t="n">
        <v>55</v>
      </c>
      <c r="B59" s="9" t="str">
        <f aca="false">IFERROR(INDEX('Zoho Dump'!$N$8:$N$3007,MATCH(A59,'Zoho Dump'!$AB$8:$AB$3007,0)),"")</f>
        <v>touchpoint</v>
      </c>
      <c r="C59" s="17" t="n">
        <f aca="false">IF($B59="",0,SUMIFS('Zoho Dump'!$Q$8:$Q$3007,'Zoho Dump'!$N$8:$N$3007,$B59,'Zoho Dump'!$T$8:$T$3007,"Delivered",'Zoho Dump'!$R$8:$R$3007,"&gt;="&amp;Settings!$B$4))</f>
        <v>0</v>
      </c>
      <c r="D59" s="17" t="n">
        <f aca="false">IF($B59="",0,SUMIFS('Zoho Dump'!$X$8:$X$3007,'Zoho Dump'!$N$8:$N$3007,$B59,'Zoho Dump'!$T$8:$T$3007,"Backlog")+SUMIFS(Adjustments!$K$8:$K$207,Adjustments!$B$8:$B$207,$B59,Adjustments!$H$8:$H$207,"Backlog"))</f>
        <v>0</v>
      </c>
      <c r="E59" s="17" t="n">
        <f aca="false">IF($B59="",0,SUMIFS('Zoho Dump'!$Y$8:$Y$3007,'Zoho Dump'!$N$8:$N$3007,$B59,'Zoho Dump'!$T$8:$T$3007,"Pipeline")+SUMIFS(Adjustments!$L$8:$L$207,Adjustments!$B$8:$B$207,$B59,Adjustments!$H$8:$H$207,"Pipeline")+SUMIFS('Zoho Dump'!$Y$8:$Y$3007,'Zoho Dump'!$N$8:$N$3007,$B59,'Zoho Dump'!$T$8:$T$3007,"Overdue")+SUMIFS(Adjustments!$L$8:$L$207,Adjustments!$B$8:$B$207,$B59,Adjustments!$H$8:$H$207,"Overdue"))</f>
        <v>0</v>
      </c>
      <c r="F59" s="17" t="n">
        <f aca="false">IF($B59="",0,SUMIFS('Zoho Dump'!$X$8:$X$3007,'Zoho Dump'!$N$8:$N$3007,$B59,'Zoho Dump'!$T$8:$T$3007,"Pipeline")+SUMIFS(Adjustments!$K$8:$K$207,Adjustments!$B$8:$B$207,$B59,Adjustments!$H$8:$H$207,"Pipeline")+SUMIFS('Zoho Dump'!$X$8:$X$3007,'Zoho Dump'!$N$8:$N$3007,$B59,'Zoho Dump'!$T$8:$T$3007,"Overdue")+SUMIFS(Adjustments!$K$8:$K$207,Adjustments!$B$8:$B$207,$B59,Adjustments!$H$8:$H$207,"Overdue"))</f>
        <v>0</v>
      </c>
      <c r="G59" s="17" t="n">
        <f aca="false">D59+F59</f>
        <v>0</v>
      </c>
      <c r="H59" s="18" t="n">
        <f aca="false">IF(SUM($G$5:$G$404)=0,0,G59/SUM($G$5:$G$404))</f>
        <v>0</v>
      </c>
      <c r="I59" s="17" t="n">
        <f aca="false">IF($B59="",0,SUMIFS('Zoho Dump'!$Q$8:$Q$3007,'Zoho Dump'!$N$8:$N$3007,$B59,'Zoho Dump'!$T$8:$T$3007,"Lost",'Zoho Dump'!$R$8:$R$3007,"&gt;="&amp;Settings!$B$4))</f>
        <v>0</v>
      </c>
      <c r="J59" s="9" t="str">
        <f aca="false">IF($B59="","",IF(COUNTIF(Dashboard!$C$13:$C$22,$B59)&gt;0,"Yes",""))</f>
        <v/>
      </c>
      <c r="K59" s="17" t="n">
        <f aca="false">IF($B59="",0,SUMIFS('Zoho Dump'!$X$8:$X$3007,'Zoho Dump'!$N$8:$N$3007,$B59,'Zoho Dump'!$P$8:$P$3007,Settings!$A$12)+SUMIFS(Adjustments!$K$8:$K$207,Adjustments!$B$8:$B$207,$B59,Adjustments!$A$8:$A$207,Settings!$A$12))</f>
        <v>0</v>
      </c>
      <c r="L59" s="17" t="n">
        <f aca="false">IF($B59="",0,SUMIFS('Zoho Dump'!$X$8:$X$3007,'Zoho Dump'!$N$8:$N$3007,$B59,'Zoho Dump'!$P$8:$P$3007,Settings!$A$13)+SUMIFS(Adjustments!$K$8:$K$207,Adjustments!$B$8:$B$207,$B59,Adjustments!$A$8:$A$207,Settings!$A$13))</f>
        <v>0</v>
      </c>
      <c r="M59" s="17" t="n">
        <f aca="false">IF($B59="",0,SUMIFS('Zoho Dump'!$X$8:$X$3007,'Zoho Dump'!$N$8:$N$3007,$B59,'Zoho Dump'!$P$8:$P$3007,Settings!$A$14)+SUMIFS(Adjustments!$K$8:$K$207,Adjustments!$B$8:$B$207,$B59,Adjustments!$A$8:$A$207,Settings!$A$14))</f>
        <v>0</v>
      </c>
      <c r="N59" s="17" t="n">
        <f aca="false">IF($B59="",0,SUMIFS('Zoho Dump'!$X$8:$X$3007,'Zoho Dump'!$N$8:$N$3007,$B59,'Zoho Dump'!$P$8:$P$3007,Settings!$A$15)+SUMIFS(Adjustments!$K$8:$K$207,Adjustments!$B$8:$B$207,$B59,Adjustments!$A$8:$A$207,Settings!$A$15))</f>
        <v>0</v>
      </c>
      <c r="O59" s="17" t="n">
        <f aca="false">IF($B59="",0,SUMIFS('Zoho Dump'!$X$8:$X$3007,'Zoho Dump'!$N$8:$N$3007,$B59,'Zoho Dump'!$P$8:$P$3007,Settings!$A$16)+SUMIFS(Adjustments!$K$8:$K$207,Adjustments!$B$8:$B$207,$B59,Adjustments!$A$8:$A$207,Settings!$A$16))</f>
        <v>0</v>
      </c>
      <c r="P59" s="17" t="n">
        <f aca="false">IF($B59="",0,SUMIFS('Zoho Dump'!$X$8:$X$3007,'Zoho Dump'!$N$8:$N$3007,$B59,'Zoho Dump'!$P$8:$P$3007,Settings!$A$17)+SUMIFS(Adjustments!$K$8:$K$207,Adjustments!$B$8:$B$207,$B59,Adjustments!$A$8:$A$207,Settings!$A$17))</f>
        <v>0</v>
      </c>
      <c r="Q59" s="17" t="n">
        <f aca="false">IF($B59="",0,SUMIFS('Zoho Dump'!$X$8:$X$3007,'Zoho Dump'!$N$8:$N$3007,$B59,'Zoho Dump'!$P$8:$P$3007,Settings!$A$18)+SUMIFS(Adjustments!$K$8:$K$207,Adjustments!$B$8:$B$207,$B59,Adjustments!$A$8:$A$207,Settings!$A$18))</f>
        <v>0</v>
      </c>
      <c r="R59" s="30" t="str">
        <f aca="false">IF(G59&gt;0,G59+A59/10000000,"")</f>
        <v/>
      </c>
    </row>
    <row r="60" customFormat="false" ht="15" hidden="false" customHeight="false" outlineLevel="0" collapsed="false">
      <c r="A60" s="9" t="n">
        <v>56</v>
      </c>
      <c r="B60" s="9" t="str">
        <f aca="false">IFERROR(INDEX('Zoho Dump'!$N$8:$N$3007,MATCH(A60,'Zoho Dump'!$AB$8:$AB$3007,0)),"")</f>
        <v>University of Wollongong</v>
      </c>
      <c r="C60" s="17" t="n">
        <f aca="false">IF($B60="",0,SUMIFS('Zoho Dump'!$Q$8:$Q$3007,'Zoho Dump'!$N$8:$N$3007,$B60,'Zoho Dump'!$T$8:$T$3007,"Delivered",'Zoho Dump'!$R$8:$R$3007,"&gt;="&amp;Settings!$B$4))</f>
        <v>0</v>
      </c>
      <c r="D60" s="17" t="n">
        <f aca="false">IF($B60="",0,SUMIFS('Zoho Dump'!$X$8:$X$3007,'Zoho Dump'!$N$8:$N$3007,$B60,'Zoho Dump'!$T$8:$T$3007,"Backlog")+SUMIFS(Adjustments!$K$8:$K$207,Adjustments!$B$8:$B$207,$B60,Adjustments!$H$8:$H$207,"Backlog"))</f>
        <v>0</v>
      </c>
      <c r="E60" s="17" t="n">
        <f aca="false">IF($B60="",0,SUMIFS('Zoho Dump'!$Y$8:$Y$3007,'Zoho Dump'!$N$8:$N$3007,$B60,'Zoho Dump'!$T$8:$T$3007,"Pipeline")+SUMIFS(Adjustments!$L$8:$L$207,Adjustments!$B$8:$B$207,$B60,Adjustments!$H$8:$H$207,"Pipeline")+SUMIFS('Zoho Dump'!$Y$8:$Y$3007,'Zoho Dump'!$N$8:$N$3007,$B60,'Zoho Dump'!$T$8:$T$3007,"Overdue")+SUMIFS(Adjustments!$L$8:$L$207,Adjustments!$B$8:$B$207,$B60,Adjustments!$H$8:$H$207,"Overdue"))</f>
        <v>0</v>
      </c>
      <c r="F60" s="17" t="n">
        <f aca="false">IF($B60="",0,SUMIFS('Zoho Dump'!$X$8:$X$3007,'Zoho Dump'!$N$8:$N$3007,$B60,'Zoho Dump'!$T$8:$T$3007,"Pipeline")+SUMIFS(Adjustments!$K$8:$K$207,Adjustments!$B$8:$B$207,$B60,Adjustments!$H$8:$H$207,"Pipeline")+SUMIFS('Zoho Dump'!$X$8:$X$3007,'Zoho Dump'!$N$8:$N$3007,$B60,'Zoho Dump'!$T$8:$T$3007,"Overdue")+SUMIFS(Adjustments!$K$8:$K$207,Adjustments!$B$8:$B$207,$B60,Adjustments!$H$8:$H$207,"Overdue"))</f>
        <v>0</v>
      </c>
      <c r="G60" s="17" t="n">
        <f aca="false">D60+F60</f>
        <v>0</v>
      </c>
      <c r="H60" s="18" t="n">
        <f aca="false">IF(SUM($G$5:$G$404)=0,0,G60/SUM($G$5:$G$404))</f>
        <v>0</v>
      </c>
      <c r="I60" s="17" t="n">
        <f aca="false">IF($B60="",0,SUMIFS('Zoho Dump'!$Q$8:$Q$3007,'Zoho Dump'!$N$8:$N$3007,$B60,'Zoho Dump'!$T$8:$T$3007,"Lost",'Zoho Dump'!$R$8:$R$3007,"&gt;="&amp;Settings!$B$4))</f>
        <v>0</v>
      </c>
      <c r="J60" s="9" t="str">
        <f aca="false">IF($B60="","",IF(COUNTIF(Dashboard!$C$13:$C$22,$B60)&gt;0,"Yes",""))</f>
        <v/>
      </c>
      <c r="K60" s="17" t="n">
        <f aca="false">IF($B60="",0,SUMIFS('Zoho Dump'!$X$8:$X$3007,'Zoho Dump'!$N$8:$N$3007,$B60,'Zoho Dump'!$P$8:$P$3007,Settings!$A$12)+SUMIFS(Adjustments!$K$8:$K$207,Adjustments!$B$8:$B$207,$B60,Adjustments!$A$8:$A$207,Settings!$A$12))</f>
        <v>0</v>
      </c>
      <c r="L60" s="17" t="n">
        <f aca="false">IF($B60="",0,SUMIFS('Zoho Dump'!$X$8:$X$3007,'Zoho Dump'!$N$8:$N$3007,$B60,'Zoho Dump'!$P$8:$P$3007,Settings!$A$13)+SUMIFS(Adjustments!$K$8:$K$207,Adjustments!$B$8:$B$207,$B60,Adjustments!$A$8:$A$207,Settings!$A$13))</f>
        <v>0</v>
      </c>
      <c r="M60" s="17" t="n">
        <f aca="false">IF($B60="",0,SUMIFS('Zoho Dump'!$X$8:$X$3007,'Zoho Dump'!$N$8:$N$3007,$B60,'Zoho Dump'!$P$8:$P$3007,Settings!$A$14)+SUMIFS(Adjustments!$K$8:$K$207,Adjustments!$B$8:$B$207,$B60,Adjustments!$A$8:$A$207,Settings!$A$14))</f>
        <v>0</v>
      </c>
      <c r="N60" s="17" t="n">
        <f aca="false">IF($B60="",0,SUMIFS('Zoho Dump'!$X$8:$X$3007,'Zoho Dump'!$N$8:$N$3007,$B60,'Zoho Dump'!$P$8:$P$3007,Settings!$A$15)+SUMIFS(Adjustments!$K$8:$K$207,Adjustments!$B$8:$B$207,$B60,Adjustments!$A$8:$A$207,Settings!$A$15))</f>
        <v>0</v>
      </c>
      <c r="O60" s="17" t="n">
        <f aca="false">IF($B60="",0,SUMIFS('Zoho Dump'!$X$8:$X$3007,'Zoho Dump'!$N$8:$N$3007,$B60,'Zoho Dump'!$P$8:$P$3007,Settings!$A$16)+SUMIFS(Adjustments!$K$8:$K$207,Adjustments!$B$8:$B$207,$B60,Adjustments!$A$8:$A$207,Settings!$A$16))</f>
        <v>0</v>
      </c>
      <c r="P60" s="17" t="n">
        <f aca="false">IF($B60="",0,SUMIFS('Zoho Dump'!$X$8:$X$3007,'Zoho Dump'!$N$8:$N$3007,$B60,'Zoho Dump'!$P$8:$P$3007,Settings!$A$17)+SUMIFS(Adjustments!$K$8:$K$207,Adjustments!$B$8:$B$207,$B60,Adjustments!$A$8:$A$207,Settings!$A$17))</f>
        <v>0</v>
      </c>
      <c r="Q60" s="17" t="n">
        <f aca="false">IF($B60="",0,SUMIFS('Zoho Dump'!$X$8:$X$3007,'Zoho Dump'!$N$8:$N$3007,$B60,'Zoho Dump'!$P$8:$P$3007,Settings!$A$18)+SUMIFS(Adjustments!$K$8:$K$207,Adjustments!$B$8:$B$207,$B60,Adjustments!$A$8:$A$207,Settings!$A$18))</f>
        <v>0</v>
      </c>
      <c r="R60" s="30" t="str">
        <f aca="false">IF(G60&gt;0,G60+A60/10000000,"")</f>
        <v/>
      </c>
    </row>
    <row r="61" customFormat="false" ht="15" hidden="false" customHeight="false" outlineLevel="0" collapsed="false">
      <c r="A61" s="9" t="n">
        <v>57</v>
      </c>
      <c r="B61" s="9" t="str">
        <f aca="false">IFERROR(INDEX('Zoho Dump'!$N$8:$N$3007,MATCH(A61,'Zoho Dump'!$AB$8:$AB$3007,0)),"")</f>
        <v>Meet Magic</v>
      </c>
      <c r="C61" s="17" t="n">
        <f aca="false">IF($B61="",0,SUMIFS('Zoho Dump'!$Q$8:$Q$3007,'Zoho Dump'!$N$8:$N$3007,$B61,'Zoho Dump'!$T$8:$T$3007,"Delivered",'Zoho Dump'!$R$8:$R$3007,"&gt;="&amp;Settings!$B$4))</f>
        <v>0</v>
      </c>
      <c r="D61" s="17" t="n">
        <f aca="false">IF($B61="",0,SUMIFS('Zoho Dump'!$X$8:$X$3007,'Zoho Dump'!$N$8:$N$3007,$B61,'Zoho Dump'!$T$8:$T$3007,"Backlog")+SUMIFS(Adjustments!$K$8:$K$207,Adjustments!$B$8:$B$207,$B61,Adjustments!$H$8:$H$207,"Backlog"))</f>
        <v>0</v>
      </c>
      <c r="E61" s="17" t="n">
        <f aca="false">IF($B61="",0,SUMIFS('Zoho Dump'!$Y$8:$Y$3007,'Zoho Dump'!$N$8:$N$3007,$B61,'Zoho Dump'!$T$8:$T$3007,"Pipeline")+SUMIFS(Adjustments!$L$8:$L$207,Adjustments!$B$8:$B$207,$B61,Adjustments!$H$8:$H$207,"Pipeline")+SUMIFS('Zoho Dump'!$Y$8:$Y$3007,'Zoho Dump'!$N$8:$N$3007,$B61,'Zoho Dump'!$T$8:$T$3007,"Overdue")+SUMIFS(Adjustments!$L$8:$L$207,Adjustments!$B$8:$B$207,$B61,Adjustments!$H$8:$H$207,"Overdue"))</f>
        <v>0</v>
      </c>
      <c r="F61" s="17" t="n">
        <f aca="false">IF($B61="",0,SUMIFS('Zoho Dump'!$X$8:$X$3007,'Zoho Dump'!$N$8:$N$3007,$B61,'Zoho Dump'!$T$8:$T$3007,"Pipeline")+SUMIFS(Adjustments!$K$8:$K$207,Adjustments!$B$8:$B$207,$B61,Adjustments!$H$8:$H$207,"Pipeline")+SUMIFS('Zoho Dump'!$X$8:$X$3007,'Zoho Dump'!$N$8:$N$3007,$B61,'Zoho Dump'!$T$8:$T$3007,"Overdue")+SUMIFS(Adjustments!$K$8:$K$207,Adjustments!$B$8:$B$207,$B61,Adjustments!$H$8:$H$207,"Overdue"))</f>
        <v>0</v>
      </c>
      <c r="G61" s="17" t="n">
        <f aca="false">D61+F61</f>
        <v>0</v>
      </c>
      <c r="H61" s="18" t="n">
        <f aca="false">IF(SUM($G$5:$G$404)=0,0,G61/SUM($G$5:$G$404))</f>
        <v>0</v>
      </c>
      <c r="I61" s="17" t="n">
        <f aca="false">IF($B61="",0,SUMIFS('Zoho Dump'!$Q$8:$Q$3007,'Zoho Dump'!$N$8:$N$3007,$B61,'Zoho Dump'!$T$8:$T$3007,"Lost",'Zoho Dump'!$R$8:$R$3007,"&gt;="&amp;Settings!$B$4))</f>
        <v>0</v>
      </c>
      <c r="J61" s="9" t="str">
        <f aca="false">IF($B61="","",IF(COUNTIF(Dashboard!$C$13:$C$22,$B61)&gt;0,"Yes",""))</f>
        <v/>
      </c>
      <c r="K61" s="17" t="n">
        <f aca="false">IF($B61="",0,SUMIFS('Zoho Dump'!$X$8:$X$3007,'Zoho Dump'!$N$8:$N$3007,$B61,'Zoho Dump'!$P$8:$P$3007,Settings!$A$12)+SUMIFS(Adjustments!$K$8:$K$207,Adjustments!$B$8:$B$207,$B61,Adjustments!$A$8:$A$207,Settings!$A$12))</f>
        <v>0</v>
      </c>
      <c r="L61" s="17" t="n">
        <f aca="false">IF($B61="",0,SUMIFS('Zoho Dump'!$X$8:$X$3007,'Zoho Dump'!$N$8:$N$3007,$B61,'Zoho Dump'!$P$8:$P$3007,Settings!$A$13)+SUMIFS(Adjustments!$K$8:$K$207,Adjustments!$B$8:$B$207,$B61,Adjustments!$A$8:$A$207,Settings!$A$13))</f>
        <v>0</v>
      </c>
      <c r="M61" s="17" t="n">
        <f aca="false">IF($B61="",0,SUMIFS('Zoho Dump'!$X$8:$X$3007,'Zoho Dump'!$N$8:$N$3007,$B61,'Zoho Dump'!$P$8:$P$3007,Settings!$A$14)+SUMIFS(Adjustments!$K$8:$K$207,Adjustments!$B$8:$B$207,$B61,Adjustments!$A$8:$A$207,Settings!$A$14))</f>
        <v>0</v>
      </c>
      <c r="N61" s="17" t="n">
        <f aca="false">IF($B61="",0,SUMIFS('Zoho Dump'!$X$8:$X$3007,'Zoho Dump'!$N$8:$N$3007,$B61,'Zoho Dump'!$P$8:$P$3007,Settings!$A$15)+SUMIFS(Adjustments!$K$8:$K$207,Adjustments!$B$8:$B$207,$B61,Adjustments!$A$8:$A$207,Settings!$A$15))</f>
        <v>0</v>
      </c>
      <c r="O61" s="17" t="n">
        <f aca="false">IF($B61="",0,SUMIFS('Zoho Dump'!$X$8:$X$3007,'Zoho Dump'!$N$8:$N$3007,$B61,'Zoho Dump'!$P$8:$P$3007,Settings!$A$16)+SUMIFS(Adjustments!$K$8:$K$207,Adjustments!$B$8:$B$207,$B61,Adjustments!$A$8:$A$207,Settings!$A$16))</f>
        <v>0</v>
      </c>
      <c r="P61" s="17" t="n">
        <f aca="false">IF($B61="",0,SUMIFS('Zoho Dump'!$X$8:$X$3007,'Zoho Dump'!$N$8:$N$3007,$B61,'Zoho Dump'!$P$8:$P$3007,Settings!$A$17)+SUMIFS(Adjustments!$K$8:$K$207,Adjustments!$B$8:$B$207,$B61,Adjustments!$A$8:$A$207,Settings!$A$17))</f>
        <v>0</v>
      </c>
      <c r="Q61" s="17" t="n">
        <f aca="false">IF($B61="",0,SUMIFS('Zoho Dump'!$X$8:$X$3007,'Zoho Dump'!$N$8:$N$3007,$B61,'Zoho Dump'!$P$8:$P$3007,Settings!$A$18)+SUMIFS(Adjustments!$K$8:$K$207,Adjustments!$B$8:$B$207,$B61,Adjustments!$A$8:$A$207,Settings!$A$18))</f>
        <v>0</v>
      </c>
      <c r="R61" s="30" t="str">
        <f aca="false">IF(G61&gt;0,G61+A61/10000000,"")</f>
        <v/>
      </c>
    </row>
    <row r="62" customFormat="false" ht="15" hidden="false" customHeight="false" outlineLevel="0" collapsed="false">
      <c r="A62" s="9" t="n">
        <v>58</v>
      </c>
      <c r="B62" s="9" t="str">
        <f aca="false">IFERROR(INDEX('Zoho Dump'!$N$8:$N$3007,MATCH(A62,'Zoho Dump'!$AB$8:$AB$3007,0)),"")</f>
        <v>Causeway Production Services</v>
      </c>
      <c r="C62" s="17" t="n">
        <f aca="false">IF($B62="",0,SUMIFS('Zoho Dump'!$Q$8:$Q$3007,'Zoho Dump'!$N$8:$N$3007,$B62,'Zoho Dump'!$T$8:$T$3007,"Delivered",'Zoho Dump'!$R$8:$R$3007,"&gt;="&amp;Settings!$B$4))</f>
        <v>0</v>
      </c>
      <c r="D62" s="17" t="n">
        <f aca="false">IF($B62="",0,SUMIFS('Zoho Dump'!$X$8:$X$3007,'Zoho Dump'!$N$8:$N$3007,$B62,'Zoho Dump'!$T$8:$T$3007,"Backlog")+SUMIFS(Adjustments!$K$8:$K$207,Adjustments!$B$8:$B$207,$B62,Adjustments!$H$8:$H$207,"Backlog"))</f>
        <v>0</v>
      </c>
      <c r="E62" s="17" t="n">
        <f aca="false">IF($B62="",0,SUMIFS('Zoho Dump'!$Y$8:$Y$3007,'Zoho Dump'!$N$8:$N$3007,$B62,'Zoho Dump'!$T$8:$T$3007,"Pipeline")+SUMIFS(Adjustments!$L$8:$L$207,Adjustments!$B$8:$B$207,$B62,Adjustments!$H$8:$H$207,"Pipeline")+SUMIFS('Zoho Dump'!$Y$8:$Y$3007,'Zoho Dump'!$N$8:$N$3007,$B62,'Zoho Dump'!$T$8:$T$3007,"Overdue")+SUMIFS(Adjustments!$L$8:$L$207,Adjustments!$B$8:$B$207,$B62,Adjustments!$H$8:$H$207,"Overdue"))</f>
        <v>0</v>
      </c>
      <c r="F62" s="17" t="n">
        <f aca="false">IF($B62="",0,SUMIFS('Zoho Dump'!$X$8:$X$3007,'Zoho Dump'!$N$8:$N$3007,$B62,'Zoho Dump'!$T$8:$T$3007,"Pipeline")+SUMIFS(Adjustments!$K$8:$K$207,Adjustments!$B$8:$B$207,$B62,Adjustments!$H$8:$H$207,"Pipeline")+SUMIFS('Zoho Dump'!$X$8:$X$3007,'Zoho Dump'!$N$8:$N$3007,$B62,'Zoho Dump'!$T$8:$T$3007,"Overdue")+SUMIFS(Adjustments!$K$8:$K$207,Adjustments!$B$8:$B$207,$B62,Adjustments!$H$8:$H$207,"Overdue"))</f>
        <v>0</v>
      </c>
      <c r="G62" s="17" t="n">
        <f aca="false">D62+F62</f>
        <v>0</v>
      </c>
      <c r="H62" s="18" t="n">
        <f aca="false">IF(SUM($G$5:$G$404)=0,0,G62/SUM($G$5:$G$404))</f>
        <v>0</v>
      </c>
      <c r="I62" s="17" t="n">
        <f aca="false">IF($B62="",0,SUMIFS('Zoho Dump'!$Q$8:$Q$3007,'Zoho Dump'!$N$8:$N$3007,$B62,'Zoho Dump'!$T$8:$T$3007,"Lost",'Zoho Dump'!$R$8:$R$3007,"&gt;="&amp;Settings!$B$4))</f>
        <v>0</v>
      </c>
      <c r="J62" s="9" t="str">
        <f aca="false">IF($B62="","",IF(COUNTIF(Dashboard!$C$13:$C$22,$B62)&gt;0,"Yes",""))</f>
        <v/>
      </c>
      <c r="K62" s="17" t="n">
        <f aca="false">IF($B62="",0,SUMIFS('Zoho Dump'!$X$8:$X$3007,'Zoho Dump'!$N$8:$N$3007,$B62,'Zoho Dump'!$P$8:$P$3007,Settings!$A$12)+SUMIFS(Adjustments!$K$8:$K$207,Adjustments!$B$8:$B$207,$B62,Adjustments!$A$8:$A$207,Settings!$A$12))</f>
        <v>0</v>
      </c>
      <c r="L62" s="17" t="n">
        <f aca="false">IF($B62="",0,SUMIFS('Zoho Dump'!$X$8:$X$3007,'Zoho Dump'!$N$8:$N$3007,$B62,'Zoho Dump'!$P$8:$P$3007,Settings!$A$13)+SUMIFS(Adjustments!$K$8:$K$207,Adjustments!$B$8:$B$207,$B62,Adjustments!$A$8:$A$207,Settings!$A$13))</f>
        <v>0</v>
      </c>
      <c r="M62" s="17" t="n">
        <f aca="false">IF($B62="",0,SUMIFS('Zoho Dump'!$X$8:$X$3007,'Zoho Dump'!$N$8:$N$3007,$B62,'Zoho Dump'!$P$8:$P$3007,Settings!$A$14)+SUMIFS(Adjustments!$K$8:$K$207,Adjustments!$B$8:$B$207,$B62,Adjustments!$A$8:$A$207,Settings!$A$14))</f>
        <v>0</v>
      </c>
      <c r="N62" s="17" t="n">
        <f aca="false">IF($B62="",0,SUMIFS('Zoho Dump'!$X$8:$X$3007,'Zoho Dump'!$N$8:$N$3007,$B62,'Zoho Dump'!$P$8:$P$3007,Settings!$A$15)+SUMIFS(Adjustments!$K$8:$K$207,Adjustments!$B$8:$B$207,$B62,Adjustments!$A$8:$A$207,Settings!$A$15))</f>
        <v>0</v>
      </c>
      <c r="O62" s="17" t="n">
        <f aca="false">IF($B62="",0,SUMIFS('Zoho Dump'!$X$8:$X$3007,'Zoho Dump'!$N$8:$N$3007,$B62,'Zoho Dump'!$P$8:$P$3007,Settings!$A$16)+SUMIFS(Adjustments!$K$8:$K$207,Adjustments!$B$8:$B$207,$B62,Adjustments!$A$8:$A$207,Settings!$A$16))</f>
        <v>0</v>
      </c>
      <c r="P62" s="17" t="n">
        <f aca="false">IF($B62="",0,SUMIFS('Zoho Dump'!$X$8:$X$3007,'Zoho Dump'!$N$8:$N$3007,$B62,'Zoho Dump'!$P$8:$P$3007,Settings!$A$17)+SUMIFS(Adjustments!$K$8:$K$207,Adjustments!$B$8:$B$207,$B62,Adjustments!$A$8:$A$207,Settings!$A$17))</f>
        <v>0</v>
      </c>
      <c r="Q62" s="17" t="n">
        <f aca="false">IF($B62="",0,SUMIFS('Zoho Dump'!$X$8:$X$3007,'Zoho Dump'!$N$8:$N$3007,$B62,'Zoho Dump'!$P$8:$P$3007,Settings!$A$18)+SUMIFS(Adjustments!$K$8:$K$207,Adjustments!$B$8:$B$207,$B62,Adjustments!$A$8:$A$207,Settings!$A$18))</f>
        <v>0</v>
      </c>
      <c r="R62" s="30" t="str">
        <f aca="false">IF(G62&gt;0,G62+A62/10000000,"")</f>
        <v/>
      </c>
    </row>
    <row r="63" customFormat="false" ht="15" hidden="false" customHeight="false" outlineLevel="0" collapsed="false">
      <c r="A63" s="9" t="n">
        <v>59</v>
      </c>
      <c r="B63" s="9" t="str">
        <f aca="false">IFERROR(INDEX('Zoho Dump'!$N$8:$N$3007,MATCH(A63,'Zoho Dump'!$AB$8:$AB$3007,0)),"")</f>
        <v>Stone &amp; Chalk</v>
      </c>
      <c r="C63" s="17" t="n">
        <f aca="false">IF($B63="",0,SUMIFS('Zoho Dump'!$Q$8:$Q$3007,'Zoho Dump'!$N$8:$N$3007,$B63,'Zoho Dump'!$T$8:$T$3007,"Delivered",'Zoho Dump'!$R$8:$R$3007,"&gt;="&amp;Settings!$B$4))</f>
        <v>0</v>
      </c>
      <c r="D63" s="17" t="n">
        <f aca="false">IF($B63="",0,SUMIFS('Zoho Dump'!$X$8:$X$3007,'Zoho Dump'!$N$8:$N$3007,$B63,'Zoho Dump'!$T$8:$T$3007,"Backlog")+SUMIFS(Adjustments!$K$8:$K$207,Adjustments!$B$8:$B$207,$B63,Adjustments!$H$8:$H$207,"Backlog"))</f>
        <v>0</v>
      </c>
      <c r="E63" s="17" t="n">
        <f aca="false">IF($B63="",0,SUMIFS('Zoho Dump'!$Y$8:$Y$3007,'Zoho Dump'!$N$8:$N$3007,$B63,'Zoho Dump'!$T$8:$T$3007,"Pipeline")+SUMIFS(Adjustments!$L$8:$L$207,Adjustments!$B$8:$B$207,$B63,Adjustments!$H$8:$H$207,"Pipeline")+SUMIFS('Zoho Dump'!$Y$8:$Y$3007,'Zoho Dump'!$N$8:$N$3007,$B63,'Zoho Dump'!$T$8:$T$3007,"Overdue")+SUMIFS(Adjustments!$L$8:$L$207,Adjustments!$B$8:$B$207,$B63,Adjustments!$H$8:$H$207,"Overdue"))</f>
        <v>0</v>
      </c>
      <c r="F63" s="17" t="n">
        <f aca="false">IF($B63="",0,SUMIFS('Zoho Dump'!$X$8:$X$3007,'Zoho Dump'!$N$8:$N$3007,$B63,'Zoho Dump'!$T$8:$T$3007,"Pipeline")+SUMIFS(Adjustments!$K$8:$K$207,Adjustments!$B$8:$B$207,$B63,Adjustments!$H$8:$H$207,"Pipeline")+SUMIFS('Zoho Dump'!$X$8:$X$3007,'Zoho Dump'!$N$8:$N$3007,$B63,'Zoho Dump'!$T$8:$T$3007,"Overdue")+SUMIFS(Adjustments!$K$8:$K$207,Adjustments!$B$8:$B$207,$B63,Adjustments!$H$8:$H$207,"Overdue"))</f>
        <v>0</v>
      </c>
      <c r="G63" s="17" t="n">
        <f aca="false">D63+F63</f>
        <v>0</v>
      </c>
      <c r="H63" s="18" t="n">
        <f aca="false">IF(SUM($G$5:$G$404)=0,0,G63/SUM($G$5:$G$404))</f>
        <v>0</v>
      </c>
      <c r="I63" s="17" t="n">
        <f aca="false">IF($B63="",0,SUMIFS('Zoho Dump'!$Q$8:$Q$3007,'Zoho Dump'!$N$8:$N$3007,$B63,'Zoho Dump'!$T$8:$T$3007,"Lost",'Zoho Dump'!$R$8:$R$3007,"&gt;="&amp;Settings!$B$4))</f>
        <v>0</v>
      </c>
      <c r="J63" s="9" t="str">
        <f aca="false">IF($B63="","",IF(COUNTIF(Dashboard!$C$13:$C$22,$B63)&gt;0,"Yes",""))</f>
        <v/>
      </c>
      <c r="K63" s="17" t="n">
        <f aca="false">IF($B63="",0,SUMIFS('Zoho Dump'!$X$8:$X$3007,'Zoho Dump'!$N$8:$N$3007,$B63,'Zoho Dump'!$P$8:$P$3007,Settings!$A$12)+SUMIFS(Adjustments!$K$8:$K$207,Adjustments!$B$8:$B$207,$B63,Adjustments!$A$8:$A$207,Settings!$A$12))</f>
        <v>0</v>
      </c>
      <c r="L63" s="17" t="n">
        <f aca="false">IF($B63="",0,SUMIFS('Zoho Dump'!$X$8:$X$3007,'Zoho Dump'!$N$8:$N$3007,$B63,'Zoho Dump'!$P$8:$P$3007,Settings!$A$13)+SUMIFS(Adjustments!$K$8:$K$207,Adjustments!$B$8:$B$207,$B63,Adjustments!$A$8:$A$207,Settings!$A$13))</f>
        <v>0</v>
      </c>
      <c r="M63" s="17" t="n">
        <f aca="false">IF($B63="",0,SUMIFS('Zoho Dump'!$X$8:$X$3007,'Zoho Dump'!$N$8:$N$3007,$B63,'Zoho Dump'!$P$8:$P$3007,Settings!$A$14)+SUMIFS(Adjustments!$K$8:$K$207,Adjustments!$B$8:$B$207,$B63,Adjustments!$A$8:$A$207,Settings!$A$14))</f>
        <v>0</v>
      </c>
      <c r="N63" s="17" t="n">
        <f aca="false">IF($B63="",0,SUMIFS('Zoho Dump'!$X$8:$X$3007,'Zoho Dump'!$N$8:$N$3007,$B63,'Zoho Dump'!$P$8:$P$3007,Settings!$A$15)+SUMIFS(Adjustments!$K$8:$K$207,Adjustments!$B$8:$B$207,$B63,Adjustments!$A$8:$A$207,Settings!$A$15))</f>
        <v>0</v>
      </c>
      <c r="O63" s="17" t="n">
        <f aca="false">IF($B63="",0,SUMIFS('Zoho Dump'!$X$8:$X$3007,'Zoho Dump'!$N$8:$N$3007,$B63,'Zoho Dump'!$P$8:$P$3007,Settings!$A$16)+SUMIFS(Adjustments!$K$8:$K$207,Adjustments!$B$8:$B$207,$B63,Adjustments!$A$8:$A$207,Settings!$A$16))</f>
        <v>0</v>
      </c>
      <c r="P63" s="17" t="n">
        <f aca="false">IF($B63="",0,SUMIFS('Zoho Dump'!$X$8:$X$3007,'Zoho Dump'!$N$8:$N$3007,$B63,'Zoho Dump'!$P$8:$P$3007,Settings!$A$17)+SUMIFS(Adjustments!$K$8:$K$207,Adjustments!$B$8:$B$207,$B63,Adjustments!$A$8:$A$207,Settings!$A$17))</f>
        <v>0</v>
      </c>
      <c r="Q63" s="17" t="n">
        <f aca="false">IF($B63="",0,SUMIFS('Zoho Dump'!$X$8:$X$3007,'Zoho Dump'!$N$8:$N$3007,$B63,'Zoho Dump'!$P$8:$P$3007,Settings!$A$18)+SUMIFS(Adjustments!$K$8:$K$207,Adjustments!$B$8:$B$207,$B63,Adjustments!$A$8:$A$207,Settings!$A$18))</f>
        <v>0</v>
      </c>
      <c r="R63" s="30" t="str">
        <f aca="false">IF(G63&gt;0,G63+A63/10000000,"")</f>
        <v/>
      </c>
    </row>
    <row r="64" customFormat="false" ht="15" hidden="false" customHeight="false" outlineLevel="0" collapsed="false">
      <c r="A64" s="9" t="n">
        <v>60</v>
      </c>
      <c r="B64" s="9" t="str">
        <f aca="false">IFERROR(INDEX('Zoho Dump'!$N$8:$N$3007,MATCH(A64,'Zoho Dump'!$AB$8:$AB$3007,0)),"")</f>
        <v>N2 Dance Productions</v>
      </c>
      <c r="C64" s="17" t="n">
        <f aca="false">IF($B64="",0,SUMIFS('Zoho Dump'!$Q$8:$Q$3007,'Zoho Dump'!$N$8:$N$3007,$B64,'Zoho Dump'!$T$8:$T$3007,"Delivered",'Zoho Dump'!$R$8:$R$3007,"&gt;="&amp;Settings!$B$4))</f>
        <v>0</v>
      </c>
      <c r="D64" s="17" t="n">
        <f aca="false">IF($B64="",0,SUMIFS('Zoho Dump'!$X$8:$X$3007,'Zoho Dump'!$N$8:$N$3007,$B64,'Zoho Dump'!$T$8:$T$3007,"Backlog")+SUMIFS(Adjustments!$K$8:$K$207,Adjustments!$B$8:$B$207,$B64,Adjustments!$H$8:$H$207,"Backlog"))</f>
        <v>2511</v>
      </c>
      <c r="E64" s="17" t="n">
        <f aca="false">IF($B64="",0,SUMIFS('Zoho Dump'!$Y$8:$Y$3007,'Zoho Dump'!$N$8:$N$3007,$B64,'Zoho Dump'!$T$8:$T$3007,"Pipeline")+SUMIFS(Adjustments!$L$8:$L$207,Adjustments!$B$8:$B$207,$B64,Adjustments!$H$8:$H$207,"Pipeline")+SUMIFS('Zoho Dump'!$Y$8:$Y$3007,'Zoho Dump'!$N$8:$N$3007,$B64,'Zoho Dump'!$T$8:$T$3007,"Overdue")+SUMIFS(Adjustments!$L$8:$L$207,Adjustments!$B$8:$B$207,$B64,Adjustments!$H$8:$H$207,"Overdue"))</f>
        <v>0</v>
      </c>
      <c r="F64" s="17" t="n">
        <f aca="false">IF($B64="",0,SUMIFS('Zoho Dump'!$X$8:$X$3007,'Zoho Dump'!$N$8:$N$3007,$B64,'Zoho Dump'!$T$8:$T$3007,"Pipeline")+SUMIFS(Adjustments!$K$8:$K$207,Adjustments!$B$8:$B$207,$B64,Adjustments!$H$8:$H$207,"Pipeline")+SUMIFS('Zoho Dump'!$X$8:$X$3007,'Zoho Dump'!$N$8:$N$3007,$B64,'Zoho Dump'!$T$8:$T$3007,"Overdue")+SUMIFS(Adjustments!$K$8:$K$207,Adjustments!$B$8:$B$207,$B64,Adjustments!$H$8:$H$207,"Overdue"))</f>
        <v>0</v>
      </c>
      <c r="G64" s="17" t="n">
        <f aca="false">D64+F64</f>
        <v>2511</v>
      </c>
      <c r="H64" s="18" t="n">
        <f aca="false">IF(SUM($G$5:$G$404)=0,0,G64/SUM($G$5:$G$404))</f>
        <v>0.00294303211069551</v>
      </c>
      <c r="I64" s="17" t="n">
        <f aca="false">IF($B64="",0,SUMIFS('Zoho Dump'!$Q$8:$Q$3007,'Zoho Dump'!$N$8:$N$3007,$B64,'Zoho Dump'!$T$8:$T$3007,"Lost",'Zoho Dump'!$R$8:$R$3007,"&gt;="&amp;Settings!$B$4))</f>
        <v>0</v>
      </c>
      <c r="J64" s="9" t="str">
        <f aca="false">IF($B64="","",IF(COUNTIF(Dashboard!$C$13:$C$22,$B64)&gt;0,"Yes",""))</f>
        <v/>
      </c>
      <c r="K64" s="17" t="n">
        <f aca="false">IF($B64="",0,SUMIFS('Zoho Dump'!$X$8:$X$3007,'Zoho Dump'!$N$8:$N$3007,$B64,'Zoho Dump'!$P$8:$P$3007,Settings!$A$12)+SUMIFS(Adjustments!$K$8:$K$207,Adjustments!$B$8:$B$207,$B64,Adjustments!$A$8:$A$207,Settings!$A$12))</f>
        <v>0</v>
      </c>
      <c r="L64" s="17" t="n">
        <f aca="false">IF($B64="",0,SUMIFS('Zoho Dump'!$X$8:$X$3007,'Zoho Dump'!$N$8:$N$3007,$B64,'Zoho Dump'!$P$8:$P$3007,Settings!$A$13)+SUMIFS(Adjustments!$K$8:$K$207,Adjustments!$B$8:$B$207,$B64,Adjustments!$A$8:$A$207,Settings!$A$13))</f>
        <v>0</v>
      </c>
      <c r="M64" s="17" t="n">
        <f aca="false">IF($B64="",0,SUMIFS('Zoho Dump'!$X$8:$X$3007,'Zoho Dump'!$N$8:$N$3007,$B64,'Zoho Dump'!$P$8:$P$3007,Settings!$A$14)+SUMIFS(Adjustments!$K$8:$K$207,Adjustments!$B$8:$B$207,$B64,Adjustments!$A$8:$A$207,Settings!$A$14))</f>
        <v>2511</v>
      </c>
      <c r="N64" s="17" t="n">
        <f aca="false">IF($B64="",0,SUMIFS('Zoho Dump'!$X$8:$X$3007,'Zoho Dump'!$N$8:$N$3007,$B64,'Zoho Dump'!$P$8:$P$3007,Settings!$A$15)+SUMIFS(Adjustments!$K$8:$K$207,Adjustments!$B$8:$B$207,$B64,Adjustments!$A$8:$A$207,Settings!$A$15))</f>
        <v>0</v>
      </c>
      <c r="O64" s="17" t="n">
        <f aca="false">IF($B64="",0,SUMIFS('Zoho Dump'!$X$8:$X$3007,'Zoho Dump'!$N$8:$N$3007,$B64,'Zoho Dump'!$P$8:$P$3007,Settings!$A$16)+SUMIFS(Adjustments!$K$8:$K$207,Adjustments!$B$8:$B$207,$B64,Adjustments!$A$8:$A$207,Settings!$A$16))</f>
        <v>0</v>
      </c>
      <c r="P64" s="17" t="n">
        <f aca="false">IF($B64="",0,SUMIFS('Zoho Dump'!$X$8:$X$3007,'Zoho Dump'!$N$8:$N$3007,$B64,'Zoho Dump'!$P$8:$P$3007,Settings!$A$17)+SUMIFS(Adjustments!$K$8:$K$207,Adjustments!$B$8:$B$207,$B64,Adjustments!$A$8:$A$207,Settings!$A$17))</f>
        <v>0</v>
      </c>
      <c r="Q64" s="17" t="n">
        <f aca="false">IF($B64="",0,SUMIFS('Zoho Dump'!$X$8:$X$3007,'Zoho Dump'!$N$8:$N$3007,$B64,'Zoho Dump'!$P$8:$P$3007,Settings!$A$18)+SUMIFS(Adjustments!$K$8:$K$207,Adjustments!$B$8:$B$207,$B64,Adjustments!$A$8:$A$207,Settings!$A$18))</f>
        <v>0</v>
      </c>
      <c r="R64" s="30" t="n">
        <f aca="false">IF(G64&gt;0,G64+A64/10000000,"")</f>
        <v>2511.000006</v>
      </c>
    </row>
    <row r="65" customFormat="false" ht="15" hidden="false" customHeight="false" outlineLevel="0" collapsed="false">
      <c r="A65" s="9" t="n">
        <v>61</v>
      </c>
      <c r="B65" s="9" t="str">
        <f aca="false">IFERROR(INDEX('Zoho Dump'!$N$8:$N$3007,MATCH(A65,'Zoho Dump'!$AB$8:$AB$3007,0)),"")</f>
        <v>Deloitte - Brisbane</v>
      </c>
      <c r="C65" s="17" t="n">
        <f aca="false">IF($B65="",0,SUMIFS('Zoho Dump'!$Q$8:$Q$3007,'Zoho Dump'!$N$8:$N$3007,$B65,'Zoho Dump'!$T$8:$T$3007,"Delivered",'Zoho Dump'!$R$8:$R$3007,"&gt;="&amp;Settings!$B$4))</f>
        <v>0</v>
      </c>
      <c r="D65" s="17" t="n">
        <f aca="false">IF($B65="",0,SUMIFS('Zoho Dump'!$X$8:$X$3007,'Zoho Dump'!$N$8:$N$3007,$B65,'Zoho Dump'!$T$8:$T$3007,"Backlog")+SUMIFS(Adjustments!$K$8:$K$207,Adjustments!$B$8:$B$207,$B65,Adjustments!$H$8:$H$207,"Backlog"))</f>
        <v>0</v>
      </c>
      <c r="E65" s="17" t="n">
        <f aca="false">IF($B65="",0,SUMIFS('Zoho Dump'!$Y$8:$Y$3007,'Zoho Dump'!$N$8:$N$3007,$B65,'Zoho Dump'!$T$8:$T$3007,"Pipeline")+SUMIFS(Adjustments!$L$8:$L$207,Adjustments!$B$8:$B$207,$B65,Adjustments!$H$8:$H$207,"Pipeline")+SUMIFS('Zoho Dump'!$Y$8:$Y$3007,'Zoho Dump'!$N$8:$N$3007,$B65,'Zoho Dump'!$T$8:$T$3007,"Overdue")+SUMIFS(Adjustments!$L$8:$L$207,Adjustments!$B$8:$B$207,$B65,Adjustments!$H$8:$H$207,"Overdue"))</f>
        <v>0</v>
      </c>
      <c r="F65" s="17" t="n">
        <f aca="false">IF($B65="",0,SUMIFS('Zoho Dump'!$X$8:$X$3007,'Zoho Dump'!$N$8:$N$3007,$B65,'Zoho Dump'!$T$8:$T$3007,"Pipeline")+SUMIFS(Adjustments!$K$8:$K$207,Adjustments!$B$8:$B$207,$B65,Adjustments!$H$8:$H$207,"Pipeline")+SUMIFS('Zoho Dump'!$X$8:$X$3007,'Zoho Dump'!$N$8:$N$3007,$B65,'Zoho Dump'!$T$8:$T$3007,"Overdue")+SUMIFS(Adjustments!$K$8:$K$207,Adjustments!$B$8:$B$207,$B65,Adjustments!$H$8:$H$207,"Overdue"))</f>
        <v>0</v>
      </c>
      <c r="G65" s="17" t="n">
        <f aca="false">D65+F65</f>
        <v>0</v>
      </c>
      <c r="H65" s="18" t="n">
        <f aca="false">IF(SUM($G$5:$G$404)=0,0,G65/SUM($G$5:$G$404))</f>
        <v>0</v>
      </c>
      <c r="I65" s="17" t="n">
        <f aca="false">IF($B65="",0,SUMIFS('Zoho Dump'!$Q$8:$Q$3007,'Zoho Dump'!$N$8:$N$3007,$B65,'Zoho Dump'!$T$8:$T$3007,"Lost",'Zoho Dump'!$R$8:$R$3007,"&gt;="&amp;Settings!$B$4))</f>
        <v>0</v>
      </c>
      <c r="J65" s="9" t="str">
        <f aca="false">IF($B65="","",IF(COUNTIF(Dashboard!$C$13:$C$22,$B65)&gt;0,"Yes",""))</f>
        <v/>
      </c>
      <c r="K65" s="17" t="n">
        <f aca="false">IF($B65="",0,SUMIFS('Zoho Dump'!$X$8:$X$3007,'Zoho Dump'!$N$8:$N$3007,$B65,'Zoho Dump'!$P$8:$P$3007,Settings!$A$12)+SUMIFS(Adjustments!$K$8:$K$207,Adjustments!$B$8:$B$207,$B65,Adjustments!$A$8:$A$207,Settings!$A$12))</f>
        <v>0</v>
      </c>
      <c r="L65" s="17" t="n">
        <f aca="false">IF($B65="",0,SUMIFS('Zoho Dump'!$X$8:$X$3007,'Zoho Dump'!$N$8:$N$3007,$B65,'Zoho Dump'!$P$8:$P$3007,Settings!$A$13)+SUMIFS(Adjustments!$K$8:$K$207,Adjustments!$B$8:$B$207,$B65,Adjustments!$A$8:$A$207,Settings!$A$13))</f>
        <v>0</v>
      </c>
      <c r="M65" s="17" t="n">
        <f aca="false">IF($B65="",0,SUMIFS('Zoho Dump'!$X$8:$X$3007,'Zoho Dump'!$N$8:$N$3007,$B65,'Zoho Dump'!$P$8:$P$3007,Settings!$A$14)+SUMIFS(Adjustments!$K$8:$K$207,Adjustments!$B$8:$B$207,$B65,Adjustments!$A$8:$A$207,Settings!$A$14))</f>
        <v>0</v>
      </c>
      <c r="N65" s="17" t="n">
        <f aca="false">IF($B65="",0,SUMIFS('Zoho Dump'!$X$8:$X$3007,'Zoho Dump'!$N$8:$N$3007,$B65,'Zoho Dump'!$P$8:$P$3007,Settings!$A$15)+SUMIFS(Adjustments!$K$8:$K$207,Adjustments!$B$8:$B$207,$B65,Adjustments!$A$8:$A$207,Settings!$A$15))</f>
        <v>0</v>
      </c>
      <c r="O65" s="17" t="n">
        <f aca="false">IF($B65="",0,SUMIFS('Zoho Dump'!$X$8:$X$3007,'Zoho Dump'!$N$8:$N$3007,$B65,'Zoho Dump'!$P$8:$P$3007,Settings!$A$16)+SUMIFS(Adjustments!$K$8:$K$207,Adjustments!$B$8:$B$207,$B65,Adjustments!$A$8:$A$207,Settings!$A$16))</f>
        <v>0</v>
      </c>
      <c r="P65" s="17" t="n">
        <f aca="false">IF($B65="",0,SUMIFS('Zoho Dump'!$X$8:$X$3007,'Zoho Dump'!$N$8:$N$3007,$B65,'Zoho Dump'!$P$8:$P$3007,Settings!$A$17)+SUMIFS(Adjustments!$K$8:$K$207,Adjustments!$B$8:$B$207,$B65,Adjustments!$A$8:$A$207,Settings!$A$17))</f>
        <v>0</v>
      </c>
      <c r="Q65" s="17" t="n">
        <f aca="false">IF($B65="",0,SUMIFS('Zoho Dump'!$X$8:$X$3007,'Zoho Dump'!$N$8:$N$3007,$B65,'Zoho Dump'!$P$8:$P$3007,Settings!$A$18)+SUMIFS(Adjustments!$K$8:$K$207,Adjustments!$B$8:$B$207,$B65,Adjustments!$A$8:$A$207,Settings!$A$18))</f>
        <v>0</v>
      </c>
      <c r="R65" s="30" t="str">
        <f aca="false">IF(G65&gt;0,G65+A65/10000000,"")</f>
        <v/>
      </c>
    </row>
    <row r="66" customFormat="false" ht="15" hidden="false" customHeight="false" outlineLevel="0" collapsed="false">
      <c r="A66" s="9" t="n">
        <v>62</v>
      </c>
      <c r="B66" s="9" t="str">
        <f aca="false">IFERROR(INDEX('Zoho Dump'!$N$8:$N$3007,MATCH(A66,'Zoho Dump'!$AB$8:$AB$3007,0)),"")</f>
        <v>Ootoz Productions</v>
      </c>
      <c r="C66" s="17" t="n">
        <f aca="false">IF($B66="",0,SUMIFS('Zoho Dump'!$Q$8:$Q$3007,'Zoho Dump'!$N$8:$N$3007,$B66,'Zoho Dump'!$T$8:$T$3007,"Delivered",'Zoho Dump'!$R$8:$R$3007,"&gt;="&amp;Settings!$B$4))</f>
        <v>0</v>
      </c>
      <c r="D66" s="17" t="n">
        <f aca="false">IF($B66="",0,SUMIFS('Zoho Dump'!$X$8:$X$3007,'Zoho Dump'!$N$8:$N$3007,$B66,'Zoho Dump'!$T$8:$T$3007,"Backlog")+SUMIFS(Adjustments!$K$8:$K$207,Adjustments!$B$8:$B$207,$B66,Adjustments!$H$8:$H$207,"Backlog"))</f>
        <v>0</v>
      </c>
      <c r="E66" s="17" t="n">
        <f aca="false">IF($B66="",0,SUMIFS('Zoho Dump'!$Y$8:$Y$3007,'Zoho Dump'!$N$8:$N$3007,$B66,'Zoho Dump'!$T$8:$T$3007,"Pipeline")+SUMIFS(Adjustments!$L$8:$L$207,Adjustments!$B$8:$B$207,$B66,Adjustments!$H$8:$H$207,"Pipeline")+SUMIFS('Zoho Dump'!$Y$8:$Y$3007,'Zoho Dump'!$N$8:$N$3007,$B66,'Zoho Dump'!$T$8:$T$3007,"Overdue")+SUMIFS(Adjustments!$L$8:$L$207,Adjustments!$B$8:$B$207,$B66,Adjustments!$H$8:$H$207,"Overdue"))</f>
        <v>0</v>
      </c>
      <c r="F66" s="17" t="n">
        <f aca="false">IF($B66="",0,SUMIFS('Zoho Dump'!$X$8:$X$3007,'Zoho Dump'!$N$8:$N$3007,$B66,'Zoho Dump'!$T$8:$T$3007,"Pipeline")+SUMIFS(Adjustments!$K$8:$K$207,Adjustments!$B$8:$B$207,$B66,Adjustments!$H$8:$H$207,"Pipeline")+SUMIFS('Zoho Dump'!$X$8:$X$3007,'Zoho Dump'!$N$8:$N$3007,$B66,'Zoho Dump'!$T$8:$T$3007,"Overdue")+SUMIFS(Adjustments!$K$8:$K$207,Adjustments!$B$8:$B$207,$B66,Adjustments!$H$8:$H$207,"Overdue"))</f>
        <v>0</v>
      </c>
      <c r="G66" s="17" t="n">
        <f aca="false">D66+F66</f>
        <v>0</v>
      </c>
      <c r="H66" s="18" t="n">
        <f aca="false">IF(SUM($G$5:$G$404)=0,0,G66/SUM($G$5:$G$404))</f>
        <v>0</v>
      </c>
      <c r="I66" s="17" t="n">
        <f aca="false">IF($B66="",0,SUMIFS('Zoho Dump'!$Q$8:$Q$3007,'Zoho Dump'!$N$8:$N$3007,$B66,'Zoho Dump'!$T$8:$T$3007,"Lost",'Zoho Dump'!$R$8:$R$3007,"&gt;="&amp;Settings!$B$4))</f>
        <v>0</v>
      </c>
      <c r="J66" s="9" t="str">
        <f aca="false">IF($B66="","",IF(COUNTIF(Dashboard!$C$13:$C$22,$B66)&gt;0,"Yes",""))</f>
        <v/>
      </c>
      <c r="K66" s="17" t="n">
        <f aca="false">IF($B66="",0,SUMIFS('Zoho Dump'!$X$8:$X$3007,'Zoho Dump'!$N$8:$N$3007,$B66,'Zoho Dump'!$P$8:$P$3007,Settings!$A$12)+SUMIFS(Adjustments!$K$8:$K$207,Adjustments!$B$8:$B$207,$B66,Adjustments!$A$8:$A$207,Settings!$A$12))</f>
        <v>0</v>
      </c>
      <c r="L66" s="17" t="n">
        <f aca="false">IF($B66="",0,SUMIFS('Zoho Dump'!$X$8:$X$3007,'Zoho Dump'!$N$8:$N$3007,$B66,'Zoho Dump'!$P$8:$P$3007,Settings!$A$13)+SUMIFS(Adjustments!$K$8:$K$207,Adjustments!$B$8:$B$207,$B66,Adjustments!$A$8:$A$207,Settings!$A$13))</f>
        <v>0</v>
      </c>
      <c r="M66" s="17" t="n">
        <f aca="false">IF($B66="",0,SUMIFS('Zoho Dump'!$X$8:$X$3007,'Zoho Dump'!$N$8:$N$3007,$B66,'Zoho Dump'!$P$8:$P$3007,Settings!$A$14)+SUMIFS(Adjustments!$K$8:$K$207,Adjustments!$B$8:$B$207,$B66,Adjustments!$A$8:$A$207,Settings!$A$14))</f>
        <v>0</v>
      </c>
      <c r="N66" s="17" t="n">
        <f aca="false">IF($B66="",0,SUMIFS('Zoho Dump'!$X$8:$X$3007,'Zoho Dump'!$N$8:$N$3007,$B66,'Zoho Dump'!$P$8:$P$3007,Settings!$A$15)+SUMIFS(Adjustments!$K$8:$K$207,Adjustments!$B$8:$B$207,$B66,Adjustments!$A$8:$A$207,Settings!$A$15))</f>
        <v>0</v>
      </c>
      <c r="O66" s="17" t="n">
        <f aca="false">IF($B66="",0,SUMIFS('Zoho Dump'!$X$8:$X$3007,'Zoho Dump'!$N$8:$N$3007,$B66,'Zoho Dump'!$P$8:$P$3007,Settings!$A$16)+SUMIFS(Adjustments!$K$8:$K$207,Adjustments!$B$8:$B$207,$B66,Adjustments!$A$8:$A$207,Settings!$A$16))</f>
        <v>0</v>
      </c>
      <c r="P66" s="17" t="n">
        <f aca="false">IF($B66="",0,SUMIFS('Zoho Dump'!$X$8:$X$3007,'Zoho Dump'!$N$8:$N$3007,$B66,'Zoho Dump'!$P$8:$P$3007,Settings!$A$17)+SUMIFS(Adjustments!$K$8:$K$207,Adjustments!$B$8:$B$207,$B66,Adjustments!$A$8:$A$207,Settings!$A$17))</f>
        <v>0</v>
      </c>
      <c r="Q66" s="17" t="n">
        <f aca="false">IF($B66="",0,SUMIFS('Zoho Dump'!$X$8:$X$3007,'Zoho Dump'!$N$8:$N$3007,$B66,'Zoho Dump'!$P$8:$P$3007,Settings!$A$18)+SUMIFS(Adjustments!$K$8:$K$207,Adjustments!$B$8:$B$207,$B66,Adjustments!$A$8:$A$207,Settings!$A$18))</f>
        <v>0</v>
      </c>
      <c r="R66" s="30" t="str">
        <f aca="false">IF(G66&gt;0,G66+A66/10000000,"")</f>
        <v/>
      </c>
    </row>
    <row r="67" customFormat="false" ht="15" hidden="false" customHeight="false" outlineLevel="0" collapsed="false">
      <c r="A67" s="9" t="n">
        <v>63</v>
      </c>
      <c r="B67" s="9" t="str">
        <f aca="false">IFERROR(INDEX('Zoho Dump'!$N$8:$N$3007,MATCH(A67,'Zoho Dump'!$AB$8:$AB$3007,0)),"")</f>
        <v>City of Sydney</v>
      </c>
      <c r="C67" s="17" t="n">
        <f aca="false">IF($B67="",0,SUMIFS('Zoho Dump'!$Q$8:$Q$3007,'Zoho Dump'!$N$8:$N$3007,$B67,'Zoho Dump'!$T$8:$T$3007,"Delivered",'Zoho Dump'!$R$8:$R$3007,"&gt;="&amp;Settings!$B$4))</f>
        <v>0</v>
      </c>
      <c r="D67" s="17" t="n">
        <f aca="false">IF($B67="",0,SUMIFS('Zoho Dump'!$X$8:$X$3007,'Zoho Dump'!$N$8:$N$3007,$B67,'Zoho Dump'!$T$8:$T$3007,"Backlog")+SUMIFS(Adjustments!$K$8:$K$207,Adjustments!$B$8:$B$207,$B67,Adjustments!$H$8:$H$207,"Backlog"))</f>
        <v>0</v>
      </c>
      <c r="E67" s="17" t="n">
        <f aca="false">IF($B67="",0,SUMIFS('Zoho Dump'!$Y$8:$Y$3007,'Zoho Dump'!$N$8:$N$3007,$B67,'Zoho Dump'!$T$8:$T$3007,"Pipeline")+SUMIFS(Adjustments!$L$8:$L$207,Adjustments!$B$8:$B$207,$B67,Adjustments!$H$8:$H$207,"Pipeline")+SUMIFS('Zoho Dump'!$Y$8:$Y$3007,'Zoho Dump'!$N$8:$N$3007,$B67,'Zoho Dump'!$T$8:$T$3007,"Overdue")+SUMIFS(Adjustments!$L$8:$L$207,Adjustments!$B$8:$B$207,$B67,Adjustments!$H$8:$H$207,"Overdue"))</f>
        <v>0</v>
      </c>
      <c r="F67" s="17" t="n">
        <f aca="false">IF($B67="",0,SUMIFS('Zoho Dump'!$X$8:$X$3007,'Zoho Dump'!$N$8:$N$3007,$B67,'Zoho Dump'!$T$8:$T$3007,"Pipeline")+SUMIFS(Adjustments!$K$8:$K$207,Adjustments!$B$8:$B$207,$B67,Adjustments!$H$8:$H$207,"Pipeline")+SUMIFS('Zoho Dump'!$X$8:$X$3007,'Zoho Dump'!$N$8:$N$3007,$B67,'Zoho Dump'!$T$8:$T$3007,"Overdue")+SUMIFS(Adjustments!$K$8:$K$207,Adjustments!$B$8:$B$207,$B67,Adjustments!$H$8:$H$207,"Overdue"))</f>
        <v>0</v>
      </c>
      <c r="G67" s="17" t="n">
        <f aca="false">D67+F67</f>
        <v>0</v>
      </c>
      <c r="H67" s="18" t="n">
        <f aca="false">IF(SUM($G$5:$G$404)=0,0,G67/SUM($G$5:$G$404))</f>
        <v>0</v>
      </c>
      <c r="I67" s="17" t="n">
        <f aca="false">IF($B67="",0,SUMIFS('Zoho Dump'!$Q$8:$Q$3007,'Zoho Dump'!$N$8:$N$3007,$B67,'Zoho Dump'!$T$8:$T$3007,"Lost",'Zoho Dump'!$R$8:$R$3007,"&gt;="&amp;Settings!$B$4))</f>
        <v>0</v>
      </c>
      <c r="J67" s="9" t="str">
        <f aca="false">IF($B67="","",IF(COUNTIF(Dashboard!$C$13:$C$22,$B67)&gt;0,"Yes",""))</f>
        <v/>
      </c>
      <c r="K67" s="17" t="n">
        <f aca="false">IF($B67="",0,SUMIFS('Zoho Dump'!$X$8:$X$3007,'Zoho Dump'!$N$8:$N$3007,$B67,'Zoho Dump'!$P$8:$P$3007,Settings!$A$12)+SUMIFS(Adjustments!$K$8:$K$207,Adjustments!$B$8:$B$207,$B67,Adjustments!$A$8:$A$207,Settings!$A$12))</f>
        <v>0</v>
      </c>
      <c r="L67" s="17" t="n">
        <f aca="false">IF($B67="",0,SUMIFS('Zoho Dump'!$X$8:$X$3007,'Zoho Dump'!$N$8:$N$3007,$B67,'Zoho Dump'!$P$8:$P$3007,Settings!$A$13)+SUMIFS(Adjustments!$K$8:$K$207,Adjustments!$B$8:$B$207,$B67,Adjustments!$A$8:$A$207,Settings!$A$13))</f>
        <v>0</v>
      </c>
      <c r="M67" s="17" t="n">
        <f aca="false">IF($B67="",0,SUMIFS('Zoho Dump'!$X$8:$X$3007,'Zoho Dump'!$N$8:$N$3007,$B67,'Zoho Dump'!$P$8:$P$3007,Settings!$A$14)+SUMIFS(Adjustments!$K$8:$K$207,Adjustments!$B$8:$B$207,$B67,Adjustments!$A$8:$A$207,Settings!$A$14))</f>
        <v>0</v>
      </c>
      <c r="N67" s="17" t="n">
        <f aca="false">IF($B67="",0,SUMIFS('Zoho Dump'!$X$8:$X$3007,'Zoho Dump'!$N$8:$N$3007,$B67,'Zoho Dump'!$P$8:$P$3007,Settings!$A$15)+SUMIFS(Adjustments!$K$8:$K$207,Adjustments!$B$8:$B$207,$B67,Adjustments!$A$8:$A$207,Settings!$A$15))</f>
        <v>0</v>
      </c>
      <c r="O67" s="17" t="n">
        <f aca="false">IF($B67="",0,SUMIFS('Zoho Dump'!$X$8:$X$3007,'Zoho Dump'!$N$8:$N$3007,$B67,'Zoho Dump'!$P$8:$P$3007,Settings!$A$16)+SUMIFS(Adjustments!$K$8:$K$207,Adjustments!$B$8:$B$207,$B67,Adjustments!$A$8:$A$207,Settings!$A$16))</f>
        <v>0</v>
      </c>
      <c r="P67" s="17" t="n">
        <f aca="false">IF($B67="",0,SUMIFS('Zoho Dump'!$X$8:$X$3007,'Zoho Dump'!$N$8:$N$3007,$B67,'Zoho Dump'!$P$8:$P$3007,Settings!$A$17)+SUMIFS(Adjustments!$K$8:$K$207,Adjustments!$B$8:$B$207,$B67,Adjustments!$A$8:$A$207,Settings!$A$17))</f>
        <v>0</v>
      </c>
      <c r="Q67" s="17" t="n">
        <f aca="false">IF($B67="",0,SUMIFS('Zoho Dump'!$X$8:$X$3007,'Zoho Dump'!$N$8:$N$3007,$B67,'Zoho Dump'!$P$8:$P$3007,Settings!$A$18)+SUMIFS(Adjustments!$K$8:$K$207,Adjustments!$B$8:$B$207,$B67,Adjustments!$A$8:$A$207,Settings!$A$18))</f>
        <v>0</v>
      </c>
      <c r="R67" s="30" t="str">
        <f aca="false">IF(G67&gt;0,G67+A67/10000000,"")</f>
        <v/>
      </c>
    </row>
    <row r="68" customFormat="false" ht="15" hidden="false" customHeight="false" outlineLevel="0" collapsed="false">
      <c r="A68" s="9" t="n">
        <v>64</v>
      </c>
      <c r="B68" s="9" t="str">
        <f aca="false">IFERROR(INDEX('Zoho Dump'!$N$8:$N$3007,MATCH(A68,'Zoho Dump'!$AB$8:$AB$3007,0)),"")</f>
        <v>Telstra Enterprise</v>
      </c>
      <c r="C68" s="17" t="n">
        <f aca="false">IF($B68="",0,SUMIFS('Zoho Dump'!$Q$8:$Q$3007,'Zoho Dump'!$N$8:$N$3007,$B68,'Zoho Dump'!$T$8:$T$3007,"Delivered",'Zoho Dump'!$R$8:$R$3007,"&gt;="&amp;Settings!$B$4))</f>
        <v>0</v>
      </c>
      <c r="D68" s="17" t="n">
        <f aca="false">IF($B68="",0,SUMIFS('Zoho Dump'!$X$8:$X$3007,'Zoho Dump'!$N$8:$N$3007,$B68,'Zoho Dump'!$T$8:$T$3007,"Backlog")+SUMIFS(Adjustments!$K$8:$K$207,Adjustments!$B$8:$B$207,$B68,Adjustments!$H$8:$H$207,"Backlog"))</f>
        <v>0</v>
      </c>
      <c r="E68" s="17" t="n">
        <f aca="false">IF($B68="",0,SUMIFS('Zoho Dump'!$Y$8:$Y$3007,'Zoho Dump'!$N$8:$N$3007,$B68,'Zoho Dump'!$T$8:$T$3007,"Pipeline")+SUMIFS(Adjustments!$L$8:$L$207,Adjustments!$B$8:$B$207,$B68,Adjustments!$H$8:$H$207,"Pipeline")+SUMIFS('Zoho Dump'!$Y$8:$Y$3007,'Zoho Dump'!$N$8:$N$3007,$B68,'Zoho Dump'!$T$8:$T$3007,"Overdue")+SUMIFS(Adjustments!$L$8:$L$207,Adjustments!$B$8:$B$207,$B68,Adjustments!$H$8:$H$207,"Overdue"))</f>
        <v>0</v>
      </c>
      <c r="F68" s="17" t="n">
        <f aca="false">IF($B68="",0,SUMIFS('Zoho Dump'!$X$8:$X$3007,'Zoho Dump'!$N$8:$N$3007,$B68,'Zoho Dump'!$T$8:$T$3007,"Pipeline")+SUMIFS(Adjustments!$K$8:$K$207,Adjustments!$B$8:$B$207,$B68,Adjustments!$H$8:$H$207,"Pipeline")+SUMIFS('Zoho Dump'!$X$8:$X$3007,'Zoho Dump'!$N$8:$N$3007,$B68,'Zoho Dump'!$T$8:$T$3007,"Overdue")+SUMIFS(Adjustments!$K$8:$K$207,Adjustments!$B$8:$B$207,$B68,Adjustments!$H$8:$H$207,"Overdue"))</f>
        <v>0</v>
      </c>
      <c r="G68" s="17" t="n">
        <f aca="false">D68+F68</f>
        <v>0</v>
      </c>
      <c r="H68" s="18" t="n">
        <f aca="false">IF(SUM($G$5:$G$404)=0,0,G68/SUM($G$5:$G$404))</f>
        <v>0</v>
      </c>
      <c r="I68" s="17" t="n">
        <f aca="false">IF($B68="",0,SUMIFS('Zoho Dump'!$Q$8:$Q$3007,'Zoho Dump'!$N$8:$N$3007,$B68,'Zoho Dump'!$T$8:$T$3007,"Lost",'Zoho Dump'!$R$8:$R$3007,"&gt;="&amp;Settings!$B$4))</f>
        <v>0</v>
      </c>
      <c r="J68" s="9" t="str">
        <f aca="false">IF($B68="","",IF(COUNTIF(Dashboard!$C$13:$C$22,$B68)&gt;0,"Yes",""))</f>
        <v/>
      </c>
      <c r="K68" s="17" t="n">
        <f aca="false">IF($B68="",0,SUMIFS('Zoho Dump'!$X$8:$X$3007,'Zoho Dump'!$N$8:$N$3007,$B68,'Zoho Dump'!$P$8:$P$3007,Settings!$A$12)+SUMIFS(Adjustments!$K$8:$K$207,Adjustments!$B$8:$B$207,$B68,Adjustments!$A$8:$A$207,Settings!$A$12))</f>
        <v>0</v>
      </c>
      <c r="L68" s="17" t="n">
        <f aca="false">IF($B68="",0,SUMIFS('Zoho Dump'!$X$8:$X$3007,'Zoho Dump'!$N$8:$N$3007,$B68,'Zoho Dump'!$P$8:$P$3007,Settings!$A$13)+SUMIFS(Adjustments!$K$8:$K$207,Adjustments!$B$8:$B$207,$B68,Adjustments!$A$8:$A$207,Settings!$A$13))</f>
        <v>0</v>
      </c>
      <c r="M68" s="17" t="n">
        <f aca="false">IF($B68="",0,SUMIFS('Zoho Dump'!$X$8:$X$3007,'Zoho Dump'!$N$8:$N$3007,$B68,'Zoho Dump'!$P$8:$P$3007,Settings!$A$14)+SUMIFS(Adjustments!$K$8:$K$207,Adjustments!$B$8:$B$207,$B68,Adjustments!$A$8:$A$207,Settings!$A$14))</f>
        <v>0</v>
      </c>
      <c r="N68" s="17" t="n">
        <f aca="false">IF($B68="",0,SUMIFS('Zoho Dump'!$X$8:$X$3007,'Zoho Dump'!$N$8:$N$3007,$B68,'Zoho Dump'!$P$8:$P$3007,Settings!$A$15)+SUMIFS(Adjustments!$K$8:$K$207,Adjustments!$B$8:$B$207,$B68,Adjustments!$A$8:$A$207,Settings!$A$15))</f>
        <v>0</v>
      </c>
      <c r="O68" s="17" t="n">
        <f aca="false">IF($B68="",0,SUMIFS('Zoho Dump'!$X$8:$X$3007,'Zoho Dump'!$N$8:$N$3007,$B68,'Zoho Dump'!$P$8:$P$3007,Settings!$A$16)+SUMIFS(Adjustments!$K$8:$K$207,Adjustments!$B$8:$B$207,$B68,Adjustments!$A$8:$A$207,Settings!$A$16))</f>
        <v>0</v>
      </c>
      <c r="P68" s="17" t="n">
        <f aca="false">IF($B68="",0,SUMIFS('Zoho Dump'!$X$8:$X$3007,'Zoho Dump'!$N$8:$N$3007,$B68,'Zoho Dump'!$P$8:$P$3007,Settings!$A$17)+SUMIFS(Adjustments!$K$8:$K$207,Adjustments!$B$8:$B$207,$B68,Adjustments!$A$8:$A$207,Settings!$A$17))</f>
        <v>0</v>
      </c>
      <c r="Q68" s="17" t="n">
        <f aca="false">IF($B68="",0,SUMIFS('Zoho Dump'!$X$8:$X$3007,'Zoho Dump'!$N$8:$N$3007,$B68,'Zoho Dump'!$P$8:$P$3007,Settings!$A$18)+SUMIFS(Adjustments!$K$8:$K$207,Adjustments!$B$8:$B$207,$B68,Adjustments!$A$8:$A$207,Settings!$A$18))</f>
        <v>0</v>
      </c>
      <c r="R68" s="30" t="str">
        <f aca="false">IF(G68&gt;0,G68+A68/10000000,"")</f>
        <v/>
      </c>
    </row>
    <row r="69" customFormat="false" ht="15" hidden="false" customHeight="false" outlineLevel="0" collapsed="false">
      <c r="A69" s="9" t="n">
        <v>65</v>
      </c>
      <c r="B69" s="9" t="str">
        <f aca="false">IFERROR(INDEX('Zoho Dump'!$N$8:$N$3007,MATCH(A69,'Zoho Dump'!$AB$8:$AB$3007,0)),"")</f>
        <v>Arup</v>
      </c>
      <c r="C69" s="17" t="n">
        <f aca="false">IF($B69="",0,SUMIFS('Zoho Dump'!$Q$8:$Q$3007,'Zoho Dump'!$N$8:$N$3007,$B69,'Zoho Dump'!$T$8:$T$3007,"Delivered",'Zoho Dump'!$R$8:$R$3007,"&gt;="&amp;Settings!$B$4))</f>
        <v>0</v>
      </c>
      <c r="D69" s="17" t="n">
        <f aca="false">IF($B69="",0,SUMIFS('Zoho Dump'!$X$8:$X$3007,'Zoho Dump'!$N$8:$N$3007,$B69,'Zoho Dump'!$T$8:$T$3007,"Backlog")+SUMIFS(Adjustments!$K$8:$K$207,Adjustments!$B$8:$B$207,$B69,Adjustments!$H$8:$H$207,"Backlog"))</f>
        <v>0</v>
      </c>
      <c r="E69" s="17" t="n">
        <f aca="false">IF($B69="",0,SUMIFS('Zoho Dump'!$Y$8:$Y$3007,'Zoho Dump'!$N$8:$N$3007,$B69,'Zoho Dump'!$T$8:$T$3007,"Pipeline")+SUMIFS(Adjustments!$L$8:$L$207,Adjustments!$B$8:$B$207,$B69,Adjustments!$H$8:$H$207,"Pipeline")+SUMIFS('Zoho Dump'!$Y$8:$Y$3007,'Zoho Dump'!$N$8:$N$3007,$B69,'Zoho Dump'!$T$8:$T$3007,"Overdue")+SUMIFS(Adjustments!$L$8:$L$207,Adjustments!$B$8:$B$207,$B69,Adjustments!$H$8:$H$207,"Overdue"))</f>
        <v>0</v>
      </c>
      <c r="F69" s="17" t="n">
        <f aca="false">IF($B69="",0,SUMIFS('Zoho Dump'!$X$8:$X$3007,'Zoho Dump'!$N$8:$N$3007,$B69,'Zoho Dump'!$T$8:$T$3007,"Pipeline")+SUMIFS(Adjustments!$K$8:$K$207,Adjustments!$B$8:$B$207,$B69,Adjustments!$H$8:$H$207,"Pipeline")+SUMIFS('Zoho Dump'!$X$8:$X$3007,'Zoho Dump'!$N$8:$N$3007,$B69,'Zoho Dump'!$T$8:$T$3007,"Overdue")+SUMIFS(Adjustments!$K$8:$K$207,Adjustments!$B$8:$B$207,$B69,Adjustments!$H$8:$H$207,"Overdue"))</f>
        <v>0</v>
      </c>
      <c r="G69" s="17" t="n">
        <f aca="false">D69+F69</f>
        <v>0</v>
      </c>
      <c r="H69" s="18" t="n">
        <f aca="false">IF(SUM($G$5:$G$404)=0,0,G69/SUM($G$5:$G$404))</f>
        <v>0</v>
      </c>
      <c r="I69" s="17" t="n">
        <f aca="false">IF($B69="",0,SUMIFS('Zoho Dump'!$Q$8:$Q$3007,'Zoho Dump'!$N$8:$N$3007,$B69,'Zoho Dump'!$T$8:$T$3007,"Lost",'Zoho Dump'!$R$8:$R$3007,"&gt;="&amp;Settings!$B$4))</f>
        <v>0</v>
      </c>
      <c r="J69" s="9" t="str">
        <f aca="false">IF($B69="","",IF(COUNTIF(Dashboard!$C$13:$C$22,$B69)&gt;0,"Yes",""))</f>
        <v/>
      </c>
      <c r="K69" s="17" t="n">
        <f aca="false">IF($B69="",0,SUMIFS('Zoho Dump'!$X$8:$X$3007,'Zoho Dump'!$N$8:$N$3007,$B69,'Zoho Dump'!$P$8:$P$3007,Settings!$A$12)+SUMIFS(Adjustments!$K$8:$K$207,Adjustments!$B$8:$B$207,$B69,Adjustments!$A$8:$A$207,Settings!$A$12))</f>
        <v>0</v>
      </c>
      <c r="L69" s="17" t="n">
        <f aca="false">IF($B69="",0,SUMIFS('Zoho Dump'!$X$8:$X$3007,'Zoho Dump'!$N$8:$N$3007,$B69,'Zoho Dump'!$P$8:$P$3007,Settings!$A$13)+SUMIFS(Adjustments!$K$8:$K$207,Adjustments!$B$8:$B$207,$B69,Adjustments!$A$8:$A$207,Settings!$A$13))</f>
        <v>0</v>
      </c>
      <c r="M69" s="17" t="n">
        <f aca="false">IF($B69="",0,SUMIFS('Zoho Dump'!$X$8:$X$3007,'Zoho Dump'!$N$8:$N$3007,$B69,'Zoho Dump'!$P$8:$P$3007,Settings!$A$14)+SUMIFS(Adjustments!$K$8:$K$207,Adjustments!$B$8:$B$207,$B69,Adjustments!$A$8:$A$207,Settings!$A$14))</f>
        <v>0</v>
      </c>
      <c r="N69" s="17" t="n">
        <f aca="false">IF($B69="",0,SUMIFS('Zoho Dump'!$X$8:$X$3007,'Zoho Dump'!$N$8:$N$3007,$B69,'Zoho Dump'!$P$8:$P$3007,Settings!$A$15)+SUMIFS(Adjustments!$K$8:$K$207,Adjustments!$B$8:$B$207,$B69,Adjustments!$A$8:$A$207,Settings!$A$15))</f>
        <v>0</v>
      </c>
      <c r="O69" s="17" t="n">
        <f aca="false">IF($B69="",0,SUMIFS('Zoho Dump'!$X$8:$X$3007,'Zoho Dump'!$N$8:$N$3007,$B69,'Zoho Dump'!$P$8:$P$3007,Settings!$A$16)+SUMIFS(Adjustments!$K$8:$K$207,Adjustments!$B$8:$B$207,$B69,Adjustments!$A$8:$A$207,Settings!$A$16))</f>
        <v>0</v>
      </c>
      <c r="P69" s="17" t="n">
        <f aca="false">IF($B69="",0,SUMIFS('Zoho Dump'!$X$8:$X$3007,'Zoho Dump'!$N$8:$N$3007,$B69,'Zoho Dump'!$P$8:$P$3007,Settings!$A$17)+SUMIFS(Adjustments!$K$8:$K$207,Adjustments!$B$8:$B$207,$B69,Adjustments!$A$8:$A$207,Settings!$A$17))</f>
        <v>0</v>
      </c>
      <c r="Q69" s="17" t="n">
        <f aca="false">IF($B69="",0,SUMIFS('Zoho Dump'!$X$8:$X$3007,'Zoho Dump'!$N$8:$N$3007,$B69,'Zoho Dump'!$P$8:$P$3007,Settings!$A$18)+SUMIFS(Adjustments!$K$8:$K$207,Adjustments!$B$8:$B$207,$B69,Adjustments!$A$8:$A$207,Settings!$A$18))</f>
        <v>0</v>
      </c>
      <c r="R69" s="30" t="str">
        <f aca="false">IF(G69&gt;0,G69+A69/10000000,"")</f>
        <v/>
      </c>
    </row>
    <row r="70" customFormat="false" ht="15" hidden="false" customHeight="false" outlineLevel="0" collapsed="false">
      <c r="A70" s="9" t="n">
        <v>66</v>
      </c>
      <c r="B70" s="9" t="str">
        <f aca="false">IFERROR(INDEX('Zoho Dump'!$N$8:$N$3007,MATCH(A70,'Zoho Dump'!$AB$8:$AB$3007,0)),"")</f>
        <v>Amazon Web Services Australia Pty Ltd</v>
      </c>
      <c r="C70" s="17" t="n">
        <f aca="false">IF($B70="",0,SUMIFS('Zoho Dump'!$Q$8:$Q$3007,'Zoho Dump'!$N$8:$N$3007,$B70,'Zoho Dump'!$T$8:$T$3007,"Delivered",'Zoho Dump'!$R$8:$R$3007,"&gt;="&amp;Settings!$B$4))</f>
        <v>0</v>
      </c>
      <c r="D70" s="17" t="n">
        <f aca="false">IF($B70="",0,SUMIFS('Zoho Dump'!$X$8:$X$3007,'Zoho Dump'!$N$8:$N$3007,$B70,'Zoho Dump'!$T$8:$T$3007,"Backlog")+SUMIFS(Adjustments!$K$8:$K$207,Adjustments!$B$8:$B$207,$B70,Adjustments!$H$8:$H$207,"Backlog"))</f>
        <v>0</v>
      </c>
      <c r="E70" s="17" t="n">
        <f aca="false">IF($B70="",0,SUMIFS('Zoho Dump'!$Y$8:$Y$3007,'Zoho Dump'!$N$8:$N$3007,$B70,'Zoho Dump'!$T$8:$T$3007,"Pipeline")+SUMIFS(Adjustments!$L$8:$L$207,Adjustments!$B$8:$B$207,$B70,Adjustments!$H$8:$H$207,"Pipeline")+SUMIFS('Zoho Dump'!$Y$8:$Y$3007,'Zoho Dump'!$N$8:$N$3007,$B70,'Zoho Dump'!$T$8:$T$3007,"Overdue")+SUMIFS(Adjustments!$L$8:$L$207,Adjustments!$B$8:$B$207,$B70,Adjustments!$H$8:$H$207,"Overdue"))</f>
        <v>0</v>
      </c>
      <c r="F70" s="17" t="n">
        <f aca="false">IF($B70="",0,SUMIFS('Zoho Dump'!$X$8:$X$3007,'Zoho Dump'!$N$8:$N$3007,$B70,'Zoho Dump'!$T$8:$T$3007,"Pipeline")+SUMIFS(Adjustments!$K$8:$K$207,Adjustments!$B$8:$B$207,$B70,Adjustments!$H$8:$H$207,"Pipeline")+SUMIFS('Zoho Dump'!$X$8:$X$3007,'Zoho Dump'!$N$8:$N$3007,$B70,'Zoho Dump'!$T$8:$T$3007,"Overdue")+SUMIFS(Adjustments!$K$8:$K$207,Adjustments!$B$8:$B$207,$B70,Adjustments!$H$8:$H$207,"Overdue"))</f>
        <v>0</v>
      </c>
      <c r="G70" s="17" t="n">
        <f aca="false">D70+F70</f>
        <v>0</v>
      </c>
      <c r="H70" s="18" t="n">
        <f aca="false">IF(SUM($G$5:$G$404)=0,0,G70/SUM($G$5:$G$404))</f>
        <v>0</v>
      </c>
      <c r="I70" s="17" t="n">
        <f aca="false">IF($B70="",0,SUMIFS('Zoho Dump'!$Q$8:$Q$3007,'Zoho Dump'!$N$8:$N$3007,$B70,'Zoho Dump'!$T$8:$T$3007,"Lost",'Zoho Dump'!$R$8:$R$3007,"&gt;="&amp;Settings!$B$4))</f>
        <v>0</v>
      </c>
      <c r="J70" s="9" t="str">
        <f aca="false">IF($B70="","",IF(COUNTIF(Dashboard!$C$13:$C$22,$B70)&gt;0,"Yes",""))</f>
        <v/>
      </c>
      <c r="K70" s="17" t="n">
        <f aca="false">IF($B70="",0,SUMIFS('Zoho Dump'!$X$8:$X$3007,'Zoho Dump'!$N$8:$N$3007,$B70,'Zoho Dump'!$P$8:$P$3007,Settings!$A$12)+SUMIFS(Adjustments!$K$8:$K$207,Adjustments!$B$8:$B$207,$B70,Adjustments!$A$8:$A$207,Settings!$A$12))</f>
        <v>0</v>
      </c>
      <c r="L70" s="17" t="n">
        <f aca="false">IF($B70="",0,SUMIFS('Zoho Dump'!$X$8:$X$3007,'Zoho Dump'!$N$8:$N$3007,$B70,'Zoho Dump'!$P$8:$P$3007,Settings!$A$13)+SUMIFS(Adjustments!$K$8:$K$207,Adjustments!$B$8:$B$207,$B70,Adjustments!$A$8:$A$207,Settings!$A$13))</f>
        <v>0</v>
      </c>
      <c r="M70" s="17" t="n">
        <f aca="false">IF($B70="",0,SUMIFS('Zoho Dump'!$X$8:$X$3007,'Zoho Dump'!$N$8:$N$3007,$B70,'Zoho Dump'!$P$8:$P$3007,Settings!$A$14)+SUMIFS(Adjustments!$K$8:$K$207,Adjustments!$B$8:$B$207,$B70,Adjustments!$A$8:$A$207,Settings!$A$14))</f>
        <v>0</v>
      </c>
      <c r="N70" s="17" t="n">
        <f aca="false">IF($B70="",0,SUMIFS('Zoho Dump'!$X$8:$X$3007,'Zoho Dump'!$N$8:$N$3007,$B70,'Zoho Dump'!$P$8:$P$3007,Settings!$A$15)+SUMIFS(Adjustments!$K$8:$K$207,Adjustments!$B$8:$B$207,$B70,Adjustments!$A$8:$A$207,Settings!$A$15))</f>
        <v>0</v>
      </c>
      <c r="O70" s="17" t="n">
        <f aca="false">IF($B70="",0,SUMIFS('Zoho Dump'!$X$8:$X$3007,'Zoho Dump'!$N$8:$N$3007,$B70,'Zoho Dump'!$P$8:$P$3007,Settings!$A$16)+SUMIFS(Adjustments!$K$8:$K$207,Adjustments!$B$8:$B$207,$B70,Adjustments!$A$8:$A$207,Settings!$A$16))</f>
        <v>0</v>
      </c>
      <c r="P70" s="17" t="n">
        <f aca="false">IF($B70="",0,SUMIFS('Zoho Dump'!$X$8:$X$3007,'Zoho Dump'!$N$8:$N$3007,$B70,'Zoho Dump'!$P$8:$P$3007,Settings!$A$17)+SUMIFS(Adjustments!$K$8:$K$207,Adjustments!$B$8:$B$207,$B70,Adjustments!$A$8:$A$207,Settings!$A$17))</f>
        <v>0</v>
      </c>
      <c r="Q70" s="17" t="n">
        <f aca="false">IF($B70="",0,SUMIFS('Zoho Dump'!$X$8:$X$3007,'Zoho Dump'!$N$8:$N$3007,$B70,'Zoho Dump'!$P$8:$P$3007,Settings!$A$18)+SUMIFS(Adjustments!$K$8:$K$207,Adjustments!$B$8:$B$207,$B70,Adjustments!$A$8:$A$207,Settings!$A$18))</f>
        <v>0</v>
      </c>
      <c r="R70" s="30" t="str">
        <f aca="false">IF(G70&gt;0,G70+A70/10000000,"")</f>
        <v/>
      </c>
    </row>
    <row r="71" customFormat="false" ht="15" hidden="false" customHeight="false" outlineLevel="0" collapsed="false">
      <c r="A71" s="9" t="n">
        <v>67</v>
      </c>
      <c r="B71" s="9" t="str">
        <f aca="false">IFERROR(INDEX('Zoho Dump'!$N$8:$N$3007,MATCH(A71,'Zoho Dump'!$AB$8:$AB$3007,0)),"")</f>
        <v>Commonwealth Bank of Australia - Sydney (CBP)</v>
      </c>
      <c r="C71" s="17" t="n">
        <f aca="false">IF($B71="",0,SUMIFS('Zoho Dump'!$Q$8:$Q$3007,'Zoho Dump'!$N$8:$N$3007,$B71,'Zoho Dump'!$T$8:$T$3007,"Delivered",'Zoho Dump'!$R$8:$R$3007,"&gt;="&amp;Settings!$B$4))</f>
        <v>49969</v>
      </c>
      <c r="D71" s="17" t="n">
        <f aca="false">IF($B71="",0,SUMIFS('Zoho Dump'!$X$8:$X$3007,'Zoho Dump'!$N$8:$N$3007,$B71,'Zoho Dump'!$T$8:$T$3007,"Backlog")+SUMIFS(Adjustments!$K$8:$K$207,Adjustments!$B$8:$B$207,$B71,Adjustments!$H$8:$H$207,"Backlog"))</f>
        <v>0</v>
      </c>
      <c r="E71" s="17" t="n">
        <f aca="false">IF($B71="",0,SUMIFS('Zoho Dump'!$Y$8:$Y$3007,'Zoho Dump'!$N$8:$N$3007,$B71,'Zoho Dump'!$T$8:$T$3007,"Pipeline")+SUMIFS(Adjustments!$L$8:$L$207,Adjustments!$B$8:$B$207,$B71,Adjustments!$H$8:$H$207,"Pipeline")+SUMIFS('Zoho Dump'!$Y$8:$Y$3007,'Zoho Dump'!$N$8:$N$3007,$B71,'Zoho Dump'!$T$8:$T$3007,"Overdue")+SUMIFS(Adjustments!$L$8:$L$207,Adjustments!$B$8:$B$207,$B71,Adjustments!$H$8:$H$207,"Overdue"))</f>
        <v>0</v>
      </c>
      <c r="F71" s="17" t="n">
        <f aca="false">IF($B71="",0,SUMIFS('Zoho Dump'!$X$8:$X$3007,'Zoho Dump'!$N$8:$N$3007,$B71,'Zoho Dump'!$T$8:$T$3007,"Pipeline")+SUMIFS(Adjustments!$K$8:$K$207,Adjustments!$B$8:$B$207,$B71,Adjustments!$H$8:$H$207,"Pipeline")+SUMIFS('Zoho Dump'!$X$8:$X$3007,'Zoho Dump'!$N$8:$N$3007,$B71,'Zoho Dump'!$T$8:$T$3007,"Overdue")+SUMIFS(Adjustments!$K$8:$K$207,Adjustments!$B$8:$B$207,$B71,Adjustments!$H$8:$H$207,"Overdue"))</f>
        <v>0</v>
      </c>
      <c r="G71" s="17" t="n">
        <f aca="false">D71+F71</f>
        <v>0</v>
      </c>
      <c r="H71" s="18" t="n">
        <f aca="false">IF(SUM($G$5:$G$404)=0,0,G71/SUM($G$5:$G$404))</f>
        <v>0</v>
      </c>
      <c r="I71" s="17" t="n">
        <f aca="false">IF($B71="",0,SUMIFS('Zoho Dump'!$Q$8:$Q$3007,'Zoho Dump'!$N$8:$N$3007,$B71,'Zoho Dump'!$T$8:$T$3007,"Lost",'Zoho Dump'!$R$8:$R$3007,"&gt;="&amp;Settings!$B$4))</f>
        <v>0</v>
      </c>
      <c r="J71" s="9" t="str">
        <f aca="false">IF($B71="","",IF(COUNTIF(Dashboard!$C$13:$C$22,$B71)&gt;0,"Yes",""))</f>
        <v/>
      </c>
      <c r="K71" s="17" t="n">
        <f aca="false">IF($B71="",0,SUMIFS('Zoho Dump'!$X$8:$X$3007,'Zoho Dump'!$N$8:$N$3007,$B71,'Zoho Dump'!$P$8:$P$3007,Settings!$A$12)+SUMIFS(Adjustments!$K$8:$K$207,Adjustments!$B$8:$B$207,$B71,Adjustments!$A$8:$A$207,Settings!$A$12))</f>
        <v>0</v>
      </c>
      <c r="L71" s="17" t="n">
        <f aca="false">IF($B71="",0,SUMIFS('Zoho Dump'!$X$8:$X$3007,'Zoho Dump'!$N$8:$N$3007,$B71,'Zoho Dump'!$P$8:$P$3007,Settings!$A$13)+SUMIFS(Adjustments!$K$8:$K$207,Adjustments!$B$8:$B$207,$B71,Adjustments!$A$8:$A$207,Settings!$A$13))</f>
        <v>0</v>
      </c>
      <c r="M71" s="17" t="n">
        <f aca="false">IF($B71="",0,SUMIFS('Zoho Dump'!$X$8:$X$3007,'Zoho Dump'!$N$8:$N$3007,$B71,'Zoho Dump'!$P$8:$P$3007,Settings!$A$14)+SUMIFS(Adjustments!$K$8:$K$207,Adjustments!$B$8:$B$207,$B71,Adjustments!$A$8:$A$207,Settings!$A$14))</f>
        <v>0</v>
      </c>
      <c r="N71" s="17" t="n">
        <f aca="false">IF($B71="",0,SUMIFS('Zoho Dump'!$X$8:$X$3007,'Zoho Dump'!$N$8:$N$3007,$B71,'Zoho Dump'!$P$8:$P$3007,Settings!$A$15)+SUMIFS(Adjustments!$K$8:$K$207,Adjustments!$B$8:$B$207,$B71,Adjustments!$A$8:$A$207,Settings!$A$15))</f>
        <v>0</v>
      </c>
      <c r="O71" s="17" t="n">
        <f aca="false">IF($B71="",0,SUMIFS('Zoho Dump'!$X$8:$X$3007,'Zoho Dump'!$N$8:$N$3007,$B71,'Zoho Dump'!$P$8:$P$3007,Settings!$A$16)+SUMIFS(Adjustments!$K$8:$K$207,Adjustments!$B$8:$B$207,$B71,Adjustments!$A$8:$A$207,Settings!$A$16))</f>
        <v>0</v>
      </c>
      <c r="P71" s="17" t="n">
        <f aca="false">IF($B71="",0,SUMIFS('Zoho Dump'!$X$8:$X$3007,'Zoho Dump'!$N$8:$N$3007,$B71,'Zoho Dump'!$P$8:$P$3007,Settings!$A$17)+SUMIFS(Adjustments!$K$8:$K$207,Adjustments!$B$8:$B$207,$B71,Adjustments!$A$8:$A$207,Settings!$A$17))</f>
        <v>0</v>
      </c>
      <c r="Q71" s="17" t="n">
        <f aca="false">IF($B71="",0,SUMIFS('Zoho Dump'!$X$8:$X$3007,'Zoho Dump'!$N$8:$N$3007,$B71,'Zoho Dump'!$P$8:$P$3007,Settings!$A$18)+SUMIFS(Adjustments!$K$8:$K$207,Adjustments!$B$8:$B$207,$B71,Adjustments!$A$8:$A$207,Settings!$A$18))</f>
        <v>0</v>
      </c>
      <c r="R71" s="30" t="str">
        <f aca="false">IF(G71&gt;0,G71+A71/10000000,"")</f>
        <v/>
      </c>
    </row>
    <row r="72" customFormat="false" ht="15" hidden="false" customHeight="false" outlineLevel="0" collapsed="false">
      <c r="A72" s="9" t="n">
        <v>68</v>
      </c>
      <c r="B72" s="9" t="str">
        <f aca="false">IFERROR(INDEX('Zoho Dump'!$N$8:$N$3007,MATCH(A72,'Zoho Dump'!$AB$8:$AB$3007,0)),"")</f>
        <v>CommSecurity Pty Ltd</v>
      </c>
      <c r="C72" s="17" t="n">
        <f aca="false">IF($B72="",0,SUMIFS('Zoho Dump'!$Q$8:$Q$3007,'Zoho Dump'!$N$8:$N$3007,$B72,'Zoho Dump'!$T$8:$T$3007,"Delivered",'Zoho Dump'!$R$8:$R$3007,"&gt;="&amp;Settings!$B$4))</f>
        <v>0</v>
      </c>
      <c r="D72" s="17" t="n">
        <f aca="false">IF($B72="",0,SUMIFS('Zoho Dump'!$X$8:$X$3007,'Zoho Dump'!$N$8:$N$3007,$B72,'Zoho Dump'!$T$8:$T$3007,"Backlog")+SUMIFS(Adjustments!$K$8:$K$207,Adjustments!$B$8:$B$207,$B72,Adjustments!$H$8:$H$207,"Backlog"))</f>
        <v>0</v>
      </c>
      <c r="E72" s="17" t="n">
        <f aca="false">IF($B72="",0,SUMIFS('Zoho Dump'!$Y$8:$Y$3007,'Zoho Dump'!$N$8:$N$3007,$B72,'Zoho Dump'!$T$8:$T$3007,"Pipeline")+SUMIFS(Adjustments!$L$8:$L$207,Adjustments!$B$8:$B$207,$B72,Adjustments!$H$8:$H$207,"Pipeline")+SUMIFS('Zoho Dump'!$Y$8:$Y$3007,'Zoho Dump'!$N$8:$N$3007,$B72,'Zoho Dump'!$T$8:$T$3007,"Overdue")+SUMIFS(Adjustments!$L$8:$L$207,Adjustments!$B$8:$B$207,$B72,Adjustments!$H$8:$H$207,"Overdue"))</f>
        <v>0</v>
      </c>
      <c r="F72" s="17" t="n">
        <f aca="false">IF($B72="",0,SUMIFS('Zoho Dump'!$X$8:$X$3007,'Zoho Dump'!$N$8:$N$3007,$B72,'Zoho Dump'!$T$8:$T$3007,"Pipeline")+SUMIFS(Adjustments!$K$8:$K$207,Adjustments!$B$8:$B$207,$B72,Adjustments!$H$8:$H$207,"Pipeline")+SUMIFS('Zoho Dump'!$X$8:$X$3007,'Zoho Dump'!$N$8:$N$3007,$B72,'Zoho Dump'!$T$8:$T$3007,"Overdue")+SUMIFS(Adjustments!$K$8:$K$207,Adjustments!$B$8:$B$207,$B72,Adjustments!$H$8:$H$207,"Overdue"))</f>
        <v>0</v>
      </c>
      <c r="G72" s="17" t="n">
        <f aca="false">D72+F72</f>
        <v>0</v>
      </c>
      <c r="H72" s="18" t="n">
        <f aca="false">IF(SUM($G$5:$G$404)=0,0,G72/SUM($G$5:$G$404))</f>
        <v>0</v>
      </c>
      <c r="I72" s="17" t="n">
        <f aca="false">IF($B72="",0,SUMIFS('Zoho Dump'!$Q$8:$Q$3007,'Zoho Dump'!$N$8:$N$3007,$B72,'Zoho Dump'!$T$8:$T$3007,"Lost",'Zoho Dump'!$R$8:$R$3007,"&gt;="&amp;Settings!$B$4))</f>
        <v>0</v>
      </c>
      <c r="J72" s="9" t="str">
        <f aca="false">IF($B72="","",IF(COUNTIF(Dashboard!$C$13:$C$22,$B72)&gt;0,"Yes",""))</f>
        <v/>
      </c>
      <c r="K72" s="17" t="n">
        <f aca="false">IF($B72="",0,SUMIFS('Zoho Dump'!$X$8:$X$3007,'Zoho Dump'!$N$8:$N$3007,$B72,'Zoho Dump'!$P$8:$P$3007,Settings!$A$12)+SUMIFS(Adjustments!$K$8:$K$207,Adjustments!$B$8:$B$207,$B72,Adjustments!$A$8:$A$207,Settings!$A$12))</f>
        <v>0</v>
      </c>
      <c r="L72" s="17" t="n">
        <f aca="false">IF($B72="",0,SUMIFS('Zoho Dump'!$X$8:$X$3007,'Zoho Dump'!$N$8:$N$3007,$B72,'Zoho Dump'!$P$8:$P$3007,Settings!$A$13)+SUMIFS(Adjustments!$K$8:$K$207,Adjustments!$B$8:$B$207,$B72,Adjustments!$A$8:$A$207,Settings!$A$13))</f>
        <v>0</v>
      </c>
      <c r="M72" s="17" t="n">
        <f aca="false">IF($B72="",0,SUMIFS('Zoho Dump'!$X$8:$X$3007,'Zoho Dump'!$N$8:$N$3007,$B72,'Zoho Dump'!$P$8:$P$3007,Settings!$A$14)+SUMIFS(Adjustments!$K$8:$K$207,Adjustments!$B$8:$B$207,$B72,Adjustments!$A$8:$A$207,Settings!$A$14))</f>
        <v>0</v>
      </c>
      <c r="N72" s="17" t="n">
        <f aca="false">IF($B72="",0,SUMIFS('Zoho Dump'!$X$8:$X$3007,'Zoho Dump'!$N$8:$N$3007,$B72,'Zoho Dump'!$P$8:$P$3007,Settings!$A$15)+SUMIFS(Adjustments!$K$8:$K$207,Adjustments!$B$8:$B$207,$B72,Adjustments!$A$8:$A$207,Settings!$A$15))</f>
        <v>0</v>
      </c>
      <c r="O72" s="17" t="n">
        <f aca="false">IF($B72="",0,SUMIFS('Zoho Dump'!$X$8:$X$3007,'Zoho Dump'!$N$8:$N$3007,$B72,'Zoho Dump'!$P$8:$P$3007,Settings!$A$16)+SUMIFS(Adjustments!$K$8:$K$207,Adjustments!$B$8:$B$207,$B72,Adjustments!$A$8:$A$207,Settings!$A$16))</f>
        <v>0</v>
      </c>
      <c r="P72" s="17" t="n">
        <f aca="false">IF($B72="",0,SUMIFS('Zoho Dump'!$X$8:$X$3007,'Zoho Dump'!$N$8:$N$3007,$B72,'Zoho Dump'!$P$8:$P$3007,Settings!$A$17)+SUMIFS(Adjustments!$K$8:$K$207,Adjustments!$B$8:$B$207,$B72,Adjustments!$A$8:$A$207,Settings!$A$17))</f>
        <v>0</v>
      </c>
      <c r="Q72" s="17" t="n">
        <f aca="false">IF($B72="",0,SUMIFS('Zoho Dump'!$X$8:$X$3007,'Zoho Dump'!$N$8:$N$3007,$B72,'Zoho Dump'!$P$8:$P$3007,Settings!$A$18)+SUMIFS(Adjustments!$K$8:$K$207,Adjustments!$B$8:$B$207,$B72,Adjustments!$A$8:$A$207,Settings!$A$18))</f>
        <v>0</v>
      </c>
      <c r="R72" s="30" t="str">
        <f aca="false">IF(G72&gt;0,G72+A72/10000000,"")</f>
        <v/>
      </c>
    </row>
    <row r="73" customFormat="false" ht="15" hidden="false" customHeight="false" outlineLevel="0" collapsed="false">
      <c r="A73" s="9" t="n">
        <v>69</v>
      </c>
      <c r="B73" s="9" t="str">
        <f aca="false">IFERROR(INDEX('Zoho Dump'!$N$8:$N$3007,MATCH(A73,'Zoho Dump'!$AB$8:$AB$3007,0)),"")</f>
        <v>CEO Institute</v>
      </c>
      <c r="C73" s="17" t="n">
        <f aca="false">IF($B73="",0,SUMIFS('Zoho Dump'!$Q$8:$Q$3007,'Zoho Dump'!$N$8:$N$3007,$B73,'Zoho Dump'!$T$8:$T$3007,"Delivered",'Zoho Dump'!$R$8:$R$3007,"&gt;="&amp;Settings!$B$4))</f>
        <v>8260</v>
      </c>
      <c r="D73" s="17" t="n">
        <f aca="false">IF($B73="",0,SUMIFS('Zoho Dump'!$X$8:$X$3007,'Zoho Dump'!$N$8:$N$3007,$B73,'Zoho Dump'!$T$8:$T$3007,"Backlog")+SUMIFS(Adjustments!$K$8:$K$207,Adjustments!$B$8:$B$207,$B73,Adjustments!$H$8:$H$207,"Backlog"))</f>
        <v>0</v>
      </c>
      <c r="E73" s="17" t="n">
        <f aca="false">IF($B73="",0,SUMIFS('Zoho Dump'!$Y$8:$Y$3007,'Zoho Dump'!$N$8:$N$3007,$B73,'Zoho Dump'!$T$8:$T$3007,"Pipeline")+SUMIFS(Adjustments!$L$8:$L$207,Adjustments!$B$8:$B$207,$B73,Adjustments!$H$8:$H$207,"Pipeline")+SUMIFS('Zoho Dump'!$Y$8:$Y$3007,'Zoho Dump'!$N$8:$N$3007,$B73,'Zoho Dump'!$T$8:$T$3007,"Overdue")+SUMIFS(Adjustments!$L$8:$L$207,Adjustments!$B$8:$B$207,$B73,Adjustments!$H$8:$H$207,"Overdue"))</f>
        <v>0</v>
      </c>
      <c r="F73" s="17" t="n">
        <f aca="false">IF($B73="",0,SUMIFS('Zoho Dump'!$X$8:$X$3007,'Zoho Dump'!$N$8:$N$3007,$B73,'Zoho Dump'!$T$8:$T$3007,"Pipeline")+SUMIFS(Adjustments!$K$8:$K$207,Adjustments!$B$8:$B$207,$B73,Adjustments!$H$8:$H$207,"Pipeline")+SUMIFS('Zoho Dump'!$X$8:$X$3007,'Zoho Dump'!$N$8:$N$3007,$B73,'Zoho Dump'!$T$8:$T$3007,"Overdue")+SUMIFS(Adjustments!$K$8:$K$207,Adjustments!$B$8:$B$207,$B73,Adjustments!$H$8:$H$207,"Overdue"))</f>
        <v>0</v>
      </c>
      <c r="G73" s="17" t="n">
        <f aca="false">D73+F73</f>
        <v>0</v>
      </c>
      <c r="H73" s="18" t="n">
        <f aca="false">IF(SUM($G$5:$G$404)=0,0,G73/SUM($G$5:$G$404))</f>
        <v>0</v>
      </c>
      <c r="I73" s="17" t="n">
        <f aca="false">IF($B73="",0,SUMIFS('Zoho Dump'!$Q$8:$Q$3007,'Zoho Dump'!$N$8:$N$3007,$B73,'Zoho Dump'!$T$8:$T$3007,"Lost",'Zoho Dump'!$R$8:$R$3007,"&gt;="&amp;Settings!$B$4))</f>
        <v>0</v>
      </c>
      <c r="J73" s="9" t="str">
        <f aca="false">IF($B73="","",IF(COUNTIF(Dashboard!$C$13:$C$22,$B73)&gt;0,"Yes",""))</f>
        <v/>
      </c>
      <c r="K73" s="17" t="n">
        <f aca="false">IF($B73="",0,SUMIFS('Zoho Dump'!$X$8:$X$3007,'Zoho Dump'!$N$8:$N$3007,$B73,'Zoho Dump'!$P$8:$P$3007,Settings!$A$12)+SUMIFS(Adjustments!$K$8:$K$207,Adjustments!$B$8:$B$207,$B73,Adjustments!$A$8:$A$207,Settings!$A$12))</f>
        <v>0</v>
      </c>
      <c r="L73" s="17" t="n">
        <f aca="false">IF($B73="",0,SUMIFS('Zoho Dump'!$X$8:$X$3007,'Zoho Dump'!$N$8:$N$3007,$B73,'Zoho Dump'!$P$8:$P$3007,Settings!$A$13)+SUMIFS(Adjustments!$K$8:$K$207,Adjustments!$B$8:$B$207,$B73,Adjustments!$A$8:$A$207,Settings!$A$13))</f>
        <v>0</v>
      </c>
      <c r="M73" s="17" t="n">
        <f aca="false">IF($B73="",0,SUMIFS('Zoho Dump'!$X$8:$X$3007,'Zoho Dump'!$N$8:$N$3007,$B73,'Zoho Dump'!$P$8:$P$3007,Settings!$A$14)+SUMIFS(Adjustments!$K$8:$K$207,Adjustments!$B$8:$B$207,$B73,Adjustments!$A$8:$A$207,Settings!$A$14))</f>
        <v>0</v>
      </c>
      <c r="N73" s="17" t="n">
        <f aca="false">IF($B73="",0,SUMIFS('Zoho Dump'!$X$8:$X$3007,'Zoho Dump'!$N$8:$N$3007,$B73,'Zoho Dump'!$P$8:$P$3007,Settings!$A$15)+SUMIFS(Adjustments!$K$8:$K$207,Adjustments!$B$8:$B$207,$B73,Adjustments!$A$8:$A$207,Settings!$A$15))</f>
        <v>0</v>
      </c>
      <c r="O73" s="17" t="n">
        <f aca="false">IF($B73="",0,SUMIFS('Zoho Dump'!$X$8:$X$3007,'Zoho Dump'!$N$8:$N$3007,$B73,'Zoho Dump'!$P$8:$P$3007,Settings!$A$16)+SUMIFS(Adjustments!$K$8:$K$207,Adjustments!$B$8:$B$207,$B73,Adjustments!$A$8:$A$207,Settings!$A$16))</f>
        <v>0</v>
      </c>
      <c r="P73" s="17" t="n">
        <f aca="false">IF($B73="",0,SUMIFS('Zoho Dump'!$X$8:$X$3007,'Zoho Dump'!$N$8:$N$3007,$B73,'Zoho Dump'!$P$8:$P$3007,Settings!$A$17)+SUMIFS(Adjustments!$K$8:$K$207,Adjustments!$B$8:$B$207,$B73,Adjustments!$A$8:$A$207,Settings!$A$17))</f>
        <v>0</v>
      </c>
      <c r="Q73" s="17" t="n">
        <f aca="false">IF($B73="",0,SUMIFS('Zoho Dump'!$X$8:$X$3007,'Zoho Dump'!$N$8:$N$3007,$B73,'Zoho Dump'!$P$8:$P$3007,Settings!$A$18)+SUMIFS(Adjustments!$K$8:$K$207,Adjustments!$B$8:$B$207,$B73,Adjustments!$A$8:$A$207,Settings!$A$18))</f>
        <v>0</v>
      </c>
      <c r="R73" s="30" t="str">
        <f aca="false">IF(G73&gt;0,G73+A73/10000000,"")</f>
        <v/>
      </c>
    </row>
    <row r="74" customFormat="false" ht="15" hidden="false" customHeight="false" outlineLevel="0" collapsed="false">
      <c r="A74" s="9" t="n">
        <v>70</v>
      </c>
      <c r="B74" s="9" t="str">
        <f aca="false">IFERROR(INDEX('Zoho Dump'!$N$8:$N$3007,MATCH(A74,'Zoho Dump'!$AB$8:$AB$3007,0)),"")</f>
        <v>Loreto Normanhurst</v>
      </c>
      <c r="C74" s="17" t="n">
        <f aca="false">IF($B74="",0,SUMIFS('Zoho Dump'!$Q$8:$Q$3007,'Zoho Dump'!$N$8:$N$3007,$B74,'Zoho Dump'!$T$8:$T$3007,"Delivered",'Zoho Dump'!$R$8:$R$3007,"&gt;="&amp;Settings!$B$4))</f>
        <v>0</v>
      </c>
      <c r="D74" s="17" t="n">
        <f aca="false">IF($B74="",0,SUMIFS('Zoho Dump'!$X$8:$X$3007,'Zoho Dump'!$N$8:$N$3007,$B74,'Zoho Dump'!$T$8:$T$3007,"Backlog")+SUMIFS(Adjustments!$K$8:$K$207,Adjustments!$B$8:$B$207,$B74,Adjustments!$H$8:$H$207,"Backlog"))</f>
        <v>0</v>
      </c>
      <c r="E74" s="17" t="n">
        <f aca="false">IF($B74="",0,SUMIFS('Zoho Dump'!$Y$8:$Y$3007,'Zoho Dump'!$N$8:$N$3007,$B74,'Zoho Dump'!$T$8:$T$3007,"Pipeline")+SUMIFS(Adjustments!$L$8:$L$207,Adjustments!$B$8:$B$207,$B74,Adjustments!$H$8:$H$207,"Pipeline")+SUMIFS('Zoho Dump'!$Y$8:$Y$3007,'Zoho Dump'!$N$8:$N$3007,$B74,'Zoho Dump'!$T$8:$T$3007,"Overdue")+SUMIFS(Adjustments!$L$8:$L$207,Adjustments!$B$8:$B$207,$B74,Adjustments!$H$8:$H$207,"Overdue"))</f>
        <v>0</v>
      </c>
      <c r="F74" s="17" t="n">
        <f aca="false">IF($B74="",0,SUMIFS('Zoho Dump'!$X$8:$X$3007,'Zoho Dump'!$N$8:$N$3007,$B74,'Zoho Dump'!$T$8:$T$3007,"Pipeline")+SUMIFS(Adjustments!$K$8:$K$207,Adjustments!$B$8:$B$207,$B74,Adjustments!$H$8:$H$207,"Pipeline")+SUMIFS('Zoho Dump'!$X$8:$X$3007,'Zoho Dump'!$N$8:$N$3007,$B74,'Zoho Dump'!$T$8:$T$3007,"Overdue")+SUMIFS(Adjustments!$K$8:$K$207,Adjustments!$B$8:$B$207,$B74,Adjustments!$H$8:$H$207,"Overdue"))</f>
        <v>0</v>
      </c>
      <c r="G74" s="17" t="n">
        <f aca="false">D74+F74</f>
        <v>0</v>
      </c>
      <c r="H74" s="18" t="n">
        <f aca="false">IF(SUM($G$5:$G$404)=0,0,G74/SUM($G$5:$G$404))</f>
        <v>0</v>
      </c>
      <c r="I74" s="17" t="n">
        <f aca="false">IF($B74="",0,SUMIFS('Zoho Dump'!$Q$8:$Q$3007,'Zoho Dump'!$N$8:$N$3007,$B74,'Zoho Dump'!$T$8:$T$3007,"Lost",'Zoho Dump'!$R$8:$R$3007,"&gt;="&amp;Settings!$B$4))</f>
        <v>0</v>
      </c>
      <c r="J74" s="9" t="str">
        <f aca="false">IF($B74="","",IF(COUNTIF(Dashboard!$C$13:$C$22,$B74)&gt;0,"Yes",""))</f>
        <v/>
      </c>
      <c r="K74" s="17" t="n">
        <f aca="false">IF($B74="",0,SUMIFS('Zoho Dump'!$X$8:$X$3007,'Zoho Dump'!$N$8:$N$3007,$B74,'Zoho Dump'!$P$8:$P$3007,Settings!$A$12)+SUMIFS(Adjustments!$K$8:$K$207,Adjustments!$B$8:$B$207,$B74,Adjustments!$A$8:$A$207,Settings!$A$12))</f>
        <v>0</v>
      </c>
      <c r="L74" s="17" t="n">
        <f aca="false">IF($B74="",0,SUMIFS('Zoho Dump'!$X$8:$X$3007,'Zoho Dump'!$N$8:$N$3007,$B74,'Zoho Dump'!$P$8:$P$3007,Settings!$A$13)+SUMIFS(Adjustments!$K$8:$K$207,Adjustments!$B$8:$B$207,$B74,Adjustments!$A$8:$A$207,Settings!$A$13))</f>
        <v>0</v>
      </c>
      <c r="M74" s="17" t="n">
        <f aca="false">IF($B74="",0,SUMIFS('Zoho Dump'!$X$8:$X$3007,'Zoho Dump'!$N$8:$N$3007,$B74,'Zoho Dump'!$P$8:$P$3007,Settings!$A$14)+SUMIFS(Adjustments!$K$8:$K$207,Adjustments!$B$8:$B$207,$B74,Adjustments!$A$8:$A$207,Settings!$A$14))</f>
        <v>0</v>
      </c>
      <c r="N74" s="17" t="n">
        <f aca="false">IF($B74="",0,SUMIFS('Zoho Dump'!$X$8:$X$3007,'Zoho Dump'!$N$8:$N$3007,$B74,'Zoho Dump'!$P$8:$P$3007,Settings!$A$15)+SUMIFS(Adjustments!$K$8:$K$207,Adjustments!$B$8:$B$207,$B74,Adjustments!$A$8:$A$207,Settings!$A$15))</f>
        <v>0</v>
      </c>
      <c r="O74" s="17" t="n">
        <f aca="false">IF($B74="",0,SUMIFS('Zoho Dump'!$X$8:$X$3007,'Zoho Dump'!$N$8:$N$3007,$B74,'Zoho Dump'!$P$8:$P$3007,Settings!$A$16)+SUMIFS(Adjustments!$K$8:$K$207,Adjustments!$B$8:$B$207,$B74,Adjustments!$A$8:$A$207,Settings!$A$16))</f>
        <v>0</v>
      </c>
      <c r="P74" s="17" t="n">
        <f aca="false">IF($B74="",0,SUMIFS('Zoho Dump'!$X$8:$X$3007,'Zoho Dump'!$N$8:$N$3007,$B74,'Zoho Dump'!$P$8:$P$3007,Settings!$A$17)+SUMIFS(Adjustments!$K$8:$K$207,Adjustments!$B$8:$B$207,$B74,Adjustments!$A$8:$A$207,Settings!$A$17))</f>
        <v>0</v>
      </c>
      <c r="Q74" s="17" t="n">
        <f aca="false">IF($B74="",0,SUMIFS('Zoho Dump'!$X$8:$X$3007,'Zoho Dump'!$N$8:$N$3007,$B74,'Zoho Dump'!$P$8:$P$3007,Settings!$A$18)+SUMIFS(Adjustments!$K$8:$K$207,Adjustments!$B$8:$B$207,$B74,Adjustments!$A$8:$A$207,Settings!$A$18))</f>
        <v>0</v>
      </c>
      <c r="R74" s="30" t="str">
        <f aca="false">IF(G74&gt;0,G74+A74/10000000,"")</f>
        <v/>
      </c>
    </row>
    <row r="75" customFormat="false" ht="15" hidden="false" customHeight="false" outlineLevel="0" collapsed="false">
      <c r="A75" s="9" t="n">
        <v>71</v>
      </c>
      <c r="B75" s="9" t="str">
        <f aca="false">IFERROR(INDEX('Zoho Dump'!$N$8:$N$3007,MATCH(A75,'Zoho Dump'!$AB$8:$AB$3007,0)),"")</f>
        <v>AVIT</v>
      </c>
      <c r="C75" s="17" t="n">
        <f aca="false">IF($B75="",0,SUMIFS('Zoho Dump'!$Q$8:$Q$3007,'Zoho Dump'!$N$8:$N$3007,$B75,'Zoho Dump'!$T$8:$T$3007,"Delivered",'Zoho Dump'!$R$8:$R$3007,"&gt;="&amp;Settings!$B$4))</f>
        <v>0</v>
      </c>
      <c r="D75" s="17" t="n">
        <f aca="false">IF($B75="",0,SUMIFS('Zoho Dump'!$X$8:$X$3007,'Zoho Dump'!$N$8:$N$3007,$B75,'Zoho Dump'!$T$8:$T$3007,"Backlog")+SUMIFS(Adjustments!$K$8:$K$207,Adjustments!$B$8:$B$207,$B75,Adjustments!$H$8:$H$207,"Backlog"))</f>
        <v>0</v>
      </c>
      <c r="E75" s="17" t="n">
        <f aca="false">IF($B75="",0,SUMIFS('Zoho Dump'!$Y$8:$Y$3007,'Zoho Dump'!$N$8:$N$3007,$B75,'Zoho Dump'!$T$8:$T$3007,"Pipeline")+SUMIFS(Adjustments!$L$8:$L$207,Adjustments!$B$8:$B$207,$B75,Adjustments!$H$8:$H$207,"Pipeline")+SUMIFS('Zoho Dump'!$Y$8:$Y$3007,'Zoho Dump'!$N$8:$N$3007,$B75,'Zoho Dump'!$T$8:$T$3007,"Overdue")+SUMIFS(Adjustments!$L$8:$L$207,Adjustments!$B$8:$B$207,$B75,Adjustments!$H$8:$H$207,"Overdue"))</f>
        <v>0</v>
      </c>
      <c r="F75" s="17" t="n">
        <f aca="false">IF($B75="",0,SUMIFS('Zoho Dump'!$X$8:$X$3007,'Zoho Dump'!$N$8:$N$3007,$B75,'Zoho Dump'!$T$8:$T$3007,"Pipeline")+SUMIFS(Adjustments!$K$8:$K$207,Adjustments!$B$8:$B$207,$B75,Adjustments!$H$8:$H$207,"Pipeline")+SUMIFS('Zoho Dump'!$X$8:$X$3007,'Zoho Dump'!$N$8:$N$3007,$B75,'Zoho Dump'!$T$8:$T$3007,"Overdue")+SUMIFS(Adjustments!$K$8:$K$207,Adjustments!$B$8:$B$207,$B75,Adjustments!$H$8:$H$207,"Overdue"))</f>
        <v>0</v>
      </c>
      <c r="G75" s="17" t="n">
        <f aca="false">D75+F75</f>
        <v>0</v>
      </c>
      <c r="H75" s="18" t="n">
        <f aca="false">IF(SUM($G$5:$G$404)=0,0,G75/SUM($G$5:$G$404))</f>
        <v>0</v>
      </c>
      <c r="I75" s="17" t="n">
        <f aca="false">IF($B75="",0,SUMIFS('Zoho Dump'!$Q$8:$Q$3007,'Zoho Dump'!$N$8:$N$3007,$B75,'Zoho Dump'!$T$8:$T$3007,"Lost",'Zoho Dump'!$R$8:$R$3007,"&gt;="&amp;Settings!$B$4))</f>
        <v>0</v>
      </c>
      <c r="J75" s="9" t="str">
        <f aca="false">IF($B75="","",IF(COUNTIF(Dashboard!$C$13:$C$22,$B75)&gt;0,"Yes",""))</f>
        <v/>
      </c>
      <c r="K75" s="17" t="n">
        <f aca="false">IF($B75="",0,SUMIFS('Zoho Dump'!$X$8:$X$3007,'Zoho Dump'!$N$8:$N$3007,$B75,'Zoho Dump'!$P$8:$P$3007,Settings!$A$12)+SUMIFS(Adjustments!$K$8:$K$207,Adjustments!$B$8:$B$207,$B75,Adjustments!$A$8:$A$207,Settings!$A$12))</f>
        <v>0</v>
      </c>
      <c r="L75" s="17" t="n">
        <f aca="false">IF($B75="",0,SUMIFS('Zoho Dump'!$X$8:$X$3007,'Zoho Dump'!$N$8:$N$3007,$B75,'Zoho Dump'!$P$8:$P$3007,Settings!$A$13)+SUMIFS(Adjustments!$K$8:$K$207,Adjustments!$B$8:$B$207,$B75,Adjustments!$A$8:$A$207,Settings!$A$13))</f>
        <v>0</v>
      </c>
      <c r="M75" s="17" t="n">
        <f aca="false">IF($B75="",0,SUMIFS('Zoho Dump'!$X$8:$X$3007,'Zoho Dump'!$N$8:$N$3007,$B75,'Zoho Dump'!$P$8:$P$3007,Settings!$A$14)+SUMIFS(Adjustments!$K$8:$K$207,Adjustments!$B$8:$B$207,$B75,Adjustments!$A$8:$A$207,Settings!$A$14))</f>
        <v>0</v>
      </c>
      <c r="N75" s="17" t="n">
        <f aca="false">IF($B75="",0,SUMIFS('Zoho Dump'!$X$8:$X$3007,'Zoho Dump'!$N$8:$N$3007,$B75,'Zoho Dump'!$P$8:$P$3007,Settings!$A$15)+SUMIFS(Adjustments!$K$8:$K$207,Adjustments!$B$8:$B$207,$B75,Adjustments!$A$8:$A$207,Settings!$A$15))</f>
        <v>0</v>
      </c>
      <c r="O75" s="17" t="n">
        <f aca="false">IF($B75="",0,SUMIFS('Zoho Dump'!$X$8:$X$3007,'Zoho Dump'!$N$8:$N$3007,$B75,'Zoho Dump'!$P$8:$P$3007,Settings!$A$16)+SUMIFS(Adjustments!$K$8:$K$207,Adjustments!$B$8:$B$207,$B75,Adjustments!$A$8:$A$207,Settings!$A$16))</f>
        <v>0</v>
      </c>
      <c r="P75" s="17" t="n">
        <f aca="false">IF($B75="",0,SUMIFS('Zoho Dump'!$X$8:$X$3007,'Zoho Dump'!$N$8:$N$3007,$B75,'Zoho Dump'!$P$8:$P$3007,Settings!$A$17)+SUMIFS(Adjustments!$K$8:$K$207,Adjustments!$B$8:$B$207,$B75,Adjustments!$A$8:$A$207,Settings!$A$17))</f>
        <v>0</v>
      </c>
      <c r="Q75" s="17" t="n">
        <f aca="false">IF($B75="",0,SUMIFS('Zoho Dump'!$X$8:$X$3007,'Zoho Dump'!$N$8:$N$3007,$B75,'Zoho Dump'!$P$8:$P$3007,Settings!$A$18)+SUMIFS(Adjustments!$K$8:$K$207,Adjustments!$B$8:$B$207,$B75,Adjustments!$A$8:$A$207,Settings!$A$18))</f>
        <v>0</v>
      </c>
      <c r="R75" s="30" t="str">
        <f aca="false">IF(G75&gt;0,G75+A75/10000000,"")</f>
        <v/>
      </c>
    </row>
    <row r="76" customFormat="false" ht="15" hidden="false" customHeight="false" outlineLevel="0" collapsed="false">
      <c r="A76" s="9" t="n">
        <v>72</v>
      </c>
      <c r="B76" s="9" t="str">
        <f aca="false">IFERROR(INDEX('Zoho Dump'!$N$8:$N$3007,MATCH(A76,'Zoho Dump'!$AB$8:$AB$3007,0)),"")</f>
        <v>Corrivium</v>
      </c>
      <c r="C76" s="17" t="n">
        <f aca="false">IF($B76="",0,SUMIFS('Zoho Dump'!$Q$8:$Q$3007,'Zoho Dump'!$N$8:$N$3007,$B76,'Zoho Dump'!$T$8:$T$3007,"Delivered",'Zoho Dump'!$R$8:$R$3007,"&gt;="&amp;Settings!$B$4))</f>
        <v>0</v>
      </c>
      <c r="D76" s="17" t="n">
        <f aca="false">IF($B76="",0,SUMIFS('Zoho Dump'!$X$8:$X$3007,'Zoho Dump'!$N$8:$N$3007,$B76,'Zoho Dump'!$T$8:$T$3007,"Backlog")+SUMIFS(Adjustments!$K$8:$K$207,Adjustments!$B$8:$B$207,$B76,Adjustments!$H$8:$H$207,"Backlog"))</f>
        <v>0</v>
      </c>
      <c r="E76" s="17" t="n">
        <f aca="false">IF($B76="",0,SUMIFS('Zoho Dump'!$Y$8:$Y$3007,'Zoho Dump'!$N$8:$N$3007,$B76,'Zoho Dump'!$T$8:$T$3007,"Pipeline")+SUMIFS(Adjustments!$L$8:$L$207,Adjustments!$B$8:$B$207,$B76,Adjustments!$H$8:$H$207,"Pipeline")+SUMIFS('Zoho Dump'!$Y$8:$Y$3007,'Zoho Dump'!$N$8:$N$3007,$B76,'Zoho Dump'!$T$8:$T$3007,"Overdue")+SUMIFS(Adjustments!$L$8:$L$207,Adjustments!$B$8:$B$207,$B76,Adjustments!$H$8:$H$207,"Overdue"))</f>
        <v>0</v>
      </c>
      <c r="F76" s="17" t="n">
        <f aca="false">IF($B76="",0,SUMIFS('Zoho Dump'!$X$8:$X$3007,'Zoho Dump'!$N$8:$N$3007,$B76,'Zoho Dump'!$T$8:$T$3007,"Pipeline")+SUMIFS(Adjustments!$K$8:$K$207,Adjustments!$B$8:$B$207,$B76,Adjustments!$H$8:$H$207,"Pipeline")+SUMIFS('Zoho Dump'!$X$8:$X$3007,'Zoho Dump'!$N$8:$N$3007,$B76,'Zoho Dump'!$T$8:$T$3007,"Overdue")+SUMIFS(Adjustments!$K$8:$K$207,Adjustments!$B$8:$B$207,$B76,Adjustments!$H$8:$H$207,"Overdue"))</f>
        <v>0</v>
      </c>
      <c r="G76" s="17" t="n">
        <f aca="false">D76+F76</f>
        <v>0</v>
      </c>
      <c r="H76" s="18" t="n">
        <f aca="false">IF(SUM($G$5:$G$404)=0,0,G76/SUM($G$5:$G$404))</f>
        <v>0</v>
      </c>
      <c r="I76" s="17" t="n">
        <f aca="false">IF($B76="",0,SUMIFS('Zoho Dump'!$Q$8:$Q$3007,'Zoho Dump'!$N$8:$N$3007,$B76,'Zoho Dump'!$T$8:$T$3007,"Lost",'Zoho Dump'!$R$8:$R$3007,"&gt;="&amp;Settings!$B$4))</f>
        <v>0</v>
      </c>
      <c r="J76" s="9" t="str">
        <f aca="false">IF($B76="","",IF(COUNTIF(Dashboard!$C$13:$C$22,$B76)&gt;0,"Yes",""))</f>
        <v/>
      </c>
      <c r="K76" s="17" t="n">
        <f aca="false">IF($B76="",0,SUMIFS('Zoho Dump'!$X$8:$X$3007,'Zoho Dump'!$N$8:$N$3007,$B76,'Zoho Dump'!$P$8:$P$3007,Settings!$A$12)+SUMIFS(Adjustments!$K$8:$K$207,Adjustments!$B$8:$B$207,$B76,Adjustments!$A$8:$A$207,Settings!$A$12))</f>
        <v>0</v>
      </c>
      <c r="L76" s="17" t="n">
        <f aca="false">IF($B76="",0,SUMIFS('Zoho Dump'!$X$8:$X$3007,'Zoho Dump'!$N$8:$N$3007,$B76,'Zoho Dump'!$P$8:$P$3007,Settings!$A$13)+SUMIFS(Adjustments!$K$8:$K$207,Adjustments!$B$8:$B$207,$B76,Adjustments!$A$8:$A$207,Settings!$A$13))</f>
        <v>0</v>
      </c>
      <c r="M76" s="17" t="n">
        <f aca="false">IF($B76="",0,SUMIFS('Zoho Dump'!$X$8:$X$3007,'Zoho Dump'!$N$8:$N$3007,$B76,'Zoho Dump'!$P$8:$P$3007,Settings!$A$14)+SUMIFS(Adjustments!$K$8:$K$207,Adjustments!$B$8:$B$207,$B76,Adjustments!$A$8:$A$207,Settings!$A$14))</f>
        <v>0</v>
      </c>
      <c r="N76" s="17" t="n">
        <f aca="false">IF($B76="",0,SUMIFS('Zoho Dump'!$X$8:$X$3007,'Zoho Dump'!$N$8:$N$3007,$B76,'Zoho Dump'!$P$8:$P$3007,Settings!$A$15)+SUMIFS(Adjustments!$K$8:$K$207,Adjustments!$B$8:$B$207,$B76,Adjustments!$A$8:$A$207,Settings!$A$15))</f>
        <v>0</v>
      </c>
      <c r="O76" s="17" t="n">
        <f aca="false">IF($B76="",0,SUMIFS('Zoho Dump'!$X$8:$X$3007,'Zoho Dump'!$N$8:$N$3007,$B76,'Zoho Dump'!$P$8:$P$3007,Settings!$A$16)+SUMIFS(Adjustments!$K$8:$K$207,Adjustments!$B$8:$B$207,$B76,Adjustments!$A$8:$A$207,Settings!$A$16))</f>
        <v>0</v>
      </c>
      <c r="P76" s="17" t="n">
        <f aca="false">IF($B76="",0,SUMIFS('Zoho Dump'!$X$8:$X$3007,'Zoho Dump'!$N$8:$N$3007,$B76,'Zoho Dump'!$P$8:$P$3007,Settings!$A$17)+SUMIFS(Adjustments!$K$8:$K$207,Adjustments!$B$8:$B$207,$B76,Adjustments!$A$8:$A$207,Settings!$A$17))</f>
        <v>0</v>
      </c>
      <c r="Q76" s="17" t="n">
        <f aca="false">IF($B76="",0,SUMIFS('Zoho Dump'!$X$8:$X$3007,'Zoho Dump'!$N$8:$N$3007,$B76,'Zoho Dump'!$P$8:$P$3007,Settings!$A$18)+SUMIFS(Adjustments!$K$8:$K$207,Adjustments!$B$8:$B$207,$B76,Adjustments!$A$8:$A$207,Settings!$A$18))</f>
        <v>0</v>
      </c>
      <c r="R76" s="30" t="str">
        <f aca="false">IF(G76&gt;0,G76+A76/10000000,"")</f>
        <v/>
      </c>
    </row>
    <row r="77" customFormat="false" ht="15" hidden="false" customHeight="false" outlineLevel="0" collapsed="false">
      <c r="A77" s="9" t="n">
        <v>73</v>
      </c>
      <c r="B77" s="9" t="str">
        <f aca="false">IFERROR(INDEX('Zoho Dump'!$N$8:$N$3007,MATCH(A77,'Zoho Dump'!$AB$8:$AB$3007,0)),"")</f>
        <v>Generation-E</v>
      </c>
      <c r="C77" s="17" t="n">
        <f aca="false">IF($B77="",0,SUMIFS('Zoho Dump'!$Q$8:$Q$3007,'Zoho Dump'!$N$8:$N$3007,$B77,'Zoho Dump'!$T$8:$T$3007,"Delivered",'Zoho Dump'!$R$8:$R$3007,"&gt;="&amp;Settings!$B$4))</f>
        <v>0</v>
      </c>
      <c r="D77" s="17" t="n">
        <f aca="false">IF($B77="",0,SUMIFS('Zoho Dump'!$X$8:$X$3007,'Zoho Dump'!$N$8:$N$3007,$B77,'Zoho Dump'!$T$8:$T$3007,"Backlog")+SUMIFS(Adjustments!$K$8:$K$207,Adjustments!$B$8:$B$207,$B77,Adjustments!$H$8:$H$207,"Backlog"))</f>
        <v>0</v>
      </c>
      <c r="E77" s="17" t="n">
        <f aca="false">IF($B77="",0,SUMIFS('Zoho Dump'!$Y$8:$Y$3007,'Zoho Dump'!$N$8:$N$3007,$B77,'Zoho Dump'!$T$8:$T$3007,"Pipeline")+SUMIFS(Adjustments!$L$8:$L$207,Adjustments!$B$8:$B$207,$B77,Adjustments!$H$8:$H$207,"Pipeline")+SUMIFS('Zoho Dump'!$Y$8:$Y$3007,'Zoho Dump'!$N$8:$N$3007,$B77,'Zoho Dump'!$T$8:$T$3007,"Overdue")+SUMIFS(Adjustments!$L$8:$L$207,Adjustments!$B$8:$B$207,$B77,Adjustments!$H$8:$H$207,"Overdue"))</f>
        <v>0</v>
      </c>
      <c r="F77" s="17" t="n">
        <f aca="false">IF($B77="",0,SUMIFS('Zoho Dump'!$X$8:$X$3007,'Zoho Dump'!$N$8:$N$3007,$B77,'Zoho Dump'!$T$8:$T$3007,"Pipeline")+SUMIFS(Adjustments!$K$8:$K$207,Adjustments!$B$8:$B$207,$B77,Adjustments!$H$8:$H$207,"Pipeline")+SUMIFS('Zoho Dump'!$X$8:$X$3007,'Zoho Dump'!$N$8:$N$3007,$B77,'Zoho Dump'!$T$8:$T$3007,"Overdue")+SUMIFS(Adjustments!$K$8:$K$207,Adjustments!$B$8:$B$207,$B77,Adjustments!$H$8:$H$207,"Overdue"))</f>
        <v>0</v>
      </c>
      <c r="G77" s="17" t="n">
        <f aca="false">D77+F77</f>
        <v>0</v>
      </c>
      <c r="H77" s="18" t="n">
        <f aca="false">IF(SUM($G$5:$G$404)=0,0,G77/SUM($G$5:$G$404))</f>
        <v>0</v>
      </c>
      <c r="I77" s="17" t="n">
        <f aca="false">IF($B77="",0,SUMIFS('Zoho Dump'!$Q$8:$Q$3007,'Zoho Dump'!$N$8:$N$3007,$B77,'Zoho Dump'!$T$8:$T$3007,"Lost",'Zoho Dump'!$R$8:$R$3007,"&gt;="&amp;Settings!$B$4))</f>
        <v>0</v>
      </c>
      <c r="J77" s="9" t="str">
        <f aca="false">IF($B77="","",IF(COUNTIF(Dashboard!$C$13:$C$22,$B77)&gt;0,"Yes",""))</f>
        <v/>
      </c>
      <c r="K77" s="17" t="n">
        <f aca="false">IF($B77="",0,SUMIFS('Zoho Dump'!$X$8:$X$3007,'Zoho Dump'!$N$8:$N$3007,$B77,'Zoho Dump'!$P$8:$P$3007,Settings!$A$12)+SUMIFS(Adjustments!$K$8:$K$207,Adjustments!$B$8:$B$207,$B77,Adjustments!$A$8:$A$207,Settings!$A$12))</f>
        <v>0</v>
      </c>
      <c r="L77" s="17" t="n">
        <f aca="false">IF($B77="",0,SUMIFS('Zoho Dump'!$X$8:$X$3007,'Zoho Dump'!$N$8:$N$3007,$B77,'Zoho Dump'!$P$8:$P$3007,Settings!$A$13)+SUMIFS(Adjustments!$K$8:$K$207,Adjustments!$B$8:$B$207,$B77,Adjustments!$A$8:$A$207,Settings!$A$13))</f>
        <v>0</v>
      </c>
      <c r="M77" s="17" t="n">
        <f aca="false">IF($B77="",0,SUMIFS('Zoho Dump'!$X$8:$X$3007,'Zoho Dump'!$N$8:$N$3007,$B77,'Zoho Dump'!$P$8:$P$3007,Settings!$A$14)+SUMIFS(Adjustments!$K$8:$K$207,Adjustments!$B$8:$B$207,$B77,Adjustments!$A$8:$A$207,Settings!$A$14))</f>
        <v>0</v>
      </c>
      <c r="N77" s="17" t="n">
        <f aca="false">IF($B77="",0,SUMIFS('Zoho Dump'!$X$8:$X$3007,'Zoho Dump'!$N$8:$N$3007,$B77,'Zoho Dump'!$P$8:$P$3007,Settings!$A$15)+SUMIFS(Adjustments!$K$8:$K$207,Adjustments!$B$8:$B$207,$B77,Adjustments!$A$8:$A$207,Settings!$A$15))</f>
        <v>0</v>
      </c>
      <c r="O77" s="17" t="n">
        <f aca="false">IF($B77="",0,SUMIFS('Zoho Dump'!$X$8:$X$3007,'Zoho Dump'!$N$8:$N$3007,$B77,'Zoho Dump'!$P$8:$P$3007,Settings!$A$16)+SUMIFS(Adjustments!$K$8:$K$207,Adjustments!$B$8:$B$207,$B77,Adjustments!$A$8:$A$207,Settings!$A$16))</f>
        <v>0</v>
      </c>
      <c r="P77" s="17" t="n">
        <f aca="false">IF($B77="",0,SUMIFS('Zoho Dump'!$X$8:$X$3007,'Zoho Dump'!$N$8:$N$3007,$B77,'Zoho Dump'!$P$8:$P$3007,Settings!$A$17)+SUMIFS(Adjustments!$K$8:$K$207,Adjustments!$B$8:$B$207,$B77,Adjustments!$A$8:$A$207,Settings!$A$17))</f>
        <v>0</v>
      </c>
      <c r="Q77" s="17" t="n">
        <f aca="false">IF($B77="",0,SUMIFS('Zoho Dump'!$X$8:$X$3007,'Zoho Dump'!$N$8:$N$3007,$B77,'Zoho Dump'!$P$8:$P$3007,Settings!$A$18)+SUMIFS(Adjustments!$K$8:$K$207,Adjustments!$B$8:$B$207,$B77,Adjustments!$A$8:$A$207,Settings!$A$18))</f>
        <v>0</v>
      </c>
      <c r="R77" s="30" t="str">
        <f aca="false">IF(G77&gt;0,G77+A77/10000000,"")</f>
        <v/>
      </c>
    </row>
    <row r="78" customFormat="false" ht="15" hidden="false" customHeight="false" outlineLevel="0" collapsed="false">
      <c r="A78" s="9" t="n">
        <v>74</v>
      </c>
      <c r="B78" s="9" t="str">
        <f aca="false">IFERROR(INDEX('Zoho Dump'!$N$8:$N$3007,MATCH(A78,'Zoho Dump'!$AB$8:$AB$3007,0)),"")</f>
        <v>CSIRO</v>
      </c>
      <c r="C78" s="17" t="n">
        <f aca="false">IF($B78="",0,SUMIFS('Zoho Dump'!$Q$8:$Q$3007,'Zoho Dump'!$N$8:$N$3007,$B78,'Zoho Dump'!$T$8:$T$3007,"Delivered",'Zoho Dump'!$R$8:$R$3007,"&gt;="&amp;Settings!$B$4))</f>
        <v>1792</v>
      </c>
      <c r="D78" s="17" t="n">
        <f aca="false">IF($B78="",0,SUMIFS('Zoho Dump'!$X$8:$X$3007,'Zoho Dump'!$N$8:$N$3007,$B78,'Zoho Dump'!$T$8:$T$3007,"Backlog")+SUMIFS(Adjustments!$K$8:$K$207,Adjustments!$B$8:$B$207,$B78,Adjustments!$H$8:$H$207,"Backlog"))</f>
        <v>0</v>
      </c>
      <c r="E78" s="17" t="n">
        <f aca="false">IF($B78="",0,SUMIFS('Zoho Dump'!$Y$8:$Y$3007,'Zoho Dump'!$N$8:$N$3007,$B78,'Zoho Dump'!$T$8:$T$3007,"Pipeline")+SUMIFS(Adjustments!$L$8:$L$207,Adjustments!$B$8:$B$207,$B78,Adjustments!$H$8:$H$207,"Pipeline")+SUMIFS('Zoho Dump'!$Y$8:$Y$3007,'Zoho Dump'!$N$8:$N$3007,$B78,'Zoho Dump'!$T$8:$T$3007,"Overdue")+SUMIFS(Adjustments!$L$8:$L$207,Adjustments!$B$8:$B$207,$B78,Adjustments!$H$8:$H$207,"Overdue"))</f>
        <v>0</v>
      </c>
      <c r="F78" s="17" t="n">
        <f aca="false">IF($B78="",0,SUMIFS('Zoho Dump'!$X$8:$X$3007,'Zoho Dump'!$N$8:$N$3007,$B78,'Zoho Dump'!$T$8:$T$3007,"Pipeline")+SUMIFS(Adjustments!$K$8:$K$207,Adjustments!$B$8:$B$207,$B78,Adjustments!$H$8:$H$207,"Pipeline")+SUMIFS('Zoho Dump'!$X$8:$X$3007,'Zoho Dump'!$N$8:$N$3007,$B78,'Zoho Dump'!$T$8:$T$3007,"Overdue")+SUMIFS(Adjustments!$K$8:$K$207,Adjustments!$B$8:$B$207,$B78,Adjustments!$H$8:$H$207,"Overdue"))</f>
        <v>0</v>
      </c>
      <c r="G78" s="17" t="n">
        <f aca="false">D78+F78</f>
        <v>0</v>
      </c>
      <c r="H78" s="18" t="n">
        <f aca="false">IF(SUM($G$5:$G$404)=0,0,G78/SUM($G$5:$G$404))</f>
        <v>0</v>
      </c>
      <c r="I78" s="17" t="n">
        <f aca="false">IF($B78="",0,SUMIFS('Zoho Dump'!$Q$8:$Q$3007,'Zoho Dump'!$N$8:$N$3007,$B78,'Zoho Dump'!$T$8:$T$3007,"Lost",'Zoho Dump'!$R$8:$R$3007,"&gt;="&amp;Settings!$B$4))</f>
        <v>10000</v>
      </c>
      <c r="J78" s="9" t="str">
        <f aca="false">IF($B78="","",IF(COUNTIF(Dashboard!$C$13:$C$22,$B78)&gt;0,"Yes",""))</f>
        <v/>
      </c>
      <c r="K78" s="17" t="n">
        <f aca="false">IF($B78="",0,SUMIFS('Zoho Dump'!$X$8:$X$3007,'Zoho Dump'!$N$8:$N$3007,$B78,'Zoho Dump'!$P$8:$P$3007,Settings!$A$12)+SUMIFS(Adjustments!$K$8:$K$207,Adjustments!$B$8:$B$207,$B78,Adjustments!$A$8:$A$207,Settings!$A$12))</f>
        <v>0</v>
      </c>
      <c r="L78" s="17" t="n">
        <f aca="false">IF($B78="",0,SUMIFS('Zoho Dump'!$X$8:$X$3007,'Zoho Dump'!$N$8:$N$3007,$B78,'Zoho Dump'!$P$8:$P$3007,Settings!$A$13)+SUMIFS(Adjustments!$K$8:$K$207,Adjustments!$B$8:$B$207,$B78,Adjustments!$A$8:$A$207,Settings!$A$13))</f>
        <v>0</v>
      </c>
      <c r="M78" s="17" t="n">
        <f aca="false">IF($B78="",0,SUMIFS('Zoho Dump'!$X$8:$X$3007,'Zoho Dump'!$N$8:$N$3007,$B78,'Zoho Dump'!$P$8:$P$3007,Settings!$A$14)+SUMIFS(Adjustments!$K$8:$K$207,Adjustments!$B$8:$B$207,$B78,Adjustments!$A$8:$A$207,Settings!$A$14))</f>
        <v>0</v>
      </c>
      <c r="N78" s="17" t="n">
        <f aca="false">IF($B78="",0,SUMIFS('Zoho Dump'!$X$8:$X$3007,'Zoho Dump'!$N$8:$N$3007,$B78,'Zoho Dump'!$P$8:$P$3007,Settings!$A$15)+SUMIFS(Adjustments!$K$8:$K$207,Adjustments!$B$8:$B$207,$B78,Adjustments!$A$8:$A$207,Settings!$A$15))</f>
        <v>0</v>
      </c>
      <c r="O78" s="17" t="n">
        <f aca="false">IF($B78="",0,SUMIFS('Zoho Dump'!$X$8:$X$3007,'Zoho Dump'!$N$8:$N$3007,$B78,'Zoho Dump'!$P$8:$P$3007,Settings!$A$16)+SUMIFS(Adjustments!$K$8:$K$207,Adjustments!$B$8:$B$207,$B78,Adjustments!$A$8:$A$207,Settings!$A$16))</f>
        <v>0</v>
      </c>
      <c r="P78" s="17" t="n">
        <f aca="false">IF($B78="",0,SUMIFS('Zoho Dump'!$X$8:$X$3007,'Zoho Dump'!$N$8:$N$3007,$B78,'Zoho Dump'!$P$8:$P$3007,Settings!$A$17)+SUMIFS(Adjustments!$K$8:$K$207,Adjustments!$B$8:$B$207,$B78,Adjustments!$A$8:$A$207,Settings!$A$17))</f>
        <v>0</v>
      </c>
      <c r="Q78" s="17" t="n">
        <f aca="false">IF($B78="",0,SUMIFS('Zoho Dump'!$X$8:$X$3007,'Zoho Dump'!$N$8:$N$3007,$B78,'Zoho Dump'!$P$8:$P$3007,Settings!$A$18)+SUMIFS(Adjustments!$K$8:$K$207,Adjustments!$B$8:$B$207,$B78,Adjustments!$A$8:$A$207,Settings!$A$18))</f>
        <v>0</v>
      </c>
      <c r="R78" s="30" t="str">
        <f aca="false">IF(G78&gt;0,G78+A78/10000000,"")</f>
        <v/>
      </c>
    </row>
    <row r="79" customFormat="false" ht="15" hidden="false" customHeight="false" outlineLevel="0" collapsed="false">
      <c r="A79" s="9" t="n">
        <v>75</v>
      </c>
      <c r="B79" s="9" t="str">
        <f aca="false">IFERROR(INDEX('Zoho Dump'!$N$8:$N$3007,MATCH(A79,'Zoho Dump'!$AB$8:$AB$3007,0)),"")</f>
        <v>SoundCredit.tv</v>
      </c>
      <c r="C79" s="17" t="n">
        <f aca="false">IF($B79="",0,SUMIFS('Zoho Dump'!$Q$8:$Q$3007,'Zoho Dump'!$N$8:$N$3007,$B79,'Zoho Dump'!$T$8:$T$3007,"Delivered",'Zoho Dump'!$R$8:$R$3007,"&gt;="&amp;Settings!$B$4))</f>
        <v>0</v>
      </c>
      <c r="D79" s="17" t="n">
        <f aca="false">IF($B79="",0,SUMIFS('Zoho Dump'!$X$8:$X$3007,'Zoho Dump'!$N$8:$N$3007,$B79,'Zoho Dump'!$T$8:$T$3007,"Backlog")+SUMIFS(Adjustments!$K$8:$K$207,Adjustments!$B$8:$B$207,$B79,Adjustments!$H$8:$H$207,"Backlog"))</f>
        <v>0</v>
      </c>
      <c r="E79" s="17" t="n">
        <f aca="false">IF($B79="",0,SUMIFS('Zoho Dump'!$Y$8:$Y$3007,'Zoho Dump'!$N$8:$N$3007,$B79,'Zoho Dump'!$T$8:$T$3007,"Pipeline")+SUMIFS(Adjustments!$L$8:$L$207,Adjustments!$B$8:$B$207,$B79,Adjustments!$H$8:$H$207,"Pipeline")+SUMIFS('Zoho Dump'!$Y$8:$Y$3007,'Zoho Dump'!$N$8:$N$3007,$B79,'Zoho Dump'!$T$8:$T$3007,"Overdue")+SUMIFS(Adjustments!$L$8:$L$207,Adjustments!$B$8:$B$207,$B79,Adjustments!$H$8:$H$207,"Overdue"))</f>
        <v>0</v>
      </c>
      <c r="F79" s="17" t="n">
        <f aca="false">IF($B79="",0,SUMIFS('Zoho Dump'!$X$8:$X$3007,'Zoho Dump'!$N$8:$N$3007,$B79,'Zoho Dump'!$T$8:$T$3007,"Pipeline")+SUMIFS(Adjustments!$K$8:$K$207,Adjustments!$B$8:$B$207,$B79,Adjustments!$H$8:$H$207,"Pipeline")+SUMIFS('Zoho Dump'!$X$8:$X$3007,'Zoho Dump'!$N$8:$N$3007,$B79,'Zoho Dump'!$T$8:$T$3007,"Overdue")+SUMIFS(Adjustments!$K$8:$K$207,Adjustments!$B$8:$B$207,$B79,Adjustments!$H$8:$H$207,"Overdue"))</f>
        <v>0</v>
      </c>
      <c r="G79" s="17" t="n">
        <f aca="false">D79+F79</f>
        <v>0</v>
      </c>
      <c r="H79" s="18" t="n">
        <f aca="false">IF(SUM($G$5:$G$404)=0,0,G79/SUM($G$5:$G$404))</f>
        <v>0</v>
      </c>
      <c r="I79" s="17" t="n">
        <f aca="false">IF($B79="",0,SUMIFS('Zoho Dump'!$Q$8:$Q$3007,'Zoho Dump'!$N$8:$N$3007,$B79,'Zoho Dump'!$T$8:$T$3007,"Lost",'Zoho Dump'!$R$8:$R$3007,"&gt;="&amp;Settings!$B$4))</f>
        <v>2670</v>
      </c>
      <c r="J79" s="9" t="str">
        <f aca="false">IF($B79="","",IF(COUNTIF(Dashboard!$C$13:$C$22,$B79)&gt;0,"Yes",""))</f>
        <v/>
      </c>
      <c r="K79" s="17" t="n">
        <f aca="false">IF($B79="",0,SUMIFS('Zoho Dump'!$X$8:$X$3007,'Zoho Dump'!$N$8:$N$3007,$B79,'Zoho Dump'!$P$8:$P$3007,Settings!$A$12)+SUMIFS(Adjustments!$K$8:$K$207,Adjustments!$B$8:$B$207,$B79,Adjustments!$A$8:$A$207,Settings!$A$12))</f>
        <v>0</v>
      </c>
      <c r="L79" s="17" t="n">
        <f aca="false">IF($B79="",0,SUMIFS('Zoho Dump'!$X$8:$X$3007,'Zoho Dump'!$N$8:$N$3007,$B79,'Zoho Dump'!$P$8:$P$3007,Settings!$A$13)+SUMIFS(Adjustments!$K$8:$K$207,Adjustments!$B$8:$B$207,$B79,Adjustments!$A$8:$A$207,Settings!$A$13))</f>
        <v>0</v>
      </c>
      <c r="M79" s="17" t="n">
        <f aca="false">IF($B79="",0,SUMIFS('Zoho Dump'!$X$8:$X$3007,'Zoho Dump'!$N$8:$N$3007,$B79,'Zoho Dump'!$P$8:$P$3007,Settings!$A$14)+SUMIFS(Adjustments!$K$8:$K$207,Adjustments!$B$8:$B$207,$B79,Adjustments!$A$8:$A$207,Settings!$A$14))</f>
        <v>0</v>
      </c>
      <c r="N79" s="17" t="n">
        <f aca="false">IF($B79="",0,SUMIFS('Zoho Dump'!$X$8:$X$3007,'Zoho Dump'!$N$8:$N$3007,$B79,'Zoho Dump'!$P$8:$P$3007,Settings!$A$15)+SUMIFS(Adjustments!$K$8:$K$207,Adjustments!$B$8:$B$207,$B79,Adjustments!$A$8:$A$207,Settings!$A$15))</f>
        <v>0</v>
      </c>
      <c r="O79" s="17" t="n">
        <f aca="false">IF($B79="",0,SUMIFS('Zoho Dump'!$X$8:$X$3007,'Zoho Dump'!$N$8:$N$3007,$B79,'Zoho Dump'!$P$8:$P$3007,Settings!$A$16)+SUMIFS(Adjustments!$K$8:$K$207,Adjustments!$B$8:$B$207,$B79,Adjustments!$A$8:$A$207,Settings!$A$16))</f>
        <v>0</v>
      </c>
      <c r="P79" s="17" t="n">
        <f aca="false">IF($B79="",0,SUMIFS('Zoho Dump'!$X$8:$X$3007,'Zoho Dump'!$N$8:$N$3007,$B79,'Zoho Dump'!$P$8:$P$3007,Settings!$A$17)+SUMIFS(Adjustments!$K$8:$K$207,Adjustments!$B$8:$B$207,$B79,Adjustments!$A$8:$A$207,Settings!$A$17))</f>
        <v>0</v>
      </c>
      <c r="Q79" s="17" t="n">
        <f aca="false">IF($B79="",0,SUMIFS('Zoho Dump'!$X$8:$X$3007,'Zoho Dump'!$N$8:$N$3007,$B79,'Zoho Dump'!$P$8:$P$3007,Settings!$A$18)+SUMIFS(Adjustments!$K$8:$K$207,Adjustments!$B$8:$B$207,$B79,Adjustments!$A$8:$A$207,Settings!$A$18))</f>
        <v>0</v>
      </c>
      <c r="R79" s="30" t="str">
        <f aca="false">IF(G79&gt;0,G79+A79/10000000,"")</f>
        <v/>
      </c>
    </row>
    <row r="80" customFormat="false" ht="15" hidden="false" customHeight="false" outlineLevel="0" collapsed="false">
      <c r="A80" s="9" t="n">
        <v>76</v>
      </c>
      <c r="B80" s="9" t="str">
        <f aca="false">IFERROR(INDEX('Zoho Dump'!$N$8:$N$3007,MATCH(A80,'Zoho Dump'!$AB$8:$AB$3007,0)),"")</f>
        <v>ICC Sydney - International Convention &amp; Exhibition Centre</v>
      </c>
      <c r="C80" s="17" t="n">
        <f aca="false">IF($B80="",0,SUMIFS('Zoho Dump'!$Q$8:$Q$3007,'Zoho Dump'!$N$8:$N$3007,$B80,'Zoho Dump'!$T$8:$T$3007,"Delivered",'Zoho Dump'!$R$8:$R$3007,"&gt;="&amp;Settings!$B$4))</f>
        <v>13496</v>
      </c>
      <c r="D80" s="17" t="n">
        <f aca="false">IF($B80="",0,SUMIFS('Zoho Dump'!$X$8:$X$3007,'Zoho Dump'!$N$8:$N$3007,$B80,'Zoho Dump'!$T$8:$T$3007,"Backlog")+SUMIFS(Adjustments!$K$8:$K$207,Adjustments!$B$8:$B$207,$B80,Adjustments!$H$8:$H$207,"Backlog"))</f>
        <v>0</v>
      </c>
      <c r="E80" s="17" t="n">
        <f aca="false">IF($B80="",0,SUMIFS('Zoho Dump'!$Y$8:$Y$3007,'Zoho Dump'!$N$8:$N$3007,$B80,'Zoho Dump'!$T$8:$T$3007,"Pipeline")+SUMIFS(Adjustments!$L$8:$L$207,Adjustments!$B$8:$B$207,$B80,Adjustments!$H$8:$H$207,"Pipeline")+SUMIFS('Zoho Dump'!$Y$8:$Y$3007,'Zoho Dump'!$N$8:$N$3007,$B80,'Zoho Dump'!$T$8:$T$3007,"Overdue")+SUMIFS(Adjustments!$L$8:$L$207,Adjustments!$B$8:$B$207,$B80,Adjustments!$H$8:$H$207,"Overdue"))</f>
        <v>0</v>
      </c>
      <c r="F80" s="17" t="n">
        <f aca="false">IF($B80="",0,SUMIFS('Zoho Dump'!$X$8:$X$3007,'Zoho Dump'!$N$8:$N$3007,$B80,'Zoho Dump'!$T$8:$T$3007,"Pipeline")+SUMIFS(Adjustments!$K$8:$K$207,Adjustments!$B$8:$B$207,$B80,Adjustments!$H$8:$H$207,"Pipeline")+SUMIFS('Zoho Dump'!$X$8:$X$3007,'Zoho Dump'!$N$8:$N$3007,$B80,'Zoho Dump'!$T$8:$T$3007,"Overdue")+SUMIFS(Adjustments!$K$8:$K$207,Adjustments!$B$8:$B$207,$B80,Adjustments!$H$8:$H$207,"Overdue"))</f>
        <v>0</v>
      </c>
      <c r="G80" s="17" t="n">
        <f aca="false">D80+F80</f>
        <v>0</v>
      </c>
      <c r="H80" s="18" t="n">
        <f aca="false">IF(SUM($G$5:$G$404)=0,0,G80/SUM($G$5:$G$404))</f>
        <v>0</v>
      </c>
      <c r="I80" s="17" t="n">
        <f aca="false">IF($B80="",0,SUMIFS('Zoho Dump'!$Q$8:$Q$3007,'Zoho Dump'!$N$8:$N$3007,$B80,'Zoho Dump'!$T$8:$T$3007,"Lost",'Zoho Dump'!$R$8:$R$3007,"&gt;="&amp;Settings!$B$4))</f>
        <v>1000</v>
      </c>
      <c r="J80" s="9" t="str">
        <f aca="false">IF($B80="","",IF(COUNTIF(Dashboard!$C$13:$C$22,$B80)&gt;0,"Yes",""))</f>
        <v/>
      </c>
      <c r="K80" s="17" t="n">
        <f aca="false">IF($B80="",0,SUMIFS('Zoho Dump'!$X$8:$X$3007,'Zoho Dump'!$N$8:$N$3007,$B80,'Zoho Dump'!$P$8:$P$3007,Settings!$A$12)+SUMIFS(Adjustments!$K$8:$K$207,Adjustments!$B$8:$B$207,$B80,Adjustments!$A$8:$A$207,Settings!$A$12))</f>
        <v>0</v>
      </c>
      <c r="L80" s="17" t="n">
        <f aca="false">IF($B80="",0,SUMIFS('Zoho Dump'!$X$8:$X$3007,'Zoho Dump'!$N$8:$N$3007,$B80,'Zoho Dump'!$P$8:$P$3007,Settings!$A$13)+SUMIFS(Adjustments!$K$8:$K$207,Adjustments!$B$8:$B$207,$B80,Adjustments!$A$8:$A$207,Settings!$A$13))</f>
        <v>0</v>
      </c>
      <c r="M80" s="17" t="n">
        <f aca="false">IF($B80="",0,SUMIFS('Zoho Dump'!$X$8:$X$3007,'Zoho Dump'!$N$8:$N$3007,$B80,'Zoho Dump'!$P$8:$P$3007,Settings!$A$14)+SUMIFS(Adjustments!$K$8:$K$207,Adjustments!$B$8:$B$207,$B80,Adjustments!$A$8:$A$207,Settings!$A$14))</f>
        <v>0</v>
      </c>
      <c r="N80" s="17" t="n">
        <f aca="false">IF($B80="",0,SUMIFS('Zoho Dump'!$X$8:$X$3007,'Zoho Dump'!$N$8:$N$3007,$B80,'Zoho Dump'!$P$8:$P$3007,Settings!$A$15)+SUMIFS(Adjustments!$K$8:$K$207,Adjustments!$B$8:$B$207,$B80,Adjustments!$A$8:$A$207,Settings!$A$15))</f>
        <v>0</v>
      </c>
      <c r="O80" s="17" t="n">
        <f aca="false">IF($B80="",0,SUMIFS('Zoho Dump'!$X$8:$X$3007,'Zoho Dump'!$N$8:$N$3007,$B80,'Zoho Dump'!$P$8:$P$3007,Settings!$A$16)+SUMIFS(Adjustments!$K$8:$K$207,Adjustments!$B$8:$B$207,$B80,Adjustments!$A$8:$A$207,Settings!$A$16))</f>
        <v>0</v>
      </c>
      <c r="P80" s="17" t="n">
        <f aca="false">IF($B80="",0,SUMIFS('Zoho Dump'!$X$8:$X$3007,'Zoho Dump'!$N$8:$N$3007,$B80,'Zoho Dump'!$P$8:$P$3007,Settings!$A$17)+SUMIFS(Adjustments!$K$8:$K$207,Adjustments!$B$8:$B$207,$B80,Adjustments!$A$8:$A$207,Settings!$A$17))</f>
        <v>0</v>
      </c>
      <c r="Q80" s="17" t="n">
        <f aca="false">IF($B80="",0,SUMIFS('Zoho Dump'!$X$8:$X$3007,'Zoho Dump'!$N$8:$N$3007,$B80,'Zoho Dump'!$P$8:$P$3007,Settings!$A$18)+SUMIFS(Adjustments!$K$8:$K$207,Adjustments!$B$8:$B$207,$B80,Adjustments!$A$8:$A$207,Settings!$A$18))</f>
        <v>0</v>
      </c>
      <c r="R80" s="30" t="str">
        <f aca="false">IF(G80&gt;0,G80+A80/10000000,"")</f>
        <v/>
      </c>
    </row>
    <row r="81" customFormat="false" ht="15" hidden="false" customHeight="false" outlineLevel="0" collapsed="false">
      <c r="A81" s="9" t="n">
        <v>77</v>
      </c>
      <c r="B81" s="9" t="str">
        <f aca="false">IFERROR(INDEX('Zoho Dump'!$N$8:$N$3007,MATCH(A81,'Zoho Dump'!$AB$8:$AB$3007,0)),"")</f>
        <v>Virgin Australia</v>
      </c>
      <c r="C81" s="17" t="n">
        <f aca="false">IF($B81="",0,SUMIFS('Zoho Dump'!$Q$8:$Q$3007,'Zoho Dump'!$N$8:$N$3007,$B81,'Zoho Dump'!$T$8:$T$3007,"Delivered",'Zoho Dump'!$R$8:$R$3007,"&gt;="&amp;Settings!$B$4))</f>
        <v>0</v>
      </c>
      <c r="D81" s="17" t="n">
        <f aca="false">IF($B81="",0,SUMIFS('Zoho Dump'!$X$8:$X$3007,'Zoho Dump'!$N$8:$N$3007,$B81,'Zoho Dump'!$T$8:$T$3007,"Backlog")+SUMIFS(Adjustments!$K$8:$K$207,Adjustments!$B$8:$B$207,$B81,Adjustments!$H$8:$H$207,"Backlog"))</f>
        <v>0</v>
      </c>
      <c r="E81" s="17" t="n">
        <f aca="false">IF($B81="",0,SUMIFS('Zoho Dump'!$Y$8:$Y$3007,'Zoho Dump'!$N$8:$N$3007,$B81,'Zoho Dump'!$T$8:$T$3007,"Pipeline")+SUMIFS(Adjustments!$L$8:$L$207,Adjustments!$B$8:$B$207,$B81,Adjustments!$H$8:$H$207,"Pipeline")+SUMIFS('Zoho Dump'!$Y$8:$Y$3007,'Zoho Dump'!$N$8:$N$3007,$B81,'Zoho Dump'!$T$8:$T$3007,"Overdue")+SUMIFS(Adjustments!$L$8:$L$207,Adjustments!$B$8:$B$207,$B81,Adjustments!$H$8:$H$207,"Overdue"))</f>
        <v>0</v>
      </c>
      <c r="F81" s="17" t="n">
        <f aca="false">IF($B81="",0,SUMIFS('Zoho Dump'!$X$8:$X$3007,'Zoho Dump'!$N$8:$N$3007,$B81,'Zoho Dump'!$T$8:$T$3007,"Pipeline")+SUMIFS(Adjustments!$K$8:$K$207,Adjustments!$B$8:$B$207,$B81,Adjustments!$H$8:$H$207,"Pipeline")+SUMIFS('Zoho Dump'!$X$8:$X$3007,'Zoho Dump'!$N$8:$N$3007,$B81,'Zoho Dump'!$T$8:$T$3007,"Overdue")+SUMIFS(Adjustments!$K$8:$K$207,Adjustments!$B$8:$B$207,$B81,Adjustments!$H$8:$H$207,"Overdue"))</f>
        <v>0</v>
      </c>
      <c r="G81" s="17" t="n">
        <f aca="false">D81+F81</f>
        <v>0</v>
      </c>
      <c r="H81" s="18" t="n">
        <f aca="false">IF(SUM($G$5:$G$404)=0,0,G81/SUM($G$5:$G$404))</f>
        <v>0</v>
      </c>
      <c r="I81" s="17" t="n">
        <f aca="false">IF($B81="",0,SUMIFS('Zoho Dump'!$Q$8:$Q$3007,'Zoho Dump'!$N$8:$N$3007,$B81,'Zoho Dump'!$T$8:$T$3007,"Lost",'Zoho Dump'!$R$8:$R$3007,"&gt;="&amp;Settings!$B$4))</f>
        <v>0</v>
      </c>
      <c r="J81" s="9" t="str">
        <f aca="false">IF($B81="","",IF(COUNTIF(Dashboard!$C$13:$C$22,$B81)&gt;0,"Yes",""))</f>
        <v/>
      </c>
      <c r="K81" s="17" t="n">
        <f aca="false">IF($B81="",0,SUMIFS('Zoho Dump'!$X$8:$X$3007,'Zoho Dump'!$N$8:$N$3007,$B81,'Zoho Dump'!$P$8:$P$3007,Settings!$A$12)+SUMIFS(Adjustments!$K$8:$K$207,Adjustments!$B$8:$B$207,$B81,Adjustments!$A$8:$A$207,Settings!$A$12))</f>
        <v>0</v>
      </c>
      <c r="L81" s="17" t="n">
        <f aca="false">IF($B81="",0,SUMIFS('Zoho Dump'!$X$8:$X$3007,'Zoho Dump'!$N$8:$N$3007,$B81,'Zoho Dump'!$P$8:$P$3007,Settings!$A$13)+SUMIFS(Adjustments!$K$8:$K$207,Adjustments!$B$8:$B$207,$B81,Adjustments!$A$8:$A$207,Settings!$A$13))</f>
        <v>0</v>
      </c>
      <c r="M81" s="17" t="n">
        <f aca="false">IF($B81="",0,SUMIFS('Zoho Dump'!$X$8:$X$3007,'Zoho Dump'!$N$8:$N$3007,$B81,'Zoho Dump'!$P$8:$P$3007,Settings!$A$14)+SUMIFS(Adjustments!$K$8:$K$207,Adjustments!$B$8:$B$207,$B81,Adjustments!$A$8:$A$207,Settings!$A$14))</f>
        <v>0</v>
      </c>
      <c r="N81" s="17" t="n">
        <f aca="false">IF($B81="",0,SUMIFS('Zoho Dump'!$X$8:$X$3007,'Zoho Dump'!$N$8:$N$3007,$B81,'Zoho Dump'!$P$8:$P$3007,Settings!$A$15)+SUMIFS(Adjustments!$K$8:$K$207,Adjustments!$B$8:$B$207,$B81,Adjustments!$A$8:$A$207,Settings!$A$15))</f>
        <v>0</v>
      </c>
      <c r="O81" s="17" t="n">
        <f aca="false">IF($B81="",0,SUMIFS('Zoho Dump'!$X$8:$X$3007,'Zoho Dump'!$N$8:$N$3007,$B81,'Zoho Dump'!$P$8:$P$3007,Settings!$A$16)+SUMIFS(Adjustments!$K$8:$K$207,Adjustments!$B$8:$B$207,$B81,Adjustments!$A$8:$A$207,Settings!$A$16))</f>
        <v>0</v>
      </c>
      <c r="P81" s="17" t="n">
        <f aca="false">IF($B81="",0,SUMIFS('Zoho Dump'!$X$8:$X$3007,'Zoho Dump'!$N$8:$N$3007,$B81,'Zoho Dump'!$P$8:$P$3007,Settings!$A$17)+SUMIFS(Adjustments!$K$8:$K$207,Adjustments!$B$8:$B$207,$B81,Adjustments!$A$8:$A$207,Settings!$A$17))</f>
        <v>0</v>
      </c>
      <c r="Q81" s="17" t="n">
        <f aca="false">IF($B81="",0,SUMIFS('Zoho Dump'!$X$8:$X$3007,'Zoho Dump'!$N$8:$N$3007,$B81,'Zoho Dump'!$P$8:$P$3007,Settings!$A$18)+SUMIFS(Adjustments!$K$8:$K$207,Adjustments!$B$8:$B$207,$B81,Adjustments!$A$8:$A$207,Settings!$A$18))</f>
        <v>0</v>
      </c>
      <c r="R81" s="30" t="str">
        <f aca="false">IF(G81&gt;0,G81+A81/10000000,"")</f>
        <v/>
      </c>
    </row>
    <row r="82" customFormat="false" ht="15" hidden="false" customHeight="false" outlineLevel="0" collapsed="false">
      <c r="A82" s="9" t="n">
        <v>78</v>
      </c>
      <c r="B82" s="9" t="str">
        <f aca="false">IFERROR(INDEX('Zoho Dump'!$N$8:$N$3007,MATCH(A82,'Zoho Dump'!$AB$8:$AB$3007,0)),"")</f>
        <v>GemLife</v>
      </c>
      <c r="C82" s="17" t="n">
        <f aca="false">IF($B82="",0,SUMIFS('Zoho Dump'!$Q$8:$Q$3007,'Zoho Dump'!$N$8:$N$3007,$B82,'Zoho Dump'!$T$8:$T$3007,"Delivered",'Zoho Dump'!$R$8:$R$3007,"&gt;="&amp;Settings!$B$4))</f>
        <v>0</v>
      </c>
      <c r="D82" s="17" t="n">
        <f aca="false">IF($B82="",0,SUMIFS('Zoho Dump'!$X$8:$X$3007,'Zoho Dump'!$N$8:$N$3007,$B82,'Zoho Dump'!$T$8:$T$3007,"Backlog")+SUMIFS(Adjustments!$K$8:$K$207,Adjustments!$B$8:$B$207,$B82,Adjustments!$H$8:$H$207,"Backlog"))</f>
        <v>0</v>
      </c>
      <c r="E82" s="17" t="n">
        <f aca="false">IF($B82="",0,SUMIFS('Zoho Dump'!$Y$8:$Y$3007,'Zoho Dump'!$N$8:$N$3007,$B82,'Zoho Dump'!$T$8:$T$3007,"Pipeline")+SUMIFS(Adjustments!$L$8:$L$207,Adjustments!$B$8:$B$207,$B82,Adjustments!$H$8:$H$207,"Pipeline")+SUMIFS('Zoho Dump'!$Y$8:$Y$3007,'Zoho Dump'!$N$8:$N$3007,$B82,'Zoho Dump'!$T$8:$T$3007,"Overdue")+SUMIFS(Adjustments!$L$8:$L$207,Adjustments!$B$8:$B$207,$B82,Adjustments!$H$8:$H$207,"Overdue"))</f>
        <v>0</v>
      </c>
      <c r="F82" s="17" t="n">
        <f aca="false">IF($B82="",0,SUMIFS('Zoho Dump'!$X$8:$X$3007,'Zoho Dump'!$N$8:$N$3007,$B82,'Zoho Dump'!$T$8:$T$3007,"Pipeline")+SUMIFS(Adjustments!$K$8:$K$207,Adjustments!$B$8:$B$207,$B82,Adjustments!$H$8:$H$207,"Pipeline")+SUMIFS('Zoho Dump'!$X$8:$X$3007,'Zoho Dump'!$N$8:$N$3007,$B82,'Zoho Dump'!$T$8:$T$3007,"Overdue")+SUMIFS(Adjustments!$K$8:$K$207,Adjustments!$B$8:$B$207,$B82,Adjustments!$H$8:$H$207,"Overdue"))</f>
        <v>0</v>
      </c>
      <c r="G82" s="17" t="n">
        <f aca="false">D82+F82</f>
        <v>0</v>
      </c>
      <c r="H82" s="18" t="n">
        <f aca="false">IF(SUM($G$5:$G$404)=0,0,G82/SUM($G$5:$G$404))</f>
        <v>0</v>
      </c>
      <c r="I82" s="17" t="n">
        <f aca="false">IF($B82="",0,SUMIFS('Zoho Dump'!$Q$8:$Q$3007,'Zoho Dump'!$N$8:$N$3007,$B82,'Zoho Dump'!$T$8:$T$3007,"Lost",'Zoho Dump'!$R$8:$R$3007,"&gt;="&amp;Settings!$B$4))</f>
        <v>0</v>
      </c>
      <c r="J82" s="9" t="str">
        <f aca="false">IF($B82="","",IF(COUNTIF(Dashboard!$C$13:$C$22,$B82)&gt;0,"Yes",""))</f>
        <v/>
      </c>
      <c r="K82" s="17" t="n">
        <f aca="false">IF($B82="",0,SUMIFS('Zoho Dump'!$X$8:$X$3007,'Zoho Dump'!$N$8:$N$3007,$B82,'Zoho Dump'!$P$8:$P$3007,Settings!$A$12)+SUMIFS(Adjustments!$K$8:$K$207,Adjustments!$B$8:$B$207,$B82,Adjustments!$A$8:$A$207,Settings!$A$12))</f>
        <v>0</v>
      </c>
      <c r="L82" s="17" t="n">
        <f aca="false">IF($B82="",0,SUMIFS('Zoho Dump'!$X$8:$X$3007,'Zoho Dump'!$N$8:$N$3007,$B82,'Zoho Dump'!$P$8:$P$3007,Settings!$A$13)+SUMIFS(Adjustments!$K$8:$K$207,Adjustments!$B$8:$B$207,$B82,Adjustments!$A$8:$A$207,Settings!$A$13))</f>
        <v>0</v>
      </c>
      <c r="M82" s="17" t="n">
        <f aca="false">IF($B82="",0,SUMIFS('Zoho Dump'!$X$8:$X$3007,'Zoho Dump'!$N$8:$N$3007,$B82,'Zoho Dump'!$P$8:$P$3007,Settings!$A$14)+SUMIFS(Adjustments!$K$8:$K$207,Adjustments!$B$8:$B$207,$B82,Adjustments!$A$8:$A$207,Settings!$A$14))</f>
        <v>0</v>
      </c>
      <c r="N82" s="17" t="n">
        <f aca="false">IF($B82="",0,SUMIFS('Zoho Dump'!$X$8:$X$3007,'Zoho Dump'!$N$8:$N$3007,$B82,'Zoho Dump'!$P$8:$P$3007,Settings!$A$15)+SUMIFS(Adjustments!$K$8:$K$207,Adjustments!$B$8:$B$207,$B82,Adjustments!$A$8:$A$207,Settings!$A$15))</f>
        <v>0</v>
      </c>
      <c r="O82" s="17" t="n">
        <f aca="false">IF($B82="",0,SUMIFS('Zoho Dump'!$X$8:$X$3007,'Zoho Dump'!$N$8:$N$3007,$B82,'Zoho Dump'!$P$8:$P$3007,Settings!$A$16)+SUMIFS(Adjustments!$K$8:$K$207,Adjustments!$B$8:$B$207,$B82,Adjustments!$A$8:$A$207,Settings!$A$16))</f>
        <v>0</v>
      </c>
      <c r="P82" s="17" t="n">
        <f aca="false">IF($B82="",0,SUMIFS('Zoho Dump'!$X$8:$X$3007,'Zoho Dump'!$N$8:$N$3007,$B82,'Zoho Dump'!$P$8:$P$3007,Settings!$A$17)+SUMIFS(Adjustments!$K$8:$K$207,Adjustments!$B$8:$B$207,$B82,Adjustments!$A$8:$A$207,Settings!$A$17))</f>
        <v>0</v>
      </c>
      <c r="Q82" s="17" t="n">
        <f aca="false">IF($B82="",0,SUMIFS('Zoho Dump'!$X$8:$X$3007,'Zoho Dump'!$N$8:$N$3007,$B82,'Zoho Dump'!$P$8:$P$3007,Settings!$A$18)+SUMIFS(Adjustments!$K$8:$K$207,Adjustments!$B$8:$B$207,$B82,Adjustments!$A$8:$A$207,Settings!$A$18))</f>
        <v>0</v>
      </c>
      <c r="R82" s="30" t="str">
        <f aca="false">IF(G82&gt;0,G82+A82/10000000,"")</f>
        <v/>
      </c>
    </row>
    <row r="83" customFormat="false" ht="15" hidden="false" customHeight="false" outlineLevel="0" collapsed="false">
      <c r="A83" s="9" t="n">
        <v>79</v>
      </c>
      <c r="B83" s="9" t="str">
        <f aca="false">IFERROR(INDEX('Zoho Dump'!$N$8:$N$3007,MATCH(A83,'Zoho Dump'!$AB$8:$AB$3007,0)),"")</f>
        <v>ZMM Group Public Relations</v>
      </c>
      <c r="C83" s="17" t="n">
        <f aca="false">IF($B83="",0,SUMIFS('Zoho Dump'!$Q$8:$Q$3007,'Zoho Dump'!$N$8:$N$3007,$B83,'Zoho Dump'!$T$8:$T$3007,"Delivered",'Zoho Dump'!$R$8:$R$3007,"&gt;="&amp;Settings!$B$4))</f>
        <v>0</v>
      </c>
      <c r="D83" s="17" t="n">
        <f aca="false">IF($B83="",0,SUMIFS('Zoho Dump'!$X$8:$X$3007,'Zoho Dump'!$N$8:$N$3007,$B83,'Zoho Dump'!$T$8:$T$3007,"Backlog")+SUMIFS(Adjustments!$K$8:$K$207,Adjustments!$B$8:$B$207,$B83,Adjustments!$H$8:$H$207,"Backlog"))</f>
        <v>0</v>
      </c>
      <c r="E83" s="17" t="n">
        <f aca="false">IF($B83="",0,SUMIFS('Zoho Dump'!$Y$8:$Y$3007,'Zoho Dump'!$N$8:$N$3007,$B83,'Zoho Dump'!$T$8:$T$3007,"Pipeline")+SUMIFS(Adjustments!$L$8:$L$207,Adjustments!$B$8:$B$207,$B83,Adjustments!$H$8:$H$207,"Pipeline")+SUMIFS('Zoho Dump'!$Y$8:$Y$3007,'Zoho Dump'!$N$8:$N$3007,$B83,'Zoho Dump'!$T$8:$T$3007,"Overdue")+SUMIFS(Adjustments!$L$8:$L$207,Adjustments!$B$8:$B$207,$B83,Adjustments!$H$8:$H$207,"Overdue"))</f>
        <v>0</v>
      </c>
      <c r="F83" s="17" t="n">
        <f aca="false">IF($B83="",0,SUMIFS('Zoho Dump'!$X$8:$X$3007,'Zoho Dump'!$N$8:$N$3007,$B83,'Zoho Dump'!$T$8:$T$3007,"Pipeline")+SUMIFS(Adjustments!$K$8:$K$207,Adjustments!$B$8:$B$207,$B83,Adjustments!$H$8:$H$207,"Pipeline")+SUMIFS('Zoho Dump'!$X$8:$X$3007,'Zoho Dump'!$N$8:$N$3007,$B83,'Zoho Dump'!$T$8:$T$3007,"Overdue")+SUMIFS(Adjustments!$K$8:$K$207,Adjustments!$B$8:$B$207,$B83,Adjustments!$H$8:$H$207,"Overdue"))</f>
        <v>0</v>
      </c>
      <c r="G83" s="17" t="n">
        <f aca="false">D83+F83</f>
        <v>0</v>
      </c>
      <c r="H83" s="18" t="n">
        <f aca="false">IF(SUM($G$5:$G$404)=0,0,G83/SUM($G$5:$G$404))</f>
        <v>0</v>
      </c>
      <c r="I83" s="17" t="n">
        <f aca="false">IF($B83="",0,SUMIFS('Zoho Dump'!$Q$8:$Q$3007,'Zoho Dump'!$N$8:$N$3007,$B83,'Zoho Dump'!$T$8:$T$3007,"Lost",'Zoho Dump'!$R$8:$R$3007,"&gt;="&amp;Settings!$B$4))</f>
        <v>0</v>
      </c>
      <c r="J83" s="9" t="str">
        <f aca="false">IF($B83="","",IF(COUNTIF(Dashboard!$C$13:$C$22,$B83)&gt;0,"Yes",""))</f>
        <v/>
      </c>
      <c r="K83" s="17" t="n">
        <f aca="false">IF($B83="",0,SUMIFS('Zoho Dump'!$X$8:$X$3007,'Zoho Dump'!$N$8:$N$3007,$B83,'Zoho Dump'!$P$8:$P$3007,Settings!$A$12)+SUMIFS(Adjustments!$K$8:$K$207,Adjustments!$B$8:$B$207,$B83,Adjustments!$A$8:$A$207,Settings!$A$12))</f>
        <v>0</v>
      </c>
      <c r="L83" s="17" t="n">
        <f aca="false">IF($B83="",0,SUMIFS('Zoho Dump'!$X$8:$X$3007,'Zoho Dump'!$N$8:$N$3007,$B83,'Zoho Dump'!$P$8:$P$3007,Settings!$A$13)+SUMIFS(Adjustments!$K$8:$K$207,Adjustments!$B$8:$B$207,$B83,Adjustments!$A$8:$A$207,Settings!$A$13))</f>
        <v>0</v>
      </c>
      <c r="M83" s="17" t="n">
        <f aca="false">IF($B83="",0,SUMIFS('Zoho Dump'!$X$8:$X$3007,'Zoho Dump'!$N$8:$N$3007,$B83,'Zoho Dump'!$P$8:$P$3007,Settings!$A$14)+SUMIFS(Adjustments!$K$8:$K$207,Adjustments!$B$8:$B$207,$B83,Adjustments!$A$8:$A$207,Settings!$A$14))</f>
        <v>0</v>
      </c>
      <c r="N83" s="17" t="n">
        <f aca="false">IF($B83="",0,SUMIFS('Zoho Dump'!$X$8:$X$3007,'Zoho Dump'!$N$8:$N$3007,$B83,'Zoho Dump'!$P$8:$P$3007,Settings!$A$15)+SUMIFS(Adjustments!$K$8:$K$207,Adjustments!$B$8:$B$207,$B83,Adjustments!$A$8:$A$207,Settings!$A$15))</f>
        <v>0</v>
      </c>
      <c r="O83" s="17" t="n">
        <f aca="false">IF($B83="",0,SUMIFS('Zoho Dump'!$X$8:$X$3007,'Zoho Dump'!$N$8:$N$3007,$B83,'Zoho Dump'!$P$8:$P$3007,Settings!$A$16)+SUMIFS(Adjustments!$K$8:$K$207,Adjustments!$B$8:$B$207,$B83,Adjustments!$A$8:$A$207,Settings!$A$16))</f>
        <v>0</v>
      </c>
      <c r="P83" s="17" t="n">
        <f aca="false">IF($B83="",0,SUMIFS('Zoho Dump'!$X$8:$X$3007,'Zoho Dump'!$N$8:$N$3007,$B83,'Zoho Dump'!$P$8:$P$3007,Settings!$A$17)+SUMIFS(Adjustments!$K$8:$K$207,Adjustments!$B$8:$B$207,$B83,Adjustments!$A$8:$A$207,Settings!$A$17))</f>
        <v>0</v>
      </c>
      <c r="Q83" s="17" t="n">
        <f aca="false">IF($B83="",0,SUMIFS('Zoho Dump'!$X$8:$X$3007,'Zoho Dump'!$N$8:$N$3007,$B83,'Zoho Dump'!$P$8:$P$3007,Settings!$A$18)+SUMIFS(Adjustments!$K$8:$K$207,Adjustments!$B$8:$B$207,$B83,Adjustments!$A$8:$A$207,Settings!$A$18))</f>
        <v>0</v>
      </c>
      <c r="R83" s="30" t="str">
        <f aca="false">IF(G83&gt;0,G83+A83/10000000,"")</f>
        <v/>
      </c>
    </row>
    <row r="84" customFormat="false" ht="15" hidden="false" customHeight="false" outlineLevel="0" collapsed="false">
      <c r="A84" s="9" t="n">
        <v>80</v>
      </c>
      <c r="B84" s="9" t="str">
        <f aca="false">IFERROR(INDEX('Zoho Dump'!$N$8:$N$3007,MATCH(A84,'Zoho Dump'!$AB$8:$AB$3007,0)),"")</f>
        <v>Optiver</v>
      </c>
      <c r="C84" s="17" t="n">
        <f aca="false">IF($B84="",0,SUMIFS('Zoho Dump'!$Q$8:$Q$3007,'Zoho Dump'!$N$8:$N$3007,$B84,'Zoho Dump'!$T$8:$T$3007,"Delivered",'Zoho Dump'!$R$8:$R$3007,"&gt;="&amp;Settings!$B$4))</f>
        <v>745</v>
      </c>
      <c r="D84" s="17" t="n">
        <f aca="false">IF($B84="",0,SUMIFS('Zoho Dump'!$X$8:$X$3007,'Zoho Dump'!$N$8:$N$3007,$B84,'Zoho Dump'!$T$8:$T$3007,"Backlog")+SUMIFS(Adjustments!$K$8:$K$207,Adjustments!$B$8:$B$207,$B84,Adjustments!$H$8:$H$207,"Backlog"))</f>
        <v>0</v>
      </c>
      <c r="E84" s="17" t="n">
        <f aca="false">IF($B84="",0,SUMIFS('Zoho Dump'!$Y$8:$Y$3007,'Zoho Dump'!$N$8:$N$3007,$B84,'Zoho Dump'!$T$8:$T$3007,"Pipeline")+SUMIFS(Adjustments!$L$8:$L$207,Adjustments!$B$8:$B$207,$B84,Adjustments!$H$8:$H$207,"Pipeline")+SUMIFS('Zoho Dump'!$Y$8:$Y$3007,'Zoho Dump'!$N$8:$N$3007,$B84,'Zoho Dump'!$T$8:$T$3007,"Overdue")+SUMIFS(Adjustments!$L$8:$L$207,Adjustments!$B$8:$B$207,$B84,Adjustments!$H$8:$H$207,"Overdue"))</f>
        <v>10000</v>
      </c>
      <c r="F84" s="17" t="n">
        <f aca="false">IF($B84="",0,SUMIFS('Zoho Dump'!$X$8:$X$3007,'Zoho Dump'!$N$8:$N$3007,$B84,'Zoho Dump'!$T$8:$T$3007,"Pipeline")+SUMIFS(Adjustments!$K$8:$K$207,Adjustments!$B$8:$B$207,$B84,Adjustments!$H$8:$H$207,"Pipeline")+SUMIFS('Zoho Dump'!$X$8:$X$3007,'Zoho Dump'!$N$8:$N$3007,$B84,'Zoho Dump'!$T$8:$T$3007,"Overdue")+SUMIFS(Adjustments!$K$8:$K$207,Adjustments!$B$8:$B$207,$B84,Adjustments!$H$8:$H$207,"Overdue"))</f>
        <v>2000</v>
      </c>
      <c r="G84" s="17" t="n">
        <f aca="false">D84+F84</f>
        <v>2000</v>
      </c>
      <c r="H84" s="18" t="n">
        <f aca="false">IF(SUM($G$5:$G$404)=0,0,G84/SUM($G$5:$G$404))</f>
        <v>0.00234411159752729</v>
      </c>
      <c r="I84" s="17" t="n">
        <f aca="false">IF($B84="",0,SUMIFS('Zoho Dump'!$Q$8:$Q$3007,'Zoho Dump'!$N$8:$N$3007,$B84,'Zoho Dump'!$T$8:$T$3007,"Lost",'Zoho Dump'!$R$8:$R$3007,"&gt;="&amp;Settings!$B$4))</f>
        <v>0</v>
      </c>
      <c r="J84" s="9" t="str">
        <f aca="false">IF($B84="","",IF(COUNTIF(Dashboard!$C$13:$C$22,$B84)&gt;0,"Yes",""))</f>
        <v/>
      </c>
      <c r="K84" s="17" t="n">
        <f aca="false">IF($B84="",0,SUMIFS('Zoho Dump'!$X$8:$X$3007,'Zoho Dump'!$N$8:$N$3007,$B84,'Zoho Dump'!$P$8:$P$3007,Settings!$A$12)+SUMIFS(Adjustments!$K$8:$K$207,Adjustments!$B$8:$B$207,$B84,Adjustments!$A$8:$A$207,Settings!$A$12))</f>
        <v>0</v>
      </c>
      <c r="L84" s="17" t="n">
        <f aca="false">IF($B84="",0,SUMIFS('Zoho Dump'!$X$8:$X$3007,'Zoho Dump'!$N$8:$N$3007,$B84,'Zoho Dump'!$P$8:$P$3007,Settings!$A$13)+SUMIFS(Adjustments!$K$8:$K$207,Adjustments!$B$8:$B$207,$B84,Adjustments!$A$8:$A$207,Settings!$A$13))</f>
        <v>2000</v>
      </c>
      <c r="M84" s="17" t="n">
        <f aca="false">IF($B84="",0,SUMIFS('Zoho Dump'!$X$8:$X$3007,'Zoho Dump'!$N$8:$N$3007,$B84,'Zoho Dump'!$P$8:$P$3007,Settings!$A$14)+SUMIFS(Adjustments!$K$8:$K$207,Adjustments!$B$8:$B$207,$B84,Adjustments!$A$8:$A$207,Settings!$A$14))</f>
        <v>0</v>
      </c>
      <c r="N84" s="17" t="n">
        <f aca="false">IF($B84="",0,SUMIFS('Zoho Dump'!$X$8:$X$3007,'Zoho Dump'!$N$8:$N$3007,$B84,'Zoho Dump'!$P$8:$P$3007,Settings!$A$15)+SUMIFS(Adjustments!$K$8:$K$207,Adjustments!$B$8:$B$207,$B84,Adjustments!$A$8:$A$207,Settings!$A$15))</f>
        <v>0</v>
      </c>
      <c r="O84" s="17" t="n">
        <f aca="false">IF($B84="",0,SUMIFS('Zoho Dump'!$X$8:$X$3007,'Zoho Dump'!$N$8:$N$3007,$B84,'Zoho Dump'!$P$8:$P$3007,Settings!$A$16)+SUMIFS(Adjustments!$K$8:$K$207,Adjustments!$B$8:$B$207,$B84,Adjustments!$A$8:$A$207,Settings!$A$16))</f>
        <v>0</v>
      </c>
      <c r="P84" s="17" t="n">
        <f aca="false">IF($B84="",0,SUMIFS('Zoho Dump'!$X$8:$X$3007,'Zoho Dump'!$N$8:$N$3007,$B84,'Zoho Dump'!$P$8:$P$3007,Settings!$A$17)+SUMIFS(Adjustments!$K$8:$K$207,Adjustments!$B$8:$B$207,$B84,Adjustments!$A$8:$A$207,Settings!$A$17))</f>
        <v>0</v>
      </c>
      <c r="Q84" s="17" t="n">
        <f aca="false">IF($B84="",0,SUMIFS('Zoho Dump'!$X$8:$X$3007,'Zoho Dump'!$N$8:$N$3007,$B84,'Zoho Dump'!$P$8:$P$3007,Settings!$A$18)+SUMIFS(Adjustments!$K$8:$K$207,Adjustments!$B$8:$B$207,$B84,Adjustments!$A$8:$A$207,Settings!$A$18))</f>
        <v>0</v>
      </c>
      <c r="R84" s="30" t="n">
        <f aca="false">IF(G84&gt;0,G84+A84/10000000,"")</f>
        <v>2000.000008</v>
      </c>
    </row>
    <row r="85" customFormat="false" ht="15" hidden="false" customHeight="false" outlineLevel="0" collapsed="false">
      <c r="A85" s="9" t="n">
        <v>81</v>
      </c>
      <c r="B85" s="9" t="str">
        <f aca="false">IFERROR(INDEX('Zoho Dump'!$N$8:$N$3007,MATCH(A85,'Zoho Dump'!$AB$8:$AB$3007,0)),"")</f>
        <v>uBank</v>
      </c>
      <c r="C85" s="17" t="n">
        <f aca="false">IF($B85="",0,SUMIFS('Zoho Dump'!$Q$8:$Q$3007,'Zoho Dump'!$N$8:$N$3007,$B85,'Zoho Dump'!$T$8:$T$3007,"Delivered",'Zoho Dump'!$R$8:$R$3007,"&gt;="&amp;Settings!$B$4))</f>
        <v>0</v>
      </c>
      <c r="D85" s="17" t="n">
        <f aca="false">IF($B85="",0,SUMIFS('Zoho Dump'!$X$8:$X$3007,'Zoho Dump'!$N$8:$N$3007,$B85,'Zoho Dump'!$T$8:$T$3007,"Backlog")+SUMIFS(Adjustments!$K$8:$K$207,Adjustments!$B$8:$B$207,$B85,Adjustments!$H$8:$H$207,"Backlog"))</f>
        <v>9879</v>
      </c>
      <c r="E85" s="17" t="n">
        <f aca="false">IF($B85="",0,SUMIFS('Zoho Dump'!$Y$8:$Y$3007,'Zoho Dump'!$N$8:$N$3007,$B85,'Zoho Dump'!$T$8:$T$3007,"Pipeline")+SUMIFS(Adjustments!$L$8:$L$207,Adjustments!$B$8:$B$207,$B85,Adjustments!$H$8:$H$207,"Pipeline")+SUMIFS('Zoho Dump'!$Y$8:$Y$3007,'Zoho Dump'!$N$8:$N$3007,$B85,'Zoho Dump'!$T$8:$T$3007,"Overdue")+SUMIFS(Adjustments!$L$8:$L$207,Adjustments!$B$8:$B$207,$B85,Adjustments!$H$8:$H$207,"Overdue"))</f>
        <v>0</v>
      </c>
      <c r="F85" s="17" t="n">
        <f aca="false">IF($B85="",0,SUMIFS('Zoho Dump'!$X$8:$X$3007,'Zoho Dump'!$N$8:$N$3007,$B85,'Zoho Dump'!$T$8:$T$3007,"Pipeline")+SUMIFS(Adjustments!$K$8:$K$207,Adjustments!$B$8:$B$207,$B85,Adjustments!$H$8:$H$207,"Pipeline")+SUMIFS('Zoho Dump'!$X$8:$X$3007,'Zoho Dump'!$N$8:$N$3007,$B85,'Zoho Dump'!$T$8:$T$3007,"Overdue")+SUMIFS(Adjustments!$K$8:$K$207,Adjustments!$B$8:$B$207,$B85,Adjustments!$H$8:$H$207,"Overdue"))</f>
        <v>0</v>
      </c>
      <c r="G85" s="17" t="n">
        <f aca="false">D85+F85</f>
        <v>9879</v>
      </c>
      <c r="H85" s="18" t="n">
        <f aca="false">IF(SUM($G$5:$G$404)=0,0,G85/SUM($G$5:$G$404))</f>
        <v>0.0115787392359861</v>
      </c>
      <c r="I85" s="17" t="n">
        <f aca="false">IF($B85="",0,SUMIFS('Zoho Dump'!$Q$8:$Q$3007,'Zoho Dump'!$N$8:$N$3007,$B85,'Zoho Dump'!$T$8:$T$3007,"Lost",'Zoho Dump'!$R$8:$R$3007,"&gt;="&amp;Settings!$B$4))</f>
        <v>0</v>
      </c>
      <c r="J85" s="9" t="str">
        <f aca="false">IF($B85="","",IF(COUNTIF(Dashboard!$C$13:$C$22,$B85)&gt;0,"Yes",""))</f>
        <v/>
      </c>
      <c r="K85" s="17" t="n">
        <f aca="false">IF($B85="",0,SUMIFS('Zoho Dump'!$X$8:$X$3007,'Zoho Dump'!$N$8:$N$3007,$B85,'Zoho Dump'!$P$8:$P$3007,Settings!$A$12)+SUMIFS(Adjustments!$K$8:$K$207,Adjustments!$B$8:$B$207,$B85,Adjustments!$A$8:$A$207,Settings!$A$12))</f>
        <v>0</v>
      </c>
      <c r="L85" s="17" t="n">
        <f aca="false">IF($B85="",0,SUMIFS('Zoho Dump'!$X$8:$X$3007,'Zoho Dump'!$N$8:$N$3007,$B85,'Zoho Dump'!$P$8:$P$3007,Settings!$A$13)+SUMIFS(Adjustments!$K$8:$K$207,Adjustments!$B$8:$B$207,$B85,Adjustments!$A$8:$A$207,Settings!$A$13))</f>
        <v>9879</v>
      </c>
      <c r="M85" s="17" t="n">
        <f aca="false">IF($B85="",0,SUMIFS('Zoho Dump'!$X$8:$X$3007,'Zoho Dump'!$N$8:$N$3007,$B85,'Zoho Dump'!$P$8:$P$3007,Settings!$A$14)+SUMIFS(Adjustments!$K$8:$K$207,Adjustments!$B$8:$B$207,$B85,Adjustments!$A$8:$A$207,Settings!$A$14))</f>
        <v>0</v>
      </c>
      <c r="N85" s="17" t="n">
        <f aca="false">IF($B85="",0,SUMIFS('Zoho Dump'!$X$8:$X$3007,'Zoho Dump'!$N$8:$N$3007,$B85,'Zoho Dump'!$P$8:$P$3007,Settings!$A$15)+SUMIFS(Adjustments!$K$8:$K$207,Adjustments!$B$8:$B$207,$B85,Adjustments!$A$8:$A$207,Settings!$A$15))</f>
        <v>0</v>
      </c>
      <c r="O85" s="17" t="n">
        <f aca="false">IF($B85="",0,SUMIFS('Zoho Dump'!$X$8:$X$3007,'Zoho Dump'!$N$8:$N$3007,$B85,'Zoho Dump'!$P$8:$P$3007,Settings!$A$16)+SUMIFS(Adjustments!$K$8:$K$207,Adjustments!$B$8:$B$207,$B85,Adjustments!$A$8:$A$207,Settings!$A$16))</f>
        <v>0</v>
      </c>
      <c r="P85" s="17" t="n">
        <f aca="false">IF($B85="",0,SUMIFS('Zoho Dump'!$X$8:$X$3007,'Zoho Dump'!$N$8:$N$3007,$B85,'Zoho Dump'!$P$8:$P$3007,Settings!$A$17)+SUMIFS(Adjustments!$K$8:$K$207,Adjustments!$B$8:$B$207,$B85,Adjustments!$A$8:$A$207,Settings!$A$17))</f>
        <v>0</v>
      </c>
      <c r="Q85" s="17" t="n">
        <f aca="false">IF($B85="",0,SUMIFS('Zoho Dump'!$X$8:$X$3007,'Zoho Dump'!$N$8:$N$3007,$B85,'Zoho Dump'!$P$8:$P$3007,Settings!$A$18)+SUMIFS(Adjustments!$K$8:$K$207,Adjustments!$B$8:$B$207,$B85,Adjustments!$A$8:$A$207,Settings!$A$18))</f>
        <v>0</v>
      </c>
      <c r="R85" s="30" t="n">
        <f aca="false">IF(G85&gt;0,G85+A85/10000000,"")</f>
        <v>9879.0000081</v>
      </c>
    </row>
    <row r="86" customFormat="false" ht="15" hidden="false" customHeight="false" outlineLevel="0" collapsed="false">
      <c r="A86" s="9" t="n">
        <v>82</v>
      </c>
      <c r="B86" s="9" t="str">
        <f aca="false">IFERROR(INDEX('Zoho Dump'!$N$8:$N$3007,MATCH(A86,'Zoho Dump'!$AB$8:$AB$3007,0)),"")</f>
        <v>Australian Retirement Trust</v>
      </c>
      <c r="C86" s="17" t="n">
        <f aca="false">IF($B86="",0,SUMIFS('Zoho Dump'!$Q$8:$Q$3007,'Zoho Dump'!$N$8:$N$3007,$B86,'Zoho Dump'!$T$8:$T$3007,"Delivered",'Zoho Dump'!$R$8:$R$3007,"&gt;="&amp;Settings!$B$4))</f>
        <v>22157</v>
      </c>
      <c r="D86" s="17" t="n">
        <f aca="false">IF($B86="",0,SUMIFS('Zoho Dump'!$X$8:$X$3007,'Zoho Dump'!$N$8:$N$3007,$B86,'Zoho Dump'!$T$8:$T$3007,"Backlog")+SUMIFS(Adjustments!$K$8:$K$207,Adjustments!$B$8:$B$207,$B86,Adjustments!$H$8:$H$207,"Backlog"))</f>
        <v>0</v>
      </c>
      <c r="E86" s="17" t="n">
        <f aca="false">IF($B86="",0,SUMIFS('Zoho Dump'!$Y$8:$Y$3007,'Zoho Dump'!$N$8:$N$3007,$B86,'Zoho Dump'!$T$8:$T$3007,"Pipeline")+SUMIFS(Adjustments!$L$8:$L$207,Adjustments!$B$8:$B$207,$B86,Adjustments!$H$8:$H$207,"Pipeline")+SUMIFS('Zoho Dump'!$Y$8:$Y$3007,'Zoho Dump'!$N$8:$N$3007,$B86,'Zoho Dump'!$T$8:$T$3007,"Overdue")+SUMIFS(Adjustments!$L$8:$L$207,Adjustments!$B$8:$B$207,$B86,Adjustments!$H$8:$H$207,"Overdue"))</f>
        <v>0</v>
      </c>
      <c r="F86" s="17" t="n">
        <f aca="false">IF($B86="",0,SUMIFS('Zoho Dump'!$X$8:$X$3007,'Zoho Dump'!$N$8:$N$3007,$B86,'Zoho Dump'!$T$8:$T$3007,"Pipeline")+SUMIFS(Adjustments!$K$8:$K$207,Adjustments!$B$8:$B$207,$B86,Adjustments!$H$8:$H$207,"Pipeline")+SUMIFS('Zoho Dump'!$X$8:$X$3007,'Zoho Dump'!$N$8:$N$3007,$B86,'Zoho Dump'!$T$8:$T$3007,"Overdue")+SUMIFS(Adjustments!$K$8:$K$207,Adjustments!$B$8:$B$207,$B86,Adjustments!$H$8:$H$207,"Overdue"))</f>
        <v>0</v>
      </c>
      <c r="G86" s="17" t="n">
        <f aca="false">D86+F86</f>
        <v>0</v>
      </c>
      <c r="H86" s="18" t="n">
        <f aca="false">IF(SUM($G$5:$G$404)=0,0,G86/SUM($G$5:$G$404))</f>
        <v>0</v>
      </c>
      <c r="I86" s="17" t="n">
        <f aca="false">IF($B86="",0,SUMIFS('Zoho Dump'!$Q$8:$Q$3007,'Zoho Dump'!$N$8:$N$3007,$B86,'Zoho Dump'!$T$8:$T$3007,"Lost",'Zoho Dump'!$R$8:$R$3007,"&gt;="&amp;Settings!$B$4))</f>
        <v>0</v>
      </c>
      <c r="J86" s="9" t="str">
        <f aca="false">IF($B86="","",IF(COUNTIF(Dashboard!$C$13:$C$22,$B86)&gt;0,"Yes",""))</f>
        <v/>
      </c>
      <c r="K86" s="17" t="n">
        <f aca="false">IF($B86="",0,SUMIFS('Zoho Dump'!$X$8:$X$3007,'Zoho Dump'!$N$8:$N$3007,$B86,'Zoho Dump'!$P$8:$P$3007,Settings!$A$12)+SUMIFS(Adjustments!$K$8:$K$207,Adjustments!$B$8:$B$207,$B86,Adjustments!$A$8:$A$207,Settings!$A$12))</f>
        <v>0</v>
      </c>
      <c r="L86" s="17" t="n">
        <f aca="false">IF($B86="",0,SUMIFS('Zoho Dump'!$X$8:$X$3007,'Zoho Dump'!$N$8:$N$3007,$B86,'Zoho Dump'!$P$8:$P$3007,Settings!$A$13)+SUMIFS(Adjustments!$K$8:$K$207,Adjustments!$B$8:$B$207,$B86,Adjustments!$A$8:$A$207,Settings!$A$13))</f>
        <v>0</v>
      </c>
      <c r="M86" s="17" t="n">
        <f aca="false">IF($B86="",0,SUMIFS('Zoho Dump'!$X$8:$X$3007,'Zoho Dump'!$N$8:$N$3007,$B86,'Zoho Dump'!$P$8:$P$3007,Settings!$A$14)+SUMIFS(Adjustments!$K$8:$K$207,Adjustments!$B$8:$B$207,$B86,Adjustments!$A$8:$A$207,Settings!$A$14))</f>
        <v>0</v>
      </c>
      <c r="N86" s="17" t="n">
        <f aca="false">IF($B86="",0,SUMIFS('Zoho Dump'!$X$8:$X$3007,'Zoho Dump'!$N$8:$N$3007,$B86,'Zoho Dump'!$P$8:$P$3007,Settings!$A$15)+SUMIFS(Adjustments!$K$8:$K$207,Adjustments!$B$8:$B$207,$B86,Adjustments!$A$8:$A$207,Settings!$A$15))</f>
        <v>0</v>
      </c>
      <c r="O86" s="17" t="n">
        <f aca="false">IF($B86="",0,SUMIFS('Zoho Dump'!$X$8:$X$3007,'Zoho Dump'!$N$8:$N$3007,$B86,'Zoho Dump'!$P$8:$P$3007,Settings!$A$16)+SUMIFS(Adjustments!$K$8:$K$207,Adjustments!$B$8:$B$207,$B86,Adjustments!$A$8:$A$207,Settings!$A$16))</f>
        <v>0</v>
      </c>
      <c r="P86" s="17" t="n">
        <f aca="false">IF($B86="",0,SUMIFS('Zoho Dump'!$X$8:$X$3007,'Zoho Dump'!$N$8:$N$3007,$B86,'Zoho Dump'!$P$8:$P$3007,Settings!$A$17)+SUMIFS(Adjustments!$K$8:$K$207,Adjustments!$B$8:$B$207,$B86,Adjustments!$A$8:$A$207,Settings!$A$17))</f>
        <v>0</v>
      </c>
      <c r="Q86" s="17" t="n">
        <f aca="false">IF($B86="",0,SUMIFS('Zoho Dump'!$X$8:$X$3007,'Zoho Dump'!$N$8:$N$3007,$B86,'Zoho Dump'!$P$8:$P$3007,Settings!$A$18)+SUMIFS(Adjustments!$K$8:$K$207,Adjustments!$B$8:$B$207,$B86,Adjustments!$A$8:$A$207,Settings!$A$18))</f>
        <v>0</v>
      </c>
      <c r="R86" s="30" t="str">
        <f aca="false">IF(G86&gt;0,G86+A86/10000000,"")</f>
        <v/>
      </c>
    </row>
    <row r="87" customFormat="false" ht="15" hidden="false" customHeight="false" outlineLevel="0" collapsed="false">
      <c r="A87" s="9" t="n">
        <v>83</v>
      </c>
      <c r="B87" s="9" t="str">
        <f aca="false">IFERROR(INDEX('Zoho Dump'!$N$8:$N$3007,MATCH(A87,'Zoho Dump'!$AB$8:$AB$3007,0)),"")</f>
        <v>Hills Grammar</v>
      </c>
      <c r="C87" s="17" t="n">
        <f aca="false">IF($B87="",0,SUMIFS('Zoho Dump'!$Q$8:$Q$3007,'Zoho Dump'!$N$8:$N$3007,$B87,'Zoho Dump'!$T$8:$T$3007,"Delivered",'Zoho Dump'!$R$8:$R$3007,"&gt;="&amp;Settings!$B$4))</f>
        <v>0</v>
      </c>
      <c r="D87" s="17" t="n">
        <f aca="false">IF($B87="",0,SUMIFS('Zoho Dump'!$X$8:$X$3007,'Zoho Dump'!$N$8:$N$3007,$B87,'Zoho Dump'!$T$8:$T$3007,"Backlog")+SUMIFS(Adjustments!$K$8:$K$207,Adjustments!$B$8:$B$207,$B87,Adjustments!$H$8:$H$207,"Backlog"))</f>
        <v>0</v>
      </c>
      <c r="E87" s="17" t="n">
        <f aca="false">IF($B87="",0,SUMIFS('Zoho Dump'!$Y$8:$Y$3007,'Zoho Dump'!$N$8:$N$3007,$B87,'Zoho Dump'!$T$8:$T$3007,"Pipeline")+SUMIFS(Adjustments!$L$8:$L$207,Adjustments!$B$8:$B$207,$B87,Adjustments!$H$8:$H$207,"Pipeline")+SUMIFS('Zoho Dump'!$Y$8:$Y$3007,'Zoho Dump'!$N$8:$N$3007,$B87,'Zoho Dump'!$T$8:$T$3007,"Overdue")+SUMIFS(Adjustments!$L$8:$L$207,Adjustments!$B$8:$B$207,$B87,Adjustments!$H$8:$H$207,"Overdue"))</f>
        <v>75000</v>
      </c>
      <c r="F87" s="17" t="n">
        <f aca="false">IF($B87="",0,SUMIFS('Zoho Dump'!$X$8:$X$3007,'Zoho Dump'!$N$8:$N$3007,$B87,'Zoho Dump'!$T$8:$T$3007,"Pipeline")+SUMIFS(Adjustments!$K$8:$K$207,Adjustments!$B$8:$B$207,$B87,Adjustments!$H$8:$H$207,"Pipeline")+SUMIFS('Zoho Dump'!$X$8:$X$3007,'Zoho Dump'!$N$8:$N$3007,$B87,'Zoho Dump'!$T$8:$T$3007,"Overdue")+SUMIFS(Adjustments!$K$8:$K$207,Adjustments!$B$8:$B$207,$B87,Adjustments!$H$8:$H$207,"Overdue"))</f>
        <v>15000</v>
      </c>
      <c r="G87" s="17" t="n">
        <f aca="false">D87+F87</f>
        <v>15000</v>
      </c>
      <c r="H87" s="18" t="n">
        <f aca="false">IF(SUM($G$5:$G$404)=0,0,G87/SUM($G$5:$G$404))</f>
        <v>0.0175808369814547</v>
      </c>
      <c r="I87" s="17" t="n">
        <f aca="false">IF($B87="",0,SUMIFS('Zoho Dump'!$Q$8:$Q$3007,'Zoho Dump'!$N$8:$N$3007,$B87,'Zoho Dump'!$T$8:$T$3007,"Lost",'Zoho Dump'!$R$8:$R$3007,"&gt;="&amp;Settings!$B$4))</f>
        <v>0</v>
      </c>
      <c r="J87" s="9" t="str">
        <f aca="false">IF($B87="","",IF(COUNTIF(Dashboard!$C$13:$C$22,$B87)&gt;0,"Yes",""))</f>
        <v/>
      </c>
      <c r="K87" s="17" t="n">
        <f aca="false">IF($B87="",0,SUMIFS('Zoho Dump'!$X$8:$X$3007,'Zoho Dump'!$N$8:$N$3007,$B87,'Zoho Dump'!$P$8:$P$3007,Settings!$A$12)+SUMIFS(Adjustments!$K$8:$K$207,Adjustments!$B$8:$B$207,$B87,Adjustments!$A$8:$A$207,Settings!$A$12))</f>
        <v>0</v>
      </c>
      <c r="L87" s="17" t="n">
        <f aca="false">IF($B87="",0,SUMIFS('Zoho Dump'!$X$8:$X$3007,'Zoho Dump'!$N$8:$N$3007,$B87,'Zoho Dump'!$P$8:$P$3007,Settings!$A$13)+SUMIFS(Adjustments!$K$8:$K$207,Adjustments!$B$8:$B$207,$B87,Adjustments!$A$8:$A$207,Settings!$A$13))</f>
        <v>0</v>
      </c>
      <c r="M87" s="17" t="n">
        <f aca="false">IF($B87="",0,SUMIFS('Zoho Dump'!$X$8:$X$3007,'Zoho Dump'!$N$8:$N$3007,$B87,'Zoho Dump'!$P$8:$P$3007,Settings!$A$14)+SUMIFS(Adjustments!$K$8:$K$207,Adjustments!$B$8:$B$207,$B87,Adjustments!$A$8:$A$207,Settings!$A$14))</f>
        <v>0</v>
      </c>
      <c r="N87" s="17" t="n">
        <f aca="false">IF($B87="",0,SUMIFS('Zoho Dump'!$X$8:$X$3007,'Zoho Dump'!$N$8:$N$3007,$B87,'Zoho Dump'!$P$8:$P$3007,Settings!$A$15)+SUMIFS(Adjustments!$K$8:$K$207,Adjustments!$B$8:$B$207,$B87,Adjustments!$A$8:$A$207,Settings!$A$15))</f>
        <v>15000</v>
      </c>
      <c r="O87" s="17" t="n">
        <f aca="false">IF($B87="",0,SUMIFS('Zoho Dump'!$X$8:$X$3007,'Zoho Dump'!$N$8:$N$3007,$B87,'Zoho Dump'!$P$8:$P$3007,Settings!$A$16)+SUMIFS(Adjustments!$K$8:$K$207,Adjustments!$B$8:$B$207,$B87,Adjustments!$A$8:$A$207,Settings!$A$16))</f>
        <v>0</v>
      </c>
      <c r="P87" s="17" t="n">
        <f aca="false">IF($B87="",0,SUMIFS('Zoho Dump'!$X$8:$X$3007,'Zoho Dump'!$N$8:$N$3007,$B87,'Zoho Dump'!$P$8:$P$3007,Settings!$A$17)+SUMIFS(Adjustments!$K$8:$K$207,Adjustments!$B$8:$B$207,$B87,Adjustments!$A$8:$A$207,Settings!$A$17))</f>
        <v>0</v>
      </c>
      <c r="Q87" s="17" t="n">
        <f aca="false">IF($B87="",0,SUMIFS('Zoho Dump'!$X$8:$X$3007,'Zoho Dump'!$N$8:$N$3007,$B87,'Zoho Dump'!$P$8:$P$3007,Settings!$A$18)+SUMIFS(Adjustments!$K$8:$K$207,Adjustments!$B$8:$B$207,$B87,Adjustments!$A$8:$A$207,Settings!$A$18))</f>
        <v>0</v>
      </c>
      <c r="R87" s="30" t="n">
        <f aca="false">IF(G87&gt;0,G87+A87/10000000,"")</f>
        <v>15000.0000083</v>
      </c>
    </row>
    <row r="88" customFormat="false" ht="15" hidden="false" customHeight="false" outlineLevel="0" collapsed="false">
      <c r="A88" s="9" t="n">
        <v>84</v>
      </c>
      <c r="B88" s="9" t="str">
        <f aca="false">IFERROR(INDEX('Zoho Dump'!$N$8:$N$3007,MATCH(A88,'Zoho Dump'!$AB$8:$AB$3007,0)),"")</f>
        <v>Arinex Group</v>
      </c>
      <c r="C88" s="17" t="n">
        <f aca="false">IF($B88="",0,SUMIFS('Zoho Dump'!$Q$8:$Q$3007,'Zoho Dump'!$N$8:$N$3007,$B88,'Zoho Dump'!$T$8:$T$3007,"Delivered",'Zoho Dump'!$R$8:$R$3007,"&gt;="&amp;Settings!$B$4))</f>
        <v>0</v>
      </c>
      <c r="D88" s="17" t="n">
        <f aca="false">IF($B88="",0,SUMIFS('Zoho Dump'!$X$8:$X$3007,'Zoho Dump'!$N$8:$N$3007,$B88,'Zoho Dump'!$T$8:$T$3007,"Backlog")+SUMIFS(Adjustments!$K$8:$K$207,Adjustments!$B$8:$B$207,$B88,Adjustments!$H$8:$H$207,"Backlog"))</f>
        <v>0</v>
      </c>
      <c r="E88" s="17" t="n">
        <f aca="false">IF($B88="",0,SUMIFS('Zoho Dump'!$Y$8:$Y$3007,'Zoho Dump'!$N$8:$N$3007,$B88,'Zoho Dump'!$T$8:$T$3007,"Pipeline")+SUMIFS(Adjustments!$L$8:$L$207,Adjustments!$B$8:$B$207,$B88,Adjustments!$H$8:$H$207,"Pipeline")+SUMIFS('Zoho Dump'!$Y$8:$Y$3007,'Zoho Dump'!$N$8:$N$3007,$B88,'Zoho Dump'!$T$8:$T$3007,"Overdue")+SUMIFS(Adjustments!$L$8:$L$207,Adjustments!$B$8:$B$207,$B88,Adjustments!$H$8:$H$207,"Overdue"))</f>
        <v>0</v>
      </c>
      <c r="F88" s="17" t="n">
        <f aca="false">IF($B88="",0,SUMIFS('Zoho Dump'!$X$8:$X$3007,'Zoho Dump'!$N$8:$N$3007,$B88,'Zoho Dump'!$T$8:$T$3007,"Pipeline")+SUMIFS(Adjustments!$K$8:$K$207,Adjustments!$B$8:$B$207,$B88,Adjustments!$H$8:$H$207,"Pipeline")+SUMIFS('Zoho Dump'!$X$8:$X$3007,'Zoho Dump'!$N$8:$N$3007,$B88,'Zoho Dump'!$T$8:$T$3007,"Overdue")+SUMIFS(Adjustments!$K$8:$K$207,Adjustments!$B$8:$B$207,$B88,Adjustments!$H$8:$H$207,"Overdue"))</f>
        <v>0</v>
      </c>
      <c r="G88" s="17" t="n">
        <f aca="false">D88+F88</f>
        <v>0</v>
      </c>
      <c r="H88" s="18" t="n">
        <f aca="false">IF(SUM($G$5:$G$404)=0,0,G88/SUM($G$5:$G$404))</f>
        <v>0</v>
      </c>
      <c r="I88" s="17" t="n">
        <f aca="false">IF($B88="",0,SUMIFS('Zoho Dump'!$Q$8:$Q$3007,'Zoho Dump'!$N$8:$N$3007,$B88,'Zoho Dump'!$T$8:$T$3007,"Lost",'Zoho Dump'!$R$8:$R$3007,"&gt;="&amp;Settings!$B$4))</f>
        <v>0</v>
      </c>
      <c r="J88" s="9" t="str">
        <f aca="false">IF($B88="","",IF(COUNTIF(Dashboard!$C$13:$C$22,$B88)&gt;0,"Yes",""))</f>
        <v/>
      </c>
      <c r="K88" s="17" t="n">
        <f aca="false">IF($B88="",0,SUMIFS('Zoho Dump'!$X$8:$X$3007,'Zoho Dump'!$N$8:$N$3007,$B88,'Zoho Dump'!$P$8:$P$3007,Settings!$A$12)+SUMIFS(Adjustments!$K$8:$K$207,Adjustments!$B$8:$B$207,$B88,Adjustments!$A$8:$A$207,Settings!$A$12))</f>
        <v>0</v>
      </c>
      <c r="L88" s="17" t="n">
        <f aca="false">IF($B88="",0,SUMIFS('Zoho Dump'!$X$8:$X$3007,'Zoho Dump'!$N$8:$N$3007,$B88,'Zoho Dump'!$P$8:$P$3007,Settings!$A$13)+SUMIFS(Adjustments!$K$8:$K$207,Adjustments!$B$8:$B$207,$B88,Adjustments!$A$8:$A$207,Settings!$A$13))</f>
        <v>0</v>
      </c>
      <c r="M88" s="17" t="n">
        <f aca="false">IF($B88="",0,SUMIFS('Zoho Dump'!$X$8:$X$3007,'Zoho Dump'!$N$8:$N$3007,$B88,'Zoho Dump'!$P$8:$P$3007,Settings!$A$14)+SUMIFS(Adjustments!$K$8:$K$207,Adjustments!$B$8:$B$207,$B88,Adjustments!$A$8:$A$207,Settings!$A$14))</f>
        <v>0</v>
      </c>
      <c r="N88" s="17" t="n">
        <f aca="false">IF($B88="",0,SUMIFS('Zoho Dump'!$X$8:$X$3007,'Zoho Dump'!$N$8:$N$3007,$B88,'Zoho Dump'!$P$8:$P$3007,Settings!$A$15)+SUMIFS(Adjustments!$K$8:$K$207,Adjustments!$B$8:$B$207,$B88,Adjustments!$A$8:$A$207,Settings!$A$15))</f>
        <v>0</v>
      </c>
      <c r="O88" s="17" t="n">
        <f aca="false">IF($B88="",0,SUMIFS('Zoho Dump'!$X$8:$X$3007,'Zoho Dump'!$N$8:$N$3007,$B88,'Zoho Dump'!$P$8:$P$3007,Settings!$A$16)+SUMIFS(Adjustments!$K$8:$K$207,Adjustments!$B$8:$B$207,$B88,Adjustments!$A$8:$A$207,Settings!$A$16))</f>
        <v>0</v>
      </c>
      <c r="P88" s="17" t="n">
        <f aca="false">IF($B88="",0,SUMIFS('Zoho Dump'!$X$8:$X$3007,'Zoho Dump'!$N$8:$N$3007,$B88,'Zoho Dump'!$P$8:$P$3007,Settings!$A$17)+SUMIFS(Adjustments!$K$8:$K$207,Adjustments!$B$8:$B$207,$B88,Adjustments!$A$8:$A$207,Settings!$A$17))</f>
        <v>0</v>
      </c>
      <c r="Q88" s="17" t="n">
        <f aca="false">IF($B88="",0,SUMIFS('Zoho Dump'!$X$8:$X$3007,'Zoho Dump'!$N$8:$N$3007,$B88,'Zoho Dump'!$P$8:$P$3007,Settings!$A$18)+SUMIFS(Adjustments!$K$8:$K$207,Adjustments!$B$8:$B$207,$B88,Adjustments!$A$8:$A$207,Settings!$A$18))</f>
        <v>0</v>
      </c>
      <c r="R88" s="30" t="str">
        <f aca="false">IF(G88&gt;0,G88+A88/10000000,"")</f>
        <v/>
      </c>
    </row>
    <row r="89" customFormat="false" ht="15" hidden="false" customHeight="false" outlineLevel="0" collapsed="false">
      <c r="A89" s="9" t="n">
        <v>85</v>
      </c>
      <c r="B89" s="9" t="str">
        <f aca="false">IFERROR(INDEX('Zoho Dump'!$N$8:$N$3007,MATCH(A89,'Zoho Dump'!$AB$8:$AB$3007,0)),"")</f>
        <v>JohnChae</v>
      </c>
      <c r="C89" s="17" t="n">
        <f aca="false">IF($B89="",0,SUMIFS('Zoho Dump'!$Q$8:$Q$3007,'Zoho Dump'!$N$8:$N$3007,$B89,'Zoho Dump'!$T$8:$T$3007,"Delivered",'Zoho Dump'!$R$8:$R$3007,"&gt;="&amp;Settings!$B$4))</f>
        <v>0</v>
      </c>
      <c r="D89" s="17" t="n">
        <f aca="false">IF($B89="",0,SUMIFS('Zoho Dump'!$X$8:$X$3007,'Zoho Dump'!$N$8:$N$3007,$B89,'Zoho Dump'!$T$8:$T$3007,"Backlog")+SUMIFS(Adjustments!$K$8:$K$207,Adjustments!$B$8:$B$207,$B89,Adjustments!$H$8:$H$207,"Backlog"))</f>
        <v>0</v>
      </c>
      <c r="E89" s="17" t="n">
        <f aca="false">IF($B89="",0,SUMIFS('Zoho Dump'!$Y$8:$Y$3007,'Zoho Dump'!$N$8:$N$3007,$B89,'Zoho Dump'!$T$8:$T$3007,"Pipeline")+SUMIFS(Adjustments!$L$8:$L$207,Adjustments!$B$8:$B$207,$B89,Adjustments!$H$8:$H$207,"Pipeline")+SUMIFS('Zoho Dump'!$Y$8:$Y$3007,'Zoho Dump'!$N$8:$N$3007,$B89,'Zoho Dump'!$T$8:$T$3007,"Overdue")+SUMIFS(Adjustments!$L$8:$L$207,Adjustments!$B$8:$B$207,$B89,Adjustments!$H$8:$H$207,"Overdue"))</f>
        <v>0</v>
      </c>
      <c r="F89" s="17" t="n">
        <f aca="false">IF($B89="",0,SUMIFS('Zoho Dump'!$X$8:$X$3007,'Zoho Dump'!$N$8:$N$3007,$B89,'Zoho Dump'!$T$8:$T$3007,"Pipeline")+SUMIFS(Adjustments!$K$8:$K$207,Adjustments!$B$8:$B$207,$B89,Adjustments!$H$8:$H$207,"Pipeline")+SUMIFS('Zoho Dump'!$X$8:$X$3007,'Zoho Dump'!$N$8:$N$3007,$B89,'Zoho Dump'!$T$8:$T$3007,"Overdue")+SUMIFS(Adjustments!$K$8:$K$207,Adjustments!$B$8:$B$207,$B89,Adjustments!$H$8:$H$207,"Overdue"))</f>
        <v>0</v>
      </c>
      <c r="G89" s="17" t="n">
        <f aca="false">D89+F89</f>
        <v>0</v>
      </c>
      <c r="H89" s="18" t="n">
        <f aca="false">IF(SUM($G$5:$G$404)=0,0,G89/SUM($G$5:$G$404))</f>
        <v>0</v>
      </c>
      <c r="I89" s="17" t="n">
        <f aca="false">IF($B89="",0,SUMIFS('Zoho Dump'!$Q$8:$Q$3007,'Zoho Dump'!$N$8:$N$3007,$B89,'Zoho Dump'!$T$8:$T$3007,"Lost",'Zoho Dump'!$R$8:$R$3007,"&gt;="&amp;Settings!$B$4))</f>
        <v>0</v>
      </c>
      <c r="J89" s="9" t="str">
        <f aca="false">IF($B89="","",IF(COUNTIF(Dashboard!$C$13:$C$22,$B89)&gt;0,"Yes",""))</f>
        <v/>
      </c>
      <c r="K89" s="17" t="n">
        <f aca="false">IF($B89="",0,SUMIFS('Zoho Dump'!$X$8:$X$3007,'Zoho Dump'!$N$8:$N$3007,$B89,'Zoho Dump'!$P$8:$P$3007,Settings!$A$12)+SUMIFS(Adjustments!$K$8:$K$207,Adjustments!$B$8:$B$207,$B89,Adjustments!$A$8:$A$207,Settings!$A$12))</f>
        <v>0</v>
      </c>
      <c r="L89" s="17" t="n">
        <f aca="false">IF($B89="",0,SUMIFS('Zoho Dump'!$X$8:$X$3007,'Zoho Dump'!$N$8:$N$3007,$B89,'Zoho Dump'!$P$8:$P$3007,Settings!$A$13)+SUMIFS(Adjustments!$K$8:$K$207,Adjustments!$B$8:$B$207,$B89,Adjustments!$A$8:$A$207,Settings!$A$13))</f>
        <v>0</v>
      </c>
      <c r="M89" s="17" t="n">
        <f aca="false">IF($B89="",0,SUMIFS('Zoho Dump'!$X$8:$X$3007,'Zoho Dump'!$N$8:$N$3007,$B89,'Zoho Dump'!$P$8:$P$3007,Settings!$A$14)+SUMIFS(Adjustments!$K$8:$K$207,Adjustments!$B$8:$B$207,$B89,Adjustments!$A$8:$A$207,Settings!$A$14))</f>
        <v>0</v>
      </c>
      <c r="N89" s="17" t="n">
        <f aca="false">IF($B89="",0,SUMIFS('Zoho Dump'!$X$8:$X$3007,'Zoho Dump'!$N$8:$N$3007,$B89,'Zoho Dump'!$P$8:$P$3007,Settings!$A$15)+SUMIFS(Adjustments!$K$8:$K$207,Adjustments!$B$8:$B$207,$B89,Adjustments!$A$8:$A$207,Settings!$A$15))</f>
        <v>0</v>
      </c>
      <c r="O89" s="17" t="n">
        <f aca="false">IF($B89="",0,SUMIFS('Zoho Dump'!$X$8:$X$3007,'Zoho Dump'!$N$8:$N$3007,$B89,'Zoho Dump'!$P$8:$P$3007,Settings!$A$16)+SUMIFS(Adjustments!$K$8:$K$207,Adjustments!$B$8:$B$207,$B89,Adjustments!$A$8:$A$207,Settings!$A$16))</f>
        <v>0</v>
      </c>
      <c r="P89" s="17" t="n">
        <f aca="false">IF($B89="",0,SUMIFS('Zoho Dump'!$X$8:$X$3007,'Zoho Dump'!$N$8:$N$3007,$B89,'Zoho Dump'!$P$8:$P$3007,Settings!$A$17)+SUMIFS(Adjustments!$K$8:$K$207,Adjustments!$B$8:$B$207,$B89,Adjustments!$A$8:$A$207,Settings!$A$17))</f>
        <v>0</v>
      </c>
      <c r="Q89" s="17" t="n">
        <f aca="false">IF($B89="",0,SUMIFS('Zoho Dump'!$X$8:$X$3007,'Zoho Dump'!$N$8:$N$3007,$B89,'Zoho Dump'!$P$8:$P$3007,Settings!$A$18)+SUMIFS(Adjustments!$K$8:$K$207,Adjustments!$B$8:$B$207,$B89,Adjustments!$A$8:$A$207,Settings!$A$18))</f>
        <v>0</v>
      </c>
      <c r="R89" s="30" t="str">
        <f aca="false">IF(G89&gt;0,G89+A89/10000000,"")</f>
        <v/>
      </c>
    </row>
    <row r="90" customFormat="false" ht="15" hidden="false" customHeight="false" outlineLevel="0" collapsed="false">
      <c r="A90" s="9" t="n">
        <v>86</v>
      </c>
      <c r="B90" s="9" t="str">
        <f aca="false">IFERROR(INDEX('Zoho Dump'!$N$8:$N$3007,MATCH(A90,'Zoho Dump'!$AB$8:$AB$3007,0)),"")</f>
        <v>Data#3</v>
      </c>
      <c r="C90" s="17" t="n">
        <f aca="false">IF($B90="",0,SUMIFS('Zoho Dump'!$Q$8:$Q$3007,'Zoho Dump'!$N$8:$N$3007,$B90,'Zoho Dump'!$T$8:$T$3007,"Delivered",'Zoho Dump'!$R$8:$R$3007,"&gt;="&amp;Settings!$B$4))</f>
        <v>45909</v>
      </c>
      <c r="D90" s="17" t="n">
        <f aca="false">IF($B90="",0,SUMIFS('Zoho Dump'!$X$8:$X$3007,'Zoho Dump'!$N$8:$N$3007,$B90,'Zoho Dump'!$T$8:$T$3007,"Backlog")+SUMIFS(Adjustments!$K$8:$K$207,Adjustments!$B$8:$B$207,$B90,Adjustments!$H$8:$H$207,"Backlog"))</f>
        <v>0</v>
      </c>
      <c r="E90" s="17" t="n">
        <f aca="false">IF($B90="",0,SUMIFS('Zoho Dump'!$Y$8:$Y$3007,'Zoho Dump'!$N$8:$N$3007,$B90,'Zoho Dump'!$T$8:$T$3007,"Pipeline")+SUMIFS(Adjustments!$L$8:$L$207,Adjustments!$B$8:$B$207,$B90,Adjustments!$H$8:$H$207,"Pipeline")+SUMIFS('Zoho Dump'!$Y$8:$Y$3007,'Zoho Dump'!$N$8:$N$3007,$B90,'Zoho Dump'!$T$8:$T$3007,"Overdue")+SUMIFS(Adjustments!$L$8:$L$207,Adjustments!$B$8:$B$207,$B90,Adjustments!$H$8:$H$207,"Overdue"))</f>
        <v>0</v>
      </c>
      <c r="F90" s="17" t="n">
        <f aca="false">IF($B90="",0,SUMIFS('Zoho Dump'!$X$8:$X$3007,'Zoho Dump'!$N$8:$N$3007,$B90,'Zoho Dump'!$T$8:$T$3007,"Pipeline")+SUMIFS(Adjustments!$K$8:$K$207,Adjustments!$B$8:$B$207,$B90,Adjustments!$H$8:$H$207,"Pipeline")+SUMIFS('Zoho Dump'!$X$8:$X$3007,'Zoho Dump'!$N$8:$N$3007,$B90,'Zoho Dump'!$T$8:$T$3007,"Overdue")+SUMIFS(Adjustments!$K$8:$K$207,Adjustments!$B$8:$B$207,$B90,Adjustments!$H$8:$H$207,"Overdue"))</f>
        <v>0</v>
      </c>
      <c r="G90" s="17" t="n">
        <f aca="false">D90+F90</f>
        <v>0</v>
      </c>
      <c r="H90" s="18" t="n">
        <f aca="false">IF(SUM($G$5:$G$404)=0,0,G90/SUM($G$5:$G$404))</f>
        <v>0</v>
      </c>
      <c r="I90" s="17" t="n">
        <f aca="false">IF($B90="",0,SUMIFS('Zoho Dump'!$Q$8:$Q$3007,'Zoho Dump'!$N$8:$N$3007,$B90,'Zoho Dump'!$T$8:$T$3007,"Lost",'Zoho Dump'!$R$8:$R$3007,"&gt;="&amp;Settings!$B$4))</f>
        <v>1</v>
      </c>
      <c r="J90" s="9" t="str">
        <f aca="false">IF($B90="","",IF(COUNTIF(Dashboard!$C$13:$C$22,$B90)&gt;0,"Yes",""))</f>
        <v/>
      </c>
      <c r="K90" s="17" t="n">
        <f aca="false">IF($B90="",0,SUMIFS('Zoho Dump'!$X$8:$X$3007,'Zoho Dump'!$N$8:$N$3007,$B90,'Zoho Dump'!$P$8:$P$3007,Settings!$A$12)+SUMIFS(Adjustments!$K$8:$K$207,Adjustments!$B$8:$B$207,$B90,Adjustments!$A$8:$A$207,Settings!$A$12))</f>
        <v>0</v>
      </c>
      <c r="L90" s="17" t="n">
        <f aca="false">IF($B90="",0,SUMIFS('Zoho Dump'!$X$8:$X$3007,'Zoho Dump'!$N$8:$N$3007,$B90,'Zoho Dump'!$P$8:$P$3007,Settings!$A$13)+SUMIFS(Adjustments!$K$8:$K$207,Adjustments!$B$8:$B$207,$B90,Adjustments!$A$8:$A$207,Settings!$A$13))</f>
        <v>0</v>
      </c>
      <c r="M90" s="17" t="n">
        <f aca="false">IF($B90="",0,SUMIFS('Zoho Dump'!$X$8:$X$3007,'Zoho Dump'!$N$8:$N$3007,$B90,'Zoho Dump'!$P$8:$P$3007,Settings!$A$14)+SUMIFS(Adjustments!$K$8:$K$207,Adjustments!$B$8:$B$207,$B90,Adjustments!$A$8:$A$207,Settings!$A$14))</f>
        <v>0</v>
      </c>
      <c r="N90" s="17" t="n">
        <f aca="false">IF($B90="",0,SUMIFS('Zoho Dump'!$X$8:$X$3007,'Zoho Dump'!$N$8:$N$3007,$B90,'Zoho Dump'!$P$8:$P$3007,Settings!$A$15)+SUMIFS(Adjustments!$K$8:$K$207,Adjustments!$B$8:$B$207,$B90,Adjustments!$A$8:$A$207,Settings!$A$15))</f>
        <v>0</v>
      </c>
      <c r="O90" s="17" t="n">
        <f aca="false">IF($B90="",0,SUMIFS('Zoho Dump'!$X$8:$X$3007,'Zoho Dump'!$N$8:$N$3007,$B90,'Zoho Dump'!$P$8:$P$3007,Settings!$A$16)+SUMIFS(Adjustments!$K$8:$K$207,Adjustments!$B$8:$B$207,$B90,Adjustments!$A$8:$A$207,Settings!$A$16))</f>
        <v>0</v>
      </c>
      <c r="P90" s="17" t="n">
        <f aca="false">IF($B90="",0,SUMIFS('Zoho Dump'!$X$8:$X$3007,'Zoho Dump'!$N$8:$N$3007,$B90,'Zoho Dump'!$P$8:$P$3007,Settings!$A$17)+SUMIFS(Adjustments!$K$8:$K$207,Adjustments!$B$8:$B$207,$B90,Adjustments!$A$8:$A$207,Settings!$A$17))</f>
        <v>0</v>
      </c>
      <c r="Q90" s="17" t="n">
        <f aca="false">IF($B90="",0,SUMIFS('Zoho Dump'!$X$8:$X$3007,'Zoho Dump'!$N$8:$N$3007,$B90,'Zoho Dump'!$P$8:$P$3007,Settings!$A$18)+SUMIFS(Adjustments!$K$8:$K$207,Adjustments!$B$8:$B$207,$B90,Adjustments!$A$8:$A$207,Settings!$A$18))</f>
        <v>0</v>
      </c>
      <c r="R90" s="30" t="str">
        <f aca="false">IF(G90&gt;0,G90+A90/10000000,"")</f>
        <v/>
      </c>
    </row>
    <row r="91" customFormat="false" ht="15" hidden="false" customHeight="false" outlineLevel="0" collapsed="false">
      <c r="A91" s="9" t="n">
        <v>87</v>
      </c>
      <c r="B91" s="9" t="str">
        <f aca="false">IFERROR(INDEX('Zoho Dump'!$N$8:$N$3007,MATCH(A91,'Zoho Dump'!$AB$8:$AB$3007,0)),"")</f>
        <v>Symal</v>
      </c>
      <c r="C91" s="17" t="n">
        <f aca="false">IF($B91="",0,SUMIFS('Zoho Dump'!$Q$8:$Q$3007,'Zoho Dump'!$N$8:$N$3007,$B91,'Zoho Dump'!$T$8:$T$3007,"Delivered",'Zoho Dump'!$R$8:$R$3007,"&gt;="&amp;Settings!$B$4))</f>
        <v>0</v>
      </c>
      <c r="D91" s="17" t="n">
        <f aca="false">IF($B91="",0,SUMIFS('Zoho Dump'!$X$8:$X$3007,'Zoho Dump'!$N$8:$N$3007,$B91,'Zoho Dump'!$T$8:$T$3007,"Backlog")+SUMIFS(Adjustments!$K$8:$K$207,Adjustments!$B$8:$B$207,$B91,Adjustments!$H$8:$H$207,"Backlog"))</f>
        <v>0</v>
      </c>
      <c r="E91" s="17" t="n">
        <f aca="false">IF($B91="",0,SUMIFS('Zoho Dump'!$Y$8:$Y$3007,'Zoho Dump'!$N$8:$N$3007,$B91,'Zoho Dump'!$T$8:$T$3007,"Pipeline")+SUMIFS(Adjustments!$L$8:$L$207,Adjustments!$B$8:$B$207,$B91,Adjustments!$H$8:$H$207,"Pipeline")+SUMIFS('Zoho Dump'!$Y$8:$Y$3007,'Zoho Dump'!$N$8:$N$3007,$B91,'Zoho Dump'!$T$8:$T$3007,"Overdue")+SUMIFS(Adjustments!$L$8:$L$207,Adjustments!$B$8:$B$207,$B91,Adjustments!$H$8:$H$207,"Overdue"))</f>
        <v>0</v>
      </c>
      <c r="F91" s="17" t="n">
        <f aca="false">IF($B91="",0,SUMIFS('Zoho Dump'!$X$8:$X$3007,'Zoho Dump'!$N$8:$N$3007,$B91,'Zoho Dump'!$T$8:$T$3007,"Pipeline")+SUMIFS(Adjustments!$K$8:$K$207,Adjustments!$B$8:$B$207,$B91,Adjustments!$H$8:$H$207,"Pipeline")+SUMIFS('Zoho Dump'!$X$8:$X$3007,'Zoho Dump'!$N$8:$N$3007,$B91,'Zoho Dump'!$T$8:$T$3007,"Overdue")+SUMIFS(Adjustments!$K$8:$K$207,Adjustments!$B$8:$B$207,$B91,Adjustments!$H$8:$H$207,"Overdue"))</f>
        <v>0</v>
      </c>
      <c r="G91" s="17" t="n">
        <f aca="false">D91+F91</f>
        <v>0</v>
      </c>
      <c r="H91" s="18" t="n">
        <f aca="false">IF(SUM($G$5:$G$404)=0,0,G91/SUM($G$5:$G$404))</f>
        <v>0</v>
      </c>
      <c r="I91" s="17" t="n">
        <f aca="false">IF($B91="",0,SUMIFS('Zoho Dump'!$Q$8:$Q$3007,'Zoho Dump'!$N$8:$N$3007,$B91,'Zoho Dump'!$T$8:$T$3007,"Lost",'Zoho Dump'!$R$8:$R$3007,"&gt;="&amp;Settings!$B$4))</f>
        <v>0</v>
      </c>
      <c r="J91" s="9" t="str">
        <f aca="false">IF($B91="","",IF(COUNTIF(Dashboard!$C$13:$C$22,$B91)&gt;0,"Yes",""))</f>
        <v/>
      </c>
      <c r="K91" s="17" t="n">
        <f aca="false">IF($B91="",0,SUMIFS('Zoho Dump'!$X$8:$X$3007,'Zoho Dump'!$N$8:$N$3007,$B91,'Zoho Dump'!$P$8:$P$3007,Settings!$A$12)+SUMIFS(Adjustments!$K$8:$K$207,Adjustments!$B$8:$B$207,$B91,Adjustments!$A$8:$A$207,Settings!$A$12))</f>
        <v>0</v>
      </c>
      <c r="L91" s="17" t="n">
        <f aca="false">IF($B91="",0,SUMIFS('Zoho Dump'!$X$8:$X$3007,'Zoho Dump'!$N$8:$N$3007,$B91,'Zoho Dump'!$P$8:$P$3007,Settings!$A$13)+SUMIFS(Adjustments!$K$8:$K$207,Adjustments!$B$8:$B$207,$B91,Adjustments!$A$8:$A$207,Settings!$A$13))</f>
        <v>0</v>
      </c>
      <c r="M91" s="17" t="n">
        <f aca="false">IF($B91="",0,SUMIFS('Zoho Dump'!$X$8:$X$3007,'Zoho Dump'!$N$8:$N$3007,$B91,'Zoho Dump'!$P$8:$P$3007,Settings!$A$14)+SUMIFS(Adjustments!$K$8:$K$207,Adjustments!$B$8:$B$207,$B91,Adjustments!$A$8:$A$207,Settings!$A$14))</f>
        <v>0</v>
      </c>
      <c r="N91" s="17" t="n">
        <f aca="false">IF($B91="",0,SUMIFS('Zoho Dump'!$X$8:$X$3007,'Zoho Dump'!$N$8:$N$3007,$B91,'Zoho Dump'!$P$8:$P$3007,Settings!$A$15)+SUMIFS(Adjustments!$K$8:$K$207,Adjustments!$B$8:$B$207,$B91,Adjustments!$A$8:$A$207,Settings!$A$15))</f>
        <v>0</v>
      </c>
      <c r="O91" s="17" t="n">
        <f aca="false">IF($B91="",0,SUMIFS('Zoho Dump'!$X$8:$X$3007,'Zoho Dump'!$N$8:$N$3007,$B91,'Zoho Dump'!$P$8:$P$3007,Settings!$A$16)+SUMIFS(Adjustments!$K$8:$K$207,Adjustments!$B$8:$B$207,$B91,Adjustments!$A$8:$A$207,Settings!$A$16))</f>
        <v>0</v>
      </c>
      <c r="P91" s="17" t="n">
        <f aca="false">IF($B91="",0,SUMIFS('Zoho Dump'!$X$8:$X$3007,'Zoho Dump'!$N$8:$N$3007,$B91,'Zoho Dump'!$P$8:$P$3007,Settings!$A$17)+SUMIFS(Adjustments!$K$8:$K$207,Adjustments!$B$8:$B$207,$B91,Adjustments!$A$8:$A$207,Settings!$A$17))</f>
        <v>0</v>
      </c>
      <c r="Q91" s="17" t="n">
        <f aca="false">IF($B91="",0,SUMIFS('Zoho Dump'!$X$8:$X$3007,'Zoho Dump'!$N$8:$N$3007,$B91,'Zoho Dump'!$P$8:$P$3007,Settings!$A$18)+SUMIFS(Adjustments!$K$8:$K$207,Adjustments!$B$8:$B$207,$B91,Adjustments!$A$8:$A$207,Settings!$A$18))</f>
        <v>0</v>
      </c>
      <c r="R91" s="30" t="str">
        <f aca="false">IF(G91&gt;0,G91+A91/10000000,"")</f>
        <v/>
      </c>
    </row>
    <row r="92" customFormat="false" ht="15" hidden="false" customHeight="false" outlineLevel="0" collapsed="false">
      <c r="A92" s="9" t="n">
        <v>88</v>
      </c>
      <c r="B92" s="9" t="str">
        <f aca="false">IFERROR(INDEX('Zoho Dump'!$N$8:$N$3007,MATCH(A92,'Zoho Dump'!$AB$8:$AB$3007,0)),"")</f>
        <v>Nyrada</v>
      </c>
      <c r="C92" s="17" t="n">
        <f aca="false">IF($B92="",0,SUMIFS('Zoho Dump'!$Q$8:$Q$3007,'Zoho Dump'!$N$8:$N$3007,$B92,'Zoho Dump'!$T$8:$T$3007,"Delivered",'Zoho Dump'!$R$8:$R$3007,"&gt;="&amp;Settings!$B$4))</f>
        <v>0</v>
      </c>
      <c r="D92" s="17" t="n">
        <f aca="false">IF($B92="",0,SUMIFS('Zoho Dump'!$X$8:$X$3007,'Zoho Dump'!$N$8:$N$3007,$B92,'Zoho Dump'!$T$8:$T$3007,"Backlog")+SUMIFS(Adjustments!$K$8:$K$207,Adjustments!$B$8:$B$207,$B92,Adjustments!$H$8:$H$207,"Backlog"))</f>
        <v>0</v>
      </c>
      <c r="E92" s="17" t="n">
        <f aca="false">IF($B92="",0,SUMIFS('Zoho Dump'!$Y$8:$Y$3007,'Zoho Dump'!$N$8:$N$3007,$B92,'Zoho Dump'!$T$8:$T$3007,"Pipeline")+SUMIFS(Adjustments!$L$8:$L$207,Adjustments!$B$8:$B$207,$B92,Adjustments!$H$8:$H$207,"Pipeline")+SUMIFS('Zoho Dump'!$Y$8:$Y$3007,'Zoho Dump'!$N$8:$N$3007,$B92,'Zoho Dump'!$T$8:$T$3007,"Overdue")+SUMIFS(Adjustments!$L$8:$L$207,Adjustments!$B$8:$B$207,$B92,Adjustments!$H$8:$H$207,"Overdue"))</f>
        <v>0</v>
      </c>
      <c r="F92" s="17" t="n">
        <f aca="false">IF($B92="",0,SUMIFS('Zoho Dump'!$X$8:$X$3007,'Zoho Dump'!$N$8:$N$3007,$B92,'Zoho Dump'!$T$8:$T$3007,"Pipeline")+SUMIFS(Adjustments!$K$8:$K$207,Adjustments!$B$8:$B$207,$B92,Adjustments!$H$8:$H$207,"Pipeline")+SUMIFS('Zoho Dump'!$X$8:$X$3007,'Zoho Dump'!$N$8:$N$3007,$B92,'Zoho Dump'!$T$8:$T$3007,"Overdue")+SUMIFS(Adjustments!$K$8:$K$207,Adjustments!$B$8:$B$207,$B92,Adjustments!$H$8:$H$207,"Overdue"))</f>
        <v>0</v>
      </c>
      <c r="G92" s="17" t="n">
        <f aca="false">D92+F92</f>
        <v>0</v>
      </c>
      <c r="H92" s="18" t="n">
        <f aca="false">IF(SUM($G$5:$G$404)=0,0,G92/SUM($G$5:$G$404))</f>
        <v>0</v>
      </c>
      <c r="I92" s="17" t="n">
        <f aca="false">IF($B92="",0,SUMIFS('Zoho Dump'!$Q$8:$Q$3007,'Zoho Dump'!$N$8:$N$3007,$B92,'Zoho Dump'!$T$8:$T$3007,"Lost",'Zoho Dump'!$R$8:$R$3007,"&gt;="&amp;Settings!$B$4))</f>
        <v>0</v>
      </c>
      <c r="J92" s="9" t="str">
        <f aca="false">IF($B92="","",IF(COUNTIF(Dashboard!$C$13:$C$22,$B92)&gt;0,"Yes",""))</f>
        <v/>
      </c>
      <c r="K92" s="17" t="n">
        <f aca="false">IF($B92="",0,SUMIFS('Zoho Dump'!$X$8:$X$3007,'Zoho Dump'!$N$8:$N$3007,$B92,'Zoho Dump'!$P$8:$P$3007,Settings!$A$12)+SUMIFS(Adjustments!$K$8:$K$207,Adjustments!$B$8:$B$207,$B92,Adjustments!$A$8:$A$207,Settings!$A$12))</f>
        <v>0</v>
      </c>
      <c r="L92" s="17" t="n">
        <f aca="false">IF($B92="",0,SUMIFS('Zoho Dump'!$X$8:$X$3007,'Zoho Dump'!$N$8:$N$3007,$B92,'Zoho Dump'!$P$8:$P$3007,Settings!$A$13)+SUMIFS(Adjustments!$K$8:$K$207,Adjustments!$B$8:$B$207,$B92,Adjustments!$A$8:$A$207,Settings!$A$13))</f>
        <v>0</v>
      </c>
      <c r="M92" s="17" t="n">
        <f aca="false">IF($B92="",0,SUMIFS('Zoho Dump'!$X$8:$X$3007,'Zoho Dump'!$N$8:$N$3007,$B92,'Zoho Dump'!$P$8:$P$3007,Settings!$A$14)+SUMIFS(Adjustments!$K$8:$K$207,Adjustments!$B$8:$B$207,$B92,Adjustments!$A$8:$A$207,Settings!$A$14))</f>
        <v>0</v>
      </c>
      <c r="N92" s="17" t="n">
        <f aca="false">IF($B92="",0,SUMIFS('Zoho Dump'!$X$8:$X$3007,'Zoho Dump'!$N$8:$N$3007,$B92,'Zoho Dump'!$P$8:$P$3007,Settings!$A$15)+SUMIFS(Adjustments!$K$8:$K$207,Adjustments!$B$8:$B$207,$B92,Adjustments!$A$8:$A$207,Settings!$A$15))</f>
        <v>0</v>
      </c>
      <c r="O92" s="17" t="n">
        <f aca="false">IF($B92="",0,SUMIFS('Zoho Dump'!$X$8:$X$3007,'Zoho Dump'!$N$8:$N$3007,$B92,'Zoho Dump'!$P$8:$P$3007,Settings!$A$16)+SUMIFS(Adjustments!$K$8:$K$207,Adjustments!$B$8:$B$207,$B92,Adjustments!$A$8:$A$207,Settings!$A$16))</f>
        <v>0</v>
      </c>
      <c r="P92" s="17" t="n">
        <f aca="false">IF($B92="",0,SUMIFS('Zoho Dump'!$X$8:$X$3007,'Zoho Dump'!$N$8:$N$3007,$B92,'Zoho Dump'!$P$8:$P$3007,Settings!$A$17)+SUMIFS(Adjustments!$K$8:$K$207,Adjustments!$B$8:$B$207,$B92,Adjustments!$A$8:$A$207,Settings!$A$17))</f>
        <v>0</v>
      </c>
      <c r="Q92" s="17" t="n">
        <f aca="false">IF($B92="",0,SUMIFS('Zoho Dump'!$X$8:$X$3007,'Zoho Dump'!$N$8:$N$3007,$B92,'Zoho Dump'!$P$8:$P$3007,Settings!$A$18)+SUMIFS(Adjustments!$K$8:$K$207,Adjustments!$B$8:$B$207,$B92,Adjustments!$A$8:$A$207,Settings!$A$18))</f>
        <v>0</v>
      </c>
      <c r="R92" s="30" t="str">
        <f aca="false">IF(G92&gt;0,G92+A92/10000000,"")</f>
        <v/>
      </c>
    </row>
    <row r="93" customFormat="false" ht="15" hidden="false" customHeight="false" outlineLevel="0" collapsed="false">
      <c r="A93" s="9" t="n">
        <v>89</v>
      </c>
      <c r="B93" s="9" t="str">
        <f aca="false">IFERROR(INDEX('Zoho Dump'!$N$8:$N$3007,MATCH(A93,'Zoho Dump'!$AB$8:$AB$3007,0)),"")</f>
        <v>Noumi</v>
      </c>
      <c r="C93" s="17" t="n">
        <f aca="false">IF($B93="",0,SUMIFS('Zoho Dump'!$Q$8:$Q$3007,'Zoho Dump'!$N$8:$N$3007,$B93,'Zoho Dump'!$T$8:$T$3007,"Delivered",'Zoho Dump'!$R$8:$R$3007,"&gt;="&amp;Settings!$B$4))</f>
        <v>0</v>
      </c>
      <c r="D93" s="17" t="n">
        <f aca="false">IF($B93="",0,SUMIFS('Zoho Dump'!$X$8:$X$3007,'Zoho Dump'!$N$8:$N$3007,$B93,'Zoho Dump'!$T$8:$T$3007,"Backlog")+SUMIFS(Adjustments!$K$8:$K$207,Adjustments!$B$8:$B$207,$B93,Adjustments!$H$8:$H$207,"Backlog"))</f>
        <v>0</v>
      </c>
      <c r="E93" s="17" t="n">
        <f aca="false">IF($B93="",0,SUMIFS('Zoho Dump'!$Y$8:$Y$3007,'Zoho Dump'!$N$8:$N$3007,$B93,'Zoho Dump'!$T$8:$T$3007,"Pipeline")+SUMIFS(Adjustments!$L$8:$L$207,Adjustments!$B$8:$B$207,$B93,Adjustments!$H$8:$H$207,"Pipeline")+SUMIFS('Zoho Dump'!$Y$8:$Y$3007,'Zoho Dump'!$N$8:$N$3007,$B93,'Zoho Dump'!$T$8:$T$3007,"Overdue")+SUMIFS(Adjustments!$L$8:$L$207,Adjustments!$B$8:$B$207,$B93,Adjustments!$H$8:$H$207,"Overdue"))</f>
        <v>0</v>
      </c>
      <c r="F93" s="17" t="n">
        <f aca="false">IF($B93="",0,SUMIFS('Zoho Dump'!$X$8:$X$3007,'Zoho Dump'!$N$8:$N$3007,$B93,'Zoho Dump'!$T$8:$T$3007,"Pipeline")+SUMIFS(Adjustments!$K$8:$K$207,Adjustments!$B$8:$B$207,$B93,Adjustments!$H$8:$H$207,"Pipeline")+SUMIFS('Zoho Dump'!$X$8:$X$3007,'Zoho Dump'!$N$8:$N$3007,$B93,'Zoho Dump'!$T$8:$T$3007,"Overdue")+SUMIFS(Adjustments!$K$8:$K$207,Adjustments!$B$8:$B$207,$B93,Adjustments!$H$8:$H$207,"Overdue"))</f>
        <v>0</v>
      </c>
      <c r="G93" s="17" t="n">
        <f aca="false">D93+F93</f>
        <v>0</v>
      </c>
      <c r="H93" s="18" t="n">
        <f aca="false">IF(SUM($G$5:$G$404)=0,0,G93/SUM($G$5:$G$404))</f>
        <v>0</v>
      </c>
      <c r="I93" s="17" t="n">
        <f aca="false">IF($B93="",0,SUMIFS('Zoho Dump'!$Q$8:$Q$3007,'Zoho Dump'!$N$8:$N$3007,$B93,'Zoho Dump'!$T$8:$T$3007,"Lost",'Zoho Dump'!$R$8:$R$3007,"&gt;="&amp;Settings!$B$4))</f>
        <v>0</v>
      </c>
      <c r="J93" s="9" t="str">
        <f aca="false">IF($B93="","",IF(COUNTIF(Dashboard!$C$13:$C$22,$B93)&gt;0,"Yes",""))</f>
        <v/>
      </c>
      <c r="K93" s="17" t="n">
        <f aca="false">IF($B93="",0,SUMIFS('Zoho Dump'!$X$8:$X$3007,'Zoho Dump'!$N$8:$N$3007,$B93,'Zoho Dump'!$P$8:$P$3007,Settings!$A$12)+SUMIFS(Adjustments!$K$8:$K$207,Adjustments!$B$8:$B$207,$B93,Adjustments!$A$8:$A$207,Settings!$A$12))</f>
        <v>0</v>
      </c>
      <c r="L93" s="17" t="n">
        <f aca="false">IF($B93="",0,SUMIFS('Zoho Dump'!$X$8:$X$3007,'Zoho Dump'!$N$8:$N$3007,$B93,'Zoho Dump'!$P$8:$P$3007,Settings!$A$13)+SUMIFS(Adjustments!$K$8:$K$207,Adjustments!$B$8:$B$207,$B93,Adjustments!$A$8:$A$207,Settings!$A$13))</f>
        <v>0</v>
      </c>
      <c r="M93" s="17" t="n">
        <f aca="false">IF($B93="",0,SUMIFS('Zoho Dump'!$X$8:$X$3007,'Zoho Dump'!$N$8:$N$3007,$B93,'Zoho Dump'!$P$8:$P$3007,Settings!$A$14)+SUMIFS(Adjustments!$K$8:$K$207,Adjustments!$B$8:$B$207,$B93,Adjustments!$A$8:$A$207,Settings!$A$14))</f>
        <v>0</v>
      </c>
      <c r="N93" s="17" t="n">
        <f aca="false">IF($B93="",0,SUMIFS('Zoho Dump'!$X$8:$X$3007,'Zoho Dump'!$N$8:$N$3007,$B93,'Zoho Dump'!$P$8:$P$3007,Settings!$A$15)+SUMIFS(Adjustments!$K$8:$K$207,Adjustments!$B$8:$B$207,$B93,Adjustments!$A$8:$A$207,Settings!$A$15))</f>
        <v>0</v>
      </c>
      <c r="O93" s="17" t="n">
        <f aca="false">IF($B93="",0,SUMIFS('Zoho Dump'!$X$8:$X$3007,'Zoho Dump'!$N$8:$N$3007,$B93,'Zoho Dump'!$P$8:$P$3007,Settings!$A$16)+SUMIFS(Adjustments!$K$8:$K$207,Adjustments!$B$8:$B$207,$B93,Adjustments!$A$8:$A$207,Settings!$A$16))</f>
        <v>0</v>
      </c>
      <c r="P93" s="17" t="n">
        <f aca="false">IF($B93="",0,SUMIFS('Zoho Dump'!$X$8:$X$3007,'Zoho Dump'!$N$8:$N$3007,$B93,'Zoho Dump'!$P$8:$P$3007,Settings!$A$17)+SUMIFS(Adjustments!$K$8:$K$207,Adjustments!$B$8:$B$207,$B93,Adjustments!$A$8:$A$207,Settings!$A$17))</f>
        <v>0</v>
      </c>
      <c r="Q93" s="17" t="n">
        <f aca="false">IF($B93="",0,SUMIFS('Zoho Dump'!$X$8:$X$3007,'Zoho Dump'!$N$8:$N$3007,$B93,'Zoho Dump'!$P$8:$P$3007,Settings!$A$18)+SUMIFS(Adjustments!$K$8:$K$207,Adjustments!$B$8:$B$207,$B93,Adjustments!$A$8:$A$207,Settings!$A$18))</f>
        <v>0</v>
      </c>
      <c r="R93" s="30" t="str">
        <f aca="false">IF(G93&gt;0,G93+A93/10000000,"")</f>
        <v/>
      </c>
    </row>
    <row r="94" customFormat="false" ht="15" hidden="false" customHeight="false" outlineLevel="0" collapsed="false">
      <c r="A94" s="9" t="n">
        <v>90</v>
      </c>
      <c r="B94" s="9" t="str">
        <f aca="false">IFERROR(INDEX('Zoho Dump'!$N$8:$N$3007,MATCH(A94,'Zoho Dump'!$AB$8:$AB$3007,0)),"")</f>
        <v>St Vincent's Public Hospital Sydney (SVHS)</v>
      </c>
      <c r="C94" s="17" t="n">
        <f aca="false">IF($B94="",0,SUMIFS('Zoho Dump'!$Q$8:$Q$3007,'Zoho Dump'!$N$8:$N$3007,$B94,'Zoho Dump'!$T$8:$T$3007,"Delivered",'Zoho Dump'!$R$8:$R$3007,"&gt;="&amp;Settings!$B$4))</f>
        <v>495</v>
      </c>
      <c r="D94" s="17" t="n">
        <f aca="false">IF($B94="",0,SUMIFS('Zoho Dump'!$X$8:$X$3007,'Zoho Dump'!$N$8:$N$3007,$B94,'Zoho Dump'!$T$8:$T$3007,"Backlog")+SUMIFS(Adjustments!$K$8:$K$207,Adjustments!$B$8:$B$207,$B94,Adjustments!$H$8:$H$207,"Backlog"))</f>
        <v>0</v>
      </c>
      <c r="E94" s="17" t="n">
        <f aca="false">IF($B94="",0,SUMIFS('Zoho Dump'!$Y$8:$Y$3007,'Zoho Dump'!$N$8:$N$3007,$B94,'Zoho Dump'!$T$8:$T$3007,"Pipeline")+SUMIFS(Adjustments!$L$8:$L$207,Adjustments!$B$8:$B$207,$B94,Adjustments!$H$8:$H$207,"Pipeline")+SUMIFS('Zoho Dump'!$Y$8:$Y$3007,'Zoho Dump'!$N$8:$N$3007,$B94,'Zoho Dump'!$T$8:$T$3007,"Overdue")+SUMIFS(Adjustments!$L$8:$L$207,Adjustments!$B$8:$B$207,$B94,Adjustments!$H$8:$H$207,"Overdue"))</f>
        <v>0</v>
      </c>
      <c r="F94" s="17" t="n">
        <f aca="false">IF($B94="",0,SUMIFS('Zoho Dump'!$X$8:$X$3007,'Zoho Dump'!$N$8:$N$3007,$B94,'Zoho Dump'!$T$8:$T$3007,"Pipeline")+SUMIFS(Adjustments!$K$8:$K$207,Adjustments!$B$8:$B$207,$B94,Adjustments!$H$8:$H$207,"Pipeline")+SUMIFS('Zoho Dump'!$X$8:$X$3007,'Zoho Dump'!$N$8:$N$3007,$B94,'Zoho Dump'!$T$8:$T$3007,"Overdue")+SUMIFS(Adjustments!$K$8:$K$207,Adjustments!$B$8:$B$207,$B94,Adjustments!$H$8:$H$207,"Overdue"))</f>
        <v>0</v>
      </c>
      <c r="G94" s="17" t="n">
        <f aca="false">D94+F94</f>
        <v>0</v>
      </c>
      <c r="H94" s="18" t="n">
        <f aca="false">IF(SUM($G$5:$G$404)=0,0,G94/SUM($G$5:$G$404))</f>
        <v>0</v>
      </c>
      <c r="I94" s="17" t="n">
        <f aca="false">IF($B94="",0,SUMIFS('Zoho Dump'!$Q$8:$Q$3007,'Zoho Dump'!$N$8:$N$3007,$B94,'Zoho Dump'!$T$8:$T$3007,"Lost",'Zoho Dump'!$R$8:$R$3007,"&gt;="&amp;Settings!$B$4))</f>
        <v>0</v>
      </c>
      <c r="J94" s="9" t="str">
        <f aca="false">IF($B94="","",IF(COUNTIF(Dashboard!$C$13:$C$22,$B94)&gt;0,"Yes",""))</f>
        <v/>
      </c>
      <c r="K94" s="17" t="n">
        <f aca="false">IF($B94="",0,SUMIFS('Zoho Dump'!$X$8:$X$3007,'Zoho Dump'!$N$8:$N$3007,$B94,'Zoho Dump'!$P$8:$P$3007,Settings!$A$12)+SUMIFS(Adjustments!$K$8:$K$207,Adjustments!$B$8:$B$207,$B94,Adjustments!$A$8:$A$207,Settings!$A$12))</f>
        <v>0</v>
      </c>
      <c r="L94" s="17" t="n">
        <f aca="false">IF($B94="",0,SUMIFS('Zoho Dump'!$X$8:$X$3007,'Zoho Dump'!$N$8:$N$3007,$B94,'Zoho Dump'!$P$8:$P$3007,Settings!$A$13)+SUMIFS(Adjustments!$K$8:$K$207,Adjustments!$B$8:$B$207,$B94,Adjustments!$A$8:$A$207,Settings!$A$13))</f>
        <v>0</v>
      </c>
      <c r="M94" s="17" t="n">
        <f aca="false">IF($B94="",0,SUMIFS('Zoho Dump'!$X$8:$X$3007,'Zoho Dump'!$N$8:$N$3007,$B94,'Zoho Dump'!$P$8:$P$3007,Settings!$A$14)+SUMIFS(Adjustments!$K$8:$K$207,Adjustments!$B$8:$B$207,$B94,Adjustments!$A$8:$A$207,Settings!$A$14))</f>
        <v>0</v>
      </c>
      <c r="N94" s="17" t="n">
        <f aca="false">IF($B94="",0,SUMIFS('Zoho Dump'!$X$8:$X$3007,'Zoho Dump'!$N$8:$N$3007,$B94,'Zoho Dump'!$P$8:$P$3007,Settings!$A$15)+SUMIFS(Adjustments!$K$8:$K$207,Adjustments!$B$8:$B$207,$B94,Adjustments!$A$8:$A$207,Settings!$A$15))</f>
        <v>0</v>
      </c>
      <c r="O94" s="17" t="n">
        <f aca="false">IF($B94="",0,SUMIFS('Zoho Dump'!$X$8:$X$3007,'Zoho Dump'!$N$8:$N$3007,$B94,'Zoho Dump'!$P$8:$P$3007,Settings!$A$16)+SUMIFS(Adjustments!$K$8:$K$207,Adjustments!$B$8:$B$207,$B94,Adjustments!$A$8:$A$207,Settings!$A$16))</f>
        <v>0</v>
      </c>
      <c r="P94" s="17" t="n">
        <f aca="false">IF($B94="",0,SUMIFS('Zoho Dump'!$X$8:$X$3007,'Zoho Dump'!$N$8:$N$3007,$B94,'Zoho Dump'!$P$8:$P$3007,Settings!$A$17)+SUMIFS(Adjustments!$K$8:$K$207,Adjustments!$B$8:$B$207,$B94,Adjustments!$A$8:$A$207,Settings!$A$17))</f>
        <v>0</v>
      </c>
      <c r="Q94" s="17" t="n">
        <f aca="false">IF($B94="",0,SUMIFS('Zoho Dump'!$X$8:$X$3007,'Zoho Dump'!$N$8:$N$3007,$B94,'Zoho Dump'!$P$8:$P$3007,Settings!$A$18)+SUMIFS(Adjustments!$K$8:$K$207,Adjustments!$B$8:$B$207,$B94,Adjustments!$A$8:$A$207,Settings!$A$18))</f>
        <v>0</v>
      </c>
      <c r="R94" s="30" t="str">
        <f aca="false">IF(G94&gt;0,G94+A94/10000000,"")</f>
        <v/>
      </c>
    </row>
    <row r="95" customFormat="false" ht="15" hidden="false" customHeight="false" outlineLevel="0" collapsed="false">
      <c r="A95" s="9" t="n">
        <v>91</v>
      </c>
      <c r="B95" s="9" t="str">
        <f aca="false">IFERROR(INDEX('Zoho Dump'!$N$8:$N$3007,MATCH(A95,'Zoho Dump'!$AB$8:$AB$3007,0)),"")</f>
        <v>BibbyWorks</v>
      </c>
      <c r="C95" s="17" t="n">
        <f aca="false">IF($B95="",0,SUMIFS('Zoho Dump'!$Q$8:$Q$3007,'Zoho Dump'!$N$8:$N$3007,$B95,'Zoho Dump'!$T$8:$T$3007,"Delivered",'Zoho Dump'!$R$8:$R$3007,"&gt;="&amp;Settings!$B$4))</f>
        <v>0</v>
      </c>
      <c r="D95" s="17" t="n">
        <f aca="false">IF($B95="",0,SUMIFS('Zoho Dump'!$X$8:$X$3007,'Zoho Dump'!$N$8:$N$3007,$B95,'Zoho Dump'!$T$8:$T$3007,"Backlog")+SUMIFS(Adjustments!$K$8:$K$207,Adjustments!$B$8:$B$207,$B95,Adjustments!$H$8:$H$207,"Backlog"))</f>
        <v>0</v>
      </c>
      <c r="E95" s="17" t="n">
        <f aca="false">IF($B95="",0,SUMIFS('Zoho Dump'!$Y$8:$Y$3007,'Zoho Dump'!$N$8:$N$3007,$B95,'Zoho Dump'!$T$8:$T$3007,"Pipeline")+SUMIFS(Adjustments!$L$8:$L$207,Adjustments!$B$8:$B$207,$B95,Adjustments!$H$8:$H$207,"Pipeline")+SUMIFS('Zoho Dump'!$Y$8:$Y$3007,'Zoho Dump'!$N$8:$N$3007,$B95,'Zoho Dump'!$T$8:$T$3007,"Overdue")+SUMIFS(Adjustments!$L$8:$L$207,Adjustments!$B$8:$B$207,$B95,Adjustments!$H$8:$H$207,"Overdue"))</f>
        <v>0</v>
      </c>
      <c r="F95" s="17" t="n">
        <f aca="false">IF($B95="",0,SUMIFS('Zoho Dump'!$X$8:$X$3007,'Zoho Dump'!$N$8:$N$3007,$B95,'Zoho Dump'!$T$8:$T$3007,"Pipeline")+SUMIFS(Adjustments!$K$8:$K$207,Adjustments!$B$8:$B$207,$B95,Adjustments!$H$8:$H$207,"Pipeline")+SUMIFS('Zoho Dump'!$X$8:$X$3007,'Zoho Dump'!$N$8:$N$3007,$B95,'Zoho Dump'!$T$8:$T$3007,"Overdue")+SUMIFS(Adjustments!$K$8:$K$207,Adjustments!$B$8:$B$207,$B95,Adjustments!$H$8:$H$207,"Overdue"))</f>
        <v>0</v>
      </c>
      <c r="G95" s="17" t="n">
        <f aca="false">D95+F95</f>
        <v>0</v>
      </c>
      <c r="H95" s="18" t="n">
        <f aca="false">IF(SUM($G$5:$G$404)=0,0,G95/SUM($G$5:$G$404))</f>
        <v>0</v>
      </c>
      <c r="I95" s="17" t="n">
        <f aca="false">IF($B95="",0,SUMIFS('Zoho Dump'!$Q$8:$Q$3007,'Zoho Dump'!$N$8:$N$3007,$B95,'Zoho Dump'!$T$8:$T$3007,"Lost",'Zoho Dump'!$R$8:$R$3007,"&gt;="&amp;Settings!$B$4))</f>
        <v>0</v>
      </c>
      <c r="J95" s="9" t="str">
        <f aca="false">IF($B95="","",IF(COUNTIF(Dashboard!$C$13:$C$22,$B95)&gt;0,"Yes",""))</f>
        <v/>
      </c>
      <c r="K95" s="17" t="n">
        <f aca="false">IF($B95="",0,SUMIFS('Zoho Dump'!$X$8:$X$3007,'Zoho Dump'!$N$8:$N$3007,$B95,'Zoho Dump'!$P$8:$P$3007,Settings!$A$12)+SUMIFS(Adjustments!$K$8:$K$207,Adjustments!$B$8:$B$207,$B95,Adjustments!$A$8:$A$207,Settings!$A$12))</f>
        <v>0</v>
      </c>
      <c r="L95" s="17" t="n">
        <f aca="false">IF($B95="",0,SUMIFS('Zoho Dump'!$X$8:$X$3007,'Zoho Dump'!$N$8:$N$3007,$B95,'Zoho Dump'!$P$8:$P$3007,Settings!$A$13)+SUMIFS(Adjustments!$K$8:$K$207,Adjustments!$B$8:$B$207,$B95,Adjustments!$A$8:$A$207,Settings!$A$13))</f>
        <v>0</v>
      </c>
      <c r="M95" s="17" t="n">
        <f aca="false">IF($B95="",0,SUMIFS('Zoho Dump'!$X$8:$X$3007,'Zoho Dump'!$N$8:$N$3007,$B95,'Zoho Dump'!$P$8:$P$3007,Settings!$A$14)+SUMIFS(Adjustments!$K$8:$K$207,Adjustments!$B$8:$B$207,$B95,Adjustments!$A$8:$A$207,Settings!$A$14))</f>
        <v>0</v>
      </c>
      <c r="N95" s="17" t="n">
        <f aca="false">IF($B95="",0,SUMIFS('Zoho Dump'!$X$8:$X$3007,'Zoho Dump'!$N$8:$N$3007,$B95,'Zoho Dump'!$P$8:$P$3007,Settings!$A$15)+SUMIFS(Adjustments!$K$8:$K$207,Adjustments!$B$8:$B$207,$B95,Adjustments!$A$8:$A$207,Settings!$A$15))</f>
        <v>0</v>
      </c>
      <c r="O95" s="17" t="n">
        <f aca="false">IF($B95="",0,SUMIFS('Zoho Dump'!$X$8:$X$3007,'Zoho Dump'!$N$8:$N$3007,$B95,'Zoho Dump'!$P$8:$P$3007,Settings!$A$16)+SUMIFS(Adjustments!$K$8:$K$207,Adjustments!$B$8:$B$207,$B95,Adjustments!$A$8:$A$207,Settings!$A$16))</f>
        <v>0</v>
      </c>
      <c r="P95" s="17" t="n">
        <f aca="false">IF($B95="",0,SUMIFS('Zoho Dump'!$X$8:$X$3007,'Zoho Dump'!$N$8:$N$3007,$B95,'Zoho Dump'!$P$8:$P$3007,Settings!$A$17)+SUMIFS(Adjustments!$K$8:$K$207,Adjustments!$B$8:$B$207,$B95,Adjustments!$A$8:$A$207,Settings!$A$17))</f>
        <v>0</v>
      </c>
      <c r="Q95" s="17" t="n">
        <f aca="false">IF($B95="",0,SUMIFS('Zoho Dump'!$X$8:$X$3007,'Zoho Dump'!$N$8:$N$3007,$B95,'Zoho Dump'!$P$8:$P$3007,Settings!$A$18)+SUMIFS(Adjustments!$K$8:$K$207,Adjustments!$B$8:$B$207,$B95,Adjustments!$A$8:$A$207,Settings!$A$18))</f>
        <v>0</v>
      </c>
      <c r="R95" s="30" t="str">
        <f aca="false">IF(G95&gt;0,G95+A95/10000000,"")</f>
        <v/>
      </c>
    </row>
    <row r="96" customFormat="false" ht="15" hidden="false" customHeight="false" outlineLevel="0" collapsed="false">
      <c r="A96" s="9" t="n">
        <v>92</v>
      </c>
      <c r="B96" s="9" t="str">
        <f aca="false">IFERROR(INDEX('Zoho Dump'!$N$8:$N$3007,MATCH(A96,'Zoho Dump'!$AB$8:$AB$3007,0)),"")</f>
        <v>Sydney Clinprep</v>
      </c>
      <c r="C96" s="17" t="n">
        <f aca="false">IF($B96="",0,SUMIFS('Zoho Dump'!$Q$8:$Q$3007,'Zoho Dump'!$N$8:$N$3007,$B96,'Zoho Dump'!$T$8:$T$3007,"Delivered",'Zoho Dump'!$R$8:$R$3007,"&gt;="&amp;Settings!$B$4))</f>
        <v>0</v>
      </c>
      <c r="D96" s="17" t="n">
        <f aca="false">IF($B96="",0,SUMIFS('Zoho Dump'!$X$8:$X$3007,'Zoho Dump'!$N$8:$N$3007,$B96,'Zoho Dump'!$T$8:$T$3007,"Backlog")+SUMIFS(Adjustments!$K$8:$K$207,Adjustments!$B$8:$B$207,$B96,Adjustments!$H$8:$H$207,"Backlog"))</f>
        <v>0</v>
      </c>
      <c r="E96" s="17" t="n">
        <f aca="false">IF($B96="",0,SUMIFS('Zoho Dump'!$Y$8:$Y$3007,'Zoho Dump'!$N$8:$N$3007,$B96,'Zoho Dump'!$T$8:$T$3007,"Pipeline")+SUMIFS(Adjustments!$L$8:$L$207,Adjustments!$B$8:$B$207,$B96,Adjustments!$H$8:$H$207,"Pipeline")+SUMIFS('Zoho Dump'!$Y$8:$Y$3007,'Zoho Dump'!$N$8:$N$3007,$B96,'Zoho Dump'!$T$8:$T$3007,"Overdue")+SUMIFS(Adjustments!$L$8:$L$207,Adjustments!$B$8:$B$207,$B96,Adjustments!$H$8:$H$207,"Overdue"))</f>
        <v>0</v>
      </c>
      <c r="F96" s="17" t="n">
        <f aca="false">IF($B96="",0,SUMIFS('Zoho Dump'!$X$8:$X$3007,'Zoho Dump'!$N$8:$N$3007,$B96,'Zoho Dump'!$T$8:$T$3007,"Pipeline")+SUMIFS(Adjustments!$K$8:$K$207,Adjustments!$B$8:$B$207,$B96,Adjustments!$H$8:$H$207,"Pipeline")+SUMIFS('Zoho Dump'!$X$8:$X$3007,'Zoho Dump'!$N$8:$N$3007,$B96,'Zoho Dump'!$T$8:$T$3007,"Overdue")+SUMIFS(Adjustments!$K$8:$K$207,Adjustments!$B$8:$B$207,$B96,Adjustments!$H$8:$H$207,"Overdue"))</f>
        <v>0</v>
      </c>
      <c r="G96" s="17" t="n">
        <f aca="false">D96+F96</f>
        <v>0</v>
      </c>
      <c r="H96" s="18" t="n">
        <f aca="false">IF(SUM($G$5:$G$404)=0,0,G96/SUM($G$5:$G$404))</f>
        <v>0</v>
      </c>
      <c r="I96" s="17" t="n">
        <f aca="false">IF($B96="",0,SUMIFS('Zoho Dump'!$Q$8:$Q$3007,'Zoho Dump'!$N$8:$N$3007,$B96,'Zoho Dump'!$T$8:$T$3007,"Lost",'Zoho Dump'!$R$8:$R$3007,"&gt;="&amp;Settings!$B$4))</f>
        <v>0</v>
      </c>
      <c r="J96" s="9" t="str">
        <f aca="false">IF($B96="","",IF(COUNTIF(Dashboard!$C$13:$C$22,$B96)&gt;0,"Yes",""))</f>
        <v/>
      </c>
      <c r="K96" s="17" t="n">
        <f aca="false">IF($B96="",0,SUMIFS('Zoho Dump'!$X$8:$X$3007,'Zoho Dump'!$N$8:$N$3007,$B96,'Zoho Dump'!$P$8:$P$3007,Settings!$A$12)+SUMIFS(Adjustments!$K$8:$K$207,Adjustments!$B$8:$B$207,$B96,Adjustments!$A$8:$A$207,Settings!$A$12))</f>
        <v>0</v>
      </c>
      <c r="L96" s="17" t="n">
        <f aca="false">IF($B96="",0,SUMIFS('Zoho Dump'!$X$8:$X$3007,'Zoho Dump'!$N$8:$N$3007,$B96,'Zoho Dump'!$P$8:$P$3007,Settings!$A$13)+SUMIFS(Adjustments!$K$8:$K$207,Adjustments!$B$8:$B$207,$B96,Adjustments!$A$8:$A$207,Settings!$A$13))</f>
        <v>0</v>
      </c>
      <c r="M96" s="17" t="n">
        <f aca="false">IF($B96="",0,SUMIFS('Zoho Dump'!$X$8:$X$3007,'Zoho Dump'!$N$8:$N$3007,$B96,'Zoho Dump'!$P$8:$P$3007,Settings!$A$14)+SUMIFS(Adjustments!$K$8:$K$207,Adjustments!$B$8:$B$207,$B96,Adjustments!$A$8:$A$207,Settings!$A$14))</f>
        <v>0</v>
      </c>
      <c r="N96" s="17" t="n">
        <f aca="false">IF($B96="",0,SUMIFS('Zoho Dump'!$X$8:$X$3007,'Zoho Dump'!$N$8:$N$3007,$B96,'Zoho Dump'!$P$8:$P$3007,Settings!$A$15)+SUMIFS(Adjustments!$K$8:$K$207,Adjustments!$B$8:$B$207,$B96,Adjustments!$A$8:$A$207,Settings!$A$15))</f>
        <v>0</v>
      </c>
      <c r="O96" s="17" t="n">
        <f aca="false">IF($B96="",0,SUMIFS('Zoho Dump'!$X$8:$X$3007,'Zoho Dump'!$N$8:$N$3007,$B96,'Zoho Dump'!$P$8:$P$3007,Settings!$A$16)+SUMIFS(Adjustments!$K$8:$K$207,Adjustments!$B$8:$B$207,$B96,Adjustments!$A$8:$A$207,Settings!$A$16))</f>
        <v>0</v>
      </c>
      <c r="P96" s="17" t="n">
        <f aca="false">IF($B96="",0,SUMIFS('Zoho Dump'!$X$8:$X$3007,'Zoho Dump'!$N$8:$N$3007,$B96,'Zoho Dump'!$P$8:$P$3007,Settings!$A$17)+SUMIFS(Adjustments!$K$8:$K$207,Adjustments!$B$8:$B$207,$B96,Adjustments!$A$8:$A$207,Settings!$A$17))</f>
        <v>0</v>
      </c>
      <c r="Q96" s="17" t="n">
        <f aca="false">IF($B96="",0,SUMIFS('Zoho Dump'!$X$8:$X$3007,'Zoho Dump'!$N$8:$N$3007,$B96,'Zoho Dump'!$P$8:$P$3007,Settings!$A$18)+SUMIFS(Adjustments!$K$8:$K$207,Adjustments!$B$8:$B$207,$B96,Adjustments!$A$8:$A$207,Settings!$A$18))</f>
        <v>0</v>
      </c>
      <c r="R96" s="30" t="str">
        <f aca="false">IF(G96&gt;0,G96+A96/10000000,"")</f>
        <v/>
      </c>
    </row>
    <row r="97" customFormat="false" ht="15" hidden="false" customHeight="false" outlineLevel="0" collapsed="false">
      <c r="A97" s="9" t="n">
        <v>93</v>
      </c>
      <c r="B97" s="9" t="str">
        <f aca="false">IFERROR(INDEX('Zoho Dump'!$N$8:$N$3007,MATCH(A97,'Zoho Dump'!$AB$8:$AB$3007,0)),"")</f>
        <v>Noisebox</v>
      </c>
      <c r="C97" s="17" t="n">
        <f aca="false">IF($B97="",0,SUMIFS('Zoho Dump'!$Q$8:$Q$3007,'Zoho Dump'!$N$8:$N$3007,$B97,'Zoho Dump'!$T$8:$T$3007,"Delivered",'Zoho Dump'!$R$8:$R$3007,"&gt;="&amp;Settings!$B$4))</f>
        <v>0</v>
      </c>
      <c r="D97" s="17" t="n">
        <f aca="false">IF($B97="",0,SUMIFS('Zoho Dump'!$X$8:$X$3007,'Zoho Dump'!$N$8:$N$3007,$B97,'Zoho Dump'!$T$8:$T$3007,"Backlog")+SUMIFS(Adjustments!$K$8:$K$207,Adjustments!$B$8:$B$207,$B97,Adjustments!$H$8:$H$207,"Backlog"))</f>
        <v>185</v>
      </c>
      <c r="E97" s="17" t="n">
        <f aca="false">IF($B97="",0,SUMIFS('Zoho Dump'!$Y$8:$Y$3007,'Zoho Dump'!$N$8:$N$3007,$B97,'Zoho Dump'!$T$8:$T$3007,"Pipeline")+SUMIFS(Adjustments!$L$8:$L$207,Adjustments!$B$8:$B$207,$B97,Adjustments!$H$8:$H$207,"Pipeline")+SUMIFS('Zoho Dump'!$Y$8:$Y$3007,'Zoho Dump'!$N$8:$N$3007,$B97,'Zoho Dump'!$T$8:$T$3007,"Overdue")+SUMIFS(Adjustments!$L$8:$L$207,Adjustments!$B$8:$B$207,$B97,Adjustments!$H$8:$H$207,"Overdue"))</f>
        <v>0</v>
      </c>
      <c r="F97" s="17" t="n">
        <f aca="false">IF($B97="",0,SUMIFS('Zoho Dump'!$X$8:$X$3007,'Zoho Dump'!$N$8:$N$3007,$B97,'Zoho Dump'!$T$8:$T$3007,"Pipeline")+SUMIFS(Adjustments!$K$8:$K$207,Adjustments!$B$8:$B$207,$B97,Adjustments!$H$8:$H$207,"Pipeline")+SUMIFS('Zoho Dump'!$X$8:$X$3007,'Zoho Dump'!$N$8:$N$3007,$B97,'Zoho Dump'!$T$8:$T$3007,"Overdue")+SUMIFS(Adjustments!$K$8:$K$207,Adjustments!$B$8:$B$207,$B97,Adjustments!$H$8:$H$207,"Overdue"))</f>
        <v>0</v>
      </c>
      <c r="G97" s="17" t="n">
        <f aca="false">D97+F97</f>
        <v>185</v>
      </c>
      <c r="H97" s="18" t="n">
        <f aca="false">IF(SUM($G$5:$G$404)=0,0,G97/SUM($G$5:$G$404))</f>
        <v>0.000216830322771274</v>
      </c>
      <c r="I97" s="17" t="n">
        <f aca="false">IF($B97="",0,SUMIFS('Zoho Dump'!$Q$8:$Q$3007,'Zoho Dump'!$N$8:$N$3007,$B97,'Zoho Dump'!$T$8:$T$3007,"Lost",'Zoho Dump'!$R$8:$R$3007,"&gt;="&amp;Settings!$B$4))</f>
        <v>0</v>
      </c>
      <c r="J97" s="9" t="str">
        <f aca="false">IF($B97="","",IF(COUNTIF(Dashboard!$C$13:$C$22,$B97)&gt;0,"Yes",""))</f>
        <v/>
      </c>
      <c r="K97" s="17" t="n">
        <f aca="false">IF($B97="",0,SUMIFS('Zoho Dump'!$X$8:$X$3007,'Zoho Dump'!$N$8:$N$3007,$B97,'Zoho Dump'!$P$8:$P$3007,Settings!$A$12)+SUMIFS(Adjustments!$K$8:$K$207,Adjustments!$B$8:$B$207,$B97,Adjustments!$A$8:$A$207,Settings!$A$12))</f>
        <v>0</v>
      </c>
      <c r="L97" s="17" t="n">
        <f aca="false">IF($B97="",0,SUMIFS('Zoho Dump'!$X$8:$X$3007,'Zoho Dump'!$N$8:$N$3007,$B97,'Zoho Dump'!$P$8:$P$3007,Settings!$A$13)+SUMIFS(Adjustments!$K$8:$K$207,Adjustments!$B$8:$B$207,$B97,Adjustments!$A$8:$A$207,Settings!$A$13))</f>
        <v>185</v>
      </c>
      <c r="M97" s="17" t="n">
        <f aca="false">IF($B97="",0,SUMIFS('Zoho Dump'!$X$8:$X$3007,'Zoho Dump'!$N$8:$N$3007,$B97,'Zoho Dump'!$P$8:$P$3007,Settings!$A$14)+SUMIFS(Adjustments!$K$8:$K$207,Adjustments!$B$8:$B$207,$B97,Adjustments!$A$8:$A$207,Settings!$A$14))</f>
        <v>0</v>
      </c>
      <c r="N97" s="17" t="n">
        <f aca="false">IF($B97="",0,SUMIFS('Zoho Dump'!$X$8:$X$3007,'Zoho Dump'!$N$8:$N$3007,$B97,'Zoho Dump'!$P$8:$P$3007,Settings!$A$15)+SUMIFS(Adjustments!$K$8:$K$207,Adjustments!$B$8:$B$207,$B97,Adjustments!$A$8:$A$207,Settings!$A$15))</f>
        <v>0</v>
      </c>
      <c r="O97" s="17" t="n">
        <f aca="false">IF($B97="",0,SUMIFS('Zoho Dump'!$X$8:$X$3007,'Zoho Dump'!$N$8:$N$3007,$B97,'Zoho Dump'!$P$8:$P$3007,Settings!$A$16)+SUMIFS(Adjustments!$K$8:$K$207,Adjustments!$B$8:$B$207,$B97,Adjustments!$A$8:$A$207,Settings!$A$16))</f>
        <v>0</v>
      </c>
      <c r="P97" s="17" t="n">
        <f aca="false">IF($B97="",0,SUMIFS('Zoho Dump'!$X$8:$X$3007,'Zoho Dump'!$N$8:$N$3007,$B97,'Zoho Dump'!$P$8:$P$3007,Settings!$A$17)+SUMIFS(Adjustments!$K$8:$K$207,Adjustments!$B$8:$B$207,$B97,Adjustments!$A$8:$A$207,Settings!$A$17))</f>
        <v>0</v>
      </c>
      <c r="Q97" s="17" t="n">
        <f aca="false">IF($B97="",0,SUMIFS('Zoho Dump'!$X$8:$X$3007,'Zoho Dump'!$N$8:$N$3007,$B97,'Zoho Dump'!$P$8:$P$3007,Settings!$A$18)+SUMIFS(Adjustments!$K$8:$K$207,Adjustments!$B$8:$B$207,$B97,Adjustments!$A$8:$A$207,Settings!$A$18))</f>
        <v>0</v>
      </c>
      <c r="R97" s="30" t="n">
        <f aca="false">IF(G97&gt;0,G97+A97/10000000,"")</f>
        <v>185.0000093</v>
      </c>
    </row>
    <row r="98" customFormat="false" ht="15" hidden="false" customHeight="false" outlineLevel="0" collapsed="false">
      <c r="A98" s="9" t="n">
        <v>94</v>
      </c>
      <c r="B98" s="9" t="str">
        <f aca="false">IFERROR(INDEX('Zoho Dump'!$N$8:$N$3007,MATCH(A98,'Zoho Dump'!$AB$8:$AB$3007,0)),"")</f>
        <v>London Stock Exchange Group (LSEG)</v>
      </c>
      <c r="C98" s="17" t="n">
        <f aca="false">IF($B98="",0,SUMIFS('Zoho Dump'!$Q$8:$Q$3007,'Zoho Dump'!$N$8:$N$3007,$B98,'Zoho Dump'!$T$8:$T$3007,"Delivered",'Zoho Dump'!$R$8:$R$3007,"&gt;="&amp;Settings!$B$4))</f>
        <v>0</v>
      </c>
      <c r="D98" s="17" t="n">
        <f aca="false">IF($B98="",0,SUMIFS('Zoho Dump'!$X$8:$X$3007,'Zoho Dump'!$N$8:$N$3007,$B98,'Zoho Dump'!$T$8:$T$3007,"Backlog")+SUMIFS(Adjustments!$K$8:$K$207,Adjustments!$B$8:$B$207,$B98,Adjustments!$H$8:$H$207,"Backlog"))</f>
        <v>0</v>
      </c>
      <c r="E98" s="17" t="n">
        <f aca="false">IF($B98="",0,SUMIFS('Zoho Dump'!$Y$8:$Y$3007,'Zoho Dump'!$N$8:$N$3007,$B98,'Zoho Dump'!$T$8:$T$3007,"Pipeline")+SUMIFS(Adjustments!$L$8:$L$207,Adjustments!$B$8:$B$207,$B98,Adjustments!$H$8:$H$207,"Pipeline")+SUMIFS('Zoho Dump'!$Y$8:$Y$3007,'Zoho Dump'!$N$8:$N$3007,$B98,'Zoho Dump'!$T$8:$T$3007,"Overdue")+SUMIFS(Adjustments!$L$8:$L$207,Adjustments!$B$8:$B$207,$B98,Adjustments!$H$8:$H$207,"Overdue"))</f>
        <v>0</v>
      </c>
      <c r="F98" s="17" t="n">
        <f aca="false">IF($B98="",0,SUMIFS('Zoho Dump'!$X$8:$X$3007,'Zoho Dump'!$N$8:$N$3007,$B98,'Zoho Dump'!$T$8:$T$3007,"Pipeline")+SUMIFS(Adjustments!$K$8:$K$207,Adjustments!$B$8:$B$207,$B98,Adjustments!$H$8:$H$207,"Pipeline")+SUMIFS('Zoho Dump'!$X$8:$X$3007,'Zoho Dump'!$N$8:$N$3007,$B98,'Zoho Dump'!$T$8:$T$3007,"Overdue")+SUMIFS(Adjustments!$K$8:$K$207,Adjustments!$B$8:$B$207,$B98,Adjustments!$H$8:$H$207,"Overdue"))</f>
        <v>0</v>
      </c>
      <c r="G98" s="17" t="n">
        <f aca="false">D98+F98</f>
        <v>0</v>
      </c>
      <c r="H98" s="18" t="n">
        <f aca="false">IF(SUM($G$5:$G$404)=0,0,G98/SUM($G$5:$G$404))</f>
        <v>0</v>
      </c>
      <c r="I98" s="17" t="n">
        <f aca="false">IF($B98="",0,SUMIFS('Zoho Dump'!$Q$8:$Q$3007,'Zoho Dump'!$N$8:$N$3007,$B98,'Zoho Dump'!$T$8:$T$3007,"Lost",'Zoho Dump'!$R$8:$R$3007,"&gt;="&amp;Settings!$B$4))</f>
        <v>0</v>
      </c>
      <c r="J98" s="9" t="str">
        <f aca="false">IF($B98="","",IF(COUNTIF(Dashboard!$C$13:$C$22,$B98)&gt;0,"Yes",""))</f>
        <v/>
      </c>
      <c r="K98" s="17" t="n">
        <f aca="false">IF($B98="",0,SUMIFS('Zoho Dump'!$X$8:$X$3007,'Zoho Dump'!$N$8:$N$3007,$B98,'Zoho Dump'!$P$8:$P$3007,Settings!$A$12)+SUMIFS(Adjustments!$K$8:$K$207,Adjustments!$B$8:$B$207,$B98,Adjustments!$A$8:$A$207,Settings!$A$12))</f>
        <v>0</v>
      </c>
      <c r="L98" s="17" t="n">
        <f aca="false">IF($B98="",0,SUMIFS('Zoho Dump'!$X$8:$X$3007,'Zoho Dump'!$N$8:$N$3007,$B98,'Zoho Dump'!$P$8:$P$3007,Settings!$A$13)+SUMIFS(Adjustments!$K$8:$K$207,Adjustments!$B$8:$B$207,$B98,Adjustments!$A$8:$A$207,Settings!$A$13))</f>
        <v>0</v>
      </c>
      <c r="M98" s="17" t="n">
        <f aca="false">IF($B98="",0,SUMIFS('Zoho Dump'!$X$8:$X$3007,'Zoho Dump'!$N$8:$N$3007,$B98,'Zoho Dump'!$P$8:$P$3007,Settings!$A$14)+SUMIFS(Adjustments!$K$8:$K$207,Adjustments!$B$8:$B$207,$B98,Adjustments!$A$8:$A$207,Settings!$A$14))</f>
        <v>0</v>
      </c>
      <c r="N98" s="17" t="n">
        <f aca="false">IF($B98="",0,SUMIFS('Zoho Dump'!$X$8:$X$3007,'Zoho Dump'!$N$8:$N$3007,$B98,'Zoho Dump'!$P$8:$P$3007,Settings!$A$15)+SUMIFS(Adjustments!$K$8:$K$207,Adjustments!$B$8:$B$207,$B98,Adjustments!$A$8:$A$207,Settings!$A$15))</f>
        <v>0</v>
      </c>
      <c r="O98" s="17" t="n">
        <f aca="false">IF($B98="",0,SUMIFS('Zoho Dump'!$X$8:$X$3007,'Zoho Dump'!$N$8:$N$3007,$B98,'Zoho Dump'!$P$8:$P$3007,Settings!$A$16)+SUMIFS(Adjustments!$K$8:$K$207,Adjustments!$B$8:$B$207,$B98,Adjustments!$A$8:$A$207,Settings!$A$16))</f>
        <v>0</v>
      </c>
      <c r="P98" s="17" t="n">
        <f aca="false">IF($B98="",0,SUMIFS('Zoho Dump'!$X$8:$X$3007,'Zoho Dump'!$N$8:$N$3007,$B98,'Zoho Dump'!$P$8:$P$3007,Settings!$A$17)+SUMIFS(Adjustments!$K$8:$K$207,Adjustments!$B$8:$B$207,$B98,Adjustments!$A$8:$A$207,Settings!$A$17))</f>
        <v>0</v>
      </c>
      <c r="Q98" s="17" t="n">
        <f aca="false">IF($B98="",0,SUMIFS('Zoho Dump'!$X$8:$X$3007,'Zoho Dump'!$N$8:$N$3007,$B98,'Zoho Dump'!$P$8:$P$3007,Settings!$A$18)+SUMIFS(Adjustments!$K$8:$K$207,Adjustments!$B$8:$B$207,$B98,Adjustments!$A$8:$A$207,Settings!$A$18))</f>
        <v>0</v>
      </c>
      <c r="R98" s="30" t="str">
        <f aca="false">IF(G98&gt;0,G98+A98/10000000,"")</f>
        <v/>
      </c>
    </row>
    <row r="99" customFormat="false" ht="15" hidden="false" customHeight="false" outlineLevel="0" collapsed="false">
      <c r="A99" s="9" t="n">
        <v>95</v>
      </c>
      <c r="B99" s="9" t="str">
        <f aca="false">IFERROR(INDEX('Zoho Dump'!$N$8:$N$3007,MATCH(A99,'Zoho Dump'!$AB$8:$AB$3007,0)),"")</f>
        <v>BAE Systems Australia</v>
      </c>
      <c r="C99" s="17" t="n">
        <f aca="false">IF($B99="",0,SUMIFS('Zoho Dump'!$Q$8:$Q$3007,'Zoho Dump'!$N$8:$N$3007,$B99,'Zoho Dump'!$T$8:$T$3007,"Delivered",'Zoho Dump'!$R$8:$R$3007,"&gt;="&amp;Settings!$B$4))</f>
        <v>0</v>
      </c>
      <c r="D99" s="17" t="n">
        <f aca="false">IF($B99="",0,SUMIFS('Zoho Dump'!$X$8:$X$3007,'Zoho Dump'!$N$8:$N$3007,$B99,'Zoho Dump'!$T$8:$T$3007,"Backlog")+SUMIFS(Adjustments!$K$8:$K$207,Adjustments!$B$8:$B$207,$B99,Adjustments!$H$8:$H$207,"Backlog"))</f>
        <v>0</v>
      </c>
      <c r="E99" s="17" t="n">
        <f aca="false">IF($B99="",0,SUMIFS('Zoho Dump'!$Y$8:$Y$3007,'Zoho Dump'!$N$8:$N$3007,$B99,'Zoho Dump'!$T$8:$T$3007,"Pipeline")+SUMIFS(Adjustments!$L$8:$L$207,Adjustments!$B$8:$B$207,$B99,Adjustments!$H$8:$H$207,"Pipeline")+SUMIFS('Zoho Dump'!$Y$8:$Y$3007,'Zoho Dump'!$N$8:$N$3007,$B99,'Zoho Dump'!$T$8:$T$3007,"Overdue")+SUMIFS(Adjustments!$L$8:$L$207,Adjustments!$B$8:$B$207,$B99,Adjustments!$H$8:$H$207,"Overdue"))</f>
        <v>0</v>
      </c>
      <c r="F99" s="17" t="n">
        <f aca="false">IF($B99="",0,SUMIFS('Zoho Dump'!$X$8:$X$3007,'Zoho Dump'!$N$8:$N$3007,$B99,'Zoho Dump'!$T$8:$T$3007,"Pipeline")+SUMIFS(Adjustments!$K$8:$K$207,Adjustments!$B$8:$B$207,$B99,Adjustments!$H$8:$H$207,"Pipeline")+SUMIFS('Zoho Dump'!$X$8:$X$3007,'Zoho Dump'!$N$8:$N$3007,$B99,'Zoho Dump'!$T$8:$T$3007,"Overdue")+SUMIFS(Adjustments!$K$8:$K$207,Adjustments!$B$8:$B$207,$B99,Adjustments!$H$8:$H$207,"Overdue"))</f>
        <v>0</v>
      </c>
      <c r="G99" s="17" t="n">
        <f aca="false">D99+F99</f>
        <v>0</v>
      </c>
      <c r="H99" s="18" t="n">
        <f aca="false">IF(SUM($G$5:$G$404)=0,0,G99/SUM($G$5:$G$404))</f>
        <v>0</v>
      </c>
      <c r="I99" s="17" t="n">
        <f aca="false">IF($B99="",0,SUMIFS('Zoho Dump'!$Q$8:$Q$3007,'Zoho Dump'!$N$8:$N$3007,$B99,'Zoho Dump'!$T$8:$T$3007,"Lost",'Zoho Dump'!$R$8:$R$3007,"&gt;="&amp;Settings!$B$4))</f>
        <v>0</v>
      </c>
      <c r="J99" s="9" t="str">
        <f aca="false">IF($B99="","",IF(COUNTIF(Dashboard!$C$13:$C$22,$B99)&gt;0,"Yes",""))</f>
        <v/>
      </c>
      <c r="K99" s="17" t="n">
        <f aca="false">IF($B99="",0,SUMIFS('Zoho Dump'!$X$8:$X$3007,'Zoho Dump'!$N$8:$N$3007,$B99,'Zoho Dump'!$P$8:$P$3007,Settings!$A$12)+SUMIFS(Adjustments!$K$8:$K$207,Adjustments!$B$8:$B$207,$B99,Adjustments!$A$8:$A$207,Settings!$A$12))</f>
        <v>0</v>
      </c>
      <c r="L99" s="17" t="n">
        <f aca="false">IF($B99="",0,SUMIFS('Zoho Dump'!$X$8:$X$3007,'Zoho Dump'!$N$8:$N$3007,$B99,'Zoho Dump'!$P$8:$P$3007,Settings!$A$13)+SUMIFS(Adjustments!$K$8:$K$207,Adjustments!$B$8:$B$207,$B99,Adjustments!$A$8:$A$207,Settings!$A$13))</f>
        <v>0</v>
      </c>
      <c r="M99" s="17" t="n">
        <f aca="false">IF($B99="",0,SUMIFS('Zoho Dump'!$X$8:$X$3007,'Zoho Dump'!$N$8:$N$3007,$B99,'Zoho Dump'!$P$8:$P$3007,Settings!$A$14)+SUMIFS(Adjustments!$K$8:$K$207,Adjustments!$B$8:$B$207,$B99,Adjustments!$A$8:$A$207,Settings!$A$14))</f>
        <v>0</v>
      </c>
      <c r="N99" s="17" t="n">
        <f aca="false">IF($B99="",0,SUMIFS('Zoho Dump'!$X$8:$X$3007,'Zoho Dump'!$N$8:$N$3007,$B99,'Zoho Dump'!$P$8:$P$3007,Settings!$A$15)+SUMIFS(Adjustments!$K$8:$K$207,Adjustments!$B$8:$B$207,$B99,Adjustments!$A$8:$A$207,Settings!$A$15))</f>
        <v>0</v>
      </c>
      <c r="O99" s="17" t="n">
        <f aca="false">IF($B99="",0,SUMIFS('Zoho Dump'!$X$8:$X$3007,'Zoho Dump'!$N$8:$N$3007,$B99,'Zoho Dump'!$P$8:$P$3007,Settings!$A$16)+SUMIFS(Adjustments!$K$8:$K$207,Adjustments!$B$8:$B$207,$B99,Adjustments!$A$8:$A$207,Settings!$A$16))</f>
        <v>0</v>
      </c>
      <c r="P99" s="17" t="n">
        <f aca="false">IF($B99="",0,SUMIFS('Zoho Dump'!$X$8:$X$3007,'Zoho Dump'!$N$8:$N$3007,$B99,'Zoho Dump'!$P$8:$P$3007,Settings!$A$17)+SUMIFS(Adjustments!$K$8:$K$207,Adjustments!$B$8:$B$207,$B99,Adjustments!$A$8:$A$207,Settings!$A$17))</f>
        <v>0</v>
      </c>
      <c r="Q99" s="17" t="n">
        <f aca="false">IF($B99="",0,SUMIFS('Zoho Dump'!$X$8:$X$3007,'Zoho Dump'!$N$8:$N$3007,$B99,'Zoho Dump'!$P$8:$P$3007,Settings!$A$18)+SUMIFS(Adjustments!$K$8:$K$207,Adjustments!$B$8:$B$207,$B99,Adjustments!$A$8:$A$207,Settings!$A$18))</f>
        <v>0</v>
      </c>
      <c r="R99" s="30" t="str">
        <f aca="false">IF(G99&gt;0,G99+A99/10000000,"")</f>
        <v/>
      </c>
    </row>
    <row r="100" customFormat="false" ht="15" hidden="false" customHeight="false" outlineLevel="0" collapsed="false">
      <c r="A100" s="9" t="n">
        <v>96</v>
      </c>
      <c r="B100" s="9" t="str">
        <f aca="false">IFERROR(INDEX('Zoho Dump'!$N$8:$N$3007,MATCH(A100,'Zoho Dump'!$AB$8:$AB$3007,0)),"")</f>
        <v>St. Vincent's Private Hospital (SVPH)</v>
      </c>
      <c r="C100" s="17" t="n">
        <f aca="false">IF($B100="",0,SUMIFS('Zoho Dump'!$Q$8:$Q$3007,'Zoho Dump'!$N$8:$N$3007,$B100,'Zoho Dump'!$T$8:$T$3007,"Delivered",'Zoho Dump'!$R$8:$R$3007,"&gt;="&amp;Settings!$B$4))</f>
        <v>0</v>
      </c>
      <c r="D100" s="17" t="n">
        <f aca="false">IF($B100="",0,SUMIFS('Zoho Dump'!$X$8:$X$3007,'Zoho Dump'!$N$8:$N$3007,$B100,'Zoho Dump'!$T$8:$T$3007,"Backlog")+SUMIFS(Adjustments!$K$8:$K$207,Adjustments!$B$8:$B$207,$B100,Adjustments!$H$8:$H$207,"Backlog"))</f>
        <v>0</v>
      </c>
      <c r="E100" s="17" t="n">
        <f aca="false">IF($B100="",0,SUMIFS('Zoho Dump'!$Y$8:$Y$3007,'Zoho Dump'!$N$8:$N$3007,$B100,'Zoho Dump'!$T$8:$T$3007,"Pipeline")+SUMIFS(Adjustments!$L$8:$L$207,Adjustments!$B$8:$B$207,$B100,Adjustments!$H$8:$H$207,"Pipeline")+SUMIFS('Zoho Dump'!$Y$8:$Y$3007,'Zoho Dump'!$N$8:$N$3007,$B100,'Zoho Dump'!$T$8:$T$3007,"Overdue")+SUMIFS(Adjustments!$L$8:$L$207,Adjustments!$B$8:$B$207,$B100,Adjustments!$H$8:$H$207,"Overdue"))</f>
        <v>0</v>
      </c>
      <c r="F100" s="17" t="n">
        <f aca="false">IF($B100="",0,SUMIFS('Zoho Dump'!$X$8:$X$3007,'Zoho Dump'!$N$8:$N$3007,$B100,'Zoho Dump'!$T$8:$T$3007,"Pipeline")+SUMIFS(Adjustments!$K$8:$K$207,Adjustments!$B$8:$B$207,$B100,Adjustments!$H$8:$H$207,"Pipeline")+SUMIFS('Zoho Dump'!$X$8:$X$3007,'Zoho Dump'!$N$8:$N$3007,$B100,'Zoho Dump'!$T$8:$T$3007,"Overdue")+SUMIFS(Adjustments!$K$8:$K$207,Adjustments!$B$8:$B$207,$B100,Adjustments!$H$8:$H$207,"Overdue"))</f>
        <v>0</v>
      </c>
      <c r="G100" s="17" t="n">
        <f aca="false">D100+F100</f>
        <v>0</v>
      </c>
      <c r="H100" s="18" t="n">
        <f aca="false">IF(SUM($G$5:$G$404)=0,0,G100/SUM($G$5:$G$404))</f>
        <v>0</v>
      </c>
      <c r="I100" s="17" t="n">
        <f aca="false">IF($B100="",0,SUMIFS('Zoho Dump'!$Q$8:$Q$3007,'Zoho Dump'!$N$8:$N$3007,$B100,'Zoho Dump'!$T$8:$T$3007,"Lost",'Zoho Dump'!$R$8:$R$3007,"&gt;="&amp;Settings!$B$4))</f>
        <v>0</v>
      </c>
      <c r="J100" s="9" t="str">
        <f aca="false">IF($B100="","",IF(COUNTIF(Dashboard!$C$13:$C$22,$B100)&gt;0,"Yes",""))</f>
        <v/>
      </c>
      <c r="K100" s="17" t="n">
        <f aca="false">IF($B100="",0,SUMIFS('Zoho Dump'!$X$8:$X$3007,'Zoho Dump'!$N$8:$N$3007,$B100,'Zoho Dump'!$P$8:$P$3007,Settings!$A$12)+SUMIFS(Adjustments!$K$8:$K$207,Adjustments!$B$8:$B$207,$B100,Adjustments!$A$8:$A$207,Settings!$A$12))</f>
        <v>0</v>
      </c>
      <c r="L100" s="17" t="n">
        <f aca="false">IF($B100="",0,SUMIFS('Zoho Dump'!$X$8:$X$3007,'Zoho Dump'!$N$8:$N$3007,$B100,'Zoho Dump'!$P$8:$P$3007,Settings!$A$13)+SUMIFS(Adjustments!$K$8:$K$207,Adjustments!$B$8:$B$207,$B100,Adjustments!$A$8:$A$207,Settings!$A$13))</f>
        <v>0</v>
      </c>
      <c r="M100" s="17" t="n">
        <f aca="false">IF($B100="",0,SUMIFS('Zoho Dump'!$X$8:$X$3007,'Zoho Dump'!$N$8:$N$3007,$B100,'Zoho Dump'!$P$8:$P$3007,Settings!$A$14)+SUMIFS(Adjustments!$K$8:$K$207,Adjustments!$B$8:$B$207,$B100,Adjustments!$A$8:$A$207,Settings!$A$14))</f>
        <v>0</v>
      </c>
      <c r="N100" s="17" t="n">
        <f aca="false">IF($B100="",0,SUMIFS('Zoho Dump'!$X$8:$X$3007,'Zoho Dump'!$N$8:$N$3007,$B100,'Zoho Dump'!$P$8:$P$3007,Settings!$A$15)+SUMIFS(Adjustments!$K$8:$K$207,Adjustments!$B$8:$B$207,$B100,Adjustments!$A$8:$A$207,Settings!$A$15))</f>
        <v>0</v>
      </c>
      <c r="O100" s="17" t="n">
        <f aca="false">IF($B100="",0,SUMIFS('Zoho Dump'!$X$8:$X$3007,'Zoho Dump'!$N$8:$N$3007,$B100,'Zoho Dump'!$P$8:$P$3007,Settings!$A$16)+SUMIFS(Adjustments!$K$8:$K$207,Adjustments!$B$8:$B$207,$B100,Adjustments!$A$8:$A$207,Settings!$A$16))</f>
        <v>0</v>
      </c>
      <c r="P100" s="17" t="n">
        <f aca="false">IF($B100="",0,SUMIFS('Zoho Dump'!$X$8:$X$3007,'Zoho Dump'!$N$8:$N$3007,$B100,'Zoho Dump'!$P$8:$P$3007,Settings!$A$17)+SUMIFS(Adjustments!$K$8:$K$207,Adjustments!$B$8:$B$207,$B100,Adjustments!$A$8:$A$207,Settings!$A$17))</f>
        <v>0</v>
      </c>
      <c r="Q100" s="17" t="n">
        <f aca="false">IF($B100="",0,SUMIFS('Zoho Dump'!$X$8:$X$3007,'Zoho Dump'!$N$8:$N$3007,$B100,'Zoho Dump'!$P$8:$P$3007,Settings!$A$18)+SUMIFS(Adjustments!$K$8:$K$207,Adjustments!$B$8:$B$207,$B100,Adjustments!$A$8:$A$207,Settings!$A$18))</f>
        <v>0</v>
      </c>
      <c r="R100" s="30" t="str">
        <f aca="false">IF(G100&gt;0,G100+A100/10000000,"")</f>
        <v/>
      </c>
    </row>
    <row r="101" customFormat="false" ht="15" hidden="false" customHeight="false" outlineLevel="0" collapsed="false">
      <c r="A101" s="9" t="n">
        <v>97</v>
      </c>
      <c r="B101" s="9" t="str">
        <f aca="false">IFERROR(INDEX('Zoho Dump'!$N$8:$N$3007,MATCH(A101,'Zoho Dump'!$AB$8:$AB$3007,0)),"")</f>
        <v>Department of Employment &amp; Workplace Relations (DEWR)</v>
      </c>
      <c r="C101" s="17" t="n">
        <f aca="false">IF($B101="",0,SUMIFS('Zoho Dump'!$Q$8:$Q$3007,'Zoho Dump'!$N$8:$N$3007,$B101,'Zoho Dump'!$T$8:$T$3007,"Delivered",'Zoho Dump'!$R$8:$R$3007,"&gt;="&amp;Settings!$B$4))</f>
        <v>0</v>
      </c>
      <c r="D101" s="17" t="n">
        <f aca="false">IF($B101="",0,SUMIFS('Zoho Dump'!$X$8:$X$3007,'Zoho Dump'!$N$8:$N$3007,$B101,'Zoho Dump'!$T$8:$T$3007,"Backlog")+SUMIFS(Adjustments!$K$8:$K$207,Adjustments!$B$8:$B$207,$B101,Adjustments!$H$8:$H$207,"Backlog"))</f>
        <v>0</v>
      </c>
      <c r="E101" s="17" t="n">
        <f aca="false">IF($B101="",0,SUMIFS('Zoho Dump'!$Y$8:$Y$3007,'Zoho Dump'!$N$8:$N$3007,$B101,'Zoho Dump'!$T$8:$T$3007,"Pipeline")+SUMIFS(Adjustments!$L$8:$L$207,Adjustments!$B$8:$B$207,$B101,Adjustments!$H$8:$H$207,"Pipeline")+SUMIFS('Zoho Dump'!$Y$8:$Y$3007,'Zoho Dump'!$N$8:$N$3007,$B101,'Zoho Dump'!$T$8:$T$3007,"Overdue")+SUMIFS(Adjustments!$L$8:$L$207,Adjustments!$B$8:$B$207,$B101,Adjustments!$H$8:$H$207,"Overdue"))</f>
        <v>0</v>
      </c>
      <c r="F101" s="17" t="n">
        <f aca="false">IF($B101="",0,SUMIFS('Zoho Dump'!$X$8:$X$3007,'Zoho Dump'!$N$8:$N$3007,$B101,'Zoho Dump'!$T$8:$T$3007,"Pipeline")+SUMIFS(Adjustments!$K$8:$K$207,Adjustments!$B$8:$B$207,$B101,Adjustments!$H$8:$H$207,"Pipeline")+SUMIFS('Zoho Dump'!$X$8:$X$3007,'Zoho Dump'!$N$8:$N$3007,$B101,'Zoho Dump'!$T$8:$T$3007,"Overdue")+SUMIFS(Adjustments!$K$8:$K$207,Adjustments!$B$8:$B$207,$B101,Adjustments!$H$8:$H$207,"Overdue"))</f>
        <v>0</v>
      </c>
      <c r="G101" s="17" t="n">
        <f aca="false">D101+F101</f>
        <v>0</v>
      </c>
      <c r="H101" s="18" t="n">
        <f aca="false">IF(SUM($G$5:$G$404)=0,0,G101/SUM($G$5:$G$404))</f>
        <v>0</v>
      </c>
      <c r="I101" s="17" t="n">
        <f aca="false">IF($B101="",0,SUMIFS('Zoho Dump'!$Q$8:$Q$3007,'Zoho Dump'!$N$8:$N$3007,$B101,'Zoho Dump'!$T$8:$T$3007,"Lost",'Zoho Dump'!$R$8:$R$3007,"&gt;="&amp;Settings!$B$4))</f>
        <v>0</v>
      </c>
      <c r="J101" s="9" t="str">
        <f aca="false">IF($B101="","",IF(COUNTIF(Dashboard!$C$13:$C$22,$B101)&gt;0,"Yes",""))</f>
        <v/>
      </c>
      <c r="K101" s="17" t="n">
        <f aca="false">IF($B101="",0,SUMIFS('Zoho Dump'!$X$8:$X$3007,'Zoho Dump'!$N$8:$N$3007,$B101,'Zoho Dump'!$P$8:$P$3007,Settings!$A$12)+SUMIFS(Adjustments!$K$8:$K$207,Adjustments!$B$8:$B$207,$B101,Adjustments!$A$8:$A$207,Settings!$A$12))</f>
        <v>0</v>
      </c>
      <c r="L101" s="17" t="n">
        <f aca="false">IF($B101="",0,SUMIFS('Zoho Dump'!$X$8:$X$3007,'Zoho Dump'!$N$8:$N$3007,$B101,'Zoho Dump'!$P$8:$P$3007,Settings!$A$13)+SUMIFS(Adjustments!$K$8:$K$207,Adjustments!$B$8:$B$207,$B101,Adjustments!$A$8:$A$207,Settings!$A$13))</f>
        <v>0</v>
      </c>
      <c r="M101" s="17" t="n">
        <f aca="false">IF($B101="",0,SUMIFS('Zoho Dump'!$X$8:$X$3007,'Zoho Dump'!$N$8:$N$3007,$B101,'Zoho Dump'!$P$8:$P$3007,Settings!$A$14)+SUMIFS(Adjustments!$K$8:$K$207,Adjustments!$B$8:$B$207,$B101,Adjustments!$A$8:$A$207,Settings!$A$14))</f>
        <v>0</v>
      </c>
      <c r="N101" s="17" t="n">
        <f aca="false">IF($B101="",0,SUMIFS('Zoho Dump'!$X$8:$X$3007,'Zoho Dump'!$N$8:$N$3007,$B101,'Zoho Dump'!$P$8:$P$3007,Settings!$A$15)+SUMIFS(Adjustments!$K$8:$K$207,Adjustments!$B$8:$B$207,$B101,Adjustments!$A$8:$A$207,Settings!$A$15))</f>
        <v>0</v>
      </c>
      <c r="O101" s="17" t="n">
        <f aca="false">IF($B101="",0,SUMIFS('Zoho Dump'!$X$8:$X$3007,'Zoho Dump'!$N$8:$N$3007,$B101,'Zoho Dump'!$P$8:$P$3007,Settings!$A$16)+SUMIFS(Adjustments!$K$8:$K$207,Adjustments!$B$8:$B$207,$B101,Adjustments!$A$8:$A$207,Settings!$A$16))</f>
        <v>0</v>
      </c>
      <c r="P101" s="17" t="n">
        <f aca="false">IF($B101="",0,SUMIFS('Zoho Dump'!$X$8:$X$3007,'Zoho Dump'!$N$8:$N$3007,$B101,'Zoho Dump'!$P$8:$P$3007,Settings!$A$17)+SUMIFS(Adjustments!$K$8:$K$207,Adjustments!$B$8:$B$207,$B101,Adjustments!$A$8:$A$207,Settings!$A$17))</f>
        <v>0</v>
      </c>
      <c r="Q101" s="17" t="n">
        <f aca="false">IF($B101="",0,SUMIFS('Zoho Dump'!$X$8:$X$3007,'Zoho Dump'!$N$8:$N$3007,$B101,'Zoho Dump'!$P$8:$P$3007,Settings!$A$18)+SUMIFS(Adjustments!$K$8:$K$207,Adjustments!$B$8:$B$207,$B101,Adjustments!$A$8:$A$207,Settings!$A$18))</f>
        <v>0</v>
      </c>
      <c r="R101" s="30" t="str">
        <f aca="false">IF(G101&gt;0,G101+A101/10000000,"")</f>
        <v/>
      </c>
    </row>
    <row r="102" customFormat="false" ht="15" hidden="false" customHeight="false" outlineLevel="0" collapsed="false">
      <c r="A102" s="9" t="n">
        <v>98</v>
      </c>
      <c r="B102" s="9" t="str">
        <f aca="false">IFERROR(INDEX('Zoho Dump'!$N$8:$N$3007,MATCH(A102,'Zoho Dump'!$AB$8:$AB$3007,0)),"")</f>
        <v>MM Electrical Merchandising</v>
      </c>
      <c r="C102" s="17" t="n">
        <f aca="false">IF($B102="",0,SUMIFS('Zoho Dump'!$Q$8:$Q$3007,'Zoho Dump'!$N$8:$N$3007,$B102,'Zoho Dump'!$T$8:$T$3007,"Delivered",'Zoho Dump'!$R$8:$R$3007,"&gt;="&amp;Settings!$B$4))</f>
        <v>0</v>
      </c>
      <c r="D102" s="17" t="n">
        <f aca="false">IF($B102="",0,SUMIFS('Zoho Dump'!$X$8:$X$3007,'Zoho Dump'!$N$8:$N$3007,$B102,'Zoho Dump'!$T$8:$T$3007,"Backlog")+SUMIFS(Adjustments!$K$8:$K$207,Adjustments!$B$8:$B$207,$B102,Adjustments!$H$8:$H$207,"Backlog"))</f>
        <v>0</v>
      </c>
      <c r="E102" s="17" t="n">
        <f aca="false">IF($B102="",0,SUMIFS('Zoho Dump'!$Y$8:$Y$3007,'Zoho Dump'!$N$8:$N$3007,$B102,'Zoho Dump'!$T$8:$T$3007,"Pipeline")+SUMIFS(Adjustments!$L$8:$L$207,Adjustments!$B$8:$B$207,$B102,Adjustments!$H$8:$H$207,"Pipeline")+SUMIFS('Zoho Dump'!$Y$8:$Y$3007,'Zoho Dump'!$N$8:$N$3007,$B102,'Zoho Dump'!$T$8:$T$3007,"Overdue")+SUMIFS(Adjustments!$L$8:$L$207,Adjustments!$B$8:$B$207,$B102,Adjustments!$H$8:$H$207,"Overdue"))</f>
        <v>0</v>
      </c>
      <c r="F102" s="17" t="n">
        <f aca="false">IF($B102="",0,SUMIFS('Zoho Dump'!$X$8:$X$3007,'Zoho Dump'!$N$8:$N$3007,$B102,'Zoho Dump'!$T$8:$T$3007,"Pipeline")+SUMIFS(Adjustments!$K$8:$K$207,Adjustments!$B$8:$B$207,$B102,Adjustments!$H$8:$H$207,"Pipeline")+SUMIFS('Zoho Dump'!$X$8:$X$3007,'Zoho Dump'!$N$8:$N$3007,$B102,'Zoho Dump'!$T$8:$T$3007,"Overdue")+SUMIFS(Adjustments!$K$8:$K$207,Adjustments!$B$8:$B$207,$B102,Adjustments!$H$8:$H$207,"Overdue"))</f>
        <v>0</v>
      </c>
      <c r="G102" s="17" t="n">
        <f aca="false">D102+F102</f>
        <v>0</v>
      </c>
      <c r="H102" s="18" t="n">
        <f aca="false">IF(SUM($G$5:$G$404)=0,0,G102/SUM($G$5:$G$404))</f>
        <v>0</v>
      </c>
      <c r="I102" s="17" t="n">
        <f aca="false">IF($B102="",0,SUMIFS('Zoho Dump'!$Q$8:$Q$3007,'Zoho Dump'!$N$8:$N$3007,$B102,'Zoho Dump'!$T$8:$T$3007,"Lost",'Zoho Dump'!$R$8:$R$3007,"&gt;="&amp;Settings!$B$4))</f>
        <v>0</v>
      </c>
      <c r="J102" s="9" t="str">
        <f aca="false">IF($B102="","",IF(COUNTIF(Dashboard!$C$13:$C$22,$B102)&gt;0,"Yes",""))</f>
        <v/>
      </c>
      <c r="K102" s="17" t="n">
        <f aca="false">IF($B102="",0,SUMIFS('Zoho Dump'!$X$8:$X$3007,'Zoho Dump'!$N$8:$N$3007,$B102,'Zoho Dump'!$P$8:$P$3007,Settings!$A$12)+SUMIFS(Adjustments!$K$8:$K$207,Adjustments!$B$8:$B$207,$B102,Adjustments!$A$8:$A$207,Settings!$A$12))</f>
        <v>0</v>
      </c>
      <c r="L102" s="17" t="n">
        <f aca="false">IF($B102="",0,SUMIFS('Zoho Dump'!$X$8:$X$3007,'Zoho Dump'!$N$8:$N$3007,$B102,'Zoho Dump'!$P$8:$P$3007,Settings!$A$13)+SUMIFS(Adjustments!$K$8:$K$207,Adjustments!$B$8:$B$207,$B102,Adjustments!$A$8:$A$207,Settings!$A$13))</f>
        <v>0</v>
      </c>
      <c r="M102" s="17" t="n">
        <f aca="false">IF($B102="",0,SUMIFS('Zoho Dump'!$X$8:$X$3007,'Zoho Dump'!$N$8:$N$3007,$B102,'Zoho Dump'!$P$8:$P$3007,Settings!$A$14)+SUMIFS(Adjustments!$K$8:$K$207,Adjustments!$B$8:$B$207,$B102,Adjustments!$A$8:$A$207,Settings!$A$14))</f>
        <v>0</v>
      </c>
      <c r="N102" s="17" t="n">
        <f aca="false">IF($B102="",0,SUMIFS('Zoho Dump'!$X$8:$X$3007,'Zoho Dump'!$N$8:$N$3007,$B102,'Zoho Dump'!$P$8:$P$3007,Settings!$A$15)+SUMIFS(Adjustments!$K$8:$K$207,Adjustments!$B$8:$B$207,$B102,Adjustments!$A$8:$A$207,Settings!$A$15))</f>
        <v>0</v>
      </c>
      <c r="O102" s="17" t="n">
        <f aca="false">IF($B102="",0,SUMIFS('Zoho Dump'!$X$8:$X$3007,'Zoho Dump'!$N$8:$N$3007,$B102,'Zoho Dump'!$P$8:$P$3007,Settings!$A$16)+SUMIFS(Adjustments!$K$8:$K$207,Adjustments!$B$8:$B$207,$B102,Adjustments!$A$8:$A$207,Settings!$A$16))</f>
        <v>0</v>
      </c>
      <c r="P102" s="17" t="n">
        <f aca="false">IF($B102="",0,SUMIFS('Zoho Dump'!$X$8:$X$3007,'Zoho Dump'!$N$8:$N$3007,$B102,'Zoho Dump'!$P$8:$P$3007,Settings!$A$17)+SUMIFS(Adjustments!$K$8:$K$207,Adjustments!$B$8:$B$207,$B102,Adjustments!$A$8:$A$207,Settings!$A$17))</f>
        <v>0</v>
      </c>
      <c r="Q102" s="17" t="n">
        <f aca="false">IF($B102="",0,SUMIFS('Zoho Dump'!$X$8:$X$3007,'Zoho Dump'!$N$8:$N$3007,$B102,'Zoho Dump'!$P$8:$P$3007,Settings!$A$18)+SUMIFS(Adjustments!$K$8:$K$207,Adjustments!$B$8:$B$207,$B102,Adjustments!$A$8:$A$207,Settings!$A$18))</f>
        <v>0</v>
      </c>
      <c r="R102" s="30" t="str">
        <f aca="false">IF(G102&gt;0,G102+A102/10000000,"")</f>
        <v/>
      </c>
    </row>
    <row r="103" customFormat="false" ht="15" hidden="false" customHeight="false" outlineLevel="0" collapsed="false">
      <c r="A103" s="9" t="n">
        <v>99</v>
      </c>
      <c r="B103" s="9" t="str">
        <f aca="false">IFERROR(INDEX('Zoho Dump'!$N$8:$N$3007,MATCH(A103,'Zoho Dump'!$AB$8:$AB$3007,0)),"")</f>
        <v>ANZ</v>
      </c>
      <c r="C103" s="17" t="n">
        <f aca="false">IF($B103="",0,SUMIFS('Zoho Dump'!$Q$8:$Q$3007,'Zoho Dump'!$N$8:$N$3007,$B103,'Zoho Dump'!$T$8:$T$3007,"Delivered",'Zoho Dump'!$R$8:$R$3007,"&gt;="&amp;Settings!$B$4))</f>
        <v>0</v>
      </c>
      <c r="D103" s="17" t="n">
        <f aca="false">IF($B103="",0,SUMIFS('Zoho Dump'!$X$8:$X$3007,'Zoho Dump'!$N$8:$N$3007,$B103,'Zoho Dump'!$T$8:$T$3007,"Backlog")+SUMIFS(Adjustments!$K$8:$K$207,Adjustments!$B$8:$B$207,$B103,Adjustments!$H$8:$H$207,"Backlog"))</f>
        <v>0</v>
      </c>
      <c r="E103" s="17" t="n">
        <f aca="false">IF($B103="",0,SUMIFS('Zoho Dump'!$Y$8:$Y$3007,'Zoho Dump'!$N$8:$N$3007,$B103,'Zoho Dump'!$T$8:$T$3007,"Pipeline")+SUMIFS(Adjustments!$L$8:$L$207,Adjustments!$B$8:$B$207,$B103,Adjustments!$H$8:$H$207,"Pipeline")+SUMIFS('Zoho Dump'!$Y$8:$Y$3007,'Zoho Dump'!$N$8:$N$3007,$B103,'Zoho Dump'!$T$8:$T$3007,"Overdue")+SUMIFS(Adjustments!$L$8:$L$207,Adjustments!$B$8:$B$207,$B103,Adjustments!$H$8:$H$207,"Overdue"))</f>
        <v>0</v>
      </c>
      <c r="F103" s="17" t="n">
        <f aca="false">IF($B103="",0,SUMIFS('Zoho Dump'!$X$8:$X$3007,'Zoho Dump'!$N$8:$N$3007,$B103,'Zoho Dump'!$T$8:$T$3007,"Pipeline")+SUMIFS(Adjustments!$K$8:$K$207,Adjustments!$B$8:$B$207,$B103,Adjustments!$H$8:$H$207,"Pipeline")+SUMIFS('Zoho Dump'!$X$8:$X$3007,'Zoho Dump'!$N$8:$N$3007,$B103,'Zoho Dump'!$T$8:$T$3007,"Overdue")+SUMIFS(Adjustments!$K$8:$K$207,Adjustments!$B$8:$B$207,$B103,Adjustments!$H$8:$H$207,"Overdue"))</f>
        <v>0</v>
      </c>
      <c r="G103" s="17" t="n">
        <f aca="false">D103+F103</f>
        <v>0</v>
      </c>
      <c r="H103" s="18" t="n">
        <f aca="false">IF(SUM($G$5:$G$404)=0,0,G103/SUM($G$5:$G$404))</f>
        <v>0</v>
      </c>
      <c r="I103" s="17" t="n">
        <f aca="false">IF($B103="",0,SUMIFS('Zoho Dump'!$Q$8:$Q$3007,'Zoho Dump'!$N$8:$N$3007,$B103,'Zoho Dump'!$T$8:$T$3007,"Lost",'Zoho Dump'!$R$8:$R$3007,"&gt;="&amp;Settings!$B$4))</f>
        <v>0</v>
      </c>
      <c r="J103" s="9" t="str">
        <f aca="false">IF($B103="","",IF(COUNTIF(Dashboard!$C$13:$C$22,$B103)&gt;0,"Yes",""))</f>
        <v/>
      </c>
      <c r="K103" s="17" t="n">
        <f aca="false">IF($B103="",0,SUMIFS('Zoho Dump'!$X$8:$X$3007,'Zoho Dump'!$N$8:$N$3007,$B103,'Zoho Dump'!$P$8:$P$3007,Settings!$A$12)+SUMIFS(Adjustments!$K$8:$K$207,Adjustments!$B$8:$B$207,$B103,Adjustments!$A$8:$A$207,Settings!$A$12))</f>
        <v>0</v>
      </c>
      <c r="L103" s="17" t="n">
        <f aca="false">IF($B103="",0,SUMIFS('Zoho Dump'!$X$8:$X$3007,'Zoho Dump'!$N$8:$N$3007,$B103,'Zoho Dump'!$P$8:$P$3007,Settings!$A$13)+SUMIFS(Adjustments!$K$8:$K$207,Adjustments!$B$8:$B$207,$B103,Adjustments!$A$8:$A$207,Settings!$A$13))</f>
        <v>0</v>
      </c>
      <c r="M103" s="17" t="n">
        <f aca="false">IF($B103="",0,SUMIFS('Zoho Dump'!$X$8:$X$3007,'Zoho Dump'!$N$8:$N$3007,$B103,'Zoho Dump'!$P$8:$P$3007,Settings!$A$14)+SUMIFS(Adjustments!$K$8:$K$207,Adjustments!$B$8:$B$207,$B103,Adjustments!$A$8:$A$207,Settings!$A$14))</f>
        <v>0</v>
      </c>
      <c r="N103" s="17" t="n">
        <f aca="false">IF($B103="",0,SUMIFS('Zoho Dump'!$X$8:$X$3007,'Zoho Dump'!$N$8:$N$3007,$B103,'Zoho Dump'!$P$8:$P$3007,Settings!$A$15)+SUMIFS(Adjustments!$K$8:$K$207,Adjustments!$B$8:$B$207,$B103,Adjustments!$A$8:$A$207,Settings!$A$15))</f>
        <v>0</v>
      </c>
      <c r="O103" s="17" t="n">
        <f aca="false">IF($B103="",0,SUMIFS('Zoho Dump'!$X$8:$X$3007,'Zoho Dump'!$N$8:$N$3007,$B103,'Zoho Dump'!$P$8:$P$3007,Settings!$A$16)+SUMIFS(Adjustments!$K$8:$K$207,Adjustments!$B$8:$B$207,$B103,Adjustments!$A$8:$A$207,Settings!$A$16))</f>
        <v>0</v>
      </c>
      <c r="P103" s="17" t="n">
        <f aca="false">IF($B103="",0,SUMIFS('Zoho Dump'!$X$8:$X$3007,'Zoho Dump'!$N$8:$N$3007,$B103,'Zoho Dump'!$P$8:$P$3007,Settings!$A$17)+SUMIFS(Adjustments!$K$8:$K$207,Adjustments!$B$8:$B$207,$B103,Adjustments!$A$8:$A$207,Settings!$A$17))</f>
        <v>0</v>
      </c>
      <c r="Q103" s="17" t="n">
        <f aca="false">IF($B103="",0,SUMIFS('Zoho Dump'!$X$8:$X$3007,'Zoho Dump'!$N$8:$N$3007,$B103,'Zoho Dump'!$P$8:$P$3007,Settings!$A$18)+SUMIFS(Adjustments!$K$8:$K$207,Adjustments!$B$8:$B$207,$B103,Adjustments!$A$8:$A$207,Settings!$A$18))</f>
        <v>0</v>
      </c>
      <c r="R103" s="30" t="str">
        <f aca="false">IF(G103&gt;0,G103+A103/10000000,"")</f>
        <v/>
      </c>
    </row>
    <row r="104" customFormat="false" ht="15" hidden="false" customHeight="false" outlineLevel="0" collapsed="false">
      <c r="A104" s="9" t="n">
        <v>100</v>
      </c>
      <c r="B104" s="9" t="str">
        <f aca="false">IFERROR(INDEX('Zoho Dump'!$N$8:$N$3007,MATCH(A104,'Zoho Dump'!$AB$8:$AB$3007,0)),"")</f>
        <v>PTS Consulting</v>
      </c>
      <c r="C104" s="17" t="n">
        <f aca="false">IF($B104="",0,SUMIFS('Zoho Dump'!$Q$8:$Q$3007,'Zoho Dump'!$N$8:$N$3007,$B104,'Zoho Dump'!$T$8:$T$3007,"Delivered",'Zoho Dump'!$R$8:$R$3007,"&gt;="&amp;Settings!$B$4))</f>
        <v>0</v>
      </c>
      <c r="D104" s="17" t="n">
        <f aca="false">IF($B104="",0,SUMIFS('Zoho Dump'!$X$8:$X$3007,'Zoho Dump'!$N$8:$N$3007,$B104,'Zoho Dump'!$T$8:$T$3007,"Backlog")+SUMIFS(Adjustments!$K$8:$K$207,Adjustments!$B$8:$B$207,$B104,Adjustments!$H$8:$H$207,"Backlog"))</f>
        <v>0</v>
      </c>
      <c r="E104" s="17" t="n">
        <f aca="false">IF($B104="",0,SUMIFS('Zoho Dump'!$Y$8:$Y$3007,'Zoho Dump'!$N$8:$N$3007,$B104,'Zoho Dump'!$T$8:$T$3007,"Pipeline")+SUMIFS(Adjustments!$L$8:$L$207,Adjustments!$B$8:$B$207,$B104,Adjustments!$H$8:$H$207,"Pipeline")+SUMIFS('Zoho Dump'!$Y$8:$Y$3007,'Zoho Dump'!$N$8:$N$3007,$B104,'Zoho Dump'!$T$8:$T$3007,"Overdue")+SUMIFS(Adjustments!$L$8:$L$207,Adjustments!$B$8:$B$207,$B104,Adjustments!$H$8:$H$207,"Overdue"))</f>
        <v>0</v>
      </c>
      <c r="F104" s="17" t="n">
        <f aca="false">IF($B104="",0,SUMIFS('Zoho Dump'!$X$8:$X$3007,'Zoho Dump'!$N$8:$N$3007,$B104,'Zoho Dump'!$T$8:$T$3007,"Pipeline")+SUMIFS(Adjustments!$K$8:$K$207,Adjustments!$B$8:$B$207,$B104,Adjustments!$H$8:$H$207,"Pipeline")+SUMIFS('Zoho Dump'!$X$8:$X$3007,'Zoho Dump'!$N$8:$N$3007,$B104,'Zoho Dump'!$T$8:$T$3007,"Overdue")+SUMIFS(Adjustments!$K$8:$K$207,Adjustments!$B$8:$B$207,$B104,Adjustments!$H$8:$H$207,"Overdue"))</f>
        <v>0</v>
      </c>
      <c r="G104" s="17" t="n">
        <f aca="false">D104+F104</f>
        <v>0</v>
      </c>
      <c r="H104" s="18" t="n">
        <f aca="false">IF(SUM($G$5:$G$404)=0,0,G104/SUM($G$5:$G$404))</f>
        <v>0</v>
      </c>
      <c r="I104" s="17" t="n">
        <f aca="false">IF($B104="",0,SUMIFS('Zoho Dump'!$Q$8:$Q$3007,'Zoho Dump'!$N$8:$N$3007,$B104,'Zoho Dump'!$T$8:$T$3007,"Lost",'Zoho Dump'!$R$8:$R$3007,"&gt;="&amp;Settings!$B$4))</f>
        <v>0</v>
      </c>
      <c r="J104" s="9" t="str">
        <f aca="false">IF($B104="","",IF(COUNTIF(Dashboard!$C$13:$C$22,$B104)&gt;0,"Yes",""))</f>
        <v/>
      </c>
      <c r="K104" s="17" t="n">
        <f aca="false">IF($B104="",0,SUMIFS('Zoho Dump'!$X$8:$X$3007,'Zoho Dump'!$N$8:$N$3007,$B104,'Zoho Dump'!$P$8:$P$3007,Settings!$A$12)+SUMIFS(Adjustments!$K$8:$K$207,Adjustments!$B$8:$B$207,$B104,Adjustments!$A$8:$A$207,Settings!$A$12))</f>
        <v>0</v>
      </c>
      <c r="L104" s="17" t="n">
        <f aca="false">IF($B104="",0,SUMIFS('Zoho Dump'!$X$8:$X$3007,'Zoho Dump'!$N$8:$N$3007,$B104,'Zoho Dump'!$P$8:$P$3007,Settings!$A$13)+SUMIFS(Adjustments!$K$8:$K$207,Adjustments!$B$8:$B$207,$B104,Adjustments!$A$8:$A$207,Settings!$A$13))</f>
        <v>0</v>
      </c>
      <c r="M104" s="17" t="n">
        <f aca="false">IF($B104="",0,SUMIFS('Zoho Dump'!$X$8:$X$3007,'Zoho Dump'!$N$8:$N$3007,$B104,'Zoho Dump'!$P$8:$P$3007,Settings!$A$14)+SUMIFS(Adjustments!$K$8:$K$207,Adjustments!$B$8:$B$207,$B104,Adjustments!$A$8:$A$207,Settings!$A$14))</f>
        <v>0</v>
      </c>
      <c r="N104" s="17" t="n">
        <f aca="false">IF($B104="",0,SUMIFS('Zoho Dump'!$X$8:$X$3007,'Zoho Dump'!$N$8:$N$3007,$B104,'Zoho Dump'!$P$8:$P$3007,Settings!$A$15)+SUMIFS(Adjustments!$K$8:$K$207,Adjustments!$B$8:$B$207,$B104,Adjustments!$A$8:$A$207,Settings!$A$15))</f>
        <v>0</v>
      </c>
      <c r="O104" s="17" t="n">
        <f aca="false">IF($B104="",0,SUMIFS('Zoho Dump'!$X$8:$X$3007,'Zoho Dump'!$N$8:$N$3007,$B104,'Zoho Dump'!$P$8:$P$3007,Settings!$A$16)+SUMIFS(Adjustments!$K$8:$K$207,Adjustments!$B$8:$B$207,$B104,Adjustments!$A$8:$A$207,Settings!$A$16))</f>
        <v>0</v>
      </c>
      <c r="P104" s="17" t="n">
        <f aca="false">IF($B104="",0,SUMIFS('Zoho Dump'!$X$8:$X$3007,'Zoho Dump'!$N$8:$N$3007,$B104,'Zoho Dump'!$P$8:$P$3007,Settings!$A$17)+SUMIFS(Adjustments!$K$8:$K$207,Adjustments!$B$8:$B$207,$B104,Adjustments!$A$8:$A$207,Settings!$A$17))</f>
        <v>0</v>
      </c>
      <c r="Q104" s="17" t="n">
        <f aca="false">IF($B104="",0,SUMIFS('Zoho Dump'!$X$8:$X$3007,'Zoho Dump'!$N$8:$N$3007,$B104,'Zoho Dump'!$P$8:$P$3007,Settings!$A$18)+SUMIFS(Adjustments!$K$8:$K$207,Adjustments!$B$8:$B$207,$B104,Adjustments!$A$8:$A$207,Settings!$A$18))</f>
        <v>0</v>
      </c>
      <c r="R104" s="30" t="str">
        <f aca="false">IF(G104&gt;0,G104+A104/10000000,"")</f>
        <v/>
      </c>
    </row>
    <row r="105" customFormat="false" ht="15" hidden="false" customHeight="false" outlineLevel="0" collapsed="false">
      <c r="A105" s="9" t="n">
        <v>101</v>
      </c>
      <c r="B105" s="9" t="str">
        <f aca="false">IFERROR(INDEX('Zoho Dump'!$N$8:$N$3007,MATCH(A105,'Zoho Dump'!$AB$8:$AB$3007,0)),"")</f>
        <v>Lander &amp; Rogers</v>
      </c>
      <c r="C105" s="17" t="n">
        <f aca="false">IF($B105="",0,SUMIFS('Zoho Dump'!$Q$8:$Q$3007,'Zoho Dump'!$N$8:$N$3007,$B105,'Zoho Dump'!$T$8:$T$3007,"Delivered",'Zoho Dump'!$R$8:$R$3007,"&gt;="&amp;Settings!$B$4))</f>
        <v>0</v>
      </c>
      <c r="D105" s="17" t="n">
        <f aca="false">IF($B105="",0,SUMIFS('Zoho Dump'!$X$8:$X$3007,'Zoho Dump'!$N$8:$N$3007,$B105,'Zoho Dump'!$T$8:$T$3007,"Backlog")+SUMIFS(Adjustments!$K$8:$K$207,Adjustments!$B$8:$B$207,$B105,Adjustments!$H$8:$H$207,"Backlog"))</f>
        <v>0</v>
      </c>
      <c r="E105" s="17" t="n">
        <f aca="false">IF($B105="",0,SUMIFS('Zoho Dump'!$Y$8:$Y$3007,'Zoho Dump'!$N$8:$N$3007,$B105,'Zoho Dump'!$T$8:$T$3007,"Pipeline")+SUMIFS(Adjustments!$L$8:$L$207,Adjustments!$B$8:$B$207,$B105,Adjustments!$H$8:$H$207,"Pipeline")+SUMIFS('Zoho Dump'!$Y$8:$Y$3007,'Zoho Dump'!$N$8:$N$3007,$B105,'Zoho Dump'!$T$8:$T$3007,"Overdue")+SUMIFS(Adjustments!$L$8:$L$207,Adjustments!$B$8:$B$207,$B105,Adjustments!$H$8:$H$207,"Overdue"))</f>
        <v>0</v>
      </c>
      <c r="F105" s="17" t="n">
        <f aca="false">IF($B105="",0,SUMIFS('Zoho Dump'!$X$8:$X$3007,'Zoho Dump'!$N$8:$N$3007,$B105,'Zoho Dump'!$T$8:$T$3007,"Pipeline")+SUMIFS(Adjustments!$K$8:$K$207,Adjustments!$B$8:$B$207,$B105,Adjustments!$H$8:$H$207,"Pipeline")+SUMIFS('Zoho Dump'!$X$8:$X$3007,'Zoho Dump'!$N$8:$N$3007,$B105,'Zoho Dump'!$T$8:$T$3007,"Overdue")+SUMIFS(Adjustments!$K$8:$K$207,Adjustments!$B$8:$B$207,$B105,Adjustments!$H$8:$H$207,"Overdue"))</f>
        <v>0</v>
      </c>
      <c r="G105" s="17" t="n">
        <f aca="false">D105+F105</f>
        <v>0</v>
      </c>
      <c r="H105" s="18" t="n">
        <f aca="false">IF(SUM($G$5:$G$404)=0,0,G105/SUM($G$5:$G$404))</f>
        <v>0</v>
      </c>
      <c r="I105" s="17" t="n">
        <f aca="false">IF($B105="",0,SUMIFS('Zoho Dump'!$Q$8:$Q$3007,'Zoho Dump'!$N$8:$N$3007,$B105,'Zoho Dump'!$T$8:$T$3007,"Lost",'Zoho Dump'!$R$8:$R$3007,"&gt;="&amp;Settings!$B$4))</f>
        <v>0</v>
      </c>
      <c r="J105" s="9" t="str">
        <f aca="false">IF($B105="","",IF(COUNTIF(Dashboard!$C$13:$C$22,$B105)&gt;0,"Yes",""))</f>
        <v/>
      </c>
      <c r="K105" s="17" t="n">
        <f aca="false">IF($B105="",0,SUMIFS('Zoho Dump'!$X$8:$X$3007,'Zoho Dump'!$N$8:$N$3007,$B105,'Zoho Dump'!$P$8:$P$3007,Settings!$A$12)+SUMIFS(Adjustments!$K$8:$K$207,Adjustments!$B$8:$B$207,$B105,Adjustments!$A$8:$A$207,Settings!$A$12))</f>
        <v>0</v>
      </c>
      <c r="L105" s="17" t="n">
        <f aca="false">IF($B105="",0,SUMIFS('Zoho Dump'!$X$8:$X$3007,'Zoho Dump'!$N$8:$N$3007,$B105,'Zoho Dump'!$P$8:$P$3007,Settings!$A$13)+SUMIFS(Adjustments!$K$8:$K$207,Adjustments!$B$8:$B$207,$B105,Adjustments!$A$8:$A$207,Settings!$A$13))</f>
        <v>0</v>
      </c>
      <c r="M105" s="17" t="n">
        <f aca="false">IF($B105="",0,SUMIFS('Zoho Dump'!$X$8:$X$3007,'Zoho Dump'!$N$8:$N$3007,$B105,'Zoho Dump'!$P$8:$P$3007,Settings!$A$14)+SUMIFS(Adjustments!$K$8:$K$207,Adjustments!$B$8:$B$207,$B105,Adjustments!$A$8:$A$207,Settings!$A$14))</f>
        <v>0</v>
      </c>
      <c r="N105" s="17" t="n">
        <f aca="false">IF($B105="",0,SUMIFS('Zoho Dump'!$X$8:$X$3007,'Zoho Dump'!$N$8:$N$3007,$B105,'Zoho Dump'!$P$8:$P$3007,Settings!$A$15)+SUMIFS(Adjustments!$K$8:$K$207,Adjustments!$B$8:$B$207,$B105,Adjustments!$A$8:$A$207,Settings!$A$15))</f>
        <v>0</v>
      </c>
      <c r="O105" s="17" t="n">
        <f aca="false">IF($B105="",0,SUMIFS('Zoho Dump'!$X$8:$X$3007,'Zoho Dump'!$N$8:$N$3007,$B105,'Zoho Dump'!$P$8:$P$3007,Settings!$A$16)+SUMIFS(Adjustments!$K$8:$K$207,Adjustments!$B$8:$B$207,$B105,Adjustments!$A$8:$A$207,Settings!$A$16))</f>
        <v>0</v>
      </c>
      <c r="P105" s="17" t="n">
        <f aca="false">IF($B105="",0,SUMIFS('Zoho Dump'!$X$8:$X$3007,'Zoho Dump'!$N$8:$N$3007,$B105,'Zoho Dump'!$P$8:$P$3007,Settings!$A$17)+SUMIFS(Adjustments!$K$8:$K$207,Adjustments!$B$8:$B$207,$B105,Adjustments!$A$8:$A$207,Settings!$A$17))</f>
        <v>0</v>
      </c>
      <c r="Q105" s="17" t="n">
        <f aca="false">IF($B105="",0,SUMIFS('Zoho Dump'!$X$8:$X$3007,'Zoho Dump'!$N$8:$N$3007,$B105,'Zoho Dump'!$P$8:$P$3007,Settings!$A$18)+SUMIFS(Adjustments!$K$8:$K$207,Adjustments!$B$8:$B$207,$B105,Adjustments!$A$8:$A$207,Settings!$A$18))</f>
        <v>0</v>
      </c>
      <c r="R105" s="30" t="str">
        <f aca="false">IF(G105&gt;0,G105+A105/10000000,"")</f>
        <v/>
      </c>
    </row>
    <row r="106" customFormat="false" ht="15" hidden="false" customHeight="false" outlineLevel="0" collapsed="false">
      <c r="A106" s="9" t="n">
        <v>102</v>
      </c>
      <c r="B106" s="9" t="str">
        <f aca="false">IFERROR(INDEX('Zoho Dump'!$N$8:$N$3007,MATCH(A106,'Zoho Dump'!$AB$8:$AB$3007,0)),"")</f>
        <v>Integrated Design Group</v>
      </c>
      <c r="C106" s="17" t="n">
        <f aca="false">IF($B106="",0,SUMIFS('Zoho Dump'!$Q$8:$Q$3007,'Zoho Dump'!$N$8:$N$3007,$B106,'Zoho Dump'!$T$8:$T$3007,"Delivered",'Zoho Dump'!$R$8:$R$3007,"&gt;="&amp;Settings!$B$4))</f>
        <v>0</v>
      </c>
      <c r="D106" s="17" t="n">
        <f aca="false">IF($B106="",0,SUMIFS('Zoho Dump'!$X$8:$X$3007,'Zoho Dump'!$N$8:$N$3007,$B106,'Zoho Dump'!$T$8:$T$3007,"Backlog")+SUMIFS(Adjustments!$K$8:$K$207,Adjustments!$B$8:$B$207,$B106,Adjustments!$H$8:$H$207,"Backlog"))</f>
        <v>0</v>
      </c>
      <c r="E106" s="17" t="n">
        <f aca="false">IF($B106="",0,SUMIFS('Zoho Dump'!$Y$8:$Y$3007,'Zoho Dump'!$N$8:$N$3007,$B106,'Zoho Dump'!$T$8:$T$3007,"Pipeline")+SUMIFS(Adjustments!$L$8:$L$207,Adjustments!$B$8:$B$207,$B106,Adjustments!$H$8:$H$207,"Pipeline")+SUMIFS('Zoho Dump'!$Y$8:$Y$3007,'Zoho Dump'!$N$8:$N$3007,$B106,'Zoho Dump'!$T$8:$T$3007,"Overdue")+SUMIFS(Adjustments!$L$8:$L$207,Adjustments!$B$8:$B$207,$B106,Adjustments!$H$8:$H$207,"Overdue"))</f>
        <v>0</v>
      </c>
      <c r="F106" s="17" t="n">
        <f aca="false">IF($B106="",0,SUMIFS('Zoho Dump'!$X$8:$X$3007,'Zoho Dump'!$N$8:$N$3007,$B106,'Zoho Dump'!$T$8:$T$3007,"Pipeline")+SUMIFS(Adjustments!$K$8:$K$207,Adjustments!$B$8:$B$207,$B106,Adjustments!$H$8:$H$207,"Pipeline")+SUMIFS('Zoho Dump'!$X$8:$X$3007,'Zoho Dump'!$N$8:$N$3007,$B106,'Zoho Dump'!$T$8:$T$3007,"Overdue")+SUMIFS(Adjustments!$K$8:$K$207,Adjustments!$B$8:$B$207,$B106,Adjustments!$H$8:$H$207,"Overdue"))</f>
        <v>0</v>
      </c>
      <c r="G106" s="17" t="n">
        <f aca="false">D106+F106</f>
        <v>0</v>
      </c>
      <c r="H106" s="18" t="n">
        <f aca="false">IF(SUM($G$5:$G$404)=0,0,G106/SUM($G$5:$G$404))</f>
        <v>0</v>
      </c>
      <c r="I106" s="17" t="n">
        <f aca="false">IF($B106="",0,SUMIFS('Zoho Dump'!$Q$8:$Q$3007,'Zoho Dump'!$N$8:$N$3007,$B106,'Zoho Dump'!$T$8:$T$3007,"Lost",'Zoho Dump'!$R$8:$R$3007,"&gt;="&amp;Settings!$B$4))</f>
        <v>2000</v>
      </c>
      <c r="J106" s="9" t="str">
        <f aca="false">IF($B106="","",IF(COUNTIF(Dashboard!$C$13:$C$22,$B106)&gt;0,"Yes",""))</f>
        <v/>
      </c>
      <c r="K106" s="17" t="n">
        <f aca="false">IF($B106="",0,SUMIFS('Zoho Dump'!$X$8:$X$3007,'Zoho Dump'!$N$8:$N$3007,$B106,'Zoho Dump'!$P$8:$P$3007,Settings!$A$12)+SUMIFS(Adjustments!$K$8:$K$207,Adjustments!$B$8:$B$207,$B106,Adjustments!$A$8:$A$207,Settings!$A$12))</f>
        <v>0</v>
      </c>
      <c r="L106" s="17" t="n">
        <f aca="false">IF($B106="",0,SUMIFS('Zoho Dump'!$X$8:$X$3007,'Zoho Dump'!$N$8:$N$3007,$B106,'Zoho Dump'!$P$8:$P$3007,Settings!$A$13)+SUMIFS(Adjustments!$K$8:$K$207,Adjustments!$B$8:$B$207,$B106,Adjustments!$A$8:$A$207,Settings!$A$13))</f>
        <v>0</v>
      </c>
      <c r="M106" s="17" t="n">
        <f aca="false">IF($B106="",0,SUMIFS('Zoho Dump'!$X$8:$X$3007,'Zoho Dump'!$N$8:$N$3007,$B106,'Zoho Dump'!$P$8:$P$3007,Settings!$A$14)+SUMIFS(Adjustments!$K$8:$K$207,Adjustments!$B$8:$B$207,$B106,Adjustments!$A$8:$A$207,Settings!$A$14))</f>
        <v>0</v>
      </c>
      <c r="N106" s="17" t="n">
        <f aca="false">IF($B106="",0,SUMIFS('Zoho Dump'!$X$8:$X$3007,'Zoho Dump'!$N$8:$N$3007,$B106,'Zoho Dump'!$P$8:$P$3007,Settings!$A$15)+SUMIFS(Adjustments!$K$8:$K$207,Adjustments!$B$8:$B$207,$B106,Adjustments!$A$8:$A$207,Settings!$A$15))</f>
        <v>0</v>
      </c>
      <c r="O106" s="17" t="n">
        <f aca="false">IF($B106="",0,SUMIFS('Zoho Dump'!$X$8:$X$3007,'Zoho Dump'!$N$8:$N$3007,$B106,'Zoho Dump'!$P$8:$P$3007,Settings!$A$16)+SUMIFS(Adjustments!$K$8:$K$207,Adjustments!$B$8:$B$207,$B106,Adjustments!$A$8:$A$207,Settings!$A$16))</f>
        <v>0</v>
      </c>
      <c r="P106" s="17" t="n">
        <f aca="false">IF($B106="",0,SUMIFS('Zoho Dump'!$X$8:$X$3007,'Zoho Dump'!$N$8:$N$3007,$B106,'Zoho Dump'!$P$8:$P$3007,Settings!$A$17)+SUMIFS(Adjustments!$K$8:$K$207,Adjustments!$B$8:$B$207,$B106,Adjustments!$A$8:$A$207,Settings!$A$17))</f>
        <v>0</v>
      </c>
      <c r="Q106" s="17" t="n">
        <f aca="false">IF($B106="",0,SUMIFS('Zoho Dump'!$X$8:$X$3007,'Zoho Dump'!$N$8:$N$3007,$B106,'Zoho Dump'!$P$8:$P$3007,Settings!$A$18)+SUMIFS(Adjustments!$K$8:$K$207,Adjustments!$B$8:$B$207,$B106,Adjustments!$A$8:$A$207,Settings!$A$18))</f>
        <v>0</v>
      </c>
      <c r="R106" s="30" t="str">
        <f aca="false">IF(G106&gt;0,G106+A106/10000000,"")</f>
        <v/>
      </c>
    </row>
    <row r="107" customFormat="false" ht="15" hidden="false" customHeight="false" outlineLevel="0" collapsed="false">
      <c r="A107" s="9" t="n">
        <v>103</v>
      </c>
      <c r="B107" s="9" t="str">
        <f aca="false">IFERROR(INDEX('Zoho Dump'!$N$8:$N$3007,MATCH(A107,'Zoho Dump'!$AB$8:$AB$3007,0)),"")</f>
        <v>Department of Foreign Affairs and Trade</v>
      </c>
      <c r="C107" s="17" t="n">
        <f aca="false">IF($B107="",0,SUMIFS('Zoho Dump'!$Q$8:$Q$3007,'Zoho Dump'!$N$8:$N$3007,$B107,'Zoho Dump'!$T$8:$T$3007,"Delivered",'Zoho Dump'!$R$8:$R$3007,"&gt;="&amp;Settings!$B$4))</f>
        <v>0</v>
      </c>
      <c r="D107" s="17" t="n">
        <f aca="false">IF($B107="",0,SUMIFS('Zoho Dump'!$X$8:$X$3007,'Zoho Dump'!$N$8:$N$3007,$B107,'Zoho Dump'!$T$8:$T$3007,"Backlog")+SUMIFS(Adjustments!$K$8:$K$207,Adjustments!$B$8:$B$207,$B107,Adjustments!$H$8:$H$207,"Backlog"))</f>
        <v>0</v>
      </c>
      <c r="E107" s="17" t="n">
        <f aca="false">IF($B107="",0,SUMIFS('Zoho Dump'!$Y$8:$Y$3007,'Zoho Dump'!$N$8:$N$3007,$B107,'Zoho Dump'!$T$8:$T$3007,"Pipeline")+SUMIFS(Adjustments!$L$8:$L$207,Adjustments!$B$8:$B$207,$B107,Adjustments!$H$8:$H$207,"Pipeline")+SUMIFS('Zoho Dump'!$Y$8:$Y$3007,'Zoho Dump'!$N$8:$N$3007,$B107,'Zoho Dump'!$T$8:$T$3007,"Overdue")+SUMIFS(Adjustments!$L$8:$L$207,Adjustments!$B$8:$B$207,$B107,Adjustments!$H$8:$H$207,"Overdue"))</f>
        <v>0</v>
      </c>
      <c r="F107" s="17" t="n">
        <f aca="false">IF($B107="",0,SUMIFS('Zoho Dump'!$X$8:$X$3007,'Zoho Dump'!$N$8:$N$3007,$B107,'Zoho Dump'!$T$8:$T$3007,"Pipeline")+SUMIFS(Adjustments!$K$8:$K$207,Adjustments!$B$8:$B$207,$B107,Adjustments!$H$8:$H$207,"Pipeline")+SUMIFS('Zoho Dump'!$X$8:$X$3007,'Zoho Dump'!$N$8:$N$3007,$B107,'Zoho Dump'!$T$8:$T$3007,"Overdue")+SUMIFS(Adjustments!$K$8:$K$207,Adjustments!$B$8:$B$207,$B107,Adjustments!$H$8:$H$207,"Overdue"))</f>
        <v>0</v>
      </c>
      <c r="G107" s="17" t="n">
        <f aca="false">D107+F107</f>
        <v>0</v>
      </c>
      <c r="H107" s="18" t="n">
        <f aca="false">IF(SUM($G$5:$G$404)=0,0,G107/SUM($G$5:$G$404))</f>
        <v>0</v>
      </c>
      <c r="I107" s="17" t="n">
        <f aca="false">IF($B107="",0,SUMIFS('Zoho Dump'!$Q$8:$Q$3007,'Zoho Dump'!$N$8:$N$3007,$B107,'Zoho Dump'!$T$8:$T$3007,"Lost",'Zoho Dump'!$R$8:$R$3007,"&gt;="&amp;Settings!$B$4))</f>
        <v>0</v>
      </c>
      <c r="J107" s="9" t="str">
        <f aca="false">IF($B107="","",IF(COUNTIF(Dashboard!$C$13:$C$22,$B107)&gt;0,"Yes",""))</f>
        <v/>
      </c>
      <c r="K107" s="17" t="n">
        <f aca="false">IF($B107="",0,SUMIFS('Zoho Dump'!$X$8:$X$3007,'Zoho Dump'!$N$8:$N$3007,$B107,'Zoho Dump'!$P$8:$P$3007,Settings!$A$12)+SUMIFS(Adjustments!$K$8:$K$207,Adjustments!$B$8:$B$207,$B107,Adjustments!$A$8:$A$207,Settings!$A$12))</f>
        <v>0</v>
      </c>
      <c r="L107" s="17" t="n">
        <f aca="false">IF($B107="",0,SUMIFS('Zoho Dump'!$X$8:$X$3007,'Zoho Dump'!$N$8:$N$3007,$B107,'Zoho Dump'!$P$8:$P$3007,Settings!$A$13)+SUMIFS(Adjustments!$K$8:$K$207,Adjustments!$B$8:$B$207,$B107,Adjustments!$A$8:$A$207,Settings!$A$13))</f>
        <v>0</v>
      </c>
      <c r="M107" s="17" t="n">
        <f aca="false">IF($B107="",0,SUMIFS('Zoho Dump'!$X$8:$X$3007,'Zoho Dump'!$N$8:$N$3007,$B107,'Zoho Dump'!$P$8:$P$3007,Settings!$A$14)+SUMIFS(Adjustments!$K$8:$K$207,Adjustments!$B$8:$B$207,$B107,Adjustments!$A$8:$A$207,Settings!$A$14))</f>
        <v>0</v>
      </c>
      <c r="N107" s="17" t="n">
        <f aca="false">IF($B107="",0,SUMIFS('Zoho Dump'!$X$8:$X$3007,'Zoho Dump'!$N$8:$N$3007,$B107,'Zoho Dump'!$P$8:$P$3007,Settings!$A$15)+SUMIFS(Adjustments!$K$8:$K$207,Adjustments!$B$8:$B$207,$B107,Adjustments!$A$8:$A$207,Settings!$A$15))</f>
        <v>0</v>
      </c>
      <c r="O107" s="17" t="n">
        <f aca="false">IF($B107="",0,SUMIFS('Zoho Dump'!$X$8:$X$3007,'Zoho Dump'!$N$8:$N$3007,$B107,'Zoho Dump'!$P$8:$P$3007,Settings!$A$16)+SUMIFS(Adjustments!$K$8:$K$207,Adjustments!$B$8:$B$207,$B107,Adjustments!$A$8:$A$207,Settings!$A$16))</f>
        <v>0</v>
      </c>
      <c r="P107" s="17" t="n">
        <f aca="false">IF($B107="",0,SUMIFS('Zoho Dump'!$X$8:$X$3007,'Zoho Dump'!$N$8:$N$3007,$B107,'Zoho Dump'!$P$8:$P$3007,Settings!$A$17)+SUMIFS(Adjustments!$K$8:$K$207,Adjustments!$B$8:$B$207,$B107,Adjustments!$A$8:$A$207,Settings!$A$17))</f>
        <v>0</v>
      </c>
      <c r="Q107" s="17" t="n">
        <f aca="false">IF($B107="",0,SUMIFS('Zoho Dump'!$X$8:$X$3007,'Zoho Dump'!$N$8:$N$3007,$B107,'Zoho Dump'!$P$8:$P$3007,Settings!$A$18)+SUMIFS(Adjustments!$K$8:$K$207,Adjustments!$B$8:$B$207,$B107,Adjustments!$A$8:$A$207,Settings!$A$18))</f>
        <v>0</v>
      </c>
      <c r="R107" s="30" t="str">
        <f aca="false">IF(G107&gt;0,G107+A107/10000000,"")</f>
        <v/>
      </c>
    </row>
    <row r="108" customFormat="false" ht="15" hidden="false" customHeight="false" outlineLevel="0" collapsed="false">
      <c r="A108" s="9" t="n">
        <v>104</v>
      </c>
      <c r="B108" s="9" t="str">
        <f aca="false">IFERROR(INDEX('Zoho Dump'!$N$8:$N$3007,MATCH(A108,'Zoho Dump'!$AB$8:$AB$3007,0)),"")</f>
        <v>Law Partners</v>
      </c>
      <c r="C108" s="17" t="n">
        <f aca="false">IF($B108="",0,SUMIFS('Zoho Dump'!$Q$8:$Q$3007,'Zoho Dump'!$N$8:$N$3007,$B108,'Zoho Dump'!$T$8:$T$3007,"Delivered",'Zoho Dump'!$R$8:$R$3007,"&gt;="&amp;Settings!$B$4))</f>
        <v>0</v>
      </c>
      <c r="D108" s="17" t="n">
        <f aca="false">IF($B108="",0,SUMIFS('Zoho Dump'!$X$8:$X$3007,'Zoho Dump'!$N$8:$N$3007,$B108,'Zoho Dump'!$T$8:$T$3007,"Backlog")+SUMIFS(Adjustments!$K$8:$K$207,Adjustments!$B$8:$B$207,$B108,Adjustments!$H$8:$H$207,"Backlog"))</f>
        <v>0</v>
      </c>
      <c r="E108" s="17" t="n">
        <f aca="false">IF($B108="",0,SUMIFS('Zoho Dump'!$Y$8:$Y$3007,'Zoho Dump'!$N$8:$N$3007,$B108,'Zoho Dump'!$T$8:$T$3007,"Pipeline")+SUMIFS(Adjustments!$L$8:$L$207,Adjustments!$B$8:$B$207,$B108,Adjustments!$H$8:$H$207,"Pipeline")+SUMIFS('Zoho Dump'!$Y$8:$Y$3007,'Zoho Dump'!$N$8:$N$3007,$B108,'Zoho Dump'!$T$8:$T$3007,"Overdue")+SUMIFS(Adjustments!$L$8:$L$207,Adjustments!$B$8:$B$207,$B108,Adjustments!$H$8:$H$207,"Overdue"))</f>
        <v>0</v>
      </c>
      <c r="F108" s="17" t="n">
        <f aca="false">IF($B108="",0,SUMIFS('Zoho Dump'!$X$8:$X$3007,'Zoho Dump'!$N$8:$N$3007,$B108,'Zoho Dump'!$T$8:$T$3007,"Pipeline")+SUMIFS(Adjustments!$K$8:$K$207,Adjustments!$B$8:$B$207,$B108,Adjustments!$H$8:$H$207,"Pipeline")+SUMIFS('Zoho Dump'!$X$8:$X$3007,'Zoho Dump'!$N$8:$N$3007,$B108,'Zoho Dump'!$T$8:$T$3007,"Overdue")+SUMIFS(Adjustments!$K$8:$K$207,Adjustments!$B$8:$B$207,$B108,Adjustments!$H$8:$H$207,"Overdue"))</f>
        <v>0</v>
      </c>
      <c r="G108" s="17" t="n">
        <f aca="false">D108+F108</f>
        <v>0</v>
      </c>
      <c r="H108" s="18" t="n">
        <f aca="false">IF(SUM($G$5:$G$404)=0,0,G108/SUM($G$5:$G$404))</f>
        <v>0</v>
      </c>
      <c r="I108" s="17" t="n">
        <f aca="false">IF($B108="",0,SUMIFS('Zoho Dump'!$Q$8:$Q$3007,'Zoho Dump'!$N$8:$N$3007,$B108,'Zoho Dump'!$T$8:$T$3007,"Lost",'Zoho Dump'!$R$8:$R$3007,"&gt;="&amp;Settings!$B$4))</f>
        <v>0</v>
      </c>
      <c r="J108" s="9" t="str">
        <f aca="false">IF($B108="","",IF(COUNTIF(Dashboard!$C$13:$C$22,$B108)&gt;0,"Yes",""))</f>
        <v/>
      </c>
      <c r="K108" s="17" t="n">
        <f aca="false">IF($B108="",0,SUMIFS('Zoho Dump'!$X$8:$X$3007,'Zoho Dump'!$N$8:$N$3007,$B108,'Zoho Dump'!$P$8:$P$3007,Settings!$A$12)+SUMIFS(Adjustments!$K$8:$K$207,Adjustments!$B$8:$B$207,$B108,Adjustments!$A$8:$A$207,Settings!$A$12))</f>
        <v>0</v>
      </c>
      <c r="L108" s="17" t="n">
        <f aca="false">IF($B108="",0,SUMIFS('Zoho Dump'!$X$8:$X$3007,'Zoho Dump'!$N$8:$N$3007,$B108,'Zoho Dump'!$P$8:$P$3007,Settings!$A$13)+SUMIFS(Adjustments!$K$8:$K$207,Adjustments!$B$8:$B$207,$B108,Adjustments!$A$8:$A$207,Settings!$A$13))</f>
        <v>0</v>
      </c>
      <c r="M108" s="17" t="n">
        <f aca="false">IF($B108="",0,SUMIFS('Zoho Dump'!$X$8:$X$3007,'Zoho Dump'!$N$8:$N$3007,$B108,'Zoho Dump'!$P$8:$P$3007,Settings!$A$14)+SUMIFS(Adjustments!$K$8:$K$207,Adjustments!$B$8:$B$207,$B108,Adjustments!$A$8:$A$207,Settings!$A$14))</f>
        <v>0</v>
      </c>
      <c r="N108" s="17" t="n">
        <f aca="false">IF($B108="",0,SUMIFS('Zoho Dump'!$X$8:$X$3007,'Zoho Dump'!$N$8:$N$3007,$B108,'Zoho Dump'!$P$8:$P$3007,Settings!$A$15)+SUMIFS(Adjustments!$K$8:$K$207,Adjustments!$B$8:$B$207,$B108,Adjustments!$A$8:$A$207,Settings!$A$15))</f>
        <v>0</v>
      </c>
      <c r="O108" s="17" t="n">
        <f aca="false">IF($B108="",0,SUMIFS('Zoho Dump'!$X$8:$X$3007,'Zoho Dump'!$N$8:$N$3007,$B108,'Zoho Dump'!$P$8:$P$3007,Settings!$A$16)+SUMIFS(Adjustments!$K$8:$K$207,Adjustments!$B$8:$B$207,$B108,Adjustments!$A$8:$A$207,Settings!$A$16))</f>
        <v>0</v>
      </c>
      <c r="P108" s="17" t="n">
        <f aca="false">IF($B108="",0,SUMIFS('Zoho Dump'!$X$8:$X$3007,'Zoho Dump'!$N$8:$N$3007,$B108,'Zoho Dump'!$P$8:$P$3007,Settings!$A$17)+SUMIFS(Adjustments!$K$8:$K$207,Adjustments!$B$8:$B$207,$B108,Adjustments!$A$8:$A$207,Settings!$A$17))</f>
        <v>0</v>
      </c>
      <c r="Q108" s="17" t="n">
        <f aca="false">IF($B108="",0,SUMIFS('Zoho Dump'!$X$8:$X$3007,'Zoho Dump'!$N$8:$N$3007,$B108,'Zoho Dump'!$P$8:$P$3007,Settings!$A$18)+SUMIFS(Adjustments!$K$8:$K$207,Adjustments!$B$8:$B$207,$B108,Adjustments!$A$8:$A$207,Settings!$A$18))</f>
        <v>0</v>
      </c>
      <c r="R108" s="30" t="str">
        <f aca="false">IF(G108&gt;0,G108+A108/10000000,"")</f>
        <v/>
      </c>
    </row>
    <row r="109" customFormat="false" ht="15" hidden="false" customHeight="false" outlineLevel="0" collapsed="false">
      <c r="A109" s="9" t="n">
        <v>105</v>
      </c>
      <c r="B109" s="9" t="str">
        <f aca="false">IFERROR(INDEX('Zoho Dump'!$N$8:$N$3007,MATCH(A109,'Zoho Dump'!$AB$8:$AB$3007,0)),"")</f>
        <v>University of New England</v>
      </c>
      <c r="C109" s="17" t="n">
        <f aca="false">IF($B109="",0,SUMIFS('Zoho Dump'!$Q$8:$Q$3007,'Zoho Dump'!$N$8:$N$3007,$B109,'Zoho Dump'!$T$8:$T$3007,"Delivered",'Zoho Dump'!$R$8:$R$3007,"&gt;="&amp;Settings!$B$4))</f>
        <v>0</v>
      </c>
      <c r="D109" s="17" t="n">
        <f aca="false">IF($B109="",0,SUMIFS('Zoho Dump'!$X$8:$X$3007,'Zoho Dump'!$N$8:$N$3007,$B109,'Zoho Dump'!$T$8:$T$3007,"Backlog")+SUMIFS(Adjustments!$K$8:$K$207,Adjustments!$B$8:$B$207,$B109,Adjustments!$H$8:$H$207,"Backlog"))</f>
        <v>0</v>
      </c>
      <c r="E109" s="17" t="n">
        <f aca="false">IF($B109="",0,SUMIFS('Zoho Dump'!$Y$8:$Y$3007,'Zoho Dump'!$N$8:$N$3007,$B109,'Zoho Dump'!$T$8:$T$3007,"Pipeline")+SUMIFS(Adjustments!$L$8:$L$207,Adjustments!$B$8:$B$207,$B109,Adjustments!$H$8:$H$207,"Pipeline")+SUMIFS('Zoho Dump'!$Y$8:$Y$3007,'Zoho Dump'!$N$8:$N$3007,$B109,'Zoho Dump'!$T$8:$T$3007,"Overdue")+SUMIFS(Adjustments!$L$8:$L$207,Adjustments!$B$8:$B$207,$B109,Adjustments!$H$8:$H$207,"Overdue"))</f>
        <v>0</v>
      </c>
      <c r="F109" s="17" t="n">
        <f aca="false">IF($B109="",0,SUMIFS('Zoho Dump'!$X$8:$X$3007,'Zoho Dump'!$N$8:$N$3007,$B109,'Zoho Dump'!$T$8:$T$3007,"Pipeline")+SUMIFS(Adjustments!$K$8:$K$207,Adjustments!$B$8:$B$207,$B109,Adjustments!$H$8:$H$207,"Pipeline")+SUMIFS('Zoho Dump'!$X$8:$X$3007,'Zoho Dump'!$N$8:$N$3007,$B109,'Zoho Dump'!$T$8:$T$3007,"Overdue")+SUMIFS(Adjustments!$K$8:$K$207,Adjustments!$B$8:$B$207,$B109,Adjustments!$H$8:$H$207,"Overdue"))</f>
        <v>0</v>
      </c>
      <c r="G109" s="17" t="n">
        <f aca="false">D109+F109</f>
        <v>0</v>
      </c>
      <c r="H109" s="18" t="n">
        <f aca="false">IF(SUM($G$5:$G$404)=0,0,G109/SUM($G$5:$G$404))</f>
        <v>0</v>
      </c>
      <c r="I109" s="17" t="n">
        <f aca="false">IF($B109="",0,SUMIFS('Zoho Dump'!$Q$8:$Q$3007,'Zoho Dump'!$N$8:$N$3007,$B109,'Zoho Dump'!$T$8:$T$3007,"Lost",'Zoho Dump'!$R$8:$R$3007,"&gt;="&amp;Settings!$B$4))</f>
        <v>0</v>
      </c>
      <c r="J109" s="9" t="str">
        <f aca="false">IF($B109="","",IF(COUNTIF(Dashboard!$C$13:$C$22,$B109)&gt;0,"Yes",""))</f>
        <v/>
      </c>
      <c r="K109" s="17" t="n">
        <f aca="false">IF($B109="",0,SUMIFS('Zoho Dump'!$X$8:$X$3007,'Zoho Dump'!$N$8:$N$3007,$B109,'Zoho Dump'!$P$8:$P$3007,Settings!$A$12)+SUMIFS(Adjustments!$K$8:$K$207,Adjustments!$B$8:$B$207,$B109,Adjustments!$A$8:$A$207,Settings!$A$12))</f>
        <v>0</v>
      </c>
      <c r="L109" s="17" t="n">
        <f aca="false">IF($B109="",0,SUMIFS('Zoho Dump'!$X$8:$X$3007,'Zoho Dump'!$N$8:$N$3007,$B109,'Zoho Dump'!$P$8:$P$3007,Settings!$A$13)+SUMIFS(Adjustments!$K$8:$K$207,Adjustments!$B$8:$B$207,$B109,Adjustments!$A$8:$A$207,Settings!$A$13))</f>
        <v>0</v>
      </c>
      <c r="M109" s="17" t="n">
        <f aca="false">IF($B109="",0,SUMIFS('Zoho Dump'!$X$8:$X$3007,'Zoho Dump'!$N$8:$N$3007,$B109,'Zoho Dump'!$P$8:$P$3007,Settings!$A$14)+SUMIFS(Adjustments!$K$8:$K$207,Adjustments!$B$8:$B$207,$B109,Adjustments!$A$8:$A$207,Settings!$A$14))</f>
        <v>0</v>
      </c>
      <c r="N109" s="17" t="n">
        <f aca="false">IF($B109="",0,SUMIFS('Zoho Dump'!$X$8:$X$3007,'Zoho Dump'!$N$8:$N$3007,$B109,'Zoho Dump'!$P$8:$P$3007,Settings!$A$15)+SUMIFS(Adjustments!$K$8:$K$207,Adjustments!$B$8:$B$207,$B109,Adjustments!$A$8:$A$207,Settings!$A$15))</f>
        <v>0</v>
      </c>
      <c r="O109" s="17" t="n">
        <f aca="false">IF($B109="",0,SUMIFS('Zoho Dump'!$X$8:$X$3007,'Zoho Dump'!$N$8:$N$3007,$B109,'Zoho Dump'!$P$8:$P$3007,Settings!$A$16)+SUMIFS(Adjustments!$K$8:$K$207,Adjustments!$B$8:$B$207,$B109,Adjustments!$A$8:$A$207,Settings!$A$16))</f>
        <v>0</v>
      </c>
      <c r="P109" s="17" t="n">
        <f aca="false">IF($B109="",0,SUMIFS('Zoho Dump'!$X$8:$X$3007,'Zoho Dump'!$N$8:$N$3007,$B109,'Zoho Dump'!$P$8:$P$3007,Settings!$A$17)+SUMIFS(Adjustments!$K$8:$K$207,Adjustments!$B$8:$B$207,$B109,Adjustments!$A$8:$A$207,Settings!$A$17))</f>
        <v>0</v>
      </c>
      <c r="Q109" s="17" t="n">
        <f aca="false">IF($B109="",0,SUMIFS('Zoho Dump'!$X$8:$X$3007,'Zoho Dump'!$N$8:$N$3007,$B109,'Zoho Dump'!$P$8:$P$3007,Settings!$A$18)+SUMIFS(Adjustments!$K$8:$K$207,Adjustments!$B$8:$B$207,$B109,Adjustments!$A$8:$A$207,Settings!$A$18))</f>
        <v>0</v>
      </c>
      <c r="R109" s="30" t="str">
        <f aca="false">IF(G109&gt;0,G109+A109/10000000,"")</f>
        <v/>
      </c>
    </row>
    <row r="110" customFormat="false" ht="15" hidden="false" customHeight="false" outlineLevel="0" collapsed="false">
      <c r="A110" s="9" t="n">
        <v>106</v>
      </c>
      <c r="B110" s="9" t="str">
        <f aca="false">IFERROR(INDEX('Zoho Dump'!$N$8:$N$3007,MATCH(A110,'Zoho Dump'!$AB$8:$AB$3007,0)),"")</f>
        <v>UN Global Compact Network Australia</v>
      </c>
      <c r="C110" s="17" t="n">
        <f aca="false">IF($B110="",0,SUMIFS('Zoho Dump'!$Q$8:$Q$3007,'Zoho Dump'!$N$8:$N$3007,$B110,'Zoho Dump'!$T$8:$T$3007,"Delivered",'Zoho Dump'!$R$8:$R$3007,"&gt;="&amp;Settings!$B$4))</f>
        <v>0</v>
      </c>
      <c r="D110" s="17" t="n">
        <f aca="false">IF($B110="",0,SUMIFS('Zoho Dump'!$X$8:$X$3007,'Zoho Dump'!$N$8:$N$3007,$B110,'Zoho Dump'!$T$8:$T$3007,"Backlog")+SUMIFS(Adjustments!$K$8:$K$207,Adjustments!$B$8:$B$207,$B110,Adjustments!$H$8:$H$207,"Backlog"))</f>
        <v>0</v>
      </c>
      <c r="E110" s="17" t="n">
        <f aca="false">IF($B110="",0,SUMIFS('Zoho Dump'!$Y$8:$Y$3007,'Zoho Dump'!$N$8:$N$3007,$B110,'Zoho Dump'!$T$8:$T$3007,"Pipeline")+SUMIFS(Adjustments!$L$8:$L$207,Adjustments!$B$8:$B$207,$B110,Adjustments!$H$8:$H$207,"Pipeline")+SUMIFS('Zoho Dump'!$Y$8:$Y$3007,'Zoho Dump'!$N$8:$N$3007,$B110,'Zoho Dump'!$T$8:$T$3007,"Overdue")+SUMIFS(Adjustments!$L$8:$L$207,Adjustments!$B$8:$B$207,$B110,Adjustments!$H$8:$H$207,"Overdue"))</f>
        <v>0</v>
      </c>
      <c r="F110" s="17" t="n">
        <f aca="false">IF($B110="",0,SUMIFS('Zoho Dump'!$X$8:$X$3007,'Zoho Dump'!$N$8:$N$3007,$B110,'Zoho Dump'!$T$8:$T$3007,"Pipeline")+SUMIFS(Adjustments!$K$8:$K$207,Adjustments!$B$8:$B$207,$B110,Adjustments!$H$8:$H$207,"Pipeline")+SUMIFS('Zoho Dump'!$X$8:$X$3007,'Zoho Dump'!$N$8:$N$3007,$B110,'Zoho Dump'!$T$8:$T$3007,"Overdue")+SUMIFS(Adjustments!$K$8:$K$207,Adjustments!$B$8:$B$207,$B110,Adjustments!$H$8:$H$207,"Overdue"))</f>
        <v>0</v>
      </c>
      <c r="G110" s="17" t="n">
        <f aca="false">D110+F110</f>
        <v>0</v>
      </c>
      <c r="H110" s="18" t="n">
        <f aca="false">IF(SUM($G$5:$G$404)=0,0,G110/SUM($G$5:$G$404))</f>
        <v>0</v>
      </c>
      <c r="I110" s="17" t="n">
        <f aca="false">IF($B110="",0,SUMIFS('Zoho Dump'!$Q$8:$Q$3007,'Zoho Dump'!$N$8:$N$3007,$B110,'Zoho Dump'!$T$8:$T$3007,"Lost",'Zoho Dump'!$R$8:$R$3007,"&gt;="&amp;Settings!$B$4))</f>
        <v>0</v>
      </c>
      <c r="J110" s="9" t="str">
        <f aca="false">IF($B110="","",IF(COUNTIF(Dashboard!$C$13:$C$22,$B110)&gt;0,"Yes",""))</f>
        <v/>
      </c>
      <c r="K110" s="17" t="n">
        <f aca="false">IF($B110="",0,SUMIFS('Zoho Dump'!$X$8:$X$3007,'Zoho Dump'!$N$8:$N$3007,$B110,'Zoho Dump'!$P$8:$P$3007,Settings!$A$12)+SUMIFS(Adjustments!$K$8:$K$207,Adjustments!$B$8:$B$207,$B110,Adjustments!$A$8:$A$207,Settings!$A$12))</f>
        <v>0</v>
      </c>
      <c r="L110" s="17" t="n">
        <f aca="false">IF($B110="",0,SUMIFS('Zoho Dump'!$X$8:$X$3007,'Zoho Dump'!$N$8:$N$3007,$B110,'Zoho Dump'!$P$8:$P$3007,Settings!$A$13)+SUMIFS(Adjustments!$K$8:$K$207,Adjustments!$B$8:$B$207,$B110,Adjustments!$A$8:$A$207,Settings!$A$13))</f>
        <v>0</v>
      </c>
      <c r="M110" s="17" t="n">
        <f aca="false">IF($B110="",0,SUMIFS('Zoho Dump'!$X$8:$X$3007,'Zoho Dump'!$N$8:$N$3007,$B110,'Zoho Dump'!$P$8:$P$3007,Settings!$A$14)+SUMIFS(Adjustments!$K$8:$K$207,Adjustments!$B$8:$B$207,$B110,Adjustments!$A$8:$A$207,Settings!$A$14))</f>
        <v>0</v>
      </c>
      <c r="N110" s="17" t="n">
        <f aca="false">IF($B110="",0,SUMIFS('Zoho Dump'!$X$8:$X$3007,'Zoho Dump'!$N$8:$N$3007,$B110,'Zoho Dump'!$P$8:$P$3007,Settings!$A$15)+SUMIFS(Adjustments!$K$8:$K$207,Adjustments!$B$8:$B$207,$B110,Adjustments!$A$8:$A$207,Settings!$A$15))</f>
        <v>0</v>
      </c>
      <c r="O110" s="17" t="n">
        <f aca="false">IF($B110="",0,SUMIFS('Zoho Dump'!$X$8:$X$3007,'Zoho Dump'!$N$8:$N$3007,$B110,'Zoho Dump'!$P$8:$P$3007,Settings!$A$16)+SUMIFS(Adjustments!$K$8:$K$207,Adjustments!$B$8:$B$207,$B110,Adjustments!$A$8:$A$207,Settings!$A$16))</f>
        <v>0</v>
      </c>
      <c r="P110" s="17" t="n">
        <f aca="false">IF($B110="",0,SUMIFS('Zoho Dump'!$X$8:$X$3007,'Zoho Dump'!$N$8:$N$3007,$B110,'Zoho Dump'!$P$8:$P$3007,Settings!$A$17)+SUMIFS(Adjustments!$K$8:$K$207,Adjustments!$B$8:$B$207,$B110,Adjustments!$A$8:$A$207,Settings!$A$17))</f>
        <v>0</v>
      </c>
      <c r="Q110" s="17" t="n">
        <f aca="false">IF($B110="",0,SUMIFS('Zoho Dump'!$X$8:$X$3007,'Zoho Dump'!$N$8:$N$3007,$B110,'Zoho Dump'!$P$8:$P$3007,Settings!$A$18)+SUMIFS(Adjustments!$K$8:$K$207,Adjustments!$B$8:$B$207,$B110,Adjustments!$A$8:$A$207,Settings!$A$18))</f>
        <v>0</v>
      </c>
      <c r="R110" s="30" t="str">
        <f aca="false">IF(G110&gt;0,G110+A110/10000000,"")</f>
        <v/>
      </c>
    </row>
    <row r="111" customFormat="false" ht="15" hidden="false" customHeight="false" outlineLevel="0" collapsed="false">
      <c r="A111" s="9" t="n">
        <v>107</v>
      </c>
      <c r="B111" s="9" t="str">
        <f aca="false">IFERROR(INDEX('Zoho Dump'!$N$8:$N$3007,MATCH(A111,'Zoho Dump'!$AB$8:$AB$3007,0)),"")</f>
        <v>National Pharmacies</v>
      </c>
      <c r="C111" s="17" t="n">
        <f aca="false">IF($B111="",0,SUMIFS('Zoho Dump'!$Q$8:$Q$3007,'Zoho Dump'!$N$8:$N$3007,$B111,'Zoho Dump'!$T$8:$T$3007,"Delivered",'Zoho Dump'!$R$8:$R$3007,"&gt;="&amp;Settings!$B$4))</f>
        <v>0</v>
      </c>
      <c r="D111" s="17" t="n">
        <f aca="false">IF($B111="",0,SUMIFS('Zoho Dump'!$X$8:$X$3007,'Zoho Dump'!$N$8:$N$3007,$B111,'Zoho Dump'!$T$8:$T$3007,"Backlog")+SUMIFS(Adjustments!$K$8:$K$207,Adjustments!$B$8:$B$207,$B111,Adjustments!$H$8:$H$207,"Backlog"))</f>
        <v>0</v>
      </c>
      <c r="E111" s="17" t="n">
        <f aca="false">IF($B111="",0,SUMIFS('Zoho Dump'!$Y$8:$Y$3007,'Zoho Dump'!$N$8:$N$3007,$B111,'Zoho Dump'!$T$8:$T$3007,"Pipeline")+SUMIFS(Adjustments!$L$8:$L$207,Adjustments!$B$8:$B$207,$B111,Adjustments!$H$8:$H$207,"Pipeline")+SUMIFS('Zoho Dump'!$Y$8:$Y$3007,'Zoho Dump'!$N$8:$N$3007,$B111,'Zoho Dump'!$T$8:$T$3007,"Overdue")+SUMIFS(Adjustments!$L$8:$L$207,Adjustments!$B$8:$B$207,$B111,Adjustments!$H$8:$H$207,"Overdue"))</f>
        <v>0</v>
      </c>
      <c r="F111" s="17" t="n">
        <f aca="false">IF($B111="",0,SUMIFS('Zoho Dump'!$X$8:$X$3007,'Zoho Dump'!$N$8:$N$3007,$B111,'Zoho Dump'!$T$8:$T$3007,"Pipeline")+SUMIFS(Adjustments!$K$8:$K$207,Adjustments!$B$8:$B$207,$B111,Adjustments!$H$8:$H$207,"Pipeline")+SUMIFS('Zoho Dump'!$X$8:$X$3007,'Zoho Dump'!$N$8:$N$3007,$B111,'Zoho Dump'!$T$8:$T$3007,"Overdue")+SUMIFS(Adjustments!$K$8:$K$207,Adjustments!$B$8:$B$207,$B111,Adjustments!$H$8:$H$207,"Overdue"))</f>
        <v>0</v>
      </c>
      <c r="G111" s="17" t="n">
        <f aca="false">D111+F111</f>
        <v>0</v>
      </c>
      <c r="H111" s="18" t="n">
        <f aca="false">IF(SUM($G$5:$G$404)=0,0,G111/SUM($G$5:$G$404))</f>
        <v>0</v>
      </c>
      <c r="I111" s="17" t="n">
        <f aca="false">IF($B111="",0,SUMIFS('Zoho Dump'!$Q$8:$Q$3007,'Zoho Dump'!$N$8:$N$3007,$B111,'Zoho Dump'!$T$8:$T$3007,"Lost",'Zoho Dump'!$R$8:$R$3007,"&gt;="&amp;Settings!$B$4))</f>
        <v>0</v>
      </c>
      <c r="J111" s="9" t="str">
        <f aca="false">IF($B111="","",IF(COUNTIF(Dashboard!$C$13:$C$22,$B111)&gt;0,"Yes",""))</f>
        <v/>
      </c>
      <c r="K111" s="17" t="n">
        <f aca="false">IF($B111="",0,SUMIFS('Zoho Dump'!$X$8:$X$3007,'Zoho Dump'!$N$8:$N$3007,$B111,'Zoho Dump'!$P$8:$P$3007,Settings!$A$12)+SUMIFS(Adjustments!$K$8:$K$207,Adjustments!$B$8:$B$207,$B111,Adjustments!$A$8:$A$207,Settings!$A$12))</f>
        <v>0</v>
      </c>
      <c r="L111" s="17" t="n">
        <f aca="false">IF($B111="",0,SUMIFS('Zoho Dump'!$X$8:$X$3007,'Zoho Dump'!$N$8:$N$3007,$B111,'Zoho Dump'!$P$8:$P$3007,Settings!$A$13)+SUMIFS(Adjustments!$K$8:$K$207,Adjustments!$B$8:$B$207,$B111,Adjustments!$A$8:$A$207,Settings!$A$13))</f>
        <v>0</v>
      </c>
      <c r="M111" s="17" t="n">
        <f aca="false">IF($B111="",0,SUMIFS('Zoho Dump'!$X$8:$X$3007,'Zoho Dump'!$N$8:$N$3007,$B111,'Zoho Dump'!$P$8:$P$3007,Settings!$A$14)+SUMIFS(Adjustments!$K$8:$K$207,Adjustments!$B$8:$B$207,$B111,Adjustments!$A$8:$A$207,Settings!$A$14))</f>
        <v>0</v>
      </c>
      <c r="N111" s="17" t="n">
        <f aca="false">IF($B111="",0,SUMIFS('Zoho Dump'!$X$8:$X$3007,'Zoho Dump'!$N$8:$N$3007,$B111,'Zoho Dump'!$P$8:$P$3007,Settings!$A$15)+SUMIFS(Adjustments!$K$8:$K$207,Adjustments!$B$8:$B$207,$B111,Adjustments!$A$8:$A$207,Settings!$A$15))</f>
        <v>0</v>
      </c>
      <c r="O111" s="17" t="n">
        <f aca="false">IF($B111="",0,SUMIFS('Zoho Dump'!$X$8:$X$3007,'Zoho Dump'!$N$8:$N$3007,$B111,'Zoho Dump'!$P$8:$P$3007,Settings!$A$16)+SUMIFS(Adjustments!$K$8:$K$207,Adjustments!$B$8:$B$207,$B111,Adjustments!$A$8:$A$207,Settings!$A$16))</f>
        <v>0</v>
      </c>
      <c r="P111" s="17" t="n">
        <f aca="false">IF($B111="",0,SUMIFS('Zoho Dump'!$X$8:$X$3007,'Zoho Dump'!$N$8:$N$3007,$B111,'Zoho Dump'!$P$8:$P$3007,Settings!$A$17)+SUMIFS(Adjustments!$K$8:$K$207,Adjustments!$B$8:$B$207,$B111,Adjustments!$A$8:$A$207,Settings!$A$17))</f>
        <v>0</v>
      </c>
      <c r="Q111" s="17" t="n">
        <f aca="false">IF($B111="",0,SUMIFS('Zoho Dump'!$X$8:$X$3007,'Zoho Dump'!$N$8:$N$3007,$B111,'Zoho Dump'!$P$8:$P$3007,Settings!$A$18)+SUMIFS(Adjustments!$K$8:$K$207,Adjustments!$B$8:$B$207,$B111,Adjustments!$A$8:$A$207,Settings!$A$18))</f>
        <v>0</v>
      </c>
      <c r="R111" s="30" t="str">
        <f aca="false">IF(G111&gt;0,G111+A111/10000000,"")</f>
        <v/>
      </c>
    </row>
    <row r="112" customFormat="false" ht="15" hidden="false" customHeight="false" outlineLevel="0" collapsed="false">
      <c r="A112" s="9" t="n">
        <v>108</v>
      </c>
      <c r="B112" s="9" t="str">
        <f aca="false">IFERROR(INDEX('Zoho Dump'!$N$8:$N$3007,MATCH(A112,'Zoho Dump'!$AB$8:$AB$3007,0)),"")</f>
        <v>Wayflyer</v>
      </c>
      <c r="C112" s="17" t="n">
        <f aca="false">IF($B112="",0,SUMIFS('Zoho Dump'!$Q$8:$Q$3007,'Zoho Dump'!$N$8:$N$3007,$B112,'Zoho Dump'!$T$8:$T$3007,"Delivered",'Zoho Dump'!$R$8:$R$3007,"&gt;="&amp;Settings!$B$4))</f>
        <v>0</v>
      </c>
      <c r="D112" s="17" t="n">
        <f aca="false">IF($B112="",0,SUMIFS('Zoho Dump'!$X$8:$X$3007,'Zoho Dump'!$N$8:$N$3007,$B112,'Zoho Dump'!$T$8:$T$3007,"Backlog")+SUMIFS(Adjustments!$K$8:$K$207,Adjustments!$B$8:$B$207,$B112,Adjustments!$H$8:$H$207,"Backlog"))</f>
        <v>0</v>
      </c>
      <c r="E112" s="17" t="n">
        <f aca="false">IF($B112="",0,SUMIFS('Zoho Dump'!$Y$8:$Y$3007,'Zoho Dump'!$N$8:$N$3007,$B112,'Zoho Dump'!$T$8:$T$3007,"Pipeline")+SUMIFS(Adjustments!$L$8:$L$207,Adjustments!$B$8:$B$207,$B112,Adjustments!$H$8:$H$207,"Pipeline")+SUMIFS('Zoho Dump'!$Y$8:$Y$3007,'Zoho Dump'!$N$8:$N$3007,$B112,'Zoho Dump'!$T$8:$T$3007,"Overdue")+SUMIFS(Adjustments!$L$8:$L$207,Adjustments!$B$8:$B$207,$B112,Adjustments!$H$8:$H$207,"Overdue"))</f>
        <v>0</v>
      </c>
      <c r="F112" s="17" t="n">
        <f aca="false">IF($B112="",0,SUMIFS('Zoho Dump'!$X$8:$X$3007,'Zoho Dump'!$N$8:$N$3007,$B112,'Zoho Dump'!$T$8:$T$3007,"Pipeline")+SUMIFS(Adjustments!$K$8:$K$207,Adjustments!$B$8:$B$207,$B112,Adjustments!$H$8:$H$207,"Pipeline")+SUMIFS('Zoho Dump'!$X$8:$X$3007,'Zoho Dump'!$N$8:$N$3007,$B112,'Zoho Dump'!$T$8:$T$3007,"Overdue")+SUMIFS(Adjustments!$K$8:$K$207,Adjustments!$B$8:$B$207,$B112,Adjustments!$H$8:$H$207,"Overdue"))</f>
        <v>0</v>
      </c>
      <c r="G112" s="17" t="n">
        <f aca="false">D112+F112</f>
        <v>0</v>
      </c>
      <c r="H112" s="18" t="n">
        <f aca="false">IF(SUM($G$5:$G$404)=0,0,G112/SUM($G$5:$G$404))</f>
        <v>0</v>
      </c>
      <c r="I112" s="17" t="n">
        <f aca="false">IF($B112="",0,SUMIFS('Zoho Dump'!$Q$8:$Q$3007,'Zoho Dump'!$N$8:$N$3007,$B112,'Zoho Dump'!$T$8:$T$3007,"Lost",'Zoho Dump'!$R$8:$R$3007,"&gt;="&amp;Settings!$B$4))</f>
        <v>64365</v>
      </c>
      <c r="J112" s="9" t="str">
        <f aca="false">IF($B112="","",IF(COUNTIF(Dashboard!$C$13:$C$22,$B112)&gt;0,"Yes",""))</f>
        <v/>
      </c>
      <c r="K112" s="17" t="n">
        <f aca="false">IF($B112="",0,SUMIFS('Zoho Dump'!$X$8:$X$3007,'Zoho Dump'!$N$8:$N$3007,$B112,'Zoho Dump'!$P$8:$P$3007,Settings!$A$12)+SUMIFS(Adjustments!$K$8:$K$207,Adjustments!$B$8:$B$207,$B112,Adjustments!$A$8:$A$207,Settings!$A$12))</f>
        <v>0</v>
      </c>
      <c r="L112" s="17" t="n">
        <f aca="false">IF($B112="",0,SUMIFS('Zoho Dump'!$X$8:$X$3007,'Zoho Dump'!$N$8:$N$3007,$B112,'Zoho Dump'!$P$8:$P$3007,Settings!$A$13)+SUMIFS(Adjustments!$K$8:$K$207,Adjustments!$B$8:$B$207,$B112,Adjustments!$A$8:$A$207,Settings!$A$13))</f>
        <v>0</v>
      </c>
      <c r="M112" s="17" t="n">
        <f aca="false">IF($B112="",0,SUMIFS('Zoho Dump'!$X$8:$X$3007,'Zoho Dump'!$N$8:$N$3007,$B112,'Zoho Dump'!$P$8:$P$3007,Settings!$A$14)+SUMIFS(Adjustments!$K$8:$K$207,Adjustments!$B$8:$B$207,$B112,Adjustments!$A$8:$A$207,Settings!$A$14))</f>
        <v>0</v>
      </c>
      <c r="N112" s="17" t="n">
        <f aca="false">IF($B112="",0,SUMIFS('Zoho Dump'!$X$8:$X$3007,'Zoho Dump'!$N$8:$N$3007,$B112,'Zoho Dump'!$P$8:$P$3007,Settings!$A$15)+SUMIFS(Adjustments!$K$8:$K$207,Adjustments!$B$8:$B$207,$B112,Adjustments!$A$8:$A$207,Settings!$A$15))</f>
        <v>0</v>
      </c>
      <c r="O112" s="17" t="n">
        <f aca="false">IF($B112="",0,SUMIFS('Zoho Dump'!$X$8:$X$3007,'Zoho Dump'!$N$8:$N$3007,$B112,'Zoho Dump'!$P$8:$P$3007,Settings!$A$16)+SUMIFS(Adjustments!$K$8:$K$207,Adjustments!$B$8:$B$207,$B112,Adjustments!$A$8:$A$207,Settings!$A$16))</f>
        <v>0</v>
      </c>
      <c r="P112" s="17" t="n">
        <f aca="false">IF($B112="",0,SUMIFS('Zoho Dump'!$X$8:$X$3007,'Zoho Dump'!$N$8:$N$3007,$B112,'Zoho Dump'!$P$8:$P$3007,Settings!$A$17)+SUMIFS(Adjustments!$K$8:$K$207,Adjustments!$B$8:$B$207,$B112,Adjustments!$A$8:$A$207,Settings!$A$17))</f>
        <v>0</v>
      </c>
      <c r="Q112" s="17" t="n">
        <f aca="false">IF($B112="",0,SUMIFS('Zoho Dump'!$X$8:$X$3007,'Zoho Dump'!$N$8:$N$3007,$B112,'Zoho Dump'!$P$8:$P$3007,Settings!$A$18)+SUMIFS(Adjustments!$K$8:$K$207,Adjustments!$B$8:$B$207,$B112,Adjustments!$A$8:$A$207,Settings!$A$18))</f>
        <v>0</v>
      </c>
      <c r="R112" s="30" t="str">
        <f aca="false">IF(G112&gt;0,G112+A112/10000000,"")</f>
        <v/>
      </c>
    </row>
    <row r="113" customFormat="false" ht="15" hidden="false" customHeight="false" outlineLevel="0" collapsed="false">
      <c r="A113" s="9" t="n">
        <v>109</v>
      </c>
      <c r="B113" s="9" t="str">
        <f aca="false">IFERROR(INDEX('Zoho Dump'!$N$8:$N$3007,MATCH(A113,'Zoho Dump'!$AB$8:$AB$3007,0)),"")</f>
        <v>Sydney AV Technoloies</v>
      </c>
      <c r="C113" s="17" t="n">
        <f aca="false">IF($B113="",0,SUMIFS('Zoho Dump'!$Q$8:$Q$3007,'Zoho Dump'!$N$8:$N$3007,$B113,'Zoho Dump'!$T$8:$T$3007,"Delivered",'Zoho Dump'!$R$8:$R$3007,"&gt;="&amp;Settings!$B$4))</f>
        <v>0</v>
      </c>
      <c r="D113" s="17" t="n">
        <f aca="false">IF($B113="",0,SUMIFS('Zoho Dump'!$X$8:$X$3007,'Zoho Dump'!$N$8:$N$3007,$B113,'Zoho Dump'!$T$8:$T$3007,"Backlog")+SUMIFS(Adjustments!$K$8:$K$207,Adjustments!$B$8:$B$207,$B113,Adjustments!$H$8:$H$207,"Backlog"))</f>
        <v>0</v>
      </c>
      <c r="E113" s="17" t="n">
        <f aca="false">IF($B113="",0,SUMIFS('Zoho Dump'!$Y$8:$Y$3007,'Zoho Dump'!$N$8:$N$3007,$B113,'Zoho Dump'!$T$8:$T$3007,"Pipeline")+SUMIFS(Adjustments!$L$8:$L$207,Adjustments!$B$8:$B$207,$B113,Adjustments!$H$8:$H$207,"Pipeline")+SUMIFS('Zoho Dump'!$Y$8:$Y$3007,'Zoho Dump'!$N$8:$N$3007,$B113,'Zoho Dump'!$T$8:$T$3007,"Overdue")+SUMIFS(Adjustments!$L$8:$L$207,Adjustments!$B$8:$B$207,$B113,Adjustments!$H$8:$H$207,"Overdue"))</f>
        <v>0</v>
      </c>
      <c r="F113" s="17" t="n">
        <f aca="false">IF($B113="",0,SUMIFS('Zoho Dump'!$X$8:$X$3007,'Zoho Dump'!$N$8:$N$3007,$B113,'Zoho Dump'!$T$8:$T$3007,"Pipeline")+SUMIFS(Adjustments!$K$8:$K$207,Adjustments!$B$8:$B$207,$B113,Adjustments!$H$8:$H$207,"Pipeline")+SUMIFS('Zoho Dump'!$X$8:$X$3007,'Zoho Dump'!$N$8:$N$3007,$B113,'Zoho Dump'!$T$8:$T$3007,"Overdue")+SUMIFS(Adjustments!$K$8:$K$207,Adjustments!$B$8:$B$207,$B113,Adjustments!$H$8:$H$207,"Overdue"))</f>
        <v>0</v>
      </c>
      <c r="G113" s="17" t="n">
        <f aca="false">D113+F113</f>
        <v>0</v>
      </c>
      <c r="H113" s="18" t="n">
        <f aca="false">IF(SUM($G$5:$G$404)=0,0,G113/SUM($G$5:$G$404))</f>
        <v>0</v>
      </c>
      <c r="I113" s="17" t="n">
        <f aca="false">IF($B113="",0,SUMIFS('Zoho Dump'!$Q$8:$Q$3007,'Zoho Dump'!$N$8:$N$3007,$B113,'Zoho Dump'!$T$8:$T$3007,"Lost",'Zoho Dump'!$R$8:$R$3007,"&gt;="&amp;Settings!$B$4))</f>
        <v>8850</v>
      </c>
      <c r="J113" s="9" t="str">
        <f aca="false">IF($B113="","",IF(COUNTIF(Dashboard!$C$13:$C$22,$B113)&gt;0,"Yes",""))</f>
        <v/>
      </c>
      <c r="K113" s="17" t="n">
        <f aca="false">IF($B113="",0,SUMIFS('Zoho Dump'!$X$8:$X$3007,'Zoho Dump'!$N$8:$N$3007,$B113,'Zoho Dump'!$P$8:$P$3007,Settings!$A$12)+SUMIFS(Adjustments!$K$8:$K$207,Adjustments!$B$8:$B$207,$B113,Adjustments!$A$8:$A$207,Settings!$A$12))</f>
        <v>0</v>
      </c>
      <c r="L113" s="17" t="n">
        <f aca="false">IF($B113="",0,SUMIFS('Zoho Dump'!$X$8:$X$3007,'Zoho Dump'!$N$8:$N$3007,$B113,'Zoho Dump'!$P$8:$P$3007,Settings!$A$13)+SUMIFS(Adjustments!$K$8:$K$207,Adjustments!$B$8:$B$207,$B113,Adjustments!$A$8:$A$207,Settings!$A$13))</f>
        <v>0</v>
      </c>
      <c r="M113" s="17" t="n">
        <f aca="false">IF($B113="",0,SUMIFS('Zoho Dump'!$X$8:$X$3007,'Zoho Dump'!$N$8:$N$3007,$B113,'Zoho Dump'!$P$8:$P$3007,Settings!$A$14)+SUMIFS(Adjustments!$K$8:$K$207,Adjustments!$B$8:$B$207,$B113,Adjustments!$A$8:$A$207,Settings!$A$14))</f>
        <v>0</v>
      </c>
      <c r="N113" s="17" t="n">
        <f aca="false">IF($B113="",0,SUMIFS('Zoho Dump'!$X$8:$X$3007,'Zoho Dump'!$N$8:$N$3007,$B113,'Zoho Dump'!$P$8:$P$3007,Settings!$A$15)+SUMIFS(Adjustments!$K$8:$K$207,Adjustments!$B$8:$B$207,$B113,Adjustments!$A$8:$A$207,Settings!$A$15))</f>
        <v>0</v>
      </c>
      <c r="O113" s="17" t="n">
        <f aca="false">IF($B113="",0,SUMIFS('Zoho Dump'!$X$8:$X$3007,'Zoho Dump'!$N$8:$N$3007,$B113,'Zoho Dump'!$P$8:$P$3007,Settings!$A$16)+SUMIFS(Adjustments!$K$8:$K$207,Adjustments!$B$8:$B$207,$B113,Adjustments!$A$8:$A$207,Settings!$A$16))</f>
        <v>0</v>
      </c>
      <c r="P113" s="17" t="n">
        <f aca="false">IF($B113="",0,SUMIFS('Zoho Dump'!$X$8:$X$3007,'Zoho Dump'!$N$8:$N$3007,$B113,'Zoho Dump'!$P$8:$P$3007,Settings!$A$17)+SUMIFS(Adjustments!$K$8:$K$207,Adjustments!$B$8:$B$207,$B113,Adjustments!$A$8:$A$207,Settings!$A$17))</f>
        <v>0</v>
      </c>
      <c r="Q113" s="17" t="n">
        <f aca="false">IF($B113="",0,SUMIFS('Zoho Dump'!$X$8:$X$3007,'Zoho Dump'!$N$8:$N$3007,$B113,'Zoho Dump'!$P$8:$P$3007,Settings!$A$18)+SUMIFS(Adjustments!$K$8:$K$207,Adjustments!$B$8:$B$207,$B113,Adjustments!$A$8:$A$207,Settings!$A$18))</f>
        <v>0</v>
      </c>
      <c r="R113" s="30" t="str">
        <f aca="false">IF(G113&gt;0,G113+A113/10000000,"")</f>
        <v/>
      </c>
    </row>
    <row r="114" customFormat="false" ht="15" hidden="false" customHeight="false" outlineLevel="0" collapsed="false">
      <c r="A114" s="9" t="n">
        <v>110</v>
      </c>
      <c r="B114" s="9" t="str">
        <f aca="false">IFERROR(INDEX('Zoho Dump'!$N$8:$N$3007,MATCH(A114,'Zoho Dump'!$AB$8:$AB$3007,0)),"")</f>
        <v>Sante Group</v>
      </c>
      <c r="C114" s="17" t="n">
        <f aca="false">IF($B114="",0,SUMIFS('Zoho Dump'!$Q$8:$Q$3007,'Zoho Dump'!$N$8:$N$3007,$B114,'Zoho Dump'!$T$8:$T$3007,"Delivered",'Zoho Dump'!$R$8:$R$3007,"&gt;="&amp;Settings!$B$4))</f>
        <v>0</v>
      </c>
      <c r="D114" s="17" t="n">
        <f aca="false">IF($B114="",0,SUMIFS('Zoho Dump'!$X$8:$X$3007,'Zoho Dump'!$N$8:$N$3007,$B114,'Zoho Dump'!$T$8:$T$3007,"Backlog")+SUMIFS(Adjustments!$K$8:$K$207,Adjustments!$B$8:$B$207,$B114,Adjustments!$H$8:$H$207,"Backlog"))</f>
        <v>0</v>
      </c>
      <c r="E114" s="17" t="n">
        <f aca="false">IF($B114="",0,SUMIFS('Zoho Dump'!$Y$8:$Y$3007,'Zoho Dump'!$N$8:$N$3007,$B114,'Zoho Dump'!$T$8:$T$3007,"Pipeline")+SUMIFS(Adjustments!$L$8:$L$207,Adjustments!$B$8:$B$207,$B114,Adjustments!$H$8:$H$207,"Pipeline")+SUMIFS('Zoho Dump'!$Y$8:$Y$3007,'Zoho Dump'!$N$8:$N$3007,$B114,'Zoho Dump'!$T$8:$T$3007,"Overdue")+SUMIFS(Adjustments!$L$8:$L$207,Adjustments!$B$8:$B$207,$B114,Adjustments!$H$8:$H$207,"Overdue"))</f>
        <v>0</v>
      </c>
      <c r="F114" s="17" t="n">
        <f aca="false">IF($B114="",0,SUMIFS('Zoho Dump'!$X$8:$X$3007,'Zoho Dump'!$N$8:$N$3007,$B114,'Zoho Dump'!$T$8:$T$3007,"Pipeline")+SUMIFS(Adjustments!$K$8:$K$207,Adjustments!$B$8:$B$207,$B114,Adjustments!$H$8:$H$207,"Pipeline")+SUMIFS('Zoho Dump'!$X$8:$X$3007,'Zoho Dump'!$N$8:$N$3007,$B114,'Zoho Dump'!$T$8:$T$3007,"Overdue")+SUMIFS(Adjustments!$K$8:$K$207,Adjustments!$B$8:$B$207,$B114,Adjustments!$H$8:$H$207,"Overdue"))</f>
        <v>0</v>
      </c>
      <c r="G114" s="17" t="n">
        <f aca="false">D114+F114</f>
        <v>0</v>
      </c>
      <c r="H114" s="18" t="n">
        <f aca="false">IF(SUM($G$5:$G$404)=0,0,G114/SUM($G$5:$G$404))</f>
        <v>0</v>
      </c>
      <c r="I114" s="17" t="n">
        <f aca="false">IF($B114="",0,SUMIFS('Zoho Dump'!$Q$8:$Q$3007,'Zoho Dump'!$N$8:$N$3007,$B114,'Zoho Dump'!$T$8:$T$3007,"Lost",'Zoho Dump'!$R$8:$R$3007,"&gt;="&amp;Settings!$B$4))</f>
        <v>0</v>
      </c>
      <c r="J114" s="9" t="str">
        <f aca="false">IF($B114="","",IF(COUNTIF(Dashboard!$C$13:$C$22,$B114)&gt;0,"Yes",""))</f>
        <v/>
      </c>
      <c r="K114" s="17" t="n">
        <f aca="false">IF($B114="",0,SUMIFS('Zoho Dump'!$X$8:$X$3007,'Zoho Dump'!$N$8:$N$3007,$B114,'Zoho Dump'!$P$8:$P$3007,Settings!$A$12)+SUMIFS(Adjustments!$K$8:$K$207,Adjustments!$B$8:$B$207,$B114,Adjustments!$A$8:$A$207,Settings!$A$12))</f>
        <v>0</v>
      </c>
      <c r="L114" s="17" t="n">
        <f aca="false">IF($B114="",0,SUMIFS('Zoho Dump'!$X$8:$X$3007,'Zoho Dump'!$N$8:$N$3007,$B114,'Zoho Dump'!$P$8:$P$3007,Settings!$A$13)+SUMIFS(Adjustments!$K$8:$K$207,Adjustments!$B$8:$B$207,$B114,Adjustments!$A$8:$A$207,Settings!$A$13))</f>
        <v>0</v>
      </c>
      <c r="M114" s="17" t="n">
        <f aca="false">IF($B114="",0,SUMIFS('Zoho Dump'!$X$8:$X$3007,'Zoho Dump'!$N$8:$N$3007,$B114,'Zoho Dump'!$P$8:$P$3007,Settings!$A$14)+SUMIFS(Adjustments!$K$8:$K$207,Adjustments!$B$8:$B$207,$B114,Adjustments!$A$8:$A$207,Settings!$A$14))</f>
        <v>0</v>
      </c>
      <c r="N114" s="17" t="n">
        <f aca="false">IF($B114="",0,SUMIFS('Zoho Dump'!$X$8:$X$3007,'Zoho Dump'!$N$8:$N$3007,$B114,'Zoho Dump'!$P$8:$P$3007,Settings!$A$15)+SUMIFS(Adjustments!$K$8:$K$207,Adjustments!$B$8:$B$207,$B114,Adjustments!$A$8:$A$207,Settings!$A$15))</f>
        <v>0</v>
      </c>
      <c r="O114" s="17" t="n">
        <f aca="false">IF($B114="",0,SUMIFS('Zoho Dump'!$X$8:$X$3007,'Zoho Dump'!$N$8:$N$3007,$B114,'Zoho Dump'!$P$8:$P$3007,Settings!$A$16)+SUMIFS(Adjustments!$K$8:$K$207,Adjustments!$B$8:$B$207,$B114,Adjustments!$A$8:$A$207,Settings!$A$16))</f>
        <v>0</v>
      </c>
      <c r="P114" s="17" t="n">
        <f aca="false">IF($B114="",0,SUMIFS('Zoho Dump'!$X$8:$X$3007,'Zoho Dump'!$N$8:$N$3007,$B114,'Zoho Dump'!$P$8:$P$3007,Settings!$A$17)+SUMIFS(Adjustments!$K$8:$K$207,Adjustments!$B$8:$B$207,$B114,Adjustments!$A$8:$A$207,Settings!$A$17))</f>
        <v>0</v>
      </c>
      <c r="Q114" s="17" t="n">
        <f aca="false">IF($B114="",0,SUMIFS('Zoho Dump'!$X$8:$X$3007,'Zoho Dump'!$N$8:$N$3007,$B114,'Zoho Dump'!$P$8:$P$3007,Settings!$A$18)+SUMIFS(Adjustments!$K$8:$K$207,Adjustments!$B$8:$B$207,$B114,Adjustments!$A$8:$A$207,Settings!$A$18))</f>
        <v>0</v>
      </c>
      <c r="R114" s="30" t="str">
        <f aca="false">IF(G114&gt;0,G114+A114/10000000,"")</f>
        <v/>
      </c>
    </row>
    <row r="115" customFormat="false" ht="15" hidden="false" customHeight="false" outlineLevel="0" collapsed="false">
      <c r="A115" s="9" t="n">
        <v>111</v>
      </c>
      <c r="B115" s="9" t="str">
        <f aca="false">IFERROR(INDEX('Zoho Dump'!$N$8:$N$3007,MATCH(A115,'Zoho Dump'!$AB$8:$AB$3007,0)),"")</f>
        <v>Brain Chip</v>
      </c>
      <c r="C115" s="17" t="n">
        <f aca="false">IF($B115="",0,SUMIFS('Zoho Dump'!$Q$8:$Q$3007,'Zoho Dump'!$N$8:$N$3007,$B115,'Zoho Dump'!$T$8:$T$3007,"Delivered",'Zoho Dump'!$R$8:$R$3007,"&gt;="&amp;Settings!$B$4))</f>
        <v>0</v>
      </c>
      <c r="D115" s="17" t="n">
        <f aca="false">IF($B115="",0,SUMIFS('Zoho Dump'!$X$8:$X$3007,'Zoho Dump'!$N$8:$N$3007,$B115,'Zoho Dump'!$T$8:$T$3007,"Backlog")+SUMIFS(Adjustments!$K$8:$K$207,Adjustments!$B$8:$B$207,$B115,Adjustments!$H$8:$H$207,"Backlog"))</f>
        <v>0</v>
      </c>
      <c r="E115" s="17" t="n">
        <f aca="false">IF($B115="",0,SUMIFS('Zoho Dump'!$Y$8:$Y$3007,'Zoho Dump'!$N$8:$N$3007,$B115,'Zoho Dump'!$T$8:$T$3007,"Pipeline")+SUMIFS(Adjustments!$L$8:$L$207,Adjustments!$B$8:$B$207,$B115,Adjustments!$H$8:$H$207,"Pipeline")+SUMIFS('Zoho Dump'!$Y$8:$Y$3007,'Zoho Dump'!$N$8:$N$3007,$B115,'Zoho Dump'!$T$8:$T$3007,"Overdue")+SUMIFS(Adjustments!$L$8:$L$207,Adjustments!$B$8:$B$207,$B115,Adjustments!$H$8:$H$207,"Overdue"))</f>
        <v>0</v>
      </c>
      <c r="F115" s="17" t="n">
        <f aca="false">IF($B115="",0,SUMIFS('Zoho Dump'!$X$8:$X$3007,'Zoho Dump'!$N$8:$N$3007,$B115,'Zoho Dump'!$T$8:$T$3007,"Pipeline")+SUMIFS(Adjustments!$K$8:$K$207,Adjustments!$B$8:$B$207,$B115,Adjustments!$H$8:$H$207,"Pipeline")+SUMIFS('Zoho Dump'!$X$8:$X$3007,'Zoho Dump'!$N$8:$N$3007,$B115,'Zoho Dump'!$T$8:$T$3007,"Overdue")+SUMIFS(Adjustments!$K$8:$K$207,Adjustments!$B$8:$B$207,$B115,Adjustments!$H$8:$H$207,"Overdue"))</f>
        <v>0</v>
      </c>
      <c r="G115" s="17" t="n">
        <f aca="false">D115+F115</f>
        <v>0</v>
      </c>
      <c r="H115" s="18" t="n">
        <f aca="false">IF(SUM($G$5:$G$404)=0,0,G115/SUM($G$5:$G$404))</f>
        <v>0</v>
      </c>
      <c r="I115" s="17" t="n">
        <f aca="false">IF($B115="",0,SUMIFS('Zoho Dump'!$Q$8:$Q$3007,'Zoho Dump'!$N$8:$N$3007,$B115,'Zoho Dump'!$T$8:$T$3007,"Lost",'Zoho Dump'!$R$8:$R$3007,"&gt;="&amp;Settings!$B$4))</f>
        <v>4380</v>
      </c>
      <c r="J115" s="9" t="str">
        <f aca="false">IF($B115="","",IF(COUNTIF(Dashboard!$C$13:$C$22,$B115)&gt;0,"Yes",""))</f>
        <v/>
      </c>
      <c r="K115" s="17" t="n">
        <f aca="false">IF($B115="",0,SUMIFS('Zoho Dump'!$X$8:$X$3007,'Zoho Dump'!$N$8:$N$3007,$B115,'Zoho Dump'!$P$8:$P$3007,Settings!$A$12)+SUMIFS(Adjustments!$K$8:$K$207,Adjustments!$B$8:$B$207,$B115,Adjustments!$A$8:$A$207,Settings!$A$12))</f>
        <v>0</v>
      </c>
      <c r="L115" s="17" t="n">
        <f aca="false">IF($B115="",0,SUMIFS('Zoho Dump'!$X$8:$X$3007,'Zoho Dump'!$N$8:$N$3007,$B115,'Zoho Dump'!$P$8:$P$3007,Settings!$A$13)+SUMIFS(Adjustments!$K$8:$K$207,Adjustments!$B$8:$B$207,$B115,Adjustments!$A$8:$A$207,Settings!$A$13))</f>
        <v>0</v>
      </c>
      <c r="M115" s="17" t="n">
        <f aca="false">IF($B115="",0,SUMIFS('Zoho Dump'!$X$8:$X$3007,'Zoho Dump'!$N$8:$N$3007,$B115,'Zoho Dump'!$P$8:$P$3007,Settings!$A$14)+SUMIFS(Adjustments!$K$8:$K$207,Adjustments!$B$8:$B$207,$B115,Adjustments!$A$8:$A$207,Settings!$A$14))</f>
        <v>0</v>
      </c>
      <c r="N115" s="17" t="n">
        <f aca="false">IF($B115="",0,SUMIFS('Zoho Dump'!$X$8:$X$3007,'Zoho Dump'!$N$8:$N$3007,$B115,'Zoho Dump'!$P$8:$P$3007,Settings!$A$15)+SUMIFS(Adjustments!$K$8:$K$207,Adjustments!$B$8:$B$207,$B115,Adjustments!$A$8:$A$207,Settings!$A$15))</f>
        <v>0</v>
      </c>
      <c r="O115" s="17" t="n">
        <f aca="false">IF($B115="",0,SUMIFS('Zoho Dump'!$X$8:$X$3007,'Zoho Dump'!$N$8:$N$3007,$B115,'Zoho Dump'!$P$8:$P$3007,Settings!$A$16)+SUMIFS(Adjustments!$K$8:$K$207,Adjustments!$B$8:$B$207,$B115,Adjustments!$A$8:$A$207,Settings!$A$16))</f>
        <v>0</v>
      </c>
      <c r="P115" s="17" t="n">
        <f aca="false">IF($B115="",0,SUMIFS('Zoho Dump'!$X$8:$X$3007,'Zoho Dump'!$N$8:$N$3007,$B115,'Zoho Dump'!$P$8:$P$3007,Settings!$A$17)+SUMIFS(Adjustments!$K$8:$K$207,Adjustments!$B$8:$B$207,$B115,Adjustments!$A$8:$A$207,Settings!$A$17))</f>
        <v>0</v>
      </c>
      <c r="Q115" s="17" t="n">
        <f aca="false">IF($B115="",0,SUMIFS('Zoho Dump'!$X$8:$X$3007,'Zoho Dump'!$N$8:$N$3007,$B115,'Zoho Dump'!$P$8:$P$3007,Settings!$A$18)+SUMIFS(Adjustments!$K$8:$K$207,Adjustments!$B$8:$B$207,$B115,Adjustments!$A$8:$A$207,Settings!$A$18))</f>
        <v>0</v>
      </c>
      <c r="R115" s="30" t="str">
        <f aca="false">IF(G115&gt;0,G115+A115/10000000,"")</f>
        <v/>
      </c>
    </row>
    <row r="116" customFormat="false" ht="15" hidden="false" customHeight="false" outlineLevel="0" collapsed="false">
      <c r="A116" s="9" t="n">
        <v>112</v>
      </c>
      <c r="B116" s="9" t="str">
        <f aca="false">IFERROR(INDEX('Zoho Dump'!$N$8:$N$3007,MATCH(A116,'Zoho Dump'!$AB$8:$AB$3007,0)),"")</f>
        <v>Adamantem Capital</v>
      </c>
      <c r="C116" s="17" t="n">
        <f aca="false">IF($B116="",0,SUMIFS('Zoho Dump'!$Q$8:$Q$3007,'Zoho Dump'!$N$8:$N$3007,$B116,'Zoho Dump'!$T$8:$T$3007,"Delivered",'Zoho Dump'!$R$8:$R$3007,"&gt;="&amp;Settings!$B$4))</f>
        <v>0</v>
      </c>
      <c r="D116" s="17" t="n">
        <f aca="false">IF($B116="",0,SUMIFS('Zoho Dump'!$X$8:$X$3007,'Zoho Dump'!$N$8:$N$3007,$B116,'Zoho Dump'!$T$8:$T$3007,"Backlog")+SUMIFS(Adjustments!$K$8:$K$207,Adjustments!$B$8:$B$207,$B116,Adjustments!$H$8:$H$207,"Backlog"))</f>
        <v>0</v>
      </c>
      <c r="E116" s="17" t="n">
        <f aca="false">IF($B116="",0,SUMIFS('Zoho Dump'!$Y$8:$Y$3007,'Zoho Dump'!$N$8:$N$3007,$B116,'Zoho Dump'!$T$8:$T$3007,"Pipeline")+SUMIFS(Adjustments!$L$8:$L$207,Adjustments!$B$8:$B$207,$B116,Adjustments!$H$8:$H$207,"Pipeline")+SUMIFS('Zoho Dump'!$Y$8:$Y$3007,'Zoho Dump'!$N$8:$N$3007,$B116,'Zoho Dump'!$T$8:$T$3007,"Overdue")+SUMIFS(Adjustments!$L$8:$L$207,Adjustments!$B$8:$B$207,$B116,Adjustments!$H$8:$H$207,"Overdue"))</f>
        <v>0</v>
      </c>
      <c r="F116" s="17" t="n">
        <f aca="false">IF($B116="",0,SUMIFS('Zoho Dump'!$X$8:$X$3007,'Zoho Dump'!$N$8:$N$3007,$B116,'Zoho Dump'!$T$8:$T$3007,"Pipeline")+SUMIFS(Adjustments!$K$8:$K$207,Adjustments!$B$8:$B$207,$B116,Adjustments!$H$8:$H$207,"Pipeline")+SUMIFS('Zoho Dump'!$X$8:$X$3007,'Zoho Dump'!$N$8:$N$3007,$B116,'Zoho Dump'!$T$8:$T$3007,"Overdue")+SUMIFS(Adjustments!$K$8:$K$207,Adjustments!$B$8:$B$207,$B116,Adjustments!$H$8:$H$207,"Overdue"))</f>
        <v>0</v>
      </c>
      <c r="G116" s="17" t="n">
        <f aca="false">D116+F116</f>
        <v>0</v>
      </c>
      <c r="H116" s="18" t="n">
        <f aca="false">IF(SUM($G$5:$G$404)=0,0,G116/SUM($G$5:$G$404))</f>
        <v>0</v>
      </c>
      <c r="I116" s="17" t="n">
        <f aca="false">IF($B116="",0,SUMIFS('Zoho Dump'!$Q$8:$Q$3007,'Zoho Dump'!$N$8:$N$3007,$B116,'Zoho Dump'!$T$8:$T$3007,"Lost",'Zoho Dump'!$R$8:$R$3007,"&gt;="&amp;Settings!$B$4))</f>
        <v>0</v>
      </c>
      <c r="J116" s="9" t="str">
        <f aca="false">IF($B116="","",IF(COUNTIF(Dashboard!$C$13:$C$22,$B116)&gt;0,"Yes",""))</f>
        <v/>
      </c>
      <c r="K116" s="17" t="n">
        <f aca="false">IF($B116="",0,SUMIFS('Zoho Dump'!$X$8:$X$3007,'Zoho Dump'!$N$8:$N$3007,$B116,'Zoho Dump'!$P$8:$P$3007,Settings!$A$12)+SUMIFS(Adjustments!$K$8:$K$207,Adjustments!$B$8:$B$207,$B116,Adjustments!$A$8:$A$207,Settings!$A$12))</f>
        <v>0</v>
      </c>
      <c r="L116" s="17" t="n">
        <f aca="false">IF($B116="",0,SUMIFS('Zoho Dump'!$X$8:$X$3007,'Zoho Dump'!$N$8:$N$3007,$B116,'Zoho Dump'!$P$8:$P$3007,Settings!$A$13)+SUMIFS(Adjustments!$K$8:$K$207,Adjustments!$B$8:$B$207,$B116,Adjustments!$A$8:$A$207,Settings!$A$13))</f>
        <v>0</v>
      </c>
      <c r="M116" s="17" t="n">
        <f aca="false">IF($B116="",0,SUMIFS('Zoho Dump'!$X$8:$X$3007,'Zoho Dump'!$N$8:$N$3007,$B116,'Zoho Dump'!$P$8:$P$3007,Settings!$A$14)+SUMIFS(Adjustments!$K$8:$K$207,Adjustments!$B$8:$B$207,$B116,Adjustments!$A$8:$A$207,Settings!$A$14))</f>
        <v>0</v>
      </c>
      <c r="N116" s="17" t="n">
        <f aca="false">IF($B116="",0,SUMIFS('Zoho Dump'!$X$8:$X$3007,'Zoho Dump'!$N$8:$N$3007,$B116,'Zoho Dump'!$P$8:$P$3007,Settings!$A$15)+SUMIFS(Adjustments!$K$8:$K$207,Adjustments!$B$8:$B$207,$B116,Adjustments!$A$8:$A$207,Settings!$A$15))</f>
        <v>0</v>
      </c>
      <c r="O116" s="17" t="n">
        <f aca="false">IF($B116="",0,SUMIFS('Zoho Dump'!$X$8:$X$3007,'Zoho Dump'!$N$8:$N$3007,$B116,'Zoho Dump'!$P$8:$P$3007,Settings!$A$16)+SUMIFS(Adjustments!$K$8:$K$207,Adjustments!$B$8:$B$207,$B116,Adjustments!$A$8:$A$207,Settings!$A$16))</f>
        <v>0</v>
      </c>
      <c r="P116" s="17" t="n">
        <f aca="false">IF($B116="",0,SUMIFS('Zoho Dump'!$X$8:$X$3007,'Zoho Dump'!$N$8:$N$3007,$B116,'Zoho Dump'!$P$8:$P$3007,Settings!$A$17)+SUMIFS(Adjustments!$K$8:$K$207,Adjustments!$B$8:$B$207,$B116,Adjustments!$A$8:$A$207,Settings!$A$17))</f>
        <v>0</v>
      </c>
      <c r="Q116" s="17" t="n">
        <f aca="false">IF($B116="",0,SUMIFS('Zoho Dump'!$X$8:$X$3007,'Zoho Dump'!$N$8:$N$3007,$B116,'Zoho Dump'!$P$8:$P$3007,Settings!$A$18)+SUMIFS(Adjustments!$K$8:$K$207,Adjustments!$B$8:$B$207,$B116,Adjustments!$A$8:$A$207,Settings!$A$18))</f>
        <v>0</v>
      </c>
      <c r="R116" s="30" t="str">
        <f aca="false">IF(G116&gt;0,G116+A116/10000000,"")</f>
        <v/>
      </c>
    </row>
    <row r="117" customFormat="false" ht="15" hidden="false" customHeight="false" outlineLevel="0" collapsed="false">
      <c r="A117" s="9" t="n">
        <v>113</v>
      </c>
      <c r="B117" s="9" t="str">
        <f aca="false">IFERROR(INDEX('Zoho Dump'!$N$8:$N$3007,MATCH(A117,'Zoho Dump'!$AB$8:$AB$3007,0)),"")</f>
        <v>St Luke's LIverpool</v>
      </c>
      <c r="C117" s="17" t="n">
        <f aca="false">IF($B117="",0,SUMIFS('Zoho Dump'!$Q$8:$Q$3007,'Zoho Dump'!$N$8:$N$3007,$B117,'Zoho Dump'!$T$8:$T$3007,"Delivered",'Zoho Dump'!$R$8:$R$3007,"&gt;="&amp;Settings!$B$4))</f>
        <v>0</v>
      </c>
      <c r="D117" s="17" t="n">
        <f aca="false">IF($B117="",0,SUMIFS('Zoho Dump'!$X$8:$X$3007,'Zoho Dump'!$N$8:$N$3007,$B117,'Zoho Dump'!$T$8:$T$3007,"Backlog")+SUMIFS(Adjustments!$K$8:$K$207,Adjustments!$B$8:$B$207,$B117,Adjustments!$H$8:$H$207,"Backlog"))</f>
        <v>0</v>
      </c>
      <c r="E117" s="17" t="n">
        <f aca="false">IF($B117="",0,SUMIFS('Zoho Dump'!$Y$8:$Y$3007,'Zoho Dump'!$N$8:$N$3007,$B117,'Zoho Dump'!$T$8:$T$3007,"Pipeline")+SUMIFS(Adjustments!$L$8:$L$207,Adjustments!$B$8:$B$207,$B117,Adjustments!$H$8:$H$207,"Pipeline")+SUMIFS('Zoho Dump'!$Y$8:$Y$3007,'Zoho Dump'!$N$8:$N$3007,$B117,'Zoho Dump'!$T$8:$T$3007,"Overdue")+SUMIFS(Adjustments!$L$8:$L$207,Adjustments!$B$8:$B$207,$B117,Adjustments!$H$8:$H$207,"Overdue"))</f>
        <v>0</v>
      </c>
      <c r="F117" s="17" t="n">
        <f aca="false">IF($B117="",0,SUMIFS('Zoho Dump'!$X$8:$X$3007,'Zoho Dump'!$N$8:$N$3007,$B117,'Zoho Dump'!$T$8:$T$3007,"Pipeline")+SUMIFS(Adjustments!$K$8:$K$207,Adjustments!$B$8:$B$207,$B117,Adjustments!$H$8:$H$207,"Pipeline")+SUMIFS('Zoho Dump'!$X$8:$X$3007,'Zoho Dump'!$N$8:$N$3007,$B117,'Zoho Dump'!$T$8:$T$3007,"Overdue")+SUMIFS(Adjustments!$K$8:$K$207,Adjustments!$B$8:$B$207,$B117,Adjustments!$H$8:$H$207,"Overdue"))</f>
        <v>0</v>
      </c>
      <c r="G117" s="17" t="n">
        <f aca="false">D117+F117</f>
        <v>0</v>
      </c>
      <c r="H117" s="18" t="n">
        <f aca="false">IF(SUM($G$5:$G$404)=0,0,G117/SUM($G$5:$G$404))</f>
        <v>0</v>
      </c>
      <c r="I117" s="17" t="n">
        <f aca="false">IF($B117="",0,SUMIFS('Zoho Dump'!$Q$8:$Q$3007,'Zoho Dump'!$N$8:$N$3007,$B117,'Zoho Dump'!$T$8:$T$3007,"Lost",'Zoho Dump'!$R$8:$R$3007,"&gt;="&amp;Settings!$B$4))</f>
        <v>0</v>
      </c>
      <c r="J117" s="9" t="str">
        <f aca="false">IF($B117="","",IF(COUNTIF(Dashboard!$C$13:$C$22,$B117)&gt;0,"Yes",""))</f>
        <v/>
      </c>
      <c r="K117" s="17" t="n">
        <f aca="false">IF($B117="",0,SUMIFS('Zoho Dump'!$X$8:$X$3007,'Zoho Dump'!$N$8:$N$3007,$B117,'Zoho Dump'!$P$8:$P$3007,Settings!$A$12)+SUMIFS(Adjustments!$K$8:$K$207,Adjustments!$B$8:$B$207,$B117,Adjustments!$A$8:$A$207,Settings!$A$12))</f>
        <v>0</v>
      </c>
      <c r="L117" s="17" t="n">
        <f aca="false">IF($B117="",0,SUMIFS('Zoho Dump'!$X$8:$X$3007,'Zoho Dump'!$N$8:$N$3007,$B117,'Zoho Dump'!$P$8:$P$3007,Settings!$A$13)+SUMIFS(Adjustments!$K$8:$K$207,Adjustments!$B$8:$B$207,$B117,Adjustments!$A$8:$A$207,Settings!$A$13))</f>
        <v>0</v>
      </c>
      <c r="M117" s="17" t="n">
        <f aca="false">IF($B117="",0,SUMIFS('Zoho Dump'!$X$8:$X$3007,'Zoho Dump'!$N$8:$N$3007,$B117,'Zoho Dump'!$P$8:$P$3007,Settings!$A$14)+SUMIFS(Adjustments!$K$8:$K$207,Adjustments!$B$8:$B$207,$B117,Adjustments!$A$8:$A$207,Settings!$A$14))</f>
        <v>0</v>
      </c>
      <c r="N117" s="17" t="n">
        <f aca="false">IF($B117="",0,SUMIFS('Zoho Dump'!$X$8:$X$3007,'Zoho Dump'!$N$8:$N$3007,$B117,'Zoho Dump'!$P$8:$P$3007,Settings!$A$15)+SUMIFS(Adjustments!$K$8:$K$207,Adjustments!$B$8:$B$207,$B117,Adjustments!$A$8:$A$207,Settings!$A$15))</f>
        <v>0</v>
      </c>
      <c r="O117" s="17" t="n">
        <f aca="false">IF($B117="",0,SUMIFS('Zoho Dump'!$X$8:$X$3007,'Zoho Dump'!$N$8:$N$3007,$B117,'Zoho Dump'!$P$8:$P$3007,Settings!$A$16)+SUMIFS(Adjustments!$K$8:$K$207,Adjustments!$B$8:$B$207,$B117,Adjustments!$A$8:$A$207,Settings!$A$16))</f>
        <v>0</v>
      </c>
      <c r="P117" s="17" t="n">
        <f aca="false">IF($B117="",0,SUMIFS('Zoho Dump'!$X$8:$X$3007,'Zoho Dump'!$N$8:$N$3007,$B117,'Zoho Dump'!$P$8:$P$3007,Settings!$A$17)+SUMIFS(Adjustments!$K$8:$K$207,Adjustments!$B$8:$B$207,$B117,Adjustments!$A$8:$A$207,Settings!$A$17))</f>
        <v>0</v>
      </c>
      <c r="Q117" s="17" t="n">
        <f aca="false">IF($B117="",0,SUMIFS('Zoho Dump'!$X$8:$X$3007,'Zoho Dump'!$N$8:$N$3007,$B117,'Zoho Dump'!$P$8:$P$3007,Settings!$A$18)+SUMIFS(Adjustments!$K$8:$K$207,Adjustments!$B$8:$B$207,$B117,Adjustments!$A$8:$A$207,Settings!$A$18))</f>
        <v>0</v>
      </c>
      <c r="R117" s="30" t="str">
        <f aca="false">IF(G117&gt;0,G117+A117/10000000,"")</f>
        <v/>
      </c>
    </row>
    <row r="118" customFormat="false" ht="15" hidden="false" customHeight="false" outlineLevel="0" collapsed="false">
      <c r="A118" s="9" t="n">
        <v>114</v>
      </c>
      <c r="B118" s="9" t="str">
        <f aca="false">IFERROR(INDEX('Zoho Dump'!$N$8:$N$3007,MATCH(A118,'Zoho Dump'!$AB$8:$AB$3007,0)),"")</f>
        <v>Attcorp</v>
      </c>
      <c r="C118" s="17" t="n">
        <f aca="false">IF($B118="",0,SUMIFS('Zoho Dump'!$Q$8:$Q$3007,'Zoho Dump'!$N$8:$N$3007,$B118,'Zoho Dump'!$T$8:$T$3007,"Delivered",'Zoho Dump'!$R$8:$R$3007,"&gt;="&amp;Settings!$B$4))</f>
        <v>0</v>
      </c>
      <c r="D118" s="17" t="n">
        <f aca="false">IF($B118="",0,SUMIFS('Zoho Dump'!$X$8:$X$3007,'Zoho Dump'!$N$8:$N$3007,$B118,'Zoho Dump'!$T$8:$T$3007,"Backlog")+SUMIFS(Adjustments!$K$8:$K$207,Adjustments!$B$8:$B$207,$B118,Adjustments!$H$8:$H$207,"Backlog"))</f>
        <v>0</v>
      </c>
      <c r="E118" s="17" t="n">
        <f aca="false">IF($B118="",0,SUMIFS('Zoho Dump'!$Y$8:$Y$3007,'Zoho Dump'!$N$8:$N$3007,$B118,'Zoho Dump'!$T$8:$T$3007,"Pipeline")+SUMIFS(Adjustments!$L$8:$L$207,Adjustments!$B$8:$B$207,$B118,Adjustments!$H$8:$H$207,"Pipeline")+SUMIFS('Zoho Dump'!$Y$8:$Y$3007,'Zoho Dump'!$N$8:$N$3007,$B118,'Zoho Dump'!$T$8:$T$3007,"Overdue")+SUMIFS(Adjustments!$L$8:$L$207,Adjustments!$B$8:$B$207,$B118,Adjustments!$H$8:$H$207,"Overdue"))</f>
        <v>0</v>
      </c>
      <c r="F118" s="17" t="n">
        <f aca="false">IF($B118="",0,SUMIFS('Zoho Dump'!$X$8:$X$3007,'Zoho Dump'!$N$8:$N$3007,$B118,'Zoho Dump'!$T$8:$T$3007,"Pipeline")+SUMIFS(Adjustments!$K$8:$K$207,Adjustments!$B$8:$B$207,$B118,Adjustments!$H$8:$H$207,"Pipeline")+SUMIFS('Zoho Dump'!$X$8:$X$3007,'Zoho Dump'!$N$8:$N$3007,$B118,'Zoho Dump'!$T$8:$T$3007,"Overdue")+SUMIFS(Adjustments!$K$8:$K$207,Adjustments!$B$8:$B$207,$B118,Adjustments!$H$8:$H$207,"Overdue"))</f>
        <v>0</v>
      </c>
      <c r="G118" s="17" t="n">
        <f aca="false">D118+F118</f>
        <v>0</v>
      </c>
      <c r="H118" s="18" t="n">
        <f aca="false">IF(SUM($G$5:$G$404)=0,0,G118/SUM($G$5:$G$404))</f>
        <v>0</v>
      </c>
      <c r="I118" s="17" t="n">
        <f aca="false">IF($B118="",0,SUMIFS('Zoho Dump'!$Q$8:$Q$3007,'Zoho Dump'!$N$8:$N$3007,$B118,'Zoho Dump'!$T$8:$T$3007,"Lost",'Zoho Dump'!$R$8:$R$3007,"&gt;="&amp;Settings!$B$4))</f>
        <v>0</v>
      </c>
      <c r="J118" s="9" t="str">
        <f aca="false">IF($B118="","",IF(COUNTIF(Dashboard!$C$13:$C$22,$B118)&gt;0,"Yes",""))</f>
        <v/>
      </c>
      <c r="K118" s="17" t="n">
        <f aca="false">IF($B118="",0,SUMIFS('Zoho Dump'!$X$8:$X$3007,'Zoho Dump'!$N$8:$N$3007,$B118,'Zoho Dump'!$P$8:$P$3007,Settings!$A$12)+SUMIFS(Adjustments!$K$8:$K$207,Adjustments!$B$8:$B$207,$B118,Adjustments!$A$8:$A$207,Settings!$A$12))</f>
        <v>0</v>
      </c>
      <c r="L118" s="17" t="n">
        <f aca="false">IF($B118="",0,SUMIFS('Zoho Dump'!$X$8:$X$3007,'Zoho Dump'!$N$8:$N$3007,$B118,'Zoho Dump'!$P$8:$P$3007,Settings!$A$13)+SUMIFS(Adjustments!$K$8:$K$207,Adjustments!$B$8:$B$207,$B118,Adjustments!$A$8:$A$207,Settings!$A$13))</f>
        <v>0</v>
      </c>
      <c r="M118" s="17" t="n">
        <f aca="false">IF($B118="",0,SUMIFS('Zoho Dump'!$X$8:$X$3007,'Zoho Dump'!$N$8:$N$3007,$B118,'Zoho Dump'!$P$8:$P$3007,Settings!$A$14)+SUMIFS(Adjustments!$K$8:$K$207,Adjustments!$B$8:$B$207,$B118,Adjustments!$A$8:$A$207,Settings!$A$14))</f>
        <v>0</v>
      </c>
      <c r="N118" s="17" t="n">
        <f aca="false">IF($B118="",0,SUMIFS('Zoho Dump'!$X$8:$X$3007,'Zoho Dump'!$N$8:$N$3007,$B118,'Zoho Dump'!$P$8:$P$3007,Settings!$A$15)+SUMIFS(Adjustments!$K$8:$K$207,Adjustments!$B$8:$B$207,$B118,Adjustments!$A$8:$A$207,Settings!$A$15))</f>
        <v>0</v>
      </c>
      <c r="O118" s="17" t="n">
        <f aca="false">IF($B118="",0,SUMIFS('Zoho Dump'!$X$8:$X$3007,'Zoho Dump'!$N$8:$N$3007,$B118,'Zoho Dump'!$P$8:$P$3007,Settings!$A$16)+SUMIFS(Adjustments!$K$8:$K$207,Adjustments!$B$8:$B$207,$B118,Adjustments!$A$8:$A$207,Settings!$A$16))</f>
        <v>0</v>
      </c>
      <c r="P118" s="17" t="n">
        <f aca="false">IF($B118="",0,SUMIFS('Zoho Dump'!$X$8:$X$3007,'Zoho Dump'!$N$8:$N$3007,$B118,'Zoho Dump'!$P$8:$P$3007,Settings!$A$17)+SUMIFS(Adjustments!$K$8:$K$207,Adjustments!$B$8:$B$207,$B118,Adjustments!$A$8:$A$207,Settings!$A$17))</f>
        <v>0</v>
      </c>
      <c r="Q118" s="17" t="n">
        <f aca="false">IF($B118="",0,SUMIFS('Zoho Dump'!$X$8:$X$3007,'Zoho Dump'!$N$8:$N$3007,$B118,'Zoho Dump'!$P$8:$P$3007,Settings!$A$18)+SUMIFS(Adjustments!$K$8:$K$207,Adjustments!$B$8:$B$207,$B118,Adjustments!$A$8:$A$207,Settings!$A$18))</f>
        <v>0</v>
      </c>
      <c r="R118" s="30" t="str">
        <f aca="false">IF(G118&gt;0,G118+A118/10000000,"")</f>
        <v/>
      </c>
    </row>
    <row r="119" customFormat="false" ht="15" hidden="false" customHeight="false" outlineLevel="0" collapsed="false">
      <c r="A119" s="9" t="n">
        <v>115</v>
      </c>
      <c r="B119" s="9" t="str">
        <f aca="false">IFERROR(INDEX('Zoho Dump'!$N$8:$N$3007,MATCH(A119,'Zoho Dump'!$AB$8:$AB$3007,0)),"")</f>
        <v>Ingenia Communities Group</v>
      </c>
      <c r="C119" s="17" t="n">
        <f aca="false">IF($B119="",0,SUMIFS('Zoho Dump'!$Q$8:$Q$3007,'Zoho Dump'!$N$8:$N$3007,$B119,'Zoho Dump'!$T$8:$T$3007,"Delivered",'Zoho Dump'!$R$8:$R$3007,"&gt;="&amp;Settings!$B$4))</f>
        <v>0</v>
      </c>
      <c r="D119" s="17" t="n">
        <f aca="false">IF($B119="",0,SUMIFS('Zoho Dump'!$X$8:$X$3007,'Zoho Dump'!$N$8:$N$3007,$B119,'Zoho Dump'!$T$8:$T$3007,"Backlog")+SUMIFS(Adjustments!$K$8:$K$207,Adjustments!$B$8:$B$207,$B119,Adjustments!$H$8:$H$207,"Backlog"))</f>
        <v>0</v>
      </c>
      <c r="E119" s="17" t="n">
        <f aca="false">IF($B119="",0,SUMIFS('Zoho Dump'!$Y$8:$Y$3007,'Zoho Dump'!$N$8:$N$3007,$B119,'Zoho Dump'!$T$8:$T$3007,"Pipeline")+SUMIFS(Adjustments!$L$8:$L$207,Adjustments!$B$8:$B$207,$B119,Adjustments!$H$8:$H$207,"Pipeline")+SUMIFS('Zoho Dump'!$Y$8:$Y$3007,'Zoho Dump'!$N$8:$N$3007,$B119,'Zoho Dump'!$T$8:$T$3007,"Overdue")+SUMIFS(Adjustments!$L$8:$L$207,Adjustments!$B$8:$B$207,$B119,Adjustments!$H$8:$H$207,"Overdue"))</f>
        <v>0</v>
      </c>
      <c r="F119" s="17" t="n">
        <f aca="false">IF($B119="",0,SUMIFS('Zoho Dump'!$X$8:$X$3007,'Zoho Dump'!$N$8:$N$3007,$B119,'Zoho Dump'!$T$8:$T$3007,"Pipeline")+SUMIFS(Adjustments!$K$8:$K$207,Adjustments!$B$8:$B$207,$B119,Adjustments!$H$8:$H$207,"Pipeline")+SUMIFS('Zoho Dump'!$X$8:$X$3007,'Zoho Dump'!$N$8:$N$3007,$B119,'Zoho Dump'!$T$8:$T$3007,"Overdue")+SUMIFS(Adjustments!$K$8:$K$207,Adjustments!$B$8:$B$207,$B119,Adjustments!$H$8:$H$207,"Overdue"))</f>
        <v>0</v>
      </c>
      <c r="G119" s="17" t="n">
        <f aca="false">D119+F119</f>
        <v>0</v>
      </c>
      <c r="H119" s="18" t="n">
        <f aca="false">IF(SUM($G$5:$G$404)=0,0,G119/SUM($G$5:$G$404))</f>
        <v>0</v>
      </c>
      <c r="I119" s="17" t="n">
        <f aca="false">IF($B119="",0,SUMIFS('Zoho Dump'!$Q$8:$Q$3007,'Zoho Dump'!$N$8:$N$3007,$B119,'Zoho Dump'!$T$8:$T$3007,"Lost",'Zoho Dump'!$R$8:$R$3007,"&gt;="&amp;Settings!$B$4))</f>
        <v>9071</v>
      </c>
      <c r="J119" s="9" t="str">
        <f aca="false">IF($B119="","",IF(COUNTIF(Dashboard!$C$13:$C$22,$B119)&gt;0,"Yes",""))</f>
        <v/>
      </c>
      <c r="K119" s="17" t="n">
        <f aca="false">IF($B119="",0,SUMIFS('Zoho Dump'!$X$8:$X$3007,'Zoho Dump'!$N$8:$N$3007,$B119,'Zoho Dump'!$P$8:$P$3007,Settings!$A$12)+SUMIFS(Adjustments!$K$8:$K$207,Adjustments!$B$8:$B$207,$B119,Adjustments!$A$8:$A$207,Settings!$A$12))</f>
        <v>0</v>
      </c>
      <c r="L119" s="17" t="n">
        <f aca="false">IF($B119="",0,SUMIFS('Zoho Dump'!$X$8:$X$3007,'Zoho Dump'!$N$8:$N$3007,$B119,'Zoho Dump'!$P$8:$P$3007,Settings!$A$13)+SUMIFS(Adjustments!$K$8:$K$207,Adjustments!$B$8:$B$207,$B119,Adjustments!$A$8:$A$207,Settings!$A$13))</f>
        <v>0</v>
      </c>
      <c r="M119" s="17" t="n">
        <f aca="false">IF($B119="",0,SUMIFS('Zoho Dump'!$X$8:$X$3007,'Zoho Dump'!$N$8:$N$3007,$B119,'Zoho Dump'!$P$8:$P$3007,Settings!$A$14)+SUMIFS(Adjustments!$K$8:$K$207,Adjustments!$B$8:$B$207,$B119,Adjustments!$A$8:$A$207,Settings!$A$14))</f>
        <v>0</v>
      </c>
      <c r="N119" s="17" t="n">
        <f aca="false">IF($B119="",0,SUMIFS('Zoho Dump'!$X$8:$X$3007,'Zoho Dump'!$N$8:$N$3007,$B119,'Zoho Dump'!$P$8:$P$3007,Settings!$A$15)+SUMIFS(Adjustments!$K$8:$K$207,Adjustments!$B$8:$B$207,$B119,Adjustments!$A$8:$A$207,Settings!$A$15))</f>
        <v>0</v>
      </c>
      <c r="O119" s="17" t="n">
        <f aca="false">IF($B119="",0,SUMIFS('Zoho Dump'!$X$8:$X$3007,'Zoho Dump'!$N$8:$N$3007,$B119,'Zoho Dump'!$P$8:$P$3007,Settings!$A$16)+SUMIFS(Adjustments!$K$8:$K$207,Adjustments!$B$8:$B$207,$B119,Adjustments!$A$8:$A$207,Settings!$A$16))</f>
        <v>0</v>
      </c>
      <c r="P119" s="17" t="n">
        <f aca="false">IF($B119="",0,SUMIFS('Zoho Dump'!$X$8:$X$3007,'Zoho Dump'!$N$8:$N$3007,$B119,'Zoho Dump'!$P$8:$P$3007,Settings!$A$17)+SUMIFS(Adjustments!$K$8:$K$207,Adjustments!$B$8:$B$207,$B119,Adjustments!$A$8:$A$207,Settings!$A$17))</f>
        <v>0</v>
      </c>
      <c r="Q119" s="17" t="n">
        <f aca="false">IF($B119="",0,SUMIFS('Zoho Dump'!$X$8:$X$3007,'Zoho Dump'!$N$8:$N$3007,$B119,'Zoho Dump'!$P$8:$P$3007,Settings!$A$18)+SUMIFS(Adjustments!$K$8:$K$207,Adjustments!$B$8:$B$207,$B119,Adjustments!$A$8:$A$207,Settings!$A$18))</f>
        <v>0</v>
      </c>
      <c r="R119" s="30" t="str">
        <f aca="false">IF(G119&gt;0,G119+A119/10000000,"")</f>
        <v/>
      </c>
    </row>
    <row r="120" customFormat="false" ht="15" hidden="false" customHeight="false" outlineLevel="0" collapsed="false">
      <c r="A120" s="9" t="n">
        <v>116</v>
      </c>
      <c r="B120" s="9" t="str">
        <f aca="false">IFERROR(INDEX('Zoho Dump'!$N$8:$N$3007,MATCH(A120,'Zoho Dump'!$AB$8:$AB$3007,0)),"")</f>
        <v>Architectus</v>
      </c>
      <c r="C120" s="17" t="n">
        <f aca="false">IF($B120="",0,SUMIFS('Zoho Dump'!$Q$8:$Q$3007,'Zoho Dump'!$N$8:$N$3007,$B120,'Zoho Dump'!$T$8:$T$3007,"Delivered",'Zoho Dump'!$R$8:$R$3007,"&gt;="&amp;Settings!$B$4))</f>
        <v>0</v>
      </c>
      <c r="D120" s="17" t="n">
        <f aca="false">IF($B120="",0,SUMIFS('Zoho Dump'!$X$8:$X$3007,'Zoho Dump'!$N$8:$N$3007,$B120,'Zoho Dump'!$T$8:$T$3007,"Backlog")+SUMIFS(Adjustments!$K$8:$K$207,Adjustments!$B$8:$B$207,$B120,Adjustments!$H$8:$H$207,"Backlog"))</f>
        <v>0</v>
      </c>
      <c r="E120" s="17" t="n">
        <f aca="false">IF($B120="",0,SUMIFS('Zoho Dump'!$Y$8:$Y$3007,'Zoho Dump'!$N$8:$N$3007,$B120,'Zoho Dump'!$T$8:$T$3007,"Pipeline")+SUMIFS(Adjustments!$L$8:$L$207,Adjustments!$B$8:$B$207,$B120,Adjustments!$H$8:$H$207,"Pipeline")+SUMIFS('Zoho Dump'!$Y$8:$Y$3007,'Zoho Dump'!$N$8:$N$3007,$B120,'Zoho Dump'!$T$8:$T$3007,"Overdue")+SUMIFS(Adjustments!$L$8:$L$207,Adjustments!$B$8:$B$207,$B120,Adjustments!$H$8:$H$207,"Overdue"))</f>
        <v>0</v>
      </c>
      <c r="F120" s="17" t="n">
        <f aca="false">IF($B120="",0,SUMIFS('Zoho Dump'!$X$8:$X$3007,'Zoho Dump'!$N$8:$N$3007,$B120,'Zoho Dump'!$T$8:$T$3007,"Pipeline")+SUMIFS(Adjustments!$K$8:$K$207,Adjustments!$B$8:$B$207,$B120,Adjustments!$H$8:$H$207,"Pipeline")+SUMIFS('Zoho Dump'!$X$8:$X$3007,'Zoho Dump'!$N$8:$N$3007,$B120,'Zoho Dump'!$T$8:$T$3007,"Overdue")+SUMIFS(Adjustments!$K$8:$K$207,Adjustments!$B$8:$B$207,$B120,Adjustments!$H$8:$H$207,"Overdue"))</f>
        <v>0</v>
      </c>
      <c r="G120" s="17" t="n">
        <f aca="false">D120+F120</f>
        <v>0</v>
      </c>
      <c r="H120" s="18" t="n">
        <f aca="false">IF(SUM($G$5:$G$404)=0,0,G120/SUM($G$5:$G$404))</f>
        <v>0</v>
      </c>
      <c r="I120" s="17" t="n">
        <f aca="false">IF($B120="",0,SUMIFS('Zoho Dump'!$Q$8:$Q$3007,'Zoho Dump'!$N$8:$N$3007,$B120,'Zoho Dump'!$T$8:$T$3007,"Lost",'Zoho Dump'!$R$8:$R$3007,"&gt;="&amp;Settings!$B$4))</f>
        <v>7540</v>
      </c>
      <c r="J120" s="9" t="str">
        <f aca="false">IF($B120="","",IF(COUNTIF(Dashboard!$C$13:$C$22,$B120)&gt;0,"Yes",""))</f>
        <v/>
      </c>
      <c r="K120" s="17" t="n">
        <f aca="false">IF($B120="",0,SUMIFS('Zoho Dump'!$X$8:$X$3007,'Zoho Dump'!$N$8:$N$3007,$B120,'Zoho Dump'!$P$8:$P$3007,Settings!$A$12)+SUMIFS(Adjustments!$K$8:$K$207,Adjustments!$B$8:$B$207,$B120,Adjustments!$A$8:$A$207,Settings!$A$12))</f>
        <v>0</v>
      </c>
      <c r="L120" s="17" t="n">
        <f aca="false">IF($B120="",0,SUMIFS('Zoho Dump'!$X$8:$X$3007,'Zoho Dump'!$N$8:$N$3007,$B120,'Zoho Dump'!$P$8:$P$3007,Settings!$A$13)+SUMIFS(Adjustments!$K$8:$K$207,Adjustments!$B$8:$B$207,$B120,Adjustments!$A$8:$A$207,Settings!$A$13))</f>
        <v>0</v>
      </c>
      <c r="M120" s="17" t="n">
        <f aca="false">IF($B120="",0,SUMIFS('Zoho Dump'!$X$8:$X$3007,'Zoho Dump'!$N$8:$N$3007,$B120,'Zoho Dump'!$P$8:$P$3007,Settings!$A$14)+SUMIFS(Adjustments!$K$8:$K$207,Adjustments!$B$8:$B$207,$B120,Adjustments!$A$8:$A$207,Settings!$A$14))</f>
        <v>0</v>
      </c>
      <c r="N120" s="17" t="n">
        <f aca="false">IF($B120="",0,SUMIFS('Zoho Dump'!$X$8:$X$3007,'Zoho Dump'!$N$8:$N$3007,$B120,'Zoho Dump'!$P$8:$P$3007,Settings!$A$15)+SUMIFS(Adjustments!$K$8:$K$207,Adjustments!$B$8:$B$207,$B120,Adjustments!$A$8:$A$207,Settings!$A$15))</f>
        <v>0</v>
      </c>
      <c r="O120" s="17" t="n">
        <f aca="false">IF($B120="",0,SUMIFS('Zoho Dump'!$X$8:$X$3007,'Zoho Dump'!$N$8:$N$3007,$B120,'Zoho Dump'!$P$8:$P$3007,Settings!$A$16)+SUMIFS(Adjustments!$K$8:$K$207,Adjustments!$B$8:$B$207,$B120,Adjustments!$A$8:$A$207,Settings!$A$16))</f>
        <v>0</v>
      </c>
      <c r="P120" s="17" t="n">
        <f aca="false">IF($B120="",0,SUMIFS('Zoho Dump'!$X$8:$X$3007,'Zoho Dump'!$N$8:$N$3007,$B120,'Zoho Dump'!$P$8:$P$3007,Settings!$A$17)+SUMIFS(Adjustments!$K$8:$K$207,Adjustments!$B$8:$B$207,$B120,Adjustments!$A$8:$A$207,Settings!$A$17))</f>
        <v>0</v>
      </c>
      <c r="Q120" s="17" t="n">
        <f aca="false">IF($B120="",0,SUMIFS('Zoho Dump'!$X$8:$X$3007,'Zoho Dump'!$N$8:$N$3007,$B120,'Zoho Dump'!$P$8:$P$3007,Settings!$A$18)+SUMIFS(Adjustments!$K$8:$K$207,Adjustments!$B$8:$B$207,$B120,Adjustments!$A$8:$A$207,Settings!$A$18))</f>
        <v>0</v>
      </c>
      <c r="R120" s="30" t="str">
        <f aca="false">IF(G120&gt;0,G120+A120/10000000,"")</f>
        <v/>
      </c>
    </row>
    <row r="121" customFormat="false" ht="15" hidden="false" customHeight="false" outlineLevel="0" collapsed="false">
      <c r="A121" s="9" t="n">
        <v>117</v>
      </c>
      <c r="B121" s="9" t="str">
        <f aca="false">IFERROR(INDEX('Zoho Dump'!$N$8:$N$3007,MATCH(A121,'Zoho Dump'!$AB$8:$AB$3007,0)),"")</f>
        <v>Capital-e</v>
      </c>
      <c r="C121" s="17" t="n">
        <f aca="false">IF($B121="",0,SUMIFS('Zoho Dump'!$Q$8:$Q$3007,'Zoho Dump'!$N$8:$N$3007,$B121,'Zoho Dump'!$T$8:$T$3007,"Delivered",'Zoho Dump'!$R$8:$R$3007,"&gt;="&amp;Settings!$B$4))</f>
        <v>0</v>
      </c>
      <c r="D121" s="17" t="n">
        <f aca="false">IF($B121="",0,SUMIFS('Zoho Dump'!$X$8:$X$3007,'Zoho Dump'!$N$8:$N$3007,$B121,'Zoho Dump'!$T$8:$T$3007,"Backlog")+SUMIFS(Adjustments!$K$8:$K$207,Adjustments!$B$8:$B$207,$B121,Adjustments!$H$8:$H$207,"Backlog"))</f>
        <v>0</v>
      </c>
      <c r="E121" s="17" t="n">
        <f aca="false">IF($B121="",0,SUMIFS('Zoho Dump'!$Y$8:$Y$3007,'Zoho Dump'!$N$8:$N$3007,$B121,'Zoho Dump'!$T$8:$T$3007,"Pipeline")+SUMIFS(Adjustments!$L$8:$L$207,Adjustments!$B$8:$B$207,$B121,Adjustments!$H$8:$H$207,"Pipeline")+SUMIFS('Zoho Dump'!$Y$8:$Y$3007,'Zoho Dump'!$N$8:$N$3007,$B121,'Zoho Dump'!$T$8:$T$3007,"Overdue")+SUMIFS(Adjustments!$L$8:$L$207,Adjustments!$B$8:$B$207,$B121,Adjustments!$H$8:$H$207,"Overdue"))</f>
        <v>0</v>
      </c>
      <c r="F121" s="17" t="n">
        <f aca="false">IF($B121="",0,SUMIFS('Zoho Dump'!$X$8:$X$3007,'Zoho Dump'!$N$8:$N$3007,$B121,'Zoho Dump'!$T$8:$T$3007,"Pipeline")+SUMIFS(Adjustments!$K$8:$K$207,Adjustments!$B$8:$B$207,$B121,Adjustments!$H$8:$H$207,"Pipeline")+SUMIFS('Zoho Dump'!$X$8:$X$3007,'Zoho Dump'!$N$8:$N$3007,$B121,'Zoho Dump'!$T$8:$T$3007,"Overdue")+SUMIFS(Adjustments!$K$8:$K$207,Adjustments!$B$8:$B$207,$B121,Adjustments!$H$8:$H$207,"Overdue"))</f>
        <v>0</v>
      </c>
      <c r="G121" s="17" t="n">
        <f aca="false">D121+F121</f>
        <v>0</v>
      </c>
      <c r="H121" s="18" t="n">
        <f aca="false">IF(SUM($G$5:$G$404)=0,0,G121/SUM($G$5:$G$404))</f>
        <v>0</v>
      </c>
      <c r="I121" s="17" t="n">
        <f aca="false">IF($B121="",0,SUMIFS('Zoho Dump'!$Q$8:$Q$3007,'Zoho Dump'!$N$8:$N$3007,$B121,'Zoho Dump'!$T$8:$T$3007,"Lost",'Zoho Dump'!$R$8:$R$3007,"&gt;="&amp;Settings!$B$4))</f>
        <v>1800</v>
      </c>
      <c r="J121" s="9" t="str">
        <f aca="false">IF($B121="","",IF(COUNTIF(Dashboard!$C$13:$C$22,$B121)&gt;0,"Yes",""))</f>
        <v/>
      </c>
      <c r="K121" s="17" t="n">
        <f aca="false">IF($B121="",0,SUMIFS('Zoho Dump'!$X$8:$X$3007,'Zoho Dump'!$N$8:$N$3007,$B121,'Zoho Dump'!$P$8:$P$3007,Settings!$A$12)+SUMIFS(Adjustments!$K$8:$K$207,Adjustments!$B$8:$B$207,$B121,Adjustments!$A$8:$A$207,Settings!$A$12))</f>
        <v>0</v>
      </c>
      <c r="L121" s="17" t="n">
        <f aca="false">IF($B121="",0,SUMIFS('Zoho Dump'!$X$8:$X$3007,'Zoho Dump'!$N$8:$N$3007,$B121,'Zoho Dump'!$P$8:$P$3007,Settings!$A$13)+SUMIFS(Adjustments!$K$8:$K$207,Adjustments!$B$8:$B$207,$B121,Adjustments!$A$8:$A$207,Settings!$A$13))</f>
        <v>0</v>
      </c>
      <c r="M121" s="17" t="n">
        <f aca="false">IF($B121="",0,SUMIFS('Zoho Dump'!$X$8:$X$3007,'Zoho Dump'!$N$8:$N$3007,$B121,'Zoho Dump'!$P$8:$P$3007,Settings!$A$14)+SUMIFS(Adjustments!$K$8:$K$207,Adjustments!$B$8:$B$207,$B121,Adjustments!$A$8:$A$207,Settings!$A$14))</f>
        <v>0</v>
      </c>
      <c r="N121" s="17" t="n">
        <f aca="false">IF($B121="",0,SUMIFS('Zoho Dump'!$X$8:$X$3007,'Zoho Dump'!$N$8:$N$3007,$B121,'Zoho Dump'!$P$8:$P$3007,Settings!$A$15)+SUMIFS(Adjustments!$K$8:$K$207,Adjustments!$B$8:$B$207,$B121,Adjustments!$A$8:$A$207,Settings!$A$15))</f>
        <v>0</v>
      </c>
      <c r="O121" s="17" t="n">
        <f aca="false">IF($B121="",0,SUMIFS('Zoho Dump'!$X$8:$X$3007,'Zoho Dump'!$N$8:$N$3007,$B121,'Zoho Dump'!$P$8:$P$3007,Settings!$A$16)+SUMIFS(Adjustments!$K$8:$K$207,Adjustments!$B$8:$B$207,$B121,Adjustments!$A$8:$A$207,Settings!$A$16))</f>
        <v>0</v>
      </c>
      <c r="P121" s="17" t="n">
        <f aca="false">IF($B121="",0,SUMIFS('Zoho Dump'!$X$8:$X$3007,'Zoho Dump'!$N$8:$N$3007,$B121,'Zoho Dump'!$P$8:$P$3007,Settings!$A$17)+SUMIFS(Adjustments!$K$8:$K$207,Adjustments!$B$8:$B$207,$B121,Adjustments!$A$8:$A$207,Settings!$A$17))</f>
        <v>0</v>
      </c>
      <c r="Q121" s="17" t="n">
        <f aca="false">IF($B121="",0,SUMIFS('Zoho Dump'!$X$8:$X$3007,'Zoho Dump'!$N$8:$N$3007,$B121,'Zoho Dump'!$P$8:$P$3007,Settings!$A$18)+SUMIFS(Adjustments!$K$8:$K$207,Adjustments!$B$8:$B$207,$B121,Adjustments!$A$8:$A$207,Settings!$A$18))</f>
        <v>0</v>
      </c>
      <c r="R121" s="30" t="str">
        <f aca="false">IF(G121&gt;0,G121+A121/10000000,"")</f>
        <v/>
      </c>
    </row>
    <row r="122" customFormat="false" ht="15" hidden="false" customHeight="false" outlineLevel="0" collapsed="false">
      <c r="A122" s="9" t="n">
        <v>118</v>
      </c>
      <c r="B122" s="9" t="str">
        <f aca="false">IFERROR(INDEX('Zoho Dump'!$N$8:$N$3007,MATCH(A122,'Zoho Dump'!$AB$8:$AB$3007,0)),"")</f>
        <v>Columbo Stock Exchange</v>
      </c>
      <c r="C122" s="17" t="n">
        <f aca="false">IF($B122="",0,SUMIFS('Zoho Dump'!$Q$8:$Q$3007,'Zoho Dump'!$N$8:$N$3007,$B122,'Zoho Dump'!$T$8:$T$3007,"Delivered",'Zoho Dump'!$R$8:$R$3007,"&gt;="&amp;Settings!$B$4))</f>
        <v>0</v>
      </c>
      <c r="D122" s="17" t="n">
        <f aca="false">IF($B122="",0,SUMIFS('Zoho Dump'!$X$8:$X$3007,'Zoho Dump'!$N$8:$N$3007,$B122,'Zoho Dump'!$T$8:$T$3007,"Backlog")+SUMIFS(Adjustments!$K$8:$K$207,Adjustments!$B$8:$B$207,$B122,Adjustments!$H$8:$H$207,"Backlog"))</f>
        <v>0</v>
      </c>
      <c r="E122" s="17" t="n">
        <f aca="false">IF($B122="",0,SUMIFS('Zoho Dump'!$Y$8:$Y$3007,'Zoho Dump'!$N$8:$N$3007,$B122,'Zoho Dump'!$T$8:$T$3007,"Pipeline")+SUMIFS(Adjustments!$L$8:$L$207,Adjustments!$B$8:$B$207,$B122,Adjustments!$H$8:$H$207,"Pipeline")+SUMIFS('Zoho Dump'!$Y$8:$Y$3007,'Zoho Dump'!$N$8:$N$3007,$B122,'Zoho Dump'!$T$8:$T$3007,"Overdue")+SUMIFS(Adjustments!$L$8:$L$207,Adjustments!$B$8:$B$207,$B122,Adjustments!$H$8:$H$207,"Overdue"))</f>
        <v>0</v>
      </c>
      <c r="F122" s="17" t="n">
        <f aca="false">IF($B122="",0,SUMIFS('Zoho Dump'!$X$8:$X$3007,'Zoho Dump'!$N$8:$N$3007,$B122,'Zoho Dump'!$T$8:$T$3007,"Pipeline")+SUMIFS(Adjustments!$K$8:$K$207,Adjustments!$B$8:$B$207,$B122,Adjustments!$H$8:$H$207,"Pipeline")+SUMIFS('Zoho Dump'!$X$8:$X$3007,'Zoho Dump'!$N$8:$N$3007,$B122,'Zoho Dump'!$T$8:$T$3007,"Overdue")+SUMIFS(Adjustments!$K$8:$K$207,Adjustments!$B$8:$B$207,$B122,Adjustments!$H$8:$H$207,"Overdue"))</f>
        <v>0</v>
      </c>
      <c r="G122" s="17" t="n">
        <f aca="false">D122+F122</f>
        <v>0</v>
      </c>
      <c r="H122" s="18" t="n">
        <f aca="false">IF(SUM($G$5:$G$404)=0,0,G122/SUM($G$5:$G$404))</f>
        <v>0</v>
      </c>
      <c r="I122" s="17" t="n">
        <f aca="false">IF($B122="",0,SUMIFS('Zoho Dump'!$Q$8:$Q$3007,'Zoho Dump'!$N$8:$N$3007,$B122,'Zoho Dump'!$T$8:$T$3007,"Lost",'Zoho Dump'!$R$8:$R$3007,"&gt;="&amp;Settings!$B$4))</f>
        <v>31000</v>
      </c>
      <c r="J122" s="9" t="str">
        <f aca="false">IF($B122="","",IF(COUNTIF(Dashboard!$C$13:$C$22,$B122)&gt;0,"Yes",""))</f>
        <v/>
      </c>
      <c r="K122" s="17" t="n">
        <f aca="false">IF($B122="",0,SUMIFS('Zoho Dump'!$X$8:$X$3007,'Zoho Dump'!$N$8:$N$3007,$B122,'Zoho Dump'!$P$8:$P$3007,Settings!$A$12)+SUMIFS(Adjustments!$K$8:$K$207,Adjustments!$B$8:$B$207,$B122,Adjustments!$A$8:$A$207,Settings!$A$12))</f>
        <v>0</v>
      </c>
      <c r="L122" s="17" t="n">
        <f aca="false">IF($B122="",0,SUMIFS('Zoho Dump'!$X$8:$X$3007,'Zoho Dump'!$N$8:$N$3007,$B122,'Zoho Dump'!$P$8:$P$3007,Settings!$A$13)+SUMIFS(Adjustments!$K$8:$K$207,Adjustments!$B$8:$B$207,$B122,Adjustments!$A$8:$A$207,Settings!$A$13))</f>
        <v>0</v>
      </c>
      <c r="M122" s="17" t="n">
        <f aca="false">IF($B122="",0,SUMIFS('Zoho Dump'!$X$8:$X$3007,'Zoho Dump'!$N$8:$N$3007,$B122,'Zoho Dump'!$P$8:$P$3007,Settings!$A$14)+SUMIFS(Adjustments!$K$8:$K$207,Adjustments!$B$8:$B$207,$B122,Adjustments!$A$8:$A$207,Settings!$A$14))</f>
        <v>0</v>
      </c>
      <c r="N122" s="17" t="n">
        <f aca="false">IF($B122="",0,SUMIFS('Zoho Dump'!$X$8:$X$3007,'Zoho Dump'!$N$8:$N$3007,$B122,'Zoho Dump'!$P$8:$P$3007,Settings!$A$15)+SUMIFS(Adjustments!$K$8:$K$207,Adjustments!$B$8:$B$207,$B122,Adjustments!$A$8:$A$207,Settings!$A$15))</f>
        <v>0</v>
      </c>
      <c r="O122" s="17" t="n">
        <f aca="false">IF($B122="",0,SUMIFS('Zoho Dump'!$X$8:$X$3007,'Zoho Dump'!$N$8:$N$3007,$B122,'Zoho Dump'!$P$8:$P$3007,Settings!$A$16)+SUMIFS(Adjustments!$K$8:$K$207,Adjustments!$B$8:$B$207,$B122,Adjustments!$A$8:$A$207,Settings!$A$16))</f>
        <v>0</v>
      </c>
      <c r="P122" s="17" t="n">
        <f aca="false">IF($B122="",0,SUMIFS('Zoho Dump'!$X$8:$X$3007,'Zoho Dump'!$N$8:$N$3007,$B122,'Zoho Dump'!$P$8:$P$3007,Settings!$A$17)+SUMIFS(Adjustments!$K$8:$K$207,Adjustments!$B$8:$B$207,$B122,Adjustments!$A$8:$A$207,Settings!$A$17))</f>
        <v>0</v>
      </c>
      <c r="Q122" s="17" t="n">
        <f aca="false">IF($B122="",0,SUMIFS('Zoho Dump'!$X$8:$X$3007,'Zoho Dump'!$N$8:$N$3007,$B122,'Zoho Dump'!$P$8:$P$3007,Settings!$A$18)+SUMIFS(Adjustments!$K$8:$K$207,Adjustments!$B$8:$B$207,$B122,Adjustments!$A$8:$A$207,Settings!$A$18))</f>
        <v>0</v>
      </c>
      <c r="R122" s="30" t="str">
        <f aca="false">IF(G122&gt;0,G122+A122/10000000,"")</f>
        <v/>
      </c>
    </row>
    <row r="123" customFormat="false" ht="15" hidden="false" customHeight="false" outlineLevel="0" collapsed="false">
      <c r="A123" s="9" t="n">
        <v>119</v>
      </c>
      <c r="B123" s="9" t="str">
        <f aca="false">IFERROR(INDEX('Zoho Dump'!$N$8:$N$3007,MATCH(A123,'Zoho Dump'!$AB$8:$AB$3007,0)),"")</f>
        <v>TRANSGRID</v>
      </c>
      <c r="C123" s="17" t="n">
        <f aca="false">IF($B123="",0,SUMIFS('Zoho Dump'!$Q$8:$Q$3007,'Zoho Dump'!$N$8:$N$3007,$B123,'Zoho Dump'!$T$8:$T$3007,"Delivered",'Zoho Dump'!$R$8:$R$3007,"&gt;="&amp;Settings!$B$4))</f>
        <v>0</v>
      </c>
      <c r="D123" s="17" t="n">
        <f aca="false">IF($B123="",0,SUMIFS('Zoho Dump'!$X$8:$X$3007,'Zoho Dump'!$N$8:$N$3007,$B123,'Zoho Dump'!$T$8:$T$3007,"Backlog")+SUMIFS(Adjustments!$K$8:$K$207,Adjustments!$B$8:$B$207,$B123,Adjustments!$H$8:$H$207,"Backlog"))</f>
        <v>0</v>
      </c>
      <c r="E123" s="17" t="n">
        <f aca="false">IF($B123="",0,SUMIFS('Zoho Dump'!$Y$8:$Y$3007,'Zoho Dump'!$N$8:$N$3007,$B123,'Zoho Dump'!$T$8:$T$3007,"Pipeline")+SUMIFS(Adjustments!$L$8:$L$207,Adjustments!$B$8:$B$207,$B123,Adjustments!$H$8:$H$207,"Pipeline")+SUMIFS('Zoho Dump'!$Y$8:$Y$3007,'Zoho Dump'!$N$8:$N$3007,$B123,'Zoho Dump'!$T$8:$T$3007,"Overdue")+SUMIFS(Adjustments!$L$8:$L$207,Adjustments!$B$8:$B$207,$B123,Adjustments!$H$8:$H$207,"Overdue"))</f>
        <v>0</v>
      </c>
      <c r="F123" s="17" t="n">
        <f aca="false">IF($B123="",0,SUMIFS('Zoho Dump'!$X$8:$X$3007,'Zoho Dump'!$N$8:$N$3007,$B123,'Zoho Dump'!$T$8:$T$3007,"Pipeline")+SUMIFS(Adjustments!$K$8:$K$207,Adjustments!$B$8:$B$207,$B123,Adjustments!$H$8:$H$207,"Pipeline")+SUMIFS('Zoho Dump'!$X$8:$X$3007,'Zoho Dump'!$N$8:$N$3007,$B123,'Zoho Dump'!$T$8:$T$3007,"Overdue")+SUMIFS(Adjustments!$K$8:$K$207,Adjustments!$B$8:$B$207,$B123,Adjustments!$H$8:$H$207,"Overdue"))</f>
        <v>0</v>
      </c>
      <c r="G123" s="17" t="n">
        <f aca="false">D123+F123</f>
        <v>0</v>
      </c>
      <c r="H123" s="18" t="n">
        <f aca="false">IF(SUM($G$5:$G$404)=0,0,G123/SUM($G$5:$G$404))</f>
        <v>0</v>
      </c>
      <c r="I123" s="17" t="n">
        <f aca="false">IF($B123="",0,SUMIFS('Zoho Dump'!$Q$8:$Q$3007,'Zoho Dump'!$N$8:$N$3007,$B123,'Zoho Dump'!$T$8:$T$3007,"Lost",'Zoho Dump'!$R$8:$R$3007,"&gt;="&amp;Settings!$B$4))</f>
        <v>0</v>
      </c>
      <c r="J123" s="9" t="str">
        <f aca="false">IF($B123="","",IF(COUNTIF(Dashboard!$C$13:$C$22,$B123)&gt;0,"Yes",""))</f>
        <v/>
      </c>
      <c r="K123" s="17" t="n">
        <f aca="false">IF($B123="",0,SUMIFS('Zoho Dump'!$X$8:$X$3007,'Zoho Dump'!$N$8:$N$3007,$B123,'Zoho Dump'!$P$8:$P$3007,Settings!$A$12)+SUMIFS(Adjustments!$K$8:$K$207,Adjustments!$B$8:$B$207,$B123,Adjustments!$A$8:$A$207,Settings!$A$12))</f>
        <v>0</v>
      </c>
      <c r="L123" s="17" t="n">
        <f aca="false">IF($B123="",0,SUMIFS('Zoho Dump'!$X$8:$X$3007,'Zoho Dump'!$N$8:$N$3007,$B123,'Zoho Dump'!$P$8:$P$3007,Settings!$A$13)+SUMIFS(Adjustments!$K$8:$K$207,Adjustments!$B$8:$B$207,$B123,Adjustments!$A$8:$A$207,Settings!$A$13))</f>
        <v>0</v>
      </c>
      <c r="M123" s="17" t="n">
        <f aca="false">IF($B123="",0,SUMIFS('Zoho Dump'!$X$8:$X$3007,'Zoho Dump'!$N$8:$N$3007,$B123,'Zoho Dump'!$P$8:$P$3007,Settings!$A$14)+SUMIFS(Adjustments!$K$8:$K$207,Adjustments!$B$8:$B$207,$B123,Adjustments!$A$8:$A$207,Settings!$A$14))</f>
        <v>0</v>
      </c>
      <c r="N123" s="17" t="n">
        <f aca="false">IF($B123="",0,SUMIFS('Zoho Dump'!$X$8:$X$3007,'Zoho Dump'!$N$8:$N$3007,$B123,'Zoho Dump'!$P$8:$P$3007,Settings!$A$15)+SUMIFS(Adjustments!$K$8:$K$207,Adjustments!$B$8:$B$207,$B123,Adjustments!$A$8:$A$207,Settings!$A$15))</f>
        <v>0</v>
      </c>
      <c r="O123" s="17" t="n">
        <f aca="false">IF($B123="",0,SUMIFS('Zoho Dump'!$X$8:$X$3007,'Zoho Dump'!$N$8:$N$3007,$B123,'Zoho Dump'!$P$8:$P$3007,Settings!$A$16)+SUMIFS(Adjustments!$K$8:$K$207,Adjustments!$B$8:$B$207,$B123,Adjustments!$A$8:$A$207,Settings!$A$16))</f>
        <v>0</v>
      </c>
      <c r="P123" s="17" t="n">
        <f aca="false">IF($B123="",0,SUMIFS('Zoho Dump'!$X$8:$X$3007,'Zoho Dump'!$N$8:$N$3007,$B123,'Zoho Dump'!$P$8:$P$3007,Settings!$A$17)+SUMIFS(Adjustments!$K$8:$K$207,Adjustments!$B$8:$B$207,$B123,Adjustments!$A$8:$A$207,Settings!$A$17))</f>
        <v>0</v>
      </c>
      <c r="Q123" s="17" t="n">
        <f aca="false">IF($B123="",0,SUMIFS('Zoho Dump'!$X$8:$X$3007,'Zoho Dump'!$N$8:$N$3007,$B123,'Zoho Dump'!$P$8:$P$3007,Settings!$A$18)+SUMIFS(Adjustments!$K$8:$K$207,Adjustments!$B$8:$B$207,$B123,Adjustments!$A$8:$A$207,Settings!$A$18))</f>
        <v>0</v>
      </c>
      <c r="R123" s="30" t="str">
        <f aca="false">IF(G123&gt;0,G123+A123/10000000,"")</f>
        <v/>
      </c>
    </row>
    <row r="124" customFormat="false" ht="15" hidden="false" customHeight="false" outlineLevel="0" collapsed="false">
      <c r="A124" s="9" t="n">
        <v>120</v>
      </c>
      <c r="B124" s="9" t="str">
        <f aca="false">IFERROR(INDEX('Zoho Dump'!$N$8:$N$3007,MATCH(A124,'Zoho Dump'!$AB$8:$AB$3007,0)),"")</f>
        <v>Generate Property Group</v>
      </c>
      <c r="C124" s="17" t="n">
        <f aca="false">IF($B124="",0,SUMIFS('Zoho Dump'!$Q$8:$Q$3007,'Zoho Dump'!$N$8:$N$3007,$B124,'Zoho Dump'!$T$8:$T$3007,"Delivered",'Zoho Dump'!$R$8:$R$3007,"&gt;="&amp;Settings!$B$4))</f>
        <v>0</v>
      </c>
      <c r="D124" s="17" t="n">
        <f aca="false">IF($B124="",0,SUMIFS('Zoho Dump'!$X$8:$X$3007,'Zoho Dump'!$N$8:$N$3007,$B124,'Zoho Dump'!$T$8:$T$3007,"Backlog")+SUMIFS(Adjustments!$K$8:$K$207,Adjustments!$B$8:$B$207,$B124,Adjustments!$H$8:$H$207,"Backlog"))</f>
        <v>0</v>
      </c>
      <c r="E124" s="17" t="n">
        <f aca="false">IF($B124="",0,SUMIFS('Zoho Dump'!$Y$8:$Y$3007,'Zoho Dump'!$N$8:$N$3007,$B124,'Zoho Dump'!$T$8:$T$3007,"Pipeline")+SUMIFS(Adjustments!$L$8:$L$207,Adjustments!$B$8:$B$207,$B124,Adjustments!$H$8:$H$207,"Pipeline")+SUMIFS('Zoho Dump'!$Y$8:$Y$3007,'Zoho Dump'!$N$8:$N$3007,$B124,'Zoho Dump'!$T$8:$T$3007,"Overdue")+SUMIFS(Adjustments!$L$8:$L$207,Adjustments!$B$8:$B$207,$B124,Adjustments!$H$8:$H$207,"Overdue"))</f>
        <v>0</v>
      </c>
      <c r="F124" s="17" t="n">
        <f aca="false">IF($B124="",0,SUMIFS('Zoho Dump'!$X$8:$X$3007,'Zoho Dump'!$N$8:$N$3007,$B124,'Zoho Dump'!$T$8:$T$3007,"Pipeline")+SUMIFS(Adjustments!$K$8:$K$207,Adjustments!$B$8:$B$207,$B124,Adjustments!$H$8:$H$207,"Pipeline")+SUMIFS('Zoho Dump'!$X$8:$X$3007,'Zoho Dump'!$N$8:$N$3007,$B124,'Zoho Dump'!$T$8:$T$3007,"Overdue")+SUMIFS(Adjustments!$K$8:$K$207,Adjustments!$B$8:$B$207,$B124,Adjustments!$H$8:$H$207,"Overdue"))</f>
        <v>0</v>
      </c>
      <c r="G124" s="17" t="n">
        <f aca="false">D124+F124</f>
        <v>0</v>
      </c>
      <c r="H124" s="18" t="n">
        <f aca="false">IF(SUM($G$5:$G$404)=0,0,G124/SUM($G$5:$G$404))</f>
        <v>0</v>
      </c>
      <c r="I124" s="17" t="n">
        <f aca="false">IF($B124="",0,SUMIFS('Zoho Dump'!$Q$8:$Q$3007,'Zoho Dump'!$N$8:$N$3007,$B124,'Zoho Dump'!$T$8:$T$3007,"Lost",'Zoho Dump'!$R$8:$R$3007,"&gt;="&amp;Settings!$B$4))</f>
        <v>0</v>
      </c>
      <c r="J124" s="9" t="str">
        <f aca="false">IF($B124="","",IF(COUNTIF(Dashboard!$C$13:$C$22,$B124)&gt;0,"Yes",""))</f>
        <v/>
      </c>
      <c r="K124" s="17" t="n">
        <f aca="false">IF($B124="",0,SUMIFS('Zoho Dump'!$X$8:$X$3007,'Zoho Dump'!$N$8:$N$3007,$B124,'Zoho Dump'!$P$8:$P$3007,Settings!$A$12)+SUMIFS(Adjustments!$K$8:$K$207,Adjustments!$B$8:$B$207,$B124,Adjustments!$A$8:$A$207,Settings!$A$12))</f>
        <v>0</v>
      </c>
      <c r="L124" s="17" t="n">
        <f aca="false">IF($B124="",0,SUMIFS('Zoho Dump'!$X$8:$X$3007,'Zoho Dump'!$N$8:$N$3007,$B124,'Zoho Dump'!$P$8:$P$3007,Settings!$A$13)+SUMIFS(Adjustments!$K$8:$K$207,Adjustments!$B$8:$B$207,$B124,Adjustments!$A$8:$A$207,Settings!$A$13))</f>
        <v>0</v>
      </c>
      <c r="M124" s="17" t="n">
        <f aca="false">IF($B124="",0,SUMIFS('Zoho Dump'!$X$8:$X$3007,'Zoho Dump'!$N$8:$N$3007,$B124,'Zoho Dump'!$P$8:$P$3007,Settings!$A$14)+SUMIFS(Adjustments!$K$8:$K$207,Adjustments!$B$8:$B$207,$B124,Adjustments!$A$8:$A$207,Settings!$A$14))</f>
        <v>0</v>
      </c>
      <c r="N124" s="17" t="n">
        <f aca="false">IF($B124="",0,SUMIFS('Zoho Dump'!$X$8:$X$3007,'Zoho Dump'!$N$8:$N$3007,$B124,'Zoho Dump'!$P$8:$P$3007,Settings!$A$15)+SUMIFS(Adjustments!$K$8:$K$207,Adjustments!$B$8:$B$207,$B124,Adjustments!$A$8:$A$207,Settings!$A$15))</f>
        <v>0</v>
      </c>
      <c r="O124" s="17" t="n">
        <f aca="false">IF($B124="",0,SUMIFS('Zoho Dump'!$X$8:$X$3007,'Zoho Dump'!$N$8:$N$3007,$B124,'Zoho Dump'!$P$8:$P$3007,Settings!$A$16)+SUMIFS(Adjustments!$K$8:$K$207,Adjustments!$B$8:$B$207,$B124,Adjustments!$A$8:$A$207,Settings!$A$16))</f>
        <v>0</v>
      </c>
      <c r="P124" s="17" t="n">
        <f aca="false">IF($B124="",0,SUMIFS('Zoho Dump'!$X$8:$X$3007,'Zoho Dump'!$N$8:$N$3007,$B124,'Zoho Dump'!$P$8:$P$3007,Settings!$A$17)+SUMIFS(Adjustments!$K$8:$K$207,Adjustments!$B$8:$B$207,$B124,Adjustments!$A$8:$A$207,Settings!$A$17))</f>
        <v>0</v>
      </c>
      <c r="Q124" s="17" t="n">
        <f aca="false">IF($B124="",0,SUMIFS('Zoho Dump'!$X$8:$X$3007,'Zoho Dump'!$N$8:$N$3007,$B124,'Zoho Dump'!$P$8:$P$3007,Settings!$A$18)+SUMIFS(Adjustments!$K$8:$K$207,Adjustments!$B$8:$B$207,$B124,Adjustments!$A$8:$A$207,Settings!$A$18))</f>
        <v>0</v>
      </c>
      <c r="R124" s="30" t="str">
        <f aca="false">IF(G124&gt;0,G124+A124/10000000,"")</f>
        <v/>
      </c>
    </row>
    <row r="125" customFormat="false" ht="15" hidden="false" customHeight="false" outlineLevel="0" collapsed="false">
      <c r="A125" s="9" t="n">
        <v>121</v>
      </c>
      <c r="B125" s="9" t="str">
        <f aca="false">IFERROR(INDEX('Zoho Dump'!$N$8:$N$3007,MATCH(A125,'Zoho Dump'!$AB$8:$AB$3007,0)),"")</f>
        <v>Deloitte - Perth</v>
      </c>
      <c r="C125" s="17" t="n">
        <f aca="false">IF($B125="",0,SUMIFS('Zoho Dump'!$Q$8:$Q$3007,'Zoho Dump'!$N$8:$N$3007,$B125,'Zoho Dump'!$T$8:$T$3007,"Delivered",'Zoho Dump'!$R$8:$R$3007,"&gt;="&amp;Settings!$B$4))</f>
        <v>0</v>
      </c>
      <c r="D125" s="17" t="n">
        <f aca="false">IF($B125="",0,SUMIFS('Zoho Dump'!$X$8:$X$3007,'Zoho Dump'!$N$8:$N$3007,$B125,'Zoho Dump'!$T$8:$T$3007,"Backlog")+SUMIFS(Adjustments!$K$8:$K$207,Adjustments!$B$8:$B$207,$B125,Adjustments!$H$8:$H$207,"Backlog"))</f>
        <v>0</v>
      </c>
      <c r="E125" s="17" t="n">
        <f aca="false">IF($B125="",0,SUMIFS('Zoho Dump'!$Y$8:$Y$3007,'Zoho Dump'!$N$8:$N$3007,$B125,'Zoho Dump'!$T$8:$T$3007,"Pipeline")+SUMIFS(Adjustments!$L$8:$L$207,Adjustments!$B$8:$B$207,$B125,Adjustments!$H$8:$H$207,"Pipeline")+SUMIFS('Zoho Dump'!$Y$8:$Y$3007,'Zoho Dump'!$N$8:$N$3007,$B125,'Zoho Dump'!$T$8:$T$3007,"Overdue")+SUMIFS(Adjustments!$L$8:$L$207,Adjustments!$B$8:$B$207,$B125,Adjustments!$H$8:$H$207,"Overdue"))</f>
        <v>0</v>
      </c>
      <c r="F125" s="17" t="n">
        <f aca="false">IF($B125="",0,SUMIFS('Zoho Dump'!$X$8:$X$3007,'Zoho Dump'!$N$8:$N$3007,$B125,'Zoho Dump'!$T$8:$T$3007,"Pipeline")+SUMIFS(Adjustments!$K$8:$K$207,Adjustments!$B$8:$B$207,$B125,Adjustments!$H$8:$H$207,"Pipeline")+SUMIFS('Zoho Dump'!$X$8:$X$3007,'Zoho Dump'!$N$8:$N$3007,$B125,'Zoho Dump'!$T$8:$T$3007,"Overdue")+SUMIFS(Adjustments!$K$8:$K$207,Adjustments!$B$8:$B$207,$B125,Adjustments!$H$8:$H$207,"Overdue"))</f>
        <v>0</v>
      </c>
      <c r="G125" s="17" t="n">
        <f aca="false">D125+F125</f>
        <v>0</v>
      </c>
      <c r="H125" s="18" t="n">
        <f aca="false">IF(SUM($G$5:$G$404)=0,0,G125/SUM($G$5:$G$404))</f>
        <v>0</v>
      </c>
      <c r="I125" s="17" t="n">
        <f aca="false">IF($B125="",0,SUMIFS('Zoho Dump'!$Q$8:$Q$3007,'Zoho Dump'!$N$8:$N$3007,$B125,'Zoho Dump'!$T$8:$T$3007,"Lost",'Zoho Dump'!$R$8:$R$3007,"&gt;="&amp;Settings!$B$4))</f>
        <v>0</v>
      </c>
      <c r="J125" s="9" t="str">
        <f aca="false">IF($B125="","",IF(COUNTIF(Dashboard!$C$13:$C$22,$B125)&gt;0,"Yes",""))</f>
        <v/>
      </c>
      <c r="K125" s="17" t="n">
        <f aca="false">IF($B125="",0,SUMIFS('Zoho Dump'!$X$8:$X$3007,'Zoho Dump'!$N$8:$N$3007,$B125,'Zoho Dump'!$P$8:$P$3007,Settings!$A$12)+SUMIFS(Adjustments!$K$8:$K$207,Adjustments!$B$8:$B$207,$B125,Adjustments!$A$8:$A$207,Settings!$A$12))</f>
        <v>0</v>
      </c>
      <c r="L125" s="17" t="n">
        <f aca="false">IF($B125="",0,SUMIFS('Zoho Dump'!$X$8:$X$3007,'Zoho Dump'!$N$8:$N$3007,$B125,'Zoho Dump'!$P$8:$P$3007,Settings!$A$13)+SUMIFS(Adjustments!$K$8:$K$207,Adjustments!$B$8:$B$207,$B125,Adjustments!$A$8:$A$207,Settings!$A$13))</f>
        <v>0</v>
      </c>
      <c r="M125" s="17" t="n">
        <f aca="false">IF($B125="",0,SUMIFS('Zoho Dump'!$X$8:$X$3007,'Zoho Dump'!$N$8:$N$3007,$B125,'Zoho Dump'!$P$8:$P$3007,Settings!$A$14)+SUMIFS(Adjustments!$K$8:$K$207,Adjustments!$B$8:$B$207,$B125,Adjustments!$A$8:$A$207,Settings!$A$14))</f>
        <v>0</v>
      </c>
      <c r="N125" s="17" t="n">
        <f aca="false">IF($B125="",0,SUMIFS('Zoho Dump'!$X$8:$X$3007,'Zoho Dump'!$N$8:$N$3007,$B125,'Zoho Dump'!$P$8:$P$3007,Settings!$A$15)+SUMIFS(Adjustments!$K$8:$K$207,Adjustments!$B$8:$B$207,$B125,Adjustments!$A$8:$A$207,Settings!$A$15))</f>
        <v>0</v>
      </c>
      <c r="O125" s="17" t="n">
        <f aca="false">IF($B125="",0,SUMIFS('Zoho Dump'!$X$8:$X$3007,'Zoho Dump'!$N$8:$N$3007,$B125,'Zoho Dump'!$P$8:$P$3007,Settings!$A$16)+SUMIFS(Adjustments!$K$8:$K$207,Adjustments!$B$8:$B$207,$B125,Adjustments!$A$8:$A$207,Settings!$A$16))</f>
        <v>0</v>
      </c>
      <c r="P125" s="17" t="n">
        <f aca="false">IF($B125="",0,SUMIFS('Zoho Dump'!$X$8:$X$3007,'Zoho Dump'!$N$8:$N$3007,$B125,'Zoho Dump'!$P$8:$P$3007,Settings!$A$17)+SUMIFS(Adjustments!$K$8:$K$207,Adjustments!$B$8:$B$207,$B125,Adjustments!$A$8:$A$207,Settings!$A$17))</f>
        <v>0</v>
      </c>
      <c r="Q125" s="17" t="n">
        <f aca="false">IF($B125="",0,SUMIFS('Zoho Dump'!$X$8:$X$3007,'Zoho Dump'!$N$8:$N$3007,$B125,'Zoho Dump'!$P$8:$P$3007,Settings!$A$18)+SUMIFS(Adjustments!$K$8:$K$207,Adjustments!$B$8:$B$207,$B125,Adjustments!$A$8:$A$207,Settings!$A$18))</f>
        <v>0</v>
      </c>
      <c r="R125" s="30" t="str">
        <f aca="false">IF(G125&gt;0,G125+A125/10000000,"")</f>
        <v/>
      </c>
    </row>
    <row r="126" customFormat="false" ht="15" hidden="false" customHeight="false" outlineLevel="0" collapsed="false">
      <c r="A126" s="9" t="n">
        <v>122</v>
      </c>
      <c r="B126" s="9" t="str">
        <f aca="false">IFERROR(INDEX('Zoho Dump'!$N$8:$N$3007,MATCH(A126,'Zoho Dump'!$AB$8:$AB$3007,0)),"")</f>
        <v>Circadia Australia</v>
      </c>
      <c r="C126" s="17" t="n">
        <f aca="false">IF($B126="",0,SUMIFS('Zoho Dump'!$Q$8:$Q$3007,'Zoho Dump'!$N$8:$N$3007,$B126,'Zoho Dump'!$T$8:$T$3007,"Delivered",'Zoho Dump'!$R$8:$R$3007,"&gt;="&amp;Settings!$B$4))</f>
        <v>0</v>
      </c>
      <c r="D126" s="17" t="n">
        <f aca="false">IF($B126="",0,SUMIFS('Zoho Dump'!$X$8:$X$3007,'Zoho Dump'!$N$8:$N$3007,$B126,'Zoho Dump'!$T$8:$T$3007,"Backlog")+SUMIFS(Adjustments!$K$8:$K$207,Adjustments!$B$8:$B$207,$B126,Adjustments!$H$8:$H$207,"Backlog"))</f>
        <v>0</v>
      </c>
      <c r="E126" s="17" t="n">
        <f aca="false">IF($B126="",0,SUMIFS('Zoho Dump'!$Y$8:$Y$3007,'Zoho Dump'!$N$8:$N$3007,$B126,'Zoho Dump'!$T$8:$T$3007,"Pipeline")+SUMIFS(Adjustments!$L$8:$L$207,Adjustments!$B$8:$B$207,$B126,Adjustments!$H$8:$H$207,"Pipeline")+SUMIFS('Zoho Dump'!$Y$8:$Y$3007,'Zoho Dump'!$N$8:$N$3007,$B126,'Zoho Dump'!$T$8:$T$3007,"Overdue")+SUMIFS(Adjustments!$L$8:$L$207,Adjustments!$B$8:$B$207,$B126,Adjustments!$H$8:$H$207,"Overdue"))</f>
        <v>0</v>
      </c>
      <c r="F126" s="17" t="n">
        <f aca="false">IF($B126="",0,SUMIFS('Zoho Dump'!$X$8:$X$3007,'Zoho Dump'!$N$8:$N$3007,$B126,'Zoho Dump'!$T$8:$T$3007,"Pipeline")+SUMIFS(Adjustments!$K$8:$K$207,Adjustments!$B$8:$B$207,$B126,Adjustments!$H$8:$H$207,"Pipeline")+SUMIFS('Zoho Dump'!$X$8:$X$3007,'Zoho Dump'!$N$8:$N$3007,$B126,'Zoho Dump'!$T$8:$T$3007,"Overdue")+SUMIFS(Adjustments!$K$8:$K$207,Adjustments!$B$8:$B$207,$B126,Adjustments!$H$8:$H$207,"Overdue"))</f>
        <v>0</v>
      </c>
      <c r="G126" s="17" t="n">
        <f aca="false">D126+F126</f>
        <v>0</v>
      </c>
      <c r="H126" s="18" t="n">
        <f aca="false">IF(SUM($G$5:$G$404)=0,0,G126/SUM($G$5:$G$404))</f>
        <v>0</v>
      </c>
      <c r="I126" s="17" t="n">
        <f aca="false">IF($B126="",0,SUMIFS('Zoho Dump'!$Q$8:$Q$3007,'Zoho Dump'!$N$8:$N$3007,$B126,'Zoho Dump'!$T$8:$T$3007,"Lost",'Zoho Dump'!$R$8:$R$3007,"&gt;="&amp;Settings!$B$4))</f>
        <v>0</v>
      </c>
      <c r="J126" s="9" t="str">
        <f aca="false">IF($B126="","",IF(COUNTIF(Dashboard!$C$13:$C$22,$B126)&gt;0,"Yes",""))</f>
        <v/>
      </c>
      <c r="K126" s="17" t="n">
        <f aca="false">IF($B126="",0,SUMIFS('Zoho Dump'!$X$8:$X$3007,'Zoho Dump'!$N$8:$N$3007,$B126,'Zoho Dump'!$P$8:$P$3007,Settings!$A$12)+SUMIFS(Adjustments!$K$8:$K$207,Adjustments!$B$8:$B$207,$B126,Adjustments!$A$8:$A$207,Settings!$A$12))</f>
        <v>0</v>
      </c>
      <c r="L126" s="17" t="n">
        <f aca="false">IF($B126="",0,SUMIFS('Zoho Dump'!$X$8:$X$3007,'Zoho Dump'!$N$8:$N$3007,$B126,'Zoho Dump'!$P$8:$P$3007,Settings!$A$13)+SUMIFS(Adjustments!$K$8:$K$207,Adjustments!$B$8:$B$207,$B126,Adjustments!$A$8:$A$207,Settings!$A$13))</f>
        <v>0</v>
      </c>
      <c r="M126" s="17" t="n">
        <f aca="false">IF($B126="",0,SUMIFS('Zoho Dump'!$X$8:$X$3007,'Zoho Dump'!$N$8:$N$3007,$B126,'Zoho Dump'!$P$8:$P$3007,Settings!$A$14)+SUMIFS(Adjustments!$K$8:$K$207,Adjustments!$B$8:$B$207,$B126,Adjustments!$A$8:$A$207,Settings!$A$14))</f>
        <v>0</v>
      </c>
      <c r="N126" s="17" t="n">
        <f aca="false">IF($B126="",0,SUMIFS('Zoho Dump'!$X$8:$X$3007,'Zoho Dump'!$N$8:$N$3007,$B126,'Zoho Dump'!$P$8:$P$3007,Settings!$A$15)+SUMIFS(Adjustments!$K$8:$K$207,Adjustments!$B$8:$B$207,$B126,Adjustments!$A$8:$A$207,Settings!$A$15))</f>
        <v>0</v>
      </c>
      <c r="O126" s="17" t="n">
        <f aca="false">IF($B126="",0,SUMIFS('Zoho Dump'!$X$8:$X$3007,'Zoho Dump'!$N$8:$N$3007,$B126,'Zoho Dump'!$P$8:$P$3007,Settings!$A$16)+SUMIFS(Adjustments!$K$8:$K$207,Adjustments!$B$8:$B$207,$B126,Adjustments!$A$8:$A$207,Settings!$A$16))</f>
        <v>0</v>
      </c>
      <c r="P126" s="17" t="n">
        <f aca="false">IF($B126="",0,SUMIFS('Zoho Dump'!$X$8:$X$3007,'Zoho Dump'!$N$8:$N$3007,$B126,'Zoho Dump'!$P$8:$P$3007,Settings!$A$17)+SUMIFS(Adjustments!$K$8:$K$207,Adjustments!$B$8:$B$207,$B126,Adjustments!$A$8:$A$207,Settings!$A$17))</f>
        <v>0</v>
      </c>
      <c r="Q126" s="17" t="n">
        <f aca="false">IF($B126="",0,SUMIFS('Zoho Dump'!$X$8:$X$3007,'Zoho Dump'!$N$8:$N$3007,$B126,'Zoho Dump'!$P$8:$P$3007,Settings!$A$18)+SUMIFS(Adjustments!$K$8:$K$207,Adjustments!$B$8:$B$207,$B126,Adjustments!$A$8:$A$207,Settings!$A$18))</f>
        <v>0</v>
      </c>
      <c r="R126" s="30" t="str">
        <f aca="false">IF(G126&gt;0,G126+A126/10000000,"")</f>
        <v/>
      </c>
    </row>
    <row r="127" customFormat="false" ht="15" hidden="false" customHeight="false" outlineLevel="0" collapsed="false">
      <c r="A127" s="9" t="n">
        <v>123</v>
      </c>
      <c r="B127" s="9" t="str">
        <f aca="false">IFERROR(INDEX('Zoho Dump'!$N$8:$N$3007,MATCH(A127,'Zoho Dump'!$AB$8:$AB$3007,0)),"")</f>
        <v>Sydney Custom Joinery</v>
      </c>
      <c r="C127" s="17" t="n">
        <f aca="false">IF($B127="",0,SUMIFS('Zoho Dump'!$Q$8:$Q$3007,'Zoho Dump'!$N$8:$N$3007,$B127,'Zoho Dump'!$T$8:$T$3007,"Delivered",'Zoho Dump'!$R$8:$R$3007,"&gt;="&amp;Settings!$B$4))</f>
        <v>0</v>
      </c>
      <c r="D127" s="17" t="n">
        <f aca="false">IF($B127="",0,SUMIFS('Zoho Dump'!$X$8:$X$3007,'Zoho Dump'!$N$8:$N$3007,$B127,'Zoho Dump'!$T$8:$T$3007,"Backlog")+SUMIFS(Adjustments!$K$8:$K$207,Adjustments!$B$8:$B$207,$B127,Adjustments!$H$8:$H$207,"Backlog"))</f>
        <v>0</v>
      </c>
      <c r="E127" s="17" t="n">
        <f aca="false">IF($B127="",0,SUMIFS('Zoho Dump'!$Y$8:$Y$3007,'Zoho Dump'!$N$8:$N$3007,$B127,'Zoho Dump'!$T$8:$T$3007,"Pipeline")+SUMIFS(Adjustments!$L$8:$L$207,Adjustments!$B$8:$B$207,$B127,Adjustments!$H$8:$H$207,"Pipeline")+SUMIFS('Zoho Dump'!$Y$8:$Y$3007,'Zoho Dump'!$N$8:$N$3007,$B127,'Zoho Dump'!$T$8:$T$3007,"Overdue")+SUMIFS(Adjustments!$L$8:$L$207,Adjustments!$B$8:$B$207,$B127,Adjustments!$H$8:$H$207,"Overdue"))</f>
        <v>0</v>
      </c>
      <c r="F127" s="17" t="n">
        <f aca="false">IF($B127="",0,SUMIFS('Zoho Dump'!$X$8:$X$3007,'Zoho Dump'!$N$8:$N$3007,$B127,'Zoho Dump'!$T$8:$T$3007,"Pipeline")+SUMIFS(Adjustments!$K$8:$K$207,Adjustments!$B$8:$B$207,$B127,Adjustments!$H$8:$H$207,"Pipeline")+SUMIFS('Zoho Dump'!$X$8:$X$3007,'Zoho Dump'!$N$8:$N$3007,$B127,'Zoho Dump'!$T$8:$T$3007,"Overdue")+SUMIFS(Adjustments!$K$8:$K$207,Adjustments!$B$8:$B$207,$B127,Adjustments!$H$8:$H$207,"Overdue"))</f>
        <v>0</v>
      </c>
      <c r="G127" s="17" t="n">
        <f aca="false">D127+F127</f>
        <v>0</v>
      </c>
      <c r="H127" s="18" t="n">
        <f aca="false">IF(SUM($G$5:$G$404)=0,0,G127/SUM($G$5:$G$404))</f>
        <v>0</v>
      </c>
      <c r="I127" s="17" t="n">
        <f aca="false">IF($B127="",0,SUMIFS('Zoho Dump'!$Q$8:$Q$3007,'Zoho Dump'!$N$8:$N$3007,$B127,'Zoho Dump'!$T$8:$T$3007,"Lost",'Zoho Dump'!$R$8:$R$3007,"&gt;="&amp;Settings!$B$4))</f>
        <v>720</v>
      </c>
      <c r="J127" s="9" t="str">
        <f aca="false">IF($B127="","",IF(COUNTIF(Dashboard!$C$13:$C$22,$B127)&gt;0,"Yes",""))</f>
        <v/>
      </c>
      <c r="K127" s="17" t="n">
        <f aca="false">IF($B127="",0,SUMIFS('Zoho Dump'!$X$8:$X$3007,'Zoho Dump'!$N$8:$N$3007,$B127,'Zoho Dump'!$P$8:$P$3007,Settings!$A$12)+SUMIFS(Adjustments!$K$8:$K$207,Adjustments!$B$8:$B$207,$B127,Adjustments!$A$8:$A$207,Settings!$A$12))</f>
        <v>0</v>
      </c>
      <c r="L127" s="17" t="n">
        <f aca="false">IF($B127="",0,SUMIFS('Zoho Dump'!$X$8:$X$3007,'Zoho Dump'!$N$8:$N$3007,$B127,'Zoho Dump'!$P$8:$P$3007,Settings!$A$13)+SUMIFS(Adjustments!$K$8:$K$207,Adjustments!$B$8:$B$207,$B127,Adjustments!$A$8:$A$207,Settings!$A$13))</f>
        <v>0</v>
      </c>
      <c r="M127" s="17" t="n">
        <f aca="false">IF($B127="",0,SUMIFS('Zoho Dump'!$X$8:$X$3007,'Zoho Dump'!$N$8:$N$3007,$B127,'Zoho Dump'!$P$8:$P$3007,Settings!$A$14)+SUMIFS(Adjustments!$K$8:$K$207,Adjustments!$B$8:$B$207,$B127,Adjustments!$A$8:$A$207,Settings!$A$14))</f>
        <v>0</v>
      </c>
      <c r="N127" s="17" t="n">
        <f aca="false">IF($B127="",0,SUMIFS('Zoho Dump'!$X$8:$X$3007,'Zoho Dump'!$N$8:$N$3007,$B127,'Zoho Dump'!$P$8:$P$3007,Settings!$A$15)+SUMIFS(Adjustments!$K$8:$K$207,Adjustments!$B$8:$B$207,$B127,Adjustments!$A$8:$A$207,Settings!$A$15))</f>
        <v>0</v>
      </c>
      <c r="O127" s="17" t="n">
        <f aca="false">IF($B127="",0,SUMIFS('Zoho Dump'!$X$8:$X$3007,'Zoho Dump'!$N$8:$N$3007,$B127,'Zoho Dump'!$P$8:$P$3007,Settings!$A$16)+SUMIFS(Adjustments!$K$8:$K$207,Adjustments!$B$8:$B$207,$B127,Adjustments!$A$8:$A$207,Settings!$A$16))</f>
        <v>0</v>
      </c>
      <c r="P127" s="17" t="n">
        <f aca="false">IF($B127="",0,SUMIFS('Zoho Dump'!$X$8:$X$3007,'Zoho Dump'!$N$8:$N$3007,$B127,'Zoho Dump'!$P$8:$P$3007,Settings!$A$17)+SUMIFS(Adjustments!$K$8:$K$207,Adjustments!$B$8:$B$207,$B127,Adjustments!$A$8:$A$207,Settings!$A$17))</f>
        <v>0</v>
      </c>
      <c r="Q127" s="17" t="n">
        <f aca="false">IF($B127="",0,SUMIFS('Zoho Dump'!$X$8:$X$3007,'Zoho Dump'!$N$8:$N$3007,$B127,'Zoho Dump'!$P$8:$P$3007,Settings!$A$18)+SUMIFS(Adjustments!$K$8:$K$207,Adjustments!$B$8:$B$207,$B127,Adjustments!$A$8:$A$207,Settings!$A$18))</f>
        <v>0</v>
      </c>
      <c r="R127" s="30" t="str">
        <f aca="false">IF(G127&gt;0,G127+A127/10000000,"")</f>
        <v/>
      </c>
    </row>
    <row r="128" customFormat="false" ht="15" hidden="false" customHeight="false" outlineLevel="0" collapsed="false">
      <c r="A128" s="9" t="n">
        <v>124</v>
      </c>
      <c r="B128" s="9" t="str">
        <f aca="false">IFERROR(INDEX('Zoho Dump'!$N$8:$N$3007,MATCH(A128,'Zoho Dump'!$AB$8:$AB$3007,0)),"")</f>
        <v>Ingram Micro</v>
      </c>
      <c r="C128" s="17" t="n">
        <f aca="false">IF($B128="",0,SUMIFS('Zoho Dump'!$Q$8:$Q$3007,'Zoho Dump'!$N$8:$N$3007,$B128,'Zoho Dump'!$T$8:$T$3007,"Delivered",'Zoho Dump'!$R$8:$R$3007,"&gt;="&amp;Settings!$B$4))</f>
        <v>0</v>
      </c>
      <c r="D128" s="17" t="n">
        <f aca="false">IF($B128="",0,SUMIFS('Zoho Dump'!$X$8:$X$3007,'Zoho Dump'!$N$8:$N$3007,$B128,'Zoho Dump'!$T$8:$T$3007,"Backlog")+SUMIFS(Adjustments!$K$8:$K$207,Adjustments!$B$8:$B$207,$B128,Adjustments!$H$8:$H$207,"Backlog"))</f>
        <v>0</v>
      </c>
      <c r="E128" s="17" t="n">
        <f aca="false">IF($B128="",0,SUMIFS('Zoho Dump'!$Y$8:$Y$3007,'Zoho Dump'!$N$8:$N$3007,$B128,'Zoho Dump'!$T$8:$T$3007,"Pipeline")+SUMIFS(Adjustments!$L$8:$L$207,Adjustments!$B$8:$B$207,$B128,Adjustments!$H$8:$H$207,"Pipeline")+SUMIFS('Zoho Dump'!$Y$8:$Y$3007,'Zoho Dump'!$N$8:$N$3007,$B128,'Zoho Dump'!$T$8:$T$3007,"Overdue")+SUMIFS(Adjustments!$L$8:$L$207,Adjustments!$B$8:$B$207,$B128,Adjustments!$H$8:$H$207,"Overdue"))</f>
        <v>0</v>
      </c>
      <c r="F128" s="17" t="n">
        <f aca="false">IF($B128="",0,SUMIFS('Zoho Dump'!$X$8:$X$3007,'Zoho Dump'!$N$8:$N$3007,$B128,'Zoho Dump'!$T$8:$T$3007,"Pipeline")+SUMIFS(Adjustments!$K$8:$K$207,Adjustments!$B$8:$B$207,$B128,Adjustments!$H$8:$H$207,"Pipeline")+SUMIFS('Zoho Dump'!$X$8:$X$3007,'Zoho Dump'!$N$8:$N$3007,$B128,'Zoho Dump'!$T$8:$T$3007,"Overdue")+SUMIFS(Adjustments!$K$8:$K$207,Adjustments!$B$8:$B$207,$B128,Adjustments!$H$8:$H$207,"Overdue"))</f>
        <v>0</v>
      </c>
      <c r="G128" s="17" t="n">
        <f aca="false">D128+F128</f>
        <v>0</v>
      </c>
      <c r="H128" s="18" t="n">
        <f aca="false">IF(SUM($G$5:$G$404)=0,0,G128/SUM($G$5:$G$404))</f>
        <v>0</v>
      </c>
      <c r="I128" s="17" t="n">
        <f aca="false">IF($B128="",0,SUMIFS('Zoho Dump'!$Q$8:$Q$3007,'Zoho Dump'!$N$8:$N$3007,$B128,'Zoho Dump'!$T$8:$T$3007,"Lost",'Zoho Dump'!$R$8:$R$3007,"&gt;="&amp;Settings!$B$4))</f>
        <v>0</v>
      </c>
      <c r="J128" s="9" t="str">
        <f aca="false">IF($B128="","",IF(COUNTIF(Dashboard!$C$13:$C$22,$B128)&gt;0,"Yes",""))</f>
        <v/>
      </c>
      <c r="K128" s="17" t="n">
        <f aca="false">IF($B128="",0,SUMIFS('Zoho Dump'!$X$8:$X$3007,'Zoho Dump'!$N$8:$N$3007,$B128,'Zoho Dump'!$P$8:$P$3007,Settings!$A$12)+SUMIFS(Adjustments!$K$8:$K$207,Adjustments!$B$8:$B$207,$B128,Adjustments!$A$8:$A$207,Settings!$A$12))</f>
        <v>0</v>
      </c>
      <c r="L128" s="17" t="n">
        <f aca="false">IF($B128="",0,SUMIFS('Zoho Dump'!$X$8:$X$3007,'Zoho Dump'!$N$8:$N$3007,$B128,'Zoho Dump'!$P$8:$P$3007,Settings!$A$13)+SUMIFS(Adjustments!$K$8:$K$207,Adjustments!$B$8:$B$207,$B128,Adjustments!$A$8:$A$207,Settings!$A$13))</f>
        <v>0</v>
      </c>
      <c r="M128" s="17" t="n">
        <f aca="false">IF($B128="",0,SUMIFS('Zoho Dump'!$X$8:$X$3007,'Zoho Dump'!$N$8:$N$3007,$B128,'Zoho Dump'!$P$8:$P$3007,Settings!$A$14)+SUMIFS(Adjustments!$K$8:$K$207,Adjustments!$B$8:$B$207,$B128,Adjustments!$A$8:$A$207,Settings!$A$14))</f>
        <v>0</v>
      </c>
      <c r="N128" s="17" t="n">
        <f aca="false">IF($B128="",0,SUMIFS('Zoho Dump'!$X$8:$X$3007,'Zoho Dump'!$N$8:$N$3007,$B128,'Zoho Dump'!$P$8:$P$3007,Settings!$A$15)+SUMIFS(Adjustments!$K$8:$K$207,Adjustments!$B$8:$B$207,$B128,Adjustments!$A$8:$A$207,Settings!$A$15))</f>
        <v>0</v>
      </c>
      <c r="O128" s="17" t="n">
        <f aca="false">IF($B128="",0,SUMIFS('Zoho Dump'!$X$8:$X$3007,'Zoho Dump'!$N$8:$N$3007,$B128,'Zoho Dump'!$P$8:$P$3007,Settings!$A$16)+SUMIFS(Adjustments!$K$8:$K$207,Adjustments!$B$8:$B$207,$B128,Adjustments!$A$8:$A$207,Settings!$A$16))</f>
        <v>0</v>
      </c>
      <c r="P128" s="17" t="n">
        <f aca="false">IF($B128="",0,SUMIFS('Zoho Dump'!$X$8:$X$3007,'Zoho Dump'!$N$8:$N$3007,$B128,'Zoho Dump'!$P$8:$P$3007,Settings!$A$17)+SUMIFS(Adjustments!$K$8:$K$207,Adjustments!$B$8:$B$207,$B128,Adjustments!$A$8:$A$207,Settings!$A$17))</f>
        <v>0</v>
      </c>
      <c r="Q128" s="17" t="n">
        <f aca="false">IF($B128="",0,SUMIFS('Zoho Dump'!$X$8:$X$3007,'Zoho Dump'!$N$8:$N$3007,$B128,'Zoho Dump'!$P$8:$P$3007,Settings!$A$18)+SUMIFS(Adjustments!$K$8:$K$207,Adjustments!$B$8:$B$207,$B128,Adjustments!$A$8:$A$207,Settings!$A$18))</f>
        <v>0</v>
      </c>
      <c r="R128" s="30" t="str">
        <f aca="false">IF(G128&gt;0,G128+A128/10000000,"")</f>
        <v/>
      </c>
    </row>
    <row r="129" customFormat="false" ht="15" hidden="false" customHeight="false" outlineLevel="0" collapsed="false">
      <c r="A129" s="9" t="n">
        <v>125</v>
      </c>
      <c r="B129" s="9" t="str">
        <f aca="false">IFERROR(INDEX('Zoho Dump'!$N$8:$N$3007,MATCH(A129,'Zoho Dump'!$AB$8:$AB$3007,0)),"")</f>
        <v>Australian Payments Plus</v>
      </c>
      <c r="C129" s="17" t="n">
        <f aca="false">IF($B129="",0,SUMIFS('Zoho Dump'!$Q$8:$Q$3007,'Zoho Dump'!$N$8:$N$3007,$B129,'Zoho Dump'!$T$8:$T$3007,"Delivered",'Zoho Dump'!$R$8:$R$3007,"&gt;="&amp;Settings!$B$4))</f>
        <v>0</v>
      </c>
      <c r="D129" s="17" t="n">
        <f aca="false">IF($B129="",0,SUMIFS('Zoho Dump'!$X$8:$X$3007,'Zoho Dump'!$N$8:$N$3007,$B129,'Zoho Dump'!$T$8:$T$3007,"Backlog")+SUMIFS(Adjustments!$K$8:$K$207,Adjustments!$B$8:$B$207,$B129,Adjustments!$H$8:$H$207,"Backlog"))</f>
        <v>0</v>
      </c>
      <c r="E129" s="17" t="n">
        <f aca="false">IF($B129="",0,SUMIFS('Zoho Dump'!$Y$8:$Y$3007,'Zoho Dump'!$N$8:$N$3007,$B129,'Zoho Dump'!$T$8:$T$3007,"Pipeline")+SUMIFS(Adjustments!$L$8:$L$207,Adjustments!$B$8:$B$207,$B129,Adjustments!$H$8:$H$207,"Pipeline")+SUMIFS('Zoho Dump'!$Y$8:$Y$3007,'Zoho Dump'!$N$8:$N$3007,$B129,'Zoho Dump'!$T$8:$T$3007,"Overdue")+SUMIFS(Adjustments!$L$8:$L$207,Adjustments!$B$8:$B$207,$B129,Adjustments!$H$8:$H$207,"Overdue"))</f>
        <v>0</v>
      </c>
      <c r="F129" s="17" t="n">
        <f aca="false">IF($B129="",0,SUMIFS('Zoho Dump'!$X$8:$X$3007,'Zoho Dump'!$N$8:$N$3007,$B129,'Zoho Dump'!$T$8:$T$3007,"Pipeline")+SUMIFS(Adjustments!$K$8:$K$207,Adjustments!$B$8:$B$207,$B129,Adjustments!$H$8:$H$207,"Pipeline")+SUMIFS('Zoho Dump'!$X$8:$X$3007,'Zoho Dump'!$N$8:$N$3007,$B129,'Zoho Dump'!$T$8:$T$3007,"Overdue")+SUMIFS(Adjustments!$K$8:$K$207,Adjustments!$B$8:$B$207,$B129,Adjustments!$H$8:$H$207,"Overdue"))</f>
        <v>0</v>
      </c>
      <c r="G129" s="17" t="n">
        <f aca="false">D129+F129</f>
        <v>0</v>
      </c>
      <c r="H129" s="18" t="n">
        <f aca="false">IF(SUM($G$5:$G$404)=0,0,G129/SUM($G$5:$G$404))</f>
        <v>0</v>
      </c>
      <c r="I129" s="17" t="n">
        <f aca="false">IF($B129="",0,SUMIFS('Zoho Dump'!$Q$8:$Q$3007,'Zoho Dump'!$N$8:$N$3007,$B129,'Zoho Dump'!$T$8:$T$3007,"Lost",'Zoho Dump'!$R$8:$R$3007,"&gt;="&amp;Settings!$B$4))</f>
        <v>0</v>
      </c>
      <c r="J129" s="9" t="str">
        <f aca="false">IF($B129="","",IF(COUNTIF(Dashboard!$C$13:$C$22,$B129)&gt;0,"Yes",""))</f>
        <v/>
      </c>
      <c r="K129" s="17" t="n">
        <f aca="false">IF($B129="",0,SUMIFS('Zoho Dump'!$X$8:$X$3007,'Zoho Dump'!$N$8:$N$3007,$B129,'Zoho Dump'!$P$8:$P$3007,Settings!$A$12)+SUMIFS(Adjustments!$K$8:$K$207,Adjustments!$B$8:$B$207,$B129,Adjustments!$A$8:$A$207,Settings!$A$12))</f>
        <v>0</v>
      </c>
      <c r="L129" s="17" t="n">
        <f aca="false">IF($B129="",0,SUMIFS('Zoho Dump'!$X$8:$X$3007,'Zoho Dump'!$N$8:$N$3007,$B129,'Zoho Dump'!$P$8:$P$3007,Settings!$A$13)+SUMIFS(Adjustments!$K$8:$K$207,Adjustments!$B$8:$B$207,$B129,Adjustments!$A$8:$A$207,Settings!$A$13))</f>
        <v>0</v>
      </c>
      <c r="M129" s="17" t="n">
        <f aca="false">IF($B129="",0,SUMIFS('Zoho Dump'!$X$8:$X$3007,'Zoho Dump'!$N$8:$N$3007,$B129,'Zoho Dump'!$P$8:$P$3007,Settings!$A$14)+SUMIFS(Adjustments!$K$8:$K$207,Adjustments!$B$8:$B$207,$B129,Adjustments!$A$8:$A$207,Settings!$A$14))</f>
        <v>0</v>
      </c>
      <c r="N129" s="17" t="n">
        <f aca="false">IF($B129="",0,SUMIFS('Zoho Dump'!$X$8:$X$3007,'Zoho Dump'!$N$8:$N$3007,$B129,'Zoho Dump'!$P$8:$P$3007,Settings!$A$15)+SUMIFS(Adjustments!$K$8:$K$207,Adjustments!$B$8:$B$207,$B129,Adjustments!$A$8:$A$207,Settings!$A$15))</f>
        <v>0</v>
      </c>
      <c r="O129" s="17" t="n">
        <f aca="false">IF($B129="",0,SUMIFS('Zoho Dump'!$X$8:$X$3007,'Zoho Dump'!$N$8:$N$3007,$B129,'Zoho Dump'!$P$8:$P$3007,Settings!$A$16)+SUMIFS(Adjustments!$K$8:$K$207,Adjustments!$B$8:$B$207,$B129,Adjustments!$A$8:$A$207,Settings!$A$16))</f>
        <v>0</v>
      </c>
      <c r="P129" s="17" t="n">
        <f aca="false">IF($B129="",0,SUMIFS('Zoho Dump'!$X$8:$X$3007,'Zoho Dump'!$N$8:$N$3007,$B129,'Zoho Dump'!$P$8:$P$3007,Settings!$A$17)+SUMIFS(Adjustments!$K$8:$K$207,Adjustments!$B$8:$B$207,$B129,Adjustments!$A$8:$A$207,Settings!$A$17))</f>
        <v>0</v>
      </c>
      <c r="Q129" s="17" t="n">
        <f aca="false">IF($B129="",0,SUMIFS('Zoho Dump'!$X$8:$X$3007,'Zoho Dump'!$N$8:$N$3007,$B129,'Zoho Dump'!$P$8:$P$3007,Settings!$A$18)+SUMIFS(Adjustments!$K$8:$K$207,Adjustments!$B$8:$B$207,$B129,Adjustments!$A$8:$A$207,Settings!$A$18))</f>
        <v>0</v>
      </c>
      <c r="R129" s="30" t="str">
        <f aca="false">IF(G129&gt;0,G129+A129/10000000,"")</f>
        <v/>
      </c>
    </row>
    <row r="130" customFormat="false" ht="15" hidden="false" customHeight="false" outlineLevel="0" collapsed="false">
      <c r="A130" s="9" t="n">
        <v>126</v>
      </c>
      <c r="B130" s="9" t="str">
        <f aca="false">IFERROR(INDEX('Zoho Dump'!$N$8:$N$3007,MATCH(A130,'Zoho Dump'!$AB$8:$AB$3007,0)),"")</f>
        <v>Visagio</v>
      </c>
      <c r="C130" s="17" t="n">
        <f aca="false">IF($B130="",0,SUMIFS('Zoho Dump'!$Q$8:$Q$3007,'Zoho Dump'!$N$8:$N$3007,$B130,'Zoho Dump'!$T$8:$T$3007,"Delivered",'Zoho Dump'!$R$8:$R$3007,"&gt;="&amp;Settings!$B$4))</f>
        <v>0</v>
      </c>
      <c r="D130" s="17" t="n">
        <f aca="false">IF($B130="",0,SUMIFS('Zoho Dump'!$X$8:$X$3007,'Zoho Dump'!$N$8:$N$3007,$B130,'Zoho Dump'!$T$8:$T$3007,"Backlog")+SUMIFS(Adjustments!$K$8:$K$207,Adjustments!$B$8:$B$207,$B130,Adjustments!$H$8:$H$207,"Backlog"))</f>
        <v>0</v>
      </c>
      <c r="E130" s="17" t="n">
        <f aca="false">IF($B130="",0,SUMIFS('Zoho Dump'!$Y$8:$Y$3007,'Zoho Dump'!$N$8:$N$3007,$B130,'Zoho Dump'!$T$8:$T$3007,"Pipeline")+SUMIFS(Adjustments!$L$8:$L$207,Adjustments!$B$8:$B$207,$B130,Adjustments!$H$8:$H$207,"Pipeline")+SUMIFS('Zoho Dump'!$Y$8:$Y$3007,'Zoho Dump'!$N$8:$N$3007,$B130,'Zoho Dump'!$T$8:$T$3007,"Overdue")+SUMIFS(Adjustments!$L$8:$L$207,Adjustments!$B$8:$B$207,$B130,Adjustments!$H$8:$H$207,"Overdue"))</f>
        <v>0</v>
      </c>
      <c r="F130" s="17" t="n">
        <f aca="false">IF($B130="",0,SUMIFS('Zoho Dump'!$X$8:$X$3007,'Zoho Dump'!$N$8:$N$3007,$B130,'Zoho Dump'!$T$8:$T$3007,"Pipeline")+SUMIFS(Adjustments!$K$8:$K$207,Adjustments!$B$8:$B$207,$B130,Adjustments!$H$8:$H$207,"Pipeline")+SUMIFS('Zoho Dump'!$X$8:$X$3007,'Zoho Dump'!$N$8:$N$3007,$B130,'Zoho Dump'!$T$8:$T$3007,"Overdue")+SUMIFS(Adjustments!$K$8:$K$207,Adjustments!$B$8:$B$207,$B130,Adjustments!$H$8:$H$207,"Overdue"))</f>
        <v>0</v>
      </c>
      <c r="G130" s="17" t="n">
        <f aca="false">D130+F130</f>
        <v>0</v>
      </c>
      <c r="H130" s="18" t="n">
        <f aca="false">IF(SUM($G$5:$G$404)=0,0,G130/SUM($G$5:$G$404))</f>
        <v>0</v>
      </c>
      <c r="I130" s="17" t="n">
        <f aca="false">IF($B130="",0,SUMIFS('Zoho Dump'!$Q$8:$Q$3007,'Zoho Dump'!$N$8:$N$3007,$B130,'Zoho Dump'!$T$8:$T$3007,"Lost",'Zoho Dump'!$R$8:$R$3007,"&gt;="&amp;Settings!$B$4))</f>
        <v>49555</v>
      </c>
      <c r="J130" s="9" t="str">
        <f aca="false">IF($B130="","",IF(COUNTIF(Dashboard!$C$13:$C$22,$B130)&gt;0,"Yes",""))</f>
        <v/>
      </c>
      <c r="K130" s="17" t="n">
        <f aca="false">IF($B130="",0,SUMIFS('Zoho Dump'!$X$8:$X$3007,'Zoho Dump'!$N$8:$N$3007,$B130,'Zoho Dump'!$P$8:$P$3007,Settings!$A$12)+SUMIFS(Adjustments!$K$8:$K$207,Adjustments!$B$8:$B$207,$B130,Adjustments!$A$8:$A$207,Settings!$A$12))</f>
        <v>0</v>
      </c>
      <c r="L130" s="17" t="n">
        <f aca="false">IF($B130="",0,SUMIFS('Zoho Dump'!$X$8:$X$3007,'Zoho Dump'!$N$8:$N$3007,$B130,'Zoho Dump'!$P$8:$P$3007,Settings!$A$13)+SUMIFS(Adjustments!$K$8:$K$207,Adjustments!$B$8:$B$207,$B130,Adjustments!$A$8:$A$207,Settings!$A$13))</f>
        <v>0</v>
      </c>
      <c r="M130" s="17" t="n">
        <f aca="false">IF($B130="",0,SUMIFS('Zoho Dump'!$X$8:$X$3007,'Zoho Dump'!$N$8:$N$3007,$B130,'Zoho Dump'!$P$8:$P$3007,Settings!$A$14)+SUMIFS(Adjustments!$K$8:$K$207,Adjustments!$B$8:$B$207,$B130,Adjustments!$A$8:$A$207,Settings!$A$14))</f>
        <v>0</v>
      </c>
      <c r="N130" s="17" t="n">
        <f aca="false">IF($B130="",0,SUMIFS('Zoho Dump'!$X$8:$X$3007,'Zoho Dump'!$N$8:$N$3007,$B130,'Zoho Dump'!$P$8:$P$3007,Settings!$A$15)+SUMIFS(Adjustments!$K$8:$K$207,Adjustments!$B$8:$B$207,$B130,Adjustments!$A$8:$A$207,Settings!$A$15))</f>
        <v>0</v>
      </c>
      <c r="O130" s="17" t="n">
        <f aca="false">IF($B130="",0,SUMIFS('Zoho Dump'!$X$8:$X$3007,'Zoho Dump'!$N$8:$N$3007,$B130,'Zoho Dump'!$P$8:$P$3007,Settings!$A$16)+SUMIFS(Adjustments!$K$8:$K$207,Adjustments!$B$8:$B$207,$B130,Adjustments!$A$8:$A$207,Settings!$A$16))</f>
        <v>0</v>
      </c>
      <c r="P130" s="17" t="n">
        <f aca="false">IF($B130="",0,SUMIFS('Zoho Dump'!$X$8:$X$3007,'Zoho Dump'!$N$8:$N$3007,$B130,'Zoho Dump'!$P$8:$P$3007,Settings!$A$17)+SUMIFS(Adjustments!$K$8:$K$207,Adjustments!$B$8:$B$207,$B130,Adjustments!$A$8:$A$207,Settings!$A$17))</f>
        <v>0</v>
      </c>
      <c r="Q130" s="17" t="n">
        <f aca="false">IF($B130="",0,SUMIFS('Zoho Dump'!$X$8:$X$3007,'Zoho Dump'!$N$8:$N$3007,$B130,'Zoho Dump'!$P$8:$P$3007,Settings!$A$18)+SUMIFS(Adjustments!$K$8:$K$207,Adjustments!$B$8:$B$207,$B130,Adjustments!$A$8:$A$207,Settings!$A$18))</f>
        <v>0</v>
      </c>
      <c r="R130" s="30" t="str">
        <f aca="false">IF(G130&gt;0,G130+A130/10000000,"")</f>
        <v/>
      </c>
    </row>
    <row r="131" customFormat="false" ht="15" hidden="false" customHeight="false" outlineLevel="0" collapsed="false">
      <c r="A131" s="9" t="n">
        <v>127</v>
      </c>
      <c r="B131" s="9" t="str">
        <f aca="false">IFERROR(INDEX('Zoho Dump'!$N$8:$N$3007,MATCH(A131,'Zoho Dump'!$AB$8:$AB$3007,0)),"")</f>
        <v>Notified</v>
      </c>
      <c r="C131" s="17" t="n">
        <f aca="false">IF($B131="",0,SUMIFS('Zoho Dump'!$Q$8:$Q$3007,'Zoho Dump'!$N$8:$N$3007,$B131,'Zoho Dump'!$T$8:$T$3007,"Delivered",'Zoho Dump'!$R$8:$R$3007,"&gt;="&amp;Settings!$B$4))</f>
        <v>0</v>
      </c>
      <c r="D131" s="17" t="n">
        <f aca="false">IF($B131="",0,SUMIFS('Zoho Dump'!$X$8:$X$3007,'Zoho Dump'!$N$8:$N$3007,$B131,'Zoho Dump'!$T$8:$T$3007,"Backlog")+SUMIFS(Adjustments!$K$8:$K$207,Adjustments!$B$8:$B$207,$B131,Adjustments!$H$8:$H$207,"Backlog"))</f>
        <v>0</v>
      </c>
      <c r="E131" s="17" t="n">
        <f aca="false">IF($B131="",0,SUMIFS('Zoho Dump'!$Y$8:$Y$3007,'Zoho Dump'!$N$8:$N$3007,$B131,'Zoho Dump'!$T$8:$T$3007,"Pipeline")+SUMIFS(Adjustments!$L$8:$L$207,Adjustments!$B$8:$B$207,$B131,Adjustments!$H$8:$H$207,"Pipeline")+SUMIFS('Zoho Dump'!$Y$8:$Y$3007,'Zoho Dump'!$N$8:$N$3007,$B131,'Zoho Dump'!$T$8:$T$3007,"Overdue")+SUMIFS(Adjustments!$L$8:$L$207,Adjustments!$B$8:$B$207,$B131,Adjustments!$H$8:$H$207,"Overdue"))</f>
        <v>0</v>
      </c>
      <c r="F131" s="17" t="n">
        <f aca="false">IF($B131="",0,SUMIFS('Zoho Dump'!$X$8:$X$3007,'Zoho Dump'!$N$8:$N$3007,$B131,'Zoho Dump'!$T$8:$T$3007,"Pipeline")+SUMIFS(Adjustments!$K$8:$K$207,Adjustments!$B$8:$B$207,$B131,Adjustments!$H$8:$H$207,"Pipeline")+SUMIFS('Zoho Dump'!$X$8:$X$3007,'Zoho Dump'!$N$8:$N$3007,$B131,'Zoho Dump'!$T$8:$T$3007,"Overdue")+SUMIFS(Adjustments!$K$8:$K$207,Adjustments!$B$8:$B$207,$B131,Adjustments!$H$8:$H$207,"Overdue"))</f>
        <v>0</v>
      </c>
      <c r="G131" s="17" t="n">
        <f aca="false">D131+F131</f>
        <v>0</v>
      </c>
      <c r="H131" s="18" t="n">
        <f aca="false">IF(SUM($G$5:$G$404)=0,0,G131/SUM($G$5:$G$404))</f>
        <v>0</v>
      </c>
      <c r="I131" s="17" t="n">
        <f aca="false">IF($B131="",0,SUMIFS('Zoho Dump'!$Q$8:$Q$3007,'Zoho Dump'!$N$8:$N$3007,$B131,'Zoho Dump'!$T$8:$T$3007,"Lost",'Zoho Dump'!$R$8:$R$3007,"&gt;="&amp;Settings!$B$4))</f>
        <v>0</v>
      </c>
      <c r="J131" s="9" t="str">
        <f aca="false">IF($B131="","",IF(COUNTIF(Dashboard!$C$13:$C$22,$B131)&gt;0,"Yes",""))</f>
        <v/>
      </c>
      <c r="K131" s="17" t="n">
        <f aca="false">IF($B131="",0,SUMIFS('Zoho Dump'!$X$8:$X$3007,'Zoho Dump'!$N$8:$N$3007,$B131,'Zoho Dump'!$P$8:$P$3007,Settings!$A$12)+SUMIFS(Adjustments!$K$8:$K$207,Adjustments!$B$8:$B$207,$B131,Adjustments!$A$8:$A$207,Settings!$A$12))</f>
        <v>0</v>
      </c>
      <c r="L131" s="17" t="n">
        <f aca="false">IF($B131="",0,SUMIFS('Zoho Dump'!$X$8:$X$3007,'Zoho Dump'!$N$8:$N$3007,$B131,'Zoho Dump'!$P$8:$P$3007,Settings!$A$13)+SUMIFS(Adjustments!$K$8:$K$207,Adjustments!$B$8:$B$207,$B131,Adjustments!$A$8:$A$207,Settings!$A$13))</f>
        <v>0</v>
      </c>
      <c r="M131" s="17" t="n">
        <f aca="false">IF($B131="",0,SUMIFS('Zoho Dump'!$X$8:$X$3007,'Zoho Dump'!$N$8:$N$3007,$B131,'Zoho Dump'!$P$8:$P$3007,Settings!$A$14)+SUMIFS(Adjustments!$K$8:$K$207,Adjustments!$B$8:$B$207,$B131,Adjustments!$A$8:$A$207,Settings!$A$14))</f>
        <v>0</v>
      </c>
      <c r="N131" s="17" t="n">
        <f aca="false">IF($B131="",0,SUMIFS('Zoho Dump'!$X$8:$X$3007,'Zoho Dump'!$N$8:$N$3007,$B131,'Zoho Dump'!$P$8:$P$3007,Settings!$A$15)+SUMIFS(Adjustments!$K$8:$K$207,Adjustments!$B$8:$B$207,$B131,Adjustments!$A$8:$A$207,Settings!$A$15))</f>
        <v>0</v>
      </c>
      <c r="O131" s="17" t="n">
        <f aca="false">IF($B131="",0,SUMIFS('Zoho Dump'!$X$8:$X$3007,'Zoho Dump'!$N$8:$N$3007,$B131,'Zoho Dump'!$P$8:$P$3007,Settings!$A$16)+SUMIFS(Adjustments!$K$8:$K$207,Adjustments!$B$8:$B$207,$B131,Adjustments!$A$8:$A$207,Settings!$A$16))</f>
        <v>0</v>
      </c>
      <c r="P131" s="17" t="n">
        <f aca="false">IF($B131="",0,SUMIFS('Zoho Dump'!$X$8:$X$3007,'Zoho Dump'!$N$8:$N$3007,$B131,'Zoho Dump'!$P$8:$P$3007,Settings!$A$17)+SUMIFS(Adjustments!$K$8:$K$207,Adjustments!$B$8:$B$207,$B131,Adjustments!$A$8:$A$207,Settings!$A$17))</f>
        <v>0</v>
      </c>
      <c r="Q131" s="17" t="n">
        <f aca="false">IF($B131="",0,SUMIFS('Zoho Dump'!$X$8:$X$3007,'Zoho Dump'!$N$8:$N$3007,$B131,'Zoho Dump'!$P$8:$P$3007,Settings!$A$18)+SUMIFS(Adjustments!$K$8:$K$207,Adjustments!$B$8:$B$207,$B131,Adjustments!$A$8:$A$207,Settings!$A$18))</f>
        <v>0</v>
      </c>
      <c r="R131" s="30" t="str">
        <f aca="false">IF(G131&gt;0,G131+A131/10000000,"")</f>
        <v/>
      </c>
    </row>
    <row r="132" customFormat="false" ht="15" hidden="false" customHeight="false" outlineLevel="0" collapsed="false">
      <c r="A132" s="9" t="n">
        <v>128</v>
      </c>
      <c r="B132" s="9" t="str">
        <f aca="false">IFERROR(INDEX('Zoho Dump'!$N$8:$N$3007,MATCH(A132,'Zoho Dump'!$AB$8:$AB$3007,0)),"")</f>
        <v>The George Institute</v>
      </c>
      <c r="C132" s="17" t="n">
        <f aca="false">IF($B132="",0,SUMIFS('Zoho Dump'!$Q$8:$Q$3007,'Zoho Dump'!$N$8:$N$3007,$B132,'Zoho Dump'!$T$8:$T$3007,"Delivered",'Zoho Dump'!$R$8:$R$3007,"&gt;="&amp;Settings!$B$4))</f>
        <v>0</v>
      </c>
      <c r="D132" s="17" t="n">
        <f aca="false">IF($B132="",0,SUMIFS('Zoho Dump'!$X$8:$X$3007,'Zoho Dump'!$N$8:$N$3007,$B132,'Zoho Dump'!$T$8:$T$3007,"Backlog")+SUMIFS(Adjustments!$K$8:$K$207,Adjustments!$B$8:$B$207,$B132,Adjustments!$H$8:$H$207,"Backlog"))</f>
        <v>0</v>
      </c>
      <c r="E132" s="17" t="n">
        <f aca="false">IF($B132="",0,SUMIFS('Zoho Dump'!$Y$8:$Y$3007,'Zoho Dump'!$N$8:$N$3007,$B132,'Zoho Dump'!$T$8:$T$3007,"Pipeline")+SUMIFS(Adjustments!$L$8:$L$207,Adjustments!$B$8:$B$207,$B132,Adjustments!$H$8:$H$207,"Pipeline")+SUMIFS('Zoho Dump'!$Y$8:$Y$3007,'Zoho Dump'!$N$8:$N$3007,$B132,'Zoho Dump'!$T$8:$T$3007,"Overdue")+SUMIFS(Adjustments!$L$8:$L$207,Adjustments!$B$8:$B$207,$B132,Adjustments!$H$8:$H$207,"Overdue"))</f>
        <v>3360</v>
      </c>
      <c r="F132" s="17" t="n">
        <f aca="false">IF($B132="",0,SUMIFS('Zoho Dump'!$X$8:$X$3007,'Zoho Dump'!$N$8:$N$3007,$B132,'Zoho Dump'!$T$8:$T$3007,"Pipeline")+SUMIFS(Adjustments!$K$8:$K$207,Adjustments!$B$8:$B$207,$B132,Adjustments!$H$8:$H$207,"Pipeline")+SUMIFS('Zoho Dump'!$X$8:$X$3007,'Zoho Dump'!$N$8:$N$3007,$B132,'Zoho Dump'!$T$8:$T$3007,"Overdue")+SUMIFS(Adjustments!$K$8:$K$207,Adjustments!$B$8:$B$207,$B132,Adjustments!$H$8:$H$207,"Overdue"))</f>
        <v>3024</v>
      </c>
      <c r="G132" s="17" t="n">
        <f aca="false">D132+F132</f>
        <v>3024</v>
      </c>
      <c r="H132" s="18" t="n">
        <f aca="false">IF(SUM($G$5:$G$404)=0,0,G132/SUM($G$5:$G$404))</f>
        <v>0.00354429673546126</v>
      </c>
      <c r="I132" s="17" t="n">
        <f aca="false">IF($B132="",0,SUMIFS('Zoho Dump'!$Q$8:$Q$3007,'Zoho Dump'!$N$8:$N$3007,$B132,'Zoho Dump'!$T$8:$T$3007,"Lost",'Zoho Dump'!$R$8:$R$3007,"&gt;="&amp;Settings!$B$4))</f>
        <v>0</v>
      </c>
      <c r="J132" s="9" t="str">
        <f aca="false">IF($B132="","",IF(COUNTIF(Dashboard!$C$13:$C$22,$B132)&gt;0,"Yes",""))</f>
        <v/>
      </c>
      <c r="K132" s="17" t="n">
        <f aca="false">IF($B132="",0,SUMIFS('Zoho Dump'!$X$8:$X$3007,'Zoho Dump'!$N$8:$N$3007,$B132,'Zoho Dump'!$P$8:$P$3007,Settings!$A$12)+SUMIFS(Adjustments!$K$8:$K$207,Adjustments!$B$8:$B$207,$B132,Adjustments!$A$8:$A$207,Settings!$A$12))</f>
        <v>0</v>
      </c>
      <c r="L132" s="17" t="n">
        <f aca="false">IF($B132="",0,SUMIFS('Zoho Dump'!$X$8:$X$3007,'Zoho Dump'!$N$8:$N$3007,$B132,'Zoho Dump'!$P$8:$P$3007,Settings!$A$13)+SUMIFS(Adjustments!$K$8:$K$207,Adjustments!$B$8:$B$207,$B132,Adjustments!$A$8:$A$207,Settings!$A$13))</f>
        <v>3024</v>
      </c>
      <c r="M132" s="17" t="n">
        <f aca="false">IF($B132="",0,SUMIFS('Zoho Dump'!$X$8:$X$3007,'Zoho Dump'!$N$8:$N$3007,$B132,'Zoho Dump'!$P$8:$P$3007,Settings!$A$14)+SUMIFS(Adjustments!$K$8:$K$207,Adjustments!$B$8:$B$207,$B132,Adjustments!$A$8:$A$207,Settings!$A$14))</f>
        <v>0</v>
      </c>
      <c r="N132" s="17" t="n">
        <f aca="false">IF($B132="",0,SUMIFS('Zoho Dump'!$X$8:$X$3007,'Zoho Dump'!$N$8:$N$3007,$B132,'Zoho Dump'!$P$8:$P$3007,Settings!$A$15)+SUMIFS(Adjustments!$K$8:$K$207,Adjustments!$B$8:$B$207,$B132,Adjustments!$A$8:$A$207,Settings!$A$15))</f>
        <v>0</v>
      </c>
      <c r="O132" s="17" t="n">
        <f aca="false">IF($B132="",0,SUMIFS('Zoho Dump'!$X$8:$X$3007,'Zoho Dump'!$N$8:$N$3007,$B132,'Zoho Dump'!$P$8:$P$3007,Settings!$A$16)+SUMIFS(Adjustments!$K$8:$K$207,Adjustments!$B$8:$B$207,$B132,Adjustments!$A$8:$A$207,Settings!$A$16))</f>
        <v>0</v>
      </c>
      <c r="P132" s="17" t="n">
        <f aca="false">IF($B132="",0,SUMIFS('Zoho Dump'!$X$8:$X$3007,'Zoho Dump'!$N$8:$N$3007,$B132,'Zoho Dump'!$P$8:$P$3007,Settings!$A$17)+SUMIFS(Adjustments!$K$8:$K$207,Adjustments!$B$8:$B$207,$B132,Adjustments!$A$8:$A$207,Settings!$A$17))</f>
        <v>0</v>
      </c>
      <c r="Q132" s="17" t="n">
        <f aca="false">IF($B132="",0,SUMIFS('Zoho Dump'!$X$8:$X$3007,'Zoho Dump'!$N$8:$N$3007,$B132,'Zoho Dump'!$P$8:$P$3007,Settings!$A$18)+SUMIFS(Adjustments!$K$8:$K$207,Adjustments!$B$8:$B$207,$B132,Adjustments!$A$8:$A$207,Settings!$A$18))</f>
        <v>0</v>
      </c>
      <c r="R132" s="30" t="n">
        <f aca="false">IF(G132&gt;0,G132+A132/10000000,"")</f>
        <v>3024.0000128</v>
      </c>
    </row>
    <row r="133" customFormat="false" ht="15" hidden="false" customHeight="false" outlineLevel="0" collapsed="false">
      <c r="A133" s="9" t="n">
        <v>129</v>
      </c>
      <c r="B133" s="9" t="str">
        <f aca="false">IFERROR(INDEX('Zoho Dump'!$N$8:$N$3007,MATCH(A133,'Zoho Dump'!$AB$8:$AB$3007,0)),"")</f>
        <v>Sydney Local Health District</v>
      </c>
      <c r="C133" s="17" t="n">
        <f aca="false">IF($B133="",0,SUMIFS('Zoho Dump'!$Q$8:$Q$3007,'Zoho Dump'!$N$8:$N$3007,$B133,'Zoho Dump'!$T$8:$T$3007,"Delivered",'Zoho Dump'!$R$8:$R$3007,"&gt;="&amp;Settings!$B$4))</f>
        <v>0</v>
      </c>
      <c r="D133" s="17" t="n">
        <f aca="false">IF($B133="",0,SUMIFS('Zoho Dump'!$X$8:$X$3007,'Zoho Dump'!$N$8:$N$3007,$B133,'Zoho Dump'!$T$8:$T$3007,"Backlog")+SUMIFS(Adjustments!$K$8:$K$207,Adjustments!$B$8:$B$207,$B133,Adjustments!$H$8:$H$207,"Backlog"))</f>
        <v>0</v>
      </c>
      <c r="E133" s="17" t="n">
        <f aca="false">IF($B133="",0,SUMIFS('Zoho Dump'!$Y$8:$Y$3007,'Zoho Dump'!$N$8:$N$3007,$B133,'Zoho Dump'!$T$8:$T$3007,"Pipeline")+SUMIFS(Adjustments!$L$8:$L$207,Adjustments!$B$8:$B$207,$B133,Adjustments!$H$8:$H$207,"Pipeline")+SUMIFS('Zoho Dump'!$Y$8:$Y$3007,'Zoho Dump'!$N$8:$N$3007,$B133,'Zoho Dump'!$T$8:$T$3007,"Overdue")+SUMIFS(Adjustments!$L$8:$L$207,Adjustments!$B$8:$B$207,$B133,Adjustments!$H$8:$H$207,"Overdue"))</f>
        <v>16523</v>
      </c>
      <c r="F133" s="17" t="n">
        <f aca="false">IF($B133="",0,SUMIFS('Zoho Dump'!$X$8:$X$3007,'Zoho Dump'!$N$8:$N$3007,$B133,'Zoho Dump'!$T$8:$T$3007,"Pipeline")+SUMIFS(Adjustments!$K$8:$K$207,Adjustments!$B$8:$B$207,$B133,Adjustments!$H$8:$H$207,"Pipeline")+SUMIFS('Zoho Dump'!$X$8:$X$3007,'Zoho Dump'!$N$8:$N$3007,$B133,'Zoho Dump'!$T$8:$T$3007,"Overdue")+SUMIFS(Adjustments!$K$8:$K$207,Adjustments!$B$8:$B$207,$B133,Adjustments!$H$8:$H$207,"Overdue"))</f>
        <v>14870.7</v>
      </c>
      <c r="G133" s="17" t="n">
        <f aca="false">D133+F133</f>
        <v>14870.7</v>
      </c>
      <c r="H133" s="18" t="n">
        <f aca="false">IF(SUM($G$5:$G$404)=0,0,G133/SUM($G$5:$G$404))</f>
        <v>0.0174292901666745</v>
      </c>
      <c r="I133" s="17" t="n">
        <f aca="false">IF($B133="",0,SUMIFS('Zoho Dump'!$Q$8:$Q$3007,'Zoho Dump'!$N$8:$N$3007,$B133,'Zoho Dump'!$T$8:$T$3007,"Lost",'Zoho Dump'!$R$8:$R$3007,"&gt;="&amp;Settings!$B$4))</f>
        <v>0</v>
      </c>
      <c r="J133" s="9" t="str">
        <f aca="false">IF($B133="","",IF(COUNTIF(Dashboard!$C$13:$C$22,$B133)&gt;0,"Yes",""))</f>
        <v/>
      </c>
      <c r="K133" s="17" t="n">
        <f aca="false">IF($B133="",0,SUMIFS('Zoho Dump'!$X$8:$X$3007,'Zoho Dump'!$N$8:$N$3007,$B133,'Zoho Dump'!$P$8:$P$3007,Settings!$A$12)+SUMIFS(Adjustments!$K$8:$K$207,Adjustments!$B$8:$B$207,$B133,Adjustments!$A$8:$A$207,Settings!$A$12))</f>
        <v>0</v>
      </c>
      <c r="L133" s="17" t="n">
        <f aca="false">IF($B133="",0,SUMIFS('Zoho Dump'!$X$8:$X$3007,'Zoho Dump'!$N$8:$N$3007,$B133,'Zoho Dump'!$P$8:$P$3007,Settings!$A$13)+SUMIFS(Adjustments!$K$8:$K$207,Adjustments!$B$8:$B$207,$B133,Adjustments!$A$8:$A$207,Settings!$A$13))</f>
        <v>14870.7</v>
      </c>
      <c r="M133" s="17" t="n">
        <f aca="false">IF($B133="",0,SUMIFS('Zoho Dump'!$X$8:$X$3007,'Zoho Dump'!$N$8:$N$3007,$B133,'Zoho Dump'!$P$8:$P$3007,Settings!$A$14)+SUMIFS(Adjustments!$K$8:$K$207,Adjustments!$B$8:$B$207,$B133,Adjustments!$A$8:$A$207,Settings!$A$14))</f>
        <v>0</v>
      </c>
      <c r="N133" s="17" t="n">
        <f aca="false">IF($B133="",0,SUMIFS('Zoho Dump'!$X$8:$X$3007,'Zoho Dump'!$N$8:$N$3007,$B133,'Zoho Dump'!$P$8:$P$3007,Settings!$A$15)+SUMIFS(Adjustments!$K$8:$K$207,Adjustments!$B$8:$B$207,$B133,Adjustments!$A$8:$A$207,Settings!$A$15))</f>
        <v>0</v>
      </c>
      <c r="O133" s="17" t="n">
        <f aca="false">IF($B133="",0,SUMIFS('Zoho Dump'!$X$8:$X$3007,'Zoho Dump'!$N$8:$N$3007,$B133,'Zoho Dump'!$P$8:$P$3007,Settings!$A$16)+SUMIFS(Adjustments!$K$8:$K$207,Adjustments!$B$8:$B$207,$B133,Adjustments!$A$8:$A$207,Settings!$A$16))</f>
        <v>0</v>
      </c>
      <c r="P133" s="17" t="n">
        <f aca="false">IF($B133="",0,SUMIFS('Zoho Dump'!$X$8:$X$3007,'Zoho Dump'!$N$8:$N$3007,$B133,'Zoho Dump'!$P$8:$P$3007,Settings!$A$17)+SUMIFS(Adjustments!$K$8:$K$207,Adjustments!$B$8:$B$207,$B133,Adjustments!$A$8:$A$207,Settings!$A$17))</f>
        <v>0</v>
      </c>
      <c r="Q133" s="17" t="n">
        <f aca="false">IF($B133="",0,SUMIFS('Zoho Dump'!$X$8:$X$3007,'Zoho Dump'!$N$8:$N$3007,$B133,'Zoho Dump'!$P$8:$P$3007,Settings!$A$18)+SUMIFS(Adjustments!$K$8:$K$207,Adjustments!$B$8:$B$207,$B133,Adjustments!$A$8:$A$207,Settings!$A$18))</f>
        <v>0</v>
      </c>
      <c r="R133" s="30" t="n">
        <f aca="false">IF(G133&gt;0,G133+A133/10000000,"")</f>
        <v>14870.7000129</v>
      </c>
    </row>
    <row r="134" customFormat="false" ht="15" hidden="false" customHeight="false" outlineLevel="0" collapsed="false">
      <c r="A134" s="9" t="n">
        <v>130</v>
      </c>
      <c r="B134" s="9" t="str">
        <f aca="false">IFERROR(INDEX('Zoho Dump'!$N$8:$N$3007,MATCH(A134,'Zoho Dump'!$AB$8:$AB$3007,0)),"")</f>
        <v>Sequoia Financial Group Limited</v>
      </c>
      <c r="C134" s="17" t="n">
        <f aca="false">IF($B134="",0,SUMIFS('Zoho Dump'!$Q$8:$Q$3007,'Zoho Dump'!$N$8:$N$3007,$B134,'Zoho Dump'!$T$8:$T$3007,"Delivered",'Zoho Dump'!$R$8:$R$3007,"&gt;="&amp;Settings!$B$4))</f>
        <v>0</v>
      </c>
      <c r="D134" s="17" t="n">
        <f aca="false">IF($B134="",0,SUMIFS('Zoho Dump'!$X$8:$X$3007,'Zoho Dump'!$N$8:$N$3007,$B134,'Zoho Dump'!$T$8:$T$3007,"Backlog")+SUMIFS(Adjustments!$K$8:$K$207,Adjustments!$B$8:$B$207,$B134,Adjustments!$H$8:$H$207,"Backlog"))</f>
        <v>0</v>
      </c>
      <c r="E134" s="17" t="n">
        <f aca="false">IF($B134="",0,SUMIFS('Zoho Dump'!$Y$8:$Y$3007,'Zoho Dump'!$N$8:$N$3007,$B134,'Zoho Dump'!$T$8:$T$3007,"Pipeline")+SUMIFS(Adjustments!$L$8:$L$207,Adjustments!$B$8:$B$207,$B134,Adjustments!$H$8:$H$207,"Pipeline")+SUMIFS('Zoho Dump'!$Y$8:$Y$3007,'Zoho Dump'!$N$8:$N$3007,$B134,'Zoho Dump'!$T$8:$T$3007,"Overdue")+SUMIFS(Adjustments!$L$8:$L$207,Adjustments!$B$8:$B$207,$B134,Adjustments!$H$8:$H$207,"Overdue"))</f>
        <v>0</v>
      </c>
      <c r="F134" s="17" t="n">
        <f aca="false">IF($B134="",0,SUMIFS('Zoho Dump'!$X$8:$X$3007,'Zoho Dump'!$N$8:$N$3007,$B134,'Zoho Dump'!$T$8:$T$3007,"Pipeline")+SUMIFS(Adjustments!$K$8:$K$207,Adjustments!$B$8:$B$207,$B134,Adjustments!$H$8:$H$207,"Pipeline")+SUMIFS('Zoho Dump'!$X$8:$X$3007,'Zoho Dump'!$N$8:$N$3007,$B134,'Zoho Dump'!$T$8:$T$3007,"Overdue")+SUMIFS(Adjustments!$K$8:$K$207,Adjustments!$B$8:$B$207,$B134,Adjustments!$H$8:$H$207,"Overdue"))</f>
        <v>0</v>
      </c>
      <c r="G134" s="17" t="n">
        <f aca="false">D134+F134</f>
        <v>0</v>
      </c>
      <c r="H134" s="18" t="n">
        <f aca="false">IF(SUM($G$5:$G$404)=0,0,G134/SUM($G$5:$G$404))</f>
        <v>0</v>
      </c>
      <c r="I134" s="17" t="n">
        <f aca="false">IF($B134="",0,SUMIFS('Zoho Dump'!$Q$8:$Q$3007,'Zoho Dump'!$N$8:$N$3007,$B134,'Zoho Dump'!$T$8:$T$3007,"Lost",'Zoho Dump'!$R$8:$R$3007,"&gt;="&amp;Settings!$B$4))</f>
        <v>0</v>
      </c>
      <c r="J134" s="9" t="str">
        <f aca="false">IF($B134="","",IF(COUNTIF(Dashboard!$C$13:$C$22,$B134)&gt;0,"Yes",""))</f>
        <v/>
      </c>
      <c r="K134" s="17" t="n">
        <f aca="false">IF($B134="",0,SUMIFS('Zoho Dump'!$X$8:$X$3007,'Zoho Dump'!$N$8:$N$3007,$B134,'Zoho Dump'!$P$8:$P$3007,Settings!$A$12)+SUMIFS(Adjustments!$K$8:$K$207,Adjustments!$B$8:$B$207,$B134,Adjustments!$A$8:$A$207,Settings!$A$12))</f>
        <v>0</v>
      </c>
      <c r="L134" s="17" t="n">
        <f aca="false">IF($B134="",0,SUMIFS('Zoho Dump'!$X$8:$X$3007,'Zoho Dump'!$N$8:$N$3007,$B134,'Zoho Dump'!$P$8:$P$3007,Settings!$A$13)+SUMIFS(Adjustments!$K$8:$K$207,Adjustments!$B$8:$B$207,$B134,Adjustments!$A$8:$A$207,Settings!$A$13))</f>
        <v>0</v>
      </c>
      <c r="M134" s="17" t="n">
        <f aca="false">IF($B134="",0,SUMIFS('Zoho Dump'!$X$8:$X$3007,'Zoho Dump'!$N$8:$N$3007,$B134,'Zoho Dump'!$P$8:$P$3007,Settings!$A$14)+SUMIFS(Adjustments!$K$8:$K$207,Adjustments!$B$8:$B$207,$B134,Adjustments!$A$8:$A$207,Settings!$A$14))</f>
        <v>0</v>
      </c>
      <c r="N134" s="17" t="n">
        <f aca="false">IF($B134="",0,SUMIFS('Zoho Dump'!$X$8:$X$3007,'Zoho Dump'!$N$8:$N$3007,$B134,'Zoho Dump'!$P$8:$P$3007,Settings!$A$15)+SUMIFS(Adjustments!$K$8:$K$207,Adjustments!$B$8:$B$207,$B134,Adjustments!$A$8:$A$207,Settings!$A$15))</f>
        <v>0</v>
      </c>
      <c r="O134" s="17" t="n">
        <f aca="false">IF($B134="",0,SUMIFS('Zoho Dump'!$X$8:$X$3007,'Zoho Dump'!$N$8:$N$3007,$B134,'Zoho Dump'!$P$8:$P$3007,Settings!$A$16)+SUMIFS(Adjustments!$K$8:$K$207,Adjustments!$B$8:$B$207,$B134,Adjustments!$A$8:$A$207,Settings!$A$16))</f>
        <v>0</v>
      </c>
      <c r="P134" s="17" t="n">
        <f aca="false">IF($B134="",0,SUMIFS('Zoho Dump'!$X$8:$X$3007,'Zoho Dump'!$N$8:$N$3007,$B134,'Zoho Dump'!$P$8:$P$3007,Settings!$A$17)+SUMIFS(Adjustments!$K$8:$K$207,Adjustments!$B$8:$B$207,$B134,Adjustments!$A$8:$A$207,Settings!$A$17))</f>
        <v>0</v>
      </c>
      <c r="Q134" s="17" t="n">
        <f aca="false">IF($B134="",0,SUMIFS('Zoho Dump'!$X$8:$X$3007,'Zoho Dump'!$N$8:$N$3007,$B134,'Zoho Dump'!$P$8:$P$3007,Settings!$A$18)+SUMIFS(Adjustments!$K$8:$K$207,Adjustments!$B$8:$B$207,$B134,Adjustments!$A$8:$A$207,Settings!$A$18))</f>
        <v>0</v>
      </c>
      <c r="R134" s="30" t="str">
        <f aca="false">IF(G134&gt;0,G134+A134/10000000,"")</f>
        <v/>
      </c>
    </row>
    <row r="135" customFormat="false" ht="15" hidden="false" customHeight="false" outlineLevel="0" collapsed="false">
      <c r="A135" s="9" t="n">
        <v>131</v>
      </c>
      <c r="B135" s="9" t="str">
        <f aca="false">IFERROR(INDEX('Zoho Dump'!$N$8:$N$3007,MATCH(A135,'Zoho Dump'!$AB$8:$AB$3007,0)),"")</f>
        <v>Phillip St Restaurant</v>
      </c>
      <c r="C135" s="17" t="n">
        <f aca="false">IF($B135="",0,SUMIFS('Zoho Dump'!$Q$8:$Q$3007,'Zoho Dump'!$N$8:$N$3007,$B135,'Zoho Dump'!$T$8:$T$3007,"Delivered",'Zoho Dump'!$R$8:$R$3007,"&gt;="&amp;Settings!$B$4))</f>
        <v>0</v>
      </c>
      <c r="D135" s="17" t="n">
        <f aca="false">IF($B135="",0,SUMIFS('Zoho Dump'!$X$8:$X$3007,'Zoho Dump'!$N$8:$N$3007,$B135,'Zoho Dump'!$T$8:$T$3007,"Backlog")+SUMIFS(Adjustments!$K$8:$K$207,Adjustments!$B$8:$B$207,$B135,Adjustments!$H$8:$H$207,"Backlog"))</f>
        <v>0</v>
      </c>
      <c r="E135" s="17" t="n">
        <f aca="false">IF($B135="",0,SUMIFS('Zoho Dump'!$Y$8:$Y$3007,'Zoho Dump'!$N$8:$N$3007,$B135,'Zoho Dump'!$T$8:$T$3007,"Pipeline")+SUMIFS(Adjustments!$L$8:$L$207,Adjustments!$B$8:$B$207,$B135,Adjustments!$H$8:$H$207,"Pipeline")+SUMIFS('Zoho Dump'!$Y$8:$Y$3007,'Zoho Dump'!$N$8:$N$3007,$B135,'Zoho Dump'!$T$8:$T$3007,"Overdue")+SUMIFS(Adjustments!$L$8:$L$207,Adjustments!$B$8:$B$207,$B135,Adjustments!$H$8:$H$207,"Overdue"))</f>
        <v>7075</v>
      </c>
      <c r="F135" s="17" t="n">
        <f aca="false">IF($B135="",0,SUMIFS('Zoho Dump'!$X$8:$X$3007,'Zoho Dump'!$N$8:$N$3007,$B135,'Zoho Dump'!$T$8:$T$3007,"Pipeline")+SUMIFS(Adjustments!$K$8:$K$207,Adjustments!$B$8:$B$207,$B135,Adjustments!$H$8:$H$207,"Pipeline")+SUMIFS('Zoho Dump'!$X$8:$X$3007,'Zoho Dump'!$N$8:$N$3007,$B135,'Zoho Dump'!$T$8:$T$3007,"Overdue")+SUMIFS(Adjustments!$K$8:$K$207,Adjustments!$B$8:$B$207,$B135,Adjustments!$H$8:$H$207,"Overdue"))</f>
        <v>1415</v>
      </c>
      <c r="G135" s="17" t="n">
        <f aca="false">D135+F135</f>
        <v>1415</v>
      </c>
      <c r="H135" s="18" t="n">
        <f aca="false">IF(SUM($G$5:$G$404)=0,0,G135/SUM($G$5:$G$404))</f>
        <v>0.00165845895525056</v>
      </c>
      <c r="I135" s="17" t="n">
        <f aca="false">IF($B135="",0,SUMIFS('Zoho Dump'!$Q$8:$Q$3007,'Zoho Dump'!$N$8:$N$3007,$B135,'Zoho Dump'!$T$8:$T$3007,"Lost",'Zoho Dump'!$R$8:$R$3007,"&gt;="&amp;Settings!$B$4))</f>
        <v>0</v>
      </c>
      <c r="J135" s="9" t="str">
        <f aca="false">IF($B135="","",IF(COUNTIF(Dashboard!$C$13:$C$22,$B135)&gt;0,"Yes",""))</f>
        <v/>
      </c>
      <c r="K135" s="17" t="n">
        <f aca="false">IF($B135="",0,SUMIFS('Zoho Dump'!$X$8:$X$3007,'Zoho Dump'!$N$8:$N$3007,$B135,'Zoho Dump'!$P$8:$P$3007,Settings!$A$12)+SUMIFS(Adjustments!$K$8:$K$207,Adjustments!$B$8:$B$207,$B135,Adjustments!$A$8:$A$207,Settings!$A$12))</f>
        <v>0</v>
      </c>
      <c r="L135" s="17" t="n">
        <f aca="false">IF($B135="",0,SUMIFS('Zoho Dump'!$X$8:$X$3007,'Zoho Dump'!$N$8:$N$3007,$B135,'Zoho Dump'!$P$8:$P$3007,Settings!$A$13)+SUMIFS(Adjustments!$K$8:$K$207,Adjustments!$B$8:$B$207,$B135,Adjustments!$A$8:$A$207,Settings!$A$13))</f>
        <v>1415</v>
      </c>
      <c r="M135" s="17" t="n">
        <f aca="false">IF($B135="",0,SUMIFS('Zoho Dump'!$X$8:$X$3007,'Zoho Dump'!$N$8:$N$3007,$B135,'Zoho Dump'!$P$8:$P$3007,Settings!$A$14)+SUMIFS(Adjustments!$K$8:$K$207,Adjustments!$B$8:$B$207,$B135,Adjustments!$A$8:$A$207,Settings!$A$14))</f>
        <v>0</v>
      </c>
      <c r="N135" s="17" t="n">
        <f aca="false">IF($B135="",0,SUMIFS('Zoho Dump'!$X$8:$X$3007,'Zoho Dump'!$N$8:$N$3007,$B135,'Zoho Dump'!$P$8:$P$3007,Settings!$A$15)+SUMIFS(Adjustments!$K$8:$K$207,Adjustments!$B$8:$B$207,$B135,Adjustments!$A$8:$A$207,Settings!$A$15))</f>
        <v>0</v>
      </c>
      <c r="O135" s="17" t="n">
        <f aca="false">IF($B135="",0,SUMIFS('Zoho Dump'!$X$8:$X$3007,'Zoho Dump'!$N$8:$N$3007,$B135,'Zoho Dump'!$P$8:$P$3007,Settings!$A$16)+SUMIFS(Adjustments!$K$8:$K$207,Adjustments!$B$8:$B$207,$B135,Adjustments!$A$8:$A$207,Settings!$A$16))</f>
        <v>0</v>
      </c>
      <c r="P135" s="17" t="n">
        <f aca="false">IF($B135="",0,SUMIFS('Zoho Dump'!$X$8:$X$3007,'Zoho Dump'!$N$8:$N$3007,$B135,'Zoho Dump'!$P$8:$P$3007,Settings!$A$17)+SUMIFS(Adjustments!$K$8:$K$207,Adjustments!$B$8:$B$207,$B135,Adjustments!$A$8:$A$207,Settings!$A$17))</f>
        <v>0</v>
      </c>
      <c r="Q135" s="17" t="n">
        <f aca="false">IF($B135="",0,SUMIFS('Zoho Dump'!$X$8:$X$3007,'Zoho Dump'!$N$8:$N$3007,$B135,'Zoho Dump'!$P$8:$P$3007,Settings!$A$18)+SUMIFS(Adjustments!$K$8:$K$207,Adjustments!$B$8:$B$207,$B135,Adjustments!$A$8:$A$207,Settings!$A$18))</f>
        <v>0</v>
      </c>
      <c r="R135" s="30" t="n">
        <f aca="false">IF(G135&gt;0,G135+A135/10000000,"")</f>
        <v>1415.0000131</v>
      </c>
    </row>
    <row r="136" customFormat="false" ht="15" hidden="false" customHeight="false" outlineLevel="0" collapsed="false">
      <c r="A136" s="9" t="n">
        <v>132</v>
      </c>
      <c r="B136" s="9" t="str">
        <f aca="false">IFERROR(INDEX('Zoho Dump'!$N$8:$N$3007,MATCH(A136,'Zoho Dump'!$AB$8:$AB$3007,0)),"")</f>
        <v>Emeco Group</v>
      </c>
      <c r="C136" s="17" t="n">
        <f aca="false">IF($B136="",0,SUMIFS('Zoho Dump'!$Q$8:$Q$3007,'Zoho Dump'!$N$8:$N$3007,$B136,'Zoho Dump'!$T$8:$T$3007,"Delivered",'Zoho Dump'!$R$8:$R$3007,"&gt;="&amp;Settings!$B$4))</f>
        <v>0</v>
      </c>
      <c r="D136" s="17" t="n">
        <f aca="false">IF($B136="",0,SUMIFS('Zoho Dump'!$X$8:$X$3007,'Zoho Dump'!$N$8:$N$3007,$B136,'Zoho Dump'!$T$8:$T$3007,"Backlog")+SUMIFS(Adjustments!$K$8:$K$207,Adjustments!$B$8:$B$207,$B136,Adjustments!$H$8:$H$207,"Backlog"))</f>
        <v>0</v>
      </c>
      <c r="E136" s="17" t="n">
        <f aca="false">IF($B136="",0,SUMIFS('Zoho Dump'!$Y$8:$Y$3007,'Zoho Dump'!$N$8:$N$3007,$B136,'Zoho Dump'!$T$8:$T$3007,"Pipeline")+SUMIFS(Adjustments!$L$8:$L$207,Adjustments!$B$8:$B$207,$B136,Adjustments!$H$8:$H$207,"Pipeline")+SUMIFS('Zoho Dump'!$Y$8:$Y$3007,'Zoho Dump'!$N$8:$N$3007,$B136,'Zoho Dump'!$T$8:$T$3007,"Overdue")+SUMIFS(Adjustments!$L$8:$L$207,Adjustments!$B$8:$B$207,$B136,Adjustments!$H$8:$H$207,"Overdue"))</f>
        <v>4000</v>
      </c>
      <c r="F136" s="17" t="n">
        <f aca="false">IF($B136="",0,SUMIFS('Zoho Dump'!$X$8:$X$3007,'Zoho Dump'!$N$8:$N$3007,$B136,'Zoho Dump'!$T$8:$T$3007,"Pipeline")+SUMIFS(Adjustments!$K$8:$K$207,Adjustments!$B$8:$B$207,$B136,Adjustments!$H$8:$H$207,"Pipeline")+SUMIFS('Zoho Dump'!$X$8:$X$3007,'Zoho Dump'!$N$8:$N$3007,$B136,'Zoho Dump'!$T$8:$T$3007,"Overdue")+SUMIFS(Adjustments!$K$8:$K$207,Adjustments!$B$8:$B$207,$B136,Adjustments!$H$8:$H$207,"Overdue"))</f>
        <v>800</v>
      </c>
      <c r="G136" s="17" t="n">
        <f aca="false">D136+F136</f>
        <v>800</v>
      </c>
      <c r="H136" s="18" t="n">
        <f aca="false">IF(SUM($G$5:$G$404)=0,0,G136/SUM($G$5:$G$404))</f>
        <v>0.000937644639010916</v>
      </c>
      <c r="I136" s="17" t="n">
        <f aca="false">IF($B136="",0,SUMIFS('Zoho Dump'!$Q$8:$Q$3007,'Zoho Dump'!$N$8:$N$3007,$B136,'Zoho Dump'!$T$8:$T$3007,"Lost",'Zoho Dump'!$R$8:$R$3007,"&gt;="&amp;Settings!$B$4))</f>
        <v>0</v>
      </c>
      <c r="J136" s="9" t="str">
        <f aca="false">IF($B136="","",IF(COUNTIF(Dashboard!$C$13:$C$22,$B136)&gt;0,"Yes",""))</f>
        <v/>
      </c>
      <c r="K136" s="17" t="n">
        <f aca="false">IF($B136="",0,SUMIFS('Zoho Dump'!$X$8:$X$3007,'Zoho Dump'!$N$8:$N$3007,$B136,'Zoho Dump'!$P$8:$P$3007,Settings!$A$12)+SUMIFS(Adjustments!$K$8:$K$207,Adjustments!$B$8:$B$207,$B136,Adjustments!$A$8:$A$207,Settings!$A$12))</f>
        <v>0</v>
      </c>
      <c r="L136" s="17" t="n">
        <f aca="false">IF($B136="",0,SUMIFS('Zoho Dump'!$X$8:$X$3007,'Zoho Dump'!$N$8:$N$3007,$B136,'Zoho Dump'!$P$8:$P$3007,Settings!$A$13)+SUMIFS(Adjustments!$K$8:$K$207,Adjustments!$B$8:$B$207,$B136,Adjustments!$A$8:$A$207,Settings!$A$13))</f>
        <v>800</v>
      </c>
      <c r="M136" s="17" t="n">
        <f aca="false">IF($B136="",0,SUMIFS('Zoho Dump'!$X$8:$X$3007,'Zoho Dump'!$N$8:$N$3007,$B136,'Zoho Dump'!$P$8:$P$3007,Settings!$A$14)+SUMIFS(Adjustments!$K$8:$K$207,Adjustments!$B$8:$B$207,$B136,Adjustments!$A$8:$A$207,Settings!$A$14))</f>
        <v>0</v>
      </c>
      <c r="N136" s="17" t="n">
        <f aca="false">IF($B136="",0,SUMIFS('Zoho Dump'!$X$8:$X$3007,'Zoho Dump'!$N$8:$N$3007,$B136,'Zoho Dump'!$P$8:$P$3007,Settings!$A$15)+SUMIFS(Adjustments!$K$8:$K$207,Adjustments!$B$8:$B$207,$B136,Adjustments!$A$8:$A$207,Settings!$A$15))</f>
        <v>0</v>
      </c>
      <c r="O136" s="17" t="n">
        <f aca="false">IF($B136="",0,SUMIFS('Zoho Dump'!$X$8:$X$3007,'Zoho Dump'!$N$8:$N$3007,$B136,'Zoho Dump'!$P$8:$P$3007,Settings!$A$16)+SUMIFS(Adjustments!$K$8:$K$207,Adjustments!$B$8:$B$207,$B136,Adjustments!$A$8:$A$207,Settings!$A$16))</f>
        <v>0</v>
      </c>
      <c r="P136" s="17" t="n">
        <f aca="false">IF($B136="",0,SUMIFS('Zoho Dump'!$X$8:$X$3007,'Zoho Dump'!$N$8:$N$3007,$B136,'Zoho Dump'!$P$8:$P$3007,Settings!$A$17)+SUMIFS(Adjustments!$K$8:$K$207,Adjustments!$B$8:$B$207,$B136,Adjustments!$A$8:$A$207,Settings!$A$17))</f>
        <v>0</v>
      </c>
      <c r="Q136" s="17" t="n">
        <f aca="false">IF($B136="",0,SUMIFS('Zoho Dump'!$X$8:$X$3007,'Zoho Dump'!$N$8:$N$3007,$B136,'Zoho Dump'!$P$8:$P$3007,Settings!$A$18)+SUMIFS(Adjustments!$K$8:$K$207,Adjustments!$B$8:$B$207,$B136,Adjustments!$A$8:$A$207,Settings!$A$18))</f>
        <v>0</v>
      </c>
      <c r="R136" s="30" t="n">
        <f aca="false">IF(G136&gt;0,G136+A136/10000000,"")</f>
        <v>800.0000132</v>
      </c>
    </row>
    <row r="137" customFormat="false" ht="15" hidden="false" customHeight="false" outlineLevel="0" collapsed="false">
      <c r="A137" s="9" t="n">
        <v>133</v>
      </c>
      <c r="B137" s="9" t="str">
        <f aca="false">IFERROR(INDEX('Zoho Dump'!$N$8:$N$3007,MATCH(A137,'Zoho Dump'!$AB$8:$AB$3007,0)),"")</f>
        <v>AGIG</v>
      </c>
      <c r="C137" s="17" t="n">
        <f aca="false">IF($B137="",0,SUMIFS('Zoho Dump'!$Q$8:$Q$3007,'Zoho Dump'!$N$8:$N$3007,$B137,'Zoho Dump'!$T$8:$T$3007,"Delivered",'Zoho Dump'!$R$8:$R$3007,"&gt;="&amp;Settings!$B$4))</f>
        <v>0</v>
      </c>
      <c r="D137" s="17" t="n">
        <f aca="false">IF($B137="",0,SUMIFS('Zoho Dump'!$X$8:$X$3007,'Zoho Dump'!$N$8:$N$3007,$B137,'Zoho Dump'!$T$8:$T$3007,"Backlog")+SUMIFS(Adjustments!$K$8:$K$207,Adjustments!$B$8:$B$207,$B137,Adjustments!$H$8:$H$207,"Backlog"))</f>
        <v>0</v>
      </c>
      <c r="E137" s="17" t="n">
        <f aca="false">IF($B137="",0,SUMIFS('Zoho Dump'!$Y$8:$Y$3007,'Zoho Dump'!$N$8:$N$3007,$B137,'Zoho Dump'!$T$8:$T$3007,"Pipeline")+SUMIFS(Adjustments!$L$8:$L$207,Adjustments!$B$8:$B$207,$B137,Adjustments!$H$8:$H$207,"Pipeline")+SUMIFS('Zoho Dump'!$Y$8:$Y$3007,'Zoho Dump'!$N$8:$N$3007,$B137,'Zoho Dump'!$T$8:$T$3007,"Overdue")+SUMIFS(Adjustments!$L$8:$L$207,Adjustments!$B$8:$B$207,$B137,Adjustments!$H$8:$H$207,"Overdue"))</f>
        <v>0</v>
      </c>
      <c r="F137" s="17" t="n">
        <f aca="false">IF($B137="",0,SUMIFS('Zoho Dump'!$X$8:$X$3007,'Zoho Dump'!$N$8:$N$3007,$B137,'Zoho Dump'!$T$8:$T$3007,"Pipeline")+SUMIFS(Adjustments!$K$8:$K$207,Adjustments!$B$8:$B$207,$B137,Adjustments!$H$8:$H$207,"Pipeline")+SUMIFS('Zoho Dump'!$X$8:$X$3007,'Zoho Dump'!$N$8:$N$3007,$B137,'Zoho Dump'!$T$8:$T$3007,"Overdue")+SUMIFS(Adjustments!$K$8:$K$207,Adjustments!$B$8:$B$207,$B137,Adjustments!$H$8:$H$207,"Overdue"))</f>
        <v>0</v>
      </c>
      <c r="G137" s="17" t="n">
        <f aca="false">D137+F137</f>
        <v>0</v>
      </c>
      <c r="H137" s="18" t="n">
        <f aca="false">IF(SUM($G$5:$G$404)=0,0,G137/SUM($G$5:$G$404))</f>
        <v>0</v>
      </c>
      <c r="I137" s="17" t="n">
        <f aca="false">IF($B137="",0,SUMIFS('Zoho Dump'!$Q$8:$Q$3007,'Zoho Dump'!$N$8:$N$3007,$B137,'Zoho Dump'!$T$8:$T$3007,"Lost",'Zoho Dump'!$R$8:$R$3007,"&gt;="&amp;Settings!$B$4))</f>
        <v>0</v>
      </c>
      <c r="J137" s="9" t="str">
        <f aca="false">IF($B137="","",IF(COUNTIF(Dashboard!$C$13:$C$22,$B137)&gt;0,"Yes",""))</f>
        <v/>
      </c>
      <c r="K137" s="17" t="n">
        <f aca="false">IF($B137="",0,SUMIFS('Zoho Dump'!$X$8:$X$3007,'Zoho Dump'!$N$8:$N$3007,$B137,'Zoho Dump'!$P$8:$P$3007,Settings!$A$12)+SUMIFS(Adjustments!$K$8:$K$207,Adjustments!$B$8:$B$207,$B137,Adjustments!$A$8:$A$207,Settings!$A$12))</f>
        <v>0</v>
      </c>
      <c r="L137" s="17" t="n">
        <f aca="false">IF($B137="",0,SUMIFS('Zoho Dump'!$X$8:$X$3007,'Zoho Dump'!$N$8:$N$3007,$B137,'Zoho Dump'!$P$8:$P$3007,Settings!$A$13)+SUMIFS(Adjustments!$K$8:$K$207,Adjustments!$B$8:$B$207,$B137,Adjustments!$A$8:$A$207,Settings!$A$13))</f>
        <v>0</v>
      </c>
      <c r="M137" s="17" t="n">
        <f aca="false">IF($B137="",0,SUMIFS('Zoho Dump'!$X$8:$X$3007,'Zoho Dump'!$N$8:$N$3007,$B137,'Zoho Dump'!$P$8:$P$3007,Settings!$A$14)+SUMIFS(Adjustments!$K$8:$K$207,Adjustments!$B$8:$B$207,$B137,Adjustments!$A$8:$A$207,Settings!$A$14))</f>
        <v>0</v>
      </c>
      <c r="N137" s="17" t="n">
        <f aca="false">IF($B137="",0,SUMIFS('Zoho Dump'!$X$8:$X$3007,'Zoho Dump'!$N$8:$N$3007,$B137,'Zoho Dump'!$P$8:$P$3007,Settings!$A$15)+SUMIFS(Adjustments!$K$8:$K$207,Adjustments!$B$8:$B$207,$B137,Adjustments!$A$8:$A$207,Settings!$A$15))</f>
        <v>0</v>
      </c>
      <c r="O137" s="17" t="n">
        <f aca="false">IF($B137="",0,SUMIFS('Zoho Dump'!$X$8:$X$3007,'Zoho Dump'!$N$8:$N$3007,$B137,'Zoho Dump'!$P$8:$P$3007,Settings!$A$16)+SUMIFS(Adjustments!$K$8:$K$207,Adjustments!$B$8:$B$207,$B137,Adjustments!$A$8:$A$207,Settings!$A$16))</f>
        <v>0</v>
      </c>
      <c r="P137" s="17" t="n">
        <f aca="false">IF($B137="",0,SUMIFS('Zoho Dump'!$X$8:$X$3007,'Zoho Dump'!$N$8:$N$3007,$B137,'Zoho Dump'!$P$8:$P$3007,Settings!$A$17)+SUMIFS(Adjustments!$K$8:$K$207,Adjustments!$B$8:$B$207,$B137,Adjustments!$A$8:$A$207,Settings!$A$17))</f>
        <v>0</v>
      </c>
      <c r="Q137" s="17" t="n">
        <f aca="false">IF($B137="",0,SUMIFS('Zoho Dump'!$X$8:$X$3007,'Zoho Dump'!$N$8:$N$3007,$B137,'Zoho Dump'!$P$8:$P$3007,Settings!$A$18)+SUMIFS(Adjustments!$K$8:$K$207,Adjustments!$B$8:$B$207,$B137,Adjustments!$A$8:$A$207,Settings!$A$18))</f>
        <v>0</v>
      </c>
      <c r="R137" s="30" t="str">
        <f aca="false">IF(G137&gt;0,G137+A137/10000000,"")</f>
        <v/>
      </c>
    </row>
    <row r="138" customFormat="false" ht="15" hidden="false" customHeight="false" outlineLevel="0" collapsed="false">
      <c r="A138" s="9" t="n">
        <v>134</v>
      </c>
      <c r="B138" s="9" t="str">
        <f aca="false">IFERROR(INDEX('Zoho Dump'!$N$8:$N$3007,MATCH(A138,'Zoho Dump'!$AB$8:$AB$3007,0)),"")</f>
        <v/>
      </c>
      <c r="C138" s="17" t="n">
        <f aca="false">IF($B138="",0,SUMIFS('Zoho Dump'!$Q$8:$Q$3007,'Zoho Dump'!$N$8:$N$3007,$B138,'Zoho Dump'!$T$8:$T$3007,"Delivered",'Zoho Dump'!$R$8:$R$3007,"&gt;="&amp;Settings!$B$4))</f>
        <v>0</v>
      </c>
      <c r="D138" s="17" t="n">
        <f aca="false">IF($B138="",0,SUMIFS('Zoho Dump'!$X$8:$X$3007,'Zoho Dump'!$N$8:$N$3007,$B138,'Zoho Dump'!$T$8:$T$3007,"Backlog")+SUMIFS(Adjustments!$K$8:$K$207,Adjustments!$B$8:$B$207,$B138,Adjustments!$H$8:$H$207,"Backlog"))</f>
        <v>0</v>
      </c>
      <c r="E138" s="17" t="n">
        <f aca="false">IF($B138="",0,SUMIFS('Zoho Dump'!$Y$8:$Y$3007,'Zoho Dump'!$N$8:$N$3007,$B138,'Zoho Dump'!$T$8:$T$3007,"Pipeline")+SUMIFS(Adjustments!$L$8:$L$207,Adjustments!$B$8:$B$207,$B138,Adjustments!$H$8:$H$207,"Pipeline")+SUMIFS('Zoho Dump'!$Y$8:$Y$3007,'Zoho Dump'!$N$8:$N$3007,$B138,'Zoho Dump'!$T$8:$T$3007,"Overdue")+SUMIFS(Adjustments!$L$8:$L$207,Adjustments!$B$8:$B$207,$B138,Adjustments!$H$8:$H$207,"Overdue"))</f>
        <v>0</v>
      </c>
      <c r="F138" s="17" t="n">
        <f aca="false">IF($B138="",0,SUMIFS('Zoho Dump'!$X$8:$X$3007,'Zoho Dump'!$N$8:$N$3007,$B138,'Zoho Dump'!$T$8:$T$3007,"Pipeline")+SUMIFS(Adjustments!$K$8:$K$207,Adjustments!$B$8:$B$207,$B138,Adjustments!$H$8:$H$207,"Pipeline")+SUMIFS('Zoho Dump'!$X$8:$X$3007,'Zoho Dump'!$N$8:$N$3007,$B138,'Zoho Dump'!$T$8:$T$3007,"Overdue")+SUMIFS(Adjustments!$K$8:$K$207,Adjustments!$B$8:$B$207,$B138,Adjustments!$H$8:$H$207,"Overdue"))</f>
        <v>0</v>
      </c>
      <c r="G138" s="17" t="n">
        <f aca="false">D138+F138</f>
        <v>0</v>
      </c>
      <c r="H138" s="18" t="n">
        <f aca="false">IF(SUM($G$5:$G$404)=0,0,G138/SUM($G$5:$G$404))</f>
        <v>0</v>
      </c>
      <c r="I138" s="17" t="n">
        <f aca="false">IF($B138="",0,SUMIFS('Zoho Dump'!$Q$8:$Q$3007,'Zoho Dump'!$N$8:$N$3007,$B138,'Zoho Dump'!$T$8:$T$3007,"Lost",'Zoho Dump'!$R$8:$R$3007,"&gt;="&amp;Settings!$B$4))</f>
        <v>0</v>
      </c>
      <c r="J138" s="9" t="str">
        <f aca="false">IF($B138="","",IF(COUNTIF(Dashboard!$C$13:$C$22,$B138)&gt;0,"Yes",""))</f>
        <v/>
      </c>
      <c r="K138" s="17" t="n">
        <f aca="false">IF($B138="",0,SUMIFS('Zoho Dump'!$X$8:$X$3007,'Zoho Dump'!$N$8:$N$3007,$B138,'Zoho Dump'!$P$8:$P$3007,Settings!$A$12)+SUMIFS(Adjustments!$K$8:$K$207,Adjustments!$B$8:$B$207,$B138,Adjustments!$A$8:$A$207,Settings!$A$12))</f>
        <v>0</v>
      </c>
      <c r="L138" s="17" t="n">
        <f aca="false">IF($B138="",0,SUMIFS('Zoho Dump'!$X$8:$X$3007,'Zoho Dump'!$N$8:$N$3007,$B138,'Zoho Dump'!$P$8:$P$3007,Settings!$A$13)+SUMIFS(Adjustments!$K$8:$K$207,Adjustments!$B$8:$B$207,$B138,Adjustments!$A$8:$A$207,Settings!$A$13))</f>
        <v>0</v>
      </c>
      <c r="M138" s="17" t="n">
        <f aca="false">IF($B138="",0,SUMIFS('Zoho Dump'!$X$8:$X$3007,'Zoho Dump'!$N$8:$N$3007,$B138,'Zoho Dump'!$P$8:$P$3007,Settings!$A$14)+SUMIFS(Adjustments!$K$8:$K$207,Adjustments!$B$8:$B$207,$B138,Adjustments!$A$8:$A$207,Settings!$A$14))</f>
        <v>0</v>
      </c>
      <c r="N138" s="17" t="n">
        <f aca="false">IF($B138="",0,SUMIFS('Zoho Dump'!$X$8:$X$3007,'Zoho Dump'!$N$8:$N$3007,$B138,'Zoho Dump'!$P$8:$P$3007,Settings!$A$15)+SUMIFS(Adjustments!$K$8:$K$207,Adjustments!$B$8:$B$207,$B138,Adjustments!$A$8:$A$207,Settings!$A$15))</f>
        <v>0</v>
      </c>
      <c r="O138" s="17" t="n">
        <f aca="false">IF($B138="",0,SUMIFS('Zoho Dump'!$X$8:$X$3007,'Zoho Dump'!$N$8:$N$3007,$B138,'Zoho Dump'!$P$8:$P$3007,Settings!$A$16)+SUMIFS(Adjustments!$K$8:$K$207,Adjustments!$B$8:$B$207,$B138,Adjustments!$A$8:$A$207,Settings!$A$16))</f>
        <v>0</v>
      </c>
      <c r="P138" s="17" t="n">
        <f aca="false">IF($B138="",0,SUMIFS('Zoho Dump'!$X$8:$X$3007,'Zoho Dump'!$N$8:$N$3007,$B138,'Zoho Dump'!$P$8:$P$3007,Settings!$A$17)+SUMIFS(Adjustments!$K$8:$K$207,Adjustments!$B$8:$B$207,$B138,Adjustments!$A$8:$A$207,Settings!$A$17))</f>
        <v>0</v>
      </c>
      <c r="Q138" s="17" t="n">
        <f aca="false">IF($B138="",0,SUMIFS('Zoho Dump'!$X$8:$X$3007,'Zoho Dump'!$N$8:$N$3007,$B138,'Zoho Dump'!$P$8:$P$3007,Settings!$A$18)+SUMIFS(Adjustments!$K$8:$K$207,Adjustments!$B$8:$B$207,$B138,Adjustments!$A$8:$A$207,Settings!$A$18))</f>
        <v>0</v>
      </c>
      <c r="R138" s="30" t="str">
        <f aca="false">IF(G138&gt;0,G138+A138/10000000,"")</f>
        <v/>
      </c>
    </row>
    <row r="139" customFormat="false" ht="15" hidden="false" customHeight="false" outlineLevel="0" collapsed="false">
      <c r="A139" s="9" t="n">
        <v>135</v>
      </c>
      <c r="B139" s="9" t="str">
        <f aca="false">IFERROR(INDEX('Zoho Dump'!$N$8:$N$3007,MATCH(A139,'Zoho Dump'!$AB$8:$AB$3007,0)),"")</f>
        <v/>
      </c>
      <c r="C139" s="17" t="n">
        <f aca="false">IF($B139="",0,SUMIFS('Zoho Dump'!$Q$8:$Q$3007,'Zoho Dump'!$N$8:$N$3007,$B139,'Zoho Dump'!$T$8:$T$3007,"Delivered",'Zoho Dump'!$R$8:$R$3007,"&gt;="&amp;Settings!$B$4))</f>
        <v>0</v>
      </c>
      <c r="D139" s="17" t="n">
        <f aca="false">IF($B139="",0,SUMIFS('Zoho Dump'!$X$8:$X$3007,'Zoho Dump'!$N$8:$N$3007,$B139,'Zoho Dump'!$T$8:$T$3007,"Backlog")+SUMIFS(Adjustments!$K$8:$K$207,Adjustments!$B$8:$B$207,$B139,Adjustments!$H$8:$H$207,"Backlog"))</f>
        <v>0</v>
      </c>
      <c r="E139" s="17" t="n">
        <f aca="false">IF($B139="",0,SUMIFS('Zoho Dump'!$Y$8:$Y$3007,'Zoho Dump'!$N$8:$N$3007,$B139,'Zoho Dump'!$T$8:$T$3007,"Pipeline")+SUMIFS(Adjustments!$L$8:$L$207,Adjustments!$B$8:$B$207,$B139,Adjustments!$H$8:$H$207,"Pipeline")+SUMIFS('Zoho Dump'!$Y$8:$Y$3007,'Zoho Dump'!$N$8:$N$3007,$B139,'Zoho Dump'!$T$8:$T$3007,"Overdue")+SUMIFS(Adjustments!$L$8:$L$207,Adjustments!$B$8:$B$207,$B139,Adjustments!$H$8:$H$207,"Overdue"))</f>
        <v>0</v>
      </c>
      <c r="F139" s="17" t="n">
        <f aca="false">IF($B139="",0,SUMIFS('Zoho Dump'!$X$8:$X$3007,'Zoho Dump'!$N$8:$N$3007,$B139,'Zoho Dump'!$T$8:$T$3007,"Pipeline")+SUMIFS(Adjustments!$K$8:$K$207,Adjustments!$B$8:$B$207,$B139,Adjustments!$H$8:$H$207,"Pipeline")+SUMIFS('Zoho Dump'!$X$8:$X$3007,'Zoho Dump'!$N$8:$N$3007,$B139,'Zoho Dump'!$T$8:$T$3007,"Overdue")+SUMIFS(Adjustments!$K$8:$K$207,Adjustments!$B$8:$B$207,$B139,Adjustments!$H$8:$H$207,"Overdue"))</f>
        <v>0</v>
      </c>
      <c r="G139" s="17" t="n">
        <f aca="false">D139+F139</f>
        <v>0</v>
      </c>
      <c r="H139" s="18" t="n">
        <f aca="false">IF(SUM($G$5:$G$404)=0,0,G139/SUM($G$5:$G$404))</f>
        <v>0</v>
      </c>
      <c r="I139" s="17" t="n">
        <f aca="false">IF($B139="",0,SUMIFS('Zoho Dump'!$Q$8:$Q$3007,'Zoho Dump'!$N$8:$N$3007,$B139,'Zoho Dump'!$T$8:$T$3007,"Lost",'Zoho Dump'!$R$8:$R$3007,"&gt;="&amp;Settings!$B$4))</f>
        <v>0</v>
      </c>
      <c r="J139" s="9" t="str">
        <f aca="false">IF($B139="","",IF(COUNTIF(Dashboard!$C$13:$C$22,$B139)&gt;0,"Yes",""))</f>
        <v/>
      </c>
      <c r="K139" s="17" t="n">
        <f aca="false">IF($B139="",0,SUMIFS('Zoho Dump'!$X$8:$X$3007,'Zoho Dump'!$N$8:$N$3007,$B139,'Zoho Dump'!$P$8:$P$3007,Settings!$A$12)+SUMIFS(Adjustments!$K$8:$K$207,Adjustments!$B$8:$B$207,$B139,Adjustments!$A$8:$A$207,Settings!$A$12))</f>
        <v>0</v>
      </c>
      <c r="L139" s="17" t="n">
        <f aca="false">IF($B139="",0,SUMIFS('Zoho Dump'!$X$8:$X$3007,'Zoho Dump'!$N$8:$N$3007,$B139,'Zoho Dump'!$P$8:$P$3007,Settings!$A$13)+SUMIFS(Adjustments!$K$8:$K$207,Adjustments!$B$8:$B$207,$B139,Adjustments!$A$8:$A$207,Settings!$A$13))</f>
        <v>0</v>
      </c>
      <c r="M139" s="17" t="n">
        <f aca="false">IF($B139="",0,SUMIFS('Zoho Dump'!$X$8:$X$3007,'Zoho Dump'!$N$8:$N$3007,$B139,'Zoho Dump'!$P$8:$P$3007,Settings!$A$14)+SUMIFS(Adjustments!$K$8:$K$207,Adjustments!$B$8:$B$207,$B139,Adjustments!$A$8:$A$207,Settings!$A$14))</f>
        <v>0</v>
      </c>
      <c r="N139" s="17" t="n">
        <f aca="false">IF($B139="",0,SUMIFS('Zoho Dump'!$X$8:$X$3007,'Zoho Dump'!$N$8:$N$3007,$B139,'Zoho Dump'!$P$8:$P$3007,Settings!$A$15)+SUMIFS(Adjustments!$K$8:$K$207,Adjustments!$B$8:$B$207,$B139,Adjustments!$A$8:$A$207,Settings!$A$15))</f>
        <v>0</v>
      </c>
      <c r="O139" s="17" t="n">
        <f aca="false">IF($B139="",0,SUMIFS('Zoho Dump'!$X$8:$X$3007,'Zoho Dump'!$N$8:$N$3007,$B139,'Zoho Dump'!$P$8:$P$3007,Settings!$A$16)+SUMIFS(Adjustments!$K$8:$K$207,Adjustments!$B$8:$B$207,$B139,Adjustments!$A$8:$A$207,Settings!$A$16))</f>
        <v>0</v>
      </c>
      <c r="P139" s="17" t="n">
        <f aca="false">IF($B139="",0,SUMIFS('Zoho Dump'!$X$8:$X$3007,'Zoho Dump'!$N$8:$N$3007,$B139,'Zoho Dump'!$P$8:$P$3007,Settings!$A$17)+SUMIFS(Adjustments!$K$8:$K$207,Adjustments!$B$8:$B$207,$B139,Adjustments!$A$8:$A$207,Settings!$A$17))</f>
        <v>0</v>
      </c>
      <c r="Q139" s="17" t="n">
        <f aca="false">IF($B139="",0,SUMIFS('Zoho Dump'!$X$8:$X$3007,'Zoho Dump'!$N$8:$N$3007,$B139,'Zoho Dump'!$P$8:$P$3007,Settings!$A$18)+SUMIFS(Adjustments!$K$8:$K$207,Adjustments!$B$8:$B$207,$B139,Adjustments!$A$8:$A$207,Settings!$A$18))</f>
        <v>0</v>
      </c>
      <c r="R139" s="30" t="str">
        <f aca="false">IF(G139&gt;0,G139+A139/10000000,"")</f>
        <v/>
      </c>
    </row>
    <row r="140" customFormat="false" ht="15" hidden="false" customHeight="false" outlineLevel="0" collapsed="false">
      <c r="A140" s="9" t="n">
        <v>136</v>
      </c>
      <c r="B140" s="9" t="str">
        <f aca="false">IFERROR(INDEX('Zoho Dump'!$N$8:$N$3007,MATCH(A140,'Zoho Dump'!$AB$8:$AB$3007,0)),"")</f>
        <v/>
      </c>
      <c r="C140" s="17" t="n">
        <f aca="false">IF($B140="",0,SUMIFS('Zoho Dump'!$Q$8:$Q$3007,'Zoho Dump'!$N$8:$N$3007,$B140,'Zoho Dump'!$T$8:$T$3007,"Delivered",'Zoho Dump'!$R$8:$R$3007,"&gt;="&amp;Settings!$B$4))</f>
        <v>0</v>
      </c>
      <c r="D140" s="17" t="n">
        <f aca="false">IF($B140="",0,SUMIFS('Zoho Dump'!$X$8:$X$3007,'Zoho Dump'!$N$8:$N$3007,$B140,'Zoho Dump'!$T$8:$T$3007,"Backlog")+SUMIFS(Adjustments!$K$8:$K$207,Adjustments!$B$8:$B$207,$B140,Adjustments!$H$8:$H$207,"Backlog"))</f>
        <v>0</v>
      </c>
      <c r="E140" s="17" t="n">
        <f aca="false">IF($B140="",0,SUMIFS('Zoho Dump'!$Y$8:$Y$3007,'Zoho Dump'!$N$8:$N$3007,$B140,'Zoho Dump'!$T$8:$T$3007,"Pipeline")+SUMIFS(Adjustments!$L$8:$L$207,Adjustments!$B$8:$B$207,$B140,Adjustments!$H$8:$H$207,"Pipeline")+SUMIFS('Zoho Dump'!$Y$8:$Y$3007,'Zoho Dump'!$N$8:$N$3007,$B140,'Zoho Dump'!$T$8:$T$3007,"Overdue")+SUMIFS(Adjustments!$L$8:$L$207,Adjustments!$B$8:$B$207,$B140,Adjustments!$H$8:$H$207,"Overdue"))</f>
        <v>0</v>
      </c>
      <c r="F140" s="17" t="n">
        <f aca="false">IF($B140="",0,SUMIFS('Zoho Dump'!$X$8:$X$3007,'Zoho Dump'!$N$8:$N$3007,$B140,'Zoho Dump'!$T$8:$T$3007,"Pipeline")+SUMIFS(Adjustments!$K$8:$K$207,Adjustments!$B$8:$B$207,$B140,Adjustments!$H$8:$H$207,"Pipeline")+SUMIFS('Zoho Dump'!$X$8:$X$3007,'Zoho Dump'!$N$8:$N$3007,$B140,'Zoho Dump'!$T$8:$T$3007,"Overdue")+SUMIFS(Adjustments!$K$8:$K$207,Adjustments!$B$8:$B$207,$B140,Adjustments!$H$8:$H$207,"Overdue"))</f>
        <v>0</v>
      </c>
      <c r="G140" s="17" t="n">
        <f aca="false">D140+F140</f>
        <v>0</v>
      </c>
      <c r="H140" s="18" t="n">
        <f aca="false">IF(SUM($G$5:$G$404)=0,0,G140/SUM($G$5:$G$404))</f>
        <v>0</v>
      </c>
      <c r="I140" s="17" t="n">
        <f aca="false">IF($B140="",0,SUMIFS('Zoho Dump'!$Q$8:$Q$3007,'Zoho Dump'!$N$8:$N$3007,$B140,'Zoho Dump'!$T$8:$T$3007,"Lost",'Zoho Dump'!$R$8:$R$3007,"&gt;="&amp;Settings!$B$4))</f>
        <v>0</v>
      </c>
      <c r="J140" s="9" t="str">
        <f aca="false">IF($B140="","",IF(COUNTIF(Dashboard!$C$13:$C$22,$B140)&gt;0,"Yes",""))</f>
        <v/>
      </c>
      <c r="K140" s="17" t="n">
        <f aca="false">IF($B140="",0,SUMIFS('Zoho Dump'!$X$8:$X$3007,'Zoho Dump'!$N$8:$N$3007,$B140,'Zoho Dump'!$P$8:$P$3007,Settings!$A$12)+SUMIFS(Adjustments!$K$8:$K$207,Adjustments!$B$8:$B$207,$B140,Adjustments!$A$8:$A$207,Settings!$A$12))</f>
        <v>0</v>
      </c>
      <c r="L140" s="17" t="n">
        <f aca="false">IF($B140="",0,SUMIFS('Zoho Dump'!$X$8:$X$3007,'Zoho Dump'!$N$8:$N$3007,$B140,'Zoho Dump'!$P$8:$P$3007,Settings!$A$13)+SUMIFS(Adjustments!$K$8:$K$207,Adjustments!$B$8:$B$207,$B140,Adjustments!$A$8:$A$207,Settings!$A$13))</f>
        <v>0</v>
      </c>
      <c r="M140" s="17" t="n">
        <f aca="false">IF($B140="",0,SUMIFS('Zoho Dump'!$X$8:$X$3007,'Zoho Dump'!$N$8:$N$3007,$B140,'Zoho Dump'!$P$8:$P$3007,Settings!$A$14)+SUMIFS(Adjustments!$K$8:$K$207,Adjustments!$B$8:$B$207,$B140,Adjustments!$A$8:$A$207,Settings!$A$14))</f>
        <v>0</v>
      </c>
      <c r="N140" s="17" t="n">
        <f aca="false">IF($B140="",0,SUMIFS('Zoho Dump'!$X$8:$X$3007,'Zoho Dump'!$N$8:$N$3007,$B140,'Zoho Dump'!$P$8:$P$3007,Settings!$A$15)+SUMIFS(Adjustments!$K$8:$K$207,Adjustments!$B$8:$B$207,$B140,Adjustments!$A$8:$A$207,Settings!$A$15))</f>
        <v>0</v>
      </c>
      <c r="O140" s="17" t="n">
        <f aca="false">IF($B140="",0,SUMIFS('Zoho Dump'!$X$8:$X$3007,'Zoho Dump'!$N$8:$N$3007,$B140,'Zoho Dump'!$P$8:$P$3007,Settings!$A$16)+SUMIFS(Adjustments!$K$8:$K$207,Adjustments!$B$8:$B$207,$B140,Adjustments!$A$8:$A$207,Settings!$A$16))</f>
        <v>0</v>
      </c>
      <c r="P140" s="17" t="n">
        <f aca="false">IF($B140="",0,SUMIFS('Zoho Dump'!$X$8:$X$3007,'Zoho Dump'!$N$8:$N$3007,$B140,'Zoho Dump'!$P$8:$P$3007,Settings!$A$17)+SUMIFS(Adjustments!$K$8:$K$207,Adjustments!$B$8:$B$207,$B140,Adjustments!$A$8:$A$207,Settings!$A$17))</f>
        <v>0</v>
      </c>
      <c r="Q140" s="17" t="n">
        <f aca="false">IF($B140="",0,SUMIFS('Zoho Dump'!$X$8:$X$3007,'Zoho Dump'!$N$8:$N$3007,$B140,'Zoho Dump'!$P$8:$P$3007,Settings!$A$18)+SUMIFS(Adjustments!$K$8:$K$207,Adjustments!$B$8:$B$207,$B140,Adjustments!$A$8:$A$207,Settings!$A$18))</f>
        <v>0</v>
      </c>
      <c r="R140" s="30" t="str">
        <f aca="false">IF(G140&gt;0,G140+A140/10000000,"")</f>
        <v/>
      </c>
    </row>
    <row r="141" customFormat="false" ht="15" hidden="false" customHeight="false" outlineLevel="0" collapsed="false">
      <c r="A141" s="9" t="n">
        <v>137</v>
      </c>
      <c r="B141" s="9" t="str">
        <f aca="false">IFERROR(INDEX('Zoho Dump'!$N$8:$N$3007,MATCH(A141,'Zoho Dump'!$AB$8:$AB$3007,0)),"")</f>
        <v/>
      </c>
      <c r="C141" s="17" t="n">
        <f aca="false">IF($B141="",0,SUMIFS('Zoho Dump'!$Q$8:$Q$3007,'Zoho Dump'!$N$8:$N$3007,$B141,'Zoho Dump'!$T$8:$T$3007,"Delivered",'Zoho Dump'!$R$8:$R$3007,"&gt;="&amp;Settings!$B$4))</f>
        <v>0</v>
      </c>
      <c r="D141" s="17" t="n">
        <f aca="false">IF($B141="",0,SUMIFS('Zoho Dump'!$X$8:$X$3007,'Zoho Dump'!$N$8:$N$3007,$B141,'Zoho Dump'!$T$8:$T$3007,"Backlog")+SUMIFS(Adjustments!$K$8:$K$207,Adjustments!$B$8:$B$207,$B141,Adjustments!$H$8:$H$207,"Backlog"))</f>
        <v>0</v>
      </c>
      <c r="E141" s="17" t="n">
        <f aca="false">IF($B141="",0,SUMIFS('Zoho Dump'!$Y$8:$Y$3007,'Zoho Dump'!$N$8:$N$3007,$B141,'Zoho Dump'!$T$8:$T$3007,"Pipeline")+SUMIFS(Adjustments!$L$8:$L$207,Adjustments!$B$8:$B$207,$B141,Adjustments!$H$8:$H$207,"Pipeline")+SUMIFS('Zoho Dump'!$Y$8:$Y$3007,'Zoho Dump'!$N$8:$N$3007,$B141,'Zoho Dump'!$T$8:$T$3007,"Overdue")+SUMIFS(Adjustments!$L$8:$L$207,Adjustments!$B$8:$B$207,$B141,Adjustments!$H$8:$H$207,"Overdue"))</f>
        <v>0</v>
      </c>
      <c r="F141" s="17" t="n">
        <f aca="false">IF($B141="",0,SUMIFS('Zoho Dump'!$X$8:$X$3007,'Zoho Dump'!$N$8:$N$3007,$B141,'Zoho Dump'!$T$8:$T$3007,"Pipeline")+SUMIFS(Adjustments!$K$8:$K$207,Adjustments!$B$8:$B$207,$B141,Adjustments!$H$8:$H$207,"Pipeline")+SUMIFS('Zoho Dump'!$X$8:$X$3007,'Zoho Dump'!$N$8:$N$3007,$B141,'Zoho Dump'!$T$8:$T$3007,"Overdue")+SUMIFS(Adjustments!$K$8:$K$207,Adjustments!$B$8:$B$207,$B141,Adjustments!$H$8:$H$207,"Overdue"))</f>
        <v>0</v>
      </c>
      <c r="G141" s="17" t="n">
        <f aca="false">D141+F141</f>
        <v>0</v>
      </c>
      <c r="H141" s="18" t="n">
        <f aca="false">IF(SUM($G$5:$G$404)=0,0,G141/SUM($G$5:$G$404))</f>
        <v>0</v>
      </c>
      <c r="I141" s="17" t="n">
        <f aca="false">IF($B141="",0,SUMIFS('Zoho Dump'!$Q$8:$Q$3007,'Zoho Dump'!$N$8:$N$3007,$B141,'Zoho Dump'!$T$8:$T$3007,"Lost",'Zoho Dump'!$R$8:$R$3007,"&gt;="&amp;Settings!$B$4))</f>
        <v>0</v>
      </c>
      <c r="J141" s="9" t="str">
        <f aca="false">IF($B141="","",IF(COUNTIF(Dashboard!$C$13:$C$22,$B141)&gt;0,"Yes",""))</f>
        <v/>
      </c>
      <c r="K141" s="17" t="n">
        <f aca="false">IF($B141="",0,SUMIFS('Zoho Dump'!$X$8:$X$3007,'Zoho Dump'!$N$8:$N$3007,$B141,'Zoho Dump'!$P$8:$P$3007,Settings!$A$12)+SUMIFS(Adjustments!$K$8:$K$207,Adjustments!$B$8:$B$207,$B141,Adjustments!$A$8:$A$207,Settings!$A$12))</f>
        <v>0</v>
      </c>
      <c r="L141" s="17" t="n">
        <f aca="false">IF($B141="",0,SUMIFS('Zoho Dump'!$X$8:$X$3007,'Zoho Dump'!$N$8:$N$3007,$B141,'Zoho Dump'!$P$8:$P$3007,Settings!$A$13)+SUMIFS(Adjustments!$K$8:$K$207,Adjustments!$B$8:$B$207,$B141,Adjustments!$A$8:$A$207,Settings!$A$13))</f>
        <v>0</v>
      </c>
      <c r="M141" s="17" t="n">
        <f aca="false">IF($B141="",0,SUMIFS('Zoho Dump'!$X$8:$X$3007,'Zoho Dump'!$N$8:$N$3007,$B141,'Zoho Dump'!$P$8:$P$3007,Settings!$A$14)+SUMIFS(Adjustments!$K$8:$K$207,Adjustments!$B$8:$B$207,$B141,Adjustments!$A$8:$A$207,Settings!$A$14))</f>
        <v>0</v>
      </c>
      <c r="N141" s="17" t="n">
        <f aca="false">IF($B141="",0,SUMIFS('Zoho Dump'!$X$8:$X$3007,'Zoho Dump'!$N$8:$N$3007,$B141,'Zoho Dump'!$P$8:$P$3007,Settings!$A$15)+SUMIFS(Adjustments!$K$8:$K$207,Adjustments!$B$8:$B$207,$B141,Adjustments!$A$8:$A$207,Settings!$A$15))</f>
        <v>0</v>
      </c>
      <c r="O141" s="17" t="n">
        <f aca="false">IF($B141="",0,SUMIFS('Zoho Dump'!$X$8:$X$3007,'Zoho Dump'!$N$8:$N$3007,$B141,'Zoho Dump'!$P$8:$P$3007,Settings!$A$16)+SUMIFS(Adjustments!$K$8:$K$207,Adjustments!$B$8:$B$207,$B141,Adjustments!$A$8:$A$207,Settings!$A$16))</f>
        <v>0</v>
      </c>
      <c r="P141" s="17" t="n">
        <f aca="false">IF($B141="",0,SUMIFS('Zoho Dump'!$X$8:$X$3007,'Zoho Dump'!$N$8:$N$3007,$B141,'Zoho Dump'!$P$8:$P$3007,Settings!$A$17)+SUMIFS(Adjustments!$K$8:$K$207,Adjustments!$B$8:$B$207,$B141,Adjustments!$A$8:$A$207,Settings!$A$17))</f>
        <v>0</v>
      </c>
      <c r="Q141" s="17" t="n">
        <f aca="false">IF($B141="",0,SUMIFS('Zoho Dump'!$X$8:$X$3007,'Zoho Dump'!$N$8:$N$3007,$B141,'Zoho Dump'!$P$8:$P$3007,Settings!$A$18)+SUMIFS(Adjustments!$K$8:$K$207,Adjustments!$B$8:$B$207,$B141,Adjustments!$A$8:$A$207,Settings!$A$18))</f>
        <v>0</v>
      </c>
      <c r="R141" s="30" t="str">
        <f aca="false">IF(G141&gt;0,G141+A141/10000000,"")</f>
        <v/>
      </c>
    </row>
    <row r="142" customFormat="false" ht="15" hidden="false" customHeight="false" outlineLevel="0" collapsed="false">
      <c r="A142" s="9" t="n">
        <v>138</v>
      </c>
      <c r="B142" s="9" t="str">
        <f aca="false">IFERROR(INDEX('Zoho Dump'!$N$8:$N$3007,MATCH(A142,'Zoho Dump'!$AB$8:$AB$3007,0)),"")</f>
        <v/>
      </c>
      <c r="C142" s="17" t="n">
        <f aca="false">IF($B142="",0,SUMIFS('Zoho Dump'!$Q$8:$Q$3007,'Zoho Dump'!$N$8:$N$3007,$B142,'Zoho Dump'!$T$8:$T$3007,"Delivered",'Zoho Dump'!$R$8:$R$3007,"&gt;="&amp;Settings!$B$4))</f>
        <v>0</v>
      </c>
      <c r="D142" s="17" t="n">
        <f aca="false">IF($B142="",0,SUMIFS('Zoho Dump'!$X$8:$X$3007,'Zoho Dump'!$N$8:$N$3007,$B142,'Zoho Dump'!$T$8:$T$3007,"Backlog")+SUMIFS(Adjustments!$K$8:$K$207,Adjustments!$B$8:$B$207,$B142,Adjustments!$H$8:$H$207,"Backlog"))</f>
        <v>0</v>
      </c>
      <c r="E142" s="17" t="n">
        <f aca="false">IF($B142="",0,SUMIFS('Zoho Dump'!$Y$8:$Y$3007,'Zoho Dump'!$N$8:$N$3007,$B142,'Zoho Dump'!$T$8:$T$3007,"Pipeline")+SUMIFS(Adjustments!$L$8:$L$207,Adjustments!$B$8:$B$207,$B142,Adjustments!$H$8:$H$207,"Pipeline")+SUMIFS('Zoho Dump'!$Y$8:$Y$3007,'Zoho Dump'!$N$8:$N$3007,$B142,'Zoho Dump'!$T$8:$T$3007,"Overdue")+SUMIFS(Adjustments!$L$8:$L$207,Adjustments!$B$8:$B$207,$B142,Adjustments!$H$8:$H$207,"Overdue"))</f>
        <v>0</v>
      </c>
      <c r="F142" s="17" t="n">
        <f aca="false">IF($B142="",0,SUMIFS('Zoho Dump'!$X$8:$X$3007,'Zoho Dump'!$N$8:$N$3007,$B142,'Zoho Dump'!$T$8:$T$3007,"Pipeline")+SUMIFS(Adjustments!$K$8:$K$207,Adjustments!$B$8:$B$207,$B142,Adjustments!$H$8:$H$207,"Pipeline")+SUMIFS('Zoho Dump'!$X$8:$X$3007,'Zoho Dump'!$N$8:$N$3007,$B142,'Zoho Dump'!$T$8:$T$3007,"Overdue")+SUMIFS(Adjustments!$K$8:$K$207,Adjustments!$B$8:$B$207,$B142,Adjustments!$H$8:$H$207,"Overdue"))</f>
        <v>0</v>
      </c>
      <c r="G142" s="17" t="n">
        <f aca="false">D142+F142</f>
        <v>0</v>
      </c>
      <c r="H142" s="18" t="n">
        <f aca="false">IF(SUM($G$5:$G$404)=0,0,G142/SUM($G$5:$G$404))</f>
        <v>0</v>
      </c>
      <c r="I142" s="17" t="n">
        <f aca="false">IF($B142="",0,SUMIFS('Zoho Dump'!$Q$8:$Q$3007,'Zoho Dump'!$N$8:$N$3007,$B142,'Zoho Dump'!$T$8:$T$3007,"Lost",'Zoho Dump'!$R$8:$R$3007,"&gt;="&amp;Settings!$B$4))</f>
        <v>0</v>
      </c>
      <c r="J142" s="9" t="str">
        <f aca="false">IF($B142="","",IF(COUNTIF(Dashboard!$C$13:$C$22,$B142)&gt;0,"Yes",""))</f>
        <v/>
      </c>
      <c r="K142" s="17" t="n">
        <f aca="false">IF($B142="",0,SUMIFS('Zoho Dump'!$X$8:$X$3007,'Zoho Dump'!$N$8:$N$3007,$B142,'Zoho Dump'!$P$8:$P$3007,Settings!$A$12)+SUMIFS(Adjustments!$K$8:$K$207,Adjustments!$B$8:$B$207,$B142,Adjustments!$A$8:$A$207,Settings!$A$12))</f>
        <v>0</v>
      </c>
      <c r="L142" s="17" t="n">
        <f aca="false">IF($B142="",0,SUMIFS('Zoho Dump'!$X$8:$X$3007,'Zoho Dump'!$N$8:$N$3007,$B142,'Zoho Dump'!$P$8:$P$3007,Settings!$A$13)+SUMIFS(Adjustments!$K$8:$K$207,Adjustments!$B$8:$B$207,$B142,Adjustments!$A$8:$A$207,Settings!$A$13))</f>
        <v>0</v>
      </c>
      <c r="M142" s="17" t="n">
        <f aca="false">IF($B142="",0,SUMIFS('Zoho Dump'!$X$8:$X$3007,'Zoho Dump'!$N$8:$N$3007,$B142,'Zoho Dump'!$P$8:$P$3007,Settings!$A$14)+SUMIFS(Adjustments!$K$8:$K$207,Adjustments!$B$8:$B$207,$B142,Adjustments!$A$8:$A$207,Settings!$A$14))</f>
        <v>0</v>
      </c>
      <c r="N142" s="17" t="n">
        <f aca="false">IF($B142="",0,SUMIFS('Zoho Dump'!$X$8:$X$3007,'Zoho Dump'!$N$8:$N$3007,$B142,'Zoho Dump'!$P$8:$P$3007,Settings!$A$15)+SUMIFS(Adjustments!$K$8:$K$207,Adjustments!$B$8:$B$207,$B142,Adjustments!$A$8:$A$207,Settings!$A$15))</f>
        <v>0</v>
      </c>
      <c r="O142" s="17" t="n">
        <f aca="false">IF($B142="",0,SUMIFS('Zoho Dump'!$X$8:$X$3007,'Zoho Dump'!$N$8:$N$3007,$B142,'Zoho Dump'!$P$8:$P$3007,Settings!$A$16)+SUMIFS(Adjustments!$K$8:$K$207,Adjustments!$B$8:$B$207,$B142,Adjustments!$A$8:$A$207,Settings!$A$16))</f>
        <v>0</v>
      </c>
      <c r="P142" s="17" t="n">
        <f aca="false">IF($B142="",0,SUMIFS('Zoho Dump'!$X$8:$X$3007,'Zoho Dump'!$N$8:$N$3007,$B142,'Zoho Dump'!$P$8:$P$3007,Settings!$A$17)+SUMIFS(Adjustments!$K$8:$K$207,Adjustments!$B$8:$B$207,$B142,Adjustments!$A$8:$A$207,Settings!$A$17))</f>
        <v>0</v>
      </c>
      <c r="Q142" s="17" t="n">
        <f aca="false">IF($B142="",0,SUMIFS('Zoho Dump'!$X$8:$X$3007,'Zoho Dump'!$N$8:$N$3007,$B142,'Zoho Dump'!$P$8:$P$3007,Settings!$A$18)+SUMIFS(Adjustments!$K$8:$K$207,Adjustments!$B$8:$B$207,$B142,Adjustments!$A$8:$A$207,Settings!$A$18))</f>
        <v>0</v>
      </c>
      <c r="R142" s="30" t="str">
        <f aca="false">IF(G142&gt;0,G142+A142/10000000,"")</f>
        <v/>
      </c>
    </row>
    <row r="143" customFormat="false" ht="15" hidden="false" customHeight="false" outlineLevel="0" collapsed="false">
      <c r="A143" s="9" t="n">
        <v>139</v>
      </c>
      <c r="B143" s="9" t="str">
        <f aca="false">IFERROR(INDEX('Zoho Dump'!$N$8:$N$3007,MATCH(A143,'Zoho Dump'!$AB$8:$AB$3007,0)),"")</f>
        <v/>
      </c>
      <c r="C143" s="17" t="n">
        <f aca="false">IF($B143="",0,SUMIFS('Zoho Dump'!$Q$8:$Q$3007,'Zoho Dump'!$N$8:$N$3007,$B143,'Zoho Dump'!$T$8:$T$3007,"Delivered",'Zoho Dump'!$R$8:$R$3007,"&gt;="&amp;Settings!$B$4))</f>
        <v>0</v>
      </c>
      <c r="D143" s="17" t="n">
        <f aca="false">IF($B143="",0,SUMIFS('Zoho Dump'!$X$8:$X$3007,'Zoho Dump'!$N$8:$N$3007,$B143,'Zoho Dump'!$T$8:$T$3007,"Backlog")+SUMIFS(Adjustments!$K$8:$K$207,Adjustments!$B$8:$B$207,$B143,Adjustments!$H$8:$H$207,"Backlog"))</f>
        <v>0</v>
      </c>
      <c r="E143" s="17" t="n">
        <f aca="false">IF($B143="",0,SUMIFS('Zoho Dump'!$Y$8:$Y$3007,'Zoho Dump'!$N$8:$N$3007,$B143,'Zoho Dump'!$T$8:$T$3007,"Pipeline")+SUMIFS(Adjustments!$L$8:$L$207,Adjustments!$B$8:$B$207,$B143,Adjustments!$H$8:$H$207,"Pipeline")+SUMIFS('Zoho Dump'!$Y$8:$Y$3007,'Zoho Dump'!$N$8:$N$3007,$B143,'Zoho Dump'!$T$8:$T$3007,"Overdue")+SUMIFS(Adjustments!$L$8:$L$207,Adjustments!$B$8:$B$207,$B143,Adjustments!$H$8:$H$207,"Overdue"))</f>
        <v>0</v>
      </c>
      <c r="F143" s="17" t="n">
        <f aca="false">IF($B143="",0,SUMIFS('Zoho Dump'!$X$8:$X$3007,'Zoho Dump'!$N$8:$N$3007,$B143,'Zoho Dump'!$T$8:$T$3007,"Pipeline")+SUMIFS(Adjustments!$K$8:$K$207,Adjustments!$B$8:$B$207,$B143,Adjustments!$H$8:$H$207,"Pipeline")+SUMIFS('Zoho Dump'!$X$8:$X$3007,'Zoho Dump'!$N$8:$N$3007,$B143,'Zoho Dump'!$T$8:$T$3007,"Overdue")+SUMIFS(Adjustments!$K$8:$K$207,Adjustments!$B$8:$B$207,$B143,Adjustments!$H$8:$H$207,"Overdue"))</f>
        <v>0</v>
      </c>
      <c r="G143" s="17" t="n">
        <f aca="false">D143+F143</f>
        <v>0</v>
      </c>
      <c r="H143" s="18" t="n">
        <f aca="false">IF(SUM($G$5:$G$404)=0,0,G143/SUM($G$5:$G$404))</f>
        <v>0</v>
      </c>
      <c r="I143" s="17" t="n">
        <f aca="false">IF($B143="",0,SUMIFS('Zoho Dump'!$Q$8:$Q$3007,'Zoho Dump'!$N$8:$N$3007,$B143,'Zoho Dump'!$T$8:$T$3007,"Lost",'Zoho Dump'!$R$8:$R$3007,"&gt;="&amp;Settings!$B$4))</f>
        <v>0</v>
      </c>
      <c r="J143" s="9" t="str">
        <f aca="false">IF($B143="","",IF(COUNTIF(Dashboard!$C$13:$C$22,$B143)&gt;0,"Yes",""))</f>
        <v/>
      </c>
      <c r="K143" s="17" t="n">
        <f aca="false">IF($B143="",0,SUMIFS('Zoho Dump'!$X$8:$X$3007,'Zoho Dump'!$N$8:$N$3007,$B143,'Zoho Dump'!$P$8:$P$3007,Settings!$A$12)+SUMIFS(Adjustments!$K$8:$K$207,Adjustments!$B$8:$B$207,$B143,Adjustments!$A$8:$A$207,Settings!$A$12))</f>
        <v>0</v>
      </c>
      <c r="L143" s="17" t="n">
        <f aca="false">IF($B143="",0,SUMIFS('Zoho Dump'!$X$8:$X$3007,'Zoho Dump'!$N$8:$N$3007,$B143,'Zoho Dump'!$P$8:$P$3007,Settings!$A$13)+SUMIFS(Adjustments!$K$8:$K$207,Adjustments!$B$8:$B$207,$B143,Adjustments!$A$8:$A$207,Settings!$A$13))</f>
        <v>0</v>
      </c>
      <c r="M143" s="17" t="n">
        <f aca="false">IF($B143="",0,SUMIFS('Zoho Dump'!$X$8:$X$3007,'Zoho Dump'!$N$8:$N$3007,$B143,'Zoho Dump'!$P$8:$P$3007,Settings!$A$14)+SUMIFS(Adjustments!$K$8:$K$207,Adjustments!$B$8:$B$207,$B143,Adjustments!$A$8:$A$207,Settings!$A$14))</f>
        <v>0</v>
      </c>
      <c r="N143" s="17" t="n">
        <f aca="false">IF($B143="",0,SUMIFS('Zoho Dump'!$X$8:$X$3007,'Zoho Dump'!$N$8:$N$3007,$B143,'Zoho Dump'!$P$8:$P$3007,Settings!$A$15)+SUMIFS(Adjustments!$K$8:$K$207,Adjustments!$B$8:$B$207,$B143,Adjustments!$A$8:$A$207,Settings!$A$15))</f>
        <v>0</v>
      </c>
      <c r="O143" s="17" t="n">
        <f aca="false">IF($B143="",0,SUMIFS('Zoho Dump'!$X$8:$X$3007,'Zoho Dump'!$N$8:$N$3007,$B143,'Zoho Dump'!$P$8:$P$3007,Settings!$A$16)+SUMIFS(Adjustments!$K$8:$K$207,Adjustments!$B$8:$B$207,$B143,Adjustments!$A$8:$A$207,Settings!$A$16))</f>
        <v>0</v>
      </c>
      <c r="P143" s="17" t="n">
        <f aca="false">IF($B143="",0,SUMIFS('Zoho Dump'!$X$8:$X$3007,'Zoho Dump'!$N$8:$N$3007,$B143,'Zoho Dump'!$P$8:$P$3007,Settings!$A$17)+SUMIFS(Adjustments!$K$8:$K$207,Adjustments!$B$8:$B$207,$B143,Adjustments!$A$8:$A$207,Settings!$A$17))</f>
        <v>0</v>
      </c>
      <c r="Q143" s="17" t="n">
        <f aca="false">IF($B143="",0,SUMIFS('Zoho Dump'!$X$8:$X$3007,'Zoho Dump'!$N$8:$N$3007,$B143,'Zoho Dump'!$P$8:$P$3007,Settings!$A$18)+SUMIFS(Adjustments!$K$8:$K$207,Adjustments!$B$8:$B$207,$B143,Adjustments!$A$8:$A$207,Settings!$A$18))</f>
        <v>0</v>
      </c>
      <c r="R143" s="30" t="str">
        <f aca="false">IF(G143&gt;0,G143+A143/10000000,"")</f>
        <v/>
      </c>
    </row>
    <row r="144" customFormat="false" ht="15" hidden="false" customHeight="false" outlineLevel="0" collapsed="false">
      <c r="A144" s="9" t="n">
        <v>140</v>
      </c>
      <c r="B144" s="9" t="str">
        <f aca="false">IFERROR(INDEX('Zoho Dump'!$N$8:$N$3007,MATCH(A144,'Zoho Dump'!$AB$8:$AB$3007,0)),"")</f>
        <v/>
      </c>
      <c r="C144" s="17" t="n">
        <f aca="false">IF($B144="",0,SUMIFS('Zoho Dump'!$Q$8:$Q$3007,'Zoho Dump'!$N$8:$N$3007,$B144,'Zoho Dump'!$T$8:$T$3007,"Delivered",'Zoho Dump'!$R$8:$R$3007,"&gt;="&amp;Settings!$B$4))</f>
        <v>0</v>
      </c>
      <c r="D144" s="17" t="n">
        <f aca="false">IF($B144="",0,SUMIFS('Zoho Dump'!$X$8:$X$3007,'Zoho Dump'!$N$8:$N$3007,$B144,'Zoho Dump'!$T$8:$T$3007,"Backlog")+SUMIFS(Adjustments!$K$8:$K$207,Adjustments!$B$8:$B$207,$B144,Adjustments!$H$8:$H$207,"Backlog"))</f>
        <v>0</v>
      </c>
      <c r="E144" s="17" t="n">
        <f aca="false">IF($B144="",0,SUMIFS('Zoho Dump'!$Y$8:$Y$3007,'Zoho Dump'!$N$8:$N$3007,$B144,'Zoho Dump'!$T$8:$T$3007,"Pipeline")+SUMIFS(Adjustments!$L$8:$L$207,Adjustments!$B$8:$B$207,$B144,Adjustments!$H$8:$H$207,"Pipeline")+SUMIFS('Zoho Dump'!$Y$8:$Y$3007,'Zoho Dump'!$N$8:$N$3007,$B144,'Zoho Dump'!$T$8:$T$3007,"Overdue")+SUMIFS(Adjustments!$L$8:$L$207,Adjustments!$B$8:$B$207,$B144,Adjustments!$H$8:$H$207,"Overdue"))</f>
        <v>0</v>
      </c>
      <c r="F144" s="17" t="n">
        <f aca="false">IF($B144="",0,SUMIFS('Zoho Dump'!$X$8:$X$3007,'Zoho Dump'!$N$8:$N$3007,$B144,'Zoho Dump'!$T$8:$T$3007,"Pipeline")+SUMIFS(Adjustments!$K$8:$K$207,Adjustments!$B$8:$B$207,$B144,Adjustments!$H$8:$H$207,"Pipeline")+SUMIFS('Zoho Dump'!$X$8:$X$3007,'Zoho Dump'!$N$8:$N$3007,$B144,'Zoho Dump'!$T$8:$T$3007,"Overdue")+SUMIFS(Adjustments!$K$8:$K$207,Adjustments!$B$8:$B$207,$B144,Adjustments!$H$8:$H$207,"Overdue"))</f>
        <v>0</v>
      </c>
      <c r="G144" s="17" t="n">
        <f aca="false">D144+F144</f>
        <v>0</v>
      </c>
      <c r="H144" s="18" t="n">
        <f aca="false">IF(SUM($G$5:$G$404)=0,0,G144/SUM($G$5:$G$404))</f>
        <v>0</v>
      </c>
      <c r="I144" s="17" t="n">
        <f aca="false">IF($B144="",0,SUMIFS('Zoho Dump'!$Q$8:$Q$3007,'Zoho Dump'!$N$8:$N$3007,$B144,'Zoho Dump'!$T$8:$T$3007,"Lost",'Zoho Dump'!$R$8:$R$3007,"&gt;="&amp;Settings!$B$4))</f>
        <v>0</v>
      </c>
      <c r="J144" s="9" t="str">
        <f aca="false">IF($B144="","",IF(COUNTIF(Dashboard!$C$13:$C$22,$B144)&gt;0,"Yes",""))</f>
        <v/>
      </c>
      <c r="K144" s="17" t="n">
        <f aca="false">IF($B144="",0,SUMIFS('Zoho Dump'!$X$8:$X$3007,'Zoho Dump'!$N$8:$N$3007,$B144,'Zoho Dump'!$P$8:$P$3007,Settings!$A$12)+SUMIFS(Adjustments!$K$8:$K$207,Adjustments!$B$8:$B$207,$B144,Adjustments!$A$8:$A$207,Settings!$A$12))</f>
        <v>0</v>
      </c>
      <c r="L144" s="17" t="n">
        <f aca="false">IF($B144="",0,SUMIFS('Zoho Dump'!$X$8:$X$3007,'Zoho Dump'!$N$8:$N$3007,$B144,'Zoho Dump'!$P$8:$P$3007,Settings!$A$13)+SUMIFS(Adjustments!$K$8:$K$207,Adjustments!$B$8:$B$207,$B144,Adjustments!$A$8:$A$207,Settings!$A$13))</f>
        <v>0</v>
      </c>
      <c r="M144" s="17" t="n">
        <f aca="false">IF($B144="",0,SUMIFS('Zoho Dump'!$X$8:$X$3007,'Zoho Dump'!$N$8:$N$3007,$B144,'Zoho Dump'!$P$8:$P$3007,Settings!$A$14)+SUMIFS(Adjustments!$K$8:$K$207,Adjustments!$B$8:$B$207,$B144,Adjustments!$A$8:$A$207,Settings!$A$14))</f>
        <v>0</v>
      </c>
      <c r="N144" s="17" t="n">
        <f aca="false">IF($B144="",0,SUMIFS('Zoho Dump'!$X$8:$X$3007,'Zoho Dump'!$N$8:$N$3007,$B144,'Zoho Dump'!$P$8:$P$3007,Settings!$A$15)+SUMIFS(Adjustments!$K$8:$K$207,Adjustments!$B$8:$B$207,$B144,Adjustments!$A$8:$A$207,Settings!$A$15))</f>
        <v>0</v>
      </c>
      <c r="O144" s="17" t="n">
        <f aca="false">IF($B144="",0,SUMIFS('Zoho Dump'!$X$8:$X$3007,'Zoho Dump'!$N$8:$N$3007,$B144,'Zoho Dump'!$P$8:$P$3007,Settings!$A$16)+SUMIFS(Adjustments!$K$8:$K$207,Adjustments!$B$8:$B$207,$B144,Adjustments!$A$8:$A$207,Settings!$A$16))</f>
        <v>0</v>
      </c>
      <c r="P144" s="17" t="n">
        <f aca="false">IF($B144="",0,SUMIFS('Zoho Dump'!$X$8:$X$3007,'Zoho Dump'!$N$8:$N$3007,$B144,'Zoho Dump'!$P$8:$P$3007,Settings!$A$17)+SUMIFS(Adjustments!$K$8:$K$207,Adjustments!$B$8:$B$207,$B144,Adjustments!$A$8:$A$207,Settings!$A$17))</f>
        <v>0</v>
      </c>
      <c r="Q144" s="17" t="n">
        <f aca="false">IF($B144="",0,SUMIFS('Zoho Dump'!$X$8:$X$3007,'Zoho Dump'!$N$8:$N$3007,$B144,'Zoho Dump'!$P$8:$P$3007,Settings!$A$18)+SUMIFS(Adjustments!$K$8:$K$207,Adjustments!$B$8:$B$207,$B144,Adjustments!$A$8:$A$207,Settings!$A$18))</f>
        <v>0</v>
      </c>
      <c r="R144" s="30" t="str">
        <f aca="false">IF(G144&gt;0,G144+A144/10000000,"")</f>
        <v/>
      </c>
    </row>
    <row r="145" customFormat="false" ht="15" hidden="false" customHeight="false" outlineLevel="0" collapsed="false">
      <c r="A145" s="9" t="n">
        <v>141</v>
      </c>
      <c r="B145" s="9" t="str">
        <f aca="false">IFERROR(INDEX('Zoho Dump'!$N$8:$N$3007,MATCH(A145,'Zoho Dump'!$AB$8:$AB$3007,0)),"")</f>
        <v/>
      </c>
      <c r="C145" s="17" t="n">
        <f aca="false">IF($B145="",0,SUMIFS('Zoho Dump'!$Q$8:$Q$3007,'Zoho Dump'!$N$8:$N$3007,$B145,'Zoho Dump'!$T$8:$T$3007,"Delivered",'Zoho Dump'!$R$8:$R$3007,"&gt;="&amp;Settings!$B$4))</f>
        <v>0</v>
      </c>
      <c r="D145" s="17" t="n">
        <f aca="false">IF($B145="",0,SUMIFS('Zoho Dump'!$X$8:$X$3007,'Zoho Dump'!$N$8:$N$3007,$B145,'Zoho Dump'!$T$8:$T$3007,"Backlog")+SUMIFS(Adjustments!$K$8:$K$207,Adjustments!$B$8:$B$207,$B145,Adjustments!$H$8:$H$207,"Backlog"))</f>
        <v>0</v>
      </c>
      <c r="E145" s="17" t="n">
        <f aca="false">IF($B145="",0,SUMIFS('Zoho Dump'!$Y$8:$Y$3007,'Zoho Dump'!$N$8:$N$3007,$B145,'Zoho Dump'!$T$8:$T$3007,"Pipeline")+SUMIFS(Adjustments!$L$8:$L$207,Adjustments!$B$8:$B$207,$B145,Adjustments!$H$8:$H$207,"Pipeline")+SUMIFS('Zoho Dump'!$Y$8:$Y$3007,'Zoho Dump'!$N$8:$N$3007,$B145,'Zoho Dump'!$T$8:$T$3007,"Overdue")+SUMIFS(Adjustments!$L$8:$L$207,Adjustments!$B$8:$B$207,$B145,Adjustments!$H$8:$H$207,"Overdue"))</f>
        <v>0</v>
      </c>
      <c r="F145" s="17" t="n">
        <f aca="false">IF($B145="",0,SUMIFS('Zoho Dump'!$X$8:$X$3007,'Zoho Dump'!$N$8:$N$3007,$B145,'Zoho Dump'!$T$8:$T$3007,"Pipeline")+SUMIFS(Adjustments!$K$8:$K$207,Adjustments!$B$8:$B$207,$B145,Adjustments!$H$8:$H$207,"Pipeline")+SUMIFS('Zoho Dump'!$X$8:$X$3007,'Zoho Dump'!$N$8:$N$3007,$B145,'Zoho Dump'!$T$8:$T$3007,"Overdue")+SUMIFS(Adjustments!$K$8:$K$207,Adjustments!$B$8:$B$207,$B145,Adjustments!$H$8:$H$207,"Overdue"))</f>
        <v>0</v>
      </c>
      <c r="G145" s="17" t="n">
        <f aca="false">D145+F145</f>
        <v>0</v>
      </c>
      <c r="H145" s="18" t="n">
        <f aca="false">IF(SUM($G$5:$G$404)=0,0,G145/SUM($G$5:$G$404))</f>
        <v>0</v>
      </c>
      <c r="I145" s="17" t="n">
        <f aca="false">IF($B145="",0,SUMIFS('Zoho Dump'!$Q$8:$Q$3007,'Zoho Dump'!$N$8:$N$3007,$B145,'Zoho Dump'!$T$8:$T$3007,"Lost",'Zoho Dump'!$R$8:$R$3007,"&gt;="&amp;Settings!$B$4))</f>
        <v>0</v>
      </c>
      <c r="J145" s="9" t="str">
        <f aca="false">IF($B145="","",IF(COUNTIF(Dashboard!$C$13:$C$22,$B145)&gt;0,"Yes",""))</f>
        <v/>
      </c>
      <c r="K145" s="17" t="n">
        <f aca="false">IF($B145="",0,SUMIFS('Zoho Dump'!$X$8:$X$3007,'Zoho Dump'!$N$8:$N$3007,$B145,'Zoho Dump'!$P$8:$P$3007,Settings!$A$12)+SUMIFS(Adjustments!$K$8:$K$207,Adjustments!$B$8:$B$207,$B145,Adjustments!$A$8:$A$207,Settings!$A$12))</f>
        <v>0</v>
      </c>
      <c r="L145" s="17" t="n">
        <f aca="false">IF($B145="",0,SUMIFS('Zoho Dump'!$X$8:$X$3007,'Zoho Dump'!$N$8:$N$3007,$B145,'Zoho Dump'!$P$8:$P$3007,Settings!$A$13)+SUMIFS(Adjustments!$K$8:$K$207,Adjustments!$B$8:$B$207,$B145,Adjustments!$A$8:$A$207,Settings!$A$13))</f>
        <v>0</v>
      </c>
      <c r="M145" s="17" t="n">
        <f aca="false">IF($B145="",0,SUMIFS('Zoho Dump'!$X$8:$X$3007,'Zoho Dump'!$N$8:$N$3007,$B145,'Zoho Dump'!$P$8:$P$3007,Settings!$A$14)+SUMIFS(Adjustments!$K$8:$K$207,Adjustments!$B$8:$B$207,$B145,Adjustments!$A$8:$A$207,Settings!$A$14))</f>
        <v>0</v>
      </c>
      <c r="N145" s="17" t="n">
        <f aca="false">IF($B145="",0,SUMIFS('Zoho Dump'!$X$8:$X$3007,'Zoho Dump'!$N$8:$N$3007,$B145,'Zoho Dump'!$P$8:$P$3007,Settings!$A$15)+SUMIFS(Adjustments!$K$8:$K$207,Adjustments!$B$8:$B$207,$B145,Adjustments!$A$8:$A$207,Settings!$A$15))</f>
        <v>0</v>
      </c>
      <c r="O145" s="17" t="n">
        <f aca="false">IF($B145="",0,SUMIFS('Zoho Dump'!$X$8:$X$3007,'Zoho Dump'!$N$8:$N$3007,$B145,'Zoho Dump'!$P$8:$P$3007,Settings!$A$16)+SUMIFS(Adjustments!$K$8:$K$207,Adjustments!$B$8:$B$207,$B145,Adjustments!$A$8:$A$207,Settings!$A$16))</f>
        <v>0</v>
      </c>
      <c r="P145" s="17" t="n">
        <f aca="false">IF($B145="",0,SUMIFS('Zoho Dump'!$X$8:$X$3007,'Zoho Dump'!$N$8:$N$3007,$B145,'Zoho Dump'!$P$8:$P$3007,Settings!$A$17)+SUMIFS(Adjustments!$K$8:$K$207,Adjustments!$B$8:$B$207,$B145,Adjustments!$A$8:$A$207,Settings!$A$17))</f>
        <v>0</v>
      </c>
      <c r="Q145" s="17" t="n">
        <f aca="false">IF($B145="",0,SUMIFS('Zoho Dump'!$X$8:$X$3007,'Zoho Dump'!$N$8:$N$3007,$B145,'Zoho Dump'!$P$8:$P$3007,Settings!$A$18)+SUMIFS(Adjustments!$K$8:$K$207,Adjustments!$B$8:$B$207,$B145,Adjustments!$A$8:$A$207,Settings!$A$18))</f>
        <v>0</v>
      </c>
      <c r="R145" s="30" t="str">
        <f aca="false">IF(G145&gt;0,G145+A145/10000000,"")</f>
        <v/>
      </c>
    </row>
    <row r="146" customFormat="false" ht="15" hidden="false" customHeight="false" outlineLevel="0" collapsed="false">
      <c r="A146" s="9" t="n">
        <v>142</v>
      </c>
      <c r="B146" s="9" t="str">
        <f aca="false">IFERROR(INDEX('Zoho Dump'!$N$8:$N$3007,MATCH(A146,'Zoho Dump'!$AB$8:$AB$3007,0)),"")</f>
        <v/>
      </c>
      <c r="C146" s="17" t="n">
        <f aca="false">IF($B146="",0,SUMIFS('Zoho Dump'!$Q$8:$Q$3007,'Zoho Dump'!$N$8:$N$3007,$B146,'Zoho Dump'!$T$8:$T$3007,"Delivered",'Zoho Dump'!$R$8:$R$3007,"&gt;="&amp;Settings!$B$4))</f>
        <v>0</v>
      </c>
      <c r="D146" s="17" t="n">
        <f aca="false">IF($B146="",0,SUMIFS('Zoho Dump'!$X$8:$X$3007,'Zoho Dump'!$N$8:$N$3007,$B146,'Zoho Dump'!$T$8:$T$3007,"Backlog")+SUMIFS(Adjustments!$K$8:$K$207,Adjustments!$B$8:$B$207,$B146,Adjustments!$H$8:$H$207,"Backlog"))</f>
        <v>0</v>
      </c>
      <c r="E146" s="17" t="n">
        <f aca="false">IF($B146="",0,SUMIFS('Zoho Dump'!$Y$8:$Y$3007,'Zoho Dump'!$N$8:$N$3007,$B146,'Zoho Dump'!$T$8:$T$3007,"Pipeline")+SUMIFS(Adjustments!$L$8:$L$207,Adjustments!$B$8:$B$207,$B146,Adjustments!$H$8:$H$207,"Pipeline")+SUMIFS('Zoho Dump'!$Y$8:$Y$3007,'Zoho Dump'!$N$8:$N$3007,$B146,'Zoho Dump'!$T$8:$T$3007,"Overdue")+SUMIFS(Adjustments!$L$8:$L$207,Adjustments!$B$8:$B$207,$B146,Adjustments!$H$8:$H$207,"Overdue"))</f>
        <v>0</v>
      </c>
      <c r="F146" s="17" t="n">
        <f aca="false">IF($B146="",0,SUMIFS('Zoho Dump'!$X$8:$X$3007,'Zoho Dump'!$N$8:$N$3007,$B146,'Zoho Dump'!$T$8:$T$3007,"Pipeline")+SUMIFS(Adjustments!$K$8:$K$207,Adjustments!$B$8:$B$207,$B146,Adjustments!$H$8:$H$207,"Pipeline")+SUMIFS('Zoho Dump'!$X$8:$X$3007,'Zoho Dump'!$N$8:$N$3007,$B146,'Zoho Dump'!$T$8:$T$3007,"Overdue")+SUMIFS(Adjustments!$K$8:$K$207,Adjustments!$B$8:$B$207,$B146,Adjustments!$H$8:$H$207,"Overdue"))</f>
        <v>0</v>
      </c>
      <c r="G146" s="17" t="n">
        <f aca="false">D146+F146</f>
        <v>0</v>
      </c>
      <c r="H146" s="18" t="n">
        <f aca="false">IF(SUM($G$5:$G$404)=0,0,G146/SUM($G$5:$G$404))</f>
        <v>0</v>
      </c>
      <c r="I146" s="17" t="n">
        <f aca="false">IF($B146="",0,SUMIFS('Zoho Dump'!$Q$8:$Q$3007,'Zoho Dump'!$N$8:$N$3007,$B146,'Zoho Dump'!$T$8:$T$3007,"Lost",'Zoho Dump'!$R$8:$R$3007,"&gt;="&amp;Settings!$B$4))</f>
        <v>0</v>
      </c>
      <c r="J146" s="9" t="str">
        <f aca="false">IF($B146="","",IF(COUNTIF(Dashboard!$C$13:$C$22,$B146)&gt;0,"Yes",""))</f>
        <v/>
      </c>
      <c r="K146" s="17" t="n">
        <f aca="false">IF($B146="",0,SUMIFS('Zoho Dump'!$X$8:$X$3007,'Zoho Dump'!$N$8:$N$3007,$B146,'Zoho Dump'!$P$8:$P$3007,Settings!$A$12)+SUMIFS(Adjustments!$K$8:$K$207,Adjustments!$B$8:$B$207,$B146,Adjustments!$A$8:$A$207,Settings!$A$12))</f>
        <v>0</v>
      </c>
      <c r="L146" s="17" t="n">
        <f aca="false">IF($B146="",0,SUMIFS('Zoho Dump'!$X$8:$X$3007,'Zoho Dump'!$N$8:$N$3007,$B146,'Zoho Dump'!$P$8:$P$3007,Settings!$A$13)+SUMIFS(Adjustments!$K$8:$K$207,Adjustments!$B$8:$B$207,$B146,Adjustments!$A$8:$A$207,Settings!$A$13))</f>
        <v>0</v>
      </c>
      <c r="M146" s="17" t="n">
        <f aca="false">IF($B146="",0,SUMIFS('Zoho Dump'!$X$8:$X$3007,'Zoho Dump'!$N$8:$N$3007,$B146,'Zoho Dump'!$P$8:$P$3007,Settings!$A$14)+SUMIFS(Adjustments!$K$8:$K$207,Adjustments!$B$8:$B$207,$B146,Adjustments!$A$8:$A$207,Settings!$A$14))</f>
        <v>0</v>
      </c>
      <c r="N146" s="17" t="n">
        <f aca="false">IF($B146="",0,SUMIFS('Zoho Dump'!$X$8:$X$3007,'Zoho Dump'!$N$8:$N$3007,$B146,'Zoho Dump'!$P$8:$P$3007,Settings!$A$15)+SUMIFS(Adjustments!$K$8:$K$207,Adjustments!$B$8:$B$207,$B146,Adjustments!$A$8:$A$207,Settings!$A$15))</f>
        <v>0</v>
      </c>
      <c r="O146" s="17" t="n">
        <f aca="false">IF($B146="",0,SUMIFS('Zoho Dump'!$X$8:$X$3007,'Zoho Dump'!$N$8:$N$3007,$B146,'Zoho Dump'!$P$8:$P$3007,Settings!$A$16)+SUMIFS(Adjustments!$K$8:$K$207,Adjustments!$B$8:$B$207,$B146,Adjustments!$A$8:$A$207,Settings!$A$16))</f>
        <v>0</v>
      </c>
      <c r="P146" s="17" t="n">
        <f aca="false">IF($B146="",0,SUMIFS('Zoho Dump'!$X$8:$X$3007,'Zoho Dump'!$N$8:$N$3007,$B146,'Zoho Dump'!$P$8:$P$3007,Settings!$A$17)+SUMIFS(Adjustments!$K$8:$K$207,Adjustments!$B$8:$B$207,$B146,Adjustments!$A$8:$A$207,Settings!$A$17))</f>
        <v>0</v>
      </c>
      <c r="Q146" s="17" t="n">
        <f aca="false">IF($B146="",0,SUMIFS('Zoho Dump'!$X$8:$X$3007,'Zoho Dump'!$N$8:$N$3007,$B146,'Zoho Dump'!$P$8:$P$3007,Settings!$A$18)+SUMIFS(Adjustments!$K$8:$K$207,Adjustments!$B$8:$B$207,$B146,Adjustments!$A$8:$A$207,Settings!$A$18))</f>
        <v>0</v>
      </c>
      <c r="R146" s="30" t="str">
        <f aca="false">IF(G146&gt;0,G146+A146/10000000,"")</f>
        <v/>
      </c>
    </row>
    <row r="147" customFormat="false" ht="15" hidden="false" customHeight="false" outlineLevel="0" collapsed="false">
      <c r="A147" s="9" t="n">
        <v>143</v>
      </c>
      <c r="B147" s="9" t="str">
        <f aca="false">IFERROR(INDEX('Zoho Dump'!$N$8:$N$3007,MATCH(A147,'Zoho Dump'!$AB$8:$AB$3007,0)),"")</f>
        <v/>
      </c>
      <c r="C147" s="17" t="n">
        <f aca="false">IF($B147="",0,SUMIFS('Zoho Dump'!$Q$8:$Q$3007,'Zoho Dump'!$N$8:$N$3007,$B147,'Zoho Dump'!$T$8:$T$3007,"Delivered",'Zoho Dump'!$R$8:$R$3007,"&gt;="&amp;Settings!$B$4))</f>
        <v>0</v>
      </c>
      <c r="D147" s="17" t="n">
        <f aca="false">IF($B147="",0,SUMIFS('Zoho Dump'!$X$8:$X$3007,'Zoho Dump'!$N$8:$N$3007,$B147,'Zoho Dump'!$T$8:$T$3007,"Backlog")+SUMIFS(Adjustments!$K$8:$K$207,Adjustments!$B$8:$B$207,$B147,Adjustments!$H$8:$H$207,"Backlog"))</f>
        <v>0</v>
      </c>
      <c r="E147" s="17" t="n">
        <f aca="false">IF($B147="",0,SUMIFS('Zoho Dump'!$Y$8:$Y$3007,'Zoho Dump'!$N$8:$N$3007,$B147,'Zoho Dump'!$T$8:$T$3007,"Pipeline")+SUMIFS(Adjustments!$L$8:$L$207,Adjustments!$B$8:$B$207,$B147,Adjustments!$H$8:$H$207,"Pipeline")+SUMIFS('Zoho Dump'!$Y$8:$Y$3007,'Zoho Dump'!$N$8:$N$3007,$B147,'Zoho Dump'!$T$8:$T$3007,"Overdue")+SUMIFS(Adjustments!$L$8:$L$207,Adjustments!$B$8:$B$207,$B147,Adjustments!$H$8:$H$207,"Overdue"))</f>
        <v>0</v>
      </c>
      <c r="F147" s="17" t="n">
        <f aca="false">IF($B147="",0,SUMIFS('Zoho Dump'!$X$8:$X$3007,'Zoho Dump'!$N$8:$N$3007,$B147,'Zoho Dump'!$T$8:$T$3007,"Pipeline")+SUMIFS(Adjustments!$K$8:$K$207,Adjustments!$B$8:$B$207,$B147,Adjustments!$H$8:$H$207,"Pipeline")+SUMIFS('Zoho Dump'!$X$8:$X$3007,'Zoho Dump'!$N$8:$N$3007,$B147,'Zoho Dump'!$T$8:$T$3007,"Overdue")+SUMIFS(Adjustments!$K$8:$K$207,Adjustments!$B$8:$B$207,$B147,Adjustments!$H$8:$H$207,"Overdue"))</f>
        <v>0</v>
      </c>
      <c r="G147" s="17" t="n">
        <f aca="false">D147+F147</f>
        <v>0</v>
      </c>
      <c r="H147" s="18" t="n">
        <f aca="false">IF(SUM($G$5:$G$404)=0,0,G147/SUM($G$5:$G$404))</f>
        <v>0</v>
      </c>
      <c r="I147" s="17" t="n">
        <f aca="false">IF($B147="",0,SUMIFS('Zoho Dump'!$Q$8:$Q$3007,'Zoho Dump'!$N$8:$N$3007,$B147,'Zoho Dump'!$T$8:$T$3007,"Lost",'Zoho Dump'!$R$8:$R$3007,"&gt;="&amp;Settings!$B$4))</f>
        <v>0</v>
      </c>
      <c r="J147" s="9" t="str">
        <f aca="false">IF($B147="","",IF(COUNTIF(Dashboard!$C$13:$C$22,$B147)&gt;0,"Yes",""))</f>
        <v/>
      </c>
      <c r="K147" s="17" t="n">
        <f aca="false">IF($B147="",0,SUMIFS('Zoho Dump'!$X$8:$X$3007,'Zoho Dump'!$N$8:$N$3007,$B147,'Zoho Dump'!$P$8:$P$3007,Settings!$A$12)+SUMIFS(Adjustments!$K$8:$K$207,Adjustments!$B$8:$B$207,$B147,Adjustments!$A$8:$A$207,Settings!$A$12))</f>
        <v>0</v>
      </c>
      <c r="L147" s="17" t="n">
        <f aca="false">IF($B147="",0,SUMIFS('Zoho Dump'!$X$8:$X$3007,'Zoho Dump'!$N$8:$N$3007,$B147,'Zoho Dump'!$P$8:$P$3007,Settings!$A$13)+SUMIFS(Adjustments!$K$8:$K$207,Adjustments!$B$8:$B$207,$B147,Adjustments!$A$8:$A$207,Settings!$A$13))</f>
        <v>0</v>
      </c>
      <c r="M147" s="17" t="n">
        <f aca="false">IF($B147="",0,SUMIFS('Zoho Dump'!$X$8:$X$3007,'Zoho Dump'!$N$8:$N$3007,$B147,'Zoho Dump'!$P$8:$P$3007,Settings!$A$14)+SUMIFS(Adjustments!$K$8:$K$207,Adjustments!$B$8:$B$207,$B147,Adjustments!$A$8:$A$207,Settings!$A$14))</f>
        <v>0</v>
      </c>
      <c r="N147" s="17" t="n">
        <f aca="false">IF($B147="",0,SUMIFS('Zoho Dump'!$X$8:$X$3007,'Zoho Dump'!$N$8:$N$3007,$B147,'Zoho Dump'!$P$8:$P$3007,Settings!$A$15)+SUMIFS(Adjustments!$K$8:$K$207,Adjustments!$B$8:$B$207,$B147,Adjustments!$A$8:$A$207,Settings!$A$15))</f>
        <v>0</v>
      </c>
      <c r="O147" s="17" t="n">
        <f aca="false">IF($B147="",0,SUMIFS('Zoho Dump'!$X$8:$X$3007,'Zoho Dump'!$N$8:$N$3007,$B147,'Zoho Dump'!$P$8:$P$3007,Settings!$A$16)+SUMIFS(Adjustments!$K$8:$K$207,Adjustments!$B$8:$B$207,$B147,Adjustments!$A$8:$A$207,Settings!$A$16))</f>
        <v>0</v>
      </c>
      <c r="P147" s="17" t="n">
        <f aca="false">IF($B147="",0,SUMIFS('Zoho Dump'!$X$8:$X$3007,'Zoho Dump'!$N$8:$N$3007,$B147,'Zoho Dump'!$P$8:$P$3007,Settings!$A$17)+SUMIFS(Adjustments!$K$8:$K$207,Adjustments!$B$8:$B$207,$B147,Adjustments!$A$8:$A$207,Settings!$A$17))</f>
        <v>0</v>
      </c>
      <c r="Q147" s="17" t="n">
        <f aca="false">IF($B147="",0,SUMIFS('Zoho Dump'!$X$8:$X$3007,'Zoho Dump'!$N$8:$N$3007,$B147,'Zoho Dump'!$P$8:$P$3007,Settings!$A$18)+SUMIFS(Adjustments!$K$8:$K$207,Adjustments!$B$8:$B$207,$B147,Adjustments!$A$8:$A$207,Settings!$A$18))</f>
        <v>0</v>
      </c>
      <c r="R147" s="30" t="str">
        <f aca="false">IF(G147&gt;0,G147+A147/10000000,"")</f>
        <v/>
      </c>
    </row>
    <row r="148" customFormat="false" ht="15" hidden="false" customHeight="false" outlineLevel="0" collapsed="false">
      <c r="A148" s="9" t="n">
        <v>144</v>
      </c>
      <c r="B148" s="9" t="str">
        <f aca="false">IFERROR(INDEX('Zoho Dump'!$N$8:$N$3007,MATCH(A148,'Zoho Dump'!$AB$8:$AB$3007,0)),"")</f>
        <v/>
      </c>
      <c r="C148" s="17" t="n">
        <f aca="false">IF($B148="",0,SUMIFS('Zoho Dump'!$Q$8:$Q$3007,'Zoho Dump'!$N$8:$N$3007,$B148,'Zoho Dump'!$T$8:$T$3007,"Delivered",'Zoho Dump'!$R$8:$R$3007,"&gt;="&amp;Settings!$B$4))</f>
        <v>0</v>
      </c>
      <c r="D148" s="17" t="n">
        <f aca="false">IF($B148="",0,SUMIFS('Zoho Dump'!$X$8:$X$3007,'Zoho Dump'!$N$8:$N$3007,$B148,'Zoho Dump'!$T$8:$T$3007,"Backlog")+SUMIFS(Adjustments!$K$8:$K$207,Adjustments!$B$8:$B$207,$B148,Adjustments!$H$8:$H$207,"Backlog"))</f>
        <v>0</v>
      </c>
      <c r="E148" s="17" t="n">
        <f aca="false">IF($B148="",0,SUMIFS('Zoho Dump'!$Y$8:$Y$3007,'Zoho Dump'!$N$8:$N$3007,$B148,'Zoho Dump'!$T$8:$T$3007,"Pipeline")+SUMIFS(Adjustments!$L$8:$L$207,Adjustments!$B$8:$B$207,$B148,Adjustments!$H$8:$H$207,"Pipeline")+SUMIFS('Zoho Dump'!$Y$8:$Y$3007,'Zoho Dump'!$N$8:$N$3007,$B148,'Zoho Dump'!$T$8:$T$3007,"Overdue")+SUMIFS(Adjustments!$L$8:$L$207,Adjustments!$B$8:$B$207,$B148,Adjustments!$H$8:$H$207,"Overdue"))</f>
        <v>0</v>
      </c>
      <c r="F148" s="17" t="n">
        <f aca="false">IF($B148="",0,SUMIFS('Zoho Dump'!$X$8:$X$3007,'Zoho Dump'!$N$8:$N$3007,$B148,'Zoho Dump'!$T$8:$T$3007,"Pipeline")+SUMIFS(Adjustments!$K$8:$K$207,Adjustments!$B$8:$B$207,$B148,Adjustments!$H$8:$H$207,"Pipeline")+SUMIFS('Zoho Dump'!$X$8:$X$3007,'Zoho Dump'!$N$8:$N$3007,$B148,'Zoho Dump'!$T$8:$T$3007,"Overdue")+SUMIFS(Adjustments!$K$8:$K$207,Adjustments!$B$8:$B$207,$B148,Adjustments!$H$8:$H$207,"Overdue"))</f>
        <v>0</v>
      </c>
      <c r="G148" s="17" t="n">
        <f aca="false">D148+F148</f>
        <v>0</v>
      </c>
      <c r="H148" s="18" t="n">
        <f aca="false">IF(SUM($G$5:$G$404)=0,0,G148/SUM($G$5:$G$404))</f>
        <v>0</v>
      </c>
      <c r="I148" s="17" t="n">
        <f aca="false">IF($B148="",0,SUMIFS('Zoho Dump'!$Q$8:$Q$3007,'Zoho Dump'!$N$8:$N$3007,$B148,'Zoho Dump'!$T$8:$T$3007,"Lost",'Zoho Dump'!$R$8:$R$3007,"&gt;="&amp;Settings!$B$4))</f>
        <v>0</v>
      </c>
      <c r="J148" s="9" t="str">
        <f aca="false">IF($B148="","",IF(COUNTIF(Dashboard!$C$13:$C$22,$B148)&gt;0,"Yes",""))</f>
        <v/>
      </c>
      <c r="K148" s="17" t="n">
        <f aca="false">IF($B148="",0,SUMIFS('Zoho Dump'!$X$8:$X$3007,'Zoho Dump'!$N$8:$N$3007,$B148,'Zoho Dump'!$P$8:$P$3007,Settings!$A$12)+SUMIFS(Adjustments!$K$8:$K$207,Adjustments!$B$8:$B$207,$B148,Adjustments!$A$8:$A$207,Settings!$A$12))</f>
        <v>0</v>
      </c>
      <c r="L148" s="17" t="n">
        <f aca="false">IF($B148="",0,SUMIFS('Zoho Dump'!$X$8:$X$3007,'Zoho Dump'!$N$8:$N$3007,$B148,'Zoho Dump'!$P$8:$P$3007,Settings!$A$13)+SUMIFS(Adjustments!$K$8:$K$207,Adjustments!$B$8:$B$207,$B148,Adjustments!$A$8:$A$207,Settings!$A$13))</f>
        <v>0</v>
      </c>
      <c r="M148" s="17" t="n">
        <f aca="false">IF($B148="",0,SUMIFS('Zoho Dump'!$X$8:$X$3007,'Zoho Dump'!$N$8:$N$3007,$B148,'Zoho Dump'!$P$8:$P$3007,Settings!$A$14)+SUMIFS(Adjustments!$K$8:$K$207,Adjustments!$B$8:$B$207,$B148,Adjustments!$A$8:$A$207,Settings!$A$14))</f>
        <v>0</v>
      </c>
      <c r="N148" s="17" t="n">
        <f aca="false">IF($B148="",0,SUMIFS('Zoho Dump'!$X$8:$X$3007,'Zoho Dump'!$N$8:$N$3007,$B148,'Zoho Dump'!$P$8:$P$3007,Settings!$A$15)+SUMIFS(Adjustments!$K$8:$K$207,Adjustments!$B$8:$B$207,$B148,Adjustments!$A$8:$A$207,Settings!$A$15))</f>
        <v>0</v>
      </c>
      <c r="O148" s="17" t="n">
        <f aca="false">IF($B148="",0,SUMIFS('Zoho Dump'!$X$8:$X$3007,'Zoho Dump'!$N$8:$N$3007,$B148,'Zoho Dump'!$P$8:$P$3007,Settings!$A$16)+SUMIFS(Adjustments!$K$8:$K$207,Adjustments!$B$8:$B$207,$B148,Adjustments!$A$8:$A$207,Settings!$A$16))</f>
        <v>0</v>
      </c>
      <c r="P148" s="17" t="n">
        <f aca="false">IF($B148="",0,SUMIFS('Zoho Dump'!$X$8:$X$3007,'Zoho Dump'!$N$8:$N$3007,$B148,'Zoho Dump'!$P$8:$P$3007,Settings!$A$17)+SUMIFS(Adjustments!$K$8:$K$207,Adjustments!$B$8:$B$207,$B148,Adjustments!$A$8:$A$207,Settings!$A$17))</f>
        <v>0</v>
      </c>
      <c r="Q148" s="17" t="n">
        <f aca="false">IF($B148="",0,SUMIFS('Zoho Dump'!$X$8:$X$3007,'Zoho Dump'!$N$8:$N$3007,$B148,'Zoho Dump'!$P$8:$P$3007,Settings!$A$18)+SUMIFS(Adjustments!$K$8:$K$207,Adjustments!$B$8:$B$207,$B148,Adjustments!$A$8:$A$207,Settings!$A$18))</f>
        <v>0</v>
      </c>
      <c r="R148" s="30" t="str">
        <f aca="false">IF(G148&gt;0,G148+A148/10000000,"")</f>
        <v/>
      </c>
    </row>
    <row r="149" customFormat="false" ht="15" hidden="false" customHeight="false" outlineLevel="0" collapsed="false">
      <c r="A149" s="9" t="n">
        <v>145</v>
      </c>
      <c r="B149" s="9" t="str">
        <f aca="false">IFERROR(INDEX('Zoho Dump'!$N$8:$N$3007,MATCH(A149,'Zoho Dump'!$AB$8:$AB$3007,0)),"")</f>
        <v/>
      </c>
      <c r="C149" s="17" t="n">
        <f aca="false">IF($B149="",0,SUMIFS('Zoho Dump'!$Q$8:$Q$3007,'Zoho Dump'!$N$8:$N$3007,$B149,'Zoho Dump'!$T$8:$T$3007,"Delivered",'Zoho Dump'!$R$8:$R$3007,"&gt;="&amp;Settings!$B$4))</f>
        <v>0</v>
      </c>
      <c r="D149" s="17" t="n">
        <f aca="false">IF($B149="",0,SUMIFS('Zoho Dump'!$X$8:$X$3007,'Zoho Dump'!$N$8:$N$3007,$B149,'Zoho Dump'!$T$8:$T$3007,"Backlog")+SUMIFS(Adjustments!$K$8:$K$207,Adjustments!$B$8:$B$207,$B149,Adjustments!$H$8:$H$207,"Backlog"))</f>
        <v>0</v>
      </c>
      <c r="E149" s="17" t="n">
        <f aca="false">IF($B149="",0,SUMIFS('Zoho Dump'!$Y$8:$Y$3007,'Zoho Dump'!$N$8:$N$3007,$B149,'Zoho Dump'!$T$8:$T$3007,"Pipeline")+SUMIFS(Adjustments!$L$8:$L$207,Adjustments!$B$8:$B$207,$B149,Adjustments!$H$8:$H$207,"Pipeline")+SUMIFS('Zoho Dump'!$Y$8:$Y$3007,'Zoho Dump'!$N$8:$N$3007,$B149,'Zoho Dump'!$T$8:$T$3007,"Overdue")+SUMIFS(Adjustments!$L$8:$L$207,Adjustments!$B$8:$B$207,$B149,Adjustments!$H$8:$H$207,"Overdue"))</f>
        <v>0</v>
      </c>
      <c r="F149" s="17" t="n">
        <f aca="false">IF($B149="",0,SUMIFS('Zoho Dump'!$X$8:$X$3007,'Zoho Dump'!$N$8:$N$3007,$B149,'Zoho Dump'!$T$8:$T$3007,"Pipeline")+SUMIFS(Adjustments!$K$8:$K$207,Adjustments!$B$8:$B$207,$B149,Adjustments!$H$8:$H$207,"Pipeline")+SUMIFS('Zoho Dump'!$X$8:$X$3007,'Zoho Dump'!$N$8:$N$3007,$B149,'Zoho Dump'!$T$8:$T$3007,"Overdue")+SUMIFS(Adjustments!$K$8:$K$207,Adjustments!$B$8:$B$207,$B149,Adjustments!$H$8:$H$207,"Overdue"))</f>
        <v>0</v>
      </c>
      <c r="G149" s="17" t="n">
        <f aca="false">D149+F149</f>
        <v>0</v>
      </c>
      <c r="H149" s="18" t="n">
        <f aca="false">IF(SUM($G$5:$G$404)=0,0,G149/SUM($G$5:$G$404))</f>
        <v>0</v>
      </c>
      <c r="I149" s="17" t="n">
        <f aca="false">IF($B149="",0,SUMIFS('Zoho Dump'!$Q$8:$Q$3007,'Zoho Dump'!$N$8:$N$3007,$B149,'Zoho Dump'!$T$8:$T$3007,"Lost",'Zoho Dump'!$R$8:$R$3007,"&gt;="&amp;Settings!$B$4))</f>
        <v>0</v>
      </c>
      <c r="J149" s="9" t="str">
        <f aca="false">IF($B149="","",IF(COUNTIF(Dashboard!$C$13:$C$22,$B149)&gt;0,"Yes",""))</f>
        <v/>
      </c>
      <c r="K149" s="17" t="n">
        <f aca="false">IF($B149="",0,SUMIFS('Zoho Dump'!$X$8:$X$3007,'Zoho Dump'!$N$8:$N$3007,$B149,'Zoho Dump'!$P$8:$P$3007,Settings!$A$12)+SUMIFS(Adjustments!$K$8:$K$207,Adjustments!$B$8:$B$207,$B149,Adjustments!$A$8:$A$207,Settings!$A$12))</f>
        <v>0</v>
      </c>
      <c r="L149" s="17" t="n">
        <f aca="false">IF($B149="",0,SUMIFS('Zoho Dump'!$X$8:$X$3007,'Zoho Dump'!$N$8:$N$3007,$B149,'Zoho Dump'!$P$8:$P$3007,Settings!$A$13)+SUMIFS(Adjustments!$K$8:$K$207,Adjustments!$B$8:$B$207,$B149,Adjustments!$A$8:$A$207,Settings!$A$13))</f>
        <v>0</v>
      </c>
      <c r="M149" s="17" t="n">
        <f aca="false">IF($B149="",0,SUMIFS('Zoho Dump'!$X$8:$X$3007,'Zoho Dump'!$N$8:$N$3007,$B149,'Zoho Dump'!$P$8:$P$3007,Settings!$A$14)+SUMIFS(Adjustments!$K$8:$K$207,Adjustments!$B$8:$B$207,$B149,Adjustments!$A$8:$A$207,Settings!$A$14))</f>
        <v>0</v>
      </c>
      <c r="N149" s="17" t="n">
        <f aca="false">IF($B149="",0,SUMIFS('Zoho Dump'!$X$8:$X$3007,'Zoho Dump'!$N$8:$N$3007,$B149,'Zoho Dump'!$P$8:$P$3007,Settings!$A$15)+SUMIFS(Adjustments!$K$8:$K$207,Adjustments!$B$8:$B$207,$B149,Adjustments!$A$8:$A$207,Settings!$A$15))</f>
        <v>0</v>
      </c>
      <c r="O149" s="17" t="n">
        <f aca="false">IF($B149="",0,SUMIFS('Zoho Dump'!$X$8:$X$3007,'Zoho Dump'!$N$8:$N$3007,$B149,'Zoho Dump'!$P$8:$P$3007,Settings!$A$16)+SUMIFS(Adjustments!$K$8:$K$207,Adjustments!$B$8:$B$207,$B149,Adjustments!$A$8:$A$207,Settings!$A$16))</f>
        <v>0</v>
      </c>
      <c r="P149" s="17" t="n">
        <f aca="false">IF($B149="",0,SUMIFS('Zoho Dump'!$X$8:$X$3007,'Zoho Dump'!$N$8:$N$3007,$B149,'Zoho Dump'!$P$8:$P$3007,Settings!$A$17)+SUMIFS(Adjustments!$K$8:$K$207,Adjustments!$B$8:$B$207,$B149,Adjustments!$A$8:$A$207,Settings!$A$17))</f>
        <v>0</v>
      </c>
      <c r="Q149" s="17" t="n">
        <f aca="false">IF($B149="",0,SUMIFS('Zoho Dump'!$X$8:$X$3007,'Zoho Dump'!$N$8:$N$3007,$B149,'Zoho Dump'!$P$8:$P$3007,Settings!$A$18)+SUMIFS(Adjustments!$K$8:$K$207,Adjustments!$B$8:$B$207,$B149,Adjustments!$A$8:$A$207,Settings!$A$18))</f>
        <v>0</v>
      </c>
      <c r="R149" s="30" t="str">
        <f aca="false">IF(G149&gt;0,G149+A149/10000000,"")</f>
        <v/>
      </c>
    </row>
    <row r="150" customFormat="false" ht="15" hidden="false" customHeight="false" outlineLevel="0" collapsed="false">
      <c r="A150" s="9" t="n">
        <v>146</v>
      </c>
      <c r="B150" s="9" t="str">
        <f aca="false">IFERROR(INDEX('Zoho Dump'!$N$8:$N$3007,MATCH(A150,'Zoho Dump'!$AB$8:$AB$3007,0)),"")</f>
        <v/>
      </c>
      <c r="C150" s="17" t="n">
        <f aca="false">IF($B150="",0,SUMIFS('Zoho Dump'!$Q$8:$Q$3007,'Zoho Dump'!$N$8:$N$3007,$B150,'Zoho Dump'!$T$8:$T$3007,"Delivered",'Zoho Dump'!$R$8:$R$3007,"&gt;="&amp;Settings!$B$4))</f>
        <v>0</v>
      </c>
      <c r="D150" s="17" t="n">
        <f aca="false">IF($B150="",0,SUMIFS('Zoho Dump'!$X$8:$X$3007,'Zoho Dump'!$N$8:$N$3007,$B150,'Zoho Dump'!$T$8:$T$3007,"Backlog")+SUMIFS(Adjustments!$K$8:$K$207,Adjustments!$B$8:$B$207,$B150,Adjustments!$H$8:$H$207,"Backlog"))</f>
        <v>0</v>
      </c>
      <c r="E150" s="17" t="n">
        <f aca="false">IF($B150="",0,SUMIFS('Zoho Dump'!$Y$8:$Y$3007,'Zoho Dump'!$N$8:$N$3007,$B150,'Zoho Dump'!$T$8:$T$3007,"Pipeline")+SUMIFS(Adjustments!$L$8:$L$207,Adjustments!$B$8:$B$207,$B150,Adjustments!$H$8:$H$207,"Pipeline")+SUMIFS('Zoho Dump'!$Y$8:$Y$3007,'Zoho Dump'!$N$8:$N$3007,$B150,'Zoho Dump'!$T$8:$T$3007,"Overdue")+SUMIFS(Adjustments!$L$8:$L$207,Adjustments!$B$8:$B$207,$B150,Adjustments!$H$8:$H$207,"Overdue"))</f>
        <v>0</v>
      </c>
      <c r="F150" s="17" t="n">
        <f aca="false">IF($B150="",0,SUMIFS('Zoho Dump'!$X$8:$X$3007,'Zoho Dump'!$N$8:$N$3007,$B150,'Zoho Dump'!$T$8:$T$3007,"Pipeline")+SUMIFS(Adjustments!$K$8:$K$207,Adjustments!$B$8:$B$207,$B150,Adjustments!$H$8:$H$207,"Pipeline")+SUMIFS('Zoho Dump'!$X$8:$X$3007,'Zoho Dump'!$N$8:$N$3007,$B150,'Zoho Dump'!$T$8:$T$3007,"Overdue")+SUMIFS(Adjustments!$K$8:$K$207,Adjustments!$B$8:$B$207,$B150,Adjustments!$H$8:$H$207,"Overdue"))</f>
        <v>0</v>
      </c>
      <c r="G150" s="17" t="n">
        <f aca="false">D150+F150</f>
        <v>0</v>
      </c>
      <c r="H150" s="18" t="n">
        <f aca="false">IF(SUM($G$5:$G$404)=0,0,G150/SUM($G$5:$G$404))</f>
        <v>0</v>
      </c>
      <c r="I150" s="17" t="n">
        <f aca="false">IF($B150="",0,SUMIFS('Zoho Dump'!$Q$8:$Q$3007,'Zoho Dump'!$N$8:$N$3007,$B150,'Zoho Dump'!$T$8:$T$3007,"Lost",'Zoho Dump'!$R$8:$R$3007,"&gt;="&amp;Settings!$B$4))</f>
        <v>0</v>
      </c>
      <c r="J150" s="9" t="str">
        <f aca="false">IF($B150="","",IF(COUNTIF(Dashboard!$C$13:$C$22,$B150)&gt;0,"Yes",""))</f>
        <v/>
      </c>
      <c r="K150" s="17" t="n">
        <f aca="false">IF($B150="",0,SUMIFS('Zoho Dump'!$X$8:$X$3007,'Zoho Dump'!$N$8:$N$3007,$B150,'Zoho Dump'!$P$8:$P$3007,Settings!$A$12)+SUMIFS(Adjustments!$K$8:$K$207,Adjustments!$B$8:$B$207,$B150,Adjustments!$A$8:$A$207,Settings!$A$12))</f>
        <v>0</v>
      </c>
      <c r="L150" s="17" t="n">
        <f aca="false">IF($B150="",0,SUMIFS('Zoho Dump'!$X$8:$X$3007,'Zoho Dump'!$N$8:$N$3007,$B150,'Zoho Dump'!$P$8:$P$3007,Settings!$A$13)+SUMIFS(Adjustments!$K$8:$K$207,Adjustments!$B$8:$B$207,$B150,Adjustments!$A$8:$A$207,Settings!$A$13))</f>
        <v>0</v>
      </c>
      <c r="M150" s="17" t="n">
        <f aca="false">IF($B150="",0,SUMIFS('Zoho Dump'!$X$8:$X$3007,'Zoho Dump'!$N$8:$N$3007,$B150,'Zoho Dump'!$P$8:$P$3007,Settings!$A$14)+SUMIFS(Adjustments!$K$8:$K$207,Adjustments!$B$8:$B$207,$B150,Adjustments!$A$8:$A$207,Settings!$A$14))</f>
        <v>0</v>
      </c>
      <c r="N150" s="17" t="n">
        <f aca="false">IF($B150="",0,SUMIFS('Zoho Dump'!$X$8:$X$3007,'Zoho Dump'!$N$8:$N$3007,$B150,'Zoho Dump'!$P$8:$P$3007,Settings!$A$15)+SUMIFS(Adjustments!$K$8:$K$207,Adjustments!$B$8:$B$207,$B150,Adjustments!$A$8:$A$207,Settings!$A$15))</f>
        <v>0</v>
      </c>
      <c r="O150" s="17" t="n">
        <f aca="false">IF($B150="",0,SUMIFS('Zoho Dump'!$X$8:$X$3007,'Zoho Dump'!$N$8:$N$3007,$B150,'Zoho Dump'!$P$8:$P$3007,Settings!$A$16)+SUMIFS(Adjustments!$K$8:$K$207,Adjustments!$B$8:$B$207,$B150,Adjustments!$A$8:$A$207,Settings!$A$16))</f>
        <v>0</v>
      </c>
      <c r="P150" s="17" t="n">
        <f aca="false">IF($B150="",0,SUMIFS('Zoho Dump'!$X$8:$X$3007,'Zoho Dump'!$N$8:$N$3007,$B150,'Zoho Dump'!$P$8:$P$3007,Settings!$A$17)+SUMIFS(Adjustments!$K$8:$K$207,Adjustments!$B$8:$B$207,$B150,Adjustments!$A$8:$A$207,Settings!$A$17))</f>
        <v>0</v>
      </c>
      <c r="Q150" s="17" t="n">
        <f aca="false">IF($B150="",0,SUMIFS('Zoho Dump'!$X$8:$X$3007,'Zoho Dump'!$N$8:$N$3007,$B150,'Zoho Dump'!$P$8:$P$3007,Settings!$A$18)+SUMIFS(Adjustments!$K$8:$K$207,Adjustments!$B$8:$B$207,$B150,Adjustments!$A$8:$A$207,Settings!$A$18))</f>
        <v>0</v>
      </c>
      <c r="R150" s="30" t="str">
        <f aca="false">IF(G150&gt;0,G150+A150/10000000,"")</f>
        <v/>
      </c>
    </row>
    <row r="151" customFormat="false" ht="15" hidden="false" customHeight="false" outlineLevel="0" collapsed="false">
      <c r="A151" s="9" t="n">
        <v>147</v>
      </c>
      <c r="B151" s="9" t="str">
        <f aca="false">IFERROR(INDEX('Zoho Dump'!$N$8:$N$3007,MATCH(A151,'Zoho Dump'!$AB$8:$AB$3007,0)),"")</f>
        <v/>
      </c>
      <c r="C151" s="17" t="n">
        <f aca="false">IF($B151="",0,SUMIFS('Zoho Dump'!$Q$8:$Q$3007,'Zoho Dump'!$N$8:$N$3007,$B151,'Zoho Dump'!$T$8:$T$3007,"Delivered",'Zoho Dump'!$R$8:$R$3007,"&gt;="&amp;Settings!$B$4))</f>
        <v>0</v>
      </c>
      <c r="D151" s="17" t="n">
        <f aca="false">IF($B151="",0,SUMIFS('Zoho Dump'!$X$8:$X$3007,'Zoho Dump'!$N$8:$N$3007,$B151,'Zoho Dump'!$T$8:$T$3007,"Backlog")+SUMIFS(Adjustments!$K$8:$K$207,Adjustments!$B$8:$B$207,$B151,Adjustments!$H$8:$H$207,"Backlog"))</f>
        <v>0</v>
      </c>
      <c r="E151" s="17" t="n">
        <f aca="false">IF($B151="",0,SUMIFS('Zoho Dump'!$Y$8:$Y$3007,'Zoho Dump'!$N$8:$N$3007,$B151,'Zoho Dump'!$T$8:$T$3007,"Pipeline")+SUMIFS(Adjustments!$L$8:$L$207,Adjustments!$B$8:$B$207,$B151,Adjustments!$H$8:$H$207,"Pipeline")+SUMIFS('Zoho Dump'!$Y$8:$Y$3007,'Zoho Dump'!$N$8:$N$3007,$B151,'Zoho Dump'!$T$8:$T$3007,"Overdue")+SUMIFS(Adjustments!$L$8:$L$207,Adjustments!$B$8:$B$207,$B151,Adjustments!$H$8:$H$207,"Overdue"))</f>
        <v>0</v>
      </c>
      <c r="F151" s="17" t="n">
        <f aca="false">IF($B151="",0,SUMIFS('Zoho Dump'!$X$8:$X$3007,'Zoho Dump'!$N$8:$N$3007,$B151,'Zoho Dump'!$T$8:$T$3007,"Pipeline")+SUMIFS(Adjustments!$K$8:$K$207,Adjustments!$B$8:$B$207,$B151,Adjustments!$H$8:$H$207,"Pipeline")+SUMIFS('Zoho Dump'!$X$8:$X$3007,'Zoho Dump'!$N$8:$N$3007,$B151,'Zoho Dump'!$T$8:$T$3007,"Overdue")+SUMIFS(Adjustments!$K$8:$K$207,Adjustments!$B$8:$B$207,$B151,Adjustments!$H$8:$H$207,"Overdue"))</f>
        <v>0</v>
      </c>
      <c r="G151" s="17" t="n">
        <f aca="false">D151+F151</f>
        <v>0</v>
      </c>
      <c r="H151" s="18" t="n">
        <f aca="false">IF(SUM($G$5:$G$404)=0,0,G151/SUM($G$5:$G$404))</f>
        <v>0</v>
      </c>
      <c r="I151" s="17" t="n">
        <f aca="false">IF($B151="",0,SUMIFS('Zoho Dump'!$Q$8:$Q$3007,'Zoho Dump'!$N$8:$N$3007,$B151,'Zoho Dump'!$T$8:$T$3007,"Lost",'Zoho Dump'!$R$8:$R$3007,"&gt;="&amp;Settings!$B$4))</f>
        <v>0</v>
      </c>
      <c r="J151" s="9" t="str">
        <f aca="false">IF($B151="","",IF(COUNTIF(Dashboard!$C$13:$C$22,$B151)&gt;0,"Yes",""))</f>
        <v/>
      </c>
      <c r="K151" s="17" t="n">
        <f aca="false">IF($B151="",0,SUMIFS('Zoho Dump'!$X$8:$X$3007,'Zoho Dump'!$N$8:$N$3007,$B151,'Zoho Dump'!$P$8:$P$3007,Settings!$A$12)+SUMIFS(Adjustments!$K$8:$K$207,Adjustments!$B$8:$B$207,$B151,Adjustments!$A$8:$A$207,Settings!$A$12))</f>
        <v>0</v>
      </c>
      <c r="L151" s="17" t="n">
        <f aca="false">IF($B151="",0,SUMIFS('Zoho Dump'!$X$8:$X$3007,'Zoho Dump'!$N$8:$N$3007,$B151,'Zoho Dump'!$P$8:$P$3007,Settings!$A$13)+SUMIFS(Adjustments!$K$8:$K$207,Adjustments!$B$8:$B$207,$B151,Adjustments!$A$8:$A$207,Settings!$A$13))</f>
        <v>0</v>
      </c>
      <c r="M151" s="17" t="n">
        <f aca="false">IF($B151="",0,SUMIFS('Zoho Dump'!$X$8:$X$3007,'Zoho Dump'!$N$8:$N$3007,$B151,'Zoho Dump'!$P$8:$P$3007,Settings!$A$14)+SUMIFS(Adjustments!$K$8:$K$207,Adjustments!$B$8:$B$207,$B151,Adjustments!$A$8:$A$207,Settings!$A$14))</f>
        <v>0</v>
      </c>
      <c r="N151" s="17" t="n">
        <f aca="false">IF($B151="",0,SUMIFS('Zoho Dump'!$X$8:$X$3007,'Zoho Dump'!$N$8:$N$3007,$B151,'Zoho Dump'!$P$8:$P$3007,Settings!$A$15)+SUMIFS(Adjustments!$K$8:$K$207,Adjustments!$B$8:$B$207,$B151,Adjustments!$A$8:$A$207,Settings!$A$15))</f>
        <v>0</v>
      </c>
      <c r="O151" s="17" t="n">
        <f aca="false">IF($B151="",0,SUMIFS('Zoho Dump'!$X$8:$X$3007,'Zoho Dump'!$N$8:$N$3007,$B151,'Zoho Dump'!$P$8:$P$3007,Settings!$A$16)+SUMIFS(Adjustments!$K$8:$K$207,Adjustments!$B$8:$B$207,$B151,Adjustments!$A$8:$A$207,Settings!$A$16))</f>
        <v>0</v>
      </c>
      <c r="P151" s="17" t="n">
        <f aca="false">IF($B151="",0,SUMIFS('Zoho Dump'!$X$8:$X$3007,'Zoho Dump'!$N$8:$N$3007,$B151,'Zoho Dump'!$P$8:$P$3007,Settings!$A$17)+SUMIFS(Adjustments!$K$8:$K$207,Adjustments!$B$8:$B$207,$B151,Adjustments!$A$8:$A$207,Settings!$A$17))</f>
        <v>0</v>
      </c>
      <c r="Q151" s="17" t="n">
        <f aca="false">IF($B151="",0,SUMIFS('Zoho Dump'!$X$8:$X$3007,'Zoho Dump'!$N$8:$N$3007,$B151,'Zoho Dump'!$P$8:$P$3007,Settings!$A$18)+SUMIFS(Adjustments!$K$8:$K$207,Adjustments!$B$8:$B$207,$B151,Adjustments!$A$8:$A$207,Settings!$A$18))</f>
        <v>0</v>
      </c>
      <c r="R151" s="30" t="str">
        <f aca="false">IF(G151&gt;0,G151+A151/10000000,"")</f>
        <v/>
      </c>
    </row>
    <row r="152" customFormat="false" ht="15" hidden="false" customHeight="false" outlineLevel="0" collapsed="false">
      <c r="A152" s="9" t="n">
        <v>148</v>
      </c>
      <c r="B152" s="9" t="str">
        <f aca="false">IFERROR(INDEX('Zoho Dump'!$N$8:$N$3007,MATCH(A152,'Zoho Dump'!$AB$8:$AB$3007,0)),"")</f>
        <v/>
      </c>
      <c r="C152" s="17" t="n">
        <f aca="false">IF($B152="",0,SUMIFS('Zoho Dump'!$Q$8:$Q$3007,'Zoho Dump'!$N$8:$N$3007,$B152,'Zoho Dump'!$T$8:$T$3007,"Delivered",'Zoho Dump'!$R$8:$R$3007,"&gt;="&amp;Settings!$B$4))</f>
        <v>0</v>
      </c>
      <c r="D152" s="17" t="n">
        <f aca="false">IF($B152="",0,SUMIFS('Zoho Dump'!$X$8:$X$3007,'Zoho Dump'!$N$8:$N$3007,$B152,'Zoho Dump'!$T$8:$T$3007,"Backlog")+SUMIFS(Adjustments!$K$8:$K$207,Adjustments!$B$8:$B$207,$B152,Adjustments!$H$8:$H$207,"Backlog"))</f>
        <v>0</v>
      </c>
      <c r="E152" s="17" t="n">
        <f aca="false">IF($B152="",0,SUMIFS('Zoho Dump'!$Y$8:$Y$3007,'Zoho Dump'!$N$8:$N$3007,$B152,'Zoho Dump'!$T$8:$T$3007,"Pipeline")+SUMIFS(Adjustments!$L$8:$L$207,Adjustments!$B$8:$B$207,$B152,Adjustments!$H$8:$H$207,"Pipeline")+SUMIFS('Zoho Dump'!$Y$8:$Y$3007,'Zoho Dump'!$N$8:$N$3007,$B152,'Zoho Dump'!$T$8:$T$3007,"Overdue")+SUMIFS(Adjustments!$L$8:$L$207,Adjustments!$B$8:$B$207,$B152,Adjustments!$H$8:$H$207,"Overdue"))</f>
        <v>0</v>
      </c>
      <c r="F152" s="17" t="n">
        <f aca="false">IF($B152="",0,SUMIFS('Zoho Dump'!$X$8:$X$3007,'Zoho Dump'!$N$8:$N$3007,$B152,'Zoho Dump'!$T$8:$T$3007,"Pipeline")+SUMIFS(Adjustments!$K$8:$K$207,Adjustments!$B$8:$B$207,$B152,Adjustments!$H$8:$H$207,"Pipeline")+SUMIFS('Zoho Dump'!$X$8:$X$3007,'Zoho Dump'!$N$8:$N$3007,$B152,'Zoho Dump'!$T$8:$T$3007,"Overdue")+SUMIFS(Adjustments!$K$8:$K$207,Adjustments!$B$8:$B$207,$B152,Adjustments!$H$8:$H$207,"Overdue"))</f>
        <v>0</v>
      </c>
      <c r="G152" s="17" t="n">
        <f aca="false">D152+F152</f>
        <v>0</v>
      </c>
      <c r="H152" s="18" t="n">
        <f aca="false">IF(SUM($G$5:$G$404)=0,0,G152/SUM($G$5:$G$404))</f>
        <v>0</v>
      </c>
      <c r="I152" s="17" t="n">
        <f aca="false">IF($B152="",0,SUMIFS('Zoho Dump'!$Q$8:$Q$3007,'Zoho Dump'!$N$8:$N$3007,$B152,'Zoho Dump'!$T$8:$T$3007,"Lost",'Zoho Dump'!$R$8:$R$3007,"&gt;="&amp;Settings!$B$4))</f>
        <v>0</v>
      </c>
      <c r="J152" s="9" t="str">
        <f aca="false">IF($B152="","",IF(COUNTIF(Dashboard!$C$13:$C$22,$B152)&gt;0,"Yes",""))</f>
        <v/>
      </c>
      <c r="K152" s="17" t="n">
        <f aca="false">IF($B152="",0,SUMIFS('Zoho Dump'!$X$8:$X$3007,'Zoho Dump'!$N$8:$N$3007,$B152,'Zoho Dump'!$P$8:$P$3007,Settings!$A$12)+SUMIFS(Adjustments!$K$8:$K$207,Adjustments!$B$8:$B$207,$B152,Adjustments!$A$8:$A$207,Settings!$A$12))</f>
        <v>0</v>
      </c>
      <c r="L152" s="17" t="n">
        <f aca="false">IF($B152="",0,SUMIFS('Zoho Dump'!$X$8:$X$3007,'Zoho Dump'!$N$8:$N$3007,$B152,'Zoho Dump'!$P$8:$P$3007,Settings!$A$13)+SUMIFS(Adjustments!$K$8:$K$207,Adjustments!$B$8:$B$207,$B152,Adjustments!$A$8:$A$207,Settings!$A$13))</f>
        <v>0</v>
      </c>
      <c r="M152" s="17" t="n">
        <f aca="false">IF($B152="",0,SUMIFS('Zoho Dump'!$X$8:$X$3007,'Zoho Dump'!$N$8:$N$3007,$B152,'Zoho Dump'!$P$8:$P$3007,Settings!$A$14)+SUMIFS(Adjustments!$K$8:$K$207,Adjustments!$B$8:$B$207,$B152,Adjustments!$A$8:$A$207,Settings!$A$14))</f>
        <v>0</v>
      </c>
      <c r="N152" s="17" t="n">
        <f aca="false">IF($B152="",0,SUMIFS('Zoho Dump'!$X$8:$X$3007,'Zoho Dump'!$N$8:$N$3007,$B152,'Zoho Dump'!$P$8:$P$3007,Settings!$A$15)+SUMIFS(Adjustments!$K$8:$K$207,Adjustments!$B$8:$B$207,$B152,Adjustments!$A$8:$A$207,Settings!$A$15))</f>
        <v>0</v>
      </c>
      <c r="O152" s="17" t="n">
        <f aca="false">IF($B152="",0,SUMIFS('Zoho Dump'!$X$8:$X$3007,'Zoho Dump'!$N$8:$N$3007,$B152,'Zoho Dump'!$P$8:$P$3007,Settings!$A$16)+SUMIFS(Adjustments!$K$8:$K$207,Adjustments!$B$8:$B$207,$B152,Adjustments!$A$8:$A$207,Settings!$A$16))</f>
        <v>0</v>
      </c>
      <c r="P152" s="17" t="n">
        <f aca="false">IF($B152="",0,SUMIFS('Zoho Dump'!$X$8:$X$3007,'Zoho Dump'!$N$8:$N$3007,$B152,'Zoho Dump'!$P$8:$P$3007,Settings!$A$17)+SUMIFS(Adjustments!$K$8:$K$207,Adjustments!$B$8:$B$207,$B152,Adjustments!$A$8:$A$207,Settings!$A$17))</f>
        <v>0</v>
      </c>
      <c r="Q152" s="17" t="n">
        <f aca="false">IF($B152="",0,SUMIFS('Zoho Dump'!$X$8:$X$3007,'Zoho Dump'!$N$8:$N$3007,$B152,'Zoho Dump'!$P$8:$P$3007,Settings!$A$18)+SUMIFS(Adjustments!$K$8:$K$207,Adjustments!$B$8:$B$207,$B152,Adjustments!$A$8:$A$207,Settings!$A$18))</f>
        <v>0</v>
      </c>
      <c r="R152" s="30" t="str">
        <f aca="false">IF(G152&gt;0,G152+A152/10000000,"")</f>
        <v/>
      </c>
    </row>
    <row r="153" customFormat="false" ht="15" hidden="false" customHeight="false" outlineLevel="0" collapsed="false">
      <c r="A153" s="9" t="n">
        <v>149</v>
      </c>
      <c r="B153" s="9" t="str">
        <f aca="false">IFERROR(INDEX('Zoho Dump'!$N$8:$N$3007,MATCH(A153,'Zoho Dump'!$AB$8:$AB$3007,0)),"")</f>
        <v/>
      </c>
      <c r="C153" s="17" t="n">
        <f aca="false">IF($B153="",0,SUMIFS('Zoho Dump'!$Q$8:$Q$3007,'Zoho Dump'!$N$8:$N$3007,$B153,'Zoho Dump'!$T$8:$T$3007,"Delivered",'Zoho Dump'!$R$8:$R$3007,"&gt;="&amp;Settings!$B$4))</f>
        <v>0</v>
      </c>
      <c r="D153" s="17" t="n">
        <f aca="false">IF($B153="",0,SUMIFS('Zoho Dump'!$X$8:$X$3007,'Zoho Dump'!$N$8:$N$3007,$B153,'Zoho Dump'!$T$8:$T$3007,"Backlog")+SUMIFS(Adjustments!$K$8:$K$207,Adjustments!$B$8:$B$207,$B153,Adjustments!$H$8:$H$207,"Backlog"))</f>
        <v>0</v>
      </c>
      <c r="E153" s="17" t="n">
        <f aca="false">IF($B153="",0,SUMIFS('Zoho Dump'!$Y$8:$Y$3007,'Zoho Dump'!$N$8:$N$3007,$B153,'Zoho Dump'!$T$8:$T$3007,"Pipeline")+SUMIFS(Adjustments!$L$8:$L$207,Adjustments!$B$8:$B$207,$B153,Adjustments!$H$8:$H$207,"Pipeline")+SUMIFS('Zoho Dump'!$Y$8:$Y$3007,'Zoho Dump'!$N$8:$N$3007,$B153,'Zoho Dump'!$T$8:$T$3007,"Overdue")+SUMIFS(Adjustments!$L$8:$L$207,Adjustments!$B$8:$B$207,$B153,Adjustments!$H$8:$H$207,"Overdue"))</f>
        <v>0</v>
      </c>
      <c r="F153" s="17" t="n">
        <f aca="false">IF($B153="",0,SUMIFS('Zoho Dump'!$X$8:$X$3007,'Zoho Dump'!$N$8:$N$3007,$B153,'Zoho Dump'!$T$8:$T$3007,"Pipeline")+SUMIFS(Adjustments!$K$8:$K$207,Adjustments!$B$8:$B$207,$B153,Adjustments!$H$8:$H$207,"Pipeline")+SUMIFS('Zoho Dump'!$X$8:$X$3007,'Zoho Dump'!$N$8:$N$3007,$B153,'Zoho Dump'!$T$8:$T$3007,"Overdue")+SUMIFS(Adjustments!$K$8:$K$207,Adjustments!$B$8:$B$207,$B153,Adjustments!$H$8:$H$207,"Overdue"))</f>
        <v>0</v>
      </c>
      <c r="G153" s="17" t="n">
        <f aca="false">D153+F153</f>
        <v>0</v>
      </c>
      <c r="H153" s="18" t="n">
        <f aca="false">IF(SUM($G$5:$G$404)=0,0,G153/SUM($G$5:$G$404))</f>
        <v>0</v>
      </c>
      <c r="I153" s="17" t="n">
        <f aca="false">IF($B153="",0,SUMIFS('Zoho Dump'!$Q$8:$Q$3007,'Zoho Dump'!$N$8:$N$3007,$B153,'Zoho Dump'!$T$8:$T$3007,"Lost",'Zoho Dump'!$R$8:$R$3007,"&gt;="&amp;Settings!$B$4))</f>
        <v>0</v>
      </c>
      <c r="J153" s="9" t="str">
        <f aca="false">IF($B153="","",IF(COUNTIF(Dashboard!$C$13:$C$22,$B153)&gt;0,"Yes",""))</f>
        <v/>
      </c>
      <c r="K153" s="17" t="n">
        <f aca="false">IF($B153="",0,SUMIFS('Zoho Dump'!$X$8:$X$3007,'Zoho Dump'!$N$8:$N$3007,$B153,'Zoho Dump'!$P$8:$P$3007,Settings!$A$12)+SUMIFS(Adjustments!$K$8:$K$207,Adjustments!$B$8:$B$207,$B153,Adjustments!$A$8:$A$207,Settings!$A$12))</f>
        <v>0</v>
      </c>
      <c r="L153" s="17" t="n">
        <f aca="false">IF($B153="",0,SUMIFS('Zoho Dump'!$X$8:$X$3007,'Zoho Dump'!$N$8:$N$3007,$B153,'Zoho Dump'!$P$8:$P$3007,Settings!$A$13)+SUMIFS(Adjustments!$K$8:$K$207,Adjustments!$B$8:$B$207,$B153,Adjustments!$A$8:$A$207,Settings!$A$13))</f>
        <v>0</v>
      </c>
      <c r="M153" s="17" t="n">
        <f aca="false">IF($B153="",0,SUMIFS('Zoho Dump'!$X$8:$X$3007,'Zoho Dump'!$N$8:$N$3007,$B153,'Zoho Dump'!$P$8:$P$3007,Settings!$A$14)+SUMIFS(Adjustments!$K$8:$K$207,Adjustments!$B$8:$B$207,$B153,Adjustments!$A$8:$A$207,Settings!$A$14))</f>
        <v>0</v>
      </c>
      <c r="N153" s="17" t="n">
        <f aca="false">IF($B153="",0,SUMIFS('Zoho Dump'!$X$8:$X$3007,'Zoho Dump'!$N$8:$N$3007,$B153,'Zoho Dump'!$P$8:$P$3007,Settings!$A$15)+SUMIFS(Adjustments!$K$8:$K$207,Adjustments!$B$8:$B$207,$B153,Adjustments!$A$8:$A$207,Settings!$A$15))</f>
        <v>0</v>
      </c>
      <c r="O153" s="17" t="n">
        <f aca="false">IF($B153="",0,SUMIFS('Zoho Dump'!$X$8:$X$3007,'Zoho Dump'!$N$8:$N$3007,$B153,'Zoho Dump'!$P$8:$P$3007,Settings!$A$16)+SUMIFS(Adjustments!$K$8:$K$207,Adjustments!$B$8:$B$207,$B153,Adjustments!$A$8:$A$207,Settings!$A$16))</f>
        <v>0</v>
      </c>
      <c r="P153" s="17" t="n">
        <f aca="false">IF($B153="",0,SUMIFS('Zoho Dump'!$X$8:$X$3007,'Zoho Dump'!$N$8:$N$3007,$B153,'Zoho Dump'!$P$8:$P$3007,Settings!$A$17)+SUMIFS(Adjustments!$K$8:$K$207,Adjustments!$B$8:$B$207,$B153,Adjustments!$A$8:$A$207,Settings!$A$17))</f>
        <v>0</v>
      </c>
      <c r="Q153" s="17" t="n">
        <f aca="false">IF($B153="",0,SUMIFS('Zoho Dump'!$X$8:$X$3007,'Zoho Dump'!$N$8:$N$3007,$B153,'Zoho Dump'!$P$8:$P$3007,Settings!$A$18)+SUMIFS(Adjustments!$K$8:$K$207,Adjustments!$B$8:$B$207,$B153,Adjustments!$A$8:$A$207,Settings!$A$18))</f>
        <v>0</v>
      </c>
      <c r="R153" s="30" t="str">
        <f aca="false">IF(G153&gt;0,G153+A153/10000000,"")</f>
        <v/>
      </c>
    </row>
    <row r="154" customFormat="false" ht="15" hidden="false" customHeight="false" outlineLevel="0" collapsed="false">
      <c r="A154" s="9" t="n">
        <v>150</v>
      </c>
      <c r="B154" s="9" t="str">
        <f aca="false">IFERROR(INDEX('Zoho Dump'!$N$8:$N$3007,MATCH(A154,'Zoho Dump'!$AB$8:$AB$3007,0)),"")</f>
        <v/>
      </c>
      <c r="C154" s="17" t="n">
        <f aca="false">IF($B154="",0,SUMIFS('Zoho Dump'!$Q$8:$Q$3007,'Zoho Dump'!$N$8:$N$3007,$B154,'Zoho Dump'!$T$8:$T$3007,"Delivered",'Zoho Dump'!$R$8:$R$3007,"&gt;="&amp;Settings!$B$4))</f>
        <v>0</v>
      </c>
      <c r="D154" s="17" t="n">
        <f aca="false">IF($B154="",0,SUMIFS('Zoho Dump'!$X$8:$X$3007,'Zoho Dump'!$N$8:$N$3007,$B154,'Zoho Dump'!$T$8:$T$3007,"Backlog")+SUMIFS(Adjustments!$K$8:$K$207,Adjustments!$B$8:$B$207,$B154,Adjustments!$H$8:$H$207,"Backlog"))</f>
        <v>0</v>
      </c>
      <c r="E154" s="17" t="n">
        <f aca="false">IF($B154="",0,SUMIFS('Zoho Dump'!$Y$8:$Y$3007,'Zoho Dump'!$N$8:$N$3007,$B154,'Zoho Dump'!$T$8:$T$3007,"Pipeline")+SUMIFS(Adjustments!$L$8:$L$207,Adjustments!$B$8:$B$207,$B154,Adjustments!$H$8:$H$207,"Pipeline")+SUMIFS('Zoho Dump'!$Y$8:$Y$3007,'Zoho Dump'!$N$8:$N$3007,$B154,'Zoho Dump'!$T$8:$T$3007,"Overdue")+SUMIFS(Adjustments!$L$8:$L$207,Adjustments!$B$8:$B$207,$B154,Adjustments!$H$8:$H$207,"Overdue"))</f>
        <v>0</v>
      </c>
      <c r="F154" s="17" t="n">
        <f aca="false">IF($B154="",0,SUMIFS('Zoho Dump'!$X$8:$X$3007,'Zoho Dump'!$N$8:$N$3007,$B154,'Zoho Dump'!$T$8:$T$3007,"Pipeline")+SUMIFS(Adjustments!$K$8:$K$207,Adjustments!$B$8:$B$207,$B154,Adjustments!$H$8:$H$207,"Pipeline")+SUMIFS('Zoho Dump'!$X$8:$X$3007,'Zoho Dump'!$N$8:$N$3007,$B154,'Zoho Dump'!$T$8:$T$3007,"Overdue")+SUMIFS(Adjustments!$K$8:$K$207,Adjustments!$B$8:$B$207,$B154,Adjustments!$H$8:$H$207,"Overdue"))</f>
        <v>0</v>
      </c>
      <c r="G154" s="17" t="n">
        <f aca="false">D154+F154</f>
        <v>0</v>
      </c>
      <c r="H154" s="18" t="n">
        <f aca="false">IF(SUM($G$5:$G$404)=0,0,G154/SUM($G$5:$G$404))</f>
        <v>0</v>
      </c>
      <c r="I154" s="17" t="n">
        <f aca="false">IF($B154="",0,SUMIFS('Zoho Dump'!$Q$8:$Q$3007,'Zoho Dump'!$N$8:$N$3007,$B154,'Zoho Dump'!$T$8:$T$3007,"Lost",'Zoho Dump'!$R$8:$R$3007,"&gt;="&amp;Settings!$B$4))</f>
        <v>0</v>
      </c>
      <c r="J154" s="9" t="str">
        <f aca="false">IF($B154="","",IF(COUNTIF(Dashboard!$C$13:$C$22,$B154)&gt;0,"Yes",""))</f>
        <v/>
      </c>
      <c r="K154" s="17" t="n">
        <f aca="false">IF($B154="",0,SUMIFS('Zoho Dump'!$X$8:$X$3007,'Zoho Dump'!$N$8:$N$3007,$B154,'Zoho Dump'!$P$8:$P$3007,Settings!$A$12)+SUMIFS(Adjustments!$K$8:$K$207,Adjustments!$B$8:$B$207,$B154,Adjustments!$A$8:$A$207,Settings!$A$12))</f>
        <v>0</v>
      </c>
      <c r="L154" s="17" t="n">
        <f aca="false">IF($B154="",0,SUMIFS('Zoho Dump'!$X$8:$X$3007,'Zoho Dump'!$N$8:$N$3007,$B154,'Zoho Dump'!$P$8:$P$3007,Settings!$A$13)+SUMIFS(Adjustments!$K$8:$K$207,Adjustments!$B$8:$B$207,$B154,Adjustments!$A$8:$A$207,Settings!$A$13))</f>
        <v>0</v>
      </c>
      <c r="M154" s="17" t="n">
        <f aca="false">IF($B154="",0,SUMIFS('Zoho Dump'!$X$8:$X$3007,'Zoho Dump'!$N$8:$N$3007,$B154,'Zoho Dump'!$P$8:$P$3007,Settings!$A$14)+SUMIFS(Adjustments!$K$8:$K$207,Adjustments!$B$8:$B$207,$B154,Adjustments!$A$8:$A$207,Settings!$A$14))</f>
        <v>0</v>
      </c>
      <c r="N154" s="17" t="n">
        <f aca="false">IF($B154="",0,SUMIFS('Zoho Dump'!$X$8:$X$3007,'Zoho Dump'!$N$8:$N$3007,$B154,'Zoho Dump'!$P$8:$P$3007,Settings!$A$15)+SUMIFS(Adjustments!$K$8:$K$207,Adjustments!$B$8:$B$207,$B154,Adjustments!$A$8:$A$207,Settings!$A$15))</f>
        <v>0</v>
      </c>
      <c r="O154" s="17" t="n">
        <f aca="false">IF($B154="",0,SUMIFS('Zoho Dump'!$X$8:$X$3007,'Zoho Dump'!$N$8:$N$3007,$B154,'Zoho Dump'!$P$8:$P$3007,Settings!$A$16)+SUMIFS(Adjustments!$K$8:$K$207,Adjustments!$B$8:$B$207,$B154,Adjustments!$A$8:$A$207,Settings!$A$16))</f>
        <v>0</v>
      </c>
      <c r="P154" s="17" t="n">
        <f aca="false">IF($B154="",0,SUMIFS('Zoho Dump'!$X$8:$X$3007,'Zoho Dump'!$N$8:$N$3007,$B154,'Zoho Dump'!$P$8:$P$3007,Settings!$A$17)+SUMIFS(Adjustments!$K$8:$K$207,Adjustments!$B$8:$B$207,$B154,Adjustments!$A$8:$A$207,Settings!$A$17))</f>
        <v>0</v>
      </c>
      <c r="Q154" s="17" t="n">
        <f aca="false">IF($B154="",0,SUMIFS('Zoho Dump'!$X$8:$X$3007,'Zoho Dump'!$N$8:$N$3007,$B154,'Zoho Dump'!$P$8:$P$3007,Settings!$A$18)+SUMIFS(Adjustments!$K$8:$K$207,Adjustments!$B$8:$B$207,$B154,Adjustments!$A$8:$A$207,Settings!$A$18))</f>
        <v>0</v>
      </c>
      <c r="R154" s="30" t="str">
        <f aca="false">IF(G154&gt;0,G154+A154/10000000,"")</f>
        <v/>
      </c>
    </row>
    <row r="155" customFormat="false" ht="15" hidden="false" customHeight="false" outlineLevel="0" collapsed="false">
      <c r="A155" s="9" t="n">
        <v>151</v>
      </c>
      <c r="B155" s="9" t="str">
        <f aca="false">IFERROR(INDEX('Zoho Dump'!$N$8:$N$3007,MATCH(A155,'Zoho Dump'!$AB$8:$AB$3007,0)),"")</f>
        <v/>
      </c>
      <c r="C155" s="17" t="n">
        <f aca="false">IF($B155="",0,SUMIFS('Zoho Dump'!$Q$8:$Q$3007,'Zoho Dump'!$N$8:$N$3007,$B155,'Zoho Dump'!$T$8:$T$3007,"Delivered",'Zoho Dump'!$R$8:$R$3007,"&gt;="&amp;Settings!$B$4))</f>
        <v>0</v>
      </c>
      <c r="D155" s="17" t="n">
        <f aca="false">IF($B155="",0,SUMIFS('Zoho Dump'!$X$8:$X$3007,'Zoho Dump'!$N$8:$N$3007,$B155,'Zoho Dump'!$T$8:$T$3007,"Backlog")+SUMIFS(Adjustments!$K$8:$K$207,Adjustments!$B$8:$B$207,$B155,Adjustments!$H$8:$H$207,"Backlog"))</f>
        <v>0</v>
      </c>
      <c r="E155" s="17" t="n">
        <f aca="false">IF($B155="",0,SUMIFS('Zoho Dump'!$Y$8:$Y$3007,'Zoho Dump'!$N$8:$N$3007,$B155,'Zoho Dump'!$T$8:$T$3007,"Pipeline")+SUMIFS(Adjustments!$L$8:$L$207,Adjustments!$B$8:$B$207,$B155,Adjustments!$H$8:$H$207,"Pipeline")+SUMIFS('Zoho Dump'!$Y$8:$Y$3007,'Zoho Dump'!$N$8:$N$3007,$B155,'Zoho Dump'!$T$8:$T$3007,"Overdue")+SUMIFS(Adjustments!$L$8:$L$207,Adjustments!$B$8:$B$207,$B155,Adjustments!$H$8:$H$207,"Overdue"))</f>
        <v>0</v>
      </c>
      <c r="F155" s="17" t="n">
        <f aca="false">IF($B155="",0,SUMIFS('Zoho Dump'!$X$8:$X$3007,'Zoho Dump'!$N$8:$N$3007,$B155,'Zoho Dump'!$T$8:$T$3007,"Pipeline")+SUMIFS(Adjustments!$K$8:$K$207,Adjustments!$B$8:$B$207,$B155,Adjustments!$H$8:$H$207,"Pipeline")+SUMIFS('Zoho Dump'!$X$8:$X$3007,'Zoho Dump'!$N$8:$N$3007,$B155,'Zoho Dump'!$T$8:$T$3007,"Overdue")+SUMIFS(Adjustments!$K$8:$K$207,Adjustments!$B$8:$B$207,$B155,Adjustments!$H$8:$H$207,"Overdue"))</f>
        <v>0</v>
      </c>
      <c r="G155" s="17" t="n">
        <f aca="false">D155+F155</f>
        <v>0</v>
      </c>
      <c r="H155" s="18" t="n">
        <f aca="false">IF(SUM($G$5:$G$404)=0,0,G155/SUM($G$5:$G$404))</f>
        <v>0</v>
      </c>
      <c r="I155" s="17" t="n">
        <f aca="false">IF($B155="",0,SUMIFS('Zoho Dump'!$Q$8:$Q$3007,'Zoho Dump'!$N$8:$N$3007,$B155,'Zoho Dump'!$T$8:$T$3007,"Lost",'Zoho Dump'!$R$8:$R$3007,"&gt;="&amp;Settings!$B$4))</f>
        <v>0</v>
      </c>
      <c r="J155" s="9" t="str">
        <f aca="false">IF($B155="","",IF(COUNTIF(Dashboard!$C$13:$C$22,$B155)&gt;0,"Yes",""))</f>
        <v/>
      </c>
      <c r="K155" s="17" t="n">
        <f aca="false">IF($B155="",0,SUMIFS('Zoho Dump'!$X$8:$X$3007,'Zoho Dump'!$N$8:$N$3007,$B155,'Zoho Dump'!$P$8:$P$3007,Settings!$A$12)+SUMIFS(Adjustments!$K$8:$K$207,Adjustments!$B$8:$B$207,$B155,Adjustments!$A$8:$A$207,Settings!$A$12))</f>
        <v>0</v>
      </c>
      <c r="L155" s="17" t="n">
        <f aca="false">IF($B155="",0,SUMIFS('Zoho Dump'!$X$8:$X$3007,'Zoho Dump'!$N$8:$N$3007,$B155,'Zoho Dump'!$P$8:$P$3007,Settings!$A$13)+SUMIFS(Adjustments!$K$8:$K$207,Adjustments!$B$8:$B$207,$B155,Adjustments!$A$8:$A$207,Settings!$A$13))</f>
        <v>0</v>
      </c>
      <c r="M155" s="17" t="n">
        <f aca="false">IF($B155="",0,SUMIFS('Zoho Dump'!$X$8:$X$3007,'Zoho Dump'!$N$8:$N$3007,$B155,'Zoho Dump'!$P$8:$P$3007,Settings!$A$14)+SUMIFS(Adjustments!$K$8:$K$207,Adjustments!$B$8:$B$207,$B155,Adjustments!$A$8:$A$207,Settings!$A$14))</f>
        <v>0</v>
      </c>
      <c r="N155" s="17" t="n">
        <f aca="false">IF($B155="",0,SUMIFS('Zoho Dump'!$X$8:$X$3007,'Zoho Dump'!$N$8:$N$3007,$B155,'Zoho Dump'!$P$8:$P$3007,Settings!$A$15)+SUMIFS(Adjustments!$K$8:$K$207,Adjustments!$B$8:$B$207,$B155,Adjustments!$A$8:$A$207,Settings!$A$15))</f>
        <v>0</v>
      </c>
      <c r="O155" s="17" t="n">
        <f aca="false">IF($B155="",0,SUMIFS('Zoho Dump'!$X$8:$X$3007,'Zoho Dump'!$N$8:$N$3007,$B155,'Zoho Dump'!$P$8:$P$3007,Settings!$A$16)+SUMIFS(Adjustments!$K$8:$K$207,Adjustments!$B$8:$B$207,$B155,Adjustments!$A$8:$A$207,Settings!$A$16))</f>
        <v>0</v>
      </c>
      <c r="P155" s="17" t="n">
        <f aca="false">IF($B155="",0,SUMIFS('Zoho Dump'!$X$8:$X$3007,'Zoho Dump'!$N$8:$N$3007,$B155,'Zoho Dump'!$P$8:$P$3007,Settings!$A$17)+SUMIFS(Adjustments!$K$8:$K$207,Adjustments!$B$8:$B$207,$B155,Adjustments!$A$8:$A$207,Settings!$A$17))</f>
        <v>0</v>
      </c>
      <c r="Q155" s="17" t="n">
        <f aca="false">IF($B155="",0,SUMIFS('Zoho Dump'!$X$8:$X$3007,'Zoho Dump'!$N$8:$N$3007,$B155,'Zoho Dump'!$P$8:$P$3007,Settings!$A$18)+SUMIFS(Adjustments!$K$8:$K$207,Adjustments!$B$8:$B$207,$B155,Adjustments!$A$8:$A$207,Settings!$A$18))</f>
        <v>0</v>
      </c>
      <c r="R155" s="30" t="str">
        <f aca="false">IF(G155&gt;0,G155+A155/10000000,"")</f>
        <v/>
      </c>
    </row>
    <row r="156" customFormat="false" ht="15" hidden="false" customHeight="false" outlineLevel="0" collapsed="false">
      <c r="A156" s="9" t="n">
        <v>152</v>
      </c>
      <c r="B156" s="9" t="str">
        <f aca="false">IFERROR(INDEX('Zoho Dump'!$N$8:$N$3007,MATCH(A156,'Zoho Dump'!$AB$8:$AB$3007,0)),"")</f>
        <v/>
      </c>
      <c r="C156" s="17" t="n">
        <f aca="false">IF($B156="",0,SUMIFS('Zoho Dump'!$Q$8:$Q$3007,'Zoho Dump'!$N$8:$N$3007,$B156,'Zoho Dump'!$T$8:$T$3007,"Delivered",'Zoho Dump'!$R$8:$R$3007,"&gt;="&amp;Settings!$B$4))</f>
        <v>0</v>
      </c>
      <c r="D156" s="17" t="n">
        <f aca="false">IF($B156="",0,SUMIFS('Zoho Dump'!$X$8:$X$3007,'Zoho Dump'!$N$8:$N$3007,$B156,'Zoho Dump'!$T$8:$T$3007,"Backlog")+SUMIFS(Adjustments!$K$8:$K$207,Adjustments!$B$8:$B$207,$B156,Adjustments!$H$8:$H$207,"Backlog"))</f>
        <v>0</v>
      </c>
      <c r="E156" s="17" t="n">
        <f aca="false">IF($B156="",0,SUMIFS('Zoho Dump'!$Y$8:$Y$3007,'Zoho Dump'!$N$8:$N$3007,$B156,'Zoho Dump'!$T$8:$T$3007,"Pipeline")+SUMIFS(Adjustments!$L$8:$L$207,Adjustments!$B$8:$B$207,$B156,Adjustments!$H$8:$H$207,"Pipeline")+SUMIFS('Zoho Dump'!$Y$8:$Y$3007,'Zoho Dump'!$N$8:$N$3007,$B156,'Zoho Dump'!$T$8:$T$3007,"Overdue")+SUMIFS(Adjustments!$L$8:$L$207,Adjustments!$B$8:$B$207,$B156,Adjustments!$H$8:$H$207,"Overdue"))</f>
        <v>0</v>
      </c>
      <c r="F156" s="17" t="n">
        <f aca="false">IF($B156="",0,SUMIFS('Zoho Dump'!$X$8:$X$3007,'Zoho Dump'!$N$8:$N$3007,$B156,'Zoho Dump'!$T$8:$T$3007,"Pipeline")+SUMIFS(Adjustments!$K$8:$K$207,Adjustments!$B$8:$B$207,$B156,Adjustments!$H$8:$H$207,"Pipeline")+SUMIFS('Zoho Dump'!$X$8:$X$3007,'Zoho Dump'!$N$8:$N$3007,$B156,'Zoho Dump'!$T$8:$T$3007,"Overdue")+SUMIFS(Adjustments!$K$8:$K$207,Adjustments!$B$8:$B$207,$B156,Adjustments!$H$8:$H$207,"Overdue"))</f>
        <v>0</v>
      </c>
      <c r="G156" s="17" t="n">
        <f aca="false">D156+F156</f>
        <v>0</v>
      </c>
      <c r="H156" s="18" t="n">
        <f aca="false">IF(SUM($G$5:$G$404)=0,0,G156/SUM($G$5:$G$404))</f>
        <v>0</v>
      </c>
      <c r="I156" s="17" t="n">
        <f aca="false">IF($B156="",0,SUMIFS('Zoho Dump'!$Q$8:$Q$3007,'Zoho Dump'!$N$8:$N$3007,$B156,'Zoho Dump'!$T$8:$T$3007,"Lost",'Zoho Dump'!$R$8:$R$3007,"&gt;="&amp;Settings!$B$4))</f>
        <v>0</v>
      </c>
      <c r="J156" s="9" t="str">
        <f aca="false">IF($B156="","",IF(COUNTIF(Dashboard!$C$13:$C$22,$B156)&gt;0,"Yes",""))</f>
        <v/>
      </c>
      <c r="K156" s="17" t="n">
        <f aca="false">IF($B156="",0,SUMIFS('Zoho Dump'!$X$8:$X$3007,'Zoho Dump'!$N$8:$N$3007,$B156,'Zoho Dump'!$P$8:$P$3007,Settings!$A$12)+SUMIFS(Adjustments!$K$8:$K$207,Adjustments!$B$8:$B$207,$B156,Adjustments!$A$8:$A$207,Settings!$A$12))</f>
        <v>0</v>
      </c>
      <c r="L156" s="17" t="n">
        <f aca="false">IF($B156="",0,SUMIFS('Zoho Dump'!$X$8:$X$3007,'Zoho Dump'!$N$8:$N$3007,$B156,'Zoho Dump'!$P$8:$P$3007,Settings!$A$13)+SUMIFS(Adjustments!$K$8:$K$207,Adjustments!$B$8:$B$207,$B156,Adjustments!$A$8:$A$207,Settings!$A$13))</f>
        <v>0</v>
      </c>
      <c r="M156" s="17" t="n">
        <f aca="false">IF($B156="",0,SUMIFS('Zoho Dump'!$X$8:$X$3007,'Zoho Dump'!$N$8:$N$3007,$B156,'Zoho Dump'!$P$8:$P$3007,Settings!$A$14)+SUMIFS(Adjustments!$K$8:$K$207,Adjustments!$B$8:$B$207,$B156,Adjustments!$A$8:$A$207,Settings!$A$14))</f>
        <v>0</v>
      </c>
      <c r="N156" s="17" t="n">
        <f aca="false">IF($B156="",0,SUMIFS('Zoho Dump'!$X$8:$X$3007,'Zoho Dump'!$N$8:$N$3007,$B156,'Zoho Dump'!$P$8:$P$3007,Settings!$A$15)+SUMIFS(Adjustments!$K$8:$K$207,Adjustments!$B$8:$B$207,$B156,Adjustments!$A$8:$A$207,Settings!$A$15))</f>
        <v>0</v>
      </c>
      <c r="O156" s="17" t="n">
        <f aca="false">IF($B156="",0,SUMIFS('Zoho Dump'!$X$8:$X$3007,'Zoho Dump'!$N$8:$N$3007,$B156,'Zoho Dump'!$P$8:$P$3007,Settings!$A$16)+SUMIFS(Adjustments!$K$8:$K$207,Adjustments!$B$8:$B$207,$B156,Adjustments!$A$8:$A$207,Settings!$A$16))</f>
        <v>0</v>
      </c>
      <c r="P156" s="17" t="n">
        <f aca="false">IF($B156="",0,SUMIFS('Zoho Dump'!$X$8:$X$3007,'Zoho Dump'!$N$8:$N$3007,$B156,'Zoho Dump'!$P$8:$P$3007,Settings!$A$17)+SUMIFS(Adjustments!$K$8:$K$207,Adjustments!$B$8:$B$207,$B156,Adjustments!$A$8:$A$207,Settings!$A$17))</f>
        <v>0</v>
      </c>
      <c r="Q156" s="17" t="n">
        <f aca="false">IF($B156="",0,SUMIFS('Zoho Dump'!$X$8:$X$3007,'Zoho Dump'!$N$8:$N$3007,$B156,'Zoho Dump'!$P$8:$P$3007,Settings!$A$18)+SUMIFS(Adjustments!$K$8:$K$207,Adjustments!$B$8:$B$207,$B156,Adjustments!$A$8:$A$207,Settings!$A$18))</f>
        <v>0</v>
      </c>
      <c r="R156" s="30" t="str">
        <f aca="false">IF(G156&gt;0,G156+A156/10000000,"")</f>
        <v/>
      </c>
    </row>
    <row r="157" customFormat="false" ht="15" hidden="false" customHeight="false" outlineLevel="0" collapsed="false">
      <c r="A157" s="9" t="n">
        <v>153</v>
      </c>
      <c r="B157" s="9" t="str">
        <f aca="false">IFERROR(INDEX('Zoho Dump'!$N$8:$N$3007,MATCH(A157,'Zoho Dump'!$AB$8:$AB$3007,0)),"")</f>
        <v/>
      </c>
      <c r="C157" s="17" t="n">
        <f aca="false">IF($B157="",0,SUMIFS('Zoho Dump'!$Q$8:$Q$3007,'Zoho Dump'!$N$8:$N$3007,$B157,'Zoho Dump'!$T$8:$T$3007,"Delivered",'Zoho Dump'!$R$8:$R$3007,"&gt;="&amp;Settings!$B$4))</f>
        <v>0</v>
      </c>
      <c r="D157" s="17" t="n">
        <f aca="false">IF($B157="",0,SUMIFS('Zoho Dump'!$X$8:$X$3007,'Zoho Dump'!$N$8:$N$3007,$B157,'Zoho Dump'!$T$8:$T$3007,"Backlog")+SUMIFS(Adjustments!$K$8:$K$207,Adjustments!$B$8:$B$207,$B157,Adjustments!$H$8:$H$207,"Backlog"))</f>
        <v>0</v>
      </c>
      <c r="E157" s="17" t="n">
        <f aca="false">IF($B157="",0,SUMIFS('Zoho Dump'!$Y$8:$Y$3007,'Zoho Dump'!$N$8:$N$3007,$B157,'Zoho Dump'!$T$8:$T$3007,"Pipeline")+SUMIFS(Adjustments!$L$8:$L$207,Adjustments!$B$8:$B$207,$B157,Adjustments!$H$8:$H$207,"Pipeline")+SUMIFS('Zoho Dump'!$Y$8:$Y$3007,'Zoho Dump'!$N$8:$N$3007,$B157,'Zoho Dump'!$T$8:$T$3007,"Overdue")+SUMIFS(Adjustments!$L$8:$L$207,Adjustments!$B$8:$B$207,$B157,Adjustments!$H$8:$H$207,"Overdue"))</f>
        <v>0</v>
      </c>
      <c r="F157" s="17" t="n">
        <f aca="false">IF($B157="",0,SUMIFS('Zoho Dump'!$X$8:$X$3007,'Zoho Dump'!$N$8:$N$3007,$B157,'Zoho Dump'!$T$8:$T$3007,"Pipeline")+SUMIFS(Adjustments!$K$8:$K$207,Adjustments!$B$8:$B$207,$B157,Adjustments!$H$8:$H$207,"Pipeline")+SUMIFS('Zoho Dump'!$X$8:$X$3007,'Zoho Dump'!$N$8:$N$3007,$B157,'Zoho Dump'!$T$8:$T$3007,"Overdue")+SUMIFS(Adjustments!$K$8:$K$207,Adjustments!$B$8:$B$207,$B157,Adjustments!$H$8:$H$207,"Overdue"))</f>
        <v>0</v>
      </c>
      <c r="G157" s="17" t="n">
        <f aca="false">D157+F157</f>
        <v>0</v>
      </c>
      <c r="H157" s="18" t="n">
        <f aca="false">IF(SUM($G$5:$G$404)=0,0,G157/SUM($G$5:$G$404))</f>
        <v>0</v>
      </c>
      <c r="I157" s="17" t="n">
        <f aca="false">IF($B157="",0,SUMIFS('Zoho Dump'!$Q$8:$Q$3007,'Zoho Dump'!$N$8:$N$3007,$B157,'Zoho Dump'!$T$8:$T$3007,"Lost",'Zoho Dump'!$R$8:$R$3007,"&gt;="&amp;Settings!$B$4))</f>
        <v>0</v>
      </c>
      <c r="J157" s="9" t="str">
        <f aca="false">IF($B157="","",IF(COUNTIF(Dashboard!$C$13:$C$22,$B157)&gt;0,"Yes",""))</f>
        <v/>
      </c>
      <c r="K157" s="17" t="n">
        <f aca="false">IF($B157="",0,SUMIFS('Zoho Dump'!$X$8:$X$3007,'Zoho Dump'!$N$8:$N$3007,$B157,'Zoho Dump'!$P$8:$P$3007,Settings!$A$12)+SUMIFS(Adjustments!$K$8:$K$207,Adjustments!$B$8:$B$207,$B157,Adjustments!$A$8:$A$207,Settings!$A$12))</f>
        <v>0</v>
      </c>
      <c r="L157" s="17" t="n">
        <f aca="false">IF($B157="",0,SUMIFS('Zoho Dump'!$X$8:$X$3007,'Zoho Dump'!$N$8:$N$3007,$B157,'Zoho Dump'!$P$8:$P$3007,Settings!$A$13)+SUMIFS(Adjustments!$K$8:$K$207,Adjustments!$B$8:$B$207,$B157,Adjustments!$A$8:$A$207,Settings!$A$13))</f>
        <v>0</v>
      </c>
      <c r="M157" s="17" t="n">
        <f aca="false">IF($B157="",0,SUMIFS('Zoho Dump'!$X$8:$X$3007,'Zoho Dump'!$N$8:$N$3007,$B157,'Zoho Dump'!$P$8:$P$3007,Settings!$A$14)+SUMIFS(Adjustments!$K$8:$K$207,Adjustments!$B$8:$B$207,$B157,Adjustments!$A$8:$A$207,Settings!$A$14))</f>
        <v>0</v>
      </c>
      <c r="N157" s="17" t="n">
        <f aca="false">IF($B157="",0,SUMIFS('Zoho Dump'!$X$8:$X$3007,'Zoho Dump'!$N$8:$N$3007,$B157,'Zoho Dump'!$P$8:$P$3007,Settings!$A$15)+SUMIFS(Adjustments!$K$8:$K$207,Adjustments!$B$8:$B$207,$B157,Adjustments!$A$8:$A$207,Settings!$A$15))</f>
        <v>0</v>
      </c>
      <c r="O157" s="17" t="n">
        <f aca="false">IF($B157="",0,SUMIFS('Zoho Dump'!$X$8:$X$3007,'Zoho Dump'!$N$8:$N$3007,$B157,'Zoho Dump'!$P$8:$P$3007,Settings!$A$16)+SUMIFS(Adjustments!$K$8:$K$207,Adjustments!$B$8:$B$207,$B157,Adjustments!$A$8:$A$207,Settings!$A$16))</f>
        <v>0</v>
      </c>
      <c r="P157" s="17" t="n">
        <f aca="false">IF($B157="",0,SUMIFS('Zoho Dump'!$X$8:$X$3007,'Zoho Dump'!$N$8:$N$3007,$B157,'Zoho Dump'!$P$8:$P$3007,Settings!$A$17)+SUMIFS(Adjustments!$K$8:$K$207,Adjustments!$B$8:$B$207,$B157,Adjustments!$A$8:$A$207,Settings!$A$17))</f>
        <v>0</v>
      </c>
      <c r="Q157" s="17" t="n">
        <f aca="false">IF($B157="",0,SUMIFS('Zoho Dump'!$X$8:$X$3007,'Zoho Dump'!$N$8:$N$3007,$B157,'Zoho Dump'!$P$8:$P$3007,Settings!$A$18)+SUMIFS(Adjustments!$K$8:$K$207,Adjustments!$B$8:$B$207,$B157,Adjustments!$A$8:$A$207,Settings!$A$18))</f>
        <v>0</v>
      </c>
      <c r="R157" s="30" t="str">
        <f aca="false">IF(G157&gt;0,G157+A157/10000000,"")</f>
        <v/>
      </c>
    </row>
    <row r="158" customFormat="false" ht="15" hidden="false" customHeight="false" outlineLevel="0" collapsed="false">
      <c r="A158" s="9" t="n">
        <v>154</v>
      </c>
      <c r="B158" s="9" t="str">
        <f aca="false">IFERROR(INDEX('Zoho Dump'!$N$8:$N$3007,MATCH(A158,'Zoho Dump'!$AB$8:$AB$3007,0)),"")</f>
        <v/>
      </c>
      <c r="C158" s="17" t="n">
        <f aca="false">IF($B158="",0,SUMIFS('Zoho Dump'!$Q$8:$Q$3007,'Zoho Dump'!$N$8:$N$3007,$B158,'Zoho Dump'!$T$8:$T$3007,"Delivered",'Zoho Dump'!$R$8:$R$3007,"&gt;="&amp;Settings!$B$4))</f>
        <v>0</v>
      </c>
      <c r="D158" s="17" t="n">
        <f aca="false">IF($B158="",0,SUMIFS('Zoho Dump'!$X$8:$X$3007,'Zoho Dump'!$N$8:$N$3007,$B158,'Zoho Dump'!$T$8:$T$3007,"Backlog")+SUMIFS(Adjustments!$K$8:$K$207,Adjustments!$B$8:$B$207,$B158,Adjustments!$H$8:$H$207,"Backlog"))</f>
        <v>0</v>
      </c>
      <c r="E158" s="17" t="n">
        <f aca="false">IF($B158="",0,SUMIFS('Zoho Dump'!$Y$8:$Y$3007,'Zoho Dump'!$N$8:$N$3007,$B158,'Zoho Dump'!$T$8:$T$3007,"Pipeline")+SUMIFS(Adjustments!$L$8:$L$207,Adjustments!$B$8:$B$207,$B158,Adjustments!$H$8:$H$207,"Pipeline")+SUMIFS('Zoho Dump'!$Y$8:$Y$3007,'Zoho Dump'!$N$8:$N$3007,$B158,'Zoho Dump'!$T$8:$T$3007,"Overdue")+SUMIFS(Adjustments!$L$8:$L$207,Adjustments!$B$8:$B$207,$B158,Adjustments!$H$8:$H$207,"Overdue"))</f>
        <v>0</v>
      </c>
      <c r="F158" s="17" t="n">
        <f aca="false">IF($B158="",0,SUMIFS('Zoho Dump'!$X$8:$X$3007,'Zoho Dump'!$N$8:$N$3007,$B158,'Zoho Dump'!$T$8:$T$3007,"Pipeline")+SUMIFS(Adjustments!$K$8:$K$207,Adjustments!$B$8:$B$207,$B158,Adjustments!$H$8:$H$207,"Pipeline")+SUMIFS('Zoho Dump'!$X$8:$X$3007,'Zoho Dump'!$N$8:$N$3007,$B158,'Zoho Dump'!$T$8:$T$3007,"Overdue")+SUMIFS(Adjustments!$K$8:$K$207,Adjustments!$B$8:$B$207,$B158,Adjustments!$H$8:$H$207,"Overdue"))</f>
        <v>0</v>
      </c>
      <c r="G158" s="17" t="n">
        <f aca="false">D158+F158</f>
        <v>0</v>
      </c>
      <c r="H158" s="18" t="n">
        <f aca="false">IF(SUM($G$5:$G$404)=0,0,G158/SUM($G$5:$G$404))</f>
        <v>0</v>
      </c>
      <c r="I158" s="17" t="n">
        <f aca="false">IF($B158="",0,SUMIFS('Zoho Dump'!$Q$8:$Q$3007,'Zoho Dump'!$N$8:$N$3007,$B158,'Zoho Dump'!$T$8:$T$3007,"Lost",'Zoho Dump'!$R$8:$R$3007,"&gt;="&amp;Settings!$B$4))</f>
        <v>0</v>
      </c>
      <c r="J158" s="9" t="str">
        <f aca="false">IF($B158="","",IF(COUNTIF(Dashboard!$C$13:$C$22,$B158)&gt;0,"Yes",""))</f>
        <v/>
      </c>
      <c r="K158" s="17" t="n">
        <f aca="false">IF($B158="",0,SUMIFS('Zoho Dump'!$X$8:$X$3007,'Zoho Dump'!$N$8:$N$3007,$B158,'Zoho Dump'!$P$8:$P$3007,Settings!$A$12)+SUMIFS(Adjustments!$K$8:$K$207,Adjustments!$B$8:$B$207,$B158,Adjustments!$A$8:$A$207,Settings!$A$12))</f>
        <v>0</v>
      </c>
      <c r="L158" s="17" t="n">
        <f aca="false">IF($B158="",0,SUMIFS('Zoho Dump'!$X$8:$X$3007,'Zoho Dump'!$N$8:$N$3007,$B158,'Zoho Dump'!$P$8:$P$3007,Settings!$A$13)+SUMIFS(Adjustments!$K$8:$K$207,Adjustments!$B$8:$B$207,$B158,Adjustments!$A$8:$A$207,Settings!$A$13))</f>
        <v>0</v>
      </c>
      <c r="M158" s="17" t="n">
        <f aca="false">IF($B158="",0,SUMIFS('Zoho Dump'!$X$8:$X$3007,'Zoho Dump'!$N$8:$N$3007,$B158,'Zoho Dump'!$P$8:$P$3007,Settings!$A$14)+SUMIFS(Adjustments!$K$8:$K$207,Adjustments!$B$8:$B$207,$B158,Adjustments!$A$8:$A$207,Settings!$A$14))</f>
        <v>0</v>
      </c>
      <c r="N158" s="17" t="n">
        <f aca="false">IF($B158="",0,SUMIFS('Zoho Dump'!$X$8:$X$3007,'Zoho Dump'!$N$8:$N$3007,$B158,'Zoho Dump'!$P$8:$P$3007,Settings!$A$15)+SUMIFS(Adjustments!$K$8:$K$207,Adjustments!$B$8:$B$207,$B158,Adjustments!$A$8:$A$207,Settings!$A$15))</f>
        <v>0</v>
      </c>
      <c r="O158" s="17" t="n">
        <f aca="false">IF($B158="",0,SUMIFS('Zoho Dump'!$X$8:$X$3007,'Zoho Dump'!$N$8:$N$3007,$B158,'Zoho Dump'!$P$8:$P$3007,Settings!$A$16)+SUMIFS(Adjustments!$K$8:$K$207,Adjustments!$B$8:$B$207,$B158,Adjustments!$A$8:$A$207,Settings!$A$16))</f>
        <v>0</v>
      </c>
      <c r="P158" s="17" t="n">
        <f aca="false">IF($B158="",0,SUMIFS('Zoho Dump'!$X$8:$X$3007,'Zoho Dump'!$N$8:$N$3007,$B158,'Zoho Dump'!$P$8:$P$3007,Settings!$A$17)+SUMIFS(Adjustments!$K$8:$K$207,Adjustments!$B$8:$B$207,$B158,Adjustments!$A$8:$A$207,Settings!$A$17))</f>
        <v>0</v>
      </c>
      <c r="Q158" s="17" t="n">
        <f aca="false">IF($B158="",0,SUMIFS('Zoho Dump'!$X$8:$X$3007,'Zoho Dump'!$N$8:$N$3007,$B158,'Zoho Dump'!$P$8:$P$3007,Settings!$A$18)+SUMIFS(Adjustments!$K$8:$K$207,Adjustments!$B$8:$B$207,$B158,Adjustments!$A$8:$A$207,Settings!$A$18))</f>
        <v>0</v>
      </c>
      <c r="R158" s="30" t="str">
        <f aca="false">IF(G158&gt;0,G158+A158/10000000,"")</f>
        <v/>
      </c>
    </row>
    <row r="159" customFormat="false" ht="15" hidden="false" customHeight="false" outlineLevel="0" collapsed="false">
      <c r="A159" s="9" t="n">
        <v>155</v>
      </c>
      <c r="B159" s="9" t="str">
        <f aca="false">IFERROR(INDEX('Zoho Dump'!$N$8:$N$3007,MATCH(A159,'Zoho Dump'!$AB$8:$AB$3007,0)),"")</f>
        <v/>
      </c>
      <c r="C159" s="17" t="n">
        <f aca="false">IF($B159="",0,SUMIFS('Zoho Dump'!$Q$8:$Q$3007,'Zoho Dump'!$N$8:$N$3007,$B159,'Zoho Dump'!$T$8:$T$3007,"Delivered",'Zoho Dump'!$R$8:$R$3007,"&gt;="&amp;Settings!$B$4))</f>
        <v>0</v>
      </c>
      <c r="D159" s="17" t="n">
        <f aca="false">IF($B159="",0,SUMIFS('Zoho Dump'!$X$8:$X$3007,'Zoho Dump'!$N$8:$N$3007,$B159,'Zoho Dump'!$T$8:$T$3007,"Backlog")+SUMIFS(Adjustments!$K$8:$K$207,Adjustments!$B$8:$B$207,$B159,Adjustments!$H$8:$H$207,"Backlog"))</f>
        <v>0</v>
      </c>
      <c r="E159" s="17" t="n">
        <f aca="false">IF($B159="",0,SUMIFS('Zoho Dump'!$Y$8:$Y$3007,'Zoho Dump'!$N$8:$N$3007,$B159,'Zoho Dump'!$T$8:$T$3007,"Pipeline")+SUMIFS(Adjustments!$L$8:$L$207,Adjustments!$B$8:$B$207,$B159,Adjustments!$H$8:$H$207,"Pipeline")+SUMIFS('Zoho Dump'!$Y$8:$Y$3007,'Zoho Dump'!$N$8:$N$3007,$B159,'Zoho Dump'!$T$8:$T$3007,"Overdue")+SUMIFS(Adjustments!$L$8:$L$207,Adjustments!$B$8:$B$207,$B159,Adjustments!$H$8:$H$207,"Overdue"))</f>
        <v>0</v>
      </c>
      <c r="F159" s="17" t="n">
        <f aca="false">IF($B159="",0,SUMIFS('Zoho Dump'!$X$8:$X$3007,'Zoho Dump'!$N$8:$N$3007,$B159,'Zoho Dump'!$T$8:$T$3007,"Pipeline")+SUMIFS(Adjustments!$K$8:$K$207,Adjustments!$B$8:$B$207,$B159,Adjustments!$H$8:$H$207,"Pipeline")+SUMIFS('Zoho Dump'!$X$8:$X$3007,'Zoho Dump'!$N$8:$N$3007,$B159,'Zoho Dump'!$T$8:$T$3007,"Overdue")+SUMIFS(Adjustments!$K$8:$K$207,Adjustments!$B$8:$B$207,$B159,Adjustments!$H$8:$H$207,"Overdue"))</f>
        <v>0</v>
      </c>
      <c r="G159" s="17" t="n">
        <f aca="false">D159+F159</f>
        <v>0</v>
      </c>
      <c r="H159" s="18" t="n">
        <f aca="false">IF(SUM($G$5:$G$404)=0,0,G159/SUM($G$5:$G$404))</f>
        <v>0</v>
      </c>
      <c r="I159" s="17" t="n">
        <f aca="false">IF($B159="",0,SUMIFS('Zoho Dump'!$Q$8:$Q$3007,'Zoho Dump'!$N$8:$N$3007,$B159,'Zoho Dump'!$T$8:$T$3007,"Lost",'Zoho Dump'!$R$8:$R$3007,"&gt;="&amp;Settings!$B$4))</f>
        <v>0</v>
      </c>
      <c r="J159" s="9" t="str">
        <f aca="false">IF($B159="","",IF(COUNTIF(Dashboard!$C$13:$C$22,$B159)&gt;0,"Yes",""))</f>
        <v/>
      </c>
      <c r="K159" s="17" t="n">
        <f aca="false">IF($B159="",0,SUMIFS('Zoho Dump'!$X$8:$X$3007,'Zoho Dump'!$N$8:$N$3007,$B159,'Zoho Dump'!$P$8:$P$3007,Settings!$A$12)+SUMIFS(Adjustments!$K$8:$K$207,Adjustments!$B$8:$B$207,$B159,Adjustments!$A$8:$A$207,Settings!$A$12))</f>
        <v>0</v>
      </c>
      <c r="L159" s="17" t="n">
        <f aca="false">IF($B159="",0,SUMIFS('Zoho Dump'!$X$8:$X$3007,'Zoho Dump'!$N$8:$N$3007,$B159,'Zoho Dump'!$P$8:$P$3007,Settings!$A$13)+SUMIFS(Adjustments!$K$8:$K$207,Adjustments!$B$8:$B$207,$B159,Adjustments!$A$8:$A$207,Settings!$A$13))</f>
        <v>0</v>
      </c>
      <c r="M159" s="17" t="n">
        <f aca="false">IF($B159="",0,SUMIFS('Zoho Dump'!$X$8:$X$3007,'Zoho Dump'!$N$8:$N$3007,$B159,'Zoho Dump'!$P$8:$P$3007,Settings!$A$14)+SUMIFS(Adjustments!$K$8:$K$207,Adjustments!$B$8:$B$207,$B159,Adjustments!$A$8:$A$207,Settings!$A$14))</f>
        <v>0</v>
      </c>
      <c r="N159" s="17" t="n">
        <f aca="false">IF($B159="",0,SUMIFS('Zoho Dump'!$X$8:$X$3007,'Zoho Dump'!$N$8:$N$3007,$B159,'Zoho Dump'!$P$8:$P$3007,Settings!$A$15)+SUMIFS(Adjustments!$K$8:$K$207,Adjustments!$B$8:$B$207,$B159,Adjustments!$A$8:$A$207,Settings!$A$15))</f>
        <v>0</v>
      </c>
      <c r="O159" s="17" t="n">
        <f aca="false">IF($B159="",0,SUMIFS('Zoho Dump'!$X$8:$X$3007,'Zoho Dump'!$N$8:$N$3007,$B159,'Zoho Dump'!$P$8:$P$3007,Settings!$A$16)+SUMIFS(Adjustments!$K$8:$K$207,Adjustments!$B$8:$B$207,$B159,Adjustments!$A$8:$A$207,Settings!$A$16))</f>
        <v>0</v>
      </c>
      <c r="P159" s="17" t="n">
        <f aca="false">IF($B159="",0,SUMIFS('Zoho Dump'!$X$8:$X$3007,'Zoho Dump'!$N$8:$N$3007,$B159,'Zoho Dump'!$P$8:$P$3007,Settings!$A$17)+SUMIFS(Adjustments!$K$8:$K$207,Adjustments!$B$8:$B$207,$B159,Adjustments!$A$8:$A$207,Settings!$A$17))</f>
        <v>0</v>
      </c>
      <c r="Q159" s="17" t="n">
        <f aca="false">IF($B159="",0,SUMIFS('Zoho Dump'!$X$8:$X$3007,'Zoho Dump'!$N$8:$N$3007,$B159,'Zoho Dump'!$P$8:$P$3007,Settings!$A$18)+SUMIFS(Adjustments!$K$8:$K$207,Adjustments!$B$8:$B$207,$B159,Adjustments!$A$8:$A$207,Settings!$A$18))</f>
        <v>0</v>
      </c>
      <c r="R159" s="30" t="str">
        <f aca="false">IF(G159&gt;0,G159+A159/10000000,"")</f>
        <v/>
      </c>
    </row>
    <row r="160" customFormat="false" ht="15" hidden="false" customHeight="false" outlineLevel="0" collapsed="false">
      <c r="A160" s="9" t="n">
        <v>156</v>
      </c>
      <c r="B160" s="9" t="str">
        <f aca="false">IFERROR(INDEX('Zoho Dump'!$N$8:$N$3007,MATCH(A160,'Zoho Dump'!$AB$8:$AB$3007,0)),"")</f>
        <v/>
      </c>
      <c r="C160" s="17" t="n">
        <f aca="false">IF($B160="",0,SUMIFS('Zoho Dump'!$Q$8:$Q$3007,'Zoho Dump'!$N$8:$N$3007,$B160,'Zoho Dump'!$T$8:$T$3007,"Delivered",'Zoho Dump'!$R$8:$R$3007,"&gt;="&amp;Settings!$B$4))</f>
        <v>0</v>
      </c>
      <c r="D160" s="17" t="n">
        <f aca="false">IF($B160="",0,SUMIFS('Zoho Dump'!$X$8:$X$3007,'Zoho Dump'!$N$8:$N$3007,$B160,'Zoho Dump'!$T$8:$T$3007,"Backlog")+SUMIFS(Adjustments!$K$8:$K$207,Adjustments!$B$8:$B$207,$B160,Adjustments!$H$8:$H$207,"Backlog"))</f>
        <v>0</v>
      </c>
      <c r="E160" s="17" t="n">
        <f aca="false">IF($B160="",0,SUMIFS('Zoho Dump'!$Y$8:$Y$3007,'Zoho Dump'!$N$8:$N$3007,$B160,'Zoho Dump'!$T$8:$T$3007,"Pipeline")+SUMIFS(Adjustments!$L$8:$L$207,Adjustments!$B$8:$B$207,$B160,Adjustments!$H$8:$H$207,"Pipeline")+SUMIFS('Zoho Dump'!$Y$8:$Y$3007,'Zoho Dump'!$N$8:$N$3007,$B160,'Zoho Dump'!$T$8:$T$3007,"Overdue")+SUMIFS(Adjustments!$L$8:$L$207,Adjustments!$B$8:$B$207,$B160,Adjustments!$H$8:$H$207,"Overdue"))</f>
        <v>0</v>
      </c>
      <c r="F160" s="17" t="n">
        <f aca="false">IF($B160="",0,SUMIFS('Zoho Dump'!$X$8:$X$3007,'Zoho Dump'!$N$8:$N$3007,$B160,'Zoho Dump'!$T$8:$T$3007,"Pipeline")+SUMIFS(Adjustments!$K$8:$K$207,Adjustments!$B$8:$B$207,$B160,Adjustments!$H$8:$H$207,"Pipeline")+SUMIFS('Zoho Dump'!$X$8:$X$3007,'Zoho Dump'!$N$8:$N$3007,$B160,'Zoho Dump'!$T$8:$T$3007,"Overdue")+SUMIFS(Adjustments!$K$8:$K$207,Adjustments!$B$8:$B$207,$B160,Adjustments!$H$8:$H$207,"Overdue"))</f>
        <v>0</v>
      </c>
      <c r="G160" s="17" t="n">
        <f aca="false">D160+F160</f>
        <v>0</v>
      </c>
      <c r="H160" s="18" t="n">
        <f aca="false">IF(SUM($G$5:$G$404)=0,0,G160/SUM($G$5:$G$404))</f>
        <v>0</v>
      </c>
      <c r="I160" s="17" t="n">
        <f aca="false">IF($B160="",0,SUMIFS('Zoho Dump'!$Q$8:$Q$3007,'Zoho Dump'!$N$8:$N$3007,$B160,'Zoho Dump'!$T$8:$T$3007,"Lost",'Zoho Dump'!$R$8:$R$3007,"&gt;="&amp;Settings!$B$4))</f>
        <v>0</v>
      </c>
      <c r="J160" s="9" t="str">
        <f aca="false">IF($B160="","",IF(COUNTIF(Dashboard!$C$13:$C$22,$B160)&gt;0,"Yes",""))</f>
        <v/>
      </c>
      <c r="K160" s="17" t="n">
        <f aca="false">IF($B160="",0,SUMIFS('Zoho Dump'!$X$8:$X$3007,'Zoho Dump'!$N$8:$N$3007,$B160,'Zoho Dump'!$P$8:$P$3007,Settings!$A$12)+SUMIFS(Adjustments!$K$8:$K$207,Adjustments!$B$8:$B$207,$B160,Adjustments!$A$8:$A$207,Settings!$A$12))</f>
        <v>0</v>
      </c>
      <c r="L160" s="17" t="n">
        <f aca="false">IF($B160="",0,SUMIFS('Zoho Dump'!$X$8:$X$3007,'Zoho Dump'!$N$8:$N$3007,$B160,'Zoho Dump'!$P$8:$P$3007,Settings!$A$13)+SUMIFS(Adjustments!$K$8:$K$207,Adjustments!$B$8:$B$207,$B160,Adjustments!$A$8:$A$207,Settings!$A$13))</f>
        <v>0</v>
      </c>
      <c r="M160" s="17" t="n">
        <f aca="false">IF($B160="",0,SUMIFS('Zoho Dump'!$X$8:$X$3007,'Zoho Dump'!$N$8:$N$3007,$B160,'Zoho Dump'!$P$8:$P$3007,Settings!$A$14)+SUMIFS(Adjustments!$K$8:$K$207,Adjustments!$B$8:$B$207,$B160,Adjustments!$A$8:$A$207,Settings!$A$14))</f>
        <v>0</v>
      </c>
      <c r="N160" s="17" t="n">
        <f aca="false">IF($B160="",0,SUMIFS('Zoho Dump'!$X$8:$X$3007,'Zoho Dump'!$N$8:$N$3007,$B160,'Zoho Dump'!$P$8:$P$3007,Settings!$A$15)+SUMIFS(Adjustments!$K$8:$K$207,Adjustments!$B$8:$B$207,$B160,Adjustments!$A$8:$A$207,Settings!$A$15))</f>
        <v>0</v>
      </c>
      <c r="O160" s="17" t="n">
        <f aca="false">IF($B160="",0,SUMIFS('Zoho Dump'!$X$8:$X$3007,'Zoho Dump'!$N$8:$N$3007,$B160,'Zoho Dump'!$P$8:$P$3007,Settings!$A$16)+SUMIFS(Adjustments!$K$8:$K$207,Adjustments!$B$8:$B$207,$B160,Adjustments!$A$8:$A$207,Settings!$A$16))</f>
        <v>0</v>
      </c>
      <c r="P160" s="17" t="n">
        <f aca="false">IF($B160="",0,SUMIFS('Zoho Dump'!$X$8:$X$3007,'Zoho Dump'!$N$8:$N$3007,$B160,'Zoho Dump'!$P$8:$P$3007,Settings!$A$17)+SUMIFS(Adjustments!$K$8:$K$207,Adjustments!$B$8:$B$207,$B160,Adjustments!$A$8:$A$207,Settings!$A$17))</f>
        <v>0</v>
      </c>
      <c r="Q160" s="17" t="n">
        <f aca="false">IF($B160="",0,SUMIFS('Zoho Dump'!$X$8:$X$3007,'Zoho Dump'!$N$8:$N$3007,$B160,'Zoho Dump'!$P$8:$P$3007,Settings!$A$18)+SUMIFS(Adjustments!$K$8:$K$207,Adjustments!$B$8:$B$207,$B160,Adjustments!$A$8:$A$207,Settings!$A$18))</f>
        <v>0</v>
      </c>
      <c r="R160" s="30" t="str">
        <f aca="false">IF(G160&gt;0,G160+A160/10000000,"")</f>
        <v/>
      </c>
    </row>
    <row r="161" customFormat="false" ht="15" hidden="false" customHeight="false" outlineLevel="0" collapsed="false">
      <c r="A161" s="9" t="n">
        <v>157</v>
      </c>
      <c r="B161" s="9" t="str">
        <f aca="false">IFERROR(INDEX('Zoho Dump'!$N$8:$N$3007,MATCH(A161,'Zoho Dump'!$AB$8:$AB$3007,0)),"")</f>
        <v/>
      </c>
      <c r="C161" s="17" t="n">
        <f aca="false">IF($B161="",0,SUMIFS('Zoho Dump'!$Q$8:$Q$3007,'Zoho Dump'!$N$8:$N$3007,$B161,'Zoho Dump'!$T$8:$T$3007,"Delivered",'Zoho Dump'!$R$8:$R$3007,"&gt;="&amp;Settings!$B$4))</f>
        <v>0</v>
      </c>
      <c r="D161" s="17" t="n">
        <f aca="false">IF($B161="",0,SUMIFS('Zoho Dump'!$X$8:$X$3007,'Zoho Dump'!$N$8:$N$3007,$B161,'Zoho Dump'!$T$8:$T$3007,"Backlog")+SUMIFS(Adjustments!$K$8:$K$207,Adjustments!$B$8:$B$207,$B161,Adjustments!$H$8:$H$207,"Backlog"))</f>
        <v>0</v>
      </c>
      <c r="E161" s="17" t="n">
        <f aca="false">IF($B161="",0,SUMIFS('Zoho Dump'!$Y$8:$Y$3007,'Zoho Dump'!$N$8:$N$3007,$B161,'Zoho Dump'!$T$8:$T$3007,"Pipeline")+SUMIFS(Adjustments!$L$8:$L$207,Adjustments!$B$8:$B$207,$B161,Adjustments!$H$8:$H$207,"Pipeline")+SUMIFS('Zoho Dump'!$Y$8:$Y$3007,'Zoho Dump'!$N$8:$N$3007,$B161,'Zoho Dump'!$T$8:$T$3007,"Overdue")+SUMIFS(Adjustments!$L$8:$L$207,Adjustments!$B$8:$B$207,$B161,Adjustments!$H$8:$H$207,"Overdue"))</f>
        <v>0</v>
      </c>
      <c r="F161" s="17" t="n">
        <f aca="false">IF($B161="",0,SUMIFS('Zoho Dump'!$X$8:$X$3007,'Zoho Dump'!$N$8:$N$3007,$B161,'Zoho Dump'!$T$8:$T$3007,"Pipeline")+SUMIFS(Adjustments!$K$8:$K$207,Adjustments!$B$8:$B$207,$B161,Adjustments!$H$8:$H$207,"Pipeline")+SUMIFS('Zoho Dump'!$X$8:$X$3007,'Zoho Dump'!$N$8:$N$3007,$B161,'Zoho Dump'!$T$8:$T$3007,"Overdue")+SUMIFS(Adjustments!$K$8:$K$207,Adjustments!$B$8:$B$207,$B161,Adjustments!$H$8:$H$207,"Overdue"))</f>
        <v>0</v>
      </c>
      <c r="G161" s="17" t="n">
        <f aca="false">D161+F161</f>
        <v>0</v>
      </c>
      <c r="H161" s="18" t="n">
        <f aca="false">IF(SUM($G$5:$G$404)=0,0,G161/SUM($G$5:$G$404))</f>
        <v>0</v>
      </c>
      <c r="I161" s="17" t="n">
        <f aca="false">IF($B161="",0,SUMIFS('Zoho Dump'!$Q$8:$Q$3007,'Zoho Dump'!$N$8:$N$3007,$B161,'Zoho Dump'!$T$8:$T$3007,"Lost",'Zoho Dump'!$R$8:$R$3007,"&gt;="&amp;Settings!$B$4))</f>
        <v>0</v>
      </c>
      <c r="J161" s="9" t="str">
        <f aca="false">IF($B161="","",IF(COUNTIF(Dashboard!$C$13:$C$22,$B161)&gt;0,"Yes",""))</f>
        <v/>
      </c>
      <c r="K161" s="17" t="n">
        <f aca="false">IF($B161="",0,SUMIFS('Zoho Dump'!$X$8:$X$3007,'Zoho Dump'!$N$8:$N$3007,$B161,'Zoho Dump'!$P$8:$P$3007,Settings!$A$12)+SUMIFS(Adjustments!$K$8:$K$207,Adjustments!$B$8:$B$207,$B161,Adjustments!$A$8:$A$207,Settings!$A$12))</f>
        <v>0</v>
      </c>
      <c r="L161" s="17" t="n">
        <f aca="false">IF($B161="",0,SUMIFS('Zoho Dump'!$X$8:$X$3007,'Zoho Dump'!$N$8:$N$3007,$B161,'Zoho Dump'!$P$8:$P$3007,Settings!$A$13)+SUMIFS(Adjustments!$K$8:$K$207,Adjustments!$B$8:$B$207,$B161,Adjustments!$A$8:$A$207,Settings!$A$13))</f>
        <v>0</v>
      </c>
      <c r="M161" s="17" t="n">
        <f aca="false">IF($B161="",0,SUMIFS('Zoho Dump'!$X$8:$X$3007,'Zoho Dump'!$N$8:$N$3007,$B161,'Zoho Dump'!$P$8:$P$3007,Settings!$A$14)+SUMIFS(Adjustments!$K$8:$K$207,Adjustments!$B$8:$B$207,$B161,Adjustments!$A$8:$A$207,Settings!$A$14))</f>
        <v>0</v>
      </c>
      <c r="N161" s="17" t="n">
        <f aca="false">IF($B161="",0,SUMIFS('Zoho Dump'!$X$8:$X$3007,'Zoho Dump'!$N$8:$N$3007,$B161,'Zoho Dump'!$P$8:$P$3007,Settings!$A$15)+SUMIFS(Adjustments!$K$8:$K$207,Adjustments!$B$8:$B$207,$B161,Adjustments!$A$8:$A$207,Settings!$A$15))</f>
        <v>0</v>
      </c>
      <c r="O161" s="17" t="n">
        <f aca="false">IF($B161="",0,SUMIFS('Zoho Dump'!$X$8:$X$3007,'Zoho Dump'!$N$8:$N$3007,$B161,'Zoho Dump'!$P$8:$P$3007,Settings!$A$16)+SUMIFS(Adjustments!$K$8:$K$207,Adjustments!$B$8:$B$207,$B161,Adjustments!$A$8:$A$207,Settings!$A$16))</f>
        <v>0</v>
      </c>
      <c r="P161" s="17" t="n">
        <f aca="false">IF($B161="",0,SUMIFS('Zoho Dump'!$X$8:$X$3007,'Zoho Dump'!$N$8:$N$3007,$B161,'Zoho Dump'!$P$8:$P$3007,Settings!$A$17)+SUMIFS(Adjustments!$K$8:$K$207,Adjustments!$B$8:$B$207,$B161,Adjustments!$A$8:$A$207,Settings!$A$17))</f>
        <v>0</v>
      </c>
      <c r="Q161" s="17" t="n">
        <f aca="false">IF($B161="",0,SUMIFS('Zoho Dump'!$X$8:$X$3007,'Zoho Dump'!$N$8:$N$3007,$B161,'Zoho Dump'!$P$8:$P$3007,Settings!$A$18)+SUMIFS(Adjustments!$K$8:$K$207,Adjustments!$B$8:$B$207,$B161,Adjustments!$A$8:$A$207,Settings!$A$18))</f>
        <v>0</v>
      </c>
      <c r="R161" s="30" t="str">
        <f aca="false">IF(G161&gt;0,G161+A161/10000000,"")</f>
        <v/>
      </c>
    </row>
    <row r="162" customFormat="false" ht="15" hidden="false" customHeight="false" outlineLevel="0" collapsed="false">
      <c r="A162" s="9" t="n">
        <v>158</v>
      </c>
      <c r="B162" s="9" t="str">
        <f aca="false">IFERROR(INDEX('Zoho Dump'!$N$8:$N$3007,MATCH(A162,'Zoho Dump'!$AB$8:$AB$3007,0)),"")</f>
        <v/>
      </c>
      <c r="C162" s="17" t="n">
        <f aca="false">IF($B162="",0,SUMIFS('Zoho Dump'!$Q$8:$Q$3007,'Zoho Dump'!$N$8:$N$3007,$B162,'Zoho Dump'!$T$8:$T$3007,"Delivered",'Zoho Dump'!$R$8:$R$3007,"&gt;="&amp;Settings!$B$4))</f>
        <v>0</v>
      </c>
      <c r="D162" s="17" t="n">
        <f aca="false">IF($B162="",0,SUMIFS('Zoho Dump'!$X$8:$X$3007,'Zoho Dump'!$N$8:$N$3007,$B162,'Zoho Dump'!$T$8:$T$3007,"Backlog")+SUMIFS(Adjustments!$K$8:$K$207,Adjustments!$B$8:$B$207,$B162,Adjustments!$H$8:$H$207,"Backlog"))</f>
        <v>0</v>
      </c>
      <c r="E162" s="17" t="n">
        <f aca="false">IF($B162="",0,SUMIFS('Zoho Dump'!$Y$8:$Y$3007,'Zoho Dump'!$N$8:$N$3007,$B162,'Zoho Dump'!$T$8:$T$3007,"Pipeline")+SUMIFS(Adjustments!$L$8:$L$207,Adjustments!$B$8:$B$207,$B162,Adjustments!$H$8:$H$207,"Pipeline")+SUMIFS('Zoho Dump'!$Y$8:$Y$3007,'Zoho Dump'!$N$8:$N$3007,$B162,'Zoho Dump'!$T$8:$T$3007,"Overdue")+SUMIFS(Adjustments!$L$8:$L$207,Adjustments!$B$8:$B$207,$B162,Adjustments!$H$8:$H$207,"Overdue"))</f>
        <v>0</v>
      </c>
      <c r="F162" s="17" t="n">
        <f aca="false">IF($B162="",0,SUMIFS('Zoho Dump'!$X$8:$X$3007,'Zoho Dump'!$N$8:$N$3007,$B162,'Zoho Dump'!$T$8:$T$3007,"Pipeline")+SUMIFS(Adjustments!$K$8:$K$207,Adjustments!$B$8:$B$207,$B162,Adjustments!$H$8:$H$207,"Pipeline")+SUMIFS('Zoho Dump'!$X$8:$X$3007,'Zoho Dump'!$N$8:$N$3007,$B162,'Zoho Dump'!$T$8:$T$3007,"Overdue")+SUMIFS(Adjustments!$K$8:$K$207,Adjustments!$B$8:$B$207,$B162,Adjustments!$H$8:$H$207,"Overdue"))</f>
        <v>0</v>
      </c>
      <c r="G162" s="17" t="n">
        <f aca="false">D162+F162</f>
        <v>0</v>
      </c>
      <c r="H162" s="18" t="n">
        <f aca="false">IF(SUM($G$5:$G$404)=0,0,G162/SUM($G$5:$G$404))</f>
        <v>0</v>
      </c>
      <c r="I162" s="17" t="n">
        <f aca="false">IF($B162="",0,SUMIFS('Zoho Dump'!$Q$8:$Q$3007,'Zoho Dump'!$N$8:$N$3007,$B162,'Zoho Dump'!$T$8:$T$3007,"Lost",'Zoho Dump'!$R$8:$R$3007,"&gt;="&amp;Settings!$B$4))</f>
        <v>0</v>
      </c>
      <c r="J162" s="9" t="str">
        <f aca="false">IF($B162="","",IF(COUNTIF(Dashboard!$C$13:$C$22,$B162)&gt;0,"Yes",""))</f>
        <v/>
      </c>
      <c r="K162" s="17" t="n">
        <f aca="false">IF($B162="",0,SUMIFS('Zoho Dump'!$X$8:$X$3007,'Zoho Dump'!$N$8:$N$3007,$B162,'Zoho Dump'!$P$8:$P$3007,Settings!$A$12)+SUMIFS(Adjustments!$K$8:$K$207,Adjustments!$B$8:$B$207,$B162,Adjustments!$A$8:$A$207,Settings!$A$12))</f>
        <v>0</v>
      </c>
      <c r="L162" s="17" t="n">
        <f aca="false">IF($B162="",0,SUMIFS('Zoho Dump'!$X$8:$X$3007,'Zoho Dump'!$N$8:$N$3007,$B162,'Zoho Dump'!$P$8:$P$3007,Settings!$A$13)+SUMIFS(Adjustments!$K$8:$K$207,Adjustments!$B$8:$B$207,$B162,Adjustments!$A$8:$A$207,Settings!$A$13))</f>
        <v>0</v>
      </c>
      <c r="M162" s="17" t="n">
        <f aca="false">IF($B162="",0,SUMIFS('Zoho Dump'!$X$8:$X$3007,'Zoho Dump'!$N$8:$N$3007,$B162,'Zoho Dump'!$P$8:$P$3007,Settings!$A$14)+SUMIFS(Adjustments!$K$8:$K$207,Adjustments!$B$8:$B$207,$B162,Adjustments!$A$8:$A$207,Settings!$A$14))</f>
        <v>0</v>
      </c>
      <c r="N162" s="17" t="n">
        <f aca="false">IF($B162="",0,SUMIFS('Zoho Dump'!$X$8:$X$3007,'Zoho Dump'!$N$8:$N$3007,$B162,'Zoho Dump'!$P$8:$P$3007,Settings!$A$15)+SUMIFS(Adjustments!$K$8:$K$207,Adjustments!$B$8:$B$207,$B162,Adjustments!$A$8:$A$207,Settings!$A$15))</f>
        <v>0</v>
      </c>
      <c r="O162" s="17" t="n">
        <f aca="false">IF($B162="",0,SUMIFS('Zoho Dump'!$X$8:$X$3007,'Zoho Dump'!$N$8:$N$3007,$B162,'Zoho Dump'!$P$8:$P$3007,Settings!$A$16)+SUMIFS(Adjustments!$K$8:$K$207,Adjustments!$B$8:$B$207,$B162,Adjustments!$A$8:$A$207,Settings!$A$16))</f>
        <v>0</v>
      </c>
      <c r="P162" s="17" t="n">
        <f aca="false">IF($B162="",0,SUMIFS('Zoho Dump'!$X$8:$X$3007,'Zoho Dump'!$N$8:$N$3007,$B162,'Zoho Dump'!$P$8:$P$3007,Settings!$A$17)+SUMIFS(Adjustments!$K$8:$K$207,Adjustments!$B$8:$B$207,$B162,Adjustments!$A$8:$A$207,Settings!$A$17))</f>
        <v>0</v>
      </c>
      <c r="Q162" s="17" t="n">
        <f aca="false">IF($B162="",0,SUMIFS('Zoho Dump'!$X$8:$X$3007,'Zoho Dump'!$N$8:$N$3007,$B162,'Zoho Dump'!$P$8:$P$3007,Settings!$A$18)+SUMIFS(Adjustments!$K$8:$K$207,Adjustments!$B$8:$B$207,$B162,Adjustments!$A$8:$A$207,Settings!$A$18))</f>
        <v>0</v>
      </c>
      <c r="R162" s="30" t="str">
        <f aca="false">IF(G162&gt;0,G162+A162/10000000,"")</f>
        <v/>
      </c>
    </row>
    <row r="163" customFormat="false" ht="15" hidden="false" customHeight="false" outlineLevel="0" collapsed="false">
      <c r="A163" s="9" t="n">
        <v>159</v>
      </c>
      <c r="B163" s="9" t="str">
        <f aca="false">IFERROR(INDEX('Zoho Dump'!$N$8:$N$3007,MATCH(A163,'Zoho Dump'!$AB$8:$AB$3007,0)),"")</f>
        <v/>
      </c>
      <c r="C163" s="17" t="n">
        <f aca="false">IF($B163="",0,SUMIFS('Zoho Dump'!$Q$8:$Q$3007,'Zoho Dump'!$N$8:$N$3007,$B163,'Zoho Dump'!$T$8:$T$3007,"Delivered",'Zoho Dump'!$R$8:$R$3007,"&gt;="&amp;Settings!$B$4))</f>
        <v>0</v>
      </c>
      <c r="D163" s="17" t="n">
        <f aca="false">IF($B163="",0,SUMIFS('Zoho Dump'!$X$8:$X$3007,'Zoho Dump'!$N$8:$N$3007,$B163,'Zoho Dump'!$T$8:$T$3007,"Backlog")+SUMIFS(Adjustments!$K$8:$K$207,Adjustments!$B$8:$B$207,$B163,Adjustments!$H$8:$H$207,"Backlog"))</f>
        <v>0</v>
      </c>
      <c r="E163" s="17" t="n">
        <f aca="false">IF($B163="",0,SUMIFS('Zoho Dump'!$Y$8:$Y$3007,'Zoho Dump'!$N$8:$N$3007,$B163,'Zoho Dump'!$T$8:$T$3007,"Pipeline")+SUMIFS(Adjustments!$L$8:$L$207,Adjustments!$B$8:$B$207,$B163,Adjustments!$H$8:$H$207,"Pipeline")+SUMIFS('Zoho Dump'!$Y$8:$Y$3007,'Zoho Dump'!$N$8:$N$3007,$B163,'Zoho Dump'!$T$8:$T$3007,"Overdue")+SUMIFS(Adjustments!$L$8:$L$207,Adjustments!$B$8:$B$207,$B163,Adjustments!$H$8:$H$207,"Overdue"))</f>
        <v>0</v>
      </c>
      <c r="F163" s="17" t="n">
        <f aca="false">IF($B163="",0,SUMIFS('Zoho Dump'!$X$8:$X$3007,'Zoho Dump'!$N$8:$N$3007,$B163,'Zoho Dump'!$T$8:$T$3007,"Pipeline")+SUMIFS(Adjustments!$K$8:$K$207,Adjustments!$B$8:$B$207,$B163,Adjustments!$H$8:$H$207,"Pipeline")+SUMIFS('Zoho Dump'!$X$8:$X$3007,'Zoho Dump'!$N$8:$N$3007,$B163,'Zoho Dump'!$T$8:$T$3007,"Overdue")+SUMIFS(Adjustments!$K$8:$K$207,Adjustments!$B$8:$B$207,$B163,Adjustments!$H$8:$H$207,"Overdue"))</f>
        <v>0</v>
      </c>
      <c r="G163" s="17" t="n">
        <f aca="false">D163+F163</f>
        <v>0</v>
      </c>
      <c r="H163" s="18" t="n">
        <f aca="false">IF(SUM($G$5:$G$404)=0,0,G163/SUM($G$5:$G$404))</f>
        <v>0</v>
      </c>
      <c r="I163" s="17" t="n">
        <f aca="false">IF($B163="",0,SUMIFS('Zoho Dump'!$Q$8:$Q$3007,'Zoho Dump'!$N$8:$N$3007,$B163,'Zoho Dump'!$T$8:$T$3007,"Lost",'Zoho Dump'!$R$8:$R$3007,"&gt;="&amp;Settings!$B$4))</f>
        <v>0</v>
      </c>
      <c r="J163" s="9" t="str">
        <f aca="false">IF($B163="","",IF(COUNTIF(Dashboard!$C$13:$C$22,$B163)&gt;0,"Yes",""))</f>
        <v/>
      </c>
      <c r="K163" s="17" t="n">
        <f aca="false">IF($B163="",0,SUMIFS('Zoho Dump'!$X$8:$X$3007,'Zoho Dump'!$N$8:$N$3007,$B163,'Zoho Dump'!$P$8:$P$3007,Settings!$A$12)+SUMIFS(Adjustments!$K$8:$K$207,Adjustments!$B$8:$B$207,$B163,Adjustments!$A$8:$A$207,Settings!$A$12))</f>
        <v>0</v>
      </c>
      <c r="L163" s="17" t="n">
        <f aca="false">IF($B163="",0,SUMIFS('Zoho Dump'!$X$8:$X$3007,'Zoho Dump'!$N$8:$N$3007,$B163,'Zoho Dump'!$P$8:$P$3007,Settings!$A$13)+SUMIFS(Adjustments!$K$8:$K$207,Adjustments!$B$8:$B$207,$B163,Adjustments!$A$8:$A$207,Settings!$A$13))</f>
        <v>0</v>
      </c>
      <c r="M163" s="17" t="n">
        <f aca="false">IF($B163="",0,SUMIFS('Zoho Dump'!$X$8:$X$3007,'Zoho Dump'!$N$8:$N$3007,$B163,'Zoho Dump'!$P$8:$P$3007,Settings!$A$14)+SUMIFS(Adjustments!$K$8:$K$207,Adjustments!$B$8:$B$207,$B163,Adjustments!$A$8:$A$207,Settings!$A$14))</f>
        <v>0</v>
      </c>
      <c r="N163" s="17" t="n">
        <f aca="false">IF($B163="",0,SUMIFS('Zoho Dump'!$X$8:$X$3007,'Zoho Dump'!$N$8:$N$3007,$B163,'Zoho Dump'!$P$8:$P$3007,Settings!$A$15)+SUMIFS(Adjustments!$K$8:$K$207,Adjustments!$B$8:$B$207,$B163,Adjustments!$A$8:$A$207,Settings!$A$15))</f>
        <v>0</v>
      </c>
      <c r="O163" s="17" t="n">
        <f aca="false">IF($B163="",0,SUMIFS('Zoho Dump'!$X$8:$X$3007,'Zoho Dump'!$N$8:$N$3007,$B163,'Zoho Dump'!$P$8:$P$3007,Settings!$A$16)+SUMIFS(Adjustments!$K$8:$K$207,Adjustments!$B$8:$B$207,$B163,Adjustments!$A$8:$A$207,Settings!$A$16))</f>
        <v>0</v>
      </c>
      <c r="P163" s="17" t="n">
        <f aca="false">IF($B163="",0,SUMIFS('Zoho Dump'!$X$8:$X$3007,'Zoho Dump'!$N$8:$N$3007,$B163,'Zoho Dump'!$P$8:$P$3007,Settings!$A$17)+SUMIFS(Adjustments!$K$8:$K$207,Adjustments!$B$8:$B$207,$B163,Adjustments!$A$8:$A$207,Settings!$A$17))</f>
        <v>0</v>
      </c>
      <c r="Q163" s="17" t="n">
        <f aca="false">IF($B163="",0,SUMIFS('Zoho Dump'!$X$8:$X$3007,'Zoho Dump'!$N$8:$N$3007,$B163,'Zoho Dump'!$P$8:$P$3007,Settings!$A$18)+SUMIFS(Adjustments!$K$8:$K$207,Adjustments!$B$8:$B$207,$B163,Adjustments!$A$8:$A$207,Settings!$A$18))</f>
        <v>0</v>
      </c>
      <c r="R163" s="30" t="str">
        <f aca="false">IF(G163&gt;0,G163+A163/10000000,"")</f>
        <v/>
      </c>
    </row>
    <row r="164" customFormat="false" ht="15" hidden="false" customHeight="false" outlineLevel="0" collapsed="false">
      <c r="A164" s="9" t="n">
        <v>160</v>
      </c>
      <c r="B164" s="9" t="str">
        <f aca="false">IFERROR(INDEX('Zoho Dump'!$N$8:$N$3007,MATCH(A164,'Zoho Dump'!$AB$8:$AB$3007,0)),"")</f>
        <v/>
      </c>
      <c r="C164" s="17" t="n">
        <f aca="false">IF($B164="",0,SUMIFS('Zoho Dump'!$Q$8:$Q$3007,'Zoho Dump'!$N$8:$N$3007,$B164,'Zoho Dump'!$T$8:$T$3007,"Delivered",'Zoho Dump'!$R$8:$R$3007,"&gt;="&amp;Settings!$B$4))</f>
        <v>0</v>
      </c>
      <c r="D164" s="17" t="n">
        <f aca="false">IF($B164="",0,SUMIFS('Zoho Dump'!$X$8:$X$3007,'Zoho Dump'!$N$8:$N$3007,$B164,'Zoho Dump'!$T$8:$T$3007,"Backlog")+SUMIFS(Adjustments!$K$8:$K$207,Adjustments!$B$8:$B$207,$B164,Adjustments!$H$8:$H$207,"Backlog"))</f>
        <v>0</v>
      </c>
      <c r="E164" s="17" t="n">
        <f aca="false">IF($B164="",0,SUMIFS('Zoho Dump'!$Y$8:$Y$3007,'Zoho Dump'!$N$8:$N$3007,$B164,'Zoho Dump'!$T$8:$T$3007,"Pipeline")+SUMIFS(Adjustments!$L$8:$L$207,Adjustments!$B$8:$B$207,$B164,Adjustments!$H$8:$H$207,"Pipeline")+SUMIFS('Zoho Dump'!$Y$8:$Y$3007,'Zoho Dump'!$N$8:$N$3007,$B164,'Zoho Dump'!$T$8:$T$3007,"Overdue")+SUMIFS(Adjustments!$L$8:$L$207,Adjustments!$B$8:$B$207,$B164,Adjustments!$H$8:$H$207,"Overdue"))</f>
        <v>0</v>
      </c>
      <c r="F164" s="17" t="n">
        <f aca="false">IF($B164="",0,SUMIFS('Zoho Dump'!$X$8:$X$3007,'Zoho Dump'!$N$8:$N$3007,$B164,'Zoho Dump'!$T$8:$T$3007,"Pipeline")+SUMIFS(Adjustments!$K$8:$K$207,Adjustments!$B$8:$B$207,$B164,Adjustments!$H$8:$H$207,"Pipeline")+SUMIFS('Zoho Dump'!$X$8:$X$3007,'Zoho Dump'!$N$8:$N$3007,$B164,'Zoho Dump'!$T$8:$T$3007,"Overdue")+SUMIFS(Adjustments!$K$8:$K$207,Adjustments!$B$8:$B$207,$B164,Adjustments!$H$8:$H$207,"Overdue"))</f>
        <v>0</v>
      </c>
      <c r="G164" s="17" t="n">
        <f aca="false">D164+F164</f>
        <v>0</v>
      </c>
      <c r="H164" s="18" t="n">
        <f aca="false">IF(SUM($G$5:$G$404)=0,0,G164/SUM($G$5:$G$404))</f>
        <v>0</v>
      </c>
      <c r="I164" s="17" t="n">
        <f aca="false">IF($B164="",0,SUMIFS('Zoho Dump'!$Q$8:$Q$3007,'Zoho Dump'!$N$8:$N$3007,$B164,'Zoho Dump'!$T$8:$T$3007,"Lost",'Zoho Dump'!$R$8:$R$3007,"&gt;="&amp;Settings!$B$4))</f>
        <v>0</v>
      </c>
      <c r="J164" s="9" t="str">
        <f aca="false">IF($B164="","",IF(COUNTIF(Dashboard!$C$13:$C$22,$B164)&gt;0,"Yes",""))</f>
        <v/>
      </c>
      <c r="K164" s="17" t="n">
        <f aca="false">IF($B164="",0,SUMIFS('Zoho Dump'!$X$8:$X$3007,'Zoho Dump'!$N$8:$N$3007,$B164,'Zoho Dump'!$P$8:$P$3007,Settings!$A$12)+SUMIFS(Adjustments!$K$8:$K$207,Adjustments!$B$8:$B$207,$B164,Adjustments!$A$8:$A$207,Settings!$A$12))</f>
        <v>0</v>
      </c>
      <c r="L164" s="17" t="n">
        <f aca="false">IF($B164="",0,SUMIFS('Zoho Dump'!$X$8:$X$3007,'Zoho Dump'!$N$8:$N$3007,$B164,'Zoho Dump'!$P$8:$P$3007,Settings!$A$13)+SUMIFS(Adjustments!$K$8:$K$207,Adjustments!$B$8:$B$207,$B164,Adjustments!$A$8:$A$207,Settings!$A$13))</f>
        <v>0</v>
      </c>
      <c r="M164" s="17" t="n">
        <f aca="false">IF($B164="",0,SUMIFS('Zoho Dump'!$X$8:$X$3007,'Zoho Dump'!$N$8:$N$3007,$B164,'Zoho Dump'!$P$8:$P$3007,Settings!$A$14)+SUMIFS(Adjustments!$K$8:$K$207,Adjustments!$B$8:$B$207,$B164,Adjustments!$A$8:$A$207,Settings!$A$14))</f>
        <v>0</v>
      </c>
      <c r="N164" s="17" t="n">
        <f aca="false">IF($B164="",0,SUMIFS('Zoho Dump'!$X$8:$X$3007,'Zoho Dump'!$N$8:$N$3007,$B164,'Zoho Dump'!$P$8:$P$3007,Settings!$A$15)+SUMIFS(Adjustments!$K$8:$K$207,Adjustments!$B$8:$B$207,$B164,Adjustments!$A$8:$A$207,Settings!$A$15))</f>
        <v>0</v>
      </c>
      <c r="O164" s="17" t="n">
        <f aca="false">IF($B164="",0,SUMIFS('Zoho Dump'!$X$8:$X$3007,'Zoho Dump'!$N$8:$N$3007,$B164,'Zoho Dump'!$P$8:$P$3007,Settings!$A$16)+SUMIFS(Adjustments!$K$8:$K$207,Adjustments!$B$8:$B$207,$B164,Adjustments!$A$8:$A$207,Settings!$A$16))</f>
        <v>0</v>
      </c>
      <c r="P164" s="17" t="n">
        <f aca="false">IF($B164="",0,SUMIFS('Zoho Dump'!$X$8:$X$3007,'Zoho Dump'!$N$8:$N$3007,$B164,'Zoho Dump'!$P$8:$P$3007,Settings!$A$17)+SUMIFS(Adjustments!$K$8:$K$207,Adjustments!$B$8:$B$207,$B164,Adjustments!$A$8:$A$207,Settings!$A$17))</f>
        <v>0</v>
      </c>
      <c r="Q164" s="17" t="n">
        <f aca="false">IF($B164="",0,SUMIFS('Zoho Dump'!$X$8:$X$3007,'Zoho Dump'!$N$8:$N$3007,$B164,'Zoho Dump'!$P$8:$P$3007,Settings!$A$18)+SUMIFS(Adjustments!$K$8:$K$207,Adjustments!$B$8:$B$207,$B164,Adjustments!$A$8:$A$207,Settings!$A$18))</f>
        <v>0</v>
      </c>
      <c r="R164" s="30" t="str">
        <f aca="false">IF(G164&gt;0,G164+A164/10000000,"")</f>
        <v/>
      </c>
    </row>
    <row r="165" customFormat="false" ht="15" hidden="false" customHeight="false" outlineLevel="0" collapsed="false">
      <c r="A165" s="9" t="n">
        <v>161</v>
      </c>
      <c r="B165" s="9" t="str">
        <f aca="false">IFERROR(INDEX('Zoho Dump'!$N$8:$N$3007,MATCH(A165,'Zoho Dump'!$AB$8:$AB$3007,0)),"")</f>
        <v/>
      </c>
      <c r="C165" s="17" t="n">
        <f aca="false">IF($B165="",0,SUMIFS('Zoho Dump'!$Q$8:$Q$3007,'Zoho Dump'!$N$8:$N$3007,$B165,'Zoho Dump'!$T$8:$T$3007,"Delivered",'Zoho Dump'!$R$8:$R$3007,"&gt;="&amp;Settings!$B$4))</f>
        <v>0</v>
      </c>
      <c r="D165" s="17" t="n">
        <f aca="false">IF($B165="",0,SUMIFS('Zoho Dump'!$X$8:$X$3007,'Zoho Dump'!$N$8:$N$3007,$B165,'Zoho Dump'!$T$8:$T$3007,"Backlog")+SUMIFS(Adjustments!$K$8:$K$207,Adjustments!$B$8:$B$207,$B165,Adjustments!$H$8:$H$207,"Backlog"))</f>
        <v>0</v>
      </c>
      <c r="E165" s="17" t="n">
        <f aca="false">IF($B165="",0,SUMIFS('Zoho Dump'!$Y$8:$Y$3007,'Zoho Dump'!$N$8:$N$3007,$B165,'Zoho Dump'!$T$8:$T$3007,"Pipeline")+SUMIFS(Adjustments!$L$8:$L$207,Adjustments!$B$8:$B$207,$B165,Adjustments!$H$8:$H$207,"Pipeline")+SUMIFS('Zoho Dump'!$Y$8:$Y$3007,'Zoho Dump'!$N$8:$N$3007,$B165,'Zoho Dump'!$T$8:$T$3007,"Overdue")+SUMIFS(Adjustments!$L$8:$L$207,Adjustments!$B$8:$B$207,$B165,Adjustments!$H$8:$H$207,"Overdue"))</f>
        <v>0</v>
      </c>
      <c r="F165" s="17" t="n">
        <f aca="false">IF($B165="",0,SUMIFS('Zoho Dump'!$X$8:$X$3007,'Zoho Dump'!$N$8:$N$3007,$B165,'Zoho Dump'!$T$8:$T$3007,"Pipeline")+SUMIFS(Adjustments!$K$8:$K$207,Adjustments!$B$8:$B$207,$B165,Adjustments!$H$8:$H$207,"Pipeline")+SUMIFS('Zoho Dump'!$X$8:$X$3007,'Zoho Dump'!$N$8:$N$3007,$B165,'Zoho Dump'!$T$8:$T$3007,"Overdue")+SUMIFS(Adjustments!$K$8:$K$207,Adjustments!$B$8:$B$207,$B165,Adjustments!$H$8:$H$207,"Overdue"))</f>
        <v>0</v>
      </c>
      <c r="G165" s="17" t="n">
        <f aca="false">D165+F165</f>
        <v>0</v>
      </c>
      <c r="H165" s="18" t="n">
        <f aca="false">IF(SUM($G$5:$G$404)=0,0,G165/SUM($G$5:$G$404))</f>
        <v>0</v>
      </c>
      <c r="I165" s="17" t="n">
        <f aca="false">IF($B165="",0,SUMIFS('Zoho Dump'!$Q$8:$Q$3007,'Zoho Dump'!$N$8:$N$3007,$B165,'Zoho Dump'!$T$8:$T$3007,"Lost",'Zoho Dump'!$R$8:$R$3007,"&gt;="&amp;Settings!$B$4))</f>
        <v>0</v>
      </c>
      <c r="J165" s="9" t="str">
        <f aca="false">IF($B165="","",IF(COUNTIF(Dashboard!$C$13:$C$22,$B165)&gt;0,"Yes",""))</f>
        <v/>
      </c>
      <c r="K165" s="17" t="n">
        <f aca="false">IF($B165="",0,SUMIFS('Zoho Dump'!$X$8:$X$3007,'Zoho Dump'!$N$8:$N$3007,$B165,'Zoho Dump'!$P$8:$P$3007,Settings!$A$12)+SUMIFS(Adjustments!$K$8:$K$207,Adjustments!$B$8:$B$207,$B165,Adjustments!$A$8:$A$207,Settings!$A$12))</f>
        <v>0</v>
      </c>
      <c r="L165" s="17" t="n">
        <f aca="false">IF($B165="",0,SUMIFS('Zoho Dump'!$X$8:$X$3007,'Zoho Dump'!$N$8:$N$3007,$B165,'Zoho Dump'!$P$8:$P$3007,Settings!$A$13)+SUMIFS(Adjustments!$K$8:$K$207,Adjustments!$B$8:$B$207,$B165,Adjustments!$A$8:$A$207,Settings!$A$13))</f>
        <v>0</v>
      </c>
      <c r="M165" s="17" t="n">
        <f aca="false">IF($B165="",0,SUMIFS('Zoho Dump'!$X$8:$X$3007,'Zoho Dump'!$N$8:$N$3007,$B165,'Zoho Dump'!$P$8:$P$3007,Settings!$A$14)+SUMIFS(Adjustments!$K$8:$K$207,Adjustments!$B$8:$B$207,$B165,Adjustments!$A$8:$A$207,Settings!$A$14))</f>
        <v>0</v>
      </c>
      <c r="N165" s="17" t="n">
        <f aca="false">IF($B165="",0,SUMIFS('Zoho Dump'!$X$8:$X$3007,'Zoho Dump'!$N$8:$N$3007,$B165,'Zoho Dump'!$P$8:$P$3007,Settings!$A$15)+SUMIFS(Adjustments!$K$8:$K$207,Adjustments!$B$8:$B$207,$B165,Adjustments!$A$8:$A$207,Settings!$A$15))</f>
        <v>0</v>
      </c>
      <c r="O165" s="17" t="n">
        <f aca="false">IF($B165="",0,SUMIFS('Zoho Dump'!$X$8:$X$3007,'Zoho Dump'!$N$8:$N$3007,$B165,'Zoho Dump'!$P$8:$P$3007,Settings!$A$16)+SUMIFS(Adjustments!$K$8:$K$207,Adjustments!$B$8:$B$207,$B165,Adjustments!$A$8:$A$207,Settings!$A$16))</f>
        <v>0</v>
      </c>
      <c r="P165" s="17" t="n">
        <f aca="false">IF($B165="",0,SUMIFS('Zoho Dump'!$X$8:$X$3007,'Zoho Dump'!$N$8:$N$3007,$B165,'Zoho Dump'!$P$8:$P$3007,Settings!$A$17)+SUMIFS(Adjustments!$K$8:$K$207,Adjustments!$B$8:$B$207,$B165,Adjustments!$A$8:$A$207,Settings!$A$17))</f>
        <v>0</v>
      </c>
      <c r="Q165" s="17" t="n">
        <f aca="false">IF($B165="",0,SUMIFS('Zoho Dump'!$X$8:$X$3007,'Zoho Dump'!$N$8:$N$3007,$B165,'Zoho Dump'!$P$8:$P$3007,Settings!$A$18)+SUMIFS(Adjustments!$K$8:$K$207,Adjustments!$B$8:$B$207,$B165,Adjustments!$A$8:$A$207,Settings!$A$18))</f>
        <v>0</v>
      </c>
      <c r="R165" s="30" t="str">
        <f aca="false">IF(G165&gt;0,G165+A165/10000000,"")</f>
        <v/>
      </c>
    </row>
    <row r="166" customFormat="false" ht="15" hidden="false" customHeight="false" outlineLevel="0" collapsed="false">
      <c r="A166" s="9" t="n">
        <v>162</v>
      </c>
      <c r="B166" s="9" t="str">
        <f aca="false">IFERROR(INDEX('Zoho Dump'!$N$8:$N$3007,MATCH(A166,'Zoho Dump'!$AB$8:$AB$3007,0)),"")</f>
        <v/>
      </c>
      <c r="C166" s="17" t="n">
        <f aca="false">IF($B166="",0,SUMIFS('Zoho Dump'!$Q$8:$Q$3007,'Zoho Dump'!$N$8:$N$3007,$B166,'Zoho Dump'!$T$8:$T$3007,"Delivered",'Zoho Dump'!$R$8:$R$3007,"&gt;="&amp;Settings!$B$4))</f>
        <v>0</v>
      </c>
      <c r="D166" s="17" t="n">
        <f aca="false">IF($B166="",0,SUMIFS('Zoho Dump'!$X$8:$X$3007,'Zoho Dump'!$N$8:$N$3007,$B166,'Zoho Dump'!$T$8:$T$3007,"Backlog")+SUMIFS(Adjustments!$K$8:$K$207,Adjustments!$B$8:$B$207,$B166,Adjustments!$H$8:$H$207,"Backlog"))</f>
        <v>0</v>
      </c>
      <c r="E166" s="17" t="n">
        <f aca="false">IF($B166="",0,SUMIFS('Zoho Dump'!$Y$8:$Y$3007,'Zoho Dump'!$N$8:$N$3007,$B166,'Zoho Dump'!$T$8:$T$3007,"Pipeline")+SUMIFS(Adjustments!$L$8:$L$207,Adjustments!$B$8:$B$207,$B166,Adjustments!$H$8:$H$207,"Pipeline")+SUMIFS('Zoho Dump'!$Y$8:$Y$3007,'Zoho Dump'!$N$8:$N$3007,$B166,'Zoho Dump'!$T$8:$T$3007,"Overdue")+SUMIFS(Adjustments!$L$8:$L$207,Adjustments!$B$8:$B$207,$B166,Adjustments!$H$8:$H$207,"Overdue"))</f>
        <v>0</v>
      </c>
      <c r="F166" s="17" t="n">
        <f aca="false">IF($B166="",0,SUMIFS('Zoho Dump'!$X$8:$X$3007,'Zoho Dump'!$N$8:$N$3007,$B166,'Zoho Dump'!$T$8:$T$3007,"Pipeline")+SUMIFS(Adjustments!$K$8:$K$207,Adjustments!$B$8:$B$207,$B166,Adjustments!$H$8:$H$207,"Pipeline")+SUMIFS('Zoho Dump'!$X$8:$X$3007,'Zoho Dump'!$N$8:$N$3007,$B166,'Zoho Dump'!$T$8:$T$3007,"Overdue")+SUMIFS(Adjustments!$K$8:$K$207,Adjustments!$B$8:$B$207,$B166,Adjustments!$H$8:$H$207,"Overdue"))</f>
        <v>0</v>
      </c>
      <c r="G166" s="17" t="n">
        <f aca="false">D166+F166</f>
        <v>0</v>
      </c>
      <c r="H166" s="18" t="n">
        <f aca="false">IF(SUM($G$5:$G$404)=0,0,G166/SUM($G$5:$G$404))</f>
        <v>0</v>
      </c>
      <c r="I166" s="17" t="n">
        <f aca="false">IF($B166="",0,SUMIFS('Zoho Dump'!$Q$8:$Q$3007,'Zoho Dump'!$N$8:$N$3007,$B166,'Zoho Dump'!$T$8:$T$3007,"Lost",'Zoho Dump'!$R$8:$R$3007,"&gt;="&amp;Settings!$B$4))</f>
        <v>0</v>
      </c>
      <c r="J166" s="9" t="str">
        <f aca="false">IF($B166="","",IF(COUNTIF(Dashboard!$C$13:$C$22,$B166)&gt;0,"Yes",""))</f>
        <v/>
      </c>
      <c r="K166" s="17" t="n">
        <f aca="false">IF($B166="",0,SUMIFS('Zoho Dump'!$X$8:$X$3007,'Zoho Dump'!$N$8:$N$3007,$B166,'Zoho Dump'!$P$8:$P$3007,Settings!$A$12)+SUMIFS(Adjustments!$K$8:$K$207,Adjustments!$B$8:$B$207,$B166,Adjustments!$A$8:$A$207,Settings!$A$12))</f>
        <v>0</v>
      </c>
      <c r="L166" s="17" t="n">
        <f aca="false">IF($B166="",0,SUMIFS('Zoho Dump'!$X$8:$X$3007,'Zoho Dump'!$N$8:$N$3007,$B166,'Zoho Dump'!$P$8:$P$3007,Settings!$A$13)+SUMIFS(Adjustments!$K$8:$K$207,Adjustments!$B$8:$B$207,$B166,Adjustments!$A$8:$A$207,Settings!$A$13))</f>
        <v>0</v>
      </c>
      <c r="M166" s="17" t="n">
        <f aca="false">IF($B166="",0,SUMIFS('Zoho Dump'!$X$8:$X$3007,'Zoho Dump'!$N$8:$N$3007,$B166,'Zoho Dump'!$P$8:$P$3007,Settings!$A$14)+SUMIFS(Adjustments!$K$8:$K$207,Adjustments!$B$8:$B$207,$B166,Adjustments!$A$8:$A$207,Settings!$A$14))</f>
        <v>0</v>
      </c>
      <c r="N166" s="17" t="n">
        <f aca="false">IF($B166="",0,SUMIFS('Zoho Dump'!$X$8:$X$3007,'Zoho Dump'!$N$8:$N$3007,$B166,'Zoho Dump'!$P$8:$P$3007,Settings!$A$15)+SUMIFS(Adjustments!$K$8:$K$207,Adjustments!$B$8:$B$207,$B166,Adjustments!$A$8:$A$207,Settings!$A$15))</f>
        <v>0</v>
      </c>
      <c r="O166" s="17" t="n">
        <f aca="false">IF($B166="",0,SUMIFS('Zoho Dump'!$X$8:$X$3007,'Zoho Dump'!$N$8:$N$3007,$B166,'Zoho Dump'!$P$8:$P$3007,Settings!$A$16)+SUMIFS(Adjustments!$K$8:$K$207,Adjustments!$B$8:$B$207,$B166,Adjustments!$A$8:$A$207,Settings!$A$16))</f>
        <v>0</v>
      </c>
      <c r="P166" s="17" t="n">
        <f aca="false">IF($B166="",0,SUMIFS('Zoho Dump'!$X$8:$X$3007,'Zoho Dump'!$N$8:$N$3007,$B166,'Zoho Dump'!$P$8:$P$3007,Settings!$A$17)+SUMIFS(Adjustments!$K$8:$K$207,Adjustments!$B$8:$B$207,$B166,Adjustments!$A$8:$A$207,Settings!$A$17))</f>
        <v>0</v>
      </c>
      <c r="Q166" s="17" t="n">
        <f aca="false">IF($B166="",0,SUMIFS('Zoho Dump'!$X$8:$X$3007,'Zoho Dump'!$N$8:$N$3007,$B166,'Zoho Dump'!$P$8:$P$3007,Settings!$A$18)+SUMIFS(Adjustments!$K$8:$K$207,Adjustments!$B$8:$B$207,$B166,Adjustments!$A$8:$A$207,Settings!$A$18))</f>
        <v>0</v>
      </c>
      <c r="R166" s="30" t="str">
        <f aca="false">IF(G166&gt;0,G166+A166/10000000,"")</f>
        <v/>
      </c>
    </row>
    <row r="167" customFormat="false" ht="15" hidden="false" customHeight="false" outlineLevel="0" collapsed="false">
      <c r="A167" s="9" t="n">
        <v>163</v>
      </c>
      <c r="B167" s="9" t="str">
        <f aca="false">IFERROR(INDEX('Zoho Dump'!$N$8:$N$3007,MATCH(A167,'Zoho Dump'!$AB$8:$AB$3007,0)),"")</f>
        <v/>
      </c>
      <c r="C167" s="17" t="n">
        <f aca="false">IF($B167="",0,SUMIFS('Zoho Dump'!$Q$8:$Q$3007,'Zoho Dump'!$N$8:$N$3007,$B167,'Zoho Dump'!$T$8:$T$3007,"Delivered",'Zoho Dump'!$R$8:$R$3007,"&gt;="&amp;Settings!$B$4))</f>
        <v>0</v>
      </c>
      <c r="D167" s="17" t="n">
        <f aca="false">IF($B167="",0,SUMIFS('Zoho Dump'!$X$8:$X$3007,'Zoho Dump'!$N$8:$N$3007,$B167,'Zoho Dump'!$T$8:$T$3007,"Backlog")+SUMIFS(Adjustments!$K$8:$K$207,Adjustments!$B$8:$B$207,$B167,Adjustments!$H$8:$H$207,"Backlog"))</f>
        <v>0</v>
      </c>
      <c r="E167" s="17" t="n">
        <f aca="false">IF($B167="",0,SUMIFS('Zoho Dump'!$Y$8:$Y$3007,'Zoho Dump'!$N$8:$N$3007,$B167,'Zoho Dump'!$T$8:$T$3007,"Pipeline")+SUMIFS(Adjustments!$L$8:$L$207,Adjustments!$B$8:$B$207,$B167,Adjustments!$H$8:$H$207,"Pipeline")+SUMIFS('Zoho Dump'!$Y$8:$Y$3007,'Zoho Dump'!$N$8:$N$3007,$B167,'Zoho Dump'!$T$8:$T$3007,"Overdue")+SUMIFS(Adjustments!$L$8:$L$207,Adjustments!$B$8:$B$207,$B167,Adjustments!$H$8:$H$207,"Overdue"))</f>
        <v>0</v>
      </c>
      <c r="F167" s="17" t="n">
        <f aca="false">IF($B167="",0,SUMIFS('Zoho Dump'!$X$8:$X$3007,'Zoho Dump'!$N$8:$N$3007,$B167,'Zoho Dump'!$T$8:$T$3007,"Pipeline")+SUMIFS(Adjustments!$K$8:$K$207,Adjustments!$B$8:$B$207,$B167,Adjustments!$H$8:$H$207,"Pipeline")+SUMIFS('Zoho Dump'!$X$8:$X$3007,'Zoho Dump'!$N$8:$N$3007,$B167,'Zoho Dump'!$T$8:$T$3007,"Overdue")+SUMIFS(Adjustments!$K$8:$K$207,Adjustments!$B$8:$B$207,$B167,Adjustments!$H$8:$H$207,"Overdue"))</f>
        <v>0</v>
      </c>
      <c r="G167" s="17" t="n">
        <f aca="false">D167+F167</f>
        <v>0</v>
      </c>
      <c r="H167" s="18" t="n">
        <f aca="false">IF(SUM($G$5:$G$404)=0,0,G167/SUM($G$5:$G$404))</f>
        <v>0</v>
      </c>
      <c r="I167" s="17" t="n">
        <f aca="false">IF($B167="",0,SUMIFS('Zoho Dump'!$Q$8:$Q$3007,'Zoho Dump'!$N$8:$N$3007,$B167,'Zoho Dump'!$T$8:$T$3007,"Lost",'Zoho Dump'!$R$8:$R$3007,"&gt;="&amp;Settings!$B$4))</f>
        <v>0</v>
      </c>
      <c r="J167" s="9" t="str">
        <f aca="false">IF($B167="","",IF(COUNTIF(Dashboard!$C$13:$C$22,$B167)&gt;0,"Yes",""))</f>
        <v/>
      </c>
      <c r="K167" s="17" t="n">
        <f aca="false">IF($B167="",0,SUMIFS('Zoho Dump'!$X$8:$X$3007,'Zoho Dump'!$N$8:$N$3007,$B167,'Zoho Dump'!$P$8:$P$3007,Settings!$A$12)+SUMIFS(Adjustments!$K$8:$K$207,Adjustments!$B$8:$B$207,$B167,Adjustments!$A$8:$A$207,Settings!$A$12))</f>
        <v>0</v>
      </c>
      <c r="L167" s="17" t="n">
        <f aca="false">IF($B167="",0,SUMIFS('Zoho Dump'!$X$8:$X$3007,'Zoho Dump'!$N$8:$N$3007,$B167,'Zoho Dump'!$P$8:$P$3007,Settings!$A$13)+SUMIFS(Adjustments!$K$8:$K$207,Adjustments!$B$8:$B$207,$B167,Adjustments!$A$8:$A$207,Settings!$A$13))</f>
        <v>0</v>
      </c>
      <c r="M167" s="17" t="n">
        <f aca="false">IF($B167="",0,SUMIFS('Zoho Dump'!$X$8:$X$3007,'Zoho Dump'!$N$8:$N$3007,$B167,'Zoho Dump'!$P$8:$P$3007,Settings!$A$14)+SUMIFS(Adjustments!$K$8:$K$207,Adjustments!$B$8:$B$207,$B167,Adjustments!$A$8:$A$207,Settings!$A$14))</f>
        <v>0</v>
      </c>
      <c r="N167" s="17" t="n">
        <f aca="false">IF($B167="",0,SUMIFS('Zoho Dump'!$X$8:$X$3007,'Zoho Dump'!$N$8:$N$3007,$B167,'Zoho Dump'!$P$8:$P$3007,Settings!$A$15)+SUMIFS(Adjustments!$K$8:$K$207,Adjustments!$B$8:$B$207,$B167,Adjustments!$A$8:$A$207,Settings!$A$15))</f>
        <v>0</v>
      </c>
      <c r="O167" s="17" t="n">
        <f aca="false">IF($B167="",0,SUMIFS('Zoho Dump'!$X$8:$X$3007,'Zoho Dump'!$N$8:$N$3007,$B167,'Zoho Dump'!$P$8:$P$3007,Settings!$A$16)+SUMIFS(Adjustments!$K$8:$K$207,Adjustments!$B$8:$B$207,$B167,Adjustments!$A$8:$A$207,Settings!$A$16))</f>
        <v>0</v>
      </c>
      <c r="P167" s="17" t="n">
        <f aca="false">IF($B167="",0,SUMIFS('Zoho Dump'!$X$8:$X$3007,'Zoho Dump'!$N$8:$N$3007,$B167,'Zoho Dump'!$P$8:$P$3007,Settings!$A$17)+SUMIFS(Adjustments!$K$8:$K$207,Adjustments!$B$8:$B$207,$B167,Adjustments!$A$8:$A$207,Settings!$A$17))</f>
        <v>0</v>
      </c>
      <c r="Q167" s="17" t="n">
        <f aca="false">IF($B167="",0,SUMIFS('Zoho Dump'!$X$8:$X$3007,'Zoho Dump'!$N$8:$N$3007,$B167,'Zoho Dump'!$P$8:$P$3007,Settings!$A$18)+SUMIFS(Adjustments!$K$8:$K$207,Adjustments!$B$8:$B$207,$B167,Adjustments!$A$8:$A$207,Settings!$A$18))</f>
        <v>0</v>
      </c>
      <c r="R167" s="30" t="str">
        <f aca="false">IF(G167&gt;0,G167+A167/10000000,"")</f>
        <v/>
      </c>
    </row>
    <row r="168" customFormat="false" ht="15" hidden="false" customHeight="false" outlineLevel="0" collapsed="false">
      <c r="A168" s="9" t="n">
        <v>164</v>
      </c>
      <c r="B168" s="9" t="str">
        <f aca="false">IFERROR(INDEX('Zoho Dump'!$N$8:$N$3007,MATCH(A168,'Zoho Dump'!$AB$8:$AB$3007,0)),"")</f>
        <v/>
      </c>
      <c r="C168" s="17" t="n">
        <f aca="false">IF($B168="",0,SUMIFS('Zoho Dump'!$Q$8:$Q$3007,'Zoho Dump'!$N$8:$N$3007,$B168,'Zoho Dump'!$T$8:$T$3007,"Delivered",'Zoho Dump'!$R$8:$R$3007,"&gt;="&amp;Settings!$B$4))</f>
        <v>0</v>
      </c>
      <c r="D168" s="17" t="n">
        <f aca="false">IF($B168="",0,SUMIFS('Zoho Dump'!$X$8:$X$3007,'Zoho Dump'!$N$8:$N$3007,$B168,'Zoho Dump'!$T$8:$T$3007,"Backlog")+SUMIFS(Adjustments!$K$8:$K$207,Adjustments!$B$8:$B$207,$B168,Adjustments!$H$8:$H$207,"Backlog"))</f>
        <v>0</v>
      </c>
      <c r="E168" s="17" t="n">
        <f aca="false">IF($B168="",0,SUMIFS('Zoho Dump'!$Y$8:$Y$3007,'Zoho Dump'!$N$8:$N$3007,$B168,'Zoho Dump'!$T$8:$T$3007,"Pipeline")+SUMIFS(Adjustments!$L$8:$L$207,Adjustments!$B$8:$B$207,$B168,Adjustments!$H$8:$H$207,"Pipeline")+SUMIFS('Zoho Dump'!$Y$8:$Y$3007,'Zoho Dump'!$N$8:$N$3007,$B168,'Zoho Dump'!$T$8:$T$3007,"Overdue")+SUMIFS(Adjustments!$L$8:$L$207,Adjustments!$B$8:$B$207,$B168,Adjustments!$H$8:$H$207,"Overdue"))</f>
        <v>0</v>
      </c>
      <c r="F168" s="17" t="n">
        <f aca="false">IF($B168="",0,SUMIFS('Zoho Dump'!$X$8:$X$3007,'Zoho Dump'!$N$8:$N$3007,$B168,'Zoho Dump'!$T$8:$T$3007,"Pipeline")+SUMIFS(Adjustments!$K$8:$K$207,Adjustments!$B$8:$B$207,$B168,Adjustments!$H$8:$H$207,"Pipeline")+SUMIFS('Zoho Dump'!$X$8:$X$3007,'Zoho Dump'!$N$8:$N$3007,$B168,'Zoho Dump'!$T$8:$T$3007,"Overdue")+SUMIFS(Adjustments!$K$8:$K$207,Adjustments!$B$8:$B$207,$B168,Adjustments!$H$8:$H$207,"Overdue"))</f>
        <v>0</v>
      </c>
      <c r="G168" s="17" t="n">
        <f aca="false">D168+F168</f>
        <v>0</v>
      </c>
      <c r="H168" s="18" t="n">
        <f aca="false">IF(SUM($G$5:$G$404)=0,0,G168/SUM($G$5:$G$404))</f>
        <v>0</v>
      </c>
      <c r="I168" s="17" t="n">
        <f aca="false">IF($B168="",0,SUMIFS('Zoho Dump'!$Q$8:$Q$3007,'Zoho Dump'!$N$8:$N$3007,$B168,'Zoho Dump'!$T$8:$T$3007,"Lost",'Zoho Dump'!$R$8:$R$3007,"&gt;="&amp;Settings!$B$4))</f>
        <v>0</v>
      </c>
      <c r="J168" s="9" t="str">
        <f aca="false">IF($B168="","",IF(COUNTIF(Dashboard!$C$13:$C$22,$B168)&gt;0,"Yes",""))</f>
        <v/>
      </c>
      <c r="K168" s="17" t="n">
        <f aca="false">IF($B168="",0,SUMIFS('Zoho Dump'!$X$8:$X$3007,'Zoho Dump'!$N$8:$N$3007,$B168,'Zoho Dump'!$P$8:$P$3007,Settings!$A$12)+SUMIFS(Adjustments!$K$8:$K$207,Adjustments!$B$8:$B$207,$B168,Adjustments!$A$8:$A$207,Settings!$A$12))</f>
        <v>0</v>
      </c>
      <c r="L168" s="17" t="n">
        <f aca="false">IF($B168="",0,SUMIFS('Zoho Dump'!$X$8:$X$3007,'Zoho Dump'!$N$8:$N$3007,$B168,'Zoho Dump'!$P$8:$P$3007,Settings!$A$13)+SUMIFS(Adjustments!$K$8:$K$207,Adjustments!$B$8:$B$207,$B168,Adjustments!$A$8:$A$207,Settings!$A$13))</f>
        <v>0</v>
      </c>
      <c r="M168" s="17" t="n">
        <f aca="false">IF($B168="",0,SUMIFS('Zoho Dump'!$X$8:$X$3007,'Zoho Dump'!$N$8:$N$3007,$B168,'Zoho Dump'!$P$8:$P$3007,Settings!$A$14)+SUMIFS(Adjustments!$K$8:$K$207,Adjustments!$B$8:$B$207,$B168,Adjustments!$A$8:$A$207,Settings!$A$14))</f>
        <v>0</v>
      </c>
      <c r="N168" s="17" t="n">
        <f aca="false">IF($B168="",0,SUMIFS('Zoho Dump'!$X$8:$X$3007,'Zoho Dump'!$N$8:$N$3007,$B168,'Zoho Dump'!$P$8:$P$3007,Settings!$A$15)+SUMIFS(Adjustments!$K$8:$K$207,Adjustments!$B$8:$B$207,$B168,Adjustments!$A$8:$A$207,Settings!$A$15))</f>
        <v>0</v>
      </c>
      <c r="O168" s="17" t="n">
        <f aca="false">IF($B168="",0,SUMIFS('Zoho Dump'!$X$8:$X$3007,'Zoho Dump'!$N$8:$N$3007,$B168,'Zoho Dump'!$P$8:$P$3007,Settings!$A$16)+SUMIFS(Adjustments!$K$8:$K$207,Adjustments!$B$8:$B$207,$B168,Adjustments!$A$8:$A$207,Settings!$A$16))</f>
        <v>0</v>
      </c>
      <c r="P168" s="17" t="n">
        <f aca="false">IF($B168="",0,SUMIFS('Zoho Dump'!$X$8:$X$3007,'Zoho Dump'!$N$8:$N$3007,$B168,'Zoho Dump'!$P$8:$P$3007,Settings!$A$17)+SUMIFS(Adjustments!$K$8:$K$207,Adjustments!$B$8:$B$207,$B168,Adjustments!$A$8:$A$207,Settings!$A$17))</f>
        <v>0</v>
      </c>
      <c r="Q168" s="17" t="n">
        <f aca="false">IF($B168="",0,SUMIFS('Zoho Dump'!$X$8:$X$3007,'Zoho Dump'!$N$8:$N$3007,$B168,'Zoho Dump'!$P$8:$P$3007,Settings!$A$18)+SUMIFS(Adjustments!$K$8:$K$207,Adjustments!$B$8:$B$207,$B168,Adjustments!$A$8:$A$207,Settings!$A$18))</f>
        <v>0</v>
      </c>
      <c r="R168" s="30" t="str">
        <f aca="false">IF(G168&gt;0,G168+A168/10000000,"")</f>
        <v/>
      </c>
    </row>
    <row r="169" customFormat="false" ht="15" hidden="false" customHeight="false" outlineLevel="0" collapsed="false">
      <c r="A169" s="9" t="n">
        <v>165</v>
      </c>
      <c r="B169" s="9" t="str">
        <f aca="false">IFERROR(INDEX('Zoho Dump'!$N$8:$N$3007,MATCH(A169,'Zoho Dump'!$AB$8:$AB$3007,0)),"")</f>
        <v/>
      </c>
      <c r="C169" s="17" t="n">
        <f aca="false">IF($B169="",0,SUMIFS('Zoho Dump'!$Q$8:$Q$3007,'Zoho Dump'!$N$8:$N$3007,$B169,'Zoho Dump'!$T$8:$T$3007,"Delivered",'Zoho Dump'!$R$8:$R$3007,"&gt;="&amp;Settings!$B$4))</f>
        <v>0</v>
      </c>
      <c r="D169" s="17" t="n">
        <f aca="false">IF($B169="",0,SUMIFS('Zoho Dump'!$X$8:$X$3007,'Zoho Dump'!$N$8:$N$3007,$B169,'Zoho Dump'!$T$8:$T$3007,"Backlog")+SUMIFS(Adjustments!$K$8:$K$207,Adjustments!$B$8:$B$207,$B169,Adjustments!$H$8:$H$207,"Backlog"))</f>
        <v>0</v>
      </c>
      <c r="E169" s="17" t="n">
        <f aca="false">IF($B169="",0,SUMIFS('Zoho Dump'!$Y$8:$Y$3007,'Zoho Dump'!$N$8:$N$3007,$B169,'Zoho Dump'!$T$8:$T$3007,"Pipeline")+SUMIFS(Adjustments!$L$8:$L$207,Adjustments!$B$8:$B$207,$B169,Adjustments!$H$8:$H$207,"Pipeline")+SUMIFS('Zoho Dump'!$Y$8:$Y$3007,'Zoho Dump'!$N$8:$N$3007,$B169,'Zoho Dump'!$T$8:$T$3007,"Overdue")+SUMIFS(Adjustments!$L$8:$L$207,Adjustments!$B$8:$B$207,$B169,Adjustments!$H$8:$H$207,"Overdue"))</f>
        <v>0</v>
      </c>
      <c r="F169" s="17" t="n">
        <f aca="false">IF($B169="",0,SUMIFS('Zoho Dump'!$X$8:$X$3007,'Zoho Dump'!$N$8:$N$3007,$B169,'Zoho Dump'!$T$8:$T$3007,"Pipeline")+SUMIFS(Adjustments!$K$8:$K$207,Adjustments!$B$8:$B$207,$B169,Adjustments!$H$8:$H$207,"Pipeline")+SUMIFS('Zoho Dump'!$X$8:$X$3007,'Zoho Dump'!$N$8:$N$3007,$B169,'Zoho Dump'!$T$8:$T$3007,"Overdue")+SUMIFS(Adjustments!$K$8:$K$207,Adjustments!$B$8:$B$207,$B169,Adjustments!$H$8:$H$207,"Overdue"))</f>
        <v>0</v>
      </c>
      <c r="G169" s="17" t="n">
        <f aca="false">D169+F169</f>
        <v>0</v>
      </c>
      <c r="H169" s="18" t="n">
        <f aca="false">IF(SUM($G$5:$G$404)=0,0,G169/SUM($G$5:$G$404))</f>
        <v>0</v>
      </c>
      <c r="I169" s="17" t="n">
        <f aca="false">IF($B169="",0,SUMIFS('Zoho Dump'!$Q$8:$Q$3007,'Zoho Dump'!$N$8:$N$3007,$B169,'Zoho Dump'!$T$8:$T$3007,"Lost",'Zoho Dump'!$R$8:$R$3007,"&gt;="&amp;Settings!$B$4))</f>
        <v>0</v>
      </c>
      <c r="J169" s="9" t="str">
        <f aca="false">IF($B169="","",IF(COUNTIF(Dashboard!$C$13:$C$22,$B169)&gt;0,"Yes",""))</f>
        <v/>
      </c>
      <c r="K169" s="17" t="n">
        <f aca="false">IF($B169="",0,SUMIFS('Zoho Dump'!$X$8:$X$3007,'Zoho Dump'!$N$8:$N$3007,$B169,'Zoho Dump'!$P$8:$P$3007,Settings!$A$12)+SUMIFS(Adjustments!$K$8:$K$207,Adjustments!$B$8:$B$207,$B169,Adjustments!$A$8:$A$207,Settings!$A$12))</f>
        <v>0</v>
      </c>
      <c r="L169" s="17" t="n">
        <f aca="false">IF($B169="",0,SUMIFS('Zoho Dump'!$X$8:$X$3007,'Zoho Dump'!$N$8:$N$3007,$B169,'Zoho Dump'!$P$8:$P$3007,Settings!$A$13)+SUMIFS(Adjustments!$K$8:$K$207,Adjustments!$B$8:$B$207,$B169,Adjustments!$A$8:$A$207,Settings!$A$13))</f>
        <v>0</v>
      </c>
      <c r="M169" s="17" t="n">
        <f aca="false">IF($B169="",0,SUMIFS('Zoho Dump'!$X$8:$X$3007,'Zoho Dump'!$N$8:$N$3007,$B169,'Zoho Dump'!$P$8:$P$3007,Settings!$A$14)+SUMIFS(Adjustments!$K$8:$K$207,Adjustments!$B$8:$B$207,$B169,Adjustments!$A$8:$A$207,Settings!$A$14))</f>
        <v>0</v>
      </c>
      <c r="N169" s="17" t="n">
        <f aca="false">IF($B169="",0,SUMIFS('Zoho Dump'!$X$8:$X$3007,'Zoho Dump'!$N$8:$N$3007,$B169,'Zoho Dump'!$P$8:$P$3007,Settings!$A$15)+SUMIFS(Adjustments!$K$8:$K$207,Adjustments!$B$8:$B$207,$B169,Adjustments!$A$8:$A$207,Settings!$A$15))</f>
        <v>0</v>
      </c>
      <c r="O169" s="17" t="n">
        <f aca="false">IF($B169="",0,SUMIFS('Zoho Dump'!$X$8:$X$3007,'Zoho Dump'!$N$8:$N$3007,$B169,'Zoho Dump'!$P$8:$P$3007,Settings!$A$16)+SUMIFS(Adjustments!$K$8:$K$207,Adjustments!$B$8:$B$207,$B169,Adjustments!$A$8:$A$207,Settings!$A$16))</f>
        <v>0</v>
      </c>
      <c r="P169" s="17" t="n">
        <f aca="false">IF($B169="",0,SUMIFS('Zoho Dump'!$X$8:$X$3007,'Zoho Dump'!$N$8:$N$3007,$B169,'Zoho Dump'!$P$8:$P$3007,Settings!$A$17)+SUMIFS(Adjustments!$K$8:$K$207,Adjustments!$B$8:$B$207,$B169,Adjustments!$A$8:$A$207,Settings!$A$17))</f>
        <v>0</v>
      </c>
      <c r="Q169" s="17" t="n">
        <f aca="false">IF($B169="",0,SUMIFS('Zoho Dump'!$X$8:$X$3007,'Zoho Dump'!$N$8:$N$3007,$B169,'Zoho Dump'!$P$8:$P$3007,Settings!$A$18)+SUMIFS(Adjustments!$K$8:$K$207,Adjustments!$B$8:$B$207,$B169,Adjustments!$A$8:$A$207,Settings!$A$18))</f>
        <v>0</v>
      </c>
      <c r="R169" s="30" t="str">
        <f aca="false">IF(G169&gt;0,G169+A169/10000000,"")</f>
        <v/>
      </c>
    </row>
    <row r="170" customFormat="false" ht="15" hidden="false" customHeight="false" outlineLevel="0" collapsed="false">
      <c r="A170" s="9" t="n">
        <v>166</v>
      </c>
      <c r="B170" s="9" t="str">
        <f aca="false">IFERROR(INDEX('Zoho Dump'!$N$8:$N$3007,MATCH(A170,'Zoho Dump'!$AB$8:$AB$3007,0)),"")</f>
        <v/>
      </c>
      <c r="C170" s="17" t="n">
        <f aca="false">IF($B170="",0,SUMIFS('Zoho Dump'!$Q$8:$Q$3007,'Zoho Dump'!$N$8:$N$3007,$B170,'Zoho Dump'!$T$8:$T$3007,"Delivered",'Zoho Dump'!$R$8:$R$3007,"&gt;="&amp;Settings!$B$4))</f>
        <v>0</v>
      </c>
      <c r="D170" s="17" t="n">
        <f aca="false">IF($B170="",0,SUMIFS('Zoho Dump'!$X$8:$X$3007,'Zoho Dump'!$N$8:$N$3007,$B170,'Zoho Dump'!$T$8:$T$3007,"Backlog")+SUMIFS(Adjustments!$K$8:$K$207,Adjustments!$B$8:$B$207,$B170,Adjustments!$H$8:$H$207,"Backlog"))</f>
        <v>0</v>
      </c>
      <c r="E170" s="17" t="n">
        <f aca="false">IF($B170="",0,SUMIFS('Zoho Dump'!$Y$8:$Y$3007,'Zoho Dump'!$N$8:$N$3007,$B170,'Zoho Dump'!$T$8:$T$3007,"Pipeline")+SUMIFS(Adjustments!$L$8:$L$207,Adjustments!$B$8:$B$207,$B170,Adjustments!$H$8:$H$207,"Pipeline")+SUMIFS('Zoho Dump'!$Y$8:$Y$3007,'Zoho Dump'!$N$8:$N$3007,$B170,'Zoho Dump'!$T$8:$T$3007,"Overdue")+SUMIFS(Adjustments!$L$8:$L$207,Adjustments!$B$8:$B$207,$B170,Adjustments!$H$8:$H$207,"Overdue"))</f>
        <v>0</v>
      </c>
      <c r="F170" s="17" t="n">
        <f aca="false">IF($B170="",0,SUMIFS('Zoho Dump'!$X$8:$X$3007,'Zoho Dump'!$N$8:$N$3007,$B170,'Zoho Dump'!$T$8:$T$3007,"Pipeline")+SUMIFS(Adjustments!$K$8:$K$207,Adjustments!$B$8:$B$207,$B170,Adjustments!$H$8:$H$207,"Pipeline")+SUMIFS('Zoho Dump'!$X$8:$X$3007,'Zoho Dump'!$N$8:$N$3007,$B170,'Zoho Dump'!$T$8:$T$3007,"Overdue")+SUMIFS(Adjustments!$K$8:$K$207,Adjustments!$B$8:$B$207,$B170,Adjustments!$H$8:$H$207,"Overdue"))</f>
        <v>0</v>
      </c>
      <c r="G170" s="17" t="n">
        <f aca="false">D170+F170</f>
        <v>0</v>
      </c>
      <c r="H170" s="18" t="n">
        <f aca="false">IF(SUM($G$5:$G$404)=0,0,G170/SUM($G$5:$G$404))</f>
        <v>0</v>
      </c>
      <c r="I170" s="17" t="n">
        <f aca="false">IF($B170="",0,SUMIFS('Zoho Dump'!$Q$8:$Q$3007,'Zoho Dump'!$N$8:$N$3007,$B170,'Zoho Dump'!$T$8:$T$3007,"Lost",'Zoho Dump'!$R$8:$R$3007,"&gt;="&amp;Settings!$B$4))</f>
        <v>0</v>
      </c>
      <c r="J170" s="9" t="str">
        <f aca="false">IF($B170="","",IF(COUNTIF(Dashboard!$C$13:$C$22,$B170)&gt;0,"Yes",""))</f>
        <v/>
      </c>
      <c r="K170" s="17" t="n">
        <f aca="false">IF($B170="",0,SUMIFS('Zoho Dump'!$X$8:$X$3007,'Zoho Dump'!$N$8:$N$3007,$B170,'Zoho Dump'!$P$8:$P$3007,Settings!$A$12)+SUMIFS(Adjustments!$K$8:$K$207,Adjustments!$B$8:$B$207,$B170,Adjustments!$A$8:$A$207,Settings!$A$12))</f>
        <v>0</v>
      </c>
      <c r="L170" s="17" t="n">
        <f aca="false">IF($B170="",0,SUMIFS('Zoho Dump'!$X$8:$X$3007,'Zoho Dump'!$N$8:$N$3007,$B170,'Zoho Dump'!$P$8:$P$3007,Settings!$A$13)+SUMIFS(Adjustments!$K$8:$K$207,Adjustments!$B$8:$B$207,$B170,Adjustments!$A$8:$A$207,Settings!$A$13))</f>
        <v>0</v>
      </c>
      <c r="M170" s="17" t="n">
        <f aca="false">IF($B170="",0,SUMIFS('Zoho Dump'!$X$8:$X$3007,'Zoho Dump'!$N$8:$N$3007,$B170,'Zoho Dump'!$P$8:$P$3007,Settings!$A$14)+SUMIFS(Adjustments!$K$8:$K$207,Adjustments!$B$8:$B$207,$B170,Adjustments!$A$8:$A$207,Settings!$A$14))</f>
        <v>0</v>
      </c>
      <c r="N170" s="17" t="n">
        <f aca="false">IF($B170="",0,SUMIFS('Zoho Dump'!$X$8:$X$3007,'Zoho Dump'!$N$8:$N$3007,$B170,'Zoho Dump'!$P$8:$P$3007,Settings!$A$15)+SUMIFS(Adjustments!$K$8:$K$207,Adjustments!$B$8:$B$207,$B170,Adjustments!$A$8:$A$207,Settings!$A$15))</f>
        <v>0</v>
      </c>
      <c r="O170" s="17" t="n">
        <f aca="false">IF($B170="",0,SUMIFS('Zoho Dump'!$X$8:$X$3007,'Zoho Dump'!$N$8:$N$3007,$B170,'Zoho Dump'!$P$8:$P$3007,Settings!$A$16)+SUMIFS(Adjustments!$K$8:$K$207,Adjustments!$B$8:$B$207,$B170,Adjustments!$A$8:$A$207,Settings!$A$16))</f>
        <v>0</v>
      </c>
      <c r="P170" s="17" t="n">
        <f aca="false">IF($B170="",0,SUMIFS('Zoho Dump'!$X$8:$X$3007,'Zoho Dump'!$N$8:$N$3007,$B170,'Zoho Dump'!$P$8:$P$3007,Settings!$A$17)+SUMIFS(Adjustments!$K$8:$K$207,Adjustments!$B$8:$B$207,$B170,Adjustments!$A$8:$A$207,Settings!$A$17))</f>
        <v>0</v>
      </c>
      <c r="Q170" s="17" t="n">
        <f aca="false">IF($B170="",0,SUMIFS('Zoho Dump'!$X$8:$X$3007,'Zoho Dump'!$N$8:$N$3007,$B170,'Zoho Dump'!$P$8:$P$3007,Settings!$A$18)+SUMIFS(Adjustments!$K$8:$K$207,Adjustments!$B$8:$B$207,$B170,Adjustments!$A$8:$A$207,Settings!$A$18))</f>
        <v>0</v>
      </c>
      <c r="R170" s="30" t="str">
        <f aca="false">IF(G170&gt;0,G170+A170/10000000,"")</f>
        <v/>
      </c>
    </row>
    <row r="171" customFormat="false" ht="15" hidden="false" customHeight="false" outlineLevel="0" collapsed="false">
      <c r="A171" s="9" t="n">
        <v>167</v>
      </c>
      <c r="B171" s="9" t="str">
        <f aca="false">IFERROR(INDEX('Zoho Dump'!$N$8:$N$3007,MATCH(A171,'Zoho Dump'!$AB$8:$AB$3007,0)),"")</f>
        <v/>
      </c>
      <c r="C171" s="17" t="n">
        <f aca="false">IF($B171="",0,SUMIFS('Zoho Dump'!$Q$8:$Q$3007,'Zoho Dump'!$N$8:$N$3007,$B171,'Zoho Dump'!$T$8:$T$3007,"Delivered",'Zoho Dump'!$R$8:$R$3007,"&gt;="&amp;Settings!$B$4))</f>
        <v>0</v>
      </c>
      <c r="D171" s="17" t="n">
        <f aca="false">IF($B171="",0,SUMIFS('Zoho Dump'!$X$8:$X$3007,'Zoho Dump'!$N$8:$N$3007,$B171,'Zoho Dump'!$T$8:$T$3007,"Backlog")+SUMIFS(Adjustments!$K$8:$K$207,Adjustments!$B$8:$B$207,$B171,Adjustments!$H$8:$H$207,"Backlog"))</f>
        <v>0</v>
      </c>
      <c r="E171" s="17" t="n">
        <f aca="false">IF($B171="",0,SUMIFS('Zoho Dump'!$Y$8:$Y$3007,'Zoho Dump'!$N$8:$N$3007,$B171,'Zoho Dump'!$T$8:$T$3007,"Pipeline")+SUMIFS(Adjustments!$L$8:$L$207,Adjustments!$B$8:$B$207,$B171,Adjustments!$H$8:$H$207,"Pipeline")+SUMIFS('Zoho Dump'!$Y$8:$Y$3007,'Zoho Dump'!$N$8:$N$3007,$B171,'Zoho Dump'!$T$8:$T$3007,"Overdue")+SUMIFS(Adjustments!$L$8:$L$207,Adjustments!$B$8:$B$207,$B171,Adjustments!$H$8:$H$207,"Overdue"))</f>
        <v>0</v>
      </c>
      <c r="F171" s="17" t="n">
        <f aca="false">IF($B171="",0,SUMIFS('Zoho Dump'!$X$8:$X$3007,'Zoho Dump'!$N$8:$N$3007,$B171,'Zoho Dump'!$T$8:$T$3007,"Pipeline")+SUMIFS(Adjustments!$K$8:$K$207,Adjustments!$B$8:$B$207,$B171,Adjustments!$H$8:$H$207,"Pipeline")+SUMIFS('Zoho Dump'!$X$8:$X$3007,'Zoho Dump'!$N$8:$N$3007,$B171,'Zoho Dump'!$T$8:$T$3007,"Overdue")+SUMIFS(Adjustments!$K$8:$K$207,Adjustments!$B$8:$B$207,$B171,Adjustments!$H$8:$H$207,"Overdue"))</f>
        <v>0</v>
      </c>
      <c r="G171" s="17" t="n">
        <f aca="false">D171+F171</f>
        <v>0</v>
      </c>
      <c r="H171" s="18" t="n">
        <f aca="false">IF(SUM($G$5:$G$404)=0,0,G171/SUM($G$5:$G$404))</f>
        <v>0</v>
      </c>
      <c r="I171" s="17" t="n">
        <f aca="false">IF($B171="",0,SUMIFS('Zoho Dump'!$Q$8:$Q$3007,'Zoho Dump'!$N$8:$N$3007,$B171,'Zoho Dump'!$T$8:$T$3007,"Lost",'Zoho Dump'!$R$8:$R$3007,"&gt;="&amp;Settings!$B$4))</f>
        <v>0</v>
      </c>
      <c r="J171" s="9" t="str">
        <f aca="false">IF($B171="","",IF(COUNTIF(Dashboard!$C$13:$C$22,$B171)&gt;0,"Yes",""))</f>
        <v/>
      </c>
      <c r="K171" s="17" t="n">
        <f aca="false">IF($B171="",0,SUMIFS('Zoho Dump'!$X$8:$X$3007,'Zoho Dump'!$N$8:$N$3007,$B171,'Zoho Dump'!$P$8:$P$3007,Settings!$A$12)+SUMIFS(Adjustments!$K$8:$K$207,Adjustments!$B$8:$B$207,$B171,Adjustments!$A$8:$A$207,Settings!$A$12))</f>
        <v>0</v>
      </c>
      <c r="L171" s="17" t="n">
        <f aca="false">IF($B171="",0,SUMIFS('Zoho Dump'!$X$8:$X$3007,'Zoho Dump'!$N$8:$N$3007,$B171,'Zoho Dump'!$P$8:$P$3007,Settings!$A$13)+SUMIFS(Adjustments!$K$8:$K$207,Adjustments!$B$8:$B$207,$B171,Adjustments!$A$8:$A$207,Settings!$A$13))</f>
        <v>0</v>
      </c>
      <c r="M171" s="17" t="n">
        <f aca="false">IF($B171="",0,SUMIFS('Zoho Dump'!$X$8:$X$3007,'Zoho Dump'!$N$8:$N$3007,$B171,'Zoho Dump'!$P$8:$P$3007,Settings!$A$14)+SUMIFS(Adjustments!$K$8:$K$207,Adjustments!$B$8:$B$207,$B171,Adjustments!$A$8:$A$207,Settings!$A$14))</f>
        <v>0</v>
      </c>
      <c r="N171" s="17" t="n">
        <f aca="false">IF($B171="",0,SUMIFS('Zoho Dump'!$X$8:$X$3007,'Zoho Dump'!$N$8:$N$3007,$B171,'Zoho Dump'!$P$8:$P$3007,Settings!$A$15)+SUMIFS(Adjustments!$K$8:$K$207,Adjustments!$B$8:$B$207,$B171,Adjustments!$A$8:$A$207,Settings!$A$15))</f>
        <v>0</v>
      </c>
      <c r="O171" s="17" t="n">
        <f aca="false">IF($B171="",0,SUMIFS('Zoho Dump'!$X$8:$X$3007,'Zoho Dump'!$N$8:$N$3007,$B171,'Zoho Dump'!$P$8:$P$3007,Settings!$A$16)+SUMIFS(Adjustments!$K$8:$K$207,Adjustments!$B$8:$B$207,$B171,Adjustments!$A$8:$A$207,Settings!$A$16))</f>
        <v>0</v>
      </c>
      <c r="P171" s="17" t="n">
        <f aca="false">IF($B171="",0,SUMIFS('Zoho Dump'!$X$8:$X$3007,'Zoho Dump'!$N$8:$N$3007,$B171,'Zoho Dump'!$P$8:$P$3007,Settings!$A$17)+SUMIFS(Adjustments!$K$8:$K$207,Adjustments!$B$8:$B$207,$B171,Adjustments!$A$8:$A$207,Settings!$A$17))</f>
        <v>0</v>
      </c>
      <c r="Q171" s="17" t="n">
        <f aca="false">IF($B171="",0,SUMIFS('Zoho Dump'!$X$8:$X$3007,'Zoho Dump'!$N$8:$N$3007,$B171,'Zoho Dump'!$P$8:$P$3007,Settings!$A$18)+SUMIFS(Adjustments!$K$8:$K$207,Adjustments!$B$8:$B$207,$B171,Adjustments!$A$8:$A$207,Settings!$A$18))</f>
        <v>0</v>
      </c>
      <c r="R171" s="30" t="str">
        <f aca="false">IF(G171&gt;0,G171+A171/10000000,"")</f>
        <v/>
      </c>
    </row>
    <row r="172" customFormat="false" ht="15" hidden="false" customHeight="false" outlineLevel="0" collapsed="false">
      <c r="A172" s="9" t="n">
        <v>168</v>
      </c>
      <c r="B172" s="9" t="str">
        <f aca="false">IFERROR(INDEX('Zoho Dump'!$N$8:$N$3007,MATCH(A172,'Zoho Dump'!$AB$8:$AB$3007,0)),"")</f>
        <v/>
      </c>
      <c r="C172" s="17" t="n">
        <f aca="false">IF($B172="",0,SUMIFS('Zoho Dump'!$Q$8:$Q$3007,'Zoho Dump'!$N$8:$N$3007,$B172,'Zoho Dump'!$T$8:$T$3007,"Delivered",'Zoho Dump'!$R$8:$R$3007,"&gt;="&amp;Settings!$B$4))</f>
        <v>0</v>
      </c>
      <c r="D172" s="17" t="n">
        <f aca="false">IF($B172="",0,SUMIFS('Zoho Dump'!$X$8:$X$3007,'Zoho Dump'!$N$8:$N$3007,$B172,'Zoho Dump'!$T$8:$T$3007,"Backlog")+SUMIFS(Adjustments!$K$8:$K$207,Adjustments!$B$8:$B$207,$B172,Adjustments!$H$8:$H$207,"Backlog"))</f>
        <v>0</v>
      </c>
      <c r="E172" s="17" t="n">
        <f aca="false">IF($B172="",0,SUMIFS('Zoho Dump'!$Y$8:$Y$3007,'Zoho Dump'!$N$8:$N$3007,$B172,'Zoho Dump'!$T$8:$T$3007,"Pipeline")+SUMIFS(Adjustments!$L$8:$L$207,Adjustments!$B$8:$B$207,$B172,Adjustments!$H$8:$H$207,"Pipeline")+SUMIFS('Zoho Dump'!$Y$8:$Y$3007,'Zoho Dump'!$N$8:$N$3007,$B172,'Zoho Dump'!$T$8:$T$3007,"Overdue")+SUMIFS(Adjustments!$L$8:$L$207,Adjustments!$B$8:$B$207,$B172,Adjustments!$H$8:$H$207,"Overdue"))</f>
        <v>0</v>
      </c>
      <c r="F172" s="17" t="n">
        <f aca="false">IF($B172="",0,SUMIFS('Zoho Dump'!$X$8:$X$3007,'Zoho Dump'!$N$8:$N$3007,$B172,'Zoho Dump'!$T$8:$T$3007,"Pipeline")+SUMIFS(Adjustments!$K$8:$K$207,Adjustments!$B$8:$B$207,$B172,Adjustments!$H$8:$H$207,"Pipeline")+SUMIFS('Zoho Dump'!$X$8:$X$3007,'Zoho Dump'!$N$8:$N$3007,$B172,'Zoho Dump'!$T$8:$T$3007,"Overdue")+SUMIFS(Adjustments!$K$8:$K$207,Adjustments!$B$8:$B$207,$B172,Adjustments!$H$8:$H$207,"Overdue"))</f>
        <v>0</v>
      </c>
      <c r="G172" s="17" t="n">
        <f aca="false">D172+F172</f>
        <v>0</v>
      </c>
      <c r="H172" s="18" t="n">
        <f aca="false">IF(SUM($G$5:$G$404)=0,0,G172/SUM($G$5:$G$404))</f>
        <v>0</v>
      </c>
      <c r="I172" s="17" t="n">
        <f aca="false">IF($B172="",0,SUMIFS('Zoho Dump'!$Q$8:$Q$3007,'Zoho Dump'!$N$8:$N$3007,$B172,'Zoho Dump'!$T$8:$T$3007,"Lost",'Zoho Dump'!$R$8:$R$3007,"&gt;="&amp;Settings!$B$4))</f>
        <v>0</v>
      </c>
      <c r="J172" s="9" t="str">
        <f aca="false">IF($B172="","",IF(COUNTIF(Dashboard!$C$13:$C$22,$B172)&gt;0,"Yes",""))</f>
        <v/>
      </c>
      <c r="K172" s="17" t="n">
        <f aca="false">IF($B172="",0,SUMIFS('Zoho Dump'!$X$8:$X$3007,'Zoho Dump'!$N$8:$N$3007,$B172,'Zoho Dump'!$P$8:$P$3007,Settings!$A$12)+SUMIFS(Adjustments!$K$8:$K$207,Adjustments!$B$8:$B$207,$B172,Adjustments!$A$8:$A$207,Settings!$A$12))</f>
        <v>0</v>
      </c>
      <c r="L172" s="17" t="n">
        <f aca="false">IF($B172="",0,SUMIFS('Zoho Dump'!$X$8:$X$3007,'Zoho Dump'!$N$8:$N$3007,$B172,'Zoho Dump'!$P$8:$P$3007,Settings!$A$13)+SUMIFS(Adjustments!$K$8:$K$207,Adjustments!$B$8:$B$207,$B172,Adjustments!$A$8:$A$207,Settings!$A$13))</f>
        <v>0</v>
      </c>
      <c r="M172" s="17" t="n">
        <f aca="false">IF($B172="",0,SUMIFS('Zoho Dump'!$X$8:$X$3007,'Zoho Dump'!$N$8:$N$3007,$B172,'Zoho Dump'!$P$8:$P$3007,Settings!$A$14)+SUMIFS(Adjustments!$K$8:$K$207,Adjustments!$B$8:$B$207,$B172,Adjustments!$A$8:$A$207,Settings!$A$14))</f>
        <v>0</v>
      </c>
      <c r="N172" s="17" t="n">
        <f aca="false">IF($B172="",0,SUMIFS('Zoho Dump'!$X$8:$X$3007,'Zoho Dump'!$N$8:$N$3007,$B172,'Zoho Dump'!$P$8:$P$3007,Settings!$A$15)+SUMIFS(Adjustments!$K$8:$K$207,Adjustments!$B$8:$B$207,$B172,Adjustments!$A$8:$A$207,Settings!$A$15))</f>
        <v>0</v>
      </c>
      <c r="O172" s="17" t="n">
        <f aca="false">IF($B172="",0,SUMIFS('Zoho Dump'!$X$8:$X$3007,'Zoho Dump'!$N$8:$N$3007,$B172,'Zoho Dump'!$P$8:$P$3007,Settings!$A$16)+SUMIFS(Adjustments!$K$8:$K$207,Adjustments!$B$8:$B$207,$B172,Adjustments!$A$8:$A$207,Settings!$A$16))</f>
        <v>0</v>
      </c>
      <c r="P172" s="17" t="n">
        <f aca="false">IF($B172="",0,SUMIFS('Zoho Dump'!$X$8:$X$3007,'Zoho Dump'!$N$8:$N$3007,$B172,'Zoho Dump'!$P$8:$P$3007,Settings!$A$17)+SUMIFS(Adjustments!$K$8:$K$207,Adjustments!$B$8:$B$207,$B172,Adjustments!$A$8:$A$207,Settings!$A$17))</f>
        <v>0</v>
      </c>
      <c r="Q172" s="17" t="n">
        <f aca="false">IF($B172="",0,SUMIFS('Zoho Dump'!$X$8:$X$3007,'Zoho Dump'!$N$8:$N$3007,$B172,'Zoho Dump'!$P$8:$P$3007,Settings!$A$18)+SUMIFS(Adjustments!$K$8:$K$207,Adjustments!$B$8:$B$207,$B172,Adjustments!$A$8:$A$207,Settings!$A$18))</f>
        <v>0</v>
      </c>
      <c r="R172" s="30" t="str">
        <f aca="false">IF(G172&gt;0,G172+A172/10000000,"")</f>
        <v/>
      </c>
    </row>
    <row r="173" customFormat="false" ht="15" hidden="false" customHeight="false" outlineLevel="0" collapsed="false">
      <c r="A173" s="9" t="n">
        <v>169</v>
      </c>
      <c r="B173" s="9" t="str">
        <f aca="false">IFERROR(INDEX('Zoho Dump'!$N$8:$N$3007,MATCH(A173,'Zoho Dump'!$AB$8:$AB$3007,0)),"")</f>
        <v/>
      </c>
      <c r="C173" s="17" t="n">
        <f aca="false">IF($B173="",0,SUMIFS('Zoho Dump'!$Q$8:$Q$3007,'Zoho Dump'!$N$8:$N$3007,$B173,'Zoho Dump'!$T$8:$T$3007,"Delivered",'Zoho Dump'!$R$8:$R$3007,"&gt;="&amp;Settings!$B$4))</f>
        <v>0</v>
      </c>
      <c r="D173" s="17" t="n">
        <f aca="false">IF($B173="",0,SUMIFS('Zoho Dump'!$X$8:$X$3007,'Zoho Dump'!$N$8:$N$3007,$B173,'Zoho Dump'!$T$8:$T$3007,"Backlog")+SUMIFS(Adjustments!$K$8:$K$207,Adjustments!$B$8:$B$207,$B173,Adjustments!$H$8:$H$207,"Backlog"))</f>
        <v>0</v>
      </c>
      <c r="E173" s="17" t="n">
        <f aca="false">IF($B173="",0,SUMIFS('Zoho Dump'!$Y$8:$Y$3007,'Zoho Dump'!$N$8:$N$3007,$B173,'Zoho Dump'!$T$8:$T$3007,"Pipeline")+SUMIFS(Adjustments!$L$8:$L$207,Adjustments!$B$8:$B$207,$B173,Adjustments!$H$8:$H$207,"Pipeline")+SUMIFS('Zoho Dump'!$Y$8:$Y$3007,'Zoho Dump'!$N$8:$N$3007,$B173,'Zoho Dump'!$T$8:$T$3007,"Overdue")+SUMIFS(Adjustments!$L$8:$L$207,Adjustments!$B$8:$B$207,$B173,Adjustments!$H$8:$H$207,"Overdue"))</f>
        <v>0</v>
      </c>
      <c r="F173" s="17" t="n">
        <f aca="false">IF($B173="",0,SUMIFS('Zoho Dump'!$X$8:$X$3007,'Zoho Dump'!$N$8:$N$3007,$B173,'Zoho Dump'!$T$8:$T$3007,"Pipeline")+SUMIFS(Adjustments!$K$8:$K$207,Adjustments!$B$8:$B$207,$B173,Adjustments!$H$8:$H$207,"Pipeline")+SUMIFS('Zoho Dump'!$X$8:$X$3007,'Zoho Dump'!$N$8:$N$3007,$B173,'Zoho Dump'!$T$8:$T$3007,"Overdue")+SUMIFS(Adjustments!$K$8:$K$207,Adjustments!$B$8:$B$207,$B173,Adjustments!$H$8:$H$207,"Overdue"))</f>
        <v>0</v>
      </c>
      <c r="G173" s="17" t="n">
        <f aca="false">D173+F173</f>
        <v>0</v>
      </c>
      <c r="H173" s="18" t="n">
        <f aca="false">IF(SUM($G$5:$G$404)=0,0,G173/SUM($G$5:$G$404))</f>
        <v>0</v>
      </c>
      <c r="I173" s="17" t="n">
        <f aca="false">IF($B173="",0,SUMIFS('Zoho Dump'!$Q$8:$Q$3007,'Zoho Dump'!$N$8:$N$3007,$B173,'Zoho Dump'!$T$8:$T$3007,"Lost",'Zoho Dump'!$R$8:$R$3007,"&gt;="&amp;Settings!$B$4))</f>
        <v>0</v>
      </c>
      <c r="J173" s="9" t="str">
        <f aca="false">IF($B173="","",IF(COUNTIF(Dashboard!$C$13:$C$22,$B173)&gt;0,"Yes",""))</f>
        <v/>
      </c>
      <c r="K173" s="17" t="n">
        <f aca="false">IF($B173="",0,SUMIFS('Zoho Dump'!$X$8:$X$3007,'Zoho Dump'!$N$8:$N$3007,$B173,'Zoho Dump'!$P$8:$P$3007,Settings!$A$12)+SUMIFS(Adjustments!$K$8:$K$207,Adjustments!$B$8:$B$207,$B173,Adjustments!$A$8:$A$207,Settings!$A$12))</f>
        <v>0</v>
      </c>
      <c r="L173" s="17" t="n">
        <f aca="false">IF($B173="",0,SUMIFS('Zoho Dump'!$X$8:$X$3007,'Zoho Dump'!$N$8:$N$3007,$B173,'Zoho Dump'!$P$8:$P$3007,Settings!$A$13)+SUMIFS(Adjustments!$K$8:$K$207,Adjustments!$B$8:$B$207,$B173,Adjustments!$A$8:$A$207,Settings!$A$13))</f>
        <v>0</v>
      </c>
      <c r="M173" s="17" t="n">
        <f aca="false">IF($B173="",0,SUMIFS('Zoho Dump'!$X$8:$X$3007,'Zoho Dump'!$N$8:$N$3007,$B173,'Zoho Dump'!$P$8:$P$3007,Settings!$A$14)+SUMIFS(Adjustments!$K$8:$K$207,Adjustments!$B$8:$B$207,$B173,Adjustments!$A$8:$A$207,Settings!$A$14))</f>
        <v>0</v>
      </c>
      <c r="N173" s="17" t="n">
        <f aca="false">IF($B173="",0,SUMIFS('Zoho Dump'!$X$8:$X$3007,'Zoho Dump'!$N$8:$N$3007,$B173,'Zoho Dump'!$P$8:$P$3007,Settings!$A$15)+SUMIFS(Adjustments!$K$8:$K$207,Adjustments!$B$8:$B$207,$B173,Adjustments!$A$8:$A$207,Settings!$A$15))</f>
        <v>0</v>
      </c>
      <c r="O173" s="17" t="n">
        <f aca="false">IF($B173="",0,SUMIFS('Zoho Dump'!$X$8:$X$3007,'Zoho Dump'!$N$8:$N$3007,$B173,'Zoho Dump'!$P$8:$P$3007,Settings!$A$16)+SUMIFS(Adjustments!$K$8:$K$207,Adjustments!$B$8:$B$207,$B173,Adjustments!$A$8:$A$207,Settings!$A$16))</f>
        <v>0</v>
      </c>
      <c r="P173" s="17" t="n">
        <f aca="false">IF($B173="",0,SUMIFS('Zoho Dump'!$X$8:$X$3007,'Zoho Dump'!$N$8:$N$3007,$B173,'Zoho Dump'!$P$8:$P$3007,Settings!$A$17)+SUMIFS(Adjustments!$K$8:$K$207,Adjustments!$B$8:$B$207,$B173,Adjustments!$A$8:$A$207,Settings!$A$17))</f>
        <v>0</v>
      </c>
      <c r="Q173" s="17" t="n">
        <f aca="false">IF($B173="",0,SUMIFS('Zoho Dump'!$X$8:$X$3007,'Zoho Dump'!$N$8:$N$3007,$B173,'Zoho Dump'!$P$8:$P$3007,Settings!$A$18)+SUMIFS(Adjustments!$K$8:$K$207,Adjustments!$B$8:$B$207,$B173,Adjustments!$A$8:$A$207,Settings!$A$18))</f>
        <v>0</v>
      </c>
      <c r="R173" s="30" t="str">
        <f aca="false">IF(G173&gt;0,G173+A173/10000000,"")</f>
        <v/>
      </c>
    </row>
    <row r="174" customFormat="false" ht="15" hidden="false" customHeight="false" outlineLevel="0" collapsed="false">
      <c r="A174" s="9" t="n">
        <v>170</v>
      </c>
      <c r="B174" s="9" t="str">
        <f aca="false">IFERROR(INDEX('Zoho Dump'!$N$8:$N$3007,MATCH(A174,'Zoho Dump'!$AB$8:$AB$3007,0)),"")</f>
        <v/>
      </c>
      <c r="C174" s="17" t="n">
        <f aca="false">IF($B174="",0,SUMIFS('Zoho Dump'!$Q$8:$Q$3007,'Zoho Dump'!$N$8:$N$3007,$B174,'Zoho Dump'!$T$8:$T$3007,"Delivered",'Zoho Dump'!$R$8:$R$3007,"&gt;="&amp;Settings!$B$4))</f>
        <v>0</v>
      </c>
      <c r="D174" s="17" t="n">
        <f aca="false">IF($B174="",0,SUMIFS('Zoho Dump'!$X$8:$X$3007,'Zoho Dump'!$N$8:$N$3007,$B174,'Zoho Dump'!$T$8:$T$3007,"Backlog")+SUMIFS(Adjustments!$K$8:$K$207,Adjustments!$B$8:$B$207,$B174,Adjustments!$H$8:$H$207,"Backlog"))</f>
        <v>0</v>
      </c>
      <c r="E174" s="17" t="n">
        <f aca="false">IF($B174="",0,SUMIFS('Zoho Dump'!$Y$8:$Y$3007,'Zoho Dump'!$N$8:$N$3007,$B174,'Zoho Dump'!$T$8:$T$3007,"Pipeline")+SUMIFS(Adjustments!$L$8:$L$207,Adjustments!$B$8:$B$207,$B174,Adjustments!$H$8:$H$207,"Pipeline")+SUMIFS('Zoho Dump'!$Y$8:$Y$3007,'Zoho Dump'!$N$8:$N$3007,$B174,'Zoho Dump'!$T$8:$T$3007,"Overdue")+SUMIFS(Adjustments!$L$8:$L$207,Adjustments!$B$8:$B$207,$B174,Adjustments!$H$8:$H$207,"Overdue"))</f>
        <v>0</v>
      </c>
      <c r="F174" s="17" t="n">
        <f aca="false">IF($B174="",0,SUMIFS('Zoho Dump'!$X$8:$X$3007,'Zoho Dump'!$N$8:$N$3007,$B174,'Zoho Dump'!$T$8:$T$3007,"Pipeline")+SUMIFS(Adjustments!$K$8:$K$207,Adjustments!$B$8:$B$207,$B174,Adjustments!$H$8:$H$207,"Pipeline")+SUMIFS('Zoho Dump'!$X$8:$X$3007,'Zoho Dump'!$N$8:$N$3007,$B174,'Zoho Dump'!$T$8:$T$3007,"Overdue")+SUMIFS(Adjustments!$K$8:$K$207,Adjustments!$B$8:$B$207,$B174,Adjustments!$H$8:$H$207,"Overdue"))</f>
        <v>0</v>
      </c>
      <c r="G174" s="17" t="n">
        <f aca="false">D174+F174</f>
        <v>0</v>
      </c>
      <c r="H174" s="18" t="n">
        <f aca="false">IF(SUM($G$5:$G$404)=0,0,G174/SUM($G$5:$G$404))</f>
        <v>0</v>
      </c>
      <c r="I174" s="17" t="n">
        <f aca="false">IF($B174="",0,SUMIFS('Zoho Dump'!$Q$8:$Q$3007,'Zoho Dump'!$N$8:$N$3007,$B174,'Zoho Dump'!$T$8:$T$3007,"Lost",'Zoho Dump'!$R$8:$R$3007,"&gt;="&amp;Settings!$B$4))</f>
        <v>0</v>
      </c>
      <c r="J174" s="9" t="str">
        <f aca="false">IF($B174="","",IF(COUNTIF(Dashboard!$C$13:$C$22,$B174)&gt;0,"Yes",""))</f>
        <v/>
      </c>
      <c r="K174" s="17" t="n">
        <f aca="false">IF($B174="",0,SUMIFS('Zoho Dump'!$X$8:$X$3007,'Zoho Dump'!$N$8:$N$3007,$B174,'Zoho Dump'!$P$8:$P$3007,Settings!$A$12)+SUMIFS(Adjustments!$K$8:$K$207,Adjustments!$B$8:$B$207,$B174,Adjustments!$A$8:$A$207,Settings!$A$12))</f>
        <v>0</v>
      </c>
      <c r="L174" s="17" t="n">
        <f aca="false">IF($B174="",0,SUMIFS('Zoho Dump'!$X$8:$X$3007,'Zoho Dump'!$N$8:$N$3007,$B174,'Zoho Dump'!$P$8:$P$3007,Settings!$A$13)+SUMIFS(Adjustments!$K$8:$K$207,Adjustments!$B$8:$B$207,$B174,Adjustments!$A$8:$A$207,Settings!$A$13))</f>
        <v>0</v>
      </c>
      <c r="M174" s="17" t="n">
        <f aca="false">IF($B174="",0,SUMIFS('Zoho Dump'!$X$8:$X$3007,'Zoho Dump'!$N$8:$N$3007,$B174,'Zoho Dump'!$P$8:$P$3007,Settings!$A$14)+SUMIFS(Adjustments!$K$8:$K$207,Adjustments!$B$8:$B$207,$B174,Adjustments!$A$8:$A$207,Settings!$A$14))</f>
        <v>0</v>
      </c>
      <c r="N174" s="17" t="n">
        <f aca="false">IF($B174="",0,SUMIFS('Zoho Dump'!$X$8:$X$3007,'Zoho Dump'!$N$8:$N$3007,$B174,'Zoho Dump'!$P$8:$P$3007,Settings!$A$15)+SUMIFS(Adjustments!$K$8:$K$207,Adjustments!$B$8:$B$207,$B174,Adjustments!$A$8:$A$207,Settings!$A$15))</f>
        <v>0</v>
      </c>
      <c r="O174" s="17" t="n">
        <f aca="false">IF($B174="",0,SUMIFS('Zoho Dump'!$X$8:$X$3007,'Zoho Dump'!$N$8:$N$3007,$B174,'Zoho Dump'!$P$8:$P$3007,Settings!$A$16)+SUMIFS(Adjustments!$K$8:$K$207,Adjustments!$B$8:$B$207,$B174,Adjustments!$A$8:$A$207,Settings!$A$16))</f>
        <v>0</v>
      </c>
      <c r="P174" s="17" t="n">
        <f aca="false">IF($B174="",0,SUMIFS('Zoho Dump'!$X$8:$X$3007,'Zoho Dump'!$N$8:$N$3007,$B174,'Zoho Dump'!$P$8:$P$3007,Settings!$A$17)+SUMIFS(Adjustments!$K$8:$K$207,Adjustments!$B$8:$B$207,$B174,Adjustments!$A$8:$A$207,Settings!$A$17))</f>
        <v>0</v>
      </c>
      <c r="Q174" s="17" t="n">
        <f aca="false">IF($B174="",0,SUMIFS('Zoho Dump'!$X$8:$X$3007,'Zoho Dump'!$N$8:$N$3007,$B174,'Zoho Dump'!$P$8:$P$3007,Settings!$A$18)+SUMIFS(Adjustments!$K$8:$K$207,Adjustments!$B$8:$B$207,$B174,Adjustments!$A$8:$A$207,Settings!$A$18))</f>
        <v>0</v>
      </c>
      <c r="R174" s="30" t="str">
        <f aca="false">IF(G174&gt;0,G174+A174/10000000,"")</f>
        <v/>
      </c>
    </row>
    <row r="175" customFormat="false" ht="15" hidden="false" customHeight="false" outlineLevel="0" collapsed="false">
      <c r="A175" s="9" t="n">
        <v>171</v>
      </c>
      <c r="B175" s="9" t="str">
        <f aca="false">IFERROR(INDEX('Zoho Dump'!$N$8:$N$3007,MATCH(A175,'Zoho Dump'!$AB$8:$AB$3007,0)),"")</f>
        <v/>
      </c>
      <c r="C175" s="17" t="n">
        <f aca="false">IF($B175="",0,SUMIFS('Zoho Dump'!$Q$8:$Q$3007,'Zoho Dump'!$N$8:$N$3007,$B175,'Zoho Dump'!$T$8:$T$3007,"Delivered",'Zoho Dump'!$R$8:$R$3007,"&gt;="&amp;Settings!$B$4))</f>
        <v>0</v>
      </c>
      <c r="D175" s="17" t="n">
        <f aca="false">IF($B175="",0,SUMIFS('Zoho Dump'!$X$8:$X$3007,'Zoho Dump'!$N$8:$N$3007,$B175,'Zoho Dump'!$T$8:$T$3007,"Backlog")+SUMIFS(Adjustments!$K$8:$K$207,Adjustments!$B$8:$B$207,$B175,Adjustments!$H$8:$H$207,"Backlog"))</f>
        <v>0</v>
      </c>
      <c r="E175" s="17" t="n">
        <f aca="false">IF($B175="",0,SUMIFS('Zoho Dump'!$Y$8:$Y$3007,'Zoho Dump'!$N$8:$N$3007,$B175,'Zoho Dump'!$T$8:$T$3007,"Pipeline")+SUMIFS(Adjustments!$L$8:$L$207,Adjustments!$B$8:$B$207,$B175,Adjustments!$H$8:$H$207,"Pipeline")+SUMIFS('Zoho Dump'!$Y$8:$Y$3007,'Zoho Dump'!$N$8:$N$3007,$B175,'Zoho Dump'!$T$8:$T$3007,"Overdue")+SUMIFS(Adjustments!$L$8:$L$207,Adjustments!$B$8:$B$207,$B175,Adjustments!$H$8:$H$207,"Overdue"))</f>
        <v>0</v>
      </c>
      <c r="F175" s="17" t="n">
        <f aca="false">IF($B175="",0,SUMIFS('Zoho Dump'!$X$8:$X$3007,'Zoho Dump'!$N$8:$N$3007,$B175,'Zoho Dump'!$T$8:$T$3007,"Pipeline")+SUMIFS(Adjustments!$K$8:$K$207,Adjustments!$B$8:$B$207,$B175,Adjustments!$H$8:$H$207,"Pipeline")+SUMIFS('Zoho Dump'!$X$8:$X$3007,'Zoho Dump'!$N$8:$N$3007,$B175,'Zoho Dump'!$T$8:$T$3007,"Overdue")+SUMIFS(Adjustments!$K$8:$K$207,Adjustments!$B$8:$B$207,$B175,Adjustments!$H$8:$H$207,"Overdue"))</f>
        <v>0</v>
      </c>
      <c r="G175" s="17" t="n">
        <f aca="false">D175+F175</f>
        <v>0</v>
      </c>
      <c r="H175" s="18" t="n">
        <f aca="false">IF(SUM($G$5:$G$404)=0,0,G175/SUM($G$5:$G$404))</f>
        <v>0</v>
      </c>
      <c r="I175" s="17" t="n">
        <f aca="false">IF($B175="",0,SUMIFS('Zoho Dump'!$Q$8:$Q$3007,'Zoho Dump'!$N$8:$N$3007,$B175,'Zoho Dump'!$T$8:$T$3007,"Lost",'Zoho Dump'!$R$8:$R$3007,"&gt;="&amp;Settings!$B$4))</f>
        <v>0</v>
      </c>
      <c r="J175" s="9" t="str">
        <f aca="false">IF($B175="","",IF(COUNTIF(Dashboard!$C$13:$C$22,$B175)&gt;0,"Yes",""))</f>
        <v/>
      </c>
      <c r="K175" s="17" t="n">
        <f aca="false">IF($B175="",0,SUMIFS('Zoho Dump'!$X$8:$X$3007,'Zoho Dump'!$N$8:$N$3007,$B175,'Zoho Dump'!$P$8:$P$3007,Settings!$A$12)+SUMIFS(Adjustments!$K$8:$K$207,Adjustments!$B$8:$B$207,$B175,Adjustments!$A$8:$A$207,Settings!$A$12))</f>
        <v>0</v>
      </c>
      <c r="L175" s="17" t="n">
        <f aca="false">IF($B175="",0,SUMIFS('Zoho Dump'!$X$8:$X$3007,'Zoho Dump'!$N$8:$N$3007,$B175,'Zoho Dump'!$P$8:$P$3007,Settings!$A$13)+SUMIFS(Adjustments!$K$8:$K$207,Adjustments!$B$8:$B$207,$B175,Adjustments!$A$8:$A$207,Settings!$A$13))</f>
        <v>0</v>
      </c>
      <c r="M175" s="17" t="n">
        <f aca="false">IF($B175="",0,SUMIFS('Zoho Dump'!$X$8:$X$3007,'Zoho Dump'!$N$8:$N$3007,$B175,'Zoho Dump'!$P$8:$P$3007,Settings!$A$14)+SUMIFS(Adjustments!$K$8:$K$207,Adjustments!$B$8:$B$207,$B175,Adjustments!$A$8:$A$207,Settings!$A$14))</f>
        <v>0</v>
      </c>
      <c r="N175" s="17" t="n">
        <f aca="false">IF($B175="",0,SUMIFS('Zoho Dump'!$X$8:$X$3007,'Zoho Dump'!$N$8:$N$3007,$B175,'Zoho Dump'!$P$8:$P$3007,Settings!$A$15)+SUMIFS(Adjustments!$K$8:$K$207,Adjustments!$B$8:$B$207,$B175,Adjustments!$A$8:$A$207,Settings!$A$15))</f>
        <v>0</v>
      </c>
      <c r="O175" s="17" t="n">
        <f aca="false">IF($B175="",0,SUMIFS('Zoho Dump'!$X$8:$X$3007,'Zoho Dump'!$N$8:$N$3007,$B175,'Zoho Dump'!$P$8:$P$3007,Settings!$A$16)+SUMIFS(Adjustments!$K$8:$K$207,Adjustments!$B$8:$B$207,$B175,Adjustments!$A$8:$A$207,Settings!$A$16))</f>
        <v>0</v>
      </c>
      <c r="P175" s="17" t="n">
        <f aca="false">IF($B175="",0,SUMIFS('Zoho Dump'!$X$8:$X$3007,'Zoho Dump'!$N$8:$N$3007,$B175,'Zoho Dump'!$P$8:$P$3007,Settings!$A$17)+SUMIFS(Adjustments!$K$8:$K$207,Adjustments!$B$8:$B$207,$B175,Adjustments!$A$8:$A$207,Settings!$A$17))</f>
        <v>0</v>
      </c>
      <c r="Q175" s="17" t="n">
        <f aca="false">IF($B175="",0,SUMIFS('Zoho Dump'!$X$8:$X$3007,'Zoho Dump'!$N$8:$N$3007,$B175,'Zoho Dump'!$P$8:$P$3007,Settings!$A$18)+SUMIFS(Adjustments!$K$8:$K$207,Adjustments!$B$8:$B$207,$B175,Adjustments!$A$8:$A$207,Settings!$A$18))</f>
        <v>0</v>
      </c>
      <c r="R175" s="30" t="str">
        <f aca="false">IF(G175&gt;0,G175+A175/10000000,"")</f>
        <v/>
      </c>
    </row>
    <row r="176" customFormat="false" ht="15" hidden="false" customHeight="false" outlineLevel="0" collapsed="false">
      <c r="A176" s="9" t="n">
        <v>172</v>
      </c>
      <c r="B176" s="9" t="str">
        <f aca="false">IFERROR(INDEX('Zoho Dump'!$N$8:$N$3007,MATCH(A176,'Zoho Dump'!$AB$8:$AB$3007,0)),"")</f>
        <v/>
      </c>
      <c r="C176" s="17" t="n">
        <f aca="false">IF($B176="",0,SUMIFS('Zoho Dump'!$Q$8:$Q$3007,'Zoho Dump'!$N$8:$N$3007,$B176,'Zoho Dump'!$T$8:$T$3007,"Delivered",'Zoho Dump'!$R$8:$R$3007,"&gt;="&amp;Settings!$B$4))</f>
        <v>0</v>
      </c>
      <c r="D176" s="17" t="n">
        <f aca="false">IF($B176="",0,SUMIFS('Zoho Dump'!$X$8:$X$3007,'Zoho Dump'!$N$8:$N$3007,$B176,'Zoho Dump'!$T$8:$T$3007,"Backlog")+SUMIFS(Adjustments!$K$8:$K$207,Adjustments!$B$8:$B$207,$B176,Adjustments!$H$8:$H$207,"Backlog"))</f>
        <v>0</v>
      </c>
      <c r="E176" s="17" t="n">
        <f aca="false">IF($B176="",0,SUMIFS('Zoho Dump'!$Y$8:$Y$3007,'Zoho Dump'!$N$8:$N$3007,$B176,'Zoho Dump'!$T$8:$T$3007,"Pipeline")+SUMIFS(Adjustments!$L$8:$L$207,Adjustments!$B$8:$B$207,$B176,Adjustments!$H$8:$H$207,"Pipeline")+SUMIFS('Zoho Dump'!$Y$8:$Y$3007,'Zoho Dump'!$N$8:$N$3007,$B176,'Zoho Dump'!$T$8:$T$3007,"Overdue")+SUMIFS(Adjustments!$L$8:$L$207,Adjustments!$B$8:$B$207,$B176,Adjustments!$H$8:$H$207,"Overdue"))</f>
        <v>0</v>
      </c>
      <c r="F176" s="17" t="n">
        <f aca="false">IF($B176="",0,SUMIFS('Zoho Dump'!$X$8:$X$3007,'Zoho Dump'!$N$8:$N$3007,$B176,'Zoho Dump'!$T$8:$T$3007,"Pipeline")+SUMIFS(Adjustments!$K$8:$K$207,Adjustments!$B$8:$B$207,$B176,Adjustments!$H$8:$H$207,"Pipeline")+SUMIFS('Zoho Dump'!$X$8:$X$3007,'Zoho Dump'!$N$8:$N$3007,$B176,'Zoho Dump'!$T$8:$T$3007,"Overdue")+SUMIFS(Adjustments!$K$8:$K$207,Adjustments!$B$8:$B$207,$B176,Adjustments!$H$8:$H$207,"Overdue"))</f>
        <v>0</v>
      </c>
      <c r="G176" s="17" t="n">
        <f aca="false">D176+F176</f>
        <v>0</v>
      </c>
      <c r="H176" s="18" t="n">
        <f aca="false">IF(SUM($G$5:$G$404)=0,0,G176/SUM($G$5:$G$404))</f>
        <v>0</v>
      </c>
      <c r="I176" s="17" t="n">
        <f aca="false">IF($B176="",0,SUMIFS('Zoho Dump'!$Q$8:$Q$3007,'Zoho Dump'!$N$8:$N$3007,$B176,'Zoho Dump'!$T$8:$T$3007,"Lost",'Zoho Dump'!$R$8:$R$3007,"&gt;="&amp;Settings!$B$4))</f>
        <v>0</v>
      </c>
      <c r="J176" s="9" t="str">
        <f aca="false">IF($B176="","",IF(COUNTIF(Dashboard!$C$13:$C$22,$B176)&gt;0,"Yes",""))</f>
        <v/>
      </c>
      <c r="K176" s="17" t="n">
        <f aca="false">IF($B176="",0,SUMIFS('Zoho Dump'!$X$8:$X$3007,'Zoho Dump'!$N$8:$N$3007,$B176,'Zoho Dump'!$P$8:$P$3007,Settings!$A$12)+SUMIFS(Adjustments!$K$8:$K$207,Adjustments!$B$8:$B$207,$B176,Adjustments!$A$8:$A$207,Settings!$A$12))</f>
        <v>0</v>
      </c>
      <c r="L176" s="17" t="n">
        <f aca="false">IF($B176="",0,SUMIFS('Zoho Dump'!$X$8:$X$3007,'Zoho Dump'!$N$8:$N$3007,$B176,'Zoho Dump'!$P$8:$P$3007,Settings!$A$13)+SUMIFS(Adjustments!$K$8:$K$207,Adjustments!$B$8:$B$207,$B176,Adjustments!$A$8:$A$207,Settings!$A$13))</f>
        <v>0</v>
      </c>
      <c r="M176" s="17" t="n">
        <f aca="false">IF($B176="",0,SUMIFS('Zoho Dump'!$X$8:$X$3007,'Zoho Dump'!$N$8:$N$3007,$B176,'Zoho Dump'!$P$8:$P$3007,Settings!$A$14)+SUMIFS(Adjustments!$K$8:$K$207,Adjustments!$B$8:$B$207,$B176,Adjustments!$A$8:$A$207,Settings!$A$14))</f>
        <v>0</v>
      </c>
      <c r="N176" s="17" t="n">
        <f aca="false">IF($B176="",0,SUMIFS('Zoho Dump'!$X$8:$X$3007,'Zoho Dump'!$N$8:$N$3007,$B176,'Zoho Dump'!$P$8:$P$3007,Settings!$A$15)+SUMIFS(Adjustments!$K$8:$K$207,Adjustments!$B$8:$B$207,$B176,Adjustments!$A$8:$A$207,Settings!$A$15))</f>
        <v>0</v>
      </c>
      <c r="O176" s="17" t="n">
        <f aca="false">IF($B176="",0,SUMIFS('Zoho Dump'!$X$8:$X$3007,'Zoho Dump'!$N$8:$N$3007,$B176,'Zoho Dump'!$P$8:$P$3007,Settings!$A$16)+SUMIFS(Adjustments!$K$8:$K$207,Adjustments!$B$8:$B$207,$B176,Adjustments!$A$8:$A$207,Settings!$A$16))</f>
        <v>0</v>
      </c>
      <c r="P176" s="17" t="n">
        <f aca="false">IF($B176="",0,SUMIFS('Zoho Dump'!$X$8:$X$3007,'Zoho Dump'!$N$8:$N$3007,$B176,'Zoho Dump'!$P$8:$P$3007,Settings!$A$17)+SUMIFS(Adjustments!$K$8:$K$207,Adjustments!$B$8:$B$207,$B176,Adjustments!$A$8:$A$207,Settings!$A$17))</f>
        <v>0</v>
      </c>
      <c r="Q176" s="17" t="n">
        <f aca="false">IF($B176="",0,SUMIFS('Zoho Dump'!$X$8:$X$3007,'Zoho Dump'!$N$8:$N$3007,$B176,'Zoho Dump'!$P$8:$P$3007,Settings!$A$18)+SUMIFS(Adjustments!$K$8:$K$207,Adjustments!$B$8:$B$207,$B176,Adjustments!$A$8:$A$207,Settings!$A$18))</f>
        <v>0</v>
      </c>
      <c r="R176" s="30" t="str">
        <f aca="false">IF(G176&gt;0,G176+A176/10000000,"")</f>
        <v/>
      </c>
    </row>
    <row r="177" customFormat="false" ht="15" hidden="false" customHeight="false" outlineLevel="0" collapsed="false">
      <c r="A177" s="9" t="n">
        <v>173</v>
      </c>
      <c r="B177" s="9" t="str">
        <f aca="false">IFERROR(INDEX('Zoho Dump'!$N$8:$N$3007,MATCH(A177,'Zoho Dump'!$AB$8:$AB$3007,0)),"")</f>
        <v/>
      </c>
      <c r="C177" s="17" t="n">
        <f aca="false">IF($B177="",0,SUMIFS('Zoho Dump'!$Q$8:$Q$3007,'Zoho Dump'!$N$8:$N$3007,$B177,'Zoho Dump'!$T$8:$T$3007,"Delivered",'Zoho Dump'!$R$8:$R$3007,"&gt;="&amp;Settings!$B$4))</f>
        <v>0</v>
      </c>
      <c r="D177" s="17" t="n">
        <f aca="false">IF($B177="",0,SUMIFS('Zoho Dump'!$X$8:$X$3007,'Zoho Dump'!$N$8:$N$3007,$B177,'Zoho Dump'!$T$8:$T$3007,"Backlog")+SUMIFS(Adjustments!$K$8:$K$207,Adjustments!$B$8:$B$207,$B177,Adjustments!$H$8:$H$207,"Backlog"))</f>
        <v>0</v>
      </c>
      <c r="E177" s="17" t="n">
        <f aca="false">IF($B177="",0,SUMIFS('Zoho Dump'!$Y$8:$Y$3007,'Zoho Dump'!$N$8:$N$3007,$B177,'Zoho Dump'!$T$8:$T$3007,"Pipeline")+SUMIFS(Adjustments!$L$8:$L$207,Adjustments!$B$8:$B$207,$B177,Adjustments!$H$8:$H$207,"Pipeline")+SUMIFS('Zoho Dump'!$Y$8:$Y$3007,'Zoho Dump'!$N$8:$N$3007,$B177,'Zoho Dump'!$T$8:$T$3007,"Overdue")+SUMIFS(Adjustments!$L$8:$L$207,Adjustments!$B$8:$B$207,$B177,Adjustments!$H$8:$H$207,"Overdue"))</f>
        <v>0</v>
      </c>
      <c r="F177" s="17" t="n">
        <f aca="false">IF($B177="",0,SUMIFS('Zoho Dump'!$X$8:$X$3007,'Zoho Dump'!$N$8:$N$3007,$B177,'Zoho Dump'!$T$8:$T$3007,"Pipeline")+SUMIFS(Adjustments!$K$8:$K$207,Adjustments!$B$8:$B$207,$B177,Adjustments!$H$8:$H$207,"Pipeline")+SUMIFS('Zoho Dump'!$X$8:$X$3007,'Zoho Dump'!$N$8:$N$3007,$B177,'Zoho Dump'!$T$8:$T$3007,"Overdue")+SUMIFS(Adjustments!$K$8:$K$207,Adjustments!$B$8:$B$207,$B177,Adjustments!$H$8:$H$207,"Overdue"))</f>
        <v>0</v>
      </c>
      <c r="G177" s="17" t="n">
        <f aca="false">D177+F177</f>
        <v>0</v>
      </c>
      <c r="H177" s="18" t="n">
        <f aca="false">IF(SUM($G$5:$G$404)=0,0,G177/SUM($G$5:$G$404))</f>
        <v>0</v>
      </c>
      <c r="I177" s="17" t="n">
        <f aca="false">IF($B177="",0,SUMIFS('Zoho Dump'!$Q$8:$Q$3007,'Zoho Dump'!$N$8:$N$3007,$B177,'Zoho Dump'!$T$8:$T$3007,"Lost",'Zoho Dump'!$R$8:$R$3007,"&gt;="&amp;Settings!$B$4))</f>
        <v>0</v>
      </c>
      <c r="J177" s="9" t="str">
        <f aca="false">IF($B177="","",IF(COUNTIF(Dashboard!$C$13:$C$22,$B177)&gt;0,"Yes",""))</f>
        <v/>
      </c>
      <c r="K177" s="17" t="n">
        <f aca="false">IF($B177="",0,SUMIFS('Zoho Dump'!$X$8:$X$3007,'Zoho Dump'!$N$8:$N$3007,$B177,'Zoho Dump'!$P$8:$P$3007,Settings!$A$12)+SUMIFS(Adjustments!$K$8:$K$207,Adjustments!$B$8:$B$207,$B177,Adjustments!$A$8:$A$207,Settings!$A$12))</f>
        <v>0</v>
      </c>
      <c r="L177" s="17" t="n">
        <f aca="false">IF($B177="",0,SUMIFS('Zoho Dump'!$X$8:$X$3007,'Zoho Dump'!$N$8:$N$3007,$B177,'Zoho Dump'!$P$8:$P$3007,Settings!$A$13)+SUMIFS(Adjustments!$K$8:$K$207,Adjustments!$B$8:$B$207,$B177,Adjustments!$A$8:$A$207,Settings!$A$13))</f>
        <v>0</v>
      </c>
      <c r="M177" s="17" t="n">
        <f aca="false">IF($B177="",0,SUMIFS('Zoho Dump'!$X$8:$X$3007,'Zoho Dump'!$N$8:$N$3007,$B177,'Zoho Dump'!$P$8:$P$3007,Settings!$A$14)+SUMIFS(Adjustments!$K$8:$K$207,Adjustments!$B$8:$B$207,$B177,Adjustments!$A$8:$A$207,Settings!$A$14))</f>
        <v>0</v>
      </c>
      <c r="N177" s="17" t="n">
        <f aca="false">IF($B177="",0,SUMIFS('Zoho Dump'!$X$8:$X$3007,'Zoho Dump'!$N$8:$N$3007,$B177,'Zoho Dump'!$P$8:$P$3007,Settings!$A$15)+SUMIFS(Adjustments!$K$8:$K$207,Adjustments!$B$8:$B$207,$B177,Adjustments!$A$8:$A$207,Settings!$A$15))</f>
        <v>0</v>
      </c>
      <c r="O177" s="17" t="n">
        <f aca="false">IF($B177="",0,SUMIFS('Zoho Dump'!$X$8:$X$3007,'Zoho Dump'!$N$8:$N$3007,$B177,'Zoho Dump'!$P$8:$P$3007,Settings!$A$16)+SUMIFS(Adjustments!$K$8:$K$207,Adjustments!$B$8:$B$207,$B177,Adjustments!$A$8:$A$207,Settings!$A$16))</f>
        <v>0</v>
      </c>
      <c r="P177" s="17" t="n">
        <f aca="false">IF($B177="",0,SUMIFS('Zoho Dump'!$X$8:$X$3007,'Zoho Dump'!$N$8:$N$3007,$B177,'Zoho Dump'!$P$8:$P$3007,Settings!$A$17)+SUMIFS(Adjustments!$K$8:$K$207,Adjustments!$B$8:$B$207,$B177,Adjustments!$A$8:$A$207,Settings!$A$17))</f>
        <v>0</v>
      </c>
      <c r="Q177" s="17" t="n">
        <f aca="false">IF($B177="",0,SUMIFS('Zoho Dump'!$X$8:$X$3007,'Zoho Dump'!$N$8:$N$3007,$B177,'Zoho Dump'!$P$8:$P$3007,Settings!$A$18)+SUMIFS(Adjustments!$K$8:$K$207,Adjustments!$B$8:$B$207,$B177,Adjustments!$A$8:$A$207,Settings!$A$18))</f>
        <v>0</v>
      </c>
      <c r="R177" s="30" t="str">
        <f aca="false">IF(G177&gt;0,G177+A177/10000000,"")</f>
        <v/>
      </c>
    </row>
    <row r="178" customFormat="false" ht="15" hidden="false" customHeight="false" outlineLevel="0" collapsed="false">
      <c r="A178" s="9" t="n">
        <v>174</v>
      </c>
      <c r="B178" s="9" t="str">
        <f aca="false">IFERROR(INDEX('Zoho Dump'!$N$8:$N$3007,MATCH(A178,'Zoho Dump'!$AB$8:$AB$3007,0)),"")</f>
        <v/>
      </c>
      <c r="C178" s="17" t="n">
        <f aca="false">IF($B178="",0,SUMIFS('Zoho Dump'!$Q$8:$Q$3007,'Zoho Dump'!$N$8:$N$3007,$B178,'Zoho Dump'!$T$8:$T$3007,"Delivered",'Zoho Dump'!$R$8:$R$3007,"&gt;="&amp;Settings!$B$4))</f>
        <v>0</v>
      </c>
      <c r="D178" s="17" t="n">
        <f aca="false">IF($B178="",0,SUMIFS('Zoho Dump'!$X$8:$X$3007,'Zoho Dump'!$N$8:$N$3007,$B178,'Zoho Dump'!$T$8:$T$3007,"Backlog")+SUMIFS(Adjustments!$K$8:$K$207,Adjustments!$B$8:$B$207,$B178,Adjustments!$H$8:$H$207,"Backlog"))</f>
        <v>0</v>
      </c>
      <c r="E178" s="17" t="n">
        <f aca="false">IF($B178="",0,SUMIFS('Zoho Dump'!$Y$8:$Y$3007,'Zoho Dump'!$N$8:$N$3007,$B178,'Zoho Dump'!$T$8:$T$3007,"Pipeline")+SUMIFS(Adjustments!$L$8:$L$207,Adjustments!$B$8:$B$207,$B178,Adjustments!$H$8:$H$207,"Pipeline")+SUMIFS('Zoho Dump'!$Y$8:$Y$3007,'Zoho Dump'!$N$8:$N$3007,$B178,'Zoho Dump'!$T$8:$T$3007,"Overdue")+SUMIFS(Adjustments!$L$8:$L$207,Adjustments!$B$8:$B$207,$B178,Adjustments!$H$8:$H$207,"Overdue"))</f>
        <v>0</v>
      </c>
      <c r="F178" s="17" t="n">
        <f aca="false">IF($B178="",0,SUMIFS('Zoho Dump'!$X$8:$X$3007,'Zoho Dump'!$N$8:$N$3007,$B178,'Zoho Dump'!$T$8:$T$3007,"Pipeline")+SUMIFS(Adjustments!$K$8:$K$207,Adjustments!$B$8:$B$207,$B178,Adjustments!$H$8:$H$207,"Pipeline")+SUMIFS('Zoho Dump'!$X$8:$X$3007,'Zoho Dump'!$N$8:$N$3007,$B178,'Zoho Dump'!$T$8:$T$3007,"Overdue")+SUMIFS(Adjustments!$K$8:$K$207,Adjustments!$B$8:$B$207,$B178,Adjustments!$H$8:$H$207,"Overdue"))</f>
        <v>0</v>
      </c>
      <c r="G178" s="17" t="n">
        <f aca="false">D178+F178</f>
        <v>0</v>
      </c>
      <c r="H178" s="18" t="n">
        <f aca="false">IF(SUM($G$5:$G$404)=0,0,G178/SUM($G$5:$G$404))</f>
        <v>0</v>
      </c>
      <c r="I178" s="17" t="n">
        <f aca="false">IF($B178="",0,SUMIFS('Zoho Dump'!$Q$8:$Q$3007,'Zoho Dump'!$N$8:$N$3007,$B178,'Zoho Dump'!$T$8:$T$3007,"Lost",'Zoho Dump'!$R$8:$R$3007,"&gt;="&amp;Settings!$B$4))</f>
        <v>0</v>
      </c>
      <c r="J178" s="9" t="str">
        <f aca="false">IF($B178="","",IF(COUNTIF(Dashboard!$C$13:$C$22,$B178)&gt;0,"Yes",""))</f>
        <v/>
      </c>
      <c r="K178" s="17" t="n">
        <f aca="false">IF($B178="",0,SUMIFS('Zoho Dump'!$X$8:$X$3007,'Zoho Dump'!$N$8:$N$3007,$B178,'Zoho Dump'!$P$8:$P$3007,Settings!$A$12)+SUMIFS(Adjustments!$K$8:$K$207,Adjustments!$B$8:$B$207,$B178,Adjustments!$A$8:$A$207,Settings!$A$12))</f>
        <v>0</v>
      </c>
      <c r="L178" s="17" t="n">
        <f aca="false">IF($B178="",0,SUMIFS('Zoho Dump'!$X$8:$X$3007,'Zoho Dump'!$N$8:$N$3007,$B178,'Zoho Dump'!$P$8:$P$3007,Settings!$A$13)+SUMIFS(Adjustments!$K$8:$K$207,Adjustments!$B$8:$B$207,$B178,Adjustments!$A$8:$A$207,Settings!$A$13))</f>
        <v>0</v>
      </c>
      <c r="M178" s="17" t="n">
        <f aca="false">IF($B178="",0,SUMIFS('Zoho Dump'!$X$8:$X$3007,'Zoho Dump'!$N$8:$N$3007,$B178,'Zoho Dump'!$P$8:$P$3007,Settings!$A$14)+SUMIFS(Adjustments!$K$8:$K$207,Adjustments!$B$8:$B$207,$B178,Adjustments!$A$8:$A$207,Settings!$A$14))</f>
        <v>0</v>
      </c>
      <c r="N178" s="17" t="n">
        <f aca="false">IF($B178="",0,SUMIFS('Zoho Dump'!$X$8:$X$3007,'Zoho Dump'!$N$8:$N$3007,$B178,'Zoho Dump'!$P$8:$P$3007,Settings!$A$15)+SUMIFS(Adjustments!$K$8:$K$207,Adjustments!$B$8:$B$207,$B178,Adjustments!$A$8:$A$207,Settings!$A$15))</f>
        <v>0</v>
      </c>
      <c r="O178" s="17" t="n">
        <f aca="false">IF($B178="",0,SUMIFS('Zoho Dump'!$X$8:$X$3007,'Zoho Dump'!$N$8:$N$3007,$B178,'Zoho Dump'!$P$8:$P$3007,Settings!$A$16)+SUMIFS(Adjustments!$K$8:$K$207,Adjustments!$B$8:$B$207,$B178,Adjustments!$A$8:$A$207,Settings!$A$16))</f>
        <v>0</v>
      </c>
      <c r="P178" s="17" t="n">
        <f aca="false">IF($B178="",0,SUMIFS('Zoho Dump'!$X$8:$X$3007,'Zoho Dump'!$N$8:$N$3007,$B178,'Zoho Dump'!$P$8:$P$3007,Settings!$A$17)+SUMIFS(Adjustments!$K$8:$K$207,Adjustments!$B$8:$B$207,$B178,Adjustments!$A$8:$A$207,Settings!$A$17))</f>
        <v>0</v>
      </c>
      <c r="Q178" s="17" t="n">
        <f aca="false">IF($B178="",0,SUMIFS('Zoho Dump'!$X$8:$X$3007,'Zoho Dump'!$N$8:$N$3007,$B178,'Zoho Dump'!$P$8:$P$3007,Settings!$A$18)+SUMIFS(Adjustments!$K$8:$K$207,Adjustments!$B$8:$B$207,$B178,Adjustments!$A$8:$A$207,Settings!$A$18))</f>
        <v>0</v>
      </c>
      <c r="R178" s="30" t="str">
        <f aca="false">IF(G178&gt;0,G178+A178/10000000,"")</f>
        <v/>
      </c>
    </row>
    <row r="179" customFormat="false" ht="15" hidden="false" customHeight="false" outlineLevel="0" collapsed="false">
      <c r="A179" s="9" t="n">
        <v>175</v>
      </c>
      <c r="B179" s="9" t="str">
        <f aca="false">IFERROR(INDEX('Zoho Dump'!$N$8:$N$3007,MATCH(A179,'Zoho Dump'!$AB$8:$AB$3007,0)),"")</f>
        <v/>
      </c>
      <c r="C179" s="17" t="n">
        <f aca="false">IF($B179="",0,SUMIFS('Zoho Dump'!$Q$8:$Q$3007,'Zoho Dump'!$N$8:$N$3007,$B179,'Zoho Dump'!$T$8:$T$3007,"Delivered",'Zoho Dump'!$R$8:$R$3007,"&gt;="&amp;Settings!$B$4))</f>
        <v>0</v>
      </c>
      <c r="D179" s="17" t="n">
        <f aca="false">IF($B179="",0,SUMIFS('Zoho Dump'!$X$8:$X$3007,'Zoho Dump'!$N$8:$N$3007,$B179,'Zoho Dump'!$T$8:$T$3007,"Backlog")+SUMIFS(Adjustments!$K$8:$K$207,Adjustments!$B$8:$B$207,$B179,Adjustments!$H$8:$H$207,"Backlog"))</f>
        <v>0</v>
      </c>
      <c r="E179" s="17" t="n">
        <f aca="false">IF($B179="",0,SUMIFS('Zoho Dump'!$Y$8:$Y$3007,'Zoho Dump'!$N$8:$N$3007,$B179,'Zoho Dump'!$T$8:$T$3007,"Pipeline")+SUMIFS(Adjustments!$L$8:$L$207,Adjustments!$B$8:$B$207,$B179,Adjustments!$H$8:$H$207,"Pipeline")+SUMIFS('Zoho Dump'!$Y$8:$Y$3007,'Zoho Dump'!$N$8:$N$3007,$B179,'Zoho Dump'!$T$8:$T$3007,"Overdue")+SUMIFS(Adjustments!$L$8:$L$207,Adjustments!$B$8:$B$207,$B179,Adjustments!$H$8:$H$207,"Overdue"))</f>
        <v>0</v>
      </c>
      <c r="F179" s="17" t="n">
        <f aca="false">IF($B179="",0,SUMIFS('Zoho Dump'!$X$8:$X$3007,'Zoho Dump'!$N$8:$N$3007,$B179,'Zoho Dump'!$T$8:$T$3007,"Pipeline")+SUMIFS(Adjustments!$K$8:$K$207,Adjustments!$B$8:$B$207,$B179,Adjustments!$H$8:$H$207,"Pipeline")+SUMIFS('Zoho Dump'!$X$8:$X$3007,'Zoho Dump'!$N$8:$N$3007,$B179,'Zoho Dump'!$T$8:$T$3007,"Overdue")+SUMIFS(Adjustments!$K$8:$K$207,Adjustments!$B$8:$B$207,$B179,Adjustments!$H$8:$H$207,"Overdue"))</f>
        <v>0</v>
      </c>
      <c r="G179" s="17" t="n">
        <f aca="false">D179+F179</f>
        <v>0</v>
      </c>
      <c r="H179" s="18" t="n">
        <f aca="false">IF(SUM($G$5:$G$404)=0,0,G179/SUM($G$5:$G$404))</f>
        <v>0</v>
      </c>
      <c r="I179" s="17" t="n">
        <f aca="false">IF($B179="",0,SUMIFS('Zoho Dump'!$Q$8:$Q$3007,'Zoho Dump'!$N$8:$N$3007,$B179,'Zoho Dump'!$T$8:$T$3007,"Lost",'Zoho Dump'!$R$8:$R$3007,"&gt;="&amp;Settings!$B$4))</f>
        <v>0</v>
      </c>
      <c r="J179" s="9" t="str">
        <f aca="false">IF($B179="","",IF(COUNTIF(Dashboard!$C$13:$C$22,$B179)&gt;0,"Yes",""))</f>
        <v/>
      </c>
      <c r="K179" s="17" t="n">
        <f aca="false">IF($B179="",0,SUMIFS('Zoho Dump'!$X$8:$X$3007,'Zoho Dump'!$N$8:$N$3007,$B179,'Zoho Dump'!$P$8:$P$3007,Settings!$A$12)+SUMIFS(Adjustments!$K$8:$K$207,Adjustments!$B$8:$B$207,$B179,Adjustments!$A$8:$A$207,Settings!$A$12))</f>
        <v>0</v>
      </c>
      <c r="L179" s="17" t="n">
        <f aca="false">IF($B179="",0,SUMIFS('Zoho Dump'!$X$8:$X$3007,'Zoho Dump'!$N$8:$N$3007,$B179,'Zoho Dump'!$P$8:$P$3007,Settings!$A$13)+SUMIFS(Adjustments!$K$8:$K$207,Adjustments!$B$8:$B$207,$B179,Adjustments!$A$8:$A$207,Settings!$A$13))</f>
        <v>0</v>
      </c>
      <c r="M179" s="17" t="n">
        <f aca="false">IF($B179="",0,SUMIFS('Zoho Dump'!$X$8:$X$3007,'Zoho Dump'!$N$8:$N$3007,$B179,'Zoho Dump'!$P$8:$P$3007,Settings!$A$14)+SUMIFS(Adjustments!$K$8:$K$207,Adjustments!$B$8:$B$207,$B179,Adjustments!$A$8:$A$207,Settings!$A$14))</f>
        <v>0</v>
      </c>
      <c r="N179" s="17" t="n">
        <f aca="false">IF($B179="",0,SUMIFS('Zoho Dump'!$X$8:$X$3007,'Zoho Dump'!$N$8:$N$3007,$B179,'Zoho Dump'!$P$8:$P$3007,Settings!$A$15)+SUMIFS(Adjustments!$K$8:$K$207,Adjustments!$B$8:$B$207,$B179,Adjustments!$A$8:$A$207,Settings!$A$15))</f>
        <v>0</v>
      </c>
      <c r="O179" s="17" t="n">
        <f aca="false">IF($B179="",0,SUMIFS('Zoho Dump'!$X$8:$X$3007,'Zoho Dump'!$N$8:$N$3007,$B179,'Zoho Dump'!$P$8:$P$3007,Settings!$A$16)+SUMIFS(Adjustments!$K$8:$K$207,Adjustments!$B$8:$B$207,$B179,Adjustments!$A$8:$A$207,Settings!$A$16))</f>
        <v>0</v>
      </c>
      <c r="P179" s="17" t="n">
        <f aca="false">IF($B179="",0,SUMIFS('Zoho Dump'!$X$8:$X$3007,'Zoho Dump'!$N$8:$N$3007,$B179,'Zoho Dump'!$P$8:$P$3007,Settings!$A$17)+SUMIFS(Adjustments!$K$8:$K$207,Adjustments!$B$8:$B$207,$B179,Adjustments!$A$8:$A$207,Settings!$A$17))</f>
        <v>0</v>
      </c>
      <c r="Q179" s="17" t="n">
        <f aca="false">IF($B179="",0,SUMIFS('Zoho Dump'!$X$8:$X$3007,'Zoho Dump'!$N$8:$N$3007,$B179,'Zoho Dump'!$P$8:$P$3007,Settings!$A$18)+SUMIFS(Adjustments!$K$8:$K$207,Adjustments!$B$8:$B$207,$B179,Adjustments!$A$8:$A$207,Settings!$A$18))</f>
        <v>0</v>
      </c>
      <c r="R179" s="30" t="str">
        <f aca="false">IF(G179&gt;0,G179+A179/10000000,"")</f>
        <v/>
      </c>
    </row>
    <row r="180" customFormat="false" ht="15" hidden="false" customHeight="false" outlineLevel="0" collapsed="false">
      <c r="A180" s="9" t="n">
        <v>176</v>
      </c>
      <c r="B180" s="9" t="str">
        <f aca="false">IFERROR(INDEX('Zoho Dump'!$N$8:$N$3007,MATCH(A180,'Zoho Dump'!$AB$8:$AB$3007,0)),"")</f>
        <v/>
      </c>
      <c r="C180" s="17" t="n">
        <f aca="false">IF($B180="",0,SUMIFS('Zoho Dump'!$Q$8:$Q$3007,'Zoho Dump'!$N$8:$N$3007,$B180,'Zoho Dump'!$T$8:$T$3007,"Delivered",'Zoho Dump'!$R$8:$R$3007,"&gt;="&amp;Settings!$B$4))</f>
        <v>0</v>
      </c>
      <c r="D180" s="17" t="n">
        <f aca="false">IF($B180="",0,SUMIFS('Zoho Dump'!$X$8:$X$3007,'Zoho Dump'!$N$8:$N$3007,$B180,'Zoho Dump'!$T$8:$T$3007,"Backlog")+SUMIFS(Adjustments!$K$8:$K$207,Adjustments!$B$8:$B$207,$B180,Adjustments!$H$8:$H$207,"Backlog"))</f>
        <v>0</v>
      </c>
      <c r="E180" s="17" t="n">
        <f aca="false">IF($B180="",0,SUMIFS('Zoho Dump'!$Y$8:$Y$3007,'Zoho Dump'!$N$8:$N$3007,$B180,'Zoho Dump'!$T$8:$T$3007,"Pipeline")+SUMIFS(Adjustments!$L$8:$L$207,Adjustments!$B$8:$B$207,$B180,Adjustments!$H$8:$H$207,"Pipeline")+SUMIFS('Zoho Dump'!$Y$8:$Y$3007,'Zoho Dump'!$N$8:$N$3007,$B180,'Zoho Dump'!$T$8:$T$3007,"Overdue")+SUMIFS(Adjustments!$L$8:$L$207,Adjustments!$B$8:$B$207,$B180,Adjustments!$H$8:$H$207,"Overdue"))</f>
        <v>0</v>
      </c>
      <c r="F180" s="17" t="n">
        <f aca="false">IF($B180="",0,SUMIFS('Zoho Dump'!$X$8:$X$3007,'Zoho Dump'!$N$8:$N$3007,$B180,'Zoho Dump'!$T$8:$T$3007,"Pipeline")+SUMIFS(Adjustments!$K$8:$K$207,Adjustments!$B$8:$B$207,$B180,Adjustments!$H$8:$H$207,"Pipeline")+SUMIFS('Zoho Dump'!$X$8:$X$3007,'Zoho Dump'!$N$8:$N$3007,$B180,'Zoho Dump'!$T$8:$T$3007,"Overdue")+SUMIFS(Adjustments!$K$8:$K$207,Adjustments!$B$8:$B$207,$B180,Adjustments!$H$8:$H$207,"Overdue"))</f>
        <v>0</v>
      </c>
      <c r="G180" s="17" t="n">
        <f aca="false">D180+F180</f>
        <v>0</v>
      </c>
      <c r="H180" s="18" t="n">
        <f aca="false">IF(SUM($G$5:$G$404)=0,0,G180/SUM($G$5:$G$404))</f>
        <v>0</v>
      </c>
      <c r="I180" s="17" t="n">
        <f aca="false">IF($B180="",0,SUMIFS('Zoho Dump'!$Q$8:$Q$3007,'Zoho Dump'!$N$8:$N$3007,$B180,'Zoho Dump'!$T$8:$T$3007,"Lost",'Zoho Dump'!$R$8:$R$3007,"&gt;="&amp;Settings!$B$4))</f>
        <v>0</v>
      </c>
      <c r="J180" s="9" t="str">
        <f aca="false">IF($B180="","",IF(COUNTIF(Dashboard!$C$13:$C$22,$B180)&gt;0,"Yes",""))</f>
        <v/>
      </c>
      <c r="K180" s="17" t="n">
        <f aca="false">IF($B180="",0,SUMIFS('Zoho Dump'!$X$8:$X$3007,'Zoho Dump'!$N$8:$N$3007,$B180,'Zoho Dump'!$P$8:$P$3007,Settings!$A$12)+SUMIFS(Adjustments!$K$8:$K$207,Adjustments!$B$8:$B$207,$B180,Adjustments!$A$8:$A$207,Settings!$A$12))</f>
        <v>0</v>
      </c>
      <c r="L180" s="17" t="n">
        <f aca="false">IF($B180="",0,SUMIFS('Zoho Dump'!$X$8:$X$3007,'Zoho Dump'!$N$8:$N$3007,$B180,'Zoho Dump'!$P$8:$P$3007,Settings!$A$13)+SUMIFS(Adjustments!$K$8:$K$207,Adjustments!$B$8:$B$207,$B180,Adjustments!$A$8:$A$207,Settings!$A$13))</f>
        <v>0</v>
      </c>
      <c r="M180" s="17" t="n">
        <f aca="false">IF($B180="",0,SUMIFS('Zoho Dump'!$X$8:$X$3007,'Zoho Dump'!$N$8:$N$3007,$B180,'Zoho Dump'!$P$8:$P$3007,Settings!$A$14)+SUMIFS(Adjustments!$K$8:$K$207,Adjustments!$B$8:$B$207,$B180,Adjustments!$A$8:$A$207,Settings!$A$14))</f>
        <v>0</v>
      </c>
      <c r="N180" s="17" t="n">
        <f aca="false">IF($B180="",0,SUMIFS('Zoho Dump'!$X$8:$X$3007,'Zoho Dump'!$N$8:$N$3007,$B180,'Zoho Dump'!$P$8:$P$3007,Settings!$A$15)+SUMIFS(Adjustments!$K$8:$K$207,Adjustments!$B$8:$B$207,$B180,Adjustments!$A$8:$A$207,Settings!$A$15))</f>
        <v>0</v>
      </c>
      <c r="O180" s="17" t="n">
        <f aca="false">IF($B180="",0,SUMIFS('Zoho Dump'!$X$8:$X$3007,'Zoho Dump'!$N$8:$N$3007,$B180,'Zoho Dump'!$P$8:$P$3007,Settings!$A$16)+SUMIFS(Adjustments!$K$8:$K$207,Adjustments!$B$8:$B$207,$B180,Adjustments!$A$8:$A$207,Settings!$A$16))</f>
        <v>0</v>
      </c>
      <c r="P180" s="17" t="n">
        <f aca="false">IF($B180="",0,SUMIFS('Zoho Dump'!$X$8:$X$3007,'Zoho Dump'!$N$8:$N$3007,$B180,'Zoho Dump'!$P$8:$P$3007,Settings!$A$17)+SUMIFS(Adjustments!$K$8:$K$207,Adjustments!$B$8:$B$207,$B180,Adjustments!$A$8:$A$207,Settings!$A$17))</f>
        <v>0</v>
      </c>
      <c r="Q180" s="17" t="n">
        <f aca="false">IF($B180="",0,SUMIFS('Zoho Dump'!$X$8:$X$3007,'Zoho Dump'!$N$8:$N$3007,$B180,'Zoho Dump'!$P$8:$P$3007,Settings!$A$18)+SUMIFS(Adjustments!$K$8:$K$207,Adjustments!$B$8:$B$207,$B180,Adjustments!$A$8:$A$207,Settings!$A$18))</f>
        <v>0</v>
      </c>
      <c r="R180" s="30" t="str">
        <f aca="false">IF(G180&gt;0,G180+A180/10000000,"")</f>
        <v/>
      </c>
    </row>
    <row r="181" customFormat="false" ht="15" hidden="false" customHeight="false" outlineLevel="0" collapsed="false">
      <c r="A181" s="9" t="n">
        <v>177</v>
      </c>
      <c r="B181" s="9" t="str">
        <f aca="false">IFERROR(INDEX('Zoho Dump'!$N$8:$N$3007,MATCH(A181,'Zoho Dump'!$AB$8:$AB$3007,0)),"")</f>
        <v/>
      </c>
      <c r="C181" s="17" t="n">
        <f aca="false">IF($B181="",0,SUMIFS('Zoho Dump'!$Q$8:$Q$3007,'Zoho Dump'!$N$8:$N$3007,$B181,'Zoho Dump'!$T$8:$T$3007,"Delivered",'Zoho Dump'!$R$8:$R$3007,"&gt;="&amp;Settings!$B$4))</f>
        <v>0</v>
      </c>
      <c r="D181" s="17" t="n">
        <f aca="false">IF($B181="",0,SUMIFS('Zoho Dump'!$X$8:$X$3007,'Zoho Dump'!$N$8:$N$3007,$B181,'Zoho Dump'!$T$8:$T$3007,"Backlog")+SUMIFS(Adjustments!$K$8:$K$207,Adjustments!$B$8:$B$207,$B181,Adjustments!$H$8:$H$207,"Backlog"))</f>
        <v>0</v>
      </c>
      <c r="E181" s="17" t="n">
        <f aca="false">IF($B181="",0,SUMIFS('Zoho Dump'!$Y$8:$Y$3007,'Zoho Dump'!$N$8:$N$3007,$B181,'Zoho Dump'!$T$8:$T$3007,"Pipeline")+SUMIFS(Adjustments!$L$8:$L$207,Adjustments!$B$8:$B$207,$B181,Adjustments!$H$8:$H$207,"Pipeline")+SUMIFS('Zoho Dump'!$Y$8:$Y$3007,'Zoho Dump'!$N$8:$N$3007,$B181,'Zoho Dump'!$T$8:$T$3007,"Overdue")+SUMIFS(Adjustments!$L$8:$L$207,Adjustments!$B$8:$B$207,$B181,Adjustments!$H$8:$H$207,"Overdue"))</f>
        <v>0</v>
      </c>
      <c r="F181" s="17" t="n">
        <f aca="false">IF($B181="",0,SUMIFS('Zoho Dump'!$X$8:$X$3007,'Zoho Dump'!$N$8:$N$3007,$B181,'Zoho Dump'!$T$8:$T$3007,"Pipeline")+SUMIFS(Adjustments!$K$8:$K$207,Adjustments!$B$8:$B$207,$B181,Adjustments!$H$8:$H$207,"Pipeline")+SUMIFS('Zoho Dump'!$X$8:$X$3007,'Zoho Dump'!$N$8:$N$3007,$B181,'Zoho Dump'!$T$8:$T$3007,"Overdue")+SUMIFS(Adjustments!$K$8:$K$207,Adjustments!$B$8:$B$207,$B181,Adjustments!$H$8:$H$207,"Overdue"))</f>
        <v>0</v>
      </c>
      <c r="G181" s="17" t="n">
        <f aca="false">D181+F181</f>
        <v>0</v>
      </c>
      <c r="H181" s="18" t="n">
        <f aca="false">IF(SUM($G$5:$G$404)=0,0,G181/SUM($G$5:$G$404))</f>
        <v>0</v>
      </c>
      <c r="I181" s="17" t="n">
        <f aca="false">IF($B181="",0,SUMIFS('Zoho Dump'!$Q$8:$Q$3007,'Zoho Dump'!$N$8:$N$3007,$B181,'Zoho Dump'!$T$8:$T$3007,"Lost",'Zoho Dump'!$R$8:$R$3007,"&gt;="&amp;Settings!$B$4))</f>
        <v>0</v>
      </c>
      <c r="J181" s="9" t="str">
        <f aca="false">IF($B181="","",IF(COUNTIF(Dashboard!$C$13:$C$22,$B181)&gt;0,"Yes",""))</f>
        <v/>
      </c>
      <c r="K181" s="17" t="n">
        <f aca="false">IF($B181="",0,SUMIFS('Zoho Dump'!$X$8:$X$3007,'Zoho Dump'!$N$8:$N$3007,$B181,'Zoho Dump'!$P$8:$P$3007,Settings!$A$12)+SUMIFS(Adjustments!$K$8:$K$207,Adjustments!$B$8:$B$207,$B181,Adjustments!$A$8:$A$207,Settings!$A$12))</f>
        <v>0</v>
      </c>
      <c r="L181" s="17" t="n">
        <f aca="false">IF($B181="",0,SUMIFS('Zoho Dump'!$X$8:$X$3007,'Zoho Dump'!$N$8:$N$3007,$B181,'Zoho Dump'!$P$8:$P$3007,Settings!$A$13)+SUMIFS(Adjustments!$K$8:$K$207,Adjustments!$B$8:$B$207,$B181,Adjustments!$A$8:$A$207,Settings!$A$13))</f>
        <v>0</v>
      </c>
      <c r="M181" s="17" t="n">
        <f aca="false">IF($B181="",0,SUMIFS('Zoho Dump'!$X$8:$X$3007,'Zoho Dump'!$N$8:$N$3007,$B181,'Zoho Dump'!$P$8:$P$3007,Settings!$A$14)+SUMIFS(Adjustments!$K$8:$K$207,Adjustments!$B$8:$B$207,$B181,Adjustments!$A$8:$A$207,Settings!$A$14))</f>
        <v>0</v>
      </c>
      <c r="N181" s="17" t="n">
        <f aca="false">IF($B181="",0,SUMIFS('Zoho Dump'!$X$8:$X$3007,'Zoho Dump'!$N$8:$N$3007,$B181,'Zoho Dump'!$P$8:$P$3007,Settings!$A$15)+SUMIFS(Adjustments!$K$8:$K$207,Adjustments!$B$8:$B$207,$B181,Adjustments!$A$8:$A$207,Settings!$A$15))</f>
        <v>0</v>
      </c>
      <c r="O181" s="17" t="n">
        <f aca="false">IF($B181="",0,SUMIFS('Zoho Dump'!$X$8:$X$3007,'Zoho Dump'!$N$8:$N$3007,$B181,'Zoho Dump'!$P$8:$P$3007,Settings!$A$16)+SUMIFS(Adjustments!$K$8:$K$207,Adjustments!$B$8:$B$207,$B181,Adjustments!$A$8:$A$207,Settings!$A$16))</f>
        <v>0</v>
      </c>
      <c r="P181" s="17" t="n">
        <f aca="false">IF($B181="",0,SUMIFS('Zoho Dump'!$X$8:$X$3007,'Zoho Dump'!$N$8:$N$3007,$B181,'Zoho Dump'!$P$8:$P$3007,Settings!$A$17)+SUMIFS(Adjustments!$K$8:$K$207,Adjustments!$B$8:$B$207,$B181,Adjustments!$A$8:$A$207,Settings!$A$17))</f>
        <v>0</v>
      </c>
      <c r="Q181" s="17" t="n">
        <f aca="false">IF($B181="",0,SUMIFS('Zoho Dump'!$X$8:$X$3007,'Zoho Dump'!$N$8:$N$3007,$B181,'Zoho Dump'!$P$8:$P$3007,Settings!$A$18)+SUMIFS(Adjustments!$K$8:$K$207,Adjustments!$B$8:$B$207,$B181,Adjustments!$A$8:$A$207,Settings!$A$18))</f>
        <v>0</v>
      </c>
      <c r="R181" s="30" t="str">
        <f aca="false">IF(G181&gt;0,G181+A181/10000000,"")</f>
        <v/>
      </c>
    </row>
    <row r="182" customFormat="false" ht="15" hidden="false" customHeight="false" outlineLevel="0" collapsed="false">
      <c r="A182" s="9" t="n">
        <v>178</v>
      </c>
      <c r="B182" s="9" t="str">
        <f aca="false">IFERROR(INDEX('Zoho Dump'!$N$8:$N$3007,MATCH(A182,'Zoho Dump'!$AB$8:$AB$3007,0)),"")</f>
        <v/>
      </c>
      <c r="C182" s="17" t="n">
        <f aca="false">IF($B182="",0,SUMIFS('Zoho Dump'!$Q$8:$Q$3007,'Zoho Dump'!$N$8:$N$3007,$B182,'Zoho Dump'!$T$8:$T$3007,"Delivered",'Zoho Dump'!$R$8:$R$3007,"&gt;="&amp;Settings!$B$4))</f>
        <v>0</v>
      </c>
      <c r="D182" s="17" t="n">
        <f aca="false">IF($B182="",0,SUMIFS('Zoho Dump'!$X$8:$X$3007,'Zoho Dump'!$N$8:$N$3007,$B182,'Zoho Dump'!$T$8:$T$3007,"Backlog")+SUMIFS(Adjustments!$K$8:$K$207,Adjustments!$B$8:$B$207,$B182,Adjustments!$H$8:$H$207,"Backlog"))</f>
        <v>0</v>
      </c>
      <c r="E182" s="17" t="n">
        <f aca="false">IF($B182="",0,SUMIFS('Zoho Dump'!$Y$8:$Y$3007,'Zoho Dump'!$N$8:$N$3007,$B182,'Zoho Dump'!$T$8:$T$3007,"Pipeline")+SUMIFS(Adjustments!$L$8:$L$207,Adjustments!$B$8:$B$207,$B182,Adjustments!$H$8:$H$207,"Pipeline")+SUMIFS('Zoho Dump'!$Y$8:$Y$3007,'Zoho Dump'!$N$8:$N$3007,$B182,'Zoho Dump'!$T$8:$T$3007,"Overdue")+SUMIFS(Adjustments!$L$8:$L$207,Adjustments!$B$8:$B$207,$B182,Adjustments!$H$8:$H$207,"Overdue"))</f>
        <v>0</v>
      </c>
      <c r="F182" s="17" t="n">
        <f aca="false">IF($B182="",0,SUMIFS('Zoho Dump'!$X$8:$X$3007,'Zoho Dump'!$N$8:$N$3007,$B182,'Zoho Dump'!$T$8:$T$3007,"Pipeline")+SUMIFS(Adjustments!$K$8:$K$207,Adjustments!$B$8:$B$207,$B182,Adjustments!$H$8:$H$207,"Pipeline")+SUMIFS('Zoho Dump'!$X$8:$X$3007,'Zoho Dump'!$N$8:$N$3007,$B182,'Zoho Dump'!$T$8:$T$3007,"Overdue")+SUMIFS(Adjustments!$K$8:$K$207,Adjustments!$B$8:$B$207,$B182,Adjustments!$H$8:$H$207,"Overdue"))</f>
        <v>0</v>
      </c>
      <c r="G182" s="17" t="n">
        <f aca="false">D182+F182</f>
        <v>0</v>
      </c>
      <c r="H182" s="18" t="n">
        <f aca="false">IF(SUM($G$5:$G$404)=0,0,G182/SUM($G$5:$G$404))</f>
        <v>0</v>
      </c>
      <c r="I182" s="17" t="n">
        <f aca="false">IF($B182="",0,SUMIFS('Zoho Dump'!$Q$8:$Q$3007,'Zoho Dump'!$N$8:$N$3007,$B182,'Zoho Dump'!$T$8:$T$3007,"Lost",'Zoho Dump'!$R$8:$R$3007,"&gt;="&amp;Settings!$B$4))</f>
        <v>0</v>
      </c>
      <c r="J182" s="9" t="str">
        <f aca="false">IF($B182="","",IF(COUNTIF(Dashboard!$C$13:$C$22,$B182)&gt;0,"Yes",""))</f>
        <v/>
      </c>
      <c r="K182" s="17" t="n">
        <f aca="false">IF($B182="",0,SUMIFS('Zoho Dump'!$X$8:$X$3007,'Zoho Dump'!$N$8:$N$3007,$B182,'Zoho Dump'!$P$8:$P$3007,Settings!$A$12)+SUMIFS(Adjustments!$K$8:$K$207,Adjustments!$B$8:$B$207,$B182,Adjustments!$A$8:$A$207,Settings!$A$12))</f>
        <v>0</v>
      </c>
      <c r="L182" s="17" t="n">
        <f aca="false">IF($B182="",0,SUMIFS('Zoho Dump'!$X$8:$X$3007,'Zoho Dump'!$N$8:$N$3007,$B182,'Zoho Dump'!$P$8:$P$3007,Settings!$A$13)+SUMIFS(Adjustments!$K$8:$K$207,Adjustments!$B$8:$B$207,$B182,Adjustments!$A$8:$A$207,Settings!$A$13))</f>
        <v>0</v>
      </c>
      <c r="M182" s="17" t="n">
        <f aca="false">IF($B182="",0,SUMIFS('Zoho Dump'!$X$8:$X$3007,'Zoho Dump'!$N$8:$N$3007,$B182,'Zoho Dump'!$P$8:$P$3007,Settings!$A$14)+SUMIFS(Adjustments!$K$8:$K$207,Adjustments!$B$8:$B$207,$B182,Adjustments!$A$8:$A$207,Settings!$A$14))</f>
        <v>0</v>
      </c>
      <c r="N182" s="17" t="n">
        <f aca="false">IF($B182="",0,SUMIFS('Zoho Dump'!$X$8:$X$3007,'Zoho Dump'!$N$8:$N$3007,$B182,'Zoho Dump'!$P$8:$P$3007,Settings!$A$15)+SUMIFS(Adjustments!$K$8:$K$207,Adjustments!$B$8:$B$207,$B182,Adjustments!$A$8:$A$207,Settings!$A$15))</f>
        <v>0</v>
      </c>
      <c r="O182" s="17" t="n">
        <f aca="false">IF($B182="",0,SUMIFS('Zoho Dump'!$X$8:$X$3007,'Zoho Dump'!$N$8:$N$3007,$B182,'Zoho Dump'!$P$8:$P$3007,Settings!$A$16)+SUMIFS(Adjustments!$K$8:$K$207,Adjustments!$B$8:$B$207,$B182,Adjustments!$A$8:$A$207,Settings!$A$16))</f>
        <v>0</v>
      </c>
      <c r="P182" s="17" t="n">
        <f aca="false">IF($B182="",0,SUMIFS('Zoho Dump'!$X$8:$X$3007,'Zoho Dump'!$N$8:$N$3007,$B182,'Zoho Dump'!$P$8:$P$3007,Settings!$A$17)+SUMIFS(Adjustments!$K$8:$K$207,Adjustments!$B$8:$B$207,$B182,Adjustments!$A$8:$A$207,Settings!$A$17))</f>
        <v>0</v>
      </c>
      <c r="Q182" s="17" t="n">
        <f aca="false">IF($B182="",0,SUMIFS('Zoho Dump'!$X$8:$X$3007,'Zoho Dump'!$N$8:$N$3007,$B182,'Zoho Dump'!$P$8:$P$3007,Settings!$A$18)+SUMIFS(Adjustments!$K$8:$K$207,Adjustments!$B$8:$B$207,$B182,Adjustments!$A$8:$A$207,Settings!$A$18))</f>
        <v>0</v>
      </c>
      <c r="R182" s="30" t="str">
        <f aca="false">IF(G182&gt;0,G182+A182/10000000,"")</f>
        <v/>
      </c>
    </row>
    <row r="183" customFormat="false" ht="15" hidden="false" customHeight="false" outlineLevel="0" collapsed="false">
      <c r="A183" s="9" t="n">
        <v>179</v>
      </c>
      <c r="B183" s="9" t="str">
        <f aca="false">IFERROR(INDEX('Zoho Dump'!$N$8:$N$3007,MATCH(A183,'Zoho Dump'!$AB$8:$AB$3007,0)),"")</f>
        <v/>
      </c>
      <c r="C183" s="17" t="n">
        <f aca="false">IF($B183="",0,SUMIFS('Zoho Dump'!$Q$8:$Q$3007,'Zoho Dump'!$N$8:$N$3007,$B183,'Zoho Dump'!$T$8:$T$3007,"Delivered",'Zoho Dump'!$R$8:$R$3007,"&gt;="&amp;Settings!$B$4))</f>
        <v>0</v>
      </c>
      <c r="D183" s="17" t="n">
        <f aca="false">IF($B183="",0,SUMIFS('Zoho Dump'!$X$8:$X$3007,'Zoho Dump'!$N$8:$N$3007,$B183,'Zoho Dump'!$T$8:$T$3007,"Backlog")+SUMIFS(Adjustments!$K$8:$K$207,Adjustments!$B$8:$B$207,$B183,Adjustments!$H$8:$H$207,"Backlog"))</f>
        <v>0</v>
      </c>
      <c r="E183" s="17" t="n">
        <f aca="false">IF($B183="",0,SUMIFS('Zoho Dump'!$Y$8:$Y$3007,'Zoho Dump'!$N$8:$N$3007,$B183,'Zoho Dump'!$T$8:$T$3007,"Pipeline")+SUMIFS(Adjustments!$L$8:$L$207,Adjustments!$B$8:$B$207,$B183,Adjustments!$H$8:$H$207,"Pipeline")+SUMIFS('Zoho Dump'!$Y$8:$Y$3007,'Zoho Dump'!$N$8:$N$3007,$B183,'Zoho Dump'!$T$8:$T$3007,"Overdue")+SUMIFS(Adjustments!$L$8:$L$207,Adjustments!$B$8:$B$207,$B183,Adjustments!$H$8:$H$207,"Overdue"))</f>
        <v>0</v>
      </c>
      <c r="F183" s="17" t="n">
        <f aca="false">IF($B183="",0,SUMIFS('Zoho Dump'!$X$8:$X$3007,'Zoho Dump'!$N$8:$N$3007,$B183,'Zoho Dump'!$T$8:$T$3007,"Pipeline")+SUMIFS(Adjustments!$K$8:$K$207,Adjustments!$B$8:$B$207,$B183,Adjustments!$H$8:$H$207,"Pipeline")+SUMIFS('Zoho Dump'!$X$8:$X$3007,'Zoho Dump'!$N$8:$N$3007,$B183,'Zoho Dump'!$T$8:$T$3007,"Overdue")+SUMIFS(Adjustments!$K$8:$K$207,Adjustments!$B$8:$B$207,$B183,Adjustments!$H$8:$H$207,"Overdue"))</f>
        <v>0</v>
      </c>
      <c r="G183" s="17" t="n">
        <f aca="false">D183+F183</f>
        <v>0</v>
      </c>
      <c r="H183" s="18" t="n">
        <f aca="false">IF(SUM($G$5:$G$404)=0,0,G183/SUM($G$5:$G$404))</f>
        <v>0</v>
      </c>
      <c r="I183" s="17" t="n">
        <f aca="false">IF($B183="",0,SUMIFS('Zoho Dump'!$Q$8:$Q$3007,'Zoho Dump'!$N$8:$N$3007,$B183,'Zoho Dump'!$T$8:$T$3007,"Lost",'Zoho Dump'!$R$8:$R$3007,"&gt;="&amp;Settings!$B$4))</f>
        <v>0</v>
      </c>
      <c r="J183" s="9" t="str">
        <f aca="false">IF($B183="","",IF(COUNTIF(Dashboard!$C$13:$C$22,$B183)&gt;0,"Yes",""))</f>
        <v/>
      </c>
      <c r="K183" s="17" t="n">
        <f aca="false">IF($B183="",0,SUMIFS('Zoho Dump'!$X$8:$X$3007,'Zoho Dump'!$N$8:$N$3007,$B183,'Zoho Dump'!$P$8:$P$3007,Settings!$A$12)+SUMIFS(Adjustments!$K$8:$K$207,Adjustments!$B$8:$B$207,$B183,Adjustments!$A$8:$A$207,Settings!$A$12))</f>
        <v>0</v>
      </c>
      <c r="L183" s="17" t="n">
        <f aca="false">IF($B183="",0,SUMIFS('Zoho Dump'!$X$8:$X$3007,'Zoho Dump'!$N$8:$N$3007,$B183,'Zoho Dump'!$P$8:$P$3007,Settings!$A$13)+SUMIFS(Adjustments!$K$8:$K$207,Adjustments!$B$8:$B$207,$B183,Adjustments!$A$8:$A$207,Settings!$A$13))</f>
        <v>0</v>
      </c>
      <c r="M183" s="17" t="n">
        <f aca="false">IF($B183="",0,SUMIFS('Zoho Dump'!$X$8:$X$3007,'Zoho Dump'!$N$8:$N$3007,$B183,'Zoho Dump'!$P$8:$P$3007,Settings!$A$14)+SUMIFS(Adjustments!$K$8:$K$207,Adjustments!$B$8:$B$207,$B183,Adjustments!$A$8:$A$207,Settings!$A$14))</f>
        <v>0</v>
      </c>
      <c r="N183" s="17" t="n">
        <f aca="false">IF($B183="",0,SUMIFS('Zoho Dump'!$X$8:$X$3007,'Zoho Dump'!$N$8:$N$3007,$B183,'Zoho Dump'!$P$8:$P$3007,Settings!$A$15)+SUMIFS(Adjustments!$K$8:$K$207,Adjustments!$B$8:$B$207,$B183,Adjustments!$A$8:$A$207,Settings!$A$15))</f>
        <v>0</v>
      </c>
      <c r="O183" s="17" t="n">
        <f aca="false">IF($B183="",0,SUMIFS('Zoho Dump'!$X$8:$X$3007,'Zoho Dump'!$N$8:$N$3007,$B183,'Zoho Dump'!$P$8:$P$3007,Settings!$A$16)+SUMIFS(Adjustments!$K$8:$K$207,Adjustments!$B$8:$B$207,$B183,Adjustments!$A$8:$A$207,Settings!$A$16))</f>
        <v>0</v>
      </c>
      <c r="P183" s="17" t="n">
        <f aca="false">IF($B183="",0,SUMIFS('Zoho Dump'!$X$8:$X$3007,'Zoho Dump'!$N$8:$N$3007,$B183,'Zoho Dump'!$P$8:$P$3007,Settings!$A$17)+SUMIFS(Adjustments!$K$8:$K$207,Adjustments!$B$8:$B$207,$B183,Adjustments!$A$8:$A$207,Settings!$A$17))</f>
        <v>0</v>
      </c>
      <c r="Q183" s="17" t="n">
        <f aca="false">IF($B183="",0,SUMIFS('Zoho Dump'!$X$8:$X$3007,'Zoho Dump'!$N$8:$N$3007,$B183,'Zoho Dump'!$P$8:$P$3007,Settings!$A$18)+SUMIFS(Adjustments!$K$8:$K$207,Adjustments!$B$8:$B$207,$B183,Adjustments!$A$8:$A$207,Settings!$A$18))</f>
        <v>0</v>
      </c>
      <c r="R183" s="30" t="str">
        <f aca="false">IF(G183&gt;0,G183+A183/10000000,"")</f>
        <v/>
      </c>
    </row>
    <row r="184" customFormat="false" ht="15" hidden="false" customHeight="false" outlineLevel="0" collapsed="false">
      <c r="A184" s="9" t="n">
        <v>180</v>
      </c>
      <c r="B184" s="9" t="str">
        <f aca="false">IFERROR(INDEX('Zoho Dump'!$N$8:$N$3007,MATCH(A184,'Zoho Dump'!$AB$8:$AB$3007,0)),"")</f>
        <v/>
      </c>
      <c r="C184" s="17" t="n">
        <f aca="false">IF($B184="",0,SUMIFS('Zoho Dump'!$Q$8:$Q$3007,'Zoho Dump'!$N$8:$N$3007,$B184,'Zoho Dump'!$T$8:$T$3007,"Delivered",'Zoho Dump'!$R$8:$R$3007,"&gt;="&amp;Settings!$B$4))</f>
        <v>0</v>
      </c>
      <c r="D184" s="17" t="n">
        <f aca="false">IF($B184="",0,SUMIFS('Zoho Dump'!$X$8:$X$3007,'Zoho Dump'!$N$8:$N$3007,$B184,'Zoho Dump'!$T$8:$T$3007,"Backlog")+SUMIFS(Adjustments!$K$8:$K$207,Adjustments!$B$8:$B$207,$B184,Adjustments!$H$8:$H$207,"Backlog"))</f>
        <v>0</v>
      </c>
      <c r="E184" s="17" t="n">
        <f aca="false">IF($B184="",0,SUMIFS('Zoho Dump'!$Y$8:$Y$3007,'Zoho Dump'!$N$8:$N$3007,$B184,'Zoho Dump'!$T$8:$T$3007,"Pipeline")+SUMIFS(Adjustments!$L$8:$L$207,Adjustments!$B$8:$B$207,$B184,Adjustments!$H$8:$H$207,"Pipeline")+SUMIFS('Zoho Dump'!$Y$8:$Y$3007,'Zoho Dump'!$N$8:$N$3007,$B184,'Zoho Dump'!$T$8:$T$3007,"Overdue")+SUMIFS(Adjustments!$L$8:$L$207,Adjustments!$B$8:$B$207,$B184,Adjustments!$H$8:$H$207,"Overdue"))</f>
        <v>0</v>
      </c>
      <c r="F184" s="17" t="n">
        <f aca="false">IF($B184="",0,SUMIFS('Zoho Dump'!$X$8:$X$3007,'Zoho Dump'!$N$8:$N$3007,$B184,'Zoho Dump'!$T$8:$T$3007,"Pipeline")+SUMIFS(Adjustments!$K$8:$K$207,Adjustments!$B$8:$B$207,$B184,Adjustments!$H$8:$H$207,"Pipeline")+SUMIFS('Zoho Dump'!$X$8:$X$3007,'Zoho Dump'!$N$8:$N$3007,$B184,'Zoho Dump'!$T$8:$T$3007,"Overdue")+SUMIFS(Adjustments!$K$8:$K$207,Adjustments!$B$8:$B$207,$B184,Adjustments!$H$8:$H$207,"Overdue"))</f>
        <v>0</v>
      </c>
      <c r="G184" s="17" t="n">
        <f aca="false">D184+F184</f>
        <v>0</v>
      </c>
      <c r="H184" s="18" t="n">
        <f aca="false">IF(SUM($G$5:$G$404)=0,0,G184/SUM($G$5:$G$404))</f>
        <v>0</v>
      </c>
      <c r="I184" s="17" t="n">
        <f aca="false">IF($B184="",0,SUMIFS('Zoho Dump'!$Q$8:$Q$3007,'Zoho Dump'!$N$8:$N$3007,$B184,'Zoho Dump'!$T$8:$T$3007,"Lost",'Zoho Dump'!$R$8:$R$3007,"&gt;="&amp;Settings!$B$4))</f>
        <v>0</v>
      </c>
      <c r="J184" s="9" t="str">
        <f aca="false">IF($B184="","",IF(COUNTIF(Dashboard!$C$13:$C$22,$B184)&gt;0,"Yes",""))</f>
        <v/>
      </c>
      <c r="K184" s="17" t="n">
        <f aca="false">IF($B184="",0,SUMIFS('Zoho Dump'!$X$8:$X$3007,'Zoho Dump'!$N$8:$N$3007,$B184,'Zoho Dump'!$P$8:$P$3007,Settings!$A$12)+SUMIFS(Adjustments!$K$8:$K$207,Adjustments!$B$8:$B$207,$B184,Adjustments!$A$8:$A$207,Settings!$A$12))</f>
        <v>0</v>
      </c>
      <c r="L184" s="17" t="n">
        <f aca="false">IF($B184="",0,SUMIFS('Zoho Dump'!$X$8:$X$3007,'Zoho Dump'!$N$8:$N$3007,$B184,'Zoho Dump'!$P$8:$P$3007,Settings!$A$13)+SUMIFS(Adjustments!$K$8:$K$207,Adjustments!$B$8:$B$207,$B184,Adjustments!$A$8:$A$207,Settings!$A$13))</f>
        <v>0</v>
      </c>
      <c r="M184" s="17" t="n">
        <f aca="false">IF($B184="",0,SUMIFS('Zoho Dump'!$X$8:$X$3007,'Zoho Dump'!$N$8:$N$3007,$B184,'Zoho Dump'!$P$8:$P$3007,Settings!$A$14)+SUMIFS(Adjustments!$K$8:$K$207,Adjustments!$B$8:$B$207,$B184,Adjustments!$A$8:$A$207,Settings!$A$14))</f>
        <v>0</v>
      </c>
      <c r="N184" s="17" t="n">
        <f aca="false">IF($B184="",0,SUMIFS('Zoho Dump'!$X$8:$X$3007,'Zoho Dump'!$N$8:$N$3007,$B184,'Zoho Dump'!$P$8:$P$3007,Settings!$A$15)+SUMIFS(Adjustments!$K$8:$K$207,Adjustments!$B$8:$B$207,$B184,Adjustments!$A$8:$A$207,Settings!$A$15))</f>
        <v>0</v>
      </c>
      <c r="O184" s="17" t="n">
        <f aca="false">IF($B184="",0,SUMIFS('Zoho Dump'!$X$8:$X$3007,'Zoho Dump'!$N$8:$N$3007,$B184,'Zoho Dump'!$P$8:$P$3007,Settings!$A$16)+SUMIFS(Adjustments!$K$8:$K$207,Adjustments!$B$8:$B$207,$B184,Adjustments!$A$8:$A$207,Settings!$A$16))</f>
        <v>0</v>
      </c>
      <c r="P184" s="17" t="n">
        <f aca="false">IF($B184="",0,SUMIFS('Zoho Dump'!$X$8:$X$3007,'Zoho Dump'!$N$8:$N$3007,$B184,'Zoho Dump'!$P$8:$P$3007,Settings!$A$17)+SUMIFS(Adjustments!$K$8:$K$207,Adjustments!$B$8:$B$207,$B184,Adjustments!$A$8:$A$207,Settings!$A$17))</f>
        <v>0</v>
      </c>
      <c r="Q184" s="17" t="n">
        <f aca="false">IF($B184="",0,SUMIFS('Zoho Dump'!$X$8:$X$3007,'Zoho Dump'!$N$8:$N$3007,$B184,'Zoho Dump'!$P$8:$P$3007,Settings!$A$18)+SUMIFS(Adjustments!$K$8:$K$207,Adjustments!$B$8:$B$207,$B184,Adjustments!$A$8:$A$207,Settings!$A$18))</f>
        <v>0</v>
      </c>
      <c r="R184" s="30" t="str">
        <f aca="false">IF(G184&gt;0,G184+A184/10000000,"")</f>
        <v/>
      </c>
    </row>
    <row r="185" customFormat="false" ht="15" hidden="false" customHeight="false" outlineLevel="0" collapsed="false">
      <c r="A185" s="9" t="n">
        <v>181</v>
      </c>
      <c r="B185" s="9" t="str">
        <f aca="false">IFERROR(INDEX('Zoho Dump'!$N$8:$N$3007,MATCH(A185,'Zoho Dump'!$AB$8:$AB$3007,0)),"")</f>
        <v/>
      </c>
      <c r="C185" s="17" t="n">
        <f aca="false">IF($B185="",0,SUMIFS('Zoho Dump'!$Q$8:$Q$3007,'Zoho Dump'!$N$8:$N$3007,$B185,'Zoho Dump'!$T$8:$T$3007,"Delivered",'Zoho Dump'!$R$8:$R$3007,"&gt;="&amp;Settings!$B$4))</f>
        <v>0</v>
      </c>
      <c r="D185" s="17" t="n">
        <f aca="false">IF($B185="",0,SUMIFS('Zoho Dump'!$X$8:$X$3007,'Zoho Dump'!$N$8:$N$3007,$B185,'Zoho Dump'!$T$8:$T$3007,"Backlog")+SUMIFS(Adjustments!$K$8:$K$207,Adjustments!$B$8:$B$207,$B185,Adjustments!$H$8:$H$207,"Backlog"))</f>
        <v>0</v>
      </c>
      <c r="E185" s="17" t="n">
        <f aca="false">IF($B185="",0,SUMIFS('Zoho Dump'!$Y$8:$Y$3007,'Zoho Dump'!$N$8:$N$3007,$B185,'Zoho Dump'!$T$8:$T$3007,"Pipeline")+SUMIFS(Adjustments!$L$8:$L$207,Adjustments!$B$8:$B$207,$B185,Adjustments!$H$8:$H$207,"Pipeline")+SUMIFS('Zoho Dump'!$Y$8:$Y$3007,'Zoho Dump'!$N$8:$N$3007,$B185,'Zoho Dump'!$T$8:$T$3007,"Overdue")+SUMIFS(Adjustments!$L$8:$L$207,Adjustments!$B$8:$B$207,$B185,Adjustments!$H$8:$H$207,"Overdue"))</f>
        <v>0</v>
      </c>
      <c r="F185" s="17" t="n">
        <f aca="false">IF($B185="",0,SUMIFS('Zoho Dump'!$X$8:$X$3007,'Zoho Dump'!$N$8:$N$3007,$B185,'Zoho Dump'!$T$8:$T$3007,"Pipeline")+SUMIFS(Adjustments!$K$8:$K$207,Adjustments!$B$8:$B$207,$B185,Adjustments!$H$8:$H$207,"Pipeline")+SUMIFS('Zoho Dump'!$X$8:$X$3007,'Zoho Dump'!$N$8:$N$3007,$B185,'Zoho Dump'!$T$8:$T$3007,"Overdue")+SUMIFS(Adjustments!$K$8:$K$207,Adjustments!$B$8:$B$207,$B185,Adjustments!$H$8:$H$207,"Overdue"))</f>
        <v>0</v>
      </c>
      <c r="G185" s="17" t="n">
        <f aca="false">D185+F185</f>
        <v>0</v>
      </c>
      <c r="H185" s="18" t="n">
        <f aca="false">IF(SUM($G$5:$G$404)=0,0,G185/SUM($G$5:$G$404))</f>
        <v>0</v>
      </c>
      <c r="I185" s="17" t="n">
        <f aca="false">IF($B185="",0,SUMIFS('Zoho Dump'!$Q$8:$Q$3007,'Zoho Dump'!$N$8:$N$3007,$B185,'Zoho Dump'!$T$8:$T$3007,"Lost",'Zoho Dump'!$R$8:$R$3007,"&gt;="&amp;Settings!$B$4))</f>
        <v>0</v>
      </c>
      <c r="J185" s="9" t="str">
        <f aca="false">IF($B185="","",IF(COUNTIF(Dashboard!$C$13:$C$22,$B185)&gt;0,"Yes",""))</f>
        <v/>
      </c>
      <c r="K185" s="17" t="n">
        <f aca="false">IF($B185="",0,SUMIFS('Zoho Dump'!$X$8:$X$3007,'Zoho Dump'!$N$8:$N$3007,$B185,'Zoho Dump'!$P$8:$P$3007,Settings!$A$12)+SUMIFS(Adjustments!$K$8:$K$207,Adjustments!$B$8:$B$207,$B185,Adjustments!$A$8:$A$207,Settings!$A$12))</f>
        <v>0</v>
      </c>
      <c r="L185" s="17" t="n">
        <f aca="false">IF($B185="",0,SUMIFS('Zoho Dump'!$X$8:$X$3007,'Zoho Dump'!$N$8:$N$3007,$B185,'Zoho Dump'!$P$8:$P$3007,Settings!$A$13)+SUMIFS(Adjustments!$K$8:$K$207,Adjustments!$B$8:$B$207,$B185,Adjustments!$A$8:$A$207,Settings!$A$13))</f>
        <v>0</v>
      </c>
      <c r="M185" s="17" t="n">
        <f aca="false">IF($B185="",0,SUMIFS('Zoho Dump'!$X$8:$X$3007,'Zoho Dump'!$N$8:$N$3007,$B185,'Zoho Dump'!$P$8:$P$3007,Settings!$A$14)+SUMIFS(Adjustments!$K$8:$K$207,Adjustments!$B$8:$B$207,$B185,Adjustments!$A$8:$A$207,Settings!$A$14))</f>
        <v>0</v>
      </c>
      <c r="N185" s="17" t="n">
        <f aca="false">IF($B185="",0,SUMIFS('Zoho Dump'!$X$8:$X$3007,'Zoho Dump'!$N$8:$N$3007,$B185,'Zoho Dump'!$P$8:$P$3007,Settings!$A$15)+SUMIFS(Adjustments!$K$8:$K$207,Adjustments!$B$8:$B$207,$B185,Adjustments!$A$8:$A$207,Settings!$A$15))</f>
        <v>0</v>
      </c>
      <c r="O185" s="17" t="n">
        <f aca="false">IF($B185="",0,SUMIFS('Zoho Dump'!$X$8:$X$3007,'Zoho Dump'!$N$8:$N$3007,$B185,'Zoho Dump'!$P$8:$P$3007,Settings!$A$16)+SUMIFS(Adjustments!$K$8:$K$207,Adjustments!$B$8:$B$207,$B185,Adjustments!$A$8:$A$207,Settings!$A$16))</f>
        <v>0</v>
      </c>
      <c r="P185" s="17" t="n">
        <f aca="false">IF($B185="",0,SUMIFS('Zoho Dump'!$X$8:$X$3007,'Zoho Dump'!$N$8:$N$3007,$B185,'Zoho Dump'!$P$8:$P$3007,Settings!$A$17)+SUMIFS(Adjustments!$K$8:$K$207,Adjustments!$B$8:$B$207,$B185,Adjustments!$A$8:$A$207,Settings!$A$17))</f>
        <v>0</v>
      </c>
      <c r="Q185" s="17" t="n">
        <f aca="false">IF($B185="",0,SUMIFS('Zoho Dump'!$X$8:$X$3007,'Zoho Dump'!$N$8:$N$3007,$B185,'Zoho Dump'!$P$8:$P$3007,Settings!$A$18)+SUMIFS(Adjustments!$K$8:$K$207,Adjustments!$B$8:$B$207,$B185,Adjustments!$A$8:$A$207,Settings!$A$18))</f>
        <v>0</v>
      </c>
      <c r="R185" s="30" t="str">
        <f aca="false">IF(G185&gt;0,G185+A185/10000000,"")</f>
        <v/>
      </c>
    </row>
    <row r="186" customFormat="false" ht="15" hidden="false" customHeight="false" outlineLevel="0" collapsed="false">
      <c r="A186" s="9" t="n">
        <v>182</v>
      </c>
      <c r="B186" s="9" t="str">
        <f aca="false">IFERROR(INDEX('Zoho Dump'!$N$8:$N$3007,MATCH(A186,'Zoho Dump'!$AB$8:$AB$3007,0)),"")</f>
        <v/>
      </c>
      <c r="C186" s="17" t="n">
        <f aca="false">IF($B186="",0,SUMIFS('Zoho Dump'!$Q$8:$Q$3007,'Zoho Dump'!$N$8:$N$3007,$B186,'Zoho Dump'!$T$8:$T$3007,"Delivered",'Zoho Dump'!$R$8:$R$3007,"&gt;="&amp;Settings!$B$4))</f>
        <v>0</v>
      </c>
      <c r="D186" s="17" t="n">
        <f aca="false">IF($B186="",0,SUMIFS('Zoho Dump'!$X$8:$X$3007,'Zoho Dump'!$N$8:$N$3007,$B186,'Zoho Dump'!$T$8:$T$3007,"Backlog")+SUMIFS(Adjustments!$K$8:$K$207,Adjustments!$B$8:$B$207,$B186,Adjustments!$H$8:$H$207,"Backlog"))</f>
        <v>0</v>
      </c>
      <c r="E186" s="17" t="n">
        <f aca="false">IF($B186="",0,SUMIFS('Zoho Dump'!$Y$8:$Y$3007,'Zoho Dump'!$N$8:$N$3007,$B186,'Zoho Dump'!$T$8:$T$3007,"Pipeline")+SUMIFS(Adjustments!$L$8:$L$207,Adjustments!$B$8:$B$207,$B186,Adjustments!$H$8:$H$207,"Pipeline")+SUMIFS('Zoho Dump'!$Y$8:$Y$3007,'Zoho Dump'!$N$8:$N$3007,$B186,'Zoho Dump'!$T$8:$T$3007,"Overdue")+SUMIFS(Adjustments!$L$8:$L$207,Adjustments!$B$8:$B$207,$B186,Adjustments!$H$8:$H$207,"Overdue"))</f>
        <v>0</v>
      </c>
      <c r="F186" s="17" t="n">
        <f aca="false">IF($B186="",0,SUMIFS('Zoho Dump'!$X$8:$X$3007,'Zoho Dump'!$N$8:$N$3007,$B186,'Zoho Dump'!$T$8:$T$3007,"Pipeline")+SUMIFS(Adjustments!$K$8:$K$207,Adjustments!$B$8:$B$207,$B186,Adjustments!$H$8:$H$207,"Pipeline")+SUMIFS('Zoho Dump'!$X$8:$X$3007,'Zoho Dump'!$N$8:$N$3007,$B186,'Zoho Dump'!$T$8:$T$3007,"Overdue")+SUMIFS(Adjustments!$K$8:$K$207,Adjustments!$B$8:$B$207,$B186,Adjustments!$H$8:$H$207,"Overdue"))</f>
        <v>0</v>
      </c>
      <c r="G186" s="17" t="n">
        <f aca="false">D186+F186</f>
        <v>0</v>
      </c>
      <c r="H186" s="18" t="n">
        <f aca="false">IF(SUM($G$5:$G$404)=0,0,G186/SUM($G$5:$G$404))</f>
        <v>0</v>
      </c>
      <c r="I186" s="17" t="n">
        <f aca="false">IF($B186="",0,SUMIFS('Zoho Dump'!$Q$8:$Q$3007,'Zoho Dump'!$N$8:$N$3007,$B186,'Zoho Dump'!$T$8:$T$3007,"Lost",'Zoho Dump'!$R$8:$R$3007,"&gt;="&amp;Settings!$B$4))</f>
        <v>0</v>
      </c>
      <c r="J186" s="9" t="str">
        <f aca="false">IF($B186="","",IF(COUNTIF(Dashboard!$C$13:$C$22,$B186)&gt;0,"Yes",""))</f>
        <v/>
      </c>
      <c r="K186" s="17" t="n">
        <f aca="false">IF($B186="",0,SUMIFS('Zoho Dump'!$X$8:$X$3007,'Zoho Dump'!$N$8:$N$3007,$B186,'Zoho Dump'!$P$8:$P$3007,Settings!$A$12)+SUMIFS(Adjustments!$K$8:$K$207,Adjustments!$B$8:$B$207,$B186,Adjustments!$A$8:$A$207,Settings!$A$12))</f>
        <v>0</v>
      </c>
      <c r="L186" s="17" t="n">
        <f aca="false">IF($B186="",0,SUMIFS('Zoho Dump'!$X$8:$X$3007,'Zoho Dump'!$N$8:$N$3007,$B186,'Zoho Dump'!$P$8:$P$3007,Settings!$A$13)+SUMIFS(Adjustments!$K$8:$K$207,Adjustments!$B$8:$B$207,$B186,Adjustments!$A$8:$A$207,Settings!$A$13))</f>
        <v>0</v>
      </c>
      <c r="M186" s="17" t="n">
        <f aca="false">IF($B186="",0,SUMIFS('Zoho Dump'!$X$8:$X$3007,'Zoho Dump'!$N$8:$N$3007,$B186,'Zoho Dump'!$P$8:$P$3007,Settings!$A$14)+SUMIFS(Adjustments!$K$8:$K$207,Adjustments!$B$8:$B$207,$B186,Adjustments!$A$8:$A$207,Settings!$A$14))</f>
        <v>0</v>
      </c>
      <c r="N186" s="17" t="n">
        <f aca="false">IF($B186="",0,SUMIFS('Zoho Dump'!$X$8:$X$3007,'Zoho Dump'!$N$8:$N$3007,$B186,'Zoho Dump'!$P$8:$P$3007,Settings!$A$15)+SUMIFS(Adjustments!$K$8:$K$207,Adjustments!$B$8:$B$207,$B186,Adjustments!$A$8:$A$207,Settings!$A$15))</f>
        <v>0</v>
      </c>
      <c r="O186" s="17" t="n">
        <f aca="false">IF($B186="",0,SUMIFS('Zoho Dump'!$X$8:$X$3007,'Zoho Dump'!$N$8:$N$3007,$B186,'Zoho Dump'!$P$8:$P$3007,Settings!$A$16)+SUMIFS(Adjustments!$K$8:$K$207,Adjustments!$B$8:$B$207,$B186,Adjustments!$A$8:$A$207,Settings!$A$16))</f>
        <v>0</v>
      </c>
      <c r="P186" s="17" t="n">
        <f aca="false">IF($B186="",0,SUMIFS('Zoho Dump'!$X$8:$X$3007,'Zoho Dump'!$N$8:$N$3007,$B186,'Zoho Dump'!$P$8:$P$3007,Settings!$A$17)+SUMIFS(Adjustments!$K$8:$K$207,Adjustments!$B$8:$B$207,$B186,Adjustments!$A$8:$A$207,Settings!$A$17))</f>
        <v>0</v>
      </c>
      <c r="Q186" s="17" t="n">
        <f aca="false">IF($B186="",0,SUMIFS('Zoho Dump'!$X$8:$X$3007,'Zoho Dump'!$N$8:$N$3007,$B186,'Zoho Dump'!$P$8:$P$3007,Settings!$A$18)+SUMIFS(Adjustments!$K$8:$K$207,Adjustments!$B$8:$B$207,$B186,Adjustments!$A$8:$A$207,Settings!$A$18))</f>
        <v>0</v>
      </c>
      <c r="R186" s="30" t="str">
        <f aca="false">IF(G186&gt;0,G186+A186/10000000,"")</f>
        <v/>
      </c>
    </row>
    <row r="187" customFormat="false" ht="15" hidden="false" customHeight="false" outlineLevel="0" collapsed="false">
      <c r="A187" s="9" t="n">
        <v>183</v>
      </c>
      <c r="B187" s="9" t="str">
        <f aca="false">IFERROR(INDEX('Zoho Dump'!$N$8:$N$3007,MATCH(A187,'Zoho Dump'!$AB$8:$AB$3007,0)),"")</f>
        <v/>
      </c>
      <c r="C187" s="17" t="n">
        <f aca="false">IF($B187="",0,SUMIFS('Zoho Dump'!$Q$8:$Q$3007,'Zoho Dump'!$N$8:$N$3007,$B187,'Zoho Dump'!$T$8:$T$3007,"Delivered",'Zoho Dump'!$R$8:$R$3007,"&gt;="&amp;Settings!$B$4))</f>
        <v>0</v>
      </c>
      <c r="D187" s="17" t="n">
        <f aca="false">IF($B187="",0,SUMIFS('Zoho Dump'!$X$8:$X$3007,'Zoho Dump'!$N$8:$N$3007,$B187,'Zoho Dump'!$T$8:$T$3007,"Backlog")+SUMIFS(Adjustments!$K$8:$K$207,Adjustments!$B$8:$B$207,$B187,Adjustments!$H$8:$H$207,"Backlog"))</f>
        <v>0</v>
      </c>
      <c r="E187" s="17" t="n">
        <f aca="false">IF($B187="",0,SUMIFS('Zoho Dump'!$Y$8:$Y$3007,'Zoho Dump'!$N$8:$N$3007,$B187,'Zoho Dump'!$T$8:$T$3007,"Pipeline")+SUMIFS(Adjustments!$L$8:$L$207,Adjustments!$B$8:$B$207,$B187,Adjustments!$H$8:$H$207,"Pipeline")+SUMIFS('Zoho Dump'!$Y$8:$Y$3007,'Zoho Dump'!$N$8:$N$3007,$B187,'Zoho Dump'!$T$8:$T$3007,"Overdue")+SUMIFS(Adjustments!$L$8:$L$207,Adjustments!$B$8:$B$207,$B187,Adjustments!$H$8:$H$207,"Overdue"))</f>
        <v>0</v>
      </c>
      <c r="F187" s="17" t="n">
        <f aca="false">IF($B187="",0,SUMIFS('Zoho Dump'!$X$8:$X$3007,'Zoho Dump'!$N$8:$N$3007,$B187,'Zoho Dump'!$T$8:$T$3007,"Pipeline")+SUMIFS(Adjustments!$K$8:$K$207,Adjustments!$B$8:$B$207,$B187,Adjustments!$H$8:$H$207,"Pipeline")+SUMIFS('Zoho Dump'!$X$8:$X$3007,'Zoho Dump'!$N$8:$N$3007,$B187,'Zoho Dump'!$T$8:$T$3007,"Overdue")+SUMIFS(Adjustments!$K$8:$K$207,Adjustments!$B$8:$B$207,$B187,Adjustments!$H$8:$H$207,"Overdue"))</f>
        <v>0</v>
      </c>
      <c r="G187" s="17" t="n">
        <f aca="false">D187+F187</f>
        <v>0</v>
      </c>
      <c r="H187" s="18" t="n">
        <f aca="false">IF(SUM($G$5:$G$404)=0,0,G187/SUM($G$5:$G$404))</f>
        <v>0</v>
      </c>
      <c r="I187" s="17" t="n">
        <f aca="false">IF($B187="",0,SUMIFS('Zoho Dump'!$Q$8:$Q$3007,'Zoho Dump'!$N$8:$N$3007,$B187,'Zoho Dump'!$T$8:$T$3007,"Lost",'Zoho Dump'!$R$8:$R$3007,"&gt;="&amp;Settings!$B$4))</f>
        <v>0</v>
      </c>
      <c r="J187" s="9" t="str">
        <f aca="false">IF($B187="","",IF(COUNTIF(Dashboard!$C$13:$C$22,$B187)&gt;0,"Yes",""))</f>
        <v/>
      </c>
      <c r="K187" s="17" t="n">
        <f aca="false">IF($B187="",0,SUMIFS('Zoho Dump'!$X$8:$X$3007,'Zoho Dump'!$N$8:$N$3007,$B187,'Zoho Dump'!$P$8:$P$3007,Settings!$A$12)+SUMIFS(Adjustments!$K$8:$K$207,Adjustments!$B$8:$B$207,$B187,Adjustments!$A$8:$A$207,Settings!$A$12))</f>
        <v>0</v>
      </c>
      <c r="L187" s="17" t="n">
        <f aca="false">IF($B187="",0,SUMIFS('Zoho Dump'!$X$8:$X$3007,'Zoho Dump'!$N$8:$N$3007,$B187,'Zoho Dump'!$P$8:$P$3007,Settings!$A$13)+SUMIFS(Adjustments!$K$8:$K$207,Adjustments!$B$8:$B$207,$B187,Adjustments!$A$8:$A$207,Settings!$A$13))</f>
        <v>0</v>
      </c>
      <c r="M187" s="17" t="n">
        <f aca="false">IF($B187="",0,SUMIFS('Zoho Dump'!$X$8:$X$3007,'Zoho Dump'!$N$8:$N$3007,$B187,'Zoho Dump'!$P$8:$P$3007,Settings!$A$14)+SUMIFS(Adjustments!$K$8:$K$207,Adjustments!$B$8:$B$207,$B187,Adjustments!$A$8:$A$207,Settings!$A$14))</f>
        <v>0</v>
      </c>
      <c r="N187" s="17" t="n">
        <f aca="false">IF($B187="",0,SUMIFS('Zoho Dump'!$X$8:$X$3007,'Zoho Dump'!$N$8:$N$3007,$B187,'Zoho Dump'!$P$8:$P$3007,Settings!$A$15)+SUMIFS(Adjustments!$K$8:$K$207,Adjustments!$B$8:$B$207,$B187,Adjustments!$A$8:$A$207,Settings!$A$15))</f>
        <v>0</v>
      </c>
      <c r="O187" s="17" t="n">
        <f aca="false">IF($B187="",0,SUMIFS('Zoho Dump'!$X$8:$X$3007,'Zoho Dump'!$N$8:$N$3007,$B187,'Zoho Dump'!$P$8:$P$3007,Settings!$A$16)+SUMIFS(Adjustments!$K$8:$K$207,Adjustments!$B$8:$B$207,$B187,Adjustments!$A$8:$A$207,Settings!$A$16))</f>
        <v>0</v>
      </c>
      <c r="P187" s="17" t="n">
        <f aca="false">IF($B187="",0,SUMIFS('Zoho Dump'!$X$8:$X$3007,'Zoho Dump'!$N$8:$N$3007,$B187,'Zoho Dump'!$P$8:$P$3007,Settings!$A$17)+SUMIFS(Adjustments!$K$8:$K$207,Adjustments!$B$8:$B$207,$B187,Adjustments!$A$8:$A$207,Settings!$A$17))</f>
        <v>0</v>
      </c>
      <c r="Q187" s="17" t="n">
        <f aca="false">IF($B187="",0,SUMIFS('Zoho Dump'!$X$8:$X$3007,'Zoho Dump'!$N$8:$N$3007,$B187,'Zoho Dump'!$P$8:$P$3007,Settings!$A$18)+SUMIFS(Adjustments!$K$8:$K$207,Adjustments!$B$8:$B$207,$B187,Adjustments!$A$8:$A$207,Settings!$A$18))</f>
        <v>0</v>
      </c>
      <c r="R187" s="30" t="str">
        <f aca="false">IF(G187&gt;0,G187+A187/10000000,"")</f>
        <v/>
      </c>
    </row>
    <row r="188" customFormat="false" ht="15" hidden="false" customHeight="false" outlineLevel="0" collapsed="false">
      <c r="A188" s="9" t="n">
        <v>184</v>
      </c>
      <c r="B188" s="9" t="str">
        <f aca="false">IFERROR(INDEX('Zoho Dump'!$N$8:$N$3007,MATCH(A188,'Zoho Dump'!$AB$8:$AB$3007,0)),"")</f>
        <v/>
      </c>
      <c r="C188" s="17" t="n">
        <f aca="false">IF($B188="",0,SUMIFS('Zoho Dump'!$Q$8:$Q$3007,'Zoho Dump'!$N$8:$N$3007,$B188,'Zoho Dump'!$T$8:$T$3007,"Delivered",'Zoho Dump'!$R$8:$R$3007,"&gt;="&amp;Settings!$B$4))</f>
        <v>0</v>
      </c>
      <c r="D188" s="17" t="n">
        <f aca="false">IF($B188="",0,SUMIFS('Zoho Dump'!$X$8:$X$3007,'Zoho Dump'!$N$8:$N$3007,$B188,'Zoho Dump'!$T$8:$T$3007,"Backlog")+SUMIFS(Adjustments!$K$8:$K$207,Adjustments!$B$8:$B$207,$B188,Adjustments!$H$8:$H$207,"Backlog"))</f>
        <v>0</v>
      </c>
      <c r="E188" s="17" t="n">
        <f aca="false">IF($B188="",0,SUMIFS('Zoho Dump'!$Y$8:$Y$3007,'Zoho Dump'!$N$8:$N$3007,$B188,'Zoho Dump'!$T$8:$T$3007,"Pipeline")+SUMIFS(Adjustments!$L$8:$L$207,Adjustments!$B$8:$B$207,$B188,Adjustments!$H$8:$H$207,"Pipeline")+SUMIFS('Zoho Dump'!$Y$8:$Y$3007,'Zoho Dump'!$N$8:$N$3007,$B188,'Zoho Dump'!$T$8:$T$3007,"Overdue")+SUMIFS(Adjustments!$L$8:$L$207,Adjustments!$B$8:$B$207,$B188,Adjustments!$H$8:$H$207,"Overdue"))</f>
        <v>0</v>
      </c>
      <c r="F188" s="17" t="n">
        <f aca="false">IF($B188="",0,SUMIFS('Zoho Dump'!$X$8:$X$3007,'Zoho Dump'!$N$8:$N$3007,$B188,'Zoho Dump'!$T$8:$T$3007,"Pipeline")+SUMIFS(Adjustments!$K$8:$K$207,Adjustments!$B$8:$B$207,$B188,Adjustments!$H$8:$H$207,"Pipeline")+SUMIFS('Zoho Dump'!$X$8:$X$3007,'Zoho Dump'!$N$8:$N$3007,$B188,'Zoho Dump'!$T$8:$T$3007,"Overdue")+SUMIFS(Adjustments!$K$8:$K$207,Adjustments!$B$8:$B$207,$B188,Adjustments!$H$8:$H$207,"Overdue"))</f>
        <v>0</v>
      </c>
      <c r="G188" s="17" t="n">
        <f aca="false">D188+F188</f>
        <v>0</v>
      </c>
      <c r="H188" s="18" t="n">
        <f aca="false">IF(SUM($G$5:$G$404)=0,0,G188/SUM($G$5:$G$404))</f>
        <v>0</v>
      </c>
      <c r="I188" s="17" t="n">
        <f aca="false">IF($B188="",0,SUMIFS('Zoho Dump'!$Q$8:$Q$3007,'Zoho Dump'!$N$8:$N$3007,$B188,'Zoho Dump'!$T$8:$T$3007,"Lost",'Zoho Dump'!$R$8:$R$3007,"&gt;="&amp;Settings!$B$4))</f>
        <v>0</v>
      </c>
      <c r="J188" s="9" t="str">
        <f aca="false">IF($B188="","",IF(COUNTIF(Dashboard!$C$13:$C$22,$B188)&gt;0,"Yes",""))</f>
        <v/>
      </c>
      <c r="K188" s="17" t="n">
        <f aca="false">IF($B188="",0,SUMIFS('Zoho Dump'!$X$8:$X$3007,'Zoho Dump'!$N$8:$N$3007,$B188,'Zoho Dump'!$P$8:$P$3007,Settings!$A$12)+SUMIFS(Adjustments!$K$8:$K$207,Adjustments!$B$8:$B$207,$B188,Adjustments!$A$8:$A$207,Settings!$A$12))</f>
        <v>0</v>
      </c>
      <c r="L188" s="17" t="n">
        <f aca="false">IF($B188="",0,SUMIFS('Zoho Dump'!$X$8:$X$3007,'Zoho Dump'!$N$8:$N$3007,$B188,'Zoho Dump'!$P$8:$P$3007,Settings!$A$13)+SUMIFS(Adjustments!$K$8:$K$207,Adjustments!$B$8:$B$207,$B188,Adjustments!$A$8:$A$207,Settings!$A$13))</f>
        <v>0</v>
      </c>
      <c r="M188" s="17" t="n">
        <f aca="false">IF($B188="",0,SUMIFS('Zoho Dump'!$X$8:$X$3007,'Zoho Dump'!$N$8:$N$3007,$B188,'Zoho Dump'!$P$8:$P$3007,Settings!$A$14)+SUMIFS(Adjustments!$K$8:$K$207,Adjustments!$B$8:$B$207,$B188,Adjustments!$A$8:$A$207,Settings!$A$14))</f>
        <v>0</v>
      </c>
      <c r="N188" s="17" t="n">
        <f aca="false">IF($B188="",0,SUMIFS('Zoho Dump'!$X$8:$X$3007,'Zoho Dump'!$N$8:$N$3007,$B188,'Zoho Dump'!$P$8:$P$3007,Settings!$A$15)+SUMIFS(Adjustments!$K$8:$K$207,Adjustments!$B$8:$B$207,$B188,Adjustments!$A$8:$A$207,Settings!$A$15))</f>
        <v>0</v>
      </c>
      <c r="O188" s="17" t="n">
        <f aca="false">IF($B188="",0,SUMIFS('Zoho Dump'!$X$8:$X$3007,'Zoho Dump'!$N$8:$N$3007,$B188,'Zoho Dump'!$P$8:$P$3007,Settings!$A$16)+SUMIFS(Adjustments!$K$8:$K$207,Adjustments!$B$8:$B$207,$B188,Adjustments!$A$8:$A$207,Settings!$A$16))</f>
        <v>0</v>
      </c>
      <c r="P188" s="17" t="n">
        <f aca="false">IF($B188="",0,SUMIFS('Zoho Dump'!$X$8:$X$3007,'Zoho Dump'!$N$8:$N$3007,$B188,'Zoho Dump'!$P$8:$P$3007,Settings!$A$17)+SUMIFS(Adjustments!$K$8:$K$207,Adjustments!$B$8:$B$207,$B188,Adjustments!$A$8:$A$207,Settings!$A$17))</f>
        <v>0</v>
      </c>
      <c r="Q188" s="17" t="n">
        <f aca="false">IF($B188="",0,SUMIFS('Zoho Dump'!$X$8:$X$3007,'Zoho Dump'!$N$8:$N$3007,$B188,'Zoho Dump'!$P$8:$P$3007,Settings!$A$18)+SUMIFS(Adjustments!$K$8:$K$207,Adjustments!$B$8:$B$207,$B188,Adjustments!$A$8:$A$207,Settings!$A$18))</f>
        <v>0</v>
      </c>
      <c r="R188" s="30" t="str">
        <f aca="false">IF(G188&gt;0,G188+A188/10000000,"")</f>
        <v/>
      </c>
    </row>
    <row r="189" customFormat="false" ht="15" hidden="false" customHeight="false" outlineLevel="0" collapsed="false">
      <c r="A189" s="9" t="n">
        <v>185</v>
      </c>
      <c r="B189" s="9" t="str">
        <f aca="false">IFERROR(INDEX('Zoho Dump'!$N$8:$N$3007,MATCH(A189,'Zoho Dump'!$AB$8:$AB$3007,0)),"")</f>
        <v/>
      </c>
      <c r="C189" s="17" t="n">
        <f aca="false">IF($B189="",0,SUMIFS('Zoho Dump'!$Q$8:$Q$3007,'Zoho Dump'!$N$8:$N$3007,$B189,'Zoho Dump'!$T$8:$T$3007,"Delivered",'Zoho Dump'!$R$8:$R$3007,"&gt;="&amp;Settings!$B$4))</f>
        <v>0</v>
      </c>
      <c r="D189" s="17" t="n">
        <f aca="false">IF($B189="",0,SUMIFS('Zoho Dump'!$X$8:$X$3007,'Zoho Dump'!$N$8:$N$3007,$B189,'Zoho Dump'!$T$8:$T$3007,"Backlog")+SUMIFS(Adjustments!$K$8:$K$207,Adjustments!$B$8:$B$207,$B189,Adjustments!$H$8:$H$207,"Backlog"))</f>
        <v>0</v>
      </c>
      <c r="E189" s="17" t="n">
        <f aca="false">IF($B189="",0,SUMIFS('Zoho Dump'!$Y$8:$Y$3007,'Zoho Dump'!$N$8:$N$3007,$B189,'Zoho Dump'!$T$8:$T$3007,"Pipeline")+SUMIFS(Adjustments!$L$8:$L$207,Adjustments!$B$8:$B$207,$B189,Adjustments!$H$8:$H$207,"Pipeline")+SUMIFS('Zoho Dump'!$Y$8:$Y$3007,'Zoho Dump'!$N$8:$N$3007,$B189,'Zoho Dump'!$T$8:$T$3007,"Overdue")+SUMIFS(Adjustments!$L$8:$L$207,Adjustments!$B$8:$B$207,$B189,Adjustments!$H$8:$H$207,"Overdue"))</f>
        <v>0</v>
      </c>
      <c r="F189" s="17" t="n">
        <f aca="false">IF($B189="",0,SUMIFS('Zoho Dump'!$X$8:$X$3007,'Zoho Dump'!$N$8:$N$3007,$B189,'Zoho Dump'!$T$8:$T$3007,"Pipeline")+SUMIFS(Adjustments!$K$8:$K$207,Adjustments!$B$8:$B$207,$B189,Adjustments!$H$8:$H$207,"Pipeline")+SUMIFS('Zoho Dump'!$X$8:$X$3007,'Zoho Dump'!$N$8:$N$3007,$B189,'Zoho Dump'!$T$8:$T$3007,"Overdue")+SUMIFS(Adjustments!$K$8:$K$207,Adjustments!$B$8:$B$207,$B189,Adjustments!$H$8:$H$207,"Overdue"))</f>
        <v>0</v>
      </c>
      <c r="G189" s="17" t="n">
        <f aca="false">D189+F189</f>
        <v>0</v>
      </c>
      <c r="H189" s="18" t="n">
        <f aca="false">IF(SUM($G$5:$G$404)=0,0,G189/SUM($G$5:$G$404))</f>
        <v>0</v>
      </c>
      <c r="I189" s="17" t="n">
        <f aca="false">IF($B189="",0,SUMIFS('Zoho Dump'!$Q$8:$Q$3007,'Zoho Dump'!$N$8:$N$3007,$B189,'Zoho Dump'!$T$8:$T$3007,"Lost",'Zoho Dump'!$R$8:$R$3007,"&gt;="&amp;Settings!$B$4))</f>
        <v>0</v>
      </c>
      <c r="J189" s="9" t="str">
        <f aca="false">IF($B189="","",IF(COUNTIF(Dashboard!$C$13:$C$22,$B189)&gt;0,"Yes",""))</f>
        <v/>
      </c>
      <c r="K189" s="17" t="n">
        <f aca="false">IF($B189="",0,SUMIFS('Zoho Dump'!$X$8:$X$3007,'Zoho Dump'!$N$8:$N$3007,$B189,'Zoho Dump'!$P$8:$P$3007,Settings!$A$12)+SUMIFS(Adjustments!$K$8:$K$207,Adjustments!$B$8:$B$207,$B189,Adjustments!$A$8:$A$207,Settings!$A$12))</f>
        <v>0</v>
      </c>
      <c r="L189" s="17" t="n">
        <f aca="false">IF($B189="",0,SUMIFS('Zoho Dump'!$X$8:$X$3007,'Zoho Dump'!$N$8:$N$3007,$B189,'Zoho Dump'!$P$8:$P$3007,Settings!$A$13)+SUMIFS(Adjustments!$K$8:$K$207,Adjustments!$B$8:$B$207,$B189,Adjustments!$A$8:$A$207,Settings!$A$13))</f>
        <v>0</v>
      </c>
      <c r="M189" s="17" t="n">
        <f aca="false">IF($B189="",0,SUMIFS('Zoho Dump'!$X$8:$X$3007,'Zoho Dump'!$N$8:$N$3007,$B189,'Zoho Dump'!$P$8:$P$3007,Settings!$A$14)+SUMIFS(Adjustments!$K$8:$K$207,Adjustments!$B$8:$B$207,$B189,Adjustments!$A$8:$A$207,Settings!$A$14))</f>
        <v>0</v>
      </c>
      <c r="N189" s="17" t="n">
        <f aca="false">IF($B189="",0,SUMIFS('Zoho Dump'!$X$8:$X$3007,'Zoho Dump'!$N$8:$N$3007,$B189,'Zoho Dump'!$P$8:$P$3007,Settings!$A$15)+SUMIFS(Adjustments!$K$8:$K$207,Adjustments!$B$8:$B$207,$B189,Adjustments!$A$8:$A$207,Settings!$A$15))</f>
        <v>0</v>
      </c>
      <c r="O189" s="17" t="n">
        <f aca="false">IF($B189="",0,SUMIFS('Zoho Dump'!$X$8:$X$3007,'Zoho Dump'!$N$8:$N$3007,$B189,'Zoho Dump'!$P$8:$P$3007,Settings!$A$16)+SUMIFS(Adjustments!$K$8:$K$207,Adjustments!$B$8:$B$207,$B189,Adjustments!$A$8:$A$207,Settings!$A$16))</f>
        <v>0</v>
      </c>
      <c r="P189" s="17" t="n">
        <f aca="false">IF($B189="",0,SUMIFS('Zoho Dump'!$X$8:$X$3007,'Zoho Dump'!$N$8:$N$3007,$B189,'Zoho Dump'!$P$8:$P$3007,Settings!$A$17)+SUMIFS(Adjustments!$K$8:$K$207,Adjustments!$B$8:$B$207,$B189,Adjustments!$A$8:$A$207,Settings!$A$17))</f>
        <v>0</v>
      </c>
      <c r="Q189" s="17" t="n">
        <f aca="false">IF($B189="",0,SUMIFS('Zoho Dump'!$X$8:$X$3007,'Zoho Dump'!$N$8:$N$3007,$B189,'Zoho Dump'!$P$8:$P$3007,Settings!$A$18)+SUMIFS(Adjustments!$K$8:$K$207,Adjustments!$B$8:$B$207,$B189,Adjustments!$A$8:$A$207,Settings!$A$18))</f>
        <v>0</v>
      </c>
      <c r="R189" s="30" t="str">
        <f aca="false">IF(G189&gt;0,G189+A189/10000000,"")</f>
        <v/>
      </c>
    </row>
    <row r="190" customFormat="false" ht="15" hidden="false" customHeight="false" outlineLevel="0" collapsed="false">
      <c r="A190" s="9" t="n">
        <v>186</v>
      </c>
      <c r="B190" s="9" t="str">
        <f aca="false">IFERROR(INDEX('Zoho Dump'!$N$8:$N$3007,MATCH(A190,'Zoho Dump'!$AB$8:$AB$3007,0)),"")</f>
        <v/>
      </c>
      <c r="C190" s="17" t="n">
        <f aca="false">IF($B190="",0,SUMIFS('Zoho Dump'!$Q$8:$Q$3007,'Zoho Dump'!$N$8:$N$3007,$B190,'Zoho Dump'!$T$8:$T$3007,"Delivered",'Zoho Dump'!$R$8:$R$3007,"&gt;="&amp;Settings!$B$4))</f>
        <v>0</v>
      </c>
      <c r="D190" s="17" t="n">
        <f aca="false">IF($B190="",0,SUMIFS('Zoho Dump'!$X$8:$X$3007,'Zoho Dump'!$N$8:$N$3007,$B190,'Zoho Dump'!$T$8:$T$3007,"Backlog")+SUMIFS(Adjustments!$K$8:$K$207,Adjustments!$B$8:$B$207,$B190,Adjustments!$H$8:$H$207,"Backlog"))</f>
        <v>0</v>
      </c>
      <c r="E190" s="17" t="n">
        <f aca="false">IF($B190="",0,SUMIFS('Zoho Dump'!$Y$8:$Y$3007,'Zoho Dump'!$N$8:$N$3007,$B190,'Zoho Dump'!$T$8:$T$3007,"Pipeline")+SUMIFS(Adjustments!$L$8:$L$207,Adjustments!$B$8:$B$207,$B190,Adjustments!$H$8:$H$207,"Pipeline")+SUMIFS('Zoho Dump'!$Y$8:$Y$3007,'Zoho Dump'!$N$8:$N$3007,$B190,'Zoho Dump'!$T$8:$T$3007,"Overdue")+SUMIFS(Adjustments!$L$8:$L$207,Adjustments!$B$8:$B$207,$B190,Adjustments!$H$8:$H$207,"Overdue"))</f>
        <v>0</v>
      </c>
      <c r="F190" s="17" t="n">
        <f aca="false">IF($B190="",0,SUMIFS('Zoho Dump'!$X$8:$X$3007,'Zoho Dump'!$N$8:$N$3007,$B190,'Zoho Dump'!$T$8:$T$3007,"Pipeline")+SUMIFS(Adjustments!$K$8:$K$207,Adjustments!$B$8:$B$207,$B190,Adjustments!$H$8:$H$207,"Pipeline")+SUMIFS('Zoho Dump'!$X$8:$X$3007,'Zoho Dump'!$N$8:$N$3007,$B190,'Zoho Dump'!$T$8:$T$3007,"Overdue")+SUMIFS(Adjustments!$K$8:$K$207,Adjustments!$B$8:$B$207,$B190,Adjustments!$H$8:$H$207,"Overdue"))</f>
        <v>0</v>
      </c>
      <c r="G190" s="17" t="n">
        <f aca="false">D190+F190</f>
        <v>0</v>
      </c>
      <c r="H190" s="18" t="n">
        <f aca="false">IF(SUM($G$5:$G$404)=0,0,G190/SUM($G$5:$G$404))</f>
        <v>0</v>
      </c>
      <c r="I190" s="17" t="n">
        <f aca="false">IF($B190="",0,SUMIFS('Zoho Dump'!$Q$8:$Q$3007,'Zoho Dump'!$N$8:$N$3007,$B190,'Zoho Dump'!$T$8:$T$3007,"Lost",'Zoho Dump'!$R$8:$R$3007,"&gt;="&amp;Settings!$B$4))</f>
        <v>0</v>
      </c>
      <c r="J190" s="9" t="str">
        <f aca="false">IF($B190="","",IF(COUNTIF(Dashboard!$C$13:$C$22,$B190)&gt;0,"Yes",""))</f>
        <v/>
      </c>
      <c r="K190" s="17" t="n">
        <f aca="false">IF($B190="",0,SUMIFS('Zoho Dump'!$X$8:$X$3007,'Zoho Dump'!$N$8:$N$3007,$B190,'Zoho Dump'!$P$8:$P$3007,Settings!$A$12)+SUMIFS(Adjustments!$K$8:$K$207,Adjustments!$B$8:$B$207,$B190,Adjustments!$A$8:$A$207,Settings!$A$12))</f>
        <v>0</v>
      </c>
      <c r="L190" s="17" t="n">
        <f aca="false">IF($B190="",0,SUMIFS('Zoho Dump'!$X$8:$X$3007,'Zoho Dump'!$N$8:$N$3007,$B190,'Zoho Dump'!$P$8:$P$3007,Settings!$A$13)+SUMIFS(Adjustments!$K$8:$K$207,Adjustments!$B$8:$B$207,$B190,Adjustments!$A$8:$A$207,Settings!$A$13))</f>
        <v>0</v>
      </c>
      <c r="M190" s="17" t="n">
        <f aca="false">IF($B190="",0,SUMIFS('Zoho Dump'!$X$8:$X$3007,'Zoho Dump'!$N$8:$N$3007,$B190,'Zoho Dump'!$P$8:$P$3007,Settings!$A$14)+SUMIFS(Adjustments!$K$8:$K$207,Adjustments!$B$8:$B$207,$B190,Adjustments!$A$8:$A$207,Settings!$A$14))</f>
        <v>0</v>
      </c>
      <c r="N190" s="17" t="n">
        <f aca="false">IF($B190="",0,SUMIFS('Zoho Dump'!$X$8:$X$3007,'Zoho Dump'!$N$8:$N$3007,$B190,'Zoho Dump'!$P$8:$P$3007,Settings!$A$15)+SUMIFS(Adjustments!$K$8:$K$207,Adjustments!$B$8:$B$207,$B190,Adjustments!$A$8:$A$207,Settings!$A$15))</f>
        <v>0</v>
      </c>
      <c r="O190" s="17" t="n">
        <f aca="false">IF($B190="",0,SUMIFS('Zoho Dump'!$X$8:$X$3007,'Zoho Dump'!$N$8:$N$3007,$B190,'Zoho Dump'!$P$8:$P$3007,Settings!$A$16)+SUMIFS(Adjustments!$K$8:$K$207,Adjustments!$B$8:$B$207,$B190,Adjustments!$A$8:$A$207,Settings!$A$16))</f>
        <v>0</v>
      </c>
      <c r="P190" s="17" t="n">
        <f aca="false">IF($B190="",0,SUMIFS('Zoho Dump'!$X$8:$X$3007,'Zoho Dump'!$N$8:$N$3007,$B190,'Zoho Dump'!$P$8:$P$3007,Settings!$A$17)+SUMIFS(Adjustments!$K$8:$K$207,Adjustments!$B$8:$B$207,$B190,Adjustments!$A$8:$A$207,Settings!$A$17))</f>
        <v>0</v>
      </c>
      <c r="Q190" s="17" t="n">
        <f aca="false">IF($B190="",0,SUMIFS('Zoho Dump'!$X$8:$X$3007,'Zoho Dump'!$N$8:$N$3007,$B190,'Zoho Dump'!$P$8:$P$3007,Settings!$A$18)+SUMIFS(Adjustments!$K$8:$K$207,Adjustments!$B$8:$B$207,$B190,Adjustments!$A$8:$A$207,Settings!$A$18))</f>
        <v>0</v>
      </c>
      <c r="R190" s="30" t="str">
        <f aca="false">IF(G190&gt;0,G190+A190/10000000,"")</f>
        <v/>
      </c>
    </row>
    <row r="191" customFormat="false" ht="15" hidden="false" customHeight="false" outlineLevel="0" collapsed="false">
      <c r="A191" s="9" t="n">
        <v>187</v>
      </c>
      <c r="B191" s="9" t="str">
        <f aca="false">IFERROR(INDEX('Zoho Dump'!$N$8:$N$3007,MATCH(A191,'Zoho Dump'!$AB$8:$AB$3007,0)),"")</f>
        <v/>
      </c>
      <c r="C191" s="17" t="n">
        <f aca="false">IF($B191="",0,SUMIFS('Zoho Dump'!$Q$8:$Q$3007,'Zoho Dump'!$N$8:$N$3007,$B191,'Zoho Dump'!$T$8:$T$3007,"Delivered",'Zoho Dump'!$R$8:$R$3007,"&gt;="&amp;Settings!$B$4))</f>
        <v>0</v>
      </c>
      <c r="D191" s="17" t="n">
        <f aca="false">IF($B191="",0,SUMIFS('Zoho Dump'!$X$8:$X$3007,'Zoho Dump'!$N$8:$N$3007,$B191,'Zoho Dump'!$T$8:$T$3007,"Backlog")+SUMIFS(Adjustments!$K$8:$K$207,Adjustments!$B$8:$B$207,$B191,Adjustments!$H$8:$H$207,"Backlog"))</f>
        <v>0</v>
      </c>
      <c r="E191" s="17" t="n">
        <f aca="false">IF($B191="",0,SUMIFS('Zoho Dump'!$Y$8:$Y$3007,'Zoho Dump'!$N$8:$N$3007,$B191,'Zoho Dump'!$T$8:$T$3007,"Pipeline")+SUMIFS(Adjustments!$L$8:$L$207,Adjustments!$B$8:$B$207,$B191,Adjustments!$H$8:$H$207,"Pipeline")+SUMIFS('Zoho Dump'!$Y$8:$Y$3007,'Zoho Dump'!$N$8:$N$3007,$B191,'Zoho Dump'!$T$8:$T$3007,"Overdue")+SUMIFS(Adjustments!$L$8:$L$207,Adjustments!$B$8:$B$207,$B191,Adjustments!$H$8:$H$207,"Overdue"))</f>
        <v>0</v>
      </c>
      <c r="F191" s="17" t="n">
        <f aca="false">IF($B191="",0,SUMIFS('Zoho Dump'!$X$8:$X$3007,'Zoho Dump'!$N$8:$N$3007,$B191,'Zoho Dump'!$T$8:$T$3007,"Pipeline")+SUMIFS(Adjustments!$K$8:$K$207,Adjustments!$B$8:$B$207,$B191,Adjustments!$H$8:$H$207,"Pipeline")+SUMIFS('Zoho Dump'!$X$8:$X$3007,'Zoho Dump'!$N$8:$N$3007,$B191,'Zoho Dump'!$T$8:$T$3007,"Overdue")+SUMIFS(Adjustments!$K$8:$K$207,Adjustments!$B$8:$B$207,$B191,Adjustments!$H$8:$H$207,"Overdue"))</f>
        <v>0</v>
      </c>
      <c r="G191" s="17" t="n">
        <f aca="false">D191+F191</f>
        <v>0</v>
      </c>
      <c r="H191" s="18" t="n">
        <f aca="false">IF(SUM($G$5:$G$404)=0,0,G191/SUM($G$5:$G$404))</f>
        <v>0</v>
      </c>
      <c r="I191" s="17" t="n">
        <f aca="false">IF($B191="",0,SUMIFS('Zoho Dump'!$Q$8:$Q$3007,'Zoho Dump'!$N$8:$N$3007,$B191,'Zoho Dump'!$T$8:$T$3007,"Lost",'Zoho Dump'!$R$8:$R$3007,"&gt;="&amp;Settings!$B$4))</f>
        <v>0</v>
      </c>
      <c r="J191" s="9" t="str">
        <f aca="false">IF($B191="","",IF(COUNTIF(Dashboard!$C$13:$C$22,$B191)&gt;0,"Yes",""))</f>
        <v/>
      </c>
      <c r="K191" s="17" t="n">
        <f aca="false">IF($B191="",0,SUMIFS('Zoho Dump'!$X$8:$X$3007,'Zoho Dump'!$N$8:$N$3007,$B191,'Zoho Dump'!$P$8:$P$3007,Settings!$A$12)+SUMIFS(Adjustments!$K$8:$K$207,Adjustments!$B$8:$B$207,$B191,Adjustments!$A$8:$A$207,Settings!$A$12))</f>
        <v>0</v>
      </c>
      <c r="L191" s="17" t="n">
        <f aca="false">IF($B191="",0,SUMIFS('Zoho Dump'!$X$8:$X$3007,'Zoho Dump'!$N$8:$N$3007,$B191,'Zoho Dump'!$P$8:$P$3007,Settings!$A$13)+SUMIFS(Adjustments!$K$8:$K$207,Adjustments!$B$8:$B$207,$B191,Adjustments!$A$8:$A$207,Settings!$A$13))</f>
        <v>0</v>
      </c>
      <c r="M191" s="17" t="n">
        <f aca="false">IF($B191="",0,SUMIFS('Zoho Dump'!$X$8:$X$3007,'Zoho Dump'!$N$8:$N$3007,$B191,'Zoho Dump'!$P$8:$P$3007,Settings!$A$14)+SUMIFS(Adjustments!$K$8:$K$207,Adjustments!$B$8:$B$207,$B191,Adjustments!$A$8:$A$207,Settings!$A$14))</f>
        <v>0</v>
      </c>
      <c r="N191" s="17" t="n">
        <f aca="false">IF($B191="",0,SUMIFS('Zoho Dump'!$X$8:$X$3007,'Zoho Dump'!$N$8:$N$3007,$B191,'Zoho Dump'!$P$8:$P$3007,Settings!$A$15)+SUMIFS(Adjustments!$K$8:$K$207,Adjustments!$B$8:$B$207,$B191,Adjustments!$A$8:$A$207,Settings!$A$15))</f>
        <v>0</v>
      </c>
      <c r="O191" s="17" t="n">
        <f aca="false">IF($B191="",0,SUMIFS('Zoho Dump'!$X$8:$X$3007,'Zoho Dump'!$N$8:$N$3007,$B191,'Zoho Dump'!$P$8:$P$3007,Settings!$A$16)+SUMIFS(Adjustments!$K$8:$K$207,Adjustments!$B$8:$B$207,$B191,Adjustments!$A$8:$A$207,Settings!$A$16))</f>
        <v>0</v>
      </c>
      <c r="P191" s="17" t="n">
        <f aca="false">IF($B191="",0,SUMIFS('Zoho Dump'!$X$8:$X$3007,'Zoho Dump'!$N$8:$N$3007,$B191,'Zoho Dump'!$P$8:$P$3007,Settings!$A$17)+SUMIFS(Adjustments!$K$8:$K$207,Adjustments!$B$8:$B$207,$B191,Adjustments!$A$8:$A$207,Settings!$A$17))</f>
        <v>0</v>
      </c>
      <c r="Q191" s="17" t="n">
        <f aca="false">IF($B191="",0,SUMIFS('Zoho Dump'!$X$8:$X$3007,'Zoho Dump'!$N$8:$N$3007,$B191,'Zoho Dump'!$P$8:$P$3007,Settings!$A$18)+SUMIFS(Adjustments!$K$8:$K$207,Adjustments!$B$8:$B$207,$B191,Adjustments!$A$8:$A$207,Settings!$A$18))</f>
        <v>0</v>
      </c>
      <c r="R191" s="30" t="str">
        <f aca="false">IF(G191&gt;0,G191+A191/10000000,"")</f>
        <v/>
      </c>
    </row>
    <row r="192" customFormat="false" ht="15" hidden="false" customHeight="false" outlineLevel="0" collapsed="false">
      <c r="A192" s="9" t="n">
        <v>188</v>
      </c>
      <c r="B192" s="9" t="str">
        <f aca="false">IFERROR(INDEX('Zoho Dump'!$N$8:$N$3007,MATCH(A192,'Zoho Dump'!$AB$8:$AB$3007,0)),"")</f>
        <v/>
      </c>
      <c r="C192" s="17" t="n">
        <f aca="false">IF($B192="",0,SUMIFS('Zoho Dump'!$Q$8:$Q$3007,'Zoho Dump'!$N$8:$N$3007,$B192,'Zoho Dump'!$T$8:$T$3007,"Delivered",'Zoho Dump'!$R$8:$R$3007,"&gt;="&amp;Settings!$B$4))</f>
        <v>0</v>
      </c>
      <c r="D192" s="17" t="n">
        <f aca="false">IF($B192="",0,SUMIFS('Zoho Dump'!$X$8:$X$3007,'Zoho Dump'!$N$8:$N$3007,$B192,'Zoho Dump'!$T$8:$T$3007,"Backlog")+SUMIFS(Adjustments!$K$8:$K$207,Adjustments!$B$8:$B$207,$B192,Adjustments!$H$8:$H$207,"Backlog"))</f>
        <v>0</v>
      </c>
      <c r="E192" s="17" t="n">
        <f aca="false">IF($B192="",0,SUMIFS('Zoho Dump'!$Y$8:$Y$3007,'Zoho Dump'!$N$8:$N$3007,$B192,'Zoho Dump'!$T$8:$T$3007,"Pipeline")+SUMIFS(Adjustments!$L$8:$L$207,Adjustments!$B$8:$B$207,$B192,Adjustments!$H$8:$H$207,"Pipeline")+SUMIFS('Zoho Dump'!$Y$8:$Y$3007,'Zoho Dump'!$N$8:$N$3007,$B192,'Zoho Dump'!$T$8:$T$3007,"Overdue")+SUMIFS(Adjustments!$L$8:$L$207,Adjustments!$B$8:$B$207,$B192,Adjustments!$H$8:$H$207,"Overdue"))</f>
        <v>0</v>
      </c>
      <c r="F192" s="17" t="n">
        <f aca="false">IF($B192="",0,SUMIFS('Zoho Dump'!$X$8:$X$3007,'Zoho Dump'!$N$8:$N$3007,$B192,'Zoho Dump'!$T$8:$T$3007,"Pipeline")+SUMIFS(Adjustments!$K$8:$K$207,Adjustments!$B$8:$B$207,$B192,Adjustments!$H$8:$H$207,"Pipeline")+SUMIFS('Zoho Dump'!$X$8:$X$3007,'Zoho Dump'!$N$8:$N$3007,$B192,'Zoho Dump'!$T$8:$T$3007,"Overdue")+SUMIFS(Adjustments!$K$8:$K$207,Adjustments!$B$8:$B$207,$B192,Adjustments!$H$8:$H$207,"Overdue"))</f>
        <v>0</v>
      </c>
      <c r="G192" s="17" t="n">
        <f aca="false">D192+F192</f>
        <v>0</v>
      </c>
      <c r="H192" s="18" t="n">
        <f aca="false">IF(SUM($G$5:$G$404)=0,0,G192/SUM($G$5:$G$404))</f>
        <v>0</v>
      </c>
      <c r="I192" s="17" t="n">
        <f aca="false">IF($B192="",0,SUMIFS('Zoho Dump'!$Q$8:$Q$3007,'Zoho Dump'!$N$8:$N$3007,$B192,'Zoho Dump'!$T$8:$T$3007,"Lost",'Zoho Dump'!$R$8:$R$3007,"&gt;="&amp;Settings!$B$4))</f>
        <v>0</v>
      </c>
      <c r="J192" s="9" t="str">
        <f aca="false">IF($B192="","",IF(COUNTIF(Dashboard!$C$13:$C$22,$B192)&gt;0,"Yes",""))</f>
        <v/>
      </c>
      <c r="K192" s="17" t="n">
        <f aca="false">IF($B192="",0,SUMIFS('Zoho Dump'!$X$8:$X$3007,'Zoho Dump'!$N$8:$N$3007,$B192,'Zoho Dump'!$P$8:$P$3007,Settings!$A$12)+SUMIFS(Adjustments!$K$8:$K$207,Adjustments!$B$8:$B$207,$B192,Adjustments!$A$8:$A$207,Settings!$A$12))</f>
        <v>0</v>
      </c>
      <c r="L192" s="17" t="n">
        <f aca="false">IF($B192="",0,SUMIFS('Zoho Dump'!$X$8:$X$3007,'Zoho Dump'!$N$8:$N$3007,$B192,'Zoho Dump'!$P$8:$P$3007,Settings!$A$13)+SUMIFS(Adjustments!$K$8:$K$207,Adjustments!$B$8:$B$207,$B192,Adjustments!$A$8:$A$207,Settings!$A$13))</f>
        <v>0</v>
      </c>
      <c r="M192" s="17" t="n">
        <f aca="false">IF($B192="",0,SUMIFS('Zoho Dump'!$X$8:$X$3007,'Zoho Dump'!$N$8:$N$3007,$B192,'Zoho Dump'!$P$8:$P$3007,Settings!$A$14)+SUMIFS(Adjustments!$K$8:$K$207,Adjustments!$B$8:$B$207,$B192,Adjustments!$A$8:$A$207,Settings!$A$14))</f>
        <v>0</v>
      </c>
      <c r="N192" s="17" t="n">
        <f aca="false">IF($B192="",0,SUMIFS('Zoho Dump'!$X$8:$X$3007,'Zoho Dump'!$N$8:$N$3007,$B192,'Zoho Dump'!$P$8:$P$3007,Settings!$A$15)+SUMIFS(Adjustments!$K$8:$K$207,Adjustments!$B$8:$B$207,$B192,Adjustments!$A$8:$A$207,Settings!$A$15))</f>
        <v>0</v>
      </c>
      <c r="O192" s="17" t="n">
        <f aca="false">IF($B192="",0,SUMIFS('Zoho Dump'!$X$8:$X$3007,'Zoho Dump'!$N$8:$N$3007,$B192,'Zoho Dump'!$P$8:$P$3007,Settings!$A$16)+SUMIFS(Adjustments!$K$8:$K$207,Adjustments!$B$8:$B$207,$B192,Adjustments!$A$8:$A$207,Settings!$A$16))</f>
        <v>0</v>
      </c>
      <c r="P192" s="17" t="n">
        <f aca="false">IF($B192="",0,SUMIFS('Zoho Dump'!$X$8:$X$3007,'Zoho Dump'!$N$8:$N$3007,$B192,'Zoho Dump'!$P$8:$P$3007,Settings!$A$17)+SUMIFS(Adjustments!$K$8:$K$207,Adjustments!$B$8:$B$207,$B192,Adjustments!$A$8:$A$207,Settings!$A$17))</f>
        <v>0</v>
      </c>
      <c r="Q192" s="17" t="n">
        <f aca="false">IF($B192="",0,SUMIFS('Zoho Dump'!$X$8:$X$3007,'Zoho Dump'!$N$8:$N$3007,$B192,'Zoho Dump'!$P$8:$P$3007,Settings!$A$18)+SUMIFS(Adjustments!$K$8:$K$207,Adjustments!$B$8:$B$207,$B192,Adjustments!$A$8:$A$207,Settings!$A$18))</f>
        <v>0</v>
      </c>
      <c r="R192" s="30" t="str">
        <f aca="false">IF(G192&gt;0,G192+A192/10000000,"")</f>
        <v/>
      </c>
    </row>
    <row r="193" customFormat="false" ht="15" hidden="false" customHeight="false" outlineLevel="0" collapsed="false">
      <c r="A193" s="9" t="n">
        <v>189</v>
      </c>
      <c r="B193" s="9" t="str">
        <f aca="false">IFERROR(INDEX('Zoho Dump'!$N$8:$N$3007,MATCH(A193,'Zoho Dump'!$AB$8:$AB$3007,0)),"")</f>
        <v/>
      </c>
      <c r="C193" s="17" t="n">
        <f aca="false">IF($B193="",0,SUMIFS('Zoho Dump'!$Q$8:$Q$3007,'Zoho Dump'!$N$8:$N$3007,$B193,'Zoho Dump'!$T$8:$T$3007,"Delivered",'Zoho Dump'!$R$8:$R$3007,"&gt;="&amp;Settings!$B$4))</f>
        <v>0</v>
      </c>
      <c r="D193" s="17" t="n">
        <f aca="false">IF($B193="",0,SUMIFS('Zoho Dump'!$X$8:$X$3007,'Zoho Dump'!$N$8:$N$3007,$B193,'Zoho Dump'!$T$8:$T$3007,"Backlog")+SUMIFS(Adjustments!$K$8:$K$207,Adjustments!$B$8:$B$207,$B193,Adjustments!$H$8:$H$207,"Backlog"))</f>
        <v>0</v>
      </c>
      <c r="E193" s="17" t="n">
        <f aca="false">IF($B193="",0,SUMIFS('Zoho Dump'!$Y$8:$Y$3007,'Zoho Dump'!$N$8:$N$3007,$B193,'Zoho Dump'!$T$8:$T$3007,"Pipeline")+SUMIFS(Adjustments!$L$8:$L$207,Adjustments!$B$8:$B$207,$B193,Adjustments!$H$8:$H$207,"Pipeline")+SUMIFS('Zoho Dump'!$Y$8:$Y$3007,'Zoho Dump'!$N$8:$N$3007,$B193,'Zoho Dump'!$T$8:$T$3007,"Overdue")+SUMIFS(Adjustments!$L$8:$L$207,Adjustments!$B$8:$B$207,$B193,Adjustments!$H$8:$H$207,"Overdue"))</f>
        <v>0</v>
      </c>
      <c r="F193" s="17" t="n">
        <f aca="false">IF($B193="",0,SUMIFS('Zoho Dump'!$X$8:$X$3007,'Zoho Dump'!$N$8:$N$3007,$B193,'Zoho Dump'!$T$8:$T$3007,"Pipeline")+SUMIFS(Adjustments!$K$8:$K$207,Adjustments!$B$8:$B$207,$B193,Adjustments!$H$8:$H$207,"Pipeline")+SUMIFS('Zoho Dump'!$X$8:$X$3007,'Zoho Dump'!$N$8:$N$3007,$B193,'Zoho Dump'!$T$8:$T$3007,"Overdue")+SUMIFS(Adjustments!$K$8:$K$207,Adjustments!$B$8:$B$207,$B193,Adjustments!$H$8:$H$207,"Overdue"))</f>
        <v>0</v>
      </c>
      <c r="G193" s="17" t="n">
        <f aca="false">D193+F193</f>
        <v>0</v>
      </c>
      <c r="H193" s="18" t="n">
        <f aca="false">IF(SUM($G$5:$G$404)=0,0,G193/SUM($G$5:$G$404))</f>
        <v>0</v>
      </c>
      <c r="I193" s="17" t="n">
        <f aca="false">IF($B193="",0,SUMIFS('Zoho Dump'!$Q$8:$Q$3007,'Zoho Dump'!$N$8:$N$3007,$B193,'Zoho Dump'!$T$8:$T$3007,"Lost",'Zoho Dump'!$R$8:$R$3007,"&gt;="&amp;Settings!$B$4))</f>
        <v>0</v>
      </c>
      <c r="J193" s="9" t="str">
        <f aca="false">IF($B193="","",IF(COUNTIF(Dashboard!$C$13:$C$22,$B193)&gt;0,"Yes",""))</f>
        <v/>
      </c>
      <c r="K193" s="17" t="n">
        <f aca="false">IF($B193="",0,SUMIFS('Zoho Dump'!$X$8:$X$3007,'Zoho Dump'!$N$8:$N$3007,$B193,'Zoho Dump'!$P$8:$P$3007,Settings!$A$12)+SUMIFS(Adjustments!$K$8:$K$207,Adjustments!$B$8:$B$207,$B193,Adjustments!$A$8:$A$207,Settings!$A$12))</f>
        <v>0</v>
      </c>
      <c r="L193" s="17" t="n">
        <f aca="false">IF($B193="",0,SUMIFS('Zoho Dump'!$X$8:$X$3007,'Zoho Dump'!$N$8:$N$3007,$B193,'Zoho Dump'!$P$8:$P$3007,Settings!$A$13)+SUMIFS(Adjustments!$K$8:$K$207,Adjustments!$B$8:$B$207,$B193,Adjustments!$A$8:$A$207,Settings!$A$13))</f>
        <v>0</v>
      </c>
      <c r="M193" s="17" t="n">
        <f aca="false">IF($B193="",0,SUMIFS('Zoho Dump'!$X$8:$X$3007,'Zoho Dump'!$N$8:$N$3007,$B193,'Zoho Dump'!$P$8:$P$3007,Settings!$A$14)+SUMIFS(Adjustments!$K$8:$K$207,Adjustments!$B$8:$B$207,$B193,Adjustments!$A$8:$A$207,Settings!$A$14))</f>
        <v>0</v>
      </c>
      <c r="N193" s="17" t="n">
        <f aca="false">IF($B193="",0,SUMIFS('Zoho Dump'!$X$8:$X$3007,'Zoho Dump'!$N$8:$N$3007,$B193,'Zoho Dump'!$P$8:$P$3007,Settings!$A$15)+SUMIFS(Adjustments!$K$8:$K$207,Adjustments!$B$8:$B$207,$B193,Adjustments!$A$8:$A$207,Settings!$A$15))</f>
        <v>0</v>
      </c>
      <c r="O193" s="17" t="n">
        <f aca="false">IF($B193="",0,SUMIFS('Zoho Dump'!$X$8:$X$3007,'Zoho Dump'!$N$8:$N$3007,$B193,'Zoho Dump'!$P$8:$P$3007,Settings!$A$16)+SUMIFS(Adjustments!$K$8:$K$207,Adjustments!$B$8:$B$207,$B193,Adjustments!$A$8:$A$207,Settings!$A$16))</f>
        <v>0</v>
      </c>
      <c r="P193" s="17" t="n">
        <f aca="false">IF($B193="",0,SUMIFS('Zoho Dump'!$X$8:$X$3007,'Zoho Dump'!$N$8:$N$3007,$B193,'Zoho Dump'!$P$8:$P$3007,Settings!$A$17)+SUMIFS(Adjustments!$K$8:$K$207,Adjustments!$B$8:$B$207,$B193,Adjustments!$A$8:$A$207,Settings!$A$17))</f>
        <v>0</v>
      </c>
      <c r="Q193" s="17" t="n">
        <f aca="false">IF($B193="",0,SUMIFS('Zoho Dump'!$X$8:$X$3007,'Zoho Dump'!$N$8:$N$3007,$B193,'Zoho Dump'!$P$8:$P$3007,Settings!$A$18)+SUMIFS(Adjustments!$K$8:$K$207,Adjustments!$B$8:$B$207,$B193,Adjustments!$A$8:$A$207,Settings!$A$18))</f>
        <v>0</v>
      </c>
      <c r="R193" s="30" t="str">
        <f aca="false">IF(G193&gt;0,G193+A193/10000000,"")</f>
        <v/>
      </c>
    </row>
    <row r="194" customFormat="false" ht="15" hidden="false" customHeight="false" outlineLevel="0" collapsed="false">
      <c r="A194" s="9" t="n">
        <v>190</v>
      </c>
      <c r="B194" s="9" t="str">
        <f aca="false">IFERROR(INDEX('Zoho Dump'!$N$8:$N$3007,MATCH(A194,'Zoho Dump'!$AB$8:$AB$3007,0)),"")</f>
        <v/>
      </c>
      <c r="C194" s="17" t="n">
        <f aca="false">IF($B194="",0,SUMIFS('Zoho Dump'!$Q$8:$Q$3007,'Zoho Dump'!$N$8:$N$3007,$B194,'Zoho Dump'!$T$8:$T$3007,"Delivered",'Zoho Dump'!$R$8:$R$3007,"&gt;="&amp;Settings!$B$4))</f>
        <v>0</v>
      </c>
      <c r="D194" s="17" t="n">
        <f aca="false">IF($B194="",0,SUMIFS('Zoho Dump'!$X$8:$X$3007,'Zoho Dump'!$N$8:$N$3007,$B194,'Zoho Dump'!$T$8:$T$3007,"Backlog")+SUMIFS(Adjustments!$K$8:$K$207,Adjustments!$B$8:$B$207,$B194,Adjustments!$H$8:$H$207,"Backlog"))</f>
        <v>0</v>
      </c>
      <c r="E194" s="17" t="n">
        <f aca="false">IF($B194="",0,SUMIFS('Zoho Dump'!$Y$8:$Y$3007,'Zoho Dump'!$N$8:$N$3007,$B194,'Zoho Dump'!$T$8:$T$3007,"Pipeline")+SUMIFS(Adjustments!$L$8:$L$207,Adjustments!$B$8:$B$207,$B194,Adjustments!$H$8:$H$207,"Pipeline")+SUMIFS('Zoho Dump'!$Y$8:$Y$3007,'Zoho Dump'!$N$8:$N$3007,$B194,'Zoho Dump'!$T$8:$T$3007,"Overdue")+SUMIFS(Adjustments!$L$8:$L$207,Adjustments!$B$8:$B$207,$B194,Adjustments!$H$8:$H$207,"Overdue"))</f>
        <v>0</v>
      </c>
      <c r="F194" s="17" t="n">
        <f aca="false">IF($B194="",0,SUMIFS('Zoho Dump'!$X$8:$X$3007,'Zoho Dump'!$N$8:$N$3007,$B194,'Zoho Dump'!$T$8:$T$3007,"Pipeline")+SUMIFS(Adjustments!$K$8:$K$207,Adjustments!$B$8:$B$207,$B194,Adjustments!$H$8:$H$207,"Pipeline")+SUMIFS('Zoho Dump'!$X$8:$X$3007,'Zoho Dump'!$N$8:$N$3007,$B194,'Zoho Dump'!$T$8:$T$3007,"Overdue")+SUMIFS(Adjustments!$K$8:$K$207,Adjustments!$B$8:$B$207,$B194,Adjustments!$H$8:$H$207,"Overdue"))</f>
        <v>0</v>
      </c>
      <c r="G194" s="17" t="n">
        <f aca="false">D194+F194</f>
        <v>0</v>
      </c>
      <c r="H194" s="18" t="n">
        <f aca="false">IF(SUM($G$5:$G$404)=0,0,G194/SUM($G$5:$G$404))</f>
        <v>0</v>
      </c>
      <c r="I194" s="17" t="n">
        <f aca="false">IF($B194="",0,SUMIFS('Zoho Dump'!$Q$8:$Q$3007,'Zoho Dump'!$N$8:$N$3007,$B194,'Zoho Dump'!$T$8:$T$3007,"Lost",'Zoho Dump'!$R$8:$R$3007,"&gt;="&amp;Settings!$B$4))</f>
        <v>0</v>
      </c>
      <c r="J194" s="9" t="str">
        <f aca="false">IF($B194="","",IF(COUNTIF(Dashboard!$C$13:$C$22,$B194)&gt;0,"Yes",""))</f>
        <v/>
      </c>
      <c r="K194" s="17" t="n">
        <f aca="false">IF($B194="",0,SUMIFS('Zoho Dump'!$X$8:$X$3007,'Zoho Dump'!$N$8:$N$3007,$B194,'Zoho Dump'!$P$8:$P$3007,Settings!$A$12)+SUMIFS(Adjustments!$K$8:$K$207,Adjustments!$B$8:$B$207,$B194,Adjustments!$A$8:$A$207,Settings!$A$12))</f>
        <v>0</v>
      </c>
      <c r="L194" s="17" t="n">
        <f aca="false">IF($B194="",0,SUMIFS('Zoho Dump'!$X$8:$X$3007,'Zoho Dump'!$N$8:$N$3007,$B194,'Zoho Dump'!$P$8:$P$3007,Settings!$A$13)+SUMIFS(Adjustments!$K$8:$K$207,Adjustments!$B$8:$B$207,$B194,Adjustments!$A$8:$A$207,Settings!$A$13))</f>
        <v>0</v>
      </c>
      <c r="M194" s="17" t="n">
        <f aca="false">IF($B194="",0,SUMIFS('Zoho Dump'!$X$8:$X$3007,'Zoho Dump'!$N$8:$N$3007,$B194,'Zoho Dump'!$P$8:$P$3007,Settings!$A$14)+SUMIFS(Adjustments!$K$8:$K$207,Adjustments!$B$8:$B$207,$B194,Adjustments!$A$8:$A$207,Settings!$A$14))</f>
        <v>0</v>
      </c>
      <c r="N194" s="17" t="n">
        <f aca="false">IF($B194="",0,SUMIFS('Zoho Dump'!$X$8:$X$3007,'Zoho Dump'!$N$8:$N$3007,$B194,'Zoho Dump'!$P$8:$P$3007,Settings!$A$15)+SUMIFS(Adjustments!$K$8:$K$207,Adjustments!$B$8:$B$207,$B194,Adjustments!$A$8:$A$207,Settings!$A$15))</f>
        <v>0</v>
      </c>
      <c r="O194" s="17" t="n">
        <f aca="false">IF($B194="",0,SUMIFS('Zoho Dump'!$X$8:$X$3007,'Zoho Dump'!$N$8:$N$3007,$B194,'Zoho Dump'!$P$8:$P$3007,Settings!$A$16)+SUMIFS(Adjustments!$K$8:$K$207,Adjustments!$B$8:$B$207,$B194,Adjustments!$A$8:$A$207,Settings!$A$16))</f>
        <v>0</v>
      </c>
      <c r="P194" s="17" t="n">
        <f aca="false">IF($B194="",0,SUMIFS('Zoho Dump'!$X$8:$X$3007,'Zoho Dump'!$N$8:$N$3007,$B194,'Zoho Dump'!$P$8:$P$3007,Settings!$A$17)+SUMIFS(Adjustments!$K$8:$K$207,Adjustments!$B$8:$B$207,$B194,Adjustments!$A$8:$A$207,Settings!$A$17))</f>
        <v>0</v>
      </c>
      <c r="Q194" s="17" t="n">
        <f aca="false">IF($B194="",0,SUMIFS('Zoho Dump'!$X$8:$X$3007,'Zoho Dump'!$N$8:$N$3007,$B194,'Zoho Dump'!$P$8:$P$3007,Settings!$A$18)+SUMIFS(Adjustments!$K$8:$K$207,Adjustments!$B$8:$B$207,$B194,Adjustments!$A$8:$A$207,Settings!$A$18))</f>
        <v>0</v>
      </c>
      <c r="R194" s="30" t="str">
        <f aca="false">IF(G194&gt;0,G194+A194/10000000,"")</f>
        <v/>
      </c>
    </row>
    <row r="195" customFormat="false" ht="15" hidden="false" customHeight="false" outlineLevel="0" collapsed="false">
      <c r="A195" s="9" t="n">
        <v>191</v>
      </c>
      <c r="B195" s="9" t="str">
        <f aca="false">IFERROR(INDEX('Zoho Dump'!$N$8:$N$3007,MATCH(A195,'Zoho Dump'!$AB$8:$AB$3007,0)),"")</f>
        <v/>
      </c>
      <c r="C195" s="17" t="n">
        <f aca="false">IF($B195="",0,SUMIFS('Zoho Dump'!$Q$8:$Q$3007,'Zoho Dump'!$N$8:$N$3007,$B195,'Zoho Dump'!$T$8:$T$3007,"Delivered",'Zoho Dump'!$R$8:$R$3007,"&gt;="&amp;Settings!$B$4))</f>
        <v>0</v>
      </c>
      <c r="D195" s="17" t="n">
        <f aca="false">IF($B195="",0,SUMIFS('Zoho Dump'!$X$8:$X$3007,'Zoho Dump'!$N$8:$N$3007,$B195,'Zoho Dump'!$T$8:$T$3007,"Backlog")+SUMIFS(Adjustments!$K$8:$K$207,Adjustments!$B$8:$B$207,$B195,Adjustments!$H$8:$H$207,"Backlog"))</f>
        <v>0</v>
      </c>
      <c r="E195" s="17" t="n">
        <f aca="false">IF($B195="",0,SUMIFS('Zoho Dump'!$Y$8:$Y$3007,'Zoho Dump'!$N$8:$N$3007,$B195,'Zoho Dump'!$T$8:$T$3007,"Pipeline")+SUMIFS(Adjustments!$L$8:$L$207,Adjustments!$B$8:$B$207,$B195,Adjustments!$H$8:$H$207,"Pipeline")+SUMIFS('Zoho Dump'!$Y$8:$Y$3007,'Zoho Dump'!$N$8:$N$3007,$B195,'Zoho Dump'!$T$8:$T$3007,"Overdue")+SUMIFS(Adjustments!$L$8:$L$207,Adjustments!$B$8:$B$207,$B195,Adjustments!$H$8:$H$207,"Overdue"))</f>
        <v>0</v>
      </c>
      <c r="F195" s="17" t="n">
        <f aca="false">IF($B195="",0,SUMIFS('Zoho Dump'!$X$8:$X$3007,'Zoho Dump'!$N$8:$N$3007,$B195,'Zoho Dump'!$T$8:$T$3007,"Pipeline")+SUMIFS(Adjustments!$K$8:$K$207,Adjustments!$B$8:$B$207,$B195,Adjustments!$H$8:$H$207,"Pipeline")+SUMIFS('Zoho Dump'!$X$8:$X$3007,'Zoho Dump'!$N$8:$N$3007,$B195,'Zoho Dump'!$T$8:$T$3007,"Overdue")+SUMIFS(Adjustments!$K$8:$K$207,Adjustments!$B$8:$B$207,$B195,Adjustments!$H$8:$H$207,"Overdue"))</f>
        <v>0</v>
      </c>
      <c r="G195" s="17" t="n">
        <f aca="false">D195+F195</f>
        <v>0</v>
      </c>
      <c r="H195" s="18" t="n">
        <f aca="false">IF(SUM($G$5:$G$404)=0,0,G195/SUM($G$5:$G$404))</f>
        <v>0</v>
      </c>
      <c r="I195" s="17" t="n">
        <f aca="false">IF($B195="",0,SUMIFS('Zoho Dump'!$Q$8:$Q$3007,'Zoho Dump'!$N$8:$N$3007,$B195,'Zoho Dump'!$T$8:$T$3007,"Lost",'Zoho Dump'!$R$8:$R$3007,"&gt;="&amp;Settings!$B$4))</f>
        <v>0</v>
      </c>
      <c r="J195" s="9" t="str">
        <f aca="false">IF($B195="","",IF(COUNTIF(Dashboard!$C$13:$C$22,$B195)&gt;0,"Yes",""))</f>
        <v/>
      </c>
      <c r="K195" s="17" t="n">
        <f aca="false">IF($B195="",0,SUMIFS('Zoho Dump'!$X$8:$X$3007,'Zoho Dump'!$N$8:$N$3007,$B195,'Zoho Dump'!$P$8:$P$3007,Settings!$A$12)+SUMIFS(Adjustments!$K$8:$K$207,Adjustments!$B$8:$B$207,$B195,Adjustments!$A$8:$A$207,Settings!$A$12))</f>
        <v>0</v>
      </c>
      <c r="L195" s="17" t="n">
        <f aca="false">IF($B195="",0,SUMIFS('Zoho Dump'!$X$8:$X$3007,'Zoho Dump'!$N$8:$N$3007,$B195,'Zoho Dump'!$P$8:$P$3007,Settings!$A$13)+SUMIFS(Adjustments!$K$8:$K$207,Adjustments!$B$8:$B$207,$B195,Adjustments!$A$8:$A$207,Settings!$A$13))</f>
        <v>0</v>
      </c>
      <c r="M195" s="17" t="n">
        <f aca="false">IF($B195="",0,SUMIFS('Zoho Dump'!$X$8:$X$3007,'Zoho Dump'!$N$8:$N$3007,$B195,'Zoho Dump'!$P$8:$P$3007,Settings!$A$14)+SUMIFS(Adjustments!$K$8:$K$207,Adjustments!$B$8:$B$207,$B195,Adjustments!$A$8:$A$207,Settings!$A$14))</f>
        <v>0</v>
      </c>
      <c r="N195" s="17" t="n">
        <f aca="false">IF($B195="",0,SUMIFS('Zoho Dump'!$X$8:$X$3007,'Zoho Dump'!$N$8:$N$3007,$B195,'Zoho Dump'!$P$8:$P$3007,Settings!$A$15)+SUMIFS(Adjustments!$K$8:$K$207,Adjustments!$B$8:$B$207,$B195,Adjustments!$A$8:$A$207,Settings!$A$15))</f>
        <v>0</v>
      </c>
      <c r="O195" s="17" t="n">
        <f aca="false">IF($B195="",0,SUMIFS('Zoho Dump'!$X$8:$X$3007,'Zoho Dump'!$N$8:$N$3007,$B195,'Zoho Dump'!$P$8:$P$3007,Settings!$A$16)+SUMIFS(Adjustments!$K$8:$K$207,Adjustments!$B$8:$B$207,$B195,Adjustments!$A$8:$A$207,Settings!$A$16))</f>
        <v>0</v>
      </c>
      <c r="P195" s="17" t="n">
        <f aca="false">IF($B195="",0,SUMIFS('Zoho Dump'!$X$8:$X$3007,'Zoho Dump'!$N$8:$N$3007,$B195,'Zoho Dump'!$P$8:$P$3007,Settings!$A$17)+SUMIFS(Adjustments!$K$8:$K$207,Adjustments!$B$8:$B$207,$B195,Adjustments!$A$8:$A$207,Settings!$A$17))</f>
        <v>0</v>
      </c>
      <c r="Q195" s="17" t="n">
        <f aca="false">IF($B195="",0,SUMIFS('Zoho Dump'!$X$8:$X$3007,'Zoho Dump'!$N$8:$N$3007,$B195,'Zoho Dump'!$P$8:$P$3007,Settings!$A$18)+SUMIFS(Adjustments!$K$8:$K$207,Adjustments!$B$8:$B$207,$B195,Adjustments!$A$8:$A$207,Settings!$A$18))</f>
        <v>0</v>
      </c>
      <c r="R195" s="30" t="str">
        <f aca="false">IF(G195&gt;0,G195+A195/10000000,"")</f>
        <v/>
      </c>
    </row>
    <row r="196" customFormat="false" ht="15" hidden="false" customHeight="false" outlineLevel="0" collapsed="false">
      <c r="A196" s="9" t="n">
        <v>192</v>
      </c>
      <c r="B196" s="9" t="str">
        <f aca="false">IFERROR(INDEX('Zoho Dump'!$N$8:$N$3007,MATCH(A196,'Zoho Dump'!$AB$8:$AB$3007,0)),"")</f>
        <v/>
      </c>
      <c r="C196" s="17" t="n">
        <f aca="false">IF($B196="",0,SUMIFS('Zoho Dump'!$Q$8:$Q$3007,'Zoho Dump'!$N$8:$N$3007,$B196,'Zoho Dump'!$T$8:$T$3007,"Delivered",'Zoho Dump'!$R$8:$R$3007,"&gt;="&amp;Settings!$B$4))</f>
        <v>0</v>
      </c>
      <c r="D196" s="17" t="n">
        <f aca="false">IF($B196="",0,SUMIFS('Zoho Dump'!$X$8:$X$3007,'Zoho Dump'!$N$8:$N$3007,$B196,'Zoho Dump'!$T$8:$T$3007,"Backlog")+SUMIFS(Adjustments!$K$8:$K$207,Adjustments!$B$8:$B$207,$B196,Adjustments!$H$8:$H$207,"Backlog"))</f>
        <v>0</v>
      </c>
      <c r="E196" s="17" t="n">
        <f aca="false">IF($B196="",0,SUMIFS('Zoho Dump'!$Y$8:$Y$3007,'Zoho Dump'!$N$8:$N$3007,$B196,'Zoho Dump'!$T$8:$T$3007,"Pipeline")+SUMIFS(Adjustments!$L$8:$L$207,Adjustments!$B$8:$B$207,$B196,Adjustments!$H$8:$H$207,"Pipeline")+SUMIFS('Zoho Dump'!$Y$8:$Y$3007,'Zoho Dump'!$N$8:$N$3007,$B196,'Zoho Dump'!$T$8:$T$3007,"Overdue")+SUMIFS(Adjustments!$L$8:$L$207,Adjustments!$B$8:$B$207,$B196,Adjustments!$H$8:$H$207,"Overdue"))</f>
        <v>0</v>
      </c>
      <c r="F196" s="17" t="n">
        <f aca="false">IF($B196="",0,SUMIFS('Zoho Dump'!$X$8:$X$3007,'Zoho Dump'!$N$8:$N$3007,$B196,'Zoho Dump'!$T$8:$T$3007,"Pipeline")+SUMIFS(Adjustments!$K$8:$K$207,Adjustments!$B$8:$B$207,$B196,Adjustments!$H$8:$H$207,"Pipeline")+SUMIFS('Zoho Dump'!$X$8:$X$3007,'Zoho Dump'!$N$8:$N$3007,$B196,'Zoho Dump'!$T$8:$T$3007,"Overdue")+SUMIFS(Adjustments!$K$8:$K$207,Adjustments!$B$8:$B$207,$B196,Adjustments!$H$8:$H$207,"Overdue"))</f>
        <v>0</v>
      </c>
      <c r="G196" s="17" t="n">
        <f aca="false">D196+F196</f>
        <v>0</v>
      </c>
      <c r="H196" s="18" t="n">
        <f aca="false">IF(SUM($G$5:$G$404)=0,0,G196/SUM($G$5:$G$404))</f>
        <v>0</v>
      </c>
      <c r="I196" s="17" t="n">
        <f aca="false">IF($B196="",0,SUMIFS('Zoho Dump'!$Q$8:$Q$3007,'Zoho Dump'!$N$8:$N$3007,$B196,'Zoho Dump'!$T$8:$T$3007,"Lost",'Zoho Dump'!$R$8:$R$3007,"&gt;="&amp;Settings!$B$4))</f>
        <v>0</v>
      </c>
      <c r="J196" s="9" t="str">
        <f aca="false">IF($B196="","",IF(COUNTIF(Dashboard!$C$13:$C$22,$B196)&gt;0,"Yes",""))</f>
        <v/>
      </c>
      <c r="K196" s="17" t="n">
        <f aca="false">IF($B196="",0,SUMIFS('Zoho Dump'!$X$8:$X$3007,'Zoho Dump'!$N$8:$N$3007,$B196,'Zoho Dump'!$P$8:$P$3007,Settings!$A$12)+SUMIFS(Adjustments!$K$8:$K$207,Adjustments!$B$8:$B$207,$B196,Adjustments!$A$8:$A$207,Settings!$A$12))</f>
        <v>0</v>
      </c>
      <c r="L196" s="17" t="n">
        <f aca="false">IF($B196="",0,SUMIFS('Zoho Dump'!$X$8:$X$3007,'Zoho Dump'!$N$8:$N$3007,$B196,'Zoho Dump'!$P$8:$P$3007,Settings!$A$13)+SUMIFS(Adjustments!$K$8:$K$207,Adjustments!$B$8:$B$207,$B196,Adjustments!$A$8:$A$207,Settings!$A$13))</f>
        <v>0</v>
      </c>
      <c r="M196" s="17" t="n">
        <f aca="false">IF($B196="",0,SUMIFS('Zoho Dump'!$X$8:$X$3007,'Zoho Dump'!$N$8:$N$3007,$B196,'Zoho Dump'!$P$8:$P$3007,Settings!$A$14)+SUMIFS(Adjustments!$K$8:$K$207,Adjustments!$B$8:$B$207,$B196,Adjustments!$A$8:$A$207,Settings!$A$14))</f>
        <v>0</v>
      </c>
      <c r="N196" s="17" t="n">
        <f aca="false">IF($B196="",0,SUMIFS('Zoho Dump'!$X$8:$X$3007,'Zoho Dump'!$N$8:$N$3007,$B196,'Zoho Dump'!$P$8:$P$3007,Settings!$A$15)+SUMIFS(Adjustments!$K$8:$K$207,Adjustments!$B$8:$B$207,$B196,Adjustments!$A$8:$A$207,Settings!$A$15))</f>
        <v>0</v>
      </c>
      <c r="O196" s="17" t="n">
        <f aca="false">IF($B196="",0,SUMIFS('Zoho Dump'!$X$8:$X$3007,'Zoho Dump'!$N$8:$N$3007,$B196,'Zoho Dump'!$P$8:$P$3007,Settings!$A$16)+SUMIFS(Adjustments!$K$8:$K$207,Adjustments!$B$8:$B$207,$B196,Adjustments!$A$8:$A$207,Settings!$A$16))</f>
        <v>0</v>
      </c>
      <c r="P196" s="17" t="n">
        <f aca="false">IF($B196="",0,SUMIFS('Zoho Dump'!$X$8:$X$3007,'Zoho Dump'!$N$8:$N$3007,$B196,'Zoho Dump'!$P$8:$P$3007,Settings!$A$17)+SUMIFS(Adjustments!$K$8:$K$207,Adjustments!$B$8:$B$207,$B196,Adjustments!$A$8:$A$207,Settings!$A$17))</f>
        <v>0</v>
      </c>
      <c r="Q196" s="17" t="n">
        <f aca="false">IF($B196="",0,SUMIFS('Zoho Dump'!$X$8:$X$3007,'Zoho Dump'!$N$8:$N$3007,$B196,'Zoho Dump'!$P$8:$P$3007,Settings!$A$18)+SUMIFS(Adjustments!$K$8:$K$207,Adjustments!$B$8:$B$207,$B196,Adjustments!$A$8:$A$207,Settings!$A$18))</f>
        <v>0</v>
      </c>
      <c r="R196" s="30" t="str">
        <f aca="false">IF(G196&gt;0,G196+A196/10000000,"")</f>
        <v/>
      </c>
    </row>
    <row r="197" customFormat="false" ht="15" hidden="false" customHeight="false" outlineLevel="0" collapsed="false">
      <c r="A197" s="9" t="n">
        <v>193</v>
      </c>
      <c r="B197" s="9" t="str">
        <f aca="false">IFERROR(INDEX('Zoho Dump'!$N$8:$N$3007,MATCH(A197,'Zoho Dump'!$AB$8:$AB$3007,0)),"")</f>
        <v/>
      </c>
      <c r="C197" s="17" t="n">
        <f aca="false">IF($B197="",0,SUMIFS('Zoho Dump'!$Q$8:$Q$3007,'Zoho Dump'!$N$8:$N$3007,$B197,'Zoho Dump'!$T$8:$T$3007,"Delivered",'Zoho Dump'!$R$8:$R$3007,"&gt;="&amp;Settings!$B$4))</f>
        <v>0</v>
      </c>
      <c r="D197" s="17" t="n">
        <f aca="false">IF($B197="",0,SUMIFS('Zoho Dump'!$X$8:$X$3007,'Zoho Dump'!$N$8:$N$3007,$B197,'Zoho Dump'!$T$8:$T$3007,"Backlog")+SUMIFS(Adjustments!$K$8:$K$207,Adjustments!$B$8:$B$207,$B197,Adjustments!$H$8:$H$207,"Backlog"))</f>
        <v>0</v>
      </c>
      <c r="E197" s="17" t="n">
        <f aca="false">IF($B197="",0,SUMIFS('Zoho Dump'!$Y$8:$Y$3007,'Zoho Dump'!$N$8:$N$3007,$B197,'Zoho Dump'!$T$8:$T$3007,"Pipeline")+SUMIFS(Adjustments!$L$8:$L$207,Adjustments!$B$8:$B$207,$B197,Adjustments!$H$8:$H$207,"Pipeline")+SUMIFS('Zoho Dump'!$Y$8:$Y$3007,'Zoho Dump'!$N$8:$N$3007,$B197,'Zoho Dump'!$T$8:$T$3007,"Overdue")+SUMIFS(Adjustments!$L$8:$L$207,Adjustments!$B$8:$B$207,$B197,Adjustments!$H$8:$H$207,"Overdue"))</f>
        <v>0</v>
      </c>
      <c r="F197" s="17" t="n">
        <f aca="false">IF($B197="",0,SUMIFS('Zoho Dump'!$X$8:$X$3007,'Zoho Dump'!$N$8:$N$3007,$B197,'Zoho Dump'!$T$8:$T$3007,"Pipeline")+SUMIFS(Adjustments!$K$8:$K$207,Adjustments!$B$8:$B$207,$B197,Adjustments!$H$8:$H$207,"Pipeline")+SUMIFS('Zoho Dump'!$X$8:$X$3007,'Zoho Dump'!$N$8:$N$3007,$B197,'Zoho Dump'!$T$8:$T$3007,"Overdue")+SUMIFS(Adjustments!$K$8:$K$207,Adjustments!$B$8:$B$207,$B197,Adjustments!$H$8:$H$207,"Overdue"))</f>
        <v>0</v>
      </c>
      <c r="G197" s="17" t="n">
        <f aca="false">D197+F197</f>
        <v>0</v>
      </c>
      <c r="H197" s="18" t="n">
        <f aca="false">IF(SUM($G$5:$G$404)=0,0,G197/SUM($G$5:$G$404))</f>
        <v>0</v>
      </c>
      <c r="I197" s="17" t="n">
        <f aca="false">IF($B197="",0,SUMIFS('Zoho Dump'!$Q$8:$Q$3007,'Zoho Dump'!$N$8:$N$3007,$B197,'Zoho Dump'!$T$8:$T$3007,"Lost",'Zoho Dump'!$R$8:$R$3007,"&gt;="&amp;Settings!$B$4))</f>
        <v>0</v>
      </c>
      <c r="J197" s="9" t="str">
        <f aca="false">IF($B197="","",IF(COUNTIF(Dashboard!$C$13:$C$22,$B197)&gt;0,"Yes",""))</f>
        <v/>
      </c>
      <c r="K197" s="17" t="n">
        <f aca="false">IF($B197="",0,SUMIFS('Zoho Dump'!$X$8:$X$3007,'Zoho Dump'!$N$8:$N$3007,$B197,'Zoho Dump'!$P$8:$P$3007,Settings!$A$12)+SUMIFS(Adjustments!$K$8:$K$207,Adjustments!$B$8:$B$207,$B197,Adjustments!$A$8:$A$207,Settings!$A$12))</f>
        <v>0</v>
      </c>
      <c r="L197" s="17" t="n">
        <f aca="false">IF($B197="",0,SUMIFS('Zoho Dump'!$X$8:$X$3007,'Zoho Dump'!$N$8:$N$3007,$B197,'Zoho Dump'!$P$8:$P$3007,Settings!$A$13)+SUMIFS(Adjustments!$K$8:$K$207,Adjustments!$B$8:$B$207,$B197,Adjustments!$A$8:$A$207,Settings!$A$13))</f>
        <v>0</v>
      </c>
      <c r="M197" s="17" t="n">
        <f aca="false">IF($B197="",0,SUMIFS('Zoho Dump'!$X$8:$X$3007,'Zoho Dump'!$N$8:$N$3007,$B197,'Zoho Dump'!$P$8:$P$3007,Settings!$A$14)+SUMIFS(Adjustments!$K$8:$K$207,Adjustments!$B$8:$B$207,$B197,Adjustments!$A$8:$A$207,Settings!$A$14))</f>
        <v>0</v>
      </c>
      <c r="N197" s="17" t="n">
        <f aca="false">IF($B197="",0,SUMIFS('Zoho Dump'!$X$8:$X$3007,'Zoho Dump'!$N$8:$N$3007,$B197,'Zoho Dump'!$P$8:$P$3007,Settings!$A$15)+SUMIFS(Adjustments!$K$8:$K$207,Adjustments!$B$8:$B$207,$B197,Adjustments!$A$8:$A$207,Settings!$A$15))</f>
        <v>0</v>
      </c>
      <c r="O197" s="17" t="n">
        <f aca="false">IF($B197="",0,SUMIFS('Zoho Dump'!$X$8:$X$3007,'Zoho Dump'!$N$8:$N$3007,$B197,'Zoho Dump'!$P$8:$P$3007,Settings!$A$16)+SUMIFS(Adjustments!$K$8:$K$207,Adjustments!$B$8:$B$207,$B197,Adjustments!$A$8:$A$207,Settings!$A$16))</f>
        <v>0</v>
      </c>
      <c r="P197" s="17" t="n">
        <f aca="false">IF($B197="",0,SUMIFS('Zoho Dump'!$X$8:$X$3007,'Zoho Dump'!$N$8:$N$3007,$B197,'Zoho Dump'!$P$8:$P$3007,Settings!$A$17)+SUMIFS(Adjustments!$K$8:$K$207,Adjustments!$B$8:$B$207,$B197,Adjustments!$A$8:$A$207,Settings!$A$17))</f>
        <v>0</v>
      </c>
      <c r="Q197" s="17" t="n">
        <f aca="false">IF($B197="",0,SUMIFS('Zoho Dump'!$X$8:$X$3007,'Zoho Dump'!$N$8:$N$3007,$B197,'Zoho Dump'!$P$8:$P$3007,Settings!$A$18)+SUMIFS(Adjustments!$K$8:$K$207,Adjustments!$B$8:$B$207,$B197,Adjustments!$A$8:$A$207,Settings!$A$18))</f>
        <v>0</v>
      </c>
      <c r="R197" s="30" t="str">
        <f aca="false">IF(G197&gt;0,G197+A197/10000000,"")</f>
        <v/>
      </c>
    </row>
    <row r="198" customFormat="false" ht="15" hidden="false" customHeight="false" outlineLevel="0" collapsed="false">
      <c r="A198" s="9" t="n">
        <v>194</v>
      </c>
      <c r="B198" s="9" t="str">
        <f aca="false">IFERROR(INDEX('Zoho Dump'!$N$8:$N$3007,MATCH(A198,'Zoho Dump'!$AB$8:$AB$3007,0)),"")</f>
        <v/>
      </c>
      <c r="C198" s="17" t="n">
        <f aca="false">IF($B198="",0,SUMIFS('Zoho Dump'!$Q$8:$Q$3007,'Zoho Dump'!$N$8:$N$3007,$B198,'Zoho Dump'!$T$8:$T$3007,"Delivered",'Zoho Dump'!$R$8:$R$3007,"&gt;="&amp;Settings!$B$4))</f>
        <v>0</v>
      </c>
      <c r="D198" s="17" t="n">
        <f aca="false">IF($B198="",0,SUMIFS('Zoho Dump'!$X$8:$X$3007,'Zoho Dump'!$N$8:$N$3007,$B198,'Zoho Dump'!$T$8:$T$3007,"Backlog")+SUMIFS(Adjustments!$K$8:$K$207,Adjustments!$B$8:$B$207,$B198,Adjustments!$H$8:$H$207,"Backlog"))</f>
        <v>0</v>
      </c>
      <c r="E198" s="17" t="n">
        <f aca="false">IF($B198="",0,SUMIFS('Zoho Dump'!$Y$8:$Y$3007,'Zoho Dump'!$N$8:$N$3007,$B198,'Zoho Dump'!$T$8:$T$3007,"Pipeline")+SUMIFS(Adjustments!$L$8:$L$207,Adjustments!$B$8:$B$207,$B198,Adjustments!$H$8:$H$207,"Pipeline")+SUMIFS('Zoho Dump'!$Y$8:$Y$3007,'Zoho Dump'!$N$8:$N$3007,$B198,'Zoho Dump'!$T$8:$T$3007,"Overdue")+SUMIFS(Adjustments!$L$8:$L$207,Adjustments!$B$8:$B$207,$B198,Adjustments!$H$8:$H$207,"Overdue"))</f>
        <v>0</v>
      </c>
      <c r="F198" s="17" t="n">
        <f aca="false">IF($B198="",0,SUMIFS('Zoho Dump'!$X$8:$X$3007,'Zoho Dump'!$N$8:$N$3007,$B198,'Zoho Dump'!$T$8:$T$3007,"Pipeline")+SUMIFS(Adjustments!$K$8:$K$207,Adjustments!$B$8:$B$207,$B198,Adjustments!$H$8:$H$207,"Pipeline")+SUMIFS('Zoho Dump'!$X$8:$X$3007,'Zoho Dump'!$N$8:$N$3007,$B198,'Zoho Dump'!$T$8:$T$3007,"Overdue")+SUMIFS(Adjustments!$K$8:$K$207,Adjustments!$B$8:$B$207,$B198,Adjustments!$H$8:$H$207,"Overdue"))</f>
        <v>0</v>
      </c>
      <c r="G198" s="17" t="n">
        <f aca="false">D198+F198</f>
        <v>0</v>
      </c>
      <c r="H198" s="18" t="n">
        <f aca="false">IF(SUM($G$5:$G$404)=0,0,G198/SUM($G$5:$G$404))</f>
        <v>0</v>
      </c>
      <c r="I198" s="17" t="n">
        <f aca="false">IF($B198="",0,SUMIFS('Zoho Dump'!$Q$8:$Q$3007,'Zoho Dump'!$N$8:$N$3007,$B198,'Zoho Dump'!$T$8:$T$3007,"Lost",'Zoho Dump'!$R$8:$R$3007,"&gt;="&amp;Settings!$B$4))</f>
        <v>0</v>
      </c>
      <c r="J198" s="9" t="str">
        <f aca="false">IF($B198="","",IF(COUNTIF(Dashboard!$C$13:$C$22,$B198)&gt;0,"Yes",""))</f>
        <v/>
      </c>
      <c r="K198" s="17" t="n">
        <f aca="false">IF($B198="",0,SUMIFS('Zoho Dump'!$X$8:$X$3007,'Zoho Dump'!$N$8:$N$3007,$B198,'Zoho Dump'!$P$8:$P$3007,Settings!$A$12)+SUMIFS(Adjustments!$K$8:$K$207,Adjustments!$B$8:$B$207,$B198,Adjustments!$A$8:$A$207,Settings!$A$12))</f>
        <v>0</v>
      </c>
      <c r="L198" s="17" t="n">
        <f aca="false">IF($B198="",0,SUMIFS('Zoho Dump'!$X$8:$X$3007,'Zoho Dump'!$N$8:$N$3007,$B198,'Zoho Dump'!$P$8:$P$3007,Settings!$A$13)+SUMIFS(Adjustments!$K$8:$K$207,Adjustments!$B$8:$B$207,$B198,Adjustments!$A$8:$A$207,Settings!$A$13))</f>
        <v>0</v>
      </c>
      <c r="M198" s="17" t="n">
        <f aca="false">IF($B198="",0,SUMIFS('Zoho Dump'!$X$8:$X$3007,'Zoho Dump'!$N$8:$N$3007,$B198,'Zoho Dump'!$P$8:$P$3007,Settings!$A$14)+SUMIFS(Adjustments!$K$8:$K$207,Adjustments!$B$8:$B$207,$B198,Adjustments!$A$8:$A$207,Settings!$A$14))</f>
        <v>0</v>
      </c>
      <c r="N198" s="17" t="n">
        <f aca="false">IF($B198="",0,SUMIFS('Zoho Dump'!$X$8:$X$3007,'Zoho Dump'!$N$8:$N$3007,$B198,'Zoho Dump'!$P$8:$P$3007,Settings!$A$15)+SUMIFS(Adjustments!$K$8:$K$207,Adjustments!$B$8:$B$207,$B198,Adjustments!$A$8:$A$207,Settings!$A$15))</f>
        <v>0</v>
      </c>
      <c r="O198" s="17" t="n">
        <f aca="false">IF($B198="",0,SUMIFS('Zoho Dump'!$X$8:$X$3007,'Zoho Dump'!$N$8:$N$3007,$B198,'Zoho Dump'!$P$8:$P$3007,Settings!$A$16)+SUMIFS(Adjustments!$K$8:$K$207,Adjustments!$B$8:$B$207,$B198,Adjustments!$A$8:$A$207,Settings!$A$16))</f>
        <v>0</v>
      </c>
      <c r="P198" s="17" t="n">
        <f aca="false">IF($B198="",0,SUMIFS('Zoho Dump'!$X$8:$X$3007,'Zoho Dump'!$N$8:$N$3007,$B198,'Zoho Dump'!$P$8:$P$3007,Settings!$A$17)+SUMIFS(Adjustments!$K$8:$K$207,Adjustments!$B$8:$B$207,$B198,Adjustments!$A$8:$A$207,Settings!$A$17))</f>
        <v>0</v>
      </c>
      <c r="Q198" s="17" t="n">
        <f aca="false">IF($B198="",0,SUMIFS('Zoho Dump'!$X$8:$X$3007,'Zoho Dump'!$N$8:$N$3007,$B198,'Zoho Dump'!$P$8:$P$3007,Settings!$A$18)+SUMIFS(Adjustments!$K$8:$K$207,Adjustments!$B$8:$B$207,$B198,Adjustments!$A$8:$A$207,Settings!$A$18))</f>
        <v>0</v>
      </c>
      <c r="R198" s="30" t="str">
        <f aca="false">IF(G198&gt;0,G198+A198/10000000,"")</f>
        <v/>
      </c>
    </row>
    <row r="199" customFormat="false" ht="15" hidden="false" customHeight="false" outlineLevel="0" collapsed="false">
      <c r="A199" s="9" t="n">
        <v>195</v>
      </c>
      <c r="B199" s="9" t="str">
        <f aca="false">IFERROR(INDEX('Zoho Dump'!$N$8:$N$3007,MATCH(A199,'Zoho Dump'!$AB$8:$AB$3007,0)),"")</f>
        <v/>
      </c>
      <c r="C199" s="17" t="n">
        <f aca="false">IF($B199="",0,SUMIFS('Zoho Dump'!$Q$8:$Q$3007,'Zoho Dump'!$N$8:$N$3007,$B199,'Zoho Dump'!$T$8:$T$3007,"Delivered",'Zoho Dump'!$R$8:$R$3007,"&gt;="&amp;Settings!$B$4))</f>
        <v>0</v>
      </c>
      <c r="D199" s="17" t="n">
        <f aca="false">IF($B199="",0,SUMIFS('Zoho Dump'!$X$8:$X$3007,'Zoho Dump'!$N$8:$N$3007,$B199,'Zoho Dump'!$T$8:$T$3007,"Backlog")+SUMIFS(Adjustments!$K$8:$K$207,Adjustments!$B$8:$B$207,$B199,Adjustments!$H$8:$H$207,"Backlog"))</f>
        <v>0</v>
      </c>
      <c r="E199" s="17" t="n">
        <f aca="false">IF($B199="",0,SUMIFS('Zoho Dump'!$Y$8:$Y$3007,'Zoho Dump'!$N$8:$N$3007,$B199,'Zoho Dump'!$T$8:$T$3007,"Pipeline")+SUMIFS(Adjustments!$L$8:$L$207,Adjustments!$B$8:$B$207,$B199,Adjustments!$H$8:$H$207,"Pipeline")+SUMIFS('Zoho Dump'!$Y$8:$Y$3007,'Zoho Dump'!$N$8:$N$3007,$B199,'Zoho Dump'!$T$8:$T$3007,"Overdue")+SUMIFS(Adjustments!$L$8:$L$207,Adjustments!$B$8:$B$207,$B199,Adjustments!$H$8:$H$207,"Overdue"))</f>
        <v>0</v>
      </c>
      <c r="F199" s="17" t="n">
        <f aca="false">IF($B199="",0,SUMIFS('Zoho Dump'!$X$8:$X$3007,'Zoho Dump'!$N$8:$N$3007,$B199,'Zoho Dump'!$T$8:$T$3007,"Pipeline")+SUMIFS(Adjustments!$K$8:$K$207,Adjustments!$B$8:$B$207,$B199,Adjustments!$H$8:$H$207,"Pipeline")+SUMIFS('Zoho Dump'!$X$8:$X$3007,'Zoho Dump'!$N$8:$N$3007,$B199,'Zoho Dump'!$T$8:$T$3007,"Overdue")+SUMIFS(Adjustments!$K$8:$K$207,Adjustments!$B$8:$B$207,$B199,Adjustments!$H$8:$H$207,"Overdue"))</f>
        <v>0</v>
      </c>
      <c r="G199" s="17" t="n">
        <f aca="false">D199+F199</f>
        <v>0</v>
      </c>
      <c r="H199" s="18" t="n">
        <f aca="false">IF(SUM($G$5:$G$404)=0,0,G199/SUM($G$5:$G$404))</f>
        <v>0</v>
      </c>
      <c r="I199" s="17" t="n">
        <f aca="false">IF($B199="",0,SUMIFS('Zoho Dump'!$Q$8:$Q$3007,'Zoho Dump'!$N$8:$N$3007,$B199,'Zoho Dump'!$T$8:$T$3007,"Lost",'Zoho Dump'!$R$8:$R$3007,"&gt;="&amp;Settings!$B$4))</f>
        <v>0</v>
      </c>
      <c r="J199" s="9" t="str">
        <f aca="false">IF($B199="","",IF(COUNTIF(Dashboard!$C$13:$C$22,$B199)&gt;0,"Yes",""))</f>
        <v/>
      </c>
      <c r="K199" s="17" t="n">
        <f aca="false">IF($B199="",0,SUMIFS('Zoho Dump'!$X$8:$X$3007,'Zoho Dump'!$N$8:$N$3007,$B199,'Zoho Dump'!$P$8:$P$3007,Settings!$A$12)+SUMIFS(Adjustments!$K$8:$K$207,Adjustments!$B$8:$B$207,$B199,Adjustments!$A$8:$A$207,Settings!$A$12))</f>
        <v>0</v>
      </c>
      <c r="L199" s="17" t="n">
        <f aca="false">IF($B199="",0,SUMIFS('Zoho Dump'!$X$8:$X$3007,'Zoho Dump'!$N$8:$N$3007,$B199,'Zoho Dump'!$P$8:$P$3007,Settings!$A$13)+SUMIFS(Adjustments!$K$8:$K$207,Adjustments!$B$8:$B$207,$B199,Adjustments!$A$8:$A$207,Settings!$A$13))</f>
        <v>0</v>
      </c>
      <c r="M199" s="17" t="n">
        <f aca="false">IF($B199="",0,SUMIFS('Zoho Dump'!$X$8:$X$3007,'Zoho Dump'!$N$8:$N$3007,$B199,'Zoho Dump'!$P$8:$P$3007,Settings!$A$14)+SUMIFS(Adjustments!$K$8:$K$207,Adjustments!$B$8:$B$207,$B199,Adjustments!$A$8:$A$207,Settings!$A$14))</f>
        <v>0</v>
      </c>
      <c r="N199" s="17" t="n">
        <f aca="false">IF($B199="",0,SUMIFS('Zoho Dump'!$X$8:$X$3007,'Zoho Dump'!$N$8:$N$3007,$B199,'Zoho Dump'!$P$8:$P$3007,Settings!$A$15)+SUMIFS(Adjustments!$K$8:$K$207,Adjustments!$B$8:$B$207,$B199,Adjustments!$A$8:$A$207,Settings!$A$15))</f>
        <v>0</v>
      </c>
      <c r="O199" s="17" t="n">
        <f aca="false">IF($B199="",0,SUMIFS('Zoho Dump'!$X$8:$X$3007,'Zoho Dump'!$N$8:$N$3007,$B199,'Zoho Dump'!$P$8:$P$3007,Settings!$A$16)+SUMIFS(Adjustments!$K$8:$K$207,Adjustments!$B$8:$B$207,$B199,Adjustments!$A$8:$A$207,Settings!$A$16))</f>
        <v>0</v>
      </c>
      <c r="P199" s="17" t="n">
        <f aca="false">IF($B199="",0,SUMIFS('Zoho Dump'!$X$8:$X$3007,'Zoho Dump'!$N$8:$N$3007,$B199,'Zoho Dump'!$P$8:$P$3007,Settings!$A$17)+SUMIFS(Adjustments!$K$8:$K$207,Adjustments!$B$8:$B$207,$B199,Adjustments!$A$8:$A$207,Settings!$A$17))</f>
        <v>0</v>
      </c>
      <c r="Q199" s="17" t="n">
        <f aca="false">IF($B199="",0,SUMIFS('Zoho Dump'!$X$8:$X$3007,'Zoho Dump'!$N$8:$N$3007,$B199,'Zoho Dump'!$P$8:$P$3007,Settings!$A$18)+SUMIFS(Adjustments!$K$8:$K$207,Adjustments!$B$8:$B$207,$B199,Adjustments!$A$8:$A$207,Settings!$A$18))</f>
        <v>0</v>
      </c>
      <c r="R199" s="30" t="str">
        <f aca="false">IF(G199&gt;0,G199+A199/10000000,"")</f>
        <v/>
      </c>
    </row>
    <row r="200" customFormat="false" ht="15" hidden="false" customHeight="false" outlineLevel="0" collapsed="false">
      <c r="A200" s="9" t="n">
        <v>196</v>
      </c>
      <c r="B200" s="9" t="str">
        <f aca="false">IFERROR(INDEX('Zoho Dump'!$N$8:$N$3007,MATCH(A200,'Zoho Dump'!$AB$8:$AB$3007,0)),"")</f>
        <v/>
      </c>
      <c r="C200" s="17" t="n">
        <f aca="false">IF($B200="",0,SUMIFS('Zoho Dump'!$Q$8:$Q$3007,'Zoho Dump'!$N$8:$N$3007,$B200,'Zoho Dump'!$T$8:$T$3007,"Delivered",'Zoho Dump'!$R$8:$R$3007,"&gt;="&amp;Settings!$B$4))</f>
        <v>0</v>
      </c>
      <c r="D200" s="17" t="n">
        <f aca="false">IF($B200="",0,SUMIFS('Zoho Dump'!$X$8:$X$3007,'Zoho Dump'!$N$8:$N$3007,$B200,'Zoho Dump'!$T$8:$T$3007,"Backlog")+SUMIFS(Adjustments!$K$8:$K$207,Adjustments!$B$8:$B$207,$B200,Adjustments!$H$8:$H$207,"Backlog"))</f>
        <v>0</v>
      </c>
      <c r="E200" s="17" t="n">
        <f aca="false">IF($B200="",0,SUMIFS('Zoho Dump'!$Y$8:$Y$3007,'Zoho Dump'!$N$8:$N$3007,$B200,'Zoho Dump'!$T$8:$T$3007,"Pipeline")+SUMIFS(Adjustments!$L$8:$L$207,Adjustments!$B$8:$B$207,$B200,Adjustments!$H$8:$H$207,"Pipeline")+SUMIFS('Zoho Dump'!$Y$8:$Y$3007,'Zoho Dump'!$N$8:$N$3007,$B200,'Zoho Dump'!$T$8:$T$3007,"Overdue")+SUMIFS(Adjustments!$L$8:$L$207,Adjustments!$B$8:$B$207,$B200,Adjustments!$H$8:$H$207,"Overdue"))</f>
        <v>0</v>
      </c>
      <c r="F200" s="17" t="n">
        <f aca="false">IF($B200="",0,SUMIFS('Zoho Dump'!$X$8:$X$3007,'Zoho Dump'!$N$8:$N$3007,$B200,'Zoho Dump'!$T$8:$T$3007,"Pipeline")+SUMIFS(Adjustments!$K$8:$K$207,Adjustments!$B$8:$B$207,$B200,Adjustments!$H$8:$H$207,"Pipeline")+SUMIFS('Zoho Dump'!$X$8:$X$3007,'Zoho Dump'!$N$8:$N$3007,$B200,'Zoho Dump'!$T$8:$T$3007,"Overdue")+SUMIFS(Adjustments!$K$8:$K$207,Adjustments!$B$8:$B$207,$B200,Adjustments!$H$8:$H$207,"Overdue"))</f>
        <v>0</v>
      </c>
      <c r="G200" s="17" t="n">
        <f aca="false">D200+F200</f>
        <v>0</v>
      </c>
      <c r="H200" s="18" t="n">
        <f aca="false">IF(SUM($G$5:$G$404)=0,0,G200/SUM($G$5:$G$404))</f>
        <v>0</v>
      </c>
      <c r="I200" s="17" t="n">
        <f aca="false">IF($B200="",0,SUMIFS('Zoho Dump'!$Q$8:$Q$3007,'Zoho Dump'!$N$8:$N$3007,$B200,'Zoho Dump'!$T$8:$T$3007,"Lost",'Zoho Dump'!$R$8:$R$3007,"&gt;="&amp;Settings!$B$4))</f>
        <v>0</v>
      </c>
      <c r="J200" s="9" t="str">
        <f aca="false">IF($B200="","",IF(COUNTIF(Dashboard!$C$13:$C$22,$B200)&gt;0,"Yes",""))</f>
        <v/>
      </c>
      <c r="K200" s="17" t="n">
        <f aca="false">IF($B200="",0,SUMIFS('Zoho Dump'!$X$8:$X$3007,'Zoho Dump'!$N$8:$N$3007,$B200,'Zoho Dump'!$P$8:$P$3007,Settings!$A$12)+SUMIFS(Adjustments!$K$8:$K$207,Adjustments!$B$8:$B$207,$B200,Adjustments!$A$8:$A$207,Settings!$A$12))</f>
        <v>0</v>
      </c>
      <c r="L200" s="17" t="n">
        <f aca="false">IF($B200="",0,SUMIFS('Zoho Dump'!$X$8:$X$3007,'Zoho Dump'!$N$8:$N$3007,$B200,'Zoho Dump'!$P$8:$P$3007,Settings!$A$13)+SUMIFS(Adjustments!$K$8:$K$207,Adjustments!$B$8:$B$207,$B200,Adjustments!$A$8:$A$207,Settings!$A$13))</f>
        <v>0</v>
      </c>
      <c r="M200" s="17" t="n">
        <f aca="false">IF($B200="",0,SUMIFS('Zoho Dump'!$X$8:$X$3007,'Zoho Dump'!$N$8:$N$3007,$B200,'Zoho Dump'!$P$8:$P$3007,Settings!$A$14)+SUMIFS(Adjustments!$K$8:$K$207,Adjustments!$B$8:$B$207,$B200,Adjustments!$A$8:$A$207,Settings!$A$14))</f>
        <v>0</v>
      </c>
      <c r="N200" s="17" t="n">
        <f aca="false">IF($B200="",0,SUMIFS('Zoho Dump'!$X$8:$X$3007,'Zoho Dump'!$N$8:$N$3007,$B200,'Zoho Dump'!$P$8:$P$3007,Settings!$A$15)+SUMIFS(Adjustments!$K$8:$K$207,Adjustments!$B$8:$B$207,$B200,Adjustments!$A$8:$A$207,Settings!$A$15))</f>
        <v>0</v>
      </c>
      <c r="O200" s="17" t="n">
        <f aca="false">IF($B200="",0,SUMIFS('Zoho Dump'!$X$8:$X$3007,'Zoho Dump'!$N$8:$N$3007,$B200,'Zoho Dump'!$P$8:$P$3007,Settings!$A$16)+SUMIFS(Adjustments!$K$8:$K$207,Adjustments!$B$8:$B$207,$B200,Adjustments!$A$8:$A$207,Settings!$A$16))</f>
        <v>0</v>
      </c>
      <c r="P200" s="17" t="n">
        <f aca="false">IF($B200="",0,SUMIFS('Zoho Dump'!$X$8:$X$3007,'Zoho Dump'!$N$8:$N$3007,$B200,'Zoho Dump'!$P$8:$P$3007,Settings!$A$17)+SUMIFS(Adjustments!$K$8:$K$207,Adjustments!$B$8:$B$207,$B200,Adjustments!$A$8:$A$207,Settings!$A$17))</f>
        <v>0</v>
      </c>
      <c r="Q200" s="17" t="n">
        <f aca="false">IF($B200="",0,SUMIFS('Zoho Dump'!$X$8:$X$3007,'Zoho Dump'!$N$8:$N$3007,$B200,'Zoho Dump'!$P$8:$P$3007,Settings!$A$18)+SUMIFS(Adjustments!$K$8:$K$207,Adjustments!$B$8:$B$207,$B200,Adjustments!$A$8:$A$207,Settings!$A$18))</f>
        <v>0</v>
      </c>
      <c r="R200" s="30" t="str">
        <f aca="false">IF(G200&gt;0,G200+A200/10000000,"")</f>
        <v/>
      </c>
    </row>
    <row r="201" customFormat="false" ht="15" hidden="false" customHeight="false" outlineLevel="0" collapsed="false">
      <c r="A201" s="9" t="n">
        <v>197</v>
      </c>
      <c r="B201" s="9" t="str">
        <f aca="false">IFERROR(INDEX('Zoho Dump'!$N$8:$N$3007,MATCH(A201,'Zoho Dump'!$AB$8:$AB$3007,0)),"")</f>
        <v/>
      </c>
      <c r="C201" s="17" t="n">
        <f aca="false">IF($B201="",0,SUMIFS('Zoho Dump'!$Q$8:$Q$3007,'Zoho Dump'!$N$8:$N$3007,$B201,'Zoho Dump'!$T$8:$T$3007,"Delivered",'Zoho Dump'!$R$8:$R$3007,"&gt;="&amp;Settings!$B$4))</f>
        <v>0</v>
      </c>
      <c r="D201" s="17" t="n">
        <f aca="false">IF($B201="",0,SUMIFS('Zoho Dump'!$X$8:$X$3007,'Zoho Dump'!$N$8:$N$3007,$B201,'Zoho Dump'!$T$8:$T$3007,"Backlog")+SUMIFS(Adjustments!$K$8:$K$207,Adjustments!$B$8:$B$207,$B201,Adjustments!$H$8:$H$207,"Backlog"))</f>
        <v>0</v>
      </c>
      <c r="E201" s="17" t="n">
        <f aca="false">IF($B201="",0,SUMIFS('Zoho Dump'!$Y$8:$Y$3007,'Zoho Dump'!$N$8:$N$3007,$B201,'Zoho Dump'!$T$8:$T$3007,"Pipeline")+SUMIFS(Adjustments!$L$8:$L$207,Adjustments!$B$8:$B$207,$B201,Adjustments!$H$8:$H$207,"Pipeline")+SUMIFS('Zoho Dump'!$Y$8:$Y$3007,'Zoho Dump'!$N$8:$N$3007,$B201,'Zoho Dump'!$T$8:$T$3007,"Overdue")+SUMIFS(Adjustments!$L$8:$L$207,Adjustments!$B$8:$B$207,$B201,Adjustments!$H$8:$H$207,"Overdue"))</f>
        <v>0</v>
      </c>
      <c r="F201" s="17" t="n">
        <f aca="false">IF($B201="",0,SUMIFS('Zoho Dump'!$X$8:$X$3007,'Zoho Dump'!$N$8:$N$3007,$B201,'Zoho Dump'!$T$8:$T$3007,"Pipeline")+SUMIFS(Adjustments!$K$8:$K$207,Adjustments!$B$8:$B$207,$B201,Adjustments!$H$8:$H$207,"Pipeline")+SUMIFS('Zoho Dump'!$X$8:$X$3007,'Zoho Dump'!$N$8:$N$3007,$B201,'Zoho Dump'!$T$8:$T$3007,"Overdue")+SUMIFS(Adjustments!$K$8:$K$207,Adjustments!$B$8:$B$207,$B201,Adjustments!$H$8:$H$207,"Overdue"))</f>
        <v>0</v>
      </c>
      <c r="G201" s="17" t="n">
        <f aca="false">D201+F201</f>
        <v>0</v>
      </c>
      <c r="H201" s="18" t="n">
        <f aca="false">IF(SUM($G$5:$G$404)=0,0,G201/SUM($G$5:$G$404))</f>
        <v>0</v>
      </c>
      <c r="I201" s="17" t="n">
        <f aca="false">IF($B201="",0,SUMIFS('Zoho Dump'!$Q$8:$Q$3007,'Zoho Dump'!$N$8:$N$3007,$B201,'Zoho Dump'!$T$8:$T$3007,"Lost",'Zoho Dump'!$R$8:$R$3007,"&gt;="&amp;Settings!$B$4))</f>
        <v>0</v>
      </c>
      <c r="J201" s="9" t="str">
        <f aca="false">IF($B201="","",IF(COUNTIF(Dashboard!$C$13:$C$22,$B201)&gt;0,"Yes",""))</f>
        <v/>
      </c>
      <c r="K201" s="17" t="n">
        <f aca="false">IF($B201="",0,SUMIFS('Zoho Dump'!$X$8:$X$3007,'Zoho Dump'!$N$8:$N$3007,$B201,'Zoho Dump'!$P$8:$P$3007,Settings!$A$12)+SUMIFS(Adjustments!$K$8:$K$207,Adjustments!$B$8:$B$207,$B201,Adjustments!$A$8:$A$207,Settings!$A$12))</f>
        <v>0</v>
      </c>
      <c r="L201" s="17" t="n">
        <f aca="false">IF($B201="",0,SUMIFS('Zoho Dump'!$X$8:$X$3007,'Zoho Dump'!$N$8:$N$3007,$B201,'Zoho Dump'!$P$8:$P$3007,Settings!$A$13)+SUMIFS(Adjustments!$K$8:$K$207,Adjustments!$B$8:$B$207,$B201,Adjustments!$A$8:$A$207,Settings!$A$13))</f>
        <v>0</v>
      </c>
      <c r="M201" s="17" t="n">
        <f aca="false">IF($B201="",0,SUMIFS('Zoho Dump'!$X$8:$X$3007,'Zoho Dump'!$N$8:$N$3007,$B201,'Zoho Dump'!$P$8:$P$3007,Settings!$A$14)+SUMIFS(Adjustments!$K$8:$K$207,Adjustments!$B$8:$B$207,$B201,Adjustments!$A$8:$A$207,Settings!$A$14))</f>
        <v>0</v>
      </c>
      <c r="N201" s="17" t="n">
        <f aca="false">IF($B201="",0,SUMIFS('Zoho Dump'!$X$8:$X$3007,'Zoho Dump'!$N$8:$N$3007,$B201,'Zoho Dump'!$P$8:$P$3007,Settings!$A$15)+SUMIFS(Adjustments!$K$8:$K$207,Adjustments!$B$8:$B$207,$B201,Adjustments!$A$8:$A$207,Settings!$A$15))</f>
        <v>0</v>
      </c>
      <c r="O201" s="17" t="n">
        <f aca="false">IF($B201="",0,SUMIFS('Zoho Dump'!$X$8:$X$3007,'Zoho Dump'!$N$8:$N$3007,$B201,'Zoho Dump'!$P$8:$P$3007,Settings!$A$16)+SUMIFS(Adjustments!$K$8:$K$207,Adjustments!$B$8:$B$207,$B201,Adjustments!$A$8:$A$207,Settings!$A$16))</f>
        <v>0</v>
      </c>
      <c r="P201" s="17" t="n">
        <f aca="false">IF($B201="",0,SUMIFS('Zoho Dump'!$X$8:$X$3007,'Zoho Dump'!$N$8:$N$3007,$B201,'Zoho Dump'!$P$8:$P$3007,Settings!$A$17)+SUMIFS(Adjustments!$K$8:$K$207,Adjustments!$B$8:$B$207,$B201,Adjustments!$A$8:$A$207,Settings!$A$17))</f>
        <v>0</v>
      </c>
      <c r="Q201" s="17" t="n">
        <f aca="false">IF($B201="",0,SUMIFS('Zoho Dump'!$X$8:$X$3007,'Zoho Dump'!$N$8:$N$3007,$B201,'Zoho Dump'!$P$8:$P$3007,Settings!$A$18)+SUMIFS(Adjustments!$K$8:$K$207,Adjustments!$B$8:$B$207,$B201,Adjustments!$A$8:$A$207,Settings!$A$18))</f>
        <v>0</v>
      </c>
      <c r="R201" s="30" t="str">
        <f aca="false">IF(G201&gt;0,G201+A201/10000000,"")</f>
        <v/>
      </c>
    </row>
    <row r="202" customFormat="false" ht="15" hidden="false" customHeight="false" outlineLevel="0" collapsed="false">
      <c r="A202" s="9" t="n">
        <v>198</v>
      </c>
      <c r="B202" s="9" t="str">
        <f aca="false">IFERROR(INDEX('Zoho Dump'!$N$8:$N$3007,MATCH(A202,'Zoho Dump'!$AB$8:$AB$3007,0)),"")</f>
        <v/>
      </c>
      <c r="C202" s="17" t="n">
        <f aca="false">IF($B202="",0,SUMIFS('Zoho Dump'!$Q$8:$Q$3007,'Zoho Dump'!$N$8:$N$3007,$B202,'Zoho Dump'!$T$8:$T$3007,"Delivered",'Zoho Dump'!$R$8:$R$3007,"&gt;="&amp;Settings!$B$4))</f>
        <v>0</v>
      </c>
      <c r="D202" s="17" t="n">
        <f aca="false">IF($B202="",0,SUMIFS('Zoho Dump'!$X$8:$X$3007,'Zoho Dump'!$N$8:$N$3007,$B202,'Zoho Dump'!$T$8:$T$3007,"Backlog")+SUMIFS(Adjustments!$K$8:$K$207,Adjustments!$B$8:$B$207,$B202,Adjustments!$H$8:$H$207,"Backlog"))</f>
        <v>0</v>
      </c>
      <c r="E202" s="17" t="n">
        <f aca="false">IF($B202="",0,SUMIFS('Zoho Dump'!$Y$8:$Y$3007,'Zoho Dump'!$N$8:$N$3007,$B202,'Zoho Dump'!$T$8:$T$3007,"Pipeline")+SUMIFS(Adjustments!$L$8:$L$207,Adjustments!$B$8:$B$207,$B202,Adjustments!$H$8:$H$207,"Pipeline")+SUMIFS('Zoho Dump'!$Y$8:$Y$3007,'Zoho Dump'!$N$8:$N$3007,$B202,'Zoho Dump'!$T$8:$T$3007,"Overdue")+SUMIFS(Adjustments!$L$8:$L$207,Adjustments!$B$8:$B$207,$B202,Adjustments!$H$8:$H$207,"Overdue"))</f>
        <v>0</v>
      </c>
      <c r="F202" s="17" t="n">
        <f aca="false">IF($B202="",0,SUMIFS('Zoho Dump'!$X$8:$X$3007,'Zoho Dump'!$N$8:$N$3007,$B202,'Zoho Dump'!$T$8:$T$3007,"Pipeline")+SUMIFS(Adjustments!$K$8:$K$207,Adjustments!$B$8:$B$207,$B202,Adjustments!$H$8:$H$207,"Pipeline")+SUMIFS('Zoho Dump'!$X$8:$X$3007,'Zoho Dump'!$N$8:$N$3007,$B202,'Zoho Dump'!$T$8:$T$3007,"Overdue")+SUMIFS(Adjustments!$K$8:$K$207,Adjustments!$B$8:$B$207,$B202,Adjustments!$H$8:$H$207,"Overdue"))</f>
        <v>0</v>
      </c>
      <c r="G202" s="17" t="n">
        <f aca="false">D202+F202</f>
        <v>0</v>
      </c>
      <c r="H202" s="18" t="n">
        <f aca="false">IF(SUM($G$5:$G$404)=0,0,G202/SUM($G$5:$G$404))</f>
        <v>0</v>
      </c>
      <c r="I202" s="17" t="n">
        <f aca="false">IF($B202="",0,SUMIFS('Zoho Dump'!$Q$8:$Q$3007,'Zoho Dump'!$N$8:$N$3007,$B202,'Zoho Dump'!$T$8:$T$3007,"Lost",'Zoho Dump'!$R$8:$R$3007,"&gt;="&amp;Settings!$B$4))</f>
        <v>0</v>
      </c>
      <c r="J202" s="9" t="str">
        <f aca="false">IF($B202="","",IF(COUNTIF(Dashboard!$C$13:$C$22,$B202)&gt;0,"Yes",""))</f>
        <v/>
      </c>
      <c r="K202" s="17" t="n">
        <f aca="false">IF($B202="",0,SUMIFS('Zoho Dump'!$X$8:$X$3007,'Zoho Dump'!$N$8:$N$3007,$B202,'Zoho Dump'!$P$8:$P$3007,Settings!$A$12)+SUMIFS(Adjustments!$K$8:$K$207,Adjustments!$B$8:$B$207,$B202,Adjustments!$A$8:$A$207,Settings!$A$12))</f>
        <v>0</v>
      </c>
      <c r="L202" s="17" t="n">
        <f aca="false">IF($B202="",0,SUMIFS('Zoho Dump'!$X$8:$X$3007,'Zoho Dump'!$N$8:$N$3007,$B202,'Zoho Dump'!$P$8:$P$3007,Settings!$A$13)+SUMIFS(Adjustments!$K$8:$K$207,Adjustments!$B$8:$B$207,$B202,Adjustments!$A$8:$A$207,Settings!$A$13))</f>
        <v>0</v>
      </c>
      <c r="M202" s="17" t="n">
        <f aca="false">IF($B202="",0,SUMIFS('Zoho Dump'!$X$8:$X$3007,'Zoho Dump'!$N$8:$N$3007,$B202,'Zoho Dump'!$P$8:$P$3007,Settings!$A$14)+SUMIFS(Adjustments!$K$8:$K$207,Adjustments!$B$8:$B$207,$B202,Adjustments!$A$8:$A$207,Settings!$A$14))</f>
        <v>0</v>
      </c>
      <c r="N202" s="17" t="n">
        <f aca="false">IF($B202="",0,SUMIFS('Zoho Dump'!$X$8:$X$3007,'Zoho Dump'!$N$8:$N$3007,$B202,'Zoho Dump'!$P$8:$P$3007,Settings!$A$15)+SUMIFS(Adjustments!$K$8:$K$207,Adjustments!$B$8:$B$207,$B202,Adjustments!$A$8:$A$207,Settings!$A$15))</f>
        <v>0</v>
      </c>
      <c r="O202" s="17" t="n">
        <f aca="false">IF($B202="",0,SUMIFS('Zoho Dump'!$X$8:$X$3007,'Zoho Dump'!$N$8:$N$3007,$B202,'Zoho Dump'!$P$8:$P$3007,Settings!$A$16)+SUMIFS(Adjustments!$K$8:$K$207,Adjustments!$B$8:$B$207,$B202,Adjustments!$A$8:$A$207,Settings!$A$16))</f>
        <v>0</v>
      </c>
      <c r="P202" s="17" t="n">
        <f aca="false">IF($B202="",0,SUMIFS('Zoho Dump'!$X$8:$X$3007,'Zoho Dump'!$N$8:$N$3007,$B202,'Zoho Dump'!$P$8:$P$3007,Settings!$A$17)+SUMIFS(Adjustments!$K$8:$K$207,Adjustments!$B$8:$B$207,$B202,Adjustments!$A$8:$A$207,Settings!$A$17))</f>
        <v>0</v>
      </c>
      <c r="Q202" s="17" t="n">
        <f aca="false">IF($B202="",0,SUMIFS('Zoho Dump'!$X$8:$X$3007,'Zoho Dump'!$N$8:$N$3007,$B202,'Zoho Dump'!$P$8:$P$3007,Settings!$A$18)+SUMIFS(Adjustments!$K$8:$K$207,Adjustments!$B$8:$B$207,$B202,Adjustments!$A$8:$A$207,Settings!$A$18))</f>
        <v>0</v>
      </c>
      <c r="R202" s="30" t="str">
        <f aca="false">IF(G202&gt;0,G202+A202/10000000,"")</f>
        <v/>
      </c>
    </row>
    <row r="203" customFormat="false" ht="15" hidden="false" customHeight="false" outlineLevel="0" collapsed="false">
      <c r="A203" s="9" t="n">
        <v>199</v>
      </c>
      <c r="B203" s="9" t="str">
        <f aca="false">IFERROR(INDEX('Zoho Dump'!$N$8:$N$3007,MATCH(A203,'Zoho Dump'!$AB$8:$AB$3007,0)),"")</f>
        <v/>
      </c>
      <c r="C203" s="17" t="n">
        <f aca="false">IF($B203="",0,SUMIFS('Zoho Dump'!$Q$8:$Q$3007,'Zoho Dump'!$N$8:$N$3007,$B203,'Zoho Dump'!$T$8:$T$3007,"Delivered",'Zoho Dump'!$R$8:$R$3007,"&gt;="&amp;Settings!$B$4))</f>
        <v>0</v>
      </c>
      <c r="D203" s="17" t="n">
        <f aca="false">IF($B203="",0,SUMIFS('Zoho Dump'!$X$8:$X$3007,'Zoho Dump'!$N$8:$N$3007,$B203,'Zoho Dump'!$T$8:$T$3007,"Backlog")+SUMIFS(Adjustments!$K$8:$K$207,Adjustments!$B$8:$B$207,$B203,Adjustments!$H$8:$H$207,"Backlog"))</f>
        <v>0</v>
      </c>
      <c r="E203" s="17" t="n">
        <f aca="false">IF($B203="",0,SUMIFS('Zoho Dump'!$Y$8:$Y$3007,'Zoho Dump'!$N$8:$N$3007,$B203,'Zoho Dump'!$T$8:$T$3007,"Pipeline")+SUMIFS(Adjustments!$L$8:$L$207,Adjustments!$B$8:$B$207,$B203,Adjustments!$H$8:$H$207,"Pipeline")+SUMIFS('Zoho Dump'!$Y$8:$Y$3007,'Zoho Dump'!$N$8:$N$3007,$B203,'Zoho Dump'!$T$8:$T$3007,"Overdue")+SUMIFS(Adjustments!$L$8:$L$207,Adjustments!$B$8:$B$207,$B203,Adjustments!$H$8:$H$207,"Overdue"))</f>
        <v>0</v>
      </c>
      <c r="F203" s="17" t="n">
        <f aca="false">IF($B203="",0,SUMIFS('Zoho Dump'!$X$8:$X$3007,'Zoho Dump'!$N$8:$N$3007,$B203,'Zoho Dump'!$T$8:$T$3007,"Pipeline")+SUMIFS(Adjustments!$K$8:$K$207,Adjustments!$B$8:$B$207,$B203,Adjustments!$H$8:$H$207,"Pipeline")+SUMIFS('Zoho Dump'!$X$8:$X$3007,'Zoho Dump'!$N$8:$N$3007,$B203,'Zoho Dump'!$T$8:$T$3007,"Overdue")+SUMIFS(Adjustments!$K$8:$K$207,Adjustments!$B$8:$B$207,$B203,Adjustments!$H$8:$H$207,"Overdue"))</f>
        <v>0</v>
      </c>
      <c r="G203" s="17" t="n">
        <f aca="false">D203+F203</f>
        <v>0</v>
      </c>
      <c r="H203" s="18" t="n">
        <f aca="false">IF(SUM($G$5:$G$404)=0,0,G203/SUM($G$5:$G$404))</f>
        <v>0</v>
      </c>
      <c r="I203" s="17" t="n">
        <f aca="false">IF($B203="",0,SUMIFS('Zoho Dump'!$Q$8:$Q$3007,'Zoho Dump'!$N$8:$N$3007,$B203,'Zoho Dump'!$T$8:$T$3007,"Lost",'Zoho Dump'!$R$8:$R$3007,"&gt;="&amp;Settings!$B$4))</f>
        <v>0</v>
      </c>
      <c r="J203" s="9" t="str">
        <f aca="false">IF($B203="","",IF(COUNTIF(Dashboard!$C$13:$C$22,$B203)&gt;0,"Yes",""))</f>
        <v/>
      </c>
      <c r="K203" s="17" t="n">
        <f aca="false">IF($B203="",0,SUMIFS('Zoho Dump'!$X$8:$X$3007,'Zoho Dump'!$N$8:$N$3007,$B203,'Zoho Dump'!$P$8:$P$3007,Settings!$A$12)+SUMIFS(Adjustments!$K$8:$K$207,Adjustments!$B$8:$B$207,$B203,Adjustments!$A$8:$A$207,Settings!$A$12))</f>
        <v>0</v>
      </c>
      <c r="L203" s="17" t="n">
        <f aca="false">IF($B203="",0,SUMIFS('Zoho Dump'!$X$8:$X$3007,'Zoho Dump'!$N$8:$N$3007,$B203,'Zoho Dump'!$P$8:$P$3007,Settings!$A$13)+SUMIFS(Adjustments!$K$8:$K$207,Adjustments!$B$8:$B$207,$B203,Adjustments!$A$8:$A$207,Settings!$A$13))</f>
        <v>0</v>
      </c>
      <c r="M203" s="17" t="n">
        <f aca="false">IF($B203="",0,SUMIFS('Zoho Dump'!$X$8:$X$3007,'Zoho Dump'!$N$8:$N$3007,$B203,'Zoho Dump'!$P$8:$P$3007,Settings!$A$14)+SUMIFS(Adjustments!$K$8:$K$207,Adjustments!$B$8:$B$207,$B203,Adjustments!$A$8:$A$207,Settings!$A$14))</f>
        <v>0</v>
      </c>
      <c r="N203" s="17" t="n">
        <f aca="false">IF($B203="",0,SUMIFS('Zoho Dump'!$X$8:$X$3007,'Zoho Dump'!$N$8:$N$3007,$B203,'Zoho Dump'!$P$8:$P$3007,Settings!$A$15)+SUMIFS(Adjustments!$K$8:$K$207,Adjustments!$B$8:$B$207,$B203,Adjustments!$A$8:$A$207,Settings!$A$15))</f>
        <v>0</v>
      </c>
      <c r="O203" s="17" t="n">
        <f aca="false">IF($B203="",0,SUMIFS('Zoho Dump'!$X$8:$X$3007,'Zoho Dump'!$N$8:$N$3007,$B203,'Zoho Dump'!$P$8:$P$3007,Settings!$A$16)+SUMIFS(Adjustments!$K$8:$K$207,Adjustments!$B$8:$B$207,$B203,Adjustments!$A$8:$A$207,Settings!$A$16))</f>
        <v>0</v>
      </c>
      <c r="P203" s="17" t="n">
        <f aca="false">IF($B203="",0,SUMIFS('Zoho Dump'!$X$8:$X$3007,'Zoho Dump'!$N$8:$N$3007,$B203,'Zoho Dump'!$P$8:$P$3007,Settings!$A$17)+SUMIFS(Adjustments!$K$8:$K$207,Adjustments!$B$8:$B$207,$B203,Adjustments!$A$8:$A$207,Settings!$A$17))</f>
        <v>0</v>
      </c>
      <c r="Q203" s="17" t="n">
        <f aca="false">IF($B203="",0,SUMIFS('Zoho Dump'!$X$8:$X$3007,'Zoho Dump'!$N$8:$N$3007,$B203,'Zoho Dump'!$P$8:$P$3007,Settings!$A$18)+SUMIFS(Adjustments!$K$8:$K$207,Adjustments!$B$8:$B$207,$B203,Adjustments!$A$8:$A$207,Settings!$A$18))</f>
        <v>0</v>
      </c>
      <c r="R203" s="30" t="str">
        <f aca="false">IF(G203&gt;0,G203+A203/10000000,"")</f>
        <v/>
      </c>
    </row>
    <row r="204" customFormat="false" ht="15" hidden="false" customHeight="false" outlineLevel="0" collapsed="false">
      <c r="A204" s="9" t="n">
        <v>200</v>
      </c>
      <c r="B204" s="9" t="str">
        <f aca="false">IFERROR(INDEX('Zoho Dump'!$N$8:$N$3007,MATCH(A204,'Zoho Dump'!$AB$8:$AB$3007,0)),"")</f>
        <v/>
      </c>
      <c r="C204" s="17" t="n">
        <f aca="false">IF($B204="",0,SUMIFS('Zoho Dump'!$Q$8:$Q$3007,'Zoho Dump'!$N$8:$N$3007,$B204,'Zoho Dump'!$T$8:$T$3007,"Delivered",'Zoho Dump'!$R$8:$R$3007,"&gt;="&amp;Settings!$B$4))</f>
        <v>0</v>
      </c>
      <c r="D204" s="17" t="n">
        <f aca="false">IF($B204="",0,SUMIFS('Zoho Dump'!$X$8:$X$3007,'Zoho Dump'!$N$8:$N$3007,$B204,'Zoho Dump'!$T$8:$T$3007,"Backlog")+SUMIFS(Adjustments!$K$8:$K$207,Adjustments!$B$8:$B$207,$B204,Adjustments!$H$8:$H$207,"Backlog"))</f>
        <v>0</v>
      </c>
      <c r="E204" s="17" t="n">
        <f aca="false">IF($B204="",0,SUMIFS('Zoho Dump'!$Y$8:$Y$3007,'Zoho Dump'!$N$8:$N$3007,$B204,'Zoho Dump'!$T$8:$T$3007,"Pipeline")+SUMIFS(Adjustments!$L$8:$L$207,Adjustments!$B$8:$B$207,$B204,Adjustments!$H$8:$H$207,"Pipeline")+SUMIFS('Zoho Dump'!$Y$8:$Y$3007,'Zoho Dump'!$N$8:$N$3007,$B204,'Zoho Dump'!$T$8:$T$3007,"Overdue")+SUMIFS(Adjustments!$L$8:$L$207,Adjustments!$B$8:$B$207,$B204,Adjustments!$H$8:$H$207,"Overdue"))</f>
        <v>0</v>
      </c>
      <c r="F204" s="17" t="n">
        <f aca="false">IF($B204="",0,SUMIFS('Zoho Dump'!$X$8:$X$3007,'Zoho Dump'!$N$8:$N$3007,$B204,'Zoho Dump'!$T$8:$T$3007,"Pipeline")+SUMIFS(Adjustments!$K$8:$K$207,Adjustments!$B$8:$B$207,$B204,Adjustments!$H$8:$H$207,"Pipeline")+SUMIFS('Zoho Dump'!$X$8:$X$3007,'Zoho Dump'!$N$8:$N$3007,$B204,'Zoho Dump'!$T$8:$T$3007,"Overdue")+SUMIFS(Adjustments!$K$8:$K$207,Adjustments!$B$8:$B$207,$B204,Adjustments!$H$8:$H$207,"Overdue"))</f>
        <v>0</v>
      </c>
      <c r="G204" s="17" t="n">
        <f aca="false">D204+F204</f>
        <v>0</v>
      </c>
      <c r="H204" s="18" t="n">
        <f aca="false">IF(SUM($G$5:$G$404)=0,0,G204/SUM($G$5:$G$404))</f>
        <v>0</v>
      </c>
      <c r="I204" s="17" t="n">
        <f aca="false">IF($B204="",0,SUMIFS('Zoho Dump'!$Q$8:$Q$3007,'Zoho Dump'!$N$8:$N$3007,$B204,'Zoho Dump'!$T$8:$T$3007,"Lost",'Zoho Dump'!$R$8:$R$3007,"&gt;="&amp;Settings!$B$4))</f>
        <v>0</v>
      </c>
      <c r="J204" s="9" t="str">
        <f aca="false">IF($B204="","",IF(COUNTIF(Dashboard!$C$13:$C$22,$B204)&gt;0,"Yes",""))</f>
        <v/>
      </c>
      <c r="K204" s="17" t="n">
        <f aca="false">IF($B204="",0,SUMIFS('Zoho Dump'!$X$8:$X$3007,'Zoho Dump'!$N$8:$N$3007,$B204,'Zoho Dump'!$P$8:$P$3007,Settings!$A$12)+SUMIFS(Adjustments!$K$8:$K$207,Adjustments!$B$8:$B$207,$B204,Adjustments!$A$8:$A$207,Settings!$A$12))</f>
        <v>0</v>
      </c>
      <c r="L204" s="17" t="n">
        <f aca="false">IF($B204="",0,SUMIFS('Zoho Dump'!$X$8:$X$3007,'Zoho Dump'!$N$8:$N$3007,$B204,'Zoho Dump'!$P$8:$P$3007,Settings!$A$13)+SUMIFS(Adjustments!$K$8:$K$207,Adjustments!$B$8:$B$207,$B204,Adjustments!$A$8:$A$207,Settings!$A$13))</f>
        <v>0</v>
      </c>
      <c r="M204" s="17" t="n">
        <f aca="false">IF($B204="",0,SUMIFS('Zoho Dump'!$X$8:$X$3007,'Zoho Dump'!$N$8:$N$3007,$B204,'Zoho Dump'!$P$8:$P$3007,Settings!$A$14)+SUMIFS(Adjustments!$K$8:$K$207,Adjustments!$B$8:$B$207,$B204,Adjustments!$A$8:$A$207,Settings!$A$14))</f>
        <v>0</v>
      </c>
      <c r="N204" s="17" t="n">
        <f aca="false">IF($B204="",0,SUMIFS('Zoho Dump'!$X$8:$X$3007,'Zoho Dump'!$N$8:$N$3007,$B204,'Zoho Dump'!$P$8:$P$3007,Settings!$A$15)+SUMIFS(Adjustments!$K$8:$K$207,Adjustments!$B$8:$B$207,$B204,Adjustments!$A$8:$A$207,Settings!$A$15))</f>
        <v>0</v>
      </c>
      <c r="O204" s="17" t="n">
        <f aca="false">IF($B204="",0,SUMIFS('Zoho Dump'!$X$8:$X$3007,'Zoho Dump'!$N$8:$N$3007,$B204,'Zoho Dump'!$P$8:$P$3007,Settings!$A$16)+SUMIFS(Adjustments!$K$8:$K$207,Adjustments!$B$8:$B$207,$B204,Adjustments!$A$8:$A$207,Settings!$A$16))</f>
        <v>0</v>
      </c>
      <c r="P204" s="17" t="n">
        <f aca="false">IF($B204="",0,SUMIFS('Zoho Dump'!$X$8:$X$3007,'Zoho Dump'!$N$8:$N$3007,$B204,'Zoho Dump'!$P$8:$P$3007,Settings!$A$17)+SUMIFS(Adjustments!$K$8:$K$207,Adjustments!$B$8:$B$207,$B204,Adjustments!$A$8:$A$207,Settings!$A$17))</f>
        <v>0</v>
      </c>
      <c r="Q204" s="17" t="n">
        <f aca="false">IF($B204="",0,SUMIFS('Zoho Dump'!$X$8:$X$3007,'Zoho Dump'!$N$8:$N$3007,$B204,'Zoho Dump'!$P$8:$P$3007,Settings!$A$18)+SUMIFS(Adjustments!$K$8:$K$207,Adjustments!$B$8:$B$207,$B204,Adjustments!$A$8:$A$207,Settings!$A$18))</f>
        <v>0</v>
      </c>
      <c r="R204" s="30" t="str">
        <f aca="false">IF(G204&gt;0,G204+A204/10000000,"")</f>
        <v/>
      </c>
    </row>
    <row r="205" customFormat="false" ht="15" hidden="false" customHeight="false" outlineLevel="0" collapsed="false">
      <c r="A205" s="9" t="n">
        <v>201</v>
      </c>
      <c r="B205" s="9" t="str">
        <f aca="false">IFERROR(INDEX('Zoho Dump'!$N$8:$N$3007,MATCH(A205,'Zoho Dump'!$AB$8:$AB$3007,0)),"")</f>
        <v/>
      </c>
      <c r="C205" s="17" t="n">
        <f aca="false">IF($B205="",0,SUMIFS('Zoho Dump'!$Q$8:$Q$3007,'Zoho Dump'!$N$8:$N$3007,$B205,'Zoho Dump'!$T$8:$T$3007,"Delivered",'Zoho Dump'!$R$8:$R$3007,"&gt;="&amp;Settings!$B$4))</f>
        <v>0</v>
      </c>
      <c r="D205" s="17" t="n">
        <f aca="false">IF($B205="",0,SUMIFS('Zoho Dump'!$X$8:$X$3007,'Zoho Dump'!$N$8:$N$3007,$B205,'Zoho Dump'!$T$8:$T$3007,"Backlog")+SUMIFS(Adjustments!$K$8:$K$207,Adjustments!$B$8:$B$207,$B205,Adjustments!$H$8:$H$207,"Backlog"))</f>
        <v>0</v>
      </c>
      <c r="E205" s="17" t="n">
        <f aca="false">IF($B205="",0,SUMIFS('Zoho Dump'!$Y$8:$Y$3007,'Zoho Dump'!$N$8:$N$3007,$B205,'Zoho Dump'!$T$8:$T$3007,"Pipeline")+SUMIFS(Adjustments!$L$8:$L$207,Adjustments!$B$8:$B$207,$B205,Adjustments!$H$8:$H$207,"Pipeline")+SUMIFS('Zoho Dump'!$Y$8:$Y$3007,'Zoho Dump'!$N$8:$N$3007,$B205,'Zoho Dump'!$T$8:$T$3007,"Overdue")+SUMIFS(Adjustments!$L$8:$L$207,Adjustments!$B$8:$B$207,$B205,Adjustments!$H$8:$H$207,"Overdue"))</f>
        <v>0</v>
      </c>
      <c r="F205" s="17" t="n">
        <f aca="false">IF($B205="",0,SUMIFS('Zoho Dump'!$X$8:$X$3007,'Zoho Dump'!$N$8:$N$3007,$B205,'Zoho Dump'!$T$8:$T$3007,"Pipeline")+SUMIFS(Adjustments!$K$8:$K$207,Adjustments!$B$8:$B$207,$B205,Adjustments!$H$8:$H$207,"Pipeline")+SUMIFS('Zoho Dump'!$X$8:$X$3007,'Zoho Dump'!$N$8:$N$3007,$B205,'Zoho Dump'!$T$8:$T$3007,"Overdue")+SUMIFS(Adjustments!$K$8:$K$207,Adjustments!$B$8:$B$207,$B205,Adjustments!$H$8:$H$207,"Overdue"))</f>
        <v>0</v>
      </c>
      <c r="G205" s="17" t="n">
        <f aca="false">D205+F205</f>
        <v>0</v>
      </c>
      <c r="H205" s="18" t="n">
        <f aca="false">IF(SUM($G$5:$G$404)=0,0,G205/SUM($G$5:$G$404))</f>
        <v>0</v>
      </c>
      <c r="I205" s="17" t="n">
        <f aca="false">IF($B205="",0,SUMIFS('Zoho Dump'!$Q$8:$Q$3007,'Zoho Dump'!$N$8:$N$3007,$B205,'Zoho Dump'!$T$8:$T$3007,"Lost",'Zoho Dump'!$R$8:$R$3007,"&gt;="&amp;Settings!$B$4))</f>
        <v>0</v>
      </c>
      <c r="J205" s="9" t="str">
        <f aca="false">IF($B205="","",IF(COUNTIF(Dashboard!$C$13:$C$22,$B205)&gt;0,"Yes",""))</f>
        <v/>
      </c>
      <c r="K205" s="17" t="n">
        <f aca="false">IF($B205="",0,SUMIFS('Zoho Dump'!$X$8:$X$3007,'Zoho Dump'!$N$8:$N$3007,$B205,'Zoho Dump'!$P$8:$P$3007,Settings!$A$12)+SUMIFS(Adjustments!$K$8:$K$207,Adjustments!$B$8:$B$207,$B205,Adjustments!$A$8:$A$207,Settings!$A$12))</f>
        <v>0</v>
      </c>
      <c r="L205" s="17" t="n">
        <f aca="false">IF($B205="",0,SUMIFS('Zoho Dump'!$X$8:$X$3007,'Zoho Dump'!$N$8:$N$3007,$B205,'Zoho Dump'!$P$8:$P$3007,Settings!$A$13)+SUMIFS(Adjustments!$K$8:$K$207,Adjustments!$B$8:$B$207,$B205,Adjustments!$A$8:$A$207,Settings!$A$13))</f>
        <v>0</v>
      </c>
      <c r="M205" s="17" t="n">
        <f aca="false">IF($B205="",0,SUMIFS('Zoho Dump'!$X$8:$X$3007,'Zoho Dump'!$N$8:$N$3007,$B205,'Zoho Dump'!$P$8:$P$3007,Settings!$A$14)+SUMIFS(Adjustments!$K$8:$K$207,Adjustments!$B$8:$B$207,$B205,Adjustments!$A$8:$A$207,Settings!$A$14))</f>
        <v>0</v>
      </c>
      <c r="N205" s="17" t="n">
        <f aca="false">IF($B205="",0,SUMIFS('Zoho Dump'!$X$8:$X$3007,'Zoho Dump'!$N$8:$N$3007,$B205,'Zoho Dump'!$P$8:$P$3007,Settings!$A$15)+SUMIFS(Adjustments!$K$8:$K$207,Adjustments!$B$8:$B$207,$B205,Adjustments!$A$8:$A$207,Settings!$A$15))</f>
        <v>0</v>
      </c>
      <c r="O205" s="17" t="n">
        <f aca="false">IF($B205="",0,SUMIFS('Zoho Dump'!$X$8:$X$3007,'Zoho Dump'!$N$8:$N$3007,$B205,'Zoho Dump'!$P$8:$P$3007,Settings!$A$16)+SUMIFS(Adjustments!$K$8:$K$207,Adjustments!$B$8:$B$207,$B205,Adjustments!$A$8:$A$207,Settings!$A$16))</f>
        <v>0</v>
      </c>
      <c r="P205" s="17" t="n">
        <f aca="false">IF($B205="",0,SUMIFS('Zoho Dump'!$X$8:$X$3007,'Zoho Dump'!$N$8:$N$3007,$B205,'Zoho Dump'!$P$8:$P$3007,Settings!$A$17)+SUMIFS(Adjustments!$K$8:$K$207,Adjustments!$B$8:$B$207,$B205,Adjustments!$A$8:$A$207,Settings!$A$17))</f>
        <v>0</v>
      </c>
      <c r="Q205" s="17" t="n">
        <f aca="false">IF($B205="",0,SUMIFS('Zoho Dump'!$X$8:$X$3007,'Zoho Dump'!$N$8:$N$3007,$B205,'Zoho Dump'!$P$8:$P$3007,Settings!$A$18)+SUMIFS(Adjustments!$K$8:$K$207,Adjustments!$B$8:$B$207,$B205,Adjustments!$A$8:$A$207,Settings!$A$18))</f>
        <v>0</v>
      </c>
      <c r="R205" s="30" t="str">
        <f aca="false">IF(G205&gt;0,G205+A205/10000000,"")</f>
        <v/>
      </c>
    </row>
    <row r="206" customFormat="false" ht="15" hidden="false" customHeight="false" outlineLevel="0" collapsed="false">
      <c r="A206" s="9" t="n">
        <v>202</v>
      </c>
      <c r="B206" s="9" t="str">
        <f aca="false">IFERROR(INDEX('Zoho Dump'!$N$8:$N$3007,MATCH(A206,'Zoho Dump'!$AB$8:$AB$3007,0)),"")</f>
        <v/>
      </c>
      <c r="C206" s="17" t="n">
        <f aca="false">IF($B206="",0,SUMIFS('Zoho Dump'!$Q$8:$Q$3007,'Zoho Dump'!$N$8:$N$3007,$B206,'Zoho Dump'!$T$8:$T$3007,"Delivered",'Zoho Dump'!$R$8:$R$3007,"&gt;="&amp;Settings!$B$4))</f>
        <v>0</v>
      </c>
      <c r="D206" s="17" t="n">
        <f aca="false">IF($B206="",0,SUMIFS('Zoho Dump'!$X$8:$X$3007,'Zoho Dump'!$N$8:$N$3007,$B206,'Zoho Dump'!$T$8:$T$3007,"Backlog")+SUMIFS(Adjustments!$K$8:$K$207,Adjustments!$B$8:$B$207,$B206,Adjustments!$H$8:$H$207,"Backlog"))</f>
        <v>0</v>
      </c>
      <c r="E206" s="17" t="n">
        <f aca="false">IF($B206="",0,SUMIFS('Zoho Dump'!$Y$8:$Y$3007,'Zoho Dump'!$N$8:$N$3007,$B206,'Zoho Dump'!$T$8:$T$3007,"Pipeline")+SUMIFS(Adjustments!$L$8:$L$207,Adjustments!$B$8:$B$207,$B206,Adjustments!$H$8:$H$207,"Pipeline")+SUMIFS('Zoho Dump'!$Y$8:$Y$3007,'Zoho Dump'!$N$8:$N$3007,$B206,'Zoho Dump'!$T$8:$T$3007,"Overdue")+SUMIFS(Adjustments!$L$8:$L$207,Adjustments!$B$8:$B$207,$B206,Adjustments!$H$8:$H$207,"Overdue"))</f>
        <v>0</v>
      </c>
      <c r="F206" s="17" t="n">
        <f aca="false">IF($B206="",0,SUMIFS('Zoho Dump'!$X$8:$X$3007,'Zoho Dump'!$N$8:$N$3007,$B206,'Zoho Dump'!$T$8:$T$3007,"Pipeline")+SUMIFS(Adjustments!$K$8:$K$207,Adjustments!$B$8:$B$207,$B206,Adjustments!$H$8:$H$207,"Pipeline")+SUMIFS('Zoho Dump'!$X$8:$X$3007,'Zoho Dump'!$N$8:$N$3007,$B206,'Zoho Dump'!$T$8:$T$3007,"Overdue")+SUMIFS(Adjustments!$K$8:$K$207,Adjustments!$B$8:$B$207,$B206,Adjustments!$H$8:$H$207,"Overdue"))</f>
        <v>0</v>
      </c>
      <c r="G206" s="17" t="n">
        <f aca="false">D206+F206</f>
        <v>0</v>
      </c>
      <c r="H206" s="18" t="n">
        <f aca="false">IF(SUM($G$5:$G$404)=0,0,G206/SUM($G$5:$G$404))</f>
        <v>0</v>
      </c>
      <c r="I206" s="17" t="n">
        <f aca="false">IF($B206="",0,SUMIFS('Zoho Dump'!$Q$8:$Q$3007,'Zoho Dump'!$N$8:$N$3007,$B206,'Zoho Dump'!$T$8:$T$3007,"Lost",'Zoho Dump'!$R$8:$R$3007,"&gt;="&amp;Settings!$B$4))</f>
        <v>0</v>
      </c>
      <c r="J206" s="9" t="str">
        <f aca="false">IF($B206="","",IF(COUNTIF(Dashboard!$C$13:$C$22,$B206)&gt;0,"Yes",""))</f>
        <v/>
      </c>
      <c r="K206" s="17" t="n">
        <f aca="false">IF($B206="",0,SUMIFS('Zoho Dump'!$X$8:$X$3007,'Zoho Dump'!$N$8:$N$3007,$B206,'Zoho Dump'!$P$8:$P$3007,Settings!$A$12)+SUMIFS(Adjustments!$K$8:$K$207,Adjustments!$B$8:$B$207,$B206,Adjustments!$A$8:$A$207,Settings!$A$12))</f>
        <v>0</v>
      </c>
      <c r="L206" s="17" t="n">
        <f aca="false">IF($B206="",0,SUMIFS('Zoho Dump'!$X$8:$X$3007,'Zoho Dump'!$N$8:$N$3007,$B206,'Zoho Dump'!$P$8:$P$3007,Settings!$A$13)+SUMIFS(Adjustments!$K$8:$K$207,Adjustments!$B$8:$B$207,$B206,Adjustments!$A$8:$A$207,Settings!$A$13))</f>
        <v>0</v>
      </c>
      <c r="M206" s="17" t="n">
        <f aca="false">IF($B206="",0,SUMIFS('Zoho Dump'!$X$8:$X$3007,'Zoho Dump'!$N$8:$N$3007,$B206,'Zoho Dump'!$P$8:$P$3007,Settings!$A$14)+SUMIFS(Adjustments!$K$8:$K$207,Adjustments!$B$8:$B$207,$B206,Adjustments!$A$8:$A$207,Settings!$A$14))</f>
        <v>0</v>
      </c>
      <c r="N206" s="17" t="n">
        <f aca="false">IF($B206="",0,SUMIFS('Zoho Dump'!$X$8:$X$3007,'Zoho Dump'!$N$8:$N$3007,$B206,'Zoho Dump'!$P$8:$P$3007,Settings!$A$15)+SUMIFS(Adjustments!$K$8:$K$207,Adjustments!$B$8:$B$207,$B206,Adjustments!$A$8:$A$207,Settings!$A$15))</f>
        <v>0</v>
      </c>
      <c r="O206" s="17" t="n">
        <f aca="false">IF($B206="",0,SUMIFS('Zoho Dump'!$X$8:$X$3007,'Zoho Dump'!$N$8:$N$3007,$B206,'Zoho Dump'!$P$8:$P$3007,Settings!$A$16)+SUMIFS(Adjustments!$K$8:$K$207,Adjustments!$B$8:$B$207,$B206,Adjustments!$A$8:$A$207,Settings!$A$16))</f>
        <v>0</v>
      </c>
      <c r="P206" s="17" t="n">
        <f aca="false">IF($B206="",0,SUMIFS('Zoho Dump'!$X$8:$X$3007,'Zoho Dump'!$N$8:$N$3007,$B206,'Zoho Dump'!$P$8:$P$3007,Settings!$A$17)+SUMIFS(Adjustments!$K$8:$K$207,Adjustments!$B$8:$B$207,$B206,Adjustments!$A$8:$A$207,Settings!$A$17))</f>
        <v>0</v>
      </c>
      <c r="Q206" s="17" t="n">
        <f aca="false">IF($B206="",0,SUMIFS('Zoho Dump'!$X$8:$X$3007,'Zoho Dump'!$N$8:$N$3007,$B206,'Zoho Dump'!$P$8:$P$3007,Settings!$A$18)+SUMIFS(Adjustments!$K$8:$K$207,Adjustments!$B$8:$B$207,$B206,Adjustments!$A$8:$A$207,Settings!$A$18))</f>
        <v>0</v>
      </c>
      <c r="R206" s="30" t="str">
        <f aca="false">IF(G206&gt;0,G206+A206/10000000,"")</f>
        <v/>
      </c>
    </row>
    <row r="207" customFormat="false" ht="15" hidden="false" customHeight="false" outlineLevel="0" collapsed="false">
      <c r="A207" s="9" t="n">
        <v>203</v>
      </c>
      <c r="B207" s="9" t="str">
        <f aca="false">IFERROR(INDEX('Zoho Dump'!$N$8:$N$3007,MATCH(A207,'Zoho Dump'!$AB$8:$AB$3007,0)),"")</f>
        <v/>
      </c>
      <c r="C207" s="17" t="n">
        <f aca="false">IF($B207="",0,SUMIFS('Zoho Dump'!$Q$8:$Q$3007,'Zoho Dump'!$N$8:$N$3007,$B207,'Zoho Dump'!$T$8:$T$3007,"Delivered",'Zoho Dump'!$R$8:$R$3007,"&gt;="&amp;Settings!$B$4))</f>
        <v>0</v>
      </c>
      <c r="D207" s="17" t="n">
        <f aca="false">IF($B207="",0,SUMIFS('Zoho Dump'!$X$8:$X$3007,'Zoho Dump'!$N$8:$N$3007,$B207,'Zoho Dump'!$T$8:$T$3007,"Backlog")+SUMIFS(Adjustments!$K$8:$K$207,Adjustments!$B$8:$B$207,$B207,Adjustments!$H$8:$H$207,"Backlog"))</f>
        <v>0</v>
      </c>
      <c r="E207" s="17" t="n">
        <f aca="false">IF($B207="",0,SUMIFS('Zoho Dump'!$Y$8:$Y$3007,'Zoho Dump'!$N$8:$N$3007,$B207,'Zoho Dump'!$T$8:$T$3007,"Pipeline")+SUMIFS(Adjustments!$L$8:$L$207,Adjustments!$B$8:$B$207,$B207,Adjustments!$H$8:$H$207,"Pipeline")+SUMIFS('Zoho Dump'!$Y$8:$Y$3007,'Zoho Dump'!$N$8:$N$3007,$B207,'Zoho Dump'!$T$8:$T$3007,"Overdue")+SUMIFS(Adjustments!$L$8:$L$207,Adjustments!$B$8:$B$207,$B207,Adjustments!$H$8:$H$207,"Overdue"))</f>
        <v>0</v>
      </c>
      <c r="F207" s="17" t="n">
        <f aca="false">IF($B207="",0,SUMIFS('Zoho Dump'!$X$8:$X$3007,'Zoho Dump'!$N$8:$N$3007,$B207,'Zoho Dump'!$T$8:$T$3007,"Pipeline")+SUMIFS(Adjustments!$K$8:$K$207,Adjustments!$B$8:$B$207,$B207,Adjustments!$H$8:$H$207,"Pipeline")+SUMIFS('Zoho Dump'!$X$8:$X$3007,'Zoho Dump'!$N$8:$N$3007,$B207,'Zoho Dump'!$T$8:$T$3007,"Overdue")+SUMIFS(Adjustments!$K$8:$K$207,Adjustments!$B$8:$B$207,$B207,Adjustments!$H$8:$H$207,"Overdue"))</f>
        <v>0</v>
      </c>
      <c r="G207" s="17" t="n">
        <f aca="false">D207+F207</f>
        <v>0</v>
      </c>
      <c r="H207" s="18" t="n">
        <f aca="false">IF(SUM($G$5:$G$404)=0,0,G207/SUM($G$5:$G$404))</f>
        <v>0</v>
      </c>
      <c r="I207" s="17" t="n">
        <f aca="false">IF($B207="",0,SUMIFS('Zoho Dump'!$Q$8:$Q$3007,'Zoho Dump'!$N$8:$N$3007,$B207,'Zoho Dump'!$T$8:$T$3007,"Lost",'Zoho Dump'!$R$8:$R$3007,"&gt;="&amp;Settings!$B$4))</f>
        <v>0</v>
      </c>
      <c r="J207" s="9" t="str">
        <f aca="false">IF($B207="","",IF(COUNTIF(Dashboard!$C$13:$C$22,$B207)&gt;0,"Yes",""))</f>
        <v/>
      </c>
      <c r="K207" s="17" t="n">
        <f aca="false">IF($B207="",0,SUMIFS('Zoho Dump'!$X$8:$X$3007,'Zoho Dump'!$N$8:$N$3007,$B207,'Zoho Dump'!$P$8:$P$3007,Settings!$A$12)+SUMIFS(Adjustments!$K$8:$K$207,Adjustments!$B$8:$B$207,$B207,Adjustments!$A$8:$A$207,Settings!$A$12))</f>
        <v>0</v>
      </c>
      <c r="L207" s="17" t="n">
        <f aca="false">IF($B207="",0,SUMIFS('Zoho Dump'!$X$8:$X$3007,'Zoho Dump'!$N$8:$N$3007,$B207,'Zoho Dump'!$P$8:$P$3007,Settings!$A$13)+SUMIFS(Adjustments!$K$8:$K$207,Adjustments!$B$8:$B$207,$B207,Adjustments!$A$8:$A$207,Settings!$A$13))</f>
        <v>0</v>
      </c>
      <c r="M207" s="17" t="n">
        <f aca="false">IF($B207="",0,SUMIFS('Zoho Dump'!$X$8:$X$3007,'Zoho Dump'!$N$8:$N$3007,$B207,'Zoho Dump'!$P$8:$P$3007,Settings!$A$14)+SUMIFS(Adjustments!$K$8:$K$207,Adjustments!$B$8:$B$207,$B207,Adjustments!$A$8:$A$207,Settings!$A$14))</f>
        <v>0</v>
      </c>
      <c r="N207" s="17" t="n">
        <f aca="false">IF($B207="",0,SUMIFS('Zoho Dump'!$X$8:$X$3007,'Zoho Dump'!$N$8:$N$3007,$B207,'Zoho Dump'!$P$8:$P$3007,Settings!$A$15)+SUMIFS(Adjustments!$K$8:$K$207,Adjustments!$B$8:$B$207,$B207,Adjustments!$A$8:$A$207,Settings!$A$15))</f>
        <v>0</v>
      </c>
      <c r="O207" s="17" t="n">
        <f aca="false">IF($B207="",0,SUMIFS('Zoho Dump'!$X$8:$X$3007,'Zoho Dump'!$N$8:$N$3007,$B207,'Zoho Dump'!$P$8:$P$3007,Settings!$A$16)+SUMIFS(Adjustments!$K$8:$K$207,Adjustments!$B$8:$B$207,$B207,Adjustments!$A$8:$A$207,Settings!$A$16))</f>
        <v>0</v>
      </c>
      <c r="P207" s="17" t="n">
        <f aca="false">IF($B207="",0,SUMIFS('Zoho Dump'!$X$8:$X$3007,'Zoho Dump'!$N$8:$N$3007,$B207,'Zoho Dump'!$P$8:$P$3007,Settings!$A$17)+SUMIFS(Adjustments!$K$8:$K$207,Adjustments!$B$8:$B$207,$B207,Adjustments!$A$8:$A$207,Settings!$A$17))</f>
        <v>0</v>
      </c>
      <c r="Q207" s="17" t="n">
        <f aca="false">IF($B207="",0,SUMIFS('Zoho Dump'!$X$8:$X$3007,'Zoho Dump'!$N$8:$N$3007,$B207,'Zoho Dump'!$P$8:$P$3007,Settings!$A$18)+SUMIFS(Adjustments!$K$8:$K$207,Adjustments!$B$8:$B$207,$B207,Adjustments!$A$8:$A$207,Settings!$A$18))</f>
        <v>0</v>
      </c>
      <c r="R207" s="30" t="str">
        <f aca="false">IF(G207&gt;0,G207+A207/10000000,"")</f>
        <v/>
      </c>
    </row>
    <row r="208" customFormat="false" ht="15" hidden="false" customHeight="false" outlineLevel="0" collapsed="false">
      <c r="A208" s="9" t="n">
        <v>204</v>
      </c>
      <c r="B208" s="9" t="str">
        <f aca="false">IFERROR(INDEX('Zoho Dump'!$N$8:$N$3007,MATCH(A208,'Zoho Dump'!$AB$8:$AB$3007,0)),"")</f>
        <v/>
      </c>
      <c r="C208" s="17" t="n">
        <f aca="false">IF($B208="",0,SUMIFS('Zoho Dump'!$Q$8:$Q$3007,'Zoho Dump'!$N$8:$N$3007,$B208,'Zoho Dump'!$T$8:$T$3007,"Delivered",'Zoho Dump'!$R$8:$R$3007,"&gt;="&amp;Settings!$B$4))</f>
        <v>0</v>
      </c>
      <c r="D208" s="17" t="n">
        <f aca="false">IF($B208="",0,SUMIFS('Zoho Dump'!$X$8:$X$3007,'Zoho Dump'!$N$8:$N$3007,$B208,'Zoho Dump'!$T$8:$T$3007,"Backlog")+SUMIFS(Adjustments!$K$8:$K$207,Adjustments!$B$8:$B$207,$B208,Adjustments!$H$8:$H$207,"Backlog"))</f>
        <v>0</v>
      </c>
      <c r="E208" s="17" t="n">
        <f aca="false">IF($B208="",0,SUMIFS('Zoho Dump'!$Y$8:$Y$3007,'Zoho Dump'!$N$8:$N$3007,$B208,'Zoho Dump'!$T$8:$T$3007,"Pipeline")+SUMIFS(Adjustments!$L$8:$L$207,Adjustments!$B$8:$B$207,$B208,Adjustments!$H$8:$H$207,"Pipeline")+SUMIFS('Zoho Dump'!$Y$8:$Y$3007,'Zoho Dump'!$N$8:$N$3007,$B208,'Zoho Dump'!$T$8:$T$3007,"Overdue")+SUMIFS(Adjustments!$L$8:$L$207,Adjustments!$B$8:$B$207,$B208,Adjustments!$H$8:$H$207,"Overdue"))</f>
        <v>0</v>
      </c>
      <c r="F208" s="17" t="n">
        <f aca="false">IF($B208="",0,SUMIFS('Zoho Dump'!$X$8:$X$3007,'Zoho Dump'!$N$8:$N$3007,$B208,'Zoho Dump'!$T$8:$T$3007,"Pipeline")+SUMIFS(Adjustments!$K$8:$K$207,Adjustments!$B$8:$B$207,$B208,Adjustments!$H$8:$H$207,"Pipeline")+SUMIFS('Zoho Dump'!$X$8:$X$3007,'Zoho Dump'!$N$8:$N$3007,$B208,'Zoho Dump'!$T$8:$T$3007,"Overdue")+SUMIFS(Adjustments!$K$8:$K$207,Adjustments!$B$8:$B$207,$B208,Adjustments!$H$8:$H$207,"Overdue"))</f>
        <v>0</v>
      </c>
      <c r="G208" s="17" t="n">
        <f aca="false">D208+F208</f>
        <v>0</v>
      </c>
      <c r="H208" s="18" t="n">
        <f aca="false">IF(SUM($G$5:$G$404)=0,0,G208/SUM($G$5:$G$404))</f>
        <v>0</v>
      </c>
      <c r="I208" s="17" t="n">
        <f aca="false">IF($B208="",0,SUMIFS('Zoho Dump'!$Q$8:$Q$3007,'Zoho Dump'!$N$8:$N$3007,$B208,'Zoho Dump'!$T$8:$T$3007,"Lost",'Zoho Dump'!$R$8:$R$3007,"&gt;="&amp;Settings!$B$4))</f>
        <v>0</v>
      </c>
      <c r="J208" s="9" t="str">
        <f aca="false">IF($B208="","",IF(COUNTIF(Dashboard!$C$13:$C$22,$B208)&gt;0,"Yes",""))</f>
        <v/>
      </c>
      <c r="K208" s="17" t="n">
        <f aca="false">IF($B208="",0,SUMIFS('Zoho Dump'!$X$8:$X$3007,'Zoho Dump'!$N$8:$N$3007,$B208,'Zoho Dump'!$P$8:$P$3007,Settings!$A$12)+SUMIFS(Adjustments!$K$8:$K$207,Adjustments!$B$8:$B$207,$B208,Adjustments!$A$8:$A$207,Settings!$A$12))</f>
        <v>0</v>
      </c>
      <c r="L208" s="17" t="n">
        <f aca="false">IF($B208="",0,SUMIFS('Zoho Dump'!$X$8:$X$3007,'Zoho Dump'!$N$8:$N$3007,$B208,'Zoho Dump'!$P$8:$P$3007,Settings!$A$13)+SUMIFS(Adjustments!$K$8:$K$207,Adjustments!$B$8:$B$207,$B208,Adjustments!$A$8:$A$207,Settings!$A$13))</f>
        <v>0</v>
      </c>
      <c r="M208" s="17" t="n">
        <f aca="false">IF($B208="",0,SUMIFS('Zoho Dump'!$X$8:$X$3007,'Zoho Dump'!$N$8:$N$3007,$B208,'Zoho Dump'!$P$8:$P$3007,Settings!$A$14)+SUMIFS(Adjustments!$K$8:$K$207,Adjustments!$B$8:$B$207,$B208,Adjustments!$A$8:$A$207,Settings!$A$14))</f>
        <v>0</v>
      </c>
      <c r="N208" s="17" t="n">
        <f aca="false">IF($B208="",0,SUMIFS('Zoho Dump'!$X$8:$X$3007,'Zoho Dump'!$N$8:$N$3007,$B208,'Zoho Dump'!$P$8:$P$3007,Settings!$A$15)+SUMIFS(Adjustments!$K$8:$K$207,Adjustments!$B$8:$B$207,$B208,Adjustments!$A$8:$A$207,Settings!$A$15))</f>
        <v>0</v>
      </c>
      <c r="O208" s="17" t="n">
        <f aca="false">IF($B208="",0,SUMIFS('Zoho Dump'!$X$8:$X$3007,'Zoho Dump'!$N$8:$N$3007,$B208,'Zoho Dump'!$P$8:$P$3007,Settings!$A$16)+SUMIFS(Adjustments!$K$8:$K$207,Adjustments!$B$8:$B$207,$B208,Adjustments!$A$8:$A$207,Settings!$A$16))</f>
        <v>0</v>
      </c>
      <c r="P208" s="17" t="n">
        <f aca="false">IF($B208="",0,SUMIFS('Zoho Dump'!$X$8:$X$3007,'Zoho Dump'!$N$8:$N$3007,$B208,'Zoho Dump'!$P$8:$P$3007,Settings!$A$17)+SUMIFS(Adjustments!$K$8:$K$207,Adjustments!$B$8:$B$207,$B208,Adjustments!$A$8:$A$207,Settings!$A$17))</f>
        <v>0</v>
      </c>
      <c r="Q208" s="17" t="n">
        <f aca="false">IF($B208="",0,SUMIFS('Zoho Dump'!$X$8:$X$3007,'Zoho Dump'!$N$8:$N$3007,$B208,'Zoho Dump'!$P$8:$P$3007,Settings!$A$18)+SUMIFS(Adjustments!$K$8:$K$207,Adjustments!$B$8:$B$207,$B208,Adjustments!$A$8:$A$207,Settings!$A$18))</f>
        <v>0</v>
      </c>
      <c r="R208" s="30" t="str">
        <f aca="false">IF(G208&gt;0,G208+A208/10000000,"")</f>
        <v/>
      </c>
    </row>
    <row r="209" customFormat="false" ht="15" hidden="false" customHeight="false" outlineLevel="0" collapsed="false">
      <c r="A209" s="9" t="n">
        <v>205</v>
      </c>
      <c r="B209" s="9" t="str">
        <f aca="false">IFERROR(INDEX('Zoho Dump'!$N$8:$N$3007,MATCH(A209,'Zoho Dump'!$AB$8:$AB$3007,0)),"")</f>
        <v/>
      </c>
      <c r="C209" s="17" t="n">
        <f aca="false">IF($B209="",0,SUMIFS('Zoho Dump'!$Q$8:$Q$3007,'Zoho Dump'!$N$8:$N$3007,$B209,'Zoho Dump'!$T$8:$T$3007,"Delivered",'Zoho Dump'!$R$8:$R$3007,"&gt;="&amp;Settings!$B$4))</f>
        <v>0</v>
      </c>
      <c r="D209" s="17" t="n">
        <f aca="false">IF($B209="",0,SUMIFS('Zoho Dump'!$X$8:$X$3007,'Zoho Dump'!$N$8:$N$3007,$B209,'Zoho Dump'!$T$8:$T$3007,"Backlog")+SUMIFS(Adjustments!$K$8:$K$207,Adjustments!$B$8:$B$207,$B209,Adjustments!$H$8:$H$207,"Backlog"))</f>
        <v>0</v>
      </c>
      <c r="E209" s="17" t="n">
        <f aca="false">IF($B209="",0,SUMIFS('Zoho Dump'!$Y$8:$Y$3007,'Zoho Dump'!$N$8:$N$3007,$B209,'Zoho Dump'!$T$8:$T$3007,"Pipeline")+SUMIFS(Adjustments!$L$8:$L$207,Adjustments!$B$8:$B$207,$B209,Adjustments!$H$8:$H$207,"Pipeline")+SUMIFS('Zoho Dump'!$Y$8:$Y$3007,'Zoho Dump'!$N$8:$N$3007,$B209,'Zoho Dump'!$T$8:$T$3007,"Overdue")+SUMIFS(Adjustments!$L$8:$L$207,Adjustments!$B$8:$B$207,$B209,Adjustments!$H$8:$H$207,"Overdue"))</f>
        <v>0</v>
      </c>
      <c r="F209" s="17" t="n">
        <f aca="false">IF($B209="",0,SUMIFS('Zoho Dump'!$X$8:$X$3007,'Zoho Dump'!$N$8:$N$3007,$B209,'Zoho Dump'!$T$8:$T$3007,"Pipeline")+SUMIFS(Adjustments!$K$8:$K$207,Adjustments!$B$8:$B$207,$B209,Adjustments!$H$8:$H$207,"Pipeline")+SUMIFS('Zoho Dump'!$X$8:$X$3007,'Zoho Dump'!$N$8:$N$3007,$B209,'Zoho Dump'!$T$8:$T$3007,"Overdue")+SUMIFS(Adjustments!$K$8:$K$207,Adjustments!$B$8:$B$207,$B209,Adjustments!$H$8:$H$207,"Overdue"))</f>
        <v>0</v>
      </c>
      <c r="G209" s="17" t="n">
        <f aca="false">D209+F209</f>
        <v>0</v>
      </c>
      <c r="H209" s="18" t="n">
        <f aca="false">IF(SUM($G$5:$G$404)=0,0,G209/SUM($G$5:$G$404))</f>
        <v>0</v>
      </c>
      <c r="I209" s="17" t="n">
        <f aca="false">IF($B209="",0,SUMIFS('Zoho Dump'!$Q$8:$Q$3007,'Zoho Dump'!$N$8:$N$3007,$B209,'Zoho Dump'!$T$8:$T$3007,"Lost",'Zoho Dump'!$R$8:$R$3007,"&gt;="&amp;Settings!$B$4))</f>
        <v>0</v>
      </c>
      <c r="J209" s="9" t="str">
        <f aca="false">IF($B209="","",IF(COUNTIF(Dashboard!$C$13:$C$22,$B209)&gt;0,"Yes",""))</f>
        <v/>
      </c>
      <c r="K209" s="17" t="n">
        <f aca="false">IF($B209="",0,SUMIFS('Zoho Dump'!$X$8:$X$3007,'Zoho Dump'!$N$8:$N$3007,$B209,'Zoho Dump'!$P$8:$P$3007,Settings!$A$12)+SUMIFS(Adjustments!$K$8:$K$207,Adjustments!$B$8:$B$207,$B209,Adjustments!$A$8:$A$207,Settings!$A$12))</f>
        <v>0</v>
      </c>
      <c r="L209" s="17" t="n">
        <f aca="false">IF($B209="",0,SUMIFS('Zoho Dump'!$X$8:$X$3007,'Zoho Dump'!$N$8:$N$3007,$B209,'Zoho Dump'!$P$8:$P$3007,Settings!$A$13)+SUMIFS(Adjustments!$K$8:$K$207,Adjustments!$B$8:$B$207,$B209,Adjustments!$A$8:$A$207,Settings!$A$13))</f>
        <v>0</v>
      </c>
      <c r="M209" s="17" t="n">
        <f aca="false">IF($B209="",0,SUMIFS('Zoho Dump'!$X$8:$X$3007,'Zoho Dump'!$N$8:$N$3007,$B209,'Zoho Dump'!$P$8:$P$3007,Settings!$A$14)+SUMIFS(Adjustments!$K$8:$K$207,Adjustments!$B$8:$B$207,$B209,Adjustments!$A$8:$A$207,Settings!$A$14))</f>
        <v>0</v>
      </c>
      <c r="N209" s="17" t="n">
        <f aca="false">IF($B209="",0,SUMIFS('Zoho Dump'!$X$8:$X$3007,'Zoho Dump'!$N$8:$N$3007,$B209,'Zoho Dump'!$P$8:$P$3007,Settings!$A$15)+SUMIFS(Adjustments!$K$8:$K$207,Adjustments!$B$8:$B$207,$B209,Adjustments!$A$8:$A$207,Settings!$A$15))</f>
        <v>0</v>
      </c>
      <c r="O209" s="17" t="n">
        <f aca="false">IF($B209="",0,SUMIFS('Zoho Dump'!$X$8:$X$3007,'Zoho Dump'!$N$8:$N$3007,$B209,'Zoho Dump'!$P$8:$P$3007,Settings!$A$16)+SUMIFS(Adjustments!$K$8:$K$207,Adjustments!$B$8:$B$207,$B209,Adjustments!$A$8:$A$207,Settings!$A$16))</f>
        <v>0</v>
      </c>
      <c r="P209" s="17" t="n">
        <f aca="false">IF($B209="",0,SUMIFS('Zoho Dump'!$X$8:$X$3007,'Zoho Dump'!$N$8:$N$3007,$B209,'Zoho Dump'!$P$8:$P$3007,Settings!$A$17)+SUMIFS(Adjustments!$K$8:$K$207,Adjustments!$B$8:$B$207,$B209,Adjustments!$A$8:$A$207,Settings!$A$17))</f>
        <v>0</v>
      </c>
      <c r="Q209" s="17" t="n">
        <f aca="false">IF($B209="",0,SUMIFS('Zoho Dump'!$X$8:$X$3007,'Zoho Dump'!$N$8:$N$3007,$B209,'Zoho Dump'!$P$8:$P$3007,Settings!$A$18)+SUMIFS(Adjustments!$K$8:$K$207,Adjustments!$B$8:$B$207,$B209,Adjustments!$A$8:$A$207,Settings!$A$18))</f>
        <v>0</v>
      </c>
      <c r="R209" s="30" t="str">
        <f aca="false">IF(G209&gt;0,G209+A209/10000000,"")</f>
        <v/>
      </c>
    </row>
    <row r="210" customFormat="false" ht="15" hidden="false" customHeight="false" outlineLevel="0" collapsed="false">
      <c r="A210" s="9" t="n">
        <v>206</v>
      </c>
      <c r="B210" s="9" t="str">
        <f aca="false">IFERROR(INDEX('Zoho Dump'!$N$8:$N$3007,MATCH(A210,'Zoho Dump'!$AB$8:$AB$3007,0)),"")</f>
        <v/>
      </c>
      <c r="C210" s="17" t="n">
        <f aca="false">IF($B210="",0,SUMIFS('Zoho Dump'!$Q$8:$Q$3007,'Zoho Dump'!$N$8:$N$3007,$B210,'Zoho Dump'!$T$8:$T$3007,"Delivered",'Zoho Dump'!$R$8:$R$3007,"&gt;="&amp;Settings!$B$4))</f>
        <v>0</v>
      </c>
      <c r="D210" s="17" t="n">
        <f aca="false">IF($B210="",0,SUMIFS('Zoho Dump'!$X$8:$X$3007,'Zoho Dump'!$N$8:$N$3007,$B210,'Zoho Dump'!$T$8:$T$3007,"Backlog")+SUMIFS(Adjustments!$K$8:$K$207,Adjustments!$B$8:$B$207,$B210,Adjustments!$H$8:$H$207,"Backlog"))</f>
        <v>0</v>
      </c>
      <c r="E210" s="17" t="n">
        <f aca="false">IF($B210="",0,SUMIFS('Zoho Dump'!$Y$8:$Y$3007,'Zoho Dump'!$N$8:$N$3007,$B210,'Zoho Dump'!$T$8:$T$3007,"Pipeline")+SUMIFS(Adjustments!$L$8:$L$207,Adjustments!$B$8:$B$207,$B210,Adjustments!$H$8:$H$207,"Pipeline")+SUMIFS('Zoho Dump'!$Y$8:$Y$3007,'Zoho Dump'!$N$8:$N$3007,$B210,'Zoho Dump'!$T$8:$T$3007,"Overdue")+SUMIFS(Adjustments!$L$8:$L$207,Adjustments!$B$8:$B$207,$B210,Adjustments!$H$8:$H$207,"Overdue"))</f>
        <v>0</v>
      </c>
      <c r="F210" s="17" t="n">
        <f aca="false">IF($B210="",0,SUMIFS('Zoho Dump'!$X$8:$X$3007,'Zoho Dump'!$N$8:$N$3007,$B210,'Zoho Dump'!$T$8:$T$3007,"Pipeline")+SUMIFS(Adjustments!$K$8:$K$207,Adjustments!$B$8:$B$207,$B210,Adjustments!$H$8:$H$207,"Pipeline")+SUMIFS('Zoho Dump'!$X$8:$X$3007,'Zoho Dump'!$N$8:$N$3007,$B210,'Zoho Dump'!$T$8:$T$3007,"Overdue")+SUMIFS(Adjustments!$K$8:$K$207,Adjustments!$B$8:$B$207,$B210,Adjustments!$H$8:$H$207,"Overdue"))</f>
        <v>0</v>
      </c>
      <c r="G210" s="17" t="n">
        <f aca="false">D210+F210</f>
        <v>0</v>
      </c>
      <c r="H210" s="18" t="n">
        <f aca="false">IF(SUM($G$5:$G$404)=0,0,G210/SUM($G$5:$G$404))</f>
        <v>0</v>
      </c>
      <c r="I210" s="17" t="n">
        <f aca="false">IF($B210="",0,SUMIFS('Zoho Dump'!$Q$8:$Q$3007,'Zoho Dump'!$N$8:$N$3007,$B210,'Zoho Dump'!$T$8:$T$3007,"Lost",'Zoho Dump'!$R$8:$R$3007,"&gt;="&amp;Settings!$B$4))</f>
        <v>0</v>
      </c>
      <c r="J210" s="9" t="str">
        <f aca="false">IF($B210="","",IF(COUNTIF(Dashboard!$C$13:$C$22,$B210)&gt;0,"Yes",""))</f>
        <v/>
      </c>
      <c r="K210" s="17" t="n">
        <f aca="false">IF($B210="",0,SUMIFS('Zoho Dump'!$X$8:$X$3007,'Zoho Dump'!$N$8:$N$3007,$B210,'Zoho Dump'!$P$8:$P$3007,Settings!$A$12)+SUMIFS(Adjustments!$K$8:$K$207,Adjustments!$B$8:$B$207,$B210,Adjustments!$A$8:$A$207,Settings!$A$12))</f>
        <v>0</v>
      </c>
      <c r="L210" s="17" t="n">
        <f aca="false">IF($B210="",0,SUMIFS('Zoho Dump'!$X$8:$X$3007,'Zoho Dump'!$N$8:$N$3007,$B210,'Zoho Dump'!$P$8:$P$3007,Settings!$A$13)+SUMIFS(Adjustments!$K$8:$K$207,Adjustments!$B$8:$B$207,$B210,Adjustments!$A$8:$A$207,Settings!$A$13))</f>
        <v>0</v>
      </c>
      <c r="M210" s="17" t="n">
        <f aca="false">IF($B210="",0,SUMIFS('Zoho Dump'!$X$8:$X$3007,'Zoho Dump'!$N$8:$N$3007,$B210,'Zoho Dump'!$P$8:$P$3007,Settings!$A$14)+SUMIFS(Adjustments!$K$8:$K$207,Adjustments!$B$8:$B$207,$B210,Adjustments!$A$8:$A$207,Settings!$A$14))</f>
        <v>0</v>
      </c>
      <c r="N210" s="17" t="n">
        <f aca="false">IF($B210="",0,SUMIFS('Zoho Dump'!$X$8:$X$3007,'Zoho Dump'!$N$8:$N$3007,$B210,'Zoho Dump'!$P$8:$P$3007,Settings!$A$15)+SUMIFS(Adjustments!$K$8:$K$207,Adjustments!$B$8:$B$207,$B210,Adjustments!$A$8:$A$207,Settings!$A$15))</f>
        <v>0</v>
      </c>
      <c r="O210" s="17" t="n">
        <f aca="false">IF($B210="",0,SUMIFS('Zoho Dump'!$X$8:$X$3007,'Zoho Dump'!$N$8:$N$3007,$B210,'Zoho Dump'!$P$8:$P$3007,Settings!$A$16)+SUMIFS(Adjustments!$K$8:$K$207,Adjustments!$B$8:$B$207,$B210,Adjustments!$A$8:$A$207,Settings!$A$16))</f>
        <v>0</v>
      </c>
      <c r="P210" s="17" t="n">
        <f aca="false">IF($B210="",0,SUMIFS('Zoho Dump'!$X$8:$X$3007,'Zoho Dump'!$N$8:$N$3007,$B210,'Zoho Dump'!$P$8:$P$3007,Settings!$A$17)+SUMIFS(Adjustments!$K$8:$K$207,Adjustments!$B$8:$B$207,$B210,Adjustments!$A$8:$A$207,Settings!$A$17))</f>
        <v>0</v>
      </c>
      <c r="Q210" s="17" t="n">
        <f aca="false">IF($B210="",0,SUMIFS('Zoho Dump'!$X$8:$X$3007,'Zoho Dump'!$N$8:$N$3007,$B210,'Zoho Dump'!$P$8:$P$3007,Settings!$A$18)+SUMIFS(Adjustments!$K$8:$K$207,Adjustments!$B$8:$B$207,$B210,Adjustments!$A$8:$A$207,Settings!$A$18))</f>
        <v>0</v>
      </c>
      <c r="R210" s="30" t="str">
        <f aca="false">IF(G210&gt;0,G210+A210/10000000,"")</f>
        <v/>
      </c>
    </row>
    <row r="211" customFormat="false" ht="15" hidden="false" customHeight="false" outlineLevel="0" collapsed="false">
      <c r="A211" s="9" t="n">
        <v>207</v>
      </c>
      <c r="B211" s="9" t="str">
        <f aca="false">IFERROR(INDEX('Zoho Dump'!$N$8:$N$3007,MATCH(A211,'Zoho Dump'!$AB$8:$AB$3007,0)),"")</f>
        <v/>
      </c>
      <c r="C211" s="17" t="n">
        <f aca="false">IF($B211="",0,SUMIFS('Zoho Dump'!$Q$8:$Q$3007,'Zoho Dump'!$N$8:$N$3007,$B211,'Zoho Dump'!$T$8:$T$3007,"Delivered",'Zoho Dump'!$R$8:$R$3007,"&gt;="&amp;Settings!$B$4))</f>
        <v>0</v>
      </c>
      <c r="D211" s="17" t="n">
        <f aca="false">IF($B211="",0,SUMIFS('Zoho Dump'!$X$8:$X$3007,'Zoho Dump'!$N$8:$N$3007,$B211,'Zoho Dump'!$T$8:$T$3007,"Backlog")+SUMIFS(Adjustments!$K$8:$K$207,Adjustments!$B$8:$B$207,$B211,Adjustments!$H$8:$H$207,"Backlog"))</f>
        <v>0</v>
      </c>
      <c r="E211" s="17" t="n">
        <f aca="false">IF($B211="",0,SUMIFS('Zoho Dump'!$Y$8:$Y$3007,'Zoho Dump'!$N$8:$N$3007,$B211,'Zoho Dump'!$T$8:$T$3007,"Pipeline")+SUMIFS(Adjustments!$L$8:$L$207,Adjustments!$B$8:$B$207,$B211,Adjustments!$H$8:$H$207,"Pipeline")+SUMIFS('Zoho Dump'!$Y$8:$Y$3007,'Zoho Dump'!$N$8:$N$3007,$B211,'Zoho Dump'!$T$8:$T$3007,"Overdue")+SUMIFS(Adjustments!$L$8:$L$207,Adjustments!$B$8:$B$207,$B211,Adjustments!$H$8:$H$207,"Overdue"))</f>
        <v>0</v>
      </c>
      <c r="F211" s="17" t="n">
        <f aca="false">IF($B211="",0,SUMIFS('Zoho Dump'!$X$8:$X$3007,'Zoho Dump'!$N$8:$N$3007,$B211,'Zoho Dump'!$T$8:$T$3007,"Pipeline")+SUMIFS(Adjustments!$K$8:$K$207,Adjustments!$B$8:$B$207,$B211,Adjustments!$H$8:$H$207,"Pipeline")+SUMIFS('Zoho Dump'!$X$8:$X$3007,'Zoho Dump'!$N$8:$N$3007,$B211,'Zoho Dump'!$T$8:$T$3007,"Overdue")+SUMIFS(Adjustments!$K$8:$K$207,Adjustments!$B$8:$B$207,$B211,Adjustments!$H$8:$H$207,"Overdue"))</f>
        <v>0</v>
      </c>
      <c r="G211" s="17" t="n">
        <f aca="false">D211+F211</f>
        <v>0</v>
      </c>
      <c r="H211" s="18" t="n">
        <f aca="false">IF(SUM($G$5:$G$404)=0,0,G211/SUM($G$5:$G$404))</f>
        <v>0</v>
      </c>
      <c r="I211" s="17" t="n">
        <f aca="false">IF($B211="",0,SUMIFS('Zoho Dump'!$Q$8:$Q$3007,'Zoho Dump'!$N$8:$N$3007,$B211,'Zoho Dump'!$T$8:$T$3007,"Lost",'Zoho Dump'!$R$8:$R$3007,"&gt;="&amp;Settings!$B$4))</f>
        <v>0</v>
      </c>
      <c r="J211" s="9" t="str">
        <f aca="false">IF($B211="","",IF(COUNTIF(Dashboard!$C$13:$C$22,$B211)&gt;0,"Yes",""))</f>
        <v/>
      </c>
      <c r="K211" s="17" t="n">
        <f aca="false">IF($B211="",0,SUMIFS('Zoho Dump'!$X$8:$X$3007,'Zoho Dump'!$N$8:$N$3007,$B211,'Zoho Dump'!$P$8:$P$3007,Settings!$A$12)+SUMIFS(Adjustments!$K$8:$K$207,Adjustments!$B$8:$B$207,$B211,Adjustments!$A$8:$A$207,Settings!$A$12))</f>
        <v>0</v>
      </c>
      <c r="L211" s="17" t="n">
        <f aca="false">IF($B211="",0,SUMIFS('Zoho Dump'!$X$8:$X$3007,'Zoho Dump'!$N$8:$N$3007,$B211,'Zoho Dump'!$P$8:$P$3007,Settings!$A$13)+SUMIFS(Adjustments!$K$8:$K$207,Adjustments!$B$8:$B$207,$B211,Adjustments!$A$8:$A$207,Settings!$A$13))</f>
        <v>0</v>
      </c>
      <c r="M211" s="17" t="n">
        <f aca="false">IF($B211="",0,SUMIFS('Zoho Dump'!$X$8:$X$3007,'Zoho Dump'!$N$8:$N$3007,$B211,'Zoho Dump'!$P$8:$P$3007,Settings!$A$14)+SUMIFS(Adjustments!$K$8:$K$207,Adjustments!$B$8:$B$207,$B211,Adjustments!$A$8:$A$207,Settings!$A$14))</f>
        <v>0</v>
      </c>
      <c r="N211" s="17" t="n">
        <f aca="false">IF($B211="",0,SUMIFS('Zoho Dump'!$X$8:$X$3007,'Zoho Dump'!$N$8:$N$3007,$B211,'Zoho Dump'!$P$8:$P$3007,Settings!$A$15)+SUMIFS(Adjustments!$K$8:$K$207,Adjustments!$B$8:$B$207,$B211,Adjustments!$A$8:$A$207,Settings!$A$15))</f>
        <v>0</v>
      </c>
      <c r="O211" s="17" t="n">
        <f aca="false">IF($B211="",0,SUMIFS('Zoho Dump'!$X$8:$X$3007,'Zoho Dump'!$N$8:$N$3007,$B211,'Zoho Dump'!$P$8:$P$3007,Settings!$A$16)+SUMIFS(Adjustments!$K$8:$K$207,Adjustments!$B$8:$B$207,$B211,Adjustments!$A$8:$A$207,Settings!$A$16))</f>
        <v>0</v>
      </c>
      <c r="P211" s="17" t="n">
        <f aca="false">IF($B211="",0,SUMIFS('Zoho Dump'!$X$8:$X$3007,'Zoho Dump'!$N$8:$N$3007,$B211,'Zoho Dump'!$P$8:$P$3007,Settings!$A$17)+SUMIFS(Adjustments!$K$8:$K$207,Adjustments!$B$8:$B$207,$B211,Adjustments!$A$8:$A$207,Settings!$A$17))</f>
        <v>0</v>
      </c>
      <c r="Q211" s="17" t="n">
        <f aca="false">IF($B211="",0,SUMIFS('Zoho Dump'!$X$8:$X$3007,'Zoho Dump'!$N$8:$N$3007,$B211,'Zoho Dump'!$P$8:$P$3007,Settings!$A$18)+SUMIFS(Adjustments!$K$8:$K$207,Adjustments!$B$8:$B$207,$B211,Adjustments!$A$8:$A$207,Settings!$A$18))</f>
        <v>0</v>
      </c>
      <c r="R211" s="30" t="str">
        <f aca="false">IF(G211&gt;0,G211+A211/10000000,"")</f>
        <v/>
      </c>
    </row>
    <row r="212" customFormat="false" ht="15" hidden="false" customHeight="false" outlineLevel="0" collapsed="false">
      <c r="A212" s="9" t="n">
        <v>208</v>
      </c>
      <c r="B212" s="9" t="str">
        <f aca="false">IFERROR(INDEX('Zoho Dump'!$N$8:$N$3007,MATCH(A212,'Zoho Dump'!$AB$8:$AB$3007,0)),"")</f>
        <v/>
      </c>
      <c r="C212" s="17" t="n">
        <f aca="false">IF($B212="",0,SUMIFS('Zoho Dump'!$Q$8:$Q$3007,'Zoho Dump'!$N$8:$N$3007,$B212,'Zoho Dump'!$T$8:$T$3007,"Delivered",'Zoho Dump'!$R$8:$R$3007,"&gt;="&amp;Settings!$B$4))</f>
        <v>0</v>
      </c>
      <c r="D212" s="17" t="n">
        <f aca="false">IF($B212="",0,SUMIFS('Zoho Dump'!$X$8:$X$3007,'Zoho Dump'!$N$8:$N$3007,$B212,'Zoho Dump'!$T$8:$T$3007,"Backlog")+SUMIFS(Adjustments!$K$8:$K$207,Adjustments!$B$8:$B$207,$B212,Adjustments!$H$8:$H$207,"Backlog"))</f>
        <v>0</v>
      </c>
      <c r="E212" s="17" t="n">
        <f aca="false">IF($B212="",0,SUMIFS('Zoho Dump'!$Y$8:$Y$3007,'Zoho Dump'!$N$8:$N$3007,$B212,'Zoho Dump'!$T$8:$T$3007,"Pipeline")+SUMIFS(Adjustments!$L$8:$L$207,Adjustments!$B$8:$B$207,$B212,Adjustments!$H$8:$H$207,"Pipeline")+SUMIFS('Zoho Dump'!$Y$8:$Y$3007,'Zoho Dump'!$N$8:$N$3007,$B212,'Zoho Dump'!$T$8:$T$3007,"Overdue")+SUMIFS(Adjustments!$L$8:$L$207,Adjustments!$B$8:$B$207,$B212,Adjustments!$H$8:$H$207,"Overdue"))</f>
        <v>0</v>
      </c>
      <c r="F212" s="17" t="n">
        <f aca="false">IF($B212="",0,SUMIFS('Zoho Dump'!$X$8:$X$3007,'Zoho Dump'!$N$8:$N$3007,$B212,'Zoho Dump'!$T$8:$T$3007,"Pipeline")+SUMIFS(Adjustments!$K$8:$K$207,Adjustments!$B$8:$B$207,$B212,Adjustments!$H$8:$H$207,"Pipeline")+SUMIFS('Zoho Dump'!$X$8:$X$3007,'Zoho Dump'!$N$8:$N$3007,$B212,'Zoho Dump'!$T$8:$T$3007,"Overdue")+SUMIFS(Adjustments!$K$8:$K$207,Adjustments!$B$8:$B$207,$B212,Adjustments!$H$8:$H$207,"Overdue"))</f>
        <v>0</v>
      </c>
      <c r="G212" s="17" t="n">
        <f aca="false">D212+F212</f>
        <v>0</v>
      </c>
      <c r="H212" s="18" t="n">
        <f aca="false">IF(SUM($G$5:$G$404)=0,0,G212/SUM($G$5:$G$404))</f>
        <v>0</v>
      </c>
      <c r="I212" s="17" t="n">
        <f aca="false">IF($B212="",0,SUMIFS('Zoho Dump'!$Q$8:$Q$3007,'Zoho Dump'!$N$8:$N$3007,$B212,'Zoho Dump'!$T$8:$T$3007,"Lost",'Zoho Dump'!$R$8:$R$3007,"&gt;="&amp;Settings!$B$4))</f>
        <v>0</v>
      </c>
      <c r="J212" s="9" t="str">
        <f aca="false">IF($B212="","",IF(COUNTIF(Dashboard!$C$13:$C$22,$B212)&gt;0,"Yes",""))</f>
        <v/>
      </c>
      <c r="K212" s="17" t="n">
        <f aca="false">IF($B212="",0,SUMIFS('Zoho Dump'!$X$8:$X$3007,'Zoho Dump'!$N$8:$N$3007,$B212,'Zoho Dump'!$P$8:$P$3007,Settings!$A$12)+SUMIFS(Adjustments!$K$8:$K$207,Adjustments!$B$8:$B$207,$B212,Adjustments!$A$8:$A$207,Settings!$A$12))</f>
        <v>0</v>
      </c>
      <c r="L212" s="17" t="n">
        <f aca="false">IF($B212="",0,SUMIFS('Zoho Dump'!$X$8:$X$3007,'Zoho Dump'!$N$8:$N$3007,$B212,'Zoho Dump'!$P$8:$P$3007,Settings!$A$13)+SUMIFS(Adjustments!$K$8:$K$207,Adjustments!$B$8:$B$207,$B212,Adjustments!$A$8:$A$207,Settings!$A$13))</f>
        <v>0</v>
      </c>
      <c r="M212" s="17" t="n">
        <f aca="false">IF($B212="",0,SUMIFS('Zoho Dump'!$X$8:$X$3007,'Zoho Dump'!$N$8:$N$3007,$B212,'Zoho Dump'!$P$8:$P$3007,Settings!$A$14)+SUMIFS(Adjustments!$K$8:$K$207,Adjustments!$B$8:$B$207,$B212,Adjustments!$A$8:$A$207,Settings!$A$14))</f>
        <v>0</v>
      </c>
      <c r="N212" s="17" t="n">
        <f aca="false">IF($B212="",0,SUMIFS('Zoho Dump'!$X$8:$X$3007,'Zoho Dump'!$N$8:$N$3007,$B212,'Zoho Dump'!$P$8:$P$3007,Settings!$A$15)+SUMIFS(Adjustments!$K$8:$K$207,Adjustments!$B$8:$B$207,$B212,Adjustments!$A$8:$A$207,Settings!$A$15))</f>
        <v>0</v>
      </c>
      <c r="O212" s="17" t="n">
        <f aca="false">IF($B212="",0,SUMIFS('Zoho Dump'!$X$8:$X$3007,'Zoho Dump'!$N$8:$N$3007,$B212,'Zoho Dump'!$P$8:$P$3007,Settings!$A$16)+SUMIFS(Adjustments!$K$8:$K$207,Adjustments!$B$8:$B$207,$B212,Adjustments!$A$8:$A$207,Settings!$A$16))</f>
        <v>0</v>
      </c>
      <c r="P212" s="17" t="n">
        <f aca="false">IF($B212="",0,SUMIFS('Zoho Dump'!$X$8:$X$3007,'Zoho Dump'!$N$8:$N$3007,$B212,'Zoho Dump'!$P$8:$P$3007,Settings!$A$17)+SUMIFS(Adjustments!$K$8:$K$207,Adjustments!$B$8:$B$207,$B212,Adjustments!$A$8:$A$207,Settings!$A$17))</f>
        <v>0</v>
      </c>
      <c r="Q212" s="17" t="n">
        <f aca="false">IF($B212="",0,SUMIFS('Zoho Dump'!$X$8:$X$3007,'Zoho Dump'!$N$8:$N$3007,$B212,'Zoho Dump'!$P$8:$P$3007,Settings!$A$18)+SUMIFS(Adjustments!$K$8:$K$207,Adjustments!$B$8:$B$207,$B212,Adjustments!$A$8:$A$207,Settings!$A$18))</f>
        <v>0</v>
      </c>
      <c r="R212" s="30" t="str">
        <f aca="false">IF(G212&gt;0,G212+A212/10000000,"")</f>
        <v/>
      </c>
    </row>
    <row r="213" customFormat="false" ht="15" hidden="false" customHeight="false" outlineLevel="0" collapsed="false">
      <c r="A213" s="9" t="n">
        <v>209</v>
      </c>
      <c r="B213" s="9" t="str">
        <f aca="false">IFERROR(INDEX('Zoho Dump'!$N$8:$N$3007,MATCH(A213,'Zoho Dump'!$AB$8:$AB$3007,0)),"")</f>
        <v/>
      </c>
      <c r="C213" s="17" t="n">
        <f aca="false">IF($B213="",0,SUMIFS('Zoho Dump'!$Q$8:$Q$3007,'Zoho Dump'!$N$8:$N$3007,$B213,'Zoho Dump'!$T$8:$T$3007,"Delivered",'Zoho Dump'!$R$8:$R$3007,"&gt;="&amp;Settings!$B$4))</f>
        <v>0</v>
      </c>
      <c r="D213" s="17" t="n">
        <f aca="false">IF($B213="",0,SUMIFS('Zoho Dump'!$X$8:$X$3007,'Zoho Dump'!$N$8:$N$3007,$B213,'Zoho Dump'!$T$8:$T$3007,"Backlog")+SUMIFS(Adjustments!$K$8:$K$207,Adjustments!$B$8:$B$207,$B213,Adjustments!$H$8:$H$207,"Backlog"))</f>
        <v>0</v>
      </c>
      <c r="E213" s="17" t="n">
        <f aca="false">IF($B213="",0,SUMIFS('Zoho Dump'!$Y$8:$Y$3007,'Zoho Dump'!$N$8:$N$3007,$B213,'Zoho Dump'!$T$8:$T$3007,"Pipeline")+SUMIFS(Adjustments!$L$8:$L$207,Adjustments!$B$8:$B$207,$B213,Adjustments!$H$8:$H$207,"Pipeline")+SUMIFS('Zoho Dump'!$Y$8:$Y$3007,'Zoho Dump'!$N$8:$N$3007,$B213,'Zoho Dump'!$T$8:$T$3007,"Overdue")+SUMIFS(Adjustments!$L$8:$L$207,Adjustments!$B$8:$B$207,$B213,Adjustments!$H$8:$H$207,"Overdue"))</f>
        <v>0</v>
      </c>
      <c r="F213" s="17" t="n">
        <f aca="false">IF($B213="",0,SUMIFS('Zoho Dump'!$X$8:$X$3007,'Zoho Dump'!$N$8:$N$3007,$B213,'Zoho Dump'!$T$8:$T$3007,"Pipeline")+SUMIFS(Adjustments!$K$8:$K$207,Adjustments!$B$8:$B$207,$B213,Adjustments!$H$8:$H$207,"Pipeline")+SUMIFS('Zoho Dump'!$X$8:$X$3007,'Zoho Dump'!$N$8:$N$3007,$B213,'Zoho Dump'!$T$8:$T$3007,"Overdue")+SUMIFS(Adjustments!$K$8:$K$207,Adjustments!$B$8:$B$207,$B213,Adjustments!$H$8:$H$207,"Overdue"))</f>
        <v>0</v>
      </c>
      <c r="G213" s="17" t="n">
        <f aca="false">D213+F213</f>
        <v>0</v>
      </c>
      <c r="H213" s="18" t="n">
        <f aca="false">IF(SUM($G$5:$G$404)=0,0,G213/SUM($G$5:$G$404))</f>
        <v>0</v>
      </c>
      <c r="I213" s="17" t="n">
        <f aca="false">IF($B213="",0,SUMIFS('Zoho Dump'!$Q$8:$Q$3007,'Zoho Dump'!$N$8:$N$3007,$B213,'Zoho Dump'!$T$8:$T$3007,"Lost",'Zoho Dump'!$R$8:$R$3007,"&gt;="&amp;Settings!$B$4))</f>
        <v>0</v>
      </c>
      <c r="J213" s="9" t="str">
        <f aca="false">IF($B213="","",IF(COUNTIF(Dashboard!$C$13:$C$22,$B213)&gt;0,"Yes",""))</f>
        <v/>
      </c>
      <c r="K213" s="17" t="n">
        <f aca="false">IF($B213="",0,SUMIFS('Zoho Dump'!$X$8:$X$3007,'Zoho Dump'!$N$8:$N$3007,$B213,'Zoho Dump'!$P$8:$P$3007,Settings!$A$12)+SUMIFS(Adjustments!$K$8:$K$207,Adjustments!$B$8:$B$207,$B213,Adjustments!$A$8:$A$207,Settings!$A$12))</f>
        <v>0</v>
      </c>
      <c r="L213" s="17" t="n">
        <f aca="false">IF($B213="",0,SUMIFS('Zoho Dump'!$X$8:$X$3007,'Zoho Dump'!$N$8:$N$3007,$B213,'Zoho Dump'!$P$8:$P$3007,Settings!$A$13)+SUMIFS(Adjustments!$K$8:$K$207,Adjustments!$B$8:$B$207,$B213,Adjustments!$A$8:$A$207,Settings!$A$13))</f>
        <v>0</v>
      </c>
      <c r="M213" s="17" t="n">
        <f aca="false">IF($B213="",0,SUMIFS('Zoho Dump'!$X$8:$X$3007,'Zoho Dump'!$N$8:$N$3007,$B213,'Zoho Dump'!$P$8:$P$3007,Settings!$A$14)+SUMIFS(Adjustments!$K$8:$K$207,Adjustments!$B$8:$B$207,$B213,Adjustments!$A$8:$A$207,Settings!$A$14))</f>
        <v>0</v>
      </c>
      <c r="N213" s="17" t="n">
        <f aca="false">IF($B213="",0,SUMIFS('Zoho Dump'!$X$8:$X$3007,'Zoho Dump'!$N$8:$N$3007,$B213,'Zoho Dump'!$P$8:$P$3007,Settings!$A$15)+SUMIFS(Adjustments!$K$8:$K$207,Adjustments!$B$8:$B$207,$B213,Adjustments!$A$8:$A$207,Settings!$A$15))</f>
        <v>0</v>
      </c>
      <c r="O213" s="17" t="n">
        <f aca="false">IF($B213="",0,SUMIFS('Zoho Dump'!$X$8:$X$3007,'Zoho Dump'!$N$8:$N$3007,$B213,'Zoho Dump'!$P$8:$P$3007,Settings!$A$16)+SUMIFS(Adjustments!$K$8:$K$207,Adjustments!$B$8:$B$207,$B213,Adjustments!$A$8:$A$207,Settings!$A$16))</f>
        <v>0</v>
      </c>
      <c r="P213" s="17" t="n">
        <f aca="false">IF($B213="",0,SUMIFS('Zoho Dump'!$X$8:$X$3007,'Zoho Dump'!$N$8:$N$3007,$B213,'Zoho Dump'!$P$8:$P$3007,Settings!$A$17)+SUMIFS(Adjustments!$K$8:$K$207,Adjustments!$B$8:$B$207,$B213,Adjustments!$A$8:$A$207,Settings!$A$17))</f>
        <v>0</v>
      </c>
      <c r="Q213" s="17" t="n">
        <f aca="false">IF($B213="",0,SUMIFS('Zoho Dump'!$X$8:$X$3007,'Zoho Dump'!$N$8:$N$3007,$B213,'Zoho Dump'!$P$8:$P$3007,Settings!$A$18)+SUMIFS(Adjustments!$K$8:$K$207,Adjustments!$B$8:$B$207,$B213,Adjustments!$A$8:$A$207,Settings!$A$18))</f>
        <v>0</v>
      </c>
      <c r="R213" s="30" t="str">
        <f aca="false">IF(G213&gt;0,G213+A213/10000000,"")</f>
        <v/>
      </c>
    </row>
    <row r="214" customFormat="false" ht="15" hidden="false" customHeight="false" outlineLevel="0" collapsed="false">
      <c r="A214" s="9" t="n">
        <v>210</v>
      </c>
      <c r="B214" s="9" t="str">
        <f aca="false">IFERROR(INDEX('Zoho Dump'!$N$8:$N$3007,MATCH(A214,'Zoho Dump'!$AB$8:$AB$3007,0)),"")</f>
        <v/>
      </c>
      <c r="C214" s="17" t="n">
        <f aca="false">IF($B214="",0,SUMIFS('Zoho Dump'!$Q$8:$Q$3007,'Zoho Dump'!$N$8:$N$3007,$B214,'Zoho Dump'!$T$8:$T$3007,"Delivered",'Zoho Dump'!$R$8:$R$3007,"&gt;="&amp;Settings!$B$4))</f>
        <v>0</v>
      </c>
      <c r="D214" s="17" t="n">
        <f aca="false">IF($B214="",0,SUMIFS('Zoho Dump'!$X$8:$X$3007,'Zoho Dump'!$N$8:$N$3007,$B214,'Zoho Dump'!$T$8:$T$3007,"Backlog")+SUMIFS(Adjustments!$K$8:$K$207,Adjustments!$B$8:$B$207,$B214,Adjustments!$H$8:$H$207,"Backlog"))</f>
        <v>0</v>
      </c>
      <c r="E214" s="17" t="n">
        <f aca="false">IF($B214="",0,SUMIFS('Zoho Dump'!$Y$8:$Y$3007,'Zoho Dump'!$N$8:$N$3007,$B214,'Zoho Dump'!$T$8:$T$3007,"Pipeline")+SUMIFS(Adjustments!$L$8:$L$207,Adjustments!$B$8:$B$207,$B214,Adjustments!$H$8:$H$207,"Pipeline")+SUMIFS('Zoho Dump'!$Y$8:$Y$3007,'Zoho Dump'!$N$8:$N$3007,$B214,'Zoho Dump'!$T$8:$T$3007,"Overdue")+SUMIFS(Adjustments!$L$8:$L$207,Adjustments!$B$8:$B$207,$B214,Adjustments!$H$8:$H$207,"Overdue"))</f>
        <v>0</v>
      </c>
      <c r="F214" s="17" t="n">
        <f aca="false">IF($B214="",0,SUMIFS('Zoho Dump'!$X$8:$X$3007,'Zoho Dump'!$N$8:$N$3007,$B214,'Zoho Dump'!$T$8:$T$3007,"Pipeline")+SUMIFS(Adjustments!$K$8:$K$207,Adjustments!$B$8:$B$207,$B214,Adjustments!$H$8:$H$207,"Pipeline")+SUMIFS('Zoho Dump'!$X$8:$X$3007,'Zoho Dump'!$N$8:$N$3007,$B214,'Zoho Dump'!$T$8:$T$3007,"Overdue")+SUMIFS(Adjustments!$K$8:$K$207,Adjustments!$B$8:$B$207,$B214,Adjustments!$H$8:$H$207,"Overdue"))</f>
        <v>0</v>
      </c>
      <c r="G214" s="17" t="n">
        <f aca="false">D214+F214</f>
        <v>0</v>
      </c>
      <c r="H214" s="18" t="n">
        <f aca="false">IF(SUM($G$5:$G$404)=0,0,G214/SUM($G$5:$G$404))</f>
        <v>0</v>
      </c>
      <c r="I214" s="17" t="n">
        <f aca="false">IF($B214="",0,SUMIFS('Zoho Dump'!$Q$8:$Q$3007,'Zoho Dump'!$N$8:$N$3007,$B214,'Zoho Dump'!$T$8:$T$3007,"Lost",'Zoho Dump'!$R$8:$R$3007,"&gt;="&amp;Settings!$B$4))</f>
        <v>0</v>
      </c>
      <c r="J214" s="9" t="str">
        <f aca="false">IF($B214="","",IF(COUNTIF(Dashboard!$C$13:$C$22,$B214)&gt;0,"Yes",""))</f>
        <v/>
      </c>
      <c r="K214" s="17" t="n">
        <f aca="false">IF($B214="",0,SUMIFS('Zoho Dump'!$X$8:$X$3007,'Zoho Dump'!$N$8:$N$3007,$B214,'Zoho Dump'!$P$8:$P$3007,Settings!$A$12)+SUMIFS(Adjustments!$K$8:$K$207,Adjustments!$B$8:$B$207,$B214,Adjustments!$A$8:$A$207,Settings!$A$12))</f>
        <v>0</v>
      </c>
      <c r="L214" s="17" t="n">
        <f aca="false">IF($B214="",0,SUMIFS('Zoho Dump'!$X$8:$X$3007,'Zoho Dump'!$N$8:$N$3007,$B214,'Zoho Dump'!$P$8:$P$3007,Settings!$A$13)+SUMIFS(Adjustments!$K$8:$K$207,Adjustments!$B$8:$B$207,$B214,Adjustments!$A$8:$A$207,Settings!$A$13))</f>
        <v>0</v>
      </c>
      <c r="M214" s="17" t="n">
        <f aca="false">IF($B214="",0,SUMIFS('Zoho Dump'!$X$8:$X$3007,'Zoho Dump'!$N$8:$N$3007,$B214,'Zoho Dump'!$P$8:$P$3007,Settings!$A$14)+SUMIFS(Adjustments!$K$8:$K$207,Adjustments!$B$8:$B$207,$B214,Adjustments!$A$8:$A$207,Settings!$A$14))</f>
        <v>0</v>
      </c>
      <c r="N214" s="17" t="n">
        <f aca="false">IF($B214="",0,SUMIFS('Zoho Dump'!$X$8:$X$3007,'Zoho Dump'!$N$8:$N$3007,$B214,'Zoho Dump'!$P$8:$P$3007,Settings!$A$15)+SUMIFS(Adjustments!$K$8:$K$207,Adjustments!$B$8:$B$207,$B214,Adjustments!$A$8:$A$207,Settings!$A$15))</f>
        <v>0</v>
      </c>
      <c r="O214" s="17" t="n">
        <f aca="false">IF($B214="",0,SUMIFS('Zoho Dump'!$X$8:$X$3007,'Zoho Dump'!$N$8:$N$3007,$B214,'Zoho Dump'!$P$8:$P$3007,Settings!$A$16)+SUMIFS(Adjustments!$K$8:$K$207,Adjustments!$B$8:$B$207,$B214,Adjustments!$A$8:$A$207,Settings!$A$16))</f>
        <v>0</v>
      </c>
      <c r="P214" s="17" t="n">
        <f aca="false">IF($B214="",0,SUMIFS('Zoho Dump'!$X$8:$X$3007,'Zoho Dump'!$N$8:$N$3007,$B214,'Zoho Dump'!$P$8:$P$3007,Settings!$A$17)+SUMIFS(Adjustments!$K$8:$K$207,Adjustments!$B$8:$B$207,$B214,Adjustments!$A$8:$A$207,Settings!$A$17))</f>
        <v>0</v>
      </c>
      <c r="Q214" s="17" t="n">
        <f aca="false">IF($B214="",0,SUMIFS('Zoho Dump'!$X$8:$X$3007,'Zoho Dump'!$N$8:$N$3007,$B214,'Zoho Dump'!$P$8:$P$3007,Settings!$A$18)+SUMIFS(Adjustments!$K$8:$K$207,Adjustments!$B$8:$B$207,$B214,Adjustments!$A$8:$A$207,Settings!$A$18))</f>
        <v>0</v>
      </c>
      <c r="R214" s="30" t="str">
        <f aca="false">IF(G214&gt;0,G214+A214/10000000,"")</f>
        <v/>
      </c>
    </row>
    <row r="215" customFormat="false" ht="15" hidden="false" customHeight="false" outlineLevel="0" collapsed="false">
      <c r="A215" s="9" t="n">
        <v>211</v>
      </c>
      <c r="B215" s="9" t="str">
        <f aca="false">IFERROR(INDEX('Zoho Dump'!$N$8:$N$3007,MATCH(A215,'Zoho Dump'!$AB$8:$AB$3007,0)),"")</f>
        <v/>
      </c>
      <c r="C215" s="17" t="n">
        <f aca="false">IF($B215="",0,SUMIFS('Zoho Dump'!$Q$8:$Q$3007,'Zoho Dump'!$N$8:$N$3007,$B215,'Zoho Dump'!$T$8:$T$3007,"Delivered",'Zoho Dump'!$R$8:$R$3007,"&gt;="&amp;Settings!$B$4))</f>
        <v>0</v>
      </c>
      <c r="D215" s="17" t="n">
        <f aca="false">IF($B215="",0,SUMIFS('Zoho Dump'!$X$8:$X$3007,'Zoho Dump'!$N$8:$N$3007,$B215,'Zoho Dump'!$T$8:$T$3007,"Backlog")+SUMIFS(Adjustments!$K$8:$K$207,Adjustments!$B$8:$B$207,$B215,Adjustments!$H$8:$H$207,"Backlog"))</f>
        <v>0</v>
      </c>
      <c r="E215" s="17" t="n">
        <f aca="false">IF($B215="",0,SUMIFS('Zoho Dump'!$Y$8:$Y$3007,'Zoho Dump'!$N$8:$N$3007,$B215,'Zoho Dump'!$T$8:$T$3007,"Pipeline")+SUMIFS(Adjustments!$L$8:$L$207,Adjustments!$B$8:$B$207,$B215,Adjustments!$H$8:$H$207,"Pipeline")+SUMIFS('Zoho Dump'!$Y$8:$Y$3007,'Zoho Dump'!$N$8:$N$3007,$B215,'Zoho Dump'!$T$8:$T$3007,"Overdue")+SUMIFS(Adjustments!$L$8:$L$207,Adjustments!$B$8:$B$207,$B215,Adjustments!$H$8:$H$207,"Overdue"))</f>
        <v>0</v>
      </c>
      <c r="F215" s="17" t="n">
        <f aca="false">IF($B215="",0,SUMIFS('Zoho Dump'!$X$8:$X$3007,'Zoho Dump'!$N$8:$N$3007,$B215,'Zoho Dump'!$T$8:$T$3007,"Pipeline")+SUMIFS(Adjustments!$K$8:$K$207,Adjustments!$B$8:$B$207,$B215,Adjustments!$H$8:$H$207,"Pipeline")+SUMIFS('Zoho Dump'!$X$8:$X$3007,'Zoho Dump'!$N$8:$N$3007,$B215,'Zoho Dump'!$T$8:$T$3007,"Overdue")+SUMIFS(Adjustments!$K$8:$K$207,Adjustments!$B$8:$B$207,$B215,Adjustments!$H$8:$H$207,"Overdue"))</f>
        <v>0</v>
      </c>
      <c r="G215" s="17" t="n">
        <f aca="false">D215+F215</f>
        <v>0</v>
      </c>
      <c r="H215" s="18" t="n">
        <f aca="false">IF(SUM($G$5:$G$404)=0,0,G215/SUM($G$5:$G$404))</f>
        <v>0</v>
      </c>
      <c r="I215" s="17" t="n">
        <f aca="false">IF($B215="",0,SUMIFS('Zoho Dump'!$Q$8:$Q$3007,'Zoho Dump'!$N$8:$N$3007,$B215,'Zoho Dump'!$T$8:$T$3007,"Lost",'Zoho Dump'!$R$8:$R$3007,"&gt;="&amp;Settings!$B$4))</f>
        <v>0</v>
      </c>
      <c r="J215" s="9" t="str">
        <f aca="false">IF($B215="","",IF(COUNTIF(Dashboard!$C$13:$C$22,$B215)&gt;0,"Yes",""))</f>
        <v/>
      </c>
      <c r="K215" s="17" t="n">
        <f aca="false">IF($B215="",0,SUMIFS('Zoho Dump'!$X$8:$X$3007,'Zoho Dump'!$N$8:$N$3007,$B215,'Zoho Dump'!$P$8:$P$3007,Settings!$A$12)+SUMIFS(Adjustments!$K$8:$K$207,Adjustments!$B$8:$B$207,$B215,Adjustments!$A$8:$A$207,Settings!$A$12))</f>
        <v>0</v>
      </c>
      <c r="L215" s="17" t="n">
        <f aca="false">IF($B215="",0,SUMIFS('Zoho Dump'!$X$8:$X$3007,'Zoho Dump'!$N$8:$N$3007,$B215,'Zoho Dump'!$P$8:$P$3007,Settings!$A$13)+SUMIFS(Adjustments!$K$8:$K$207,Adjustments!$B$8:$B$207,$B215,Adjustments!$A$8:$A$207,Settings!$A$13))</f>
        <v>0</v>
      </c>
      <c r="M215" s="17" t="n">
        <f aca="false">IF($B215="",0,SUMIFS('Zoho Dump'!$X$8:$X$3007,'Zoho Dump'!$N$8:$N$3007,$B215,'Zoho Dump'!$P$8:$P$3007,Settings!$A$14)+SUMIFS(Adjustments!$K$8:$K$207,Adjustments!$B$8:$B$207,$B215,Adjustments!$A$8:$A$207,Settings!$A$14))</f>
        <v>0</v>
      </c>
      <c r="N215" s="17" t="n">
        <f aca="false">IF($B215="",0,SUMIFS('Zoho Dump'!$X$8:$X$3007,'Zoho Dump'!$N$8:$N$3007,$B215,'Zoho Dump'!$P$8:$P$3007,Settings!$A$15)+SUMIFS(Adjustments!$K$8:$K$207,Adjustments!$B$8:$B$207,$B215,Adjustments!$A$8:$A$207,Settings!$A$15))</f>
        <v>0</v>
      </c>
      <c r="O215" s="17" t="n">
        <f aca="false">IF($B215="",0,SUMIFS('Zoho Dump'!$X$8:$X$3007,'Zoho Dump'!$N$8:$N$3007,$B215,'Zoho Dump'!$P$8:$P$3007,Settings!$A$16)+SUMIFS(Adjustments!$K$8:$K$207,Adjustments!$B$8:$B$207,$B215,Adjustments!$A$8:$A$207,Settings!$A$16))</f>
        <v>0</v>
      </c>
      <c r="P215" s="17" t="n">
        <f aca="false">IF($B215="",0,SUMIFS('Zoho Dump'!$X$8:$X$3007,'Zoho Dump'!$N$8:$N$3007,$B215,'Zoho Dump'!$P$8:$P$3007,Settings!$A$17)+SUMIFS(Adjustments!$K$8:$K$207,Adjustments!$B$8:$B$207,$B215,Adjustments!$A$8:$A$207,Settings!$A$17))</f>
        <v>0</v>
      </c>
      <c r="Q215" s="17" t="n">
        <f aca="false">IF($B215="",0,SUMIFS('Zoho Dump'!$X$8:$X$3007,'Zoho Dump'!$N$8:$N$3007,$B215,'Zoho Dump'!$P$8:$P$3007,Settings!$A$18)+SUMIFS(Adjustments!$K$8:$K$207,Adjustments!$B$8:$B$207,$B215,Adjustments!$A$8:$A$207,Settings!$A$18))</f>
        <v>0</v>
      </c>
      <c r="R215" s="30" t="str">
        <f aca="false">IF(G215&gt;0,G215+A215/10000000,"")</f>
        <v/>
      </c>
    </row>
    <row r="216" customFormat="false" ht="15" hidden="false" customHeight="false" outlineLevel="0" collapsed="false">
      <c r="A216" s="9" t="n">
        <v>212</v>
      </c>
      <c r="B216" s="9" t="str">
        <f aca="false">IFERROR(INDEX('Zoho Dump'!$N$8:$N$3007,MATCH(A216,'Zoho Dump'!$AB$8:$AB$3007,0)),"")</f>
        <v/>
      </c>
      <c r="C216" s="17" t="n">
        <f aca="false">IF($B216="",0,SUMIFS('Zoho Dump'!$Q$8:$Q$3007,'Zoho Dump'!$N$8:$N$3007,$B216,'Zoho Dump'!$T$8:$T$3007,"Delivered",'Zoho Dump'!$R$8:$R$3007,"&gt;="&amp;Settings!$B$4))</f>
        <v>0</v>
      </c>
      <c r="D216" s="17" t="n">
        <f aca="false">IF($B216="",0,SUMIFS('Zoho Dump'!$X$8:$X$3007,'Zoho Dump'!$N$8:$N$3007,$B216,'Zoho Dump'!$T$8:$T$3007,"Backlog")+SUMIFS(Adjustments!$K$8:$K$207,Adjustments!$B$8:$B$207,$B216,Adjustments!$H$8:$H$207,"Backlog"))</f>
        <v>0</v>
      </c>
      <c r="E216" s="17" t="n">
        <f aca="false">IF($B216="",0,SUMIFS('Zoho Dump'!$Y$8:$Y$3007,'Zoho Dump'!$N$8:$N$3007,$B216,'Zoho Dump'!$T$8:$T$3007,"Pipeline")+SUMIFS(Adjustments!$L$8:$L$207,Adjustments!$B$8:$B$207,$B216,Adjustments!$H$8:$H$207,"Pipeline")+SUMIFS('Zoho Dump'!$Y$8:$Y$3007,'Zoho Dump'!$N$8:$N$3007,$B216,'Zoho Dump'!$T$8:$T$3007,"Overdue")+SUMIFS(Adjustments!$L$8:$L$207,Adjustments!$B$8:$B$207,$B216,Adjustments!$H$8:$H$207,"Overdue"))</f>
        <v>0</v>
      </c>
      <c r="F216" s="17" t="n">
        <f aca="false">IF($B216="",0,SUMIFS('Zoho Dump'!$X$8:$X$3007,'Zoho Dump'!$N$8:$N$3007,$B216,'Zoho Dump'!$T$8:$T$3007,"Pipeline")+SUMIFS(Adjustments!$K$8:$K$207,Adjustments!$B$8:$B$207,$B216,Adjustments!$H$8:$H$207,"Pipeline")+SUMIFS('Zoho Dump'!$X$8:$X$3007,'Zoho Dump'!$N$8:$N$3007,$B216,'Zoho Dump'!$T$8:$T$3007,"Overdue")+SUMIFS(Adjustments!$K$8:$K$207,Adjustments!$B$8:$B$207,$B216,Adjustments!$H$8:$H$207,"Overdue"))</f>
        <v>0</v>
      </c>
      <c r="G216" s="17" t="n">
        <f aca="false">D216+F216</f>
        <v>0</v>
      </c>
      <c r="H216" s="18" t="n">
        <f aca="false">IF(SUM($G$5:$G$404)=0,0,G216/SUM($G$5:$G$404))</f>
        <v>0</v>
      </c>
      <c r="I216" s="17" t="n">
        <f aca="false">IF($B216="",0,SUMIFS('Zoho Dump'!$Q$8:$Q$3007,'Zoho Dump'!$N$8:$N$3007,$B216,'Zoho Dump'!$T$8:$T$3007,"Lost",'Zoho Dump'!$R$8:$R$3007,"&gt;="&amp;Settings!$B$4))</f>
        <v>0</v>
      </c>
      <c r="J216" s="9" t="str">
        <f aca="false">IF($B216="","",IF(COUNTIF(Dashboard!$C$13:$C$22,$B216)&gt;0,"Yes",""))</f>
        <v/>
      </c>
      <c r="K216" s="17" t="n">
        <f aca="false">IF($B216="",0,SUMIFS('Zoho Dump'!$X$8:$X$3007,'Zoho Dump'!$N$8:$N$3007,$B216,'Zoho Dump'!$P$8:$P$3007,Settings!$A$12)+SUMIFS(Adjustments!$K$8:$K$207,Adjustments!$B$8:$B$207,$B216,Adjustments!$A$8:$A$207,Settings!$A$12))</f>
        <v>0</v>
      </c>
      <c r="L216" s="17" t="n">
        <f aca="false">IF($B216="",0,SUMIFS('Zoho Dump'!$X$8:$X$3007,'Zoho Dump'!$N$8:$N$3007,$B216,'Zoho Dump'!$P$8:$P$3007,Settings!$A$13)+SUMIFS(Adjustments!$K$8:$K$207,Adjustments!$B$8:$B$207,$B216,Adjustments!$A$8:$A$207,Settings!$A$13))</f>
        <v>0</v>
      </c>
      <c r="M216" s="17" t="n">
        <f aca="false">IF($B216="",0,SUMIFS('Zoho Dump'!$X$8:$X$3007,'Zoho Dump'!$N$8:$N$3007,$B216,'Zoho Dump'!$P$8:$P$3007,Settings!$A$14)+SUMIFS(Adjustments!$K$8:$K$207,Adjustments!$B$8:$B$207,$B216,Adjustments!$A$8:$A$207,Settings!$A$14))</f>
        <v>0</v>
      </c>
      <c r="N216" s="17" t="n">
        <f aca="false">IF($B216="",0,SUMIFS('Zoho Dump'!$X$8:$X$3007,'Zoho Dump'!$N$8:$N$3007,$B216,'Zoho Dump'!$P$8:$P$3007,Settings!$A$15)+SUMIFS(Adjustments!$K$8:$K$207,Adjustments!$B$8:$B$207,$B216,Adjustments!$A$8:$A$207,Settings!$A$15))</f>
        <v>0</v>
      </c>
      <c r="O216" s="17" t="n">
        <f aca="false">IF($B216="",0,SUMIFS('Zoho Dump'!$X$8:$X$3007,'Zoho Dump'!$N$8:$N$3007,$B216,'Zoho Dump'!$P$8:$P$3007,Settings!$A$16)+SUMIFS(Adjustments!$K$8:$K$207,Adjustments!$B$8:$B$207,$B216,Adjustments!$A$8:$A$207,Settings!$A$16))</f>
        <v>0</v>
      </c>
      <c r="P216" s="17" t="n">
        <f aca="false">IF($B216="",0,SUMIFS('Zoho Dump'!$X$8:$X$3007,'Zoho Dump'!$N$8:$N$3007,$B216,'Zoho Dump'!$P$8:$P$3007,Settings!$A$17)+SUMIFS(Adjustments!$K$8:$K$207,Adjustments!$B$8:$B$207,$B216,Adjustments!$A$8:$A$207,Settings!$A$17))</f>
        <v>0</v>
      </c>
      <c r="Q216" s="17" t="n">
        <f aca="false">IF($B216="",0,SUMIFS('Zoho Dump'!$X$8:$X$3007,'Zoho Dump'!$N$8:$N$3007,$B216,'Zoho Dump'!$P$8:$P$3007,Settings!$A$18)+SUMIFS(Adjustments!$K$8:$K$207,Adjustments!$B$8:$B$207,$B216,Adjustments!$A$8:$A$207,Settings!$A$18))</f>
        <v>0</v>
      </c>
      <c r="R216" s="30" t="str">
        <f aca="false">IF(G216&gt;0,G216+A216/10000000,"")</f>
        <v/>
      </c>
    </row>
    <row r="217" customFormat="false" ht="15" hidden="false" customHeight="false" outlineLevel="0" collapsed="false">
      <c r="A217" s="9" t="n">
        <v>213</v>
      </c>
      <c r="B217" s="9" t="str">
        <f aca="false">IFERROR(INDEX('Zoho Dump'!$N$8:$N$3007,MATCH(A217,'Zoho Dump'!$AB$8:$AB$3007,0)),"")</f>
        <v/>
      </c>
      <c r="C217" s="17" t="n">
        <f aca="false">IF($B217="",0,SUMIFS('Zoho Dump'!$Q$8:$Q$3007,'Zoho Dump'!$N$8:$N$3007,$B217,'Zoho Dump'!$T$8:$T$3007,"Delivered",'Zoho Dump'!$R$8:$R$3007,"&gt;="&amp;Settings!$B$4))</f>
        <v>0</v>
      </c>
      <c r="D217" s="17" t="n">
        <f aca="false">IF($B217="",0,SUMIFS('Zoho Dump'!$X$8:$X$3007,'Zoho Dump'!$N$8:$N$3007,$B217,'Zoho Dump'!$T$8:$T$3007,"Backlog")+SUMIFS(Adjustments!$K$8:$K$207,Adjustments!$B$8:$B$207,$B217,Adjustments!$H$8:$H$207,"Backlog"))</f>
        <v>0</v>
      </c>
      <c r="E217" s="17" t="n">
        <f aca="false">IF($B217="",0,SUMIFS('Zoho Dump'!$Y$8:$Y$3007,'Zoho Dump'!$N$8:$N$3007,$B217,'Zoho Dump'!$T$8:$T$3007,"Pipeline")+SUMIFS(Adjustments!$L$8:$L$207,Adjustments!$B$8:$B$207,$B217,Adjustments!$H$8:$H$207,"Pipeline")+SUMIFS('Zoho Dump'!$Y$8:$Y$3007,'Zoho Dump'!$N$8:$N$3007,$B217,'Zoho Dump'!$T$8:$T$3007,"Overdue")+SUMIFS(Adjustments!$L$8:$L$207,Adjustments!$B$8:$B$207,$B217,Adjustments!$H$8:$H$207,"Overdue"))</f>
        <v>0</v>
      </c>
      <c r="F217" s="17" t="n">
        <f aca="false">IF($B217="",0,SUMIFS('Zoho Dump'!$X$8:$X$3007,'Zoho Dump'!$N$8:$N$3007,$B217,'Zoho Dump'!$T$8:$T$3007,"Pipeline")+SUMIFS(Adjustments!$K$8:$K$207,Adjustments!$B$8:$B$207,$B217,Adjustments!$H$8:$H$207,"Pipeline")+SUMIFS('Zoho Dump'!$X$8:$X$3007,'Zoho Dump'!$N$8:$N$3007,$B217,'Zoho Dump'!$T$8:$T$3007,"Overdue")+SUMIFS(Adjustments!$K$8:$K$207,Adjustments!$B$8:$B$207,$B217,Adjustments!$H$8:$H$207,"Overdue"))</f>
        <v>0</v>
      </c>
      <c r="G217" s="17" t="n">
        <f aca="false">D217+F217</f>
        <v>0</v>
      </c>
      <c r="H217" s="18" t="n">
        <f aca="false">IF(SUM($G$5:$G$404)=0,0,G217/SUM($G$5:$G$404))</f>
        <v>0</v>
      </c>
      <c r="I217" s="17" t="n">
        <f aca="false">IF($B217="",0,SUMIFS('Zoho Dump'!$Q$8:$Q$3007,'Zoho Dump'!$N$8:$N$3007,$B217,'Zoho Dump'!$T$8:$T$3007,"Lost",'Zoho Dump'!$R$8:$R$3007,"&gt;="&amp;Settings!$B$4))</f>
        <v>0</v>
      </c>
      <c r="J217" s="9" t="str">
        <f aca="false">IF($B217="","",IF(COUNTIF(Dashboard!$C$13:$C$22,$B217)&gt;0,"Yes",""))</f>
        <v/>
      </c>
      <c r="K217" s="17" t="n">
        <f aca="false">IF($B217="",0,SUMIFS('Zoho Dump'!$X$8:$X$3007,'Zoho Dump'!$N$8:$N$3007,$B217,'Zoho Dump'!$P$8:$P$3007,Settings!$A$12)+SUMIFS(Adjustments!$K$8:$K$207,Adjustments!$B$8:$B$207,$B217,Adjustments!$A$8:$A$207,Settings!$A$12))</f>
        <v>0</v>
      </c>
      <c r="L217" s="17" t="n">
        <f aca="false">IF($B217="",0,SUMIFS('Zoho Dump'!$X$8:$X$3007,'Zoho Dump'!$N$8:$N$3007,$B217,'Zoho Dump'!$P$8:$P$3007,Settings!$A$13)+SUMIFS(Adjustments!$K$8:$K$207,Adjustments!$B$8:$B$207,$B217,Adjustments!$A$8:$A$207,Settings!$A$13))</f>
        <v>0</v>
      </c>
      <c r="M217" s="17" t="n">
        <f aca="false">IF($B217="",0,SUMIFS('Zoho Dump'!$X$8:$X$3007,'Zoho Dump'!$N$8:$N$3007,$B217,'Zoho Dump'!$P$8:$P$3007,Settings!$A$14)+SUMIFS(Adjustments!$K$8:$K$207,Adjustments!$B$8:$B$207,$B217,Adjustments!$A$8:$A$207,Settings!$A$14))</f>
        <v>0</v>
      </c>
      <c r="N217" s="17" t="n">
        <f aca="false">IF($B217="",0,SUMIFS('Zoho Dump'!$X$8:$X$3007,'Zoho Dump'!$N$8:$N$3007,$B217,'Zoho Dump'!$P$8:$P$3007,Settings!$A$15)+SUMIFS(Adjustments!$K$8:$K$207,Adjustments!$B$8:$B$207,$B217,Adjustments!$A$8:$A$207,Settings!$A$15))</f>
        <v>0</v>
      </c>
      <c r="O217" s="17" t="n">
        <f aca="false">IF($B217="",0,SUMIFS('Zoho Dump'!$X$8:$X$3007,'Zoho Dump'!$N$8:$N$3007,$B217,'Zoho Dump'!$P$8:$P$3007,Settings!$A$16)+SUMIFS(Adjustments!$K$8:$K$207,Adjustments!$B$8:$B$207,$B217,Adjustments!$A$8:$A$207,Settings!$A$16))</f>
        <v>0</v>
      </c>
      <c r="P217" s="17" t="n">
        <f aca="false">IF($B217="",0,SUMIFS('Zoho Dump'!$X$8:$X$3007,'Zoho Dump'!$N$8:$N$3007,$B217,'Zoho Dump'!$P$8:$P$3007,Settings!$A$17)+SUMIFS(Adjustments!$K$8:$K$207,Adjustments!$B$8:$B$207,$B217,Adjustments!$A$8:$A$207,Settings!$A$17))</f>
        <v>0</v>
      </c>
      <c r="Q217" s="17" t="n">
        <f aca="false">IF($B217="",0,SUMIFS('Zoho Dump'!$X$8:$X$3007,'Zoho Dump'!$N$8:$N$3007,$B217,'Zoho Dump'!$P$8:$P$3007,Settings!$A$18)+SUMIFS(Adjustments!$K$8:$K$207,Adjustments!$B$8:$B$207,$B217,Adjustments!$A$8:$A$207,Settings!$A$18))</f>
        <v>0</v>
      </c>
      <c r="R217" s="30" t="str">
        <f aca="false">IF(G217&gt;0,G217+A217/10000000,"")</f>
        <v/>
      </c>
    </row>
    <row r="218" customFormat="false" ht="15" hidden="false" customHeight="false" outlineLevel="0" collapsed="false">
      <c r="A218" s="9" t="n">
        <v>214</v>
      </c>
      <c r="B218" s="9" t="str">
        <f aca="false">IFERROR(INDEX('Zoho Dump'!$N$8:$N$3007,MATCH(A218,'Zoho Dump'!$AB$8:$AB$3007,0)),"")</f>
        <v/>
      </c>
      <c r="C218" s="17" t="n">
        <f aca="false">IF($B218="",0,SUMIFS('Zoho Dump'!$Q$8:$Q$3007,'Zoho Dump'!$N$8:$N$3007,$B218,'Zoho Dump'!$T$8:$T$3007,"Delivered",'Zoho Dump'!$R$8:$R$3007,"&gt;="&amp;Settings!$B$4))</f>
        <v>0</v>
      </c>
      <c r="D218" s="17" t="n">
        <f aca="false">IF($B218="",0,SUMIFS('Zoho Dump'!$X$8:$X$3007,'Zoho Dump'!$N$8:$N$3007,$B218,'Zoho Dump'!$T$8:$T$3007,"Backlog")+SUMIFS(Adjustments!$K$8:$K$207,Adjustments!$B$8:$B$207,$B218,Adjustments!$H$8:$H$207,"Backlog"))</f>
        <v>0</v>
      </c>
      <c r="E218" s="17" t="n">
        <f aca="false">IF($B218="",0,SUMIFS('Zoho Dump'!$Y$8:$Y$3007,'Zoho Dump'!$N$8:$N$3007,$B218,'Zoho Dump'!$T$8:$T$3007,"Pipeline")+SUMIFS(Adjustments!$L$8:$L$207,Adjustments!$B$8:$B$207,$B218,Adjustments!$H$8:$H$207,"Pipeline")+SUMIFS('Zoho Dump'!$Y$8:$Y$3007,'Zoho Dump'!$N$8:$N$3007,$B218,'Zoho Dump'!$T$8:$T$3007,"Overdue")+SUMIFS(Adjustments!$L$8:$L$207,Adjustments!$B$8:$B$207,$B218,Adjustments!$H$8:$H$207,"Overdue"))</f>
        <v>0</v>
      </c>
      <c r="F218" s="17" t="n">
        <f aca="false">IF($B218="",0,SUMIFS('Zoho Dump'!$X$8:$X$3007,'Zoho Dump'!$N$8:$N$3007,$B218,'Zoho Dump'!$T$8:$T$3007,"Pipeline")+SUMIFS(Adjustments!$K$8:$K$207,Adjustments!$B$8:$B$207,$B218,Adjustments!$H$8:$H$207,"Pipeline")+SUMIFS('Zoho Dump'!$X$8:$X$3007,'Zoho Dump'!$N$8:$N$3007,$B218,'Zoho Dump'!$T$8:$T$3007,"Overdue")+SUMIFS(Adjustments!$K$8:$K$207,Adjustments!$B$8:$B$207,$B218,Adjustments!$H$8:$H$207,"Overdue"))</f>
        <v>0</v>
      </c>
      <c r="G218" s="17" t="n">
        <f aca="false">D218+F218</f>
        <v>0</v>
      </c>
      <c r="H218" s="18" t="n">
        <f aca="false">IF(SUM($G$5:$G$404)=0,0,G218/SUM($G$5:$G$404))</f>
        <v>0</v>
      </c>
      <c r="I218" s="17" t="n">
        <f aca="false">IF($B218="",0,SUMIFS('Zoho Dump'!$Q$8:$Q$3007,'Zoho Dump'!$N$8:$N$3007,$B218,'Zoho Dump'!$T$8:$T$3007,"Lost",'Zoho Dump'!$R$8:$R$3007,"&gt;="&amp;Settings!$B$4))</f>
        <v>0</v>
      </c>
      <c r="J218" s="9" t="str">
        <f aca="false">IF($B218="","",IF(COUNTIF(Dashboard!$C$13:$C$22,$B218)&gt;0,"Yes",""))</f>
        <v/>
      </c>
      <c r="K218" s="17" t="n">
        <f aca="false">IF($B218="",0,SUMIFS('Zoho Dump'!$X$8:$X$3007,'Zoho Dump'!$N$8:$N$3007,$B218,'Zoho Dump'!$P$8:$P$3007,Settings!$A$12)+SUMIFS(Adjustments!$K$8:$K$207,Adjustments!$B$8:$B$207,$B218,Adjustments!$A$8:$A$207,Settings!$A$12))</f>
        <v>0</v>
      </c>
      <c r="L218" s="17" t="n">
        <f aca="false">IF($B218="",0,SUMIFS('Zoho Dump'!$X$8:$X$3007,'Zoho Dump'!$N$8:$N$3007,$B218,'Zoho Dump'!$P$8:$P$3007,Settings!$A$13)+SUMIFS(Adjustments!$K$8:$K$207,Adjustments!$B$8:$B$207,$B218,Adjustments!$A$8:$A$207,Settings!$A$13))</f>
        <v>0</v>
      </c>
      <c r="M218" s="17" t="n">
        <f aca="false">IF($B218="",0,SUMIFS('Zoho Dump'!$X$8:$X$3007,'Zoho Dump'!$N$8:$N$3007,$B218,'Zoho Dump'!$P$8:$P$3007,Settings!$A$14)+SUMIFS(Adjustments!$K$8:$K$207,Adjustments!$B$8:$B$207,$B218,Adjustments!$A$8:$A$207,Settings!$A$14))</f>
        <v>0</v>
      </c>
      <c r="N218" s="17" t="n">
        <f aca="false">IF($B218="",0,SUMIFS('Zoho Dump'!$X$8:$X$3007,'Zoho Dump'!$N$8:$N$3007,$B218,'Zoho Dump'!$P$8:$P$3007,Settings!$A$15)+SUMIFS(Adjustments!$K$8:$K$207,Adjustments!$B$8:$B$207,$B218,Adjustments!$A$8:$A$207,Settings!$A$15))</f>
        <v>0</v>
      </c>
      <c r="O218" s="17" t="n">
        <f aca="false">IF($B218="",0,SUMIFS('Zoho Dump'!$X$8:$X$3007,'Zoho Dump'!$N$8:$N$3007,$B218,'Zoho Dump'!$P$8:$P$3007,Settings!$A$16)+SUMIFS(Adjustments!$K$8:$K$207,Adjustments!$B$8:$B$207,$B218,Adjustments!$A$8:$A$207,Settings!$A$16))</f>
        <v>0</v>
      </c>
      <c r="P218" s="17" t="n">
        <f aca="false">IF($B218="",0,SUMIFS('Zoho Dump'!$X$8:$X$3007,'Zoho Dump'!$N$8:$N$3007,$B218,'Zoho Dump'!$P$8:$P$3007,Settings!$A$17)+SUMIFS(Adjustments!$K$8:$K$207,Adjustments!$B$8:$B$207,$B218,Adjustments!$A$8:$A$207,Settings!$A$17))</f>
        <v>0</v>
      </c>
      <c r="Q218" s="17" t="n">
        <f aca="false">IF($B218="",0,SUMIFS('Zoho Dump'!$X$8:$X$3007,'Zoho Dump'!$N$8:$N$3007,$B218,'Zoho Dump'!$P$8:$P$3007,Settings!$A$18)+SUMIFS(Adjustments!$K$8:$K$207,Adjustments!$B$8:$B$207,$B218,Adjustments!$A$8:$A$207,Settings!$A$18))</f>
        <v>0</v>
      </c>
      <c r="R218" s="30" t="str">
        <f aca="false">IF(G218&gt;0,G218+A218/10000000,"")</f>
        <v/>
      </c>
    </row>
    <row r="219" customFormat="false" ht="15" hidden="false" customHeight="false" outlineLevel="0" collapsed="false">
      <c r="A219" s="9" t="n">
        <v>215</v>
      </c>
      <c r="B219" s="9" t="str">
        <f aca="false">IFERROR(INDEX('Zoho Dump'!$N$8:$N$3007,MATCH(A219,'Zoho Dump'!$AB$8:$AB$3007,0)),"")</f>
        <v/>
      </c>
      <c r="C219" s="17" t="n">
        <f aca="false">IF($B219="",0,SUMIFS('Zoho Dump'!$Q$8:$Q$3007,'Zoho Dump'!$N$8:$N$3007,$B219,'Zoho Dump'!$T$8:$T$3007,"Delivered",'Zoho Dump'!$R$8:$R$3007,"&gt;="&amp;Settings!$B$4))</f>
        <v>0</v>
      </c>
      <c r="D219" s="17" t="n">
        <f aca="false">IF($B219="",0,SUMIFS('Zoho Dump'!$X$8:$X$3007,'Zoho Dump'!$N$8:$N$3007,$B219,'Zoho Dump'!$T$8:$T$3007,"Backlog")+SUMIFS(Adjustments!$K$8:$K$207,Adjustments!$B$8:$B$207,$B219,Adjustments!$H$8:$H$207,"Backlog"))</f>
        <v>0</v>
      </c>
      <c r="E219" s="17" t="n">
        <f aca="false">IF($B219="",0,SUMIFS('Zoho Dump'!$Y$8:$Y$3007,'Zoho Dump'!$N$8:$N$3007,$B219,'Zoho Dump'!$T$8:$T$3007,"Pipeline")+SUMIFS(Adjustments!$L$8:$L$207,Adjustments!$B$8:$B$207,$B219,Adjustments!$H$8:$H$207,"Pipeline")+SUMIFS('Zoho Dump'!$Y$8:$Y$3007,'Zoho Dump'!$N$8:$N$3007,$B219,'Zoho Dump'!$T$8:$T$3007,"Overdue")+SUMIFS(Adjustments!$L$8:$L$207,Adjustments!$B$8:$B$207,$B219,Adjustments!$H$8:$H$207,"Overdue"))</f>
        <v>0</v>
      </c>
      <c r="F219" s="17" t="n">
        <f aca="false">IF($B219="",0,SUMIFS('Zoho Dump'!$X$8:$X$3007,'Zoho Dump'!$N$8:$N$3007,$B219,'Zoho Dump'!$T$8:$T$3007,"Pipeline")+SUMIFS(Adjustments!$K$8:$K$207,Adjustments!$B$8:$B$207,$B219,Adjustments!$H$8:$H$207,"Pipeline")+SUMIFS('Zoho Dump'!$X$8:$X$3007,'Zoho Dump'!$N$8:$N$3007,$B219,'Zoho Dump'!$T$8:$T$3007,"Overdue")+SUMIFS(Adjustments!$K$8:$K$207,Adjustments!$B$8:$B$207,$B219,Adjustments!$H$8:$H$207,"Overdue"))</f>
        <v>0</v>
      </c>
      <c r="G219" s="17" t="n">
        <f aca="false">D219+F219</f>
        <v>0</v>
      </c>
      <c r="H219" s="18" t="n">
        <f aca="false">IF(SUM($G$5:$G$404)=0,0,G219/SUM($G$5:$G$404))</f>
        <v>0</v>
      </c>
      <c r="I219" s="17" t="n">
        <f aca="false">IF($B219="",0,SUMIFS('Zoho Dump'!$Q$8:$Q$3007,'Zoho Dump'!$N$8:$N$3007,$B219,'Zoho Dump'!$T$8:$T$3007,"Lost",'Zoho Dump'!$R$8:$R$3007,"&gt;="&amp;Settings!$B$4))</f>
        <v>0</v>
      </c>
      <c r="J219" s="9" t="str">
        <f aca="false">IF($B219="","",IF(COUNTIF(Dashboard!$C$13:$C$22,$B219)&gt;0,"Yes",""))</f>
        <v/>
      </c>
      <c r="K219" s="17" t="n">
        <f aca="false">IF($B219="",0,SUMIFS('Zoho Dump'!$X$8:$X$3007,'Zoho Dump'!$N$8:$N$3007,$B219,'Zoho Dump'!$P$8:$P$3007,Settings!$A$12)+SUMIFS(Adjustments!$K$8:$K$207,Adjustments!$B$8:$B$207,$B219,Adjustments!$A$8:$A$207,Settings!$A$12))</f>
        <v>0</v>
      </c>
      <c r="L219" s="17" t="n">
        <f aca="false">IF($B219="",0,SUMIFS('Zoho Dump'!$X$8:$X$3007,'Zoho Dump'!$N$8:$N$3007,$B219,'Zoho Dump'!$P$8:$P$3007,Settings!$A$13)+SUMIFS(Adjustments!$K$8:$K$207,Adjustments!$B$8:$B$207,$B219,Adjustments!$A$8:$A$207,Settings!$A$13))</f>
        <v>0</v>
      </c>
      <c r="M219" s="17" t="n">
        <f aca="false">IF($B219="",0,SUMIFS('Zoho Dump'!$X$8:$X$3007,'Zoho Dump'!$N$8:$N$3007,$B219,'Zoho Dump'!$P$8:$P$3007,Settings!$A$14)+SUMIFS(Adjustments!$K$8:$K$207,Adjustments!$B$8:$B$207,$B219,Adjustments!$A$8:$A$207,Settings!$A$14))</f>
        <v>0</v>
      </c>
      <c r="N219" s="17" t="n">
        <f aca="false">IF($B219="",0,SUMIFS('Zoho Dump'!$X$8:$X$3007,'Zoho Dump'!$N$8:$N$3007,$B219,'Zoho Dump'!$P$8:$P$3007,Settings!$A$15)+SUMIFS(Adjustments!$K$8:$K$207,Adjustments!$B$8:$B$207,$B219,Adjustments!$A$8:$A$207,Settings!$A$15))</f>
        <v>0</v>
      </c>
      <c r="O219" s="17" t="n">
        <f aca="false">IF($B219="",0,SUMIFS('Zoho Dump'!$X$8:$X$3007,'Zoho Dump'!$N$8:$N$3007,$B219,'Zoho Dump'!$P$8:$P$3007,Settings!$A$16)+SUMIFS(Adjustments!$K$8:$K$207,Adjustments!$B$8:$B$207,$B219,Adjustments!$A$8:$A$207,Settings!$A$16))</f>
        <v>0</v>
      </c>
      <c r="P219" s="17" t="n">
        <f aca="false">IF($B219="",0,SUMIFS('Zoho Dump'!$X$8:$X$3007,'Zoho Dump'!$N$8:$N$3007,$B219,'Zoho Dump'!$P$8:$P$3007,Settings!$A$17)+SUMIFS(Adjustments!$K$8:$K$207,Adjustments!$B$8:$B$207,$B219,Adjustments!$A$8:$A$207,Settings!$A$17))</f>
        <v>0</v>
      </c>
      <c r="Q219" s="17" t="n">
        <f aca="false">IF($B219="",0,SUMIFS('Zoho Dump'!$X$8:$X$3007,'Zoho Dump'!$N$8:$N$3007,$B219,'Zoho Dump'!$P$8:$P$3007,Settings!$A$18)+SUMIFS(Adjustments!$K$8:$K$207,Adjustments!$B$8:$B$207,$B219,Adjustments!$A$8:$A$207,Settings!$A$18))</f>
        <v>0</v>
      </c>
      <c r="R219" s="30" t="str">
        <f aca="false">IF(G219&gt;0,G219+A219/10000000,"")</f>
        <v/>
      </c>
    </row>
    <row r="220" customFormat="false" ht="15" hidden="false" customHeight="false" outlineLevel="0" collapsed="false">
      <c r="A220" s="9" t="n">
        <v>216</v>
      </c>
      <c r="B220" s="9" t="str">
        <f aca="false">IFERROR(INDEX('Zoho Dump'!$N$8:$N$3007,MATCH(A220,'Zoho Dump'!$AB$8:$AB$3007,0)),"")</f>
        <v/>
      </c>
      <c r="C220" s="17" t="n">
        <f aca="false">IF($B220="",0,SUMIFS('Zoho Dump'!$Q$8:$Q$3007,'Zoho Dump'!$N$8:$N$3007,$B220,'Zoho Dump'!$T$8:$T$3007,"Delivered",'Zoho Dump'!$R$8:$R$3007,"&gt;="&amp;Settings!$B$4))</f>
        <v>0</v>
      </c>
      <c r="D220" s="17" t="n">
        <f aca="false">IF($B220="",0,SUMIFS('Zoho Dump'!$X$8:$X$3007,'Zoho Dump'!$N$8:$N$3007,$B220,'Zoho Dump'!$T$8:$T$3007,"Backlog")+SUMIFS(Adjustments!$K$8:$K$207,Adjustments!$B$8:$B$207,$B220,Adjustments!$H$8:$H$207,"Backlog"))</f>
        <v>0</v>
      </c>
      <c r="E220" s="17" t="n">
        <f aca="false">IF($B220="",0,SUMIFS('Zoho Dump'!$Y$8:$Y$3007,'Zoho Dump'!$N$8:$N$3007,$B220,'Zoho Dump'!$T$8:$T$3007,"Pipeline")+SUMIFS(Adjustments!$L$8:$L$207,Adjustments!$B$8:$B$207,$B220,Adjustments!$H$8:$H$207,"Pipeline")+SUMIFS('Zoho Dump'!$Y$8:$Y$3007,'Zoho Dump'!$N$8:$N$3007,$B220,'Zoho Dump'!$T$8:$T$3007,"Overdue")+SUMIFS(Adjustments!$L$8:$L$207,Adjustments!$B$8:$B$207,$B220,Adjustments!$H$8:$H$207,"Overdue"))</f>
        <v>0</v>
      </c>
      <c r="F220" s="17" t="n">
        <f aca="false">IF($B220="",0,SUMIFS('Zoho Dump'!$X$8:$X$3007,'Zoho Dump'!$N$8:$N$3007,$B220,'Zoho Dump'!$T$8:$T$3007,"Pipeline")+SUMIFS(Adjustments!$K$8:$K$207,Adjustments!$B$8:$B$207,$B220,Adjustments!$H$8:$H$207,"Pipeline")+SUMIFS('Zoho Dump'!$X$8:$X$3007,'Zoho Dump'!$N$8:$N$3007,$B220,'Zoho Dump'!$T$8:$T$3007,"Overdue")+SUMIFS(Adjustments!$K$8:$K$207,Adjustments!$B$8:$B$207,$B220,Adjustments!$H$8:$H$207,"Overdue"))</f>
        <v>0</v>
      </c>
      <c r="G220" s="17" t="n">
        <f aca="false">D220+F220</f>
        <v>0</v>
      </c>
      <c r="H220" s="18" t="n">
        <f aca="false">IF(SUM($G$5:$G$404)=0,0,G220/SUM($G$5:$G$404))</f>
        <v>0</v>
      </c>
      <c r="I220" s="17" t="n">
        <f aca="false">IF($B220="",0,SUMIFS('Zoho Dump'!$Q$8:$Q$3007,'Zoho Dump'!$N$8:$N$3007,$B220,'Zoho Dump'!$T$8:$T$3007,"Lost",'Zoho Dump'!$R$8:$R$3007,"&gt;="&amp;Settings!$B$4))</f>
        <v>0</v>
      </c>
      <c r="J220" s="9" t="str">
        <f aca="false">IF($B220="","",IF(COUNTIF(Dashboard!$C$13:$C$22,$B220)&gt;0,"Yes",""))</f>
        <v/>
      </c>
      <c r="K220" s="17" t="n">
        <f aca="false">IF($B220="",0,SUMIFS('Zoho Dump'!$X$8:$X$3007,'Zoho Dump'!$N$8:$N$3007,$B220,'Zoho Dump'!$P$8:$P$3007,Settings!$A$12)+SUMIFS(Adjustments!$K$8:$K$207,Adjustments!$B$8:$B$207,$B220,Adjustments!$A$8:$A$207,Settings!$A$12))</f>
        <v>0</v>
      </c>
      <c r="L220" s="17" t="n">
        <f aca="false">IF($B220="",0,SUMIFS('Zoho Dump'!$X$8:$X$3007,'Zoho Dump'!$N$8:$N$3007,$B220,'Zoho Dump'!$P$8:$P$3007,Settings!$A$13)+SUMIFS(Adjustments!$K$8:$K$207,Adjustments!$B$8:$B$207,$B220,Adjustments!$A$8:$A$207,Settings!$A$13))</f>
        <v>0</v>
      </c>
      <c r="M220" s="17" t="n">
        <f aca="false">IF($B220="",0,SUMIFS('Zoho Dump'!$X$8:$X$3007,'Zoho Dump'!$N$8:$N$3007,$B220,'Zoho Dump'!$P$8:$P$3007,Settings!$A$14)+SUMIFS(Adjustments!$K$8:$K$207,Adjustments!$B$8:$B$207,$B220,Adjustments!$A$8:$A$207,Settings!$A$14))</f>
        <v>0</v>
      </c>
      <c r="N220" s="17" t="n">
        <f aca="false">IF($B220="",0,SUMIFS('Zoho Dump'!$X$8:$X$3007,'Zoho Dump'!$N$8:$N$3007,$B220,'Zoho Dump'!$P$8:$P$3007,Settings!$A$15)+SUMIFS(Adjustments!$K$8:$K$207,Adjustments!$B$8:$B$207,$B220,Adjustments!$A$8:$A$207,Settings!$A$15))</f>
        <v>0</v>
      </c>
      <c r="O220" s="17" t="n">
        <f aca="false">IF($B220="",0,SUMIFS('Zoho Dump'!$X$8:$X$3007,'Zoho Dump'!$N$8:$N$3007,$B220,'Zoho Dump'!$P$8:$P$3007,Settings!$A$16)+SUMIFS(Adjustments!$K$8:$K$207,Adjustments!$B$8:$B$207,$B220,Adjustments!$A$8:$A$207,Settings!$A$16))</f>
        <v>0</v>
      </c>
      <c r="P220" s="17" t="n">
        <f aca="false">IF($B220="",0,SUMIFS('Zoho Dump'!$X$8:$X$3007,'Zoho Dump'!$N$8:$N$3007,$B220,'Zoho Dump'!$P$8:$P$3007,Settings!$A$17)+SUMIFS(Adjustments!$K$8:$K$207,Adjustments!$B$8:$B$207,$B220,Adjustments!$A$8:$A$207,Settings!$A$17))</f>
        <v>0</v>
      </c>
      <c r="Q220" s="17" t="n">
        <f aca="false">IF($B220="",0,SUMIFS('Zoho Dump'!$X$8:$X$3007,'Zoho Dump'!$N$8:$N$3007,$B220,'Zoho Dump'!$P$8:$P$3007,Settings!$A$18)+SUMIFS(Adjustments!$K$8:$K$207,Adjustments!$B$8:$B$207,$B220,Adjustments!$A$8:$A$207,Settings!$A$18))</f>
        <v>0</v>
      </c>
      <c r="R220" s="30" t="str">
        <f aca="false">IF(G220&gt;0,G220+A220/10000000,"")</f>
        <v/>
      </c>
    </row>
    <row r="221" customFormat="false" ht="15" hidden="false" customHeight="false" outlineLevel="0" collapsed="false">
      <c r="A221" s="9" t="n">
        <v>217</v>
      </c>
      <c r="B221" s="9" t="str">
        <f aca="false">IFERROR(INDEX('Zoho Dump'!$N$8:$N$3007,MATCH(A221,'Zoho Dump'!$AB$8:$AB$3007,0)),"")</f>
        <v/>
      </c>
      <c r="C221" s="17" t="n">
        <f aca="false">IF($B221="",0,SUMIFS('Zoho Dump'!$Q$8:$Q$3007,'Zoho Dump'!$N$8:$N$3007,$B221,'Zoho Dump'!$T$8:$T$3007,"Delivered",'Zoho Dump'!$R$8:$R$3007,"&gt;="&amp;Settings!$B$4))</f>
        <v>0</v>
      </c>
      <c r="D221" s="17" t="n">
        <f aca="false">IF($B221="",0,SUMIFS('Zoho Dump'!$X$8:$X$3007,'Zoho Dump'!$N$8:$N$3007,$B221,'Zoho Dump'!$T$8:$T$3007,"Backlog")+SUMIFS(Adjustments!$K$8:$K$207,Adjustments!$B$8:$B$207,$B221,Adjustments!$H$8:$H$207,"Backlog"))</f>
        <v>0</v>
      </c>
      <c r="E221" s="17" t="n">
        <f aca="false">IF($B221="",0,SUMIFS('Zoho Dump'!$Y$8:$Y$3007,'Zoho Dump'!$N$8:$N$3007,$B221,'Zoho Dump'!$T$8:$T$3007,"Pipeline")+SUMIFS(Adjustments!$L$8:$L$207,Adjustments!$B$8:$B$207,$B221,Adjustments!$H$8:$H$207,"Pipeline")+SUMIFS('Zoho Dump'!$Y$8:$Y$3007,'Zoho Dump'!$N$8:$N$3007,$B221,'Zoho Dump'!$T$8:$T$3007,"Overdue")+SUMIFS(Adjustments!$L$8:$L$207,Adjustments!$B$8:$B$207,$B221,Adjustments!$H$8:$H$207,"Overdue"))</f>
        <v>0</v>
      </c>
      <c r="F221" s="17" t="n">
        <f aca="false">IF($B221="",0,SUMIFS('Zoho Dump'!$X$8:$X$3007,'Zoho Dump'!$N$8:$N$3007,$B221,'Zoho Dump'!$T$8:$T$3007,"Pipeline")+SUMIFS(Adjustments!$K$8:$K$207,Adjustments!$B$8:$B$207,$B221,Adjustments!$H$8:$H$207,"Pipeline")+SUMIFS('Zoho Dump'!$X$8:$X$3007,'Zoho Dump'!$N$8:$N$3007,$B221,'Zoho Dump'!$T$8:$T$3007,"Overdue")+SUMIFS(Adjustments!$K$8:$K$207,Adjustments!$B$8:$B$207,$B221,Adjustments!$H$8:$H$207,"Overdue"))</f>
        <v>0</v>
      </c>
      <c r="G221" s="17" t="n">
        <f aca="false">D221+F221</f>
        <v>0</v>
      </c>
      <c r="H221" s="18" t="n">
        <f aca="false">IF(SUM($G$5:$G$404)=0,0,G221/SUM($G$5:$G$404))</f>
        <v>0</v>
      </c>
      <c r="I221" s="17" t="n">
        <f aca="false">IF($B221="",0,SUMIFS('Zoho Dump'!$Q$8:$Q$3007,'Zoho Dump'!$N$8:$N$3007,$B221,'Zoho Dump'!$T$8:$T$3007,"Lost",'Zoho Dump'!$R$8:$R$3007,"&gt;="&amp;Settings!$B$4))</f>
        <v>0</v>
      </c>
      <c r="J221" s="9" t="str">
        <f aca="false">IF($B221="","",IF(COUNTIF(Dashboard!$C$13:$C$22,$B221)&gt;0,"Yes",""))</f>
        <v/>
      </c>
      <c r="K221" s="17" t="n">
        <f aca="false">IF($B221="",0,SUMIFS('Zoho Dump'!$X$8:$X$3007,'Zoho Dump'!$N$8:$N$3007,$B221,'Zoho Dump'!$P$8:$P$3007,Settings!$A$12)+SUMIFS(Adjustments!$K$8:$K$207,Adjustments!$B$8:$B$207,$B221,Adjustments!$A$8:$A$207,Settings!$A$12))</f>
        <v>0</v>
      </c>
      <c r="L221" s="17" t="n">
        <f aca="false">IF($B221="",0,SUMIFS('Zoho Dump'!$X$8:$X$3007,'Zoho Dump'!$N$8:$N$3007,$B221,'Zoho Dump'!$P$8:$P$3007,Settings!$A$13)+SUMIFS(Adjustments!$K$8:$K$207,Adjustments!$B$8:$B$207,$B221,Adjustments!$A$8:$A$207,Settings!$A$13))</f>
        <v>0</v>
      </c>
      <c r="M221" s="17" t="n">
        <f aca="false">IF($B221="",0,SUMIFS('Zoho Dump'!$X$8:$X$3007,'Zoho Dump'!$N$8:$N$3007,$B221,'Zoho Dump'!$P$8:$P$3007,Settings!$A$14)+SUMIFS(Adjustments!$K$8:$K$207,Adjustments!$B$8:$B$207,$B221,Adjustments!$A$8:$A$207,Settings!$A$14))</f>
        <v>0</v>
      </c>
      <c r="N221" s="17" t="n">
        <f aca="false">IF($B221="",0,SUMIFS('Zoho Dump'!$X$8:$X$3007,'Zoho Dump'!$N$8:$N$3007,$B221,'Zoho Dump'!$P$8:$P$3007,Settings!$A$15)+SUMIFS(Adjustments!$K$8:$K$207,Adjustments!$B$8:$B$207,$B221,Adjustments!$A$8:$A$207,Settings!$A$15))</f>
        <v>0</v>
      </c>
      <c r="O221" s="17" t="n">
        <f aca="false">IF($B221="",0,SUMIFS('Zoho Dump'!$X$8:$X$3007,'Zoho Dump'!$N$8:$N$3007,$B221,'Zoho Dump'!$P$8:$P$3007,Settings!$A$16)+SUMIFS(Adjustments!$K$8:$K$207,Adjustments!$B$8:$B$207,$B221,Adjustments!$A$8:$A$207,Settings!$A$16))</f>
        <v>0</v>
      </c>
      <c r="P221" s="17" t="n">
        <f aca="false">IF($B221="",0,SUMIFS('Zoho Dump'!$X$8:$X$3007,'Zoho Dump'!$N$8:$N$3007,$B221,'Zoho Dump'!$P$8:$P$3007,Settings!$A$17)+SUMIFS(Adjustments!$K$8:$K$207,Adjustments!$B$8:$B$207,$B221,Adjustments!$A$8:$A$207,Settings!$A$17))</f>
        <v>0</v>
      </c>
      <c r="Q221" s="17" t="n">
        <f aca="false">IF($B221="",0,SUMIFS('Zoho Dump'!$X$8:$X$3007,'Zoho Dump'!$N$8:$N$3007,$B221,'Zoho Dump'!$P$8:$P$3007,Settings!$A$18)+SUMIFS(Adjustments!$K$8:$K$207,Adjustments!$B$8:$B$207,$B221,Adjustments!$A$8:$A$207,Settings!$A$18))</f>
        <v>0</v>
      </c>
      <c r="R221" s="30" t="str">
        <f aca="false">IF(G221&gt;0,G221+A221/10000000,"")</f>
        <v/>
      </c>
    </row>
    <row r="222" customFormat="false" ht="15" hidden="false" customHeight="false" outlineLevel="0" collapsed="false">
      <c r="A222" s="9" t="n">
        <v>218</v>
      </c>
      <c r="B222" s="9" t="str">
        <f aca="false">IFERROR(INDEX('Zoho Dump'!$N$8:$N$3007,MATCH(A222,'Zoho Dump'!$AB$8:$AB$3007,0)),"")</f>
        <v/>
      </c>
      <c r="C222" s="17" t="n">
        <f aca="false">IF($B222="",0,SUMIFS('Zoho Dump'!$Q$8:$Q$3007,'Zoho Dump'!$N$8:$N$3007,$B222,'Zoho Dump'!$T$8:$T$3007,"Delivered",'Zoho Dump'!$R$8:$R$3007,"&gt;="&amp;Settings!$B$4))</f>
        <v>0</v>
      </c>
      <c r="D222" s="17" t="n">
        <f aca="false">IF($B222="",0,SUMIFS('Zoho Dump'!$X$8:$X$3007,'Zoho Dump'!$N$8:$N$3007,$B222,'Zoho Dump'!$T$8:$T$3007,"Backlog")+SUMIFS(Adjustments!$K$8:$K$207,Adjustments!$B$8:$B$207,$B222,Adjustments!$H$8:$H$207,"Backlog"))</f>
        <v>0</v>
      </c>
      <c r="E222" s="17" t="n">
        <f aca="false">IF($B222="",0,SUMIFS('Zoho Dump'!$Y$8:$Y$3007,'Zoho Dump'!$N$8:$N$3007,$B222,'Zoho Dump'!$T$8:$T$3007,"Pipeline")+SUMIFS(Adjustments!$L$8:$L$207,Adjustments!$B$8:$B$207,$B222,Adjustments!$H$8:$H$207,"Pipeline")+SUMIFS('Zoho Dump'!$Y$8:$Y$3007,'Zoho Dump'!$N$8:$N$3007,$B222,'Zoho Dump'!$T$8:$T$3007,"Overdue")+SUMIFS(Adjustments!$L$8:$L$207,Adjustments!$B$8:$B$207,$B222,Adjustments!$H$8:$H$207,"Overdue"))</f>
        <v>0</v>
      </c>
      <c r="F222" s="17" t="n">
        <f aca="false">IF($B222="",0,SUMIFS('Zoho Dump'!$X$8:$X$3007,'Zoho Dump'!$N$8:$N$3007,$B222,'Zoho Dump'!$T$8:$T$3007,"Pipeline")+SUMIFS(Adjustments!$K$8:$K$207,Adjustments!$B$8:$B$207,$B222,Adjustments!$H$8:$H$207,"Pipeline")+SUMIFS('Zoho Dump'!$X$8:$X$3007,'Zoho Dump'!$N$8:$N$3007,$B222,'Zoho Dump'!$T$8:$T$3007,"Overdue")+SUMIFS(Adjustments!$K$8:$K$207,Adjustments!$B$8:$B$207,$B222,Adjustments!$H$8:$H$207,"Overdue"))</f>
        <v>0</v>
      </c>
      <c r="G222" s="17" t="n">
        <f aca="false">D222+F222</f>
        <v>0</v>
      </c>
      <c r="H222" s="18" t="n">
        <f aca="false">IF(SUM($G$5:$G$404)=0,0,G222/SUM($G$5:$G$404))</f>
        <v>0</v>
      </c>
      <c r="I222" s="17" t="n">
        <f aca="false">IF($B222="",0,SUMIFS('Zoho Dump'!$Q$8:$Q$3007,'Zoho Dump'!$N$8:$N$3007,$B222,'Zoho Dump'!$T$8:$T$3007,"Lost",'Zoho Dump'!$R$8:$R$3007,"&gt;="&amp;Settings!$B$4))</f>
        <v>0</v>
      </c>
      <c r="J222" s="9" t="str">
        <f aca="false">IF($B222="","",IF(COUNTIF(Dashboard!$C$13:$C$22,$B222)&gt;0,"Yes",""))</f>
        <v/>
      </c>
      <c r="K222" s="17" t="n">
        <f aca="false">IF($B222="",0,SUMIFS('Zoho Dump'!$X$8:$X$3007,'Zoho Dump'!$N$8:$N$3007,$B222,'Zoho Dump'!$P$8:$P$3007,Settings!$A$12)+SUMIFS(Adjustments!$K$8:$K$207,Adjustments!$B$8:$B$207,$B222,Adjustments!$A$8:$A$207,Settings!$A$12))</f>
        <v>0</v>
      </c>
      <c r="L222" s="17" t="n">
        <f aca="false">IF($B222="",0,SUMIFS('Zoho Dump'!$X$8:$X$3007,'Zoho Dump'!$N$8:$N$3007,$B222,'Zoho Dump'!$P$8:$P$3007,Settings!$A$13)+SUMIFS(Adjustments!$K$8:$K$207,Adjustments!$B$8:$B$207,$B222,Adjustments!$A$8:$A$207,Settings!$A$13))</f>
        <v>0</v>
      </c>
      <c r="M222" s="17" t="n">
        <f aca="false">IF($B222="",0,SUMIFS('Zoho Dump'!$X$8:$X$3007,'Zoho Dump'!$N$8:$N$3007,$B222,'Zoho Dump'!$P$8:$P$3007,Settings!$A$14)+SUMIFS(Adjustments!$K$8:$K$207,Adjustments!$B$8:$B$207,$B222,Adjustments!$A$8:$A$207,Settings!$A$14))</f>
        <v>0</v>
      </c>
      <c r="N222" s="17" t="n">
        <f aca="false">IF($B222="",0,SUMIFS('Zoho Dump'!$X$8:$X$3007,'Zoho Dump'!$N$8:$N$3007,$B222,'Zoho Dump'!$P$8:$P$3007,Settings!$A$15)+SUMIFS(Adjustments!$K$8:$K$207,Adjustments!$B$8:$B$207,$B222,Adjustments!$A$8:$A$207,Settings!$A$15))</f>
        <v>0</v>
      </c>
      <c r="O222" s="17" t="n">
        <f aca="false">IF($B222="",0,SUMIFS('Zoho Dump'!$X$8:$X$3007,'Zoho Dump'!$N$8:$N$3007,$B222,'Zoho Dump'!$P$8:$P$3007,Settings!$A$16)+SUMIFS(Adjustments!$K$8:$K$207,Adjustments!$B$8:$B$207,$B222,Adjustments!$A$8:$A$207,Settings!$A$16))</f>
        <v>0</v>
      </c>
      <c r="P222" s="17" t="n">
        <f aca="false">IF($B222="",0,SUMIFS('Zoho Dump'!$X$8:$X$3007,'Zoho Dump'!$N$8:$N$3007,$B222,'Zoho Dump'!$P$8:$P$3007,Settings!$A$17)+SUMIFS(Adjustments!$K$8:$K$207,Adjustments!$B$8:$B$207,$B222,Adjustments!$A$8:$A$207,Settings!$A$17))</f>
        <v>0</v>
      </c>
      <c r="Q222" s="17" t="n">
        <f aca="false">IF($B222="",0,SUMIFS('Zoho Dump'!$X$8:$X$3007,'Zoho Dump'!$N$8:$N$3007,$B222,'Zoho Dump'!$P$8:$P$3007,Settings!$A$18)+SUMIFS(Adjustments!$K$8:$K$207,Adjustments!$B$8:$B$207,$B222,Adjustments!$A$8:$A$207,Settings!$A$18))</f>
        <v>0</v>
      </c>
      <c r="R222" s="30" t="str">
        <f aca="false">IF(G222&gt;0,G222+A222/10000000,"")</f>
        <v/>
      </c>
    </row>
    <row r="223" customFormat="false" ht="15" hidden="false" customHeight="false" outlineLevel="0" collapsed="false">
      <c r="A223" s="9" t="n">
        <v>219</v>
      </c>
      <c r="B223" s="9" t="str">
        <f aca="false">IFERROR(INDEX('Zoho Dump'!$N$8:$N$3007,MATCH(A223,'Zoho Dump'!$AB$8:$AB$3007,0)),"")</f>
        <v/>
      </c>
      <c r="C223" s="17" t="n">
        <f aca="false">IF($B223="",0,SUMIFS('Zoho Dump'!$Q$8:$Q$3007,'Zoho Dump'!$N$8:$N$3007,$B223,'Zoho Dump'!$T$8:$T$3007,"Delivered",'Zoho Dump'!$R$8:$R$3007,"&gt;="&amp;Settings!$B$4))</f>
        <v>0</v>
      </c>
      <c r="D223" s="17" t="n">
        <f aca="false">IF($B223="",0,SUMIFS('Zoho Dump'!$X$8:$X$3007,'Zoho Dump'!$N$8:$N$3007,$B223,'Zoho Dump'!$T$8:$T$3007,"Backlog")+SUMIFS(Adjustments!$K$8:$K$207,Adjustments!$B$8:$B$207,$B223,Adjustments!$H$8:$H$207,"Backlog"))</f>
        <v>0</v>
      </c>
      <c r="E223" s="17" t="n">
        <f aca="false">IF($B223="",0,SUMIFS('Zoho Dump'!$Y$8:$Y$3007,'Zoho Dump'!$N$8:$N$3007,$B223,'Zoho Dump'!$T$8:$T$3007,"Pipeline")+SUMIFS(Adjustments!$L$8:$L$207,Adjustments!$B$8:$B$207,$B223,Adjustments!$H$8:$H$207,"Pipeline")+SUMIFS('Zoho Dump'!$Y$8:$Y$3007,'Zoho Dump'!$N$8:$N$3007,$B223,'Zoho Dump'!$T$8:$T$3007,"Overdue")+SUMIFS(Adjustments!$L$8:$L$207,Adjustments!$B$8:$B$207,$B223,Adjustments!$H$8:$H$207,"Overdue"))</f>
        <v>0</v>
      </c>
      <c r="F223" s="17" t="n">
        <f aca="false">IF($B223="",0,SUMIFS('Zoho Dump'!$X$8:$X$3007,'Zoho Dump'!$N$8:$N$3007,$B223,'Zoho Dump'!$T$8:$T$3007,"Pipeline")+SUMIFS(Adjustments!$K$8:$K$207,Adjustments!$B$8:$B$207,$B223,Adjustments!$H$8:$H$207,"Pipeline")+SUMIFS('Zoho Dump'!$X$8:$X$3007,'Zoho Dump'!$N$8:$N$3007,$B223,'Zoho Dump'!$T$8:$T$3007,"Overdue")+SUMIFS(Adjustments!$K$8:$K$207,Adjustments!$B$8:$B$207,$B223,Adjustments!$H$8:$H$207,"Overdue"))</f>
        <v>0</v>
      </c>
      <c r="G223" s="17" t="n">
        <f aca="false">D223+F223</f>
        <v>0</v>
      </c>
      <c r="H223" s="18" t="n">
        <f aca="false">IF(SUM($G$5:$G$404)=0,0,G223/SUM($G$5:$G$404))</f>
        <v>0</v>
      </c>
      <c r="I223" s="17" t="n">
        <f aca="false">IF($B223="",0,SUMIFS('Zoho Dump'!$Q$8:$Q$3007,'Zoho Dump'!$N$8:$N$3007,$B223,'Zoho Dump'!$T$8:$T$3007,"Lost",'Zoho Dump'!$R$8:$R$3007,"&gt;="&amp;Settings!$B$4))</f>
        <v>0</v>
      </c>
      <c r="J223" s="9" t="str">
        <f aca="false">IF($B223="","",IF(COUNTIF(Dashboard!$C$13:$C$22,$B223)&gt;0,"Yes",""))</f>
        <v/>
      </c>
      <c r="K223" s="17" t="n">
        <f aca="false">IF($B223="",0,SUMIFS('Zoho Dump'!$X$8:$X$3007,'Zoho Dump'!$N$8:$N$3007,$B223,'Zoho Dump'!$P$8:$P$3007,Settings!$A$12)+SUMIFS(Adjustments!$K$8:$K$207,Adjustments!$B$8:$B$207,$B223,Adjustments!$A$8:$A$207,Settings!$A$12))</f>
        <v>0</v>
      </c>
      <c r="L223" s="17" t="n">
        <f aca="false">IF($B223="",0,SUMIFS('Zoho Dump'!$X$8:$X$3007,'Zoho Dump'!$N$8:$N$3007,$B223,'Zoho Dump'!$P$8:$P$3007,Settings!$A$13)+SUMIFS(Adjustments!$K$8:$K$207,Adjustments!$B$8:$B$207,$B223,Adjustments!$A$8:$A$207,Settings!$A$13))</f>
        <v>0</v>
      </c>
      <c r="M223" s="17" t="n">
        <f aca="false">IF($B223="",0,SUMIFS('Zoho Dump'!$X$8:$X$3007,'Zoho Dump'!$N$8:$N$3007,$B223,'Zoho Dump'!$P$8:$P$3007,Settings!$A$14)+SUMIFS(Adjustments!$K$8:$K$207,Adjustments!$B$8:$B$207,$B223,Adjustments!$A$8:$A$207,Settings!$A$14))</f>
        <v>0</v>
      </c>
      <c r="N223" s="17" t="n">
        <f aca="false">IF($B223="",0,SUMIFS('Zoho Dump'!$X$8:$X$3007,'Zoho Dump'!$N$8:$N$3007,$B223,'Zoho Dump'!$P$8:$P$3007,Settings!$A$15)+SUMIFS(Adjustments!$K$8:$K$207,Adjustments!$B$8:$B$207,$B223,Adjustments!$A$8:$A$207,Settings!$A$15))</f>
        <v>0</v>
      </c>
      <c r="O223" s="17" t="n">
        <f aca="false">IF($B223="",0,SUMIFS('Zoho Dump'!$X$8:$X$3007,'Zoho Dump'!$N$8:$N$3007,$B223,'Zoho Dump'!$P$8:$P$3007,Settings!$A$16)+SUMIFS(Adjustments!$K$8:$K$207,Adjustments!$B$8:$B$207,$B223,Adjustments!$A$8:$A$207,Settings!$A$16))</f>
        <v>0</v>
      </c>
      <c r="P223" s="17" t="n">
        <f aca="false">IF($B223="",0,SUMIFS('Zoho Dump'!$X$8:$X$3007,'Zoho Dump'!$N$8:$N$3007,$B223,'Zoho Dump'!$P$8:$P$3007,Settings!$A$17)+SUMIFS(Adjustments!$K$8:$K$207,Adjustments!$B$8:$B$207,$B223,Adjustments!$A$8:$A$207,Settings!$A$17))</f>
        <v>0</v>
      </c>
      <c r="Q223" s="17" t="n">
        <f aca="false">IF($B223="",0,SUMIFS('Zoho Dump'!$X$8:$X$3007,'Zoho Dump'!$N$8:$N$3007,$B223,'Zoho Dump'!$P$8:$P$3007,Settings!$A$18)+SUMIFS(Adjustments!$K$8:$K$207,Adjustments!$B$8:$B$207,$B223,Adjustments!$A$8:$A$207,Settings!$A$18))</f>
        <v>0</v>
      </c>
      <c r="R223" s="30" t="str">
        <f aca="false">IF(G223&gt;0,G223+A223/10000000,"")</f>
        <v/>
      </c>
    </row>
    <row r="224" customFormat="false" ht="15" hidden="false" customHeight="false" outlineLevel="0" collapsed="false">
      <c r="A224" s="9" t="n">
        <v>220</v>
      </c>
      <c r="B224" s="9" t="str">
        <f aca="false">IFERROR(INDEX('Zoho Dump'!$N$8:$N$3007,MATCH(A224,'Zoho Dump'!$AB$8:$AB$3007,0)),"")</f>
        <v/>
      </c>
      <c r="C224" s="17" t="n">
        <f aca="false">IF($B224="",0,SUMIFS('Zoho Dump'!$Q$8:$Q$3007,'Zoho Dump'!$N$8:$N$3007,$B224,'Zoho Dump'!$T$8:$T$3007,"Delivered",'Zoho Dump'!$R$8:$R$3007,"&gt;="&amp;Settings!$B$4))</f>
        <v>0</v>
      </c>
      <c r="D224" s="17" t="n">
        <f aca="false">IF($B224="",0,SUMIFS('Zoho Dump'!$X$8:$X$3007,'Zoho Dump'!$N$8:$N$3007,$B224,'Zoho Dump'!$T$8:$T$3007,"Backlog")+SUMIFS(Adjustments!$K$8:$K$207,Adjustments!$B$8:$B$207,$B224,Adjustments!$H$8:$H$207,"Backlog"))</f>
        <v>0</v>
      </c>
      <c r="E224" s="17" t="n">
        <f aca="false">IF($B224="",0,SUMIFS('Zoho Dump'!$Y$8:$Y$3007,'Zoho Dump'!$N$8:$N$3007,$B224,'Zoho Dump'!$T$8:$T$3007,"Pipeline")+SUMIFS(Adjustments!$L$8:$L$207,Adjustments!$B$8:$B$207,$B224,Adjustments!$H$8:$H$207,"Pipeline")+SUMIFS('Zoho Dump'!$Y$8:$Y$3007,'Zoho Dump'!$N$8:$N$3007,$B224,'Zoho Dump'!$T$8:$T$3007,"Overdue")+SUMIFS(Adjustments!$L$8:$L$207,Adjustments!$B$8:$B$207,$B224,Adjustments!$H$8:$H$207,"Overdue"))</f>
        <v>0</v>
      </c>
      <c r="F224" s="17" t="n">
        <f aca="false">IF($B224="",0,SUMIFS('Zoho Dump'!$X$8:$X$3007,'Zoho Dump'!$N$8:$N$3007,$B224,'Zoho Dump'!$T$8:$T$3007,"Pipeline")+SUMIFS(Adjustments!$K$8:$K$207,Adjustments!$B$8:$B$207,$B224,Adjustments!$H$8:$H$207,"Pipeline")+SUMIFS('Zoho Dump'!$X$8:$X$3007,'Zoho Dump'!$N$8:$N$3007,$B224,'Zoho Dump'!$T$8:$T$3007,"Overdue")+SUMIFS(Adjustments!$K$8:$K$207,Adjustments!$B$8:$B$207,$B224,Adjustments!$H$8:$H$207,"Overdue"))</f>
        <v>0</v>
      </c>
      <c r="G224" s="17" t="n">
        <f aca="false">D224+F224</f>
        <v>0</v>
      </c>
      <c r="H224" s="18" t="n">
        <f aca="false">IF(SUM($G$5:$G$404)=0,0,G224/SUM($G$5:$G$404))</f>
        <v>0</v>
      </c>
      <c r="I224" s="17" t="n">
        <f aca="false">IF($B224="",0,SUMIFS('Zoho Dump'!$Q$8:$Q$3007,'Zoho Dump'!$N$8:$N$3007,$B224,'Zoho Dump'!$T$8:$T$3007,"Lost",'Zoho Dump'!$R$8:$R$3007,"&gt;="&amp;Settings!$B$4))</f>
        <v>0</v>
      </c>
      <c r="J224" s="9" t="str">
        <f aca="false">IF($B224="","",IF(COUNTIF(Dashboard!$C$13:$C$22,$B224)&gt;0,"Yes",""))</f>
        <v/>
      </c>
      <c r="K224" s="17" t="n">
        <f aca="false">IF($B224="",0,SUMIFS('Zoho Dump'!$X$8:$X$3007,'Zoho Dump'!$N$8:$N$3007,$B224,'Zoho Dump'!$P$8:$P$3007,Settings!$A$12)+SUMIFS(Adjustments!$K$8:$K$207,Adjustments!$B$8:$B$207,$B224,Adjustments!$A$8:$A$207,Settings!$A$12))</f>
        <v>0</v>
      </c>
      <c r="L224" s="17" t="n">
        <f aca="false">IF($B224="",0,SUMIFS('Zoho Dump'!$X$8:$X$3007,'Zoho Dump'!$N$8:$N$3007,$B224,'Zoho Dump'!$P$8:$P$3007,Settings!$A$13)+SUMIFS(Adjustments!$K$8:$K$207,Adjustments!$B$8:$B$207,$B224,Adjustments!$A$8:$A$207,Settings!$A$13))</f>
        <v>0</v>
      </c>
      <c r="M224" s="17" t="n">
        <f aca="false">IF($B224="",0,SUMIFS('Zoho Dump'!$X$8:$X$3007,'Zoho Dump'!$N$8:$N$3007,$B224,'Zoho Dump'!$P$8:$P$3007,Settings!$A$14)+SUMIFS(Adjustments!$K$8:$K$207,Adjustments!$B$8:$B$207,$B224,Adjustments!$A$8:$A$207,Settings!$A$14))</f>
        <v>0</v>
      </c>
      <c r="N224" s="17" t="n">
        <f aca="false">IF($B224="",0,SUMIFS('Zoho Dump'!$X$8:$X$3007,'Zoho Dump'!$N$8:$N$3007,$B224,'Zoho Dump'!$P$8:$P$3007,Settings!$A$15)+SUMIFS(Adjustments!$K$8:$K$207,Adjustments!$B$8:$B$207,$B224,Adjustments!$A$8:$A$207,Settings!$A$15))</f>
        <v>0</v>
      </c>
      <c r="O224" s="17" t="n">
        <f aca="false">IF($B224="",0,SUMIFS('Zoho Dump'!$X$8:$X$3007,'Zoho Dump'!$N$8:$N$3007,$B224,'Zoho Dump'!$P$8:$P$3007,Settings!$A$16)+SUMIFS(Adjustments!$K$8:$K$207,Adjustments!$B$8:$B$207,$B224,Adjustments!$A$8:$A$207,Settings!$A$16))</f>
        <v>0</v>
      </c>
      <c r="P224" s="17" t="n">
        <f aca="false">IF($B224="",0,SUMIFS('Zoho Dump'!$X$8:$X$3007,'Zoho Dump'!$N$8:$N$3007,$B224,'Zoho Dump'!$P$8:$P$3007,Settings!$A$17)+SUMIFS(Adjustments!$K$8:$K$207,Adjustments!$B$8:$B$207,$B224,Adjustments!$A$8:$A$207,Settings!$A$17))</f>
        <v>0</v>
      </c>
      <c r="Q224" s="17" t="n">
        <f aca="false">IF($B224="",0,SUMIFS('Zoho Dump'!$X$8:$X$3007,'Zoho Dump'!$N$8:$N$3007,$B224,'Zoho Dump'!$P$8:$P$3007,Settings!$A$18)+SUMIFS(Adjustments!$K$8:$K$207,Adjustments!$B$8:$B$207,$B224,Adjustments!$A$8:$A$207,Settings!$A$18))</f>
        <v>0</v>
      </c>
      <c r="R224" s="30" t="str">
        <f aca="false">IF(G224&gt;0,G224+A224/10000000,"")</f>
        <v/>
      </c>
    </row>
    <row r="225" customFormat="false" ht="15" hidden="false" customHeight="false" outlineLevel="0" collapsed="false">
      <c r="A225" s="9" t="n">
        <v>221</v>
      </c>
      <c r="B225" s="9" t="str">
        <f aca="false">IFERROR(INDEX('Zoho Dump'!$N$8:$N$3007,MATCH(A225,'Zoho Dump'!$AB$8:$AB$3007,0)),"")</f>
        <v/>
      </c>
      <c r="C225" s="17" t="n">
        <f aca="false">IF($B225="",0,SUMIFS('Zoho Dump'!$Q$8:$Q$3007,'Zoho Dump'!$N$8:$N$3007,$B225,'Zoho Dump'!$T$8:$T$3007,"Delivered",'Zoho Dump'!$R$8:$R$3007,"&gt;="&amp;Settings!$B$4))</f>
        <v>0</v>
      </c>
      <c r="D225" s="17" t="n">
        <f aca="false">IF($B225="",0,SUMIFS('Zoho Dump'!$X$8:$X$3007,'Zoho Dump'!$N$8:$N$3007,$B225,'Zoho Dump'!$T$8:$T$3007,"Backlog")+SUMIFS(Adjustments!$K$8:$K$207,Adjustments!$B$8:$B$207,$B225,Adjustments!$H$8:$H$207,"Backlog"))</f>
        <v>0</v>
      </c>
      <c r="E225" s="17" t="n">
        <f aca="false">IF($B225="",0,SUMIFS('Zoho Dump'!$Y$8:$Y$3007,'Zoho Dump'!$N$8:$N$3007,$B225,'Zoho Dump'!$T$8:$T$3007,"Pipeline")+SUMIFS(Adjustments!$L$8:$L$207,Adjustments!$B$8:$B$207,$B225,Adjustments!$H$8:$H$207,"Pipeline")+SUMIFS('Zoho Dump'!$Y$8:$Y$3007,'Zoho Dump'!$N$8:$N$3007,$B225,'Zoho Dump'!$T$8:$T$3007,"Overdue")+SUMIFS(Adjustments!$L$8:$L$207,Adjustments!$B$8:$B$207,$B225,Adjustments!$H$8:$H$207,"Overdue"))</f>
        <v>0</v>
      </c>
      <c r="F225" s="17" t="n">
        <f aca="false">IF($B225="",0,SUMIFS('Zoho Dump'!$X$8:$X$3007,'Zoho Dump'!$N$8:$N$3007,$B225,'Zoho Dump'!$T$8:$T$3007,"Pipeline")+SUMIFS(Adjustments!$K$8:$K$207,Adjustments!$B$8:$B$207,$B225,Adjustments!$H$8:$H$207,"Pipeline")+SUMIFS('Zoho Dump'!$X$8:$X$3007,'Zoho Dump'!$N$8:$N$3007,$B225,'Zoho Dump'!$T$8:$T$3007,"Overdue")+SUMIFS(Adjustments!$K$8:$K$207,Adjustments!$B$8:$B$207,$B225,Adjustments!$H$8:$H$207,"Overdue"))</f>
        <v>0</v>
      </c>
      <c r="G225" s="17" t="n">
        <f aca="false">D225+F225</f>
        <v>0</v>
      </c>
      <c r="H225" s="18" t="n">
        <f aca="false">IF(SUM($G$5:$G$404)=0,0,G225/SUM($G$5:$G$404))</f>
        <v>0</v>
      </c>
      <c r="I225" s="17" t="n">
        <f aca="false">IF($B225="",0,SUMIFS('Zoho Dump'!$Q$8:$Q$3007,'Zoho Dump'!$N$8:$N$3007,$B225,'Zoho Dump'!$T$8:$T$3007,"Lost",'Zoho Dump'!$R$8:$R$3007,"&gt;="&amp;Settings!$B$4))</f>
        <v>0</v>
      </c>
      <c r="J225" s="9" t="str">
        <f aca="false">IF($B225="","",IF(COUNTIF(Dashboard!$C$13:$C$22,$B225)&gt;0,"Yes",""))</f>
        <v/>
      </c>
      <c r="K225" s="17" t="n">
        <f aca="false">IF($B225="",0,SUMIFS('Zoho Dump'!$X$8:$X$3007,'Zoho Dump'!$N$8:$N$3007,$B225,'Zoho Dump'!$P$8:$P$3007,Settings!$A$12)+SUMIFS(Adjustments!$K$8:$K$207,Adjustments!$B$8:$B$207,$B225,Adjustments!$A$8:$A$207,Settings!$A$12))</f>
        <v>0</v>
      </c>
      <c r="L225" s="17" t="n">
        <f aca="false">IF($B225="",0,SUMIFS('Zoho Dump'!$X$8:$X$3007,'Zoho Dump'!$N$8:$N$3007,$B225,'Zoho Dump'!$P$8:$P$3007,Settings!$A$13)+SUMIFS(Adjustments!$K$8:$K$207,Adjustments!$B$8:$B$207,$B225,Adjustments!$A$8:$A$207,Settings!$A$13))</f>
        <v>0</v>
      </c>
      <c r="M225" s="17" t="n">
        <f aca="false">IF($B225="",0,SUMIFS('Zoho Dump'!$X$8:$X$3007,'Zoho Dump'!$N$8:$N$3007,$B225,'Zoho Dump'!$P$8:$P$3007,Settings!$A$14)+SUMIFS(Adjustments!$K$8:$K$207,Adjustments!$B$8:$B$207,$B225,Adjustments!$A$8:$A$207,Settings!$A$14))</f>
        <v>0</v>
      </c>
      <c r="N225" s="17" t="n">
        <f aca="false">IF($B225="",0,SUMIFS('Zoho Dump'!$X$8:$X$3007,'Zoho Dump'!$N$8:$N$3007,$B225,'Zoho Dump'!$P$8:$P$3007,Settings!$A$15)+SUMIFS(Adjustments!$K$8:$K$207,Adjustments!$B$8:$B$207,$B225,Adjustments!$A$8:$A$207,Settings!$A$15))</f>
        <v>0</v>
      </c>
      <c r="O225" s="17" t="n">
        <f aca="false">IF($B225="",0,SUMIFS('Zoho Dump'!$X$8:$X$3007,'Zoho Dump'!$N$8:$N$3007,$B225,'Zoho Dump'!$P$8:$P$3007,Settings!$A$16)+SUMIFS(Adjustments!$K$8:$K$207,Adjustments!$B$8:$B$207,$B225,Adjustments!$A$8:$A$207,Settings!$A$16))</f>
        <v>0</v>
      </c>
      <c r="P225" s="17" t="n">
        <f aca="false">IF($B225="",0,SUMIFS('Zoho Dump'!$X$8:$X$3007,'Zoho Dump'!$N$8:$N$3007,$B225,'Zoho Dump'!$P$8:$P$3007,Settings!$A$17)+SUMIFS(Adjustments!$K$8:$K$207,Adjustments!$B$8:$B$207,$B225,Adjustments!$A$8:$A$207,Settings!$A$17))</f>
        <v>0</v>
      </c>
      <c r="Q225" s="17" t="n">
        <f aca="false">IF($B225="",0,SUMIFS('Zoho Dump'!$X$8:$X$3007,'Zoho Dump'!$N$8:$N$3007,$B225,'Zoho Dump'!$P$8:$P$3007,Settings!$A$18)+SUMIFS(Adjustments!$K$8:$K$207,Adjustments!$B$8:$B$207,$B225,Adjustments!$A$8:$A$207,Settings!$A$18))</f>
        <v>0</v>
      </c>
      <c r="R225" s="30" t="str">
        <f aca="false">IF(G225&gt;0,G225+A225/10000000,"")</f>
        <v/>
      </c>
    </row>
    <row r="226" customFormat="false" ht="15" hidden="false" customHeight="false" outlineLevel="0" collapsed="false">
      <c r="A226" s="9" t="n">
        <v>222</v>
      </c>
      <c r="B226" s="9" t="str">
        <f aca="false">IFERROR(INDEX('Zoho Dump'!$N$8:$N$3007,MATCH(A226,'Zoho Dump'!$AB$8:$AB$3007,0)),"")</f>
        <v/>
      </c>
      <c r="C226" s="17" t="n">
        <f aca="false">IF($B226="",0,SUMIFS('Zoho Dump'!$Q$8:$Q$3007,'Zoho Dump'!$N$8:$N$3007,$B226,'Zoho Dump'!$T$8:$T$3007,"Delivered",'Zoho Dump'!$R$8:$R$3007,"&gt;="&amp;Settings!$B$4))</f>
        <v>0</v>
      </c>
      <c r="D226" s="17" t="n">
        <f aca="false">IF($B226="",0,SUMIFS('Zoho Dump'!$X$8:$X$3007,'Zoho Dump'!$N$8:$N$3007,$B226,'Zoho Dump'!$T$8:$T$3007,"Backlog")+SUMIFS(Adjustments!$K$8:$K$207,Adjustments!$B$8:$B$207,$B226,Adjustments!$H$8:$H$207,"Backlog"))</f>
        <v>0</v>
      </c>
      <c r="E226" s="17" t="n">
        <f aca="false">IF($B226="",0,SUMIFS('Zoho Dump'!$Y$8:$Y$3007,'Zoho Dump'!$N$8:$N$3007,$B226,'Zoho Dump'!$T$8:$T$3007,"Pipeline")+SUMIFS(Adjustments!$L$8:$L$207,Adjustments!$B$8:$B$207,$B226,Adjustments!$H$8:$H$207,"Pipeline")+SUMIFS('Zoho Dump'!$Y$8:$Y$3007,'Zoho Dump'!$N$8:$N$3007,$B226,'Zoho Dump'!$T$8:$T$3007,"Overdue")+SUMIFS(Adjustments!$L$8:$L$207,Adjustments!$B$8:$B$207,$B226,Adjustments!$H$8:$H$207,"Overdue"))</f>
        <v>0</v>
      </c>
      <c r="F226" s="17" t="n">
        <f aca="false">IF($B226="",0,SUMIFS('Zoho Dump'!$X$8:$X$3007,'Zoho Dump'!$N$8:$N$3007,$B226,'Zoho Dump'!$T$8:$T$3007,"Pipeline")+SUMIFS(Adjustments!$K$8:$K$207,Adjustments!$B$8:$B$207,$B226,Adjustments!$H$8:$H$207,"Pipeline")+SUMIFS('Zoho Dump'!$X$8:$X$3007,'Zoho Dump'!$N$8:$N$3007,$B226,'Zoho Dump'!$T$8:$T$3007,"Overdue")+SUMIFS(Adjustments!$K$8:$K$207,Adjustments!$B$8:$B$207,$B226,Adjustments!$H$8:$H$207,"Overdue"))</f>
        <v>0</v>
      </c>
      <c r="G226" s="17" t="n">
        <f aca="false">D226+F226</f>
        <v>0</v>
      </c>
      <c r="H226" s="18" t="n">
        <f aca="false">IF(SUM($G$5:$G$404)=0,0,G226/SUM($G$5:$G$404))</f>
        <v>0</v>
      </c>
      <c r="I226" s="17" t="n">
        <f aca="false">IF($B226="",0,SUMIFS('Zoho Dump'!$Q$8:$Q$3007,'Zoho Dump'!$N$8:$N$3007,$B226,'Zoho Dump'!$T$8:$T$3007,"Lost",'Zoho Dump'!$R$8:$R$3007,"&gt;="&amp;Settings!$B$4))</f>
        <v>0</v>
      </c>
      <c r="J226" s="9" t="str">
        <f aca="false">IF($B226="","",IF(COUNTIF(Dashboard!$C$13:$C$22,$B226)&gt;0,"Yes",""))</f>
        <v/>
      </c>
      <c r="K226" s="17" t="n">
        <f aca="false">IF($B226="",0,SUMIFS('Zoho Dump'!$X$8:$X$3007,'Zoho Dump'!$N$8:$N$3007,$B226,'Zoho Dump'!$P$8:$P$3007,Settings!$A$12)+SUMIFS(Adjustments!$K$8:$K$207,Adjustments!$B$8:$B$207,$B226,Adjustments!$A$8:$A$207,Settings!$A$12))</f>
        <v>0</v>
      </c>
      <c r="L226" s="17" t="n">
        <f aca="false">IF($B226="",0,SUMIFS('Zoho Dump'!$X$8:$X$3007,'Zoho Dump'!$N$8:$N$3007,$B226,'Zoho Dump'!$P$8:$P$3007,Settings!$A$13)+SUMIFS(Adjustments!$K$8:$K$207,Adjustments!$B$8:$B$207,$B226,Adjustments!$A$8:$A$207,Settings!$A$13))</f>
        <v>0</v>
      </c>
      <c r="M226" s="17" t="n">
        <f aca="false">IF($B226="",0,SUMIFS('Zoho Dump'!$X$8:$X$3007,'Zoho Dump'!$N$8:$N$3007,$B226,'Zoho Dump'!$P$8:$P$3007,Settings!$A$14)+SUMIFS(Adjustments!$K$8:$K$207,Adjustments!$B$8:$B$207,$B226,Adjustments!$A$8:$A$207,Settings!$A$14))</f>
        <v>0</v>
      </c>
      <c r="N226" s="17" t="n">
        <f aca="false">IF($B226="",0,SUMIFS('Zoho Dump'!$X$8:$X$3007,'Zoho Dump'!$N$8:$N$3007,$B226,'Zoho Dump'!$P$8:$P$3007,Settings!$A$15)+SUMIFS(Adjustments!$K$8:$K$207,Adjustments!$B$8:$B$207,$B226,Adjustments!$A$8:$A$207,Settings!$A$15))</f>
        <v>0</v>
      </c>
      <c r="O226" s="17" t="n">
        <f aca="false">IF($B226="",0,SUMIFS('Zoho Dump'!$X$8:$X$3007,'Zoho Dump'!$N$8:$N$3007,$B226,'Zoho Dump'!$P$8:$P$3007,Settings!$A$16)+SUMIFS(Adjustments!$K$8:$K$207,Adjustments!$B$8:$B$207,$B226,Adjustments!$A$8:$A$207,Settings!$A$16))</f>
        <v>0</v>
      </c>
      <c r="P226" s="17" t="n">
        <f aca="false">IF($B226="",0,SUMIFS('Zoho Dump'!$X$8:$X$3007,'Zoho Dump'!$N$8:$N$3007,$B226,'Zoho Dump'!$P$8:$P$3007,Settings!$A$17)+SUMIFS(Adjustments!$K$8:$K$207,Adjustments!$B$8:$B$207,$B226,Adjustments!$A$8:$A$207,Settings!$A$17))</f>
        <v>0</v>
      </c>
      <c r="Q226" s="17" t="n">
        <f aca="false">IF($B226="",0,SUMIFS('Zoho Dump'!$X$8:$X$3007,'Zoho Dump'!$N$8:$N$3007,$B226,'Zoho Dump'!$P$8:$P$3007,Settings!$A$18)+SUMIFS(Adjustments!$K$8:$K$207,Adjustments!$B$8:$B$207,$B226,Adjustments!$A$8:$A$207,Settings!$A$18))</f>
        <v>0</v>
      </c>
      <c r="R226" s="30" t="str">
        <f aca="false">IF(G226&gt;0,G226+A226/10000000,"")</f>
        <v/>
      </c>
    </row>
    <row r="227" customFormat="false" ht="15" hidden="false" customHeight="false" outlineLevel="0" collapsed="false">
      <c r="A227" s="9" t="n">
        <v>223</v>
      </c>
      <c r="B227" s="9" t="str">
        <f aca="false">IFERROR(INDEX('Zoho Dump'!$N$8:$N$3007,MATCH(A227,'Zoho Dump'!$AB$8:$AB$3007,0)),"")</f>
        <v/>
      </c>
      <c r="C227" s="17" t="n">
        <f aca="false">IF($B227="",0,SUMIFS('Zoho Dump'!$Q$8:$Q$3007,'Zoho Dump'!$N$8:$N$3007,$B227,'Zoho Dump'!$T$8:$T$3007,"Delivered",'Zoho Dump'!$R$8:$R$3007,"&gt;="&amp;Settings!$B$4))</f>
        <v>0</v>
      </c>
      <c r="D227" s="17" t="n">
        <f aca="false">IF($B227="",0,SUMIFS('Zoho Dump'!$X$8:$X$3007,'Zoho Dump'!$N$8:$N$3007,$B227,'Zoho Dump'!$T$8:$T$3007,"Backlog")+SUMIFS(Adjustments!$K$8:$K$207,Adjustments!$B$8:$B$207,$B227,Adjustments!$H$8:$H$207,"Backlog"))</f>
        <v>0</v>
      </c>
      <c r="E227" s="17" t="n">
        <f aca="false">IF($B227="",0,SUMIFS('Zoho Dump'!$Y$8:$Y$3007,'Zoho Dump'!$N$8:$N$3007,$B227,'Zoho Dump'!$T$8:$T$3007,"Pipeline")+SUMIFS(Adjustments!$L$8:$L$207,Adjustments!$B$8:$B$207,$B227,Adjustments!$H$8:$H$207,"Pipeline")+SUMIFS('Zoho Dump'!$Y$8:$Y$3007,'Zoho Dump'!$N$8:$N$3007,$B227,'Zoho Dump'!$T$8:$T$3007,"Overdue")+SUMIFS(Adjustments!$L$8:$L$207,Adjustments!$B$8:$B$207,$B227,Adjustments!$H$8:$H$207,"Overdue"))</f>
        <v>0</v>
      </c>
      <c r="F227" s="17" t="n">
        <f aca="false">IF($B227="",0,SUMIFS('Zoho Dump'!$X$8:$X$3007,'Zoho Dump'!$N$8:$N$3007,$B227,'Zoho Dump'!$T$8:$T$3007,"Pipeline")+SUMIFS(Adjustments!$K$8:$K$207,Adjustments!$B$8:$B$207,$B227,Adjustments!$H$8:$H$207,"Pipeline")+SUMIFS('Zoho Dump'!$X$8:$X$3007,'Zoho Dump'!$N$8:$N$3007,$B227,'Zoho Dump'!$T$8:$T$3007,"Overdue")+SUMIFS(Adjustments!$K$8:$K$207,Adjustments!$B$8:$B$207,$B227,Adjustments!$H$8:$H$207,"Overdue"))</f>
        <v>0</v>
      </c>
      <c r="G227" s="17" t="n">
        <f aca="false">D227+F227</f>
        <v>0</v>
      </c>
      <c r="H227" s="18" t="n">
        <f aca="false">IF(SUM($G$5:$G$404)=0,0,G227/SUM($G$5:$G$404))</f>
        <v>0</v>
      </c>
      <c r="I227" s="17" t="n">
        <f aca="false">IF($B227="",0,SUMIFS('Zoho Dump'!$Q$8:$Q$3007,'Zoho Dump'!$N$8:$N$3007,$B227,'Zoho Dump'!$T$8:$T$3007,"Lost",'Zoho Dump'!$R$8:$R$3007,"&gt;="&amp;Settings!$B$4))</f>
        <v>0</v>
      </c>
      <c r="J227" s="9" t="str">
        <f aca="false">IF($B227="","",IF(COUNTIF(Dashboard!$C$13:$C$22,$B227)&gt;0,"Yes",""))</f>
        <v/>
      </c>
      <c r="K227" s="17" t="n">
        <f aca="false">IF($B227="",0,SUMIFS('Zoho Dump'!$X$8:$X$3007,'Zoho Dump'!$N$8:$N$3007,$B227,'Zoho Dump'!$P$8:$P$3007,Settings!$A$12)+SUMIFS(Adjustments!$K$8:$K$207,Adjustments!$B$8:$B$207,$B227,Adjustments!$A$8:$A$207,Settings!$A$12))</f>
        <v>0</v>
      </c>
      <c r="L227" s="17" t="n">
        <f aca="false">IF($B227="",0,SUMIFS('Zoho Dump'!$X$8:$X$3007,'Zoho Dump'!$N$8:$N$3007,$B227,'Zoho Dump'!$P$8:$P$3007,Settings!$A$13)+SUMIFS(Adjustments!$K$8:$K$207,Adjustments!$B$8:$B$207,$B227,Adjustments!$A$8:$A$207,Settings!$A$13))</f>
        <v>0</v>
      </c>
      <c r="M227" s="17" t="n">
        <f aca="false">IF($B227="",0,SUMIFS('Zoho Dump'!$X$8:$X$3007,'Zoho Dump'!$N$8:$N$3007,$B227,'Zoho Dump'!$P$8:$P$3007,Settings!$A$14)+SUMIFS(Adjustments!$K$8:$K$207,Adjustments!$B$8:$B$207,$B227,Adjustments!$A$8:$A$207,Settings!$A$14))</f>
        <v>0</v>
      </c>
      <c r="N227" s="17" t="n">
        <f aca="false">IF($B227="",0,SUMIFS('Zoho Dump'!$X$8:$X$3007,'Zoho Dump'!$N$8:$N$3007,$B227,'Zoho Dump'!$P$8:$P$3007,Settings!$A$15)+SUMIFS(Adjustments!$K$8:$K$207,Adjustments!$B$8:$B$207,$B227,Adjustments!$A$8:$A$207,Settings!$A$15))</f>
        <v>0</v>
      </c>
      <c r="O227" s="17" t="n">
        <f aca="false">IF($B227="",0,SUMIFS('Zoho Dump'!$X$8:$X$3007,'Zoho Dump'!$N$8:$N$3007,$B227,'Zoho Dump'!$P$8:$P$3007,Settings!$A$16)+SUMIFS(Adjustments!$K$8:$K$207,Adjustments!$B$8:$B$207,$B227,Adjustments!$A$8:$A$207,Settings!$A$16))</f>
        <v>0</v>
      </c>
      <c r="P227" s="17" t="n">
        <f aca="false">IF($B227="",0,SUMIFS('Zoho Dump'!$X$8:$X$3007,'Zoho Dump'!$N$8:$N$3007,$B227,'Zoho Dump'!$P$8:$P$3007,Settings!$A$17)+SUMIFS(Adjustments!$K$8:$K$207,Adjustments!$B$8:$B$207,$B227,Adjustments!$A$8:$A$207,Settings!$A$17))</f>
        <v>0</v>
      </c>
      <c r="Q227" s="17" t="n">
        <f aca="false">IF($B227="",0,SUMIFS('Zoho Dump'!$X$8:$X$3007,'Zoho Dump'!$N$8:$N$3007,$B227,'Zoho Dump'!$P$8:$P$3007,Settings!$A$18)+SUMIFS(Adjustments!$K$8:$K$207,Adjustments!$B$8:$B$207,$B227,Adjustments!$A$8:$A$207,Settings!$A$18))</f>
        <v>0</v>
      </c>
      <c r="R227" s="30" t="str">
        <f aca="false">IF(G227&gt;0,G227+A227/10000000,"")</f>
        <v/>
      </c>
    </row>
    <row r="228" customFormat="false" ht="15" hidden="false" customHeight="false" outlineLevel="0" collapsed="false">
      <c r="A228" s="9" t="n">
        <v>224</v>
      </c>
      <c r="B228" s="9" t="str">
        <f aca="false">IFERROR(INDEX('Zoho Dump'!$N$8:$N$3007,MATCH(A228,'Zoho Dump'!$AB$8:$AB$3007,0)),"")</f>
        <v/>
      </c>
      <c r="C228" s="17" t="n">
        <f aca="false">IF($B228="",0,SUMIFS('Zoho Dump'!$Q$8:$Q$3007,'Zoho Dump'!$N$8:$N$3007,$B228,'Zoho Dump'!$T$8:$T$3007,"Delivered",'Zoho Dump'!$R$8:$R$3007,"&gt;="&amp;Settings!$B$4))</f>
        <v>0</v>
      </c>
      <c r="D228" s="17" t="n">
        <f aca="false">IF($B228="",0,SUMIFS('Zoho Dump'!$X$8:$X$3007,'Zoho Dump'!$N$8:$N$3007,$B228,'Zoho Dump'!$T$8:$T$3007,"Backlog")+SUMIFS(Adjustments!$K$8:$K$207,Adjustments!$B$8:$B$207,$B228,Adjustments!$H$8:$H$207,"Backlog"))</f>
        <v>0</v>
      </c>
      <c r="E228" s="17" t="n">
        <f aca="false">IF($B228="",0,SUMIFS('Zoho Dump'!$Y$8:$Y$3007,'Zoho Dump'!$N$8:$N$3007,$B228,'Zoho Dump'!$T$8:$T$3007,"Pipeline")+SUMIFS(Adjustments!$L$8:$L$207,Adjustments!$B$8:$B$207,$B228,Adjustments!$H$8:$H$207,"Pipeline")+SUMIFS('Zoho Dump'!$Y$8:$Y$3007,'Zoho Dump'!$N$8:$N$3007,$B228,'Zoho Dump'!$T$8:$T$3007,"Overdue")+SUMIFS(Adjustments!$L$8:$L$207,Adjustments!$B$8:$B$207,$B228,Adjustments!$H$8:$H$207,"Overdue"))</f>
        <v>0</v>
      </c>
      <c r="F228" s="17" t="n">
        <f aca="false">IF($B228="",0,SUMIFS('Zoho Dump'!$X$8:$X$3007,'Zoho Dump'!$N$8:$N$3007,$B228,'Zoho Dump'!$T$8:$T$3007,"Pipeline")+SUMIFS(Adjustments!$K$8:$K$207,Adjustments!$B$8:$B$207,$B228,Adjustments!$H$8:$H$207,"Pipeline")+SUMIFS('Zoho Dump'!$X$8:$X$3007,'Zoho Dump'!$N$8:$N$3007,$B228,'Zoho Dump'!$T$8:$T$3007,"Overdue")+SUMIFS(Adjustments!$K$8:$K$207,Adjustments!$B$8:$B$207,$B228,Adjustments!$H$8:$H$207,"Overdue"))</f>
        <v>0</v>
      </c>
      <c r="G228" s="17" t="n">
        <f aca="false">D228+F228</f>
        <v>0</v>
      </c>
      <c r="H228" s="18" t="n">
        <f aca="false">IF(SUM($G$5:$G$404)=0,0,G228/SUM($G$5:$G$404))</f>
        <v>0</v>
      </c>
      <c r="I228" s="17" t="n">
        <f aca="false">IF($B228="",0,SUMIFS('Zoho Dump'!$Q$8:$Q$3007,'Zoho Dump'!$N$8:$N$3007,$B228,'Zoho Dump'!$T$8:$T$3007,"Lost",'Zoho Dump'!$R$8:$R$3007,"&gt;="&amp;Settings!$B$4))</f>
        <v>0</v>
      </c>
      <c r="J228" s="9" t="str">
        <f aca="false">IF($B228="","",IF(COUNTIF(Dashboard!$C$13:$C$22,$B228)&gt;0,"Yes",""))</f>
        <v/>
      </c>
      <c r="K228" s="17" t="n">
        <f aca="false">IF($B228="",0,SUMIFS('Zoho Dump'!$X$8:$X$3007,'Zoho Dump'!$N$8:$N$3007,$B228,'Zoho Dump'!$P$8:$P$3007,Settings!$A$12)+SUMIFS(Adjustments!$K$8:$K$207,Adjustments!$B$8:$B$207,$B228,Adjustments!$A$8:$A$207,Settings!$A$12))</f>
        <v>0</v>
      </c>
      <c r="L228" s="17" t="n">
        <f aca="false">IF($B228="",0,SUMIFS('Zoho Dump'!$X$8:$X$3007,'Zoho Dump'!$N$8:$N$3007,$B228,'Zoho Dump'!$P$8:$P$3007,Settings!$A$13)+SUMIFS(Adjustments!$K$8:$K$207,Adjustments!$B$8:$B$207,$B228,Adjustments!$A$8:$A$207,Settings!$A$13))</f>
        <v>0</v>
      </c>
      <c r="M228" s="17" t="n">
        <f aca="false">IF($B228="",0,SUMIFS('Zoho Dump'!$X$8:$X$3007,'Zoho Dump'!$N$8:$N$3007,$B228,'Zoho Dump'!$P$8:$P$3007,Settings!$A$14)+SUMIFS(Adjustments!$K$8:$K$207,Adjustments!$B$8:$B$207,$B228,Adjustments!$A$8:$A$207,Settings!$A$14))</f>
        <v>0</v>
      </c>
      <c r="N228" s="17" t="n">
        <f aca="false">IF($B228="",0,SUMIFS('Zoho Dump'!$X$8:$X$3007,'Zoho Dump'!$N$8:$N$3007,$B228,'Zoho Dump'!$P$8:$P$3007,Settings!$A$15)+SUMIFS(Adjustments!$K$8:$K$207,Adjustments!$B$8:$B$207,$B228,Adjustments!$A$8:$A$207,Settings!$A$15))</f>
        <v>0</v>
      </c>
      <c r="O228" s="17" t="n">
        <f aca="false">IF($B228="",0,SUMIFS('Zoho Dump'!$X$8:$X$3007,'Zoho Dump'!$N$8:$N$3007,$B228,'Zoho Dump'!$P$8:$P$3007,Settings!$A$16)+SUMIFS(Adjustments!$K$8:$K$207,Adjustments!$B$8:$B$207,$B228,Adjustments!$A$8:$A$207,Settings!$A$16))</f>
        <v>0</v>
      </c>
      <c r="P228" s="17" t="n">
        <f aca="false">IF($B228="",0,SUMIFS('Zoho Dump'!$X$8:$X$3007,'Zoho Dump'!$N$8:$N$3007,$B228,'Zoho Dump'!$P$8:$P$3007,Settings!$A$17)+SUMIFS(Adjustments!$K$8:$K$207,Adjustments!$B$8:$B$207,$B228,Adjustments!$A$8:$A$207,Settings!$A$17))</f>
        <v>0</v>
      </c>
      <c r="Q228" s="17" t="n">
        <f aca="false">IF($B228="",0,SUMIFS('Zoho Dump'!$X$8:$X$3007,'Zoho Dump'!$N$8:$N$3007,$B228,'Zoho Dump'!$P$8:$P$3007,Settings!$A$18)+SUMIFS(Adjustments!$K$8:$K$207,Adjustments!$B$8:$B$207,$B228,Adjustments!$A$8:$A$207,Settings!$A$18))</f>
        <v>0</v>
      </c>
      <c r="R228" s="30" t="str">
        <f aca="false">IF(G228&gt;0,G228+A228/10000000,"")</f>
        <v/>
      </c>
    </row>
    <row r="229" customFormat="false" ht="15" hidden="false" customHeight="false" outlineLevel="0" collapsed="false">
      <c r="A229" s="9" t="n">
        <v>225</v>
      </c>
      <c r="B229" s="9" t="str">
        <f aca="false">IFERROR(INDEX('Zoho Dump'!$N$8:$N$3007,MATCH(A229,'Zoho Dump'!$AB$8:$AB$3007,0)),"")</f>
        <v/>
      </c>
      <c r="C229" s="17" t="n">
        <f aca="false">IF($B229="",0,SUMIFS('Zoho Dump'!$Q$8:$Q$3007,'Zoho Dump'!$N$8:$N$3007,$B229,'Zoho Dump'!$T$8:$T$3007,"Delivered",'Zoho Dump'!$R$8:$R$3007,"&gt;="&amp;Settings!$B$4))</f>
        <v>0</v>
      </c>
      <c r="D229" s="17" t="n">
        <f aca="false">IF($B229="",0,SUMIFS('Zoho Dump'!$X$8:$X$3007,'Zoho Dump'!$N$8:$N$3007,$B229,'Zoho Dump'!$T$8:$T$3007,"Backlog")+SUMIFS(Adjustments!$K$8:$K$207,Adjustments!$B$8:$B$207,$B229,Adjustments!$H$8:$H$207,"Backlog"))</f>
        <v>0</v>
      </c>
      <c r="E229" s="17" t="n">
        <f aca="false">IF($B229="",0,SUMIFS('Zoho Dump'!$Y$8:$Y$3007,'Zoho Dump'!$N$8:$N$3007,$B229,'Zoho Dump'!$T$8:$T$3007,"Pipeline")+SUMIFS(Adjustments!$L$8:$L$207,Adjustments!$B$8:$B$207,$B229,Adjustments!$H$8:$H$207,"Pipeline")+SUMIFS('Zoho Dump'!$Y$8:$Y$3007,'Zoho Dump'!$N$8:$N$3007,$B229,'Zoho Dump'!$T$8:$T$3007,"Overdue")+SUMIFS(Adjustments!$L$8:$L$207,Adjustments!$B$8:$B$207,$B229,Adjustments!$H$8:$H$207,"Overdue"))</f>
        <v>0</v>
      </c>
      <c r="F229" s="17" t="n">
        <f aca="false">IF($B229="",0,SUMIFS('Zoho Dump'!$X$8:$X$3007,'Zoho Dump'!$N$8:$N$3007,$B229,'Zoho Dump'!$T$8:$T$3007,"Pipeline")+SUMIFS(Adjustments!$K$8:$K$207,Adjustments!$B$8:$B$207,$B229,Adjustments!$H$8:$H$207,"Pipeline")+SUMIFS('Zoho Dump'!$X$8:$X$3007,'Zoho Dump'!$N$8:$N$3007,$B229,'Zoho Dump'!$T$8:$T$3007,"Overdue")+SUMIFS(Adjustments!$K$8:$K$207,Adjustments!$B$8:$B$207,$B229,Adjustments!$H$8:$H$207,"Overdue"))</f>
        <v>0</v>
      </c>
      <c r="G229" s="17" t="n">
        <f aca="false">D229+F229</f>
        <v>0</v>
      </c>
      <c r="H229" s="18" t="n">
        <f aca="false">IF(SUM($G$5:$G$404)=0,0,G229/SUM($G$5:$G$404))</f>
        <v>0</v>
      </c>
      <c r="I229" s="17" t="n">
        <f aca="false">IF($B229="",0,SUMIFS('Zoho Dump'!$Q$8:$Q$3007,'Zoho Dump'!$N$8:$N$3007,$B229,'Zoho Dump'!$T$8:$T$3007,"Lost",'Zoho Dump'!$R$8:$R$3007,"&gt;="&amp;Settings!$B$4))</f>
        <v>0</v>
      </c>
      <c r="J229" s="9" t="str">
        <f aca="false">IF($B229="","",IF(COUNTIF(Dashboard!$C$13:$C$22,$B229)&gt;0,"Yes",""))</f>
        <v/>
      </c>
      <c r="K229" s="17" t="n">
        <f aca="false">IF($B229="",0,SUMIFS('Zoho Dump'!$X$8:$X$3007,'Zoho Dump'!$N$8:$N$3007,$B229,'Zoho Dump'!$P$8:$P$3007,Settings!$A$12)+SUMIFS(Adjustments!$K$8:$K$207,Adjustments!$B$8:$B$207,$B229,Adjustments!$A$8:$A$207,Settings!$A$12))</f>
        <v>0</v>
      </c>
      <c r="L229" s="17" t="n">
        <f aca="false">IF($B229="",0,SUMIFS('Zoho Dump'!$X$8:$X$3007,'Zoho Dump'!$N$8:$N$3007,$B229,'Zoho Dump'!$P$8:$P$3007,Settings!$A$13)+SUMIFS(Adjustments!$K$8:$K$207,Adjustments!$B$8:$B$207,$B229,Adjustments!$A$8:$A$207,Settings!$A$13))</f>
        <v>0</v>
      </c>
      <c r="M229" s="17" t="n">
        <f aca="false">IF($B229="",0,SUMIFS('Zoho Dump'!$X$8:$X$3007,'Zoho Dump'!$N$8:$N$3007,$B229,'Zoho Dump'!$P$8:$P$3007,Settings!$A$14)+SUMIFS(Adjustments!$K$8:$K$207,Adjustments!$B$8:$B$207,$B229,Adjustments!$A$8:$A$207,Settings!$A$14))</f>
        <v>0</v>
      </c>
      <c r="N229" s="17" t="n">
        <f aca="false">IF($B229="",0,SUMIFS('Zoho Dump'!$X$8:$X$3007,'Zoho Dump'!$N$8:$N$3007,$B229,'Zoho Dump'!$P$8:$P$3007,Settings!$A$15)+SUMIFS(Adjustments!$K$8:$K$207,Adjustments!$B$8:$B$207,$B229,Adjustments!$A$8:$A$207,Settings!$A$15))</f>
        <v>0</v>
      </c>
      <c r="O229" s="17" t="n">
        <f aca="false">IF($B229="",0,SUMIFS('Zoho Dump'!$X$8:$X$3007,'Zoho Dump'!$N$8:$N$3007,$B229,'Zoho Dump'!$P$8:$P$3007,Settings!$A$16)+SUMIFS(Adjustments!$K$8:$K$207,Adjustments!$B$8:$B$207,$B229,Adjustments!$A$8:$A$207,Settings!$A$16))</f>
        <v>0</v>
      </c>
      <c r="P229" s="17" t="n">
        <f aca="false">IF($B229="",0,SUMIFS('Zoho Dump'!$X$8:$X$3007,'Zoho Dump'!$N$8:$N$3007,$B229,'Zoho Dump'!$P$8:$P$3007,Settings!$A$17)+SUMIFS(Adjustments!$K$8:$K$207,Adjustments!$B$8:$B$207,$B229,Adjustments!$A$8:$A$207,Settings!$A$17))</f>
        <v>0</v>
      </c>
      <c r="Q229" s="17" t="n">
        <f aca="false">IF($B229="",0,SUMIFS('Zoho Dump'!$X$8:$X$3007,'Zoho Dump'!$N$8:$N$3007,$B229,'Zoho Dump'!$P$8:$P$3007,Settings!$A$18)+SUMIFS(Adjustments!$K$8:$K$207,Adjustments!$B$8:$B$207,$B229,Adjustments!$A$8:$A$207,Settings!$A$18))</f>
        <v>0</v>
      </c>
      <c r="R229" s="30" t="str">
        <f aca="false">IF(G229&gt;0,G229+A229/10000000,"")</f>
        <v/>
      </c>
    </row>
    <row r="230" customFormat="false" ht="15" hidden="false" customHeight="false" outlineLevel="0" collapsed="false">
      <c r="A230" s="9" t="n">
        <v>226</v>
      </c>
      <c r="B230" s="9" t="str">
        <f aca="false">IFERROR(INDEX('Zoho Dump'!$N$8:$N$3007,MATCH(A230,'Zoho Dump'!$AB$8:$AB$3007,0)),"")</f>
        <v/>
      </c>
      <c r="C230" s="17" t="n">
        <f aca="false">IF($B230="",0,SUMIFS('Zoho Dump'!$Q$8:$Q$3007,'Zoho Dump'!$N$8:$N$3007,$B230,'Zoho Dump'!$T$8:$T$3007,"Delivered",'Zoho Dump'!$R$8:$R$3007,"&gt;="&amp;Settings!$B$4))</f>
        <v>0</v>
      </c>
      <c r="D230" s="17" t="n">
        <f aca="false">IF($B230="",0,SUMIFS('Zoho Dump'!$X$8:$X$3007,'Zoho Dump'!$N$8:$N$3007,$B230,'Zoho Dump'!$T$8:$T$3007,"Backlog")+SUMIFS(Adjustments!$K$8:$K$207,Adjustments!$B$8:$B$207,$B230,Adjustments!$H$8:$H$207,"Backlog"))</f>
        <v>0</v>
      </c>
      <c r="E230" s="17" t="n">
        <f aca="false">IF($B230="",0,SUMIFS('Zoho Dump'!$Y$8:$Y$3007,'Zoho Dump'!$N$8:$N$3007,$B230,'Zoho Dump'!$T$8:$T$3007,"Pipeline")+SUMIFS(Adjustments!$L$8:$L$207,Adjustments!$B$8:$B$207,$B230,Adjustments!$H$8:$H$207,"Pipeline")+SUMIFS('Zoho Dump'!$Y$8:$Y$3007,'Zoho Dump'!$N$8:$N$3007,$B230,'Zoho Dump'!$T$8:$T$3007,"Overdue")+SUMIFS(Adjustments!$L$8:$L$207,Adjustments!$B$8:$B$207,$B230,Adjustments!$H$8:$H$207,"Overdue"))</f>
        <v>0</v>
      </c>
      <c r="F230" s="17" t="n">
        <f aca="false">IF($B230="",0,SUMIFS('Zoho Dump'!$X$8:$X$3007,'Zoho Dump'!$N$8:$N$3007,$B230,'Zoho Dump'!$T$8:$T$3007,"Pipeline")+SUMIFS(Adjustments!$K$8:$K$207,Adjustments!$B$8:$B$207,$B230,Adjustments!$H$8:$H$207,"Pipeline")+SUMIFS('Zoho Dump'!$X$8:$X$3007,'Zoho Dump'!$N$8:$N$3007,$B230,'Zoho Dump'!$T$8:$T$3007,"Overdue")+SUMIFS(Adjustments!$K$8:$K$207,Adjustments!$B$8:$B$207,$B230,Adjustments!$H$8:$H$207,"Overdue"))</f>
        <v>0</v>
      </c>
      <c r="G230" s="17" t="n">
        <f aca="false">D230+F230</f>
        <v>0</v>
      </c>
      <c r="H230" s="18" t="n">
        <f aca="false">IF(SUM($G$5:$G$404)=0,0,G230/SUM($G$5:$G$404))</f>
        <v>0</v>
      </c>
      <c r="I230" s="17" t="n">
        <f aca="false">IF($B230="",0,SUMIFS('Zoho Dump'!$Q$8:$Q$3007,'Zoho Dump'!$N$8:$N$3007,$B230,'Zoho Dump'!$T$8:$T$3007,"Lost",'Zoho Dump'!$R$8:$R$3007,"&gt;="&amp;Settings!$B$4))</f>
        <v>0</v>
      </c>
      <c r="J230" s="9" t="str">
        <f aca="false">IF($B230="","",IF(COUNTIF(Dashboard!$C$13:$C$22,$B230)&gt;0,"Yes",""))</f>
        <v/>
      </c>
      <c r="K230" s="17" t="n">
        <f aca="false">IF($B230="",0,SUMIFS('Zoho Dump'!$X$8:$X$3007,'Zoho Dump'!$N$8:$N$3007,$B230,'Zoho Dump'!$P$8:$P$3007,Settings!$A$12)+SUMIFS(Adjustments!$K$8:$K$207,Adjustments!$B$8:$B$207,$B230,Adjustments!$A$8:$A$207,Settings!$A$12))</f>
        <v>0</v>
      </c>
      <c r="L230" s="17" t="n">
        <f aca="false">IF($B230="",0,SUMIFS('Zoho Dump'!$X$8:$X$3007,'Zoho Dump'!$N$8:$N$3007,$B230,'Zoho Dump'!$P$8:$P$3007,Settings!$A$13)+SUMIFS(Adjustments!$K$8:$K$207,Adjustments!$B$8:$B$207,$B230,Adjustments!$A$8:$A$207,Settings!$A$13))</f>
        <v>0</v>
      </c>
      <c r="M230" s="17" t="n">
        <f aca="false">IF($B230="",0,SUMIFS('Zoho Dump'!$X$8:$X$3007,'Zoho Dump'!$N$8:$N$3007,$B230,'Zoho Dump'!$P$8:$P$3007,Settings!$A$14)+SUMIFS(Adjustments!$K$8:$K$207,Adjustments!$B$8:$B$207,$B230,Adjustments!$A$8:$A$207,Settings!$A$14))</f>
        <v>0</v>
      </c>
      <c r="N230" s="17" t="n">
        <f aca="false">IF($B230="",0,SUMIFS('Zoho Dump'!$X$8:$X$3007,'Zoho Dump'!$N$8:$N$3007,$B230,'Zoho Dump'!$P$8:$P$3007,Settings!$A$15)+SUMIFS(Adjustments!$K$8:$K$207,Adjustments!$B$8:$B$207,$B230,Adjustments!$A$8:$A$207,Settings!$A$15))</f>
        <v>0</v>
      </c>
      <c r="O230" s="17" t="n">
        <f aca="false">IF($B230="",0,SUMIFS('Zoho Dump'!$X$8:$X$3007,'Zoho Dump'!$N$8:$N$3007,$B230,'Zoho Dump'!$P$8:$P$3007,Settings!$A$16)+SUMIFS(Adjustments!$K$8:$K$207,Adjustments!$B$8:$B$207,$B230,Adjustments!$A$8:$A$207,Settings!$A$16))</f>
        <v>0</v>
      </c>
      <c r="P230" s="17" t="n">
        <f aca="false">IF($B230="",0,SUMIFS('Zoho Dump'!$X$8:$X$3007,'Zoho Dump'!$N$8:$N$3007,$B230,'Zoho Dump'!$P$8:$P$3007,Settings!$A$17)+SUMIFS(Adjustments!$K$8:$K$207,Adjustments!$B$8:$B$207,$B230,Adjustments!$A$8:$A$207,Settings!$A$17))</f>
        <v>0</v>
      </c>
      <c r="Q230" s="17" t="n">
        <f aca="false">IF($B230="",0,SUMIFS('Zoho Dump'!$X$8:$X$3007,'Zoho Dump'!$N$8:$N$3007,$B230,'Zoho Dump'!$P$8:$P$3007,Settings!$A$18)+SUMIFS(Adjustments!$K$8:$K$207,Adjustments!$B$8:$B$207,$B230,Adjustments!$A$8:$A$207,Settings!$A$18))</f>
        <v>0</v>
      </c>
      <c r="R230" s="30" t="str">
        <f aca="false">IF(G230&gt;0,G230+A230/10000000,"")</f>
        <v/>
      </c>
    </row>
    <row r="231" customFormat="false" ht="15" hidden="false" customHeight="false" outlineLevel="0" collapsed="false">
      <c r="A231" s="9" t="n">
        <v>227</v>
      </c>
      <c r="B231" s="9" t="str">
        <f aca="false">IFERROR(INDEX('Zoho Dump'!$N$8:$N$3007,MATCH(A231,'Zoho Dump'!$AB$8:$AB$3007,0)),"")</f>
        <v/>
      </c>
      <c r="C231" s="17" t="n">
        <f aca="false">IF($B231="",0,SUMIFS('Zoho Dump'!$Q$8:$Q$3007,'Zoho Dump'!$N$8:$N$3007,$B231,'Zoho Dump'!$T$8:$T$3007,"Delivered",'Zoho Dump'!$R$8:$R$3007,"&gt;="&amp;Settings!$B$4))</f>
        <v>0</v>
      </c>
      <c r="D231" s="17" t="n">
        <f aca="false">IF($B231="",0,SUMIFS('Zoho Dump'!$X$8:$X$3007,'Zoho Dump'!$N$8:$N$3007,$B231,'Zoho Dump'!$T$8:$T$3007,"Backlog")+SUMIFS(Adjustments!$K$8:$K$207,Adjustments!$B$8:$B$207,$B231,Adjustments!$H$8:$H$207,"Backlog"))</f>
        <v>0</v>
      </c>
      <c r="E231" s="17" t="n">
        <f aca="false">IF($B231="",0,SUMIFS('Zoho Dump'!$Y$8:$Y$3007,'Zoho Dump'!$N$8:$N$3007,$B231,'Zoho Dump'!$T$8:$T$3007,"Pipeline")+SUMIFS(Adjustments!$L$8:$L$207,Adjustments!$B$8:$B$207,$B231,Adjustments!$H$8:$H$207,"Pipeline")+SUMIFS('Zoho Dump'!$Y$8:$Y$3007,'Zoho Dump'!$N$8:$N$3007,$B231,'Zoho Dump'!$T$8:$T$3007,"Overdue")+SUMIFS(Adjustments!$L$8:$L$207,Adjustments!$B$8:$B$207,$B231,Adjustments!$H$8:$H$207,"Overdue"))</f>
        <v>0</v>
      </c>
      <c r="F231" s="17" t="n">
        <f aca="false">IF($B231="",0,SUMIFS('Zoho Dump'!$X$8:$X$3007,'Zoho Dump'!$N$8:$N$3007,$B231,'Zoho Dump'!$T$8:$T$3007,"Pipeline")+SUMIFS(Adjustments!$K$8:$K$207,Adjustments!$B$8:$B$207,$B231,Adjustments!$H$8:$H$207,"Pipeline")+SUMIFS('Zoho Dump'!$X$8:$X$3007,'Zoho Dump'!$N$8:$N$3007,$B231,'Zoho Dump'!$T$8:$T$3007,"Overdue")+SUMIFS(Adjustments!$K$8:$K$207,Adjustments!$B$8:$B$207,$B231,Adjustments!$H$8:$H$207,"Overdue"))</f>
        <v>0</v>
      </c>
      <c r="G231" s="17" t="n">
        <f aca="false">D231+F231</f>
        <v>0</v>
      </c>
      <c r="H231" s="18" t="n">
        <f aca="false">IF(SUM($G$5:$G$404)=0,0,G231/SUM($G$5:$G$404))</f>
        <v>0</v>
      </c>
      <c r="I231" s="17" t="n">
        <f aca="false">IF($B231="",0,SUMIFS('Zoho Dump'!$Q$8:$Q$3007,'Zoho Dump'!$N$8:$N$3007,$B231,'Zoho Dump'!$T$8:$T$3007,"Lost",'Zoho Dump'!$R$8:$R$3007,"&gt;="&amp;Settings!$B$4))</f>
        <v>0</v>
      </c>
      <c r="J231" s="9" t="str">
        <f aca="false">IF($B231="","",IF(COUNTIF(Dashboard!$C$13:$C$22,$B231)&gt;0,"Yes",""))</f>
        <v/>
      </c>
      <c r="K231" s="17" t="n">
        <f aca="false">IF($B231="",0,SUMIFS('Zoho Dump'!$X$8:$X$3007,'Zoho Dump'!$N$8:$N$3007,$B231,'Zoho Dump'!$P$8:$P$3007,Settings!$A$12)+SUMIFS(Adjustments!$K$8:$K$207,Adjustments!$B$8:$B$207,$B231,Adjustments!$A$8:$A$207,Settings!$A$12))</f>
        <v>0</v>
      </c>
      <c r="L231" s="17" t="n">
        <f aca="false">IF($B231="",0,SUMIFS('Zoho Dump'!$X$8:$X$3007,'Zoho Dump'!$N$8:$N$3007,$B231,'Zoho Dump'!$P$8:$P$3007,Settings!$A$13)+SUMIFS(Adjustments!$K$8:$K$207,Adjustments!$B$8:$B$207,$B231,Adjustments!$A$8:$A$207,Settings!$A$13))</f>
        <v>0</v>
      </c>
      <c r="M231" s="17" t="n">
        <f aca="false">IF($B231="",0,SUMIFS('Zoho Dump'!$X$8:$X$3007,'Zoho Dump'!$N$8:$N$3007,$B231,'Zoho Dump'!$P$8:$P$3007,Settings!$A$14)+SUMIFS(Adjustments!$K$8:$K$207,Adjustments!$B$8:$B$207,$B231,Adjustments!$A$8:$A$207,Settings!$A$14))</f>
        <v>0</v>
      </c>
      <c r="N231" s="17" t="n">
        <f aca="false">IF($B231="",0,SUMIFS('Zoho Dump'!$X$8:$X$3007,'Zoho Dump'!$N$8:$N$3007,$B231,'Zoho Dump'!$P$8:$P$3007,Settings!$A$15)+SUMIFS(Adjustments!$K$8:$K$207,Adjustments!$B$8:$B$207,$B231,Adjustments!$A$8:$A$207,Settings!$A$15))</f>
        <v>0</v>
      </c>
      <c r="O231" s="17" t="n">
        <f aca="false">IF($B231="",0,SUMIFS('Zoho Dump'!$X$8:$X$3007,'Zoho Dump'!$N$8:$N$3007,$B231,'Zoho Dump'!$P$8:$P$3007,Settings!$A$16)+SUMIFS(Adjustments!$K$8:$K$207,Adjustments!$B$8:$B$207,$B231,Adjustments!$A$8:$A$207,Settings!$A$16))</f>
        <v>0</v>
      </c>
      <c r="P231" s="17" t="n">
        <f aca="false">IF($B231="",0,SUMIFS('Zoho Dump'!$X$8:$X$3007,'Zoho Dump'!$N$8:$N$3007,$B231,'Zoho Dump'!$P$8:$P$3007,Settings!$A$17)+SUMIFS(Adjustments!$K$8:$K$207,Adjustments!$B$8:$B$207,$B231,Adjustments!$A$8:$A$207,Settings!$A$17))</f>
        <v>0</v>
      </c>
      <c r="Q231" s="17" t="n">
        <f aca="false">IF($B231="",0,SUMIFS('Zoho Dump'!$X$8:$X$3007,'Zoho Dump'!$N$8:$N$3007,$B231,'Zoho Dump'!$P$8:$P$3007,Settings!$A$18)+SUMIFS(Adjustments!$K$8:$K$207,Adjustments!$B$8:$B$207,$B231,Adjustments!$A$8:$A$207,Settings!$A$18))</f>
        <v>0</v>
      </c>
      <c r="R231" s="30" t="str">
        <f aca="false">IF(G231&gt;0,G231+A231/10000000,"")</f>
        <v/>
      </c>
    </row>
    <row r="232" customFormat="false" ht="15" hidden="false" customHeight="false" outlineLevel="0" collapsed="false">
      <c r="A232" s="9" t="n">
        <v>228</v>
      </c>
      <c r="B232" s="9" t="str">
        <f aca="false">IFERROR(INDEX('Zoho Dump'!$N$8:$N$3007,MATCH(A232,'Zoho Dump'!$AB$8:$AB$3007,0)),"")</f>
        <v/>
      </c>
      <c r="C232" s="17" t="n">
        <f aca="false">IF($B232="",0,SUMIFS('Zoho Dump'!$Q$8:$Q$3007,'Zoho Dump'!$N$8:$N$3007,$B232,'Zoho Dump'!$T$8:$T$3007,"Delivered",'Zoho Dump'!$R$8:$R$3007,"&gt;="&amp;Settings!$B$4))</f>
        <v>0</v>
      </c>
      <c r="D232" s="17" t="n">
        <f aca="false">IF($B232="",0,SUMIFS('Zoho Dump'!$X$8:$X$3007,'Zoho Dump'!$N$8:$N$3007,$B232,'Zoho Dump'!$T$8:$T$3007,"Backlog")+SUMIFS(Adjustments!$K$8:$K$207,Adjustments!$B$8:$B$207,$B232,Adjustments!$H$8:$H$207,"Backlog"))</f>
        <v>0</v>
      </c>
      <c r="E232" s="17" t="n">
        <f aca="false">IF($B232="",0,SUMIFS('Zoho Dump'!$Y$8:$Y$3007,'Zoho Dump'!$N$8:$N$3007,$B232,'Zoho Dump'!$T$8:$T$3007,"Pipeline")+SUMIFS(Adjustments!$L$8:$L$207,Adjustments!$B$8:$B$207,$B232,Adjustments!$H$8:$H$207,"Pipeline")+SUMIFS('Zoho Dump'!$Y$8:$Y$3007,'Zoho Dump'!$N$8:$N$3007,$B232,'Zoho Dump'!$T$8:$T$3007,"Overdue")+SUMIFS(Adjustments!$L$8:$L$207,Adjustments!$B$8:$B$207,$B232,Adjustments!$H$8:$H$207,"Overdue"))</f>
        <v>0</v>
      </c>
      <c r="F232" s="17" t="n">
        <f aca="false">IF($B232="",0,SUMIFS('Zoho Dump'!$X$8:$X$3007,'Zoho Dump'!$N$8:$N$3007,$B232,'Zoho Dump'!$T$8:$T$3007,"Pipeline")+SUMIFS(Adjustments!$K$8:$K$207,Adjustments!$B$8:$B$207,$B232,Adjustments!$H$8:$H$207,"Pipeline")+SUMIFS('Zoho Dump'!$X$8:$X$3007,'Zoho Dump'!$N$8:$N$3007,$B232,'Zoho Dump'!$T$8:$T$3007,"Overdue")+SUMIFS(Adjustments!$K$8:$K$207,Adjustments!$B$8:$B$207,$B232,Adjustments!$H$8:$H$207,"Overdue"))</f>
        <v>0</v>
      </c>
      <c r="G232" s="17" t="n">
        <f aca="false">D232+F232</f>
        <v>0</v>
      </c>
      <c r="H232" s="18" t="n">
        <f aca="false">IF(SUM($G$5:$G$404)=0,0,G232/SUM($G$5:$G$404))</f>
        <v>0</v>
      </c>
      <c r="I232" s="17" t="n">
        <f aca="false">IF($B232="",0,SUMIFS('Zoho Dump'!$Q$8:$Q$3007,'Zoho Dump'!$N$8:$N$3007,$B232,'Zoho Dump'!$T$8:$T$3007,"Lost",'Zoho Dump'!$R$8:$R$3007,"&gt;="&amp;Settings!$B$4))</f>
        <v>0</v>
      </c>
      <c r="J232" s="9" t="str">
        <f aca="false">IF($B232="","",IF(COUNTIF(Dashboard!$C$13:$C$22,$B232)&gt;0,"Yes",""))</f>
        <v/>
      </c>
      <c r="K232" s="17" t="n">
        <f aca="false">IF($B232="",0,SUMIFS('Zoho Dump'!$X$8:$X$3007,'Zoho Dump'!$N$8:$N$3007,$B232,'Zoho Dump'!$P$8:$P$3007,Settings!$A$12)+SUMIFS(Adjustments!$K$8:$K$207,Adjustments!$B$8:$B$207,$B232,Adjustments!$A$8:$A$207,Settings!$A$12))</f>
        <v>0</v>
      </c>
      <c r="L232" s="17" t="n">
        <f aca="false">IF($B232="",0,SUMIFS('Zoho Dump'!$X$8:$X$3007,'Zoho Dump'!$N$8:$N$3007,$B232,'Zoho Dump'!$P$8:$P$3007,Settings!$A$13)+SUMIFS(Adjustments!$K$8:$K$207,Adjustments!$B$8:$B$207,$B232,Adjustments!$A$8:$A$207,Settings!$A$13))</f>
        <v>0</v>
      </c>
      <c r="M232" s="17" t="n">
        <f aca="false">IF($B232="",0,SUMIFS('Zoho Dump'!$X$8:$X$3007,'Zoho Dump'!$N$8:$N$3007,$B232,'Zoho Dump'!$P$8:$P$3007,Settings!$A$14)+SUMIFS(Adjustments!$K$8:$K$207,Adjustments!$B$8:$B$207,$B232,Adjustments!$A$8:$A$207,Settings!$A$14))</f>
        <v>0</v>
      </c>
      <c r="N232" s="17" t="n">
        <f aca="false">IF($B232="",0,SUMIFS('Zoho Dump'!$X$8:$X$3007,'Zoho Dump'!$N$8:$N$3007,$B232,'Zoho Dump'!$P$8:$P$3007,Settings!$A$15)+SUMIFS(Adjustments!$K$8:$K$207,Adjustments!$B$8:$B$207,$B232,Adjustments!$A$8:$A$207,Settings!$A$15))</f>
        <v>0</v>
      </c>
      <c r="O232" s="17" t="n">
        <f aca="false">IF($B232="",0,SUMIFS('Zoho Dump'!$X$8:$X$3007,'Zoho Dump'!$N$8:$N$3007,$B232,'Zoho Dump'!$P$8:$P$3007,Settings!$A$16)+SUMIFS(Adjustments!$K$8:$K$207,Adjustments!$B$8:$B$207,$B232,Adjustments!$A$8:$A$207,Settings!$A$16))</f>
        <v>0</v>
      </c>
      <c r="P232" s="17" t="n">
        <f aca="false">IF($B232="",0,SUMIFS('Zoho Dump'!$X$8:$X$3007,'Zoho Dump'!$N$8:$N$3007,$B232,'Zoho Dump'!$P$8:$P$3007,Settings!$A$17)+SUMIFS(Adjustments!$K$8:$K$207,Adjustments!$B$8:$B$207,$B232,Adjustments!$A$8:$A$207,Settings!$A$17))</f>
        <v>0</v>
      </c>
      <c r="Q232" s="17" t="n">
        <f aca="false">IF($B232="",0,SUMIFS('Zoho Dump'!$X$8:$X$3007,'Zoho Dump'!$N$8:$N$3007,$B232,'Zoho Dump'!$P$8:$P$3007,Settings!$A$18)+SUMIFS(Adjustments!$K$8:$K$207,Adjustments!$B$8:$B$207,$B232,Adjustments!$A$8:$A$207,Settings!$A$18))</f>
        <v>0</v>
      </c>
      <c r="R232" s="30" t="str">
        <f aca="false">IF(G232&gt;0,G232+A232/10000000,"")</f>
        <v/>
      </c>
    </row>
    <row r="233" customFormat="false" ht="15" hidden="false" customHeight="false" outlineLevel="0" collapsed="false">
      <c r="A233" s="9" t="n">
        <v>229</v>
      </c>
      <c r="B233" s="9" t="str">
        <f aca="false">IFERROR(INDEX('Zoho Dump'!$N$8:$N$3007,MATCH(A233,'Zoho Dump'!$AB$8:$AB$3007,0)),"")</f>
        <v/>
      </c>
      <c r="C233" s="17" t="n">
        <f aca="false">IF($B233="",0,SUMIFS('Zoho Dump'!$Q$8:$Q$3007,'Zoho Dump'!$N$8:$N$3007,$B233,'Zoho Dump'!$T$8:$T$3007,"Delivered",'Zoho Dump'!$R$8:$R$3007,"&gt;="&amp;Settings!$B$4))</f>
        <v>0</v>
      </c>
      <c r="D233" s="17" t="n">
        <f aca="false">IF($B233="",0,SUMIFS('Zoho Dump'!$X$8:$X$3007,'Zoho Dump'!$N$8:$N$3007,$B233,'Zoho Dump'!$T$8:$T$3007,"Backlog")+SUMIFS(Adjustments!$K$8:$K$207,Adjustments!$B$8:$B$207,$B233,Adjustments!$H$8:$H$207,"Backlog"))</f>
        <v>0</v>
      </c>
      <c r="E233" s="17" t="n">
        <f aca="false">IF($B233="",0,SUMIFS('Zoho Dump'!$Y$8:$Y$3007,'Zoho Dump'!$N$8:$N$3007,$B233,'Zoho Dump'!$T$8:$T$3007,"Pipeline")+SUMIFS(Adjustments!$L$8:$L$207,Adjustments!$B$8:$B$207,$B233,Adjustments!$H$8:$H$207,"Pipeline")+SUMIFS('Zoho Dump'!$Y$8:$Y$3007,'Zoho Dump'!$N$8:$N$3007,$B233,'Zoho Dump'!$T$8:$T$3007,"Overdue")+SUMIFS(Adjustments!$L$8:$L$207,Adjustments!$B$8:$B$207,$B233,Adjustments!$H$8:$H$207,"Overdue"))</f>
        <v>0</v>
      </c>
      <c r="F233" s="17" t="n">
        <f aca="false">IF($B233="",0,SUMIFS('Zoho Dump'!$X$8:$X$3007,'Zoho Dump'!$N$8:$N$3007,$B233,'Zoho Dump'!$T$8:$T$3007,"Pipeline")+SUMIFS(Adjustments!$K$8:$K$207,Adjustments!$B$8:$B$207,$B233,Adjustments!$H$8:$H$207,"Pipeline")+SUMIFS('Zoho Dump'!$X$8:$X$3007,'Zoho Dump'!$N$8:$N$3007,$B233,'Zoho Dump'!$T$8:$T$3007,"Overdue")+SUMIFS(Adjustments!$K$8:$K$207,Adjustments!$B$8:$B$207,$B233,Adjustments!$H$8:$H$207,"Overdue"))</f>
        <v>0</v>
      </c>
      <c r="G233" s="17" t="n">
        <f aca="false">D233+F233</f>
        <v>0</v>
      </c>
      <c r="H233" s="18" t="n">
        <f aca="false">IF(SUM($G$5:$G$404)=0,0,G233/SUM($G$5:$G$404))</f>
        <v>0</v>
      </c>
      <c r="I233" s="17" t="n">
        <f aca="false">IF($B233="",0,SUMIFS('Zoho Dump'!$Q$8:$Q$3007,'Zoho Dump'!$N$8:$N$3007,$B233,'Zoho Dump'!$T$8:$T$3007,"Lost",'Zoho Dump'!$R$8:$R$3007,"&gt;="&amp;Settings!$B$4))</f>
        <v>0</v>
      </c>
      <c r="J233" s="9" t="str">
        <f aca="false">IF($B233="","",IF(COUNTIF(Dashboard!$C$13:$C$22,$B233)&gt;0,"Yes",""))</f>
        <v/>
      </c>
      <c r="K233" s="17" t="n">
        <f aca="false">IF($B233="",0,SUMIFS('Zoho Dump'!$X$8:$X$3007,'Zoho Dump'!$N$8:$N$3007,$B233,'Zoho Dump'!$P$8:$P$3007,Settings!$A$12)+SUMIFS(Adjustments!$K$8:$K$207,Adjustments!$B$8:$B$207,$B233,Adjustments!$A$8:$A$207,Settings!$A$12))</f>
        <v>0</v>
      </c>
      <c r="L233" s="17" t="n">
        <f aca="false">IF($B233="",0,SUMIFS('Zoho Dump'!$X$8:$X$3007,'Zoho Dump'!$N$8:$N$3007,$B233,'Zoho Dump'!$P$8:$P$3007,Settings!$A$13)+SUMIFS(Adjustments!$K$8:$K$207,Adjustments!$B$8:$B$207,$B233,Adjustments!$A$8:$A$207,Settings!$A$13))</f>
        <v>0</v>
      </c>
      <c r="M233" s="17" t="n">
        <f aca="false">IF($B233="",0,SUMIFS('Zoho Dump'!$X$8:$X$3007,'Zoho Dump'!$N$8:$N$3007,$B233,'Zoho Dump'!$P$8:$P$3007,Settings!$A$14)+SUMIFS(Adjustments!$K$8:$K$207,Adjustments!$B$8:$B$207,$B233,Adjustments!$A$8:$A$207,Settings!$A$14))</f>
        <v>0</v>
      </c>
      <c r="N233" s="17" t="n">
        <f aca="false">IF($B233="",0,SUMIFS('Zoho Dump'!$X$8:$X$3007,'Zoho Dump'!$N$8:$N$3007,$B233,'Zoho Dump'!$P$8:$P$3007,Settings!$A$15)+SUMIFS(Adjustments!$K$8:$K$207,Adjustments!$B$8:$B$207,$B233,Adjustments!$A$8:$A$207,Settings!$A$15))</f>
        <v>0</v>
      </c>
      <c r="O233" s="17" t="n">
        <f aca="false">IF($B233="",0,SUMIFS('Zoho Dump'!$X$8:$X$3007,'Zoho Dump'!$N$8:$N$3007,$B233,'Zoho Dump'!$P$8:$P$3007,Settings!$A$16)+SUMIFS(Adjustments!$K$8:$K$207,Adjustments!$B$8:$B$207,$B233,Adjustments!$A$8:$A$207,Settings!$A$16))</f>
        <v>0</v>
      </c>
      <c r="P233" s="17" t="n">
        <f aca="false">IF($B233="",0,SUMIFS('Zoho Dump'!$X$8:$X$3007,'Zoho Dump'!$N$8:$N$3007,$B233,'Zoho Dump'!$P$8:$P$3007,Settings!$A$17)+SUMIFS(Adjustments!$K$8:$K$207,Adjustments!$B$8:$B$207,$B233,Adjustments!$A$8:$A$207,Settings!$A$17))</f>
        <v>0</v>
      </c>
      <c r="Q233" s="17" t="n">
        <f aca="false">IF($B233="",0,SUMIFS('Zoho Dump'!$X$8:$X$3007,'Zoho Dump'!$N$8:$N$3007,$B233,'Zoho Dump'!$P$8:$P$3007,Settings!$A$18)+SUMIFS(Adjustments!$K$8:$K$207,Adjustments!$B$8:$B$207,$B233,Adjustments!$A$8:$A$207,Settings!$A$18))</f>
        <v>0</v>
      </c>
      <c r="R233" s="30" t="str">
        <f aca="false">IF(G233&gt;0,G233+A233/10000000,"")</f>
        <v/>
      </c>
    </row>
    <row r="234" customFormat="false" ht="15" hidden="false" customHeight="false" outlineLevel="0" collapsed="false">
      <c r="A234" s="9" t="n">
        <v>230</v>
      </c>
      <c r="B234" s="9" t="str">
        <f aca="false">IFERROR(INDEX('Zoho Dump'!$N$8:$N$3007,MATCH(A234,'Zoho Dump'!$AB$8:$AB$3007,0)),"")</f>
        <v/>
      </c>
      <c r="C234" s="17" t="n">
        <f aca="false">IF($B234="",0,SUMIFS('Zoho Dump'!$Q$8:$Q$3007,'Zoho Dump'!$N$8:$N$3007,$B234,'Zoho Dump'!$T$8:$T$3007,"Delivered",'Zoho Dump'!$R$8:$R$3007,"&gt;="&amp;Settings!$B$4))</f>
        <v>0</v>
      </c>
      <c r="D234" s="17" t="n">
        <f aca="false">IF($B234="",0,SUMIFS('Zoho Dump'!$X$8:$X$3007,'Zoho Dump'!$N$8:$N$3007,$B234,'Zoho Dump'!$T$8:$T$3007,"Backlog")+SUMIFS(Adjustments!$K$8:$K$207,Adjustments!$B$8:$B$207,$B234,Adjustments!$H$8:$H$207,"Backlog"))</f>
        <v>0</v>
      </c>
      <c r="E234" s="17" t="n">
        <f aca="false">IF($B234="",0,SUMIFS('Zoho Dump'!$Y$8:$Y$3007,'Zoho Dump'!$N$8:$N$3007,$B234,'Zoho Dump'!$T$8:$T$3007,"Pipeline")+SUMIFS(Adjustments!$L$8:$L$207,Adjustments!$B$8:$B$207,$B234,Adjustments!$H$8:$H$207,"Pipeline")+SUMIFS('Zoho Dump'!$Y$8:$Y$3007,'Zoho Dump'!$N$8:$N$3007,$B234,'Zoho Dump'!$T$8:$T$3007,"Overdue")+SUMIFS(Adjustments!$L$8:$L$207,Adjustments!$B$8:$B$207,$B234,Adjustments!$H$8:$H$207,"Overdue"))</f>
        <v>0</v>
      </c>
      <c r="F234" s="17" t="n">
        <f aca="false">IF($B234="",0,SUMIFS('Zoho Dump'!$X$8:$X$3007,'Zoho Dump'!$N$8:$N$3007,$B234,'Zoho Dump'!$T$8:$T$3007,"Pipeline")+SUMIFS(Adjustments!$K$8:$K$207,Adjustments!$B$8:$B$207,$B234,Adjustments!$H$8:$H$207,"Pipeline")+SUMIFS('Zoho Dump'!$X$8:$X$3007,'Zoho Dump'!$N$8:$N$3007,$B234,'Zoho Dump'!$T$8:$T$3007,"Overdue")+SUMIFS(Adjustments!$K$8:$K$207,Adjustments!$B$8:$B$207,$B234,Adjustments!$H$8:$H$207,"Overdue"))</f>
        <v>0</v>
      </c>
      <c r="G234" s="17" t="n">
        <f aca="false">D234+F234</f>
        <v>0</v>
      </c>
      <c r="H234" s="18" t="n">
        <f aca="false">IF(SUM($G$5:$G$404)=0,0,G234/SUM($G$5:$G$404))</f>
        <v>0</v>
      </c>
      <c r="I234" s="17" t="n">
        <f aca="false">IF($B234="",0,SUMIFS('Zoho Dump'!$Q$8:$Q$3007,'Zoho Dump'!$N$8:$N$3007,$B234,'Zoho Dump'!$T$8:$T$3007,"Lost",'Zoho Dump'!$R$8:$R$3007,"&gt;="&amp;Settings!$B$4))</f>
        <v>0</v>
      </c>
      <c r="J234" s="9" t="str">
        <f aca="false">IF($B234="","",IF(COUNTIF(Dashboard!$C$13:$C$22,$B234)&gt;0,"Yes",""))</f>
        <v/>
      </c>
      <c r="K234" s="17" t="n">
        <f aca="false">IF($B234="",0,SUMIFS('Zoho Dump'!$X$8:$X$3007,'Zoho Dump'!$N$8:$N$3007,$B234,'Zoho Dump'!$P$8:$P$3007,Settings!$A$12)+SUMIFS(Adjustments!$K$8:$K$207,Adjustments!$B$8:$B$207,$B234,Adjustments!$A$8:$A$207,Settings!$A$12))</f>
        <v>0</v>
      </c>
      <c r="L234" s="17" t="n">
        <f aca="false">IF($B234="",0,SUMIFS('Zoho Dump'!$X$8:$X$3007,'Zoho Dump'!$N$8:$N$3007,$B234,'Zoho Dump'!$P$8:$P$3007,Settings!$A$13)+SUMIFS(Adjustments!$K$8:$K$207,Adjustments!$B$8:$B$207,$B234,Adjustments!$A$8:$A$207,Settings!$A$13))</f>
        <v>0</v>
      </c>
      <c r="M234" s="17" t="n">
        <f aca="false">IF($B234="",0,SUMIFS('Zoho Dump'!$X$8:$X$3007,'Zoho Dump'!$N$8:$N$3007,$B234,'Zoho Dump'!$P$8:$P$3007,Settings!$A$14)+SUMIFS(Adjustments!$K$8:$K$207,Adjustments!$B$8:$B$207,$B234,Adjustments!$A$8:$A$207,Settings!$A$14))</f>
        <v>0</v>
      </c>
      <c r="N234" s="17" t="n">
        <f aca="false">IF($B234="",0,SUMIFS('Zoho Dump'!$X$8:$X$3007,'Zoho Dump'!$N$8:$N$3007,$B234,'Zoho Dump'!$P$8:$P$3007,Settings!$A$15)+SUMIFS(Adjustments!$K$8:$K$207,Adjustments!$B$8:$B$207,$B234,Adjustments!$A$8:$A$207,Settings!$A$15))</f>
        <v>0</v>
      </c>
      <c r="O234" s="17" t="n">
        <f aca="false">IF($B234="",0,SUMIFS('Zoho Dump'!$X$8:$X$3007,'Zoho Dump'!$N$8:$N$3007,$B234,'Zoho Dump'!$P$8:$P$3007,Settings!$A$16)+SUMIFS(Adjustments!$K$8:$K$207,Adjustments!$B$8:$B$207,$B234,Adjustments!$A$8:$A$207,Settings!$A$16))</f>
        <v>0</v>
      </c>
      <c r="P234" s="17" t="n">
        <f aca="false">IF($B234="",0,SUMIFS('Zoho Dump'!$X$8:$X$3007,'Zoho Dump'!$N$8:$N$3007,$B234,'Zoho Dump'!$P$8:$P$3007,Settings!$A$17)+SUMIFS(Adjustments!$K$8:$K$207,Adjustments!$B$8:$B$207,$B234,Adjustments!$A$8:$A$207,Settings!$A$17))</f>
        <v>0</v>
      </c>
      <c r="Q234" s="17" t="n">
        <f aca="false">IF($B234="",0,SUMIFS('Zoho Dump'!$X$8:$X$3007,'Zoho Dump'!$N$8:$N$3007,$B234,'Zoho Dump'!$P$8:$P$3007,Settings!$A$18)+SUMIFS(Adjustments!$K$8:$K$207,Adjustments!$B$8:$B$207,$B234,Adjustments!$A$8:$A$207,Settings!$A$18))</f>
        <v>0</v>
      </c>
      <c r="R234" s="30" t="str">
        <f aca="false">IF(G234&gt;0,G234+A234/10000000,"")</f>
        <v/>
      </c>
    </row>
    <row r="235" customFormat="false" ht="15" hidden="false" customHeight="false" outlineLevel="0" collapsed="false">
      <c r="A235" s="9" t="n">
        <v>231</v>
      </c>
      <c r="B235" s="9" t="str">
        <f aca="false">IFERROR(INDEX('Zoho Dump'!$N$8:$N$3007,MATCH(A235,'Zoho Dump'!$AB$8:$AB$3007,0)),"")</f>
        <v/>
      </c>
      <c r="C235" s="17" t="n">
        <f aca="false">IF($B235="",0,SUMIFS('Zoho Dump'!$Q$8:$Q$3007,'Zoho Dump'!$N$8:$N$3007,$B235,'Zoho Dump'!$T$8:$T$3007,"Delivered",'Zoho Dump'!$R$8:$R$3007,"&gt;="&amp;Settings!$B$4))</f>
        <v>0</v>
      </c>
      <c r="D235" s="17" t="n">
        <f aca="false">IF($B235="",0,SUMIFS('Zoho Dump'!$X$8:$X$3007,'Zoho Dump'!$N$8:$N$3007,$B235,'Zoho Dump'!$T$8:$T$3007,"Backlog")+SUMIFS(Adjustments!$K$8:$K$207,Adjustments!$B$8:$B$207,$B235,Adjustments!$H$8:$H$207,"Backlog"))</f>
        <v>0</v>
      </c>
      <c r="E235" s="17" t="n">
        <f aca="false">IF($B235="",0,SUMIFS('Zoho Dump'!$Y$8:$Y$3007,'Zoho Dump'!$N$8:$N$3007,$B235,'Zoho Dump'!$T$8:$T$3007,"Pipeline")+SUMIFS(Adjustments!$L$8:$L$207,Adjustments!$B$8:$B$207,$B235,Adjustments!$H$8:$H$207,"Pipeline")+SUMIFS('Zoho Dump'!$Y$8:$Y$3007,'Zoho Dump'!$N$8:$N$3007,$B235,'Zoho Dump'!$T$8:$T$3007,"Overdue")+SUMIFS(Adjustments!$L$8:$L$207,Adjustments!$B$8:$B$207,$B235,Adjustments!$H$8:$H$207,"Overdue"))</f>
        <v>0</v>
      </c>
      <c r="F235" s="17" t="n">
        <f aca="false">IF($B235="",0,SUMIFS('Zoho Dump'!$X$8:$X$3007,'Zoho Dump'!$N$8:$N$3007,$B235,'Zoho Dump'!$T$8:$T$3007,"Pipeline")+SUMIFS(Adjustments!$K$8:$K$207,Adjustments!$B$8:$B$207,$B235,Adjustments!$H$8:$H$207,"Pipeline")+SUMIFS('Zoho Dump'!$X$8:$X$3007,'Zoho Dump'!$N$8:$N$3007,$B235,'Zoho Dump'!$T$8:$T$3007,"Overdue")+SUMIFS(Adjustments!$K$8:$K$207,Adjustments!$B$8:$B$207,$B235,Adjustments!$H$8:$H$207,"Overdue"))</f>
        <v>0</v>
      </c>
      <c r="G235" s="17" t="n">
        <f aca="false">D235+F235</f>
        <v>0</v>
      </c>
      <c r="H235" s="18" t="n">
        <f aca="false">IF(SUM($G$5:$G$404)=0,0,G235/SUM($G$5:$G$404))</f>
        <v>0</v>
      </c>
      <c r="I235" s="17" t="n">
        <f aca="false">IF($B235="",0,SUMIFS('Zoho Dump'!$Q$8:$Q$3007,'Zoho Dump'!$N$8:$N$3007,$B235,'Zoho Dump'!$T$8:$T$3007,"Lost",'Zoho Dump'!$R$8:$R$3007,"&gt;="&amp;Settings!$B$4))</f>
        <v>0</v>
      </c>
      <c r="J235" s="9" t="str">
        <f aca="false">IF($B235="","",IF(COUNTIF(Dashboard!$C$13:$C$22,$B235)&gt;0,"Yes",""))</f>
        <v/>
      </c>
      <c r="K235" s="17" t="n">
        <f aca="false">IF($B235="",0,SUMIFS('Zoho Dump'!$X$8:$X$3007,'Zoho Dump'!$N$8:$N$3007,$B235,'Zoho Dump'!$P$8:$P$3007,Settings!$A$12)+SUMIFS(Adjustments!$K$8:$K$207,Adjustments!$B$8:$B$207,$B235,Adjustments!$A$8:$A$207,Settings!$A$12))</f>
        <v>0</v>
      </c>
      <c r="L235" s="17" t="n">
        <f aca="false">IF($B235="",0,SUMIFS('Zoho Dump'!$X$8:$X$3007,'Zoho Dump'!$N$8:$N$3007,$B235,'Zoho Dump'!$P$8:$P$3007,Settings!$A$13)+SUMIFS(Adjustments!$K$8:$K$207,Adjustments!$B$8:$B$207,$B235,Adjustments!$A$8:$A$207,Settings!$A$13))</f>
        <v>0</v>
      </c>
      <c r="M235" s="17" t="n">
        <f aca="false">IF($B235="",0,SUMIFS('Zoho Dump'!$X$8:$X$3007,'Zoho Dump'!$N$8:$N$3007,$B235,'Zoho Dump'!$P$8:$P$3007,Settings!$A$14)+SUMIFS(Adjustments!$K$8:$K$207,Adjustments!$B$8:$B$207,$B235,Adjustments!$A$8:$A$207,Settings!$A$14))</f>
        <v>0</v>
      </c>
      <c r="N235" s="17" t="n">
        <f aca="false">IF($B235="",0,SUMIFS('Zoho Dump'!$X$8:$X$3007,'Zoho Dump'!$N$8:$N$3007,$B235,'Zoho Dump'!$P$8:$P$3007,Settings!$A$15)+SUMIFS(Adjustments!$K$8:$K$207,Adjustments!$B$8:$B$207,$B235,Adjustments!$A$8:$A$207,Settings!$A$15))</f>
        <v>0</v>
      </c>
      <c r="O235" s="17" t="n">
        <f aca="false">IF($B235="",0,SUMIFS('Zoho Dump'!$X$8:$X$3007,'Zoho Dump'!$N$8:$N$3007,$B235,'Zoho Dump'!$P$8:$P$3007,Settings!$A$16)+SUMIFS(Adjustments!$K$8:$K$207,Adjustments!$B$8:$B$207,$B235,Adjustments!$A$8:$A$207,Settings!$A$16))</f>
        <v>0</v>
      </c>
      <c r="P235" s="17" t="n">
        <f aca="false">IF($B235="",0,SUMIFS('Zoho Dump'!$X$8:$X$3007,'Zoho Dump'!$N$8:$N$3007,$B235,'Zoho Dump'!$P$8:$P$3007,Settings!$A$17)+SUMIFS(Adjustments!$K$8:$K$207,Adjustments!$B$8:$B$207,$B235,Adjustments!$A$8:$A$207,Settings!$A$17))</f>
        <v>0</v>
      </c>
      <c r="Q235" s="17" t="n">
        <f aca="false">IF($B235="",0,SUMIFS('Zoho Dump'!$X$8:$X$3007,'Zoho Dump'!$N$8:$N$3007,$B235,'Zoho Dump'!$P$8:$P$3007,Settings!$A$18)+SUMIFS(Adjustments!$K$8:$K$207,Adjustments!$B$8:$B$207,$B235,Adjustments!$A$8:$A$207,Settings!$A$18))</f>
        <v>0</v>
      </c>
      <c r="R235" s="30" t="str">
        <f aca="false">IF(G235&gt;0,G235+A235/10000000,"")</f>
        <v/>
      </c>
    </row>
    <row r="236" customFormat="false" ht="15" hidden="false" customHeight="false" outlineLevel="0" collapsed="false">
      <c r="A236" s="9" t="n">
        <v>232</v>
      </c>
      <c r="B236" s="9" t="str">
        <f aca="false">IFERROR(INDEX('Zoho Dump'!$N$8:$N$3007,MATCH(A236,'Zoho Dump'!$AB$8:$AB$3007,0)),"")</f>
        <v/>
      </c>
      <c r="C236" s="17" t="n">
        <f aca="false">IF($B236="",0,SUMIFS('Zoho Dump'!$Q$8:$Q$3007,'Zoho Dump'!$N$8:$N$3007,$B236,'Zoho Dump'!$T$8:$T$3007,"Delivered",'Zoho Dump'!$R$8:$R$3007,"&gt;="&amp;Settings!$B$4))</f>
        <v>0</v>
      </c>
      <c r="D236" s="17" t="n">
        <f aca="false">IF($B236="",0,SUMIFS('Zoho Dump'!$X$8:$X$3007,'Zoho Dump'!$N$8:$N$3007,$B236,'Zoho Dump'!$T$8:$T$3007,"Backlog")+SUMIFS(Adjustments!$K$8:$K$207,Adjustments!$B$8:$B$207,$B236,Adjustments!$H$8:$H$207,"Backlog"))</f>
        <v>0</v>
      </c>
      <c r="E236" s="17" t="n">
        <f aca="false">IF($B236="",0,SUMIFS('Zoho Dump'!$Y$8:$Y$3007,'Zoho Dump'!$N$8:$N$3007,$B236,'Zoho Dump'!$T$8:$T$3007,"Pipeline")+SUMIFS(Adjustments!$L$8:$L$207,Adjustments!$B$8:$B$207,$B236,Adjustments!$H$8:$H$207,"Pipeline")+SUMIFS('Zoho Dump'!$Y$8:$Y$3007,'Zoho Dump'!$N$8:$N$3007,$B236,'Zoho Dump'!$T$8:$T$3007,"Overdue")+SUMIFS(Adjustments!$L$8:$L$207,Adjustments!$B$8:$B$207,$B236,Adjustments!$H$8:$H$207,"Overdue"))</f>
        <v>0</v>
      </c>
      <c r="F236" s="17" t="n">
        <f aca="false">IF($B236="",0,SUMIFS('Zoho Dump'!$X$8:$X$3007,'Zoho Dump'!$N$8:$N$3007,$B236,'Zoho Dump'!$T$8:$T$3007,"Pipeline")+SUMIFS(Adjustments!$K$8:$K$207,Adjustments!$B$8:$B$207,$B236,Adjustments!$H$8:$H$207,"Pipeline")+SUMIFS('Zoho Dump'!$X$8:$X$3007,'Zoho Dump'!$N$8:$N$3007,$B236,'Zoho Dump'!$T$8:$T$3007,"Overdue")+SUMIFS(Adjustments!$K$8:$K$207,Adjustments!$B$8:$B$207,$B236,Adjustments!$H$8:$H$207,"Overdue"))</f>
        <v>0</v>
      </c>
      <c r="G236" s="17" t="n">
        <f aca="false">D236+F236</f>
        <v>0</v>
      </c>
      <c r="H236" s="18" t="n">
        <f aca="false">IF(SUM($G$5:$G$404)=0,0,G236/SUM($G$5:$G$404))</f>
        <v>0</v>
      </c>
      <c r="I236" s="17" t="n">
        <f aca="false">IF($B236="",0,SUMIFS('Zoho Dump'!$Q$8:$Q$3007,'Zoho Dump'!$N$8:$N$3007,$B236,'Zoho Dump'!$T$8:$T$3007,"Lost",'Zoho Dump'!$R$8:$R$3007,"&gt;="&amp;Settings!$B$4))</f>
        <v>0</v>
      </c>
      <c r="J236" s="9" t="str">
        <f aca="false">IF($B236="","",IF(COUNTIF(Dashboard!$C$13:$C$22,$B236)&gt;0,"Yes",""))</f>
        <v/>
      </c>
      <c r="K236" s="17" t="n">
        <f aca="false">IF($B236="",0,SUMIFS('Zoho Dump'!$X$8:$X$3007,'Zoho Dump'!$N$8:$N$3007,$B236,'Zoho Dump'!$P$8:$P$3007,Settings!$A$12)+SUMIFS(Adjustments!$K$8:$K$207,Adjustments!$B$8:$B$207,$B236,Adjustments!$A$8:$A$207,Settings!$A$12))</f>
        <v>0</v>
      </c>
      <c r="L236" s="17" t="n">
        <f aca="false">IF($B236="",0,SUMIFS('Zoho Dump'!$X$8:$X$3007,'Zoho Dump'!$N$8:$N$3007,$B236,'Zoho Dump'!$P$8:$P$3007,Settings!$A$13)+SUMIFS(Adjustments!$K$8:$K$207,Adjustments!$B$8:$B$207,$B236,Adjustments!$A$8:$A$207,Settings!$A$13))</f>
        <v>0</v>
      </c>
      <c r="M236" s="17" t="n">
        <f aca="false">IF($B236="",0,SUMIFS('Zoho Dump'!$X$8:$X$3007,'Zoho Dump'!$N$8:$N$3007,$B236,'Zoho Dump'!$P$8:$P$3007,Settings!$A$14)+SUMIFS(Adjustments!$K$8:$K$207,Adjustments!$B$8:$B$207,$B236,Adjustments!$A$8:$A$207,Settings!$A$14))</f>
        <v>0</v>
      </c>
      <c r="N236" s="17" t="n">
        <f aca="false">IF($B236="",0,SUMIFS('Zoho Dump'!$X$8:$X$3007,'Zoho Dump'!$N$8:$N$3007,$B236,'Zoho Dump'!$P$8:$P$3007,Settings!$A$15)+SUMIFS(Adjustments!$K$8:$K$207,Adjustments!$B$8:$B$207,$B236,Adjustments!$A$8:$A$207,Settings!$A$15))</f>
        <v>0</v>
      </c>
      <c r="O236" s="17" t="n">
        <f aca="false">IF($B236="",0,SUMIFS('Zoho Dump'!$X$8:$X$3007,'Zoho Dump'!$N$8:$N$3007,$B236,'Zoho Dump'!$P$8:$P$3007,Settings!$A$16)+SUMIFS(Adjustments!$K$8:$K$207,Adjustments!$B$8:$B$207,$B236,Adjustments!$A$8:$A$207,Settings!$A$16))</f>
        <v>0</v>
      </c>
      <c r="P236" s="17" t="n">
        <f aca="false">IF($B236="",0,SUMIFS('Zoho Dump'!$X$8:$X$3007,'Zoho Dump'!$N$8:$N$3007,$B236,'Zoho Dump'!$P$8:$P$3007,Settings!$A$17)+SUMIFS(Adjustments!$K$8:$K$207,Adjustments!$B$8:$B$207,$B236,Adjustments!$A$8:$A$207,Settings!$A$17))</f>
        <v>0</v>
      </c>
      <c r="Q236" s="17" t="n">
        <f aca="false">IF($B236="",0,SUMIFS('Zoho Dump'!$X$8:$X$3007,'Zoho Dump'!$N$8:$N$3007,$B236,'Zoho Dump'!$P$8:$P$3007,Settings!$A$18)+SUMIFS(Adjustments!$K$8:$K$207,Adjustments!$B$8:$B$207,$B236,Adjustments!$A$8:$A$207,Settings!$A$18))</f>
        <v>0</v>
      </c>
      <c r="R236" s="30" t="str">
        <f aca="false">IF(G236&gt;0,G236+A236/10000000,"")</f>
        <v/>
      </c>
    </row>
    <row r="237" customFormat="false" ht="15" hidden="false" customHeight="false" outlineLevel="0" collapsed="false">
      <c r="A237" s="9" t="n">
        <v>233</v>
      </c>
      <c r="B237" s="9" t="str">
        <f aca="false">IFERROR(INDEX('Zoho Dump'!$N$8:$N$3007,MATCH(A237,'Zoho Dump'!$AB$8:$AB$3007,0)),"")</f>
        <v/>
      </c>
      <c r="C237" s="17" t="n">
        <f aca="false">IF($B237="",0,SUMIFS('Zoho Dump'!$Q$8:$Q$3007,'Zoho Dump'!$N$8:$N$3007,$B237,'Zoho Dump'!$T$8:$T$3007,"Delivered",'Zoho Dump'!$R$8:$R$3007,"&gt;="&amp;Settings!$B$4))</f>
        <v>0</v>
      </c>
      <c r="D237" s="17" t="n">
        <f aca="false">IF($B237="",0,SUMIFS('Zoho Dump'!$X$8:$X$3007,'Zoho Dump'!$N$8:$N$3007,$B237,'Zoho Dump'!$T$8:$T$3007,"Backlog")+SUMIFS(Adjustments!$K$8:$K$207,Adjustments!$B$8:$B$207,$B237,Adjustments!$H$8:$H$207,"Backlog"))</f>
        <v>0</v>
      </c>
      <c r="E237" s="17" t="n">
        <f aca="false">IF($B237="",0,SUMIFS('Zoho Dump'!$Y$8:$Y$3007,'Zoho Dump'!$N$8:$N$3007,$B237,'Zoho Dump'!$T$8:$T$3007,"Pipeline")+SUMIFS(Adjustments!$L$8:$L$207,Adjustments!$B$8:$B$207,$B237,Adjustments!$H$8:$H$207,"Pipeline")+SUMIFS('Zoho Dump'!$Y$8:$Y$3007,'Zoho Dump'!$N$8:$N$3007,$B237,'Zoho Dump'!$T$8:$T$3007,"Overdue")+SUMIFS(Adjustments!$L$8:$L$207,Adjustments!$B$8:$B$207,$B237,Adjustments!$H$8:$H$207,"Overdue"))</f>
        <v>0</v>
      </c>
      <c r="F237" s="17" t="n">
        <f aca="false">IF($B237="",0,SUMIFS('Zoho Dump'!$X$8:$X$3007,'Zoho Dump'!$N$8:$N$3007,$B237,'Zoho Dump'!$T$8:$T$3007,"Pipeline")+SUMIFS(Adjustments!$K$8:$K$207,Adjustments!$B$8:$B$207,$B237,Adjustments!$H$8:$H$207,"Pipeline")+SUMIFS('Zoho Dump'!$X$8:$X$3007,'Zoho Dump'!$N$8:$N$3007,$B237,'Zoho Dump'!$T$8:$T$3007,"Overdue")+SUMIFS(Adjustments!$K$8:$K$207,Adjustments!$B$8:$B$207,$B237,Adjustments!$H$8:$H$207,"Overdue"))</f>
        <v>0</v>
      </c>
      <c r="G237" s="17" t="n">
        <f aca="false">D237+F237</f>
        <v>0</v>
      </c>
      <c r="H237" s="18" t="n">
        <f aca="false">IF(SUM($G$5:$G$404)=0,0,G237/SUM($G$5:$G$404))</f>
        <v>0</v>
      </c>
      <c r="I237" s="17" t="n">
        <f aca="false">IF($B237="",0,SUMIFS('Zoho Dump'!$Q$8:$Q$3007,'Zoho Dump'!$N$8:$N$3007,$B237,'Zoho Dump'!$T$8:$T$3007,"Lost",'Zoho Dump'!$R$8:$R$3007,"&gt;="&amp;Settings!$B$4))</f>
        <v>0</v>
      </c>
      <c r="J237" s="9" t="str">
        <f aca="false">IF($B237="","",IF(COUNTIF(Dashboard!$C$13:$C$22,$B237)&gt;0,"Yes",""))</f>
        <v/>
      </c>
      <c r="K237" s="17" t="n">
        <f aca="false">IF($B237="",0,SUMIFS('Zoho Dump'!$X$8:$X$3007,'Zoho Dump'!$N$8:$N$3007,$B237,'Zoho Dump'!$P$8:$P$3007,Settings!$A$12)+SUMIFS(Adjustments!$K$8:$K$207,Adjustments!$B$8:$B$207,$B237,Adjustments!$A$8:$A$207,Settings!$A$12))</f>
        <v>0</v>
      </c>
      <c r="L237" s="17" t="n">
        <f aca="false">IF($B237="",0,SUMIFS('Zoho Dump'!$X$8:$X$3007,'Zoho Dump'!$N$8:$N$3007,$B237,'Zoho Dump'!$P$8:$P$3007,Settings!$A$13)+SUMIFS(Adjustments!$K$8:$K$207,Adjustments!$B$8:$B$207,$B237,Adjustments!$A$8:$A$207,Settings!$A$13))</f>
        <v>0</v>
      </c>
      <c r="M237" s="17" t="n">
        <f aca="false">IF($B237="",0,SUMIFS('Zoho Dump'!$X$8:$X$3007,'Zoho Dump'!$N$8:$N$3007,$B237,'Zoho Dump'!$P$8:$P$3007,Settings!$A$14)+SUMIFS(Adjustments!$K$8:$K$207,Adjustments!$B$8:$B$207,$B237,Adjustments!$A$8:$A$207,Settings!$A$14))</f>
        <v>0</v>
      </c>
      <c r="N237" s="17" t="n">
        <f aca="false">IF($B237="",0,SUMIFS('Zoho Dump'!$X$8:$X$3007,'Zoho Dump'!$N$8:$N$3007,$B237,'Zoho Dump'!$P$8:$P$3007,Settings!$A$15)+SUMIFS(Adjustments!$K$8:$K$207,Adjustments!$B$8:$B$207,$B237,Adjustments!$A$8:$A$207,Settings!$A$15))</f>
        <v>0</v>
      </c>
      <c r="O237" s="17" t="n">
        <f aca="false">IF($B237="",0,SUMIFS('Zoho Dump'!$X$8:$X$3007,'Zoho Dump'!$N$8:$N$3007,$B237,'Zoho Dump'!$P$8:$P$3007,Settings!$A$16)+SUMIFS(Adjustments!$K$8:$K$207,Adjustments!$B$8:$B$207,$B237,Adjustments!$A$8:$A$207,Settings!$A$16))</f>
        <v>0</v>
      </c>
      <c r="P237" s="17" t="n">
        <f aca="false">IF($B237="",0,SUMIFS('Zoho Dump'!$X$8:$X$3007,'Zoho Dump'!$N$8:$N$3007,$B237,'Zoho Dump'!$P$8:$P$3007,Settings!$A$17)+SUMIFS(Adjustments!$K$8:$K$207,Adjustments!$B$8:$B$207,$B237,Adjustments!$A$8:$A$207,Settings!$A$17))</f>
        <v>0</v>
      </c>
      <c r="Q237" s="17" t="n">
        <f aca="false">IF($B237="",0,SUMIFS('Zoho Dump'!$X$8:$X$3007,'Zoho Dump'!$N$8:$N$3007,$B237,'Zoho Dump'!$P$8:$P$3007,Settings!$A$18)+SUMIFS(Adjustments!$K$8:$K$207,Adjustments!$B$8:$B$207,$B237,Adjustments!$A$8:$A$207,Settings!$A$18))</f>
        <v>0</v>
      </c>
      <c r="R237" s="30" t="str">
        <f aca="false">IF(G237&gt;0,G237+A237/10000000,"")</f>
        <v/>
      </c>
    </row>
    <row r="238" customFormat="false" ht="15" hidden="false" customHeight="false" outlineLevel="0" collapsed="false">
      <c r="A238" s="9" t="n">
        <v>234</v>
      </c>
      <c r="B238" s="9" t="str">
        <f aca="false">IFERROR(INDEX('Zoho Dump'!$N$8:$N$3007,MATCH(A238,'Zoho Dump'!$AB$8:$AB$3007,0)),"")</f>
        <v/>
      </c>
      <c r="C238" s="17" t="n">
        <f aca="false">IF($B238="",0,SUMIFS('Zoho Dump'!$Q$8:$Q$3007,'Zoho Dump'!$N$8:$N$3007,$B238,'Zoho Dump'!$T$8:$T$3007,"Delivered",'Zoho Dump'!$R$8:$R$3007,"&gt;="&amp;Settings!$B$4))</f>
        <v>0</v>
      </c>
      <c r="D238" s="17" t="n">
        <f aca="false">IF($B238="",0,SUMIFS('Zoho Dump'!$X$8:$X$3007,'Zoho Dump'!$N$8:$N$3007,$B238,'Zoho Dump'!$T$8:$T$3007,"Backlog")+SUMIFS(Adjustments!$K$8:$K$207,Adjustments!$B$8:$B$207,$B238,Adjustments!$H$8:$H$207,"Backlog"))</f>
        <v>0</v>
      </c>
      <c r="E238" s="17" t="n">
        <f aca="false">IF($B238="",0,SUMIFS('Zoho Dump'!$Y$8:$Y$3007,'Zoho Dump'!$N$8:$N$3007,$B238,'Zoho Dump'!$T$8:$T$3007,"Pipeline")+SUMIFS(Adjustments!$L$8:$L$207,Adjustments!$B$8:$B$207,$B238,Adjustments!$H$8:$H$207,"Pipeline")+SUMIFS('Zoho Dump'!$Y$8:$Y$3007,'Zoho Dump'!$N$8:$N$3007,$B238,'Zoho Dump'!$T$8:$T$3007,"Overdue")+SUMIFS(Adjustments!$L$8:$L$207,Adjustments!$B$8:$B$207,$B238,Adjustments!$H$8:$H$207,"Overdue"))</f>
        <v>0</v>
      </c>
      <c r="F238" s="17" t="n">
        <f aca="false">IF($B238="",0,SUMIFS('Zoho Dump'!$X$8:$X$3007,'Zoho Dump'!$N$8:$N$3007,$B238,'Zoho Dump'!$T$8:$T$3007,"Pipeline")+SUMIFS(Adjustments!$K$8:$K$207,Adjustments!$B$8:$B$207,$B238,Adjustments!$H$8:$H$207,"Pipeline")+SUMIFS('Zoho Dump'!$X$8:$X$3007,'Zoho Dump'!$N$8:$N$3007,$B238,'Zoho Dump'!$T$8:$T$3007,"Overdue")+SUMIFS(Adjustments!$K$8:$K$207,Adjustments!$B$8:$B$207,$B238,Adjustments!$H$8:$H$207,"Overdue"))</f>
        <v>0</v>
      </c>
      <c r="G238" s="17" t="n">
        <f aca="false">D238+F238</f>
        <v>0</v>
      </c>
      <c r="H238" s="18" t="n">
        <f aca="false">IF(SUM($G$5:$G$404)=0,0,G238/SUM($G$5:$G$404))</f>
        <v>0</v>
      </c>
      <c r="I238" s="17" t="n">
        <f aca="false">IF($B238="",0,SUMIFS('Zoho Dump'!$Q$8:$Q$3007,'Zoho Dump'!$N$8:$N$3007,$B238,'Zoho Dump'!$T$8:$T$3007,"Lost",'Zoho Dump'!$R$8:$R$3007,"&gt;="&amp;Settings!$B$4))</f>
        <v>0</v>
      </c>
      <c r="J238" s="9" t="str">
        <f aca="false">IF($B238="","",IF(COUNTIF(Dashboard!$C$13:$C$22,$B238)&gt;0,"Yes",""))</f>
        <v/>
      </c>
      <c r="K238" s="17" t="n">
        <f aca="false">IF($B238="",0,SUMIFS('Zoho Dump'!$X$8:$X$3007,'Zoho Dump'!$N$8:$N$3007,$B238,'Zoho Dump'!$P$8:$P$3007,Settings!$A$12)+SUMIFS(Adjustments!$K$8:$K$207,Adjustments!$B$8:$B$207,$B238,Adjustments!$A$8:$A$207,Settings!$A$12))</f>
        <v>0</v>
      </c>
      <c r="L238" s="17" t="n">
        <f aca="false">IF($B238="",0,SUMIFS('Zoho Dump'!$X$8:$X$3007,'Zoho Dump'!$N$8:$N$3007,$B238,'Zoho Dump'!$P$8:$P$3007,Settings!$A$13)+SUMIFS(Adjustments!$K$8:$K$207,Adjustments!$B$8:$B$207,$B238,Adjustments!$A$8:$A$207,Settings!$A$13))</f>
        <v>0</v>
      </c>
      <c r="M238" s="17" t="n">
        <f aca="false">IF($B238="",0,SUMIFS('Zoho Dump'!$X$8:$X$3007,'Zoho Dump'!$N$8:$N$3007,$B238,'Zoho Dump'!$P$8:$P$3007,Settings!$A$14)+SUMIFS(Adjustments!$K$8:$K$207,Adjustments!$B$8:$B$207,$B238,Adjustments!$A$8:$A$207,Settings!$A$14))</f>
        <v>0</v>
      </c>
      <c r="N238" s="17" t="n">
        <f aca="false">IF($B238="",0,SUMIFS('Zoho Dump'!$X$8:$X$3007,'Zoho Dump'!$N$8:$N$3007,$B238,'Zoho Dump'!$P$8:$P$3007,Settings!$A$15)+SUMIFS(Adjustments!$K$8:$K$207,Adjustments!$B$8:$B$207,$B238,Adjustments!$A$8:$A$207,Settings!$A$15))</f>
        <v>0</v>
      </c>
      <c r="O238" s="17" t="n">
        <f aca="false">IF($B238="",0,SUMIFS('Zoho Dump'!$X$8:$X$3007,'Zoho Dump'!$N$8:$N$3007,$B238,'Zoho Dump'!$P$8:$P$3007,Settings!$A$16)+SUMIFS(Adjustments!$K$8:$K$207,Adjustments!$B$8:$B$207,$B238,Adjustments!$A$8:$A$207,Settings!$A$16))</f>
        <v>0</v>
      </c>
      <c r="P238" s="17" t="n">
        <f aca="false">IF($B238="",0,SUMIFS('Zoho Dump'!$X$8:$X$3007,'Zoho Dump'!$N$8:$N$3007,$B238,'Zoho Dump'!$P$8:$P$3007,Settings!$A$17)+SUMIFS(Adjustments!$K$8:$K$207,Adjustments!$B$8:$B$207,$B238,Adjustments!$A$8:$A$207,Settings!$A$17))</f>
        <v>0</v>
      </c>
      <c r="Q238" s="17" t="n">
        <f aca="false">IF($B238="",0,SUMIFS('Zoho Dump'!$X$8:$X$3007,'Zoho Dump'!$N$8:$N$3007,$B238,'Zoho Dump'!$P$8:$P$3007,Settings!$A$18)+SUMIFS(Adjustments!$K$8:$K$207,Adjustments!$B$8:$B$207,$B238,Adjustments!$A$8:$A$207,Settings!$A$18))</f>
        <v>0</v>
      </c>
      <c r="R238" s="30" t="str">
        <f aca="false">IF(G238&gt;0,G238+A238/10000000,"")</f>
        <v/>
      </c>
    </row>
    <row r="239" customFormat="false" ht="15" hidden="false" customHeight="false" outlineLevel="0" collapsed="false">
      <c r="A239" s="9" t="n">
        <v>235</v>
      </c>
      <c r="B239" s="9" t="str">
        <f aca="false">IFERROR(INDEX('Zoho Dump'!$N$8:$N$3007,MATCH(A239,'Zoho Dump'!$AB$8:$AB$3007,0)),"")</f>
        <v/>
      </c>
      <c r="C239" s="17" t="n">
        <f aca="false">IF($B239="",0,SUMIFS('Zoho Dump'!$Q$8:$Q$3007,'Zoho Dump'!$N$8:$N$3007,$B239,'Zoho Dump'!$T$8:$T$3007,"Delivered",'Zoho Dump'!$R$8:$R$3007,"&gt;="&amp;Settings!$B$4))</f>
        <v>0</v>
      </c>
      <c r="D239" s="17" t="n">
        <f aca="false">IF($B239="",0,SUMIFS('Zoho Dump'!$X$8:$X$3007,'Zoho Dump'!$N$8:$N$3007,$B239,'Zoho Dump'!$T$8:$T$3007,"Backlog")+SUMIFS(Adjustments!$K$8:$K$207,Adjustments!$B$8:$B$207,$B239,Adjustments!$H$8:$H$207,"Backlog"))</f>
        <v>0</v>
      </c>
      <c r="E239" s="17" t="n">
        <f aca="false">IF($B239="",0,SUMIFS('Zoho Dump'!$Y$8:$Y$3007,'Zoho Dump'!$N$8:$N$3007,$B239,'Zoho Dump'!$T$8:$T$3007,"Pipeline")+SUMIFS(Adjustments!$L$8:$L$207,Adjustments!$B$8:$B$207,$B239,Adjustments!$H$8:$H$207,"Pipeline")+SUMIFS('Zoho Dump'!$Y$8:$Y$3007,'Zoho Dump'!$N$8:$N$3007,$B239,'Zoho Dump'!$T$8:$T$3007,"Overdue")+SUMIFS(Adjustments!$L$8:$L$207,Adjustments!$B$8:$B$207,$B239,Adjustments!$H$8:$H$207,"Overdue"))</f>
        <v>0</v>
      </c>
      <c r="F239" s="17" t="n">
        <f aca="false">IF($B239="",0,SUMIFS('Zoho Dump'!$X$8:$X$3007,'Zoho Dump'!$N$8:$N$3007,$B239,'Zoho Dump'!$T$8:$T$3007,"Pipeline")+SUMIFS(Adjustments!$K$8:$K$207,Adjustments!$B$8:$B$207,$B239,Adjustments!$H$8:$H$207,"Pipeline")+SUMIFS('Zoho Dump'!$X$8:$X$3007,'Zoho Dump'!$N$8:$N$3007,$B239,'Zoho Dump'!$T$8:$T$3007,"Overdue")+SUMIFS(Adjustments!$K$8:$K$207,Adjustments!$B$8:$B$207,$B239,Adjustments!$H$8:$H$207,"Overdue"))</f>
        <v>0</v>
      </c>
      <c r="G239" s="17" t="n">
        <f aca="false">D239+F239</f>
        <v>0</v>
      </c>
      <c r="H239" s="18" t="n">
        <f aca="false">IF(SUM($G$5:$G$404)=0,0,G239/SUM($G$5:$G$404))</f>
        <v>0</v>
      </c>
      <c r="I239" s="17" t="n">
        <f aca="false">IF($B239="",0,SUMIFS('Zoho Dump'!$Q$8:$Q$3007,'Zoho Dump'!$N$8:$N$3007,$B239,'Zoho Dump'!$T$8:$T$3007,"Lost",'Zoho Dump'!$R$8:$R$3007,"&gt;="&amp;Settings!$B$4))</f>
        <v>0</v>
      </c>
      <c r="J239" s="9" t="str">
        <f aca="false">IF($B239="","",IF(COUNTIF(Dashboard!$C$13:$C$22,$B239)&gt;0,"Yes",""))</f>
        <v/>
      </c>
      <c r="K239" s="17" t="n">
        <f aca="false">IF($B239="",0,SUMIFS('Zoho Dump'!$X$8:$X$3007,'Zoho Dump'!$N$8:$N$3007,$B239,'Zoho Dump'!$P$8:$P$3007,Settings!$A$12)+SUMIFS(Adjustments!$K$8:$K$207,Adjustments!$B$8:$B$207,$B239,Adjustments!$A$8:$A$207,Settings!$A$12))</f>
        <v>0</v>
      </c>
      <c r="L239" s="17" t="n">
        <f aca="false">IF($B239="",0,SUMIFS('Zoho Dump'!$X$8:$X$3007,'Zoho Dump'!$N$8:$N$3007,$B239,'Zoho Dump'!$P$8:$P$3007,Settings!$A$13)+SUMIFS(Adjustments!$K$8:$K$207,Adjustments!$B$8:$B$207,$B239,Adjustments!$A$8:$A$207,Settings!$A$13))</f>
        <v>0</v>
      </c>
      <c r="M239" s="17" t="n">
        <f aca="false">IF($B239="",0,SUMIFS('Zoho Dump'!$X$8:$X$3007,'Zoho Dump'!$N$8:$N$3007,$B239,'Zoho Dump'!$P$8:$P$3007,Settings!$A$14)+SUMIFS(Adjustments!$K$8:$K$207,Adjustments!$B$8:$B$207,$B239,Adjustments!$A$8:$A$207,Settings!$A$14))</f>
        <v>0</v>
      </c>
      <c r="N239" s="17" t="n">
        <f aca="false">IF($B239="",0,SUMIFS('Zoho Dump'!$X$8:$X$3007,'Zoho Dump'!$N$8:$N$3007,$B239,'Zoho Dump'!$P$8:$P$3007,Settings!$A$15)+SUMIFS(Adjustments!$K$8:$K$207,Adjustments!$B$8:$B$207,$B239,Adjustments!$A$8:$A$207,Settings!$A$15))</f>
        <v>0</v>
      </c>
      <c r="O239" s="17" t="n">
        <f aca="false">IF($B239="",0,SUMIFS('Zoho Dump'!$X$8:$X$3007,'Zoho Dump'!$N$8:$N$3007,$B239,'Zoho Dump'!$P$8:$P$3007,Settings!$A$16)+SUMIFS(Adjustments!$K$8:$K$207,Adjustments!$B$8:$B$207,$B239,Adjustments!$A$8:$A$207,Settings!$A$16))</f>
        <v>0</v>
      </c>
      <c r="P239" s="17" t="n">
        <f aca="false">IF($B239="",0,SUMIFS('Zoho Dump'!$X$8:$X$3007,'Zoho Dump'!$N$8:$N$3007,$B239,'Zoho Dump'!$P$8:$P$3007,Settings!$A$17)+SUMIFS(Adjustments!$K$8:$K$207,Adjustments!$B$8:$B$207,$B239,Adjustments!$A$8:$A$207,Settings!$A$17))</f>
        <v>0</v>
      </c>
      <c r="Q239" s="17" t="n">
        <f aca="false">IF($B239="",0,SUMIFS('Zoho Dump'!$X$8:$X$3007,'Zoho Dump'!$N$8:$N$3007,$B239,'Zoho Dump'!$P$8:$P$3007,Settings!$A$18)+SUMIFS(Adjustments!$K$8:$K$207,Adjustments!$B$8:$B$207,$B239,Adjustments!$A$8:$A$207,Settings!$A$18))</f>
        <v>0</v>
      </c>
      <c r="R239" s="30" t="str">
        <f aca="false">IF(G239&gt;0,G239+A239/10000000,"")</f>
        <v/>
      </c>
    </row>
    <row r="240" customFormat="false" ht="15" hidden="false" customHeight="false" outlineLevel="0" collapsed="false">
      <c r="A240" s="9" t="n">
        <v>236</v>
      </c>
      <c r="B240" s="9" t="str">
        <f aca="false">IFERROR(INDEX('Zoho Dump'!$N$8:$N$3007,MATCH(A240,'Zoho Dump'!$AB$8:$AB$3007,0)),"")</f>
        <v/>
      </c>
      <c r="C240" s="17" t="n">
        <f aca="false">IF($B240="",0,SUMIFS('Zoho Dump'!$Q$8:$Q$3007,'Zoho Dump'!$N$8:$N$3007,$B240,'Zoho Dump'!$T$8:$T$3007,"Delivered",'Zoho Dump'!$R$8:$R$3007,"&gt;="&amp;Settings!$B$4))</f>
        <v>0</v>
      </c>
      <c r="D240" s="17" t="n">
        <f aca="false">IF($B240="",0,SUMIFS('Zoho Dump'!$X$8:$X$3007,'Zoho Dump'!$N$8:$N$3007,$B240,'Zoho Dump'!$T$8:$T$3007,"Backlog")+SUMIFS(Adjustments!$K$8:$K$207,Adjustments!$B$8:$B$207,$B240,Adjustments!$H$8:$H$207,"Backlog"))</f>
        <v>0</v>
      </c>
      <c r="E240" s="17" t="n">
        <f aca="false">IF($B240="",0,SUMIFS('Zoho Dump'!$Y$8:$Y$3007,'Zoho Dump'!$N$8:$N$3007,$B240,'Zoho Dump'!$T$8:$T$3007,"Pipeline")+SUMIFS(Adjustments!$L$8:$L$207,Adjustments!$B$8:$B$207,$B240,Adjustments!$H$8:$H$207,"Pipeline")+SUMIFS('Zoho Dump'!$Y$8:$Y$3007,'Zoho Dump'!$N$8:$N$3007,$B240,'Zoho Dump'!$T$8:$T$3007,"Overdue")+SUMIFS(Adjustments!$L$8:$L$207,Adjustments!$B$8:$B$207,$B240,Adjustments!$H$8:$H$207,"Overdue"))</f>
        <v>0</v>
      </c>
      <c r="F240" s="17" t="n">
        <f aca="false">IF($B240="",0,SUMIFS('Zoho Dump'!$X$8:$X$3007,'Zoho Dump'!$N$8:$N$3007,$B240,'Zoho Dump'!$T$8:$T$3007,"Pipeline")+SUMIFS(Adjustments!$K$8:$K$207,Adjustments!$B$8:$B$207,$B240,Adjustments!$H$8:$H$207,"Pipeline")+SUMIFS('Zoho Dump'!$X$8:$X$3007,'Zoho Dump'!$N$8:$N$3007,$B240,'Zoho Dump'!$T$8:$T$3007,"Overdue")+SUMIFS(Adjustments!$K$8:$K$207,Adjustments!$B$8:$B$207,$B240,Adjustments!$H$8:$H$207,"Overdue"))</f>
        <v>0</v>
      </c>
      <c r="G240" s="17" t="n">
        <f aca="false">D240+F240</f>
        <v>0</v>
      </c>
      <c r="H240" s="18" t="n">
        <f aca="false">IF(SUM($G$5:$G$404)=0,0,G240/SUM($G$5:$G$404))</f>
        <v>0</v>
      </c>
      <c r="I240" s="17" t="n">
        <f aca="false">IF($B240="",0,SUMIFS('Zoho Dump'!$Q$8:$Q$3007,'Zoho Dump'!$N$8:$N$3007,$B240,'Zoho Dump'!$T$8:$T$3007,"Lost",'Zoho Dump'!$R$8:$R$3007,"&gt;="&amp;Settings!$B$4))</f>
        <v>0</v>
      </c>
      <c r="J240" s="9" t="str">
        <f aca="false">IF($B240="","",IF(COUNTIF(Dashboard!$C$13:$C$22,$B240)&gt;0,"Yes",""))</f>
        <v/>
      </c>
      <c r="K240" s="17" t="n">
        <f aca="false">IF($B240="",0,SUMIFS('Zoho Dump'!$X$8:$X$3007,'Zoho Dump'!$N$8:$N$3007,$B240,'Zoho Dump'!$P$8:$P$3007,Settings!$A$12)+SUMIFS(Adjustments!$K$8:$K$207,Adjustments!$B$8:$B$207,$B240,Adjustments!$A$8:$A$207,Settings!$A$12))</f>
        <v>0</v>
      </c>
      <c r="L240" s="17" t="n">
        <f aca="false">IF($B240="",0,SUMIFS('Zoho Dump'!$X$8:$X$3007,'Zoho Dump'!$N$8:$N$3007,$B240,'Zoho Dump'!$P$8:$P$3007,Settings!$A$13)+SUMIFS(Adjustments!$K$8:$K$207,Adjustments!$B$8:$B$207,$B240,Adjustments!$A$8:$A$207,Settings!$A$13))</f>
        <v>0</v>
      </c>
      <c r="M240" s="17" t="n">
        <f aca="false">IF($B240="",0,SUMIFS('Zoho Dump'!$X$8:$X$3007,'Zoho Dump'!$N$8:$N$3007,$B240,'Zoho Dump'!$P$8:$P$3007,Settings!$A$14)+SUMIFS(Adjustments!$K$8:$K$207,Adjustments!$B$8:$B$207,$B240,Adjustments!$A$8:$A$207,Settings!$A$14))</f>
        <v>0</v>
      </c>
      <c r="N240" s="17" t="n">
        <f aca="false">IF($B240="",0,SUMIFS('Zoho Dump'!$X$8:$X$3007,'Zoho Dump'!$N$8:$N$3007,$B240,'Zoho Dump'!$P$8:$P$3007,Settings!$A$15)+SUMIFS(Adjustments!$K$8:$K$207,Adjustments!$B$8:$B$207,$B240,Adjustments!$A$8:$A$207,Settings!$A$15))</f>
        <v>0</v>
      </c>
      <c r="O240" s="17" t="n">
        <f aca="false">IF($B240="",0,SUMIFS('Zoho Dump'!$X$8:$X$3007,'Zoho Dump'!$N$8:$N$3007,$B240,'Zoho Dump'!$P$8:$P$3007,Settings!$A$16)+SUMIFS(Adjustments!$K$8:$K$207,Adjustments!$B$8:$B$207,$B240,Adjustments!$A$8:$A$207,Settings!$A$16))</f>
        <v>0</v>
      </c>
      <c r="P240" s="17" t="n">
        <f aca="false">IF($B240="",0,SUMIFS('Zoho Dump'!$X$8:$X$3007,'Zoho Dump'!$N$8:$N$3007,$B240,'Zoho Dump'!$P$8:$P$3007,Settings!$A$17)+SUMIFS(Adjustments!$K$8:$K$207,Adjustments!$B$8:$B$207,$B240,Adjustments!$A$8:$A$207,Settings!$A$17))</f>
        <v>0</v>
      </c>
      <c r="Q240" s="17" t="n">
        <f aca="false">IF($B240="",0,SUMIFS('Zoho Dump'!$X$8:$X$3007,'Zoho Dump'!$N$8:$N$3007,$B240,'Zoho Dump'!$P$8:$P$3007,Settings!$A$18)+SUMIFS(Adjustments!$K$8:$K$207,Adjustments!$B$8:$B$207,$B240,Adjustments!$A$8:$A$207,Settings!$A$18))</f>
        <v>0</v>
      </c>
      <c r="R240" s="30" t="str">
        <f aca="false">IF(G240&gt;0,G240+A240/10000000,"")</f>
        <v/>
      </c>
    </row>
    <row r="241" customFormat="false" ht="15" hidden="false" customHeight="false" outlineLevel="0" collapsed="false">
      <c r="A241" s="9" t="n">
        <v>237</v>
      </c>
      <c r="B241" s="9" t="str">
        <f aca="false">IFERROR(INDEX('Zoho Dump'!$N$8:$N$3007,MATCH(A241,'Zoho Dump'!$AB$8:$AB$3007,0)),"")</f>
        <v/>
      </c>
      <c r="C241" s="17" t="n">
        <f aca="false">IF($B241="",0,SUMIFS('Zoho Dump'!$Q$8:$Q$3007,'Zoho Dump'!$N$8:$N$3007,$B241,'Zoho Dump'!$T$8:$T$3007,"Delivered",'Zoho Dump'!$R$8:$R$3007,"&gt;="&amp;Settings!$B$4))</f>
        <v>0</v>
      </c>
      <c r="D241" s="17" t="n">
        <f aca="false">IF($B241="",0,SUMIFS('Zoho Dump'!$X$8:$X$3007,'Zoho Dump'!$N$8:$N$3007,$B241,'Zoho Dump'!$T$8:$T$3007,"Backlog")+SUMIFS(Adjustments!$K$8:$K$207,Adjustments!$B$8:$B$207,$B241,Adjustments!$H$8:$H$207,"Backlog"))</f>
        <v>0</v>
      </c>
      <c r="E241" s="17" t="n">
        <f aca="false">IF($B241="",0,SUMIFS('Zoho Dump'!$Y$8:$Y$3007,'Zoho Dump'!$N$8:$N$3007,$B241,'Zoho Dump'!$T$8:$T$3007,"Pipeline")+SUMIFS(Adjustments!$L$8:$L$207,Adjustments!$B$8:$B$207,$B241,Adjustments!$H$8:$H$207,"Pipeline")+SUMIFS('Zoho Dump'!$Y$8:$Y$3007,'Zoho Dump'!$N$8:$N$3007,$B241,'Zoho Dump'!$T$8:$T$3007,"Overdue")+SUMIFS(Adjustments!$L$8:$L$207,Adjustments!$B$8:$B$207,$B241,Adjustments!$H$8:$H$207,"Overdue"))</f>
        <v>0</v>
      </c>
      <c r="F241" s="17" t="n">
        <f aca="false">IF($B241="",0,SUMIFS('Zoho Dump'!$X$8:$X$3007,'Zoho Dump'!$N$8:$N$3007,$B241,'Zoho Dump'!$T$8:$T$3007,"Pipeline")+SUMIFS(Adjustments!$K$8:$K$207,Adjustments!$B$8:$B$207,$B241,Adjustments!$H$8:$H$207,"Pipeline")+SUMIFS('Zoho Dump'!$X$8:$X$3007,'Zoho Dump'!$N$8:$N$3007,$B241,'Zoho Dump'!$T$8:$T$3007,"Overdue")+SUMIFS(Adjustments!$K$8:$K$207,Adjustments!$B$8:$B$207,$B241,Adjustments!$H$8:$H$207,"Overdue"))</f>
        <v>0</v>
      </c>
      <c r="G241" s="17" t="n">
        <f aca="false">D241+F241</f>
        <v>0</v>
      </c>
      <c r="H241" s="18" t="n">
        <f aca="false">IF(SUM($G$5:$G$404)=0,0,G241/SUM($G$5:$G$404))</f>
        <v>0</v>
      </c>
      <c r="I241" s="17" t="n">
        <f aca="false">IF($B241="",0,SUMIFS('Zoho Dump'!$Q$8:$Q$3007,'Zoho Dump'!$N$8:$N$3007,$B241,'Zoho Dump'!$T$8:$T$3007,"Lost",'Zoho Dump'!$R$8:$R$3007,"&gt;="&amp;Settings!$B$4))</f>
        <v>0</v>
      </c>
      <c r="J241" s="9" t="str">
        <f aca="false">IF($B241="","",IF(COUNTIF(Dashboard!$C$13:$C$22,$B241)&gt;0,"Yes",""))</f>
        <v/>
      </c>
      <c r="K241" s="17" t="n">
        <f aca="false">IF($B241="",0,SUMIFS('Zoho Dump'!$X$8:$X$3007,'Zoho Dump'!$N$8:$N$3007,$B241,'Zoho Dump'!$P$8:$P$3007,Settings!$A$12)+SUMIFS(Adjustments!$K$8:$K$207,Adjustments!$B$8:$B$207,$B241,Adjustments!$A$8:$A$207,Settings!$A$12))</f>
        <v>0</v>
      </c>
      <c r="L241" s="17" t="n">
        <f aca="false">IF($B241="",0,SUMIFS('Zoho Dump'!$X$8:$X$3007,'Zoho Dump'!$N$8:$N$3007,$B241,'Zoho Dump'!$P$8:$P$3007,Settings!$A$13)+SUMIFS(Adjustments!$K$8:$K$207,Adjustments!$B$8:$B$207,$B241,Adjustments!$A$8:$A$207,Settings!$A$13))</f>
        <v>0</v>
      </c>
      <c r="M241" s="17" t="n">
        <f aca="false">IF($B241="",0,SUMIFS('Zoho Dump'!$X$8:$X$3007,'Zoho Dump'!$N$8:$N$3007,$B241,'Zoho Dump'!$P$8:$P$3007,Settings!$A$14)+SUMIFS(Adjustments!$K$8:$K$207,Adjustments!$B$8:$B$207,$B241,Adjustments!$A$8:$A$207,Settings!$A$14))</f>
        <v>0</v>
      </c>
      <c r="N241" s="17" t="n">
        <f aca="false">IF($B241="",0,SUMIFS('Zoho Dump'!$X$8:$X$3007,'Zoho Dump'!$N$8:$N$3007,$B241,'Zoho Dump'!$P$8:$P$3007,Settings!$A$15)+SUMIFS(Adjustments!$K$8:$K$207,Adjustments!$B$8:$B$207,$B241,Adjustments!$A$8:$A$207,Settings!$A$15))</f>
        <v>0</v>
      </c>
      <c r="O241" s="17" t="n">
        <f aca="false">IF($B241="",0,SUMIFS('Zoho Dump'!$X$8:$X$3007,'Zoho Dump'!$N$8:$N$3007,$B241,'Zoho Dump'!$P$8:$P$3007,Settings!$A$16)+SUMIFS(Adjustments!$K$8:$K$207,Adjustments!$B$8:$B$207,$B241,Adjustments!$A$8:$A$207,Settings!$A$16))</f>
        <v>0</v>
      </c>
      <c r="P241" s="17" t="n">
        <f aca="false">IF($B241="",0,SUMIFS('Zoho Dump'!$X$8:$X$3007,'Zoho Dump'!$N$8:$N$3007,$B241,'Zoho Dump'!$P$8:$P$3007,Settings!$A$17)+SUMIFS(Adjustments!$K$8:$K$207,Adjustments!$B$8:$B$207,$B241,Adjustments!$A$8:$A$207,Settings!$A$17))</f>
        <v>0</v>
      </c>
      <c r="Q241" s="17" t="n">
        <f aca="false">IF($B241="",0,SUMIFS('Zoho Dump'!$X$8:$X$3007,'Zoho Dump'!$N$8:$N$3007,$B241,'Zoho Dump'!$P$8:$P$3007,Settings!$A$18)+SUMIFS(Adjustments!$K$8:$K$207,Adjustments!$B$8:$B$207,$B241,Adjustments!$A$8:$A$207,Settings!$A$18))</f>
        <v>0</v>
      </c>
      <c r="R241" s="30" t="str">
        <f aca="false">IF(G241&gt;0,G241+A241/10000000,"")</f>
        <v/>
      </c>
    </row>
    <row r="242" customFormat="false" ht="15" hidden="false" customHeight="false" outlineLevel="0" collapsed="false">
      <c r="A242" s="9" t="n">
        <v>238</v>
      </c>
      <c r="B242" s="9" t="str">
        <f aca="false">IFERROR(INDEX('Zoho Dump'!$N$8:$N$3007,MATCH(A242,'Zoho Dump'!$AB$8:$AB$3007,0)),"")</f>
        <v/>
      </c>
      <c r="C242" s="17" t="n">
        <f aca="false">IF($B242="",0,SUMIFS('Zoho Dump'!$Q$8:$Q$3007,'Zoho Dump'!$N$8:$N$3007,$B242,'Zoho Dump'!$T$8:$T$3007,"Delivered",'Zoho Dump'!$R$8:$R$3007,"&gt;="&amp;Settings!$B$4))</f>
        <v>0</v>
      </c>
      <c r="D242" s="17" t="n">
        <f aca="false">IF($B242="",0,SUMIFS('Zoho Dump'!$X$8:$X$3007,'Zoho Dump'!$N$8:$N$3007,$B242,'Zoho Dump'!$T$8:$T$3007,"Backlog")+SUMIFS(Adjustments!$K$8:$K$207,Adjustments!$B$8:$B$207,$B242,Adjustments!$H$8:$H$207,"Backlog"))</f>
        <v>0</v>
      </c>
      <c r="E242" s="17" t="n">
        <f aca="false">IF($B242="",0,SUMIFS('Zoho Dump'!$Y$8:$Y$3007,'Zoho Dump'!$N$8:$N$3007,$B242,'Zoho Dump'!$T$8:$T$3007,"Pipeline")+SUMIFS(Adjustments!$L$8:$L$207,Adjustments!$B$8:$B$207,$B242,Adjustments!$H$8:$H$207,"Pipeline")+SUMIFS('Zoho Dump'!$Y$8:$Y$3007,'Zoho Dump'!$N$8:$N$3007,$B242,'Zoho Dump'!$T$8:$T$3007,"Overdue")+SUMIFS(Adjustments!$L$8:$L$207,Adjustments!$B$8:$B$207,$B242,Adjustments!$H$8:$H$207,"Overdue"))</f>
        <v>0</v>
      </c>
      <c r="F242" s="17" t="n">
        <f aca="false">IF($B242="",0,SUMIFS('Zoho Dump'!$X$8:$X$3007,'Zoho Dump'!$N$8:$N$3007,$B242,'Zoho Dump'!$T$8:$T$3007,"Pipeline")+SUMIFS(Adjustments!$K$8:$K$207,Adjustments!$B$8:$B$207,$B242,Adjustments!$H$8:$H$207,"Pipeline")+SUMIFS('Zoho Dump'!$X$8:$X$3007,'Zoho Dump'!$N$8:$N$3007,$B242,'Zoho Dump'!$T$8:$T$3007,"Overdue")+SUMIFS(Adjustments!$K$8:$K$207,Adjustments!$B$8:$B$207,$B242,Adjustments!$H$8:$H$207,"Overdue"))</f>
        <v>0</v>
      </c>
      <c r="G242" s="17" t="n">
        <f aca="false">D242+F242</f>
        <v>0</v>
      </c>
      <c r="H242" s="18" t="n">
        <f aca="false">IF(SUM($G$5:$G$404)=0,0,G242/SUM($G$5:$G$404))</f>
        <v>0</v>
      </c>
      <c r="I242" s="17" t="n">
        <f aca="false">IF($B242="",0,SUMIFS('Zoho Dump'!$Q$8:$Q$3007,'Zoho Dump'!$N$8:$N$3007,$B242,'Zoho Dump'!$T$8:$T$3007,"Lost",'Zoho Dump'!$R$8:$R$3007,"&gt;="&amp;Settings!$B$4))</f>
        <v>0</v>
      </c>
      <c r="J242" s="9" t="str">
        <f aca="false">IF($B242="","",IF(COUNTIF(Dashboard!$C$13:$C$22,$B242)&gt;0,"Yes",""))</f>
        <v/>
      </c>
      <c r="K242" s="17" t="n">
        <f aca="false">IF($B242="",0,SUMIFS('Zoho Dump'!$X$8:$X$3007,'Zoho Dump'!$N$8:$N$3007,$B242,'Zoho Dump'!$P$8:$P$3007,Settings!$A$12)+SUMIFS(Adjustments!$K$8:$K$207,Adjustments!$B$8:$B$207,$B242,Adjustments!$A$8:$A$207,Settings!$A$12))</f>
        <v>0</v>
      </c>
      <c r="L242" s="17" t="n">
        <f aca="false">IF($B242="",0,SUMIFS('Zoho Dump'!$X$8:$X$3007,'Zoho Dump'!$N$8:$N$3007,$B242,'Zoho Dump'!$P$8:$P$3007,Settings!$A$13)+SUMIFS(Adjustments!$K$8:$K$207,Adjustments!$B$8:$B$207,$B242,Adjustments!$A$8:$A$207,Settings!$A$13))</f>
        <v>0</v>
      </c>
      <c r="M242" s="17" t="n">
        <f aca="false">IF($B242="",0,SUMIFS('Zoho Dump'!$X$8:$X$3007,'Zoho Dump'!$N$8:$N$3007,$B242,'Zoho Dump'!$P$8:$P$3007,Settings!$A$14)+SUMIFS(Adjustments!$K$8:$K$207,Adjustments!$B$8:$B$207,$B242,Adjustments!$A$8:$A$207,Settings!$A$14))</f>
        <v>0</v>
      </c>
      <c r="N242" s="17" t="n">
        <f aca="false">IF($B242="",0,SUMIFS('Zoho Dump'!$X$8:$X$3007,'Zoho Dump'!$N$8:$N$3007,$B242,'Zoho Dump'!$P$8:$P$3007,Settings!$A$15)+SUMIFS(Adjustments!$K$8:$K$207,Adjustments!$B$8:$B$207,$B242,Adjustments!$A$8:$A$207,Settings!$A$15))</f>
        <v>0</v>
      </c>
      <c r="O242" s="17" t="n">
        <f aca="false">IF($B242="",0,SUMIFS('Zoho Dump'!$X$8:$X$3007,'Zoho Dump'!$N$8:$N$3007,$B242,'Zoho Dump'!$P$8:$P$3007,Settings!$A$16)+SUMIFS(Adjustments!$K$8:$K$207,Adjustments!$B$8:$B$207,$B242,Adjustments!$A$8:$A$207,Settings!$A$16))</f>
        <v>0</v>
      </c>
      <c r="P242" s="17" t="n">
        <f aca="false">IF($B242="",0,SUMIFS('Zoho Dump'!$X$8:$X$3007,'Zoho Dump'!$N$8:$N$3007,$B242,'Zoho Dump'!$P$8:$P$3007,Settings!$A$17)+SUMIFS(Adjustments!$K$8:$K$207,Adjustments!$B$8:$B$207,$B242,Adjustments!$A$8:$A$207,Settings!$A$17))</f>
        <v>0</v>
      </c>
      <c r="Q242" s="17" t="n">
        <f aca="false">IF($B242="",0,SUMIFS('Zoho Dump'!$X$8:$X$3007,'Zoho Dump'!$N$8:$N$3007,$B242,'Zoho Dump'!$P$8:$P$3007,Settings!$A$18)+SUMIFS(Adjustments!$K$8:$K$207,Adjustments!$B$8:$B$207,$B242,Adjustments!$A$8:$A$207,Settings!$A$18))</f>
        <v>0</v>
      </c>
      <c r="R242" s="30" t="str">
        <f aca="false">IF(G242&gt;0,G242+A242/10000000,"")</f>
        <v/>
      </c>
    </row>
    <row r="243" customFormat="false" ht="15" hidden="false" customHeight="false" outlineLevel="0" collapsed="false">
      <c r="A243" s="9" t="n">
        <v>239</v>
      </c>
      <c r="B243" s="9" t="str">
        <f aca="false">IFERROR(INDEX('Zoho Dump'!$N$8:$N$3007,MATCH(A243,'Zoho Dump'!$AB$8:$AB$3007,0)),"")</f>
        <v/>
      </c>
      <c r="C243" s="17" t="n">
        <f aca="false">IF($B243="",0,SUMIFS('Zoho Dump'!$Q$8:$Q$3007,'Zoho Dump'!$N$8:$N$3007,$B243,'Zoho Dump'!$T$8:$T$3007,"Delivered",'Zoho Dump'!$R$8:$R$3007,"&gt;="&amp;Settings!$B$4))</f>
        <v>0</v>
      </c>
      <c r="D243" s="17" t="n">
        <f aca="false">IF($B243="",0,SUMIFS('Zoho Dump'!$X$8:$X$3007,'Zoho Dump'!$N$8:$N$3007,$B243,'Zoho Dump'!$T$8:$T$3007,"Backlog")+SUMIFS(Adjustments!$K$8:$K$207,Adjustments!$B$8:$B$207,$B243,Adjustments!$H$8:$H$207,"Backlog"))</f>
        <v>0</v>
      </c>
      <c r="E243" s="17" t="n">
        <f aca="false">IF($B243="",0,SUMIFS('Zoho Dump'!$Y$8:$Y$3007,'Zoho Dump'!$N$8:$N$3007,$B243,'Zoho Dump'!$T$8:$T$3007,"Pipeline")+SUMIFS(Adjustments!$L$8:$L$207,Adjustments!$B$8:$B$207,$B243,Adjustments!$H$8:$H$207,"Pipeline")+SUMIFS('Zoho Dump'!$Y$8:$Y$3007,'Zoho Dump'!$N$8:$N$3007,$B243,'Zoho Dump'!$T$8:$T$3007,"Overdue")+SUMIFS(Adjustments!$L$8:$L$207,Adjustments!$B$8:$B$207,$B243,Adjustments!$H$8:$H$207,"Overdue"))</f>
        <v>0</v>
      </c>
      <c r="F243" s="17" t="n">
        <f aca="false">IF($B243="",0,SUMIFS('Zoho Dump'!$X$8:$X$3007,'Zoho Dump'!$N$8:$N$3007,$B243,'Zoho Dump'!$T$8:$T$3007,"Pipeline")+SUMIFS(Adjustments!$K$8:$K$207,Adjustments!$B$8:$B$207,$B243,Adjustments!$H$8:$H$207,"Pipeline")+SUMIFS('Zoho Dump'!$X$8:$X$3007,'Zoho Dump'!$N$8:$N$3007,$B243,'Zoho Dump'!$T$8:$T$3007,"Overdue")+SUMIFS(Adjustments!$K$8:$K$207,Adjustments!$B$8:$B$207,$B243,Adjustments!$H$8:$H$207,"Overdue"))</f>
        <v>0</v>
      </c>
      <c r="G243" s="17" t="n">
        <f aca="false">D243+F243</f>
        <v>0</v>
      </c>
      <c r="H243" s="18" t="n">
        <f aca="false">IF(SUM($G$5:$G$404)=0,0,G243/SUM($G$5:$G$404))</f>
        <v>0</v>
      </c>
      <c r="I243" s="17" t="n">
        <f aca="false">IF($B243="",0,SUMIFS('Zoho Dump'!$Q$8:$Q$3007,'Zoho Dump'!$N$8:$N$3007,$B243,'Zoho Dump'!$T$8:$T$3007,"Lost",'Zoho Dump'!$R$8:$R$3007,"&gt;="&amp;Settings!$B$4))</f>
        <v>0</v>
      </c>
      <c r="J243" s="9" t="str">
        <f aca="false">IF($B243="","",IF(COUNTIF(Dashboard!$C$13:$C$22,$B243)&gt;0,"Yes",""))</f>
        <v/>
      </c>
      <c r="K243" s="17" t="n">
        <f aca="false">IF($B243="",0,SUMIFS('Zoho Dump'!$X$8:$X$3007,'Zoho Dump'!$N$8:$N$3007,$B243,'Zoho Dump'!$P$8:$P$3007,Settings!$A$12)+SUMIFS(Adjustments!$K$8:$K$207,Adjustments!$B$8:$B$207,$B243,Adjustments!$A$8:$A$207,Settings!$A$12))</f>
        <v>0</v>
      </c>
      <c r="L243" s="17" t="n">
        <f aca="false">IF($B243="",0,SUMIFS('Zoho Dump'!$X$8:$X$3007,'Zoho Dump'!$N$8:$N$3007,$B243,'Zoho Dump'!$P$8:$P$3007,Settings!$A$13)+SUMIFS(Adjustments!$K$8:$K$207,Adjustments!$B$8:$B$207,$B243,Adjustments!$A$8:$A$207,Settings!$A$13))</f>
        <v>0</v>
      </c>
      <c r="M243" s="17" t="n">
        <f aca="false">IF($B243="",0,SUMIFS('Zoho Dump'!$X$8:$X$3007,'Zoho Dump'!$N$8:$N$3007,$B243,'Zoho Dump'!$P$8:$P$3007,Settings!$A$14)+SUMIFS(Adjustments!$K$8:$K$207,Adjustments!$B$8:$B$207,$B243,Adjustments!$A$8:$A$207,Settings!$A$14))</f>
        <v>0</v>
      </c>
      <c r="N243" s="17" t="n">
        <f aca="false">IF($B243="",0,SUMIFS('Zoho Dump'!$X$8:$X$3007,'Zoho Dump'!$N$8:$N$3007,$B243,'Zoho Dump'!$P$8:$P$3007,Settings!$A$15)+SUMIFS(Adjustments!$K$8:$K$207,Adjustments!$B$8:$B$207,$B243,Adjustments!$A$8:$A$207,Settings!$A$15))</f>
        <v>0</v>
      </c>
      <c r="O243" s="17" t="n">
        <f aca="false">IF($B243="",0,SUMIFS('Zoho Dump'!$X$8:$X$3007,'Zoho Dump'!$N$8:$N$3007,$B243,'Zoho Dump'!$P$8:$P$3007,Settings!$A$16)+SUMIFS(Adjustments!$K$8:$K$207,Adjustments!$B$8:$B$207,$B243,Adjustments!$A$8:$A$207,Settings!$A$16))</f>
        <v>0</v>
      </c>
      <c r="P243" s="17" t="n">
        <f aca="false">IF($B243="",0,SUMIFS('Zoho Dump'!$X$8:$X$3007,'Zoho Dump'!$N$8:$N$3007,$B243,'Zoho Dump'!$P$8:$P$3007,Settings!$A$17)+SUMIFS(Adjustments!$K$8:$K$207,Adjustments!$B$8:$B$207,$B243,Adjustments!$A$8:$A$207,Settings!$A$17))</f>
        <v>0</v>
      </c>
      <c r="Q243" s="17" t="n">
        <f aca="false">IF($B243="",0,SUMIFS('Zoho Dump'!$X$8:$X$3007,'Zoho Dump'!$N$8:$N$3007,$B243,'Zoho Dump'!$P$8:$P$3007,Settings!$A$18)+SUMIFS(Adjustments!$K$8:$K$207,Adjustments!$B$8:$B$207,$B243,Adjustments!$A$8:$A$207,Settings!$A$18))</f>
        <v>0</v>
      </c>
      <c r="R243" s="30" t="str">
        <f aca="false">IF(G243&gt;0,G243+A243/10000000,"")</f>
        <v/>
      </c>
    </row>
    <row r="244" customFormat="false" ht="15" hidden="false" customHeight="false" outlineLevel="0" collapsed="false">
      <c r="A244" s="9" t="n">
        <v>240</v>
      </c>
      <c r="B244" s="9" t="str">
        <f aca="false">IFERROR(INDEX('Zoho Dump'!$N$8:$N$3007,MATCH(A244,'Zoho Dump'!$AB$8:$AB$3007,0)),"")</f>
        <v/>
      </c>
      <c r="C244" s="17" t="n">
        <f aca="false">IF($B244="",0,SUMIFS('Zoho Dump'!$Q$8:$Q$3007,'Zoho Dump'!$N$8:$N$3007,$B244,'Zoho Dump'!$T$8:$T$3007,"Delivered",'Zoho Dump'!$R$8:$R$3007,"&gt;="&amp;Settings!$B$4))</f>
        <v>0</v>
      </c>
      <c r="D244" s="17" t="n">
        <f aca="false">IF($B244="",0,SUMIFS('Zoho Dump'!$X$8:$X$3007,'Zoho Dump'!$N$8:$N$3007,$B244,'Zoho Dump'!$T$8:$T$3007,"Backlog")+SUMIFS(Adjustments!$K$8:$K$207,Adjustments!$B$8:$B$207,$B244,Adjustments!$H$8:$H$207,"Backlog"))</f>
        <v>0</v>
      </c>
      <c r="E244" s="17" t="n">
        <f aca="false">IF($B244="",0,SUMIFS('Zoho Dump'!$Y$8:$Y$3007,'Zoho Dump'!$N$8:$N$3007,$B244,'Zoho Dump'!$T$8:$T$3007,"Pipeline")+SUMIFS(Adjustments!$L$8:$L$207,Adjustments!$B$8:$B$207,$B244,Adjustments!$H$8:$H$207,"Pipeline")+SUMIFS('Zoho Dump'!$Y$8:$Y$3007,'Zoho Dump'!$N$8:$N$3007,$B244,'Zoho Dump'!$T$8:$T$3007,"Overdue")+SUMIFS(Adjustments!$L$8:$L$207,Adjustments!$B$8:$B$207,$B244,Adjustments!$H$8:$H$207,"Overdue"))</f>
        <v>0</v>
      </c>
      <c r="F244" s="17" t="n">
        <f aca="false">IF($B244="",0,SUMIFS('Zoho Dump'!$X$8:$X$3007,'Zoho Dump'!$N$8:$N$3007,$B244,'Zoho Dump'!$T$8:$T$3007,"Pipeline")+SUMIFS(Adjustments!$K$8:$K$207,Adjustments!$B$8:$B$207,$B244,Adjustments!$H$8:$H$207,"Pipeline")+SUMIFS('Zoho Dump'!$X$8:$X$3007,'Zoho Dump'!$N$8:$N$3007,$B244,'Zoho Dump'!$T$8:$T$3007,"Overdue")+SUMIFS(Adjustments!$K$8:$K$207,Adjustments!$B$8:$B$207,$B244,Adjustments!$H$8:$H$207,"Overdue"))</f>
        <v>0</v>
      </c>
      <c r="G244" s="17" t="n">
        <f aca="false">D244+F244</f>
        <v>0</v>
      </c>
      <c r="H244" s="18" t="n">
        <f aca="false">IF(SUM($G$5:$G$404)=0,0,G244/SUM($G$5:$G$404))</f>
        <v>0</v>
      </c>
      <c r="I244" s="17" t="n">
        <f aca="false">IF($B244="",0,SUMIFS('Zoho Dump'!$Q$8:$Q$3007,'Zoho Dump'!$N$8:$N$3007,$B244,'Zoho Dump'!$T$8:$T$3007,"Lost",'Zoho Dump'!$R$8:$R$3007,"&gt;="&amp;Settings!$B$4))</f>
        <v>0</v>
      </c>
      <c r="J244" s="9" t="str">
        <f aca="false">IF($B244="","",IF(COUNTIF(Dashboard!$C$13:$C$22,$B244)&gt;0,"Yes",""))</f>
        <v/>
      </c>
      <c r="K244" s="17" t="n">
        <f aca="false">IF($B244="",0,SUMIFS('Zoho Dump'!$X$8:$X$3007,'Zoho Dump'!$N$8:$N$3007,$B244,'Zoho Dump'!$P$8:$P$3007,Settings!$A$12)+SUMIFS(Adjustments!$K$8:$K$207,Adjustments!$B$8:$B$207,$B244,Adjustments!$A$8:$A$207,Settings!$A$12))</f>
        <v>0</v>
      </c>
      <c r="L244" s="17" t="n">
        <f aca="false">IF($B244="",0,SUMIFS('Zoho Dump'!$X$8:$X$3007,'Zoho Dump'!$N$8:$N$3007,$B244,'Zoho Dump'!$P$8:$P$3007,Settings!$A$13)+SUMIFS(Adjustments!$K$8:$K$207,Adjustments!$B$8:$B$207,$B244,Adjustments!$A$8:$A$207,Settings!$A$13))</f>
        <v>0</v>
      </c>
      <c r="M244" s="17" t="n">
        <f aca="false">IF($B244="",0,SUMIFS('Zoho Dump'!$X$8:$X$3007,'Zoho Dump'!$N$8:$N$3007,$B244,'Zoho Dump'!$P$8:$P$3007,Settings!$A$14)+SUMIFS(Adjustments!$K$8:$K$207,Adjustments!$B$8:$B$207,$B244,Adjustments!$A$8:$A$207,Settings!$A$14))</f>
        <v>0</v>
      </c>
      <c r="N244" s="17" t="n">
        <f aca="false">IF($B244="",0,SUMIFS('Zoho Dump'!$X$8:$X$3007,'Zoho Dump'!$N$8:$N$3007,$B244,'Zoho Dump'!$P$8:$P$3007,Settings!$A$15)+SUMIFS(Adjustments!$K$8:$K$207,Adjustments!$B$8:$B$207,$B244,Adjustments!$A$8:$A$207,Settings!$A$15))</f>
        <v>0</v>
      </c>
      <c r="O244" s="17" t="n">
        <f aca="false">IF($B244="",0,SUMIFS('Zoho Dump'!$X$8:$X$3007,'Zoho Dump'!$N$8:$N$3007,$B244,'Zoho Dump'!$P$8:$P$3007,Settings!$A$16)+SUMIFS(Adjustments!$K$8:$K$207,Adjustments!$B$8:$B$207,$B244,Adjustments!$A$8:$A$207,Settings!$A$16))</f>
        <v>0</v>
      </c>
      <c r="P244" s="17" t="n">
        <f aca="false">IF($B244="",0,SUMIFS('Zoho Dump'!$X$8:$X$3007,'Zoho Dump'!$N$8:$N$3007,$B244,'Zoho Dump'!$P$8:$P$3007,Settings!$A$17)+SUMIFS(Adjustments!$K$8:$K$207,Adjustments!$B$8:$B$207,$B244,Adjustments!$A$8:$A$207,Settings!$A$17))</f>
        <v>0</v>
      </c>
      <c r="Q244" s="17" t="n">
        <f aca="false">IF($B244="",0,SUMIFS('Zoho Dump'!$X$8:$X$3007,'Zoho Dump'!$N$8:$N$3007,$B244,'Zoho Dump'!$P$8:$P$3007,Settings!$A$18)+SUMIFS(Adjustments!$K$8:$K$207,Adjustments!$B$8:$B$207,$B244,Adjustments!$A$8:$A$207,Settings!$A$18))</f>
        <v>0</v>
      </c>
      <c r="R244" s="30" t="str">
        <f aca="false">IF(G244&gt;0,G244+A244/10000000,"")</f>
        <v/>
      </c>
    </row>
    <row r="245" customFormat="false" ht="15" hidden="false" customHeight="false" outlineLevel="0" collapsed="false">
      <c r="A245" s="9" t="n">
        <v>241</v>
      </c>
      <c r="B245" s="9" t="str">
        <f aca="false">IFERROR(INDEX('Zoho Dump'!$N$8:$N$3007,MATCH(A245,'Zoho Dump'!$AB$8:$AB$3007,0)),"")</f>
        <v/>
      </c>
      <c r="C245" s="17" t="n">
        <f aca="false">IF($B245="",0,SUMIFS('Zoho Dump'!$Q$8:$Q$3007,'Zoho Dump'!$N$8:$N$3007,$B245,'Zoho Dump'!$T$8:$T$3007,"Delivered",'Zoho Dump'!$R$8:$R$3007,"&gt;="&amp;Settings!$B$4))</f>
        <v>0</v>
      </c>
      <c r="D245" s="17" t="n">
        <f aca="false">IF($B245="",0,SUMIFS('Zoho Dump'!$X$8:$X$3007,'Zoho Dump'!$N$8:$N$3007,$B245,'Zoho Dump'!$T$8:$T$3007,"Backlog")+SUMIFS(Adjustments!$K$8:$K$207,Adjustments!$B$8:$B$207,$B245,Adjustments!$H$8:$H$207,"Backlog"))</f>
        <v>0</v>
      </c>
      <c r="E245" s="17" t="n">
        <f aca="false">IF($B245="",0,SUMIFS('Zoho Dump'!$Y$8:$Y$3007,'Zoho Dump'!$N$8:$N$3007,$B245,'Zoho Dump'!$T$8:$T$3007,"Pipeline")+SUMIFS(Adjustments!$L$8:$L$207,Adjustments!$B$8:$B$207,$B245,Adjustments!$H$8:$H$207,"Pipeline")+SUMIFS('Zoho Dump'!$Y$8:$Y$3007,'Zoho Dump'!$N$8:$N$3007,$B245,'Zoho Dump'!$T$8:$T$3007,"Overdue")+SUMIFS(Adjustments!$L$8:$L$207,Adjustments!$B$8:$B$207,$B245,Adjustments!$H$8:$H$207,"Overdue"))</f>
        <v>0</v>
      </c>
      <c r="F245" s="17" t="n">
        <f aca="false">IF($B245="",0,SUMIFS('Zoho Dump'!$X$8:$X$3007,'Zoho Dump'!$N$8:$N$3007,$B245,'Zoho Dump'!$T$8:$T$3007,"Pipeline")+SUMIFS(Adjustments!$K$8:$K$207,Adjustments!$B$8:$B$207,$B245,Adjustments!$H$8:$H$207,"Pipeline")+SUMIFS('Zoho Dump'!$X$8:$X$3007,'Zoho Dump'!$N$8:$N$3007,$B245,'Zoho Dump'!$T$8:$T$3007,"Overdue")+SUMIFS(Adjustments!$K$8:$K$207,Adjustments!$B$8:$B$207,$B245,Adjustments!$H$8:$H$207,"Overdue"))</f>
        <v>0</v>
      </c>
      <c r="G245" s="17" t="n">
        <f aca="false">D245+F245</f>
        <v>0</v>
      </c>
      <c r="H245" s="18" t="n">
        <f aca="false">IF(SUM($G$5:$G$404)=0,0,G245/SUM($G$5:$G$404))</f>
        <v>0</v>
      </c>
      <c r="I245" s="17" t="n">
        <f aca="false">IF($B245="",0,SUMIFS('Zoho Dump'!$Q$8:$Q$3007,'Zoho Dump'!$N$8:$N$3007,$B245,'Zoho Dump'!$T$8:$T$3007,"Lost",'Zoho Dump'!$R$8:$R$3007,"&gt;="&amp;Settings!$B$4))</f>
        <v>0</v>
      </c>
      <c r="J245" s="9" t="str">
        <f aca="false">IF($B245="","",IF(COUNTIF(Dashboard!$C$13:$C$22,$B245)&gt;0,"Yes",""))</f>
        <v/>
      </c>
      <c r="K245" s="17" t="n">
        <f aca="false">IF($B245="",0,SUMIFS('Zoho Dump'!$X$8:$X$3007,'Zoho Dump'!$N$8:$N$3007,$B245,'Zoho Dump'!$P$8:$P$3007,Settings!$A$12)+SUMIFS(Adjustments!$K$8:$K$207,Adjustments!$B$8:$B$207,$B245,Adjustments!$A$8:$A$207,Settings!$A$12))</f>
        <v>0</v>
      </c>
      <c r="L245" s="17" t="n">
        <f aca="false">IF($B245="",0,SUMIFS('Zoho Dump'!$X$8:$X$3007,'Zoho Dump'!$N$8:$N$3007,$B245,'Zoho Dump'!$P$8:$P$3007,Settings!$A$13)+SUMIFS(Adjustments!$K$8:$K$207,Adjustments!$B$8:$B$207,$B245,Adjustments!$A$8:$A$207,Settings!$A$13))</f>
        <v>0</v>
      </c>
      <c r="M245" s="17" t="n">
        <f aca="false">IF($B245="",0,SUMIFS('Zoho Dump'!$X$8:$X$3007,'Zoho Dump'!$N$8:$N$3007,$B245,'Zoho Dump'!$P$8:$P$3007,Settings!$A$14)+SUMIFS(Adjustments!$K$8:$K$207,Adjustments!$B$8:$B$207,$B245,Adjustments!$A$8:$A$207,Settings!$A$14))</f>
        <v>0</v>
      </c>
      <c r="N245" s="17" t="n">
        <f aca="false">IF($B245="",0,SUMIFS('Zoho Dump'!$X$8:$X$3007,'Zoho Dump'!$N$8:$N$3007,$B245,'Zoho Dump'!$P$8:$P$3007,Settings!$A$15)+SUMIFS(Adjustments!$K$8:$K$207,Adjustments!$B$8:$B$207,$B245,Adjustments!$A$8:$A$207,Settings!$A$15))</f>
        <v>0</v>
      </c>
      <c r="O245" s="17" t="n">
        <f aca="false">IF($B245="",0,SUMIFS('Zoho Dump'!$X$8:$X$3007,'Zoho Dump'!$N$8:$N$3007,$B245,'Zoho Dump'!$P$8:$P$3007,Settings!$A$16)+SUMIFS(Adjustments!$K$8:$K$207,Adjustments!$B$8:$B$207,$B245,Adjustments!$A$8:$A$207,Settings!$A$16))</f>
        <v>0</v>
      </c>
      <c r="P245" s="17" t="n">
        <f aca="false">IF($B245="",0,SUMIFS('Zoho Dump'!$X$8:$X$3007,'Zoho Dump'!$N$8:$N$3007,$B245,'Zoho Dump'!$P$8:$P$3007,Settings!$A$17)+SUMIFS(Adjustments!$K$8:$K$207,Adjustments!$B$8:$B$207,$B245,Adjustments!$A$8:$A$207,Settings!$A$17))</f>
        <v>0</v>
      </c>
      <c r="Q245" s="17" t="n">
        <f aca="false">IF($B245="",0,SUMIFS('Zoho Dump'!$X$8:$X$3007,'Zoho Dump'!$N$8:$N$3007,$B245,'Zoho Dump'!$P$8:$P$3007,Settings!$A$18)+SUMIFS(Adjustments!$K$8:$K$207,Adjustments!$B$8:$B$207,$B245,Adjustments!$A$8:$A$207,Settings!$A$18))</f>
        <v>0</v>
      </c>
      <c r="R245" s="30" t="str">
        <f aca="false">IF(G245&gt;0,G245+A245/10000000,"")</f>
        <v/>
      </c>
    </row>
    <row r="246" customFormat="false" ht="15" hidden="false" customHeight="false" outlineLevel="0" collapsed="false">
      <c r="A246" s="9" t="n">
        <v>242</v>
      </c>
      <c r="B246" s="9" t="str">
        <f aca="false">IFERROR(INDEX('Zoho Dump'!$N$8:$N$3007,MATCH(A246,'Zoho Dump'!$AB$8:$AB$3007,0)),"")</f>
        <v/>
      </c>
      <c r="C246" s="17" t="n">
        <f aca="false">IF($B246="",0,SUMIFS('Zoho Dump'!$Q$8:$Q$3007,'Zoho Dump'!$N$8:$N$3007,$B246,'Zoho Dump'!$T$8:$T$3007,"Delivered",'Zoho Dump'!$R$8:$R$3007,"&gt;="&amp;Settings!$B$4))</f>
        <v>0</v>
      </c>
      <c r="D246" s="17" t="n">
        <f aca="false">IF($B246="",0,SUMIFS('Zoho Dump'!$X$8:$X$3007,'Zoho Dump'!$N$8:$N$3007,$B246,'Zoho Dump'!$T$8:$T$3007,"Backlog")+SUMIFS(Adjustments!$K$8:$K$207,Adjustments!$B$8:$B$207,$B246,Adjustments!$H$8:$H$207,"Backlog"))</f>
        <v>0</v>
      </c>
      <c r="E246" s="17" t="n">
        <f aca="false">IF($B246="",0,SUMIFS('Zoho Dump'!$Y$8:$Y$3007,'Zoho Dump'!$N$8:$N$3007,$B246,'Zoho Dump'!$T$8:$T$3007,"Pipeline")+SUMIFS(Adjustments!$L$8:$L$207,Adjustments!$B$8:$B$207,$B246,Adjustments!$H$8:$H$207,"Pipeline")+SUMIFS('Zoho Dump'!$Y$8:$Y$3007,'Zoho Dump'!$N$8:$N$3007,$B246,'Zoho Dump'!$T$8:$T$3007,"Overdue")+SUMIFS(Adjustments!$L$8:$L$207,Adjustments!$B$8:$B$207,$B246,Adjustments!$H$8:$H$207,"Overdue"))</f>
        <v>0</v>
      </c>
      <c r="F246" s="17" t="n">
        <f aca="false">IF($B246="",0,SUMIFS('Zoho Dump'!$X$8:$X$3007,'Zoho Dump'!$N$8:$N$3007,$B246,'Zoho Dump'!$T$8:$T$3007,"Pipeline")+SUMIFS(Adjustments!$K$8:$K$207,Adjustments!$B$8:$B$207,$B246,Adjustments!$H$8:$H$207,"Pipeline")+SUMIFS('Zoho Dump'!$X$8:$X$3007,'Zoho Dump'!$N$8:$N$3007,$B246,'Zoho Dump'!$T$8:$T$3007,"Overdue")+SUMIFS(Adjustments!$K$8:$K$207,Adjustments!$B$8:$B$207,$B246,Adjustments!$H$8:$H$207,"Overdue"))</f>
        <v>0</v>
      </c>
      <c r="G246" s="17" t="n">
        <f aca="false">D246+F246</f>
        <v>0</v>
      </c>
      <c r="H246" s="18" t="n">
        <f aca="false">IF(SUM($G$5:$G$404)=0,0,G246/SUM($G$5:$G$404))</f>
        <v>0</v>
      </c>
      <c r="I246" s="17" t="n">
        <f aca="false">IF($B246="",0,SUMIFS('Zoho Dump'!$Q$8:$Q$3007,'Zoho Dump'!$N$8:$N$3007,$B246,'Zoho Dump'!$T$8:$T$3007,"Lost",'Zoho Dump'!$R$8:$R$3007,"&gt;="&amp;Settings!$B$4))</f>
        <v>0</v>
      </c>
      <c r="J246" s="9" t="str">
        <f aca="false">IF($B246="","",IF(COUNTIF(Dashboard!$C$13:$C$22,$B246)&gt;0,"Yes",""))</f>
        <v/>
      </c>
      <c r="K246" s="17" t="n">
        <f aca="false">IF($B246="",0,SUMIFS('Zoho Dump'!$X$8:$X$3007,'Zoho Dump'!$N$8:$N$3007,$B246,'Zoho Dump'!$P$8:$P$3007,Settings!$A$12)+SUMIFS(Adjustments!$K$8:$K$207,Adjustments!$B$8:$B$207,$B246,Adjustments!$A$8:$A$207,Settings!$A$12))</f>
        <v>0</v>
      </c>
      <c r="L246" s="17" t="n">
        <f aca="false">IF($B246="",0,SUMIFS('Zoho Dump'!$X$8:$X$3007,'Zoho Dump'!$N$8:$N$3007,$B246,'Zoho Dump'!$P$8:$P$3007,Settings!$A$13)+SUMIFS(Adjustments!$K$8:$K$207,Adjustments!$B$8:$B$207,$B246,Adjustments!$A$8:$A$207,Settings!$A$13))</f>
        <v>0</v>
      </c>
      <c r="M246" s="17" t="n">
        <f aca="false">IF($B246="",0,SUMIFS('Zoho Dump'!$X$8:$X$3007,'Zoho Dump'!$N$8:$N$3007,$B246,'Zoho Dump'!$P$8:$P$3007,Settings!$A$14)+SUMIFS(Adjustments!$K$8:$K$207,Adjustments!$B$8:$B$207,$B246,Adjustments!$A$8:$A$207,Settings!$A$14))</f>
        <v>0</v>
      </c>
      <c r="N246" s="17" t="n">
        <f aca="false">IF($B246="",0,SUMIFS('Zoho Dump'!$X$8:$X$3007,'Zoho Dump'!$N$8:$N$3007,$B246,'Zoho Dump'!$P$8:$P$3007,Settings!$A$15)+SUMIFS(Adjustments!$K$8:$K$207,Adjustments!$B$8:$B$207,$B246,Adjustments!$A$8:$A$207,Settings!$A$15))</f>
        <v>0</v>
      </c>
      <c r="O246" s="17" t="n">
        <f aca="false">IF($B246="",0,SUMIFS('Zoho Dump'!$X$8:$X$3007,'Zoho Dump'!$N$8:$N$3007,$B246,'Zoho Dump'!$P$8:$P$3007,Settings!$A$16)+SUMIFS(Adjustments!$K$8:$K$207,Adjustments!$B$8:$B$207,$B246,Adjustments!$A$8:$A$207,Settings!$A$16))</f>
        <v>0</v>
      </c>
      <c r="P246" s="17" t="n">
        <f aca="false">IF($B246="",0,SUMIFS('Zoho Dump'!$X$8:$X$3007,'Zoho Dump'!$N$8:$N$3007,$B246,'Zoho Dump'!$P$8:$P$3007,Settings!$A$17)+SUMIFS(Adjustments!$K$8:$K$207,Adjustments!$B$8:$B$207,$B246,Adjustments!$A$8:$A$207,Settings!$A$17))</f>
        <v>0</v>
      </c>
      <c r="Q246" s="17" t="n">
        <f aca="false">IF($B246="",0,SUMIFS('Zoho Dump'!$X$8:$X$3007,'Zoho Dump'!$N$8:$N$3007,$B246,'Zoho Dump'!$P$8:$P$3007,Settings!$A$18)+SUMIFS(Adjustments!$K$8:$K$207,Adjustments!$B$8:$B$207,$B246,Adjustments!$A$8:$A$207,Settings!$A$18))</f>
        <v>0</v>
      </c>
      <c r="R246" s="30" t="str">
        <f aca="false">IF(G246&gt;0,G246+A246/10000000,"")</f>
        <v/>
      </c>
    </row>
    <row r="247" customFormat="false" ht="15" hidden="false" customHeight="false" outlineLevel="0" collapsed="false">
      <c r="A247" s="9" t="n">
        <v>243</v>
      </c>
      <c r="B247" s="9" t="str">
        <f aca="false">IFERROR(INDEX('Zoho Dump'!$N$8:$N$3007,MATCH(A247,'Zoho Dump'!$AB$8:$AB$3007,0)),"")</f>
        <v/>
      </c>
      <c r="C247" s="17" t="n">
        <f aca="false">IF($B247="",0,SUMIFS('Zoho Dump'!$Q$8:$Q$3007,'Zoho Dump'!$N$8:$N$3007,$B247,'Zoho Dump'!$T$8:$T$3007,"Delivered",'Zoho Dump'!$R$8:$R$3007,"&gt;="&amp;Settings!$B$4))</f>
        <v>0</v>
      </c>
      <c r="D247" s="17" t="n">
        <f aca="false">IF($B247="",0,SUMIFS('Zoho Dump'!$X$8:$X$3007,'Zoho Dump'!$N$8:$N$3007,$B247,'Zoho Dump'!$T$8:$T$3007,"Backlog")+SUMIFS(Adjustments!$K$8:$K$207,Adjustments!$B$8:$B$207,$B247,Adjustments!$H$8:$H$207,"Backlog"))</f>
        <v>0</v>
      </c>
      <c r="E247" s="17" t="n">
        <f aca="false">IF($B247="",0,SUMIFS('Zoho Dump'!$Y$8:$Y$3007,'Zoho Dump'!$N$8:$N$3007,$B247,'Zoho Dump'!$T$8:$T$3007,"Pipeline")+SUMIFS(Adjustments!$L$8:$L$207,Adjustments!$B$8:$B$207,$B247,Adjustments!$H$8:$H$207,"Pipeline")+SUMIFS('Zoho Dump'!$Y$8:$Y$3007,'Zoho Dump'!$N$8:$N$3007,$B247,'Zoho Dump'!$T$8:$T$3007,"Overdue")+SUMIFS(Adjustments!$L$8:$L$207,Adjustments!$B$8:$B$207,$B247,Adjustments!$H$8:$H$207,"Overdue"))</f>
        <v>0</v>
      </c>
      <c r="F247" s="17" t="n">
        <f aca="false">IF($B247="",0,SUMIFS('Zoho Dump'!$X$8:$X$3007,'Zoho Dump'!$N$8:$N$3007,$B247,'Zoho Dump'!$T$8:$T$3007,"Pipeline")+SUMIFS(Adjustments!$K$8:$K$207,Adjustments!$B$8:$B$207,$B247,Adjustments!$H$8:$H$207,"Pipeline")+SUMIFS('Zoho Dump'!$X$8:$X$3007,'Zoho Dump'!$N$8:$N$3007,$B247,'Zoho Dump'!$T$8:$T$3007,"Overdue")+SUMIFS(Adjustments!$K$8:$K$207,Adjustments!$B$8:$B$207,$B247,Adjustments!$H$8:$H$207,"Overdue"))</f>
        <v>0</v>
      </c>
      <c r="G247" s="17" t="n">
        <f aca="false">D247+F247</f>
        <v>0</v>
      </c>
      <c r="H247" s="18" t="n">
        <f aca="false">IF(SUM($G$5:$G$404)=0,0,G247/SUM($G$5:$G$404))</f>
        <v>0</v>
      </c>
      <c r="I247" s="17" t="n">
        <f aca="false">IF($B247="",0,SUMIFS('Zoho Dump'!$Q$8:$Q$3007,'Zoho Dump'!$N$8:$N$3007,$B247,'Zoho Dump'!$T$8:$T$3007,"Lost",'Zoho Dump'!$R$8:$R$3007,"&gt;="&amp;Settings!$B$4))</f>
        <v>0</v>
      </c>
      <c r="J247" s="9" t="str">
        <f aca="false">IF($B247="","",IF(COUNTIF(Dashboard!$C$13:$C$22,$B247)&gt;0,"Yes",""))</f>
        <v/>
      </c>
      <c r="K247" s="17" t="n">
        <f aca="false">IF($B247="",0,SUMIFS('Zoho Dump'!$X$8:$X$3007,'Zoho Dump'!$N$8:$N$3007,$B247,'Zoho Dump'!$P$8:$P$3007,Settings!$A$12)+SUMIFS(Adjustments!$K$8:$K$207,Adjustments!$B$8:$B$207,$B247,Adjustments!$A$8:$A$207,Settings!$A$12))</f>
        <v>0</v>
      </c>
      <c r="L247" s="17" t="n">
        <f aca="false">IF($B247="",0,SUMIFS('Zoho Dump'!$X$8:$X$3007,'Zoho Dump'!$N$8:$N$3007,$B247,'Zoho Dump'!$P$8:$P$3007,Settings!$A$13)+SUMIFS(Adjustments!$K$8:$K$207,Adjustments!$B$8:$B$207,$B247,Adjustments!$A$8:$A$207,Settings!$A$13))</f>
        <v>0</v>
      </c>
      <c r="M247" s="17" t="n">
        <f aca="false">IF($B247="",0,SUMIFS('Zoho Dump'!$X$8:$X$3007,'Zoho Dump'!$N$8:$N$3007,$B247,'Zoho Dump'!$P$8:$P$3007,Settings!$A$14)+SUMIFS(Adjustments!$K$8:$K$207,Adjustments!$B$8:$B$207,$B247,Adjustments!$A$8:$A$207,Settings!$A$14))</f>
        <v>0</v>
      </c>
      <c r="N247" s="17" t="n">
        <f aca="false">IF($B247="",0,SUMIFS('Zoho Dump'!$X$8:$X$3007,'Zoho Dump'!$N$8:$N$3007,$B247,'Zoho Dump'!$P$8:$P$3007,Settings!$A$15)+SUMIFS(Adjustments!$K$8:$K$207,Adjustments!$B$8:$B$207,$B247,Adjustments!$A$8:$A$207,Settings!$A$15))</f>
        <v>0</v>
      </c>
      <c r="O247" s="17" t="n">
        <f aca="false">IF($B247="",0,SUMIFS('Zoho Dump'!$X$8:$X$3007,'Zoho Dump'!$N$8:$N$3007,$B247,'Zoho Dump'!$P$8:$P$3007,Settings!$A$16)+SUMIFS(Adjustments!$K$8:$K$207,Adjustments!$B$8:$B$207,$B247,Adjustments!$A$8:$A$207,Settings!$A$16))</f>
        <v>0</v>
      </c>
      <c r="P247" s="17" t="n">
        <f aca="false">IF($B247="",0,SUMIFS('Zoho Dump'!$X$8:$X$3007,'Zoho Dump'!$N$8:$N$3007,$B247,'Zoho Dump'!$P$8:$P$3007,Settings!$A$17)+SUMIFS(Adjustments!$K$8:$K$207,Adjustments!$B$8:$B$207,$B247,Adjustments!$A$8:$A$207,Settings!$A$17))</f>
        <v>0</v>
      </c>
      <c r="Q247" s="17" t="n">
        <f aca="false">IF($B247="",0,SUMIFS('Zoho Dump'!$X$8:$X$3007,'Zoho Dump'!$N$8:$N$3007,$B247,'Zoho Dump'!$P$8:$P$3007,Settings!$A$18)+SUMIFS(Adjustments!$K$8:$K$207,Adjustments!$B$8:$B$207,$B247,Adjustments!$A$8:$A$207,Settings!$A$18))</f>
        <v>0</v>
      </c>
      <c r="R247" s="30" t="str">
        <f aca="false">IF(G247&gt;0,G247+A247/10000000,"")</f>
        <v/>
      </c>
    </row>
    <row r="248" customFormat="false" ht="15" hidden="false" customHeight="false" outlineLevel="0" collapsed="false">
      <c r="A248" s="9" t="n">
        <v>244</v>
      </c>
      <c r="B248" s="9" t="str">
        <f aca="false">IFERROR(INDEX('Zoho Dump'!$N$8:$N$3007,MATCH(A248,'Zoho Dump'!$AB$8:$AB$3007,0)),"")</f>
        <v/>
      </c>
      <c r="C248" s="17" t="n">
        <f aca="false">IF($B248="",0,SUMIFS('Zoho Dump'!$Q$8:$Q$3007,'Zoho Dump'!$N$8:$N$3007,$B248,'Zoho Dump'!$T$8:$T$3007,"Delivered",'Zoho Dump'!$R$8:$R$3007,"&gt;="&amp;Settings!$B$4))</f>
        <v>0</v>
      </c>
      <c r="D248" s="17" t="n">
        <f aca="false">IF($B248="",0,SUMIFS('Zoho Dump'!$X$8:$X$3007,'Zoho Dump'!$N$8:$N$3007,$B248,'Zoho Dump'!$T$8:$T$3007,"Backlog")+SUMIFS(Adjustments!$K$8:$K$207,Adjustments!$B$8:$B$207,$B248,Adjustments!$H$8:$H$207,"Backlog"))</f>
        <v>0</v>
      </c>
      <c r="E248" s="17" t="n">
        <f aca="false">IF($B248="",0,SUMIFS('Zoho Dump'!$Y$8:$Y$3007,'Zoho Dump'!$N$8:$N$3007,$B248,'Zoho Dump'!$T$8:$T$3007,"Pipeline")+SUMIFS(Adjustments!$L$8:$L$207,Adjustments!$B$8:$B$207,$B248,Adjustments!$H$8:$H$207,"Pipeline")+SUMIFS('Zoho Dump'!$Y$8:$Y$3007,'Zoho Dump'!$N$8:$N$3007,$B248,'Zoho Dump'!$T$8:$T$3007,"Overdue")+SUMIFS(Adjustments!$L$8:$L$207,Adjustments!$B$8:$B$207,$B248,Adjustments!$H$8:$H$207,"Overdue"))</f>
        <v>0</v>
      </c>
      <c r="F248" s="17" t="n">
        <f aca="false">IF($B248="",0,SUMIFS('Zoho Dump'!$X$8:$X$3007,'Zoho Dump'!$N$8:$N$3007,$B248,'Zoho Dump'!$T$8:$T$3007,"Pipeline")+SUMIFS(Adjustments!$K$8:$K$207,Adjustments!$B$8:$B$207,$B248,Adjustments!$H$8:$H$207,"Pipeline")+SUMIFS('Zoho Dump'!$X$8:$X$3007,'Zoho Dump'!$N$8:$N$3007,$B248,'Zoho Dump'!$T$8:$T$3007,"Overdue")+SUMIFS(Adjustments!$K$8:$K$207,Adjustments!$B$8:$B$207,$B248,Adjustments!$H$8:$H$207,"Overdue"))</f>
        <v>0</v>
      </c>
      <c r="G248" s="17" t="n">
        <f aca="false">D248+F248</f>
        <v>0</v>
      </c>
      <c r="H248" s="18" t="n">
        <f aca="false">IF(SUM($G$5:$G$404)=0,0,G248/SUM($G$5:$G$404))</f>
        <v>0</v>
      </c>
      <c r="I248" s="17" t="n">
        <f aca="false">IF($B248="",0,SUMIFS('Zoho Dump'!$Q$8:$Q$3007,'Zoho Dump'!$N$8:$N$3007,$B248,'Zoho Dump'!$T$8:$T$3007,"Lost",'Zoho Dump'!$R$8:$R$3007,"&gt;="&amp;Settings!$B$4))</f>
        <v>0</v>
      </c>
      <c r="J248" s="9" t="str">
        <f aca="false">IF($B248="","",IF(COUNTIF(Dashboard!$C$13:$C$22,$B248)&gt;0,"Yes",""))</f>
        <v/>
      </c>
      <c r="K248" s="17" t="n">
        <f aca="false">IF($B248="",0,SUMIFS('Zoho Dump'!$X$8:$X$3007,'Zoho Dump'!$N$8:$N$3007,$B248,'Zoho Dump'!$P$8:$P$3007,Settings!$A$12)+SUMIFS(Adjustments!$K$8:$K$207,Adjustments!$B$8:$B$207,$B248,Adjustments!$A$8:$A$207,Settings!$A$12))</f>
        <v>0</v>
      </c>
      <c r="L248" s="17" t="n">
        <f aca="false">IF($B248="",0,SUMIFS('Zoho Dump'!$X$8:$X$3007,'Zoho Dump'!$N$8:$N$3007,$B248,'Zoho Dump'!$P$8:$P$3007,Settings!$A$13)+SUMIFS(Adjustments!$K$8:$K$207,Adjustments!$B$8:$B$207,$B248,Adjustments!$A$8:$A$207,Settings!$A$13))</f>
        <v>0</v>
      </c>
      <c r="M248" s="17" t="n">
        <f aca="false">IF($B248="",0,SUMIFS('Zoho Dump'!$X$8:$X$3007,'Zoho Dump'!$N$8:$N$3007,$B248,'Zoho Dump'!$P$8:$P$3007,Settings!$A$14)+SUMIFS(Adjustments!$K$8:$K$207,Adjustments!$B$8:$B$207,$B248,Adjustments!$A$8:$A$207,Settings!$A$14))</f>
        <v>0</v>
      </c>
      <c r="N248" s="17" t="n">
        <f aca="false">IF($B248="",0,SUMIFS('Zoho Dump'!$X$8:$X$3007,'Zoho Dump'!$N$8:$N$3007,$B248,'Zoho Dump'!$P$8:$P$3007,Settings!$A$15)+SUMIFS(Adjustments!$K$8:$K$207,Adjustments!$B$8:$B$207,$B248,Adjustments!$A$8:$A$207,Settings!$A$15))</f>
        <v>0</v>
      </c>
      <c r="O248" s="17" t="n">
        <f aca="false">IF($B248="",0,SUMIFS('Zoho Dump'!$X$8:$X$3007,'Zoho Dump'!$N$8:$N$3007,$B248,'Zoho Dump'!$P$8:$P$3007,Settings!$A$16)+SUMIFS(Adjustments!$K$8:$K$207,Adjustments!$B$8:$B$207,$B248,Adjustments!$A$8:$A$207,Settings!$A$16))</f>
        <v>0</v>
      </c>
      <c r="P248" s="17" t="n">
        <f aca="false">IF($B248="",0,SUMIFS('Zoho Dump'!$X$8:$X$3007,'Zoho Dump'!$N$8:$N$3007,$B248,'Zoho Dump'!$P$8:$P$3007,Settings!$A$17)+SUMIFS(Adjustments!$K$8:$K$207,Adjustments!$B$8:$B$207,$B248,Adjustments!$A$8:$A$207,Settings!$A$17))</f>
        <v>0</v>
      </c>
      <c r="Q248" s="17" t="n">
        <f aca="false">IF($B248="",0,SUMIFS('Zoho Dump'!$X$8:$X$3007,'Zoho Dump'!$N$8:$N$3007,$B248,'Zoho Dump'!$P$8:$P$3007,Settings!$A$18)+SUMIFS(Adjustments!$K$8:$K$207,Adjustments!$B$8:$B$207,$B248,Adjustments!$A$8:$A$207,Settings!$A$18))</f>
        <v>0</v>
      </c>
      <c r="R248" s="30" t="str">
        <f aca="false">IF(G248&gt;0,G248+A248/10000000,"")</f>
        <v/>
      </c>
    </row>
    <row r="249" customFormat="false" ht="15" hidden="false" customHeight="false" outlineLevel="0" collapsed="false">
      <c r="A249" s="9" t="n">
        <v>245</v>
      </c>
      <c r="B249" s="9" t="str">
        <f aca="false">IFERROR(INDEX('Zoho Dump'!$N$8:$N$3007,MATCH(A249,'Zoho Dump'!$AB$8:$AB$3007,0)),"")</f>
        <v/>
      </c>
      <c r="C249" s="17" t="n">
        <f aca="false">IF($B249="",0,SUMIFS('Zoho Dump'!$Q$8:$Q$3007,'Zoho Dump'!$N$8:$N$3007,$B249,'Zoho Dump'!$T$8:$T$3007,"Delivered",'Zoho Dump'!$R$8:$R$3007,"&gt;="&amp;Settings!$B$4))</f>
        <v>0</v>
      </c>
      <c r="D249" s="17" t="n">
        <f aca="false">IF($B249="",0,SUMIFS('Zoho Dump'!$X$8:$X$3007,'Zoho Dump'!$N$8:$N$3007,$B249,'Zoho Dump'!$T$8:$T$3007,"Backlog")+SUMIFS(Adjustments!$K$8:$K$207,Adjustments!$B$8:$B$207,$B249,Adjustments!$H$8:$H$207,"Backlog"))</f>
        <v>0</v>
      </c>
      <c r="E249" s="17" t="n">
        <f aca="false">IF($B249="",0,SUMIFS('Zoho Dump'!$Y$8:$Y$3007,'Zoho Dump'!$N$8:$N$3007,$B249,'Zoho Dump'!$T$8:$T$3007,"Pipeline")+SUMIFS(Adjustments!$L$8:$L$207,Adjustments!$B$8:$B$207,$B249,Adjustments!$H$8:$H$207,"Pipeline")+SUMIFS('Zoho Dump'!$Y$8:$Y$3007,'Zoho Dump'!$N$8:$N$3007,$B249,'Zoho Dump'!$T$8:$T$3007,"Overdue")+SUMIFS(Adjustments!$L$8:$L$207,Adjustments!$B$8:$B$207,$B249,Adjustments!$H$8:$H$207,"Overdue"))</f>
        <v>0</v>
      </c>
      <c r="F249" s="17" t="n">
        <f aca="false">IF($B249="",0,SUMIFS('Zoho Dump'!$X$8:$X$3007,'Zoho Dump'!$N$8:$N$3007,$B249,'Zoho Dump'!$T$8:$T$3007,"Pipeline")+SUMIFS(Adjustments!$K$8:$K$207,Adjustments!$B$8:$B$207,$B249,Adjustments!$H$8:$H$207,"Pipeline")+SUMIFS('Zoho Dump'!$X$8:$X$3007,'Zoho Dump'!$N$8:$N$3007,$B249,'Zoho Dump'!$T$8:$T$3007,"Overdue")+SUMIFS(Adjustments!$K$8:$K$207,Adjustments!$B$8:$B$207,$B249,Adjustments!$H$8:$H$207,"Overdue"))</f>
        <v>0</v>
      </c>
      <c r="G249" s="17" t="n">
        <f aca="false">D249+F249</f>
        <v>0</v>
      </c>
      <c r="H249" s="18" t="n">
        <f aca="false">IF(SUM($G$5:$G$404)=0,0,G249/SUM($G$5:$G$404))</f>
        <v>0</v>
      </c>
      <c r="I249" s="17" t="n">
        <f aca="false">IF($B249="",0,SUMIFS('Zoho Dump'!$Q$8:$Q$3007,'Zoho Dump'!$N$8:$N$3007,$B249,'Zoho Dump'!$T$8:$T$3007,"Lost",'Zoho Dump'!$R$8:$R$3007,"&gt;="&amp;Settings!$B$4))</f>
        <v>0</v>
      </c>
      <c r="J249" s="9" t="str">
        <f aca="false">IF($B249="","",IF(COUNTIF(Dashboard!$C$13:$C$22,$B249)&gt;0,"Yes",""))</f>
        <v/>
      </c>
      <c r="K249" s="17" t="n">
        <f aca="false">IF($B249="",0,SUMIFS('Zoho Dump'!$X$8:$X$3007,'Zoho Dump'!$N$8:$N$3007,$B249,'Zoho Dump'!$P$8:$P$3007,Settings!$A$12)+SUMIFS(Adjustments!$K$8:$K$207,Adjustments!$B$8:$B$207,$B249,Adjustments!$A$8:$A$207,Settings!$A$12))</f>
        <v>0</v>
      </c>
      <c r="L249" s="17" t="n">
        <f aca="false">IF($B249="",0,SUMIFS('Zoho Dump'!$X$8:$X$3007,'Zoho Dump'!$N$8:$N$3007,$B249,'Zoho Dump'!$P$8:$P$3007,Settings!$A$13)+SUMIFS(Adjustments!$K$8:$K$207,Adjustments!$B$8:$B$207,$B249,Adjustments!$A$8:$A$207,Settings!$A$13))</f>
        <v>0</v>
      </c>
      <c r="M249" s="17" t="n">
        <f aca="false">IF($B249="",0,SUMIFS('Zoho Dump'!$X$8:$X$3007,'Zoho Dump'!$N$8:$N$3007,$B249,'Zoho Dump'!$P$8:$P$3007,Settings!$A$14)+SUMIFS(Adjustments!$K$8:$K$207,Adjustments!$B$8:$B$207,$B249,Adjustments!$A$8:$A$207,Settings!$A$14))</f>
        <v>0</v>
      </c>
      <c r="N249" s="17" t="n">
        <f aca="false">IF($B249="",0,SUMIFS('Zoho Dump'!$X$8:$X$3007,'Zoho Dump'!$N$8:$N$3007,$B249,'Zoho Dump'!$P$8:$P$3007,Settings!$A$15)+SUMIFS(Adjustments!$K$8:$K$207,Adjustments!$B$8:$B$207,$B249,Adjustments!$A$8:$A$207,Settings!$A$15))</f>
        <v>0</v>
      </c>
      <c r="O249" s="17" t="n">
        <f aca="false">IF($B249="",0,SUMIFS('Zoho Dump'!$X$8:$X$3007,'Zoho Dump'!$N$8:$N$3007,$B249,'Zoho Dump'!$P$8:$P$3007,Settings!$A$16)+SUMIFS(Adjustments!$K$8:$K$207,Adjustments!$B$8:$B$207,$B249,Adjustments!$A$8:$A$207,Settings!$A$16))</f>
        <v>0</v>
      </c>
      <c r="P249" s="17" t="n">
        <f aca="false">IF($B249="",0,SUMIFS('Zoho Dump'!$X$8:$X$3007,'Zoho Dump'!$N$8:$N$3007,$B249,'Zoho Dump'!$P$8:$P$3007,Settings!$A$17)+SUMIFS(Adjustments!$K$8:$K$207,Adjustments!$B$8:$B$207,$B249,Adjustments!$A$8:$A$207,Settings!$A$17))</f>
        <v>0</v>
      </c>
      <c r="Q249" s="17" t="n">
        <f aca="false">IF($B249="",0,SUMIFS('Zoho Dump'!$X$8:$X$3007,'Zoho Dump'!$N$8:$N$3007,$B249,'Zoho Dump'!$P$8:$P$3007,Settings!$A$18)+SUMIFS(Adjustments!$K$8:$K$207,Adjustments!$B$8:$B$207,$B249,Adjustments!$A$8:$A$207,Settings!$A$18))</f>
        <v>0</v>
      </c>
      <c r="R249" s="30" t="str">
        <f aca="false">IF(G249&gt;0,G249+A249/10000000,"")</f>
        <v/>
      </c>
    </row>
    <row r="250" customFormat="false" ht="15" hidden="false" customHeight="false" outlineLevel="0" collapsed="false">
      <c r="A250" s="9" t="n">
        <v>246</v>
      </c>
      <c r="B250" s="9" t="str">
        <f aca="false">IFERROR(INDEX('Zoho Dump'!$N$8:$N$3007,MATCH(A250,'Zoho Dump'!$AB$8:$AB$3007,0)),"")</f>
        <v/>
      </c>
      <c r="C250" s="17" t="n">
        <f aca="false">IF($B250="",0,SUMIFS('Zoho Dump'!$Q$8:$Q$3007,'Zoho Dump'!$N$8:$N$3007,$B250,'Zoho Dump'!$T$8:$T$3007,"Delivered",'Zoho Dump'!$R$8:$R$3007,"&gt;="&amp;Settings!$B$4))</f>
        <v>0</v>
      </c>
      <c r="D250" s="17" t="n">
        <f aca="false">IF($B250="",0,SUMIFS('Zoho Dump'!$X$8:$X$3007,'Zoho Dump'!$N$8:$N$3007,$B250,'Zoho Dump'!$T$8:$T$3007,"Backlog")+SUMIFS(Adjustments!$K$8:$K$207,Adjustments!$B$8:$B$207,$B250,Adjustments!$H$8:$H$207,"Backlog"))</f>
        <v>0</v>
      </c>
      <c r="E250" s="17" t="n">
        <f aca="false">IF($B250="",0,SUMIFS('Zoho Dump'!$Y$8:$Y$3007,'Zoho Dump'!$N$8:$N$3007,$B250,'Zoho Dump'!$T$8:$T$3007,"Pipeline")+SUMIFS(Adjustments!$L$8:$L$207,Adjustments!$B$8:$B$207,$B250,Adjustments!$H$8:$H$207,"Pipeline")+SUMIFS('Zoho Dump'!$Y$8:$Y$3007,'Zoho Dump'!$N$8:$N$3007,$B250,'Zoho Dump'!$T$8:$T$3007,"Overdue")+SUMIFS(Adjustments!$L$8:$L$207,Adjustments!$B$8:$B$207,$B250,Adjustments!$H$8:$H$207,"Overdue"))</f>
        <v>0</v>
      </c>
      <c r="F250" s="17" t="n">
        <f aca="false">IF($B250="",0,SUMIFS('Zoho Dump'!$X$8:$X$3007,'Zoho Dump'!$N$8:$N$3007,$B250,'Zoho Dump'!$T$8:$T$3007,"Pipeline")+SUMIFS(Adjustments!$K$8:$K$207,Adjustments!$B$8:$B$207,$B250,Adjustments!$H$8:$H$207,"Pipeline")+SUMIFS('Zoho Dump'!$X$8:$X$3007,'Zoho Dump'!$N$8:$N$3007,$B250,'Zoho Dump'!$T$8:$T$3007,"Overdue")+SUMIFS(Adjustments!$K$8:$K$207,Adjustments!$B$8:$B$207,$B250,Adjustments!$H$8:$H$207,"Overdue"))</f>
        <v>0</v>
      </c>
      <c r="G250" s="17" t="n">
        <f aca="false">D250+F250</f>
        <v>0</v>
      </c>
      <c r="H250" s="18" t="n">
        <f aca="false">IF(SUM($G$5:$G$404)=0,0,G250/SUM($G$5:$G$404))</f>
        <v>0</v>
      </c>
      <c r="I250" s="17" t="n">
        <f aca="false">IF($B250="",0,SUMIFS('Zoho Dump'!$Q$8:$Q$3007,'Zoho Dump'!$N$8:$N$3007,$B250,'Zoho Dump'!$T$8:$T$3007,"Lost",'Zoho Dump'!$R$8:$R$3007,"&gt;="&amp;Settings!$B$4))</f>
        <v>0</v>
      </c>
      <c r="J250" s="9" t="str">
        <f aca="false">IF($B250="","",IF(COUNTIF(Dashboard!$C$13:$C$22,$B250)&gt;0,"Yes",""))</f>
        <v/>
      </c>
      <c r="K250" s="17" t="n">
        <f aca="false">IF($B250="",0,SUMIFS('Zoho Dump'!$X$8:$X$3007,'Zoho Dump'!$N$8:$N$3007,$B250,'Zoho Dump'!$P$8:$P$3007,Settings!$A$12)+SUMIFS(Adjustments!$K$8:$K$207,Adjustments!$B$8:$B$207,$B250,Adjustments!$A$8:$A$207,Settings!$A$12))</f>
        <v>0</v>
      </c>
      <c r="L250" s="17" t="n">
        <f aca="false">IF($B250="",0,SUMIFS('Zoho Dump'!$X$8:$X$3007,'Zoho Dump'!$N$8:$N$3007,$B250,'Zoho Dump'!$P$8:$P$3007,Settings!$A$13)+SUMIFS(Adjustments!$K$8:$K$207,Adjustments!$B$8:$B$207,$B250,Adjustments!$A$8:$A$207,Settings!$A$13))</f>
        <v>0</v>
      </c>
      <c r="M250" s="17" t="n">
        <f aca="false">IF($B250="",0,SUMIFS('Zoho Dump'!$X$8:$X$3007,'Zoho Dump'!$N$8:$N$3007,$B250,'Zoho Dump'!$P$8:$P$3007,Settings!$A$14)+SUMIFS(Adjustments!$K$8:$K$207,Adjustments!$B$8:$B$207,$B250,Adjustments!$A$8:$A$207,Settings!$A$14))</f>
        <v>0</v>
      </c>
      <c r="N250" s="17" t="n">
        <f aca="false">IF($B250="",0,SUMIFS('Zoho Dump'!$X$8:$X$3007,'Zoho Dump'!$N$8:$N$3007,$B250,'Zoho Dump'!$P$8:$P$3007,Settings!$A$15)+SUMIFS(Adjustments!$K$8:$K$207,Adjustments!$B$8:$B$207,$B250,Adjustments!$A$8:$A$207,Settings!$A$15))</f>
        <v>0</v>
      </c>
      <c r="O250" s="17" t="n">
        <f aca="false">IF($B250="",0,SUMIFS('Zoho Dump'!$X$8:$X$3007,'Zoho Dump'!$N$8:$N$3007,$B250,'Zoho Dump'!$P$8:$P$3007,Settings!$A$16)+SUMIFS(Adjustments!$K$8:$K$207,Adjustments!$B$8:$B$207,$B250,Adjustments!$A$8:$A$207,Settings!$A$16))</f>
        <v>0</v>
      </c>
      <c r="P250" s="17" t="n">
        <f aca="false">IF($B250="",0,SUMIFS('Zoho Dump'!$X$8:$X$3007,'Zoho Dump'!$N$8:$N$3007,$B250,'Zoho Dump'!$P$8:$P$3007,Settings!$A$17)+SUMIFS(Adjustments!$K$8:$K$207,Adjustments!$B$8:$B$207,$B250,Adjustments!$A$8:$A$207,Settings!$A$17))</f>
        <v>0</v>
      </c>
      <c r="Q250" s="17" t="n">
        <f aca="false">IF($B250="",0,SUMIFS('Zoho Dump'!$X$8:$X$3007,'Zoho Dump'!$N$8:$N$3007,$B250,'Zoho Dump'!$P$8:$P$3007,Settings!$A$18)+SUMIFS(Adjustments!$K$8:$K$207,Adjustments!$B$8:$B$207,$B250,Adjustments!$A$8:$A$207,Settings!$A$18))</f>
        <v>0</v>
      </c>
      <c r="R250" s="30" t="str">
        <f aca="false">IF(G250&gt;0,G250+A250/10000000,"")</f>
        <v/>
      </c>
    </row>
    <row r="251" customFormat="false" ht="15" hidden="false" customHeight="false" outlineLevel="0" collapsed="false">
      <c r="A251" s="9" t="n">
        <v>247</v>
      </c>
      <c r="B251" s="9" t="str">
        <f aca="false">IFERROR(INDEX('Zoho Dump'!$N$8:$N$3007,MATCH(A251,'Zoho Dump'!$AB$8:$AB$3007,0)),"")</f>
        <v/>
      </c>
      <c r="C251" s="17" t="n">
        <f aca="false">IF($B251="",0,SUMIFS('Zoho Dump'!$Q$8:$Q$3007,'Zoho Dump'!$N$8:$N$3007,$B251,'Zoho Dump'!$T$8:$T$3007,"Delivered",'Zoho Dump'!$R$8:$R$3007,"&gt;="&amp;Settings!$B$4))</f>
        <v>0</v>
      </c>
      <c r="D251" s="17" t="n">
        <f aca="false">IF($B251="",0,SUMIFS('Zoho Dump'!$X$8:$X$3007,'Zoho Dump'!$N$8:$N$3007,$B251,'Zoho Dump'!$T$8:$T$3007,"Backlog")+SUMIFS(Adjustments!$K$8:$K$207,Adjustments!$B$8:$B$207,$B251,Adjustments!$H$8:$H$207,"Backlog"))</f>
        <v>0</v>
      </c>
      <c r="E251" s="17" t="n">
        <f aca="false">IF($B251="",0,SUMIFS('Zoho Dump'!$Y$8:$Y$3007,'Zoho Dump'!$N$8:$N$3007,$B251,'Zoho Dump'!$T$8:$T$3007,"Pipeline")+SUMIFS(Adjustments!$L$8:$L$207,Adjustments!$B$8:$B$207,$B251,Adjustments!$H$8:$H$207,"Pipeline")+SUMIFS('Zoho Dump'!$Y$8:$Y$3007,'Zoho Dump'!$N$8:$N$3007,$B251,'Zoho Dump'!$T$8:$T$3007,"Overdue")+SUMIFS(Adjustments!$L$8:$L$207,Adjustments!$B$8:$B$207,$B251,Adjustments!$H$8:$H$207,"Overdue"))</f>
        <v>0</v>
      </c>
      <c r="F251" s="17" t="n">
        <f aca="false">IF($B251="",0,SUMIFS('Zoho Dump'!$X$8:$X$3007,'Zoho Dump'!$N$8:$N$3007,$B251,'Zoho Dump'!$T$8:$T$3007,"Pipeline")+SUMIFS(Adjustments!$K$8:$K$207,Adjustments!$B$8:$B$207,$B251,Adjustments!$H$8:$H$207,"Pipeline")+SUMIFS('Zoho Dump'!$X$8:$X$3007,'Zoho Dump'!$N$8:$N$3007,$B251,'Zoho Dump'!$T$8:$T$3007,"Overdue")+SUMIFS(Adjustments!$K$8:$K$207,Adjustments!$B$8:$B$207,$B251,Adjustments!$H$8:$H$207,"Overdue"))</f>
        <v>0</v>
      </c>
      <c r="G251" s="17" t="n">
        <f aca="false">D251+F251</f>
        <v>0</v>
      </c>
      <c r="H251" s="18" t="n">
        <f aca="false">IF(SUM($G$5:$G$404)=0,0,G251/SUM($G$5:$G$404))</f>
        <v>0</v>
      </c>
      <c r="I251" s="17" t="n">
        <f aca="false">IF($B251="",0,SUMIFS('Zoho Dump'!$Q$8:$Q$3007,'Zoho Dump'!$N$8:$N$3007,$B251,'Zoho Dump'!$T$8:$T$3007,"Lost",'Zoho Dump'!$R$8:$R$3007,"&gt;="&amp;Settings!$B$4))</f>
        <v>0</v>
      </c>
      <c r="J251" s="9" t="str">
        <f aca="false">IF($B251="","",IF(COUNTIF(Dashboard!$C$13:$C$22,$B251)&gt;0,"Yes",""))</f>
        <v/>
      </c>
      <c r="K251" s="17" t="n">
        <f aca="false">IF($B251="",0,SUMIFS('Zoho Dump'!$X$8:$X$3007,'Zoho Dump'!$N$8:$N$3007,$B251,'Zoho Dump'!$P$8:$P$3007,Settings!$A$12)+SUMIFS(Adjustments!$K$8:$K$207,Adjustments!$B$8:$B$207,$B251,Adjustments!$A$8:$A$207,Settings!$A$12))</f>
        <v>0</v>
      </c>
      <c r="L251" s="17" t="n">
        <f aca="false">IF($B251="",0,SUMIFS('Zoho Dump'!$X$8:$X$3007,'Zoho Dump'!$N$8:$N$3007,$B251,'Zoho Dump'!$P$8:$P$3007,Settings!$A$13)+SUMIFS(Adjustments!$K$8:$K$207,Adjustments!$B$8:$B$207,$B251,Adjustments!$A$8:$A$207,Settings!$A$13))</f>
        <v>0</v>
      </c>
      <c r="M251" s="17" t="n">
        <f aca="false">IF($B251="",0,SUMIFS('Zoho Dump'!$X$8:$X$3007,'Zoho Dump'!$N$8:$N$3007,$B251,'Zoho Dump'!$P$8:$P$3007,Settings!$A$14)+SUMIFS(Adjustments!$K$8:$K$207,Adjustments!$B$8:$B$207,$B251,Adjustments!$A$8:$A$207,Settings!$A$14))</f>
        <v>0</v>
      </c>
      <c r="N251" s="17" t="n">
        <f aca="false">IF($B251="",0,SUMIFS('Zoho Dump'!$X$8:$X$3007,'Zoho Dump'!$N$8:$N$3007,$B251,'Zoho Dump'!$P$8:$P$3007,Settings!$A$15)+SUMIFS(Adjustments!$K$8:$K$207,Adjustments!$B$8:$B$207,$B251,Adjustments!$A$8:$A$207,Settings!$A$15))</f>
        <v>0</v>
      </c>
      <c r="O251" s="17" t="n">
        <f aca="false">IF($B251="",0,SUMIFS('Zoho Dump'!$X$8:$X$3007,'Zoho Dump'!$N$8:$N$3007,$B251,'Zoho Dump'!$P$8:$P$3007,Settings!$A$16)+SUMIFS(Adjustments!$K$8:$K$207,Adjustments!$B$8:$B$207,$B251,Adjustments!$A$8:$A$207,Settings!$A$16))</f>
        <v>0</v>
      </c>
      <c r="P251" s="17" t="n">
        <f aca="false">IF($B251="",0,SUMIFS('Zoho Dump'!$X$8:$X$3007,'Zoho Dump'!$N$8:$N$3007,$B251,'Zoho Dump'!$P$8:$P$3007,Settings!$A$17)+SUMIFS(Adjustments!$K$8:$K$207,Adjustments!$B$8:$B$207,$B251,Adjustments!$A$8:$A$207,Settings!$A$17))</f>
        <v>0</v>
      </c>
      <c r="Q251" s="17" t="n">
        <f aca="false">IF($B251="",0,SUMIFS('Zoho Dump'!$X$8:$X$3007,'Zoho Dump'!$N$8:$N$3007,$B251,'Zoho Dump'!$P$8:$P$3007,Settings!$A$18)+SUMIFS(Adjustments!$K$8:$K$207,Adjustments!$B$8:$B$207,$B251,Adjustments!$A$8:$A$207,Settings!$A$18))</f>
        <v>0</v>
      </c>
      <c r="R251" s="30" t="str">
        <f aca="false">IF(G251&gt;0,G251+A251/10000000,"")</f>
        <v/>
      </c>
    </row>
    <row r="252" customFormat="false" ht="15" hidden="false" customHeight="false" outlineLevel="0" collapsed="false">
      <c r="A252" s="9" t="n">
        <v>248</v>
      </c>
      <c r="B252" s="9" t="str">
        <f aca="false">IFERROR(INDEX('Zoho Dump'!$N$8:$N$3007,MATCH(A252,'Zoho Dump'!$AB$8:$AB$3007,0)),"")</f>
        <v/>
      </c>
      <c r="C252" s="17" t="n">
        <f aca="false">IF($B252="",0,SUMIFS('Zoho Dump'!$Q$8:$Q$3007,'Zoho Dump'!$N$8:$N$3007,$B252,'Zoho Dump'!$T$8:$T$3007,"Delivered",'Zoho Dump'!$R$8:$R$3007,"&gt;="&amp;Settings!$B$4))</f>
        <v>0</v>
      </c>
      <c r="D252" s="17" t="n">
        <f aca="false">IF($B252="",0,SUMIFS('Zoho Dump'!$X$8:$X$3007,'Zoho Dump'!$N$8:$N$3007,$B252,'Zoho Dump'!$T$8:$T$3007,"Backlog")+SUMIFS(Adjustments!$K$8:$K$207,Adjustments!$B$8:$B$207,$B252,Adjustments!$H$8:$H$207,"Backlog"))</f>
        <v>0</v>
      </c>
      <c r="E252" s="17" t="n">
        <f aca="false">IF($B252="",0,SUMIFS('Zoho Dump'!$Y$8:$Y$3007,'Zoho Dump'!$N$8:$N$3007,$B252,'Zoho Dump'!$T$8:$T$3007,"Pipeline")+SUMIFS(Adjustments!$L$8:$L$207,Adjustments!$B$8:$B$207,$B252,Adjustments!$H$8:$H$207,"Pipeline")+SUMIFS('Zoho Dump'!$Y$8:$Y$3007,'Zoho Dump'!$N$8:$N$3007,$B252,'Zoho Dump'!$T$8:$T$3007,"Overdue")+SUMIFS(Adjustments!$L$8:$L$207,Adjustments!$B$8:$B$207,$B252,Adjustments!$H$8:$H$207,"Overdue"))</f>
        <v>0</v>
      </c>
      <c r="F252" s="17" t="n">
        <f aca="false">IF($B252="",0,SUMIFS('Zoho Dump'!$X$8:$X$3007,'Zoho Dump'!$N$8:$N$3007,$B252,'Zoho Dump'!$T$8:$T$3007,"Pipeline")+SUMIFS(Adjustments!$K$8:$K$207,Adjustments!$B$8:$B$207,$B252,Adjustments!$H$8:$H$207,"Pipeline")+SUMIFS('Zoho Dump'!$X$8:$X$3007,'Zoho Dump'!$N$8:$N$3007,$B252,'Zoho Dump'!$T$8:$T$3007,"Overdue")+SUMIFS(Adjustments!$K$8:$K$207,Adjustments!$B$8:$B$207,$B252,Adjustments!$H$8:$H$207,"Overdue"))</f>
        <v>0</v>
      </c>
      <c r="G252" s="17" t="n">
        <f aca="false">D252+F252</f>
        <v>0</v>
      </c>
      <c r="H252" s="18" t="n">
        <f aca="false">IF(SUM($G$5:$G$404)=0,0,G252/SUM($G$5:$G$404))</f>
        <v>0</v>
      </c>
      <c r="I252" s="17" t="n">
        <f aca="false">IF($B252="",0,SUMIFS('Zoho Dump'!$Q$8:$Q$3007,'Zoho Dump'!$N$8:$N$3007,$B252,'Zoho Dump'!$T$8:$T$3007,"Lost",'Zoho Dump'!$R$8:$R$3007,"&gt;="&amp;Settings!$B$4))</f>
        <v>0</v>
      </c>
      <c r="J252" s="9" t="str">
        <f aca="false">IF($B252="","",IF(COUNTIF(Dashboard!$C$13:$C$22,$B252)&gt;0,"Yes",""))</f>
        <v/>
      </c>
      <c r="K252" s="17" t="n">
        <f aca="false">IF($B252="",0,SUMIFS('Zoho Dump'!$X$8:$X$3007,'Zoho Dump'!$N$8:$N$3007,$B252,'Zoho Dump'!$P$8:$P$3007,Settings!$A$12)+SUMIFS(Adjustments!$K$8:$K$207,Adjustments!$B$8:$B$207,$B252,Adjustments!$A$8:$A$207,Settings!$A$12))</f>
        <v>0</v>
      </c>
      <c r="L252" s="17" t="n">
        <f aca="false">IF($B252="",0,SUMIFS('Zoho Dump'!$X$8:$X$3007,'Zoho Dump'!$N$8:$N$3007,$B252,'Zoho Dump'!$P$8:$P$3007,Settings!$A$13)+SUMIFS(Adjustments!$K$8:$K$207,Adjustments!$B$8:$B$207,$B252,Adjustments!$A$8:$A$207,Settings!$A$13))</f>
        <v>0</v>
      </c>
      <c r="M252" s="17" t="n">
        <f aca="false">IF($B252="",0,SUMIFS('Zoho Dump'!$X$8:$X$3007,'Zoho Dump'!$N$8:$N$3007,$B252,'Zoho Dump'!$P$8:$P$3007,Settings!$A$14)+SUMIFS(Adjustments!$K$8:$K$207,Adjustments!$B$8:$B$207,$B252,Adjustments!$A$8:$A$207,Settings!$A$14))</f>
        <v>0</v>
      </c>
      <c r="N252" s="17" t="n">
        <f aca="false">IF($B252="",0,SUMIFS('Zoho Dump'!$X$8:$X$3007,'Zoho Dump'!$N$8:$N$3007,$B252,'Zoho Dump'!$P$8:$P$3007,Settings!$A$15)+SUMIFS(Adjustments!$K$8:$K$207,Adjustments!$B$8:$B$207,$B252,Adjustments!$A$8:$A$207,Settings!$A$15))</f>
        <v>0</v>
      </c>
      <c r="O252" s="17" t="n">
        <f aca="false">IF($B252="",0,SUMIFS('Zoho Dump'!$X$8:$X$3007,'Zoho Dump'!$N$8:$N$3007,$B252,'Zoho Dump'!$P$8:$P$3007,Settings!$A$16)+SUMIFS(Adjustments!$K$8:$K$207,Adjustments!$B$8:$B$207,$B252,Adjustments!$A$8:$A$207,Settings!$A$16))</f>
        <v>0</v>
      </c>
      <c r="P252" s="17" t="n">
        <f aca="false">IF($B252="",0,SUMIFS('Zoho Dump'!$X$8:$X$3007,'Zoho Dump'!$N$8:$N$3007,$B252,'Zoho Dump'!$P$8:$P$3007,Settings!$A$17)+SUMIFS(Adjustments!$K$8:$K$207,Adjustments!$B$8:$B$207,$B252,Adjustments!$A$8:$A$207,Settings!$A$17))</f>
        <v>0</v>
      </c>
      <c r="Q252" s="17" t="n">
        <f aca="false">IF($B252="",0,SUMIFS('Zoho Dump'!$X$8:$X$3007,'Zoho Dump'!$N$8:$N$3007,$B252,'Zoho Dump'!$P$8:$P$3007,Settings!$A$18)+SUMIFS(Adjustments!$K$8:$K$207,Adjustments!$B$8:$B$207,$B252,Adjustments!$A$8:$A$207,Settings!$A$18))</f>
        <v>0</v>
      </c>
      <c r="R252" s="30" t="str">
        <f aca="false">IF(G252&gt;0,G252+A252/10000000,"")</f>
        <v/>
      </c>
    </row>
    <row r="253" customFormat="false" ht="15" hidden="false" customHeight="false" outlineLevel="0" collapsed="false">
      <c r="A253" s="9" t="n">
        <v>249</v>
      </c>
      <c r="B253" s="9" t="str">
        <f aca="false">IFERROR(INDEX('Zoho Dump'!$N$8:$N$3007,MATCH(A253,'Zoho Dump'!$AB$8:$AB$3007,0)),"")</f>
        <v/>
      </c>
      <c r="C253" s="17" t="n">
        <f aca="false">IF($B253="",0,SUMIFS('Zoho Dump'!$Q$8:$Q$3007,'Zoho Dump'!$N$8:$N$3007,$B253,'Zoho Dump'!$T$8:$T$3007,"Delivered",'Zoho Dump'!$R$8:$R$3007,"&gt;="&amp;Settings!$B$4))</f>
        <v>0</v>
      </c>
      <c r="D253" s="17" t="n">
        <f aca="false">IF($B253="",0,SUMIFS('Zoho Dump'!$X$8:$X$3007,'Zoho Dump'!$N$8:$N$3007,$B253,'Zoho Dump'!$T$8:$T$3007,"Backlog")+SUMIFS(Adjustments!$K$8:$K$207,Adjustments!$B$8:$B$207,$B253,Adjustments!$H$8:$H$207,"Backlog"))</f>
        <v>0</v>
      </c>
      <c r="E253" s="17" t="n">
        <f aca="false">IF($B253="",0,SUMIFS('Zoho Dump'!$Y$8:$Y$3007,'Zoho Dump'!$N$8:$N$3007,$B253,'Zoho Dump'!$T$8:$T$3007,"Pipeline")+SUMIFS(Adjustments!$L$8:$L$207,Adjustments!$B$8:$B$207,$B253,Adjustments!$H$8:$H$207,"Pipeline")+SUMIFS('Zoho Dump'!$Y$8:$Y$3007,'Zoho Dump'!$N$8:$N$3007,$B253,'Zoho Dump'!$T$8:$T$3007,"Overdue")+SUMIFS(Adjustments!$L$8:$L$207,Adjustments!$B$8:$B$207,$B253,Adjustments!$H$8:$H$207,"Overdue"))</f>
        <v>0</v>
      </c>
      <c r="F253" s="17" t="n">
        <f aca="false">IF($B253="",0,SUMIFS('Zoho Dump'!$X$8:$X$3007,'Zoho Dump'!$N$8:$N$3007,$B253,'Zoho Dump'!$T$8:$T$3007,"Pipeline")+SUMIFS(Adjustments!$K$8:$K$207,Adjustments!$B$8:$B$207,$B253,Adjustments!$H$8:$H$207,"Pipeline")+SUMIFS('Zoho Dump'!$X$8:$X$3007,'Zoho Dump'!$N$8:$N$3007,$B253,'Zoho Dump'!$T$8:$T$3007,"Overdue")+SUMIFS(Adjustments!$K$8:$K$207,Adjustments!$B$8:$B$207,$B253,Adjustments!$H$8:$H$207,"Overdue"))</f>
        <v>0</v>
      </c>
      <c r="G253" s="17" t="n">
        <f aca="false">D253+F253</f>
        <v>0</v>
      </c>
      <c r="H253" s="18" t="n">
        <f aca="false">IF(SUM($G$5:$G$404)=0,0,G253/SUM($G$5:$G$404))</f>
        <v>0</v>
      </c>
      <c r="I253" s="17" t="n">
        <f aca="false">IF($B253="",0,SUMIFS('Zoho Dump'!$Q$8:$Q$3007,'Zoho Dump'!$N$8:$N$3007,$B253,'Zoho Dump'!$T$8:$T$3007,"Lost",'Zoho Dump'!$R$8:$R$3007,"&gt;="&amp;Settings!$B$4))</f>
        <v>0</v>
      </c>
      <c r="J253" s="9" t="str">
        <f aca="false">IF($B253="","",IF(COUNTIF(Dashboard!$C$13:$C$22,$B253)&gt;0,"Yes",""))</f>
        <v/>
      </c>
      <c r="K253" s="17" t="n">
        <f aca="false">IF($B253="",0,SUMIFS('Zoho Dump'!$X$8:$X$3007,'Zoho Dump'!$N$8:$N$3007,$B253,'Zoho Dump'!$P$8:$P$3007,Settings!$A$12)+SUMIFS(Adjustments!$K$8:$K$207,Adjustments!$B$8:$B$207,$B253,Adjustments!$A$8:$A$207,Settings!$A$12))</f>
        <v>0</v>
      </c>
      <c r="L253" s="17" t="n">
        <f aca="false">IF($B253="",0,SUMIFS('Zoho Dump'!$X$8:$X$3007,'Zoho Dump'!$N$8:$N$3007,$B253,'Zoho Dump'!$P$8:$P$3007,Settings!$A$13)+SUMIFS(Adjustments!$K$8:$K$207,Adjustments!$B$8:$B$207,$B253,Adjustments!$A$8:$A$207,Settings!$A$13))</f>
        <v>0</v>
      </c>
      <c r="M253" s="17" t="n">
        <f aca="false">IF($B253="",0,SUMIFS('Zoho Dump'!$X$8:$X$3007,'Zoho Dump'!$N$8:$N$3007,$B253,'Zoho Dump'!$P$8:$P$3007,Settings!$A$14)+SUMIFS(Adjustments!$K$8:$K$207,Adjustments!$B$8:$B$207,$B253,Adjustments!$A$8:$A$207,Settings!$A$14))</f>
        <v>0</v>
      </c>
      <c r="N253" s="17" t="n">
        <f aca="false">IF($B253="",0,SUMIFS('Zoho Dump'!$X$8:$X$3007,'Zoho Dump'!$N$8:$N$3007,$B253,'Zoho Dump'!$P$8:$P$3007,Settings!$A$15)+SUMIFS(Adjustments!$K$8:$K$207,Adjustments!$B$8:$B$207,$B253,Adjustments!$A$8:$A$207,Settings!$A$15))</f>
        <v>0</v>
      </c>
      <c r="O253" s="17" t="n">
        <f aca="false">IF($B253="",0,SUMIFS('Zoho Dump'!$X$8:$X$3007,'Zoho Dump'!$N$8:$N$3007,$B253,'Zoho Dump'!$P$8:$P$3007,Settings!$A$16)+SUMIFS(Adjustments!$K$8:$K$207,Adjustments!$B$8:$B$207,$B253,Adjustments!$A$8:$A$207,Settings!$A$16))</f>
        <v>0</v>
      </c>
      <c r="P253" s="17" t="n">
        <f aca="false">IF($B253="",0,SUMIFS('Zoho Dump'!$X$8:$X$3007,'Zoho Dump'!$N$8:$N$3007,$B253,'Zoho Dump'!$P$8:$P$3007,Settings!$A$17)+SUMIFS(Adjustments!$K$8:$K$207,Adjustments!$B$8:$B$207,$B253,Adjustments!$A$8:$A$207,Settings!$A$17))</f>
        <v>0</v>
      </c>
      <c r="Q253" s="17" t="n">
        <f aca="false">IF($B253="",0,SUMIFS('Zoho Dump'!$X$8:$X$3007,'Zoho Dump'!$N$8:$N$3007,$B253,'Zoho Dump'!$P$8:$P$3007,Settings!$A$18)+SUMIFS(Adjustments!$K$8:$K$207,Adjustments!$B$8:$B$207,$B253,Adjustments!$A$8:$A$207,Settings!$A$18))</f>
        <v>0</v>
      </c>
      <c r="R253" s="30" t="str">
        <f aca="false">IF(G253&gt;0,G253+A253/10000000,"")</f>
        <v/>
      </c>
    </row>
    <row r="254" customFormat="false" ht="15" hidden="false" customHeight="false" outlineLevel="0" collapsed="false">
      <c r="A254" s="9" t="n">
        <v>250</v>
      </c>
      <c r="B254" s="9" t="str">
        <f aca="false">IFERROR(INDEX('Zoho Dump'!$N$8:$N$3007,MATCH(A254,'Zoho Dump'!$AB$8:$AB$3007,0)),"")</f>
        <v/>
      </c>
      <c r="C254" s="17" t="n">
        <f aca="false">IF($B254="",0,SUMIFS('Zoho Dump'!$Q$8:$Q$3007,'Zoho Dump'!$N$8:$N$3007,$B254,'Zoho Dump'!$T$8:$T$3007,"Delivered",'Zoho Dump'!$R$8:$R$3007,"&gt;="&amp;Settings!$B$4))</f>
        <v>0</v>
      </c>
      <c r="D254" s="17" t="n">
        <f aca="false">IF($B254="",0,SUMIFS('Zoho Dump'!$X$8:$X$3007,'Zoho Dump'!$N$8:$N$3007,$B254,'Zoho Dump'!$T$8:$T$3007,"Backlog")+SUMIFS(Adjustments!$K$8:$K$207,Adjustments!$B$8:$B$207,$B254,Adjustments!$H$8:$H$207,"Backlog"))</f>
        <v>0</v>
      </c>
      <c r="E254" s="17" t="n">
        <f aca="false">IF($B254="",0,SUMIFS('Zoho Dump'!$Y$8:$Y$3007,'Zoho Dump'!$N$8:$N$3007,$B254,'Zoho Dump'!$T$8:$T$3007,"Pipeline")+SUMIFS(Adjustments!$L$8:$L$207,Adjustments!$B$8:$B$207,$B254,Adjustments!$H$8:$H$207,"Pipeline")+SUMIFS('Zoho Dump'!$Y$8:$Y$3007,'Zoho Dump'!$N$8:$N$3007,$B254,'Zoho Dump'!$T$8:$T$3007,"Overdue")+SUMIFS(Adjustments!$L$8:$L$207,Adjustments!$B$8:$B$207,$B254,Adjustments!$H$8:$H$207,"Overdue"))</f>
        <v>0</v>
      </c>
      <c r="F254" s="17" t="n">
        <f aca="false">IF($B254="",0,SUMIFS('Zoho Dump'!$X$8:$X$3007,'Zoho Dump'!$N$8:$N$3007,$B254,'Zoho Dump'!$T$8:$T$3007,"Pipeline")+SUMIFS(Adjustments!$K$8:$K$207,Adjustments!$B$8:$B$207,$B254,Adjustments!$H$8:$H$207,"Pipeline")+SUMIFS('Zoho Dump'!$X$8:$X$3007,'Zoho Dump'!$N$8:$N$3007,$B254,'Zoho Dump'!$T$8:$T$3007,"Overdue")+SUMIFS(Adjustments!$K$8:$K$207,Adjustments!$B$8:$B$207,$B254,Adjustments!$H$8:$H$207,"Overdue"))</f>
        <v>0</v>
      </c>
      <c r="G254" s="17" t="n">
        <f aca="false">D254+F254</f>
        <v>0</v>
      </c>
      <c r="H254" s="18" t="n">
        <f aca="false">IF(SUM($G$5:$G$404)=0,0,G254/SUM($G$5:$G$404))</f>
        <v>0</v>
      </c>
      <c r="I254" s="17" t="n">
        <f aca="false">IF($B254="",0,SUMIFS('Zoho Dump'!$Q$8:$Q$3007,'Zoho Dump'!$N$8:$N$3007,$B254,'Zoho Dump'!$T$8:$T$3007,"Lost",'Zoho Dump'!$R$8:$R$3007,"&gt;="&amp;Settings!$B$4))</f>
        <v>0</v>
      </c>
      <c r="J254" s="9" t="str">
        <f aca="false">IF($B254="","",IF(COUNTIF(Dashboard!$C$13:$C$22,$B254)&gt;0,"Yes",""))</f>
        <v/>
      </c>
      <c r="K254" s="17" t="n">
        <f aca="false">IF($B254="",0,SUMIFS('Zoho Dump'!$X$8:$X$3007,'Zoho Dump'!$N$8:$N$3007,$B254,'Zoho Dump'!$P$8:$P$3007,Settings!$A$12)+SUMIFS(Adjustments!$K$8:$K$207,Adjustments!$B$8:$B$207,$B254,Adjustments!$A$8:$A$207,Settings!$A$12))</f>
        <v>0</v>
      </c>
      <c r="L254" s="17" t="n">
        <f aca="false">IF($B254="",0,SUMIFS('Zoho Dump'!$X$8:$X$3007,'Zoho Dump'!$N$8:$N$3007,$B254,'Zoho Dump'!$P$8:$P$3007,Settings!$A$13)+SUMIFS(Adjustments!$K$8:$K$207,Adjustments!$B$8:$B$207,$B254,Adjustments!$A$8:$A$207,Settings!$A$13))</f>
        <v>0</v>
      </c>
      <c r="M254" s="17" t="n">
        <f aca="false">IF($B254="",0,SUMIFS('Zoho Dump'!$X$8:$X$3007,'Zoho Dump'!$N$8:$N$3007,$B254,'Zoho Dump'!$P$8:$P$3007,Settings!$A$14)+SUMIFS(Adjustments!$K$8:$K$207,Adjustments!$B$8:$B$207,$B254,Adjustments!$A$8:$A$207,Settings!$A$14))</f>
        <v>0</v>
      </c>
      <c r="N254" s="17" t="n">
        <f aca="false">IF($B254="",0,SUMIFS('Zoho Dump'!$X$8:$X$3007,'Zoho Dump'!$N$8:$N$3007,$B254,'Zoho Dump'!$P$8:$P$3007,Settings!$A$15)+SUMIFS(Adjustments!$K$8:$K$207,Adjustments!$B$8:$B$207,$B254,Adjustments!$A$8:$A$207,Settings!$A$15))</f>
        <v>0</v>
      </c>
      <c r="O254" s="17" t="n">
        <f aca="false">IF($B254="",0,SUMIFS('Zoho Dump'!$X$8:$X$3007,'Zoho Dump'!$N$8:$N$3007,$B254,'Zoho Dump'!$P$8:$P$3007,Settings!$A$16)+SUMIFS(Adjustments!$K$8:$K$207,Adjustments!$B$8:$B$207,$B254,Adjustments!$A$8:$A$207,Settings!$A$16))</f>
        <v>0</v>
      </c>
      <c r="P254" s="17" t="n">
        <f aca="false">IF($B254="",0,SUMIFS('Zoho Dump'!$X$8:$X$3007,'Zoho Dump'!$N$8:$N$3007,$B254,'Zoho Dump'!$P$8:$P$3007,Settings!$A$17)+SUMIFS(Adjustments!$K$8:$K$207,Adjustments!$B$8:$B$207,$B254,Adjustments!$A$8:$A$207,Settings!$A$17))</f>
        <v>0</v>
      </c>
      <c r="Q254" s="17" t="n">
        <f aca="false">IF($B254="",0,SUMIFS('Zoho Dump'!$X$8:$X$3007,'Zoho Dump'!$N$8:$N$3007,$B254,'Zoho Dump'!$P$8:$P$3007,Settings!$A$18)+SUMIFS(Adjustments!$K$8:$K$207,Adjustments!$B$8:$B$207,$B254,Adjustments!$A$8:$A$207,Settings!$A$18))</f>
        <v>0</v>
      </c>
      <c r="R254" s="30" t="str">
        <f aca="false">IF(G254&gt;0,G254+A254/10000000,"")</f>
        <v/>
      </c>
    </row>
    <row r="255" customFormat="false" ht="15" hidden="false" customHeight="false" outlineLevel="0" collapsed="false">
      <c r="A255" s="9" t="n">
        <v>251</v>
      </c>
      <c r="B255" s="9" t="str">
        <f aca="false">IFERROR(INDEX('Zoho Dump'!$N$8:$N$3007,MATCH(A255,'Zoho Dump'!$AB$8:$AB$3007,0)),"")</f>
        <v/>
      </c>
      <c r="C255" s="17" t="n">
        <f aca="false">IF($B255="",0,SUMIFS('Zoho Dump'!$Q$8:$Q$3007,'Zoho Dump'!$N$8:$N$3007,$B255,'Zoho Dump'!$T$8:$T$3007,"Delivered",'Zoho Dump'!$R$8:$R$3007,"&gt;="&amp;Settings!$B$4))</f>
        <v>0</v>
      </c>
      <c r="D255" s="17" t="n">
        <f aca="false">IF($B255="",0,SUMIFS('Zoho Dump'!$X$8:$X$3007,'Zoho Dump'!$N$8:$N$3007,$B255,'Zoho Dump'!$T$8:$T$3007,"Backlog")+SUMIFS(Adjustments!$K$8:$K$207,Adjustments!$B$8:$B$207,$B255,Adjustments!$H$8:$H$207,"Backlog"))</f>
        <v>0</v>
      </c>
      <c r="E255" s="17" t="n">
        <f aca="false">IF($B255="",0,SUMIFS('Zoho Dump'!$Y$8:$Y$3007,'Zoho Dump'!$N$8:$N$3007,$B255,'Zoho Dump'!$T$8:$T$3007,"Pipeline")+SUMIFS(Adjustments!$L$8:$L$207,Adjustments!$B$8:$B$207,$B255,Adjustments!$H$8:$H$207,"Pipeline")+SUMIFS('Zoho Dump'!$Y$8:$Y$3007,'Zoho Dump'!$N$8:$N$3007,$B255,'Zoho Dump'!$T$8:$T$3007,"Overdue")+SUMIFS(Adjustments!$L$8:$L$207,Adjustments!$B$8:$B$207,$B255,Adjustments!$H$8:$H$207,"Overdue"))</f>
        <v>0</v>
      </c>
      <c r="F255" s="17" t="n">
        <f aca="false">IF($B255="",0,SUMIFS('Zoho Dump'!$X$8:$X$3007,'Zoho Dump'!$N$8:$N$3007,$B255,'Zoho Dump'!$T$8:$T$3007,"Pipeline")+SUMIFS(Adjustments!$K$8:$K$207,Adjustments!$B$8:$B$207,$B255,Adjustments!$H$8:$H$207,"Pipeline")+SUMIFS('Zoho Dump'!$X$8:$X$3007,'Zoho Dump'!$N$8:$N$3007,$B255,'Zoho Dump'!$T$8:$T$3007,"Overdue")+SUMIFS(Adjustments!$K$8:$K$207,Adjustments!$B$8:$B$207,$B255,Adjustments!$H$8:$H$207,"Overdue"))</f>
        <v>0</v>
      </c>
      <c r="G255" s="17" t="n">
        <f aca="false">D255+F255</f>
        <v>0</v>
      </c>
      <c r="H255" s="18" t="n">
        <f aca="false">IF(SUM($G$5:$G$404)=0,0,G255/SUM($G$5:$G$404))</f>
        <v>0</v>
      </c>
      <c r="I255" s="17" t="n">
        <f aca="false">IF($B255="",0,SUMIFS('Zoho Dump'!$Q$8:$Q$3007,'Zoho Dump'!$N$8:$N$3007,$B255,'Zoho Dump'!$T$8:$T$3007,"Lost",'Zoho Dump'!$R$8:$R$3007,"&gt;="&amp;Settings!$B$4))</f>
        <v>0</v>
      </c>
      <c r="J255" s="9" t="str">
        <f aca="false">IF($B255="","",IF(COUNTIF(Dashboard!$C$13:$C$22,$B255)&gt;0,"Yes",""))</f>
        <v/>
      </c>
      <c r="K255" s="17" t="n">
        <f aca="false">IF($B255="",0,SUMIFS('Zoho Dump'!$X$8:$X$3007,'Zoho Dump'!$N$8:$N$3007,$B255,'Zoho Dump'!$P$8:$P$3007,Settings!$A$12)+SUMIFS(Adjustments!$K$8:$K$207,Adjustments!$B$8:$B$207,$B255,Adjustments!$A$8:$A$207,Settings!$A$12))</f>
        <v>0</v>
      </c>
      <c r="L255" s="17" t="n">
        <f aca="false">IF($B255="",0,SUMIFS('Zoho Dump'!$X$8:$X$3007,'Zoho Dump'!$N$8:$N$3007,$B255,'Zoho Dump'!$P$8:$P$3007,Settings!$A$13)+SUMIFS(Adjustments!$K$8:$K$207,Adjustments!$B$8:$B$207,$B255,Adjustments!$A$8:$A$207,Settings!$A$13))</f>
        <v>0</v>
      </c>
      <c r="M255" s="17" t="n">
        <f aca="false">IF($B255="",0,SUMIFS('Zoho Dump'!$X$8:$X$3007,'Zoho Dump'!$N$8:$N$3007,$B255,'Zoho Dump'!$P$8:$P$3007,Settings!$A$14)+SUMIFS(Adjustments!$K$8:$K$207,Adjustments!$B$8:$B$207,$B255,Adjustments!$A$8:$A$207,Settings!$A$14))</f>
        <v>0</v>
      </c>
      <c r="N255" s="17" t="n">
        <f aca="false">IF($B255="",0,SUMIFS('Zoho Dump'!$X$8:$X$3007,'Zoho Dump'!$N$8:$N$3007,$B255,'Zoho Dump'!$P$8:$P$3007,Settings!$A$15)+SUMIFS(Adjustments!$K$8:$K$207,Adjustments!$B$8:$B$207,$B255,Adjustments!$A$8:$A$207,Settings!$A$15))</f>
        <v>0</v>
      </c>
      <c r="O255" s="17" t="n">
        <f aca="false">IF($B255="",0,SUMIFS('Zoho Dump'!$X$8:$X$3007,'Zoho Dump'!$N$8:$N$3007,$B255,'Zoho Dump'!$P$8:$P$3007,Settings!$A$16)+SUMIFS(Adjustments!$K$8:$K$207,Adjustments!$B$8:$B$207,$B255,Adjustments!$A$8:$A$207,Settings!$A$16))</f>
        <v>0</v>
      </c>
      <c r="P255" s="17" t="n">
        <f aca="false">IF($B255="",0,SUMIFS('Zoho Dump'!$X$8:$X$3007,'Zoho Dump'!$N$8:$N$3007,$B255,'Zoho Dump'!$P$8:$P$3007,Settings!$A$17)+SUMIFS(Adjustments!$K$8:$K$207,Adjustments!$B$8:$B$207,$B255,Adjustments!$A$8:$A$207,Settings!$A$17))</f>
        <v>0</v>
      </c>
      <c r="Q255" s="17" t="n">
        <f aca="false">IF($B255="",0,SUMIFS('Zoho Dump'!$X$8:$X$3007,'Zoho Dump'!$N$8:$N$3007,$B255,'Zoho Dump'!$P$8:$P$3007,Settings!$A$18)+SUMIFS(Adjustments!$K$8:$K$207,Adjustments!$B$8:$B$207,$B255,Adjustments!$A$8:$A$207,Settings!$A$18))</f>
        <v>0</v>
      </c>
      <c r="R255" s="30" t="str">
        <f aca="false">IF(G255&gt;0,G255+A255/10000000,"")</f>
        <v/>
      </c>
    </row>
    <row r="256" customFormat="false" ht="15" hidden="false" customHeight="false" outlineLevel="0" collapsed="false">
      <c r="A256" s="9" t="n">
        <v>252</v>
      </c>
      <c r="B256" s="9" t="str">
        <f aca="false">IFERROR(INDEX('Zoho Dump'!$N$8:$N$3007,MATCH(A256,'Zoho Dump'!$AB$8:$AB$3007,0)),"")</f>
        <v/>
      </c>
      <c r="C256" s="17" t="n">
        <f aca="false">IF($B256="",0,SUMIFS('Zoho Dump'!$Q$8:$Q$3007,'Zoho Dump'!$N$8:$N$3007,$B256,'Zoho Dump'!$T$8:$T$3007,"Delivered",'Zoho Dump'!$R$8:$R$3007,"&gt;="&amp;Settings!$B$4))</f>
        <v>0</v>
      </c>
      <c r="D256" s="17" t="n">
        <f aca="false">IF($B256="",0,SUMIFS('Zoho Dump'!$X$8:$X$3007,'Zoho Dump'!$N$8:$N$3007,$B256,'Zoho Dump'!$T$8:$T$3007,"Backlog")+SUMIFS(Adjustments!$K$8:$K$207,Adjustments!$B$8:$B$207,$B256,Adjustments!$H$8:$H$207,"Backlog"))</f>
        <v>0</v>
      </c>
      <c r="E256" s="17" t="n">
        <f aca="false">IF($B256="",0,SUMIFS('Zoho Dump'!$Y$8:$Y$3007,'Zoho Dump'!$N$8:$N$3007,$B256,'Zoho Dump'!$T$8:$T$3007,"Pipeline")+SUMIFS(Adjustments!$L$8:$L$207,Adjustments!$B$8:$B$207,$B256,Adjustments!$H$8:$H$207,"Pipeline")+SUMIFS('Zoho Dump'!$Y$8:$Y$3007,'Zoho Dump'!$N$8:$N$3007,$B256,'Zoho Dump'!$T$8:$T$3007,"Overdue")+SUMIFS(Adjustments!$L$8:$L$207,Adjustments!$B$8:$B$207,$B256,Adjustments!$H$8:$H$207,"Overdue"))</f>
        <v>0</v>
      </c>
      <c r="F256" s="17" t="n">
        <f aca="false">IF($B256="",0,SUMIFS('Zoho Dump'!$X$8:$X$3007,'Zoho Dump'!$N$8:$N$3007,$B256,'Zoho Dump'!$T$8:$T$3007,"Pipeline")+SUMIFS(Adjustments!$K$8:$K$207,Adjustments!$B$8:$B$207,$B256,Adjustments!$H$8:$H$207,"Pipeline")+SUMIFS('Zoho Dump'!$X$8:$X$3007,'Zoho Dump'!$N$8:$N$3007,$B256,'Zoho Dump'!$T$8:$T$3007,"Overdue")+SUMIFS(Adjustments!$K$8:$K$207,Adjustments!$B$8:$B$207,$B256,Adjustments!$H$8:$H$207,"Overdue"))</f>
        <v>0</v>
      </c>
      <c r="G256" s="17" t="n">
        <f aca="false">D256+F256</f>
        <v>0</v>
      </c>
      <c r="H256" s="18" t="n">
        <f aca="false">IF(SUM($G$5:$G$404)=0,0,G256/SUM($G$5:$G$404))</f>
        <v>0</v>
      </c>
      <c r="I256" s="17" t="n">
        <f aca="false">IF($B256="",0,SUMIFS('Zoho Dump'!$Q$8:$Q$3007,'Zoho Dump'!$N$8:$N$3007,$B256,'Zoho Dump'!$T$8:$T$3007,"Lost",'Zoho Dump'!$R$8:$R$3007,"&gt;="&amp;Settings!$B$4))</f>
        <v>0</v>
      </c>
      <c r="J256" s="9" t="str">
        <f aca="false">IF($B256="","",IF(COUNTIF(Dashboard!$C$13:$C$22,$B256)&gt;0,"Yes",""))</f>
        <v/>
      </c>
      <c r="K256" s="17" t="n">
        <f aca="false">IF($B256="",0,SUMIFS('Zoho Dump'!$X$8:$X$3007,'Zoho Dump'!$N$8:$N$3007,$B256,'Zoho Dump'!$P$8:$P$3007,Settings!$A$12)+SUMIFS(Adjustments!$K$8:$K$207,Adjustments!$B$8:$B$207,$B256,Adjustments!$A$8:$A$207,Settings!$A$12))</f>
        <v>0</v>
      </c>
      <c r="L256" s="17" t="n">
        <f aca="false">IF($B256="",0,SUMIFS('Zoho Dump'!$X$8:$X$3007,'Zoho Dump'!$N$8:$N$3007,$B256,'Zoho Dump'!$P$8:$P$3007,Settings!$A$13)+SUMIFS(Adjustments!$K$8:$K$207,Adjustments!$B$8:$B$207,$B256,Adjustments!$A$8:$A$207,Settings!$A$13))</f>
        <v>0</v>
      </c>
      <c r="M256" s="17" t="n">
        <f aca="false">IF($B256="",0,SUMIFS('Zoho Dump'!$X$8:$X$3007,'Zoho Dump'!$N$8:$N$3007,$B256,'Zoho Dump'!$P$8:$P$3007,Settings!$A$14)+SUMIFS(Adjustments!$K$8:$K$207,Adjustments!$B$8:$B$207,$B256,Adjustments!$A$8:$A$207,Settings!$A$14))</f>
        <v>0</v>
      </c>
      <c r="N256" s="17" t="n">
        <f aca="false">IF($B256="",0,SUMIFS('Zoho Dump'!$X$8:$X$3007,'Zoho Dump'!$N$8:$N$3007,$B256,'Zoho Dump'!$P$8:$P$3007,Settings!$A$15)+SUMIFS(Adjustments!$K$8:$K$207,Adjustments!$B$8:$B$207,$B256,Adjustments!$A$8:$A$207,Settings!$A$15))</f>
        <v>0</v>
      </c>
      <c r="O256" s="17" t="n">
        <f aca="false">IF($B256="",0,SUMIFS('Zoho Dump'!$X$8:$X$3007,'Zoho Dump'!$N$8:$N$3007,$B256,'Zoho Dump'!$P$8:$P$3007,Settings!$A$16)+SUMIFS(Adjustments!$K$8:$K$207,Adjustments!$B$8:$B$207,$B256,Adjustments!$A$8:$A$207,Settings!$A$16))</f>
        <v>0</v>
      </c>
      <c r="P256" s="17" t="n">
        <f aca="false">IF($B256="",0,SUMIFS('Zoho Dump'!$X$8:$X$3007,'Zoho Dump'!$N$8:$N$3007,$B256,'Zoho Dump'!$P$8:$P$3007,Settings!$A$17)+SUMIFS(Adjustments!$K$8:$K$207,Adjustments!$B$8:$B$207,$B256,Adjustments!$A$8:$A$207,Settings!$A$17))</f>
        <v>0</v>
      </c>
      <c r="Q256" s="17" t="n">
        <f aca="false">IF($B256="",0,SUMIFS('Zoho Dump'!$X$8:$X$3007,'Zoho Dump'!$N$8:$N$3007,$B256,'Zoho Dump'!$P$8:$P$3007,Settings!$A$18)+SUMIFS(Adjustments!$K$8:$K$207,Adjustments!$B$8:$B$207,$B256,Adjustments!$A$8:$A$207,Settings!$A$18))</f>
        <v>0</v>
      </c>
      <c r="R256" s="30" t="str">
        <f aca="false">IF(G256&gt;0,G256+A256/10000000,"")</f>
        <v/>
      </c>
    </row>
    <row r="257" customFormat="false" ht="15" hidden="false" customHeight="false" outlineLevel="0" collapsed="false">
      <c r="A257" s="9" t="n">
        <v>253</v>
      </c>
      <c r="B257" s="9" t="str">
        <f aca="false">IFERROR(INDEX('Zoho Dump'!$N$8:$N$3007,MATCH(A257,'Zoho Dump'!$AB$8:$AB$3007,0)),"")</f>
        <v/>
      </c>
      <c r="C257" s="17" t="n">
        <f aca="false">IF($B257="",0,SUMIFS('Zoho Dump'!$Q$8:$Q$3007,'Zoho Dump'!$N$8:$N$3007,$B257,'Zoho Dump'!$T$8:$T$3007,"Delivered",'Zoho Dump'!$R$8:$R$3007,"&gt;="&amp;Settings!$B$4))</f>
        <v>0</v>
      </c>
      <c r="D257" s="17" t="n">
        <f aca="false">IF($B257="",0,SUMIFS('Zoho Dump'!$X$8:$X$3007,'Zoho Dump'!$N$8:$N$3007,$B257,'Zoho Dump'!$T$8:$T$3007,"Backlog")+SUMIFS(Adjustments!$K$8:$K$207,Adjustments!$B$8:$B$207,$B257,Adjustments!$H$8:$H$207,"Backlog"))</f>
        <v>0</v>
      </c>
      <c r="E257" s="17" t="n">
        <f aca="false">IF($B257="",0,SUMIFS('Zoho Dump'!$Y$8:$Y$3007,'Zoho Dump'!$N$8:$N$3007,$B257,'Zoho Dump'!$T$8:$T$3007,"Pipeline")+SUMIFS(Adjustments!$L$8:$L$207,Adjustments!$B$8:$B$207,$B257,Adjustments!$H$8:$H$207,"Pipeline")+SUMIFS('Zoho Dump'!$Y$8:$Y$3007,'Zoho Dump'!$N$8:$N$3007,$B257,'Zoho Dump'!$T$8:$T$3007,"Overdue")+SUMIFS(Adjustments!$L$8:$L$207,Adjustments!$B$8:$B$207,$B257,Adjustments!$H$8:$H$207,"Overdue"))</f>
        <v>0</v>
      </c>
      <c r="F257" s="17" t="n">
        <f aca="false">IF($B257="",0,SUMIFS('Zoho Dump'!$X$8:$X$3007,'Zoho Dump'!$N$8:$N$3007,$B257,'Zoho Dump'!$T$8:$T$3007,"Pipeline")+SUMIFS(Adjustments!$K$8:$K$207,Adjustments!$B$8:$B$207,$B257,Adjustments!$H$8:$H$207,"Pipeline")+SUMIFS('Zoho Dump'!$X$8:$X$3007,'Zoho Dump'!$N$8:$N$3007,$B257,'Zoho Dump'!$T$8:$T$3007,"Overdue")+SUMIFS(Adjustments!$K$8:$K$207,Adjustments!$B$8:$B$207,$B257,Adjustments!$H$8:$H$207,"Overdue"))</f>
        <v>0</v>
      </c>
      <c r="G257" s="17" t="n">
        <f aca="false">D257+F257</f>
        <v>0</v>
      </c>
      <c r="H257" s="18" t="n">
        <f aca="false">IF(SUM($G$5:$G$404)=0,0,G257/SUM($G$5:$G$404))</f>
        <v>0</v>
      </c>
      <c r="I257" s="17" t="n">
        <f aca="false">IF($B257="",0,SUMIFS('Zoho Dump'!$Q$8:$Q$3007,'Zoho Dump'!$N$8:$N$3007,$B257,'Zoho Dump'!$T$8:$T$3007,"Lost",'Zoho Dump'!$R$8:$R$3007,"&gt;="&amp;Settings!$B$4))</f>
        <v>0</v>
      </c>
      <c r="J257" s="9" t="str">
        <f aca="false">IF($B257="","",IF(COUNTIF(Dashboard!$C$13:$C$22,$B257)&gt;0,"Yes",""))</f>
        <v/>
      </c>
      <c r="K257" s="17" t="n">
        <f aca="false">IF($B257="",0,SUMIFS('Zoho Dump'!$X$8:$X$3007,'Zoho Dump'!$N$8:$N$3007,$B257,'Zoho Dump'!$P$8:$P$3007,Settings!$A$12)+SUMIFS(Adjustments!$K$8:$K$207,Adjustments!$B$8:$B$207,$B257,Adjustments!$A$8:$A$207,Settings!$A$12))</f>
        <v>0</v>
      </c>
      <c r="L257" s="17" t="n">
        <f aca="false">IF($B257="",0,SUMIFS('Zoho Dump'!$X$8:$X$3007,'Zoho Dump'!$N$8:$N$3007,$B257,'Zoho Dump'!$P$8:$P$3007,Settings!$A$13)+SUMIFS(Adjustments!$K$8:$K$207,Adjustments!$B$8:$B$207,$B257,Adjustments!$A$8:$A$207,Settings!$A$13))</f>
        <v>0</v>
      </c>
      <c r="M257" s="17" t="n">
        <f aca="false">IF($B257="",0,SUMIFS('Zoho Dump'!$X$8:$X$3007,'Zoho Dump'!$N$8:$N$3007,$B257,'Zoho Dump'!$P$8:$P$3007,Settings!$A$14)+SUMIFS(Adjustments!$K$8:$K$207,Adjustments!$B$8:$B$207,$B257,Adjustments!$A$8:$A$207,Settings!$A$14))</f>
        <v>0</v>
      </c>
      <c r="N257" s="17" t="n">
        <f aca="false">IF($B257="",0,SUMIFS('Zoho Dump'!$X$8:$X$3007,'Zoho Dump'!$N$8:$N$3007,$B257,'Zoho Dump'!$P$8:$P$3007,Settings!$A$15)+SUMIFS(Adjustments!$K$8:$K$207,Adjustments!$B$8:$B$207,$B257,Adjustments!$A$8:$A$207,Settings!$A$15))</f>
        <v>0</v>
      </c>
      <c r="O257" s="17" t="n">
        <f aca="false">IF($B257="",0,SUMIFS('Zoho Dump'!$X$8:$X$3007,'Zoho Dump'!$N$8:$N$3007,$B257,'Zoho Dump'!$P$8:$P$3007,Settings!$A$16)+SUMIFS(Adjustments!$K$8:$K$207,Adjustments!$B$8:$B$207,$B257,Adjustments!$A$8:$A$207,Settings!$A$16))</f>
        <v>0</v>
      </c>
      <c r="P257" s="17" t="n">
        <f aca="false">IF($B257="",0,SUMIFS('Zoho Dump'!$X$8:$X$3007,'Zoho Dump'!$N$8:$N$3007,$B257,'Zoho Dump'!$P$8:$P$3007,Settings!$A$17)+SUMIFS(Adjustments!$K$8:$K$207,Adjustments!$B$8:$B$207,$B257,Adjustments!$A$8:$A$207,Settings!$A$17))</f>
        <v>0</v>
      </c>
      <c r="Q257" s="17" t="n">
        <f aca="false">IF($B257="",0,SUMIFS('Zoho Dump'!$X$8:$X$3007,'Zoho Dump'!$N$8:$N$3007,$B257,'Zoho Dump'!$P$8:$P$3007,Settings!$A$18)+SUMIFS(Adjustments!$K$8:$K$207,Adjustments!$B$8:$B$207,$B257,Adjustments!$A$8:$A$207,Settings!$A$18))</f>
        <v>0</v>
      </c>
      <c r="R257" s="30" t="str">
        <f aca="false">IF(G257&gt;0,G257+A257/10000000,"")</f>
        <v/>
      </c>
    </row>
    <row r="258" customFormat="false" ht="15" hidden="false" customHeight="false" outlineLevel="0" collapsed="false">
      <c r="A258" s="9" t="n">
        <v>254</v>
      </c>
      <c r="B258" s="9" t="str">
        <f aca="false">IFERROR(INDEX('Zoho Dump'!$N$8:$N$3007,MATCH(A258,'Zoho Dump'!$AB$8:$AB$3007,0)),"")</f>
        <v/>
      </c>
      <c r="C258" s="17" t="n">
        <f aca="false">IF($B258="",0,SUMIFS('Zoho Dump'!$Q$8:$Q$3007,'Zoho Dump'!$N$8:$N$3007,$B258,'Zoho Dump'!$T$8:$T$3007,"Delivered",'Zoho Dump'!$R$8:$R$3007,"&gt;="&amp;Settings!$B$4))</f>
        <v>0</v>
      </c>
      <c r="D258" s="17" t="n">
        <f aca="false">IF($B258="",0,SUMIFS('Zoho Dump'!$X$8:$X$3007,'Zoho Dump'!$N$8:$N$3007,$B258,'Zoho Dump'!$T$8:$T$3007,"Backlog")+SUMIFS(Adjustments!$K$8:$K$207,Adjustments!$B$8:$B$207,$B258,Adjustments!$H$8:$H$207,"Backlog"))</f>
        <v>0</v>
      </c>
      <c r="E258" s="17" t="n">
        <f aca="false">IF($B258="",0,SUMIFS('Zoho Dump'!$Y$8:$Y$3007,'Zoho Dump'!$N$8:$N$3007,$B258,'Zoho Dump'!$T$8:$T$3007,"Pipeline")+SUMIFS(Adjustments!$L$8:$L$207,Adjustments!$B$8:$B$207,$B258,Adjustments!$H$8:$H$207,"Pipeline")+SUMIFS('Zoho Dump'!$Y$8:$Y$3007,'Zoho Dump'!$N$8:$N$3007,$B258,'Zoho Dump'!$T$8:$T$3007,"Overdue")+SUMIFS(Adjustments!$L$8:$L$207,Adjustments!$B$8:$B$207,$B258,Adjustments!$H$8:$H$207,"Overdue"))</f>
        <v>0</v>
      </c>
      <c r="F258" s="17" t="n">
        <f aca="false">IF($B258="",0,SUMIFS('Zoho Dump'!$X$8:$X$3007,'Zoho Dump'!$N$8:$N$3007,$B258,'Zoho Dump'!$T$8:$T$3007,"Pipeline")+SUMIFS(Adjustments!$K$8:$K$207,Adjustments!$B$8:$B$207,$B258,Adjustments!$H$8:$H$207,"Pipeline")+SUMIFS('Zoho Dump'!$X$8:$X$3007,'Zoho Dump'!$N$8:$N$3007,$B258,'Zoho Dump'!$T$8:$T$3007,"Overdue")+SUMIFS(Adjustments!$K$8:$K$207,Adjustments!$B$8:$B$207,$B258,Adjustments!$H$8:$H$207,"Overdue"))</f>
        <v>0</v>
      </c>
      <c r="G258" s="17" t="n">
        <f aca="false">D258+F258</f>
        <v>0</v>
      </c>
      <c r="H258" s="18" t="n">
        <f aca="false">IF(SUM($G$5:$G$404)=0,0,G258/SUM($G$5:$G$404))</f>
        <v>0</v>
      </c>
      <c r="I258" s="17" t="n">
        <f aca="false">IF($B258="",0,SUMIFS('Zoho Dump'!$Q$8:$Q$3007,'Zoho Dump'!$N$8:$N$3007,$B258,'Zoho Dump'!$T$8:$T$3007,"Lost",'Zoho Dump'!$R$8:$R$3007,"&gt;="&amp;Settings!$B$4))</f>
        <v>0</v>
      </c>
      <c r="J258" s="9" t="str">
        <f aca="false">IF($B258="","",IF(COUNTIF(Dashboard!$C$13:$C$22,$B258)&gt;0,"Yes",""))</f>
        <v/>
      </c>
      <c r="K258" s="17" t="n">
        <f aca="false">IF($B258="",0,SUMIFS('Zoho Dump'!$X$8:$X$3007,'Zoho Dump'!$N$8:$N$3007,$B258,'Zoho Dump'!$P$8:$P$3007,Settings!$A$12)+SUMIFS(Adjustments!$K$8:$K$207,Adjustments!$B$8:$B$207,$B258,Adjustments!$A$8:$A$207,Settings!$A$12))</f>
        <v>0</v>
      </c>
      <c r="L258" s="17" t="n">
        <f aca="false">IF($B258="",0,SUMIFS('Zoho Dump'!$X$8:$X$3007,'Zoho Dump'!$N$8:$N$3007,$B258,'Zoho Dump'!$P$8:$P$3007,Settings!$A$13)+SUMIFS(Adjustments!$K$8:$K$207,Adjustments!$B$8:$B$207,$B258,Adjustments!$A$8:$A$207,Settings!$A$13))</f>
        <v>0</v>
      </c>
      <c r="M258" s="17" t="n">
        <f aca="false">IF($B258="",0,SUMIFS('Zoho Dump'!$X$8:$X$3007,'Zoho Dump'!$N$8:$N$3007,$B258,'Zoho Dump'!$P$8:$P$3007,Settings!$A$14)+SUMIFS(Adjustments!$K$8:$K$207,Adjustments!$B$8:$B$207,$B258,Adjustments!$A$8:$A$207,Settings!$A$14))</f>
        <v>0</v>
      </c>
      <c r="N258" s="17" t="n">
        <f aca="false">IF($B258="",0,SUMIFS('Zoho Dump'!$X$8:$X$3007,'Zoho Dump'!$N$8:$N$3007,$B258,'Zoho Dump'!$P$8:$P$3007,Settings!$A$15)+SUMIFS(Adjustments!$K$8:$K$207,Adjustments!$B$8:$B$207,$B258,Adjustments!$A$8:$A$207,Settings!$A$15))</f>
        <v>0</v>
      </c>
      <c r="O258" s="17" t="n">
        <f aca="false">IF($B258="",0,SUMIFS('Zoho Dump'!$X$8:$X$3007,'Zoho Dump'!$N$8:$N$3007,$B258,'Zoho Dump'!$P$8:$P$3007,Settings!$A$16)+SUMIFS(Adjustments!$K$8:$K$207,Adjustments!$B$8:$B$207,$B258,Adjustments!$A$8:$A$207,Settings!$A$16))</f>
        <v>0</v>
      </c>
      <c r="P258" s="17" t="n">
        <f aca="false">IF($B258="",0,SUMIFS('Zoho Dump'!$X$8:$X$3007,'Zoho Dump'!$N$8:$N$3007,$B258,'Zoho Dump'!$P$8:$P$3007,Settings!$A$17)+SUMIFS(Adjustments!$K$8:$K$207,Adjustments!$B$8:$B$207,$B258,Adjustments!$A$8:$A$207,Settings!$A$17))</f>
        <v>0</v>
      </c>
      <c r="Q258" s="17" t="n">
        <f aca="false">IF($B258="",0,SUMIFS('Zoho Dump'!$X$8:$X$3007,'Zoho Dump'!$N$8:$N$3007,$B258,'Zoho Dump'!$P$8:$P$3007,Settings!$A$18)+SUMIFS(Adjustments!$K$8:$K$207,Adjustments!$B$8:$B$207,$B258,Adjustments!$A$8:$A$207,Settings!$A$18))</f>
        <v>0</v>
      </c>
      <c r="R258" s="30" t="str">
        <f aca="false">IF(G258&gt;0,G258+A258/10000000,"")</f>
        <v/>
      </c>
    </row>
    <row r="259" customFormat="false" ht="15" hidden="false" customHeight="false" outlineLevel="0" collapsed="false">
      <c r="A259" s="9" t="n">
        <v>255</v>
      </c>
      <c r="B259" s="9" t="str">
        <f aca="false">IFERROR(INDEX('Zoho Dump'!$N$8:$N$3007,MATCH(A259,'Zoho Dump'!$AB$8:$AB$3007,0)),"")</f>
        <v/>
      </c>
      <c r="C259" s="17" t="n">
        <f aca="false">IF($B259="",0,SUMIFS('Zoho Dump'!$Q$8:$Q$3007,'Zoho Dump'!$N$8:$N$3007,$B259,'Zoho Dump'!$T$8:$T$3007,"Delivered",'Zoho Dump'!$R$8:$R$3007,"&gt;="&amp;Settings!$B$4))</f>
        <v>0</v>
      </c>
      <c r="D259" s="17" t="n">
        <f aca="false">IF($B259="",0,SUMIFS('Zoho Dump'!$X$8:$X$3007,'Zoho Dump'!$N$8:$N$3007,$B259,'Zoho Dump'!$T$8:$T$3007,"Backlog")+SUMIFS(Adjustments!$K$8:$K$207,Adjustments!$B$8:$B$207,$B259,Adjustments!$H$8:$H$207,"Backlog"))</f>
        <v>0</v>
      </c>
      <c r="E259" s="17" t="n">
        <f aca="false">IF($B259="",0,SUMIFS('Zoho Dump'!$Y$8:$Y$3007,'Zoho Dump'!$N$8:$N$3007,$B259,'Zoho Dump'!$T$8:$T$3007,"Pipeline")+SUMIFS(Adjustments!$L$8:$L$207,Adjustments!$B$8:$B$207,$B259,Adjustments!$H$8:$H$207,"Pipeline")+SUMIFS('Zoho Dump'!$Y$8:$Y$3007,'Zoho Dump'!$N$8:$N$3007,$B259,'Zoho Dump'!$T$8:$T$3007,"Overdue")+SUMIFS(Adjustments!$L$8:$L$207,Adjustments!$B$8:$B$207,$B259,Adjustments!$H$8:$H$207,"Overdue"))</f>
        <v>0</v>
      </c>
      <c r="F259" s="17" t="n">
        <f aca="false">IF($B259="",0,SUMIFS('Zoho Dump'!$X$8:$X$3007,'Zoho Dump'!$N$8:$N$3007,$B259,'Zoho Dump'!$T$8:$T$3007,"Pipeline")+SUMIFS(Adjustments!$K$8:$K$207,Adjustments!$B$8:$B$207,$B259,Adjustments!$H$8:$H$207,"Pipeline")+SUMIFS('Zoho Dump'!$X$8:$X$3007,'Zoho Dump'!$N$8:$N$3007,$B259,'Zoho Dump'!$T$8:$T$3007,"Overdue")+SUMIFS(Adjustments!$K$8:$K$207,Adjustments!$B$8:$B$207,$B259,Adjustments!$H$8:$H$207,"Overdue"))</f>
        <v>0</v>
      </c>
      <c r="G259" s="17" t="n">
        <f aca="false">D259+F259</f>
        <v>0</v>
      </c>
      <c r="H259" s="18" t="n">
        <f aca="false">IF(SUM($G$5:$G$404)=0,0,G259/SUM($G$5:$G$404))</f>
        <v>0</v>
      </c>
      <c r="I259" s="17" t="n">
        <f aca="false">IF($B259="",0,SUMIFS('Zoho Dump'!$Q$8:$Q$3007,'Zoho Dump'!$N$8:$N$3007,$B259,'Zoho Dump'!$T$8:$T$3007,"Lost",'Zoho Dump'!$R$8:$R$3007,"&gt;="&amp;Settings!$B$4))</f>
        <v>0</v>
      </c>
      <c r="J259" s="9" t="str">
        <f aca="false">IF($B259="","",IF(COUNTIF(Dashboard!$C$13:$C$22,$B259)&gt;0,"Yes",""))</f>
        <v/>
      </c>
      <c r="K259" s="17" t="n">
        <f aca="false">IF($B259="",0,SUMIFS('Zoho Dump'!$X$8:$X$3007,'Zoho Dump'!$N$8:$N$3007,$B259,'Zoho Dump'!$P$8:$P$3007,Settings!$A$12)+SUMIFS(Adjustments!$K$8:$K$207,Adjustments!$B$8:$B$207,$B259,Adjustments!$A$8:$A$207,Settings!$A$12))</f>
        <v>0</v>
      </c>
      <c r="L259" s="17" t="n">
        <f aca="false">IF($B259="",0,SUMIFS('Zoho Dump'!$X$8:$X$3007,'Zoho Dump'!$N$8:$N$3007,$B259,'Zoho Dump'!$P$8:$P$3007,Settings!$A$13)+SUMIFS(Adjustments!$K$8:$K$207,Adjustments!$B$8:$B$207,$B259,Adjustments!$A$8:$A$207,Settings!$A$13))</f>
        <v>0</v>
      </c>
      <c r="M259" s="17" t="n">
        <f aca="false">IF($B259="",0,SUMIFS('Zoho Dump'!$X$8:$X$3007,'Zoho Dump'!$N$8:$N$3007,$B259,'Zoho Dump'!$P$8:$P$3007,Settings!$A$14)+SUMIFS(Adjustments!$K$8:$K$207,Adjustments!$B$8:$B$207,$B259,Adjustments!$A$8:$A$207,Settings!$A$14))</f>
        <v>0</v>
      </c>
      <c r="N259" s="17" t="n">
        <f aca="false">IF($B259="",0,SUMIFS('Zoho Dump'!$X$8:$X$3007,'Zoho Dump'!$N$8:$N$3007,$B259,'Zoho Dump'!$P$8:$P$3007,Settings!$A$15)+SUMIFS(Adjustments!$K$8:$K$207,Adjustments!$B$8:$B$207,$B259,Adjustments!$A$8:$A$207,Settings!$A$15))</f>
        <v>0</v>
      </c>
      <c r="O259" s="17" t="n">
        <f aca="false">IF($B259="",0,SUMIFS('Zoho Dump'!$X$8:$X$3007,'Zoho Dump'!$N$8:$N$3007,$B259,'Zoho Dump'!$P$8:$P$3007,Settings!$A$16)+SUMIFS(Adjustments!$K$8:$K$207,Adjustments!$B$8:$B$207,$B259,Adjustments!$A$8:$A$207,Settings!$A$16))</f>
        <v>0</v>
      </c>
      <c r="P259" s="17" t="n">
        <f aca="false">IF($B259="",0,SUMIFS('Zoho Dump'!$X$8:$X$3007,'Zoho Dump'!$N$8:$N$3007,$B259,'Zoho Dump'!$P$8:$P$3007,Settings!$A$17)+SUMIFS(Adjustments!$K$8:$K$207,Adjustments!$B$8:$B$207,$B259,Adjustments!$A$8:$A$207,Settings!$A$17))</f>
        <v>0</v>
      </c>
      <c r="Q259" s="17" t="n">
        <f aca="false">IF($B259="",0,SUMIFS('Zoho Dump'!$X$8:$X$3007,'Zoho Dump'!$N$8:$N$3007,$B259,'Zoho Dump'!$P$8:$P$3007,Settings!$A$18)+SUMIFS(Adjustments!$K$8:$K$207,Adjustments!$B$8:$B$207,$B259,Adjustments!$A$8:$A$207,Settings!$A$18))</f>
        <v>0</v>
      </c>
      <c r="R259" s="30" t="str">
        <f aca="false">IF(G259&gt;0,G259+A259/10000000,"")</f>
        <v/>
      </c>
    </row>
    <row r="260" customFormat="false" ht="15" hidden="false" customHeight="false" outlineLevel="0" collapsed="false">
      <c r="A260" s="9" t="n">
        <v>256</v>
      </c>
      <c r="B260" s="9" t="str">
        <f aca="false">IFERROR(INDEX('Zoho Dump'!$N$8:$N$3007,MATCH(A260,'Zoho Dump'!$AB$8:$AB$3007,0)),"")</f>
        <v/>
      </c>
      <c r="C260" s="17" t="n">
        <f aca="false">IF($B260="",0,SUMIFS('Zoho Dump'!$Q$8:$Q$3007,'Zoho Dump'!$N$8:$N$3007,$B260,'Zoho Dump'!$T$8:$T$3007,"Delivered",'Zoho Dump'!$R$8:$R$3007,"&gt;="&amp;Settings!$B$4))</f>
        <v>0</v>
      </c>
      <c r="D260" s="17" t="n">
        <f aca="false">IF($B260="",0,SUMIFS('Zoho Dump'!$X$8:$X$3007,'Zoho Dump'!$N$8:$N$3007,$B260,'Zoho Dump'!$T$8:$T$3007,"Backlog")+SUMIFS(Adjustments!$K$8:$K$207,Adjustments!$B$8:$B$207,$B260,Adjustments!$H$8:$H$207,"Backlog"))</f>
        <v>0</v>
      </c>
      <c r="E260" s="17" t="n">
        <f aca="false">IF($B260="",0,SUMIFS('Zoho Dump'!$Y$8:$Y$3007,'Zoho Dump'!$N$8:$N$3007,$B260,'Zoho Dump'!$T$8:$T$3007,"Pipeline")+SUMIFS(Adjustments!$L$8:$L$207,Adjustments!$B$8:$B$207,$B260,Adjustments!$H$8:$H$207,"Pipeline")+SUMIFS('Zoho Dump'!$Y$8:$Y$3007,'Zoho Dump'!$N$8:$N$3007,$B260,'Zoho Dump'!$T$8:$T$3007,"Overdue")+SUMIFS(Adjustments!$L$8:$L$207,Adjustments!$B$8:$B$207,$B260,Adjustments!$H$8:$H$207,"Overdue"))</f>
        <v>0</v>
      </c>
      <c r="F260" s="17" t="n">
        <f aca="false">IF($B260="",0,SUMIFS('Zoho Dump'!$X$8:$X$3007,'Zoho Dump'!$N$8:$N$3007,$B260,'Zoho Dump'!$T$8:$T$3007,"Pipeline")+SUMIFS(Adjustments!$K$8:$K$207,Adjustments!$B$8:$B$207,$B260,Adjustments!$H$8:$H$207,"Pipeline")+SUMIFS('Zoho Dump'!$X$8:$X$3007,'Zoho Dump'!$N$8:$N$3007,$B260,'Zoho Dump'!$T$8:$T$3007,"Overdue")+SUMIFS(Adjustments!$K$8:$K$207,Adjustments!$B$8:$B$207,$B260,Adjustments!$H$8:$H$207,"Overdue"))</f>
        <v>0</v>
      </c>
      <c r="G260" s="17" t="n">
        <f aca="false">D260+F260</f>
        <v>0</v>
      </c>
      <c r="H260" s="18" t="n">
        <f aca="false">IF(SUM($G$5:$G$404)=0,0,G260/SUM($G$5:$G$404))</f>
        <v>0</v>
      </c>
      <c r="I260" s="17" t="n">
        <f aca="false">IF($B260="",0,SUMIFS('Zoho Dump'!$Q$8:$Q$3007,'Zoho Dump'!$N$8:$N$3007,$B260,'Zoho Dump'!$T$8:$T$3007,"Lost",'Zoho Dump'!$R$8:$R$3007,"&gt;="&amp;Settings!$B$4))</f>
        <v>0</v>
      </c>
      <c r="J260" s="9" t="str">
        <f aca="false">IF($B260="","",IF(COUNTIF(Dashboard!$C$13:$C$22,$B260)&gt;0,"Yes",""))</f>
        <v/>
      </c>
      <c r="K260" s="17" t="n">
        <f aca="false">IF($B260="",0,SUMIFS('Zoho Dump'!$X$8:$X$3007,'Zoho Dump'!$N$8:$N$3007,$B260,'Zoho Dump'!$P$8:$P$3007,Settings!$A$12)+SUMIFS(Adjustments!$K$8:$K$207,Adjustments!$B$8:$B$207,$B260,Adjustments!$A$8:$A$207,Settings!$A$12))</f>
        <v>0</v>
      </c>
      <c r="L260" s="17" t="n">
        <f aca="false">IF($B260="",0,SUMIFS('Zoho Dump'!$X$8:$X$3007,'Zoho Dump'!$N$8:$N$3007,$B260,'Zoho Dump'!$P$8:$P$3007,Settings!$A$13)+SUMIFS(Adjustments!$K$8:$K$207,Adjustments!$B$8:$B$207,$B260,Adjustments!$A$8:$A$207,Settings!$A$13))</f>
        <v>0</v>
      </c>
      <c r="M260" s="17" t="n">
        <f aca="false">IF($B260="",0,SUMIFS('Zoho Dump'!$X$8:$X$3007,'Zoho Dump'!$N$8:$N$3007,$B260,'Zoho Dump'!$P$8:$P$3007,Settings!$A$14)+SUMIFS(Adjustments!$K$8:$K$207,Adjustments!$B$8:$B$207,$B260,Adjustments!$A$8:$A$207,Settings!$A$14))</f>
        <v>0</v>
      </c>
      <c r="N260" s="17" t="n">
        <f aca="false">IF($B260="",0,SUMIFS('Zoho Dump'!$X$8:$X$3007,'Zoho Dump'!$N$8:$N$3007,$B260,'Zoho Dump'!$P$8:$P$3007,Settings!$A$15)+SUMIFS(Adjustments!$K$8:$K$207,Adjustments!$B$8:$B$207,$B260,Adjustments!$A$8:$A$207,Settings!$A$15))</f>
        <v>0</v>
      </c>
      <c r="O260" s="17" t="n">
        <f aca="false">IF($B260="",0,SUMIFS('Zoho Dump'!$X$8:$X$3007,'Zoho Dump'!$N$8:$N$3007,$B260,'Zoho Dump'!$P$8:$P$3007,Settings!$A$16)+SUMIFS(Adjustments!$K$8:$K$207,Adjustments!$B$8:$B$207,$B260,Adjustments!$A$8:$A$207,Settings!$A$16))</f>
        <v>0</v>
      </c>
      <c r="P260" s="17" t="n">
        <f aca="false">IF($B260="",0,SUMIFS('Zoho Dump'!$X$8:$X$3007,'Zoho Dump'!$N$8:$N$3007,$B260,'Zoho Dump'!$P$8:$P$3007,Settings!$A$17)+SUMIFS(Adjustments!$K$8:$K$207,Adjustments!$B$8:$B$207,$B260,Adjustments!$A$8:$A$207,Settings!$A$17))</f>
        <v>0</v>
      </c>
      <c r="Q260" s="17" t="n">
        <f aca="false">IF($B260="",0,SUMIFS('Zoho Dump'!$X$8:$X$3007,'Zoho Dump'!$N$8:$N$3007,$B260,'Zoho Dump'!$P$8:$P$3007,Settings!$A$18)+SUMIFS(Adjustments!$K$8:$K$207,Adjustments!$B$8:$B$207,$B260,Adjustments!$A$8:$A$207,Settings!$A$18))</f>
        <v>0</v>
      </c>
      <c r="R260" s="30" t="str">
        <f aca="false">IF(G260&gt;0,G260+A260/10000000,"")</f>
        <v/>
      </c>
    </row>
    <row r="261" customFormat="false" ht="15" hidden="false" customHeight="false" outlineLevel="0" collapsed="false">
      <c r="A261" s="9" t="n">
        <v>257</v>
      </c>
      <c r="B261" s="9" t="str">
        <f aca="false">IFERROR(INDEX('Zoho Dump'!$N$8:$N$3007,MATCH(A261,'Zoho Dump'!$AB$8:$AB$3007,0)),"")</f>
        <v/>
      </c>
      <c r="C261" s="17" t="n">
        <f aca="false">IF($B261="",0,SUMIFS('Zoho Dump'!$Q$8:$Q$3007,'Zoho Dump'!$N$8:$N$3007,$B261,'Zoho Dump'!$T$8:$T$3007,"Delivered",'Zoho Dump'!$R$8:$R$3007,"&gt;="&amp;Settings!$B$4))</f>
        <v>0</v>
      </c>
      <c r="D261" s="17" t="n">
        <f aca="false">IF($B261="",0,SUMIFS('Zoho Dump'!$X$8:$X$3007,'Zoho Dump'!$N$8:$N$3007,$B261,'Zoho Dump'!$T$8:$T$3007,"Backlog")+SUMIFS(Adjustments!$K$8:$K$207,Adjustments!$B$8:$B$207,$B261,Adjustments!$H$8:$H$207,"Backlog"))</f>
        <v>0</v>
      </c>
      <c r="E261" s="17" t="n">
        <f aca="false">IF($B261="",0,SUMIFS('Zoho Dump'!$Y$8:$Y$3007,'Zoho Dump'!$N$8:$N$3007,$B261,'Zoho Dump'!$T$8:$T$3007,"Pipeline")+SUMIFS(Adjustments!$L$8:$L$207,Adjustments!$B$8:$B$207,$B261,Adjustments!$H$8:$H$207,"Pipeline")+SUMIFS('Zoho Dump'!$Y$8:$Y$3007,'Zoho Dump'!$N$8:$N$3007,$B261,'Zoho Dump'!$T$8:$T$3007,"Overdue")+SUMIFS(Adjustments!$L$8:$L$207,Adjustments!$B$8:$B$207,$B261,Adjustments!$H$8:$H$207,"Overdue"))</f>
        <v>0</v>
      </c>
      <c r="F261" s="17" t="n">
        <f aca="false">IF($B261="",0,SUMIFS('Zoho Dump'!$X$8:$X$3007,'Zoho Dump'!$N$8:$N$3007,$B261,'Zoho Dump'!$T$8:$T$3007,"Pipeline")+SUMIFS(Adjustments!$K$8:$K$207,Adjustments!$B$8:$B$207,$B261,Adjustments!$H$8:$H$207,"Pipeline")+SUMIFS('Zoho Dump'!$X$8:$X$3007,'Zoho Dump'!$N$8:$N$3007,$B261,'Zoho Dump'!$T$8:$T$3007,"Overdue")+SUMIFS(Adjustments!$K$8:$K$207,Adjustments!$B$8:$B$207,$B261,Adjustments!$H$8:$H$207,"Overdue"))</f>
        <v>0</v>
      </c>
      <c r="G261" s="17" t="n">
        <f aca="false">D261+F261</f>
        <v>0</v>
      </c>
      <c r="H261" s="18" t="n">
        <f aca="false">IF(SUM($G$5:$G$404)=0,0,G261/SUM($G$5:$G$404))</f>
        <v>0</v>
      </c>
      <c r="I261" s="17" t="n">
        <f aca="false">IF($B261="",0,SUMIFS('Zoho Dump'!$Q$8:$Q$3007,'Zoho Dump'!$N$8:$N$3007,$B261,'Zoho Dump'!$T$8:$T$3007,"Lost",'Zoho Dump'!$R$8:$R$3007,"&gt;="&amp;Settings!$B$4))</f>
        <v>0</v>
      </c>
      <c r="J261" s="9" t="str">
        <f aca="false">IF($B261="","",IF(COUNTIF(Dashboard!$C$13:$C$22,$B261)&gt;0,"Yes",""))</f>
        <v/>
      </c>
      <c r="K261" s="17" t="n">
        <f aca="false">IF($B261="",0,SUMIFS('Zoho Dump'!$X$8:$X$3007,'Zoho Dump'!$N$8:$N$3007,$B261,'Zoho Dump'!$P$8:$P$3007,Settings!$A$12)+SUMIFS(Adjustments!$K$8:$K$207,Adjustments!$B$8:$B$207,$B261,Adjustments!$A$8:$A$207,Settings!$A$12))</f>
        <v>0</v>
      </c>
      <c r="L261" s="17" t="n">
        <f aca="false">IF($B261="",0,SUMIFS('Zoho Dump'!$X$8:$X$3007,'Zoho Dump'!$N$8:$N$3007,$B261,'Zoho Dump'!$P$8:$P$3007,Settings!$A$13)+SUMIFS(Adjustments!$K$8:$K$207,Adjustments!$B$8:$B$207,$B261,Adjustments!$A$8:$A$207,Settings!$A$13))</f>
        <v>0</v>
      </c>
      <c r="M261" s="17" t="n">
        <f aca="false">IF($B261="",0,SUMIFS('Zoho Dump'!$X$8:$X$3007,'Zoho Dump'!$N$8:$N$3007,$B261,'Zoho Dump'!$P$8:$P$3007,Settings!$A$14)+SUMIFS(Adjustments!$K$8:$K$207,Adjustments!$B$8:$B$207,$B261,Adjustments!$A$8:$A$207,Settings!$A$14))</f>
        <v>0</v>
      </c>
      <c r="N261" s="17" t="n">
        <f aca="false">IF($B261="",0,SUMIFS('Zoho Dump'!$X$8:$X$3007,'Zoho Dump'!$N$8:$N$3007,$B261,'Zoho Dump'!$P$8:$P$3007,Settings!$A$15)+SUMIFS(Adjustments!$K$8:$K$207,Adjustments!$B$8:$B$207,$B261,Adjustments!$A$8:$A$207,Settings!$A$15))</f>
        <v>0</v>
      </c>
      <c r="O261" s="17" t="n">
        <f aca="false">IF($B261="",0,SUMIFS('Zoho Dump'!$X$8:$X$3007,'Zoho Dump'!$N$8:$N$3007,$B261,'Zoho Dump'!$P$8:$P$3007,Settings!$A$16)+SUMIFS(Adjustments!$K$8:$K$207,Adjustments!$B$8:$B$207,$B261,Adjustments!$A$8:$A$207,Settings!$A$16))</f>
        <v>0</v>
      </c>
      <c r="P261" s="17" t="n">
        <f aca="false">IF($B261="",0,SUMIFS('Zoho Dump'!$X$8:$X$3007,'Zoho Dump'!$N$8:$N$3007,$B261,'Zoho Dump'!$P$8:$P$3007,Settings!$A$17)+SUMIFS(Adjustments!$K$8:$K$207,Adjustments!$B$8:$B$207,$B261,Adjustments!$A$8:$A$207,Settings!$A$17))</f>
        <v>0</v>
      </c>
      <c r="Q261" s="17" t="n">
        <f aca="false">IF($B261="",0,SUMIFS('Zoho Dump'!$X$8:$X$3007,'Zoho Dump'!$N$8:$N$3007,$B261,'Zoho Dump'!$P$8:$P$3007,Settings!$A$18)+SUMIFS(Adjustments!$K$8:$K$207,Adjustments!$B$8:$B$207,$B261,Adjustments!$A$8:$A$207,Settings!$A$18))</f>
        <v>0</v>
      </c>
      <c r="R261" s="30" t="str">
        <f aca="false">IF(G261&gt;0,G261+A261/10000000,"")</f>
        <v/>
      </c>
    </row>
    <row r="262" customFormat="false" ht="15" hidden="false" customHeight="false" outlineLevel="0" collapsed="false">
      <c r="A262" s="9" t="n">
        <v>258</v>
      </c>
      <c r="B262" s="9" t="str">
        <f aca="false">IFERROR(INDEX('Zoho Dump'!$N$8:$N$3007,MATCH(A262,'Zoho Dump'!$AB$8:$AB$3007,0)),"")</f>
        <v/>
      </c>
      <c r="C262" s="17" t="n">
        <f aca="false">IF($B262="",0,SUMIFS('Zoho Dump'!$Q$8:$Q$3007,'Zoho Dump'!$N$8:$N$3007,$B262,'Zoho Dump'!$T$8:$T$3007,"Delivered",'Zoho Dump'!$R$8:$R$3007,"&gt;="&amp;Settings!$B$4))</f>
        <v>0</v>
      </c>
      <c r="D262" s="17" t="n">
        <f aca="false">IF($B262="",0,SUMIFS('Zoho Dump'!$X$8:$X$3007,'Zoho Dump'!$N$8:$N$3007,$B262,'Zoho Dump'!$T$8:$T$3007,"Backlog")+SUMIFS(Adjustments!$K$8:$K$207,Adjustments!$B$8:$B$207,$B262,Adjustments!$H$8:$H$207,"Backlog"))</f>
        <v>0</v>
      </c>
      <c r="E262" s="17" t="n">
        <f aca="false">IF($B262="",0,SUMIFS('Zoho Dump'!$Y$8:$Y$3007,'Zoho Dump'!$N$8:$N$3007,$B262,'Zoho Dump'!$T$8:$T$3007,"Pipeline")+SUMIFS(Adjustments!$L$8:$L$207,Adjustments!$B$8:$B$207,$B262,Adjustments!$H$8:$H$207,"Pipeline")+SUMIFS('Zoho Dump'!$Y$8:$Y$3007,'Zoho Dump'!$N$8:$N$3007,$B262,'Zoho Dump'!$T$8:$T$3007,"Overdue")+SUMIFS(Adjustments!$L$8:$L$207,Adjustments!$B$8:$B$207,$B262,Adjustments!$H$8:$H$207,"Overdue"))</f>
        <v>0</v>
      </c>
      <c r="F262" s="17" t="n">
        <f aca="false">IF($B262="",0,SUMIFS('Zoho Dump'!$X$8:$X$3007,'Zoho Dump'!$N$8:$N$3007,$B262,'Zoho Dump'!$T$8:$T$3007,"Pipeline")+SUMIFS(Adjustments!$K$8:$K$207,Adjustments!$B$8:$B$207,$B262,Adjustments!$H$8:$H$207,"Pipeline")+SUMIFS('Zoho Dump'!$X$8:$X$3007,'Zoho Dump'!$N$8:$N$3007,$B262,'Zoho Dump'!$T$8:$T$3007,"Overdue")+SUMIFS(Adjustments!$K$8:$K$207,Adjustments!$B$8:$B$207,$B262,Adjustments!$H$8:$H$207,"Overdue"))</f>
        <v>0</v>
      </c>
      <c r="G262" s="17" t="n">
        <f aca="false">D262+F262</f>
        <v>0</v>
      </c>
      <c r="H262" s="18" t="n">
        <f aca="false">IF(SUM($G$5:$G$404)=0,0,G262/SUM($G$5:$G$404))</f>
        <v>0</v>
      </c>
      <c r="I262" s="17" t="n">
        <f aca="false">IF($B262="",0,SUMIFS('Zoho Dump'!$Q$8:$Q$3007,'Zoho Dump'!$N$8:$N$3007,$B262,'Zoho Dump'!$T$8:$T$3007,"Lost",'Zoho Dump'!$R$8:$R$3007,"&gt;="&amp;Settings!$B$4))</f>
        <v>0</v>
      </c>
      <c r="J262" s="9" t="str">
        <f aca="false">IF($B262="","",IF(COUNTIF(Dashboard!$C$13:$C$22,$B262)&gt;0,"Yes",""))</f>
        <v/>
      </c>
      <c r="K262" s="17" t="n">
        <f aca="false">IF($B262="",0,SUMIFS('Zoho Dump'!$X$8:$X$3007,'Zoho Dump'!$N$8:$N$3007,$B262,'Zoho Dump'!$P$8:$P$3007,Settings!$A$12)+SUMIFS(Adjustments!$K$8:$K$207,Adjustments!$B$8:$B$207,$B262,Adjustments!$A$8:$A$207,Settings!$A$12))</f>
        <v>0</v>
      </c>
      <c r="L262" s="17" t="n">
        <f aca="false">IF($B262="",0,SUMIFS('Zoho Dump'!$X$8:$X$3007,'Zoho Dump'!$N$8:$N$3007,$B262,'Zoho Dump'!$P$8:$P$3007,Settings!$A$13)+SUMIFS(Adjustments!$K$8:$K$207,Adjustments!$B$8:$B$207,$B262,Adjustments!$A$8:$A$207,Settings!$A$13))</f>
        <v>0</v>
      </c>
      <c r="M262" s="17" t="n">
        <f aca="false">IF($B262="",0,SUMIFS('Zoho Dump'!$X$8:$X$3007,'Zoho Dump'!$N$8:$N$3007,$B262,'Zoho Dump'!$P$8:$P$3007,Settings!$A$14)+SUMIFS(Adjustments!$K$8:$K$207,Adjustments!$B$8:$B$207,$B262,Adjustments!$A$8:$A$207,Settings!$A$14))</f>
        <v>0</v>
      </c>
      <c r="N262" s="17" t="n">
        <f aca="false">IF($B262="",0,SUMIFS('Zoho Dump'!$X$8:$X$3007,'Zoho Dump'!$N$8:$N$3007,$B262,'Zoho Dump'!$P$8:$P$3007,Settings!$A$15)+SUMIFS(Adjustments!$K$8:$K$207,Adjustments!$B$8:$B$207,$B262,Adjustments!$A$8:$A$207,Settings!$A$15))</f>
        <v>0</v>
      </c>
      <c r="O262" s="17" t="n">
        <f aca="false">IF($B262="",0,SUMIFS('Zoho Dump'!$X$8:$X$3007,'Zoho Dump'!$N$8:$N$3007,$B262,'Zoho Dump'!$P$8:$P$3007,Settings!$A$16)+SUMIFS(Adjustments!$K$8:$K$207,Adjustments!$B$8:$B$207,$B262,Adjustments!$A$8:$A$207,Settings!$A$16))</f>
        <v>0</v>
      </c>
      <c r="P262" s="17" t="n">
        <f aca="false">IF($B262="",0,SUMIFS('Zoho Dump'!$X$8:$X$3007,'Zoho Dump'!$N$8:$N$3007,$B262,'Zoho Dump'!$P$8:$P$3007,Settings!$A$17)+SUMIFS(Adjustments!$K$8:$K$207,Adjustments!$B$8:$B$207,$B262,Adjustments!$A$8:$A$207,Settings!$A$17))</f>
        <v>0</v>
      </c>
      <c r="Q262" s="17" t="n">
        <f aca="false">IF($B262="",0,SUMIFS('Zoho Dump'!$X$8:$X$3007,'Zoho Dump'!$N$8:$N$3007,$B262,'Zoho Dump'!$P$8:$P$3007,Settings!$A$18)+SUMIFS(Adjustments!$K$8:$K$207,Adjustments!$B$8:$B$207,$B262,Adjustments!$A$8:$A$207,Settings!$A$18))</f>
        <v>0</v>
      </c>
      <c r="R262" s="30" t="str">
        <f aca="false">IF(G262&gt;0,G262+A262/10000000,"")</f>
        <v/>
      </c>
    </row>
    <row r="263" customFormat="false" ht="15" hidden="false" customHeight="false" outlineLevel="0" collapsed="false">
      <c r="A263" s="9" t="n">
        <v>259</v>
      </c>
      <c r="B263" s="9" t="str">
        <f aca="false">IFERROR(INDEX('Zoho Dump'!$N$8:$N$3007,MATCH(A263,'Zoho Dump'!$AB$8:$AB$3007,0)),"")</f>
        <v/>
      </c>
      <c r="C263" s="17" t="n">
        <f aca="false">IF($B263="",0,SUMIFS('Zoho Dump'!$Q$8:$Q$3007,'Zoho Dump'!$N$8:$N$3007,$B263,'Zoho Dump'!$T$8:$T$3007,"Delivered",'Zoho Dump'!$R$8:$R$3007,"&gt;="&amp;Settings!$B$4))</f>
        <v>0</v>
      </c>
      <c r="D263" s="17" t="n">
        <f aca="false">IF($B263="",0,SUMIFS('Zoho Dump'!$X$8:$X$3007,'Zoho Dump'!$N$8:$N$3007,$B263,'Zoho Dump'!$T$8:$T$3007,"Backlog")+SUMIFS(Adjustments!$K$8:$K$207,Adjustments!$B$8:$B$207,$B263,Adjustments!$H$8:$H$207,"Backlog"))</f>
        <v>0</v>
      </c>
      <c r="E263" s="17" t="n">
        <f aca="false">IF($B263="",0,SUMIFS('Zoho Dump'!$Y$8:$Y$3007,'Zoho Dump'!$N$8:$N$3007,$B263,'Zoho Dump'!$T$8:$T$3007,"Pipeline")+SUMIFS(Adjustments!$L$8:$L$207,Adjustments!$B$8:$B$207,$B263,Adjustments!$H$8:$H$207,"Pipeline")+SUMIFS('Zoho Dump'!$Y$8:$Y$3007,'Zoho Dump'!$N$8:$N$3007,$B263,'Zoho Dump'!$T$8:$T$3007,"Overdue")+SUMIFS(Adjustments!$L$8:$L$207,Adjustments!$B$8:$B$207,$B263,Adjustments!$H$8:$H$207,"Overdue"))</f>
        <v>0</v>
      </c>
      <c r="F263" s="17" t="n">
        <f aca="false">IF($B263="",0,SUMIFS('Zoho Dump'!$X$8:$X$3007,'Zoho Dump'!$N$8:$N$3007,$B263,'Zoho Dump'!$T$8:$T$3007,"Pipeline")+SUMIFS(Adjustments!$K$8:$K$207,Adjustments!$B$8:$B$207,$B263,Adjustments!$H$8:$H$207,"Pipeline")+SUMIFS('Zoho Dump'!$X$8:$X$3007,'Zoho Dump'!$N$8:$N$3007,$B263,'Zoho Dump'!$T$8:$T$3007,"Overdue")+SUMIFS(Adjustments!$K$8:$K$207,Adjustments!$B$8:$B$207,$B263,Adjustments!$H$8:$H$207,"Overdue"))</f>
        <v>0</v>
      </c>
      <c r="G263" s="17" t="n">
        <f aca="false">D263+F263</f>
        <v>0</v>
      </c>
      <c r="H263" s="18" t="n">
        <f aca="false">IF(SUM($G$5:$G$404)=0,0,G263/SUM($G$5:$G$404))</f>
        <v>0</v>
      </c>
      <c r="I263" s="17" t="n">
        <f aca="false">IF($B263="",0,SUMIFS('Zoho Dump'!$Q$8:$Q$3007,'Zoho Dump'!$N$8:$N$3007,$B263,'Zoho Dump'!$T$8:$T$3007,"Lost",'Zoho Dump'!$R$8:$R$3007,"&gt;="&amp;Settings!$B$4))</f>
        <v>0</v>
      </c>
      <c r="J263" s="9" t="str">
        <f aca="false">IF($B263="","",IF(COUNTIF(Dashboard!$C$13:$C$22,$B263)&gt;0,"Yes",""))</f>
        <v/>
      </c>
      <c r="K263" s="17" t="n">
        <f aca="false">IF($B263="",0,SUMIFS('Zoho Dump'!$X$8:$X$3007,'Zoho Dump'!$N$8:$N$3007,$B263,'Zoho Dump'!$P$8:$P$3007,Settings!$A$12)+SUMIFS(Adjustments!$K$8:$K$207,Adjustments!$B$8:$B$207,$B263,Adjustments!$A$8:$A$207,Settings!$A$12))</f>
        <v>0</v>
      </c>
      <c r="L263" s="17" t="n">
        <f aca="false">IF($B263="",0,SUMIFS('Zoho Dump'!$X$8:$X$3007,'Zoho Dump'!$N$8:$N$3007,$B263,'Zoho Dump'!$P$8:$P$3007,Settings!$A$13)+SUMIFS(Adjustments!$K$8:$K$207,Adjustments!$B$8:$B$207,$B263,Adjustments!$A$8:$A$207,Settings!$A$13))</f>
        <v>0</v>
      </c>
      <c r="M263" s="17" t="n">
        <f aca="false">IF($B263="",0,SUMIFS('Zoho Dump'!$X$8:$X$3007,'Zoho Dump'!$N$8:$N$3007,$B263,'Zoho Dump'!$P$8:$P$3007,Settings!$A$14)+SUMIFS(Adjustments!$K$8:$K$207,Adjustments!$B$8:$B$207,$B263,Adjustments!$A$8:$A$207,Settings!$A$14))</f>
        <v>0</v>
      </c>
      <c r="N263" s="17" t="n">
        <f aca="false">IF($B263="",0,SUMIFS('Zoho Dump'!$X$8:$X$3007,'Zoho Dump'!$N$8:$N$3007,$B263,'Zoho Dump'!$P$8:$P$3007,Settings!$A$15)+SUMIFS(Adjustments!$K$8:$K$207,Adjustments!$B$8:$B$207,$B263,Adjustments!$A$8:$A$207,Settings!$A$15))</f>
        <v>0</v>
      </c>
      <c r="O263" s="17" t="n">
        <f aca="false">IF($B263="",0,SUMIFS('Zoho Dump'!$X$8:$X$3007,'Zoho Dump'!$N$8:$N$3007,$B263,'Zoho Dump'!$P$8:$P$3007,Settings!$A$16)+SUMIFS(Adjustments!$K$8:$K$207,Adjustments!$B$8:$B$207,$B263,Adjustments!$A$8:$A$207,Settings!$A$16))</f>
        <v>0</v>
      </c>
      <c r="P263" s="17" t="n">
        <f aca="false">IF($B263="",0,SUMIFS('Zoho Dump'!$X$8:$X$3007,'Zoho Dump'!$N$8:$N$3007,$B263,'Zoho Dump'!$P$8:$P$3007,Settings!$A$17)+SUMIFS(Adjustments!$K$8:$K$207,Adjustments!$B$8:$B$207,$B263,Adjustments!$A$8:$A$207,Settings!$A$17))</f>
        <v>0</v>
      </c>
      <c r="Q263" s="17" t="n">
        <f aca="false">IF($B263="",0,SUMIFS('Zoho Dump'!$X$8:$X$3007,'Zoho Dump'!$N$8:$N$3007,$B263,'Zoho Dump'!$P$8:$P$3007,Settings!$A$18)+SUMIFS(Adjustments!$K$8:$K$207,Adjustments!$B$8:$B$207,$B263,Adjustments!$A$8:$A$207,Settings!$A$18))</f>
        <v>0</v>
      </c>
      <c r="R263" s="30" t="str">
        <f aca="false">IF(G263&gt;0,G263+A263/10000000,"")</f>
        <v/>
      </c>
    </row>
    <row r="264" customFormat="false" ht="15" hidden="false" customHeight="false" outlineLevel="0" collapsed="false">
      <c r="A264" s="9" t="n">
        <v>260</v>
      </c>
      <c r="B264" s="9" t="str">
        <f aca="false">IFERROR(INDEX('Zoho Dump'!$N$8:$N$3007,MATCH(A264,'Zoho Dump'!$AB$8:$AB$3007,0)),"")</f>
        <v/>
      </c>
      <c r="C264" s="17" t="n">
        <f aca="false">IF($B264="",0,SUMIFS('Zoho Dump'!$Q$8:$Q$3007,'Zoho Dump'!$N$8:$N$3007,$B264,'Zoho Dump'!$T$8:$T$3007,"Delivered",'Zoho Dump'!$R$8:$R$3007,"&gt;="&amp;Settings!$B$4))</f>
        <v>0</v>
      </c>
      <c r="D264" s="17" t="n">
        <f aca="false">IF($B264="",0,SUMIFS('Zoho Dump'!$X$8:$X$3007,'Zoho Dump'!$N$8:$N$3007,$B264,'Zoho Dump'!$T$8:$T$3007,"Backlog")+SUMIFS(Adjustments!$K$8:$K$207,Adjustments!$B$8:$B$207,$B264,Adjustments!$H$8:$H$207,"Backlog"))</f>
        <v>0</v>
      </c>
      <c r="E264" s="17" t="n">
        <f aca="false">IF($B264="",0,SUMIFS('Zoho Dump'!$Y$8:$Y$3007,'Zoho Dump'!$N$8:$N$3007,$B264,'Zoho Dump'!$T$8:$T$3007,"Pipeline")+SUMIFS(Adjustments!$L$8:$L$207,Adjustments!$B$8:$B$207,$B264,Adjustments!$H$8:$H$207,"Pipeline")+SUMIFS('Zoho Dump'!$Y$8:$Y$3007,'Zoho Dump'!$N$8:$N$3007,$B264,'Zoho Dump'!$T$8:$T$3007,"Overdue")+SUMIFS(Adjustments!$L$8:$L$207,Adjustments!$B$8:$B$207,$B264,Adjustments!$H$8:$H$207,"Overdue"))</f>
        <v>0</v>
      </c>
      <c r="F264" s="17" t="n">
        <f aca="false">IF($B264="",0,SUMIFS('Zoho Dump'!$X$8:$X$3007,'Zoho Dump'!$N$8:$N$3007,$B264,'Zoho Dump'!$T$8:$T$3007,"Pipeline")+SUMIFS(Adjustments!$K$8:$K$207,Adjustments!$B$8:$B$207,$B264,Adjustments!$H$8:$H$207,"Pipeline")+SUMIFS('Zoho Dump'!$X$8:$X$3007,'Zoho Dump'!$N$8:$N$3007,$B264,'Zoho Dump'!$T$8:$T$3007,"Overdue")+SUMIFS(Adjustments!$K$8:$K$207,Adjustments!$B$8:$B$207,$B264,Adjustments!$H$8:$H$207,"Overdue"))</f>
        <v>0</v>
      </c>
      <c r="G264" s="17" t="n">
        <f aca="false">D264+F264</f>
        <v>0</v>
      </c>
      <c r="H264" s="18" t="n">
        <f aca="false">IF(SUM($G$5:$G$404)=0,0,G264/SUM($G$5:$G$404))</f>
        <v>0</v>
      </c>
      <c r="I264" s="17" t="n">
        <f aca="false">IF($B264="",0,SUMIFS('Zoho Dump'!$Q$8:$Q$3007,'Zoho Dump'!$N$8:$N$3007,$B264,'Zoho Dump'!$T$8:$T$3007,"Lost",'Zoho Dump'!$R$8:$R$3007,"&gt;="&amp;Settings!$B$4))</f>
        <v>0</v>
      </c>
      <c r="J264" s="9" t="str">
        <f aca="false">IF($B264="","",IF(COUNTIF(Dashboard!$C$13:$C$22,$B264)&gt;0,"Yes",""))</f>
        <v/>
      </c>
      <c r="K264" s="17" t="n">
        <f aca="false">IF($B264="",0,SUMIFS('Zoho Dump'!$X$8:$X$3007,'Zoho Dump'!$N$8:$N$3007,$B264,'Zoho Dump'!$P$8:$P$3007,Settings!$A$12)+SUMIFS(Adjustments!$K$8:$K$207,Adjustments!$B$8:$B$207,$B264,Adjustments!$A$8:$A$207,Settings!$A$12))</f>
        <v>0</v>
      </c>
      <c r="L264" s="17" t="n">
        <f aca="false">IF($B264="",0,SUMIFS('Zoho Dump'!$X$8:$X$3007,'Zoho Dump'!$N$8:$N$3007,$B264,'Zoho Dump'!$P$8:$P$3007,Settings!$A$13)+SUMIFS(Adjustments!$K$8:$K$207,Adjustments!$B$8:$B$207,$B264,Adjustments!$A$8:$A$207,Settings!$A$13))</f>
        <v>0</v>
      </c>
      <c r="M264" s="17" t="n">
        <f aca="false">IF($B264="",0,SUMIFS('Zoho Dump'!$X$8:$X$3007,'Zoho Dump'!$N$8:$N$3007,$B264,'Zoho Dump'!$P$8:$P$3007,Settings!$A$14)+SUMIFS(Adjustments!$K$8:$K$207,Adjustments!$B$8:$B$207,$B264,Adjustments!$A$8:$A$207,Settings!$A$14))</f>
        <v>0</v>
      </c>
      <c r="N264" s="17" t="n">
        <f aca="false">IF($B264="",0,SUMIFS('Zoho Dump'!$X$8:$X$3007,'Zoho Dump'!$N$8:$N$3007,$B264,'Zoho Dump'!$P$8:$P$3007,Settings!$A$15)+SUMIFS(Adjustments!$K$8:$K$207,Adjustments!$B$8:$B$207,$B264,Adjustments!$A$8:$A$207,Settings!$A$15))</f>
        <v>0</v>
      </c>
      <c r="O264" s="17" t="n">
        <f aca="false">IF($B264="",0,SUMIFS('Zoho Dump'!$X$8:$X$3007,'Zoho Dump'!$N$8:$N$3007,$B264,'Zoho Dump'!$P$8:$P$3007,Settings!$A$16)+SUMIFS(Adjustments!$K$8:$K$207,Adjustments!$B$8:$B$207,$B264,Adjustments!$A$8:$A$207,Settings!$A$16))</f>
        <v>0</v>
      </c>
      <c r="P264" s="17" t="n">
        <f aca="false">IF($B264="",0,SUMIFS('Zoho Dump'!$X$8:$X$3007,'Zoho Dump'!$N$8:$N$3007,$B264,'Zoho Dump'!$P$8:$P$3007,Settings!$A$17)+SUMIFS(Adjustments!$K$8:$K$207,Adjustments!$B$8:$B$207,$B264,Adjustments!$A$8:$A$207,Settings!$A$17))</f>
        <v>0</v>
      </c>
      <c r="Q264" s="17" t="n">
        <f aca="false">IF($B264="",0,SUMIFS('Zoho Dump'!$X$8:$X$3007,'Zoho Dump'!$N$8:$N$3007,$B264,'Zoho Dump'!$P$8:$P$3007,Settings!$A$18)+SUMIFS(Adjustments!$K$8:$K$207,Adjustments!$B$8:$B$207,$B264,Adjustments!$A$8:$A$207,Settings!$A$18))</f>
        <v>0</v>
      </c>
      <c r="R264" s="30" t="str">
        <f aca="false">IF(G264&gt;0,G264+A264/10000000,"")</f>
        <v/>
      </c>
    </row>
    <row r="265" customFormat="false" ht="15" hidden="false" customHeight="false" outlineLevel="0" collapsed="false">
      <c r="A265" s="9" t="n">
        <v>261</v>
      </c>
      <c r="B265" s="9" t="str">
        <f aca="false">IFERROR(INDEX('Zoho Dump'!$N$8:$N$3007,MATCH(A265,'Zoho Dump'!$AB$8:$AB$3007,0)),"")</f>
        <v/>
      </c>
      <c r="C265" s="17" t="n">
        <f aca="false">IF($B265="",0,SUMIFS('Zoho Dump'!$Q$8:$Q$3007,'Zoho Dump'!$N$8:$N$3007,$B265,'Zoho Dump'!$T$8:$T$3007,"Delivered",'Zoho Dump'!$R$8:$R$3007,"&gt;="&amp;Settings!$B$4))</f>
        <v>0</v>
      </c>
      <c r="D265" s="17" t="n">
        <f aca="false">IF($B265="",0,SUMIFS('Zoho Dump'!$X$8:$X$3007,'Zoho Dump'!$N$8:$N$3007,$B265,'Zoho Dump'!$T$8:$T$3007,"Backlog")+SUMIFS(Adjustments!$K$8:$K$207,Adjustments!$B$8:$B$207,$B265,Adjustments!$H$8:$H$207,"Backlog"))</f>
        <v>0</v>
      </c>
      <c r="E265" s="17" t="n">
        <f aca="false">IF($B265="",0,SUMIFS('Zoho Dump'!$Y$8:$Y$3007,'Zoho Dump'!$N$8:$N$3007,$B265,'Zoho Dump'!$T$8:$T$3007,"Pipeline")+SUMIFS(Adjustments!$L$8:$L$207,Adjustments!$B$8:$B$207,$B265,Adjustments!$H$8:$H$207,"Pipeline")+SUMIFS('Zoho Dump'!$Y$8:$Y$3007,'Zoho Dump'!$N$8:$N$3007,$B265,'Zoho Dump'!$T$8:$T$3007,"Overdue")+SUMIFS(Adjustments!$L$8:$L$207,Adjustments!$B$8:$B$207,$B265,Adjustments!$H$8:$H$207,"Overdue"))</f>
        <v>0</v>
      </c>
      <c r="F265" s="17" t="n">
        <f aca="false">IF($B265="",0,SUMIFS('Zoho Dump'!$X$8:$X$3007,'Zoho Dump'!$N$8:$N$3007,$B265,'Zoho Dump'!$T$8:$T$3007,"Pipeline")+SUMIFS(Adjustments!$K$8:$K$207,Adjustments!$B$8:$B$207,$B265,Adjustments!$H$8:$H$207,"Pipeline")+SUMIFS('Zoho Dump'!$X$8:$X$3007,'Zoho Dump'!$N$8:$N$3007,$B265,'Zoho Dump'!$T$8:$T$3007,"Overdue")+SUMIFS(Adjustments!$K$8:$K$207,Adjustments!$B$8:$B$207,$B265,Adjustments!$H$8:$H$207,"Overdue"))</f>
        <v>0</v>
      </c>
      <c r="G265" s="17" t="n">
        <f aca="false">D265+F265</f>
        <v>0</v>
      </c>
      <c r="H265" s="18" t="n">
        <f aca="false">IF(SUM($G$5:$G$404)=0,0,G265/SUM($G$5:$G$404))</f>
        <v>0</v>
      </c>
      <c r="I265" s="17" t="n">
        <f aca="false">IF($B265="",0,SUMIFS('Zoho Dump'!$Q$8:$Q$3007,'Zoho Dump'!$N$8:$N$3007,$B265,'Zoho Dump'!$T$8:$T$3007,"Lost",'Zoho Dump'!$R$8:$R$3007,"&gt;="&amp;Settings!$B$4))</f>
        <v>0</v>
      </c>
      <c r="J265" s="9" t="str">
        <f aca="false">IF($B265="","",IF(COUNTIF(Dashboard!$C$13:$C$22,$B265)&gt;0,"Yes",""))</f>
        <v/>
      </c>
      <c r="K265" s="17" t="n">
        <f aca="false">IF($B265="",0,SUMIFS('Zoho Dump'!$X$8:$X$3007,'Zoho Dump'!$N$8:$N$3007,$B265,'Zoho Dump'!$P$8:$P$3007,Settings!$A$12)+SUMIFS(Adjustments!$K$8:$K$207,Adjustments!$B$8:$B$207,$B265,Adjustments!$A$8:$A$207,Settings!$A$12))</f>
        <v>0</v>
      </c>
      <c r="L265" s="17" t="n">
        <f aca="false">IF($B265="",0,SUMIFS('Zoho Dump'!$X$8:$X$3007,'Zoho Dump'!$N$8:$N$3007,$B265,'Zoho Dump'!$P$8:$P$3007,Settings!$A$13)+SUMIFS(Adjustments!$K$8:$K$207,Adjustments!$B$8:$B$207,$B265,Adjustments!$A$8:$A$207,Settings!$A$13))</f>
        <v>0</v>
      </c>
      <c r="M265" s="17" t="n">
        <f aca="false">IF($B265="",0,SUMIFS('Zoho Dump'!$X$8:$X$3007,'Zoho Dump'!$N$8:$N$3007,$B265,'Zoho Dump'!$P$8:$P$3007,Settings!$A$14)+SUMIFS(Adjustments!$K$8:$K$207,Adjustments!$B$8:$B$207,$B265,Adjustments!$A$8:$A$207,Settings!$A$14))</f>
        <v>0</v>
      </c>
      <c r="N265" s="17" t="n">
        <f aca="false">IF($B265="",0,SUMIFS('Zoho Dump'!$X$8:$X$3007,'Zoho Dump'!$N$8:$N$3007,$B265,'Zoho Dump'!$P$8:$P$3007,Settings!$A$15)+SUMIFS(Adjustments!$K$8:$K$207,Adjustments!$B$8:$B$207,$B265,Adjustments!$A$8:$A$207,Settings!$A$15))</f>
        <v>0</v>
      </c>
      <c r="O265" s="17" t="n">
        <f aca="false">IF($B265="",0,SUMIFS('Zoho Dump'!$X$8:$X$3007,'Zoho Dump'!$N$8:$N$3007,$B265,'Zoho Dump'!$P$8:$P$3007,Settings!$A$16)+SUMIFS(Adjustments!$K$8:$K$207,Adjustments!$B$8:$B$207,$B265,Adjustments!$A$8:$A$207,Settings!$A$16))</f>
        <v>0</v>
      </c>
      <c r="P265" s="17" t="n">
        <f aca="false">IF($B265="",0,SUMIFS('Zoho Dump'!$X$8:$X$3007,'Zoho Dump'!$N$8:$N$3007,$B265,'Zoho Dump'!$P$8:$P$3007,Settings!$A$17)+SUMIFS(Adjustments!$K$8:$K$207,Adjustments!$B$8:$B$207,$B265,Adjustments!$A$8:$A$207,Settings!$A$17))</f>
        <v>0</v>
      </c>
      <c r="Q265" s="17" t="n">
        <f aca="false">IF($B265="",0,SUMIFS('Zoho Dump'!$X$8:$X$3007,'Zoho Dump'!$N$8:$N$3007,$B265,'Zoho Dump'!$P$8:$P$3007,Settings!$A$18)+SUMIFS(Adjustments!$K$8:$K$207,Adjustments!$B$8:$B$207,$B265,Adjustments!$A$8:$A$207,Settings!$A$18))</f>
        <v>0</v>
      </c>
      <c r="R265" s="30" t="str">
        <f aca="false">IF(G265&gt;0,G265+A265/10000000,"")</f>
        <v/>
      </c>
    </row>
    <row r="266" customFormat="false" ht="15" hidden="false" customHeight="false" outlineLevel="0" collapsed="false">
      <c r="A266" s="9" t="n">
        <v>262</v>
      </c>
      <c r="B266" s="9" t="str">
        <f aca="false">IFERROR(INDEX('Zoho Dump'!$N$8:$N$3007,MATCH(A266,'Zoho Dump'!$AB$8:$AB$3007,0)),"")</f>
        <v/>
      </c>
      <c r="C266" s="17" t="n">
        <f aca="false">IF($B266="",0,SUMIFS('Zoho Dump'!$Q$8:$Q$3007,'Zoho Dump'!$N$8:$N$3007,$B266,'Zoho Dump'!$T$8:$T$3007,"Delivered",'Zoho Dump'!$R$8:$R$3007,"&gt;="&amp;Settings!$B$4))</f>
        <v>0</v>
      </c>
      <c r="D266" s="17" t="n">
        <f aca="false">IF($B266="",0,SUMIFS('Zoho Dump'!$X$8:$X$3007,'Zoho Dump'!$N$8:$N$3007,$B266,'Zoho Dump'!$T$8:$T$3007,"Backlog")+SUMIFS(Adjustments!$K$8:$K$207,Adjustments!$B$8:$B$207,$B266,Adjustments!$H$8:$H$207,"Backlog"))</f>
        <v>0</v>
      </c>
      <c r="E266" s="17" t="n">
        <f aca="false">IF($B266="",0,SUMIFS('Zoho Dump'!$Y$8:$Y$3007,'Zoho Dump'!$N$8:$N$3007,$B266,'Zoho Dump'!$T$8:$T$3007,"Pipeline")+SUMIFS(Adjustments!$L$8:$L$207,Adjustments!$B$8:$B$207,$B266,Adjustments!$H$8:$H$207,"Pipeline")+SUMIFS('Zoho Dump'!$Y$8:$Y$3007,'Zoho Dump'!$N$8:$N$3007,$B266,'Zoho Dump'!$T$8:$T$3007,"Overdue")+SUMIFS(Adjustments!$L$8:$L$207,Adjustments!$B$8:$B$207,$B266,Adjustments!$H$8:$H$207,"Overdue"))</f>
        <v>0</v>
      </c>
      <c r="F266" s="17" t="n">
        <f aca="false">IF($B266="",0,SUMIFS('Zoho Dump'!$X$8:$X$3007,'Zoho Dump'!$N$8:$N$3007,$B266,'Zoho Dump'!$T$8:$T$3007,"Pipeline")+SUMIFS(Adjustments!$K$8:$K$207,Adjustments!$B$8:$B$207,$B266,Adjustments!$H$8:$H$207,"Pipeline")+SUMIFS('Zoho Dump'!$X$8:$X$3007,'Zoho Dump'!$N$8:$N$3007,$B266,'Zoho Dump'!$T$8:$T$3007,"Overdue")+SUMIFS(Adjustments!$K$8:$K$207,Adjustments!$B$8:$B$207,$B266,Adjustments!$H$8:$H$207,"Overdue"))</f>
        <v>0</v>
      </c>
      <c r="G266" s="17" t="n">
        <f aca="false">D266+F266</f>
        <v>0</v>
      </c>
      <c r="H266" s="18" t="n">
        <f aca="false">IF(SUM($G$5:$G$404)=0,0,G266/SUM($G$5:$G$404))</f>
        <v>0</v>
      </c>
      <c r="I266" s="17" t="n">
        <f aca="false">IF($B266="",0,SUMIFS('Zoho Dump'!$Q$8:$Q$3007,'Zoho Dump'!$N$8:$N$3007,$B266,'Zoho Dump'!$T$8:$T$3007,"Lost",'Zoho Dump'!$R$8:$R$3007,"&gt;="&amp;Settings!$B$4))</f>
        <v>0</v>
      </c>
      <c r="J266" s="9" t="str">
        <f aca="false">IF($B266="","",IF(COUNTIF(Dashboard!$C$13:$C$22,$B266)&gt;0,"Yes",""))</f>
        <v/>
      </c>
      <c r="K266" s="17" t="n">
        <f aca="false">IF($B266="",0,SUMIFS('Zoho Dump'!$X$8:$X$3007,'Zoho Dump'!$N$8:$N$3007,$B266,'Zoho Dump'!$P$8:$P$3007,Settings!$A$12)+SUMIFS(Adjustments!$K$8:$K$207,Adjustments!$B$8:$B$207,$B266,Adjustments!$A$8:$A$207,Settings!$A$12))</f>
        <v>0</v>
      </c>
      <c r="L266" s="17" t="n">
        <f aca="false">IF($B266="",0,SUMIFS('Zoho Dump'!$X$8:$X$3007,'Zoho Dump'!$N$8:$N$3007,$B266,'Zoho Dump'!$P$8:$P$3007,Settings!$A$13)+SUMIFS(Adjustments!$K$8:$K$207,Adjustments!$B$8:$B$207,$B266,Adjustments!$A$8:$A$207,Settings!$A$13))</f>
        <v>0</v>
      </c>
      <c r="M266" s="17" t="n">
        <f aca="false">IF($B266="",0,SUMIFS('Zoho Dump'!$X$8:$X$3007,'Zoho Dump'!$N$8:$N$3007,$B266,'Zoho Dump'!$P$8:$P$3007,Settings!$A$14)+SUMIFS(Adjustments!$K$8:$K$207,Adjustments!$B$8:$B$207,$B266,Adjustments!$A$8:$A$207,Settings!$A$14))</f>
        <v>0</v>
      </c>
      <c r="N266" s="17" t="n">
        <f aca="false">IF($B266="",0,SUMIFS('Zoho Dump'!$X$8:$X$3007,'Zoho Dump'!$N$8:$N$3007,$B266,'Zoho Dump'!$P$8:$P$3007,Settings!$A$15)+SUMIFS(Adjustments!$K$8:$K$207,Adjustments!$B$8:$B$207,$B266,Adjustments!$A$8:$A$207,Settings!$A$15))</f>
        <v>0</v>
      </c>
      <c r="O266" s="17" t="n">
        <f aca="false">IF($B266="",0,SUMIFS('Zoho Dump'!$X$8:$X$3007,'Zoho Dump'!$N$8:$N$3007,$B266,'Zoho Dump'!$P$8:$P$3007,Settings!$A$16)+SUMIFS(Adjustments!$K$8:$K$207,Adjustments!$B$8:$B$207,$B266,Adjustments!$A$8:$A$207,Settings!$A$16))</f>
        <v>0</v>
      </c>
      <c r="P266" s="17" t="n">
        <f aca="false">IF($B266="",0,SUMIFS('Zoho Dump'!$X$8:$X$3007,'Zoho Dump'!$N$8:$N$3007,$B266,'Zoho Dump'!$P$8:$P$3007,Settings!$A$17)+SUMIFS(Adjustments!$K$8:$K$207,Adjustments!$B$8:$B$207,$B266,Adjustments!$A$8:$A$207,Settings!$A$17))</f>
        <v>0</v>
      </c>
      <c r="Q266" s="17" t="n">
        <f aca="false">IF($B266="",0,SUMIFS('Zoho Dump'!$X$8:$X$3007,'Zoho Dump'!$N$8:$N$3007,$B266,'Zoho Dump'!$P$8:$P$3007,Settings!$A$18)+SUMIFS(Adjustments!$K$8:$K$207,Adjustments!$B$8:$B$207,$B266,Adjustments!$A$8:$A$207,Settings!$A$18))</f>
        <v>0</v>
      </c>
      <c r="R266" s="30" t="str">
        <f aca="false">IF(G266&gt;0,G266+A266/10000000,"")</f>
        <v/>
      </c>
    </row>
    <row r="267" customFormat="false" ht="15" hidden="false" customHeight="false" outlineLevel="0" collapsed="false">
      <c r="A267" s="9" t="n">
        <v>263</v>
      </c>
      <c r="B267" s="9" t="str">
        <f aca="false">IFERROR(INDEX('Zoho Dump'!$N$8:$N$3007,MATCH(A267,'Zoho Dump'!$AB$8:$AB$3007,0)),"")</f>
        <v/>
      </c>
      <c r="C267" s="17" t="n">
        <f aca="false">IF($B267="",0,SUMIFS('Zoho Dump'!$Q$8:$Q$3007,'Zoho Dump'!$N$8:$N$3007,$B267,'Zoho Dump'!$T$8:$T$3007,"Delivered",'Zoho Dump'!$R$8:$R$3007,"&gt;="&amp;Settings!$B$4))</f>
        <v>0</v>
      </c>
      <c r="D267" s="17" t="n">
        <f aca="false">IF($B267="",0,SUMIFS('Zoho Dump'!$X$8:$X$3007,'Zoho Dump'!$N$8:$N$3007,$B267,'Zoho Dump'!$T$8:$T$3007,"Backlog")+SUMIFS(Adjustments!$K$8:$K$207,Adjustments!$B$8:$B$207,$B267,Adjustments!$H$8:$H$207,"Backlog"))</f>
        <v>0</v>
      </c>
      <c r="E267" s="17" t="n">
        <f aca="false">IF($B267="",0,SUMIFS('Zoho Dump'!$Y$8:$Y$3007,'Zoho Dump'!$N$8:$N$3007,$B267,'Zoho Dump'!$T$8:$T$3007,"Pipeline")+SUMIFS(Adjustments!$L$8:$L$207,Adjustments!$B$8:$B$207,$B267,Adjustments!$H$8:$H$207,"Pipeline")+SUMIFS('Zoho Dump'!$Y$8:$Y$3007,'Zoho Dump'!$N$8:$N$3007,$B267,'Zoho Dump'!$T$8:$T$3007,"Overdue")+SUMIFS(Adjustments!$L$8:$L$207,Adjustments!$B$8:$B$207,$B267,Adjustments!$H$8:$H$207,"Overdue"))</f>
        <v>0</v>
      </c>
      <c r="F267" s="17" t="n">
        <f aca="false">IF($B267="",0,SUMIFS('Zoho Dump'!$X$8:$X$3007,'Zoho Dump'!$N$8:$N$3007,$B267,'Zoho Dump'!$T$8:$T$3007,"Pipeline")+SUMIFS(Adjustments!$K$8:$K$207,Adjustments!$B$8:$B$207,$B267,Adjustments!$H$8:$H$207,"Pipeline")+SUMIFS('Zoho Dump'!$X$8:$X$3007,'Zoho Dump'!$N$8:$N$3007,$B267,'Zoho Dump'!$T$8:$T$3007,"Overdue")+SUMIFS(Adjustments!$K$8:$K$207,Adjustments!$B$8:$B$207,$B267,Adjustments!$H$8:$H$207,"Overdue"))</f>
        <v>0</v>
      </c>
      <c r="G267" s="17" t="n">
        <f aca="false">D267+F267</f>
        <v>0</v>
      </c>
      <c r="H267" s="18" t="n">
        <f aca="false">IF(SUM($G$5:$G$404)=0,0,G267/SUM($G$5:$G$404))</f>
        <v>0</v>
      </c>
      <c r="I267" s="17" t="n">
        <f aca="false">IF($B267="",0,SUMIFS('Zoho Dump'!$Q$8:$Q$3007,'Zoho Dump'!$N$8:$N$3007,$B267,'Zoho Dump'!$T$8:$T$3007,"Lost",'Zoho Dump'!$R$8:$R$3007,"&gt;="&amp;Settings!$B$4))</f>
        <v>0</v>
      </c>
      <c r="J267" s="9" t="str">
        <f aca="false">IF($B267="","",IF(COUNTIF(Dashboard!$C$13:$C$22,$B267)&gt;0,"Yes",""))</f>
        <v/>
      </c>
      <c r="K267" s="17" t="n">
        <f aca="false">IF($B267="",0,SUMIFS('Zoho Dump'!$X$8:$X$3007,'Zoho Dump'!$N$8:$N$3007,$B267,'Zoho Dump'!$P$8:$P$3007,Settings!$A$12)+SUMIFS(Adjustments!$K$8:$K$207,Adjustments!$B$8:$B$207,$B267,Adjustments!$A$8:$A$207,Settings!$A$12))</f>
        <v>0</v>
      </c>
      <c r="L267" s="17" t="n">
        <f aca="false">IF($B267="",0,SUMIFS('Zoho Dump'!$X$8:$X$3007,'Zoho Dump'!$N$8:$N$3007,$B267,'Zoho Dump'!$P$8:$P$3007,Settings!$A$13)+SUMIFS(Adjustments!$K$8:$K$207,Adjustments!$B$8:$B$207,$B267,Adjustments!$A$8:$A$207,Settings!$A$13))</f>
        <v>0</v>
      </c>
      <c r="M267" s="17" t="n">
        <f aca="false">IF($B267="",0,SUMIFS('Zoho Dump'!$X$8:$X$3007,'Zoho Dump'!$N$8:$N$3007,$B267,'Zoho Dump'!$P$8:$P$3007,Settings!$A$14)+SUMIFS(Adjustments!$K$8:$K$207,Adjustments!$B$8:$B$207,$B267,Adjustments!$A$8:$A$207,Settings!$A$14))</f>
        <v>0</v>
      </c>
      <c r="N267" s="17" t="n">
        <f aca="false">IF($B267="",0,SUMIFS('Zoho Dump'!$X$8:$X$3007,'Zoho Dump'!$N$8:$N$3007,$B267,'Zoho Dump'!$P$8:$P$3007,Settings!$A$15)+SUMIFS(Adjustments!$K$8:$K$207,Adjustments!$B$8:$B$207,$B267,Adjustments!$A$8:$A$207,Settings!$A$15))</f>
        <v>0</v>
      </c>
      <c r="O267" s="17" t="n">
        <f aca="false">IF($B267="",0,SUMIFS('Zoho Dump'!$X$8:$X$3007,'Zoho Dump'!$N$8:$N$3007,$B267,'Zoho Dump'!$P$8:$P$3007,Settings!$A$16)+SUMIFS(Adjustments!$K$8:$K$207,Adjustments!$B$8:$B$207,$B267,Adjustments!$A$8:$A$207,Settings!$A$16))</f>
        <v>0</v>
      </c>
      <c r="P267" s="17" t="n">
        <f aca="false">IF($B267="",0,SUMIFS('Zoho Dump'!$X$8:$X$3007,'Zoho Dump'!$N$8:$N$3007,$B267,'Zoho Dump'!$P$8:$P$3007,Settings!$A$17)+SUMIFS(Adjustments!$K$8:$K$207,Adjustments!$B$8:$B$207,$B267,Adjustments!$A$8:$A$207,Settings!$A$17))</f>
        <v>0</v>
      </c>
      <c r="Q267" s="17" t="n">
        <f aca="false">IF($B267="",0,SUMIFS('Zoho Dump'!$X$8:$X$3007,'Zoho Dump'!$N$8:$N$3007,$B267,'Zoho Dump'!$P$8:$P$3007,Settings!$A$18)+SUMIFS(Adjustments!$K$8:$K$207,Adjustments!$B$8:$B$207,$B267,Adjustments!$A$8:$A$207,Settings!$A$18))</f>
        <v>0</v>
      </c>
      <c r="R267" s="30" t="str">
        <f aca="false">IF(G267&gt;0,G267+A267/10000000,"")</f>
        <v/>
      </c>
    </row>
    <row r="268" customFormat="false" ht="15" hidden="false" customHeight="false" outlineLevel="0" collapsed="false">
      <c r="A268" s="9" t="n">
        <v>264</v>
      </c>
      <c r="B268" s="9" t="str">
        <f aca="false">IFERROR(INDEX('Zoho Dump'!$N$8:$N$3007,MATCH(A268,'Zoho Dump'!$AB$8:$AB$3007,0)),"")</f>
        <v/>
      </c>
      <c r="C268" s="17" t="n">
        <f aca="false">IF($B268="",0,SUMIFS('Zoho Dump'!$Q$8:$Q$3007,'Zoho Dump'!$N$8:$N$3007,$B268,'Zoho Dump'!$T$8:$T$3007,"Delivered",'Zoho Dump'!$R$8:$R$3007,"&gt;="&amp;Settings!$B$4))</f>
        <v>0</v>
      </c>
      <c r="D268" s="17" t="n">
        <f aca="false">IF($B268="",0,SUMIFS('Zoho Dump'!$X$8:$X$3007,'Zoho Dump'!$N$8:$N$3007,$B268,'Zoho Dump'!$T$8:$T$3007,"Backlog")+SUMIFS(Adjustments!$K$8:$K$207,Adjustments!$B$8:$B$207,$B268,Adjustments!$H$8:$H$207,"Backlog"))</f>
        <v>0</v>
      </c>
      <c r="E268" s="17" t="n">
        <f aca="false">IF($B268="",0,SUMIFS('Zoho Dump'!$Y$8:$Y$3007,'Zoho Dump'!$N$8:$N$3007,$B268,'Zoho Dump'!$T$8:$T$3007,"Pipeline")+SUMIFS(Adjustments!$L$8:$L$207,Adjustments!$B$8:$B$207,$B268,Adjustments!$H$8:$H$207,"Pipeline")+SUMIFS('Zoho Dump'!$Y$8:$Y$3007,'Zoho Dump'!$N$8:$N$3007,$B268,'Zoho Dump'!$T$8:$T$3007,"Overdue")+SUMIFS(Adjustments!$L$8:$L$207,Adjustments!$B$8:$B$207,$B268,Adjustments!$H$8:$H$207,"Overdue"))</f>
        <v>0</v>
      </c>
      <c r="F268" s="17" t="n">
        <f aca="false">IF($B268="",0,SUMIFS('Zoho Dump'!$X$8:$X$3007,'Zoho Dump'!$N$8:$N$3007,$B268,'Zoho Dump'!$T$8:$T$3007,"Pipeline")+SUMIFS(Adjustments!$K$8:$K$207,Adjustments!$B$8:$B$207,$B268,Adjustments!$H$8:$H$207,"Pipeline")+SUMIFS('Zoho Dump'!$X$8:$X$3007,'Zoho Dump'!$N$8:$N$3007,$B268,'Zoho Dump'!$T$8:$T$3007,"Overdue")+SUMIFS(Adjustments!$K$8:$K$207,Adjustments!$B$8:$B$207,$B268,Adjustments!$H$8:$H$207,"Overdue"))</f>
        <v>0</v>
      </c>
      <c r="G268" s="17" t="n">
        <f aca="false">D268+F268</f>
        <v>0</v>
      </c>
      <c r="H268" s="18" t="n">
        <f aca="false">IF(SUM($G$5:$G$404)=0,0,G268/SUM($G$5:$G$404))</f>
        <v>0</v>
      </c>
      <c r="I268" s="17" t="n">
        <f aca="false">IF($B268="",0,SUMIFS('Zoho Dump'!$Q$8:$Q$3007,'Zoho Dump'!$N$8:$N$3007,$B268,'Zoho Dump'!$T$8:$T$3007,"Lost",'Zoho Dump'!$R$8:$R$3007,"&gt;="&amp;Settings!$B$4))</f>
        <v>0</v>
      </c>
      <c r="J268" s="9" t="str">
        <f aca="false">IF($B268="","",IF(COUNTIF(Dashboard!$C$13:$C$22,$B268)&gt;0,"Yes",""))</f>
        <v/>
      </c>
      <c r="K268" s="17" t="n">
        <f aca="false">IF($B268="",0,SUMIFS('Zoho Dump'!$X$8:$X$3007,'Zoho Dump'!$N$8:$N$3007,$B268,'Zoho Dump'!$P$8:$P$3007,Settings!$A$12)+SUMIFS(Adjustments!$K$8:$K$207,Adjustments!$B$8:$B$207,$B268,Adjustments!$A$8:$A$207,Settings!$A$12))</f>
        <v>0</v>
      </c>
      <c r="L268" s="17" t="n">
        <f aca="false">IF($B268="",0,SUMIFS('Zoho Dump'!$X$8:$X$3007,'Zoho Dump'!$N$8:$N$3007,$B268,'Zoho Dump'!$P$8:$P$3007,Settings!$A$13)+SUMIFS(Adjustments!$K$8:$K$207,Adjustments!$B$8:$B$207,$B268,Adjustments!$A$8:$A$207,Settings!$A$13))</f>
        <v>0</v>
      </c>
      <c r="M268" s="17" t="n">
        <f aca="false">IF($B268="",0,SUMIFS('Zoho Dump'!$X$8:$X$3007,'Zoho Dump'!$N$8:$N$3007,$B268,'Zoho Dump'!$P$8:$P$3007,Settings!$A$14)+SUMIFS(Adjustments!$K$8:$K$207,Adjustments!$B$8:$B$207,$B268,Adjustments!$A$8:$A$207,Settings!$A$14))</f>
        <v>0</v>
      </c>
      <c r="N268" s="17" t="n">
        <f aca="false">IF($B268="",0,SUMIFS('Zoho Dump'!$X$8:$X$3007,'Zoho Dump'!$N$8:$N$3007,$B268,'Zoho Dump'!$P$8:$P$3007,Settings!$A$15)+SUMIFS(Adjustments!$K$8:$K$207,Adjustments!$B$8:$B$207,$B268,Adjustments!$A$8:$A$207,Settings!$A$15))</f>
        <v>0</v>
      </c>
      <c r="O268" s="17" t="n">
        <f aca="false">IF($B268="",0,SUMIFS('Zoho Dump'!$X$8:$X$3007,'Zoho Dump'!$N$8:$N$3007,$B268,'Zoho Dump'!$P$8:$P$3007,Settings!$A$16)+SUMIFS(Adjustments!$K$8:$K$207,Adjustments!$B$8:$B$207,$B268,Adjustments!$A$8:$A$207,Settings!$A$16))</f>
        <v>0</v>
      </c>
      <c r="P268" s="17" t="n">
        <f aca="false">IF($B268="",0,SUMIFS('Zoho Dump'!$X$8:$X$3007,'Zoho Dump'!$N$8:$N$3007,$B268,'Zoho Dump'!$P$8:$P$3007,Settings!$A$17)+SUMIFS(Adjustments!$K$8:$K$207,Adjustments!$B$8:$B$207,$B268,Adjustments!$A$8:$A$207,Settings!$A$17))</f>
        <v>0</v>
      </c>
      <c r="Q268" s="17" t="n">
        <f aca="false">IF($B268="",0,SUMIFS('Zoho Dump'!$X$8:$X$3007,'Zoho Dump'!$N$8:$N$3007,$B268,'Zoho Dump'!$P$8:$P$3007,Settings!$A$18)+SUMIFS(Adjustments!$K$8:$K$207,Adjustments!$B$8:$B$207,$B268,Adjustments!$A$8:$A$207,Settings!$A$18))</f>
        <v>0</v>
      </c>
      <c r="R268" s="30" t="str">
        <f aca="false">IF(G268&gt;0,G268+A268/10000000,"")</f>
        <v/>
      </c>
    </row>
    <row r="269" customFormat="false" ht="15" hidden="false" customHeight="false" outlineLevel="0" collapsed="false">
      <c r="A269" s="9" t="n">
        <v>265</v>
      </c>
      <c r="B269" s="9" t="str">
        <f aca="false">IFERROR(INDEX('Zoho Dump'!$N$8:$N$3007,MATCH(A269,'Zoho Dump'!$AB$8:$AB$3007,0)),"")</f>
        <v/>
      </c>
      <c r="C269" s="17" t="n">
        <f aca="false">IF($B269="",0,SUMIFS('Zoho Dump'!$Q$8:$Q$3007,'Zoho Dump'!$N$8:$N$3007,$B269,'Zoho Dump'!$T$8:$T$3007,"Delivered",'Zoho Dump'!$R$8:$R$3007,"&gt;="&amp;Settings!$B$4))</f>
        <v>0</v>
      </c>
      <c r="D269" s="17" t="n">
        <f aca="false">IF($B269="",0,SUMIFS('Zoho Dump'!$X$8:$X$3007,'Zoho Dump'!$N$8:$N$3007,$B269,'Zoho Dump'!$T$8:$T$3007,"Backlog")+SUMIFS(Adjustments!$K$8:$K$207,Adjustments!$B$8:$B$207,$B269,Adjustments!$H$8:$H$207,"Backlog"))</f>
        <v>0</v>
      </c>
      <c r="E269" s="17" t="n">
        <f aca="false">IF($B269="",0,SUMIFS('Zoho Dump'!$Y$8:$Y$3007,'Zoho Dump'!$N$8:$N$3007,$B269,'Zoho Dump'!$T$8:$T$3007,"Pipeline")+SUMIFS(Adjustments!$L$8:$L$207,Adjustments!$B$8:$B$207,$B269,Adjustments!$H$8:$H$207,"Pipeline")+SUMIFS('Zoho Dump'!$Y$8:$Y$3007,'Zoho Dump'!$N$8:$N$3007,$B269,'Zoho Dump'!$T$8:$T$3007,"Overdue")+SUMIFS(Adjustments!$L$8:$L$207,Adjustments!$B$8:$B$207,$B269,Adjustments!$H$8:$H$207,"Overdue"))</f>
        <v>0</v>
      </c>
      <c r="F269" s="17" t="n">
        <f aca="false">IF($B269="",0,SUMIFS('Zoho Dump'!$X$8:$X$3007,'Zoho Dump'!$N$8:$N$3007,$B269,'Zoho Dump'!$T$8:$T$3007,"Pipeline")+SUMIFS(Adjustments!$K$8:$K$207,Adjustments!$B$8:$B$207,$B269,Adjustments!$H$8:$H$207,"Pipeline")+SUMIFS('Zoho Dump'!$X$8:$X$3007,'Zoho Dump'!$N$8:$N$3007,$B269,'Zoho Dump'!$T$8:$T$3007,"Overdue")+SUMIFS(Adjustments!$K$8:$K$207,Adjustments!$B$8:$B$207,$B269,Adjustments!$H$8:$H$207,"Overdue"))</f>
        <v>0</v>
      </c>
      <c r="G269" s="17" t="n">
        <f aca="false">D269+F269</f>
        <v>0</v>
      </c>
      <c r="H269" s="18" t="n">
        <f aca="false">IF(SUM($G$5:$G$404)=0,0,G269/SUM($G$5:$G$404))</f>
        <v>0</v>
      </c>
      <c r="I269" s="17" t="n">
        <f aca="false">IF($B269="",0,SUMIFS('Zoho Dump'!$Q$8:$Q$3007,'Zoho Dump'!$N$8:$N$3007,$B269,'Zoho Dump'!$T$8:$T$3007,"Lost",'Zoho Dump'!$R$8:$R$3007,"&gt;="&amp;Settings!$B$4))</f>
        <v>0</v>
      </c>
      <c r="J269" s="9" t="str">
        <f aca="false">IF($B269="","",IF(COUNTIF(Dashboard!$C$13:$C$22,$B269)&gt;0,"Yes",""))</f>
        <v/>
      </c>
      <c r="K269" s="17" t="n">
        <f aca="false">IF($B269="",0,SUMIFS('Zoho Dump'!$X$8:$X$3007,'Zoho Dump'!$N$8:$N$3007,$B269,'Zoho Dump'!$P$8:$P$3007,Settings!$A$12)+SUMIFS(Adjustments!$K$8:$K$207,Adjustments!$B$8:$B$207,$B269,Adjustments!$A$8:$A$207,Settings!$A$12))</f>
        <v>0</v>
      </c>
      <c r="L269" s="17" t="n">
        <f aca="false">IF($B269="",0,SUMIFS('Zoho Dump'!$X$8:$X$3007,'Zoho Dump'!$N$8:$N$3007,$B269,'Zoho Dump'!$P$8:$P$3007,Settings!$A$13)+SUMIFS(Adjustments!$K$8:$K$207,Adjustments!$B$8:$B$207,$B269,Adjustments!$A$8:$A$207,Settings!$A$13))</f>
        <v>0</v>
      </c>
      <c r="M269" s="17" t="n">
        <f aca="false">IF($B269="",0,SUMIFS('Zoho Dump'!$X$8:$X$3007,'Zoho Dump'!$N$8:$N$3007,$B269,'Zoho Dump'!$P$8:$P$3007,Settings!$A$14)+SUMIFS(Adjustments!$K$8:$K$207,Adjustments!$B$8:$B$207,$B269,Adjustments!$A$8:$A$207,Settings!$A$14))</f>
        <v>0</v>
      </c>
      <c r="N269" s="17" t="n">
        <f aca="false">IF($B269="",0,SUMIFS('Zoho Dump'!$X$8:$X$3007,'Zoho Dump'!$N$8:$N$3007,$B269,'Zoho Dump'!$P$8:$P$3007,Settings!$A$15)+SUMIFS(Adjustments!$K$8:$K$207,Adjustments!$B$8:$B$207,$B269,Adjustments!$A$8:$A$207,Settings!$A$15))</f>
        <v>0</v>
      </c>
      <c r="O269" s="17" t="n">
        <f aca="false">IF($B269="",0,SUMIFS('Zoho Dump'!$X$8:$X$3007,'Zoho Dump'!$N$8:$N$3007,$B269,'Zoho Dump'!$P$8:$P$3007,Settings!$A$16)+SUMIFS(Adjustments!$K$8:$K$207,Adjustments!$B$8:$B$207,$B269,Adjustments!$A$8:$A$207,Settings!$A$16))</f>
        <v>0</v>
      </c>
      <c r="P269" s="17" t="n">
        <f aca="false">IF($B269="",0,SUMIFS('Zoho Dump'!$X$8:$X$3007,'Zoho Dump'!$N$8:$N$3007,$B269,'Zoho Dump'!$P$8:$P$3007,Settings!$A$17)+SUMIFS(Adjustments!$K$8:$K$207,Adjustments!$B$8:$B$207,$B269,Adjustments!$A$8:$A$207,Settings!$A$17))</f>
        <v>0</v>
      </c>
      <c r="Q269" s="17" t="n">
        <f aca="false">IF($B269="",0,SUMIFS('Zoho Dump'!$X$8:$X$3007,'Zoho Dump'!$N$8:$N$3007,$B269,'Zoho Dump'!$P$8:$P$3007,Settings!$A$18)+SUMIFS(Adjustments!$K$8:$K$207,Adjustments!$B$8:$B$207,$B269,Adjustments!$A$8:$A$207,Settings!$A$18))</f>
        <v>0</v>
      </c>
      <c r="R269" s="30" t="str">
        <f aca="false">IF(G269&gt;0,G269+A269/10000000,"")</f>
        <v/>
      </c>
    </row>
    <row r="270" customFormat="false" ht="15" hidden="false" customHeight="false" outlineLevel="0" collapsed="false">
      <c r="A270" s="9" t="n">
        <v>266</v>
      </c>
      <c r="B270" s="9" t="str">
        <f aca="false">IFERROR(INDEX('Zoho Dump'!$N$8:$N$3007,MATCH(A270,'Zoho Dump'!$AB$8:$AB$3007,0)),"")</f>
        <v/>
      </c>
      <c r="C270" s="17" t="n">
        <f aca="false">IF($B270="",0,SUMIFS('Zoho Dump'!$Q$8:$Q$3007,'Zoho Dump'!$N$8:$N$3007,$B270,'Zoho Dump'!$T$8:$T$3007,"Delivered",'Zoho Dump'!$R$8:$R$3007,"&gt;="&amp;Settings!$B$4))</f>
        <v>0</v>
      </c>
      <c r="D270" s="17" t="n">
        <f aca="false">IF($B270="",0,SUMIFS('Zoho Dump'!$X$8:$X$3007,'Zoho Dump'!$N$8:$N$3007,$B270,'Zoho Dump'!$T$8:$T$3007,"Backlog")+SUMIFS(Adjustments!$K$8:$K$207,Adjustments!$B$8:$B$207,$B270,Adjustments!$H$8:$H$207,"Backlog"))</f>
        <v>0</v>
      </c>
      <c r="E270" s="17" t="n">
        <f aca="false">IF($B270="",0,SUMIFS('Zoho Dump'!$Y$8:$Y$3007,'Zoho Dump'!$N$8:$N$3007,$B270,'Zoho Dump'!$T$8:$T$3007,"Pipeline")+SUMIFS(Adjustments!$L$8:$L$207,Adjustments!$B$8:$B$207,$B270,Adjustments!$H$8:$H$207,"Pipeline")+SUMIFS('Zoho Dump'!$Y$8:$Y$3007,'Zoho Dump'!$N$8:$N$3007,$B270,'Zoho Dump'!$T$8:$T$3007,"Overdue")+SUMIFS(Adjustments!$L$8:$L$207,Adjustments!$B$8:$B$207,$B270,Adjustments!$H$8:$H$207,"Overdue"))</f>
        <v>0</v>
      </c>
      <c r="F270" s="17" t="n">
        <f aca="false">IF($B270="",0,SUMIFS('Zoho Dump'!$X$8:$X$3007,'Zoho Dump'!$N$8:$N$3007,$B270,'Zoho Dump'!$T$8:$T$3007,"Pipeline")+SUMIFS(Adjustments!$K$8:$K$207,Adjustments!$B$8:$B$207,$B270,Adjustments!$H$8:$H$207,"Pipeline")+SUMIFS('Zoho Dump'!$X$8:$X$3007,'Zoho Dump'!$N$8:$N$3007,$B270,'Zoho Dump'!$T$8:$T$3007,"Overdue")+SUMIFS(Adjustments!$K$8:$K$207,Adjustments!$B$8:$B$207,$B270,Adjustments!$H$8:$H$207,"Overdue"))</f>
        <v>0</v>
      </c>
      <c r="G270" s="17" t="n">
        <f aca="false">D270+F270</f>
        <v>0</v>
      </c>
      <c r="H270" s="18" t="n">
        <f aca="false">IF(SUM($G$5:$G$404)=0,0,G270/SUM($G$5:$G$404))</f>
        <v>0</v>
      </c>
      <c r="I270" s="17" t="n">
        <f aca="false">IF($B270="",0,SUMIFS('Zoho Dump'!$Q$8:$Q$3007,'Zoho Dump'!$N$8:$N$3007,$B270,'Zoho Dump'!$T$8:$T$3007,"Lost",'Zoho Dump'!$R$8:$R$3007,"&gt;="&amp;Settings!$B$4))</f>
        <v>0</v>
      </c>
      <c r="J270" s="9" t="str">
        <f aca="false">IF($B270="","",IF(COUNTIF(Dashboard!$C$13:$C$22,$B270)&gt;0,"Yes",""))</f>
        <v/>
      </c>
      <c r="K270" s="17" t="n">
        <f aca="false">IF($B270="",0,SUMIFS('Zoho Dump'!$X$8:$X$3007,'Zoho Dump'!$N$8:$N$3007,$B270,'Zoho Dump'!$P$8:$P$3007,Settings!$A$12)+SUMIFS(Adjustments!$K$8:$K$207,Adjustments!$B$8:$B$207,$B270,Adjustments!$A$8:$A$207,Settings!$A$12))</f>
        <v>0</v>
      </c>
      <c r="L270" s="17" t="n">
        <f aca="false">IF($B270="",0,SUMIFS('Zoho Dump'!$X$8:$X$3007,'Zoho Dump'!$N$8:$N$3007,$B270,'Zoho Dump'!$P$8:$P$3007,Settings!$A$13)+SUMIFS(Adjustments!$K$8:$K$207,Adjustments!$B$8:$B$207,$B270,Adjustments!$A$8:$A$207,Settings!$A$13))</f>
        <v>0</v>
      </c>
      <c r="M270" s="17" t="n">
        <f aca="false">IF($B270="",0,SUMIFS('Zoho Dump'!$X$8:$X$3007,'Zoho Dump'!$N$8:$N$3007,$B270,'Zoho Dump'!$P$8:$P$3007,Settings!$A$14)+SUMIFS(Adjustments!$K$8:$K$207,Adjustments!$B$8:$B$207,$B270,Adjustments!$A$8:$A$207,Settings!$A$14))</f>
        <v>0</v>
      </c>
      <c r="N270" s="17" t="n">
        <f aca="false">IF($B270="",0,SUMIFS('Zoho Dump'!$X$8:$X$3007,'Zoho Dump'!$N$8:$N$3007,$B270,'Zoho Dump'!$P$8:$P$3007,Settings!$A$15)+SUMIFS(Adjustments!$K$8:$K$207,Adjustments!$B$8:$B$207,$B270,Adjustments!$A$8:$A$207,Settings!$A$15))</f>
        <v>0</v>
      </c>
      <c r="O270" s="17" t="n">
        <f aca="false">IF($B270="",0,SUMIFS('Zoho Dump'!$X$8:$X$3007,'Zoho Dump'!$N$8:$N$3007,$B270,'Zoho Dump'!$P$8:$P$3007,Settings!$A$16)+SUMIFS(Adjustments!$K$8:$K$207,Adjustments!$B$8:$B$207,$B270,Adjustments!$A$8:$A$207,Settings!$A$16))</f>
        <v>0</v>
      </c>
      <c r="P270" s="17" t="n">
        <f aca="false">IF($B270="",0,SUMIFS('Zoho Dump'!$X$8:$X$3007,'Zoho Dump'!$N$8:$N$3007,$B270,'Zoho Dump'!$P$8:$P$3007,Settings!$A$17)+SUMIFS(Adjustments!$K$8:$K$207,Adjustments!$B$8:$B$207,$B270,Adjustments!$A$8:$A$207,Settings!$A$17))</f>
        <v>0</v>
      </c>
      <c r="Q270" s="17" t="n">
        <f aca="false">IF($B270="",0,SUMIFS('Zoho Dump'!$X$8:$X$3007,'Zoho Dump'!$N$8:$N$3007,$B270,'Zoho Dump'!$P$8:$P$3007,Settings!$A$18)+SUMIFS(Adjustments!$K$8:$K$207,Adjustments!$B$8:$B$207,$B270,Adjustments!$A$8:$A$207,Settings!$A$18))</f>
        <v>0</v>
      </c>
      <c r="R270" s="30" t="str">
        <f aca="false">IF(G270&gt;0,G270+A270/10000000,"")</f>
        <v/>
      </c>
    </row>
    <row r="271" customFormat="false" ht="15" hidden="false" customHeight="false" outlineLevel="0" collapsed="false">
      <c r="A271" s="9" t="n">
        <v>267</v>
      </c>
      <c r="B271" s="9" t="str">
        <f aca="false">IFERROR(INDEX('Zoho Dump'!$N$8:$N$3007,MATCH(A271,'Zoho Dump'!$AB$8:$AB$3007,0)),"")</f>
        <v/>
      </c>
      <c r="C271" s="17" t="n">
        <f aca="false">IF($B271="",0,SUMIFS('Zoho Dump'!$Q$8:$Q$3007,'Zoho Dump'!$N$8:$N$3007,$B271,'Zoho Dump'!$T$8:$T$3007,"Delivered",'Zoho Dump'!$R$8:$R$3007,"&gt;="&amp;Settings!$B$4))</f>
        <v>0</v>
      </c>
      <c r="D271" s="17" t="n">
        <f aca="false">IF($B271="",0,SUMIFS('Zoho Dump'!$X$8:$X$3007,'Zoho Dump'!$N$8:$N$3007,$B271,'Zoho Dump'!$T$8:$T$3007,"Backlog")+SUMIFS(Adjustments!$K$8:$K$207,Adjustments!$B$8:$B$207,$B271,Adjustments!$H$8:$H$207,"Backlog"))</f>
        <v>0</v>
      </c>
      <c r="E271" s="17" t="n">
        <f aca="false">IF($B271="",0,SUMIFS('Zoho Dump'!$Y$8:$Y$3007,'Zoho Dump'!$N$8:$N$3007,$B271,'Zoho Dump'!$T$8:$T$3007,"Pipeline")+SUMIFS(Adjustments!$L$8:$L$207,Adjustments!$B$8:$B$207,$B271,Adjustments!$H$8:$H$207,"Pipeline")+SUMIFS('Zoho Dump'!$Y$8:$Y$3007,'Zoho Dump'!$N$8:$N$3007,$B271,'Zoho Dump'!$T$8:$T$3007,"Overdue")+SUMIFS(Adjustments!$L$8:$L$207,Adjustments!$B$8:$B$207,$B271,Adjustments!$H$8:$H$207,"Overdue"))</f>
        <v>0</v>
      </c>
      <c r="F271" s="17" t="n">
        <f aca="false">IF($B271="",0,SUMIFS('Zoho Dump'!$X$8:$X$3007,'Zoho Dump'!$N$8:$N$3007,$B271,'Zoho Dump'!$T$8:$T$3007,"Pipeline")+SUMIFS(Adjustments!$K$8:$K$207,Adjustments!$B$8:$B$207,$B271,Adjustments!$H$8:$H$207,"Pipeline")+SUMIFS('Zoho Dump'!$X$8:$X$3007,'Zoho Dump'!$N$8:$N$3007,$B271,'Zoho Dump'!$T$8:$T$3007,"Overdue")+SUMIFS(Adjustments!$K$8:$K$207,Adjustments!$B$8:$B$207,$B271,Adjustments!$H$8:$H$207,"Overdue"))</f>
        <v>0</v>
      </c>
      <c r="G271" s="17" t="n">
        <f aca="false">D271+F271</f>
        <v>0</v>
      </c>
      <c r="H271" s="18" t="n">
        <f aca="false">IF(SUM($G$5:$G$404)=0,0,G271/SUM($G$5:$G$404))</f>
        <v>0</v>
      </c>
      <c r="I271" s="17" t="n">
        <f aca="false">IF($B271="",0,SUMIFS('Zoho Dump'!$Q$8:$Q$3007,'Zoho Dump'!$N$8:$N$3007,$B271,'Zoho Dump'!$T$8:$T$3007,"Lost",'Zoho Dump'!$R$8:$R$3007,"&gt;="&amp;Settings!$B$4))</f>
        <v>0</v>
      </c>
      <c r="J271" s="9" t="str">
        <f aca="false">IF($B271="","",IF(COUNTIF(Dashboard!$C$13:$C$22,$B271)&gt;0,"Yes",""))</f>
        <v/>
      </c>
      <c r="K271" s="17" t="n">
        <f aca="false">IF($B271="",0,SUMIFS('Zoho Dump'!$X$8:$X$3007,'Zoho Dump'!$N$8:$N$3007,$B271,'Zoho Dump'!$P$8:$P$3007,Settings!$A$12)+SUMIFS(Adjustments!$K$8:$K$207,Adjustments!$B$8:$B$207,$B271,Adjustments!$A$8:$A$207,Settings!$A$12))</f>
        <v>0</v>
      </c>
      <c r="L271" s="17" t="n">
        <f aca="false">IF($B271="",0,SUMIFS('Zoho Dump'!$X$8:$X$3007,'Zoho Dump'!$N$8:$N$3007,$B271,'Zoho Dump'!$P$8:$P$3007,Settings!$A$13)+SUMIFS(Adjustments!$K$8:$K$207,Adjustments!$B$8:$B$207,$B271,Adjustments!$A$8:$A$207,Settings!$A$13))</f>
        <v>0</v>
      </c>
      <c r="M271" s="17" t="n">
        <f aca="false">IF($B271="",0,SUMIFS('Zoho Dump'!$X$8:$X$3007,'Zoho Dump'!$N$8:$N$3007,$B271,'Zoho Dump'!$P$8:$P$3007,Settings!$A$14)+SUMIFS(Adjustments!$K$8:$K$207,Adjustments!$B$8:$B$207,$B271,Adjustments!$A$8:$A$207,Settings!$A$14))</f>
        <v>0</v>
      </c>
      <c r="N271" s="17" t="n">
        <f aca="false">IF($B271="",0,SUMIFS('Zoho Dump'!$X$8:$X$3007,'Zoho Dump'!$N$8:$N$3007,$B271,'Zoho Dump'!$P$8:$P$3007,Settings!$A$15)+SUMIFS(Adjustments!$K$8:$K$207,Adjustments!$B$8:$B$207,$B271,Adjustments!$A$8:$A$207,Settings!$A$15))</f>
        <v>0</v>
      </c>
      <c r="O271" s="17" t="n">
        <f aca="false">IF($B271="",0,SUMIFS('Zoho Dump'!$X$8:$X$3007,'Zoho Dump'!$N$8:$N$3007,$B271,'Zoho Dump'!$P$8:$P$3007,Settings!$A$16)+SUMIFS(Adjustments!$K$8:$K$207,Adjustments!$B$8:$B$207,$B271,Adjustments!$A$8:$A$207,Settings!$A$16))</f>
        <v>0</v>
      </c>
      <c r="P271" s="17" t="n">
        <f aca="false">IF($B271="",0,SUMIFS('Zoho Dump'!$X$8:$X$3007,'Zoho Dump'!$N$8:$N$3007,$B271,'Zoho Dump'!$P$8:$P$3007,Settings!$A$17)+SUMIFS(Adjustments!$K$8:$K$207,Adjustments!$B$8:$B$207,$B271,Adjustments!$A$8:$A$207,Settings!$A$17))</f>
        <v>0</v>
      </c>
      <c r="Q271" s="17" t="n">
        <f aca="false">IF($B271="",0,SUMIFS('Zoho Dump'!$X$8:$X$3007,'Zoho Dump'!$N$8:$N$3007,$B271,'Zoho Dump'!$P$8:$P$3007,Settings!$A$18)+SUMIFS(Adjustments!$K$8:$K$207,Adjustments!$B$8:$B$207,$B271,Adjustments!$A$8:$A$207,Settings!$A$18))</f>
        <v>0</v>
      </c>
      <c r="R271" s="30" t="str">
        <f aca="false">IF(G271&gt;0,G271+A271/10000000,"")</f>
        <v/>
      </c>
    </row>
    <row r="272" customFormat="false" ht="15" hidden="false" customHeight="false" outlineLevel="0" collapsed="false">
      <c r="A272" s="9" t="n">
        <v>268</v>
      </c>
      <c r="B272" s="9" t="str">
        <f aca="false">IFERROR(INDEX('Zoho Dump'!$N$8:$N$3007,MATCH(A272,'Zoho Dump'!$AB$8:$AB$3007,0)),"")</f>
        <v/>
      </c>
      <c r="C272" s="17" t="n">
        <f aca="false">IF($B272="",0,SUMIFS('Zoho Dump'!$Q$8:$Q$3007,'Zoho Dump'!$N$8:$N$3007,$B272,'Zoho Dump'!$T$8:$T$3007,"Delivered",'Zoho Dump'!$R$8:$R$3007,"&gt;="&amp;Settings!$B$4))</f>
        <v>0</v>
      </c>
      <c r="D272" s="17" t="n">
        <f aca="false">IF($B272="",0,SUMIFS('Zoho Dump'!$X$8:$X$3007,'Zoho Dump'!$N$8:$N$3007,$B272,'Zoho Dump'!$T$8:$T$3007,"Backlog")+SUMIFS(Adjustments!$K$8:$K$207,Adjustments!$B$8:$B$207,$B272,Adjustments!$H$8:$H$207,"Backlog"))</f>
        <v>0</v>
      </c>
      <c r="E272" s="17" t="n">
        <f aca="false">IF($B272="",0,SUMIFS('Zoho Dump'!$Y$8:$Y$3007,'Zoho Dump'!$N$8:$N$3007,$B272,'Zoho Dump'!$T$8:$T$3007,"Pipeline")+SUMIFS(Adjustments!$L$8:$L$207,Adjustments!$B$8:$B$207,$B272,Adjustments!$H$8:$H$207,"Pipeline")+SUMIFS('Zoho Dump'!$Y$8:$Y$3007,'Zoho Dump'!$N$8:$N$3007,$B272,'Zoho Dump'!$T$8:$T$3007,"Overdue")+SUMIFS(Adjustments!$L$8:$L$207,Adjustments!$B$8:$B$207,$B272,Adjustments!$H$8:$H$207,"Overdue"))</f>
        <v>0</v>
      </c>
      <c r="F272" s="17" t="n">
        <f aca="false">IF($B272="",0,SUMIFS('Zoho Dump'!$X$8:$X$3007,'Zoho Dump'!$N$8:$N$3007,$B272,'Zoho Dump'!$T$8:$T$3007,"Pipeline")+SUMIFS(Adjustments!$K$8:$K$207,Adjustments!$B$8:$B$207,$B272,Adjustments!$H$8:$H$207,"Pipeline")+SUMIFS('Zoho Dump'!$X$8:$X$3007,'Zoho Dump'!$N$8:$N$3007,$B272,'Zoho Dump'!$T$8:$T$3007,"Overdue")+SUMIFS(Adjustments!$K$8:$K$207,Adjustments!$B$8:$B$207,$B272,Adjustments!$H$8:$H$207,"Overdue"))</f>
        <v>0</v>
      </c>
      <c r="G272" s="17" t="n">
        <f aca="false">D272+F272</f>
        <v>0</v>
      </c>
      <c r="H272" s="18" t="n">
        <f aca="false">IF(SUM($G$5:$G$404)=0,0,G272/SUM($G$5:$G$404))</f>
        <v>0</v>
      </c>
      <c r="I272" s="17" t="n">
        <f aca="false">IF($B272="",0,SUMIFS('Zoho Dump'!$Q$8:$Q$3007,'Zoho Dump'!$N$8:$N$3007,$B272,'Zoho Dump'!$T$8:$T$3007,"Lost",'Zoho Dump'!$R$8:$R$3007,"&gt;="&amp;Settings!$B$4))</f>
        <v>0</v>
      </c>
      <c r="J272" s="9" t="str">
        <f aca="false">IF($B272="","",IF(COUNTIF(Dashboard!$C$13:$C$22,$B272)&gt;0,"Yes",""))</f>
        <v/>
      </c>
      <c r="K272" s="17" t="n">
        <f aca="false">IF($B272="",0,SUMIFS('Zoho Dump'!$X$8:$X$3007,'Zoho Dump'!$N$8:$N$3007,$B272,'Zoho Dump'!$P$8:$P$3007,Settings!$A$12)+SUMIFS(Adjustments!$K$8:$K$207,Adjustments!$B$8:$B$207,$B272,Adjustments!$A$8:$A$207,Settings!$A$12))</f>
        <v>0</v>
      </c>
      <c r="L272" s="17" t="n">
        <f aca="false">IF($B272="",0,SUMIFS('Zoho Dump'!$X$8:$X$3007,'Zoho Dump'!$N$8:$N$3007,$B272,'Zoho Dump'!$P$8:$P$3007,Settings!$A$13)+SUMIFS(Adjustments!$K$8:$K$207,Adjustments!$B$8:$B$207,$B272,Adjustments!$A$8:$A$207,Settings!$A$13))</f>
        <v>0</v>
      </c>
      <c r="M272" s="17" t="n">
        <f aca="false">IF($B272="",0,SUMIFS('Zoho Dump'!$X$8:$X$3007,'Zoho Dump'!$N$8:$N$3007,$B272,'Zoho Dump'!$P$8:$P$3007,Settings!$A$14)+SUMIFS(Adjustments!$K$8:$K$207,Adjustments!$B$8:$B$207,$B272,Adjustments!$A$8:$A$207,Settings!$A$14))</f>
        <v>0</v>
      </c>
      <c r="N272" s="17" t="n">
        <f aca="false">IF($B272="",0,SUMIFS('Zoho Dump'!$X$8:$X$3007,'Zoho Dump'!$N$8:$N$3007,$B272,'Zoho Dump'!$P$8:$P$3007,Settings!$A$15)+SUMIFS(Adjustments!$K$8:$K$207,Adjustments!$B$8:$B$207,$B272,Adjustments!$A$8:$A$207,Settings!$A$15))</f>
        <v>0</v>
      </c>
      <c r="O272" s="17" t="n">
        <f aca="false">IF($B272="",0,SUMIFS('Zoho Dump'!$X$8:$X$3007,'Zoho Dump'!$N$8:$N$3007,$B272,'Zoho Dump'!$P$8:$P$3007,Settings!$A$16)+SUMIFS(Adjustments!$K$8:$K$207,Adjustments!$B$8:$B$207,$B272,Adjustments!$A$8:$A$207,Settings!$A$16))</f>
        <v>0</v>
      </c>
      <c r="P272" s="17" t="n">
        <f aca="false">IF($B272="",0,SUMIFS('Zoho Dump'!$X$8:$X$3007,'Zoho Dump'!$N$8:$N$3007,$B272,'Zoho Dump'!$P$8:$P$3007,Settings!$A$17)+SUMIFS(Adjustments!$K$8:$K$207,Adjustments!$B$8:$B$207,$B272,Adjustments!$A$8:$A$207,Settings!$A$17))</f>
        <v>0</v>
      </c>
      <c r="Q272" s="17" t="n">
        <f aca="false">IF($B272="",0,SUMIFS('Zoho Dump'!$X$8:$X$3007,'Zoho Dump'!$N$8:$N$3007,$B272,'Zoho Dump'!$P$8:$P$3007,Settings!$A$18)+SUMIFS(Adjustments!$K$8:$K$207,Adjustments!$B$8:$B$207,$B272,Adjustments!$A$8:$A$207,Settings!$A$18))</f>
        <v>0</v>
      </c>
      <c r="R272" s="30" t="str">
        <f aca="false">IF(G272&gt;0,G272+A272/10000000,"")</f>
        <v/>
      </c>
    </row>
    <row r="273" customFormat="false" ht="15" hidden="false" customHeight="false" outlineLevel="0" collapsed="false">
      <c r="A273" s="9" t="n">
        <v>269</v>
      </c>
      <c r="B273" s="9" t="str">
        <f aca="false">IFERROR(INDEX('Zoho Dump'!$N$8:$N$3007,MATCH(A273,'Zoho Dump'!$AB$8:$AB$3007,0)),"")</f>
        <v/>
      </c>
      <c r="C273" s="17" t="n">
        <f aca="false">IF($B273="",0,SUMIFS('Zoho Dump'!$Q$8:$Q$3007,'Zoho Dump'!$N$8:$N$3007,$B273,'Zoho Dump'!$T$8:$T$3007,"Delivered",'Zoho Dump'!$R$8:$R$3007,"&gt;="&amp;Settings!$B$4))</f>
        <v>0</v>
      </c>
      <c r="D273" s="17" t="n">
        <f aca="false">IF($B273="",0,SUMIFS('Zoho Dump'!$X$8:$X$3007,'Zoho Dump'!$N$8:$N$3007,$B273,'Zoho Dump'!$T$8:$T$3007,"Backlog")+SUMIFS(Adjustments!$K$8:$K$207,Adjustments!$B$8:$B$207,$B273,Adjustments!$H$8:$H$207,"Backlog"))</f>
        <v>0</v>
      </c>
      <c r="E273" s="17" t="n">
        <f aca="false">IF($B273="",0,SUMIFS('Zoho Dump'!$Y$8:$Y$3007,'Zoho Dump'!$N$8:$N$3007,$B273,'Zoho Dump'!$T$8:$T$3007,"Pipeline")+SUMIFS(Adjustments!$L$8:$L$207,Adjustments!$B$8:$B$207,$B273,Adjustments!$H$8:$H$207,"Pipeline")+SUMIFS('Zoho Dump'!$Y$8:$Y$3007,'Zoho Dump'!$N$8:$N$3007,$B273,'Zoho Dump'!$T$8:$T$3007,"Overdue")+SUMIFS(Adjustments!$L$8:$L$207,Adjustments!$B$8:$B$207,$B273,Adjustments!$H$8:$H$207,"Overdue"))</f>
        <v>0</v>
      </c>
      <c r="F273" s="17" t="n">
        <f aca="false">IF($B273="",0,SUMIFS('Zoho Dump'!$X$8:$X$3007,'Zoho Dump'!$N$8:$N$3007,$B273,'Zoho Dump'!$T$8:$T$3007,"Pipeline")+SUMIFS(Adjustments!$K$8:$K$207,Adjustments!$B$8:$B$207,$B273,Adjustments!$H$8:$H$207,"Pipeline")+SUMIFS('Zoho Dump'!$X$8:$X$3007,'Zoho Dump'!$N$8:$N$3007,$B273,'Zoho Dump'!$T$8:$T$3007,"Overdue")+SUMIFS(Adjustments!$K$8:$K$207,Adjustments!$B$8:$B$207,$B273,Adjustments!$H$8:$H$207,"Overdue"))</f>
        <v>0</v>
      </c>
      <c r="G273" s="17" t="n">
        <f aca="false">D273+F273</f>
        <v>0</v>
      </c>
      <c r="H273" s="18" t="n">
        <f aca="false">IF(SUM($G$5:$G$404)=0,0,G273/SUM($G$5:$G$404))</f>
        <v>0</v>
      </c>
      <c r="I273" s="17" t="n">
        <f aca="false">IF($B273="",0,SUMIFS('Zoho Dump'!$Q$8:$Q$3007,'Zoho Dump'!$N$8:$N$3007,$B273,'Zoho Dump'!$T$8:$T$3007,"Lost",'Zoho Dump'!$R$8:$R$3007,"&gt;="&amp;Settings!$B$4))</f>
        <v>0</v>
      </c>
      <c r="J273" s="9" t="str">
        <f aca="false">IF($B273="","",IF(COUNTIF(Dashboard!$C$13:$C$22,$B273)&gt;0,"Yes",""))</f>
        <v/>
      </c>
      <c r="K273" s="17" t="n">
        <f aca="false">IF($B273="",0,SUMIFS('Zoho Dump'!$X$8:$X$3007,'Zoho Dump'!$N$8:$N$3007,$B273,'Zoho Dump'!$P$8:$P$3007,Settings!$A$12)+SUMIFS(Adjustments!$K$8:$K$207,Adjustments!$B$8:$B$207,$B273,Adjustments!$A$8:$A$207,Settings!$A$12))</f>
        <v>0</v>
      </c>
      <c r="L273" s="17" t="n">
        <f aca="false">IF($B273="",0,SUMIFS('Zoho Dump'!$X$8:$X$3007,'Zoho Dump'!$N$8:$N$3007,$B273,'Zoho Dump'!$P$8:$P$3007,Settings!$A$13)+SUMIFS(Adjustments!$K$8:$K$207,Adjustments!$B$8:$B$207,$B273,Adjustments!$A$8:$A$207,Settings!$A$13))</f>
        <v>0</v>
      </c>
      <c r="M273" s="17" t="n">
        <f aca="false">IF($B273="",0,SUMIFS('Zoho Dump'!$X$8:$X$3007,'Zoho Dump'!$N$8:$N$3007,$B273,'Zoho Dump'!$P$8:$P$3007,Settings!$A$14)+SUMIFS(Adjustments!$K$8:$K$207,Adjustments!$B$8:$B$207,$B273,Adjustments!$A$8:$A$207,Settings!$A$14))</f>
        <v>0</v>
      </c>
      <c r="N273" s="17" t="n">
        <f aca="false">IF($B273="",0,SUMIFS('Zoho Dump'!$X$8:$X$3007,'Zoho Dump'!$N$8:$N$3007,$B273,'Zoho Dump'!$P$8:$P$3007,Settings!$A$15)+SUMIFS(Adjustments!$K$8:$K$207,Adjustments!$B$8:$B$207,$B273,Adjustments!$A$8:$A$207,Settings!$A$15))</f>
        <v>0</v>
      </c>
      <c r="O273" s="17" t="n">
        <f aca="false">IF($B273="",0,SUMIFS('Zoho Dump'!$X$8:$X$3007,'Zoho Dump'!$N$8:$N$3007,$B273,'Zoho Dump'!$P$8:$P$3007,Settings!$A$16)+SUMIFS(Adjustments!$K$8:$K$207,Adjustments!$B$8:$B$207,$B273,Adjustments!$A$8:$A$207,Settings!$A$16))</f>
        <v>0</v>
      </c>
      <c r="P273" s="17" t="n">
        <f aca="false">IF($B273="",0,SUMIFS('Zoho Dump'!$X$8:$X$3007,'Zoho Dump'!$N$8:$N$3007,$B273,'Zoho Dump'!$P$8:$P$3007,Settings!$A$17)+SUMIFS(Adjustments!$K$8:$K$207,Adjustments!$B$8:$B$207,$B273,Adjustments!$A$8:$A$207,Settings!$A$17))</f>
        <v>0</v>
      </c>
      <c r="Q273" s="17" t="n">
        <f aca="false">IF($B273="",0,SUMIFS('Zoho Dump'!$X$8:$X$3007,'Zoho Dump'!$N$8:$N$3007,$B273,'Zoho Dump'!$P$8:$P$3007,Settings!$A$18)+SUMIFS(Adjustments!$K$8:$K$207,Adjustments!$B$8:$B$207,$B273,Adjustments!$A$8:$A$207,Settings!$A$18))</f>
        <v>0</v>
      </c>
      <c r="R273" s="30" t="str">
        <f aca="false">IF(G273&gt;0,G273+A273/10000000,"")</f>
        <v/>
      </c>
    </row>
    <row r="274" customFormat="false" ht="15" hidden="false" customHeight="false" outlineLevel="0" collapsed="false">
      <c r="A274" s="9" t="n">
        <v>270</v>
      </c>
      <c r="B274" s="9" t="str">
        <f aca="false">IFERROR(INDEX('Zoho Dump'!$N$8:$N$3007,MATCH(A274,'Zoho Dump'!$AB$8:$AB$3007,0)),"")</f>
        <v/>
      </c>
      <c r="C274" s="17" t="n">
        <f aca="false">IF($B274="",0,SUMIFS('Zoho Dump'!$Q$8:$Q$3007,'Zoho Dump'!$N$8:$N$3007,$B274,'Zoho Dump'!$T$8:$T$3007,"Delivered",'Zoho Dump'!$R$8:$R$3007,"&gt;="&amp;Settings!$B$4))</f>
        <v>0</v>
      </c>
      <c r="D274" s="17" t="n">
        <f aca="false">IF($B274="",0,SUMIFS('Zoho Dump'!$X$8:$X$3007,'Zoho Dump'!$N$8:$N$3007,$B274,'Zoho Dump'!$T$8:$T$3007,"Backlog")+SUMIFS(Adjustments!$K$8:$K$207,Adjustments!$B$8:$B$207,$B274,Adjustments!$H$8:$H$207,"Backlog"))</f>
        <v>0</v>
      </c>
      <c r="E274" s="17" t="n">
        <f aca="false">IF($B274="",0,SUMIFS('Zoho Dump'!$Y$8:$Y$3007,'Zoho Dump'!$N$8:$N$3007,$B274,'Zoho Dump'!$T$8:$T$3007,"Pipeline")+SUMIFS(Adjustments!$L$8:$L$207,Adjustments!$B$8:$B$207,$B274,Adjustments!$H$8:$H$207,"Pipeline")+SUMIFS('Zoho Dump'!$Y$8:$Y$3007,'Zoho Dump'!$N$8:$N$3007,$B274,'Zoho Dump'!$T$8:$T$3007,"Overdue")+SUMIFS(Adjustments!$L$8:$L$207,Adjustments!$B$8:$B$207,$B274,Adjustments!$H$8:$H$207,"Overdue"))</f>
        <v>0</v>
      </c>
      <c r="F274" s="17" t="n">
        <f aca="false">IF($B274="",0,SUMIFS('Zoho Dump'!$X$8:$X$3007,'Zoho Dump'!$N$8:$N$3007,$B274,'Zoho Dump'!$T$8:$T$3007,"Pipeline")+SUMIFS(Adjustments!$K$8:$K$207,Adjustments!$B$8:$B$207,$B274,Adjustments!$H$8:$H$207,"Pipeline")+SUMIFS('Zoho Dump'!$X$8:$X$3007,'Zoho Dump'!$N$8:$N$3007,$B274,'Zoho Dump'!$T$8:$T$3007,"Overdue")+SUMIFS(Adjustments!$K$8:$K$207,Adjustments!$B$8:$B$207,$B274,Adjustments!$H$8:$H$207,"Overdue"))</f>
        <v>0</v>
      </c>
      <c r="G274" s="17" t="n">
        <f aca="false">D274+F274</f>
        <v>0</v>
      </c>
      <c r="H274" s="18" t="n">
        <f aca="false">IF(SUM($G$5:$G$404)=0,0,G274/SUM($G$5:$G$404))</f>
        <v>0</v>
      </c>
      <c r="I274" s="17" t="n">
        <f aca="false">IF($B274="",0,SUMIFS('Zoho Dump'!$Q$8:$Q$3007,'Zoho Dump'!$N$8:$N$3007,$B274,'Zoho Dump'!$T$8:$T$3007,"Lost",'Zoho Dump'!$R$8:$R$3007,"&gt;="&amp;Settings!$B$4))</f>
        <v>0</v>
      </c>
      <c r="J274" s="9" t="str">
        <f aca="false">IF($B274="","",IF(COUNTIF(Dashboard!$C$13:$C$22,$B274)&gt;0,"Yes",""))</f>
        <v/>
      </c>
      <c r="K274" s="17" t="n">
        <f aca="false">IF($B274="",0,SUMIFS('Zoho Dump'!$X$8:$X$3007,'Zoho Dump'!$N$8:$N$3007,$B274,'Zoho Dump'!$P$8:$P$3007,Settings!$A$12)+SUMIFS(Adjustments!$K$8:$K$207,Adjustments!$B$8:$B$207,$B274,Adjustments!$A$8:$A$207,Settings!$A$12))</f>
        <v>0</v>
      </c>
      <c r="L274" s="17" t="n">
        <f aca="false">IF($B274="",0,SUMIFS('Zoho Dump'!$X$8:$X$3007,'Zoho Dump'!$N$8:$N$3007,$B274,'Zoho Dump'!$P$8:$P$3007,Settings!$A$13)+SUMIFS(Adjustments!$K$8:$K$207,Adjustments!$B$8:$B$207,$B274,Adjustments!$A$8:$A$207,Settings!$A$13))</f>
        <v>0</v>
      </c>
      <c r="M274" s="17" t="n">
        <f aca="false">IF($B274="",0,SUMIFS('Zoho Dump'!$X$8:$X$3007,'Zoho Dump'!$N$8:$N$3007,$B274,'Zoho Dump'!$P$8:$P$3007,Settings!$A$14)+SUMIFS(Adjustments!$K$8:$K$207,Adjustments!$B$8:$B$207,$B274,Adjustments!$A$8:$A$207,Settings!$A$14))</f>
        <v>0</v>
      </c>
      <c r="N274" s="17" t="n">
        <f aca="false">IF($B274="",0,SUMIFS('Zoho Dump'!$X$8:$X$3007,'Zoho Dump'!$N$8:$N$3007,$B274,'Zoho Dump'!$P$8:$P$3007,Settings!$A$15)+SUMIFS(Adjustments!$K$8:$K$207,Adjustments!$B$8:$B$207,$B274,Adjustments!$A$8:$A$207,Settings!$A$15))</f>
        <v>0</v>
      </c>
      <c r="O274" s="17" t="n">
        <f aca="false">IF($B274="",0,SUMIFS('Zoho Dump'!$X$8:$X$3007,'Zoho Dump'!$N$8:$N$3007,$B274,'Zoho Dump'!$P$8:$P$3007,Settings!$A$16)+SUMIFS(Adjustments!$K$8:$K$207,Adjustments!$B$8:$B$207,$B274,Adjustments!$A$8:$A$207,Settings!$A$16))</f>
        <v>0</v>
      </c>
      <c r="P274" s="17" t="n">
        <f aca="false">IF($B274="",0,SUMIFS('Zoho Dump'!$X$8:$X$3007,'Zoho Dump'!$N$8:$N$3007,$B274,'Zoho Dump'!$P$8:$P$3007,Settings!$A$17)+SUMIFS(Adjustments!$K$8:$K$207,Adjustments!$B$8:$B$207,$B274,Adjustments!$A$8:$A$207,Settings!$A$17))</f>
        <v>0</v>
      </c>
      <c r="Q274" s="17" t="n">
        <f aca="false">IF($B274="",0,SUMIFS('Zoho Dump'!$X$8:$X$3007,'Zoho Dump'!$N$8:$N$3007,$B274,'Zoho Dump'!$P$8:$P$3007,Settings!$A$18)+SUMIFS(Adjustments!$K$8:$K$207,Adjustments!$B$8:$B$207,$B274,Adjustments!$A$8:$A$207,Settings!$A$18))</f>
        <v>0</v>
      </c>
      <c r="R274" s="30" t="str">
        <f aca="false">IF(G274&gt;0,G274+A274/10000000,"")</f>
        <v/>
      </c>
    </row>
    <row r="275" customFormat="false" ht="15" hidden="false" customHeight="false" outlineLevel="0" collapsed="false">
      <c r="A275" s="9" t="n">
        <v>271</v>
      </c>
      <c r="B275" s="9" t="str">
        <f aca="false">IFERROR(INDEX('Zoho Dump'!$N$8:$N$3007,MATCH(A275,'Zoho Dump'!$AB$8:$AB$3007,0)),"")</f>
        <v/>
      </c>
      <c r="C275" s="17" t="n">
        <f aca="false">IF($B275="",0,SUMIFS('Zoho Dump'!$Q$8:$Q$3007,'Zoho Dump'!$N$8:$N$3007,$B275,'Zoho Dump'!$T$8:$T$3007,"Delivered",'Zoho Dump'!$R$8:$R$3007,"&gt;="&amp;Settings!$B$4))</f>
        <v>0</v>
      </c>
      <c r="D275" s="17" t="n">
        <f aca="false">IF($B275="",0,SUMIFS('Zoho Dump'!$X$8:$X$3007,'Zoho Dump'!$N$8:$N$3007,$B275,'Zoho Dump'!$T$8:$T$3007,"Backlog")+SUMIFS(Adjustments!$K$8:$K$207,Adjustments!$B$8:$B$207,$B275,Adjustments!$H$8:$H$207,"Backlog"))</f>
        <v>0</v>
      </c>
      <c r="E275" s="17" t="n">
        <f aca="false">IF($B275="",0,SUMIFS('Zoho Dump'!$Y$8:$Y$3007,'Zoho Dump'!$N$8:$N$3007,$B275,'Zoho Dump'!$T$8:$T$3007,"Pipeline")+SUMIFS(Adjustments!$L$8:$L$207,Adjustments!$B$8:$B$207,$B275,Adjustments!$H$8:$H$207,"Pipeline")+SUMIFS('Zoho Dump'!$Y$8:$Y$3007,'Zoho Dump'!$N$8:$N$3007,$B275,'Zoho Dump'!$T$8:$T$3007,"Overdue")+SUMIFS(Adjustments!$L$8:$L$207,Adjustments!$B$8:$B$207,$B275,Adjustments!$H$8:$H$207,"Overdue"))</f>
        <v>0</v>
      </c>
      <c r="F275" s="17" t="n">
        <f aca="false">IF($B275="",0,SUMIFS('Zoho Dump'!$X$8:$X$3007,'Zoho Dump'!$N$8:$N$3007,$B275,'Zoho Dump'!$T$8:$T$3007,"Pipeline")+SUMIFS(Adjustments!$K$8:$K$207,Adjustments!$B$8:$B$207,$B275,Adjustments!$H$8:$H$207,"Pipeline")+SUMIFS('Zoho Dump'!$X$8:$X$3007,'Zoho Dump'!$N$8:$N$3007,$B275,'Zoho Dump'!$T$8:$T$3007,"Overdue")+SUMIFS(Adjustments!$K$8:$K$207,Adjustments!$B$8:$B$207,$B275,Adjustments!$H$8:$H$207,"Overdue"))</f>
        <v>0</v>
      </c>
      <c r="G275" s="17" t="n">
        <f aca="false">D275+F275</f>
        <v>0</v>
      </c>
      <c r="H275" s="18" t="n">
        <f aca="false">IF(SUM($G$5:$G$404)=0,0,G275/SUM($G$5:$G$404))</f>
        <v>0</v>
      </c>
      <c r="I275" s="17" t="n">
        <f aca="false">IF($B275="",0,SUMIFS('Zoho Dump'!$Q$8:$Q$3007,'Zoho Dump'!$N$8:$N$3007,$B275,'Zoho Dump'!$T$8:$T$3007,"Lost",'Zoho Dump'!$R$8:$R$3007,"&gt;="&amp;Settings!$B$4))</f>
        <v>0</v>
      </c>
      <c r="J275" s="9" t="str">
        <f aca="false">IF($B275="","",IF(COUNTIF(Dashboard!$C$13:$C$22,$B275)&gt;0,"Yes",""))</f>
        <v/>
      </c>
      <c r="K275" s="17" t="n">
        <f aca="false">IF($B275="",0,SUMIFS('Zoho Dump'!$X$8:$X$3007,'Zoho Dump'!$N$8:$N$3007,$B275,'Zoho Dump'!$P$8:$P$3007,Settings!$A$12)+SUMIFS(Adjustments!$K$8:$K$207,Adjustments!$B$8:$B$207,$B275,Adjustments!$A$8:$A$207,Settings!$A$12))</f>
        <v>0</v>
      </c>
      <c r="L275" s="17" t="n">
        <f aca="false">IF($B275="",0,SUMIFS('Zoho Dump'!$X$8:$X$3007,'Zoho Dump'!$N$8:$N$3007,$B275,'Zoho Dump'!$P$8:$P$3007,Settings!$A$13)+SUMIFS(Adjustments!$K$8:$K$207,Adjustments!$B$8:$B$207,$B275,Adjustments!$A$8:$A$207,Settings!$A$13))</f>
        <v>0</v>
      </c>
      <c r="M275" s="17" t="n">
        <f aca="false">IF($B275="",0,SUMIFS('Zoho Dump'!$X$8:$X$3007,'Zoho Dump'!$N$8:$N$3007,$B275,'Zoho Dump'!$P$8:$P$3007,Settings!$A$14)+SUMIFS(Adjustments!$K$8:$K$207,Adjustments!$B$8:$B$207,$B275,Adjustments!$A$8:$A$207,Settings!$A$14))</f>
        <v>0</v>
      </c>
      <c r="N275" s="17" t="n">
        <f aca="false">IF($B275="",0,SUMIFS('Zoho Dump'!$X$8:$X$3007,'Zoho Dump'!$N$8:$N$3007,$B275,'Zoho Dump'!$P$8:$P$3007,Settings!$A$15)+SUMIFS(Adjustments!$K$8:$K$207,Adjustments!$B$8:$B$207,$B275,Adjustments!$A$8:$A$207,Settings!$A$15))</f>
        <v>0</v>
      </c>
      <c r="O275" s="17" t="n">
        <f aca="false">IF($B275="",0,SUMIFS('Zoho Dump'!$X$8:$X$3007,'Zoho Dump'!$N$8:$N$3007,$B275,'Zoho Dump'!$P$8:$P$3007,Settings!$A$16)+SUMIFS(Adjustments!$K$8:$K$207,Adjustments!$B$8:$B$207,$B275,Adjustments!$A$8:$A$207,Settings!$A$16))</f>
        <v>0</v>
      </c>
      <c r="P275" s="17" t="n">
        <f aca="false">IF($B275="",0,SUMIFS('Zoho Dump'!$X$8:$X$3007,'Zoho Dump'!$N$8:$N$3007,$B275,'Zoho Dump'!$P$8:$P$3007,Settings!$A$17)+SUMIFS(Adjustments!$K$8:$K$207,Adjustments!$B$8:$B$207,$B275,Adjustments!$A$8:$A$207,Settings!$A$17))</f>
        <v>0</v>
      </c>
      <c r="Q275" s="17" t="n">
        <f aca="false">IF($B275="",0,SUMIFS('Zoho Dump'!$X$8:$X$3007,'Zoho Dump'!$N$8:$N$3007,$B275,'Zoho Dump'!$P$8:$P$3007,Settings!$A$18)+SUMIFS(Adjustments!$K$8:$K$207,Adjustments!$B$8:$B$207,$B275,Adjustments!$A$8:$A$207,Settings!$A$18))</f>
        <v>0</v>
      </c>
      <c r="R275" s="30" t="str">
        <f aca="false">IF(G275&gt;0,G275+A275/10000000,"")</f>
        <v/>
      </c>
    </row>
    <row r="276" customFormat="false" ht="15" hidden="false" customHeight="false" outlineLevel="0" collapsed="false">
      <c r="A276" s="9" t="n">
        <v>272</v>
      </c>
      <c r="B276" s="9" t="str">
        <f aca="false">IFERROR(INDEX('Zoho Dump'!$N$8:$N$3007,MATCH(A276,'Zoho Dump'!$AB$8:$AB$3007,0)),"")</f>
        <v/>
      </c>
      <c r="C276" s="17" t="n">
        <f aca="false">IF($B276="",0,SUMIFS('Zoho Dump'!$Q$8:$Q$3007,'Zoho Dump'!$N$8:$N$3007,$B276,'Zoho Dump'!$T$8:$T$3007,"Delivered",'Zoho Dump'!$R$8:$R$3007,"&gt;="&amp;Settings!$B$4))</f>
        <v>0</v>
      </c>
      <c r="D276" s="17" t="n">
        <f aca="false">IF($B276="",0,SUMIFS('Zoho Dump'!$X$8:$X$3007,'Zoho Dump'!$N$8:$N$3007,$B276,'Zoho Dump'!$T$8:$T$3007,"Backlog")+SUMIFS(Adjustments!$K$8:$K$207,Adjustments!$B$8:$B$207,$B276,Adjustments!$H$8:$H$207,"Backlog"))</f>
        <v>0</v>
      </c>
      <c r="E276" s="17" t="n">
        <f aca="false">IF($B276="",0,SUMIFS('Zoho Dump'!$Y$8:$Y$3007,'Zoho Dump'!$N$8:$N$3007,$B276,'Zoho Dump'!$T$8:$T$3007,"Pipeline")+SUMIFS(Adjustments!$L$8:$L$207,Adjustments!$B$8:$B$207,$B276,Adjustments!$H$8:$H$207,"Pipeline")+SUMIFS('Zoho Dump'!$Y$8:$Y$3007,'Zoho Dump'!$N$8:$N$3007,$B276,'Zoho Dump'!$T$8:$T$3007,"Overdue")+SUMIFS(Adjustments!$L$8:$L$207,Adjustments!$B$8:$B$207,$B276,Adjustments!$H$8:$H$207,"Overdue"))</f>
        <v>0</v>
      </c>
      <c r="F276" s="17" t="n">
        <f aca="false">IF($B276="",0,SUMIFS('Zoho Dump'!$X$8:$X$3007,'Zoho Dump'!$N$8:$N$3007,$B276,'Zoho Dump'!$T$8:$T$3007,"Pipeline")+SUMIFS(Adjustments!$K$8:$K$207,Adjustments!$B$8:$B$207,$B276,Adjustments!$H$8:$H$207,"Pipeline")+SUMIFS('Zoho Dump'!$X$8:$X$3007,'Zoho Dump'!$N$8:$N$3007,$B276,'Zoho Dump'!$T$8:$T$3007,"Overdue")+SUMIFS(Adjustments!$K$8:$K$207,Adjustments!$B$8:$B$207,$B276,Adjustments!$H$8:$H$207,"Overdue"))</f>
        <v>0</v>
      </c>
      <c r="G276" s="17" t="n">
        <f aca="false">D276+F276</f>
        <v>0</v>
      </c>
      <c r="H276" s="18" t="n">
        <f aca="false">IF(SUM($G$5:$G$404)=0,0,G276/SUM($G$5:$G$404))</f>
        <v>0</v>
      </c>
      <c r="I276" s="17" t="n">
        <f aca="false">IF($B276="",0,SUMIFS('Zoho Dump'!$Q$8:$Q$3007,'Zoho Dump'!$N$8:$N$3007,$B276,'Zoho Dump'!$T$8:$T$3007,"Lost",'Zoho Dump'!$R$8:$R$3007,"&gt;="&amp;Settings!$B$4))</f>
        <v>0</v>
      </c>
      <c r="J276" s="9" t="str">
        <f aca="false">IF($B276="","",IF(COUNTIF(Dashboard!$C$13:$C$22,$B276)&gt;0,"Yes",""))</f>
        <v/>
      </c>
      <c r="K276" s="17" t="n">
        <f aca="false">IF($B276="",0,SUMIFS('Zoho Dump'!$X$8:$X$3007,'Zoho Dump'!$N$8:$N$3007,$B276,'Zoho Dump'!$P$8:$P$3007,Settings!$A$12)+SUMIFS(Adjustments!$K$8:$K$207,Adjustments!$B$8:$B$207,$B276,Adjustments!$A$8:$A$207,Settings!$A$12))</f>
        <v>0</v>
      </c>
      <c r="L276" s="17" t="n">
        <f aca="false">IF($B276="",0,SUMIFS('Zoho Dump'!$X$8:$X$3007,'Zoho Dump'!$N$8:$N$3007,$B276,'Zoho Dump'!$P$8:$P$3007,Settings!$A$13)+SUMIFS(Adjustments!$K$8:$K$207,Adjustments!$B$8:$B$207,$B276,Adjustments!$A$8:$A$207,Settings!$A$13))</f>
        <v>0</v>
      </c>
      <c r="M276" s="17" t="n">
        <f aca="false">IF($B276="",0,SUMIFS('Zoho Dump'!$X$8:$X$3007,'Zoho Dump'!$N$8:$N$3007,$B276,'Zoho Dump'!$P$8:$P$3007,Settings!$A$14)+SUMIFS(Adjustments!$K$8:$K$207,Adjustments!$B$8:$B$207,$B276,Adjustments!$A$8:$A$207,Settings!$A$14))</f>
        <v>0</v>
      </c>
      <c r="N276" s="17" t="n">
        <f aca="false">IF($B276="",0,SUMIFS('Zoho Dump'!$X$8:$X$3007,'Zoho Dump'!$N$8:$N$3007,$B276,'Zoho Dump'!$P$8:$P$3007,Settings!$A$15)+SUMIFS(Adjustments!$K$8:$K$207,Adjustments!$B$8:$B$207,$B276,Adjustments!$A$8:$A$207,Settings!$A$15))</f>
        <v>0</v>
      </c>
      <c r="O276" s="17" t="n">
        <f aca="false">IF($B276="",0,SUMIFS('Zoho Dump'!$X$8:$X$3007,'Zoho Dump'!$N$8:$N$3007,$B276,'Zoho Dump'!$P$8:$P$3007,Settings!$A$16)+SUMIFS(Adjustments!$K$8:$K$207,Adjustments!$B$8:$B$207,$B276,Adjustments!$A$8:$A$207,Settings!$A$16))</f>
        <v>0</v>
      </c>
      <c r="P276" s="17" t="n">
        <f aca="false">IF($B276="",0,SUMIFS('Zoho Dump'!$X$8:$X$3007,'Zoho Dump'!$N$8:$N$3007,$B276,'Zoho Dump'!$P$8:$P$3007,Settings!$A$17)+SUMIFS(Adjustments!$K$8:$K$207,Adjustments!$B$8:$B$207,$B276,Adjustments!$A$8:$A$207,Settings!$A$17))</f>
        <v>0</v>
      </c>
      <c r="Q276" s="17" t="n">
        <f aca="false">IF($B276="",0,SUMIFS('Zoho Dump'!$X$8:$X$3007,'Zoho Dump'!$N$8:$N$3007,$B276,'Zoho Dump'!$P$8:$P$3007,Settings!$A$18)+SUMIFS(Adjustments!$K$8:$K$207,Adjustments!$B$8:$B$207,$B276,Adjustments!$A$8:$A$207,Settings!$A$18))</f>
        <v>0</v>
      </c>
      <c r="R276" s="30" t="str">
        <f aca="false">IF(G276&gt;0,G276+A276/10000000,"")</f>
        <v/>
      </c>
    </row>
    <row r="277" customFormat="false" ht="15" hidden="false" customHeight="false" outlineLevel="0" collapsed="false">
      <c r="A277" s="9" t="n">
        <v>273</v>
      </c>
      <c r="B277" s="9" t="str">
        <f aca="false">IFERROR(INDEX('Zoho Dump'!$N$8:$N$3007,MATCH(A277,'Zoho Dump'!$AB$8:$AB$3007,0)),"")</f>
        <v/>
      </c>
      <c r="C277" s="17" t="n">
        <f aca="false">IF($B277="",0,SUMIFS('Zoho Dump'!$Q$8:$Q$3007,'Zoho Dump'!$N$8:$N$3007,$B277,'Zoho Dump'!$T$8:$T$3007,"Delivered",'Zoho Dump'!$R$8:$R$3007,"&gt;="&amp;Settings!$B$4))</f>
        <v>0</v>
      </c>
      <c r="D277" s="17" t="n">
        <f aca="false">IF($B277="",0,SUMIFS('Zoho Dump'!$X$8:$X$3007,'Zoho Dump'!$N$8:$N$3007,$B277,'Zoho Dump'!$T$8:$T$3007,"Backlog")+SUMIFS(Adjustments!$K$8:$K$207,Adjustments!$B$8:$B$207,$B277,Adjustments!$H$8:$H$207,"Backlog"))</f>
        <v>0</v>
      </c>
      <c r="E277" s="17" t="n">
        <f aca="false">IF($B277="",0,SUMIFS('Zoho Dump'!$Y$8:$Y$3007,'Zoho Dump'!$N$8:$N$3007,$B277,'Zoho Dump'!$T$8:$T$3007,"Pipeline")+SUMIFS(Adjustments!$L$8:$L$207,Adjustments!$B$8:$B$207,$B277,Adjustments!$H$8:$H$207,"Pipeline")+SUMIFS('Zoho Dump'!$Y$8:$Y$3007,'Zoho Dump'!$N$8:$N$3007,$B277,'Zoho Dump'!$T$8:$T$3007,"Overdue")+SUMIFS(Adjustments!$L$8:$L$207,Adjustments!$B$8:$B$207,$B277,Adjustments!$H$8:$H$207,"Overdue"))</f>
        <v>0</v>
      </c>
      <c r="F277" s="17" t="n">
        <f aca="false">IF($B277="",0,SUMIFS('Zoho Dump'!$X$8:$X$3007,'Zoho Dump'!$N$8:$N$3007,$B277,'Zoho Dump'!$T$8:$T$3007,"Pipeline")+SUMIFS(Adjustments!$K$8:$K$207,Adjustments!$B$8:$B$207,$B277,Adjustments!$H$8:$H$207,"Pipeline")+SUMIFS('Zoho Dump'!$X$8:$X$3007,'Zoho Dump'!$N$8:$N$3007,$B277,'Zoho Dump'!$T$8:$T$3007,"Overdue")+SUMIFS(Adjustments!$K$8:$K$207,Adjustments!$B$8:$B$207,$B277,Adjustments!$H$8:$H$207,"Overdue"))</f>
        <v>0</v>
      </c>
      <c r="G277" s="17" t="n">
        <f aca="false">D277+F277</f>
        <v>0</v>
      </c>
      <c r="H277" s="18" t="n">
        <f aca="false">IF(SUM($G$5:$G$404)=0,0,G277/SUM($G$5:$G$404))</f>
        <v>0</v>
      </c>
      <c r="I277" s="17" t="n">
        <f aca="false">IF($B277="",0,SUMIFS('Zoho Dump'!$Q$8:$Q$3007,'Zoho Dump'!$N$8:$N$3007,$B277,'Zoho Dump'!$T$8:$T$3007,"Lost",'Zoho Dump'!$R$8:$R$3007,"&gt;="&amp;Settings!$B$4))</f>
        <v>0</v>
      </c>
      <c r="J277" s="9" t="str">
        <f aca="false">IF($B277="","",IF(COUNTIF(Dashboard!$C$13:$C$22,$B277)&gt;0,"Yes",""))</f>
        <v/>
      </c>
      <c r="K277" s="17" t="n">
        <f aca="false">IF($B277="",0,SUMIFS('Zoho Dump'!$X$8:$X$3007,'Zoho Dump'!$N$8:$N$3007,$B277,'Zoho Dump'!$P$8:$P$3007,Settings!$A$12)+SUMIFS(Adjustments!$K$8:$K$207,Adjustments!$B$8:$B$207,$B277,Adjustments!$A$8:$A$207,Settings!$A$12))</f>
        <v>0</v>
      </c>
      <c r="L277" s="17" t="n">
        <f aca="false">IF($B277="",0,SUMIFS('Zoho Dump'!$X$8:$X$3007,'Zoho Dump'!$N$8:$N$3007,$B277,'Zoho Dump'!$P$8:$P$3007,Settings!$A$13)+SUMIFS(Adjustments!$K$8:$K$207,Adjustments!$B$8:$B$207,$B277,Adjustments!$A$8:$A$207,Settings!$A$13))</f>
        <v>0</v>
      </c>
      <c r="M277" s="17" t="n">
        <f aca="false">IF($B277="",0,SUMIFS('Zoho Dump'!$X$8:$X$3007,'Zoho Dump'!$N$8:$N$3007,$B277,'Zoho Dump'!$P$8:$P$3007,Settings!$A$14)+SUMIFS(Adjustments!$K$8:$K$207,Adjustments!$B$8:$B$207,$B277,Adjustments!$A$8:$A$207,Settings!$A$14))</f>
        <v>0</v>
      </c>
      <c r="N277" s="17" t="n">
        <f aca="false">IF($B277="",0,SUMIFS('Zoho Dump'!$X$8:$X$3007,'Zoho Dump'!$N$8:$N$3007,$B277,'Zoho Dump'!$P$8:$P$3007,Settings!$A$15)+SUMIFS(Adjustments!$K$8:$K$207,Adjustments!$B$8:$B$207,$B277,Adjustments!$A$8:$A$207,Settings!$A$15))</f>
        <v>0</v>
      </c>
      <c r="O277" s="17" t="n">
        <f aca="false">IF($B277="",0,SUMIFS('Zoho Dump'!$X$8:$X$3007,'Zoho Dump'!$N$8:$N$3007,$B277,'Zoho Dump'!$P$8:$P$3007,Settings!$A$16)+SUMIFS(Adjustments!$K$8:$K$207,Adjustments!$B$8:$B$207,$B277,Adjustments!$A$8:$A$207,Settings!$A$16))</f>
        <v>0</v>
      </c>
      <c r="P277" s="17" t="n">
        <f aca="false">IF($B277="",0,SUMIFS('Zoho Dump'!$X$8:$X$3007,'Zoho Dump'!$N$8:$N$3007,$B277,'Zoho Dump'!$P$8:$P$3007,Settings!$A$17)+SUMIFS(Adjustments!$K$8:$K$207,Adjustments!$B$8:$B$207,$B277,Adjustments!$A$8:$A$207,Settings!$A$17))</f>
        <v>0</v>
      </c>
      <c r="Q277" s="17" t="n">
        <f aca="false">IF($B277="",0,SUMIFS('Zoho Dump'!$X$8:$X$3007,'Zoho Dump'!$N$8:$N$3007,$B277,'Zoho Dump'!$P$8:$P$3007,Settings!$A$18)+SUMIFS(Adjustments!$K$8:$K$207,Adjustments!$B$8:$B$207,$B277,Adjustments!$A$8:$A$207,Settings!$A$18))</f>
        <v>0</v>
      </c>
      <c r="R277" s="30" t="str">
        <f aca="false">IF(G277&gt;0,G277+A277/10000000,"")</f>
        <v/>
      </c>
    </row>
    <row r="278" customFormat="false" ht="15" hidden="false" customHeight="false" outlineLevel="0" collapsed="false">
      <c r="A278" s="9" t="n">
        <v>274</v>
      </c>
      <c r="B278" s="9" t="str">
        <f aca="false">IFERROR(INDEX('Zoho Dump'!$N$8:$N$3007,MATCH(A278,'Zoho Dump'!$AB$8:$AB$3007,0)),"")</f>
        <v/>
      </c>
      <c r="C278" s="17" t="n">
        <f aca="false">IF($B278="",0,SUMIFS('Zoho Dump'!$Q$8:$Q$3007,'Zoho Dump'!$N$8:$N$3007,$B278,'Zoho Dump'!$T$8:$T$3007,"Delivered",'Zoho Dump'!$R$8:$R$3007,"&gt;="&amp;Settings!$B$4))</f>
        <v>0</v>
      </c>
      <c r="D278" s="17" t="n">
        <f aca="false">IF($B278="",0,SUMIFS('Zoho Dump'!$X$8:$X$3007,'Zoho Dump'!$N$8:$N$3007,$B278,'Zoho Dump'!$T$8:$T$3007,"Backlog")+SUMIFS(Adjustments!$K$8:$K$207,Adjustments!$B$8:$B$207,$B278,Adjustments!$H$8:$H$207,"Backlog"))</f>
        <v>0</v>
      </c>
      <c r="E278" s="17" t="n">
        <f aca="false">IF($B278="",0,SUMIFS('Zoho Dump'!$Y$8:$Y$3007,'Zoho Dump'!$N$8:$N$3007,$B278,'Zoho Dump'!$T$8:$T$3007,"Pipeline")+SUMIFS(Adjustments!$L$8:$L$207,Adjustments!$B$8:$B$207,$B278,Adjustments!$H$8:$H$207,"Pipeline")+SUMIFS('Zoho Dump'!$Y$8:$Y$3007,'Zoho Dump'!$N$8:$N$3007,$B278,'Zoho Dump'!$T$8:$T$3007,"Overdue")+SUMIFS(Adjustments!$L$8:$L$207,Adjustments!$B$8:$B$207,$B278,Adjustments!$H$8:$H$207,"Overdue"))</f>
        <v>0</v>
      </c>
      <c r="F278" s="17" t="n">
        <f aca="false">IF($B278="",0,SUMIFS('Zoho Dump'!$X$8:$X$3007,'Zoho Dump'!$N$8:$N$3007,$B278,'Zoho Dump'!$T$8:$T$3007,"Pipeline")+SUMIFS(Adjustments!$K$8:$K$207,Adjustments!$B$8:$B$207,$B278,Adjustments!$H$8:$H$207,"Pipeline")+SUMIFS('Zoho Dump'!$X$8:$X$3007,'Zoho Dump'!$N$8:$N$3007,$B278,'Zoho Dump'!$T$8:$T$3007,"Overdue")+SUMIFS(Adjustments!$K$8:$K$207,Adjustments!$B$8:$B$207,$B278,Adjustments!$H$8:$H$207,"Overdue"))</f>
        <v>0</v>
      </c>
      <c r="G278" s="17" t="n">
        <f aca="false">D278+F278</f>
        <v>0</v>
      </c>
      <c r="H278" s="18" t="n">
        <f aca="false">IF(SUM($G$5:$G$404)=0,0,G278/SUM($G$5:$G$404))</f>
        <v>0</v>
      </c>
      <c r="I278" s="17" t="n">
        <f aca="false">IF($B278="",0,SUMIFS('Zoho Dump'!$Q$8:$Q$3007,'Zoho Dump'!$N$8:$N$3007,$B278,'Zoho Dump'!$T$8:$T$3007,"Lost",'Zoho Dump'!$R$8:$R$3007,"&gt;="&amp;Settings!$B$4))</f>
        <v>0</v>
      </c>
      <c r="J278" s="9" t="str">
        <f aca="false">IF($B278="","",IF(COUNTIF(Dashboard!$C$13:$C$22,$B278)&gt;0,"Yes",""))</f>
        <v/>
      </c>
      <c r="K278" s="17" t="n">
        <f aca="false">IF($B278="",0,SUMIFS('Zoho Dump'!$X$8:$X$3007,'Zoho Dump'!$N$8:$N$3007,$B278,'Zoho Dump'!$P$8:$P$3007,Settings!$A$12)+SUMIFS(Adjustments!$K$8:$K$207,Adjustments!$B$8:$B$207,$B278,Adjustments!$A$8:$A$207,Settings!$A$12))</f>
        <v>0</v>
      </c>
      <c r="L278" s="17" t="n">
        <f aca="false">IF($B278="",0,SUMIFS('Zoho Dump'!$X$8:$X$3007,'Zoho Dump'!$N$8:$N$3007,$B278,'Zoho Dump'!$P$8:$P$3007,Settings!$A$13)+SUMIFS(Adjustments!$K$8:$K$207,Adjustments!$B$8:$B$207,$B278,Adjustments!$A$8:$A$207,Settings!$A$13))</f>
        <v>0</v>
      </c>
      <c r="M278" s="17" t="n">
        <f aca="false">IF($B278="",0,SUMIFS('Zoho Dump'!$X$8:$X$3007,'Zoho Dump'!$N$8:$N$3007,$B278,'Zoho Dump'!$P$8:$P$3007,Settings!$A$14)+SUMIFS(Adjustments!$K$8:$K$207,Adjustments!$B$8:$B$207,$B278,Adjustments!$A$8:$A$207,Settings!$A$14))</f>
        <v>0</v>
      </c>
      <c r="N278" s="17" t="n">
        <f aca="false">IF($B278="",0,SUMIFS('Zoho Dump'!$X$8:$X$3007,'Zoho Dump'!$N$8:$N$3007,$B278,'Zoho Dump'!$P$8:$P$3007,Settings!$A$15)+SUMIFS(Adjustments!$K$8:$K$207,Adjustments!$B$8:$B$207,$B278,Adjustments!$A$8:$A$207,Settings!$A$15))</f>
        <v>0</v>
      </c>
      <c r="O278" s="17" t="n">
        <f aca="false">IF($B278="",0,SUMIFS('Zoho Dump'!$X$8:$X$3007,'Zoho Dump'!$N$8:$N$3007,$B278,'Zoho Dump'!$P$8:$P$3007,Settings!$A$16)+SUMIFS(Adjustments!$K$8:$K$207,Adjustments!$B$8:$B$207,$B278,Adjustments!$A$8:$A$207,Settings!$A$16))</f>
        <v>0</v>
      </c>
      <c r="P278" s="17" t="n">
        <f aca="false">IF($B278="",0,SUMIFS('Zoho Dump'!$X$8:$X$3007,'Zoho Dump'!$N$8:$N$3007,$B278,'Zoho Dump'!$P$8:$P$3007,Settings!$A$17)+SUMIFS(Adjustments!$K$8:$K$207,Adjustments!$B$8:$B$207,$B278,Adjustments!$A$8:$A$207,Settings!$A$17))</f>
        <v>0</v>
      </c>
      <c r="Q278" s="17" t="n">
        <f aca="false">IF($B278="",0,SUMIFS('Zoho Dump'!$X$8:$X$3007,'Zoho Dump'!$N$8:$N$3007,$B278,'Zoho Dump'!$P$8:$P$3007,Settings!$A$18)+SUMIFS(Adjustments!$K$8:$K$207,Adjustments!$B$8:$B$207,$B278,Adjustments!$A$8:$A$207,Settings!$A$18))</f>
        <v>0</v>
      </c>
      <c r="R278" s="30" t="str">
        <f aca="false">IF(G278&gt;0,G278+A278/10000000,"")</f>
        <v/>
      </c>
    </row>
    <row r="279" customFormat="false" ht="15" hidden="false" customHeight="false" outlineLevel="0" collapsed="false">
      <c r="A279" s="9" t="n">
        <v>275</v>
      </c>
      <c r="B279" s="9" t="str">
        <f aca="false">IFERROR(INDEX('Zoho Dump'!$N$8:$N$3007,MATCH(A279,'Zoho Dump'!$AB$8:$AB$3007,0)),"")</f>
        <v/>
      </c>
      <c r="C279" s="17" t="n">
        <f aca="false">IF($B279="",0,SUMIFS('Zoho Dump'!$Q$8:$Q$3007,'Zoho Dump'!$N$8:$N$3007,$B279,'Zoho Dump'!$T$8:$T$3007,"Delivered",'Zoho Dump'!$R$8:$R$3007,"&gt;="&amp;Settings!$B$4))</f>
        <v>0</v>
      </c>
      <c r="D279" s="17" t="n">
        <f aca="false">IF($B279="",0,SUMIFS('Zoho Dump'!$X$8:$X$3007,'Zoho Dump'!$N$8:$N$3007,$B279,'Zoho Dump'!$T$8:$T$3007,"Backlog")+SUMIFS(Adjustments!$K$8:$K$207,Adjustments!$B$8:$B$207,$B279,Adjustments!$H$8:$H$207,"Backlog"))</f>
        <v>0</v>
      </c>
      <c r="E279" s="17" t="n">
        <f aca="false">IF($B279="",0,SUMIFS('Zoho Dump'!$Y$8:$Y$3007,'Zoho Dump'!$N$8:$N$3007,$B279,'Zoho Dump'!$T$8:$T$3007,"Pipeline")+SUMIFS(Adjustments!$L$8:$L$207,Adjustments!$B$8:$B$207,$B279,Adjustments!$H$8:$H$207,"Pipeline")+SUMIFS('Zoho Dump'!$Y$8:$Y$3007,'Zoho Dump'!$N$8:$N$3007,$B279,'Zoho Dump'!$T$8:$T$3007,"Overdue")+SUMIFS(Adjustments!$L$8:$L$207,Adjustments!$B$8:$B$207,$B279,Adjustments!$H$8:$H$207,"Overdue"))</f>
        <v>0</v>
      </c>
      <c r="F279" s="17" t="n">
        <f aca="false">IF($B279="",0,SUMIFS('Zoho Dump'!$X$8:$X$3007,'Zoho Dump'!$N$8:$N$3007,$B279,'Zoho Dump'!$T$8:$T$3007,"Pipeline")+SUMIFS(Adjustments!$K$8:$K$207,Adjustments!$B$8:$B$207,$B279,Adjustments!$H$8:$H$207,"Pipeline")+SUMIFS('Zoho Dump'!$X$8:$X$3007,'Zoho Dump'!$N$8:$N$3007,$B279,'Zoho Dump'!$T$8:$T$3007,"Overdue")+SUMIFS(Adjustments!$K$8:$K$207,Adjustments!$B$8:$B$207,$B279,Adjustments!$H$8:$H$207,"Overdue"))</f>
        <v>0</v>
      </c>
      <c r="G279" s="17" t="n">
        <f aca="false">D279+F279</f>
        <v>0</v>
      </c>
      <c r="H279" s="18" t="n">
        <f aca="false">IF(SUM($G$5:$G$404)=0,0,G279/SUM($G$5:$G$404))</f>
        <v>0</v>
      </c>
      <c r="I279" s="17" t="n">
        <f aca="false">IF($B279="",0,SUMIFS('Zoho Dump'!$Q$8:$Q$3007,'Zoho Dump'!$N$8:$N$3007,$B279,'Zoho Dump'!$T$8:$T$3007,"Lost",'Zoho Dump'!$R$8:$R$3007,"&gt;="&amp;Settings!$B$4))</f>
        <v>0</v>
      </c>
      <c r="J279" s="9" t="str">
        <f aca="false">IF($B279="","",IF(COUNTIF(Dashboard!$C$13:$C$22,$B279)&gt;0,"Yes",""))</f>
        <v/>
      </c>
      <c r="K279" s="17" t="n">
        <f aca="false">IF($B279="",0,SUMIFS('Zoho Dump'!$X$8:$X$3007,'Zoho Dump'!$N$8:$N$3007,$B279,'Zoho Dump'!$P$8:$P$3007,Settings!$A$12)+SUMIFS(Adjustments!$K$8:$K$207,Adjustments!$B$8:$B$207,$B279,Adjustments!$A$8:$A$207,Settings!$A$12))</f>
        <v>0</v>
      </c>
      <c r="L279" s="17" t="n">
        <f aca="false">IF($B279="",0,SUMIFS('Zoho Dump'!$X$8:$X$3007,'Zoho Dump'!$N$8:$N$3007,$B279,'Zoho Dump'!$P$8:$P$3007,Settings!$A$13)+SUMIFS(Adjustments!$K$8:$K$207,Adjustments!$B$8:$B$207,$B279,Adjustments!$A$8:$A$207,Settings!$A$13))</f>
        <v>0</v>
      </c>
      <c r="M279" s="17" t="n">
        <f aca="false">IF($B279="",0,SUMIFS('Zoho Dump'!$X$8:$X$3007,'Zoho Dump'!$N$8:$N$3007,$B279,'Zoho Dump'!$P$8:$P$3007,Settings!$A$14)+SUMIFS(Adjustments!$K$8:$K$207,Adjustments!$B$8:$B$207,$B279,Adjustments!$A$8:$A$207,Settings!$A$14))</f>
        <v>0</v>
      </c>
      <c r="N279" s="17" t="n">
        <f aca="false">IF($B279="",0,SUMIFS('Zoho Dump'!$X$8:$X$3007,'Zoho Dump'!$N$8:$N$3007,$B279,'Zoho Dump'!$P$8:$P$3007,Settings!$A$15)+SUMIFS(Adjustments!$K$8:$K$207,Adjustments!$B$8:$B$207,$B279,Adjustments!$A$8:$A$207,Settings!$A$15))</f>
        <v>0</v>
      </c>
      <c r="O279" s="17" t="n">
        <f aca="false">IF($B279="",0,SUMIFS('Zoho Dump'!$X$8:$X$3007,'Zoho Dump'!$N$8:$N$3007,$B279,'Zoho Dump'!$P$8:$P$3007,Settings!$A$16)+SUMIFS(Adjustments!$K$8:$K$207,Adjustments!$B$8:$B$207,$B279,Adjustments!$A$8:$A$207,Settings!$A$16))</f>
        <v>0</v>
      </c>
      <c r="P279" s="17" t="n">
        <f aca="false">IF($B279="",0,SUMIFS('Zoho Dump'!$X$8:$X$3007,'Zoho Dump'!$N$8:$N$3007,$B279,'Zoho Dump'!$P$8:$P$3007,Settings!$A$17)+SUMIFS(Adjustments!$K$8:$K$207,Adjustments!$B$8:$B$207,$B279,Adjustments!$A$8:$A$207,Settings!$A$17))</f>
        <v>0</v>
      </c>
      <c r="Q279" s="17" t="n">
        <f aca="false">IF($B279="",0,SUMIFS('Zoho Dump'!$X$8:$X$3007,'Zoho Dump'!$N$8:$N$3007,$B279,'Zoho Dump'!$P$8:$P$3007,Settings!$A$18)+SUMIFS(Adjustments!$K$8:$K$207,Adjustments!$B$8:$B$207,$B279,Adjustments!$A$8:$A$207,Settings!$A$18))</f>
        <v>0</v>
      </c>
      <c r="R279" s="30" t="str">
        <f aca="false">IF(G279&gt;0,G279+A279/10000000,"")</f>
        <v/>
      </c>
    </row>
    <row r="280" customFormat="false" ht="15" hidden="false" customHeight="false" outlineLevel="0" collapsed="false">
      <c r="A280" s="9" t="n">
        <v>276</v>
      </c>
      <c r="B280" s="9" t="str">
        <f aca="false">IFERROR(INDEX('Zoho Dump'!$N$8:$N$3007,MATCH(A280,'Zoho Dump'!$AB$8:$AB$3007,0)),"")</f>
        <v/>
      </c>
      <c r="C280" s="17" t="n">
        <f aca="false">IF($B280="",0,SUMIFS('Zoho Dump'!$Q$8:$Q$3007,'Zoho Dump'!$N$8:$N$3007,$B280,'Zoho Dump'!$T$8:$T$3007,"Delivered",'Zoho Dump'!$R$8:$R$3007,"&gt;="&amp;Settings!$B$4))</f>
        <v>0</v>
      </c>
      <c r="D280" s="17" t="n">
        <f aca="false">IF($B280="",0,SUMIFS('Zoho Dump'!$X$8:$X$3007,'Zoho Dump'!$N$8:$N$3007,$B280,'Zoho Dump'!$T$8:$T$3007,"Backlog")+SUMIFS(Adjustments!$K$8:$K$207,Adjustments!$B$8:$B$207,$B280,Adjustments!$H$8:$H$207,"Backlog"))</f>
        <v>0</v>
      </c>
      <c r="E280" s="17" t="n">
        <f aca="false">IF($B280="",0,SUMIFS('Zoho Dump'!$Y$8:$Y$3007,'Zoho Dump'!$N$8:$N$3007,$B280,'Zoho Dump'!$T$8:$T$3007,"Pipeline")+SUMIFS(Adjustments!$L$8:$L$207,Adjustments!$B$8:$B$207,$B280,Adjustments!$H$8:$H$207,"Pipeline")+SUMIFS('Zoho Dump'!$Y$8:$Y$3007,'Zoho Dump'!$N$8:$N$3007,$B280,'Zoho Dump'!$T$8:$T$3007,"Overdue")+SUMIFS(Adjustments!$L$8:$L$207,Adjustments!$B$8:$B$207,$B280,Adjustments!$H$8:$H$207,"Overdue"))</f>
        <v>0</v>
      </c>
      <c r="F280" s="17" t="n">
        <f aca="false">IF($B280="",0,SUMIFS('Zoho Dump'!$X$8:$X$3007,'Zoho Dump'!$N$8:$N$3007,$B280,'Zoho Dump'!$T$8:$T$3007,"Pipeline")+SUMIFS(Adjustments!$K$8:$K$207,Adjustments!$B$8:$B$207,$B280,Adjustments!$H$8:$H$207,"Pipeline")+SUMIFS('Zoho Dump'!$X$8:$X$3007,'Zoho Dump'!$N$8:$N$3007,$B280,'Zoho Dump'!$T$8:$T$3007,"Overdue")+SUMIFS(Adjustments!$K$8:$K$207,Adjustments!$B$8:$B$207,$B280,Adjustments!$H$8:$H$207,"Overdue"))</f>
        <v>0</v>
      </c>
      <c r="G280" s="17" t="n">
        <f aca="false">D280+F280</f>
        <v>0</v>
      </c>
      <c r="H280" s="18" t="n">
        <f aca="false">IF(SUM($G$5:$G$404)=0,0,G280/SUM($G$5:$G$404))</f>
        <v>0</v>
      </c>
      <c r="I280" s="17" t="n">
        <f aca="false">IF($B280="",0,SUMIFS('Zoho Dump'!$Q$8:$Q$3007,'Zoho Dump'!$N$8:$N$3007,$B280,'Zoho Dump'!$T$8:$T$3007,"Lost",'Zoho Dump'!$R$8:$R$3007,"&gt;="&amp;Settings!$B$4))</f>
        <v>0</v>
      </c>
      <c r="J280" s="9" t="str">
        <f aca="false">IF($B280="","",IF(COUNTIF(Dashboard!$C$13:$C$22,$B280)&gt;0,"Yes",""))</f>
        <v/>
      </c>
      <c r="K280" s="17" t="n">
        <f aca="false">IF($B280="",0,SUMIFS('Zoho Dump'!$X$8:$X$3007,'Zoho Dump'!$N$8:$N$3007,$B280,'Zoho Dump'!$P$8:$P$3007,Settings!$A$12)+SUMIFS(Adjustments!$K$8:$K$207,Adjustments!$B$8:$B$207,$B280,Adjustments!$A$8:$A$207,Settings!$A$12))</f>
        <v>0</v>
      </c>
      <c r="L280" s="17" t="n">
        <f aca="false">IF($B280="",0,SUMIFS('Zoho Dump'!$X$8:$X$3007,'Zoho Dump'!$N$8:$N$3007,$B280,'Zoho Dump'!$P$8:$P$3007,Settings!$A$13)+SUMIFS(Adjustments!$K$8:$K$207,Adjustments!$B$8:$B$207,$B280,Adjustments!$A$8:$A$207,Settings!$A$13))</f>
        <v>0</v>
      </c>
      <c r="M280" s="17" t="n">
        <f aca="false">IF($B280="",0,SUMIFS('Zoho Dump'!$X$8:$X$3007,'Zoho Dump'!$N$8:$N$3007,$B280,'Zoho Dump'!$P$8:$P$3007,Settings!$A$14)+SUMIFS(Adjustments!$K$8:$K$207,Adjustments!$B$8:$B$207,$B280,Adjustments!$A$8:$A$207,Settings!$A$14))</f>
        <v>0</v>
      </c>
      <c r="N280" s="17" t="n">
        <f aca="false">IF($B280="",0,SUMIFS('Zoho Dump'!$X$8:$X$3007,'Zoho Dump'!$N$8:$N$3007,$B280,'Zoho Dump'!$P$8:$P$3007,Settings!$A$15)+SUMIFS(Adjustments!$K$8:$K$207,Adjustments!$B$8:$B$207,$B280,Adjustments!$A$8:$A$207,Settings!$A$15))</f>
        <v>0</v>
      </c>
      <c r="O280" s="17" t="n">
        <f aca="false">IF($B280="",0,SUMIFS('Zoho Dump'!$X$8:$X$3007,'Zoho Dump'!$N$8:$N$3007,$B280,'Zoho Dump'!$P$8:$P$3007,Settings!$A$16)+SUMIFS(Adjustments!$K$8:$K$207,Adjustments!$B$8:$B$207,$B280,Adjustments!$A$8:$A$207,Settings!$A$16))</f>
        <v>0</v>
      </c>
      <c r="P280" s="17" t="n">
        <f aca="false">IF($B280="",0,SUMIFS('Zoho Dump'!$X$8:$X$3007,'Zoho Dump'!$N$8:$N$3007,$B280,'Zoho Dump'!$P$8:$P$3007,Settings!$A$17)+SUMIFS(Adjustments!$K$8:$K$207,Adjustments!$B$8:$B$207,$B280,Adjustments!$A$8:$A$207,Settings!$A$17))</f>
        <v>0</v>
      </c>
      <c r="Q280" s="17" t="n">
        <f aca="false">IF($B280="",0,SUMIFS('Zoho Dump'!$X$8:$X$3007,'Zoho Dump'!$N$8:$N$3007,$B280,'Zoho Dump'!$P$8:$P$3007,Settings!$A$18)+SUMIFS(Adjustments!$K$8:$K$207,Adjustments!$B$8:$B$207,$B280,Adjustments!$A$8:$A$207,Settings!$A$18))</f>
        <v>0</v>
      </c>
      <c r="R280" s="30" t="str">
        <f aca="false">IF(G280&gt;0,G280+A280/10000000,"")</f>
        <v/>
      </c>
    </row>
    <row r="281" customFormat="false" ht="15" hidden="false" customHeight="false" outlineLevel="0" collapsed="false">
      <c r="A281" s="9" t="n">
        <v>277</v>
      </c>
      <c r="B281" s="9" t="str">
        <f aca="false">IFERROR(INDEX('Zoho Dump'!$N$8:$N$3007,MATCH(A281,'Zoho Dump'!$AB$8:$AB$3007,0)),"")</f>
        <v/>
      </c>
      <c r="C281" s="17" t="n">
        <f aca="false">IF($B281="",0,SUMIFS('Zoho Dump'!$Q$8:$Q$3007,'Zoho Dump'!$N$8:$N$3007,$B281,'Zoho Dump'!$T$8:$T$3007,"Delivered",'Zoho Dump'!$R$8:$R$3007,"&gt;="&amp;Settings!$B$4))</f>
        <v>0</v>
      </c>
      <c r="D281" s="17" t="n">
        <f aca="false">IF($B281="",0,SUMIFS('Zoho Dump'!$X$8:$X$3007,'Zoho Dump'!$N$8:$N$3007,$B281,'Zoho Dump'!$T$8:$T$3007,"Backlog")+SUMIFS(Adjustments!$K$8:$K$207,Adjustments!$B$8:$B$207,$B281,Adjustments!$H$8:$H$207,"Backlog"))</f>
        <v>0</v>
      </c>
      <c r="E281" s="17" t="n">
        <f aca="false">IF($B281="",0,SUMIFS('Zoho Dump'!$Y$8:$Y$3007,'Zoho Dump'!$N$8:$N$3007,$B281,'Zoho Dump'!$T$8:$T$3007,"Pipeline")+SUMIFS(Adjustments!$L$8:$L$207,Adjustments!$B$8:$B$207,$B281,Adjustments!$H$8:$H$207,"Pipeline")+SUMIFS('Zoho Dump'!$Y$8:$Y$3007,'Zoho Dump'!$N$8:$N$3007,$B281,'Zoho Dump'!$T$8:$T$3007,"Overdue")+SUMIFS(Adjustments!$L$8:$L$207,Adjustments!$B$8:$B$207,$B281,Adjustments!$H$8:$H$207,"Overdue"))</f>
        <v>0</v>
      </c>
      <c r="F281" s="17" t="n">
        <f aca="false">IF($B281="",0,SUMIFS('Zoho Dump'!$X$8:$X$3007,'Zoho Dump'!$N$8:$N$3007,$B281,'Zoho Dump'!$T$8:$T$3007,"Pipeline")+SUMIFS(Adjustments!$K$8:$K$207,Adjustments!$B$8:$B$207,$B281,Adjustments!$H$8:$H$207,"Pipeline")+SUMIFS('Zoho Dump'!$X$8:$X$3007,'Zoho Dump'!$N$8:$N$3007,$B281,'Zoho Dump'!$T$8:$T$3007,"Overdue")+SUMIFS(Adjustments!$K$8:$K$207,Adjustments!$B$8:$B$207,$B281,Adjustments!$H$8:$H$207,"Overdue"))</f>
        <v>0</v>
      </c>
      <c r="G281" s="17" t="n">
        <f aca="false">D281+F281</f>
        <v>0</v>
      </c>
      <c r="H281" s="18" t="n">
        <f aca="false">IF(SUM($G$5:$G$404)=0,0,G281/SUM($G$5:$G$404))</f>
        <v>0</v>
      </c>
      <c r="I281" s="17" t="n">
        <f aca="false">IF($B281="",0,SUMIFS('Zoho Dump'!$Q$8:$Q$3007,'Zoho Dump'!$N$8:$N$3007,$B281,'Zoho Dump'!$T$8:$T$3007,"Lost",'Zoho Dump'!$R$8:$R$3007,"&gt;="&amp;Settings!$B$4))</f>
        <v>0</v>
      </c>
      <c r="J281" s="9" t="str">
        <f aca="false">IF($B281="","",IF(COUNTIF(Dashboard!$C$13:$C$22,$B281)&gt;0,"Yes",""))</f>
        <v/>
      </c>
      <c r="K281" s="17" t="n">
        <f aca="false">IF($B281="",0,SUMIFS('Zoho Dump'!$X$8:$X$3007,'Zoho Dump'!$N$8:$N$3007,$B281,'Zoho Dump'!$P$8:$P$3007,Settings!$A$12)+SUMIFS(Adjustments!$K$8:$K$207,Adjustments!$B$8:$B$207,$B281,Adjustments!$A$8:$A$207,Settings!$A$12))</f>
        <v>0</v>
      </c>
      <c r="L281" s="17" t="n">
        <f aca="false">IF($B281="",0,SUMIFS('Zoho Dump'!$X$8:$X$3007,'Zoho Dump'!$N$8:$N$3007,$B281,'Zoho Dump'!$P$8:$P$3007,Settings!$A$13)+SUMIFS(Adjustments!$K$8:$K$207,Adjustments!$B$8:$B$207,$B281,Adjustments!$A$8:$A$207,Settings!$A$13))</f>
        <v>0</v>
      </c>
      <c r="M281" s="17" t="n">
        <f aca="false">IF($B281="",0,SUMIFS('Zoho Dump'!$X$8:$X$3007,'Zoho Dump'!$N$8:$N$3007,$B281,'Zoho Dump'!$P$8:$P$3007,Settings!$A$14)+SUMIFS(Adjustments!$K$8:$K$207,Adjustments!$B$8:$B$207,$B281,Adjustments!$A$8:$A$207,Settings!$A$14))</f>
        <v>0</v>
      </c>
      <c r="N281" s="17" t="n">
        <f aca="false">IF($B281="",0,SUMIFS('Zoho Dump'!$X$8:$X$3007,'Zoho Dump'!$N$8:$N$3007,$B281,'Zoho Dump'!$P$8:$P$3007,Settings!$A$15)+SUMIFS(Adjustments!$K$8:$K$207,Adjustments!$B$8:$B$207,$B281,Adjustments!$A$8:$A$207,Settings!$A$15))</f>
        <v>0</v>
      </c>
      <c r="O281" s="17" t="n">
        <f aca="false">IF($B281="",0,SUMIFS('Zoho Dump'!$X$8:$X$3007,'Zoho Dump'!$N$8:$N$3007,$B281,'Zoho Dump'!$P$8:$P$3007,Settings!$A$16)+SUMIFS(Adjustments!$K$8:$K$207,Adjustments!$B$8:$B$207,$B281,Adjustments!$A$8:$A$207,Settings!$A$16))</f>
        <v>0</v>
      </c>
      <c r="P281" s="17" t="n">
        <f aca="false">IF($B281="",0,SUMIFS('Zoho Dump'!$X$8:$X$3007,'Zoho Dump'!$N$8:$N$3007,$B281,'Zoho Dump'!$P$8:$P$3007,Settings!$A$17)+SUMIFS(Adjustments!$K$8:$K$207,Adjustments!$B$8:$B$207,$B281,Adjustments!$A$8:$A$207,Settings!$A$17))</f>
        <v>0</v>
      </c>
      <c r="Q281" s="17" t="n">
        <f aca="false">IF($B281="",0,SUMIFS('Zoho Dump'!$X$8:$X$3007,'Zoho Dump'!$N$8:$N$3007,$B281,'Zoho Dump'!$P$8:$P$3007,Settings!$A$18)+SUMIFS(Adjustments!$K$8:$K$207,Adjustments!$B$8:$B$207,$B281,Adjustments!$A$8:$A$207,Settings!$A$18))</f>
        <v>0</v>
      </c>
      <c r="R281" s="30" t="str">
        <f aca="false">IF(G281&gt;0,G281+A281/10000000,"")</f>
        <v/>
      </c>
    </row>
    <row r="282" customFormat="false" ht="15" hidden="false" customHeight="false" outlineLevel="0" collapsed="false">
      <c r="A282" s="9" t="n">
        <v>278</v>
      </c>
      <c r="B282" s="9" t="str">
        <f aca="false">IFERROR(INDEX('Zoho Dump'!$N$8:$N$3007,MATCH(A282,'Zoho Dump'!$AB$8:$AB$3007,0)),"")</f>
        <v/>
      </c>
      <c r="C282" s="17" t="n">
        <f aca="false">IF($B282="",0,SUMIFS('Zoho Dump'!$Q$8:$Q$3007,'Zoho Dump'!$N$8:$N$3007,$B282,'Zoho Dump'!$T$8:$T$3007,"Delivered",'Zoho Dump'!$R$8:$R$3007,"&gt;="&amp;Settings!$B$4))</f>
        <v>0</v>
      </c>
      <c r="D282" s="17" t="n">
        <f aca="false">IF($B282="",0,SUMIFS('Zoho Dump'!$X$8:$X$3007,'Zoho Dump'!$N$8:$N$3007,$B282,'Zoho Dump'!$T$8:$T$3007,"Backlog")+SUMIFS(Adjustments!$K$8:$K$207,Adjustments!$B$8:$B$207,$B282,Adjustments!$H$8:$H$207,"Backlog"))</f>
        <v>0</v>
      </c>
      <c r="E282" s="17" t="n">
        <f aca="false">IF($B282="",0,SUMIFS('Zoho Dump'!$Y$8:$Y$3007,'Zoho Dump'!$N$8:$N$3007,$B282,'Zoho Dump'!$T$8:$T$3007,"Pipeline")+SUMIFS(Adjustments!$L$8:$L$207,Adjustments!$B$8:$B$207,$B282,Adjustments!$H$8:$H$207,"Pipeline")+SUMIFS('Zoho Dump'!$Y$8:$Y$3007,'Zoho Dump'!$N$8:$N$3007,$B282,'Zoho Dump'!$T$8:$T$3007,"Overdue")+SUMIFS(Adjustments!$L$8:$L$207,Adjustments!$B$8:$B$207,$B282,Adjustments!$H$8:$H$207,"Overdue"))</f>
        <v>0</v>
      </c>
      <c r="F282" s="17" t="n">
        <f aca="false">IF($B282="",0,SUMIFS('Zoho Dump'!$X$8:$X$3007,'Zoho Dump'!$N$8:$N$3007,$B282,'Zoho Dump'!$T$8:$T$3007,"Pipeline")+SUMIFS(Adjustments!$K$8:$K$207,Adjustments!$B$8:$B$207,$B282,Adjustments!$H$8:$H$207,"Pipeline")+SUMIFS('Zoho Dump'!$X$8:$X$3007,'Zoho Dump'!$N$8:$N$3007,$B282,'Zoho Dump'!$T$8:$T$3007,"Overdue")+SUMIFS(Adjustments!$K$8:$K$207,Adjustments!$B$8:$B$207,$B282,Adjustments!$H$8:$H$207,"Overdue"))</f>
        <v>0</v>
      </c>
      <c r="G282" s="17" t="n">
        <f aca="false">D282+F282</f>
        <v>0</v>
      </c>
      <c r="H282" s="18" t="n">
        <f aca="false">IF(SUM($G$5:$G$404)=0,0,G282/SUM($G$5:$G$404))</f>
        <v>0</v>
      </c>
      <c r="I282" s="17" t="n">
        <f aca="false">IF($B282="",0,SUMIFS('Zoho Dump'!$Q$8:$Q$3007,'Zoho Dump'!$N$8:$N$3007,$B282,'Zoho Dump'!$T$8:$T$3007,"Lost",'Zoho Dump'!$R$8:$R$3007,"&gt;="&amp;Settings!$B$4))</f>
        <v>0</v>
      </c>
      <c r="J282" s="9" t="str">
        <f aca="false">IF($B282="","",IF(COUNTIF(Dashboard!$C$13:$C$22,$B282)&gt;0,"Yes",""))</f>
        <v/>
      </c>
      <c r="K282" s="17" t="n">
        <f aca="false">IF($B282="",0,SUMIFS('Zoho Dump'!$X$8:$X$3007,'Zoho Dump'!$N$8:$N$3007,$B282,'Zoho Dump'!$P$8:$P$3007,Settings!$A$12)+SUMIFS(Adjustments!$K$8:$K$207,Adjustments!$B$8:$B$207,$B282,Adjustments!$A$8:$A$207,Settings!$A$12))</f>
        <v>0</v>
      </c>
      <c r="L282" s="17" t="n">
        <f aca="false">IF($B282="",0,SUMIFS('Zoho Dump'!$X$8:$X$3007,'Zoho Dump'!$N$8:$N$3007,$B282,'Zoho Dump'!$P$8:$P$3007,Settings!$A$13)+SUMIFS(Adjustments!$K$8:$K$207,Adjustments!$B$8:$B$207,$B282,Adjustments!$A$8:$A$207,Settings!$A$13))</f>
        <v>0</v>
      </c>
      <c r="M282" s="17" t="n">
        <f aca="false">IF($B282="",0,SUMIFS('Zoho Dump'!$X$8:$X$3007,'Zoho Dump'!$N$8:$N$3007,$B282,'Zoho Dump'!$P$8:$P$3007,Settings!$A$14)+SUMIFS(Adjustments!$K$8:$K$207,Adjustments!$B$8:$B$207,$B282,Adjustments!$A$8:$A$207,Settings!$A$14))</f>
        <v>0</v>
      </c>
      <c r="N282" s="17" t="n">
        <f aca="false">IF($B282="",0,SUMIFS('Zoho Dump'!$X$8:$X$3007,'Zoho Dump'!$N$8:$N$3007,$B282,'Zoho Dump'!$P$8:$P$3007,Settings!$A$15)+SUMIFS(Adjustments!$K$8:$K$207,Adjustments!$B$8:$B$207,$B282,Adjustments!$A$8:$A$207,Settings!$A$15))</f>
        <v>0</v>
      </c>
      <c r="O282" s="17" t="n">
        <f aca="false">IF($B282="",0,SUMIFS('Zoho Dump'!$X$8:$X$3007,'Zoho Dump'!$N$8:$N$3007,$B282,'Zoho Dump'!$P$8:$P$3007,Settings!$A$16)+SUMIFS(Adjustments!$K$8:$K$207,Adjustments!$B$8:$B$207,$B282,Adjustments!$A$8:$A$207,Settings!$A$16))</f>
        <v>0</v>
      </c>
      <c r="P282" s="17" t="n">
        <f aca="false">IF($B282="",0,SUMIFS('Zoho Dump'!$X$8:$X$3007,'Zoho Dump'!$N$8:$N$3007,$B282,'Zoho Dump'!$P$8:$P$3007,Settings!$A$17)+SUMIFS(Adjustments!$K$8:$K$207,Adjustments!$B$8:$B$207,$B282,Adjustments!$A$8:$A$207,Settings!$A$17))</f>
        <v>0</v>
      </c>
      <c r="Q282" s="17" t="n">
        <f aca="false">IF($B282="",0,SUMIFS('Zoho Dump'!$X$8:$X$3007,'Zoho Dump'!$N$8:$N$3007,$B282,'Zoho Dump'!$P$8:$P$3007,Settings!$A$18)+SUMIFS(Adjustments!$K$8:$K$207,Adjustments!$B$8:$B$207,$B282,Adjustments!$A$8:$A$207,Settings!$A$18))</f>
        <v>0</v>
      </c>
      <c r="R282" s="30" t="str">
        <f aca="false">IF(G282&gt;0,G282+A282/10000000,"")</f>
        <v/>
      </c>
    </row>
    <row r="283" customFormat="false" ht="15" hidden="false" customHeight="false" outlineLevel="0" collapsed="false">
      <c r="A283" s="9" t="n">
        <v>279</v>
      </c>
      <c r="B283" s="9" t="str">
        <f aca="false">IFERROR(INDEX('Zoho Dump'!$N$8:$N$3007,MATCH(A283,'Zoho Dump'!$AB$8:$AB$3007,0)),"")</f>
        <v/>
      </c>
      <c r="C283" s="17" t="n">
        <f aca="false">IF($B283="",0,SUMIFS('Zoho Dump'!$Q$8:$Q$3007,'Zoho Dump'!$N$8:$N$3007,$B283,'Zoho Dump'!$T$8:$T$3007,"Delivered",'Zoho Dump'!$R$8:$R$3007,"&gt;="&amp;Settings!$B$4))</f>
        <v>0</v>
      </c>
      <c r="D283" s="17" t="n">
        <f aca="false">IF($B283="",0,SUMIFS('Zoho Dump'!$X$8:$X$3007,'Zoho Dump'!$N$8:$N$3007,$B283,'Zoho Dump'!$T$8:$T$3007,"Backlog")+SUMIFS(Adjustments!$K$8:$K$207,Adjustments!$B$8:$B$207,$B283,Adjustments!$H$8:$H$207,"Backlog"))</f>
        <v>0</v>
      </c>
      <c r="E283" s="17" t="n">
        <f aca="false">IF($B283="",0,SUMIFS('Zoho Dump'!$Y$8:$Y$3007,'Zoho Dump'!$N$8:$N$3007,$B283,'Zoho Dump'!$T$8:$T$3007,"Pipeline")+SUMIFS(Adjustments!$L$8:$L$207,Adjustments!$B$8:$B$207,$B283,Adjustments!$H$8:$H$207,"Pipeline")+SUMIFS('Zoho Dump'!$Y$8:$Y$3007,'Zoho Dump'!$N$8:$N$3007,$B283,'Zoho Dump'!$T$8:$T$3007,"Overdue")+SUMIFS(Adjustments!$L$8:$L$207,Adjustments!$B$8:$B$207,$B283,Adjustments!$H$8:$H$207,"Overdue"))</f>
        <v>0</v>
      </c>
      <c r="F283" s="17" t="n">
        <f aca="false">IF($B283="",0,SUMIFS('Zoho Dump'!$X$8:$X$3007,'Zoho Dump'!$N$8:$N$3007,$B283,'Zoho Dump'!$T$8:$T$3007,"Pipeline")+SUMIFS(Adjustments!$K$8:$K$207,Adjustments!$B$8:$B$207,$B283,Adjustments!$H$8:$H$207,"Pipeline")+SUMIFS('Zoho Dump'!$X$8:$X$3007,'Zoho Dump'!$N$8:$N$3007,$B283,'Zoho Dump'!$T$8:$T$3007,"Overdue")+SUMIFS(Adjustments!$K$8:$K$207,Adjustments!$B$8:$B$207,$B283,Adjustments!$H$8:$H$207,"Overdue"))</f>
        <v>0</v>
      </c>
      <c r="G283" s="17" t="n">
        <f aca="false">D283+F283</f>
        <v>0</v>
      </c>
      <c r="H283" s="18" t="n">
        <f aca="false">IF(SUM($G$5:$G$404)=0,0,G283/SUM($G$5:$G$404))</f>
        <v>0</v>
      </c>
      <c r="I283" s="17" t="n">
        <f aca="false">IF($B283="",0,SUMIFS('Zoho Dump'!$Q$8:$Q$3007,'Zoho Dump'!$N$8:$N$3007,$B283,'Zoho Dump'!$T$8:$T$3007,"Lost",'Zoho Dump'!$R$8:$R$3007,"&gt;="&amp;Settings!$B$4))</f>
        <v>0</v>
      </c>
      <c r="J283" s="9" t="str">
        <f aca="false">IF($B283="","",IF(COUNTIF(Dashboard!$C$13:$C$22,$B283)&gt;0,"Yes",""))</f>
        <v/>
      </c>
      <c r="K283" s="17" t="n">
        <f aca="false">IF($B283="",0,SUMIFS('Zoho Dump'!$X$8:$X$3007,'Zoho Dump'!$N$8:$N$3007,$B283,'Zoho Dump'!$P$8:$P$3007,Settings!$A$12)+SUMIFS(Adjustments!$K$8:$K$207,Adjustments!$B$8:$B$207,$B283,Adjustments!$A$8:$A$207,Settings!$A$12))</f>
        <v>0</v>
      </c>
      <c r="L283" s="17" t="n">
        <f aca="false">IF($B283="",0,SUMIFS('Zoho Dump'!$X$8:$X$3007,'Zoho Dump'!$N$8:$N$3007,$B283,'Zoho Dump'!$P$8:$P$3007,Settings!$A$13)+SUMIFS(Adjustments!$K$8:$K$207,Adjustments!$B$8:$B$207,$B283,Adjustments!$A$8:$A$207,Settings!$A$13))</f>
        <v>0</v>
      </c>
      <c r="M283" s="17" t="n">
        <f aca="false">IF($B283="",0,SUMIFS('Zoho Dump'!$X$8:$X$3007,'Zoho Dump'!$N$8:$N$3007,$B283,'Zoho Dump'!$P$8:$P$3007,Settings!$A$14)+SUMIFS(Adjustments!$K$8:$K$207,Adjustments!$B$8:$B$207,$B283,Adjustments!$A$8:$A$207,Settings!$A$14))</f>
        <v>0</v>
      </c>
      <c r="N283" s="17" t="n">
        <f aca="false">IF($B283="",0,SUMIFS('Zoho Dump'!$X$8:$X$3007,'Zoho Dump'!$N$8:$N$3007,$B283,'Zoho Dump'!$P$8:$P$3007,Settings!$A$15)+SUMIFS(Adjustments!$K$8:$K$207,Adjustments!$B$8:$B$207,$B283,Adjustments!$A$8:$A$207,Settings!$A$15))</f>
        <v>0</v>
      </c>
      <c r="O283" s="17" t="n">
        <f aca="false">IF($B283="",0,SUMIFS('Zoho Dump'!$X$8:$X$3007,'Zoho Dump'!$N$8:$N$3007,$B283,'Zoho Dump'!$P$8:$P$3007,Settings!$A$16)+SUMIFS(Adjustments!$K$8:$K$207,Adjustments!$B$8:$B$207,$B283,Adjustments!$A$8:$A$207,Settings!$A$16))</f>
        <v>0</v>
      </c>
      <c r="P283" s="17" t="n">
        <f aca="false">IF($B283="",0,SUMIFS('Zoho Dump'!$X$8:$X$3007,'Zoho Dump'!$N$8:$N$3007,$B283,'Zoho Dump'!$P$8:$P$3007,Settings!$A$17)+SUMIFS(Adjustments!$K$8:$K$207,Adjustments!$B$8:$B$207,$B283,Adjustments!$A$8:$A$207,Settings!$A$17))</f>
        <v>0</v>
      </c>
      <c r="Q283" s="17" t="n">
        <f aca="false">IF($B283="",0,SUMIFS('Zoho Dump'!$X$8:$X$3007,'Zoho Dump'!$N$8:$N$3007,$B283,'Zoho Dump'!$P$8:$P$3007,Settings!$A$18)+SUMIFS(Adjustments!$K$8:$K$207,Adjustments!$B$8:$B$207,$B283,Adjustments!$A$8:$A$207,Settings!$A$18))</f>
        <v>0</v>
      </c>
      <c r="R283" s="30" t="str">
        <f aca="false">IF(G283&gt;0,G283+A283/10000000,"")</f>
        <v/>
      </c>
    </row>
    <row r="284" customFormat="false" ht="15" hidden="false" customHeight="false" outlineLevel="0" collapsed="false">
      <c r="A284" s="9" t="n">
        <v>280</v>
      </c>
      <c r="B284" s="9" t="str">
        <f aca="false">IFERROR(INDEX('Zoho Dump'!$N$8:$N$3007,MATCH(A284,'Zoho Dump'!$AB$8:$AB$3007,0)),"")</f>
        <v/>
      </c>
      <c r="C284" s="17" t="n">
        <f aca="false">IF($B284="",0,SUMIFS('Zoho Dump'!$Q$8:$Q$3007,'Zoho Dump'!$N$8:$N$3007,$B284,'Zoho Dump'!$T$8:$T$3007,"Delivered",'Zoho Dump'!$R$8:$R$3007,"&gt;="&amp;Settings!$B$4))</f>
        <v>0</v>
      </c>
      <c r="D284" s="17" t="n">
        <f aca="false">IF($B284="",0,SUMIFS('Zoho Dump'!$X$8:$X$3007,'Zoho Dump'!$N$8:$N$3007,$B284,'Zoho Dump'!$T$8:$T$3007,"Backlog")+SUMIFS(Adjustments!$K$8:$K$207,Adjustments!$B$8:$B$207,$B284,Adjustments!$H$8:$H$207,"Backlog"))</f>
        <v>0</v>
      </c>
      <c r="E284" s="17" t="n">
        <f aca="false">IF($B284="",0,SUMIFS('Zoho Dump'!$Y$8:$Y$3007,'Zoho Dump'!$N$8:$N$3007,$B284,'Zoho Dump'!$T$8:$T$3007,"Pipeline")+SUMIFS(Adjustments!$L$8:$L$207,Adjustments!$B$8:$B$207,$B284,Adjustments!$H$8:$H$207,"Pipeline")+SUMIFS('Zoho Dump'!$Y$8:$Y$3007,'Zoho Dump'!$N$8:$N$3007,$B284,'Zoho Dump'!$T$8:$T$3007,"Overdue")+SUMIFS(Adjustments!$L$8:$L$207,Adjustments!$B$8:$B$207,$B284,Adjustments!$H$8:$H$207,"Overdue"))</f>
        <v>0</v>
      </c>
      <c r="F284" s="17" t="n">
        <f aca="false">IF($B284="",0,SUMIFS('Zoho Dump'!$X$8:$X$3007,'Zoho Dump'!$N$8:$N$3007,$B284,'Zoho Dump'!$T$8:$T$3007,"Pipeline")+SUMIFS(Adjustments!$K$8:$K$207,Adjustments!$B$8:$B$207,$B284,Adjustments!$H$8:$H$207,"Pipeline")+SUMIFS('Zoho Dump'!$X$8:$X$3007,'Zoho Dump'!$N$8:$N$3007,$B284,'Zoho Dump'!$T$8:$T$3007,"Overdue")+SUMIFS(Adjustments!$K$8:$K$207,Adjustments!$B$8:$B$207,$B284,Adjustments!$H$8:$H$207,"Overdue"))</f>
        <v>0</v>
      </c>
      <c r="G284" s="17" t="n">
        <f aca="false">D284+F284</f>
        <v>0</v>
      </c>
      <c r="H284" s="18" t="n">
        <f aca="false">IF(SUM($G$5:$G$404)=0,0,G284/SUM($G$5:$G$404))</f>
        <v>0</v>
      </c>
      <c r="I284" s="17" t="n">
        <f aca="false">IF($B284="",0,SUMIFS('Zoho Dump'!$Q$8:$Q$3007,'Zoho Dump'!$N$8:$N$3007,$B284,'Zoho Dump'!$T$8:$T$3007,"Lost",'Zoho Dump'!$R$8:$R$3007,"&gt;="&amp;Settings!$B$4))</f>
        <v>0</v>
      </c>
      <c r="J284" s="9" t="str">
        <f aca="false">IF($B284="","",IF(COUNTIF(Dashboard!$C$13:$C$22,$B284)&gt;0,"Yes",""))</f>
        <v/>
      </c>
      <c r="K284" s="17" t="n">
        <f aca="false">IF($B284="",0,SUMIFS('Zoho Dump'!$X$8:$X$3007,'Zoho Dump'!$N$8:$N$3007,$B284,'Zoho Dump'!$P$8:$P$3007,Settings!$A$12)+SUMIFS(Adjustments!$K$8:$K$207,Adjustments!$B$8:$B$207,$B284,Adjustments!$A$8:$A$207,Settings!$A$12))</f>
        <v>0</v>
      </c>
      <c r="L284" s="17" t="n">
        <f aca="false">IF($B284="",0,SUMIFS('Zoho Dump'!$X$8:$X$3007,'Zoho Dump'!$N$8:$N$3007,$B284,'Zoho Dump'!$P$8:$P$3007,Settings!$A$13)+SUMIFS(Adjustments!$K$8:$K$207,Adjustments!$B$8:$B$207,$B284,Adjustments!$A$8:$A$207,Settings!$A$13))</f>
        <v>0</v>
      </c>
      <c r="M284" s="17" t="n">
        <f aca="false">IF($B284="",0,SUMIFS('Zoho Dump'!$X$8:$X$3007,'Zoho Dump'!$N$8:$N$3007,$B284,'Zoho Dump'!$P$8:$P$3007,Settings!$A$14)+SUMIFS(Adjustments!$K$8:$K$207,Adjustments!$B$8:$B$207,$B284,Adjustments!$A$8:$A$207,Settings!$A$14))</f>
        <v>0</v>
      </c>
      <c r="N284" s="17" t="n">
        <f aca="false">IF($B284="",0,SUMIFS('Zoho Dump'!$X$8:$X$3007,'Zoho Dump'!$N$8:$N$3007,$B284,'Zoho Dump'!$P$8:$P$3007,Settings!$A$15)+SUMIFS(Adjustments!$K$8:$K$207,Adjustments!$B$8:$B$207,$B284,Adjustments!$A$8:$A$207,Settings!$A$15))</f>
        <v>0</v>
      </c>
      <c r="O284" s="17" t="n">
        <f aca="false">IF($B284="",0,SUMIFS('Zoho Dump'!$X$8:$X$3007,'Zoho Dump'!$N$8:$N$3007,$B284,'Zoho Dump'!$P$8:$P$3007,Settings!$A$16)+SUMIFS(Adjustments!$K$8:$K$207,Adjustments!$B$8:$B$207,$B284,Adjustments!$A$8:$A$207,Settings!$A$16))</f>
        <v>0</v>
      </c>
      <c r="P284" s="17" t="n">
        <f aca="false">IF($B284="",0,SUMIFS('Zoho Dump'!$X$8:$X$3007,'Zoho Dump'!$N$8:$N$3007,$B284,'Zoho Dump'!$P$8:$P$3007,Settings!$A$17)+SUMIFS(Adjustments!$K$8:$K$207,Adjustments!$B$8:$B$207,$B284,Adjustments!$A$8:$A$207,Settings!$A$17))</f>
        <v>0</v>
      </c>
      <c r="Q284" s="17" t="n">
        <f aca="false">IF($B284="",0,SUMIFS('Zoho Dump'!$X$8:$X$3007,'Zoho Dump'!$N$8:$N$3007,$B284,'Zoho Dump'!$P$8:$P$3007,Settings!$A$18)+SUMIFS(Adjustments!$K$8:$K$207,Adjustments!$B$8:$B$207,$B284,Adjustments!$A$8:$A$207,Settings!$A$18))</f>
        <v>0</v>
      </c>
      <c r="R284" s="30" t="str">
        <f aca="false">IF(G284&gt;0,G284+A284/10000000,"")</f>
        <v/>
      </c>
    </row>
    <row r="285" customFormat="false" ht="15" hidden="false" customHeight="false" outlineLevel="0" collapsed="false">
      <c r="A285" s="9" t="n">
        <v>281</v>
      </c>
      <c r="B285" s="9" t="str">
        <f aca="false">IFERROR(INDEX('Zoho Dump'!$N$8:$N$3007,MATCH(A285,'Zoho Dump'!$AB$8:$AB$3007,0)),"")</f>
        <v/>
      </c>
      <c r="C285" s="17" t="n">
        <f aca="false">IF($B285="",0,SUMIFS('Zoho Dump'!$Q$8:$Q$3007,'Zoho Dump'!$N$8:$N$3007,$B285,'Zoho Dump'!$T$8:$T$3007,"Delivered",'Zoho Dump'!$R$8:$R$3007,"&gt;="&amp;Settings!$B$4))</f>
        <v>0</v>
      </c>
      <c r="D285" s="17" t="n">
        <f aca="false">IF($B285="",0,SUMIFS('Zoho Dump'!$X$8:$X$3007,'Zoho Dump'!$N$8:$N$3007,$B285,'Zoho Dump'!$T$8:$T$3007,"Backlog")+SUMIFS(Adjustments!$K$8:$K$207,Adjustments!$B$8:$B$207,$B285,Adjustments!$H$8:$H$207,"Backlog"))</f>
        <v>0</v>
      </c>
      <c r="E285" s="17" t="n">
        <f aca="false">IF($B285="",0,SUMIFS('Zoho Dump'!$Y$8:$Y$3007,'Zoho Dump'!$N$8:$N$3007,$B285,'Zoho Dump'!$T$8:$T$3007,"Pipeline")+SUMIFS(Adjustments!$L$8:$L$207,Adjustments!$B$8:$B$207,$B285,Adjustments!$H$8:$H$207,"Pipeline")+SUMIFS('Zoho Dump'!$Y$8:$Y$3007,'Zoho Dump'!$N$8:$N$3007,$B285,'Zoho Dump'!$T$8:$T$3007,"Overdue")+SUMIFS(Adjustments!$L$8:$L$207,Adjustments!$B$8:$B$207,$B285,Adjustments!$H$8:$H$207,"Overdue"))</f>
        <v>0</v>
      </c>
      <c r="F285" s="17" t="n">
        <f aca="false">IF($B285="",0,SUMIFS('Zoho Dump'!$X$8:$X$3007,'Zoho Dump'!$N$8:$N$3007,$B285,'Zoho Dump'!$T$8:$T$3007,"Pipeline")+SUMIFS(Adjustments!$K$8:$K$207,Adjustments!$B$8:$B$207,$B285,Adjustments!$H$8:$H$207,"Pipeline")+SUMIFS('Zoho Dump'!$X$8:$X$3007,'Zoho Dump'!$N$8:$N$3007,$B285,'Zoho Dump'!$T$8:$T$3007,"Overdue")+SUMIFS(Adjustments!$K$8:$K$207,Adjustments!$B$8:$B$207,$B285,Adjustments!$H$8:$H$207,"Overdue"))</f>
        <v>0</v>
      </c>
      <c r="G285" s="17" t="n">
        <f aca="false">D285+F285</f>
        <v>0</v>
      </c>
      <c r="H285" s="18" t="n">
        <f aca="false">IF(SUM($G$5:$G$404)=0,0,G285/SUM($G$5:$G$404))</f>
        <v>0</v>
      </c>
      <c r="I285" s="17" t="n">
        <f aca="false">IF($B285="",0,SUMIFS('Zoho Dump'!$Q$8:$Q$3007,'Zoho Dump'!$N$8:$N$3007,$B285,'Zoho Dump'!$T$8:$T$3007,"Lost",'Zoho Dump'!$R$8:$R$3007,"&gt;="&amp;Settings!$B$4))</f>
        <v>0</v>
      </c>
      <c r="J285" s="9" t="str">
        <f aca="false">IF($B285="","",IF(COUNTIF(Dashboard!$C$13:$C$22,$B285)&gt;0,"Yes",""))</f>
        <v/>
      </c>
      <c r="K285" s="17" t="n">
        <f aca="false">IF($B285="",0,SUMIFS('Zoho Dump'!$X$8:$X$3007,'Zoho Dump'!$N$8:$N$3007,$B285,'Zoho Dump'!$P$8:$P$3007,Settings!$A$12)+SUMIFS(Adjustments!$K$8:$K$207,Adjustments!$B$8:$B$207,$B285,Adjustments!$A$8:$A$207,Settings!$A$12))</f>
        <v>0</v>
      </c>
      <c r="L285" s="17" t="n">
        <f aca="false">IF($B285="",0,SUMIFS('Zoho Dump'!$X$8:$X$3007,'Zoho Dump'!$N$8:$N$3007,$B285,'Zoho Dump'!$P$8:$P$3007,Settings!$A$13)+SUMIFS(Adjustments!$K$8:$K$207,Adjustments!$B$8:$B$207,$B285,Adjustments!$A$8:$A$207,Settings!$A$13))</f>
        <v>0</v>
      </c>
      <c r="M285" s="17" t="n">
        <f aca="false">IF($B285="",0,SUMIFS('Zoho Dump'!$X$8:$X$3007,'Zoho Dump'!$N$8:$N$3007,$B285,'Zoho Dump'!$P$8:$P$3007,Settings!$A$14)+SUMIFS(Adjustments!$K$8:$K$207,Adjustments!$B$8:$B$207,$B285,Adjustments!$A$8:$A$207,Settings!$A$14))</f>
        <v>0</v>
      </c>
      <c r="N285" s="17" t="n">
        <f aca="false">IF($B285="",0,SUMIFS('Zoho Dump'!$X$8:$X$3007,'Zoho Dump'!$N$8:$N$3007,$B285,'Zoho Dump'!$P$8:$P$3007,Settings!$A$15)+SUMIFS(Adjustments!$K$8:$K$207,Adjustments!$B$8:$B$207,$B285,Adjustments!$A$8:$A$207,Settings!$A$15))</f>
        <v>0</v>
      </c>
      <c r="O285" s="17" t="n">
        <f aca="false">IF($B285="",0,SUMIFS('Zoho Dump'!$X$8:$X$3007,'Zoho Dump'!$N$8:$N$3007,$B285,'Zoho Dump'!$P$8:$P$3007,Settings!$A$16)+SUMIFS(Adjustments!$K$8:$K$207,Adjustments!$B$8:$B$207,$B285,Adjustments!$A$8:$A$207,Settings!$A$16))</f>
        <v>0</v>
      </c>
      <c r="P285" s="17" t="n">
        <f aca="false">IF($B285="",0,SUMIFS('Zoho Dump'!$X$8:$X$3007,'Zoho Dump'!$N$8:$N$3007,$B285,'Zoho Dump'!$P$8:$P$3007,Settings!$A$17)+SUMIFS(Adjustments!$K$8:$K$207,Adjustments!$B$8:$B$207,$B285,Adjustments!$A$8:$A$207,Settings!$A$17))</f>
        <v>0</v>
      </c>
      <c r="Q285" s="17" t="n">
        <f aca="false">IF($B285="",0,SUMIFS('Zoho Dump'!$X$8:$X$3007,'Zoho Dump'!$N$8:$N$3007,$B285,'Zoho Dump'!$P$8:$P$3007,Settings!$A$18)+SUMIFS(Adjustments!$K$8:$K$207,Adjustments!$B$8:$B$207,$B285,Adjustments!$A$8:$A$207,Settings!$A$18))</f>
        <v>0</v>
      </c>
      <c r="R285" s="30" t="str">
        <f aca="false">IF(G285&gt;0,G285+A285/10000000,"")</f>
        <v/>
      </c>
    </row>
    <row r="286" customFormat="false" ht="15" hidden="false" customHeight="false" outlineLevel="0" collapsed="false">
      <c r="A286" s="9" t="n">
        <v>282</v>
      </c>
      <c r="B286" s="9" t="str">
        <f aca="false">IFERROR(INDEX('Zoho Dump'!$N$8:$N$3007,MATCH(A286,'Zoho Dump'!$AB$8:$AB$3007,0)),"")</f>
        <v/>
      </c>
      <c r="C286" s="17" t="n">
        <f aca="false">IF($B286="",0,SUMIFS('Zoho Dump'!$Q$8:$Q$3007,'Zoho Dump'!$N$8:$N$3007,$B286,'Zoho Dump'!$T$8:$T$3007,"Delivered",'Zoho Dump'!$R$8:$R$3007,"&gt;="&amp;Settings!$B$4))</f>
        <v>0</v>
      </c>
      <c r="D286" s="17" t="n">
        <f aca="false">IF($B286="",0,SUMIFS('Zoho Dump'!$X$8:$X$3007,'Zoho Dump'!$N$8:$N$3007,$B286,'Zoho Dump'!$T$8:$T$3007,"Backlog")+SUMIFS(Adjustments!$K$8:$K$207,Adjustments!$B$8:$B$207,$B286,Adjustments!$H$8:$H$207,"Backlog"))</f>
        <v>0</v>
      </c>
      <c r="E286" s="17" t="n">
        <f aca="false">IF($B286="",0,SUMIFS('Zoho Dump'!$Y$8:$Y$3007,'Zoho Dump'!$N$8:$N$3007,$B286,'Zoho Dump'!$T$8:$T$3007,"Pipeline")+SUMIFS(Adjustments!$L$8:$L$207,Adjustments!$B$8:$B$207,$B286,Adjustments!$H$8:$H$207,"Pipeline")+SUMIFS('Zoho Dump'!$Y$8:$Y$3007,'Zoho Dump'!$N$8:$N$3007,$B286,'Zoho Dump'!$T$8:$T$3007,"Overdue")+SUMIFS(Adjustments!$L$8:$L$207,Adjustments!$B$8:$B$207,$B286,Adjustments!$H$8:$H$207,"Overdue"))</f>
        <v>0</v>
      </c>
      <c r="F286" s="17" t="n">
        <f aca="false">IF($B286="",0,SUMIFS('Zoho Dump'!$X$8:$X$3007,'Zoho Dump'!$N$8:$N$3007,$B286,'Zoho Dump'!$T$8:$T$3007,"Pipeline")+SUMIFS(Adjustments!$K$8:$K$207,Adjustments!$B$8:$B$207,$B286,Adjustments!$H$8:$H$207,"Pipeline")+SUMIFS('Zoho Dump'!$X$8:$X$3007,'Zoho Dump'!$N$8:$N$3007,$B286,'Zoho Dump'!$T$8:$T$3007,"Overdue")+SUMIFS(Adjustments!$K$8:$K$207,Adjustments!$B$8:$B$207,$B286,Adjustments!$H$8:$H$207,"Overdue"))</f>
        <v>0</v>
      </c>
      <c r="G286" s="17" t="n">
        <f aca="false">D286+F286</f>
        <v>0</v>
      </c>
      <c r="H286" s="18" t="n">
        <f aca="false">IF(SUM($G$5:$G$404)=0,0,G286/SUM($G$5:$G$404))</f>
        <v>0</v>
      </c>
      <c r="I286" s="17" t="n">
        <f aca="false">IF($B286="",0,SUMIFS('Zoho Dump'!$Q$8:$Q$3007,'Zoho Dump'!$N$8:$N$3007,$B286,'Zoho Dump'!$T$8:$T$3007,"Lost",'Zoho Dump'!$R$8:$R$3007,"&gt;="&amp;Settings!$B$4))</f>
        <v>0</v>
      </c>
      <c r="J286" s="9" t="str">
        <f aca="false">IF($B286="","",IF(COUNTIF(Dashboard!$C$13:$C$22,$B286)&gt;0,"Yes",""))</f>
        <v/>
      </c>
      <c r="K286" s="17" t="n">
        <f aca="false">IF($B286="",0,SUMIFS('Zoho Dump'!$X$8:$X$3007,'Zoho Dump'!$N$8:$N$3007,$B286,'Zoho Dump'!$P$8:$P$3007,Settings!$A$12)+SUMIFS(Adjustments!$K$8:$K$207,Adjustments!$B$8:$B$207,$B286,Adjustments!$A$8:$A$207,Settings!$A$12))</f>
        <v>0</v>
      </c>
      <c r="L286" s="17" t="n">
        <f aca="false">IF($B286="",0,SUMIFS('Zoho Dump'!$X$8:$X$3007,'Zoho Dump'!$N$8:$N$3007,$B286,'Zoho Dump'!$P$8:$P$3007,Settings!$A$13)+SUMIFS(Adjustments!$K$8:$K$207,Adjustments!$B$8:$B$207,$B286,Adjustments!$A$8:$A$207,Settings!$A$13))</f>
        <v>0</v>
      </c>
      <c r="M286" s="17" t="n">
        <f aca="false">IF($B286="",0,SUMIFS('Zoho Dump'!$X$8:$X$3007,'Zoho Dump'!$N$8:$N$3007,$B286,'Zoho Dump'!$P$8:$P$3007,Settings!$A$14)+SUMIFS(Adjustments!$K$8:$K$207,Adjustments!$B$8:$B$207,$B286,Adjustments!$A$8:$A$207,Settings!$A$14))</f>
        <v>0</v>
      </c>
      <c r="N286" s="17" t="n">
        <f aca="false">IF($B286="",0,SUMIFS('Zoho Dump'!$X$8:$X$3007,'Zoho Dump'!$N$8:$N$3007,$B286,'Zoho Dump'!$P$8:$P$3007,Settings!$A$15)+SUMIFS(Adjustments!$K$8:$K$207,Adjustments!$B$8:$B$207,$B286,Adjustments!$A$8:$A$207,Settings!$A$15))</f>
        <v>0</v>
      </c>
      <c r="O286" s="17" t="n">
        <f aca="false">IF($B286="",0,SUMIFS('Zoho Dump'!$X$8:$X$3007,'Zoho Dump'!$N$8:$N$3007,$B286,'Zoho Dump'!$P$8:$P$3007,Settings!$A$16)+SUMIFS(Adjustments!$K$8:$K$207,Adjustments!$B$8:$B$207,$B286,Adjustments!$A$8:$A$207,Settings!$A$16))</f>
        <v>0</v>
      </c>
      <c r="P286" s="17" t="n">
        <f aca="false">IF($B286="",0,SUMIFS('Zoho Dump'!$X$8:$X$3007,'Zoho Dump'!$N$8:$N$3007,$B286,'Zoho Dump'!$P$8:$P$3007,Settings!$A$17)+SUMIFS(Adjustments!$K$8:$K$207,Adjustments!$B$8:$B$207,$B286,Adjustments!$A$8:$A$207,Settings!$A$17))</f>
        <v>0</v>
      </c>
      <c r="Q286" s="17" t="n">
        <f aca="false">IF($B286="",0,SUMIFS('Zoho Dump'!$X$8:$X$3007,'Zoho Dump'!$N$8:$N$3007,$B286,'Zoho Dump'!$P$8:$P$3007,Settings!$A$18)+SUMIFS(Adjustments!$K$8:$K$207,Adjustments!$B$8:$B$207,$B286,Adjustments!$A$8:$A$207,Settings!$A$18))</f>
        <v>0</v>
      </c>
      <c r="R286" s="30" t="str">
        <f aca="false">IF(G286&gt;0,G286+A286/10000000,"")</f>
        <v/>
      </c>
    </row>
    <row r="287" customFormat="false" ht="15" hidden="false" customHeight="false" outlineLevel="0" collapsed="false">
      <c r="A287" s="9" t="n">
        <v>283</v>
      </c>
      <c r="B287" s="9" t="str">
        <f aca="false">IFERROR(INDEX('Zoho Dump'!$N$8:$N$3007,MATCH(A287,'Zoho Dump'!$AB$8:$AB$3007,0)),"")</f>
        <v/>
      </c>
      <c r="C287" s="17" t="n">
        <f aca="false">IF($B287="",0,SUMIFS('Zoho Dump'!$Q$8:$Q$3007,'Zoho Dump'!$N$8:$N$3007,$B287,'Zoho Dump'!$T$8:$T$3007,"Delivered",'Zoho Dump'!$R$8:$R$3007,"&gt;="&amp;Settings!$B$4))</f>
        <v>0</v>
      </c>
      <c r="D287" s="17" t="n">
        <f aca="false">IF($B287="",0,SUMIFS('Zoho Dump'!$X$8:$X$3007,'Zoho Dump'!$N$8:$N$3007,$B287,'Zoho Dump'!$T$8:$T$3007,"Backlog")+SUMIFS(Adjustments!$K$8:$K$207,Adjustments!$B$8:$B$207,$B287,Adjustments!$H$8:$H$207,"Backlog"))</f>
        <v>0</v>
      </c>
      <c r="E287" s="17" t="n">
        <f aca="false">IF($B287="",0,SUMIFS('Zoho Dump'!$Y$8:$Y$3007,'Zoho Dump'!$N$8:$N$3007,$B287,'Zoho Dump'!$T$8:$T$3007,"Pipeline")+SUMIFS(Adjustments!$L$8:$L$207,Adjustments!$B$8:$B$207,$B287,Adjustments!$H$8:$H$207,"Pipeline")+SUMIFS('Zoho Dump'!$Y$8:$Y$3007,'Zoho Dump'!$N$8:$N$3007,$B287,'Zoho Dump'!$T$8:$T$3007,"Overdue")+SUMIFS(Adjustments!$L$8:$L$207,Adjustments!$B$8:$B$207,$B287,Adjustments!$H$8:$H$207,"Overdue"))</f>
        <v>0</v>
      </c>
      <c r="F287" s="17" t="n">
        <f aca="false">IF($B287="",0,SUMIFS('Zoho Dump'!$X$8:$X$3007,'Zoho Dump'!$N$8:$N$3007,$B287,'Zoho Dump'!$T$8:$T$3007,"Pipeline")+SUMIFS(Adjustments!$K$8:$K$207,Adjustments!$B$8:$B$207,$B287,Adjustments!$H$8:$H$207,"Pipeline")+SUMIFS('Zoho Dump'!$X$8:$X$3007,'Zoho Dump'!$N$8:$N$3007,$B287,'Zoho Dump'!$T$8:$T$3007,"Overdue")+SUMIFS(Adjustments!$K$8:$K$207,Adjustments!$B$8:$B$207,$B287,Adjustments!$H$8:$H$207,"Overdue"))</f>
        <v>0</v>
      </c>
      <c r="G287" s="17" t="n">
        <f aca="false">D287+F287</f>
        <v>0</v>
      </c>
      <c r="H287" s="18" t="n">
        <f aca="false">IF(SUM($G$5:$G$404)=0,0,G287/SUM($G$5:$G$404))</f>
        <v>0</v>
      </c>
      <c r="I287" s="17" t="n">
        <f aca="false">IF($B287="",0,SUMIFS('Zoho Dump'!$Q$8:$Q$3007,'Zoho Dump'!$N$8:$N$3007,$B287,'Zoho Dump'!$T$8:$T$3007,"Lost",'Zoho Dump'!$R$8:$R$3007,"&gt;="&amp;Settings!$B$4))</f>
        <v>0</v>
      </c>
      <c r="J287" s="9" t="str">
        <f aca="false">IF($B287="","",IF(COUNTIF(Dashboard!$C$13:$C$22,$B287)&gt;0,"Yes",""))</f>
        <v/>
      </c>
      <c r="K287" s="17" t="n">
        <f aca="false">IF($B287="",0,SUMIFS('Zoho Dump'!$X$8:$X$3007,'Zoho Dump'!$N$8:$N$3007,$B287,'Zoho Dump'!$P$8:$P$3007,Settings!$A$12)+SUMIFS(Adjustments!$K$8:$K$207,Adjustments!$B$8:$B$207,$B287,Adjustments!$A$8:$A$207,Settings!$A$12))</f>
        <v>0</v>
      </c>
      <c r="L287" s="17" t="n">
        <f aca="false">IF($B287="",0,SUMIFS('Zoho Dump'!$X$8:$X$3007,'Zoho Dump'!$N$8:$N$3007,$B287,'Zoho Dump'!$P$8:$P$3007,Settings!$A$13)+SUMIFS(Adjustments!$K$8:$K$207,Adjustments!$B$8:$B$207,$B287,Adjustments!$A$8:$A$207,Settings!$A$13))</f>
        <v>0</v>
      </c>
      <c r="M287" s="17" t="n">
        <f aca="false">IF($B287="",0,SUMIFS('Zoho Dump'!$X$8:$X$3007,'Zoho Dump'!$N$8:$N$3007,$B287,'Zoho Dump'!$P$8:$P$3007,Settings!$A$14)+SUMIFS(Adjustments!$K$8:$K$207,Adjustments!$B$8:$B$207,$B287,Adjustments!$A$8:$A$207,Settings!$A$14))</f>
        <v>0</v>
      </c>
      <c r="N287" s="17" t="n">
        <f aca="false">IF($B287="",0,SUMIFS('Zoho Dump'!$X$8:$X$3007,'Zoho Dump'!$N$8:$N$3007,$B287,'Zoho Dump'!$P$8:$P$3007,Settings!$A$15)+SUMIFS(Adjustments!$K$8:$K$207,Adjustments!$B$8:$B$207,$B287,Adjustments!$A$8:$A$207,Settings!$A$15))</f>
        <v>0</v>
      </c>
      <c r="O287" s="17" t="n">
        <f aca="false">IF($B287="",0,SUMIFS('Zoho Dump'!$X$8:$X$3007,'Zoho Dump'!$N$8:$N$3007,$B287,'Zoho Dump'!$P$8:$P$3007,Settings!$A$16)+SUMIFS(Adjustments!$K$8:$K$207,Adjustments!$B$8:$B$207,$B287,Adjustments!$A$8:$A$207,Settings!$A$16))</f>
        <v>0</v>
      </c>
      <c r="P287" s="17" t="n">
        <f aca="false">IF($B287="",0,SUMIFS('Zoho Dump'!$X$8:$X$3007,'Zoho Dump'!$N$8:$N$3007,$B287,'Zoho Dump'!$P$8:$P$3007,Settings!$A$17)+SUMIFS(Adjustments!$K$8:$K$207,Adjustments!$B$8:$B$207,$B287,Adjustments!$A$8:$A$207,Settings!$A$17))</f>
        <v>0</v>
      </c>
      <c r="Q287" s="17" t="n">
        <f aca="false">IF($B287="",0,SUMIFS('Zoho Dump'!$X$8:$X$3007,'Zoho Dump'!$N$8:$N$3007,$B287,'Zoho Dump'!$P$8:$P$3007,Settings!$A$18)+SUMIFS(Adjustments!$K$8:$K$207,Adjustments!$B$8:$B$207,$B287,Adjustments!$A$8:$A$207,Settings!$A$18))</f>
        <v>0</v>
      </c>
      <c r="R287" s="30" t="str">
        <f aca="false">IF(G287&gt;0,G287+A287/10000000,"")</f>
        <v/>
      </c>
    </row>
    <row r="288" customFormat="false" ht="15" hidden="false" customHeight="false" outlineLevel="0" collapsed="false">
      <c r="A288" s="9" t="n">
        <v>284</v>
      </c>
      <c r="B288" s="9" t="str">
        <f aca="false">IFERROR(INDEX('Zoho Dump'!$N$8:$N$3007,MATCH(A288,'Zoho Dump'!$AB$8:$AB$3007,0)),"")</f>
        <v/>
      </c>
      <c r="C288" s="17" t="n">
        <f aca="false">IF($B288="",0,SUMIFS('Zoho Dump'!$Q$8:$Q$3007,'Zoho Dump'!$N$8:$N$3007,$B288,'Zoho Dump'!$T$8:$T$3007,"Delivered",'Zoho Dump'!$R$8:$R$3007,"&gt;="&amp;Settings!$B$4))</f>
        <v>0</v>
      </c>
      <c r="D288" s="17" t="n">
        <f aca="false">IF($B288="",0,SUMIFS('Zoho Dump'!$X$8:$X$3007,'Zoho Dump'!$N$8:$N$3007,$B288,'Zoho Dump'!$T$8:$T$3007,"Backlog")+SUMIFS(Adjustments!$K$8:$K$207,Adjustments!$B$8:$B$207,$B288,Adjustments!$H$8:$H$207,"Backlog"))</f>
        <v>0</v>
      </c>
      <c r="E288" s="17" t="n">
        <f aca="false">IF($B288="",0,SUMIFS('Zoho Dump'!$Y$8:$Y$3007,'Zoho Dump'!$N$8:$N$3007,$B288,'Zoho Dump'!$T$8:$T$3007,"Pipeline")+SUMIFS(Adjustments!$L$8:$L$207,Adjustments!$B$8:$B$207,$B288,Adjustments!$H$8:$H$207,"Pipeline")+SUMIFS('Zoho Dump'!$Y$8:$Y$3007,'Zoho Dump'!$N$8:$N$3007,$B288,'Zoho Dump'!$T$8:$T$3007,"Overdue")+SUMIFS(Adjustments!$L$8:$L$207,Adjustments!$B$8:$B$207,$B288,Adjustments!$H$8:$H$207,"Overdue"))</f>
        <v>0</v>
      </c>
      <c r="F288" s="17" t="n">
        <f aca="false">IF($B288="",0,SUMIFS('Zoho Dump'!$X$8:$X$3007,'Zoho Dump'!$N$8:$N$3007,$B288,'Zoho Dump'!$T$8:$T$3007,"Pipeline")+SUMIFS(Adjustments!$K$8:$K$207,Adjustments!$B$8:$B$207,$B288,Adjustments!$H$8:$H$207,"Pipeline")+SUMIFS('Zoho Dump'!$X$8:$X$3007,'Zoho Dump'!$N$8:$N$3007,$B288,'Zoho Dump'!$T$8:$T$3007,"Overdue")+SUMIFS(Adjustments!$K$8:$K$207,Adjustments!$B$8:$B$207,$B288,Adjustments!$H$8:$H$207,"Overdue"))</f>
        <v>0</v>
      </c>
      <c r="G288" s="17" t="n">
        <f aca="false">D288+F288</f>
        <v>0</v>
      </c>
      <c r="H288" s="18" t="n">
        <f aca="false">IF(SUM($G$5:$G$404)=0,0,G288/SUM($G$5:$G$404))</f>
        <v>0</v>
      </c>
      <c r="I288" s="17" t="n">
        <f aca="false">IF($B288="",0,SUMIFS('Zoho Dump'!$Q$8:$Q$3007,'Zoho Dump'!$N$8:$N$3007,$B288,'Zoho Dump'!$T$8:$T$3007,"Lost",'Zoho Dump'!$R$8:$R$3007,"&gt;="&amp;Settings!$B$4))</f>
        <v>0</v>
      </c>
      <c r="J288" s="9" t="str">
        <f aca="false">IF($B288="","",IF(COUNTIF(Dashboard!$C$13:$C$22,$B288)&gt;0,"Yes",""))</f>
        <v/>
      </c>
      <c r="K288" s="17" t="n">
        <f aca="false">IF($B288="",0,SUMIFS('Zoho Dump'!$X$8:$X$3007,'Zoho Dump'!$N$8:$N$3007,$B288,'Zoho Dump'!$P$8:$P$3007,Settings!$A$12)+SUMIFS(Adjustments!$K$8:$K$207,Adjustments!$B$8:$B$207,$B288,Adjustments!$A$8:$A$207,Settings!$A$12))</f>
        <v>0</v>
      </c>
      <c r="L288" s="17" t="n">
        <f aca="false">IF($B288="",0,SUMIFS('Zoho Dump'!$X$8:$X$3007,'Zoho Dump'!$N$8:$N$3007,$B288,'Zoho Dump'!$P$8:$P$3007,Settings!$A$13)+SUMIFS(Adjustments!$K$8:$K$207,Adjustments!$B$8:$B$207,$B288,Adjustments!$A$8:$A$207,Settings!$A$13))</f>
        <v>0</v>
      </c>
      <c r="M288" s="17" t="n">
        <f aca="false">IF($B288="",0,SUMIFS('Zoho Dump'!$X$8:$X$3007,'Zoho Dump'!$N$8:$N$3007,$B288,'Zoho Dump'!$P$8:$P$3007,Settings!$A$14)+SUMIFS(Adjustments!$K$8:$K$207,Adjustments!$B$8:$B$207,$B288,Adjustments!$A$8:$A$207,Settings!$A$14))</f>
        <v>0</v>
      </c>
      <c r="N288" s="17" t="n">
        <f aca="false">IF($B288="",0,SUMIFS('Zoho Dump'!$X$8:$X$3007,'Zoho Dump'!$N$8:$N$3007,$B288,'Zoho Dump'!$P$8:$P$3007,Settings!$A$15)+SUMIFS(Adjustments!$K$8:$K$207,Adjustments!$B$8:$B$207,$B288,Adjustments!$A$8:$A$207,Settings!$A$15))</f>
        <v>0</v>
      </c>
      <c r="O288" s="17" t="n">
        <f aca="false">IF($B288="",0,SUMIFS('Zoho Dump'!$X$8:$X$3007,'Zoho Dump'!$N$8:$N$3007,$B288,'Zoho Dump'!$P$8:$P$3007,Settings!$A$16)+SUMIFS(Adjustments!$K$8:$K$207,Adjustments!$B$8:$B$207,$B288,Adjustments!$A$8:$A$207,Settings!$A$16))</f>
        <v>0</v>
      </c>
      <c r="P288" s="17" t="n">
        <f aca="false">IF($B288="",0,SUMIFS('Zoho Dump'!$X$8:$X$3007,'Zoho Dump'!$N$8:$N$3007,$B288,'Zoho Dump'!$P$8:$P$3007,Settings!$A$17)+SUMIFS(Adjustments!$K$8:$K$207,Adjustments!$B$8:$B$207,$B288,Adjustments!$A$8:$A$207,Settings!$A$17))</f>
        <v>0</v>
      </c>
      <c r="Q288" s="17" t="n">
        <f aca="false">IF($B288="",0,SUMIFS('Zoho Dump'!$X$8:$X$3007,'Zoho Dump'!$N$8:$N$3007,$B288,'Zoho Dump'!$P$8:$P$3007,Settings!$A$18)+SUMIFS(Adjustments!$K$8:$K$207,Adjustments!$B$8:$B$207,$B288,Adjustments!$A$8:$A$207,Settings!$A$18))</f>
        <v>0</v>
      </c>
      <c r="R288" s="30" t="str">
        <f aca="false">IF(G288&gt;0,G288+A288/10000000,"")</f>
        <v/>
      </c>
    </row>
    <row r="289" customFormat="false" ht="15" hidden="false" customHeight="false" outlineLevel="0" collapsed="false">
      <c r="A289" s="9" t="n">
        <v>285</v>
      </c>
      <c r="B289" s="9" t="str">
        <f aca="false">IFERROR(INDEX('Zoho Dump'!$N$8:$N$3007,MATCH(A289,'Zoho Dump'!$AB$8:$AB$3007,0)),"")</f>
        <v/>
      </c>
      <c r="C289" s="17" t="n">
        <f aca="false">IF($B289="",0,SUMIFS('Zoho Dump'!$Q$8:$Q$3007,'Zoho Dump'!$N$8:$N$3007,$B289,'Zoho Dump'!$T$8:$T$3007,"Delivered",'Zoho Dump'!$R$8:$R$3007,"&gt;="&amp;Settings!$B$4))</f>
        <v>0</v>
      </c>
      <c r="D289" s="17" t="n">
        <f aca="false">IF($B289="",0,SUMIFS('Zoho Dump'!$X$8:$X$3007,'Zoho Dump'!$N$8:$N$3007,$B289,'Zoho Dump'!$T$8:$T$3007,"Backlog")+SUMIFS(Adjustments!$K$8:$K$207,Adjustments!$B$8:$B$207,$B289,Adjustments!$H$8:$H$207,"Backlog"))</f>
        <v>0</v>
      </c>
      <c r="E289" s="17" t="n">
        <f aca="false">IF($B289="",0,SUMIFS('Zoho Dump'!$Y$8:$Y$3007,'Zoho Dump'!$N$8:$N$3007,$B289,'Zoho Dump'!$T$8:$T$3007,"Pipeline")+SUMIFS(Adjustments!$L$8:$L$207,Adjustments!$B$8:$B$207,$B289,Adjustments!$H$8:$H$207,"Pipeline")+SUMIFS('Zoho Dump'!$Y$8:$Y$3007,'Zoho Dump'!$N$8:$N$3007,$B289,'Zoho Dump'!$T$8:$T$3007,"Overdue")+SUMIFS(Adjustments!$L$8:$L$207,Adjustments!$B$8:$B$207,$B289,Adjustments!$H$8:$H$207,"Overdue"))</f>
        <v>0</v>
      </c>
      <c r="F289" s="17" t="n">
        <f aca="false">IF($B289="",0,SUMIFS('Zoho Dump'!$X$8:$X$3007,'Zoho Dump'!$N$8:$N$3007,$B289,'Zoho Dump'!$T$8:$T$3007,"Pipeline")+SUMIFS(Adjustments!$K$8:$K$207,Adjustments!$B$8:$B$207,$B289,Adjustments!$H$8:$H$207,"Pipeline")+SUMIFS('Zoho Dump'!$X$8:$X$3007,'Zoho Dump'!$N$8:$N$3007,$B289,'Zoho Dump'!$T$8:$T$3007,"Overdue")+SUMIFS(Adjustments!$K$8:$K$207,Adjustments!$B$8:$B$207,$B289,Adjustments!$H$8:$H$207,"Overdue"))</f>
        <v>0</v>
      </c>
      <c r="G289" s="17" t="n">
        <f aca="false">D289+F289</f>
        <v>0</v>
      </c>
      <c r="H289" s="18" t="n">
        <f aca="false">IF(SUM($G$5:$G$404)=0,0,G289/SUM($G$5:$G$404))</f>
        <v>0</v>
      </c>
      <c r="I289" s="17" t="n">
        <f aca="false">IF($B289="",0,SUMIFS('Zoho Dump'!$Q$8:$Q$3007,'Zoho Dump'!$N$8:$N$3007,$B289,'Zoho Dump'!$T$8:$T$3007,"Lost",'Zoho Dump'!$R$8:$R$3007,"&gt;="&amp;Settings!$B$4))</f>
        <v>0</v>
      </c>
      <c r="J289" s="9" t="str">
        <f aca="false">IF($B289="","",IF(COUNTIF(Dashboard!$C$13:$C$22,$B289)&gt;0,"Yes",""))</f>
        <v/>
      </c>
      <c r="K289" s="17" t="n">
        <f aca="false">IF($B289="",0,SUMIFS('Zoho Dump'!$X$8:$X$3007,'Zoho Dump'!$N$8:$N$3007,$B289,'Zoho Dump'!$P$8:$P$3007,Settings!$A$12)+SUMIFS(Adjustments!$K$8:$K$207,Adjustments!$B$8:$B$207,$B289,Adjustments!$A$8:$A$207,Settings!$A$12))</f>
        <v>0</v>
      </c>
      <c r="L289" s="17" t="n">
        <f aca="false">IF($B289="",0,SUMIFS('Zoho Dump'!$X$8:$X$3007,'Zoho Dump'!$N$8:$N$3007,$B289,'Zoho Dump'!$P$8:$P$3007,Settings!$A$13)+SUMIFS(Adjustments!$K$8:$K$207,Adjustments!$B$8:$B$207,$B289,Adjustments!$A$8:$A$207,Settings!$A$13))</f>
        <v>0</v>
      </c>
      <c r="M289" s="17" t="n">
        <f aca="false">IF($B289="",0,SUMIFS('Zoho Dump'!$X$8:$X$3007,'Zoho Dump'!$N$8:$N$3007,$B289,'Zoho Dump'!$P$8:$P$3007,Settings!$A$14)+SUMIFS(Adjustments!$K$8:$K$207,Adjustments!$B$8:$B$207,$B289,Adjustments!$A$8:$A$207,Settings!$A$14))</f>
        <v>0</v>
      </c>
      <c r="N289" s="17" t="n">
        <f aca="false">IF($B289="",0,SUMIFS('Zoho Dump'!$X$8:$X$3007,'Zoho Dump'!$N$8:$N$3007,$B289,'Zoho Dump'!$P$8:$P$3007,Settings!$A$15)+SUMIFS(Adjustments!$K$8:$K$207,Adjustments!$B$8:$B$207,$B289,Adjustments!$A$8:$A$207,Settings!$A$15))</f>
        <v>0</v>
      </c>
      <c r="O289" s="17" t="n">
        <f aca="false">IF($B289="",0,SUMIFS('Zoho Dump'!$X$8:$X$3007,'Zoho Dump'!$N$8:$N$3007,$B289,'Zoho Dump'!$P$8:$P$3007,Settings!$A$16)+SUMIFS(Adjustments!$K$8:$K$207,Adjustments!$B$8:$B$207,$B289,Adjustments!$A$8:$A$207,Settings!$A$16))</f>
        <v>0</v>
      </c>
      <c r="P289" s="17" t="n">
        <f aca="false">IF($B289="",0,SUMIFS('Zoho Dump'!$X$8:$X$3007,'Zoho Dump'!$N$8:$N$3007,$B289,'Zoho Dump'!$P$8:$P$3007,Settings!$A$17)+SUMIFS(Adjustments!$K$8:$K$207,Adjustments!$B$8:$B$207,$B289,Adjustments!$A$8:$A$207,Settings!$A$17))</f>
        <v>0</v>
      </c>
      <c r="Q289" s="17" t="n">
        <f aca="false">IF($B289="",0,SUMIFS('Zoho Dump'!$X$8:$X$3007,'Zoho Dump'!$N$8:$N$3007,$B289,'Zoho Dump'!$P$8:$P$3007,Settings!$A$18)+SUMIFS(Adjustments!$K$8:$K$207,Adjustments!$B$8:$B$207,$B289,Adjustments!$A$8:$A$207,Settings!$A$18))</f>
        <v>0</v>
      </c>
      <c r="R289" s="30" t="str">
        <f aca="false">IF(G289&gt;0,G289+A289/10000000,"")</f>
        <v/>
      </c>
    </row>
    <row r="290" customFormat="false" ht="15" hidden="false" customHeight="false" outlineLevel="0" collapsed="false">
      <c r="A290" s="9" t="n">
        <v>286</v>
      </c>
      <c r="B290" s="9" t="str">
        <f aca="false">IFERROR(INDEX('Zoho Dump'!$N$8:$N$3007,MATCH(A290,'Zoho Dump'!$AB$8:$AB$3007,0)),"")</f>
        <v/>
      </c>
      <c r="C290" s="17" t="n">
        <f aca="false">IF($B290="",0,SUMIFS('Zoho Dump'!$Q$8:$Q$3007,'Zoho Dump'!$N$8:$N$3007,$B290,'Zoho Dump'!$T$8:$T$3007,"Delivered",'Zoho Dump'!$R$8:$R$3007,"&gt;="&amp;Settings!$B$4))</f>
        <v>0</v>
      </c>
      <c r="D290" s="17" t="n">
        <f aca="false">IF($B290="",0,SUMIFS('Zoho Dump'!$X$8:$X$3007,'Zoho Dump'!$N$8:$N$3007,$B290,'Zoho Dump'!$T$8:$T$3007,"Backlog")+SUMIFS(Adjustments!$K$8:$K$207,Adjustments!$B$8:$B$207,$B290,Adjustments!$H$8:$H$207,"Backlog"))</f>
        <v>0</v>
      </c>
      <c r="E290" s="17" t="n">
        <f aca="false">IF($B290="",0,SUMIFS('Zoho Dump'!$Y$8:$Y$3007,'Zoho Dump'!$N$8:$N$3007,$B290,'Zoho Dump'!$T$8:$T$3007,"Pipeline")+SUMIFS(Adjustments!$L$8:$L$207,Adjustments!$B$8:$B$207,$B290,Adjustments!$H$8:$H$207,"Pipeline")+SUMIFS('Zoho Dump'!$Y$8:$Y$3007,'Zoho Dump'!$N$8:$N$3007,$B290,'Zoho Dump'!$T$8:$T$3007,"Overdue")+SUMIFS(Adjustments!$L$8:$L$207,Adjustments!$B$8:$B$207,$B290,Adjustments!$H$8:$H$207,"Overdue"))</f>
        <v>0</v>
      </c>
      <c r="F290" s="17" t="n">
        <f aca="false">IF($B290="",0,SUMIFS('Zoho Dump'!$X$8:$X$3007,'Zoho Dump'!$N$8:$N$3007,$B290,'Zoho Dump'!$T$8:$T$3007,"Pipeline")+SUMIFS(Adjustments!$K$8:$K$207,Adjustments!$B$8:$B$207,$B290,Adjustments!$H$8:$H$207,"Pipeline")+SUMIFS('Zoho Dump'!$X$8:$X$3007,'Zoho Dump'!$N$8:$N$3007,$B290,'Zoho Dump'!$T$8:$T$3007,"Overdue")+SUMIFS(Adjustments!$K$8:$K$207,Adjustments!$B$8:$B$207,$B290,Adjustments!$H$8:$H$207,"Overdue"))</f>
        <v>0</v>
      </c>
      <c r="G290" s="17" t="n">
        <f aca="false">D290+F290</f>
        <v>0</v>
      </c>
      <c r="H290" s="18" t="n">
        <f aca="false">IF(SUM($G$5:$G$404)=0,0,G290/SUM($G$5:$G$404))</f>
        <v>0</v>
      </c>
      <c r="I290" s="17" t="n">
        <f aca="false">IF($B290="",0,SUMIFS('Zoho Dump'!$Q$8:$Q$3007,'Zoho Dump'!$N$8:$N$3007,$B290,'Zoho Dump'!$T$8:$T$3007,"Lost",'Zoho Dump'!$R$8:$R$3007,"&gt;="&amp;Settings!$B$4))</f>
        <v>0</v>
      </c>
      <c r="J290" s="9" t="str">
        <f aca="false">IF($B290="","",IF(COUNTIF(Dashboard!$C$13:$C$22,$B290)&gt;0,"Yes",""))</f>
        <v/>
      </c>
      <c r="K290" s="17" t="n">
        <f aca="false">IF($B290="",0,SUMIFS('Zoho Dump'!$X$8:$X$3007,'Zoho Dump'!$N$8:$N$3007,$B290,'Zoho Dump'!$P$8:$P$3007,Settings!$A$12)+SUMIFS(Adjustments!$K$8:$K$207,Adjustments!$B$8:$B$207,$B290,Adjustments!$A$8:$A$207,Settings!$A$12))</f>
        <v>0</v>
      </c>
      <c r="L290" s="17" t="n">
        <f aca="false">IF($B290="",0,SUMIFS('Zoho Dump'!$X$8:$X$3007,'Zoho Dump'!$N$8:$N$3007,$B290,'Zoho Dump'!$P$8:$P$3007,Settings!$A$13)+SUMIFS(Adjustments!$K$8:$K$207,Adjustments!$B$8:$B$207,$B290,Adjustments!$A$8:$A$207,Settings!$A$13))</f>
        <v>0</v>
      </c>
      <c r="M290" s="17" t="n">
        <f aca="false">IF($B290="",0,SUMIFS('Zoho Dump'!$X$8:$X$3007,'Zoho Dump'!$N$8:$N$3007,$B290,'Zoho Dump'!$P$8:$P$3007,Settings!$A$14)+SUMIFS(Adjustments!$K$8:$K$207,Adjustments!$B$8:$B$207,$B290,Adjustments!$A$8:$A$207,Settings!$A$14))</f>
        <v>0</v>
      </c>
      <c r="N290" s="17" t="n">
        <f aca="false">IF($B290="",0,SUMIFS('Zoho Dump'!$X$8:$X$3007,'Zoho Dump'!$N$8:$N$3007,$B290,'Zoho Dump'!$P$8:$P$3007,Settings!$A$15)+SUMIFS(Adjustments!$K$8:$K$207,Adjustments!$B$8:$B$207,$B290,Adjustments!$A$8:$A$207,Settings!$A$15))</f>
        <v>0</v>
      </c>
      <c r="O290" s="17" t="n">
        <f aca="false">IF($B290="",0,SUMIFS('Zoho Dump'!$X$8:$X$3007,'Zoho Dump'!$N$8:$N$3007,$B290,'Zoho Dump'!$P$8:$P$3007,Settings!$A$16)+SUMIFS(Adjustments!$K$8:$K$207,Adjustments!$B$8:$B$207,$B290,Adjustments!$A$8:$A$207,Settings!$A$16))</f>
        <v>0</v>
      </c>
      <c r="P290" s="17" t="n">
        <f aca="false">IF($B290="",0,SUMIFS('Zoho Dump'!$X$8:$X$3007,'Zoho Dump'!$N$8:$N$3007,$B290,'Zoho Dump'!$P$8:$P$3007,Settings!$A$17)+SUMIFS(Adjustments!$K$8:$K$207,Adjustments!$B$8:$B$207,$B290,Adjustments!$A$8:$A$207,Settings!$A$17))</f>
        <v>0</v>
      </c>
      <c r="Q290" s="17" t="n">
        <f aca="false">IF($B290="",0,SUMIFS('Zoho Dump'!$X$8:$X$3007,'Zoho Dump'!$N$8:$N$3007,$B290,'Zoho Dump'!$P$8:$P$3007,Settings!$A$18)+SUMIFS(Adjustments!$K$8:$K$207,Adjustments!$B$8:$B$207,$B290,Adjustments!$A$8:$A$207,Settings!$A$18))</f>
        <v>0</v>
      </c>
      <c r="R290" s="30" t="str">
        <f aca="false">IF(G290&gt;0,G290+A290/10000000,"")</f>
        <v/>
      </c>
    </row>
    <row r="291" customFormat="false" ht="15" hidden="false" customHeight="false" outlineLevel="0" collapsed="false">
      <c r="A291" s="9" t="n">
        <v>287</v>
      </c>
      <c r="B291" s="9" t="str">
        <f aca="false">IFERROR(INDEX('Zoho Dump'!$N$8:$N$3007,MATCH(A291,'Zoho Dump'!$AB$8:$AB$3007,0)),"")</f>
        <v/>
      </c>
      <c r="C291" s="17" t="n">
        <f aca="false">IF($B291="",0,SUMIFS('Zoho Dump'!$Q$8:$Q$3007,'Zoho Dump'!$N$8:$N$3007,$B291,'Zoho Dump'!$T$8:$T$3007,"Delivered",'Zoho Dump'!$R$8:$R$3007,"&gt;="&amp;Settings!$B$4))</f>
        <v>0</v>
      </c>
      <c r="D291" s="17" t="n">
        <f aca="false">IF($B291="",0,SUMIFS('Zoho Dump'!$X$8:$X$3007,'Zoho Dump'!$N$8:$N$3007,$B291,'Zoho Dump'!$T$8:$T$3007,"Backlog")+SUMIFS(Adjustments!$K$8:$K$207,Adjustments!$B$8:$B$207,$B291,Adjustments!$H$8:$H$207,"Backlog"))</f>
        <v>0</v>
      </c>
      <c r="E291" s="17" t="n">
        <f aca="false">IF($B291="",0,SUMIFS('Zoho Dump'!$Y$8:$Y$3007,'Zoho Dump'!$N$8:$N$3007,$B291,'Zoho Dump'!$T$8:$T$3007,"Pipeline")+SUMIFS(Adjustments!$L$8:$L$207,Adjustments!$B$8:$B$207,$B291,Adjustments!$H$8:$H$207,"Pipeline")+SUMIFS('Zoho Dump'!$Y$8:$Y$3007,'Zoho Dump'!$N$8:$N$3007,$B291,'Zoho Dump'!$T$8:$T$3007,"Overdue")+SUMIFS(Adjustments!$L$8:$L$207,Adjustments!$B$8:$B$207,$B291,Adjustments!$H$8:$H$207,"Overdue"))</f>
        <v>0</v>
      </c>
      <c r="F291" s="17" t="n">
        <f aca="false">IF($B291="",0,SUMIFS('Zoho Dump'!$X$8:$X$3007,'Zoho Dump'!$N$8:$N$3007,$B291,'Zoho Dump'!$T$8:$T$3007,"Pipeline")+SUMIFS(Adjustments!$K$8:$K$207,Adjustments!$B$8:$B$207,$B291,Adjustments!$H$8:$H$207,"Pipeline")+SUMIFS('Zoho Dump'!$X$8:$X$3007,'Zoho Dump'!$N$8:$N$3007,$B291,'Zoho Dump'!$T$8:$T$3007,"Overdue")+SUMIFS(Adjustments!$K$8:$K$207,Adjustments!$B$8:$B$207,$B291,Adjustments!$H$8:$H$207,"Overdue"))</f>
        <v>0</v>
      </c>
      <c r="G291" s="17" t="n">
        <f aca="false">D291+F291</f>
        <v>0</v>
      </c>
      <c r="H291" s="18" t="n">
        <f aca="false">IF(SUM($G$5:$G$404)=0,0,G291/SUM($G$5:$G$404))</f>
        <v>0</v>
      </c>
      <c r="I291" s="17" t="n">
        <f aca="false">IF($B291="",0,SUMIFS('Zoho Dump'!$Q$8:$Q$3007,'Zoho Dump'!$N$8:$N$3007,$B291,'Zoho Dump'!$T$8:$T$3007,"Lost",'Zoho Dump'!$R$8:$R$3007,"&gt;="&amp;Settings!$B$4))</f>
        <v>0</v>
      </c>
      <c r="J291" s="9" t="str">
        <f aca="false">IF($B291="","",IF(COUNTIF(Dashboard!$C$13:$C$22,$B291)&gt;0,"Yes",""))</f>
        <v/>
      </c>
      <c r="K291" s="17" t="n">
        <f aca="false">IF($B291="",0,SUMIFS('Zoho Dump'!$X$8:$X$3007,'Zoho Dump'!$N$8:$N$3007,$B291,'Zoho Dump'!$P$8:$P$3007,Settings!$A$12)+SUMIFS(Adjustments!$K$8:$K$207,Adjustments!$B$8:$B$207,$B291,Adjustments!$A$8:$A$207,Settings!$A$12))</f>
        <v>0</v>
      </c>
      <c r="L291" s="17" t="n">
        <f aca="false">IF($B291="",0,SUMIFS('Zoho Dump'!$X$8:$X$3007,'Zoho Dump'!$N$8:$N$3007,$B291,'Zoho Dump'!$P$8:$P$3007,Settings!$A$13)+SUMIFS(Adjustments!$K$8:$K$207,Adjustments!$B$8:$B$207,$B291,Adjustments!$A$8:$A$207,Settings!$A$13))</f>
        <v>0</v>
      </c>
      <c r="M291" s="17" t="n">
        <f aca="false">IF($B291="",0,SUMIFS('Zoho Dump'!$X$8:$X$3007,'Zoho Dump'!$N$8:$N$3007,$B291,'Zoho Dump'!$P$8:$P$3007,Settings!$A$14)+SUMIFS(Adjustments!$K$8:$K$207,Adjustments!$B$8:$B$207,$B291,Adjustments!$A$8:$A$207,Settings!$A$14))</f>
        <v>0</v>
      </c>
      <c r="N291" s="17" t="n">
        <f aca="false">IF($B291="",0,SUMIFS('Zoho Dump'!$X$8:$X$3007,'Zoho Dump'!$N$8:$N$3007,$B291,'Zoho Dump'!$P$8:$P$3007,Settings!$A$15)+SUMIFS(Adjustments!$K$8:$K$207,Adjustments!$B$8:$B$207,$B291,Adjustments!$A$8:$A$207,Settings!$A$15))</f>
        <v>0</v>
      </c>
      <c r="O291" s="17" t="n">
        <f aca="false">IF($B291="",0,SUMIFS('Zoho Dump'!$X$8:$X$3007,'Zoho Dump'!$N$8:$N$3007,$B291,'Zoho Dump'!$P$8:$P$3007,Settings!$A$16)+SUMIFS(Adjustments!$K$8:$K$207,Adjustments!$B$8:$B$207,$B291,Adjustments!$A$8:$A$207,Settings!$A$16))</f>
        <v>0</v>
      </c>
      <c r="P291" s="17" t="n">
        <f aca="false">IF($B291="",0,SUMIFS('Zoho Dump'!$X$8:$X$3007,'Zoho Dump'!$N$8:$N$3007,$B291,'Zoho Dump'!$P$8:$P$3007,Settings!$A$17)+SUMIFS(Adjustments!$K$8:$K$207,Adjustments!$B$8:$B$207,$B291,Adjustments!$A$8:$A$207,Settings!$A$17))</f>
        <v>0</v>
      </c>
      <c r="Q291" s="17" t="n">
        <f aca="false">IF($B291="",0,SUMIFS('Zoho Dump'!$X$8:$X$3007,'Zoho Dump'!$N$8:$N$3007,$B291,'Zoho Dump'!$P$8:$P$3007,Settings!$A$18)+SUMIFS(Adjustments!$K$8:$K$207,Adjustments!$B$8:$B$207,$B291,Adjustments!$A$8:$A$207,Settings!$A$18))</f>
        <v>0</v>
      </c>
      <c r="R291" s="30" t="str">
        <f aca="false">IF(G291&gt;0,G291+A291/10000000,"")</f>
        <v/>
      </c>
    </row>
    <row r="292" customFormat="false" ht="15" hidden="false" customHeight="false" outlineLevel="0" collapsed="false">
      <c r="A292" s="9" t="n">
        <v>288</v>
      </c>
      <c r="B292" s="9" t="str">
        <f aca="false">IFERROR(INDEX('Zoho Dump'!$N$8:$N$3007,MATCH(A292,'Zoho Dump'!$AB$8:$AB$3007,0)),"")</f>
        <v/>
      </c>
      <c r="C292" s="17" t="n">
        <f aca="false">IF($B292="",0,SUMIFS('Zoho Dump'!$Q$8:$Q$3007,'Zoho Dump'!$N$8:$N$3007,$B292,'Zoho Dump'!$T$8:$T$3007,"Delivered",'Zoho Dump'!$R$8:$R$3007,"&gt;="&amp;Settings!$B$4))</f>
        <v>0</v>
      </c>
      <c r="D292" s="17" t="n">
        <f aca="false">IF($B292="",0,SUMIFS('Zoho Dump'!$X$8:$X$3007,'Zoho Dump'!$N$8:$N$3007,$B292,'Zoho Dump'!$T$8:$T$3007,"Backlog")+SUMIFS(Adjustments!$K$8:$K$207,Adjustments!$B$8:$B$207,$B292,Adjustments!$H$8:$H$207,"Backlog"))</f>
        <v>0</v>
      </c>
      <c r="E292" s="17" t="n">
        <f aca="false">IF($B292="",0,SUMIFS('Zoho Dump'!$Y$8:$Y$3007,'Zoho Dump'!$N$8:$N$3007,$B292,'Zoho Dump'!$T$8:$T$3007,"Pipeline")+SUMIFS(Adjustments!$L$8:$L$207,Adjustments!$B$8:$B$207,$B292,Adjustments!$H$8:$H$207,"Pipeline")+SUMIFS('Zoho Dump'!$Y$8:$Y$3007,'Zoho Dump'!$N$8:$N$3007,$B292,'Zoho Dump'!$T$8:$T$3007,"Overdue")+SUMIFS(Adjustments!$L$8:$L$207,Adjustments!$B$8:$B$207,$B292,Adjustments!$H$8:$H$207,"Overdue"))</f>
        <v>0</v>
      </c>
      <c r="F292" s="17" t="n">
        <f aca="false">IF($B292="",0,SUMIFS('Zoho Dump'!$X$8:$X$3007,'Zoho Dump'!$N$8:$N$3007,$B292,'Zoho Dump'!$T$8:$T$3007,"Pipeline")+SUMIFS(Adjustments!$K$8:$K$207,Adjustments!$B$8:$B$207,$B292,Adjustments!$H$8:$H$207,"Pipeline")+SUMIFS('Zoho Dump'!$X$8:$X$3007,'Zoho Dump'!$N$8:$N$3007,$B292,'Zoho Dump'!$T$8:$T$3007,"Overdue")+SUMIFS(Adjustments!$K$8:$K$207,Adjustments!$B$8:$B$207,$B292,Adjustments!$H$8:$H$207,"Overdue"))</f>
        <v>0</v>
      </c>
      <c r="G292" s="17" t="n">
        <f aca="false">D292+F292</f>
        <v>0</v>
      </c>
      <c r="H292" s="18" t="n">
        <f aca="false">IF(SUM($G$5:$G$404)=0,0,G292/SUM($G$5:$G$404))</f>
        <v>0</v>
      </c>
      <c r="I292" s="17" t="n">
        <f aca="false">IF($B292="",0,SUMIFS('Zoho Dump'!$Q$8:$Q$3007,'Zoho Dump'!$N$8:$N$3007,$B292,'Zoho Dump'!$T$8:$T$3007,"Lost",'Zoho Dump'!$R$8:$R$3007,"&gt;="&amp;Settings!$B$4))</f>
        <v>0</v>
      </c>
      <c r="J292" s="9" t="str">
        <f aca="false">IF($B292="","",IF(COUNTIF(Dashboard!$C$13:$C$22,$B292)&gt;0,"Yes",""))</f>
        <v/>
      </c>
      <c r="K292" s="17" t="n">
        <f aca="false">IF($B292="",0,SUMIFS('Zoho Dump'!$X$8:$X$3007,'Zoho Dump'!$N$8:$N$3007,$B292,'Zoho Dump'!$P$8:$P$3007,Settings!$A$12)+SUMIFS(Adjustments!$K$8:$K$207,Adjustments!$B$8:$B$207,$B292,Adjustments!$A$8:$A$207,Settings!$A$12))</f>
        <v>0</v>
      </c>
      <c r="L292" s="17" t="n">
        <f aca="false">IF($B292="",0,SUMIFS('Zoho Dump'!$X$8:$X$3007,'Zoho Dump'!$N$8:$N$3007,$B292,'Zoho Dump'!$P$8:$P$3007,Settings!$A$13)+SUMIFS(Adjustments!$K$8:$K$207,Adjustments!$B$8:$B$207,$B292,Adjustments!$A$8:$A$207,Settings!$A$13))</f>
        <v>0</v>
      </c>
      <c r="M292" s="17" t="n">
        <f aca="false">IF($B292="",0,SUMIFS('Zoho Dump'!$X$8:$X$3007,'Zoho Dump'!$N$8:$N$3007,$B292,'Zoho Dump'!$P$8:$P$3007,Settings!$A$14)+SUMIFS(Adjustments!$K$8:$K$207,Adjustments!$B$8:$B$207,$B292,Adjustments!$A$8:$A$207,Settings!$A$14))</f>
        <v>0</v>
      </c>
      <c r="N292" s="17" t="n">
        <f aca="false">IF($B292="",0,SUMIFS('Zoho Dump'!$X$8:$X$3007,'Zoho Dump'!$N$8:$N$3007,$B292,'Zoho Dump'!$P$8:$P$3007,Settings!$A$15)+SUMIFS(Adjustments!$K$8:$K$207,Adjustments!$B$8:$B$207,$B292,Adjustments!$A$8:$A$207,Settings!$A$15))</f>
        <v>0</v>
      </c>
      <c r="O292" s="17" t="n">
        <f aca="false">IF($B292="",0,SUMIFS('Zoho Dump'!$X$8:$X$3007,'Zoho Dump'!$N$8:$N$3007,$B292,'Zoho Dump'!$P$8:$P$3007,Settings!$A$16)+SUMIFS(Adjustments!$K$8:$K$207,Adjustments!$B$8:$B$207,$B292,Adjustments!$A$8:$A$207,Settings!$A$16))</f>
        <v>0</v>
      </c>
      <c r="P292" s="17" t="n">
        <f aca="false">IF($B292="",0,SUMIFS('Zoho Dump'!$X$8:$X$3007,'Zoho Dump'!$N$8:$N$3007,$B292,'Zoho Dump'!$P$8:$P$3007,Settings!$A$17)+SUMIFS(Adjustments!$K$8:$K$207,Adjustments!$B$8:$B$207,$B292,Adjustments!$A$8:$A$207,Settings!$A$17))</f>
        <v>0</v>
      </c>
      <c r="Q292" s="17" t="n">
        <f aca="false">IF($B292="",0,SUMIFS('Zoho Dump'!$X$8:$X$3007,'Zoho Dump'!$N$8:$N$3007,$B292,'Zoho Dump'!$P$8:$P$3007,Settings!$A$18)+SUMIFS(Adjustments!$K$8:$K$207,Adjustments!$B$8:$B$207,$B292,Adjustments!$A$8:$A$207,Settings!$A$18))</f>
        <v>0</v>
      </c>
      <c r="R292" s="30" t="str">
        <f aca="false">IF(G292&gt;0,G292+A292/10000000,"")</f>
        <v/>
      </c>
    </row>
    <row r="293" customFormat="false" ht="15" hidden="false" customHeight="false" outlineLevel="0" collapsed="false">
      <c r="A293" s="9" t="n">
        <v>289</v>
      </c>
      <c r="B293" s="9" t="str">
        <f aca="false">IFERROR(INDEX('Zoho Dump'!$N$8:$N$3007,MATCH(A293,'Zoho Dump'!$AB$8:$AB$3007,0)),"")</f>
        <v/>
      </c>
      <c r="C293" s="17" t="n">
        <f aca="false">IF($B293="",0,SUMIFS('Zoho Dump'!$Q$8:$Q$3007,'Zoho Dump'!$N$8:$N$3007,$B293,'Zoho Dump'!$T$8:$T$3007,"Delivered",'Zoho Dump'!$R$8:$R$3007,"&gt;="&amp;Settings!$B$4))</f>
        <v>0</v>
      </c>
      <c r="D293" s="17" t="n">
        <f aca="false">IF($B293="",0,SUMIFS('Zoho Dump'!$X$8:$X$3007,'Zoho Dump'!$N$8:$N$3007,$B293,'Zoho Dump'!$T$8:$T$3007,"Backlog")+SUMIFS(Adjustments!$K$8:$K$207,Adjustments!$B$8:$B$207,$B293,Adjustments!$H$8:$H$207,"Backlog"))</f>
        <v>0</v>
      </c>
      <c r="E293" s="17" t="n">
        <f aca="false">IF($B293="",0,SUMIFS('Zoho Dump'!$Y$8:$Y$3007,'Zoho Dump'!$N$8:$N$3007,$B293,'Zoho Dump'!$T$8:$T$3007,"Pipeline")+SUMIFS(Adjustments!$L$8:$L$207,Adjustments!$B$8:$B$207,$B293,Adjustments!$H$8:$H$207,"Pipeline")+SUMIFS('Zoho Dump'!$Y$8:$Y$3007,'Zoho Dump'!$N$8:$N$3007,$B293,'Zoho Dump'!$T$8:$T$3007,"Overdue")+SUMIFS(Adjustments!$L$8:$L$207,Adjustments!$B$8:$B$207,$B293,Adjustments!$H$8:$H$207,"Overdue"))</f>
        <v>0</v>
      </c>
      <c r="F293" s="17" t="n">
        <f aca="false">IF($B293="",0,SUMIFS('Zoho Dump'!$X$8:$X$3007,'Zoho Dump'!$N$8:$N$3007,$B293,'Zoho Dump'!$T$8:$T$3007,"Pipeline")+SUMIFS(Adjustments!$K$8:$K$207,Adjustments!$B$8:$B$207,$B293,Adjustments!$H$8:$H$207,"Pipeline")+SUMIFS('Zoho Dump'!$X$8:$X$3007,'Zoho Dump'!$N$8:$N$3007,$B293,'Zoho Dump'!$T$8:$T$3007,"Overdue")+SUMIFS(Adjustments!$K$8:$K$207,Adjustments!$B$8:$B$207,$B293,Adjustments!$H$8:$H$207,"Overdue"))</f>
        <v>0</v>
      </c>
      <c r="G293" s="17" t="n">
        <f aca="false">D293+F293</f>
        <v>0</v>
      </c>
      <c r="H293" s="18" t="n">
        <f aca="false">IF(SUM($G$5:$G$404)=0,0,G293/SUM($G$5:$G$404))</f>
        <v>0</v>
      </c>
      <c r="I293" s="17" t="n">
        <f aca="false">IF($B293="",0,SUMIFS('Zoho Dump'!$Q$8:$Q$3007,'Zoho Dump'!$N$8:$N$3007,$B293,'Zoho Dump'!$T$8:$T$3007,"Lost",'Zoho Dump'!$R$8:$R$3007,"&gt;="&amp;Settings!$B$4))</f>
        <v>0</v>
      </c>
      <c r="J293" s="9" t="str">
        <f aca="false">IF($B293="","",IF(COUNTIF(Dashboard!$C$13:$C$22,$B293)&gt;0,"Yes",""))</f>
        <v/>
      </c>
      <c r="K293" s="17" t="n">
        <f aca="false">IF($B293="",0,SUMIFS('Zoho Dump'!$X$8:$X$3007,'Zoho Dump'!$N$8:$N$3007,$B293,'Zoho Dump'!$P$8:$P$3007,Settings!$A$12)+SUMIFS(Adjustments!$K$8:$K$207,Adjustments!$B$8:$B$207,$B293,Adjustments!$A$8:$A$207,Settings!$A$12))</f>
        <v>0</v>
      </c>
      <c r="L293" s="17" t="n">
        <f aca="false">IF($B293="",0,SUMIFS('Zoho Dump'!$X$8:$X$3007,'Zoho Dump'!$N$8:$N$3007,$B293,'Zoho Dump'!$P$8:$P$3007,Settings!$A$13)+SUMIFS(Adjustments!$K$8:$K$207,Adjustments!$B$8:$B$207,$B293,Adjustments!$A$8:$A$207,Settings!$A$13))</f>
        <v>0</v>
      </c>
      <c r="M293" s="17" t="n">
        <f aca="false">IF($B293="",0,SUMIFS('Zoho Dump'!$X$8:$X$3007,'Zoho Dump'!$N$8:$N$3007,$B293,'Zoho Dump'!$P$8:$P$3007,Settings!$A$14)+SUMIFS(Adjustments!$K$8:$K$207,Adjustments!$B$8:$B$207,$B293,Adjustments!$A$8:$A$207,Settings!$A$14))</f>
        <v>0</v>
      </c>
      <c r="N293" s="17" t="n">
        <f aca="false">IF($B293="",0,SUMIFS('Zoho Dump'!$X$8:$X$3007,'Zoho Dump'!$N$8:$N$3007,$B293,'Zoho Dump'!$P$8:$P$3007,Settings!$A$15)+SUMIFS(Adjustments!$K$8:$K$207,Adjustments!$B$8:$B$207,$B293,Adjustments!$A$8:$A$207,Settings!$A$15))</f>
        <v>0</v>
      </c>
      <c r="O293" s="17" t="n">
        <f aca="false">IF($B293="",0,SUMIFS('Zoho Dump'!$X$8:$X$3007,'Zoho Dump'!$N$8:$N$3007,$B293,'Zoho Dump'!$P$8:$P$3007,Settings!$A$16)+SUMIFS(Adjustments!$K$8:$K$207,Adjustments!$B$8:$B$207,$B293,Adjustments!$A$8:$A$207,Settings!$A$16))</f>
        <v>0</v>
      </c>
      <c r="P293" s="17" t="n">
        <f aca="false">IF($B293="",0,SUMIFS('Zoho Dump'!$X$8:$X$3007,'Zoho Dump'!$N$8:$N$3007,$B293,'Zoho Dump'!$P$8:$P$3007,Settings!$A$17)+SUMIFS(Adjustments!$K$8:$K$207,Adjustments!$B$8:$B$207,$B293,Adjustments!$A$8:$A$207,Settings!$A$17))</f>
        <v>0</v>
      </c>
      <c r="Q293" s="17" t="n">
        <f aca="false">IF($B293="",0,SUMIFS('Zoho Dump'!$X$8:$X$3007,'Zoho Dump'!$N$8:$N$3007,$B293,'Zoho Dump'!$P$8:$P$3007,Settings!$A$18)+SUMIFS(Adjustments!$K$8:$K$207,Adjustments!$B$8:$B$207,$B293,Adjustments!$A$8:$A$207,Settings!$A$18))</f>
        <v>0</v>
      </c>
      <c r="R293" s="30" t="str">
        <f aca="false">IF(G293&gt;0,G293+A293/10000000,"")</f>
        <v/>
      </c>
    </row>
    <row r="294" customFormat="false" ht="15" hidden="false" customHeight="false" outlineLevel="0" collapsed="false">
      <c r="A294" s="9" t="n">
        <v>290</v>
      </c>
      <c r="B294" s="9" t="str">
        <f aca="false">IFERROR(INDEX('Zoho Dump'!$N$8:$N$3007,MATCH(A294,'Zoho Dump'!$AB$8:$AB$3007,0)),"")</f>
        <v/>
      </c>
      <c r="C294" s="17" t="n">
        <f aca="false">IF($B294="",0,SUMIFS('Zoho Dump'!$Q$8:$Q$3007,'Zoho Dump'!$N$8:$N$3007,$B294,'Zoho Dump'!$T$8:$T$3007,"Delivered",'Zoho Dump'!$R$8:$R$3007,"&gt;="&amp;Settings!$B$4))</f>
        <v>0</v>
      </c>
      <c r="D294" s="17" t="n">
        <f aca="false">IF($B294="",0,SUMIFS('Zoho Dump'!$X$8:$X$3007,'Zoho Dump'!$N$8:$N$3007,$B294,'Zoho Dump'!$T$8:$T$3007,"Backlog")+SUMIFS(Adjustments!$K$8:$K$207,Adjustments!$B$8:$B$207,$B294,Adjustments!$H$8:$H$207,"Backlog"))</f>
        <v>0</v>
      </c>
      <c r="E294" s="17" t="n">
        <f aca="false">IF($B294="",0,SUMIFS('Zoho Dump'!$Y$8:$Y$3007,'Zoho Dump'!$N$8:$N$3007,$B294,'Zoho Dump'!$T$8:$T$3007,"Pipeline")+SUMIFS(Adjustments!$L$8:$L$207,Adjustments!$B$8:$B$207,$B294,Adjustments!$H$8:$H$207,"Pipeline")+SUMIFS('Zoho Dump'!$Y$8:$Y$3007,'Zoho Dump'!$N$8:$N$3007,$B294,'Zoho Dump'!$T$8:$T$3007,"Overdue")+SUMIFS(Adjustments!$L$8:$L$207,Adjustments!$B$8:$B$207,$B294,Adjustments!$H$8:$H$207,"Overdue"))</f>
        <v>0</v>
      </c>
      <c r="F294" s="17" t="n">
        <f aca="false">IF($B294="",0,SUMIFS('Zoho Dump'!$X$8:$X$3007,'Zoho Dump'!$N$8:$N$3007,$B294,'Zoho Dump'!$T$8:$T$3007,"Pipeline")+SUMIFS(Adjustments!$K$8:$K$207,Adjustments!$B$8:$B$207,$B294,Adjustments!$H$8:$H$207,"Pipeline")+SUMIFS('Zoho Dump'!$X$8:$X$3007,'Zoho Dump'!$N$8:$N$3007,$B294,'Zoho Dump'!$T$8:$T$3007,"Overdue")+SUMIFS(Adjustments!$K$8:$K$207,Adjustments!$B$8:$B$207,$B294,Adjustments!$H$8:$H$207,"Overdue"))</f>
        <v>0</v>
      </c>
      <c r="G294" s="17" t="n">
        <f aca="false">D294+F294</f>
        <v>0</v>
      </c>
      <c r="H294" s="18" t="n">
        <f aca="false">IF(SUM($G$5:$G$404)=0,0,G294/SUM($G$5:$G$404))</f>
        <v>0</v>
      </c>
      <c r="I294" s="17" t="n">
        <f aca="false">IF($B294="",0,SUMIFS('Zoho Dump'!$Q$8:$Q$3007,'Zoho Dump'!$N$8:$N$3007,$B294,'Zoho Dump'!$T$8:$T$3007,"Lost",'Zoho Dump'!$R$8:$R$3007,"&gt;="&amp;Settings!$B$4))</f>
        <v>0</v>
      </c>
      <c r="J294" s="9" t="str">
        <f aca="false">IF($B294="","",IF(COUNTIF(Dashboard!$C$13:$C$22,$B294)&gt;0,"Yes",""))</f>
        <v/>
      </c>
      <c r="K294" s="17" t="n">
        <f aca="false">IF($B294="",0,SUMIFS('Zoho Dump'!$X$8:$X$3007,'Zoho Dump'!$N$8:$N$3007,$B294,'Zoho Dump'!$P$8:$P$3007,Settings!$A$12)+SUMIFS(Adjustments!$K$8:$K$207,Adjustments!$B$8:$B$207,$B294,Adjustments!$A$8:$A$207,Settings!$A$12))</f>
        <v>0</v>
      </c>
      <c r="L294" s="17" t="n">
        <f aca="false">IF($B294="",0,SUMIFS('Zoho Dump'!$X$8:$X$3007,'Zoho Dump'!$N$8:$N$3007,$B294,'Zoho Dump'!$P$8:$P$3007,Settings!$A$13)+SUMIFS(Adjustments!$K$8:$K$207,Adjustments!$B$8:$B$207,$B294,Adjustments!$A$8:$A$207,Settings!$A$13))</f>
        <v>0</v>
      </c>
      <c r="M294" s="17" t="n">
        <f aca="false">IF($B294="",0,SUMIFS('Zoho Dump'!$X$8:$X$3007,'Zoho Dump'!$N$8:$N$3007,$B294,'Zoho Dump'!$P$8:$P$3007,Settings!$A$14)+SUMIFS(Adjustments!$K$8:$K$207,Adjustments!$B$8:$B$207,$B294,Adjustments!$A$8:$A$207,Settings!$A$14))</f>
        <v>0</v>
      </c>
      <c r="N294" s="17" t="n">
        <f aca="false">IF($B294="",0,SUMIFS('Zoho Dump'!$X$8:$X$3007,'Zoho Dump'!$N$8:$N$3007,$B294,'Zoho Dump'!$P$8:$P$3007,Settings!$A$15)+SUMIFS(Adjustments!$K$8:$K$207,Adjustments!$B$8:$B$207,$B294,Adjustments!$A$8:$A$207,Settings!$A$15))</f>
        <v>0</v>
      </c>
      <c r="O294" s="17" t="n">
        <f aca="false">IF($B294="",0,SUMIFS('Zoho Dump'!$X$8:$X$3007,'Zoho Dump'!$N$8:$N$3007,$B294,'Zoho Dump'!$P$8:$P$3007,Settings!$A$16)+SUMIFS(Adjustments!$K$8:$K$207,Adjustments!$B$8:$B$207,$B294,Adjustments!$A$8:$A$207,Settings!$A$16))</f>
        <v>0</v>
      </c>
      <c r="P294" s="17" t="n">
        <f aca="false">IF($B294="",0,SUMIFS('Zoho Dump'!$X$8:$X$3007,'Zoho Dump'!$N$8:$N$3007,$B294,'Zoho Dump'!$P$8:$P$3007,Settings!$A$17)+SUMIFS(Adjustments!$K$8:$K$207,Adjustments!$B$8:$B$207,$B294,Adjustments!$A$8:$A$207,Settings!$A$17))</f>
        <v>0</v>
      </c>
      <c r="Q294" s="17" t="n">
        <f aca="false">IF($B294="",0,SUMIFS('Zoho Dump'!$X$8:$X$3007,'Zoho Dump'!$N$8:$N$3007,$B294,'Zoho Dump'!$P$8:$P$3007,Settings!$A$18)+SUMIFS(Adjustments!$K$8:$K$207,Adjustments!$B$8:$B$207,$B294,Adjustments!$A$8:$A$207,Settings!$A$18))</f>
        <v>0</v>
      </c>
      <c r="R294" s="30" t="str">
        <f aca="false">IF(G294&gt;0,G294+A294/10000000,"")</f>
        <v/>
      </c>
    </row>
    <row r="295" customFormat="false" ht="15" hidden="false" customHeight="false" outlineLevel="0" collapsed="false">
      <c r="A295" s="9" t="n">
        <v>291</v>
      </c>
      <c r="B295" s="9" t="str">
        <f aca="false">IFERROR(INDEX('Zoho Dump'!$N$8:$N$3007,MATCH(A295,'Zoho Dump'!$AB$8:$AB$3007,0)),"")</f>
        <v/>
      </c>
      <c r="C295" s="17" t="n">
        <f aca="false">IF($B295="",0,SUMIFS('Zoho Dump'!$Q$8:$Q$3007,'Zoho Dump'!$N$8:$N$3007,$B295,'Zoho Dump'!$T$8:$T$3007,"Delivered",'Zoho Dump'!$R$8:$R$3007,"&gt;="&amp;Settings!$B$4))</f>
        <v>0</v>
      </c>
      <c r="D295" s="17" t="n">
        <f aca="false">IF($B295="",0,SUMIFS('Zoho Dump'!$X$8:$X$3007,'Zoho Dump'!$N$8:$N$3007,$B295,'Zoho Dump'!$T$8:$T$3007,"Backlog")+SUMIFS(Adjustments!$K$8:$K$207,Adjustments!$B$8:$B$207,$B295,Adjustments!$H$8:$H$207,"Backlog"))</f>
        <v>0</v>
      </c>
      <c r="E295" s="17" t="n">
        <f aca="false">IF($B295="",0,SUMIFS('Zoho Dump'!$Y$8:$Y$3007,'Zoho Dump'!$N$8:$N$3007,$B295,'Zoho Dump'!$T$8:$T$3007,"Pipeline")+SUMIFS(Adjustments!$L$8:$L$207,Adjustments!$B$8:$B$207,$B295,Adjustments!$H$8:$H$207,"Pipeline")+SUMIFS('Zoho Dump'!$Y$8:$Y$3007,'Zoho Dump'!$N$8:$N$3007,$B295,'Zoho Dump'!$T$8:$T$3007,"Overdue")+SUMIFS(Adjustments!$L$8:$L$207,Adjustments!$B$8:$B$207,$B295,Adjustments!$H$8:$H$207,"Overdue"))</f>
        <v>0</v>
      </c>
      <c r="F295" s="17" t="n">
        <f aca="false">IF($B295="",0,SUMIFS('Zoho Dump'!$X$8:$X$3007,'Zoho Dump'!$N$8:$N$3007,$B295,'Zoho Dump'!$T$8:$T$3007,"Pipeline")+SUMIFS(Adjustments!$K$8:$K$207,Adjustments!$B$8:$B$207,$B295,Adjustments!$H$8:$H$207,"Pipeline")+SUMIFS('Zoho Dump'!$X$8:$X$3007,'Zoho Dump'!$N$8:$N$3007,$B295,'Zoho Dump'!$T$8:$T$3007,"Overdue")+SUMIFS(Adjustments!$K$8:$K$207,Adjustments!$B$8:$B$207,$B295,Adjustments!$H$8:$H$207,"Overdue"))</f>
        <v>0</v>
      </c>
      <c r="G295" s="17" t="n">
        <f aca="false">D295+F295</f>
        <v>0</v>
      </c>
      <c r="H295" s="18" t="n">
        <f aca="false">IF(SUM($G$5:$G$404)=0,0,G295/SUM($G$5:$G$404))</f>
        <v>0</v>
      </c>
      <c r="I295" s="17" t="n">
        <f aca="false">IF($B295="",0,SUMIFS('Zoho Dump'!$Q$8:$Q$3007,'Zoho Dump'!$N$8:$N$3007,$B295,'Zoho Dump'!$T$8:$T$3007,"Lost",'Zoho Dump'!$R$8:$R$3007,"&gt;="&amp;Settings!$B$4))</f>
        <v>0</v>
      </c>
      <c r="J295" s="9" t="str">
        <f aca="false">IF($B295="","",IF(COUNTIF(Dashboard!$C$13:$C$22,$B295)&gt;0,"Yes",""))</f>
        <v/>
      </c>
      <c r="K295" s="17" t="n">
        <f aca="false">IF($B295="",0,SUMIFS('Zoho Dump'!$X$8:$X$3007,'Zoho Dump'!$N$8:$N$3007,$B295,'Zoho Dump'!$P$8:$P$3007,Settings!$A$12)+SUMIFS(Adjustments!$K$8:$K$207,Adjustments!$B$8:$B$207,$B295,Adjustments!$A$8:$A$207,Settings!$A$12))</f>
        <v>0</v>
      </c>
      <c r="L295" s="17" t="n">
        <f aca="false">IF($B295="",0,SUMIFS('Zoho Dump'!$X$8:$X$3007,'Zoho Dump'!$N$8:$N$3007,$B295,'Zoho Dump'!$P$8:$P$3007,Settings!$A$13)+SUMIFS(Adjustments!$K$8:$K$207,Adjustments!$B$8:$B$207,$B295,Adjustments!$A$8:$A$207,Settings!$A$13))</f>
        <v>0</v>
      </c>
      <c r="M295" s="17" t="n">
        <f aca="false">IF($B295="",0,SUMIFS('Zoho Dump'!$X$8:$X$3007,'Zoho Dump'!$N$8:$N$3007,$B295,'Zoho Dump'!$P$8:$P$3007,Settings!$A$14)+SUMIFS(Adjustments!$K$8:$K$207,Adjustments!$B$8:$B$207,$B295,Adjustments!$A$8:$A$207,Settings!$A$14))</f>
        <v>0</v>
      </c>
      <c r="N295" s="17" t="n">
        <f aca="false">IF($B295="",0,SUMIFS('Zoho Dump'!$X$8:$X$3007,'Zoho Dump'!$N$8:$N$3007,$B295,'Zoho Dump'!$P$8:$P$3007,Settings!$A$15)+SUMIFS(Adjustments!$K$8:$K$207,Adjustments!$B$8:$B$207,$B295,Adjustments!$A$8:$A$207,Settings!$A$15))</f>
        <v>0</v>
      </c>
      <c r="O295" s="17" t="n">
        <f aca="false">IF($B295="",0,SUMIFS('Zoho Dump'!$X$8:$X$3007,'Zoho Dump'!$N$8:$N$3007,$B295,'Zoho Dump'!$P$8:$P$3007,Settings!$A$16)+SUMIFS(Adjustments!$K$8:$K$207,Adjustments!$B$8:$B$207,$B295,Adjustments!$A$8:$A$207,Settings!$A$16))</f>
        <v>0</v>
      </c>
      <c r="P295" s="17" t="n">
        <f aca="false">IF($B295="",0,SUMIFS('Zoho Dump'!$X$8:$X$3007,'Zoho Dump'!$N$8:$N$3007,$B295,'Zoho Dump'!$P$8:$P$3007,Settings!$A$17)+SUMIFS(Adjustments!$K$8:$K$207,Adjustments!$B$8:$B$207,$B295,Adjustments!$A$8:$A$207,Settings!$A$17))</f>
        <v>0</v>
      </c>
      <c r="Q295" s="17" t="n">
        <f aca="false">IF($B295="",0,SUMIFS('Zoho Dump'!$X$8:$X$3007,'Zoho Dump'!$N$8:$N$3007,$B295,'Zoho Dump'!$P$8:$P$3007,Settings!$A$18)+SUMIFS(Adjustments!$K$8:$K$207,Adjustments!$B$8:$B$207,$B295,Adjustments!$A$8:$A$207,Settings!$A$18))</f>
        <v>0</v>
      </c>
      <c r="R295" s="30" t="str">
        <f aca="false">IF(G295&gt;0,G295+A295/10000000,"")</f>
        <v/>
      </c>
    </row>
    <row r="296" customFormat="false" ht="15" hidden="false" customHeight="false" outlineLevel="0" collapsed="false">
      <c r="A296" s="9" t="n">
        <v>292</v>
      </c>
      <c r="B296" s="9" t="str">
        <f aca="false">IFERROR(INDEX('Zoho Dump'!$N$8:$N$3007,MATCH(A296,'Zoho Dump'!$AB$8:$AB$3007,0)),"")</f>
        <v/>
      </c>
      <c r="C296" s="17" t="n">
        <f aca="false">IF($B296="",0,SUMIFS('Zoho Dump'!$Q$8:$Q$3007,'Zoho Dump'!$N$8:$N$3007,$B296,'Zoho Dump'!$T$8:$T$3007,"Delivered",'Zoho Dump'!$R$8:$R$3007,"&gt;="&amp;Settings!$B$4))</f>
        <v>0</v>
      </c>
      <c r="D296" s="17" t="n">
        <f aca="false">IF($B296="",0,SUMIFS('Zoho Dump'!$X$8:$X$3007,'Zoho Dump'!$N$8:$N$3007,$B296,'Zoho Dump'!$T$8:$T$3007,"Backlog")+SUMIFS(Adjustments!$K$8:$K$207,Adjustments!$B$8:$B$207,$B296,Adjustments!$H$8:$H$207,"Backlog"))</f>
        <v>0</v>
      </c>
      <c r="E296" s="17" t="n">
        <f aca="false">IF($B296="",0,SUMIFS('Zoho Dump'!$Y$8:$Y$3007,'Zoho Dump'!$N$8:$N$3007,$B296,'Zoho Dump'!$T$8:$T$3007,"Pipeline")+SUMIFS(Adjustments!$L$8:$L$207,Adjustments!$B$8:$B$207,$B296,Adjustments!$H$8:$H$207,"Pipeline")+SUMIFS('Zoho Dump'!$Y$8:$Y$3007,'Zoho Dump'!$N$8:$N$3007,$B296,'Zoho Dump'!$T$8:$T$3007,"Overdue")+SUMIFS(Adjustments!$L$8:$L$207,Adjustments!$B$8:$B$207,$B296,Adjustments!$H$8:$H$207,"Overdue"))</f>
        <v>0</v>
      </c>
      <c r="F296" s="17" t="n">
        <f aca="false">IF($B296="",0,SUMIFS('Zoho Dump'!$X$8:$X$3007,'Zoho Dump'!$N$8:$N$3007,$B296,'Zoho Dump'!$T$8:$T$3007,"Pipeline")+SUMIFS(Adjustments!$K$8:$K$207,Adjustments!$B$8:$B$207,$B296,Adjustments!$H$8:$H$207,"Pipeline")+SUMIFS('Zoho Dump'!$X$8:$X$3007,'Zoho Dump'!$N$8:$N$3007,$B296,'Zoho Dump'!$T$8:$T$3007,"Overdue")+SUMIFS(Adjustments!$K$8:$K$207,Adjustments!$B$8:$B$207,$B296,Adjustments!$H$8:$H$207,"Overdue"))</f>
        <v>0</v>
      </c>
      <c r="G296" s="17" t="n">
        <f aca="false">D296+F296</f>
        <v>0</v>
      </c>
      <c r="H296" s="18" t="n">
        <f aca="false">IF(SUM($G$5:$G$404)=0,0,G296/SUM($G$5:$G$404))</f>
        <v>0</v>
      </c>
      <c r="I296" s="17" t="n">
        <f aca="false">IF($B296="",0,SUMIFS('Zoho Dump'!$Q$8:$Q$3007,'Zoho Dump'!$N$8:$N$3007,$B296,'Zoho Dump'!$T$8:$T$3007,"Lost",'Zoho Dump'!$R$8:$R$3007,"&gt;="&amp;Settings!$B$4))</f>
        <v>0</v>
      </c>
      <c r="J296" s="9" t="str">
        <f aca="false">IF($B296="","",IF(COUNTIF(Dashboard!$C$13:$C$22,$B296)&gt;0,"Yes",""))</f>
        <v/>
      </c>
      <c r="K296" s="17" t="n">
        <f aca="false">IF($B296="",0,SUMIFS('Zoho Dump'!$X$8:$X$3007,'Zoho Dump'!$N$8:$N$3007,$B296,'Zoho Dump'!$P$8:$P$3007,Settings!$A$12)+SUMIFS(Adjustments!$K$8:$K$207,Adjustments!$B$8:$B$207,$B296,Adjustments!$A$8:$A$207,Settings!$A$12))</f>
        <v>0</v>
      </c>
      <c r="L296" s="17" t="n">
        <f aca="false">IF($B296="",0,SUMIFS('Zoho Dump'!$X$8:$X$3007,'Zoho Dump'!$N$8:$N$3007,$B296,'Zoho Dump'!$P$8:$P$3007,Settings!$A$13)+SUMIFS(Adjustments!$K$8:$K$207,Adjustments!$B$8:$B$207,$B296,Adjustments!$A$8:$A$207,Settings!$A$13))</f>
        <v>0</v>
      </c>
      <c r="M296" s="17" t="n">
        <f aca="false">IF($B296="",0,SUMIFS('Zoho Dump'!$X$8:$X$3007,'Zoho Dump'!$N$8:$N$3007,$B296,'Zoho Dump'!$P$8:$P$3007,Settings!$A$14)+SUMIFS(Adjustments!$K$8:$K$207,Adjustments!$B$8:$B$207,$B296,Adjustments!$A$8:$A$207,Settings!$A$14))</f>
        <v>0</v>
      </c>
      <c r="N296" s="17" t="n">
        <f aca="false">IF($B296="",0,SUMIFS('Zoho Dump'!$X$8:$X$3007,'Zoho Dump'!$N$8:$N$3007,$B296,'Zoho Dump'!$P$8:$P$3007,Settings!$A$15)+SUMIFS(Adjustments!$K$8:$K$207,Adjustments!$B$8:$B$207,$B296,Adjustments!$A$8:$A$207,Settings!$A$15))</f>
        <v>0</v>
      </c>
      <c r="O296" s="17" t="n">
        <f aca="false">IF($B296="",0,SUMIFS('Zoho Dump'!$X$8:$X$3007,'Zoho Dump'!$N$8:$N$3007,$B296,'Zoho Dump'!$P$8:$P$3007,Settings!$A$16)+SUMIFS(Adjustments!$K$8:$K$207,Adjustments!$B$8:$B$207,$B296,Adjustments!$A$8:$A$207,Settings!$A$16))</f>
        <v>0</v>
      </c>
      <c r="P296" s="17" t="n">
        <f aca="false">IF($B296="",0,SUMIFS('Zoho Dump'!$X$8:$X$3007,'Zoho Dump'!$N$8:$N$3007,$B296,'Zoho Dump'!$P$8:$P$3007,Settings!$A$17)+SUMIFS(Adjustments!$K$8:$K$207,Adjustments!$B$8:$B$207,$B296,Adjustments!$A$8:$A$207,Settings!$A$17))</f>
        <v>0</v>
      </c>
      <c r="Q296" s="17" t="n">
        <f aca="false">IF($B296="",0,SUMIFS('Zoho Dump'!$X$8:$X$3007,'Zoho Dump'!$N$8:$N$3007,$B296,'Zoho Dump'!$P$8:$P$3007,Settings!$A$18)+SUMIFS(Adjustments!$K$8:$K$207,Adjustments!$B$8:$B$207,$B296,Adjustments!$A$8:$A$207,Settings!$A$18))</f>
        <v>0</v>
      </c>
      <c r="R296" s="30" t="str">
        <f aca="false">IF(G296&gt;0,G296+A296/10000000,"")</f>
        <v/>
      </c>
    </row>
    <row r="297" customFormat="false" ht="15" hidden="false" customHeight="false" outlineLevel="0" collapsed="false">
      <c r="A297" s="9" t="n">
        <v>293</v>
      </c>
      <c r="B297" s="9" t="str">
        <f aca="false">IFERROR(INDEX('Zoho Dump'!$N$8:$N$3007,MATCH(A297,'Zoho Dump'!$AB$8:$AB$3007,0)),"")</f>
        <v/>
      </c>
      <c r="C297" s="17" t="n">
        <f aca="false">IF($B297="",0,SUMIFS('Zoho Dump'!$Q$8:$Q$3007,'Zoho Dump'!$N$8:$N$3007,$B297,'Zoho Dump'!$T$8:$T$3007,"Delivered",'Zoho Dump'!$R$8:$R$3007,"&gt;="&amp;Settings!$B$4))</f>
        <v>0</v>
      </c>
      <c r="D297" s="17" t="n">
        <f aca="false">IF($B297="",0,SUMIFS('Zoho Dump'!$X$8:$X$3007,'Zoho Dump'!$N$8:$N$3007,$B297,'Zoho Dump'!$T$8:$T$3007,"Backlog")+SUMIFS(Adjustments!$K$8:$K$207,Adjustments!$B$8:$B$207,$B297,Adjustments!$H$8:$H$207,"Backlog"))</f>
        <v>0</v>
      </c>
      <c r="E297" s="17" t="n">
        <f aca="false">IF($B297="",0,SUMIFS('Zoho Dump'!$Y$8:$Y$3007,'Zoho Dump'!$N$8:$N$3007,$B297,'Zoho Dump'!$T$8:$T$3007,"Pipeline")+SUMIFS(Adjustments!$L$8:$L$207,Adjustments!$B$8:$B$207,$B297,Adjustments!$H$8:$H$207,"Pipeline")+SUMIFS('Zoho Dump'!$Y$8:$Y$3007,'Zoho Dump'!$N$8:$N$3007,$B297,'Zoho Dump'!$T$8:$T$3007,"Overdue")+SUMIFS(Adjustments!$L$8:$L$207,Adjustments!$B$8:$B$207,$B297,Adjustments!$H$8:$H$207,"Overdue"))</f>
        <v>0</v>
      </c>
      <c r="F297" s="17" t="n">
        <f aca="false">IF($B297="",0,SUMIFS('Zoho Dump'!$X$8:$X$3007,'Zoho Dump'!$N$8:$N$3007,$B297,'Zoho Dump'!$T$8:$T$3007,"Pipeline")+SUMIFS(Adjustments!$K$8:$K$207,Adjustments!$B$8:$B$207,$B297,Adjustments!$H$8:$H$207,"Pipeline")+SUMIFS('Zoho Dump'!$X$8:$X$3007,'Zoho Dump'!$N$8:$N$3007,$B297,'Zoho Dump'!$T$8:$T$3007,"Overdue")+SUMIFS(Adjustments!$K$8:$K$207,Adjustments!$B$8:$B$207,$B297,Adjustments!$H$8:$H$207,"Overdue"))</f>
        <v>0</v>
      </c>
      <c r="G297" s="17" t="n">
        <f aca="false">D297+F297</f>
        <v>0</v>
      </c>
      <c r="H297" s="18" t="n">
        <f aca="false">IF(SUM($G$5:$G$404)=0,0,G297/SUM($G$5:$G$404))</f>
        <v>0</v>
      </c>
      <c r="I297" s="17" t="n">
        <f aca="false">IF($B297="",0,SUMIFS('Zoho Dump'!$Q$8:$Q$3007,'Zoho Dump'!$N$8:$N$3007,$B297,'Zoho Dump'!$T$8:$T$3007,"Lost",'Zoho Dump'!$R$8:$R$3007,"&gt;="&amp;Settings!$B$4))</f>
        <v>0</v>
      </c>
      <c r="J297" s="9" t="str">
        <f aca="false">IF($B297="","",IF(COUNTIF(Dashboard!$C$13:$C$22,$B297)&gt;0,"Yes",""))</f>
        <v/>
      </c>
      <c r="K297" s="17" t="n">
        <f aca="false">IF($B297="",0,SUMIFS('Zoho Dump'!$X$8:$X$3007,'Zoho Dump'!$N$8:$N$3007,$B297,'Zoho Dump'!$P$8:$P$3007,Settings!$A$12)+SUMIFS(Adjustments!$K$8:$K$207,Adjustments!$B$8:$B$207,$B297,Adjustments!$A$8:$A$207,Settings!$A$12))</f>
        <v>0</v>
      </c>
      <c r="L297" s="17" t="n">
        <f aca="false">IF($B297="",0,SUMIFS('Zoho Dump'!$X$8:$X$3007,'Zoho Dump'!$N$8:$N$3007,$B297,'Zoho Dump'!$P$8:$P$3007,Settings!$A$13)+SUMIFS(Adjustments!$K$8:$K$207,Adjustments!$B$8:$B$207,$B297,Adjustments!$A$8:$A$207,Settings!$A$13))</f>
        <v>0</v>
      </c>
      <c r="M297" s="17" t="n">
        <f aca="false">IF($B297="",0,SUMIFS('Zoho Dump'!$X$8:$X$3007,'Zoho Dump'!$N$8:$N$3007,$B297,'Zoho Dump'!$P$8:$P$3007,Settings!$A$14)+SUMIFS(Adjustments!$K$8:$K$207,Adjustments!$B$8:$B$207,$B297,Adjustments!$A$8:$A$207,Settings!$A$14))</f>
        <v>0</v>
      </c>
      <c r="N297" s="17" t="n">
        <f aca="false">IF($B297="",0,SUMIFS('Zoho Dump'!$X$8:$X$3007,'Zoho Dump'!$N$8:$N$3007,$B297,'Zoho Dump'!$P$8:$P$3007,Settings!$A$15)+SUMIFS(Adjustments!$K$8:$K$207,Adjustments!$B$8:$B$207,$B297,Adjustments!$A$8:$A$207,Settings!$A$15))</f>
        <v>0</v>
      </c>
      <c r="O297" s="17" t="n">
        <f aca="false">IF($B297="",0,SUMIFS('Zoho Dump'!$X$8:$X$3007,'Zoho Dump'!$N$8:$N$3007,$B297,'Zoho Dump'!$P$8:$P$3007,Settings!$A$16)+SUMIFS(Adjustments!$K$8:$K$207,Adjustments!$B$8:$B$207,$B297,Adjustments!$A$8:$A$207,Settings!$A$16))</f>
        <v>0</v>
      </c>
      <c r="P297" s="17" t="n">
        <f aca="false">IF($B297="",0,SUMIFS('Zoho Dump'!$X$8:$X$3007,'Zoho Dump'!$N$8:$N$3007,$B297,'Zoho Dump'!$P$8:$P$3007,Settings!$A$17)+SUMIFS(Adjustments!$K$8:$K$207,Adjustments!$B$8:$B$207,$B297,Adjustments!$A$8:$A$207,Settings!$A$17))</f>
        <v>0</v>
      </c>
      <c r="Q297" s="17" t="n">
        <f aca="false">IF($B297="",0,SUMIFS('Zoho Dump'!$X$8:$X$3007,'Zoho Dump'!$N$8:$N$3007,$B297,'Zoho Dump'!$P$8:$P$3007,Settings!$A$18)+SUMIFS(Adjustments!$K$8:$K$207,Adjustments!$B$8:$B$207,$B297,Adjustments!$A$8:$A$207,Settings!$A$18))</f>
        <v>0</v>
      </c>
      <c r="R297" s="30" t="str">
        <f aca="false">IF(G297&gt;0,G297+A297/10000000,"")</f>
        <v/>
      </c>
    </row>
    <row r="298" customFormat="false" ht="15" hidden="false" customHeight="false" outlineLevel="0" collapsed="false">
      <c r="A298" s="9" t="n">
        <v>294</v>
      </c>
      <c r="B298" s="9" t="str">
        <f aca="false">IFERROR(INDEX('Zoho Dump'!$N$8:$N$3007,MATCH(A298,'Zoho Dump'!$AB$8:$AB$3007,0)),"")</f>
        <v/>
      </c>
      <c r="C298" s="17" t="n">
        <f aca="false">IF($B298="",0,SUMIFS('Zoho Dump'!$Q$8:$Q$3007,'Zoho Dump'!$N$8:$N$3007,$B298,'Zoho Dump'!$T$8:$T$3007,"Delivered",'Zoho Dump'!$R$8:$R$3007,"&gt;="&amp;Settings!$B$4))</f>
        <v>0</v>
      </c>
      <c r="D298" s="17" t="n">
        <f aca="false">IF($B298="",0,SUMIFS('Zoho Dump'!$X$8:$X$3007,'Zoho Dump'!$N$8:$N$3007,$B298,'Zoho Dump'!$T$8:$T$3007,"Backlog")+SUMIFS(Adjustments!$K$8:$K$207,Adjustments!$B$8:$B$207,$B298,Adjustments!$H$8:$H$207,"Backlog"))</f>
        <v>0</v>
      </c>
      <c r="E298" s="17" t="n">
        <f aca="false">IF($B298="",0,SUMIFS('Zoho Dump'!$Y$8:$Y$3007,'Zoho Dump'!$N$8:$N$3007,$B298,'Zoho Dump'!$T$8:$T$3007,"Pipeline")+SUMIFS(Adjustments!$L$8:$L$207,Adjustments!$B$8:$B$207,$B298,Adjustments!$H$8:$H$207,"Pipeline")+SUMIFS('Zoho Dump'!$Y$8:$Y$3007,'Zoho Dump'!$N$8:$N$3007,$B298,'Zoho Dump'!$T$8:$T$3007,"Overdue")+SUMIFS(Adjustments!$L$8:$L$207,Adjustments!$B$8:$B$207,$B298,Adjustments!$H$8:$H$207,"Overdue"))</f>
        <v>0</v>
      </c>
      <c r="F298" s="17" t="n">
        <f aca="false">IF($B298="",0,SUMIFS('Zoho Dump'!$X$8:$X$3007,'Zoho Dump'!$N$8:$N$3007,$B298,'Zoho Dump'!$T$8:$T$3007,"Pipeline")+SUMIFS(Adjustments!$K$8:$K$207,Adjustments!$B$8:$B$207,$B298,Adjustments!$H$8:$H$207,"Pipeline")+SUMIFS('Zoho Dump'!$X$8:$X$3007,'Zoho Dump'!$N$8:$N$3007,$B298,'Zoho Dump'!$T$8:$T$3007,"Overdue")+SUMIFS(Adjustments!$K$8:$K$207,Adjustments!$B$8:$B$207,$B298,Adjustments!$H$8:$H$207,"Overdue"))</f>
        <v>0</v>
      </c>
      <c r="G298" s="17" t="n">
        <f aca="false">D298+F298</f>
        <v>0</v>
      </c>
      <c r="H298" s="18" t="n">
        <f aca="false">IF(SUM($G$5:$G$404)=0,0,G298/SUM($G$5:$G$404))</f>
        <v>0</v>
      </c>
      <c r="I298" s="17" t="n">
        <f aca="false">IF($B298="",0,SUMIFS('Zoho Dump'!$Q$8:$Q$3007,'Zoho Dump'!$N$8:$N$3007,$B298,'Zoho Dump'!$T$8:$T$3007,"Lost",'Zoho Dump'!$R$8:$R$3007,"&gt;="&amp;Settings!$B$4))</f>
        <v>0</v>
      </c>
      <c r="J298" s="9" t="str">
        <f aca="false">IF($B298="","",IF(COUNTIF(Dashboard!$C$13:$C$22,$B298)&gt;0,"Yes",""))</f>
        <v/>
      </c>
      <c r="K298" s="17" t="n">
        <f aca="false">IF($B298="",0,SUMIFS('Zoho Dump'!$X$8:$X$3007,'Zoho Dump'!$N$8:$N$3007,$B298,'Zoho Dump'!$P$8:$P$3007,Settings!$A$12)+SUMIFS(Adjustments!$K$8:$K$207,Adjustments!$B$8:$B$207,$B298,Adjustments!$A$8:$A$207,Settings!$A$12))</f>
        <v>0</v>
      </c>
      <c r="L298" s="17" t="n">
        <f aca="false">IF($B298="",0,SUMIFS('Zoho Dump'!$X$8:$X$3007,'Zoho Dump'!$N$8:$N$3007,$B298,'Zoho Dump'!$P$8:$P$3007,Settings!$A$13)+SUMIFS(Adjustments!$K$8:$K$207,Adjustments!$B$8:$B$207,$B298,Adjustments!$A$8:$A$207,Settings!$A$13))</f>
        <v>0</v>
      </c>
      <c r="M298" s="17" t="n">
        <f aca="false">IF($B298="",0,SUMIFS('Zoho Dump'!$X$8:$X$3007,'Zoho Dump'!$N$8:$N$3007,$B298,'Zoho Dump'!$P$8:$P$3007,Settings!$A$14)+SUMIFS(Adjustments!$K$8:$K$207,Adjustments!$B$8:$B$207,$B298,Adjustments!$A$8:$A$207,Settings!$A$14))</f>
        <v>0</v>
      </c>
      <c r="N298" s="17" t="n">
        <f aca="false">IF($B298="",0,SUMIFS('Zoho Dump'!$X$8:$X$3007,'Zoho Dump'!$N$8:$N$3007,$B298,'Zoho Dump'!$P$8:$P$3007,Settings!$A$15)+SUMIFS(Adjustments!$K$8:$K$207,Adjustments!$B$8:$B$207,$B298,Adjustments!$A$8:$A$207,Settings!$A$15))</f>
        <v>0</v>
      </c>
      <c r="O298" s="17" t="n">
        <f aca="false">IF($B298="",0,SUMIFS('Zoho Dump'!$X$8:$X$3007,'Zoho Dump'!$N$8:$N$3007,$B298,'Zoho Dump'!$P$8:$P$3007,Settings!$A$16)+SUMIFS(Adjustments!$K$8:$K$207,Adjustments!$B$8:$B$207,$B298,Adjustments!$A$8:$A$207,Settings!$A$16))</f>
        <v>0</v>
      </c>
      <c r="P298" s="17" t="n">
        <f aca="false">IF($B298="",0,SUMIFS('Zoho Dump'!$X$8:$X$3007,'Zoho Dump'!$N$8:$N$3007,$B298,'Zoho Dump'!$P$8:$P$3007,Settings!$A$17)+SUMIFS(Adjustments!$K$8:$K$207,Adjustments!$B$8:$B$207,$B298,Adjustments!$A$8:$A$207,Settings!$A$17))</f>
        <v>0</v>
      </c>
      <c r="Q298" s="17" t="n">
        <f aca="false">IF($B298="",0,SUMIFS('Zoho Dump'!$X$8:$X$3007,'Zoho Dump'!$N$8:$N$3007,$B298,'Zoho Dump'!$P$8:$P$3007,Settings!$A$18)+SUMIFS(Adjustments!$K$8:$K$207,Adjustments!$B$8:$B$207,$B298,Adjustments!$A$8:$A$207,Settings!$A$18))</f>
        <v>0</v>
      </c>
      <c r="R298" s="30" t="str">
        <f aca="false">IF(G298&gt;0,G298+A298/10000000,"")</f>
        <v/>
      </c>
    </row>
    <row r="299" customFormat="false" ht="15" hidden="false" customHeight="false" outlineLevel="0" collapsed="false">
      <c r="A299" s="9" t="n">
        <v>295</v>
      </c>
      <c r="B299" s="9" t="str">
        <f aca="false">IFERROR(INDEX('Zoho Dump'!$N$8:$N$3007,MATCH(A299,'Zoho Dump'!$AB$8:$AB$3007,0)),"")</f>
        <v/>
      </c>
      <c r="C299" s="17" t="n">
        <f aca="false">IF($B299="",0,SUMIFS('Zoho Dump'!$Q$8:$Q$3007,'Zoho Dump'!$N$8:$N$3007,$B299,'Zoho Dump'!$T$8:$T$3007,"Delivered",'Zoho Dump'!$R$8:$R$3007,"&gt;="&amp;Settings!$B$4))</f>
        <v>0</v>
      </c>
      <c r="D299" s="17" t="n">
        <f aca="false">IF($B299="",0,SUMIFS('Zoho Dump'!$X$8:$X$3007,'Zoho Dump'!$N$8:$N$3007,$B299,'Zoho Dump'!$T$8:$T$3007,"Backlog")+SUMIFS(Adjustments!$K$8:$K$207,Adjustments!$B$8:$B$207,$B299,Adjustments!$H$8:$H$207,"Backlog"))</f>
        <v>0</v>
      </c>
      <c r="E299" s="17" t="n">
        <f aca="false">IF($B299="",0,SUMIFS('Zoho Dump'!$Y$8:$Y$3007,'Zoho Dump'!$N$8:$N$3007,$B299,'Zoho Dump'!$T$8:$T$3007,"Pipeline")+SUMIFS(Adjustments!$L$8:$L$207,Adjustments!$B$8:$B$207,$B299,Adjustments!$H$8:$H$207,"Pipeline")+SUMIFS('Zoho Dump'!$Y$8:$Y$3007,'Zoho Dump'!$N$8:$N$3007,$B299,'Zoho Dump'!$T$8:$T$3007,"Overdue")+SUMIFS(Adjustments!$L$8:$L$207,Adjustments!$B$8:$B$207,$B299,Adjustments!$H$8:$H$207,"Overdue"))</f>
        <v>0</v>
      </c>
      <c r="F299" s="17" t="n">
        <f aca="false">IF($B299="",0,SUMIFS('Zoho Dump'!$X$8:$X$3007,'Zoho Dump'!$N$8:$N$3007,$B299,'Zoho Dump'!$T$8:$T$3007,"Pipeline")+SUMIFS(Adjustments!$K$8:$K$207,Adjustments!$B$8:$B$207,$B299,Adjustments!$H$8:$H$207,"Pipeline")+SUMIFS('Zoho Dump'!$X$8:$X$3007,'Zoho Dump'!$N$8:$N$3007,$B299,'Zoho Dump'!$T$8:$T$3007,"Overdue")+SUMIFS(Adjustments!$K$8:$K$207,Adjustments!$B$8:$B$207,$B299,Adjustments!$H$8:$H$207,"Overdue"))</f>
        <v>0</v>
      </c>
      <c r="G299" s="17" t="n">
        <f aca="false">D299+F299</f>
        <v>0</v>
      </c>
      <c r="H299" s="18" t="n">
        <f aca="false">IF(SUM($G$5:$G$404)=0,0,G299/SUM($G$5:$G$404))</f>
        <v>0</v>
      </c>
      <c r="I299" s="17" t="n">
        <f aca="false">IF($B299="",0,SUMIFS('Zoho Dump'!$Q$8:$Q$3007,'Zoho Dump'!$N$8:$N$3007,$B299,'Zoho Dump'!$T$8:$T$3007,"Lost",'Zoho Dump'!$R$8:$R$3007,"&gt;="&amp;Settings!$B$4))</f>
        <v>0</v>
      </c>
      <c r="J299" s="9" t="str">
        <f aca="false">IF($B299="","",IF(COUNTIF(Dashboard!$C$13:$C$22,$B299)&gt;0,"Yes",""))</f>
        <v/>
      </c>
      <c r="K299" s="17" t="n">
        <f aca="false">IF($B299="",0,SUMIFS('Zoho Dump'!$X$8:$X$3007,'Zoho Dump'!$N$8:$N$3007,$B299,'Zoho Dump'!$P$8:$P$3007,Settings!$A$12)+SUMIFS(Adjustments!$K$8:$K$207,Adjustments!$B$8:$B$207,$B299,Adjustments!$A$8:$A$207,Settings!$A$12))</f>
        <v>0</v>
      </c>
      <c r="L299" s="17" t="n">
        <f aca="false">IF($B299="",0,SUMIFS('Zoho Dump'!$X$8:$X$3007,'Zoho Dump'!$N$8:$N$3007,$B299,'Zoho Dump'!$P$8:$P$3007,Settings!$A$13)+SUMIFS(Adjustments!$K$8:$K$207,Adjustments!$B$8:$B$207,$B299,Adjustments!$A$8:$A$207,Settings!$A$13))</f>
        <v>0</v>
      </c>
      <c r="M299" s="17" t="n">
        <f aca="false">IF($B299="",0,SUMIFS('Zoho Dump'!$X$8:$X$3007,'Zoho Dump'!$N$8:$N$3007,$B299,'Zoho Dump'!$P$8:$P$3007,Settings!$A$14)+SUMIFS(Adjustments!$K$8:$K$207,Adjustments!$B$8:$B$207,$B299,Adjustments!$A$8:$A$207,Settings!$A$14))</f>
        <v>0</v>
      </c>
      <c r="N299" s="17" t="n">
        <f aca="false">IF($B299="",0,SUMIFS('Zoho Dump'!$X$8:$X$3007,'Zoho Dump'!$N$8:$N$3007,$B299,'Zoho Dump'!$P$8:$P$3007,Settings!$A$15)+SUMIFS(Adjustments!$K$8:$K$207,Adjustments!$B$8:$B$207,$B299,Adjustments!$A$8:$A$207,Settings!$A$15))</f>
        <v>0</v>
      </c>
      <c r="O299" s="17" t="n">
        <f aca="false">IF($B299="",0,SUMIFS('Zoho Dump'!$X$8:$X$3007,'Zoho Dump'!$N$8:$N$3007,$B299,'Zoho Dump'!$P$8:$P$3007,Settings!$A$16)+SUMIFS(Adjustments!$K$8:$K$207,Adjustments!$B$8:$B$207,$B299,Adjustments!$A$8:$A$207,Settings!$A$16))</f>
        <v>0</v>
      </c>
      <c r="P299" s="17" t="n">
        <f aca="false">IF($B299="",0,SUMIFS('Zoho Dump'!$X$8:$X$3007,'Zoho Dump'!$N$8:$N$3007,$B299,'Zoho Dump'!$P$8:$P$3007,Settings!$A$17)+SUMIFS(Adjustments!$K$8:$K$207,Adjustments!$B$8:$B$207,$B299,Adjustments!$A$8:$A$207,Settings!$A$17))</f>
        <v>0</v>
      </c>
      <c r="Q299" s="17" t="n">
        <f aca="false">IF($B299="",0,SUMIFS('Zoho Dump'!$X$8:$X$3007,'Zoho Dump'!$N$8:$N$3007,$B299,'Zoho Dump'!$P$8:$P$3007,Settings!$A$18)+SUMIFS(Adjustments!$K$8:$K$207,Adjustments!$B$8:$B$207,$B299,Adjustments!$A$8:$A$207,Settings!$A$18))</f>
        <v>0</v>
      </c>
      <c r="R299" s="30" t="str">
        <f aca="false">IF(G299&gt;0,G299+A299/10000000,"")</f>
        <v/>
      </c>
    </row>
    <row r="300" customFormat="false" ht="15" hidden="false" customHeight="false" outlineLevel="0" collapsed="false">
      <c r="A300" s="9" t="n">
        <v>296</v>
      </c>
      <c r="B300" s="9" t="str">
        <f aca="false">IFERROR(INDEX('Zoho Dump'!$N$8:$N$3007,MATCH(A300,'Zoho Dump'!$AB$8:$AB$3007,0)),"")</f>
        <v/>
      </c>
      <c r="C300" s="17" t="n">
        <f aca="false">IF($B300="",0,SUMIFS('Zoho Dump'!$Q$8:$Q$3007,'Zoho Dump'!$N$8:$N$3007,$B300,'Zoho Dump'!$T$8:$T$3007,"Delivered",'Zoho Dump'!$R$8:$R$3007,"&gt;="&amp;Settings!$B$4))</f>
        <v>0</v>
      </c>
      <c r="D300" s="17" t="n">
        <f aca="false">IF($B300="",0,SUMIFS('Zoho Dump'!$X$8:$X$3007,'Zoho Dump'!$N$8:$N$3007,$B300,'Zoho Dump'!$T$8:$T$3007,"Backlog")+SUMIFS(Adjustments!$K$8:$K$207,Adjustments!$B$8:$B$207,$B300,Adjustments!$H$8:$H$207,"Backlog"))</f>
        <v>0</v>
      </c>
      <c r="E300" s="17" t="n">
        <f aca="false">IF($B300="",0,SUMIFS('Zoho Dump'!$Y$8:$Y$3007,'Zoho Dump'!$N$8:$N$3007,$B300,'Zoho Dump'!$T$8:$T$3007,"Pipeline")+SUMIFS(Adjustments!$L$8:$L$207,Adjustments!$B$8:$B$207,$B300,Adjustments!$H$8:$H$207,"Pipeline")+SUMIFS('Zoho Dump'!$Y$8:$Y$3007,'Zoho Dump'!$N$8:$N$3007,$B300,'Zoho Dump'!$T$8:$T$3007,"Overdue")+SUMIFS(Adjustments!$L$8:$L$207,Adjustments!$B$8:$B$207,$B300,Adjustments!$H$8:$H$207,"Overdue"))</f>
        <v>0</v>
      </c>
      <c r="F300" s="17" t="n">
        <f aca="false">IF($B300="",0,SUMIFS('Zoho Dump'!$X$8:$X$3007,'Zoho Dump'!$N$8:$N$3007,$B300,'Zoho Dump'!$T$8:$T$3007,"Pipeline")+SUMIFS(Adjustments!$K$8:$K$207,Adjustments!$B$8:$B$207,$B300,Adjustments!$H$8:$H$207,"Pipeline")+SUMIFS('Zoho Dump'!$X$8:$X$3007,'Zoho Dump'!$N$8:$N$3007,$B300,'Zoho Dump'!$T$8:$T$3007,"Overdue")+SUMIFS(Adjustments!$K$8:$K$207,Adjustments!$B$8:$B$207,$B300,Adjustments!$H$8:$H$207,"Overdue"))</f>
        <v>0</v>
      </c>
      <c r="G300" s="17" t="n">
        <f aca="false">D300+F300</f>
        <v>0</v>
      </c>
      <c r="H300" s="18" t="n">
        <f aca="false">IF(SUM($G$5:$G$404)=0,0,G300/SUM($G$5:$G$404))</f>
        <v>0</v>
      </c>
      <c r="I300" s="17" t="n">
        <f aca="false">IF($B300="",0,SUMIFS('Zoho Dump'!$Q$8:$Q$3007,'Zoho Dump'!$N$8:$N$3007,$B300,'Zoho Dump'!$T$8:$T$3007,"Lost",'Zoho Dump'!$R$8:$R$3007,"&gt;="&amp;Settings!$B$4))</f>
        <v>0</v>
      </c>
      <c r="J300" s="9" t="str">
        <f aca="false">IF($B300="","",IF(COUNTIF(Dashboard!$C$13:$C$22,$B300)&gt;0,"Yes",""))</f>
        <v/>
      </c>
      <c r="K300" s="17" t="n">
        <f aca="false">IF($B300="",0,SUMIFS('Zoho Dump'!$X$8:$X$3007,'Zoho Dump'!$N$8:$N$3007,$B300,'Zoho Dump'!$P$8:$P$3007,Settings!$A$12)+SUMIFS(Adjustments!$K$8:$K$207,Adjustments!$B$8:$B$207,$B300,Adjustments!$A$8:$A$207,Settings!$A$12))</f>
        <v>0</v>
      </c>
      <c r="L300" s="17" t="n">
        <f aca="false">IF($B300="",0,SUMIFS('Zoho Dump'!$X$8:$X$3007,'Zoho Dump'!$N$8:$N$3007,$B300,'Zoho Dump'!$P$8:$P$3007,Settings!$A$13)+SUMIFS(Adjustments!$K$8:$K$207,Adjustments!$B$8:$B$207,$B300,Adjustments!$A$8:$A$207,Settings!$A$13))</f>
        <v>0</v>
      </c>
      <c r="M300" s="17" t="n">
        <f aca="false">IF($B300="",0,SUMIFS('Zoho Dump'!$X$8:$X$3007,'Zoho Dump'!$N$8:$N$3007,$B300,'Zoho Dump'!$P$8:$P$3007,Settings!$A$14)+SUMIFS(Adjustments!$K$8:$K$207,Adjustments!$B$8:$B$207,$B300,Adjustments!$A$8:$A$207,Settings!$A$14))</f>
        <v>0</v>
      </c>
      <c r="N300" s="17" t="n">
        <f aca="false">IF($B300="",0,SUMIFS('Zoho Dump'!$X$8:$X$3007,'Zoho Dump'!$N$8:$N$3007,$B300,'Zoho Dump'!$P$8:$P$3007,Settings!$A$15)+SUMIFS(Adjustments!$K$8:$K$207,Adjustments!$B$8:$B$207,$B300,Adjustments!$A$8:$A$207,Settings!$A$15))</f>
        <v>0</v>
      </c>
      <c r="O300" s="17" t="n">
        <f aca="false">IF($B300="",0,SUMIFS('Zoho Dump'!$X$8:$X$3007,'Zoho Dump'!$N$8:$N$3007,$B300,'Zoho Dump'!$P$8:$P$3007,Settings!$A$16)+SUMIFS(Adjustments!$K$8:$K$207,Adjustments!$B$8:$B$207,$B300,Adjustments!$A$8:$A$207,Settings!$A$16))</f>
        <v>0</v>
      </c>
      <c r="P300" s="17" t="n">
        <f aca="false">IF($B300="",0,SUMIFS('Zoho Dump'!$X$8:$X$3007,'Zoho Dump'!$N$8:$N$3007,$B300,'Zoho Dump'!$P$8:$P$3007,Settings!$A$17)+SUMIFS(Adjustments!$K$8:$K$207,Adjustments!$B$8:$B$207,$B300,Adjustments!$A$8:$A$207,Settings!$A$17))</f>
        <v>0</v>
      </c>
      <c r="Q300" s="17" t="n">
        <f aca="false">IF($B300="",0,SUMIFS('Zoho Dump'!$X$8:$X$3007,'Zoho Dump'!$N$8:$N$3007,$B300,'Zoho Dump'!$P$8:$P$3007,Settings!$A$18)+SUMIFS(Adjustments!$K$8:$K$207,Adjustments!$B$8:$B$207,$B300,Adjustments!$A$8:$A$207,Settings!$A$18))</f>
        <v>0</v>
      </c>
      <c r="R300" s="30" t="str">
        <f aca="false">IF(G300&gt;0,G300+A300/10000000,"")</f>
        <v/>
      </c>
    </row>
    <row r="301" customFormat="false" ht="15" hidden="false" customHeight="false" outlineLevel="0" collapsed="false">
      <c r="A301" s="9" t="n">
        <v>297</v>
      </c>
      <c r="B301" s="9" t="str">
        <f aca="false">IFERROR(INDEX('Zoho Dump'!$N$8:$N$3007,MATCH(A301,'Zoho Dump'!$AB$8:$AB$3007,0)),"")</f>
        <v/>
      </c>
      <c r="C301" s="17" t="n">
        <f aca="false">IF($B301="",0,SUMIFS('Zoho Dump'!$Q$8:$Q$3007,'Zoho Dump'!$N$8:$N$3007,$B301,'Zoho Dump'!$T$8:$T$3007,"Delivered",'Zoho Dump'!$R$8:$R$3007,"&gt;="&amp;Settings!$B$4))</f>
        <v>0</v>
      </c>
      <c r="D301" s="17" t="n">
        <f aca="false">IF($B301="",0,SUMIFS('Zoho Dump'!$X$8:$X$3007,'Zoho Dump'!$N$8:$N$3007,$B301,'Zoho Dump'!$T$8:$T$3007,"Backlog")+SUMIFS(Adjustments!$K$8:$K$207,Adjustments!$B$8:$B$207,$B301,Adjustments!$H$8:$H$207,"Backlog"))</f>
        <v>0</v>
      </c>
      <c r="E301" s="17" t="n">
        <f aca="false">IF($B301="",0,SUMIFS('Zoho Dump'!$Y$8:$Y$3007,'Zoho Dump'!$N$8:$N$3007,$B301,'Zoho Dump'!$T$8:$T$3007,"Pipeline")+SUMIFS(Adjustments!$L$8:$L$207,Adjustments!$B$8:$B$207,$B301,Adjustments!$H$8:$H$207,"Pipeline")+SUMIFS('Zoho Dump'!$Y$8:$Y$3007,'Zoho Dump'!$N$8:$N$3007,$B301,'Zoho Dump'!$T$8:$T$3007,"Overdue")+SUMIFS(Adjustments!$L$8:$L$207,Adjustments!$B$8:$B$207,$B301,Adjustments!$H$8:$H$207,"Overdue"))</f>
        <v>0</v>
      </c>
      <c r="F301" s="17" t="n">
        <f aca="false">IF($B301="",0,SUMIFS('Zoho Dump'!$X$8:$X$3007,'Zoho Dump'!$N$8:$N$3007,$B301,'Zoho Dump'!$T$8:$T$3007,"Pipeline")+SUMIFS(Adjustments!$K$8:$K$207,Adjustments!$B$8:$B$207,$B301,Adjustments!$H$8:$H$207,"Pipeline")+SUMIFS('Zoho Dump'!$X$8:$X$3007,'Zoho Dump'!$N$8:$N$3007,$B301,'Zoho Dump'!$T$8:$T$3007,"Overdue")+SUMIFS(Adjustments!$K$8:$K$207,Adjustments!$B$8:$B$207,$B301,Adjustments!$H$8:$H$207,"Overdue"))</f>
        <v>0</v>
      </c>
      <c r="G301" s="17" t="n">
        <f aca="false">D301+F301</f>
        <v>0</v>
      </c>
      <c r="H301" s="18" t="n">
        <f aca="false">IF(SUM($G$5:$G$404)=0,0,G301/SUM($G$5:$G$404))</f>
        <v>0</v>
      </c>
      <c r="I301" s="17" t="n">
        <f aca="false">IF($B301="",0,SUMIFS('Zoho Dump'!$Q$8:$Q$3007,'Zoho Dump'!$N$8:$N$3007,$B301,'Zoho Dump'!$T$8:$T$3007,"Lost",'Zoho Dump'!$R$8:$R$3007,"&gt;="&amp;Settings!$B$4))</f>
        <v>0</v>
      </c>
      <c r="J301" s="9" t="str">
        <f aca="false">IF($B301="","",IF(COUNTIF(Dashboard!$C$13:$C$22,$B301)&gt;0,"Yes",""))</f>
        <v/>
      </c>
      <c r="K301" s="17" t="n">
        <f aca="false">IF($B301="",0,SUMIFS('Zoho Dump'!$X$8:$X$3007,'Zoho Dump'!$N$8:$N$3007,$B301,'Zoho Dump'!$P$8:$P$3007,Settings!$A$12)+SUMIFS(Adjustments!$K$8:$K$207,Adjustments!$B$8:$B$207,$B301,Adjustments!$A$8:$A$207,Settings!$A$12))</f>
        <v>0</v>
      </c>
      <c r="L301" s="17" t="n">
        <f aca="false">IF($B301="",0,SUMIFS('Zoho Dump'!$X$8:$X$3007,'Zoho Dump'!$N$8:$N$3007,$B301,'Zoho Dump'!$P$8:$P$3007,Settings!$A$13)+SUMIFS(Adjustments!$K$8:$K$207,Adjustments!$B$8:$B$207,$B301,Adjustments!$A$8:$A$207,Settings!$A$13))</f>
        <v>0</v>
      </c>
      <c r="M301" s="17" t="n">
        <f aca="false">IF($B301="",0,SUMIFS('Zoho Dump'!$X$8:$X$3007,'Zoho Dump'!$N$8:$N$3007,$B301,'Zoho Dump'!$P$8:$P$3007,Settings!$A$14)+SUMIFS(Adjustments!$K$8:$K$207,Adjustments!$B$8:$B$207,$B301,Adjustments!$A$8:$A$207,Settings!$A$14))</f>
        <v>0</v>
      </c>
      <c r="N301" s="17" t="n">
        <f aca="false">IF($B301="",0,SUMIFS('Zoho Dump'!$X$8:$X$3007,'Zoho Dump'!$N$8:$N$3007,$B301,'Zoho Dump'!$P$8:$P$3007,Settings!$A$15)+SUMIFS(Adjustments!$K$8:$K$207,Adjustments!$B$8:$B$207,$B301,Adjustments!$A$8:$A$207,Settings!$A$15))</f>
        <v>0</v>
      </c>
      <c r="O301" s="17" t="n">
        <f aca="false">IF($B301="",0,SUMIFS('Zoho Dump'!$X$8:$X$3007,'Zoho Dump'!$N$8:$N$3007,$B301,'Zoho Dump'!$P$8:$P$3007,Settings!$A$16)+SUMIFS(Adjustments!$K$8:$K$207,Adjustments!$B$8:$B$207,$B301,Adjustments!$A$8:$A$207,Settings!$A$16))</f>
        <v>0</v>
      </c>
      <c r="P301" s="17" t="n">
        <f aca="false">IF($B301="",0,SUMIFS('Zoho Dump'!$X$8:$X$3007,'Zoho Dump'!$N$8:$N$3007,$B301,'Zoho Dump'!$P$8:$P$3007,Settings!$A$17)+SUMIFS(Adjustments!$K$8:$K$207,Adjustments!$B$8:$B$207,$B301,Adjustments!$A$8:$A$207,Settings!$A$17))</f>
        <v>0</v>
      </c>
      <c r="Q301" s="17" t="n">
        <f aca="false">IF($B301="",0,SUMIFS('Zoho Dump'!$X$8:$X$3007,'Zoho Dump'!$N$8:$N$3007,$B301,'Zoho Dump'!$P$8:$P$3007,Settings!$A$18)+SUMIFS(Adjustments!$K$8:$K$207,Adjustments!$B$8:$B$207,$B301,Adjustments!$A$8:$A$207,Settings!$A$18))</f>
        <v>0</v>
      </c>
      <c r="R301" s="30" t="str">
        <f aca="false">IF(G301&gt;0,G301+A301/10000000,"")</f>
        <v/>
      </c>
    </row>
    <row r="302" customFormat="false" ht="15" hidden="false" customHeight="false" outlineLevel="0" collapsed="false">
      <c r="A302" s="9" t="n">
        <v>298</v>
      </c>
      <c r="B302" s="9" t="str">
        <f aca="false">IFERROR(INDEX('Zoho Dump'!$N$8:$N$3007,MATCH(A302,'Zoho Dump'!$AB$8:$AB$3007,0)),"")</f>
        <v/>
      </c>
      <c r="C302" s="17" t="n">
        <f aca="false">IF($B302="",0,SUMIFS('Zoho Dump'!$Q$8:$Q$3007,'Zoho Dump'!$N$8:$N$3007,$B302,'Zoho Dump'!$T$8:$T$3007,"Delivered",'Zoho Dump'!$R$8:$R$3007,"&gt;="&amp;Settings!$B$4))</f>
        <v>0</v>
      </c>
      <c r="D302" s="17" t="n">
        <f aca="false">IF($B302="",0,SUMIFS('Zoho Dump'!$X$8:$X$3007,'Zoho Dump'!$N$8:$N$3007,$B302,'Zoho Dump'!$T$8:$T$3007,"Backlog")+SUMIFS(Adjustments!$K$8:$K$207,Adjustments!$B$8:$B$207,$B302,Adjustments!$H$8:$H$207,"Backlog"))</f>
        <v>0</v>
      </c>
      <c r="E302" s="17" t="n">
        <f aca="false">IF($B302="",0,SUMIFS('Zoho Dump'!$Y$8:$Y$3007,'Zoho Dump'!$N$8:$N$3007,$B302,'Zoho Dump'!$T$8:$T$3007,"Pipeline")+SUMIFS(Adjustments!$L$8:$L$207,Adjustments!$B$8:$B$207,$B302,Adjustments!$H$8:$H$207,"Pipeline")+SUMIFS('Zoho Dump'!$Y$8:$Y$3007,'Zoho Dump'!$N$8:$N$3007,$B302,'Zoho Dump'!$T$8:$T$3007,"Overdue")+SUMIFS(Adjustments!$L$8:$L$207,Adjustments!$B$8:$B$207,$B302,Adjustments!$H$8:$H$207,"Overdue"))</f>
        <v>0</v>
      </c>
      <c r="F302" s="17" t="n">
        <f aca="false">IF($B302="",0,SUMIFS('Zoho Dump'!$X$8:$X$3007,'Zoho Dump'!$N$8:$N$3007,$B302,'Zoho Dump'!$T$8:$T$3007,"Pipeline")+SUMIFS(Adjustments!$K$8:$K$207,Adjustments!$B$8:$B$207,$B302,Adjustments!$H$8:$H$207,"Pipeline")+SUMIFS('Zoho Dump'!$X$8:$X$3007,'Zoho Dump'!$N$8:$N$3007,$B302,'Zoho Dump'!$T$8:$T$3007,"Overdue")+SUMIFS(Adjustments!$K$8:$K$207,Adjustments!$B$8:$B$207,$B302,Adjustments!$H$8:$H$207,"Overdue"))</f>
        <v>0</v>
      </c>
      <c r="G302" s="17" t="n">
        <f aca="false">D302+F302</f>
        <v>0</v>
      </c>
      <c r="H302" s="18" t="n">
        <f aca="false">IF(SUM($G$5:$G$404)=0,0,G302/SUM($G$5:$G$404))</f>
        <v>0</v>
      </c>
      <c r="I302" s="17" t="n">
        <f aca="false">IF($B302="",0,SUMIFS('Zoho Dump'!$Q$8:$Q$3007,'Zoho Dump'!$N$8:$N$3007,$B302,'Zoho Dump'!$T$8:$T$3007,"Lost",'Zoho Dump'!$R$8:$R$3007,"&gt;="&amp;Settings!$B$4))</f>
        <v>0</v>
      </c>
      <c r="J302" s="9" t="str">
        <f aca="false">IF($B302="","",IF(COUNTIF(Dashboard!$C$13:$C$22,$B302)&gt;0,"Yes",""))</f>
        <v/>
      </c>
      <c r="K302" s="17" t="n">
        <f aca="false">IF($B302="",0,SUMIFS('Zoho Dump'!$X$8:$X$3007,'Zoho Dump'!$N$8:$N$3007,$B302,'Zoho Dump'!$P$8:$P$3007,Settings!$A$12)+SUMIFS(Adjustments!$K$8:$K$207,Adjustments!$B$8:$B$207,$B302,Adjustments!$A$8:$A$207,Settings!$A$12))</f>
        <v>0</v>
      </c>
      <c r="L302" s="17" t="n">
        <f aca="false">IF($B302="",0,SUMIFS('Zoho Dump'!$X$8:$X$3007,'Zoho Dump'!$N$8:$N$3007,$B302,'Zoho Dump'!$P$8:$P$3007,Settings!$A$13)+SUMIFS(Adjustments!$K$8:$K$207,Adjustments!$B$8:$B$207,$B302,Adjustments!$A$8:$A$207,Settings!$A$13))</f>
        <v>0</v>
      </c>
      <c r="M302" s="17" t="n">
        <f aca="false">IF($B302="",0,SUMIFS('Zoho Dump'!$X$8:$X$3007,'Zoho Dump'!$N$8:$N$3007,$B302,'Zoho Dump'!$P$8:$P$3007,Settings!$A$14)+SUMIFS(Adjustments!$K$8:$K$207,Adjustments!$B$8:$B$207,$B302,Adjustments!$A$8:$A$207,Settings!$A$14))</f>
        <v>0</v>
      </c>
      <c r="N302" s="17" t="n">
        <f aca="false">IF($B302="",0,SUMIFS('Zoho Dump'!$X$8:$X$3007,'Zoho Dump'!$N$8:$N$3007,$B302,'Zoho Dump'!$P$8:$P$3007,Settings!$A$15)+SUMIFS(Adjustments!$K$8:$K$207,Adjustments!$B$8:$B$207,$B302,Adjustments!$A$8:$A$207,Settings!$A$15))</f>
        <v>0</v>
      </c>
      <c r="O302" s="17" t="n">
        <f aca="false">IF($B302="",0,SUMIFS('Zoho Dump'!$X$8:$X$3007,'Zoho Dump'!$N$8:$N$3007,$B302,'Zoho Dump'!$P$8:$P$3007,Settings!$A$16)+SUMIFS(Adjustments!$K$8:$K$207,Adjustments!$B$8:$B$207,$B302,Adjustments!$A$8:$A$207,Settings!$A$16))</f>
        <v>0</v>
      </c>
      <c r="P302" s="17" t="n">
        <f aca="false">IF($B302="",0,SUMIFS('Zoho Dump'!$X$8:$X$3007,'Zoho Dump'!$N$8:$N$3007,$B302,'Zoho Dump'!$P$8:$P$3007,Settings!$A$17)+SUMIFS(Adjustments!$K$8:$K$207,Adjustments!$B$8:$B$207,$B302,Adjustments!$A$8:$A$207,Settings!$A$17))</f>
        <v>0</v>
      </c>
      <c r="Q302" s="17" t="n">
        <f aca="false">IF($B302="",0,SUMIFS('Zoho Dump'!$X$8:$X$3007,'Zoho Dump'!$N$8:$N$3007,$B302,'Zoho Dump'!$P$8:$P$3007,Settings!$A$18)+SUMIFS(Adjustments!$K$8:$K$207,Adjustments!$B$8:$B$207,$B302,Adjustments!$A$8:$A$207,Settings!$A$18))</f>
        <v>0</v>
      </c>
      <c r="R302" s="30" t="str">
        <f aca="false">IF(G302&gt;0,G302+A302/10000000,"")</f>
        <v/>
      </c>
    </row>
    <row r="303" customFormat="false" ht="15" hidden="false" customHeight="false" outlineLevel="0" collapsed="false">
      <c r="A303" s="9" t="n">
        <v>299</v>
      </c>
      <c r="B303" s="9" t="str">
        <f aca="false">IFERROR(INDEX('Zoho Dump'!$N$8:$N$3007,MATCH(A303,'Zoho Dump'!$AB$8:$AB$3007,0)),"")</f>
        <v/>
      </c>
      <c r="C303" s="17" t="n">
        <f aca="false">IF($B303="",0,SUMIFS('Zoho Dump'!$Q$8:$Q$3007,'Zoho Dump'!$N$8:$N$3007,$B303,'Zoho Dump'!$T$8:$T$3007,"Delivered",'Zoho Dump'!$R$8:$R$3007,"&gt;="&amp;Settings!$B$4))</f>
        <v>0</v>
      </c>
      <c r="D303" s="17" t="n">
        <f aca="false">IF($B303="",0,SUMIFS('Zoho Dump'!$X$8:$X$3007,'Zoho Dump'!$N$8:$N$3007,$B303,'Zoho Dump'!$T$8:$T$3007,"Backlog")+SUMIFS(Adjustments!$K$8:$K$207,Adjustments!$B$8:$B$207,$B303,Adjustments!$H$8:$H$207,"Backlog"))</f>
        <v>0</v>
      </c>
      <c r="E303" s="17" t="n">
        <f aca="false">IF($B303="",0,SUMIFS('Zoho Dump'!$Y$8:$Y$3007,'Zoho Dump'!$N$8:$N$3007,$B303,'Zoho Dump'!$T$8:$T$3007,"Pipeline")+SUMIFS(Adjustments!$L$8:$L$207,Adjustments!$B$8:$B$207,$B303,Adjustments!$H$8:$H$207,"Pipeline")+SUMIFS('Zoho Dump'!$Y$8:$Y$3007,'Zoho Dump'!$N$8:$N$3007,$B303,'Zoho Dump'!$T$8:$T$3007,"Overdue")+SUMIFS(Adjustments!$L$8:$L$207,Adjustments!$B$8:$B$207,$B303,Adjustments!$H$8:$H$207,"Overdue"))</f>
        <v>0</v>
      </c>
      <c r="F303" s="17" t="n">
        <f aca="false">IF($B303="",0,SUMIFS('Zoho Dump'!$X$8:$X$3007,'Zoho Dump'!$N$8:$N$3007,$B303,'Zoho Dump'!$T$8:$T$3007,"Pipeline")+SUMIFS(Adjustments!$K$8:$K$207,Adjustments!$B$8:$B$207,$B303,Adjustments!$H$8:$H$207,"Pipeline")+SUMIFS('Zoho Dump'!$X$8:$X$3007,'Zoho Dump'!$N$8:$N$3007,$B303,'Zoho Dump'!$T$8:$T$3007,"Overdue")+SUMIFS(Adjustments!$K$8:$K$207,Adjustments!$B$8:$B$207,$B303,Adjustments!$H$8:$H$207,"Overdue"))</f>
        <v>0</v>
      </c>
      <c r="G303" s="17" t="n">
        <f aca="false">D303+F303</f>
        <v>0</v>
      </c>
      <c r="H303" s="18" t="n">
        <f aca="false">IF(SUM($G$5:$G$404)=0,0,G303/SUM($G$5:$G$404))</f>
        <v>0</v>
      </c>
      <c r="I303" s="17" t="n">
        <f aca="false">IF($B303="",0,SUMIFS('Zoho Dump'!$Q$8:$Q$3007,'Zoho Dump'!$N$8:$N$3007,$B303,'Zoho Dump'!$T$8:$T$3007,"Lost",'Zoho Dump'!$R$8:$R$3007,"&gt;="&amp;Settings!$B$4))</f>
        <v>0</v>
      </c>
      <c r="J303" s="9" t="str">
        <f aca="false">IF($B303="","",IF(COUNTIF(Dashboard!$C$13:$C$22,$B303)&gt;0,"Yes",""))</f>
        <v/>
      </c>
      <c r="K303" s="17" t="n">
        <f aca="false">IF($B303="",0,SUMIFS('Zoho Dump'!$X$8:$X$3007,'Zoho Dump'!$N$8:$N$3007,$B303,'Zoho Dump'!$P$8:$P$3007,Settings!$A$12)+SUMIFS(Adjustments!$K$8:$K$207,Adjustments!$B$8:$B$207,$B303,Adjustments!$A$8:$A$207,Settings!$A$12))</f>
        <v>0</v>
      </c>
      <c r="L303" s="17" t="n">
        <f aca="false">IF($B303="",0,SUMIFS('Zoho Dump'!$X$8:$X$3007,'Zoho Dump'!$N$8:$N$3007,$B303,'Zoho Dump'!$P$8:$P$3007,Settings!$A$13)+SUMIFS(Adjustments!$K$8:$K$207,Adjustments!$B$8:$B$207,$B303,Adjustments!$A$8:$A$207,Settings!$A$13))</f>
        <v>0</v>
      </c>
      <c r="M303" s="17" t="n">
        <f aca="false">IF($B303="",0,SUMIFS('Zoho Dump'!$X$8:$X$3007,'Zoho Dump'!$N$8:$N$3007,$B303,'Zoho Dump'!$P$8:$P$3007,Settings!$A$14)+SUMIFS(Adjustments!$K$8:$K$207,Adjustments!$B$8:$B$207,$B303,Adjustments!$A$8:$A$207,Settings!$A$14))</f>
        <v>0</v>
      </c>
      <c r="N303" s="17" t="n">
        <f aca="false">IF($B303="",0,SUMIFS('Zoho Dump'!$X$8:$X$3007,'Zoho Dump'!$N$8:$N$3007,$B303,'Zoho Dump'!$P$8:$P$3007,Settings!$A$15)+SUMIFS(Adjustments!$K$8:$K$207,Adjustments!$B$8:$B$207,$B303,Adjustments!$A$8:$A$207,Settings!$A$15))</f>
        <v>0</v>
      </c>
      <c r="O303" s="17" t="n">
        <f aca="false">IF($B303="",0,SUMIFS('Zoho Dump'!$X$8:$X$3007,'Zoho Dump'!$N$8:$N$3007,$B303,'Zoho Dump'!$P$8:$P$3007,Settings!$A$16)+SUMIFS(Adjustments!$K$8:$K$207,Adjustments!$B$8:$B$207,$B303,Adjustments!$A$8:$A$207,Settings!$A$16))</f>
        <v>0</v>
      </c>
      <c r="P303" s="17" t="n">
        <f aca="false">IF($B303="",0,SUMIFS('Zoho Dump'!$X$8:$X$3007,'Zoho Dump'!$N$8:$N$3007,$B303,'Zoho Dump'!$P$8:$P$3007,Settings!$A$17)+SUMIFS(Adjustments!$K$8:$K$207,Adjustments!$B$8:$B$207,$B303,Adjustments!$A$8:$A$207,Settings!$A$17))</f>
        <v>0</v>
      </c>
      <c r="Q303" s="17" t="n">
        <f aca="false">IF($B303="",0,SUMIFS('Zoho Dump'!$X$8:$X$3007,'Zoho Dump'!$N$8:$N$3007,$B303,'Zoho Dump'!$P$8:$P$3007,Settings!$A$18)+SUMIFS(Adjustments!$K$8:$K$207,Adjustments!$B$8:$B$207,$B303,Adjustments!$A$8:$A$207,Settings!$A$18))</f>
        <v>0</v>
      </c>
      <c r="R303" s="30" t="str">
        <f aca="false">IF(G303&gt;0,G303+A303/10000000,"")</f>
        <v/>
      </c>
    </row>
    <row r="304" customFormat="false" ht="15" hidden="false" customHeight="false" outlineLevel="0" collapsed="false">
      <c r="A304" s="9" t="n">
        <v>300</v>
      </c>
      <c r="B304" s="9" t="str">
        <f aca="false">IFERROR(INDEX('Zoho Dump'!$N$8:$N$3007,MATCH(A304,'Zoho Dump'!$AB$8:$AB$3007,0)),"")</f>
        <v/>
      </c>
      <c r="C304" s="17" t="n">
        <f aca="false">IF($B304="",0,SUMIFS('Zoho Dump'!$Q$8:$Q$3007,'Zoho Dump'!$N$8:$N$3007,$B304,'Zoho Dump'!$T$8:$T$3007,"Delivered",'Zoho Dump'!$R$8:$R$3007,"&gt;="&amp;Settings!$B$4))</f>
        <v>0</v>
      </c>
      <c r="D304" s="17" t="n">
        <f aca="false">IF($B304="",0,SUMIFS('Zoho Dump'!$X$8:$X$3007,'Zoho Dump'!$N$8:$N$3007,$B304,'Zoho Dump'!$T$8:$T$3007,"Backlog")+SUMIFS(Adjustments!$K$8:$K$207,Adjustments!$B$8:$B$207,$B304,Adjustments!$H$8:$H$207,"Backlog"))</f>
        <v>0</v>
      </c>
      <c r="E304" s="17" t="n">
        <f aca="false">IF($B304="",0,SUMIFS('Zoho Dump'!$Y$8:$Y$3007,'Zoho Dump'!$N$8:$N$3007,$B304,'Zoho Dump'!$T$8:$T$3007,"Pipeline")+SUMIFS(Adjustments!$L$8:$L$207,Adjustments!$B$8:$B$207,$B304,Adjustments!$H$8:$H$207,"Pipeline")+SUMIFS('Zoho Dump'!$Y$8:$Y$3007,'Zoho Dump'!$N$8:$N$3007,$B304,'Zoho Dump'!$T$8:$T$3007,"Overdue")+SUMIFS(Adjustments!$L$8:$L$207,Adjustments!$B$8:$B$207,$B304,Adjustments!$H$8:$H$207,"Overdue"))</f>
        <v>0</v>
      </c>
      <c r="F304" s="17" t="n">
        <f aca="false">IF($B304="",0,SUMIFS('Zoho Dump'!$X$8:$X$3007,'Zoho Dump'!$N$8:$N$3007,$B304,'Zoho Dump'!$T$8:$T$3007,"Pipeline")+SUMIFS(Adjustments!$K$8:$K$207,Adjustments!$B$8:$B$207,$B304,Adjustments!$H$8:$H$207,"Pipeline")+SUMIFS('Zoho Dump'!$X$8:$X$3007,'Zoho Dump'!$N$8:$N$3007,$B304,'Zoho Dump'!$T$8:$T$3007,"Overdue")+SUMIFS(Adjustments!$K$8:$K$207,Adjustments!$B$8:$B$207,$B304,Adjustments!$H$8:$H$207,"Overdue"))</f>
        <v>0</v>
      </c>
      <c r="G304" s="17" t="n">
        <f aca="false">D304+F304</f>
        <v>0</v>
      </c>
      <c r="H304" s="18" t="n">
        <f aca="false">IF(SUM($G$5:$G$404)=0,0,G304/SUM($G$5:$G$404))</f>
        <v>0</v>
      </c>
      <c r="I304" s="17" t="n">
        <f aca="false">IF($B304="",0,SUMIFS('Zoho Dump'!$Q$8:$Q$3007,'Zoho Dump'!$N$8:$N$3007,$B304,'Zoho Dump'!$T$8:$T$3007,"Lost",'Zoho Dump'!$R$8:$R$3007,"&gt;="&amp;Settings!$B$4))</f>
        <v>0</v>
      </c>
      <c r="J304" s="9" t="str">
        <f aca="false">IF($B304="","",IF(COUNTIF(Dashboard!$C$13:$C$22,$B304)&gt;0,"Yes",""))</f>
        <v/>
      </c>
      <c r="K304" s="17" t="n">
        <f aca="false">IF($B304="",0,SUMIFS('Zoho Dump'!$X$8:$X$3007,'Zoho Dump'!$N$8:$N$3007,$B304,'Zoho Dump'!$P$8:$P$3007,Settings!$A$12)+SUMIFS(Adjustments!$K$8:$K$207,Adjustments!$B$8:$B$207,$B304,Adjustments!$A$8:$A$207,Settings!$A$12))</f>
        <v>0</v>
      </c>
      <c r="L304" s="17" t="n">
        <f aca="false">IF($B304="",0,SUMIFS('Zoho Dump'!$X$8:$X$3007,'Zoho Dump'!$N$8:$N$3007,$B304,'Zoho Dump'!$P$8:$P$3007,Settings!$A$13)+SUMIFS(Adjustments!$K$8:$K$207,Adjustments!$B$8:$B$207,$B304,Adjustments!$A$8:$A$207,Settings!$A$13))</f>
        <v>0</v>
      </c>
      <c r="M304" s="17" t="n">
        <f aca="false">IF($B304="",0,SUMIFS('Zoho Dump'!$X$8:$X$3007,'Zoho Dump'!$N$8:$N$3007,$B304,'Zoho Dump'!$P$8:$P$3007,Settings!$A$14)+SUMIFS(Adjustments!$K$8:$K$207,Adjustments!$B$8:$B$207,$B304,Adjustments!$A$8:$A$207,Settings!$A$14))</f>
        <v>0</v>
      </c>
      <c r="N304" s="17" t="n">
        <f aca="false">IF($B304="",0,SUMIFS('Zoho Dump'!$X$8:$X$3007,'Zoho Dump'!$N$8:$N$3007,$B304,'Zoho Dump'!$P$8:$P$3007,Settings!$A$15)+SUMIFS(Adjustments!$K$8:$K$207,Adjustments!$B$8:$B$207,$B304,Adjustments!$A$8:$A$207,Settings!$A$15))</f>
        <v>0</v>
      </c>
      <c r="O304" s="17" t="n">
        <f aca="false">IF($B304="",0,SUMIFS('Zoho Dump'!$X$8:$X$3007,'Zoho Dump'!$N$8:$N$3007,$B304,'Zoho Dump'!$P$8:$P$3007,Settings!$A$16)+SUMIFS(Adjustments!$K$8:$K$207,Adjustments!$B$8:$B$207,$B304,Adjustments!$A$8:$A$207,Settings!$A$16))</f>
        <v>0</v>
      </c>
      <c r="P304" s="17" t="n">
        <f aca="false">IF($B304="",0,SUMIFS('Zoho Dump'!$X$8:$X$3007,'Zoho Dump'!$N$8:$N$3007,$B304,'Zoho Dump'!$P$8:$P$3007,Settings!$A$17)+SUMIFS(Adjustments!$K$8:$K$207,Adjustments!$B$8:$B$207,$B304,Adjustments!$A$8:$A$207,Settings!$A$17))</f>
        <v>0</v>
      </c>
      <c r="Q304" s="17" t="n">
        <f aca="false">IF($B304="",0,SUMIFS('Zoho Dump'!$X$8:$X$3007,'Zoho Dump'!$N$8:$N$3007,$B304,'Zoho Dump'!$P$8:$P$3007,Settings!$A$18)+SUMIFS(Adjustments!$K$8:$K$207,Adjustments!$B$8:$B$207,$B304,Adjustments!$A$8:$A$207,Settings!$A$18))</f>
        <v>0</v>
      </c>
      <c r="R304" s="30" t="str">
        <f aca="false">IF(G304&gt;0,G304+A304/10000000,"")</f>
        <v/>
      </c>
    </row>
    <row r="305" customFormat="false" ht="15" hidden="false" customHeight="false" outlineLevel="0" collapsed="false">
      <c r="A305" s="9" t="n">
        <v>301</v>
      </c>
      <c r="B305" s="9" t="str">
        <f aca="false">IFERROR(INDEX('Zoho Dump'!$N$8:$N$3007,MATCH(A305,'Zoho Dump'!$AB$8:$AB$3007,0)),"")</f>
        <v/>
      </c>
      <c r="C305" s="17" t="n">
        <f aca="false">IF($B305="",0,SUMIFS('Zoho Dump'!$Q$8:$Q$3007,'Zoho Dump'!$N$8:$N$3007,$B305,'Zoho Dump'!$T$8:$T$3007,"Delivered",'Zoho Dump'!$R$8:$R$3007,"&gt;="&amp;Settings!$B$4))</f>
        <v>0</v>
      </c>
      <c r="D305" s="17" t="n">
        <f aca="false">IF($B305="",0,SUMIFS('Zoho Dump'!$X$8:$X$3007,'Zoho Dump'!$N$8:$N$3007,$B305,'Zoho Dump'!$T$8:$T$3007,"Backlog")+SUMIFS(Adjustments!$K$8:$K$207,Adjustments!$B$8:$B$207,$B305,Adjustments!$H$8:$H$207,"Backlog"))</f>
        <v>0</v>
      </c>
      <c r="E305" s="17" t="n">
        <f aca="false">IF($B305="",0,SUMIFS('Zoho Dump'!$Y$8:$Y$3007,'Zoho Dump'!$N$8:$N$3007,$B305,'Zoho Dump'!$T$8:$T$3007,"Pipeline")+SUMIFS(Adjustments!$L$8:$L$207,Adjustments!$B$8:$B$207,$B305,Adjustments!$H$8:$H$207,"Pipeline")+SUMIFS('Zoho Dump'!$Y$8:$Y$3007,'Zoho Dump'!$N$8:$N$3007,$B305,'Zoho Dump'!$T$8:$T$3007,"Overdue")+SUMIFS(Adjustments!$L$8:$L$207,Adjustments!$B$8:$B$207,$B305,Adjustments!$H$8:$H$207,"Overdue"))</f>
        <v>0</v>
      </c>
      <c r="F305" s="17" t="n">
        <f aca="false">IF($B305="",0,SUMIFS('Zoho Dump'!$X$8:$X$3007,'Zoho Dump'!$N$8:$N$3007,$B305,'Zoho Dump'!$T$8:$T$3007,"Pipeline")+SUMIFS(Adjustments!$K$8:$K$207,Adjustments!$B$8:$B$207,$B305,Adjustments!$H$8:$H$207,"Pipeline")+SUMIFS('Zoho Dump'!$X$8:$X$3007,'Zoho Dump'!$N$8:$N$3007,$B305,'Zoho Dump'!$T$8:$T$3007,"Overdue")+SUMIFS(Adjustments!$K$8:$K$207,Adjustments!$B$8:$B$207,$B305,Adjustments!$H$8:$H$207,"Overdue"))</f>
        <v>0</v>
      </c>
      <c r="G305" s="17" t="n">
        <f aca="false">D305+F305</f>
        <v>0</v>
      </c>
      <c r="H305" s="18" t="n">
        <f aca="false">IF(SUM($G$5:$G$404)=0,0,G305/SUM($G$5:$G$404))</f>
        <v>0</v>
      </c>
      <c r="I305" s="17" t="n">
        <f aca="false">IF($B305="",0,SUMIFS('Zoho Dump'!$Q$8:$Q$3007,'Zoho Dump'!$N$8:$N$3007,$B305,'Zoho Dump'!$T$8:$T$3007,"Lost",'Zoho Dump'!$R$8:$R$3007,"&gt;="&amp;Settings!$B$4))</f>
        <v>0</v>
      </c>
      <c r="J305" s="9" t="str">
        <f aca="false">IF($B305="","",IF(COUNTIF(Dashboard!$C$13:$C$22,$B305)&gt;0,"Yes",""))</f>
        <v/>
      </c>
      <c r="K305" s="17" t="n">
        <f aca="false">IF($B305="",0,SUMIFS('Zoho Dump'!$X$8:$X$3007,'Zoho Dump'!$N$8:$N$3007,$B305,'Zoho Dump'!$P$8:$P$3007,Settings!$A$12)+SUMIFS(Adjustments!$K$8:$K$207,Adjustments!$B$8:$B$207,$B305,Adjustments!$A$8:$A$207,Settings!$A$12))</f>
        <v>0</v>
      </c>
      <c r="L305" s="17" t="n">
        <f aca="false">IF($B305="",0,SUMIFS('Zoho Dump'!$X$8:$X$3007,'Zoho Dump'!$N$8:$N$3007,$B305,'Zoho Dump'!$P$8:$P$3007,Settings!$A$13)+SUMIFS(Adjustments!$K$8:$K$207,Adjustments!$B$8:$B$207,$B305,Adjustments!$A$8:$A$207,Settings!$A$13))</f>
        <v>0</v>
      </c>
      <c r="M305" s="17" t="n">
        <f aca="false">IF($B305="",0,SUMIFS('Zoho Dump'!$X$8:$X$3007,'Zoho Dump'!$N$8:$N$3007,$B305,'Zoho Dump'!$P$8:$P$3007,Settings!$A$14)+SUMIFS(Adjustments!$K$8:$K$207,Adjustments!$B$8:$B$207,$B305,Adjustments!$A$8:$A$207,Settings!$A$14))</f>
        <v>0</v>
      </c>
      <c r="N305" s="17" t="n">
        <f aca="false">IF($B305="",0,SUMIFS('Zoho Dump'!$X$8:$X$3007,'Zoho Dump'!$N$8:$N$3007,$B305,'Zoho Dump'!$P$8:$P$3007,Settings!$A$15)+SUMIFS(Adjustments!$K$8:$K$207,Adjustments!$B$8:$B$207,$B305,Adjustments!$A$8:$A$207,Settings!$A$15))</f>
        <v>0</v>
      </c>
      <c r="O305" s="17" t="n">
        <f aca="false">IF($B305="",0,SUMIFS('Zoho Dump'!$X$8:$X$3007,'Zoho Dump'!$N$8:$N$3007,$B305,'Zoho Dump'!$P$8:$P$3007,Settings!$A$16)+SUMIFS(Adjustments!$K$8:$K$207,Adjustments!$B$8:$B$207,$B305,Adjustments!$A$8:$A$207,Settings!$A$16))</f>
        <v>0</v>
      </c>
      <c r="P305" s="17" t="n">
        <f aca="false">IF($B305="",0,SUMIFS('Zoho Dump'!$X$8:$X$3007,'Zoho Dump'!$N$8:$N$3007,$B305,'Zoho Dump'!$P$8:$P$3007,Settings!$A$17)+SUMIFS(Adjustments!$K$8:$K$207,Adjustments!$B$8:$B$207,$B305,Adjustments!$A$8:$A$207,Settings!$A$17))</f>
        <v>0</v>
      </c>
      <c r="Q305" s="17" t="n">
        <f aca="false">IF($B305="",0,SUMIFS('Zoho Dump'!$X$8:$X$3007,'Zoho Dump'!$N$8:$N$3007,$B305,'Zoho Dump'!$P$8:$P$3007,Settings!$A$18)+SUMIFS(Adjustments!$K$8:$K$207,Adjustments!$B$8:$B$207,$B305,Adjustments!$A$8:$A$207,Settings!$A$18))</f>
        <v>0</v>
      </c>
      <c r="R305" s="30" t="str">
        <f aca="false">IF(G305&gt;0,G305+A305/10000000,"")</f>
        <v/>
      </c>
    </row>
    <row r="306" customFormat="false" ht="15" hidden="false" customHeight="false" outlineLevel="0" collapsed="false">
      <c r="A306" s="9" t="n">
        <v>302</v>
      </c>
      <c r="B306" s="9" t="str">
        <f aca="false">IFERROR(INDEX('Zoho Dump'!$N$8:$N$3007,MATCH(A306,'Zoho Dump'!$AB$8:$AB$3007,0)),"")</f>
        <v/>
      </c>
      <c r="C306" s="17" t="n">
        <f aca="false">IF($B306="",0,SUMIFS('Zoho Dump'!$Q$8:$Q$3007,'Zoho Dump'!$N$8:$N$3007,$B306,'Zoho Dump'!$T$8:$T$3007,"Delivered",'Zoho Dump'!$R$8:$R$3007,"&gt;="&amp;Settings!$B$4))</f>
        <v>0</v>
      </c>
      <c r="D306" s="17" t="n">
        <f aca="false">IF($B306="",0,SUMIFS('Zoho Dump'!$X$8:$X$3007,'Zoho Dump'!$N$8:$N$3007,$B306,'Zoho Dump'!$T$8:$T$3007,"Backlog")+SUMIFS(Adjustments!$K$8:$K$207,Adjustments!$B$8:$B$207,$B306,Adjustments!$H$8:$H$207,"Backlog"))</f>
        <v>0</v>
      </c>
      <c r="E306" s="17" t="n">
        <f aca="false">IF($B306="",0,SUMIFS('Zoho Dump'!$Y$8:$Y$3007,'Zoho Dump'!$N$8:$N$3007,$B306,'Zoho Dump'!$T$8:$T$3007,"Pipeline")+SUMIFS(Adjustments!$L$8:$L$207,Adjustments!$B$8:$B$207,$B306,Adjustments!$H$8:$H$207,"Pipeline")+SUMIFS('Zoho Dump'!$Y$8:$Y$3007,'Zoho Dump'!$N$8:$N$3007,$B306,'Zoho Dump'!$T$8:$T$3007,"Overdue")+SUMIFS(Adjustments!$L$8:$L$207,Adjustments!$B$8:$B$207,$B306,Adjustments!$H$8:$H$207,"Overdue"))</f>
        <v>0</v>
      </c>
      <c r="F306" s="17" t="n">
        <f aca="false">IF($B306="",0,SUMIFS('Zoho Dump'!$X$8:$X$3007,'Zoho Dump'!$N$8:$N$3007,$B306,'Zoho Dump'!$T$8:$T$3007,"Pipeline")+SUMIFS(Adjustments!$K$8:$K$207,Adjustments!$B$8:$B$207,$B306,Adjustments!$H$8:$H$207,"Pipeline")+SUMIFS('Zoho Dump'!$X$8:$X$3007,'Zoho Dump'!$N$8:$N$3007,$B306,'Zoho Dump'!$T$8:$T$3007,"Overdue")+SUMIFS(Adjustments!$K$8:$K$207,Adjustments!$B$8:$B$207,$B306,Adjustments!$H$8:$H$207,"Overdue"))</f>
        <v>0</v>
      </c>
      <c r="G306" s="17" t="n">
        <f aca="false">D306+F306</f>
        <v>0</v>
      </c>
      <c r="H306" s="18" t="n">
        <f aca="false">IF(SUM($G$5:$G$404)=0,0,G306/SUM($G$5:$G$404))</f>
        <v>0</v>
      </c>
      <c r="I306" s="17" t="n">
        <f aca="false">IF($B306="",0,SUMIFS('Zoho Dump'!$Q$8:$Q$3007,'Zoho Dump'!$N$8:$N$3007,$B306,'Zoho Dump'!$T$8:$T$3007,"Lost",'Zoho Dump'!$R$8:$R$3007,"&gt;="&amp;Settings!$B$4))</f>
        <v>0</v>
      </c>
      <c r="J306" s="9" t="str">
        <f aca="false">IF($B306="","",IF(COUNTIF(Dashboard!$C$13:$C$22,$B306)&gt;0,"Yes",""))</f>
        <v/>
      </c>
      <c r="K306" s="17" t="n">
        <f aca="false">IF($B306="",0,SUMIFS('Zoho Dump'!$X$8:$X$3007,'Zoho Dump'!$N$8:$N$3007,$B306,'Zoho Dump'!$P$8:$P$3007,Settings!$A$12)+SUMIFS(Adjustments!$K$8:$K$207,Adjustments!$B$8:$B$207,$B306,Adjustments!$A$8:$A$207,Settings!$A$12))</f>
        <v>0</v>
      </c>
      <c r="L306" s="17" t="n">
        <f aca="false">IF($B306="",0,SUMIFS('Zoho Dump'!$X$8:$X$3007,'Zoho Dump'!$N$8:$N$3007,$B306,'Zoho Dump'!$P$8:$P$3007,Settings!$A$13)+SUMIFS(Adjustments!$K$8:$K$207,Adjustments!$B$8:$B$207,$B306,Adjustments!$A$8:$A$207,Settings!$A$13))</f>
        <v>0</v>
      </c>
      <c r="M306" s="17" t="n">
        <f aca="false">IF($B306="",0,SUMIFS('Zoho Dump'!$X$8:$X$3007,'Zoho Dump'!$N$8:$N$3007,$B306,'Zoho Dump'!$P$8:$P$3007,Settings!$A$14)+SUMIFS(Adjustments!$K$8:$K$207,Adjustments!$B$8:$B$207,$B306,Adjustments!$A$8:$A$207,Settings!$A$14))</f>
        <v>0</v>
      </c>
      <c r="N306" s="17" t="n">
        <f aca="false">IF($B306="",0,SUMIFS('Zoho Dump'!$X$8:$X$3007,'Zoho Dump'!$N$8:$N$3007,$B306,'Zoho Dump'!$P$8:$P$3007,Settings!$A$15)+SUMIFS(Adjustments!$K$8:$K$207,Adjustments!$B$8:$B$207,$B306,Adjustments!$A$8:$A$207,Settings!$A$15))</f>
        <v>0</v>
      </c>
      <c r="O306" s="17" t="n">
        <f aca="false">IF($B306="",0,SUMIFS('Zoho Dump'!$X$8:$X$3007,'Zoho Dump'!$N$8:$N$3007,$B306,'Zoho Dump'!$P$8:$P$3007,Settings!$A$16)+SUMIFS(Adjustments!$K$8:$K$207,Adjustments!$B$8:$B$207,$B306,Adjustments!$A$8:$A$207,Settings!$A$16))</f>
        <v>0</v>
      </c>
      <c r="P306" s="17" t="n">
        <f aca="false">IF($B306="",0,SUMIFS('Zoho Dump'!$X$8:$X$3007,'Zoho Dump'!$N$8:$N$3007,$B306,'Zoho Dump'!$P$8:$P$3007,Settings!$A$17)+SUMIFS(Adjustments!$K$8:$K$207,Adjustments!$B$8:$B$207,$B306,Adjustments!$A$8:$A$207,Settings!$A$17))</f>
        <v>0</v>
      </c>
      <c r="Q306" s="17" t="n">
        <f aca="false">IF($B306="",0,SUMIFS('Zoho Dump'!$X$8:$X$3007,'Zoho Dump'!$N$8:$N$3007,$B306,'Zoho Dump'!$P$8:$P$3007,Settings!$A$18)+SUMIFS(Adjustments!$K$8:$K$207,Adjustments!$B$8:$B$207,$B306,Adjustments!$A$8:$A$207,Settings!$A$18))</f>
        <v>0</v>
      </c>
      <c r="R306" s="30" t="str">
        <f aca="false">IF(G306&gt;0,G306+A306/10000000,"")</f>
        <v/>
      </c>
    </row>
    <row r="307" customFormat="false" ht="15" hidden="false" customHeight="false" outlineLevel="0" collapsed="false">
      <c r="A307" s="9" t="n">
        <v>303</v>
      </c>
      <c r="B307" s="9" t="str">
        <f aca="false">IFERROR(INDEX('Zoho Dump'!$N$8:$N$3007,MATCH(A307,'Zoho Dump'!$AB$8:$AB$3007,0)),"")</f>
        <v/>
      </c>
      <c r="C307" s="17" t="n">
        <f aca="false">IF($B307="",0,SUMIFS('Zoho Dump'!$Q$8:$Q$3007,'Zoho Dump'!$N$8:$N$3007,$B307,'Zoho Dump'!$T$8:$T$3007,"Delivered",'Zoho Dump'!$R$8:$R$3007,"&gt;="&amp;Settings!$B$4))</f>
        <v>0</v>
      </c>
      <c r="D307" s="17" t="n">
        <f aca="false">IF($B307="",0,SUMIFS('Zoho Dump'!$X$8:$X$3007,'Zoho Dump'!$N$8:$N$3007,$B307,'Zoho Dump'!$T$8:$T$3007,"Backlog")+SUMIFS(Adjustments!$K$8:$K$207,Adjustments!$B$8:$B$207,$B307,Adjustments!$H$8:$H$207,"Backlog"))</f>
        <v>0</v>
      </c>
      <c r="E307" s="17" t="n">
        <f aca="false">IF($B307="",0,SUMIFS('Zoho Dump'!$Y$8:$Y$3007,'Zoho Dump'!$N$8:$N$3007,$B307,'Zoho Dump'!$T$8:$T$3007,"Pipeline")+SUMIFS(Adjustments!$L$8:$L$207,Adjustments!$B$8:$B$207,$B307,Adjustments!$H$8:$H$207,"Pipeline")+SUMIFS('Zoho Dump'!$Y$8:$Y$3007,'Zoho Dump'!$N$8:$N$3007,$B307,'Zoho Dump'!$T$8:$T$3007,"Overdue")+SUMIFS(Adjustments!$L$8:$L$207,Adjustments!$B$8:$B$207,$B307,Adjustments!$H$8:$H$207,"Overdue"))</f>
        <v>0</v>
      </c>
      <c r="F307" s="17" t="n">
        <f aca="false">IF($B307="",0,SUMIFS('Zoho Dump'!$X$8:$X$3007,'Zoho Dump'!$N$8:$N$3007,$B307,'Zoho Dump'!$T$8:$T$3007,"Pipeline")+SUMIFS(Adjustments!$K$8:$K$207,Adjustments!$B$8:$B$207,$B307,Adjustments!$H$8:$H$207,"Pipeline")+SUMIFS('Zoho Dump'!$X$8:$X$3007,'Zoho Dump'!$N$8:$N$3007,$B307,'Zoho Dump'!$T$8:$T$3007,"Overdue")+SUMIFS(Adjustments!$K$8:$K$207,Adjustments!$B$8:$B$207,$B307,Adjustments!$H$8:$H$207,"Overdue"))</f>
        <v>0</v>
      </c>
      <c r="G307" s="17" t="n">
        <f aca="false">D307+F307</f>
        <v>0</v>
      </c>
      <c r="H307" s="18" t="n">
        <f aca="false">IF(SUM($G$5:$G$404)=0,0,G307/SUM($G$5:$G$404))</f>
        <v>0</v>
      </c>
      <c r="I307" s="17" t="n">
        <f aca="false">IF($B307="",0,SUMIFS('Zoho Dump'!$Q$8:$Q$3007,'Zoho Dump'!$N$8:$N$3007,$B307,'Zoho Dump'!$T$8:$T$3007,"Lost",'Zoho Dump'!$R$8:$R$3007,"&gt;="&amp;Settings!$B$4))</f>
        <v>0</v>
      </c>
      <c r="J307" s="9" t="str">
        <f aca="false">IF($B307="","",IF(COUNTIF(Dashboard!$C$13:$C$22,$B307)&gt;0,"Yes",""))</f>
        <v/>
      </c>
      <c r="K307" s="17" t="n">
        <f aca="false">IF($B307="",0,SUMIFS('Zoho Dump'!$X$8:$X$3007,'Zoho Dump'!$N$8:$N$3007,$B307,'Zoho Dump'!$P$8:$P$3007,Settings!$A$12)+SUMIFS(Adjustments!$K$8:$K$207,Adjustments!$B$8:$B$207,$B307,Adjustments!$A$8:$A$207,Settings!$A$12))</f>
        <v>0</v>
      </c>
      <c r="L307" s="17" t="n">
        <f aca="false">IF($B307="",0,SUMIFS('Zoho Dump'!$X$8:$X$3007,'Zoho Dump'!$N$8:$N$3007,$B307,'Zoho Dump'!$P$8:$P$3007,Settings!$A$13)+SUMIFS(Adjustments!$K$8:$K$207,Adjustments!$B$8:$B$207,$B307,Adjustments!$A$8:$A$207,Settings!$A$13))</f>
        <v>0</v>
      </c>
      <c r="M307" s="17" t="n">
        <f aca="false">IF($B307="",0,SUMIFS('Zoho Dump'!$X$8:$X$3007,'Zoho Dump'!$N$8:$N$3007,$B307,'Zoho Dump'!$P$8:$P$3007,Settings!$A$14)+SUMIFS(Adjustments!$K$8:$K$207,Adjustments!$B$8:$B$207,$B307,Adjustments!$A$8:$A$207,Settings!$A$14))</f>
        <v>0</v>
      </c>
      <c r="N307" s="17" t="n">
        <f aca="false">IF($B307="",0,SUMIFS('Zoho Dump'!$X$8:$X$3007,'Zoho Dump'!$N$8:$N$3007,$B307,'Zoho Dump'!$P$8:$P$3007,Settings!$A$15)+SUMIFS(Adjustments!$K$8:$K$207,Adjustments!$B$8:$B$207,$B307,Adjustments!$A$8:$A$207,Settings!$A$15))</f>
        <v>0</v>
      </c>
      <c r="O307" s="17" t="n">
        <f aca="false">IF($B307="",0,SUMIFS('Zoho Dump'!$X$8:$X$3007,'Zoho Dump'!$N$8:$N$3007,$B307,'Zoho Dump'!$P$8:$P$3007,Settings!$A$16)+SUMIFS(Adjustments!$K$8:$K$207,Adjustments!$B$8:$B$207,$B307,Adjustments!$A$8:$A$207,Settings!$A$16))</f>
        <v>0</v>
      </c>
      <c r="P307" s="17" t="n">
        <f aca="false">IF($B307="",0,SUMIFS('Zoho Dump'!$X$8:$X$3007,'Zoho Dump'!$N$8:$N$3007,$B307,'Zoho Dump'!$P$8:$P$3007,Settings!$A$17)+SUMIFS(Adjustments!$K$8:$K$207,Adjustments!$B$8:$B$207,$B307,Adjustments!$A$8:$A$207,Settings!$A$17))</f>
        <v>0</v>
      </c>
      <c r="Q307" s="17" t="n">
        <f aca="false">IF($B307="",0,SUMIFS('Zoho Dump'!$X$8:$X$3007,'Zoho Dump'!$N$8:$N$3007,$B307,'Zoho Dump'!$P$8:$P$3007,Settings!$A$18)+SUMIFS(Adjustments!$K$8:$K$207,Adjustments!$B$8:$B$207,$B307,Adjustments!$A$8:$A$207,Settings!$A$18))</f>
        <v>0</v>
      </c>
      <c r="R307" s="30" t="str">
        <f aca="false">IF(G307&gt;0,G307+A307/10000000,"")</f>
        <v/>
      </c>
    </row>
    <row r="308" customFormat="false" ht="15" hidden="false" customHeight="false" outlineLevel="0" collapsed="false">
      <c r="A308" s="9" t="n">
        <v>304</v>
      </c>
      <c r="B308" s="9" t="str">
        <f aca="false">IFERROR(INDEX('Zoho Dump'!$N$8:$N$3007,MATCH(A308,'Zoho Dump'!$AB$8:$AB$3007,0)),"")</f>
        <v/>
      </c>
      <c r="C308" s="17" t="n">
        <f aca="false">IF($B308="",0,SUMIFS('Zoho Dump'!$Q$8:$Q$3007,'Zoho Dump'!$N$8:$N$3007,$B308,'Zoho Dump'!$T$8:$T$3007,"Delivered",'Zoho Dump'!$R$8:$R$3007,"&gt;="&amp;Settings!$B$4))</f>
        <v>0</v>
      </c>
      <c r="D308" s="17" t="n">
        <f aca="false">IF($B308="",0,SUMIFS('Zoho Dump'!$X$8:$X$3007,'Zoho Dump'!$N$8:$N$3007,$B308,'Zoho Dump'!$T$8:$T$3007,"Backlog")+SUMIFS(Adjustments!$K$8:$K$207,Adjustments!$B$8:$B$207,$B308,Adjustments!$H$8:$H$207,"Backlog"))</f>
        <v>0</v>
      </c>
      <c r="E308" s="17" t="n">
        <f aca="false">IF($B308="",0,SUMIFS('Zoho Dump'!$Y$8:$Y$3007,'Zoho Dump'!$N$8:$N$3007,$B308,'Zoho Dump'!$T$8:$T$3007,"Pipeline")+SUMIFS(Adjustments!$L$8:$L$207,Adjustments!$B$8:$B$207,$B308,Adjustments!$H$8:$H$207,"Pipeline")+SUMIFS('Zoho Dump'!$Y$8:$Y$3007,'Zoho Dump'!$N$8:$N$3007,$B308,'Zoho Dump'!$T$8:$T$3007,"Overdue")+SUMIFS(Adjustments!$L$8:$L$207,Adjustments!$B$8:$B$207,$B308,Adjustments!$H$8:$H$207,"Overdue"))</f>
        <v>0</v>
      </c>
      <c r="F308" s="17" t="n">
        <f aca="false">IF($B308="",0,SUMIFS('Zoho Dump'!$X$8:$X$3007,'Zoho Dump'!$N$8:$N$3007,$B308,'Zoho Dump'!$T$8:$T$3007,"Pipeline")+SUMIFS(Adjustments!$K$8:$K$207,Adjustments!$B$8:$B$207,$B308,Adjustments!$H$8:$H$207,"Pipeline")+SUMIFS('Zoho Dump'!$X$8:$X$3007,'Zoho Dump'!$N$8:$N$3007,$B308,'Zoho Dump'!$T$8:$T$3007,"Overdue")+SUMIFS(Adjustments!$K$8:$K$207,Adjustments!$B$8:$B$207,$B308,Adjustments!$H$8:$H$207,"Overdue"))</f>
        <v>0</v>
      </c>
      <c r="G308" s="17" t="n">
        <f aca="false">D308+F308</f>
        <v>0</v>
      </c>
      <c r="H308" s="18" t="n">
        <f aca="false">IF(SUM($G$5:$G$404)=0,0,G308/SUM($G$5:$G$404))</f>
        <v>0</v>
      </c>
      <c r="I308" s="17" t="n">
        <f aca="false">IF($B308="",0,SUMIFS('Zoho Dump'!$Q$8:$Q$3007,'Zoho Dump'!$N$8:$N$3007,$B308,'Zoho Dump'!$T$8:$T$3007,"Lost",'Zoho Dump'!$R$8:$R$3007,"&gt;="&amp;Settings!$B$4))</f>
        <v>0</v>
      </c>
      <c r="J308" s="9" t="str">
        <f aca="false">IF($B308="","",IF(COUNTIF(Dashboard!$C$13:$C$22,$B308)&gt;0,"Yes",""))</f>
        <v/>
      </c>
      <c r="K308" s="17" t="n">
        <f aca="false">IF($B308="",0,SUMIFS('Zoho Dump'!$X$8:$X$3007,'Zoho Dump'!$N$8:$N$3007,$B308,'Zoho Dump'!$P$8:$P$3007,Settings!$A$12)+SUMIFS(Adjustments!$K$8:$K$207,Adjustments!$B$8:$B$207,$B308,Adjustments!$A$8:$A$207,Settings!$A$12))</f>
        <v>0</v>
      </c>
      <c r="L308" s="17" t="n">
        <f aca="false">IF($B308="",0,SUMIFS('Zoho Dump'!$X$8:$X$3007,'Zoho Dump'!$N$8:$N$3007,$B308,'Zoho Dump'!$P$8:$P$3007,Settings!$A$13)+SUMIFS(Adjustments!$K$8:$K$207,Adjustments!$B$8:$B$207,$B308,Adjustments!$A$8:$A$207,Settings!$A$13))</f>
        <v>0</v>
      </c>
      <c r="M308" s="17" t="n">
        <f aca="false">IF($B308="",0,SUMIFS('Zoho Dump'!$X$8:$X$3007,'Zoho Dump'!$N$8:$N$3007,$B308,'Zoho Dump'!$P$8:$P$3007,Settings!$A$14)+SUMIFS(Adjustments!$K$8:$K$207,Adjustments!$B$8:$B$207,$B308,Adjustments!$A$8:$A$207,Settings!$A$14))</f>
        <v>0</v>
      </c>
      <c r="N308" s="17" t="n">
        <f aca="false">IF($B308="",0,SUMIFS('Zoho Dump'!$X$8:$X$3007,'Zoho Dump'!$N$8:$N$3007,$B308,'Zoho Dump'!$P$8:$P$3007,Settings!$A$15)+SUMIFS(Adjustments!$K$8:$K$207,Adjustments!$B$8:$B$207,$B308,Adjustments!$A$8:$A$207,Settings!$A$15))</f>
        <v>0</v>
      </c>
      <c r="O308" s="17" t="n">
        <f aca="false">IF($B308="",0,SUMIFS('Zoho Dump'!$X$8:$X$3007,'Zoho Dump'!$N$8:$N$3007,$B308,'Zoho Dump'!$P$8:$P$3007,Settings!$A$16)+SUMIFS(Adjustments!$K$8:$K$207,Adjustments!$B$8:$B$207,$B308,Adjustments!$A$8:$A$207,Settings!$A$16))</f>
        <v>0</v>
      </c>
      <c r="P308" s="17" t="n">
        <f aca="false">IF($B308="",0,SUMIFS('Zoho Dump'!$X$8:$X$3007,'Zoho Dump'!$N$8:$N$3007,$B308,'Zoho Dump'!$P$8:$P$3007,Settings!$A$17)+SUMIFS(Adjustments!$K$8:$K$207,Adjustments!$B$8:$B$207,$B308,Adjustments!$A$8:$A$207,Settings!$A$17))</f>
        <v>0</v>
      </c>
      <c r="Q308" s="17" t="n">
        <f aca="false">IF($B308="",0,SUMIFS('Zoho Dump'!$X$8:$X$3007,'Zoho Dump'!$N$8:$N$3007,$B308,'Zoho Dump'!$P$8:$P$3007,Settings!$A$18)+SUMIFS(Adjustments!$K$8:$K$207,Adjustments!$B$8:$B$207,$B308,Adjustments!$A$8:$A$207,Settings!$A$18))</f>
        <v>0</v>
      </c>
      <c r="R308" s="30" t="str">
        <f aca="false">IF(G308&gt;0,G308+A308/10000000,"")</f>
        <v/>
      </c>
    </row>
    <row r="309" customFormat="false" ht="15" hidden="false" customHeight="false" outlineLevel="0" collapsed="false">
      <c r="A309" s="9" t="n">
        <v>305</v>
      </c>
      <c r="B309" s="9" t="str">
        <f aca="false">IFERROR(INDEX('Zoho Dump'!$N$8:$N$3007,MATCH(A309,'Zoho Dump'!$AB$8:$AB$3007,0)),"")</f>
        <v/>
      </c>
      <c r="C309" s="17" t="n">
        <f aca="false">IF($B309="",0,SUMIFS('Zoho Dump'!$Q$8:$Q$3007,'Zoho Dump'!$N$8:$N$3007,$B309,'Zoho Dump'!$T$8:$T$3007,"Delivered",'Zoho Dump'!$R$8:$R$3007,"&gt;="&amp;Settings!$B$4))</f>
        <v>0</v>
      </c>
      <c r="D309" s="17" t="n">
        <f aca="false">IF($B309="",0,SUMIFS('Zoho Dump'!$X$8:$X$3007,'Zoho Dump'!$N$8:$N$3007,$B309,'Zoho Dump'!$T$8:$T$3007,"Backlog")+SUMIFS(Adjustments!$K$8:$K$207,Adjustments!$B$8:$B$207,$B309,Adjustments!$H$8:$H$207,"Backlog"))</f>
        <v>0</v>
      </c>
      <c r="E309" s="17" t="n">
        <f aca="false">IF($B309="",0,SUMIFS('Zoho Dump'!$Y$8:$Y$3007,'Zoho Dump'!$N$8:$N$3007,$B309,'Zoho Dump'!$T$8:$T$3007,"Pipeline")+SUMIFS(Adjustments!$L$8:$L$207,Adjustments!$B$8:$B$207,$B309,Adjustments!$H$8:$H$207,"Pipeline")+SUMIFS('Zoho Dump'!$Y$8:$Y$3007,'Zoho Dump'!$N$8:$N$3007,$B309,'Zoho Dump'!$T$8:$T$3007,"Overdue")+SUMIFS(Adjustments!$L$8:$L$207,Adjustments!$B$8:$B$207,$B309,Adjustments!$H$8:$H$207,"Overdue"))</f>
        <v>0</v>
      </c>
      <c r="F309" s="17" t="n">
        <f aca="false">IF($B309="",0,SUMIFS('Zoho Dump'!$X$8:$X$3007,'Zoho Dump'!$N$8:$N$3007,$B309,'Zoho Dump'!$T$8:$T$3007,"Pipeline")+SUMIFS(Adjustments!$K$8:$K$207,Adjustments!$B$8:$B$207,$B309,Adjustments!$H$8:$H$207,"Pipeline")+SUMIFS('Zoho Dump'!$X$8:$X$3007,'Zoho Dump'!$N$8:$N$3007,$B309,'Zoho Dump'!$T$8:$T$3007,"Overdue")+SUMIFS(Adjustments!$K$8:$K$207,Adjustments!$B$8:$B$207,$B309,Adjustments!$H$8:$H$207,"Overdue"))</f>
        <v>0</v>
      </c>
      <c r="G309" s="17" t="n">
        <f aca="false">D309+F309</f>
        <v>0</v>
      </c>
      <c r="H309" s="18" t="n">
        <f aca="false">IF(SUM($G$5:$G$404)=0,0,G309/SUM($G$5:$G$404))</f>
        <v>0</v>
      </c>
      <c r="I309" s="17" t="n">
        <f aca="false">IF($B309="",0,SUMIFS('Zoho Dump'!$Q$8:$Q$3007,'Zoho Dump'!$N$8:$N$3007,$B309,'Zoho Dump'!$T$8:$T$3007,"Lost",'Zoho Dump'!$R$8:$R$3007,"&gt;="&amp;Settings!$B$4))</f>
        <v>0</v>
      </c>
      <c r="J309" s="9" t="str">
        <f aca="false">IF($B309="","",IF(COUNTIF(Dashboard!$C$13:$C$22,$B309)&gt;0,"Yes",""))</f>
        <v/>
      </c>
      <c r="K309" s="17" t="n">
        <f aca="false">IF($B309="",0,SUMIFS('Zoho Dump'!$X$8:$X$3007,'Zoho Dump'!$N$8:$N$3007,$B309,'Zoho Dump'!$P$8:$P$3007,Settings!$A$12)+SUMIFS(Adjustments!$K$8:$K$207,Adjustments!$B$8:$B$207,$B309,Adjustments!$A$8:$A$207,Settings!$A$12))</f>
        <v>0</v>
      </c>
      <c r="L309" s="17" t="n">
        <f aca="false">IF($B309="",0,SUMIFS('Zoho Dump'!$X$8:$X$3007,'Zoho Dump'!$N$8:$N$3007,$B309,'Zoho Dump'!$P$8:$P$3007,Settings!$A$13)+SUMIFS(Adjustments!$K$8:$K$207,Adjustments!$B$8:$B$207,$B309,Adjustments!$A$8:$A$207,Settings!$A$13))</f>
        <v>0</v>
      </c>
      <c r="M309" s="17" t="n">
        <f aca="false">IF($B309="",0,SUMIFS('Zoho Dump'!$X$8:$X$3007,'Zoho Dump'!$N$8:$N$3007,$B309,'Zoho Dump'!$P$8:$P$3007,Settings!$A$14)+SUMIFS(Adjustments!$K$8:$K$207,Adjustments!$B$8:$B$207,$B309,Adjustments!$A$8:$A$207,Settings!$A$14))</f>
        <v>0</v>
      </c>
      <c r="N309" s="17" t="n">
        <f aca="false">IF($B309="",0,SUMIFS('Zoho Dump'!$X$8:$X$3007,'Zoho Dump'!$N$8:$N$3007,$B309,'Zoho Dump'!$P$8:$P$3007,Settings!$A$15)+SUMIFS(Adjustments!$K$8:$K$207,Adjustments!$B$8:$B$207,$B309,Adjustments!$A$8:$A$207,Settings!$A$15))</f>
        <v>0</v>
      </c>
      <c r="O309" s="17" t="n">
        <f aca="false">IF($B309="",0,SUMIFS('Zoho Dump'!$X$8:$X$3007,'Zoho Dump'!$N$8:$N$3007,$B309,'Zoho Dump'!$P$8:$P$3007,Settings!$A$16)+SUMIFS(Adjustments!$K$8:$K$207,Adjustments!$B$8:$B$207,$B309,Adjustments!$A$8:$A$207,Settings!$A$16))</f>
        <v>0</v>
      </c>
      <c r="P309" s="17" t="n">
        <f aca="false">IF($B309="",0,SUMIFS('Zoho Dump'!$X$8:$X$3007,'Zoho Dump'!$N$8:$N$3007,$B309,'Zoho Dump'!$P$8:$P$3007,Settings!$A$17)+SUMIFS(Adjustments!$K$8:$K$207,Adjustments!$B$8:$B$207,$B309,Adjustments!$A$8:$A$207,Settings!$A$17))</f>
        <v>0</v>
      </c>
      <c r="Q309" s="17" t="n">
        <f aca="false">IF($B309="",0,SUMIFS('Zoho Dump'!$X$8:$X$3007,'Zoho Dump'!$N$8:$N$3007,$B309,'Zoho Dump'!$P$8:$P$3007,Settings!$A$18)+SUMIFS(Adjustments!$K$8:$K$207,Adjustments!$B$8:$B$207,$B309,Adjustments!$A$8:$A$207,Settings!$A$18))</f>
        <v>0</v>
      </c>
      <c r="R309" s="30" t="str">
        <f aca="false">IF(G309&gt;0,G309+A309/10000000,"")</f>
        <v/>
      </c>
    </row>
    <row r="310" customFormat="false" ht="15" hidden="false" customHeight="false" outlineLevel="0" collapsed="false">
      <c r="A310" s="9" t="n">
        <v>306</v>
      </c>
      <c r="B310" s="9" t="str">
        <f aca="false">IFERROR(INDEX('Zoho Dump'!$N$8:$N$3007,MATCH(A310,'Zoho Dump'!$AB$8:$AB$3007,0)),"")</f>
        <v/>
      </c>
      <c r="C310" s="17" t="n">
        <f aca="false">IF($B310="",0,SUMIFS('Zoho Dump'!$Q$8:$Q$3007,'Zoho Dump'!$N$8:$N$3007,$B310,'Zoho Dump'!$T$8:$T$3007,"Delivered",'Zoho Dump'!$R$8:$R$3007,"&gt;="&amp;Settings!$B$4))</f>
        <v>0</v>
      </c>
      <c r="D310" s="17" t="n">
        <f aca="false">IF($B310="",0,SUMIFS('Zoho Dump'!$X$8:$X$3007,'Zoho Dump'!$N$8:$N$3007,$B310,'Zoho Dump'!$T$8:$T$3007,"Backlog")+SUMIFS(Adjustments!$K$8:$K$207,Adjustments!$B$8:$B$207,$B310,Adjustments!$H$8:$H$207,"Backlog"))</f>
        <v>0</v>
      </c>
      <c r="E310" s="17" t="n">
        <f aca="false">IF($B310="",0,SUMIFS('Zoho Dump'!$Y$8:$Y$3007,'Zoho Dump'!$N$8:$N$3007,$B310,'Zoho Dump'!$T$8:$T$3007,"Pipeline")+SUMIFS(Adjustments!$L$8:$L$207,Adjustments!$B$8:$B$207,$B310,Adjustments!$H$8:$H$207,"Pipeline")+SUMIFS('Zoho Dump'!$Y$8:$Y$3007,'Zoho Dump'!$N$8:$N$3007,$B310,'Zoho Dump'!$T$8:$T$3007,"Overdue")+SUMIFS(Adjustments!$L$8:$L$207,Adjustments!$B$8:$B$207,$B310,Adjustments!$H$8:$H$207,"Overdue"))</f>
        <v>0</v>
      </c>
      <c r="F310" s="17" t="n">
        <f aca="false">IF($B310="",0,SUMIFS('Zoho Dump'!$X$8:$X$3007,'Zoho Dump'!$N$8:$N$3007,$B310,'Zoho Dump'!$T$8:$T$3007,"Pipeline")+SUMIFS(Adjustments!$K$8:$K$207,Adjustments!$B$8:$B$207,$B310,Adjustments!$H$8:$H$207,"Pipeline")+SUMIFS('Zoho Dump'!$X$8:$X$3007,'Zoho Dump'!$N$8:$N$3007,$B310,'Zoho Dump'!$T$8:$T$3007,"Overdue")+SUMIFS(Adjustments!$K$8:$K$207,Adjustments!$B$8:$B$207,$B310,Adjustments!$H$8:$H$207,"Overdue"))</f>
        <v>0</v>
      </c>
      <c r="G310" s="17" t="n">
        <f aca="false">D310+F310</f>
        <v>0</v>
      </c>
      <c r="H310" s="18" t="n">
        <f aca="false">IF(SUM($G$5:$G$404)=0,0,G310/SUM($G$5:$G$404))</f>
        <v>0</v>
      </c>
      <c r="I310" s="17" t="n">
        <f aca="false">IF($B310="",0,SUMIFS('Zoho Dump'!$Q$8:$Q$3007,'Zoho Dump'!$N$8:$N$3007,$B310,'Zoho Dump'!$T$8:$T$3007,"Lost",'Zoho Dump'!$R$8:$R$3007,"&gt;="&amp;Settings!$B$4))</f>
        <v>0</v>
      </c>
      <c r="J310" s="9" t="str">
        <f aca="false">IF($B310="","",IF(COUNTIF(Dashboard!$C$13:$C$22,$B310)&gt;0,"Yes",""))</f>
        <v/>
      </c>
      <c r="K310" s="17" t="n">
        <f aca="false">IF($B310="",0,SUMIFS('Zoho Dump'!$X$8:$X$3007,'Zoho Dump'!$N$8:$N$3007,$B310,'Zoho Dump'!$P$8:$P$3007,Settings!$A$12)+SUMIFS(Adjustments!$K$8:$K$207,Adjustments!$B$8:$B$207,$B310,Adjustments!$A$8:$A$207,Settings!$A$12))</f>
        <v>0</v>
      </c>
      <c r="L310" s="17" t="n">
        <f aca="false">IF($B310="",0,SUMIFS('Zoho Dump'!$X$8:$X$3007,'Zoho Dump'!$N$8:$N$3007,$B310,'Zoho Dump'!$P$8:$P$3007,Settings!$A$13)+SUMIFS(Adjustments!$K$8:$K$207,Adjustments!$B$8:$B$207,$B310,Adjustments!$A$8:$A$207,Settings!$A$13))</f>
        <v>0</v>
      </c>
      <c r="M310" s="17" t="n">
        <f aca="false">IF($B310="",0,SUMIFS('Zoho Dump'!$X$8:$X$3007,'Zoho Dump'!$N$8:$N$3007,$B310,'Zoho Dump'!$P$8:$P$3007,Settings!$A$14)+SUMIFS(Adjustments!$K$8:$K$207,Adjustments!$B$8:$B$207,$B310,Adjustments!$A$8:$A$207,Settings!$A$14))</f>
        <v>0</v>
      </c>
      <c r="N310" s="17" t="n">
        <f aca="false">IF($B310="",0,SUMIFS('Zoho Dump'!$X$8:$X$3007,'Zoho Dump'!$N$8:$N$3007,$B310,'Zoho Dump'!$P$8:$P$3007,Settings!$A$15)+SUMIFS(Adjustments!$K$8:$K$207,Adjustments!$B$8:$B$207,$B310,Adjustments!$A$8:$A$207,Settings!$A$15))</f>
        <v>0</v>
      </c>
      <c r="O310" s="17" t="n">
        <f aca="false">IF($B310="",0,SUMIFS('Zoho Dump'!$X$8:$X$3007,'Zoho Dump'!$N$8:$N$3007,$B310,'Zoho Dump'!$P$8:$P$3007,Settings!$A$16)+SUMIFS(Adjustments!$K$8:$K$207,Adjustments!$B$8:$B$207,$B310,Adjustments!$A$8:$A$207,Settings!$A$16))</f>
        <v>0</v>
      </c>
      <c r="P310" s="17" t="n">
        <f aca="false">IF($B310="",0,SUMIFS('Zoho Dump'!$X$8:$X$3007,'Zoho Dump'!$N$8:$N$3007,$B310,'Zoho Dump'!$P$8:$P$3007,Settings!$A$17)+SUMIFS(Adjustments!$K$8:$K$207,Adjustments!$B$8:$B$207,$B310,Adjustments!$A$8:$A$207,Settings!$A$17))</f>
        <v>0</v>
      </c>
      <c r="Q310" s="17" t="n">
        <f aca="false">IF($B310="",0,SUMIFS('Zoho Dump'!$X$8:$X$3007,'Zoho Dump'!$N$8:$N$3007,$B310,'Zoho Dump'!$P$8:$P$3007,Settings!$A$18)+SUMIFS(Adjustments!$K$8:$K$207,Adjustments!$B$8:$B$207,$B310,Adjustments!$A$8:$A$207,Settings!$A$18))</f>
        <v>0</v>
      </c>
      <c r="R310" s="30" t="str">
        <f aca="false">IF(G310&gt;0,G310+A310/10000000,"")</f>
        <v/>
      </c>
    </row>
    <row r="311" customFormat="false" ht="15" hidden="false" customHeight="false" outlineLevel="0" collapsed="false">
      <c r="A311" s="9" t="n">
        <v>307</v>
      </c>
      <c r="B311" s="9" t="str">
        <f aca="false">IFERROR(INDEX('Zoho Dump'!$N$8:$N$3007,MATCH(A311,'Zoho Dump'!$AB$8:$AB$3007,0)),"")</f>
        <v/>
      </c>
      <c r="C311" s="17" t="n">
        <f aca="false">IF($B311="",0,SUMIFS('Zoho Dump'!$Q$8:$Q$3007,'Zoho Dump'!$N$8:$N$3007,$B311,'Zoho Dump'!$T$8:$T$3007,"Delivered",'Zoho Dump'!$R$8:$R$3007,"&gt;="&amp;Settings!$B$4))</f>
        <v>0</v>
      </c>
      <c r="D311" s="17" t="n">
        <f aca="false">IF($B311="",0,SUMIFS('Zoho Dump'!$X$8:$X$3007,'Zoho Dump'!$N$8:$N$3007,$B311,'Zoho Dump'!$T$8:$T$3007,"Backlog")+SUMIFS(Adjustments!$K$8:$K$207,Adjustments!$B$8:$B$207,$B311,Adjustments!$H$8:$H$207,"Backlog"))</f>
        <v>0</v>
      </c>
      <c r="E311" s="17" t="n">
        <f aca="false">IF($B311="",0,SUMIFS('Zoho Dump'!$Y$8:$Y$3007,'Zoho Dump'!$N$8:$N$3007,$B311,'Zoho Dump'!$T$8:$T$3007,"Pipeline")+SUMIFS(Adjustments!$L$8:$L$207,Adjustments!$B$8:$B$207,$B311,Adjustments!$H$8:$H$207,"Pipeline")+SUMIFS('Zoho Dump'!$Y$8:$Y$3007,'Zoho Dump'!$N$8:$N$3007,$B311,'Zoho Dump'!$T$8:$T$3007,"Overdue")+SUMIFS(Adjustments!$L$8:$L$207,Adjustments!$B$8:$B$207,$B311,Adjustments!$H$8:$H$207,"Overdue"))</f>
        <v>0</v>
      </c>
      <c r="F311" s="17" t="n">
        <f aca="false">IF($B311="",0,SUMIFS('Zoho Dump'!$X$8:$X$3007,'Zoho Dump'!$N$8:$N$3007,$B311,'Zoho Dump'!$T$8:$T$3007,"Pipeline")+SUMIFS(Adjustments!$K$8:$K$207,Adjustments!$B$8:$B$207,$B311,Adjustments!$H$8:$H$207,"Pipeline")+SUMIFS('Zoho Dump'!$X$8:$X$3007,'Zoho Dump'!$N$8:$N$3007,$B311,'Zoho Dump'!$T$8:$T$3007,"Overdue")+SUMIFS(Adjustments!$K$8:$K$207,Adjustments!$B$8:$B$207,$B311,Adjustments!$H$8:$H$207,"Overdue"))</f>
        <v>0</v>
      </c>
      <c r="G311" s="17" t="n">
        <f aca="false">D311+F311</f>
        <v>0</v>
      </c>
      <c r="H311" s="18" t="n">
        <f aca="false">IF(SUM($G$5:$G$404)=0,0,G311/SUM($G$5:$G$404))</f>
        <v>0</v>
      </c>
      <c r="I311" s="17" t="n">
        <f aca="false">IF($B311="",0,SUMIFS('Zoho Dump'!$Q$8:$Q$3007,'Zoho Dump'!$N$8:$N$3007,$B311,'Zoho Dump'!$T$8:$T$3007,"Lost",'Zoho Dump'!$R$8:$R$3007,"&gt;="&amp;Settings!$B$4))</f>
        <v>0</v>
      </c>
      <c r="J311" s="9" t="str">
        <f aca="false">IF($B311="","",IF(COUNTIF(Dashboard!$C$13:$C$22,$B311)&gt;0,"Yes",""))</f>
        <v/>
      </c>
      <c r="K311" s="17" t="n">
        <f aca="false">IF($B311="",0,SUMIFS('Zoho Dump'!$X$8:$X$3007,'Zoho Dump'!$N$8:$N$3007,$B311,'Zoho Dump'!$P$8:$P$3007,Settings!$A$12)+SUMIFS(Adjustments!$K$8:$K$207,Adjustments!$B$8:$B$207,$B311,Adjustments!$A$8:$A$207,Settings!$A$12))</f>
        <v>0</v>
      </c>
      <c r="L311" s="17" t="n">
        <f aca="false">IF($B311="",0,SUMIFS('Zoho Dump'!$X$8:$X$3007,'Zoho Dump'!$N$8:$N$3007,$B311,'Zoho Dump'!$P$8:$P$3007,Settings!$A$13)+SUMIFS(Adjustments!$K$8:$K$207,Adjustments!$B$8:$B$207,$B311,Adjustments!$A$8:$A$207,Settings!$A$13))</f>
        <v>0</v>
      </c>
      <c r="M311" s="17" t="n">
        <f aca="false">IF($B311="",0,SUMIFS('Zoho Dump'!$X$8:$X$3007,'Zoho Dump'!$N$8:$N$3007,$B311,'Zoho Dump'!$P$8:$P$3007,Settings!$A$14)+SUMIFS(Adjustments!$K$8:$K$207,Adjustments!$B$8:$B$207,$B311,Adjustments!$A$8:$A$207,Settings!$A$14))</f>
        <v>0</v>
      </c>
      <c r="N311" s="17" t="n">
        <f aca="false">IF($B311="",0,SUMIFS('Zoho Dump'!$X$8:$X$3007,'Zoho Dump'!$N$8:$N$3007,$B311,'Zoho Dump'!$P$8:$P$3007,Settings!$A$15)+SUMIFS(Adjustments!$K$8:$K$207,Adjustments!$B$8:$B$207,$B311,Adjustments!$A$8:$A$207,Settings!$A$15))</f>
        <v>0</v>
      </c>
      <c r="O311" s="17" t="n">
        <f aca="false">IF($B311="",0,SUMIFS('Zoho Dump'!$X$8:$X$3007,'Zoho Dump'!$N$8:$N$3007,$B311,'Zoho Dump'!$P$8:$P$3007,Settings!$A$16)+SUMIFS(Adjustments!$K$8:$K$207,Adjustments!$B$8:$B$207,$B311,Adjustments!$A$8:$A$207,Settings!$A$16))</f>
        <v>0</v>
      </c>
      <c r="P311" s="17" t="n">
        <f aca="false">IF($B311="",0,SUMIFS('Zoho Dump'!$X$8:$X$3007,'Zoho Dump'!$N$8:$N$3007,$B311,'Zoho Dump'!$P$8:$P$3007,Settings!$A$17)+SUMIFS(Adjustments!$K$8:$K$207,Adjustments!$B$8:$B$207,$B311,Adjustments!$A$8:$A$207,Settings!$A$17))</f>
        <v>0</v>
      </c>
      <c r="Q311" s="17" t="n">
        <f aca="false">IF($B311="",0,SUMIFS('Zoho Dump'!$X$8:$X$3007,'Zoho Dump'!$N$8:$N$3007,$B311,'Zoho Dump'!$P$8:$P$3007,Settings!$A$18)+SUMIFS(Adjustments!$K$8:$K$207,Adjustments!$B$8:$B$207,$B311,Adjustments!$A$8:$A$207,Settings!$A$18))</f>
        <v>0</v>
      </c>
      <c r="R311" s="30" t="str">
        <f aca="false">IF(G311&gt;0,G311+A311/10000000,"")</f>
        <v/>
      </c>
    </row>
    <row r="312" customFormat="false" ht="15" hidden="false" customHeight="false" outlineLevel="0" collapsed="false">
      <c r="A312" s="9" t="n">
        <v>308</v>
      </c>
      <c r="B312" s="9" t="str">
        <f aca="false">IFERROR(INDEX('Zoho Dump'!$N$8:$N$3007,MATCH(A312,'Zoho Dump'!$AB$8:$AB$3007,0)),"")</f>
        <v/>
      </c>
      <c r="C312" s="17" t="n">
        <f aca="false">IF($B312="",0,SUMIFS('Zoho Dump'!$Q$8:$Q$3007,'Zoho Dump'!$N$8:$N$3007,$B312,'Zoho Dump'!$T$8:$T$3007,"Delivered",'Zoho Dump'!$R$8:$R$3007,"&gt;="&amp;Settings!$B$4))</f>
        <v>0</v>
      </c>
      <c r="D312" s="17" t="n">
        <f aca="false">IF($B312="",0,SUMIFS('Zoho Dump'!$X$8:$X$3007,'Zoho Dump'!$N$8:$N$3007,$B312,'Zoho Dump'!$T$8:$T$3007,"Backlog")+SUMIFS(Adjustments!$K$8:$K$207,Adjustments!$B$8:$B$207,$B312,Adjustments!$H$8:$H$207,"Backlog"))</f>
        <v>0</v>
      </c>
      <c r="E312" s="17" t="n">
        <f aca="false">IF($B312="",0,SUMIFS('Zoho Dump'!$Y$8:$Y$3007,'Zoho Dump'!$N$8:$N$3007,$B312,'Zoho Dump'!$T$8:$T$3007,"Pipeline")+SUMIFS(Adjustments!$L$8:$L$207,Adjustments!$B$8:$B$207,$B312,Adjustments!$H$8:$H$207,"Pipeline")+SUMIFS('Zoho Dump'!$Y$8:$Y$3007,'Zoho Dump'!$N$8:$N$3007,$B312,'Zoho Dump'!$T$8:$T$3007,"Overdue")+SUMIFS(Adjustments!$L$8:$L$207,Adjustments!$B$8:$B$207,$B312,Adjustments!$H$8:$H$207,"Overdue"))</f>
        <v>0</v>
      </c>
      <c r="F312" s="17" t="n">
        <f aca="false">IF($B312="",0,SUMIFS('Zoho Dump'!$X$8:$X$3007,'Zoho Dump'!$N$8:$N$3007,$B312,'Zoho Dump'!$T$8:$T$3007,"Pipeline")+SUMIFS(Adjustments!$K$8:$K$207,Adjustments!$B$8:$B$207,$B312,Adjustments!$H$8:$H$207,"Pipeline")+SUMIFS('Zoho Dump'!$X$8:$X$3007,'Zoho Dump'!$N$8:$N$3007,$B312,'Zoho Dump'!$T$8:$T$3007,"Overdue")+SUMIFS(Adjustments!$K$8:$K$207,Adjustments!$B$8:$B$207,$B312,Adjustments!$H$8:$H$207,"Overdue"))</f>
        <v>0</v>
      </c>
      <c r="G312" s="17" t="n">
        <f aca="false">D312+F312</f>
        <v>0</v>
      </c>
      <c r="H312" s="18" t="n">
        <f aca="false">IF(SUM($G$5:$G$404)=0,0,G312/SUM($G$5:$G$404))</f>
        <v>0</v>
      </c>
      <c r="I312" s="17" t="n">
        <f aca="false">IF($B312="",0,SUMIFS('Zoho Dump'!$Q$8:$Q$3007,'Zoho Dump'!$N$8:$N$3007,$B312,'Zoho Dump'!$T$8:$T$3007,"Lost",'Zoho Dump'!$R$8:$R$3007,"&gt;="&amp;Settings!$B$4))</f>
        <v>0</v>
      </c>
      <c r="J312" s="9" t="str">
        <f aca="false">IF($B312="","",IF(COUNTIF(Dashboard!$C$13:$C$22,$B312)&gt;0,"Yes",""))</f>
        <v/>
      </c>
      <c r="K312" s="17" t="n">
        <f aca="false">IF($B312="",0,SUMIFS('Zoho Dump'!$X$8:$X$3007,'Zoho Dump'!$N$8:$N$3007,$B312,'Zoho Dump'!$P$8:$P$3007,Settings!$A$12)+SUMIFS(Adjustments!$K$8:$K$207,Adjustments!$B$8:$B$207,$B312,Adjustments!$A$8:$A$207,Settings!$A$12))</f>
        <v>0</v>
      </c>
      <c r="L312" s="17" t="n">
        <f aca="false">IF($B312="",0,SUMIFS('Zoho Dump'!$X$8:$X$3007,'Zoho Dump'!$N$8:$N$3007,$B312,'Zoho Dump'!$P$8:$P$3007,Settings!$A$13)+SUMIFS(Adjustments!$K$8:$K$207,Adjustments!$B$8:$B$207,$B312,Adjustments!$A$8:$A$207,Settings!$A$13))</f>
        <v>0</v>
      </c>
      <c r="M312" s="17" t="n">
        <f aca="false">IF($B312="",0,SUMIFS('Zoho Dump'!$X$8:$X$3007,'Zoho Dump'!$N$8:$N$3007,$B312,'Zoho Dump'!$P$8:$P$3007,Settings!$A$14)+SUMIFS(Adjustments!$K$8:$K$207,Adjustments!$B$8:$B$207,$B312,Adjustments!$A$8:$A$207,Settings!$A$14))</f>
        <v>0</v>
      </c>
      <c r="N312" s="17" t="n">
        <f aca="false">IF($B312="",0,SUMIFS('Zoho Dump'!$X$8:$X$3007,'Zoho Dump'!$N$8:$N$3007,$B312,'Zoho Dump'!$P$8:$P$3007,Settings!$A$15)+SUMIFS(Adjustments!$K$8:$K$207,Adjustments!$B$8:$B$207,$B312,Adjustments!$A$8:$A$207,Settings!$A$15))</f>
        <v>0</v>
      </c>
      <c r="O312" s="17" t="n">
        <f aca="false">IF($B312="",0,SUMIFS('Zoho Dump'!$X$8:$X$3007,'Zoho Dump'!$N$8:$N$3007,$B312,'Zoho Dump'!$P$8:$P$3007,Settings!$A$16)+SUMIFS(Adjustments!$K$8:$K$207,Adjustments!$B$8:$B$207,$B312,Adjustments!$A$8:$A$207,Settings!$A$16))</f>
        <v>0</v>
      </c>
      <c r="P312" s="17" t="n">
        <f aca="false">IF($B312="",0,SUMIFS('Zoho Dump'!$X$8:$X$3007,'Zoho Dump'!$N$8:$N$3007,$B312,'Zoho Dump'!$P$8:$P$3007,Settings!$A$17)+SUMIFS(Adjustments!$K$8:$K$207,Adjustments!$B$8:$B$207,$B312,Adjustments!$A$8:$A$207,Settings!$A$17))</f>
        <v>0</v>
      </c>
      <c r="Q312" s="17" t="n">
        <f aca="false">IF($B312="",0,SUMIFS('Zoho Dump'!$X$8:$X$3007,'Zoho Dump'!$N$8:$N$3007,$B312,'Zoho Dump'!$P$8:$P$3007,Settings!$A$18)+SUMIFS(Adjustments!$K$8:$K$207,Adjustments!$B$8:$B$207,$B312,Adjustments!$A$8:$A$207,Settings!$A$18))</f>
        <v>0</v>
      </c>
      <c r="R312" s="30" t="str">
        <f aca="false">IF(G312&gt;0,G312+A312/10000000,"")</f>
        <v/>
      </c>
    </row>
    <row r="313" customFormat="false" ht="15" hidden="false" customHeight="false" outlineLevel="0" collapsed="false">
      <c r="A313" s="9" t="n">
        <v>309</v>
      </c>
      <c r="B313" s="9" t="str">
        <f aca="false">IFERROR(INDEX('Zoho Dump'!$N$8:$N$3007,MATCH(A313,'Zoho Dump'!$AB$8:$AB$3007,0)),"")</f>
        <v/>
      </c>
      <c r="C313" s="17" t="n">
        <f aca="false">IF($B313="",0,SUMIFS('Zoho Dump'!$Q$8:$Q$3007,'Zoho Dump'!$N$8:$N$3007,$B313,'Zoho Dump'!$T$8:$T$3007,"Delivered",'Zoho Dump'!$R$8:$R$3007,"&gt;="&amp;Settings!$B$4))</f>
        <v>0</v>
      </c>
      <c r="D313" s="17" t="n">
        <f aca="false">IF($B313="",0,SUMIFS('Zoho Dump'!$X$8:$X$3007,'Zoho Dump'!$N$8:$N$3007,$B313,'Zoho Dump'!$T$8:$T$3007,"Backlog")+SUMIFS(Adjustments!$K$8:$K$207,Adjustments!$B$8:$B$207,$B313,Adjustments!$H$8:$H$207,"Backlog"))</f>
        <v>0</v>
      </c>
      <c r="E313" s="17" t="n">
        <f aca="false">IF($B313="",0,SUMIFS('Zoho Dump'!$Y$8:$Y$3007,'Zoho Dump'!$N$8:$N$3007,$B313,'Zoho Dump'!$T$8:$T$3007,"Pipeline")+SUMIFS(Adjustments!$L$8:$L$207,Adjustments!$B$8:$B$207,$B313,Adjustments!$H$8:$H$207,"Pipeline")+SUMIFS('Zoho Dump'!$Y$8:$Y$3007,'Zoho Dump'!$N$8:$N$3007,$B313,'Zoho Dump'!$T$8:$T$3007,"Overdue")+SUMIFS(Adjustments!$L$8:$L$207,Adjustments!$B$8:$B$207,$B313,Adjustments!$H$8:$H$207,"Overdue"))</f>
        <v>0</v>
      </c>
      <c r="F313" s="17" t="n">
        <f aca="false">IF($B313="",0,SUMIFS('Zoho Dump'!$X$8:$X$3007,'Zoho Dump'!$N$8:$N$3007,$B313,'Zoho Dump'!$T$8:$T$3007,"Pipeline")+SUMIFS(Adjustments!$K$8:$K$207,Adjustments!$B$8:$B$207,$B313,Adjustments!$H$8:$H$207,"Pipeline")+SUMIFS('Zoho Dump'!$X$8:$X$3007,'Zoho Dump'!$N$8:$N$3007,$B313,'Zoho Dump'!$T$8:$T$3007,"Overdue")+SUMIFS(Adjustments!$K$8:$K$207,Adjustments!$B$8:$B$207,$B313,Adjustments!$H$8:$H$207,"Overdue"))</f>
        <v>0</v>
      </c>
      <c r="G313" s="17" t="n">
        <f aca="false">D313+F313</f>
        <v>0</v>
      </c>
      <c r="H313" s="18" t="n">
        <f aca="false">IF(SUM($G$5:$G$404)=0,0,G313/SUM($G$5:$G$404))</f>
        <v>0</v>
      </c>
      <c r="I313" s="17" t="n">
        <f aca="false">IF($B313="",0,SUMIFS('Zoho Dump'!$Q$8:$Q$3007,'Zoho Dump'!$N$8:$N$3007,$B313,'Zoho Dump'!$T$8:$T$3007,"Lost",'Zoho Dump'!$R$8:$R$3007,"&gt;="&amp;Settings!$B$4))</f>
        <v>0</v>
      </c>
      <c r="J313" s="9" t="str">
        <f aca="false">IF($B313="","",IF(COUNTIF(Dashboard!$C$13:$C$22,$B313)&gt;0,"Yes",""))</f>
        <v/>
      </c>
      <c r="K313" s="17" t="n">
        <f aca="false">IF($B313="",0,SUMIFS('Zoho Dump'!$X$8:$X$3007,'Zoho Dump'!$N$8:$N$3007,$B313,'Zoho Dump'!$P$8:$P$3007,Settings!$A$12)+SUMIFS(Adjustments!$K$8:$K$207,Adjustments!$B$8:$B$207,$B313,Adjustments!$A$8:$A$207,Settings!$A$12))</f>
        <v>0</v>
      </c>
      <c r="L313" s="17" t="n">
        <f aca="false">IF($B313="",0,SUMIFS('Zoho Dump'!$X$8:$X$3007,'Zoho Dump'!$N$8:$N$3007,$B313,'Zoho Dump'!$P$8:$P$3007,Settings!$A$13)+SUMIFS(Adjustments!$K$8:$K$207,Adjustments!$B$8:$B$207,$B313,Adjustments!$A$8:$A$207,Settings!$A$13))</f>
        <v>0</v>
      </c>
      <c r="M313" s="17" t="n">
        <f aca="false">IF($B313="",0,SUMIFS('Zoho Dump'!$X$8:$X$3007,'Zoho Dump'!$N$8:$N$3007,$B313,'Zoho Dump'!$P$8:$P$3007,Settings!$A$14)+SUMIFS(Adjustments!$K$8:$K$207,Adjustments!$B$8:$B$207,$B313,Adjustments!$A$8:$A$207,Settings!$A$14))</f>
        <v>0</v>
      </c>
      <c r="N313" s="17" t="n">
        <f aca="false">IF($B313="",0,SUMIFS('Zoho Dump'!$X$8:$X$3007,'Zoho Dump'!$N$8:$N$3007,$B313,'Zoho Dump'!$P$8:$P$3007,Settings!$A$15)+SUMIFS(Adjustments!$K$8:$K$207,Adjustments!$B$8:$B$207,$B313,Adjustments!$A$8:$A$207,Settings!$A$15))</f>
        <v>0</v>
      </c>
      <c r="O313" s="17" t="n">
        <f aca="false">IF($B313="",0,SUMIFS('Zoho Dump'!$X$8:$X$3007,'Zoho Dump'!$N$8:$N$3007,$B313,'Zoho Dump'!$P$8:$P$3007,Settings!$A$16)+SUMIFS(Adjustments!$K$8:$K$207,Adjustments!$B$8:$B$207,$B313,Adjustments!$A$8:$A$207,Settings!$A$16))</f>
        <v>0</v>
      </c>
      <c r="P313" s="17" t="n">
        <f aca="false">IF($B313="",0,SUMIFS('Zoho Dump'!$X$8:$X$3007,'Zoho Dump'!$N$8:$N$3007,$B313,'Zoho Dump'!$P$8:$P$3007,Settings!$A$17)+SUMIFS(Adjustments!$K$8:$K$207,Adjustments!$B$8:$B$207,$B313,Adjustments!$A$8:$A$207,Settings!$A$17))</f>
        <v>0</v>
      </c>
      <c r="Q313" s="17" t="n">
        <f aca="false">IF($B313="",0,SUMIFS('Zoho Dump'!$X$8:$X$3007,'Zoho Dump'!$N$8:$N$3007,$B313,'Zoho Dump'!$P$8:$P$3007,Settings!$A$18)+SUMIFS(Adjustments!$K$8:$K$207,Adjustments!$B$8:$B$207,$B313,Adjustments!$A$8:$A$207,Settings!$A$18))</f>
        <v>0</v>
      </c>
      <c r="R313" s="30" t="str">
        <f aca="false">IF(G313&gt;0,G313+A313/10000000,"")</f>
        <v/>
      </c>
    </row>
    <row r="314" customFormat="false" ht="15" hidden="false" customHeight="false" outlineLevel="0" collapsed="false">
      <c r="A314" s="9" t="n">
        <v>310</v>
      </c>
      <c r="B314" s="9" t="str">
        <f aca="false">IFERROR(INDEX('Zoho Dump'!$N$8:$N$3007,MATCH(A314,'Zoho Dump'!$AB$8:$AB$3007,0)),"")</f>
        <v/>
      </c>
      <c r="C314" s="17" t="n">
        <f aca="false">IF($B314="",0,SUMIFS('Zoho Dump'!$Q$8:$Q$3007,'Zoho Dump'!$N$8:$N$3007,$B314,'Zoho Dump'!$T$8:$T$3007,"Delivered",'Zoho Dump'!$R$8:$R$3007,"&gt;="&amp;Settings!$B$4))</f>
        <v>0</v>
      </c>
      <c r="D314" s="17" t="n">
        <f aca="false">IF($B314="",0,SUMIFS('Zoho Dump'!$X$8:$X$3007,'Zoho Dump'!$N$8:$N$3007,$B314,'Zoho Dump'!$T$8:$T$3007,"Backlog")+SUMIFS(Adjustments!$K$8:$K$207,Adjustments!$B$8:$B$207,$B314,Adjustments!$H$8:$H$207,"Backlog"))</f>
        <v>0</v>
      </c>
      <c r="E314" s="17" t="n">
        <f aca="false">IF($B314="",0,SUMIFS('Zoho Dump'!$Y$8:$Y$3007,'Zoho Dump'!$N$8:$N$3007,$B314,'Zoho Dump'!$T$8:$T$3007,"Pipeline")+SUMIFS(Adjustments!$L$8:$L$207,Adjustments!$B$8:$B$207,$B314,Adjustments!$H$8:$H$207,"Pipeline")+SUMIFS('Zoho Dump'!$Y$8:$Y$3007,'Zoho Dump'!$N$8:$N$3007,$B314,'Zoho Dump'!$T$8:$T$3007,"Overdue")+SUMIFS(Adjustments!$L$8:$L$207,Adjustments!$B$8:$B$207,$B314,Adjustments!$H$8:$H$207,"Overdue"))</f>
        <v>0</v>
      </c>
      <c r="F314" s="17" t="n">
        <f aca="false">IF($B314="",0,SUMIFS('Zoho Dump'!$X$8:$X$3007,'Zoho Dump'!$N$8:$N$3007,$B314,'Zoho Dump'!$T$8:$T$3007,"Pipeline")+SUMIFS(Adjustments!$K$8:$K$207,Adjustments!$B$8:$B$207,$B314,Adjustments!$H$8:$H$207,"Pipeline")+SUMIFS('Zoho Dump'!$X$8:$X$3007,'Zoho Dump'!$N$8:$N$3007,$B314,'Zoho Dump'!$T$8:$T$3007,"Overdue")+SUMIFS(Adjustments!$K$8:$K$207,Adjustments!$B$8:$B$207,$B314,Adjustments!$H$8:$H$207,"Overdue"))</f>
        <v>0</v>
      </c>
      <c r="G314" s="17" t="n">
        <f aca="false">D314+F314</f>
        <v>0</v>
      </c>
      <c r="H314" s="18" t="n">
        <f aca="false">IF(SUM($G$5:$G$404)=0,0,G314/SUM($G$5:$G$404))</f>
        <v>0</v>
      </c>
      <c r="I314" s="17" t="n">
        <f aca="false">IF($B314="",0,SUMIFS('Zoho Dump'!$Q$8:$Q$3007,'Zoho Dump'!$N$8:$N$3007,$B314,'Zoho Dump'!$T$8:$T$3007,"Lost",'Zoho Dump'!$R$8:$R$3007,"&gt;="&amp;Settings!$B$4))</f>
        <v>0</v>
      </c>
      <c r="J314" s="9" t="str">
        <f aca="false">IF($B314="","",IF(COUNTIF(Dashboard!$C$13:$C$22,$B314)&gt;0,"Yes",""))</f>
        <v/>
      </c>
      <c r="K314" s="17" t="n">
        <f aca="false">IF($B314="",0,SUMIFS('Zoho Dump'!$X$8:$X$3007,'Zoho Dump'!$N$8:$N$3007,$B314,'Zoho Dump'!$P$8:$P$3007,Settings!$A$12)+SUMIFS(Adjustments!$K$8:$K$207,Adjustments!$B$8:$B$207,$B314,Adjustments!$A$8:$A$207,Settings!$A$12))</f>
        <v>0</v>
      </c>
      <c r="L314" s="17" t="n">
        <f aca="false">IF($B314="",0,SUMIFS('Zoho Dump'!$X$8:$X$3007,'Zoho Dump'!$N$8:$N$3007,$B314,'Zoho Dump'!$P$8:$P$3007,Settings!$A$13)+SUMIFS(Adjustments!$K$8:$K$207,Adjustments!$B$8:$B$207,$B314,Adjustments!$A$8:$A$207,Settings!$A$13))</f>
        <v>0</v>
      </c>
      <c r="M314" s="17" t="n">
        <f aca="false">IF($B314="",0,SUMIFS('Zoho Dump'!$X$8:$X$3007,'Zoho Dump'!$N$8:$N$3007,$B314,'Zoho Dump'!$P$8:$P$3007,Settings!$A$14)+SUMIFS(Adjustments!$K$8:$K$207,Adjustments!$B$8:$B$207,$B314,Adjustments!$A$8:$A$207,Settings!$A$14))</f>
        <v>0</v>
      </c>
      <c r="N314" s="17" t="n">
        <f aca="false">IF($B314="",0,SUMIFS('Zoho Dump'!$X$8:$X$3007,'Zoho Dump'!$N$8:$N$3007,$B314,'Zoho Dump'!$P$8:$P$3007,Settings!$A$15)+SUMIFS(Adjustments!$K$8:$K$207,Adjustments!$B$8:$B$207,$B314,Adjustments!$A$8:$A$207,Settings!$A$15))</f>
        <v>0</v>
      </c>
      <c r="O314" s="17" t="n">
        <f aca="false">IF($B314="",0,SUMIFS('Zoho Dump'!$X$8:$X$3007,'Zoho Dump'!$N$8:$N$3007,$B314,'Zoho Dump'!$P$8:$P$3007,Settings!$A$16)+SUMIFS(Adjustments!$K$8:$K$207,Adjustments!$B$8:$B$207,$B314,Adjustments!$A$8:$A$207,Settings!$A$16))</f>
        <v>0</v>
      </c>
      <c r="P314" s="17" t="n">
        <f aca="false">IF($B314="",0,SUMIFS('Zoho Dump'!$X$8:$X$3007,'Zoho Dump'!$N$8:$N$3007,$B314,'Zoho Dump'!$P$8:$P$3007,Settings!$A$17)+SUMIFS(Adjustments!$K$8:$K$207,Adjustments!$B$8:$B$207,$B314,Adjustments!$A$8:$A$207,Settings!$A$17))</f>
        <v>0</v>
      </c>
      <c r="Q314" s="17" t="n">
        <f aca="false">IF($B314="",0,SUMIFS('Zoho Dump'!$X$8:$X$3007,'Zoho Dump'!$N$8:$N$3007,$B314,'Zoho Dump'!$P$8:$P$3007,Settings!$A$18)+SUMIFS(Adjustments!$K$8:$K$207,Adjustments!$B$8:$B$207,$B314,Adjustments!$A$8:$A$207,Settings!$A$18))</f>
        <v>0</v>
      </c>
      <c r="R314" s="30" t="str">
        <f aca="false">IF(G314&gt;0,G314+A314/10000000,"")</f>
        <v/>
      </c>
    </row>
    <row r="315" customFormat="false" ht="15" hidden="false" customHeight="false" outlineLevel="0" collapsed="false">
      <c r="A315" s="9" t="n">
        <v>311</v>
      </c>
      <c r="B315" s="9" t="str">
        <f aca="false">IFERROR(INDEX('Zoho Dump'!$N$8:$N$3007,MATCH(A315,'Zoho Dump'!$AB$8:$AB$3007,0)),"")</f>
        <v/>
      </c>
      <c r="C315" s="17" t="n">
        <f aca="false">IF($B315="",0,SUMIFS('Zoho Dump'!$Q$8:$Q$3007,'Zoho Dump'!$N$8:$N$3007,$B315,'Zoho Dump'!$T$8:$T$3007,"Delivered",'Zoho Dump'!$R$8:$R$3007,"&gt;="&amp;Settings!$B$4))</f>
        <v>0</v>
      </c>
      <c r="D315" s="17" t="n">
        <f aca="false">IF($B315="",0,SUMIFS('Zoho Dump'!$X$8:$X$3007,'Zoho Dump'!$N$8:$N$3007,$B315,'Zoho Dump'!$T$8:$T$3007,"Backlog")+SUMIFS(Adjustments!$K$8:$K$207,Adjustments!$B$8:$B$207,$B315,Adjustments!$H$8:$H$207,"Backlog"))</f>
        <v>0</v>
      </c>
      <c r="E315" s="17" t="n">
        <f aca="false">IF($B315="",0,SUMIFS('Zoho Dump'!$Y$8:$Y$3007,'Zoho Dump'!$N$8:$N$3007,$B315,'Zoho Dump'!$T$8:$T$3007,"Pipeline")+SUMIFS(Adjustments!$L$8:$L$207,Adjustments!$B$8:$B$207,$B315,Adjustments!$H$8:$H$207,"Pipeline")+SUMIFS('Zoho Dump'!$Y$8:$Y$3007,'Zoho Dump'!$N$8:$N$3007,$B315,'Zoho Dump'!$T$8:$T$3007,"Overdue")+SUMIFS(Adjustments!$L$8:$L$207,Adjustments!$B$8:$B$207,$B315,Adjustments!$H$8:$H$207,"Overdue"))</f>
        <v>0</v>
      </c>
      <c r="F315" s="17" t="n">
        <f aca="false">IF($B315="",0,SUMIFS('Zoho Dump'!$X$8:$X$3007,'Zoho Dump'!$N$8:$N$3007,$B315,'Zoho Dump'!$T$8:$T$3007,"Pipeline")+SUMIFS(Adjustments!$K$8:$K$207,Adjustments!$B$8:$B$207,$B315,Adjustments!$H$8:$H$207,"Pipeline")+SUMIFS('Zoho Dump'!$X$8:$X$3007,'Zoho Dump'!$N$8:$N$3007,$B315,'Zoho Dump'!$T$8:$T$3007,"Overdue")+SUMIFS(Adjustments!$K$8:$K$207,Adjustments!$B$8:$B$207,$B315,Adjustments!$H$8:$H$207,"Overdue"))</f>
        <v>0</v>
      </c>
      <c r="G315" s="17" t="n">
        <f aca="false">D315+F315</f>
        <v>0</v>
      </c>
      <c r="H315" s="18" t="n">
        <f aca="false">IF(SUM($G$5:$G$404)=0,0,G315/SUM($G$5:$G$404))</f>
        <v>0</v>
      </c>
      <c r="I315" s="17" t="n">
        <f aca="false">IF($B315="",0,SUMIFS('Zoho Dump'!$Q$8:$Q$3007,'Zoho Dump'!$N$8:$N$3007,$B315,'Zoho Dump'!$T$8:$T$3007,"Lost",'Zoho Dump'!$R$8:$R$3007,"&gt;="&amp;Settings!$B$4))</f>
        <v>0</v>
      </c>
      <c r="J315" s="9" t="str">
        <f aca="false">IF($B315="","",IF(COUNTIF(Dashboard!$C$13:$C$22,$B315)&gt;0,"Yes",""))</f>
        <v/>
      </c>
      <c r="K315" s="17" t="n">
        <f aca="false">IF($B315="",0,SUMIFS('Zoho Dump'!$X$8:$X$3007,'Zoho Dump'!$N$8:$N$3007,$B315,'Zoho Dump'!$P$8:$P$3007,Settings!$A$12)+SUMIFS(Adjustments!$K$8:$K$207,Adjustments!$B$8:$B$207,$B315,Adjustments!$A$8:$A$207,Settings!$A$12))</f>
        <v>0</v>
      </c>
      <c r="L315" s="17" t="n">
        <f aca="false">IF($B315="",0,SUMIFS('Zoho Dump'!$X$8:$X$3007,'Zoho Dump'!$N$8:$N$3007,$B315,'Zoho Dump'!$P$8:$P$3007,Settings!$A$13)+SUMIFS(Adjustments!$K$8:$K$207,Adjustments!$B$8:$B$207,$B315,Adjustments!$A$8:$A$207,Settings!$A$13))</f>
        <v>0</v>
      </c>
      <c r="M315" s="17" t="n">
        <f aca="false">IF($B315="",0,SUMIFS('Zoho Dump'!$X$8:$X$3007,'Zoho Dump'!$N$8:$N$3007,$B315,'Zoho Dump'!$P$8:$P$3007,Settings!$A$14)+SUMIFS(Adjustments!$K$8:$K$207,Adjustments!$B$8:$B$207,$B315,Adjustments!$A$8:$A$207,Settings!$A$14))</f>
        <v>0</v>
      </c>
      <c r="N315" s="17" t="n">
        <f aca="false">IF($B315="",0,SUMIFS('Zoho Dump'!$X$8:$X$3007,'Zoho Dump'!$N$8:$N$3007,$B315,'Zoho Dump'!$P$8:$P$3007,Settings!$A$15)+SUMIFS(Adjustments!$K$8:$K$207,Adjustments!$B$8:$B$207,$B315,Adjustments!$A$8:$A$207,Settings!$A$15))</f>
        <v>0</v>
      </c>
      <c r="O315" s="17" t="n">
        <f aca="false">IF($B315="",0,SUMIFS('Zoho Dump'!$X$8:$X$3007,'Zoho Dump'!$N$8:$N$3007,$B315,'Zoho Dump'!$P$8:$P$3007,Settings!$A$16)+SUMIFS(Adjustments!$K$8:$K$207,Adjustments!$B$8:$B$207,$B315,Adjustments!$A$8:$A$207,Settings!$A$16))</f>
        <v>0</v>
      </c>
      <c r="P315" s="17" t="n">
        <f aca="false">IF($B315="",0,SUMIFS('Zoho Dump'!$X$8:$X$3007,'Zoho Dump'!$N$8:$N$3007,$B315,'Zoho Dump'!$P$8:$P$3007,Settings!$A$17)+SUMIFS(Adjustments!$K$8:$K$207,Adjustments!$B$8:$B$207,$B315,Adjustments!$A$8:$A$207,Settings!$A$17))</f>
        <v>0</v>
      </c>
      <c r="Q315" s="17" t="n">
        <f aca="false">IF($B315="",0,SUMIFS('Zoho Dump'!$X$8:$X$3007,'Zoho Dump'!$N$8:$N$3007,$B315,'Zoho Dump'!$P$8:$P$3007,Settings!$A$18)+SUMIFS(Adjustments!$K$8:$K$207,Adjustments!$B$8:$B$207,$B315,Adjustments!$A$8:$A$207,Settings!$A$18))</f>
        <v>0</v>
      </c>
      <c r="R315" s="30" t="str">
        <f aca="false">IF(G315&gt;0,G315+A315/10000000,"")</f>
        <v/>
      </c>
    </row>
    <row r="316" customFormat="false" ht="15" hidden="false" customHeight="false" outlineLevel="0" collapsed="false">
      <c r="A316" s="9" t="n">
        <v>312</v>
      </c>
      <c r="B316" s="9" t="str">
        <f aca="false">IFERROR(INDEX('Zoho Dump'!$N$8:$N$3007,MATCH(A316,'Zoho Dump'!$AB$8:$AB$3007,0)),"")</f>
        <v/>
      </c>
      <c r="C316" s="17" t="n">
        <f aca="false">IF($B316="",0,SUMIFS('Zoho Dump'!$Q$8:$Q$3007,'Zoho Dump'!$N$8:$N$3007,$B316,'Zoho Dump'!$T$8:$T$3007,"Delivered",'Zoho Dump'!$R$8:$R$3007,"&gt;="&amp;Settings!$B$4))</f>
        <v>0</v>
      </c>
      <c r="D316" s="17" t="n">
        <f aca="false">IF($B316="",0,SUMIFS('Zoho Dump'!$X$8:$X$3007,'Zoho Dump'!$N$8:$N$3007,$B316,'Zoho Dump'!$T$8:$T$3007,"Backlog")+SUMIFS(Adjustments!$K$8:$K$207,Adjustments!$B$8:$B$207,$B316,Adjustments!$H$8:$H$207,"Backlog"))</f>
        <v>0</v>
      </c>
      <c r="E316" s="17" t="n">
        <f aca="false">IF($B316="",0,SUMIFS('Zoho Dump'!$Y$8:$Y$3007,'Zoho Dump'!$N$8:$N$3007,$B316,'Zoho Dump'!$T$8:$T$3007,"Pipeline")+SUMIFS(Adjustments!$L$8:$L$207,Adjustments!$B$8:$B$207,$B316,Adjustments!$H$8:$H$207,"Pipeline")+SUMIFS('Zoho Dump'!$Y$8:$Y$3007,'Zoho Dump'!$N$8:$N$3007,$B316,'Zoho Dump'!$T$8:$T$3007,"Overdue")+SUMIFS(Adjustments!$L$8:$L$207,Adjustments!$B$8:$B$207,$B316,Adjustments!$H$8:$H$207,"Overdue"))</f>
        <v>0</v>
      </c>
      <c r="F316" s="17" t="n">
        <f aca="false">IF($B316="",0,SUMIFS('Zoho Dump'!$X$8:$X$3007,'Zoho Dump'!$N$8:$N$3007,$B316,'Zoho Dump'!$T$8:$T$3007,"Pipeline")+SUMIFS(Adjustments!$K$8:$K$207,Adjustments!$B$8:$B$207,$B316,Adjustments!$H$8:$H$207,"Pipeline")+SUMIFS('Zoho Dump'!$X$8:$X$3007,'Zoho Dump'!$N$8:$N$3007,$B316,'Zoho Dump'!$T$8:$T$3007,"Overdue")+SUMIFS(Adjustments!$K$8:$K$207,Adjustments!$B$8:$B$207,$B316,Adjustments!$H$8:$H$207,"Overdue"))</f>
        <v>0</v>
      </c>
      <c r="G316" s="17" t="n">
        <f aca="false">D316+F316</f>
        <v>0</v>
      </c>
      <c r="H316" s="18" t="n">
        <f aca="false">IF(SUM($G$5:$G$404)=0,0,G316/SUM($G$5:$G$404))</f>
        <v>0</v>
      </c>
      <c r="I316" s="17" t="n">
        <f aca="false">IF($B316="",0,SUMIFS('Zoho Dump'!$Q$8:$Q$3007,'Zoho Dump'!$N$8:$N$3007,$B316,'Zoho Dump'!$T$8:$T$3007,"Lost",'Zoho Dump'!$R$8:$R$3007,"&gt;="&amp;Settings!$B$4))</f>
        <v>0</v>
      </c>
      <c r="J316" s="9" t="str">
        <f aca="false">IF($B316="","",IF(COUNTIF(Dashboard!$C$13:$C$22,$B316)&gt;0,"Yes",""))</f>
        <v/>
      </c>
      <c r="K316" s="17" t="n">
        <f aca="false">IF($B316="",0,SUMIFS('Zoho Dump'!$X$8:$X$3007,'Zoho Dump'!$N$8:$N$3007,$B316,'Zoho Dump'!$P$8:$P$3007,Settings!$A$12)+SUMIFS(Adjustments!$K$8:$K$207,Adjustments!$B$8:$B$207,$B316,Adjustments!$A$8:$A$207,Settings!$A$12))</f>
        <v>0</v>
      </c>
      <c r="L316" s="17" t="n">
        <f aca="false">IF($B316="",0,SUMIFS('Zoho Dump'!$X$8:$X$3007,'Zoho Dump'!$N$8:$N$3007,$B316,'Zoho Dump'!$P$8:$P$3007,Settings!$A$13)+SUMIFS(Adjustments!$K$8:$K$207,Adjustments!$B$8:$B$207,$B316,Adjustments!$A$8:$A$207,Settings!$A$13))</f>
        <v>0</v>
      </c>
      <c r="M316" s="17" t="n">
        <f aca="false">IF($B316="",0,SUMIFS('Zoho Dump'!$X$8:$X$3007,'Zoho Dump'!$N$8:$N$3007,$B316,'Zoho Dump'!$P$8:$P$3007,Settings!$A$14)+SUMIFS(Adjustments!$K$8:$K$207,Adjustments!$B$8:$B$207,$B316,Adjustments!$A$8:$A$207,Settings!$A$14))</f>
        <v>0</v>
      </c>
      <c r="N316" s="17" t="n">
        <f aca="false">IF($B316="",0,SUMIFS('Zoho Dump'!$X$8:$X$3007,'Zoho Dump'!$N$8:$N$3007,$B316,'Zoho Dump'!$P$8:$P$3007,Settings!$A$15)+SUMIFS(Adjustments!$K$8:$K$207,Adjustments!$B$8:$B$207,$B316,Adjustments!$A$8:$A$207,Settings!$A$15))</f>
        <v>0</v>
      </c>
      <c r="O316" s="17" t="n">
        <f aca="false">IF($B316="",0,SUMIFS('Zoho Dump'!$X$8:$X$3007,'Zoho Dump'!$N$8:$N$3007,$B316,'Zoho Dump'!$P$8:$P$3007,Settings!$A$16)+SUMIFS(Adjustments!$K$8:$K$207,Adjustments!$B$8:$B$207,$B316,Adjustments!$A$8:$A$207,Settings!$A$16))</f>
        <v>0</v>
      </c>
      <c r="P316" s="17" t="n">
        <f aca="false">IF($B316="",0,SUMIFS('Zoho Dump'!$X$8:$X$3007,'Zoho Dump'!$N$8:$N$3007,$B316,'Zoho Dump'!$P$8:$P$3007,Settings!$A$17)+SUMIFS(Adjustments!$K$8:$K$207,Adjustments!$B$8:$B$207,$B316,Adjustments!$A$8:$A$207,Settings!$A$17))</f>
        <v>0</v>
      </c>
      <c r="Q316" s="17" t="n">
        <f aca="false">IF($B316="",0,SUMIFS('Zoho Dump'!$X$8:$X$3007,'Zoho Dump'!$N$8:$N$3007,$B316,'Zoho Dump'!$P$8:$P$3007,Settings!$A$18)+SUMIFS(Adjustments!$K$8:$K$207,Adjustments!$B$8:$B$207,$B316,Adjustments!$A$8:$A$207,Settings!$A$18))</f>
        <v>0</v>
      </c>
      <c r="R316" s="30" t="str">
        <f aca="false">IF(G316&gt;0,G316+A316/10000000,"")</f>
        <v/>
      </c>
    </row>
    <row r="317" customFormat="false" ht="15" hidden="false" customHeight="false" outlineLevel="0" collapsed="false">
      <c r="A317" s="9" t="n">
        <v>313</v>
      </c>
      <c r="B317" s="9" t="str">
        <f aca="false">IFERROR(INDEX('Zoho Dump'!$N$8:$N$3007,MATCH(A317,'Zoho Dump'!$AB$8:$AB$3007,0)),"")</f>
        <v/>
      </c>
      <c r="C317" s="17" t="n">
        <f aca="false">IF($B317="",0,SUMIFS('Zoho Dump'!$Q$8:$Q$3007,'Zoho Dump'!$N$8:$N$3007,$B317,'Zoho Dump'!$T$8:$T$3007,"Delivered",'Zoho Dump'!$R$8:$R$3007,"&gt;="&amp;Settings!$B$4))</f>
        <v>0</v>
      </c>
      <c r="D317" s="17" t="n">
        <f aca="false">IF($B317="",0,SUMIFS('Zoho Dump'!$X$8:$X$3007,'Zoho Dump'!$N$8:$N$3007,$B317,'Zoho Dump'!$T$8:$T$3007,"Backlog")+SUMIFS(Adjustments!$K$8:$K$207,Adjustments!$B$8:$B$207,$B317,Adjustments!$H$8:$H$207,"Backlog"))</f>
        <v>0</v>
      </c>
      <c r="E317" s="17" t="n">
        <f aca="false">IF($B317="",0,SUMIFS('Zoho Dump'!$Y$8:$Y$3007,'Zoho Dump'!$N$8:$N$3007,$B317,'Zoho Dump'!$T$8:$T$3007,"Pipeline")+SUMIFS(Adjustments!$L$8:$L$207,Adjustments!$B$8:$B$207,$B317,Adjustments!$H$8:$H$207,"Pipeline")+SUMIFS('Zoho Dump'!$Y$8:$Y$3007,'Zoho Dump'!$N$8:$N$3007,$B317,'Zoho Dump'!$T$8:$T$3007,"Overdue")+SUMIFS(Adjustments!$L$8:$L$207,Adjustments!$B$8:$B$207,$B317,Adjustments!$H$8:$H$207,"Overdue"))</f>
        <v>0</v>
      </c>
      <c r="F317" s="17" t="n">
        <f aca="false">IF($B317="",0,SUMIFS('Zoho Dump'!$X$8:$X$3007,'Zoho Dump'!$N$8:$N$3007,$B317,'Zoho Dump'!$T$8:$T$3007,"Pipeline")+SUMIFS(Adjustments!$K$8:$K$207,Adjustments!$B$8:$B$207,$B317,Adjustments!$H$8:$H$207,"Pipeline")+SUMIFS('Zoho Dump'!$X$8:$X$3007,'Zoho Dump'!$N$8:$N$3007,$B317,'Zoho Dump'!$T$8:$T$3007,"Overdue")+SUMIFS(Adjustments!$K$8:$K$207,Adjustments!$B$8:$B$207,$B317,Adjustments!$H$8:$H$207,"Overdue"))</f>
        <v>0</v>
      </c>
      <c r="G317" s="17" t="n">
        <f aca="false">D317+F317</f>
        <v>0</v>
      </c>
      <c r="H317" s="18" t="n">
        <f aca="false">IF(SUM($G$5:$G$404)=0,0,G317/SUM($G$5:$G$404))</f>
        <v>0</v>
      </c>
      <c r="I317" s="17" t="n">
        <f aca="false">IF($B317="",0,SUMIFS('Zoho Dump'!$Q$8:$Q$3007,'Zoho Dump'!$N$8:$N$3007,$B317,'Zoho Dump'!$T$8:$T$3007,"Lost",'Zoho Dump'!$R$8:$R$3007,"&gt;="&amp;Settings!$B$4))</f>
        <v>0</v>
      </c>
      <c r="J317" s="9" t="str">
        <f aca="false">IF($B317="","",IF(COUNTIF(Dashboard!$C$13:$C$22,$B317)&gt;0,"Yes",""))</f>
        <v/>
      </c>
      <c r="K317" s="17" t="n">
        <f aca="false">IF($B317="",0,SUMIFS('Zoho Dump'!$X$8:$X$3007,'Zoho Dump'!$N$8:$N$3007,$B317,'Zoho Dump'!$P$8:$P$3007,Settings!$A$12)+SUMIFS(Adjustments!$K$8:$K$207,Adjustments!$B$8:$B$207,$B317,Adjustments!$A$8:$A$207,Settings!$A$12))</f>
        <v>0</v>
      </c>
      <c r="L317" s="17" t="n">
        <f aca="false">IF($B317="",0,SUMIFS('Zoho Dump'!$X$8:$X$3007,'Zoho Dump'!$N$8:$N$3007,$B317,'Zoho Dump'!$P$8:$P$3007,Settings!$A$13)+SUMIFS(Adjustments!$K$8:$K$207,Adjustments!$B$8:$B$207,$B317,Adjustments!$A$8:$A$207,Settings!$A$13))</f>
        <v>0</v>
      </c>
      <c r="M317" s="17" t="n">
        <f aca="false">IF($B317="",0,SUMIFS('Zoho Dump'!$X$8:$X$3007,'Zoho Dump'!$N$8:$N$3007,$B317,'Zoho Dump'!$P$8:$P$3007,Settings!$A$14)+SUMIFS(Adjustments!$K$8:$K$207,Adjustments!$B$8:$B$207,$B317,Adjustments!$A$8:$A$207,Settings!$A$14))</f>
        <v>0</v>
      </c>
      <c r="N317" s="17" t="n">
        <f aca="false">IF($B317="",0,SUMIFS('Zoho Dump'!$X$8:$X$3007,'Zoho Dump'!$N$8:$N$3007,$B317,'Zoho Dump'!$P$8:$P$3007,Settings!$A$15)+SUMIFS(Adjustments!$K$8:$K$207,Adjustments!$B$8:$B$207,$B317,Adjustments!$A$8:$A$207,Settings!$A$15))</f>
        <v>0</v>
      </c>
      <c r="O317" s="17" t="n">
        <f aca="false">IF($B317="",0,SUMIFS('Zoho Dump'!$X$8:$X$3007,'Zoho Dump'!$N$8:$N$3007,$B317,'Zoho Dump'!$P$8:$P$3007,Settings!$A$16)+SUMIFS(Adjustments!$K$8:$K$207,Adjustments!$B$8:$B$207,$B317,Adjustments!$A$8:$A$207,Settings!$A$16))</f>
        <v>0</v>
      </c>
      <c r="P317" s="17" t="n">
        <f aca="false">IF($B317="",0,SUMIFS('Zoho Dump'!$X$8:$X$3007,'Zoho Dump'!$N$8:$N$3007,$B317,'Zoho Dump'!$P$8:$P$3007,Settings!$A$17)+SUMIFS(Adjustments!$K$8:$K$207,Adjustments!$B$8:$B$207,$B317,Adjustments!$A$8:$A$207,Settings!$A$17))</f>
        <v>0</v>
      </c>
      <c r="Q317" s="17" t="n">
        <f aca="false">IF($B317="",0,SUMIFS('Zoho Dump'!$X$8:$X$3007,'Zoho Dump'!$N$8:$N$3007,$B317,'Zoho Dump'!$P$8:$P$3007,Settings!$A$18)+SUMIFS(Adjustments!$K$8:$K$207,Adjustments!$B$8:$B$207,$B317,Adjustments!$A$8:$A$207,Settings!$A$18))</f>
        <v>0</v>
      </c>
      <c r="R317" s="30" t="str">
        <f aca="false">IF(G317&gt;0,G317+A317/10000000,"")</f>
        <v/>
      </c>
    </row>
    <row r="318" customFormat="false" ht="15" hidden="false" customHeight="false" outlineLevel="0" collapsed="false">
      <c r="A318" s="9" t="n">
        <v>314</v>
      </c>
      <c r="B318" s="9" t="str">
        <f aca="false">IFERROR(INDEX('Zoho Dump'!$N$8:$N$3007,MATCH(A318,'Zoho Dump'!$AB$8:$AB$3007,0)),"")</f>
        <v/>
      </c>
      <c r="C318" s="17" t="n">
        <f aca="false">IF($B318="",0,SUMIFS('Zoho Dump'!$Q$8:$Q$3007,'Zoho Dump'!$N$8:$N$3007,$B318,'Zoho Dump'!$T$8:$T$3007,"Delivered",'Zoho Dump'!$R$8:$R$3007,"&gt;="&amp;Settings!$B$4))</f>
        <v>0</v>
      </c>
      <c r="D318" s="17" t="n">
        <f aca="false">IF($B318="",0,SUMIFS('Zoho Dump'!$X$8:$X$3007,'Zoho Dump'!$N$8:$N$3007,$B318,'Zoho Dump'!$T$8:$T$3007,"Backlog")+SUMIFS(Adjustments!$K$8:$K$207,Adjustments!$B$8:$B$207,$B318,Adjustments!$H$8:$H$207,"Backlog"))</f>
        <v>0</v>
      </c>
      <c r="E318" s="17" t="n">
        <f aca="false">IF($B318="",0,SUMIFS('Zoho Dump'!$Y$8:$Y$3007,'Zoho Dump'!$N$8:$N$3007,$B318,'Zoho Dump'!$T$8:$T$3007,"Pipeline")+SUMIFS(Adjustments!$L$8:$L$207,Adjustments!$B$8:$B$207,$B318,Adjustments!$H$8:$H$207,"Pipeline")+SUMIFS('Zoho Dump'!$Y$8:$Y$3007,'Zoho Dump'!$N$8:$N$3007,$B318,'Zoho Dump'!$T$8:$T$3007,"Overdue")+SUMIFS(Adjustments!$L$8:$L$207,Adjustments!$B$8:$B$207,$B318,Adjustments!$H$8:$H$207,"Overdue"))</f>
        <v>0</v>
      </c>
      <c r="F318" s="17" t="n">
        <f aca="false">IF($B318="",0,SUMIFS('Zoho Dump'!$X$8:$X$3007,'Zoho Dump'!$N$8:$N$3007,$B318,'Zoho Dump'!$T$8:$T$3007,"Pipeline")+SUMIFS(Adjustments!$K$8:$K$207,Adjustments!$B$8:$B$207,$B318,Adjustments!$H$8:$H$207,"Pipeline")+SUMIFS('Zoho Dump'!$X$8:$X$3007,'Zoho Dump'!$N$8:$N$3007,$B318,'Zoho Dump'!$T$8:$T$3007,"Overdue")+SUMIFS(Adjustments!$K$8:$K$207,Adjustments!$B$8:$B$207,$B318,Adjustments!$H$8:$H$207,"Overdue"))</f>
        <v>0</v>
      </c>
      <c r="G318" s="17" t="n">
        <f aca="false">D318+F318</f>
        <v>0</v>
      </c>
      <c r="H318" s="18" t="n">
        <f aca="false">IF(SUM($G$5:$G$404)=0,0,G318/SUM($G$5:$G$404))</f>
        <v>0</v>
      </c>
      <c r="I318" s="17" t="n">
        <f aca="false">IF($B318="",0,SUMIFS('Zoho Dump'!$Q$8:$Q$3007,'Zoho Dump'!$N$8:$N$3007,$B318,'Zoho Dump'!$T$8:$T$3007,"Lost",'Zoho Dump'!$R$8:$R$3007,"&gt;="&amp;Settings!$B$4))</f>
        <v>0</v>
      </c>
      <c r="J318" s="9" t="str">
        <f aca="false">IF($B318="","",IF(COUNTIF(Dashboard!$C$13:$C$22,$B318)&gt;0,"Yes",""))</f>
        <v/>
      </c>
      <c r="K318" s="17" t="n">
        <f aca="false">IF($B318="",0,SUMIFS('Zoho Dump'!$X$8:$X$3007,'Zoho Dump'!$N$8:$N$3007,$B318,'Zoho Dump'!$P$8:$P$3007,Settings!$A$12)+SUMIFS(Adjustments!$K$8:$K$207,Adjustments!$B$8:$B$207,$B318,Adjustments!$A$8:$A$207,Settings!$A$12))</f>
        <v>0</v>
      </c>
      <c r="L318" s="17" t="n">
        <f aca="false">IF($B318="",0,SUMIFS('Zoho Dump'!$X$8:$X$3007,'Zoho Dump'!$N$8:$N$3007,$B318,'Zoho Dump'!$P$8:$P$3007,Settings!$A$13)+SUMIFS(Adjustments!$K$8:$K$207,Adjustments!$B$8:$B$207,$B318,Adjustments!$A$8:$A$207,Settings!$A$13))</f>
        <v>0</v>
      </c>
      <c r="M318" s="17" t="n">
        <f aca="false">IF($B318="",0,SUMIFS('Zoho Dump'!$X$8:$X$3007,'Zoho Dump'!$N$8:$N$3007,$B318,'Zoho Dump'!$P$8:$P$3007,Settings!$A$14)+SUMIFS(Adjustments!$K$8:$K$207,Adjustments!$B$8:$B$207,$B318,Adjustments!$A$8:$A$207,Settings!$A$14))</f>
        <v>0</v>
      </c>
      <c r="N318" s="17" t="n">
        <f aca="false">IF($B318="",0,SUMIFS('Zoho Dump'!$X$8:$X$3007,'Zoho Dump'!$N$8:$N$3007,$B318,'Zoho Dump'!$P$8:$P$3007,Settings!$A$15)+SUMIFS(Adjustments!$K$8:$K$207,Adjustments!$B$8:$B$207,$B318,Adjustments!$A$8:$A$207,Settings!$A$15))</f>
        <v>0</v>
      </c>
      <c r="O318" s="17" t="n">
        <f aca="false">IF($B318="",0,SUMIFS('Zoho Dump'!$X$8:$X$3007,'Zoho Dump'!$N$8:$N$3007,$B318,'Zoho Dump'!$P$8:$P$3007,Settings!$A$16)+SUMIFS(Adjustments!$K$8:$K$207,Adjustments!$B$8:$B$207,$B318,Adjustments!$A$8:$A$207,Settings!$A$16))</f>
        <v>0</v>
      </c>
      <c r="P318" s="17" t="n">
        <f aca="false">IF($B318="",0,SUMIFS('Zoho Dump'!$X$8:$X$3007,'Zoho Dump'!$N$8:$N$3007,$B318,'Zoho Dump'!$P$8:$P$3007,Settings!$A$17)+SUMIFS(Adjustments!$K$8:$K$207,Adjustments!$B$8:$B$207,$B318,Adjustments!$A$8:$A$207,Settings!$A$17))</f>
        <v>0</v>
      </c>
      <c r="Q318" s="17" t="n">
        <f aca="false">IF($B318="",0,SUMIFS('Zoho Dump'!$X$8:$X$3007,'Zoho Dump'!$N$8:$N$3007,$B318,'Zoho Dump'!$P$8:$P$3007,Settings!$A$18)+SUMIFS(Adjustments!$K$8:$K$207,Adjustments!$B$8:$B$207,$B318,Adjustments!$A$8:$A$207,Settings!$A$18))</f>
        <v>0</v>
      </c>
      <c r="R318" s="30" t="str">
        <f aca="false">IF(G318&gt;0,G318+A318/10000000,"")</f>
        <v/>
      </c>
    </row>
    <row r="319" customFormat="false" ht="15" hidden="false" customHeight="false" outlineLevel="0" collapsed="false">
      <c r="A319" s="9" t="n">
        <v>315</v>
      </c>
      <c r="B319" s="9" t="str">
        <f aca="false">IFERROR(INDEX('Zoho Dump'!$N$8:$N$3007,MATCH(A319,'Zoho Dump'!$AB$8:$AB$3007,0)),"")</f>
        <v/>
      </c>
      <c r="C319" s="17" t="n">
        <f aca="false">IF($B319="",0,SUMIFS('Zoho Dump'!$Q$8:$Q$3007,'Zoho Dump'!$N$8:$N$3007,$B319,'Zoho Dump'!$T$8:$T$3007,"Delivered",'Zoho Dump'!$R$8:$R$3007,"&gt;="&amp;Settings!$B$4))</f>
        <v>0</v>
      </c>
      <c r="D319" s="17" t="n">
        <f aca="false">IF($B319="",0,SUMIFS('Zoho Dump'!$X$8:$X$3007,'Zoho Dump'!$N$8:$N$3007,$B319,'Zoho Dump'!$T$8:$T$3007,"Backlog")+SUMIFS(Adjustments!$K$8:$K$207,Adjustments!$B$8:$B$207,$B319,Adjustments!$H$8:$H$207,"Backlog"))</f>
        <v>0</v>
      </c>
      <c r="E319" s="17" t="n">
        <f aca="false">IF($B319="",0,SUMIFS('Zoho Dump'!$Y$8:$Y$3007,'Zoho Dump'!$N$8:$N$3007,$B319,'Zoho Dump'!$T$8:$T$3007,"Pipeline")+SUMIFS(Adjustments!$L$8:$L$207,Adjustments!$B$8:$B$207,$B319,Adjustments!$H$8:$H$207,"Pipeline")+SUMIFS('Zoho Dump'!$Y$8:$Y$3007,'Zoho Dump'!$N$8:$N$3007,$B319,'Zoho Dump'!$T$8:$T$3007,"Overdue")+SUMIFS(Adjustments!$L$8:$L$207,Adjustments!$B$8:$B$207,$B319,Adjustments!$H$8:$H$207,"Overdue"))</f>
        <v>0</v>
      </c>
      <c r="F319" s="17" t="n">
        <f aca="false">IF($B319="",0,SUMIFS('Zoho Dump'!$X$8:$X$3007,'Zoho Dump'!$N$8:$N$3007,$B319,'Zoho Dump'!$T$8:$T$3007,"Pipeline")+SUMIFS(Adjustments!$K$8:$K$207,Adjustments!$B$8:$B$207,$B319,Adjustments!$H$8:$H$207,"Pipeline")+SUMIFS('Zoho Dump'!$X$8:$X$3007,'Zoho Dump'!$N$8:$N$3007,$B319,'Zoho Dump'!$T$8:$T$3007,"Overdue")+SUMIFS(Adjustments!$K$8:$K$207,Adjustments!$B$8:$B$207,$B319,Adjustments!$H$8:$H$207,"Overdue"))</f>
        <v>0</v>
      </c>
      <c r="G319" s="17" t="n">
        <f aca="false">D319+F319</f>
        <v>0</v>
      </c>
      <c r="H319" s="18" t="n">
        <f aca="false">IF(SUM($G$5:$G$404)=0,0,G319/SUM($G$5:$G$404))</f>
        <v>0</v>
      </c>
      <c r="I319" s="17" t="n">
        <f aca="false">IF($B319="",0,SUMIFS('Zoho Dump'!$Q$8:$Q$3007,'Zoho Dump'!$N$8:$N$3007,$B319,'Zoho Dump'!$T$8:$T$3007,"Lost",'Zoho Dump'!$R$8:$R$3007,"&gt;="&amp;Settings!$B$4))</f>
        <v>0</v>
      </c>
      <c r="J319" s="9" t="str">
        <f aca="false">IF($B319="","",IF(COUNTIF(Dashboard!$C$13:$C$22,$B319)&gt;0,"Yes",""))</f>
        <v/>
      </c>
      <c r="K319" s="17" t="n">
        <f aca="false">IF($B319="",0,SUMIFS('Zoho Dump'!$X$8:$X$3007,'Zoho Dump'!$N$8:$N$3007,$B319,'Zoho Dump'!$P$8:$P$3007,Settings!$A$12)+SUMIFS(Adjustments!$K$8:$K$207,Adjustments!$B$8:$B$207,$B319,Adjustments!$A$8:$A$207,Settings!$A$12))</f>
        <v>0</v>
      </c>
      <c r="L319" s="17" t="n">
        <f aca="false">IF($B319="",0,SUMIFS('Zoho Dump'!$X$8:$X$3007,'Zoho Dump'!$N$8:$N$3007,$B319,'Zoho Dump'!$P$8:$P$3007,Settings!$A$13)+SUMIFS(Adjustments!$K$8:$K$207,Adjustments!$B$8:$B$207,$B319,Adjustments!$A$8:$A$207,Settings!$A$13))</f>
        <v>0</v>
      </c>
      <c r="M319" s="17" t="n">
        <f aca="false">IF($B319="",0,SUMIFS('Zoho Dump'!$X$8:$X$3007,'Zoho Dump'!$N$8:$N$3007,$B319,'Zoho Dump'!$P$8:$P$3007,Settings!$A$14)+SUMIFS(Adjustments!$K$8:$K$207,Adjustments!$B$8:$B$207,$B319,Adjustments!$A$8:$A$207,Settings!$A$14))</f>
        <v>0</v>
      </c>
      <c r="N319" s="17" t="n">
        <f aca="false">IF($B319="",0,SUMIFS('Zoho Dump'!$X$8:$X$3007,'Zoho Dump'!$N$8:$N$3007,$B319,'Zoho Dump'!$P$8:$P$3007,Settings!$A$15)+SUMIFS(Adjustments!$K$8:$K$207,Adjustments!$B$8:$B$207,$B319,Adjustments!$A$8:$A$207,Settings!$A$15))</f>
        <v>0</v>
      </c>
      <c r="O319" s="17" t="n">
        <f aca="false">IF($B319="",0,SUMIFS('Zoho Dump'!$X$8:$X$3007,'Zoho Dump'!$N$8:$N$3007,$B319,'Zoho Dump'!$P$8:$P$3007,Settings!$A$16)+SUMIFS(Adjustments!$K$8:$K$207,Adjustments!$B$8:$B$207,$B319,Adjustments!$A$8:$A$207,Settings!$A$16))</f>
        <v>0</v>
      </c>
      <c r="P319" s="17" t="n">
        <f aca="false">IF($B319="",0,SUMIFS('Zoho Dump'!$X$8:$X$3007,'Zoho Dump'!$N$8:$N$3007,$B319,'Zoho Dump'!$P$8:$P$3007,Settings!$A$17)+SUMIFS(Adjustments!$K$8:$K$207,Adjustments!$B$8:$B$207,$B319,Adjustments!$A$8:$A$207,Settings!$A$17))</f>
        <v>0</v>
      </c>
      <c r="Q319" s="17" t="n">
        <f aca="false">IF($B319="",0,SUMIFS('Zoho Dump'!$X$8:$X$3007,'Zoho Dump'!$N$8:$N$3007,$B319,'Zoho Dump'!$P$8:$P$3007,Settings!$A$18)+SUMIFS(Adjustments!$K$8:$K$207,Adjustments!$B$8:$B$207,$B319,Adjustments!$A$8:$A$207,Settings!$A$18))</f>
        <v>0</v>
      </c>
      <c r="R319" s="30" t="str">
        <f aca="false">IF(G319&gt;0,G319+A319/10000000,"")</f>
        <v/>
      </c>
    </row>
    <row r="320" customFormat="false" ht="15" hidden="false" customHeight="false" outlineLevel="0" collapsed="false">
      <c r="A320" s="9" t="n">
        <v>316</v>
      </c>
      <c r="B320" s="9" t="str">
        <f aca="false">IFERROR(INDEX('Zoho Dump'!$N$8:$N$3007,MATCH(A320,'Zoho Dump'!$AB$8:$AB$3007,0)),"")</f>
        <v/>
      </c>
      <c r="C320" s="17" t="n">
        <f aca="false">IF($B320="",0,SUMIFS('Zoho Dump'!$Q$8:$Q$3007,'Zoho Dump'!$N$8:$N$3007,$B320,'Zoho Dump'!$T$8:$T$3007,"Delivered",'Zoho Dump'!$R$8:$R$3007,"&gt;="&amp;Settings!$B$4))</f>
        <v>0</v>
      </c>
      <c r="D320" s="17" t="n">
        <f aca="false">IF($B320="",0,SUMIFS('Zoho Dump'!$X$8:$X$3007,'Zoho Dump'!$N$8:$N$3007,$B320,'Zoho Dump'!$T$8:$T$3007,"Backlog")+SUMIFS(Adjustments!$K$8:$K$207,Adjustments!$B$8:$B$207,$B320,Adjustments!$H$8:$H$207,"Backlog"))</f>
        <v>0</v>
      </c>
      <c r="E320" s="17" t="n">
        <f aca="false">IF($B320="",0,SUMIFS('Zoho Dump'!$Y$8:$Y$3007,'Zoho Dump'!$N$8:$N$3007,$B320,'Zoho Dump'!$T$8:$T$3007,"Pipeline")+SUMIFS(Adjustments!$L$8:$L$207,Adjustments!$B$8:$B$207,$B320,Adjustments!$H$8:$H$207,"Pipeline")+SUMIFS('Zoho Dump'!$Y$8:$Y$3007,'Zoho Dump'!$N$8:$N$3007,$B320,'Zoho Dump'!$T$8:$T$3007,"Overdue")+SUMIFS(Adjustments!$L$8:$L$207,Adjustments!$B$8:$B$207,$B320,Adjustments!$H$8:$H$207,"Overdue"))</f>
        <v>0</v>
      </c>
      <c r="F320" s="17" t="n">
        <f aca="false">IF($B320="",0,SUMIFS('Zoho Dump'!$X$8:$X$3007,'Zoho Dump'!$N$8:$N$3007,$B320,'Zoho Dump'!$T$8:$T$3007,"Pipeline")+SUMIFS(Adjustments!$K$8:$K$207,Adjustments!$B$8:$B$207,$B320,Adjustments!$H$8:$H$207,"Pipeline")+SUMIFS('Zoho Dump'!$X$8:$X$3007,'Zoho Dump'!$N$8:$N$3007,$B320,'Zoho Dump'!$T$8:$T$3007,"Overdue")+SUMIFS(Adjustments!$K$8:$K$207,Adjustments!$B$8:$B$207,$B320,Adjustments!$H$8:$H$207,"Overdue"))</f>
        <v>0</v>
      </c>
      <c r="G320" s="17" t="n">
        <f aca="false">D320+F320</f>
        <v>0</v>
      </c>
      <c r="H320" s="18" t="n">
        <f aca="false">IF(SUM($G$5:$G$404)=0,0,G320/SUM($G$5:$G$404))</f>
        <v>0</v>
      </c>
      <c r="I320" s="17" t="n">
        <f aca="false">IF($B320="",0,SUMIFS('Zoho Dump'!$Q$8:$Q$3007,'Zoho Dump'!$N$8:$N$3007,$B320,'Zoho Dump'!$T$8:$T$3007,"Lost",'Zoho Dump'!$R$8:$R$3007,"&gt;="&amp;Settings!$B$4))</f>
        <v>0</v>
      </c>
      <c r="J320" s="9" t="str">
        <f aca="false">IF($B320="","",IF(COUNTIF(Dashboard!$C$13:$C$22,$B320)&gt;0,"Yes",""))</f>
        <v/>
      </c>
      <c r="K320" s="17" t="n">
        <f aca="false">IF($B320="",0,SUMIFS('Zoho Dump'!$X$8:$X$3007,'Zoho Dump'!$N$8:$N$3007,$B320,'Zoho Dump'!$P$8:$P$3007,Settings!$A$12)+SUMIFS(Adjustments!$K$8:$K$207,Adjustments!$B$8:$B$207,$B320,Adjustments!$A$8:$A$207,Settings!$A$12))</f>
        <v>0</v>
      </c>
      <c r="L320" s="17" t="n">
        <f aca="false">IF($B320="",0,SUMIFS('Zoho Dump'!$X$8:$X$3007,'Zoho Dump'!$N$8:$N$3007,$B320,'Zoho Dump'!$P$8:$P$3007,Settings!$A$13)+SUMIFS(Adjustments!$K$8:$K$207,Adjustments!$B$8:$B$207,$B320,Adjustments!$A$8:$A$207,Settings!$A$13))</f>
        <v>0</v>
      </c>
      <c r="M320" s="17" t="n">
        <f aca="false">IF($B320="",0,SUMIFS('Zoho Dump'!$X$8:$X$3007,'Zoho Dump'!$N$8:$N$3007,$B320,'Zoho Dump'!$P$8:$P$3007,Settings!$A$14)+SUMIFS(Adjustments!$K$8:$K$207,Adjustments!$B$8:$B$207,$B320,Adjustments!$A$8:$A$207,Settings!$A$14))</f>
        <v>0</v>
      </c>
      <c r="N320" s="17" t="n">
        <f aca="false">IF($B320="",0,SUMIFS('Zoho Dump'!$X$8:$X$3007,'Zoho Dump'!$N$8:$N$3007,$B320,'Zoho Dump'!$P$8:$P$3007,Settings!$A$15)+SUMIFS(Adjustments!$K$8:$K$207,Adjustments!$B$8:$B$207,$B320,Adjustments!$A$8:$A$207,Settings!$A$15))</f>
        <v>0</v>
      </c>
      <c r="O320" s="17" t="n">
        <f aca="false">IF($B320="",0,SUMIFS('Zoho Dump'!$X$8:$X$3007,'Zoho Dump'!$N$8:$N$3007,$B320,'Zoho Dump'!$P$8:$P$3007,Settings!$A$16)+SUMIFS(Adjustments!$K$8:$K$207,Adjustments!$B$8:$B$207,$B320,Adjustments!$A$8:$A$207,Settings!$A$16))</f>
        <v>0</v>
      </c>
      <c r="P320" s="17" t="n">
        <f aca="false">IF($B320="",0,SUMIFS('Zoho Dump'!$X$8:$X$3007,'Zoho Dump'!$N$8:$N$3007,$B320,'Zoho Dump'!$P$8:$P$3007,Settings!$A$17)+SUMIFS(Adjustments!$K$8:$K$207,Adjustments!$B$8:$B$207,$B320,Adjustments!$A$8:$A$207,Settings!$A$17))</f>
        <v>0</v>
      </c>
      <c r="Q320" s="17" t="n">
        <f aca="false">IF($B320="",0,SUMIFS('Zoho Dump'!$X$8:$X$3007,'Zoho Dump'!$N$8:$N$3007,$B320,'Zoho Dump'!$P$8:$P$3007,Settings!$A$18)+SUMIFS(Adjustments!$K$8:$K$207,Adjustments!$B$8:$B$207,$B320,Adjustments!$A$8:$A$207,Settings!$A$18))</f>
        <v>0</v>
      </c>
      <c r="R320" s="30" t="str">
        <f aca="false">IF(G320&gt;0,G320+A320/10000000,"")</f>
        <v/>
      </c>
    </row>
    <row r="321" customFormat="false" ht="15" hidden="false" customHeight="false" outlineLevel="0" collapsed="false">
      <c r="A321" s="9" t="n">
        <v>317</v>
      </c>
      <c r="B321" s="9" t="str">
        <f aca="false">IFERROR(INDEX('Zoho Dump'!$N$8:$N$3007,MATCH(A321,'Zoho Dump'!$AB$8:$AB$3007,0)),"")</f>
        <v/>
      </c>
      <c r="C321" s="17" t="n">
        <f aca="false">IF($B321="",0,SUMIFS('Zoho Dump'!$Q$8:$Q$3007,'Zoho Dump'!$N$8:$N$3007,$B321,'Zoho Dump'!$T$8:$T$3007,"Delivered",'Zoho Dump'!$R$8:$R$3007,"&gt;="&amp;Settings!$B$4))</f>
        <v>0</v>
      </c>
      <c r="D321" s="17" t="n">
        <f aca="false">IF($B321="",0,SUMIFS('Zoho Dump'!$X$8:$X$3007,'Zoho Dump'!$N$8:$N$3007,$B321,'Zoho Dump'!$T$8:$T$3007,"Backlog")+SUMIFS(Adjustments!$K$8:$K$207,Adjustments!$B$8:$B$207,$B321,Adjustments!$H$8:$H$207,"Backlog"))</f>
        <v>0</v>
      </c>
      <c r="E321" s="17" t="n">
        <f aca="false">IF($B321="",0,SUMIFS('Zoho Dump'!$Y$8:$Y$3007,'Zoho Dump'!$N$8:$N$3007,$B321,'Zoho Dump'!$T$8:$T$3007,"Pipeline")+SUMIFS(Adjustments!$L$8:$L$207,Adjustments!$B$8:$B$207,$B321,Adjustments!$H$8:$H$207,"Pipeline")+SUMIFS('Zoho Dump'!$Y$8:$Y$3007,'Zoho Dump'!$N$8:$N$3007,$B321,'Zoho Dump'!$T$8:$T$3007,"Overdue")+SUMIFS(Adjustments!$L$8:$L$207,Adjustments!$B$8:$B$207,$B321,Adjustments!$H$8:$H$207,"Overdue"))</f>
        <v>0</v>
      </c>
      <c r="F321" s="17" t="n">
        <f aca="false">IF($B321="",0,SUMIFS('Zoho Dump'!$X$8:$X$3007,'Zoho Dump'!$N$8:$N$3007,$B321,'Zoho Dump'!$T$8:$T$3007,"Pipeline")+SUMIFS(Adjustments!$K$8:$K$207,Adjustments!$B$8:$B$207,$B321,Adjustments!$H$8:$H$207,"Pipeline")+SUMIFS('Zoho Dump'!$X$8:$X$3007,'Zoho Dump'!$N$8:$N$3007,$B321,'Zoho Dump'!$T$8:$T$3007,"Overdue")+SUMIFS(Adjustments!$K$8:$K$207,Adjustments!$B$8:$B$207,$B321,Adjustments!$H$8:$H$207,"Overdue"))</f>
        <v>0</v>
      </c>
      <c r="G321" s="17" t="n">
        <f aca="false">D321+F321</f>
        <v>0</v>
      </c>
      <c r="H321" s="18" t="n">
        <f aca="false">IF(SUM($G$5:$G$404)=0,0,G321/SUM($G$5:$G$404))</f>
        <v>0</v>
      </c>
      <c r="I321" s="17" t="n">
        <f aca="false">IF($B321="",0,SUMIFS('Zoho Dump'!$Q$8:$Q$3007,'Zoho Dump'!$N$8:$N$3007,$B321,'Zoho Dump'!$T$8:$T$3007,"Lost",'Zoho Dump'!$R$8:$R$3007,"&gt;="&amp;Settings!$B$4))</f>
        <v>0</v>
      </c>
      <c r="J321" s="9" t="str">
        <f aca="false">IF($B321="","",IF(COUNTIF(Dashboard!$C$13:$C$22,$B321)&gt;0,"Yes",""))</f>
        <v/>
      </c>
      <c r="K321" s="17" t="n">
        <f aca="false">IF($B321="",0,SUMIFS('Zoho Dump'!$X$8:$X$3007,'Zoho Dump'!$N$8:$N$3007,$B321,'Zoho Dump'!$P$8:$P$3007,Settings!$A$12)+SUMIFS(Adjustments!$K$8:$K$207,Adjustments!$B$8:$B$207,$B321,Adjustments!$A$8:$A$207,Settings!$A$12))</f>
        <v>0</v>
      </c>
      <c r="L321" s="17" t="n">
        <f aca="false">IF($B321="",0,SUMIFS('Zoho Dump'!$X$8:$X$3007,'Zoho Dump'!$N$8:$N$3007,$B321,'Zoho Dump'!$P$8:$P$3007,Settings!$A$13)+SUMIFS(Adjustments!$K$8:$K$207,Adjustments!$B$8:$B$207,$B321,Adjustments!$A$8:$A$207,Settings!$A$13))</f>
        <v>0</v>
      </c>
      <c r="M321" s="17" t="n">
        <f aca="false">IF($B321="",0,SUMIFS('Zoho Dump'!$X$8:$X$3007,'Zoho Dump'!$N$8:$N$3007,$B321,'Zoho Dump'!$P$8:$P$3007,Settings!$A$14)+SUMIFS(Adjustments!$K$8:$K$207,Adjustments!$B$8:$B$207,$B321,Adjustments!$A$8:$A$207,Settings!$A$14))</f>
        <v>0</v>
      </c>
      <c r="N321" s="17" t="n">
        <f aca="false">IF($B321="",0,SUMIFS('Zoho Dump'!$X$8:$X$3007,'Zoho Dump'!$N$8:$N$3007,$B321,'Zoho Dump'!$P$8:$P$3007,Settings!$A$15)+SUMIFS(Adjustments!$K$8:$K$207,Adjustments!$B$8:$B$207,$B321,Adjustments!$A$8:$A$207,Settings!$A$15))</f>
        <v>0</v>
      </c>
      <c r="O321" s="17" t="n">
        <f aca="false">IF($B321="",0,SUMIFS('Zoho Dump'!$X$8:$X$3007,'Zoho Dump'!$N$8:$N$3007,$B321,'Zoho Dump'!$P$8:$P$3007,Settings!$A$16)+SUMIFS(Adjustments!$K$8:$K$207,Adjustments!$B$8:$B$207,$B321,Adjustments!$A$8:$A$207,Settings!$A$16))</f>
        <v>0</v>
      </c>
      <c r="P321" s="17" t="n">
        <f aca="false">IF($B321="",0,SUMIFS('Zoho Dump'!$X$8:$X$3007,'Zoho Dump'!$N$8:$N$3007,$B321,'Zoho Dump'!$P$8:$P$3007,Settings!$A$17)+SUMIFS(Adjustments!$K$8:$K$207,Adjustments!$B$8:$B$207,$B321,Adjustments!$A$8:$A$207,Settings!$A$17))</f>
        <v>0</v>
      </c>
      <c r="Q321" s="17" t="n">
        <f aca="false">IF($B321="",0,SUMIFS('Zoho Dump'!$X$8:$X$3007,'Zoho Dump'!$N$8:$N$3007,$B321,'Zoho Dump'!$P$8:$P$3007,Settings!$A$18)+SUMIFS(Adjustments!$K$8:$K$207,Adjustments!$B$8:$B$207,$B321,Adjustments!$A$8:$A$207,Settings!$A$18))</f>
        <v>0</v>
      </c>
      <c r="R321" s="30" t="str">
        <f aca="false">IF(G321&gt;0,G321+A321/10000000,"")</f>
        <v/>
      </c>
    </row>
    <row r="322" customFormat="false" ht="15" hidden="false" customHeight="false" outlineLevel="0" collapsed="false">
      <c r="A322" s="9" t="n">
        <v>318</v>
      </c>
      <c r="B322" s="9" t="str">
        <f aca="false">IFERROR(INDEX('Zoho Dump'!$N$8:$N$3007,MATCH(A322,'Zoho Dump'!$AB$8:$AB$3007,0)),"")</f>
        <v/>
      </c>
      <c r="C322" s="17" t="n">
        <f aca="false">IF($B322="",0,SUMIFS('Zoho Dump'!$Q$8:$Q$3007,'Zoho Dump'!$N$8:$N$3007,$B322,'Zoho Dump'!$T$8:$T$3007,"Delivered",'Zoho Dump'!$R$8:$R$3007,"&gt;="&amp;Settings!$B$4))</f>
        <v>0</v>
      </c>
      <c r="D322" s="17" t="n">
        <f aca="false">IF($B322="",0,SUMIFS('Zoho Dump'!$X$8:$X$3007,'Zoho Dump'!$N$8:$N$3007,$B322,'Zoho Dump'!$T$8:$T$3007,"Backlog")+SUMIFS(Adjustments!$K$8:$K$207,Adjustments!$B$8:$B$207,$B322,Adjustments!$H$8:$H$207,"Backlog"))</f>
        <v>0</v>
      </c>
      <c r="E322" s="17" t="n">
        <f aca="false">IF($B322="",0,SUMIFS('Zoho Dump'!$Y$8:$Y$3007,'Zoho Dump'!$N$8:$N$3007,$B322,'Zoho Dump'!$T$8:$T$3007,"Pipeline")+SUMIFS(Adjustments!$L$8:$L$207,Adjustments!$B$8:$B$207,$B322,Adjustments!$H$8:$H$207,"Pipeline")+SUMIFS('Zoho Dump'!$Y$8:$Y$3007,'Zoho Dump'!$N$8:$N$3007,$B322,'Zoho Dump'!$T$8:$T$3007,"Overdue")+SUMIFS(Adjustments!$L$8:$L$207,Adjustments!$B$8:$B$207,$B322,Adjustments!$H$8:$H$207,"Overdue"))</f>
        <v>0</v>
      </c>
      <c r="F322" s="17" t="n">
        <f aca="false">IF($B322="",0,SUMIFS('Zoho Dump'!$X$8:$X$3007,'Zoho Dump'!$N$8:$N$3007,$B322,'Zoho Dump'!$T$8:$T$3007,"Pipeline")+SUMIFS(Adjustments!$K$8:$K$207,Adjustments!$B$8:$B$207,$B322,Adjustments!$H$8:$H$207,"Pipeline")+SUMIFS('Zoho Dump'!$X$8:$X$3007,'Zoho Dump'!$N$8:$N$3007,$B322,'Zoho Dump'!$T$8:$T$3007,"Overdue")+SUMIFS(Adjustments!$K$8:$K$207,Adjustments!$B$8:$B$207,$B322,Adjustments!$H$8:$H$207,"Overdue"))</f>
        <v>0</v>
      </c>
      <c r="G322" s="17" t="n">
        <f aca="false">D322+F322</f>
        <v>0</v>
      </c>
      <c r="H322" s="18" t="n">
        <f aca="false">IF(SUM($G$5:$G$404)=0,0,G322/SUM($G$5:$G$404))</f>
        <v>0</v>
      </c>
      <c r="I322" s="17" t="n">
        <f aca="false">IF($B322="",0,SUMIFS('Zoho Dump'!$Q$8:$Q$3007,'Zoho Dump'!$N$8:$N$3007,$B322,'Zoho Dump'!$T$8:$T$3007,"Lost",'Zoho Dump'!$R$8:$R$3007,"&gt;="&amp;Settings!$B$4))</f>
        <v>0</v>
      </c>
      <c r="J322" s="9" t="str">
        <f aca="false">IF($B322="","",IF(COUNTIF(Dashboard!$C$13:$C$22,$B322)&gt;0,"Yes",""))</f>
        <v/>
      </c>
      <c r="K322" s="17" t="n">
        <f aca="false">IF($B322="",0,SUMIFS('Zoho Dump'!$X$8:$X$3007,'Zoho Dump'!$N$8:$N$3007,$B322,'Zoho Dump'!$P$8:$P$3007,Settings!$A$12)+SUMIFS(Adjustments!$K$8:$K$207,Adjustments!$B$8:$B$207,$B322,Adjustments!$A$8:$A$207,Settings!$A$12))</f>
        <v>0</v>
      </c>
      <c r="L322" s="17" t="n">
        <f aca="false">IF($B322="",0,SUMIFS('Zoho Dump'!$X$8:$X$3007,'Zoho Dump'!$N$8:$N$3007,$B322,'Zoho Dump'!$P$8:$P$3007,Settings!$A$13)+SUMIFS(Adjustments!$K$8:$K$207,Adjustments!$B$8:$B$207,$B322,Adjustments!$A$8:$A$207,Settings!$A$13))</f>
        <v>0</v>
      </c>
      <c r="M322" s="17" t="n">
        <f aca="false">IF($B322="",0,SUMIFS('Zoho Dump'!$X$8:$X$3007,'Zoho Dump'!$N$8:$N$3007,$B322,'Zoho Dump'!$P$8:$P$3007,Settings!$A$14)+SUMIFS(Adjustments!$K$8:$K$207,Adjustments!$B$8:$B$207,$B322,Adjustments!$A$8:$A$207,Settings!$A$14))</f>
        <v>0</v>
      </c>
      <c r="N322" s="17" t="n">
        <f aca="false">IF($B322="",0,SUMIFS('Zoho Dump'!$X$8:$X$3007,'Zoho Dump'!$N$8:$N$3007,$B322,'Zoho Dump'!$P$8:$P$3007,Settings!$A$15)+SUMIFS(Adjustments!$K$8:$K$207,Adjustments!$B$8:$B$207,$B322,Adjustments!$A$8:$A$207,Settings!$A$15))</f>
        <v>0</v>
      </c>
      <c r="O322" s="17" t="n">
        <f aca="false">IF($B322="",0,SUMIFS('Zoho Dump'!$X$8:$X$3007,'Zoho Dump'!$N$8:$N$3007,$B322,'Zoho Dump'!$P$8:$P$3007,Settings!$A$16)+SUMIFS(Adjustments!$K$8:$K$207,Adjustments!$B$8:$B$207,$B322,Adjustments!$A$8:$A$207,Settings!$A$16))</f>
        <v>0</v>
      </c>
      <c r="P322" s="17" t="n">
        <f aca="false">IF($B322="",0,SUMIFS('Zoho Dump'!$X$8:$X$3007,'Zoho Dump'!$N$8:$N$3007,$B322,'Zoho Dump'!$P$8:$P$3007,Settings!$A$17)+SUMIFS(Adjustments!$K$8:$K$207,Adjustments!$B$8:$B$207,$B322,Adjustments!$A$8:$A$207,Settings!$A$17))</f>
        <v>0</v>
      </c>
      <c r="Q322" s="17" t="n">
        <f aca="false">IF($B322="",0,SUMIFS('Zoho Dump'!$X$8:$X$3007,'Zoho Dump'!$N$8:$N$3007,$B322,'Zoho Dump'!$P$8:$P$3007,Settings!$A$18)+SUMIFS(Adjustments!$K$8:$K$207,Adjustments!$B$8:$B$207,$B322,Adjustments!$A$8:$A$207,Settings!$A$18))</f>
        <v>0</v>
      </c>
      <c r="R322" s="30" t="str">
        <f aca="false">IF(G322&gt;0,G322+A322/10000000,"")</f>
        <v/>
      </c>
    </row>
    <row r="323" customFormat="false" ht="15" hidden="false" customHeight="false" outlineLevel="0" collapsed="false">
      <c r="A323" s="9" t="n">
        <v>319</v>
      </c>
      <c r="B323" s="9" t="str">
        <f aca="false">IFERROR(INDEX('Zoho Dump'!$N$8:$N$3007,MATCH(A323,'Zoho Dump'!$AB$8:$AB$3007,0)),"")</f>
        <v/>
      </c>
      <c r="C323" s="17" t="n">
        <f aca="false">IF($B323="",0,SUMIFS('Zoho Dump'!$Q$8:$Q$3007,'Zoho Dump'!$N$8:$N$3007,$B323,'Zoho Dump'!$T$8:$T$3007,"Delivered",'Zoho Dump'!$R$8:$R$3007,"&gt;="&amp;Settings!$B$4))</f>
        <v>0</v>
      </c>
      <c r="D323" s="17" t="n">
        <f aca="false">IF($B323="",0,SUMIFS('Zoho Dump'!$X$8:$X$3007,'Zoho Dump'!$N$8:$N$3007,$B323,'Zoho Dump'!$T$8:$T$3007,"Backlog")+SUMIFS(Adjustments!$K$8:$K$207,Adjustments!$B$8:$B$207,$B323,Adjustments!$H$8:$H$207,"Backlog"))</f>
        <v>0</v>
      </c>
      <c r="E323" s="17" t="n">
        <f aca="false">IF($B323="",0,SUMIFS('Zoho Dump'!$Y$8:$Y$3007,'Zoho Dump'!$N$8:$N$3007,$B323,'Zoho Dump'!$T$8:$T$3007,"Pipeline")+SUMIFS(Adjustments!$L$8:$L$207,Adjustments!$B$8:$B$207,$B323,Adjustments!$H$8:$H$207,"Pipeline")+SUMIFS('Zoho Dump'!$Y$8:$Y$3007,'Zoho Dump'!$N$8:$N$3007,$B323,'Zoho Dump'!$T$8:$T$3007,"Overdue")+SUMIFS(Adjustments!$L$8:$L$207,Adjustments!$B$8:$B$207,$B323,Adjustments!$H$8:$H$207,"Overdue"))</f>
        <v>0</v>
      </c>
      <c r="F323" s="17" t="n">
        <f aca="false">IF($B323="",0,SUMIFS('Zoho Dump'!$X$8:$X$3007,'Zoho Dump'!$N$8:$N$3007,$B323,'Zoho Dump'!$T$8:$T$3007,"Pipeline")+SUMIFS(Adjustments!$K$8:$K$207,Adjustments!$B$8:$B$207,$B323,Adjustments!$H$8:$H$207,"Pipeline")+SUMIFS('Zoho Dump'!$X$8:$X$3007,'Zoho Dump'!$N$8:$N$3007,$B323,'Zoho Dump'!$T$8:$T$3007,"Overdue")+SUMIFS(Adjustments!$K$8:$K$207,Adjustments!$B$8:$B$207,$B323,Adjustments!$H$8:$H$207,"Overdue"))</f>
        <v>0</v>
      </c>
      <c r="G323" s="17" t="n">
        <f aca="false">D323+F323</f>
        <v>0</v>
      </c>
      <c r="H323" s="18" t="n">
        <f aca="false">IF(SUM($G$5:$G$404)=0,0,G323/SUM($G$5:$G$404))</f>
        <v>0</v>
      </c>
      <c r="I323" s="17" t="n">
        <f aca="false">IF($B323="",0,SUMIFS('Zoho Dump'!$Q$8:$Q$3007,'Zoho Dump'!$N$8:$N$3007,$B323,'Zoho Dump'!$T$8:$T$3007,"Lost",'Zoho Dump'!$R$8:$R$3007,"&gt;="&amp;Settings!$B$4))</f>
        <v>0</v>
      </c>
      <c r="J323" s="9" t="str">
        <f aca="false">IF($B323="","",IF(COUNTIF(Dashboard!$C$13:$C$22,$B323)&gt;0,"Yes",""))</f>
        <v/>
      </c>
      <c r="K323" s="17" t="n">
        <f aca="false">IF($B323="",0,SUMIFS('Zoho Dump'!$X$8:$X$3007,'Zoho Dump'!$N$8:$N$3007,$B323,'Zoho Dump'!$P$8:$P$3007,Settings!$A$12)+SUMIFS(Adjustments!$K$8:$K$207,Adjustments!$B$8:$B$207,$B323,Adjustments!$A$8:$A$207,Settings!$A$12))</f>
        <v>0</v>
      </c>
      <c r="L323" s="17" t="n">
        <f aca="false">IF($B323="",0,SUMIFS('Zoho Dump'!$X$8:$X$3007,'Zoho Dump'!$N$8:$N$3007,$B323,'Zoho Dump'!$P$8:$P$3007,Settings!$A$13)+SUMIFS(Adjustments!$K$8:$K$207,Adjustments!$B$8:$B$207,$B323,Adjustments!$A$8:$A$207,Settings!$A$13))</f>
        <v>0</v>
      </c>
      <c r="M323" s="17" t="n">
        <f aca="false">IF($B323="",0,SUMIFS('Zoho Dump'!$X$8:$X$3007,'Zoho Dump'!$N$8:$N$3007,$B323,'Zoho Dump'!$P$8:$P$3007,Settings!$A$14)+SUMIFS(Adjustments!$K$8:$K$207,Adjustments!$B$8:$B$207,$B323,Adjustments!$A$8:$A$207,Settings!$A$14))</f>
        <v>0</v>
      </c>
      <c r="N323" s="17" t="n">
        <f aca="false">IF($B323="",0,SUMIFS('Zoho Dump'!$X$8:$X$3007,'Zoho Dump'!$N$8:$N$3007,$B323,'Zoho Dump'!$P$8:$P$3007,Settings!$A$15)+SUMIFS(Adjustments!$K$8:$K$207,Adjustments!$B$8:$B$207,$B323,Adjustments!$A$8:$A$207,Settings!$A$15))</f>
        <v>0</v>
      </c>
      <c r="O323" s="17" t="n">
        <f aca="false">IF($B323="",0,SUMIFS('Zoho Dump'!$X$8:$X$3007,'Zoho Dump'!$N$8:$N$3007,$B323,'Zoho Dump'!$P$8:$P$3007,Settings!$A$16)+SUMIFS(Adjustments!$K$8:$K$207,Adjustments!$B$8:$B$207,$B323,Adjustments!$A$8:$A$207,Settings!$A$16))</f>
        <v>0</v>
      </c>
      <c r="P323" s="17" t="n">
        <f aca="false">IF($B323="",0,SUMIFS('Zoho Dump'!$X$8:$X$3007,'Zoho Dump'!$N$8:$N$3007,$B323,'Zoho Dump'!$P$8:$P$3007,Settings!$A$17)+SUMIFS(Adjustments!$K$8:$K$207,Adjustments!$B$8:$B$207,$B323,Adjustments!$A$8:$A$207,Settings!$A$17))</f>
        <v>0</v>
      </c>
      <c r="Q323" s="17" t="n">
        <f aca="false">IF($B323="",0,SUMIFS('Zoho Dump'!$X$8:$X$3007,'Zoho Dump'!$N$8:$N$3007,$B323,'Zoho Dump'!$P$8:$P$3007,Settings!$A$18)+SUMIFS(Adjustments!$K$8:$K$207,Adjustments!$B$8:$B$207,$B323,Adjustments!$A$8:$A$207,Settings!$A$18))</f>
        <v>0</v>
      </c>
      <c r="R323" s="30" t="str">
        <f aca="false">IF(G323&gt;0,G323+A323/10000000,"")</f>
        <v/>
      </c>
    </row>
    <row r="324" customFormat="false" ht="15" hidden="false" customHeight="false" outlineLevel="0" collapsed="false">
      <c r="A324" s="9" t="n">
        <v>320</v>
      </c>
      <c r="B324" s="9" t="str">
        <f aca="false">IFERROR(INDEX('Zoho Dump'!$N$8:$N$3007,MATCH(A324,'Zoho Dump'!$AB$8:$AB$3007,0)),"")</f>
        <v/>
      </c>
      <c r="C324" s="17" t="n">
        <f aca="false">IF($B324="",0,SUMIFS('Zoho Dump'!$Q$8:$Q$3007,'Zoho Dump'!$N$8:$N$3007,$B324,'Zoho Dump'!$T$8:$T$3007,"Delivered",'Zoho Dump'!$R$8:$R$3007,"&gt;="&amp;Settings!$B$4))</f>
        <v>0</v>
      </c>
      <c r="D324" s="17" t="n">
        <f aca="false">IF($B324="",0,SUMIFS('Zoho Dump'!$X$8:$X$3007,'Zoho Dump'!$N$8:$N$3007,$B324,'Zoho Dump'!$T$8:$T$3007,"Backlog")+SUMIFS(Adjustments!$K$8:$K$207,Adjustments!$B$8:$B$207,$B324,Adjustments!$H$8:$H$207,"Backlog"))</f>
        <v>0</v>
      </c>
      <c r="E324" s="17" t="n">
        <f aca="false">IF($B324="",0,SUMIFS('Zoho Dump'!$Y$8:$Y$3007,'Zoho Dump'!$N$8:$N$3007,$B324,'Zoho Dump'!$T$8:$T$3007,"Pipeline")+SUMIFS(Adjustments!$L$8:$L$207,Adjustments!$B$8:$B$207,$B324,Adjustments!$H$8:$H$207,"Pipeline")+SUMIFS('Zoho Dump'!$Y$8:$Y$3007,'Zoho Dump'!$N$8:$N$3007,$B324,'Zoho Dump'!$T$8:$T$3007,"Overdue")+SUMIFS(Adjustments!$L$8:$L$207,Adjustments!$B$8:$B$207,$B324,Adjustments!$H$8:$H$207,"Overdue"))</f>
        <v>0</v>
      </c>
      <c r="F324" s="17" t="n">
        <f aca="false">IF($B324="",0,SUMIFS('Zoho Dump'!$X$8:$X$3007,'Zoho Dump'!$N$8:$N$3007,$B324,'Zoho Dump'!$T$8:$T$3007,"Pipeline")+SUMIFS(Adjustments!$K$8:$K$207,Adjustments!$B$8:$B$207,$B324,Adjustments!$H$8:$H$207,"Pipeline")+SUMIFS('Zoho Dump'!$X$8:$X$3007,'Zoho Dump'!$N$8:$N$3007,$B324,'Zoho Dump'!$T$8:$T$3007,"Overdue")+SUMIFS(Adjustments!$K$8:$K$207,Adjustments!$B$8:$B$207,$B324,Adjustments!$H$8:$H$207,"Overdue"))</f>
        <v>0</v>
      </c>
      <c r="G324" s="17" t="n">
        <f aca="false">D324+F324</f>
        <v>0</v>
      </c>
      <c r="H324" s="18" t="n">
        <f aca="false">IF(SUM($G$5:$G$404)=0,0,G324/SUM($G$5:$G$404))</f>
        <v>0</v>
      </c>
      <c r="I324" s="17" t="n">
        <f aca="false">IF($B324="",0,SUMIFS('Zoho Dump'!$Q$8:$Q$3007,'Zoho Dump'!$N$8:$N$3007,$B324,'Zoho Dump'!$T$8:$T$3007,"Lost",'Zoho Dump'!$R$8:$R$3007,"&gt;="&amp;Settings!$B$4))</f>
        <v>0</v>
      </c>
      <c r="J324" s="9" t="str">
        <f aca="false">IF($B324="","",IF(COUNTIF(Dashboard!$C$13:$C$22,$B324)&gt;0,"Yes",""))</f>
        <v/>
      </c>
      <c r="K324" s="17" t="n">
        <f aca="false">IF($B324="",0,SUMIFS('Zoho Dump'!$X$8:$X$3007,'Zoho Dump'!$N$8:$N$3007,$B324,'Zoho Dump'!$P$8:$P$3007,Settings!$A$12)+SUMIFS(Adjustments!$K$8:$K$207,Adjustments!$B$8:$B$207,$B324,Adjustments!$A$8:$A$207,Settings!$A$12))</f>
        <v>0</v>
      </c>
      <c r="L324" s="17" t="n">
        <f aca="false">IF($B324="",0,SUMIFS('Zoho Dump'!$X$8:$X$3007,'Zoho Dump'!$N$8:$N$3007,$B324,'Zoho Dump'!$P$8:$P$3007,Settings!$A$13)+SUMIFS(Adjustments!$K$8:$K$207,Adjustments!$B$8:$B$207,$B324,Adjustments!$A$8:$A$207,Settings!$A$13))</f>
        <v>0</v>
      </c>
      <c r="M324" s="17" t="n">
        <f aca="false">IF($B324="",0,SUMIFS('Zoho Dump'!$X$8:$X$3007,'Zoho Dump'!$N$8:$N$3007,$B324,'Zoho Dump'!$P$8:$P$3007,Settings!$A$14)+SUMIFS(Adjustments!$K$8:$K$207,Adjustments!$B$8:$B$207,$B324,Adjustments!$A$8:$A$207,Settings!$A$14))</f>
        <v>0</v>
      </c>
      <c r="N324" s="17" t="n">
        <f aca="false">IF($B324="",0,SUMIFS('Zoho Dump'!$X$8:$X$3007,'Zoho Dump'!$N$8:$N$3007,$B324,'Zoho Dump'!$P$8:$P$3007,Settings!$A$15)+SUMIFS(Adjustments!$K$8:$K$207,Adjustments!$B$8:$B$207,$B324,Adjustments!$A$8:$A$207,Settings!$A$15))</f>
        <v>0</v>
      </c>
      <c r="O324" s="17" t="n">
        <f aca="false">IF($B324="",0,SUMIFS('Zoho Dump'!$X$8:$X$3007,'Zoho Dump'!$N$8:$N$3007,$B324,'Zoho Dump'!$P$8:$P$3007,Settings!$A$16)+SUMIFS(Adjustments!$K$8:$K$207,Adjustments!$B$8:$B$207,$B324,Adjustments!$A$8:$A$207,Settings!$A$16))</f>
        <v>0</v>
      </c>
      <c r="P324" s="17" t="n">
        <f aca="false">IF($B324="",0,SUMIFS('Zoho Dump'!$X$8:$X$3007,'Zoho Dump'!$N$8:$N$3007,$B324,'Zoho Dump'!$P$8:$P$3007,Settings!$A$17)+SUMIFS(Adjustments!$K$8:$K$207,Adjustments!$B$8:$B$207,$B324,Adjustments!$A$8:$A$207,Settings!$A$17))</f>
        <v>0</v>
      </c>
      <c r="Q324" s="17" t="n">
        <f aca="false">IF($B324="",0,SUMIFS('Zoho Dump'!$X$8:$X$3007,'Zoho Dump'!$N$8:$N$3007,$B324,'Zoho Dump'!$P$8:$P$3007,Settings!$A$18)+SUMIFS(Adjustments!$K$8:$K$207,Adjustments!$B$8:$B$207,$B324,Adjustments!$A$8:$A$207,Settings!$A$18))</f>
        <v>0</v>
      </c>
      <c r="R324" s="30" t="str">
        <f aca="false">IF(G324&gt;0,G324+A324/10000000,"")</f>
        <v/>
      </c>
    </row>
    <row r="325" customFormat="false" ht="15" hidden="false" customHeight="false" outlineLevel="0" collapsed="false">
      <c r="A325" s="9" t="n">
        <v>321</v>
      </c>
      <c r="B325" s="9" t="str">
        <f aca="false">IFERROR(INDEX('Zoho Dump'!$N$8:$N$3007,MATCH(A325,'Zoho Dump'!$AB$8:$AB$3007,0)),"")</f>
        <v/>
      </c>
      <c r="C325" s="17" t="n">
        <f aca="false">IF($B325="",0,SUMIFS('Zoho Dump'!$Q$8:$Q$3007,'Zoho Dump'!$N$8:$N$3007,$B325,'Zoho Dump'!$T$8:$T$3007,"Delivered",'Zoho Dump'!$R$8:$R$3007,"&gt;="&amp;Settings!$B$4))</f>
        <v>0</v>
      </c>
      <c r="D325" s="17" t="n">
        <f aca="false">IF($B325="",0,SUMIFS('Zoho Dump'!$X$8:$X$3007,'Zoho Dump'!$N$8:$N$3007,$B325,'Zoho Dump'!$T$8:$T$3007,"Backlog")+SUMIFS(Adjustments!$K$8:$K$207,Adjustments!$B$8:$B$207,$B325,Adjustments!$H$8:$H$207,"Backlog"))</f>
        <v>0</v>
      </c>
      <c r="E325" s="17" t="n">
        <f aca="false">IF($B325="",0,SUMIFS('Zoho Dump'!$Y$8:$Y$3007,'Zoho Dump'!$N$8:$N$3007,$B325,'Zoho Dump'!$T$8:$T$3007,"Pipeline")+SUMIFS(Adjustments!$L$8:$L$207,Adjustments!$B$8:$B$207,$B325,Adjustments!$H$8:$H$207,"Pipeline")+SUMIFS('Zoho Dump'!$Y$8:$Y$3007,'Zoho Dump'!$N$8:$N$3007,$B325,'Zoho Dump'!$T$8:$T$3007,"Overdue")+SUMIFS(Adjustments!$L$8:$L$207,Adjustments!$B$8:$B$207,$B325,Adjustments!$H$8:$H$207,"Overdue"))</f>
        <v>0</v>
      </c>
      <c r="F325" s="17" t="n">
        <f aca="false">IF($B325="",0,SUMIFS('Zoho Dump'!$X$8:$X$3007,'Zoho Dump'!$N$8:$N$3007,$B325,'Zoho Dump'!$T$8:$T$3007,"Pipeline")+SUMIFS(Adjustments!$K$8:$K$207,Adjustments!$B$8:$B$207,$B325,Adjustments!$H$8:$H$207,"Pipeline")+SUMIFS('Zoho Dump'!$X$8:$X$3007,'Zoho Dump'!$N$8:$N$3007,$B325,'Zoho Dump'!$T$8:$T$3007,"Overdue")+SUMIFS(Adjustments!$K$8:$K$207,Adjustments!$B$8:$B$207,$B325,Adjustments!$H$8:$H$207,"Overdue"))</f>
        <v>0</v>
      </c>
      <c r="G325" s="17" t="n">
        <f aca="false">D325+F325</f>
        <v>0</v>
      </c>
      <c r="H325" s="18" t="n">
        <f aca="false">IF(SUM($G$5:$G$404)=0,0,G325/SUM($G$5:$G$404))</f>
        <v>0</v>
      </c>
      <c r="I325" s="17" t="n">
        <f aca="false">IF($B325="",0,SUMIFS('Zoho Dump'!$Q$8:$Q$3007,'Zoho Dump'!$N$8:$N$3007,$B325,'Zoho Dump'!$T$8:$T$3007,"Lost",'Zoho Dump'!$R$8:$R$3007,"&gt;="&amp;Settings!$B$4))</f>
        <v>0</v>
      </c>
      <c r="J325" s="9" t="str">
        <f aca="false">IF($B325="","",IF(COUNTIF(Dashboard!$C$13:$C$22,$B325)&gt;0,"Yes",""))</f>
        <v/>
      </c>
      <c r="K325" s="17" t="n">
        <f aca="false">IF($B325="",0,SUMIFS('Zoho Dump'!$X$8:$X$3007,'Zoho Dump'!$N$8:$N$3007,$B325,'Zoho Dump'!$P$8:$P$3007,Settings!$A$12)+SUMIFS(Adjustments!$K$8:$K$207,Adjustments!$B$8:$B$207,$B325,Adjustments!$A$8:$A$207,Settings!$A$12))</f>
        <v>0</v>
      </c>
      <c r="L325" s="17" t="n">
        <f aca="false">IF($B325="",0,SUMIFS('Zoho Dump'!$X$8:$X$3007,'Zoho Dump'!$N$8:$N$3007,$B325,'Zoho Dump'!$P$8:$P$3007,Settings!$A$13)+SUMIFS(Adjustments!$K$8:$K$207,Adjustments!$B$8:$B$207,$B325,Adjustments!$A$8:$A$207,Settings!$A$13))</f>
        <v>0</v>
      </c>
      <c r="M325" s="17" t="n">
        <f aca="false">IF($B325="",0,SUMIFS('Zoho Dump'!$X$8:$X$3007,'Zoho Dump'!$N$8:$N$3007,$B325,'Zoho Dump'!$P$8:$P$3007,Settings!$A$14)+SUMIFS(Adjustments!$K$8:$K$207,Adjustments!$B$8:$B$207,$B325,Adjustments!$A$8:$A$207,Settings!$A$14))</f>
        <v>0</v>
      </c>
      <c r="N325" s="17" t="n">
        <f aca="false">IF($B325="",0,SUMIFS('Zoho Dump'!$X$8:$X$3007,'Zoho Dump'!$N$8:$N$3007,$B325,'Zoho Dump'!$P$8:$P$3007,Settings!$A$15)+SUMIFS(Adjustments!$K$8:$K$207,Adjustments!$B$8:$B$207,$B325,Adjustments!$A$8:$A$207,Settings!$A$15))</f>
        <v>0</v>
      </c>
      <c r="O325" s="17" t="n">
        <f aca="false">IF($B325="",0,SUMIFS('Zoho Dump'!$X$8:$X$3007,'Zoho Dump'!$N$8:$N$3007,$B325,'Zoho Dump'!$P$8:$P$3007,Settings!$A$16)+SUMIFS(Adjustments!$K$8:$K$207,Adjustments!$B$8:$B$207,$B325,Adjustments!$A$8:$A$207,Settings!$A$16))</f>
        <v>0</v>
      </c>
      <c r="P325" s="17" t="n">
        <f aca="false">IF($B325="",0,SUMIFS('Zoho Dump'!$X$8:$X$3007,'Zoho Dump'!$N$8:$N$3007,$B325,'Zoho Dump'!$P$8:$P$3007,Settings!$A$17)+SUMIFS(Adjustments!$K$8:$K$207,Adjustments!$B$8:$B$207,$B325,Adjustments!$A$8:$A$207,Settings!$A$17))</f>
        <v>0</v>
      </c>
      <c r="Q325" s="17" t="n">
        <f aca="false">IF($B325="",0,SUMIFS('Zoho Dump'!$X$8:$X$3007,'Zoho Dump'!$N$8:$N$3007,$B325,'Zoho Dump'!$P$8:$P$3007,Settings!$A$18)+SUMIFS(Adjustments!$K$8:$K$207,Adjustments!$B$8:$B$207,$B325,Adjustments!$A$8:$A$207,Settings!$A$18))</f>
        <v>0</v>
      </c>
      <c r="R325" s="30" t="str">
        <f aca="false">IF(G325&gt;0,G325+A325/10000000,"")</f>
        <v/>
      </c>
    </row>
    <row r="326" customFormat="false" ht="15" hidden="false" customHeight="false" outlineLevel="0" collapsed="false">
      <c r="A326" s="9" t="n">
        <v>322</v>
      </c>
      <c r="B326" s="9" t="str">
        <f aca="false">IFERROR(INDEX('Zoho Dump'!$N$8:$N$3007,MATCH(A326,'Zoho Dump'!$AB$8:$AB$3007,0)),"")</f>
        <v/>
      </c>
      <c r="C326" s="17" t="n">
        <f aca="false">IF($B326="",0,SUMIFS('Zoho Dump'!$Q$8:$Q$3007,'Zoho Dump'!$N$8:$N$3007,$B326,'Zoho Dump'!$T$8:$T$3007,"Delivered",'Zoho Dump'!$R$8:$R$3007,"&gt;="&amp;Settings!$B$4))</f>
        <v>0</v>
      </c>
      <c r="D326" s="17" t="n">
        <f aca="false">IF($B326="",0,SUMIFS('Zoho Dump'!$X$8:$X$3007,'Zoho Dump'!$N$8:$N$3007,$B326,'Zoho Dump'!$T$8:$T$3007,"Backlog")+SUMIFS(Adjustments!$K$8:$K$207,Adjustments!$B$8:$B$207,$B326,Adjustments!$H$8:$H$207,"Backlog"))</f>
        <v>0</v>
      </c>
      <c r="E326" s="17" t="n">
        <f aca="false">IF($B326="",0,SUMIFS('Zoho Dump'!$Y$8:$Y$3007,'Zoho Dump'!$N$8:$N$3007,$B326,'Zoho Dump'!$T$8:$T$3007,"Pipeline")+SUMIFS(Adjustments!$L$8:$L$207,Adjustments!$B$8:$B$207,$B326,Adjustments!$H$8:$H$207,"Pipeline")+SUMIFS('Zoho Dump'!$Y$8:$Y$3007,'Zoho Dump'!$N$8:$N$3007,$B326,'Zoho Dump'!$T$8:$T$3007,"Overdue")+SUMIFS(Adjustments!$L$8:$L$207,Adjustments!$B$8:$B$207,$B326,Adjustments!$H$8:$H$207,"Overdue"))</f>
        <v>0</v>
      </c>
      <c r="F326" s="17" t="n">
        <f aca="false">IF($B326="",0,SUMIFS('Zoho Dump'!$X$8:$X$3007,'Zoho Dump'!$N$8:$N$3007,$B326,'Zoho Dump'!$T$8:$T$3007,"Pipeline")+SUMIFS(Adjustments!$K$8:$K$207,Adjustments!$B$8:$B$207,$B326,Adjustments!$H$8:$H$207,"Pipeline")+SUMIFS('Zoho Dump'!$X$8:$X$3007,'Zoho Dump'!$N$8:$N$3007,$B326,'Zoho Dump'!$T$8:$T$3007,"Overdue")+SUMIFS(Adjustments!$K$8:$K$207,Adjustments!$B$8:$B$207,$B326,Adjustments!$H$8:$H$207,"Overdue"))</f>
        <v>0</v>
      </c>
      <c r="G326" s="17" t="n">
        <f aca="false">D326+F326</f>
        <v>0</v>
      </c>
      <c r="H326" s="18" t="n">
        <f aca="false">IF(SUM($G$5:$G$404)=0,0,G326/SUM($G$5:$G$404))</f>
        <v>0</v>
      </c>
      <c r="I326" s="17" t="n">
        <f aca="false">IF($B326="",0,SUMIFS('Zoho Dump'!$Q$8:$Q$3007,'Zoho Dump'!$N$8:$N$3007,$B326,'Zoho Dump'!$T$8:$T$3007,"Lost",'Zoho Dump'!$R$8:$R$3007,"&gt;="&amp;Settings!$B$4))</f>
        <v>0</v>
      </c>
      <c r="J326" s="9" t="str">
        <f aca="false">IF($B326="","",IF(COUNTIF(Dashboard!$C$13:$C$22,$B326)&gt;0,"Yes",""))</f>
        <v/>
      </c>
      <c r="K326" s="17" t="n">
        <f aca="false">IF($B326="",0,SUMIFS('Zoho Dump'!$X$8:$X$3007,'Zoho Dump'!$N$8:$N$3007,$B326,'Zoho Dump'!$P$8:$P$3007,Settings!$A$12)+SUMIFS(Adjustments!$K$8:$K$207,Adjustments!$B$8:$B$207,$B326,Adjustments!$A$8:$A$207,Settings!$A$12))</f>
        <v>0</v>
      </c>
      <c r="L326" s="17" t="n">
        <f aca="false">IF($B326="",0,SUMIFS('Zoho Dump'!$X$8:$X$3007,'Zoho Dump'!$N$8:$N$3007,$B326,'Zoho Dump'!$P$8:$P$3007,Settings!$A$13)+SUMIFS(Adjustments!$K$8:$K$207,Adjustments!$B$8:$B$207,$B326,Adjustments!$A$8:$A$207,Settings!$A$13))</f>
        <v>0</v>
      </c>
      <c r="M326" s="17" t="n">
        <f aca="false">IF($B326="",0,SUMIFS('Zoho Dump'!$X$8:$X$3007,'Zoho Dump'!$N$8:$N$3007,$B326,'Zoho Dump'!$P$8:$P$3007,Settings!$A$14)+SUMIFS(Adjustments!$K$8:$K$207,Adjustments!$B$8:$B$207,$B326,Adjustments!$A$8:$A$207,Settings!$A$14))</f>
        <v>0</v>
      </c>
      <c r="N326" s="17" t="n">
        <f aca="false">IF($B326="",0,SUMIFS('Zoho Dump'!$X$8:$X$3007,'Zoho Dump'!$N$8:$N$3007,$B326,'Zoho Dump'!$P$8:$P$3007,Settings!$A$15)+SUMIFS(Adjustments!$K$8:$K$207,Adjustments!$B$8:$B$207,$B326,Adjustments!$A$8:$A$207,Settings!$A$15))</f>
        <v>0</v>
      </c>
      <c r="O326" s="17" t="n">
        <f aca="false">IF($B326="",0,SUMIFS('Zoho Dump'!$X$8:$X$3007,'Zoho Dump'!$N$8:$N$3007,$B326,'Zoho Dump'!$P$8:$P$3007,Settings!$A$16)+SUMIFS(Adjustments!$K$8:$K$207,Adjustments!$B$8:$B$207,$B326,Adjustments!$A$8:$A$207,Settings!$A$16))</f>
        <v>0</v>
      </c>
      <c r="P326" s="17" t="n">
        <f aca="false">IF($B326="",0,SUMIFS('Zoho Dump'!$X$8:$X$3007,'Zoho Dump'!$N$8:$N$3007,$B326,'Zoho Dump'!$P$8:$P$3007,Settings!$A$17)+SUMIFS(Adjustments!$K$8:$K$207,Adjustments!$B$8:$B$207,$B326,Adjustments!$A$8:$A$207,Settings!$A$17))</f>
        <v>0</v>
      </c>
      <c r="Q326" s="17" t="n">
        <f aca="false">IF($B326="",0,SUMIFS('Zoho Dump'!$X$8:$X$3007,'Zoho Dump'!$N$8:$N$3007,$B326,'Zoho Dump'!$P$8:$P$3007,Settings!$A$18)+SUMIFS(Adjustments!$K$8:$K$207,Adjustments!$B$8:$B$207,$B326,Adjustments!$A$8:$A$207,Settings!$A$18))</f>
        <v>0</v>
      </c>
      <c r="R326" s="30" t="str">
        <f aca="false">IF(G326&gt;0,G326+A326/10000000,"")</f>
        <v/>
      </c>
    </row>
    <row r="327" customFormat="false" ht="15" hidden="false" customHeight="false" outlineLevel="0" collapsed="false">
      <c r="A327" s="9" t="n">
        <v>323</v>
      </c>
      <c r="B327" s="9" t="str">
        <f aca="false">IFERROR(INDEX('Zoho Dump'!$N$8:$N$3007,MATCH(A327,'Zoho Dump'!$AB$8:$AB$3007,0)),"")</f>
        <v/>
      </c>
      <c r="C327" s="17" t="n">
        <f aca="false">IF($B327="",0,SUMIFS('Zoho Dump'!$Q$8:$Q$3007,'Zoho Dump'!$N$8:$N$3007,$B327,'Zoho Dump'!$T$8:$T$3007,"Delivered",'Zoho Dump'!$R$8:$R$3007,"&gt;="&amp;Settings!$B$4))</f>
        <v>0</v>
      </c>
      <c r="D327" s="17" t="n">
        <f aca="false">IF($B327="",0,SUMIFS('Zoho Dump'!$X$8:$X$3007,'Zoho Dump'!$N$8:$N$3007,$B327,'Zoho Dump'!$T$8:$T$3007,"Backlog")+SUMIFS(Adjustments!$K$8:$K$207,Adjustments!$B$8:$B$207,$B327,Adjustments!$H$8:$H$207,"Backlog"))</f>
        <v>0</v>
      </c>
      <c r="E327" s="17" t="n">
        <f aca="false">IF($B327="",0,SUMIFS('Zoho Dump'!$Y$8:$Y$3007,'Zoho Dump'!$N$8:$N$3007,$B327,'Zoho Dump'!$T$8:$T$3007,"Pipeline")+SUMIFS(Adjustments!$L$8:$L$207,Adjustments!$B$8:$B$207,$B327,Adjustments!$H$8:$H$207,"Pipeline")+SUMIFS('Zoho Dump'!$Y$8:$Y$3007,'Zoho Dump'!$N$8:$N$3007,$B327,'Zoho Dump'!$T$8:$T$3007,"Overdue")+SUMIFS(Adjustments!$L$8:$L$207,Adjustments!$B$8:$B$207,$B327,Adjustments!$H$8:$H$207,"Overdue"))</f>
        <v>0</v>
      </c>
      <c r="F327" s="17" t="n">
        <f aca="false">IF($B327="",0,SUMIFS('Zoho Dump'!$X$8:$X$3007,'Zoho Dump'!$N$8:$N$3007,$B327,'Zoho Dump'!$T$8:$T$3007,"Pipeline")+SUMIFS(Adjustments!$K$8:$K$207,Adjustments!$B$8:$B$207,$B327,Adjustments!$H$8:$H$207,"Pipeline")+SUMIFS('Zoho Dump'!$X$8:$X$3007,'Zoho Dump'!$N$8:$N$3007,$B327,'Zoho Dump'!$T$8:$T$3007,"Overdue")+SUMIFS(Adjustments!$K$8:$K$207,Adjustments!$B$8:$B$207,$B327,Adjustments!$H$8:$H$207,"Overdue"))</f>
        <v>0</v>
      </c>
      <c r="G327" s="17" t="n">
        <f aca="false">D327+F327</f>
        <v>0</v>
      </c>
      <c r="H327" s="18" t="n">
        <f aca="false">IF(SUM($G$5:$G$404)=0,0,G327/SUM($G$5:$G$404))</f>
        <v>0</v>
      </c>
      <c r="I327" s="17" t="n">
        <f aca="false">IF($B327="",0,SUMIFS('Zoho Dump'!$Q$8:$Q$3007,'Zoho Dump'!$N$8:$N$3007,$B327,'Zoho Dump'!$T$8:$T$3007,"Lost",'Zoho Dump'!$R$8:$R$3007,"&gt;="&amp;Settings!$B$4))</f>
        <v>0</v>
      </c>
      <c r="J327" s="9" t="str">
        <f aca="false">IF($B327="","",IF(COUNTIF(Dashboard!$C$13:$C$22,$B327)&gt;0,"Yes",""))</f>
        <v/>
      </c>
      <c r="K327" s="17" t="n">
        <f aca="false">IF($B327="",0,SUMIFS('Zoho Dump'!$X$8:$X$3007,'Zoho Dump'!$N$8:$N$3007,$B327,'Zoho Dump'!$P$8:$P$3007,Settings!$A$12)+SUMIFS(Adjustments!$K$8:$K$207,Adjustments!$B$8:$B$207,$B327,Adjustments!$A$8:$A$207,Settings!$A$12))</f>
        <v>0</v>
      </c>
      <c r="L327" s="17" t="n">
        <f aca="false">IF($B327="",0,SUMIFS('Zoho Dump'!$X$8:$X$3007,'Zoho Dump'!$N$8:$N$3007,$B327,'Zoho Dump'!$P$8:$P$3007,Settings!$A$13)+SUMIFS(Adjustments!$K$8:$K$207,Adjustments!$B$8:$B$207,$B327,Adjustments!$A$8:$A$207,Settings!$A$13))</f>
        <v>0</v>
      </c>
      <c r="M327" s="17" t="n">
        <f aca="false">IF($B327="",0,SUMIFS('Zoho Dump'!$X$8:$X$3007,'Zoho Dump'!$N$8:$N$3007,$B327,'Zoho Dump'!$P$8:$P$3007,Settings!$A$14)+SUMIFS(Adjustments!$K$8:$K$207,Adjustments!$B$8:$B$207,$B327,Adjustments!$A$8:$A$207,Settings!$A$14))</f>
        <v>0</v>
      </c>
      <c r="N327" s="17" t="n">
        <f aca="false">IF($B327="",0,SUMIFS('Zoho Dump'!$X$8:$X$3007,'Zoho Dump'!$N$8:$N$3007,$B327,'Zoho Dump'!$P$8:$P$3007,Settings!$A$15)+SUMIFS(Adjustments!$K$8:$K$207,Adjustments!$B$8:$B$207,$B327,Adjustments!$A$8:$A$207,Settings!$A$15))</f>
        <v>0</v>
      </c>
      <c r="O327" s="17" t="n">
        <f aca="false">IF($B327="",0,SUMIFS('Zoho Dump'!$X$8:$X$3007,'Zoho Dump'!$N$8:$N$3007,$B327,'Zoho Dump'!$P$8:$P$3007,Settings!$A$16)+SUMIFS(Adjustments!$K$8:$K$207,Adjustments!$B$8:$B$207,$B327,Adjustments!$A$8:$A$207,Settings!$A$16))</f>
        <v>0</v>
      </c>
      <c r="P327" s="17" t="n">
        <f aca="false">IF($B327="",0,SUMIFS('Zoho Dump'!$X$8:$X$3007,'Zoho Dump'!$N$8:$N$3007,$B327,'Zoho Dump'!$P$8:$P$3007,Settings!$A$17)+SUMIFS(Adjustments!$K$8:$K$207,Adjustments!$B$8:$B$207,$B327,Adjustments!$A$8:$A$207,Settings!$A$17))</f>
        <v>0</v>
      </c>
      <c r="Q327" s="17" t="n">
        <f aca="false">IF($B327="",0,SUMIFS('Zoho Dump'!$X$8:$X$3007,'Zoho Dump'!$N$8:$N$3007,$B327,'Zoho Dump'!$P$8:$P$3007,Settings!$A$18)+SUMIFS(Adjustments!$K$8:$K$207,Adjustments!$B$8:$B$207,$B327,Adjustments!$A$8:$A$207,Settings!$A$18))</f>
        <v>0</v>
      </c>
      <c r="R327" s="30" t="str">
        <f aca="false">IF(G327&gt;0,G327+A327/10000000,"")</f>
        <v/>
      </c>
    </row>
    <row r="328" customFormat="false" ht="15" hidden="false" customHeight="false" outlineLevel="0" collapsed="false">
      <c r="A328" s="9" t="n">
        <v>324</v>
      </c>
      <c r="B328" s="9" t="str">
        <f aca="false">IFERROR(INDEX('Zoho Dump'!$N$8:$N$3007,MATCH(A328,'Zoho Dump'!$AB$8:$AB$3007,0)),"")</f>
        <v/>
      </c>
      <c r="C328" s="17" t="n">
        <f aca="false">IF($B328="",0,SUMIFS('Zoho Dump'!$Q$8:$Q$3007,'Zoho Dump'!$N$8:$N$3007,$B328,'Zoho Dump'!$T$8:$T$3007,"Delivered",'Zoho Dump'!$R$8:$R$3007,"&gt;="&amp;Settings!$B$4))</f>
        <v>0</v>
      </c>
      <c r="D328" s="17" t="n">
        <f aca="false">IF($B328="",0,SUMIFS('Zoho Dump'!$X$8:$X$3007,'Zoho Dump'!$N$8:$N$3007,$B328,'Zoho Dump'!$T$8:$T$3007,"Backlog")+SUMIFS(Adjustments!$K$8:$K$207,Adjustments!$B$8:$B$207,$B328,Adjustments!$H$8:$H$207,"Backlog"))</f>
        <v>0</v>
      </c>
      <c r="E328" s="17" t="n">
        <f aca="false">IF($B328="",0,SUMIFS('Zoho Dump'!$Y$8:$Y$3007,'Zoho Dump'!$N$8:$N$3007,$B328,'Zoho Dump'!$T$8:$T$3007,"Pipeline")+SUMIFS(Adjustments!$L$8:$L$207,Adjustments!$B$8:$B$207,$B328,Adjustments!$H$8:$H$207,"Pipeline")+SUMIFS('Zoho Dump'!$Y$8:$Y$3007,'Zoho Dump'!$N$8:$N$3007,$B328,'Zoho Dump'!$T$8:$T$3007,"Overdue")+SUMIFS(Adjustments!$L$8:$L$207,Adjustments!$B$8:$B$207,$B328,Adjustments!$H$8:$H$207,"Overdue"))</f>
        <v>0</v>
      </c>
      <c r="F328" s="17" t="n">
        <f aca="false">IF($B328="",0,SUMIFS('Zoho Dump'!$X$8:$X$3007,'Zoho Dump'!$N$8:$N$3007,$B328,'Zoho Dump'!$T$8:$T$3007,"Pipeline")+SUMIFS(Adjustments!$K$8:$K$207,Adjustments!$B$8:$B$207,$B328,Adjustments!$H$8:$H$207,"Pipeline")+SUMIFS('Zoho Dump'!$X$8:$X$3007,'Zoho Dump'!$N$8:$N$3007,$B328,'Zoho Dump'!$T$8:$T$3007,"Overdue")+SUMIFS(Adjustments!$K$8:$K$207,Adjustments!$B$8:$B$207,$B328,Adjustments!$H$8:$H$207,"Overdue"))</f>
        <v>0</v>
      </c>
      <c r="G328" s="17" t="n">
        <f aca="false">D328+F328</f>
        <v>0</v>
      </c>
      <c r="H328" s="18" t="n">
        <f aca="false">IF(SUM($G$5:$G$404)=0,0,G328/SUM($G$5:$G$404))</f>
        <v>0</v>
      </c>
      <c r="I328" s="17" t="n">
        <f aca="false">IF($B328="",0,SUMIFS('Zoho Dump'!$Q$8:$Q$3007,'Zoho Dump'!$N$8:$N$3007,$B328,'Zoho Dump'!$T$8:$T$3007,"Lost",'Zoho Dump'!$R$8:$R$3007,"&gt;="&amp;Settings!$B$4))</f>
        <v>0</v>
      </c>
      <c r="J328" s="9" t="str">
        <f aca="false">IF($B328="","",IF(COUNTIF(Dashboard!$C$13:$C$22,$B328)&gt;0,"Yes",""))</f>
        <v/>
      </c>
      <c r="K328" s="17" t="n">
        <f aca="false">IF($B328="",0,SUMIFS('Zoho Dump'!$X$8:$X$3007,'Zoho Dump'!$N$8:$N$3007,$B328,'Zoho Dump'!$P$8:$P$3007,Settings!$A$12)+SUMIFS(Adjustments!$K$8:$K$207,Adjustments!$B$8:$B$207,$B328,Adjustments!$A$8:$A$207,Settings!$A$12))</f>
        <v>0</v>
      </c>
      <c r="L328" s="17" t="n">
        <f aca="false">IF($B328="",0,SUMIFS('Zoho Dump'!$X$8:$X$3007,'Zoho Dump'!$N$8:$N$3007,$B328,'Zoho Dump'!$P$8:$P$3007,Settings!$A$13)+SUMIFS(Adjustments!$K$8:$K$207,Adjustments!$B$8:$B$207,$B328,Adjustments!$A$8:$A$207,Settings!$A$13))</f>
        <v>0</v>
      </c>
      <c r="M328" s="17" t="n">
        <f aca="false">IF($B328="",0,SUMIFS('Zoho Dump'!$X$8:$X$3007,'Zoho Dump'!$N$8:$N$3007,$B328,'Zoho Dump'!$P$8:$P$3007,Settings!$A$14)+SUMIFS(Adjustments!$K$8:$K$207,Adjustments!$B$8:$B$207,$B328,Adjustments!$A$8:$A$207,Settings!$A$14))</f>
        <v>0</v>
      </c>
      <c r="N328" s="17" t="n">
        <f aca="false">IF($B328="",0,SUMIFS('Zoho Dump'!$X$8:$X$3007,'Zoho Dump'!$N$8:$N$3007,$B328,'Zoho Dump'!$P$8:$P$3007,Settings!$A$15)+SUMIFS(Adjustments!$K$8:$K$207,Adjustments!$B$8:$B$207,$B328,Adjustments!$A$8:$A$207,Settings!$A$15))</f>
        <v>0</v>
      </c>
      <c r="O328" s="17" t="n">
        <f aca="false">IF($B328="",0,SUMIFS('Zoho Dump'!$X$8:$X$3007,'Zoho Dump'!$N$8:$N$3007,$B328,'Zoho Dump'!$P$8:$P$3007,Settings!$A$16)+SUMIFS(Adjustments!$K$8:$K$207,Adjustments!$B$8:$B$207,$B328,Adjustments!$A$8:$A$207,Settings!$A$16))</f>
        <v>0</v>
      </c>
      <c r="P328" s="17" t="n">
        <f aca="false">IF($B328="",0,SUMIFS('Zoho Dump'!$X$8:$X$3007,'Zoho Dump'!$N$8:$N$3007,$B328,'Zoho Dump'!$P$8:$P$3007,Settings!$A$17)+SUMIFS(Adjustments!$K$8:$K$207,Adjustments!$B$8:$B$207,$B328,Adjustments!$A$8:$A$207,Settings!$A$17))</f>
        <v>0</v>
      </c>
      <c r="Q328" s="17" t="n">
        <f aca="false">IF($B328="",0,SUMIFS('Zoho Dump'!$X$8:$X$3007,'Zoho Dump'!$N$8:$N$3007,$B328,'Zoho Dump'!$P$8:$P$3007,Settings!$A$18)+SUMIFS(Adjustments!$K$8:$K$207,Adjustments!$B$8:$B$207,$B328,Adjustments!$A$8:$A$207,Settings!$A$18))</f>
        <v>0</v>
      </c>
      <c r="R328" s="30" t="str">
        <f aca="false">IF(G328&gt;0,G328+A328/10000000,"")</f>
        <v/>
      </c>
    </row>
    <row r="329" customFormat="false" ht="15" hidden="false" customHeight="false" outlineLevel="0" collapsed="false">
      <c r="A329" s="9" t="n">
        <v>325</v>
      </c>
      <c r="B329" s="9" t="str">
        <f aca="false">IFERROR(INDEX('Zoho Dump'!$N$8:$N$3007,MATCH(A329,'Zoho Dump'!$AB$8:$AB$3007,0)),"")</f>
        <v/>
      </c>
      <c r="C329" s="17" t="n">
        <f aca="false">IF($B329="",0,SUMIFS('Zoho Dump'!$Q$8:$Q$3007,'Zoho Dump'!$N$8:$N$3007,$B329,'Zoho Dump'!$T$8:$T$3007,"Delivered",'Zoho Dump'!$R$8:$R$3007,"&gt;="&amp;Settings!$B$4))</f>
        <v>0</v>
      </c>
      <c r="D329" s="17" t="n">
        <f aca="false">IF($B329="",0,SUMIFS('Zoho Dump'!$X$8:$X$3007,'Zoho Dump'!$N$8:$N$3007,$B329,'Zoho Dump'!$T$8:$T$3007,"Backlog")+SUMIFS(Adjustments!$K$8:$K$207,Adjustments!$B$8:$B$207,$B329,Adjustments!$H$8:$H$207,"Backlog"))</f>
        <v>0</v>
      </c>
      <c r="E329" s="17" t="n">
        <f aca="false">IF($B329="",0,SUMIFS('Zoho Dump'!$Y$8:$Y$3007,'Zoho Dump'!$N$8:$N$3007,$B329,'Zoho Dump'!$T$8:$T$3007,"Pipeline")+SUMIFS(Adjustments!$L$8:$L$207,Adjustments!$B$8:$B$207,$B329,Adjustments!$H$8:$H$207,"Pipeline")+SUMIFS('Zoho Dump'!$Y$8:$Y$3007,'Zoho Dump'!$N$8:$N$3007,$B329,'Zoho Dump'!$T$8:$T$3007,"Overdue")+SUMIFS(Adjustments!$L$8:$L$207,Adjustments!$B$8:$B$207,$B329,Adjustments!$H$8:$H$207,"Overdue"))</f>
        <v>0</v>
      </c>
      <c r="F329" s="17" t="n">
        <f aca="false">IF($B329="",0,SUMIFS('Zoho Dump'!$X$8:$X$3007,'Zoho Dump'!$N$8:$N$3007,$B329,'Zoho Dump'!$T$8:$T$3007,"Pipeline")+SUMIFS(Adjustments!$K$8:$K$207,Adjustments!$B$8:$B$207,$B329,Adjustments!$H$8:$H$207,"Pipeline")+SUMIFS('Zoho Dump'!$X$8:$X$3007,'Zoho Dump'!$N$8:$N$3007,$B329,'Zoho Dump'!$T$8:$T$3007,"Overdue")+SUMIFS(Adjustments!$K$8:$K$207,Adjustments!$B$8:$B$207,$B329,Adjustments!$H$8:$H$207,"Overdue"))</f>
        <v>0</v>
      </c>
      <c r="G329" s="17" t="n">
        <f aca="false">D329+F329</f>
        <v>0</v>
      </c>
      <c r="H329" s="18" t="n">
        <f aca="false">IF(SUM($G$5:$G$404)=0,0,G329/SUM($G$5:$G$404))</f>
        <v>0</v>
      </c>
      <c r="I329" s="17" t="n">
        <f aca="false">IF($B329="",0,SUMIFS('Zoho Dump'!$Q$8:$Q$3007,'Zoho Dump'!$N$8:$N$3007,$B329,'Zoho Dump'!$T$8:$T$3007,"Lost",'Zoho Dump'!$R$8:$R$3007,"&gt;="&amp;Settings!$B$4))</f>
        <v>0</v>
      </c>
      <c r="J329" s="9" t="str">
        <f aca="false">IF($B329="","",IF(COUNTIF(Dashboard!$C$13:$C$22,$B329)&gt;0,"Yes",""))</f>
        <v/>
      </c>
      <c r="K329" s="17" t="n">
        <f aca="false">IF($B329="",0,SUMIFS('Zoho Dump'!$X$8:$X$3007,'Zoho Dump'!$N$8:$N$3007,$B329,'Zoho Dump'!$P$8:$P$3007,Settings!$A$12)+SUMIFS(Adjustments!$K$8:$K$207,Adjustments!$B$8:$B$207,$B329,Adjustments!$A$8:$A$207,Settings!$A$12))</f>
        <v>0</v>
      </c>
      <c r="L329" s="17" t="n">
        <f aca="false">IF($B329="",0,SUMIFS('Zoho Dump'!$X$8:$X$3007,'Zoho Dump'!$N$8:$N$3007,$B329,'Zoho Dump'!$P$8:$P$3007,Settings!$A$13)+SUMIFS(Adjustments!$K$8:$K$207,Adjustments!$B$8:$B$207,$B329,Adjustments!$A$8:$A$207,Settings!$A$13))</f>
        <v>0</v>
      </c>
      <c r="M329" s="17" t="n">
        <f aca="false">IF($B329="",0,SUMIFS('Zoho Dump'!$X$8:$X$3007,'Zoho Dump'!$N$8:$N$3007,$B329,'Zoho Dump'!$P$8:$P$3007,Settings!$A$14)+SUMIFS(Adjustments!$K$8:$K$207,Adjustments!$B$8:$B$207,$B329,Adjustments!$A$8:$A$207,Settings!$A$14))</f>
        <v>0</v>
      </c>
      <c r="N329" s="17" t="n">
        <f aca="false">IF($B329="",0,SUMIFS('Zoho Dump'!$X$8:$X$3007,'Zoho Dump'!$N$8:$N$3007,$B329,'Zoho Dump'!$P$8:$P$3007,Settings!$A$15)+SUMIFS(Adjustments!$K$8:$K$207,Adjustments!$B$8:$B$207,$B329,Adjustments!$A$8:$A$207,Settings!$A$15))</f>
        <v>0</v>
      </c>
      <c r="O329" s="17" t="n">
        <f aca="false">IF($B329="",0,SUMIFS('Zoho Dump'!$X$8:$X$3007,'Zoho Dump'!$N$8:$N$3007,$B329,'Zoho Dump'!$P$8:$P$3007,Settings!$A$16)+SUMIFS(Adjustments!$K$8:$K$207,Adjustments!$B$8:$B$207,$B329,Adjustments!$A$8:$A$207,Settings!$A$16))</f>
        <v>0</v>
      </c>
      <c r="P329" s="17" t="n">
        <f aca="false">IF($B329="",0,SUMIFS('Zoho Dump'!$X$8:$X$3007,'Zoho Dump'!$N$8:$N$3007,$B329,'Zoho Dump'!$P$8:$P$3007,Settings!$A$17)+SUMIFS(Adjustments!$K$8:$K$207,Adjustments!$B$8:$B$207,$B329,Adjustments!$A$8:$A$207,Settings!$A$17))</f>
        <v>0</v>
      </c>
      <c r="Q329" s="17" t="n">
        <f aca="false">IF($B329="",0,SUMIFS('Zoho Dump'!$X$8:$X$3007,'Zoho Dump'!$N$8:$N$3007,$B329,'Zoho Dump'!$P$8:$P$3007,Settings!$A$18)+SUMIFS(Adjustments!$K$8:$K$207,Adjustments!$B$8:$B$207,$B329,Adjustments!$A$8:$A$207,Settings!$A$18))</f>
        <v>0</v>
      </c>
      <c r="R329" s="30" t="str">
        <f aca="false">IF(G329&gt;0,G329+A329/10000000,"")</f>
        <v/>
      </c>
    </row>
    <row r="330" customFormat="false" ht="15" hidden="false" customHeight="false" outlineLevel="0" collapsed="false">
      <c r="A330" s="9" t="n">
        <v>326</v>
      </c>
      <c r="B330" s="9" t="str">
        <f aca="false">IFERROR(INDEX('Zoho Dump'!$N$8:$N$3007,MATCH(A330,'Zoho Dump'!$AB$8:$AB$3007,0)),"")</f>
        <v/>
      </c>
      <c r="C330" s="17" t="n">
        <f aca="false">IF($B330="",0,SUMIFS('Zoho Dump'!$Q$8:$Q$3007,'Zoho Dump'!$N$8:$N$3007,$B330,'Zoho Dump'!$T$8:$T$3007,"Delivered",'Zoho Dump'!$R$8:$R$3007,"&gt;="&amp;Settings!$B$4))</f>
        <v>0</v>
      </c>
      <c r="D330" s="17" t="n">
        <f aca="false">IF($B330="",0,SUMIFS('Zoho Dump'!$X$8:$X$3007,'Zoho Dump'!$N$8:$N$3007,$B330,'Zoho Dump'!$T$8:$T$3007,"Backlog")+SUMIFS(Adjustments!$K$8:$K$207,Adjustments!$B$8:$B$207,$B330,Adjustments!$H$8:$H$207,"Backlog"))</f>
        <v>0</v>
      </c>
      <c r="E330" s="17" t="n">
        <f aca="false">IF($B330="",0,SUMIFS('Zoho Dump'!$Y$8:$Y$3007,'Zoho Dump'!$N$8:$N$3007,$B330,'Zoho Dump'!$T$8:$T$3007,"Pipeline")+SUMIFS(Adjustments!$L$8:$L$207,Adjustments!$B$8:$B$207,$B330,Adjustments!$H$8:$H$207,"Pipeline")+SUMIFS('Zoho Dump'!$Y$8:$Y$3007,'Zoho Dump'!$N$8:$N$3007,$B330,'Zoho Dump'!$T$8:$T$3007,"Overdue")+SUMIFS(Adjustments!$L$8:$L$207,Adjustments!$B$8:$B$207,$B330,Adjustments!$H$8:$H$207,"Overdue"))</f>
        <v>0</v>
      </c>
      <c r="F330" s="17" t="n">
        <f aca="false">IF($B330="",0,SUMIFS('Zoho Dump'!$X$8:$X$3007,'Zoho Dump'!$N$8:$N$3007,$B330,'Zoho Dump'!$T$8:$T$3007,"Pipeline")+SUMIFS(Adjustments!$K$8:$K$207,Adjustments!$B$8:$B$207,$B330,Adjustments!$H$8:$H$207,"Pipeline")+SUMIFS('Zoho Dump'!$X$8:$X$3007,'Zoho Dump'!$N$8:$N$3007,$B330,'Zoho Dump'!$T$8:$T$3007,"Overdue")+SUMIFS(Adjustments!$K$8:$K$207,Adjustments!$B$8:$B$207,$B330,Adjustments!$H$8:$H$207,"Overdue"))</f>
        <v>0</v>
      </c>
      <c r="G330" s="17" t="n">
        <f aca="false">D330+F330</f>
        <v>0</v>
      </c>
      <c r="H330" s="18" t="n">
        <f aca="false">IF(SUM($G$5:$G$404)=0,0,G330/SUM($G$5:$G$404))</f>
        <v>0</v>
      </c>
      <c r="I330" s="17" t="n">
        <f aca="false">IF($B330="",0,SUMIFS('Zoho Dump'!$Q$8:$Q$3007,'Zoho Dump'!$N$8:$N$3007,$B330,'Zoho Dump'!$T$8:$T$3007,"Lost",'Zoho Dump'!$R$8:$R$3007,"&gt;="&amp;Settings!$B$4))</f>
        <v>0</v>
      </c>
      <c r="J330" s="9" t="str">
        <f aca="false">IF($B330="","",IF(COUNTIF(Dashboard!$C$13:$C$22,$B330)&gt;0,"Yes",""))</f>
        <v/>
      </c>
      <c r="K330" s="17" t="n">
        <f aca="false">IF($B330="",0,SUMIFS('Zoho Dump'!$X$8:$X$3007,'Zoho Dump'!$N$8:$N$3007,$B330,'Zoho Dump'!$P$8:$P$3007,Settings!$A$12)+SUMIFS(Adjustments!$K$8:$K$207,Adjustments!$B$8:$B$207,$B330,Adjustments!$A$8:$A$207,Settings!$A$12))</f>
        <v>0</v>
      </c>
      <c r="L330" s="17" t="n">
        <f aca="false">IF($B330="",0,SUMIFS('Zoho Dump'!$X$8:$X$3007,'Zoho Dump'!$N$8:$N$3007,$B330,'Zoho Dump'!$P$8:$P$3007,Settings!$A$13)+SUMIFS(Adjustments!$K$8:$K$207,Adjustments!$B$8:$B$207,$B330,Adjustments!$A$8:$A$207,Settings!$A$13))</f>
        <v>0</v>
      </c>
      <c r="M330" s="17" t="n">
        <f aca="false">IF($B330="",0,SUMIFS('Zoho Dump'!$X$8:$X$3007,'Zoho Dump'!$N$8:$N$3007,$B330,'Zoho Dump'!$P$8:$P$3007,Settings!$A$14)+SUMIFS(Adjustments!$K$8:$K$207,Adjustments!$B$8:$B$207,$B330,Adjustments!$A$8:$A$207,Settings!$A$14))</f>
        <v>0</v>
      </c>
      <c r="N330" s="17" t="n">
        <f aca="false">IF($B330="",0,SUMIFS('Zoho Dump'!$X$8:$X$3007,'Zoho Dump'!$N$8:$N$3007,$B330,'Zoho Dump'!$P$8:$P$3007,Settings!$A$15)+SUMIFS(Adjustments!$K$8:$K$207,Adjustments!$B$8:$B$207,$B330,Adjustments!$A$8:$A$207,Settings!$A$15))</f>
        <v>0</v>
      </c>
      <c r="O330" s="17" t="n">
        <f aca="false">IF($B330="",0,SUMIFS('Zoho Dump'!$X$8:$X$3007,'Zoho Dump'!$N$8:$N$3007,$B330,'Zoho Dump'!$P$8:$P$3007,Settings!$A$16)+SUMIFS(Adjustments!$K$8:$K$207,Adjustments!$B$8:$B$207,$B330,Adjustments!$A$8:$A$207,Settings!$A$16))</f>
        <v>0</v>
      </c>
      <c r="P330" s="17" t="n">
        <f aca="false">IF($B330="",0,SUMIFS('Zoho Dump'!$X$8:$X$3007,'Zoho Dump'!$N$8:$N$3007,$B330,'Zoho Dump'!$P$8:$P$3007,Settings!$A$17)+SUMIFS(Adjustments!$K$8:$K$207,Adjustments!$B$8:$B$207,$B330,Adjustments!$A$8:$A$207,Settings!$A$17))</f>
        <v>0</v>
      </c>
      <c r="Q330" s="17" t="n">
        <f aca="false">IF($B330="",0,SUMIFS('Zoho Dump'!$X$8:$X$3007,'Zoho Dump'!$N$8:$N$3007,$B330,'Zoho Dump'!$P$8:$P$3007,Settings!$A$18)+SUMIFS(Adjustments!$K$8:$K$207,Adjustments!$B$8:$B$207,$B330,Adjustments!$A$8:$A$207,Settings!$A$18))</f>
        <v>0</v>
      </c>
      <c r="R330" s="30" t="str">
        <f aca="false">IF(G330&gt;0,G330+A330/10000000,"")</f>
        <v/>
      </c>
    </row>
    <row r="331" customFormat="false" ht="15" hidden="false" customHeight="false" outlineLevel="0" collapsed="false">
      <c r="A331" s="9" t="n">
        <v>327</v>
      </c>
      <c r="B331" s="9" t="str">
        <f aca="false">IFERROR(INDEX('Zoho Dump'!$N$8:$N$3007,MATCH(A331,'Zoho Dump'!$AB$8:$AB$3007,0)),"")</f>
        <v/>
      </c>
      <c r="C331" s="17" t="n">
        <f aca="false">IF($B331="",0,SUMIFS('Zoho Dump'!$Q$8:$Q$3007,'Zoho Dump'!$N$8:$N$3007,$B331,'Zoho Dump'!$T$8:$T$3007,"Delivered",'Zoho Dump'!$R$8:$R$3007,"&gt;="&amp;Settings!$B$4))</f>
        <v>0</v>
      </c>
      <c r="D331" s="17" t="n">
        <f aca="false">IF($B331="",0,SUMIFS('Zoho Dump'!$X$8:$X$3007,'Zoho Dump'!$N$8:$N$3007,$B331,'Zoho Dump'!$T$8:$T$3007,"Backlog")+SUMIFS(Adjustments!$K$8:$K$207,Adjustments!$B$8:$B$207,$B331,Adjustments!$H$8:$H$207,"Backlog"))</f>
        <v>0</v>
      </c>
      <c r="E331" s="17" t="n">
        <f aca="false">IF($B331="",0,SUMIFS('Zoho Dump'!$Y$8:$Y$3007,'Zoho Dump'!$N$8:$N$3007,$B331,'Zoho Dump'!$T$8:$T$3007,"Pipeline")+SUMIFS(Adjustments!$L$8:$L$207,Adjustments!$B$8:$B$207,$B331,Adjustments!$H$8:$H$207,"Pipeline")+SUMIFS('Zoho Dump'!$Y$8:$Y$3007,'Zoho Dump'!$N$8:$N$3007,$B331,'Zoho Dump'!$T$8:$T$3007,"Overdue")+SUMIFS(Adjustments!$L$8:$L$207,Adjustments!$B$8:$B$207,$B331,Adjustments!$H$8:$H$207,"Overdue"))</f>
        <v>0</v>
      </c>
      <c r="F331" s="17" t="n">
        <f aca="false">IF($B331="",0,SUMIFS('Zoho Dump'!$X$8:$X$3007,'Zoho Dump'!$N$8:$N$3007,$B331,'Zoho Dump'!$T$8:$T$3007,"Pipeline")+SUMIFS(Adjustments!$K$8:$K$207,Adjustments!$B$8:$B$207,$B331,Adjustments!$H$8:$H$207,"Pipeline")+SUMIFS('Zoho Dump'!$X$8:$X$3007,'Zoho Dump'!$N$8:$N$3007,$B331,'Zoho Dump'!$T$8:$T$3007,"Overdue")+SUMIFS(Adjustments!$K$8:$K$207,Adjustments!$B$8:$B$207,$B331,Adjustments!$H$8:$H$207,"Overdue"))</f>
        <v>0</v>
      </c>
      <c r="G331" s="17" t="n">
        <f aca="false">D331+F331</f>
        <v>0</v>
      </c>
      <c r="H331" s="18" t="n">
        <f aca="false">IF(SUM($G$5:$G$404)=0,0,G331/SUM($G$5:$G$404))</f>
        <v>0</v>
      </c>
      <c r="I331" s="17" t="n">
        <f aca="false">IF($B331="",0,SUMIFS('Zoho Dump'!$Q$8:$Q$3007,'Zoho Dump'!$N$8:$N$3007,$B331,'Zoho Dump'!$T$8:$T$3007,"Lost",'Zoho Dump'!$R$8:$R$3007,"&gt;="&amp;Settings!$B$4))</f>
        <v>0</v>
      </c>
      <c r="J331" s="9" t="str">
        <f aca="false">IF($B331="","",IF(COUNTIF(Dashboard!$C$13:$C$22,$B331)&gt;0,"Yes",""))</f>
        <v/>
      </c>
      <c r="K331" s="17" t="n">
        <f aca="false">IF($B331="",0,SUMIFS('Zoho Dump'!$X$8:$X$3007,'Zoho Dump'!$N$8:$N$3007,$B331,'Zoho Dump'!$P$8:$P$3007,Settings!$A$12)+SUMIFS(Adjustments!$K$8:$K$207,Adjustments!$B$8:$B$207,$B331,Adjustments!$A$8:$A$207,Settings!$A$12))</f>
        <v>0</v>
      </c>
      <c r="L331" s="17" t="n">
        <f aca="false">IF($B331="",0,SUMIFS('Zoho Dump'!$X$8:$X$3007,'Zoho Dump'!$N$8:$N$3007,$B331,'Zoho Dump'!$P$8:$P$3007,Settings!$A$13)+SUMIFS(Adjustments!$K$8:$K$207,Adjustments!$B$8:$B$207,$B331,Adjustments!$A$8:$A$207,Settings!$A$13))</f>
        <v>0</v>
      </c>
      <c r="M331" s="17" t="n">
        <f aca="false">IF($B331="",0,SUMIFS('Zoho Dump'!$X$8:$X$3007,'Zoho Dump'!$N$8:$N$3007,$B331,'Zoho Dump'!$P$8:$P$3007,Settings!$A$14)+SUMIFS(Adjustments!$K$8:$K$207,Adjustments!$B$8:$B$207,$B331,Adjustments!$A$8:$A$207,Settings!$A$14))</f>
        <v>0</v>
      </c>
      <c r="N331" s="17" t="n">
        <f aca="false">IF($B331="",0,SUMIFS('Zoho Dump'!$X$8:$X$3007,'Zoho Dump'!$N$8:$N$3007,$B331,'Zoho Dump'!$P$8:$P$3007,Settings!$A$15)+SUMIFS(Adjustments!$K$8:$K$207,Adjustments!$B$8:$B$207,$B331,Adjustments!$A$8:$A$207,Settings!$A$15))</f>
        <v>0</v>
      </c>
      <c r="O331" s="17" t="n">
        <f aca="false">IF($B331="",0,SUMIFS('Zoho Dump'!$X$8:$X$3007,'Zoho Dump'!$N$8:$N$3007,$B331,'Zoho Dump'!$P$8:$P$3007,Settings!$A$16)+SUMIFS(Adjustments!$K$8:$K$207,Adjustments!$B$8:$B$207,$B331,Adjustments!$A$8:$A$207,Settings!$A$16))</f>
        <v>0</v>
      </c>
      <c r="P331" s="17" t="n">
        <f aca="false">IF($B331="",0,SUMIFS('Zoho Dump'!$X$8:$X$3007,'Zoho Dump'!$N$8:$N$3007,$B331,'Zoho Dump'!$P$8:$P$3007,Settings!$A$17)+SUMIFS(Adjustments!$K$8:$K$207,Adjustments!$B$8:$B$207,$B331,Adjustments!$A$8:$A$207,Settings!$A$17))</f>
        <v>0</v>
      </c>
      <c r="Q331" s="17" t="n">
        <f aca="false">IF($B331="",0,SUMIFS('Zoho Dump'!$X$8:$X$3007,'Zoho Dump'!$N$8:$N$3007,$B331,'Zoho Dump'!$P$8:$P$3007,Settings!$A$18)+SUMIFS(Adjustments!$K$8:$K$207,Adjustments!$B$8:$B$207,$B331,Adjustments!$A$8:$A$207,Settings!$A$18))</f>
        <v>0</v>
      </c>
      <c r="R331" s="30" t="str">
        <f aca="false">IF(G331&gt;0,G331+A331/10000000,"")</f>
        <v/>
      </c>
    </row>
    <row r="332" customFormat="false" ht="15" hidden="false" customHeight="false" outlineLevel="0" collapsed="false">
      <c r="A332" s="9" t="n">
        <v>328</v>
      </c>
      <c r="B332" s="9" t="str">
        <f aca="false">IFERROR(INDEX('Zoho Dump'!$N$8:$N$3007,MATCH(A332,'Zoho Dump'!$AB$8:$AB$3007,0)),"")</f>
        <v/>
      </c>
      <c r="C332" s="17" t="n">
        <f aca="false">IF($B332="",0,SUMIFS('Zoho Dump'!$Q$8:$Q$3007,'Zoho Dump'!$N$8:$N$3007,$B332,'Zoho Dump'!$T$8:$T$3007,"Delivered",'Zoho Dump'!$R$8:$R$3007,"&gt;="&amp;Settings!$B$4))</f>
        <v>0</v>
      </c>
      <c r="D332" s="17" t="n">
        <f aca="false">IF($B332="",0,SUMIFS('Zoho Dump'!$X$8:$X$3007,'Zoho Dump'!$N$8:$N$3007,$B332,'Zoho Dump'!$T$8:$T$3007,"Backlog")+SUMIFS(Adjustments!$K$8:$K$207,Adjustments!$B$8:$B$207,$B332,Adjustments!$H$8:$H$207,"Backlog"))</f>
        <v>0</v>
      </c>
      <c r="E332" s="17" t="n">
        <f aca="false">IF($B332="",0,SUMIFS('Zoho Dump'!$Y$8:$Y$3007,'Zoho Dump'!$N$8:$N$3007,$B332,'Zoho Dump'!$T$8:$T$3007,"Pipeline")+SUMIFS(Adjustments!$L$8:$L$207,Adjustments!$B$8:$B$207,$B332,Adjustments!$H$8:$H$207,"Pipeline")+SUMIFS('Zoho Dump'!$Y$8:$Y$3007,'Zoho Dump'!$N$8:$N$3007,$B332,'Zoho Dump'!$T$8:$T$3007,"Overdue")+SUMIFS(Adjustments!$L$8:$L$207,Adjustments!$B$8:$B$207,$B332,Adjustments!$H$8:$H$207,"Overdue"))</f>
        <v>0</v>
      </c>
      <c r="F332" s="17" t="n">
        <f aca="false">IF($B332="",0,SUMIFS('Zoho Dump'!$X$8:$X$3007,'Zoho Dump'!$N$8:$N$3007,$B332,'Zoho Dump'!$T$8:$T$3007,"Pipeline")+SUMIFS(Adjustments!$K$8:$K$207,Adjustments!$B$8:$B$207,$B332,Adjustments!$H$8:$H$207,"Pipeline")+SUMIFS('Zoho Dump'!$X$8:$X$3007,'Zoho Dump'!$N$8:$N$3007,$B332,'Zoho Dump'!$T$8:$T$3007,"Overdue")+SUMIFS(Adjustments!$K$8:$K$207,Adjustments!$B$8:$B$207,$B332,Adjustments!$H$8:$H$207,"Overdue"))</f>
        <v>0</v>
      </c>
      <c r="G332" s="17" t="n">
        <f aca="false">D332+F332</f>
        <v>0</v>
      </c>
      <c r="H332" s="18" t="n">
        <f aca="false">IF(SUM($G$5:$G$404)=0,0,G332/SUM($G$5:$G$404))</f>
        <v>0</v>
      </c>
      <c r="I332" s="17" t="n">
        <f aca="false">IF($B332="",0,SUMIFS('Zoho Dump'!$Q$8:$Q$3007,'Zoho Dump'!$N$8:$N$3007,$B332,'Zoho Dump'!$T$8:$T$3007,"Lost",'Zoho Dump'!$R$8:$R$3007,"&gt;="&amp;Settings!$B$4))</f>
        <v>0</v>
      </c>
      <c r="J332" s="9" t="str">
        <f aca="false">IF($B332="","",IF(COUNTIF(Dashboard!$C$13:$C$22,$B332)&gt;0,"Yes",""))</f>
        <v/>
      </c>
      <c r="K332" s="17" t="n">
        <f aca="false">IF($B332="",0,SUMIFS('Zoho Dump'!$X$8:$X$3007,'Zoho Dump'!$N$8:$N$3007,$B332,'Zoho Dump'!$P$8:$P$3007,Settings!$A$12)+SUMIFS(Adjustments!$K$8:$K$207,Adjustments!$B$8:$B$207,$B332,Adjustments!$A$8:$A$207,Settings!$A$12))</f>
        <v>0</v>
      </c>
      <c r="L332" s="17" t="n">
        <f aca="false">IF($B332="",0,SUMIFS('Zoho Dump'!$X$8:$X$3007,'Zoho Dump'!$N$8:$N$3007,$B332,'Zoho Dump'!$P$8:$P$3007,Settings!$A$13)+SUMIFS(Adjustments!$K$8:$K$207,Adjustments!$B$8:$B$207,$B332,Adjustments!$A$8:$A$207,Settings!$A$13))</f>
        <v>0</v>
      </c>
      <c r="M332" s="17" t="n">
        <f aca="false">IF($B332="",0,SUMIFS('Zoho Dump'!$X$8:$X$3007,'Zoho Dump'!$N$8:$N$3007,$B332,'Zoho Dump'!$P$8:$P$3007,Settings!$A$14)+SUMIFS(Adjustments!$K$8:$K$207,Adjustments!$B$8:$B$207,$B332,Adjustments!$A$8:$A$207,Settings!$A$14))</f>
        <v>0</v>
      </c>
      <c r="N332" s="17" t="n">
        <f aca="false">IF($B332="",0,SUMIFS('Zoho Dump'!$X$8:$X$3007,'Zoho Dump'!$N$8:$N$3007,$B332,'Zoho Dump'!$P$8:$P$3007,Settings!$A$15)+SUMIFS(Adjustments!$K$8:$K$207,Adjustments!$B$8:$B$207,$B332,Adjustments!$A$8:$A$207,Settings!$A$15))</f>
        <v>0</v>
      </c>
      <c r="O332" s="17" t="n">
        <f aca="false">IF($B332="",0,SUMIFS('Zoho Dump'!$X$8:$X$3007,'Zoho Dump'!$N$8:$N$3007,$B332,'Zoho Dump'!$P$8:$P$3007,Settings!$A$16)+SUMIFS(Adjustments!$K$8:$K$207,Adjustments!$B$8:$B$207,$B332,Adjustments!$A$8:$A$207,Settings!$A$16))</f>
        <v>0</v>
      </c>
      <c r="P332" s="17" t="n">
        <f aca="false">IF($B332="",0,SUMIFS('Zoho Dump'!$X$8:$X$3007,'Zoho Dump'!$N$8:$N$3007,$B332,'Zoho Dump'!$P$8:$P$3007,Settings!$A$17)+SUMIFS(Adjustments!$K$8:$K$207,Adjustments!$B$8:$B$207,$B332,Adjustments!$A$8:$A$207,Settings!$A$17))</f>
        <v>0</v>
      </c>
      <c r="Q332" s="17" t="n">
        <f aca="false">IF($B332="",0,SUMIFS('Zoho Dump'!$X$8:$X$3007,'Zoho Dump'!$N$8:$N$3007,$B332,'Zoho Dump'!$P$8:$P$3007,Settings!$A$18)+SUMIFS(Adjustments!$K$8:$K$207,Adjustments!$B$8:$B$207,$B332,Adjustments!$A$8:$A$207,Settings!$A$18))</f>
        <v>0</v>
      </c>
      <c r="R332" s="30" t="str">
        <f aca="false">IF(G332&gt;0,G332+A332/10000000,"")</f>
        <v/>
      </c>
    </row>
    <row r="333" customFormat="false" ht="15" hidden="false" customHeight="false" outlineLevel="0" collapsed="false">
      <c r="A333" s="9" t="n">
        <v>329</v>
      </c>
      <c r="B333" s="9" t="str">
        <f aca="false">IFERROR(INDEX('Zoho Dump'!$N$8:$N$3007,MATCH(A333,'Zoho Dump'!$AB$8:$AB$3007,0)),"")</f>
        <v/>
      </c>
      <c r="C333" s="17" t="n">
        <f aca="false">IF($B333="",0,SUMIFS('Zoho Dump'!$Q$8:$Q$3007,'Zoho Dump'!$N$8:$N$3007,$B333,'Zoho Dump'!$T$8:$T$3007,"Delivered",'Zoho Dump'!$R$8:$R$3007,"&gt;="&amp;Settings!$B$4))</f>
        <v>0</v>
      </c>
      <c r="D333" s="17" t="n">
        <f aca="false">IF($B333="",0,SUMIFS('Zoho Dump'!$X$8:$X$3007,'Zoho Dump'!$N$8:$N$3007,$B333,'Zoho Dump'!$T$8:$T$3007,"Backlog")+SUMIFS(Adjustments!$K$8:$K$207,Adjustments!$B$8:$B$207,$B333,Adjustments!$H$8:$H$207,"Backlog"))</f>
        <v>0</v>
      </c>
      <c r="E333" s="17" t="n">
        <f aca="false">IF($B333="",0,SUMIFS('Zoho Dump'!$Y$8:$Y$3007,'Zoho Dump'!$N$8:$N$3007,$B333,'Zoho Dump'!$T$8:$T$3007,"Pipeline")+SUMIFS(Adjustments!$L$8:$L$207,Adjustments!$B$8:$B$207,$B333,Adjustments!$H$8:$H$207,"Pipeline")+SUMIFS('Zoho Dump'!$Y$8:$Y$3007,'Zoho Dump'!$N$8:$N$3007,$B333,'Zoho Dump'!$T$8:$T$3007,"Overdue")+SUMIFS(Adjustments!$L$8:$L$207,Adjustments!$B$8:$B$207,$B333,Adjustments!$H$8:$H$207,"Overdue"))</f>
        <v>0</v>
      </c>
      <c r="F333" s="17" t="n">
        <f aca="false">IF($B333="",0,SUMIFS('Zoho Dump'!$X$8:$X$3007,'Zoho Dump'!$N$8:$N$3007,$B333,'Zoho Dump'!$T$8:$T$3007,"Pipeline")+SUMIFS(Adjustments!$K$8:$K$207,Adjustments!$B$8:$B$207,$B333,Adjustments!$H$8:$H$207,"Pipeline")+SUMIFS('Zoho Dump'!$X$8:$X$3007,'Zoho Dump'!$N$8:$N$3007,$B333,'Zoho Dump'!$T$8:$T$3007,"Overdue")+SUMIFS(Adjustments!$K$8:$K$207,Adjustments!$B$8:$B$207,$B333,Adjustments!$H$8:$H$207,"Overdue"))</f>
        <v>0</v>
      </c>
      <c r="G333" s="17" t="n">
        <f aca="false">D333+F333</f>
        <v>0</v>
      </c>
      <c r="H333" s="18" t="n">
        <f aca="false">IF(SUM($G$5:$G$404)=0,0,G333/SUM($G$5:$G$404))</f>
        <v>0</v>
      </c>
      <c r="I333" s="17" t="n">
        <f aca="false">IF($B333="",0,SUMIFS('Zoho Dump'!$Q$8:$Q$3007,'Zoho Dump'!$N$8:$N$3007,$B333,'Zoho Dump'!$T$8:$T$3007,"Lost",'Zoho Dump'!$R$8:$R$3007,"&gt;="&amp;Settings!$B$4))</f>
        <v>0</v>
      </c>
      <c r="J333" s="9" t="str">
        <f aca="false">IF($B333="","",IF(COUNTIF(Dashboard!$C$13:$C$22,$B333)&gt;0,"Yes",""))</f>
        <v/>
      </c>
      <c r="K333" s="17" t="n">
        <f aca="false">IF($B333="",0,SUMIFS('Zoho Dump'!$X$8:$X$3007,'Zoho Dump'!$N$8:$N$3007,$B333,'Zoho Dump'!$P$8:$P$3007,Settings!$A$12)+SUMIFS(Adjustments!$K$8:$K$207,Adjustments!$B$8:$B$207,$B333,Adjustments!$A$8:$A$207,Settings!$A$12))</f>
        <v>0</v>
      </c>
      <c r="L333" s="17" t="n">
        <f aca="false">IF($B333="",0,SUMIFS('Zoho Dump'!$X$8:$X$3007,'Zoho Dump'!$N$8:$N$3007,$B333,'Zoho Dump'!$P$8:$P$3007,Settings!$A$13)+SUMIFS(Adjustments!$K$8:$K$207,Adjustments!$B$8:$B$207,$B333,Adjustments!$A$8:$A$207,Settings!$A$13))</f>
        <v>0</v>
      </c>
      <c r="M333" s="17" t="n">
        <f aca="false">IF($B333="",0,SUMIFS('Zoho Dump'!$X$8:$X$3007,'Zoho Dump'!$N$8:$N$3007,$B333,'Zoho Dump'!$P$8:$P$3007,Settings!$A$14)+SUMIFS(Adjustments!$K$8:$K$207,Adjustments!$B$8:$B$207,$B333,Adjustments!$A$8:$A$207,Settings!$A$14))</f>
        <v>0</v>
      </c>
      <c r="N333" s="17" t="n">
        <f aca="false">IF($B333="",0,SUMIFS('Zoho Dump'!$X$8:$X$3007,'Zoho Dump'!$N$8:$N$3007,$B333,'Zoho Dump'!$P$8:$P$3007,Settings!$A$15)+SUMIFS(Adjustments!$K$8:$K$207,Adjustments!$B$8:$B$207,$B333,Adjustments!$A$8:$A$207,Settings!$A$15))</f>
        <v>0</v>
      </c>
      <c r="O333" s="17" t="n">
        <f aca="false">IF($B333="",0,SUMIFS('Zoho Dump'!$X$8:$X$3007,'Zoho Dump'!$N$8:$N$3007,$B333,'Zoho Dump'!$P$8:$P$3007,Settings!$A$16)+SUMIFS(Adjustments!$K$8:$K$207,Adjustments!$B$8:$B$207,$B333,Adjustments!$A$8:$A$207,Settings!$A$16))</f>
        <v>0</v>
      </c>
      <c r="P333" s="17" t="n">
        <f aca="false">IF($B333="",0,SUMIFS('Zoho Dump'!$X$8:$X$3007,'Zoho Dump'!$N$8:$N$3007,$B333,'Zoho Dump'!$P$8:$P$3007,Settings!$A$17)+SUMIFS(Adjustments!$K$8:$K$207,Adjustments!$B$8:$B$207,$B333,Adjustments!$A$8:$A$207,Settings!$A$17))</f>
        <v>0</v>
      </c>
      <c r="Q333" s="17" t="n">
        <f aca="false">IF($B333="",0,SUMIFS('Zoho Dump'!$X$8:$X$3007,'Zoho Dump'!$N$8:$N$3007,$B333,'Zoho Dump'!$P$8:$P$3007,Settings!$A$18)+SUMIFS(Adjustments!$K$8:$K$207,Adjustments!$B$8:$B$207,$B333,Adjustments!$A$8:$A$207,Settings!$A$18))</f>
        <v>0</v>
      </c>
      <c r="R333" s="30" t="str">
        <f aca="false">IF(G333&gt;0,G333+A333/10000000,"")</f>
        <v/>
      </c>
    </row>
    <row r="334" customFormat="false" ht="15" hidden="false" customHeight="false" outlineLevel="0" collapsed="false">
      <c r="A334" s="9" t="n">
        <v>330</v>
      </c>
      <c r="B334" s="9" t="str">
        <f aca="false">IFERROR(INDEX('Zoho Dump'!$N$8:$N$3007,MATCH(A334,'Zoho Dump'!$AB$8:$AB$3007,0)),"")</f>
        <v/>
      </c>
      <c r="C334" s="17" t="n">
        <f aca="false">IF($B334="",0,SUMIFS('Zoho Dump'!$Q$8:$Q$3007,'Zoho Dump'!$N$8:$N$3007,$B334,'Zoho Dump'!$T$8:$T$3007,"Delivered",'Zoho Dump'!$R$8:$R$3007,"&gt;="&amp;Settings!$B$4))</f>
        <v>0</v>
      </c>
      <c r="D334" s="17" t="n">
        <f aca="false">IF($B334="",0,SUMIFS('Zoho Dump'!$X$8:$X$3007,'Zoho Dump'!$N$8:$N$3007,$B334,'Zoho Dump'!$T$8:$T$3007,"Backlog")+SUMIFS(Adjustments!$K$8:$K$207,Adjustments!$B$8:$B$207,$B334,Adjustments!$H$8:$H$207,"Backlog"))</f>
        <v>0</v>
      </c>
      <c r="E334" s="17" t="n">
        <f aca="false">IF($B334="",0,SUMIFS('Zoho Dump'!$Y$8:$Y$3007,'Zoho Dump'!$N$8:$N$3007,$B334,'Zoho Dump'!$T$8:$T$3007,"Pipeline")+SUMIFS(Adjustments!$L$8:$L$207,Adjustments!$B$8:$B$207,$B334,Adjustments!$H$8:$H$207,"Pipeline")+SUMIFS('Zoho Dump'!$Y$8:$Y$3007,'Zoho Dump'!$N$8:$N$3007,$B334,'Zoho Dump'!$T$8:$T$3007,"Overdue")+SUMIFS(Adjustments!$L$8:$L$207,Adjustments!$B$8:$B$207,$B334,Adjustments!$H$8:$H$207,"Overdue"))</f>
        <v>0</v>
      </c>
      <c r="F334" s="17" t="n">
        <f aca="false">IF($B334="",0,SUMIFS('Zoho Dump'!$X$8:$X$3007,'Zoho Dump'!$N$8:$N$3007,$B334,'Zoho Dump'!$T$8:$T$3007,"Pipeline")+SUMIFS(Adjustments!$K$8:$K$207,Adjustments!$B$8:$B$207,$B334,Adjustments!$H$8:$H$207,"Pipeline")+SUMIFS('Zoho Dump'!$X$8:$X$3007,'Zoho Dump'!$N$8:$N$3007,$B334,'Zoho Dump'!$T$8:$T$3007,"Overdue")+SUMIFS(Adjustments!$K$8:$K$207,Adjustments!$B$8:$B$207,$B334,Adjustments!$H$8:$H$207,"Overdue"))</f>
        <v>0</v>
      </c>
      <c r="G334" s="17" t="n">
        <f aca="false">D334+F334</f>
        <v>0</v>
      </c>
      <c r="H334" s="18" t="n">
        <f aca="false">IF(SUM($G$5:$G$404)=0,0,G334/SUM($G$5:$G$404))</f>
        <v>0</v>
      </c>
      <c r="I334" s="17" t="n">
        <f aca="false">IF($B334="",0,SUMIFS('Zoho Dump'!$Q$8:$Q$3007,'Zoho Dump'!$N$8:$N$3007,$B334,'Zoho Dump'!$T$8:$T$3007,"Lost",'Zoho Dump'!$R$8:$R$3007,"&gt;="&amp;Settings!$B$4))</f>
        <v>0</v>
      </c>
      <c r="J334" s="9" t="str">
        <f aca="false">IF($B334="","",IF(COUNTIF(Dashboard!$C$13:$C$22,$B334)&gt;0,"Yes",""))</f>
        <v/>
      </c>
      <c r="K334" s="17" t="n">
        <f aca="false">IF($B334="",0,SUMIFS('Zoho Dump'!$X$8:$X$3007,'Zoho Dump'!$N$8:$N$3007,$B334,'Zoho Dump'!$P$8:$P$3007,Settings!$A$12)+SUMIFS(Adjustments!$K$8:$K$207,Adjustments!$B$8:$B$207,$B334,Adjustments!$A$8:$A$207,Settings!$A$12))</f>
        <v>0</v>
      </c>
      <c r="L334" s="17" t="n">
        <f aca="false">IF($B334="",0,SUMIFS('Zoho Dump'!$X$8:$X$3007,'Zoho Dump'!$N$8:$N$3007,$B334,'Zoho Dump'!$P$8:$P$3007,Settings!$A$13)+SUMIFS(Adjustments!$K$8:$K$207,Adjustments!$B$8:$B$207,$B334,Adjustments!$A$8:$A$207,Settings!$A$13))</f>
        <v>0</v>
      </c>
      <c r="M334" s="17" t="n">
        <f aca="false">IF($B334="",0,SUMIFS('Zoho Dump'!$X$8:$X$3007,'Zoho Dump'!$N$8:$N$3007,$B334,'Zoho Dump'!$P$8:$P$3007,Settings!$A$14)+SUMIFS(Adjustments!$K$8:$K$207,Adjustments!$B$8:$B$207,$B334,Adjustments!$A$8:$A$207,Settings!$A$14))</f>
        <v>0</v>
      </c>
      <c r="N334" s="17" t="n">
        <f aca="false">IF($B334="",0,SUMIFS('Zoho Dump'!$X$8:$X$3007,'Zoho Dump'!$N$8:$N$3007,$B334,'Zoho Dump'!$P$8:$P$3007,Settings!$A$15)+SUMIFS(Adjustments!$K$8:$K$207,Adjustments!$B$8:$B$207,$B334,Adjustments!$A$8:$A$207,Settings!$A$15))</f>
        <v>0</v>
      </c>
      <c r="O334" s="17" t="n">
        <f aca="false">IF($B334="",0,SUMIFS('Zoho Dump'!$X$8:$X$3007,'Zoho Dump'!$N$8:$N$3007,$B334,'Zoho Dump'!$P$8:$P$3007,Settings!$A$16)+SUMIFS(Adjustments!$K$8:$K$207,Adjustments!$B$8:$B$207,$B334,Adjustments!$A$8:$A$207,Settings!$A$16))</f>
        <v>0</v>
      </c>
      <c r="P334" s="17" t="n">
        <f aca="false">IF($B334="",0,SUMIFS('Zoho Dump'!$X$8:$X$3007,'Zoho Dump'!$N$8:$N$3007,$B334,'Zoho Dump'!$P$8:$P$3007,Settings!$A$17)+SUMIFS(Adjustments!$K$8:$K$207,Adjustments!$B$8:$B$207,$B334,Adjustments!$A$8:$A$207,Settings!$A$17))</f>
        <v>0</v>
      </c>
      <c r="Q334" s="17" t="n">
        <f aca="false">IF($B334="",0,SUMIFS('Zoho Dump'!$X$8:$X$3007,'Zoho Dump'!$N$8:$N$3007,$B334,'Zoho Dump'!$P$8:$P$3007,Settings!$A$18)+SUMIFS(Adjustments!$K$8:$K$207,Adjustments!$B$8:$B$207,$B334,Adjustments!$A$8:$A$207,Settings!$A$18))</f>
        <v>0</v>
      </c>
      <c r="R334" s="30" t="str">
        <f aca="false">IF(G334&gt;0,G334+A334/10000000,"")</f>
        <v/>
      </c>
    </row>
    <row r="335" customFormat="false" ht="15" hidden="false" customHeight="false" outlineLevel="0" collapsed="false">
      <c r="A335" s="9" t="n">
        <v>331</v>
      </c>
      <c r="B335" s="9" t="str">
        <f aca="false">IFERROR(INDEX('Zoho Dump'!$N$8:$N$3007,MATCH(A335,'Zoho Dump'!$AB$8:$AB$3007,0)),"")</f>
        <v/>
      </c>
      <c r="C335" s="17" t="n">
        <f aca="false">IF($B335="",0,SUMIFS('Zoho Dump'!$Q$8:$Q$3007,'Zoho Dump'!$N$8:$N$3007,$B335,'Zoho Dump'!$T$8:$T$3007,"Delivered",'Zoho Dump'!$R$8:$R$3007,"&gt;="&amp;Settings!$B$4))</f>
        <v>0</v>
      </c>
      <c r="D335" s="17" t="n">
        <f aca="false">IF($B335="",0,SUMIFS('Zoho Dump'!$X$8:$X$3007,'Zoho Dump'!$N$8:$N$3007,$B335,'Zoho Dump'!$T$8:$T$3007,"Backlog")+SUMIFS(Adjustments!$K$8:$K$207,Adjustments!$B$8:$B$207,$B335,Adjustments!$H$8:$H$207,"Backlog"))</f>
        <v>0</v>
      </c>
      <c r="E335" s="17" t="n">
        <f aca="false">IF($B335="",0,SUMIFS('Zoho Dump'!$Y$8:$Y$3007,'Zoho Dump'!$N$8:$N$3007,$B335,'Zoho Dump'!$T$8:$T$3007,"Pipeline")+SUMIFS(Adjustments!$L$8:$L$207,Adjustments!$B$8:$B$207,$B335,Adjustments!$H$8:$H$207,"Pipeline")+SUMIFS('Zoho Dump'!$Y$8:$Y$3007,'Zoho Dump'!$N$8:$N$3007,$B335,'Zoho Dump'!$T$8:$T$3007,"Overdue")+SUMIFS(Adjustments!$L$8:$L$207,Adjustments!$B$8:$B$207,$B335,Adjustments!$H$8:$H$207,"Overdue"))</f>
        <v>0</v>
      </c>
      <c r="F335" s="17" t="n">
        <f aca="false">IF($B335="",0,SUMIFS('Zoho Dump'!$X$8:$X$3007,'Zoho Dump'!$N$8:$N$3007,$B335,'Zoho Dump'!$T$8:$T$3007,"Pipeline")+SUMIFS(Adjustments!$K$8:$K$207,Adjustments!$B$8:$B$207,$B335,Adjustments!$H$8:$H$207,"Pipeline")+SUMIFS('Zoho Dump'!$X$8:$X$3007,'Zoho Dump'!$N$8:$N$3007,$B335,'Zoho Dump'!$T$8:$T$3007,"Overdue")+SUMIFS(Adjustments!$K$8:$K$207,Adjustments!$B$8:$B$207,$B335,Adjustments!$H$8:$H$207,"Overdue"))</f>
        <v>0</v>
      </c>
      <c r="G335" s="17" t="n">
        <f aca="false">D335+F335</f>
        <v>0</v>
      </c>
      <c r="H335" s="18" t="n">
        <f aca="false">IF(SUM($G$5:$G$404)=0,0,G335/SUM($G$5:$G$404))</f>
        <v>0</v>
      </c>
      <c r="I335" s="17" t="n">
        <f aca="false">IF($B335="",0,SUMIFS('Zoho Dump'!$Q$8:$Q$3007,'Zoho Dump'!$N$8:$N$3007,$B335,'Zoho Dump'!$T$8:$T$3007,"Lost",'Zoho Dump'!$R$8:$R$3007,"&gt;="&amp;Settings!$B$4))</f>
        <v>0</v>
      </c>
      <c r="J335" s="9" t="str">
        <f aca="false">IF($B335="","",IF(COUNTIF(Dashboard!$C$13:$C$22,$B335)&gt;0,"Yes",""))</f>
        <v/>
      </c>
      <c r="K335" s="17" t="n">
        <f aca="false">IF($B335="",0,SUMIFS('Zoho Dump'!$X$8:$X$3007,'Zoho Dump'!$N$8:$N$3007,$B335,'Zoho Dump'!$P$8:$P$3007,Settings!$A$12)+SUMIFS(Adjustments!$K$8:$K$207,Adjustments!$B$8:$B$207,$B335,Adjustments!$A$8:$A$207,Settings!$A$12))</f>
        <v>0</v>
      </c>
      <c r="L335" s="17" t="n">
        <f aca="false">IF($B335="",0,SUMIFS('Zoho Dump'!$X$8:$X$3007,'Zoho Dump'!$N$8:$N$3007,$B335,'Zoho Dump'!$P$8:$P$3007,Settings!$A$13)+SUMIFS(Adjustments!$K$8:$K$207,Adjustments!$B$8:$B$207,$B335,Adjustments!$A$8:$A$207,Settings!$A$13))</f>
        <v>0</v>
      </c>
      <c r="M335" s="17" t="n">
        <f aca="false">IF($B335="",0,SUMIFS('Zoho Dump'!$X$8:$X$3007,'Zoho Dump'!$N$8:$N$3007,$B335,'Zoho Dump'!$P$8:$P$3007,Settings!$A$14)+SUMIFS(Adjustments!$K$8:$K$207,Adjustments!$B$8:$B$207,$B335,Adjustments!$A$8:$A$207,Settings!$A$14))</f>
        <v>0</v>
      </c>
      <c r="N335" s="17" t="n">
        <f aca="false">IF($B335="",0,SUMIFS('Zoho Dump'!$X$8:$X$3007,'Zoho Dump'!$N$8:$N$3007,$B335,'Zoho Dump'!$P$8:$P$3007,Settings!$A$15)+SUMIFS(Adjustments!$K$8:$K$207,Adjustments!$B$8:$B$207,$B335,Adjustments!$A$8:$A$207,Settings!$A$15))</f>
        <v>0</v>
      </c>
      <c r="O335" s="17" t="n">
        <f aca="false">IF($B335="",0,SUMIFS('Zoho Dump'!$X$8:$X$3007,'Zoho Dump'!$N$8:$N$3007,$B335,'Zoho Dump'!$P$8:$P$3007,Settings!$A$16)+SUMIFS(Adjustments!$K$8:$K$207,Adjustments!$B$8:$B$207,$B335,Adjustments!$A$8:$A$207,Settings!$A$16))</f>
        <v>0</v>
      </c>
      <c r="P335" s="17" t="n">
        <f aca="false">IF($B335="",0,SUMIFS('Zoho Dump'!$X$8:$X$3007,'Zoho Dump'!$N$8:$N$3007,$B335,'Zoho Dump'!$P$8:$P$3007,Settings!$A$17)+SUMIFS(Adjustments!$K$8:$K$207,Adjustments!$B$8:$B$207,$B335,Adjustments!$A$8:$A$207,Settings!$A$17))</f>
        <v>0</v>
      </c>
      <c r="Q335" s="17" t="n">
        <f aca="false">IF($B335="",0,SUMIFS('Zoho Dump'!$X$8:$X$3007,'Zoho Dump'!$N$8:$N$3007,$B335,'Zoho Dump'!$P$8:$P$3007,Settings!$A$18)+SUMIFS(Adjustments!$K$8:$K$207,Adjustments!$B$8:$B$207,$B335,Adjustments!$A$8:$A$207,Settings!$A$18))</f>
        <v>0</v>
      </c>
      <c r="R335" s="30" t="str">
        <f aca="false">IF(G335&gt;0,G335+A335/10000000,"")</f>
        <v/>
      </c>
    </row>
    <row r="336" customFormat="false" ht="15" hidden="false" customHeight="false" outlineLevel="0" collapsed="false">
      <c r="A336" s="9" t="n">
        <v>332</v>
      </c>
      <c r="B336" s="9" t="str">
        <f aca="false">IFERROR(INDEX('Zoho Dump'!$N$8:$N$3007,MATCH(A336,'Zoho Dump'!$AB$8:$AB$3007,0)),"")</f>
        <v/>
      </c>
      <c r="C336" s="17" t="n">
        <f aca="false">IF($B336="",0,SUMIFS('Zoho Dump'!$Q$8:$Q$3007,'Zoho Dump'!$N$8:$N$3007,$B336,'Zoho Dump'!$T$8:$T$3007,"Delivered",'Zoho Dump'!$R$8:$R$3007,"&gt;="&amp;Settings!$B$4))</f>
        <v>0</v>
      </c>
      <c r="D336" s="17" t="n">
        <f aca="false">IF($B336="",0,SUMIFS('Zoho Dump'!$X$8:$X$3007,'Zoho Dump'!$N$8:$N$3007,$B336,'Zoho Dump'!$T$8:$T$3007,"Backlog")+SUMIFS(Adjustments!$K$8:$K$207,Adjustments!$B$8:$B$207,$B336,Adjustments!$H$8:$H$207,"Backlog"))</f>
        <v>0</v>
      </c>
      <c r="E336" s="17" t="n">
        <f aca="false">IF($B336="",0,SUMIFS('Zoho Dump'!$Y$8:$Y$3007,'Zoho Dump'!$N$8:$N$3007,$B336,'Zoho Dump'!$T$8:$T$3007,"Pipeline")+SUMIFS(Adjustments!$L$8:$L$207,Adjustments!$B$8:$B$207,$B336,Adjustments!$H$8:$H$207,"Pipeline")+SUMIFS('Zoho Dump'!$Y$8:$Y$3007,'Zoho Dump'!$N$8:$N$3007,$B336,'Zoho Dump'!$T$8:$T$3007,"Overdue")+SUMIFS(Adjustments!$L$8:$L$207,Adjustments!$B$8:$B$207,$B336,Adjustments!$H$8:$H$207,"Overdue"))</f>
        <v>0</v>
      </c>
      <c r="F336" s="17" t="n">
        <f aca="false">IF($B336="",0,SUMIFS('Zoho Dump'!$X$8:$X$3007,'Zoho Dump'!$N$8:$N$3007,$B336,'Zoho Dump'!$T$8:$T$3007,"Pipeline")+SUMIFS(Adjustments!$K$8:$K$207,Adjustments!$B$8:$B$207,$B336,Adjustments!$H$8:$H$207,"Pipeline")+SUMIFS('Zoho Dump'!$X$8:$X$3007,'Zoho Dump'!$N$8:$N$3007,$B336,'Zoho Dump'!$T$8:$T$3007,"Overdue")+SUMIFS(Adjustments!$K$8:$K$207,Adjustments!$B$8:$B$207,$B336,Adjustments!$H$8:$H$207,"Overdue"))</f>
        <v>0</v>
      </c>
      <c r="G336" s="17" t="n">
        <f aca="false">D336+F336</f>
        <v>0</v>
      </c>
      <c r="H336" s="18" t="n">
        <f aca="false">IF(SUM($G$5:$G$404)=0,0,G336/SUM($G$5:$G$404))</f>
        <v>0</v>
      </c>
      <c r="I336" s="17" t="n">
        <f aca="false">IF($B336="",0,SUMIFS('Zoho Dump'!$Q$8:$Q$3007,'Zoho Dump'!$N$8:$N$3007,$B336,'Zoho Dump'!$T$8:$T$3007,"Lost",'Zoho Dump'!$R$8:$R$3007,"&gt;="&amp;Settings!$B$4))</f>
        <v>0</v>
      </c>
      <c r="J336" s="9" t="str">
        <f aca="false">IF($B336="","",IF(COUNTIF(Dashboard!$C$13:$C$22,$B336)&gt;0,"Yes",""))</f>
        <v/>
      </c>
      <c r="K336" s="17" t="n">
        <f aca="false">IF($B336="",0,SUMIFS('Zoho Dump'!$X$8:$X$3007,'Zoho Dump'!$N$8:$N$3007,$B336,'Zoho Dump'!$P$8:$P$3007,Settings!$A$12)+SUMIFS(Adjustments!$K$8:$K$207,Adjustments!$B$8:$B$207,$B336,Adjustments!$A$8:$A$207,Settings!$A$12))</f>
        <v>0</v>
      </c>
      <c r="L336" s="17" t="n">
        <f aca="false">IF($B336="",0,SUMIFS('Zoho Dump'!$X$8:$X$3007,'Zoho Dump'!$N$8:$N$3007,$B336,'Zoho Dump'!$P$8:$P$3007,Settings!$A$13)+SUMIFS(Adjustments!$K$8:$K$207,Adjustments!$B$8:$B$207,$B336,Adjustments!$A$8:$A$207,Settings!$A$13))</f>
        <v>0</v>
      </c>
      <c r="M336" s="17" t="n">
        <f aca="false">IF($B336="",0,SUMIFS('Zoho Dump'!$X$8:$X$3007,'Zoho Dump'!$N$8:$N$3007,$B336,'Zoho Dump'!$P$8:$P$3007,Settings!$A$14)+SUMIFS(Adjustments!$K$8:$K$207,Adjustments!$B$8:$B$207,$B336,Adjustments!$A$8:$A$207,Settings!$A$14))</f>
        <v>0</v>
      </c>
      <c r="N336" s="17" t="n">
        <f aca="false">IF($B336="",0,SUMIFS('Zoho Dump'!$X$8:$X$3007,'Zoho Dump'!$N$8:$N$3007,$B336,'Zoho Dump'!$P$8:$P$3007,Settings!$A$15)+SUMIFS(Adjustments!$K$8:$K$207,Adjustments!$B$8:$B$207,$B336,Adjustments!$A$8:$A$207,Settings!$A$15))</f>
        <v>0</v>
      </c>
      <c r="O336" s="17" t="n">
        <f aca="false">IF($B336="",0,SUMIFS('Zoho Dump'!$X$8:$X$3007,'Zoho Dump'!$N$8:$N$3007,$B336,'Zoho Dump'!$P$8:$P$3007,Settings!$A$16)+SUMIFS(Adjustments!$K$8:$K$207,Adjustments!$B$8:$B$207,$B336,Adjustments!$A$8:$A$207,Settings!$A$16))</f>
        <v>0</v>
      </c>
      <c r="P336" s="17" t="n">
        <f aca="false">IF($B336="",0,SUMIFS('Zoho Dump'!$X$8:$X$3007,'Zoho Dump'!$N$8:$N$3007,$B336,'Zoho Dump'!$P$8:$P$3007,Settings!$A$17)+SUMIFS(Adjustments!$K$8:$K$207,Adjustments!$B$8:$B$207,$B336,Adjustments!$A$8:$A$207,Settings!$A$17))</f>
        <v>0</v>
      </c>
      <c r="Q336" s="17" t="n">
        <f aca="false">IF($B336="",0,SUMIFS('Zoho Dump'!$X$8:$X$3007,'Zoho Dump'!$N$8:$N$3007,$B336,'Zoho Dump'!$P$8:$P$3007,Settings!$A$18)+SUMIFS(Adjustments!$K$8:$K$207,Adjustments!$B$8:$B$207,$B336,Adjustments!$A$8:$A$207,Settings!$A$18))</f>
        <v>0</v>
      </c>
      <c r="R336" s="30" t="str">
        <f aca="false">IF(G336&gt;0,G336+A336/10000000,"")</f>
        <v/>
      </c>
    </row>
    <row r="337" customFormat="false" ht="15" hidden="false" customHeight="false" outlineLevel="0" collapsed="false">
      <c r="A337" s="9" t="n">
        <v>333</v>
      </c>
      <c r="B337" s="9" t="str">
        <f aca="false">IFERROR(INDEX('Zoho Dump'!$N$8:$N$3007,MATCH(A337,'Zoho Dump'!$AB$8:$AB$3007,0)),"")</f>
        <v/>
      </c>
      <c r="C337" s="17" t="n">
        <f aca="false">IF($B337="",0,SUMIFS('Zoho Dump'!$Q$8:$Q$3007,'Zoho Dump'!$N$8:$N$3007,$B337,'Zoho Dump'!$T$8:$T$3007,"Delivered",'Zoho Dump'!$R$8:$R$3007,"&gt;="&amp;Settings!$B$4))</f>
        <v>0</v>
      </c>
      <c r="D337" s="17" t="n">
        <f aca="false">IF($B337="",0,SUMIFS('Zoho Dump'!$X$8:$X$3007,'Zoho Dump'!$N$8:$N$3007,$B337,'Zoho Dump'!$T$8:$T$3007,"Backlog")+SUMIFS(Adjustments!$K$8:$K$207,Adjustments!$B$8:$B$207,$B337,Adjustments!$H$8:$H$207,"Backlog"))</f>
        <v>0</v>
      </c>
      <c r="E337" s="17" t="n">
        <f aca="false">IF($B337="",0,SUMIFS('Zoho Dump'!$Y$8:$Y$3007,'Zoho Dump'!$N$8:$N$3007,$B337,'Zoho Dump'!$T$8:$T$3007,"Pipeline")+SUMIFS(Adjustments!$L$8:$L$207,Adjustments!$B$8:$B$207,$B337,Adjustments!$H$8:$H$207,"Pipeline")+SUMIFS('Zoho Dump'!$Y$8:$Y$3007,'Zoho Dump'!$N$8:$N$3007,$B337,'Zoho Dump'!$T$8:$T$3007,"Overdue")+SUMIFS(Adjustments!$L$8:$L$207,Adjustments!$B$8:$B$207,$B337,Adjustments!$H$8:$H$207,"Overdue"))</f>
        <v>0</v>
      </c>
      <c r="F337" s="17" t="n">
        <f aca="false">IF($B337="",0,SUMIFS('Zoho Dump'!$X$8:$X$3007,'Zoho Dump'!$N$8:$N$3007,$B337,'Zoho Dump'!$T$8:$T$3007,"Pipeline")+SUMIFS(Adjustments!$K$8:$K$207,Adjustments!$B$8:$B$207,$B337,Adjustments!$H$8:$H$207,"Pipeline")+SUMIFS('Zoho Dump'!$X$8:$X$3007,'Zoho Dump'!$N$8:$N$3007,$B337,'Zoho Dump'!$T$8:$T$3007,"Overdue")+SUMIFS(Adjustments!$K$8:$K$207,Adjustments!$B$8:$B$207,$B337,Adjustments!$H$8:$H$207,"Overdue"))</f>
        <v>0</v>
      </c>
      <c r="G337" s="17" t="n">
        <f aca="false">D337+F337</f>
        <v>0</v>
      </c>
      <c r="H337" s="18" t="n">
        <f aca="false">IF(SUM($G$5:$G$404)=0,0,G337/SUM($G$5:$G$404))</f>
        <v>0</v>
      </c>
      <c r="I337" s="17" t="n">
        <f aca="false">IF($B337="",0,SUMIFS('Zoho Dump'!$Q$8:$Q$3007,'Zoho Dump'!$N$8:$N$3007,$B337,'Zoho Dump'!$T$8:$T$3007,"Lost",'Zoho Dump'!$R$8:$R$3007,"&gt;="&amp;Settings!$B$4))</f>
        <v>0</v>
      </c>
      <c r="J337" s="9" t="str">
        <f aca="false">IF($B337="","",IF(COUNTIF(Dashboard!$C$13:$C$22,$B337)&gt;0,"Yes",""))</f>
        <v/>
      </c>
      <c r="K337" s="17" t="n">
        <f aca="false">IF($B337="",0,SUMIFS('Zoho Dump'!$X$8:$X$3007,'Zoho Dump'!$N$8:$N$3007,$B337,'Zoho Dump'!$P$8:$P$3007,Settings!$A$12)+SUMIFS(Adjustments!$K$8:$K$207,Adjustments!$B$8:$B$207,$B337,Adjustments!$A$8:$A$207,Settings!$A$12))</f>
        <v>0</v>
      </c>
      <c r="L337" s="17" t="n">
        <f aca="false">IF($B337="",0,SUMIFS('Zoho Dump'!$X$8:$X$3007,'Zoho Dump'!$N$8:$N$3007,$B337,'Zoho Dump'!$P$8:$P$3007,Settings!$A$13)+SUMIFS(Adjustments!$K$8:$K$207,Adjustments!$B$8:$B$207,$B337,Adjustments!$A$8:$A$207,Settings!$A$13))</f>
        <v>0</v>
      </c>
      <c r="M337" s="17" t="n">
        <f aca="false">IF($B337="",0,SUMIFS('Zoho Dump'!$X$8:$X$3007,'Zoho Dump'!$N$8:$N$3007,$B337,'Zoho Dump'!$P$8:$P$3007,Settings!$A$14)+SUMIFS(Adjustments!$K$8:$K$207,Adjustments!$B$8:$B$207,$B337,Adjustments!$A$8:$A$207,Settings!$A$14))</f>
        <v>0</v>
      </c>
      <c r="N337" s="17" t="n">
        <f aca="false">IF($B337="",0,SUMIFS('Zoho Dump'!$X$8:$X$3007,'Zoho Dump'!$N$8:$N$3007,$B337,'Zoho Dump'!$P$8:$P$3007,Settings!$A$15)+SUMIFS(Adjustments!$K$8:$K$207,Adjustments!$B$8:$B$207,$B337,Adjustments!$A$8:$A$207,Settings!$A$15))</f>
        <v>0</v>
      </c>
      <c r="O337" s="17" t="n">
        <f aca="false">IF($B337="",0,SUMIFS('Zoho Dump'!$X$8:$X$3007,'Zoho Dump'!$N$8:$N$3007,$B337,'Zoho Dump'!$P$8:$P$3007,Settings!$A$16)+SUMIFS(Adjustments!$K$8:$K$207,Adjustments!$B$8:$B$207,$B337,Adjustments!$A$8:$A$207,Settings!$A$16))</f>
        <v>0</v>
      </c>
      <c r="P337" s="17" t="n">
        <f aca="false">IF($B337="",0,SUMIFS('Zoho Dump'!$X$8:$X$3007,'Zoho Dump'!$N$8:$N$3007,$B337,'Zoho Dump'!$P$8:$P$3007,Settings!$A$17)+SUMIFS(Adjustments!$K$8:$K$207,Adjustments!$B$8:$B$207,$B337,Adjustments!$A$8:$A$207,Settings!$A$17))</f>
        <v>0</v>
      </c>
      <c r="Q337" s="17" t="n">
        <f aca="false">IF($B337="",0,SUMIFS('Zoho Dump'!$X$8:$X$3007,'Zoho Dump'!$N$8:$N$3007,$B337,'Zoho Dump'!$P$8:$P$3007,Settings!$A$18)+SUMIFS(Adjustments!$K$8:$K$207,Adjustments!$B$8:$B$207,$B337,Adjustments!$A$8:$A$207,Settings!$A$18))</f>
        <v>0</v>
      </c>
      <c r="R337" s="30" t="str">
        <f aca="false">IF(G337&gt;0,G337+A337/10000000,"")</f>
        <v/>
      </c>
    </row>
    <row r="338" customFormat="false" ht="15" hidden="false" customHeight="false" outlineLevel="0" collapsed="false">
      <c r="A338" s="9" t="n">
        <v>334</v>
      </c>
      <c r="B338" s="9" t="str">
        <f aca="false">IFERROR(INDEX('Zoho Dump'!$N$8:$N$3007,MATCH(A338,'Zoho Dump'!$AB$8:$AB$3007,0)),"")</f>
        <v/>
      </c>
      <c r="C338" s="17" t="n">
        <f aca="false">IF($B338="",0,SUMIFS('Zoho Dump'!$Q$8:$Q$3007,'Zoho Dump'!$N$8:$N$3007,$B338,'Zoho Dump'!$T$8:$T$3007,"Delivered",'Zoho Dump'!$R$8:$R$3007,"&gt;="&amp;Settings!$B$4))</f>
        <v>0</v>
      </c>
      <c r="D338" s="17" t="n">
        <f aca="false">IF($B338="",0,SUMIFS('Zoho Dump'!$X$8:$X$3007,'Zoho Dump'!$N$8:$N$3007,$B338,'Zoho Dump'!$T$8:$T$3007,"Backlog")+SUMIFS(Adjustments!$K$8:$K$207,Adjustments!$B$8:$B$207,$B338,Adjustments!$H$8:$H$207,"Backlog"))</f>
        <v>0</v>
      </c>
      <c r="E338" s="17" t="n">
        <f aca="false">IF($B338="",0,SUMIFS('Zoho Dump'!$Y$8:$Y$3007,'Zoho Dump'!$N$8:$N$3007,$B338,'Zoho Dump'!$T$8:$T$3007,"Pipeline")+SUMIFS(Adjustments!$L$8:$L$207,Adjustments!$B$8:$B$207,$B338,Adjustments!$H$8:$H$207,"Pipeline")+SUMIFS('Zoho Dump'!$Y$8:$Y$3007,'Zoho Dump'!$N$8:$N$3007,$B338,'Zoho Dump'!$T$8:$T$3007,"Overdue")+SUMIFS(Adjustments!$L$8:$L$207,Adjustments!$B$8:$B$207,$B338,Adjustments!$H$8:$H$207,"Overdue"))</f>
        <v>0</v>
      </c>
      <c r="F338" s="17" t="n">
        <f aca="false">IF($B338="",0,SUMIFS('Zoho Dump'!$X$8:$X$3007,'Zoho Dump'!$N$8:$N$3007,$B338,'Zoho Dump'!$T$8:$T$3007,"Pipeline")+SUMIFS(Adjustments!$K$8:$K$207,Adjustments!$B$8:$B$207,$B338,Adjustments!$H$8:$H$207,"Pipeline")+SUMIFS('Zoho Dump'!$X$8:$X$3007,'Zoho Dump'!$N$8:$N$3007,$B338,'Zoho Dump'!$T$8:$T$3007,"Overdue")+SUMIFS(Adjustments!$K$8:$K$207,Adjustments!$B$8:$B$207,$B338,Adjustments!$H$8:$H$207,"Overdue"))</f>
        <v>0</v>
      </c>
      <c r="G338" s="17" t="n">
        <f aca="false">D338+F338</f>
        <v>0</v>
      </c>
      <c r="H338" s="18" t="n">
        <f aca="false">IF(SUM($G$5:$G$404)=0,0,G338/SUM($G$5:$G$404))</f>
        <v>0</v>
      </c>
      <c r="I338" s="17" t="n">
        <f aca="false">IF($B338="",0,SUMIFS('Zoho Dump'!$Q$8:$Q$3007,'Zoho Dump'!$N$8:$N$3007,$B338,'Zoho Dump'!$T$8:$T$3007,"Lost",'Zoho Dump'!$R$8:$R$3007,"&gt;="&amp;Settings!$B$4))</f>
        <v>0</v>
      </c>
      <c r="J338" s="9" t="str">
        <f aca="false">IF($B338="","",IF(COUNTIF(Dashboard!$C$13:$C$22,$B338)&gt;0,"Yes",""))</f>
        <v/>
      </c>
      <c r="K338" s="17" t="n">
        <f aca="false">IF($B338="",0,SUMIFS('Zoho Dump'!$X$8:$X$3007,'Zoho Dump'!$N$8:$N$3007,$B338,'Zoho Dump'!$P$8:$P$3007,Settings!$A$12)+SUMIFS(Adjustments!$K$8:$K$207,Adjustments!$B$8:$B$207,$B338,Adjustments!$A$8:$A$207,Settings!$A$12))</f>
        <v>0</v>
      </c>
      <c r="L338" s="17" t="n">
        <f aca="false">IF($B338="",0,SUMIFS('Zoho Dump'!$X$8:$X$3007,'Zoho Dump'!$N$8:$N$3007,$B338,'Zoho Dump'!$P$8:$P$3007,Settings!$A$13)+SUMIFS(Adjustments!$K$8:$K$207,Adjustments!$B$8:$B$207,$B338,Adjustments!$A$8:$A$207,Settings!$A$13))</f>
        <v>0</v>
      </c>
      <c r="M338" s="17" t="n">
        <f aca="false">IF($B338="",0,SUMIFS('Zoho Dump'!$X$8:$X$3007,'Zoho Dump'!$N$8:$N$3007,$B338,'Zoho Dump'!$P$8:$P$3007,Settings!$A$14)+SUMIFS(Adjustments!$K$8:$K$207,Adjustments!$B$8:$B$207,$B338,Adjustments!$A$8:$A$207,Settings!$A$14))</f>
        <v>0</v>
      </c>
      <c r="N338" s="17" t="n">
        <f aca="false">IF($B338="",0,SUMIFS('Zoho Dump'!$X$8:$X$3007,'Zoho Dump'!$N$8:$N$3007,$B338,'Zoho Dump'!$P$8:$P$3007,Settings!$A$15)+SUMIFS(Adjustments!$K$8:$K$207,Adjustments!$B$8:$B$207,$B338,Adjustments!$A$8:$A$207,Settings!$A$15))</f>
        <v>0</v>
      </c>
      <c r="O338" s="17" t="n">
        <f aca="false">IF($B338="",0,SUMIFS('Zoho Dump'!$X$8:$X$3007,'Zoho Dump'!$N$8:$N$3007,$B338,'Zoho Dump'!$P$8:$P$3007,Settings!$A$16)+SUMIFS(Adjustments!$K$8:$K$207,Adjustments!$B$8:$B$207,$B338,Adjustments!$A$8:$A$207,Settings!$A$16))</f>
        <v>0</v>
      </c>
      <c r="P338" s="17" t="n">
        <f aca="false">IF($B338="",0,SUMIFS('Zoho Dump'!$X$8:$X$3007,'Zoho Dump'!$N$8:$N$3007,$B338,'Zoho Dump'!$P$8:$P$3007,Settings!$A$17)+SUMIFS(Adjustments!$K$8:$K$207,Adjustments!$B$8:$B$207,$B338,Adjustments!$A$8:$A$207,Settings!$A$17))</f>
        <v>0</v>
      </c>
      <c r="Q338" s="17" t="n">
        <f aca="false">IF($B338="",0,SUMIFS('Zoho Dump'!$X$8:$X$3007,'Zoho Dump'!$N$8:$N$3007,$B338,'Zoho Dump'!$P$8:$P$3007,Settings!$A$18)+SUMIFS(Adjustments!$K$8:$K$207,Adjustments!$B$8:$B$207,$B338,Adjustments!$A$8:$A$207,Settings!$A$18))</f>
        <v>0</v>
      </c>
      <c r="R338" s="30" t="str">
        <f aca="false">IF(G338&gt;0,G338+A338/10000000,"")</f>
        <v/>
      </c>
    </row>
    <row r="339" customFormat="false" ht="15" hidden="false" customHeight="false" outlineLevel="0" collapsed="false">
      <c r="A339" s="9" t="n">
        <v>335</v>
      </c>
      <c r="B339" s="9" t="str">
        <f aca="false">IFERROR(INDEX('Zoho Dump'!$N$8:$N$3007,MATCH(A339,'Zoho Dump'!$AB$8:$AB$3007,0)),"")</f>
        <v/>
      </c>
      <c r="C339" s="17" t="n">
        <f aca="false">IF($B339="",0,SUMIFS('Zoho Dump'!$Q$8:$Q$3007,'Zoho Dump'!$N$8:$N$3007,$B339,'Zoho Dump'!$T$8:$T$3007,"Delivered",'Zoho Dump'!$R$8:$R$3007,"&gt;="&amp;Settings!$B$4))</f>
        <v>0</v>
      </c>
      <c r="D339" s="17" t="n">
        <f aca="false">IF($B339="",0,SUMIFS('Zoho Dump'!$X$8:$X$3007,'Zoho Dump'!$N$8:$N$3007,$B339,'Zoho Dump'!$T$8:$T$3007,"Backlog")+SUMIFS(Adjustments!$K$8:$K$207,Adjustments!$B$8:$B$207,$B339,Adjustments!$H$8:$H$207,"Backlog"))</f>
        <v>0</v>
      </c>
      <c r="E339" s="17" t="n">
        <f aca="false">IF($B339="",0,SUMIFS('Zoho Dump'!$Y$8:$Y$3007,'Zoho Dump'!$N$8:$N$3007,$B339,'Zoho Dump'!$T$8:$T$3007,"Pipeline")+SUMIFS(Adjustments!$L$8:$L$207,Adjustments!$B$8:$B$207,$B339,Adjustments!$H$8:$H$207,"Pipeline")+SUMIFS('Zoho Dump'!$Y$8:$Y$3007,'Zoho Dump'!$N$8:$N$3007,$B339,'Zoho Dump'!$T$8:$T$3007,"Overdue")+SUMIFS(Adjustments!$L$8:$L$207,Adjustments!$B$8:$B$207,$B339,Adjustments!$H$8:$H$207,"Overdue"))</f>
        <v>0</v>
      </c>
      <c r="F339" s="17" t="n">
        <f aca="false">IF($B339="",0,SUMIFS('Zoho Dump'!$X$8:$X$3007,'Zoho Dump'!$N$8:$N$3007,$B339,'Zoho Dump'!$T$8:$T$3007,"Pipeline")+SUMIFS(Adjustments!$K$8:$K$207,Adjustments!$B$8:$B$207,$B339,Adjustments!$H$8:$H$207,"Pipeline")+SUMIFS('Zoho Dump'!$X$8:$X$3007,'Zoho Dump'!$N$8:$N$3007,$B339,'Zoho Dump'!$T$8:$T$3007,"Overdue")+SUMIFS(Adjustments!$K$8:$K$207,Adjustments!$B$8:$B$207,$B339,Adjustments!$H$8:$H$207,"Overdue"))</f>
        <v>0</v>
      </c>
      <c r="G339" s="17" t="n">
        <f aca="false">D339+F339</f>
        <v>0</v>
      </c>
      <c r="H339" s="18" t="n">
        <f aca="false">IF(SUM($G$5:$G$404)=0,0,G339/SUM($G$5:$G$404))</f>
        <v>0</v>
      </c>
      <c r="I339" s="17" t="n">
        <f aca="false">IF($B339="",0,SUMIFS('Zoho Dump'!$Q$8:$Q$3007,'Zoho Dump'!$N$8:$N$3007,$B339,'Zoho Dump'!$T$8:$T$3007,"Lost",'Zoho Dump'!$R$8:$R$3007,"&gt;="&amp;Settings!$B$4))</f>
        <v>0</v>
      </c>
      <c r="J339" s="9" t="str">
        <f aca="false">IF($B339="","",IF(COUNTIF(Dashboard!$C$13:$C$22,$B339)&gt;0,"Yes",""))</f>
        <v/>
      </c>
      <c r="K339" s="17" t="n">
        <f aca="false">IF($B339="",0,SUMIFS('Zoho Dump'!$X$8:$X$3007,'Zoho Dump'!$N$8:$N$3007,$B339,'Zoho Dump'!$P$8:$P$3007,Settings!$A$12)+SUMIFS(Adjustments!$K$8:$K$207,Adjustments!$B$8:$B$207,$B339,Adjustments!$A$8:$A$207,Settings!$A$12))</f>
        <v>0</v>
      </c>
      <c r="L339" s="17" t="n">
        <f aca="false">IF($B339="",0,SUMIFS('Zoho Dump'!$X$8:$X$3007,'Zoho Dump'!$N$8:$N$3007,$B339,'Zoho Dump'!$P$8:$P$3007,Settings!$A$13)+SUMIFS(Adjustments!$K$8:$K$207,Adjustments!$B$8:$B$207,$B339,Adjustments!$A$8:$A$207,Settings!$A$13))</f>
        <v>0</v>
      </c>
      <c r="M339" s="17" t="n">
        <f aca="false">IF($B339="",0,SUMIFS('Zoho Dump'!$X$8:$X$3007,'Zoho Dump'!$N$8:$N$3007,$B339,'Zoho Dump'!$P$8:$P$3007,Settings!$A$14)+SUMIFS(Adjustments!$K$8:$K$207,Adjustments!$B$8:$B$207,$B339,Adjustments!$A$8:$A$207,Settings!$A$14))</f>
        <v>0</v>
      </c>
      <c r="N339" s="17" t="n">
        <f aca="false">IF($B339="",0,SUMIFS('Zoho Dump'!$X$8:$X$3007,'Zoho Dump'!$N$8:$N$3007,$B339,'Zoho Dump'!$P$8:$P$3007,Settings!$A$15)+SUMIFS(Adjustments!$K$8:$K$207,Adjustments!$B$8:$B$207,$B339,Adjustments!$A$8:$A$207,Settings!$A$15))</f>
        <v>0</v>
      </c>
      <c r="O339" s="17" t="n">
        <f aca="false">IF($B339="",0,SUMIFS('Zoho Dump'!$X$8:$X$3007,'Zoho Dump'!$N$8:$N$3007,$B339,'Zoho Dump'!$P$8:$P$3007,Settings!$A$16)+SUMIFS(Adjustments!$K$8:$K$207,Adjustments!$B$8:$B$207,$B339,Adjustments!$A$8:$A$207,Settings!$A$16))</f>
        <v>0</v>
      </c>
      <c r="P339" s="17" t="n">
        <f aca="false">IF($B339="",0,SUMIFS('Zoho Dump'!$X$8:$X$3007,'Zoho Dump'!$N$8:$N$3007,$B339,'Zoho Dump'!$P$8:$P$3007,Settings!$A$17)+SUMIFS(Adjustments!$K$8:$K$207,Adjustments!$B$8:$B$207,$B339,Adjustments!$A$8:$A$207,Settings!$A$17))</f>
        <v>0</v>
      </c>
      <c r="Q339" s="17" t="n">
        <f aca="false">IF($B339="",0,SUMIFS('Zoho Dump'!$X$8:$X$3007,'Zoho Dump'!$N$8:$N$3007,$B339,'Zoho Dump'!$P$8:$P$3007,Settings!$A$18)+SUMIFS(Adjustments!$K$8:$K$207,Adjustments!$B$8:$B$207,$B339,Adjustments!$A$8:$A$207,Settings!$A$18))</f>
        <v>0</v>
      </c>
      <c r="R339" s="30" t="str">
        <f aca="false">IF(G339&gt;0,G339+A339/10000000,"")</f>
        <v/>
      </c>
    </row>
    <row r="340" customFormat="false" ht="15" hidden="false" customHeight="false" outlineLevel="0" collapsed="false">
      <c r="A340" s="9" t="n">
        <v>336</v>
      </c>
      <c r="B340" s="9" t="str">
        <f aca="false">IFERROR(INDEX('Zoho Dump'!$N$8:$N$3007,MATCH(A340,'Zoho Dump'!$AB$8:$AB$3007,0)),"")</f>
        <v/>
      </c>
      <c r="C340" s="17" t="n">
        <f aca="false">IF($B340="",0,SUMIFS('Zoho Dump'!$Q$8:$Q$3007,'Zoho Dump'!$N$8:$N$3007,$B340,'Zoho Dump'!$T$8:$T$3007,"Delivered",'Zoho Dump'!$R$8:$R$3007,"&gt;="&amp;Settings!$B$4))</f>
        <v>0</v>
      </c>
      <c r="D340" s="17" t="n">
        <f aca="false">IF($B340="",0,SUMIFS('Zoho Dump'!$X$8:$X$3007,'Zoho Dump'!$N$8:$N$3007,$B340,'Zoho Dump'!$T$8:$T$3007,"Backlog")+SUMIFS(Adjustments!$K$8:$K$207,Adjustments!$B$8:$B$207,$B340,Adjustments!$H$8:$H$207,"Backlog"))</f>
        <v>0</v>
      </c>
      <c r="E340" s="17" t="n">
        <f aca="false">IF($B340="",0,SUMIFS('Zoho Dump'!$Y$8:$Y$3007,'Zoho Dump'!$N$8:$N$3007,$B340,'Zoho Dump'!$T$8:$T$3007,"Pipeline")+SUMIFS(Adjustments!$L$8:$L$207,Adjustments!$B$8:$B$207,$B340,Adjustments!$H$8:$H$207,"Pipeline")+SUMIFS('Zoho Dump'!$Y$8:$Y$3007,'Zoho Dump'!$N$8:$N$3007,$B340,'Zoho Dump'!$T$8:$T$3007,"Overdue")+SUMIFS(Adjustments!$L$8:$L$207,Adjustments!$B$8:$B$207,$B340,Adjustments!$H$8:$H$207,"Overdue"))</f>
        <v>0</v>
      </c>
      <c r="F340" s="17" t="n">
        <f aca="false">IF($B340="",0,SUMIFS('Zoho Dump'!$X$8:$X$3007,'Zoho Dump'!$N$8:$N$3007,$B340,'Zoho Dump'!$T$8:$T$3007,"Pipeline")+SUMIFS(Adjustments!$K$8:$K$207,Adjustments!$B$8:$B$207,$B340,Adjustments!$H$8:$H$207,"Pipeline")+SUMIFS('Zoho Dump'!$X$8:$X$3007,'Zoho Dump'!$N$8:$N$3007,$B340,'Zoho Dump'!$T$8:$T$3007,"Overdue")+SUMIFS(Adjustments!$K$8:$K$207,Adjustments!$B$8:$B$207,$B340,Adjustments!$H$8:$H$207,"Overdue"))</f>
        <v>0</v>
      </c>
      <c r="G340" s="17" t="n">
        <f aca="false">D340+F340</f>
        <v>0</v>
      </c>
      <c r="H340" s="18" t="n">
        <f aca="false">IF(SUM($G$5:$G$404)=0,0,G340/SUM($G$5:$G$404))</f>
        <v>0</v>
      </c>
      <c r="I340" s="17" t="n">
        <f aca="false">IF($B340="",0,SUMIFS('Zoho Dump'!$Q$8:$Q$3007,'Zoho Dump'!$N$8:$N$3007,$B340,'Zoho Dump'!$T$8:$T$3007,"Lost",'Zoho Dump'!$R$8:$R$3007,"&gt;="&amp;Settings!$B$4))</f>
        <v>0</v>
      </c>
      <c r="J340" s="9" t="str">
        <f aca="false">IF($B340="","",IF(COUNTIF(Dashboard!$C$13:$C$22,$B340)&gt;0,"Yes",""))</f>
        <v/>
      </c>
      <c r="K340" s="17" t="n">
        <f aca="false">IF($B340="",0,SUMIFS('Zoho Dump'!$X$8:$X$3007,'Zoho Dump'!$N$8:$N$3007,$B340,'Zoho Dump'!$P$8:$P$3007,Settings!$A$12)+SUMIFS(Adjustments!$K$8:$K$207,Adjustments!$B$8:$B$207,$B340,Adjustments!$A$8:$A$207,Settings!$A$12))</f>
        <v>0</v>
      </c>
      <c r="L340" s="17" t="n">
        <f aca="false">IF($B340="",0,SUMIFS('Zoho Dump'!$X$8:$X$3007,'Zoho Dump'!$N$8:$N$3007,$B340,'Zoho Dump'!$P$8:$P$3007,Settings!$A$13)+SUMIFS(Adjustments!$K$8:$K$207,Adjustments!$B$8:$B$207,$B340,Adjustments!$A$8:$A$207,Settings!$A$13))</f>
        <v>0</v>
      </c>
      <c r="M340" s="17" t="n">
        <f aca="false">IF($B340="",0,SUMIFS('Zoho Dump'!$X$8:$X$3007,'Zoho Dump'!$N$8:$N$3007,$B340,'Zoho Dump'!$P$8:$P$3007,Settings!$A$14)+SUMIFS(Adjustments!$K$8:$K$207,Adjustments!$B$8:$B$207,$B340,Adjustments!$A$8:$A$207,Settings!$A$14))</f>
        <v>0</v>
      </c>
      <c r="N340" s="17" t="n">
        <f aca="false">IF($B340="",0,SUMIFS('Zoho Dump'!$X$8:$X$3007,'Zoho Dump'!$N$8:$N$3007,$B340,'Zoho Dump'!$P$8:$P$3007,Settings!$A$15)+SUMIFS(Adjustments!$K$8:$K$207,Adjustments!$B$8:$B$207,$B340,Adjustments!$A$8:$A$207,Settings!$A$15))</f>
        <v>0</v>
      </c>
      <c r="O340" s="17" t="n">
        <f aca="false">IF($B340="",0,SUMIFS('Zoho Dump'!$X$8:$X$3007,'Zoho Dump'!$N$8:$N$3007,$B340,'Zoho Dump'!$P$8:$P$3007,Settings!$A$16)+SUMIFS(Adjustments!$K$8:$K$207,Adjustments!$B$8:$B$207,$B340,Adjustments!$A$8:$A$207,Settings!$A$16))</f>
        <v>0</v>
      </c>
      <c r="P340" s="17" t="n">
        <f aca="false">IF($B340="",0,SUMIFS('Zoho Dump'!$X$8:$X$3007,'Zoho Dump'!$N$8:$N$3007,$B340,'Zoho Dump'!$P$8:$P$3007,Settings!$A$17)+SUMIFS(Adjustments!$K$8:$K$207,Adjustments!$B$8:$B$207,$B340,Adjustments!$A$8:$A$207,Settings!$A$17))</f>
        <v>0</v>
      </c>
      <c r="Q340" s="17" t="n">
        <f aca="false">IF($B340="",0,SUMIFS('Zoho Dump'!$X$8:$X$3007,'Zoho Dump'!$N$8:$N$3007,$B340,'Zoho Dump'!$P$8:$P$3007,Settings!$A$18)+SUMIFS(Adjustments!$K$8:$K$207,Adjustments!$B$8:$B$207,$B340,Adjustments!$A$8:$A$207,Settings!$A$18))</f>
        <v>0</v>
      </c>
      <c r="R340" s="30" t="str">
        <f aca="false">IF(G340&gt;0,G340+A340/10000000,"")</f>
        <v/>
      </c>
    </row>
    <row r="341" customFormat="false" ht="15" hidden="false" customHeight="false" outlineLevel="0" collapsed="false">
      <c r="A341" s="9" t="n">
        <v>337</v>
      </c>
      <c r="B341" s="9" t="str">
        <f aca="false">IFERROR(INDEX('Zoho Dump'!$N$8:$N$3007,MATCH(A341,'Zoho Dump'!$AB$8:$AB$3007,0)),"")</f>
        <v/>
      </c>
      <c r="C341" s="17" t="n">
        <f aca="false">IF($B341="",0,SUMIFS('Zoho Dump'!$Q$8:$Q$3007,'Zoho Dump'!$N$8:$N$3007,$B341,'Zoho Dump'!$T$8:$T$3007,"Delivered",'Zoho Dump'!$R$8:$R$3007,"&gt;="&amp;Settings!$B$4))</f>
        <v>0</v>
      </c>
      <c r="D341" s="17" t="n">
        <f aca="false">IF($B341="",0,SUMIFS('Zoho Dump'!$X$8:$X$3007,'Zoho Dump'!$N$8:$N$3007,$B341,'Zoho Dump'!$T$8:$T$3007,"Backlog")+SUMIFS(Adjustments!$K$8:$K$207,Adjustments!$B$8:$B$207,$B341,Adjustments!$H$8:$H$207,"Backlog"))</f>
        <v>0</v>
      </c>
      <c r="E341" s="17" t="n">
        <f aca="false">IF($B341="",0,SUMIFS('Zoho Dump'!$Y$8:$Y$3007,'Zoho Dump'!$N$8:$N$3007,$B341,'Zoho Dump'!$T$8:$T$3007,"Pipeline")+SUMIFS(Adjustments!$L$8:$L$207,Adjustments!$B$8:$B$207,$B341,Adjustments!$H$8:$H$207,"Pipeline")+SUMIFS('Zoho Dump'!$Y$8:$Y$3007,'Zoho Dump'!$N$8:$N$3007,$B341,'Zoho Dump'!$T$8:$T$3007,"Overdue")+SUMIFS(Adjustments!$L$8:$L$207,Adjustments!$B$8:$B$207,$B341,Adjustments!$H$8:$H$207,"Overdue"))</f>
        <v>0</v>
      </c>
      <c r="F341" s="17" t="n">
        <f aca="false">IF($B341="",0,SUMIFS('Zoho Dump'!$X$8:$X$3007,'Zoho Dump'!$N$8:$N$3007,$B341,'Zoho Dump'!$T$8:$T$3007,"Pipeline")+SUMIFS(Adjustments!$K$8:$K$207,Adjustments!$B$8:$B$207,$B341,Adjustments!$H$8:$H$207,"Pipeline")+SUMIFS('Zoho Dump'!$X$8:$X$3007,'Zoho Dump'!$N$8:$N$3007,$B341,'Zoho Dump'!$T$8:$T$3007,"Overdue")+SUMIFS(Adjustments!$K$8:$K$207,Adjustments!$B$8:$B$207,$B341,Adjustments!$H$8:$H$207,"Overdue"))</f>
        <v>0</v>
      </c>
      <c r="G341" s="17" t="n">
        <f aca="false">D341+F341</f>
        <v>0</v>
      </c>
      <c r="H341" s="18" t="n">
        <f aca="false">IF(SUM($G$5:$G$404)=0,0,G341/SUM($G$5:$G$404))</f>
        <v>0</v>
      </c>
      <c r="I341" s="17" t="n">
        <f aca="false">IF($B341="",0,SUMIFS('Zoho Dump'!$Q$8:$Q$3007,'Zoho Dump'!$N$8:$N$3007,$B341,'Zoho Dump'!$T$8:$T$3007,"Lost",'Zoho Dump'!$R$8:$R$3007,"&gt;="&amp;Settings!$B$4))</f>
        <v>0</v>
      </c>
      <c r="J341" s="9" t="str">
        <f aca="false">IF($B341="","",IF(COUNTIF(Dashboard!$C$13:$C$22,$B341)&gt;0,"Yes",""))</f>
        <v/>
      </c>
      <c r="K341" s="17" t="n">
        <f aca="false">IF($B341="",0,SUMIFS('Zoho Dump'!$X$8:$X$3007,'Zoho Dump'!$N$8:$N$3007,$B341,'Zoho Dump'!$P$8:$P$3007,Settings!$A$12)+SUMIFS(Adjustments!$K$8:$K$207,Adjustments!$B$8:$B$207,$B341,Adjustments!$A$8:$A$207,Settings!$A$12))</f>
        <v>0</v>
      </c>
      <c r="L341" s="17" t="n">
        <f aca="false">IF($B341="",0,SUMIFS('Zoho Dump'!$X$8:$X$3007,'Zoho Dump'!$N$8:$N$3007,$B341,'Zoho Dump'!$P$8:$P$3007,Settings!$A$13)+SUMIFS(Adjustments!$K$8:$K$207,Adjustments!$B$8:$B$207,$B341,Adjustments!$A$8:$A$207,Settings!$A$13))</f>
        <v>0</v>
      </c>
      <c r="M341" s="17" t="n">
        <f aca="false">IF($B341="",0,SUMIFS('Zoho Dump'!$X$8:$X$3007,'Zoho Dump'!$N$8:$N$3007,$B341,'Zoho Dump'!$P$8:$P$3007,Settings!$A$14)+SUMIFS(Adjustments!$K$8:$K$207,Adjustments!$B$8:$B$207,$B341,Adjustments!$A$8:$A$207,Settings!$A$14))</f>
        <v>0</v>
      </c>
      <c r="N341" s="17" t="n">
        <f aca="false">IF($B341="",0,SUMIFS('Zoho Dump'!$X$8:$X$3007,'Zoho Dump'!$N$8:$N$3007,$B341,'Zoho Dump'!$P$8:$P$3007,Settings!$A$15)+SUMIFS(Adjustments!$K$8:$K$207,Adjustments!$B$8:$B$207,$B341,Adjustments!$A$8:$A$207,Settings!$A$15))</f>
        <v>0</v>
      </c>
      <c r="O341" s="17" t="n">
        <f aca="false">IF($B341="",0,SUMIFS('Zoho Dump'!$X$8:$X$3007,'Zoho Dump'!$N$8:$N$3007,$B341,'Zoho Dump'!$P$8:$P$3007,Settings!$A$16)+SUMIFS(Adjustments!$K$8:$K$207,Adjustments!$B$8:$B$207,$B341,Adjustments!$A$8:$A$207,Settings!$A$16))</f>
        <v>0</v>
      </c>
      <c r="P341" s="17" t="n">
        <f aca="false">IF($B341="",0,SUMIFS('Zoho Dump'!$X$8:$X$3007,'Zoho Dump'!$N$8:$N$3007,$B341,'Zoho Dump'!$P$8:$P$3007,Settings!$A$17)+SUMIFS(Adjustments!$K$8:$K$207,Adjustments!$B$8:$B$207,$B341,Adjustments!$A$8:$A$207,Settings!$A$17))</f>
        <v>0</v>
      </c>
      <c r="Q341" s="17" t="n">
        <f aca="false">IF($B341="",0,SUMIFS('Zoho Dump'!$X$8:$X$3007,'Zoho Dump'!$N$8:$N$3007,$B341,'Zoho Dump'!$P$8:$P$3007,Settings!$A$18)+SUMIFS(Adjustments!$K$8:$K$207,Adjustments!$B$8:$B$207,$B341,Adjustments!$A$8:$A$207,Settings!$A$18))</f>
        <v>0</v>
      </c>
      <c r="R341" s="30" t="str">
        <f aca="false">IF(G341&gt;0,G341+A341/10000000,"")</f>
        <v/>
      </c>
    </row>
    <row r="342" customFormat="false" ht="15" hidden="false" customHeight="false" outlineLevel="0" collapsed="false">
      <c r="A342" s="9" t="n">
        <v>338</v>
      </c>
      <c r="B342" s="9" t="str">
        <f aca="false">IFERROR(INDEX('Zoho Dump'!$N$8:$N$3007,MATCH(A342,'Zoho Dump'!$AB$8:$AB$3007,0)),"")</f>
        <v/>
      </c>
      <c r="C342" s="17" t="n">
        <f aca="false">IF($B342="",0,SUMIFS('Zoho Dump'!$Q$8:$Q$3007,'Zoho Dump'!$N$8:$N$3007,$B342,'Zoho Dump'!$T$8:$T$3007,"Delivered",'Zoho Dump'!$R$8:$R$3007,"&gt;="&amp;Settings!$B$4))</f>
        <v>0</v>
      </c>
      <c r="D342" s="17" t="n">
        <f aca="false">IF($B342="",0,SUMIFS('Zoho Dump'!$X$8:$X$3007,'Zoho Dump'!$N$8:$N$3007,$B342,'Zoho Dump'!$T$8:$T$3007,"Backlog")+SUMIFS(Adjustments!$K$8:$K$207,Adjustments!$B$8:$B$207,$B342,Adjustments!$H$8:$H$207,"Backlog"))</f>
        <v>0</v>
      </c>
      <c r="E342" s="17" t="n">
        <f aca="false">IF($B342="",0,SUMIFS('Zoho Dump'!$Y$8:$Y$3007,'Zoho Dump'!$N$8:$N$3007,$B342,'Zoho Dump'!$T$8:$T$3007,"Pipeline")+SUMIFS(Adjustments!$L$8:$L$207,Adjustments!$B$8:$B$207,$B342,Adjustments!$H$8:$H$207,"Pipeline")+SUMIFS('Zoho Dump'!$Y$8:$Y$3007,'Zoho Dump'!$N$8:$N$3007,$B342,'Zoho Dump'!$T$8:$T$3007,"Overdue")+SUMIFS(Adjustments!$L$8:$L$207,Adjustments!$B$8:$B$207,$B342,Adjustments!$H$8:$H$207,"Overdue"))</f>
        <v>0</v>
      </c>
      <c r="F342" s="17" t="n">
        <f aca="false">IF($B342="",0,SUMIFS('Zoho Dump'!$X$8:$X$3007,'Zoho Dump'!$N$8:$N$3007,$B342,'Zoho Dump'!$T$8:$T$3007,"Pipeline")+SUMIFS(Adjustments!$K$8:$K$207,Adjustments!$B$8:$B$207,$B342,Adjustments!$H$8:$H$207,"Pipeline")+SUMIFS('Zoho Dump'!$X$8:$X$3007,'Zoho Dump'!$N$8:$N$3007,$B342,'Zoho Dump'!$T$8:$T$3007,"Overdue")+SUMIFS(Adjustments!$K$8:$K$207,Adjustments!$B$8:$B$207,$B342,Adjustments!$H$8:$H$207,"Overdue"))</f>
        <v>0</v>
      </c>
      <c r="G342" s="17" t="n">
        <f aca="false">D342+F342</f>
        <v>0</v>
      </c>
      <c r="H342" s="18" t="n">
        <f aca="false">IF(SUM($G$5:$G$404)=0,0,G342/SUM($G$5:$G$404))</f>
        <v>0</v>
      </c>
      <c r="I342" s="17" t="n">
        <f aca="false">IF($B342="",0,SUMIFS('Zoho Dump'!$Q$8:$Q$3007,'Zoho Dump'!$N$8:$N$3007,$B342,'Zoho Dump'!$T$8:$T$3007,"Lost",'Zoho Dump'!$R$8:$R$3007,"&gt;="&amp;Settings!$B$4))</f>
        <v>0</v>
      </c>
      <c r="J342" s="9" t="str">
        <f aca="false">IF($B342="","",IF(COUNTIF(Dashboard!$C$13:$C$22,$B342)&gt;0,"Yes",""))</f>
        <v/>
      </c>
      <c r="K342" s="17" t="n">
        <f aca="false">IF($B342="",0,SUMIFS('Zoho Dump'!$X$8:$X$3007,'Zoho Dump'!$N$8:$N$3007,$B342,'Zoho Dump'!$P$8:$P$3007,Settings!$A$12)+SUMIFS(Adjustments!$K$8:$K$207,Adjustments!$B$8:$B$207,$B342,Adjustments!$A$8:$A$207,Settings!$A$12))</f>
        <v>0</v>
      </c>
      <c r="L342" s="17" t="n">
        <f aca="false">IF($B342="",0,SUMIFS('Zoho Dump'!$X$8:$X$3007,'Zoho Dump'!$N$8:$N$3007,$B342,'Zoho Dump'!$P$8:$P$3007,Settings!$A$13)+SUMIFS(Adjustments!$K$8:$K$207,Adjustments!$B$8:$B$207,$B342,Adjustments!$A$8:$A$207,Settings!$A$13))</f>
        <v>0</v>
      </c>
      <c r="M342" s="17" t="n">
        <f aca="false">IF($B342="",0,SUMIFS('Zoho Dump'!$X$8:$X$3007,'Zoho Dump'!$N$8:$N$3007,$B342,'Zoho Dump'!$P$8:$P$3007,Settings!$A$14)+SUMIFS(Adjustments!$K$8:$K$207,Adjustments!$B$8:$B$207,$B342,Adjustments!$A$8:$A$207,Settings!$A$14))</f>
        <v>0</v>
      </c>
      <c r="N342" s="17" t="n">
        <f aca="false">IF($B342="",0,SUMIFS('Zoho Dump'!$X$8:$X$3007,'Zoho Dump'!$N$8:$N$3007,$B342,'Zoho Dump'!$P$8:$P$3007,Settings!$A$15)+SUMIFS(Adjustments!$K$8:$K$207,Adjustments!$B$8:$B$207,$B342,Adjustments!$A$8:$A$207,Settings!$A$15))</f>
        <v>0</v>
      </c>
      <c r="O342" s="17" t="n">
        <f aca="false">IF($B342="",0,SUMIFS('Zoho Dump'!$X$8:$X$3007,'Zoho Dump'!$N$8:$N$3007,$B342,'Zoho Dump'!$P$8:$P$3007,Settings!$A$16)+SUMIFS(Adjustments!$K$8:$K$207,Adjustments!$B$8:$B$207,$B342,Adjustments!$A$8:$A$207,Settings!$A$16))</f>
        <v>0</v>
      </c>
      <c r="P342" s="17" t="n">
        <f aca="false">IF($B342="",0,SUMIFS('Zoho Dump'!$X$8:$X$3007,'Zoho Dump'!$N$8:$N$3007,$B342,'Zoho Dump'!$P$8:$P$3007,Settings!$A$17)+SUMIFS(Adjustments!$K$8:$K$207,Adjustments!$B$8:$B$207,$B342,Adjustments!$A$8:$A$207,Settings!$A$17))</f>
        <v>0</v>
      </c>
      <c r="Q342" s="17" t="n">
        <f aca="false">IF($B342="",0,SUMIFS('Zoho Dump'!$X$8:$X$3007,'Zoho Dump'!$N$8:$N$3007,$B342,'Zoho Dump'!$P$8:$P$3007,Settings!$A$18)+SUMIFS(Adjustments!$K$8:$K$207,Adjustments!$B$8:$B$207,$B342,Adjustments!$A$8:$A$207,Settings!$A$18))</f>
        <v>0</v>
      </c>
      <c r="R342" s="30" t="str">
        <f aca="false">IF(G342&gt;0,G342+A342/10000000,"")</f>
        <v/>
      </c>
    </row>
    <row r="343" customFormat="false" ht="15" hidden="false" customHeight="false" outlineLevel="0" collapsed="false">
      <c r="A343" s="9" t="n">
        <v>339</v>
      </c>
      <c r="B343" s="9" t="str">
        <f aca="false">IFERROR(INDEX('Zoho Dump'!$N$8:$N$3007,MATCH(A343,'Zoho Dump'!$AB$8:$AB$3007,0)),"")</f>
        <v/>
      </c>
      <c r="C343" s="17" t="n">
        <f aca="false">IF($B343="",0,SUMIFS('Zoho Dump'!$Q$8:$Q$3007,'Zoho Dump'!$N$8:$N$3007,$B343,'Zoho Dump'!$T$8:$T$3007,"Delivered",'Zoho Dump'!$R$8:$R$3007,"&gt;="&amp;Settings!$B$4))</f>
        <v>0</v>
      </c>
      <c r="D343" s="17" t="n">
        <f aca="false">IF($B343="",0,SUMIFS('Zoho Dump'!$X$8:$X$3007,'Zoho Dump'!$N$8:$N$3007,$B343,'Zoho Dump'!$T$8:$T$3007,"Backlog")+SUMIFS(Adjustments!$K$8:$K$207,Adjustments!$B$8:$B$207,$B343,Adjustments!$H$8:$H$207,"Backlog"))</f>
        <v>0</v>
      </c>
      <c r="E343" s="17" t="n">
        <f aca="false">IF($B343="",0,SUMIFS('Zoho Dump'!$Y$8:$Y$3007,'Zoho Dump'!$N$8:$N$3007,$B343,'Zoho Dump'!$T$8:$T$3007,"Pipeline")+SUMIFS(Adjustments!$L$8:$L$207,Adjustments!$B$8:$B$207,$B343,Adjustments!$H$8:$H$207,"Pipeline")+SUMIFS('Zoho Dump'!$Y$8:$Y$3007,'Zoho Dump'!$N$8:$N$3007,$B343,'Zoho Dump'!$T$8:$T$3007,"Overdue")+SUMIFS(Adjustments!$L$8:$L$207,Adjustments!$B$8:$B$207,$B343,Adjustments!$H$8:$H$207,"Overdue"))</f>
        <v>0</v>
      </c>
      <c r="F343" s="17" t="n">
        <f aca="false">IF($B343="",0,SUMIFS('Zoho Dump'!$X$8:$X$3007,'Zoho Dump'!$N$8:$N$3007,$B343,'Zoho Dump'!$T$8:$T$3007,"Pipeline")+SUMIFS(Adjustments!$K$8:$K$207,Adjustments!$B$8:$B$207,$B343,Adjustments!$H$8:$H$207,"Pipeline")+SUMIFS('Zoho Dump'!$X$8:$X$3007,'Zoho Dump'!$N$8:$N$3007,$B343,'Zoho Dump'!$T$8:$T$3007,"Overdue")+SUMIFS(Adjustments!$K$8:$K$207,Adjustments!$B$8:$B$207,$B343,Adjustments!$H$8:$H$207,"Overdue"))</f>
        <v>0</v>
      </c>
      <c r="G343" s="17" t="n">
        <f aca="false">D343+F343</f>
        <v>0</v>
      </c>
      <c r="H343" s="18" t="n">
        <f aca="false">IF(SUM($G$5:$G$404)=0,0,G343/SUM($G$5:$G$404))</f>
        <v>0</v>
      </c>
      <c r="I343" s="17" t="n">
        <f aca="false">IF($B343="",0,SUMIFS('Zoho Dump'!$Q$8:$Q$3007,'Zoho Dump'!$N$8:$N$3007,$B343,'Zoho Dump'!$T$8:$T$3007,"Lost",'Zoho Dump'!$R$8:$R$3007,"&gt;="&amp;Settings!$B$4))</f>
        <v>0</v>
      </c>
      <c r="J343" s="9" t="str">
        <f aca="false">IF($B343="","",IF(COUNTIF(Dashboard!$C$13:$C$22,$B343)&gt;0,"Yes",""))</f>
        <v/>
      </c>
      <c r="K343" s="17" t="n">
        <f aca="false">IF($B343="",0,SUMIFS('Zoho Dump'!$X$8:$X$3007,'Zoho Dump'!$N$8:$N$3007,$B343,'Zoho Dump'!$P$8:$P$3007,Settings!$A$12)+SUMIFS(Adjustments!$K$8:$K$207,Adjustments!$B$8:$B$207,$B343,Adjustments!$A$8:$A$207,Settings!$A$12))</f>
        <v>0</v>
      </c>
      <c r="L343" s="17" t="n">
        <f aca="false">IF($B343="",0,SUMIFS('Zoho Dump'!$X$8:$X$3007,'Zoho Dump'!$N$8:$N$3007,$B343,'Zoho Dump'!$P$8:$P$3007,Settings!$A$13)+SUMIFS(Adjustments!$K$8:$K$207,Adjustments!$B$8:$B$207,$B343,Adjustments!$A$8:$A$207,Settings!$A$13))</f>
        <v>0</v>
      </c>
      <c r="M343" s="17" t="n">
        <f aca="false">IF($B343="",0,SUMIFS('Zoho Dump'!$X$8:$X$3007,'Zoho Dump'!$N$8:$N$3007,$B343,'Zoho Dump'!$P$8:$P$3007,Settings!$A$14)+SUMIFS(Adjustments!$K$8:$K$207,Adjustments!$B$8:$B$207,$B343,Adjustments!$A$8:$A$207,Settings!$A$14))</f>
        <v>0</v>
      </c>
      <c r="N343" s="17" t="n">
        <f aca="false">IF($B343="",0,SUMIFS('Zoho Dump'!$X$8:$X$3007,'Zoho Dump'!$N$8:$N$3007,$B343,'Zoho Dump'!$P$8:$P$3007,Settings!$A$15)+SUMIFS(Adjustments!$K$8:$K$207,Adjustments!$B$8:$B$207,$B343,Adjustments!$A$8:$A$207,Settings!$A$15))</f>
        <v>0</v>
      </c>
      <c r="O343" s="17" t="n">
        <f aca="false">IF($B343="",0,SUMIFS('Zoho Dump'!$X$8:$X$3007,'Zoho Dump'!$N$8:$N$3007,$B343,'Zoho Dump'!$P$8:$P$3007,Settings!$A$16)+SUMIFS(Adjustments!$K$8:$K$207,Adjustments!$B$8:$B$207,$B343,Adjustments!$A$8:$A$207,Settings!$A$16))</f>
        <v>0</v>
      </c>
      <c r="P343" s="17" t="n">
        <f aca="false">IF($B343="",0,SUMIFS('Zoho Dump'!$X$8:$X$3007,'Zoho Dump'!$N$8:$N$3007,$B343,'Zoho Dump'!$P$8:$P$3007,Settings!$A$17)+SUMIFS(Adjustments!$K$8:$K$207,Adjustments!$B$8:$B$207,$B343,Adjustments!$A$8:$A$207,Settings!$A$17))</f>
        <v>0</v>
      </c>
      <c r="Q343" s="17" t="n">
        <f aca="false">IF($B343="",0,SUMIFS('Zoho Dump'!$X$8:$X$3007,'Zoho Dump'!$N$8:$N$3007,$B343,'Zoho Dump'!$P$8:$P$3007,Settings!$A$18)+SUMIFS(Adjustments!$K$8:$K$207,Adjustments!$B$8:$B$207,$B343,Adjustments!$A$8:$A$207,Settings!$A$18))</f>
        <v>0</v>
      </c>
      <c r="R343" s="30" t="str">
        <f aca="false">IF(G343&gt;0,G343+A343/10000000,"")</f>
        <v/>
      </c>
    </row>
    <row r="344" customFormat="false" ht="15" hidden="false" customHeight="false" outlineLevel="0" collapsed="false">
      <c r="A344" s="9" t="n">
        <v>340</v>
      </c>
      <c r="B344" s="9" t="str">
        <f aca="false">IFERROR(INDEX('Zoho Dump'!$N$8:$N$3007,MATCH(A344,'Zoho Dump'!$AB$8:$AB$3007,0)),"")</f>
        <v/>
      </c>
      <c r="C344" s="17" t="n">
        <f aca="false">IF($B344="",0,SUMIFS('Zoho Dump'!$Q$8:$Q$3007,'Zoho Dump'!$N$8:$N$3007,$B344,'Zoho Dump'!$T$8:$T$3007,"Delivered",'Zoho Dump'!$R$8:$R$3007,"&gt;="&amp;Settings!$B$4))</f>
        <v>0</v>
      </c>
      <c r="D344" s="17" t="n">
        <f aca="false">IF($B344="",0,SUMIFS('Zoho Dump'!$X$8:$X$3007,'Zoho Dump'!$N$8:$N$3007,$B344,'Zoho Dump'!$T$8:$T$3007,"Backlog")+SUMIFS(Adjustments!$K$8:$K$207,Adjustments!$B$8:$B$207,$B344,Adjustments!$H$8:$H$207,"Backlog"))</f>
        <v>0</v>
      </c>
      <c r="E344" s="17" t="n">
        <f aca="false">IF($B344="",0,SUMIFS('Zoho Dump'!$Y$8:$Y$3007,'Zoho Dump'!$N$8:$N$3007,$B344,'Zoho Dump'!$T$8:$T$3007,"Pipeline")+SUMIFS(Adjustments!$L$8:$L$207,Adjustments!$B$8:$B$207,$B344,Adjustments!$H$8:$H$207,"Pipeline")+SUMIFS('Zoho Dump'!$Y$8:$Y$3007,'Zoho Dump'!$N$8:$N$3007,$B344,'Zoho Dump'!$T$8:$T$3007,"Overdue")+SUMIFS(Adjustments!$L$8:$L$207,Adjustments!$B$8:$B$207,$B344,Adjustments!$H$8:$H$207,"Overdue"))</f>
        <v>0</v>
      </c>
      <c r="F344" s="17" t="n">
        <f aca="false">IF($B344="",0,SUMIFS('Zoho Dump'!$X$8:$X$3007,'Zoho Dump'!$N$8:$N$3007,$B344,'Zoho Dump'!$T$8:$T$3007,"Pipeline")+SUMIFS(Adjustments!$K$8:$K$207,Adjustments!$B$8:$B$207,$B344,Adjustments!$H$8:$H$207,"Pipeline")+SUMIFS('Zoho Dump'!$X$8:$X$3007,'Zoho Dump'!$N$8:$N$3007,$B344,'Zoho Dump'!$T$8:$T$3007,"Overdue")+SUMIFS(Adjustments!$K$8:$K$207,Adjustments!$B$8:$B$207,$B344,Adjustments!$H$8:$H$207,"Overdue"))</f>
        <v>0</v>
      </c>
      <c r="G344" s="17" t="n">
        <f aca="false">D344+F344</f>
        <v>0</v>
      </c>
      <c r="H344" s="18" t="n">
        <f aca="false">IF(SUM($G$5:$G$404)=0,0,G344/SUM($G$5:$G$404))</f>
        <v>0</v>
      </c>
      <c r="I344" s="17" t="n">
        <f aca="false">IF($B344="",0,SUMIFS('Zoho Dump'!$Q$8:$Q$3007,'Zoho Dump'!$N$8:$N$3007,$B344,'Zoho Dump'!$T$8:$T$3007,"Lost",'Zoho Dump'!$R$8:$R$3007,"&gt;="&amp;Settings!$B$4))</f>
        <v>0</v>
      </c>
      <c r="J344" s="9" t="str">
        <f aca="false">IF($B344="","",IF(COUNTIF(Dashboard!$C$13:$C$22,$B344)&gt;0,"Yes",""))</f>
        <v/>
      </c>
      <c r="K344" s="17" t="n">
        <f aca="false">IF($B344="",0,SUMIFS('Zoho Dump'!$X$8:$X$3007,'Zoho Dump'!$N$8:$N$3007,$B344,'Zoho Dump'!$P$8:$P$3007,Settings!$A$12)+SUMIFS(Adjustments!$K$8:$K$207,Adjustments!$B$8:$B$207,$B344,Adjustments!$A$8:$A$207,Settings!$A$12))</f>
        <v>0</v>
      </c>
      <c r="L344" s="17" t="n">
        <f aca="false">IF($B344="",0,SUMIFS('Zoho Dump'!$X$8:$X$3007,'Zoho Dump'!$N$8:$N$3007,$B344,'Zoho Dump'!$P$8:$P$3007,Settings!$A$13)+SUMIFS(Adjustments!$K$8:$K$207,Adjustments!$B$8:$B$207,$B344,Adjustments!$A$8:$A$207,Settings!$A$13))</f>
        <v>0</v>
      </c>
      <c r="M344" s="17" t="n">
        <f aca="false">IF($B344="",0,SUMIFS('Zoho Dump'!$X$8:$X$3007,'Zoho Dump'!$N$8:$N$3007,$B344,'Zoho Dump'!$P$8:$P$3007,Settings!$A$14)+SUMIFS(Adjustments!$K$8:$K$207,Adjustments!$B$8:$B$207,$B344,Adjustments!$A$8:$A$207,Settings!$A$14))</f>
        <v>0</v>
      </c>
      <c r="N344" s="17" t="n">
        <f aca="false">IF($B344="",0,SUMIFS('Zoho Dump'!$X$8:$X$3007,'Zoho Dump'!$N$8:$N$3007,$B344,'Zoho Dump'!$P$8:$P$3007,Settings!$A$15)+SUMIFS(Adjustments!$K$8:$K$207,Adjustments!$B$8:$B$207,$B344,Adjustments!$A$8:$A$207,Settings!$A$15))</f>
        <v>0</v>
      </c>
      <c r="O344" s="17" t="n">
        <f aca="false">IF($B344="",0,SUMIFS('Zoho Dump'!$X$8:$X$3007,'Zoho Dump'!$N$8:$N$3007,$B344,'Zoho Dump'!$P$8:$P$3007,Settings!$A$16)+SUMIFS(Adjustments!$K$8:$K$207,Adjustments!$B$8:$B$207,$B344,Adjustments!$A$8:$A$207,Settings!$A$16))</f>
        <v>0</v>
      </c>
      <c r="P344" s="17" t="n">
        <f aca="false">IF($B344="",0,SUMIFS('Zoho Dump'!$X$8:$X$3007,'Zoho Dump'!$N$8:$N$3007,$B344,'Zoho Dump'!$P$8:$P$3007,Settings!$A$17)+SUMIFS(Adjustments!$K$8:$K$207,Adjustments!$B$8:$B$207,$B344,Adjustments!$A$8:$A$207,Settings!$A$17))</f>
        <v>0</v>
      </c>
      <c r="Q344" s="17" t="n">
        <f aca="false">IF($B344="",0,SUMIFS('Zoho Dump'!$X$8:$X$3007,'Zoho Dump'!$N$8:$N$3007,$B344,'Zoho Dump'!$P$8:$P$3007,Settings!$A$18)+SUMIFS(Adjustments!$K$8:$K$207,Adjustments!$B$8:$B$207,$B344,Adjustments!$A$8:$A$207,Settings!$A$18))</f>
        <v>0</v>
      </c>
      <c r="R344" s="30" t="str">
        <f aca="false">IF(G344&gt;0,G344+A344/10000000,"")</f>
        <v/>
      </c>
    </row>
    <row r="345" customFormat="false" ht="15" hidden="false" customHeight="false" outlineLevel="0" collapsed="false">
      <c r="A345" s="9" t="n">
        <v>341</v>
      </c>
      <c r="B345" s="9" t="str">
        <f aca="false">IFERROR(INDEX('Zoho Dump'!$N$8:$N$3007,MATCH(A345,'Zoho Dump'!$AB$8:$AB$3007,0)),"")</f>
        <v/>
      </c>
      <c r="C345" s="17" t="n">
        <f aca="false">IF($B345="",0,SUMIFS('Zoho Dump'!$Q$8:$Q$3007,'Zoho Dump'!$N$8:$N$3007,$B345,'Zoho Dump'!$T$8:$T$3007,"Delivered",'Zoho Dump'!$R$8:$R$3007,"&gt;="&amp;Settings!$B$4))</f>
        <v>0</v>
      </c>
      <c r="D345" s="17" t="n">
        <f aca="false">IF($B345="",0,SUMIFS('Zoho Dump'!$X$8:$X$3007,'Zoho Dump'!$N$8:$N$3007,$B345,'Zoho Dump'!$T$8:$T$3007,"Backlog")+SUMIFS(Adjustments!$K$8:$K$207,Adjustments!$B$8:$B$207,$B345,Adjustments!$H$8:$H$207,"Backlog"))</f>
        <v>0</v>
      </c>
      <c r="E345" s="17" t="n">
        <f aca="false">IF($B345="",0,SUMIFS('Zoho Dump'!$Y$8:$Y$3007,'Zoho Dump'!$N$8:$N$3007,$B345,'Zoho Dump'!$T$8:$T$3007,"Pipeline")+SUMIFS(Adjustments!$L$8:$L$207,Adjustments!$B$8:$B$207,$B345,Adjustments!$H$8:$H$207,"Pipeline")+SUMIFS('Zoho Dump'!$Y$8:$Y$3007,'Zoho Dump'!$N$8:$N$3007,$B345,'Zoho Dump'!$T$8:$T$3007,"Overdue")+SUMIFS(Adjustments!$L$8:$L$207,Adjustments!$B$8:$B$207,$B345,Adjustments!$H$8:$H$207,"Overdue"))</f>
        <v>0</v>
      </c>
      <c r="F345" s="17" t="n">
        <f aca="false">IF($B345="",0,SUMIFS('Zoho Dump'!$X$8:$X$3007,'Zoho Dump'!$N$8:$N$3007,$B345,'Zoho Dump'!$T$8:$T$3007,"Pipeline")+SUMIFS(Adjustments!$K$8:$K$207,Adjustments!$B$8:$B$207,$B345,Adjustments!$H$8:$H$207,"Pipeline")+SUMIFS('Zoho Dump'!$X$8:$X$3007,'Zoho Dump'!$N$8:$N$3007,$B345,'Zoho Dump'!$T$8:$T$3007,"Overdue")+SUMIFS(Adjustments!$K$8:$K$207,Adjustments!$B$8:$B$207,$B345,Adjustments!$H$8:$H$207,"Overdue"))</f>
        <v>0</v>
      </c>
      <c r="G345" s="17" t="n">
        <f aca="false">D345+F345</f>
        <v>0</v>
      </c>
      <c r="H345" s="18" t="n">
        <f aca="false">IF(SUM($G$5:$G$404)=0,0,G345/SUM($G$5:$G$404))</f>
        <v>0</v>
      </c>
      <c r="I345" s="17" t="n">
        <f aca="false">IF($B345="",0,SUMIFS('Zoho Dump'!$Q$8:$Q$3007,'Zoho Dump'!$N$8:$N$3007,$B345,'Zoho Dump'!$T$8:$T$3007,"Lost",'Zoho Dump'!$R$8:$R$3007,"&gt;="&amp;Settings!$B$4))</f>
        <v>0</v>
      </c>
      <c r="J345" s="9" t="str">
        <f aca="false">IF($B345="","",IF(COUNTIF(Dashboard!$C$13:$C$22,$B345)&gt;0,"Yes",""))</f>
        <v/>
      </c>
      <c r="K345" s="17" t="n">
        <f aca="false">IF($B345="",0,SUMIFS('Zoho Dump'!$X$8:$X$3007,'Zoho Dump'!$N$8:$N$3007,$B345,'Zoho Dump'!$P$8:$P$3007,Settings!$A$12)+SUMIFS(Adjustments!$K$8:$K$207,Adjustments!$B$8:$B$207,$B345,Adjustments!$A$8:$A$207,Settings!$A$12))</f>
        <v>0</v>
      </c>
      <c r="L345" s="17" t="n">
        <f aca="false">IF($B345="",0,SUMIFS('Zoho Dump'!$X$8:$X$3007,'Zoho Dump'!$N$8:$N$3007,$B345,'Zoho Dump'!$P$8:$P$3007,Settings!$A$13)+SUMIFS(Adjustments!$K$8:$K$207,Adjustments!$B$8:$B$207,$B345,Adjustments!$A$8:$A$207,Settings!$A$13))</f>
        <v>0</v>
      </c>
      <c r="M345" s="17" t="n">
        <f aca="false">IF($B345="",0,SUMIFS('Zoho Dump'!$X$8:$X$3007,'Zoho Dump'!$N$8:$N$3007,$B345,'Zoho Dump'!$P$8:$P$3007,Settings!$A$14)+SUMIFS(Adjustments!$K$8:$K$207,Adjustments!$B$8:$B$207,$B345,Adjustments!$A$8:$A$207,Settings!$A$14))</f>
        <v>0</v>
      </c>
      <c r="N345" s="17" t="n">
        <f aca="false">IF($B345="",0,SUMIFS('Zoho Dump'!$X$8:$X$3007,'Zoho Dump'!$N$8:$N$3007,$B345,'Zoho Dump'!$P$8:$P$3007,Settings!$A$15)+SUMIFS(Adjustments!$K$8:$K$207,Adjustments!$B$8:$B$207,$B345,Adjustments!$A$8:$A$207,Settings!$A$15))</f>
        <v>0</v>
      </c>
      <c r="O345" s="17" t="n">
        <f aca="false">IF($B345="",0,SUMIFS('Zoho Dump'!$X$8:$X$3007,'Zoho Dump'!$N$8:$N$3007,$B345,'Zoho Dump'!$P$8:$P$3007,Settings!$A$16)+SUMIFS(Adjustments!$K$8:$K$207,Adjustments!$B$8:$B$207,$B345,Adjustments!$A$8:$A$207,Settings!$A$16))</f>
        <v>0</v>
      </c>
      <c r="P345" s="17" t="n">
        <f aca="false">IF($B345="",0,SUMIFS('Zoho Dump'!$X$8:$X$3007,'Zoho Dump'!$N$8:$N$3007,$B345,'Zoho Dump'!$P$8:$P$3007,Settings!$A$17)+SUMIFS(Adjustments!$K$8:$K$207,Adjustments!$B$8:$B$207,$B345,Adjustments!$A$8:$A$207,Settings!$A$17))</f>
        <v>0</v>
      </c>
      <c r="Q345" s="17" t="n">
        <f aca="false">IF($B345="",0,SUMIFS('Zoho Dump'!$X$8:$X$3007,'Zoho Dump'!$N$8:$N$3007,$B345,'Zoho Dump'!$P$8:$P$3007,Settings!$A$18)+SUMIFS(Adjustments!$K$8:$K$207,Adjustments!$B$8:$B$207,$B345,Adjustments!$A$8:$A$207,Settings!$A$18))</f>
        <v>0</v>
      </c>
      <c r="R345" s="30" t="str">
        <f aca="false">IF(G345&gt;0,G345+A345/10000000,"")</f>
        <v/>
      </c>
    </row>
    <row r="346" customFormat="false" ht="15" hidden="false" customHeight="false" outlineLevel="0" collapsed="false">
      <c r="A346" s="9" t="n">
        <v>342</v>
      </c>
      <c r="B346" s="9" t="str">
        <f aca="false">IFERROR(INDEX('Zoho Dump'!$N$8:$N$3007,MATCH(A346,'Zoho Dump'!$AB$8:$AB$3007,0)),"")</f>
        <v/>
      </c>
      <c r="C346" s="17" t="n">
        <f aca="false">IF($B346="",0,SUMIFS('Zoho Dump'!$Q$8:$Q$3007,'Zoho Dump'!$N$8:$N$3007,$B346,'Zoho Dump'!$T$8:$T$3007,"Delivered",'Zoho Dump'!$R$8:$R$3007,"&gt;="&amp;Settings!$B$4))</f>
        <v>0</v>
      </c>
      <c r="D346" s="17" t="n">
        <f aca="false">IF($B346="",0,SUMIFS('Zoho Dump'!$X$8:$X$3007,'Zoho Dump'!$N$8:$N$3007,$B346,'Zoho Dump'!$T$8:$T$3007,"Backlog")+SUMIFS(Adjustments!$K$8:$K$207,Adjustments!$B$8:$B$207,$B346,Adjustments!$H$8:$H$207,"Backlog"))</f>
        <v>0</v>
      </c>
      <c r="E346" s="17" t="n">
        <f aca="false">IF($B346="",0,SUMIFS('Zoho Dump'!$Y$8:$Y$3007,'Zoho Dump'!$N$8:$N$3007,$B346,'Zoho Dump'!$T$8:$T$3007,"Pipeline")+SUMIFS(Adjustments!$L$8:$L$207,Adjustments!$B$8:$B$207,$B346,Adjustments!$H$8:$H$207,"Pipeline")+SUMIFS('Zoho Dump'!$Y$8:$Y$3007,'Zoho Dump'!$N$8:$N$3007,$B346,'Zoho Dump'!$T$8:$T$3007,"Overdue")+SUMIFS(Adjustments!$L$8:$L$207,Adjustments!$B$8:$B$207,$B346,Adjustments!$H$8:$H$207,"Overdue"))</f>
        <v>0</v>
      </c>
      <c r="F346" s="17" t="n">
        <f aca="false">IF($B346="",0,SUMIFS('Zoho Dump'!$X$8:$X$3007,'Zoho Dump'!$N$8:$N$3007,$B346,'Zoho Dump'!$T$8:$T$3007,"Pipeline")+SUMIFS(Adjustments!$K$8:$K$207,Adjustments!$B$8:$B$207,$B346,Adjustments!$H$8:$H$207,"Pipeline")+SUMIFS('Zoho Dump'!$X$8:$X$3007,'Zoho Dump'!$N$8:$N$3007,$B346,'Zoho Dump'!$T$8:$T$3007,"Overdue")+SUMIFS(Adjustments!$K$8:$K$207,Adjustments!$B$8:$B$207,$B346,Adjustments!$H$8:$H$207,"Overdue"))</f>
        <v>0</v>
      </c>
      <c r="G346" s="17" t="n">
        <f aca="false">D346+F346</f>
        <v>0</v>
      </c>
      <c r="H346" s="18" t="n">
        <f aca="false">IF(SUM($G$5:$G$404)=0,0,G346/SUM($G$5:$G$404))</f>
        <v>0</v>
      </c>
      <c r="I346" s="17" t="n">
        <f aca="false">IF($B346="",0,SUMIFS('Zoho Dump'!$Q$8:$Q$3007,'Zoho Dump'!$N$8:$N$3007,$B346,'Zoho Dump'!$T$8:$T$3007,"Lost",'Zoho Dump'!$R$8:$R$3007,"&gt;="&amp;Settings!$B$4))</f>
        <v>0</v>
      </c>
      <c r="J346" s="9" t="str">
        <f aca="false">IF($B346="","",IF(COUNTIF(Dashboard!$C$13:$C$22,$B346)&gt;0,"Yes",""))</f>
        <v/>
      </c>
      <c r="K346" s="17" t="n">
        <f aca="false">IF($B346="",0,SUMIFS('Zoho Dump'!$X$8:$X$3007,'Zoho Dump'!$N$8:$N$3007,$B346,'Zoho Dump'!$P$8:$P$3007,Settings!$A$12)+SUMIFS(Adjustments!$K$8:$K$207,Adjustments!$B$8:$B$207,$B346,Adjustments!$A$8:$A$207,Settings!$A$12))</f>
        <v>0</v>
      </c>
      <c r="L346" s="17" t="n">
        <f aca="false">IF($B346="",0,SUMIFS('Zoho Dump'!$X$8:$X$3007,'Zoho Dump'!$N$8:$N$3007,$B346,'Zoho Dump'!$P$8:$P$3007,Settings!$A$13)+SUMIFS(Adjustments!$K$8:$K$207,Adjustments!$B$8:$B$207,$B346,Adjustments!$A$8:$A$207,Settings!$A$13))</f>
        <v>0</v>
      </c>
      <c r="M346" s="17" t="n">
        <f aca="false">IF($B346="",0,SUMIFS('Zoho Dump'!$X$8:$X$3007,'Zoho Dump'!$N$8:$N$3007,$B346,'Zoho Dump'!$P$8:$P$3007,Settings!$A$14)+SUMIFS(Adjustments!$K$8:$K$207,Adjustments!$B$8:$B$207,$B346,Adjustments!$A$8:$A$207,Settings!$A$14))</f>
        <v>0</v>
      </c>
      <c r="N346" s="17" t="n">
        <f aca="false">IF($B346="",0,SUMIFS('Zoho Dump'!$X$8:$X$3007,'Zoho Dump'!$N$8:$N$3007,$B346,'Zoho Dump'!$P$8:$P$3007,Settings!$A$15)+SUMIFS(Adjustments!$K$8:$K$207,Adjustments!$B$8:$B$207,$B346,Adjustments!$A$8:$A$207,Settings!$A$15))</f>
        <v>0</v>
      </c>
      <c r="O346" s="17" t="n">
        <f aca="false">IF($B346="",0,SUMIFS('Zoho Dump'!$X$8:$X$3007,'Zoho Dump'!$N$8:$N$3007,$B346,'Zoho Dump'!$P$8:$P$3007,Settings!$A$16)+SUMIFS(Adjustments!$K$8:$K$207,Adjustments!$B$8:$B$207,$B346,Adjustments!$A$8:$A$207,Settings!$A$16))</f>
        <v>0</v>
      </c>
      <c r="P346" s="17" t="n">
        <f aca="false">IF($B346="",0,SUMIFS('Zoho Dump'!$X$8:$X$3007,'Zoho Dump'!$N$8:$N$3007,$B346,'Zoho Dump'!$P$8:$P$3007,Settings!$A$17)+SUMIFS(Adjustments!$K$8:$K$207,Adjustments!$B$8:$B$207,$B346,Adjustments!$A$8:$A$207,Settings!$A$17))</f>
        <v>0</v>
      </c>
      <c r="Q346" s="17" t="n">
        <f aca="false">IF($B346="",0,SUMIFS('Zoho Dump'!$X$8:$X$3007,'Zoho Dump'!$N$8:$N$3007,$B346,'Zoho Dump'!$P$8:$P$3007,Settings!$A$18)+SUMIFS(Adjustments!$K$8:$K$207,Adjustments!$B$8:$B$207,$B346,Adjustments!$A$8:$A$207,Settings!$A$18))</f>
        <v>0</v>
      </c>
      <c r="R346" s="30" t="str">
        <f aca="false">IF(G346&gt;0,G346+A346/10000000,"")</f>
        <v/>
      </c>
    </row>
    <row r="347" customFormat="false" ht="15" hidden="false" customHeight="false" outlineLevel="0" collapsed="false">
      <c r="A347" s="9" t="n">
        <v>343</v>
      </c>
      <c r="B347" s="9" t="str">
        <f aca="false">IFERROR(INDEX('Zoho Dump'!$N$8:$N$3007,MATCH(A347,'Zoho Dump'!$AB$8:$AB$3007,0)),"")</f>
        <v/>
      </c>
      <c r="C347" s="17" t="n">
        <f aca="false">IF($B347="",0,SUMIFS('Zoho Dump'!$Q$8:$Q$3007,'Zoho Dump'!$N$8:$N$3007,$B347,'Zoho Dump'!$T$8:$T$3007,"Delivered",'Zoho Dump'!$R$8:$R$3007,"&gt;="&amp;Settings!$B$4))</f>
        <v>0</v>
      </c>
      <c r="D347" s="17" t="n">
        <f aca="false">IF($B347="",0,SUMIFS('Zoho Dump'!$X$8:$X$3007,'Zoho Dump'!$N$8:$N$3007,$B347,'Zoho Dump'!$T$8:$T$3007,"Backlog")+SUMIFS(Adjustments!$K$8:$K$207,Adjustments!$B$8:$B$207,$B347,Adjustments!$H$8:$H$207,"Backlog"))</f>
        <v>0</v>
      </c>
      <c r="E347" s="17" t="n">
        <f aca="false">IF($B347="",0,SUMIFS('Zoho Dump'!$Y$8:$Y$3007,'Zoho Dump'!$N$8:$N$3007,$B347,'Zoho Dump'!$T$8:$T$3007,"Pipeline")+SUMIFS(Adjustments!$L$8:$L$207,Adjustments!$B$8:$B$207,$B347,Adjustments!$H$8:$H$207,"Pipeline")+SUMIFS('Zoho Dump'!$Y$8:$Y$3007,'Zoho Dump'!$N$8:$N$3007,$B347,'Zoho Dump'!$T$8:$T$3007,"Overdue")+SUMIFS(Adjustments!$L$8:$L$207,Adjustments!$B$8:$B$207,$B347,Adjustments!$H$8:$H$207,"Overdue"))</f>
        <v>0</v>
      </c>
      <c r="F347" s="17" t="n">
        <f aca="false">IF($B347="",0,SUMIFS('Zoho Dump'!$X$8:$X$3007,'Zoho Dump'!$N$8:$N$3007,$B347,'Zoho Dump'!$T$8:$T$3007,"Pipeline")+SUMIFS(Adjustments!$K$8:$K$207,Adjustments!$B$8:$B$207,$B347,Adjustments!$H$8:$H$207,"Pipeline")+SUMIFS('Zoho Dump'!$X$8:$X$3007,'Zoho Dump'!$N$8:$N$3007,$B347,'Zoho Dump'!$T$8:$T$3007,"Overdue")+SUMIFS(Adjustments!$K$8:$K$207,Adjustments!$B$8:$B$207,$B347,Adjustments!$H$8:$H$207,"Overdue"))</f>
        <v>0</v>
      </c>
      <c r="G347" s="17" t="n">
        <f aca="false">D347+F347</f>
        <v>0</v>
      </c>
      <c r="H347" s="18" t="n">
        <f aca="false">IF(SUM($G$5:$G$404)=0,0,G347/SUM($G$5:$G$404))</f>
        <v>0</v>
      </c>
      <c r="I347" s="17" t="n">
        <f aca="false">IF($B347="",0,SUMIFS('Zoho Dump'!$Q$8:$Q$3007,'Zoho Dump'!$N$8:$N$3007,$B347,'Zoho Dump'!$T$8:$T$3007,"Lost",'Zoho Dump'!$R$8:$R$3007,"&gt;="&amp;Settings!$B$4))</f>
        <v>0</v>
      </c>
      <c r="J347" s="9" t="str">
        <f aca="false">IF($B347="","",IF(COUNTIF(Dashboard!$C$13:$C$22,$B347)&gt;0,"Yes",""))</f>
        <v/>
      </c>
      <c r="K347" s="17" t="n">
        <f aca="false">IF($B347="",0,SUMIFS('Zoho Dump'!$X$8:$X$3007,'Zoho Dump'!$N$8:$N$3007,$B347,'Zoho Dump'!$P$8:$P$3007,Settings!$A$12)+SUMIFS(Adjustments!$K$8:$K$207,Adjustments!$B$8:$B$207,$B347,Adjustments!$A$8:$A$207,Settings!$A$12))</f>
        <v>0</v>
      </c>
      <c r="L347" s="17" t="n">
        <f aca="false">IF($B347="",0,SUMIFS('Zoho Dump'!$X$8:$X$3007,'Zoho Dump'!$N$8:$N$3007,$B347,'Zoho Dump'!$P$8:$P$3007,Settings!$A$13)+SUMIFS(Adjustments!$K$8:$K$207,Adjustments!$B$8:$B$207,$B347,Adjustments!$A$8:$A$207,Settings!$A$13))</f>
        <v>0</v>
      </c>
      <c r="M347" s="17" t="n">
        <f aca="false">IF($B347="",0,SUMIFS('Zoho Dump'!$X$8:$X$3007,'Zoho Dump'!$N$8:$N$3007,$B347,'Zoho Dump'!$P$8:$P$3007,Settings!$A$14)+SUMIFS(Adjustments!$K$8:$K$207,Adjustments!$B$8:$B$207,$B347,Adjustments!$A$8:$A$207,Settings!$A$14))</f>
        <v>0</v>
      </c>
      <c r="N347" s="17" t="n">
        <f aca="false">IF($B347="",0,SUMIFS('Zoho Dump'!$X$8:$X$3007,'Zoho Dump'!$N$8:$N$3007,$B347,'Zoho Dump'!$P$8:$P$3007,Settings!$A$15)+SUMIFS(Adjustments!$K$8:$K$207,Adjustments!$B$8:$B$207,$B347,Adjustments!$A$8:$A$207,Settings!$A$15))</f>
        <v>0</v>
      </c>
      <c r="O347" s="17" t="n">
        <f aca="false">IF($B347="",0,SUMIFS('Zoho Dump'!$X$8:$X$3007,'Zoho Dump'!$N$8:$N$3007,$B347,'Zoho Dump'!$P$8:$P$3007,Settings!$A$16)+SUMIFS(Adjustments!$K$8:$K$207,Adjustments!$B$8:$B$207,$B347,Adjustments!$A$8:$A$207,Settings!$A$16))</f>
        <v>0</v>
      </c>
      <c r="P347" s="17" t="n">
        <f aca="false">IF($B347="",0,SUMIFS('Zoho Dump'!$X$8:$X$3007,'Zoho Dump'!$N$8:$N$3007,$B347,'Zoho Dump'!$P$8:$P$3007,Settings!$A$17)+SUMIFS(Adjustments!$K$8:$K$207,Adjustments!$B$8:$B$207,$B347,Adjustments!$A$8:$A$207,Settings!$A$17))</f>
        <v>0</v>
      </c>
      <c r="Q347" s="17" t="n">
        <f aca="false">IF($B347="",0,SUMIFS('Zoho Dump'!$X$8:$X$3007,'Zoho Dump'!$N$8:$N$3007,$B347,'Zoho Dump'!$P$8:$P$3007,Settings!$A$18)+SUMIFS(Adjustments!$K$8:$K$207,Adjustments!$B$8:$B$207,$B347,Adjustments!$A$8:$A$207,Settings!$A$18))</f>
        <v>0</v>
      </c>
      <c r="R347" s="30" t="str">
        <f aca="false">IF(G347&gt;0,G347+A347/10000000,"")</f>
        <v/>
      </c>
    </row>
    <row r="348" customFormat="false" ht="15" hidden="false" customHeight="false" outlineLevel="0" collapsed="false">
      <c r="A348" s="9" t="n">
        <v>344</v>
      </c>
      <c r="B348" s="9" t="str">
        <f aca="false">IFERROR(INDEX('Zoho Dump'!$N$8:$N$3007,MATCH(A348,'Zoho Dump'!$AB$8:$AB$3007,0)),"")</f>
        <v/>
      </c>
      <c r="C348" s="17" t="n">
        <f aca="false">IF($B348="",0,SUMIFS('Zoho Dump'!$Q$8:$Q$3007,'Zoho Dump'!$N$8:$N$3007,$B348,'Zoho Dump'!$T$8:$T$3007,"Delivered",'Zoho Dump'!$R$8:$R$3007,"&gt;="&amp;Settings!$B$4))</f>
        <v>0</v>
      </c>
      <c r="D348" s="17" t="n">
        <f aca="false">IF($B348="",0,SUMIFS('Zoho Dump'!$X$8:$X$3007,'Zoho Dump'!$N$8:$N$3007,$B348,'Zoho Dump'!$T$8:$T$3007,"Backlog")+SUMIFS(Adjustments!$K$8:$K$207,Adjustments!$B$8:$B$207,$B348,Adjustments!$H$8:$H$207,"Backlog"))</f>
        <v>0</v>
      </c>
      <c r="E348" s="17" t="n">
        <f aca="false">IF($B348="",0,SUMIFS('Zoho Dump'!$Y$8:$Y$3007,'Zoho Dump'!$N$8:$N$3007,$B348,'Zoho Dump'!$T$8:$T$3007,"Pipeline")+SUMIFS(Adjustments!$L$8:$L$207,Adjustments!$B$8:$B$207,$B348,Adjustments!$H$8:$H$207,"Pipeline")+SUMIFS('Zoho Dump'!$Y$8:$Y$3007,'Zoho Dump'!$N$8:$N$3007,$B348,'Zoho Dump'!$T$8:$T$3007,"Overdue")+SUMIFS(Adjustments!$L$8:$L$207,Adjustments!$B$8:$B$207,$B348,Adjustments!$H$8:$H$207,"Overdue"))</f>
        <v>0</v>
      </c>
      <c r="F348" s="17" t="n">
        <f aca="false">IF($B348="",0,SUMIFS('Zoho Dump'!$X$8:$X$3007,'Zoho Dump'!$N$8:$N$3007,$B348,'Zoho Dump'!$T$8:$T$3007,"Pipeline")+SUMIFS(Adjustments!$K$8:$K$207,Adjustments!$B$8:$B$207,$B348,Adjustments!$H$8:$H$207,"Pipeline")+SUMIFS('Zoho Dump'!$X$8:$X$3007,'Zoho Dump'!$N$8:$N$3007,$B348,'Zoho Dump'!$T$8:$T$3007,"Overdue")+SUMIFS(Adjustments!$K$8:$K$207,Adjustments!$B$8:$B$207,$B348,Adjustments!$H$8:$H$207,"Overdue"))</f>
        <v>0</v>
      </c>
      <c r="G348" s="17" t="n">
        <f aca="false">D348+F348</f>
        <v>0</v>
      </c>
      <c r="H348" s="18" t="n">
        <f aca="false">IF(SUM($G$5:$G$404)=0,0,G348/SUM($G$5:$G$404))</f>
        <v>0</v>
      </c>
      <c r="I348" s="17" t="n">
        <f aca="false">IF($B348="",0,SUMIFS('Zoho Dump'!$Q$8:$Q$3007,'Zoho Dump'!$N$8:$N$3007,$B348,'Zoho Dump'!$T$8:$T$3007,"Lost",'Zoho Dump'!$R$8:$R$3007,"&gt;="&amp;Settings!$B$4))</f>
        <v>0</v>
      </c>
      <c r="J348" s="9" t="str">
        <f aca="false">IF($B348="","",IF(COUNTIF(Dashboard!$C$13:$C$22,$B348)&gt;0,"Yes",""))</f>
        <v/>
      </c>
      <c r="K348" s="17" t="n">
        <f aca="false">IF($B348="",0,SUMIFS('Zoho Dump'!$X$8:$X$3007,'Zoho Dump'!$N$8:$N$3007,$B348,'Zoho Dump'!$P$8:$P$3007,Settings!$A$12)+SUMIFS(Adjustments!$K$8:$K$207,Adjustments!$B$8:$B$207,$B348,Adjustments!$A$8:$A$207,Settings!$A$12))</f>
        <v>0</v>
      </c>
      <c r="L348" s="17" t="n">
        <f aca="false">IF($B348="",0,SUMIFS('Zoho Dump'!$X$8:$X$3007,'Zoho Dump'!$N$8:$N$3007,$B348,'Zoho Dump'!$P$8:$P$3007,Settings!$A$13)+SUMIFS(Adjustments!$K$8:$K$207,Adjustments!$B$8:$B$207,$B348,Adjustments!$A$8:$A$207,Settings!$A$13))</f>
        <v>0</v>
      </c>
      <c r="M348" s="17" t="n">
        <f aca="false">IF($B348="",0,SUMIFS('Zoho Dump'!$X$8:$X$3007,'Zoho Dump'!$N$8:$N$3007,$B348,'Zoho Dump'!$P$8:$P$3007,Settings!$A$14)+SUMIFS(Adjustments!$K$8:$K$207,Adjustments!$B$8:$B$207,$B348,Adjustments!$A$8:$A$207,Settings!$A$14))</f>
        <v>0</v>
      </c>
      <c r="N348" s="17" t="n">
        <f aca="false">IF($B348="",0,SUMIFS('Zoho Dump'!$X$8:$X$3007,'Zoho Dump'!$N$8:$N$3007,$B348,'Zoho Dump'!$P$8:$P$3007,Settings!$A$15)+SUMIFS(Adjustments!$K$8:$K$207,Adjustments!$B$8:$B$207,$B348,Adjustments!$A$8:$A$207,Settings!$A$15))</f>
        <v>0</v>
      </c>
      <c r="O348" s="17" t="n">
        <f aca="false">IF($B348="",0,SUMIFS('Zoho Dump'!$X$8:$X$3007,'Zoho Dump'!$N$8:$N$3007,$B348,'Zoho Dump'!$P$8:$P$3007,Settings!$A$16)+SUMIFS(Adjustments!$K$8:$K$207,Adjustments!$B$8:$B$207,$B348,Adjustments!$A$8:$A$207,Settings!$A$16))</f>
        <v>0</v>
      </c>
      <c r="P348" s="17" t="n">
        <f aca="false">IF($B348="",0,SUMIFS('Zoho Dump'!$X$8:$X$3007,'Zoho Dump'!$N$8:$N$3007,$B348,'Zoho Dump'!$P$8:$P$3007,Settings!$A$17)+SUMIFS(Adjustments!$K$8:$K$207,Adjustments!$B$8:$B$207,$B348,Adjustments!$A$8:$A$207,Settings!$A$17))</f>
        <v>0</v>
      </c>
      <c r="Q348" s="17" t="n">
        <f aca="false">IF($B348="",0,SUMIFS('Zoho Dump'!$X$8:$X$3007,'Zoho Dump'!$N$8:$N$3007,$B348,'Zoho Dump'!$P$8:$P$3007,Settings!$A$18)+SUMIFS(Adjustments!$K$8:$K$207,Adjustments!$B$8:$B$207,$B348,Adjustments!$A$8:$A$207,Settings!$A$18))</f>
        <v>0</v>
      </c>
      <c r="R348" s="30" t="str">
        <f aca="false">IF(G348&gt;0,G348+A348/10000000,"")</f>
        <v/>
      </c>
    </row>
    <row r="349" customFormat="false" ht="15" hidden="false" customHeight="false" outlineLevel="0" collapsed="false">
      <c r="A349" s="9" t="n">
        <v>345</v>
      </c>
      <c r="B349" s="9" t="str">
        <f aca="false">IFERROR(INDEX('Zoho Dump'!$N$8:$N$3007,MATCH(A349,'Zoho Dump'!$AB$8:$AB$3007,0)),"")</f>
        <v/>
      </c>
      <c r="C349" s="17" t="n">
        <f aca="false">IF($B349="",0,SUMIFS('Zoho Dump'!$Q$8:$Q$3007,'Zoho Dump'!$N$8:$N$3007,$B349,'Zoho Dump'!$T$8:$T$3007,"Delivered",'Zoho Dump'!$R$8:$R$3007,"&gt;="&amp;Settings!$B$4))</f>
        <v>0</v>
      </c>
      <c r="D349" s="17" t="n">
        <f aca="false">IF($B349="",0,SUMIFS('Zoho Dump'!$X$8:$X$3007,'Zoho Dump'!$N$8:$N$3007,$B349,'Zoho Dump'!$T$8:$T$3007,"Backlog")+SUMIFS(Adjustments!$K$8:$K$207,Adjustments!$B$8:$B$207,$B349,Adjustments!$H$8:$H$207,"Backlog"))</f>
        <v>0</v>
      </c>
      <c r="E349" s="17" t="n">
        <f aca="false">IF($B349="",0,SUMIFS('Zoho Dump'!$Y$8:$Y$3007,'Zoho Dump'!$N$8:$N$3007,$B349,'Zoho Dump'!$T$8:$T$3007,"Pipeline")+SUMIFS(Adjustments!$L$8:$L$207,Adjustments!$B$8:$B$207,$B349,Adjustments!$H$8:$H$207,"Pipeline")+SUMIFS('Zoho Dump'!$Y$8:$Y$3007,'Zoho Dump'!$N$8:$N$3007,$B349,'Zoho Dump'!$T$8:$T$3007,"Overdue")+SUMIFS(Adjustments!$L$8:$L$207,Adjustments!$B$8:$B$207,$B349,Adjustments!$H$8:$H$207,"Overdue"))</f>
        <v>0</v>
      </c>
      <c r="F349" s="17" t="n">
        <f aca="false">IF($B349="",0,SUMIFS('Zoho Dump'!$X$8:$X$3007,'Zoho Dump'!$N$8:$N$3007,$B349,'Zoho Dump'!$T$8:$T$3007,"Pipeline")+SUMIFS(Adjustments!$K$8:$K$207,Adjustments!$B$8:$B$207,$B349,Adjustments!$H$8:$H$207,"Pipeline")+SUMIFS('Zoho Dump'!$X$8:$X$3007,'Zoho Dump'!$N$8:$N$3007,$B349,'Zoho Dump'!$T$8:$T$3007,"Overdue")+SUMIFS(Adjustments!$K$8:$K$207,Adjustments!$B$8:$B$207,$B349,Adjustments!$H$8:$H$207,"Overdue"))</f>
        <v>0</v>
      </c>
      <c r="G349" s="17" t="n">
        <f aca="false">D349+F349</f>
        <v>0</v>
      </c>
      <c r="H349" s="18" t="n">
        <f aca="false">IF(SUM($G$5:$G$404)=0,0,G349/SUM($G$5:$G$404))</f>
        <v>0</v>
      </c>
      <c r="I349" s="17" t="n">
        <f aca="false">IF($B349="",0,SUMIFS('Zoho Dump'!$Q$8:$Q$3007,'Zoho Dump'!$N$8:$N$3007,$B349,'Zoho Dump'!$T$8:$T$3007,"Lost",'Zoho Dump'!$R$8:$R$3007,"&gt;="&amp;Settings!$B$4))</f>
        <v>0</v>
      </c>
      <c r="J349" s="9" t="str">
        <f aca="false">IF($B349="","",IF(COUNTIF(Dashboard!$C$13:$C$22,$B349)&gt;0,"Yes",""))</f>
        <v/>
      </c>
      <c r="K349" s="17" t="n">
        <f aca="false">IF($B349="",0,SUMIFS('Zoho Dump'!$X$8:$X$3007,'Zoho Dump'!$N$8:$N$3007,$B349,'Zoho Dump'!$P$8:$P$3007,Settings!$A$12)+SUMIFS(Adjustments!$K$8:$K$207,Adjustments!$B$8:$B$207,$B349,Adjustments!$A$8:$A$207,Settings!$A$12))</f>
        <v>0</v>
      </c>
      <c r="L349" s="17" t="n">
        <f aca="false">IF($B349="",0,SUMIFS('Zoho Dump'!$X$8:$X$3007,'Zoho Dump'!$N$8:$N$3007,$B349,'Zoho Dump'!$P$8:$P$3007,Settings!$A$13)+SUMIFS(Adjustments!$K$8:$K$207,Adjustments!$B$8:$B$207,$B349,Adjustments!$A$8:$A$207,Settings!$A$13))</f>
        <v>0</v>
      </c>
      <c r="M349" s="17" t="n">
        <f aca="false">IF($B349="",0,SUMIFS('Zoho Dump'!$X$8:$X$3007,'Zoho Dump'!$N$8:$N$3007,$B349,'Zoho Dump'!$P$8:$P$3007,Settings!$A$14)+SUMIFS(Adjustments!$K$8:$K$207,Adjustments!$B$8:$B$207,$B349,Adjustments!$A$8:$A$207,Settings!$A$14))</f>
        <v>0</v>
      </c>
      <c r="N349" s="17" t="n">
        <f aca="false">IF($B349="",0,SUMIFS('Zoho Dump'!$X$8:$X$3007,'Zoho Dump'!$N$8:$N$3007,$B349,'Zoho Dump'!$P$8:$P$3007,Settings!$A$15)+SUMIFS(Adjustments!$K$8:$K$207,Adjustments!$B$8:$B$207,$B349,Adjustments!$A$8:$A$207,Settings!$A$15))</f>
        <v>0</v>
      </c>
      <c r="O349" s="17" t="n">
        <f aca="false">IF($B349="",0,SUMIFS('Zoho Dump'!$X$8:$X$3007,'Zoho Dump'!$N$8:$N$3007,$B349,'Zoho Dump'!$P$8:$P$3007,Settings!$A$16)+SUMIFS(Adjustments!$K$8:$K$207,Adjustments!$B$8:$B$207,$B349,Adjustments!$A$8:$A$207,Settings!$A$16))</f>
        <v>0</v>
      </c>
      <c r="P349" s="17" t="n">
        <f aca="false">IF($B349="",0,SUMIFS('Zoho Dump'!$X$8:$X$3007,'Zoho Dump'!$N$8:$N$3007,$B349,'Zoho Dump'!$P$8:$P$3007,Settings!$A$17)+SUMIFS(Adjustments!$K$8:$K$207,Adjustments!$B$8:$B$207,$B349,Adjustments!$A$8:$A$207,Settings!$A$17))</f>
        <v>0</v>
      </c>
      <c r="Q349" s="17" t="n">
        <f aca="false">IF($B349="",0,SUMIFS('Zoho Dump'!$X$8:$X$3007,'Zoho Dump'!$N$8:$N$3007,$B349,'Zoho Dump'!$P$8:$P$3007,Settings!$A$18)+SUMIFS(Adjustments!$K$8:$K$207,Adjustments!$B$8:$B$207,$B349,Adjustments!$A$8:$A$207,Settings!$A$18))</f>
        <v>0</v>
      </c>
      <c r="R349" s="30" t="str">
        <f aca="false">IF(G349&gt;0,G349+A349/10000000,"")</f>
        <v/>
      </c>
    </row>
    <row r="350" customFormat="false" ht="15" hidden="false" customHeight="false" outlineLevel="0" collapsed="false">
      <c r="A350" s="9" t="n">
        <v>346</v>
      </c>
      <c r="B350" s="9" t="str">
        <f aca="false">IFERROR(INDEX('Zoho Dump'!$N$8:$N$3007,MATCH(A350,'Zoho Dump'!$AB$8:$AB$3007,0)),"")</f>
        <v/>
      </c>
      <c r="C350" s="17" t="n">
        <f aca="false">IF($B350="",0,SUMIFS('Zoho Dump'!$Q$8:$Q$3007,'Zoho Dump'!$N$8:$N$3007,$B350,'Zoho Dump'!$T$8:$T$3007,"Delivered",'Zoho Dump'!$R$8:$R$3007,"&gt;="&amp;Settings!$B$4))</f>
        <v>0</v>
      </c>
      <c r="D350" s="17" t="n">
        <f aca="false">IF($B350="",0,SUMIFS('Zoho Dump'!$X$8:$X$3007,'Zoho Dump'!$N$8:$N$3007,$B350,'Zoho Dump'!$T$8:$T$3007,"Backlog")+SUMIFS(Adjustments!$K$8:$K$207,Adjustments!$B$8:$B$207,$B350,Adjustments!$H$8:$H$207,"Backlog"))</f>
        <v>0</v>
      </c>
      <c r="E350" s="17" t="n">
        <f aca="false">IF($B350="",0,SUMIFS('Zoho Dump'!$Y$8:$Y$3007,'Zoho Dump'!$N$8:$N$3007,$B350,'Zoho Dump'!$T$8:$T$3007,"Pipeline")+SUMIFS(Adjustments!$L$8:$L$207,Adjustments!$B$8:$B$207,$B350,Adjustments!$H$8:$H$207,"Pipeline")+SUMIFS('Zoho Dump'!$Y$8:$Y$3007,'Zoho Dump'!$N$8:$N$3007,$B350,'Zoho Dump'!$T$8:$T$3007,"Overdue")+SUMIFS(Adjustments!$L$8:$L$207,Adjustments!$B$8:$B$207,$B350,Adjustments!$H$8:$H$207,"Overdue"))</f>
        <v>0</v>
      </c>
      <c r="F350" s="17" t="n">
        <f aca="false">IF($B350="",0,SUMIFS('Zoho Dump'!$X$8:$X$3007,'Zoho Dump'!$N$8:$N$3007,$B350,'Zoho Dump'!$T$8:$T$3007,"Pipeline")+SUMIFS(Adjustments!$K$8:$K$207,Adjustments!$B$8:$B$207,$B350,Adjustments!$H$8:$H$207,"Pipeline")+SUMIFS('Zoho Dump'!$X$8:$X$3007,'Zoho Dump'!$N$8:$N$3007,$B350,'Zoho Dump'!$T$8:$T$3007,"Overdue")+SUMIFS(Adjustments!$K$8:$K$207,Adjustments!$B$8:$B$207,$B350,Adjustments!$H$8:$H$207,"Overdue"))</f>
        <v>0</v>
      </c>
      <c r="G350" s="17" t="n">
        <f aca="false">D350+F350</f>
        <v>0</v>
      </c>
      <c r="H350" s="18" t="n">
        <f aca="false">IF(SUM($G$5:$G$404)=0,0,G350/SUM($G$5:$G$404))</f>
        <v>0</v>
      </c>
      <c r="I350" s="17" t="n">
        <f aca="false">IF($B350="",0,SUMIFS('Zoho Dump'!$Q$8:$Q$3007,'Zoho Dump'!$N$8:$N$3007,$B350,'Zoho Dump'!$T$8:$T$3007,"Lost",'Zoho Dump'!$R$8:$R$3007,"&gt;="&amp;Settings!$B$4))</f>
        <v>0</v>
      </c>
      <c r="J350" s="9" t="str">
        <f aca="false">IF($B350="","",IF(COUNTIF(Dashboard!$C$13:$C$22,$B350)&gt;0,"Yes",""))</f>
        <v/>
      </c>
      <c r="K350" s="17" t="n">
        <f aca="false">IF($B350="",0,SUMIFS('Zoho Dump'!$X$8:$X$3007,'Zoho Dump'!$N$8:$N$3007,$B350,'Zoho Dump'!$P$8:$P$3007,Settings!$A$12)+SUMIFS(Adjustments!$K$8:$K$207,Adjustments!$B$8:$B$207,$B350,Adjustments!$A$8:$A$207,Settings!$A$12))</f>
        <v>0</v>
      </c>
      <c r="L350" s="17" t="n">
        <f aca="false">IF($B350="",0,SUMIFS('Zoho Dump'!$X$8:$X$3007,'Zoho Dump'!$N$8:$N$3007,$B350,'Zoho Dump'!$P$8:$P$3007,Settings!$A$13)+SUMIFS(Adjustments!$K$8:$K$207,Adjustments!$B$8:$B$207,$B350,Adjustments!$A$8:$A$207,Settings!$A$13))</f>
        <v>0</v>
      </c>
      <c r="M350" s="17" t="n">
        <f aca="false">IF($B350="",0,SUMIFS('Zoho Dump'!$X$8:$X$3007,'Zoho Dump'!$N$8:$N$3007,$B350,'Zoho Dump'!$P$8:$P$3007,Settings!$A$14)+SUMIFS(Adjustments!$K$8:$K$207,Adjustments!$B$8:$B$207,$B350,Adjustments!$A$8:$A$207,Settings!$A$14))</f>
        <v>0</v>
      </c>
      <c r="N350" s="17" t="n">
        <f aca="false">IF($B350="",0,SUMIFS('Zoho Dump'!$X$8:$X$3007,'Zoho Dump'!$N$8:$N$3007,$B350,'Zoho Dump'!$P$8:$P$3007,Settings!$A$15)+SUMIFS(Adjustments!$K$8:$K$207,Adjustments!$B$8:$B$207,$B350,Adjustments!$A$8:$A$207,Settings!$A$15))</f>
        <v>0</v>
      </c>
      <c r="O350" s="17" t="n">
        <f aca="false">IF($B350="",0,SUMIFS('Zoho Dump'!$X$8:$X$3007,'Zoho Dump'!$N$8:$N$3007,$B350,'Zoho Dump'!$P$8:$P$3007,Settings!$A$16)+SUMIFS(Adjustments!$K$8:$K$207,Adjustments!$B$8:$B$207,$B350,Adjustments!$A$8:$A$207,Settings!$A$16))</f>
        <v>0</v>
      </c>
      <c r="P350" s="17" t="n">
        <f aca="false">IF($B350="",0,SUMIFS('Zoho Dump'!$X$8:$X$3007,'Zoho Dump'!$N$8:$N$3007,$B350,'Zoho Dump'!$P$8:$P$3007,Settings!$A$17)+SUMIFS(Adjustments!$K$8:$K$207,Adjustments!$B$8:$B$207,$B350,Adjustments!$A$8:$A$207,Settings!$A$17))</f>
        <v>0</v>
      </c>
      <c r="Q350" s="17" t="n">
        <f aca="false">IF($B350="",0,SUMIFS('Zoho Dump'!$X$8:$X$3007,'Zoho Dump'!$N$8:$N$3007,$B350,'Zoho Dump'!$P$8:$P$3007,Settings!$A$18)+SUMIFS(Adjustments!$K$8:$K$207,Adjustments!$B$8:$B$207,$B350,Adjustments!$A$8:$A$207,Settings!$A$18))</f>
        <v>0</v>
      </c>
      <c r="R350" s="30" t="str">
        <f aca="false">IF(G350&gt;0,G350+A350/10000000,"")</f>
        <v/>
      </c>
    </row>
    <row r="351" customFormat="false" ht="15" hidden="false" customHeight="false" outlineLevel="0" collapsed="false">
      <c r="A351" s="9" t="n">
        <v>347</v>
      </c>
      <c r="B351" s="9" t="str">
        <f aca="false">IFERROR(INDEX('Zoho Dump'!$N$8:$N$3007,MATCH(A351,'Zoho Dump'!$AB$8:$AB$3007,0)),"")</f>
        <v/>
      </c>
      <c r="C351" s="17" t="n">
        <f aca="false">IF($B351="",0,SUMIFS('Zoho Dump'!$Q$8:$Q$3007,'Zoho Dump'!$N$8:$N$3007,$B351,'Zoho Dump'!$T$8:$T$3007,"Delivered",'Zoho Dump'!$R$8:$R$3007,"&gt;="&amp;Settings!$B$4))</f>
        <v>0</v>
      </c>
      <c r="D351" s="17" t="n">
        <f aca="false">IF($B351="",0,SUMIFS('Zoho Dump'!$X$8:$X$3007,'Zoho Dump'!$N$8:$N$3007,$B351,'Zoho Dump'!$T$8:$T$3007,"Backlog")+SUMIFS(Adjustments!$K$8:$K$207,Adjustments!$B$8:$B$207,$B351,Adjustments!$H$8:$H$207,"Backlog"))</f>
        <v>0</v>
      </c>
      <c r="E351" s="17" t="n">
        <f aca="false">IF($B351="",0,SUMIFS('Zoho Dump'!$Y$8:$Y$3007,'Zoho Dump'!$N$8:$N$3007,$B351,'Zoho Dump'!$T$8:$T$3007,"Pipeline")+SUMIFS(Adjustments!$L$8:$L$207,Adjustments!$B$8:$B$207,$B351,Adjustments!$H$8:$H$207,"Pipeline")+SUMIFS('Zoho Dump'!$Y$8:$Y$3007,'Zoho Dump'!$N$8:$N$3007,$B351,'Zoho Dump'!$T$8:$T$3007,"Overdue")+SUMIFS(Adjustments!$L$8:$L$207,Adjustments!$B$8:$B$207,$B351,Adjustments!$H$8:$H$207,"Overdue"))</f>
        <v>0</v>
      </c>
      <c r="F351" s="17" t="n">
        <f aca="false">IF($B351="",0,SUMIFS('Zoho Dump'!$X$8:$X$3007,'Zoho Dump'!$N$8:$N$3007,$B351,'Zoho Dump'!$T$8:$T$3007,"Pipeline")+SUMIFS(Adjustments!$K$8:$K$207,Adjustments!$B$8:$B$207,$B351,Adjustments!$H$8:$H$207,"Pipeline")+SUMIFS('Zoho Dump'!$X$8:$X$3007,'Zoho Dump'!$N$8:$N$3007,$B351,'Zoho Dump'!$T$8:$T$3007,"Overdue")+SUMIFS(Adjustments!$K$8:$K$207,Adjustments!$B$8:$B$207,$B351,Adjustments!$H$8:$H$207,"Overdue"))</f>
        <v>0</v>
      </c>
      <c r="G351" s="17" t="n">
        <f aca="false">D351+F351</f>
        <v>0</v>
      </c>
      <c r="H351" s="18" t="n">
        <f aca="false">IF(SUM($G$5:$G$404)=0,0,G351/SUM($G$5:$G$404))</f>
        <v>0</v>
      </c>
      <c r="I351" s="17" t="n">
        <f aca="false">IF($B351="",0,SUMIFS('Zoho Dump'!$Q$8:$Q$3007,'Zoho Dump'!$N$8:$N$3007,$B351,'Zoho Dump'!$T$8:$T$3007,"Lost",'Zoho Dump'!$R$8:$R$3007,"&gt;="&amp;Settings!$B$4))</f>
        <v>0</v>
      </c>
      <c r="J351" s="9" t="str">
        <f aca="false">IF($B351="","",IF(COUNTIF(Dashboard!$C$13:$C$22,$B351)&gt;0,"Yes",""))</f>
        <v/>
      </c>
      <c r="K351" s="17" t="n">
        <f aca="false">IF($B351="",0,SUMIFS('Zoho Dump'!$X$8:$X$3007,'Zoho Dump'!$N$8:$N$3007,$B351,'Zoho Dump'!$P$8:$P$3007,Settings!$A$12)+SUMIFS(Adjustments!$K$8:$K$207,Adjustments!$B$8:$B$207,$B351,Adjustments!$A$8:$A$207,Settings!$A$12))</f>
        <v>0</v>
      </c>
      <c r="L351" s="17" t="n">
        <f aca="false">IF($B351="",0,SUMIFS('Zoho Dump'!$X$8:$X$3007,'Zoho Dump'!$N$8:$N$3007,$B351,'Zoho Dump'!$P$8:$P$3007,Settings!$A$13)+SUMIFS(Adjustments!$K$8:$K$207,Adjustments!$B$8:$B$207,$B351,Adjustments!$A$8:$A$207,Settings!$A$13))</f>
        <v>0</v>
      </c>
      <c r="M351" s="17" t="n">
        <f aca="false">IF($B351="",0,SUMIFS('Zoho Dump'!$X$8:$X$3007,'Zoho Dump'!$N$8:$N$3007,$B351,'Zoho Dump'!$P$8:$P$3007,Settings!$A$14)+SUMIFS(Adjustments!$K$8:$K$207,Adjustments!$B$8:$B$207,$B351,Adjustments!$A$8:$A$207,Settings!$A$14))</f>
        <v>0</v>
      </c>
      <c r="N351" s="17" t="n">
        <f aca="false">IF($B351="",0,SUMIFS('Zoho Dump'!$X$8:$X$3007,'Zoho Dump'!$N$8:$N$3007,$B351,'Zoho Dump'!$P$8:$P$3007,Settings!$A$15)+SUMIFS(Adjustments!$K$8:$K$207,Adjustments!$B$8:$B$207,$B351,Adjustments!$A$8:$A$207,Settings!$A$15))</f>
        <v>0</v>
      </c>
      <c r="O351" s="17" t="n">
        <f aca="false">IF($B351="",0,SUMIFS('Zoho Dump'!$X$8:$X$3007,'Zoho Dump'!$N$8:$N$3007,$B351,'Zoho Dump'!$P$8:$P$3007,Settings!$A$16)+SUMIFS(Adjustments!$K$8:$K$207,Adjustments!$B$8:$B$207,$B351,Adjustments!$A$8:$A$207,Settings!$A$16))</f>
        <v>0</v>
      </c>
      <c r="P351" s="17" t="n">
        <f aca="false">IF($B351="",0,SUMIFS('Zoho Dump'!$X$8:$X$3007,'Zoho Dump'!$N$8:$N$3007,$B351,'Zoho Dump'!$P$8:$P$3007,Settings!$A$17)+SUMIFS(Adjustments!$K$8:$K$207,Adjustments!$B$8:$B$207,$B351,Adjustments!$A$8:$A$207,Settings!$A$17))</f>
        <v>0</v>
      </c>
      <c r="Q351" s="17" t="n">
        <f aca="false">IF($B351="",0,SUMIFS('Zoho Dump'!$X$8:$X$3007,'Zoho Dump'!$N$8:$N$3007,$B351,'Zoho Dump'!$P$8:$P$3007,Settings!$A$18)+SUMIFS(Adjustments!$K$8:$K$207,Adjustments!$B$8:$B$207,$B351,Adjustments!$A$8:$A$207,Settings!$A$18))</f>
        <v>0</v>
      </c>
      <c r="R351" s="30" t="str">
        <f aca="false">IF(G351&gt;0,G351+A351/10000000,"")</f>
        <v/>
      </c>
    </row>
    <row r="352" customFormat="false" ht="15" hidden="false" customHeight="false" outlineLevel="0" collapsed="false">
      <c r="A352" s="9" t="n">
        <v>348</v>
      </c>
      <c r="B352" s="9" t="str">
        <f aca="false">IFERROR(INDEX('Zoho Dump'!$N$8:$N$3007,MATCH(A352,'Zoho Dump'!$AB$8:$AB$3007,0)),"")</f>
        <v/>
      </c>
      <c r="C352" s="17" t="n">
        <f aca="false">IF($B352="",0,SUMIFS('Zoho Dump'!$Q$8:$Q$3007,'Zoho Dump'!$N$8:$N$3007,$B352,'Zoho Dump'!$T$8:$T$3007,"Delivered",'Zoho Dump'!$R$8:$R$3007,"&gt;="&amp;Settings!$B$4))</f>
        <v>0</v>
      </c>
      <c r="D352" s="17" t="n">
        <f aca="false">IF($B352="",0,SUMIFS('Zoho Dump'!$X$8:$X$3007,'Zoho Dump'!$N$8:$N$3007,$B352,'Zoho Dump'!$T$8:$T$3007,"Backlog")+SUMIFS(Adjustments!$K$8:$K$207,Adjustments!$B$8:$B$207,$B352,Adjustments!$H$8:$H$207,"Backlog"))</f>
        <v>0</v>
      </c>
      <c r="E352" s="17" t="n">
        <f aca="false">IF($B352="",0,SUMIFS('Zoho Dump'!$Y$8:$Y$3007,'Zoho Dump'!$N$8:$N$3007,$B352,'Zoho Dump'!$T$8:$T$3007,"Pipeline")+SUMIFS(Adjustments!$L$8:$L$207,Adjustments!$B$8:$B$207,$B352,Adjustments!$H$8:$H$207,"Pipeline")+SUMIFS('Zoho Dump'!$Y$8:$Y$3007,'Zoho Dump'!$N$8:$N$3007,$B352,'Zoho Dump'!$T$8:$T$3007,"Overdue")+SUMIFS(Adjustments!$L$8:$L$207,Adjustments!$B$8:$B$207,$B352,Adjustments!$H$8:$H$207,"Overdue"))</f>
        <v>0</v>
      </c>
      <c r="F352" s="17" t="n">
        <f aca="false">IF($B352="",0,SUMIFS('Zoho Dump'!$X$8:$X$3007,'Zoho Dump'!$N$8:$N$3007,$B352,'Zoho Dump'!$T$8:$T$3007,"Pipeline")+SUMIFS(Adjustments!$K$8:$K$207,Adjustments!$B$8:$B$207,$B352,Adjustments!$H$8:$H$207,"Pipeline")+SUMIFS('Zoho Dump'!$X$8:$X$3007,'Zoho Dump'!$N$8:$N$3007,$B352,'Zoho Dump'!$T$8:$T$3007,"Overdue")+SUMIFS(Adjustments!$K$8:$K$207,Adjustments!$B$8:$B$207,$B352,Adjustments!$H$8:$H$207,"Overdue"))</f>
        <v>0</v>
      </c>
      <c r="G352" s="17" t="n">
        <f aca="false">D352+F352</f>
        <v>0</v>
      </c>
      <c r="H352" s="18" t="n">
        <f aca="false">IF(SUM($G$5:$G$404)=0,0,G352/SUM($G$5:$G$404))</f>
        <v>0</v>
      </c>
      <c r="I352" s="17" t="n">
        <f aca="false">IF($B352="",0,SUMIFS('Zoho Dump'!$Q$8:$Q$3007,'Zoho Dump'!$N$8:$N$3007,$B352,'Zoho Dump'!$T$8:$T$3007,"Lost",'Zoho Dump'!$R$8:$R$3007,"&gt;="&amp;Settings!$B$4))</f>
        <v>0</v>
      </c>
      <c r="J352" s="9" t="str">
        <f aca="false">IF($B352="","",IF(COUNTIF(Dashboard!$C$13:$C$22,$B352)&gt;0,"Yes",""))</f>
        <v/>
      </c>
      <c r="K352" s="17" t="n">
        <f aca="false">IF($B352="",0,SUMIFS('Zoho Dump'!$X$8:$X$3007,'Zoho Dump'!$N$8:$N$3007,$B352,'Zoho Dump'!$P$8:$P$3007,Settings!$A$12)+SUMIFS(Adjustments!$K$8:$K$207,Adjustments!$B$8:$B$207,$B352,Adjustments!$A$8:$A$207,Settings!$A$12))</f>
        <v>0</v>
      </c>
      <c r="L352" s="17" t="n">
        <f aca="false">IF($B352="",0,SUMIFS('Zoho Dump'!$X$8:$X$3007,'Zoho Dump'!$N$8:$N$3007,$B352,'Zoho Dump'!$P$8:$P$3007,Settings!$A$13)+SUMIFS(Adjustments!$K$8:$K$207,Adjustments!$B$8:$B$207,$B352,Adjustments!$A$8:$A$207,Settings!$A$13))</f>
        <v>0</v>
      </c>
      <c r="M352" s="17" t="n">
        <f aca="false">IF($B352="",0,SUMIFS('Zoho Dump'!$X$8:$X$3007,'Zoho Dump'!$N$8:$N$3007,$B352,'Zoho Dump'!$P$8:$P$3007,Settings!$A$14)+SUMIFS(Adjustments!$K$8:$K$207,Adjustments!$B$8:$B$207,$B352,Adjustments!$A$8:$A$207,Settings!$A$14))</f>
        <v>0</v>
      </c>
      <c r="N352" s="17" t="n">
        <f aca="false">IF($B352="",0,SUMIFS('Zoho Dump'!$X$8:$X$3007,'Zoho Dump'!$N$8:$N$3007,$B352,'Zoho Dump'!$P$8:$P$3007,Settings!$A$15)+SUMIFS(Adjustments!$K$8:$K$207,Adjustments!$B$8:$B$207,$B352,Adjustments!$A$8:$A$207,Settings!$A$15))</f>
        <v>0</v>
      </c>
      <c r="O352" s="17" t="n">
        <f aca="false">IF($B352="",0,SUMIFS('Zoho Dump'!$X$8:$X$3007,'Zoho Dump'!$N$8:$N$3007,$B352,'Zoho Dump'!$P$8:$P$3007,Settings!$A$16)+SUMIFS(Adjustments!$K$8:$K$207,Adjustments!$B$8:$B$207,$B352,Adjustments!$A$8:$A$207,Settings!$A$16))</f>
        <v>0</v>
      </c>
      <c r="P352" s="17" t="n">
        <f aca="false">IF($B352="",0,SUMIFS('Zoho Dump'!$X$8:$X$3007,'Zoho Dump'!$N$8:$N$3007,$B352,'Zoho Dump'!$P$8:$P$3007,Settings!$A$17)+SUMIFS(Adjustments!$K$8:$K$207,Adjustments!$B$8:$B$207,$B352,Adjustments!$A$8:$A$207,Settings!$A$17))</f>
        <v>0</v>
      </c>
      <c r="Q352" s="17" t="n">
        <f aca="false">IF($B352="",0,SUMIFS('Zoho Dump'!$X$8:$X$3007,'Zoho Dump'!$N$8:$N$3007,$B352,'Zoho Dump'!$P$8:$P$3007,Settings!$A$18)+SUMIFS(Adjustments!$K$8:$K$207,Adjustments!$B$8:$B$207,$B352,Adjustments!$A$8:$A$207,Settings!$A$18))</f>
        <v>0</v>
      </c>
      <c r="R352" s="30" t="str">
        <f aca="false">IF(G352&gt;0,G352+A352/10000000,"")</f>
        <v/>
      </c>
    </row>
    <row r="353" customFormat="false" ht="15" hidden="false" customHeight="false" outlineLevel="0" collapsed="false">
      <c r="A353" s="9" t="n">
        <v>349</v>
      </c>
      <c r="B353" s="9" t="str">
        <f aca="false">IFERROR(INDEX('Zoho Dump'!$N$8:$N$3007,MATCH(A353,'Zoho Dump'!$AB$8:$AB$3007,0)),"")</f>
        <v/>
      </c>
      <c r="C353" s="17" t="n">
        <f aca="false">IF($B353="",0,SUMIFS('Zoho Dump'!$Q$8:$Q$3007,'Zoho Dump'!$N$8:$N$3007,$B353,'Zoho Dump'!$T$8:$T$3007,"Delivered",'Zoho Dump'!$R$8:$R$3007,"&gt;="&amp;Settings!$B$4))</f>
        <v>0</v>
      </c>
      <c r="D353" s="17" t="n">
        <f aca="false">IF($B353="",0,SUMIFS('Zoho Dump'!$X$8:$X$3007,'Zoho Dump'!$N$8:$N$3007,$B353,'Zoho Dump'!$T$8:$T$3007,"Backlog")+SUMIFS(Adjustments!$K$8:$K$207,Adjustments!$B$8:$B$207,$B353,Adjustments!$H$8:$H$207,"Backlog"))</f>
        <v>0</v>
      </c>
      <c r="E353" s="17" t="n">
        <f aca="false">IF($B353="",0,SUMIFS('Zoho Dump'!$Y$8:$Y$3007,'Zoho Dump'!$N$8:$N$3007,$B353,'Zoho Dump'!$T$8:$T$3007,"Pipeline")+SUMIFS(Adjustments!$L$8:$L$207,Adjustments!$B$8:$B$207,$B353,Adjustments!$H$8:$H$207,"Pipeline")+SUMIFS('Zoho Dump'!$Y$8:$Y$3007,'Zoho Dump'!$N$8:$N$3007,$B353,'Zoho Dump'!$T$8:$T$3007,"Overdue")+SUMIFS(Adjustments!$L$8:$L$207,Adjustments!$B$8:$B$207,$B353,Adjustments!$H$8:$H$207,"Overdue"))</f>
        <v>0</v>
      </c>
      <c r="F353" s="17" t="n">
        <f aca="false">IF($B353="",0,SUMIFS('Zoho Dump'!$X$8:$X$3007,'Zoho Dump'!$N$8:$N$3007,$B353,'Zoho Dump'!$T$8:$T$3007,"Pipeline")+SUMIFS(Adjustments!$K$8:$K$207,Adjustments!$B$8:$B$207,$B353,Adjustments!$H$8:$H$207,"Pipeline")+SUMIFS('Zoho Dump'!$X$8:$X$3007,'Zoho Dump'!$N$8:$N$3007,$B353,'Zoho Dump'!$T$8:$T$3007,"Overdue")+SUMIFS(Adjustments!$K$8:$K$207,Adjustments!$B$8:$B$207,$B353,Adjustments!$H$8:$H$207,"Overdue"))</f>
        <v>0</v>
      </c>
      <c r="G353" s="17" t="n">
        <f aca="false">D353+F353</f>
        <v>0</v>
      </c>
      <c r="H353" s="18" t="n">
        <f aca="false">IF(SUM($G$5:$G$404)=0,0,G353/SUM($G$5:$G$404))</f>
        <v>0</v>
      </c>
      <c r="I353" s="17" t="n">
        <f aca="false">IF($B353="",0,SUMIFS('Zoho Dump'!$Q$8:$Q$3007,'Zoho Dump'!$N$8:$N$3007,$B353,'Zoho Dump'!$T$8:$T$3007,"Lost",'Zoho Dump'!$R$8:$R$3007,"&gt;="&amp;Settings!$B$4))</f>
        <v>0</v>
      </c>
      <c r="J353" s="9" t="str">
        <f aca="false">IF($B353="","",IF(COUNTIF(Dashboard!$C$13:$C$22,$B353)&gt;0,"Yes",""))</f>
        <v/>
      </c>
      <c r="K353" s="17" t="n">
        <f aca="false">IF($B353="",0,SUMIFS('Zoho Dump'!$X$8:$X$3007,'Zoho Dump'!$N$8:$N$3007,$B353,'Zoho Dump'!$P$8:$P$3007,Settings!$A$12)+SUMIFS(Adjustments!$K$8:$K$207,Adjustments!$B$8:$B$207,$B353,Adjustments!$A$8:$A$207,Settings!$A$12))</f>
        <v>0</v>
      </c>
      <c r="L353" s="17" t="n">
        <f aca="false">IF($B353="",0,SUMIFS('Zoho Dump'!$X$8:$X$3007,'Zoho Dump'!$N$8:$N$3007,$B353,'Zoho Dump'!$P$8:$P$3007,Settings!$A$13)+SUMIFS(Adjustments!$K$8:$K$207,Adjustments!$B$8:$B$207,$B353,Adjustments!$A$8:$A$207,Settings!$A$13))</f>
        <v>0</v>
      </c>
      <c r="M353" s="17" t="n">
        <f aca="false">IF($B353="",0,SUMIFS('Zoho Dump'!$X$8:$X$3007,'Zoho Dump'!$N$8:$N$3007,$B353,'Zoho Dump'!$P$8:$P$3007,Settings!$A$14)+SUMIFS(Adjustments!$K$8:$K$207,Adjustments!$B$8:$B$207,$B353,Adjustments!$A$8:$A$207,Settings!$A$14))</f>
        <v>0</v>
      </c>
      <c r="N353" s="17" t="n">
        <f aca="false">IF($B353="",0,SUMIFS('Zoho Dump'!$X$8:$X$3007,'Zoho Dump'!$N$8:$N$3007,$B353,'Zoho Dump'!$P$8:$P$3007,Settings!$A$15)+SUMIFS(Adjustments!$K$8:$K$207,Adjustments!$B$8:$B$207,$B353,Adjustments!$A$8:$A$207,Settings!$A$15))</f>
        <v>0</v>
      </c>
      <c r="O353" s="17" t="n">
        <f aca="false">IF($B353="",0,SUMIFS('Zoho Dump'!$X$8:$X$3007,'Zoho Dump'!$N$8:$N$3007,$B353,'Zoho Dump'!$P$8:$P$3007,Settings!$A$16)+SUMIFS(Adjustments!$K$8:$K$207,Adjustments!$B$8:$B$207,$B353,Adjustments!$A$8:$A$207,Settings!$A$16))</f>
        <v>0</v>
      </c>
      <c r="P353" s="17" t="n">
        <f aca="false">IF($B353="",0,SUMIFS('Zoho Dump'!$X$8:$X$3007,'Zoho Dump'!$N$8:$N$3007,$B353,'Zoho Dump'!$P$8:$P$3007,Settings!$A$17)+SUMIFS(Adjustments!$K$8:$K$207,Adjustments!$B$8:$B$207,$B353,Adjustments!$A$8:$A$207,Settings!$A$17))</f>
        <v>0</v>
      </c>
      <c r="Q353" s="17" t="n">
        <f aca="false">IF($B353="",0,SUMIFS('Zoho Dump'!$X$8:$X$3007,'Zoho Dump'!$N$8:$N$3007,$B353,'Zoho Dump'!$P$8:$P$3007,Settings!$A$18)+SUMIFS(Adjustments!$K$8:$K$207,Adjustments!$B$8:$B$207,$B353,Adjustments!$A$8:$A$207,Settings!$A$18))</f>
        <v>0</v>
      </c>
      <c r="R353" s="30" t="str">
        <f aca="false">IF(G353&gt;0,G353+A353/10000000,"")</f>
        <v/>
      </c>
    </row>
    <row r="354" customFormat="false" ht="15" hidden="false" customHeight="false" outlineLevel="0" collapsed="false">
      <c r="A354" s="9" t="n">
        <v>350</v>
      </c>
      <c r="B354" s="9" t="str">
        <f aca="false">IFERROR(INDEX('Zoho Dump'!$N$8:$N$3007,MATCH(A354,'Zoho Dump'!$AB$8:$AB$3007,0)),"")</f>
        <v/>
      </c>
      <c r="C354" s="17" t="n">
        <f aca="false">IF($B354="",0,SUMIFS('Zoho Dump'!$Q$8:$Q$3007,'Zoho Dump'!$N$8:$N$3007,$B354,'Zoho Dump'!$T$8:$T$3007,"Delivered",'Zoho Dump'!$R$8:$R$3007,"&gt;="&amp;Settings!$B$4))</f>
        <v>0</v>
      </c>
      <c r="D354" s="17" t="n">
        <f aca="false">IF($B354="",0,SUMIFS('Zoho Dump'!$X$8:$X$3007,'Zoho Dump'!$N$8:$N$3007,$B354,'Zoho Dump'!$T$8:$T$3007,"Backlog")+SUMIFS(Adjustments!$K$8:$K$207,Adjustments!$B$8:$B$207,$B354,Adjustments!$H$8:$H$207,"Backlog"))</f>
        <v>0</v>
      </c>
      <c r="E354" s="17" t="n">
        <f aca="false">IF($B354="",0,SUMIFS('Zoho Dump'!$Y$8:$Y$3007,'Zoho Dump'!$N$8:$N$3007,$B354,'Zoho Dump'!$T$8:$T$3007,"Pipeline")+SUMIFS(Adjustments!$L$8:$L$207,Adjustments!$B$8:$B$207,$B354,Adjustments!$H$8:$H$207,"Pipeline")+SUMIFS('Zoho Dump'!$Y$8:$Y$3007,'Zoho Dump'!$N$8:$N$3007,$B354,'Zoho Dump'!$T$8:$T$3007,"Overdue")+SUMIFS(Adjustments!$L$8:$L$207,Adjustments!$B$8:$B$207,$B354,Adjustments!$H$8:$H$207,"Overdue"))</f>
        <v>0</v>
      </c>
      <c r="F354" s="17" t="n">
        <f aca="false">IF($B354="",0,SUMIFS('Zoho Dump'!$X$8:$X$3007,'Zoho Dump'!$N$8:$N$3007,$B354,'Zoho Dump'!$T$8:$T$3007,"Pipeline")+SUMIFS(Adjustments!$K$8:$K$207,Adjustments!$B$8:$B$207,$B354,Adjustments!$H$8:$H$207,"Pipeline")+SUMIFS('Zoho Dump'!$X$8:$X$3007,'Zoho Dump'!$N$8:$N$3007,$B354,'Zoho Dump'!$T$8:$T$3007,"Overdue")+SUMIFS(Adjustments!$K$8:$K$207,Adjustments!$B$8:$B$207,$B354,Adjustments!$H$8:$H$207,"Overdue"))</f>
        <v>0</v>
      </c>
      <c r="G354" s="17" t="n">
        <f aca="false">D354+F354</f>
        <v>0</v>
      </c>
      <c r="H354" s="18" t="n">
        <f aca="false">IF(SUM($G$5:$G$404)=0,0,G354/SUM($G$5:$G$404))</f>
        <v>0</v>
      </c>
      <c r="I354" s="17" t="n">
        <f aca="false">IF($B354="",0,SUMIFS('Zoho Dump'!$Q$8:$Q$3007,'Zoho Dump'!$N$8:$N$3007,$B354,'Zoho Dump'!$T$8:$T$3007,"Lost",'Zoho Dump'!$R$8:$R$3007,"&gt;="&amp;Settings!$B$4))</f>
        <v>0</v>
      </c>
      <c r="J354" s="9" t="str">
        <f aca="false">IF($B354="","",IF(COUNTIF(Dashboard!$C$13:$C$22,$B354)&gt;0,"Yes",""))</f>
        <v/>
      </c>
      <c r="K354" s="17" t="n">
        <f aca="false">IF($B354="",0,SUMIFS('Zoho Dump'!$X$8:$X$3007,'Zoho Dump'!$N$8:$N$3007,$B354,'Zoho Dump'!$P$8:$P$3007,Settings!$A$12)+SUMIFS(Adjustments!$K$8:$K$207,Adjustments!$B$8:$B$207,$B354,Adjustments!$A$8:$A$207,Settings!$A$12))</f>
        <v>0</v>
      </c>
      <c r="L354" s="17" t="n">
        <f aca="false">IF($B354="",0,SUMIFS('Zoho Dump'!$X$8:$X$3007,'Zoho Dump'!$N$8:$N$3007,$B354,'Zoho Dump'!$P$8:$P$3007,Settings!$A$13)+SUMIFS(Adjustments!$K$8:$K$207,Adjustments!$B$8:$B$207,$B354,Adjustments!$A$8:$A$207,Settings!$A$13))</f>
        <v>0</v>
      </c>
      <c r="M354" s="17" t="n">
        <f aca="false">IF($B354="",0,SUMIFS('Zoho Dump'!$X$8:$X$3007,'Zoho Dump'!$N$8:$N$3007,$B354,'Zoho Dump'!$P$8:$P$3007,Settings!$A$14)+SUMIFS(Adjustments!$K$8:$K$207,Adjustments!$B$8:$B$207,$B354,Adjustments!$A$8:$A$207,Settings!$A$14))</f>
        <v>0</v>
      </c>
      <c r="N354" s="17" t="n">
        <f aca="false">IF($B354="",0,SUMIFS('Zoho Dump'!$X$8:$X$3007,'Zoho Dump'!$N$8:$N$3007,$B354,'Zoho Dump'!$P$8:$P$3007,Settings!$A$15)+SUMIFS(Adjustments!$K$8:$K$207,Adjustments!$B$8:$B$207,$B354,Adjustments!$A$8:$A$207,Settings!$A$15))</f>
        <v>0</v>
      </c>
      <c r="O354" s="17" t="n">
        <f aca="false">IF($B354="",0,SUMIFS('Zoho Dump'!$X$8:$X$3007,'Zoho Dump'!$N$8:$N$3007,$B354,'Zoho Dump'!$P$8:$P$3007,Settings!$A$16)+SUMIFS(Adjustments!$K$8:$K$207,Adjustments!$B$8:$B$207,$B354,Adjustments!$A$8:$A$207,Settings!$A$16))</f>
        <v>0</v>
      </c>
      <c r="P354" s="17" t="n">
        <f aca="false">IF($B354="",0,SUMIFS('Zoho Dump'!$X$8:$X$3007,'Zoho Dump'!$N$8:$N$3007,$B354,'Zoho Dump'!$P$8:$P$3007,Settings!$A$17)+SUMIFS(Adjustments!$K$8:$K$207,Adjustments!$B$8:$B$207,$B354,Adjustments!$A$8:$A$207,Settings!$A$17))</f>
        <v>0</v>
      </c>
      <c r="Q354" s="17" t="n">
        <f aca="false">IF($B354="",0,SUMIFS('Zoho Dump'!$X$8:$X$3007,'Zoho Dump'!$N$8:$N$3007,$B354,'Zoho Dump'!$P$8:$P$3007,Settings!$A$18)+SUMIFS(Adjustments!$K$8:$K$207,Adjustments!$B$8:$B$207,$B354,Adjustments!$A$8:$A$207,Settings!$A$18))</f>
        <v>0</v>
      </c>
      <c r="R354" s="30" t="str">
        <f aca="false">IF(G354&gt;0,G354+A354/10000000,"")</f>
        <v/>
      </c>
    </row>
    <row r="355" customFormat="false" ht="15" hidden="false" customHeight="false" outlineLevel="0" collapsed="false">
      <c r="A355" s="9" t="n">
        <v>351</v>
      </c>
      <c r="B355" s="9" t="str">
        <f aca="false">IFERROR(INDEX('Zoho Dump'!$N$8:$N$3007,MATCH(A355,'Zoho Dump'!$AB$8:$AB$3007,0)),"")</f>
        <v/>
      </c>
      <c r="C355" s="17" t="n">
        <f aca="false">IF($B355="",0,SUMIFS('Zoho Dump'!$Q$8:$Q$3007,'Zoho Dump'!$N$8:$N$3007,$B355,'Zoho Dump'!$T$8:$T$3007,"Delivered",'Zoho Dump'!$R$8:$R$3007,"&gt;="&amp;Settings!$B$4))</f>
        <v>0</v>
      </c>
      <c r="D355" s="17" t="n">
        <f aca="false">IF($B355="",0,SUMIFS('Zoho Dump'!$X$8:$X$3007,'Zoho Dump'!$N$8:$N$3007,$B355,'Zoho Dump'!$T$8:$T$3007,"Backlog")+SUMIFS(Adjustments!$K$8:$K$207,Adjustments!$B$8:$B$207,$B355,Adjustments!$H$8:$H$207,"Backlog"))</f>
        <v>0</v>
      </c>
      <c r="E355" s="17" t="n">
        <f aca="false">IF($B355="",0,SUMIFS('Zoho Dump'!$Y$8:$Y$3007,'Zoho Dump'!$N$8:$N$3007,$B355,'Zoho Dump'!$T$8:$T$3007,"Pipeline")+SUMIFS(Adjustments!$L$8:$L$207,Adjustments!$B$8:$B$207,$B355,Adjustments!$H$8:$H$207,"Pipeline")+SUMIFS('Zoho Dump'!$Y$8:$Y$3007,'Zoho Dump'!$N$8:$N$3007,$B355,'Zoho Dump'!$T$8:$T$3007,"Overdue")+SUMIFS(Adjustments!$L$8:$L$207,Adjustments!$B$8:$B$207,$B355,Adjustments!$H$8:$H$207,"Overdue"))</f>
        <v>0</v>
      </c>
      <c r="F355" s="17" t="n">
        <f aca="false">IF($B355="",0,SUMIFS('Zoho Dump'!$X$8:$X$3007,'Zoho Dump'!$N$8:$N$3007,$B355,'Zoho Dump'!$T$8:$T$3007,"Pipeline")+SUMIFS(Adjustments!$K$8:$K$207,Adjustments!$B$8:$B$207,$B355,Adjustments!$H$8:$H$207,"Pipeline")+SUMIFS('Zoho Dump'!$X$8:$X$3007,'Zoho Dump'!$N$8:$N$3007,$B355,'Zoho Dump'!$T$8:$T$3007,"Overdue")+SUMIFS(Adjustments!$K$8:$K$207,Adjustments!$B$8:$B$207,$B355,Adjustments!$H$8:$H$207,"Overdue"))</f>
        <v>0</v>
      </c>
      <c r="G355" s="17" t="n">
        <f aca="false">D355+F355</f>
        <v>0</v>
      </c>
      <c r="H355" s="18" t="n">
        <f aca="false">IF(SUM($G$5:$G$404)=0,0,G355/SUM($G$5:$G$404))</f>
        <v>0</v>
      </c>
      <c r="I355" s="17" t="n">
        <f aca="false">IF($B355="",0,SUMIFS('Zoho Dump'!$Q$8:$Q$3007,'Zoho Dump'!$N$8:$N$3007,$B355,'Zoho Dump'!$T$8:$T$3007,"Lost",'Zoho Dump'!$R$8:$R$3007,"&gt;="&amp;Settings!$B$4))</f>
        <v>0</v>
      </c>
      <c r="J355" s="9" t="str">
        <f aca="false">IF($B355="","",IF(COUNTIF(Dashboard!$C$13:$C$22,$B355)&gt;0,"Yes",""))</f>
        <v/>
      </c>
      <c r="K355" s="17" t="n">
        <f aca="false">IF($B355="",0,SUMIFS('Zoho Dump'!$X$8:$X$3007,'Zoho Dump'!$N$8:$N$3007,$B355,'Zoho Dump'!$P$8:$P$3007,Settings!$A$12)+SUMIFS(Adjustments!$K$8:$K$207,Adjustments!$B$8:$B$207,$B355,Adjustments!$A$8:$A$207,Settings!$A$12))</f>
        <v>0</v>
      </c>
      <c r="L355" s="17" t="n">
        <f aca="false">IF($B355="",0,SUMIFS('Zoho Dump'!$X$8:$X$3007,'Zoho Dump'!$N$8:$N$3007,$B355,'Zoho Dump'!$P$8:$P$3007,Settings!$A$13)+SUMIFS(Adjustments!$K$8:$K$207,Adjustments!$B$8:$B$207,$B355,Adjustments!$A$8:$A$207,Settings!$A$13))</f>
        <v>0</v>
      </c>
      <c r="M355" s="17" t="n">
        <f aca="false">IF($B355="",0,SUMIFS('Zoho Dump'!$X$8:$X$3007,'Zoho Dump'!$N$8:$N$3007,$B355,'Zoho Dump'!$P$8:$P$3007,Settings!$A$14)+SUMIFS(Adjustments!$K$8:$K$207,Adjustments!$B$8:$B$207,$B355,Adjustments!$A$8:$A$207,Settings!$A$14))</f>
        <v>0</v>
      </c>
      <c r="N355" s="17" t="n">
        <f aca="false">IF($B355="",0,SUMIFS('Zoho Dump'!$X$8:$X$3007,'Zoho Dump'!$N$8:$N$3007,$B355,'Zoho Dump'!$P$8:$P$3007,Settings!$A$15)+SUMIFS(Adjustments!$K$8:$K$207,Adjustments!$B$8:$B$207,$B355,Adjustments!$A$8:$A$207,Settings!$A$15))</f>
        <v>0</v>
      </c>
      <c r="O355" s="17" t="n">
        <f aca="false">IF($B355="",0,SUMIFS('Zoho Dump'!$X$8:$X$3007,'Zoho Dump'!$N$8:$N$3007,$B355,'Zoho Dump'!$P$8:$P$3007,Settings!$A$16)+SUMIFS(Adjustments!$K$8:$K$207,Adjustments!$B$8:$B$207,$B355,Adjustments!$A$8:$A$207,Settings!$A$16))</f>
        <v>0</v>
      </c>
      <c r="P355" s="17" t="n">
        <f aca="false">IF($B355="",0,SUMIFS('Zoho Dump'!$X$8:$X$3007,'Zoho Dump'!$N$8:$N$3007,$B355,'Zoho Dump'!$P$8:$P$3007,Settings!$A$17)+SUMIFS(Adjustments!$K$8:$K$207,Adjustments!$B$8:$B$207,$B355,Adjustments!$A$8:$A$207,Settings!$A$17))</f>
        <v>0</v>
      </c>
      <c r="Q355" s="17" t="n">
        <f aca="false">IF($B355="",0,SUMIFS('Zoho Dump'!$X$8:$X$3007,'Zoho Dump'!$N$8:$N$3007,$B355,'Zoho Dump'!$P$8:$P$3007,Settings!$A$18)+SUMIFS(Adjustments!$K$8:$K$207,Adjustments!$B$8:$B$207,$B355,Adjustments!$A$8:$A$207,Settings!$A$18))</f>
        <v>0</v>
      </c>
      <c r="R355" s="30" t="str">
        <f aca="false">IF(G355&gt;0,G355+A355/10000000,"")</f>
        <v/>
      </c>
    </row>
    <row r="356" customFormat="false" ht="15" hidden="false" customHeight="false" outlineLevel="0" collapsed="false">
      <c r="A356" s="9" t="n">
        <v>352</v>
      </c>
      <c r="B356" s="9" t="str">
        <f aca="false">IFERROR(INDEX('Zoho Dump'!$N$8:$N$3007,MATCH(A356,'Zoho Dump'!$AB$8:$AB$3007,0)),"")</f>
        <v/>
      </c>
      <c r="C356" s="17" t="n">
        <f aca="false">IF($B356="",0,SUMIFS('Zoho Dump'!$Q$8:$Q$3007,'Zoho Dump'!$N$8:$N$3007,$B356,'Zoho Dump'!$T$8:$T$3007,"Delivered",'Zoho Dump'!$R$8:$R$3007,"&gt;="&amp;Settings!$B$4))</f>
        <v>0</v>
      </c>
      <c r="D356" s="17" t="n">
        <f aca="false">IF($B356="",0,SUMIFS('Zoho Dump'!$X$8:$X$3007,'Zoho Dump'!$N$8:$N$3007,$B356,'Zoho Dump'!$T$8:$T$3007,"Backlog")+SUMIFS(Adjustments!$K$8:$K$207,Adjustments!$B$8:$B$207,$B356,Adjustments!$H$8:$H$207,"Backlog"))</f>
        <v>0</v>
      </c>
      <c r="E356" s="17" t="n">
        <f aca="false">IF($B356="",0,SUMIFS('Zoho Dump'!$Y$8:$Y$3007,'Zoho Dump'!$N$8:$N$3007,$B356,'Zoho Dump'!$T$8:$T$3007,"Pipeline")+SUMIFS(Adjustments!$L$8:$L$207,Adjustments!$B$8:$B$207,$B356,Adjustments!$H$8:$H$207,"Pipeline")+SUMIFS('Zoho Dump'!$Y$8:$Y$3007,'Zoho Dump'!$N$8:$N$3007,$B356,'Zoho Dump'!$T$8:$T$3007,"Overdue")+SUMIFS(Adjustments!$L$8:$L$207,Adjustments!$B$8:$B$207,$B356,Adjustments!$H$8:$H$207,"Overdue"))</f>
        <v>0</v>
      </c>
      <c r="F356" s="17" t="n">
        <f aca="false">IF($B356="",0,SUMIFS('Zoho Dump'!$X$8:$X$3007,'Zoho Dump'!$N$8:$N$3007,$B356,'Zoho Dump'!$T$8:$T$3007,"Pipeline")+SUMIFS(Adjustments!$K$8:$K$207,Adjustments!$B$8:$B$207,$B356,Adjustments!$H$8:$H$207,"Pipeline")+SUMIFS('Zoho Dump'!$X$8:$X$3007,'Zoho Dump'!$N$8:$N$3007,$B356,'Zoho Dump'!$T$8:$T$3007,"Overdue")+SUMIFS(Adjustments!$K$8:$K$207,Adjustments!$B$8:$B$207,$B356,Adjustments!$H$8:$H$207,"Overdue"))</f>
        <v>0</v>
      </c>
      <c r="G356" s="17" t="n">
        <f aca="false">D356+F356</f>
        <v>0</v>
      </c>
      <c r="H356" s="18" t="n">
        <f aca="false">IF(SUM($G$5:$G$404)=0,0,G356/SUM($G$5:$G$404))</f>
        <v>0</v>
      </c>
      <c r="I356" s="17" t="n">
        <f aca="false">IF($B356="",0,SUMIFS('Zoho Dump'!$Q$8:$Q$3007,'Zoho Dump'!$N$8:$N$3007,$B356,'Zoho Dump'!$T$8:$T$3007,"Lost",'Zoho Dump'!$R$8:$R$3007,"&gt;="&amp;Settings!$B$4))</f>
        <v>0</v>
      </c>
      <c r="J356" s="9" t="str">
        <f aca="false">IF($B356="","",IF(COUNTIF(Dashboard!$C$13:$C$22,$B356)&gt;0,"Yes",""))</f>
        <v/>
      </c>
      <c r="K356" s="17" t="n">
        <f aca="false">IF($B356="",0,SUMIFS('Zoho Dump'!$X$8:$X$3007,'Zoho Dump'!$N$8:$N$3007,$B356,'Zoho Dump'!$P$8:$P$3007,Settings!$A$12)+SUMIFS(Adjustments!$K$8:$K$207,Adjustments!$B$8:$B$207,$B356,Adjustments!$A$8:$A$207,Settings!$A$12))</f>
        <v>0</v>
      </c>
      <c r="L356" s="17" t="n">
        <f aca="false">IF($B356="",0,SUMIFS('Zoho Dump'!$X$8:$X$3007,'Zoho Dump'!$N$8:$N$3007,$B356,'Zoho Dump'!$P$8:$P$3007,Settings!$A$13)+SUMIFS(Adjustments!$K$8:$K$207,Adjustments!$B$8:$B$207,$B356,Adjustments!$A$8:$A$207,Settings!$A$13))</f>
        <v>0</v>
      </c>
      <c r="M356" s="17" t="n">
        <f aca="false">IF($B356="",0,SUMIFS('Zoho Dump'!$X$8:$X$3007,'Zoho Dump'!$N$8:$N$3007,$B356,'Zoho Dump'!$P$8:$P$3007,Settings!$A$14)+SUMIFS(Adjustments!$K$8:$K$207,Adjustments!$B$8:$B$207,$B356,Adjustments!$A$8:$A$207,Settings!$A$14))</f>
        <v>0</v>
      </c>
      <c r="N356" s="17" t="n">
        <f aca="false">IF($B356="",0,SUMIFS('Zoho Dump'!$X$8:$X$3007,'Zoho Dump'!$N$8:$N$3007,$B356,'Zoho Dump'!$P$8:$P$3007,Settings!$A$15)+SUMIFS(Adjustments!$K$8:$K$207,Adjustments!$B$8:$B$207,$B356,Adjustments!$A$8:$A$207,Settings!$A$15))</f>
        <v>0</v>
      </c>
      <c r="O356" s="17" t="n">
        <f aca="false">IF($B356="",0,SUMIFS('Zoho Dump'!$X$8:$X$3007,'Zoho Dump'!$N$8:$N$3007,$B356,'Zoho Dump'!$P$8:$P$3007,Settings!$A$16)+SUMIFS(Adjustments!$K$8:$K$207,Adjustments!$B$8:$B$207,$B356,Adjustments!$A$8:$A$207,Settings!$A$16))</f>
        <v>0</v>
      </c>
      <c r="P356" s="17" t="n">
        <f aca="false">IF($B356="",0,SUMIFS('Zoho Dump'!$X$8:$X$3007,'Zoho Dump'!$N$8:$N$3007,$B356,'Zoho Dump'!$P$8:$P$3007,Settings!$A$17)+SUMIFS(Adjustments!$K$8:$K$207,Adjustments!$B$8:$B$207,$B356,Adjustments!$A$8:$A$207,Settings!$A$17))</f>
        <v>0</v>
      </c>
      <c r="Q356" s="17" t="n">
        <f aca="false">IF($B356="",0,SUMIFS('Zoho Dump'!$X$8:$X$3007,'Zoho Dump'!$N$8:$N$3007,$B356,'Zoho Dump'!$P$8:$P$3007,Settings!$A$18)+SUMIFS(Adjustments!$K$8:$K$207,Adjustments!$B$8:$B$207,$B356,Adjustments!$A$8:$A$207,Settings!$A$18))</f>
        <v>0</v>
      </c>
      <c r="R356" s="30" t="str">
        <f aca="false">IF(G356&gt;0,G356+A356/10000000,"")</f>
        <v/>
      </c>
    </row>
    <row r="357" customFormat="false" ht="15" hidden="false" customHeight="false" outlineLevel="0" collapsed="false">
      <c r="A357" s="9" t="n">
        <v>353</v>
      </c>
      <c r="B357" s="9" t="str">
        <f aca="false">IFERROR(INDEX('Zoho Dump'!$N$8:$N$3007,MATCH(A357,'Zoho Dump'!$AB$8:$AB$3007,0)),"")</f>
        <v/>
      </c>
      <c r="C357" s="17" t="n">
        <f aca="false">IF($B357="",0,SUMIFS('Zoho Dump'!$Q$8:$Q$3007,'Zoho Dump'!$N$8:$N$3007,$B357,'Zoho Dump'!$T$8:$T$3007,"Delivered",'Zoho Dump'!$R$8:$R$3007,"&gt;="&amp;Settings!$B$4))</f>
        <v>0</v>
      </c>
      <c r="D357" s="17" t="n">
        <f aca="false">IF($B357="",0,SUMIFS('Zoho Dump'!$X$8:$X$3007,'Zoho Dump'!$N$8:$N$3007,$B357,'Zoho Dump'!$T$8:$T$3007,"Backlog")+SUMIFS(Adjustments!$K$8:$K$207,Adjustments!$B$8:$B$207,$B357,Adjustments!$H$8:$H$207,"Backlog"))</f>
        <v>0</v>
      </c>
      <c r="E357" s="17" t="n">
        <f aca="false">IF($B357="",0,SUMIFS('Zoho Dump'!$Y$8:$Y$3007,'Zoho Dump'!$N$8:$N$3007,$B357,'Zoho Dump'!$T$8:$T$3007,"Pipeline")+SUMIFS(Adjustments!$L$8:$L$207,Adjustments!$B$8:$B$207,$B357,Adjustments!$H$8:$H$207,"Pipeline")+SUMIFS('Zoho Dump'!$Y$8:$Y$3007,'Zoho Dump'!$N$8:$N$3007,$B357,'Zoho Dump'!$T$8:$T$3007,"Overdue")+SUMIFS(Adjustments!$L$8:$L$207,Adjustments!$B$8:$B$207,$B357,Adjustments!$H$8:$H$207,"Overdue"))</f>
        <v>0</v>
      </c>
      <c r="F357" s="17" t="n">
        <f aca="false">IF($B357="",0,SUMIFS('Zoho Dump'!$X$8:$X$3007,'Zoho Dump'!$N$8:$N$3007,$B357,'Zoho Dump'!$T$8:$T$3007,"Pipeline")+SUMIFS(Adjustments!$K$8:$K$207,Adjustments!$B$8:$B$207,$B357,Adjustments!$H$8:$H$207,"Pipeline")+SUMIFS('Zoho Dump'!$X$8:$X$3007,'Zoho Dump'!$N$8:$N$3007,$B357,'Zoho Dump'!$T$8:$T$3007,"Overdue")+SUMIFS(Adjustments!$K$8:$K$207,Adjustments!$B$8:$B$207,$B357,Adjustments!$H$8:$H$207,"Overdue"))</f>
        <v>0</v>
      </c>
      <c r="G357" s="17" t="n">
        <f aca="false">D357+F357</f>
        <v>0</v>
      </c>
      <c r="H357" s="18" t="n">
        <f aca="false">IF(SUM($G$5:$G$404)=0,0,G357/SUM($G$5:$G$404))</f>
        <v>0</v>
      </c>
      <c r="I357" s="17" t="n">
        <f aca="false">IF($B357="",0,SUMIFS('Zoho Dump'!$Q$8:$Q$3007,'Zoho Dump'!$N$8:$N$3007,$B357,'Zoho Dump'!$T$8:$T$3007,"Lost",'Zoho Dump'!$R$8:$R$3007,"&gt;="&amp;Settings!$B$4))</f>
        <v>0</v>
      </c>
      <c r="J357" s="9" t="str">
        <f aca="false">IF($B357="","",IF(COUNTIF(Dashboard!$C$13:$C$22,$B357)&gt;0,"Yes",""))</f>
        <v/>
      </c>
      <c r="K357" s="17" t="n">
        <f aca="false">IF($B357="",0,SUMIFS('Zoho Dump'!$X$8:$X$3007,'Zoho Dump'!$N$8:$N$3007,$B357,'Zoho Dump'!$P$8:$P$3007,Settings!$A$12)+SUMIFS(Adjustments!$K$8:$K$207,Adjustments!$B$8:$B$207,$B357,Adjustments!$A$8:$A$207,Settings!$A$12))</f>
        <v>0</v>
      </c>
      <c r="L357" s="17" t="n">
        <f aca="false">IF($B357="",0,SUMIFS('Zoho Dump'!$X$8:$X$3007,'Zoho Dump'!$N$8:$N$3007,$B357,'Zoho Dump'!$P$8:$P$3007,Settings!$A$13)+SUMIFS(Adjustments!$K$8:$K$207,Adjustments!$B$8:$B$207,$B357,Adjustments!$A$8:$A$207,Settings!$A$13))</f>
        <v>0</v>
      </c>
      <c r="M357" s="17" t="n">
        <f aca="false">IF($B357="",0,SUMIFS('Zoho Dump'!$X$8:$X$3007,'Zoho Dump'!$N$8:$N$3007,$B357,'Zoho Dump'!$P$8:$P$3007,Settings!$A$14)+SUMIFS(Adjustments!$K$8:$K$207,Adjustments!$B$8:$B$207,$B357,Adjustments!$A$8:$A$207,Settings!$A$14))</f>
        <v>0</v>
      </c>
      <c r="N357" s="17" t="n">
        <f aca="false">IF($B357="",0,SUMIFS('Zoho Dump'!$X$8:$X$3007,'Zoho Dump'!$N$8:$N$3007,$B357,'Zoho Dump'!$P$8:$P$3007,Settings!$A$15)+SUMIFS(Adjustments!$K$8:$K$207,Adjustments!$B$8:$B$207,$B357,Adjustments!$A$8:$A$207,Settings!$A$15))</f>
        <v>0</v>
      </c>
      <c r="O357" s="17" t="n">
        <f aca="false">IF($B357="",0,SUMIFS('Zoho Dump'!$X$8:$X$3007,'Zoho Dump'!$N$8:$N$3007,$B357,'Zoho Dump'!$P$8:$P$3007,Settings!$A$16)+SUMIFS(Adjustments!$K$8:$K$207,Adjustments!$B$8:$B$207,$B357,Adjustments!$A$8:$A$207,Settings!$A$16))</f>
        <v>0</v>
      </c>
      <c r="P357" s="17" t="n">
        <f aca="false">IF($B357="",0,SUMIFS('Zoho Dump'!$X$8:$X$3007,'Zoho Dump'!$N$8:$N$3007,$B357,'Zoho Dump'!$P$8:$P$3007,Settings!$A$17)+SUMIFS(Adjustments!$K$8:$K$207,Adjustments!$B$8:$B$207,$B357,Adjustments!$A$8:$A$207,Settings!$A$17))</f>
        <v>0</v>
      </c>
      <c r="Q357" s="17" t="n">
        <f aca="false">IF($B357="",0,SUMIFS('Zoho Dump'!$X$8:$X$3007,'Zoho Dump'!$N$8:$N$3007,$B357,'Zoho Dump'!$P$8:$P$3007,Settings!$A$18)+SUMIFS(Adjustments!$K$8:$K$207,Adjustments!$B$8:$B$207,$B357,Adjustments!$A$8:$A$207,Settings!$A$18))</f>
        <v>0</v>
      </c>
      <c r="R357" s="30" t="str">
        <f aca="false">IF(G357&gt;0,G357+A357/10000000,"")</f>
        <v/>
      </c>
    </row>
    <row r="358" customFormat="false" ht="15" hidden="false" customHeight="false" outlineLevel="0" collapsed="false">
      <c r="A358" s="9" t="n">
        <v>354</v>
      </c>
      <c r="B358" s="9" t="str">
        <f aca="false">IFERROR(INDEX('Zoho Dump'!$N$8:$N$3007,MATCH(A358,'Zoho Dump'!$AB$8:$AB$3007,0)),"")</f>
        <v/>
      </c>
      <c r="C358" s="17" t="n">
        <f aca="false">IF($B358="",0,SUMIFS('Zoho Dump'!$Q$8:$Q$3007,'Zoho Dump'!$N$8:$N$3007,$B358,'Zoho Dump'!$T$8:$T$3007,"Delivered",'Zoho Dump'!$R$8:$R$3007,"&gt;="&amp;Settings!$B$4))</f>
        <v>0</v>
      </c>
      <c r="D358" s="17" t="n">
        <f aca="false">IF($B358="",0,SUMIFS('Zoho Dump'!$X$8:$X$3007,'Zoho Dump'!$N$8:$N$3007,$B358,'Zoho Dump'!$T$8:$T$3007,"Backlog")+SUMIFS(Adjustments!$K$8:$K$207,Adjustments!$B$8:$B$207,$B358,Adjustments!$H$8:$H$207,"Backlog"))</f>
        <v>0</v>
      </c>
      <c r="E358" s="17" t="n">
        <f aca="false">IF($B358="",0,SUMIFS('Zoho Dump'!$Y$8:$Y$3007,'Zoho Dump'!$N$8:$N$3007,$B358,'Zoho Dump'!$T$8:$T$3007,"Pipeline")+SUMIFS(Adjustments!$L$8:$L$207,Adjustments!$B$8:$B$207,$B358,Adjustments!$H$8:$H$207,"Pipeline")+SUMIFS('Zoho Dump'!$Y$8:$Y$3007,'Zoho Dump'!$N$8:$N$3007,$B358,'Zoho Dump'!$T$8:$T$3007,"Overdue")+SUMIFS(Adjustments!$L$8:$L$207,Adjustments!$B$8:$B$207,$B358,Adjustments!$H$8:$H$207,"Overdue"))</f>
        <v>0</v>
      </c>
      <c r="F358" s="17" t="n">
        <f aca="false">IF($B358="",0,SUMIFS('Zoho Dump'!$X$8:$X$3007,'Zoho Dump'!$N$8:$N$3007,$B358,'Zoho Dump'!$T$8:$T$3007,"Pipeline")+SUMIFS(Adjustments!$K$8:$K$207,Adjustments!$B$8:$B$207,$B358,Adjustments!$H$8:$H$207,"Pipeline")+SUMIFS('Zoho Dump'!$X$8:$X$3007,'Zoho Dump'!$N$8:$N$3007,$B358,'Zoho Dump'!$T$8:$T$3007,"Overdue")+SUMIFS(Adjustments!$K$8:$K$207,Adjustments!$B$8:$B$207,$B358,Adjustments!$H$8:$H$207,"Overdue"))</f>
        <v>0</v>
      </c>
      <c r="G358" s="17" t="n">
        <f aca="false">D358+F358</f>
        <v>0</v>
      </c>
      <c r="H358" s="18" t="n">
        <f aca="false">IF(SUM($G$5:$G$404)=0,0,G358/SUM($G$5:$G$404))</f>
        <v>0</v>
      </c>
      <c r="I358" s="17" t="n">
        <f aca="false">IF($B358="",0,SUMIFS('Zoho Dump'!$Q$8:$Q$3007,'Zoho Dump'!$N$8:$N$3007,$B358,'Zoho Dump'!$T$8:$T$3007,"Lost",'Zoho Dump'!$R$8:$R$3007,"&gt;="&amp;Settings!$B$4))</f>
        <v>0</v>
      </c>
      <c r="J358" s="9" t="str">
        <f aca="false">IF($B358="","",IF(COUNTIF(Dashboard!$C$13:$C$22,$B358)&gt;0,"Yes",""))</f>
        <v/>
      </c>
      <c r="K358" s="17" t="n">
        <f aca="false">IF($B358="",0,SUMIFS('Zoho Dump'!$X$8:$X$3007,'Zoho Dump'!$N$8:$N$3007,$B358,'Zoho Dump'!$P$8:$P$3007,Settings!$A$12)+SUMIFS(Adjustments!$K$8:$K$207,Adjustments!$B$8:$B$207,$B358,Adjustments!$A$8:$A$207,Settings!$A$12))</f>
        <v>0</v>
      </c>
      <c r="L358" s="17" t="n">
        <f aca="false">IF($B358="",0,SUMIFS('Zoho Dump'!$X$8:$X$3007,'Zoho Dump'!$N$8:$N$3007,$B358,'Zoho Dump'!$P$8:$P$3007,Settings!$A$13)+SUMIFS(Adjustments!$K$8:$K$207,Adjustments!$B$8:$B$207,$B358,Adjustments!$A$8:$A$207,Settings!$A$13))</f>
        <v>0</v>
      </c>
      <c r="M358" s="17" t="n">
        <f aca="false">IF($B358="",0,SUMIFS('Zoho Dump'!$X$8:$X$3007,'Zoho Dump'!$N$8:$N$3007,$B358,'Zoho Dump'!$P$8:$P$3007,Settings!$A$14)+SUMIFS(Adjustments!$K$8:$K$207,Adjustments!$B$8:$B$207,$B358,Adjustments!$A$8:$A$207,Settings!$A$14))</f>
        <v>0</v>
      </c>
      <c r="N358" s="17" t="n">
        <f aca="false">IF($B358="",0,SUMIFS('Zoho Dump'!$X$8:$X$3007,'Zoho Dump'!$N$8:$N$3007,$B358,'Zoho Dump'!$P$8:$P$3007,Settings!$A$15)+SUMIFS(Adjustments!$K$8:$K$207,Adjustments!$B$8:$B$207,$B358,Adjustments!$A$8:$A$207,Settings!$A$15))</f>
        <v>0</v>
      </c>
      <c r="O358" s="17" t="n">
        <f aca="false">IF($B358="",0,SUMIFS('Zoho Dump'!$X$8:$X$3007,'Zoho Dump'!$N$8:$N$3007,$B358,'Zoho Dump'!$P$8:$P$3007,Settings!$A$16)+SUMIFS(Adjustments!$K$8:$K$207,Adjustments!$B$8:$B$207,$B358,Adjustments!$A$8:$A$207,Settings!$A$16))</f>
        <v>0</v>
      </c>
      <c r="P358" s="17" t="n">
        <f aca="false">IF($B358="",0,SUMIFS('Zoho Dump'!$X$8:$X$3007,'Zoho Dump'!$N$8:$N$3007,$B358,'Zoho Dump'!$P$8:$P$3007,Settings!$A$17)+SUMIFS(Adjustments!$K$8:$K$207,Adjustments!$B$8:$B$207,$B358,Adjustments!$A$8:$A$207,Settings!$A$17))</f>
        <v>0</v>
      </c>
      <c r="Q358" s="17" t="n">
        <f aca="false">IF($B358="",0,SUMIFS('Zoho Dump'!$X$8:$X$3007,'Zoho Dump'!$N$8:$N$3007,$B358,'Zoho Dump'!$P$8:$P$3007,Settings!$A$18)+SUMIFS(Adjustments!$K$8:$K$207,Adjustments!$B$8:$B$207,$B358,Adjustments!$A$8:$A$207,Settings!$A$18))</f>
        <v>0</v>
      </c>
      <c r="R358" s="30" t="str">
        <f aca="false">IF(G358&gt;0,G358+A358/10000000,"")</f>
        <v/>
      </c>
    </row>
    <row r="359" customFormat="false" ht="15" hidden="false" customHeight="false" outlineLevel="0" collapsed="false">
      <c r="A359" s="9" t="n">
        <v>355</v>
      </c>
      <c r="B359" s="9" t="str">
        <f aca="false">IFERROR(INDEX('Zoho Dump'!$N$8:$N$3007,MATCH(A359,'Zoho Dump'!$AB$8:$AB$3007,0)),"")</f>
        <v/>
      </c>
      <c r="C359" s="17" t="n">
        <f aca="false">IF($B359="",0,SUMIFS('Zoho Dump'!$Q$8:$Q$3007,'Zoho Dump'!$N$8:$N$3007,$B359,'Zoho Dump'!$T$8:$T$3007,"Delivered",'Zoho Dump'!$R$8:$R$3007,"&gt;="&amp;Settings!$B$4))</f>
        <v>0</v>
      </c>
      <c r="D359" s="17" t="n">
        <f aca="false">IF($B359="",0,SUMIFS('Zoho Dump'!$X$8:$X$3007,'Zoho Dump'!$N$8:$N$3007,$B359,'Zoho Dump'!$T$8:$T$3007,"Backlog")+SUMIFS(Adjustments!$K$8:$K$207,Adjustments!$B$8:$B$207,$B359,Adjustments!$H$8:$H$207,"Backlog"))</f>
        <v>0</v>
      </c>
      <c r="E359" s="17" t="n">
        <f aca="false">IF($B359="",0,SUMIFS('Zoho Dump'!$Y$8:$Y$3007,'Zoho Dump'!$N$8:$N$3007,$B359,'Zoho Dump'!$T$8:$T$3007,"Pipeline")+SUMIFS(Adjustments!$L$8:$L$207,Adjustments!$B$8:$B$207,$B359,Adjustments!$H$8:$H$207,"Pipeline")+SUMIFS('Zoho Dump'!$Y$8:$Y$3007,'Zoho Dump'!$N$8:$N$3007,$B359,'Zoho Dump'!$T$8:$T$3007,"Overdue")+SUMIFS(Adjustments!$L$8:$L$207,Adjustments!$B$8:$B$207,$B359,Adjustments!$H$8:$H$207,"Overdue"))</f>
        <v>0</v>
      </c>
      <c r="F359" s="17" t="n">
        <f aca="false">IF($B359="",0,SUMIFS('Zoho Dump'!$X$8:$X$3007,'Zoho Dump'!$N$8:$N$3007,$B359,'Zoho Dump'!$T$8:$T$3007,"Pipeline")+SUMIFS(Adjustments!$K$8:$K$207,Adjustments!$B$8:$B$207,$B359,Adjustments!$H$8:$H$207,"Pipeline")+SUMIFS('Zoho Dump'!$X$8:$X$3007,'Zoho Dump'!$N$8:$N$3007,$B359,'Zoho Dump'!$T$8:$T$3007,"Overdue")+SUMIFS(Adjustments!$K$8:$K$207,Adjustments!$B$8:$B$207,$B359,Adjustments!$H$8:$H$207,"Overdue"))</f>
        <v>0</v>
      </c>
      <c r="G359" s="17" t="n">
        <f aca="false">D359+F359</f>
        <v>0</v>
      </c>
      <c r="H359" s="18" t="n">
        <f aca="false">IF(SUM($G$5:$G$404)=0,0,G359/SUM($G$5:$G$404))</f>
        <v>0</v>
      </c>
      <c r="I359" s="17" t="n">
        <f aca="false">IF($B359="",0,SUMIFS('Zoho Dump'!$Q$8:$Q$3007,'Zoho Dump'!$N$8:$N$3007,$B359,'Zoho Dump'!$T$8:$T$3007,"Lost",'Zoho Dump'!$R$8:$R$3007,"&gt;="&amp;Settings!$B$4))</f>
        <v>0</v>
      </c>
      <c r="J359" s="9" t="str">
        <f aca="false">IF($B359="","",IF(COUNTIF(Dashboard!$C$13:$C$22,$B359)&gt;0,"Yes",""))</f>
        <v/>
      </c>
      <c r="K359" s="17" t="n">
        <f aca="false">IF($B359="",0,SUMIFS('Zoho Dump'!$X$8:$X$3007,'Zoho Dump'!$N$8:$N$3007,$B359,'Zoho Dump'!$P$8:$P$3007,Settings!$A$12)+SUMIFS(Adjustments!$K$8:$K$207,Adjustments!$B$8:$B$207,$B359,Adjustments!$A$8:$A$207,Settings!$A$12))</f>
        <v>0</v>
      </c>
      <c r="L359" s="17" t="n">
        <f aca="false">IF($B359="",0,SUMIFS('Zoho Dump'!$X$8:$X$3007,'Zoho Dump'!$N$8:$N$3007,$B359,'Zoho Dump'!$P$8:$P$3007,Settings!$A$13)+SUMIFS(Adjustments!$K$8:$K$207,Adjustments!$B$8:$B$207,$B359,Adjustments!$A$8:$A$207,Settings!$A$13))</f>
        <v>0</v>
      </c>
      <c r="M359" s="17" t="n">
        <f aca="false">IF($B359="",0,SUMIFS('Zoho Dump'!$X$8:$X$3007,'Zoho Dump'!$N$8:$N$3007,$B359,'Zoho Dump'!$P$8:$P$3007,Settings!$A$14)+SUMIFS(Adjustments!$K$8:$K$207,Adjustments!$B$8:$B$207,$B359,Adjustments!$A$8:$A$207,Settings!$A$14))</f>
        <v>0</v>
      </c>
      <c r="N359" s="17" t="n">
        <f aca="false">IF($B359="",0,SUMIFS('Zoho Dump'!$X$8:$X$3007,'Zoho Dump'!$N$8:$N$3007,$B359,'Zoho Dump'!$P$8:$P$3007,Settings!$A$15)+SUMIFS(Adjustments!$K$8:$K$207,Adjustments!$B$8:$B$207,$B359,Adjustments!$A$8:$A$207,Settings!$A$15))</f>
        <v>0</v>
      </c>
      <c r="O359" s="17" t="n">
        <f aca="false">IF($B359="",0,SUMIFS('Zoho Dump'!$X$8:$X$3007,'Zoho Dump'!$N$8:$N$3007,$B359,'Zoho Dump'!$P$8:$P$3007,Settings!$A$16)+SUMIFS(Adjustments!$K$8:$K$207,Adjustments!$B$8:$B$207,$B359,Adjustments!$A$8:$A$207,Settings!$A$16))</f>
        <v>0</v>
      </c>
      <c r="P359" s="17" t="n">
        <f aca="false">IF($B359="",0,SUMIFS('Zoho Dump'!$X$8:$X$3007,'Zoho Dump'!$N$8:$N$3007,$B359,'Zoho Dump'!$P$8:$P$3007,Settings!$A$17)+SUMIFS(Adjustments!$K$8:$K$207,Adjustments!$B$8:$B$207,$B359,Adjustments!$A$8:$A$207,Settings!$A$17))</f>
        <v>0</v>
      </c>
      <c r="Q359" s="17" t="n">
        <f aca="false">IF($B359="",0,SUMIFS('Zoho Dump'!$X$8:$X$3007,'Zoho Dump'!$N$8:$N$3007,$B359,'Zoho Dump'!$P$8:$P$3007,Settings!$A$18)+SUMIFS(Adjustments!$K$8:$K$207,Adjustments!$B$8:$B$207,$B359,Adjustments!$A$8:$A$207,Settings!$A$18))</f>
        <v>0</v>
      </c>
      <c r="R359" s="30" t="str">
        <f aca="false">IF(G359&gt;0,G359+A359/10000000,"")</f>
        <v/>
      </c>
    </row>
    <row r="360" customFormat="false" ht="15" hidden="false" customHeight="false" outlineLevel="0" collapsed="false">
      <c r="A360" s="9" t="n">
        <v>356</v>
      </c>
      <c r="B360" s="9" t="str">
        <f aca="false">IFERROR(INDEX('Zoho Dump'!$N$8:$N$3007,MATCH(A360,'Zoho Dump'!$AB$8:$AB$3007,0)),"")</f>
        <v/>
      </c>
      <c r="C360" s="17" t="n">
        <f aca="false">IF($B360="",0,SUMIFS('Zoho Dump'!$Q$8:$Q$3007,'Zoho Dump'!$N$8:$N$3007,$B360,'Zoho Dump'!$T$8:$T$3007,"Delivered",'Zoho Dump'!$R$8:$R$3007,"&gt;="&amp;Settings!$B$4))</f>
        <v>0</v>
      </c>
      <c r="D360" s="17" t="n">
        <f aca="false">IF($B360="",0,SUMIFS('Zoho Dump'!$X$8:$X$3007,'Zoho Dump'!$N$8:$N$3007,$B360,'Zoho Dump'!$T$8:$T$3007,"Backlog")+SUMIFS(Adjustments!$K$8:$K$207,Adjustments!$B$8:$B$207,$B360,Adjustments!$H$8:$H$207,"Backlog"))</f>
        <v>0</v>
      </c>
      <c r="E360" s="17" t="n">
        <f aca="false">IF($B360="",0,SUMIFS('Zoho Dump'!$Y$8:$Y$3007,'Zoho Dump'!$N$8:$N$3007,$B360,'Zoho Dump'!$T$8:$T$3007,"Pipeline")+SUMIFS(Adjustments!$L$8:$L$207,Adjustments!$B$8:$B$207,$B360,Adjustments!$H$8:$H$207,"Pipeline")+SUMIFS('Zoho Dump'!$Y$8:$Y$3007,'Zoho Dump'!$N$8:$N$3007,$B360,'Zoho Dump'!$T$8:$T$3007,"Overdue")+SUMIFS(Adjustments!$L$8:$L$207,Adjustments!$B$8:$B$207,$B360,Adjustments!$H$8:$H$207,"Overdue"))</f>
        <v>0</v>
      </c>
      <c r="F360" s="17" t="n">
        <f aca="false">IF($B360="",0,SUMIFS('Zoho Dump'!$X$8:$X$3007,'Zoho Dump'!$N$8:$N$3007,$B360,'Zoho Dump'!$T$8:$T$3007,"Pipeline")+SUMIFS(Adjustments!$K$8:$K$207,Adjustments!$B$8:$B$207,$B360,Adjustments!$H$8:$H$207,"Pipeline")+SUMIFS('Zoho Dump'!$X$8:$X$3007,'Zoho Dump'!$N$8:$N$3007,$B360,'Zoho Dump'!$T$8:$T$3007,"Overdue")+SUMIFS(Adjustments!$K$8:$K$207,Adjustments!$B$8:$B$207,$B360,Adjustments!$H$8:$H$207,"Overdue"))</f>
        <v>0</v>
      </c>
      <c r="G360" s="17" t="n">
        <f aca="false">D360+F360</f>
        <v>0</v>
      </c>
      <c r="H360" s="18" t="n">
        <f aca="false">IF(SUM($G$5:$G$404)=0,0,G360/SUM($G$5:$G$404))</f>
        <v>0</v>
      </c>
      <c r="I360" s="17" t="n">
        <f aca="false">IF($B360="",0,SUMIFS('Zoho Dump'!$Q$8:$Q$3007,'Zoho Dump'!$N$8:$N$3007,$B360,'Zoho Dump'!$T$8:$T$3007,"Lost",'Zoho Dump'!$R$8:$R$3007,"&gt;="&amp;Settings!$B$4))</f>
        <v>0</v>
      </c>
      <c r="J360" s="9" t="str">
        <f aca="false">IF($B360="","",IF(COUNTIF(Dashboard!$C$13:$C$22,$B360)&gt;0,"Yes",""))</f>
        <v/>
      </c>
      <c r="K360" s="17" t="n">
        <f aca="false">IF($B360="",0,SUMIFS('Zoho Dump'!$X$8:$X$3007,'Zoho Dump'!$N$8:$N$3007,$B360,'Zoho Dump'!$P$8:$P$3007,Settings!$A$12)+SUMIFS(Adjustments!$K$8:$K$207,Adjustments!$B$8:$B$207,$B360,Adjustments!$A$8:$A$207,Settings!$A$12))</f>
        <v>0</v>
      </c>
      <c r="L360" s="17" t="n">
        <f aca="false">IF($B360="",0,SUMIFS('Zoho Dump'!$X$8:$X$3007,'Zoho Dump'!$N$8:$N$3007,$B360,'Zoho Dump'!$P$8:$P$3007,Settings!$A$13)+SUMIFS(Adjustments!$K$8:$K$207,Adjustments!$B$8:$B$207,$B360,Adjustments!$A$8:$A$207,Settings!$A$13))</f>
        <v>0</v>
      </c>
      <c r="M360" s="17" t="n">
        <f aca="false">IF($B360="",0,SUMIFS('Zoho Dump'!$X$8:$X$3007,'Zoho Dump'!$N$8:$N$3007,$B360,'Zoho Dump'!$P$8:$P$3007,Settings!$A$14)+SUMIFS(Adjustments!$K$8:$K$207,Adjustments!$B$8:$B$207,$B360,Adjustments!$A$8:$A$207,Settings!$A$14))</f>
        <v>0</v>
      </c>
      <c r="N360" s="17" t="n">
        <f aca="false">IF($B360="",0,SUMIFS('Zoho Dump'!$X$8:$X$3007,'Zoho Dump'!$N$8:$N$3007,$B360,'Zoho Dump'!$P$8:$P$3007,Settings!$A$15)+SUMIFS(Adjustments!$K$8:$K$207,Adjustments!$B$8:$B$207,$B360,Adjustments!$A$8:$A$207,Settings!$A$15))</f>
        <v>0</v>
      </c>
      <c r="O360" s="17" t="n">
        <f aca="false">IF($B360="",0,SUMIFS('Zoho Dump'!$X$8:$X$3007,'Zoho Dump'!$N$8:$N$3007,$B360,'Zoho Dump'!$P$8:$P$3007,Settings!$A$16)+SUMIFS(Adjustments!$K$8:$K$207,Adjustments!$B$8:$B$207,$B360,Adjustments!$A$8:$A$207,Settings!$A$16))</f>
        <v>0</v>
      </c>
      <c r="P360" s="17" t="n">
        <f aca="false">IF($B360="",0,SUMIFS('Zoho Dump'!$X$8:$X$3007,'Zoho Dump'!$N$8:$N$3007,$B360,'Zoho Dump'!$P$8:$P$3007,Settings!$A$17)+SUMIFS(Adjustments!$K$8:$K$207,Adjustments!$B$8:$B$207,$B360,Adjustments!$A$8:$A$207,Settings!$A$17))</f>
        <v>0</v>
      </c>
      <c r="Q360" s="17" t="n">
        <f aca="false">IF($B360="",0,SUMIFS('Zoho Dump'!$X$8:$X$3007,'Zoho Dump'!$N$8:$N$3007,$B360,'Zoho Dump'!$P$8:$P$3007,Settings!$A$18)+SUMIFS(Adjustments!$K$8:$K$207,Adjustments!$B$8:$B$207,$B360,Adjustments!$A$8:$A$207,Settings!$A$18))</f>
        <v>0</v>
      </c>
      <c r="R360" s="30" t="str">
        <f aca="false">IF(G360&gt;0,G360+A360/10000000,"")</f>
        <v/>
      </c>
    </row>
    <row r="361" customFormat="false" ht="15" hidden="false" customHeight="false" outlineLevel="0" collapsed="false">
      <c r="A361" s="9" t="n">
        <v>357</v>
      </c>
      <c r="B361" s="9" t="str">
        <f aca="false">IFERROR(INDEX('Zoho Dump'!$N$8:$N$3007,MATCH(A361,'Zoho Dump'!$AB$8:$AB$3007,0)),"")</f>
        <v/>
      </c>
      <c r="C361" s="17" t="n">
        <f aca="false">IF($B361="",0,SUMIFS('Zoho Dump'!$Q$8:$Q$3007,'Zoho Dump'!$N$8:$N$3007,$B361,'Zoho Dump'!$T$8:$T$3007,"Delivered",'Zoho Dump'!$R$8:$R$3007,"&gt;="&amp;Settings!$B$4))</f>
        <v>0</v>
      </c>
      <c r="D361" s="17" t="n">
        <f aca="false">IF($B361="",0,SUMIFS('Zoho Dump'!$X$8:$X$3007,'Zoho Dump'!$N$8:$N$3007,$B361,'Zoho Dump'!$T$8:$T$3007,"Backlog")+SUMIFS(Adjustments!$K$8:$K$207,Adjustments!$B$8:$B$207,$B361,Adjustments!$H$8:$H$207,"Backlog"))</f>
        <v>0</v>
      </c>
      <c r="E361" s="17" t="n">
        <f aca="false">IF($B361="",0,SUMIFS('Zoho Dump'!$Y$8:$Y$3007,'Zoho Dump'!$N$8:$N$3007,$B361,'Zoho Dump'!$T$8:$T$3007,"Pipeline")+SUMIFS(Adjustments!$L$8:$L$207,Adjustments!$B$8:$B$207,$B361,Adjustments!$H$8:$H$207,"Pipeline")+SUMIFS('Zoho Dump'!$Y$8:$Y$3007,'Zoho Dump'!$N$8:$N$3007,$B361,'Zoho Dump'!$T$8:$T$3007,"Overdue")+SUMIFS(Adjustments!$L$8:$L$207,Adjustments!$B$8:$B$207,$B361,Adjustments!$H$8:$H$207,"Overdue"))</f>
        <v>0</v>
      </c>
      <c r="F361" s="17" t="n">
        <f aca="false">IF($B361="",0,SUMIFS('Zoho Dump'!$X$8:$X$3007,'Zoho Dump'!$N$8:$N$3007,$B361,'Zoho Dump'!$T$8:$T$3007,"Pipeline")+SUMIFS(Adjustments!$K$8:$K$207,Adjustments!$B$8:$B$207,$B361,Adjustments!$H$8:$H$207,"Pipeline")+SUMIFS('Zoho Dump'!$X$8:$X$3007,'Zoho Dump'!$N$8:$N$3007,$B361,'Zoho Dump'!$T$8:$T$3007,"Overdue")+SUMIFS(Adjustments!$K$8:$K$207,Adjustments!$B$8:$B$207,$B361,Adjustments!$H$8:$H$207,"Overdue"))</f>
        <v>0</v>
      </c>
      <c r="G361" s="17" t="n">
        <f aca="false">D361+F361</f>
        <v>0</v>
      </c>
      <c r="H361" s="18" t="n">
        <f aca="false">IF(SUM($G$5:$G$404)=0,0,G361/SUM($G$5:$G$404))</f>
        <v>0</v>
      </c>
      <c r="I361" s="17" t="n">
        <f aca="false">IF($B361="",0,SUMIFS('Zoho Dump'!$Q$8:$Q$3007,'Zoho Dump'!$N$8:$N$3007,$B361,'Zoho Dump'!$T$8:$T$3007,"Lost",'Zoho Dump'!$R$8:$R$3007,"&gt;="&amp;Settings!$B$4))</f>
        <v>0</v>
      </c>
      <c r="J361" s="9" t="str">
        <f aca="false">IF($B361="","",IF(COUNTIF(Dashboard!$C$13:$C$22,$B361)&gt;0,"Yes",""))</f>
        <v/>
      </c>
      <c r="K361" s="17" t="n">
        <f aca="false">IF($B361="",0,SUMIFS('Zoho Dump'!$X$8:$X$3007,'Zoho Dump'!$N$8:$N$3007,$B361,'Zoho Dump'!$P$8:$P$3007,Settings!$A$12)+SUMIFS(Adjustments!$K$8:$K$207,Adjustments!$B$8:$B$207,$B361,Adjustments!$A$8:$A$207,Settings!$A$12))</f>
        <v>0</v>
      </c>
      <c r="L361" s="17" t="n">
        <f aca="false">IF($B361="",0,SUMIFS('Zoho Dump'!$X$8:$X$3007,'Zoho Dump'!$N$8:$N$3007,$B361,'Zoho Dump'!$P$8:$P$3007,Settings!$A$13)+SUMIFS(Adjustments!$K$8:$K$207,Adjustments!$B$8:$B$207,$B361,Adjustments!$A$8:$A$207,Settings!$A$13))</f>
        <v>0</v>
      </c>
      <c r="M361" s="17" t="n">
        <f aca="false">IF($B361="",0,SUMIFS('Zoho Dump'!$X$8:$X$3007,'Zoho Dump'!$N$8:$N$3007,$B361,'Zoho Dump'!$P$8:$P$3007,Settings!$A$14)+SUMIFS(Adjustments!$K$8:$K$207,Adjustments!$B$8:$B$207,$B361,Adjustments!$A$8:$A$207,Settings!$A$14))</f>
        <v>0</v>
      </c>
      <c r="N361" s="17" t="n">
        <f aca="false">IF($B361="",0,SUMIFS('Zoho Dump'!$X$8:$X$3007,'Zoho Dump'!$N$8:$N$3007,$B361,'Zoho Dump'!$P$8:$P$3007,Settings!$A$15)+SUMIFS(Adjustments!$K$8:$K$207,Adjustments!$B$8:$B$207,$B361,Adjustments!$A$8:$A$207,Settings!$A$15))</f>
        <v>0</v>
      </c>
      <c r="O361" s="17" t="n">
        <f aca="false">IF($B361="",0,SUMIFS('Zoho Dump'!$X$8:$X$3007,'Zoho Dump'!$N$8:$N$3007,$B361,'Zoho Dump'!$P$8:$P$3007,Settings!$A$16)+SUMIFS(Adjustments!$K$8:$K$207,Adjustments!$B$8:$B$207,$B361,Adjustments!$A$8:$A$207,Settings!$A$16))</f>
        <v>0</v>
      </c>
      <c r="P361" s="17" t="n">
        <f aca="false">IF($B361="",0,SUMIFS('Zoho Dump'!$X$8:$X$3007,'Zoho Dump'!$N$8:$N$3007,$B361,'Zoho Dump'!$P$8:$P$3007,Settings!$A$17)+SUMIFS(Adjustments!$K$8:$K$207,Adjustments!$B$8:$B$207,$B361,Adjustments!$A$8:$A$207,Settings!$A$17))</f>
        <v>0</v>
      </c>
      <c r="Q361" s="17" t="n">
        <f aca="false">IF($B361="",0,SUMIFS('Zoho Dump'!$X$8:$X$3007,'Zoho Dump'!$N$8:$N$3007,$B361,'Zoho Dump'!$P$8:$P$3007,Settings!$A$18)+SUMIFS(Adjustments!$K$8:$K$207,Adjustments!$B$8:$B$207,$B361,Adjustments!$A$8:$A$207,Settings!$A$18))</f>
        <v>0</v>
      </c>
      <c r="R361" s="30" t="str">
        <f aca="false">IF(G361&gt;0,G361+A361/10000000,"")</f>
        <v/>
      </c>
    </row>
    <row r="362" customFormat="false" ht="15" hidden="false" customHeight="false" outlineLevel="0" collapsed="false">
      <c r="A362" s="9" t="n">
        <v>358</v>
      </c>
      <c r="B362" s="9" t="str">
        <f aca="false">IFERROR(INDEX('Zoho Dump'!$N$8:$N$3007,MATCH(A362,'Zoho Dump'!$AB$8:$AB$3007,0)),"")</f>
        <v/>
      </c>
      <c r="C362" s="17" t="n">
        <f aca="false">IF($B362="",0,SUMIFS('Zoho Dump'!$Q$8:$Q$3007,'Zoho Dump'!$N$8:$N$3007,$B362,'Zoho Dump'!$T$8:$T$3007,"Delivered",'Zoho Dump'!$R$8:$R$3007,"&gt;="&amp;Settings!$B$4))</f>
        <v>0</v>
      </c>
      <c r="D362" s="17" t="n">
        <f aca="false">IF($B362="",0,SUMIFS('Zoho Dump'!$X$8:$X$3007,'Zoho Dump'!$N$8:$N$3007,$B362,'Zoho Dump'!$T$8:$T$3007,"Backlog")+SUMIFS(Adjustments!$K$8:$K$207,Adjustments!$B$8:$B$207,$B362,Adjustments!$H$8:$H$207,"Backlog"))</f>
        <v>0</v>
      </c>
      <c r="E362" s="17" t="n">
        <f aca="false">IF($B362="",0,SUMIFS('Zoho Dump'!$Y$8:$Y$3007,'Zoho Dump'!$N$8:$N$3007,$B362,'Zoho Dump'!$T$8:$T$3007,"Pipeline")+SUMIFS(Adjustments!$L$8:$L$207,Adjustments!$B$8:$B$207,$B362,Adjustments!$H$8:$H$207,"Pipeline")+SUMIFS('Zoho Dump'!$Y$8:$Y$3007,'Zoho Dump'!$N$8:$N$3007,$B362,'Zoho Dump'!$T$8:$T$3007,"Overdue")+SUMIFS(Adjustments!$L$8:$L$207,Adjustments!$B$8:$B$207,$B362,Adjustments!$H$8:$H$207,"Overdue"))</f>
        <v>0</v>
      </c>
      <c r="F362" s="17" t="n">
        <f aca="false">IF($B362="",0,SUMIFS('Zoho Dump'!$X$8:$X$3007,'Zoho Dump'!$N$8:$N$3007,$B362,'Zoho Dump'!$T$8:$T$3007,"Pipeline")+SUMIFS(Adjustments!$K$8:$K$207,Adjustments!$B$8:$B$207,$B362,Adjustments!$H$8:$H$207,"Pipeline")+SUMIFS('Zoho Dump'!$X$8:$X$3007,'Zoho Dump'!$N$8:$N$3007,$B362,'Zoho Dump'!$T$8:$T$3007,"Overdue")+SUMIFS(Adjustments!$K$8:$K$207,Adjustments!$B$8:$B$207,$B362,Adjustments!$H$8:$H$207,"Overdue"))</f>
        <v>0</v>
      </c>
      <c r="G362" s="17" t="n">
        <f aca="false">D362+F362</f>
        <v>0</v>
      </c>
      <c r="H362" s="18" t="n">
        <f aca="false">IF(SUM($G$5:$G$404)=0,0,G362/SUM($G$5:$G$404))</f>
        <v>0</v>
      </c>
      <c r="I362" s="17" t="n">
        <f aca="false">IF($B362="",0,SUMIFS('Zoho Dump'!$Q$8:$Q$3007,'Zoho Dump'!$N$8:$N$3007,$B362,'Zoho Dump'!$T$8:$T$3007,"Lost",'Zoho Dump'!$R$8:$R$3007,"&gt;="&amp;Settings!$B$4))</f>
        <v>0</v>
      </c>
      <c r="J362" s="9" t="str">
        <f aca="false">IF($B362="","",IF(COUNTIF(Dashboard!$C$13:$C$22,$B362)&gt;0,"Yes",""))</f>
        <v/>
      </c>
      <c r="K362" s="17" t="n">
        <f aca="false">IF($B362="",0,SUMIFS('Zoho Dump'!$X$8:$X$3007,'Zoho Dump'!$N$8:$N$3007,$B362,'Zoho Dump'!$P$8:$P$3007,Settings!$A$12)+SUMIFS(Adjustments!$K$8:$K$207,Adjustments!$B$8:$B$207,$B362,Adjustments!$A$8:$A$207,Settings!$A$12))</f>
        <v>0</v>
      </c>
      <c r="L362" s="17" t="n">
        <f aca="false">IF($B362="",0,SUMIFS('Zoho Dump'!$X$8:$X$3007,'Zoho Dump'!$N$8:$N$3007,$B362,'Zoho Dump'!$P$8:$P$3007,Settings!$A$13)+SUMIFS(Adjustments!$K$8:$K$207,Adjustments!$B$8:$B$207,$B362,Adjustments!$A$8:$A$207,Settings!$A$13))</f>
        <v>0</v>
      </c>
      <c r="M362" s="17" t="n">
        <f aca="false">IF($B362="",0,SUMIFS('Zoho Dump'!$X$8:$X$3007,'Zoho Dump'!$N$8:$N$3007,$B362,'Zoho Dump'!$P$8:$P$3007,Settings!$A$14)+SUMIFS(Adjustments!$K$8:$K$207,Adjustments!$B$8:$B$207,$B362,Adjustments!$A$8:$A$207,Settings!$A$14))</f>
        <v>0</v>
      </c>
      <c r="N362" s="17" t="n">
        <f aca="false">IF($B362="",0,SUMIFS('Zoho Dump'!$X$8:$X$3007,'Zoho Dump'!$N$8:$N$3007,$B362,'Zoho Dump'!$P$8:$P$3007,Settings!$A$15)+SUMIFS(Adjustments!$K$8:$K$207,Adjustments!$B$8:$B$207,$B362,Adjustments!$A$8:$A$207,Settings!$A$15))</f>
        <v>0</v>
      </c>
      <c r="O362" s="17" t="n">
        <f aca="false">IF($B362="",0,SUMIFS('Zoho Dump'!$X$8:$X$3007,'Zoho Dump'!$N$8:$N$3007,$B362,'Zoho Dump'!$P$8:$P$3007,Settings!$A$16)+SUMIFS(Adjustments!$K$8:$K$207,Adjustments!$B$8:$B$207,$B362,Adjustments!$A$8:$A$207,Settings!$A$16))</f>
        <v>0</v>
      </c>
      <c r="P362" s="17" t="n">
        <f aca="false">IF($B362="",0,SUMIFS('Zoho Dump'!$X$8:$X$3007,'Zoho Dump'!$N$8:$N$3007,$B362,'Zoho Dump'!$P$8:$P$3007,Settings!$A$17)+SUMIFS(Adjustments!$K$8:$K$207,Adjustments!$B$8:$B$207,$B362,Adjustments!$A$8:$A$207,Settings!$A$17))</f>
        <v>0</v>
      </c>
      <c r="Q362" s="17" t="n">
        <f aca="false">IF($B362="",0,SUMIFS('Zoho Dump'!$X$8:$X$3007,'Zoho Dump'!$N$8:$N$3007,$B362,'Zoho Dump'!$P$8:$P$3007,Settings!$A$18)+SUMIFS(Adjustments!$K$8:$K$207,Adjustments!$B$8:$B$207,$B362,Adjustments!$A$8:$A$207,Settings!$A$18))</f>
        <v>0</v>
      </c>
      <c r="R362" s="30" t="str">
        <f aca="false">IF(G362&gt;0,G362+A362/10000000,"")</f>
        <v/>
      </c>
    </row>
    <row r="363" customFormat="false" ht="15" hidden="false" customHeight="false" outlineLevel="0" collapsed="false">
      <c r="A363" s="9" t="n">
        <v>359</v>
      </c>
      <c r="B363" s="9" t="str">
        <f aca="false">IFERROR(INDEX('Zoho Dump'!$N$8:$N$3007,MATCH(A363,'Zoho Dump'!$AB$8:$AB$3007,0)),"")</f>
        <v/>
      </c>
      <c r="C363" s="17" t="n">
        <f aca="false">IF($B363="",0,SUMIFS('Zoho Dump'!$Q$8:$Q$3007,'Zoho Dump'!$N$8:$N$3007,$B363,'Zoho Dump'!$T$8:$T$3007,"Delivered",'Zoho Dump'!$R$8:$R$3007,"&gt;="&amp;Settings!$B$4))</f>
        <v>0</v>
      </c>
      <c r="D363" s="17" t="n">
        <f aca="false">IF($B363="",0,SUMIFS('Zoho Dump'!$X$8:$X$3007,'Zoho Dump'!$N$8:$N$3007,$B363,'Zoho Dump'!$T$8:$T$3007,"Backlog")+SUMIFS(Adjustments!$K$8:$K$207,Adjustments!$B$8:$B$207,$B363,Adjustments!$H$8:$H$207,"Backlog"))</f>
        <v>0</v>
      </c>
      <c r="E363" s="17" t="n">
        <f aca="false">IF($B363="",0,SUMIFS('Zoho Dump'!$Y$8:$Y$3007,'Zoho Dump'!$N$8:$N$3007,$B363,'Zoho Dump'!$T$8:$T$3007,"Pipeline")+SUMIFS(Adjustments!$L$8:$L$207,Adjustments!$B$8:$B$207,$B363,Adjustments!$H$8:$H$207,"Pipeline")+SUMIFS('Zoho Dump'!$Y$8:$Y$3007,'Zoho Dump'!$N$8:$N$3007,$B363,'Zoho Dump'!$T$8:$T$3007,"Overdue")+SUMIFS(Adjustments!$L$8:$L$207,Adjustments!$B$8:$B$207,$B363,Adjustments!$H$8:$H$207,"Overdue"))</f>
        <v>0</v>
      </c>
      <c r="F363" s="17" t="n">
        <f aca="false">IF($B363="",0,SUMIFS('Zoho Dump'!$X$8:$X$3007,'Zoho Dump'!$N$8:$N$3007,$B363,'Zoho Dump'!$T$8:$T$3007,"Pipeline")+SUMIFS(Adjustments!$K$8:$K$207,Adjustments!$B$8:$B$207,$B363,Adjustments!$H$8:$H$207,"Pipeline")+SUMIFS('Zoho Dump'!$X$8:$X$3007,'Zoho Dump'!$N$8:$N$3007,$B363,'Zoho Dump'!$T$8:$T$3007,"Overdue")+SUMIFS(Adjustments!$K$8:$K$207,Adjustments!$B$8:$B$207,$B363,Adjustments!$H$8:$H$207,"Overdue"))</f>
        <v>0</v>
      </c>
      <c r="G363" s="17" t="n">
        <f aca="false">D363+F363</f>
        <v>0</v>
      </c>
      <c r="H363" s="18" t="n">
        <f aca="false">IF(SUM($G$5:$G$404)=0,0,G363/SUM($G$5:$G$404))</f>
        <v>0</v>
      </c>
      <c r="I363" s="17" t="n">
        <f aca="false">IF($B363="",0,SUMIFS('Zoho Dump'!$Q$8:$Q$3007,'Zoho Dump'!$N$8:$N$3007,$B363,'Zoho Dump'!$T$8:$T$3007,"Lost",'Zoho Dump'!$R$8:$R$3007,"&gt;="&amp;Settings!$B$4))</f>
        <v>0</v>
      </c>
      <c r="J363" s="9" t="str">
        <f aca="false">IF($B363="","",IF(COUNTIF(Dashboard!$C$13:$C$22,$B363)&gt;0,"Yes",""))</f>
        <v/>
      </c>
      <c r="K363" s="17" t="n">
        <f aca="false">IF($B363="",0,SUMIFS('Zoho Dump'!$X$8:$X$3007,'Zoho Dump'!$N$8:$N$3007,$B363,'Zoho Dump'!$P$8:$P$3007,Settings!$A$12)+SUMIFS(Adjustments!$K$8:$K$207,Adjustments!$B$8:$B$207,$B363,Adjustments!$A$8:$A$207,Settings!$A$12))</f>
        <v>0</v>
      </c>
      <c r="L363" s="17" t="n">
        <f aca="false">IF($B363="",0,SUMIFS('Zoho Dump'!$X$8:$X$3007,'Zoho Dump'!$N$8:$N$3007,$B363,'Zoho Dump'!$P$8:$P$3007,Settings!$A$13)+SUMIFS(Adjustments!$K$8:$K$207,Adjustments!$B$8:$B$207,$B363,Adjustments!$A$8:$A$207,Settings!$A$13))</f>
        <v>0</v>
      </c>
      <c r="M363" s="17" t="n">
        <f aca="false">IF($B363="",0,SUMIFS('Zoho Dump'!$X$8:$X$3007,'Zoho Dump'!$N$8:$N$3007,$B363,'Zoho Dump'!$P$8:$P$3007,Settings!$A$14)+SUMIFS(Adjustments!$K$8:$K$207,Adjustments!$B$8:$B$207,$B363,Adjustments!$A$8:$A$207,Settings!$A$14))</f>
        <v>0</v>
      </c>
      <c r="N363" s="17" t="n">
        <f aca="false">IF($B363="",0,SUMIFS('Zoho Dump'!$X$8:$X$3007,'Zoho Dump'!$N$8:$N$3007,$B363,'Zoho Dump'!$P$8:$P$3007,Settings!$A$15)+SUMIFS(Adjustments!$K$8:$K$207,Adjustments!$B$8:$B$207,$B363,Adjustments!$A$8:$A$207,Settings!$A$15))</f>
        <v>0</v>
      </c>
      <c r="O363" s="17" t="n">
        <f aca="false">IF($B363="",0,SUMIFS('Zoho Dump'!$X$8:$X$3007,'Zoho Dump'!$N$8:$N$3007,$B363,'Zoho Dump'!$P$8:$P$3007,Settings!$A$16)+SUMIFS(Adjustments!$K$8:$K$207,Adjustments!$B$8:$B$207,$B363,Adjustments!$A$8:$A$207,Settings!$A$16))</f>
        <v>0</v>
      </c>
      <c r="P363" s="17" t="n">
        <f aca="false">IF($B363="",0,SUMIFS('Zoho Dump'!$X$8:$X$3007,'Zoho Dump'!$N$8:$N$3007,$B363,'Zoho Dump'!$P$8:$P$3007,Settings!$A$17)+SUMIFS(Adjustments!$K$8:$K$207,Adjustments!$B$8:$B$207,$B363,Adjustments!$A$8:$A$207,Settings!$A$17))</f>
        <v>0</v>
      </c>
      <c r="Q363" s="17" t="n">
        <f aca="false">IF($B363="",0,SUMIFS('Zoho Dump'!$X$8:$X$3007,'Zoho Dump'!$N$8:$N$3007,$B363,'Zoho Dump'!$P$8:$P$3007,Settings!$A$18)+SUMIFS(Adjustments!$K$8:$K$207,Adjustments!$B$8:$B$207,$B363,Adjustments!$A$8:$A$207,Settings!$A$18))</f>
        <v>0</v>
      </c>
      <c r="R363" s="30" t="str">
        <f aca="false">IF(G363&gt;0,G363+A363/10000000,"")</f>
        <v/>
      </c>
    </row>
    <row r="364" customFormat="false" ht="15" hidden="false" customHeight="false" outlineLevel="0" collapsed="false">
      <c r="A364" s="9" t="n">
        <v>360</v>
      </c>
      <c r="B364" s="9" t="str">
        <f aca="false">IFERROR(INDEX('Zoho Dump'!$N$8:$N$3007,MATCH(A364,'Zoho Dump'!$AB$8:$AB$3007,0)),"")</f>
        <v/>
      </c>
      <c r="C364" s="17" t="n">
        <f aca="false">IF($B364="",0,SUMIFS('Zoho Dump'!$Q$8:$Q$3007,'Zoho Dump'!$N$8:$N$3007,$B364,'Zoho Dump'!$T$8:$T$3007,"Delivered",'Zoho Dump'!$R$8:$R$3007,"&gt;="&amp;Settings!$B$4))</f>
        <v>0</v>
      </c>
      <c r="D364" s="17" t="n">
        <f aca="false">IF($B364="",0,SUMIFS('Zoho Dump'!$X$8:$X$3007,'Zoho Dump'!$N$8:$N$3007,$B364,'Zoho Dump'!$T$8:$T$3007,"Backlog")+SUMIFS(Adjustments!$K$8:$K$207,Adjustments!$B$8:$B$207,$B364,Adjustments!$H$8:$H$207,"Backlog"))</f>
        <v>0</v>
      </c>
      <c r="E364" s="17" t="n">
        <f aca="false">IF($B364="",0,SUMIFS('Zoho Dump'!$Y$8:$Y$3007,'Zoho Dump'!$N$8:$N$3007,$B364,'Zoho Dump'!$T$8:$T$3007,"Pipeline")+SUMIFS(Adjustments!$L$8:$L$207,Adjustments!$B$8:$B$207,$B364,Adjustments!$H$8:$H$207,"Pipeline")+SUMIFS('Zoho Dump'!$Y$8:$Y$3007,'Zoho Dump'!$N$8:$N$3007,$B364,'Zoho Dump'!$T$8:$T$3007,"Overdue")+SUMIFS(Adjustments!$L$8:$L$207,Adjustments!$B$8:$B$207,$B364,Adjustments!$H$8:$H$207,"Overdue"))</f>
        <v>0</v>
      </c>
      <c r="F364" s="17" t="n">
        <f aca="false">IF($B364="",0,SUMIFS('Zoho Dump'!$X$8:$X$3007,'Zoho Dump'!$N$8:$N$3007,$B364,'Zoho Dump'!$T$8:$T$3007,"Pipeline")+SUMIFS(Adjustments!$K$8:$K$207,Adjustments!$B$8:$B$207,$B364,Adjustments!$H$8:$H$207,"Pipeline")+SUMIFS('Zoho Dump'!$X$8:$X$3007,'Zoho Dump'!$N$8:$N$3007,$B364,'Zoho Dump'!$T$8:$T$3007,"Overdue")+SUMIFS(Adjustments!$K$8:$K$207,Adjustments!$B$8:$B$207,$B364,Adjustments!$H$8:$H$207,"Overdue"))</f>
        <v>0</v>
      </c>
      <c r="G364" s="17" t="n">
        <f aca="false">D364+F364</f>
        <v>0</v>
      </c>
      <c r="H364" s="18" t="n">
        <f aca="false">IF(SUM($G$5:$G$404)=0,0,G364/SUM($G$5:$G$404))</f>
        <v>0</v>
      </c>
      <c r="I364" s="17" t="n">
        <f aca="false">IF($B364="",0,SUMIFS('Zoho Dump'!$Q$8:$Q$3007,'Zoho Dump'!$N$8:$N$3007,$B364,'Zoho Dump'!$T$8:$T$3007,"Lost",'Zoho Dump'!$R$8:$R$3007,"&gt;="&amp;Settings!$B$4))</f>
        <v>0</v>
      </c>
      <c r="J364" s="9" t="str">
        <f aca="false">IF($B364="","",IF(COUNTIF(Dashboard!$C$13:$C$22,$B364)&gt;0,"Yes",""))</f>
        <v/>
      </c>
      <c r="K364" s="17" t="n">
        <f aca="false">IF($B364="",0,SUMIFS('Zoho Dump'!$X$8:$X$3007,'Zoho Dump'!$N$8:$N$3007,$B364,'Zoho Dump'!$P$8:$P$3007,Settings!$A$12)+SUMIFS(Adjustments!$K$8:$K$207,Adjustments!$B$8:$B$207,$B364,Adjustments!$A$8:$A$207,Settings!$A$12))</f>
        <v>0</v>
      </c>
      <c r="L364" s="17" t="n">
        <f aca="false">IF($B364="",0,SUMIFS('Zoho Dump'!$X$8:$X$3007,'Zoho Dump'!$N$8:$N$3007,$B364,'Zoho Dump'!$P$8:$P$3007,Settings!$A$13)+SUMIFS(Adjustments!$K$8:$K$207,Adjustments!$B$8:$B$207,$B364,Adjustments!$A$8:$A$207,Settings!$A$13))</f>
        <v>0</v>
      </c>
      <c r="M364" s="17" t="n">
        <f aca="false">IF($B364="",0,SUMIFS('Zoho Dump'!$X$8:$X$3007,'Zoho Dump'!$N$8:$N$3007,$B364,'Zoho Dump'!$P$8:$P$3007,Settings!$A$14)+SUMIFS(Adjustments!$K$8:$K$207,Adjustments!$B$8:$B$207,$B364,Adjustments!$A$8:$A$207,Settings!$A$14))</f>
        <v>0</v>
      </c>
      <c r="N364" s="17" t="n">
        <f aca="false">IF($B364="",0,SUMIFS('Zoho Dump'!$X$8:$X$3007,'Zoho Dump'!$N$8:$N$3007,$B364,'Zoho Dump'!$P$8:$P$3007,Settings!$A$15)+SUMIFS(Adjustments!$K$8:$K$207,Adjustments!$B$8:$B$207,$B364,Adjustments!$A$8:$A$207,Settings!$A$15))</f>
        <v>0</v>
      </c>
      <c r="O364" s="17" t="n">
        <f aca="false">IF($B364="",0,SUMIFS('Zoho Dump'!$X$8:$X$3007,'Zoho Dump'!$N$8:$N$3007,$B364,'Zoho Dump'!$P$8:$P$3007,Settings!$A$16)+SUMIFS(Adjustments!$K$8:$K$207,Adjustments!$B$8:$B$207,$B364,Adjustments!$A$8:$A$207,Settings!$A$16))</f>
        <v>0</v>
      </c>
      <c r="P364" s="17" t="n">
        <f aca="false">IF($B364="",0,SUMIFS('Zoho Dump'!$X$8:$X$3007,'Zoho Dump'!$N$8:$N$3007,$B364,'Zoho Dump'!$P$8:$P$3007,Settings!$A$17)+SUMIFS(Adjustments!$K$8:$K$207,Adjustments!$B$8:$B$207,$B364,Adjustments!$A$8:$A$207,Settings!$A$17))</f>
        <v>0</v>
      </c>
      <c r="Q364" s="17" t="n">
        <f aca="false">IF($B364="",0,SUMIFS('Zoho Dump'!$X$8:$X$3007,'Zoho Dump'!$N$8:$N$3007,$B364,'Zoho Dump'!$P$8:$P$3007,Settings!$A$18)+SUMIFS(Adjustments!$K$8:$K$207,Adjustments!$B$8:$B$207,$B364,Adjustments!$A$8:$A$207,Settings!$A$18))</f>
        <v>0</v>
      </c>
      <c r="R364" s="30" t="str">
        <f aca="false">IF(G364&gt;0,G364+A364/10000000,"")</f>
        <v/>
      </c>
    </row>
    <row r="365" customFormat="false" ht="15" hidden="false" customHeight="false" outlineLevel="0" collapsed="false">
      <c r="A365" s="9" t="n">
        <v>361</v>
      </c>
      <c r="B365" s="9" t="str">
        <f aca="false">IFERROR(INDEX('Zoho Dump'!$N$8:$N$3007,MATCH(A365,'Zoho Dump'!$AB$8:$AB$3007,0)),"")</f>
        <v/>
      </c>
      <c r="C365" s="17" t="n">
        <f aca="false">IF($B365="",0,SUMIFS('Zoho Dump'!$Q$8:$Q$3007,'Zoho Dump'!$N$8:$N$3007,$B365,'Zoho Dump'!$T$8:$T$3007,"Delivered",'Zoho Dump'!$R$8:$R$3007,"&gt;="&amp;Settings!$B$4))</f>
        <v>0</v>
      </c>
      <c r="D365" s="17" t="n">
        <f aca="false">IF($B365="",0,SUMIFS('Zoho Dump'!$X$8:$X$3007,'Zoho Dump'!$N$8:$N$3007,$B365,'Zoho Dump'!$T$8:$T$3007,"Backlog")+SUMIFS(Adjustments!$K$8:$K$207,Adjustments!$B$8:$B$207,$B365,Adjustments!$H$8:$H$207,"Backlog"))</f>
        <v>0</v>
      </c>
      <c r="E365" s="17" t="n">
        <f aca="false">IF($B365="",0,SUMIFS('Zoho Dump'!$Y$8:$Y$3007,'Zoho Dump'!$N$8:$N$3007,$B365,'Zoho Dump'!$T$8:$T$3007,"Pipeline")+SUMIFS(Adjustments!$L$8:$L$207,Adjustments!$B$8:$B$207,$B365,Adjustments!$H$8:$H$207,"Pipeline")+SUMIFS('Zoho Dump'!$Y$8:$Y$3007,'Zoho Dump'!$N$8:$N$3007,$B365,'Zoho Dump'!$T$8:$T$3007,"Overdue")+SUMIFS(Adjustments!$L$8:$L$207,Adjustments!$B$8:$B$207,$B365,Adjustments!$H$8:$H$207,"Overdue"))</f>
        <v>0</v>
      </c>
      <c r="F365" s="17" t="n">
        <f aca="false">IF($B365="",0,SUMIFS('Zoho Dump'!$X$8:$X$3007,'Zoho Dump'!$N$8:$N$3007,$B365,'Zoho Dump'!$T$8:$T$3007,"Pipeline")+SUMIFS(Adjustments!$K$8:$K$207,Adjustments!$B$8:$B$207,$B365,Adjustments!$H$8:$H$207,"Pipeline")+SUMIFS('Zoho Dump'!$X$8:$X$3007,'Zoho Dump'!$N$8:$N$3007,$B365,'Zoho Dump'!$T$8:$T$3007,"Overdue")+SUMIFS(Adjustments!$K$8:$K$207,Adjustments!$B$8:$B$207,$B365,Adjustments!$H$8:$H$207,"Overdue"))</f>
        <v>0</v>
      </c>
      <c r="G365" s="17" t="n">
        <f aca="false">D365+F365</f>
        <v>0</v>
      </c>
      <c r="H365" s="18" t="n">
        <f aca="false">IF(SUM($G$5:$G$404)=0,0,G365/SUM($G$5:$G$404))</f>
        <v>0</v>
      </c>
      <c r="I365" s="17" t="n">
        <f aca="false">IF($B365="",0,SUMIFS('Zoho Dump'!$Q$8:$Q$3007,'Zoho Dump'!$N$8:$N$3007,$B365,'Zoho Dump'!$T$8:$T$3007,"Lost",'Zoho Dump'!$R$8:$R$3007,"&gt;="&amp;Settings!$B$4))</f>
        <v>0</v>
      </c>
      <c r="J365" s="9" t="str">
        <f aca="false">IF($B365="","",IF(COUNTIF(Dashboard!$C$13:$C$22,$B365)&gt;0,"Yes",""))</f>
        <v/>
      </c>
      <c r="K365" s="17" t="n">
        <f aca="false">IF($B365="",0,SUMIFS('Zoho Dump'!$X$8:$X$3007,'Zoho Dump'!$N$8:$N$3007,$B365,'Zoho Dump'!$P$8:$P$3007,Settings!$A$12)+SUMIFS(Adjustments!$K$8:$K$207,Adjustments!$B$8:$B$207,$B365,Adjustments!$A$8:$A$207,Settings!$A$12))</f>
        <v>0</v>
      </c>
      <c r="L365" s="17" t="n">
        <f aca="false">IF($B365="",0,SUMIFS('Zoho Dump'!$X$8:$X$3007,'Zoho Dump'!$N$8:$N$3007,$B365,'Zoho Dump'!$P$8:$P$3007,Settings!$A$13)+SUMIFS(Adjustments!$K$8:$K$207,Adjustments!$B$8:$B$207,$B365,Adjustments!$A$8:$A$207,Settings!$A$13))</f>
        <v>0</v>
      </c>
      <c r="M365" s="17" t="n">
        <f aca="false">IF($B365="",0,SUMIFS('Zoho Dump'!$X$8:$X$3007,'Zoho Dump'!$N$8:$N$3007,$B365,'Zoho Dump'!$P$8:$P$3007,Settings!$A$14)+SUMIFS(Adjustments!$K$8:$K$207,Adjustments!$B$8:$B$207,$B365,Adjustments!$A$8:$A$207,Settings!$A$14))</f>
        <v>0</v>
      </c>
      <c r="N365" s="17" t="n">
        <f aca="false">IF($B365="",0,SUMIFS('Zoho Dump'!$X$8:$X$3007,'Zoho Dump'!$N$8:$N$3007,$B365,'Zoho Dump'!$P$8:$P$3007,Settings!$A$15)+SUMIFS(Adjustments!$K$8:$K$207,Adjustments!$B$8:$B$207,$B365,Adjustments!$A$8:$A$207,Settings!$A$15))</f>
        <v>0</v>
      </c>
      <c r="O365" s="17" t="n">
        <f aca="false">IF($B365="",0,SUMIFS('Zoho Dump'!$X$8:$X$3007,'Zoho Dump'!$N$8:$N$3007,$B365,'Zoho Dump'!$P$8:$P$3007,Settings!$A$16)+SUMIFS(Adjustments!$K$8:$K$207,Adjustments!$B$8:$B$207,$B365,Adjustments!$A$8:$A$207,Settings!$A$16))</f>
        <v>0</v>
      </c>
      <c r="P365" s="17" t="n">
        <f aca="false">IF($B365="",0,SUMIFS('Zoho Dump'!$X$8:$X$3007,'Zoho Dump'!$N$8:$N$3007,$B365,'Zoho Dump'!$P$8:$P$3007,Settings!$A$17)+SUMIFS(Adjustments!$K$8:$K$207,Adjustments!$B$8:$B$207,$B365,Adjustments!$A$8:$A$207,Settings!$A$17))</f>
        <v>0</v>
      </c>
      <c r="Q365" s="17" t="n">
        <f aca="false">IF($B365="",0,SUMIFS('Zoho Dump'!$X$8:$X$3007,'Zoho Dump'!$N$8:$N$3007,$B365,'Zoho Dump'!$P$8:$P$3007,Settings!$A$18)+SUMIFS(Adjustments!$K$8:$K$207,Adjustments!$B$8:$B$207,$B365,Adjustments!$A$8:$A$207,Settings!$A$18))</f>
        <v>0</v>
      </c>
      <c r="R365" s="30" t="str">
        <f aca="false">IF(G365&gt;0,G365+A365/10000000,"")</f>
        <v/>
      </c>
    </row>
    <row r="366" customFormat="false" ht="15" hidden="false" customHeight="false" outlineLevel="0" collapsed="false">
      <c r="A366" s="9" t="n">
        <v>362</v>
      </c>
      <c r="B366" s="9" t="str">
        <f aca="false">IFERROR(INDEX('Zoho Dump'!$N$8:$N$3007,MATCH(A366,'Zoho Dump'!$AB$8:$AB$3007,0)),"")</f>
        <v/>
      </c>
      <c r="C366" s="17" t="n">
        <f aca="false">IF($B366="",0,SUMIFS('Zoho Dump'!$Q$8:$Q$3007,'Zoho Dump'!$N$8:$N$3007,$B366,'Zoho Dump'!$T$8:$T$3007,"Delivered",'Zoho Dump'!$R$8:$R$3007,"&gt;="&amp;Settings!$B$4))</f>
        <v>0</v>
      </c>
      <c r="D366" s="17" t="n">
        <f aca="false">IF($B366="",0,SUMIFS('Zoho Dump'!$X$8:$X$3007,'Zoho Dump'!$N$8:$N$3007,$B366,'Zoho Dump'!$T$8:$T$3007,"Backlog")+SUMIFS(Adjustments!$K$8:$K$207,Adjustments!$B$8:$B$207,$B366,Adjustments!$H$8:$H$207,"Backlog"))</f>
        <v>0</v>
      </c>
      <c r="E366" s="17" t="n">
        <f aca="false">IF($B366="",0,SUMIFS('Zoho Dump'!$Y$8:$Y$3007,'Zoho Dump'!$N$8:$N$3007,$B366,'Zoho Dump'!$T$8:$T$3007,"Pipeline")+SUMIFS(Adjustments!$L$8:$L$207,Adjustments!$B$8:$B$207,$B366,Adjustments!$H$8:$H$207,"Pipeline")+SUMIFS('Zoho Dump'!$Y$8:$Y$3007,'Zoho Dump'!$N$8:$N$3007,$B366,'Zoho Dump'!$T$8:$T$3007,"Overdue")+SUMIFS(Adjustments!$L$8:$L$207,Adjustments!$B$8:$B$207,$B366,Adjustments!$H$8:$H$207,"Overdue"))</f>
        <v>0</v>
      </c>
      <c r="F366" s="17" t="n">
        <f aca="false">IF($B366="",0,SUMIFS('Zoho Dump'!$X$8:$X$3007,'Zoho Dump'!$N$8:$N$3007,$B366,'Zoho Dump'!$T$8:$T$3007,"Pipeline")+SUMIFS(Adjustments!$K$8:$K$207,Adjustments!$B$8:$B$207,$B366,Adjustments!$H$8:$H$207,"Pipeline")+SUMIFS('Zoho Dump'!$X$8:$X$3007,'Zoho Dump'!$N$8:$N$3007,$B366,'Zoho Dump'!$T$8:$T$3007,"Overdue")+SUMIFS(Adjustments!$K$8:$K$207,Adjustments!$B$8:$B$207,$B366,Adjustments!$H$8:$H$207,"Overdue"))</f>
        <v>0</v>
      </c>
      <c r="G366" s="17" t="n">
        <f aca="false">D366+F366</f>
        <v>0</v>
      </c>
      <c r="H366" s="18" t="n">
        <f aca="false">IF(SUM($G$5:$G$404)=0,0,G366/SUM($G$5:$G$404))</f>
        <v>0</v>
      </c>
      <c r="I366" s="17" t="n">
        <f aca="false">IF($B366="",0,SUMIFS('Zoho Dump'!$Q$8:$Q$3007,'Zoho Dump'!$N$8:$N$3007,$B366,'Zoho Dump'!$T$8:$T$3007,"Lost",'Zoho Dump'!$R$8:$R$3007,"&gt;="&amp;Settings!$B$4))</f>
        <v>0</v>
      </c>
      <c r="J366" s="9" t="str">
        <f aca="false">IF($B366="","",IF(COUNTIF(Dashboard!$C$13:$C$22,$B366)&gt;0,"Yes",""))</f>
        <v/>
      </c>
      <c r="K366" s="17" t="n">
        <f aca="false">IF($B366="",0,SUMIFS('Zoho Dump'!$X$8:$X$3007,'Zoho Dump'!$N$8:$N$3007,$B366,'Zoho Dump'!$P$8:$P$3007,Settings!$A$12)+SUMIFS(Adjustments!$K$8:$K$207,Adjustments!$B$8:$B$207,$B366,Adjustments!$A$8:$A$207,Settings!$A$12))</f>
        <v>0</v>
      </c>
      <c r="L366" s="17" t="n">
        <f aca="false">IF($B366="",0,SUMIFS('Zoho Dump'!$X$8:$X$3007,'Zoho Dump'!$N$8:$N$3007,$B366,'Zoho Dump'!$P$8:$P$3007,Settings!$A$13)+SUMIFS(Adjustments!$K$8:$K$207,Adjustments!$B$8:$B$207,$B366,Adjustments!$A$8:$A$207,Settings!$A$13))</f>
        <v>0</v>
      </c>
      <c r="M366" s="17" t="n">
        <f aca="false">IF($B366="",0,SUMIFS('Zoho Dump'!$X$8:$X$3007,'Zoho Dump'!$N$8:$N$3007,$B366,'Zoho Dump'!$P$8:$P$3007,Settings!$A$14)+SUMIFS(Adjustments!$K$8:$K$207,Adjustments!$B$8:$B$207,$B366,Adjustments!$A$8:$A$207,Settings!$A$14))</f>
        <v>0</v>
      </c>
      <c r="N366" s="17" t="n">
        <f aca="false">IF($B366="",0,SUMIFS('Zoho Dump'!$X$8:$X$3007,'Zoho Dump'!$N$8:$N$3007,$B366,'Zoho Dump'!$P$8:$P$3007,Settings!$A$15)+SUMIFS(Adjustments!$K$8:$K$207,Adjustments!$B$8:$B$207,$B366,Adjustments!$A$8:$A$207,Settings!$A$15))</f>
        <v>0</v>
      </c>
      <c r="O366" s="17" t="n">
        <f aca="false">IF($B366="",0,SUMIFS('Zoho Dump'!$X$8:$X$3007,'Zoho Dump'!$N$8:$N$3007,$B366,'Zoho Dump'!$P$8:$P$3007,Settings!$A$16)+SUMIFS(Adjustments!$K$8:$K$207,Adjustments!$B$8:$B$207,$B366,Adjustments!$A$8:$A$207,Settings!$A$16))</f>
        <v>0</v>
      </c>
      <c r="P366" s="17" t="n">
        <f aca="false">IF($B366="",0,SUMIFS('Zoho Dump'!$X$8:$X$3007,'Zoho Dump'!$N$8:$N$3007,$B366,'Zoho Dump'!$P$8:$P$3007,Settings!$A$17)+SUMIFS(Adjustments!$K$8:$K$207,Adjustments!$B$8:$B$207,$B366,Adjustments!$A$8:$A$207,Settings!$A$17))</f>
        <v>0</v>
      </c>
      <c r="Q366" s="17" t="n">
        <f aca="false">IF($B366="",0,SUMIFS('Zoho Dump'!$X$8:$X$3007,'Zoho Dump'!$N$8:$N$3007,$B366,'Zoho Dump'!$P$8:$P$3007,Settings!$A$18)+SUMIFS(Adjustments!$K$8:$K$207,Adjustments!$B$8:$B$207,$B366,Adjustments!$A$8:$A$207,Settings!$A$18))</f>
        <v>0</v>
      </c>
      <c r="R366" s="30" t="str">
        <f aca="false">IF(G366&gt;0,G366+A366/10000000,"")</f>
        <v/>
      </c>
    </row>
    <row r="367" customFormat="false" ht="15" hidden="false" customHeight="false" outlineLevel="0" collapsed="false">
      <c r="A367" s="9" t="n">
        <v>363</v>
      </c>
      <c r="B367" s="9" t="str">
        <f aca="false">IFERROR(INDEX('Zoho Dump'!$N$8:$N$3007,MATCH(A367,'Zoho Dump'!$AB$8:$AB$3007,0)),"")</f>
        <v/>
      </c>
      <c r="C367" s="17" t="n">
        <f aca="false">IF($B367="",0,SUMIFS('Zoho Dump'!$Q$8:$Q$3007,'Zoho Dump'!$N$8:$N$3007,$B367,'Zoho Dump'!$T$8:$T$3007,"Delivered",'Zoho Dump'!$R$8:$R$3007,"&gt;="&amp;Settings!$B$4))</f>
        <v>0</v>
      </c>
      <c r="D367" s="17" t="n">
        <f aca="false">IF($B367="",0,SUMIFS('Zoho Dump'!$X$8:$X$3007,'Zoho Dump'!$N$8:$N$3007,$B367,'Zoho Dump'!$T$8:$T$3007,"Backlog")+SUMIFS(Adjustments!$K$8:$K$207,Adjustments!$B$8:$B$207,$B367,Adjustments!$H$8:$H$207,"Backlog"))</f>
        <v>0</v>
      </c>
      <c r="E367" s="17" t="n">
        <f aca="false">IF($B367="",0,SUMIFS('Zoho Dump'!$Y$8:$Y$3007,'Zoho Dump'!$N$8:$N$3007,$B367,'Zoho Dump'!$T$8:$T$3007,"Pipeline")+SUMIFS(Adjustments!$L$8:$L$207,Adjustments!$B$8:$B$207,$B367,Adjustments!$H$8:$H$207,"Pipeline")+SUMIFS('Zoho Dump'!$Y$8:$Y$3007,'Zoho Dump'!$N$8:$N$3007,$B367,'Zoho Dump'!$T$8:$T$3007,"Overdue")+SUMIFS(Adjustments!$L$8:$L$207,Adjustments!$B$8:$B$207,$B367,Adjustments!$H$8:$H$207,"Overdue"))</f>
        <v>0</v>
      </c>
      <c r="F367" s="17" t="n">
        <f aca="false">IF($B367="",0,SUMIFS('Zoho Dump'!$X$8:$X$3007,'Zoho Dump'!$N$8:$N$3007,$B367,'Zoho Dump'!$T$8:$T$3007,"Pipeline")+SUMIFS(Adjustments!$K$8:$K$207,Adjustments!$B$8:$B$207,$B367,Adjustments!$H$8:$H$207,"Pipeline")+SUMIFS('Zoho Dump'!$X$8:$X$3007,'Zoho Dump'!$N$8:$N$3007,$B367,'Zoho Dump'!$T$8:$T$3007,"Overdue")+SUMIFS(Adjustments!$K$8:$K$207,Adjustments!$B$8:$B$207,$B367,Adjustments!$H$8:$H$207,"Overdue"))</f>
        <v>0</v>
      </c>
      <c r="G367" s="17" t="n">
        <f aca="false">D367+F367</f>
        <v>0</v>
      </c>
      <c r="H367" s="18" t="n">
        <f aca="false">IF(SUM($G$5:$G$404)=0,0,G367/SUM($G$5:$G$404))</f>
        <v>0</v>
      </c>
      <c r="I367" s="17" t="n">
        <f aca="false">IF($B367="",0,SUMIFS('Zoho Dump'!$Q$8:$Q$3007,'Zoho Dump'!$N$8:$N$3007,$B367,'Zoho Dump'!$T$8:$T$3007,"Lost",'Zoho Dump'!$R$8:$R$3007,"&gt;="&amp;Settings!$B$4))</f>
        <v>0</v>
      </c>
      <c r="J367" s="9" t="str">
        <f aca="false">IF($B367="","",IF(COUNTIF(Dashboard!$C$13:$C$22,$B367)&gt;0,"Yes",""))</f>
        <v/>
      </c>
      <c r="K367" s="17" t="n">
        <f aca="false">IF($B367="",0,SUMIFS('Zoho Dump'!$X$8:$X$3007,'Zoho Dump'!$N$8:$N$3007,$B367,'Zoho Dump'!$P$8:$P$3007,Settings!$A$12)+SUMIFS(Adjustments!$K$8:$K$207,Adjustments!$B$8:$B$207,$B367,Adjustments!$A$8:$A$207,Settings!$A$12))</f>
        <v>0</v>
      </c>
      <c r="L367" s="17" t="n">
        <f aca="false">IF($B367="",0,SUMIFS('Zoho Dump'!$X$8:$X$3007,'Zoho Dump'!$N$8:$N$3007,$B367,'Zoho Dump'!$P$8:$P$3007,Settings!$A$13)+SUMIFS(Adjustments!$K$8:$K$207,Adjustments!$B$8:$B$207,$B367,Adjustments!$A$8:$A$207,Settings!$A$13))</f>
        <v>0</v>
      </c>
      <c r="M367" s="17" t="n">
        <f aca="false">IF($B367="",0,SUMIFS('Zoho Dump'!$X$8:$X$3007,'Zoho Dump'!$N$8:$N$3007,$B367,'Zoho Dump'!$P$8:$P$3007,Settings!$A$14)+SUMIFS(Adjustments!$K$8:$K$207,Adjustments!$B$8:$B$207,$B367,Adjustments!$A$8:$A$207,Settings!$A$14))</f>
        <v>0</v>
      </c>
      <c r="N367" s="17" t="n">
        <f aca="false">IF($B367="",0,SUMIFS('Zoho Dump'!$X$8:$X$3007,'Zoho Dump'!$N$8:$N$3007,$B367,'Zoho Dump'!$P$8:$P$3007,Settings!$A$15)+SUMIFS(Adjustments!$K$8:$K$207,Adjustments!$B$8:$B$207,$B367,Adjustments!$A$8:$A$207,Settings!$A$15))</f>
        <v>0</v>
      </c>
      <c r="O367" s="17" t="n">
        <f aca="false">IF($B367="",0,SUMIFS('Zoho Dump'!$X$8:$X$3007,'Zoho Dump'!$N$8:$N$3007,$B367,'Zoho Dump'!$P$8:$P$3007,Settings!$A$16)+SUMIFS(Adjustments!$K$8:$K$207,Adjustments!$B$8:$B$207,$B367,Adjustments!$A$8:$A$207,Settings!$A$16))</f>
        <v>0</v>
      </c>
      <c r="P367" s="17" t="n">
        <f aca="false">IF($B367="",0,SUMIFS('Zoho Dump'!$X$8:$X$3007,'Zoho Dump'!$N$8:$N$3007,$B367,'Zoho Dump'!$P$8:$P$3007,Settings!$A$17)+SUMIFS(Adjustments!$K$8:$K$207,Adjustments!$B$8:$B$207,$B367,Adjustments!$A$8:$A$207,Settings!$A$17))</f>
        <v>0</v>
      </c>
      <c r="Q367" s="17" t="n">
        <f aca="false">IF($B367="",0,SUMIFS('Zoho Dump'!$X$8:$X$3007,'Zoho Dump'!$N$8:$N$3007,$B367,'Zoho Dump'!$P$8:$P$3007,Settings!$A$18)+SUMIFS(Adjustments!$K$8:$K$207,Adjustments!$B$8:$B$207,$B367,Adjustments!$A$8:$A$207,Settings!$A$18))</f>
        <v>0</v>
      </c>
      <c r="R367" s="30" t="str">
        <f aca="false">IF(G367&gt;0,G367+A367/10000000,"")</f>
        <v/>
      </c>
    </row>
    <row r="368" customFormat="false" ht="15" hidden="false" customHeight="false" outlineLevel="0" collapsed="false">
      <c r="A368" s="9" t="n">
        <v>364</v>
      </c>
      <c r="B368" s="9" t="str">
        <f aca="false">IFERROR(INDEX('Zoho Dump'!$N$8:$N$3007,MATCH(A368,'Zoho Dump'!$AB$8:$AB$3007,0)),"")</f>
        <v/>
      </c>
      <c r="C368" s="17" t="n">
        <f aca="false">IF($B368="",0,SUMIFS('Zoho Dump'!$Q$8:$Q$3007,'Zoho Dump'!$N$8:$N$3007,$B368,'Zoho Dump'!$T$8:$T$3007,"Delivered",'Zoho Dump'!$R$8:$R$3007,"&gt;="&amp;Settings!$B$4))</f>
        <v>0</v>
      </c>
      <c r="D368" s="17" t="n">
        <f aca="false">IF($B368="",0,SUMIFS('Zoho Dump'!$X$8:$X$3007,'Zoho Dump'!$N$8:$N$3007,$B368,'Zoho Dump'!$T$8:$T$3007,"Backlog")+SUMIFS(Adjustments!$K$8:$K$207,Adjustments!$B$8:$B$207,$B368,Adjustments!$H$8:$H$207,"Backlog"))</f>
        <v>0</v>
      </c>
      <c r="E368" s="17" t="n">
        <f aca="false">IF($B368="",0,SUMIFS('Zoho Dump'!$Y$8:$Y$3007,'Zoho Dump'!$N$8:$N$3007,$B368,'Zoho Dump'!$T$8:$T$3007,"Pipeline")+SUMIFS(Adjustments!$L$8:$L$207,Adjustments!$B$8:$B$207,$B368,Adjustments!$H$8:$H$207,"Pipeline")+SUMIFS('Zoho Dump'!$Y$8:$Y$3007,'Zoho Dump'!$N$8:$N$3007,$B368,'Zoho Dump'!$T$8:$T$3007,"Overdue")+SUMIFS(Adjustments!$L$8:$L$207,Adjustments!$B$8:$B$207,$B368,Adjustments!$H$8:$H$207,"Overdue"))</f>
        <v>0</v>
      </c>
      <c r="F368" s="17" t="n">
        <f aca="false">IF($B368="",0,SUMIFS('Zoho Dump'!$X$8:$X$3007,'Zoho Dump'!$N$8:$N$3007,$B368,'Zoho Dump'!$T$8:$T$3007,"Pipeline")+SUMIFS(Adjustments!$K$8:$K$207,Adjustments!$B$8:$B$207,$B368,Adjustments!$H$8:$H$207,"Pipeline")+SUMIFS('Zoho Dump'!$X$8:$X$3007,'Zoho Dump'!$N$8:$N$3007,$B368,'Zoho Dump'!$T$8:$T$3007,"Overdue")+SUMIFS(Adjustments!$K$8:$K$207,Adjustments!$B$8:$B$207,$B368,Adjustments!$H$8:$H$207,"Overdue"))</f>
        <v>0</v>
      </c>
      <c r="G368" s="17" t="n">
        <f aca="false">D368+F368</f>
        <v>0</v>
      </c>
      <c r="H368" s="18" t="n">
        <f aca="false">IF(SUM($G$5:$G$404)=0,0,G368/SUM($G$5:$G$404))</f>
        <v>0</v>
      </c>
      <c r="I368" s="17" t="n">
        <f aca="false">IF($B368="",0,SUMIFS('Zoho Dump'!$Q$8:$Q$3007,'Zoho Dump'!$N$8:$N$3007,$B368,'Zoho Dump'!$T$8:$T$3007,"Lost",'Zoho Dump'!$R$8:$R$3007,"&gt;="&amp;Settings!$B$4))</f>
        <v>0</v>
      </c>
      <c r="J368" s="9" t="str">
        <f aca="false">IF($B368="","",IF(COUNTIF(Dashboard!$C$13:$C$22,$B368)&gt;0,"Yes",""))</f>
        <v/>
      </c>
      <c r="K368" s="17" t="n">
        <f aca="false">IF($B368="",0,SUMIFS('Zoho Dump'!$X$8:$X$3007,'Zoho Dump'!$N$8:$N$3007,$B368,'Zoho Dump'!$P$8:$P$3007,Settings!$A$12)+SUMIFS(Adjustments!$K$8:$K$207,Adjustments!$B$8:$B$207,$B368,Adjustments!$A$8:$A$207,Settings!$A$12))</f>
        <v>0</v>
      </c>
      <c r="L368" s="17" t="n">
        <f aca="false">IF($B368="",0,SUMIFS('Zoho Dump'!$X$8:$X$3007,'Zoho Dump'!$N$8:$N$3007,$B368,'Zoho Dump'!$P$8:$P$3007,Settings!$A$13)+SUMIFS(Adjustments!$K$8:$K$207,Adjustments!$B$8:$B$207,$B368,Adjustments!$A$8:$A$207,Settings!$A$13))</f>
        <v>0</v>
      </c>
      <c r="M368" s="17" t="n">
        <f aca="false">IF($B368="",0,SUMIFS('Zoho Dump'!$X$8:$X$3007,'Zoho Dump'!$N$8:$N$3007,$B368,'Zoho Dump'!$P$8:$P$3007,Settings!$A$14)+SUMIFS(Adjustments!$K$8:$K$207,Adjustments!$B$8:$B$207,$B368,Adjustments!$A$8:$A$207,Settings!$A$14))</f>
        <v>0</v>
      </c>
      <c r="N368" s="17" t="n">
        <f aca="false">IF($B368="",0,SUMIFS('Zoho Dump'!$X$8:$X$3007,'Zoho Dump'!$N$8:$N$3007,$B368,'Zoho Dump'!$P$8:$P$3007,Settings!$A$15)+SUMIFS(Adjustments!$K$8:$K$207,Adjustments!$B$8:$B$207,$B368,Adjustments!$A$8:$A$207,Settings!$A$15))</f>
        <v>0</v>
      </c>
      <c r="O368" s="17" t="n">
        <f aca="false">IF($B368="",0,SUMIFS('Zoho Dump'!$X$8:$X$3007,'Zoho Dump'!$N$8:$N$3007,$B368,'Zoho Dump'!$P$8:$P$3007,Settings!$A$16)+SUMIFS(Adjustments!$K$8:$K$207,Adjustments!$B$8:$B$207,$B368,Adjustments!$A$8:$A$207,Settings!$A$16))</f>
        <v>0</v>
      </c>
      <c r="P368" s="17" t="n">
        <f aca="false">IF($B368="",0,SUMIFS('Zoho Dump'!$X$8:$X$3007,'Zoho Dump'!$N$8:$N$3007,$B368,'Zoho Dump'!$P$8:$P$3007,Settings!$A$17)+SUMIFS(Adjustments!$K$8:$K$207,Adjustments!$B$8:$B$207,$B368,Adjustments!$A$8:$A$207,Settings!$A$17))</f>
        <v>0</v>
      </c>
      <c r="Q368" s="17" t="n">
        <f aca="false">IF($B368="",0,SUMIFS('Zoho Dump'!$X$8:$X$3007,'Zoho Dump'!$N$8:$N$3007,$B368,'Zoho Dump'!$P$8:$P$3007,Settings!$A$18)+SUMIFS(Adjustments!$K$8:$K$207,Adjustments!$B$8:$B$207,$B368,Adjustments!$A$8:$A$207,Settings!$A$18))</f>
        <v>0</v>
      </c>
      <c r="R368" s="30" t="str">
        <f aca="false">IF(G368&gt;0,G368+A368/10000000,"")</f>
        <v/>
      </c>
    </row>
    <row r="369" customFormat="false" ht="15" hidden="false" customHeight="false" outlineLevel="0" collapsed="false">
      <c r="A369" s="9" t="n">
        <v>365</v>
      </c>
      <c r="B369" s="9" t="str">
        <f aca="false">IFERROR(INDEX('Zoho Dump'!$N$8:$N$3007,MATCH(A369,'Zoho Dump'!$AB$8:$AB$3007,0)),"")</f>
        <v/>
      </c>
      <c r="C369" s="17" t="n">
        <f aca="false">IF($B369="",0,SUMIFS('Zoho Dump'!$Q$8:$Q$3007,'Zoho Dump'!$N$8:$N$3007,$B369,'Zoho Dump'!$T$8:$T$3007,"Delivered",'Zoho Dump'!$R$8:$R$3007,"&gt;="&amp;Settings!$B$4))</f>
        <v>0</v>
      </c>
      <c r="D369" s="17" t="n">
        <f aca="false">IF($B369="",0,SUMIFS('Zoho Dump'!$X$8:$X$3007,'Zoho Dump'!$N$8:$N$3007,$B369,'Zoho Dump'!$T$8:$T$3007,"Backlog")+SUMIFS(Adjustments!$K$8:$K$207,Adjustments!$B$8:$B$207,$B369,Adjustments!$H$8:$H$207,"Backlog"))</f>
        <v>0</v>
      </c>
      <c r="E369" s="17" t="n">
        <f aca="false">IF($B369="",0,SUMIFS('Zoho Dump'!$Y$8:$Y$3007,'Zoho Dump'!$N$8:$N$3007,$B369,'Zoho Dump'!$T$8:$T$3007,"Pipeline")+SUMIFS(Adjustments!$L$8:$L$207,Adjustments!$B$8:$B$207,$B369,Adjustments!$H$8:$H$207,"Pipeline")+SUMIFS('Zoho Dump'!$Y$8:$Y$3007,'Zoho Dump'!$N$8:$N$3007,$B369,'Zoho Dump'!$T$8:$T$3007,"Overdue")+SUMIFS(Adjustments!$L$8:$L$207,Adjustments!$B$8:$B$207,$B369,Adjustments!$H$8:$H$207,"Overdue"))</f>
        <v>0</v>
      </c>
      <c r="F369" s="17" t="n">
        <f aca="false">IF($B369="",0,SUMIFS('Zoho Dump'!$X$8:$X$3007,'Zoho Dump'!$N$8:$N$3007,$B369,'Zoho Dump'!$T$8:$T$3007,"Pipeline")+SUMIFS(Adjustments!$K$8:$K$207,Adjustments!$B$8:$B$207,$B369,Adjustments!$H$8:$H$207,"Pipeline")+SUMIFS('Zoho Dump'!$X$8:$X$3007,'Zoho Dump'!$N$8:$N$3007,$B369,'Zoho Dump'!$T$8:$T$3007,"Overdue")+SUMIFS(Adjustments!$K$8:$K$207,Adjustments!$B$8:$B$207,$B369,Adjustments!$H$8:$H$207,"Overdue"))</f>
        <v>0</v>
      </c>
      <c r="G369" s="17" t="n">
        <f aca="false">D369+F369</f>
        <v>0</v>
      </c>
      <c r="H369" s="18" t="n">
        <f aca="false">IF(SUM($G$5:$G$404)=0,0,G369/SUM($G$5:$G$404))</f>
        <v>0</v>
      </c>
      <c r="I369" s="17" t="n">
        <f aca="false">IF($B369="",0,SUMIFS('Zoho Dump'!$Q$8:$Q$3007,'Zoho Dump'!$N$8:$N$3007,$B369,'Zoho Dump'!$T$8:$T$3007,"Lost",'Zoho Dump'!$R$8:$R$3007,"&gt;="&amp;Settings!$B$4))</f>
        <v>0</v>
      </c>
      <c r="J369" s="9" t="str">
        <f aca="false">IF($B369="","",IF(COUNTIF(Dashboard!$C$13:$C$22,$B369)&gt;0,"Yes",""))</f>
        <v/>
      </c>
      <c r="K369" s="17" t="n">
        <f aca="false">IF($B369="",0,SUMIFS('Zoho Dump'!$X$8:$X$3007,'Zoho Dump'!$N$8:$N$3007,$B369,'Zoho Dump'!$P$8:$P$3007,Settings!$A$12)+SUMIFS(Adjustments!$K$8:$K$207,Adjustments!$B$8:$B$207,$B369,Adjustments!$A$8:$A$207,Settings!$A$12))</f>
        <v>0</v>
      </c>
      <c r="L369" s="17" t="n">
        <f aca="false">IF($B369="",0,SUMIFS('Zoho Dump'!$X$8:$X$3007,'Zoho Dump'!$N$8:$N$3007,$B369,'Zoho Dump'!$P$8:$P$3007,Settings!$A$13)+SUMIFS(Adjustments!$K$8:$K$207,Adjustments!$B$8:$B$207,$B369,Adjustments!$A$8:$A$207,Settings!$A$13))</f>
        <v>0</v>
      </c>
      <c r="M369" s="17" t="n">
        <f aca="false">IF($B369="",0,SUMIFS('Zoho Dump'!$X$8:$X$3007,'Zoho Dump'!$N$8:$N$3007,$B369,'Zoho Dump'!$P$8:$P$3007,Settings!$A$14)+SUMIFS(Adjustments!$K$8:$K$207,Adjustments!$B$8:$B$207,$B369,Adjustments!$A$8:$A$207,Settings!$A$14))</f>
        <v>0</v>
      </c>
      <c r="N369" s="17" t="n">
        <f aca="false">IF($B369="",0,SUMIFS('Zoho Dump'!$X$8:$X$3007,'Zoho Dump'!$N$8:$N$3007,$B369,'Zoho Dump'!$P$8:$P$3007,Settings!$A$15)+SUMIFS(Adjustments!$K$8:$K$207,Adjustments!$B$8:$B$207,$B369,Adjustments!$A$8:$A$207,Settings!$A$15))</f>
        <v>0</v>
      </c>
      <c r="O369" s="17" t="n">
        <f aca="false">IF($B369="",0,SUMIFS('Zoho Dump'!$X$8:$X$3007,'Zoho Dump'!$N$8:$N$3007,$B369,'Zoho Dump'!$P$8:$P$3007,Settings!$A$16)+SUMIFS(Adjustments!$K$8:$K$207,Adjustments!$B$8:$B$207,$B369,Adjustments!$A$8:$A$207,Settings!$A$16))</f>
        <v>0</v>
      </c>
      <c r="P369" s="17" t="n">
        <f aca="false">IF($B369="",0,SUMIFS('Zoho Dump'!$X$8:$X$3007,'Zoho Dump'!$N$8:$N$3007,$B369,'Zoho Dump'!$P$8:$P$3007,Settings!$A$17)+SUMIFS(Adjustments!$K$8:$K$207,Adjustments!$B$8:$B$207,$B369,Adjustments!$A$8:$A$207,Settings!$A$17))</f>
        <v>0</v>
      </c>
      <c r="Q369" s="17" t="n">
        <f aca="false">IF($B369="",0,SUMIFS('Zoho Dump'!$X$8:$X$3007,'Zoho Dump'!$N$8:$N$3007,$B369,'Zoho Dump'!$P$8:$P$3007,Settings!$A$18)+SUMIFS(Adjustments!$K$8:$K$207,Adjustments!$B$8:$B$207,$B369,Adjustments!$A$8:$A$207,Settings!$A$18))</f>
        <v>0</v>
      </c>
      <c r="R369" s="30" t="str">
        <f aca="false">IF(G369&gt;0,G369+A369/10000000,"")</f>
        <v/>
      </c>
    </row>
    <row r="370" customFormat="false" ht="15" hidden="false" customHeight="false" outlineLevel="0" collapsed="false">
      <c r="A370" s="9" t="n">
        <v>366</v>
      </c>
      <c r="B370" s="9" t="str">
        <f aca="false">IFERROR(INDEX('Zoho Dump'!$N$8:$N$3007,MATCH(A370,'Zoho Dump'!$AB$8:$AB$3007,0)),"")</f>
        <v/>
      </c>
      <c r="C370" s="17" t="n">
        <f aca="false">IF($B370="",0,SUMIFS('Zoho Dump'!$Q$8:$Q$3007,'Zoho Dump'!$N$8:$N$3007,$B370,'Zoho Dump'!$T$8:$T$3007,"Delivered",'Zoho Dump'!$R$8:$R$3007,"&gt;="&amp;Settings!$B$4))</f>
        <v>0</v>
      </c>
      <c r="D370" s="17" t="n">
        <f aca="false">IF($B370="",0,SUMIFS('Zoho Dump'!$X$8:$X$3007,'Zoho Dump'!$N$8:$N$3007,$B370,'Zoho Dump'!$T$8:$T$3007,"Backlog")+SUMIFS(Adjustments!$K$8:$K$207,Adjustments!$B$8:$B$207,$B370,Adjustments!$H$8:$H$207,"Backlog"))</f>
        <v>0</v>
      </c>
      <c r="E370" s="17" t="n">
        <f aca="false">IF($B370="",0,SUMIFS('Zoho Dump'!$Y$8:$Y$3007,'Zoho Dump'!$N$8:$N$3007,$B370,'Zoho Dump'!$T$8:$T$3007,"Pipeline")+SUMIFS(Adjustments!$L$8:$L$207,Adjustments!$B$8:$B$207,$B370,Adjustments!$H$8:$H$207,"Pipeline")+SUMIFS('Zoho Dump'!$Y$8:$Y$3007,'Zoho Dump'!$N$8:$N$3007,$B370,'Zoho Dump'!$T$8:$T$3007,"Overdue")+SUMIFS(Adjustments!$L$8:$L$207,Adjustments!$B$8:$B$207,$B370,Adjustments!$H$8:$H$207,"Overdue"))</f>
        <v>0</v>
      </c>
      <c r="F370" s="17" t="n">
        <f aca="false">IF($B370="",0,SUMIFS('Zoho Dump'!$X$8:$X$3007,'Zoho Dump'!$N$8:$N$3007,$B370,'Zoho Dump'!$T$8:$T$3007,"Pipeline")+SUMIFS(Adjustments!$K$8:$K$207,Adjustments!$B$8:$B$207,$B370,Adjustments!$H$8:$H$207,"Pipeline")+SUMIFS('Zoho Dump'!$X$8:$X$3007,'Zoho Dump'!$N$8:$N$3007,$B370,'Zoho Dump'!$T$8:$T$3007,"Overdue")+SUMIFS(Adjustments!$K$8:$K$207,Adjustments!$B$8:$B$207,$B370,Adjustments!$H$8:$H$207,"Overdue"))</f>
        <v>0</v>
      </c>
      <c r="G370" s="17" t="n">
        <f aca="false">D370+F370</f>
        <v>0</v>
      </c>
      <c r="H370" s="18" t="n">
        <f aca="false">IF(SUM($G$5:$G$404)=0,0,G370/SUM($G$5:$G$404))</f>
        <v>0</v>
      </c>
      <c r="I370" s="17" t="n">
        <f aca="false">IF($B370="",0,SUMIFS('Zoho Dump'!$Q$8:$Q$3007,'Zoho Dump'!$N$8:$N$3007,$B370,'Zoho Dump'!$T$8:$T$3007,"Lost",'Zoho Dump'!$R$8:$R$3007,"&gt;="&amp;Settings!$B$4))</f>
        <v>0</v>
      </c>
      <c r="J370" s="9" t="str">
        <f aca="false">IF($B370="","",IF(COUNTIF(Dashboard!$C$13:$C$22,$B370)&gt;0,"Yes",""))</f>
        <v/>
      </c>
      <c r="K370" s="17" t="n">
        <f aca="false">IF($B370="",0,SUMIFS('Zoho Dump'!$X$8:$X$3007,'Zoho Dump'!$N$8:$N$3007,$B370,'Zoho Dump'!$P$8:$P$3007,Settings!$A$12)+SUMIFS(Adjustments!$K$8:$K$207,Adjustments!$B$8:$B$207,$B370,Adjustments!$A$8:$A$207,Settings!$A$12))</f>
        <v>0</v>
      </c>
      <c r="L370" s="17" t="n">
        <f aca="false">IF($B370="",0,SUMIFS('Zoho Dump'!$X$8:$X$3007,'Zoho Dump'!$N$8:$N$3007,$B370,'Zoho Dump'!$P$8:$P$3007,Settings!$A$13)+SUMIFS(Adjustments!$K$8:$K$207,Adjustments!$B$8:$B$207,$B370,Adjustments!$A$8:$A$207,Settings!$A$13))</f>
        <v>0</v>
      </c>
      <c r="M370" s="17" t="n">
        <f aca="false">IF($B370="",0,SUMIFS('Zoho Dump'!$X$8:$X$3007,'Zoho Dump'!$N$8:$N$3007,$B370,'Zoho Dump'!$P$8:$P$3007,Settings!$A$14)+SUMIFS(Adjustments!$K$8:$K$207,Adjustments!$B$8:$B$207,$B370,Adjustments!$A$8:$A$207,Settings!$A$14))</f>
        <v>0</v>
      </c>
      <c r="N370" s="17" t="n">
        <f aca="false">IF($B370="",0,SUMIFS('Zoho Dump'!$X$8:$X$3007,'Zoho Dump'!$N$8:$N$3007,$B370,'Zoho Dump'!$P$8:$P$3007,Settings!$A$15)+SUMIFS(Adjustments!$K$8:$K$207,Adjustments!$B$8:$B$207,$B370,Adjustments!$A$8:$A$207,Settings!$A$15))</f>
        <v>0</v>
      </c>
      <c r="O370" s="17" t="n">
        <f aca="false">IF($B370="",0,SUMIFS('Zoho Dump'!$X$8:$X$3007,'Zoho Dump'!$N$8:$N$3007,$B370,'Zoho Dump'!$P$8:$P$3007,Settings!$A$16)+SUMIFS(Adjustments!$K$8:$K$207,Adjustments!$B$8:$B$207,$B370,Adjustments!$A$8:$A$207,Settings!$A$16))</f>
        <v>0</v>
      </c>
      <c r="P370" s="17" t="n">
        <f aca="false">IF($B370="",0,SUMIFS('Zoho Dump'!$X$8:$X$3007,'Zoho Dump'!$N$8:$N$3007,$B370,'Zoho Dump'!$P$8:$P$3007,Settings!$A$17)+SUMIFS(Adjustments!$K$8:$K$207,Adjustments!$B$8:$B$207,$B370,Adjustments!$A$8:$A$207,Settings!$A$17))</f>
        <v>0</v>
      </c>
      <c r="Q370" s="17" t="n">
        <f aca="false">IF($B370="",0,SUMIFS('Zoho Dump'!$X$8:$X$3007,'Zoho Dump'!$N$8:$N$3007,$B370,'Zoho Dump'!$P$8:$P$3007,Settings!$A$18)+SUMIFS(Adjustments!$K$8:$K$207,Adjustments!$B$8:$B$207,$B370,Adjustments!$A$8:$A$207,Settings!$A$18))</f>
        <v>0</v>
      </c>
      <c r="R370" s="30" t="str">
        <f aca="false">IF(G370&gt;0,G370+A370/10000000,"")</f>
        <v/>
      </c>
    </row>
    <row r="371" customFormat="false" ht="15" hidden="false" customHeight="false" outlineLevel="0" collapsed="false">
      <c r="A371" s="9" t="n">
        <v>367</v>
      </c>
      <c r="B371" s="9" t="str">
        <f aca="false">IFERROR(INDEX('Zoho Dump'!$N$8:$N$3007,MATCH(A371,'Zoho Dump'!$AB$8:$AB$3007,0)),"")</f>
        <v/>
      </c>
      <c r="C371" s="17" t="n">
        <f aca="false">IF($B371="",0,SUMIFS('Zoho Dump'!$Q$8:$Q$3007,'Zoho Dump'!$N$8:$N$3007,$B371,'Zoho Dump'!$T$8:$T$3007,"Delivered",'Zoho Dump'!$R$8:$R$3007,"&gt;="&amp;Settings!$B$4))</f>
        <v>0</v>
      </c>
      <c r="D371" s="17" t="n">
        <f aca="false">IF($B371="",0,SUMIFS('Zoho Dump'!$X$8:$X$3007,'Zoho Dump'!$N$8:$N$3007,$B371,'Zoho Dump'!$T$8:$T$3007,"Backlog")+SUMIFS(Adjustments!$K$8:$K$207,Adjustments!$B$8:$B$207,$B371,Adjustments!$H$8:$H$207,"Backlog"))</f>
        <v>0</v>
      </c>
      <c r="E371" s="17" t="n">
        <f aca="false">IF($B371="",0,SUMIFS('Zoho Dump'!$Y$8:$Y$3007,'Zoho Dump'!$N$8:$N$3007,$B371,'Zoho Dump'!$T$8:$T$3007,"Pipeline")+SUMIFS(Adjustments!$L$8:$L$207,Adjustments!$B$8:$B$207,$B371,Adjustments!$H$8:$H$207,"Pipeline")+SUMIFS('Zoho Dump'!$Y$8:$Y$3007,'Zoho Dump'!$N$8:$N$3007,$B371,'Zoho Dump'!$T$8:$T$3007,"Overdue")+SUMIFS(Adjustments!$L$8:$L$207,Adjustments!$B$8:$B$207,$B371,Adjustments!$H$8:$H$207,"Overdue"))</f>
        <v>0</v>
      </c>
      <c r="F371" s="17" t="n">
        <f aca="false">IF($B371="",0,SUMIFS('Zoho Dump'!$X$8:$X$3007,'Zoho Dump'!$N$8:$N$3007,$B371,'Zoho Dump'!$T$8:$T$3007,"Pipeline")+SUMIFS(Adjustments!$K$8:$K$207,Adjustments!$B$8:$B$207,$B371,Adjustments!$H$8:$H$207,"Pipeline")+SUMIFS('Zoho Dump'!$X$8:$X$3007,'Zoho Dump'!$N$8:$N$3007,$B371,'Zoho Dump'!$T$8:$T$3007,"Overdue")+SUMIFS(Adjustments!$K$8:$K$207,Adjustments!$B$8:$B$207,$B371,Adjustments!$H$8:$H$207,"Overdue"))</f>
        <v>0</v>
      </c>
      <c r="G371" s="17" t="n">
        <f aca="false">D371+F371</f>
        <v>0</v>
      </c>
      <c r="H371" s="18" t="n">
        <f aca="false">IF(SUM($G$5:$G$404)=0,0,G371/SUM($G$5:$G$404))</f>
        <v>0</v>
      </c>
      <c r="I371" s="17" t="n">
        <f aca="false">IF($B371="",0,SUMIFS('Zoho Dump'!$Q$8:$Q$3007,'Zoho Dump'!$N$8:$N$3007,$B371,'Zoho Dump'!$T$8:$T$3007,"Lost",'Zoho Dump'!$R$8:$R$3007,"&gt;="&amp;Settings!$B$4))</f>
        <v>0</v>
      </c>
      <c r="J371" s="9" t="str">
        <f aca="false">IF($B371="","",IF(COUNTIF(Dashboard!$C$13:$C$22,$B371)&gt;0,"Yes",""))</f>
        <v/>
      </c>
      <c r="K371" s="17" t="n">
        <f aca="false">IF($B371="",0,SUMIFS('Zoho Dump'!$X$8:$X$3007,'Zoho Dump'!$N$8:$N$3007,$B371,'Zoho Dump'!$P$8:$P$3007,Settings!$A$12)+SUMIFS(Adjustments!$K$8:$K$207,Adjustments!$B$8:$B$207,$B371,Adjustments!$A$8:$A$207,Settings!$A$12))</f>
        <v>0</v>
      </c>
      <c r="L371" s="17" t="n">
        <f aca="false">IF($B371="",0,SUMIFS('Zoho Dump'!$X$8:$X$3007,'Zoho Dump'!$N$8:$N$3007,$B371,'Zoho Dump'!$P$8:$P$3007,Settings!$A$13)+SUMIFS(Adjustments!$K$8:$K$207,Adjustments!$B$8:$B$207,$B371,Adjustments!$A$8:$A$207,Settings!$A$13))</f>
        <v>0</v>
      </c>
      <c r="M371" s="17" t="n">
        <f aca="false">IF($B371="",0,SUMIFS('Zoho Dump'!$X$8:$X$3007,'Zoho Dump'!$N$8:$N$3007,$B371,'Zoho Dump'!$P$8:$P$3007,Settings!$A$14)+SUMIFS(Adjustments!$K$8:$K$207,Adjustments!$B$8:$B$207,$B371,Adjustments!$A$8:$A$207,Settings!$A$14))</f>
        <v>0</v>
      </c>
      <c r="N371" s="17" t="n">
        <f aca="false">IF($B371="",0,SUMIFS('Zoho Dump'!$X$8:$X$3007,'Zoho Dump'!$N$8:$N$3007,$B371,'Zoho Dump'!$P$8:$P$3007,Settings!$A$15)+SUMIFS(Adjustments!$K$8:$K$207,Adjustments!$B$8:$B$207,$B371,Adjustments!$A$8:$A$207,Settings!$A$15))</f>
        <v>0</v>
      </c>
      <c r="O371" s="17" t="n">
        <f aca="false">IF($B371="",0,SUMIFS('Zoho Dump'!$X$8:$X$3007,'Zoho Dump'!$N$8:$N$3007,$B371,'Zoho Dump'!$P$8:$P$3007,Settings!$A$16)+SUMIFS(Adjustments!$K$8:$K$207,Adjustments!$B$8:$B$207,$B371,Adjustments!$A$8:$A$207,Settings!$A$16))</f>
        <v>0</v>
      </c>
      <c r="P371" s="17" t="n">
        <f aca="false">IF($B371="",0,SUMIFS('Zoho Dump'!$X$8:$X$3007,'Zoho Dump'!$N$8:$N$3007,$B371,'Zoho Dump'!$P$8:$P$3007,Settings!$A$17)+SUMIFS(Adjustments!$K$8:$K$207,Adjustments!$B$8:$B$207,$B371,Adjustments!$A$8:$A$207,Settings!$A$17))</f>
        <v>0</v>
      </c>
      <c r="Q371" s="17" t="n">
        <f aca="false">IF($B371="",0,SUMIFS('Zoho Dump'!$X$8:$X$3007,'Zoho Dump'!$N$8:$N$3007,$B371,'Zoho Dump'!$P$8:$P$3007,Settings!$A$18)+SUMIFS(Adjustments!$K$8:$K$207,Adjustments!$B$8:$B$207,$B371,Adjustments!$A$8:$A$207,Settings!$A$18))</f>
        <v>0</v>
      </c>
      <c r="R371" s="30" t="str">
        <f aca="false">IF(G371&gt;0,G371+A371/10000000,"")</f>
        <v/>
      </c>
    </row>
    <row r="372" customFormat="false" ht="15" hidden="false" customHeight="false" outlineLevel="0" collapsed="false">
      <c r="A372" s="9" t="n">
        <v>368</v>
      </c>
      <c r="B372" s="9" t="str">
        <f aca="false">IFERROR(INDEX('Zoho Dump'!$N$8:$N$3007,MATCH(A372,'Zoho Dump'!$AB$8:$AB$3007,0)),"")</f>
        <v/>
      </c>
      <c r="C372" s="17" t="n">
        <f aca="false">IF($B372="",0,SUMIFS('Zoho Dump'!$Q$8:$Q$3007,'Zoho Dump'!$N$8:$N$3007,$B372,'Zoho Dump'!$T$8:$T$3007,"Delivered",'Zoho Dump'!$R$8:$R$3007,"&gt;="&amp;Settings!$B$4))</f>
        <v>0</v>
      </c>
      <c r="D372" s="17" t="n">
        <f aca="false">IF($B372="",0,SUMIFS('Zoho Dump'!$X$8:$X$3007,'Zoho Dump'!$N$8:$N$3007,$B372,'Zoho Dump'!$T$8:$T$3007,"Backlog")+SUMIFS(Adjustments!$K$8:$K$207,Adjustments!$B$8:$B$207,$B372,Adjustments!$H$8:$H$207,"Backlog"))</f>
        <v>0</v>
      </c>
      <c r="E372" s="17" t="n">
        <f aca="false">IF($B372="",0,SUMIFS('Zoho Dump'!$Y$8:$Y$3007,'Zoho Dump'!$N$8:$N$3007,$B372,'Zoho Dump'!$T$8:$T$3007,"Pipeline")+SUMIFS(Adjustments!$L$8:$L$207,Adjustments!$B$8:$B$207,$B372,Adjustments!$H$8:$H$207,"Pipeline")+SUMIFS('Zoho Dump'!$Y$8:$Y$3007,'Zoho Dump'!$N$8:$N$3007,$B372,'Zoho Dump'!$T$8:$T$3007,"Overdue")+SUMIFS(Adjustments!$L$8:$L$207,Adjustments!$B$8:$B$207,$B372,Adjustments!$H$8:$H$207,"Overdue"))</f>
        <v>0</v>
      </c>
      <c r="F372" s="17" t="n">
        <f aca="false">IF($B372="",0,SUMIFS('Zoho Dump'!$X$8:$X$3007,'Zoho Dump'!$N$8:$N$3007,$B372,'Zoho Dump'!$T$8:$T$3007,"Pipeline")+SUMIFS(Adjustments!$K$8:$K$207,Adjustments!$B$8:$B$207,$B372,Adjustments!$H$8:$H$207,"Pipeline")+SUMIFS('Zoho Dump'!$X$8:$X$3007,'Zoho Dump'!$N$8:$N$3007,$B372,'Zoho Dump'!$T$8:$T$3007,"Overdue")+SUMIFS(Adjustments!$K$8:$K$207,Adjustments!$B$8:$B$207,$B372,Adjustments!$H$8:$H$207,"Overdue"))</f>
        <v>0</v>
      </c>
      <c r="G372" s="17" t="n">
        <f aca="false">D372+F372</f>
        <v>0</v>
      </c>
      <c r="H372" s="18" t="n">
        <f aca="false">IF(SUM($G$5:$G$404)=0,0,G372/SUM($G$5:$G$404))</f>
        <v>0</v>
      </c>
      <c r="I372" s="17" t="n">
        <f aca="false">IF($B372="",0,SUMIFS('Zoho Dump'!$Q$8:$Q$3007,'Zoho Dump'!$N$8:$N$3007,$B372,'Zoho Dump'!$T$8:$T$3007,"Lost",'Zoho Dump'!$R$8:$R$3007,"&gt;="&amp;Settings!$B$4))</f>
        <v>0</v>
      </c>
      <c r="J372" s="9" t="str">
        <f aca="false">IF($B372="","",IF(COUNTIF(Dashboard!$C$13:$C$22,$B372)&gt;0,"Yes",""))</f>
        <v/>
      </c>
      <c r="K372" s="17" t="n">
        <f aca="false">IF($B372="",0,SUMIFS('Zoho Dump'!$X$8:$X$3007,'Zoho Dump'!$N$8:$N$3007,$B372,'Zoho Dump'!$P$8:$P$3007,Settings!$A$12)+SUMIFS(Adjustments!$K$8:$K$207,Adjustments!$B$8:$B$207,$B372,Adjustments!$A$8:$A$207,Settings!$A$12))</f>
        <v>0</v>
      </c>
      <c r="L372" s="17" t="n">
        <f aca="false">IF($B372="",0,SUMIFS('Zoho Dump'!$X$8:$X$3007,'Zoho Dump'!$N$8:$N$3007,$B372,'Zoho Dump'!$P$8:$P$3007,Settings!$A$13)+SUMIFS(Adjustments!$K$8:$K$207,Adjustments!$B$8:$B$207,$B372,Adjustments!$A$8:$A$207,Settings!$A$13))</f>
        <v>0</v>
      </c>
      <c r="M372" s="17" t="n">
        <f aca="false">IF($B372="",0,SUMIFS('Zoho Dump'!$X$8:$X$3007,'Zoho Dump'!$N$8:$N$3007,$B372,'Zoho Dump'!$P$8:$P$3007,Settings!$A$14)+SUMIFS(Adjustments!$K$8:$K$207,Adjustments!$B$8:$B$207,$B372,Adjustments!$A$8:$A$207,Settings!$A$14))</f>
        <v>0</v>
      </c>
      <c r="N372" s="17" t="n">
        <f aca="false">IF($B372="",0,SUMIFS('Zoho Dump'!$X$8:$X$3007,'Zoho Dump'!$N$8:$N$3007,$B372,'Zoho Dump'!$P$8:$P$3007,Settings!$A$15)+SUMIFS(Adjustments!$K$8:$K$207,Adjustments!$B$8:$B$207,$B372,Adjustments!$A$8:$A$207,Settings!$A$15))</f>
        <v>0</v>
      </c>
      <c r="O372" s="17" t="n">
        <f aca="false">IF($B372="",0,SUMIFS('Zoho Dump'!$X$8:$X$3007,'Zoho Dump'!$N$8:$N$3007,$B372,'Zoho Dump'!$P$8:$P$3007,Settings!$A$16)+SUMIFS(Adjustments!$K$8:$K$207,Adjustments!$B$8:$B$207,$B372,Adjustments!$A$8:$A$207,Settings!$A$16))</f>
        <v>0</v>
      </c>
      <c r="P372" s="17" t="n">
        <f aca="false">IF($B372="",0,SUMIFS('Zoho Dump'!$X$8:$X$3007,'Zoho Dump'!$N$8:$N$3007,$B372,'Zoho Dump'!$P$8:$P$3007,Settings!$A$17)+SUMIFS(Adjustments!$K$8:$K$207,Adjustments!$B$8:$B$207,$B372,Adjustments!$A$8:$A$207,Settings!$A$17))</f>
        <v>0</v>
      </c>
      <c r="Q372" s="17" t="n">
        <f aca="false">IF($B372="",0,SUMIFS('Zoho Dump'!$X$8:$X$3007,'Zoho Dump'!$N$8:$N$3007,$B372,'Zoho Dump'!$P$8:$P$3007,Settings!$A$18)+SUMIFS(Adjustments!$K$8:$K$207,Adjustments!$B$8:$B$207,$B372,Adjustments!$A$8:$A$207,Settings!$A$18))</f>
        <v>0</v>
      </c>
      <c r="R372" s="30" t="str">
        <f aca="false">IF(G372&gt;0,G372+A372/10000000,"")</f>
        <v/>
      </c>
    </row>
    <row r="373" customFormat="false" ht="15" hidden="false" customHeight="false" outlineLevel="0" collapsed="false">
      <c r="A373" s="9" t="n">
        <v>369</v>
      </c>
      <c r="B373" s="9" t="str">
        <f aca="false">IFERROR(INDEX('Zoho Dump'!$N$8:$N$3007,MATCH(A373,'Zoho Dump'!$AB$8:$AB$3007,0)),"")</f>
        <v/>
      </c>
      <c r="C373" s="17" t="n">
        <f aca="false">IF($B373="",0,SUMIFS('Zoho Dump'!$Q$8:$Q$3007,'Zoho Dump'!$N$8:$N$3007,$B373,'Zoho Dump'!$T$8:$T$3007,"Delivered",'Zoho Dump'!$R$8:$R$3007,"&gt;="&amp;Settings!$B$4))</f>
        <v>0</v>
      </c>
      <c r="D373" s="17" t="n">
        <f aca="false">IF($B373="",0,SUMIFS('Zoho Dump'!$X$8:$X$3007,'Zoho Dump'!$N$8:$N$3007,$B373,'Zoho Dump'!$T$8:$T$3007,"Backlog")+SUMIFS(Adjustments!$K$8:$K$207,Adjustments!$B$8:$B$207,$B373,Adjustments!$H$8:$H$207,"Backlog"))</f>
        <v>0</v>
      </c>
      <c r="E373" s="17" t="n">
        <f aca="false">IF($B373="",0,SUMIFS('Zoho Dump'!$Y$8:$Y$3007,'Zoho Dump'!$N$8:$N$3007,$B373,'Zoho Dump'!$T$8:$T$3007,"Pipeline")+SUMIFS(Adjustments!$L$8:$L$207,Adjustments!$B$8:$B$207,$B373,Adjustments!$H$8:$H$207,"Pipeline")+SUMIFS('Zoho Dump'!$Y$8:$Y$3007,'Zoho Dump'!$N$8:$N$3007,$B373,'Zoho Dump'!$T$8:$T$3007,"Overdue")+SUMIFS(Adjustments!$L$8:$L$207,Adjustments!$B$8:$B$207,$B373,Adjustments!$H$8:$H$207,"Overdue"))</f>
        <v>0</v>
      </c>
      <c r="F373" s="17" t="n">
        <f aca="false">IF($B373="",0,SUMIFS('Zoho Dump'!$X$8:$X$3007,'Zoho Dump'!$N$8:$N$3007,$B373,'Zoho Dump'!$T$8:$T$3007,"Pipeline")+SUMIFS(Adjustments!$K$8:$K$207,Adjustments!$B$8:$B$207,$B373,Adjustments!$H$8:$H$207,"Pipeline")+SUMIFS('Zoho Dump'!$X$8:$X$3007,'Zoho Dump'!$N$8:$N$3007,$B373,'Zoho Dump'!$T$8:$T$3007,"Overdue")+SUMIFS(Adjustments!$K$8:$K$207,Adjustments!$B$8:$B$207,$B373,Adjustments!$H$8:$H$207,"Overdue"))</f>
        <v>0</v>
      </c>
      <c r="G373" s="17" t="n">
        <f aca="false">D373+F373</f>
        <v>0</v>
      </c>
      <c r="H373" s="18" t="n">
        <f aca="false">IF(SUM($G$5:$G$404)=0,0,G373/SUM($G$5:$G$404))</f>
        <v>0</v>
      </c>
      <c r="I373" s="17" t="n">
        <f aca="false">IF($B373="",0,SUMIFS('Zoho Dump'!$Q$8:$Q$3007,'Zoho Dump'!$N$8:$N$3007,$B373,'Zoho Dump'!$T$8:$T$3007,"Lost",'Zoho Dump'!$R$8:$R$3007,"&gt;="&amp;Settings!$B$4))</f>
        <v>0</v>
      </c>
      <c r="J373" s="9" t="str">
        <f aca="false">IF($B373="","",IF(COUNTIF(Dashboard!$C$13:$C$22,$B373)&gt;0,"Yes",""))</f>
        <v/>
      </c>
      <c r="K373" s="17" t="n">
        <f aca="false">IF($B373="",0,SUMIFS('Zoho Dump'!$X$8:$X$3007,'Zoho Dump'!$N$8:$N$3007,$B373,'Zoho Dump'!$P$8:$P$3007,Settings!$A$12)+SUMIFS(Adjustments!$K$8:$K$207,Adjustments!$B$8:$B$207,$B373,Adjustments!$A$8:$A$207,Settings!$A$12))</f>
        <v>0</v>
      </c>
      <c r="L373" s="17" t="n">
        <f aca="false">IF($B373="",0,SUMIFS('Zoho Dump'!$X$8:$X$3007,'Zoho Dump'!$N$8:$N$3007,$B373,'Zoho Dump'!$P$8:$P$3007,Settings!$A$13)+SUMIFS(Adjustments!$K$8:$K$207,Adjustments!$B$8:$B$207,$B373,Adjustments!$A$8:$A$207,Settings!$A$13))</f>
        <v>0</v>
      </c>
      <c r="M373" s="17" t="n">
        <f aca="false">IF($B373="",0,SUMIFS('Zoho Dump'!$X$8:$X$3007,'Zoho Dump'!$N$8:$N$3007,$B373,'Zoho Dump'!$P$8:$P$3007,Settings!$A$14)+SUMIFS(Adjustments!$K$8:$K$207,Adjustments!$B$8:$B$207,$B373,Adjustments!$A$8:$A$207,Settings!$A$14))</f>
        <v>0</v>
      </c>
      <c r="N373" s="17" t="n">
        <f aca="false">IF($B373="",0,SUMIFS('Zoho Dump'!$X$8:$X$3007,'Zoho Dump'!$N$8:$N$3007,$B373,'Zoho Dump'!$P$8:$P$3007,Settings!$A$15)+SUMIFS(Adjustments!$K$8:$K$207,Adjustments!$B$8:$B$207,$B373,Adjustments!$A$8:$A$207,Settings!$A$15))</f>
        <v>0</v>
      </c>
      <c r="O373" s="17" t="n">
        <f aca="false">IF($B373="",0,SUMIFS('Zoho Dump'!$X$8:$X$3007,'Zoho Dump'!$N$8:$N$3007,$B373,'Zoho Dump'!$P$8:$P$3007,Settings!$A$16)+SUMIFS(Adjustments!$K$8:$K$207,Adjustments!$B$8:$B$207,$B373,Adjustments!$A$8:$A$207,Settings!$A$16))</f>
        <v>0</v>
      </c>
      <c r="P373" s="17" t="n">
        <f aca="false">IF($B373="",0,SUMIFS('Zoho Dump'!$X$8:$X$3007,'Zoho Dump'!$N$8:$N$3007,$B373,'Zoho Dump'!$P$8:$P$3007,Settings!$A$17)+SUMIFS(Adjustments!$K$8:$K$207,Adjustments!$B$8:$B$207,$B373,Adjustments!$A$8:$A$207,Settings!$A$17))</f>
        <v>0</v>
      </c>
      <c r="Q373" s="17" t="n">
        <f aca="false">IF($B373="",0,SUMIFS('Zoho Dump'!$X$8:$X$3007,'Zoho Dump'!$N$8:$N$3007,$B373,'Zoho Dump'!$P$8:$P$3007,Settings!$A$18)+SUMIFS(Adjustments!$K$8:$K$207,Adjustments!$B$8:$B$207,$B373,Adjustments!$A$8:$A$207,Settings!$A$18))</f>
        <v>0</v>
      </c>
      <c r="R373" s="30" t="str">
        <f aca="false">IF(G373&gt;0,G373+A373/10000000,"")</f>
        <v/>
      </c>
    </row>
    <row r="374" customFormat="false" ht="15" hidden="false" customHeight="false" outlineLevel="0" collapsed="false">
      <c r="A374" s="9" t="n">
        <v>370</v>
      </c>
      <c r="B374" s="9" t="str">
        <f aca="false">IFERROR(INDEX('Zoho Dump'!$N$8:$N$3007,MATCH(A374,'Zoho Dump'!$AB$8:$AB$3007,0)),"")</f>
        <v/>
      </c>
      <c r="C374" s="17" t="n">
        <f aca="false">IF($B374="",0,SUMIFS('Zoho Dump'!$Q$8:$Q$3007,'Zoho Dump'!$N$8:$N$3007,$B374,'Zoho Dump'!$T$8:$T$3007,"Delivered",'Zoho Dump'!$R$8:$R$3007,"&gt;="&amp;Settings!$B$4))</f>
        <v>0</v>
      </c>
      <c r="D374" s="17" t="n">
        <f aca="false">IF($B374="",0,SUMIFS('Zoho Dump'!$X$8:$X$3007,'Zoho Dump'!$N$8:$N$3007,$B374,'Zoho Dump'!$T$8:$T$3007,"Backlog")+SUMIFS(Adjustments!$K$8:$K$207,Adjustments!$B$8:$B$207,$B374,Adjustments!$H$8:$H$207,"Backlog"))</f>
        <v>0</v>
      </c>
      <c r="E374" s="17" t="n">
        <f aca="false">IF($B374="",0,SUMIFS('Zoho Dump'!$Y$8:$Y$3007,'Zoho Dump'!$N$8:$N$3007,$B374,'Zoho Dump'!$T$8:$T$3007,"Pipeline")+SUMIFS(Adjustments!$L$8:$L$207,Adjustments!$B$8:$B$207,$B374,Adjustments!$H$8:$H$207,"Pipeline")+SUMIFS('Zoho Dump'!$Y$8:$Y$3007,'Zoho Dump'!$N$8:$N$3007,$B374,'Zoho Dump'!$T$8:$T$3007,"Overdue")+SUMIFS(Adjustments!$L$8:$L$207,Adjustments!$B$8:$B$207,$B374,Adjustments!$H$8:$H$207,"Overdue"))</f>
        <v>0</v>
      </c>
      <c r="F374" s="17" t="n">
        <f aca="false">IF($B374="",0,SUMIFS('Zoho Dump'!$X$8:$X$3007,'Zoho Dump'!$N$8:$N$3007,$B374,'Zoho Dump'!$T$8:$T$3007,"Pipeline")+SUMIFS(Adjustments!$K$8:$K$207,Adjustments!$B$8:$B$207,$B374,Adjustments!$H$8:$H$207,"Pipeline")+SUMIFS('Zoho Dump'!$X$8:$X$3007,'Zoho Dump'!$N$8:$N$3007,$B374,'Zoho Dump'!$T$8:$T$3007,"Overdue")+SUMIFS(Adjustments!$K$8:$K$207,Adjustments!$B$8:$B$207,$B374,Adjustments!$H$8:$H$207,"Overdue"))</f>
        <v>0</v>
      </c>
      <c r="G374" s="17" t="n">
        <f aca="false">D374+F374</f>
        <v>0</v>
      </c>
      <c r="H374" s="18" t="n">
        <f aca="false">IF(SUM($G$5:$G$404)=0,0,G374/SUM($G$5:$G$404))</f>
        <v>0</v>
      </c>
      <c r="I374" s="17" t="n">
        <f aca="false">IF($B374="",0,SUMIFS('Zoho Dump'!$Q$8:$Q$3007,'Zoho Dump'!$N$8:$N$3007,$B374,'Zoho Dump'!$T$8:$T$3007,"Lost",'Zoho Dump'!$R$8:$R$3007,"&gt;="&amp;Settings!$B$4))</f>
        <v>0</v>
      </c>
      <c r="J374" s="9" t="str">
        <f aca="false">IF($B374="","",IF(COUNTIF(Dashboard!$C$13:$C$22,$B374)&gt;0,"Yes",""))</f>
        <v/>
      </c>
      <c r="K374" s="17" t="n">
        <f aca="false">IF($B374="",0,SUMIFS('Zoho Dump'!$X$8:$X$3007,'Zoho Dump'!$N$8:$N$3007,$B374,'Zoho Dump'!$P$8:$P$3007,Settings!$A$12)+SUMIFS(Adjustments!$K$8:$K$207,Adjustments!$B$8:$B$207,$B374,Adjustments!$A$8:$A$207,Settings!$A$12))</f>
        <v>0</v>
      </c>
      <c r="L374" s="17" t="n">
        <f aca="false">IF($B374="",0,SUMIFS('Zoho Dump'!$X$8:$X$3007,'Zoho Dump'!$N$8:$N$3007,$B374,'Zoho Dump'!$P$8:$P$3007,Settings!$A$13)+SUMIFS(Adjustments!$K$8:$K$207,Adjustments!$B$8:$B$207,$B374,Adjustments!$A$8:$A$207,Settings!$A$13))</f>
        <v>0</v>
      </c>
      <c r="M374" s="17" t="n">
        <f aca="false">IF($B374="",0,SUMIFS('Zoho Dump'!$X$8:$X$3007,'Zoho Dump'!$N$8:$N$3007,$B374,'Zoho Dump'!$P$8:$P$3007,Settings!$A$14)+SUMIFS(Adjustments!$K$8:$K$207,Adjustments!$B$8:$B$207,$B374,Adjustments!$A$8:$A$207,Settings!$A$14))</f>
        <v>0</v>
      </c>
      <c r="N374" s="17" t="n">
        <f aca="false">IF($B374="",0,SUMIFS('Zoho Dump'!$X$8:$X$3007,'Zoho Dump'!$N$8:$N$3007,$B374,'Zoho Dump'!$P$8:$P$3007,Settings!$A$15)+SUMIFS(Adjustments!$K$8:$K$207,Adjustments!$B$8:$B$207,$B374,Adjustments!$A$8:$A$207,Settings!$A$15))</f>
        <v>0</v>
      </c>
      <c r="O374" s="17" t="n">
        <f aca="false">IF($B374="",0,SUMIFS('Zoho Dump'!$X$8:$X$3007,'Zoho Dump'!$N$8:$N$3007,$B374,'Zoho Dump'!$P$8:$P$3007,Settings!$A$16)+SUMIFS(Adjustments!$K$8:$K$207,Adjustments!$B$8:$B$207,$B374,Adjustments!$A$8:$A$207,Settings!$A$16))</f>
        <v>0</v>
      </c>
      <c r="P374" s="17" t="n">
        <f aca="false">IF($B374="",0,SUMIFS('Zoho Dump'!$X$8:$X$3007,'Zoho Dump'!$N$8:$N$3007,$B374,'Zoho Dump'!$P$8:$P$3007,Settings!$A$17)+SUMIFS(Adjustments!$K$8:$K$207,Adjustments!$B$8:$B$207,$B374,Adjustments!$A$8:$A$207,Settings!$A$17))</f>
        <v>0</v>
      </c>
      <c r="Q374" s="17" t="n">
        <f aca="false">IF($B374="",0,SUMIFS('Zoho Dump'!$X$8:$X$3007,'Zoho Dump'!$N$8:$N$3007,$B374,'Zoho Dump'!$P$8:$P$3007,Settings!$A$18)+SUMIFS(Adjustments!$K$8:$K$207,Adjustments!$B$8:$B$207,$B374,Adjustments!$A$8:$A$207,Settings!$A$18))</f>
        <v>0</v>
      </c>
      <c r="R374" s="30" t="str">
        <f aca="false">IF(G374&gt;0,G374+A374/10000000,"")</f>
        <v/>
      </c>
    </row>
    <row r="375" customFormat="false" ht="15" hidden="false" customHeight="false" outlineLevel="0" collapsed="false">
      <c r="A375" s="9" t="n">
        <v>371</v>
      </c>
      <c r="B375" s="9" t="str">
        <f aca="false">IFERROR(INDEX('Zoho Dump'!$N$8:$N$3007,MATCH(A375,'Zoho Dump'!$AB$8:$AB$3007,0)),"")</f>
        <v/>
      </c>
      <c r="C375" s="17" t="n">
        <f aca="false">IF($B375="",0,SUMIFS('Zoho Dump'!$Q$8:$Q$3007,'Zoho Dump'!$N$8:$N$3007,$B375,'Zoho Dump'!$T$8:$T$3007,"Delivered",'Zoho Dump'!$R$8:$R$3007,"&gt;="&amp;Settings!$B$4))</f>
        <v>0</v>
      </c>
      <c r="D375" s="17" t="n">
        <f aca="false">IF($B375="",0,SUMIFS('Zoho Dump'!$X$8:$X$3007,'Zoho Dump'!$N$8:$N$3007,$B375,'Zoho Dump'!$T$8:$T$3007,"Backlog")+SUMIFS(Adjustments!$K$8:$K$207,Adjustments!$B$8:$B$207,$B375,Adjustments!$H$8:$H$207,"Backlog"))</f>
        <v>0</v>
      </c>
      <c r="E375" s="17" t="n">
        <f aca="false">IF($B375="",0,SUMIFS('Zoho Dump'!$Y$8:$Y$3007,'Zoho Dump'!$N$8:$N$3007,$B375,'Zoho Dump'!$T$8:$T$3007,"Pipeline")+SUMIFS(Adjustments!$L$8:$L$207,Adjustments!$B$8:$B$207,$B375,Adjustments!$H$8:$H$207,"Pipeline")+SUMIFS('Zoho Dump'!$Y$8:$Y$3007,'Zoho Dump'!$N$8:$N$3007,$B375,'Zoho Dump'!$T$8:$T$3007,"Overdue")+SUMIFS(Adjustments!$L$8:$L$207,Adjustments!$B$8:$B$207,$B375,Adjustments!$H$8:$H$207,"Overdue"))</f>
        <v>0</v>
      </c>
      <c r="F375" s="17" t="n">
        <f aca="false">IF($B375="",0,SUMIFS('Zoho Dump'!$X$8:$X$3007,'Zoho Dump'!$N$8:$N$3007,$B375,'Zoho Dump'!$T$8:$T$3007,"Pipeline")+SUMIFS(Adjustments!$K$8:$K$207,Adjustments!$B$8:$B$207,$B375,Adjustments!$H$8:$H$207,"Pipeline")+SUMIFS('Zoho Dump'!$X$8:$X$3007,'Zoho Dump'!$N$8:$N$3007,$B375,'Zoho Dump'!$T$8:$T$3007,"Overdue")+SUMIFS(Adjustments!$K$8:$K$207,Adjustments!$B$8:$B$207,$B375,Adjustments!$H$8:$H$207,"Overdue"))</f>
        <v>0</v>
      </c>
      <c r="G375" s="17" t="n">
        <f aca="false">D375+F375</f>
        <v>0</v>
      </c>
      <c r="H375" s="18" t="n">
        <f aca="false">IF(SUM($G$5:$G$404)=0,0,G375/SUM($G$5:$G$404))</f>
        <v>0</v>
      </c>
      <c r="I375" s="17" t="n">
        <f aca="false">IF($B375="",0,SUMIFS('Zoho Dump'!$Q$8:$Q$3007,'Zoho Dump'!$N$8:$N$3007,$B375,'Zoho Dump'!$T$8:$T$3007,"Lost",'Zoho Dump'!$R$8:$R$3007,"&gt;="&amp;Settings!$B$4))</f>
        <v>0</v>
      </c>
      <c r="J375" s="9" t="str">
        <f aca="false">IF($B375="","",IF(COUNTIF(Dashboard!$C$13:$C$22,$B375)&gt;0,"Yes",""))</f>
        <v/>
      </c>
      <c r="K375" s="17" t="n">
        <f aca="false">IF($B375="",0,SUMIFS('Zoho Dump'!$X$8:$X$3007,'Zoho Dump'!$N$8:$N$3007,$B375,'Zoho Dump'!$P$8:$P$3007,Settings!$A$12)+SUMIFS(Adjustments!$K$8:$K$207,Adjustments!$B$8:$B$207,$B375,Adjustments!$A$8:$A$207,Settings!$A$12))</f>
        <v>0</v>
      </c>
      <c r="L375" s="17" t="n">
        <f aca="false">IF($B375="",0,SUMIFS('Zoho Dump'!$X$8:$X$3007,'Zoho Dump'!$N$8:$N$3007,$B375,'Zoho Dump'!$P$8:$P$3007,Settings!$A$13)+SUMIFS(Adjustments!$K$8:$K$207,Adjustments!$B$8:$B$207,$B375,Adjustments!$A$8:$A$207,Settings!$A$13))</f>
        <v>0</v>
      </c>
      <c r="M375" s="17" t="n">
        <f aca="false">IF($B375="",0,SUMIFS('Zoho Dump'!$X$8:$X$3007,'Zoho Dump'!$N$8:$N$3007,$B375,'Zoho Dump'!$P$8:$P$3007,Settings!$A$14)+SUMIFS(Adjustments!$K$8:$K$207,Adjustments!$B$8:$B$207,$B375,Adjustments!$A$8:$A$207,Settings!$A$14))</f>
        <v>0</v>
      </c>
      <c r="N375" s="17" t="n">
        <f aca="false">IF($B375="",0,SUMIFS('Zoho Dump'!$X$8:$X$3007,'Zoho Dump'!$N$8:$N$3007,$B375,'Zoho Dump'!$P$8:$P$3007,Settings!$A$15)+SUMIFS(Adjustments!$K$8:$K$207,Adjustments!$B$8:$B$207,$B375,Adjustments!$A$8:$A$207,Settings!$A$15))</f>
        <v>0</v>
      </c>
      <c r="O375" s="17" t="n">
        <f aca="false">IF($B375="",0,SUMIFS('Zoho Dump'!$X$8:$X$3007,'Zoho Dump'!$N$8:$N$3007,$B375,'Zoho Dump'!$P$8:$P$3007,Settings!$A$16)+SUMIFS(Adjustments!$K$8:$K$207,Adjustments!$B$8:$B$207,$B375,Adjustments!$A$8:$A$207,Settings!$A$16))</f>
        <v>0</v>
      </c>
      <c r="P375" s="17" t="n">
        <f aca="false">IF($B375="",0,SUMIFS('Zoho Dump'!$X$8:$X$3007,'Zoho Dump'!$N$8:$N$3007,$B375,'Zoho Dump'!$P$8:$P$3007,Settings!$A$17)+SUMIFS(Adjustments!$K$8:$K$207,Adjustments!$B$8:$B$207,$B375,Adjustments!$A$8:$A$207,Settings!$A$17))</f>
        <v>0</v>
      </c>
      <c r="Q375" s="17" t="n">
        <f aca="false">IF($B375="",0,SUMIFS('Zoho Dump'!$X$8:$X$3007,'Zoho Dump'!$N$8:$N$3007,$B375,'Zoho Dump'!$P$8:$P$3007,Settings!$A$18)+SUMIFS(Adjustments!$K$8:$K$207,Adjustments!$B$8:$B$207,$B375,Adjustments!$A$8:$A$207,Settings!$A$18))</f>
        <v>0</v>
      </c>
      <c r="R375" s="30" t="str">
        <f aca="false">IF(G375&gt;0,G375+A375/10000000,"")</f>
        <v/>
      </c>
    </row>
    <row r="376" customFormat="false" ht="15" hidden="false" customHeight="false" outlineLevel="0" collapsed="false">
      <c r="A376" s="9" t="n">
        <v>372</v>
      </c>
      <c r="B376" s="9" t="str">
        <f aca="false">IFERROR(INDEX('Zoho Dump'!$N$8:$N$3007,MATCH(A376,'Zoho Dump'!$AB$8:$AB$3007,0)),"")</f>
        <v/>
      </c>
      <c r="C376" s="17" t="n">
        <f aca="false">IF($B376="",0,SUMIFS('Zoho Dump'!$Q$8:$Q$3007,'Zoho Dump'!$N$8:$N$3007,$B376,'Zoho Dump'!$T$8:$T$3007,"Delivered",'Zoho Dump'!$R$8:$R$3007,"&gt;="&amp;Settings!$B$4))</f>
        <v>0</v>
      </c>
      <c r="D376" s="17" t="n">
        <f aca="false">IF($B376="",0,SUMIFS('Zoho Dump'!$X$8:$X$3007,'Zoho Dump'!$N$8:$N$3007,$B376,'Zoho Dump'!$T$8:$T$3007,"Backlog")+SUMIFS(Adjustments!$K$8:$K$207,Adjustments!$B$8:$B$207,$B376,Adjustments!$H$8:$H$207,"Backlog"))</f>
        <v>0</v>
      </c>
      <c r="E376" s="17" t="n">
        <f aca="false">IF($B376="",0,SUMIFS('Zoho Dump'!$Y$8:$Y$3007,'Zoho Dump'!$N$8:$N$3007,$B376,'Zoho Dump'!$T$8:$T$3007,"Pipeline")+SUMIFS(Adjustments!$L$8:$L$207,Adjustments!$B$8:$B$207,$B376,Adjustments!$H$8:$H$207,"Pipeline")+SUMIFS('Zoho Dump'!$Y$8:$Y$3007,'Zoho Dump'!$N$8:$N$3007,$B376,'Zoho Dump'!$T$8:$T$3007,"Overdue")+SUMIFS(Adjustments!$L$8:$L$207,Adjustments!$B$8:$B$207,$B376,Adjustments!$H$8:$H$207,"Overdue"))</f>
        <v>0</v>
      </c>
      <c r="F376" s="17" t="n">
        <f aca="false">IF($B376="",0,SUMIFS('Zoho Dump'!$X$8:$X$3007,'Zoho Dump'!$N$8:$N$3007,$B376,'Zoho Dump'!$T$8:$T$3007,"Pipeline")+SUMIFS(Adjustments!$K$8:$K$207,Adjustments!$B$8:$B$207,$B376,Adjustments!$H$8:$H$207,"Pipeline")+SUMIFS('Zoho Dump'!$X$8:$X$3007,'Zoho Dump'!$N$8:$N$3007,$B376,'Zoho Dump'!$T$8:$T$3007,"Overdue")+SUMIFS(Adjustments!$K$8:$K$207,Adjustments!$B$8:$B$207,$B376,Adjustments!$H$8:$H$207,"Overdue"))</f>
        <v>0</v>
      </c>
      <c r="G376" s="17" t="n">
        <f aca="false">D376+F376</f>
        <v>0</v>
      </c>
      <c r="H376" s="18" t="n">
        <f aca="false">IF(SUM($G$5:$G$404)=0,0,G376/SUM($G$5:$G$404))</f>
        <v>0</v>
      </c>
      <c r="I376" s="17" t="n">
        <f aca="false">IF($B376="",0,SUMIFS('Zoho Dump'!$Q$8:$Q$3007,'Zoho Dump'!$N$8:$N$3007,$B376,'Zoho Dump'!$T$8:$T$3007,"Lost",'Zoho Dump'!$R$8:$R$3007,"&gt;="&amp;Settings!$B$4))</f>
        <v>0</v>
      </c>
      <c r="J376" s="9" t="str">
        <f aca="false">IF($B376="","",IF(COUNTIF(Dashboard!$C$13:$C$22,$B376)&gt;0,"Yes",""))</f>
        <v/>
      </c>
      <c r="K376" s="17" t="n">
        <f aca="false">IF($B376="",0,SUMIFS('Zoho Dump'!$X$8:$X$3007,'Zoho Dump'!$N$8:$N$3007,$B376,'Zoho Dump'!$P$8:$P$3007,Settings!$A$12)+SUMIFS(Adjustments!$K$8:$K$207,Adjustments!$B$8:$B$207,$B376,Adjustments!$A$8:$A$207,Settings!$A$12))</f>
        <v>0</v>
      </c>
      <c r="L376" s="17" t="n">
        <f aca="false">IF($B376="",0,SUMIFS('Zoho Dump'!$X$8:$X$3007,'Zoho Dump'!$N$8:$N$3007,$B376,'Zoho Dump'!$P$8:$P$3007,Settings!$A$13)+SUMIFS(Adjustments!$K$8:$K$207,Adjustments!$B$8:$B$207,$B376,Adjustments!$A$8:$A$207,Settings!$A$13))</f>
        <v>0</v>
      </c>
      <c r="M376" s="17" t="n">
        <f aca="false">IF($B376="",0,SUMIFS('Zoho Dump'!$X$8:$X$3007,'Zoho Dump'!$N$8:$N$3007,$B376,'Zoho Dump'!$P$8:$P$3007,Settings!$A$14)+SUMIFS(Adjustments!$K$8:$K$207,Adjustments!$B$8:$B$207,$B376,Adjustments!$A$8:$A$207,Settings!$A$14))</f>
        <v>0</v>
      </c>
      <c r="N376" s="17" t="n">
        <f aca="false">IF($B376="",0,SUMIFS('Zoho Dump'!$X$8:$X$3007,'Zoho Dump'!$N$8:$N$3007,$B376,'Zoho Dump'!$P$8:$P$3007,Settings!$A$15)+SUMIFS(Adjustments!$K$8:$K$207,Adjustments!$B$8:$B$207,$B376,Adjustments!$A$8:$A$207,Settings!$A$15))</f>
        <v>0</v>
      </c>
      <c r="O376" s="17" t="n">
        <f aca="false">IF($B376="",0,SUMIFS('Zoho Dump'!$X$8:$X$3007,'Zoho Dump'!$N$8:$N$3007,$B376,'Zoho Dump'!$P$8:$P$3007,Settings!$A$16)+SUMIFS(Adjustments!$K$8:$K$207,Adjustments!$B$8:$B$207,$B376,Adjustments!$A$8:$A$207,Settings!$A$16))</f>
        <v>0</v>
      </c>
      <c r="P376" s="17" t="n">
        <f aca="false">IF($B376="",0,SUMIFS('Zoho Dump'!$X$8:$X$3007,'Zoho Dump'!$N$8:$N$3007,$B376,'Zoho Dump'!$P$8:$P$3007,Settings!$A$17)+SUMIFS(Adjustments!$K$8:$K$207,Adjustments!$B$8:$B$207,$B376,Adjustments!$A$8:$A$207,Settings!$A$17))</f>
        <v>0</v>
      </c>
      <c r="Q376" s="17" t="n">
        <f aca="false">IF($B376="",0,SUMIFS('Zoho Dump'!$X$8:$X$3007,'Zoho Dump'!$N$8:$N$3007,$B376,'Zoho Dump'!$P$8:$P$3007,Settings!$A$18)+SUMIFS(Adjustments!$K$8:$K$207,Adjustments!$B$8:$B$207,$B376,Adjustments!$A$8:$A$207,Settings!$A$18))</f>
        <v>0</v>
      </c>
      <c r="R376" s="30" t="str">
        <f aca="false">IF(G376&gt;0,G376+A376/10000000,"")</f>
        <v/>
      </c>
    </row>
    <row r="377" customFormat="false" ht="15" hidden="false" customHeight="false" outlineLevel="0" collapsed="false">
      <c r="A377" s="9" t="n">
        <v>373</v>
      </c>
      <c r="B377" s="9" t="str">
        <f aca="false">IFERROR(INDEX('Zoho Dump'!$N$8:$N$3007,MATCH(A377,'Zoho Dump'!$AB$8:$AB$3007,0)),"")</f>
        <v/>
      </c>
      <c r="C377" s="17" t="n">
        <f aca="false">IF($B377="",0,SUMIFS('Zoho Dump'!$Q$8:$Q$3007,'Zoho Dump'!$N$8:$N$3007,$B377,'Zoho Dump'!$T$8:$T$3007,"Delivered",'Zoho Dump'!$R$8:$R$3007,"&gt;="&amp;Settings!$B$4))</f>
        <v>0</v>
      </c>
      <c r="D377" s="17" t="n">
        <f aca="false">IF($B377="",0,SUMIFS('Zoho Dump'!$X$8:$X$3007,'Zoho Dump'!$N$8:$N$3007,$B377,'Zoho Dump'!$T$8:$T$3007,"Backlog")+SUMIFS(Adjustments!$K$8:$K$207,Adjustments!$B$8:$B$207,$B377,Adjustments!$H$8:$H$207,"Backlog"))</f>
        <v>0</v>
      </c>
      <c r="E377" s="17" t="n">
        <f aca="false">IF($B377="",0,SUMIFS('Zoho Dump'!$Y$8:$Y$3007,'Zoho Dump'!$N$8:$N$3007,$B377,'Zoho Dump'!$T$8:$T$3007,"Pipeline")+SUMIFS(Adjustments!$L$8:$L$207,Adjustments!$B$8:$B$207,$B377,Adjustments!$H$8:$H$207,"Pipeline")+SUMIFS('Zoho Dump'!$Y$8:$Y$3007,'Zoho Dump'!$N$8:$N$3007,$B377,'Zoho Dump'!$T$8:$T$3007,"Overdue")+SUMIFS(Adjustments!$L$8:$L$207,Adjustments!$B$8:$B$207,$B377,Adjustments!$H$8:$H$207,"Overdue"))</f>
        <v>0</v>
      </c>
      <c r="F377" s="17" t="n">
        <f aca="false">IF($B377="",0,SUMIFS('Zoho Dump'!$X$8:$X$3007,'Zoho Dump'!$N$8:$N$3007,$B377,'Zoho Dump'!$T$8:$T$3007,"Pipeline")+SUMIFS(Adjustments!$K$8:$K$207,Adjustments!$B$8:$B$207,$B377,Adjustments!$H$8:$H$207,"Pipeline")+SUMIFS('Zoho Dump'!$X$8:$X$3007,'Zoho Dump'!$N$8:$N$3007,$B377,'Zoho Dump'!$T$8:$T$3007,"Overdue")+SUMIFS(Adjustments!$K$8:$K$207,Adjustments!$B$8:$B$207,$B377,Adjustments!$H$8:$H$207,"Overdue"))</f>
        <v>0</v>
      </c>
      <c r="G377" s="17" t="n">
        <f aca="false">D377+F377</f>
        <v>0</v>
      </c>
      <c r="H377" s="18" t="n">
        <f aca="false">IF(SUM($G$5:$G$404)=0,0,G377/SUM($G$5:$G$404))</f>
        <v>0</v>
      </c>
      <c r="I377" s="17" t="n">
        <f aca="false">IF($B377="",0,SUMIFS('Zoho Dump'!$Q$8:$Q$3007,'Zoho Dump'!$N$8:$N$3007,$B377,'Zoho Dump'!$T$8:$T$3007,"Lost",'Zoho Dump'!$R$8:$R$3007,"&gt;="&amp;Settings!$B$4))</f>
        <v>0</v>
      </c>
      <c r="J377" s="9" t="str">
        <f aca="false">IF($B377="","",IF(COUNTIF(Dashboard!$C$13:$C$22,$B377)&gt;0,"Yes",""))</f>
        <v/>
      </c>
      <c r="K377" s="17" t="n">
        <f aca="false">IF($B377="",0,SUMIFS('Zoho Dump'!$X$8:$X$3007,'Zoho Dump'!$N$8:$N$3007,$B377,'Zoho Dump'!$P$8:$P$3007,Settings!$A$12)+SUMIFS(Adjustments!$K$8:$K$207,Adjustments!$B$8:$B$207,$B377,Adjustments!$A$8:$A$207,Settings!$A$12))</f>
        <v>0</v>
      </c>
      <c r="L377" s="17" t="n">
        <f aca="false">IF($B377="",0,SUMIFS('Zoho Dump'!$X$8:$X$3007,'Zoho Dump'!$N$8:$N$3007,$B377,'Zoho Dump'!$P$8:$P$3007,Settings!$A$13)+SUMIFS(Adjustments!$K$8:$K$207,Adjustments!$B$8:$B$207,$B377,Adjustments!$A$8:$A$207,Settings!$A$13))</f>
        <v>0</v>
      </c>
      <c r="M377" s="17" t="n">
        <f aca="false">IF($B377="",0,SUMIFS('Zoho Dump'!$X$8:$X$3007,'Zoho Dump'!$N$8:$N$3007,$B377,'Zoho Dump'!$P$8:$P$3007,Settings!$A$14)+SUMIFS(Adjustments!$K$8:$K$207,Adjustments!$B$8:$B$207,$B377,Adjustments!$A$8:$A$207,Settings!$A$14))</f>
        <v>0</v>
      </c>
      <c r="N377" s="17" t="n">
        <f aca="false">IF($B377="",0,SUMIFS('Zoho Dump'!$X$8:$X$3007,'Zoho Dump'!$N$8:$N$3007,$B377,'Zoho Dump'!$P$8:$P$3007,Settings!$A$15)+SUMIFS(Adjustments!$K$8:$K$207,Adjustments!$B$8:$B$207,$B377,Adjustments!$A$8:$A$207,Settings!$A$15))</f>
        <v>0</v>
      </c>
      <c r="O377" s="17" t="n">
        <f aca="false">IF($B377="",0,SUMIFS('Zoho Dump'!$X$8:$X$3007,'Zoho Dump'!$N$8:$N$3007,$B377,'Zoho Dump'!$P$8:$P$3007,Settings!$A$16)+SUMIFS(Adjustments!$K$8:$K$207,Adjustments!$B$8:$B$207,$B377,Adjustments!$A$8:$A$207,Settings!$A$16))</f>
        <v>0</v>
      </c>
      <c r="P377" s="17" t="n">
        <f aca="false">IF($B377="",0,SUMIFS('Zoho Dump'!$X$8:$X$3007,'Zoho Dump'!$N$8:$N$3007,$B377,'Zoho Dump'!$P$8:$P$3007,Settings!$A$17)+SUMIFS(Adjustments!$K$8:$K$207,Adjustments!$B$8:$B$207,$B377,Adjustments!$A$8:$A$207,Settings!$A$17))</f>
        <v>0</v>
      </c>
      <c r="Q377" s="17" t="n">
        <f aca="false">IF($B377="",0,SUMIFS('Zoho Dump'!$X$8:$X$3007,'Zoho Dump'!$N$8:$N$3007,$B377,'Zoho Dump'!$P$8:$P$3007,Settings!$A$18)+SUMIFS(Adjustments!$K$8:$K$207,Adjustments!$B$8:$B$207,$B377,Adjustments!$A$8:$A$207,Settings!$A$18))</f>
        <v>0</v>
      </c>
      <c r="R377" s="30" t="str">
        <f aca="false">IF(G377&gt;0,G377+A377/10000000,"")</f>
        <v/>
      </c>
    </row>
    <row r="378" customFormat="false" ht="15" hidden="false" customHeight="false" outlineLevel="0" collapsed="false">
      <c r="A378" s="9" t="n">
        <v>374</v>
      </c>
      <c r="B378" s="9" t="str">
        <f aca="false">IFERROR(INDEX('Zoho Dump'!$N$8:$N$3007,MATCH(A378,'Zoho Dump'!$AB$8:$AB$3007,0)),"")</f>
        <v/>
      </c>
      <c r="C378" s="17" t="n">
        <f aca="false">IF($B378="",0,SUMIFS('Zoho Dump'!$Q$8:$Q$3007,'Zoho Dump'!$N$8:$N$3007,$B378,'Zoho Dump'!$T$8:$T$3007,"Delivered",'Zoho Dump'!$R$8:$R$3007,"&gt;="&amp;Settings!$B$4))</f>
        <v>0</v>
      </c>
      <c r="D378" s="17" t="n">
        <f aca="false">IF($B378="",0,SUMIFS('Zoho Dump'!$X$8:$X$3007,'Zoho Dump'!$N$8:$N$3007,$B378,'Zoho Dump'!$T$8:$T$3007,"Backlog")+SUMIFS(Adjustments!$K$8:$K$207,Adjustments!$B$8:$B$207,$B378,Adjustments!$H$8:$H$207,"Backlog"))</f>
        <v>0</v>
      </c>
      <c r="E378" s="17" t="n">
        <f aca="false">IF($B378="",0,SUMIFS('Zoho Dump'!$Y$8:$Y$3007,'Zoho Dump'!$N$8:$N$3007,$B378,'Zoho Dump'!$T$8:$T$3007,"Pipeline")+SUMIFS(Adjustments!$L$8:$L$207,Adjustments!$B$8:$B$207,$B378,Adjustments!$H$8:$H$207,"Pipeline")+SUMIFS('Zoho Dump'!$Y$8:$Y$3007,'Zoho Dump'!$N$8:$N$3007,$B378,'Zoho Dump'!$T$8:$T$3007,"Overdue")+SUMIFS(Adjustments!$L$8:$L$207,Adjustments!$B$8:$B$207,$B378,Adjustments!$H$8:$H$207,"Overdue"))</f>
        <v>0</v>
      </c>
      <c r="F378" s="17" t="n">
        <f aca="false">IF($B378="",0,SUMIFS('Zoho Dump'!$X$8:$X$3007,'Zoho Dump'!$N$8:$N$3007,$B378,'Zoho Dump'!$T$8:$T$3007,"Pipeline")+SUMIFS(Adjustments!$K$8:$K$207,Adjustments!$B$8:$B$207,$B378,Adjustments!$H$8:$H$207,"Pipeline")+SUMIFS('Zoho Dump'!$X$8:$X$3007,'Zoho Dump'!$N$8:$N$3007,$B378,'Zoho Dump'!$T$8:$T$3007,"Overdue")+SUMIFS(Adjustments!$K$8:$K$207,Adjustments!$B$8:$B$207,$B378,Adjustments!$H$8:$H$207,"Overdue"))</f>
        <v>0</v>
      </c>
      <c r="G378" s="17" t="n">
        <f aca="false">D378+F378</f>
        <v>0</v>
      </c>
      <c r="H378" s="18" t="n">
        <f aca="false">IF(SUM($G$5:$G$404)=0,0,G378/SUM($G$5:$G$404))</f>
        <v>0</v>
      </c>
      <c r="I378" s="17" t="n">
        <f aca="false">IF($B378="",0,SUMIFS('Zoho Dump'!$Q$8:$Q$3007,'Zoho Dump'!$N$8:$N$3007,$B378,'Zoho Dump'!$T$8:$T$3007,"Lost",'Zoho Dump'!$R$8:$R$3007,"&gt;="&amp;Settings!$B$4))</f>
        <v>0</v>
      </c>
      <c r="J378" s="9" t="str">
        <f aca="false">IF($B378="","",IF(COUNTIF(Dashboard!$C$13:$C$22,$B378)&gt;0,"Yes",""))</f>
        <v/>
      </c>
      <c r="K378" s="17" t="n">
        <f aca="false">IF($B378="",0,SUMIFS('Zoho Dump'!$X$8:$X$3007,'Zoho Dump'!$N$8:$N$3007,$B378,'Zoho Dump'!$P$8:$P$3007,Settings!$A$12)+SUMIFS(Adjustments!$K$8:$K$207,Adjustments!$B$8:$B$207,$B378,Adjustments!$A$8:$A$207,Settings!$A$12))</f>
        <v>0</v>
      </c>
      <c r="L378" s="17" t="n">
        <f aca="false">IF($B378="",0,SUMIFS('Zoho Dump'!$X$8:$X$3007,'Zoho Dump'!$N$8:$N$3007,$B378,'Zoho Dump'!$P$8:$P$3007,Settings!$A$13)+SUMIFS(Adjustments!$K$8:$K$207,Adjustments!$B$8:$B$207,$B378,Adjustments!$A$8:$A$207,Settings!$A$13))</f>
        <v>0</v>
      </c>
      <c r="M378" s="17" t="n">
        <f aca="false">IF($B378="",0,SUMIFS('Zoho Dump'!$X$8:$X$3007,'Zoho Dump'!$N$8:$N$3007,$B378,'Zoho Dump'!$P$8:$P$3007,Settings!$A$14)+SUMIFS(Adjustments!$K$8:$K$207,Adjustments!$B$8:$B$207,$B378,Adjustments!$A$8:$A$207,Settings!$A$14))</f>
        <v>0</v>
      </c>
      <c r="N378" s="17" t="n">
        <f aca="false">IF($B378="",0,SUMIFS('Zoho Dump'!$X$8:$X$3007,'Zoho Dump'!$N$8:$N$3007,$B378,'Zoho Dump'!$P$8:$P$3007,Settings!$A$15)+SUMIFS(Adjustments!$K$8:$K$207,Adjustments!$B$8:$B$207,$B378,Adjustments!$A$8:$A$207,Settings!$A$15))</f>
        <v>0</v>
      </c>
      <c r="O378" s="17" t="n">
        <f aca="false">IF($B378="",0,SUMIFS('Zoho Dump'!$X$8:$X$3007,'Zoho Dump'!$N$8:$N$3007,$B378,'Zoho Dump'!$P$8:$P$3007,Settings!$A$16)+SUMIFS(Adjustments!$K$8:$K$207,Adjustments!$B$8:$B$207,$B378,Adjustments!$A$8:$A$207,Settings!$A$16))</f>
        <v>0</v>
      </c>
      <c r="P378" s="17" t="n">
        <f aca="false">IF($B378="",0,SUMIFS('Zoho Dump'!$X$8:$X$3007,'Zoho Dump'!$N$8:$N$3007,$B378,'Zoho Dump'!$P$8:$P$3007,Settings!$A$17)+SUMIFS(Adjustments!$K$8:$K$207,Adjustments!$B$8:$B$207,$B378,Adjustments!$A$8:$A$207,Settings!$A$17))</f>
        <v>0</v>
      </c>
      <c r="Q378" s="17" t="n">
        <f aca="false">IF($B378="",0,SUMIFS('Zoho Dump'!$X$8:$X$3007,'Zoho Dump'!$N$8:$N$3007,$B378,'Zoho Dump'!$P$8:$P$3007,Settings!$A$18)+SUMIFS(Adjustments!$K$8:$K$207,Adjustments!$B$8:$B$207,$B378,Adjustments!$A$8:$A$207,Settings!$A$18))</f>
        <v>0</v>
      </c>
      <c r="R378" s="30" t="str">
        <f aca="false">IF(G378&gt;0,G378+A378/10000000,"")</f>
        <v/>
      </c>
    </row>
    <row r="379" customFormat="false" ht="15" hidden="false" customHeight="false" outlineLevel="0" collapsed="false">
      <c r="A379" s="9" t="n">
        <v>375</v>
      </c>
      <c r="B379" s="9" t="str">
        <f aca="false">IFERROR(INDEX('Zoho Dump'!$N$8:$N$3007,MATCH(A379,'Zoho Dump'!$AB$8:$AB$3007,0)),"")</f>
        <v/>
      </c>
      <c r="C379" s="17" t="n">
        <f aca="false">IF($B379="",0,SUMIFS('Zoho Dump'!$Q$8:$Q$3007,'Zoho Dump'!$N$8:$N$3007,$B379,'Zoho Dump'!$T$8:$T$3007,"Delivered",'Zoho Dump'!$R$8:$R$3007,"&gt;="&amp;Settings!$B$4))</f>
        <v>0</v>
      </c>
      <c r="D379" s="17" t="n">
        <f aca="false">IF($B379="",0,SUMIFS('Zoho Dump'!$X$8:$X$3007,'Zoho Dump'!$N$8:$N$3007,$B379,'Zoho Dump'!$T$8:$T$3007,"Backlog")+SUMIFS(Adjustments!$K$8:$K$207,Adjustments!$B$8:$B$207,$B379,Adjustments!$H$8:$H$207,"Backlog"))</f>
        <v>0</v>
      </c>
      <c r="E379" s="17" t="n">
        <f aca="false">IF($B379="",0,SUMIFS('Zoho Dump'!$Y$8:$Y$3007,'Zoho Dump'!$N$8:$N$3007,$B379,'Zoho Dump'!$T$8:$T$3007,"Pipeline")+SUMIFS(Adjustments!$L$8:$L$207,Adjustments!$B$8:$B$207,$B379,Adjustments!$H$8:$H$207,"Pipeline")+SUMIFS('Zoho Dump'!$Y$8:$Y$3007,'Zoho Dump'!$N$8:$N$3007,$B379,'Zoho Dump'!$T$8:$T$3007,"Overdue")+SUMIFS(Adjustments!$L$8:$L$207,Adjustments!$B$8:$B$207,$B379,Adjustments!$H$8:$H$207,"Overdue"))</f>
        <v>0</v>
      </c>
      <c r="F379" s="17" t="n">
        <f aca="false">IF($B379="",0,SUMIFS('Zoho Dump'!$X$8:$X$3007,'Zoho Dump'!$N$8:$N$3007,$B379,'Zoho Dump'!$T$8:$T$3007,"Pipeline")+SUMIFS(Adjustments!$K$8:$K$207,Adjustments!$B$8:$B$207,$B379,Adjustments!$H$8:$H$207,"Pipeline")+SUMIFS('Zoho Dump'!$X$8:$X$3007,'Zoho Dump'!$N$8:$N$3007,$B379,'Zoho Dump'!$T$8:$T$3007,"Overdue")+SUMIFS(Adjustments!$K$8:$K$207,Adjustments!$B$8:$B$207,$B379,Adjustments!$H$8:$H$207,"Overdue"))</f>
        <v>0</v>
      </c>
      <c r="G379" s="17" t="n">
        <f aca="false">D379+F379</f>
        <v>0</v>
      </c>
      <c r="H379" s="18" t="n">
        <f aca="false">IF(SUM($G$5:$G$404)=0,0,G379/SUM($G$5:$G$404))</f>
        <v>0</v>
      </c>
      <c r="I379" s="17" t="n">
        <f aca="false">IF($B379="",0,SUMIFS('Zoho Dump'!$Q$8:$Q$3007,'Zoho Dump'!$N$8:$N$3007,$B379,'Zoho Dump'!$T$8:$T$3007,"Lost",'Zoho Dump'!$R$8:$R$3007,"&gt;="&amp;Settings!$B$4))</f>
        <v>0</v>
      </c>
      <c r="J379" s="9" t="str">
        <f aca="false">IF($B379="","",IF(COUNTIF(Dashboard!$C$13:$C$22,$B379)&gt;0,"Yes",""))</f>
        <v/>
      </c>
      <c r="K379" s="17" t="n">
        <f aca="false">IF($B379="",0,SUMIFS('Zoho Dump'!$X$8:$X$3007,'Zoho Dump'!$N$8:$N$3007,$B379,'Zoho Dump'!$P$8:$P$3007,Settings!$A$12)+SUMIFS(Adjustments!$K$8:$K$207,Adjustments!$B$8:$B$207,$B379,Adjustments!$A$8:$A$207,Settings!$A$12))</f>
        <v>0</v>
      </c>
      <c r="L379" s="17" t="n">
        <f aca="false">IF($B379="",0,SUMIFS('Zoho Dump'!$X$8:$X$3007,'Zoho Dump'!$N$8:$N$3007,$B379,'Zoho Dump'!$P$8:$P$3007,Settings!$A$13)+SUMIFS(Adjustments!$K$8:$K$207,Adjustments!$B$8:$B$207,$B379,Adjustments!$A$8:$A$207,Settings!$A$13))</f>
        <v>0</v>
      </c>
      <c r="M379" s="17" t="n">
        <f aca="false">IF($B379="",0,SUMIFS('Zoho Dump'!$X$8:$X$3007,'Zoho Dump'!$N$8:$N$3007,$B379,'Zoho Dump'!$P$8:$P$3007,Settings!$A$14)+SUMIFS(Adjustments!$K$8:$K$207,Adjustments!$B$8:$B$207,$B379,Adjustments!$A$8:$A$207,Settings!$A$14))</f>
        <v>0</v>
      </c>
      <c r="N379" s="17" t="n">
        <f aca="false">IF($B379="",0,SUMIFS('Zoho Dump'!$X$8:$X$3007,'Zoho Dump'!$N$8:$N$3007,$B379,'Zoho Dump'!$P$8:$P$3007,Settings!$A$15)+SUMIFS(Adjustments!$K$8:$K$207,Adjustments!$B$8:$B$207,$B379,Adjustments!$A$8:$A$207,Settings!$A$15))</f>
        <v>0</v>
      </c>
      <c r="O379" s="17" t="n">
        <f aca="false">IF($B379="",0,SUMIFS('Zoho Dump'!$X$8:$X$3007,'Zoho Dump'!$N$8:$N$3007,$B379,'Zoho Dump'!$P$8:$P$3007,Settings!$A$16)+SUMIFS(Adjustments!$K$8:$K$207,Adjustments!$B$8:$B$207,$B379,Adjustments!$A$8:$A$207,Settings!$A$16))</f>
        <v>0</v>
      </c>
      <c r="P379" s="17" t="n">
        <f aca="false">IF($B379="",0,SUMIFS('Zoho Dump'!$X$8:$X$3007,'Zoho Dump'!$N$8:$N$3007,$B379,'Zoho Dump'!$P$8:$P$3007,Settings!$A$17)+SUMIFS(Adjustments!$K$8:$K$207,Adjustments!$B$8:$B$207,$B379,Adjustments!$A$8:$A$207,Settings!$A$17))</f>
        <v>0</v>
      </c>
      <c r="Q379" s="17" t="n">
        <f aca="false">IF($B379="",0,SUMIFS('Zoho Dump'!$X$8:$X$3007,'Zoho Dump'!$N$8:$N$3007,$B379,'Zoho Dump'!$P$8:$P$3007,Settings!$A$18)+SUMIFS(Adjustments!$K$8:$K$207,Adjustments!$B$8:$B$207,$B379,Adjustments!$A$8:$A$207,Settings!$A$18))</f>
        <v>0</v>
      </c>
      <c r="R379" s="30" t="str">
        <f aca="false">IF(G379&gt;0,G379+A379/10000000,"")</f>
        <v/>
      </c>
    </row>
    <row r="380" customFormat="false" ht="15" hidden="false" customHeight="false" outlineLevel="0" collapsed="false">
      <c r="A380" s="9" t="n">
        <v>376</v>
      </c>
      <c r="B380" s="9" t="str">
        <f aca="false">IFERROR(INDEX('Zoho Dump'!$N$8:$N$3007,MATCH(A380,'Zoho Dump'!$AB$8:$AB$3007,0)),"")</f>
        <v/>
      </c>
      <c r="C380" s="17" t="n">
        <f aca="false">IF($B380="",0,SUMIFS('Zoho Dump'!$Q$8:$Q$3007,'Zoho Dump'!$N$8:$N$3007,$B380,'Zoho Dump'!$T$8:$T$3007,"Delivered",'Zoho Dump'!$R$8:$R$3007,"&gt;="&amp;Settings!$B$4))</f>
        <v>0</v>
      </c>
      <c r="D380" s="17" t="n">
        <f aca="false">IF($B380="",0,SUMIFS('Zoho Dump'!$X$8:$X$3007,'Zoho Dump'!$N$8:$N$3007,$B380,'Zoho Dump'!$T$8:$T$3007,"Backlog")+SUMIFS(Adjustments!$K$8:$K$207,Adjustments!$B$8:$B$207,$B380,Adjustments!$H$8:$H$207,"Backlog"))</f>
        <v>0</v>
      </c>
      <c r="E380" s="17" t="n">
        <f aca="false">IF($B380="",0,SUMIFS('Zoho Dump'!$Y$8:$Y$3007,'Zoho Dump'!$N$8:$N$3007,$B380,'Zoho Dump'!$T$8:$T$3007,"Pipeline")+SUMIFS(Adjustments!$L$8:$L$207,Adjustments!$B$8:$B$207,$B380,Adjustments!$H$8:$H$207,"Pipeline")+SUMIFS('Zoho Dump'!$Y$8:$Y$3007,'Zoho Dump'!$N$8:$N$3007,$B380,'Zoho Dump'!$T$8:$T$3007,"Overdue")+SUMIFS(Adjustments!$L$8:$L$207,Adjustments!$B$8:$B$207,$B380,Adjustments!$H$8:$H$207,"Overdue"))</f>
        <v>0</v>
      </c>
      <c r="F380" s="17" t="n">
        <f aca="false">IF($B380="",0,SUMIFS('Zoho Dump'!$X$8:$X$3007,'Zoho Dump'!$N$8:$N$3007,$B380,'Zoho Dump'!$T$8:$T$3007,"Pipeline")+SUMIFS(Adjustments!$K$8:$K$207,Adjustments!$B$8:$B$207,$B380,Adjustments!$H$8:$H$207,"Pipeline")+SUMIFS('Zoho Dump'!$X$8:$X$3007,'Zoho Dump'!$N$8:$N$3007,$B380,'Zoho Dump'!$T$8:$T$3007,"Overdue")+SUMIFS(Adjustments!$K$8:$K$207,Adjustments!$B$8:$B$207,$B380,Adjustments!$H$8:$H$207,"Overdue"))</f>
        <v>0</v>
      </c>
      <c r="G380" s="17" t="n">
        <f aca="false">D380+F380</f>
        <v>0</v>
      </c>
      <c r="H380" s="18" t="n">
        <f aca="false">IF(SUM($G$5:$G$404)=0,0,G380/SUM($G$5:$G$404))</f>
        <v>0</v>
      </c>
      <c r="I380" s="17" t="n">
        <f aca="false">IF($B380="",0,SUMIFS('Zoho Dump'!$Q$8:$Q$3007,'Zoho Dump'!$N$8:$N$3007,$B380,'Zoho Dump'!$T$8:$T$3007,"Lost",'Zoho Dump'!$R$8:$R$3007,"&gt;="&amp;Settings!$B$4))</f>
        <v>0</v>
      </c>
      <c r="J380" s="9" t="str">
        <f aca="false">IF($B380="","",IF(COUNTIF(Dashboard!$C$13:$C$22,$B380)&gt;0,"Yes",""))</f>
        <v/>
      </c>
      <c r="K380" s="17" t="n">
        <f aca="false">IF($B380="",0,SUMIFS('Zoho Dump'!$X$8:$X$3007,'Zoho Dump'!$N$8:$N$3007,$B380,'Zoho Dump'!$P$8:$P$3007,Settings!$A$12)+SUMIFS(Adjustments!$K$8:$K$207,Adjustments!$B$8:$B$207,$B380,Adjustments!$A$8:$A$207,Settings!$A$12))</f>
        <v>0</v>
      </c>
      <c r="L380" s="17" t="n">
        <f aca="false">IF($B380="",0,SUMIFS('Zoho Dump'!$X$8:$X$3007,'Zoho Dump'!$N$8:$N$3007,$B380,'Zoho Dump'!$P$8:$P$3007,Settings!$A$13)+SUMIFS(Adjustments!$K$8:$K$207,Adjustments!$B$8:$B$207,$B380,Adjustments!$A$8:$A$207,Settings!$A$13))</f>
        <v>0</v>
      </c>
      <c r="M380" s="17" t="n">
        <f aca="false">IF($B380="",0,SUMIFS('Zoho Dump'!$X$8:$X$3007,'Zoho Dump'!$N$8:$N$3007,$B380,'Zoho Dump'!$P$8:$P$3007,Settings!$A$14)+SUMIFS(Adjustments!$K$8:$K$207,Adjustments!$B$8:$B$207,$B380,Adjustments!$A$8:$A$207,Settings!$A$14))</f>
        <v>0</v>
      </c>
      <c r="N380" s="17" t="n">
        <f aca="false">IF($B380="",0,SUMIFS('Zoho Dump'!$X$8:$X$3007,'Zoho Dump'!$N$8:$N$3007,$B380,'Zoho Dump'!$P$8:$P$3007,Settings!$A$15)+SUMIFS(Adjustments!$K$8:$K$207,Adjustments!$B$8:$B$207,$B380,Adjustments!$A$8:$A$207,Settings!$A$15))</f>
        <v>0</v>
      </c>
      <c r="O380" s="17" t="n">
        <f aca="false">IF($B380="",0,SUMIFS('Zoho Dump'!$X$8:$X$3007,'Zoho Dump'!$N$8:$N$3007,$B380,'Zoho Dump'!$P$8:$P$3007,Settings!$A$16)+SUMIFS(Adjustments!$K$8:$K$207,Adjustments!$B$8:$B$207,$B380,Adjustments!$A$8:$A$207,Settings!$A$16))</f>
        <v>0</v>
      </c>
      <c r="P380" s="17" t="n">
        <f aca="false">IF($B380="",0,SUMIFS('Zoho Dump'!$X$8:$X$3007,'Zoho Dump'!$N$8:$N$3007,$B380,'Zoho Dump'!$P$8:$P$3007,Settings!$A$17)+SUMIFS(Adjustments!$K$8:$K$207,Adjustments!$B$8:$B$207,$B380,Adjustments!$A$8:$A$207,Settings!$A$17))</f>
        <v>0</v>
      </c>
      <c r="Q380" s="17" t="n">
        <f aca="false">IF($B380="",0,SUMIFS('Zoho Dump'!$X$8:$X$3007,'Zoho Dump'!$N$8:$N$3007,$B380,'Zoho Dump'!$P$8:$P$3007,Settings!$A$18)+SUMIFS(Adjustments!$K$8:$K$207,Adjustments!$B$8:$B$207,$B380,Adjustments!$A$8:$A$207,Settings!$A$18))</f>
        <v>0</v>
      </c>
      <c r="R380" s="30" t="str">
        <f aca="false">IF(G380&gt;0,G380+A380/10000000,"")</f>
        <v/>
      </c>
    </row>
    <row r="381" customFormat="false" ht="15" hidden="false" customHeight="false" outlineLevel="0" collapsed="false">
      <c r="A381" s="9" t="n">
        <v>377</v>
      </c>
      <c r="B381" s="9" t="str">
        <f aca="false">IFERROR(INDEX('Zoho Dump'!$N$8:$N$3007,MATCH(A381,'Zoho Dump'!$AB$8:$AB$3007,0)),"")</f>
        <v/>
      </c>
      <c r="C381" s="17" t="n">
        <f aca="false">IF($B381="",0,SUMIFS('Zoho Dump'!$Q$8:$Q$3007,'Zoho Dump'!$N$8:$N$3007,$B381,'Zoho Dump'!$T$8:$T$3007,"Delivered",'Zoho Dump'!$R$8:$R$3007,"&gt;="&amp;Settings!$B$4))</f>
        <v>0</v>
      </c>
      <c r="D381" s="17" t="n">
        <f aca="false">IF($B381="",0,SUMIFS('Zoho Dump'!$X$8:$X$3007,'Zoho Dump'!$N$8:$N$3007,$B381,'Zoho Dump'!$T$8:$T$3007,"Backlog")+SUMIFS(Adjustments!$K$8:$K$207,Adjustments!$B$8:$B$207,$B381,Adjustments!$H$8:$H$207,"Backlog"))</f>
        <v>0</v>
      </c>
      <c r="E381" s="17" t="n">
        <f aca="false">IF($B381="",0,SUMIFS('Zoho Dump'!$Y$8:$Y$3007,'Zoho Dump'!$N$8:$N$3007,$B381,'Zoho Dump'!$T$8:$T$3007,"Pipeline")+SUMIFS(Adjustments!$L$8:$L$207,Adjustments!$B$8:$B$207,$B381,Adjustments!$H$8:$H$207,"Pipeline")+SUMIFS('Zoho Dump'!$Y$8:$Y$3007,'Zoho Dump'!$N$8:$N$3007,$B381,'Zoho Dump'!$T$8:$T$3007,"Overdue")+SUMIFS(Adjustments!$L$8:$L$207,Adjustments!$B$8:$B$207,$B381,Adjustments!$H$8:$H$207,"Overdue"))</f>
        <v>0</v>
      </c>
      <c r="F381" s="17" t="n">
        <f aca="false">IF($B381="",0,SUMIFS('Zoho Dump'!$X$8:$X$3007,'Zoho Dump'!$N$8:$N$3007,$B381,'Zoho Dump'!$T$8:$T$3007,"Pipeline")+SUMIFS(Adjustments!$K$8:$K$207,Adjustments!$B$8:$B$207,$B381,Adjustments!$H$8:$H$207,"Pipeline")+SUMIFS('Zoho Dump'!$X$8:$X$3007,'Zoho Dump'!$N$8:$N$3007,$B381,'Zoho Dump'!$T$8:$T$3007,"Overdue")+SUMIFS(Adjustments!$K$8:$K$207,Adjustments!$B$8:$B$207,$B381,Adjustments!$H$8:$H$207,"Overdue"))</f>
        <v>0</v>
      </c>
      <c r="G381" s="17" t="n">
        <f aca="false">D381+F381</f>
        <v>0</v>
      </c>
      <c r="H381" s="18" t="n">
        <f aca="false">IF(SUM($G$5:$G$404)=0,0,G381/SUM($G$5:$G$404))</f>
        <v>0</v>
      </c>
      <c r="I381" s="17" t="n">
        <f aca="false">IF($B381="",0,SUMIFS('Zoho Dump'!$Q$8:$Q$3007,'Zoho Dump'!$N$8:$N$3007,$B381,'Zoho Dump'!$T$8:$T$3007,"Lost",'Zoho Dump'!$R$8:$R$3007,"&gt;="&amp;Settings!$B$4))</f>
        <v>0</v>
      </c>
      <c r="J381" s="9" t="str">
        <f aca="false">IF($B381="","",IF(COUNTIF(Dashboard!$C$13:$C$22,$B381)&gt;0,"Yes",""))</f>
        <v/>
      </c>
      <c r="K381" s="17" t="n">
        <f aca="false">IF($B381="",0,SUMIFS('Zoho Dump'!$X$8:$X$3007,'Zoho Dump'!$N$8:$N$3007,$B381,'Zoho Dump'!$P$8:$P$3007,Settings!$A$12)+SUMIFS(Adjustments!$K$8:$K$207,Adjustments!$B$8:$B$207,$B381,Adjustments!$A$8:$A$207,Settings!$A$12))</f>
        <v>0</v>
      </c>
      <c r="L381" s="17" t="n">
        <f aca="false">IF($B381="",0,SUMIFS('Zoho Dump'!$X$8:$X$3007,'Zoho Dump'!$N$8:$N$3007,$B381,'Zoho Dump'!$P$8:$P$3007,Settings!$A$13)+SUMIFS(Adjustments!$K$8:$K$207,Adjustments!$B$8:$B$207,$B381,Adjustments!$A$8:$A$207,Settings!$A$13))</f>
        <v>0</v>
      </c>
      <c r="M381" s="17" t="n">
        <f aca="false">IF($B381="",0,SUMIFS('Zoho Dump'!$X$8:$X$3007,'Zoho Dump'!$N$8:$N$3007,$B381,'Zoho Dump'!$P$8:$P$3007,Settings!$A$14)+SUMIFS(Adjustments!$K$8:$K$207,Adjustments!$B$8:$B$207,$B381,Adjustments!$A$8:$A$207,Settings!$A$14))</f>
        <v>0</v>
      </c>
      <c r="N381" s="17" t="n">
        <f aca="false">IF($B381="",0,SUMIFS('Zoho Dump'!$X$8:$X$3007,'Zoho Dump'!$N$8:$N$3007,$B381,'Zoho Dump'!$P$8:$P$3007,Settings!$A$15)+SUMIFS(Adjustments!$K$8:$K$207,Adjustments!$B$8:$B$207,$B381,Adjustments!$A$8:$A$207,Settings!$A$15))</f>
        <v>0</v>
      </c>
      <c r="O381" s="17" t="n">
        <f aca="false">IF($B381="",0,SUMIFS('Zoho Dump'!$X$8:$X$3007,'Zoho Dump'!$N$8:$N$3007,$B381,'Zoho Dump'!$P$8:$P$3007,Settings!$A$16)+SUMIFS(Adjustments!$K$8:$K$207,Adjustments!$B$8:$B$207,$B381,Adjustments!$A$8:$A$207,Settings!$A$16))</f>
        <v>0</v>
      </c>
      <c r="P381" s="17" t="n">
        <f aca="false">IF($B381="",0,SUMIFS('Zoho Dump'!$X$8:$X$3007,'Zoho Dump'!$N$8:$N$3007,$B381,'Zoho Dump'!$P$8:$P$3007,Settings!$A$17)+SUMIFS(Adjustments!$K$8:$K$207,Adjustments!$B$8:$B$207,$B381,Adjustments!$A$8:$A$207,Settings!$A$17))</f>
        <v>0</v>
      </c>
      <c r="Q381" s="17" t="n">
        <f aca="false">IF($B381="",0,SUMIFS('Zoho Dump'!$X$8:$X$3007,'Zoho Dump'!$N$8:$N$3007,$B381,'Zoho Dump'!$P$8:$P$3007,Settings!$A$18)+SUMIFS(Adjustments!$K$8:$K$207,Adjustments!$B$8:$B$207,$B381,Adjustments!$A$8:$A$207,Settings!$A$18))</f>
        <v>0</v>
      </c>
      <c r="R381" s="30" t="str">
        <f aca="false">IF(G381&gt;0,G381+A381/10000000,"")</f>
        <v/>
      </c>
    </row>
    <row r="382" customFormat="false" ht="15" hidden="false" customHeight="false" outlineLevel="0" collapsed="false">
      <c r="A382" s="9" t="n">
        <v>378</v>
      </c>
      <c r="B382" s="9" t="str">
        <f aca="false">IFERROR(INDEX('Zoho Dump'!$N$8:$N$3007,MATCH(A382,'Zoho Dump'!$AB$8:$AB$3007,0)),"")</f>
        <v/>
      </c>
      <c r="C382" s="17" t="n">
        <f aca="false">IF($B382="",0,SUMIFS('Zoho Dump'!$Q$8:$Q$3007,'Zoho Dump'!$N$8:$N$3007,$B382,'Zoho Dump'!$T$8:$T$3007,"Delivered",'Zoho Dump'!$R$8:$R$3007,"&gt;="&amp;Settings!$B$4))</f>
        <v>0</v>
      </c>
      <c r="D382" s="17" t="n">
        <f aca="false">IF($B382="",0,SUMIFS('Zoho Dump'!$X$8:$X$3007,'Zoho Dump'!$N$8:$N$3007,$B382,'Zoho Dump'!$T$8:$T$3007,"Backlog")+SUMIFS(Adjustments!$K$8:$K$207,Adjustments!$B$8:$B$207,$B382,Adjustments!$H$8:$H$207,"Backlog"))</f>
        <v>0</v>
      </c>
      <c r="E382" s="17" t="n">
        <f aca="false">IF($B382="",0,SUMIFS('Zoho Dump'!$Y$8:$Y$3007,'Zoho Dump'!$N$8:$N$3007,$B382,'Zoho Dump'!$T$8:$T$3007,"Pipeline")+SUMIFS(Adjustments!$L$8:$L$207,Adjustments!$B$8:$B$207,$B382,Adjustments!$H$8:$H$207,"Pipeline")+SUMIFS('Zoho Dump'!$Y$8:$Y$3007,'Zoho Dump'!$N$8:$N$3007,$B382,'Zoho Dump'!$T$8:$T$3007,"Overdue")+SUMIFS(Adjustments!$L$8:$L$207,Adjustments!$B$8:$B$207,$B382,Adjustments!$H$8:$H$207,"Overdue"))</f>
        <v>0</v>
      </c>
      <c r="F382" s="17" t="n">
        <f aca="false">IF($B382="",0,SUMIFS('Zoho Dump'!$X$8:$X$3007,'Zoho Dump'!$N$8:$N$3007,$B382,'Zoho Dump'!$T$8:$T$3007,"Pipeline")+SUMIFS(Adjustments!$K$8:$K$207,Adjustments!$B$8:$B$207,$B382,Adjustments!$H$8:$H$207,"Pipeline")+SUMIFS('Zoho Dump'!$X$8:$X$3007,'Zoho Dump'!$N$8:$N$3007,$B382,'Zoho Dump'!$T$8:$T$3007,"Overdue")+SUMIFS(Adjustments!$K$8:$K$207,Adjustments!$B$8:$B$207,$B382,Adjustments!$H$8:$H$207,"Overdue"))</f>
        <v>0</v>
      </c>
      <c r="G382" s="17" t="n">
        <f aca="false">D382+F382</f>
        <v>0</v>
      </c>
      <c r="H382" s="18" t="n">
        <f aca="false">IF(SUM($G$5:$G$404)=0,0,G382/SUM($G$5:$G$404))</f>
        <v>0</v>
      </c>
      <c r="I382" s="17" t="n">
        <f aca="false">IF($B382="",0,SUMIFS('Zoho Dump'!$Q$8:$Q$3007,'Zoho Dump'!$N$8:$N$3007,$B382,'Zoho Dump'!$T$8:$T$3007,"Lost",'Zoho Dump'!$R$8:$R$3007,"&gt;="&amp;Settings!$B$4))</f>
        <v>0</v>
      </c>
      <c r="J382" s="9" t="str">
        <f aca="false">IF($B382="","",IF(COUNTIF(Dashboard!$C$13:$C$22,$B382)&gt;0,"Yes",""))</f>
        <v/>
      </c>
      <c r="K382" s="17" t="n">
        <f aca="false">IF($B382="",0,SUMIFS('Zoho Dump'!$X$8:$X$3007,'Zoho Dump'!$N$8:$N$3007,$B382,'Zoho Dump'!$P$8:$P$3007,Settings!$A$12)+SUMIFS(Adjustments!$K$8:$K$207,Adjustments!$B$8:$B$207,$B382,Adjustments!$A$8:$A$207,Settings!$A$12))</f>
        <v>0</v>
      </c>
      <c r="L382" s="17" t="n">
        <f aca="false">IF($B382="",0,SUMIFS('Zoho Dump'!$X$8:$X$3007,'Zoho Dump'!$N$8:$N$3007,$B382,'Zoho Dump'!$P$8:$P$3007,Settings!$A$13)+SUMIFS(Adjustments!$K$8:$K$207,Adjustments!$B$8:$B$207,$B382,Adjustments!$A$8:$A$207,Settings!$A$13))</f>
        <v>0</v>
      </c>
      <c r="M382" s="17" t="n">
        <f aca="false">IF($B382="",0,SUMIFS('Zoho Dump'!$X$8:$X$3007,'Zoho Dump'!$N$8:$N$3007,$B382,'Zoho Dump'!$P$8:$P$3007,Settings!$A$14)+SUMIFS(Adjustments!$K$8:$K$207,Adjustments!$B$8:$B$207,$B382,Adjustments!$A$8:$A$207,Settings!$A$14))</f>
        <v>0</v>
      </c>
      <c r="N382" s="17" t="n">
        <f aca="false">IF($B382="",0,SUMIFS('Zoho Dump'!$X$8:$X$3007,'Zoho Dump'!$N$8:$N$3007,$B382,'Zoho Dump'!$P$8:$P$3007,Settings!$A$15)+SUMIFS(Adjustments!$K$8:$K$207,Adjustments!$B$8:$B$207,$B382,Adjustments!$A$8:$A$207,Settings!$A$15))</f>
        <v>0</v>
      </c>
      <c r="O382" s="17" t="n">
        <f aca="false">IF($B382="",0,SUMIFS('Zoho Dump'!$X$8:$X$3007,'Zoho Dump'!$N$8:$N$3007,$B382,'Zoho Dump'!$P$8:$P$3007,Settings!$A$16)+SUMIFS(Adjustments!$K$8:$K$207,Adjustments!$B$8:$B$207,$B382,Adjustments!$A$8:$A$207,Settings!$A$16))</f>
        <v>0</v>
      </c>
      <c r="P382" s="17" t="n">
        <f aca="false">IF($B382="",0,SUMIFS('Zoho Dump'!$X$8:$X$3007,'Zoho Dump'!$N$8:$N$3007,$B382,'Zoho Dump'!$P$8:$P$3007,Settings!$A$17)+SUMIFS(Adjustments!$K$8:$K$207,Adjustments!$B$8:$B$207,$B382,Adjustments!$A$8:$A$207,Settings!$A$17))</f>
        <v>0</v>
      </c>
      <c r="Q382" s="17" t="n">
        <f aca="false">IF($B382="",0,SUMIFS('Zoho Dump'!$X$8:$X$3007,'Zoho Dump'!$N$8:$N$3007,$B382,'Zoho Dump'!$P$8:$P$3007,Settings!$A$18)+SUMIFS(Adjustments!$K$8:$K$207,Adjustments!$B$8:$B$207,$B382,Adjustments!$A$8:$A$207,Settings!$A$18))</f>
        <v>0</v>
      </c>
      <c r="R382" s="30" t="str">
        <f aca="false">IF(G382&gt;0,G382+A382/10000000,"")</f>
        <v/>
      </c>
    </row>
    <row r="383" customFormat="false" ht="15" hidden="false" customHeight="false" outlineLevel="0" collapsed="false">
      <c r="A383" s="9" t="n">
        <v>379</v>
      </c>
      <c r="B383" s="9" t="str">
        <f aca="false">IFERROR(INDEX('Zoho Dump'!$N$8:$N$3007,MATCH(A383,'Zoho Dump'!$AB$8:$AB$3007,0)),"")</f>
        <v/>
      </c>
      <c r="C383" s="17" t="n">
        <f aca="false">IF($B383="",0,SUMIFS('Zoho Dump'!$Q$8:$Q$3007,'Zoho Dump'!$N$8:$N$3007,$B383,'Zoho Dump'!$T$8:$T$3007,"Delivered",'Zoho Dump'!$R$8:$R$3007,"&gt;="&amp;Settings!$B$4))</f>
        <v>0</v>
      </c>
      <c r="D383" s="17" t="n">
        <f aca="false">IF($B383="",0,SUMIFS('Zoho Dump'!$X$8:$X$3007,'Zoho Dump'!$N$8:$N$3007,$B383,'Zoho Dump'!$T$8:$T$3007,"Backlog")+SUMIFS(Adjustments!$K$8:$K$207,Adjustments!$B$8:$B$207,$B383,Adjustments!$H$8:$H$207,"Backlog"))</f>
        <v>0</v>
      </c>
      <c r="E383" s="17" t="n">
        <f aca="false">IF($B383="",0,SUMIFS('Zoho Dump'!$Y$8:$Y$3007,'Zoho Dump'!$N$8:$N$3007,$B383,'Zoho Dump'!$T$8:$T$3007,"Pipeline")+SUMIFS(Adjustments!$L$8:$L$207,Adjustments!$B$8:$B$207,$B383,Adjustments!$H$8:$H$207,"Pipeline")+SUMIFS('Zoho Dump'!$Y$8:$Y$3007,'Zoho Dump'!$N$8:$N$3007,$B383,'Zoho Dump'!$T$8:$T$3007,"Overdue")+SUMIFS(Adjustments!$L$8:$L$207,Adjustments!$B$8:$B$207,$B383,Adjustments!$H$8:$H$207,"Overdue"))</f>
        <v>0</v>
      </c>
      <c r="F383" s="17" t="n">
        <f aca="false">IF($B383="",0,SUMIFS('Zoho Dump'!$X$8:$X$3007,'Zoho Dump'!$N$8:$N$3007,$B383,'Zoho Dump'!$T$8:$T$3007,"Pipeline")+SUMIFS(Adjustments!$K$8:$K$207,Adjustments!$B$8:$B$207,$B383,Adjustments!$H$8:$H$207,"Pipeline")+SUMIFS('Zoho Dump'!$X$8:$X$3007,'Zoho Dump'!$N$8:$N$3007,$B383,'Zoho Dump'!$T$8:$T$3007,"Overdue")+SUMIFS(Adjustments!$K$8:$K$207,Adjustments!$B$8:$B$207,$B383,Adjustments!$H$8:$H$207,"Overdue"))</f>
        <v>0</v>
      </c>
      <c r="G383" s="17" t="n">
        <f aca="false">D383+F383</f>
        <v>0</v>
      </c>
      <c r="H383" s="18" t="n">
        <f aca="false">IF(SUM($G$5:$G$404)=0,0,G383/SUM($G$5:$G$404))</f>
        <v>0</v>
      </c>
      <c r="I383" s="17" t="n">
        <f aca="false">IF($B383="",0,SUMIFS('Zoho Dump'!$Q$8:$Q$3007,'Zoho Dump'!$N$8:$N$3007,$B383,'Zoho Dump'!$T$8:$T$3007,"Lost",'Zoho Dump'!$R$8:$R$3007,"&gt;="&amp;Settings!$B$4))</f>
        <v>0</v>
      </c>
      <c r="J383" s="9" t="str">
        <f aca="false">IF($B383="","",IF(COUNTIF(Dashboard!$C$13:$C$22,$B383)&gt;0,"Yes",""))</f>
        <v/>
      </c>
      <c r="K383" s="17" t="n">
        <f aca="false">IF($B383="",0,SUMIFS('Zoho Dump'!$X$8:$X$3007,'Zoho Dump'!$N$8:$N$3007,$B383,'Zoho Dump'!$P$8:$P$3007,Settings!$A$12)+SUMIFS(Adjustments!$K$8:$K$207,Adjustments!$B$8:$B$207,$B383,Adjustments!$A$8:$A$207,Settings!$A$12))</f>
        <v>0</v>
      </c>
      <c r="L383" s="17" t="n">
        <f aca="false">IF($B383="",0,SUMIFS('Zoho Dump'!$X$8:$X$3007,'Zoho Dump'!$N$8:$N$3007,$B383,'Zoho Dump'!$P$8:$P$3007,Settings!$A$13)+SUMIFS(Adjustments!$K$8:$K$207,Adjustments!$B$8:$B$207,$B383,Adjustments!$A$8:$A$207,Settings!$A$13))</f>
        <v>0</v>
      </c>
      <c r="M383" s="17" t="n">
        <f aca="false">IF($B383="",0,SUMIFS('Zoho Dump'!$X$8:$X$3007,'Zoho Dump'!$N$8:$N$3007,$B383,'Zoho Dump'!$P$8:$P$3007,Settings!$A$14)+SUMIFS(Adjustments!$K$8:$K$207,Adjustments!$B$8:$B$207,$B383,Adjustments!$A$8:$A$207,Settings!$A$14))</f>
        <v>0</v>
      </c>
      <c r="N383" s="17" t="n">
        <f aca="false">IF($B383="",0,SUMIFS('Zoho Dump'!$X$8:$X$3007,'Zoho Dump'!$N$8:$N$3007,$B383,'Zoho Dump'!$P$8:$P$3007,Settings!$A$15)+SUMIFS(Adjustments!$K$8:$K$207,Adjustments!$B$8:$B$207,$B383,Adjustments!$A$8:$A$207,Settings!$A$15))</f>
        <v>0</v>
      </c>
      <c r="O383" s="17" t="n">
        <f aca="false">IF($B383="",0,SUMIFS('Zoho Dump'!$X$8:$X$3007,'Zoho Dump'!$N$8:$N$3007,$B383,'Zoho Dump'!$P$8:$P$3007,Settings!$A$16)+SUMIFS(Adjustments!$K$8:$K$207,Adjustments!$B$8:$B$207,$B383,Adjustments!$A$8:$A$207,Settings!$A$16))</f>
        <v>0</v>
      </c>
      <c r="P383" s="17" t="n">
        <f aca="false">IF($B383="",0,SUMIFS('Zoho Dump'!$X$8:$X$3007,'Zoho Dump'!$N$8:$N$3007,$B383,'Zoho Dump'!$P$8:$P$3007,Settings!$A$17)+SUMIFS(Adjustments!$K$8:$K$207,Adjustments!$B$8:$B$207,$B383,Adjustments!$A$8:$A$207,Settings!$A$17))</f>
        <v>0</v>
      </c>
      <c r="Q383" s="17" t="n">
        <f aca="false">IF($B383="",0,SUMIFS('Zoho Dump'!$X$8:$X$3007,'Zoho Dump'!$N$8:$N$3007,$B383,'Zoho Dump'!$P$8:$P$3007,Settings!$A$18)+SUMIFS(Adjustments!$K$8:$K$207,Adjustments!$B$8:$B$207,$B383,Adjustments!$A$8:$A$207,Settings!$A$18))</f>
        <v>0</v>
      </c>
      <c r="R383" s="30" t="str">
        <f aca="false">IF(G383&gt;0,G383+A383/10000000,"")</f>
        <v/>
      </c>
    </row>
    <row r="384" customFormat="false" ht="15" hidden="false" customHeight="false" outlineLevel="0" collapsed="false">
      <c r="A384" s="9" t="n">
        <v>380</v>
      </c>
      <c r="B384" s="9" t="str">
        <f aca="false">IFERROR(INDEX('Zoho Dump'!$N$8:$N$3007,MATCH(A384,'Zoho Dump'!$AB$8:$AB$3007,0)),"")</f>
        <v/>
      </c>
      <c r="C384" s="17" t="n">
        <f aca="false">IF($B384="",0,SUMIFS('Zoho Dump'!$Q$8:$Q$3007,'Zoho Dump'!$N$8:$N$3007,$B384,'Zoho Dump'!$T$8:$T$3007,"Delivered",'Zoho Dump'!$R$8:$R$3007,"&gt;="&amp;Settings!$B$4))</f>
        <v>0</v>
      </c>
      <c r="D384" s="17" t="n">
        <f aca="false">IF($B384="",0,SUMIFS('Zoho Dump'!$X$8:$X$3007,'Zoho Dump'!$N$8:$N$3007,$B384,'Zoho Dump'!$T$8:$T$3007,"Backlog")+SUMIFS(Adjustments!$K$8:$K$207,Adjustments!$B$8:$B$207,$B384,Adjustments!$H$8:$H$207,"Backlog"))</f>
        <v>0</v>
      </c>
      <c r="E384" s="17" t="n">
        <f aca="false">IF($B384="",0,SUMIFS('Zoho Dump'!$Y$8:$Y$3007,'Zoho Dump'!$N$8:$N$3007,$B384,'Zoho Dump'!$T$8:$T$3007,"Pipeline")+SUMIFS(Adjustments!$L$8:$L$207,Adjustments!$B$8:$B$207,$B384,Adjustments!$H$8:$H$207,"Pipeline")+SUMIFS('Zoho Dump'!$Y$8:$Y$3007,'Zoho Dump'!$N$8:$N$3007,$B384,'Zoho Dump'!$T$8:$T$3007,"Overdue")+SUMIFS(Adjustments!$L$8:$L$207,Adjustments!$B$8:$B$207,$B384,Adjustments!$H$8:$H$207,"Overdue"))</f>
        <v>0</v>
      </c>
      <c r="F384" s="17" t="n">
        <f aca="false">IF($B384="",0,SUMIFS('Zoho Dump'!$X$8:$X$3007,'Zoho Dump'!$N$8:$N$3007,$B384,'Zoho Dump'!$T$8:$T$3007,"Pipeline")+SUMIFS(Adjustments!$K$8:$K$207,Adjustments!$B$8:$B$207,$B384,Adjustments!$H$8:$H$207,"Pipeline")+SUMIFS('Zoho Dump'!$X$8:$X$3007,'Zoho Dump'!$N$8:$N$3007,$B384,'Zoho Dump'!$T$8:$T$3007,"Overdue")+SUMIFS(Adjustments!$K$8:$K$207,Adjustments!$B$8:$B$207,$B384,Adjustments!$H$8:$H$207,"Overdue"))</f>
        <v>0</v>
      </c>
      <c r="G384" s="17" t="n">
        <f aca="false">D384+F384</f>
        <v>0</v>
      </c>
      <c r="H384" s="18" t="n">
        <f aca="false">IF(SUM($G$5:$G$404)=0,0,G384/SUM($G$5:$G$404))</f>
        <v>0</v>
      </c>
      <c r="I384" s="17" t="n">
        <f aca="false">IF($B384="",0,SUMIFS('Zoho Dump'!$Q$8:$Q$3007,'Zoho Dump'!$N$8:$N$3007,$B384,'Zoho Dump'!$T$8:$T$3007,"Lost",'Zoho Dump'!$R$8:$R$3007,"&gt;="&amp;Settings!$B$4))</f>
        <v>0</v>
      </c>
      <c r="J384" s="9" t="str">
        <f aca="false">IF($B384="","",IF(COUNTIF(Dashboard!$C$13:$C$22,$B384)&gt;0,"Yes",""))</f>
        <v/>
      </c>
      <c r="K384" s="17" t="n">
        <f aca="false">IF($B384="",0,SUMIFS('Zoho Dump'!$X$8:$X$3007,'Zoho Dump'!$N$8:$N$3007,$B384,'Zoho Dump'!$P$8:$P$3007,Settings!$A$12)+SUMIFS(Adjustments!$K$8:$K$207,Adjustments!$B$8:$B$207,$B384,Adjustments!$A$8:$A$207,Settings!$A$12))</f>
        <v>0</v>
      </c>
      <c r="L384" s="17" t="n">
        <f aca="false">IF($B384="",0,SUMIFS('Zoho Dump'!$X$8:$X$3007,'Zoho Dump'!$N$8:$N$3007,$B384,'Zoho Dump'!$P$8:$P$3007,Settings!$A$13)+SUMIFS(Adjustments!$K$8:$K$207,Adjustments!$B$8:$B$207,$B384,Adjustments!$A$8:$A$207,Settings!$A$13))</f>
        <v>0</v>
      </c>
      <c r="M384" s="17" t="n">
        <f aca="false">IF($B384="",0,SUMIFS('Zoho Dump'!$X$8:$X$3007,'Zoho Dump'!$N$8:$N$3007,$B384,'Zoho Dump'!$P$8:$P$3007,Settings!$A$14)+SUMIFS(Adjustments!$K$8:$K$207,Adjustments!$B$8:$B$207,$B384,Adjustments!$A$8:$A$207,Settings!$A$14))</f>
        <v>0</v>
      </c>
      <c r="N384" s="17" t="n">
        <f aca="false">IF($B384="",0,SUMIFS('Zoho Dump'!$X$8:$X$3007,'Zoho Dump'!$N$8:$N$3007,$B384,'Zoho Dump'!$P$8:$P$3007,Settings!$A$15)+SUMIFS(Adjustments!$K$8:$K$207,Adjustments!$B$8:$B$207,$B384,Adjustments!$A$8:$A$207,Settings!$A$15))</f>
        <v>0</v>
      </c>
      <c r="O384" s="17" t="n">
        <f aca="false">IF($B384="",0,SUMIFS('Zoho Dump'!$X$8:$X$3007,'Zoho Dump'!$N$8:$N$3007,$B384,'Zoho Dump'!$P$8:$P$3007,Settings!$A$16)+SUMIFS(Adjustments!$K$8:$K$207,Adjustments!$B$8:$B$207,$B384,Adjustments!$A$8:$A$207,Settings!$A$16))</f>
        <v>0</v>
      </c>
      <c r="P384" s="17" t="n">
        <f aca="false">IF($B384="",0,SUMIFS('Zoho Dump'!$X$8:$X$3007,'Zoho Dump'!$N$8:$N$3007,$B384,'Zoho Dump'!$P$8:$P$3007,Settings!$A$17)+SUMIFS(Adjustments!$K$8:$K$207,Adjustments!$B$8:$B$207,$B384,Adjustments!$A$8:$A$207,Settings!$A$17))</f>
        <v>0</v>
      </c>
      <c r="Q384" s="17" t="n">
        <f aca="false">IF($B384="",0,SUMIFS('Zoho Dump'!$X$8:$X$3007,'Zoho Dump'!$N$8:$N$3007,$B384,'Zoho Dump'!$P$8:$P$3007,Settings!$A$18)+SUMIFS(Adjustments!$K$8:$K$207,Adjustments!$B$8:$B$207,$B384,Adjustments!$A$8:$A$207,Settings!$A$18))</f>
        <v>0</v>
      </c>
      <c r="R384" s="30" t="str">
        <f aca="false">IF(G384&gt;0,G384+A384/10000000,"")</f>
        <v/>
      </c>
    </row>
    <row r="385" customFormat="false" ht="15" hidden="false" customHeight="false" outlineLevel="0" collapsed="false">
      <c r="A385" s="9" t="n">
        <v>381</v>
      </c>
      <c r="B385" s="9" t="str">
        <f aca="false">IFERROR(INDEX('Zoho Dump'!$N$8:$N$3007,MATCH(A385,'Zoho Dump'!$AB$8:$AB$3007,0)),"")</f>
        <v/>
      </c>
      <c r="C385" s="17" t="n">
        <f aca="false">IF($B385="",0,SUMIFS('Zoho Dump'!$Q$8:$Q$3007,'Zoho Dump'!$N$8:$N$3007,$B385,'Zoho Dump'!$T$8:$T$3007,"Delivered",'Zoho Dump'!$R$8:$R$3007,"&gt;="&amp;Settings!$B$4))</f>
        <v>0</v>
      </c>
      <c r="D385" s="17" t="n">
        <f aca="false">IF($B385="",0,SUMIFS('Zoho Dump'!$X$8:$X$3007,'Zoho Dump'!$N$8:$N$3007,$B385,'Zoho Dump'!$T$8:$T$3007,"Backlog")+SUMIFS(Adjustments!$K$8:$K$207,Adjustments!$B$8:$B$207,$B385,Adjustments!$H$8:$H$207,"Backlog"))</f>
        <v>0</v>
      </c>
      <c r="E385" s="17" t="n">
        <f aca="false">IF($B385="",0,SUMIFS('Zoho Dump'!$Y$8:$Y$3007,'Zoho Dump'!$N$8:$N$3007,$B385,'Zoho Dump'!$T$8:$T$3007,"Pipeline")+SUMIFS(Adjustments!$L$8:$L$207,Adjustments!$B$8:$B$207,$B385,Adjustments!$H$8:$H$207,"Pipeline")+SUMIFS('Zoho Dump'!$Y$8:$Y$3007,'Zoho Dump'!$N$8:$N$3007,$B385,'Zoho Dump'!$T$8:$T$3007,"Overdue")+SUMIFS(Adjustments!$L$8:$L$207,Adjustments!$B$8:$B$207,$B385,Adjustments!$H$8:$H$207,"Overdue"))</f>
        <v>0</v>
      </c>
      <c r="F385" s="17" t="n">
        <f aca="false">IF($B385="",0,SUMIFS('Zoho Dump'!$X$8:$X$3007,'Zoho Dump'!$N$8:$N$3007,$B385,'Zoho Dump'!$T$8:$T$3007,"Pipeline")+SUMIFS(Adjustments!$K$8:$K$207,Adjustments!$B$8:$B$207,$B385,Adjustments!$H$8:$H$207,"Pipeline")+SUMIFS('Zoho Dump'!$X$8:$X$3007,'Zoho Dump'!$N$8:$N$3007,$B385,'Zoho Dump'!$T$8:$T$3007,"Overdue")+SUMIFS(Adjustments!$K$8:$K$207,Adjustments!$B$8:$B$207,$B385,Adjustments!$H$8:$H$207,"Overdue"))</f>
        <v>0</v>
      </c>
      <c r="G385" s="17" t="n">
        <f aca="false">D385+F385</f>
        <v>0</v>
      </c>
      <c r="H385" s="18" t="n">
        <f aca="false">IF(SUM($G$5:$G$404)=0,0,G385/SUM($G$5:$G$404))</f>
        <v>0</v>
      </c>
      <c r="I385" s="17" t="n">
        <f aca="false">IF($B385="",0,SUMIFS('Zoho Dump'!$Q$8:$Q$3007,'Zoho Dump'!$N$8:$N$3007,$B385,'Zoho Dump'!$T$8:$T$3007,"Lost",'Zoho Dump'!$R$8:$R$3007,"&gt;="&amp;Settings!$B$4))</f>
        <v>0</v>
      </c>
      <c r="J385" s="9" t="str">
        <f aca="false">IF($B385="","",IF(COUNTIF(Dashboard!$C$13:$C$22,$B385)&gt;0,"Yes",""))</f>
        <v/>
      </c>
      <c r="K385" s="17" t="n">
        <f aca="false">IF($B385="",0,SUMIFS('Zoho Dump'!$X$8:$X$3007,'Zoho Dump'!$N$8:$N$3007,$B385,'Zoho Dump'!$P$8:$P$3007,Settings!$A$12)+SUMIFS(Adjustments!$K$8:$K$207,Adjustments!$B$8:$B$207,$B385,Adjustments!$A$8:$A$207,Settings!$A$12))</f>
        <v>0</v>
      </c>
      <c r="L385" s="17" t="n">
        <f aca="false">IF($B385="",0,SUMIFS('Zoho Dump'!$X$8:$X$3007,'Zoho Dump'!$N$8:$N$3007,$B385,'Zoho Dump'!$P$8:$P$3007,Settings!$A$13)+SUMIFS(Adjustments!$K$8:$K$207,Adjustments!$B$8:$B$207,$B385,Adjustments!$A$8:$A$207,Settings!$A$13))</f>
        <v>0</v>
      </c>
      <c r="M385" s="17" t="n">
        <f aca="false">IF($B385="",0,SUMIFS('Zoho Dump'!$X$8:$X$3007,'Zoho Dump'!$N$8:$N$3007,$B385,'Zoho Dump'!$P$8:$P$3007,Settings!$A$14)+SUMIFS(Adjustments!$K$8:$K$207,Adjustments!$B$8:$B$207,$B385,Adjustments!$A$8:$A$207,Settings!$A$14))</f>
        <v>0</v>
      </c>
      <c r="N385" s="17" t="n">
        <f aca="false">IF($B385="",0,SUMIFS('Zoho Dump'!$X$8:$X$3007,'Zoho Dump'!$N$8:$N$3007,$B385,'Zoho Dump'!$P$8:$P$3007,Settings!$A$15)+SUMIFS(Adjustments!$K$8:$K$207,Adjustments!$B$8:$B$207,$B385,Adjustments!$A$8:$A$207,Settings!$A$15))</f>
        <v>0</v>
      </c>
      <c r="O385" s="17" t="n">
        <f aca="false">IF($B385="",0,SUMIFS('Zoho Dump'!$X$8:$X$3007,'Zoho Dump'!$N$8:$N$3007,$B385,'Zoho Dump'!$P$8:$P$3007,Settings!$A$16)+SUMIFS(Adjustments!$K$8:$K$207,Adjustments!$B$8:$B$207,$B385,Adjustments!$A$8:$A$207,Settings!$A$16))</f>
        <v>0</v>
      </c>
      <c r="P385" s="17" t="n">
        <f aca="false">IF($B385="",0,SUMIFS('Zoho Dump'!$X$8:$X$3007,'Zoho Dump'!$N$8:$N$3007,$B385,'Zoho Dump'!$P$8:$P$3007,Settings!$A$17)+SUMIFS(Adjustments!$K$8:$K$207,Adjustments!$B$8:$B$207,$B385,Adjustments!$A$8:$A$207,Settings!$A$17))</f>
        <v>0</v>
      </c>
      <c r="Q385" s="17" t="n">
        <f aca="false">IF($B385="",0,SUMIFS('Zoho Dump'!$X$8:$X$3007,'Zoho Dump'!$N$8:$N$3007,$B385,'Zoho Dump'!$P$8:$P$3007,Settings!$A$18)+SUMIFS(Adjustments!$K$8:$K$207,Adjustments!$B$8:$B$207,$B385,Adjustments!$A$8:$A$207,Settings!$A$18))</f>
        <v>0</v>
      </c>
      <c r="R385" s="30" t="str">
        <f aca="false">IF(G385&gt;0,G385+A385/10000000,"")</f>
        <v/>
      </c>
    </row>
    <row r="386" customFormat="false" ht="15" hidden="false" customHeight="false" outlineLevel="0" collapsed="false">
      <c r="A386" s="9" t="n">
        <v>382</v>
      </c>
      <c r="B386" s="9" t="str">
        <f aca="false">IFERROR(INDEX('Zoho Dump'!$N$8:$N$3007,MATCH(A386,'Zoho Dump'!$AB$8:$AB$3007,0)),"")</f>
        <v/>
      </c>
      <c r="C386" s="17" t="n">
        <f aca="false">IF($B386="",0,SUMIFS('Zoho Dump'!$Q$8:$Q$3007,'Zoho Dump'!$N$8:$N$3007,$B386,'Zoho Dump'!$T$8:$T$3007,"Delivered",'Zoho Dump'!$R$8:$R$3007,"&gt;="&amp;Settings!$B$4))</f>
        <v>0</v>
      </c>
      <c r="D386" s="17" t="n">
        <f aca="false">IF($B386="",0,SUMIFS('Zoho Dump'!$X$8:$X$3007,'Zoho Dump'!$N$8:$N$3007,$B386,'Zoho Dump'!$T$8:$T$3007,"Backlog")+SUMIFS(Adjustments!$K$8:$K$207,Adjustments!$B$8:$B$207,$B386,Adjustments!$H$8:$H$207,"Backlog"))</f>
        <v>0</v>
      </c>
      <c r="E386" s="17" t="n">
        <f aca="false">IF($B386="",0,SUMIFS('Zoho Dump'!$Y$8:$Y$3007,'Zoho Dump'!$N$8:$N$3007,$B386,'Zoho Dump'!$T$8:$T$3007,"Pipeline")+SUMIFS(Adjustments!$L$8:$L$207,Adjustments!$B$8:$B$207,$B386,Adjustments!$H$8:$H$207,"Pipeline")+SUMIFS('Zoho Dump'!$Y$8:$Y$3007,'Zoho Dump'!$N$8:$N$3007,$B386,'Zoho Dump'!$T$8:$T$3007,"Overdue")+SUMIFS(Adjustments!$L$8:$L$207,Adjustments!$B$8:$B$207,$B386,Adjustments!$H$8:$H$207,"Overdue"))</f>
        <v>0</v>
      </c>
      <c r="F386" s="17" t="n">
        <f aca="false">IF($B386="",0,SUMIFS('Zoho Dump'!$X$8:$X$3007,'Zoho Dump'!$N$8:$N$3007,$B386,'Zoho Dump'!$T$8:$T$3007,"Pipeline")+SUMIFS(Adjustments!$K$8:$K$207,Adjustments!$B$8:$B$207,$B386,Adjustments!$H$8:$H$207,"Pipeline")+SUMIFS('Zoho Dump'!$X$8:$X$3007,'Zoho Dump'!$N$8:$N$3007,$B386,'Zoho Dump'!$T$8:$T$3007,"Overdue")+SUMIFS(Adjustments!$K$8:$K$207,Adjustments!$B$8:$B$207,$B386,Adjustments!$H$8:$H$207,"Overdue"))</f>
        <v>0</v>
      </c>
      <c r="G386" s="17" t="n">
        <f aca="false">D386+F386</f>
        <v>0</v>
      </c>
      <c r="H386" s="18" t="n">
        <f aca="false">IF(SUM($G$5:$G$404)=0,0,G386/SUM($G$5:$G$404))</f>
        <v>0</v>
      </c>
      <c r="I386" s="17" t="n">
        <f aca="false">IF($B386="",0,SUMIFS('Zoho Dump'!$Q$8:$Q$3007,'Zoho Dump'!$N$8:$N$3007,$B386,'Zoho Dump'!$T$8:$T$3007,"Lost",'Zoho Dump'!$R$8:$R$3007,"&gt;="&amp;Settings!$B$4))</f>
        <v>0</v>
      </c>
      <c r="J386" s="9" t="str">
        <f aca="false">IF($B386="","",IF(COUNTIF(Dashboard!$C$13:$C$22,$B386)&gt;0,"Yes",""))</f>
        <v/>
      </c>
      <c r="K386" s="17" t="n">
        <f aca="false">IF($B386="",0,SUMIFS('Zoho Dump'!$X$8:$X$3007,'Zoho Dump'!$N$8:$N$3007,$B386,'Zoho Dump'!$P$8:$P$3007,Settings!$A$12)+SUMIFS(Adjustments!$K$8:$K$207,Adjustments!$B$8:$B$207,$B386,Adjustments!$A$8:$A$207,Settings!$A$12))</f>
        <v>0</v>
      </c>
      <c r="L386" s="17" t="n">
        <f aca="false">IF($B386="",0,SUMIFS('Zoho Dump'!$X$8:$X$3007,'Zoho Dump'!$N$8:$N$3007,$B386,'Zoho Dump'!$P$8:$P$3007,Settings!$A$13)+SUMIFS(Adjustments!$K$8:$K$207,Adjustments!$B$8:$B$207,$B386,Adjustments!$A$8:$A$207,Settings!$A$13))</f>
        <v>0</v>
      </c>
      <c r="M386" s="17" t="n">
        <f aca="false">IF($B386="",0,SUMIFS('Zoho Dump'!$X$8:$X$3007,'Zoho Dump'!$N$8:$N$3007,$B386,'Zoho Dump'!$P$8:$P$3007,Settings!$A$14)+SUMIFS(Adjustments!$K$8:$K$207,Adjustments!$B$8:$B$207,$B386,Adjustments!$A$8:$A$207,Settings!$A$14))</f>
        <v>0</v>
      </c>
      <c r="N386" s="17" t="n">
        <f aca="false">IF($B386="",0,SUMIFS('Zoho Dump'!$X$8:$X$3007,'Zoho Dump'!$N$8:$N$3007,$B386,'Zoho Dump'!$P$8:$P$3007,Settings!$A$15)+SUMIFS(Adjustments!$K$8:$K$207,Adjustments!$B$8:$B$207,$B386,Adjustments!$A$8:$A$207,Settings!$A$15))</f>
        <v>0</v>
      </c>
      <c r="O386" s="17" t="n">
        <f aca="false">IF($B386="",0,SUMIFS('Zoho Dump'!$X$8:$X$3007,'Zoho Dump'!$N$8:$N$3007,$B386,'Zoho Dump'!$P$8:$P$3007,Settings!$A$16)+SUMIFS(Adjustments!$K$8:$K$207,Adjustments!$B$8:$B$207,$B386,Adjustments!$A$8:$A$207,Settings!$A$16))</f>
        <v>0</v>
      </c>
      <c r="P386" s="17" t="n">
        <f aca="false">IF($B386="",0,SUMIFS('Zoho Dump'!$X$8:$X$3007,'Zoho Dump'!$N$8:$N$3007,$B386,'Zoho Dump'!$P$8:$P$3007,Settings!$A$17)+SUMIFS(Adjustments!$K$8:$K$207,Adjustments!$B$8:$B$207,$B386,Adjustments!$A$8:$A$207,Settings!$A$17))</f>
        <v>0</v>
      </c>
      <c r="Q386" s="17" t="n">
        <f aca="false">IF($B386="",0,SUMIFS('Zoho Dump'!$X$8:$X$3007,'Zoho Dump'!$N$8:$N$3007,$B386,'Zoho Dump'!$P$8:$P$3007,Settings!$A$18)+SUMIFS(Adjustments!$K$8:$K$207,Adjustments!$B$8:$B$207,$B386,Adjustments!$A$8:$A$207,Settings!$A$18))</f>
        <v>0</v>
      </c>
      <c r="R386" s="30" t="str">
        <f aca="false">IF(G386&gt;0,G386+A386/10000000,"")</f>
        <v/>
      </c>
    </row>
    <row r="387" customFormat="false" ht="15" hidden="false" customHeight="false" outlineLevel="0" collapsed="false">
      <c r="A387" s="9" t="n">
        <v>383</v>
      </c>
      <c r="B387" s="9" t="str">
        <f aca="false">IFERROR(INDEX('Zoho Dump'!$N$8:$N$3007,MATCH(A387,'Zoho Dump'!$AB$8:$AB$3007,0)),"")</f>
        <v/>
      </c>
      <c r="C387" s="17" t="n">
        <f aca="false">IF($B387="",0,SUMIFS('Zoho Dump'!$Q$8:$Q$3007,'Zoho Dump'!$N$8:$N$3007,$B387,'Zoho Dump'!$T$8:$T$3007,"Delivered",'Zoho Dump'!$R$8:$R$3007,"&gt;="&amp;Settings!$B$4))</f>
        <v>0</v>
      </c>
      <c r="D387" s="17" t="n">
        <f aca="false">IF($B387="",0,SUMIFS('Zoho Dump'!$X$8:$X$3007,'Zoho Dump'!$N$8:$N$3007,$B387,'Zoho Dump'!$T$8:$T$3007,"Backlog")+SUMIFS(Adjustments!$K$8:$K$207,Adjustments!$B$8:$B$207,$B387,Adjustments!$H$8:$H$207,"Backlog"))</f>
        <v>0</v>
      </c>
      <c r="E387" s="17" t="n">
        <f aca="false">IF($B387="",0,SUMIFS('Zoho Dump'!$Y$8:$Y$3007,'Zoho Dump'!$N$8:$N$3007,$B387,'Zoho Dump'!$T$8:$T$3007,"Pipeline")+SUMIFS(Adjustments!$L$8:$L$207,Adjustments!$B$8:$B$207,$B387,Adjustments!$H$8:$H$207,"Pipeline")+SUMIFS('Zoho Dump'!$Y$8:$Y$3007,'Zoho Dump'!$N$8:$N$3007,$B387,'Zoho Dump'!$T$8:$T$3007,"Overdue")+SUMIFS(Adjustments!$L$8:$L$207,Adjustments!$B$8:$B$207,$B387,Adjustments!$H$8:$H$207,"Overdue"))</f>
        <v>0</v>
      </c>
      <c r="F387" s="17" t="n">
        <f aca="false">IF($B387="",0,SUMIFS('Zoho Dump'!$X$8:$X$3007,'Zoho Dump'!$N$8:$N$3007,$B387,'Zoho Dump'!$T$8:$T$3007,"Pipeline")+SUMIFS(Adjustments!$K$8:$K$207,Adjustments!$B$8:$B$207,$B387,Adjustments!$H$8:$H$207,"Pipeline")+SUMIFS('Zoho Dump'!$X$8:$X$3007,'Zoho Dump'!$N$8:$N$3007,$B387,'Zoho Dump'!$T$8:$T$3007,"Overdue")+SUMIFS(Adjustments!$K$8:$K$207,Adjustments!$B$8:$B$207,$B387,Adjustments!$H$8:$H$207,"Overdue"))</f>
        <v>0</v>
      </c>
      <c r="G387" s="17" t="n">
        <f aca="false">D387+F387</f>
        <v>0</v>
      </c>
      <c r="H387" s="18" t="n">
        <f aca="false">IF(SUM($G$5:$G$404)=0,0,G387/SUM($G$5:$G$404))</f>
        <v>0</v>
      </c>
      <c r="I387" s="17" t="n">
        <f aca="false">IF($B387="",0,SUMIFS('Zoho Dump'!$Q$8:$Q$3007,'Zoho Dump'!$N$8:$N$3007,$B387,'Zoho Dump'!$T$8:$T$3007,"Lost",'Zoho Dump'!$R$8:$R$3007,"&gt;="&amp;Settings!$B$4))</f>
        <v>0</v>
      </c>
      <c r="J387" s="9" t="str">
        <f aca="false">IF($B387="","",IF(COUNTIF(Dashboard!$C$13:$C$22,$B387)&gt;0,"Yes",""))</f>
        <v/>
      </c>
      <c r="K387" s="17" t="n">
        <f aca="false">IF($B387="",0,SUMIFS('Zoho Dump'!$X$8:$X$3007,'Zoho Dump'!$N$8:$N$3007,$B387,'Zoho Dump'!$P$8:$P$3007,Settings!$A$12)+SUMIFS(Adjustments!$K$8:$K$207,Adjustments!$B$8:$B$207,$B387,Adjustments!$A$8:$A$207,Settings!$A$12))</f>
        <v>0</v>
      </c>
      <c r="L387" s="17" t="n">
        <f aca="false">IF($B387="",0,SUMIFS('Zoho Dump'!$X$8:$X$3007,'Zoho Dump'!$N$8:$N$3007,$B387,'Zoho Dump'!$P$8:$P$3007,Settings!$A$13)+SUMIFS(Adjustments!$K$8:$K$207,Adjustments!$B$8:$B$207,$B387,Adjustments!$A$8:$A$207,Settings!$A$13))</f>
        <v>0</v>
      </c>
      <c r="M387" s="17" t="n">
        <f aca="false">IF($B387="",0,SUMIFS('Zoho Dump'!$X$8:$X$3007,'Zoho Dump'!$N$8:$N$3007,$B387,'Zoho Dump'!$P$8:$P$3007,Settings!$A$14)+SUMIFS(Adjustments!$K$8:$K$207,Adjustments!$B$8:$B$207,$B387,Adjustments!$A$8:$A$207,Settings!$A$14))</f>
        <v>0</v>
      </c>
      <c r="N387" s="17" t="n">
        <f aca="false">IF($B387="",0,SUMIFS('Zoho Dump'!$X$8:$X$3007,'Zoho Dump'!$N$8:$N$3007,$B387,'Zoho Dump'!$P$8:$P$3007,Settings!$A$15)+SUMIFS(Adjustments!$K$8:$K$207,Adjustments!$B$8:$B$207,$B387,Adjustments!$A$8:$A$207,Settings!$A$15))</f>
        <v>0</v>
      </c>
      <c r="O387" s="17" t="n">
        <f aca="false">IF($B387="",0,SUMIFS('Zoho Dump'!$X$8:$X$3007,'Zoho Dump'!$N$8:$N$3007,$B387,'Zoho Dump'!$P$8:$P$3007,Settings!$A$16)+SUMIFS(Adjustments!$K$8:$K$207,Adjustments!$B$8:$B$207,$B387,Adjustments!$A$8:$A$207,Settings!$A$16))</f>
        <v>0</v>
      </c>
      <c r="P387" s="17" t="n">
        <f aca="false">IF($B387="",0,SUMIFS('Zoho Dump'!$X$8:$X$3007,'Zoho Dump'!$N$8:$N$3007,$B387,'Zoho Dump'!$P$8:$P$3007,Settings!$A$17)+SUMIFS(Adjustments!$K$8:$K$207,Adjustments!$B$8:$B$207,$B387,Adjustments!$A$8:$A$207,Settings!$A$17))</f>
        <v>0</v>
      </c>
      <c r="Q387" s="17" t="n">
        <f aca="false">IF($B387="",0,SUMIFS('Zoho Dump'!$X$8:$X$3007,'Zoho Dump'!$N$8:$N$3007,$B387,'Zoho Dump'!$P$8:$P$3007,Settings!$A$18)+SUMIFS(Adjustments!$K$8:$K$207,Adjustments!$B$8:$B$207,$B387,Adjustments!$A$8:$A$207,Settings!$A$18))</f>
        <v>0</v>
      </c>
      <c r="R387" s="30" t="str">
        <f aca="false">IF(G387&gt;0,G387+A387/10000000,"")</f>
        <v/>
      </c>
    </row>
    <row r="388" customFormat="false" ht="15" hidden="false" customHeight="false" outlineLevel="0" collapsed="false">
      <c r="A388" s="9" t="n">
        <v>384</v>
      </c>
      <c r="B388" s="9" t="str">
        <f aca="false">IFERROR(INDEX('Zoho Dump'!$N$8:$N$3007,MATCH(A388,'Zoho Dump'!$AB$8:$AB$3007,0)),"")</f>
        <v/>
      </c>
      <c r="C388" s="17" t="n">
        <f aca="false">IF($B388="",0,SUMIFS('Zoho Dump'!$Q$8:$Q$3007,'Zoho Dump'!$N$8:$N$3007,$B388,'Zoho Dump'!$T$8:$T$3007,"Delivered",'Zoho Dump'!$R$8:$R$3007,"&gt;="&amp;Settings!$B$4))</f>
        <v>0</v>
      </c>
      <c r="D388" s="17" t="n">
        <f aca="false">IF($B388="",0,SUMIFS('Zoho Dump'!$X$8:$X$3007,'Zoho Dump'!$N$8:$N$3007,$B388,'Zoho Dump'!$T$8:$T$3007,"Backlog")+SUMIFS(Adjustments!$K$8:$K$207,Adjustments!$B$8:$B$207,$B388,Adjustments!$H$8:$H$207,"Backlog"))</f>
        <v>0</v>
      </c>
      <c r="E388" s="17" t="n">
        <f aca="false">IF($B388="",0,SUMIFS('Zoho Dump'!$Y$8:$Y$3007,'Zoho Dump'!$N$8:$N$3007,$B388,'Zoho Dump'!$T$8:$T$3007,"Pipeline")+SUMIFS(Adjustments!$L$8:$L$207,Adjustments!$B$8:$B$207,$B388,Adjustments!$H$8:$H$207,"Pipeline")+SUMIFS('Zoho Dump'!$Y$8:$Y$3007,'Zoho Dump'!$N$8:$N$3007,$B388,'Zoho Dump'!$T$8:$T$3007,"Overdue")+SUMIFS(Adjustments!$L$8:$L$207,Adjustments!$B$8:$B$207,$B388,Adjustments!$H$8:$H$207,"Overdue"))</f>
        <v>0</v>
      </c>
      <c r="F388" s="17" t="n">
        <f aca="false">IF($B388="",0,SUMIFS('Zoho Dump'!$X$8:$X$3007,'Zoho Dump'!$N$8:$N$3007,$B388,'Zoho Dump'!$T$8:$T$3007,"Pipeline")+SUMIFS(Adjustments!$K$8:$K$207,Adjustments!$B$8:$B$207,$B388,Adjustments!$H$8:$H$207,"Pipeline")+SUMIFS('Zoho Dump'!$X$8:$X$3007,'Zoho Dump'!$N$8:$N$3007,$B388,'Zoho Dump'!$T$8:$T$3007,"Overdue")+SUMIFS(Adjustments!$K$8:$K$207,Adjustments!$B$8:$B$207,$B388,Adjustments!$H$8:$H$207,"Overdue"))</f>
        <v>0</v>
      </c>
      <c r="G388" s="17" t="n">
        <f aca="false">D388+F388</f>
        <v>0</v>
      </c>
      <c r="H388" s="18" t="n">
        <f aca="false">IF(SUM($G$5:$G$404)=0,0,G388/SUM($G$5:$G$404))</f>
        <v>0</v>
      </c>
      <c r="I388" s="17" t="n">
        <f aca="false">IF($B388="",0,SUMIFS('Zoho Dump'!$Q$8:$Q$3007,'Zoho Dump'!$N$8:$N$3007,$B388,'Zoho Dump'!$T$8:$T$3007,"Lost",'Zoho Dump'!$R$8:$R$3007,"&gt;="&amp;Settings!$B$4))</f>
        <v>0</v>
      </c>
      <c r="J388" s="9" t="str">
        <f aca="false">IF($B388="","",IF(COUNTIF(Dashboard!$C$13:$C$22,$B388)&gt;0,"Yes",""))</f>
        <v/>
      </c>
      <c r="K388" s="17" t="n">
        <f aca="false">IF($B388="",0,SUMIFS('Zoho Dump'!$X$8:$X$3007,'Zoho Dump'!$N$8:$N$3007,$B388,'Zoho Dump'!$P$8:$P$3007,Settings!$A$12)+SUMIFS(Adjustments!$K$8:$K$207,Adjustments!$B$8:$B$207,$B388,Adjustments!$A$8:$A$207,Settings!$A$12))</f>
        <v>0</v>
      </c>
      <c r="L388" s="17" t="n">
        <f aca="false">IF($B388="",0,SUMIFS('Zoho Dump'!$X$8:$X$3007,'Zoho Dump'!$N$8:$N$3007,$B388,'Zoho Dump'!$P$8:$P$3007,Settings!$A$13)+SUMIFS(Adjustments!$K$8:$K$207,Adjustments!$B$8:$B$207,$B388,Adjustments!$A$8:$A$207,Settings!$A$13))</f>
        <v>0</v>
      </c>
      <c r="M388" s="17" t="n">
        <f aca="false">IF($B388="",0,SUMIFS('Zoho Dump'!$X$8:$X$3007,'Zoho Dump'!$N$8:$N$3007,$B388,'Zoho Dump'!$P$8:$P$3007,Settings!$A$14)+SUMIFS(Adjustments!$K$8:$K$207,Adjustments!$B$8:$B$207,$B388,Adjustments!$A$8:$A$207,Settings!$A$14))</f>
        <v>0</v>
      </c>
      <c r="N388" s="17" t="n">
        <f aca="false">IF($B388="",0,SUMIFS('Zoho Dump'!$X$8:$X$3007,'Zoho Dump'!$N$8:$N$3007,$B388,'Zoho Dump'!$P$8:$P$3007,Settings!$A$15)+SUMIFS(Adjustments!$K$8:$K$207,Adjustments!$B$8:$B$207,$B388,Adjustments!$A$8:$A$207,Settings!$A$15))</f>
        <v>0</v>
      </c>
      <c r="O388" s="17" t="n">
        <f aca="false">IF($B388="",0,SUMIFS('Zoho Dump'!$X$8:$X$3007,'Zoho Dump'!$N$8:$N$3007,$B388,'Zoho Dump'!$P$8:$P$3007,Settings!$A$16)+SUMIFS(Adjustments!$K$8:$K$207,Adjustments!$B$8:$B$207,$B388,Adjustments!$A$8:$A$207,Settings!$A$16))</f>
        <v>0</v>
      </c>
      <c r="P388" s="17" t="n">
        <f aca="false">IF($B388="",0,SUMIFS('Zoho Dump'!$X$8:$X$3007,'Zoho Dump'!$N$8:$N$3007,$B388,'Zoho Dump'!$P$8:$P$3007,Settings!$A$17)+SUMIFS(Adjustments!$K$8:$K$207,Adjustments!$B$8:$B$207,$B388,Adjustments!$A$8:$A$207,Settings!$A$17))</f>
        <v>0</v>
      </c>
      <c r="Q388" s="17" t="n">
        <f aca="false">IF($B388="",0,SUMIFS('Zoho Dump'!$X$8:$X$3007,'Zoho Dump'!$N$8:$N$3007,$B388,'Zoho Dump'!$P$8:$P$3007,Settings!$A$18)+SUMIFS(Adjustments!$K$8:$K$207,Adjustments!$B$8:$B$207,$B388,Adjustments!$A$8:$A$207,Settings!$A$18))</f>
        <v>0</v>
      </c>
      <c r="R388" s="30" t="str">
        <f aca="false">IF(G388&gt;0,G388+A388/10000000,"")</f>
        <v/>
      </c>
    </row>
    <row r="389" customFormat="false" ht="15" hidden="false" customHeight="false" outlineLevel="0" collapsed="false">
      <c r="A389" s="9" t="n">
        <v>385</v>
      </c>
      <c r="B389" s="9" t="str">
        <f aca="false">IFERROR(INDEX('Zoho Dump'!$N$8:$N$3007,MATCH(A389,'Zoho Dump'!$AB$8:$AB$3007,0)),"")</f>
        <v/>
      </c>
      <c r="C389" s="17" t="n">
        <f aca="false">IF($B389="",0,SUMIFS('Zoho Dump'!$Q$8:$Q$3007,'Zoho Dump'!$N$8:$N$3007,$B389,'Zoho Dump'!$T$8:$T$3007,"Delivered",'Zoho Dump'!$R$8:$R$3007,"&gt;="&amp;Settings!$B$4))</f>
        <v>0</v>
      </c>
      <c r="D389" s="17" t="n">
        <f aca="false">IF($B389="",0,SUMIFS('Zoho Dump'!$X$8:$X$3007,'Zoho Dump'!$N$8:$N$3007,$B389,'Zoho Dump'!$T$8:$T$3007,"Backlog")+SUMIFS(Adjustments!$K$8:$K$207,Adjustments!$B$8:$B$207,$B389,Adjustments!$H$8:$H$207,"Backlog"))</f>
        <v>0</v>
      </c>
      <c r="E389" s="17" t="n">
        <f aca="false">IF($B389="",0,SUMIFS('Zoho Dump'!$Y$8:$Y$3007,'Zoho Dump'!$N$8:$N$3007,$B389,'Zoho Dump'!$T$8:$T$3007,"Pipeline")+SUMIFS(Adjustments!$L$8:$L$207,Adjustments!$B$8:$B$207,$B389,Adjustments!$H$8:$H$207,"Pipeline")+SUMIFS('Zoho Dump'!$Y$8:$Y$3007,'Zoho Dump'!$N$8:$N$3007,$B389,'Zoho Dump'!$T$8:$T$3007,"Overdue")+SUMIFS(Adjustments!$L$8:$L$207,Adjustments!$B$8:$B$207,$B389,Adjustments!$H$8:$H$207,"Overdue"))</f>
        <v>0</v>
      </c>
      <c r="F389" s="17" t="n">
        <f aca="false">IF($B389="",0,SUMIFS('Zoho Dump'!$X$8:$X$3007,'Zoho Dump'!$N$8:$N$3007,$B389,'Zoho Dump'!$T$8:$T$3007,"Pipeline")+SUMIFS(Adjustments!$K$8:$K$207,Adjustments!$B$8:$B$207,$B389,Adjustments!$H$8:$H$207,"Pipeline")+SUMIFS('Zoho Dump'!$X$8:$X$3007,'Zoho Dump'!$N$8:$N$3007,$B389,'Zoho Dump'!$T$8:$T$3007,"Overdue")+SUMIFS(Adjustments!$K$8:$K$207,Adjustments!$B$8:$B$207,$B389,Adjustments!$H$8:$H$207,"Overdue"))</f>
        <v>0</v>
      </c>
      <c r="G389" s="17" t="n">
        <f aca="false">D389+F389</f>
        <v>0</v>
      </c>
      <c r="H389" s="18" t="n">
        <f aca="false">IF(SUM($G$5:$G$404)=0,0,G389/SUM($G$5:$G$404))</f>
        <v>0</v>
      </c>
      <c r="I389" s="17" t="n">
        <f aca="false">IF($B389="",0,SUMIFS('Zoho Dump'!$Q$8:$Q$3007,'Zoho Dump'!$N$8:$N$3007,$B389,'Zoho Dump'!$T$8:$T$3007,"Lost",'Zoho Dump'!$R$8:$R$3007,"&gt;="&amp;Settings!$B$4))</f>
        <v>0</v>
      </c>
      <c r="J389" s="9" t="str">
        <f aca="false">IF($B389="","",IF(COUNTIF(Dashboard!$C$13:$C$22,$B389)&gt;0,"Yes",""))</f>
        <v/>
      </c>
      <c r="K389" s="17" t="n">
        <f aca="false">IF($B389="",0,SUMIFS('Zoho Dump'!$X$8:$X$3007,'Zoho Dump'!$N$8:$N$3007,$B389,'Zoho Dump'!$P$8:$P$3007,Settings!$A$12)+SUMIFS(Adjustments!$K$8:$K$207,Adjustments!$B$8:$B$207,$B389,Adjustments!$A$8:$A$207,Settings!$A$12))</f>
        <v>0</v>
      </c>
      <c r="L389" s="17" t="n">
        <f aca="false">IF($B389="",0,SUMIFS('Zoho Dump'!$X$8:$X$3007,'Zoho Dump'!$N$8:$N$3007,$B389,'Zoho Dump'!$P$8:$P$3007,Settings!$A$13)+SUMIFS(Adjustments!$K$8:$K$207,Adjustments!$B$8:$B$207,$B389,Adjustments!$A$8:$A$207,Settings!$A$13))</f>
        <v>0</v>
      </c>
      <c r="M389" s="17" t="n">
        <f aca="false">IF($B389="",0,SUMIFS('Zoho Dump'!$X$8:$X$3007,'Zoho Dump'!$N$8:$N$3007,$B389,'Zoho Dump'!$P$8:$P$3007,Settings!$A$14)+SUMIFS(Adjustments!$K$8:$K$207,Adjustments!$B$8:$B$207,$B389,Adjustments!$A$8:$A$207,Settings!$A$14))</f>
        <v>0</v>
      </c>
      <c r="N389" s="17" t="n">
        <f aca="false">IF($B389="",0,SUMIFS('Zoho Dump'!$X$8:$X$3007,'Zoho Dump'!$N$8:$N$3007,$B389,'Zoho Dump'!$P$8:$P$3007,Settings!$A$15)+SUMIFS(Adjustments!$K$8:$K$207,Adjustments!$B$8:$B$207,$B389,Adjustments!$A$8:$A$207,Settings!$A$15))</f>
        <v>0</v>
      </c>
      <c r="O389" s="17" t="n">
        <f aca="false">IF($B389="",0,SUMIFS('Zoho Dump'!$X$8:$X$3007,'Zoho Dump'!$N$8:$N$3007,$B389,'Zoho Dump'!$P$8:$P$3007,Settings!$A$16)+SUMIFS(Adjustments!$K$8:$K$207,Adjustments!$B$8:$B$207,$B389,Adjustments!$A$8:$A$207,Settings!$A$16))</f>
        <v>0</v>
      </c>
      <c r="P389" s="17" t="n">
        <f aca="false">IF($B389="",0,SUMIFS('Zoho Dump'!$X$8:$X$3007,'Zoho Dump'!$N$8:$N$3007,$B389,'Zoho Dump'!$P$8:$P$3007,Settings!$A$17)+SUMIFS(Adjustments!$K$8:$K$207,Adjustments!$B$8:$B$207,$B389,Adjustments!$A$8:$A$207,Settings!$A$17))</f>
        <v>0</v>
      </c>
      <c r="Q389" s="17" t="n">
        <f aca="false">IF($B389="",0,SUMIFS('Zoho Dump'!$X$8:$X$3007,'Zoho Dump'!$N$8:$N$3007,$B389,'Zoho Dump'!$P$8:$P$3007,Settings!$A$18)+SUMIFS(Adjustments!$K$8:$K$207,Adjustments!$B$8:$B$207,$B389,Adjustments!$A$8:$A$207,Settings!$A$18))</f>
        <v>0</v>
      </c>
      <c r="R389" s="30" t="str">
        <f aca="false">IF(G389&gt;0,G389+A389/10000000,"")</f>
        <v/>
      </c>
    </row>
    <row r="390" customFormat="false" ht="15" hidden="false" customHeight="false" outlineLevel="0" collapsed="false">
      <c r="A390" s="9" t="n">
        <v>386</v>
      </c>
      <c r="B390" s="9" t="str">
        <f aca="false">IFERROR(INDEX('Zoho Dump'!$N$8:$N$3007,MATCH(A390,'Zoho Dump'!$AB$8:$AB$3007,0)),"")</f>
        <v/>
      </c>
      <c r="C390" s="17" t="n">
        <f aca="false">IF($B390="",0,SUMIFS('Zoho Dump'!$Q$8:$Q$3007,'Zoho Dump'!$N$8:$N$3007,$B390,'Zoho Dump'!$T$8:$T$3007,"Delivered",'Zoho Dump'!$R$8:$R$3007,"&gt;="&amp;Settings!$B$4))</f>
        <v>0</v>
      </c>
      <c r="D390" s="17" t="n">
        <f aca="false">IF($B390="",0,SUMIFS('Zoho Dump'!$X$8:$X$3007,'Zoho Dump'!$N$8:$N$3007,$B390,'Zoho Dump'!$T$8:$T$3007,"Backlog")+SUMIFS(Adjustments!$K$8:$K$207,Adjustments!$B$8:$B$207,$B390,Adjustments!$H$8:$H$207,"Backlog"))</f>
        <v>0</v>
      </c>
      <c r="E390" s="17" t="n">
        <f aca="false">IF($B390="",0,SUMIFS('Zoho Dump'!$Y$8:$Y$3007,'Zoho Dump'!$N$8:$N$3007,$B390,'Zoho Dump'!$T$8:$T$3007,"Pipeline")+SUMIFS(Adjustments!$L$8:$L$207,Adjustments!$B$8:$B$207,$B390,Adjustments!$H$8:$H$207,"Pipeline")+SUMIFS('Zoho Dump'!$Y$8:$Y$3007,'Zoho Dump'!$N$8:$N$3007,$B390,'Zoho Dump'!$T$8:$T$3007,"Overdue")+SUMIFS(Adjustments!$L$8:$L$207,Adjustments!$B$8:$B$207,$B390,Adjustments!$H$8:$H$207,"Overdue"))</f>
        <v>0</v>
      </c>
      <c r="F390" s="17" t="n">
        <f aca="false">IF($B390="",0,SUMIFS('Zoho Dump'!$X$8:$X$3007,'Zoho Dump'!$N$8:$N$3007,$B390,'Zoho Dump'!$T$8:$T$3007,"Pipeline")+SUMIFS(Adjustments!$K$8:$K$207,Adjustments!$B$8:$B$207,$B390,Adjustments!$H$8:$H$207,"Pipeline")+SUMIFS('Zoho Dump'!$X$8:$X$3007,'Zoho Dump'!$N$8:$N$3007,$B390,'Zoho Dump'!$T$8:$T$3007,"Overdue")+SUMIFS(Adjustments!$K$8:$K$207,Adjustments!$B$8:$B$207,$B390,Adjustments!$H$8:$H$207,"Overdue"))</f>
        <v>0</v>
      </c>
      <c r="G390" s="17" t="n">
        <f aca="false">D390+F390</f>
        <v>0</v>
      </c>
      <c r="H390" s="18" t="n">
        <f aca="false">IF(SUM($G$5:$G$404)=0,0,G390/SUM($G$5:$G$404))</f>
        <v>0</v>
      </c>
      <c r="I390" s="17" t="n">
        <f aca="false">IF($B390="",0,SUMIFS('Zoho Dump'!$Q$8:$Q$3007,'Zoho Dump'!$N$8:$N$3007,$B390,'Zoho Dump'!$T$8:$T$3007,"Lost",'Zoho Dump'!$R$8:$R$3007,"&gt;="&amp;Settings!$B$4))</f>
        <v>0</v>
      </c>
      <c r="J390" s="9" t="str">
        <f aca="false">IF($B390="","",IF(COUNTIF(Dashboard!$C$13:$C$22,$B390)&gt;0,"Yes",""))</f>
        <v/>
      </c>
      <c r="K390" s="17" t="n">
        <f aca="false">IF($B390="",0,SUMIFS('Zoho Dump'!$X$8:$X$3007,'Zoho Dump'!$N$8:$N$3007,$B390,'Zoho Dump'!$P$8:$P$3007,Settings!$A$12)+SUMIFS(Adjustments!$K$8:$K$207,Adjustments!$B$8:$B$207,$B390,Adjustments!$A$8:$A$207,Settings!$A$12))</f>
        <v>0</v>
      </c>
      <c r="L390" s="17" t="n">
        <f aca="false">IF($B390="",0,SUMIFS('Zoho Dump'!$X$8:$X$3007,'Zoho Dump'!$N$8:$N$3007,$B390,'Zoho Dump'!$P$8:$P$3007,Settings!$A$13)+SUMIFS(Adjustments!$K$8:$K$207,Adjustments!$B$8:$B$207,$B390,Adjustments!$A$8:$A$207,Settings!$A$13))</f>
        <v>0</v>
      </c>
      <c r="M390" s="17" t="n">
        <f aca="false">IF($B390="",0,SUMIFS('Zoho Dump'!$X$8:$X$3007,'Zoho Dump'!$N$8:$N$3007,$B390,'Zoho Dump'!$P$8:$P$3007,Settings!$A$14)+SUMIFS(Adjustments!$K$8:$K$207,Adjustments!$B$8:$B$207,$B390,Adjustments!$A$8:$A$207,Settings!$A$14))</f>
        <v>0</v>
      </c>
      <c r="N390" s="17" t="n">
        <f aca="false">IF($B390="",0,SUMIFS('Zoho Dump'!$X$8:$X$3007,'Zoho Dump'!$N$8:$N$3007,$B390,'Zoho Dump'!$P$8:$P$3007,Settings!$A$15)+SUMIFS(Adjustments!$K$8:$K$207,Adjustments!$B$8:$B$207,$B390,Adjustments!$A$8:$A$207,Settings!$A$15))</f>
        <v>0</v>
      </c>
      <c r="O390" s="17" t="n">
        <f aca="false">IF($B390="",0,SUMIFS('Zoho Dump'!$X$8:$X$3007,'Zoho Dump'!$N$8:$N$3007,$B390,'Zoho Dump'!$P$8:$P$3007,Settings!$A$16)+SUMIFS(Adjustments!$K$8:$K$207,Adjustments!$B$8:$B$207,$B390,Adjustments!$A$8:$A$207,Settings!$A$16))</f>
        <v>0</v>
      </c>
      <c r="P390" s="17" t="n">
        <f aca="false">IF($B390="",0,SUMIFS('Zoho Dump'!$X$8:$X$3007,'Zoho Dump'!$N$8:$N$3007,$B390,'Zoho Dump'!$P$8:$P$3007,Settings!$A$17)+SUMIFS(Adjustments!$K$8:$K$207,Adjustments!$B$8:$B$207,$B390,Adjustments!$A$8:$A$207,Settings!$A$17))</f>
        <v>0</v>
      </c>
      <c r="Q390" s="17" t="n">
        <f aca="false">IF($B390="",0,SUMIFS('Zoho Dump'!$X$8:$X$3007,'Zoho Dump'!$N$8:$N$3007,$B390,'Zoho Dump'!$P$8:$P$3007,Settings!$A$18)+SUMIFS(Adjustments!$K$8:$K$207,Adjustments!$B$8:$B$207,$B390,Adjustments!$A$8:$A$207,Settings!$A$18))</f>
        <v>0</v>
      </c>
      <c r="R390" s="30" t="str">
        <f aca="false">IF(G390&gt;0,G390+A390/10000000,"")</f>
        <v/>
      </c>
    </row>
    <row r="391" customFormat="false" ht="15" hidden="false" customHeight="false" outlineLevel="0" collapsed="false">
      <c r="A391" s="9" t="n">
        <v>387</v>
      </c>
      <c r="B391" s="9" t="str">
        <f aca="false">IFERROR(INDEX('Zoho Dump'!$N$8:$N$3007,MATCH(A391,'Zoho Dump'!$AB$8:$AB$3007,0)),"")</f>
        <v/>
      </c>
      <c r="C391" s="17" t="n">
        <f aca="false">IF($B391="",0,SUMIFS('Zoho Dump'!$Q$8:$Q$3007,'Zoho Dump'!$N$8:$N$3007,$B391,'Zoho Dump'!$T$8:$T$3007,"Delivered",'Zoho Dump'!$R$8:$R$3007,"&gt;="&amp;Settings!$B$4))</f>
        <v>0</v>
      </c>
      <c r="D391" s="17" t="n">
        <f aca="false">IF($B391="",0,SUMIFS('Zoho Dump'!$X$8:$X$3007,'Zoho Dump'!$N$8:$N$3007,$B391,'Zoho Dump'!$T$8:$T$3007,"Backlog")+SUMIFS(Adjustments!$K$8:$K$207,Adjustments!$B$8:$B$207,$B391,Adjustments!$H$8:$H$207,"Backlog"))</f>
        <v>0</v>
      </c>
      <c r="E391" s="17" t="n">
        <f aca="false">IF($B391="",0,SUMIFS('Zoho Dump'!$Y$8:$Y$3007,'Zoho Dump'!$N$8:$N$3007,$B391,'Zoho Dump'!$T$8:$T$3007,"Pipeline")+SUMIFS(Adjustments!$L$8:$L$207,Adjustments!$B$8:$B$207,$B391,Adjustments!$H$8:$H$207,"Pipeline")+SUMIFS('Zoho Dump'!$Y$8:$Y$3007,'Zoho Dump'!$N$8:$N$3007,$B391,'Zoho Dump'!$T$8:$T$3007,"Overdue")+SUMIFS(Adjustments!$L$8:$L$207,Adjustments!$B$8:$B$207,$B391,Adjustments!$H$8:$H$207,"Overdue"))</f>
        <v>0</v>
      </c>
      <c r="F391" s="17" t="n">
        <f aca="false">IF($B391="",0,SUMIFS('Zoho Dump'!$X$8:$X$3007,'Zoho Dump'!$N$8:$N$3007,$B391,'Zoho Dump'!$T$8:$T$3007,"Pipeline")+SUMIFS(Adjustments!$K$8:$K$207,Adjustments!$B$8:$B$207,$B391,Adjustments!$H$8:$H$207,"Pipeline")+SUMIFS('Zoho Dump'!$X$8:$X$3007,'Zoho Dump'!$N$8:$N$3007,$B391,'Zoho Dump'!$T$8:$T$3007,"Overdue")+SUMIFS(Adjustments!$K$8:$K$207,Adjustments!$B$8:$B$207,$B391,Adjustments!$H$8:$H$207,"Overdue"))</f>
        <v>0</v>
      </c>
      <c r="G391" s="17" t="n">
        <f aca="false">D391+F391</f>
        <v>0</v>
      </c>
      <c r="H391" s="18" t="n">
        <f aca="false">IF(SUM($G$5:$G$404)=0,0,G391/SUM($G$5:$G$404))</f>
        <v>0</v>
      </c>
      <c r="I391" s="17" t="n">
        <f aca="false">IF($B391="",0,SUMIFS('Zoho Dump'!$Q$8:$Q$3007,'Zoho Dump'!$N$8:$N$3007,$B391,'Zoho Dump'!$T$8:$T$3007,"Lost",'Zoho Dump'!$R$8:$R$3007,"&gt;="&amp;Settings!$B$4))</f>
        <v>0</v>
      </c>
      <c r="J391" s="9" t="str">
        <f aca="false">IF($B391="","",IF(COUNTIF(Dashboard!$C$13:$C$22,$B391)&gt;0,"Yes",""))</f>
        <v/>
      </c>
      <c r="K391" s="17" t="n">
        <f aca="false">IF($B391="",0,SUMIFS('Zoho Dump'!$X$8:$X$3007,'Zoho Dump'!$N$8:$N$3007,$B391,'Zoho Dump'!$P$8:$P$3007,Settings!$A$12)+SUMIFS(Adjustments!$K$8:$K$207,Adjustments!$B$8:$B$207,$B391,Adjustments!$A$8:$A$207,Settings!$A$12))</f>
        <v>0</v>
      </c>
      <c r="L391" s="17" t="n">
        <f aca="false">IF($B391="",0,SUMIFS('Zoho Dump'!$X$8:$X$3007,'Zoho Dump'!$N$8:$N$3007,$B391,'Zoho Dump'!$P$8:$P$3007,Settings!$A$13)+SUMIFS(Adjustments!$K$8:$K$207,Adjustments!$B$8:$B$207,$B391,Adjustments!$A$8:$A$207,Settings!$A$13))</f>
        <v>0</v>
      </c>
      <c r="M391" s="17" t="n">
        <f aca="false">IF($B391="",0,SUMIFS('Zoho Dump'!$X$8:$X$3007,'Zoho Dump'!$N$8:$N$3007,$B391,'Zoho Dump'!$P$8:$P$3007,Settings!$A$14)+SUMIFS(Adjustments!$K$8:$K$207,Adjustments!$B$8:$B$207,$B391,Adjustments!$A$8:$A$207,Settings!$A$14))</f>
        <v>0</v>
      </c>
      <c r="N391" s="17" t="n">
        <f aca="false">IF($B391="",0,SUMIFS('Zoho Dump'!$X$8:$X$3007,'Zoho Dump'!$N$8:$N$3007,$B391,'Zoho Dump'!$P$8:$P$3007,Settings!$A$15)+SUMIFS(Adjustments!$K$8:$K$207,Adjustments!$B$8:$B$207,$B391,Adjustments!$A$8:$A$207,Settings!$A$15))</f>
        <v>0</v>
      </c>
      <c r="O391" s="17" t="n">
        <f aca="false">IF($B391="",0,SUMIFS('Zoho Dump'!$X$8:$X$3007,'Zoho Dump'!$N$8:$N$3007,$B391,'Zoho Dump'!$P$8:$P$3007,Settings!$A$16)+SUMIFS(Adjustments!$K$8:$K$207,Adjustments!$B$8:$B$207,$B391,Adjustments!$A$8:$A$207,Settings!$A$16))</f>
        <v>0</v>
      </c>
      <c r="P391" s="17" t="n">
        <f aca="false">IF($B391="",0,SUMIFS('Zoho Dump'!$X$8:$X$3007,'Zoho Dump'!$N$8:$N$3007,$B391,'Zoho Dump'!$P$8:$P$3007,Settings!$A$17)+SUMIFS(Adjustments!$K$8:$K$207,Adjustments!$B$8:$B$207,$B391,Adjustments!$A$8:$A$207,Settings!$A$17))</f>
        <v>0</v>
      </c>
      <c r="Q391" s="17" t="n">
        <f aca="false">IF($B391="",0,SUMIFS('Zoho Dump'!$X$8:$X$3007,'Zoho Dump'!$N$8:$N$3007,$B391,'Zoho Dump'!$P$8:$P$3007,Settings!$A$18)+SUMIFS(Adjustments!$K$8:$K$207,Adjustments!$B$8:$B$207,$B391,Adjustments!$A$8:$A$207,Settings!$A$18))</f>
        <v>0</v>
      </c>
      <c r="R391" s="30" t="str">
        <f aca="false">IF(G391&gt;0,G391+A391/10000000,"")</f>
        <v/>
      </c>
    </row>
    <row r="392" customFormat="false" ht="15" hidden="false" customHeight="false" outlineLevel="0" collapsed="false">
      <c r="A392" s="9" t="n">
        <v>388</v>
      </c>
      <c r="B392" s="9" t="str">
        <f aca="false">IFERROR(INDEX('Zoho Dump'!$N$8:$N$3007,MATCH(A392,'Zoho Dump'!$AB$8:$AB$3007,0)),"")</f>
        <v/>
      </c>
      <c r="C392" s="17" t="n">
        <f aca="false">IF($B392="",0,SUMIFS('Zoho Dump'!$Q$8:$Q$3007,'Zoho Dump'!$N$8:$N$3007,$B392,'Zoho Dump'!$T$8:$T$3007,"Delivered",'Zoho Dump'!$R$8:$R$3007,"&gt;="&amp;Settings!$B$4))</f>
        <v>0</v>
      </c>
      <c r="D392" s="17" t="n">
        <f aca="false">IF($B392="",0,SUMIFS('Zoho Dump'!$X$8:$X$3007,'Zoho Dump'!$N$8:$N$3007,$B392,'Zoho Dump'!$T$8:$T$3007,"Backlog")+SUMIFS(Adjustments!$K$8:$K$207,Adjustments!$B$8:$B$207,$B392,Adjustments!$H$8:$H$207,"Backlog"))</f>
        <v>0</v>
      </c>
      <c r="E392" s="17" t="n">
        <f aca="false">IF($B392="",0,SUMIFS('Zoho Dump'!$Y$8:$Y$3007,'Zoho Dump'!$N$8:$N$3007,$B392,'Zoho Dump'!$T$8:$T$3007,"Pipeline")+SUMIFS(Adjustments!$L$8:$L$207,Adjustments!$B$8:$B$207,$B392,Adjustments!$H$8:$H$207,"Pipeline")+SUMIFS('Zoho Dump'!$Y$8:$Y$3007,'Zoho Dump'!$N$8:$N$3007,$B392,'Zoho Dump'!$T$8:$T$3007,"Overdue")+SUMIFS(Adjustments!$L$8:$L$207,Adjustments!$B$8:$B$207,$B392,Adjustments!$H$8:$H$207,"Overdue"))</f>
        <v>0</v>
      </c>
      <c r="F392" s="17" t="n">
        <f aca="false">IF($B392="",0,SUMIFS('Zoho Dump'!$X$8:$X$3007,'Zoho Dump'!$N$8:$N$3007,$B392,'Zoho Dump'!$T$8:$T$3007,"Pipeline")+SUMIFS(Adjustments!$K$8:$K$207,Adjustments!$B$8:$B$207,$B392,Adjustments!$H$8:$H$207,"Pipeline")+SUMIFS('Zoho Dump'!$X$8:$X$3007,'Zoho Dump'!$N$8:$N$3007,$B392,'Zoho Dump'!$T$8:$T$3007,"Overdue")+SUMIFS(Adjustments!$K$8:$K$207,Adjustments!$B$8:$B$207,$B392,Adjustments!$H$8:$H$207,"Overdue"))</f>
        <v>0</v>
      </c>
      <c r="G392" s="17" t="n">
        <f aca="false">D392+F392</f>
        <v>0</v>
      </c>
      <c r="H392" s="18" t="n">
        <f aca="false">IF(SUM($G$5:$G$404)=0,0,G392/SUM($G$5:$G$404))</f>
        <v>0</v>
      </c>
      <c r="I392" s="17" t="n">
        <f aca="false">IF($B392="",0,SUMIFS('Zoho Dump'!$Q$8:$Q$3007,'Zoho Dump'!$N$8:$N$3007,$B392,'Zoho Dump'!$T$8:$T$3007,"Lost",'Zoho Dump'!$R$8:$R$3007,"&gt;="&amp;Settings!$B$4))</f>
        <v>0</v>
      </c>
      <c r="J392" s="9" t="str">
        <f aca="false">IF($B392="","",IF(COUNTIF(Dashboard!$C$13:$C$22,$B392)&gt;0,"Yes",""))</f>
        <v/>
      </c>
      <c r="K392" s="17" t="n">
        <f aca="false">IF($B392="",0,SUMIFS('Zoho Dump'!$X$8:$X$3007,'Zoho Dump'!$N$8:$N$3007,$B392,'Zoho Dump'!$P$8:$P$3007,Settings!$A$12)+SUMIFS(Adjustments!$K$8:$K$207,Adjustments!$B$8:$B$207,$B392,Adjustments!$A$8:$A$207,Settings!$A$12))</f>
        <v>0</v>
      </c>
      <c r="L392" s="17" t="n">
        <f aca="false">IF($B392="",0,SUMIFS('Zoho Dump'!$X$8:$X$3007,'Zoho Dump'!$N$8:$N$3007,$B392,'Zoho Dump'!$P$8:$P$3007,Settings!$A$13)+SUMIFS(Adjustments!$K$8:$K$207,Adjustments!$B$8:$B$207,$B392,Adjustments!$A$8:$A$207,Settings!$A$13))</f>
        <v>0</v>
      </c>
      <c r="M392" s="17" t="n">
        <f aca="false">IF($B392="",0,SUMIFS('Zoho Dump'!$X$8:$X$3007,'Zoho Dump'!$N$8:$N$3007,$B392,'Zoho Dump'!$P$8:$P$3007,Settings!$A$14)+SUMIFS(Adjustments!$K$8:$K$207,Adjustments!$B$8:$B$207,$B392,Adjustments!$A$8:$A$207,Settings!$A$14))</f>
        <v>0</v>
      </c>
      <c r="N392" s="17" t="n">
        <f aca="false">IF($B392="",0,SUMIFS('Zoho Dump'!$X$8:$X$3007,'Zoho Dump'!$N$8:$N$3007,$B392,'Zoho Dump'!$P$8:$P$3007,Settings!$A$15)+SUMIFS(Adjustments!$K$8:$K$207,Adjustments!$B$8:$B$207,$B392,Adjustments!$A$8:$A$207,Settings!$A$15))</f>
        <v>0</v>
      </c>
      <c r="O392" s="17" t="n">
        <f aca="false">IF($B392="",0,SUMIFS('Zoho Dump'!$X$8:$X$3007,'Zoho Dump'!$N$8:$N$3007,$B392,'Zoho Dump'!$P$8:$P$3007,Settings!$A$16)+SUMIFS(Adjustments!$K$8:$K$207,Adjustments!$B$8:$B$207,$B392,Adjustments!$A$8:$A$207,Settings!$A$16))</f>
        <v>0</v>
      </c>
      <c r="P392" s="17" t="n">
        <f aca="false">IF($B392="",0,SUMIFS('Zoho Dump'!$X$8:$X$3007,'Zoho Dump'!$N$8:$N$3007,$B392,'Zoho Dump'!$P$8:$P$3007,Settings!$A$17)+SUMIFS(Adjustments!$K$8:$K$207,Adjustments!$B$8:$B$207,$B392,Adjustments!$A$8:$A$207,Settings!$A$17))</f>
        <v>0</v>
      </c>
      <c r="Q392" s="17" t="n">
        <f aca="false">IF($B392="",0,SUMIFS('Zoho Dump'!$X$8:$X$3007,'Zoho Dump'!$N$8:$N$3007,$B392,'Zoho Dump'!$P$8:$P$3007,Settings!$A$18)+SUMIFS(Adjustments!$K$8:$K$207,Adjustments!$B$8:$B$207,$B392,Adjustments!$A$8:$A$207,Settings!$A$18))</f>
        <v>0</v>
      </c>
      <c r="R392" s="30" t="str">
        <f aca="false">IF(G392&gt;0,G392+A392/10000000,"")</f>
        <v/>
      </c>
    </row>
    <row r="393" customFormat="false" ht="15" hidden="false" customHeight="false" outlineLevel="0" collapsed="false">
      <c r="A393" s="9" t="n">
        <v>389</v>
      </c>
      <c r="B393" s="9" t="str">
        <f aca="false">IFERROR(INDEX('Zoho Dump'!$N$8:$N$3007,MATCH(A393,'Zoho Dump'!$AB$8:$AB$3007,0)),"")</f>
        <v/>
      </c>
      <c r="C393" s="17" t="n">
        <f aca="false">IF($B393="",0,SUMIFS('Zoho Dump'!$Q$8:$Q$3007,'Zoho Dump'!$N$8:$N$3007,$B393,'Zoho Dump'!$T$8:$T$3007,"Delivered",'Zoho Dump'!$R$8:$R$3007,"&gt;="&amp;Settings!$B$4))</f>
        <v>0</v>
      </c>
      <c r="D393" s="17" t="n">
        <f aca="false">IF($B393="",0,SUMIFS('Zoho Dump'!$X$8:$X$3007,'Zoho Dump'!$N$8:$N$3007,$B393,'Zoho Dump'!$T$8:$T$3007,"Backlog")+SUMIFS(Adjustments!$K$8:$K$207,Adjustments!$B$8:$B$207,$B393,Adjustments!$H$8:$H$207,"Backlog"))</f>
        <v>0</v>
      </c>
      <c r="E393" s="17" t="n">
        <f aca="false">IF($B393="",0,SUMIFS('Zoho Dump'!$Y$8:$Y$3007,'Zoho Dump'!$N$8:$N$3007,$B393,'Zoho Dump'!$T$8:$T$3007,"Pipeline")+SUMIFS(Adjustments!$L$8:$L$207,Adjustments!$B$8:$B$207,$B393,Adjustments!$H$8:$H$207,"Pipeline")+SUMIFS('Zoho Dump'!$Y$8:$Y$3007,'Zoho Dump'!$N$8:$N$3007,$B393,'Zoho Dump'!$T$8:$T$3007,"Overdue")+SUMIFS(Adjustments!$L$8:$L$207,Adjustments!$B$8:$B$207,$B393,Adjustments!$H$8:$H$207,"Overdue"))</f>
        <v>0</v>
      </c>
      <c r="F393" s="17" t="n">
        <f aca="false">IF($B393="",0,SUMIFS('Zoho Dump'!$X$8:$X$3007,'Zoho Dump'!$N$8:$N$3007,$B393,'Zoho Dump'!$T$8:$T$3007,"Pipeline")+SUMIFS(Adjustments!$K$8:$K$207,Adjustments!$B$8:$B$207,$B393,Adjustments!$H$8:$H$207,"Pipeline")+SUMIFS('Zoho Dump'!$X$8:$X$3007,'Zoho Dump'!$N$8:$N$3007,$B393,'Zoho Dump'!$T$8:$T$3007,"Overdue")+SUMIFS(Adjustments!$K$8:$K$207,Adjustments!$B$8:$B$207,$B393,Adjustments!$H$8:$H$207,"Overdue"))</f>
        <v>0</v>
      </c>
      <c r="G393" s="17" t="n">
        <f aca="false">D393+F393</f>
        <v>0</v>
      </c>
      <c r="H393" s="18" t="n">
        <f aca="false">IF(SUM($G$5:$G$404)=0,0,G393/SUM($G$5:$G$404))</f>
        <v>0</v>
      </c>
      <c r="I393" s="17" t="n">
        <f aca="false">IF($B393="",0,SUMIFS('Zoho Dump'!$Q$8:$Q$3007,'Zoho Dump'!$N$8:$N$3007,$B393,'Zoho Dump'!$T$8:$T$3007,"Lost",'Zoho Dump'!$R$8:$R$3007,"&gt;="&amp;Settings!$B$4))</f>
        <v>0</v>
      </c>
      <c r="J393" s="9" t="str">
        <f aca="false">IF($B393="","",IF(COUNTIF(Dashboard!$C$13:$C$22,$B393)&gt;0,"Yes",""))</f>
        <v/>
      </c>
      <c r="K393" s="17" t="n">
        <f aca="false">IF($B393="",0,SUMIFS('Zoho Dump'!$X$8:$X$3007,'Zoho Dump'!$N$8:$N$3007,$B393,'Zoho Dump'!$P$8:$P$3007,Settings!$A$12)+SUMIFS(Adjustments!$K$8:$K$207,Adjustments!$B$8:$B$207,$B393,Adjustments!$A$8:$A$207,Settings!$A$12))</f>
        <v>0</v>
      </c>
      <c r="L393" s="17" t="n">
        <f aca="false">IF($B393="",0,SUMIFS('Zoho Dump'!$X$8:$X$3007,'Zoho Dump'!$N$8:$N$3007,$B393,'Zoho Dump'!$P$8:$P$3007,Settings!$A$13)+SUMIFS(Adjustments!$K$8:$K$207,Adjustments!$B$8:$B$207,$B393,Adjustments!$A$8:$A$207,Settings!$A$13))</f>
        <v>0</v>
      </c>
      <c r="M393" s="17" t="n">
        <f aca="false">IF($B393="",0,SUMIFS('Zoho Dump'!$X$8:$X$3007,'Zoho Dump'!$N$8:$N$3007,$B393,'Zoho Dump'!$P$8:$P$3007,Settings!$A$14)+SUMIFS(Adjustments!$K$8:$K$207,Adjustments!$B$8:$B$207,$B393,Adjustments!$A$8:$A$207,Settings!$A$14))</f>
        <v>0</v>
      </c>
      <c r="N393" s="17" t="n">
        <f aca="false">IF($B393="",0,SUMIFS('Zoho Dump'!$X$8:$X$3007,'Zoho Dump'!$N$8:$N$3007,$B393,'Zoho Dump'!$P$8:$P$3007,Settings!$A$15)+SUMIFS(Adjustments!$K$8:$K$207,Adjustments!$B$8:$B$207,$B393,Adjustments!$A$8:$A$207,Settings!$A$15))</f>
        <v>0</v>
      </c>
      <c r="O393" s="17" t="n">
        <f aca="false">IF($B393="",0,SUMIFS('Zoho Dump'!$X$8:$X$3007,'Zoho Dump'!$N$8:$N$3007,$B393,'Zoho Dump'!$P$8:$P$3007,Settings!$A$16)+SUMIFS(Adjustments!$K$8:$K$207,Adjustments!$B$8:$B$207,$B393,Adjustments!$A$8:$A$207,Settings!$A$16))</f>
        <v>0</v>
      </c>
      <c r="P393" s="17" t="n">
        <f aca="false">IF($B393="",0,SUMIFS('Zoho Dump'!$X$8:$X$3007,'Zoho Dump'!$N$8:$N$3007,$B393,'Zoho Dump'!$P$8:$P$3007,Settings!$A$17)+SUMIFS(Adjustments!$K$8:$K$207,Adjustments!$B$8:$B$207,$B393,Adjustments!$A$8:$A$207,Settings!$A$17))</f>
        <v>0</v>
      </c>
      <c r="Q393" s="17" t="n">
        <f aca="false">IF($B393="",0,SUMIFS('Zoho Dump'!$X$8:$X$3007,'Zoho Dump'!$N$8:$N$3007,$B393,'Zoho Dump'!$P$8:$P$3007,Settings!$A$18)+SUMIFS(Adjustments!$K$8:$K$207,Adjustments!$B$8:$B$207,$B393,Adjustments!$A$8:$A$207,Settings!$A$18))</f>
        <v>0</v>
      </c>
      <c r="R393" s="30" t="str">
        <f aca="false">IF(G393&gt;0,G393+A393/10000000,"")</f>
        <v/>
      </c>
    </row>
    <row r="394" customFormat="false" ht="15" hidden="false" customHeight="false" outlineLevel="0" collapsed="false">
      <c r="A394" s="9" t="n">
        <v>390</v>
      </c>
      <c r="B394" s="9" t="str">
        <f aca="false">IFERROR(INDEX('Zoho Dump'!$N$8:$N$3007,MATCH(A394,'Zoho Dump'!$AB$8:$AB$3007,0)),"")</f>
        <v/>
      </c>
      <c r="C394" s="17" t="n">
        <f aca="false">IF($B394="",0,SUMIFS('Zoho Dump'!$Q$8:$Q$3007,'Zoho Dump'!$N$8:$N$3007,$B394,'Zoho Dump'!$T$8:$T$3007,"Delivered",'Zoho Dump'!$R$8:$R$3007,"&gt;="&amp;Settings!$B$4))</f>
        <v>0</v>
      </c>
      <c r="D394" s="17" t="n">
        <f aca="false">IF($B394="",0,SUMIFS('Zoho Dump'!$X$8:$X$3007,'Zoho Dump'!$N$8:$N$3007,$B394,'Zoho Dump'!$T$8:$T$3007,"Backlog")+SUMIFS(Adjustments!$K$8:$K$207,Adjustments!$B$8:$B$207,$B394,Adjustments!$H$8:$H$207,"Backlog"))</f>
        <v>0</v>
      </c>
      <c r="E394" s="17" t="n">
        <f aca="false">IF($B394="",0,SUMIFS('Zoho Dump'!$Y$8:$Y$3007,'Zoho Dump'!$N$8:$N$3007,$B394,'Zoho Dump'!$T$8:$T$3007,"Pipeline")+SUMIFS(Adjustments!$L$8:$L$207,Adjustments!$B$8:$B$207,$B394,Adjustments!$H$8:$H$207,"Pipeline")+SUMIFS('Zoho Dump'!$Y$8:$Y$3007,'Zoho Dump'!$N$8:$N$3007,$B394,'Zoho Dump'!$T$8:$T$3007,"Overdue")+SUMIFS(Adjustments!$L$8:$L$207,Adjustments!$B$8:$B$207,$B394,Adjustments!$H$8:$H$207,"Overdue"))</f>
        <v>0</v>
      </c>
      <c r="F394" s="17" t="n">
        <f aca="false">IF($B394="",0,SUMIFS('Zoho Dump'!$X$8:$X$3007,'Zoho Dump'!$N$8:$N$3007,$B394,'Zoho Dump'!$T$8:$T$3007,"Pipeline")+SUMIFS(Adjustments!$K$8:$K$207,Adjustments!$B$8:$B$207,$B394,Adjustments!$H$8:$H$207,"Pipeline")+SUMIFS('Zoho Dump'!$X$8:$X$3007,'Zoho Dump'!$N$8:$N$3007,$B394,'Zoho Dump'!$T$8:$T$3007,"Overdue")+SUMIFS(Adjustments!$K$8:$K$207,Adjustments!$B$8:$B$207,$B394,Adjustments!$H$8:$H$207,"Overdue"))</f>
        <v>0</v>
      </c>
      <c r="G394" s="17" t="n">
        <f aca="false">D394+F394</f>
        <v>0</v>
      </c>
      <c r="H394" s="18" t="n">
        <f aca="false">IF(SUM($G$5:$G$404)=0,0,G394/SUM($G$5:$G$404))</f>
        <v>0</v>
      </c>
      <c r="I394" s="17" t="n">
        <f aca="false">IF($B394="",0,SUMIFS('Zoho Dump'!$Q$8:$Q$3007,'Zoho Dump'!$N$8:$N$3007,$B394,'Zoho Dump'!$T$8:$T$3007,"Lost",'Zoho Dump'!$R$8:$R$3007,"&gt;="&amp;Settings!$B$4))</f>
        <v>0</v>
      </c>
      <c r="J394" s="9" t="str">
        <f aca="false">IF($B394="","",IF(COUNTIF(Dashboard!$C$13:$C$22,$B394)&gt;0,"Yes",""))</f>
        <v/>
      </c>
      <c r="K394" s="17" t="n">
        <f aca="false">IF($B394="",0,SUMIFS('Zoho Dump'!$X$8:$X$3007,'Zoho Dump'!$N$8:$N$3007,$B394,'Zoho Dump'!$P$8:$P$3007,Settings!$A$12)+SUMIFS(Adjustments!$K$8:$K$207,Adjustments!$B$8:$B$207,$B394,Adjustments!$A$8:$A$207,Settings!$A$12))</f>
        <v>0</v>
      </c>
      <c r="L394" s="17" t="n">
        <f aca="false">IF($B394="",0,SUMIFS('Zoho Dump'!$X$8:$X$3007,'Zoho Dump'!$N$8:$N$3007,$B394,'Zoho Dump'!$P$8:$P$3007,Settings!$A$13)+SUMIFS(Adjustments!$K$8:$K$207,Adjustments!$B$8:$B$207,$B394,Adjustments!$A$8:$A$207,Settings!$A$13))</f>
        <v>0</v>
      </c>
      <c r="M394" s="17" t="n">
        <f aca="false">IF($B394="",0,SUMIFS('Zoho Dump'!$X$8:$X$3007,'Zoho Dump'!$N$8:$N$3007,$B394,'Zoho Dump'!$P$8:$P$3007,Settings!$A$14)+SUMIFS(Adjustments!$K$8:$K$207,Adjustments!$B$8:$B$207,$B394,Adjustments!$A$8:$A$207,Settings!$A$14))</f>
        <v>0</v>
      </c>
      <c r="N394" s="17" t="n">
        <f aca="false">IF($B394="",0,SUMIFS('Zoho Dump'!$X$8:$X$3007,'Zoho Dump'!$N$8:$N$3007,$B394,'Zoho Dump'!$P$8:$P$3007,Settings!$A$15)+SUMIFS(Adjustments!$K$8:$K$207,Adjustments!$B$8:$B$207,$B394,Adjustments!$A$8:$A$207,Settings!$A$15))</f>
        <v>0</v>
      </c>
      <c r="O394" s="17" t="n">
        <f aca="false">IF($B394="",0,SUMIFS('Zoho Dump'!$X$8:$X$3007,'Zoho Dump'!$N$8:$N$3007,$B394,'Zoho Dump'!$P$8:$P$3007,Settings!$A$16)+SUMIFS(Adjustments!$K$8:$K$207,Adjustments!$B$8:$B$207,$B394,Adjustments!$A$8:$A$207,Settings!$A$16))</f>
        <v>0</v>
      </c>
      <c r="P394" s="17" t="n">
        <f aca="false">IF($B394="",0,SUMIFS('Zoho Dump'!$X$8:$X$3007,'Zoho Dump'!$N$8:$N$3007,$B394,'Zoho Dump'!$P$8:$P$3007,Settings!$A$17)+SUMIFS(Adjustments!$K$8:$K$207,Adjustments!$B$8:$B$207,$B394,Adjustments!$A$8:$A$207,Settings!$A$17))</f>
        <v>0</v>
      </c>
      <c r="Q394" s="17" t="n">
        <f aca="false">IF($B394="",0,SUMIFS('Zoho Dump'!$X$8:$X$3007,'Zoho Dump'!$N$8:$N$3007,$B394,'Zoho Dump'!$P$8:$P$3007,Settings!$A$18)+SUMIFS(Adjustments!$K$8:$K$207,Adjustments!$B$8:$B$207,$B394,Adjustments!$A$8:$A$207,Settings!$A$18))</f>
        <v>0</v>
      </c>
      <c r="R394" s="30" t="str">
        <f aca="false">IF(G394&gt;0,G394+A394/10000000,"")</f>
        <v/>
      </c>
    </row>
    <row r="395" customFormat="false" ht="15" hidden="false" customHeight="false" outlineLevel="0" collapsed="false">
      <c r="A395" s="9" t="n">
        <v>391</v>
      </c>
      <c r="B395" s="9" t="str">
        <f aca="false">IFERROR(INDEX('Zoho Dump'!$N$8:$N$3007,MATCH(A395,'Zoho Dump'!$AB$8:$AB$3007,0)),"")</f>
        <v/>
      </c>
      <c r="C395" s="17" t="n">
        <f aca="false">IF($B395="",0,SUMIFS('Zoho Dump'!$Q$8:$Q$3007,'Zoho Dump'!$N$8:$N$3007,$B395,'Zoho Dump'!$T$8:$T$3007,"Delivered",'Zoho Dump'!$R$8:$R$3007,"&gt;="&amp;Settings!$B$4))</f>
        <v>0</v>
      </c>
      <c r="D395" s="17" t="n">
        <f aca="false">IF($B395="",0,SUMIFS('Zoho Dump'!$X$8:$X$3007,'Zoho Dump'!$N$8:$N$3007,$B395,'Zoho Dump'!$T$8:$T$3007,"Backlog")+SUMIFS(Adjustments!$K$8:$K$207,Adjustments!$B$8:$B$207,$B395,Adjustments!$H$8:$H$207,"Backlog"))</f>
        <v>0</v>
      </c>
      <c r="E395" s="17" t="n">
        <f aca="false">IF($B395="",0,SUMIFS('Zoho Dump'!$Y$8:$Y$3007,'Zoho Dump'!$N$8:$N$3007,$B395,'Zoho Dump'!$T$8:$T$3007,"Pipeline")+SUMIFS(Adjustments!$L$8:$L$207,Adjustments!$B$8:$B$207,$B395,Adjustments!$H$8:$H$207,"Pipeline")+SUMIFS('Zoho Dump'!$Y$8:$Y$3007,'Zoho Dump'!$N$8:$N$3007,$B395,'Zoho Dump'!$T$8:$T$3007,"Overdue")+SUMIFS(Adjustments!$L$8:$L$207,Adjustments!$B$8:$B$207,$B395,Adjustments!$H$8:$H$207,"Overdue"))</f>
        <v>0</v>
      </c>
      <c r="F395" s="17" t="n">
        <f aca="false">IF($B395="",0,SUMIFS('Zoho Dump'!$X$8:$X$3007,'Zoho Dump'!$N$8:$N$3007,$B395,'Zoho Dump'!$T$8:$T$3007,"Pipeline")+SUMIFS(Adjustments!$K$8:$K$207,Adjustments!$B$8:$B$207,$B395,Adjustments!$H$8:$H$207,"Pipeline")+SUMIFS('Zoho Dump'!$X$8:$X$3007,'Zoho Dump'!$N$8:$N$3007,$B395,'Zoho Dump'!$T$8:$T$3007,"Overdue")+SUMIFS(Adjustments!$K$8:$K$207,Adjustments!$B$8:$B$207,$B395,Adjustments!$H$8:$H$207,"Overdue"))</f>
        <v>0</v>
      </c>
      <c r="G395" s="17" t="n">
        <f aca="false">D395+F395</f>
        <v>0</v>
      </c>
      <c r="H395" s="18" t="n">
        <f aca="false">IF(SUM($G$5:$G$404)=0,0,G395/SUM($G$5:$G$404))</f>
        <v>0</v>
      </c>
      <c r="I395" s="17" t="n">
        <f aca="false">IF($B395="",0,SUMIFS('Zoho Dump'!$Q$8:$Q$3007,'Zoho Dump'!$N$8:$N$3007,$B395,'Zoho Dump'!$T$8:$T$3007,"Lost",'Zoho Dump'!$R$8:$R$3007,"&gt;="&amp;Settings!$B$4))</f>
        <v>0</v>
      </c>
      <c r="J395" s="9" t="str">
        <f aca="false">IF($B395="","",IF(COUNTIF(Dashboard!$C$13:$C$22,$B395)&gt;0,"Yes",""))</f>
        <v/>
      </c>
      <c r="K395" s="17" t="n">
        <f aca="false">IF($B395="",0,SUMIFS('Zoho Dump'!$X$8:$X$3007,'Zoho Dump'!$N$8:$N$3007,$B395,'Zoho Dump'!$P$8:$P$3007,Settings!$A$12)+SUMIFS(Adjustments!$K$8:$K$207,Adjustments!$B$8:$B$207,$B395,Adjustments!$A$8:$A$207,Settings!$A$12))</f>
        <v>0</v>
      </c>
      <c r="L395" s="17" t="n">
        <f aca="false">IF($B395="",0,SUMIFS('Zoho Dump'!$X$8:$X$3007,'Zoho Dump'!$N$8:$N$3007,$B395,'Zoho Dump'!$P$8:$P$3007,Settings!$A$13)+SUMIFS(Adjustments!$K$8:$K$207,Adjustments!$B$8:$B$207,$B395,Adjustments!$A$8:$A$207,Settings!$A$13))</f>
        <v>0</v>
      </c>
      <c r="M395" s="17" t="n">
        <f aca="false">IF($B395="",0,SUMIFS('Zoho Dump'!$X$8:$X$3007,'Zoho Dump'!$N$8:$N$3007,$B395,'Zoho Dump'!$P$8:$P$3007,Settings!$A$14)+SUMIFS(Adjustments!$K$8:$K$207,Adjustments!$B$8:$B$207,$B395,Adjustments!$A$8:$A$207,Settings!$A$14))</f>
        <v>0</v>
      </c>
      <c r="N395" s="17" t="n">
        <f aca="false">IF($B395="",0,SUMIFS('Zoho Dump'!$X$8:$X$3007,'Zoho Dump'!$N$8:$N$3007,$B395,'Zoho Dump'!$P$8:$P$3007,Settings!$A$15)+SUMIFS(Adjustments!$K$8:$K$207,Adjustments!$B$8:$B$207,$B395,Adjustments!$A$8:$A$207,Settings!$A$15))</f>
        <v>0</v>
      </c>
      <c r="O395" s="17" t="n">
        <f aca="false">IF($B395="",0,SUMIFS('Zoho Dump'!$X$8:$X$3007,'Zoho Dump'!$N$8:$N$3007,$B395,'Zoho Dump'!$P$8:$P$3007,Settings!$A$16)+SUMIFS(Adjustments!$K$8:$K$207,Adjustments!$B$8:$B$207,$B395,Adjustments!$A$8:$A$207,Settings!$A$16))</f>
        <v>0</v>
      </c>
      <c r="P395" s="17" t="n">
        <f aca="false">IF($B395="",0,SUMIFS('Zoho Dump'!$X$8:$X$3007,'Zoho Dump'!$N$8:$N$3007,$B395,'Zoho Dump'!$P$8:$P$3007,Settings!$A$17)+SUMIFS(Adjustments!$K$8:$K$207,Adjustments!$B$8:$B$207,$B395,Adjustments!$A$8:$A$207,Settings!$A$17))</f>
        <v>0</v>
      </c>
      <c r="Q395" s="17" t="n">
        <f aca="false">IF($B395="",0,SUMIFS('Zoho Dump'!$X$8:$X$3007,'Zoho Dump'!$N$8:$N$3007,$B395,'Zoho Dump'!$P$8:$P$3007,Settings!$A$18)+SUMIFS(Adjustments!$K$8:$K$207,Adjustments!$B$8:$B$207,$B395,Adjustments!$A$8:$A$207,Settings!$A$18))</f>
        <v>0</v>
      </c>
      <c r="R395" s="30" t="str">
        <f aca="false">IF(G395&gt;0,G395+A395/10000000,"")</f>
        <v/>
      </c>
    </row>
    <row r="396" customFormat="false" ht="15" hidden="false" customHeight="false" outlineLevel="0" collapsed="false">
      <c r="A396" s="9" t="n">
        <v>392</v>
      </c>
      <c r="B396" s="9" t="str">
        <f aca="false">IFERROR(INDEX('Zoho Dump'!$N$8:$N$3007,MATCH(A396,'Zoho Dump'!$AB$8:$AB$3007,0)),"")</f>
        <v/>
      </c>
      <c r="C396" s="17" t="n">
        <f aca="false">IF($B396="",0,SUMIFS('Zoho Dump'!$Q$8:$Q$3007,'Zoho Dump'!$N$8:$N$3007,$B396,'Zoho Dump'!$T$8:$T$3007,"Delivered",'Zoho Dump'!$R$8:$R$3007,"&gt;="&amp;Settings!$B$4))</f>
        <v>0</v>
      </c>
      <c r="D396" s="17" t="n">
        <f aca="false">IF($B396="",0,SUMIFS('Zoho Dump'!$X$8:$X$3007,'Zoho Dump'!$N$8:$N$3007,$B396,'Zoho Dump'!$T$8:$T$3007,"Backlog")+SUMIFS(Adjustments!$K$8:$K$207,Adjustments!$B$8:$B$207,$B396,Adjustments!$H$8:$H$207,"Backlog"))</f>
        <v>0</v>
      </c>
      <c r="E396" s="17" t="n">
        <f aca="false">IF($B396="",0,SUMIFS('Zoho Dump'!$Y$8:$Y$3007,'Zoho Dump'!$N$8:$N$3007,$B396,'Zoho Dump'!$T$8:$T$3007,"Pipeline")+SUMIFS(Adjustments!$L$8:$L$207,Adjustments!$B$8:$B$207,$B396,Adjustments!$H$8:$H$207,"Pipeline")+SUMIFS('Zoho Dump'!$Y$8:$Y$3007,'Zoho Dump'!$N$8:$N$3007,$B396,'Zoho Dump'!$T$8:$T$3007,"Overdue")+SUMIFS(Adjustments!$L$8:$L$207,Adjustments!$B$8:$B$207,$B396,Adjustments!$H$8:$H$207,"Overdue"))</f>
        <v>0</v>
      </c>
      <c r="F396" s="17" t="n">
        <f aca="false">IF($B396="",0,SUMIFS('Zoho Dump'!$X$8:$X$3007,'Zoho Dump'!$N$8:$N$3007,$B396,'Zoho Dump'!$T$8:$T$3007,"Pipeline")+SUMIFS(Adjustments!$K$8:$K$207,Adjustments!$B$8:$B$207,$B396,Adjustments!$H$8:$H$207,"Pipeline")+SUMIFS('Zoho Dump'!$X$8:$X$3007,'Zoho Dump'!$N$8:$N$3007,$B396,'Zoho Dump'!$T$8:$T$3007,"Overdue")+SUMIFS(Adjustments!$K$8:$K$207,Adjustments!$B$8:$B$207,$B396,Adjustments!$H$8:$H$207,"Overdue"))</f>
        <v>0</v>
      </c>
      <c r="G396" s="17" t="n">
        <f aca="false">D396+F396</f>
        <v>0</v>
      </c>
      <c r="H396" s="18" t="n">
        <f aca="false">IF(SUM($G$5:$G$404)=0,0,G396/SUM($G$5:$G$404))</f>
        <v>0</v>
      </c>
      <c r="I396" s="17" t="n">
        <f aca="false">IF($B396="",0,SUMIFS('Zoho Dump'!$Q$8:$Q$3007,'Zoho Dump'!$N$8:$N$3007,$B396,'Zoho Dump'!$T$8:$T$3007,"Lost",'Zoho Dump'!$R$8:$R$3007,"&gt;="&amp;Settings!$B$4))</f>
        <v>0</v>
      </c>
      <c r="J396" s="9" t="str">
        <f aca="false">IF($B396="","",IF(COUNTIF(Dashboard!$C$13:$C$22,$B396)&gt;0,"Yes",""))</f>
        <v/>
      </c>
      <c r="K396" s="17" t="n">
        <f aca="false">IF($B396="",0,SUMIFS('Zoho Dump'!$X$8:$X$3007,'Zoho Dump'!$N$8:$N$3007,$B396,'Zoho Dump'!$P$8:$P$3007,Settings!$A$12)+SUMIFS(Adjustments!$K$8:$K$207,Adjustments!$B$8:$B$207,$B396,Adjustments!$A$8:$A$207,Settings!$A$12))</f>
        <v>0</v>
      </c>
      <c r="L396" s="17" t="n">
        <f aca="false">IF($B396="",0,SUMIFS('Zoho Dump'!$X$8:$X$3007,'Zoho Dump'!$N$8:$N$3007,$B396,'Zoho Dump'!$P$8:$P$3007,Settings!$A$13)+SUMIFS(Adjustments!$K$8:$K$207,Adjustments!$B$8:$B$207,$B396,Adjustments!$A$8:$A$207,Settings!$A$13))</f>
        <v>0</v>
      </c>
      <c r="M396" s="17" t="n">
        <f aca="false">IF($B396="",0,SUMIFS('Zoho Dump'!$X$8:$X$3007,'Zoho Dump'!$N$8:$N$3007,$B396,'Zoho Dump'!$P$8:$P$3007,Settings!$A$14)+SUMIFS(Adjustments!$K$8:$K$207,Adjustments!$B$8:$B$207,$B396,Adjustments!$A$8:$A$207,Settings!$A$14))</f>
        <v>0</v>
      </c>
      <c r="N396" s="17" t="n">
        <f aca="false">IF($B396="",0,SUMIFS('Zoho Dump'!$X$8:$X$3007,'Zoho Dump'!$N$8:$N$3007,$B396,'Zoho Dump'!$P$8:$P$3007,Settings!$A$15)+SUMIFS(Adjustments!$K$8:$K$207,Adjustments!$B$8:$B$207,$B396,Adjustments!$A$8:$A$207,Settings!$A$15))</f>
        <v>0</v>
      </c>
      <c r="O396" s="17" t="n">
        <f aca="false">IF($B396="",0,SUMIFS('Zoho Dump'!$X$8:$X$3007,'Zoho Dump'!$N$8:$N$3007,$B396,'Zoho Dump'!$P$8:$P$3007,Settings!$A$16)+SUMIFS(Adjustments!$K$8:$K$207,Adjustments!$B$8:$B$207,$B396,Adjustments!$A$8:$A$207,Settings!$A$16))</f>
        <v>0</v>
      </c>
      <c r="P396" s="17" t="n">
        <f aca="false">IF($B396="",0,SUMIFS('Zoho Dump'!$X$8:$X$3007,'Zoho Dump'!$N$8:$N$3007,$B396,'Zoho Dump'!$P$8:$P$3007,Settings!$A$17)+SUMIFS(Adjustments!$K$8:$K$207,Adjustments!$B$8:$B$207,$B396,Adjustments!$A$8:$A$207,Settings!$A$17))</f>
        <v>0</v>
      </c>
      <c r="Q396" s="17" t="n">
        <f aca="false">IF($B396="",0,SUMIFS('Zoho Dump'!$X$8:$X$3007,'Zoho Dump'!$N$8:$N$3007,$B396,'Zoho Dump'!$P$8:$P$3007,Settings!$A$18)+SUMIFS(Adjustments!$K$8:$K$207,Adjustments!$B$8:$B$207,$B396,Adjustments!$A$8:$A$207,Settings!$A$18))</f>
        <v>0</v>
      </c>
      <c r="R396" s="30" t="str">
        <f aca="false">IF(G396&gt;0,G396+A396/10000000,"")</f>
        <v/>
      </c>
    </row>
    <row r="397" customFormat="false" ht="15" hidden="false" customHeight="false" outlineLevel="0" collapsed="false">
      <c r="A397" s="9" t="n">
        <v>393</v>
      </c>
      <c r="B397" s="9" t="str">
        <f aca="false">IFERROR(INDEX('Zoho Dump'!$N$8:$N$3007,MATCH(A397,'Zoho Dump'!$AB$8:$AB$3007,0)),"")</f>
        <v/>
      </c>
      <c r="C397" s="17" t="n">
        <f aca="false">IF($B397="",0,SUMIFS('Zoho Dump'!$Q$8:$Q$3007,'Zoho Dump'!$N$8:$N$3007,$B397,'Zoho Dump'!$T$8:$T$3007,"Delivered",'Zoho Dump'!$R$8:$R$3007,"&gt;="&amp;Settings!$B$4))</f>
        <v>0</v>
      </c>
      <c r="D397" s="17" t="n">
        <f aca="false">IF($B397="",0,SUMIFS('Zoho Dump'!$X$8:$X$3007,'Zoho Dump'!$N$8:$N$3007,$B397,'Zoho Dump'!$T$8:$T$3007,"Backlog")+SUMIFS(Adjustments!$K$8:$K$207,Adjustments!$B$8:$B$207,$B397,Adjustments!$H$8:$H$207,"Backlog"))</f>
        <v>0</v>
      </c>
      <c r="E397" s="17" t="n">
        <f aca="false">IF($B397="",0,SUMIFS('Zoho Dump'!$Y$8:$Y$3007,'Zoho Dump'!$N$8:$N$3007,$B397,'Zoho Dump'!$T$8:$T$3007,"Pipeline")+SUMIFS(Adjustments!$L$8:$L$207,Adjustments!$B$8:$B$207,$B397,Adjustments!$H$8:$H$207,"Pipeline")+SUMIFS('Zoho Dump'!$Y$8:$Y$3007,'Zoho Dump'!$N$8:$N$3007,$B397,'Zoho Dump'!$T$8:$T$3007,"Overdue")+SUMIFS(Adjustments!$L$8:$L$207,Adjustments!$B$8:$B$207,$B397,Adjustments!$H$8:$H$207,"Overdue"))</f>
        <v>0</v>
      </c>
      <c r="F397" s="17" t="n">
        <f aca="false">IF($B397="",0,SUMIFS('Zoho Dump'!$X$8:$X$3007,'Zoho Dump'!$N$8:$N$3007,$B397,'Zoho Dump'!$T$8:$T$3007,"Pipeline")+SUMIFS(Adjustments!$K$8:$K$207,Adjustments!$B$8:$B$207,$B397,Adjustments!$H$8:$H$207,"Pipeline")+SUMIFS('Zoho Dump'!$X$8:$X$3007,'Zoho Dump'!$N$8:$N$3007,$B397,'Zoho Dump'!$T$8:$T$3007,"Overdue")+SUMIFS(Adjustments!$K$8:$K$207,Adjustments!$B$8:$B$207,$B397,Adjustments!$H$8:$H$207,"Overdue"))</f>
        <v>0</v>
      </c>
      <c r="G397" s="17" t="n">
        <f aca="false">D397+F397</f>
        <v>0</v>
      </c>
      <c r="H397" s="18" t="n">
        <f aca="false">IF(SUM($G$5:$G$404)=0,0,G397/SUM($G$5:$G$404))</f>
        <v>0</v>
      </c>
      <c r="I397" s="17" t="n">
        <f aca="false">IF($B397="",0,SUMIFS('Zoho Dump'!$Q$8:$Q$3007,'Zoho Dump'!$N$8:$N$3007,$B397,'Zoho Dump'!$T$8:$T$3007,"Lost",'Zoho Dump'!$R$8:$R$3007,"&gt;="&amp;Settings!$B$4))</f>
        <v>0</v>
      </c>
      <c r="J397" s="9" t="str">
        <f aca="false">IF($B397="","",IF(COUNTIF(Dashboard!$C$13:$C$22,$B397)&gt;0,"Yes",""))</f>
        <v/>
      </c>
      <c r="K397" s="17" t="n">
        <f aca="false">IF($B397="",0,SUMIFS('Zoho Dump'!$X$8:$X$3007,'Zoho Dump'!$N$8:$N$3007,$B397,'Zoho Dump'!$P$8:$P$3007,Settings!$A$12)+SUMIFS(Adjustments!$K$8:$K$207,Adjustments!$B$8:$B$207,$B397,Adjustments!$A$8:$A$207,Settings!$A$12))</f>
        <v>0</v>
      </c>
      <c r="L397" s="17" t="n">
        <f aca="false">IF($B397="",0,SUMIFS('Zoho Dump'!$X$8:$X$3007,'Zoho Dump'!$N$8:$N$3007,$B397,'Zoho Dump'!$P$8:$P$3007,Settings!$A$13)+SUMIFS(Adjustments!$K$8:$K$207,Adjustments!$B$8:$B$207,$B397,Adjustments!$A$8:$A$207,Settings!$A$13))</f>
        <v>0</v>
      </c>
      <c r="M397" s="17" t="n">
        <f aca="false">IF($B397="",0,SUMIFS('Zoho Dump'!$X$8:$X$3007,'Zoho Dump'!$N$8:$N$3007,$B397,'Zoho Dump'!$P$8:$P$3007,Settings!$A$14)+SUMIFS(Adjustments!$K$8:$K$207,Adjustments!$B$8:$B$207,$B397,Adjustments!$A$8:$A$207,Settings!$A$14))</f>
        <v>0</v>
      </c>
      <c r="N397" s="17" t="n">
        <f aca="false">IF($B397="",0,SUMIFS('Zoho Dump'!$X$8:$X$3007,'Zoho Dump'!$N$8:$N$3007,$B397,'Zoho Dump'!$P$8:$P$3007,Settings!$A$15)+SUMIFS(Adjustments!$K$8:$K$207,Adjustments!$B$8:$B$207,$B397,Adjustments!$A$8:$A$207,Settings!$A$15))</f>
        <v>0</v>
      </c>
      <c r="O397" s="17" t="n">
        <f aca="false">IF($B397="",0,SUMIFS('Zoho Dump'!$X$8:$X$3007,'Zoho Dump'!$N$8:$N$3007,$B397,'Zoho Dump'!$P$8:$P$3007,Settings!$A$16)+SUMIFS(Adjustments!$K$8:$K$207,Adjustments!$B$8:$B$207,$B397,Adjustments!$A$8:$A$207,Settings!$A$16))</f>
        <v>0</v>
      </c>
      <c r="P397" s="17" t="n">
        <f aca="false">IF($B397="",0,SUMIFS('Zoho Dump'!$X$8:$X$3007,'Zoho Dump'!$N$8:$N$3007,$B397,'Zoho Dump'!$P$8:$P$3007,Settings!$A$17)+SUMIFS(Adjustments!$K$8:$K$207,Adjustments!$B$8:$B$207,$B397,Adjustments!$A$8:$A$207,Settings!$A$17))</f>
        <v>0</v>
      </c>
      <c r="Q397" s="17" t="n">
        <f aca="false">IF($B397="",0,SUMIFS('Zoho Dump'!$X$8:$X$3007,'Zoho Dump'!$N$8:$N$3007,$B397,'Zoho Dump'!$P$8:$P$3007,Settings!$A$18)+SUMIFS(Adjustments!$K$8:$K$207,Adjustments!$B$8:$B$207,$B397,Adjustments!$A$8:$A$207,Settings!$A$18))</f>
        <v>0</v>
      </c>
      <c r="R397" s="30" t="str">
        <f aca="false">IF(G397&gt;0,G397+A397/10000000,"")</f>
        <v/>
      </c>
    </row>
    <row r="398" customFormat="false" ht="15" hidden="false" customHeight="false" outlineLevel="0" collapsed="false">
      <c r="A398" s="9" t="n">
        <v>394</v>
      </c>
      <c r="B398" s="9" t="str">
        <f aca="false">IFERROR(INDEX('Zoho Dump'!$N$8:$N$3007,MATCH(A398,'Zoho Dump'!$AB$8:$AB$3007,0)),"")</f>
        <v/>
      </c>
      <c r="C398" s="17" t="n">
        <f aca="false">IF($B398="",0,SUMIFS('Zoho Dump'!$Q$8:$Q$3007,'Zoho Dump'!$N$8:$N$3007,$B398,'Zoho Dump'!$T$8:$T$3007,"Delivered",'Zoho Dump'!$R$8:$R$3007,"&gt;="&amp;Settings!$B$4))</f>
        <v>0</v>
      </c>
      <c r="D398" s="17" t="n">
        <f aca="false">IF($B398="",0,SUMIFS('Zoho Dump'!$X$8:$X$3007,'Zoho Dump'!$N$8:$N$3007,$B398,'Zoho Dump'!$T$8:$T$3007,"Backlog")+SUMIFS(Adjustments!$K$8:$K$207,Adjustments!$B$8:$B$207,$B398,Adjustments!$H$8:$H$207,"Backlog"))</f>
        <v>0</v>
      </c>
      <c r="E398" s="17" t="n">
        <f aca="false">IF($B398="",0,SUMIFS('Zoho Dump'!$Y$8:$Y$3007,'Zoho Dump'!$N$8:$N$3007,$B398,'Zoho Dump'!$T$8:$T$3007,"Pipeline")+SUMIFS(Adjustments!$L$8:$L$207,Adjustments!$B$8:$B$207,$B398,Adjustments!$H$8:$H$207,"Pipeline")+SUMIFS('Zoho Dump'!$Y$8:$Y$3007,'Zoho Dump'!$N$8:$N$3007,$B398,'Zoho Dump'!$T$8:$T$3007,"Overdue")+SUMIFS(Adjustments!$L$8:$L$207,Adjustments!$B$8:$B$207,$B398,Adjustments!$H$8:$H$207,"Overdue"))</f>
        <v>0</v>
      </c>
      <c r="F398" s="17" t="n">
        <f aca="false">IF($B398="",0,SUMIFS('Zoho Dump'!$X$8:$X$3007,'Zoho Dump'!$N$8:$N$3007,$B398,'Zoho Dump'!$T$8:$T$3007,"Pipeline")+SUMIFS(Adjustments!$K$8:$K$207,Adjustments!$B$8:$B$207,$B398,Adjustments!$H$8:$H$207,"Pipeline")+SUMIFS('Zoho Dump'!$X$8:$X$3007,'Zoho Dump'!$N$8:$N$3007,$B398,'Zoho Dump'!$T$8:$T$3007,"Overdue")+SUMIFS(Adjustments!$K$8:$K$207,Adjustments!$B$8:$B$207,$B398,Adjustments!$H$8:$H$207,"Overdue"))</f>
        <v>0</v>
      </c>
      <c r="G398" s="17" t="n">
        <f aca="false">D398+F398</f>
        <v>0</v>
      </c>
      <c r="H398" s="18" t="n">
        <f aca="false">IF(SUM($G$5:$G$404)=0,0,G398/SUM($G$5:$G$404))</f>
        <v>0</v>
      </c>
      <c r="I398" s="17" t="n">
        <f aca="false">IF($B398="",0,SUMIFS('Zoho Dump'!$Q$8:$Q$3007,'Zoho Dump'!$N$8:$N$3007,$B398,'Zoho Dump'!$T$8:$T$3007,"Lost",'Zoho Dump'!$R$8:$R$3007,"&gt;="&amp;Settings!$B$4))</f>
        <v>0</v>
      </c>
      <c r="J398" s="9" t="str">
        <f aca="false">IF($B398="","",IF(COUNTIF(Dashboard!$C$13:$C$22,$B398)&gt;0,"Yes",""))</f>
        <v/>
      </c>
      <c r="K398" s="17" t="n">
        <f aca="false">IF($B398="",0,SUMIFS('Zoho Dump'!$X$8:$X$3007,'Zoho Dump'!$N$8:$N$3007,$B398,'Zoho Dump'!$P$8:$P$3007,Settings!$A$12)+SUMIFS(Adjustments!$K$8:$K$207,Adjustments!$B$8:$B$207,$B398,Adjustments!$A$8:$A$207,Settings!$A$12))</f>
        <v>0</v>
      </c>
      <c r="L398" s="17" t="n">
        <f aca="false">IF($B398="",0,SUMIFS('Zoho Dump'!$X$8:$X$3007,'Zoho Dump'!$N$8:$N$3007,$B398,'Zoho Dump'!$P$8:$P$3007,Settings!$A$13)+SUMIFS(Adjustments!$K$8:$K$207,Adjustments!$B$8:$B$207,$B398,Adjustments!$A$8:$A$207,Settings!$A$13))</f>
        <v>0</v>
      </c>
      <c r="M398" s="17" t="n">
        <f aca="false">IF($B398="",0,SUMIFS('Zoho Dump'!$X$8:$X$3007,'Zoho Dump'!$N$8:$N$3007,$B398,'Zoho Dump'!$P$8:$P$3007,Settings!$A$14)+SUMIFS(Adjustments!$K$8:$K$207,Adjustments!$B$8:$B$207,$B398,Adjustments!$A$8:$A$207,Settings!$A$14))</f>
        <v>0</v>
      </c>
      <c r="N398" s="17" t="n">
        <f aca="false">IF($B398="",0,SUMIFS('Zoho Dump'!$X$8:$X$3007,'Zoho Dump'!$N$8:$N$3007,$B398,'Zoho Dump'!$P$8:$P$3007,Settings!$A$15)+SUMIFS(Adjustments!$K$8:$K$207,Adjustments!$B$8:$B$207,$B398,Adjustments!$A$8:$A$207,Settings!$A$15))</f>
        <v>0</v>
      </c>
      <c r="O398" s="17" t="n">
        <f aca="false">IF($B398="",0,SUMIFS('Zoho Dump'!$X$8:$X$3007,'Zoho Dump'!$N$8:$N$3007,$B398,'Zoho Dump'!$P$8:$P$3007,Settings!$A$16)+SUMIFS(Adjustments!$K$8:$K$207,Adjustments!$B$8:$B$207,$B398,Adjustments!$A$8:$A$207,Settings!$A$16))</f>
        <v>0</v>
      </c>
      <c r="P398" s="17" t="n">
        <f aca="false">IF($B398="",0,SUMIFS('Zoho Dump'!$X$8:$X$3007,'Zoho Dump'!$N$8:$N$3007,$B398,'Zoho Dump'!$P$8:$P$3007,Settings!$A$17)+SUMIFS(Adjustments!$K$8:$K$207,Adjustments!$B$8:$B$207,$B398,Adjustments!$A$8:$A$207,Settings!$A$17))</f>
        <v>0</v>
      </c>
      <c r="Q398" s="17" t="n">
        <f aca="false">IF($B398="",0,SUMIFS('Zoho Dump'!$X$8:$X$3007,'Zoho Dump'!$N$8:$N$3007,$B398,'Zoho Dump'!$P$8:$P$3007,Settings!$A$18)+SUMIFS(Adjustments!$K$8:$K$207,Adjustments!$B$8:$B$207,$B398,Adjustments!$A$8:$A$207,Settings!$A$18))</f>
        <v>0</v>
      </c>
      <c r="R398" s="30" t="str">
        <f aca="false">IF(G398&gt;0,G398+A398/10000000,"")</f>
        <v/>
      </c>
    </row>
    <row r="399" customFormat="false" ht="15" hidden="false" customHeight="false" outlineLevel="0" collapsed="false">
      <c r="A399" s="9" t="n">
        <v>395</v>
      </c>
      <c r="B399" s="9" t="str">
        <f aca="false">IFERROR(INDEX('Zoho Dump'!$N$8:$N$3007,MATCH(A399,'Zoho Dump'!$AB$8:$AB$3007,0)),"")</f>
        <v/>
      </c>
      <c r="C399" s="17" t="n">
        <f aca="false">IF($B399="",0,SUMIFS('Zoho Dump'!$Q$8:$Q$3007,'Zoho Dump'!$N$8:$N$3007,$B399,'Zoho Dump'!$T$8:$T$3007,"Delivered",'Zoho Dump'!$R$8:$R$3007,"&gt;="&amp;Settings!$B$4))</f>
        <v>0</v>
      </c>
      <c r="D399" s="17" t="n">
        <f aca="false">IF($B399="",0,SUMIFS('Zoho Dump'!$X$8:$X$3007,'Zoho Dump'!$N$8:$N$3007,$B399,'Zoho Dump'!$T$8:$T$3007,"Backlog")+SUMIFS(Adjustments!$K$8:$K$207,Adjustments!$B$8:$B$207,$B399,Adjustments!$H$8:$H$207,"Backlog"))</f>
        <v>0</v>
      </c>
      <c r="E399" s="17" t="n">
        <f aca="false">IF($B399="",0,SUMIFS('Zoho Dump'!$Y$8:$Y$3007,'Zoho Dump'!$N$8:$N$3007,$B399,'Zoho Dump'!$T$8:$T$3007,"Pipeline")+SUMIFS(Adjustments!$L$8:$L$207,Adjustments!$B$8:$B$207,$B399,Adjustments!$H$8:$H$207,"Pipeline")+SUMIFS('Zoho Dump'!$Y$8:$Y$3007,'Zoho Dump'!$N$8:$N$3007,$B399,'Zoho Dump'!$T$8:$T$3007,"Overdue")+SUMIFS(Adjustments!$L$8:$L$207,Adjustments!$B$8:$B$207,$B399,Adjustments!$H$8:$H$207,"Overdue"))</f>
        <v>0</v>
      </c>
      <c r="F399" s="17" t="n">
        <f aca="false">IF($B399="",0,SUMIFS('Zoho Dump'!$X$8:$X$3007,'Zoho Dump'!$N$8:$N$3007,$B399,'Zoho Dump'!$T$8:$T$3007,"Pipeline")+SUMIFS(Adjustments!$K$8:$K$207,Adjustments!$B$8:$B$207,$B399,Adjustments!$H$8:$H$207,"Pipeline")+SUMIFS('Zoho Dump'!$X$8:$X$3007,'Zoho Dump'!$N$8:$N$3007,$B399,'Zoho Dump'!$T$8:$T$3007,"Overdue")+SUMIFS(Adjustments!$K$8:$K$207,Adjustments!$B$8:$B$207,$B399,Adjustments!$H$8:$H$207,"Overdue"))</f>
        <v>0</v>
      </c>
      <c r="G399" s="17" t="n">
        <f aca="false">D399+F399</f>
        <v>0</v>
      </c>
      <c r="H399" s="18" t="n">
        <f aca="false">IF(SUM($G$5:$G$404)=0,0,G399/SUM($G$5:$G$404))</f>
        <v>0</v>
      </c>
      <c r="I399" s="17" t="n">
        <f aca="false">IF($B399="",0,SUMIFS('Zoho Dump'!$Q$8:$Q$3007,'Zoho Dump'!$N$8:$N$3007,$B399,'Zoho Dump'!$T$8:$T$3007,"Lost",'Zoho Dump'!$R$8:$R$3007,"&gt;="&amp;Settings!$B$4))</f>
        <v>0</v>
      </c>
      <c r="J399" s="9" t="str">
        <f aca="false">IF($B399="","",IF(COUNTIF(Dashboard!$C$13:$C$22,$B399)&gt;0,"Yes",""))</f>
        <v/>
      </c>
      <c r="K399" s="17" t="n">
        <f aca="false">IF($B399="",0,SUMIFS('Zoho Dump'!$X$8:$X$3007,'Zoho Dump'!$N$8:$N$3007,$B399,'Zoho Dump'!$P$8:$P$3007,Settings!$A$12)+SUMIFS(Adjustments!$K$8:$K$207,Adjustments!$B$8:$B$207,$B399,Adjustments!$A$8:$A$207,Settings!$A$12))</f>
        <v>0</v>
      </c>
      <c r="L399" s="17" t="n">
        <f aca="false">IF($B399="",0,SUMIFS('Zoho Dump'!$X$8:$X$3007,'Zoho Dump'!$N$8:$N$3007,$B399,'Zoho Dump'!$P$8:$P$3007,Settings!$A$13)+SUMIFS(Adjustments!$K$8:$K$207,Adjustments!$B$8:$B$207,$B399,Adjustments!$A$8:$A$207,Settings!$A$13))</f>
        <v>0</v>
      </c>
      <c r="M399" s="17" t="n">
        <f aca="false">IF($B399="",0,SUMIFS('Zoho Dump'!$X$8:$X$3007,'Zoho Dump'!$N$8:$N$3007,$B399,'Zoho Dump'!$P$8:$P$3007,Settings!$A$14)+SUMIFS(Adjustments!$K$8:$K$207,Adjustments!$B$8:$B$207,$B399,Adjustments!$A$8:$A$207,Settings!$A$14))</f>
        <v>0</v>
      </c>
      <c r="N399" s="17" t="n">
        <f aca="false">IF($B399="",0,SUMIFS('Zoho Dump'!$X$8:$X$3007,'Zoho Dump'!$N$8:$N$3007,$B399,'Zoho Dump'!$P$8:$P$3007,Settings!$A$15)+SUMIFS(Adjustments!$K$8:$K$207,Adjustments!$B$8:$B$207,$B399,Adjustments!$A$8:$A$207,Settings!$A$15))</f>
        <v>0</v>
      </c>
      <c r="O399" s="17" t="n">
        <f aca="false">IF($B399="",0,SUMIFS('Zoho Dump'!$X$8:$X$3007,'Zoho Dump'!$N$8:$N$3007,$B399,'Zoho Dump'!$P$8:$P$3007,Settings!$A$16)+SUMIFS(Adjustments!$K$8:$K$207,Adjustments!$B$8:$B$207,$B399,Adjustments!$A$8:$A$207,Settings!$A$16))</f>
        <v>0</v>
      </c>
      <c r="P399" s="17" t="n">
        <f aca="false">IF($B399="",0,SUMIFS('Zoho Dump'!$X$8:$X$3007,'Zoho Dump'!$N$8:$N$3007,$B399,'Zoho Dump'!$P$8:$P$3007,Settings!$A$17)+SUMIFS(Adjustments!$K$8:$K$207,Adjustments!$B$8:$B$207,$B399,Adjustments!$A$8:$A$207,Settings!$A$17))</f>
        <v>0</v>
      </c>
      <c r="Q399" s="17" t="n">
        <f aca="false">IF($B399="",0,SUMIFS('Zoho Dump'!$X$8:$X$3007,'Zoho Dump'!$N$8:$N$3007,$B399,'Zoho Dump'!$P$8:$P$3007,Settings!$A$18)+SUMIFS(Adjustments!$K$8:$K$207,Adjustments!$B$8:$B$207,$B399,Adjustments!$A$8:$A$207,Settings!$A$18))</f>
        <v>0</v>
      </c>
      <c r="R399" s="30" t="str">
        <f aca="false">IF(G399&gt;0,G399+A399/10000000,"")</f>
        <v/>
      </c>
    </row>
    <row r="400" customFormat="false" ht="15" hidden="false" customHeight="false" outlineLevel="0" collapsed="false">
      <c r="A400" s="9" t="n">
        <v>396</v>
      </c>
      <c r="B400" s="9" t="str">
        <f aca="false">IFERROR(INDEX('Zoho Dump'!$N$8:$N$3007,MATCH(A400,'Zoho Dump'!$AB$8:$AB$3007,0)),"")</f>
        <v/>
      </c>
      <c r="C400" s="17" t="n">
        <f aca="false">IF($B400="",0,SUMIFS('Zoho Dump'!$Q$8:$Q$3007,'Zoho Dump'!$N$8:$N$3007,$B400,'Zoho Dump'!$T$8:$T$3007,"Delivered",'Zoho Dump'!$R$8:$R$3007,"&gt;="&amp;Settings!$B$4))</f>
        <v>0</v>
      </c>
      <c r="D400" s="17" t="n">
        <f aca="false">IF($B400="",0,SUMIFS('Zoho Dump'!$X$8:$X$3007,'Zoho Dump'!$N$8:$N$3007,$B400,'Zoho Dump'!$T$8:$T$3007,"Backlog")+SUMIFS(Adjustments!$K$8:$K$207,Adjustments!$B$8:$B$207,$B400,Adjustments!$H$8:$H$207,"Backlog"))</f>
        <v>0</v>
      </c>
      <c r="E400" s="17" t="n">
        <f aca="false">IF($B400="",0,SUMIFS('Zoho Dump'!$Y$8:$Y$3007,'Zoho Dump'!$N$8:$N$3007,$B400,'Zoho Dump'!$T$8:$T$3007,"Pipeline")+SUMIFS(Adjustments!$L$8:$L$207,Adjustments!$B$8:$B$207,$B400,Adjustments!$H$8:$H$207,"Pipeline")+SUMIFS('Zoho Dump'!$Y$8:$Y$3007,'Zoho Dump'!$N$8:$N$3007,$B400,'Zoho Dump'!$T$8:$T$3007,"Overdue")+SUMIFS(Adjustments!$L$8:$L$207,Adjustments!$B$8:$B$207,$B400,Adjustments!$H$8:$H$207,"Overdue"))</f>
        <v>0</v>
      </c>
      <c r="F400" s="17" t="n">
        <f aca="false">IF($B400="",0,SUMIFS('Zoho Dump'!$X$8:$X$3007,'Zoho Dump'!$N$8:$N$3007,$B400,'Zoho Dump'!$T$8:$T$3007,"Pipeline")+SUMIFS(Adjustments!$K$8:$K$207,Adjustments!$B$8:$B$207,$B400,Adjustments!$H$8:$H$207,"Pipeline")+SUMIFS('Zoho Dump'!$X$8:$X$3007,'Zoho Dump'!$N$8:$N$3007,$B400,'Zoho Dump'!$T$8:$T$3007,"Overdue")+SUMIFS(Adjustments!$K$8:$K$207,Adjustments!$B$8:$B$207,$B400,Adjustments!$H$8:$H$207,"Overdue"))</f>
        <v>0</v>
      </c>
      <c r="G400" s="17" t="n">
        <f aca="false">D400+F400</f>
        <v>0</v>
      </c>
      <c r="H400" s="18" t="n">
        <f aca="false">IF(SUM($G$5:$G$404)=0,0,G400/SUM($G$5:$G$404))</f>
        <v>0</v>
      </c>
      <c r="I400" s="17" t="n">
        <f aca="false">IF($B400="",0,SUMIFS('Zoho Dump'!$Q$8:$Q$3007,'Zoho Dump'!$N$8:$N$3007,$B400,'Zoho Dump'!$T$8:$T$3007,"Lost",'Zoho Dump'!$R$8:$R$3007,"&gt;="&amp;Settings!$B$4))</f>
        <v>0</v>
      </c>
      <c r="J400" s="9" t="str">
        <f aca="false">IF($B400="","",IF(COUNTIF(Dashboard!$C$13:$C$22,$B400)&gt;0,"Yes",""))</f>
        <v/>
      </c>
      <c r="K400" s="17" t="n">
        <f aca="false">IF($B400="",0,SUMIFS('Zoho Dump'!$X$8:$X$3007,'Zoho Dump'!$N$8:$N$3007,$B400,'Zoho Dump'!$P$8:$P$3007,Settings!$A$12)+SUMIFS(Adjustments!$K$8:$K$207,Adjustments!$B$8:$B$207,$B400,Adjustments!$A$8:$A$207,Settings!$A$12))</f>
        <v>0</v>
      </c>
      <c r="L400" s="17" t="n">
        <f aca="false">IF($B400="",0,SUMIFS('Zoho Dump'!$X$8:$X$3007,'Zoho Dump'!$N$8:$N$3007,$B400,'Zoho Dump'!$P$8:$P$3007,Settings!$A$13)+SUMIFS(Adjustments!$K$8:$K$207,Adjustments!$B$8:$B$207,$B400,Adjustments!$A$8:$A$207,Settings!$A$13))</f>
        <v>0</v>
      </c>
      <c r="M400" s="17" t="n">
        <f aca="false">IF($B400="",0,SUMIFS('Zoho Dump'!$X$8:$X$3007,'Zoho Dump'!$N$8:$N$3007,$B400,'Zoho Dump'!$P$8:$P$3007,Settings!$A$14)+SUMIFS(Adjustments!$K$8:$K$207,Adjustments!$B$8:$B$207,$B400,Adjustments!$A$8:$A$207,Settings!$A$14))</f>
        <v>0</v>
      </c>
      <c r="N400" s="17" t="n">
        <f aca="false">IF($B400="",0,SUMIFS('Zoho Dump'!$X$8:$X$3007,'Zoho Dump'!$N$8:$N$3007,$B400,'Zoho Dump'!$P$8:$P$3007,Settings!$A$15)+SUMIFS(Adjustments!$K$8:$K$207,Adjustments!$B$8:$B$207,$B400,Adjustments!$A$8:$A$207,Settings!$A$15))</f>
        <v>0</v>
      </c>
      <c r="O400" s="17" t="n">
        <f aca="false">IF($B400="",0,SUMIFS('Zoho Dump'!$X$8:$X$3007,'Zoho Dump'!$N$8:$N$3007,$B400,'Zoho Dump'!$P$8:$P$3007,Settings!$A$16)+SUMIFS(Adjustments!$K$8:$K$207,Adjustments!$B$8:$B$207,$B400,Adjustments!$A$8:$A$207,Settings!$A$16))</f>
        <v>0</v>
      </c>
      <c r="P400" s="17" t="n">
        <f aca="false">IF($B400="",0,SUMIFS('Zoho Dump'!$X$8:$X$3007,'Zoho Dump'!$N$8:$N$3007,$B400,'Zoho Dump'!$P$8:$P$3007,Settings!$A$17)+SUMIFS(Adjustments!$K$8:$K$207,Adjustments!$B$8:$B$207,$B400,Adjustments!$A$8:$A$207,Settings!$A$17))</f>
        <v>0</v>
      </c>
      <c r="Q400" s="17" t="n">
        <f aca="false">IF($B400="",0,SUMIFS('Zoho Dump'!$X$8:$X$3007,'Zoho Dump'!$N$8:$N$3007,$B400,'Zoho Dump'!$P$8:$P$3007,Settings!$A$18)+SUMIFS(Adjustments!$K$8:$K$207,Adjustments!$B$8:$B$207,$B400,Adjustments!$A$8:$A$207,Settings!$A$18))</f>
        <v>0</v>
      </c>
      <c r="R400" s="30" t="str">
        <f aca="false">IF(G400&gt;0,G400+A400/10000000,"")</f>
        <v/>
      </c>
    </row>
    <row r="401" customFormat="false" ht="15" hidden="false" customHeight="false" outlineLevel="0" collapsed="false">
      <c r="A401" s="9" t="n">
        <v>397</v>
      </c>
      <c r="B401" s="9" t="str">
        <f aca="false">IFERROR(INDEX('Zoho Dump'!$N$8:$N$3007,MATCH(A401,'Zoho Dump'!$AB$8:$AB$3007,0)),"")</f>
        <v/>
      </c>
      <c r="C401" s="17" t="n">
        <f aca="false">IF($B401="",0,SUMIFS('Zoho Dump'!$Q$8:$Q$3007,'Zoho Dump'!$N$8:$N$3007,$B401,'Zoho Dump'!$T$8:$T$3007,"Delivered",'Zoho Dump'!$R$8:$R$3007,"&gt;="&amp;Settings!$B$4))</f>
        <v>0</v>
      </c>
      <c r="D401" s="17" t="n">
        <f aca="false">IF($B401="",0,SUMIFS('Zoho Dump'!$X$8:$X$3007,'Zoho Dump'!$N$8:$N$3007,$B401,'Zoho Dump'!$T$8:$T$3007,"Backlog")+SUMIFS(Adjustments!$K$8:$K$207,Adjustments!$B$8:$B$207,$B401,Adjustments!$H$8:$H$207,"Backlog"))</f>
        <v>0</v>
      </c>
      <c r="E401" s="17" t="n">
        <f aca="false">IF($B401="",0,SUMIFS('Zoho Dump'!$Y$8:$Y$3007,'Zoho Dump'!$N$8:$N$3007,$B401,'Zoho Dump'!$T$8:$T$3007,"Pipeline")+SUMIFS(Adjustments!$L$8:$L$207,Adjustments!$B$8:$B$207,$B401,Adjustments!$H$8:$H$207,"Pipeline")+SUMIFS('Zoho Dump'!$Y$8:$Y$3007,'Zoho Dump'!$N$8:$N$3007,$B401,'Zoho Dump'!$T$8:$T$3007,"Overdue")+SUMIFS(Adjustments!$L$8:$L$207,Adjustments!$B$8:$B$207,$B401,Adjustments!$H$8:$H$207,"Overdue"))</f>
        <v>0</v>
      </c>
      <c r="F401" s="17" t="n">
        <f aca="false">IF($B401="",0,SUMIFS('Zoho Dump'!$X$8:$X$3007,'Zoho Dump'!$N$8:$N$3007,$B401,'Zoho Dump'!$T$8:$T$3007,"Pipeline")+SUMIFS(Adjustments!$K$8:$K$207,Adjustments!$B$8:$B$207,$B401,Adjustments!$H$8:$H$207,"Pipeline")+SUMIFS('Zoho Dump'!$X$8:$X$3007,'Zoho Dump'!$N$8:$N$3007,$B401,'Zoho Dump'!$T$8:$T$3007,"Overdue")+SUMIFS(Adjustments!$K$8:$K$207,Adjustments!$B$8:$B$207,$B401,Adjustments!$H$8:$H$207,"Overdue"))</f>
        <v>0</v>
      </c>
      <c r="G401" s="17" t="n">
        <f aca="false">D401+F401</f>
        <v>0</v>
      </c>
      <c r="H401" s="18" t="n">
        <f aca="false">IF(SUM($G$5:$G$404)=0,0,G401/SUM($G$5:$G$404))</f>
        <v>0</v>
      </c>
      <c r="I401" s="17" t="n">
        <f aca="false">IF($B401="",0,SUMIFS('Zoho Dump'!$Q$8:$Q$3007,'Zoho Dump'!$N$8:$N$3007,$B401,'Zoho Dump'!$T$8:$T$3007,"Lost",'Zoho Dump'!$R$8:$R$3007,"&gt;="&amp;Settings!$B$4))</f>
        <v>0</v>
      </c>
      <c r="J401" s="9" t="str">
        <f aca="false">IF($B401="","",IF(COUNTIF(Dashboard!$C$13:$C$22,$B401)&gt;0,"Yes",""))</f>
        <v/>
      </c>
      <c r="K401" s="17" t="n">
        <f aca="false">IF($B401="",0,SUMIFS('Zoho Dump'!$X$8:$X$3007,'Zoho Dump'!$N$8:$N$3007,$B401,'Zoho Dump'!$P$8:$P$3007,Settings!$A$12)+SUMIFS(Adjustments!$K$8:$K$207,Adjustments!$B$8:$B$207,$B401,Adjustments!$A$8:$A$207,Settings!$A$12))</f>
        <v>0</v>
      </c>
      <c r="L401" s="17" t="n">
        <f aca="false">IF($B401="",0,SUMIFS('Zoho Dump'!$X$8:$X$3007,'Zoho Dump'!$N$8:$N$3007,$B401,'Zoho Dump'!$P$8:$P$3007,Settings!$A$13)+SUMIFS(Adjustments!$K$8:$K$207,Adjustments!$B$8:$B$207,$B401,Adjustments!$A$8:$A$207,Settings!$A$13))</f>
        <v>0</v>
      </c>
      <c r="M401" s="17" t="n">
        <f aca="false">IF($B401="",0,SUMIFS('Zoho Dump'!$X$8:$X$3007,'Zoho Dump'!$N$8:$N$3007,$B401,'Zoho Dump'!$P$8:$P$3007,Settings!$A$14)+SUMIFS(Adjustments!$K$8:$K$207,Adjustments!$B$8:$B$207,$B401,Adjustments!$A$8:$A$207,Settings!$A$14))</f>
        <v>0</v>
      </c>
      <c r="N401" s="17" t="n">
        <f aca="false">IF($B401="",0,SUMIFS('Zoho Dump'!$X$8:$X$3007,'Zoho Dump'!$N$8:$N$3007,$B401,'Zoho Dump'!$P$8:$P$3007,Settings!$A$15)+SUMIFS(Adjustments!$K$8:$K$207,Adjustments!$B$8:$B$207,$B401,Adjustments!$A$8:$A$207,Settings!$A$15))</f>
        <v>0</v>
      </c>
      <c r="O401" s="17" t="n">
        <f aca="false">IF($B401="",0,SUMIFS('Zoho Dump'!$X$8:$X$3007,'Zoho Dump'!$N$8:$N$3007,$B401,'Zoho Dump'!$P$8:$P$3007,Settings!$A$16)+SUMIFS(Adjustments!$K$8:$K$207,Adjustments!$B$8:$B$207,$B401,Adjustments!$A$8:$A$207,Settings!$A$16))</f>
        <v>0</v>
      </c>
      <c r="P401" s="17" t="n">
        <f aca="false">IF($B401="",0,SUMIFS('Zoho Dump'!$X$8:$X$3007,'Zoho Dump'!$N$8:$N$3007,$B401,'Zoho Dump'!$P$8:$P$3007,Settings!$A$17)+SUMIFS(Adjustments!$K$8:$K$207,Adjustments!$B$8:$B$207,$B401,Adjustments!$A$8:$A$207,Settings!$A$17))</f>
        <v>0</v>
      </c>
      <c r="Q401" s="17" t="n">
        <f aca="false">IF($B401="",0,SUMIFS('Zoho Dump'!$X$8:$X$3007,'Zoho Dump'!$N$8:$N$3007,$B401,'Zoho Dump'!$P$8:$P$3007,Settings!$A$18)+SUMIFS(Adjustments!$K$8:$K$207,Adjustments!$B$8:$B$207,$B401,Adjustments!$A$8:$A$207,Settings!$A$18))</f>
        <v>0</v>
      </c>
      <c r="R401" s="30" t="str">
        <f aca="false">IF(G401&gt;0,G401+A401/10000000,"")</f>
        <v/>
      </c>
    </row>
    <row r="402" customFormat="false" ht="15" hidden="false" customHeight="false" outlineLevel="0" collapsed="false">
      <c r="A402" s="9" t="n">
        <v>398</v>
      </c>
      <c r="B402" s="9" t="str">
        <f aca="false">IFERROR(INDEX('Zoho Dump'!$N$8:$N$3007,MATCH(A402,'Zoho Dump'!$AB$8:$AB$3007,0)),"")</f>
        <v/>
      </c>
      <c r="C402" s="17" t="n">
        <f aca="false">IF($B402="",0,SUMIFS('Zoho Dump'!$Q$8:$Q$3007,'Zoho Dump'!$N$8:$N$3007,$B402,'Zoho Dump'!$T$8:$T$3007,"Delivered",'Zoho Dump'!$R$8:$R$3007,"&gt;="&amp;Settings!$B$4))</f>
        <v>0</v>
      </c>
      <c r="D402" s="17" t="n">
        <f aca="false">IF($B402="",0,SUMIFS('Zoho Dump'!$X$8:$X$3007,'Zoho Dump'!$N$8:$N$3007,$B402,'Zoho Dump'!$T$8:$T$3007,"Backlog")+SUMIFS(Adjustments!$K$8:$K$207,Adjustments!$B$8:$B$207,$B402,Adjustments!$H$8:$H$207,"Backlog"))</f>
        <v>0</v>
      </c>
      <c r="E402" s="17" t="n">
        <f aca="false">IF($B402="",0,SUMIFS('Zoho Dump'!$Y$8:$Y$3007,'Zoho Dump'!$N$8:$N$3007,$B402,'Zoho Dump'!$T$8:$T$3007,"Pipeline")+SUMIFS(Adjustments!$L$8:$L$207,Adjustments!$B$8:$B$207,$B402,Adjustments!$H$8:$H$207,"Pipeline")+SUMIFS('Zoho Dump'!$Y$8:$Y$3007,'Zoho Dump'!$N$8:$N$3007,$B402,'Zoho Dump'!$T$8:$T$3007,"Overdue")+SUMIFS(Adjustments!$L$8:$L$207,Adjustments!$B$8:$B$207,$B402,Adjustments!$H$8:$H$207,"Overdue"))</f>
        <v>0</v>
      </c>
      <c r="F402" s="17" t="n">
        <f aca="false">IF($B402="",0,SUMIFS('Zoho Dump'!$X$8:$X$3007,'Zoho Dump'!$N$8:$N$3007,$B402,'Zoho Dump'!$T$8:$T$3007,"Pipeline")+SUMIFS(Adjustments!$K$8:$K$207,Adjustments!$B$8:$B$207,$B402,Adjustments!$H$8:$H$207,"Pipeline")+SUMIFS('Zoho Dump'!$X$8:$X$3007,'Zoho Dump'!$N$8:$N$3007,$B402,'Zoho Dump'!$T$8:$T$3007,"Overdue")+SUMIFS(Adjustments!$K$8:$K$207,Adjustments!$B$8:$B$207,$B402,Adjustments!$H$8:$H$207,"Overdue"))</f>
        <v>0</v>
      </c>
      <c r="G402" s="17" t="n">
        <f aca="false">D402+F402</f>
        <v>0</v>
      </c>
      <c r="H402" s="18" t="n">
        <f aca="false">IF(SUM($G$5:$G$404)=0,0,G402/SUM($G$5:$G$404))</f>
        <v>0</v>
      </c>
      <c r="I402" s="17" t="n">
        <f aca="false">IF($B402="",0,SUMIFS('Zoho Dump'!$Q$8:$Q$3007,'Zoho Dump'!$N$8:$N$3007,$B402,'Zoho Dump'!$T$8:$T$3007,"Lost",'Zoho Dump'!$R$8:$R$3007,"&gt;="&amp;Settings!$B$4))</f>
        <v>0</v>
      </c>
      <c r="J402" s="9" t="str">
        <f aca="false">IF($B402="","",IF(COUNTIF(Dashboard!$C$13:$C$22,$B402)&gt;0,"Yes",""))</f>
        <v/>
      </c>
      <c r="K402" s="17" t="n">
        <f aca="false">IF($B402="",0,SUMIFS('Zoho Dump'!$X$8:$X$3007,'Zoho Dump'!$N$8:$N$3007,$B402,'Zoho Dump'!$P$8:$P$3007,Settings!$A$12)+SUMIFS(Adjustments!$K$8:$K$207,Adjustments!$B$8:$B$207,$B402,Adjustments!$A$8:$A$207,Settings!$A$12))</f>
        <v>0</v>
      </c>
      <c r="L402" s="17" t="n">
        <f aca="false">IF($B402="",0,SUMIFS('Zoho Dump'!$X$8:$X$3007,'Zoho Dump'!$N$8:$N$3007,$B402,'Zoho Dump'!$P$8:$P$3007,Settings!$A$13)+SUMIFS(Adjustments!$K$8:$K$207,Adjustments!$B$8:$B$207,$B402,Adjustments!$A$8:$A$207,Settings!$A$13))</f>
        <v>0</v>
      </c>
      <c r="M402" s="17" t="n">
        <f aca="false">IF($B402="",0,SUMIFS('Zoho Dump'!$X$8:$X$3007,'Zoho Dump'!$N$8:$N$3007,$B402,'Zoho Dump'!$P$8:$P$3007,Settings!$A$14)+SUMIFS(Adjustments!$K$8:$K$207,Adjustments!$B$8:$B$207,$B402,Adjustments!$A$8:$A$207,Settings!$A$14))</f>
        <v>0</v>
      </c>
      <c r="N402" s="17" t="n">
        <f aca="false">IF($B402="",0,SUMIFS('Zoho Dump'!$X$8:$X$3007,'Zoho Dump'!$N$8:$N$3007,$B402,'Zoho Dump'!$P$8:$P$3007,Settings!$A$15)+SUMIFS(Adjustments!$K$8:$K$207,Adjustments!$B$8:$B$207,$B402,Adjustments!$A$8:$A$207,Settings!$A$15))</f>
        <v>0</v>
      </c>
      <c r="O402" s="17" t="n">
        <f aca="false">IF($B402="",0,SUMIFS('Zoho Dump'!$X$8:$X$3007,'Zoho Dump'!$N$8:$N$3007,$B402,'Zoho Dump'!$P$8:$P$3007,Settings!$A$16)+SUMIFS(Adjustments!$K$8:$K$207,Adjustments!$B$8:$B$207,$B402,Adjustments!$A$8:$A$207,Settings!$A$16))</f>
        <v>0</v>
      </c>
      <c r="P402" s="17" t="n">
        <f aca="false">IF($B402="",0,SUMIFS('Zoho Dump'!$X$8:$X$3007,'Zoho Dump'!$N$8:$N$3007,$B402,'Zoho Dump'!$P$8:$P$3007,Settings!$A$17)+SUMIFS(Adjustments!$K$8:$K$207,Adjustments!$B$8:$B$207,$B402,Adjustments!$A$8:$A$207,Settings!$A$17))</f>
        <v>0</v>
      </c>
      <c r="Q402" s="17" t="n">
        <f aca="false">IF($B402="",0,SUMIFS('Zoho Dump'!$X$8:$X$3007,'Zoho Dump'!$N$8:$N$3007,$B402,'Zoho Dump'!$P$8:$P$3007,Settings!$A$18)+SUMIFS(Adjustments!$K$8:$K$207,Adjustments!$B$8:$B$207,$B402,Adjustments!$A$8:$A$207,Settings!$A$18))</f>
        <v>0</v>
      </c>
      <c r="R402" s="30" t="str">
        <f aca="false">IF(G402&gt;0,G402+A402/10000000,"")</f>
        <v/>
      </c>
    </row>
    <row r="403" customFormat="false" ht="15" hidden="false" customHeight="false" outlineLevel="0" collapsed="false">
      <c r="A403" s="9" t="n">
        <v>399</v>
      </c>
      <c r="B403" s="9" t="str">
        <f aca="false">IFERROR(INDEX('Zoho Dump'!$N$8:$N$3007,MATCH(A403,'Zoho Dump'!$AB$8:$AB$3007,0)),"")</f>
        <v/>
      </c>
      <c r="C403" s="17" t="n">
        <f aca="false">IF($B403="",0,SUMIFS('Zoho Dump'!$Q$8:$Q$3007,'Zoho Dump'!$N$8:$N$3007,$B403,'Zoho Dump'!$T$8:$T$3007,"Delivered",'Zoho Dump'!$R$8:$R$3007,"&gt;="&amp;Settings!$B$4))</f>
        <v>0</v>
      </c>
      <c r="D403" s="17" t="n">
        <f aca="false">IF($B403="",0,SUMIFS('Zoho Dump'!$X$8:$X$3007,'Zoho Dump'!$N$8:$N$3007,$B403,'Zoho Dump'!$T$8:$T$3007,"Backlog")+SUMIFS(Adjustments!$K$8:$K$207,Adjustments!$B$8:$B$207,$B403,Adjustments!$H$8:$H$207,"Backlog"))</f>
        <v>0</v>
      </c>
      <c r="E403" s="17" t="n">
        <f aca="false">IF($B403="",0,SUMIFS('Zoho Dump'!$Y$8:$Y$3007,'Zoho Dump'!$N$8:$N$3007,$B403,'Zoho Dump'!$T$8:$T$3007,"Pipeline")+SUMIFS(Adjustments!$L$8:$L$207,Adjustments!$B$8:$B$207,$B403,Adjustments!$H$8:$H$207,"Pipeline")+SUMIFS('Zoho Dump'!$Y$8:$Y$3007,'Zoho Dump'!$N$8:$N$3007,$B403,'Zoho Dump'!$T$8:$T$3007,"Overdue")+SUMIFS(Adjustments!$L$8:$L$207,Adjustments!$B$8:$B$207,$B403,Adjustments!$H$8:$H$207,"Overdue"))</f>
        <v>0</v>
      </c>
      <c r="F403" s="17" t="n">
        <f aca="false">IF($B403="",0,SUMIFS('Zoho Dump'!$X$8:$X$3007,'Zoho Dump'!$N$8:$N$3007,$B403,'Zoho Dump'!$T$8:$T$3007,"Pipeline")+SUMIFS(Adjustments!$K$8:$K$207,Adjustments!$B$8:$B$207,$B403,Adjustments!$H$8:$H$207,"Pipeline")+SUMIFS('Zoho Dump'!$X$8:$X$3007,'Zoho Dump'!$N$8:$N$3007,$B403,'Zoho Dump'!$T$8:$T$3007,"Overdue")+SUMIFS(Adjustments!$K$8:$K$207,Adjustments!$B$8:$B$207,$B403,Adjustments!$H$8:$H$207,"Overdue"))</f>
        <v>0</v>
      </c>
      <c r="G403" s="17" t="n">
        <f aca="false">D403+F403</f>
        <v>0</v>
      </c>
      <c r="H403" s="18" t="n">
        <f aca="false">IF(SUM($G$5:$G$404)=0,0,G403/SUM($G$5:$G$404))</f>
        <v>0</v>
      </c>
      <c r="I403" s="17" t="n">
        <f aca="false">IF($B403="",0,SUMIFS('Zoho Dump'!$Q$8:$Q$3007,'Zoho Dump'!$N$8:$N$3007,$B403,'Zoho Dump'!$T$8:$T$3007,"Lost",'Zoho Dump'!$R$8:$R$3007,"&gt;="&amp;Settings!$B$4))</f>
        <v>0</v>
      </c>
      <c r="J403" s="9" t="str">
        <f aca="false">IF($B403="","",IF(COUNTIF(Dashboard!$C$13:$C$22,$B403)&gt;0,"Yes",""))</f>
        <v/>
      </c>
      <c r="K403" s="17" t="n">
        <f aca="false">IF($B403="",0,SUMIFS('Zoho Dump'!$X$8:$X$3007,'Zoho Dump'!$N$8:$N$3007,$B403,'Zoho Dump'!$P$8:$P$3007,Settings!$A$12)+SUMIFS(Adjustments!$K$8:$K$207,Adjustments!$B$8:$B$207,$B403,Adjustments!$A$8:$A$207,Settings!$A$12))</f>
        <v>0</v>
      </c>
      <c r="L403" s="17" t="n">
        <f aca="false">IF($B403="",0,SUMIFS('Zoho Dump'!$X$8:$X$3007,'Zoho Dump'!$N$8:$N$3007,$B403,'Zoho Dump'!$P$8:$P$3007,Settings!$A$13)+SUMIFS(Adjustments!$K$8:$K$207,Adjustments!$B$8:$B$207,$B403,Adjustments!$A$8:$A$207,Settings!$A$13))</f>
        <v>0</v>
      </c>
      <c r="M403" s="17" t="n">
        <f aca="false">IF($B403="",0,SUMIFS('Zoho Dump'!$X$8:$X$3007,'Zoho Dump'!$N$8:$N$3007,$B403,'Zoho Dump'!$P$8:$P$3007,Settings!$A$14)+SUMIFS(Adjustments!$K$8:$K$207,Adjustments!$B$8:$B$207,$B403,Adjustments!$A$8:$A$207,Settings!$A$14))</f>
        <v>0</v>
      </c>
      <c r="N403" s="17" t="n">
        <f aca="false">IF($B403="",0,SUMIFS('Zoho Dump'!$X$8:$X$3007,'Zoho Dump'!$N$8:$N$3007,$B403,'Zoho Dump'!$P$8:$P$3007,Settings!$A$15)+SUMIFS(Adjustments!$K$8:$K$207,Adjustments!$B$8:$B$207,$B403,Adjustments!$A$8:$A$207,Settings!$A$15))</f>
        <v>0</v>
      </c>
      <c r="O403" s="17" t="n">
        <f aca="false">IF($B403="",0,SUMIFS('Zoho Dump'!$X$8:$X$3007,'Zoho Dump'!$N$8:$N$3007,$B403,'Zoho Dump'!$P$8:$P$3007,Settings!$A$16)+SUMIFS(Adjustments!$K$8:$K$207,Adjustments!$B$8:$B$207,$B403,Adjustments!$A$8:$A$207,Settings!$A$16))</f>
        <v>0</v>
      </c>
      <c r="P403" s="17" t="n">
        <f aca="false">IF($B403="",0,SUMIFS('Zoho Dump'!$X$8:$X$3007,'Zoho Dump'!$N$8:$N$3007,$B403,'Zoho Dump'!$P$8:$P$3007,Settings!$A$17)+SUMIFS(Adjustments!$K$8:$K$207,Adjustments!$B$8:$B$207,$B403,Adjustments!$A$8:$A$207,Settings!$A$17))</f>
        <v>0</v>
      </c>
      <c r="Q403" s="17" t="n">
        <f aca="false">IF($B403="",0,SUMIFS('Zoho Dump'!$X$8:$X$3007,'Zoho Dump'!$N$8:$N$3007,$B403,'Zoho Dump'!$P$8:$P$3007,Settings!$A$18)+SUMIFS(Adjustments!$K$8:$K$207,Adjustments!$B$8:$B$207,$B403,Adjustments!$A$8:$A$207,Settings!$A$18))</f>
        <v>0</v>
      </c>
      <c r="R403" s="30" t="str">
        <f aca="false">IF(G403&gt;0,G403+A403/10000000,"")</f>
        <v/>
      </c>
    </row>
    <row r="404" customFormat="false" ht="15" hidden="false" customHeight="false" outlineLevel="0" collapsed="false">
      <c r="A404" s="9" t="n">
        <v>400</v>
      </c>
      <c r="B404" s="9" t="str">
        <f aca="false">IFERROR(INDEX('Zoho Dump'!$N$8:$N$3007,MATCH(A404,'Zoho Dump'!$AB$8:$AB$3007,0)),"")</f>
        <v/>
      </c>
      <c r="C404" s="17" t="n">
        <f aca="false">IF($B404="",0,SUMIFS('Zoho Dump'!$Q$8:$Q$3007,'Zoho Dump'!$N$8:$N$3007,$B404,'Zoho Dump'!$T$8:$T$3007,"Delivered",'Zoho Dump'!$R$8:$R$3007,"&gt;="&amp;Settings!$B$4))</f>
        <v>0</v>
      </c>
      <c r="D404" s="17" t="n">
        <f aca="false">IF($B404="",0,SUMIFS('Zoho Dump'!$X$8:$X$3007,'Zoho Dump'!$N$8:$N$3007,$B404,'Zoho Dump'!$T$8:$T$3007,"Backlog")+SUMIFS(Adjustments!$K$8:$K$207,Adjustments!$B$8:$B$207,$B404,Adjustments!$H$8:$H$207,"Backlog"))</f>
        <v>0</v>
      </c>
      <c r="E404" s="17" t="n">
        <f aca="false">IF($B404="",0,SUMIFS('Zoho Dump'!$Y$8:$Y$3007,'Zoho Dump'!$N$8:$N$3007,$B404,'Zoho Dump'!$T$8:$T$3007,"Pipeline")+SUMIFS(Adjustments!$L$8:$L$207,Adjustments!$B$8:$B$207,$B404,Adjustments!$H$8:$H$207,"Pipeline")+SUMIFS('Zoho Dump'!$Y$8:$Y$3007,'Zoho Dump'!$N$8:$N$3007,$B404,'Zoho Dump'!$T$8:$T$3007,"Overdue")+SUMIFS(Adjustments!$L$8:$L$207,Adjustments!$B$8:$B$207,$B404,Adjustments!$H$8:$H$207,"Overdue"))</f>
        <v>0</v>
      </c>
      <c r="F404" s="17" t="n">
        <f aca="false">IF($B404="",0,SUMIFS('Zoho Dump'!$X$8:$X$3007,'Zoho Dump'!$N$8:$N$3007,$B404,'Zoho Dump'!$T$8:$T$3007,"Pipeline")+SUMIFS(Adjustments!$K$8:$K$207,Adjustments!$B$8:$B$207,$B404,Adjustments!$H$8:$H$207,"Pipeline")+SUMIFS('Zoho Dump'!$X$8:$X$3007,'Zoho Dump'!$N$8:$N$3007,$B404,'Zoho Dump'!$T$8:$T$3007,"Overdue")+SUMIFS(Adjustments!$K$8:$K$207,Adjustments!$B$8:$B$207,$B404,Adjustments!$H$8:$H$207,"Overdue"))</f>
        <v>0</v>
      </c>
      <c r="G404" s="17" t="n">
        <f aca="false">D404+F404</f>
        <v>0</v>
      </c>
      <c r="H404" s="18" t="n">
        <f aca="false">IF(SUM($G$5:$G$404)=0,0,G404/SUM($G$5:$G$404))</f>
        <v>0</v>
      </c>
      <c r="I404" s="17" t="n">
        <f aca="false">IF($B404="",0,SUMIFS('Zoho Dump'!$Q$8:$Q$3007,'Zoho Dump'!$N$8:$N$3007,$B404,'Zoho Dump'!$T$8:$T$3007,"Lost",'Zoho Dump'!$R$8:$R$3007,"&gt;="&amp;Settings!$B$4))</f>
        <v>0</v>
      </c>
      <c r="J404" s="9" t="str">
        <f aca="false">IF($B404="","",IF(COUNTIF(Dashboard!$C$13:$C$22,$B404)&gt;0,"Yes",""))</f>
        <v/>
      </c>
      <c r="K404" s="17" t="n">
        <f aca="false">IF($B404="",0,SUMIFS('Zoho Dump'!$X$8:$X$3007,'Zoho Dump'!$N$8:$N$3007,$B404,'Zoho Dump'!$P$8:$P$3007,Settings!$A$12)+SUMIFS(Adjustments!$K$8:$K$207,Adjustments!$B$8:$B$207,$B404,Adjustments!$A$8:$A$207,Settings!$A$12))</f>
        <v>0</v>
      </c>
      <c r="L404" s="17" t="n">
        <f aca="false">IF($B404="",0,SUMIFS('Zoho Dump'!$X$8:$X$3007,'Zoho Dump'!$N$8:$N$3007,$B404,'Zoho Dump'!$P$8:$P$3007,Settings!$A$13)+SUMIFS(Adjustments!$K$8:$K$207,Adjustments!$B$8:$B$207,$B404,Adjustments!$A$8:$A$207,Settings!$A$13))</f>
        <v>0</v>
      </c>
      <c r="M404" s="17" t="n">
        <f aca="false">IF($B404="",0,SUMIFS('Zoho Dump'!$X$8:$X$3007,'Zoho Dump'!$N$8:$N$3007,$B404,'Zoho Dump'!$P$8:$P$3007,Settings!$A$14)+SUMIFS(Adjustments!$K$8:$K$207,Adjustments!$B$8:$B$207,$B404,Adjustments!$A$8:$A$207,Settings!$A$14))</f>
        <v>0</v>
      </c>
      <c r="N404" s="17" t="n">
        <f aca="false">IF($B404="",0,SUMIFS('Zoho Dump'!$X$8:$X$3007,'Zoho Dump'!$N$8:$N$3007,$B404,'Zoho Dump'!$P$8:$P$3007,Settings!$A$15)+SUMIFS(Adjustments!$K$8:$K$207,Adjustments!$B$8:$B$207,$B404,Adjustments!$A$8:$A$207,Settings!$A$15))</f>
        <v>0</v>
      </c>
      <c r="O404" s="17" t="n">
        <f aca="false">IF($B404="",0,SUMIFS('Zoho Dump'!$X$8:$X$3007,'Zoho Dump'!$N$8:$N$3007,$B404,'Zoho Dump'!$P$8:$P$3007,Settings!$A$16)+SUMIFS(Adjustments!$K$8:$K$207,Adjustments!$B$8:$B$207,$B404,Adjustments!$A$8:$A$207,Settings!$A$16))</f>
        <v>0</v>
      </c>
      <c r="P404" s="17" t="n">
        <f aca="false">IF($B404="",0,SUMIFS('Zoho Dump'!$X$8:$X$3007,'Zoho Dump'!$N$8:$N$3007,$B404,'Zoho Dump'!$P$8:$P$3007,Settings!$A$17)+SUMIFS(Adjustments!$K$8:$K$207,Adjustments!$B$8:$B$207,$B404,Adjustments!$A$8:$A$207,Settings!$A$17))</f>
        <v>0</v>
      </c>
      <c r="Q404" s="17" t="n">
        <f aca="false">IF($B404="",0,SUMIFS('Zoho Dump'!$X$8:$X$3007,'Zoho Dump'!$N$8:$N$3007,$B404,'Zoho Dump'!$P$8:$P$3007,Settings!$A$18)+SUMIFS(Adjustments!$K$8:$K$207,Adjustments!$B$8:$B$207,$B404,Adjustments!$A$8:$A$207,Settings!$A$18))</f>
        <v>0</v>
      </c>
      <c r="R404" s="30" t="str">
        <f aca="false">IF(G404&gt;0,G404+A404/10000000,"")</f>
        <v/>
      </c>
    </row>
    <row r="405" customFormat="false" ht="15" hidden="false" customHeight="false" outlineLevel="0" collapsed="false">
      <c r="B405" s="20" t="s">
        <v>55</v>
      </c>
      <c r="C405" s="21" t="n">
        <f aca="false">SUM(C5:C404)</f>
        <v>879921</v>
      </c>
      <c r="D405" s="21" t="n">
        <f aca="false">SUM(D5:D404)</f>
        <v>85402</v>
      </c>
      <c r="E405" s="21" t="n">
        <f aca="false">SUM(E5:E404)</f>
        <v>1124477</v>
      </c>
      <c r="F405" s="21" t="n">
        <f aca="false">SUM(F5:F404)</f>
        <v>767799.7</v>
      </c>
      <c r="G405" s="21" t="n">
        <f aca="false">SUM(G5:G404)</f>
        <v>853201.7</v>
      </c>
      <c r="H405" s="22" t="n">
        <f aca="false">SUM(H5:H404)</f>
        <v>1</v>
      </c>
      <c r="I405" s="21" t="n">
        <f aca="false">SUM(I5:I404)</f>
        <v>1140606</v>
      </c>
      <c r="K405" s="21" t="n">
        <f aca="false">SUM(K5:K404)</f>
        <v>69500</v>
      </c>
      <c r="L405" s="21" t="n">
        <f aca="false">SUM(L5:L404)</f>
        <v>702104.5</v>
      </c>
      <c r="M405" s="21" t="n">
        <f aca="false">SUM(M5:M404)</f>
        <v>12597.5</v>
      </c>
      <c r="N405" s="21" t="n">
        <f aca="false">SUM(N5:N404)</f>
        <v>15000</v>
      </c>
      <c r="O405" s="21" t="n">
        <f aca="false">SUM(O5:O404)</f>
        <v>53999.7</v>
      </c>
      <c r="P405" s="21" t="n">
        <f aca="false">SUM(P5:P404)</f>
        <v>0</v>
      </c>
      <c r="Q405" s="21" t="n">
        <f aca="false">SUM(Q5:Q404)</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AB30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50"/>
    <col collapsed="false" customWidth="true" hidden="false" outlineLevel="0" max="3" min="3" style="0" width="34"/>
    <col collapsed="false" customWidth="true" hidden="false" outlineLevel="0" max="4" min="4" style="0" width="16"/>
    <col collapsed="false" customWidth="true" hidden="false" outlineLevel="0" max="5" min="5" style="0" width="18"/>
    <col collapsed="false" customWidth="true" hidden="false" outlineLevel="0" max="6" min="6" style="0" width="13"/>
    <col collapsed="false" customWidth="true" hidden="false" outlineLevel="0" max="7" min="7" style="0" width="16"/>
    <col collapsed="false" customWidth="true" hidden="false" outlineLevel="0" max="9" min="8" style="0" width="10"/>
    <col collapsed="false" customWidth="true" hidden="false" outlineLevel="0" max="10" min="10" style="0" width="3"/>
    <col collapsed="false" customWidth="true" hidden="false" outlineLevel="0" max="12" min="12" style="0" width="13"/>
    <col collapsed="false" customWidth="true" hidden="false" outlineLevel="0" max="13" min="13" style="0" width="30"/>
    <col collapsed="false" customWidth="true" hidden="false" outlineLevel="0" max="14" min="14" style="0" width="26"/>
    <col collapsed="false" customWidth="true" hidden="false" outlineLevel="0" max="28" min="15" style="0" width="13"/>
  </cols>
  <sheetData>
    <row r="1" customFormat="false" ht="15" hidden="false" customHeight="false" outlineLevel="0" collapsed="false">
      <c r="L1" s="31" t="s">
        <v>111</v>
      </c>
    </row>
    <row r="2" customFormat="false" ht="15" hidden="false" customHeight="false" outlineLevel="0" collapsed="false">
      <c r="A2" s="32" t="s">
        <v>112</v>
      </c>
    </row>
    <row r="3" customFormat="false" ht="15" hidden="false" customHeight="false" outlineLevel="0" collapsed="false">
      <c r="A3" s="32" t="s">
        <v>113</v>
      </c>
      <c r="L3" s="4" t="s">
        <v>114</v>
      </c>
    </row>
    <row r="5" customFormat="false" ht="15" hidden="false" customHeight="false" outlineLevel="0" collapsed="false">
      <c r="A5" s="32" t="s">
        <v>115</v>
      </c>
      <c r="L5" s="15" t="s">
        <v>116</v>
      </c>
      <c r="M5" s="15" t="s">
        <v>117</v>
      </c>
      <c r="N5" s="15" t="s">
        <v>118</v>
      </c>
      <c r="O5" s="15" t="s">
        <v>119</v>
      </c>
      <c r="Q5" s="15" t="s">
        <v>120</v>
      </c>
      <c r="R5" s="15" t="s">
        <v>121</v>
      </c>
    </row>
    <row r="6" customFormat="false" ht="15" hidden="false" customHeight="false" outlineLevel="0" collapsed="false">
      <c r="L6" s="15" t="n">
        <f aca="false">IFERROR(MATCH("Stage",$A$7:$J$7,0),0)</f>
        <v>1</v>
      </c>
      <c r="M6" s="15" t="n">
        <f aca="false">IFERROR(MATCH("Deal Name",$A$7:$J$7,0),0)</f>
        <v>2</v>
      </c>
      <c r="N6" s="15" t="n">
        <f aca="false">IFERROR(MATCH("Account Name",$A$7:$J$7,0),0)</f>
        <v>3</v>
      </c>
      <c r="O6" s="15" t="n">
        <f aca="false">IFERROR(MATCH("CTS DEPARTMENT",$A$7:$J$7,0),0)</f>
        <v>5</v>
      </c>
      <c r="Q6" s="15" t="n">
        <f aca="false">IFERROR(MATCH("Amount*",$A$7:$J$7,0),0)</f>
        <v>4</v>
      </c>
      <c r="R6" s="15" t="n">
        <f aca="false">IFERROR(MATCH("Closing Date",$A$7:$J$7,0),0)</f>
        <v>6</v>
      </c>
    </row>
    <row r="7" customFormat="false" ht="39.75" hidden="false" customHeight="true" outlineLevel="0" collapsed="false">
      <c r="A7" s="33" t="s">
        <v>116</v>
      </c>
      <c r="B7" s="33" t="s">
        <v>117</v>
      </c>
      <c r="C7" s="33" t="s">
        <v>118</v>
      </c>
      <c r="D7" s="33" t="s">
        <v>122</v>
      </c>
      <c r="E7" s="33" t="s">
        <v>119</v>
      </c>
      <c r="F7" s="33" t="s">
        <v>121</v>
      </c>
      <c r="G7" s="33" t="s">
        <v>123</v>
      </c>
      <c r="L7" s="34" t="s">
        <v>116</v>
      </c>
      <c r="M7" s="34" t="s">
        <v>124</v>
      </c>
      <c r="N7" s="34" t="s">
        <v>58</v>
      </c>
      <c r="O7" s="34" t="s">
        <v>125</v>
      </c>
      <c r="P7" s="34" t="s">
        <v>126</v>
      </c>
      <c r="Q7" s="34" t="s">
        <v>120</v>
      </c>
      <c r="R7" s="34" t="s">
        <v>127</v>
      </c>
      <c r="S7" s="34" t="s">
        <v>128</v>
      </c>
      <c r="T7" s="34" t="s">
        <v>129</v>
      </c>
      <c r="U7" s="34" t="s">
        <v>130</v>
      </c>
      <c r="V7" s="34" t="s">
        <v>131</v>
      </c>
      <c r="W7" s="34" t="s">
        <v>132</v>
      </c>
      <c r="X7" s="34" t="s">
        <v>133</v>
      </c>
      <c r="Y7" s="34" t="s">
        <v>134</v>
      </c>
      <c r="Z7" s="34" t="s">
        <v>135</v>
      </c>
      <c r="AA7" s="34" t="s">
        <v>136</v>
      </c>
      <c r="AB7" s="34" t="s">
        <v>137</v>
      </c>
    </row>
    <row r="8" customFormat="false" ht="15" hidden="false" customHeight="false" outlineLevel="0" collapsed="false">
      <c r="A8" s="32" t="s">
        <v>138</v>
      </c>
      <c r="B8" s="32" t="s">
        <v>139</v>
      </c>
      <c r="C8" s="32" t="s">
        <v>140</v>
      </c>
      <c r="D8" s="35" t="n">
        <v>1025</v>
      </c>
      <c r="E8" s="32" t="s">
        <v>141</v>
      </c>
      <c r="F8" s="36" t="n">
        <v>46325</v>
      </c>
      <c r="G8" s="32" t="s">
        <v>142</v>
      </c>
      <c r="L8" s="37" t="str">
        <f aca="false">IF(INDEX($A8:$J8,$L$6)&lt;&gt;"",TRIM(LEFT(INDEX($A8:$J8,$L$6),FIND("(",INDEX($A8:$J8,$L$6)&amp;"(")-1)),L7)</f>
        <v>Proposal Sent</v>
      </c>
      <c r="M8" s="37" t="str">
        <f aca="false">IF(INDEX($A8:$J8,$M$6)="","",INDEX($A8:$J8,$M$6)&amp;"")</f>
        <v>DTTL | SYD Good Rooms programming - 2609601</v>
      </c>
      <c r="N8" s="37" t="str">
        <f aca="false">IF($M8="","",TRIM(INDEX($A8:$J8,$N$6)&amp;""))</f>
        <v>Deloitte Australia</v>
      </c>
      <c r="O8" s="37" t="str">
        <f aca="false">IF($M8="","",TRIM(INDEX($A8:$J8,$O$6)&amp;""))</f>
        <v>Integration</v>
      </c>
      <c r="P8" s="37" t="str">
        <f aca="false">IF($M8="","",IFERROR(IF(INDEX(Settings!$B$41:$B$50,MATCH(O8,Settings!$A$41:$A$50,0))&amp;""="","UNMAPPED",INDEX(Settings!$B$41:$B$50,MATCH(O8,Settings!$A$41:$A$50,0))&amp;""),"UNMAPPED"))</f>
        <v>Integration</v>
      </c>
      <c r="Q8" s="38" t="n">
        <f aca="false">IF($M8="",0,N(INDEX($A8:$J8,$Q$6)))</f>
        <v>1025</v>
      </c>
      <c r="R8" s="39" t="n">
        <f aca="false">IF($M8="","",INDEX($A8:$J8,$R$6))</f>
        <v>46325</v>
      </c>
      <c r="S8" s="37" t="str">
        <f aca="false">IF($M8="","",IFERROR(INDEX(Settings!$B$27:$B$36,MATCH(L8,Settings!$A$27:$A$36,0))&amp;"","UNMAPPED"))</f>
        <v>Open</v>
      </c>
      <c r="T8" s="37" t="str">
        <f aca="false">IF($M8="","",IF(NOT(ISNUMBER(R8)),"NO DATE",IF(S8="Won",IF(R8&gt;Settings!$B$5,"Backlog","Delivered"),IF(S8="Open",IF(R8&gt;Settings!$B$5,"Pipeline","Overdue"),IF(S8="Lost","Lost","UNMAPPED")))))</f>
        <v>Pipeline</v>
      </c>
      <c r="U8" s="40" t="n">
        <f aca="false">IF(T8="Backlog",1,IF(OR(T8="Pipeline",T8="Overdue"),N(INDEX(Settings!$C$27:$C$36,MATCH(L8,Settings!$A$27:$A$36,0))),0))</f>
        <v>0.5</v>
      </c>
      <c r="V8" s="38" t="n">
        <f aca="false">Q8*U8</f>
        <v>512.5</v>
      </c>
      <c r="W8" s="41" t="n">
        <f aca="false">IF($M8="","",IF(T8="Overdue",IF(Settings!$B$8="Yes",Settings!$B$7,""),IF(ISNUMBER(R8),DATE(YEAR(R8),MONTH(R8),1),"")))</f>
        <v>46296</v>
      </c>
      <c r="X8" s="38" t="n">
        <f aca="false">IF(AND(OR(T8="Backlog",T8="Pipeline",T8="Overdue"),ISNUMBER(W8)),IF(W8&lt;=Settings!$B$6,V8,0),0)</f>
        <v>512.5</v>
      </c>
      <c r="Y8" s="38" t="n">
        <f aca="false">IF(AND(OR(T8="Backlog",T8="Pipeline",T8="Overdue"),ISNUMBER(W8)),IF(W8&lt;=Settings!$B$6,Q8,0),0)</f>
        <v>1025</v>
      </c>
      <c r="Z8" s="38" t="n">
        <f aca="false">IF(Y8=0,0,IF(T8="Backlog",Q8,Q8*Dashboard!$C$10))</f>
        <v>0</v>
      </c>
      <c r="AA8" s="37" t="n">
        <f aca="false">IF($N8="",0,IF(COUNTIF(Dashboard!$C$13:$C$22,$N8)&gt;0,1,0))</f>
        <v>0</v>
      </c>
      <c r="AB8" s="37" t="n">
        <f aca="false">IF($N8="","",IF(COUNTIF($N$8:$N8,$N8)=1,MAX($AB$7:$AB7)+1,""))</f>
        <v>1</v>
      </c>
    </row>
    <row r="9" customFormat="false" ht="15" hidden="false" customHeight="false" outlineLevel="0" collapsed="false">
      <c r="B9" s="32" t="s">
        <v>143</v>
      </c>
      <c r="C9" s="32" t="s">
        <v>144</v>
      </c>
      <c r="D9" s="35" t="n">
        <v>2400</v>
      </c>
      <c r="E9" s="32" t="s">
        <v>145</v>
      </c>
      <c r="F9" s="36" t="n">
        <v>46429</v>
      </c>
      <c r="G9" s="32" t="s">
        <v>146</v>
      </c>
      <c r="L9" s="37" t="str">
        <f aca="false">IF(INDEX($A9:$J9,$L$6)&lt;&gt;"",TRIM(LEFT(INDEX($A9:$J9,$L$6),FIND("(",INDEX($A9:$J9,$L$6)&amp;"(")-1)),L8)</f>
        <v>Proposal Sent</v>
      </c>
      <c r="M9" s="37" t="str">
        <f aca="false">IF(INDEX($A9:$J9,$M$6)="","",INDEX($A9:$J9,$M$6)&amp;"")</f>
        <v>Investa - Barrack Place Bingo - Feb 27'</v>
      </c>
      <c r="N9" s="37" t="str">
        <f aca="false">IF($M9="","",TRIM(INDEX($A9:$J9,$N$6)&amp;""))</f>
        <v>Investa</v>
      </c>
      <c r="O9" s="37" t="str">
        <f aca="false">IF($M9="","",TRIM(INDEX($A9:$J9,$O$6)&amp;""))</f>
        <v>Event Production</v>
      </c>
      <c r="P9" s="37" t="str">
        <f aca="false">IF($M9="","",IFERROR(IF(INDEX(Settings!$B$41:$B$50,MATCH(O9,Settings!$A$41:$A$50,0))&amp;""="","UNMAPPED",INDEX(Settings!$B$41:$B$50,MATCH(O9,Settings!$A$41:$A$50,0))&amp;""),"UNMAPPED"))</f>
        <v>Production</v>
      </c>
      <c r="Q9" s="38" t="n">
        <f aca="false">IF($M9="",0,N(INDEX($A9:$J9,$Q$6)))</f>
        <v>2400</v>
      </c>
      <c r="R9" s="39" t="n">
        <f aca="false">IF($M9="","",INDEX($A9:$J9,$R$6))</f>
        <v>46429</v>
      </c>
      <c r="S9" s="37" t="str">
        <f aca="false">IF($M9="","",IFERROR(INDEX(Settings!$B$27:$B$36,MATCH(L9,Settings!$A$27:$A$36,0))&amp;"","UNMAPPED"))</f>
        <v>Open</v>
      </c>
      <c r="T9" s="37" t="str">
        <f aca="false">IF($M9="","",IF(NOT(ISNUMBER(R9)),"NO DATE",IF(S9="Won",IF(R9&gt;Settings!$B$5,"Backlog","Delivered"),IF(S9="Open",IF(R9&gt;Settings!$B$5,"Pipeline","Overdue"),IF(S9="Lost","Lost","UNMAPPED")))))</f>
        <v>Pipeline</v>
      </c>
      <c r="U9" s="40" t="n">
        <f aca="false">IF(T9="Backlog",1,IF(OR(T9="Pipeline",T9="Overdue"),N(INDEX(Settings!$C$27:$C$36,MATCH(L9,Settings!$A$27:$A$36,0))),0))</f>
        <v>0.5</v>
      </c>
      <c r="V9" s="38" t="n">
        <f aca="false">Q9*U9</f>
        <v>1200</v>
      </c>
      <c r="W9" s="41" t="n">
        <f aca="false">IF($M9="","",IF(T9="Overdue",IF(Settings!$B$8="Yes",Settings!$B$7,""),IF(ISNUMBER(R9),DATE(YEAR(R9),MONTH(R9),1),"")))</f>
        <v>46419</v>
      </c>
      <c r="X9" s="38" t="n">
        <f aca="false">IF(AND(OR(T9="Backlog",T9="Pipeline",T9="Overdue"),ISNUMBER(W9)),IF(W9&lt;=Settings!$B$6,V9,0),0)</f>
        <v>1200</v>
      </c>
      <c r="Y9" s="38" t="n">
        <f aca="false">IF(AND(OR(T9="Backlog",T9="Pipeline",T9="Overdue"),ISNUMBER(W9)),IF(W9&lt;=Settings!$B$6,Q9,0),0)</f>
        <v>2400</v>
      </c>
      <c r="Z9" s="38" t="n">
        <f aca="false">IF(Y9=0,0,IF(T9="Backlog",Q9,Q9*Dashboard!$C$10))</f>
        <v>0</v>
      </c>
      <c r="AA9" s="37" t="n">
        <f aca="false">IF($N9="",0,IF(COUNTIF(Dashboard!$C$13:$C$22,$N9)&gt;0,1,0))</f>
        <v>0</v>
      </c>
      <c r="AB9" s="37" t="n">
        <f aca="false">IF($N9="","",IF(COUNTIF($N$8:$N9,$N9)=1,MAX($AB$7:$AB8)+1,""))</f>
        <v>2</v>
      </c>
    </row>
    <row r="10" customFormat="false" ht="15" hidden="false" customHeight="false" outlineLevel="0" collapsed="false">
      <c r="B10" s="32" t="s">
        <v>147</v>
      </c>
      <c r="C10" s="32" t="s">
        <v>148</v>
      </c>
      <c r="D10" s="35" t="n">
        <v>34068</v>
      </c>
      <c r="E10" s="32" t="s">
        <v>141</v>
      </c>
      <c r="F10" s="36" t="n">
        <v>46325</v>
      </c>
      <c r="G10" s="32" t="s">
        <v>149</v>
      </c>
      <c r="L10" s="37" t="str">
        <f aca="false">IF(INDEX($A10:$J10,$L$6)&lt;&gt;"",TRIM(LEFT(INDEX($A10:$J10,$L$6),FIND("(",INDEX($A10:$J10,$L$6)&amp;"(")-1)),L9)</f>
        <v>Proposal Sent</v>
      </c>
      <c r="M10" s="37" t="str">
        <f aca="false">IF(INDEX($A10:$J10,$M$6)="","",INDEX($A10:$J10,$M$6)&amp;"")</f>
        <v>HP-Stryker | Multi-Site Device Replacement - 2606201</v>
      </c>
      <c r="N10" s="37" t="str">
        <f aca="false">IF($M10="","",TRIM(INDEX($A10:$J10,$N$6)&amp;""))</f>
        <v>Stryker</v>
      </c>
      <c r="O10" s="37" t="str">
        <f aca="false">IF($M10="","",TRIM(INDEX($A10:$J10,$O$6)&amp;""))</f>
        <v>Integration</v>
      </c>
      <c r="P10" s="37" t="str">
        <f aca="false">IF($M10="","",IFERROR(IF(INDEX(Settings!$B$41:$B$50,MATCH(O10,Settings!$A$41:$A$50,0))&amp;""="","UNMAPPED",INDEX(Settings!$B$41:$B$50,MATCH(O10,Settings!$A$41:$A$50,0))&amp;""),"UNMAPPED"))</f>
        <v>Integration</v>
      </c>
      <c r="Q10" s="38" t="n">
        <f aca="false">IF($M10="",0,N(INDEX($A10:$J10,$Q$6)))</f>
        <v>34068</v>
      </c>
      <c r="R10" s="39" t="n">
        <f aca="false">IF($M10="","",INDEX($A10:$J10,$R$6))</f>
        <v>46325</v>
      </c>
      <c r="S10" s="37" t="str">
        <f aca="false">IF($M10="","",IFERROR(INDEX(Settings!$B$27:$B$36,MATCH(L10,Settings!$A$27:$A$36,0))&amp;"","UNMAPPED"))</f>
        <v>Open</v>
      </c>
      <c r="T10" s="37" t="str">
        <f aca="false">IF($M10="","",IF(NOT(ISNUMBER(R10)),"NO DATE",IF(S10="Won",IF(R10&gt;Settings!$B$5,"Backlog","Delivered"),IF(S10="Open",IF(R10&gt;Settings!$B$5,"Pipeline","Overdue"),IF(S10="Lost","Lost","UNMAPPED")))))</f>
        <v>Pipeline</v>
      </c>
      <c r="U10" s="40" t="n">
        <f aca="false">IF(T10="Backlog",1,IF(OR(T10="Pipeline",T10="Overdue"),N(INDEX(Settings!$C$27:$C$36,MATCH(L10,Settings!$A$27:$A$36,0))),0))</f>
        <v>0.5</v>
      </c>
      <c r="V10" s="38" t="n">
        <f aca="false">Q10*U10</f>
        <v>17034</v>
      </c>
      <c r="W10" s="41" t="n">
        <f aca="false">IF($M10="","",IF(T10="Overdue",IF(Settings!$B$8="Yes",Settings!$B$7,""),IF(ISNUMBER(R10),DATE(YEAR(R10),MONTH(R10),1),"")))</f>
        <v>46296</v>
      </c>
      <c r="X10" s="38" t="n">
        <f aca="false">IF(AND(OR(T10="Backlog",T10="Pipeline",T10="Overdue"),ISNUMBER(W10)),IF(W10&lt;=Settings!$B$6,V10,0),0)</f>
        <v>17034</v>
      </c>
      <c r="Y10" s="38" t="n">
        <f aca="false">IF(AND(OR(T10="Backlog",T10="Pipeline",T10="Overdue"),ISNUMBER(W10)),IF(W10&lt;=Settings!$B$6,Q10,0),0)</f>
        <v>34068</v>
      </c>
      <c r="Z10" s="38" t="n">
        <f aca="false">IF(Y10=0,0,IF(T10="Backlog",Q10,Q10*Dashboard!$C$10))</f>
        <v>0</v>
      </c>
      <c r="AA10" s="37" t="n">
        <f aca="false">IF($N10="",0,IF(COUNTIF(Dashboard!$C$13:$C$22,$N10)&gt;0,1,0))</f>
        <v>0</v>
      </c>
      <c r="AB10" s="37" t="n">
        <f aca="false">IF($N10="","",IF(COUNTIF($N$8:$N10,$N10)=1,MAX($AB$7:$AB9)+1,""))</f>
        <v>3</v>
      </c>
    </row>
    <row r="11" customFormat="false" ht="15" hidden="false" customHeight="false" outlineLevel="0" collapsed="false">
      <c r="B11" s="32" t="s">
        <v>150</v>
      </c>
      <c r="C11" s="32" t="s">
        <v>151</v>
      </c>
      <c r="D11" s="35" t="n">
        <v>1175</v>
      </c>
      <c r="E11" s="32" t="s">
        <v>141</v>
      </c>
      <c r="F11" s="36" t="n">
        <v>46325</v>
      </c>
      <c r="G11" s="32" t="s">
        <v>152</v>
      </c>
      <c r="L11" s="37" t="str">
        <f aca="false">IF(INDEX($A11:$J11,$L$6)&lt;&gt;"",TRIM(LEFT(INDEX($A11:$J11,$L$6),FIND("(",INDEX($A11:$J11,$L$6)&amp;"(")-1)),L10)</f>
        <v>Proposal Sent</v>
      </c>
      <c r="M11" s="37" t="str">
        <f aca="false">IF(INDEX($A11:$J11,$M$6)="","",INDEX($A11:$J11,$M$6)&amp;"")</f>
        <v>HP-DFAT | Phone Mod x2 - 26091605</v>
      </c>
      <c r="N11" s="37" t="str">
        <f aca="false">IF($M11="","",TRIM(INDEX($A11:$J11,$N$6)&amp;""))</f>
        <v>Datacom</v>
      </c>
      <c r="O11" s="37" t="str">
        <f aca="false">IF($M11="","",TRIM(INDEX($A11:$J11,$O$6)&amp;""))</f>
        <v>Integration</v>
      </c>
      <c r="P11" s="37" t="str">
        <f aca="false">IF($M11="","",IFERROR(IF(INDEX(Settings!$B$41:$B$50,MATCH(O11,Settings!$A$41:$A$50,0))&amp;""="","UNMAPPED",INDEX(Settings!$B$41:$B$50,MATCH(O11,Settings!$A$41:$A$50,0))&amp;""),"UNMAPPED"))</f>
        <v>Integration</v>
      </c>
      <c r="Q11" s="38" t="n">
        <f aca="false">IF($M11="",0,N(INDEX($A11:$J11,$Q$6)))</f>
        <v>1175</v>
      </c>
      <c r="R11" s="39" t="n">
        <f aca="false">IF($M11="","",INDEX($A11:$J11,$R$6))</f>
        <v>46325</v>
      </c>
      <c r="S11" s="37" t="str">
        <f aca="false">IF($M11="","",IFERROR(INDEX(Settings!$B$27:$B$36,MATCH(L11,Settings!$A$27:$A$36,0))&amp;"","UNMAPPED"))</f>
        <v>Open</v>
      </c>
      <c r="T11" s="37" t="str">
        <f aca="false">IF($M11="","",IF(NOT(ISNUMBER(R11)),"NO DATE",IF(S11="Won",IF(R11&gt;Settings!$B$5,"Backlog","Delivered"),IF(S11="Open",IF(R11&gt;Settings!$B$5,"Pipeline","Overdue"),IF(S11="Lost","Lost","UNMAPPED")))))</f>
        <v>Pipeline</v>
      </c>
      <c r="U11" s="40" t="n">
        <f aca="false">IF(T11="Backlog",1,IF(OR(T11="Pipeline",T11="Overdue"),N(INDEX(Settings!$C$27:$C$36,MATCH(L11,Settings!$A$27:$A$36,0))),0))</f>
        <v>0.5</v>
      </c>
      <c r="V11" s="38" t="n">
        <f aca="false">Q11*U11</f>
        <v>587.5</v>
      </c>
      <c r="W11" s="41" t="n">
        <f aca="false">IF($M11="","",IF(T11="Overdue",IF(Settings!$B$8="Yes",Settings!$B$7,""),IF(ISNUMBER(R11),DATE(YEAR(R11),MONTH(R11),1),"")))</f>
        <v>46296</v>
      </c>
      <c r="X11" s="38" t="n">
        <f aca="false">IF(AND(OR(T11="Backlog",T11="Pipeline",T11="Overdue"),ISNUMBER(W11)),IF(W11&lt;=Settings!$B$6,V11,0),0)</f>
        <v>587.5</v>
      </c>
      <c r="Y11" s="38" t="n">
        <f aca="false">IF(AND(OR(T11="Backlog",T11="Pipeline",T11="Overdue"),ISNUMBER(W11)),IF(W11&lt;=Settings!$B$6,Q11,0),0)</f>
        <v>1175</v>
      </c>
      <c r="Z11" s="38" t="n">
        <f aca="false">IF(Y11=0,0,IF(T11="Backlog",Q11,Q11*Dashboard!$C$10))</f>
        <v>0</v>
      </c>
      <c r="AA11" s="37" t="n">
        <f aca="false">IF($N11="",0,IF(COUNTIF(Dashboard!$C$13:$C$22,$N11)&gt;0,1,0))</f>
        <v>0</v>
      </c>
      <c r="AB11" s="37" t="n">
        <f aca="false">IF($N11="","",IF(COUNTIF($N$8:$N11,$N11)=1,MAX($AB$7:$AB10)+1,""))</f>
        <v>4</v>
      </c>
    </row>
    <row r="12" customFormat="false" ht="15" hidden="false" customHeight="false" outlineLevel="0" collapsed="false">
      <c r="B12" s="32" t="s">
        <v>153</v>
      </c>
      <c r="C12" s="32" t="s">
        <v>154</v>
      </c>
      <c r="D12" s="35" t="n">
        <v>8856</v>
      </c>
      <c r="E12" s="32" t="s">
        <v>141</v>
      </c>
      <c r="F12" s="36" t="n">
        <v>46325</v>
      </c>
      <c r="G12" s="32" t="s">
        <v>155</v>
      </c>
      <c r="L12" s="37" t="str">
        <f aca="false">IF(INDEX($A12:$J12,$L$6)&lt;&gt;"",TRIM(LEFT(INDEX($A12:$J12,$L$6),FIND("(",INDEX($A12:$J12,$L$6)&amp;"(")-1)),L11)</f>
        <v>Proposal Sent</v>
      </c>
      <c r="M12" s="37" t="str">
        <f aca="false">IF(INDEX($A12:$J12,$M$6)="","",INDEX($A12:$J12,$M$6)&amp;"")</f>
        <v>PwC | Parra Display Replacement - 26091701</v>
      </c>
      <c r="N12" s="37" t="str">
        <f aca="false">IF($M12="","",TRIM(INDEX($A12:$J12,$N$6)&amp;""))</f>
        <v>PWC</v>
      </c>
      <c r="O12" s="37" t="str">
        <f aca="false">IF($M12="","",TRIM(INDEX($A12:$J12,$O$6)&amp;""))</f>
        <v>Integration</v>
      </c>
      <c r="P12" s="37" t="str">
        <f aca="false">IF($M12="","",IFERROR(IF(INDEX(Settings!$B$41:$B$50,MATCH(O12,Settings!$A$41:$A$50,0))&amp;""="","UNMAPPED",INDEX(Settings!$B$41:$B$50,MATCH(O12,Settings!$A$41:$A$50,0))&amp;""),"UNMAPPED"))</f>
        <v>Integration</v>
      </c>
      <c r="Q12" s="38" t="n">
        <f aca="false">IF($M12="",0,N(INDEX($A12:$J12,$Q$6)))</f>
        <v>8856</v>
      </c>
      <c r="R12" s="39" t="n">
        <f aca="false">IF($M12="","",INDEX($A12:$J12,$R$6))</f>
        <v>46325</v>
      </c>
      <c r="S12" s="37" t="str">
        <f aca="false">IF($M12="","",IFERROR(INDEX(Settings!$B$27:$B$36,MATCH(L12,Settings!$A$27:$A$36,0))&amp;"","UNMAPPED"))</f>
        <v>Open</v>
      </c>
      <c r="T12" s="37" t="str">
        <f aca="false">IF($M12="","",IF(NOT(ISNUMBER(R12)),"NO DATE",IF(S12="Won",IF(R12&gt;Settings!$B$5,"Backlog","Delivered"),IF(S12="Open",IF(R12&gt;Settings!$B$5,"Pipeline","Overdue"),IF(S12="Lost","Lost","UNMAPPED")))))</f>
        <v>Pipeline</v>
      </c>
      <c r="U12" s="40" t="n">
        <f aca="false">IF(T12="Backlog",1,IF(OR(T12="Pipeline",T12="Overdue"),N(INDEX(Settings!$C$27:$C$36,MATCH(L12,Settings!$A$27:$A$36,0))),0))</f>
        <v>0.5</v>
      </c>
      <c r="V12" s="38" t="n">
        <f aca="false">Q12*U12</f>
        <v>4428</v>
      </c>
      <c r="W12" s="41" t="n">
        <f aca="false">IF($M12="","",IF(T12="Overdue",IF(Settings!$B$8="Yes",Settings!$B$7,""),IF(ISNUMBER(R12),DATE(YEAR(R12),MONTH(R12),1),"")))</f>
        <v>46296</v>
      </c>
      <c r="X12" s="38" t="n">
        <f aca="false">IF(AND(OR(T12="Backlog",T12="Pipeline",T12="Overdue"),ISNUMBER(W12)),IF(W12&lt;=Settings!$B$6,V12,0),0)</f>
        <v>4428</v>
      </c>
      <c r="Y12" s="38" t="n">
        <f aca="false">IF(AND(OR(T12="Backlog",T12="Pipeline",T12="Overdue"),ISNUMBER(W12)),IF(W12&lt;=Settings!$B$6,Q12,0),0)</f>
        <v>8856</v>
      </c>
      <c r="Z12" s="38" t="n">
        <f aca="false">IF(Y12=0,0,IF(T12="Backlog",Q12,Q12*Dashboard!$C$10))</f>
        <v>0</v>
      </c>
      <c r="AA12" s="37" t="n">
        <f aca="false">IF($N12="",0,IF(COUNTIF(Dashboard!$C$13:$C$22,$N12)&gt;0,1,0))</f>
        <v>0</v>
      </c>
      <c r="AB12" s="37" t="n">
        <f aca="false">IF($N12="","",IF(COUNTIF($N$8:$N12,$N12)=1,MAX($AB$7:$AB11)+1,""))</f>
        <v>5</v>
      </c>
    </row>
    <row r="13" customFormat="false" ht="15" hidden="false" customHeight="false" outlineLevel="0" collapsed="false">
      <c r="B13" s="32" t="s">
        <v>156</v>
      </c>
      <c r="C13" s="32" t="s">
        <v>157</v>
      </c>
      <c r="D13" s="35"/>
      <c r="E13" s="32" t="s">
        <v>145</v>
      </c>
      <c r="F13" s="36" t="n">
        <v>46325</v>
      </c>
      <c r="G13" s="32" t="s">
        <v>158</v>
      </c>
      <c r="L13" s="37" t="str">
        <f aca="false">IF(INDEX($A13:$J13,$L$6)&lt;&gt;"",TRIM(LEFT(INDEX($A13:$J13,$L$6),FIND("(",INDEX($A13:$J13,$L$6)&amp;"(")-1)),L12)</f>
        <v>Proposal Sent</v>
      </c>
      <c r="M13" s="37" t="str">
        <f aca="false">IF(INDEX($A13:$J13,$M$6)="","",INDEX($A13:$J13,$M$6)&amp;"")</f>
        <v>AICD | Member Engagement &amp; Sponsor Activation Concept - 2610801</v>
      </c>
      <c r="N13" s="37" t="str">
        <f aca="false">IF($M13="","",TRIM(INDEX($A13:$J13,$N$6)&amp;""))</f>
        <v>AICD</v>
      </c>
      <c r="O13" s="37" t="str">
        <f aca="false">IF($M13="","",TRIM(INDEX($A13:$J13,$O$6)&amp;""))</f>
        <v>Event Production</v>
      </c>
      <c r="P13" s="37" t="str">
        <f aca="false">IF($M13="","",IFERROR(IF(INDEX(Settings!$B$41:$B$50,MATCH(O13,Settings!$A$41:$A$50,0))&amp;""="","UNMAPPED",INDEX(Settings!$B$41:$B$50,MATCH(O13,Settings!$A$41:$A$50,0))&amp;""),"UNMAPPED"))</f>
        <v>Production</v>
      </c>
      <c r="Q13" s="38" t="n">
        <f aca="false">IF($M13="",0,N(INDEX($A13:$J13,$Q$6)))</f>
        <v>0</v>
      </c>
      <c r="R13" s="39" t="n">
        <f aca="false">IF($M13="","",INDEX($A13:$J13,$R$6))</f>
        <v>46325</v>
      </c>
      <c r="S13" s="37" t="str">
        <f aca="false">IF($M13="","",IFERROR(INDEX(Settings!$B$27:$B$36,MATCH(L13,Settings!$A$27:$A$36,0))&amp;"","UNMAPPED"))</f>
        <v>Open</v>
      </c>
      <c r="T13" s="37" t="str">
        <f aca="false">IF($M13="","",IF(NOT(ISNUMBER(R13)),"NO DATE",IF(S13="Won",IF(R13&gt;Settings!$B$5,"Backlog","Delivered"),IF(S13="Open",IF(R13&gt;Settings!$B$5,"Pipeline","Overdue"),IF(S13="Lost","Lost","UNMAPPED")))))</f>
        <v>Pipeline</v>
      </c>
      <c r="U13" s="40" t="n">
        <f aca="false">IF(T13="Backlog",1,IF(OR(T13="Pipeline",T13="Overdue"),N(INDEX(Settings!$C$27:$C$36,MATCH(L13,Settings!$A$27:$A$36,0))),0))</f>
        <v>0.5</v>
      </c>
      <c r="V13" s="38" t="n">
        <f aca="false">Q13*U13</f>
        <v>0</v>
      </c>
      <c r="W13" s="41" t="n">
        <f aca="false">IF($M13="","",IF(T13="Overdue",IF(Settings!$B$8="Yes",Settings!$B$7,""),IF(ISNUMBER(R13),DATE(YEAR(R13),MONTH(R13),1),"")))</f>
        <v>46296</v>
      </c>
      <c r="X13" s="38" t="n">
        <f aca="false">IF(AND(OR(T13="Backlog",T13="Pipeline",T13="Overdue"),ISNUMBER(W13)),IF(W13&lt;=Settings!$B$6,V13,0),0)</f>
        <v>0</v>
      </c>
      <c r="Y13" s="38" t="n">
        <f aca="false">IF(AND(OR(T13="Backlog",T13="Pipeline",T13="Overdue"),ISNUMBER(W13)),IF(W13&lt;=Settings!$B$6,Q13,0),0)</f>
        <v>0</v>
      </c>
      <c r="Z13" s="38" t="n">
        <f aca="false">IF(Y13=0,0,IF(T13="Backlog",Q13,Q13*Dashboard!$C$10))</f>
        <v>0</v>
      </c>
      <c r="AA13" s="37" t="n">
        <f aca="false">IF($N13="",0,IF(COUNTIF(Dashboard!$C$13:$C$22,$N13)&gt;0,1,0))</f>
        <v>0</v>
      </c>
      <c r="AB13" s="37" t="n">
        <f aca="false">IF($N13="","",IF(COUNTIF($N$8:$N13,$N13)=1,MAX($AB$7:$AB12)+1,""))</f>
        <v>6</v>
      </c>
    </row>
    <row r="14" customFormat="false" ht="15" hidden="false" customHeight="false" outlineLevel="0" collapsed="false">
      <c r="B14" s="32" t="s">
        <v>159</v>
      </c>
      <c r="C14" s="32" t="s">
        <v>160</v>
      </c>
      <c r="D14" s="35" t="n">
        <v>380</v>
      </c>
      <c r="E14" s="32" t="s">
        <v>145</v>
      </c>
      <c r="F14" s="36" t="n">
        <v>46329</v>
      </c>
      <c r="G14" s="32" t="s">
        <v>161</v>
      </c>
      <c r="L14" s="37" t="str">
        <f aca="false">IF(INDEX($A14:$J14,$L$6)&lt;&gt;"",TRIM(LEFT(INDEX($A14:$J14,$L$6),FIND("(",INDEX($A14:$J14,$L$6)&amp;"(")-1)),L13)</f>
        <v>Proposal Sent</v>
      </c>
      <c r="M14" s="37" t="str">
        <f aca="false">IF(INDEX($A14:$J14,$M$6)="","",INDEX($A14:$J14,$M$6)&amp;"")</f>
        <v>Elkiem - Studio Support - 3.11.26</v>
      </c>
      <c r="N14" s="37" t="str">
        <f aca="false">IF($M14="","",TRIM(INDEX($A14:$J14,$N$6)&amp;""))</f>
        <v>Elkiem</v>
      </c>
      <c r="O14" s="37" t="str">
        <f aca="false">IF($M14="","",TRIM(INDEX($A14:$J14,$O$6)&amp;""))</f>
        <v>Event Production</v>
      </c>
      <c r="P14" s="37" t="str">
        <f aca="false">IF($M14="","",IFERROR(IF(INDEX(Settings!$B$41:$B$50,MATCH(O14,Settings!$A$41:$A$50,0))&amp;""="","UNMAPPED",INDEX(Settings!$B$41:$B$50,MATCH(O14,Settings!$A$41:$A$50,0))&amp;""),"UNMAPPED"))</f>
        <v>Production</v>
      </c>
      <c r="Q14" s="38" t="n">
        <f aca="false">IF($M14="",0,N(INDEX($A14:$J14,$Q$6)))</f>
        <v>380</v>
      </c>
      <c r="R14" s="39" t="n">
        <f aca="false">IF($M14="","",INDEX($A14:$J14,$R$6))</f>
        <v>46329</v>
      </c>
      <c r="S14" s="37" t="str">
        <f aca="false">IF($M14="","",IFERROR(INDEX(Settings!$B$27:$B$36,MATCH(L14,Settings!$A$27:$A$36,0))&amp;"","UNMAPPED"))</f>
        <v>Open</v>
      </c>
      <c r="T14" s="37" t="str">
        <f aca="false">IF($M14="","",IF(NOT(ISNUMBER(R14)),"NO DATE",IF(S14="Won",IF(R14&gt;Settings!$B$5,"Backlog","Delivered"),IF(S14="Open",IF(R14&gt;Settings!$B$5,"Pipeline","Overdue"),IF(S14="Lost","Lost","UNMAPPED")))))</f>
        <v>Pipeline</v>
      </c>
      <c r="U14" s="40" t="n">
        <f aca="false">IF(T14="Backlog",1,IF(OR(T14="Pipeline",T14="Overdue"),N(INDEX(Settings!$C$27:$C$36,MATCH(L14,Settings!$A$27:$A$36,0))),0))</f>
        <v>0.5</v>
      </c>
      <c r="V14" s="38" t="n">
        <f aca="false">Q14*U14</f>
        <v>190</v>
      </c>
      <c r="W14" s="41" t="n">
        <f aca="false">IF($M14="","",IF(T14="Overdue",IF(Settings!$B$8="Yes",Settings!$B$7,""),IF(ISNUMBER(R14),DATE(YEAR(R14),MONTH(R14),1),"")))</f>
        <v>46327</v>
      </c>
      <c r="X14" s="38" t="n">
        <f aca="false">IF(AND(OR(T14="Backlog",T14="Pipeline",T14="Overdue"),ISNUMBER(W14)),IF(W14&lt;=Settings!$B$6,V14,0),0)</f>
        <v>190</v>
      </c>
      <c r="Y14" s="38" t="n">
        <f aca="false">IF(AND(OR(T14="Backlog",T14="Pipeline",T14="Overdue"),ISNUMBER(W14)),IF(W14&lt;=Settings!$B$6,Q14,0),0)</f>
        <v>380</v>
      </c>
      <c r="Z14" s="38" t="n">
        <f aca="false">IF(Y14=0,0,IF(T14="Backlog",Q14,Q14*Dashboard!$C$10))</f>
        <v>0</v>
      </c>
      <c r="AA14" s="37" t="n">
        <f aca="false">IF($N14="",0,IF(COUNTIF(Dashboard!$C$13:$C$22,$N14)&gt;0,1,0))</f>
        <v>0</v>
      </c>
      <c r="AB14" s="37" t="n">
        <f aca="false">IF($N14="","",IF(COUNTIF($N$8:$N14,$N14)=1,MAX($AB$7:$AB13)+1,""))</f>
        <v>7</v>
      </c>
    </row>
    <row r="15" customFormat="false" ht="15" hidden="false" customHeight="false" outlineLevel="0" collapsed="false">
      <c r="B15" s="32" t="s">
        <v>162</v>
      </c>
      <c r="C15" s="32" t="s">
        <v>163</v>
      </c>
      <c r="D15" s="35" t="n">
        <v>18500</v>
      </c>
      <c r="E15" s="32" t="s">
        <v>145</v>
      </c>
      <c r="F15" s="36" t="n">
        <v>46535</v>
      </c>
      <c r="G15" s="32" t="s">
        <v>164</v>
      </c>
      <c r="L15" s="37" t="str">
        <f aca="false">IF(INDEX($A15:$J15,$L$6)&lt;&gt;"",TRIM(LEFT(INDEX($A15:$J15,$L$6),FIND("(",INDEX($A15:$J15,$L$6)&amp;"(")-1)),L14)</f>
        <v>Proposal Sent</v>
      </c>
      <c r="M15" s="37" t="str">
        <f aca="false">IF(INDEX($A15:$J15,$M$6)="","",INDEX($A15:$J15,$M$6)&amp;"")</f>
        <v>Automic - AGM RFQ - May 27'</v>
      </c>
      <c r="N15" s="37" t="str">
        <f aca="false">IF($M15="","",TRIM(INDEX($A15:$J15,$N$6)&amp;""))</f>
        <v>Automic Group</v>
      </c>
      <c r="O15" s="37" t="str">
        <f aca="false">IF($M15="","",TRIM(INDEX($A15:$J15,$O$6)&amp;""))</f>
        <v>Event Production</v>
      </c>
      <c r="P15" s="37" t="str">
        <f aca="false">IF($M15="","",IFERROR(IF(INDEX(Settings!$B$41:$B$50,MATCH(O15,Settings!$A$41:$A$50,0))&amp;""="","UNMAPPED",INDEX(Settings!$B$41:$B$50,MATCH(O15,Settings!$A$41:$A$50,0))&amp;""),"UNMAPPED"))</f>
        <v>Production</v>
      </c>
      <c r="Q15" s="38" t="n">
        <f aca="false">IF($M15="",0,N(INDEX($A15:$J15,$Q$6)))</f>
        <v>18500</v>
      </c>
      <c r="R15" s="39" t="n">
        <f aca="false">IF($M15="","",INDEX($A15:$J15,$R$6))</f>
        <v>46535</v>
      </c>
      <c r="S15" s="37" t="str">
        <f aca="false">IF($M15="","",IFERROR(INDEX(Settings!$B$27:$B$36,MATCH(L15,Settings!$A$27:$A$36,0))&amp;"","UNMAPPED"))</f>
        <v>Open</v>
      </c>
      <c r="T15" s="37" t="str">
        <f aca="false">IF($M15="","",IF(NOT(ISNUMBER(R15)),"NO DATE",IF(S15="Won",IF(R15&gt;Settings!$B$5,"Backlog","Delivered"),IF(S15="Open",IF(R15&gt;Settings!$B$5,"Pipeline","Overdue"),IF(S15="Lost","Lost","UNMAPPED")))))</f>
        <v>Pipeline</v>
      </c>
      <c r="U15" s="40" t="n">
        <f aca="false">IF(T15="Backlog",1,IF(OR(T15="Pipeline",T15="Overdue"),N(INDEX(Settings!$C$27:$C$36,MATCH(L15,Settings!$A$27:$A$36,0))),0))</f>
        <v>0.5</v>
      </c>
      <c r="V15" s="38" t="n">
        <f aca="false">Q15*U15</f>
        <v>9250</v>
      </c>
      <c r="W15" s="41" t="n">
        <f aca="false">IF($M15="","",IF(T15="Overdue",IF(Settings!$B$8="Yes",Settings!$B$7,""),IF(ISNUMBER(R15),DATE(YEAR(R15),MONTH(R15),1),"")))</f>
        <v>46508</v>
      </c>
      <c r="X15" s="38" t="n">
        <f aca="false">IF(AND(OR(T15="Backlog",T15="Pipeline",T15="Overdue"),ISNUMBER(W15)),IF(W15&lt;=Settings!$B$6,V15,0),0)</f>
        <v>9250</v>
      </c>
      <c r="Y15" s="38" t="n">
        <f aca="false">IF(AND(OR(T15="Backlog",T15="Pipeline",T15="Overdue"),ISNUMBER(W15)),IF(W15&lt;=Settings!$B$6,Q15,0),0)</f>
        <v>18500</v>
      </c>
      <c r="Z15" s="38" t="n">
        <f aca="false">IF(Y15=0,0,IF(T15="Backlog",Q15,Q15*Dashboard!$C$10))</f>
        <v>0</v>
      </c>
      <c r="AA15" s="37" t="n">
        <f aca="false">IF($N15="",0,IF(COUNTIF(Dashboard!$C$13:$C$22,$N15)&gt;0,1,0))</f>
        <v>0</v>
      </c>
      <c r="AB15" s="37" t="n">
        <f aca="false">IF($N15="","",IF(COUNTIF($N$8:$N15,$N15)=1,MAX($AB$7:$AB14)+1,""))</f>
        <v>8</v>
      </c>
    </row>
    <row r="16" customFormat="false" ht="15" hidden="false" customHeight="false" outlineLevel="0" collapsed="false">
      <c r="B16" s="32" t="s">
        <v>165</v>
      </c>
      <c r="C16" s="32" t="s">
        <v>166</v>
      </c>
      <c r="D16" s="35"/>
      <c r="E16" s="32" t="s">
        <v>141</v>
      </c>
      <c r="F16" s="36" t="n">
        <v>46325</v>
      </c>
      <c r="G16" s="32" t="s">
        <v>167</v>
      </c>
      <c r="L16" s="37" t="str">
        <f aca="false">IF(INDEX($A16:$J16,$L$6)&lt;&gt;"",TRIM(LEFT(INDEX($A16:$J16,$L$6),FIND("(",INDEX($A16:$J16,$L$6)&amp;"(")-1)),L15)</f>
        <v>Proposal Sent</v>
      </c>
      <c r="M16" s="37" t="str">
        <f aca="false">IF(INDEX($A16:$J16,$M$6)="","",INDEX($A16:$J16,$M$6)&amp;"")</f>
        <v>PDNSW | 6PSQ Eptura Visitor Subscription Renewal - 2610603</v>
      </c>
      <c r="N16" s="37" t="str">
        <f aca="false">IF($M16="","",TRIM(INDEX($A16:$J16,$N$6)&amp;""))</f>
        <v>Property and Development NSW</v>
      </c>
      <c r="O16" s="37" t="str">
        <f aca="false">IF($M16="","",TRIM(INDEX($A16:$J16,$O$6)&amp;""))</f>
        <v>Integration</v>
      </c>
      <c r="P16" s="37" t="str">
        <f aca="false">IF($M16="","",IFERROR(IF(INDEX(Settings!$B$41:$B$50,MATCH(O16,Settings!$A$41:$A$50,0))&amp;""="","UNMAPPED",INDEX(Settings!$B$41:$B$50,MATCH(O16,Settings!$A$41:$A$50,0))&amp;""),"UNMAPPED"))</f>
        <v>Integration</v>
      </c>
      <c r="Q16" s="38" t="n">
        <f aca="false">IF($M16="",0,N(INDEX($A16:$J16,$Q$6)))</f>
        <v>0</v>
      </c>
      <c r="R16" s="39" t="n">
        <f aca="false">IF($M16="","",INDEX($A16:$J16,$R$6))</f>
        <v>46325</v>
      </c>
      <c r="S16" s="37" t="str">
        <f aca="false">IF($M16="","",IFERROR(INDEX(Settings!$B$27:$B$36,MATCH(L16,Settings!$A$27:$A$36,0))&amp;"","UNMAPPED"))</f>
        <v>Open</v>
      </c>
      <c r="T16" s="37" t="str">
        <f aca="false">IF($M16="","",IF(NOT(ISNUMBER(R16)),"NO DATE",IF(S16="Won",IF(R16&gt;Settings!$B$5,"Backlog","Delivered"),IF(S16="Open",IF(R16&gt;Settings!$B$5,"Pipeline","Overdue"),IF(S16="Lost","Lost","UNMAPPED")))))</f>
        <v>Pipeline</v>
      </c>
      <c r="U16" s="40" t="n">
        <f aca="false">IF(T16="Backlog",1,IF(OR(T16="Pipeline",T16="Overdue"),N(INDEX(Settings!$C$27:$C$36,MATCH(L16,Settings!$A$27:$A$36,0))),0))</f>
        <v>0.5</v>
      </c>
      <c r="V16" s="38" t="n">
        <f aca="false">Q16*U16</f>
        <v>0</v>
      </c>
      <c r="W16" s="41" t="n">
        <f aca="false">IF($M16="","",IF(T16="Overdue",IF(Settings!$B$8="Yes",Settings!$B$7,""),IF(ISNUMBER(R16),DATE(YEAR(R16),MONTH(R16),1),"")))</f>
        <v>46296</v>
      </c>
      <c r="X16" s="38" t="n">
        <f aca="false">IF(AND(OR(T16="Backlog",T16="Pipeline",T16="Overdue"),ISNUMBER(W16)),IF(W16&lt;=Settings!$B$6,V16,0),0)</f>
        <v>0</v>
      </c>
      <c r="Y16" s="38" t="n">
        <f aca="false">IF(AND(OR(T16="Backlog",T16="Pipeline",T16="Overdue"),ISNUMBER(W16)),IF(W16&lt;=Settings!$B$6,Q16,0),0)</f>
        <v>0</v>
      </c>
      <c r="Z16" s="38" t="n">
        <f aca="false">IF(Y16=0,0,IF(T16="Backlog",Q16,Q16*Dashboard!$C$10))</f>
        <v>0</v>
      </c>
      <c r="AA16" s="37" t="n">
        <f aca="false">IF($N16="",0,IF(COUNTIF(Dashboard!$C$13:$C$22,$N16)&gt;0,1,0))</f>
        <v>0</v>
      </c>
      <c r="AB16" s="37" t="n">
        <f aca="false">IF($N16="","",IF(COUNTIF($N$8:$N16,$N16)=1,MAX($AB$7:$AB15)+1,""))</f>
        <v>9</v>
      </c>
    </row>
    <row r="17" customFormat="false" ht="15" hidden="false" customHeight="false" outlineLevel="0" collapsed="false">
      <c r="B17" s="32" t="s">
        <v>168</v>
      </c>
      <c r="C17" s="32" t="s">
        <v>169</v>
      </c>
      <c r="D17" s="35" t="n">
        <v>18415</v>
      </c>
      <c r="E17" s="32" t="s">
        <v>145</v>
      </c>
      <c r="F17" s="36" t="n">
        <v>46346</v>
      </c>
      <c r="G17" s="32" t="s">
        <v>170</v>
      </c>
      <c r="L17" s="37" t="str">
        <f aca="false">IF(INDEX($A17:$J17,$L$6)&lt;&gt;"",TRIM(LEFT(INDEX($A17:$J17,$L$6),FIND("(",INDEX($A17:$J17,$L$6)&amp;"(")-1)),L16)</f>
        <v>Proposal Sent</v>
      </c>
      <c r="M17" s="37" t="str">
        <f aca="false">IF(INDEX($A17:$J17,$M$6)="","",INDEX($A17:$J17,$M$6)&amp;"")</f>
        <v>MUFG - NXT DC AGM - 20.11.26</v>
      </c>
      <c r="N17" s="37" t="str">
        <f aca="false">IF($M17="","",TRIM(INDEX($A17:$J17,$N$6)&amp;""))</f>
        <v>MUFG IR / Orient Capital</v>
      </c>
      <c r="O17" s="37" t="str">
        <f aca="false">IF($M17="","",TRIM(INDEX($A17:$J17,$O$6)&amp;""))</f>
        <v>Event Production</v>
      </c>
      <c r="P17" s="37" t="str">
        <f aca="false">IF($M17="","",IFERROR(IF(INDEX(Settings!$B$41:$B$50,MATCH(O17,Settings!$A$41:$A$50,0))&amp;""="","UNMAPPED",INDEX(Settings!$B$41:$B$50,MATCH(O17,Settings!$A$41:$A$50,0))&amp;""),"UNMAPPED"))</f>
        <v>Production</v>
      </c>
      <c r="Q17" s="38" t="n">
        <f aca="false">IF($M17="",0,N(INDEX($A17:$J17,$Q$6)))</f>
        <v>18415</v>
      </c>
      <c r="R17" s="39" t="n">
        <f aca="false">IF($M17="","",INDEX($A17:$J17,$R$6))</f>
        <v>46346</v>
      </c>
      <c r="S17" s="37" t="str">
        <f aca="false">IF($M17="","",IFERROR(INDEX(Settings!$B$27:$B$36,MATCH(L17,Settings!$A$27:$A$36,0))&amp;"","UNMAPPED"))</f>
        <v>Open</v>
      </c>
      <c r="T17" s="37" t="str">
        <f aca="false">IF($M17="","",IF(NOT(ISNUMBER(R17)),"NO DATE",IF(S17="Won",IF(R17&gt;Settings!$B$5,"Backlog","Delivered"),IF(S17="Open",IF(R17&gt;Settings!$B$5,"Pipeline","Overdue"),IF(S17="Lost","Lost","UNMAPPED")))))</f>
        <v>Pipeline</v>
      </c>
      <c r="U17" s="40" t="n">
        <f aca="false">IF(T17="Backlog",1,IF(OR(T17="Pipeline",T17="Overdue"),N(INDEX(Settings!$C$27:$C$36,MATCH(L17,Settings!$A$27:$A$36,0))),0))</f>
        <v>0.5</v>
      </c>
      <c r="V17" s="38" t="n">
        <f aca="false">Q17*U17</f>
        <v>9207.5</v>
      </c>
      <c r="W17" s="41" t="n">
        <f aca="false">IF($M17="","",IF(T17="Overdue",IF(Settings!$B$8="Yes",Settings!$B$7,""),IF(ISNUMBER(R17),DATE(YEAR(R17),MONTH(R17),1),"")))</f>
        <v>46327</v>
      </c>
      <c r="X17" s="38" t="n">
        <f aca="false">IF(AND(OR(T17="Backlog",T17="Pipeline",T17="Overdue"),ISNUMBER(W17)),IF(W17&lt;=Settings!$B$6,V17,0),0)</f>
        <v>9207.5</v>
      </c>
      <c r="Y17" s="38" t="n">
        <f aca="false">IF(AND(OR(T17="Backlog",T17="Pipeline",T17="Overdue"),ISNUMBER(W17)),IF(W17&lt;=Settings!$B$6,Q17,0),0)</f>
        <v>18415</v>
      </c>
      <c r="Z17" s="38" t="n">
        <f aca="false">IF(Y17=0,0,IF(T17="Backlog",Q17,Q17*Dashboard!$C$10))</f>
        <v>0</v>
      </c>
      <c r="AA17" s="37" t="n">
        <f aca="false">IF($N17="",0,IF(COUNTIF(Dashboard!$C$13:$C$22,$N17)&gt;0,1,0))</f>
        <v>0</v>
      </c>
      <c r="AB17" s="37" t="n">
        <f aca="false">IF($N17="","",IF(COUNTIF($N$8:$N17,$N17)=1,MAX($AB$7:$AB16)+1,""))</f>
        <v>10</v>
      </c>
    </row>
    <row r="18" customFormat="false" ht="15" hidden="false" customHeight="false" outlineLevel="0" collapsed="false">
      <c r="B18" s="32" t="s">
        <v>171</v>
      </c>
      <c r="C18" s="32" t="s">
        <v>172</v>
      </c>
      <c r="D18" s="35"/>
      <c r="E18" s="32" t="s">
        <v>173</v>
      </c>
      <c r="F18" s="36" t="n">
        <v>46325</v>
      </c>
      <c r="G18" s="32" t="s">
        <v>174</v>
      </c>
      <c r="L18" s="37" t="str">
        <f aca="false">IF(INDEX($A18:$J18,$L$6)&lt;&gt;"",TRIM(LEFT(INDEX($A18:$J18,$L$6),FIND("(",INDEX($A18:$J18,$L$6)&amp;"(")-1)),L17)</f>
        <v>Proposal Sent</v>
      </c>
      <c r="M18" s="37" t="str">
        <f aca="false">IF(INDEX($A18:$J18,$M$6)="","",INDEX($A18:$J18,$M$6)&amp;"")</f>
        <v>Kirra | WACHS Tender Support - 26072104</v>
      </c>
      <c r="N18" s="37" t="str">
        <f aca="false">IF($M18="","",TRIM(INDEX($A18:$J18,$N$6)&amp;""))</f>
        <v>Kirra Services</v>
      </c>
      <c r="O18" s="37" t="str">
        <f aca="false">IF($M18="","",TRIM(INDEX($A18:$J18,$O$6)&amp;""))</f>
        <v>Consulting</v>
      </c>
      <c r="P18" s="37" t="str">
        <f aca="false">IF($M18="","",IFERROR(IF(INDEX(Settings!$B$41:$B$50,MATCH(O18,Settings!$A$41:$A$50,0))&amp;""="","UNMAPPED",INDEX(Settings!$B$41:$B$50,MATCH(O18,Settings!$A$41:$A$50,0))&amp;""),"UNMAPPED"))</f>
        <v>Consulting</v>
      </c>
      <c r="Q18" s="38" t="n">
        <f aca="false">IF($M18="",0,N(INDEX($A18:$J18,$Q$6)))</f>
        <v>0</v>
      </c>
      <c r="R18" s="39" t="n">
        <f aca="false">IF($M18="","",INDEX($A18:$J18,$R$6))</f>
        <v>46325</v>
      </c>
      <c r="S18" s="37" t="str">
        <f aca="false">IF($M18="","",IFERROR(INDEX(Settings!$B$27:$B$36,MATCH(L18,Settings!$A$27:$A$36,0))&amp;"","UNMAPPED"))</f>
        <v>Open</v>
      </c>
      <c r="T18" s="37" t="str">
        <f aca="false">IF($M18="","",IF(NOT(ISNUMBER(R18)),"NO DATE",IF(S18="Won",IF(R18&gt;Settings!$B$5,"Backlog","Delivered"),IF(S18="Open",IF(R18&gt;Settings!$B$5,"Pipeline","Overdue"),IF(S18="Lost","Lost","UNMAPPED")))))</f>
        <v>Pipeline</v>
      </c>
      <c r="U18" s="40" t="n">
        <f aca="false">IF(T18="Backlog",1,IF(OR(T18="Pipeline",T18="Overdue"),N(INDEX(Settings!$C$27:$C$36,MATCH(L18,Settings!$A$27:$A$36,0))),0))</f>
        <v>0.5</v>
      </c>
      <c r="V18" s="38" t="n">
        <f aca="false">Q18*U18</f>
        <v>0</v>
      </c>
      <c r="W18" s="41" t="n">
        <f aca="false">IF($M18="","",IF(T18="Overdue",IF(Settings!$B$8="Yes",Settings!$B$7,""),IF(ISNUMBER(R18),DATE(YEAR(R18),MONTH(R18),1),"")))</f>
        <v>46296</v>
      </c>
      <c r="X18" s="38" t="n">
        <f aca="false">IF(AND(OR(T18="Backlog",T18="Pipeline",T18="Overdue"),ISNUMBER(W18)),IF(W18&lt;=Settings!$B$6,V18,0),0)</f>
        <v>0</v>
      </c>
      <c r="Y18" s="38" t="n">
        <f aca="false">IF(AND(OR(T18="Backlog",T18="Pipeline",T18="Overdue"),ISNUMBER(W18)),IF(W18&lt;=Settings!$B$6,Q18,0),0)</f>
        <v>0</v>
      </c>
      <c r="Z18" s="38" t="n">
        <f aca="false">IF(Y18=0,0,IF(T18="Backlog",Q18,Q18*Dashboard!$C$10))</f>
        <v>0</v>
      </c>
      <c r="AA18" s="37" t="n">
        <f aca="false">IF($N18="",0,IF(COUNTIF(Dashboard!$C$13:$C$22,$N18)&gt;0,1,0))</f>
        <v>0</v>
      </c>
      <c r="AB18" s="37" t="n">
        <f aca="false">IF($N18="","",IF(COUNTIF($N$8:$N18,$N18)=1,MAX($AB$7:$AB17)+1,""))</f>
        <v>11</v>
      </c>
    </row>
    <row r="19" customFormat="false" ht="15" hidden="false" customHeight="false" outlineLevel="0" collapsed="false">
      <c r="B19" s="32" t="s">
        <v>175</v>
      </c>
      <c r="C19" s="32" t="s">
        <v>176</v>
      </c>
      <c r="D19" s="35" t="n">
        <v>8811</v>
      </c>
      <c r="E19" s="32" t="s">
        <v>141</v>
      </c>
      <c r="F19" s="36" t="n">
        <v>46325</v>
      </c>
      <c r="G19" s="32" t="s">
        <v>177</v>
      </c>
      <c r="L19" s="37" t="str">
        <f aca="false">IF(INDEX($A19:$J19,$L$6)&lt;&gt;"",TRIM(LEFT(INDEX($A19:$J19,$L$6),FIND("(",INDEX($A19:$J19,$L$6)&amp;"(")-1)),L18)</f>
        <v>Proposal Sent</v>
      </c>
      <c r="M19" s="37" t="str">
        <f aca="false">IF(INDEX($A19:$J19,$M$6)="","",INDEX($A19:$J19,$M$6)&amp;"")</f>
        <v>HP-Amnesium | Austrade Phone Mod x12 - 26091603</v>
      </c>
      <c r="N19" s="37" t="str">
        <f aca="false">IF($M19="","",TRIM(INDEX($A19:$J19,$N$6)&amp;""))</f>
        <v>Amnesium</v>
      </c>
      <c r="O19" s="37" t="str">
        <f aca="false">IF($M19="","",TRIM(INDEX($A19:$J19,$O$6)&amp;""))</f>
        <v>Integration</v>
      </c>
      <c r="P19" s="37" t="str">
        <f aca="false">IF($M19="","",IFERROR(IF(INDEX(Settings!$B$41:$B$50,MATCH(O19,Settings!$A$41:$A$50,0))&amp;""="","UNMAPPED",INDEX(Settings!$B$41:$B$50,MATCH(O19,Settings!$A$41:$A$50,0))&amp;""),"UNMAPPED"))</f>
        <v>Integration</v>
      </c>
      <c r="Q19" s="38" t="n">
        <f aca="false">IF($M19="",0,N(INDEX($A19:$J19,$Q$6)))</f>
        <v>8811</v>
      </c>
      <c r="R19" s="39" t="n">
        <f aca="false">IF($M19="","",INDEX($A19:$J19,$R$6))</f>
        <v>46325</v>
      </c>
      <c r="S19" s="37" t="str">
        <f aca="false">IF($M19="","",IFERROR(INDEX(Settings!$B$27:$B$36,MATCH(L19,Settings!$A$27:$A$36,0))&amp;"","UNMAPPED"))</f>
        <v>Open</v>
      </c>
      <c r="T19" s="37" t="str">
        <f aca="false">IF($M19="","",IF(NOT(ISNUMBER(R19)),"NO DATE",IF(S19="Won",IF(R19&gt;Settings!$B$5,"Backlog","Delivered"),IF(S19="Open",IF(R19&gt;Settings!$B$5,"Pipeline","Overdue"),IF(S19="Lost","Lost","UNMAPPED")))))</f>
        <v>Pipeline</v>
      </c>
      <c r="U19" s="40" t="n">
        <f aca="false">IF(T19="Backlog",1,IF(OR(T19="Pipeline",T19="Overdue"),N(INDEX(Settings!$C$27:$C$36,MATCH(L19,Settings!$A$27:$A$36,0))),0))</f>
        <v>0.5</v>
      </c>
      <c r="V19" s="38" t="n">
        <f aca="false">Q19*U19</f>
        <v>4405.5</v>
      </c>
      <c r="W19" s="41" t="n">
        <f aca="false">IF($M19="","",IF(T19="Overdue",IF(Settings!$B$8="Yes",Settings!$B$7,""),IF(ISNUMBER(R19),DATE(YEAR(R19),MONTH(R19),1),"")))</f>
        <v>46296</v>
      </c>
      <c r="X19" s="38" t="n">
        <f aca="false">IF(AND(OR(T19="Backlog",T19="Pipeline",T19="Overdue"),ISNUMBER(W19)),IF(W19&lt;=Settings!$B$6,V19,0),0)</f>
        <v>4405.5</v>
      </c>
      <c r="Y19" s="38" t="n">
        <f aca="false">IF(AND(OR(T19="Backlog",T19="Pipeline",T19="Overdue"),ISNUMBER(W19)),IF(W19&lt;=Settings!$B$6,Q19,0),0)</f>
        <v>8811</v>
      </c>
      <c r="Z19" s="38" t="n">
        <f aca="false">IF(Y19=0,0,IF(T19="Backlog",Q19,Q19*Dashboard!$C$10))</f>
        <v>0</v>
      </c>
      <c r="AA19" s="37" t="n">
        <f aca="false">IF($N19="",0,IF(COUNTIF(Dashboard!$C$13:$C$22,$N19)&gt;0,1,0))</f>
        <v>0</v>
      </c>
      <c r="AB19" s="37" t="n">
        <f aca="false">IF($N19="","",IF(COUNTIF($N$8:$N19,$N19)=1,MAX($AB$7:$AB18)+1,""))</f>
        <v>12</v>
      </c>
    </row>
    <row r="20" customFormat="false" ht="15" hidden="false" customHeight="false" outlineLevel="0" collapsed="false">
      <c r="A20" s="32" t="s">
        <v>178</v>
      </c>
      <c r="B20" s="32" t="s">
        <v>179</v>
      </c>
      <c r="C20" s="32" t="s">
        <v>140</v>
      </c>
      <c r="D20" s="35" t="n">
        <v>75000</v>
      </c>
      <c r="E20" s="32" t="s">
        <v>180</v>
      </c>
      <c r="F20" s="36" t="n">
        <v>46444</v>
      </c>
      <c r="G20" s="32" t="s">
        <v>181</v>
      </c>
      <c r="L20" s="37" t="str">
        <f aca="false">IF(INDEX($A20:$J20,$L$6)&lt;&gt;"",TRIM(LEFT(INDEX($A20:$J20,$L$6),FIND("(",INDEX($A20:$J20,$L$6)&amp;"(")-1)),L19)</f>
        <v>Negotiation/Review</v>
      </c>
      <c r="M20" s="37" t="str">
        <f aca="false">IF(INDEX($A20:$J20,$M$6)="","",INDEX($A20:$J20,$M$6)&amp;"")</f>
        <v>Perth AV &amp; Hospitality Technician (MAR27-AUG27)</v>
      </c>
      <c r="N20" s="37" t="str">
        <f aca="false">IF($M20="","",TRIM(INDEX($A20:$J20,$N$6)&amp;""))</f>
        <v>Deloitte Australia</v>
      </c>
      <c r="O20" s="37" t="str">
        <f aca="false">IF($M20="","",TRIM(INDEX($A20:$J20,$O$6)&amp;""))</f>
        <v>Support</v>
      </c>
      <c r="P20" s="37" t="str">
        <f aca="false">IF($M20="","",IFERROR(IF(INDEX(Settings!$B$41:$B$50,MATCH(O20,Settings!$A$41:$A$50,0))&amp;""="","UNMAPPED",INDEX(Settings!$B$41:$B$50,MATCH(O20,Settings!$A$41:$A$50,0))&amp;""),"UNMAPPED"))</f>
        <v>Onsite</v>
      </c>
      <c r="Q20" s="38" t="n">
        <f aca="false">IF($M20="",0,N(INDEX($A20:$J20,$Q$6)))</f>
        <v>75000</v>
      </c>
      <c r="R20" s="39" t="n">
        <f aca="false">IF($M20="","",INDEX($A20:$J20,$R$6))</f>
        <v>46444</v>
      </c>
      <c r="S20" s="37" t="str">
        <f aca="false">IF($M20="","",IFERROR(INDEX(Settings!$B$27:$B$36,MATCH(L20,Settings!$A$27:$A$36,0))&amp;"","UNMAPPED"))</f>
        <v>Open</v>
      </c>
      <c r="T20" s="37" t="str">
        <f aca="false">IF($M20="","",IF(NOT(ISNUMBER(R20)),"NO DATE",IF(S20="Won",IF(R20&gt;Settings!$B$5,"Backlog","Delivered"),IF(S20="Open",IF(R20&gt;Settings!$B$5,"Pipeline","Overdue"),IF(S20="Lost","Lost","UNMAPPED")))))</f>
        <v>Pipeline</v>
      </c>
      <c r="U20" s="40" t="n">
        <f aca="false">IF(T20="Backlog",1,IF(OR(T20="Pipeline",T20="Overdue"),N(INDEX(Settings!$C$27:$C$36,MATCH(L20,Settings!$A$27:$A$36,0))),0))</f>
        <v>0.7</v>
      </c>
      <c r="V20" s="38" t="n">
        <f aca="false">Q20*U20</f>
        <v>52500</v>
      </c>
      <c r="W20" s="41" t="n">
        <f aca="false">IF($M20="","",IF(T20="Overdue",IF(Settings!$B$8="Yes",Settings!$B$7,""),IF(ISNUMBER(R20),DATE(YEAR(R20),MONTH(R20),1),"")))</f>
        <v>46419</v>
      </c>
      <c r="X20" s="38" t="n">
        <f aca="false">IF(AND(OR(T20="Backlog",T20="Pipeline",T20="Overdue"),ISNUMBER(W20)),IF(W20&lt;=Settings!$B$6,V20,0),0)</f>
        <v>52500</v>
      </c>
      <c r="Y20" s="38" t="n">
        <f aca="false">IF(AND(OR(T20="Backlog",T20="Pipeline",T20="Overdue"),ISNUMBER(W20)),IF(W20&lt;=Settings!$B$6,Q20,0),0)</f>
        <v>75000</v>
      </c>
      <c r="Z20" s="38" t="n">
        <f aca="false">IF(Y20=0,0,IF(T20="Backlog",Q20,Q20*Dashboard!$C$10))</f>
        <v>0</v>
      </c>
      <c r="AA20" s="37" t="n">
        <f aca="false">IF($N20="",0,IF(COUNTIF(Dashboard!$C$13:$C$22,$N20)&gt;0,1,0))</f>
        <v>0</v>
      </c>
      <c r="AB20" s="37" t="str">
        <f aca="false">IF($N20="","",IF(COUNTIF($N$8:$N20,$N20)=1,MAX($AB$7:$AB19)+1,""))</f>
        <v/>
      </c>
    </row>
    <row r="21" customFormat="false" ht="15" hidden="false" customHeight="false" outlineLevel="0" collapsed="false">
      <c r="B21" s="32" t="s">
        <v>182</v>
      </c>
      <c r="C21" s="32" t="s">
        <v>183</v>
      </c>
      <c r="D21" s="35" t="n">
        <v>4706</v>
      </c>
      <c r="E21" s="32" t="s">
        <v>145</v>
      </c>
      <c r="F21" s="36" t="n">
        <v>46330</v>
      </c>
      <c r="G21" s="32" t="s">
        <v>184</v>
      </c>
      <c r="L21" s="37" t="str">
        <f aca="false">IF(INDEX($A21:$J21,$L$6)&lt;&gt;"",TRIM(LEFT(INDEX($A21:$J21,$L$6),FIND("(",INDEX($A21:$J21,$L$6)&amp;"(")-1)),L20)</f>
        <v>Negotiation/Review</v>
      </c>
      <c r="M21" s="37" t="str">
        <f aca="false">IF(INDEX($A21:$J21,$M$6)="","",INDEX($A21:$J21,$M$6)&amp;"")</f>
        <v>Chorus Call - Nanosonics Investor Day - TBC.11.26</v>
      </c>
      <c r="N21" s="37" t="str">
        <f aca="false">IF($M21="","",TRIM(INDEX($A21:$J21,$N$6)&amp;""))</f>
        <v>Chorus Call</v>
      </c>
      <c r="O21" s="37" t="str">
        <f aca="false">IF($M21="","",TRIM(INDEX($A21:$J21,$O$6)&amp;""))</f>
        <v>Event Production</v>
      </c>
      <c r="P21" s="37" t="str">
        <f aca="false">IF($M21="","",IFERROR(IF(INDEX(Settings!$B$41:$B$50,MATCH(O21,Settings!$A$41:$A$50,0))&amp;""="","UNMAPPED",INDEX(Settings!$B$41:$B$50,MATCH(O21,Settings!$A$41:$A$50,0))&amp;""),"UNMAPPED"))</f>
        <v>Production</v>
      </c>
      <c r="Q21" s="38" t="n">
        <f aca="false">IF($M21="",0,N(INDEX($A21:$J21,$Q$6)))</f>
        <v>4706</v>
      </c>
      <c r="R21" s="39" t="n">
        <f aca="false">IF($M21="","",INDEX($A21:$J21,$R$6))</f>
        <v>46330</v>
      </c>
      <c r="S21" s="37" t="str">
        <f aca="false">IF($M21="","",IFERROR(INDEX(Settings!$B$27:$B$36,MATCH(L21,Settings!$A$27:$A$36,0))&amp;"","UNMAPPED"))</f>
        <v>Open</v>
      </c>
      <c r="T21" s="37" t="str">
        <f aca="false">IF($M21="","",IF(NOT(ISNUMBER(R21)),"NO DATE",IF(S21="Won",IF(R21&gt;Settings!$B$5,"Backlog","Delivered"),IF(S21="Open",IF(R21&gt;Settings!$B$5,"Pipeline","Overdue"),IF(S21="Lost","Lost","UNMAPPED")))))</f>
        <v>Pipeline</v>
      </c>
      <c r="U21" s="40" t="n">
        <f aca="false">IF(T21="Backlog",1,IF(OR(T21="Pipeline",T21="Overdue"),N(INDEX(Settings!$C$27:$C$36,MATCH(L21,Settings!$A$27:$A$36,0))),0))</f>
        <v>0.7</v>
      </c>
      <c r="V21" s="38" t="n">
        <f aca="false">Q21*U21</f>
        <v>3294.2</v>
      </c>
      <c r="W21" s="41" t="n">
        <f aca="false">IF($M21="","",IF(T21="Overdue",IF(Settings!$B$8="Yes",Settings!$B$7,""),IF(ISNUMBER(R21),DATE(YEAR(R21),MONTH(R21),1),"")))</f>
        <v>46327</v>
      </c>
      <c r="X21" s="38" t="n">
        <f aca="false">IF(AND(OR(T21="Backlog",T21="Pipeline",T21="Overdue"),ISNUMBER(W21)),IF(W21&lt;=Settings!$B$6,V21,0),0)</f>
        <v>3294.2</v>
      </c>
      <c r="Y21" s="38" t="n">
        <f aca="false">IF(AND(OR(T21="Backlog",T21="Pipeline",T21="Overdue"),ISNUMBER(W21)),IF(W21&lt;=Settings!$B$6,Q21,0),0)</f>
        <v>4706</v>
      </c>
      <c r="Z21" s="38" t="n">
        <f aca="false">IF(Y21=0,0,IF(T21="Backlog",Q21,Q21*Dashboard!$C$10))</f>
        <v>0</v>
      </c>
      <c r="AA21" s="37" t="n">
        <f aca="false">IF($N21="",0,IF(COUNTIF(Dashboard!$C$13:$C$22,$N21)&gt;0,1,0))</f>
        <v>0</v>
      </c>
      <c r="AB21" s="37" t="n">
        <f aca="false">IF($N21="","",IF(COUNTIF($N$8:$N21,$N21)=1,MAX($AB$7:$AB20)+1,""))</f>
        <v>13</v>
      </c>
    </row>
    <row r="22" customFormat="false" ht="15" hidden="false" customHeight="false" outlineLevel="0" collapsed="false">
      <c r="B22" s="32" t="s">
        <v>185</v>
      </c>
      <c r="C22" s="32" t="s">
        <v>163</v>
      </c>
      <c r="D22" s="35" t="n">
        <v>28000</v>
      </c>
      <c r="E22" s="32" t="s">
        <v>145</v>
      </c>
      <c r="F22" s="36" t="n">
        <v>46328</v>
      </c>
      <c r="G22" s="32" t="s">
        <v>186</v>
      </c>
      <c r="L22" s="37" t="str">
        <f aca="false">IF(INDEX($A22:$J22,$L$6)&lt;&gt;"",TRIM(LEFT(INDEX($A22:$J22,$L$6),FIND("(",INDEX($A22:$J22,$L$6)&amp;"(")-1)),L21)</f>
        <v>Negotiation/Review</v>
      </c>
      <c r="M22" s="37" t="str">
        <f aca="false">IF(INDEX($A22:$J22,$M$6)="","",INDEX($A22:$J22,$M$6)&amp;"")</f>
        <v>Automic - Capital Markets Forum - November 25-27</v>
      </c>
      <c r="N22" s="37" t="str">
        <f aca="false">IF($M22="","",TRIM(INDEX($A22:$J22,$N$6)&amp;""))</f>
        <v>Automic Group</v>
      </c>
      <c r="O22" s="37" t="str">
        <f aca="false">IF($M22="","",TRIM(INDEX($A22:$J22,$O$6)&amp;""))</f>
        <v>Event Production</v>
      </c>
      <c r="P22" s="37" t="str">
        <f aca="false">IF($M22="","",IFERROR(IF(INDEX(Settings!$B$41:$B$50,MATCH(O22,Settings!$A$41:$A$50,0))&amp;""="","UNMAPPED",INDEX(Settings!$B$41:$B$50,MATCH(O22,Settings!$A$41:$A$50,0))&amp;""),"UNMAPPED"))</f>
        <v>Production</v>
      </c>
      <c r="Q22" s="38" t="n">
        <f aca="false">IF($M22="",0,N(INDEX($A22:$J22,$Q$6)))</f>
        <v>28000</v>
      </c>
      <c r="R22" s="39" t="n">
        <f aca="false">IF($M22="","",INDEX($A22:$J22,$R$6))</f>
        <v>46328</v>
      </c>
      <c r="S22" s="37" t="str">
        <f aca="false">IF($M22="","",IFERROR(INDEX(Settings!$B$27:$B$36,MATCH(L22,Settings!$A$27:$A$36,0))&amp;"","UNMAPPED"))</f>
        <v>Open</v>
      </c>
      <c r="T22" s="37" t="str">
        <f aca="false">IF($M22="","",IF(NOT(ISNUMBER(R22)),"NO DATE",IF(S22="Won",IF(R22&gt;Settings!$B$5,"Backlog","Delivered"),IF(S22="Open",IF(R22&gt;Settings!$B$5,"Pipeline","Overdue"),IF(S22="Lost","Lost","UNMAPPED")))))</f>
        <v>Pipeline</v>
      </c>
      <c r="U22" s="40" t="n">
        <f aca="false">IF(T22="Backlog",1,IF(OR(T22="Pipeline",T22="Overdue"),N(INDEX(Settings!$C$27:$C$36,MATCH(L22,Settings!$A$27:$A$36,0))),0))</f>
        <v>0.7</v>
      </c>
      <c r="V22" s="38" t="n">
        <f aca="false">Q22*U22</f>
        <v>19600</v>
      </c>
      <c r="W22" s="41" t="n">
        <f aca="false">IF($M22="","",IF(T22="Overdue",IF(Settings!$B$8="Yes",Settings!$B$7,""),IF(ISNUMBER(R22),DATE(YEAR(R22),MONTH(R22),1),"")))</f>
        <v>46327</v>
      </c>
      <c r="X22" s="38" t="n">
        <f aca="false">IF(AND(OR(T22="Backlog",T22="Pipeline",T22="Overdue"),ISNUMBER(W22)),IF(W22&lt;=Settings!$B$6,V22,0),0)</f>
        <v>19600</v>
      </c>
      <c r="Y22" s="38" t="n">
        <f aca="false">IF(AND(OR(T22="Backlog",T22="Pipeline",T22="Overdue"),ISNUMBER(W22)),IF(W22&lt;=Settings!$B$6,Q22,0),0)</f>
        <v>28000</v>
      </c>
      <c r="Z22" s="38" t="n">
        <f aca="false">IF(Y22=0,0,IF(T22="Backlog",Q22,Q22*Dashboard!$C$10))</f>
        <v>0</v>
      </c>
      <c r="AA22" s="37" t="n">
        <f aca="false">IF($N22="",0,IF(COUNTIF(Dashboard!$C$13:$C$22,$N22)&gt;0,1,0))</f>
        <v>0</v>
      </c>
      <c r="AB22" s="37" t="str">
        <f aca="false">IF($N22="","",IF(COUNTIF($N$8:$N22,$N22)=1,MAX($AB$7:$AB21)+1,""))</f>
        <v/>
      </c>
    </row>
    <row r="23" customFormat="false" ht="15" hidden="false" customHeight="false" outlineLevel="0" collapsed="false">
      <c r="B23" s="32" t="s">
        <v>187</v>
      </c>
      <c r="C23" s="32" t="s">
        <v>188</v>
      </c>
      <c r="D23" s="35" t="n">
        <v>27136</v>
      </c>
      <c r="E23" s="32" t="s">
        <v>141</v>
      </c>
      <c r="F23" s="36" t="n">
        <v>46325</v>
      </c>
      <c r="G23" s="32" t="s">
        <v>189</v>
      </c>
      <c r="L23" s="37" t="str">
        <f aca="false">IF(INDEX($A23:$J23,$L$6)&lt;&gt;"",TRIM(LEFT(INDEX($A23:$J23,$L$6),FIND("(",INDEX($A23:$J23,$L$6)&amp;"(")-1)),L22)</f>
        <v>Negotiation/Review</v>
      </c>
      <c r="M23" s="37" t="str">
        <f aca="false">IF(INDEX($A23:$J23,$M$6)="","",INDEX($A23:$J23,$M$6)&amp;"")</f>
        <v>MEL Display Replacement</v>
      </c>
      <c r="N23" s="37" t="str">
        <f aca="false">IF($M23="","",TRIM(INDEX($A23:$J23,$N$6)&amp;""))</f>
        <v>Aware Super</v>
      </c>
      <c r="O23" s="37" t="str">
        <f aca="false">IF($M23="","",TRIM(INDEX($A23:$J23,$O$6)&amp;""))</f>
        <v>Integration</v>
      </c>
      <c r="P23" s="37" t="str">
        <f aca="false">IF($M23="","",IFERROR(IF(INDEX(Settings!$B$41:$B$50,MATCH(O23,Settings!$A$41:$A$50,0))&amp;""="","UNMAPPED",INDEX(Settings!$B$41:$B$50,MATCH(O23,Settings!$A$41:$A$50,0))&amp;""),"UNMAPPED"))</f>
        <v>Integration</v>
      </c>
      <c r="Q23" s="38" t="n">
        <f aca="false">IF($M23="",0,N(INDEX($A23:$J23,$Q$6)))</f>
        <v>27136</v>
      </c>
      <c r="R23" s="39" t="n">
        <f aca="false">IF($M23="","",INDEX($A23:$J23,$R$6))</f>
        <v>46325</v>
      </c>
      <c r="S23" s="37" t="str">
        <f aca="false">IF($M23="","",IFERROR(INDEX(Settings!$B$27:$B$36,MATCH(L23,Settings!$A$27:$A$36,0))&amp;"","UNMAPPED"))</f>
        <v>Open</v>
      </c>
      <c r="T23" s="37" t="str">
        <f aca="false">IF($M23="","",IF(NOT(ISNUMBER(R23)),"NO DATE",IF(S23="Won",IF(R23&gt;Settings!$B$5,"Backlog","Delivered"),IF(S23="Open",IF(R23&gt;Settings!$B$5,"Pipeline","Overdue"),IF(S23="Lost","Lost","UNMAPPED")))))</f>
        <v>Pipeline</v>
      </c>
      <c r="U23" s="40" t="n">
        <f aca="false">IF(T23="Backlog",1,IF(OR(T23="Pipeline",T23="Overdue"),N(INDEX(Settings!$C$27:$C$36,MATCH(L23,Settings!$A$27:$A$36,0))),0))</f>
        <v>0.7</v>
      </c>
      <c r="V23" s="38" t="n">
        <f aca="false">Q23*U23</f>
        <v>18995.2</v>
      </c>
      <c r="W23" s="41" t="n">
        <f aca="false">IF($M23="","",IF(T23="Overdue",IF(Settings!$B$8="Yes",Settings!$B$7,""),IF(ISNUMBER(R23),DATE(YEAR(R23),MONTH(R23),1),"")))</f>
        <v>46296</v>
      </c>
      <c r="X23" s="38" t="n">
        <f aca="false">IF(AND(OR(T23="Backlog",T23="Pipeline",T23="Overdue"),ISNUMBER(W23)),IF(W23&lt;=Settings!$B$6,V23,0),0)</f>
        <v>18995.2</v>
      </c>
      <c r="Y23" s="38" t="n">
        <f aca="false">IF(AND(OR(T23="Backlog",T23="Pipeline",T23="Overdue"),ISNUMBER(W23)),IF(W23&lt;=Settings!$B$6,Q23,0),0)</f>
        <v>27136</v>
      </c>
      <c r="Z23" s="38" t="n">
        <f aca="false">IF(Y23=0,0,IF(T23="Backlog",Q23,Q23*Dashboard!$C$10))</f>
        <v>0</v>
      </c>
      <c r="AA23" s="37" t="n">
        <f aca="false">IF($N23="",0,IF(COUNTIF(Dashboard!$C$13:$C$22,$N23)&gt;0,1,0))</f>
        <v>0</v>
      </c>
      <c r="AB23" s="37" t="n">
        <f aca="false">IF($N23="","",IF(COUNTIF($N$8:$N23,$N23)=1,MAX($AB$7:$AB22)+1,""))</f>
        <v>14</v>
      </c>
    </row>
    <row r="24" customFormat="false" ht="15" hidden="false" customHeight="false" outlineLevel="0" collapsed="false">
      <c r="B24" s="32" t="s">
        <v>190</v>
      </c>
      <c r="C24" s="32" t="s">
        <v>191</v>
      </c>
      <c r="D24" s="35" t="n">
        <v>795</v>
      </c>
      <c r="E24" s="32" t="s">
        <v>145</v>
      </c>
      <c r="F24" s="36" t="n">
        <v>46280</v>
      </c>
      <c r="G24" s="32" t="s">
        <v>192</v>
      </c>
      <c r="L24" s="37" t="str">
        <f aca="false">IF(INDEX($A24:$J24,$L$6)&lt;&gt;"",TRIM(LEFT(INDEX($A24:$J24,$L$6),FIND("(",INDEX($A24:$J24,$L$6)&amp;"(")-1)),L23)</f>
        <v>Negotiation/Review</v>
      </c>
      <c r="M24" s="37" t="str">
        <f aca="false">IF(INDEX($A24:$J24,$M$6)="","",INDEX($A24:$J24,$M$6)&amp;"")</f>
        <v>CBA - Private Hosting Payments Webinar - Postponed to October</v>
      </c>
      <c r="N24" s="37" t="str">
        <f aca="false">IF($M24="","",TRIM(INDEX($A24:$J24,$N$6)&amp;""))</f>
        <v>Commonwealth Bank Australia (CBA)</v>
      </c>
      <c r="O24" s="37" t="str">
        <f aca="false">IF($M24="","",TRIM(INDEX($A24:$J24,$O$6)&amp;""))</f>
        <v>Event Production</v>
      </c>
      <c r="P24" s="37" t="str">
        <f aca="false">IF($M24="","",IFERROR(IF(INDEX(Settings!$B$41:$B$50,MATCH(O24,Settings!$A$41:$A$50,0))&amp;""="","UNMAPPED",INDEX(Settings!$B$41:$B$50,MATCH(O24,Settings!$A$41:$A$50,0))&amp;""),"UNMAPPED"))</f>
        <v>Production</v>
      </c>
      <c r="Q24" s="38" t="n">
        <f aca="false">IF($M24="",0,N(INDEX($A24:$J24,$Q$6)))</f>
        <v>795</v>
      </c>
      <c r="R24" s="39" t="n">
        <f aca="false">IF($M24="","",INDEX($A24:$J24,$R$6))</f>
        <v>46280</v>
      </c>
      <c r="S24" s="37" t="str">
        <f aca="false">IF($M24="","",IFERROR(INDEX(Settings!$B$27:$B$36,MATCH(L24,Settings!$A$27:$A$36,0))&amp;"","UNMAPPED"))</f>
        <v>Open</v>
      </c>
      <c r="T24" s="37" t="str">
        <f aca="false">IF($M24="","",IF(NOT(ISNUMBER(R24)),"NO DATE",IF(S24="Won",IF(R24&gt;Settings!$B$5,"Backlog","Delivered"),IF(S24="Open",IF(R24&gt;Settings!$B$5,"Pipeline","Overdue"),IF(S24="Lost","Lost","UNMAPPED")))))</f>
        <v>Overdue</v>
      </c>
      <c r="U24" s="40" t="n">
        <f aca="false">IF(T24="Backlog",1,IF(OR(T24="Pipeline",T24="Overdue"),N(INDEX(Settings!$C$27:$C$36,MATCH(L24,Settings!$A$27:$A$36,0))),0))</f>
        <v>0.7</v>
      </c>
      <c r="V24" s="38" t="n">
        <f aca="false">Q24*U24</f>
        <v>556.5</v>
      </c>
      <c r="W24" s="41" t="str">
        <f aca="false">IF($M24="","",IF(T24="Overdue",IF(Settings!$B$8="Yes",Settings!$B$7,""),IF(ISNUMBER(R24),DATE(YEAR(R24),MONTH(R24),1),"")))</f>
        <v/>
      </c>
      <c r="X24" s="38" t="n">
        <f aca="false">IF(AND(OR(T24="Backlog",T24="Pipeline",T24="Overdue"),ISNUMBER(W24)),IF(W24&lt;=Settings!$B$6,V24,0),0)</f>
        <v>0</v>
      </c>
      <c r="Y24" s="38" t="n">
        <f aca="false">IF(AND(OR(T24="Backlog",T24="Pipeline",T24="Overdue"),ISNUMBER(W24)),IF(W24&lt;=Settings!$B$6,Q24,0),0)</f>
        <v>0</v>
      </c>
      <c r="Z24" s="38" t="n">
        <f aca="false">IF(Y24=0,0,IF(T24="Backlog",Q24,Q24*Dashboard!$C$10))</f>
        <v>0</v>
      </c>
      <c r="AA24" s="37" t="n">
        <f aca="false">IF($N24="",0,IF(COUNTIF(Dashboard!$C$13:$C$22,$N24)&gt;0,1,0))</f>
        <v>0</v>
      </c>
      <c r="AB24" s="37" t="n">
        <f aca="false">IF($N24="","",IF(COUNTIF($N$8:$N24,$N24)=1,MAX($AB$7:$AB23)+1,""))</f>
        <v>15</v>
      </c>
    </row>
    <row r="25" customFormat="false" ht="15" hidden="false" customHeight="false" outlineLevel="0" collapsed="false">
      <c r="B25" s="32" t="s">
        <v>193</v>
      </c>
      <c r="C25" s="32" t="s">
        <v>194</v>
      </c>
      <c r="D25" s="35" t="n">
        <v>9120</v>
      </c>
      <c r="E25" s="32" t="s">
        <v>141</v>
      </c>
      <c r="F25" s="36" t="n">
        <v>46325</v>
      </c>
      <c r="G25" s="32" t="s">
        <v>195</v>
      </c>
      <c r="L25" s="37" t="str">
        <f aca="false">IF(INDEX($A25:$J25,$L$6)&lt;&gt;"",TRIM(LEFT(INDEX($A25:$J25,$L$6),FIND("(",INDEX($A25:$J25,$L$6)&amp;"(")-1)),L24)</f>
        <v>Negotiation/Review</v>
      </c>
      <c r="M25" s="37" t="str">
        <f aca="false">IF(INDEX($A25:$J25,$M$6)="","",INDEX($A25:$J25,$M$6)&amp;"")</f>
        <v>Ventia | Mobile Displays x2 - 26042302</v>
      </c>
      <c r="N25" s="37" t="str">
        <f aca="false">IF($M25="","",TRIM(INDEX($A25:$J25,$N$6)&amp;""))</f>
        <v>Ventia</v>
      </c>
      <c r="O25" s="37" t="str">
        <f aca="false">IF($M25="","",TRIM(INDEX($A25:$J25,$O$6)&amp;""))</f>
        <v>Integration</v>
      </c>
      <c r="P25" s="37" t="str">
        <f aca="false">IF($M25="","",IFERROR(IF(INDEX(Settings!$B$41:$B$50,MATCH(O25,Settings!$A$41:$A$50,0))&amp;""="","UNMAPPED",INDEX(Settings!$B$41:$B$50,MATCH(O25,Settings!$A$41:$A$50,0))&amp;""),"UNMAPPED"))</f>
        <v>Integration</v>
      </c>
      <c r="Q25" s="38" t="n">
        <f aca="false">IF($M25="",0,N(INDEX($A25:$J25,$Q$6)))</f>
        <v>9120</v>
      </c>
      <c r="R25" s="39" t="n">
        <f aca="false">IF($M25="","",INDEX($A25:$J25,$R$6))</f>
        <v>46325</v>
      </c>
      <c r="S25" s="37" t="str">
        <f aca="false">IF($M25="","",IFERROR(INDEX(Settings!$B$27:$B$36,MATCH(L25,Settings!$A$27:$A$36,0))&amp;"","UNMAPPED"))</f>
        <v>Open</v>
      </c>
      <c r="T25" s="37" t="str">
        <f aca="false">IF($M25="","",IF(NOT(ISNUMBER(R25)),"NO DATE",IF(S25="Won",IF(R25&gt;Settings!$B$5,"Backlog","Delivered"),IF(S25="Open",IF(R25&gt;Settings!$B$5,"Pipeline","Overdue"),IF(S25="Lost","Lost","UNMAPPED")))))</f>
        <v>Pipeline</v>
      </c>
      <c r="U25" s="40" t="n">
        <f aca="false">IF(T25="Backlog",1,IF(OR(T25="Pipeline",T25="Overdue"),N(INDEX(Settings!$C$27:$C$36,MATCH(L25,Settings!$A$27:$A$36,0))),0))</f>
        <v>0.7</v>
      </c>
      <c r="V25" s="38" t="n">
        <f aca="false">Q25*U25</f>
        <v>6384</v>
      </c>
      <c r="W25" s="41" t="n">
        <f aca="false">IF($M25="","",IF(T25="Overdue",IF(Settings!$B$8="Yes",Settings!$B$7,""),IF(ISNUMBER(R25),DATE(YEAR(R25),MONTH(R25),1),"")))</f>
        <v>46296</v>
      </c>
      <c r="X25" s="38" t="n">
        <f aca="false">IF(AND(OR(T25="Backlog",T25="Pipeline",T25="Overdue"),ISNUMBER(W25)),IF(W25&lt;=Settings!$B$6,V25,0),0)</f>
        <v>6384</v>
      </c>
      <c r="Y25" s="38" t="n">
        <f aca="false">IF(AND(OR(T25="Backlog",T25="Pipeline",T25="Overdue"),ISNUMBER(W25)),IF(W25&lt;=Settings!$B$6,Q25,0),0)</f>
        <v>9120</v>
      </c>
      <c r="Z25" s="38" t="n">
        <f aca="false">IF(Y25=0,0,IF(T25="Backlog",Q25,Q25*Dashboard!$C$10))</f>
        <v>0</v>
      </c>
      <c r="AA25" s="37" t="n">
        <f aca="false">IF($N25="",0,IF(COUNTIF(Dashboard!$C$13:$C$22,$N25)&gt;0,1,0))</f>
        <v>0</v>
      </c>
      <c r="AB25" s="37" t="n">
        <f aca="false">IF($N25="","",IF(COUNTIF($N$8:$N25,$N25)=1,MAX($AB$7:$AB24)+1,""))</f>
        <v>16</v>
      </c>
    </row>
    <row r="26" customFormat="false" ht="15" hidden="false" customHeight="false" outlineLevel="0" collapsed="false">
      <c r="B26" s="32" t="s">
        <v>196</v>
      </c>
      <c r="C26" s="32" t="s">
        <v>183</v>
      </c>
      <c r="D26" s="35" t="n">
        <v>4516</v>
      </c>
      <c r="E26" s="32" t="s">
        <v>145</v>
      </c>
      <c r="F26" s="36" t="n">
        <v>46330</v>
      </c>
      <c r="G26" s="32" t="s">
        <v>197</v>
      </c>
      <c r="L26" s="37" t="str">
        <f aca="false">IF(INDEX($A26:$J26,$L$6)&lt;&gt;"",TRIM(LEFT(INDEX($A26:$J26,$L$6),FIND("(",INDEX($A26:$J26,$L$6)&amp;"(")-1)),L25)</f>
        <v>Negotiation/Review</v>
      </c>
      <c r="M26" s="37" t="str">
        <f aca="false">IF(INDEX($A26:$J26,$M$6)="","",INDEX($A26:$J26,$M$6)&amp;"")</f>
        <v>Chorus Call - Nanosonics AGM - 4.11.26</v>
      </c>
      <c r="N26" s="37" t="str">
        <f aca="false">IF($M26="","",TRIM(INDEX($A26:$J26,$N$6)&amp;""))</f>
        <v>Chorus Call</v>
      </c>
      <c r="O26" s="37" t="str">
        <f aca="false">IF($M26="","",TRIM(INDEX($A26:$J26,$O$6)&amp;""))</f>
        <v>Event Production</v>
      </c>
      <c r="P26" s="37" t="str">
        <f aca="false">IF($M26="","",IFERROR(IF(INDEX(Settings!$B$41:$B$50,MATCH(O26,Settings!$A$41:$A$50,0))&amp;""="","UNMAPPED",INDEX(Settings!$B$41:$B$50,MATCH(O26,Settings!$A$41:$A$50,0))&amp;""),"UNMAPPED"))</f>
        <v>Production</v>
      </c>
      <c r="Q26" s="38" t="n">
        <f aca="false">IF($M26="",0,N(INDEX($A26:$J26,$Q$6)))</f>
        <v>4516</v>
      </c>
      <c r="R26" s="39" t="n">
        <f aca="false">IF($M26="","",INDEX($A26:$J26,$R$6))</f>
        <v>46330</v>
      </c>
      <c r="S26" s="37" t="str">
        <f aca="false">IF($M26="","",IFERROR(INDEX(Settings!$B$27:$B$36,MATCH(L26,Settings!$A$27:$A$36,0))&amp;"","UNMAPPED"))</f>
        <v>Open</v>
      </c>
      <c r="T26" s="37" t="str">
        <f aca="false">IF($M26="","",IF(NOT(ISNUMBER(R26)),"NO DATE",IF(S26="Won",IF(R26&gt;Settings!$B$5,"Backlog","Delivered"),IF(S26="Open",IF(R26&gt;Settings!$B$5,"Pipeline","Overdue"),IF(S26="Lost","Lost","UNMAPPED")))))</f>
        <v>Pipeline</v>
      </c>
      <c r="U26" s="40" t="n">
        <f aca="false">IF(T26="Backlog",1,IF(OR(T26="Pipeline",T26="Overdue"),N(INDEX(Settings!$C$27:$C$36,MATCH(L26,Settings!$A$27:$A$36,0))),0))</f>
        <v>0.7</v>
      </c>
      <c r="V26" s="38" t="n">
        <f aca="false">Q26*U26</f>
        <v>3161.2</v>
      </c>
      <c r="W26" s="41" t="n">
        <f aca="false">IF($M26="","",IF(T26="Overdue",IF(Settings!$B$8="Yes",Settings!$B$7,""),IF(ISNUMBER(R26),DATE(YEAR(R26),MONTH(R26),1),"")))</f>
        <v>46327</v>
      </c>
      <c r="X26" s="38" t="n">
        <f aca="false">IF(AND(OR(T26="Backlog",T26="Pipeline",T26="Overdue"),ISNUMBER(W26)),IF(W26&lt;=Settings!$B$6,V26,0),0)</f>
        <v>3161.2</v>
      </c>
      <c r="Y26" s="38" t="n">
        <f aca="false">IF(AND(OR(T26="Backlog",T26="Pipeline",T26="Overdue"),ISNUMBER(W26)),IF(W26&lt;=Settings!$B$6,Q26,0),0)</f>
        <v>4516</v>
      </c>
      <c r="Z26" s="38" t="n">
        <f aca="false">IF(Y26=0,0,IF(T26="Backlog",Q26,Q26*Dashboard!$C$10))</f>
        <v>0</v>
      </c>
      <c r="AA26" s="37" t="n">
        <f aca="false">IF($N26="",0,IF(COUNTIF(Dashboard!$C$13:$C$22,$N26)&gt;0,1,0))</f>
        <v>0</v>
      </c>
      <c r="AB26" s="37" t="str">
        <f aca="false">IF($N26="","",IF(COUNTIF($N$8:$N26,$N26)=1,MAX($AB$7:$AB25)+1,""))</f>
        <v/>
      </c>
    </row>
    <row r="27" customFormat="false" ht="15" hidden="false" customHeight="false" outlineLevel="0" collapsed="false">
      <c r="B27" s="32" t="s">
        <v>198</v>
      </c>
      <c r="C27" s="32" t="s">
        <v>199</v>
      </c>
      <c r="D27" s="35" t="n">
        <v>137200</v>
      </c>
      <c r="E27" s="32" t="s">
        <v>180</v>
      </c>
      <c r="F27" s="36" t="n">
        <v>46203</v>
      </c>
      <c r="G27" s="32" t="s">
        <v>200</v>
      </c>
      <c r="L27" s="37" t="str">
        <f aca="false">IF(INDEX($A27:$J27,$L$6)&lt;&gt;"",TRIM(LEFT(INDEX($A27:$J27,$L$6),FIND("(",INDEX($A27:$J27,$L$6)&amp;"(")-1)),L26)</f>
        <v>Negotiation/Review</v>
      </c>
      <c r="M27" s="37" t="str">
        <f aca="false">IF(INDEX($A27:$J27,$M$6)="","",INDEX($A27:$J27,$M$6)&amp;"")</f>
        <v>Ricoh / Blackrock SYD</v>
      </c>
      <c r="N27" s="37" t="str">
        <f aca="false">IF($M27="","",TRIM(INDEX($A27:$J27,$N$6)&amp;""))</f>
        <v>Ricoh</v>
      </c>
      <c r="O27" s="37" t="str">
        <f aca="false">IF($M27="","",TRIM(INDEX($A27:$J27,$O$6)&amp;""))</f>
        <v>Support</v>
      </c>
      <c r="P27" s="37" t="str">
        <f aca="false">IF($M27="","",IFERROR(IF(INDEX(Settings!$B$41:$B$50,MATCH(O27,Settings!$A$41:$A$50,0))&amp;""="","UNMAPPED",INDEX(Settings!$B$41:$B$50,MATCH(O27,Settings!$A$41:$A$50,0))&amp;""),"UNMAPPED"))</f>
        <v>Onsite</v>
      </c>
      <c r="Q27" s="38" t="n">
        <f aca="false">IF($M27="",0,N(INDEX($A27:$J27,$Q$6)))</f>
        <v>137200</v>
      </c>
      <c r="R27" s="39" t="n">
        <f aca="false">IF($M27="","",INDEX($A27:$J27,$R$6))</f>
        <v>46203</v>
      </c>
      <c r="S27" s="37" t="str">
        <f aca="false">IF($M27="","",IFERROR(INDEX(Settings!$B$27:$B$36,MATCH(L27,Settings!$A$27:$A$36,0))&amp;"","UNMAPPED"))</f>
        <v>Open</v>
      </c>
      <c r="T27" s="37" t="str">
        <f aca="false">IF($M27="","",IF(NOT(ISNUMBER(R27)),"NO DATE",IF(S27="Won",IF(R27&gt;Settings!$B$5,"Backlog","Delivered"),IF(S27="Open",IF(R27&gt;Settings!$B$5,"Pipeline","Overdue"),IF(S27="Lost","Lost","UNMAPPED")))))</f>
        <v>Overdue</v>
      </c>
      <c r="U27" s="40" t="n">
        <f aca="false">IF(T27="Backlog",1,IF(OR(T27="Pipeline",T27="Overdue"),N(INDEX(Settings!$C$27:$C$36,MATCH(L27,Settings!$A$27:$A$36,0))),0))</f>
        <v>0.7</v>
      </c>
      <c r="V27" s="38" t="n">
        <f aca="false">Q27*U27</f>
        <v>96040</v>
      </c>
      <c r="W27" s="41" t="str">
        <f aca="false">IF($M27="","",IF(T27="Overdue",IF(Settings!$B$8="Yes",Settings!$B$7,""),IF(ISNUMBER(R27),DATE(YEAR(R27),MONTH(R27),1),"")))</f>
        <v/>
      </c>
      <c r="X27" s="38" t="n">
        <f aca="false">IF(AND(OR(T27="Backlog",T27="Pipeline",T27="Overdue"),ISNUMBER(W27)),IF(W27&lt;=Settings!$B$6,V27,0),0)</f>
        <v>0</v>
      </c>
      <c r="Y27" s="38" t="n">
        <f aca="false">IF(AND(OR(T27="Backlog",T27="Pipeline",T27="Overdue"),ISNUMBER(W27)),IF(W27&lt;=Settings!$B$6,Q27,0),0)</f>
        <v>0</v>
      </c>
      <c r="Z27" s="38" t="n">
        <f aca="false">IF(Y27=0,0,IF(T27="Backlog",Q27,Q27*Dashboard!$C$10))</f>
        <v>0</v>
      </c>
      <c r="AA27" s="37" t="n">
        <f aca="false">IF($N27="",0,IF(COUNTIF(Dashboard!$C$13:$C$22,$N27)&gt;0,1,0))</f>
        <v>0</v>
      </c>
      <c r="AB27" s="37" t="n">
        <f aca="false">IF($N27="","",IF(COUNTIF($N$8:$N27,$N27)=1,MAX($AB$7:$AB26)+1,""))</f>
        <v>17</v>
      </c>
    </row>
    <row r="28" customFormat="false" ht="15" hidden="false" customHeight="false" outlineLevel="0" collapsed="false">
      <c r="B28" s="32" t="s">
        <v>201</v>
      </c>
      <c r="C28" s="32" t="s">
        <v>191</v>
      </c>
      <c r="D28" s="35" t="n">
        <v>25180</v>
      </c>
      <c r="E28" s="32" t="s">
        <v>145</v>
      </c>
      <c r="F28" s="36" t="n">
        <v>46314</v>
      </c>
      <c r="G28" s="32" t="s">
        <v>202</v>
      </c>
      <c r="L28" s="37" t="str">
        <f aca="false">IF(INDEX($A28:$J28,$L$6)&lt;&gt;"",TRIM(LEFT(INDEX($A28:$J28,$L$6),FIND("(",INDEX($A28:$J28,$L$6)&amp;"(")-1)),L27)</f>
        <v>Negotiation/Review</v>
      </c>
      <c r="M28" s="37" t="str">
        <f aca="false">IF(INDEX($A28:$J28,$M$6)="","",INDEX($A28:$J28,$M$6)&amp;"")</f>
        <v>CBA - Lighting for Global Markets Conference - 19-21.10.26</v>
      </c>
      <c r="N28" s="37" t="str">
        <f aca="false">IF($M28="","",TRIM(INDEX($A28:$J28,$N$6)&amp;""))</f>
        <v>Commonwealth Bank Australia (CBA)</v>
      </c>
      <c r="O28" s="37" t="str">
        <f aca="false">IF($M28="","",TRIM(INDEX($A28:$J28,$O$6)&amp;""))</f>
        <v>Event Production</v>
      </c>
      <c r="P28" s="37" t="str">
        <f aca="false">IF($M28="","",IFERROR(IF(INDEX(Settings!$B$41:$B$50,MATCH(O28,Settings!$A$41:$A$50,0))&amp;""="","UNMAPPED",INDEX(Settings!$B$41:$B$50,MATCH(O28,Settings!$A$41:$A$50,0))&amp;""),"UNMAPPED"))</f>
        <v>Production</v>
      </c>
      <c r="Q28" s="38" t="n">
        <f aca="false">IF($M28="",0,N(INDEX($A28:$J28,$Q$6)))</f>
        <v>25180</v>
      </c>
      <c r="R28" s="39" t="n">
        <f aca="false">IF($M28="","",INDEX($A28:$J28,$R$6))</f>
        <v>46314</v>
      </c>
      <c r="S28" s="37" t="str">
        <f aca="false">IF($M28="","",IFERROR(INDEX(Settings!$B$27:$B$36,MATCH(L28,Settings!$A$27:$A$36,0))&amp;"","UNMAPPED"))</f>
        <v>Open</v>
      </c>
      <c r="T28" s="37" t="str">
        <f aca="false">IF($M28="","",IF(NOT(ISNUMBER(R28)),"NO DATE",IF(S28="Won",IF(R28&gt;Settings!$B$5,"Backlog","Delivered"),IF(S28="Open",IF(R28&gt;Settings!$B$5,"Pipeline","Overdue"),IF(S28="Lost","Lost","UNMAPPED")))))</f>
        <v>Pipeline</v>
      </c>
      <c r="U28" s="40" t="n">
        <f aca="false">IF(T28="Backlog",1,IF(OR(T28="Pipeline",T28="Overdue"),N(INDEX(Settings!$C$27:$C$36,MATCH(L28,Settings!$A$27:$A$36,0))),0))</f>
        <v>0.7</v>
      </c>
      <c r="V28" s="38" t="n">
        <f aca="false">Q28*U28</f>
        <v>17626</v>
      </c>
      <c r="W28" s="41" t="n">
        <f aca="false">IF($M28="","",IF(T28="Overdue",IF(Settings!$B$8="Yes",Settings!$B$7,""),IF(ISNUMBER(R28),DATE(YEAR(R28),MONTH(R28),1),"")))</f>
        <v>46296</v>
      </c>
      <c r="X28" s="38" t="n">
        <f aca="false">IF(AND(OR(T28="Backlog",T28="Pipeline",T28="Overdue"),ISNUMBER(W28)),IF(W28&lt;=Settings!$B$6,V28,0),0)</f>
        <v>17626</v>
      </c>
      <c r="Y28" s="38" t="n">
        <f aca="false">IF(AND(OR(T28="Backlog",T28="Pipeline",T28="Overdue"),ISNUMBER(W28)),IF(W28&lt;=Settings!$B$6,Q28,0),0)</f>
        <v>25180</v>
      </c>
      <c r="Z28" s="38" t="n">
        <f aca="false">IF(Y28=0,0,IF(T28="Backlog",Q28,Q28*Dashboard!$C$10))</f>
        <v>0</v>
      </c>
      <c r="AA28" s="37" t="n">
        <f aca="false">IF($N28="",0,IF(COUNTIF(Dashboard!$C$13:$C$22,$N28)&gt;0,1,0))</f>
        <v>0</v>
      </c>
      <c r="AB28" s="37" t="str">
        <f aca="false">IF($N28="","",IF(COUNTIF($N$8:$N28,$N28)=1,MAX($AB$7:$AB27)+1,""))</f>
        <v/>
      </c>
    </row>
    <row r="29" customFormat="false" ht="15" hidden="false" customHeight="false" outlineLevel="0" collapsed="false">
      <c r="A29" s="32" t="s">
        <v>203</v>
      </c>
      <c r="B29" s="32" t="s">
        <v>204</v>
      </c>
      <c r="C29" s="32" t="s">
        <v>205</v>
      </c>
      <c r="D29" s="35" t="n">
        <v>20128</v>
      </c>
      <c r="E29" s="32" t="s">
        <v>180</v>
      </c>
      <c r="F29" s="36" t="n">
        <v>46129</v>
      </c>
      <c r="G29" s="32" t="s">
        <v>206</v>
      </c>
      <c r="L29" s="37" t="str">
        <f aca="false">IF(INDEX($A29:$J29,$L$6)&lt;&gt;"",TRIM(LEFT(INDEX($A29:$J29,$L$6),FIND("(",INDEX($A29:$J29,$L$6)&amp;"(")-1)),L28)</f>
        <v>Closed Won</v>
      </c>
      <c r="M29" s="37" t="str">
        <f aca="false">IF(INDEX($A29:$J29,$M$6)="","",INDEX($A29:$J29,$M$6)&amp;"")</f>
        <v>QQT &amp; 8PSQ_Crestron Connect Adaptor - 26033005</v>
      </c>
      <c r="N29" s="37" t="str">
        <f aca="false">IF($M29="","",TRIM(INDEX($A29:$J29,$N$6)&amp;""))</f>
        <v>Deloitte - Sydney</v>
      </c>
      <c r="O29" s="37" t="str">
        <f aca="false">IF($M29="","",TRIM(INDEX($A29:$J29,$O$6)&amp;""))</f>
        <v>Support</v>
      </c>
      <c r="P29" s="37" t="str">
        <f aca="false">IF($M29="","",IFERROR(IF(INDEX(Settings!$B$41:$B$50,MATCH(O29,Settings!$A$41:$A$50,0))&amp;""="","UNMAPPED",INDEX(Settings!$B$41:$B$50,MATCH(O29,Settings!$A$41:$A$50,0))&amp;""),"UNMAPPED"))</f>
        <v>Onsite</v>
      </c>
      <c r="Q29" s="38" t="n">
        <f aca="false">IF($M29="",0,N(INDEX($A29:$J29,$Q$6)))</f>
        <v>20128</v>
      </c>
      <c r="R29" s="39" t="n">
        <f aca="false">IF($M29="","",INDEX($A29:$J29,$R$6))</f>
        <v>46129</v>
      </c>
      <c r="S29" s="37" t="str">
        <f aca="false">IF($M29="","",IFERROR(INDEX(Settings!$B$27:$B$36,MATCH(L29,Settings!$A$27:$A$36,0))&amp;"","UNMAPPED"))</f>
        <v>Won</v>
      </c>
      <c r="T29" s="37" t="str">
        <f aca="false">IF($M29="","",IF(NOT(ISNUMBER(R29)),"NO DATE",IF(S29="Won",IF(R29&gt;Settings!$B$5,"Backlog","Delivered"),IF(S29="Open",IF(R29&gt;Settings!$B$5,"Pipeline","Overdue"),IF(S29="Lost","Lost","UNMAPPED")))))</f>
        <v>Delivered</v>
      </c>
      <c r="U29" s="40" t="n">
        <f aca="false">IF(T29="Backlog",1,IF(OR(T29="Pipeline",T29="Overdue"),N(INDEX(Settings!$C$27:$C$36,MATCH(L29,Settings!$A$27:$A$36,0))),0))</f>
        <v>0</v>
      </c>
      <c r="V29" s="38" t="n">
        <f aca="false">Q29*U29</f>
        <v>0</v>
      </c>
      <c r="W29" s="41" t="n">
        <f aca="false">IF($M29="","",IF(T29="Overdue",IF(Settings!$B$8="Yes",Settings!$B$7,""),IF(ISNUMBER(R29),DATE(YEAR(R29),MONTH(R29),1),"")))</f>
        <v>46113</v>
      </c>
      <c r="X29" s="38" t="n">
        <f aca="false">IF(AND(OR(T29="Backlog",T29="Pipeline",T29="Overdue"),ISNUMBER(W29)),IF(W29&lt;=Settings!$B$6,V29,0),0)</f>
        <v>0</v>
      </c>
      <c r="Y29" s="38" t="n">
        <f aca="false">IF(AND(OR(T29="Backlog",T29="Pipeline",T29="Overdue"),ISNUMBER(W29)),IF(W29&lt;=Settings!$B$6,Q29,0),0)</f>
        <v>0</v>
      </c>
      <c r="Z29" s="38" t="n">
        <f aca="false">IF(Y29=0,0,IF(T29="Backlog",Q29,Q29*Dashboard!$C$10))</f>
        <v>0</v>
      </c>
      <c r="AA29" s="37" t="n">
        <f aca="false">IF($N29="",0,IF(COUNTIF(Dashboard!$C$13:$C$22,$N29)&gt;0,1,0))</f>
        <v>0</v>
      </c>
      <c r="AB29" s="37" t="n">
        <f aca="false">IF($N29="","",IF(COUNTIF($N$8:$N29,$N29)=1,MAX($AB$7:$AB28)+1,""))</f>
        <v>18</v>
      </c>
    </row>
    <row r="30" customFormat="false" ht="15" hidden="false" customHeight="false" outlineLevel="0" collapsed="false">
      <c r="B30" s="32" t="s">
        <v>207</v>
      </c>
      <c r="C30" s="32" t="s">
        <v>194</v>
      </c>
      <c r="D30" s="35" t="n">
        <v>1150</v>
      </c>
      <c r="E30" s="32" t="s">
        <v>208</v>
      </c>
      <c r="F30" s="36" t="n">
        <v>46163</v>
      </c>
      <c r="G30" s="32" t="s">
        <v>209</v>
      </c>
      <c r="L30" s="37" t="str">
        <f aca="false">IF(INDEX($A30:$J30,$L$6)&lt;&gt;"",TRIM(LEFT(INDEX($A30:$J30,$L$6),FIND("(",INDEX($A30:$J30,$L$6)&amp;"(")-1)),L29)</f>
        <v>Closed Won</v>
      </c>
      <c r="M30" s="37" t="str">
        <f aca="false">IF(INDEX($A30:$J30,$M$6)="","",INDEX($A30:$J30,$M$6)&amp;"")</f>
        <v>Ventia - LTI FY26 Video Record</v>
      </c>
      <c r="N30" s="37" t="str">
        <f aca="false">IF($M30="","",TRIM(INDEX($A30:$J30,$N$6)&amp;""))</f>
        <v>Ventia</v>
      </c>
      <c r="O30" s="37" t="str">
        <f aca="false">IF($M30="","",TRIM(INDEX($A30:$J30,$O$6)&amp;""))</f>
        <v>Video Production</v>
      </c>
      <c r="P30" s="37" t="str">
        <f aca="false">IF($M30="","",IFERROR(IF(INDEX(Settings!$B$41:$B$50,MATCH(O30,Settings!$A$41:$A$50,0))&amp;""="","UNMAPPED",INDEX(Settings!$B$41:$B$50,MATCH(O30,Settings!$A$41:$A$50,0))&amp;""),"UNMAPPED"))</f>
        <v>Video</v>
      </c>
      <c r="Q30" s="38" t="n">
        <f aca="false">IF($M30="",0,N(INDEX($A30:$J30,$Q$6)))</f>
        <v>1150</v>
      </c>
      <c r="R30" s="39" t="n">
        <f aca="false">IF($M30="","",INDEX($A30:$J30,$R$6))</f>
        <v>46163</v>
      </c>
      <c r="S30" s="37" t="str">
        <f aca="false">IF($M30="","",IFERROR(INDEX(Settings!$B$27:$B$36,MATCH(L30,Settings!$A$27:$A$36,0))&amp;"","UNMAPPED"))</f>
        <v>Won</v>
      </c>
      <c r="T30" s="37" t="str">
        <f aca="false">IF($M30="","",IF(NOT(ISNUMBER(R30)),"NO DATE",IF(S30="Won",IF(R30&gt;Settings!$B$5,"Backlog","Delivered"),IF(S30="Open",IF(R30&gt;Settings!$B$5,"Pipeline","Overdue"),IF(S30="Lost","Lost","UNMAPPED")))))</f>
        <v>Delivered</v>
      </c>
      <c r="U30" s="40" t="n">
        <f aca="false">IF(T30="Backlog",1,IF(OR(T30="Pipeline",T30="Overdue"),N(INDEX(Settings!$C$27:$C$36,MATCH(L30,Settings!$A$27:$A$36,0))),0))</f>
        <v>0</v>
      </c>
      <c r="V30" s="38" t="n">
        <f aca="false">Q30*U30</f>
        <v>0</v>
      </c>
      <c r="W30" s="41" t="n">
        <f aca="false">IF($M30="","",IF(T30="Overdue",IF(Settings!$B$8="Yes",Settings!$B$7,""),IF(ISNUMBER(R30),DATE(YEAR(R30),MONTH(R30),1),"")))</f>
        <v>46143</v>
      </c>
      <c r="X30" s="38" t="n">
        <f aca="false">IF(AND(OR(T30="Backlog",T30="Pipeline",T30="Overdue"),ISNUMBER(W30)),IF(W30&lt;=Settings!$B$6,V30,0),0)</f>
        <v>0</v>
      </c>
      <c r="Y30" s="38" t="n">
        <f aca="false">IF(AND(OR(T30="Backlog",T30="Pipeline",T30="Overdue"),ISNUMBER(W30)),IF(W30&lt;=Settings!$B$6,Q30,0),0)</f>
        <v>0</v>
      </c>
      <c r="Z30" s="38" t="n">
        <f aca="false">IF(Y30=0,0,IF(T30="Backlog",Q30,Q30*Dashboard!$C$10))</f>
        <v>0</v>
      </c>
      <c r="AA30" s="37" t="n">
        <f aca="false">IF($N30="",0,IF(COUNTIF(Dashboard!$C$13:$C$22,$N30)&gt;0,1,0))</f>
        <v>0</v>
      </c>
      <c r="AB30" s="37" t="str">
        <f aca="false">IF($N30="","",IF(COUNTIF($N$8:$N30,$N30)=1,MAX($AB$7:$AB29)+1,""))</f>
        <v/>
      </c>
    </row>
    <row r="31" customFormat="false" ht="15" hidden="false" customHeight="false" outlineLevel="0" collapsed="false">
      <c r="B31" s="32" t="s">
        <v>210</v>
      </c>
      <c r="C31" s="32" t="s">
        <v>211</v>
      </c>
      <c r="D31" s="35" t="n">
        <v>600</v>
      </c>
      <c r="E31" s="32" t="s">
        <v>180</v>
      </c>
      <c r="F31" s="36" t="n">
        <v>45957</v>
      </c>
      <c r="G31" s="32" t="s">
        <v>212</v>
      </c>
      <c r="L31" s="37" t="str">
        <f aca="false">IF(INDEX($A31:$J31,$L$6)&lt;&gt;"",TRIM(LEFT(INDEX($A31:$J31,$L$6),FIND("(",INDEX($A31:$J31,$L$6)&amp;"(")-1)),L30)</f>
        <v>Closed Won</v>
      </c>
      <c r="M31" s="37" t="str">
        <f aca="false">IF(INDEX($A31:$J31,$M$6)="","",INDEX($A31:$J31,$M$6)&amp;"")</f>
        <v>AusPayNet | AV Support -27th of October 2025</v>
      </c>
      <c r="N31" s="37" t="str">
        <f aca="false">IF($M31="","",TRIM(INDEX($A31:$J31,$N$6)&amp;""))</f>
        <v>Australian Payments Network</v>
      </c>
      <c r="O31" s="37" t="str">
        <f aca="false">IF($M31="","",TRIM(INDEX($A31:$J31,$O$6)&amp;""))</f>
        <v>Support</v>
      </c>
      <c r="P31" s="37" t="str">
        <f aca="false">IF($M31="","",IFERROR(IF(INDEX(Settings!$B$41:$B$50,MATCH(O31,Settings!$A$41:$A$50,0))&amp;""="","UNMAPPED",INDEX(Settings!$B$41:$B$50,MATCH(O31,Settings!$A$41:$A$50,0))&amp;""),"UNMAPPED"))</f>
        <v>Onsite</v>
      </c>
      <c r="Q31" s="38" t="n">
        <f aca="false">IF($M31="",0,N(INDEX($A31:$J31,$Q$6)))</f>
        <v>600</v>
      </c>
      <c r="R31" s="39" t="n">
        <f aca="false">IF($M31="","",INDEX($A31:$J31,$R$6))</f>
        <v>45957</v>
      </c>
      <c r="S31" s="37" t="str">
        <f aca="false">IF($M31="","",IFERROR(INDEX(Settings!$B$27:$B$36,MATCH(L31,Settings!$A$27:$A$36,0))&amp;"","UNMAPPED"))</f>
        <v>Won</v>
      </c>
      <c r="T31" s="37" t="str">
        <f aca="false">IF($M31="","",IF(NOT(ISNUMBER(R31)),"NO DATE",IF(S31="Won",IF(R31&gt;Settings!$B$5,"Backlog","Delivered"),IF(S31="Open",IF(R31&gt;Settings!$B$5,"Pipeline","Overdue"),IF(S31="Lost","Lost","UNMAPPED")))))</f>
        <v>Delivered</v>
      </c>
      <c r="U31" s="40" t="n">
        <f aca="false">IF(T31="Backlog",1,IF(OR(T31="Pipeline",T31="Overdue"),N(INDEX(Settings!$C$27:$C$36,MATCH(L31,Settings!$A$27:$A$36,0))),0))</f>
        <v>0</v>
      </c>
      <c r="V31" s="38" t="n">
        <f aca="false">Q31*U31</f>
        <v>0</v>
      </c>
      <c r="W31" s="41" t="n">
        <f aca="false">IF($M31="","",IF(T31="Overdue",IF(Settings!$B$8="Yes",Settings!$B$7,""),IF(ISNUMBER(R31),DATE(YEAR(R31),MONTH(R31),1),"")))</f>
        <v>45931</v>
      </c>
      <c r="X31" s="38" t="n">
        <f aca="false">IF(AND(OR(T31="Backlog",T31="Pipeline",T31="Overdue"),ISNUMBER(W31)),IF(W31&lt;=Settings!$B$6,V31,0),0)</f>
        <v>0</v>
      </c>
      <c r="Y31" s="38" t="n">
        <f aca="false">IF(AND(OR(T31="Backlog",T31="Pipeline",T31="Overdue"),ISNUMBER(W31)),IF(W31&lt;=Settings!$B$6,Q31,0),0)</f>
        <v>0</v>
      </c>
      <c r="Z31" s="38" t="n">
        <f aca="false">IF(Y31=0,0,IF(T31="Backlog",Q31,Q31*Dashboard!$C$10))</f>
        <v>0</v>
      </c>
      <c r="AA31" s="37" t="n">
        <f aca="false">IF($N31="",0,IF(COUNTIF(Dashboard!$C$13:$C$22,$N31)&gt;0,1,0))</f>
        <v>0</v>
      </c>
      <c r="AB31" s="37" t="n">
        <f aca="false">IF($N31="","",IF(COUNTIF($N$8:$N31,$N31)=1,MAX($AB$7:$AB30)+1,""))</f>
        <v>19</v>
      </c>
    </row>
    <row r="32" customFormat="false" ht="15" hidden="false" customHeight="false" outlineLevel="0" collapsed="false">
      <c r="B32" s="32" t="s">
        <v>213</v>
      </c>
      <c r="C32" s="32" t="s">
        <v>214</v>
      </c>
      <c r="D32" s="35" t="n">
        <v>380</v>
      </c>
      <c r="E32" s="32" t="s">
        <v>145</v>
      </c>
      <c r="F32" s="36" t="n">
        <v>46183</v>
      </c>
      <c r="G32" s="32" t="s">
        <v>215</v>
      </c>
      <c r="L32" s="37" t="str">
        <f aca="false">IF(INDEX($A32:$J32,$L$6)&lt;&gt;"",TRIM(LEFT(INDEX($A32:$J32,$L$6),FIND("(",INDEX($A32:$J32,$L$6)&amp;"(")-1)),L31)</f>
        <v>Closed Won</v>
      </c>
      <c r="M32" s="37" t="str">
        <f aca="false">IF(INDEX($A32:$J32,$M$6)="","",INDEX($A32:$J32,$M$6)&amp;"")</f>
        <v>Dimensional - Audio Tech Support - 22.6.26</v>
      </c>
      <c r="N32" s="37" t="str">
        <f aca="false">IF($M32="","",TRIM(INDEX($A32:$J32,$N$6)&amp;""))</f>
        <v>Dexus</v>
      </c>
      <c r="O32" s="37" t="str">
        <f aca="false">IF($M32="","",TRIM(INDEX($A32:$J32,$O$6)&amp;""))</f>
        <v>Event Production</v>
      </c>
      <c r="P32" s="37" t="str">
        <f aca="false">IF($M32="","",IFERROR(IF(INDEX(Settings!$B$41:$B$50,MATCH(O32,Settings!$A$41:$A$50,0))&amp;""="","UNMAPPED",INDEX(Settings!$B$41:$B$50,MATCH(O32,Settings!$A$41:$A$50,0))&amp;""),"UNMAPPED"))</f>
        <v>Production</v>
      </c>
      <c r="Q32" s="38" t="n">
        <f aca="false">IF($M32="",0,N(INDEX($A32:$J32,$Q$6)))</f>
        <v>380</v>
      </c>
      <c r="R32" s="39" t="n">
        <f aca="false">IF($M32="","",INDEX($A32:$J32,$R$6))</f>
        <v>46183</v>
      </c>
      <c r="S32" s="37" t="str">
        <f aca="false">IF($M32="","",IFERROR(INDEX(Settings!$B$27:$B$36,MATCH(L32,Settings!$A$27:$A$36,0))&amp;"","UNMAPPED"))</f>
        <v>Won</v>
      </c>
      <c r="T32" s="37" t="str">
        <f aca="false">IF($M32="","",IF(NOT(ISNUMBER(R32)),"NO DATE",IF(S32="Won",IF(R32&gt;Settings!$B$5,"Backlog","Delivered"),IF(S32="Open",IF(R32&gt;Settings!$B$5,"Pipeline","Overdue"),IF(S32="Lost","Lost","UNMAPPED")))))</f>
        <v>Delivered</v>
      </c>
      <c r="U32" s="40" t="n">
        <f aca="false">IF(T32="Backlog",1,IF(OR(T32="Pipeline",T32="Overdue"),N(INDEX(Settings!$C$27:$C$36,MATCH(L32,Settings!$A$27:$A$36,0))),0))</f>
        <v>0</v>
      </c>
      <c r="V32" s="38" t="n">
        <f aca="false">Q32*U32</f>
        <v>0</v>
      </c>
      <c r="W32" s="41" t="n">
        <f aca="false">IF($M32="","",IF(T32="Overdue",IF(Settings!$B$8="Yes",Settings!$B$7,""),IF(ISNUMBER(R32),DATE(YEAR(R32),MONTH(R32),1),"")))</f>
        <v>46174</v>
      </c>
      <c r="X32" s="38" t="n">
        <f aca="false">IF(AND(OR(T32="Backlog",T32="Pipeline",T32="Overdue"),ISNUMBER(W32)),IF(W32&lt;=Settings!$B$6,V32,0),0)</f>
        <v>0</v>
      </c>
      <c r="Y32" s="38" t="n">
        <f aca="false">IF(AND(OR(T32="Backlog",T32="Pipeline",T32="Overdue"),ISNUMBER(W32)),IF(W32&lt;=Settings!$B$6,Q32,0),0)</f>
        <v>0</v>
      </c>
      <c r="Z32" s="38" t="n">
        <f aca="false">IF(Y32=0,0,IF(T32="Backlog",Q32,Q32*Dashboard!$C$10))</f>
        <v>0</v>
      </c>
      <c r="AA32" s="37" t="n">
        <f aca="false">IF($N32="",0,IF(COUNTIF(Dashboard!$C$13:$C$22,$N32)&gt;0,1,0))</f>
        <v>0</v>
      </c>
      <c r="AB32" s="37" t="n">
        <f aca="false">IF($N32="","",IF(COUNTIF($N$8:$N32,$N32)=1,MAX($AB$7:$AB31)+1,""))</f>
        <v>20</v>
      </c>
    </row>
    <row r="33" customFormat="false" ht="15" hidden="false" customHeight="false" outlineLevel="0" collapsed="false">
      <c r="B33" s="32" t="s">
        <v>216</v>
      </c>
      <c r="C33" s="32" t="s">
        <v>217</v>
      </c>
      <c r="D33" s="35" t="n">
        <v>1055</v>
      </c>
      <c r="E33" s="32" t="s">
        <v>145</v>
      </c>
      <c r="F33" s="36" t="n">
        <v>46219</v>
      </c>
      <c r="G33" s="32" t="s">
        <v>218</v>
      </c>
      <c r="L33" s="37" t="str">
        <f aca="false">IF(INDEX($A33:$J33,$L$6)&lt;&gt;"",TRIM(LEFT(INDEX($A33:$J33,$L$6),FIND("(",INDEX($A33:$J33,$L$6)&amp;"(")-1)),L32)</f>
        <v>Closed Won</v>
      </c>
      <c r="M33" s="37" t="str">
        <f aca="false">IF(INDEX($A33:$J33,$M$6)="","",INDEX($A33:$J33,$M$6)&amp;"")</f>
        <v>Garvan - Weizmann Dinner Event - 20.8.26</v>
      </c>
      <c r="N33" s="37" t="str">
        <f aca="false">IF($M33="","",TRIM(INDEX($A33:$J33,$N$6)&amp;""))</f>
        <v>Garvan Institute of Medical Research</v>
      </c>
      <c r="O33" s="37" t="str">
        <f aca="false">IF($M33="","",TRIM(INDEX($A33:$J33,$O$6)&amp;""))</f>
        <v>Event Production</v>
      </c>
      <c r="P33" s="37" t="str">
        <f aca="false">IF($M33="","",IFERROR(IF(INDEX(Settings!$B$41:$B$50,MATCH(O33,Settings!$A$41:$A$50,0))&amp;""="","UNMAPPED",INDEX(Settings!$B$41:$B$50,MATCH(O33,Settings!$A$41:$A$50,0))&amp;""),"UNMAPPED"))</f>
        <v>Production</v>
      </c>
      <c r="Q33" s="38" t="n">
        <f aca="false">IF($M33="",0,N(INDEX($A33:$J33,$Q$6)))</f>
        <v>1055</v>
      </c>
      <c r="R33" s="39" t="n">
        <f aca="false">IF($M33="","",INDEX($A33:$J33,$R$6))</f>
        <v>46219</v>
      </c>
      <c r="S33" s="37" t="str">
        <f aca="false">IF($M33="","",IFERROR(INDEX(Settings!$B$27:$B$36,MATCH(L33,Settings!$A$27:$A$36,0))&amp;"","UNMAPPED"))</f>
        <v>Won</v>
      </c>
      <c r="T33" s="37" t="str">
        <f aca="false">IF($M33="","",IF(NOT(ISNUMBER(R33)),"NO DATE",IF(S33="Won",IF(R33&gt;Settings!$B$5,"Backlog","Delivered"),IF(S33="Open",IF(R33&gt;Settings!$B$5,"Pipeline","Overdue"),IF(S33="Lost","Lost","UNMAPPED")))))</f>
        <v>Delivered</v>
      </c>
      <c r="U33" s="40" t="n">
        <f aca="false">IF(T33="Backlog",1,IF(OR(T33="Pipeline",T33="Overdue"),N(INDEX(Settings!$C$27:$C$36,MATCH(L33,Settings!$A$27:$A$36,0))),0))</f>
        <v>0</v>
      </c>
      <c r="V33" s="38" t="n">
        <f aca="false">Q33*U33</f>
        <v>0</v>
      </c>
      <c r="W33" s="41" t="n">
        <f aca="false">IF($M33="","",IF(T33="Overdue",IF(Settings!$B$8="Yes",Settings!$B$7,""),IF(ISNUMBER(R33),DATE(YEAR(R33),MONTH(R33),1),"")))</f>
        <v>46204</v>
      </c>
      <c r="X33" s="38" t="n">
        <f aca="false">IF(AND(OR(T33="Backlog",T33="Pipeline",T33="Overdue"),ISNUMBER(W33)),IF(W33&lt;=Settings!$B$6,V33,0),0)</f>
        <v>0</v>
      </c>
      <c r="Y33" s="38" t="n">
        <f aca="false">IF(AND(OR(T33="Backlog",T33="Pipeline",T33="Overdue"),ISNUMBER(W33)),IF(W33&lt;=Settings!$B$6,Q33,0),0)</f>
        <v>0</v>
      </c>
      <c r="Z33" s="38" t="n">
        <f aca="false">IF(Y33=0,0,IF(T33="Backlog",Q33,Q33*Dashboard!$C$10))</f>
        <v>0</v>
      </c>
      <c r="AA33" s="37" t="n">
        <f aca="false">IF($N33="",0,IF(COUNTIF(Dashboard!$C$13:$C$22,$N33)&gt;0,1,0))</f>
        <v>0</v>
      </c>
      <c r="AB33" s="37" t="n">
        <f aca="false">IF($N33="","",IF(COUNTIF($N$8:$N33,$N33)=1,MAX($AB$7:$AB32)+1,""))</f>
        <v>21</v>
      </c>
    </row>
    <row r="34" customFormat="false" ht="15" hidden="false" customHeight="false" outlineLevel="0" collapsed="false">
      <c r="B34" s="32" t="s">
        <v>219</v>
      </c>
      <c r="C34" s="32" t="s">
        <v>154</v>
      </c>
      <c r="D34" s="35" t="n">
        <v>6800</v>
      </c>
      <c r="E34" s="32" t="s">
        <v>180</v>
      </c>
      <c r="F34" s="36" t="n">
        <v>46112</v>
      </c>
      <c r="G34" s="32" t="s">
        <v>220</v>
      </c>
      <c r="L34" s="37" t="str">
        <f aca="false">IF(INDEX($A34:$J34,$L$6)&lt;&gt;"",TRIM(LEFT(INDEX($A34:$J34,$L$6),FIND("(",INDEX($A34:$J34,$L$6)&amp;"(")-1)),L33)</f>
        <v>Closed Won</v>
      </c>
      <c r="M34" s="37" t="str">
        <f aca="false">IF(INDEX($A34:$J34,$M$6)="","",INDEX($A34:$J34,$M$6)&amp;"")</f>
        <v>Perth AV Support | 26/3/26 - 12/4/26 - 2603403</v>
      </c>
      <c r="N34" s="37" t="str">
        <f aca="false">IF($M34="","",TRIM(INDEX($A34:$J34,$N$6)&amp;""))</f>
        <v>PWC</v>
      </c>
      <c r="O34" s="37" t="str">
        <f aca="false">IF($M34="","",TRIM(INDEX($A34:$J34,$O$6)&amp;""))</f>
        <v>Support</v>
      </c>
      <c r="P34" s="37" t="str">
        <f aca="false">IF($M34="","",IFERROR(IF(INDEX(Settings!$B$41:$B$50,MATCH(O34,Settings!$A$41:$A$50,0))&amp;""="","UNMAPPED",INDEX(Settings!$B$41:$B$50,MATCH(O34,Settings!$A$41:$A$50,0))&amp;""),"UNMAPPED"))</f>
        <v>Onsite</v>
      </c>
      <c r="Q34" s="38" t="n">
        <f aca="false">IF($M34="",0,N(INDEX($A34:$J34,$Q$6)))</f>
        <v>6800</v>
      </c>
      <c r="R34" s="39" t="n">
        <f aca="false">IF($M34="","",INDEX($A34:$J34,$R$6))</f>
        <v>46112</v>
      </c>
      <c r="S34" s="37" t="str">
        <f aca="false">IF($M34="","",IFERROR(INDEX(Settings!$B$27:$B$36,MATCH(L34,Settings!$A$27:$A$36,0))&amp;"","UNMAPPED"))</f>
        <v>Won</v>
      </c>
      <c r="T34" s="37" t="str">
        <f aca="false">IF($M34="","",IF(NOT(ISNUMBER(R34)),"NO DATE",IF(S34="Won",IF(R34&gt;Settings!$B$5,"Backlog","Delivered"),IF(S34="Open",IF(R34&gt;Settings!$B$5,"Pipeline","Overdue"),IF(S34="Lost","Lost","UNMAPPED")))))</f>
        <v>Delivered</v>
      </c>
      <c r="U34" s="40" t="n">
        <f aca="false">IF(T34="Backlog",1,IF(OR(T34="Pipeline",T34="Overdue"),N(INDEX(Settings!$C$27:$C$36,MATCH(L34,Settings!$A$27:$A$36,0))),0))</f>
        <v>0</v>
      </c>
      <c r="V34" s="38" t="n">
        <f aca="false">Q34*U34</f>
        <v>0</v>
      </c>
      <c r="W34" s="41" t="n">
        <f aca="false">IF($M34="","",IF(T34="Overdue",IF(Settings!$B$8="Yes",Settings!$B$7,""),IF(ISNUMBER(R34),DATE(YEAR(R34),MONTH(R34),1),"")))</f>
        <v>46082</v>
      </c>
      <c r="X34" s="38" t="n">
        <f aca="false">IF(AND(OR(T34="Backlog",T34="Pipeline",T34="Overdue"),ISNUMBER(W34)),IF(W34&lt;=Settings!$B$6,V34,0),0)</f>
        <v>0</v>
      </c>
      <c r="Y34" s="38" t="n">
        <f aca="false">IF(AND(OR(T34="Backlog",T34="Pipeline",T34="Overdue"),ISNUMBER(W34)),IF(W34&lt;=Settings!$B$6,Q34,0),0)</f>
        <v>0</v>
      </c>
      <c r="Z34" s="38" t="n">
        <f aca="false">IF(Y34=0,0,IF(T34="Backlog",Q34,Q34*Dashboard!$C$10))</f>
        <v>0</v>
      </c>
      <c r="AA34" s="37" t="n">
        <f aca="false">IF($N34="",0,IF(COUNTIF(Dashboard!$C$13:$C$22,$N34)&gt;0,1,0))</f>
        <v>0</v>
      </c>
      <c r="AB34" s="37" t="str">
        <f aca="false">IF($N34="","",IF(COUNTIF($N$8:$N34,$N34)=1,MAX($AB$7:$AB33)+1,""))</f>
        <v/>
      </c>
    </row>
    <row r="35" customFormat="false" ht="15" hidden="false" customHeight="false" outlineLevel="0" collapsed="false">
      <c r="B35" s="32" t="s">
        <v>221</v>
      </c>
      <c r="C35" s="32" t="s">
        <v>222</v>
      </c>
      <c r="D35" s="35" t="n">
        <v>21114</v>
      </c>
      <c r="E35" s="32" t="s">
        <v>145</v>
      </c>
      <c r="F35" s="36" t="n">
        <v>46078</v>
      </c>
      <c r="G35" s="32" t="s">
        <v>223</v>
      </c>
      <c r="L35" s="37" t="str">
        <f aca="false">IF(INDEX($A35:$J35,$L$6)&lt;&gt;"",TRIM(LEFT(INDEX($A35:$J35,$L$6),FIND("(",INDEX($A35:$J35,$L$6)&amp;"(")-1)),L34)</f>
        <v>Closed Won</v>
      </c>
      <c r="M35" s="37" t="str">
        <f aca="false">IF(INDEX($A35:$J35,$M$6)="","",INDEX($A35:$J35,$M$6)&amp;"")</f>
        <v>Downer Employee Results Briefing 26.2.26</v>
      </c>
      <c r="N35" s="37" t="str">
        <f aca="false">IF($M35="","",TRIM(INDEX($A35:$J35,$N$6)&amp;""))</f>
        <v>Downer EDI</v>
      </c>
      <c r="O35" s="37" t="str">
        <f aca="false">IF($M35="","",TRIM(INDEX($A35:$J35,$O$6)&amp;""))</f>
        <v>Event Production</v>
      </c>
      <c r="P35" s="37" t="str">
        <f aca="false">IF($M35="","",IFERROR(IF(INDEX(Settings!$B$41:$B$50,MATCH(O35,Settings!$A$41:$A$50,0))&amp;""="","UNMAPPED",INDEX(Settings!$B$41:$B$50,MATCH(O35,Settings!$A$41:$A$50,0))&amp;""),"UNMAPPED"))</f>
        <v>Production</v>
      </c>
      <c r="Q35" s="38" t="n">
        <f aca="false">IF($M35="",0,N(INDEX($A35:$J35,$Q$6)))</f>
        <v>21114</v>
      </c>
      <c r="R35" s="39" t="n">
        <f aca="false">IF($M35="","",INDEX($A35:$J35,$R$6))</f>
        <v>46078</v>
      </c>
      <c r="S35" s="37" t="str">
        <f aca="false">IF($M35="","",IFERROR(INDEX(Settings!$B$27:$B$36,MATCH(L35,Settings!$A$27:$A$36,0))&amp;"","UNMAPPED"))</f>
        <v>Won</v>
      </c>
      <c r="T35" s="37" t="str">
        <f aca="false">IF($M35="","",IF(NOT(ISNUMBER(R35)),"NO DATE",IF(S35="Won",IF(R35&gt;Settings!$B$5,"Backlog","Delivered"),IF(S35="Open",IF(R35&gt;Settings!$B$5,"Pipeline","Overdue"),IF(S35="Lost","Lost","UNMAPPED")))))</f>
        <v>Delivered</v>
      </c>
      <c r="U35" s="40" t="n">
        <f aca="false">IF(T35="Backlog",1,IF(OR(T35="Pipeline",T35="Overdue"),N(INDEX(Settings!$C$27:$C$36,MATCH(L35,Settings!$A$27:$A$36,0))),0))</f>
        <v>0</v>
      </c>
      <c r="V35" s="38" t="n">
        <f aca="false">Q35*U35</f>
        <v>0</v>
      </c>
      <c r="W35" s="41" t="n">
        <f aca="false">IF($M35="","",IF(T35="Overdue",IF(Settings!$B$8="Yes",Settings!$B$7,""),IF(ISNUMBER(R35),DATE(YEAR(R35),MONTH(R35),1),"")))</f>
        <v>46054</v>
      </c>
      <c r="X35" s="38" t="n">
        <f aca="false">IF(AND(OR(T35="Backlog",T35="Pipeline",T35="Overdue"),ISNUMBER(W35)),IF(W35&lt;=Settings!$B$6,V35,0),0)</f>
        <v>0</v>
      </c>
      <c r="Y35" s="38" t="n">
        <f aca="false">IF(AND(OR(T35="Backlog",T35="Pipeline",T35="Overdue"),ISNUMBER(W35)),IF(W35&lt;=Settings!$B$6,Q35,0),0)</f>
        <v>0</v>
      </c>
      <c r="Z35" s="38" t="n">
        <f aca="false">IF(Y35=0,0,IF(T35="Backlog",Q35,Q35*Dashboard!$C$10))</f>
        <v>0</v>
      </c>
      <c r="AA35" s="37" t="n">
        <f aca="false">IF($N35="",0,IF(COUNTIF(Dashboard!$C$13:$C$22,$N35)&gt;0,1,0))</f>
        <v>0</v>
      </c>
      <c r="AB35" s="37" t="n">
        <f aca="false">IF($N35="","",IF(COUNTIF($N$8:$N35,$N35)=1,MAX($AB$7:$AB34)+1,""))</f>
        <v>22</v>
      </c>
    </row>
    <row r="36" customFormat="false" ht="15" hidden="false" customHeight="false" outlineLevel="0" collapsed="false">
      <c r="B36" s="32" t="s">
        <v>224</v>
      </c>
      <c r="C36" s="32" t="s">
        <v>163</v>
      </c>
      <c r="D36" s="35" t="n">
        <v>11354</v>
      </c>
      <c r="E36" s="32" t="s">
        <v>145</v>
      </c>
      <c r="F36" s="36" t="n">
        <v>46135</v>
      </c>
      <c r="G36" s="32" t="s">
        <v>225</v>
      </c>
      <c r="L36" s="37" t="str">
        <f aca="false">IF(INDEX($A36:$J36,$L$6)&lt;&gt;"",TRIM(LEFT(INDEX($A36:$J36,$L$6),FIND("(",INDEX($A36:$J36,$L$6)&amp;"(")-1)),L35)</f>
        <v>Closed Won</v>
      </c>
      <c r="M36" s="37" t="str">
        <f aca="false">IF(INDEX($A36:$J36,$M$6)="","",INDEX($A36:$J36,$M$6)&amp;"")</f>
        <v>Automic - BFG AGM - 7.5.26</v>
      </c>
      <c r="N36" s="37" t="str">
        <f aca="false">IF($M36="","",TRIM(INDEX($A36:$J36,$N$6)&amp;""))</f>
        <v>Automic Group</v>
      </c>
      <c r="O36" s="37" t="str">
        <f aca="false">IF($M36="","",TRIM(INDEX($A36:$J36,$O$6)&amp;""))</f>
        <v>Event Production</v>
      </c>
      <c r="P36" s="37" t="str">
        <f aca="false">IF($M36="","",IFERROR(IF(INDEX(Settings!$B$41:$B$50,MATCH(O36,Settings!$A$41:$A$50,0))&amp;""="","UNMAPPED",INDEX(Settings!$B$41:$B$50,MATCH(O36,Settings!$A$41:$A$50,0))&amp;""),"UNMAPPED"))</f>
        <v>Production</v>
      </c>
      <c r="Q36" s="38" t="n">
        <f aca="false">IF($M36="",0,N(INDEX($A36:$J36,$Q$6)))</f>
        <v>11354</v>
      </c>
      <c r="R36" s="39" t="n">
        <f aca="false">IF($M36="","",INDEX($A36:$J36,$R$6))</f>
        <v>46135</v>
      </c>
      <c r="S36" s="37" t="str">
        <f aca="false">IF($M36="","",IFERROR(INDEX(Settings!$B$27:$B$36,MATCH(L36,Settings!$A$27:$A$36,0))&amp;"","UNMAPPED"))</f>
        <v>Won</v>
      </c>
      <c r="T36" s="37" t="str">
        <f aca="false">IF($M36="","",IF(NOT(ISNUMBER(R36)),"NO DATE",IF(S36="Won",IF(R36&gt;Settings!$B$5,"Backlog","Delivered"),IF(S36="Open",IF(R36&gt;Settings!$B$5,"Pipeline","Overdue"),IF(S36="Lost","Lost","UNMAPPED")))))</f>
        <v>Delivered</v>
      </c>
      <c r="U36" s="40" t="n">
        <f aca="false">IF(T36="Backlog",1,IF(OR(T36="Pipeline",T36="Overdue"),N(INDEX(Settings!$C$27:$C$36,MATCH(L36,Settings!$A$27:$A$36,0))),0))</f>
        <v>0</v>
      </c>
      <c r="V36" s="38" t="n">
        <f aca="false">Q36*U36</f>
        <v>0</v>
      </c>
      <c r="W36" s="41" t="n">
        <f aca="false">IF($M36="","",IF(T36="Overdue",IF(Settings!$B$8="Yes",Settings!$B$7,""),IF(ISNUMBER(R36),DATE(YEAR(R36),MONTH(R36),1),"")))</f>
        <v>46113</v>
      </c>
      <c r="X36" s="38" t="n">
        <f aca="false">IF(AND(OR(T36="Backlog",T36="Pipeline",T36="Overdue"),ISNUMBER(W36)),IF(W36&lt;=Settings!$B$6,V36,0),0)</f>
        <v>0</v>
      </c>
      <c r="Y36" s="38" t="n">
        <f aca="false">IF(AND(OR(T36="Backlog",T36="Pipeline",T36="Overdue"),ISNUMBER(W36)),IF(W36&lt;=Settings!$B$6,Q36,0),0)</f>
        <v>0</v>
      </c>
      <c r="Z36" s="38" t="n">
        <f aca="false">IF(Y36=0,0,IF(T36="Backlog",Q36,Q36*Dashboard!$C$10))</f>
        <v>0</v>
      </c>
      <c r="AA36" s="37" t="n">
        <f aca="false">IF($N36="",0,IF(COUNTIF(Dashboard!$C$13:$C$22,$N36)&gt;0,1,0))</f>
        <v>0</v>
      </c>
      <c r="AB36" s="37" t="str">
        <f aca="false">IF($N36="","",IF(COUNTIF($N$8:$N36,$N36)=1,MAX($AB$7:$AB35)+1,""))</f>
        <v/>
      </c>
    </row>
    <row r="37" customFormat="false" ht="15" hidden="false" customHeight="false" outlineLevel="0" collapsed="false">
      <c r="B37" s="32" t="s">
        <v>226</v>
      </c>
      <c r="C37" s="32" t="s">
        <v>227</v>
      </c>
      <c r="D37" s="35" t="n">
        <v>0</v>
      </c>
      <c r="E37" s="32" t="s">
        <v>145</v>
      </c>
      <c r="F37" s="36" t="n">
        <v>46160</v>
      </c>
      <c r="G37" s="32" t="s">
        <v>228</v>
      </c>
      <c r="L37" s="37" t="str">
        <f aca="false">IF(INDEX($A37:$J37,$L$6)&lt;&gt;"",TRIM(LEFT(INDEX($A37:$J37,$L$6),FIND("(",INDEX($A37:$J37,$L$6)&amp;"(")-1)),L36)</f>
        <v>Closed Won</v>
      </c>
      <c r="M37" s="37" t="str">
        <f aca="false">IF(INDEX($A37:$J37,$M$6)="","",INDEX($A37:$J37,$M$6)&amp;"")</f>
        <v>St Catherine's - Dedicated Tech - 12.6.26</v>
      </c>
      <c r="N37" s="37" t="str">
        <f aca="false">IF($M37="","",TRIM(INDEX($A37:$J37,$N$6)&amp;""))</f>
        <v>St Catherine's School</v>
      </c>
      <c r="O37" s="37" t="str">
        <f aca="false">IF($M37="","",TRIM(INDEX($A37:$J37,$O$6)&amp;""))</f>
        <v>Event Production</v>
      </c>
      <c r="P37" s="37" t="str">
        <f aca="false">IF($M37="","",IFERROR(IF(INDEX(Settings!$B$41:$B$50,MATCH(O37,Settings!$A$41:$A$50,0))&amp;""="","UNMAPPED",INDEX(Settings!$B$41:$B$50,MATCH(O37,Settings!$A$41:$A$50,0))&amp;""),"UNMAPPED"))</f>
        <v>Production</v>
      </c>
      <c r="Q37" s="38" t="n">
        <f aca="false">IF($M37="",0,N(INDEX($A37:$J37,$Q$6)))</f>
        <v>0</v>
      </c>
      <c r="R37" s="39" t="n">
        <f aca="false">IF($M37="","",INDEX($A37:$J37,$R$6))</f>
        <v>46160</v>
      </c>
      <c r="S37" s="37" t="str">
        <f aca="false">IF($M37="","",IFERROR(INDEX(Settings!$B$27:$B$36,MATCH(L37,Settings!$A$27:$A$36,0))&amp;"","UNMAPPED"))</f>
        <v>Won</v>
      </c>
      <c r="T37" s="37" t="str">
        <f aca="false">IF($M37="","",IF(NOT(ISNUMBER(R37)),"NO DATE",IF(S37="Won",IF(R37&gt;Settings!$B$5,"Backlog","Delivered"),IF(S37="Open",IF(R37&gt;Settings!$B$5,"Pipeline","Overdue"),IF(S37="Lost","Lost","UNMAPPED")))))</f>
        <v>Delivered</v>
      </c>
      <c r="U37" s="40" t="n">
        <f aca="false">IF(T37="Backlog",1,IF(OR(T37="Pipeline",T37="Overdue"),N(INDEX(Settings!$C$27:$C$36,MATCH(L37,Settings!$A$27:$A$36,0))),0))</f>
        <v>0</v>
      </c>
      <c r="V37" s="38" t="n">
        <f aca="false">Q37*U37</f>
        <v>0</v>
      </c>
      <c r="W37" s="41" t="n">
        <f aca="false">IF($M37="","",IF(T37="Overdue",IF(Settings!$B$8="Yes",Settings!$B$7,""),IF(ISNUMBER(R37),DATE(YEAR(R37),MONTH(R37),1),"")))</f>
        <v>46143</v>
      </c>
      <c r="X37" s="38" t="n">
        <f aca="false">IF(AND(OR(T37="Backlog",T37="Pipeline",T37="Overdue"),ISNUMBER(W37)),IF(W37&lt;=Settings!$B$6,V37,0),0)</f>
        <v>0</v>
      </c>
      <c r="Y37" s="38" t="n">
        <f aca="false">IF(AND(OR(T37="Backlog",T37="Pipeline",T37="Overdue"),ISNUMBER(W37)),IF(W37&lt;=Settings!$B$6,Q37,0),0)</f>
        <v>0</v>
      </c>
      <c r="Z37" s="38" t="n">
        <f aca="false">IF(Y37=0,0,IF(T37="Backlog",Q37,Q37*Dashboard!$C$10))</f>
        <v>0</v>
      </c>
      <c r="AA37" s="37" t="n">
        <f aca="false">IF($N37="",0,IF(COUNTIF(Dashboard!$C$13:$C$22,$N37)&gt;0,1,0))</f>
        <v>0</v>
      </c>
      <c r="AB37" s="37" t="n">
        <f aca="false">IF($N37="","",IF(COUNTIF($N$8:$N37,$N37)=1,MAX($AB$7:$AB36)+1,""))</f>
        <v>23</v>
      </c>
    </row>
    <row r="38" customFormat="false" ht="15" hidden="false" customHeight="false" outlineLevel="0" collapsed="false">
      <c r="B38" s="32" t="s">
        <v>229</v>
      </c>
      <c r="C38" s="32" t="s">
        <v>230</v>
      </c>
      <c r="D38" s="35" t="n">
        <v>8632</v>
      </c>
      <c r="E38" s="32" t="s">
        <v>145</v>
      </c>
      <c r="F38" s="36" t="n">
        <v>46198</v>
      </c>
      <c r="G38" s="32" t="s">
        <v>231</v>
      </c>
      <c r="L38" s="37" t="str">
        <f aca="false">IF(INDEX($A38:$J38,$L$6)&lt;&gt;"",TRIM(LEFT(INDEX($A38:$J38,$L$6),FIND("(",INDEX($A38:$J38,$L$6)&amp;"(")-1)),L37)</f>
        <v>Closed Won</v>
      </c>
      <c r="M38" s="37" t="str">
        <f aca="false">IF(INDEX($A38:$J38,$M$6)="","",INDEX($A38:$J38,$M$6)&amp;"")</f>
        <v>QBE - Keynote Event - 27.10.26</v>
      </c>
      <c r="N38" s="37" t="str">
        <f aca="false">IF($M38="","",TRIM(INDEX($A38:$J38,$N$6)&amp;""))</f>
        <v>QBE</v>
      </c>
      <c r="O38" s="37" t="str">
        <f aca="false">IF($M38="","",TRIM(INDEX($A38:$J38,$O$6)&amp;""))</f>
        <v>Event Production</v>
      </c>
      <c r="P38" s="37" t="str">
        <f aca="false">IF($M38="","",IFERROR(IF(INDEX(Settings!$B$41:$B$50,MATCH(O38,Settings!$A$41:$A$50,0))&amp;""="","UNMAPPED",INDEX(Settings!$B$41:$B$50,MATCH(O38,Settings!$A$41:$A$50,0))&amp;""),"UNMAPPED"))</f>
        <v>Production</v>
      </c>
      <c r="Q38" s="38" t="n">
        <f aca="false">IF($M38="",0,N(INDEX($A38:$J38,$Q$6)))</f>
        <v>8632</v>
      </c>
      <c r="R38" s="39" t="n">
        <f aca="false">IF($M38="","",INDEX($A38:$J38,$R$6))</f>
        <v>46198</v>
      </c>
      <c r="S38" s="37" t="str">
        <f aca="false">IF($M38="","",IFERROR(INDEX(Settings!$B$27:$B$36,MATCH(L38,Settings!$A$27:$A$36,0))&amp;"","UNMAPPED"))</f>
        <v>Won</v>
      </c>
      <c r="T38" s="37" t="str">
        <f aca="false">IF($M38="","",IF(NOT(ISNUMBER(R38)),"NO DATE",IF(S38="Won",IF(R38&gt;Settings!$B$5,"Backlog","Delivered"),IF(S38="Open",IF(R38&gt;Settings!$B$5,"Pipeline","Overdue"),IF(S38="Lost","Lost","UNMAPPED")))))</f>
        <v>Delivered</v>
      </c>
      <c r="U38" s="40" t="n">
        <f aca="false">IF(T38="Backlog",1,IF(OR(T38="Pipeline",T38="Overdue"),N(INDEX(Settings!$C$27:$C$36,MATCH(L38,Settings!$A$27:$A$36,0))),0))</f>
        <v>0</v>
      </c>
      <c r="V38" s="38" t="n">
        <f aca="false">Q38*U38</f>
        <v>0</v>
      </c>
      <c r="W38" s="41" t="n">
        <f aca="false">IF($M38="","",IF(T38="Overdue",IF(Settings!$B$8="Yes",Settings!$B$7,""),IF(ISNUMBER(R38),DATE(YEAR(R38),MONTH(R38),1),"")))</f>
        <v>46174</v>
      </c>
      <c r="X38" s="38" t="n">
        <f aca="false">IF(AND(OR(T38="Backlog",T38="Pipeline",T38="Overdue"),ISNUMBER(W38)),IF(W38&lt;=Settings!$B$6,V38,0),0)</f>
        <v>0</v>
      </c>
      <c r="Y38" s="38" t="n">
        <f aca="false">IF(AND(OR(T38="Backlog",T38="Pipeline",T38="Overdue"),ISNUMBER(W38)),IF(W38&lt;=Settings!$B$6,Q38,0),0)</f>
        <v>0</v>
      </c>
      <c r="Z38" s="38" t="n">
        <f aca="false">IF(Y38=0,0,IF(T38="Backlog",Q38,Q38*Dashboard!$C$10))</f>
        <v>0</v>
      </c>
      <c r="AA38" s="37" t="n">
        <f aca="false">IF($N38="",0,IF(COUNTIF(Dashboard!$C$13:$C$22,$N38)&gt;0,1,0))</f>
        <v>0</v>
      </c>
      <c r="AB38" s="37" t="n">
        <f aca="false">IF($N38="","",IF(COUNTIF($N$8:$N38,$N38)=1,MAX($AB$7:$AB37)+1,""))</f>
        <v>24</v>
      </c>
    </row>
    <row r="39" customFormat="false" ht="15" hidden="false" customHeight="false" outlineLevel="0" collapsed="false">
      <c r="B39" s="32" t="s">
        <v>232</v>
      </c>
      <c r="C39" s="32" t="s">
        <v>233</v>
      </c>
      <c r="D39" s="35" t="n">
        <v>46583</v>
      </c>
      <c r="E39" s="32" t="s">
        <v>141</v>
      </c>
      <c r="F39" s="36" t="n">
        <v>46022</v>
      </c>
      <c r="G39" s="32" t="s">
        <v>234</v>
      </c>
      <c r="L39" s="37" t="str">
        <f aca="false">IF(INDEX($A39:$J39,$L$6)&lt;&gt;"",TRIM(LEFT(INDEX($A39:$J39,$L$6),FIND("(",INDEX($A39:$J39,$L$6)&amp;"(")-1)),L38)</f>
        <v>Closed Won</v>
      </c>
      <c r="M39" s="37" t="str">
        <f aca="false">IF(INDEX($A39:$J39,$M$6)="","",INDEX($A39:$J39,$M$6)&amp;"")</f>
        <v>Novigi SYD/MEL boardroom microphone upgrade + meeting room cable tidying</v>
      </c>
      <c r="N39" s="37" t="str">
        <f aca="false">IF($M39="","",TRIM(INDEX($A39:$J39,$N$6)&amp;""))</f>
        <v>Novigi</v>
      </c>
      <c r="O39" s="37" t="str">
        <f aca="false">IF($M39="","",TRIM(INDEX($A39:$J39,$O$6)&amp;""))</f>
        <v>Integration</v>
      </c>
      <c r="P39" s="37" t="str">
        <f aca="false">IF($M39="","",IFERROR(IF(INDEX(Settings!$B$41:$B$50,MATCH(O39,Settings!$A$41:$A$50,0))&amp;""="","UNMAPPED",INDEX(Settings!$B$41:$B$50,MATCH(O39,Settings!$A$41:$A$50,0))&amp;""),"UNMAPPED"))</f>
        <v>Integration</v>
      </c>
      <c r="Q39" s="38" t="n">
        <f aca="false">IF($M39="",0,N(INDEX($A39:$J39,$Q$6)))</f>
        <v>46583</v>
      </c>
      <c r="R39" s="39" t="n">
        <f aca="false">IF($M39="","",INDEX($A39:$J39,$R$6))</f>
        <v>46022</v>
      </c>
      <c r="S39" s="37" t="str">
        <f aca="false">IF($M39="","",IFERROR(INDEX(Settings!$B$27:$B$36,MATCH(L39,Settings!$A$27:$A$36,0))&amp;"","UNMAPPED"))</f>
        <v>Won</v>
      </c>
      <c r="T39" s="37" t="str">
        <f aca="false">IF($M39="","",IF(NOT(ISNUMBER(R39)),"NO DATE",IF(S39="Won",IF(R39&gt;Settings!$B$5,"Backlog","Delivered"),IF(S39="Open",IF(R39&gt;Settings!$B$5,"Pipeline","Overdue"),IF(S39="Lost","Lost","UNMAPPED")))))</f>
        <v>Delivered</v>
      </c>
      <c r="U39" s="40" t="n">
        <f aca="false">IF(T39="Backlog",1,IF(OR(T39="Pipeline",T39="Overdue"),N(INDEX(Settings!$C$27:$C$36,MATCH(L39,Settings!$A$27:$A$36,0))),0))</f>
        <v>0</v>
      </c>
      <c r="V39" s="38" t="n">
        <f aca="false">Q39*U39</f>
        <v>0</v>
      </c>
      <c r="W39" s="41" t="n">
        <f aca="false">IF($M39="","",IF(T39="Overdue",IF(Settings!$B$8="Yes",Settings!$B$7,""),IF(ISNUMBER(R39),DATE(YEAR(R39),MONTH(R39),1),"")))</f>
        <v>45992</v>
      </c>
      <c r="X39" s="38" t="n">
        <f aca="false">IF(AND(OR(T39="Backlog",T39="Pipeline",T39="Overdue"),ISNUMBER(W39)),IF(W39&lt;=Settings!$B$6,V39,0),0)</f>
        <v>0</v>
      </c>
      <c r="Y39" s="38" t="n">
        <f aca="false">IF(AND(OR(T39="Backlog",T39="Pipeline",T39="Overdue"),ISNUMBER(W39)),IF(W39&lt;=Settings!$B$6,Q39,0),0)</f>
        <v>0</v>
      </c>
      <c r="Z39" s="38" t="n">
        <f aca="false">IF(Y39=0,0,IF(T39="Backlog",Q39,Q39*Dashboard!$C$10))</f>
        <v>0</v>
      </c>
      <c r="AA39" s="37" t="n">
        <f aca="false">IF($N39="",0,IF(COUNTIF(Dashboard!$C$13:$C$22,$N39)&gt;0,1,0))</f>
        <v>0</v>
      </c>
      <c r="AB39" s="37" t="n">
        <f aca="false">IF($N39="","",IF(COUNTIF($N$8:$N39,$N39)=1,MAX($AB$7:$AB38)+1,""))</f>
        <v>25</v>
      </c>
    </row>
    <row r="40" customFormat="false" ht="15" hidden="false" customHeight="false" outlineLevel="0" collapsed="false">
      <c r="B40" s="32" t="s">
        <v>235</v>
      </c>
      <c r="C40" s="32" t="s">
        <v>236</v>
      </c>
      <c r="D40" s="35" t="n">
        <v>1275</v>
      </c>
      <c r="E40" s="32" t="s">
        <v>180</v>
      </c>
      <c r="F40" s="36" t="n">
        <v>45966</v>
      </c>
      <c r="G40" s="32" t="s">
        <v>237</v>
      </c>
      <c r="L40" s="37" t="str">
        <f aca="false">IF(INDEX($A40:$J40,$L$6)&lt;&gt;"",TRIM(LEFT(INDEX($A40:$J40,$L$6),FIND("(",INDEX($A40:$J40,$L$6)&amp;"(")-1)),L39)</f>
        <v>Closed Won</v>
      </c>
      <c r="M40" s="37" t="str">
        <f aca="false">IF(INDEX($A40:$J40,$M$6)="","",INDEX($A40:$J40,$M$6)&amp;"")</f>
        <v>TWG - Sydney Technician - 05/11/2025 - 06/11/2025</v>
      </c>
      <c r="N40" s="37" t="str">
        <f aca="false">IF($M40="","",TRIM(INDEX($A40:$J40,$N$6)&amp;""))</f>
        <v>EY</v>
      </c>
      <c r="O40" s="37" t="str">
        <f aca="false">IF($M40="","",TRIM(INDEX($A40:$J40,$O$6)&amp;""))</f>
        <v>Support</v>
      </c>
      <c r="P40" s="37" t="str">
        <f aca="false">IF($M40="","",IFERROR(IF(INDEX(Settings!$B$41:$B$50,MATCH(O40,Settings!$A$41:$A$50,0))&amp;""="","UNMAPPED",INDEX(Settings!$B$41:$B$50,MATCH(O40,Settings!$A$41:$A$50,0))&amp;""),"UNMAPPED"))</f>
        <v>Onsite</v>
      </c>
      <c r="Q40" s="38" t="n">
        <f aca="false">IF($M40="",0,N(INDEX($A40:$J40,$Q$6)))</f>
        <v>1275</v>
      </c>
      <c r="R40" s="39" t="n">
        <f aca="false">IF($M40="","",INDEX($A40:$J40,$R$6))</f>
        <v>45966</v>
      </c>
      <c r="S40" s="37" t="str">
        <f aca="false">IF($M40="","",IFERROR(INDEX(Settings!$B$27:$B$36,MATCH(L40,Settings!$A$27:$A$36,0))&amp;"","UNMAPPED"))</f>
        <v>Won</v>
      </c>
      <c r="T40" s="37" t="str">
        <f aca="false">IF($M40="","",IF(NOT(ISNUMBER(R40)),"NO DATE",IF(S40="Won",IF(R40&gt;Settings!$B$5,"Backlog","Delivered"),IF(S40="Open",IF(R40&gt;Settings!$B$5,"Pipeline","Overdue"),IF(S40="Lost","Lost","UNMAPPED")))))</f>
        <v>Delivered</v>
      </c>
      <c r="U40" s="40" t="n">
        <f aca="false">IF(T40="Backlog",1,IF(OR(T40="Pipeline",T40="Overdue"),N(INDEX(Settings!$C$27:$C$36,MATCH(L40,Settings!$A$27:$A$36,0))),0))</f>
        <v>0</v>
      </c>
      <c r="V40" s="38" t="n">
        <f aca="false">Q40*U40</f>
        <v>0</v>
      </c>
      <c r="W40" s="41" t="n">
        <f aca="false">IF($M40="","",IF(T40="Overdue",IF(Settings!$B$8="Yes",Settings!$B$7,""),IF(ISNUMBER(R40),DATE(YEAR(R40),MONTH(R40),1),"")))</f>
        <v>45962</v>
      </c>
      <c r="X40" s="38" t="n">
        <f aca="false">IF(AND(OR(T40="Backlog",T40="Pipeline",T40="Overdue"),ISNUMBER(W40)),IF(W40&lt;=Settings!$B$6,V40,0),0)</f>
        <v>0</v>
      </c>
      <c r="Y40" s="38" t="n">
        <f aca="false">IF(AND(OR(T40="Backlog",T40="Pipeline",T40="Overdue"),ISNUMBER(W40)),IF(W40&lt;=Settings!$B$6,Q40,0),0)</f>
        <v>0</v>
      </c>
      <c r="Z40" s="38" t="n">
        <f aca="false">IF(Y40=0,0,IF(T40="Backlog",Q40,Q40*Dashboard!$C$10))</f>
        <v>0</v>
      </c>
      <c r="AA40" s="37" t="n">
        <f aca="false">IF($N40="",0,IF(COUNTIF(Dashboard!$C$13:$C$22,$N40)&gt;0,1,0))</f>
        <v>0</v>
      </c>
      <c r="AB40" s="37" t="n">
        <f aca="false">IF($N40="","",IF(COUNTIF($N$8:$N40,$N40)=1,MAX($AB$7:$AB39)+1,""))</f>
        <v>26</v>
      </c>
    </row>
    <row r="41" customFormat="false" ht="15" hidden="false" customHeight="false" outlineLevel="0" collapsed="false">
      <c r="B41" s="32" t="s">
        <v>238</v>
      </c>
      <c r="C41" s="32" t="s">
        <v>239</v>
      </c>
      <c r="D41" s="35" t="n">
        <v>13661</v>
      </c>
      <c r="E41" s="32" t="s">
        <v>145</v>
      </c>
      <c r="F41" s="36" t="n">
        <v>46239</v>
      </c>
      <c r="G41" s="32" t="s">
        <v>240</v>
      </c>
      <c r="L41" s="37" t="str">
        <f aca="false">IF(INDEX($A41:$J41,$L$6)&lt;&gt;"",TRIM(LEFT(INDEX($A41:$J41,$L$6),FIND("(",INDEX($A41:$J41,$L$6)&amp;"(")-1)),L40)</f>
        <v>Closed Won</v>
      </c>
      <c r="M41" s="37" t="str">
        <f aca="false">IF(INDEX($A41:$J41,$M$6)="","",INDEX($A41:$J41,$M$6)&amp;"")</f>
        <v>TLC - FYR26 (MEL) - 19.8.26</v>
      </c>
      <c r="N41" s="37" t="str">
        <f aca="false">IF($M41="","",TRIM(INDEX($A41:$J41,$N$6)&amp;""))</f>
        <v>The Lottery Corporation</v>
      </c>
      <c r="O41" s="37" t="str">
        <f aca="false">IF($M41="","",TRIM(INDEX($A41:$J41,$O$6)&amp;""))</f>
        <v>Event Production</v>
      </c>
      <c r="P41" s="37" t="str">
        <f aca="false">IF($M41="","",IFERROR(IF(INDEX(Settings!$B$41:$B$50,MATCH(O41,Settings!$A$41:$A$50,0))&amp;""="","UNMAPPED",INDEX(Settings!$B$41:$B$50,MATCH(O41,Settings!$A$41:$A$50,0))&amp;""),"UNMAPPED"))</f>
        <v>Production</v>
      </c>
      <c r="Q41" s="38" t="n">
        <f aca="false">IF($M41="",0,N(INDEX($A41:$J41,$Q$6)))</f>
        <v>13661</v>
      </c>
      <c r="R41" s="39" t="n">
        <f aca="false">IF($M41="","",INDEX($A41:$J41,$R$6))</f>
        <v>46239</v>
      </c>
      <c r="S41" s="37" t="str">
        <f aca="false">IF($M41="","",IFERROR(INDEX(Settings!$B$27:$B$36,MATCH(L41,Settings!$A$27:$A$36,0))&amp;"","UNMAPPED"))</f>
        <v>Won</v>
      </c>
      <c r="T41" s="37" t="str">
        <f aca="false">IF($M41="","",IF(NOT(ISNUMBER(R41)),"NO DATE",IF(S41="Won",IF(R41&gt;Settings!$B$5,"Backlog","Delivered"),IF(S41="Open",IF(R41&gt;Settings!$B$5,"Pipeline","Overdue"),IF(S41="Lost","Lost","UNMAPPED")))))</f>
        <v>Delivered</v>
      </c>
      <c r="U41" s="40" t="n">
        <f aca="false">IF(T41="Backlog",1,IF(OR(T41="Pipeline",T41="Overdue"),N(INDEX(Settings!$C$27:$C$36,MATCH(L41,Settings!$A$27:$A$36,0))),0))</f>
        <v>0</v>
      </c>
      <c r="V41" s="38" t="n">
        <f aca="false">Q41*U41</f>
        <v>0</v>
      </c>
      <c r="W41" s="41" t="n">
        <f aca="false">IF($M41="","",IF(T41="Overdue",IF(Settings!$B$8="Yes",Settings!$B$7,""),IF(ISNUMBER(R41),DATE(YEAR(R41),MONTH(R41),1),"")))</f>
        <v>46235</v>
      </c>
      <c r="X41" s="38" t="n">
        <f aca="false">IF(AND(OR(T41="Backlog",T41="Pipeline",T41="Overdue"),ISNUMBER(W41)),IF(W41&lt;=Settings!$B$6,V41,0),0)</f>
        <v>0</v>
      </c>
      <c r="Y41" s="38" t="n">
        <f aca="false">IF(AND(OR(T41="Backlog",T41="Pipeline",T41="Overdue"),ISNUMBER(W41)),IF(W41&lt;=Settings!$B$6,Q41,0),0)</f>
        <v>0</v>
      </c>
      <c r="Z41" s="38" t="n">
        <f aca="false">IF(Y41=0,0,IF(T41="Backlog",Q41,Q41*Dashboard!$C$10))</f>
        <v>0</v>
      </c>
      <c r="AA41" s="37" t="n">
        <f aca="false">IF($N41="",0,IF(COUNTIF(Dashboard!$C$13:$C$22,$N41)&gt;0,1,0))</f>
        <v>0</v>
      </c>
      <c r="AB41" s="37" t="n">
        <f aca="false">IF($N41="","",IF(COUNTIF($N$8:$N41,$N41)=1,MAX($AB$7:$AB40)+1,""))</f>
        <v>27</v>
      </c>
    </row>
    <row r="42" customFormat="false" ht="15" hidden="false" customHeight="false" outlineLevel="0" collapsed="false">
      <c r="B42" s="32" t="s">
        <v>241</v>
      </c>
      <c r="C42" s="32" t="s">
        <v>160</v>
      </c>
      <c r="D42" s="35" t="n">
        <v>380</v>
      </c>
      <c r="E42" s="32" t="s">
        <v>145</v>
      </c>
      <c r="F42" s="36" t="n">
        <v>46064</v>
      </c>
      <c r="G42" s="32" t="s">
        <v>242</v>
      </c>
      <c r="L42" s="37" t="str">
        <f aca="false">IF(INDEX($A42:$J42,$L$6)&lt;&gt;"",TRIM(LEFT(INDEX($A42:$J42,$L$6),FIND("(",INDEX($A42:$J42,$L$6)&amp;"(")-1)),L41)</f>
        <v>Closed Won</v>
      </c>
      <c r="M42" s="37" t="str">
        <f aca="false">IF(INDEX($A42:$J42,$M$6)="","",INDEX($A42:$J42,$M$6)&amp;"")</f>
        <v>Studio Support</v>
      </c>
      <c r="N42" s="37" t="str">
        <f aca="false">IF($M42="","",TRIM(INDEX($A42:$J42,$N$6)&amp;""))</f>
        <v>Elkiem</v>
      </c>
      <c r="O42" s="37" t="str">
        <f aca="false">IF($M42="","",TRIM(INDEX($A42:$J42,$O$6)&amp;""))</f>
        <v>Event Production</v>
      </c>
      <c r="P42" s="37" t="str">
        <f aca="false">IF($M42="","",IFERROR(IF(INDEX(Settings!$B$41:$B$50,MATCH(O42,Settings!$A$41:$A$50,0))&amp;""="","UNMAPPED",INDEX(Settings!$B$41:$B$50,MATCH(O42,Settings!$A$41:$A$50,0))&amp;""),"UNMAPPED"))</f>
        <v>Production</v>
      </c>
      <c r="Q42" s="38" t="n">
        <f aca="false">IF($M42="",0,N(INDEX($A42:$J42,$Q$6)))</f>
        <v>380</v>
      </c>
      <c r="R42" s="39" t="n">
        <f aca="false">IF($M42="","",INDEX($A42:$J42,$R$6))</f>
        <v>46064</v>
      </c>
      <c r="S42" s="37" t="str">
        <f aca="false">IF($M42="","",IFERROR(INDEX(Settings!$B$27:$B$36,MATCH(L42,Settings!$A$27:$A$36,0))&amp;"","UNMAPPED"))</f>
        <v>Won</v>
      </c>
      <c r="T42" s="37" t="str">
        <f aca="false">IF($M42="","",IF(NOT(ISNUMBER(R42)),"NO DATE",IF(S42="Won",IF(R42&gt;Settings!$B$5,"Backlog","Delivered"),IF(S42="Open",IF(R42&gt;Settings!$B$5,"Pipeline","Overdue"),IF(S42="Lost","Lost","UNMAPPED")))))</f>
        <v>Delivered</v>
      </c>
      <c r="U42" s="40" t="n">
        <f aca="false">IF(T42="Backlog",1,IF(OR(T42="Pipeline",T42="Overdue"),N(INDEX(Settings!$C$27:$C$36,MATCH(L42,Settings!$A$27:$A$36,0))),0))</f>
        <v>0</v>
      </c>
      <c r="V42" s="38" t="n">
        <f aca="false">Q42*U42</f>
        <v>0</v>
      </c>
      <c r="W42" s="41" t="n">
        <f aca="false">IF($M42="","",IF(T42="Overdue",IF(Settings!$B$8="Yes",Settings!$B$7,""),IF(ISNUMBER(R42),DATE(YEAR(R42),MONTH(R42),1),"")))</f>
        <v>46054</v>
      </c>
      <c r="X42" s="38" t="n">
        <f aca="false">IF(AND(OR(T42="Backlog",T42="Pipeline",T42="Overdue"),ISNUMBER(W42)),IF(W42&lt;=Settings!$B$6,V42,0),0)</f>
        <v>0</v>
      </c>
      <c r="Y42" s="38" t="n">
        <f aca="false">IF(AND(OR(T42="Backlog",T42="Pipeline",T42="Overdue"),ISNUMBER(W42)),IF(W42&lt;=Settings!$B$6,Q42,0),0)</f>
        <v>0</v>
      </c>
      <c r="Z42" s="38" t="n">
        <f aca="false">IF(Y42=0,0,IF(T42="Backlog",Q42,Q42*Dashboard!$C$10))</f>
        <v>0</v>
      </c>
      <c r="AA42" s="37" t="n">
        <f aca="false">IF($N42="",0,IF(COUNTIF(Dashboard!$C$13:$C$22,$N42)&gt;0,1,0))</f>
        <v>0</v>
      </c>
      <c r="AB42" s="37" t="str">
        <f aca="false">IF($N42="","",IF(COUNTIF($N$8:$N42,$N42)=1,MAX($AB$7:$AB41)+1,""))</f>
        <v/>
      </c>
    </row>
    <row r="43" customFormat="false" ht="15" hidden="false" customHeight="false" outlineLevel="0" collapsed="false">
      <c r="B43" s="32" t="s">
        <v>243</v>
      </c>
      <c r="C43" s="32" t="s">
        <v>244</v>
      </c>
      <c r="D43" s="35" t="n">
        <v>8472</v>
      </c>
      <c r="E43" s="32" t="s">
        <v>145</v>
      </c>
      <c r="F43" s="36" t="n">
        <v>46056</v>
      </c>
      <c r="G43" s="32" t="s">
        <v>245</v>
      </c>
      <c r="L43" s="37" t="str">
        <f aca="false">IF(INDEX($A43:$J43,$L$6)&lt;&gt;"",TRIM(LEFT(INDEX($A43:$J43,$L$6),FIND("(",INDEX($A43:$J43,$L$6)&amp;"(")-1)),L42)</f>
        <v>Closed Won</v>
      </c>
      <c r="M43" s="37" t="str">
        <f aca="false">IF(INDEX($A43:$J43,$M$6)="","",INDEX($A43:$J43,$M$6)&amp;"")</f>
        <v>APA - Investor Briefing FYR26 - 20.8.26</v>
      </c>
      <c r="N43" s="37" t="str">
        <f aca="false">IF($M43="","",TRIM(INDEX($A43:$J43,$N$6)&amp;""))</f>
        <v>APA</v>
      </c>
      <c r="O43" s="37" t="str">
        <f aca="false">IF($M43="","",TRIM(INDEX($A43:$J43,$O$6)&amp;""))</f>
        <v>Event Production</v>
      </c>
      <c r="P43" s="37" t="str">
        <f aca="false">IF($M43="","",IFERROR(IF(INDEX(Settings!$B$41:$B$50,MATCH(O43,Settings!$A$41:$A$50,0))&amp;""="","UNMAPPED",INDEX(Settings!$B$41:$B$50,MATCH(O43,Settings!$A$41:$A$50,0))&amp;""),"UNMAPPED"))</f>
        <v>Production</v>
      </c>
      <c r="Q43" s="38" t="n">
        <f aca="false">IF($M43="",0,N(INDEX($A43:$J43,$Q$6)))</f>
        <v>8472</v>
      </c>
      <c r="R43" s="39" t="n">
        <f aca="false">IF($M43="","",INDEX($A43:$J43,$R$6))</f>
        <v>46056</v>
      </c>
      <c r="S43" s="37" t="str">
        <f aca="false">IF($M43="","",IFERROR(INDEX(Settings!$B$27:$B$36,MATCH(L43,Settings!$A$27:$A$36,0))&amp;"","UNMAPPED"))</f>
        <v>Won</v>
      </c>
      <c r="T43" s="37" t="str">
        <f aca="false">IF($M43="","",IF(NOT(ISNUMBER(R43)),"NO DATE",IF(S43="Won",IF(R43&gt;Settings!$B$5,"Backlog","Delivered"),IF(S43="Open",IF(R43&gt;Settings!$B$5,"Pipeline","Overdue"),IF(S43="Lost","Lost","UNMAPPED")))))</f>
        <v>Delivered</v>
      </c>
      <c r="U43" s="40" t="n">
        <f aca="false">IF(T43="Backlog",1,IF(OR(T43="Pipeline",T43="Overdue"),N(INDEX(Settings!$C$27:$C$36,MATCH(L43,Settings!$A$27:$A$36,0))),0))</f>
        <v>0</v>
      </c>
      <c r="V43" s="38" t="n">
        <f aca="false">Q43*U43</f>
        <v>0</v>
      </c>
      <c r="W43" s="41" t="n">
        <f aca="false">IF($M43="","",IF(T43="Overdue",IF(Settings!$B$8="Yes",Settings!$B$7,""),IF(ISNUMBER(R43),DATE(YEAR(R43),MONTH(R43),1),"")))</f>
        <v>46054</v>
      </c>
      <c r="X43" s="38" t="n">
        <f aca="false">IF(AND(OR(T43="Backlog",T43="Pipeline",T43="Overdue"),ISNUMBER(W43)),IF(W43&lt;=Settings!$B$6,V43,0),0)</f>
        <v>0</v>
      </c>
      <c r="Y43" s="38" t="n">
        <f aca="false">IF(AND(OR(T43="Backlog",T43="Pipeline",T43="Overdue"),ISNUMBER(W43)),IF(W43&lt;=Settings!$B$6,Q43,0),0)</f>
        <v>0</v>
      </c>
      <c r="Z43" s="38" t="n">
        <f aca="false">IF(Y43=0,0,IF(T43="Backlog",Q43,Q43*Dashboard!$C$10))</f>
        <v>0</v>
      </c>
      <c r="AA43" s="37" t="n">
        <f aca="false">IF($N43="",0,IF(COUNTIF(Dashboard!$C$13:$C$22,$N43)&gt;0,1,0))</f>
        <v>0</v>
      </c>
      <c r="AB43" s="37" t="n">
        <f aca="false">IF($N43="","",IF(COUNTIF($N$8:$N43,$N43)=1,MAX($AB$7:$AB42)+1,""))</f>
        <v>28</v>
      </c>
    </row>
    <row r="44" customFormat="false" ht="15" hidden="false" customHeight="false" outlineLevel="0" collapsed="false">
      <c r="B44" s="32" t="s">
        <v>246</v>
      </c>
      <c r="C44" s="32" t="s">
        <v>247</v>
      </c>
      <c r="D44" s="35" t="n">
        <v>15270</v>
      </c>
      <c r="E44" s="32" t="s">
        <v>145</v>
      </c>
      <c r="F44" s="36" t="n">
        <v>45882</v>
      </c>
      <c r="G44" s="32" t="s">
        <v>248</v>
      </c>
      <c r="L44" s="37" t="str">
        <f aca="false">IF(INDEX($A44:$J44,$L$6)&lt;&gt;"",TRIM(LEFT(INDEX($A44:$J44,$L$6),FIND("(",INDEX($A44:$J44,$L$6)&amp;"(")-1)),L43)</f>
        <v>Closed Won</v>
      </c>
      <c r="M44" s="37" t="str">
        <f aca="false">IF(INDEX($A44:$J44,$M$6)="","",INDEX($A44:$J44,$M$6)&amp;"")</f>
        <v>AGL FYR Investor Brief - Aug 2025</v>
      </c>
      <c r="N44" s="37" t="str">
        <f aca="false">IF($M44="","",TRIM(INDEX($A44:$J44,$N$6)&amp;""))</f>
        <v>AGL</v>
      </c>
      <c r="O44" s="37" t="str">
        <f aca="false">IF($M44="","",TRIM(INDEX($A44:$J44,$O$6)&amp;""))</f>
        <v>Event Production</v>
      </c>
      <c r="P44" s="37" t="str">
        <f aca="false">IF($M44="","",IFERROR(IF(INDEX(Settings!$B$41:$B$50,MATCH(O44,Settings!$A$41:$A$50,0))&amp;""="","UNMAPPED",INDEX(Settings!$B$41:$B$50,MATCH(O44,Settings!$A$41:$A$50,0))&amp;""),"UNMAPPED"))</f>
        <v>Production</v>
      </c>
      <c r="Q44" s="38" t="n">
        <f aca="false">IF($M44="",0,N(INDEX($A44:$J44,$Q$6)))</f>
        <v>15270</v>
      </c>
      <c r="R44" s="39" t="n">
        <f aca="false">IF($M44="","",INDEX($A44:$J44,$R$6))</f>
        <v>45882</v>
      </c>
      <c r="S44" s="37" t="str">
        <f aca="false">IF($M44="","",IFERROR(INDEX(Settings!$B$27:$B$36,MATCH(L44,Settings!$A$27:$A$36,0))&amp;"","UNMAPPED"))</f>
        <v>Won</v>
      </c>
      <c r="T44" s="37" t="str">
        <f aca="false">IF($M44="","",IF(NOT(ISNUMBER(R44)),"NO DATE",IF(S44="Won",IF(R44&gt;Settings!$B$5,"Backlog","Delivered"),IF(S44="Open",IF(R44&gt;Settings!$B$5,"Pipeline","Overdue"),IF(S44="Lost","Lost","UNMAPPED")))))</f>
        <v>Delivered</v>
      </c>
      <c r="U44" s="40" t="n">
        <f aca="false">IF(T44="Backlog",1,IF(OR(T44="Pipeline",T44="Overdue"),N(INDEX(Settings!$C$27:$C$36,MATCH(L44,Settings!$A$27:$A$36,0))),0))</f>
        <v>0</v>
      </c>
      <c r="V44" s="38" t="n">
        <f aca="false">Q44*U44</f>
        <v>0</v>
      </c>
      <c r="W44" s="41" t="n">
        <f aca="false">IF($M44="","",IF(T44="Overdue",IF(Settings!$B$8="Yes",Settings!$B$7,""),IF(ISNUMBER(R44),DATE(YEAR(R44),MONTH(R44),1),"")))</f>
        <v>45870</v>
      </c>
      <c r="X44" s="38" t="n">
        <f aca="false">IF(AND(OR(T44="Backlog",T44="Pipeline",T44="Overdue"),ISNUMBER(W44)),IF(W44&lt;=Settings!$B$6,V44,0),0)</f>
        <v>0</v>
      </c>
      <c r="Y44" s="38" t="n">
        <f aca="false">IF(AND(OR(T44="Backlog",T44="Pipeline",T44="Overdue"),ISNUMBER(W44)),IF(W44&lt;=Settings!$B$6,Q44,0),0)</f>
        <v>0</v>
      </c>
      <c r="Z44" s="38" t="n">
        <f aca="false">IF(Y44=0,0,IF(T44="Backlog",Q44,Q44*Dashboard!$C$10))</f>
        <v>0</v>
      </c>
      <c r="AA44" s="37" t="n">
        <f aca="false">IF($N44="",0,IF(COUNTIF(Dashboard!$C$13:$C$22,$N44)&gt;0,1,0))</f>
        <v>0</v>
      </c>
      <c r="AB44" s="37" t="n">
        <f aca="false">IF($N44="","",IF(COUNTIF($N$8:$N44,$N44)=1,MAX($AB$7:$AB43)+1,""))</f>
        <v>29</v>
      </c>
    </row>
    <row r="45" customFormat="false" ht="15" hidden="false" customHeight="false" outlineLevel="0" collapsed="false">
      <c r="B45" s="32" t="s">
        <v>249</v>
      </c>
      <c r="C45" s="32" t="s">
        <v>250</v>
      </c>
      <c r="D45" s="35" t="n">
        <v>0</v>
      </c>
      <c r="E45" s="32" t="s">
        <v>145</v>
      </c>
      <c r="F45" s="36" t="n">
        <v>45954</v>
      </c>
      <c r="G45" s="32" t="s">
        <v>251</v>
      </c>
      <c r="L45" s="37" t="str">
        <f aca="false">IF(INDEX($A45:$J45,$L$6)&lt;&gt;"",TRIM(LEFT(INDEX($A45:$J45,$L$6),FIND("(",INDEX($A45:$J45,$L$6)&amp;"(")-1)),L44)</f>
        <v>Closed Won</v>
      </c>
      <c r="M45" s="37" t="str">
        <f aca="false">IF(INDEX($A45:$J45,$M$6)="","",INDEX($A45:$J45,$M$6)&amp;"")</f>
        <v>Governance Top 100 - 24.10.25</v>
      </c>
      <c r="N45" s="37" t="str">
        <f aca="false">IF($M45="","",TRIM(INDEX($A45:$J45,$N$6)&amp;""))</f>
        <v>3YS Owls Pty Ltd</v>
      </c>
      <c r="O45" s="37" t="str">
        <f aca="false">IF($M45="","",TRIM(INDEX($A45:$J45,$O$6)&amp;""))</f>
        <v>Event Production</v>
      </c>
      <c r="P45" s="37" t="str">
        <f aca="false">IF($M45="","",IFERROR(IF(INDEX(Settings!$B$41:$B$50,MATCH(O45,Settings!$A$41:$A$50,0))&amp;""="","UNMAPPED",INDEX(Settings!$B$41:$B$50,MATCH(O45,Settings!$A$41:$A$50,0))&amp;""),"UNMAPPED"))</f>
        <v>Production</v>
      </c>
      <c r="Q45" s="38" t="n">
        <f aca="false">IF($M45="",0,N(INDEX($A45:$J45,$Q$6)))</f>
        <v>0</v>
      </c>
      <c r="R45" s="39" t="n">
        <f aca="false">IF($M45="","",INDEX($A45:$J45,$R$6))</f>
        <v>45954</v>
      </c>
      <c r="S45" s="37" t="str">
        <f aca="false">IF($M45="","",IFERROR(INDEX(Settings!$B$27:$B$36,MATCH(L45,Settings!$A$27:$A$36,0))&amp;"","UNMAPPED"))</f>
        <v>Won</v>
      </c>
      <c r="T45" s="37" t="str">
        <f aca="false">IF($M45="","",IF(NOT(ISNUMBER(R45)),"NO DATE",IF(S45="Won",IF(R45&gt;Settings!$B$5,"Backlog","Delivered"),IF(S45="Open",IF(R45&gt;Settings!$B$5,"Pipeline","Overdue"),IF(S45="Lost","Lost","UNMAPPED")))))</f>
        <v>Delivered</v>
      </c>
      <c r="U45" s="40" t="n">
        <f aca="false">IF(T45="Backlog",1,IF(OR(T45="Pipeline",T45="Overdue"),N(INDEX(Settings!$C$27:$C$36,MATCH(L45,Settings!$A$27:$A$36,0))),0))</f>
        <v>0</v>
      </c>
      <c r="V45" s="38" t="n">
        <f aca="false">Q45*U45</f>
        <v>0</v>
      </c>
      <c r="W45" s="41" t="n">
        <f aca="false">IF($M45="","",IF(T45="Overdue",IF(Settings!$B$8="Yes",Settings!$B$7,""),IF(ISNUMBER(R45),DATE(YEAR(R45),MONTH(R45),1),"")))</f>
        <v>45931</v>
      </c>
      <c r="X45" s="38" t="n">
        <f aca="false">IF(AND(OR(T45="Backlog",T45="Pipeline",T45="Overdue"),ISNUMBER(W45)),IF(W45&lt;=Settings!$B$6,V45,0),0)</f>
        <v>0</v>
      </c>
      <c r="Y45" s="38" t="n">
        <f aca="false">IF(AND(OR(T45="Backlog",T45="Pipeline",T45="Overdue"),ISNUMBER(W45)),IF(W45&lt;=Settings!$B$6,Q45,0),0)</f>
        <v>0</v>
      </c>
      <c r="Z45" s="38" t="n">
        <f aca="false">IF(Y45=0,0,IF(T45="Backlog",Q45,Q45*Dashboard!$C$10))</f>
        <v>0</v>
      </c>
      <c r="AA45" s="37" t="n">
        <f aca="false">IF($N45="",0,IF(COUNTIF(Dashboard!$C$13:$C$22,$N45)&gt;0,1,0))</f>
        <v>0</v>
      </c>
      <c r="AB45" s="37" t="n">
        <f aca="false">IF($N45="","",IF(COUNTIF($N$8:$N45,$N45)=1,MAX($AB$7:$AB44)+1,""))</f>
        <v>30</v>
      </c>
    </row>
    <row r="46" customFormat="false" ht="15" hidden="false" customHeight="false" outlineLevel="0" collapsed="false">
      <c r="B46" s="32" t="s">
        <v>252</v>
      </c>
      <c r="C46" s="32" t="s">
        <v>253</v>
      </c>
      <c r="D46" s="35" t="n">
        <v>37880</v>
      </c>
      <c r="E46" s="32" t="s">
        <v>145</v>
      </c>
      <c r="F46" s="36" t="n">
        <v>46065</v>
      </c>
      <c r="G46" s="32" t="s">
        <v>254</v>
      </c>
      <c r="L46" s="37" t="str">
        <f aca="false">IF(INDEX($A46:$J46,$L$6)&lt;&gt;"",TRIM(LEFT(INDEX($A46:$J46,$L$6),FIND("(",INDEX($A46:$J46,$L$6)&amp;"(")-1)),L45)</f>
        <v>Closed Won</v>
      </c>
      <c r="M46" s="37" t="str">
        <f aca="false">IF(INDEX($A46:$J46,$M$6)="","",INDEX($A46:$J46,$M$6)&amp;"")</f>
        <v>HY26 Results Briefing</v>
      </c>
      <c r="N46" s="37" t="str">
        <f aca="false">IF($M46="","",TRIM(INDEX($A46:$J46,$N$6)&amp;""))</f>
        <v>ASX Australian Securities Exchange</v>
      </c>
      <c r="O46" s="37" t="str">
        <f aca="false">IF($M46="","",TRIM(INDEX($A46:$J46,$O$6)&amp;""))</f>
        <v>Event Production</v>
      </c>
      <c r="P46" s="37" t="str">
        <f aca="false">IF($M46="","",IFERROR(IF(INDEX(Settings!$B$41:$B$50,MATCH(O46,Settings!$A$41:$A$50,0))&amp;""="","UNMAPPED",INDEX(Settings!$B$41:$B$50,MATCH(O46,Settings!$A$41:$A$50,0))&amp;""),"UNMAPPED"))</f>
        <v>Production</v>
      </c>
      <c r="Q46" s="38" t="n">
        <f aca="false">IF($M46="",0,N(INDEX($A46:$J46,$Q$6)))</f>
        <v>37880</v>
      </c>
      <c r="R46" s="39" t="n">
        <f aca="false">IF($M46="","",INDEX($A46:$J46,$R$6))</f>
        <v>46065</v>
      </c>
      <c r="S46" s="37" t="str">
        <f aca="false">IF($M46="","",IFERROR(INDEX(Settings!$B$27:$B$36,MATCH(L46,Settings!$A$27:$A$36,0))&amp;"","UNMAPPED"))</f>
        <v>Won</v>
      </c>
      <c r="T46" s="37" t="str">
        <f aca="false">IF($M46="","",IF(NOT(ISNUMBER(R46)),"NO DATE",IF(S46="Won",IF(R46&gt;Settings!$B$5,"Backlog","Delivered"),IF(S46="Open",IF(R46&gt;Settings!$B$5,"Pipeline","Overdue"),IF(S46="Lost","Lost","UNMAPPED")))))</f>
        <v>Delivered</v>
      </c>
      <c r="U46" s="40" t="n">
        <f aca="false">IF(T46="Backlog",1,IF(OR(T46="Pipeline",T46="Overdue"),N(INDEX(Settings!$C$27:$C$36,MATCH(L46,Settings!$A$27:$A$36,0))),0))</f>
        <v>0</v>
      </c>
      <c r="V46" s="38" t="n">
        <f aca="false">Q46*U46</f>
        <v>0</v>
      </c>
      <c r="W46" s="41" t="n">
        <f aca="false">IF($M46="","",IF(T46="Overdue",IF(Settings!$B$8="Yes",Settings!$B$7,""),IF(ISNUMBER(R46),DATE(YEAR(R46),MONTH(R46),1),"")))</f>
        <v>46054</v>
      </c>
      <c r="X46" s="38" t="n">
        <f aca="false">IF(AND(OR(T46="Backlog",T46="Pipeline",T46="Overdue"),ISNUMBER(W46)),IF(W46&lt;=Settings!$B$6,V46,0),0)</f>
        <v>0</v>
      </c>
      <c r="Y46" s="38" t="n">
        <f aca="false">IF(AND(OR(T46="Backlog",T46="Pipeline",T46="Overdue"),ISNUMBER(W46)),IF(W46&lt;=Settings!$B$6,Q46,0),0)</f>
        <v>0</v>
      </c>
      <c r="Z46" s="38" t="n">
        <f aca="false">IF(Y46=0,0,IF(T46="Backlog",Q46,Q46*Dashboard!$C$10))</f>
        <v>0</v>
      </c>
      <c r="AA46" s="37" t="n">
        <f aca="false">IF($N46="",0,IF(COUNTIF(Dashboard!$C$13:$C$22,$N46)&gt;0,1,0))</f>
        <v>0</v>
      </c>
      <c r="AB46" s="37" t="n">
        <f aca="false">IF($N46="","",IF(COUNTIF($N$8:$N46,$N46)=1,MAX($AB$7:$AB45)+1,""))</f>
        <v>31</v>
      </c>
    </row>
    <row r="47" customFormat="false" ht="15" hidden="false" customHeight="false" outlineLevel="0" collapsed="false">
      <c r="B47" s="32" t="s">
        <v>255</v>
      </c>
      <c r="C47" s="32" t="s">
        <v>247</v>
      </c>
      <c r="D47" s="35" t="n">
        <v>14272</v>
      </c>
      <c r="E47" s="32" t="s">
        <v>145</v>
      </c>
      <c r="F47" s="36" t="n">
        <v>46146</v>
      </c>
      <c r="G47" s="32" t="s">
        <v>256</v>
      </c>
      <c r="L47" s="37" t="str">
        <f aca="false">IF(INDEX($A47:$J47,$L$6)&lt;&gt;"",TRIM(LEFT(INDEX($A47:$J47,$L$6),FIND("(",INDEX($A47:$J47,$L$6)&amp;"(")-1)),L46)</f>
        <v>Closed Won</v>
      </c>
      <c r="M47" s="37" t="str">
        <f aca="false">IF(INDEX($A47:$J47,$M$6)="","",INDEX($A47:$J47,$M$6)&amp;"")</f>
        <v>AGL - Investor Briefing - 12.8.26</v>
      </c>
      <c r="N47" s="37" t="str">
        <f aca="false">IF($M47="","",TRIM(INDEX($A47:$J47,$N$6)&amp;""))</f>
        <v>AGL</v>
      </c>
      <c r="O47" s="37" t="str">
        <f aca="false">IF($M47="","",TRIM(INDEX($A47:$J47,$O$6)&amp;""))</f>
        <v>Event Production</v>
      </c>
      <c r="P47" s="37" t="str">
        <f aca="false">IF($M47="","",IFERROR(IF(INDEX(Settings!$B$41:$B$50,MATCH(O47,Settings!$A$41:$A$50,0))&amp;""="","UNMAPPED",INDEX(Settings!$B$41:$B$50,MATCH(O47,Settings!$A$41:$A$50,0))&amp;""),"UNMAPPED"))</f>
        <v>Production</v>
      </c>
      <c r="Q47" s="38" t="n">
        <f aca="false">IF($M47="",0,N(INDEX($A47:$J47,$Q$6)))</f>
        <v>14272</v>
      </c>
      <c r="R47" s="39" t="n">
        <f aca="false">IF($M47="","",INDEX($A47:$J47,$R$6))</f>
        <v>46146</v>
      </c>
      <c r="S47" s="37" t="str">
        <f aca="false">IF($M47="","",IFERROR(INDEX(Settings!$B$27:$B$36,MATCH(L47,Settings!$A$27:$A$36,0))&amp;"","UNMAPPED"))</f>
        <v>Won</v>
      </c>
      <c r="T47" s="37" t="str">
        <f aca="false">IF($M47="","",IF(NOT(ISNUMBER(R47)),"NO DATE",IF(S47="Won",IF(R47&gt;Settings!$B$5,"Backlog","Delivered"),IF(S47="Open",IF(R47&gt;Settings!$B$5,"Pipeline","Overdue"),IF(S47="Lost","Lost","UNMAPPED")))))</f>
        <v>Delivered</v>
      </c>
      <c r="U47" s="40" t="n">
        <f aca="false">IF(T47="Backlog",1,IF(OR(T47="Pipeline",T47="Overdue"),N(INDEX(Settings!$C$27:$C$36,MATCH(L47,Settings!$A$27:$A$36,0))),0))</f>
        <v>0</v>
      </c>
      <c r="V47" s="38" t="n">
        <f aca="false">Q47*U47</f>
        <v>0</v>
      </c>
      <c r="W47" s="41" t="n">
        <f aca="false">IF($M47="","",IF(T47="Overdue",IF(Settings!$B$8="Yes",Settings!$B$7,""),IF(ISNUMBER(R47),DATE(YEAR(R47),MONTH(R47),1),"")))</f>
        <v>46143</v>
      </c>
      <c r="X47" s="38" t="n">
        <f aca="false">IF(AND(OR(T47="Backlog",T47="Pipeline",T47="Overdue"),ISNUMBER(W47)),IF(W47&lt;=Settings!$B$6,V47,0),0)</f>
        <v>0</v>
      </c>
      <c r="Y47" s="38" t="n">
        <f aca="false">IF(AND(OR(T47="Backlog",T47="Pipeline",T47="Overdue"),ISNUMBER(W47)),IF(W47&lt;=Settings!$B$6,Q47,0),0)</f>
        <v>0</v>
      </c>
      <c r="Z47" s="38" t="n">
        <f aca="false">IF(Y47=0,0,IF(T47="Backlog",Q47,Q47*Dashboard!$C$10))</f>
        <v>0</v>
      </c>
      <c r="AA47" s="37" t="n">
        <f aca="false">IF($N47="",0,IF(COUNTIF(Dashboard!$C$13:$C$22,$N47)&gt;0,1,0))</f>
        <v>0</v>
      </c>
      <c r="AB47" s="37" t="str">
        <f aca="false">IF($N47="","",IF(COUNTIF($N$8:$N47,$N47)=1,MAX($AB$7:$AB46)+1,""))</f>
        <v/>
      </c>
    </row>
    <row r="48" customFormat="false" ht="15" hidden="false" customHeight="false" outlineLevel="0" collapsed="false">
      <c r="B48" s="32" t="s">
        <v>257</v>
      </c>
      <c r="C48" s="32" t="s">
        <v>154</v>
      </c>
      <c r="D48" s="35" t="n">
        <v>2500</v>
      </c>
      <c r="E48" s="32" t="s">
        <v>145</v>
      </c>
      <c r="F48" s="36" t="n">
        <v>46002</v>
      </c>
      <c r="G48" s="32" t="s">
        <v>258</v>
      </c>
      <c r="L48" s="37" t="str">
        <f aca="false">IF(INDEX($A48:$J48,$L$6)&lt;&gt;"",TRIM(LEFT(INDEX($A48:$J48,$L$6),FIND("(",INDEX($A48:$J48,$L$6)&amp;"(")-1)),L47)</f>
        <v>Closed Won</v>
      </c>
      <c r="M48" s="37" t="str">
        <f aca="false">IF(INDEX($A48:$J48,$M$6)="","",INDEX($A48:$J48,$M$6)&amp;"")</f>
        <v>Studio Event 11.12.25</v>
      </c>
      <c r="N48" s="37" t="str">
        <f aca="false">IF($M48="","",TRIM(INDEX($A48:$J48,$N$6)&amp;""))</f>
        <v>PWC</v>
      </c>
      <c r="O48" s="37" t="str">
        <f aca="false">IF($M48="","",TRIM(INDEX($A48:$J48,$O$6)&amp;""))</f>
        <v>Event Production</v>
      </c>
      <c r="P48" s="37" t="str">
        <f aca="false">IF($M48="","",IFERROR(IF(INDEX(Settings!$B$41:$B$50,MATCH(O48,Settings!$A$41:$A$50,0))&amp;""="","UNMAPPED",INDEX(Settings!$B$41:$B$50,MATCH(O48,Settings!$A$41:$A$50,0))&amp;""),"UNMAPPED"))</f>
        <v>Production</v>
      </c>
      <c r="Q48" s="38" t="n">
        <f aca="false">IF($M48="",0,N(INDEX($A48:$J48,$Q$6)))</f>
        <v>2500</v>
      </c>
      <c r="R48" s="39" t="n">
        <f aca="false">IF($M48="","",INDEX($A48:$J48,$R$6))</f>
        <v>46002</v>
      </c>
      <c r="S48" s="37" t="str">
        <f aca="false">IF($M48="","",IFERROR(INDEX(Settings!$B$27:$B$36,MATCH(L48,Settings!$A$27:$A$36,0))&amp;"","UNMAPPED"))</f>
        <v>Won</v>
      </c>
      <c r="T48" s="37" t="str">
        <f aca="false">IF($M48="","",IF(NOT(ISNUMBER(R48)),"NO DATE",IF(S48="Won",IF(R48&gt;Settings!$B$5,"Backlog","Delivered"),IF(S48="Open",IF(R48&gt;Settings!$B$5,"Pipeline","Overdue"),IF(S48="Lost","Lost","UNMAPPED")))))</f>
        <v>Delivered</v>
      </c>
      <c r="U48" s="40" t="n">
        <f aca="false">IF(T48="Backlog",1,IF(OR(T48="Pipeline",T48="Overdue"),N(INDEX(Settings!$C$27:$C$36,MATCH(L48,Settings!$A$27:$A$36,0))),0))</f>
        <v>0</v>
      </c>
      <c r="V48" s="38" t="n">
        <f aca="false">Q48*U48</f>
        <v>0</v>
      </c>
      <c r="W48" s="41" t="n">
        <f aca="false">IF($M48="","",IF(T48="Overdue",IF(Settings!$B$8="Yes",Settings!$B$7,""),IF(ISNUMBER(R48),DATE(YEAR(R48),MONTH(R48),1),"")))</f>
        <v>45992</v>
      </c>
      <c r="X48" s="38" t="n">
        <f aca="false">IF(AND(OR(T48="Backlog",T48="Pipeline",T48="Overdue"),ISNUMBER(W48)),IF(W48&lt;=Settings!$B$6,V48,0),0)</f>
        <v>0</v>
      </c>
      <c r="Y48" s="38" t="n">
        <f aca="false">IF(AND(OR(T48="Backlog",T48="Pipeline",T48="Overdue"),ISNUMBER(W48)),IF(W48&lt;=Settings!$B$6,Q48,0),0)</f>
        <v>0</v>
      </c>
      <c r="Z48" s="38" t="n">
        <f aca="false">IF(Y48=0,0,IF(T48="Backlog",Q48,Q48*Dashboard!$C$10))</f>
        <v>0</v>
      </c>
      <c r="AA48" s="37" t="n">
        <f aca="false">IF($N48="",0,IF(COUNTIF(Dashboard!$C$13:$C$22,$N48)&gt;0,1,0))</f>
        <v>0</v>
      </c>
      <c r="AB48" s="37" t="str">
        <f aca="false">IF($N48="","",IF(COUNTIF($N$8:$N48,$N48)=1,MAX($AB$7:$AB47)+1,""))</f>
        <v/>
      </c>
    </row>
    <row r="49" customFormat="false" ht="15" hidden="false" customHeight="false" outlineLevel="0" collapsed="false">
      <c r="B49" s="32" t="s">
        <v>259</v>
      </c>
      <c r="C49" s="32" t="s">
        <v>140</v>
      </c>
      <c r="D49" s="35" t="n">
        <v>3890</v>
      </c>
      <c r="E49" s="32" t="s">
        <v>141</v>
      </c>
      <c r="F49" s="36" t="n">
        <v>46204</v>
      </c>
      <c r="G49" s="32" t="s">
        <v>260</v>
      </c>
      <c r="L49" s="37" t="str">
        <f aca="false">IF(INDEX($A49:$J49,$L$6)&lt;&gt;"",TRIM(LEFT(INDEX($A49:$J49,$L$6),FIND("(",INDEX($A49:$J49,$L$6)&amp;"(")-1)),L48)</f>
        <v>Closed Won</v>
      </c>
      <c r="M49" s="37" t="str">
        <f aca="false">IF(INDEX($A49:$J49,$M$6)="","",INDEX($A49:$J49,$M$6)&amp;"")</f>
        <v>DTTL | MEL Lv29 Display Supply - 26061501</v>
      </c>
      <c r="N49" s="37" t="str">
        <f aca="false">IF($M49="","",TRIM(INDEX($A49:$J49,$N$6)&amp;""))</f>
        <v>Deloitte Australia</v>
      </c>
      <c r="O49" s="37" t="str">
        <f aca="false">IF($M49="","",TRIM(INDEX($A49:$J49,$O$6)&amp;""))</f>
        <v>Integration</v>
      </c>
      <c r="P49" s="37" t="str">
        <f aca="false">IF($M49="","",IFERROR(IF(INDEX(Settings!$B$41:$B$50,MATCH(O49,Settings!$A$41:$A$50,0))&amp;""="","UNMAPPED",INDEX(Settings!$B$41:$B$50,MATCH(O49,Settings!$A$41:$A$50,0))&amp;""),"UNMAPPED"))</f>
        <v>Integration</v>
      </c>
      <c r="Q49" s="38" t="n">
        <f aca="false">IF($M49="",0,N(INDEX($A49:$J49,$Q$6)))</f>
        <v>3890</v>
      </c>
      <c r="R49" s="39" t="n">
        <f aca="false">IF($M49="","",INDEX($A49:$J49,$R$6))</f>
        <v>46204</v>
      </c>
      <c r="S49" s="37" t="str">
        <f aca="false">IF($M49="","",IFERROR(INDEX(Settings!$B$27:$B$36,MATCH(L49,Settings!$A$27:$A$36,0))&amp;"","UNMAPPED"))</f>
        <v>Won</v>
      </c>
      <c r="T49" s="37" t="str">
        <f aca="false">IF($M49="","",IF(NOT(ISNUMBER(R49)),"NO DATE",IF(S49="Won",IF(R49&gt;Settings!$B$5,"Backlog","Delivered"),IF(S49="Open",IF(R49&gt;Settings!$B$5,"Pipeline","Overdue"),IF(S49="Lost","Lost","UNMAPPED")))))</f>
        <v>Delivered</v>
      </c>
      <c r="U49" s="40" t="n">
        <f aca="false">IF(T49="Backlog",1,IF(OR(T49="Pipeline",T49="Overdue"),N(INDEX(Settings!$C$27:$C$36,MATCH(L49,Settings!$A$27:$A$36,0))),0))</f>
        <v>0</v>
      </c>
      <c r="V49" s="38" t="n">
        <f aca="false">Q49*U49</f>
        <v>0</v>
      </c>
      <c r="W49" s="41" t="n">
        <f aca="false">IF($M49="","",IF(T49="Overdue",IF(Settings!$B$8="Yes",Settings!$B$7,""),IF(ISNUMBER(R49),DATE(YEAR(R49),MONTH(R49),1),"")))</f>
        <v>46204</v>
      </c>
      <c r="X49" s="38" t="n">
        <f aca="false">IF(AND(OR(T49="Backlog",T49="Pipeline",T49="Overdue"),ISNUMBER(W49)),IF(W49&lt;=Settings!$B$6,V49,0),0)</f>
        <v>0</v>
      </c>
      <c r="Y49" s="38" t="n">
        <f aca="false">IF(AND(OR(T49="Backlog",T49="Pipeline",T49="Overdue"),ISNUMBER(W49)),IF(W49&lt;=Settings!$B$6,Q49,0),0)</f>
        <v>0</v>
      </c>
      <c r="Z49" s="38" t="n">
        <f aca="false">IF(Y49=0,0,IF(T49="Backlog",Q49,Q49*Dashboard!$C$10))</f>
        <v>0</v>
      </c>
      <c r="AA49" s="37" t="n">
        <f aca="false">IF($N49="",0,IF(COUNTIF(Dashboard!$C$13:$C$22,$N49)&gt;0,1,0))</f>
        <v>0</v>
      </c>
      <c r="AB49" s="37" t="str">
        <f aca="false">IF($N49="","",IF(COUNTIF($N$8:$N49,$N49)=1,MAX($AB$7:$AB48)+1,""))</f>
        <v/>
      </c>
    </row>
    <row r="50" customFormat="false" ht="15" hidden="false" customHeight="false" outlineLevel="0" collapsed="false">
      <c r="B50" s="32" t="s">
        <v>261</v>
      </c>
      <c r="C50" s="32" t="s">
        <v>205</v>
      </c>
      <c r="D50" s="35" t="n">
        <v>16314</v>
      </c>
      <c r="E50" s="32" t="s">
        <v>262</v>
      </c>
      <c r="F50" s="36" t="n">
        <v>45968</v>
      </c>
      <c r="G50" s="32" t="s">
        <v>263</v>
      </c>
      <c r="L50" s="37" t="str">
        <f aca="false">IF(INDEX($A50:$J50,$L$6)&lt;&gt;"",TRIM(LEFT(INDEX($A50:$J50,$L$6),FIND("(",INDEX($A50:$J50,$L$6)&amp;"(")-1)),L49)</f>
        <v>Closed Won</v>
      </c>
      <c r="M50" s="37" t="str">
        <f aca="false">IF(INDEX($A50:$J50,$M$6)="","",INDEX($A50:$J50,$M$6)&amp;"")</f>
        <v>Deloitte Sydney – QQT – Installation of additional microphones in Level 45 Seminar Space</v>
      </c>
      <c r="N50" s="37" t="str">
        <f aca="false">IF($M50="","",TRIM(INDEX($A50:$J50,$N$6)&amp;""))</f>
        <v>Deloitte - Sydney</v>
      </c>
      <c r="O50" s="37" t="str">
        <f aca="false">IF($M50="","",TRIM(INDEX($A50:$J50,$O$6)&amp;""))</f>
        <v>Multi-Service</v>
      </c>
      <c r="P50" s="37" t="str">
        <f aca="false">IF($M50="","",IFERROR(IF(INDEX(Settings!$B$41:$B$50,MATCH(O50,Settings!$A$41:$A$50,0))&amp;""="","UNMAPPED",INDEX(Settings!$B$41:$B$50,MATCH(O50,Settings!$A$41:$A$50,0))&amp;""),"UNMAPPED"))</f>
        <v>Unallocated</v>
      </c>
      <c r="Q50" s="38" t="n">
        <f aca="false">IF($M50="",0,N(INDEX($A50:$J50,$Q$6)))</f>
        <v>16314</v>
      </c>
      <c r="R50" s="39" t="n">
        <f aca="false">IF($M50="","",INDEX($A50:$J50,$R$6))</f>
        <v>45968</v>
      </c>
      <c r="S50" s="37" t="str">
        <f aca="false">IF($M50="","",IFERROR(INDEX(Settings!$B$27:$B$36,MATCH(L50,Settings!$A$27:$A$36,0))&amp;"","UNMAPPED"))</f>
        <v>Won</v>
      </c>
      <c r="T50" s="37" t="str">
        <f aca="false">IF($M50="","",IF(NOT(ISNUMBER(R50)),"NO DATE",IF(S50="Won",IF(R50&gt;Settings!$B$5,"Backlog","Delivered"),IF(S50="Open",IF(R50&gt;Settings!$B$5,"Pipeline","Overdue"),IF(S50="Lost","Lost","UNMAPPED")))))</f>
        <v>Delivered</v>
      </c>
      <c r="U50" s="40" t="n">
        <f aca="false">IF(T50="Backlog",1,IF(OR(T50="Pipeline",T50="Overdue"),N(INDEX(Settings!$C$27:$C$36,MATCH(L50,Settings!$A$27:$A$36,0))),0))</f>
        <v>0</v>
      </c>
      <c r="V50" s="38" t="n">
        <f aca="false">Q50*U50</f>
        <v>0</v>
      </c>
      <c r="W50" s="41" t="n">
        <f aca="false">IF($M50="","",IF(T50="Overdue",IF(Settings!$B$8="Yes",Settings!$B$7,""),IF(ISNUMBER(R50),DATE(YEAR(R50),MONTH(R50),1),"")))</f>
        <v>45962</v>
      </c>
      <c r="X50" s="38" t="n">
        <f aca="false">IF(AND(OR(T50="Backlog",T50="Pipeline",T50="Overdue"),ISNUMBER(W50)),IF(W50&lt;=Settings!$B$6,V50,0),0)</f>
        <v>0</v>
      </c>
      <c r="Y50" s="38" t="n">
        <f aca="false">IF(AND(OR(T50="Backlog",T50="Pipeline",T50="Overdue"),ISNUMBER(W50)),IF(W50&lt;=Settings!$B$6,Q50,0),0)</f>
        <v>0</v>
      </c>
      <c r="Z50" s="38" t="n">
        <f aca="false">IF(Y50=0,0,IF(T50="Backlog",Q50,Q50*Dashboard!$C$10))</f>
        <v>0</v>
      </c>
      <c r="AA50" s="37" t="n">
        <f aca="false">IF($N50="",0,IF(COUNTIF(Dashboard!$C$13:$C$22,$N50)&gt;0,1,0))</f>
        <v>0</v>
      </c>
      <c r="AB50" s="37" t="str">
        <f aca="false">IF($N50="","",IF(COUNTIF($N$8:$N50,$N50)=1,MAX($AB$7:$AB49)+1,""))</f>
        <v/>
      </c>
    </row>
    <row r="51" customFormat="false" ht="15" hidden="false" customHeight="false" outlineLevel="0" collapsed="false">
      <c r="B51" s="32" t="s">
        <v>264</v>
      </c>
      <c r="C51" s="32" t="s">
        <v>154</v>
      </c>
      <c r="D51" s="35" t="n">
        <v>4535</v>
      </c>
      <c r="E51" s="32" t="s">
        <v>145</v>
      </c>
      <c r="F51" s="36" t="n">
        <v>46190</v>
      </c>
      <c r="G51" s="32" t="s">
        <v>265</v>
      </c>
      <c r="L51" s="37" t="str">
        <f aca="false">IF(INDEX($A51:$J51,$L$6)&lt;&gt;"",TRIM(LEFT(INDEX($A51:$J51,$L$6),FIND("(",INDEX($A51:$J51,$L$6)&amp;"(")-1)),L50)</f>
        <v>Closed Won</v>
      </c>
      <c r="M51" s="37" t="str">
        <f aca="false">IF(INDEX($A51:$J51,$M$6)="","",INDEX($A51:$J51,$M$6)&amp;"")</f>
        <v>PWC - Firmwide Webcast - 30.6.26</v>
      </c>
      <c r="N51" s="37" t="str">
        <f aca="false">IF($M51="","",TRIM(INDEX($A51:$J51,$N$6)&amp;""))</f>
        <v>PWC</v>
      </c>
      <c r="O51" s="37" t="str">
        <f aca="false">IF($M51="","",TRIM(INDEX($A51:$J51,$O$6)&amp;""))</f>
        <v>Event Production</v>
      </c>
      <c r="P51" s="37" t="str">
        <f aca="false">IF($M51="","",IFERROR(IF(INDEX(Settings!$B$41:$B$50,MATCH(O51,Settings!$A$41:$A$50,0))&amp;""="","UNMAPPED",INDEX(Settings!$B$41:$B$50,MATCH(O51,Settings!$A$41:$A$50,0))&amp;""),"UNMAPPED"))</f>
        <v>Production</v>
      </c>
      <c r="Q51" s="38" t="n">
        <f aca="false">IF($M51="",0,N(INDEX($A51:$J51,$Q$6)))</f>
        <v>4535</v>
      </c>
      <c r="R51" s="39" t="n">
        <f aca="false">IF($M51="","",INDEX($A51:$J51,$R$6))</f>
        <v>46190</v>
      </c>
      <c r="S51" s="37" t="str">
        <f aca="false">IF($M51="","",IFERROR(INDEX(Settings!$B$27:$B$36,MATCH(L51,Settings!$A$27:$A$36,0))&amp;"","UNMAPPED"))</f>
        <v>Won</v>
      </c>
      <c r="T51" s="37" t="str">
        <f aca="false">IF($M51="","",IF(NOT(ISNUMBER(R51)),"NO DATE",IF(S51="Won",IF(R51&gt;Settings!$B$5,"Backlog","Delivered"),IF(S51="Open",IF(R51&gt;Settings!$B$5,"Pipeline","Overdue"),IF(S51="Lost","Lost","UNMAPPED")))))</f>
        <v>Delivered</v>
      </c>
      <c r="U51" s="40" t="n">
        <f aca="false">IF(T51="Backlog",1,IF(OR(T51="Pipeline",T51="Overdue"),N(INDEX(Settings!$C$27:$C$36,MATCH(L51,Settings!$A$27:$A$36,0))),0))</f>
        <v>0</v>
      </c>
      <c r="V51" s="38" t="n">
        <f aca="false">Q51*U51</f>
        <v>0</v>
      </c>
      <c r="W51" s="41" t="n">
        <f aca="false">IF($M51="","",IF(T51="Overdue",IF(Settings!$B$8="Yes",Settings!$B$7,""),IF(ISNUMBER(R51),DATE(YEAR(R51),MONTH(R51),1),"")))</f>
        <v>46174</v>
      </c>
      <c r="X51" s="38" t="n">
        <f aca="false">IF(AND(OR(T51="Backlog",T51="Pipeline",T51="Overdue"),ISNUMBER(W51)),IF(W51&lt;=Settings!$B$6,V51,0),0)</f>
        <v>0</v>
      </c>
      <c r="Y51" s="38" t="n">
        <f aca="false">IF(AND(OR(T51="Backlog",T51="Pipeline",T51="Overdue"),ISNUMBER(W51)),IF(W51&lt;=Settings!$B$6,Q51,0),0)</f>
        <v>0</v>
      </c>
      <c r="Z51" s="38" t="n">
        <f aca="false">IF(Y51=0,0,IF(T51="Backlog",Q51,Q51*Dashboard!$C$10))</f>
        <v>0</v>
      </c>
      <c r="AA51" s="37" t="n">
        <f aca="false">IF($N51="",0,IF(COUNTIF(Dashboard!$C$13:$C$22,$N51)&gt;0,1,0))</f>
        <v>0</v>
      </c>
      <c r="AB51" s="37" t="str">
        <f aca="false">IF($N51="","",IF(COUNTIF($N$8:$N51,$N51)=1,MAX($AB$7:$AB50)+1,""))</f>
        <v/>
      </c>
    </row>
    <row r="52" customFormat="false" ht="15" hidden="false" customHeight="false" outlineLevel="0" collapsed="false">
      <c r="B52" s="32" t="s">
        <v>266</v>
      </c>
      <c r="C52" s="32" t="s">
        <v>267</v>
      </c>
      <c r="D52" s="35" t="n">
        <v>760</v>
      </c>
      <c r="E52" s="32" t="s">
        <v>145</v>
      </c>
      <c r="F52" s="36" t="n">
        <v>45973</v>
      </c>
      <c r="G52" s="32" t="s">
        <v>268</v>
      </c>
      <c r="L52" s="37" t="str">
        <f aca="false">IF(INDEX($A52:$J52,$L$6)&lt;&gt;"",TRIM(LEFT(INDEX($A52:$J52,$L$6),FIND("(",INDEX($A52:$J52,$L$6)&amp;"(")-1)),L51)</f>
        <v>Closed Won</v>
      </c>
      <c r="M52" s="37" t="str">
        <f aca="false">IF(INDEX($A52:$J52,$M$6)="","",INDEX($A52:$J52,$M$6)&amp;"")</f>
        <v>Dimensional Audio Op - 12 11 25</v>
      </c>
      <c r="N52" s="37" t="str">
        <f aca="false">IF($M52="","",TRIM(INDEX($A52:$J52,$N$6)&amp;""))</f>
        <v>Dimensional Fund Advisors</v>
      </c>
      <c r="O52" s="37" t="str">
        <f aca="false">IF($M52="","",TRIM(INDEX($A52:$J52,$O$6)&amp;""))</f>
        <v>Event Production</v>
      </c>
      <c r="P52" s="37" t="str">
        <f aca="false">IF($M52="","",IFERROR(IF(INDEX(Settings!$B$41:$B$50,MATCH(O52,Settings!$A$41:$A$50,0))&amp;""="","UNMAPPED",INDEX(Settings!$B$41:$B$50,MATCH(O52,Settings!$A$41:$A$50,0))&amp;""),"UNMAPPED"))</f>
        <v>Production</v>
      </c>
      <c r="Q52" s="38" t="n">
        <f aca="false">IF($M52="",0,N(INDEX($A52:$J52,$Q$6)))</f>
        <v>760</v>
      </c>
      <c r="R52" s="39" t="n">
        <f aca="false">IF($M52="","",INDEX($A52:$J52,$R$6))</f>
        <v>45973</v>
      </c>
      <c r="S52" s="37" t="str">
        <f aca="false">IF($M52="","",IFERROR(INDEX(Settings!$B$27:$B$36,MATCH(L52,Settings!$A$27:$A$36,0))&amp;"","UNMAPPED"))</f>
        <v>Won</v>
      </c>
      <c r="T52" s="37" t="str">
        <f aca="false">IF($M52="","",IF(NOT(ISNUMBER(R52)),"NO DATE",IF(S52="Won",IF(R52&gt;Settings!$B$5,"Backlog","Delivered"),IF(S52="Open",IF(R52&gt;Settings!$B$5,"Pipeline","Overdue"),IF(S52="Lost","Lost","UNMAPPED")))))</f>
        <v>Delivered</v>
      </c>
      <c r="U52" s="40" t="n">
        <f aca="false">IF(T52="Backlog",1,IF(OR(T52="Pipeline",T52="Overdue"),N(INDEX(Settings!$C$27:$C$36,MATCH(L52,Settings!$A$27:$A$36,0))),0))</f>
        <v>0</v>
      </c>
      <c r="V52" s="38" t="n">
        <f aca="false">Q52*U52</f>
        <v>0</v>
      </c>
      <c r="W52" s="41" t="n">
        <f aca="false">IF($M52="","",IF(T52="Overdue",IF(Settings!$B$8="Yes",Settings!$B$7,""),IF(ISNUMBER(R52),DATE(YEAR(R52),MONTH(R52),1),"")))</f>
        <v>45962</v>
      </c>
      <c r="X52" s="38" t="n">
        <f aca="false">IF(AND(OR(T52="Backlog",T52="Pipeline",T52="Overdue"),ISNUMBER(W52)),IF(W52&lt;=Settings!$B$6,V52,0),0)</f>
        <v>0</v>
      </c>
      <c r="Y52" s="38" t="n">
        <f aca="false">IF(AND(OR(T52="Backlog",T52="Pipeline",T52="Overdue"),ISNUMBER(W52)),IF(W52&lt;=Settings!$B$6,Q52,0),0)</f>
        <v>0</v>
      </c>
      <c r="Z52" s="38" t="n">
        <f aca="false">IF(Y52=0,0,IF(T52="Backlog",Q52,Q52*Dashboard!$C$10))</f>
        <v>0</v>
      </c>
      <c r="AA52" s="37" t="n">
        <f aca="false">IF($N52="",0,IF(COUNTIF(Dashboard!$C$13:$C$22,$N52)&gt;0,1,0))</f>
        <v>0</v>
      </c>
      <c r="AB52" s="37" t="n">
        <f aca="false">IF($N52="","",IF(COUNTIF($N$8:$N52,$N52)=1,MAX($AB$7:$AB51)+1,""))</f>
        <v>32</v>
      </c>
    </row>
    <row r="53" customFormat="false" ht="15" hidden="false" customHeight="false" outlineLevel="0" collapsed="false">
      <c r="B53" s="32" t="s">
        <v>269</v>
      </c>
      <c r="C53" s="32" t="s">
        <v>191</v>
      </c>
      <c r="D53" s="35" t="n">
        <v>10000</v>
      </c>
      <c r="E53" s="32" t="s">
        <v>262</v>
      </c>
      <c r="F53" s="36" t="n">
        <v>45961</v>
      </c>
      <c r="G53" s="32" t="s">
        <v>270</v>
      </c>
      <c r="L53" s="37" t="str">
        <f aca="false">IF(INDEX($A53:$J53,$L$6)&lt;&gt;"",TRIM(LEFT(INDEX($A53:$J53,$L$6),FIND("(",INDEX($A53:$J53,$L$6)&amp;"(")-1)),L52)</f>
        <v>Closed Won</v>
      </c>
      <c r="M53" s="37" t="str">
        <f aca="false">IF(INDEX($A53:$J53,$M$6)="","",INDEX($A53:$J53,$M$6)&amp;"")</f>
        <v>CBA Live Event Support - October 2025</v>
      </c>
      <c r="N53" s="37" t="str">
        <f aca="false">IF($M53="","",TRIM(INDEX($A53:$J53,$N$6)&amp;""))</f>
        <v>Commonwealth Bank Australia (CBA)</v>
      </c>
      <c r="O53" s="37" t="str">
        <f aca="false">IF($M53="","",TRIM(INDEX($A53:$J53,$O$6)&amp;""))</f>
        <v>Multi-Service</v>
      </c>
      <c r="P53" s="37" t="str">
        <f aca="false">IF($M53="","",IFERROR(IF(INDEX(Settings!$B$41:$B$50,MATCH(O53,Settings!$A$41:$A$50,0))&amp;""="","UNMAPPED",INDEX(Settings!$B$41:$B$50,MATCH(O53,Settings!$A$41:$A$50,0))&amp;""),"UNMAPPED"))</f>
        <v>Unallocated</v>
      </c>
      <c r="Q53" s="38" t="n">
        <f aca="false">IF($M53="",0,N(INDEX($A53:$J53,$Q$6)))</f>
        <v>10000</v>
      </c>
      <c r="R53" s="39" t="n">
        <f aca="false">IF($M53="","",INDEX($A53:$J53,$R$6))</f>
        <v>45961</v>
      </c>
      <c r="S53" s="37" t="str">
        <f aca="false">IF($M53="","",IFERROR(INDEX(Settings!$B$27:$B$36,MATCH(L53,Settings!$A$27:$A$36,0))&amp;"","UNMAPPED"))</f>
        <v>Won</v>
      </c>
      <c r="T53" s="37" t="str">
        <f aca="false">IF($M53="","",IF(NOT(ISNUMBER(R53)),"NO DATE",IF(S53="Won",IF(R53&gt;Settings!$B$5,"Backlog","Delivered"),IF(S53="Open",IF(R53&gt;Settings!$B$5,"Pipeline","Overdue"),IF(S53="Lost","Lost","UNMAPPED")))))</f>
        <v>Delivered</v>
      </c>
      <c r="U53" s="40" t="n">
        <f aca="false">IF(T53="Backlog",1,IF(OR(T53="Pipeline",T53="Overdue"),N(INDEX(Settings!$C$27:$C$36,MATCH(L53,Settings!$A$27:$A$36,0))),0))</f>
        <v>0</v>
      </c>
      <c r="V53" s="38" t="n">
        <f aca="false">Q53*U53</f>
        <v>0</v>
      </c>
      <c r="W53" s="41" t="n">
        <f aca="false">IF($M53="","",IF(T53="Overdue",IF(Settings!$B$8="Yes",Settings!$B$7,""),IF(ISNUMBER(R53),DATE(YEAR(R53),MONTH(R53),1),"")))</f>
        <v>45931</v>
      </c>
      <c r="X53" s="38" t="n">
        <f aca="false">IF(AND(OR(T53="Backlog",T53="Pipeline",T53="Overdue"),ISNUMBER(W53)),IF(W53&lt;=Settings!$B$6,V53,0),0)</f>
        <v>0</v>
      </c>
      <c r="Y53" s="38" t="n">
        <f aca="false">IF(AND(OR(T53="Backlog",T53="Pipeline",T53="Overdue"),ISNUMBER(W53)),IF(W53&lt;=Settings!$B$6,Q53,0),0)</f>
        <v>0</v>
      </c>
      <c r="Z53" s="38" t="n">
        <f aca="false">IF(Y53=0,0,IF(T53="Backlog",Q53,Q53*Dashboard!$C$10))</f>
        <v>0</v>
      </c>
      <c r="AA53" s="37" t="n">
        <f aca="false">IF($N53="",0,IF(COUNTIF(Dashboard!$C$13:$C$22,$N53)&gt;0,1,0))</f>
        <v>0</v>
      </c>
      <c r="AB53" s="37" t="str">
        <f aca="false">IF($N53="","",IF(COUNTIF($N$8:$N53,$N53)=1,MAX($AB$7:$AB52)+1,""))</f>
        <v/>
      </c>
    </row>
    <row r="54" customFormat="false" ht="15" hidden="false" customHeight="false" outlineLevel="0" collapsed="false">
      <c r="B54" s="32" t="s">
        <v>271</v>
      </c>
      <c r="C54" s="32" t="s">
        <v>222</v>
      </c>
      <c r="D54" s="35" t="n">
        <v>24414</v>
      </c>
      <c r="E54" s="32" t="s">
        <v>145</v>
      </c>
      <c r="F54" s="36" t="n">
        <v>46259</v>
      </c>
      <c r="G54" s="32" t="s">
        <v>272</v>
      </c>
      <c r="L54" s="37" t="str">
        <f aca="false">IF(INDEX($A54:$J54,$L$6)&lt;&gt;"",TRIM(LEFT(INDEX($A54:$J54,$L$6),FIND("(",INDEX($A54:$J54,$L$6)&amp;"(")-1)),L53)</f>
        <v>Closed Won</v>
      </c>
      <c r="M54" s="37" t="str">
        <f aca="false">IF(INDEX($A54:$J54,$M$6)="","",INDEX($A54:$J54,$M$6)&amp;"")</f>
        <v>Downer - FYR &amp; Employee Webcast - 25.8.26</v>
      </c>
      <c r="N54" s="37" t="str">
        <f aca="false">IF($M54="","",TRIM(INDEX($A54:$J54,$N$6)&amp;""))</f>
        <v>Downer EDI</v>
      </c>
      <c r="O54" s="37" t="str">
        <f aca="false">IF($M54="","",TRIM(INDEX($A54:$J54,$O$6)&amp;""))</f>
        <v>Event Production</v>
      </c>
      <c r="P54" s="37" t="str">
        <f aca="false">IF($M54="","",IFERROR(IF(INDEX(Settings!$B$41:$B$50,MATCH(O54,Settings!$A$41:$A$50,0))&amp;""="","UNMAPPED",INDEX(Settings!$B$41:$B$50,MATCH(O54,Settings!$A$41:$A$50,0))&amp;""),"UNMAPPED"))</f>
        <v>Production</v>
      </c>
      <c r="Q54" s="38" t="n">
        <f aca="false">IF($M54="",0,N(INDEX($A54:$J54,$Q$6)))</f>
        <v>24414</v>
      </c>
      <c r="R54" s="39" t="n">
        <f aca="false">IF($M54="","",INDEX($A54:$J54,$R$6))</f>
        <v>46259</v>
      </c>
      <c r="S54" s="37" t="str">
        <f aca="false">IF($M54="","",IFERROR(INDEX(Settings!$B$27:$B$36,MATCH(L54,Settings!$A$27:$A$36,0))&amp;"","UNMAPPED"))</f>
        <v>Won</v>
      </c>
      <c r="T54" s="37" t="str">
        <f aca="false">IF($M54="","",IF(NOT(ISNUMBER(R54)),"NO DATE",IF(S54="Won",IF(R54&gt;Settings!$B$5,"Backlog","Delivered"),IF(S54="Open",IF(R54&gt;Settings!$B$5,"Pipeline","Overdue"),IF(S54="Lost","Lost","UNMAPPED")))))</f>
        <v>Delivered</v>
      </c>
      <c r="U54" s="40" t="n">
        <f aca="false">IF(T54="Backlog",1,IF(OR(T54="Pipeline",T54="Overdue"),N(INDEX(Settings!$C$27:$C$36,MATCH(L54,Settings!$A$27:$A$36,0))),0))</f>
        <v>0</v>
      </c>
      <c r="V54" s="38" t="n">
        <f aca="false">Q54*U54</f>
        <v>0</v>
      </c>
      <c r="W54" s="41" t="n">
        <f aca="false">IF($M54="","",IF(T54="Overdue",IF(Settings!$B$8="Yes",Settings!$B$7,""),IF(ISNUMBER(R54),DATE(YEAR(R54),MONTH(R54),1),"")))</f>
        <v>46235</v>
      </c>
      <c r="X54" s="38" t="n">
        <f aca="false">IF(AND(OR(T54="Backlog",T54="Pipeline",T54="Overdue"),ISNUMBER(W54)),IF(W54&lt;=Settings!$B$6,V54,0),0)</f>
        <v>0</v>
      </c>
      <c r="Y54" s="38" t="n">
        <f aca="false">IF(AND(OR(T54="Backlog",T54="Pipeline",T54="Overdue"),ISNUMBER(W54)),IF(W54&lt;=Settings!$B$6,Q54,0),0)</f>
        <v>0</v>
      </c>
      <c r="Z54" s="38" t="n">
        <f aca="false">IF(Y54=0,0,IF(T54="Backlog",Q54,Q54*Dashboard!$C$10))</f>
        <v>0</v>
      </c>
      <c r="AA54" s="37" t="n">
        <f aca="false">IF($N54="",0,IF(COUNTIF(Dashboard!$C$13:$C$22,$N54)&gt;0,1,0))</f>
        <v>0</v>
      </c>
      <c r="AB54" s="37" t="str">
        <f aca="false">IF($N54="","",IF(COUNTIF($N$8:$N54,$N54)=1,MAX($AB$7:$AB53)+1,""))</f>
        <v/>
      </c>
    </row>
    <row r="55" customFormat="false" ht="15" hidden="false" customHeight="false" outlineLevel="0" collapsed="false">
      <c r="B55" s="32" t="s">
        <v>273</v>
      </c>
      <c r="C55" s="32" t="s">
        <v>191</v>
      </c>
      <c r="D55" s="35" t="n">
        <v>12000</v>
      </c>
      <c r="E55" s="32" t="s">
        <v>262</v>
      </c>
      <c r="F55" s="36" t="n">
        <v>45900</v>
      </c>
      <c r="G55" s="32" t="s">
        <v>274</v>
      </c>
      <c r="L55" s="37" t="str">
        <f aca="false">IF(INDEX($A55:$J55,$L$6)&lt;&gt;"",TRIM(LEFT(INDEX($A55:$J55,$L$6),FIND("(",INDEX($A55:$J55,$L$6)&amp;"(")-1)),L54)</f>
        <v>Closed Won</v>
      </c>
      <c r="M55" s="37" t="str">
        <f aca="false">IF(INDEX($A55:$J55,$M$6)="","",INDEX($A55:$J55,$M$6)&amp;"")</f>
        <v>CBA Live Event Support - August 2025</v>
      </c>
      <c r="N55" s="37" t="str">
        <f aca="false">IF($M55="","",TRIM(INDEX($A55:$J55,$N$6)&amp;""))</f>
        <v>Commonwealth Bank Australia (CBA)</v>
      </c>
      <c r="O55" s="37" t="str">
        <f aca="false">IF($M55="","",TRIM(INDEX($A55:$J55,$O$6)&amp;""))</f>
        <v>Multi-Service</v>
      </c>
      <c r="P55" s="37" t="str">
        <f aca="false">IF($M55="","",IFERROR(IF(INDEX(Settings!$B$41:$B$50,MATCH(O55,Settings!$A$41:$A$50,0))&amp;""="","UNMAPPED",INDEX(Settings!$B$41:$B$50,MATCH(O55,Settings!$A$41:$A$50,0))&amp;""),"UNMAPPED"))</f>
        <v>Unallocated</v>
      </c>
      <c r="Q55" s="38" t="n">
        <f aca="false">IF($M55="",0,N(INDEX($A55:$J55,$Q$6)))</f>
        <v>12000</v>
      </c>
      <c r="R55" s="39" t="n">
        <f aca="false">IF($M55="","",INDEX($A55:$J55,$R$6))</f>
        <v>45900</v>
      </c>
      <c r="S55" s="37" t="str">
        <f aca="false">IF($M55="","",IFERROR(INDEX(Settings!$B$27:$B$36,MATCH(L55,Settings!$A$27:$A$36,0))&amp;"","UNMAPPED"))</f>
        <v>Won</v>
      </c>
      <c r="T55" s="37" t="str">
        <f aca="false">IF($M55="","",IF(NOT(ISNUMBER(R55)),"NO DATE",IF(S55="Won",IF(R55&gt;Settings!$B$5,"Backlog","Delivered"),IF(S55="Open",IF(R55&gt;Settings!$B$5,"Pipeline","Overdue"),IF(S55="Lost","Lost","UNMAPPED")))))</f>
        <v>Delivered</v>
      </c>
      <c r="U55" s="40" t="n">
        <f aca="false">IF(T55="Backlog",1,IF(OR(T55="Pipeline",T55="Overdue"),N(INDEX(Settings!$C$27:$C$36,MATCH(L55,Settings!$A$27:$A$36,0))),0))</f>
        <v>0</v>
      </c>
      <c r="V55" s="38" t="n">
        <f aca="false">Q55*U55</f>
        <v>0</v>
      </c>
      <c r="W55" s="41" t="n">
        <f aca="false">IF($M55="","",IF(T55="Overdue",IF(Settings!$B$8="Yes",Settings!$B$7,""),IF(ISNUMBER(R55),DATE(YEAR(R55),MONTH(R55),1),"")))</f>
        <v>45870</v>
      </c>
      <c r="X55" s="38" t="n">
        <f aca="false">IF(AND(OR(T55="Backlog",T55="Pipeline",T55="Overdue"),ISNUMBER(W55)),IF(W55&lt;=Settings!$B$6,V55,0),0)</f>
        <v>0</v>
      </c>
      <c r="Y55" s="38" t="n">
        <f aca="false">IF(AND(OR(T55="Backlog",T55="Pipeline",T55="Overdue"),ISNUMBER(W55)),IF(W55&lt;=Settings!$B$6,Q55,0),0)</f>
        <v>0</v>
      </c>
      <c r="Z55" s="38" t="n">
        <f aca="false">IF(Y55=0,0,IF(T55="Backlog",Q55,Q55*Dashboard!$C$10))</f>
        <v>0</v>
      </c>
      <c r="AA55" s="37" t="n">
        <f aca="false">IF($N55="",0,IF(COUNTIF(Dashboard!$C$13:$C$22,$N55)&gt;0,1,0))</f>
        <v>0</v>
      </c>
      <c r="AB55" s="37" t="str">
        <f aca="false">IF($N55="","",IF(COUNTIF($N$8:$N55,$N55)=1,MAX($AB$7:$AB54)+1,""))</f>
        <v/>
      </c>
    </row>
    <row r="56" customFormat="false" ht="15" hidden="false" customHeight="false" outlineLevel="0" collapsed="false">
      <c r="B56" s="32" t="s">
        <v>275</v>
      </c>
      <c r="C56" s="32" t="s">
        <v>276</v>
      </c>
      <c r="D56" s="35" t="n">
        <v>665</v>
      </c>
      <c r="E56" s="32" t="s">
        <v>145</v>
      </c>
      <c r="F56" s="36" t="n">
        <v>46105</v>
      </c>
      <c r="G56" s="32" t="s">
        <v>277</v>
      </c>
      <c r="L56" s="37" t="str">
        <f aca="false">IF(INDEX($A56:$J56,$L$6)&lt;&gt;"",TRIM(LEFT(INDEX($A56:$J56,$L$6),FIND("(",INDEX($A56:$J56,$L$6)&amp;"(")-1)),L55)</f>
        <v>Closed Won</v>
      </c>
      <c r="M56" s="37" t="str">
        <f aca="false">IF(INDEX($A56:$J56,$M$6)="","",INDEX($A56:$J56,$M$6)&amp;"")</f>
        <v>Vega Global - Studio Support - 25.3.26</v>
      </c>
      <c r="N56" s="37" t="str">
        <f aca="false">IF($M56="","",TRIM(INDEX($A56:$J56,$N$6)&amp;""))</f>
        <v>Vega Global</v>
      </c>
      <c r="O56" s="37" t="str">
        <f aca="false">IF($M56="","",TRIM(INDEX($A56:$J56,$O$6)&amp;""))</f>
        <v>Event Production</v>
      </c>
      <c r="P56" s="37" t="str">
        <f aca="false">IF($M56="","",IFERROR(IF(INDEX(Settings!$B$41:$B$50,MATCH(O56,Settings!$A$41:$A$50,0))&amp;""="","UNMAPPED",INDEX(Settings!$B$41:$B$50,MATCH(O56,Settings!$A$41:$A$50,0))&amp;""),"UNMAPPED"))</f>
        <v>Production</v>
      </c>
      <c r="Q56" s="38" t="n">
        <f aca="false">IF($M56="",0,N(INDEX($A56:$J56,$Q$6)))</f>
        <v>665</v>
      </c>
      <c r="R56" s="39" t="n">
        <f aca="false">IF($M56="","",INDEX($A56:$J56,$R$6))</f>
        <v>46105</v>
      </c>
      <c r="S56" s="37" t="str">
        <f aca="false">IF($M56="","",IFERROR(INDEX(Settings!$B$27:$B$36,MATCH(L56,Settings!$A$27:$A$36,0))&amp;"","UNMAPPED"))</f>
        <v>Won</v>
      </c>
      <c r="T56" s="37" t="str">
        <f aca="false">IF($M56="","",IF(NOT(ISNUMBER(R56)),"NO DATE",IF(S56="Won",IF(R56&gt;Settings!$B$5,"Backlog","Delivered"),IF(S56="Open",IF(R56&gt;Settings!$B$5,"Pipeline","Overdue"),IF(S56="Lost","Lost","UNMAPPED")))))</f>
        <v>Delivered</v>
      </c>
      <c r="U56" s="40" t="n">
        <f aca="false">IF(T56="Backlog",1,IF(OR(T56="Pipeline",T56="Overdue"),N(INDEX(Settings!$C$27:$C$36,MATCH(L56,Settings!$A$27:$A$36,0))),0))</f>
        <v>0</v>
      </c>
      <c r="V56" s="38" t="n">
        <f aca="false">Q56*U56</f>
        <v>0</v>
      </c>
      <c r="W56" s="41" t="n">
        <f aca="false">IF($M56="","",IF(T56="Overdue",IF(Settings!$B$8="Yes",Settings!$B$7,""),IF(ISNUMBER(R56),DATE(YEAR(R56),MONTH(R56),1),"")))</f>
        <v>46082</v>
      </c>
      <c r="X56" s="38" t="n">
        <f aca="false">IF(AND(OR(T56="Backlog",T56="Pipeline",T56="Overdue"),ISNUMBER(W56)),IF(W56&lt;=Settings!$B$6,V56,0),0)</f>
        <v>0</v>
      </c>
      <c r="Y56" s="38" t="n">
        <f aca="false">IF(AND(OR(T56="Backlog",T56="Pipeline",T56="Overdue"),ISNUMBER(W56)),IF(W56&lt;=Settings!$B$6,Q56,0),0)</f>
        <v>0</v>
      </c>
      <c r="Z56" s="38" t="n">
        <f aca="false">IF(Y56=0,0,IF(T56="Backlog",Q56,Q56*Dashboard!$C$10))</f>
        <v>0</v>
      </c>
      <c r="AA56" s="37" t="n">
        <f aca="false">IF($N56="",0,IF(COUNTIF(Dashboard!$C$13:$C$22,$N56)&gt;0,1,0))</f>
        <v>0</v>
      </c>
      <c r="AB56" s="37" t="n">
        <f aca="false">IF($N56="","",IF(COUNTIF($N$8:$N56,$N56)=1,MAX($AB$7:$AB55)+1,""))</f>
        <v>33</v>
      </c>
    </row>
    <row r="57" customFormat="false" ht="15" hidden="false" customHeight="false" outlineLevel="0" collapsed="false">
      <c r="B57" s="32" t="s">
        <v>278</v>
      </c>
      <c r="C57" s="32" t="s">
        <v>154</v>
      </c>
      <c r="D57" s="35" t="n">
        <v>4880</v>
      </c>
      <c r="E57" s="32" t="s">
        <v>145</v>
      </c>
      <c r="F57" s="36" t="n">
        <v>45979</v>
      </c>
      <c r="G57" s="32" t="s">
        <v>279</v>
      </c>
      <c r="L57" s="37" t="str">
        <f aca="false">IF(INDEX($A57:$J57,$L$6)&lt;&gt;"",TRIM(LEFT(INDEX($A57:$J57,$L$6),FIND("(",INDEX($A57:$J57,$L$6)&amp;"(")-1)),L56)</f>
        <v>Closed Won</v>
      </c>
      <c r="M57" s="37" t="str">
        <f aca="false">IF(INDEX($A57:$J57,$M$6)="","",INDEX($A57:$J57,$M$6)&amp;"")</f>
        <v>PWC Tax Briefing 18.11.25</v>
      </c>
      <c r="N57" s="37" t="str">
        <f aca="false">IF($M57="","",TRIM(INDEX($A57:$J57,$N$6)&amp;""))</f>
        <v>PWC</v>
      </c>
      <c r="O57" s="37" t="str">
        <f aca="false">IF($M57="","",TRIM(INDEX($A57:$J57,$O$6)&amp;""))</f>
        <v>Event Production</v>
      </c>
      <c r="P57" s="37" t="str">
        <f aca="false">IF($M57="","",IFERROR(IF(INDEX(Settings!$B$41:$B$50,MATCH(O57,Settings!$A$41:$A$50,0))&amp;""="","UNMAPPED",INDEX(Settings!$B$41:$B$50,MATCH(O57,Settings!$A$41:$A$50,0))&amp;""),"UNMAPPED"))</f>
        <v>Production</v>
      </c>
      <c r="Q57" s="38" t="n">
        <f aca="false">IF($M57="",0,N(INDEX($A57:$J57,$Q$6)))</f>
        <v>4880</v>
      </c>
      <c r="R57" s="39" t="n">
        <f aca="false">IF($M57="","",INDEX($A57:$J57,$R$6))</f>
        <v>45979</v>
      </c>
      <c r="S57" s="37" t="str">
        <f aca="false">IF($M57="","",IFERROR(INDEX(Settings!$B$27:$B$36,MATCH(L57,Settings!$A$27:$A$36,0))&amp;"","UNMAPPED"))</f>
        <v>Won</v>
      </c>
      <c r="T57" s="37" t="str">
        <f aca="false">IF($M57="","",IF(NOT(ISNUMBER(R57)),"NO DATE",IF(S57="Won",IF(R57&gt;Settings!$B$5,"Backlog","Delivered"),IF(S57="Open",IF(R57&gt;Settings!$B$5,"Pipeline","Overdue"),IF(S57="Lost","Lost","UNMAPPED")))))</f>
        <v>Delivered</v>
      </c>
      <c r="U57" s="40" t="n">
        <f aca="false">IF(T57="Backlog",1,IF(OR(T57="Pipeline",T57="Overdue"),N(INDEX(Settings!$C$27:$C$36,MATCH(L57,Settings!$A$27:$A$36,0))),0))</f>
        <v>0</v>
      </c>
      <c r="V57" s="38" t="n">
        <f aca="false">Q57*U57</f>
        <v>0</v>
      </c>
      <c r="W57" s="41" t="n">
        <f aca="false">IF($M57="","",IF(T57="Overdue",IF(Settings!$B$8="Yes",Settings!$B$7,""),IF(ISNUMBER(R57),DATE(YEAR(R57),MONTH(R57),1),"")))</f>
        <v>45962</v>
      </c>
      <c r="X57" s="38" t="n">
        <f aca="false">IF(AND(OR(T57="Backlog",T57="Pipeline",T57="Overdue"),ISNUMBER(W57)),IF(W57&lt;=Settings!$B$6,V57,0),0)</f>
        <v>0</v>
      </c>
      <c r="Y57" s="38" t="n">
        <f aca="false">IF(AND(OR(T57="Backlog",T57="Pipeline",T57="Overdue"),ISNUMBER(W57)),IF(W57&lt;=Settings!$B$6,Q57,0),0)</f>
        <v>0</v>
      </c>
      <c r="Z57" s="38" t="n">
        <f aca="false">IF(Y57=0,0,IF(T57="Backlog",Q57,Q57*Dashboard!$C$10))</f>
        <v>0</v>
      </c>
      <c r="AA57" s="37" t="n">
        <f aca="false">IF($N57="",0,IF(COUNTIF(Dashboard!$C$13:$C$22,$N57)&gt;0,1,0))</f>
        <v>0</v>
      </c>
      <c r="AB57" s="37" t="str">
        <f aca="false">IF($N57="","",IF(COUNTIF($N$8:$N57,$N57)=1,MAX($AB$7:$AB56)+1,""))</f>
        <v/>
      </c>
    </row>
    <row r="58" customFormat="false" ht="15" hidden="false" customHeight="false" outlineLevel="0" collapsed="false">
      <c r="B58" s="32" t="s">
        <v>280</v>
      </c>
      <c r="C58" s="32" t="s">
        <v>281</v>
      </c>
      <c r="D58" s="35" t="n">
        <v>3261</v>
      </c>
      <c r="E58" s="32" t="s">
        <v>145</v>
      </c>
      <c r="F58" s="36" t="n">
        <v>46007</v>
      </c>
      <c r="G58" s="32" t="s">
        <v>282</v>
      </c>
      <c r="L58" s="37" t="str">
        <f aca="false">IF(INDEX($A58:$J58,$L$6)&lt;&gt;"",TRIM(LEFT(INDEX($A58:$J58,$L$6),FIND("(",INDEX($A58:$J58,$L$6)&amp;"(")-1)),L57)</f>
        <v>Closed Won</v>
      </c>
      <c r="M58" s="37" t="str">
        <f aca="false">IF(INDEX($A58:$J58,$M$6)="","",INDEX($A58:$J58,$M$6)&amp;"")</f>
        <v>RSNSW Ordinary General Meeting 5.8.26</v>
      </c>
      <c r="N58" s="37" t="str">
        <f aca="false">IF($M58="","",TRIM(INDEX($A58:$J58,$N$6)&amp;""))</f>
        <v>The Royal Society of New South Wales</v>
      </c>
      <c r="O58" s="37" t="str">
        <f aca="false">IF($M58="","",TRIM(INDEX($A58:$J58,$O$6)&amp;""))</f>
        <v>Event Production</v>
      </c>
      <c r="P58" s="37" t="str">
        <f aca="false">IF($M58="","",IFERROR(IF(INDEX(Settings!$B$41:$B$50,MATCH(O58,Settings!$A$41:$A$50,0))&amp;""="","UNMAPPED",INDEX(Settings!$B$41:$B$50,MATCH(O58,Settings!$A$41:$A$50,0))&amp;""),"UNMAPPED"))</f>
        <v>Production</v>
      </c>
      <c r="Q58" s="38" t="n">
        <f aca="false">IF($M58="",0,N(INDEX($A58:$J58,$Q$6)))</f>
        <v>3261</v>
      </c>
      <c r="R58" s="39" t="n">
        <f aca="false">IF($M58="","",INDEX($A58:$J58,$R$6))</f>
        <v>46007</v>
      </c>
      <c r="S58" s="37" t="str">
        <f aca="false">IF($M58="","",IFERROR(INDEX(Settings!$B$27:$B$36,MATCH(L58,Settings!$A$27:$A$36,0))&amp;"","UNMAPPED"))</f>
        <v>Won</v>
      </c>
      <c r="T58" s="37" t="str">
        <f aca="false">IF($M58="","",IF(NOT(ISNUMBER(R58)),"NO DATE",IF(S58="Won",IF(R58&gt;Settings!$B$5,"Backlog","Delivered"),IF(S58="Open",IF(R58&gt;Settings!$B$5,"Pipeline","Overdue"),IF(S58="Lost","Lost","UNMAPPED")))))</f>
        <v>Delivered</v>
      </c>
      <c r="U58" s="40" t="n">
        <f aca="false">IF(T58="Backlog",1,IF(OR(T58="Pipeline",T58="Overdue"),N(INDEX(Settings!$C$27:$C$36,MATCH(L58,Settings!$A$27:$A$36,0))),0))</f>
        <v>0</v>
      </c>
      <c r="V58" s="38" t="n">
        <f aca="false">Q58*U58</f>
        <v>0</v>
      </c>
      <c r="W58" s="41" t="n">
        <f aca="false">IF($M58="","",IF(T58="Overdue",IF(Settings!$B$8="Yes",Settings!$B$7,""),IF(ISNUMBER(R58),DATE(YEAR(R58),MONTH(R58),1),"")))</f>
        <v>45992</v>
      </c>
      <c r="X58" s="38" t="n">
        <f aca="false">IF(AND(OR(T58="Backlog",T58="Pipeline",T58="Overdue"),ISNUMBER(W58)),IF(W58&lt;=Settings!$B$6,V58,0),0)</f>
        <v>0</v>
      </c>
      <c r="Y58" s="38" t="n">
        <f aca="false">IF(AND(OR(T58="Backlog",T58="Pipeline",T58="Overdue"),ISNUMBER(W58)),IF(W58&lt;=Settings!$B$6,Q58,0),0)</f>
        <v>0</v>
      </c>
      <c r="Z58" s="38" t="n">
        <f aca="false">IF(Y58=0,0,IF(T58="Backlog",Q58,Q58*Dashboard!$C$10))</f>
        <v>0</v>
      </c>
      <c r="AA58" s="37" t="n">
        <f aca="false">IF($N58="",0,IF(COUNTIF(Dashboard!$C$13:$C$22,$N58)&gt;0,1,0))</f>
        <v>0</v>
      </c>
      <c r="AB58" s="37" t="n">
        <f aca="false">IF($N58="","",IF(COUNTIF($N$8:$N58,$N58)=1,MAX($AB$7:$AB57)+1,""))</f>
        <v>34</v>
      </c>
    </row>
    <row r="59" customFormat="false" ht="15" hidden="false" customHeight="false" outlineLevel="0" collapsed="false">
      <c r="B59" s="32" t="s">
        <v>283</v>
      </c>
      <c r="C59" s="32" t="s">
        <v>244</v>
      </c>
      <c r="D59" s="35" t="n">
        <v>3755</v>
      </c>
      <c r="E59" s="32" t="s">
        <v>173</v>
      </c>
      <c r="F59" s="36" t="n">
        <v>46080</v>
      </c>
      <c r="G59" s="32" t="s">
        <v>284</v>
      </c>
      <c r="L59" s="37" t="str">
        <f aca="false">IF(INDEX($A59:$J59,$L$6)&lt;&gt;"",TRIM(LEFT(INDEX($A59:$J59,$L$6),FIND("(",INDEX($A59:$J59,$L$6)&amp;"(")-1)),L58)</f>
        <v>Closed Won</v>
      </c>
      <c r="M59" s="37" t="str">
        <f aca="false">IF(INDEX($A59:$J59,$M$6)="","",INDEX($A59:$J59,$M$6)&amp;"")</f>
        <v>APA Young Eptura Visitor licence renewal (formerly ProxyClick)</v>
      </c>
      <c r="N59" s="37" t="str">
        <f aca="false">IF($M59="","",TRIM(INDEX($A59:$J59,$N$6)&amp;""))</f>
        <v>APA</v>
      </c>
      <c r="O59" s="37" t="str">
        <f aca="false">IF($M59="","",TRIM(INDEX($A59:$J59,$O$6)&amp;""))</f>
        <v>Consulting</v>
      </c>
      <c r="P59" s="37" t="str">
        <f aca="false">IF($M59="","",IFERROR(IF(INDEX(Settings!$B$41:$B$50,MATCH(O59,Settings!$A$41:$A$50,0))&amp;""="","UNMAPPED",INDEX(Settings!$B$41:$B$50,MATCH(O59,Settings!$A$41:$A$50,0))&amp;""),"UNMAPPED"))</f>
        <v>Consulting</v>
      </c>
      <c r="Q59" s="38" t="n">
        <f aca="false">IF($M59="",0,N(INDEX($A59:$J59,$Q$6)))</f>
        <v>3755</v>
      </c>
      <c r="R59" s="39" t="n">
        <f aca="false">IF($M59="","",INDEX($A59:$J59,$R$6))</f>
        <v>46080</v>
      </c>
      <c r="S59" s="37" t="str">
        <f aca="false">IF($M59="","",IFERROR(INDEX(Settings!$B$27:$B$36,MATCH(L59,Settings!$A$27:$A$36,0))&amp;"","UNMAPPED"))</f>
        <v>Won</v>
      </c>
      <c r="T59" s="37" t="str">
        <f aca="false">IF($M59="","",IF(NOT(ISNUMBER(R59)),"NO DATE",IF(S59="Won",IF(R59&gt;Settings!$B$5,"Backlog","Delivered"),IF(S59="Open",IF(R59&gt;Settings!$B$5,"Pipeline","Overdue"),IF(S59="Lost","Lost","UNMAPPED")))))</f>
        <v>Delivered</v>
      </c>
      <c r="U59" s="40" t="n">
        <f aca="false">IF(T59="Backlog",1,IF(OR(T59="Pipeline",T59="Overdue"),N(INDEX(Settings!$C$27:$C$36,MATCH(L59,Settings!$A$27:$A$36,0))),0))</f>
        <v>0</v>
      </c>
      <c r="V59" s="38" t="n">
        <f aca="false">Q59*U59</f>
        <v>0</v>
      </c>
      <c r="W59" s="41" t="n">
        <f aca="false">IF($M59="","",IF(T59="Overdue",IF(Settings!$B$8="Yes",Settings!$B$7,""),IF(ISNUMBER(R59),DATE(YEAR(R59),MONTH(R59),1),"")))</f>
        <v>46054</v>
      </c>
      <c r="X59" s="38" t="n">
        <f aca="false">IF(AND(OR(T59="Backlog",T59="Pipeline",T59="Overdue"),ISNUMBER(W59)),IF(W59&lt;=Settings!$B$6,V59,0),0)</f>
        <v>0</v>
      </c>
      <c r="Y59" s="38" t="n">
        <f aca="false">IF(AND(OR(T59="Backlog",T59="Pipeline",T59="Overdue"),ISNUMBER(W59)),IF(W59&lt;=Settings!$B$6,Q59,0),0)</f>
        <v>0</v>
      </c>
      <c r="Z59" s="38" t="n">
        <f aca="false">IF(Y59=0,0,IF(T59="Backlog",Q59,Q59*Dashboard!$C$10))</f>
        <v>0</v>
      </c>
      <c r="AA59" s="37" t="n">
        <f aca="false">IF($N59="",0,IF(COUNTIF(Dashboard!$C$13:$C$22,$N59)&gt;0,1,0))</f>
        <v>0</v>
      </c>
      <c r="AB59" s="37" t="str">
        <f aca="false">IF($N59="","",IF(COUNTIF($N$8:$N59,$N59)=1,MAX($AB$7:$AB58)+1,""))</f>
        <v/>
      </c>
    </row>
    <row r="60" customFormat="false" ht="15" hidden="false" customHeight="false" outlineLevel="0" collapsed="false">
      <c r="B60" s="32" t="s">
        <v>285</v>
      </c>
      <c r="C60" s="32" t="s">
        <v>217</v>
      </c>
      <c r="D60" s="35" t="n">
        <v>427</v>
      </c>
      <c r="E60" s="32" t="s">
        <v>145</v>
      </c>
      <c r="F60" s="36" t="n">
        <v>45876</v>
      </c>
      <c r="G60" s="32" t="s">
        <v>286</v>
      </c>
      <c r="L60" s="37" t="str">
        <f aca="false">IF(INDEX($A60:$J60,$L$6)&lt;&gt;"",TRIM(LEFT(INDEX($A60:$J60,$L$6),FIND("(",INDEX($A60:$J60,$L$6)&amp;"(")-1)),L59)</f>
        <v>Closed Won</v>
      </c>
      <c r="M60" s="37" t="str">
        <f aca="false">IF(INDEX($A60:$J60,$M$6)="","",INDEX($A60:$J60,$M$6)&amp;"")</f>
        <v>Garvan - Art of Disc Tech 7.8.25</v>
      </c>
      <c r="N60" s="37" t="str">
        <f aca="false">IF($M60="","",TRIM(INDEX($A60:$J60,$N$6)&amp;""))</f>
        <v>Garvan Institute of Medical Research</v>
      </c>
      <c r="O60" s="37" t="str">
        <f aca="false">IF($M60="","",TRIM(INDEX($A60:$J60,$O$6)&amp;""))</f>
        <v>Event Production</v>
      </c>
      <c r="P60" s="37" t="str">
        <f aca="false">IF($M60="","",IFERROR(IF(INDEX(Settings!$B$41:$B$50,MATCH(O60,Settings!$A$41:$A$50,0))&amp;""="","UNMAPPED",INDEX(Settings!$B$41:$B$50,MATCH(O60,Settings!$A$41:$A$50,0))&amp;""),"UNMAPPED"))</f>
        <v>Production</v>
      </c>
      <c r="Q60" s="38" t="n">
        <f aca="false">IF($M60="",0,N(INDEX($A60:$J60,$Q$6)))</f>
        <v>427</v>
      </c>
      <c r="R60" s="39" t="n">
        <f aca="false">IF($M60="","",INDEX($A60:$J60,$R$6))</f>
        <v>45876</v>
      </c>
      <c r="S60" s="37" t="str">
        <f aca="false">IF($M60="","",IFERROR(INDEX(Settings!$B$27:$B$36,MATCH(L60,Settings!$A$27:$A$36,0))&amp;"","UNMAPPED"))</f>
        <v>Won</v>
      </c>
      <c r="T60" s="37" t="str">
        <f aca="false">IF($M60="","",IF(NOT(ISNUMBER(R60)),"NO DATE",IF(S60="Won",IF(R60&gt;Settings!$B$5,"Backlog","Delivered"),IF(S60="Open",IF(R60&gt;Settings!$B$5,"Pipeline","Overdue"),IF(S60="Lost","Lost","UNMAPPED")))))</f>
        <v>Delivered</v>
      </c>
      <c r="U60" s="40" t="n">
        <f aca="false">IF(T60="Backlog",1,IF(OR(T60="Pipeline",T60="Overdue"),N(INDEX(Settings!$C$27:$C$36,MATCH(L60,Settings!$A$27:$A$36,0))),0))</f>
        <v>0</v>
      </c>
      <c r="V60" s="38" t="n">
        <f aca="false">Q60*U60</f>
        <v>0</v>
      </c>
      <c r="W60" s="41" t="n">
        <f aca="false">IF($M60="","",IF(T60="Overdue",IF(Settings!$B$8="Yes",Settings!$B$7,""),IF(ISNUMBER(R60),DATE(YEAR(R60),MONTH(R60),1),"")))</f>
        <v>45870</v>
      </c>
      <c r="X60" s="38" t="n">
        <f aca="false">IF(AND(OR(T60="Backlog",T60="Pipeline",T60="Overdue"),ISNUMBER(W60)),IF(W60&lt;=Settings!$B$6,V60,0),0)</f>
        <v>0</v>
      </c>
      <c r="Y60" s="38" t="n">
        <f aca="false">IF(AND(OR(T60="Backlog",T60="Pipeline",T60="Overdue"),ISNUMBER(W60)),IF(W60&lt;=Settings!$B$6,Q60,0),0)</f>
        <v>0</v>
      </c>
      <c r="Z60" s="38" t="n">
        <f aca="false">IF(Y60=0,0,IF(T60="Backlog",Q60,Q60*Dashboard!$C$10))</f>
        <v>0</v>
      </c>
      <c r="AA60" s="37" t="n">
        <f aca="false">IF($N60="",0,IF(COUNTIF(Dashboard!$C$13:$C$22,$N60)&gt;0,1,0))</f>
        <v>0</v>
      </c>
      <c r="AB60" s="37" t="str">
        <f aca="false">IF($N60="","",IF(COUNTIF($N$8:$N60,$N60)=1,MAX($AB$7:$AB59)+1,""))</f>
        <v/>
      </c>
    </row>
    <row r="61" customFormat="false" ht="15" hidden="false" customHeight="false" outlineLevel="0" collapsed="false">
      <c r="B61" s="32" t="s">
        <v>287</v>
      </c>
      <c r="C61" s="32" t="s">
        <v>222</v>
      </c>
      <c r="D61" s="35" t="n">
        <v>11644</v>
      </c>
      <c r="E61" s="32" t="s">
        <v>145</v>
      </c>
      <c r="F61" s="36" t="n">
        <v>46247</v>
      </c>
      <c r="G61" s="32" t="s">
        <v>288</v>
      </c>
      <c r="L61" s="37" t="str">
        <f aca="false">IF(INDEX($A61:$J61,$L$6)&lt;&gt;"",TRIM(LEFT(INDEX($A61:$J61,$L$6),FIND("(",INDEX($A61:$J61,$L$6)&amp;"(")-1)),L60)</f>
        <v>Closed Won</v>
      </c>
      <c r="M61" s="37" t="str">
        <f aca="false">IF(INDEX($A61:$J61,$M$6)="","",INDEX($A61:$J61,$M$6)&amp;"")</f>
        <v>Downer - FYR26 - 20.8.26</v>
      </c>
      <c r="N61" s="37" t="str">
        <f aca="false">IF($M61="","",TRIM(INDEX($A61:$J61,$N$6)&amp;""))</f>
        <v>Downer EDI</v>
      </c>
      <c r="O61" s="37" t="str">
        <f aca="false">IF($M61="","",TRIM(INDEX($A61:$J61,$O$6)&amp;""))</f>
        <v>Event Production</v>
      </c>
      <c r="P61" s="37" t="str">
        <f aca="false">IF($M61="","",IFERROR(IF(INDEX(Settings!$B$41:$B$50,MATCH(O61,Settings!$A$41:$A$50,0))&amp;""="","UNMAPPED",INDEX(Settings!$B$41:$B$50,MATCH(O61,Settings!$A$41:$A$50,0))&amp;""),"UNMAPPED"))</f>
        <v>Production</v>
      </c>
      <c r="Q61" s="38" t="n">
        <f aca="false">IF($M61="",0,N(INDEX($A61:$J61,$Q$6)))</f>
        <v>11644</v>
      </c>
      <c r="R61" s="39" t="n">
        <f aca="false">IF($M61="","",INDEX($A61:$J61,$R$6))</f>
        <v>46247</v>
      </c>
      <c r="S61" s="37" t="str">
        <f aca="false">IF($M61="","",IFERROR(INDEX(Settings!$B$27:$B$36,MATCH(L61,Settings!$A$27:$A$36,0))&amp;"","UNMAPPED"))</f>
        <v>Won</v>
      </c>
      <c r="T61" s="37" t="str">
        <f aca="false">IF($M61="","",IF(NOT(ISNUMBER(R61)),"NO DATE",IF(S61="Won",IF(R61&gt;Settings!$B$5,"Backlog","Delivered"),IF(S61="Open",IF(R61&gt;Settings!$B$5,"Pipeline","Overdue"),IF(S61="Lost","Lost","UNMAPPED")))))</f>
        <v>Delivered</v>
      </c>
      <c r="U61" s="40" t="n">
        <f aca="false">IF(T61="Backlog",1,IF(OR(T61="Pipeline",T61="Overdue"),N(INDEX(Settings!$C$27:$C$36,MATCH(L61,Settings!$A$27:$A$36,0))),0))</f>
        <v>0</v>
      </c>
      <c r="V61" s="38" t="n">
        <f aca="false">Q61*U61</f>
        <v>0</v>
      </c>
      <c r="W61" s="41" t="n">
        <f aca="false">IF($M61="","",IF(T61="Overdue",IF(Settings!$B$8="Yes",Settings!$B$7,""),IF(ISNUMBER(R61),DATE(YEAR(R61),MONTH(R61),1),"")))</f>
        <v>46235</v>
      </c>
      <c r="X61" s="38" t="n">
        <f aca="false">IF(AND(OR(T61="Backlog",T61="Pipeline",T61="Overdue"),ISNUMBER(W61)),IF(W61&lt;=Settings!$B$6,V61,0),0)</f>
        <v>0</v>
      </c>
      <c r="Y61" s="38" t="n">
        <f aca="false">IF(AND(OR(T61="Backlog",T61="Pipeline",T61="Overdue"),ISNUMBER(W61)),IF(W61&lt;=Settings!$B$6,Q61,0),0)</f>
        <v>0</v>
      </c>
      <c r="Z61" s="38" t="n">
        <f aca="false">IF(Y61=0,0,IF(T61="Backlog",Q61,Q61*Dashboard!$C$10))</f>
        <v>0</v>
      </c>
      <c r="AA61" s="37" t="n">
        <f aca="false">IF($N61="",0,IF(COUNTIF(Dashboard!$C$13:$C$22,$N61)&gt;0,1,0))</f>
        <v>0</v>
      </c>
      <c r="AB61" s="37" t="str">
        <f aca="false">IF($N61="","",IF(COUNTIF($N$8:$N61,$N61)=1,MAX($AB$7:$AB60)+1,""))</f>
        <v/>
      </c>
    </row>
    <row r="62" customFormat="false" ht="15" hidden="false" customHeight="false" outlineLevel="0" collapsed="false">
      <c r="B62" s="32" t="s">
        <v>289</v>
      </c>
      <c r="C62" s="32" t="s">
        <v>290</v>
      </c>
      <c r="D62" s="35" t="n">
        <v>2030</v>
      </c>
      <c r="E62" s="32" t="s">
        <v>173</v>
      </c>
      <c r="F62" s="36" t="n">
        <v>45898</v>
      </c>
      <c r="G62" s="32" t="s">
        <v>291</v>
      </c>
      <c r="L62" s="37" t="str">
        <f aca="false">IF(INDEX($A62:$J62,$L$6)&lt;&gt;"",TRIM(LEFT(INDEX($A62:$J62,$L$6),FIND("(",INDEX($A62:$J62,$L$6)&amp;"(")-1)),L61)</f>
        <v>Closed Won</v>
      </c>
      <c r="M62" s="37" t="str">
        <f aca="false">IF(INDEX($A62:$J62,$M$6)="","",INDEX($A62:$J62,$M$6)&amp;"")</f>
        <v>Boardroom Acoustic Testing</v>
      </c>
      <c r="N62" s="37" t="str">
        <f aca="false">IF($M62="","",TRIM(INDEX($A62:$J62,$N$6)&amp;""))</f>
        <v>Remondis</v>
      </c>
      <c r="O62" s="37" t="str">
        <f aca="false">IF($M62="","",TRIM(INDEX($A62:$J62,$O$6)&amp;""))</f>
        <v>Consulting</v>
      </c>
      <c r="P62" s="37" t="str">
        <f aca="false">IF($M62="","",IFERROR(IF(INDEX(Settings!$B$41:$B$50,MATCH(O62,Settings!$A$41:$A$50,0))&amp;""="","UNMAPPED",INDEX(Settings!$B$41:$B$50,MATCH(O62,Settings!$A$41:$A$50,0))&amp;""),"UNMAPPED"))</f>
        <v>Consulting</v>
      </c>
      <c r="Q62" s="38" t="n">
        <f aca="false">IF($M62="",0,N(INDEX($A62:$J62,$Q$6)))</f>
        <v>2030</v>
      </c>
      <c r="R62" s="39" t="n">
        <f aca="false">IF($M62="","",INDEX($A62:$J62,$R$6))</f>
        <v>45898</v>
      </c>
      <c r="S62" s="37" t="str">
        <f aca="false">IF($M62="","",IFERROR(INDEX(Settings!$B$27:$B$36,MATCH(L62,Settings!$A$27:$A$36,0))&amp;"","UNMAPPED"))</f>
        <v>Won</v>
      </c>
      <c r="T62" s="37" t="str">
        <f aca="false">IF($M62="","",IF(NOT(ISNUMBER(R62)),"NO DATE",IF(S62="Won",IF(R62&gt;Settings!$B$5,"Backlog","Delivered"),IF(S62="Open",IF(R62&gt;Settings!$B$5,"Pipeline","Overdue"),IF(S62="Lost","Lost","UNMAPPED")))))</f>
        <v>Delivered</v>
      </c>
      <c r="U62" s="40" t="n">
        <f aca="false">IF(T62="Backlog",1,IF(OR(T62="Pipeline",T62="Overdue"),N(INDEX(Settings!$C$27:$C$36,MATCH(L62,Settings!$A$27:$A$36,0))),0))</f>
        <v>0</v>
      </c>
      <c r="V62" s="38" t="n">
        <f aca="false">Q62*U62</f>
        <v>0</v>
      </c>
      <c r="W62" s="41" t="n">
        <f aca="false">IF($M62="","",IF(T62="Overdue",IF(Settings!$B$8="Yes",Settings!$B$7,""),IF(ISNUMBER(R62),DATE(YEAR(R62),MONTH(R62),1),"")))</f>
        <v>45870</v>
      </c>
      <c r="X62" s="38" t="n">
        <f aca="false">IF(AND(OR(T62="Backlog",T62="Pipeline",T62="Overdue"),ISNUMBER(W62)),IF(W62&lt;=Settings!$B$6,V62,0),0)</f>
        <v>0</v>
      </c>
      <c r="Y62" s="38" t="n">
        <f aca="false">IF(AND(OR(T62="Backlog",T62="Pipeline",T62="Overdue"),ISNUMBER(W62)),IF(W62&lt;=Settings!$B$6,Q62,0),0)</f>
        <v>0</v>
      </c>
      <c r="Z62" s="38" t="n">
        <f aca="false">IF(Y62=0,0,IF(T62="Backlog",Q62,Q62*Dashboard!$C$10))</f>
        <v>0</v>
      </c>
      <c r="AA62" s="37" t="n">
        <f aca="false">IF($N62="",0,IF(COUNTIF(Dashboard!$C$13:$C$22,$N62)&gt;0,1,0))</f>
        <v>0</v>
      </c>
      <c r="AB62" s="37" t="n">
        <f aca="false">IF($N62="","",IF(COUNTIF($N$8:$N62,$N62)=1,MAX($AB$7:$AB61)+1,""))</f>
        <v>35</v>
      </c>
    </row>
    <row r="63" customFormat="false" ht="15" hidden="false" customHeight="false" outlineLevel="0" collapsed="false">
      <c r="B63" s="32" t="s">
        <v>292</v>
      </c>
      <c r="C63" s="32" t="s">
        <v>293</v>
      </c>
      <c r="D63" s="35" t="n">
        <v>12587</v>
      </c>
      <c r="E63" s="32" t="s">
        <v>145</v>
      </c>
      <c r="F63" s="36" t="n">
        <v>46219</v>
      </c>
      <c r="G63" s="32" t="s">
        <v>294</v>
      </c>
      <c r="L63" s="37" t="str">
        <f aca="false">IF(INDEX($A63:$J63,$L$6)&lt;&gt;"",TRIM(LEFT(INDEX($A63:$J63,$L$6),FIND("(",INDEX($A63:$J63,$L$6)&amp;"(")-1)),L62)</f>
        <v>Closed Won</v>
      </c>
      <c r="M63" s="37" t="str">
        <f aca="false">IF(INDEX($A63:$J63,$M$6)="","",INDEX($A63:$J63,$M$6)&amp;"")</f>
        <v>Microsoft - Microsoft Town Hall - 21.7.26</v>
      </c>
      <c r="N63" s="37" t="str">
        <f aca="false">IF($M63="","",TRIM(INDEX($A63:$J63,$N$6)&amp;""))</f>
        <v>Microsoft</v>
      </c>
      <c r="O63" s="37" t="str">
        <f aca="false">IF($M63="","",TRIM(INDEX($A63:$J63,$O$6)&amp;""))</f>
        <v>Event Production</v>
      </c>
      <c r="P63" s="37" t="str">
        <f aca="false">IF($M63="","",IFERROR(IF(INDEX(Settings!$B$41:$B$50,MATCH(O63,Settings!$A$41:$A$50,0))&amp;""="","UNMAPPED",INDEX(Settings!$B$41:$B$50,MATCH(O63,Settings!$A$41:$A$50,0))&amp;""),"UNMAPPED"))</f>
        <v>Production</v>
      </c>
      <c r="Q63" s="38" t="n">
        <f aca="false">IF($M63="",0,N(INDEX($A63:$J63,$Q$6)))</f>
        <v>12587</v>
      </c>
      <c r="R63" s="39" t="n">
        <f aca="false">IF($M63="","",INDEX($A63:$J63,$R$6))</f>
        <v>46219</v>
      </c>
      <c r="S63" s="37" t="str">
        <f aca="false">IF($M63="","",IFERROR(INDEX(Settings!$B$27:$B$36,MATCH(L63,Settings!$A$27:$A$36,0))&amp;"","UNMAPPED"))</f>
        <v>Won</v>
      </c>
      <c r="T63" s="37" t="str">
        <f aca="false">IF($M63="","",IF(NOT(ISNUMBER(R63)),"NO DATE",IF(S63="Won",IF(R63&gt;Settings!$B$5,"Backlog","Delivered"),IF(S63="Open",IF(R63&gt;Settings!$B$5,"Pipeline","Overdue"),IF(S63="Lost","Lost","UNMAPPED")))))</f>
        <v>Delivered</v>
      </c>
      <c r="U63" s="40" t="n">
        <f aca="false">IF(T63="Backlog",1,IF(OR(T63="Pipeline",T63="Overdue"),N(INDEX(Settings!$C$27:$C$36,MATCH(L63,Settings!$A$27:$A$36,0))),0))</f>
        <v>0</v>
      </c>
      <c r="V63" s="38" t="n">
        <f aca="false">Q63*U63</f>
        <v>0</v>
      </c>
      <c r="W63" s="41" t="n">
        <f aca="false">IF($M63="","",IF(T63="Overdue",IF(Settings!$B$8="Yes",Settings!$B$7,""),IF(ISNUMBER(R63),DATE(YEAR(R63),MONTH(R63),1),"")))</f>
        <v>46204</v>
      </c>
      <c r="X63" s="38" t="n">
        <f aca="false">IF(AND(OR(T63="Backlog",T63="Pipeline",T63="Overdue"),ISNUMBER(W63)),IF(W63&lt;=Settings!$B$6,V63,0),0)</f>
        <v>0</v>
      </c>
      <c r="Y63" s="38" t="n">
        <f aca="false">IF(AND(OR(T63="Backlog",T63="Pipeline",T63="Overdue"),ISNUMBER(W63)),IF(W63&lt;=Settings!$B$6,Q63,0),0)</f>
        <v>0</v>
      </c>
      <c r="Z63" s="38" t="n">
        <f aca="false">IF(Y63=0,0,IF(T63="Backlog",Q63,Q63*Dashboard!$C$10))</f>
        <v>0</v>
      </c>
      <c r="AA63" s="37" t="n">
        <f aca="false">IF($N63="",0,IF(COUNTIF(Dashboard!$C$13:$C$22,$N63)&gt;0,1,0))</f>
        <v>0</v>
      </c>
      <c r="AB63" s="37" t="n">
        <f aca="false">IF($N63="","",IF(COUNTIF($N$8:$N63,$N63)=1,MAX($AB$7:$AB62)+1,""))</f>
        <v>36</v>
      </c>
    </row>
    <row r="64" customFormat="false" ht="15" hidden="false" customHeight="false" outlineLevel="0" collapsed="false">
      <c r="B64" s="32" t="s">
        <v>295</v>
      </c>
      <c r="C64" s="32" t="s">
        <v>183</v>
      </c>
      <c r="D64" s="35" t="n">
        <v>5046</v>
      </c>
      <c r="E64" s="32" t="s">
        <v>145</v>
      </c>
      <c r="F64" s="36" t="n">
        <v>45938</v>
      </c>
      <c r="G64" s="32" t="s">
        <v>296</v>
      </c>
      <c r="L64" s="37" t="str">
        <f aca="false">IF(INDEX($A64:$J64,$L$6)&lt;&gt;"",TRIM(LEFT(INDEX($A64:$J64,$L$6),FIND("(",INDEX($A64:$J64,$L$6)&amp;"(")-1)),L63)</f>
        <v>Closed Won</v>
      </c>
      <c r="M64" s="37" t="str">
        <f aca="false">IF(INDEX($A64:$J64,$M$6)="","",INDEX($A64:$J64,$M$6)&amp;"")</f>
        <v>Redox AGM - 8.10.25</v>
      </c>
      <c r="N64" s="37" t="str">
        <f aca="false">IF($M64="","",TRIM(INDEX($A64:$J64,$N$6)&amp;""))</f>
        <v>Chorus Call</v>
      </c>
      <c r="O64" s="37" t="str">
        <f aca="false">IF($M64="","",TRIM(INDEX($A64:$J64,$O$6)&amp;""))</f>
        <v>Event Production</v>
      </c>
      <c r="P64" s="37" t="str">
        <f aca="false">IF($M64="","",IFERROR(IF(INDEX(Settings!$B$41:$B$50,MATCH(O64,Settings!$A$41:$A$50,0))&amp;""="","UNMAPPED",INDEX(Settings!$B$41:$B$50,MATCH(O64,Settings!$A$41:$A$50,0))&amp;""),"UNMAPPED"))</f>
        <v>Production</v>
      </c>
      <c r="Q64" s="38" t="n">
        <f aca="false">IF($M64="",0,N(INDEX($A64:$J64,$Q$6)))</f>
        <v>5046</v>
      </c>
      <c r="R64" s="39" t="n">
        <f aca="false">IF($M64="","",INDEX($A64:$J64,$R$6))</f>
        <v>45938</v>
      </c>
      <c r="S64" s="37" t="str">
        <f aca="false">IF($M64="","",IFERROR(INDEX(Settings!$B$27:$B$36,MATCH(L64,Settings!$A$27:$A$36,0))&amp;"","UNMAPPED"))</f>
        <v>Won</v>
      </c>
      <c r="T64" s="37" t="str">
        <f aca="false">IF($M64="","",IF(NOT(ISNUMBER(R64)),"NO DATE",IF(S64="Won",IF(R64&gt;Settings!$B$5,"Backlog","Delivered"),IF(S64="Open",IF(R64&gt;Settings!$B$5,"Pipeline","Overdue"),IF(S64="Lost","Lost","UNMAPPED")))))</f>
        <v>Delivered</v>
      </c>
      <c r="U64" s="40" t="n">
        <f aca="false">IF(T64="Backlog",1,IF(OR(T64="Pipeline",T64="Overdue"),N(INDEX(Settings!$C$27:$C$36,MATCH(L64,Settings!$A$27:$A$36,0))),0))</f>
        <v>0</v>
      </c>
      <c r="V64" s="38" t="n">
        <f aca="false">Q64*U64</f>
        <v>0</v>
      </c>
      <c r="W64" s="41" t="n">
        <f aca="false">IF($M64="","",IF(T64="Overdue",IF(Settings!$B$8="Yes",Settings!$B$7,""),IF(ISNUMBER(R64),DATE(YEAR(R64),MONTH(R64),1),"")))</f>
        <v>45931</v>
      </c>
      <c r="X64" s="38" t="n">
        <f aca="false">IF(AND(OR(T64="Backlog",T64="Pipeline",T64="Overdue"),ISNUMBER(W64)),IF(W64&lt;=Settings!$B$6,V64,0),0)</f>
        <v>0</v>
      </c>
      <c r="Y64" s="38" t="n">
        <f aca="false">IF(AND(OR(T64="Backlog",T64="Pipeline",T64="Overdue"),ISNUMBER(W64)),IF(W64&lt;=Settings!$B$6,Q64,0),0)</f>
        <v>0</v>
      </c>
      <c r="Z64" s="38" t="n">
        <f aca="false">IF(Y64=0,0,IF(T64="Backlog",Q64,Q64*Dashboard!$C$10))</f>
        <v>0</v>
      </c>
      <c r="AA64" s="37" t="n">
        <f aca="false">IF($N64="",0,IF(COUNTIF(Dashboard!$C$13:$C$22,$N64)&gt;0,1,0))</f>
        <v>0</v>
      </c>
      <c r="AB64" s="37" t="str">
        <f aca="false">IF($N64="","",IF(COUNTIF($N$8:$N64,$N64)=1,MAX($AB$7:$AB63)+1,""))</f>
        <v/>
      </c>
    </row>
    <row r="65" customFormat="false" ht="15" hidden="false" customHeight="false" outlineLevel="0" collapsed="false">
      <c r="B65" s="32" t="s">
        <v>297</v>
      </c>
      <c r="C65" s="32" t="s">
        <v>244</v>
      </c>
      <c r="D65" s="35" t="n">
        <v>938</v>
      </c>
      <c r="E65" s="32" t="s">
        <v>141</v>
      </c>
      <c r="F65" s="36" t="n">
        <v>46001</v>
      </c>
      <c r="G65" s="32" t="s">
        <v>298</v>
      </c>
      <c r="L65" s="37" t="str">
        <f aca="false">IF(INDEX($A65:$J65,$L$6)&lt;&gt;"",TRIM(LEFT(INDEX($A65:$J65,$L$6),FIND("(",INDEX($A65:$J65,$L$6)&amp;"(")-1)),L64)</f>
        <v>Closed Won</v>
      </c>
      <c r="M65" s="37" t="str">
        <f aca="false">IF(INDEX($A65:$J65,$M$6)="","",INDEX($A65:$J65,$M$6)&amp;"")</f>
        <v>T-Print 10 VMS Stand</v>
      </c>
      <c r="N65" s="37" t="str">
        <f aca="false">IF($M65="","",TRIM(INDEX($A65:$J65,$N$6)&amp;""))</f>
        <v>APA</v>
      </c>
      <c r="O65" s="37" t="str">
        <f aca="false">IF($M65="","",TRIM(INDEX($A65:$J65,$O$6)&amp;""))</f>
        <v>Integration</v>
      </c>
      <c r="P65" s="37" t="str">
        <f aca="false">IF($M65="","",IFERROR(IF(INDEX(Settings!$B$41:$B$50,MATCH(O65,Settings!$A$41:$A$50,0))&amp;""="","UNMAPPED",INDEX(Settings!$B$41:$B$50,MATCH(O65,Settings!$A$41:$A$50,0))&amp;""),"UNMAPPED"))</f>
        <v>Integration</v>
      </c>
      <c r="Q65" s="38" t="n">
        <f aca="false">IF($M65="",0,N(INDEX($A65:$J65,$Q$6)))</f>
        <v>938</v>
      </c>
      <c r="R65" s="39" t="n">
        <f aca="false">IF($M65="","",INDEX($A65:$J65,$R$6))</f>
        <v>46001</v>
      </c>
      <c r="S65" s="37" t="str">
        <f aca="false">IF($M65="","",IFERROR(INDEX(Settings!$B$27:$B$36,MATCH(L65,Settings!$A$27:$A$36,0))&amp;"","UNMAPPED"))</f>
        <v>Won</v>
      </c>
      <c r="T65" s="37" t="str">
        <f aca="false">IF($M65="","",IF(NOT(ISNUMBER(R65)),"NO DATE",IF(S65="Won",IF(R65&gt;Settings!$B$5,"Backlog","Delivered"),IF(S65="Open",IF(R65&gt;Settings!$B$5,"Pipeline","Overdue"),IF(S65="Lost","Lost","UNMAPPED")))))</f>
        <v>Delivered</v>
      </c>
      <c r="U65" s="40" t="n">
        <f aca="false">IF(T65="Backlog",1,IF(OR(T65="Pipeline",T65="Overdue"),N(INDEX(Settings!$C$27:$C$36,MATCH(L65,Settings!$A$27:$A$36,0))),0))</f>
        <v>0</v>
      </c>
      <c r="V65" s="38" t="n">
        <f aca="false">Q65*U65</f>
        <v>0</v>
      </c>
      <c r="W65" s="41" t="n">
        <f aca="false">IF($M65="","",IF(T65="Overdue",IF(Settings!$B$8="Yes",Settings!$B$7,""),IF(ISNUMBER(R65),DATE(YEAR(R65),MONTH(R65),1),"")))</f>
        <v>45992</v>
      </c>
      <c r="X65" s="38" t="n">
        <f aca="false">IF(AND(OR(T65="Backlog",T65="Pipeline",T65="Overdue"),ISNUMBER(W65)),IF(W65&lt;=Settings!$B$6,V65,0),0)</f>
        <v>0</v>
      </c>
      <c r="Y65" s="38" t="n">
        <f aca="false">IF(AND(OR(T65="Backlog",T65="Pipeline",T65="Overdue"),ISNUMBER(W65)),IF(W65&lt;=Settings!$B$6,Q65,0),0)</f>
        <v>0</v>
      </c>
      <c r="Z65" s="38" t="n">
        <f aca="false">IF(Y65=0,0,IF(T65="Backlog",Q65,Q65*Dashboard!$C$10))</f>
        <v>0</v>
      </c>
      <c r="AA65" s="37" t="n">
        <f aca="false">IF($N65="",0,IF(COUNTIF(Dashboard!$C$13:$C$22,$N65)&gt;0,1,0))</f>
        <v>0</v>
      </c>
      <c r="AB65" s="37" t="str">
        <f aca="false">IF($N65="","",IF(COUNTIF($N$8:$N65,$N65)=1,MAX($AB$7:$AB64)+1,""))</f>
        <v/>
      </c>
    </row>
    <row r="66" customFormat="false" ht="15" hidden="false" customHeight="false" outlineLevel="0" collapsed="false">
      <c r="B66" s="32" t="s">
        <v>299</v>
      </c>
      <c r="C66" s="32" t="s">
        <v>154</v>
      </c>
      <c r="D66" s="35" t="n">
        <v>310</v>
      </c>
      <c r="E66" s="32" t="s">
        <v>180</v>
      </c>
      <c r="F66" s="36" t="n">
        <v>46199</v>
      </c>
      <c r="G66" s="32" t="s">
        <v>300</v>
      </c>
      <c r="L66" s="37" t="str">
        <f aca="false">IF(INDEX($A66:$J66,$L$6)&lt;&gt;"",TRIM(LEFT(INDEX($A66:$J66,$L$6),FIND("(",INDEX($A66:$J66,$L$6)&amp;"(")-1)),L65)</f>
        <v>Closed Won</v>
      </c>
      <c r="M66" s="37" t="str">
        <f aca="false">IF(INDEX($A66:$J66,$M$6)="","",INDEX($A66:$J66,$M$6)&amp;"")</f>
        <v>Dedicated Technician 02JUL26</v>
      </c>
      <c r="N66" s="37" t="str">
        <f aca="false">IF($M66="","",TRIM(INDEX($A66:$J66,$N$6)&amp;""))</f>
        <v>PWC</v>
      </c>
      <c r="O66" s="37" t="str">
        <f aca="false">IF($M66="","",TRIM(INDEX($A66:$J66,$O$6)&amp;""))</f>
        <v>Support</v>
      </c>
      <c r="P66" s="37" t="str">
        <f aca="false">IF($M66="","",IFERROR(IF(INDEX(Settings!$B$41:$B$50,MATCH(O66,Settings!$A$41:$A$50,0))&amp;""="","UNMAPPED",INDEX(Settings!$B$41:$B$50,MATCH(O66,Settings!$A$41:$A$50,0))&amp;""),"UNMAPPED"))</f>
        <v>Onsite</v>
      </c>
      <c r="Q66" s="38" t="n">
        <f aca="false">IF($M66="",0,N(INDEX($A66:$J66,$Q$6)))</f>
        <v>310</v>
      </c>
      <c r="R66" s="39" t="n">
        <f aca="false">IF($M66="","",INDEX($A66:$J66,$R$6))</f>
        <v>46199</v>
      </c>
      <c r="S66" s="37" t="str">
        <f aca="false">IF($M66="","",IFERROR(INDEX(Settings!$B$27:$B$36,MATCH(L66,Settings!$A$27:$A$36,0))&amp;"","UNMAPPED"))</f>
        <v>Won</v>
      </c>
      <c r="T66" s="37" t="str">
        <f aca="false">IF($M66="","",IF(NOT(ISNUMBER(R66)),"NO DATE",IF(S66="Won",IF(R66&gt;Settings!$B$5,"Backlog","Delivered"),IF(S66="Open",IF(R66&gt;Settings!$B$5,"Pipeline","Overdue"),IF(S66="Lost","Lost","UNMAPPED")))))</f>
        <v>Delivered</v>
      </c>
      <c r="U66" s="40" t="n">
        <f aca="false">IF(T66="Backlog",1,IF(OR(T66="Pipeline",T66="Overdue"),N(INDEX(Settings!$C$27:$C$36,MATCH(L66,Settings!$A$27:$A$36,0))),0))</f>
        <v>0</v>
      </c>
      <c r="V66" s="38" t="n">
        <f aca="false">Q66*U66</f>
        <v>0</v>
      </c>
      <c r="W66" s="41" t="n">
        <f aca="false">IF($M66="","",IF(T66="Overdue",IF(Settings!$B$8="Yes",Settings!$B$7,""),IF(ISNUMBER(R66),DATE(YEAR(R66),MONTH(R66),1),"")))</f>
        <v>46174</v>
      </c>
      <c r="X66" s="38" t="n">
        <f aca="false">IF(AND(OR(T66="Backlog",T66="Pipeline",T66="Overdue"),ISNUMBER(W66)),IF(W66&lt;=Settings!$B$6,V66,0),0)</f>
        <v>0</v>
      </c>
      <c r="Y66" s="38" t="n">
        <f aca="false">IF(AND(OR(T66="Backlog",T66="Pipeline",T66="Overdue"),ISNUMBER(W66)),IF(W66&lt;=Settings!$B$6,Q66,0),0)</f>
        <v>0</v>
      </c>
      <c r="Z66" s="38" t="n">
        <f aca="false">IF(Y66=0,0,IF(T66="Backlog",Q66,Q66*Dashboard!$C$10))</f>
        <v>0</v>
      </c>
      <c r="AA66" s="37" t="n">
        <f aca="false">IF($N66="",0,IF(COUNTIF(Dashboard!$C$13:$C$22,$N66)&gt;0,1,0))</f>
        <v>0</v>
      </c>
      <c r="AB66" s="37" t="str">
        <f aca="false">IF($N66="","",IF(COUNTIF($N$8:$N66,$N66)=1,MAX($AB$7:$AB65)+1,""))</f>
        <v/>
      </c>
    </row>
    <row r="67" customFormat="false" ht="15" hidden="false" customHeight="false" outlineLevel="0" collapsed="false">
      <c r="B67" s="32" t="s">
        <v>301</v>
      </c>
      <c r="C67" s="32" t="s">
        <v>302</v>
      </c>
      <c r="D67" s="35" t="n">
        <v>500</v>
      </c>
      <c r="E67" s="32" t="s">
        <v>145</v>
      </c>
      <c r="F67" s="36" t="n">
        <v>46209</v>
      </c>
      <c r="G67" s="32" t="s">
        <v>303</v>
      </c>
      <c r="L67" s="37" t="str">
        <f aca="false">IF(INDEX($A67:$J67,$L$6)&lt;&gt;"",TRIM(LEFT(INDEX($A67:$J67,$L$6),FIND("(",INDEX($A67:$J67,$L$6)&amp;"(")-1)),L66)</f>
        <v>Closed Won</v>
      </c>
      <c r="M67" s="37" t="str">
        <f aca="false">IF(INDEX($A67:$J67,$M$6)="","",INDEX($A67:$J67,$M$6)&amp;"")</f>
        <v>Litecard - Event Hire - 16.7.26</v>
      </c>
      <c r="N67" s="37" t="str">
        <f aca="false">IF($M67="","",TRIM(INDEX($A67:$J67,$N$6)&amp;""))</f>
        <v>Litecard Pty Ltd</v>
      </c>
      <c r="O67" s="37" t="str">
        <f aca="false">IF($M67="","",TRIM(INDEX($A67:$J67,$O$6)&amp;""))</f>
        <v>Event Production</v>
      </c>
      <c r="P67" s="37" t="str">
        <f aca="false">IF($M67="","",IFERROR(IF(INDEX(Settings!$B$41:$B$50,MATCH(O67,Settings!$A$41:$A$50,0))&amp;""="","UNMAPPED",INDEX(Settings!$B$41:$B$50,MATCH(O67,Settings!$A$41:$A$50,0))&amp;""),"UNMAPPED"))</f>
        <v>Production</v>
      </c>
      <c r="Q67" s="38" t="n">
        <f aca="false">IF($M67="",0,N(INDEX($A67:$J67,$Q$6)))</f>
        <v>500</v>
      </c>
      <c r="R67" s="39" t="n">
        <f aca="false">IF($M67="","",INDEX($A67:$J67,$R$6))</f>
        <v>46209</v>
      </c>
      <c r="S67" s="37" t="str">
        <f aca="false">IF($M67="","",IFERROR(INDEX(Settings!$B$27:$B$36,MATCH(L67,Settings!$A$27:$A$36,0))&amp;"","UNMAPPED"))</f>
        <v>Won</v>
      </c>
      <c r="T67" s="37" t="str">
        <f aca="false">IF($M67="","",IF(NOT(ISNUMBER(R67)),"NO DATE",IF(S67="Won",IF(R67&gt;Settings!$B$5,"Backlog","Delivered"),IF(S67="Open",IF(R67&gt;Settings!$B$5,"Pipeline","Overdue"),IF(S67="Lost","Lost","UNMAPPED")))))</f>
        <v>Delivered</v>
      </c>
      <c r="U67" s="40" t="n">
        <f aca="false">IF(T67="Backlog",1,IF(OR(T67="Pipeline",T67="Overdue"),N(INDEX(Settings!$C$27:$C$36,MATCH(L67,Settings!$A$27:$A$36,0))),0))</f>
        <v>0</v>
      </c>
      <c r="V67" s="38" t="n">
        <f aca="false">Q67*U67</f>
        <v>0</v>
      </c>
      <c r="W67" s="41" t="n">
        <f aca="false">IF($M67="","",IF(T67="Overdue",IF(Settings!$B$8="Yes",Settings!$B$7,""),IF(ISNUMBER(R67),DATE(YEAR(R67),MONTH(R67),1),"")))</f>
        <v>46204</v>
      </c>
      <c r="X67" s="38" t="n">
        <f aca="false">IF(AND(OR(T67="Backlog",T67="Pipeline",T67="Overdue"),ISNUMBER(W67)),IF(W67&lt;=Settings!$B$6,V67,0),0)</f>
        <v>0</v>
      </c>
      <c r="Y67" s="38" t="n">
        <f aca="false">IF(AND(OR(T67="Backlog",T67="Pipeline",T67="Overdue"),ISNUMBER(W67)),IF(W67&lt;=Settings!$B$6,Q67,0),0)</f>
        <v>0</v>
      </c>
      <c r="Z67" s="38" t="n">
        <f aca="false">IF(Y67=0,0,IF(T67="Backlog",Q67,Q67*Dashboard!$C$10))</f>
        <v>0</v>
      </c>
      <c r="AA67" s="37" t="n">
        <f aca="false">IF($N67="",0,IF(COUNTIF(Dashboard!$C$13:$C$22,$N67)&gt;0,1,0))</f>
        <v>0</v>
      </c>
      <c r="AB67" s="37" t="n">
        <f aca="false">IF($N67="","",IF(COUNTIF($N$8:$N67,$N67)=1,MAX($AB$7:$AB66)+1,""))</f>
        <v>37</v>
      </c>
    </row>
    <row r="68" customFormat="false" ht="15" hidden="false" customHeight="false" outlineLevel="0" collapsed="false">
      <c r="B68" s="32" t="s">
        <v>304</v>
      </c>
      <c r="C68" s="32" t="s">
        <v>154</v>
      </c>
      <c r="D68" s="35" t="n">
        <v>3060</v>
      </c>
      <c r="E68" s="32" t="s">
        <v>180</v>
      </c>
      <c r="F68" s="36" t="n">
        <v>46174</v>
      </c>
      <c r="G68" s="32" t="s">
        <v>305</v>
      </c>
      <c r="L68" s="37" t="str">
        <f aca="false">IF(INDEX($A68:$J68,$L$6)&lt;&gt;"",TRIM(LEFT(INDEX($A68:$J68,$L$6),FIND("(",INDEX($A68:$J68,$L$6)&amp;"(")-1)),L67)</f>
        <v>Closed Won</v>
      </c>
      <c r="M68" s="37" t="str">
        <f aca="false">IF(INDEX($A68:$J68,$M$6)="","",INDEX($A68:$J68,$M$6)&amp;"")</f>
        <v>Pool of hours for National AV Support - 29MAY26</v>
      </c>
      <c r="N68" s="37" t="str">
        <f aca="false">IF($M68="","",TRIM(INDEX($A68:$J68,$N$6)&amp;""))</f>
        <v>PWC</v>
      </c>
      <c r="O68" s="37" t="str">
        <f aca="false">IF($M68="","",TRIM(INDEX($A68:$J68,$O$6)&amp;""))</f>
        <v>Support</v>
      </c>
      <c r="P68" s="37" t="str">
        <f aca="false">IF($M68="","",IFERROR(IF(INDEX(Settings!$B$41:$B$50,MATCH(O68,Settings!$A$41:$A$50,0))&amp;""="","UNMAPPED",INDEX(Settings!$B$41:$B$50,MATCH(O68,Settings!$A$41:$A$50,0))&amp;""),"UNMAPPED"))</f>
        <v>Onsite</v>
      </c>
      <c r="Q68" s="38" t="n">
        <f aca="false">IF($M68="",0,N(INDEX($A68:$J68,$Q$6)))</f>
        <v>3060</v>
      </c>
      <c r="R68" s="39" t="n">
        <f aca="false">IF($M68="","",INDEX($A68:$J68,$R$6))</f>
        <v>46174</v>
      </c>
      <c r="S68" s="37" t="str">
        <f aca="false">IF($M68="","",IFERROR(INDEX(Settings!$B$27:$B$36,MATCH(L68,Settings!$A$27:$A$36,0))&amp;"","UNMAPPED"))</f>
        <v>Won</v>
      </c>
      <c r="T68" s="37" t="str">
        <f aca="false">IF($M68="","",IF(NOT(ISNUMBER(R68)),"NO DATE",IF(S68="Won",IF(R68&gt;Settings!$B$5,"Backlog","Delivered"),IF(S68="Open",IF(R68&gt;Settings!$B$5,"Pipeline","Overdue"),IF(S68="Lost","Lost","UNMAPPED")))))</f>
        <v>Delivered</v>
      </c>
      <c r="U68" s="40" t="n">
        <f aca="false">IF(T68="Backlog",1,IF(OR(T68="Pipeline",T68="Overdue"),N(INDEX(Settings!$C$27:$C$36,MATCH(L68,Settings!$A$27:$A$36,0))),0))</f>
        <v>0</v>
      </c>
      <c r="V68" s="38" t="n">
        <f aca="false">Q68*U68</f>
        <v>0</v>
      </c>
      <c r="W68" s="41" t="n">
        <f aca="false">IF($M68="","",IF(T68="Overdue",IF(Settings!$B$8="Yes",Settings!$B$7,""),IF(ISNUMBER(R68),DATE(YEAR(R68),MONTH(R68),1),"")))</f>
        <v>46174</v>
      </c>
      <c r="X68" s="38" t="n">
        <f aca="false">IF(AND(OR(T68="Backlog",T68="Pipeline",T68="Overdue"),ISNUMBER(W68)),IF(W68&lt;=Settings!$B$6,V68,0),0)</f>
        <v>0</v>
      </c>
      <c r="Y68" s="38" t="n">
        <f aca="false">IF(AND(OR(T68="Backlog",T68="Pipeline",T68="Overdue"),ISNUMBER(W68)),IF(W68&lt;=Settings!$B$6,Q68,0),0)</f>
        <v>0</v>
      </c>
      <c r="Z68" s="38" t="n">
        <f aca="false">IF(Y68=0,0,IF(T68="Backlog",Q68,Q68*Dashboard!$C$10))</f>
        <v>0</v>
      </c>
      <c r="AA68" s="37" t="n">
        <f aca="false">IF($N68="",0,IF(COUNTIF(Dashboard!$C$13:$C$22,$N68)&gt;0,1,0))</f>
        <v>0</v>
      </c>
      <c r="AB68" s="37" t="str">
        <f aca="false">IF($N68="","",IF(COUNTIF($N$8:$N68,$N68)=1,MAX($AB$7:$AB67)+1,""))</f>
        <v/>
      </c>
    </row>
    <row r="69" customFormat="false" ht="15" hidden="false" customHeight="false" outlineLevel="0" collapsed="false">
      <c r="B69" s="32" t="s">
        <v>306</v>
      </c>
      <c r="C69" s="32" t="s">
        <v>307</v>
      </c>
      <c r="D69" s="35" t="n">
        <v>8831</v>
      </c>
      <c r="E69" s="32" t="s">
        <v>208</v>
      </c>
      <c r="F69" s="36" t="n">
        <v>46346</v>
      </c>
      <c r="G69" s="32" t="s">
        <v>308</v>
      </c>
      <c r="L69" s="37" t="str">
        <f aca="false">IF(INDEX($A69:$J69,$L$6)&lt;&gt;"",TRIM(LEFT(INDEX($A69:$J69,$L$6),FIND("(",INDEX($A69:$J69,$L$6)&amp;"(")-1)),L68)</f>
        <v>Closed Won</v>
      </c>
      <c r="M69" s="37" t="str">
        <f aca="false">IF(INDEX($A69:$J69,$M$6)="","",INDEX($A69:$J69,$M$6)&amp;"")</f>
        <v>Charity Regatta Highlights Video 2026</v>
      </c>
      <c r="N69" s="37" t="str">
        <f aca="false">IF($M69="","",TRIM(INDEX($A69:$J69,$N$6)&amp;""))</f>
        <v>ASX Refinitiv Charity Foundation Ltd</v>
      </c>
      <c r="O69" s="37" t="str">
        <f aca="false">IF($M69="","",TRIM(INDEX($A69:$J69,$O$6)&amp;""))</f>
        <v>Video Production</v>
      </c>
      <c r="P69" s="37" t="str">
        <f aca="false">IF($M69="","",IFERROR(IF(INDEX(Settings!$B$41:$B$50,MATCH(O69,Settings!$A$41:$A$50,0))&amp;""="","UNMAPPED",INDEX(Settings!$B$41:$B$50,MATCH(O69,Settings!$A$41:$A$50,0))&amp;""),"UNMAPPED"))</f>
        <v>Video</v>
      </c>
      <c r="Q69" s="38" t="n">
        <f aca="false">IF($M69="",0,N(INDEX($A69:$J69,$Q$6)))</f>
        <v>8831</v>
      </c>
      <c r="R69" s="39" t="n">
        <f aca="false">IF($M69="","",INDEX($A69:$J69,$R$6))</f>
        <v>46346</v>
      </c>
      <c r="S69" s="37" t="str">
        <f aca="false">IF($M69="","",IFERROR(INDEX(Settings!$B$27:$B$36,MATCH(L69,Settings!$A$27:$A$36,0))&amp;"","UNMAPPED"))</f>
        <v>Won</v>
      </c>
      <c r="T69" s="37" t="str">
        <f aca="false">IF($M69="","",IF(NOT(ISNUMBER(R69)),"NO DATE",IF(S69="Won",IF(R69&gt;Settings!$B$5,"Backlog","Delivered"),IF(S69="Open",IF(R69&gt;Settings!$B$5,"Pipeline","Overdue"),IF(S69="Lost","Lost","UNMAPPED")))))</f>
        <v>Backlog</v>
      </c>
      <c r="U69" s="40" t="n">
        <f aca="false">IF(T69="Backlog",1,IF(OR(T69="Pipeline",T69="Overdue"),N(INDEX(Settings!$C$27:$C$36,MATCH(L69,Settings!$A$27:$A$36,0))),0))</f>
        <v>1</v>
      </c>
      <c r="V69" s="38" t="n">
        <f aca="false">Q69*U69</f>
        <v>8831</v>
      </c>
      <c r="W69" s="41" t="n">
        <f aca="false">IF($M69="","",IF(T69="Overdue",IF(Settings!$B$8="Yes",Settings!$B$7,""),IF(ISNUMBER(R69),DATE(YEAR(R69),MONTH(R69),1),"")))</f>
        <v>46327</v>
      </c>
      <c r="X69" s="38" t="n">
        <f aca="false">IF(AND(OR(T69="Backlog",T69="Pipeline",T69="Overdue"),ISNUMBER(W69)),IF(W69&lt;=Settings!$B$6,V69,0),0)</f>
        <v>8831</v>
      </c>
      <c r="Y69" s="38" t="n">
        <f aca="false">IF(AND(OR(T69="Backlog",T69="Pipeline",T69="Overdue"),ISNUMBER(W69)),IF(W69&lt;=Settings!$B$6,Q69,0),0)</f>
        <v>8831</v>
      </c>
      <c r="Z69" s="38" t="n">
        <f aca="false">IF(Y69=0,0,IF(T69="Backlog",Q69,Q69*Dashboard!$C$10))</f>
        <v>8831</v>
      </c>
      <c r="AA69" s="37" t="n">
        <f aca="false">IF($N69="",0,IF(COUNTIF(Dashboard!$C$13:$C$22,$N69)&gt;0,1,0))</f>
        <v>0</v>
      </c>
      <c r="AB69" s="37" t="n">
        <f aca="false">IF($N69="","",IF(COUNTIF($N$8:$N69,$N69)=1,MAX($AB$7:$AB68)+1,""))</f>
        <v>38</v>
      </c>
    </row>
    <row r="70" customFormat="false" ht="15" hidden="false" customHeight="false" outlineLevel="0" collapsed="false">
      <c r="B70" s="32" t="s">
        <v>309</v>
      </c>
      <c r="C70" s="32" t="s">
        <v>310</v>
      </c>
      <c r="D70" s="35" t="n">
        <v>9995</v>
      </c>
      <c r="E70" s="32" t="s">
        <v>145</v>
      </c>
      <c r="F70" s="36" t="n">
        <v>45884</v>
      </c>
      <c r="G70" s="32" t="s">
        <v>311</v>
      </c>
      <c r="L70" s="37" t="str">
        <f aca="false">IF(INDEX($A70:$J70,$L$6)&lt;&gt;"",TRIM(LEFT(INDEX($A70:$J70,$L$6),FIND("(",INDEX($A70:$J70,$L$6)&amp;"(")-1)),L69)</f>
        <v>Closed Won</v>
      </c>
      <c r="M70" s="37" t="str">
        <f aca="false">IF(INDEX($A70:$J70,$M$6)="","",INDEX($A70:$J70,$M$6)&amp;"")</f>
        <v>Cochlear FY25 Result Briefing 15.8.25</v>
      </c>
      <c r="N70" s="37" t="str">
        <f aca="false">IF($M70="","",TRIM(INDEX($A70:$J70,$N$6)&amp;""))</f>
        <v>Cochlear</v>
      </c>
      <c r="O70" s="37" t="str">
        <f aca="false">IF($M70="","",TRIM(INDEX($A70:$J70,$O$6)&amp;""))</f>
        <v>Event Production</v>
      </c>
      <c r="P70" s="37" t="str">
        <f aca="false">IF($M70="","",IFERROR(IF(INDEX(Settings!$B$41:$B$50,MATCH(O70,Settings!$A$41:$A$50,0))&amp;""="","UNMAPPED",INDEX(Settings!$B$41:$B$50,MATCH(O70,Settings!$A$41:$A$50,0))&amp;""),"UNMAPPED"))</f>
        <v>Production</v>
      </c>
      <c r="Q70" s="38" t="n">
        <f aca="false">IF($M70="",0,N(INDEX($A70:$J70,$Q$6)))</f>
        <v>9995</v>
      </c>
      <c r="R70" s="39" t="n">
        <f aca="false">IF($M70="","",INDEX($A70:$J70,$R$6))</f>
        <v>45884</v>
      </c>
      <c r="S70" s="37" t="str">
        <f aca="false">IF($M70="","",IFERROR(INDEX(Settings!$B$27:$B$36,MATCH(L70,Settings!$A$27:$A$36,0))&amp;"","UNMAPPED"))</f>
        <v>Won</v>
      </c>
      <c r="T70" s="37" t="str">
        <f aca="false">IF($M70="","",IF(NOT(ISNUMBER(R70)),"NO DATE",IF(S70="Won",IF(R70&gt;Settings!$B$5,"Backlog","Delivered"),IF(S70="Open",IF(R70&gt;Settings!$B$5,"Pipeline","Overdue"),IF(S70="Lost","Lost","UNMAPPED")))))</f>
        <v>Delivered</v>
      </c>
      <c r="U70" s="40" t="n">
        <f aca="false">IF(T70="Backlog",1,IF(OR(T70="Pipeline",T70="Overdue"),N(INDEX(Settings!$C$27:$C$36,MATCH(L70,Settings!$A$27:$A$36,0))),0))</f>
        <v>0</v>
      </c>
      <c r="V70" s="38" t="n">
        <f aca="false">Q70*U70</f>
        <v>0</v>
      </c>
      <c r="W70" s="41" t="n">
        <f aca="false">IF($M70="","",IF(T70="Overdue",IF(Settings!$B$8="Yes",Settings!$B$7,""),IF(ISNUMBER(R70),DATE(YEAR(R70),MONTH(R70),1),"")))</f>
        <v>45870</v>
      </c>
      <c r="X70" s="38" t="n">
        <f aca="false">IF(AND(OR(T70="Backlog",T70="Pipeline",T70="Overdue"),ISNUMBER(W70)),IF(W70&lt;=Settings!$B$6,V70,0),0)</f>
        <v>0</v>
      </c>
      <c r="Y70" s="38" t="n">
        <f aca="false">IF(AND(OR(T70="Backlog",T70="Pipeline",T70="Overdue"),ISNUMBER(W70)),IF(W70&lt;=Settings!$B$6,Q70,0),0)</f>
        <v>0</v>
      </c>
      <c r="Z70" s="38" t="n">
        <f aca="false">IF(Y70=0,0,IF(T70="Backlog",Q70,Q70*Dashboard!$C$10))</f>
        <v>0</v>
      </c>
      <c r="AA70" s="37" t="n">
        <f aca="false">IF($N70="",0,IF(COUNTIF(Dashboard!$C$13:$C$22,$N70)&gt;0,1,0))</f>
        <v>0</v>
      </c>
      <c r="AB70" s="37" t="n">
        <f aca="false">IF($N70="","",IF(COUNTIF($N$8:$N70,$N70)=1,MAX($AB$7:$AB69)+1,""))</f>
        <v>39</v>
      </c>
    </row>
    <row r="71" customFormat="false" ht="15" hidden="false" customHeight="false" outlineLevel="0" collapsed="false">
      <c r="B71" s="32" t="s">
        <v>312</v>
      </c>
      <c r="C71" s="32" t="s">
        <v>313</v>
      </c>
      <c r="D71" s="35" t="n">
        <v>6694</v>
      </c>
      <c r="E71" s="32" t="s">
        <v>145</v>
      </c>
      <c r="F71" s="36" t="n">
        <v>45981</v>
      </c>
      <c r="G71" s="32" t="s">
        <v>314</v>
      </c>
      <c r="L71" s="37" t="str">
        <f aca="false">IF(INDEX($A71:$J71,$L$6)&lt;&gt;"",TRIM(LEFT(INDEX($A71:$J71,$L$6),FIND("(",INDEX($A71:$J71,$L$6)&amp;"(")-1)),L70)</f>
        <v>Closed Won</v>
      </c>
      <c r="M71" s="37" t="str">
        <f aca="false">IF(INDEX($A71:$J71,$M$6)="","",INDEX($A71:$J71,$M$6)&amp;"")</f>
        <v>AV Event 20.11.25</v>
      </c>
      <c r="N71" s="37" t="str">
        <f aca="false">IF($M71="","",TRIM(INDEX($A71:$J71,$N$6)&amp;""))</f>
        <v>Fredon</v>
      </c>
      <c r="O71" s="37" t="str">
        <f aca="false">IF($M71="","",TRIM(INDEX($A71:$J71,$O$6)&amp;""))</f>
        <v>Event Production</v>
      </c>
      <c r="P71" s="37" t="str">
        <f aca="false">IF($M71="","",IFERROR(IF(INDEX(Settings!$B$41:$B$50,MATCH(O71,Settings!$A$41:$A$50,0))&amp;""="","UNMAPPED",INDEX(Settings!$B$41:$B$50,MATCH(O71,Settings!$A$41:$A$50,0))&amp;""),"UNMAPPED"))</f>
        <v>Production</v>
      </c>
      <c r="Q71" s="38" t="n">
        <f aca="false">IF($M71="",0,N(INDEX($A71:$J71,$Q$6)))</f>
        <v>6694</v>
      </c>
      <c r="R71" s="39" t="n">
        <f aca="false">IF($M71="","",INDEX($A71:$J71,$R$6))</f>
        <v>45981</v>
      </c>
      <c r="S71" s="37" t="str">
        <f aca="false">IF($M71="","",IFERROR(INDEX(Settings!$B$27:$B$36,MATCH(L71,Settings!$A$27:$A$36,0))&amp;"","UNMAPPED"))</f>
        <v>Won</v>
      </c>
      <c r="T71" s="37" t="str">
        <f aca="false">IF($M71="","",IF(NOT(ISNUMBER(R71)),"NO DATE",IF(S71="Won",IF(R71&gt;Settings!$B$5,"Backlog","Delivered"),IF(S71="Open",IF(R71&gt;Settings!$B$5,"Pipeline","Overdue"),IF(S71="Lost","Lost","UNMAPPED")))))</f>
        <v>Delivered</v>
      </c>
      <c r="U71" s="40" t="n">
        <f aca="false">IF(T71="Backlog",1,IF(OR(T71="Pipeline",T71="Overdue"),N(INDEX(Settings!$C$27:$C$36,MATCH(L71,Settings!$A$27:$A$36,0))),0))</f>
        <v>0</v>
      </c>
      <c r="V71" s="38" t="n">
        <f aca="false">Q71*U71</f>
        <v>0</v>
      </c>
      <c r="W71" s="41" t="n">
        <f aca="false">IF($M71="","",IF(T71="Overdue",IF(Settings!$B$8="Yes",Settings!$B$7,""),IF(ISNUMBER(R71),DATE(YEAR(R71),MONTH(R71),1),"")))</f>
        <v>45962</v>
      </c>
      <c r="X71" s="38" t="n">
        <f aca="false">IF(AND(OR(T71="Backlog",T71="Pipeline",T71="Overdue"),ISNUMBER(W71)),IF(W71&lt;=Settings!$B$6,V71,0),0)</f>
        <v>0</v>
      </c>
      <c r="Y71" s="38" t="n">
        <f aca="false">IF(AND(OR(T71="Backlog",T71="Pipeline",T71="Overdue"),ISNUMBER(W71)),IF(W71&lt;=Settings!$B$6,Q71,0),0)</f>
        <v>0</v>
      </c>
      <c r="Z71" s="38" t="n">
        <f aca="false">IF(Y71=0,0,IF(T71="Backlog",Q71,Q71*Dashboard!$C$10))</f>
        <v>0</v>
      </c>
      <c r="AA71" s="37" t="n">
        <f aca="false">IF($N71="",0,IF(COUNTIF(Dashboard!$C$13:$C$22,$N71)&gt;0,1,0))</f>
        <v>0</v>
      </c>
      <c r="AB71" s="37" t="n">
        <f aca="false">IF($N71="","",IF(COUNTIF($N$8:$N71,$N71)=1,MAX($AB$7:$AB70)+1,""))</f>
        <v>40</v>
      </c>
    </row>
    <row r="72" customFormat="false" ht="15" hidden="false" customHeight="false" outlineLevel="0" collapsed="false">
      <c r="B72" s="32" t="s">
        <v>315</v>
      </c>
      <c r="C72" s="32" t="s">
        <v>316</v>
      </c>
      <c r="D72" s="35" t="n">
        <v>950</v>
      </c>
      <c r="E72" s="32" t="s">
        <v>208</v>
      </c>
      <c r="F72" s="36" t="n">
        <v>45999</v>
      </c>
      <c r="G72" s="32" t="s">
        <v>317</v>
      </c>
      <c r="L72" s="37" t="str">
        <f aca="false">IF(INDEX($A72:$J72,$L$6)&lt;&gt;"",TRIM(LEFT(INDEX($A72:$J72,$L$6),FIND("(",INDEX($A72:$J72,$L$6)&amp;"(")-1)),L71)</f>
        <v>Closed Won</v>
      </c>
      <c r="M72" s="37" t="str">
        <f aca="false">IF(INDEX($A72:$J72,$M$6)="","",INDEX($A72:$J72,$M$6)&amp;"")</f>
        <v>Bankwest - SLG Forum - 08.12.2025</v>
      </c>
      <c r="N72" s="37" t="str">
        <f aca="false">IF($M72="","",TRIM(INDEX($A72:$J72,$N$6)&amp;""))</f>
        <v>Bankwest</v>
      </c>
      <c r="O72" s="37" t="str">
        <f aca="false">IF($M72="","",TRIM(INDEX($A72:$J72,$O$6)&amp;""))</f>
        <v>Video Production</v>
      </c>
      <c r="P72" s="37" t="str">
        <f aca="false">IF($M72="","",IFERROR(IF(INDEX(Settings!$B$41:$B$50,MATCH(O72,Settings!$A$41:$A$50,0))&amp;""="","UNMAPPED",INDEX(Settings!$B$41:$B$50,MATCH(O72,Settings!$A$41:$A$50,0))&amp;""),"UNMAPPED"))</f>
        <v>Video</v>
      </c>
      <c r="Q72" s="38" t="n">
        <f aca="false">IF($M72="",0,N(INDEX($A72:$J72,$Q$6)))</f>
        <v>950</v>
      </c>
      <c r="R72" s="39" t="n">
        <f aca="false">IF($M72="","",INDEX($A72:$J72,$R$6))</f>
        <v>45999</v>
      </c>
      <c r="S72" s="37" t="str">
        <f aca="false">IF($M72="","",IFERROR(INDEX(Settings!$B$27:$B$36,MATCH(L72,Settings!$A$27:$A$36,0))&amp;"","UNMAPPED"))</f>
        <v>Won</v>
      </c>
      <c r="T72" s="37" t="str">
        <f aca="false">IF($M72="","",IF(NOT(ISNUMBER(R72)),"NO DATE",IF(S72="Won",IF(R72&gt;Settings!$B$5,"Backlog","Delivered"),IF(S72="Open",IF(R72&gt;Settings!$B$5,"Pipeline","Overdue"),IF(S72="Lost","Lost","UNMAPPED")))))</f>
        <v>Delivered</v>
      </c>
      <c r="U72" s="40" t="n">
        <f aca="false">IF(T72="Backlog",1,IF(OR(T72="Pipeline",T72="Overdue"),N(INDEX(Settings!$C$27:$C$36,MATCH(L72,Settings!$A$27:$A$36,0))),0))</f>
        <v>0</v>
      </c>
      <c r="V72" s="38" t="n">
        <f aca="false">Q72*U72</f>
        <v>0</v>
      </c>
      <c r="W72" s="41" t="n">
        <f aca="false">IF($M72="","",IF(T72="Overdue",IF(Settings!$B$8="Yes",Settings!$B$7,""),IF(ISNUMBER(R72),DATE(YEAR(R72),MONTH(R72),1),"")))</f>
        <v>45992</v>
      </c>
      <c r="X72" s="38" t="n">
        <f aca="false">IF(AND(OR(T72="Backlog",T72="Pipeline",T72="Overdue"),ISNUMBER(W72)),IF(W72&lt;=Settings!$B$6,V72,0),0)</f>
        <v>0</v>
      </c>
      <c r="Y72" s="38" t="n">
        <f aca="false">IF(AND(OR(T72="Backlog",T72="Pipeline",T72="Overdue"),ISNUMBER(W72)),IF(W72&lt;=Settings!$B$6,Q72,0),0)</f>
        <v>0</v>
      </c>
      <c r="Z72" s="38" t="n">
        <f aca="false">IF(Y72=0,0,IF(T72="Backlog",Q72,Q72*Dashboard!$C$10))</f>
        <v>0</v>
      </c>
      <c r="AA72" s="37" t="n">
        <f aca="false">IF($N72="",0,IF(COUNTIF(Dashboard!$C$13:$C$22,$N72)&gt;0,1,0))</f>
        <v>0</v>
      </c>
      <c r="AB72" s="37" t="n">
        <f aca="false">IF($N72="","",IF(COUNTIF($N$8:$N72,$N72)=1,MAX($AB$7:$AB71)+1,""))</f>
        <v>41</v>
      </c>
    </row>
    <row r="73" customFormat="false" ht="15" hidden="false" customHeight="false" outlineLevel="0" collapsed="false">
      <c r="B73" s="32" t="s">
        <v>318</v>
      </c>
      <c r="C73" s="32" t="s">
        <v>194</v>
      </c>
      <c r="D73" s="35" t="n">
        <v>25823</v>
      </c>
      <c r="E73" s="32" t="s">
        <v>145</v>
      </c>
      <c r="F73" s="36" t="n">
        <v>46149</v>
      </c>
      <c r="G73" s="32" t="s">
        <v>319</v>
      </c>
      <c r="L73" s="37" t="str">
        <f aca="false">IF(INDEX($A73:$J73,$L$6)&lt;&gt;"",TRIM(LEFT(INDEX($A73:$J73,$L$6),FIND("(",INDEX($A73:$J73,$L$6)&amp;"(")-1)),L72)</f>
        <v>Closed Won</v>
      </c>
      <c r="M73" s="37" t="str">
        <f aca="false">IF(INDEX($A73:$J73,$M$6)="","",INDEX($A73:$J73,$M$6)&amp;"")</f>
        <v>Ventia - AGM - 21.5.26</v>
      </c>
      <c r="N73" s="37" t="str">
        <f aca="false">IF($M73="","",TRIM(INDEX($A73:$J73,$N$6)&amp;""))</f>
        <v>Ventia</v>
      </c>
      <c r="O73" s="37" t="str">
        <f aca="false">IF($M73="","",TRIM(INDEX($A73:$J73,$O$6)&amp;""))</f>
        <v>Event Production</v>
      </c>
      <c r="P73" s="37" t="str">
        <f aca="false">IF($M73="","",IFERROR(IF(INDEX(Settings!$B$41:$B$50,MATCH(O73,Settings!$A$41:$A$50,0))&amp;""="","UNMAPPED",INDEX(Settings!$B$41:$B$50,MATCH(O73,Settings!$A$41:$A$50,0))&amp;""),"UNMAPPED"))</f>
        <v>Production</v>
      </c>
      <c r="Q73" s="38" t="n">
        <f aca="false">IF($M73="",0,N(INDEX($A73:$J73,$Q$6)))</f>
        <v>25823</v>
      </c>
      <c r="R73" s="39" t="n">
        <f aca="false">IF($M73="","",INDEX($A73:$J73,$R$6))</f>
        <v>46149</v>
      </c>
      <c r="S73" s="37" t="str">
        <f aca="false">IF($M73="","",IFERROR(INDEX(Settings!$B$27:$B$36,MATCH(L73,Settings!$A$27:$A$36,0))&amp;"","UNMAPPED"))</f>
        <v>Won</v>
      </c>
      <c r="T73" s="37" t="str">
        <f aca="false">IF($M73="","",IF(NOT(ISNUMBER(R73)),"NO DATE",IF(S73="Won",IF(R73&gt;Settings!$B$5,"Backlog","Delivered"),IF(S73="Open",IF(R73&gt;Settings!$B$5,"Pipeline","Overdue"),IF(S73="Lost","Lost","UNMAPPED")))))</f>
        <v>Delivered</v>
      </c>
      <c r="U73" s="40" t="n">
        <f aca="false">IF(T73="Backlog",1,IF(OR(T73="Pipeline",T73="Overdue"),N(INDEX(Settings!$C$27:$C$36,MATCH(L73,Settings!$A$27:$A$36,0))),0))</f>
        <v>0</v>
      </c>
      <c r="V73" s="38" t="n">
        <f aca="false">Q73*U73</f>
        <v>0</v>
      </c>
      <c r="W73" s="41" t="n">
        <f aca="false">IF($M73="","",IF(T73="Overdue",IF(Settings!$B$8="Yes",Settings!$B$7,""),IF(ISNUMBER(R73),DATE(YEAR(R73),MONTH(R73),1),"")))</f>
        <v>46143</v>
      </c>
      <c r="X73" s="38" t="n">
        <f aca="false">IF(AND(OR(T73="Backlog",T73="Pipeline",T73="Overdue"),ISNUMBER(W73)),IF(W73&lt;=Settings!$B$6,V73,0),0)</f>
        <v>0</v>
      </c>
      <c r="Y73" s="38" t="n">
        <f aca="false">IF(AND(OR(T73="Backlog",T73="Pipeline",T73="Overdue"),ISNUMBER(W73)),IF(W73&lt;=Settings!$B$6,Q73,0),0)</f>
        <v>0</v>
      </c>
      <c r="Z73" s="38" t="n">
        <f aca="false">IF(Y73=0,0,IF(T73="Backlog",Q73,Q73*Dashboard!$C$10))</f>
        <v>0</v>
      </c>
      <c r="AA73" s="37" t="n">
        <f aca="false">IF($N73="",0,IF(COUNTIF(Dashboard!$C$13:$C$22,$N73)&gt;0,1,0))</f>
        <v>0</v>
      </c>
      <c r="AB73" s="37" t="str">
        <f aca="false">IF($N73="","",IF(COUNTIF($N$8:$N73,$N73)=1,MAX($AB$7:$AB72)+1,""))</f>
        <v/>
      </c>
    </row>
    <row r="74" customFormat="false" ht="15" hidden="false" customHeight="false" outlineLevel="0" collapsed="false">
      <c r="B74" s="32" t="s">
        <v>320</v>
      </c>
      <c r="C74" s="32" t="s">
        <v>321</v>
      </c>
      <c r="D74" s="35" t="n">
        <v>680</v>
      </c>
      <c r="E74" s="32" t="s">
        <v>173</v>
      </c>
      <c r="F74" s="36" t="n">
        <v>45954</v>
      </c>
      <c r="G74" s="32" t="s">
        <v>322</v>
      </c>
      <c r="L74" s="37" t="str">
        <f aca="false">IF(INDEX($A74:$J74,$L$6)&lt;&gt;"",TRIM(LEFT(INDEX($A74:$J74,$L$6),FIND("(",INDEX($A74:$J74,$L$6)&amp;"(")-1)),L73)</f>
        <v>Closed Won</v>
      </c>
      <c r="M74" s="37" t="str">
        <f aca="false">IF(INDEX($A74:$J74,$M$6)="","",INDEX($A74:$J74,$M$6)&amp;"")</f>
        <v>HP Poly Room Assessment at Mission Australia</v>
      </c>
      <c r="N74" s="37" t="str">
        <f aca="false">IF($M74="","",TRIM(INDEX($A74:$J74,$N$6)&amp;""))</f>
        <v>HP</v>
      </c>
      <c r="O74" s="37" t="str">
        <f aca="false">IF($M74="","",TRIM(INDEX($A74:$J74,$O$6)&amp;""))</f>
        <v>Consulting</v>
      </c>
      <c r="P74" s="37" t="str">
        <f aca="false">IF($M74="","",IFERROR(IF(INDEX(Settings!$B$41:$B$50,MATCH(O74,Settings!$A$41:$A$50,0))&amp;""="","UNMAPPED",INDEX(Settings!$B$41:$B$50,MATCH(O74,Settings!$A$41:$A$50,0))&amp;""),"UNMAPPED"))</f>
        <v>Consulting</v>
      </c>
      <c r="Q74" s="38" t="n">
        <f aca="false">IF($M74="",0,N(INDEX($A74:$J74,$Q$6)))</f>
        <v>680</v>
      </c>
      <c r="R74" s="39" t="n">
        <f aca="false">IF($M74="","",INDEX($A74:$J74,$R$6))</f>
        <v>45954</v>
      </c>
      <c r="S74" s="37" t="str">
        <f aca="false">IF($M74="","",IFERROR(INDEX(Settings!$B$27:$B$36,MATCH(L74,Settings!$A$27:$A$36,0))&amp;"","UNMAPPED"))</f>
        <v>Won</v>
      </c>
      <c r="T74" s="37" t="str">
        <f aca="false">IF($M74="","",IF(NOT(ISNUMBER(R74)),"NO DATE",IF(S74="Won",IF(R74&gt;Settings!$B$5,"Backlog","Delivered"),IF(S74="Open",IF(R74&gt;Settings!$B$5,"Pipeline","Overdue"),IF(S74="Lost","Lost","UNMAPPED")))))</f>
        <v>Delivered</v>
      </c>
      <c r="U74" s="40" t="n">
        <f aca="false">IF(T74="Backlog",1,IF(OR(T74="Pipeline",T74="Overdue"),N(INDEX(Settings!$C$27:$C$36,MATCH(L74,Settings!$A$27:$A$36,0))),0))</f>
        <v>0</v>
      </c>
      <c r="V74" s="38" t="n">
        <f aca="false">Q74*U74</f>
        <v>0</v>
      </c>
      <c r="W74" s="41" t="n">
        <f aca="false">IF($M74="","",IF(T74="Overdue",IF(Settings!$B$8="Yes",Settings!$B$7,""),IF(ISNUMBER(R74),DATE(YEAR(R74),MONTH(R74),1),"")))</f>
        <v>45931</v>
      </c>
      <c r="X74" s="38" t="n">
        <f aca="false">IF(AND(OR(T74="Backlog",T74="Pipeline",T74="Overdue"),ISNUMBER(W74)),IF(W74&lt;=Settings!$B$6,V74,0),0)</f>
        <v>0</v>
      </c>
      <c r="Y74" s="38" t="n">
        <f aca="false">IF(AND(OR(T74="Backlog",T74="Pipeline",T74="Overdue"),ISNUMBER(W74)),IF(W74&lt;=Settings!$B$6,Q74,0),0)</f>
        <v>0</v>
      </c>
      <c r="Z74" s="38" t="n">
        <f aca="false">IF(Y74=0,0,IF(T74="Backlog",Q74,Q74*Dashboard!$C$10))</f>
        <v>0</v>
      </c>
      <c r="AA74" s="37" t="n">
        <f aca="false">IF($N74="",0,IF(COUNTIF(Dashboard!$C$13:$C$22,$N74)&gt;0,1,0))</f>
        <v>0</v>
      </c>
      <c r="AB74" s="37" t="n">
        <f aca="false">IF($N74="","",IF(COUNTIF($N$8:$N74,$N74)=1,MAX($AB$7:$AB73)+1,""))</f>
        <v>42</v>
      </c>
    </row>
    <row r="75" customFormat="false" ht="15" hidden="false" customHeight="false" outlineLevel="0" collapsed="false">
      <c r="B75" s="32" t="s">
        <v>323</v>
      </c>
      <c r="C75" s="32" t="s">
        <v>324</v>
      </c>
      <c r="D75" s="35" t="n">
        <v>2954</v>
      </c>
      <c r="E75" s="32" t="s">
        <v>145</v>
      </c>
      <c r="F75" s="36" t="n">
        <v>46111</v>
      </c>
      <c r="G75" s="32" t="s">
        <v>325</v>
      </c>
      <c r="L75" s="37" t="str">
        <f aca="false">IF(INDEX($A75:$J75,$L$6)&lt;&gt;"",TRIM(LEFT(INDEX($A75:$J75,$L$6),FIND("(",INDEX($A75:$J75,$L$6)&amp;"(")-1)),L74)</f>
        <v>Closed Won</v>
      </c>
      <c r="M75" s="37" t="str">
        <f aca="false">IF(INDEX($A75:$J75,$M$6)="","",INDEX($A75:$J75,$M$6)&amp;"")</f>
        <v>ON24/KWM - Mallesons Brand Launch - 31.3.26</v>
      </c>
      <c r="N75" s="37" t="str">
        <f aca="false">IF($M75="","",TRIM(INDEX($A75:$J75,$N$6)&amp;""))</f>
        <v>ON24</v>
      </c>
      <c r="O75" s="37" t="str">
        <f aca="false">IF($M75="","",TRIM(INDEX($A75:$J75,$O$6)&amp;""))</f>
        <v>Event Production</v>
      </c>
      <c r="P75" s="37" t="str">
        <f aca="false">IF($M75="","",IFERROR(IF(INDEX(Settings!$B$41:$B$50,MATCH(O75,Settings!$A$41:$A$50,0))&amp;""="","UNMAPPED",INDEX(Settings!$B$41:$B$50,MATCH(O75,Settings!$A$41:$A$50,0))&amp;""),"UNMAPPED"))</f>
        <v>Production</v>
      </c>
      <c r="Q75" s="38" t="n">
        <f aca="false">IF($M75="",0,N(INDEX($A75:$J75,$Q$6)))</f>
        <v>2954</v>
      </c>
      <c r="R75" s="39" t="n">
        <f aca="false">IF($M75="","",INDEX($A75:$J75,$R$6))</f>
        <v>46111</v>
      </c>
      <c r="S75" s="37" t="str">
        <f aca="false">IF($M75="","",IFERROR(INDEX(Settings!$B$27:$B$36,MATCH(L75,Settings!$A$27:$A$36,0))&amp;"","UNMAPPED"))</f>
        <v>Won</v>
      </c>
      <c r="T75" s="37" t="str">
        <f aca="false">IF($M75="","",IF(NOT(ISNUMBER(R75)),"NO DATE",IF(S75="Won",IF(R75&gt;Settings!$B$5,"Backlog","Delivered"),IF(S75="Open",IF(R75&gt;Settings!$B$5,"Pipeline","Overdue"),IF(S75="Lost","Lost","UNMAPPED")))))</f>
        <v>Delivered</v>
      </c>
      <c r="U75" s="40" t="n">
        <f aca="false">IF(T75="Backlog",1,IF(OR(T75="Pipeline",T75="Overdue"),N(INDEX(Settings!$C$27:$C$36,MATCH(L75,Settings!$A$27:$A$36,0))),0))</f>
        <v>0</v>
      </c>
      <c r="V75" s="38" t="n">
        <f aca="false">Q75*U75</f>
        <v>0</v>
      </c>
      <c r="W75" s="41" t="n">
        <f aca="false">IF($M75="","",IF(T75="Overdue",IF(Settings!$B$8="Yes",Settings!$B$7,""),IF(ISNUMBER(R75),DATE(YEAR(R75),MONTH(R75),1),"")))</f>
        <v>46082</v>
      </c>
      <c r="X75" s="38" t="n">
        <f aca="false">IF(AND(OR(T75="Backlog",T75="Pipeline",T75="Overdue"),ISNUMBER(W75)),IF(W75&lt;=Settings!$B$6,V75,0),0)</f>
        <v>0</v>
      </c>
      <c r="Y75" s="38" t="n">
        <f aca="false">IF(AND(OR(T75="Backlog",T75="Pipeline",T75="Overdue"),ISNUMBER(W75)),IF(W75&lt;=Settings!$B$6,Q75,0),0)</f>
        <v>0</v>
      </c>
      <c r="Z75" s="38" t="n">
        <f aca="false">IF(Y75=0,0,IF(T75="Backlog",Q75,Q75*Dashboard!$C$10))</f>
        <v>0</v>
      </c>
      <c r="AA75" s="37" t="n">
        <f aca="false">IF($N75="",0,IF(COUNTIF(Dashboard!$C$13:$C$22,$N75)&gt;0,1,0))</f>
        <v>0</v>
      </c>
      <c r="AB75" s="37" t="n">
        <f aca="false">IF($N75="","",IF(COUNTIF($N$8:$N75,$N75)=1,MAX($AB$7:$AB74)+1,""))</f>
        <v>43</v>
      </c>
    </row>
    <row r="76" customFormat="false" ht="15" hidden="false" customHeight="false" outlineLevel="0" collapsed="false">
      <c r="B76" s="32" t="s">
        <v>326</v>
      </c>
      <c r="C76" s="32" t="s">
        <v>327</v>
      </c>
      <c r="D76" s="35" t="n">
        <v>9164</v>
      </c>
      <c r="E76" s="32" t="s">
        <v>141</v>
      </c>
      <c r="F76" s="36" t="n">
        <v>46220</v>
      </c>
      <c r="G76" s="32" t="s">
        <v>328</v>
      </c>
      <c r="L76" s="37" t="str">
        <f aca="false">IF(INDEX($A76:$J76,$L$6)&lt;&gt;"",TRIM(LEFT(INDEX($A76:$J76,$L$6),FIND("(",INDEX($A76:$J76,$L$6)&amp;"(")-1)),L75)</f>
        <v>Closed Won</v>
      </c>
      <c r="M76" s="37" t="str">
        <f aca="false">IF(INDEX($A76:$J76,$M$6)="","",INDEX($A76:$J76,$M$6)&amp;"")</f>
        <v>YSG | Orange Room Upgrade INT - 26071304</v>
      </c>
      <c r="N76" s="37" t="str">
        <f aca="false">IF($M76="","",TRIM(INDEX($A76:$J76,$N$6)&amp;""))</f>
        <v>YSG Studio</v>
      </c>
      <c r="O76" s="37" t="str">
        <f aca="false">IF($M76="","",TRIM(INDEX($A76:$J76,$O$6)&amp;""))</f>
        <v>Integration</v>
      </c>
      <c r="P76" s="37" t="str">
        <f aca="false">IF($M76="","",IFERROR(IF(INDEX(Settings!$B$41:$B$50,MATCH(O76,Settings!$A$41:$A$50,0))&amp;""="","UNMAPPED",INDEX(Settings!$B$41:$B$50,MATCH(O76,Settings!$A$41:$A$50,0))&amp;""),"UNMAPPED"))</f>
        <v>Integration</v>
      </c>
      <c r="Q76" s="38" t="n">
        <f aca="false">IF($M76="",0,N(INDEX($A76:$J76,$Q$6)))</f>
        <v>9164</v>
      </c>
      <c r="R76" s="39" t="n">
        <f aca="false">IF($M76="","",INDEX($A76:$J76,$R$6))</f>
        <v>46220</v>
      </c>
      <c r="S76" s="37" t="str">
        <f aca="false">IF($M76="","",IFERROR(INDEX(Settings!$B$27:$B$36,MATCH(L76,Settings!$A$27:$A$36,0))&amp;"","UNMAPPED"))</f>
        <v>Won</v>
      </c>
      <c r="T76" s="37" t="str">
        <f aca="false">IF($M76="","",IF(NOT(ISNUMBER(R76)),"NO DATE",IF(S76="Won",IF(R76&gt;Settings!$B$5,"Backlog","Delivered"),IF(S76="Open",IF(R76&gt;Settings!$B$5,"Pipeline","Overdue"),IF(S76="Lost","Lost","UNMAPPED")))))</f>
        <v>Delivered</v>
      </c>
      <c r="U76" s="40" t="n">
        <f aca="false">IF(T76="Backlog",1,IF(OR(T76="Pipeline",T76="Overdue"),N(INDEX(Settings!$C$27:$C$36,MATCH(L76,Settings!$A$27:$A$36,0))),0))</f>
        <v>0</v>
      </c>
      <c r="V76" s="38" t="n">
        <f aca="false">Q76*U76</f>
        <v>0</v>
      </c>
      <c r="W76" s="41" t="n">
        <f aca="false">IF($M76="","",IF(T76="Overdue",IF(Settings!$B$8="Yes",Settings!$B$7,""),IF(ISNUMBER(R76),DATE(YEAR(R76),MONTH(R76),1),"")))</f>
        <v>46204</v>
      </c>
      <c r="X76" s="38" t="n">
        <f aca="false">IF(AND(OR(T76="Backlog",T76="Pipeline",T76="Overdue"),ISNUMBER(W76)),IF(W76&lt;=Settings!$B$6,V76,0),0)</f>
        <v>0</v>
      </c>
      <c r="Y76" s="38" t="n">
        <f aca="false">IF(AND(OR(T76="Backlog",T76="Pipeline",T76="Overdue"),ISNUMBER(W76)),IF(W76&lt;=Settings!$B$6,Q76,0),0)</f>
        <v>0</v>
      </c>
      <c r="Z76" s="38" t="n">
        <f aca="false">IF(Y76=0,0,IF(T76="Backlog",Q76,Q76*Dashboard!$C$10))</f>
        <v>0</v>
      </c>
      <c r="AA76" s="37" t="n">
        <f aca="false">IF($N76="",0,IF(COUNTIF(Dashboard!$C$13:$C$22,$N76)&gt;0,1,0))</f>
        <v>0</v>
      </c>
      <c r="AB76" s="37" t="n">
        <f aca="false">IF($N76="","",IF(COUNTIF($N$8:$N76,$N76)=1,MAX($AB$7:$AB75)+1,""))</f>
        <v>44</v>
      </c>
    </row>
    <row r="77" customFormat="false" ht="15" hidden="false" customHeight="false" outlineLevel="0" collapsed="false">
      <c r="B77" s="32" t="s">
        <v>329</v>
      </c>
      <c r="C77" s="32" t="s">
        <v>330</v>
      </c>
      <c r="D77" s="35" t="n">
        <v>3949</v>
      </c>
      <c r="E77" s="32" t="s">
        <v>145</v>
      </c>
      <c r="F77" s="36" t="n">
        <v>46274</v>
      </c>
      <c r="G77" s="32" t="s">
        <v>331</v>
      </c>
      <c r="L77" s="37" t="str">
        <f aca="false">IF(INDEX($A77:$J77,$L$6)&lt;&gt;"",TRIM(LEFT(INDEX($A77:$J77,$L$6),FIND("(",INDEX($A77:$J77,$L$6)&amp;"(")-1)),L76)</f>
        <v>Closed Won</v>
      </c>
      <c r="M77" s="37" t="str">
        <f aca="false">IF(INDEX($A77:$J77,$M$6)="","",INDEX($A77:$J77,$M$6)&amp;"")</f>
        <v>GP - Talking Philanthropy - 18.9.26</v>
      </c>
      <c r="N77" s="37" t="str">
        <f aca="false">IF($M77="","",TRIM(INDEX($A77:$J77,$N$6)&amp;""))</f>
        <v>Global Philanthropic</v>
      </c>
      <c r="O77" s="37" t="str">
        <f aca="false">IF($M77="","",TRIM(INDEX($A77:$J77,$O$6)&amp;""))</f>
        <v>Event Production</v>
      </c>
      <c r="P77" s="37" t="str">
        <f aca="false">IF($M77="","",IFERROR(IF(INDEX(Settings!$B$41:$B$50,MATCH(O77,Settings!$A$41:$A$50,0))&amp;""="","UNMAPPED",INDEX(Settings!$B$41:$B$50,MATCH(O77,Settings!$A$41:$A$50,0))&amp;""),"UNMAPPED"))</f>
        <v>Production</v>
      </c>
      <c r="Q77" s="38" t="n">
        <f aca="false">IF($M77="",0,N(INDEX($A77:$J77,$Q$6)))</f>
        <v>3949</v>
      </c>
      <c r="R77" s="39" t="n">
        <f aca="false">IF($M77="","",INDEX($A77:$J77,$R$6))</f>
        <v>46274</v>
      </c>
      <c r="S77" s="37" t="str">
        <f aca="false">IF($M77="","",IFERROR(INDEX(Settings!$B$27:$B$36,MATCH(L77,Settings!$A$27:$A$36,0))&amp;"","UNMAPPED"))</f>
        <v>Won</v>
      </c>
      <c r="T77" s="37" t="str">
        <f aca="false">IF($M77="","",IF(NOT(ISNUMBER(R77)),"NO DATE",IF(S77="Won",IF(R77&gt;Settings!$B$5,"Backlog","Delivered"),IF(S77="Open",IF(R77&gt;Settings!$B$5,"Pipeline","Overdue"),IF(S77="Lost","Lost","UNMAPPED")))))</f>
        <v>Delivered</v>
      </c>
      <c r="U77" s="40" t="n">
        <f aca="false">IF(T77="Backlog",1,IF(OR(T77="Pipeline",T77="Overdue"),N(INDEX(Settings!$C$27:$C$36,MATCH(L77,Settings!$A$27:$A$36,0))),0))</f>
        <v>0</v>
      </c>
      <c r="V77" s="38" t="n">
        <f aca="false">Q77*U77</f>
        <v>0</v>
      </c>
      <c r="W77" s="41" t="n">
        <f aca="false">IF($M77="","",IF(T77="Overdue",IF(Settings!$B$8="Yes",Settings!$B$7,""),IF(ISNUMBER(R77),DATE(YEAR(R77),MONTH(R77),1),"")))</f>
        <v>46266</v>
      </c>
      <c r="X77" s="38" t="n">
        <f aca="false">IF(AND(OR(T77="Backlog",T77="Pipeline",T77="Overdue"),ISNUMBER(W77)),IF(W77&lt;=Settings!$B$6,V77,0),0)</f>
        <v>0</v>
      </c>
      <c r="Y77" s="38" t="n">
        <f aca="false">IF(AND(OR(T77="Backlog",T77="Pipeline",T77="Overdue"),ISNUMBER(W77)),IF(W77&lt;=Settings!$B$6,Q77,0),0)</f>
        <v>0</v>
      </c>
      <c r="Z77" s="38" t="n">
        <f aca="false">IF(Y77=0,0,IF(T77="Backlog",Q77,Q77*Dashboard!$C$10))</f>
        <v>0</v>
      </c>
      <c r="AA77" s="37" t="n">
        <f aca="false">IF($N77="",0,IF(COUNTIF(Dashboard!$C$13:$C$22,$N77)&gt;0,1,0))</f>
        <v>0</v>
      </c>
      <c r="AB77" s="37" t="n">
        <f aca="false">IF($N77="","",IF(COUNTIF($N$8:$N77,$N77)=1,MAX($AB$7:$AB76)+1,""))</f>
        <v>45</v>
      </c>
    </row>
    <row r="78" customFormat="false" ht="15" hidden="false" customHeight="false" outlineLevel="0" collapsed="false">
      <c r="B78" s="32" t="s">
        <v>332</v>
      </c>
      <c r="C78" s="32" t="s">
        <v>154</v>
      </c>
      <c r="D78" s="35" t="n">
        <v>638</v>
      </c>
      <c r="E78" s="32" t="s">
        <v>180</v>
      </c>
      <c r="F78" s="36" t="n">
        <v>46163</v>
      </c>
      <c r="G78" s="32" t="s">
        <v>333</v>
      </c>
      <c r="L78" s="37" t="str">
        <f aca="false">IF(INDEX($A78:$J78,$L$6)&lt;&gt;"",TRIM(LEFT(INDEX($A78:$J78,$L$6),FIND("(",INDEX($A78:$J78,$L$6)&amp;"(")-1)),L77)</f>
        <v>Closed Won</v>
      </c>
      <c r="M78" s="37" t="str">
        <f aca="false">IF(INDEX($A78:$J78,$M$6)="","",INDEX($A78:$J78,$M$6)&amp;"")</f>
        <v>PWC Perth AV Support | 22/05/2026 &amp; 25/05/2026_26051302</v>
      </c>
      <c r="N78" s="37" t="str">
        <f aca="false">IF($M78="","",TRIM(INDEX($A78:$J78,$N$6)&amp;""))</f>
        <v>PWC</v>
      </c>
      <c r="O78" s="37" t="str">
        <f aca="false">IF($M78="","",TRIM(INDEX($A78:$J78,$O$6)&amp;""))</f>
        <v>Support</v>
      </c>
      <c r="P78" s="37" t="str">
        <f aca="false">IF($M78="","",IFERROR(IF(INDEX(Settings!$B$41:$B$50,MATCH(O78,Settings!$A$41:$A$50,0))&amp;""="","UNMAPPED",INDEX(Settings!$B$41:$B$50,MATCH(O78,Settings!$A$41:$A$50,0))&amp;""),"UNMAPPED"))</f>
        <v>Onsite</v>
      </c>
      <c r="Q78" s="38" t="n">
        <f aca="false">IF($M78="",0,N(INDEX($A78:$J78,$Q$6)))</f>
        <v>638</v>
      </c>
      <c r="R78" s="39" t="n">
        <f aca="false">IF($M78="","",INDEX($A78:$J78,$R$6))</f>
        <v>46163</v>
      </c>
      <c r="S78" s="37" t="str">
        <f aca="false">IF($M78="","",IFERROR(INDEX(Settings!$B$27:$B$36,MATCH(L78,Settings!$A$27:$A$36,0))&amp;"","UNMAPPED"))</f>
        <v>Won</v>
      </c>
      <c r="T78" s="37" t="str">
        <f aca="false">IF($M78="","",IF(NOT(ISNUMBER(R78)),"NO DATE",IF(S78="Won",IF(R78&gt;Settings!$B$5,"Backlog","Delivered"),IF(S78="Open",IF(R78&gt;Settings!$B$5,"Pipeline","Overdue"),IF(S78="Lost","Lost","UNMAPPED")))))</f>
        <v>Delivered</v>
      </c>
      <c r="U78" s="40" t="n">
        <f aca="false">IF(T78="Backlog",1,IF(OR(T78="Pipeline",T78="Overdue"),N(INDEX(Settings!$C$27:$C$36,MATCH(L78,Settings!$A$27:$A$36,0))),0))</f>
        <v>0</v>
      </c>
      <c r="V78" s="38" t="n">
        <f aca="false">Q78*U78</f>
        <v>0</v>
      </c>
      <c r="W78" s="41" t="n">
        <f aca="false">IF($M78="","",IF(T78="Overdue",IF(Settings!$B$8="Yes",Settings!$B$7,""),IF(ISNUMBER(R78),DATE(YEAR(R78),MONTH(R78),1),"")))</f>
        <v>46143</v>
      </c>
      <c r="X78" s="38" t="n">
        <f aca="false">IF(AND(OR(T78="Backlog",T78="Pipeline",T78="Overdue"),ISNUMBER(W78)),IF(W78&lt;=Settings!$B$6,V78,0),0)</f>
        <v>0</v>
      </c>
      <c r="Y78" s="38" t="n">
        <f aca="false">IF(AND(OR(T78="Backlog",T78="Pipeline",T78="Overdue"),ISNUMBER(W78)),IF(W78&lt;=Settings!$B$6,Q78,0),0)</f>
        <v>0</v>
      </c>
      <c r="Z78" s="38" t="n">
        <f aca="false">IF(Y78=0,0,IF(T78="Backlog",Q78,Q78*Dashboard!$C$10))</f>
        <v>0</v>
      </c>
      <c r="AA78" s="37" t="n">
        <f aca="false">IF($N78="",0,IF(COUNTIF(Dashboard!$C$13:$C$22,$N78)&gt;0,1,0))</f>
        <v>0</v>
      </c>
      <c r="AB78" s="37" t="str">
        <f aca="false">IF($N78="","",IF(COUNTIF($N$8:$N78,$N78)=1,MAX($AB$7:$AB77)+1,""))</f>
        <v/>
      </c>
    </row>
    <row r="79" customFormat="false" ht="15" hidden="false" customHeight="false" outlineLevel="0" collapsed="false">
      <c r="B79" s="32" t="s">
        <v>334</v>
      </c>
      <c r="C79" s="32" t="s">
        <v>183</v>
      </c>
      <c r="D79" s="35" t="n">
        <v>4842</v>
      </c>
      <c r="E79" s="32" t="s">
        <v>145</v>
      </c>
      <c r="F79" s="36" t="n">
        <v>46213</v>
      </c>
      <c r="G79" s="32" t="s">
        <v>335</v>
      </c>
      <c r="L79" s="37" t="str">
        <f aca="false">IF(INDEX($A79:$J79,$L$6)&lt;&gt;"",TRIM(LEFT(INDEX($A79:$J79,$L$6),FIND("(",INDEX($A79:$J79,$L$6)&amp;"(")-1)),L78)</f>
        <v>Closed Won</v>
      </c>
      <c r="M79" s="37" t="str">
        <f aca="false">IF(INDEX($A79:$J79,$M$6)="","",INDEX($A79:$J79,$M$6)&amp;"")</f>
        <v>Chorus Call - Redox AGM - 7.10.26</v>
      </c>
      <c r="N79" s="37" t="str">
        <f aca="false">IF($M79="","",TRIM(INDEX($A79:$J79,$N$6)&amp;""))</f>
        <v>Chorus Call</v>
      </c>
      <c r="O79" s="37" t="str">
        <f aca="false">IF($M79="","",TRIM(INDEX($A79:$J79,$O$6)&amp;""))</f>
        <v>Event Production</v>
      </c>
      <c r="P79" s="37" t="str">
        <f aca="false">IF($M79="","",IFERROR(IF(INDEX(Settings!$B$41:$B$50,MATCH(O79,Settings!$A$41:$A$50,0))&amp;""="","UNMAPPED",INDEX(Settings!$B$41:$B$50,MATCH(O79,Settings!$A$41:$A$50,0))&amp;""),"UNMAPPED"))</f>
        <v>Production</v>
      </c>
      <c r="Q79" s="38" t="n">
        <f aca="false">IF($M79="",0,N(INDEX($A79:$J79,$Q$6)))</f>
        <v>4842</v>
      </c>
      <c r="R79" s="39" t="n">
        <f aca="false">IF($M79="","",INDEX($A79:$J79,$R$6))</f>
        <v>46213</v>
      </c>
      <c r="S79" s="37" t="str">
        <f aca="false">IF($M79="","",IFERROR(INDEX(Settings!$B$27:$B$36,MATCH(L79,Settings!$A$27:$A$36,0))&amp;"","UNMAPPED"))</f>
        <v>Won</v>
      </c>
      <c r="T79" s="37" t="str">
        <f aca="false">IF($M79="","",IF(NOT(ISNUMBER(R79)),"NO DATE",IF(S79="Won",IF(R79&gt;Settings!$B$5,"Backlog","Delivered"),IF(S79="Open",IF(R79&gt;Settings!$B$5,"Pipeline","Overdue"),IF(S79="Lost","Lost","UNMAPPED")))))</f>
        <v>Delivered</v>
      </c>
      <c r="U79" s="40" t="n">
        <f aca="false">IF(T79="Backlog",1,IF(OR(T79="Pipeline",T79="Overdue"),N(INDEX(Settings!$C$27:$C$36,MATCH(L79,Settings!$A$27:$A$36,0))),0))</f>
        <v>0</v>
      </c>
      <c r="V79" s="38" t="n">
        <f aca="false">Q79*U79</f>
        <v>0</v>
      </c>
      <c r="W79" s="41" t="n">
        <f aca="false">IF($M79="","",IF(T79="Overdue",IF(Settings!$B$8="Yes",Settings!$B$7,""),IF(ISNUMBER(R79),DATE(YEAR(R79),MONTH(R79),1),"")))</f>
        <v>46204</v>
      </c>
      <c r="X79" s="38" t="n">
        <f aca="false">IF(AND(OR(T79="Backlog",T79="Pipeline",T79="Overdue"),ISNUMBER(W79)),IF(W79&lt;=Settings!$B$6,V79,0),0)</f>
        <v>0</v>
      </c>
      <c r="Y79" s="38" t="n">
        <f aca="false">IF(AND(OR(T79="Backlog",T79="Pipeline",T79="Overdue"),ISNUMBER(W79)),IF(W79&lt;=Settings!$B$6,Q79,0),0)</f>
        <v>0</v>
      </c>
      <c r="Z79" s="38" t="n">
        <f aca="false">IF(Y79=0,0,IF(T79="Backlog",Q79,Q79*Dashboard!$C$10))</f>
        <v>0</v>
      </c>
      <c r="AA79" s="37" t="n">
        <f aca="false">IF($N79="",0,IF(COUNTIF(Dashboard!$C$13:$C$22,$N79)&gt;0,1,0))</f>
        <v>0</v>
      </c>
      <c r="AB79" s="37" t="str">
        <f aca="false">IF($N79="","",IF(COUNTIF($N$8:$N79,$N79)=1,MAX($AB$7:$AB78)+1,""))</f>
        <v/>
      </c>
    </row>
    <row r="80" customFormat="false" ht="15" hidden="false" customHeight="false" outlineLevel="0" collapsed="false">
      <c r="B80" s="32" t="s">
        <v>336</v>
      </c>
      <c r="C80" s="32" t="s">
        <v>253</v>
      </c>
      <c r="D80" s="35" t="n">
        <v>12534</v>
      </c>
      <c r="E80" s="32" t="s">
        <v>145</v>
      </c>
      <c r="F80" s="36" t="n">
        <v>46167</v>
      </c>
      <c r="G80" s="32" t="s">
        <v>337</v>
      </c>
      <c r="L80" s="37" t="str">
        <f aca="false">IF(INDEX($A80:$J80,$L$6)&lt;&gt;"",TRIM(LEFT(INDEX($A80:$J80,$L$6),FIND("(",INDEX($A80:$J80,$L$6)&amp;"(")-1)),L79)</f>
        <v>Closed Won</v>
      </c>
      <c r="M80" s="37" t="str">
        <f aca="false">IF(INDEX($A80:$J80,$M$6)="","",INDEX($A80:$J80,$M$6)&amp;"")</f>
        <v>ASX - CEO Farewell - 27.5.26</v>
      </c>
      <c r="N80" s="37" t="str">
        <f aca="false">IF($M80="","",TRIM(INDEX($A80:$J80,$N$6)&amp;""))</f>
        <v>ASX Australian Securities Exchange</v>
      </c>
      <c r="O80" s="37" t="str">
        <f aca="false">IF($M80="","",TRIM(INDEX($A80:$J80,$O$6)&amp;""))</f>
        <v>Event Production</v>
      </c>
      <c r="P80" s="37" t="str">
        <f aca="false">IF($M80="","",IFERROR(IF(INDEX(Settings!$B$41:$B$50,MATCH(O80,Settings!$A$41:$A$50,0))&amp;""="","UNMAPPED",INDEX(Settings!$B$41:$B$50,MATCH(O80,Settings!$A$41:$A$50,0))&amp;""),"UNMAPPED"))</f>
        <v>Production</v>
      </c>
      <c r="Q80" s="38" t="n">
        <f aca="false">IF($M80="",0,N(INDEX($A80:$J80,$Q$6)))</f>
        <v>12534</v>
      </c>
      <c r="R80" s="39" t="n">
        <f aca="false">IF($M80="","",INDEX($A80:$J80,$R$6))</f>
        <v>46167</v>
      </c>
      <c r="S80" s="37" t="str">
        <f aca="false">IF($M80="","",IFERROR(INDEX(Settings!$B$27:$B$36,MATCH(L80,Settings!$A$27:$A$36,0))&amp;"","UNMAPPED"))</f>
        <v>Won</v>
      </c>
      <c r="T80" s="37" t="str">
        <f aca="false">IF($M80="","",IF(NOT(ISNUMBER(R80)),"NO DATE",IF(S80="Won",IF(R80&gt;Settings!$B$5,"Backlog","Delivered"),IF(S80="Open",IF(R80&gt;Settings!$B$5,"Pipeline","Overdue"),IF(S80="Lost","Lost","UNMAPPED")))))</f>
        <v>Delivered</v>
      </c>
      <c r="U80" s="40" t="n">
        <f aca="false">IF(T80="Backlog",1,IF(OR(T80="Pipeline",T80="Overdue"),N(INDEX(Settings!$C$27:$C$36,MATCH(L80,Settings!$A$27:$A$36,0))),0))</f>
        <v>0</v>
      </c>
      <c r="V80" s="38" t="n">
        <f aca="false">Q80*U80</f>
        <v>0</v>
      </c>
      <c r="W80" s="41" t="n">
        <f aca="false">IF($M80="","",IF(T80="Overdue",IF(Settings!$B$8="Yes",Settings!$B$7,""),IF(ISNUMBER(R80),DATE(YEAR(R80),MONTH(R80),1),"")))</f>
        <v>46143</v>
      </c>
      <c r="X80" s="38" t="n">
        <f aca="false">IF(AND(OR(T80="Backlog",T80="Pipeline",T80="Overdue"),ISNUMBER(W80)),IF(W80&lt;=Settings!$B$6,V80,0),0)</f>
        <v>0</v>
      </c>
      <c r="Y80" s="38" t="n">
        <f aca="false">IF(AND(OR(T80="Backlog",T80="Pipeline",T80="Overdue"),ISNUMBER(W80)),IF(W80&lt;=Settings!$B$6,Q80,0),0)</f>
        <v>0</v>
      </c>
      <c r="Z80" s="38" t="n">
        <f aca="false">IF(Y80=0,0,IF(T80="Backlog",Q80,Q80*Dashboard!$C$10))</f>
        <v>0</v>
      </c>
      <c r="AA80" s="37" t="n">
        <f aca="false">IF($N80="",0,IF(COUNTIF(Dashboard!$C$13:$C$22,$N80)&gt;0,1,0))</f>
        <v>0</v>
      </c>
      <c r="AB80" s="37" t="str">
        <f aca="false">IF($N80="","",IF(COUNTIF($N$8:$N80,$N80)=1,MAX($AB$7:$AB79)+1,""))</f>
        <v/>
      </c>
    </row>
    <row r="81" customFormat="false" ht="15" hidden="false" customHeight="false" outlineLevel="0" collapsed="false">
      <c r="B81" s="32" t="s">
        <v>338</v>
      </c>
      <c r="C81" s="32" t="s">
        <v>339</v>
      </c>
      <c r="D81" s="35" t="n">
        <v>8700</v>
      </c>
      <c r="E81" s="32" t="s">
        <v>173</v>
      </c>
      <c r="F81" s="36" t="n">
        <v>45961</v>
      </c>
      <c r="G81" s="32" t="s">
        <v>340</v>
      </c>
      <c r="L81" s="37" t="str">
        <f aca="false">IF(INDEX($A81:$J81,$L$6)&lt;&gt;"",TRIM(LEFT(INDEX($A81:$J81,$L$6),FIND("(",INDEX($A81:$J81,$L$6)&amp;"(")-1)),L80)</f>
        <v>Closed Won</v>
      </c>
      <c r="M81" s="37" t="str">
        <f aca="false">IF(INDEX($A81:$J81,$M$6)="","",INDEX($A81:$J81,$M$6)&amp;"")</f>
        <v>Westfield Bondi Screen Tests</v>
      </c>
      <c r="N81" s="37" t="str">
        <f aca="false">IF($M81="","",TRIM(INDEX($A81:$J81,$N$6)&amp;""))</f>
        <v>Scentre Group</v>
      </c>
      <c r="O81" s="37" t="str">
        <f aca="false">IF($M81="","",TRIM(INDEX($A81:$J81,$O$6)&amp;""))</f>
        <v>Consulting</v>
      </c>
      <c r="P81" s="37" t="str">
        <f aca="false">IF($M81="","",IFERROR(IF(INDEX(Settings!$B$41:$B$50,MATCH(O81,Settings!$A$41:$A$50,0))&amp;""="","UNMAPPED",INDEX(Settings!$B$41:$B$50,MATCH(O81,Settings!$A$41:$A$50,0))&amp;""),"UNMAPPED"))</f>
        <v>Consulting</v>
      </c>
      <c r="Q81" s="38" t="n">
        <f aca="false">IF($M81="",0,N(INDEX($A81:$J81,$Q$6)))</f>
        <v>8700</v>
      </c>
      <c r="R81" s="39" t="n">
        <f aca="false">IF($M81="","",INDEX($A81:$J81,$R$6))</f>
        <v>45961</v>
      </c>
      <c r="S81" s="37" t="str">
        <f aca="false">IF($M81="","",IFERROR(INDEX(Settings!$B$27:$B$36,MATCH(L81,Settings!$A$27:$A$36,0))&amp;"","UNMAPPED"))</f>
        <v>Won</v>
      </c>
      <c r="T81" s="37" t="str">
        <f aca="false">IF($M81="","",IF(NOT(ISNUMBER(R81)),"NO DATE",IF(S81="Won",IF(R81&gt;Settings!$B$5,"Backlog","Delivered"),IF(S81="Open",IF(R81&gt;Settings!$B$5,"Pipeline","Overdue"),IF(S81="Lost","Lost","UNMAPPED")))))</f>
        <v>Delivered</v>
      </c>
      <c r="U81" s="40" t="n">
        <f aca="false">IF(T81="Backlog",1,IF(OR(T81="Pipeline",T81="Overdue"),N(INDEX(Settings!$C$27:$C$36,MATCH(L81,Settings!$A$27:$A$36,0))),0))</f>
        <v>0</v>
      </c>
      <c r="V81" s="38" t="n">
        <f aca="false">Q81*U81</f>
        <v>0</v>
      </c>
      <c r="W81" s="41" t="n">
        <f aca="false">IF($M81="","",IF(T81="Overdue",IF(Settings!$B$8="Yes",Settings!$B$7,""),IF(ISNUMBER(R81),DATE(YEAR(R81),MONTH(R81),1),"")))</f>
        <v>45931</v>
      </c>
      <c r="X81" s="38" t="n">
        <f aca="false">IF(AND(OR(T81="Backlog",T81="Pipeline",T81="Overdue"),ISNUMBER(W81)),IF(W81&lt;=Settings!$B$6,V81,0),0)</f>
        <v>0</v>
      </c>
      <c r="Y81" s="38" t="n">
        <f aca="false">IF(AND(OR(T81="Backlog",T81="Pipeline",T81="Overdue"),ISNUMBER(W81)),IF(W81&lt;=Settings!$B$6,Q81,0),0)</f>
        <v>0</v>
      </c>
      <c r="Z81" s="38" t="n">
        <f aca="false">IF(Y81=0,0,IF(T81="Backlog",Q81,Q81*Dashboard!$C$10))</f>
        <v>0</v>
      </c>
      <c r="AA81" s="37" t="n">
        <f aca="false">IF($N81="",0,IF(COUNTIF(Dashboard!$C$13:$C$22,$N81)&gt;0,1,0))</f>
        <v>0</v>
      </c>
      <c r="AB81" s="37" t="n">
        <f aca="false">IF($N81="","",IF(COUNTIF($N$8:$N81,$N81)=1,MAX($AB$7:$AB80)+1,""))</f>
        <v>46</v>
      </c>
    </row>
    <row r="82" customFormat="false" ht="15" hidden="false" customHeight="false" outlineLevel="0" collapsed="false">
      <c r="B82" s="32" t="s">
        <v>341</v>
      </c>
      <c r="C82" s="32" t="s">
        <v>342</v>
      </c>
      <c r="D82" s="35" t="n">
        <v>975</v>
      </c>
      <c r="E82" s="32" t="s">
        <v>145</v>
      </c>
      <c r="F82" s="36" t="n">
        <v>46220</v>
      </c>
      <c r="G82" s="32" t="s">
        <v>343</v>
      </c>
      <c r="L82" s="37" t="str">
        <f aca="false">IF(INDEX($A82:$J82,$L$6)&lt;&gt;"",TRIM(LEFT(INDEX($A82:$J82,$L$6),FIND("(",INDEX($A82:$J82,$L$6)&amp;"(")-1)),L81)</f>
        <v>Closed Won</v>
      </c>
      <c r="M82" s="37" t="str">
        <f aca="false">IF(INDEX($A82:$J82,$M$6)="","",INDEX($A82:$J82,$M$6)&amp;"")</f>
        <v>Skykick Ranger - Sydney Performance - 26.7.26</v>
      </c>
      <c r="N82" s="37" t="str">
        <f aca="false">IF($M82="","",TRIM(INDEX($A82:$J82,$N$6)&amp;""))</f>
        <v>Skykick Ranger</v>
      </c>
      <c r="O82" s="37" t="str">
        <f aca="false">IF($M82="","",TRIM(INDEX($A82:$J82,$O$6)&amp;""))</f>
        <v>Event Production</v>
      </c>
      <c r="P82" s="37" t="str">
        <f aca="false">IF($M82="","",IFERROR(IF(INDEX(Settings!$B$41:$B$50,MATCH(O82,Settings!$A$41:$A$50,0))&amp;""="","UNMAPPED",INDEX(Settings!$B$41:$B$50,MATCH(O82,Settings!$A$41:$A$50,0))&amp;""),"UNMAPPED"))</f>
        <v>Production</v>
      </c>
      <c r="Q82" s="38" t="n">
        <f aca="false">IF($M82="",0,N(INDEX($A82:$J82,$Q$6)))</f>
        <v>975</v>
      </c>
      <c r="R82" s="39" t="n">
        <f aca="false">IF($M82="","",INDEX($A82:$J82,$R$6))</f>
        <v>46220</v>
      </c>
      <c r="S82" s="37" t="str">
        <f aca="false">IF($M82="","",IFERROR(INDEX(Settings!$B$27:$B$36,MATCH(L82,Settings!$A$27:$A$36,0))&amp;"","UNMAPPED"))</f>
        <v>Won</v>
      </c>
      <c r="T82" s="37" t="str">
        <f aca="false">IF($M82="","",IF(NOT(ISNUMBER(R82)),"NO DATE",IF(S82="Won",IF(R82&gt;Settings!$B$5,"Backlog","Delivered"),IF(S82="Open",IF(R82&gt;Settings!$B$5,"Pipeline","Overdue"),IF(S82="Lost","Lost","UNMAPPED")))))</f>
        <v>Delivered</v>
      </c>
      <c r="U82" s="40" t="n">
        <f aca="false">IF(T82="Backlog",1,IF(OR(T82="Pipeline",T82="Overdue"),N(INDEX(Settings!$C$27:$C$36,MATCH(L82,Settings!$A$27:$A$36,0))),0))</f>
        <v>0</v>
      </c>
      <c r="V82" s="38" t="n">
        <f aca="false">Q82*U82</f>
        <v>0</v>
      </c>
      <c r="W82" s="41" t="n">
        <f aca="false">IF($M82="","",IF(T82="Overdue",IF(Settings!$B$8="Yes",Settings!$B$7,""),IF(ISNUMBER(R82),DATE(YEAR(R82),MONTH(R82),1),"")))</f>
        <v>46204</v>
      </c>
      <c r="X82" s="38" t="n">
        <f aca="false">IF(AND(OR(T82="Backlog",T82="Pipeline",T82="Overdue"),ISNUMBER(W82)),IF(W82&lt;=Settings!$B$6,V82,0),0)</f>
        <v>0</v>
      </c>
      <c r="Y82" s="38" t="n">
        <f aca="false">IF(AND(OR(T82="Backlog",T82="Pipeline",T82="Overdue"),ISNUMBER(W82)),IF(W82&lt;=Settings!$B$6,Q82,0),0)</f>
        <v>0</v>
      </c>
      <c r="Z82" s="38" t="n">
        <f aca="false">IF(Y82=0,0,IF(T82="Backlog",Q82,Q82*Dashboard!$C$10))</f>
        <v>0</v>
      </c>
      <c r="AA82" s="37" t="n">
        <f aca="false">IF($N82="",0,IF(COUNTIF(Dashboard!$C$13:$C$22,$N82)&gt;0,1,0))</f>
        <v>0</v>
      </c>
      <c r="AB82" s="37" t="n">
        <f aca="false">IF($N82="","",IF(COUNTIF($N$8:$N82,$N82)=1,MAX($AB$7:$AB81)+1,""))</f>
        <v>47</v>
      </c>
    </row>
    <row r="83" customFormat="false" ht="15" hidden="false" customHeight="false" outlineLevel="0" collapsed="false">
      <c r="B83" s="32" t="s">
        <v>344</v>
      </c>
      <c r="C83" s="32" t="s">
        <v>205</v>
      </c>
      <c r="D83" s="35" t="n">
        <v>510</v>
      </c>
      <c r="E83" s="32" t="s">
        <v>180</v>
      </c>
      <c r="F83" s="36" t="n">
        <v>46150</v>
      </c>
      <c r="G83" s="32" t="s">
        <v>345</v>
      </c>
      <c r="L83" s="37" t="str">
        <f aca="false">IF(INDEX($A83:$J83,$L$6)&lt;&gt;"",TRIM(LEFT(INDEX($A83:$J83,$L$6),FIND("(",INDEX($A83:$J83,$L$6)&amp;"(")-1)),L82)</f>
        <v>Closed Won</v>
      </c>
      <c r="M83" s="37" t="str">
        <f aca="false">IF(INDEX($A83:$J83,$M$6)="","",INDEX($A83:$J83,$M$6)&amp;"")</f>
        <v>Deloitte Tech Support - Deloitte x AWS AP AI Symposium | 2605501</v>
      </c>
      <c r="N83" s="37" t="str">
        <f aca="false">IF($M83="","",TRIM(INDEX($A83:$J83,$N$6)&amp;""))</f>
        <v>Deloitte - Sydney</v>
      </c>
      <c r="O83" s="37" t="str">
        <f aca="false">IF($M83="","",TRIM(INDEX($A83:$J83,$O$6)&amp;""))</f>
        <v>Support</v>
      </c>
      <c r="P83" s="37" t="str">
        <f aca="false">IF($M83="","",IFERROR(IF(INDEX(Settings!$B$41:$B$50,MATCH(O83,Settings!$A$41:$A$50,0))&amp;""="","UNMAPPED",INDEX(Settings!$B$41:$B$50,MATCH(O83,Settings!$A$41:$A$50,0))&amp;""),"UNMAPPED"))</f>
        <v>Onsite</v>
      </c>
      <c r="Q83" s="38" t="n">
        <f aca="false">IF($M83="",0,N(INDEX($A83:$J83,$Q$6)))</f>
        <v>510</v>
      </c>
      <c r="R83" s="39" t="n">
        <f aca="false">IF($M83="","",INDEX($A83:$J83,$R$6))</f>
        <v>46150</v>
      </c>
      <c r="S83" s="37" t="str">
        <f aca="false">IF($M83="","",IFERROR(INDEX(Settings!$B$27:$B$36,MATCH(L83,Settings!$A$27:$A$36,0))&amp;"","UNMAPPED"))</f>
        <v>Won</v>
      </c>
      <c r="T83" s="37" t="str">
        <f aca="false">IF($M83="","",IF(NOT(ISNUMBER(R83)),"NO DATE",IF(S83="Won",IF(R83&gt;Settings!$B$5,"Backlog","Delivered"),IF(S83="Open",IF(R83&gt;Settings!$B$5,"Pipeline","Overdue"),IF(S83="Lost","Lost","UNMAPPED")))))</f>
        <v>Delivered</v>
      </c>
      <c r="U83" s="40" t="n">
        <f aca="false">IF(T83="Backlog",1,IF(OR(T83="Pipeline",T83="Overdue"),N(INDEX(Settings!$C$27:$C$36,MATCH(L83,Settings!$A$27:$A$36,0))),0))</f>
        <v>0</v>
      </c>
      <c r="V83" s="38" t="n">
        <f aca="false">Q83*U83</f>
        <v>0</v>
      </c>
      <c r="W83" s="41" t="n">
        <f aca="false">IF($M83="","",IF(T83="Overdue",IF(Settings!$B$8="Yes",Settings!$B$7,""),IF(ISNUMBER(R83),DATE(YEAR(R83),MONTH(R83),1),"")))</f>
        <v>46143</v>
      </c>
      <c r="X83" s="38" t="n">
        <f aca="false">IF(AND(OR(T83="Backlog",T83="Pipeline",T83="Overdue"),ISNUMBER(W83)),IF(W83&lt;=Settings!$B$6,V83,0),0)</f>
        <v>0</v>
      </c>
      <c r="Y83" s="38" t="n">
        <f aca="false">IF(AND(OR(T83="Backlog",T83="Pipeline",T83="Overdue"),ISNUMBER(W83)),IF(W83&lt;=Settings!$B$6,Q83,0),0)</f>
        <v>0</v>
      </c>
      <c r="Z83" s="38" t="n">
        <f aca="false">IF(Y83=0,0,IF(T83="Backlog",Q83,Q83*Dashboard!$C$10))</f>
        <v>0</v>
      </c>
      <c r="AA83" s="37" t="n">
        <f aca="false">IF($N83="",0,IF(COUNTIF(Dashboard!$C$13:$C$22,$N83)&gt;0,1,0))</f>
        <v>0</v>
      </c>
      <c r="AB83" s="37" t="str">
        <f aca="false">IF($N83="","",IF(COUNTIF($N$8:$N83,$N83)=1,MAX($AB$7:$AB82)+1,""))</f>
        <v/>
      </c>
    </row>
    <row r="84" customFormat="false" ht="15" hidden="false" customHeight="false" outlineLevel="0" collapsed="false">
      <c r="B84" s="32" t="s">
        <v>346</v>
      </c>
      <c r="C84" s="32" t="s">
        <v>191</v>
      </c>
      <c r="D84" s="35" t="n">
        <v>8882</v>
      </c>
      <c r="E84" s="32" t="s">
        <v>145</v>
      </c>
      <c r="F84" s="36" t="n">
        <v>46234</v>
      </c>
      <c r="G84" s="32" t="s">
        <v>347</v>
      </c>
      <c r="L84" s="37" t="str">
        <f aca="false">IF(INDEX($A84:$J84,$L$6)&lt;&gt;"",TRIM(LEFT(INDEX($A84:$J84,$L$6),FIND("(",INDEX($A84:$J84,$L$6)&amp;"(")-1)),L83)</f>
        <v>Closed Won</v>
      </c>
      <c r="M84" s="37" t="str">
        <f aca="false">IF(INDEX($A84:$J84,$M$6)="","",INDEX($A84:$J84,$M$6)&amp;"")</f>
        <v>CBA - LES - July 2026</v>
      </c>
      <c r="N84" s="37" t="str">
        <f aca="false">IF($M84="","",TRIM(INDEX($A84:$J84,$N$6)&amp;""))</f>
        <v>Commonwealth Bank Australia (CBA)</v>
      </c>
      <c r="O84" s="37" t="str">
        <f aca="false">IF($M84="","",TRIM(INDEX($A84:$J84,$O$6)&amp;""))</f>
        <v>Event Production</v>
      </c>
      <c r="P84" s="37" t="str">
        <f aca="false">IF($M84="","",IFERROR(IF(INDEX(Settings!$B$41:$B$50,MATCH(O84,Settings!$A$41:$A$50,0))&amp;""="","UNMAPPED",INDEX(Settings!$B$41:$B$50,MATCH(O84,Settings!$A$41:$A$50,0))&amp;""),"UNMAPPED"))</f>
        <v>Production</v>
      </c>
      <c r="Q84" s="38" t="n">
        <f aca="false">IF($M84="",0,N(INDEX($A84:$J84,$Q$6)))</f>
        <v>8882</v>
      </c>
      <c r="R84" s="39" t="n">
        <f aca="false">IF($M84="","",INDEX($A84:$J84,$R$6))</f>
        <v>46234</v>
      </c>
      <c r="S84" s="37" t="str">
        <f aca="false">IF($M84="","",IFERROR(INDEX(Settings!$B$27:$B$36,MATCH(L84,Settings!$A$27:$A$36,0))&amp;"","UNMAPPED"))</f>
        <v>Won</v>
      </c>
      <c r="T84" s="37" t="str">
        <f aca="false">IF($M84="","",IF(NOT(ISNUMBER(R84)),"NO DATE",IF(S84="Won",IF(R84&gt;Settings!$B$5,"Backlog","Delivered"),IF(S84="Open",IF(R84&gt;Settings!$B$5,"Pipeline","Overdue"),IF(S84="Lost","Lost","UNMAPPED")))))</f>
        <v>Delivered</v>
      </c>
      <c r="U84" s="40" t="n">
        <f aca="false">IF(T84="Backlog",1,IF(OR(T84="Pipeline",T84="Overdue"),N(INDEX(Settings!$C$27:$C$36,MATCH(L84,Settings!$A$27:$A$36,0))),0))</f>
        <v>0</v>
      </c>
      <c r="V84" s="38" t="n">
        <f aca="false">Q84*U84</f>
        <v>0</v>
      </c>
      <c r="W84" s="41" t="n">
        <f aca="false">IF($M84="","",IF(T84="Overdue",IF(Settings!$B$8="Yes",Settings!$B$7,""),IF(ISNUMBER(R84),DATE(YEAR(R84),MONTH(R84),1),"")))</f>
        <v>46204</v>
      </c>
      <c r="X84" s="38" t="n">
        <f aca="false">IF(AND(OR(T84="Backlog",T84="Pipeline",T84="Overdue"),ISNUMBER(W84)),IF(W84&lt;=Settings!$B$6,V84,0),0)</f>
        <v>0</v>
      </c>
      <c r="Y84" s="38" t="n">
        <f aca="false">IF(AND(OR(T84="Backlog",T84="Pipeline",T84="Overdue"),ISNUMBER(W84)),IF(W84&lt;=Settings!$B$6,Q84,0),0)</f>
        <v>0</v>
      </c>
      <c r="Z84" s="38" t="n">
        <f aca="false">IF(Y84=0,0,IF(T84="Backlog",Q84,Q84*Dashboard!$C$10))</f>
        <v>0</v>
      </c>
      <c r="AA84" s="37" t="n">
        <f aca="false">IF($N84="",0,IF(COUNTIF(Dashboard!$C$13:$C$22,$N84)&gt;0,1,0))</f>
        <v>0</v>
      </c>
      <c r="AB84" s="37" t="str">
        <f aca="false">IF($N84="","",IF(COUNTIF($N$8:$N84,$N84)=1,MAX($AB$7:$AB83)+1,""))</f>
        <v/>
      </c>
    </row>
    <row r="85" customFormat="false" ht="15" hidden="false" customHeight="false" outlineLevel="0" collapsed="false">
      <c r="B85" s="32" t="s">
        <v>348</v>
      </c>
      <c r="C85" s="32" t="s">
        <v>194</v>
      </c>
      <c r="D85" s="35" t="n">
        <v>14602</v>
      </c>
      <c r="E85" s="32" t="s">
        <v>145</v>
      </c>
      <c r="F85" s="36" t="n">
        <v>45910</v>
      </c>
      <c r="G85" s="32" t="s">
        <v>349</v>
      </c>
      <c r="L85" s="37" t="str">
        <f aca="false">IF(INDEX($A85:$J85,$L$6)&lt;&gt;"",TRIM(LEFT(INDEX($A85:$J85,$L$6),FIND("(",INDEX($A85:$J85,$L$6)&amp;"(")-1)),L84)</f>
        <v>Closed Won</v>
      </c>
      <c r="M85" s="37" t="str">
        <f aca="false">IF(INDEX($A85:$J85,$M$6)="","",INDEX($A85:$J85,$M$6)&amp;"")</f>
        <v>Leader Welcome 10 &amp; 11.09.2025</v>
      </c>
      <c r="N85" s="37" t="str">
        <f aca="false">IF($M85="","",TRIM(INDEX($A85:$J85,$N$6)&amp;""))</f>
        <v>Ventia</v>
      </c>
      <c r="O85" s="37" t="str">
        <f aca="false">IF($M85="","",TRIM(INDEX($A85:$J85,$O$6)&amp;""))</f>
        <v>Event Production</v>
      </c>
      <c r="P85" s="37" t="str">
        <f aca="false">IF($M85="","",IFERROR(IF(INDEX(Settings!$B$41:$B$50,MATCH(O85,Settings!$A$41:$A$50,0))&amp;""="","UNMAPPED",INDEX(Settings!$B$41:$B$50,MATCH(O85,Settings!$A$41:$A$50,0))&amp;""),"UNMAPPED"))</f>
        <v>Production</v>
      </c>
      <c r="Q85" s="38" t="n">
        <f aca="false">IF($M85="",0,N(INDEX($A85:$J85,$Q$6)))</f>
        <v>14602</v>
      </c>
      <c r="R85" s="39" t="n">
        <f aca="false">IF($M85="","",INDEX($A85:$J85,$R$6))</f>
        <v>45910</v>
      </c>
      <c r="S85" s="37" t="str">
        <f aca="false">IF($M85="","",IFERROR(INDEX(Settings!$B$27:$B$36,MATCH(L85,Settings!$A$27:$A$36,0))&amp;"","UNMAPPED"))</f>
        <v>Won</v>
      </c>
      <c r="T85" s="37" t="str">
        <f aca="false">IF($M85="","",IF(NOT(ISNUMBER(R85)),"NO DATE",IF(S85="Won",IF(R85&gt;Settings!$B$5,"Backlog","Delivered"),IF(S85="Open",IF(R85&gt;Settings!$B$5,"Pipeline","Overdue"),IF(S85="Lost","Lost","UNMAPPED")))))</f>
        <v>Delivered</v>
      </c>
      <c r="U85" s="40" t="n">
        <f aca="false">IF(T85="Backlog",1,IF(OR(T85="Pipeline",T85="Overdue"),N(INDEX(Settings!$C$27:$C$36,MATCH(L85,Settings!$A$27:$A$36,0))),0))</f>
        <v>0</v>
      </c>
      <c r="V85" s="38" t="n">
        <f aca="false">Q85*U85</f>
        <v>0</v>
      </c>
      <c r="W85" s="41" t="n">
        <f aca="false">IF($M85="","",IF(T85="Overdue",IF(Settings!$B$8="Yes",Settings!$B$7,""),IF(ISNUMBER(R85),DATE(YEAR(R85),MONTH(R85),1),"")))</f>
        <v>45901</v>
      </c>
      <c r="X85" s="38" t="n">
        <f aca="false">IF(AND(OR(T85="Backlog",T85="Pipeline",T85="Overdue"),ISNUMBER(W85)),IF(W85&lt;=Settings!$B$6,V85,0),0)</f>
        <v>0</v>
      </c>
      <c r="Y85" s="38" t="n">
        <f aca="false">IF(AND(OR(T85="Backlog",T85="Pipeline",T85="Overdue"),ISNUMBER(W85)),IF(W85&lt;=Settings!$B$6,Q85,0),0)</f>
        <v>0</v>
      </c>
      <c r="Z85" s="38" t="n">
        <f aca="false">IF(Y85=0,0,IF(T85="Backlog",Q85,Q85*Dashboard!$C$10))</f>
        <v>0</v>
      </c>
      <c r="AA85" s="37" t="n">
        <f aca="false">IF($N85="",0,IF(COUNTIF(Dashboard!$C$13:$C$22,$N85)&gt;0,1,0))</f>
        <v>0</v>
      </c>
      <c r="AB85" s="37" t="str">
        <f aca="false">IF($N85="","",IF(COUNTIF($N$8:$N85,$N85)=1,MAX($AB$7:$AB84)+1,""))</f>
        <v/>
      </c>
    </row>
    <row r="86" customFormat="false" ht="15" hidden="false" customHeight="false" outlineLevel="0" collapsed="false">
      <c r="B86" s="32" t="s">
        <v>350</v>
      </c>
      <c r="C86" s="32" t="s">
        <v>194</v>
      </c>
      <c r="D86" s="35" t="n">
        <v>22000</v>
      </c>
      <c r="E86" s="32" t="s">
        <v>145</v>
      </c>
      <c r="F86" s="36" t="n">
        <v>45953</v>
      </c>
      <c r="G86" s="32" t="s">
        <v>351</v>
      </c>
      <c r="L86" s="37" t="str">
        <f aca="false">IF(INDEX($A86:$J86,$L$6)&lt;&gt;"",TRIM(LEFT(INDEX($A86:$J86,$L$6),FIND("(",INDEX($A86:$J86,$L$6)&amp;"(")-1)),L85)</f>
        <v>Closed Won</v>
      </c>
      <c r="M86" s="37" t="str">
        <f aca="false">IF(INDEX($A86:$J86,$M$6)="","",INDEX($A86:$J86,$M$6)&amp;"")</f>
        <v>Ventia Withcott QldTown Hall 23.10.25</v>
      </c>
      <c r="N86" s="37" t="str">
        <f aca="false">IF($M86="","",TRIM(INDEX($A86:$J86,$N$6)&amp;""))</f>
        <v>Ventia</v>
      </c>
      <c r="O86" s="37" t="str">
        <f aca="false">IF($M86="","",TRIM(INDEX($A86:$J86,$O$6)&amp;""))</f>
        <v>Event Production</v>
      </c>
      <c r="P86" s="37" t="str">
        <f aca="false">IF($M86="","",IFERROR(IF(INDEX(Settings!$B$41:$B$50,MATCH(O86,Settings!$A$41:$A$50,0))&amp;""="","UNMAPPED",INDEX(Settings!$B$41:$B$50,MATCH(O86,Settings!$A$41:$A$50,0))&amp;""),"UNMAPPED"))</f>
        <v>Production</v>
      </c>
      <c r="Q86" s="38" t="n">
        <f aca="false">IF($M86="",0,N(INDEX($A86:$J86,$Q$6)))</f>
        <v>22000</v>
      </c>
      <c r="R86" s="39" t="n">
        <f aca="false">IF($M86="","",INDEX($A86:$J86,$R$6))</f>
        <v>45953</v>
      </c>
      <c r="S86" s="37" t="str">
        <f aca="false">IF($M86="","",IFERROR(INDEX(Settings!$B$27:$B$36,MATCH(L86,Settings!$A$27:$A$36,0))&amp;"","UNMAPPED"))</f>
        <v>Won</v>
      </c>
      <c r="T86" s="37" t="str">
        <f aca="false">IF($M86="","",IF(NOT(ISNUMBER(R86)),"NO DATE",IF(S86="Won",IF(R86&gt;Settings!$B$5,"Backlog","Delivered"),IF(S86="Open",IF(R86&gt;Settings!$B$5,"Pipeline","Overdue"),IF(S86="Lost","Lost","UNMAPPED")))))</f>
        <v>Delivered</v>
      </c>
      <c r="U86" s="40" t="n">
        <f aca="false">IF(T86="Backlog",1,IF(OR(T86="Pipeline",T86="Overdue"),N(INDEX(Settings!$C$27:$C$36,MATCH(L86,Settings!$A$27:$A$36,0))),0))</f>
        <v>0</v>
      </c>
      <c r="V86" s="38" t="n">
        <f aca="false">Q86*U86</f>
        <v>0</v>
      </c>
      <c r="W86" s="41" t="n">
        <f aca="false">IF($M86="","",IF(T86="Overdue",IF(Settings!$B$8="Yes",Settings!$B$7,""),IF(ISNUMBER(R86),DATE(YEAR(R86),MONTH(R86),1),"")))</f>
        <v>45931</v>
      </c>
      <c r="X86" s="38" t="n">
        <f aca="false">IF(AND(OR(T86="Backlog",T86="Pipeline",T86="Overdue"),ISNUMBER(W86)),IF(W86&lt;=Settings!$B$6,V86,0),0)</f>
        <v>0</v>
      </c>
      <c r="Y86" s="38" t="n">
        <f aca="false">IF(AND(OR(T86="Backlog",T86="Pipeline",T86="Overdue"),ISNUMBER(W86)),IF(W86&lt;=Settings!$B$6,Q86,0),0)</f>
        <v>0</v>
      </c>
      <c r="Z86" s="38" t="n">
        <f aca="false">IF(Y86=0,0,IF(T86="Backlog",Q86,Q86*Dashboard!$C$10))</f>
        <v>0</v>
      </c>
      <c r="AA86" s="37" t="n">
        <f aca="false">IF($N86="",0,IF(COUNTIF(Dashboard!$C$13:$C$22,$N86)&gt;0,1,0))</f>
        <v>0</v>
      </c>
      <c r="AB86" s="37" t="str">
        <f aca="false">IF($N86="","",IF(COUNTIF($N$8:$N86,$N86)=1,MAX($AB$7:$AB85)+1,""))</f>
        <v/>
      </c>
    </row>
    <row r="87" customFormat="false" ht="15" hidden="false" customHeight="false" outlineLevel="0" collapsed="false">
      <c r="B87" s="32" t="s">
        <v>352</v>
      </c>
      <c r="C87" s="32" t="s">
        <v>353</v>
      </c>
      <c r="D87" s="35" t="n">
        <v>3500</v>
      </c>
      <c r="E87" s="32" t="s">
        <v>173</v>
      </c>
      <c r="F87" s="36" t="n">
        <v>46281</v>
      </c>
      <c r="G87" s="32" t="s">
        <v>354</v>
      </c>
      <c r="L87" s="37" t="str">
        <f aca="false">IF(INDEX($A87:$J87,$L$6)&lt;&gt;"",TRIM(LEFT(INDEX($A87:$J87,$L$6),FIND("(",INDEX($A87:$J87,$L$6)&amp;"(")-1)),L86)</f>
        <v>Closed Won</v>
      </c>
      <c r="M87" s="37" t="str">
        <f aca="false">IF(INDEX($A87:$J87,$M$6)="","",INDEX($A87:$J87,$M$6)&amp;"")</f>
        <v>DAFF | Standards Package Drafting - 26081701</v>
      </c>
      <c r="N87" s="37" t="str">
        <f aca="false">IF($M87="","",TRIM(INDEX($A87:$J87,$N$6)&amp;""))</f>
        <v>Department of Agriculture, Fisheries and Forestry (DAFF)</v>
      </c>
      <c r="O87" s="37" t="str">
        <f aca="false">IF($M87="","",TRIM(INDEX($A87:$J87,$O$6)&amp;""))</f>
        <v>Consulting</v>
      </c>
      <c r="P87" s="37" t="str">
        <f aca="false">IF($M87="","",IFERROR(IF(INDEX(Settings!$B$41:$B$50,MATCH(O87,Settings!$A$41:$A$50,0))&amp;""="","UNMAPPED",INDEX(Settings!$B$41:$B$50,MATCH(O87,Settings!$A$41:$A$50,0))&amp;""),"UNMAPPED"))</f>
        <v>Consulting</v>
      </c>
      <c r="Q87" s="38" t="n">
        <f aca="false">IF($M87="",0,N(INDEX($A87:$J87,$Q$6)))</f>
        <v>3500</v>
      </c>
      <c r="R87" s="39" t="n">
        <f aca="false">IF($M87="","",INDEX($A87:$J87,$R$6))</f>
        <v>46281</v>
      </c>
      <c r="S87" s="37" t="str">
        <f aca="false">IF($M87="","",IFERROR(INDEX(Settings!$B$27:$B$36,MATCH(L87,Settings!$A$27:$A$36,0))&amp;"","UNMAPPED"))</f>
        <v>Won</v>
      </c>
      <c r="T87" s="37" t="str">
        <f aca="false">IF($M87="","",IF(NOT(ISNUMBER(R87)),"NO DATE",IF(S87="Won",IF(R87&gt;Settings!$B$5,"Backlog","Delivered"),IF(S87="Open",IF(R87&gt;Settings!$B$5,"Pipeline","Overdue"),IF(S87="Lost","Lost","UNMAPPED")))))</f>
        <v>Delivered</v>
      </c>
      <c r="U87" s="40" t="n">
        <f aca="false">IF(T87="Backlog",1,IF(OR(T87="Pipeline",T87="Overdue"),N(INDEX(Settings!$C$27:$C$36,MATCH(L87,Settings!$A$27:$A$36,0))),0))</f>
        <v>0</v>
      </c>
      <c r="V87" s="38" t="n">
        <f aca="false">Q87*U87</f>
        <v>0</v>
      </c>
      <c r="W87" s="41" t="n">
        <f aca="false">IF($M87="","",IF(T87="Overdue",IF(Settings!$B$8="Yes",Settings!$B$7,""),IF(ISNUMBER(R87),DATE(YEAR(R87),MONTH(R87),1),"")))</f>
        <v>46266</v>
      </c>
      <c r="X87" s="38" t="n">
        <f aca="false">IF(AND(OR(T87="Backlog",T87="Pipeline",T87="Overdue"),ISNUMBER(W87)),IF(W87&lt;=Settings!$B$6,V87,0),0)</f>
        <v>0</v>
      </c>
      <c r="Y87" s="38" t="n">
        <f aca="false">IF(AND(OR(T87="Backlog",T87="Pipeline",T87="Overdue"),ISNUMBER(W87)),IF(W87&lt;=Settings!$B$6,Q87,0),0)</f>
        <v>0</v>
      </c>
      <c r="Z87" s="38" t="n">
        <f aca="false">IF(Y87=0,0,IF(T87="Backlog",Q87,Q87*Dashboard!$C$10))</f>
        <v>0</v>
      </c>
      <c r="AA87" s="37" t="n">
        <f aca="false">IF($N87="",0,IF(COUNTIF(Dashboard!$C$13:$C$22,$N87)&gt;0,1,0))</f>
        <v>0</v>
      </c>
      <c r="AB87" s="37" t="n">
        <f aca="false">IF($N87="","",IF(COUNTIF($N$8:$N87,$N87)=1,MAX($AB$7:$AB86)+1,""))</f>
        <v>48</v>
      </c>
    </row>
    <row r="88" customFormat="false" ht="15" hidden="false" customHeight="false" outlineLevel="0" collapsed="false">
      <c r="B88" s="32" t="s">
        <v>355</v>
      </c>
      <c r="C88" s="32" t="s">
        <v>217</v>
      </c>
      <c r="D88" s="35" t="n">
        <v>1130</v>
      </c>
      <c r="E88" s="32" t="s">
        <v>145</v>
      </c>
      <c r="F88" s="36" t="n">
        <v>46178</v>
      </c>
      <c r="G88" s="32" t="s">
        <v>356</v>
      </c>
      <c r="L88" s="37" t="str">
        <f aca="false">IF(INDEX($A88:$J88,$L$6)&lt;&gt;"",TRIM(LEFT(INDEX($A88:$J88,$L$6),FIND("(",INDEX($A88:$J88,$L$6)&amp;"(")-1)),L87)</f>
        <v>Closed Won</v>
      </c>
      <c r="M88" s="37" t="str">
        <f aca="false">IF(INDEX($A88:$J88,$M$6)="","",INDEX($A88:$J88,$M$6)&amp;"")</f>
        <v>Garvan - AV Event Support - 5.6.26</v>
      </c>
      <c r="N88" s="37" t="str">
        <f aca="false">IF($M88="","",TRIM(INDEX($A88:$J88,$N$6)&amp;""))</f>
        <v>Garvan Institute of Medical Research</v>
      </c>
      <c r="O88" s="37" t="str">
        <f aca="false">IF($M88="","",TRIM(INDEX($A88:$J88,$O$6)&amp;""))</f>
        <v>Event Production</v>
      </c>
      <c r="P88" s="37" t="str">
        <f aca="false">IF($M88="","",IFERROR(IF(INDEX(Settings!$B$41:$B$50,MATCH(O88,Settings!$A$41:$A$50,0))&amp;""="","UNMAPPED",INDEX(Settings!$B$41:$B$50,MATCH(O88,Settings!$A$41:$A$50,0))&amp;""),"UNMAPPED"))</f>
        <v>Production</v>
      </c>
      <c r="Q88" s="38" t="n">
        <f aca="false">IF($M88="",0,N(INDEX($A88:$J88,$Q$6)))</f>
        <v>1130</v>
      </c>
      <c r="R88" s="39" t="n">
        <f aca="false">IF($M88="","",INDEX($A88:$J88,$R$6))</f>
        <v>46178</v>
      </c>
      <c r="S88" s="37" t="str">
        <f aca="false">IF($M88="","",IFERROR(INDEX(Settings!$B$27:$B$36,MATCH(L88,Settings!$A$27:$A$36,0))&amp;"","UNMAPPED"))</f>
        <v>Won</v>
      </c>
      <c r="T88" s="37" t="str">
        <f aca="false">IF($M88="","",IF(NOT(ISNUMBER(R88)),"NO DATE",IF(S88="Won",IF(R88&gt;Settings!$B$5,"Backlog","Delivered"),IF(S88="Open",IF(R88&gt;Settings!$B$5,"Pipeline","Overdue"),IF(S88="Lost","Lost","UNMAPPED")))))</f>
        <v>Delivered</v>
      </c>
      <c r="U88" s="40" t="n">
        <f aca="false">IF(T88="Backlog",1,IF(OR(T88="Pipeline",T88="Overdue"),N(INDEX(Settings!$C$27:$C$36,MATCH(L88,Settings!$A$27:$A$36,0))),0))</f>
        <v>0</v>
      </c>
      <c r="V88" s="38" t="n">
        <f aca="false">Q88*U88</f>
        <v>0</v>
      </c>
      <c r="W88" s="41" t="n">
        <f aca="false">IF($M88="","",IF(T88="Overdue",IF(Settings!$B$8="Yes",Settings!$B$7,""),IF(ISNUMBER(R88),DATE(YEAR(R88),MONTH(R88),1),"")))</f>
        <v>46174</v>
      </c>
      <c r="X88" s="38" t="n">
        <f aca="false">IF(AND(OR(T88="Backlog",T88="Pipeline",T88="Overdue"),ISNUMBER(W88)),IF(W88&lt;=Settings!$B$6,V88,0),0)</f>
        <v>0</v>
      </c>
      <c r="Y88" s="38" t="n">
        <f aca="false">IF(AND(OR(T88="Backlog",T88="Pipeline",T88="Overdue"),ISNUMBER(W88)),IF(W88&lt;=Settings!$B$6,Q88,0),0)</f>
        <v>0</v>
      </c>
      <c r="Z88" s="38" t="n">
        <f aca="false">IF(Y88=0,0,IF(T88="Backlog",Q88,Q88*Dashboard!$C$10))</f>
        <v>0</v>
      </c>
      <c r="AA88" s="37" t="n">
        <f aca="false">IF($N88="",0,IF(COUNTIF(Dashboard!$C$13:$C$22,$N88)&gt;0,1,0))</f>
        <v>0</v>
      </c>
      <c r="AB88" s="37" t="str">
        <f aca="false">IF($N88="","",IF(COUNTIF($N$8:$N88,$N88)=1,MAX($AB$7:$AB87)+1,""))</f>
        <v/>
      </c>
    </row>
    <row r="89" customFormat="false" ht="15" hidden="false" customHeight="false" outlineLevel="0" collapsed="false">
      <c r="B89" s="32" t="s">
        <v>357</v>
      </c>
      <c r="C89" s="32" t="s">
        <v>154</v>
      </c>
      <c r="D89" s="35" t="n">
        <v>600</v>
      </c>
      <c r="E89" s="32" t="s">
        <v>180</v>
      </c>
      <c r="F89" s="36" t="n">
        <v>45918</v>
      </c>
      <c r="G89" s="32" t="s">
        <v>358</v>
      </c>
      <c r="L89" s="37" t="str">
        <f aca="false">IF(INDEX($A89:$J89,$L$6)&lt;&gt;"",TRIM(LEFT(INDEX($A89:$J89,$L$6),FIND("(",INDEX($A89:$J89,$L$6)&amp;"(")-1)),L88)</f>
        <v>Closed Won</v>
      </c>
      <c r="M89" s="37" t="str">
        <f aca="false">IF(INDEX($A89:$J89,$M$6)="","",INDEX($A89:$J89,$M$6)&amp;"")</f>
        <v>PWC - Technician Staffing - Melbourne -18th of September 2025</v>
      </c>
      <c r="N89" s="37" t="str">
        <f aca="false">IF($M89="","",TRIM(INDEX($A89:$J89,$N$6)&amp;""))</f>
        <v>PWC</v>
      </c>
      <c r="O89" s="37" t="str">
        <f aca="false">IF($M89="","",TRIM(INDEX($A89:$J89,$O$6)&amp;""))</f>
        <v>Support</v>
      </c>
      <c r="P89" s="37" t="str">
        <f aca="false">IF($M89="","",IFERROR(IF(INDEX(Settings!$B$41:$B$50,MATCH(O89,Settings!$A$41:$A$50,0))&amp;""="","UNMAPPED",INDEX(Settings!$B$41:$B$50,MATCH(O89,Settings!$A$41:$A$50,0))&amp;""),"UNMAPPED"))</f>
        <v>Onsite</v>
      </c>
      <c r="Q89" s="38" t="n">
        <f aca="false">IF($M89="",0,N(INDEX($A89:$J89,$Q$6)))</f>
        <v>600</v>
      </c>
      <c r="R89" s="39" t="n">
        <f aca="false">IF($M89="","",INDEX($A89:$J89,$R$6))</f>
        <v>45918</v>
      </c>
      <c r="S89" s="37" t="str">
        <f aca="false">IF($M89="","",IFERROR(INDEX(Settings!$B$27:$B$36,MATCH(L89,Settings!$A$27:$A$36,0))&amp;"","UNMAPPED"))</f>
        <v>Won</v>
      </c>
      <c r="T89" s="37" t="str">
        <f aca="false">IF($M89="","",IF(NOT(ISNUMBER(R89)),"NO DATE",IF(S89="Won",IF(R89&gt;Settings!$B$5,"Backlog","Delivered"),IF(S89="Open",IF(R89&gt;Settings!$B$5,"Pipeline","Overdue"),IF(S89="Lost","Lost","UNMAPPED")))))</f>
        <v>Delivered</v>
      </c>
      <c r="U89" s="40" t="n">
        <f aca="false">IF(T89="Backlog",1,IF(OR(T89="Pipeline",T89="Overdue"),N(INDEX(Settings!$C$27:$C$36,MATCH(L89,Settings!$A$27:$A$36,0))),0))</f>
        <v>0</v>
      </c>
      <c r="V89" s="38" t="n">
        <f aca="false">Q89*U89</f>
        <v>0</v>
      </c>
      <c r="W89" s="41" t="n">
        <f aca="false">IF($M89="","",IF(T89="Overdue",IF(Settings!$B$8="Yes",Settings!$B$7,""),IF(ISNUMBER(R89),DATE(YEAR(R89),MONTH(R89),1),"")))</f>
        <v>45901</v>
      </c>
      <c r="X89" s="38" t="n">
        <f aca="false">IF(AND(OR(T89="Backlog",T89="Pipeline",T89="Overdue"),ISNUMBER(W89)),IF(W89&lt;=Settings!$B$6,V89,0),0)</f>
        <v>0</v>
      </c>
      <c r="Y89" s="38" t="n">
        <f aca="false">IF(AND(OR(T89="Backlog",T89="Pipeline",T89="Overdue"),ISNUMBER(W89)),IF(W89&lt;=Settings!$B$6,Q89,0),0)</f>
        <v>0</v>
      </c>
      <c r="Z89" s="38" t="n">
        <f aca="false">IF(Y89=0,0,IF(T89="Backlog",Q89,Q89*Dashboard!$C$10))</f>
        <v>0</v>
      </c>
      <c r="AA89" s="37" t="n">
        <f aca="false">IF($N89="",0,IF(COUNTIF(Dashboard!$C$13:$C$22,$N89)&gt;0,1,0))</f>
        <v>0</v>
      </c>
      <c r="AB89" s="37" t="str">
        <f aca="false">IF($N89="","",IF(COUNTIF($N$8:$N89,$N89)=1,MAX($AB$7:$AB88)+1,""))</f>
        <v/>
      </c>
    </row>
    <row r="90" customFormat="false" ht="15" hidden="false" customHeight="false" outlineLevel="0" collapsed="false">
      <c r="B90" s="32" t="s">
        <v>359</v>
      </c>
      <c r="C90" s="32" t="s">
        <v>276</v>
      </c>
      <c r="D90" s="35" t="n">
        <v>380</v>
      </c>
      <c r="E90" s="32" t="s">
        <v>145</v>
      </c>
      <c r="F90" s="36" t="n">
        <v>46113</v>
      </c>
      <c r="G90" s="32" t="s">
        <v>360</v>
      </c>
      <c r="L90" s="37" t="str">
        <f aca="false">IF(INDEX($A90:$J90,$L$6)&lt;&gt;"",TRIM(LEFT(INDEX($A90:$J90,$L$6),FIND("(",INDEX($A90:$J90,$L$6)&amp;"(")-1)),L89)</f>
        <v>Closed Won</v>
      </c>
      <c r="M90" s="37" t="str">
        <f aca="false">IF(INDEX($A90:$J90,$M$6)="","",INDEX($A90:$J90,$M$6)&amp;"")</f>
        <v>Vega Global - Tech Support - 2.4.26</v>
      </c>
      <c r="N90" s="37" t="str">
        <f aca="false">IF($M90="","",TRIM(INDEX($A90:$J90,$N$6)&amp;""))</f>
        <v>Vega Global</v>
      </c>
      <c r="O90" s="37" t="str">
        <f aca="false">IF($M90="","",TRIM(INDEX($A90:$J90,$O$6)&amp;""))</f>
        <v>Event Production</v>
      </c>
      <c r="P90" s="37" t="str">
        <f aca="false">IF($M90="","",IFERROR(IF(INDEX(Settings!$B$41:$B$50,MATCH(O90,Settings!$A$41:$A$50,0))&amp;""="","UNMAPPED",INDEX(Settings!$B$41:$B$50,MATCH(O90,Settings!$A$41:$A$50,0))&amp;""),"UNMAPPED"))</f>
        <v>Production</v>
      </c>
      <c r="Q90" s="38" t="n">
        <f aca="false">IF($M90="",0,N(INDEX($A90:$J90,$Q$6)))</f>
        <v>380</v>
      </c>
      <c r="R90" s="39" t="n">
        <f aca="false">IF($M90="","",INDEX($A90:$J90,$R$6))</f>
        <v>46113</v>
      </c>
      <c r="S90" s="37" t="str">
        <f aca="false">IF($M90="","",IFERROR(INDEX(Settings!$B$27:$B$36,MATCH(L90,Settings!$A$27:$A$36,0))&amp;"","UNMAPPED"))</f>
        <v>Won</v>
      </c>
      <c r="T90" s="37" t="str">
        <f aca="false">IF($M90="","",IF(NOT(ISNUMBER(R90)),"NO DATE",IF(S90="Won",IF(R90&gt;Settings!$B$5,"Backlog","Delivered"),IF(S90="Open",IF(R90&gt;Settings!$B$5,"Pipeline","Overdue"),IF(S90="Lost","Lost","UNMAPPED")))))</f>
        <v>Delivered</v>
      </c>
      <c r="U90" s="40" t="n">
        <f aca="false">IF(T90="Backlog",1,IF(OR(T90="Pipeline",T90="Overdue"),N(INDEX(Settings!$C$27:$C$36,MATCH(L90,Settings!$A$27:$A$36,0))),0))</f>
        <v>0</v>
      </c>
      <c r="V90" s="38" t="n">
        <f aca="false">Q90*U90</f>
        <v>0</v>
      </c>
      <c r="W90" s="41" t="n">
        <f aca="false">IF($M90="","",IF(T90="Overdue",IF(Settings!$B$8="Yes",Settings!$B$7,""),IF(ISNUMBER(R90),DATE(YEAR(R90),MONTH(R90),1),"")))</f>
        <v>46113</v>
      </c>
      <c r="X90" s="38" t="n">
        <f aca="false">IF(AND(OR(T90="Backlog",T90="Pipeline",T90="Overdue"),ISNUMBER(W90)),IF(W90&lt;=Settings!$B$6,V90,0),0)</f>
        <v>0</v>
      </c>
      <c r="Y90" s="38" t="n">
        <f aca="false">IF(AND(OR(T90="Backlog",T90="Pipeline",T90="Overdue"),ISNUMBER(W90)),IF(W90&lt;=Settings!$B$6,Q90,0),0)</f>
        <v>0</v>
      </c>
      <c r="Z90" s="38" t="n">
        <f aca="false">IF(Y90=0,0,IF(T90="Backlog",Q90,Q90*Dashboard!$C$10))</f>
        <v>0</v>
      </c>
      <c r="AA90" s="37" t="n">
        <f aca="false">IF($N90="",0,IF(COUNTIF(Dashboard!$C$13:$C$22,$N90)&gt;0,1,0))</f>
        <v>0</v>
      </c>
      <c r="AB90" s="37" t="str">
        <f aca="false">IF($N90="","",IF(COUNTIF($N$8:$N90,$N90)=1,MAX($AB$7:$AB89)+1,""))</f>
        <v/>
      </c>
    </row>
    <row r="91" customFormat="false" ht="15" hidden="false" customHeight="false" outlineLevel="0" collapsed="false">
      <c r="B91" s="32" t="s">
        <v>361</v>
      </c>
      <c r="C91" s="32" t="s">
        <v>154</v>
      </c>
      <c r="D91" s="35" t="n">
        <v>2550</v>
      </c>
      <c r="E91" s="32" t="s">
        <v>180</v>
      </c>
      <c r="F91" s="36" t="n">
        <v>46058</v>
      </c>
      <c r="G91" s="32" t="s">
        <v>362</v>
      </c>
      <c r="L91" s="37" t="str">
        <f aca="false">IF(INDEX($A91:$J91,$L$6)&lt;&gt;"",TRIM(LEFT(INDEX($A91:$J91,$L$6),FIND("(",INDEX($A91:$J91,$L$6)&amp;"(")-1)),L90)</f>
        <v>Closed Won</v>
      </c>
      <c r="M91" s="37" t="str">
        <f aca="false">IF(INDEX($A91:$J91,$M$6)="","",INDEX($A91:$J91,$M$6)&amp;"")</f>
        <v>Pool of hours for National AV Support - 01/2026</v>
      </c>
      <c r="N91" s="37" t="str">
        <f aca="false">IF($M91="","",TRIM(INDEX($A91:$J91,$N$6)&amp;""))</f>
        <v>PWC</v>
      </c>
      <c r="O91" s="37" t="str">
        <f aca="false">IF($M91="","",TRIM(INDEX($A91:$J91,$O$6)&amp;""))</f>
        <v>Support</v>
      </c>
      <c r="P91" s="37" t="str">
        <f aca="false">IF($M91="","",IFERROR(IF(INDEX(Settings!$B$41:$B$50,MATCH(O91,Settings!$A$41:$A$50,0))&amp;""="","UNMAPPED",INDEX(Settings!$B$41:$B$50,MATCH(O91,Settings!$A$41:$A$50,0))&amp;""),"UNMAPPED"))</f>
        <v>Onsite</v>
      </c>
      <c r="Q91" s="38" t="n">
        <f aca="false">IF($M91="",0,N(INDEX($A91:$J91,$Q$6)))</f>
        <v>2550</v>
      </c>
      <c r="R91" s="39" t="n">
        <f aca="false">IF($M91="","",INDEX($A91:$J91,$R$6))</f>
        <v>46058</v>
      </c>
      <c r="S91" s="37" t="str">
        <f aca="false">IF($M91="","",IFERROR(INDEX(Settings!$B$27:$B$36,MATCH(L91,Settings!$A$27:$A$36,0))&amp;"","UNMAPPED"))</f>
        <v>Won</v>
      </c>
      <c r="T91" s="37" t="str">
        <f aca="false">IF($M91="","",IF(NOT(ISNUMBER(R91)),"NO DATE",IF(S91="Won",IF(R91&gt;Settings!$B$5,"Backlog","Delivered"),IF(S91="Open",IF(R91&gt;Settings!$B$5,"Pipeline","Overdue"),IF(S91="Lost","Lost","UNMAPPED")))))</f>
        <v>Delivered</v>
      </c>
      <c r="U91" s="40" t="n">
        <f aca="false">IF(T91="Backlog",1,IF(OR(T91="Pipeline",T91="Overdue"),N(INDEX(Settings!$C$27:$C$36,MATCH(L91,Settings!$A$27:$A$36,0))),0))</f>
        <v>0</v>
      </c>
      <c r="V91" s="38" t="n">
        <f aca="false">Q91*U91</f>
        <v>0</v>
      </c>
      <c r="W91" s="41" t="n">
        <f aca="false">IF($M91="","",IF(T91="Overdue",IF(Settings!$B$8="Yes",Settings!$B$7,""),IF(ISNUMBER(R91),DATE(YEAR(R91),MONTH(R91),1),"")))</f>
        <v>46054</v>
      </c>
      <c r="X91" s="38" t="n">
        <f aca="false">IF(AND(OR(T91="Backlog",T91="Pipeline",T91="Overdue"),ISNUMBER(W91)),IF(W91&lt;=Settings!$B$6,V91,0),0)</f>
        <v>0</v>
      </c>
      <c r="Y91" s="38" t="n">
        <f aca="false">IF(AND(OR(T91="Backlog",T91="Pipeline",T91="Overdue"),ISNUMBER(W91)),IF(W91&lt;=Settings!$B$6,Q91,0),0)</f>
        <v>0</v>
      </c>
      <c r="Z91" s="38" t="n">
        <f aca="false">IF(Y91=0,0,IF(T91="Backlog",Q91,Q91*Dashboard!$C$10))</f>
        <v>0</v>
      </c>
      <c r="AA91" s="37" t="n">
        <f aca="false">IF($N91="",0,IF(COUNTIF(Dashboard!$C$13:$C$22,$N91)&gt;0,1,0))</f>
        <v>0</v>
      </c>
      <c r="AB91" s="37" t="str">
        <f aca="false">IF($N91="","",IF(COUNTIF($N$8:$N91,$N91)=1,MAX($AB$7:$AB90)+1,""))</f>
        <v/>
      </c>
    </row>
    <row r="92" customFormat="false" ht="15" hidden="false" customHeight="false" outlineLevel="0" collapsed="false">
      <c r="B92" s="32" t="s">
        <v>363</v>
      </c>
      <c r="C92" s="32" t="s">
        <v>364</v>
      </c>
      <c r="D92" s="35" t="n">
        <v>892</v>
      </c>
      <c r="E92" s="32" t="s">
        <v>180</v>
      </c>
      <c r="F92" s="36" t="n">
        <v>45919</v>
      </c>
      <c r="G92" s="32" t="s">
        <v>365</v>
      </c>
      <c r="L92" s="37" t="str">
        <f aca="false">IF(INDEX($A92:$J92,$L$6)&lt;&gt;"",TRIM(LEFT(INDEX($A92:$J92,$L$6),FIND("(",INDEX($A92:$J92,$L$6)&amp;"(")-1)),L91)</f>
        <v>Closed Won</v>
      </c>
      <c r="M92" s="37" t="str">
        <f aca="false">IF(INDEX($A92:$J92,$M$6)="","",INDEX($A92:$J92,$M$6)&amp;"")</f>
        <v>Deloitte Tech Support - 23rd of September - CBA Forum</v>
      </c>
      <c r="N92" s="37" t="str">
        <f aca="false">IF($M92="","",TRIM(INDEX($A92:$J92,$N$6)&amp;""))</f>
        <v>Deloitte - Parramatta</v>
      </c>
      <c r="O92" s="37" t="str">
        <f aca="false">IF($M92="","",TRIM(INDEX($A92:$J92,$O$6)&amp;""))</f>
        <v>Support</v>
      </c>
      <c r="P92" s="37" t="str">
        <f aca="false">IF($M92="","",IFERROR(IF(INDEX(Settings!$B$41:$B$50,MATCH(O92,Settings!$A$41:$A$50,0))&amp;""="","UNMAPPED",INDEX(Settings!$B$41:$B$50,MATCH(O92,Settings!$A$41:$A$50,0))&amp;""),"UNMAPPED"))</f>
        <v>Onsite</v>
      </c>
      <c r="Q92" s="38" t="n">
        <f aca="false">IF($M92="",0,N(INDEX($A92:$J92,$Q$6)))</f>
        <v>892</v>
      </c>
      <c r="R92" s="39" t="n">
        <f aca="false">IF($M92="","",INDEX($A92:$J92,$R$6))</f>
        <v>45919</v>
      </c>
      <c r="S92" s="37" t="str">
        <f aca="false">IF($M92="","",IFERROR(INDEX(Settings!$B$27:$B$36,MATCH(L92,Settings!$A$27:$A$36,0))&amp;"","UNMAPPED"))</f>
        <v>Won</v>
      </c>
      <c r="T92" s="37" t="str">
        <f aca="false">IF($M92="","",IF(NOT(ISNUMBER(R92)),"NO DATE",IF(S92="Won",IF(R92&gt;Settings!$B$5,"Backlog","Delivered"),IF(S92="Open",IF(R92&gt;Settings!$B$5,"Pipeline","Overdue"),IF(S92="Lost","Lost","UNMAPPED")))))</f>
        <v>Delivered</v>
      </c>
      <c r="U92" s="40" t="n">
        <f aca="false">IF(T92="Backlog",1,IF(OR(T92="Pipeline",T92="Overdue"),N(INDEX(Settings!$C$27:$C$36,MATCH(L92,Settings!$A$27:$A$36,0))),0))</f>
        <v>0</v>
      </c>
      <c r="V92" s="38" t="n">
        <f aca="false">Q92*U92</f>
        <v>0</v>
      </c>
      <c r="W92" s="41" t="n">
        <f aca="false">IF($M92="","",IF(T92="Overdue",IF(Settings!$B$8="Yes",Settings!$B$7,""),IF(ISNUMBER(R92),DATE(YEAR(R92),MONTH(R92),1),"")))</f>
        <v>45901</v>
      </c>
      <c r="X92" s="38" t="n">
        <f aca="false">IF(AND(OR(T92="Backlog",T92="Pipeline",T92="Overdue"),ISNUMBER(W92)),IF(W92&lt;=Settings!$B$6,V92,0),0)</f>
        <v>0</v>
      </c>
      <c r="Y92" s="38" t="n">
        <f aca="false">IF(AND(OR(T92="Backlog",T92="Pipeline",T92="Overdue"),ISNUMBER(W92)),IF(W92&lt;=Settings!$B$6,Q92,0),0)</f>
        <v>0</v>
      </c>
      <c r="Z92" s="38" t="n">
        <f aca="false">IF(Y92=0,0,IF(T92="Backlog",Q92,Q92*Dashboard!$C$10))</f>
        <v>0</v>
      </c>
      <c r="AA92" s="37" t="n">
        <f aca="false">IF($N92="",0,IF(COUNTIF(Dashboard!$C$13:$C$22,$N92)&gt;0,1,0))</f>
        <v>0</v>
      </c>
      <c r="AB92" s="37" t="n">
        <f aca="false">IF($N92="","",IF(COUNTIF($N$8:$N92,$N92)=1,MAX($AB$7:$AB91)+1,""))</f>
        <v>49</v>
      </c>
    </row>
    <row r="93" customFormat="false" ht="15" hidden="false" customHeight="false" outlineLevel="0" collapsed="false">
      <c r="B93" s="32" t="s">
        <v>366</v>
      </c>
      <c r="C93" s="32" t="s">
        <v>244</v>
      </c>
      <c r="D93" s="35" t="n">
        <v>12601</v>
      </c>
      <c r="E93" s="32" t="s">
        <v>145</v>
      </c>
      <c r="F93" s="36" t="n">
        <v>46211</v>
      </c>
      <c r="G93" s="32" t="s">
        <v>367</v>
      </c>
      <c r="L93" s="37" t="str">
        <f aca="false">IF(INDEX($A93:$J93,$L$6)&lt;&gt;"",TRIM(LEFT(INDEX($A93:$J93,$L$6),FIND("(",INDEX($A93:$J93,$L$6)&amp;"(")-1)),L92)</f>
        <v>Closed Won</v>
      </c>
      <c r="M93" s="37" t="str">
        <f aca="false">IF(INDEX($A93:$J93,$M$6)="","",INDEX($A93:$J93,$M$6)&amp;"")</f>
        <v>APA - Qtly All Hands FYR26 - 20.8.26</v>
      </c>
      <c r="N93" s="37" t="str">
        <f aca="false">IF($M93="","",TRIM(INDEX($A93:$J93,$N$6)&amp;""))</f>
        <v>APA</v>
      </c>
      <c r="O93" s="37" t="str">
        <f aca="false">IF($M93="","",TRIM(INDEX($A93:$J93,$O$6)&amp;""))</f>
        <v>Event Production</v>
      </c>
      <c r="P93" s="37" t="str">
        <f aca="false">IF($M93="","",IFERROR(IF(INDEX(Settings!$B$41:$B$50,MATCH(O93,Settings!$A$41:$A$50,0))&amp;""="","UNMAPPED",INDEX(Settings!$B$41:$B$50,MATCH(O93,Settings!$A$41:$A$50,0))&amp;""),"UNMAPPED"))</f>
        <v>Production</v>
      </c>
      <c r="Q93" s="38" t="n">
        <f aca="false">IF($M93="",0,N(INDEX($A93:$J93,$Q$6)))</f>
        <v>12601</v>
      </c>
      <c r="R93" s="39" t="n">
        <f aca="false">IF($M93="","",INDEX($A93:$J93,$R$6))</f>
        <v>46211</v>
      </c>
      <c r="S93" s="37" t="str">
        <f aca="false">IF($M93="","",IFERROR(INDEX(Settings!$B$27:$B$36,MATCH(L93,Settings!$A$27:$A$36,0))&amp;"","UNMAPPED"))</f>
        <v>Won</v>
      </c>
      <c r="T93" s="37" t="str">
        <f aca="false">IF($M93="","",IF(NOT(ISNUMBER(R93)),"NO DATE",IF(S93="Won",IF(R93&gt;Settings!$B$5,"Backlog","Delivered"),IF(S93="Open",IF(R93&gt;Settings!$B$5,"Pipeline","Overdue"),IF(S93="Lost","Lost","UNMAPPED")))))</f>
        <v>Delivered</v>
      </c>
      <c r="U93" s="40" t="n">
        <f aca="false">IF(T93="Backlog",1,IF(OR(T93="Pipeline",T93="Overdue"),N(INDEX(Settings!$C$27:$C$36,MATCH(L93,Settings!$A$27:$A$36,0))),0))</f>
        <v>0</v>
      </c>
      <c r="V93" s="38" t="n">
        <f aca="false">Q93*U93</f>
        <v>0</v>
      </c>
      <c r="W93" s="41" t="n">
        <f aca="false">IF($M93="","",IF(T93="Overdue",IF(Settings!$B$8="Yes",Settings!$B$7,""),IF(ISNUMBER(R93),DATE(YEAR(R93),MONTH(R93),1),"")))</f>
        <v>46204</v>
      </c>
      <c r="X93" s="38" t="n">
        <f aca="false">IF(AND(OR(T93="Backlog",T93="Pipeline",T93="Overdue"),ISNUMBER(W93)),IF(W93&lt;=Settings!$B$6,V93,0),0)</f>
        <v>0</v>
      </c>
      <c r="Y93" s="38" t="n">
        <f aca="false">IF(AND(OR(T93="Backlog",T93="Pipeline",T93="Overdue"),ISNUMBER(W93)),IF(W93&lt;=Settings!$B$6,Q93,0),0)</f>
        <v>0</v>
      </c>
      <c r="Z93" s="38" t="n">
        <f aca="false">IF(Y93=0,0,IF(T93="Backlog",Q93,Q93*Dashboard!$C$10))</f>
        <v>0</v>
      </c>
      <c r="AA93" s="37" t="n">
        <f aca="false">IF($N93="",0,IF(COUNTIF(Dashboard!$C$13:$C$22,$N93)&gt;0,1,0))</f>
        <v>0</v>
      </c>
      <c r="AB93" s="37" t="str">
        <f aca="false">IF($N93="","",IF(COUNTIF($N$8:$N93,$N93)=1,MAX($AB$7:$AB92)+1,""))</f>
        <v/>
      </c>
    </row>
    <row r="94" customFormat="false" ht="15" hidden="false" customHeight="false" outlineLevel="0" collapsed="false">
      <c r="B94" s="32" t="s">
        <v>368</v>
      </c>
      <c r="C94" s="32" t="s">
        <v>211</v>
      </c>
      <c r="D94" s="35" t="n">
        <v>680</v>
      </c>
      <c r="E94" s="32" t="s">
        <v>180</v>
      </c>
      <c r="F94" s="36" t="n">
        <v>46211</v>
      </c>
      <c r="G94" s="32" t="s">
        <v>369</v>
      </c>
      <c r="L94" s="37" t="str">
        <f aca="false">IF(INDEX($A94:$J94,$L$6)&lt;&gt;"",TRIM(LEFT(INDEX($A94:$J94,$L$6),FIND("(",INDEX($A94:$J94,$L$6)&amp;"(")-1)),L93)</f>
        <v>Closed Won</v>
      </c>
      <c r="M94" s="37" t="str">
        <f aca="false">IF(INDEX($A94:$J94,$M$6)="","",INDEX($A94:$J94,$M$6)&amp;"")</f>
        <v>Event Bump-in/Bump-out</v>
      </c>
      <c r="N94" s="37" t="str">
        <f aca="false">IF($M94="","",TRIM(INDEX($A94:$J94,$N$6)&amp;""))</f>
        <v>Australian Payments Network</v>
      </c>
      <c r="O94" s="37" t="str">
        <f aca="false">IF($M94="","",TRIM(INDEX($A94:$J94,$O$6)&amp;""))</f>
        <v>Support</v>
      </c>
      <c r="P94" s="37" t="str">
        <f aca="false">IF($M94="","",IFERROR(IF(INDEX(Settings!$B$41:$B$50,MATCH(O94,Settings!$A$41:$A$50,0))&amp;""="","UNMAPPED",INDEX(Settings!$B$41:$B$50,MATCH(O94,Settings!$A$41:$A$50,0))&amp;""),"UNMAPPED"))</f>
        <v>Onsite</v>
      </c>
      <c r="Q94" s="38" t="n">
        <f aca="false">IF($M94="",0,N(INDEX($A94:$J94,$Q$6)))</f>
        <v>680</v>
      </c>
      <c r="R94" s="39" t="n">
        <f aca="false">IF($M94="","",INDEX($A94:$J94,$R$6))</f>
        <v>46211</v>
      </c>
      <c r="S94" s="37" t="str">
        <f aca="false">IF($M94="","",IFERROR(INDEX(Settings!$B$27:$B$36,MATCH(L94,Settings!$A$27:$A$36,0))&amp;"","UNMAPPED"))</f>
        <v>Won</v>
      </c>
      <c r="T94" s="37" t="str">
        <f aca="false">IF($M94="","",IF(NOT(ISNUMBER(R94)),"NO DATE",IF(S94="Won",IF(R94&gt;Settings!$B$5,"Backlog","Delivered"),IF(S94="Open",IF(R94&gt;Settings!$B$5,"Pipeline","Overdue"),IF(S94="Lost","Lost","UNMAPPED")))))</f>
        <v>Delivered</v>
      </c>
      <c r="U94" s="40" t="n">
        <f aca="false">IF(T94="Backlog",1,IF(OR(T94="Pipeline",T94="Overdue"),N(INDEX(Settings!$C$27:$C$36,MATCH(L94,Settings!$A$27:$A$36,0))),0))</f>
        <v>0</v>
      </c>
      <c r="V94" s="38" t="n">
        <f aca="false">Q94*U94</f>
        <v>0</v>
      </c>
      <c r="W94" s="41" t="n">
        <f aca="false">IF($M94="","",IF(T94="Overdue",IF(Settings!$B$8="Yes",Settings!$B$7,""),IF(ISNUMBER(R94),DATE(YEAR(R94),MONTH(R94),1),"")))</f>
        <v>46204</v>
      </c>
      <c r="X94" s="38" t="n">
        <f aca="false">IF(AND(OR(T94="Backlog",T94="Pipeline",T94="Overdue"),ISNUMBER(W94)),IF(W94&lt;=Settings!$B$6,V94,0),0)</f>
        <v>0</v>
      </c>
      <c r="Y94" s="38" t="n">
        <f aca="false">IF(AND(OR(T94="Backlog",T94="Pipeline",T94="Overdue"),ISNUMBER(W94)),IF(W94&lt;=Settings!$B$6,Q94,0),0)</f>
        <v>0</v>
      </c>
      <c r="Z94" s="38" t="n">
        <f aca="false">IF(Y94=0,0,IF(T94="Backlog",Q94,Q94*Dashboard!$C$10))</f>
        <v>0</v>
      </c>
      <c r="AA94" s="37" t="n">
        <f aca="false">IF($N94="",0,IF(COUNTIF(Dashboard!$C$13:$C$22,$N94)&gt;0,1,0))</f>
        <v>0</v>
      </c>
      <c r="AB94" s="37" t="str">
        <f aca="false">IF($N94="","",IF(COUNTIF($N$8:$N94,$N94)=1,MAX($AB$7:$AB93)+1,""))</f>
        <v/>
      </c>
    </row>
    <row r="95" customFormat="false" ht="15" hidden="false" customHeight="false" outlineLevel="0" collapsed="false">
      <c r="B95" s="32" t="s">
        <v>370</v>
      </c>
      <c r="C95" s="32" t="s">
        <v>154</v>
      </c>
      <c r="D95" s="35" t="n">
        <v>4225</v>
      </c>
      <c r="E95" s="32" t="s">
        <v>145</v>
      </c>
      <c r="F95" s="36" t="n">
        <v>46063</v>
      </c>
      <c r="G95" s="32" t="s">
        <v>371</v>
      </c>
      <c r="L95" s="37" t="str">
        <f aca="false">IF(INDEX($A95:$J95,$L$6)&lt;&gt;"",TRIM(LEFT(INDEX($A95:$J95,$L$6),FIND("(",INDEX($A95:$J95,$L$6)&amp;"(")-1)),L94)</f>
        <v>Closed Won</v>
      </c>
      <c r="M95" s="37" t="str">
        <f aca="false">IF(INDEX($A95:$J95,$M$6)="","",INDEX($A95:$J95,$M$6)&amp;"")</f>
        <v>PWC CFO Connect 25.2.26</v>
      </c>
      <c r="N95" s="37" t="str">
        <f aca="false">IF($M95="","",TRIM(INDEX($A95:$J95,$N$6)&amp;""))</f>
        <v>PWC</v>
      </c>
      <c r="O95" s="37" t="str">
        <f aca="false">IF($M95="","",TRIM(INDEX($A95:$J95,$O$6)&amp;""))</f>
        <v>Event Production</v>
      </c>
      <c r="P95" s="37" t="str">
        <f aca="false">IF($M95="","",IFERROR(IF(INDEX(Settings!$B$41:$B$50,MATCH(O95,Settings!$A$41:$A$50,0))&amp;""="","UNMAPPED",INDEX(Settings!$B$41:$B$50,MATCH(O95,Settings!$A$41:$A$50,0))&amp;""),"UNMAPPED"))</f>
        <v>Production</v>
      </c>
      <c r="Q95" s="38" t="n">
        <f aca="false">IF($M95="",0,N(INDEX($A95:$J95,$Q$6)))</f>
        <v>4225</v>
      </c>
      <c r="R95" s="39" t="n">
        <f aca="false">IF($M95="","",INDEX($A95:$J95,$R$6))</f>
        <v>46063</v>
      </c>
      <c r="S95" s="37" t="str">
        <f aca="false">IF($M95="","",IFERROR(INDEX(Settings!$B$27:$B$36,MATCH(L95,Settings!$A$27:$A$36,0))&amp;"","UNMAPPED"))</f>
        <v>Won</v>
      </c>
      <c r="T95" s="37" t="str">
        <f aca="false">IF($M95="","",IF(NOT(ISNUMBER(R95)),"NO DATE",IF(S95="Won",IF(R95&gt;Settings!$B$5,"Backlog","Delivered"),IF(S95="Open",IF(R95&gt;Settings!$B$5,"Pipeline","Overdue"),IF(S95="Lost","Lost","UNMAPPED")))))</f>
        <v>Delivered</v>
      </c>
      <c r="U95" s="40" t="n">
        <f aca="false">IF(T95="Backlog",1,IF(OR(T95="Pipeline",T95="Overdue"),N(INDEX(Settings!$C$27:$C$36,MATCH(L95,Settings!$A$27:$A$36,0))),0))</f>
        <v>0</v>
      </c>
      <c r="V95" s="38" t="n">
        <f aca="false">Q95*U95</f>
        <v>0</v>
      </c>
      <c r="W95" s="41" t="n">
        <f aca="false">IF($M95="","",IF(T95="Overdue",IF(Settings!$B$8="Yes",Settings!$B$7,""),IF(ISNUMBER(R95),DATE(YEAR(R95),MONTH(R95),1),"")))</f>
        <v>46054</v>
      </c>
      <c r="X95" s="38" t="n">
        <f aca="false">IF(AND(OR(T95="Backlog",T95="Pipeline",T95="Overdue"),ISNUMBER(W95)),IF(W95&lt;=Settings!$B$6,V95,0),0)</f>
        <v>0</v>
      </c>
      <c r="Y95" s="38" t="n">
        <f aca="false">IF(AND(OR(T95="Backlog",T95="Pipeline",T95="Overdue"),ISNUMBER(W95)),IF(W95&lt;=Settings!$B$6,Q95,0),0)</f>
        <v>0</v>
      </c>
      <c r="Z95" s="38" t="n">
        <f aca="false">IF(Y95=0,0,IF(T95="Backlog",Q95,Q95*Dashboard!$C$10))</f>
        <v>0</v>
      </c>
      <c r="AA95" s="37" t="n">
        <f aca="false">IF($N95="",0,IF(COUNTIF(Dashboard!$C$13:$C$22,$N95)&gt;0,1,0))</f>
        <v>0</v>
      </c>
      <c r="AB95" s="37" t="str">
        <f aca="false">IF($N95="","",IF(COUNTIF($N$8:$N95,$N95)=1,MAX($AB$7:$AB94)+1,""))</f>
        <v/>
      </c>
    </row>
    <row r="96" customFormat="false" ht="15" hidden="false" customHeight="false" outlineLevel="0" collapsed="false">
      <c r="B96" s="32" t="s">
        <v>372</v>
      </c>
      <c r="C96" s="32" t="s">
        <v>217</v>
      </c>
      <c r="D96" s="35" t="n">
        <v>380</v>
      </c>
      <c r="E96" s="32" t="s">
        <v>145</v>
      </c>
      <c r="F96" s="36" t="n">
        <v>46261</v>
      </c>
      <c r="G96" s="32" t="s">
        <v>373</v>
      </c>
      <c r="L96" s="37" t="str">
        <f aca="false">IF(INDEX($A96:$J96,$L$6)&lt;&gt;"",TRIM(LEFT(INDEX($A96:$J96,$L$6),FIND("(",INDEX($A96:$J96,$L$6)&amp;"(")-1)),L95)</f>
        <v>Closed Won</v>
      </c>
      <c r="M96" s="37" t="str">
        <f aca="false">IF(INDEX($A96:$J96,$M$6)="","",INDEX($A96:$J96,$M$6)&amp;"")</f>
        <v>Garvan - Breast Cancer Public Lecture - 1.10.26</v>
      </c>
      <c r="N96" s="37" t="str">
        <f aca="false">IF($M96="","",TRIM(INDEX($A96:$J96,$N$6)&amp;""))</f>
        <v>Garvan Institute of Medical Research</v>
      </c>
      <c r="O96" s="37" t="str">
        <f aca="false">IF($M96="","",TRIM(INDEX($A96:$J96,$O$6)&amp;""))</f>
        <v>Event Production</v>
      </c>
      <c r="P96" s="37" t="str">
        <f aca="false">IF($M96="","",IFERROR(IF(INDEX(Settings!$B$41:$B$50,MATCH(O96,Settings!$A$41:$A$50,0))&amp;""="","UNMAPPED",INDEX(Settings!$B$41:$B$50,MATCH(O96,Settings!$A$41:$A$50,0))&amp;""),"UNMAPPED"))</f>
        <v>Production</v>
      </c>
      <c r="Q96" s="38" t="n">
        <f aca="false">IF($M96="",0,N(INDEX($A96:$J96,$Q$6)))</f>
        <v>380</v>
      </c>
      <c r="R96" s="39" t="n">
        <f aca="false">IF($M96="","",INDEX($A96:$J96,$R$6))</f>
        <v>46261</v>
      </c>
      <c r="S96" s="37" t="str">
        <f aca="false">IF($M96="","",IFERROR(INDEX(Settings!$B$27:$B$36,MATCH(L96,Settings!$A$27:$A$36,0))&amp;"","UNMAPPED"))</f>
        <v>Won</v>
      </c>
      <c r="T96" s="37" t="str">
        <f aca="false">IF($M96="","",IF(NOT(ISNUMBER(R96)),"NO DATE",IF(S96="Won",IF(R96&gt;Settings!$B$5,"Backlog","Delivered"),IF(S96="Open",IF(R96&gt;Settings!$B$5,"Pipeline","Overdue"),IF(S96="Lost","Lost","UNMAPPED")))))</f>
        <v>Delivered</v>
      </c>
      <c r="U96" s="40" t="n">
        <f aca="false">IF(T96="Backlog",1,IF(OR(T96="Pipeline",T96="Overdue"),N(INDEX(Settings!$C$27:$C$36,MATCH(L96,Settings!$A$27:$A$36,0))),0))</f>
        <v>0</v>
      </c>
      <c r="V96" s="38" t="n">
        <f aca="false">Q96*U96</f>
        <v>0</v>
      </c>
      <c r="W96" s="41" t="n">
        <f aca="false">IF($M96="","",IF(T96="Overdue",IF(Settings!$B$8="Yes",Settings!$B$7,""),IF(ISNUMBER(R96),DATE(YEAR(R96),MONTH(R96),1),"")))</f>
        <v>46235</v>
      </c>
      <c r="X96" s="38" t="n">
        <f aca="false">IF(AND(OR(T96="Backlog",T96="Pipeline",T96="Overdue"),ISNUMBER(W96)),IF(W96&lt;=Settings!$B$6,V96,0),0)</f>
        <v>0</v>
      </c>
      <c r="Y96" s="38" t="n">
        <f aca="false">IF(AND(OR(T96="Backlog",T96="Pipeline",T96="Overdue"),ISNUMBER(W96)),IF(W96&lt;=Settings!$B$6,Q96,0),0)</f>
        <v>0</v>
      </c>
      <c r="Z96" s="38" t="n">
        <f aca="false">IF(Y96=0,0,IF(T96="Backlog",Q96,Q96*Dashboard!$C$10))</f>
        <v>0</v>
      </c>
      <c r="AA96" s="37" t="n">
        <f aca="false">IF($N96="",0,IF(COUNTIF(Dashboard!$C$13:$C$22,$N96)&gt;0,1,0))</f>
        <v>0</v>
      </c>
      <c r="AB96" s="37" t="str">
        <f aca="false">IF($N96="","",IF(COUNTIF($N$8:$N96,$N96)=1,MAX($AB$7:$AB95)+1,""))</f>
        <v/>
      </c>
    </row>
    <row r="97" customFormat="false" ht="15" hidden="false" customHeight="false" outlineLevel="0" collapsed="false">
      <c r="B97" s="32" t="s">
        <v>374</v>
      </c>
      <c r="C97" s="32" t="s">
        <v>253</v>
      </c>
      <c r="D97" s="35" t="n">
        <v>6501</v>
      </c>
      <c r="E97" s="32" t="s">
        <v>208</v>
      </c>
      <c r="F97" s="36" t="n">
        <v>46076</v>
      </c>
      <c r="G97" s="32" t="s">
        <v>375</v>
      </c>
      <c r="L97" s="37" t="str">
        <f aca="false">IF(INDEX($A97:$J97,$L$6)&lt;&gt;"",TRIM(LEFT(INDEX($A97:$J97,$L$6),FIND("(",INDEX($A97:$J97,$L$6)&amp;"(")-1)),L96)</f>
        <v>Closed Won</v>
      </c>
      <c r="M97" s="37" t="str">
        <f aca="false">IF(INDEX($A97:$J97,$M$6)="","",INDEX($A97:$J97,$M$6)&amp;"")</f>
        <v>Markets Videos (February 2026)</v>
      </c>
      <c r="N97" s="37" t="str">
        <f aca="false">IF($M97="","",TRIM(INDEX($A97:$J97,$N$6)&amp;""))</f>
        <v>ASX Australian Securities Exchange</v>
      </c>
      <c r="O97" s="37" t="str">
        <f aca="false">IF($M97="","",TRIM(INDEX($A97:$J97,$O$6)&amp;""))</f>
        <v>Video Production</v>
      </c>
      <c r="P97" s="37" t="str">
        <f aca="false">IF($M97="","",IFERROR(IF(INDEX(Settings!$B$41:$B$50,MATCH(O97,Settings!$A$41:$A$50,0))&amp;""="","UNMAPPED",INDEX(Settings!$B$41:$B$50,MATCH(O97,Settings!$A$41:$A$50,0))&amp;""),"UNMAPPED"))</f>
        <v>Video</v>
      </c>
      <c r="Q97" s="38" t="n">
        <f aca="false">IF($M97="",0,N(INDEX($A97:$J97,$Q$6)))</f>
        <v>6501</v>
      </c>
      <c r="R97" s="39" t="n">
        <f aca="false">IF($M97="","",INDEX($A97:$J97,$R$6))</f>
        <v>46076</v>
      </c>
      <c r="S97" s="37" t="str">
        <f aca="false">IF($M97="","",IFERROR(INDEX(Settings!$B$27:$B$36,MATCH(L97,Settings!$A$27:$A$36,0))&amp;"","UNMAPPED"))</f>
        <v>Won</v>
      </c>
      <c r="T97" s="37" t="str">
        <f aca="false">IF($M97="","",IF(NOT(ISNUMBER(R97)),"NO DATE",IF(S97="Won",IF(R97&gt;Settings!$B$5,"Backlog","Delivered"),IF(S97="Open",IF(R97&gt;Settings!$B$5,"Pipeline","Overdue"),IF(S97="Lost","Lost","UNMAPPED")))))</f>
        <v>Delivered</v>
      </c>
      <c r="U97" s="40" t="n">
        <f aca="false">IF(T97="Backlog",1,IF(OR(T97="Pipeline",T97="Overdue"),N(INDEX(Settings!$C$27:$C$36,MATCH(L97,Settings!$A$27:$A$36,0))),0))</f>
        <v>0</v>
      </c>
      <c r="V97" s="38" t="n">
        <f aca="false">Q97*U97</f>
        <v>0</v>
      </c>
      <c r="W97" s="41" t="n">
        <f aca="false">IF($M97="","",IF(T97="Overdue",IF(Settings!$B$8="Yes",Settings!$B$7,""),IF(ISNUMBER(R97),DATE(YEAR(R97),MONTH(R97),1),"")))</f>
        <v>46054</v>
      </c>
      <c r="X97" s="38" t="n">
        <f aca="false">IF(AND(OR(T97="Backlog",T97="Pipeline",T97="Overdue"),ISNUMBER(W97)),IF(W97&lt;=Settings!$B$6,V97,0),0)</f>
        <v>0</v>
      </c>
      <c r="Y97" s="38" t="n">
        <f aca="false">IF(AND(OR(T97="Backlog",T97="Pipeline",T97="Overdue"),ISNUMBER(W97)),IF(W97&lt;=Settings!$B$6,Q97,0),0)</f>
        <v>0</v>
      </c>
      <c r="Z97" s="38" t="n">
        <f aca="false">IF(Y97=0,0,IF(T97="Backlog",Q97,Q97*Dashboard!$C$10))</f>
        <v>0</v>
      </c>
      <c r="AA97" s="37" t="n">
        <f aca="false">IF($N97="",0,IF(COUNTIF(Dashboard!$C$13:$C$22,$N97)&gt;0,1,0))</f>
        <v>0</v>
      </c>
      <c r="AB97" s="37" t="str">
        <f aca="false">IF($N97="","",IF(COUNTIF($N$8:$N97,$N97)=1,MAX($AB$7:$AB96)+1,""))</f>
        <v/>
      </c>
    </row>
    <row r="98" customFormat="false" ht="15" hidden="false" customHeight="false" outlineLevel="0" collapsed="false">
      <c r="B98" s="32" t="s">
        <v>376</v>
      </c>
      <c r="C98" s="32" t="s">
        <v>377</v>
      </c>
      <c r="D98" s="35" t="n">
        <v>380</v>
      </c>
      <c r="E98" s="32" t="s">
        <v>145</v>
      </c>
      <c r="F98" s="36" t="n">
        <v>45890</v>
      </c>
      <c r="G98" s="32" t="s">
        <v>378</v>
      </c>
      <c r="L98" s="37" t="str">
        <f aca="false">IF(INDEX($A98:$J98,$L$6)&lt;&gt;"",TRIM(LEFT(INDEX($A98:$J98,$L$6),FIND("(",INDEX($A98:$J98,$L$6)&amp;"(")-1)),L97)</f>
        <v>Closed Won</v>
      </c>
      <c r="M98" s="37" t="str">
        <f aca="false">IF(INDEX($A98:$J98,$M$6)="","",INDEX($A98:$J98,$M$6)&amp;"")</f>
        <v>Webcast Operator - 21.8.25</v>
      </c>
      <c r="N98" s="37" t="str">
        <f aca="false">IF($M98="","",TRIM(INDEX($A98:$J98,$N$6)&amp;""))</f>
        <v>Loghic Connect</v>
      </c>
      <c r="O98" s="37" t="str">
        <f aca="false">IF($M98="","",TRIM(INDEX($A98:$J98,$O$6)&amp;""))</f>
        <v>Event Production</v>
      </c>
      <c r="P98" s="37" t="str">
        <f aca="false">IF($M98="","",IFERROR(IF(INDEX(Settings!$B$41:$B$50,MATCH(O98,Settings!$A$41:$A$50,0))&amp;""="","UNMAPPED",INDEX(Settings!$B$41:$B$50,MATCH(O98,Settings!$A$41:$A$50,0))&amp;""),"UNMAPPED"))</f>
        <v>Production</v>
      </c>
      <c r="Q98" s="38" t="n">
        <f aca="false">IF($M98="",0,N(INDEX($A98:$J98,$Q$6)))</f>
        <v>380</v>
      </c>
      <c r="R98" s="39" t="n">
        <f aca="false">IF($M98="","",INDEX($A98:$J98,$R$6))</f>
        <v>45890</v>
      </c>
      <c r="S98" s="37" t="str">
        <f aca="false">IF($M98="","",IFERROR(INDEX(Settings!$B$27:$B$36,MATCH(L98,Settings!$A$27:$A$36,0))&amp;"","UNMAPPED"))</f>
        <v>Won</v>
      </c>
      <c r="T98" s="37" t="str">
        <f aca="false">IF($M98="","",IF(NOT(ISNUMBER(R98)),"NO DATE",IF(S98="Won",IF(R98&gt;Settings!$B$5,"Backlog","Delivered"),IF(S98="Open",IF(R98&gt;Settings!$B$5,"Pipeline","Overdue"),IF(S98="Lost","Lost","UNMAPPED")))))</f>
        <v>Delivered</v>
      </c>
      <c r="U98" s="40" t="n">
        <f aca="false">IF(T98="Backlog",1,IF(OR(T98="Pipeline",T98="Overdue"),N(INDEX(Settings!$C$27:$C$36,MATCH(L98,Settings!$A$27:$A$36,0))),0))</f>
        <v>0</v>
      </c>
      <c r="V98" s="38" t="n">
        <f aca="false">Q98*U98</f>
        <v>0</v>
      </c>
      <c r="W98" s="41" t="n">
        <f aca="false">IF($M98="","",IF(T98="Overdue",IF(Settings!$B$8="Yes",Settings!$B$7,""),IF(ISNUMBER(R98),DATE(YEAR(R98),MONTH(R98),1),"")))</f>
        <v>45870</v>
      </c>
      <c r="X98" s="38" t="n">
        <f aca="false">IF(AND(OR(T98="Backlog",T98="Pipeline",T98="Overdue"),ISNUMBER(W98)),IF(W98&lt;=Settings!$B$6,V98,0),0)</f>
        <v>0</v>
      </c>
      <c r="Y98" s="38" t="n">
        <f aca="false">IF(AND(OR(T98="Backlog",T98="Pipeline",T98="Overdue"),ISNUMBER(W98)),IF(W98&lt;=Settings!$B$6,Q98,0),0)</f>
        <v>0</v>
      </c>
      <c r="Z98" s="38" t="n">
        <f aca="false">IF(Y98=0,0,IF(T98="Backlog",Q98,Q98*Dashboard!$C$10))</f>
        <v>0</v>
      </c>
      <c r="AA98" s="37" t="n">
        <f aca="false">IF($N98="",0,IF(COUNTIF(Dashboard!$C$13:$C$22,$N98)&gt;0,1,0))</f>
        <v>0</v>
      </c>
      <c r="AB98" s="37" t="n">
        <f aca="false">IF($N98="","",IF(COUNTIF($N$8:$N98,$N98)=1,MAX($AB$7:$AB97)+1,""))</f>
        <v>50</v>
      </c>
    </row>
    <row r="99" customFormat="false" ht="15" hidden="false" customHeight="false" outlineLevel="0" collapsed="false">
      <c r="B99" s="32" t="s">
        <v>379</v>
      </c>
      <c r="C99" s="32" t="s">
        <v>380</v>
      </c>
      <c r="D99" s="35" t="n">
        <v>37912</v>
      </c>
      <c r="E99" s="32" t="s">
        <v>145</v>
      </c>
      <c r="F99" s="36" t="n">
        <v>46072</v>
      </c>
      <c r="G99" s="32" t="s">
        <v>381</v>
      </c>
      <c r="L99" s="37" t="str">
        <f aca="false">IF(INDEX($A99:$J99,$L$6)&lt;&gt;"",TRIM(LEFT(INDEX($A99:$J99,$L$6),FIND("(",INDEX($A99:$J99,$L$6)&amp;"(")-1)),L98)</f>
        <v>Closed Won</v>
      </c>
      <c r="M99" s="37" t="str">
        <f aca="false">IF(INDEX($A99:$J99,$M$6)="","",INDEX($A99:$J99,$M$6)&amp;"")</f>
        <v>2026 Annual General Meeting</v>
      </c>
      <c r="N99" s="37" t="str">
        <f aca="false">IF($M99="","",TRIM(INDEX($A99:$J99,$N$6)&amp;""))</f>
        <v>Aristocrat Leisure</v>
      </c>
      <c r="O99" s="37" t="str">
        <f aca="false">IF($M99="","",TRIM(INDEX($A99:$J99,$O$6)&amp;""))</f>
        <v>Event Production</v>
      </c>
      <c r="P99" s="37" t="str">
        <f aca="false">IF($M99="","",IFERROR(IF(INDEX(Settings!$B$41:$B$50,MATCH(O99,Settings!$A$41:$A$50,0))&amp;""="","UNMAPPED",INDEX(Settings!$B$41:$B$50,MATCH(O99,Settings!$A$41:$A$50,0))&amp;""),"UNMAPPED"))</f>
        <v>Production</v>
      </c>
      <c r="Q99" s="38" t="n">
        <f aca="false">IF($M99="",0,N(INDEX($A99:$J99,$Q$6)))</f>
        <v>37912</v>
      </c>
      <c r="R99" s="39" t="n">
        <f aca="false">IF($M99="","",INDEX($A99:$J99,$R$6))</f>
        <v>46072</v>
      </c>
      <c r="S99" s="37" t="str">
        <f aca="false">IF($M99="","",IFERROR(INDEX(Settings!$B$27:$B$36,MATCH(L99,Settings!$A$27:$A$36,0))&amp;"","UNMAPPED"))</f>
        <v>Won</v>
      </c>
      <c r="T99" s="37" t="str">
        <f aca="false">IF($M99="","",IF(NOT(ISNUMBER(R99)),"NO DATE",IF(S99="Won",IF(R99&gt;Settings!$B$5,"Backlog","Delivered"),IF(S99="Open",IF(R99&gt;Settings!$B$5,"Pipeline","Overdue"),IF(S99="Lost","Lost","UNMAPPED")))))</f>
        <v>Delivered</v>
      </c>
      <c r="U99" s="40" t="n">
        <f aca="false">IF(T99="Backlog",1,IF(OR(T99="Pipeline",T99="Overdue"),N(INDEX(Settings!$C$27:$C$36,MATCH(L99,Settings!$A$27:$A$36,0))),0))</f>
        <v>0</v>
      </c>
      <c r="V99" s="38" t="n">
        <f aca="false">Q99*U99</f>
        <v>0</v>
      </c>
      <c r="W99" s="41" t="n">
        <f aca="false">IF($M99="","",IF(T99="Overdue",IF(Settings!$B$8="Yes",Settings!$B$7,""),IF(ISNUMBER(R99),DATE(YEAR(R99),MONTH(R99),1),"")))</f>
        <v>46054</v>
      </c>
      <c r="X99" s="38" t="n">
        <f aca="false">IF(AND(OR(T99="Backlog",T99="Pipeline",T99="Overdue"),ISNUMBER(W99)),IF(W99&lt;=Settings!$B$6,V99,0),0)</f>
        <v>0</v>
      </c>
      <c r="Y99" s="38" t="n">
        <f aca="false">IF(AND(OR(T99="Backlog",T99="Pipeline",T99="Overdue"),ISNUMBER(W99)),IF(W99&lt;=Settings!$B$6,Q99,0),0)</f>
        <v>0</v>
      </c>
      <c r="Z99" s="38" t="n">
        <f aca="false">IF(Y99=0,0,IF(T99="Backlog",Q99,Q99*Dashboard!$C$10))</f>
        <v>0</v>
      </c>
      <c r="AA99" s="37" t="n">
        <f aca="false">IF($N99="",0,IF(COUNTIF(Dashboard!$C$13:$C$22,$N99)&gt;0,1,0))</f>
        <v>0</v>
      </c>
      <c r="AB99" s="37" t="n">
        <f aca="false">IF($N99="","",IF(COUNTIF($N$8:$N99,$N99)=1,MAX($AB$7:$AB98)+1,""))</f>
        <v>51</v>
      </c>
    </row>
    <row r="100" customFormat="false" ht="15" hidden="false" customHeight="false" outlineLevel="0" collapsed="false">
      <c r="B100" s="32" t="s">
        <v>382</v>
      </c>
      <c r="C100" s="32" t="s">
        <v>307</v>
      </c>
      <c r="D100" s="35" t="n">
        <v>0</v>
      </c>
      <c r="E100" s="32" t="s">
        <v>208</v>
      </c>
      <c r="F100" s="36" t="n">
        <v>45975</v>
      </c>
      <c r="G100" s="32" t="s">
        <v>383</v>
      </c>
      <c r="L100" s="37" t="str">
        <f aca="false">IF(INDEX($A100:$J100,$L$6)&lt;&gt;"",TRIM(LEFT(INDEX($A100:$J100,$L$6),FIND("(",INDEX($A100:$J100,$L$6)&amp;"(")-1)),L99)</f>
        <v>Closed Won</v>
      </c>
      <c r="M100" s="37" t="str">
        <f aca="false">IF(INDEX($A100:$J100,$M$6)="","",INDEX($A100:$J100,$M$6)&amp;"")</f>
        <v>Regatta Highlights - 14.11.25</v>
      </c>
      <c r="N100" s="37" t="str">
        <f aca="false">IF($M100="","",TRIM(INDEX($A100:$J100,$N$6)&amp;""))</f>
        <v>ASX Refinitiv Charity Foundation Ltd</v>
      </c>
      <c r="O100" s="37" t="str">
        <f aca="false">IF($M100="","",TRIM(INDEX($A100:$J100,$O$6)&amp;""))</f>
        <v>Video Production</v>
      </c>
      <c r="P100" s="37" t="str">
        <f aca="false">IF($M100="","",IFERROR(IF(INDEX(Settings!$B$41:$B$50,MATCH(O100,Settings!$A$41:$A$50,0))&amp;""="","UNMAPPED",INDEX(Settings!$B$41:$B$50,MATCH(O100,Settings!$A$41:$A$50,0))&amp;""),"UNMAPPED"))</f>
        <v>Video</v>
      </c>
      <c r="Q100" s="38" t="n">
        <f aca="false">IF($M100="",0,N(INDEX($A100:$J100,$Q$6)))</f>
        <v>0</v>
      </c>
      <c r="R100" s="39" t="n">
        <f aca="false">IF($M100="","",INDEX($A100:$J100,$R$6))</f>
        <v>45975</v>
      </c>
      <c r="S100" s="37" t="str">
        <f aca="false">IF($M100="","",IFERROR(INDEX(Settings!$B$27:$B$36,MATCH(L100,Settings!$A$27:$A$36,0))&amp;"","UNMAPPED"))</f>
        <v>Won</v>
      </c>
      <c r="T100" s="37" t="str">
        <f aca="false">IF($M100="","",IF(NOT(ISNUMBER(R100)),"NO DATE",IF(S100="Won",IF(R100&gt;Settings!$B$5,"Backlog","Delivered"),IF(S100="Open",IF(R100&gt;Settings!$B$5,"Pipeline","Overdue"),IF(S100="Lost","Lost","UNMAPPED")))))</f>
        <v>Delivered</v>
      </c>
      <c r="U100" s="40" t="n">
        <f aca="false">IF(T100="Backlog",1,IF(OR(T100="Pipeline",T100="Overdue"),N(INDEX(Settings!$C$27:$C$36,MATCH(L100,Settings!$A$27:$A$36,0))),0))</f>
        <v>0</v>
      </c>
      <c r="V100" s="38" t="n">
        <f aca="false">Q100*U100</f>
        <v>0</v>
      </c>
      <c r="W100" s="41" t="n">
        <f aca="false">IF($M100="","",IF(T100="Overdue",IF(Settings!$B$8="Yes",Settings!$B$7,""),IF(ISNUMBER(R100),DATE(YEAR(R100),MONTH(R100),1),"")))</f>
        <v>45962</v>
      </c>
      <c r="X100" s="38" t="n">
        <f aca="false">IF(AND(OR(T100="Backlog",T100="Pipeline",T100="Overdue"),ISNUMBER(W100)),IF(W100&lt;=Settings!$B$6,V100,0),0)</f>
        <v>0</v>
      </c>
      <c r="Y100" s="38" t="n">
        <f aca="false">IF(AND(OR(T100="Backlog",T100="Pipeline",T100="Overdue"),ISNUMBER(W100)),IF(W100&lt;=Settings!$B$6,Q100,0),0)</f>
        <v>0</v>
      </c>
      <c r="Z100" s="38" t="n">
        <f aca="false">IF(Y100=0,0,IF(T100="Backlog",Q100,Q100*Dashboard!$C$10))</f>
        <v>0</v>
      </c>
      <c r="AA100" s="37" t="n">
        <f aca="false">IF($N100="",0,IF(COUNTIF(Dashboard!$C$13:$C$22,$N100)&gt;0,1,0))</f>
        <v>0</v>
      </c>
      <c r="AB100" s="37" t="str">
        <f aca="false">IF($N100="","",IF(COUNTIF($N$8:$N100,$N100)=1,MAX($AB$7:$AB99)+1,""))</f>
        <v/>
      </c>
    </row>
    <row r="101" customFormat="false" ht="15" hidden="false" customHeight="false" outlineLevel="0" collapsed="false">
      <c r="B101" s="32" t="s">
        <v>384</v>
      </c>
      <c r="C101" s="32" t="s">
        <v>160</v>
      </c>
      <c r="D101" s="35" t="n">
        <v>380</v>
      </c>
      <c r="E101" s="32" t="s">
        <v>145</v>
      </c>
      <c r="F101" s="36" t="n">
        <v>46098</v>
      </c>
      <c r="G101" s="32" t="s">
        <v>385</v>
      </c>
      <c r="L101" s="37" t="str">
        <f aca="false">IF(INDEX($A101:$J101,$L$6)&lt;&gt;"",TRIM(LEFT(INDEX($A101:$J101,$L$6),FIND("(",INDEX($A101:$J101,$L$6)&amp;"(")-1)),L100)</f>
        <v>Closed Won</v>
      </c>
      <c r="M101" s="37" t="str">
        <f aca="false">IF(INDEX($A101:$J101,$M$6)="","",INDEX($A101:$J101,$M$6)&amp;"")</f>
        <v>Elkiem Studio Support 17.3.26</v>
      </c>
      <c r="N101" s="37" t="str">
        <f aca="false">IF($M101="","",TRIM(INDEX($A101:$J101,$N$6)&amp;""))</f>
        <v>Elkiem</v>
      </c>
      <c r="O101" s="37" t="str">
        <f aca="false">IF($M101="","",TRIM(INDEX($A101:$J101,$O$6)&amp;""))</f>
        <v>Event Production</v>
      </c>
      <c r="P101" s="37" t="str">
        <f aca="false">IF($M101="","",IFERROR(IF(INDEX(Settings!$B$41:$B$50,MATCH(O101,Settings!$A$41:$A$50,0))&amp;""="","UNMAPPED",INDEX(Settings!$B$41:$B$50,MATCH(O101,Settings!$A$41:$A$50,0))&amp;""),"UNMAPPED"))</f>
        <v>Production</v>
      </c>
      <c r="Q101" s="38" t="n">
        <f aca="false">IF($M101="",0,N(INDEX($A101:$J101,$Q$6)))</f>
        <v>380</v>
      </c>
      <c r="R101" s="39" t="n">
        <f aca="false">IF($M101="","",INDEX($A101:$J101,$R$6))</f>
        <v>46098</v>
      </c>
      <c r="S101" s="37" t="str">
        <f aca="false">IF($M101="","",IFERROR(INDEX(Settings!$B$27:$B$36,MATCH(L101,Settings!$A$27:$A$36,0))&amp;"","UNMAPPED"))</f>
        <v>Won</v>
      </c>
      <c r="T101" s="37" t="str">
        <f aca="false">IF($M101="","",IF(NOT(ISNUMBER(R101)),"NO DATE",IF(S101="Won",IF(R101&gt;Settings!$B$5,"Backlog","Delivered"),IF(S101="Open",IF(R101&gt;Settings!$B$5,"Pipeline","Overdue"),IF(S101="Lost","Lost","UNMAPPED")))))</f>
        <v>Delivered</v>
      </c>
      <c r="U101" s="40" t="n">
        <f aca="false">IF(T101="Backlog",1,IF(OR(T101="Pipeline",T101="Overdue"),N(INDEX(Settings!$C$27:$C$36,MATCH(L101,Settings!$A$27:$A$36,0))),0))</f>
        <v>0</v>
      </c>
      <c r="V101" s="38" t="n">
        <f aca="false">Q101*U101</f>
        <v>0</v>
      </c>
      <c r="W101" s="41" t="n">
        <f aca="false">IF($M101="","",IF(T101="Overdue",IF(Settings!$B$8="Yes",Settings!$B$7,""),IF(ISNUMBER(R101),DATE(YEAR(R101),MONTH(R101),1),"")))</f>
        <v>46082</v>
      </c>
      <c r="X101" s="38" t="n">
        <f aca="false">IF(AND(OR(T101="Backlog",T101="Pipeline",T101="Overdue"),ISNUMBER(W101)),IF(W101&lt;=Settings!$B$6,V101,0),0)</f>
        <v>0</v>
      </c>
      <c r="Y101" s="38" t="n">
        <f aca="false">IF(AND(OR(T101="Backlog",T101="Pipeline",T101="Overdue"),ISNUMBER(W101)),IF(W101&lt;=Settings!$B$6,Q101,0),0)</f>
        <v>0</v>
      </c>
      <c r="Z101" s="38" t="n">
        <f aca="false">IF(Y101=0,0,IF(T101="Backlog",Q101,Q101*Dashboard!$C$10))</f>
        <v>0</v>
      </c>
      <c r="AA101" s="37" t="n">
        <f aca="false">IF($N101="",0,IF(COUNTIF(Dashboard!$C$13:$C$22,$N101)&gt;0,1,0))</f>
        <v>0</v>
      </c>
      <c r="AB101" s="37" t="str">
        <f aca="false">IF($N101="","",IF(COUNTIF($N$8:$N101,$N101)=1,MAX($AB$7:$AB100)+1,""))</f>
        <v/>
      </c>
    </row>
    <row r="102" customFormat="false" ht="15" hidden="false" customHeight="false" outlineLevel="0" collapsed="false">
      <c r="B102" s="32" t="s">
        <v>386</v>
      </c>
      <c r="C102" s="32" t="s">
        <v>387</v>
      </c>
      <c r="D102" s="35" t="n">
        <v>850</v>
      </c>
      <c r="E102" s="32" t="s">
        <v>180</v>
      </c>
      <c r="F102" s="36" t="n">
        <v>45895</v>
      </c>
      <c r="G102" s="32" t="s">
        <v>388</v>
      </c>
      <c r="L102" s="37" t="str">
        <f aca="false">IF(INDEX($A102:$J102,$L$6)&lt;&gt;"",TRIM(LEFT(INDEX($A102:$J102,$L$6),FIND("(",INDEX($A102:$J102,$L$6)&amp;"(")-1)),L101)</f>
        <v>Closed Won</v>
      </c>
      <c r="M102" s="37" t="str">
        <f aca="false">IF(INDEX($A102:$J102,$M$6)="","",INDEX($A102:$J102,$M$6)&amp;"")</f>
        <v>Deloitte Tech Support - 26th of August - Next Gen</v>
      </c>
      <c r="N102" s="37" t="str">
        <f aca="false">IF($M102="","",TRIM(INDEX($A102:$J102,$N$6)&amp;""))</f>
        <v>Deloitte - Melbourne</v>
      </c>
      <c r="O102" s="37" t="str">
        <f aca="false">IF($M102="","",TRIM(INDEX($A102:$J102,$O$6)&amp;""))</f>
        <v>Support</v>
      </c>
      <c r="P102" s="37" t="str">
        <f aca="false">IF($M102="","",IFERROR(IF(INDEX(Settings!$B$41:$B$50,MATCH(O102,Settings!$A$41:$A$50,0))&amp;""="","UNMAPPED",INDEX(Settings!$B$41:$B$50,MATCH(O102,Settings!$A$41:$A$50,0))&amp;""),"UNMAPPED"))</f>
        <v>Onsite</v>
      </c>
      <c r="Q102" s="38" t="n">
        <f aca="false">IF($M102="",0,N(INDEX($A102:$J102,$Q$6)))</f>
        <v>850</v>
      </c>
      <c r="R102" s="39" t="n">
        <f aca="false">IF($M102="","",INDEX($A102:$J102,$R$6))</f>
        <v>45895</v>
      </c>
      <c r="S102" s="37" t="str">
        <f aca="false">IF($M102="","",IFERROR(INDEX(Settings!$B$27:$B$36,MATCH(L102,Settings!$A$27:$A$36,0))&amp;"","UNMAPPED"))</f>
        <v>Won</v>
      </c>
      <c r="T102" s="37" t="str">
        <f aca="false">IF($M102="","",IF(NOT(ISNUMBER(R102)),"NO DATE",IF(S102="Won",IF(R102&gt;Settings!$B$5,"Backlog","Delivered"),IF(S102="Open",IF(R102&gt;Settings!$B$5,"Pipeline","Overdue"),IF(S102="Lost","Lost","UNMAPPED")))))</f>
        <v>Delivered</v>
      </c>
      <c r="U102" s="40" t="n">
        <f aca="false">IF(T102="Backlog",1,IF(OR(T102="Pipeline",T102="Overdue"),N(INDEX(Settings!$C$27:$C$36,MATCH(L102,Settings!$A$27:$A$36,0))),0))</f>
        <v>0</v>
      </c>
      <c r="V102" s="38" t="n">
        <f aca="false">Q102*U102</f>
        <v>0</v>
      </c>
      <c r="W102" s="41" t="n">
        <f aca="false">IF($M102="","",IF(T102="Overdue",IF(Settings!$B$8="Yes",Settings!$B$7,""),IF(ISNUMBER(R102),DATE(YEAR(R102),MONTH(R102),1),"")))</f>
        <v>45870</v>
      </c>
      <c r="X102" s="38" t="n">
        <f aca="false">IF(AND(OR(T102="Backlog",T102="Pipeline",T102="Overdue"),ISNUMBER(W102)),IF(W102&lt;=Settings!$B$6,V102,0),0)</f>
        <v>0</v>
      </c>
      <c r="Y102" s="38" t="n">
        <f aca="false">IF(AND(OR(T102="Backlog",T102="Pipeline",T102="Overdue"),ISNUMBER(W102)),IF(W102&lt;=Settings!$B$6,Q102,0),0)</f>
        <v>0</v>
      </c>
      <c r="Z102" s="38" t="n">
        <f aca="false">IF(Y102=0,0,IF(T102="Backlog",Q102,Q102*Dashboard!$C$10))</f>
        <v>0</v>
      </c>
      <c r="AA102" s="37" t="n">
        <f aca="false">IF($N102="",0,IF(COUNTIF(Dashboard!$C$13:$C$22,$N102)&gt;0,1,0))</f>
        <v>0</v>
      </c>
      <c r="AB102" s="37" t="n">
        <f aca="false">IF($N102="","",IF(COUNTIF($N$8:$N102,$N102)=1,MAX($AB$7:$AB101)+1,""))</f>
        <v>52</v>
      </c>
    </row>
    <row r="103" customFormat="false" ht="15" hidden="false" customHeight="false" outlineLevel="0" collapsed="false">
      <c r="B103" s="32" t="s">
        <v>389</v>
      </c>
      <c r="C103" s="32" t="s">
        <v>281</v>
      </c>
      <c r="D103" s="35" t="n">
        <v>2881</v>
      </c>
      <c r="E103" s="32" t="s">
        <v>145</v>
      </c>
      <c r="F103" s="36" t="n">
        <v>46302</v>
      </c>
      <c r="G103" s="32" t="s">
        <v>390</v>
      </c>
      <c r="L103" s="37" t="str">
        <f aca="false">IF(INDEX($A103:$J103,$L$6)&lt;&gt;"",TRIM(LEFT(INDEX($A103:$J103,$L$6),FIND("(",INDEX($A103:$J103,$L$6)&amp;"(")-1)),L102)</f>
        <v>Closed Won</v>
      </c>
      <c r="M103" s="37" t="str">
        <f aca="false">IF(INDEX($A103:$J103,$M$6)="","",INDEX($A103:$J103,$M$6)&amp;"")</f>
        <v>RSNSW Ordinary General Meeting 7.10.2026</v>
      </c>
      <c r="N103" s="37" t="str">
        <f aca="false">IF($M103="","",TRIM(INDEX($A103:$J103,$N$6)&amp;""))</f>
        <v>The Royal Society of New South Wales</v>
      </c>
      <c r="O103" s="37" t="str">
        <f aca="false">IF($M103="","",TRIM(INDEX($A103:$J103,$O$6)&amp;""))</f>
        <v>Event Production</v>
      </c>
      <c r="P103" s="37" t="str">
        <f aca="false">IF($M103="","",IFERROR(IF(INDEX(Settings!$B$41:$B$50,MATCH(O103,Settings!$A$41:$A$50,0))&amp;""="","UNMAPPED",INDEX(Settings!$B$41:$B$50,MATCH(O103,Settings!$A$41:$A$50,0))&amp;""),"UNMAPPED"))</f>
        <v>Production</v>
      </c>
      <c r="Q103" s="38" t="n">
        <f aca="false">IF($M103="",0,N(INDEX($A103:$J103,$Q$6)))</f>
        <v>2881</v>
      </c>
      <c r="R103" s="39" t="n">
        <f aca="false">IF($M103="","",INDEX($A103:$J103,$R$6))</f>
        <v>46302</v>
      </c>
      <c r="S103" s="37" t="str">
        <f aca="false">IF($M103="","",IFERROR(INDEX(Settings!$B$27:$B$36,MATCH(L103,Settings!$A$27:$A$36,0))&amp;"","UNMAPPED"))</f>
        <v>Won</v>
      </c>
      <c r="T103" s="37" t="str">
        <f aca="false">IF($M103="","",IF(NOT(ISNUMBER(R103)),"NO DATE",IF(S103="Won",IF(R103&gt;Settings!$B$5,"Backlog","Delivered"),IF(S103="Open",IF(R103&gt;Settings!$B$5,"Pipeline","Overdue"),IF(S103="Lost","Lost","UNMAPPED")))))</f>
        <v>Backlog</v>
      </c>
      <c r="U103" s="40" t="n">
        <f aca="false">IF(T103="Backlog",1,IF(OR(T103="Pipeline",T103="Overdue"),N(INDEX(Settings!$C$27:$C$36,MATCH(L103,Settings!$A$27:$A$36,0))),0))</f>
        <v>1</v>
      </c>
      <c r="V103" s="38" t="n">
        <f aca="false">Q103*U103</f>
        <v>2881</v>
      </c>
      <c r="W103" s="41" t="n">
        <f aca="false">IF($M103="","",IF(T103="Overdue",IF(Settings!$B$8="Yes",Settings!$B$7,""),IF(ISNUMBER(R103),DATE(YEAR(R103),MONTH(R103),1),"")))</f>
        <v>46296</v>
      </c>
      <c r="X103" s="38" t="n">
        <f aca="false">IF(AND(OR(T103="Backlog",T103="Pipeline",T103="Overdue"),ISNUMBER(W103)),IF(W103&lt;=Settings!$B$6,V103,0),0)</f>
        <v>2881</v>
      </c>
      <c r="Y103" s="38" t="n">
        <f aca="false">IF(AND(OR(T103="Backlog",T103="Pipeline",T103="Overdue"),ISNUMBER(W103)),IF(W103&lt;=Settings!$B$6,Q103,0),0)</f>
        <v>2881</v>
      </c>
      <c r="Z103" s="38" t="n">
        <f aca="false">IF(Y103=0,0,IF(T103="Backlog",Q103,Q103*Dashboard!$C$10))</f>
        <v>2881</v>
      </c>
      <c r="AA103" s="37" t="n">
        <f aca="false">IF($N103="",0,IF(COUNTIF(Dashboard!$C$13:$C$22,$N103)&gt;0,1,0))</f>
        <v>0</v>
      </c>
      <c r="AB103" s="37" t="str">
        <f aca="false">IF($N103="","",IF(COUNTIF($N$8:$N103,$N103)=1,MAX($AB$7:$AB102)+1,""))</f>
        <v/>
      </c>
    </row>
    <row r="104" customFormat="false" ht="15" hidden="false" customHeight="false" outlineLevel="0" collapsed="false">
      <c r="B104" s="32" t="s">
        <v>391</v>
      </c>
      <c r="C104" s="32" t="s">
        <v>392</v>
      </c>
      <c r="D104" s="35" t="n">
        <v>6700</v>
      </c>
      <c r="E104" s="32" t="s">
        <v>145</v>
      </c>
      <c r="F104" s="36" t="n">
        <v>45901</v>
      </c>
      <c r="G104" s="32" t="s">
        <v>393</v>
      </c>
      <c r="L104" s="37" t="str">
        <f aca="false">IF(INDEX($A104:$J104,$L$6)&lt;&gt;"",TRIM(LEFT(INDEX($A104:$J104,$L$6),FIND("(",INDEX($A104:$J104,$L$6)&amp;"(")-1)),L103)</f>
        <v>Closed Won</v>
      </c>
      <c r="M104" s="37" t="str">
        <f aca="false">IF(INDEX($A104:$J104,$M$6)="","",INDEX($A104:$J104,$M$6)&amp;"")</f>
        <v>AIM AGM 2025</v>
      </c>
      <c r="N104" s="37" t="str">
        <f aca="false">IF($M104="","",TRIM(INDEX($A104:$J104,$N$6)&amp;""))</f>
        <v>Ai-Media</v>
      </c>
      <c r="O104" s="37" t="str">
        <f aca="false">IF($M104="","",TRIM(INDEX($A104:$J104,$O$6)&amp;""))</f>
        <v>Event Production</v>
      </c>
      <c r="P104" s="37" t="str">
        <f aca="false">IF($M104="","",IFERROR(IF(INDEX(Settings!$B$41:$B$50,MATCH(O104,Settings!$A$41:$A$50,0))&amp;""="","UNMAPPED",INDEX(Settings!$B$41:$B$50,MATCH(O104,Settings!$A$41:$A$50,0))&amp;""),"UNMAPPED"))</f>
        <v>Production</v>
      </c>
      <c r="Q104" s="38" t="n">
        <f aca="false">IF($M104="",0,N(INDEX($A104:$J104,$Q$6)))</f>
        <v>6700</v>
      </c>
      <c r="R104" s="39" t="n">
        <f aca="false">IF($M104="","",INDEX($A104:$J104,$R$6))</f>
        <v>45901</v>
      </c>
      <c r="S104" s="37" t="str">
        <f aca="false">IF($M104="","",IFERROR(INDEX(Settings!$B$27:$B$36,MATCH(L104,Settings!$A$27:$A$36,0))&amp;"","UNMAPPED"))</f>
        <v>Won</v>
      </c>
      <c r="T104" s="37" t="str">
        <f aca="false">IF($M104="","",IF(NOT(ISNUMBER(R104)),"NO DATE",IF(S104="Won",IF(R104&gt;Settings!$B$5,"Backlog","Delivered"),IF(S104="Open",IF(R104&gt;Settings!$B$5,"Pipeline","Overdue"),IF(S104="Lost","Lost","UNMAPPED")))))</f>
        <v>Delivered</v>
      </c>
      <c r="U104" s="40" t="n">
        <f aca="false">IF(T104="Backlog",1,IF(OR(T104="Pipeline",T104="Overdue"),N(INDEX(Settings!$C$27:$C$36,MATCH(L104,Settings!$A$27:$A$36,0))),0))</f>
        <v>0</v>
      </c>
      <c r="V104" s="38" t="n">
        <f aca="false">Q104*U104</f>
        <v>0</v>
      </c>
      <c r="W104" s="41" t="n">
        <f aca="false">IF($M104="","",IF(T104="Overdue",IF(Settings!$B$8="Yes",Settings!$B$7,""),IF(ISNUMBER(R104),DATE(YEAR(R104),MONTH(R104),1),"")))</f>
        <v>45901</v>
      </c>
      <c r="X104" s="38" t="n">
        <f aca="false">IF(AND(OR(T104="Backlog",T104="Pipeline",T104="Overdue"),ISNUMBER(W104)),IF(W104&lt;=Settings!$B$6,V104,0),0)</f>
        <v>0</v>
      </c>
      <c r="Y104" s="38" t="n">
        <f aca="false">IF(AND(OR(T104="Backlog",T104="Pipeline",T104="Overdue"),ISNUMBER(W104)),IF(W104&lt;=Settings!$B$6,Q104,0),0)</f>
        <v>0</v>
      </c>
      <c r="Z104" s="38" t="n">
        <f aca="false">IF(Y104=0,0,IF(T104="Backlog",Q104,Q104*Dashboard!$C$10))</f>
        <v>0</v>
      </c>
      <c r="AA104" s="37" t="n">
        <f aca="false">IF($N104="",0,IF(COUNTIF(Dashboard!$C$13:$C$22,$N104)&gt;0,1,0))</f>
        <v>0</v>
      </c>
      <c r="AB104" s="37" t="n">
        <f aca="false">IF($N104="","",IF(COUNTIF($N$8:$N104,$N104)=1,MAX($AB$7:$AB103)+1,""))</f>
        <v>53</v>
      </c>
    </row>
    <row r="105" customFormat="false" ht="15" hidden="false" customHeight="false" outlineLevel="0" collapsed="false">
      <c r="B105" s="32" t="s">
        <v>394</v>
      </c>
      <c r="C105" s="32" t="s">
        <v>154</v>
      </c>
      <c r="D105" s="35" t="n">
        <v>142884</v>
      </c>
      <c r="E105" s="32" t="s">
        <v>180</v>
      </c>
      <c r="F105" s="36" t="n">
        <v>46146</v>
      </c>
      <c r="G105" s="32" t="s">
        <v>395</v>
      </c>
      <c r="L105" s="37" t="str">
        <f aca="false">IF(INDEX($A105:$J105,$L$6)&lt;&gt;"",TRIM(LEFT(INDEX($A105:$J105,$L$6),FIND("(",INDEX($A105:$J105,$L$6)&amp;"(")-1)),L104)</f>
        <v>Closed Won</v>
      </c>
      <c r="M105" s="37" t="str">
        <f aca="false">IF(INDEX($A105:$J105,$M$6)="","",INDEX($A105:$J105,$M$6)&amp;"")</f>
        <v>PWC - Tech Hub Support - Sydney, 12 months - 2604901</v>
      </c>
      <c r="N105" s="37" t="str">
        <f aca="false">IF($M105="","",TRIM(INDEX($A105:$J105,$N$6)&amp;""))</f>
        <v>PWC</v>
      </c>
      <c r="O105" s="37" t="str">
        <f aca="false">IF($M105="","",TRIM(INDEX($A105:$J105,$O$6)&amp;""))</f>
        <v>Support</v>
      </c>
      <c r="P105" s="37" t="str">
        <f aca="false">IF($M105="","",IFERROR(IF(INDEX(Settings!$B$41:$B$50,MATCH(O105,Settings!$A$41:$A$50,0))&amp;""="","UNMAPPED",INDEX(Settings!$B$41:$B$50,MATCH(O105,Settings!$A$41:$A$50,0))&amp;""),"UNMAPPED"))</f>
        <v>Onsite</v>
      </c>
      <c r="Q105" s="38" t="n">
        <f aca="false">IF($M105="",0,N(INDEX($A105:$J105,$Q$6)))</f>
        <v>142884</v>
      </c>
      <c r="R105" s="39" t="n">
        <f aca="false">IF($M105="","",INDEX($A105:$J105,$R$6))</f>
        <v>46146</v>
      </c>
      <c r="S105" s="37" t="str">
        <f aca="false">IF($M105="","",IFERROR(INDEX(Settings!$B$27:$B$36,MATCH(L105,Settings!$A$27:$A$36,0))&amp;"","UNMAPPED"))</f>
        <v>Won</v>
      </c>
      <c r="T105" s="37" t="str">
        <f aca="false">IF($M105="","",IF(NOT(ISNUMBER(R105)),"NO DATE",IF(S105="Won",IF(R105&gt;Settings!$B$5,"Backlog","Delivered"),IF(S105="Open",IF(R105&gt;Settings!$B$5,"Pipeline","Overdue"),IF(S105="Lost","Lost","UNMAPPED")))))</f>
        <v>Delivered</v>
      </c>
      <c r="U105" s="40" t="n">
        <f aca="false">IF(T105="Backlog",1,IF(OR(T105="Pipeline",T105="Overdue"),N(INDEX(Settings!$C$27:$C$36,MATCH(L105,Settings!$A$27:$A$36,0))),0))</f>
        <v>0</v>
      </c>
      <c r="V105" s="38" t="n">
        <f aca="false">Q105*U105</f>
        <v>0</v>
      </c>
      <c r="W105" s="41" t="n">
        <f aca="false">IF($M105="","",IF(T105="Overdue",IF(Settings!$B$8="Yes",Settings!$B$7,""),IF(ISNUMBER(R105),DATE(YEAR(R105),MONTH(R105),1),"")))</f>
        <v>46143</v>
      </c>
      <c r="X105" s="38" t="n">
        <f aca="false">IF(AND(OR(T105="Backlog",T105="Pipeline",T105="Overdue"),ISNUMBER(W105)),IF(W105&lt;=Settings!$B$6,V105,0),0)</f>
        <v>0</v>
      </c>
      <c r="Y105" s="38" t="n">
        <f aca="false">IF(AND(OR(T105="Backlog",T105="Pipeline",T105="Overdue"),ISNUMBER(W105)),IF(W105&lt;=Settings!$B$6,Q105,0),0)</f>
        <v>0</v>
      </c>
      <c r="Z105" s="38" t="n">
        <f aca="false">IF(Y105=0,0,IF(T105="Backlog",Q105,Q105*Dashboard!$C$10))</f>
        <v>0</v>
      </c>
      <c r="AA105" s="37" t="n">
        <f aca="false">IF($N105="",0,IF(COUNTIF(Dashboard!$C$13:$C$22,$N105)&gt;0,1,0))</f>
        <v>0</v>
      </c>
      <c r="AB105" s="37" t="str">
        <f aca="false">IF($N105="","",IF(COUNTIF($N$8:$N105,$N105)=1,MAX($AB$7:$AB104)+1,""))</f>
        <v/>
      </c>
    </row>
    <row r="106" customFormat="false" ht="15" hidden="false" customHeight="false" outlineLevel="0" collapsed="false">
      <c r="B106" s="32" t="s">
        <v>396</v>
      </c>
      <c r="C106" s="32" t="s">
        <v>188</v>
      </c>
      <c r="D106" s="35" t="n">
        <v>214690</v>
      </c>
      <c r="E106" s="32" t="s">
        <v>141</v>
      </c>
      <c r="F106" s="36" t="n">
        <v>46185</v>
      </c>
      <c r="G106" s="32" t="s">
        <v>397</v>
      </c>
      <c r="L106" s="37" t="str">
        <f aca="false">IF(INDEX($A106:$J106,$L$6)&lt;&gt;"",TRIM(LEFT(INDEX($A106:$J106,$L$6),FIND("(",INDEX($A106:$J106,$L$6)&amp;"(")-1)),L105)</f>
        <v>Closed Won</v>
      </c>
      <c r="M106" s="37" t="str">
        <f aca="false">IF(INDEX($A106:$J106,$M$6)="","",INDEX($A106:$J106,$M$6)&amp;"")</f>
        <v>Aware | SYD Seminar Room Audio Upgrade - 2604704</v>
      </c>
      <c r="N106" s="37" t="str">
        <f aca="false">IF($M106="","",TRIM(INDEX($A106:$J106,$N$6)&amp;""))</f>
        <v>Aware Super</v>
      </c>
      <c r="O106" s="37" t="str">
        <f aca="false">IF($M106="","",TRIM(INDEX($A106:$J106,$O$6)&amp;""))</f>
        <v>Integration</v>
      </c>
      <c r="P106" s="37" t="str">
        <f aca="false">IF($M106="","",IFERROR(IF(INDEX(Settings!$B$41:$B$50,MATCH(O106,Settings!$A$41:$A$50,0))&amp;""="","UNMAPPED",INDEX(Settings!$B$41:$B$50,MATCH(O106,Settings!$A$41:$A$50,0))&amp;""),"UNMAPPED"))</f>
        <v>Integration</v>
      </c>
      <c r="Q106" s="38" t="n">
        <f aca="false">IF($M106="",0,N(INDEX($A106:$J106,$Q$6)))</f>
        <v>214690</v>
      </c>
      <c r="R106" s="39" t="n">
        <f aca="false">IF($M106="","",INDEX($A106:$J106,$R$6))</f>
        <v>46185</v>
      </c>
      <c r="S106" s="37" t="str">
        <f aca="false">IF($M106="","",IFERROR(INDEX(Settings!$B$27:$B$36,MATCH(L106,Settings!$A$27:$A$36,0))&amp;"","UNMAPPED"))</f>
        <v>Won</v>
      </c>
      <c r="T106" s="37" t="str">
        <f aca="false">IF($M106="","",IF(NOT(ISNUMBER(R106)),"NO DATE",IF(S106="Won",IF(R106&gt;Settings!$B$5,"Backlog","Delivered"),IF(S106="Open",IF(R106&gt;Settings!$B$5,"Pipeline","Overdue"),IF(S106="Lost","Lost","UNMAPPED")))))</f>
        <v>Delivered</v>
      </c>
      <c r="U106" s="40" t="n">
        <f aca="false">IF(T106="Backlog",1,IF(OR(T106="Pipeline",T106="Overdue"),N(INDEX(Settings!$C$27:$C$36,MATCH(L106,Settings!$A$27:$A$36,0))),0))</f>
        <v>0</v>
      </c>
      <c r="V106" s="38" t="n">
        <f aca="false">Q106*U106</f>
        <v>0</v>
      </c>
      <c r="W106" s="41" t="n">
        <f aca="false">IF($M106="","",IF(T106="Overdue",IF(Settings!$B$8="Yes",Settings!$B$7,""),IF(ISNUMBER(R106),DATE(YEAR(R106),MONTH(R106),1),"")))</f>
        <v>46174</v>
      </c>
      <c r="X106" s="38" t="n">
        <f aca="false">IF(AND(OR(T106="Backlog",T106="Pipeline",T106="Overdue"),ISNUMBER(W106)),IF(W106&lt;=Settings!$B$6,V106,0),0)</f>
        <v>0</v>
      </c>
      <c r="Y106" s="38" t="n">
        <f aca="false">IF(AND(OR(T106="Backlog",T106="Pipeline",T106="Overdue"),ISNUMBER(W106)),IF(W106&lt;=Settings!$B$6,Q106,0),0)</f>
        <v>0</v>
      </c>
      <c r="Z106" s="38" t="n">
        <f aca="false">IF(Y106=0,0,IF(T106="Backlog",Q106,Q106*Dashboard!$C$10))</f>
        <v>0</v>
      </c>
      <c r="AA106" s="37" t="n">
        <f aca="false">IF($N106="",0,IF(COUNTIF(Dashboard!$C$13:$C$22,$N106)&gt;0,1,0))</f>
        <v>0</v>
      </c>
      <c r="AB106" s="37" t="str">
        <f aca="false">IF($N106="","",IF(COUNTIF($N$8:$N106,$N106)=1,MAX($AB$7:$AB105)+1,""))</f>
        <v/>
      </c>
    </row>
    <row r="107" customFormat="false" ht="15" hidden="false" customHeight="false" outlineLevel="0" collapsed="false">
      <c r="B107" s="32" t="s">
        <v>398</v>
      </c>
      <c r="C107" s="32" t="s">
        <v>364</v>
      </c>
      <c r="D107" s="35" t="n">
        <v>5065</v>
      </c>
      <c r="E107" s="32" t="s">
        <v>180</v>
      </c>
      <c r="F107" s="36" t="n">
        <v>46129</v>
      </c>
      <c r="G107" s="32" t="s">
        <v>399</v>
      </c>
      <c r="L107" s="37" t="str">
        <f aca="false">IF(INDEX($A107:$J107,$L$6)&lt;&gt;"",TRIM(LEFT(INDEX($A107:$J107,$L$6),FIND("(",INDEX($A107:$J107,$L$6)&amp;"(")-1)),L106)</f>
        <v>Closed Won</v>
      </c>
      <c r="M107" s="37" t="str">
        <f aca="false">IF(INDEX($A107:$J107,$M$6)="","",INDEX($A107:$J107,$M$6)&amp;"")</f>
        <v>8PSQ_Bluetooth Audio - 26033006</v>
      </c>
      <c r="N107" s="37" t="str">
        <f aca="false">IF($M107="","",TRIM(INDEX($A107:$J107,$N$6)&amp;""))</f>
        <v>Deloitte - Parramatta</v>
      </c>
      <c r="O107" s="37" t="str">
        <f aca="false">IF($M107="","",TRIM(INDEX($A107:$J107,$O$6)&amp;""))</f>
        <v>Support</v>
      </c>
      <c r="P107" s="37" t="str">
        <f aca="false">IF($M107="","",IFERROR(IF(INDEX(Settings!$B$41:$B$50,MATCH(O107,Settings!$A$41:$A$50,0))&amp;""="","UNMAPPED",INDEX(Settings!$B$41:$B$50,MATCH(O107,Settings!$A$41:$A$50,0))&amp;""),"UNMAPPED"))</f>
        <v>Onsite</v>
      </c>
      <c r="Q107" s="38" t="n">
        <f aca="false">IF($M107="",0,N(INDEX($A107:$J107,$Q$6)))</f>
        <v>5065</v>
      </c>
      <c r="R107" s="39" t="n">
        <f aca="false">IF($M107="","",INDEX($A107:$J107,$R$6))</f>
        <v>46129</v>
      </c>
      <c r="S107" s="37" t="str">
        <f aca="false">IF($M107="","",IFERROR(INDEX(Settings!$B$27:$B$36,MATCH(L107,Settings!$A$27:$A$36,0))&amp;"","UNMAPPED"))</f>
        <v>Won</v>
      </c>
      <c r="T107" s="37" t="str">
        <f aca="false">IF($M107="","",IF(NOT(ISNUMBER(R107)),"NO DATE",IF(S107="Won",IF(R107&gt;Settings!$B$5,"Backlog","Delivered"),IF(S107="Open",IF(R107&gt;Settings!$B$5,"Pipeline","Overdue"),IF(S107="Lost","Lost","UNMAPPED")))))</f>
        <v>Delivered</v>
      </c>
      <c r="U107" s="40" t="n">
        <f aca="false">IF(T107="Backlog",1,IF(OR(T107="Pipeline",T107="Overdue"),N(INDEX(Settings!$C$27:$C$36,MATCH(L107,Settings!$A$27:$A$36,0))),0))</f>
        <v>0</v>
      </c>
      <c r="V107" s="38" t="n">
        <f aca="false">Q107*U107</f>
        <v>0</v>
      </c>
      <c r="W107" s="41" t="n">
        <f aca="false">IF($M107="","",IF(T107="Overdue",IF(Settings!$B$8="Yes",Settings!$B$7,""),IF(ISNUMBER(R107),DATE(YEAR(R107),MONTH(R107),1),"")))</f>
        <v>46113</v>
      </c>
      <c r="X107" s="38" t="n">
        <f aca="false">IF(AND(OR(T107="Backlog",T107="Pipeline",T107="Overdue"),ISNUMBER(W107)),IF(W107&lt;=Settings!$B$6,V107,0),0)</f>
        <v>0</v>
      </c>
      <c r="Y107" s="38" t="n">
        <f aca="false">IF(AND(OR(T107="Backlog",T107="Pipeline",T107="Overdue"),ISNUMBER(W107)),IF(W107&lt;=Settings!$B$6,Q107,0),0)</f>
        <v>0</v>
      </c>
      <c r="Z107" s="38" t="n">
        <f aca="false">IF(Y107=0,0,IF(T107="Backlog",Q107,Q107*Dashboard!$C$10))</f>
        <v>0</v>
      </c>
      <c r="AA107" s="37" t="n">
        <f aca="false">IF($N107="",0,IF(COUNTIF(Dashboard!$C$13:$C$22,$N107)&gt;0,1,0))</f>
        <v>0</v>
      </c>
      <c r="AB107" s="37" t="str">
        <f aca="false">IF($N107="","",IF(COUNTIF($N$8:$N107,$N107)=1,MAX($AB$7:$AB106)+1,""))</f>
        <v/>
      </c>
    </row>
    <row r="108" customFormat="false" ht="15" hidden="false" customHeight="false" outlineLevel="0" collapsed="false">
      <c r="B108" s="32" t="s">
        <v>400</v>
      </c>
      <c r="C108" s="32" t="s">
        <v>188</v>
      </c>
      <c r="D108" s="35" t="n">
        <v>21197</v>
      </c>
      <c r="E108" s="32" t="s">
        <v>141</v>
      </c>
      <c r="F108" s="36" t="n">
        <v>46283</v>
      </c>
      <c r="G108" s="32" t="s">
        <v>401</v>
      </c>
      <c r="L108" s="37" t="str">
        <f aca="false">IF(INDEX($A108:$J108,$L$6)&lt;&gt;"",TRIM(LEFT(INDEX($A108:$J108,$L$6),FIND("(",INDEX($A108:$J108,$L$6)&amp;"(")-1)),L107)</f>
        <v>Closed Won</v>
      </c>
      <c r="M108" s="37" t="str">
        <f aca="false">IF(INDEX($A108:$J108,$M$6)="","",INDEX($A108:$J108,$M$6)&amp;"")</f>
        <v>Appspace Subscription (12 Months)</v>
      </c>
      <c r="N108" s="37" t="str">
        <f aca="false">IF($M108="","",TRIM(INDEX($A108:$J108,$N$6)&amp;""))</f>
        <v>Aware Super</v>
      </c>
      <c r="O108" s="37" t="str">
        <f aca="false">IF($M108="","",TRIM(INDEX($A108:$J108,$O$6)&amp;""))</f>
        <v>Integration</v>
      </c>
      <c r="P108" s="37" t="str">
        <f aca="false">IF($M108="","",IFERROR(IF(INDEX(Settings!$B$41:$B$50,MATCH(O108,Settings!$A$41:$A$50,0))&amp;""="","UNMAPPED",INDEX(Settings!$B$41:$B$50,MATCH(O108,Settings!$A$41:$A$50,0))&amp;""),"UNMAPPED"))</f>
        <v>Integration</v>
      </c>
      <c r="Q108" s="38" t="n">
        <f aca="false">IF($M108="",0,N(INDEX($A108:$J108,$Q$6)))</f>
        <v>21197</v>
      </c>
      <c r="R108" s="39" t="n">
        <f aca="false">IF($M108="","",INDEX($A108:$J108,$R$6))</f>
        <v>46283</v>
      </c>
      <c r="S108" s="37" t="str">
        <f aca="false">IF($M108="","",IFERROR(INDEX(Settings!$B$27:$B$36,MATCH(L108,Settings!$A$27:$A$36,0))&amp;"","UNMAPPED"))</f>
        <v>Won</v>
      </c>
      <c r="T108" s="37" t="str">
        <f aca="false">IF($M108="","",IF(NOT(ISNUMBER(R108)),"NO DATE",IF(S108="Won",IF(R108&gt;Settings!$B$5,"Backlog","Delivered"),IF(S108="Open",IF(R108&gt;Settings!$B$5,"Pipeline","Overdue"),IF(S108="Lost","Lost","UNMAPPED")))))</f>
        <v>Delivered</v>
      </c>
      <c r="U108" s="40" t="n">
        <f aca="false">IF(T108="Backlog",1,IF(OR(T108="Pipeline",T108="Overdue"),N(INDEX(Settings!$C$27:$C$36,MATCH(L108,Settings!$A$27:$A$36,0))),0))</f>
        <v>0</v>
      </c>
      <c r="V108" s="38" t="n">
        <f aca="false">Q108*U108</f>
        <v>0</v>
      </c>
      <c r="W108" s="41" t="n">
        <f aca="false">IF($M108="","",IF(T108="Overdue",IF(Settings!$B$8="Yes",Settings!$B$7,""),IF(ISNUMBER(R108),DATE(YEAR(R108),MONTH(R108),1),"")))</f>
        <v>46266</v>
      </c>
      <c r="X108" s="38" t="n">
        <f aca="false">IF(AND(OR(T108="Backlog",T108="Pipeline",T108="Overdue"),ISNUMBER(W108)),IF(W108&lt;=Settings!$B$6,V108,0),0)</f>
        <v>0</v>
      </c>
      <c r="Y108" s="38" t="n">
        <f aca="false">IF(AND(OR(T108="Backlog",T108="Pipeline",T108="Overdue"),ISNUMBER(W108)),IF(W108&lt;=Settings!$B$6,Q108,0),0)</f>
        <v>0</v>
      </c>
      <c r="Z108" s="38" t="n">
        <f aca="false">IF(Y108=0,0,IF(T108="Backlog",Q108,Q108*Dashboard!$C$10))</f>
        <v>0</v>
      </c>
      <c r="AA108" s="37" t="n">
        <f aca="false">IF($N108="",0,IF(COUNTIF(Dashboard!$C$13:$C$22,$N108)&gt;0,1,0))</f>
        <v>0</v>
      </c>
      <c r="AB108" s="37" t="str">
        <f aca="false">IF($N108="","",IF(COUNTIF($N$8:$N108,$N108)=1,MAX($AB$7:$AB107)+1,""))</f>
        <v/>
      </c>
    </row>
    <row r="109" customFormat="false" ht="15" hidden="false" customHeight="false" outlineLevel="0" collapsed="false">
      <c r="B109" s="32" t="s">
        <v>402</v>
      </c>
      <c r="C109" s="32" t="s">
        <v>154</v>
      </c>
      <c r="D109" s="35" t="n">
        <v>3000</v>
      </c>
      <c r="E109" s="32" t="s">
        <v>145</v>
      </c>
      <c r="F109" s="36" t="n">
        <v>45980</v>
      </c>
      <c r="G109" s="32" t="s">
        <v>403</v>
      </c>
      <c r="L109" s="37" t="str">
        <f aca="false">IF(INDEX($A109:$J109,$L$6)&lt;&gt;"",TRIM(LEFT(INDEX($A109:$J109,$L$6),FIND("(",INDEX($A109:$J109,$L$6)&amp;"(")-1)),L108)</f>
        <v>Closed Won</v>
      </c>
      <c r="M109" s="37" t="str">
        <f aca="false">IF(INDEX($A109:$J109,$M$6)="","",INDEX($A109:$J109,$M$6)&amp;"")</f>
        <v>Firmwide Webcast 19.11.25</v>
      </c>
      <c r="N109" s="37" t="str">
        <f aca="false">IF($M109="","",TRIM(INDEX($A109:$J109,$N$6)&amp;""))</f>
        <v>PWC</v>
      </c>
      <c r="O109" s="37" t="str">
        <f aca="false">IF($M109="","",TRIM(INDEX($A109:$J109,$O$6)&amp;""))</f>
        <v>Event Production</v>
      </c>
      <c r="P109" s="37" t="str">
        <f aca="false">IF($M109="","",IFERROR(IF(INDEX(Settings!$B$41:$B$50,MATCH(O109,Settings!$A$41:$A$50,0))&amp;""="","UNMAPPED",INDEX(Settings!$B$41:$B$50,MATCH(O109,Settings!$A$41:$A$50,0))&amp;""),"UNMAPPED"))</f>
        <v>Production</v>
      </c>
      <c r="Q109" s="38" t="n">
        <f aca="false">IF($M109="",0,N(INDEX($A109:$J109,$Q$6)))</f>
        <v>3000</v>
      </c>
      <c r="R109" s="39" t="n">
        <f aca="false">IF($M109="","",INDEX($A109:$J109,$R$6))</f>
        <v>45980</v>
      </c>
      <c r="S109" s="37" t="str">
        <f aca="false">IF($M109="","",IFERROR(INDEX(Settings!$B$27:$B$36,MATCH(L109,Settings!$A$27:$A$36,0))&amp;"","UNMAPPED"))</f>
        <v>Won</v>
      </c>
      <c r="T109" s="37" t="str">
        <f aca="false">IF($M109="","",IF(NOT(ISNUMBER(R109)),"NO DATE",IF(S109="Won",IF(R109&gt;Settings!$B$5,"Backlog","Delivered"),IF(S109="Open",IF(R109&gt;Settings!$B$5,"Pipeline","Overdue"),IF(S109="Lost","Lost","UNMAPPED")))))</f>
        <v>Delivered</v>
      </c>
      <c r="U109" s="40" t="n">
        <f aca="false">IF(T109="Backlog",1,IF(OR(T109="Pipeline",T109="Overdue"),N(INDEX(Settings!$C$27:$C$36,MATCH(L109,Settings!$A$27:$A$36,0))),0))</f>
        <v>0</v>
      </c>
      <c r="V109" s="38" t="n">
        <f aca="false">Q109*U109</f>
        <v>0</v>
      </c>
      <c r="W109" s="41" t="n">
        <f aca="false">IF($M109="","",IF(T109="Overdue",IF(Settings!$B$8="Yes",Settings!$B$7,""),IF(ISNUMBER(R109),DATE(YEAR(R109),MONTH(R109),1),"")))</f>
        <v>45962</v>
      </c>
      <c r="X109" s="38" t="n">
        <f aca="false">IF(AND(OR(T109="Backlog",T109="Pipeline",T109="Overdue"),ISNUMBER(W109)),IF(W109&lt;=Settings!$B$6,V109,0),0)</f>
        <v>0</v>
      </c>
      <c r="Y109" s="38" t="n">
        <f aca="false">IF(AND(OR(T109="Backlog",T109="Pipeline",T109="Overdue"),ISNUMBER(W109)),IF(W109&lt;=Settings!$B$6,Q109,0),0)</f>
        <v>0</v>
      </c>
      <c r="Z109" s="38" t="n">
        <f aca="false">IF(Y109=0,0,IF(T109="Backlog",Q109,Q109*Dashboard!$C$10))</f>
        <v>0</v>
      </c>
      <c r="AA109" s="37" t="n">
        <f aca="false">IF($N109="",0,IF(COUNTIF(Dashboard!$C$13:$C$22,$N109)&gt;0,1,0))</f>
        <v>0</v>
      </c>
      <c r="AB109" s="37" t="str">
        <f aca="false">IF($N109="","",IF(COUNTIF($N$8:$N109,$N109)=1,MAX($AB$7:$AB108)+1,""))</f>
        <v/>
      </c>
    </row>
    <row r="110" customFormat="false" ht="15" hidden="false" customHeight="false" outlineLevel="0" collapsed="false">
      <c r="B110" s="32" t="s">
        <v>404</v>
      </c>
      <c r="C110" s="32" t="s">
        <v>191</v>
      </c>
      <c r="D110" s="35" t="n">
        <v>3330</v>
      </c>
      <c r="E110" s="32" t="s">
        <v>145</v>
      </c>
      <c r="F110" s="36" t="n">
        <v>46002</v>
      </c>
      <c r="G110" s="32" t="s">
        <v>405</v>
      </c>
      <c r="L110" s="37" t="str">
        <f aca="false">IF(INDEX($A110:$J110,$L$6)&lt;&gt;"",TRIM(LEFT(INDEX($A110:$J110,$L$6),FIND("(",INDEX($A110:$J110,$L$6)&amp;"(")-1)),L109)</f>
        <v>Closed Won</v>
      </c>
      <c r="M110" s="37" t="str">
        <f aca="false">IF(INDEX($A110:$J110,$M$6)="","",INDEX($A110:$J110,$M$6)&amp;"")</f>
        <v>CBA Live Event Support - Uplight Dry Hire - 11.12.2025</v>
      </c>
      <c r="N110" s="37" t="str">
        <f aca="false">IF($M110="","",TRIM(INDEX($A110:$J110,$N$6)&amp;""))</f>
        <v>Commonwealth Bank Australia (CBA)</v>
      </c>
      <c r="O110" s="37" t="str">
        <f aca="false">IF($M110="","",TRIM(INDEX($A110:$J110,$O$6)&amp;""))</f>
        <v>Event Production</v>
      </c>
      <c r="P110" s="37" t="str">
        <f aca="false">IF($M110="","",IFERROR(IF(INDEX(Settings!$B$41:$B$50,MATCH(O110,Settings!$A$41:$A$50,0))&amp;""="","UNMAPPED",INDEX(Settings!$B$41:$B$50,MATCH(O110,Settings!$A$41:$A$50,0))&amp;""),"UNMAPPED"))</f>
        <v>Production</v>
      </c>
      <c r="Q110" s="38" t="n">
        <f aca="false">IF($M110="",0,N(INDEX($A110:$J110,$Q$6)))</f>
        <v>3330</v>
      </c>
      <c r="R110" s="39" t="n">
        <f aca="false">IF($M110="","",INDEX($A110:$J110,$R$6))</f>
        <v>46002</v>
      </c>
      <c r="S110" s="37" t="str">
        <f aca="false">IF($M110="","",IFERROR(INDEX(Settings!$B$27:$B$36,MATCH(L110,Settings!$A$27:$A$36,0))&amp;"","UNMAPPED"))</f>
        <v>Won</v>
      </c>
      <c r="T110" s="37" t="str">
        <f aca="false">IF($M110="","",IF(NOT(ISNUMBER(R110)),"NO DATE",IF(S110="Won",IF(R110&gt;Settings!$B$5,"Backlog","Delivered"),IF(S110="Open",IF(R110&gt;Settings!$B$5,"Pipeline","Overdue"),IF(S110="Lost","Lost","UNMAPPED")))))</f>
        <v>Delivered</v>
      </c>
      <c r="U110" s="40" t="n">
        <f aca="false">IF(T110="Backlog",1,IF(OR(T110="Pipeline",T110="Overdue"),N(INDEX(Settings!$C$27:$C$36,MATCH(L110,Settings!$A$27:$A$36,0))),0))</f>
        <v>0</v>
      </c>
      <c r="V110" s="38" t="n">
        <f aca="false">Q110*U110</f>
        <v>0</v>
      </c>
      <c r="W110" s="41" t="n">
        <f aca="false">IF($M110="","",IF(T110="Overdue",IF(Settings!$B$8="Yes",Settings!$B$7,""),IF(ISNUMBER(R110),DATE(YEAR(R110),MONTH(R110),1),"")))</f>
        <v>45992</v>
      </c>
      <c r="X110" s="38" t="n">
        <f aca="false">IF(AND(OR(T110="Backlog",T110="Pipeline",T110="Overdue"),ISNUMBER(W110)),IF(W110&lt;=Settings!$B$6,V110,0),0)</f>
        <v>0</v>
      </c>
      <c r="Y110" s="38" t="n">
        <f aca="false">IF(AND(OR(T110="Backlog",T110="Pipeline",T110="Overdue"),ISNUMBER(W110)),IF(W110&lt;=Settings!$B$6,Q110,0),0)</f>
        <v>0</v>
      </c>
      <c r="Z110" s="38" t="n">
        <f aca="false">IF(Y110=0,0,IF(T110="Backlog",Q110,Q110*Dashboard!$C$10))</f>
        <v>0</v>
      </c>
      <c r="AA110" s="37" t="n">
        <f aca="false">IF($N110="",0,IF(COUNTIF(Dashboard!$C$13:$C$22,$N110)&gt;0,1,0))</f>
        <v>0</v>
      </c>
      <c r="AB110" s="37" t="str">
        <f aca="false">IF($N110="","",IF(COUNTIF($N$8:$N110,$N110)=1,MAX($AB$7:$AB109)+1,""))</f>
        <v/>
      </c>
    </row>
    <row r="111" customFormat="false" ht="15" hidden="false" customHeight="false" outlineLevel="0" collapsed="false">
      <c r="B111" s="32" t="s">
        <v>406</v>
      </c>
      <c r="C111" s="32" t="s">
        <v>191</v>
      </c>
      <c r="D111" s="35" t="n">
        <v>12170</v>
      </c>
      <c r="E111" s="32" t="s">
        <v>145</v>
      </c>
      <c r="F111" s="36" t="n">
        <v>45882</v>
      </c>
      <c r="G111" s="32" t="s">
        <v>407</v>
      </c>
      <c r="L111" s="37" t="str">
        <f aca="false">IF(INDEX($A111:$J111,$L$6)&lt;&gt;"",TRIM(LEFT(INDEX($A111:$J111,$L$6),FIND("(",INDEX($A111:$J111,$L$6)&amp;"(")-1)),L110)</f>
        <v>Closed Won</v>
      </c>
      <c r="M111" s="37" t="str">
        <f aca="false">IF(INDEX($A111:$J111,$M$6)="","",INDEX($A111:$J111,$M$6)&amp;"")</f>
        <v>CBA Full Year Results 13.8.25</v>
      </c>
      <c r="N111" s="37" t="str">
        <f aca="false">IF($M111="","",TRIM(INDEX($A111:$J111,$N$6)&amp;""))</f>
        <v>Commonwealth Bank Australia (CBA)</v>
      </c>
      <c r="O111" s="37" t="str">
        <f aca="false">IF($M111="","",TRIM(INDEX($A111:$J111,$O$6)&amp;""))</f>
        <v>Event Production</v>
      </c>
      <c r="P111" s="37" t="str">
        <f aca="false">IF($M111="","",IFERROR(IF(INDEX(Settings!$B$41:$B$50,MATCH(O111,Settings!$A$41:$A$50,0))&amp;""="","UNMAPPED",INDEX(Settings!$B$41:$B$50,MATCH(O111,Settings!$A$41:$A$50,0))&amp;""),"UNMAPPED"))</f>
        <v>Production</v>
      </c>
      <c r="Q111" s="38" t="n">
        <f aca="false">IF($M111="",0,N(INDEX($A111:$J111,$Q$6)))</f>
        <v>12170</v>
      </c>
      <c r="R111" s="39" t="n">
        <f aca="false">IF($M111="","",INDEX($A111:$J111,$R$6))</f>
        <v>45882</v>
      </c>
      <c r="S111" s="37" t="str">
        <f aca="false">IF($M111="","",IFERROR(INDEX(Settings!$B$27:$B$36,MATCH(L111,Settings!$A$27:$A$36,0))&amp;"","UNMAPPED"))</f>
        <v>Won</v>
      </c>
      <c r="T111" s="37" t="str">
        <f aca="false">IF($M111="","",IF(NOT(ISNUMBER(R111)),"NO DATE",IF(S111="Won",IF(R111&gt;Settings!$B$5,"Backlog","Delivered"),IF(S111="Open",IF(R111&gt;Settings!$B$5,"Pipeline","Overdue"),IF(S111="Lost","Lost","UNMAPPED")))))</f>
        <v>Delivered</v>
      </c>
      <c r="U111" s="40" t="n">
        <f aca="false">IF(T111="Backlog",1,IF(OR(T111="Pipeline",T111="Overdue"),N(INDEX(Settings!$C$27:$C$36,MATCH(L111,Settings!$A$27:$A$36,0))),0))</f>
        <v>0</v>
      </c>
      <c r="V111" s="38" t="n">
        <f aca="false">Q111*U111</f>
        <v>0</v>
      </c>
      <c r="W111" s="41" t="n">
        <f aca="false">IF($M111="","",IF(T111="Overdue",IF(Settings!$B$8="Yes",Settings!$B$7,""),IF(ISNUMBER(R111),DATE(YEAR(R111),MONTH(R111),1),"")))</f>
        <v>45870</v>
      </c>
      <c r="X111" s="38" t="n">
        <f aca="false">IF(AND(OR(T111="Backlog",T111="Pipeline",T111="Overdue"),ISNUMBER(W111)),IF(W111&lt;=Settings!$B$6,V111,0),0)</f>
        <v>0</v>
      </c>
      <c r="Y111" s="38" t="n">
        <f aca="false">IF(AND(OR(T111="Backlog",T111="Pipeline",T111="Overdue"),ISNUMBER(W111)),IF(W111&lt;=Settings!$B$6,Q111,0),0)</f>
        <v>0</v>
      </c>
      <c r="Z111" s="38" t="n">
        <f aca="false">IF(Y111=0,0,IF(T111="Backlog",Q111,Q111*Dashboard!$C$10))</f>
        <v>0</v>
      </c>
      <c r="AA111" s="37" t="n">
        <f aca="false">IF($N111="",0,IF(COUNTIF(Dashboard!$C$13:$C$22,$N111)&gt;0,1,0))</f>
        <v>0</v>
      </c>
      <c r="AB111" s="37" t="str">
        <f aca="false">IF($N111="","",IF(COUNTIF($N$8:$N111,$N111)=1,MAX($AB$7:$AB110)+1,""))</f>
        <v/>
      </c>
    </row>
    <row r="112" customFormat="false" ht="15" hidden="false" customHeight="false" outlineLevel="0" collapsed="false">
      <c r="B112" s="32" t="s">
        <v>408</v>
      </c>
      <c r="C112" s="32" t="s">
        <v>276</v>
      </c>
      <c r="D112" s="35" t="n">
        <v>1662</v>
      </c>
      <c r="E112" s="32" t="s">
        <v>145</v>
      </c>
      <c r="F112" s="36" t="n">
        <v>46304</v>
      </c>
      <c r="G112" s="32" t="s">
        <v>409</v>
      </c>
      <c r="L112" s="37" t="str">
        <f aca="false">IF(INDEX($A112:$J112,$L$6)&lt;&gt;"",TRIM(LEFT(INDEX($A112:$J112,$L$6),FIND("(",INDEX($A112:$J112,$L$6)&amp;"(")-1)),L111)</f>
        <v>Closed Won</v>
      </c>
      <c r="M112" s="37" t="str">
        <f aca="false">IF(INDEX($A112:$J112,$M$6)="","",INDEX($A112:$J112,$M$6)&amp;"")</f>
        <v>Vega Global - AI Forum Audio Assistance - 13 &amp; 14.10.26</v>
      </c>
      <c r="N112" s="37" t="str">
        <f aca="false">IF($M112="","",TRIM(INDEX($A112:$J112,$N$6)&amp;""))</f>
        <v>Vega Global</v>
      </c>
      <c r="O112" s="37" t="str">
        <f aca="false">IF($M112="","",TRIM(INDEX($A112:$J112,$O$6)&amp;""))</f>
        <v>Event Production</v>
      </c>
      <c r="P112" s="37" t="str">
        <f aca="false">IF($M112="","",IFERROR(IF(INDEX(Settings!$B$41:$B$50,MATCH(O112,Settings!$A$41:$A$50,0))&amp;""="","UNMAPPED",INDEX(Settings!$B$41:$B$50,MATCH(O112,Settings!$A$41:$A$50,0))&amp;""),"UNMAPPED"))</f>
        <v>Production</v>
      </c>
      <c r="Q112" s="38" t="n">
        <f aca="false">IF($M112="",0,N(INDEX($A112:$J112,$Q$6)))</f>
        <v>1662</v>
      </c>
      <c r="R112" s="39" t="n">
        <f aca="false">IF($M112="","",INDEX($A112:$J112,$R$6))</f>
        <v>46304</v>
      </c>
      <c r="S112" s="37" t="str">
        <f aca="false">IF($M112="","",IFERROR(INDEX(Settings!$B$27:$B$36,MATCH(L112,Settings!$A$27:$A$36,0))&amp;"","UNMAPPED"))</f>
        <v>Won</v>
      </c>
      <c r="T112" s="37" t="str">
        <f aca="false">IF($M112="","",IF(NOT(ISNUMBER(R112)),"NO DATE",IF(S112="Won",IF(R112&gt;Settings!$B$5,"Backlog","Delivered"),IF(S112="Open",IF(R112&gt;Settings!$B$5,"Pipeline","Overdue"),IF(S112="Lost","Lost","UNMAPPED")))))</f>
        <v>Backlog</v>
      </c>
      <c r="U112" s="40" t="n">
        <f aca="false">IF(T112="Backlog",1,IF(OR(T112="Pipeline",T112="Overdue"),N(INDEX(Settings!$C$27:$C$36,MATCH(L112,Settings!$A$27:$A$36,0))),0))</f>
        <v>1</v>
      </c>
      <c r="V112" s="38" t="n">
        <f aca="false">Q112*U112</f>
        <v>1662</v>
      </c>
      <c r="W112" s="41" t="n">
        <f aca="false">IF($M112="","",IF(T112="Overdue",IF(Settings!$B$8="Yes",Settings!$B$7,""),IF(ISNUMBER(R112),DATE(YEAR(R112),MONTH(R112),1),"")))</f>
        <v>46296</v>
      </c>
      <c r="X112" s="38" t="n">
        <f aca="false">IF(AND(OR(T112="Backlog",T112="Pipeline",T112="Overdue"),ISNUMBER(W112)),IF(W112&lt;=Settings!$B$6,V112,0),0)</f>
        <v>1662</v>
      </c>
      <c r="Y112" s="38" t="n">
        <f aca="false">IF(AND(OR(T112="Backlog",T112="Pipeline",T112="Overdue"),ISNUMBER(W112)),IF(W112&lt;=Settings!$B$6,Q112,0),0)</f>
        <v>1662</v>
      </c>
      <c r="Z112" s="38" t="n">
        <f aca="false">IF(Y112=0,0,IF(T112="Backlog",Q112,Q112*Dashboard!$C$10))</f>
        <v>1662</v>
      </c>
      <c r="AA112" s="37" t="n">
        <f aca="false">IF($N112="",0,IF(COUNTIF(Dashboard!$C$13:$C$22,$N112)&gt;0,1,0))</f>
        <v>0</v>
      </c>
      <c r="AB112" s="37" t="str">
        <f aca="false">IF($N112="","",IF(COUNTIF($N$8:$N112,$N112)=1,MAX($AB$7:$AB111)+1,""))</f>
        <v/>
      </c>
    </row>
    <row r="113" customFormat="false" ht="15" hidden="false" customHeight="false" outlineLevel="0" collapsed="false">
      <c r="B113" s="32" t="s">
        <v>410</v>
      </c>
      <c r="C113" s="32" t="s">
        <v>267</v>
      </c>
      <c r="D113" s="35" t="n">
        <v>760</v>
      </c>
      <c r="E113" s="32" t="s">
        <v>145</v>
      </c>
      <c r="F113" s="36" t="n">
        <v>45917</v>
      </c>
      <c r="G113" s="32" t="s">
        <v>411</v>
      </c>
      <c r="L113" s="37" t="str">
        <f aca="false">IF(INDEX($A113:$J113,$L$6)&lt;&gt;"",TRIM(LEFT(INDEX($A113:$J113,$L$6),FIND("(",INDEX($A113:$J113,$L$6)&amp;"(")-1)),L112)</f>
        <v>Closed Won</v>
      </c>
      <c r="M113" s="37" t="str">
        <f aca="false">IF(INDEX($A113:$J113,$M$6)="","",INDEX($A113:$J113,$M$6)&amp;"")</f>
        <v>Fund Advisors Audio Op - 17 9 25</v>
      </c>
      <c r="N113" s="37" t="str">
        <f aca="false">IF($M113="","",TRIM(INDEX($A113:$J113,$N$6)&amp;""))</f>
        <v>Dimensional Fund Advisors</v>
      </c>
      <c r="O113" s="37" t="str">
        <f aca="false">IF($M113="","",TRIM(INDEX($A113:$J113,$O$6)&amp;""))</f>
        <v>Event Production</v>
      </c>
      <c r="P113" s="37" t="str">
        <f aca="false">IF($M113="","",IFERROR(IF(INDEX(Settings!$B$41:$B$50,MATCH(O113,Settings!$A$41:$A$50,0))&amp;""="","UNMAPPED",INDEX(Settings!$B$41:$B$50,MATCH(O113,Settings!$A$41:$A$50,0))&amp;""),"UNMAPPED"))</f>
        <v>Production</v>
      </c>
      <c r="Q113" s="38" t="n">
        <f aca="false">IF($M113="",0,N(INDEX($A113:$J113,$Q$6)))</f>
        <v>760</v>
      </c>
      <c r="R113" s="39" t="n">
        <f aca="false">IF($M113="","",INDEX($A113:$J113,$R$6))</f>
        <v>45917</v>
      </c>
      <c r="S113" s="37" t="str">
        <f aca="false">IF($M113="","",IFERROR(INDEX(Settings!$B$27:$B$36,MATCH(L113,Settings!$A$27:$A$36,0))&amp;"","UNMAPPED"))</f>
        <v>Won</v>
      </c>
      <c r="T113" s="37" t="str">
        <f aca="false">IF($M113="","",IF(NOT(ISNUMBER(R113)),"NO DATE",IF(S113="Won",IF(R113&gt;Settings!$B$5,"Backlog","Delivered"),IF(S113="Open",IF(R113&gt;Settings!$B$5,"Pipeline","Overdue"),IF(S113="Lost","Lost","UNMAPPED")))))</f>
        <v>Delivered</v>
      </c>
      <c r="U113" s="40" t="n">
        <f aca="false">IF(T113="Backlog",1,IF(OR(T113="Pipeline",T113="Overdue"),N(INDEX(Settings!$C$27:$C$36,MATCH(L113,Settings!$A$27:$A$36,0))),0))</f>
        <v>0</v>
      </c>
      <c r="V113" s="38" t="n">
        <f aca="false">Q113*U113</f>
        <v>0</v>
      </c>
      <c r="W113" s="41" t="n">
        <f aca="false">IF($M113="","",IF(T113="Overdue",IF(Settings!$B$8="Yes",Settings!$B$7,""),IF(ISNUMBER(R113),DATE(YEAR(R113),MONTH(R113),1),"")))</f>
        <v>45901</v>
      </c>
      <c r="X113" s="38" t="n">
        <f aca="false">IF(AND(OR(T113="Backlog",T113="Pipeline",T113="Overdue"),ISNUMBER(W113)),IF(W113&lt;=Settings!$B$6,V113,0),0)</f>
        <v>0</v>
      </c>
      <c r="Y113" s="38" t="n">
        <f aca="false">IF(AND(OR(T113="Backlog",T113="Pipeline",T113="Overdue"),ISNUMBER(W113)),IF(W113&lt;=Settings!$B$6,Q113,0),0)</f>
        <v>0</v>
      </c>
      <c r="Z113" s="38" t="n">
        <f aca="false">IF(Y113=0,0,IF(T113="Backlog",Q113,Q113*Dashboard!$C$10))</f>
        <v>0</v>
      </c>
      <c r="AA113" s="37" t="n">
        <f aca="false">IF($N113="",0,IF(COUNTIF(Dashboard!$C$13:$C$22,$N113)&gt;0,1,0))</f>
        <v>0</v>
      </c>
      <c r="AB113" s="37" t="str">
        <f aca="false">IF($N113="","",IF(COUNTIF($N$8:$N113,$N113)=1,MAX($AB$7:$AB112)+1,""))</f>
        <v/>
      </c>
    </row>
    <row r="114" customFormat="false" ht="15" hidden="false" customHeight="false" outlineLevel="0" collapsed="false">
      <c r="B114" s="32" t="s">
        <v>412</v>
      </c>
      <c r="C114" s="32" t="s">
        <v>194</v>
      </c>
      <c r="D114" s="35" t="n">
        <v>13402</v>
      </c>
      <c r="E114" s="32" t="s">
        <v>145</v>
      </c>
      <c r="F114" s="36" t="n">
        <v>46258</v>
      </c>
      <c r="G114" s="32" t="s">
        <v>413</v>
      </c>
      <c r="L114" s="37" t="str">
        <f aca="false">IF(INDEX($A114:$J114,$L$6)&lt;&gt;"",TRIM(LEFT(INDEX($A114:$J114,$L$6),FIND("(",INDEX($A114:$J114,$L$6)&amp;"(")-1)),L113)</f>
        <v>Closed Won</v>
      </c>
      <c r="M114" s="37" t="str">
        <f aca="false">IF(INDEX($A114:$J114,$M$6)="","",INDEX($A114:$J114,$M$6)&amp;"")</f>
        <v>Ventia - Employee HYR Town Hall - 24.8.26</v>
      </c>
      <c r="N114" s="37" t="str">
        <f aca="false">IF($M114="","",TRIM(INDEX($A114:$J114,$N$6)&amp;""))</f>
        <v>Ventia</v>
      </c>
      <c r="O114" s="37" t="str">
        <f aca="false">IF($M114="","",TRIM(INDEX($A114:$J114,$O$6)&amp;""))</f>
        <v>Event Production</v>
      </c>
      <c r="P114" s="37" t="str">
        <f aca="false">IF($M114="","",IFERROR(IF(INDEX(Settings!$B$41:$B$50,MATCH(O114,Settings!$A$41:$A$50,0))&amp;""="","UNMAPPED",INDEX(Settings!$B$41:$B$50,MATCH(O114,Settings!$A$41:$A$50,0))&amp;""),"UNMAPPED"))</f>
        <v>Production</v>
      </c>
      <c r="Q114" s="38" t="n">
        <f aca="false">IF($M114="",0,N(INDEX($A114:$J114,$Q$6)))</f>
        <v>13402</v>
      </c>
      <c r="R114" s="39" t="n">
        <f aca="false">IF($M114="","",INDEX($A114:$J114,$R$6))</f>
        <v>46258</v>
      </c>
      <c r="S114" s="37" t="str">
        <f aca="false">IF($M114="","",IFERROR(INDEX(Settings!$B$27:$B$36,MATCH(L114,Settings!$A$27:$A$36,0))&amp;"","UNMAPPED"))</f>
        <v>Won</v>
      </c>
      <c r="T114" s="37" t="str">
        <f aca="false">IF($M114="","",IF(NOT(ISNUMBER(R114)),"NO DATE",IF(S114="Won",IF(R114&gt;Settings!$B$5,"Backlog","Delivered"),IF(S114="Open",IF(R114&gt;Settings!$B$5,"Pipeline","Overdue"),IF(S114="Lost","Lost","UNMAPPED")))))</f>
        <v>Delivered</v>
      </c>
      <c r="U114" s="40" t="n">
        <f aca="false">IF(T114="Backlog",1,IF(OR(T114="Pipeline",T114="Overdue"),N(INDEX(Settings!$C$27:$C$36,MATCH(L114,Settings!$A$27:$A$36,0))),0))</f>
        <v>0</v>
      </c>
      <c r="V114" s="38" t="n">
        <f aca="false">Q114*U114</f>
        <v>0</v>
      </c>
      <c r="W114" s="41" t="n">
        <f aca="false">IF($M114="","",IF(T114="Overdue",IF(Settings!$B$8="Yes",Settings!$B$7,""),IF(ISNUMBER(R114),DATE(YEAR(R114),MONTH(R114),1),"")))</f>
        <v>46235</v>
      </c>
      <c r="X114" s="38" t="n">
        <f aca="false">IF(AND(OR(T114="Backlog",T114="Pipeline",T114="Overdue"),ISNUMBER(W114)),IF(W114&lt;=Settings!$B$6,V114,0),0)</f>
        <v>0</v>
      </c>
      <c r="Y114" s="38" t="n">
        <f aca="false">IF(AND(OR(T114="Backlog",T114="Pipeline",T114="Overdue"),ISNUMBER(W114)),IF(W114&lt;=Settings!$B$6,Q114,0),0)</f>
        <v>0</v>
      </c>
      <c r="Z114" s="38" t="n">
        <f aca="false">IF(Y114=0,0,IF(T114="Backlog",Q114,Q114*Dashboard!$C$10))</f>
        <v>0</v>
      </c>
      <c r="AA114" s="37" t="n">
        <f aca="false">IF($N114="",0,IF(COUNTIF(Dashboard!$C$13:$C$22,$N114)&gt;0,1,0))</f>
        <v>0</v>
      </c>
      <c r="AB114" s="37" t="str">
        <f aca="false">IF($N114="","",IF(COUNTIF($N$8:$N114,$N114)=1,MAX($AB$7:$AB113)+1,""))</f>
        <v/>
      </c>
    </row>
    <row r="115" customFormat="false" ht="15" hidden="false" customHeight="false" outlineLevel="0" collapsed="false">
      <c r="B115" s="32" t="s">
        <v>414</v>
      </c>
      <c r="C115" s="32" t="s">
        <v>415</v>
      </c>
      <c r="D115" s="35" t="n">
        <v>0</v>
      </c>
      <c r="E115" s="32" t="s">
        <v>145</v>
      </c>
      <c r="F115" s="36" t="n">
        <v>46143</v>
      </c>
      <c r="G115" s="32" t="s">
        <v>416</v>
      </c>
      <c r="L115" s="37" t="str">
        <f aca="false">IF(INDEX($A115:$J115,$L$6)&lt;&gt;"",TRIM(LEFT(INDEX($A115:$J115,$L$6),FIND("(",INDEX($A115:$J115,$L$6)&amp;"(")-1)),L114)</f>
        <v>Closed Won</v>
      </c>
      <c r="M115" s="37" t="str">
        <f aca="false">IF(INDEX($A115:$J115,$M$6)="","",INDEX($A115:$J115,$M$6)&amp;"")</f>
        <v>CTS - Town Hall - 1.5.26</v>
      </c>
      <c r="N115" s="37" t="str">
        <f aca="false">IF($M115="","",TRIM(INDEX($A115:$J115,$N$6)&amp;""))</f>
        <v>Corporate Technology Services</v>
      </c>
      <c r="O115" s="37" t="str">
        <f aca="false">IF($M115="","",TRIM(INDEX($A115:$J115,$O$6)&amp;""))</f>
        <v>Event Production</v>
      </c>
      <c r="P115" s="37" t="str">
        <f aca="false">IF($M115="","",IFERROR(IF(INDEX(Settings!$B$41:$B$50,MATCH(O115,Settings!$A$41:$A$50,0))&amp;""="","UNMAPPED",INDEX(Settings!$B$41:$B$50,MATCH(O115,Settings!$A$41:$A$50,0))&amp;""),"UNMAPPED"))</f>
        <v>Production</v>
      </c>
      <c r="Q115" s="38" t="n">
        <f aca="false">IF($M115="",0,N(INDEX($A115:$J115,$Q$6)))</f>
        <v>0</v>
      </c>
      <c r="R115" s="39" t="n">
        <f aca="false">IF($M115="","",INDEX($A115:$J115,$R$6))</f>
        <v>46143</v>
      </c>
      <c r="S115" s="37" t="str">
        <f aca="false">IF($M115="","",IFERROR(INDEX(Settings!$B$27:$B$36,MATCH(L115,Settings!$A$27:$A$36,0))&amp;"","UNMAPPED"))</f>
        <v>Won</v>
      </c>
      <c r="T115" s="37" t="str">
        <f aca="false">IF($M115="","",IF(NOT(ISNUMBER(R115)),"NO DATE",IF(S115="Won",IF(R115&gt;Settings!$B$5,"Backlog","Delivered"),IF(S115="Open",IF(R115&gt;Settings!$B$5,"Pipeline","Overdue"),IF(S115="Lost","Lost","UNMAPPED")))))</f>
        <v>Delivered</v>
      </c>
      <c r="U115" s="40" t="n">
        <f aca="false">IF(T115="Backlog",1,IF(OR(T115="Pipeline",T115="Overdue"),N(INDEX(Settings!$C$27:$C$36,MATCH(L115,Settings!$A$27:$A$36,0))),0))</f>
        <v>0</v>
      </c>
      <c r="V115" s="38" t="n">
        <f aca="false">Q115*U115</f>
        <v>0</v>
      </c>
      <c r="W115" s="41" t="n">
        <f aca="false">IF($M115="","",IF(T115="Overdue",IF(Settings!$B$8="Yes",Settings!$B$7,""),IF(ISNUMBER(R115),DATE(YEAR(R115),MONTH(R115),1),"")))</f>
        <v>46143</v>
      </c>
      <c r="X115" s="38" t="n">
        <f aca="false">IF(AND(OR(T115="Backlog",T115="Pipeline",T115="Overdue"),ISNUMBER(W115)),IF(W115&lt;=Settings!$B$6,V115,0),0)</f>
        <v>0</v>
      </c>
      <c r="Y115" s="38" t="n">
        <f aca="false">IF(AND(OR(T115="Backlog",T115="Pipeline",T115="Overdue"),ISNUMBER(W115)),IF(W115&lt;=Settings!$B$6,Q115,0),0)</f>
        <v>0</v>
      </c>
      <c r="Z115" s="38" t="n">
        <f aca="false">IF(Y115=0,0,IF(T115="Backlog",Q115,Q115*Dashboard!$C$10))</f>
        <v>0</v>
      </c>
      <c r="AA115" s="37" t="n">
        <f aca="false">IF($N115="",0,IF(COUNTIF(Dashboard!$C$13:$C$22,$N115)&gt;0,1,0))</f>
        <v>0</v>
      </c>
      <c r="AB115" s="37" t="n">
        <f aca="false">IF($N115="","",IF(COUNTIF($N$8:$N115,$N115)=1,MAX($AB$7:$AB114)+1,""))</f>
        <v>54</v>
      </c>
    </row>
    <row r="116" customFormat="false" ht="15" hidden="false" customHeight="false" outlineLevel="0" collapsed="false">
      <c r="B116" s="32" t="s">
        <v>417</v>
      </c>
      <c r="C116" s="32" t="s">
        <v>140</v>
      </c>
      <c r="D116" s="35" t="n">
        <v>7145</v>
      </c>
      <c r="E116" s="32" t="s">
        <v>180</v>
      </c>
      <c r="F116" s="36" t="n">
        <v>46241</v>
      </c>
      <c r="G116" s="32" t="s">
        <v>418</v>
      </c>
      <c r="L116" s="37" t="str">
        <f aca="false">IF(INDEX($A116:$J116,$L$6)&lt;&gt;"",TRIM(LEFT(INDEX($A116:$J116,$L$6),FIND("(",INDEX($A116:$J116,$L$6)&amp;"(")-1)),L115)</f>
        <v>Closed Won</v>
      </c>
      <c r="M116" s="37" t="str">
        <f aca="false">IF(INDEX($A116:$J116,$M$6)="","",INDEX($A116:$J116,$M$6)&amp;"")</f>
        <v>Technician Travel (ADL-HOB Return)</v>
      </c>
      <c r="N116" s="37" t="str">
        <f aca="false">IF($M116="","",TRIM(INDEX($A116:$J116,$N$6)&amp;""))</f>
        <v>Deloitte Australia</v>
      </c>
      <c r="O116" s="37" t="str">
        <f aca="false">IF($M116="","",TRIM(INDEX($A116:$J116,$O$6)&amp;""))</f>
        <v>Support</v>
      </c>
      <c r="P116" s="37" t="str">
        <f aca="false">IF($M116="","",IFERROR(IF(INDEX(Settings!$B$41:$B$50,MATCH(O116,Settings!$A$41:$A$50,0))&amp;""="","UNMAPPED",INDEX(Settings!$B$41:$B$50,MATCH(O116,Settings!$A$41:$A$50,0))&amp;""),"UNMAPPED"))</f>
        <v>Onsite</v>
      </c>
      <c r="Q116" s="38" t="n">
        <f aca="false">IF($M116="",0,N(INDEX($A116:$J116,$Q$6)))</f>
        <v>7145</v>
      </c>
      <c r="R116" s="39" t="n">
        <f aca="false">IF($M116="","",INDEX($A116:$J116,$R$6))</f>
        <v>46241</v>
      </c>
      <c r="S116" s="37" t="str">
        <f aca="false">IF($M116="","",IFERROR(INDEX(Settings!$B$27:$B$36,MATCH(L116,Settings!$A$27:$A$36,0))&amp;"","UNMAPPED"))</f>
        <v>Won</v>
      </c>
      <c r="T116" s="37" t="str">
        <f aca="false">IF($M116="","",IF(NOT(ISNUMBER(R116)),"NO DATE",IF(S116="Won",IF(R116&gt;Settings!$B$5,"Backlog","Delivered"),IF(S116="Open",IF(R116&gt;Settings!$B$5,"Pipeline","Overdue"),IF(S116="Lost","Lost","UNMAPPED")))))</f>
        <v>Delivered</v>
      </c>
      <c r="U116" s="40" t="n">
        <f aca="false">IF(T116="Backlog",1,IF(OR(T116="Pipeline",T116="Overdue"),N(INDEX(Settings!$C$27:$C$36,MATCH(L116,Settings!$A$27:$A$36,0))),0))</f>
        <v>0</v>
      </c>
      <c r="V116" s="38" t="n">
        <f aca="false">Q116*U116</f>
        <v>0</v>
      </c>
      <c r="W116" s="41" t="n">
        <f aca="false">IF($M116="","",IF(T116="Overdue",IF(Settings!$B$8="Yes",Settings!$B$7,""),IF(ISNUMBER(R116),DATE(YEAR(R116),MONTH(R116),1),"")))</f>
        <v>46235</v>
      </c>
      <c r="X116" s="38" t="n">
        <f aca="false">IF(AND(OR(T116="Backlog",T116="Pipeline",T116="Overdue"),ISNUMBER(W116)),IF(W116&lt;=Settings!$B$6,V116,0),0)</f>
        <v>0</v>
      </c>
      <c r="Y116" s="38" t="n">
        <f aca="false">IF(AND(OR(T116="Backlog",T116="Pipeline",T116="Overdue"),ISNUMBER(W116)),IF(W116&lt;=Settings!$B$6,Q116,0),0)</f>
        <v>0</v>
      </c>
      <c r="Z116" s="38" t="n">
        <f aca="false">IF(Y116=0,0,IF(T116="Backlog",Q116,Q116*Dashboard!$C$10))</f>
        <v>0</v>
      </c>
      <c r="AA116" s="37" t="n">
        <f aca="false">IF($N116="",0,IF(COUNTIF(Dashboard!$C$13:$C$22,$N116)&gt;0,1,0))</f>
        <v>0</v>
      </c>
      <c r="AB116" s="37" t="str">
        <f aca="false">IF($N116="","",IF(COUNTIF($N$8:$N116,$N116)=1,MAX($AB$7:$AB115)+1,""))</f>
        <v/>
      </c>
    </row>
    <row r="117" customFormat="false" ht="15" hidden="false" customHeight="false" outlineLevel="0" collapsed="false">
      <c r="B117" s="32" t="s">
        <v>419</v>
      </c>
      <c r="C117" s="32" t="s">
        <v>191</v>
      </c>
      <c r="D117" s="35" t="n">
        <v>7000</v>
      </c>
      <c r="E117" s="32" t="s">
        <v>262</v>
      </c>
      <c r="F117" s="36" t="n">
        <v>46022</v>
      </c>
      <c r="G117" s="32" t="s">
        <v>420</v>
      </c>
      <c r="L117" s="37" t="str">
        <f aca="false">IF(INDEX($A117:$J117,$L$6)&lt;&gt;"",TRIM(LEFT(INDEX($A117:$J117,$L$6),FIND("(",INDEX($A117:$J117,$L$6)&amp;"(")-1)),L116)</f>
        <v>Closed Won</v>
      </c>
      <c r="M117" s="37" t="str">
        <f aca="false">IF(INDEX($A117:$J117,$M$6)="","",INDEX($A117:$J117,$M$6)&amp;"")</f>
        <v>CBA Live Event Support - Dec 2025</v>
      </c>
      <c r="N117" s="37" t="str">
        <f aca="false">IF($M117="","",TRIM(INDEX($A117:$J117,$N$6)&amp;""))</f>
        <v>Commonwealth Bank Australia (CBA)</v>
      </c>
      <c r="O117" s="37" t="str">
        <f aca="false">IF($M117="","",TRIM(INDEX($A117:$J117,$O$6)&amp;""))</f>
        <v>Multi-Service</v>
      </c>
      <c r="P117" s="37" t="str">
        <f aca="false">IF($M117="","",IFERROR(IF(INDEX(Settings!$B$41:$B$50,MATCH(O117,Settings!$A$41:$A$50,0))&amp;""="","UNMAPPED",INDEX(Settings!$B$41:$B$50,MATCH(O117,Settings!$A$41:$A$50,0))&amp;""),"UNMAPPED"))</f>
        <v>Unallocated</v>
      </c>
      <c r="Q117" s="38" t="n">
        <f aca="false">IF($M117="",0,N(INDEX($A117:$J117,$Q$6)))</f>
        <v>7000</v>
      </c>
      <c r="R117" s="39" t="n">
        <f aca="false">IF($M117="","",INDEX($A117:$J117,$R$6))</f>
        <v>46022</v>
      </c>
      <c r="S117" s="37" t="str">
        <f aca="false">IF($M117="","",IFERROR(INDEX(Settings!$B$27:$B$36,MATCH(L117,Settings!$A$27:$A$36,0))&amp;"","UNMAPPED"))</f>
        <v>Won</v>
      </c>
      <c r="T117" s="37" t="str">
        <f aca="false">IF($M117="","",IF(NOT(ISNUMBER(R117)),"NO DATE",IF(S117="Won",IF(R117&gt;Settings!$B$5,"Backlog","Delivered"),IF(S117="Open",IF(R117&gt;Settings!$B$5,"Pipeline","Overdue"),IF(S117="Lost","Lost","UNMAPPED")))))</f>
        <v>Delivered</v>
      </c>
      <c r="U117" s="40" t="n">
        <f aca="false">IF(T117="Backlog",1,IF(OR(T117="Pipeline",T117="Overdue"),N(INDEX(Settings!$C$27:$C$36,MATCH(L117,Settings!$A$27:$A$36,0))),0))</f>
        <v>0</v>
      </c>
      <c r="V117" s="38" t="n">
        <f aca="false">Q117*U117</f>
        <v>0</v>
      </c>
      <c r="W117" s="41" t="n">
        <f aca="false">IF($M117="","",IF(T117="Overdue",IF(Settings!$B$8="Yes",Settings!$B$7,""),IF(ISNUMBER(R117),DATE(YEAR(R117),MONTH(R117),1),"")))</f>
        <v>45992</v>
      </c>
      <c r="X117" s="38" t="n">
        <f aca="false">IF(AND(OR(T117="Backlog",T117="Pipeline",T117="Overdue"),ISNUMBER(W117)),IF(W117&lt;=Settings!$B$6,V117,0),0)</f>
        <v>0</v>
      </c>
      <c r="Y117" s="38" t="n">
        <f aca="false">IF(AND(OR(T117="Backlog",T117="Pipeline",T117="Overdue"),ISNUMBER(W117)),IF(W117&lt;=Settings!$B$6,Q117,0),0)</f>
        <v>0</v>
      </c>
      <c r="Z117" s="38" t="n">
        <f aca="false">IF(Y117=0,0,IF(T117="Backlog",Q117,Q117*Dashboard!$C$10))</f>
        <v>0</v>
      </c>
      <c r="AA117" s="37" t="n">
        <f aca="false">IF($N117="",0,IF(COUNTIF(Dashboard!$C$13:$C$22,$N117)&gt;0,1,0))</f>
        <v>0</v>
      </c>
      <c r="AB117" s="37" t="str">
        <f aca="false">IF($N117="","",IF(COUNTIF($N$8:$N117,$N117)=1,MAX($AB$7:$AB116)+1,""))</f>
        <v/>
      </c>
    </row>
    <row r="118" customFormat="false" ht="15" hidden="false" customHeight="false" outlineLevel="0" collapsed="false">
      <c r="B118" s="32" t="s">
        <v>421</v>
      </c>
      <c r="C118" s="32" t="s">
        <v>253</v>
      </c>
      <c r="D118" s="35" t="n">
        <v>13728</v>
      </c>
      <c r="E118" s="32" t="s">
        <v>208</v>
      </c>
      <c r="F118" s="36" t="n">
        <v>45863</v>
      </c>
      <c r="G118" s="32" t="s">
        <v>422</v>
      </c>
      <c r="L118" s="37" t="str">
        <f aca="false">IF(INDEX($A118:$J118,$L$6)&lt;&gt;"",TRIM(LEFT(INDEX($A118:$J118,$L$6),FIND("(",INDEX($A118:$J118,$L$6)&amp;"(")-1)),L117)</f>
        <v>Closed Won</v>
      </c>
      <c r="M118" s="37" t="str">
        <f aca="false">IF(INDEX($A118:$J118,$M$6)="","",INDEX($A118:$J118,$M$6)&amp;"")</f>
        <v>ETF Education &amp; Meet the Manager Videos - 29/7/2025</v>
      </c>
      <c r="N118" s="37" t="str">
        <f aca="false">IF($M118="","",TRIM(INDEX($A118:$J118,$N$6)&amp;""))</f>
        <v>ASX Australian Securities Exchange</v>
      </c>
      <c r="O118" s="37" t="str">
        <f aca="false">IF($M118="","",TRIM(INDEX($A118:$J118,$O$6)&amp;""))</f>
        <v>Video Production</v>
      </c>
      <c r="P118" s="37" t="str">
        <f aca="false">IF($M118="","",IFERROR(IF(INDEX(Settings!$B$41:$B$50,MATCH(O118,Settings!$A$41:$A$50,0))&amp;""="","UNMAPPED",INDEX(Settings!$B$41:$B$50,MATCH(O118,Settings!$A$41:$A$50,0))&amp;""),"UNMAPPED"))</f>
        <v>Video</v>
      </c>
      <c r="Q118" s="38" t="n">
        <f aca="false">IF($M118="",0,N(INDEX($A118:$J118,$Q$6)))</f>
        <v>13728</v>
      </c>
      <c r="R118" s="39" t="n">
        <f aca="false">IF($M118="","",INDEX($A118:$J118,$R$6))</f>
        <v>45863</v>
      </c>
      <c r="S118" s="37" t="str">
        <f aca="false">IF($M118="","",IFERROR(INDEX(Settings!$B$27:$B$36,MATCH(L118,Settings!$A$27:$A$36,0))&amp;"","UNMAPPED"))</f>
        <v>Won</v>
      </c>
      <c r="T118" s="37" t="str">
        <f aca="false">IF($M118="","",IF(NOT(ISNUMBER(R118)),"NO DATE",IF(S118="Won",IF(R118&gt;Settings!$B$5,"Backlog","Delivered"),IF(S118="Open",IF(R118&gt;Settings!$B$5,"Pipeline","Overdue"),IF(S118="Lost","Lost","UNMAPPED")))))</f>
        <v>Delivered</v>
      </c>
      <c r="U118" s="40" t="n">
        <f aca="false">IF(T118="Backlog",1,IF(OR(T118="Pipeline",T118="Overdue"),N(INDEX(Settings!$C$27:$C$36,MATCH(L118,Settings!$A$27:$A$36,0))),0))</f>
        <v>0</v>
      </c>
      <c r="V118" s="38" t="n">
        <f aca="false">Q118*U118</f>
        <v>0</v>
      </c>
      <c r="W118" s="41" t="n">
        <f aca="false">IF($M118="","",IF(T118="Overdue",IF(Settings!$B$8="Yes",Settings!$B$7,""),IF(ISNUMBER(R118),DATE(YEAR(R118),MONTH(R118),1),"")))</f>
        <v>45839</v>
      </c>
      <c r="X118" s="38" t="n">
        <f aca="false">IF(AND(OR(T118="Backlog",T118="Pipeline",T118="Overdue"),ISNUMBER(W118)),IF(W118&lt;=Settings!$B$6,V118,0),0)</f>
        <v>0</v>
      </c>
      <c r="Y118" s="38" t="n">
        <f aca="false">IF(AND(OR(T118="Backlog",T118="Pipeline",T118="Overdue"),ISNUMBER(W118)),IF(W118&lt;=Settings!$B$6,Q118,0),0)</f>
        <v>0</v>
      </c>
      <c r="Z118" s="38" t="n">
        <f aca="false">IF(Y118=0,0,IF(T118="Backlog",Q118,Q118*Dashboard!$C$10))</f>
        <v>0</v>
      </c>
      <c r="AA118" s="37" t="n">
        <f aca="false">IF($N118="",0,IF(COUNTIF(Dashboard!$C$13:$C$22,$N118)&gt;0,1,0))</f>
        <v>0</v>
      </c>
      <c r="AB118" s="37" t="str">
        <f aca="false">IF($N118="","",IF(COUNTIF($N$8:$N118,$N118)=1,MAX($AB$7:$AB117)+1,""))</f>
        <v/>
      </c>
    </row>
    <row r="119" customFormat="false" ht="15" hidden="false" customHeight="false" outlineLevel="0" collapsed="false">
      <c r="B119" s="32" t="s">
        <v>423</v>
      </c>
      <c r="C119" s="32" t="s">
        <v>188</v>
      </c>
      <c r="D119" s="35" t="n">
        <v>2957</v>
      </c>
      <c r="E119" s="32" t="s">
        <v>141</v>
      </c>
      <c r="F119" s="36" t="n">
        <v>46259</v>
      </c>
      <c r="G119" s="32" t="s">
        <v>424</v>
      </c>
      <c r="L119" s="37" t="str">
        <f aca="false">IF(INDEX($A119:$J119,$L$6)&lt;&gt;"",TRIM(LEFT(INDEX($A119:$J119,$L$6),FIND("(",INDEX($A119:$J119,$L$6)&amp;"(")-1)),L118)</f>
        <v>Closed Won</v>
      </c>
      <c r="M119" s="37" t="str">
        <f aca="false">IF(INDEX($A119:$J119,$M$6)="","",INDEX($A119:$J119,$M$6)&amp;"")</f>
        <v>Aware | PER USB-C Cable Replacement - 26071601</v>
      </c>
      <c r="N119" s="37" t="str">
        <f aca="false">IF($M119="","",TRIM(INDEX($A119:$J119,$N$6)&amp;""))</f>
        <v>Aware Super</v>
      </c>
      <c r="O119" s="37" t="str">
        <f aca="false">IF($M119="","",TRIM(INDEX($A119:$J119,$O$6)&amp;""))</f>
        <v>Integration</v>
      </c>
      <c r="P119" s="37" t="str">
        <f aca="false">IF($M119="","",IFERROR(IF(INDEX(Settings!$B$41:$B$50,MATCH(O119,Settings!$A$41:$A$50,0))&amp;""="","UNMAPPED",INDEX(Settings!$B$41:$B$50,MATCH(O119,Settings!$A$41:$A$50,0))&amp;""),"UNMAPPED"))</f>
        <v>Integration</v>
      </c>
      <c r="Q119" s="38" t="n">
        <f aca="false">IF($M119="",0,N(INDEX($A119:$J119,$Q$6)))</f>
        <v>2957</v>
      </c>
      <c r="R119" s="39" t="n">
        <f aca="false">IF($M119="","",INDEX($A119:$J119,$R$6))</f>
        <v>46259</v>
      </c>
      <c r="S119" s="37" t="str">
        <f aca="false">IF($M119="","",IFERROR(INDEX(Settings!$B$27:$B$36,MATCH(L119,Settings!$A$27:$A$36,0))&amp;"","UNMAPPED"))</f>
        <v>Won</v>
      </c>
      <c r="T119" s="37" t="str">
        <f aca="false">IF($M119="","",IF(NOT(ISNUMBER(R119)),"NO DATE",IF(S119="Won",IF(R119&gt;Settings!$B$5,"Backlog","Delivered"),IF(S119="Open",IF(R119&gt;Settings!$B$5,"Pipeline","Overdue"),IF(S119="Lost","Lost","UNMAPPED")))))</f>
        <v>Delivered</v>
      </c>
      <c r="U119" s="40" t="n">
        <f aca="false">IF(T119="Backlog",1,IF(OR(T119="Pipeline",T119="Overdue"),N(INDEX(Settings!$C$27:$C$36,MATCH(L119,Settings!$A$27:$A$36,0))),0))</f>
        <v>0</v>
      </c>
      <c r="V119" s="38" t="n">
        <f aca="false">Q119*U119</f>
        <v>0</v>
      </c>
      <c r="W119" s="41" t="n">
        <f aca="false">IF($M119="","",IF(T119="Overdue",IF(Settings!$B$8="Yes",Settings!$B$7,""),IF(ISNUMBER(R119),DATE(YEAR(R119),MONTH(R119),1),"")))</f>
        <v>46235</v>
      </c>
      <c r="X119" s="38" t="n">
        <f aca="false">IF(AND(OR(T119="Backlog",T119="Pipeline",T119="Overdue"),ISNUMBER(W119)),IF(W119&lt;=Settings!$B$6,V119,0),0)</f>
        <v>0</v>
      </c>
      <c r="Y119" s="38" t="n">
        <f aca="false">IF(AND(OR(T119="Backlog",T119="Pipeline",T119="Overdue"),ISNUMBER(W119)),IF(W119&lt;=Settings!$B$6,Q119,0),0)</f>
        <v>0</v>
      </c>
      <c r="Z119" s="38" t="n">
        <f aca="false">IF(Y119=0,0,IF(T119="Backlog",Q119,Q119*Dashboard!$C$10))</f>
        <v>0</v>
      </c>
      <c r="AA119" s="37" t="n">
        <f aca="false">IF($N119="",0,IF(COUNTIF(Dashboard!$C$13:$C$22,$N119)&gt;0,1,0))</f>
        <v>0</v>
      </c>
      <c r="AB119" s="37" t="str">
        <f aca="false">IF($N119="","",IF(COUNTIF($N$8:$N119,$N119)=1,MAX($AB$7:$AB118)+1,""))</f>
        <v/>
      </c>
    </row>
    <row r="120" customFormat="false" ht="15" hidden="false" customHeight="false" outlineLevel="0" collapsed="false">
      <c r="B120" s="32" t="s">
        <v>425</v>
      </c>
      <c r="C120" s="32" t="s">
        <v>191</v>
      </c>
      <c r="D120" s="35" t="n">
        <v>4908</v>
      </c>
      <c r="E120" s="32" t="s">
        <v>145</v>
      </c>
      <c r="F120" s="36" t="n">
        <v>46295</v>
      </c>
      <c r="G120" s="32" t="s">
        <v>426</v>
      </c>
      <c r="L120" s="37" t="str">
        <f aca="false">IF(INDEX($A120:$J120,$L$6)&lt;&gt;"",TRIM(LEFT(INDEX($A120:$J120,$L$6),FIND("(",INDEX($A120:$J120,$L$6)&amp;"(")-1)),L119)</f>
        <v>Closed Won</v>
      </c>
      <c r="M120" s="37" t="str">
        <f aca="false">IF(INDEX($A120:$J120,$M$6)="","",INDEX($A120:$J120,$M$6)&amp;"")</f>
        <v>CBA - LES - September 2026</v>
      </c>
      <c r="N120" s="37" t="str">
        <f aca="false">IF($M120="","",TRIM(INDEX($A120:$J120,$N$6)&amp;""))</f>
        <v>Commonwealth Bank Australia (CBA)</v>
      </c>
      <c r="O120" s="37" t="str">
        <f aca="false">IF($M120="","",TRIM(INDEX($A120:$J120,$O$6)&amp;""))</f>
        <v>Event Production</v>
      </c>
      <c r="P120" s="37" t="str">
        <f aca="false">IF($M120="","",IFERROR(IF(INDEX(Settings!$B$41:$B$50,MATCH(O120,Settings!$A$41:$A$50,0))&amp;""="","UNMAPPED",INDEX(Settings!$B$41:$B$50,MATCH(O120,Settings!$A$41:$A$50,0))&amp;""),"UNMAPPED"))</f>
        <v>Production</v>
      </c>
      <c r="Q120" s="38" t="n">
        <f aca="false">IF($M120="",0,N(INDEX($A120:$J120,$Q$6)))</f>
        <v>4908</v>
      </c>
      <c r="R120" s="39" t="n">
        <f aca="false">IF($M120="","",INDEX($A120:$J120,$R$6))</f>
        <v>46295</v>
      </c>
      <c r="S120" s="37" t="str">
        <f aca="false">IF($M120="","",IFERROR(INDEX(Settings!$B$27:$B$36,MATCH(L120,Settings!$A$27:$A$36,0))&amp;"","UNMAPPED"))</f>
        <v>Won</v>
      </c>
      <c r="T120" s="37" t="str">
        <f aca="false">IF($M120="","",IF(NOT(ISNUMBER(R120)),"NO DATE",IF(S120="Won",IF(R120&gt;Settings!$B$5,"Backlog","Delivered"),IF(S120="Open",IF(R120&gt;Settings!$B$5,"Pipeline","Overdue"),IF(S120="Lost","Lost","UNMAPPED")))))</f>
        <v>Delivered</v>
      </c>
      <c r="U120" s="40" t="n">
        <f aca="false">IF(T120="Backlog",1,IF(OR(T120="Pipeline",T120="Overdue"),N(INDEX(Settings!$C$27:$C$36,MATCH(L120,Settings!$A$27:$A$36,0))),0))</f>
        <v>0</v>
      </c>
      <c r="V120" s="38" t="n">
        <f aca="false">Q120*U120</f>
        <v>0</v>
      </c>
      <c r="W120" s="41" t="n">
        <f aca="false">IF($M120="","",IF(T120="Overdue",IF(Settings!$B$8="Yes",Settings!$B$7,""),IF(ISNUMBER(R120),DATE(YEAR(R120),MONTH(R120),1),"")))</f>
        <v>46266</v>
      </c>
      <c r="X120" s="38" t="n">
        <f aca="false">IF(AND(OR(T120="Backlog",T120="Pipeline",T120="Overdue"),ISNUMBER(W120)),IF(W120&lt;=Settings!$B$6,V120,0),0)</f>
        <v>0</v>
      </c>
      <c r="Y120" s="38" t="n">
        <f aca="false">IF(AND(OR(T120="Backlog",T120="Pipeline",T120="Overdue"),ISNUMBER(W120)),IF(W120&lt;=Settings!$B$6,Q120,0),0)</f>
        <v>0</v>
      </c>
      <c r="Z120" s="38" t="n">
        <f aca="false">IF(Y120=0,0,IF(T120="Backlog",Q120,Q120*Dashboard!$C$10))</f>
        <v>0</v>
      </c>
      <c r="AA120" s="37" t="n">
        <f aca="false">IF($N120="",0,IF(COUNTIF(Dashboard!$C$13:$C$22,$N120)&gt;0,1,0))</f>
        <v>0</v>
      </c>
      <c r="AB120" s="37" t="str">
        <f aca="false">IF($N120="","",IF(COUNTIF($N$8:$N120,$N120)=1,MAX($AB$7:$AB119)+1,""))</f>
        <v/>
      </c>
    </row>
    <row r="121" customFormat="false" ht="15" hidden="false" customHeight="false" outlineLevel="0" collapsed="false">
      <c r="B121" s="32" t="s">
        <v>427</v>
      </c>
      <c r="C121" s="32" t="s">
        <v>154</v>
      </c>
      <c r="D121" s="35" t="n">
        <v>4080</v>
      </c>
      <c r="E121" s="32" t="s">
        <v>180</v>
      </c>
      <c r="F121" s="36" t="n">
        <v>46101</v>
      </c>
      <c r="G121" s="32" t="s">
        <v>428</v>
      </c>
      <c r="L121" s="37" t="str">
        <f aca="false">IF(INDEX($A121:$J121,$L$6)&lt;&gt;"",TRIM(LEFT(INDEX($A121:$J121,$L$6),FIND("(",INDEX($A121:$J121,$L$6)&amp;"(")-1)),L120)</f>
        <v>Closed Won</v>
      </c>
      <c r="M121" s="37" t="str">
        <f aca="false">IF(INDEX($A121:$J121,$M$6)="","",INDEX($A121:$J121,$M$6)&amp;"")</f>
        <v>Perth AV Support | 28/4/26 - 5/5/26 - 2603404</v>
      </c>
      <c r="N121" s="37" t="str">
        <f aca="false">IF($M121="","",TRIM(INDEX($A121:$J121,$N$6)&amp;""))</f>
        <v>PWC</v>
      </c>
      <c r="O121" s="37" t="str">
        <f aca="false">IF($M121="","",TRIM(INDEX($A121:$J121,$O$6)&amp;""))</f>
        <v>Support</v>
      </c>
      <c r="P121" s="37" t="str">
        <f aca="false">IF($M121="","",IFERROR(IF(INDEX(Settings!$B$41:$B$50,MATCH(O121,Settings!$A$41:$A$50,0))&amp;""="","UNMAPPED",INDEX(Settings!$B$41:$B$50,MATCH(O121,Settings!$A$41:$A$50,0))&amp;""),"UNMAPPED"))</f>
        <v>Onsite</v>
      </c>
      <c r="Q121" s="38" t="n">
        <f aca="false">IF($M121="",0,N(INDEX($A121:$J121,$Q$6)))</f>
        <v>4080</v>
      </c>
      <c r="R121" s="39" t="n">
        <f aca="false">IF($M121="","",INDEX($A121:$J121,$R$6))</f>
        <v>46101</v>
      </c>
      <c r="S121" s="37" t="str">
        <f aca="false">IF($M121="","",IFERROR(INDEX(Settings!$B$27:$B$36,MATCH(L121,Settings!$A$27:$A$36,0))&amp;"","UNMAPPED"))</f>
        <v>Won</v>
      </c>
      <c r="T121" s="37" t="str">
        <f aca="false">IF($M121="","",IF(NOT(ISNUMBER(R121)),"NO DATE",IF(S121="Won",IF(R121&gt;Settings!$B$5,"Backlog","Delivered"),IF(S121="Open",IF(R121&gt;Settings!$B$5,"Pipeline","Overdue"),IF(S121="Lost","Lost","UNMAPPED")))))</f>
        <v>Delivered</v>
      </c>
      <c r="U121" s="40" t="n">
        <f aca="false">IF(T121="Backlog",1,IF(OR(T121="Pipeline",T121="Overdue"),N(INDEX(Settings!$C$27:$C$36,MATCH(L121,Settings!$A$27:$A$36,0))),0))</f>
        <v>0</v>
      </c>
      <c r="V121" s="38" t="n">
        <f aca="false">Q121*U121</f>
        <v>0</v>
      </c>
      <c r="W121" s="41" t="n">
        <f aca="false">IF($M121="","",IF(T121="Overdue",IF(Settings!$B$8="Yes",Settings!$B$7,""),IF(ISNUMBER(R121),DATE(YEAR(R121),MONTH(R121),1),"")))</f>
        <v>46082</v>
      </c>
      <c r="X121" s="38" t="n">
        <f aca="false">IF(AND(OR(T121="Backlog",T121="Pipeline",T121="Overdue"),ISNUMBER(W121)),IF(W121&lt;=Settings!$B$6,V121,0),0)</f>
        <v>0</v>
      </c>
      <c r="Y121" s="38" t="n">
        <f aca="false">IF(AND(OR(T121="Backlog",T121="Pipeline",T121="Overdue"),ISNUMBER(W121)),IF(W121&lt;=Settings!$B$6,Q121,0),0)</f>
        <v>0</v>
      </c>
      <c r="Z121" s="38" t="n">
        <f aca="false">IF(Y121=0,0,IF(T121="Backlog",Q121,Q121*Dashboard!$C$10))</f>
        <v>0</v>
      </c>
      <c r="AA121" s="37" t="n">
        <f aca="false">IF($N121="",0,IF(COUNTIF(Dashboard!$C$13:$C$22,$N121)&gt;0,1,0))</f>
        <v>0</v>
      </c>
      <c r="AB121" s="37" t="str">
        <f aca="false">IF($N121="","",IF(COUNTIF($N$8:$N121,$N121)=1,MAX($AB$7:$AB120)+1,""))</f>
        <v/>
      </c>
    </row>
    <row r="122" customFormat="false" ht="15" hidden="false" customHeight="false" outlineLevel="0" collapsed="false">
      <c r="B122" s="32" t="s">
        <v>429</v>
      </c>
      <c r="C122" s="32" t="s">
        <v>154</v>
      </c>
      <c r="D122" s="35" t="n">
        <v>1810</v>
      </c>
      <c r="E122" s="32" t="s">
        <v>145</v>
      </c>
      <c r="F122" s="36" t="n">
        <v>46001</v>
      </c>
      <c r="G122" s="32" t="s">
        <v>430</v>
      </c>
      <c r="L122" s="37" t="str">
        <f aca="false">IF(INDEX($A122:$J122,$L$6)&lt;&gt;"",TRIM(LEFT(INDEX($A122:$J122,$L$6),FIND("(",INDEX($A122:$J122,$L$6)&amp;"(")-1)),L121)</f>
        <v>Closed Won</v>
      </c>
      <c r="M122" s="37" t="str">
        <f aca="false">IF(INDEX($A122:$J122,$M$6)="","",INDEX($A122:$J122,$M$6)&amp;"")</f>
        <v>PWC Studio Event 10.12.25</v>
      </c>
      <c r="N122" s="37" t="str">
        <f aca="false">IF($M122="","",TRIM(INDEX($A122:$J122,$N$6)&amp;""))</f>
        <v>PWC</v>
      </c>
      <c r="O122" s="37" t="str">
        <f aca="false">IF($M122="","",TRIM(INDEX($A122:$J122,$O$6)&amp;""))</f>
        <v>Event Production</v>
      </c>
      <c r="P122" s="37" t="str">
        <f aca="false">IF($M122="","",IFERROR(IF(INDEX(Settings!$B$41:$B$50,MATCH(O122,Settings!$A$41:$A$50,0))&amp;""="","UNMAPPED",INDEX(Settings!$B$41:$B$50,MATCH(O122,Settings!$A$41:$A$50,0))&amp;""),"UNMAPPED"))</f>
        <v>Production</v>
      </c>
      <c r="Q122" s="38" t="n">
        <f aca="false">IF($M122="",0,N(INDEX($A122:$J122,$Q$6)))</f>
        <v>1810</v>
      </c>
      <c r="R122" s="39" t="n">
        <f aca="false">IF($M122="","",INDEX($A122:$J122,$R$6))</f>
        <v>46001</v>
      </c>
      <c r="S122" s="37" t="str">
        <f aca="false">IF($M122="","",IFERROR(INDEX(Settings!$B$27:$B$36,MATCH(L122,Settings!$A$27:$A$36,0))&amp;"","UNMAPPED"))</f>
        <v>Won</v>
      </c>
      <c r="T122" s="37" t="str">
        <f aca="false">IF($M122="","",IF(NOT(ISNUMBER(R122)),"NO DATE",IF(S122="Won",IF(R122&gt;Settings!$B$5,"Backlog","Delivered"),IF(S122="Open",IF(R122&gt;Settings!$B$5,"Pipeline","Overdue"),IF(S122="Lost","Lost","UNMAPPED")))))</f>
        <v>Delivered</v>
      </c>
      <c r="U122" s="40" t="n">
        <f aca="false">IF(T122="Backlog",1,IF(OR(T122="Pipeline",T122="Overdue"),N(INDEX(Settings!$C$27:$C$36,MATCH(L122,Settings!$A$27:$A$36,0))),0))</f>
        <v>0</v>
      </c>
      <c r="V122" s="38" t="n">
        <f aca="false">Q122*U122</f>
        <v>0</v>
      </c>
      <c r="W122" s="41" t="n">
        <f aca="false">IF($M122="","",IF(T122="Overdue",IF(Settings!$B$8="Yes",Settings!$B$7,""),IF(ISNUMBER(R122),DATE(YEAR(R122),MONTH(R122),1),"")))</f>
        <v>45992</v>
      </c>
      <c r="X122" s="38" t="n">
        <f aca="false">IF(AND(OR(T122="Backlog",T122="Pipeline",T122="Overdue"),ISNUMBER(W122)),IF(W122&lt;=Settings!$B$6,V122,0),0)</f>
        <v>0</v>
      </c>
      <c r="Y122" s="38" t="n">
        <f aca="false">IF(AND(OR(T122="Backlog",T122="Pipeline",T122="Overdue"),ISNUMBER(W122)),IF(W122&lt;=Settings!$B$6,Q122,0),0)</f>
        <v>0</v>
      </c>
      <c r="Z122" s="38" t="n">
        <f aca="false">IF(Y122=0,0,IF(T122="Backlog",Q122,Q122*Dashboard!$C$10))</f>
        <v>0</v>
      </c>
      <c r="AA122" s="37" t="n">
        <f aca="false">IF($N122="",0,IF(COUNTIF(Dashboard!$C$13:$C$22,$N122)&gt;0,1,0))</f>
        <v>0</v>
      </c>
      <c r="AB122" s="37" t="str">
        <f aca="false">IF($N122="","",IF(COUNTIF($N$8:$N122,$N122)=1,MAX($AB$7:$AB121)+1,""))</f>
        <v/>
      </c>
    </row>
    <row r="123" customFormat="false" ht="15" hidden="false" customHeight="false" outlineLevel="0" collapsed="false">
      <c r="B123" s="32" t="s">
        <v>431</v>
      </c>
      <c r="C123" s="32" t="s">
        <v>253</v>
      </c>
      <c r="D123" s="35" t="n">
        <v>66463</v>
      </c>
      <c r="E123" s="32" t="s">
        <v>145</v>
      </c>
      <c r="F123" s="36" t="n">
        <v>46218</v>
      </c>
      <c r="G123" s="32" t="s">
        <v>432</v>
      </c>
      <c r="L123" s="37" t="str">
        <f aca="false">IF(INDEX($A123:$J123,$L$6)&lt;&gt;"",TRIM(LEFT(INDEX($A123:$J123,$L$6),FIND("(",INDEX($A123:$J123,$L$6)&amp;"(")-1)),L122)</f>
        <v>Closed Won</v>
      </c>
      <c r="M123" s="37" t="str">
        <f aca="false">IF(INDEX($A123:$J123,$M$6)="","",INDEX($A123:$J123,$M$6)&amp;"")</f>
        <v>ASX - AGM - 22.10.26</v>
      </c>
      <c r="N123" s="37" t="str">
        <f aca="false">IF($M123="","",TRIM(INDEX($A123:$J123,$N$6)&amp;""))</f>
        <v>ASX Australian Securities Exchange</v>
      </c>
      <c r="O123" s="37" t="str">
        <f aca="false">IF($M123="","",TRIM(INDEX($A123:$J123,$O$6)&amp;""))</f>
        <v>Event Production</v>
      </c>
      <c r="P123" s="37" t="str">
        <f aca="false">IF($M123="","",IFERROR(IF(INDEX(Settings!$B$41:$B$50,MATCH(O123,Settings!$A$41:$A$50,0))&amp;""="","UNMAPPED",INDEX(Settings!$B$41:$B$50,MATCH(O123,Settings!$A$41:$A$50,0))&amp;""),"UNMAPPED"))</f>
        <v>Production</v>
      </c>
      <c r="Q123" s="38" t="n">
        <f aca="false">IF($M123="",0,N(INDEX($A123:$J123,$Q$6)))</f>
        <v>66463</v>
      </c>
      <c r="R123" s="39" t="n">
        <f aca="false">IF($M123="","",INDEX($A123:$J123,$R$6))</f>
        <v>46218</v>
      </c>
      <c r="S123" s="37" t="str">
        <f aca="false">IF($M123="","",IFERROR(INDEX(Settings!$B$27:$B$36,MATCH(L123,Settings!$A$27:$A$36,0))&amp;"","UNMAPPED"))</f>
        <v>Won</v>
      </c>
      <c r="T123" s="37" t="str">
        <f aca="false">IF($M123="","",IF(NOT(ISNUMBER(R123)),"NO DATE",IF(S123="Won",IF(R123&gt;Settings!$B$5,"Backlog","Delivered"),IF(S123="Open",IF(R123&gt;Settings!$B$5,"Pipeline","Overdue"),IF(S123="Lost","Lost","UNMAPPED")))))</f>
        <v>Delivered</v>
      </c>
      <c r="U123" s="40" t="n">
        <f aca="false">IF(T123="Backlog",1,IF(OR(T123="Pipeline",T123="Overdue"),N(INDEX(Settings!$C$27:$C$36,MATCH(L123,Settings!$A$27:$A$36,0))),0))</f>
        <v>0</v>
      </c>
      <c r="V123" s="38" t="n">
        <f aca="false">Q123*U123</f>
        <v>0</v>
      </c>
      <c r="W123" s="41" t="n">
        <f aca="false">IF($M123="","",IF(T123="Overdue",IF(Settings!$B$8="Yes",Settings!$B$7,""),IF(ISNUMBER(R123),DATE(YEAR(R123),MONTH(R123),1),"")))</f>
        <v>46204</v>
      </c>
      <c r="X123" s="38" t="n">
        <f aca="false">IF(AND(OR(T123="Backlog",T123="Pipeline",T123="Overdue"),ISNUMBER(W123)),IF(W123&lt;=Settings!$B$6,V123,0),0)</f>
        <v>0</v>
      </c>
      <c r="Y123" s="38" t="n">
        <f aca="false">IF(AND(OR(T123="Backlog",T123="Pipeline",T123="Overdue"),ISNUMBER(W123)),IF(W123&lt;=Settings!$B$6,Q123,0),0)</f>
        <v>0</v>
      </c>
      <c r="Z123" s="38" t="n">
        <f aca="false">IF(Y123=0,0,IF(T123="Backlog",Q123,Q123*Dashboard!$C$10))</f>
        <v>0</v>
      </c>
      <c r="AA123" s="37" t="n">
        <f aca="false">IF($N123="",0,IF(COUNTIF(Dashboard!$C$13:$C$22,$N123)&gt;0,1,0))</f>
        <v>0</v>
      </c>
      <c r="AB123" s="37" t="str">
        <f aca="false">IF($N123="","",IF(COUNTIF($N$8:$N123,$N123)=1,MAX($AB$7:$AB122)+1,""))</f>
        <v/>
      </c>
    </row>
    <row r="124" customFormat="false" ht="15" hidden="false" customHeight="false" outlineLevel="0" collapsed="false">
      <c r="B124" s="32" t="s">
        <v>433</v>
      </c>
      <c r="C124" s="32" t="s">
        <v>434</v>
      </c>
      <c r="D124" s="35" t="n">
        <v>4759</v>
      </c>
      <c r="E124" s="32" t="s">
        <v>141</v>
      </c>
      <c r="F124" s="36" t="n">
        <v>45900</v>
      </c>
      <c r="G124" s="32" t="s">
        <v>435</v>
      </c>
      <c r="L124" s="37" t="str">
        <f aca="false">IF(INDEX($A124:$J124,$L$6)&lt;&gt;"",TRIM(LEFT(INDEX($A124:$J124,$L$6),FIND("(",INDEX($A124:$J124,$L$6)&amp;"(")-1)),L123)</f>
        <v>Closed Won</v>
      </c>
      <c r="M124" s="37" t="str">
        <f aca="false">IF(INDEX($A124:$J124,$M$6)="","",INDEX($A124:$J124,$M$6)&amp;"")</f>
        <v>TouchPoint CCX400</v>
      </c>
      <c r="N124" s="37" t="str">
        <f aca="false">IF($M124="","",TRIM(INDEX($A124:$J124,$N$6)&amp;""))</f>
        <v>touchpoint</v>
      </c>
      <c r="O124" s="37" t="str">
        <f aca="false">IF($M124="","",TRIM(INDEX($A124:$J124,$O$6)&amp;""))</f>
        <v>Integration</v>
      </c>
      <c r="P124" s="37" t="str">
        <f aca="false">IF($M124="","",IFERROR(IF(INDEX(Settings!$B$41:$B$50,MATCH(O124,Settings!$A$41:$A$50,0))&amp;""="","UNMAPPED",INDEX(Settings!$B$41:$B$50,MATCH(O124,Settings!$A$41:$A$50,0))&amp;""),"UNMAPPED"))</f>
        <v>Integration</v>
      </c>
      <c r="Q124" s="38" t="n">
        <f aca="false">IF($M124="",0,N(INDEX($A124:$J124,$Q$6)))</f>
        <v>4759</v>
      </c>
      <c r="R124" s="39" t="n">
        <f aca="false">IF($M124="","",INDEX($A124:$J124,$R$6))</f>
        <v>45900</v>
      </c>
      <c r="S124" s="37" t="str">
        <f aca="false">IF($M124="","",IFERROR(INDEX(Settings!$B$27:$B$36,MATCH(L124,Settings!$A$27:$A$36,0))&amp;"","UNMAPPED"))</f>
        <v>Won</v>
      </c>
      <c r="T124" s="37" t="str">
        <f aca="false">IF($M124="","",IF(NOT(ISNUMBER(R124)),"NO DATE",IF(S124="Won",IF(R124&gt;Settings!$B$5,"Backlog","Delivered"),IF(S124="Open",IF(R124&gt;Settings!$B$5,"Pipeline","Overdue"),IF(S124="Lost","Lost","UNMAPPED")))))</f>
        <v>Delivered</v>
      </c>
      <c r="U124" s="40" t="n">
        <f aca="false">IF(T124="Backlog",1,IF(OR(T124="Pipeline",T124="Overdue"),N(INDEX(Settings!$C$27:$C$36,MATCH(L124,Settings!$A$27:$A$36,0))),0))</f>
        <v>0</v>
      </c>
      <c r="V124" s="38" t="n">
        <f aca="false">Q124*U124</f>
        <v>0</v>
      </c>
      <c r="W124" s="41" t="n">
        <f aca="false">IF($M124="","",IF(T124="Overdue",IF(Settings!$B$8="Yes",Settings!$B$7,""),IF(ISNUMBER(R124),DATE(YEAR(R124),MONTH(R124),1),"")))</f>
        <v>45870</v>
      </c>
      <c r="X124" s="38" t="n">
        <f aca="false">IF(AND(OR(T124="Backlog",T124="Pipeline",T124="Overdue"),ISNUMBER(W124)),IF(W124&lt;=Settings!$B$6,V124,0),0)</f>
        <v>0</v>
      </c>
      <c r="Y124" s="38" t="n">
        <f aca="false">IF(AND(OR(T124="Backlog",T124="Pipeline",T124="Overdue"),ISNUMBER(W124)),IF(W124&lt;=Settings!$B$6,Q124,0),0)</f>
        <v>0</v>
      </c>
      <c r="Z124" s="38" t="n">
        <f aca="false">IF(Y124=0,0,IF(T124="Backlog",Q124,Q124*Dashboard!$C$10))</f>
        <v>0</v>
      </c>
      <c r="AA124" s="37" t="n">
        <f aca="false">IF($N124="",0,IF(COUNTIF(Dashboard!$C$13:$C$22,$N124)&gt;0,1,0))</f>
        <v>0</v>
      </c>
      <c r="AB124" s="37" t="n">
        <f aca="false">IF($N124="","",IF(COUNTIF($N$8:$N124,$N124)=1,MAX($AB$7:$AB123)+1,""))</f>
        <v>55</v>
      </c>
    </row>
    <row r="125" customFormat="false" ht="15" hidden="false" customHeight="false" outlineLevel="0" collapsed="false">
      <c r="B125" s="32" t="s">
        <v>436</v>
      </c>
      <c r="C125" s="32" t="s">
        <v>339</v>
      </c>
      <c r="D125" s="35" t="n">
        <v>7000</v>
      </c>
      <c r="E125" s="32" t="s">
        <v>173</v>
      </c>
      <c r="F125" s="36" t="n">
        <v>45926</v>
      </c>
      <c r="G125" s="32" t="s">
        <v>437</v>
      </c>
      <c r="L125" s="37" t="str">
        <f aca="false">IF(INDEX($A125:$J125,$L$6)&lt;&gt;"",TRIM(LEFT(INDEX($A125:$J125,$L$6),FIND("(",INDEX($A125:$J125,$L$6)&amp;"(")-1)),L124)</f>
        <v>Closed Won</v>
      </c>
      <c r="M125" s="37" t="str">
        <f aca="false">IF(INDEX($A125:$J125,$M$6)="","",INDEX($A125:$J125,$M$6)&amp;"")</f>
        <v>Marion Superscreen (D10396) Test &amp; Certification</v>
      </c>
      <c r="N125" s="37" t="str">
        <f aca="false">IF($M125="","",TRIM(INDEX($A125:$J125,$N$6)&amp;""))</f>
        <v>Scentre Group</v>
      </c>
      <c r="O125" s="37" t="str">
        <f aca="false">IF($M125="","",TRIM(INDEX($A125:$J125,$O$6)&amp;""))</f>
        <v>Consulting</v>
      </c>
      <c r="P125" s="37" t="str">
        <f aca="false">IF($M125="","",IFERROR(IF(INDEX(Settings!$B$41:$B$50,MATCH(O125,Settings!$A$41:$A$50,0))&amp;""="","UNMAPPED",INDEX(Settings!$B$41:$B$50,MATCH(O125,Settings!$A$41:$A$50,0))&amp;""),"UNMAPPED"))</f>
        <v>Consulting</v>
      </c>
      <c r="Q125" s="38" t="n">
        <f aca="false">IF($M125="",0,N(INDEX($A125:$J125,$Q$6)))</f>
        <v>7000</v>
      </c>
      <c r="R125" s="39" t="n">
        <f aca="false">IF($M125="","",INDEX($A125:$J125,$R$6))</f>
        <v>45926</v>
      </c>
      <c r="S125" s="37" t="str">
        <f aca="false">IF($M125="","",IFERROR(INDEX(Settings!$B$27:$B$36,MATCH(L125,Settings!$A$27:$A$36,0))&amp;"","UNMAPPED"))</f>
        <v>Won</v>
      </c>
      <c r="T125" s="37" t="str">
        <f aca="false">IF($M125="","",IF(NOT(ISNUMBER(R125)),"NO DATE",IF(S125="Won",IF(R125&gt;Settings!$B$5,"Backlog","Delivered"),IF(S125="Open",IF(R125&gt;Settings!$B$5,"Pipeline","Overdue"),IF(S125="Lost","Lost","UNMAPPED")))))</f>
        <v>Delivered</v>
      </c>
      <c r="U125" s="40" t="n">
        <f aca="false">IF(T125="Backlog",1,IF(OR(T125="Pipeline",T125="Overdue"),N(INDEX(Settings!$C$27:$C$36,MATCH(L125,Settings!$A$27:$A$36,0))),0))</f>
        <v>0</v>
      </c>
      <c r="V125" s="38" t="n">
        <f aca="false">Q125*U125</f>
        <v>0</v>
      </c>
      <c r="W125" s="41" t="n">
        <f aca="false">IF($M125="","",IF(T125="Overdue",IF(Settings!$B$8="Yes",Settings!$B$7,""),IF(ISNUMBER(R125),DATE(YEAR(R125),MONTH(R125),1),"")))</f>
        <v>45901</v>
      </c>
      <c r="X125" s="38" t="n">
        <f aca="false">IF(AND(OR(T125="Backlog",T125="Pipeline",T125="Overdue"),ISNUMBER(W125)),IF(W125&lt;=Settings!$B$6,V125,0),0)</f>
        <v>0</v>
      </c>
      <c r="Y125" s="38" t="n">
        <f aca="false">IF(AND(OR(T125="Backlog",T125="Pipeline",T125="Overdue"),ISNUMBER(W125)),IF(W125&lt;=Settings!$B$6,Q125,0),0)</f>
        <v>0</v>
      </c>
      <c r="Z125" s="38" t="n">
        <f aca="false">IF(Y125=0,0,IF(T125="Backlog",Q125,Q125*Dashboard!$C$10))</f>
        <v>0</v>
      </c>
      <c r="AA125" s="37" t="n">
        <f aca="false">IF($N125="",0,IF(COUNTIF(Dashboard!$C$13:$C$22,$N125)&gt;0,1,0))</f>
        <v>0</v>
      </c>
      <c r="AB125" s="37" t="str">
        <f aca="false">IF($N125="","",IF(COUNTIF($N$8:$N125,$N125)=1,MAX($AB$7:$AB124)+1,""))</f>
        <v/>
      </c>
    </row>
    <row r="126" customFormat="false" ht="15" hidden="false" customHeight="false" outlineLevel="0" collapsed="false">
      <c r="B126" s="32" t="s">
        <v>438</v>
      </c>
      <c r="C126" s="32" t="s">
        <v>247</v>
      </c>
      <c r="D126" s="35" t="n">
        <v>7149</v>
      </c>
      <c r="E126" s="32" t="s">
        <v>145</v>
      </c>
      <c r="F126" s="36" t="n">
        <v>46146</v>
      </c>
      <c r="G126" s="32" t="s">
        <v>439</v>
      </c>
      <c r="L126" s="37" t="str">
        <f aca="false">IF(INDEX($A126:$J126,$L$6)&lt;&gt;"",TRIM(LEFT(INDEX($A126:$J126,$L$6),FIND("(",INDEX($A126:$J126,$L$6)&amp;"(")-1)),L125)</f>
        <v>Closed Won</v>
      </c>
      <c r="M126" s="37" t="str">
        <f aca="false">IF(INDEX($A126:$J126,$M$6)="","",INDEX($A126:$J126,$M$6)&amp;"")</f>
        <v>AGL - FYR Town Hall - 12.8.26</v>
      </c>
      <c r="N126" s="37" t="str">
        <f aca="false">IF($M126="","",TRIM(INDEX($A126:$J126,$N$6)&amp;""))</f>
        <v>AGL</v>
      </c>
      <c r="O126" s="37" t="str">
        <f aca="false">IF($M126="","",TRIM(INDEX($A126:$J126,$O$6)&amp;""))</f>
        <v>Event Production</v>
      </c>
      <c r="P126" s="37" t="str">
        <f aca="false">IF($M126="","",IFERROR(IF(INDEX(Settings!$B$41:$B$50,MATCH(O126,Settings!$A$41:$A$50,0))&amp;""="","UNMAPPED",INDEX(Settings!$B$41:$B$50,MATCH(O126,Settings!$A$41:$A$50,0))&amp;""),"UNMAPPED"))</f>
        <v>Production</v>
      </c>
      <c r="Q126" s="38" t="n">
        <f aca="false">IF($M126="",0,N(INDEX($A126:$J126,$Q$6)))</f>
        <v>7149</v>
      </c>
      <c r="R126" s="39" t="n">
        <f aca="false">IF($M126="","",INDEX($A126:$J126,$R$6))</f>
        <v>46146</v>
      </c>
      <c r="S126" s="37" t="str">
        <f aca="false">IF($M126="","",IFERROR(INDEX(Settings!$B$27:$B$36,MATCH(L126,Settings!$A$27:$A$36,0))&amp;"","UNMAPPED"))</f>
        <v>Won</v>
      </c>
      <c r="T126" s="37" t="str">
        <f aca="false">IF($M126="","",IF(NOT(ISNUMBER(R126)),"NO DATE",IF(S126="Won",IF(R126&gt;Settings!$B$5,"Backlog","Delivered"),IF(S126="Open",IF(R126&gt;Settings!$B$5,"Pipeline","Overdue"),IF(S126="Lost","Lost","UNMAPPED")))))</f>
        <v>Delivered</v>
      </c>
      <c r="U126" s="40" t="n">
        <f aca="false">IF(T126="Backlog",1,IF(OR(T126="Pipeline",T126="Overdue"),N(INDEX(Settings!$C$27:$C$36,MATCH(L126,Settings!$A$27:$A$36,0))),0))</f>
        <v>0</v>
      </c>
      <c r="V126" s="38" t="n">
        <f aca="false">Q126*U126</f>
        <v>0</v>
      </c>
      <c r="W126" s="41" t="n">
        <f aca="false">IF($M126="","",IF(T126="Overdue",IF(Settings!$B$8="Yes",Settings!$B$7,""),IF(ISNUMBER(R126),DATE(YEAR(R126),MONTH(R126),1),"")))</f>
        <v>46143</v>
      </c>
      <c r="X126" s="38" t="n">
        <f aca="false">IF(AND(OR(T126="Backlog",T126="Pipeline",T126="Overdue"),ISNUMBER(W126)),IF(W126&lt;=Settings!$B$6,V126,0),0)</f>
        <v>0</v>
      </c>
      <c r="Y126" s="38" t="n">
        <f aca="false">IF(AND(OR(T126="Backlog",T126="Pipeline",T126="Overdue"),ISNUMBER(W126)),IF(W126&lt;=Settings!$B$6,Q126,0),0)</f>
        <v>0</v>
      </c>
      <c r="Z126" s="38" t="n">
        <f aca="false">IF(Y126=0,0,IF(T126="Backlog",Q126,Q126*Dashboard!$C$10))</f>
        <v>0</v>
      </c>
      <c r="AA126" s="37" t="n">
        <f aca="false">IF($N126="",0,IF(COUNTIF(Dashboard!$C$13:$C$22,$N126)&gt;0,1,0))</f>
        <v>0</v>
      </c>
      <c r="AB126" s="37" t="str">
        <f aca="false">IF($N126="","",IF(COUNTIF($N$8:$N126,$N126)=1,MAX($AB$7:$AB125)+1,""))</f>
        <v/>
      </c>
    </row>
    <row r="127" customFormat="false" ht="15" hidden="false" customHeight="false" outlineLevel="0" collapsed="false">
      <c r="B127" s="32" t="s">
        <v>440</v>
      </c>
      <c r="C127" s="32" t="s">
        <v>441</v>
      </c>
      <c r="D127" s="35" t="n">
        <v>4811</v>
      </c>
      <c r="E127" s="32" t="s">
        <v>173</v>
      </c>
      <c r="F127" s="36" t="n">
        <v>45891</v>
      </c>
      <c r="G127" s="32"/>
      <c r="L127" s="37" t="str">
        <f aca="false">IF(INDEX($A127:$J127,$L$6)&lt;&gt;"",TRIM(LEFT(INDEX($A127:$J127,$L$6),FIND("(",INDEX($A127:$J127,$L$6)&amp;"(")-1)),L126)</f>
        <v>Closed Won</v>
      </c>
      <c r="M127" s="37" t="str">
        <f aca="false">IF(INDEX($A127:$J127,$M$6)="","",INDEX($A127:$J127,$M$6)&amp;"")</f>
        <v>UoW Liverpool Campus Variation 01</v>
      </c>
      <c r="N127" s="37" t="str">
        <f aca="false">IF($M127="","",TRIM(INDEX($A127:$J127,$N$6)&amp;""))</f>
        <v>University of Wollongong</v>
      </c>
      <c r="O127" s="37" t="str">
        <f aca="false">IF($M127="","",TRIM(INDEX($A127:$J127,$O$6)&amp;""))</f>
        <v>Consulting</v>
      </c>
      <c r="P127" s="37" t="str">
        <f aca="false">IF($M127="","",IFERROR(IF(INDEX(Settings!$B$41:$B$50,MATCH(O127,Settings!$A$41:$A$50,0))&amp;""="","UNMAPPED",INDEX(Settings!$B$41:$B$50,MATCH(O127,Settings!$A$41:$A$50,0))&amp;""),"UNMAPPED"))</f>
        <v>Consulting</v>
      </c>
      <c r="Q127" s="38" t="n">
        <f aca="false">IF($M127="",0,N(INDEX($A127:$J127,$Q$6)))</f>
        <v>4811</v>
      </c>
      <c r="R127" s="39" t="n">
        <f aca="false">IF($M127="","",INDEX($A127:$J127,$R$6))</f>
        <v>45891</v>
      </c>
      <c r="S127" s="37" t="str">
        <f aca="false">IF($M127="","",IFERROR(INDEX(Settings!$B$27:$B$36,MATCH(L127,Settings!$A$27:$A$36,0))&amp;"","UNMAPPED"))</f>
        <v>Won</v>
      </c>
      <c r="T127" s="37" t="str">
        <f aca="false">IF($M127="","",IF(NOT(ISNUMBER(R127)),"NO DATE",IF(S127="Won",IF(R127&gt;Settings!$B$5,"Backlog","Delivered"),IF(S127="Open",IF(R127&gt;Settings!$B$5,"Pipeline","Overdue"),IF(S127="Lost","Lost","UNMAPPED")))))</f>
        <v>Delivered</v>
      </c>
      <c r="U127" s="40" t="n">
        <f aca="false">IF(T127="Backlog",1,IF(OR(T127="Pipeline",T127="Overdue"),N(INDEX(Settings!$C$27:$C$36,MATCH(L127,Settings!$A$27:$A$36,0))),0))</f>
        <v>0</v>
      </c>
      <c r="V127" s="38" t="n">
        <f aca="false">Q127*U127</f>
        <v>0</v>
      </c>
      <c r="W127" s="41" t="n">
        <f aca="false">IF($M127="","",IF(T127="Overdue",IF(Settings!$B$8="Yes",Settings!$B$7,""),IF(ISNUMBER(R127),DATE(YEAR(R127),MONTH(R127),1),"")))</f>
        <v>45870</v>
      </c>
      <c r="X127" s="38" t="n">
        <f aca="false">IF(AND(OR(T127="Backlog",T127="Pipeline",T127="Overdue"),ISNUMBER(W127)),IF(W127&lt;=Settings!$B$6,V127,0),0)</f>
        <v>0</v>
      </c>
      <c r="Y127" s="38" t="n">
        <f aca="false">IF(AND(OR(T127="Backlog",T127="Pipeline",T127="Overdue"),ISNUMBER(W127)),IF(W127&lt;=Settings!$B$6,Q127,0),0)</f>
        <v>0</v>
      </c>
      <c r="Z127" s="38" t="n">
        <f aca="false">IF(Y127=0,0,IF(T127="Backlog",Q127,Q127*Dashboard!$C$10))</f>
        <v>0</v>
      </c>
      <c r="AA127" s="37" t="n">
        <f aca="false">IF($N127="",0,IF(COUNTIF(Dashboard!$C$13:$C$22,$N127)&gt;0,1,0))</f>
        <v>0</v>
      </c>
      <c r="AB127" s="37" t="n">
        <f aca="false">IF($N127="","",IF(COUNTIF($N$8:$N127,$N127)=1,MAX($AB$7:$AB126)+1,""))</f>
        <v>56</v>
      </c>
    </row>
    <row r="128" customFormat="false" ht="15" hidden="false" customHeight="false" outlineLevel="0" collapsed="false">
      <c r="B128" s="32" t="s">
        <v>442</v>
      </c>
      <c r="C128" s="32" t="s">
        <v>443</v>
      </c>
      <c r="D128" s="35" t="n">
        <v>4993</v>
      </c>
      <c r="E128" s="32" t="s">
        <v>145</v>
      </c>
      <c r="F128" s="36" t="n">
        <v>46170</v>
      </c>
      <c r="G128" s="32" t="s">
        <v>444</v>
      </c>
      <c r="L128" s="37" t="str">
        <f aca="false">IF(INDEX($A128:$J128,$L$6)&lt;&gt;"",TRIM(LEFT(INDEX($A128:$J128,$L$6),FIND("(",INDEX($A128:$J128,$L$6)&amp;"(")-1)),L127)</f>
        <v>Closed Won</v>
      </c>
      <c r="M128" s="37" t="str">
        <f aca="false">IF(INDEX($A128:$J128,$M$6)="","",INDEX($A128:$J128,$M$6)&amp;"")</f>
        <v>MeetMagic - AI Behaviour Event - 29.5.26</v>
      </c>
      <c r="N128" s="37" t="str">
        <f aca="false">IF($M128="","",TRIM(INDEX($A128:$J128,$N$6)&amp;""))</f>
        <v>Meet Magic</v>
      </c>
      <c r="O128" s="37" t="str">
        <f aca="false">IF($M128="","",TRIM(INDEX($A128:$J128,$O$6)&amp;""))</f>
        <v>Event Production</v>
      </c>
      <c r="P128" s="37" t="str">
        <f aca="false">IF($M128="","",IFERROR(IF(INDEX(Settings!$B$41:$B$50,MATCH(O128,Settings!$A$41:$A$50,0))&amp;""="","UNMAPPED",INDEX(Settings!$B$41:$B$50,MATCH(O128,Settings!$A$41:$A$50,0))&amp;""),"UNMAPPED"))</f>
        <v>Production</v>
      </c>
      <c r="Q128" s="38" t="n">
        <f aca="false">IF($M128="",0,N(INDEX($A128:$J128,$Q$6)))</f>
        <v>4993</v>
      </c>
      <c r="R128" s="39" t="n">
        <f aca="false">IF($M128="","",INDEX($A128:$J128,$R$6))</f>
        <v>46170</v>
      </c>
      <c r="S128" s="37" t="str">
        <f aca="false">IF($M128="","",IFERROR(INDEX(Settings!$B$27:$B$36,MATCH(L128,Settings!$A$27:$A$36,0))&amp;"","UNMAPPED"))</f>
        <v>Won</v>
      </c>
      <c r="T128" s="37" t="str">
        <f aca="false">IF($M128="","",IF(NOT(ISNUMBER(R128)),"NO DATE",IF(S128="Won",IF(R128&gt;Settings!$B$5,"Backlog","Delivered"),IF(S128="Open",IF(R128&gt;Settings!$B$5,"Pipeline","Overdue"),IF(S128="Lost","Lost","UNMAPPED")))))</f>
        <v>Delivered</v>
      </c>
      <c r="U128" s="40" t="n">
        <f aca="false">IF(T128="Backlog",1,IF(OR(T128="Pipeline",T128="Overdue"),N(INDEX(Settings!$C$27:$C$36,MATCH(L128,Settings!$A$27:$A$36,0))),0))</f>
        <v>0</v>
      </c>
      <c r="V128" s="38" t="n">
        <f aca="false">Q128*U128</f>
        <v>0</v>
      </c>
      <c r="W128" s="41" t="n">
        <f aca="false">IF($M128="","",IF(T128="Overdue",IF(Settings!$B$8="Yes",Settings!$B$7,""),IF(ISNUMBER(R128),DATE(YEAR(R128),MONTH(R128),1),"")))</f>
        <v>46143</v>
      </c>
      <c r="X128" s="38" t="n">
        <f aca="false">IF(AND(OR(T128="Backlog",T128="Pipeline",T128="Overdue"),ISNUMBER(W128)),IF(W128&lt;=Settings!$B$6,V128,0),0)</f>
        <v>0</v>
      </c>
      <c r="Y128" s="38" t="n">
        <f aca="false">IF(AND(OR(T128="Backlog",T128="Pipeline",T128="Overdue"),ISNUMBER(W128)),IF(W128&lt;=Settings!$B$6,Q128,0),0)</f>
        <v>0</v>
      </c>
      <c r="Z128" s="38" t="n">
        <f aca="false">IF(Y128=0,0,IF(T128="Backlog",Q128,Q128*Dashboard!$C$10))</f>
        <v>0</v>
      </c>
      <c r="AA128" s="37" t="n">
        <f aca="false">IF($N128="",0,IF(COUNTIF(Dashboard!$C$13:$C$22,$N128)&gt;0,1,0))</f>
        <v>0</v>
      </c>
      <c r="AB128" s="37" t="n">
        <f aca="false">IF($N128="","",IF(COUNTIF($N$8:$N128,$N128)=1,MAX($AB$7:$AB127)+1,""))</f>
        <v>57</v>
      </c>
    </row>
    <row r="129" customFormat="false" ht="15" hidden="false" customHeight="false" outlineLevel="0" collapsed="false">
      <c r="B129" s="32" t="s">
        <v>445</v>
      </c>
      <c r="C129" s="32" t="s">
        <v>253</v>
      </c>
      <c r="D129" s="35" t="n">
        <v>3674</v>
      </c>
      <c r="E129" s="32" t="s">
        <v>145</v>
      </c>
      <c r="F129" s="36" t="n">
        <v>46122</v>
      </c>
      <c r="G129" s="32" t="s">
        <v>446</v>
      </c>
      <c r="L129" s="37" t="str">
        <f aca="false">IF(INDEX($A129:$J129,$L$6)&lt;&gt;"",TRIM(LEFT(INDEX($A129:$J129,$L$6),FIND("(",INDEX($A129:$J129,$L$6)&amp;"(")-1)),L128)</f>
        <v>Closed Won</v>
      </c>
      <c r="M129" s="37" t="str">
        <f aca="false">IF(INDEX($A129:$J129,$M$6)="","",INDEX($A129:$J129,$M$6)&amp;"")</f>
        <v>ASX CEO Connect 21.4.26</v>
      </c>
      <c r="N129" s="37" t="str">
        <f aca="false">IF($M129="","",TRIM(INDEX($A129:$J129,$N$6)&amp;""))</f>
        <v>ASX Australian Securities Exchange</v>
      </c>
      <c r="O129" s="37" t="str">
        <f aca="false">IF($M129="","",TRIM(INDEX($A129:$J129,$O$6)&amp;""))</f>
        <v>Event Production</v>
      </c>
      <c r="P129" s="37" t="str">
        <f aca="false">IF($M129="","",IFERROR(IF(INDEX(Settings!$B$41:$B$50,MATCH(O129,Settings!$A$41:$A$50,0))&amp;""="","UNMAPPED",INDEX(Settings!$B$41:$B$50,MATCH(O129,Settings!$A$41:$A$50,0))&amp;""),"UNMAPPED"))</f>
        <v>Production</v>
      </c>
      <c r="Q129" s="38" t="n">
        <f aca="false">IF($M129="",0,N(INDEX($A129:$J129,$Q$6)))</f>
        <v>3674</v>
      </c>
      <c r="R129" s="39" t="n">
        <f aca="false">IF($M129="","",INDEX($A129:$J129,$R$6))</f>
        <v>46122</v>
      </c>
      <c r="S129" s="37" t="str">
        <f aca="false">IF($M129="","",IFERROR(INDEX(Settings!$B$27:$B$36,MATCH(L129,Settings!$A$27:$A$36,0))&amp;"","UNMAPPED"))</f>
        <v>Won</v>
      </c>
      <c r="T129" s="37" t="str">
        <f aca="false">IF($M129="","",IF(NOT(ISNUMBER(R129)),"NO DATE",IF(S129="Won",IF(R129&gt;Settings!$B$5,"Backlog","Delivered"),IF(S129="Open",IF(R129&gt;Settings!$B$5,"Pipeline","Overdue"),IF(S129="Lost","Lost","UNMAPPED")))))</f>
        <v>Delivered</v>
      </c>
      <c r="U129" s="40" t="n">
        <f aca="false">IF(T129="Backlog",1,IF(OR(T129="Pipeline",T129="Overdue"),N(INDEX(Settings!$C$27:$C$36,MATCH(L129,Settings!$A$27:$A$36,0))),0))</f>
        <v>0</v>
      </c>
      <c r="V129" s="38" t="n">
        <f aca="false">Q129*U129</f>
        <v>0</v>
      </c>
      <c r="W129" s="41" t="n">
        <f aca="false">IF($M129="","",IF(T129="Overdue",IF(Settings!$B$8="Yes",Settings!$B$7,""),IF(ISNUMBER(R129),DATE(YEAR(R129),MONTH(R129),1),"")))</f>
        <v>46113</v>
      </c>
      <c r="X129" s="38" t="n">
        <f aca="false">IF(AND(OR(T129="Backlog",T129="Pipeline",T129="Overdue"),ISNUMBER(W129)),IF(W129&lt;=Settings!$B$6,V129,0),0)</f>
        <v>0</v>
      </c>
      <c r="Y129" s="38" t="n">
        <f aca="false">IF(AND(OR(T129="Backlog",T129="Pipeline",T129="Overdue"),ISNUMBER(W129)),IF(W129&lt;=Settings!$B$6,Q129,0),0)</f>
        <v>0</v>
      </c>
      <c r="Z129" s="38" t="n">
        <f aca="false">IF(Y129=0,0,IF(T129="Backlog",Q129,Q129*Dashboard!$C$10))</f>
        <v>0</v>
      </c>
      <c r="AA129" s="37" t="n">
        <f aca="false">IF($N129="",0,IF(COUNTIF(Dashboard!$C$13:$C$22,$N129)&gt;0,1,0))</f>
        <v>0</v>
      </c>
      <c r="AB129" s="37" t="str">
        <f aca="false">IF($N129="","",IF(COUNTIF($N$8:$N129,$N129)=1,MAX($AB$7:$AB128)+1,""))</f>
        <v/>
      </c>
    </row>
    <row r="130" customFormat="false" ht="15" hidden="false" customHeight="false" outlineLevel="0" collapsed="false">
      <c r="B130" s="32" t="s">
        <v>447</v>
      </c>
      <c r="C130" s="32" t="s">
        <v>239</v>
      </c>
      <c r="D130" s="35" t="n">
        <v>7564</v>
      </c>
      <c r="E130" s="32" t="s">
        <v>145</v>
      </c>
      <c r="F130" s="36" t="n">
        <v>46071</v>
      </c>
      <c r="G130" s="32" t="s">
        <v>448</v>
      </c>
      <c r="L130" s="37" t="str">
        <f aca="false">IF(INDEX($A130:$J130,$L$6)&lt;&gt;"",TRIM(LEFT(INDEX($A130:$J130,$L$6),FIND("(",INDEX($A130:$J130,$L$6)&amp;"(")-1)),L129)</f>
        <v>Closed Won</v>
      </c>
      <c r="M130" s="37" t="str">
        <f aca="false">IF(INDEX($A130:$J130,$M$6)="","",INDEX($A130:$J130,$M$6)&amp;"")</f>
        <v>Half Year Results Briefing</v>
      </c>
      <c r="N130" s="37" t="str">
        <f aca="false">IF($M130="","",TRIM(INDEX($A130:$J130,$N$6)&amp;""))</f>
        <v>The Lottery Corporation</v>
      </c>
      <c r="O130" s="37" t="str">
        <f aca="false">IF($M130="","",TRIM(INDEX($A130:$J130,$O$6)&amp;""))</f>
        <v>Event Production</v>
      </c>
      <c r="P130" s="37" t="str">
        <f aca="false">IF($M130="","",IFERROR(IF(INDEX(Settings!$B$41:$B$50,MATCH(O130,Settings!$A$41:$A$50,0))&amp;""="","UNMAPPED",INDEX(Settings!$B$41:$B$50,MATCH(O130,Settings!$A$41:$A$50,0))&amp;""),"UNMAPPED"))</f>
        <v>Production</v>
      </c>
      <c r="Q130" s="38" t="n">
        <f aca="false">IF($M130="",0,N(INDEX($A130:$J130,$Q$6)))</f>
        <v>7564</v>
      </c>
      <c r="R130" s="39" t="n">
        <f aca="false">IF($M130="","",INDEX($A130:$J130,$R$6))</f>
        <v>46071</v>
      </c>
      <c r="S130" s="37" t="str">
        <f aca="false">IF($M130="","",IFERROR(INDEX(Settings!$B$27:$B$36,MATCH(L130,Settings!$A$27:$A$36,0))&amp;"","UNMAPPED"))</f>
        <v>Won</v>
      </c>
      <c r="T130" s="37" t="str">
        <f aca="false">IF($M130="","",IF(NOT(ISNUMBER(R130)),"NO DATE",IF(S130="Won",IF(R130&gt;Settings!$B$5,"Backlog","Delivered"),IF(S130="Open",IF(R130&gt;Settings!$B$5,"Pipeline","Overdue"),IF(S130="Lost","Lost","UNMAPPED")))))</f>
        <v>Delivered</v>
      </c>
      <c r="U130" s="40" t="n">
        <f aca="false">IF(T130="Backlog",1,IF(OR(T130="Pipeline",T130="Overdue"),N(INDEX(Settings!$C$27:$C$36,MATCH(L130,Settings!$A$27:$A$36,0))),0))</f>
        <v>0</v>
      </c>
      <c r="V130" s="38" t="n">
        <f aca="false">Q130*U130</f>
        <v>0</v>
      </c>
      <c r="W130" s="41" t="n">
        <f aca="false">IF($M130="","",IF(T130="Overdue",IF(Settings!$B$8="Yes",Settings!$B$7,""),IF(ISNUMBER(R130),DATE(YEAR(R130),MONTH(R130),1),"")))</f>
        <v>46054</v>
      </c>
      <c r="X130" s="38" t="n">
        <f aca="false">IF(AND(OR(T130="Backlog",T130="Pipeline",T130="Overdue"),ISNUMBER(W130)),IF(W130&lt;=Settings!$B$6,V130,0),0)</f>
        <v>0</v>
      </c>
      <c r="Y130" s="38" t="n">
        <f aca="false">IF(AND(OR(T130="Backlog",T130="Pipeline",T130="Overdue"),ISNUMBER(W130)),IF(W130&lt;=Settings!$B$6,Q130,0),0)</f>
        <v>0</v>
      </c>
      <c r="Z130" s="38" t="n">
        <f aca="false">IF(Y130=0,0,IF(T130="Backlog",Q130,Q130*Dashboard!$C$10))</f>
        <v>0</v>
      </c>
      <c r="AA130" s="37" t="n">
        <f aca="false">IF($N130="",0,IF(COUNTIF(Dashboard!$C$13:$C$22,$N130)&gt;0,1,0))</f>
        <v>0</v>
      </c>
      <c r="AB130" s="37" t="str">
        <f aca="false">IF($N130="","",IF(COUNTIF($N$8:$N130,$N130)=1,MAX($AB$7:$AB129)+1,""))</f>
        <v/>
      </c>
    </row>
    <row r="131" customFormat="false" ht="15" hidden="false" customHeight="false" outlineLevel="0" collapsed="false">
      <c r="B131" s="32" t="s">
        <v>449</v>
      </c>
      <c r="C131" s="32" t="s">
        <v>253</v>
      </c>
      <c r="D131" s="35" t="n">
        <v>2625</v>
      </c>
      <c r="E131" s="32" t="s">
        <v>145</v>
      </c>
      <c r="F131" s="36" t="n">
        <v>46006</v>
      </c>
      <c r="G131" s="32" t="s">
        <v>450</v>
      </c>
      <c r="L131" s="37" t="str">
        <f aca="false">IF(INDEX($A131:$J131,$L$6)&lt;&gt;"",TRIM(LEFT(INDEX($A131:$J131,$L$6),FIND("(",INDEX($A131:$J131,$L$6)&amp;"(")-1)),L130)</f>
        <v>Closed Won</v>
      </c>
      <c r="M131" s="37" t="str">
        <f aca="false">IF(INDEX($A131:$J131,$M$6)="","",INDEX($A131:$J131,$M$6)&amp;"")</f>
        <v>Conference Call</v>
      </c>
      <c r="N131" s="37" t="str">
        <f aca="false">IF($M131="","",TRIM(INDEX($A131:$J131,$N$6)&amp;""))</f>
        <v>ASX Australian Securities Exchange</v>
      </c>
      <c r="O131" s="37" t="str">
        <f aca="false">IF($M131="","",TRIM(INDEX($A131:$J131,$O$6)&amp;""))</f>
        <v>Event Production</v>
      </c>
      <c r="P131" s="37" t="str">
        <f aca="false">IF($M131="","",IFERROR(IF(INDEX(Settings!$B$41:$B$50,MATCH(O131,Settings!$A$41:$A$50,0))&amp;""="","UNMAPPED",INDEX(Settings!$B$41:$B$50,MATCH(O131,Settings!$A$41:$A$50,0))&amp;""),"UNMAPPED"))</f>
        <v>Production</v>
      </c>
      <c r="Q131" s="38" t="n">
        <f aca="false">IF($M131="",0,N(INDEX($A131:$J131,$Q$6)))</f>
        <v>2625</v>
      </c>
      <c r="R131" s="39" t="n">
        <f aca="false">IF($M131="","",INDEX($A131:$J131,$R$6))</f>
        <v>46006</v>
      </c>
      <c r="S131" s="37" t="str">
        <f aca="false">IF($M131="","",IFERROR(INDEX(Settings!$B$27:$B$36,MATCH(L131,Settings!$A$27:$A$36,0))&amp;"","UNMAPPED"))</f>
        <v>Won</v>
      </c>
      <c r="T131" s="37" t="str">
        <f aca="false">IF($M131="","",IF(NOT(ISNUMBER(R131)),"NO DATE",IF(S131="Won",IF(R131&gt;Settings!$B$5,"Backlog","Delivered"),IF(S131="Open",IF(R131&gt;Settings!$B$5,"Pipeline","Overdue"),IF(S131="Lost","Lost","UNMAPPED")))))</f>
        <v>Delivered</v>
      </c>
      <c r="U131" s="40" t="n">
        <f aca="false">IF(T131="Backlog",1,IF(OR(T131="Pipeline",T131="Overdue"),N(INDEX(Settings!$C$27:$C$36,MATCH(L131,Settings!$A$27:$A$36,0))),0))</f>
        <v>0</v>
      </c>
      <c r="V131" s="38" t="n">
        <f aca="false">Q131*U131</f>
        <v>0</v>
      </c>
      <c r="W131" s="41" t="n">
        <f aca="false">IF($M131="","",IF(T131="Overdue",IF(Settings!$B$8="Yes",Settings!$B$7,""),IF(ISNUMBER(R131),DATE(YEAR(R131),MONTH(R131),1),"")))</f>
        <v>45992</v>
      </c>
      <c r="X131" s="38" t="n">
        <f aca="false">IF(AND(OR(T131="Backlog",T131="Pipeline",T131="Overdue"),ISNUMBER(W131)),IF(W131&lt;=Settings!$B$6,V131,0),0)</f>
        <v>0</v>
      </c>
      <c r="Y131" s="38" t="n">
        <f aca="false">IF(AND(OR(T131="Backlog",T131="Pipeline",T131="Overdue"),ISNUMBER(W131)),IF(W131&lt;=Settings!$B$6,Q131,0),0)</f>
        <v>0</v>
      </c>
      <c r="Z131" s="38" t="n">
        <f aca="false">IF(Y131=0,0,IF(T131="Backlog",Q131,Q131*Dashboard!$C$10))</f>
        <v>0</v>
      </c>
      <c r="AA131" s="37" t="n">
        <f aca="false">IF($N131="",0,IF(COUNTIF(Dashboard!$C$13:$C$22,$N131)&gt;0,1,0))</f>
        <v>0</v>
      </c>
      <c r="AB131" s="37" t="str">
        <f aca="false">IF($N131="","",IF(COUNTIF($N$8:$N131,$N131)=1,MAX($AB$7:$AB130)+1,""))</f>
        <v/>
      </c>
    </row>
    <row r="132" customFormat="false" ht="15" hidden="false" customHeight="false" outlineLevel="0" collapsed="false">
      <c r="B132" s="32" t="s">
        <v>451</v>
      </c>
      <c r="C132" s="32" t="s">
        <v>194</v>
      </c>
      <c r="D132" s="35" t="n">
        <v>8635</v>
      </c>
      <c r="E132" s="32" t="s">
        <v>145</v>
      </c>
      <c r="F132" s="36" t="n">
        <v>45911</v>
      </c>
      <c r="G132" s="32" t="s">
        <v>452</v>
      </c>
      <c r="L132" s="37" t="str">
        <f aca="false">IF(INDEX($A132:$J132,$L$6)&lt;&gt;"",TRIM(LEFT(INDEX($A132:$J132,$L$6),FIND("(",INDEX($A132:$J132,$L$6)&amp;"(")-1)),L131)</f>
        <v>Closed Won</v>
      </c>
      <c r="M132" s="37" t="str">
        <f aca="false">IF(INDEX($A132:$J132,$M$6)="","",INDEX($A132:$J132,$M$6)&amp;"")</f>
        <v>RUOK Lunch &amp; Learn 11.9.25</v>
      </c>
      <c r="N132" s="37" t="str">
        <f aca="false">IF($M132="","",TRIM(INDEX($A132:$J132,$N$6)&amp;""))</f>
        <v>Ventia</v>
      </c>
      <c r="O132" s="37" t="str">
        <f aca="false">IF($M132="","",TRIM(INDEX($A132:$J132,$O$6)&amp;""))</f>
        <v>Event Production</v>
      </c>
      <c r="P132" s="37" t="str">
        <f aca="false">IF($M132="","",IFERROR(IF(INDEX(Settings!$B$41:$B$50,MATCH(O132,Settings!$A$41:$A$50,0))&amp;""="","UNMAPPED",INDEX(Settings!$B$41:$B$50,MATCH(O132,Settings!$A$41:$A$50,0))&amp;""),"UNMAPPED"))</f>
        <v>Production</v>
      </c>
      <c r="Q132" s="38" t="n">
        <f aca="false">IF($M132="",0,N(INDEX($A132:$J132,$Q$6)))</f>
        <v>8635</v>
      </c>
      <c r="R132" s="39" t="n">
        <f aca="false">IF($M132="","",INDEX($A132:$J132,$R$6))</f>
        <v>45911</v>
      </c>
      <c r="S132" s="37" t="str">
        <f aca="false">IF($M132="","",IFERROR(INDEX(Settings!$B$27:$B$36,MATCH(L132,Settings!$A$27:$A$36,0))&amp;"","UNMAPPED"))</f>
        <v>Won</v>
      </c>
      <c r="T132" s="37" t="str">
        <f aca="false">IF($M132="","",IF(NOT(ISNUMBER(R132)),"NO DATE",IF(S132="Won",IF(R132&gt;Settings!$B$5,"Backlog","Delivered"),IF(S132="Open",IF(R132&gt;Settings!$B$5,"Pipeline","Overdue"),IF(S132="Lost","Lost","UNMAPPED")))))</f>
        <v>Delivered</v>
      </c>
      <c r="U132" s="40" t="n">
        <f aca="false">IF(T132="Backlog",1,IF(OR(T132="Pipeline",T132="Overdue"),N(INDEX(Settings!$C$27:$C$36,MATCH(L132,Settings!$A$27:$A$36,0))),0))</f>
        <v>0</v>
      </c>
      <c r="V132" s="38" t="n">
        <f aca="false">Q132*U132</f>
        <v>0</v>
      </c>
      <c r="W132" s="41" t="n">
        <f aca="false">IF($M132="","",IF(T132="Overdue",IF(Settings!$B$8="Yes",Settings!$B$7,""),IF(ISNUMBER(R132),DATE(YEAR(R132),MONTH(R132),1),"")))</f>
        <v>45901</v>
      </c>
      <c r="X132" s="38" t="n">
        <f aca="false">IF(AND(OR(T132="Backlog",T132="Pipeline",T132="Overdue"),ISNUMBER(W132)),IF(W132&lt;=Settings!$B$6,V132,0),0)</f>
        <v>0</v>
      </c>
      <c r="Y132" s="38" t="n">
        <f aca="false">IF(AND(OR(T132="Backlog",T132="Pipeline",T132="Overdue"),ISNUMBER(W132)),IF(W132&lt;=Settings!$B$6,Q132,0),0)</f>
        <v>0</v>
      </c>
      <c r="Z132" s="38" t="n">
        <f aca="false">IF(Y132=0,0,IF(T132="Backlog",Q132,Q132*Dashboard!$C$10))</f>
        <v>0</v>
      </c>
      <c r="AA132" s="37" t="n">
        <f aca="false">IF($N132="",0,IF(COUNTIF(Dashboard!$C$13:$C$22,$N132)&gt;0,1,0))</f>
        <v>0</v>
      </c>
      <c r="AB132" s="37" t="str">
        <f aca="false">IF($N132="","",IF(COUNTIF($N$8:$N132,$N132)=1,MAX($AB$7:$AB131)+1,""))</f>
        <v/>
      </c>
    </row>
    <row r="133" customFormat="false" ht="15" hidden="false" customHeight="false" outlineLevel="0" collapsed="false">
      <c r="B133" s="32" t="s">
        <v>453</v>
      </c>
      <c r="C133" s="32" t="s">
        <v>140</v>
      </c>
      <c r="D133" s="35" t="n">
        <v>882</v>
      </c>
      <c r="E133" s="32" t="s">
        <v>180</v>
      </c>
      <c r="F133" s="36" t="n">
        <v>46202</v>
      </c>
      <c r="G133" s="32" t="s">
        <v>454</v>
      </c>
      <c r="L133" s="37" t="str">
        <f aca="false">IF(INDEX($A133:$J133,$L$6)&lt;&gt;"",TRIM(LEFT(INDEX($A133:$J133,$L$6),FIND("(",INDEX($A133:$J133,$L$6)&amp;"(")-1)),L132)</f>
        <v>Closed Won</v>
      </c>
      <c r="M133" s="37" t="str">
        <f aca="false">IF(INDEX($A133:$J133,$M$6)="","",INDEX($A133:$J133,$M$6)&amp;"")</f>
        <v>STL Travel (SYD-MEL Return)</v>
      </c>
      <c r="N133" s="37" t="str">
        <f aca="false">IF($M133="","",TRIM(INDEX($A133:$J133,$N$6)&amp;""))</f>
        <v>Deloitte Australia</v>
      </c>
      <c r="O133" s="37" t="str">
        <f aca="false">IF($M133="","",TRIM(INDEX($A133:$J133,$O$6)&amp;""))</f>
        <v>Support</v>
      </c>
      <c r="P133" s="37" t="str">
        <f aca="false">IF($M133="","",IFERROR(IF(INDEX(Settings!$B$41:$B$50,MATCH(O133,Settings!$A$41:$A$50,0))&amp;""="","UNMAPPED",INDEX(Settings!$B$41:$B$50,MATCH(O133,Settings!$A$41:$A$50,0))&amp;""),"UNMAPPED"))</f>
        <v>Onsite</v>
      </c>
      <c r="Q133" s="38" t="n">
        <f aca="false">IF($M133="",0,N(INDEX($A133:$J133,$Q$6)))</f>
        <v>882</v>
      </c>
      <c r="R133" s="39" t="n">
        <f aca="false">IF($M133="","",INDEX($A133:$J133,$R$6))</f>
        <v>46202</v>
      </c>
      <c r="S133" s="37" t="str">
        <f aca="false">IF($M133="","",IFERROR(INDEX(Settings!$B$27:$B$36,MATCH(L133,Settings!$A$27:$A$36,0))&amp;"","UNMAPPED"))</f>
        <v>Won</v>
      </c>
      <c r="T133" s="37" t="str">
        <f aca="false">IF($M133="","",IF(NOT(ISNUMBER(R133)),"NO DATE",IF(S133="Won",IF(R133&gt;Settings!$B$5,"Backlog","Delivered"),IF(S133="Open",IF(R133&gt;Settings!$B$5,"Pipeline","Overdue"),IF(S133="Lost","Lost","UNMAPPED")))))</f>
        <v>Delivered</v>
      </c>
      <c r="U133" s="40" t="n">
        <f aca="false">IF(T133="Backlog",1,IF(OR(T133="Pipeline",T133="Overdue"),N(INDEX(Settings!$C$27:$C$36,MATCH(L133,Settings!$A$27:$A$36,0))),0))</f>
        <v>0</v>
      </c>
      <c r="V133" s="38" t="n">
        <f aca="false">Q133*U133</f>
        <v>0</v>
      </c>
      <c r="W133" s="41" t="n">
        <f aca="false">IF($M133="","",IF(T133="Overdue",IF(Settings!$B$8="Yes",Settings!$B$7,""),IF(ISNUMBER(R133),DATE(YEAR(R133),MONTH(R133),1),"")))</f>
        <v>46174</v>
      </c>
      <c r="X133" s="38" t="n">
        <f aca="false">IF(AND(OR(T133="Backlog",T133="Pipeline",T133="Overdue"),ISNUMBER(W133)),IF(W133&lt;=Settings!$B$6,V133,0),0)</f>
        <v>0</v>
      </c>
      <c r="Y133" s="38" t="n">
        <f aca="false">IF(AND(OR(T133="Backlog",T133="Pipeline",T133="Overdue"),ISNUMBER(W133)),IF(W133&lt;=Settings!$B$6,Q133,0),0)</f>
        <v>0</v>
      </c>
      <c r="Z133" s="38" t="n">
        <f aca="false">IF(Y133=0,0,IF(T133="Backlog",Q133,Q133*Dashboard!$C$10))</f>
        <v>0</v>
      </c>
      <c r="AA133" s="37" t="n">
        <f aca="false">IF($N133="",0,IF(COUNTIF(Dashboard!$C$13:$C$22,$N133)&gt;0,1,0))</f>
        <v>0</v>
      </c>
      <c r="AB133" s="37" t="str">
        <f aca="false">IF($N133="","",IF(COUNTIF($N$8:$N133,$N133)=1,MAX($AB$7:$AB132)+1,""))</f>
        <v/>
      </c>
    </row>
    <row r="134" customFormat="false" ht="15" hidden="false" customHeight="false" outlineLevel="0" collapsed="false">
      <c r="B134" s="32" t="s">
        <v>455</v>
      </c>
      <c r="C134" s="32" t="s">
        <v>456</v>
      </c>
      <c r="D134" s="35" t="n">
        <v>2580</v>
      </c>
      <c r="E134" s="32" t="s">
        <v>145</v>
      </c>
      <c r="F134" s="36" t="n">
        <v>46169</v>
      </c>
      <c r="G134" s="32" t="s">
        <v>457</v>
      </c>
      <c r="L134" s="37" t="str">
        <f aca="false">IF(INDEX($A134:$J134,$L$6)&lt;&gt;"",TRIM(LEFT(INDEX($A134:$J134,$L$6),FIND("(",INDEX($A134:$J134,$L$6)&amp;"(")-1)),L133)</f>
        <v>Closed Won</v>
      </c>
      <c r="M134" s="37" t="str">
        <f aca="false">IF(INDEX($A134:$J134,$M$6)="","",INDEX($A134:$J134,$M$6)&amp;"")</f>
        <v>Causeway Productions - Circana Event - 2.6.26</v>
      </c>
      <c r="N134" s="37" t="str">
        <f aca="false">IF($M134="","",TRIM(INDEX($A134:$J134,$N$6)&amp;""))</f>
        <v>Causeway Production Services</v>
      </c>
      <c r="O134" s="37" t="str">
        <f aca="false">IF($M134="","",TRIM(INDEX($A134:$J134,$O$6)&amp;""))</f>
        <v>Event Production</v>
      </c>
      <c r="P134" s="37" t="str">
        <f aca="false">IF($M134="","",IFERROR(IF(INDEX(Settings!$B$41:$B$50,MATCH(O134,Settings!$A$41:$A$50,0))&amp;""="","UNMAPPED",INDEX(Settings!$B$41:$B$50,MATCH(O134,Settings!$A$41:$A$50,0))&amp;""),"UNMAPPED"))</f>
        <v>Production</v>
      </c>
      <c r="Q134" s="38" t="n">
        <f aca="false">IF($M134="",0,N(INDEX($A134:$J134,$Q$6)))</f>
        <v>2580</v>
      </c>
      <c r="R134" s="39" t="n">
        <f aca="false">IF($M134="","",INDEX($A134:$J134,$R$6))</f>
        <v>46169</v>
      </c>
      <c r="S134" s="37" t="str">
        <f aca="false">IF($M134="","",IFERROR(INDEX(Settings!$B$27:$B$36,MATCH(L134,Settings!$A$27:$A$36,0))&amp;"","UNMAPPED"))</f>
        <v>Won</v>
      </c>
      <c r="T134" s="37" t="str">
        <f aca="false">IF($M134="","",IF(NOT(ISNUMBER(R134)),"NO DATE",IF(S134="Won",IF(R134&gt;Settings!$B$5,"Backlog","Delivered"),IF(S134="Open",IF(R134&gt;Settings!$B$5,"Pipeline","Overdue"),IF(S134="Lost","Lost","UNMAPPED")))))</f>
        <v>Delivered</v>
      </c>
      <c r="U134" s="40" t="n">
        <f aca="false">IF(T134="Backlog",1,IF(OR(T134="Pipeline",T134="Overdue"),N(INDEX(Settings!$C$27:$C$36,MATCH(L134,Settings!$A$27:$A$36,0))),0))</f>
        <v>0</v>
      </c>
      <c r="V134" s="38" t="n">
        <f aca="false">Q134*U134</f>
        <v>0</v>
      </c>
      <c r="W134" s="41" t="n">
        <f aca="false">IF($M134="","",IF(T134="Overdue",IF(Settings!$B$8="Yes",Settings!$B$7,""),IF(ISNUMBER(R134),DATE(YEAR(R134),MONTH(R134),1),"")))</f>
        <v>46143</v>
      </c>
      <c r="X134" s="38" t="n">
        <f aca="false">IF(AND(OR(T134="Backlog",T134="Pipeline",T134="Overdue"),ISNUMBER(W134)),IF(W134&lt;=Settings!$B$6,V134,0),0)</f>
        <v>0</v>
      </c>
      <c r="Y134" s="38" t="n">
        <f aca="false">IF(AND(OR(T134="Backlog",T134="Pipeline",T134="Overdue"),ISNUMBER(W134)),IF(W134&lt;=Settings!$B$6,Q134,0),0)</f>
        <v>0</v>
      </c>
      <c r="Z134" s="38" t="n">
        <f aca="false">IF(Y134=0,0,IF(T134="Backlog",Q134,Q134*Dashboard!$C$10))</f>
        <v>0</v>
      </c>
      <c r="AA134" s="37" t="n">
        <f aca="false">IF($N134="",0,IF(COUNTIF(Dashboard!$C$13:$C$22,$N134)&gt;0,1,0))</f>
        <v>0</v>
      </c>
      <c r="AB134" s="37" t="n">
        <f aca="false">IF($N134="","",IF(COUNTIF($N$8:$N134,$N134)=1,MAX($AB$7:$AB133)+1,""))</f>
        <v>58</v>
      </c>
    </row>
    <row r="135" customFormat="false" ht="15" hidden="false" customHeight="false" outlineLevel="0" collapsed="false">
      <c r="B135" s="32" t="s">
        <v>458</v>
      </c>
      <c r="C135" s="32" t="s">
        <v>253</v>
      </c>
      <c r="D135" s="35" t="n">
        <v>4659</v>
      </c>
      <c r="E135" s="32" t="s">
        <v>208</v>
      </c>
      <c r="F135" s="36" t="n">
        <v>46094</v>
      </c>
      <c r="G135" s="32" t="s">
        <v>459</v>
      </c>
      <c r="L135" s="37" t="str">
        <f aca="false">IF(INDEX($A135:$J135,$L$6)&lt;&gt;"",TRIM(LEFT(INDEX($A135:$J135,$L$6),FIND("(",INDEX($A135:$J135,$L$6)&amp;"(")-1)),L134)</f>
        <v>Closed Won</v>
      </c>
      <c r="M135" s="37" t="str">
        <f aca="false">IF(INDEX($A135:$J135,$M$6)="","",INDEX($A135:$J135,$M$6)&amp;"")</f>
        <v>ASX-Bloomberg - Main and Social Media Videos</v>
      </c>
      <c r="N135" s="37" t="str">
        <f aca="false">IF($M135="","",TRIM(INDEX($A135:$J135,$N$6)&amp;""))</f>
        <v>ASX Australian Securities Exchange</v>
      </c>
      <c r="O135" s="37" t="str">
        <f aca="false">IF($M135="","",TRIM(INDEX($A135:$J135,$O$6)&amp;""))</f>
        <v>Video Production</v>
      </c>
      <c r="P135" s="37" t="str">
        <f aca="false">IF($M135="","",IFERROR(IF(INDEX(Settings!$B$41:$B$50,MATCH(O135,Settings!$A$41:$A$50,0))&amp;""="","UNMAPPED",INDEX(Settings!$B$41:$B$50,MATCH(O135,Settings!$A$41:$A$50,0))&amp;""),"UNMAPPED"))</f>
        <v>Video</v>
      </c>
      <c r="Q135" s="38" t="n">
        <f aca="false">IF($M135="",0,N(INDEX($A135:$J135,$Q$6)))</f>
        <v>4659</v>
      </c>
      <c r="R135" s="39" t="n">
        <f aca="false">IF($M135="","",INDEX($A135:$J135,$R$6))</f>
        <v>46094</v>
      </c>
      <c r="S135" s="37" t="str">
        <f aca="false">IF($M135="","",IFERROR(INDEX(Settings!$B$27:$B$36,MATCH(L135,Settings!$A$27:$A$36,0))&amp;"","UNMAPPED"))</f>
        <v>Won</v>
      </c>
      <c r="T135" s="37" t="str">
        <f aca="false">IF($M135="","",IF(NOT(ISNUMBER(R135)),"NO DATE",IF(S135="Won",IF(R135&gt;Settings!$B$5,"Backlog","Delivered"),IF(S135="Open",IF(R135&gt;Settings!$B$5,"Pipeline","Overdue"),IF(S135="Lost","Lost","UNMAPPED")))))</f>
        <v>Delivered</v>
      </c>
      <c r="U135" s="40" t="n">
        <f aca="false">IF(T135="Backlog",1,IF(OR(T135="Pipeline",T135="Overdue"),N(INDEX(Settings!$C$27:$C$36,MATCH(L135,Settings!$A$27:$A$36,0))),0))</f>
        <v>0</v>
      </c>
      <c r="V135" s="38" t="n">
        <f aca="false">Q135*U135</f>
        <v>0</v>
      </c>
      <c r="W135" s="41" t="n">
        <f aca="false">IF($M135="","",IF(T135="Overdue",IF(Settings!$B$8="Yes",Settings!$B$7,""),IF(ISNUMBER(R135),DATE(YEAR(R135),MONTH(R135),1),"")))</f>
        <v>46082</v>
      </c>
      <c r="X135" s="38" t="n">
        <f aca="false">IF(AND(OR(T135="Backlog",T135="Pipeline",T135="Overdue"),ISNUMBER(W135)),IF(W135&lt;=Settings!$B$6,V135,0),0)</f>
        <v>0</v>
      </c>
      <c r="Y135" s="38" t="n">
        <f aca="false">IF(AND(OR(T135="Backlog",T135="Pipeline",T135="Overdue"),ISNUMBER(W135)),IF(W135&lt;=Settings!$B$6,Q135,0),0)</f>
        <v>0</v>
      </c>
      <c r="Z135" s="38" t="n">
        <f aca="false">IF(Y135=0,0,IF(T135="Backlog",Q135,Q135*Dashboard!$C$10))</f>
        <v>0</v>
      </c>
      <c r="AA135" s="37" t="n">
        <f aca="false">IF($N135="",0,IF(COUNTIF(Dashboard!$C$13:$C$22,$N135)&gt;0,1,0))</f>
        <v>0</v>
      </c>
      <c r="AB135" s="37" t="str">
        <f aca="false">IF($N135="","",IF(COUNTIF($N$8:$N135,$N135)=1,MAX($AB$7:$AB134)+1,""))</f>
        <v/>
      </c>
    </row>
    <row r="136" customFormat="false" ht="15" hidden="false" customHeight="false" outlineLevel="0" collapsed="false">
      <c r="B136" s="32" t="s">
        <v>460</v>
      </c>
      <c r="C136" s="32" t="s">
        <v>244</v>
      </c>
      <c r="D136" s="35" t="n">
        <v>570</v>
      </c>
      <c r="E136" s="32" t="s">
        <v>145</v>
      </c>
      <c r="F136" s="36" t="n">
        <v>46266</v>
      </c>
      <c r="G136" s="32" t="s">
        <v>461</v>
      </c>
      <c r="L136" s="37" t="str">
        <f aca="false">IF(INDEX($A136:$J136,$L$6)&lt;&gt;"",TRIM(LEFT(INDEX($A136:$J136,$L$6),FIND("(",INDEX($A136:$J136,$L$6)&amp;"(")-1)),L135)</f>
        <v>Closed Won</v>
      </c>
      <c r="M136" s="37" t="str">
        <f aca="false">IF(INDEX($A136:$J136,$M$6)="","",INDEX($A136:$J136,$M$6)&amp;"")</f>
        <v>APA - RUOK Day - 10.9.26</v>
      </c>
      <c r="N136" s="37" t="str">
        <f aca="false">IF($M136="","",TRIM(INDEX($A136:$J136,$N$6)&amp;""))</f>
        <v>APA</v>
      </c>
      <c r="O136" s="37" t="str">
        <f aca="false">IF($M136="","",TRIM(INDEX($A136:$J136,$O$6)&amp;""))</f>
        <v>Event Production</v>
      </c>
      <c r="P136" s="37" t="str">
        <f aca="false">IF($M136="","",IFERROR(IF(INDEX(Settings!$B$41:$B$50,MATCH(O136,Settings!$A$41:$A$50,0))&amp;""="","UNMAPPED",INDEX(Settings!$B$41:$B$50,MATCH(O136,Settings!$A$41:$A$50,0))&amp;""),"UNMAPPED"))</f>
        <v>Production</v>
      </c>
      <c r="Q136" s="38" t="n">
        <f aca="false">IF($M136="",0,N(INDEX($A136:$J136,$Q$6)))</f>
        <v>570</v>
      </c>
      <c r="R136" s="39" t="n">
        <f aca="false">IF($M136="","",INDEX($A136:$J136,$R$6))</f>
        <v>46266</v>
      </c>
      <c r="S136" s="37" t="str">
        <f aca="false">IF($M136="","",IFERROR(INDEX(Settings!$B$27:$B$36,MATCH(L136,Settings!$A$27:$A$36,0))&amp;"","UNMAPPED"))</f>
        <v>Won</v>
      </c>
      <c r="T136" s="37" t="str">
        <f aca="false">IF($M136="","",IF(NOT(ISNUMBER(R136)),"NO DATE",IF(S136="Won",IF(R136&gt;Settings!$B$5,"Backlog","Delivered"),IF(S136="Open",IF(R136&gt;Settings!$B$5,"Pipeline","Overdue"),IF(S136="Lost","Lost","UNMAPPED")))))</f>
        <v>Delivered</v>
      </c>
      <c r="U136" s="40" t="n">
        <f aca="false">IF(T136="Backlog",1,IF(OR(T136="Pipeline",T136="Overdue"),N(INDEX(Settings!$C$27:$C$36,MATCH(L136,Settings!$A$27:$A$36,0))),0))</f>
        <v>0</v>
      </c>
      <c r="V136" s="38" t="n">
        <f aca="false">Q136*U136</f>
        <v>0</v>
      </c>
      <c r="W136" s="41" t="n">
        <f aca="false">IF($M136="","",IF(T136="Overdue",IF(Settings!$B$8="Yes",Settings!$B$7,""),IF(ISNUMBER(R136),DATE(YEAR(R136),MONTH(R136),1),"")))</f>
        <v>46266</v>
      </c>
      <c r="X136" s="38" t="n">
        <f aca="false">IF(AND(OR(T136="Backlog",T136="Pipeline",T136="Overdue"),ISNUMBER(W136)),IF(W136&lt;=Settings!$B$6,V136,0),0)</f>
        <v>0</v>
      </c>
      <c r="Y136" s="38" t="n">
        <f aca="false">IF(AND(OR(T136="Backlog",T136="Pipeline",T136="Overdue"),ISNUMBER(W136)),IF(W136&lt;=Settings!$B$6,Q136,0),0)</f>
        <v>0</v>
      </c>
      <c r="Z136" s="38" t="n">
        <f aca="false">IF(Y136=0,0,IF(T136="Backlog",Q136,Q136*Dashboard!$C$10))</f>
        <v>0</v>
      </c>
      <c r="AA136" s="37" t="n">
        <f aca="false">IF($N136="",0,IF(COUNTIF(Dashboard!$C$13:$C$22,$N136)&gt;0,1,0))</f>
        <v>0</v>
      </c>
      <c r="AB136" s="37" t="str">
        <f aca="false">IF($N136="","",IF(COUNTIF($N$8:$N136,$N136)=1,MAX($AB$7:$AB135)+1,""))</f>
        <v/>
      </c>
    </row>
    <row r="137" customFormat="false" ht="15" hidden="false" customHeight="false" outlineLevel="0" collapsed="false">
      <c r="B137" s="32" t="s">
        <v>462</v>
      </c>
      <c r="C137" s="32" t="s">
        <v>154</v>
      </c>
      <c r="D137" s="35" t="n">
        <v>3000</v>
      </c>
      <c r="E137" s="32" t="s">
        <v>180</v>
      </c>
      <c r="F137" s="36" t="n">
        <v>45994</v>
      </c>
      <c r="G137" s="32" t="s">
        <v>463</v>
      </c>
      <c r="L137" s="37" t="str">
        <f aca="false">IF(INDEX($A137:$J137,$L$6)&lt;&gt;"",TRIM(LEFT(INDEX($A137:$J137,$L$6),FIND("(",INDEX($A137:$J137,$L$6)&amp;"(")-1)),L136)</f>
        <v>Closed Won</v>
      </c>
      <c r="M137" s="37" t="str">
        <f aca="false">IF(INDEX($A137:$J137,$M$6)="","",INDEX($A137:$J137,$M$6)&amp;"")</f>
        <v>PWC Perth Support | 3rd - 9th of December 2025</v>
      </c>
      <c r="N137" s="37" t="str">
        <f aca="false">IF($M137="","",TRIM(INDEX($A137:$J137,$N$6)&amp;""))</f>
        <v>PWC</v>
      </c>
      <c r="O137" s="37" t="str">
        <f aca="false">IF($M137="","",TRIM(INDEX($A137:$J137,$O$6)&amp;""))</f>
        <v>Support</v>
      </c>
      <c r="P137" s="37" t="str">
        <f aca="false">IF($M137="","",IFERROR(IF(INDEX(Settings!$B$41:$B$50,MATCH(O137,Settings!$A$41:$A$50,0))&amp;""="","UNMAPPED",INDEX(Settings!$B$41:$B$50,MATCH(O137,Settings!$A$41:$A$50,0))&amp;""),"UNMAPPED"))</f>
        <v>Onsite</v>
      </c>
      <c r="Q137" s="38" t="n">
        <f aca="false">IF($M137="",0,N(INDEX($A137:$J137,$Q$6)))</f>
        <v>3000</v>
      </c>
      <c r="R137" s="39" t="n">
        <f aca="false">IF($M137="","",INDEX($A137:$J137,$R$6))</f>
        <v>45994</v>
      </c>
      <c r="S137" s="37" t="str">
        <f aca="false">IF($M137="","",IFERROR(INDEX(Settings!$B$27:$B$36,MATCH(L137,Settings!$A$27:$A$36,0))&amp;"","UNMAPPED"))</f>
        <v>Won</v>
      </c>
      <c r="T137" s="37" t="str">
        <f aca="false">IF($M137="","",IF(NOT(ISNUMBER(R137)),"NO DATE",IF(S137="Won",IF(R137&gt;Settings!$B$5,"Backlog","Delivered"),IF(S137="Open",IF(R137&gt;Settings!$B$5,"Pipeline","Overdue"),IF(S137="Lost","Lost","UNMAPPED")))))</f>
        <v>Delivered</v>
      </c>
      <c r="U137" s="40" t="n">
        <f aca="false">IF(T137="Backlog",1,IF(OR(T137="Pipeline",T137="Overdue"),N(INDEX(Settings!$C$27:$C$36,MATCH(L137,Settings!$A$27:$A$36,0))),0))</f>
        <v>0</v>
      </c>
      <c r="V137" s="38" t="n">
        <f aca="false">Q137*U137</f>
        <v>0</v>
      </c>
      <c r="W137" s="41" t="n">
        <f aca="false">IF($M137="","",IF(T137="Overdue",IF(Settings!$B$8="Yes",Settings!$B$7,""),IF(ISNUMBER(R137),DATE(YEAR(R137),MONTH(R137),1),"")))</f>
        <v>45992</v>
      </c>
      <c r="X137" s="38" t="n">
        <f aca="false">IF(AND(OR(T137="Backlog",T137="Pipeline",T137="Overdue"),ISNUMBER(W137)),IF(W137&lt;=Settings!$B$6,V137,0),0)</f>
        <v>0</v>
      </c>
      <c r="Y137" s="38" t="n">
        <f aca="false">IF(AND(OR(T137="Backlog",T137="Pipeline",T137="Overdue"),ISNUMBER(W137)),IF(W137&lt;=Settings!$B$6,Q137,0),0)</f>
        <v>0</v>
      </c>
      <c r="Z137" s="38" t="n">
        <f aca="false">IF(Y137=0,0,IF(T137="Backlog",Q137,Q137*Dashboard!$C$10))</f>
        <v>0</v>
      </c>
      <c r="AA137" s="37" t="n">
        <f aca="false">IF($N137="",0,IF(COUNTIF(Dashboard!$C$13:$C$22,$N137)&gt;0,1,0))</f>
        <v>0</v>
      </c>
      <c r="AB137" s="37" t="str">
        <f aca="false">IF($N137="","",IF(COUNTIF($N$8:$N137,$N137)=1,MAX($AB$7:$AB136)+1,""))</f>
        <v/>
      </c>
    </row>
    <row r="138" customFormat="false" ht="15" hidden="false" customHeight="false" outlineLevel="0" collapsed="false">
      <c r="B138" s="32" t="s">
        <v>464</v>
      </c>
      <c r="C138" s="32" t="s">
        <v>205</v>
      </c>
      <c r="D138" s="35" t="n">
        <v>935</v>
      </c>
      <c r="E138" s="32" t="s">
        <v>180</v>
      </c>
      <c r="F138" s="36" t="n">
        <v>45917</v>
      </c>
      <c r="G138" s="32" t="s">
        <v>465</v>
      </c>
      <c r="L138" s="37" t="str">
        <f aca="false">IF(INDEX($A138:$J138,$L$6)&lt;&gt;"",TRIM(LEFT(INDEX($A138:$J138,$L$6),FIND("(",INDEX($A138:$J138,$L$6)&amp;"(")-1)),L137)</f>
        <v>Closed Won</v>
      </c>
      <c r="M138" s="37" t="str">
        <f aca="false">IF(INDEX($A138:$J138,$M$6)="","",INDEX($A138:$J138,$M$6)&amp;"")</f>
        <v>Deloitte Tech Support - 17th of September - FSAA Event</v>
      </c>
      <c r="N138" s="37" t="str">
        <f aca="false">IF($M138="","",TRIM(INDEX($A138:$J138,$N$6)&amp;""))</f>
        <v>Deloitte - Sydney</v>
      </c>
      <c r="O138" s="37" t="str">
        <f aca="false">IF($M138="","",TRIM(INDEX($A138:$J138,$O$6)&amp;""))</f>
        <v>Support</v>
      </c>
      <c r="P138" s="37" t="str">
        <f aca="false">IF($M138="","",IFERROR(IF(INDEX(Settings!$B$41:$B$50,MATCH(O138,Settings!$A$41:$A$50,0))&amp;""="","UNMAPPED",INDEX(Settings!$B$41:$B$50,MATCH(O138,Settings!$A$41:$A$50,0))&amp;""),"UNMAPPED"))</f>
        <v>Onsite</v>
      </c>
      <c r="Q138" s="38" t="n">
        <f aca="false">IF($M138="",0,N(INDEX($A138:$J138,$Q$6)))</f>
        <v>935</v>
      </c>
      <c r="R138" s="39" t="n">
        <f aca="false">IF($M138="","",INDEX($A138:$J138,$R$6))</f>
        <v>45917</v>
      </c>
      <c r="S138" s="37" t="str">
        <f aca="false">IF($M138="","",IFERROR(INDEX(Settings!$B$27:$B$36,MATCH(L138,Settings!$A$27:$A$36,0))&amp;"","UNMAPPED"))</f>
        <v>Won</v>
      </c>
      <c r="T138" s="37" t="str">
        <f aca="false">IF($M138="","",IF(NOT(ISNUMBER(R138)),"NO DATE",IF(S138="Won",IF(R138&gt;Settings!$B$5,"Backlog","Delivered"),IF(S138="Open",IF(R138&gt;Settings!$B$5,"Pipeline","Overdue"),IF(S138="Lost","Lost","UNMAPPED")))))</f>
        <v>Delivered</v>
      </c>
      <c r="U138" s="40" t="n">
        <f aca="false">IF(T138="Backlog",1,IF(OR(T138="Pipeline",T138="Overdue"),N(INDEX(Settings!$C$27:$C$36,MATCH(L138,Settings!$A$27:$A$36,0))),0))</f>
        <v>0</v>
      </c>
      <c r="V138" s="38" t="n">
        <f aca="false">Q138*U138</f>
        <v>0</v>
      </c>
      <c r="W138" s="41" t="n">
        <f aca="false">IF($M138="","",IF(T138="Overdue",IF(Settings!$B$8="Yes",Settings!$B$7,""),IF(ISNUMBER(R138),DATE(YEAR(R138),MONTH(R138),1),"")))</f>
        <v>45901</v>
      </c>
      <c r="X138" s="38" t="n">
        <f aca="false">IF(AND(OR(T138="Backlog",T138="Pipeline",T138="Overdue"),ISNUMBER(W138)),IF(W138&lt;=Settings!$B$6,V138,0),0)</f>
        <v>0</v>
      </c>
      <c r="Y138" s="38" t="n">
        <f aca="false">IF(AND(OR(T138="Backlog",T138="Pipeline",T138="Overdue"),ISNUMBER(W138)),IF(W138&lt;=Settings!$B$6,Q138,0),0)</f>
        <v>0</v>
      </c>
      <c r="Z138" s="38" t="n">
        <f aca="false">IF(Y138=0,0,IF(T138="Backlog",Q138,Q138*Dashboard!$C$10))</f>
        <v>0</v>
      </c>
      <c r="AA138" s="37" t="n">
        <f aca="false">IF($N138="",0,IF(COUNTIF(Dashboard!$C$13:$C$22,$N138)&gt;0,1,0))</f>
        <v>0</v>
      </c>
      <c r="AB138" s="37" t="str">
        <f aca="false">IF($N138="","",IF(COUNTIF($N$8:$N138,$N138)=1,MAX($AB$7:$AB137)+1,""))</f>
        <v/>
      </c>
    </row>
    <row r="139" customFormat="false" ht="15" hidden="false" customHeight="false" outlineLevel="0" collapsed="false">
      <c r="B139" s="32" t="s">
        <v>466</v>
      </c>
      <c r="C139" s="32" t="s">
        <v>244</v>
      </c>
      <c r="D139" s="35" t="n">
        <v>16288</v>
      </c>
      <c r="E139" s="32" t="s">
        <v>141</v>
      </c>
      <c r="F139" s="36" t="n">
        <v>46195</v>
      </c>
      <c r="G139" s="32" t="s">
        <v>467</v>
      </c>
      <c r="L139" s="37" t="str">
        <f aca="false">IF(INDEX($A139:$J139,$L$6)&lt;&gt;"",TRIM(LEFT(INDEX($A139:$J139,$L$6),FIND("(",INDEX($A139:$J139,$L$6)&amp;"(")-1)),L138)</f>
        <v>Closed Won</v>
      </c>
      <c r="M139" s="37" t="str">
        <f aca="false">IF(INDEX($A139:$J139,$M$6)="","",INDEX($A139:$J139,$M$6)&amp;"")</f>
        <v>APA | MEL Eptura ProxyClick Renewal - 2605702</v>
      </c>
      <c r="N139" s="37" t="str">
        <f aca="false">IF($M139="","",TRIM(INDEX($A139:$J139,$N$6)&amp;""))</f>
        <v>APA</v>
      </c>
      <c r="O139" s="37" t="str">
        <f aca="false">IF($M139="","",TRIM(INDEX($A139:$J139,$O$6)&amp;""))</f>
        <v>Integration</v>
      </c>
      <c r="P139" s="37" t="str">
        <f aca="false">IF($M139="","",IFERROR(IF(INDEX(Settings!$B$41:$B$50,MATCH(O139,Settings!$A$41:$A$50,0))&amp;""="","UNMAPPED",INDEX(Settings!$B$41:$B$50,MATCH(O139,Settings!$A$41:$A$50,0))&amp;""),"UNMAPPED"))</f>
        <v>Integration</v>
      </c>
      <c r="Q139" s="38" t="n">
        <f aca="false">IF($M139="",0,N(INDEX($A139:$J139,$Q$6)))</f>
        <v>16288</v>
      </c>
      <c r="R139" s="39" t="n">
        <f aca="false">IF($M139="","",INDEX($A139:$J139,$R$6))</f>
        <v>46195</v>
      </c>
      <c r="S139" s="37" t="str">
        <f aca="false">IF($M139="","",IFERROR(INDEX(Settings!$B$27:$B$36,MATCH(L139,Settings!$A$27:$A$36,0))&amp;"","UNMAPPED"))</f>
        <v>Won</v>
      </c>
      <c r="T139" s="37" t="str">
        <f aca="false">IF($M139="","",IF(NOT(ISNUMBER(R139)),"NO DATE",IF(S139="Won",IF(R139&gt;Settings!$B$5,"Backlog","Delivered"),IF(S139="Open",IF(R139&gt;Settings!$B$5,"Pipeline","Overdue"),IF(S139="Lost","Lost","UNMAPPED")))))</f>
        <v>Delivered</v>
      </c>
      <c r="U139" s="40" t="n">
        <f aca="false">IF(T139="Backlog",1,IF(OR(T139="Pipeline",T139="Overdue"),N(INDEX(Settings!$C$27:$C$36,MATCH(L139,Settings!$A$27:$A$36,0))),0))</f>
        <v>0</v>
      </c>
      <c r="V139" s="38" t="n">
        <f aca="false">Q139*U139</f>
        <v>0</v>
      </c>
      <c r="W139" s="41" t="n">
        <f aca="false">IF($M139="","",IF(T139="Overdue",IF(Settings!$B$8="Yes",Settings!$B$7,""),IF(ISNUMBER(R139),DATE(YEAR(R139),MONTH(R139),1),"")))</f>
        <v>46174</v>
      </c>
      <c r="X139" s="38" t="n">
        <f aca="false">IF(AND(OR(T139="Backlog",T139="Pipeline",T139="Overdue"),ISNUMBER(W139)),IF(W139&lt;=Settings!$B$6,V139,0),0)</f>
        <v>0</v>
      </c>
      <c r="Y139" s="38" t="n">
        <f aca="false">IF(AND(OR(T139="Backlog",T139="Pipeline",T139="Overdue"),ISNUMBER(W139)),IF(W139&lt;=Settings!$B$6,Q139,0),0)</f>
        <v>0</v>
      </c>
      <c r="Z139" s="38" t="n">
        <f aca="false">IF(Y139=0,0,IF(T139="Backlog",Q139,Q139*Dashboard!$C$10))</f>
        <v>0</v>
      </c>
      <c r="AA139" s="37" t="n">
        <f aca="false">IF($N139="",0,IF(COUNTIF(Dashboard!$C$13:$C$22,$N139)&gt;0,1,0))</f>
        <v>0</v>
      </c>
      <c r="AB139" s="37" t="str">
        <f aca="false">IF($N139="","",IF(COUNTIF($N$8:$N139,$N139)=1,MAX($AB$7:$AB138)+1,""))</f>
        <v/>
      </c>
    </row>
    <row r="140" customFormat="false" ht="15" hidden="false" customHeight="false" outlineLevel="0" collapsed="false">
      <c r="B140" s="32" t="s">
        <v>468</v>
      </c>
      <c r="C140" s="32" t="s">
        <v>160</v>
      </c>
      <c r="D140" s="35" t="n">
        <v>1015</v>
      </c>
      <c r="E140" s="32" t="s">
        <v>145</v>
      </c>
      <c r="F140" s="36" t="n">
        <v>45981</v>
      </c>
      <c r="G140" s="32" t="s">
        <v>469</v>
      </c>
      <c r="L140" s="37" t="str">
        <f aca="false">IF(INDEX($A140:$J140,$L$6)&lt;&gt;"",TRIM(LEFT(INDEX($A140:$J140,$L$6),FIND("(",INDEX($A140:$J140,$L$6)&amp;"(")-1)),L139)</f>
        <v>Closed Won</v>
      </c>
      <c r="M140" s="37" t="str">
        <f aca="false">IF(INDEX($A140:$J140,$M$6)="","",INDEX($A140:$J140,$M$6)&amp;"")</f>
        <v>20 &amp; 21.11.25 - Event Workshop</v>
      </c>
      <c r="N140" s="37" t="str">
        <f aca="false">IF($M140="","",TRIM(INDEX($A140:$J140,$N$6)&amp;""))</f>
        <v>Elkiem</v>
      </c>
      <c r="O140" s="37" t="str">
        <f aca="false">IF($M140="","",TRIM(INDEX($A140:$J140,$O$6)&amp;""))</f>
        <v>Event Production</v>
      </c>
      <c r="P140" s="37" t="str">
        <f aca="false">IF($M140="","",IFERROR(IF(INDEX(Settings!$B$41:$B$50,MATCH(O140,Settings!$A$41:$A$50,0))&amp;""="","UNMAPPED",INDEX(Settings!$B$41:$B$50,MATCH(O140,Settings!$A$41:$A$50,0))&amp;""),"UNMAPPED"))</f>
        <v>Production</v>
      </c>
      <c r="Q140" s="38" t="n">
        <f aca="false">IF($M140="",0,N(INDEX($A140:$J140,$Q$6)))</f>
        <v>1015</v>
      </c>
      <c r="R140" s="39" t="n">
        <f aca="false">IF($M140="","",INDEX($A140:$J140,$R$6))</f>
        <v>45981</v>
      </c>
      <c r="S140" s="37" t="str">
        <f aca="false">IF($M140="","",IFERROR(INDEX(Settings!$B$27:$B$36,MATCH(L140,Settings!$A$27:$A$36,0))&amp;"","UNMAPPED"))</f>
        <v>Won</v>
      </c>
      <c r="T140" s="37" t="str">
        <f aca="false">IF($M140="","",IF(NOT(ISNUMBER(R140)),"NO DATE",IF(S140="Won",IF(R140&gt;Settings!$B$5,"Backlog","Delivered"),IF(S140="Open",IF(R140&gt;Settings!$B$5,"Pipeline","Overdue"),IF(S140="Lost","Lost","UNMAPPED")))))</f>
        <v>Delivered</v>
      </c>
      <c r="U140" s="40" t="n">
        <f aca="false">IF(T140="Backlog",1,IF(OR(T140="Pipeline",T140="Overdue"),N(INDEX(Settings!$C$27:$C$36,MATCH(L140,Settings!$A$27:$A$36,0))),0))</f>
        <v>0</v>
      </c>
      <c r="V140" s="38" t="n">
        <f aca="false">Q140*U140</f>
        <v>0</v>
      </c>
      <c r="W140" s="41" t="n">
        <f aca="false">IF($M140="","",IF(T140="Overdue",IF(Settings!$B$8="Yes",Settings!$B$7,""),IF(ISNUMBER(R140),DATE(YEAR(R140),MONTH(R140),1),"")))</f>
        <v>45962</v>
      </c>
      <c r="X140" s="38" t="n">
        <f aca="false">IF(AND(OR(T140="Backlog",T140="Pipeline",T140="Overdue"),ISNUMBER(W140)),IF(W140&lt;=Settings!$B$6,V140,0),0)</f>
        <v>0</v>
      </c>
      <c r="Y140" s="38" t="n">
        <f aca="false">IF(AND(OR(T140="Backlog",T140="Pipeline",T140="Overdue"),ISNUMBER(W140)),IF(W140&lt;=Settings!$B$6,Q140,0),0)</f>
        <v>0</v>
      </c>
      <c r="Z140" s="38" t="n">
        <f aca="false">IF(Y140=0,0,IF(T140="Backlog",Q140,Q140*Dashboard!$C$10))</f>
        <v>0</v>
      </c>
      <c r="AA140" s="37" t="n">
        <f aca="false">IF($N140="",0,IF(COUNTIF(Dashboard!$C$13:$C$22,$N140)&gt;0,1,0))</f>
        <v>0</v>
      </c>
      <c r="AB140" s="37" t="str">
        <f aca="false">IF($N140="","",IF(COUNTIF($N$8:$N140,$N140)=1,MAX($AB$7:$AB139)+1,""))</f>
        <v/>
      </c>
    </row>
    <row r="141" customFormat="false" ht="15" hidden="false" customHeight="false" outlineLevel="0" collapsed="false">
      <c r="B141" s="32" t="s">
        <v>470</v>
      </c>
      <c r="C141" s="32" t="s">
        <v>191</v>
      </c>
      <c r="D141" s="35" t="n">
        <v>712</v>
      </c>
      <c r="E141" s="32" t="s">
        <v>145</v>
      </c>
      <c r="F141" s="36" t="n">
        <v>46173</v>
      </c>
      <c r="G141" s="32" t="s">
        <v>471</v>
      </c>
      <c r="L141" s="37" t="str">
        <f aca="false">IF(INDEX($A141:$J141,$L$6)&lt;&gt;"",TRIM(LEFT(INDEX($A141:$J141,$L$6),FIND("(",INDEX($A141:$J141,$L$6)&amp;"(")-1)),L140)</f>
        <v>Closed Won</v>
      </c>
      <c r="M141" s="37" t="str">
        <f aca="false">IF(INDEX($A141:$J141,$M$6)="","",INDEX($A141:$J141,$M$6)&amp;"")</f>
        <v>CBA LES - May 2026</v>
      </c>
      <c r="N141" s="37" t="str">
        <f aca="false">IF($M141="","",TRIM(INDEX($A141:$J141,$N$6)&amp;""))</f>
        <v>Commonwealth Bank Australia (CBA)</v>
      </c>
      <c r="O141" s="37" t="str">
        <f aca="false">IF($M141="","",TRIM(INDEX($A141:$J141,$O$6)&amp;""))</f>
        <v>Event Production</v>
      </c>
      <c r="P141" s="37" t="str">
        <f aca="false">IF($M141="","",IFERROR(IF(INDEX(Settings!$B$41:$B$50,MATCH(O141,Settings!$A$41:$A$50,0))&amp;""="","UNMAPPED",INDEX(Settings!$B$41:$B$50,MATCH(O141,Settings!$A$41:$A$50,0))&amp;""),"UNMAPPED"))</f>
        <v>Production</v>
      </c>
      <c r="Q141" s="38" t="n">
        <f aca="false">IF($M141="",0,N(INDEX($A141:$J141,$Q$6)))</f>
        <v>712</v>
      </c>
      <c r="R141" s="39" t="n">
        <f aca="false">IF($M141="","",INDEX($A141:$J141,$R$6))</f>
        <v>46173</v>
      </c>
      <c r="S141" s="37" t="str">
        <f aca="false">IF($M141="","",IFERROR(INDEX(Settings!$B$27:$B$36,MATCH(L141,Settings!$A$27:$A$36,0))&amp;"","UNMAPPED"))</f>
        <v>Won</v>
      </c>
      <c r="T141" s="37" t="str">
        <f aca="false">IF($M141="","",IF(NOT(ISNUMBER(R141)),"NO DATE",IF(S141="Won",IF(R141&gt;Settings!$B$5,"Backlog","Delivered"),IF(S141="Open",IF(R141&gt;Settings!$B$5,"Pipeline","Overdue"),IF(S141="Lost","Lost","UNMAPPED")))))</f>
        <v>Delivered</v>
      </c>
      <c r="U141" s="40" t="n">
        <f aca="false">IF(T141="Backlog",1,IF(OR(T141="Pipeline",T141="Overdue"),N(INDEX(Settings!$C$27:$C$36,MATCH(L141,Settings!$A$27:$A$36,0))),0))</f>
        <v>0</v>
      </c>
      <c r="V141" s="38" t="n">
        <f aca="false">Q141*U141</f>
        <v>0</v>
      </c>
      <c r="W141" s="41" t="n">
        <f aca="false">IF($M141="","",IF(T141="Overdue",IF(Settings!$B$8="Yes",Settings!$B$7,""),IF(ISNUMBER(R141),DATE(YEAR(R141),MONTH(R141),1),"")))</f>
        <v>46143</v>
      </c>
      <c r="X141" s="38" t="n">
        <f aca="false">IF(AND(OR(T141="Backlog",T141="Pipeline",T141="Overdue"),ISNUMBER(W141)),IF(W141&lt;=Settings!$B$6,V141,0),0)</f>
        <v>0</v>
      </c>
      <c r="Y141" s="38" t="n">
        <f aca="false">IF(AND(OR(T141="Backlog",T141="Pipeline",T141="Overdue"),ISNUMBER(W141)),IF(W141&lt;=Settings!$B$6,Q141,0),0)</f>
        <v>0</v>
      </c>
      <c r="Z141" s="38" t="n">
        <f aca="false">IF(Y141=0,0,IF(T141="Backlog",Q141,Q141*Dashboard!$C$10))</f>
        <v>0</v>
      </c>
      <c r="AA141" s="37" t="n">
        <f aca="false">IF($N141="",0,IF(COUNTIF(Dashboard!$C$13:$C$22,$N141)&gt;0,1,0))</f>
        <v>0</v>
      </c>
      <c r="AB141" s="37" t="str">
        <f aca="false">IF($N141="","",IF(COUNTIF($N$8:$N141,$N141)=1,MAX($AB$7:$AB140)+1,""))</f>
        <v/>
      </c>
    </row>
    <row r="142" customFormat="false" ht="15" hidden="false" customHeight="false" outlineLevel="0" collapsed="false">
      <c r="B142" s="32" t="s">
        <v>472</v>
      </c>
      <c r="C142" s="32" t="s">
        <v>239</v>
      </c>
      <c r="D142" s="35" t="n">
        <v>11944</v>
      </c>
      <c r="E142" s="32" t="s">
        <v>145</v>
      </c>
      <c r="F142" s="36" t="n">
        <v>45889</v>
      </c>
      <c r="G142" s="32" t="s">
        <v>473</v>
      </c>
      <c r="L142" s="37" t="str">
        <f aca="false">IF(INDEX($A142:$J142,$L$6)&lt;&gt;"",TRIM(LEFT(INDEX($A142:$J142,$L$6),FIND("(",INDEX($A142:$J142,$L$6)&amp;"(")-1)),L141)</f>
        <v>Closed Won</v>
      </c>
      <c r="M142" s="37" t="str">
        <f aca="false">IF(INDEX($A142:$J142,$M$6)="","",INDEX($A142:$J142,$M$6)&amp;"")</f>
        <v>TLC Full Year Results - 20.8.25</v>
      </c>
      <c r="N142" s="37" t="str">
        <f aca="false">IF($M142="","",TRIM(INDEX($A142:$J142,$N$6)&amp;""))</f>
        <v>The Lottery Corporation</v>
      </c>
      <c r="O142" s="37" t="str">
        <f aca="false">IF($M142="","",TRIM(INDEX($A142:$J142,$O$6)&amp;""))</f>
        <v>Event Production</v>
      </c>
      <c r="P142" s="37" t="str">
        <f aca="false">IF($M142="","",IFERROR(IF(INDEX(Settings!$B$41:$B$50,MATCH(O142,Settings!$A$41:$A$50,0))&amp;""="","UNMAPPED",INDEX(Settings!$B$41:$B$50,MATCH(O142,Settings!$A$41:$A$50,0))&amp;""),"UNMAPPED"))</f>
        <v>Production</v>
      </c>
      <c r="Q142" s="38" t="n">
        <f aca="false">IF($M142="",0,N(INDEX($A142:$J142,$Q$6)))</f>
        <v>11944</v>
      </c>
      <c r="R142" s="39" t="n">
        <f aca="false">IF($M142="","",INDEX($A142:$J142,$R$6))</f>
        <v>45889</v>
      </c>
      <c r="S142" s="37" t="str">
        <f aca="false">IF($M142="","",IFERROR(INDEX(Settings!$B$27:$B$36,MATCH(L142,Settings!$A$27:$A$36,0))&amp;"","UNMAPPED"))</f>
        <v>Won</v>
      </c>
      <c r="T142" s="37" t="str">
        <f aca="false">IF($M142="","",IF(NOT(ISNUMBER(R142)),"NO DATE",IF(S142="Won",IF(R142&gt;Settings!$B$5,"Backlog","Delivered"),IF(S142="Open",IF(R142&gt;Settings!$B$5,"Pipeline","Overdue"),IF(S142="Lost","Lost","UNMAPPED")))))</f>
        <v>Delivered</v>
      </c>
      <c r="U142" s="40" t="n">
        <f aca="false">IF(T142="Backlog",1,IF(OR(T142="Pipeline",T142="Overdue"),N(INDEX(Settings!$C$27:$C$36,MATCH(L142,Settings!$A$27:$A$36,0))),0))</f>
        <v>0</v>
      </c>
      <c r="V142" s="38" t="n">
        <f aca="false">Q142*U142</f>
        <v>0</v>
      </c>
      <c r="W142" s="41" t="n">
        <f aca="false">IF($M142="","",IF(T142="Overdue",IF(Settings!$B$8="Yes",Settings!$B$7,""),IF(ISNUMBER(R142),DATE(YEAR(R142),MONTH(R142),1),"")))</f>
        <v>45870</v>
      </c>
      <c r="X142" s="38" t="n">
        <f aca="false">IF(AND(OR(T142="Backlog",T142="Pipeline",T142="Overdue"),ISNUMBER(W142)),IF(W142&lt;=Settings!$B$6,V142,0),0)</f>
        <v>0</v>
      </c>
      <c r="Y142" s="38" t="n">
        <f aca="false">IF(AND(OR(T142="Backlog",T142="Pipeline",T142="Overdue"),ISNUMBER(W142)),IF(W142&lt;=Settings!$B$6,Q142,0),0)</f>
        <v>0</v>
      </c>
      <c r="Z142" s="38" t="n">
        <f aca="false">IF(Y142=0,0,IF(T142="Backlog",Q142,Q142*Dashboard!$C$10))</f>
        <v>0</v>
      </c>
      <c r="AA142" s="37" t="n">
        <f aca="false">IF($N142="",0,IF(COUNTIF(Dashboard!$C$13:$C$22,$N142)&gt;0,1,0))</f>
        <v>0</v>
      </c>
      <c r="AB142" s="37" t="str">
        <f aca="false">IF($N142="","",IF(COUNTIF($N$8:$N142,$N142)=1,MAX($AB$7:$AB141)+1,""))</f>
        <v/>
      </c>
    </row>
    <row r="143" customFormat="false" ht="15" hidden="false" customHeight="false" outlineLevel="0" collapsed="false">
      <c r="B143" s="32" t="s">
        <v>474</v>
      </c>
      <c r="C143" s="32" t="s">
        <v>227</v>
      </c>
      <c r="D143" s="35" t="n">
        <v>10000</v>
      </c>
      <c r="E143" s="32" t="s">
        <v>145</v>
      </c>
      <c r="F143" s="36" t="n">
        <v>45877</v>
      </c>
      <c r="G143" s="32" t="s">
        <v>475</v>
      </c>
      <c r="L143" s="37" t="str">
        <f aca="false">IF(INDEX($A143:$J143,$L$6)&lt;&gt;"",TRIM(LEFT(INDEX($A143:$J143,$L$6),FIND("(",INDEX($A143:$J143,$L$6)&amp;"(")-1)),L142)</f>
        <v>Closed Won</v>
      </c>
      <c r="M143" s="37" t="str">
        <f aca="false">IF(INDEX($A143:$J143,$M$6)="","",INDEX($A143:$J143,$M$6)&amp;"")</f>
        <v>St Catherine's - Sports Lunch 08.08.2025</v>
      </c>
      <c r="N143" s="37" t="str">
        <f aca="false">IF($M143="","",TRIM(INDEX($A143:$J143,$N$6)&amp;""))</f>
        <v>St Catherine's School</v>
      </c>
      <c r="O143" s="37" t="str">
        <f aca="false">IF($M143="","",TRIM(INDEX($A143:$J143,$O$6)&amp;""))</f>
        <v>Event Production</v>
      </c>
      <c r="P143" s="37" t="str">
        <f aca="false">IF($M143="","",IFERROR(IF(INDEX(Settings!$B$41:$B$50,MATCH(O143,Settings!$A$41:$A$50,0))&amp;""="","UNMAPPED",INDEX(Settings!$B$41:$B$50,MATCH(O143,Settings!$A$41:$A$50,0))&amp;""),"UNMAPPED"))</f>
        <v>Production</v>
      </c>
      <c r="Q143" s="38" t="n">
        <f aca="false">IF($M143="",0,N(INDEX($A143:$J143,$Q$6)))</f>
        <v>10000</v>
      </c>
      <c r="R143" s="39" t="n">
        <f aca="false">IF($M143="","",INDEX($A143:$J143,$R$6))</f>
        <v>45877</v>
      </c>
      <c r="S143" s="37" t="str">
        <f aca="false">IF($M143="","",IFERROR(INDEX(Settings!$B$27:$B$36,MATCH(L143,Settings!$A$27:$A$36,0))&amp;"","UNMAPPED"))</f>
        <v>Won</v>
      </c>
      <c r="T143" s="37" t="str">
        <f aca="false">IF($M143="","",IF(NOT(ISNUMBER(R143)),"NO DATE",IF(S143="Won",IF(R143&gt;Settings!$B$5,"Backlog","Delivered"),IF(S143="Open",IF(R143&gt;Settings!$B$5,"Pipeline","Overdue"),IF(S143="Lost","Lost","UNMAPPED")))))</f>
        <v>Delivered</v>
      </c>
      <c r="U143" s="40" t="n">
        <f aca="false">IF(T143="Backlog",1,IF(OR(T143="Pipeline",T143="Overdue"),N(INDEX(Settings!$C$27:$C$36,MATCH(L143,Settings!$A$27:$A$36,0))),0))</f>
        <v>0</v>
      </c>
      <c r="V143" s="38" t="n">
        <f aca="false">Q143*U143</f>
        <v>0</v>
      </c>
      <c r="W143" s="41" t="n">
        <f aca="false">IF($M143="","",IF(T143="Overdue",IF(Settings!$B$8="Yes",Settings!$B$7,""),IF(ISNUMBER(R143),DATE(YEAR(R143),MONTH(R143),1),"")))</f>
        <v>45870</v>
      </c>
      <c r="X143" s="38" t="n">
        <f aca="false">IF(AND(OR(T143="Backlog",T143="Pipeline",T143="Overdue"),ISNUMBER(W143)),IF(W143&lt;=Settings!$B$6,V143,0),0)</f>
        <v>0</v>
      </c>
      <c r="Y143" s="38" t="n">
        <f aca="false">IF(AND(OR(T143="Backlog",T143="Pipeline",T143="Overdue"),ISNUMBER(W143)),IF(W143&lt;=Settings!$B$6,Q143,0),0)</f>
        <v>0</v>
      </c>
      <c r="Z143" s="38" t="n">
        <f aca="false">IF(Y143=0,0,IF(T143="Backlog",Q143,Q143*Dashboard!$C$10))</f>
        <v>0</v>
      </c>
      <c r="AA143" s="37" t="n">
        <f aca="false">IF($N143="",0,IF(COUNTIF(Dashboard!$C$13:$C$22,$N143)&gt;0,1,0))</f>
        <v>0</v>
      </c>
      <c r="AB143" s="37" t="str">
        <f aca="false">IF($N143="","",IF(COUNTIF($N$8:$N143,$N143)=1,MAX($AB$7:$AB142)+1,""))</f>
        <v/>
      </c>
    </row>
    <row r="144" customFormat="false" ht="15" hidden="false" customHeight="false" outlineLevel="0" collapsed="false">
      <c r="B144" s="32" t="s">
        <v>476</v>
      </c>
      <c r="C144" s="32" t="s">
        <v>302</v>
      </c>
      <c r="D144" s="35" t="n">
        <v>550</v>
      </c>
      <c r="E144" s="32" t="s">
        <v>208</v>
      </c>
      <c r="F144" s="36" t="n">
        <v>46219</v>
      </c>
      <c r="G144" s="32" t="s">
        <v>477</v>
      </c>
      <c r="L144" s="37" t="str">
        <f aca="false">IF(INDEX($A144:$J144,$L$6)&lt;&gt;"",TRIM(LEFT(INDEX($A144:$J144,$L$6),FIND("(",INDEX($A144:$J144,$L$6)&amp;"(")-1)),L143)</f>
        <v>Closed Won</v>
      </c>
      <c r="M144" s="37" t="str">
        <f aca="false">IF(INDEX($A144:$J144,$M$6)="","",INDEX($A144:$J144,$M$6)&amp;"")</f>
        <v>Litecard - Event Photography - 16.7.26</v>
      </c>
      <c r="N144" s="37" t="str">
        <f aca="false">IF($M144="","",TRIM(INDEX($A144:$J144,$N$6)&amp;""))</f>
        <v>Litecard Pty Ltd</v>
      </c>
      <c r="O144" s="37" t="str">
        <f aca="false">IF($M144="","",TRIM(INDEX($A144:$J144,$O$6)&amp;""))</f>
        <v>Video Production</v>
      </c>
      <c r="P144" s="37" t="str">
        <f aca="false">IF($M144="","",IFERROR(IF(INDEX(Settings!$B$41:$B$50,MATCH(O144,Settings!$A$41:$A$50,0))&amp;""="","UNMAPPED",INDEX(Settings!$B$41:$B$50,MATCH(O144,Settings!$A$41:$A$50,0))&amp;""),"UNMAPPED"))</f>
        <v>Video</v>
      </c>
      <c r="Q144" s="38" t="n">
        <f aca="false">IF($M144="",0,N(INDEX($A144:$J144,$Q$6)))</f>
        <v>550</v>
      </c>
      <c r="R144" s="39" t="n">
        <f aca="false">IF($M144="","",INDEX($A144:$J144,$R$6))</f>
        <v>46219</v>
      </c>
      <c r="S144" s="37" t="str">
        <f aca="false">IF($M144="","",IFERROR(INDEX(Settings!$B$27:$B$36,MATCH(L144,Settings!$A$27:$A$36,0))&amp;"","UNMAPPED"))</f>
        <v>Won</v>
      </c>
      <c r="T144" s="37" t="str">
        <f aca="false">IF($M144="","",IF(NOT(ISNUMBER(R144)),"NO DATE",IF(S144="Won",IF(R144&gt;Settings!$B$5,"Backlog","Delivered"),IF(S144="Open",IF(R144&gt;Settings!$B$5,"Pipeline","Overdue"),IF(S144="Lost","Lost","UNMAPPED")))))</f>
        <v>Delivered</v>
      </c>
      <c r="U144" s="40" t="n">
        <f aca="false">IF(T144="Backlog",1,IF(OR(T144="Pipeline",T144="Overdue"),N(INDEX(Settings!$C$27:$C$36,MATCH(L144,Settings!$A$27:$A$36,0))),0))</f>
        <v>0</v>
      </c>
      <c r="V144" s="38" t="n">
        <f aca="false">Q144*U144</f>
        <v>0</v>
      </c>
      <c r="W144" s="41" t="n">
        <f aca="false">IF($M144="","",IF(T144="Overdue",IF(Settings!$B$8="Yes",Settings!$B$7,""),IF(ISNUMBER(R144),DATE(YEAR(R144),MONTH(R144),1),"")))</f>
        <v>46204</v>
      </c>
      <c r="X144" s="38" t="n">
        <f aca="false">IF(AND(OR(T144="Backlog",T144="Pipeline",T144="Overdue"),ISNUMBER(W144)),IF(W144&lt;=Settings!$B$6,V144,0),0)</f>
        <v>0</v>
      </c>
      <c r="Y144" s="38" t="n">
        <f aca="false">IF(AND(OR(T144="Backlog",T144="Pipeline",T144="Overdue"),ISNUMBER(W144)),IF(W144&lt;=Settings!$B$6,Q144,0),0)</f>
        <v>0</v>
      </c>
      <c r="Z144" s="38" t="n">
        <f aca="false">IF(Y144=0,0,IF(T144="Backlog",Q144,Q144*Dashboard!$C$10))</f>
        <v>0</v>
      </c>
      <c r="AA144" s="37" t="n">
        <f aca="false">IF($N144="",0,IF(COUNTIF(Dashboard!$C$13:$C$22,$N144)&gt;0,1,0))</f>
        <v>0</v>
      </c>
      <c r="AB144" s="37" t="str">
        <f aca="false">IF($N144="","",IF(COUNTIF($N$8:$N144,$N144)=1,MAX($AB$7:$AB143)+1,""))</f>
        <v/>
      </c>
    </row>
    <row r="145" customFormat="false" ht="15" hidden="false" customHeight="false" outlineLevel="0" collapsed="false">
      <c r="B145" s="32" t="s">
        <v>478</v>
      </c>
      <c r="C145" s="32" t="s">
        <v>479</v>
      </c>
      <c r="D145" s="35" t="n">
        <v>340</v>
      </c>
      <c r="E145" s="32" t="s">
        <v>180</v>
      </c>
      <c r="F145" s="36" t="n">
        <v>45961</v>
      </c>
      <c r="G145" s="32" t="s">
        <v>480</v>
      </c>
      <c r="L145" s="37" t="str">
        <f aca="false">IF(INDEX($A145:$J145,$L$6)&lt;&gt;"",TRIM(LEFT(INDEX($A145:$J145,$L$6),FIND("(",INDEX($A145:$J145,$L$6)&amp;"(")-1)),L144)</f>
        <v>Closed Won</v>
      </c>
      <c r="M145" s="37" t="str">
        <f aca="false">IF(INDEX($A145:$J145,$M$6)="","",INDEX($A145:$J145,$M$6)&amp;"")</f>
        <v>Stone &amp; Chalk AV Support - Sydney</v>
      </c>
      <c r="N145" s="37" t="str">
        <f aca="false">IF($M145="","",TRIM(INDEX($A145:$J145,$N$6)&amp;""))</f>
        <v>Stone &amp; Chalk</v>
      </c>
      <c r="O145" s="37" t="str">
        <f aca="false">IF($M145="","",TRIM(INDEX($A145:$J145,$O$6)&amp;""))</f>
        <v>Support</v>
      </c>
      <c r="P145" s="37" t="str">
        <f aca="false">IF($M145="","",IFERROR(IF(INDEX(Settings!$B$41:$B$50,MATCH(O145,Settings!$A$41:$A$50,0))&amp;""="","UNMAPPED",INDEX(Settings!$B$41:$B$50,MATCH(O145,Settings!$A$41:$A$50,0))&amp;""),"UNMAPPED"))</f>
        <v>Onsite</v>
      </c>
      <c r="Q145" s="38" t="n">
        <f aca="false">IF($M145="",0,N(INDEX($A145:$J145,$Q$6)))</f>
        <v>340</v>
      </c>
      <c r="R145" s="39" t="n">
        <f aca="false">IF($M145="","",INDEX($A145:$J145,$R$6))</f>
        <v>45961</v>
      </c>
      <c r="S145" s="37" t="str">
        <f aca="false">IF($M145="","",IFERROR(INDEX(Settings!$B$27:$B$36,MATCH(L145,Settings!$A$27:$A$36,0))&amp;"","UNMAPPED"))</f>
        <v>Won</v>
      </c>
      <c r="T145" s="37" t="str">
        <f aca="false">IF($M145="","",IF(NOT(ISNUMBER(R145)),"NO DATE",IF(S145="Won",IF(R145&gt;Settings!$B$5,"Backlog","Delivered"),IF(S145="Open",IF(R145&gt;Settings!$B$5,"Pipeline","Overdue"),IF(S145="Lost","Lost","UNMAPPED")))))</f>
        <v>Delivered</v>
      </c>
      <c r="U145" s="40" t="n">
        <f aca="false">IF(T145="Backlog",1,IF(OR(T145="Pipeline",T145="Overdue"),N(INDEX(Settings!$C$27:$C$36,MATCH(L145,Settings!$A$27:$A$36,0))),0))</f>
        <v>0</v>
      </c>
      <c r="V145" s="38" t="n">
        <f aca="false">Q145*U145</f>
        <v>0</v>
      </c>
      <c r="W145" s="41" t="n">
        <f aca="false">IF($M145="","",IF(T145="Overdue",IF(Settings!$B$8="Yes",Settings!$B$7,""),IF(ISNUMBER(R145),DATE(YEAR(R145),MONTH(R145),1),"")))</f>
        <v>45931</v>
      </c>
      <c r="X145" s="38" t="n">
        <f aca="false">IF(AND(OR(T145="Backlog",T145="Pipeline",T145="Overdue"),ISNUMBER(W145)),IF(W145&lt;=Settings!$B$6,V145,0),0)</f>
        <v>0</v>
      </c>
      <c r="Y145" s="38" t="n">
        <f aca="false">IF(AND(OR(T145="Backlog",T145="Pipeline",T145="Overdue"),ISNUMBER(W145)),IF(W145&lt;=Settings!$B$6,Q145,0),0)</f>
        <v>0</v>
      </c>
      <c r="Z145" s="38" t="n">
        <f aca="false">IF(Y145=0,0,IF(T145="Backlog",Q145,Q145*Dashboard!$C$10))</f>
        <v>0</v>
      </c>
      <c r="AA145" s="37" t="n">
        <f aca="false">IF($N145="",0,IF(COUNTIF(Dashboard!$C$13:$C$22,$N145)&gt;0,1,0))</f>
        <v>0</v>
      </c>
      <c r="AB145" s="37" t="n">
        <f aca="false">IF($N145="","",IF(COUNTIF($N$8:$N145,$N145)=1,MAX($AB$7:$AB144)+1,""))</f>
        <v>59</v>
      </c>
    </row>
    <row r="146" customFormat="false" ht="15" hidden="false" customHeight="false" outlineLevel="0" collapsed="false">
      <c r="B146" s="32" t="s">
        <v>481</v>
      </c>
      <c r="C146" s="32" t="s">
        <v>253</v>
      </c>
      <c r="D146" s="35" t="n">
        <v>37579</v>
      </c>
      <c r="E146" s="32" t="s">
        <v>145</v>
      </c>
      <c r="F146" s="36" t="n">
        <v>46241</v>
      </c>
      <c r="G146" s="32" t="s">
        <v>482</v>
      </c>
      <c r="L146" s="37" t="str">
        <f aca="false">IF(INDEX($A146:$J146,$L$6)&lt;&gt;"",TRIM(LEFT(INDEX($A146:$J146,$L$6),FIND("(",INDEX($A146:$J146,$L$6)&amp;"(")-1)),L145)</f>
        <v>Closed Won</v>
      </c>
      <c r="M146" s="37" t="str">
        <f aca="false">IF(INDEX($A146:$J146,$M$6)="","",INDEX($A146:$J146,$M$6)&amp;"")</f>
        <v>ASX - FYR - 13.8.26</v>
      </c>
      <c r="N146" s="37" t="str">
        <f aca="false">IF($M146="","",TRIM(INDEX($A146:$J146,$N$6)&amp;""))</f>
        <v>ASX Australian Securities Exchange</v>
      </c>
      <c r="O146" s="37" t="str">
        <f aca="false">IF($M146="","",TRIM(INDEX($A146:$J146,$O$6)&amp;""))</f>
        <v>Event Production</v>
      </c>
      <c r="P146" s="37" t="str">
        <f aca="false">IF($M146="","",IFERROR(IF(INDEX(Settings!$B$41:$B$50,MATCH(O146,Settings!$A$41:$A$50,0))&amp;""="","UNMAPPED",INDEX(Settings!$B$41:$B$50,MATCH(O146,Settings!$A$41:$A$50,0))&amp;""),"UNMAPPED"))</f>
        <v>Production</v>
      </c>
      <c r="Q146" s="38" t="n">
        <f aca="false">IF($M146="",0,N(INDEX($A146:$J146,$Q$6)))</f>
        <v>37579</v>
      </c>
      <c r="R146" s="39" t="n">
        <f aca="false">IF($M146="","",INDEX($A146:$J146,$R$6))</f>
        <v>46241</v>
      </c>
      <c r="S146" s="37" t="str">
        <f aca="false">IF($M146="","",IFERROR(INDEX(Settings!$B$27:$B$36,MATCH(L146,Settings!$A$27:$A$36,0))&amp;"","UNMAPPED"))</f>
        <v>Won</v>
      </c>
      <c r="T146" s="37" t="str">
        <f aca="false">IF($M146="","",IF(NOT(ISNUMBER(R146)),"NO DATE",IF(S146="Won",IF(R146&gt;Settings!$B$5,"Backlog","Delivered"),IF(S146="Open",IF(R146&gt;Settings!$B$5,"Pipeline","Overdue"),IF(S146="Lost","Lost","UNMAPPED")))))</f>
        <v>Delivered</v>
      </c>
      <c r="U146" s="40" t="n">
        <f aca="false">IF(T146="Backlog",1,IF(OR(T146="Pipeline",T146="Overdue"),N(INDEX(Settings!$C$27:$C$36,MATCH(L146,Settings!$A$27:$A$36,0))),0))</f>
        <v>0</v>
      </c>
      <c r="V146" s="38" t="n">
        <f aca="false">Q146*U146</f>
        <v>0</v>
      </c>
      <c r="W146" s="41" t="n">
        <f aca="false">IF($M146="","",IF(T146="Overdue",IF(Settings!$B$8="Yes",Settings!$B$7,""),IF(ISNUMBER(R146),DATE(YEAR(R146),MONTH(R146),1),"")))</f>
        <v>46235</v>
      </c>
      <c r="X146" s="38" t="n">
        <f aca="false">IF(AND(OR(T146="Backlog",T146="Pipeline",T146="Overdue"),ISNUMBER(W146)),IF(W146&lt;=Settings!$B$6,V146,0),0)</f>
        <v>0</v>
      </c>
      <c r="Y146" s="38" t="n">
        <f aca="false">IF(AND(OR(T146="Backlog",T146="Pipeline",T146="Overdue"),ISNUMBER(W146)),IF(W146&lt;=Settings!$B$6,Q146,0),0)</f>
        <v>0</v>
      </c>
      <c r="Z146" s="38" t="n">
        <f aca="false">IF(Y146=0,0,IF(T146="Backlog",Q146,Q146*Dashboard!$C$10))</f>
        <v>0</v>
      </c>
      <c r="AA146" s="37" t="n">
        <f aca="false">IF($N146="",0,IF(COUNTIF(Dashboard!$C$13:$C$22,$N146)&gt;0,1,0))</f>
        <v>0</v>
      </c>
      <c r="AB146" s="37" t="str">
        <f aca="false">IF($N146="","",IF(COUNTIF($N$8:$N146,$N146)=1,MAX($AB$7:$AB145)+1,""))</f>
        <v/>
      </c>
    </row>
    <row r="147" customFormat="false" ht="15" hidden="false" customHeight="false" outlineLevel="0" collapsed="false">
      <c r="B147" s="32" t="s">
        <v>483</v>
      </c>
      <c r="C147" s="32" t="s">
        <v>160</v>
      </c>
      <c r="D147" s="35" t="n">
        <v>380</v>
      </c>
      <c r="E147" s="32" t="s">
        <v>145</v>
      </c>
      <c r="F147" s="36" t="n">
        <v>46128</v>
      </c>
      <c r="G147" s="32" t="s">
        <v>484</v>
      </c>
      <c r="L147" s="37" t="str">
        <f aca="false">IF(INDEX($A147:$J147,$L$6)&lt;&gt;"",TRIM(LEFT(INDEX($A147:$J147,$L$6),FIND("(",INDEX($A147:$J147,$L$6)&amp;"(")-1)),L146)</f>
        <v>Closed Won</v>
      </c>
      <c r="M147" s="37" t="str">
        <f aca="false">IF(INDEX($A147:$J147,$M$6)="","",INDEX($A147:$J147,$M$6)&amp;"")</f>
        <v>Elkiem Studio Support 16.4.26</v>
      </c>
      <c r="N147" s="37" t="str">
        <f aca="false">IF($M147="","",TRIM(INDEX($A147:$J147,$N$6)&amp;""))</f>
        <v>Elkiem</v>
      </c>
      <c r="O147" s="37" t="str">
        <f aca="false">IF($M147="","",TRIM(INDEX($A147:$J147,$O$6)&amp;""))</f>
        <v>Event Production</v>
      </c>
      <c r="P147" s="37" t="str">
        <f aca="false">IF($M147="","",IFERROR(IF(INDEX(Settings!$B$41:$B$50,MATCH(O147,Settings!$A$41:$A$50,0))&amp;""="","UNMAPPED",INDEX(Settings!$B$41:$B$50,MATCH(O147,Settings!$A$41:$A$50,0))&amp;""),"UNMAPPED"))</f>
        <v>Production</v>
      </c>
      <c r="Q147" s="38" t="n">
        <f aca="false">IF($M147="",0,N(INDEX($A147:$J147,$Q$6)))</f>
        <v>380</v>
      </c>
      <c r="R147" s="39" t="n">
        <f aca="false">IF($M147="","",INDEX($A147:$J147,$R$6))</f>
        <v>46128</v>
      </c>
      <c r="S147" s="37" t="str">
        <f aca="false">IF($M147="","",IFERROR(INDEX(Settings!$B$27:$B$36,MATCH(L147,Settings!$A$27:$A$36,0))&amp;"","UNMAPPED"))</f>
        <v>Won</v>
      </c>
      <c r="T147" s="37" t="str">
        <f aca="false">IF($M147="","",IF(NOT(ISNUMBER(R147)),"NO DATE",IF(S147="Won",IF(R147&gt;Settings!$B$5,"Backlog","Delivered"),IF(S147="Open",IF(R147&gt;Settings!$B$5,"Pipeline","Overdue"),IF(S147="Lost","Lost","UNMAPPED")))))</f>
        <v>Delivered</v>
      </c>
      <c r="U147" s="40" t="n">
        <f aca="false">IF(T147="Backlog",1,IF(OR(T147="Pipeline",T147="Overdue"),N(INDEX(Settings!$C$27:$C$36,MATCH(L147,Settings!$A$27:$A$36,0))),0))</f>
        <v>0</v>
      </c>
      <c r="V147" s="38" t="n">
        <f aca="false">Q147*U147</f>
        <v>0</v>
      </c>
      <c r="W147" s="41" t="n">
        <f aca="false">IF($M147="","",IF(T147="Overdue",IF(Settings!$B$8="Yes",Settings!$B$7,""),IF(ISNUMBER(R147),DATE(YEAR(R147),MONTH(R147),1),"")))</f>
        <v>46113</v>
      </c>
      <c r="X147" s="38" t="n">
        <f aca="false">IF(AND(OR(T147="Backlog",T147="Pipeline",T147="Overdue"),ISNUMBER(W147)),IF(W147&lt;=Settings!$B$6,V147,0),0)</f>
        <v>0</v>
      </c>
      <c r="Y147" s="38" t="n">
        <f aca="false">IF(AND(OR(T147="Backlog",T147="Pipeline",T147="Overdue"),ISNUMBER(W147)),IF(W147&lt;=Settings!$B$6,Q147,0),0)</f>
        <v>0</v>
      </c>
      <c r="Z147" s="38" t="n">
        <f aca="false">IF(Y147=0,0,IF(T147="Backlog",Q147,Q147*Dashboard!$C$10))</f>
        <v>0</v>
      </c>
      <c r="AA147" s="37" t="n">
        <f aca="false">IF($N147="",0,IF(COUNTIF(Dashboard!$C$13:$C$22,$N147)&gt;0,1,0))</f>
        <v>0</v>
      </c>
      <c r="AB147" s="37" t="str">
        <f aca="false">IF($N147="","",IF(COUNTIF($N$8:$N147,$N147)=1,MAX($AB$7:$AB146)+1,""))</f>
        <v/>
      </c>
    </row>
    <row r="148" customFormat="false" ht="15" hidden="false" customHeight="false" outlineLevel="0" collapsed="false">
      <c r="B148" s="32" t="s">
        <v>485</v>
      </c>
      <c r="C148" s="32" t="s">
        <v>154</v>
      </c>
      <c r="D148" s="35" t="n">
        <v>4462</v>
      </c>
      <c r="E148" s="32" t="s">
        <v>180</v>
      </c>
      <c r="F148" s="36" t="n">
        <v>46128</v>
      </c>
      <c r="G148" s="32" t="s">
        <v>486</v>
      </c>
      <c r="L148" s="37" t="str">
        <f aca="false">IF(INDEX($A148:$J148,$L$6)&lt;&gt;"",TRIM(LEFT(INDEX($A148:$J148,$L$6),FIND("(",INDEX($A148:$J148,$L$6)&amp;"(")-1)),L147)</f>
        <v>Closed Won</v>
      </c>
      <c r="M148" s="37" t="str">
        <f aca="false">IF(INDEX($A148:$J148,$M$6)="","",INDEX($A148:$J148,$M$6)&amp;"")</f>
        <v>PWC Melbourne Support | Technician coverage - April - 26041301</v>
      </c>
      <c r="N148" s="37" t="str">
        <f aca="false">IF($M148="","",TRIM(INDEX($A148:$J148,$N$6)&amp;""))</f>
        <v>PWC</v>
      </c>
      <c r="O148" s="37" t="str">
        <f aca="false">IF($M148="","",TRIM(INDEX($A148:$J148,$O$6)&amp;""))</f>
        <v>Support</v>
      </c>
      <c r="P148" s="37" t="str">
        <f aca="false">IF($M148="","",IFERROR(IF(INDEX(Settings!$B$41:$B$50,MATCH(O148,Settings!$A$41:$A$50,0))&amp;""="","UNMAPPED",INDEX(Settings!$B$41:$B$50,MATCH(O148,Settings!$A$41:$A$50,0))&amp;""),"UNMAPPED"))</f>
        <v>Onsite</v>
      </c>
      <c r="Q148" s="38" t="n">
        <f aca="false">IF($M148="",0,N(INDEX($A148:$J148,$Q$6)))</f>
        <v>4462</v>
      </c>
      <c r="R148" s="39" t="n">
        <f aca="false">IF($M148="","",INDEX($A148:$J148,$R$6))</f>
        <v>46128</v>
      </c>
      <c r="S148" s="37" t="str">
        <f aca="false">IF($M148="","",IFERROR(INDEX(Settings!$B$27:$B$36,MATCH(L148,Settings!$A$27:$A$36,0))&amp;"","UNMAPPED"))</f>
        <v>Won</v>
      </c>
      <c r="T148" s="37" t="str">
        <f aca="false">IF($M148="","",IF(NOT(ISNUMBER(R148)),"NO DATE",IF(S148="Won",IF(R148&gt;Settings!$B$5,"Backlog","Delivered"),IF(S148="Open",IF(R148&gt;Settings!$B$5,"Pipeline","Overdue"),IF(S148="Lost","Lost","UNMAPPED")))))</f>
        <v>Delivered</v>
      </c>
      <c r="U148" s="40" t="n">
        <f aca="false">IF(T148="Backlog",1,IF(OR(T148="Pipeline",T148="Overdue"),N(INDEX(Settings!$C$27:$C$36,MATCH(L148,Settings!$A$27:$A$36,0))),0))</f>
        <v>0</v>
      </c>
      <c r="V148" s="38" t="n">
        <f aca="false">Q148*U148</f>
        <v>0</v>
      </c>
      <c r="W148" s="41" t="n">
        <f aca="false">IF($M148="","",IF(T148="Overdue",IF(Settings!$B$8="Yes",Settings!$B$7,""),IF(ISNUMBER(R148),DATE(YEAR(R148),MONTH(R148),1),"")))</f>
        <v>46113</v>
      </c>
      <c r="X148" s="38" t="n">
        <f aca="false">IF(AND(OR(T148="Backlog",T148="Pipeline",T148="Overdue"),ISNUMBER(W148)),IF(W148&lt;=Settings!$B$6,V148,0),0)</f>
        <v>0</v>
      </c>
      <c r="Y148" s="38" t="n">
        <f aca="false">IF(AND(OR(T148="Backlog",T148="Pipeline",T148="Overdue"),ISNUMBER(W148)),IF(W148&lt;=Settings!$B$6,Q148,0),0)</f>
        <v>0</v>
      </c>
      <c r="Z148" s="38" t="n">
        <f aca="false">IF(Y148=0,0,IF(T148="Backlog",Q148,Q148*Dashboard!$C$10))</f>
        <v>0</v>
      </c>
      <c r="AA148" s="37" t="n">
        <f aca="false">IF($N148="",0,IF(COUNTIF(Dashboard!$C$13:$C$22,$N148)&gt;0,1,0))</f>
        <v>0</v>
      </c>
      <c r="AB148" s="37" t="str">
        <f aca="false">IF($N148="","",IF(COUNTIF($N$8:$N148,$N148)=1,MAX($AB$7:$AB147)+1,""))</f>
        <v/>
      </c>
    </row>
    <row r="149" customFormat="false" ht="15" hidden="false" customHeight="false" outlineLevel="0" collapsed="false">
      <c r="B149" s="32" t="s">
        <v>487</v>
      </c>
      <c r="C149" s="32" t="s">
        <v>154</v>
      </c>
      <c r="D149" s="35" t="n">
        <v>589</v>
      </c>
      <c r="E149" s="32" t="s">
        <v>141</v>
      </c>
      <c r="F149" s="36" t="n">
        <v>45898</v>
      </c>
      <c r="G149" s="32" t="s">
        <v>488</v>
      </c>
      <c r="L149" s="37" t="str">
        <f aca="false">IF(INDEX($A149:$J149,$L$6)&lt;&gt;"",TRIM(LEFT(INDEX($A149:$J149,$L$6),FIND("(",INDEX($A149:$J149,$L$6)&amp;"(")-1)),L148)</f>
        <v>Closed Won</v>
      </c>
      <c r="M149" s="37" t="str">
        <f aca="false">IF(INDEX($A149:$J149,$M$6)="","",INDEX($A149:$J149,$M$6)&amp;"")</f>
        <v>Vmix Licence Upgrade</v>
      </c>
      <c r="N149" s="37" t="str">
        <f aca="false">IF($M149="","",TRIM(INDEX($A149:$J149,$N$6)&amp;""))</f>
        <v>PWC</v>
      </c>
      <c r="O149" s="37" t="str">
        <f aca="false">IF($M149="","",TRIM(INDEX($A149:$J149,$O$6)&amp;""))</f>
        <v>Integration</v>
      </c>
      <c r="P149" s="37" t="str">
        <f aca="false">IF($M149="","",IFERROR(IF(INDEX(Settings!$B$41:$B$50,MATCH(O149,Settings!$A$41:$A$50,0))&amp;""="","UNMAPPED",INDEX(Settings!$B$41:$B$50,MATCH(O149,Settings!$A$41:$A$50,0))&amp;""),"UNMAPPED"))</f>
        <v>Integration</v>
      </c>
      <c r="Q149" s="38" t="n">
        <f aca="false">IF($M149="",0,N(INDEX($A149:$J149,$Q$6)))</f>
        <v>589</v>
      </c>
      <c r="R149" s="39" t="n">
        <f aca="false">IF($M149="","",INDEX($A149:$J149,$R$6))</f>
        <v>45898</v>
      </c>
      <c r="S149" s="37" t="str">
        <f aca="false">IF($M149="","",IFERROR(INDEX(Settings!$B$27:$B$36,MATCH(L149,Settings!$A$27:$A$36,0))&amp;"","UNMAPPED"))</f>
        <v>Won</v>
      </c>
      <c r="T149" s="37" t="str">
        <f aca="false">IF($M149="","",IF(NOT(ISNUMBER(R149)),"NO DATE",IF(S149="Won",IF(R149&gt;Settings!$B$5,"Backlog","Delivered"),IF(S149="Open",IF(R149&gt;Settings!$B$5,"Pipeline","Overdue"),IF(S149="Lost","Lost","UNMAPPED")))))</f>
        <v>Delivered</v>
      </c>
      <c r="U149" s="40" t="n">
        <f aca="false">IF(T149="Backlog",1,IF(OR(T149="Pipeline",T149="Overdue"),N(INDEX(Settings!$C$27:$C$36,MATCH(L149,Settings!$A$27:$A$36,0))),0))</f>
        <v>0</v>
      </c>
      <c r="V149" s="38" t="n">
        <f aca="false">Q149*U149</f>
        <v>0</v>
      </c>
      <c r="W149" s="41" t="n">
        <f aca="false">IF($M149="","",IF(T149="Overdue",IF(Settings!$B$8="Yes",Settings!$B$7,""),IF(ISNUMBER(R149),DATE(YEAR(R149),MONTH(R149),1),"")))</f>
        <v>45870</v>
      </c>
      <c r="X149" s="38" t="n">
        <f aca="false">IF(AND(OR(T149="Backlog",T149="Pipeline",T149="Overdue"),ISNUMBER(W149)),IF(W149&lt;=Settings!$B$6,V149,0),0)</f>
        <v>0</v>
      </c>
      <c r="Y149" s="38" t="n">
        <f aca="false">IF(AND(OR(T149="Backlog",T149="Pipeline",T149="Overdue"),ISNUMBER(W149)),IF(W149&lt;=Settings!$B$6,Q149,0),0)</f>
        <v>0</v>
      </c>
      <c r="Z149" s="38" t="n">
        <f aca="false">IF(Y149=0,0,IF(T149="Backlog",Q149,Q149*Dashboard!$C$10))</f>
        <v>0</v>
      </c>
      <c r="AA149" s="37" t="n">
        <f aca="false">IF($N149="",0,IF(COUNTIF(Dashboard!$C$13:$C$22,$N149)&gt;0,1,0))</f>
        <v>0</v>
      </c>
      <c r="AB149" s="37" t="str">
        <f aca="false">IF($N149="","",IF(COUNTIF($N$8:$N149,$N149)=1,MAX($AB$7:$AB148)+1,""))</f>
        <v/>
      </c>
    </row>
    <row r="150" customFormat="false" ht="15" hidden="false" customHeight="false" outlineLevel="0" collapsed="false">
      <c r="B150" s="32" t="s">
        <v>489</v>
      </c>
      <c r="C150" s="32" t="s">
        <v>247</v>
      </c>
      <c r="D150" s="35" t="n">
        <v>8895</v>
      </c>
      <c r="E150" s="32" t="s">
        <v>145</v>
      </c>
      <c r="F150" s="36" t="n">
        <v>45882</v>
      </c>
      <c r="G150" s="32" t="s">
        <v>490</v>
      </c>
      <c r="L150" s="37" t="str">
        <f aca="false">IF(INDEX($A150:$J150,$L$6)&lt;&gt;"",TRIM(LEFT(INDEX($A150:$J150,$L$6),FIND("(",INDEX($A150:$J150,$L$6)&amp;"(")-1)),L149)</f>
        <v>Closed Won</v>
      </c>
      <c r="M150" s="37" t="str">
        <f aca="false">IF(INDEX($A150:$J150,$M$6)="","",INDEX($A150:$J150,$M$6)&amp;"")</f>
        <v>AGL Employee Town Hall - Aug 2025</v>
      </c>
      <c r="N150" s="37" t="str">
        <f aca="false">IF($M150="","",TRIM(INDEX($A150:$J150,$N$6)&amp;""))</f>
        <v>AGL</v>
      </c>
      <c r="O150" s="37" t="str">
        <f aca="false">IF($M150="","",TRIM(INDEX($A150:$J150,$O$6)&amp;""))</f>
        <v>Event Production</v>
      </c>
      <c r="P150" s="37" t="str">
        <f aca="false">IF($M150="","",IFERROR(IF(INDEX(Settings!$B$41:$B$50,MATCH(O150,Settings!$A$41:$A$50,0))&amp;""="","UNMAPPED",INDEX(Settings!$B$41:$B$50,MATCH(O150,Settings!$A$41:$A$50,0))&amp;""),"UNMAPPED"))</f>
        <v>Production</v>
      </c>
      <c r="Q150" s="38" t="n">
        <f aca="false">IF($M150="",0,N(INDEX($A150:$J150,$Q$6)))</f>
        <v>8895</v>
      </c>
      <c r="R150" s="39" t="n">
        <f aca="false">IF($M150="","",INDEX($A150:$J150,$R$6))</f>
        <v>45882</v>
      </c>
      <c r="S150" s="37" t="str">
        <f aca="false">IF($M150="","",IFERROR(INDEX(Settings!$B$27:$B$36,MATCH(L150,Settings!$A$27:$A$36,0))&amp;"","UNMAPPED"))</f>
        <v>Won</v>
      </c>
      <c r="T150" s="37" t="str">
        <f aca="false">IF($M150="","",IF(NOT(ISNUMBER(R150)),"NO DATE",IF(S150="Won",IF(R150&gt;Settings!$B$5,"Backlog","Delivered"),IF(S150="Open",IF(R150&gt;Settings!$B$5,"Pipeline","Overdue"),IF(S150="Lost","Lost","UNMAPPED")))))</f>
        <v>Delivered</v>
      </c>
      <c r="U150" s="40" t="n">
        <f aca="false">IF(T150="Backlog",1,IF(OR(T150="Pipeline",T150="Overdue"),N(INDEX(Settings!$C$27:$C$36,MATCH(L150,Settings!$A$27:$A$36,0))),0))</f>
        <v>0</v>
      </c>
      <c r="V150" s="38" t="n">
        <f aca="false">Q150*U150</f>
        <v>0</v>
      </c>
      <c r="W150" s="41" t="n">
        <f aca="false">IF($M150="","",IF(T150="Overdue",IF(Settings!$B$8="Yes",Settings!$B$7,""),IF(ISNUMBER(R150),DATE(YEAR(R150),MONTH(R150),1),"")))</f>
        <v>45870</v>
      </c>
      <c r="X150" s="38" t="n">
        <f aca="false">IF(AND(OR(T150="Backlog",T150="Pipeline",T150="Overdue"),ISNUMBER(W150)),IF(W150&lt;=Settings!$B$6,V150,0),0)</f>
        <v>0</v>
      </c>
      <c r="Y150" s="38" t="n">
        <f aca="false">IF(AND(OR(T150="Backlog",T150="Pipeline",T150="Overdue"),ISNUMBER(W150)),IF(W150&lt;=Settings!$B$6,Q150,0),0)</f>
        <v>0</v>
      </c>
      <c r="Z150" s="38" t="n">
        <f aca="false">IF(Y150=0,0,IF(T150="Backlog",Q150,Q150*Dashboard!$C$10))</f>
        <v>0</v>
      </c>
      <c r="AA150" s="37" t="n">
        <f aca="false">IF($N150="",0,IF(COUNTIF(Dashboard!$C$13:$C$22,$N150)&gt;0,1,0))</f>
        <v>0</v>
      </c>
      <c r="AB150" s="37" t="str">
        <f aca="false">IF($N150="","",IF(COUNTIF($N$8:$N150,$N150)=1,MAX($AB$7:$AB149)+1,""))</f>
        <v/>
      </c>
    </row>
    <row r="151" customFormat="false" ht="15" hidden="false" customHeight="false" outlineLevel="0" collapsed="false">
      <c r="B151" s="32" t="s">
        <v>491</v>
      </c>
      <c r="C151" s="32" t="s">
        <v>281</v>
      </c>
      <c r="D151" s="35" t="n">
        <v>2881</v>
      </c>
      <c r="E151" s="32" t="s">
        <v>145</v>
      </c>
      <c r="F151" s="36" t="n">
        <v>46358</v>
      </c>
      <c r="G151" s="32" t="s">
        <v>492</v>
      </c>
      <c r="L151" s="37" t="str">
        <f aca="false">IF(INDEX($A151:$J151,$L$6)&lt;&gt;"",TRIM(LEFT(INDEX($A151:$J151,$L$6),FIND("(",INDEX($A151:$J151,$L$6)&amp;"(")-1)),L150)</f>
        <v>Closed Won</v>
      </c>
      <c r="M151" s="37" t="str">
        <f aca="false">IF(INDEX($A151:$J151,$M$6)="","",INDEX($A151:$J151,$M$6)&amp;"")</f>
        <v>RSNSW Ordinary General Meeting 2.12.26</v>
      </c>
      <c r="N151" s="37" t="str">
        <f aca="false">IF($M151="","",TRIM(INDEX($A151:$J151,$N$6)&amp;""))</f>
        <v>The Royal Society of New South Wales</v>
      </c>
      <c r="O151" s="37" t="str">
        <f aca="false">IF($M151="","",TRIM(INDEX($A151:$J151,$O$6)&amp;""))</f>
        <v>Event Production</v>
      </c>
      <c r="P151" s="37" t="str">
        <f aca="false">IF($M151="","",IFERROR(IF(INDEX(Settings!$B$41:$B$50,MATCH(O151,Settings!$A$41:$A$50,0))&amp;""="","UNMAPPED",INDEX(Settings!$B$41:$B$50,MATCH(O151,Settings!$A$41:$A$50,0))&amp;""),"UNMAPPED"))</f>
        <v>Production</v>
      </c>
      <c r="Q151" s="38" t="n">
        <f aca="false">IF($M151="",0,N(INDEX($A151:$J151,$Q$6)))</f>
        <v>2881</v>
      </c>
      <c r="R151" s="39" t="n">
        <f aca="false">IF($M151="","",INDEX($A151:$J151,$R$6))</f>
        <v>46358</v>
      </c>
      <c r="S151" s="37" t="str">
        <f aca="false">IF($M151="","",IFERROR(INDEX(Settings!$B$27:$B$36,MATCH(L151,Settings!$A$27:$A$36,0))&amp;"","UNMAPPED"))</f>
        <v>Won</v>
      </c>
      <c r="T151" s="37" t="str">
        <f aca="false">IF($M151="","",IF(NOT(ISNUMBER(R151)),"NO DATE",IF(S151="Won",IF(R151&gt;Settings!$B$5,"Backlog","Delivered"),IF(S151="Open",IF(R151&gt;Settings!$B$5,"Pipeline","Overdue"),IF(S151="Lost","Lost","UNMAPPED")))))</f>
        <v>Backlog</v>
      </c>
      <c r="U151" s="40" t="n">
        <f aca="false">IF(T151="Backlog",1,IF(OR(T151="Pipeline",T151="Overdue"),N(INDEX(Settings!$C$27:$C$36,MATCH(L151,Settings!$A$27:$A$36,0))),0))</f>
        <v>1</v>
      </c>
      <c r="V151" s="38" t="n">
        <f aca="false">Q151*U151</f>
        <v>2881</v>
      </c>
      <c r="W151" s="41" t="n">
        <f aca="false">IF($M151="","",IF(T151="Overdue",IF(Settings!$B$8="Yes",Settings!$B$7,""),IF(ISNUMBER(R151),DATE(YEAR(R151),MONTH(R151),1),"")))</f>
        <v>46357</v>
      </c>
      <c r="X151" s="38" t="n">
        <f aca="false">IF(AND(OR(T151="Backlog",T151="Pipeline",T151="Overdue"),ISNUMBER(W151)),IF(W151&lt;=Settings!$B$6,V151,0),0)</f>
        <v>2881</v>
      </c>
      <c r="Y151" s="38" t="n">
        <f aca="false">IF(AND(OR(T151="Backlog",T151="Pipeline",T151="Overdue"),ISNUMBER(W151)),IF(W151&lt;=Settings!$B$6,Q151,0),0)</f>
        <v>2881</v>
      </c>
      <c r="Z151" s="38" t="n">
        <f aca="false">IF(Y151=0,0,IF(T151="Backlog",Q151,Q151*Dashboard!$C$10))</f>
        <v>2881</v>
      </c>
      <c r="AA151" s="37" t="n">
        <f aca="false">IF($N151="",0,IF(COUNTIF(Dashboard!$C$13:$C$22,$N151)&gt;0,1,0))</f>
        <v>0</v>
      </c>
      <c r="AB151" s="37" t="str">
        <f aca="false">IF($N151="","",IF(COUNTIF($N$8:$N151,$N151)=1,MAX($AB$7:$AB150)+1,""))</f>
        <v/>
      </c>
    </row>
    <row r="152" customFormat="false" ht="15" hidden="false" customHeight="false" outlineLevel="0" collapsed="false">
      <c r="B152" s="32" t="s">
        <v>493</v>
      </c>
      <c r="C152" s="32" t="s">
        <v>183</v>
      </c>
      <c r="D152" s="35" t="n">
        <v>14602</v>
      </c>
      <c r="E152" s="32" t="s">
        <v>145</v>
      </c>
      <c r="F152" s="36" t="n">
        <v>46184</v>
      </c>
      <c r="G152" s="32" t="s">
        <v>494</v>
      </c>
      <c r="L152" s="37" t="str">
        <f aca="false">IF(INDEX($A152:$J152,$L$6)&lt;&gt;"",TRIM(LEFT(INDEX($A152:$J152,$L$6),FIND("(",INDEX($A152:$J152,$L$6)&amp;"(")-1)),L151)</f>
        <v>Closed Won</v>
      </c>
      <c r="M152" s="37" t="str">
        <f aca="false">IF(INDEX($A152:$J152,$M$6)="","",INDEX($A152:$J152,$M$6)&amp;"")</f>
        <v>Chorus Call - Qube Scheme Meeting - 16.6.26</v>
      </c>
      <c r="N152" s="37" t="str">
        <f aca="false">IF($M152="","",TRIM(INDEX($A152:$J152,$N$6)&amp;""))</f>
        <v>Chorus Call</v>
      </c>
      <c r="O152" s="37" t="str">
        <f aca="false">IF($M152="","",TRIM(INDEX($A152:$J152,$O$6)&amp;""))</f>
        <v>Event Production</v>
      </c>
      <c r="P152" s="37" t="str">
        <f aca="false">IF($M152="","",IFERROR(IF(INDEX(Settings!$B$41:$B$50,MATCH(O152,Settings!$A$41:$A$50,0))&amp;""="","UNMAPPED",INDEX(Settings!$B$41:$B$50,MATCH(O152,Settings!$A$41:$A$50,0))&amp;""),"UNMAPPED"))</f>
        <v>Production</v>
      </c>
      <c r="Q152" s="38" t="n">
        <f aca="false">IF($M152="",0,N(INDEX($A152:$J152,$Q$6)))</f>
        <v>14602</v>
      </c>
      <c r="R152" s="39" t="n">
        <f aca="false">IF($M152="","",INDEX($A152:$J152,$R$6))</f>
        <v>46184</v>
      </c>
      <c r="S152" s="37" t="str">
        <f aca="false">IF($M152="","",IFERROR(INDEX(Settings!$B$27:$B$36,MATCH(L152,Settings!$A$27:$A$36,0))&amp;"","UNMAPPED"))</f>
        <v>Won</v>
      </c>
      <c r="T152" s="37" t="str">
        <f aca="false">IF($M152="","",IF(NOT(ISNUMBER(R152)),"NO DATE",IF(S152="Won",IF(R152&gt;Settings!$B$5,"Backlog","Delivered"),IF(S152="Open",IF(R152&gt;Settings!$B$5,"Pipeline","Overdue"),IF(S152="Lost","Lost","UNMAPPED")))))</f>
        <v>Delivered</v>
      </c>
      <c r="U152" s="40" t="n">
        <f aca="false">IF(T152="Backlog",1,IF(OR(T152="Pipeline",T152="Overdue"),N(INDEX(Settings!$C$27:$C$36,MATCH(L152,Settings!$A$27:$A$36,0))),0))</f>
        <v>0</v>
      </c>
      <c r="V152" s="38" t="n">
        <f aca="false">Q152*U152</f>
        <v>0</v>
      </c>
      <c r="W152" s="41" t="n">
        <f aca="false">IF($M152="","",IF(T152="Overdue",IF(Settings!$B$8="Yes",Settings!$B$7,""),IF(ISNUMBER(R152),DATE(YEAR(R152),MONTH(R152),1),"")))</f>
        <v>46174</v>
      </c>
      <c r="X152" s="38" t="n">
        <f aca="false">IF(AND(OR(T152="Backlog",T152="Pipeline",T152="Overdue"),ISNUMBER(W152)),IF(W152&lt;=Settings!$B$6,V152,0),0)</f>
        <v>0</v>
      </c>
      <c r="Y152" s="38" t="n">
        <f aca="false">IF(AND(OR(T152="Backlog",T152="Pipeline",T152="Overdue"),ISNUMBER(W152)),IF(W152&lt;=Settings!$B$6,Q152,0),0)</f>
        <v>0</v>
      </c>
      <c r="Z152" s="38" t="n">
        <f aca="false">IF(Y152=0,0,IF(T152="Backlog",Q152,Q152*Dashboard!$C$10))</f>
        <v>0</v>
      </c>
      <c r="AA152" s="37" t="n">
        <f aca="false">IF($N152="",0,IF(COUNTIF(Dashboard!$C$13:$C$22,$N152)&gt;0,1,0))</f>
        <v>0</v>
      </c>
      <c r="AB152" s="37" t="str">
        <f aca="false">IF($N152="","",IF(COUNTIF($N$8:$N152,$N152)=1,MAX($AB$7:$AB151)+1,""))</f>
        <v/>
      </c>
    </row>
    <row r="153" customFormat="false" ht="15" hidden="false" customHeight="false" outlineLevel="0" collapsed="false">
      <c r="B153" s="32" t="s">
        <v>495</v>
      </c>
      <c r="C153" s="32" t="s">
        <v>154</v>
      </c>
      <c r="D153" s="35" t="n">
        <v>85580</v>
      </c>
      <c r="E153" s="32" t="s">
        <v>180</v>
      </c>
      <c r="F153" s="36" t="n">
        <v>46197</v>
      </c>
      <c r="G153" s="32" t="s">
        <v>496</v>
      </c>
      <c r="L153" s="37" t="str">
        <f aca="false">IF(INDEX($A153:$J153,$L$6)&lt;&gt;"",TRIM(LEFT(INDEX($A153:$J153,$L$6),FIND("(",INDEX($A153:$J153,$L$6)&amp;"(")-1)),L152)</f>
        <v>Closed Won</v>
      </c>
      <c r="M153" s="37" t="str">
        <f aca="false">IF(INDEX($A153:$J153,$M$6)="","",INDEX($A153:$J153,$M$6)&amp;"")</f>
        <v>PWC - Tech Hub Support - Brisbane 12 months - Part Time | 2605604</v>
      </c>
      <c r="N153" s="37" t="str">
        <f aca="false">IF($M153="","",TRIM(INDEX($A153:$J153,$N$6)&amp;""))</f>
        <v>PWC</v>
      </c>
      <c r="O153" s="37" t="str">
        <f aca="false">IF($M153="","",TRIM(INDEX($A153:$J153,$O$6)&amp;""))</f>
        <v>Support</v>
      </c>
      <c r="P153" s="37" t="str">
        <f aca="false">IF($M153="","",IFERROR(IF(INDEX(Settings!$B$41:$B$50,MATCH(O153,Settings!$A$41:$A$50,0))&amp;""="","UNMAPPED",INDEX(Settings!$B$41:$B$50,MATCH(O153,Settings!$A$41:$A$50,0))&amp;""),"UNMAPPED"))</f>
        <v>Onsite</v>
      </c>
      <c r="Q153" s="38" t="n">
        <f aca="false">IF($M153="",0,N(INDEX($A153:$J153,$Q$6)))</f>
        <v>85580</v>
      </c>
      <c r="R153" s="39" t="n">
        <f aca="false">IF($M153="","",INDEX($A153:$J153,$R$6))</f>
        <v>46197</v>
      </c>
      <c r="S153" s="37" t="str">
        <f aca="false">IF($M153="","",IFERROR(INDEX(Settings!$B$27:$B$36,MATCH(L153,Settings!$A$27:$A$36,0))&amp;"","UNMAPPED"))</f>
        <v>Won</v>
      </c>
      <c r="T153" s="37" t="str">
        <f aca="false">IF($M153="","",IF(NOT(ISNUMBER(R153)),"NO DATE",IF(S153="Won",IF(R153&gt;Settings!$B$5,"Backlog","Delivered"),IF(S153="Open",IF(R153&gt;Settings!$B$5,"Pipeline","Overdue"),IF(S153="Lost","Lost","UNMAPPED")))))</f>
        <v>Delivered</v>
      </c>
      <c r="U153" s="40" t="n">
        <f aca="false">IF(T153="Backlog",1,IF(OR(T153="Pipeline",T153="Overdue"),N(INDEX(Settings!$C$27:$C$36,MATCH(L153,Settings!$A$27:$A$36,0))),0))</f>
        <v>0</v>
      </c>
      <c r="V153" s="38" t="n">
        <f aca="false">Q153*U153</f>
        <v>0</v>
      </c>
      <c r="W153" s="41" t="n">
        <f aca="false">IF($M153="","",IF(T153="Overdue",IF(Settings!$B$8="Yes",Settings!$B$7,""),IF(ISNUMBER(R153),DATE(YEAR(R153),MONTH(R153),1),"")))</f>
        <v>46174</v>
      </c>
      <c r="X153" s="38" t="n">
        <f aca="false">IF(AND(OR(T153="Backlog",T153="Pipeline",T153="Overdue"),ISNUMBER(W153)),IF(W153&lt;=Settings!$B$6,V153,0),0)</f>
        <v>0</v>
      </c>
      <c r="Y153" s="38" t="n">
        <f aca="false">IF(AND(OR(T153="Backlog",T153="Pipeline",T153="Overdue"),ISNUMBER(W153)),IF(W153&lt;=Settings!$B$6,Q153,0),0)</f>
        <v>0</v>
      </c>
      <c r="Z153" s="38" t="n">
        <f aca="false">IF(Y153=0,0,IF(T153="Backlog",Q153,Q153*Dashboard!$C$10))</f>
        <v>0</v>
      </c>
      <c r="AA153" s="37" t="n">
        <f aca="false">IF($N153="",0,IF(COUNTIF(Dashboard!$C$13:$C$22,$N153)&gt;0,1,0))</f>
        <v>0</v>
      </c>
      <c r="AB153" s="37" t="str">
        <f aca="false">IF($N153="","",IF(COUNTIF($N$8:$N153,$N153)=1,MAX($AB$7:$AB152)+1,""))</f>
        <v/>
      </c>
    </row>
    <row r="154" customFormat="false" ht="15" hidden="false" customHeight="false" outlineLevel="0" collapsed="false">
      <c r="B154" s="32" t="s">
        <v>497</v>
      </c>
      <c r="C154" s="32" t="s">
        <v>154</v>
      </c>
      <c r="D154" s="35" t="n">
        <v>1810</v>
      </c>
      <c r="E154" s="32" t="s">
        <v>145</v>
      </c>
      <c r="F154" s="36" t="n">
        <v>46044</v>
      </c>
      <c r="G154" s="32" t="s">
        <v>498</v>
      </c>
      <c r="L154" s="37" t="str">
        <f aca="false">IF(INDEX($A154:$J154,$L$6)&lt;&gt;"",TRIM(LEFT(INDEX($A154:$J154,$L$6),FIND("(",INDEX($A154:$J154,$L$6)&amp;"(")-1)),L153)</f>
        <v>Closed Won</v>
      </c>
      <c r="M154" s="37" t="str">
        <f aca="false">IF(INDEX($A154:$J154,$M$6)="","",INDEX($A154:$J154,$M$6)&amp;"")</f>
        <v>PWC Studio GB Session | 22.1.26</v>
      </c>
      <c r="N154" s="37" t="str">
        <f aca="false">IF($M154="","",TRIM(INDEX($A154:$J154,$N$6)&amp;""))</f>
        <v>PWC</v>
      </c>
      <c r="O154" s="37" t="str">
        <f aca="false">IF($M154="","",TRIM(INDEX($A154:$J154,$O$6)&amp;""))</f>
        <v>Event Production</v>
      </c>
      <c r="P154" s="37" t="str">
        <f aca="false">IF($M154="","",IFERROR(IF(INDEX(Settings!$B$41:$B$50,MATCH(O154,Settings!$A$41:$A$50,0))&amp;""="","UNMAPPED",INDEX(Settings!$B$41:$B$50,MATCH(O154,Settings!$A$41:$A$50,0))&amp;""),"UNMAPPED"))</f>
        <v>Production</v>
      </c>
      <c r="Q154" s="38" t="n">
        <f aca="false">IF($M154="",0,N(INDEX($A154:$J154,$Q$6)))</f>
        <v>1810</v>
      </c>
      <c r="R154" s="39" t="n">
        <f aca="false">IF($M154="","",INDEX($A154:$J154,$R$6))</f>
        <v>46044</v>
      </c>
      <c r="S154" s="37" t="str">
        <f aca="false">IF($M154="","",IFERROR(INDEX(Settings!$B$27:$B$36,MATCH(L154,Settings!$A$27:$A$36,0))&amp;"","UNMAPPED"))</f>
        <v>Won</v>
      </c>
      <c r="T154" s="37" t="str">
        <f aca="false">IF($M154="","",IF(NOT(ISNUMBER(R154)),"NO DATE",IF(S154="Won",IF(R154&gt;Settings!$B$5,"Backlog","Delivered"),IF(S154="Open",IF(R154&gt;Settings!$B$5,"Pipeline","Overdue"),IF(S154="Lost","Lost","UNMAPPED")))))</f>
        <v>Delivered</v>
      </c>
      <c r="U154" s="40" t="n">
        <f aca="false">IF(T154="Backlog",1,IF(OR(T154="Pipeline",T154="Overdue"),N(INDEX(Settings!$C$27:$C$36,MATCH(L154,Settings!$A$27:$A$36,0))),0))</f>
        <v>0</v>
      </c>
      <c r="V154" s="38" t="n">
        <f aca="false">Q154*U154</f>
        <v>0</v>
      </c>
      <c r="W154" s="41" t="n">
        <f aca="false">IF($M154="","",IF(T154="Overdue",IF(Settings!$B$8="Yes",Settings!$B$7,""),IF(ISNUMBER(R154),DATE(YEAR(R154),MONTH(R154),1),"")))</f>
        <v>46023</v>
      </c>
      <c r="X154" s="38" t="n">
        <f aca="false">IF(AND(OR(T154="Backlog",T154="Pipeline",T154="Overdue"),ISNUMBER(W154)),IF(W154&lt;=Settings!$B$6,V154,0),0)</f>
        <v>0</v>
      </c>
      <c r="Y154" s="38" t="n">
        <f aca="false">IF(AND(OR(T154="Backlog",T154="Pipeline",T154="Overdue"),ISNUMBER(W154)),IF(W154&lt;=Settings!$B$6,Q154,0),0)</f>
        <v>0</v>
      </c>
      <c r="Z154" s="38" t="n">
        <f aca="false">IF(Y154=0,0,IF(T154="Backlog",Q154,Q154*Dashboard!$C$10))</f>
        <v>0</v>
      </c>
      <c r="AA154" s="37" t="n">
        <f aca="false">IF($N154="",0,IF(COUNTIF(Dashboard!$C$13:$C$22,$N154)&gt;0,1,0))</f>
        <v>0</v>
      </c>
      <c r="AB154" s="37" t="str">
        <f aca="false">IF($N154="","",IF(COUNTIF($N$8:$N154,$N154)=1,MAX($AB$7:$AB153)+1,""))</f>
        <v/>
      </c>
    </row>
    <row r="155" customFormat="false" ht="15" hidden="false" customHeight="false" outlineLevel="0" collapsed="false">
      <c r="B155" s="32" t="s">
        <v>499</v>
      </c>
      <c r="C155" s="32" t="s">
        <v>154</v>
      </c>
      <c r="D155" s="35" t="n">
        <v>1200</v>
      </c>
      <c r="E155" s="32" t="s">
        <v>180</v>
      </c>
      <c r="F155" s="36" t="n">
        <v>45898</v>
      </c>
      <c r="G155" s="32" t="s">
        <v>500</v>
      </c>
      <c r="L155" s="37" t="str">
        <f aca="false">IF(INDEX($A155:$J155,$L$6)&lt;&gt;"",TRIM(LEFT(INDEX($A155:$J155,$L$6),FIND("(",INDEX($A155:$J155,$L$6)&amp;"(")-1)),L154)</f>
        <v>Closed Won</v>
      </c>
      <c r="M155" s="37" t="str">
        <f aca="false">IF(INDEX($A155:$J155,$M$6)="","",INDEX($A155:$J155,$M$6)&amp;"")</f>
        <v>PWC Sydney Support | AV Support for 2 day's</v>
      </c>
      <c r="N155" s="37" t="str">
        <f aca="false">IF($M155="","",TRIM(INDEX($A155:$J155,$N$6)&amp;""))</f>
        <v>PWC</v>
      </c>
      <c r="O155" s="37" t="str">
        <f aca="false">IF($M155="","",TRIM(INDEX($A155:$J155,$O$6)&amp;""))</f>
        <v>Support</v>
      </c>
      <c r="P155" s="37" t="str">
        <f aca="false">IF($M155="","",IFERROR(IF(INDEX(Settings!$B$41:$B$50,MATCH(O155,Settings!$A$41:$A$50,0))&amp;""="","UNMAPPED",INDEX(Settings!$B$41:$B$50,MATCH(O155,Settings!$A$41:$A$50,0))&amp;""),"UNMAPPED"))</f>
        <v>Onsite</v>
      </c>
      <c r="Q155" s="38" t="n">
        <f aca="false">IF($M155="",0,N(INDEX($A155:$J155,$Q$6)))</f>
        <v>1200</v>
      </c>
      <c r="R155" s="39" t="n">
        <f aca="false">IF($M155="","",INDEX($A155:$J155,$R$6))</f>
        <v>45898</v>
      </c>
      <c r="S155" s="37" t="str">
        <f aca="false">IF($M155="","",IFERROR(INDEX(Settings!$B$27:$B$36,MATCH(L155,Settings!$A$27:$A$36,0))&amp;"","UNMAPPED"))</f>
        <v>Won</v>
      </c>
      <c r="T155" s="37" t="str">
        <f aca="false">IF($M155="","",IF(NOT(ISNUMBER(R155)),"NO DATE",IF(S155="Won",IF(R155&gt;Settings!$B$5,"Backlog","Delivered"),IF(S155="Open",IF(R155&gt;Settings!$B$5,"Pipeline","Overdue"),IF(S155="Lost","Lost","UNMAPPED")))))</f>
        <v>Delivered</v>
      </c>
      <c r="U155" s="40" t="n">
        <f aca="false">IF(T155="Backlog",1,IF(OR(T155="Pipeline",T155="Overdue"),N(INDEX(Settings!$C$27:$C$36,MATCH(L155,Settings!$A$27:$A$36,0))),0))</f>
        <v>0</v>
      </c>
      <c r="V155" s="38" t="n">
        <f aca="false">Q155*U155</f>
        <v>0</v>
      </c>
      <c r="W155" s="41" t="n">
        <f aca="false">IF($M155="","",IF(T155="Overdue",IF(Settings!$B$8="Yes",Settings!$B$7,""),IF(ISNUMBER(R155),DATE(YEAR(R155),MONTH(R155),1),"")))</f>
        <v>45870</v>
      </c>
      <c r="X155" s="38" t="n">
        <f aca="false">IF(AND(OR(T155="Backlog",T155="Pipeline",T155="Overdue"),ISNUMBER(W155)),IF(W155&lt;=Settings!$B$6,V155,0),0)</f>
        <v>0</v>
      </c>
      <c r="Y155" s="38" t="n">
        <f aca="false">IF(AND(OR(T155="Backlog",T155="Pipeline",T155="Overdue"),ISNUMBER(W155)),IF(W155&lt;=Settings!$B$6,Q155,0),0)</f>
        <v>0</v>
      </c>
      <c r="Z155" s="38" t="n">
        <f aca="false">IF(Y155=0,0,IF(T155="Backlog",Q155,Q155*Dashboard!$C$10))</f>
        <v>0</v>
      </c>
      <c r="AA155" s="37" t="n">
        <f aca="false">IF($N155="",0,IF(COUNTIF(Dashboard!$C$13:$C$22,$N155)&gt;0,1,0))</f>
        <v>0</v>
      </c>
      <c r="AB155" s="37" t="str">
        <f aca="false">IF($N155="","",IF(COUNTIF($N$8:$N155,$N155)=1,MAX($AB$7:$AB154)+1,""))</f>
        <v/>
      </c>
    </row>
    <row r="156" customFormat="false" ht="15" hidden="false" customHeight="false" outlineLevel="0" collapsed="false">
      <c r="B156" s="32" t="s">
        <v>501</v>
      </c>
      <c r="C156" s="32" t="s">
        <v>239</v>
      </c>
      <c r="D156" s="35" t="n">
        <v>27500</v>
      </c>
      <c r="E156" s="32" t="s">
        <v>145</v>
      </c>
      <c r="F156" s="36" t="n">
        <v>45580</v>
      </c>
      <c r="G156" s="32" t="s">
        <v>502</v>
      </c>
      <c r="L156" s="37" t="str">
        <f aca="false">IF(INDEX($A156:$J156,$L$6)&lt;&gt;"",TRIM(LEFT(INDEX($A156:$J156,$L$6),FIND("(",INDEX($A156:$J156,$L$6)&amp;"(")-1)),L155)</f>
        <v>Closed Won</v>
      </c>
      <c r="M156" s="37" t="str">
        <f aca="false">IF(INDEX($A156:$J156,$M$6)="","",INDEX($A156:$J156,$M$6)&amp;"")</f>
        <v>Annual General Meeting - 15.10.25</v>
      </c>
      <c r="N156" s="37" t="str">
        <f aca="false">IF($M156="","",TRIM(INDEX($A156:$J156,$N$6)&amp;""))</f>
        <v>The Lottery Corporation</v>
      </c>
      <c r="O156" s="37" t="str">
        <f aca="false">IF($M156="","",TRIM(INDEX($A156:$J156,$O$6)&amp;""))</f>
        <v>Event Production</v>
      </c>
      <c r="P156" s="37" t="str">
        <f aca="false">IF($M156="","",IFERROR(IF(INDEX(Settings!$B$41:$B$50,MATCH(O156,Settings!$A$41:$A$50,0))&amp;""="","UNMAPPED",INDEX(Settings!$B$41:$B$50,MATCH(O156,Settings!$A$41:$A$50,0))&amp;""),"UNMAPPED"))</f>
        <v>Production</v>
      </c>
      <c r="Q156" s="38" t="n">
        <f aca="false">IF($M156="",0,N(INDEX($A156:$J156,$Q$6)))</f>
        <v>27500</v>
      </c>
      <c r="R156" s="39" t="n">
        <f aca="false">IF($M156="","",INDEX($A156:$J156,$R$6))</f>
        <v>45580</v>
      </c>
      <c r="S156" s="37" t="str">
        <f aca="false">IF($M156="","",IFERROR(INDEX(Settings!$B$27:$B$36,MATCH(L156,Settings!$A$27:$A$36,0))&amp;"","UNMAPPED"))</f>
        <v>Won</v>
      </c>
      <c r="T156" s="37" t="str">
        <f aca="false">IF($M156="","",IF(NOT(ISNUMBER(R156)),"NO DATE",IF(S156="Won",IF(R156&gt;Settings!$B$5,"Backlog","Delivered"),IF(S156="Open",IF(R156&gt;Settings!$B$5,"Pipeline","Overdue"),IF(S156="Lost","Lost","UNMAPPED")))))</f>
        <v>Delivered</v>
      </c>
      <c r="U156" s="40" t="n">
        <f aca="false">IF(T156="Backlog",1,IF(OR(T156="Pipeline",T156="Overdue"),N(INDEX(Settings!$C$27:$C$36,MATCH(L156,Settings!$A$27:$A$36,0))),0))</f>
        <v>0</v>
      </c>
      <c r="V156" s="38" t="n">
        <f aca="false">Q156*U156</f>
        <v>0</v>
      </c>
      <c r="W156" s="41" t="n">
        <f aca="false">IF($M156="","",IF(T156="Overdue",IF(Settings!$B$8="Yes",Settings!$B$7,""),IF(ISNUMBER(R156),DATE(YEAR(R156),MONTH(R156),1),"")))</f>
        <v>45566</v>
      </c>
      <c r="X156" s="38" t="n">
        <f aca="false">IF(AND(OR(T156="Backlog",T156="Pipeline",T156="Overdue"),ISNUMBER(W156)),IF(W156&lt;=Settings!$B$6,V156,0),0)</f>
        <v>0</v>
      </c>
      <c r="Y156" s="38" t="n">
        <f aca="false">IF(AND(OR(T156="Backlog",T156="Pipeline",T156="Overdue"),ISNUMBER(W156)),IF(W156&lt;=Settings!$B$6,Q156,0),0)</f>
        <v>0</v>
      </c>
      <c r="Z156" s="38" t="n">
        <f aca="false">IF(Y156=0,0,IF(T156="Backlog",Q156,Q156*Dashboard!$C$10))</f>
        <v>0</v>
      </c>
      <c r="AA156" s="37" t="n">
        <f aca="false">IF($N156="",0,IF(COUNTIF(Dashboard!$C$13:$C$22,$N156)&gt;0,1,0))</f>
        <v>0</v>
      </c>
      <c r="AB156" s="37" t="str">
        <f aca="false">IF($N156="","",IF(COUNTIF($N$8:$N156,$N156)=1,MAX($AB$7:$AB155)+1,""))</f>
        <v/>
      </c>
    </row>
    <row r="157" customFormat="false" ht="15" hidden="false" customHeight="false" outlineLevel="0" collapsed="false">
      <c r="B157" s="32" t="s">
        <v>503</v>
      </c>
      <c r="C157" s="32" t="s">
        <v>504</v>
      </c>
      <c r="D157" s="35" t="n">
        <v>2511</v>
      </c>
      <c r="E157" s="32" t="s">
        <v>208</v>
      </c>
      <c r="F157" s="36" t="n">
        <v>46353</v>
      </c>
      <c r="G157" s="32" t="s">
        <v>505</v>
      </c>
      <c r="L157" s="37" t="str">
        <f aca="false">IF(INDEX($A157:$J157,$L$6)&lt;&gt;"",TRIM(LEFT(INDEX($A157:$J157,$L$6),FIND("(",INDEX($A157:$J157,$L$6)&amp;"(")-1)),L156)</f>
        <v>Closed Won</v>
      </c>
      <c r="M157" s="37" t="str">
        <f aca="false">IF(INDEX($A157:$J157,$M$6)="","",INDEX($A157:$J157,$M$6)&amp;"")</f>
        <v>End of Year Concert Videos 2026</v>
      </c>
      <c r="N157" s="37" t="str">
        <f aca="false">IF($M157="","",TRIM(INDEX($A157:$J157,$N$6)&amp;""))</f>
        <v>N2 Dance Productions</v>
      </c>
      <c r="O157" s="37" t="str">
        <f aca="false">IF($M157="","",TRIM(INDEX($A157:$J157,$O$6)&amp;""))</f>
        <v>Video Production</v>
      </c>
      <c r="P157" s="37" t="str">
        <f aca="false">IF($M157="","",IFERROR(IF(INDEX(Settings!$B$41:$B$50,MATCH(O157,Settings!$A$41:$A$50,0))&amp;""="","UNMAPPED",INDEX(Settings!$B$41:$B$50,MATCH(O157,Settings!$A$41:$A$50,0))&amp;""),"UNMAPPED"))</f>
        <v>Video</v>
      </c>
      <c r="Q157" s="38" t="n">
        <f aca="false">IF($M157="",0,N(INDEX($A157:$J157,$Q$6)))</f>
        <v>2511</v>
      </c>
      <c r="R157" s="39" t="n">
        <f aca="false">IF($M157="","",INDEX($A157:$J157,$R$6))</f>
        <v>46353</v>
      </c>
      <c r="S157" s="37" t="str">
        <f aca="false">IF($M157="","",IFERROR(INDEX(Settings!$B$27:$B$36,MATCH(L157,Settings!$A$27:$A$36,0))&amp;"","UNMAPPED"))</f>
        <v>Won</v>
      </c>
      <c r="T157" s="37" t="str">
        <f aca="false">IF($M157="","",IF(NOT(ISNUMBER(R157)),"NO DATE",IF(S157="Won",IF(R157&gt;Settings!$B$5,"Backlog","Delivered"),IF(S157="Open",IF(R157&gt;Settings!$B$5,"Pipeline","Overdue"),IF(S157="Lost","Lost","UNMAPPED")))))</f>
        <v>Backlog</v>
      </c>
      <c r="U157" s="40" t="n">
        <f aca="false">IF(T157="Backlog",1,IF(OR(T157="Pipeline",T157="Overdue"),N(INDEX(Settings!$C$27:$C$36,MATCH(L157,Settings!$A$27:$A$36,0))),0))</f>
        <v>1</v>
      </c>
      <c r="V157" s="38" t="n">
        <f aca="false">Q157*U157</f>
        <v>2511</v>
      </c>
      <c r="W157" s="41" t="n">
        <f aca="false">IF($M157="","",IF(T157="Overdue",IF(Settings!$B$8="Yes",Settings!$B$7,""),IF(ISNUMBER(R157),DATE(YEAR(R157),MONTH(R157),1),"")))</f>
        <v>46327</v>
      </c>
      <c r="X157" s="38" t="n">
        <f aca="false">IF(AND(OR(T157="Backlog",T157="Pipeline",T157="Overdue"),ISNUMBER(W157)),IF(W157&lt;=Settings!$B$6,V157,0),0)</f>
        <v>2511</v>
      </c>
      <c r="Y157" s="38" t="n">
        <f aca="false">IF(AND(OR(T157="Backlog",T157="Pipeline",T157="Overdue"),ISNUMBER(W157)),IF(W157&lt;=Settings!$B$6,Q157,0),0)</f>
        <v>2511</v>
      </c>
      <c r="Z157" s="38" t="n">
        <f aca="false">IF(Y157=0,0,IF(T157="Backlog",Q157,Q157*Dashboard!$C$10))</f>
        <v>2511</v>
      </c>
      <c r="AA157" s="37" t="n">
        <f aca="false">IF($N157="",0,IF(COUNTIF(Dashboard!$C$13:$C$22,$N157)&gt;0,1,0))</f>
        <v>0</v>
      </c>
      <c r="AB157" s="37" t="n">
        <f aca="false">IF($N157="","",IF(COUNTIF($N$8:$N157,$N157)=1,MAX($AB$7:$AB156)+1,""))</f>
        <v>60</v>
      </c>
    </row>
    <row r="158" customFormat="false" ht="15" hidden="false" customHeight="false" outlineLevel="0" collapsed="false">
      <c r="B158" s="32" t="s">
        <v>506</v>
      </c>
      <c r="C158" s="32" t="s">
        <v>154</v>
      </c>
      <c r="D158" s="35" t="n">
        <v>8500</v>
      </c>
      <c r="E158" s="32" t="s">
        <v>180</v>
      </c>
      <c r="F158" s="36" t="n">
        <v>46274</v>
      </c>
      <c r="G158" s="32" t="s">
        <v>507</v>
      </c>
      <c r="L158" s="37" t="str">
        <f aca="false">IF(INDEX($A158:$J158,$L$6)&lt;&gt;"",TRIM(LEFT(INDEX($A158:$J158,$L$6),FIND("(",INDEX($A158:$J158,$L$6)&amp;"(")-1)),L157)</f>
        <v>Closed Won</v>
      </c>
      <c r="M158" s="37" t="str">
        <f aca="false">IF(INDEX($A158:$J158,$M$6)="","",INDEX($A158:$J158,$M$6)&amp;"")</f>
        <v>Pool of Hours - National AV / IT Support</v>
      </c>
      <c r="N158" s="37" t="str">
        <f aca="false">IF($M158="","",TRIM(INDEX($A158:$J158,$N$6)&amp;""))</f>
        <v>PWC</v>
      </c>
      <c r="O158" s="37" t="str">
        <f aca="false">IF($M158="","",TRIM(INDEX($A158:$J158,$O$6)&amp;""))</f>
        <v>Support</v>
      </c>
      <c r="P158" s="37" t="str">
        <f aca="false">IF($M158="","",IFERROR(IF(INDEX(Settings!$B$41:$B$50,MATCH(O158,Settings!$A$41:$A$50,0))&amp;""="","UNMAPPED",INDEX(Settings!$B$41:$B$50,MATCH(O158,Settings!$A$41:$A$50,0))&amp;""),"UNMAPPED"))</f>
        <v>Onsite</v>
      </c>
      <c r="Q158" s="38" t="n">
        <f aca="false">IF($M158="",0,N(INDEX($A158:$J158,$Q$6)))</f>
        <v>8500</v>
      </c>
      <c r="R158" s="39" t="n">
        <f aca="false">IF($M158="","",INDEX($A158:$J158,$R$6))</f>
        <v>46274</v>
      </c>
      <c r="S158" s="37" t="str">
        <f aca="false">IF($M158="","",IFERROR(INDEX(Settings!$B$27:$B$36,MATCH(L158,Settings!$A$27:$A$36,0))&amp;"","UNMAPPED"))</f>
        <v>Won</v>
      </c>
      <c r="T158" s="37" t="str">
        <f aca="false">IF($M158="","",IF(NOT(ISNUMBER(R158)),"NO DATE",IF(S158="Won",IF(R158&gt;Settings!$B$5,"Backlog","Delivered"),IF(S158="Open",IF(R158&gt;Settings!$B$5,"Pipeline","Overdue"),IF(S158="Lost","Lost","UNMAPPED")))))</f>
        <v>Delivered</v>
      </c>
      <c r="U158" s="40" t="n">
        <f aca="false">IF(T158="Backlog",1,IF(OR(T158="Pipeline",T158="Overdue"),N(INDEX(Settings!$C$27:$C$36,MATCH(L158,Settings!$A$27:$A$36,0))),0))</f>
        <v>0</v>
      </c>
      <c r="V158" s="38" t="n">
        <f aca="false">Q158*U158</f>
        <v>0</v>
      </c>
      <c r="W158" s="41" t="n">
        <f aca="false">IF($M158="","",IF(T158="Overdue",IF(Settings!$B$8="Yes",Settings!$B$7,""),IF(ISNUMBER(R158),DATE(YEAR(R158),MONTH(R158),1),"")))</f>
        <v>46266</v>
      </c>
      <c r="X158" s="38" t="n">
        <f aca="false">IF(AND(OR(T158="Backlog",T158="Pipeline",T158="Overdue"),ISNUMBER(W158)),IF(W158&lt;=Settings!$B$6,V158,0),0)</f>
        <v>0</v>
      </c>
      <c r="Y158" s="38" t="n">
        <f aca="false">IF(AND(OR(T158="Backlog",T158="Pipeline",T158="Overdue"),ISNUMBER(W158)),IF(W158&lt;=Settings!$B$6,Q158,0),0)</f>
        <v>0</v>
      </c>
      <c r="Z158" s="38" t="n">
        <f aca="false">IF(Y158=0,0,IF(T158="Backlog",Q158,Q158*Dashboard!$C$10))</f>
        <v>0</v>
      </c>
      <c r="AA158" s="37" t="n">
        <f aca="false">IF($N158="",0,IF(COUNTIF(Dashboard!$C$13:$C$22,$N158)&gt;0,1,0))</f>
        <v>0</v>
      </c>
      <c r="AB158" s="37" t="str">
        <f aca="false">IF($N158="","",IF(COUNTIF($N$8:$N158,$N158)=1,MAX($AB$7:$AB157)+1,""))</f>
        <v/>
      </c>
    </row>
    <row r="159" customFormat="false" ht="15" hidden="false" customHeight="false" outlineLevel="0" collapsed="false">
      <c r="B159" s="32" t="s">
        <v>508</v>
      </c>
      <c r="C159" s="32" t="s">
        <v>166</v>
      </c>
      <c r="D159" s="35" t="n">
        <v>10358</v>
      </c>
      <c r="E159" s="32" t="s">
        <v>141</v>
      </c>
      <c r="F159" s="36" t="n">
        <v>45940</v>
      </c>
      <c r="G159" s="32" t="s">
        <v>509</v>
      </c>
      <c r="L159" s="37" t="str">
        <f aca="false">IF(INDEX($A159:$J159,$L$6)&lt;&gt;"",TRIM(LEFT(INDEX($A159:$J159,$L$6),FIND("(",INDEX($A159:$J159,$L$6)&amp;"(")-1)),L158)</f>
        <v>Closed Won</v>
      </c>
      <c r="M159" s="37" t="str">
        <f aca="false">IF(INDEX($A159:$J159,$M$6)="","",INDEX($A159:$J159,$M$6)&amp;"")</f>
        <v>RGB Desk Booking</v>
      </c>
      <c r="N159" s="37" t="str">
        <f aca="false">IF($M159="","",TRIM(INDEX($A159:$J159,$N$6)&amp;""))</f>
        <v>Property and Development NSW</v>
      </c>
      <c r="O159" s="37" t="str">
        <f aca="false">IF($M159="","",TRIM(INDEX($A159:$J159,$O$6)&amp;""))</f>
        <v>Integration</v>
      </c>
      <c r="P159" s="37" t="str">
        <f aca="false">IF($M159="","",IFERROR(IF(INDEX(Settings!$B$41:$B$50,MATCH(O159,Settings!$A$41:$A$50,0))&amp;""="","UNMAPPED",INDEX(Settings!$B$41:$B$50,MATCH(O159,Settings!$A$41:$A$50,0))&amp;""),"UNMAPPED"))</f>
        <v>Integration</v>
      </c>
      <c r="Q159" s="38" t="n">
        <f aca="false">IF($M159="",0,N(INDEX($A159:$J159,$Q$6)))</f>
        <v>10358</v>
      </c>
      <c r="R159" s="39" t="n">
        <f aca="false">IF($M159="","",INDEX($A159:$J159,$R$6))</f>
        <v>45940</v>
      </c>
      <c r="S159" s="37" t="str">
        <f aca="false">IF($M159="","",IFERROR(INDEX(Settings!$B$27:$B$36,MATCH(L159,Settings!$A$27:$A$36,0))&amp;"","UNMAPPED"))</f>
        <v>Won</v>
      </c>
      <c r="T159" s="37" t="str">
        <f aca="false">IF($M159="","",IF(NOT(ISNUMBER(R159)),"NO DATE",IF(S159="Won",IF(R159&gt;Settings!$B$5,"Backlog","Delivered"),IF(S159="Open",IF(R159&gt;Settings!$B$5,"Pipeline","Overdue"),IF(S159="Lost","Lost","UNMAPPED")))))</f>
        <v>Delivered</v>
      </c>
      <c r="U159" s="40" t="n">
        <f aca="false">IF(T159="Backlog",1,IF(OR(T159="Pipeline",T159="Overdue"),N(INDEX(Settings!$C$27:$C$36,MATCH(L159,Settings!$A$27:$A$36,0))),0))</f>
        <v>0</v>
      </c>
      <c r="V159" s="38" t="n">
        <f aca="false">Q159*U159</f>
        <v>0</v>
      </c>
      <c r="W159" s="41" t="n">
        <f aca="false">IF($M159="","",IF(T159="Overdue",IF(Settings!$B$8="Yes",Settings!$B$7,""),IF(ISNUMBER(R159),DATE(YEAR(R159),MONTH(R159),1),"")))</f>
        <v>45931</v>
      </c>
      <c r="X159" s="38" t="n">
        <f aca="false">IF(AND(OR(T159="Backlog",T159="Pipeline",T159="Overdue"),ISNUMBER(W159)),IF(W159&lt;=Settings!$B$6,V159,0),0)</f>
        <v>0</v>
      </c>
      <c r="Y159" s="38" t="n">
        <f aca="false">IF(AND(OR(T159="Backlog",T159="Pipeline",T159="Overdue"),ISNUMBER(W159)),IF(W159&lt;=Settings!$B$6,Q159,0),0)</f>
        <v>0</v>
      </c>
      <c r="Z159" s="38" t="n">
        <f aca="false">IF(Y159=0,0,IF(T159="Backlog",Q159,Q159*Dashboard!$C$10))</f>
        <v>0</v>
      </c>
      <c r="AA159" s="37" t="n">
        <f aca="false">IF($N159="",0,IF(COUNTIF(Dashboard!$C$13:$C$22,$N159)&gt;0,1,0))</f>
        <v>0</v>
      </c>
      <c r="AB159" s="37" t="str">
        <f aca="false">IF($N159="","",IF(COUNTIF($N$8:$N159,$N159)=1,MAX($AB$7:$AB158)+1,""))</f>
        <v/>
      </c>
    </row>
    <row r="160" customFormat="false" ht="15" hidden="false" customHeight="false" outlineLevel="0" collapsed="false">
      <c r="B160" s="32" t="s">
        <v>510</v>
      </c>
      <c r="C160" s="32" t="s">
        <v>387</v>
      </c>
      <c r="D160" s="35" t="n">
        <v>1648</v>
      </c>
      <c r="E160" s="32" t="s">
        <v>180</v>
      </c>
      <c r="F160" s="36" t="n">
        <v>46149</v>
      </c>
      <c r="G160" s="32" t="s">
        <v>511</v>
      </c>
      <c r="L160" s="37" t="str">
        <f aca="false">IF(INDEX($A160:$J160,$L$6)&lt;&gt;"",TRIM(LEFT(INDEX($A160:$J160,$L$6),FIND("(",INDEX($A160:$J160,$L$6)&amp;"(")-1)),L159)</f>
        <v>Closed Won</v>
      </c>
      <c r="M160" s="37" t="str">
        <f aca="false">IF(INDEX($A160:$J160,$M$6)="","",INDEX($A160:$J160,$M$6)&amp;"")</f>
        <v>Deloitte MEL_LED Wall QSC Core Replacement | 2605503</v>
      </c>
      <c r="N160" s="37" t="str">
        <f aca="false">IF($M160="","",TRIM(INDEX($A160:$J160,$N$6)&amp;""))</f>
        <v>Deloitte - Melbourne</v>
      </c>
      <c r="O160" s="37" t="str">
        <f aca="false">IF($M160="","",TRIM(INDEX($A160:$J160,$O$6)&amp;""))</f>
        <v>Support</v>
      </c>
      <c r="P160" s="37" t="str">
        <f aca="false">IF($M160="","",IFERROR(IF(INDEX(Settings!$B$41:$B$50,MATCH(O160,Settings!$A$41:$A$50,0))&amp;""="","UNMAPPED",INDEX(Settings!$B$41:$B$50,MATCH(O160,Settings!$A$41:$A$50,0))&amp;""),"UNMAPPED"))</f>
        <v>Onsite</v>
      </c>
      <c r="Q160" s="38" t="n">
        <f aca="false">IF($M160="",0,N(INDEX($A160:$J160,$Q$6)))</f>
        <v>1648</v>
      </c>
      <c r="R160" s="39" t="n">
        <f aca="false">IF($M160="","",INDEX($A160:$J160,$R$6))</f>
        <v>46149</v>
      </c>
      <c r="S160" s="37" t="str">
        <f aca="false">IF($M160="","",IFERROR(INDEX(Settings!$B$27:$B$36,MATCH(L160,Settings!$A$27:$A$36,0))&amp;"","UNMAPPED"))</f>
        <v>Won</v>
      </c>
      <c r="T160" s="37" t="str">
        <f aca="false">IF($M160="","",IF(NOT(ISNUMBER(R160)),"NO DATE",IF(S160="Won",IF(R160&gt;Settings!$B$5,"Backlog","Delivered"),IF(S160="Open",IF(R160&gt;Settings!$B$5,"Pipeline","Overdue"),IF(S160="Lost","Lost","UNMAPPED")))))</f>
        <v>Delivered</v>
      </c>
      <c r="U160" s="40" t="n">
        <f aca="false">IF(T160="Backlog",1,IF(OR(T160="Pipeline",T160="Overdue"),N(INDEX(Settings!$C$27:$C$36,MATCH(L160,Settings!$A$27:$A$36,0))),0))</f>
        <v>0</v>
      </c>
      <c r="V160" s="38" t="n">
        <f aca="false">Q160*U160</f>
        <v>0</v>
      </c>
      <c r="W160" s="41" t="n">
        <f aca="false">IF($M160="","",IF(T160="Overdue",IF(Settings!$B$8="Yes",Settings!$B$7,""),IF(ISNUMBER(R160),DATE(YEAR(R160),MONTH(R160),1),"")))</f>
        <v>46143</v>
      </c>
      <c r="X160" s="38" t="n">
        <f aca="false">IF(AND(OR(T160="Backlog",T160="Pipeline",T160="Overdue"),ISNUMBER(W160)),IF(W160&lt;=Settings!$B$6,V160,0),0)</f>
        <v>0</v>
      </c>
      <c r="Y160" s="38" t="n">
        <f aca="false">IF(AND(OR(T160="Backlog",T160="Pipeline",T160="Overdue"),ISNUMBER(W160)),IF(W160&lt;=Settings!$B$6,Q160,0),0)</f>
        <v>0</v>
      </c>
      <c r="Z160" s="38" t="n">
        <f aca="false">IF(Y160=0,0,IF(T160="Backlog",Q160,Q160*Dashboard!$C$10))</f>
        <v>0</v>
      </c>
      <c r="AA160" s="37" t="n">
        <f aca="false">IF($N160="",0,IF(COUNTIF(Dashboard!$C$13:$C$22,$N160)&gt;0,1,0))</f>
        <v>0</v>
      </c>
      <c r="AB160" s="37" t="str">
        <f aca="false">IF($N160="","",IF(COUNTIF($N$8:$N160,$N160)=1,MAX($AB$7:$AB159)+1,""))</f>
        <v/>
      </c>
    </row>
    <row r="161" customFormat="false" ht="15" hidden="false" customHeight="false" outlineLevel="0" collapsed="false">
      <c r="B161" s="32" t="s">
        <v>512</v>
      </c>
      <c r="C161" s="32" t="s">
        <v>140</v>
      </c>
      <c r="D161" s="35" t="n">
        <v>3176</v>
      </c>
      <c r="E161" s="32" t="s">
        <v>141</v>
      </c>
      <c r="F161" s="36" t="n">
        <v>46169</v>
      </c>
      <c r="G161" s="32" t="s">
        <v>513</v>
      </c>
      <c r="L161" s="37" t="str">
        <f aca="false">IF(INDEX($A161:$J161,$L$6)&lt;&gt;"",TRIM(LEFT(INDEX($A161:$J161,$L$6),FIND("(",INDEX($A161:$J161,$L$6)&amp;"(")-1)),L160)</f>
        <v>Closed Won</v>
      </c>
      <c r="M161" s="37" t="str">
        <f aca="false">IF(INDEX($A161:$J161,$M$6)="","",INDEX($A161:$J161,$M$6)&amp;"")</f>
        <v>DTTL | Mel Lv23 Display Supply - 26052602</v>
      </c>
      <c r="N161" s="37" t="str">
        <f aca="false">IF($M161="","",TRIM(INDEX($A161:$J161,$N$6)&amp;""))</f>
        <v>Deloitte Australia</v>
      </c>
      <c r="O161" s="37" t="str">
        <f aca="false">IF($M161="","",TRIM(INDEX($A161:$J161,$O$6)&amp;""))</f>
        <v>Integration</v>
      </c>
      <c r="P161" s="37" t="str">
        <f aca="false">IF($M161="","",IFERROR(IF(INDEX(Settings!$B$41:$B$50,MATCH(O161,Settings!$A$41:$A$50,0))&amp;""="","UNMAPPED",INDEX(Settings!$B$41:$B$50,MATCH(O161,Settings!$A$41:$A$50,0))&amp;""),"UNMAPPED"))</f>
        <v>Integration</v>
      </c>
      <c r="Q161" s="38" t="n">
        <f aca="false">IF($M161="",0,N(INDEX($A161:$J161,$Q$6)))</f>
        <v>3176</v>
      </c>
      <c r="R161" s="39" t="n">
        <f aca="false">IF($M161="","",INDEX($A161:$J161,$R$6))</f>
        <v>46169</v>
      </c>
      <c r="S161" s="37" t="str">
        <f aca="false">IF($M161="","",IFERROR(INDEX(Settings!$B$27:$B$36,MATCH(L161,Settings!$A$27:$A$36,0))&amp;"","UNMAPPED"))</f>
        <v>Won</v>
      </c>
      <c r="T161" s="37" t="str">
        <f aca="false">IF($M161="","",IF(NOT(ISNUMBER(R161)),"NO DATE",IF(S161="Won",IF(R161&gt;Settings!$B$5,"Backlog","Delivered"),IF(S161="Open",IF(R161&gt;Settings!$B$5,"Pipeline","Overdue"),IF(S161="Lost","Lost","UNMAPPED")))))</f>
        <v>Delivered</v>
      </c>
      <c r="U161" s="40" t="n">
        <f aca="false">IF(T161="Backlog",1,IF(OR(T161="Pipeline",T161="Overdue"),N(INDEX(Settings!$C$27:$C$36,MATCH(L161,Settings!$A$27:$A$36,0))),0))</f>
        <v>0</v>
      </c>
      <c r="V161" s="38" t="n">
        <f aca="false">Q161*U161</f>
        <v>0</v>
      </c>
      <c r="W161" s="41" t="n">
        <f aca="false">IF($M161="","",IF(T161="Overdue",IF(Settings!$B$8="Yes",Settings!$B$7,""),IF(ISNUMBER(R161),DATE(YEAR(R161),MONTH(R161),1),"")))</f>
        <v>46143</v>
      </c>
      <c r="X161" s="38" t="n">
        <f aca="false">IF(AND(OR(T161="Backlog",T161="Pipeline",T161="Overdue"),ISNUMBER(W161)),IF(W161&lt;=Settings!$B$6,V161,0),0)</f>
        <v>0</v>
      </c>
      <c r="Y161" s="38" t="n">
        <f aca="false">IF(AND(OR(T161="Backlog",T161="Pipeline",T161="Overdue"),ISNUMBER(W161)),IF(W161&lt;=Settings!$B$6,Q161,0),0)</f>
        <v>0</v>
      </c>
      <c r="Z161" s="38" t="n">
        <f aca="false">IF(Y161=0,0,IF(T161="Backlog",Q161,Q161*Dashboard!$C$10))</f>
        <v>0</v>
      </c>
      <c r="AA161" s="37" t="n">
        <f aca="false">IF($N161="",0,IF(COUNTIF(Dashboard!$C$13:$C$22,$N161)&gt;0,1,0))</f>
        <v>0</v>
      </c>
      <c r="AB161" s="37" t="str">
        <f aca="false">IF($N161="","",IF(COUNTIF($N$8:$N161,$N161)=1,MAX($AB$7:$AB160)+1,""))</f>
        <v/>
      </c>
    </row>
    <row r="162" customFormat="false" ht="15" hidden="false" customHeight="false" outlineLevel="0" collapsed="false">
      <c r="B162" s="32" t="s">
        <v>514</v>
      </c>
      <c r="C162" s="32" t="s">
        <v>515</v>
      </c>
      <c r="D162" s="35" t="n">
        <v>57706</v>
      </c>
      <c r="E162" s="32" t="s">
        <v>141</v>
      </c>
      <c r="F162" s="36" t="n">
        <v>46162</v>
      </c>
      <c r="G162" s="32" t="s">
        <v>516</v>
      </c>
      <c r="L162" s="37" t="str">
        <f aca="false">IF(INDEX($A162:$J162,$L$6)&lt;&gt;"",TRIM(LEFT(INDEX($A162:$J162,$L$6),FIND("(",INDEX($A162:$J162,$L$6)&amp;"(")-1)),L161)</f>
        <v>Closed Won</v>
      </c>
      <c r="M162" s="37" t="str">
        <f aca="false">IF(INDEX($A162:$J162,$M$6)="","",INDEX($A162:$J162,$M$6)&amp;"")</f>
        <v>DTTL BNE Training Room/s Upgrade | 26052002</v>
      </c>
      <c r="N162" s="37" t="str">
        <f aca="false">IF($M162="","",TRIM(INDEX($A162:$J162,$N$6)&amp;""))</f>
        <v>Deloitte - Brisbane</v>
      </c>
      <c r="O162" s="37" t="str">
        <f aca="false">IF($M162="","",TRIM(INDEX($A162:$J162,$O$6)&amp;""))</f>
        <v>Integration</v>
      </c>
      <c r="P162" s="37" t="str">
        <f aca="false">IF($M162="","",IFERROR(IF(INDEX(Settings!$B$41:$B$50,MATCH(O162,Settings!$A$41:$A$50,0))&amp;""="","UNMAPPED",INDEX(Settings!$B$41:$B$50,MATCH(O162,Settings!$A$41:$A$50,0))&amp;""),"UNMAPPED"))</f>
        <v>Integration</v>
      </c>
      <c r="Q162" s="38" t="n">
        <f aca="false">IF($M162="",0,N(INDEX($A162:$J162,$Q$6)))</f>
        <v>57706</v>
      </c>
      <c r="R162" s="39" t="n">
        <f aca="false">IF($M162="","",INDEX($A162:$J162,$R$6))</f>
        <v>46162</v>
      </c>
      <c r="S162" s="37" t="str">
        <f aca="false">IF($M162="","",IFERROR(INDEX(Settings!$B$27:$B$36,MATCH(L162,Settings!$A$27:$A$36,0))&amp;"","UNMAPPED"))</f>
        <v>Won</v>
      </c>
      <c r="T162" s="37" t="str">
        <f aca="false">IF($M162="","",IF(NOT(ISNUMBER(R162)),"NO DATE",IF(S162="Won",IF(R162&gt;Settings!$B$5,"Backlog","Delivered"),IF(S162="Open",IF(R162&gt;Settings!$B$5,"Pipeline","Overdue"),IF(S162="Lost","Lost","UNMAPPED")))))</f>
        <v>Delivered</v>
      </c>
      <c r="U162" s="40" t="n">
        <f aca="false">IF(T162="Backlog",1,IF(OR(T162="Pipeline",T162="Overdue"),N(INDEX(Settings!$C$27:$C$36,MATCH(L162,Settings!$A$27:$A$36,0))),0))</f>
        <v>0</v>
      </c>
      <c r="V162" s="38" t="n">
        <f aca="false">Q162*U162</f>
        <v>0</v>
      </c>
      <c r="W162" s="41" t="n">
        <f aca="false">IF($M162="","",IF(T162="Overdue",IF(Settings!$B$8="Yes",Settings!$B$7,""),IF(ISNUMBER(R162),DATE(YEAR(R162),MONTH(R162),1),"")))</f>
        <v>46143</v>
      </c>
      <c r="X162" s="38" t="n">
        <f aca="false">IF(AND(OR(T162="Backlog",T162="Pipeline",T162="Overdue"),ISNUMBER(W162)),IF(W162&lt;=Settings!$B$6,V162,0),0)</f>
        <v>0</v>
      </c>
      <c r="Y162" s="38" t="n">
        <f aca="false">IF(AND(OR(T162="Backlog",T162="Pipeline",T162="Overdue"),ISNUMBER(W162)),IF(W162&lt;=Settings!$B$6,Q162,0),0)</f>
        <v>0</v>
      </c>
      <c r="Z162" s="38" t="n">
        <f aca="false">IF(Y162=0,0,IF(T162="Backlog",Q162,Q162*Dashboard!$C$10))</f>
        <v>0</v>
      </c>
      <c r="AA162" s="37" t="n">
        <f aca="false">IF($N162="",0,IF(COUNTIF(Dashboard!$C$13:$C$22,$N162)&gt;0,1,0))</f>
        <v>0</v>
      </c>
      <c r="AB162" s="37" t="n">
        <f aca="false">IF($N162="","",IF(COUNTIF($N$8:$N162,$N162)=1,MAX($AB$7:$AB161)+1,""))</f>
        <v>61</v>
      </c>
    </row>
    <row r="163" customFormat="false" ht="15" hidden="false" customHeight="false" outlineLevel="0" collapsed="false">
      <c r="B163" s="32" t="s">
        <v>517</v>
      </c>
      <c r="C163" s="32" t="s">
        <v>518</v>
      </c>
      <c r="D163" s="35" t="n">
        <v>555</v>
      </c>
      <c r="E163" s="32" t="s">
        <v>145</v>
      </c>
      <c r="F163" s="36" t="n">
        <v>45943</v>
      </c>
      <c r="G163" s="32" t="s">
        <v>519</v>
      </c>
      <c r="L163" s="37" t="str">
        <f aca="false">IF(INDEX($A163:$J163,$L$6)&lt;&gt;"",TRIM(LEFT(INDEX($A163:$J163,$L$6),FIND("(",INDEX($A163:$J163,$L$6)&amp;"(")-1)),L162)</f>
        <v>Closed Won</v>
      </c>
      <c r="M163" s="37" t="str">
        <f aca="false">IF(INDEX($A163:$J163,$M$6)="","",INDEX($A163:$J163,$M$6)&amp;"")</f>
        <v>Dry Hire Mics - 13.10.25</v>
      </c>
      <c r="N163" s="37" t="str">
        <f aca="false">IF($M163="","",TRIM(INDEX($A163:$J163,$N$6)&amp;""))</f>
        <v>Ootoz Productions</v>
      </c>
      <c r="O163" s="37" t="str">
        <f aca="false">IF($M163="","",TRIM(INDEX($A163:$J163,$O$6)&amp;""))</f>
        <v>Event Production</v>
      </c>
      <c r="P163" s="37" t="str">
        <f aca="false">IF($M163="","",IFERROR(IF(INDEX(Settings!$B$41:$B$50,MATCH(O163,Settings!$A$41:$A$50,0))&amp;""="","UNMAPPED",INDEX(Settings!$B$41:$B$50,MATCH(O163,Settings!$A$41:$A$50,0))&amp;""),"UNMAPPED"))</f>
        <v>Production</v>
      </c>
      <c r="Q163" s="38" t="n">
        <f aca="false">IF($M163="",0,N(INDEX($A163:$J163,$Q$6)))</f>
        <v>555</v>
      </c>
      <c r="R163" s="39" t="n">
        <f aca="false">IF($M163="","",INDEX($A163:$J163,$R$6))</f>
        <v>45943</v>
      </c>
      <c r="S163" s="37" t="str">
        <f aca="false">IF($M163="","",IFERROR(INDEX(Settings!$B$27:$B$36,MATCH(L163,Settings!$A$27:$A$36,0))&amp;"","UNMAPPED"))</f>
        <v>Won</v>
      </c>
      <c r="T163" s="37" t="str">
        <f aca="false">IF($M163="","",IF(NOT(ISNUMBER(R163)),"NO DATE",IF(S163="Won",IF(R163&gt;Settings!$B$5,"Backlog","Delivered"),IF(S163="Open",IF(R163&gt;Settings!$B$5,"Pipeline","Overdue"),IF(S163="Lost","Lost","UNMAPPED")))))</f>
        <v>Delivered</v>
      </c>
      <c r="U163" s="40" t="n">
        <f aca="false">IF(T163="Backlog",1,IF(OR(T163="Pipeline",T163="Overdue"),N(INDEX(Settings!$C$27:$C$36,MATCH(L163,Settings!$A$27:$A$36,0))),0))</f>
        <v>0</v>
      </c>
      <c r="V163" s="38" t="n">
        <f aca="false">Q163*U163</f>
        <v>0</v>
      </c>
      <c r="W163" s="41" t="n">
        <f aca="false">IF($M163="","",IF(T163="Overdue",IF(Settings!$B$8="Yes",Settings!$B$7,""),IF(ISNUMBER(R163),DATE(YEAR(R163),MONTH(R163),1),"")))</f>
        <v>45931</v>
      </c>
      <c r="X163" s="38" t="n">
        <f aca="false">IF(AND(OR(T163="Backlog",T163="Pipeline",T163="Overdue"),ISNUMBER(W163)),IF(W163&lt;=Settings!$B$6,V163,0),0)</f>
        <v>0</v>
      </c>
      <c r="Y163" s="38" t="n">
        <f aca="false">IF(AND(OR(T163="Backlog",T163="Pipeline",T163="Overdue"),ISNUMBER(W163)),IF(W163&lt;=Settings!$B$6,Q163,0),0)</f>
        <v>0</v>
      </c>
      <c r="Z163" s="38" t="n">
        <f aca="false">IF(Y163=0,0,IF(T163="Backlog",Q163,Q163*Dashboard!$C$10))</f>
        <v>0</v>
      </c>
      <c r="AA163" s="37" t="n">
        <f aca="false">IF($N163="",0,IF(COUNTIF(Dashboard!$C$13:$C$22,$N163)&gt;0,1,0))</f>
        <v>0</v>
      </c>
      <c r="AB163" s="37" t="n">
        <f aca="false">IF($N163="","",IF(COUNTIF($N$8:$N163,$N163)=1,MAX($AB$7:$AB162)+1,""))</f>
        <v>62</v>
      </c>
    </row>
    <row r="164" customFormat="false" ht="15" hidden="false" customHeight="false" outlineLevel="0" collapsed="false">
      <c r="B164" s="32" t="s">
        <v>520</v>
      </c>
      <c r="C164" s="32" t="s">
        <v>194</v>
      </c>
      <c r="D164" s="35" t="n">
        <v>8698</v>
      </c>
      <c r="E164" s="32" t="s">
        <v>145</v>
      </c>
      <c r="F164" s="36" t="n">
        <v>46072</v>
      </c>
      <c r="G164" s="32" t="s">
        <v>521</v>
      </c>
      <c r="L164" s="37" t="str">
        <f aca="false">IF(INDEX($A164:$J164,$L$6)&lt;&gt;"",TRIM(LEFT(INDEX($A164:$J164,$L$6),FIND("(",INDEX($A164:$J164,$L$6)&amp;"(")-1)),L163)</f>
        <v>Closed Won</v>
      </c>
      <c r="M164" s="37" t="str">
        <f aca="false">IF(INDEX($A164:$J164,$M$6)="","",INDEX($A164:$J164,$M$6)&amp;"")</f>
        <v>Ventia Employee Town Hall 19.2.26</v>
      </c>
      <c r="N164" s="37" t="str">
        <f aca="false">IF($M164="","",TRIM(INDEX($A164:$J164,$N$6)&amp;""))</f>
        <v>Ventia</v>
      </c>
      <c r="O164" s="37" t="str">
        <f aca="false">IF($M164="","",TRIM(INDEX($A164:$J164,$O$6)&amp;""))</f>
        <v>Event Production</v>
      </c>
      <c r="P164" s="37" t="str">
        <f aca="false">IF($M164="","",IFERROR(IF(INDEX(Settings!$B$41:$B$50,MATCH(O164,Settings!$A$41:$A$50,0))&amp;""="","UNMAPPED",INDEX(Settings!$B$41:$B$50,MATCH(O164,Settings!$A$41:$A$50,0))&amp;""),"UNMAPPED"))</f>
        <v>Production</v>
      </c>
      <c r="Q164" s="38" t="n">
        <f aca="false">IF($M164="",0,N(INDEX($A164:$J164,$Q$6)))</f>
        <v>8698</v>
      </c>
      <c r="R164" s="39" t="n">
        <f aca="false">IF($M164="","",INDEX($A164:$J164,$R$6))</f>
        <v>46072</v>
      </c>
      <c r="S164" s="37" t="str">
        <f aca="false">IF($M164="","",IFERROR(INDEX(Settings!$B$27:$B$36,MATCH(L164,Settings!$A$27:$A$36,0))&amp;"","UNMAPPED"))</f>
        <v>Won</v>
      </c>
      <c r="T164" s="37" t="str">
        <f aca="false">IF($M164="","",IF(NOT(ISNUMBER(R164)),"NO DATE",IF(S164="Won",IF(R164&gt;Settings!$B$5,"Backlog","Delivered"),IF(S164="Open",IF(R164&gt;Settings!$B$5,"Pipeline","Overdue"),IF(S164="Lost","Lost","UNMAPPED")))))</f>
        <v>Delivered</v>
      </c>
      <c r="U164" s="40" t="n">
        <f aca="false">IF(T164="Backlog",1,IF(OR(T164="Pipeline",T164="Overdue"),N(INDEX(Settings!$C$27:$C$36,MATCH(L164,Settings!$A$27:$A$36,0))),0))</f>
        <v>0</v>
      </c>
      <c r="V164" s="38" t="n">
        <f aca="false">Q164*U164</f>
        <v>0</v>
      </c>
      <c r="W164" s="41" t="n">
        <f aca="false">IF($M164="","",IF(T164="Overdue",IF(Settings!$B$8="Yes",Settings!$B$7,""),IF(ISNUMBER(R164),DATE(YEAR(R164),MONTH(R164),1),"")))</f>
        <v>46054</v>
      </c>
      <c r="X164" s="38" t="n">
        <f aca="false">IF(AND(OR(T164="Backlog",T164="Pipeline",T164="Overdue"),ISNUMBER(W164)),IF(W164&lt;=Settings!$B$6,V164,0),0)</f>
        <v>0</v>
      </c>
      <c r="Y164" s="38" t="n">
        <f aca="false">IF(AND(OR(T164="Backlog",T164="Pipeline",T164="Overdue"),ISNUMBER(W164)),IF(W164&lt;=Settings!$B$6,Q164,0),0)</f>
        <v>0</v>
      </c>
      <c r="Z164" s="38" t="n">
        <f aca="false">IF(Y164=0,0,IF(T164="Backlog",Q164,Q164*Dashboard!$C$10))</f>
        <v>0</v>
      </c>
      <c r="AA164" s="37" t="n">
        <f aca="false">IF($N164="",0,IF(COUNTIF(Dashboard!$C$13:$C$22,$N164)&gt;0,1,0))</f>
        <v>0</v>
      </c>
      <c r="AB164" s="37" t="str">
        <f aca="false">IF($N164="","",IF(COUNTIF($N$8:$N164,$N164)=1,MAX($AB$7:$AB163)+1,""))</f>
        <v/>
      </c>
    </row>
    <row r="165" customFormat="false" ht="15" hidden="false" customHeight="false" outlineLevel="0" collapsed="false">
      <c r="B165" s="32" t="s">
        <v>522</v>
      </c>
      <c r="C165" s="32" t="s">
        <v>205</v>
      </c>
      <c r="D165" s="35" t="n">
        <v>354</v>
      </c>
      <c r="E165" s="32" t="s">
        <v>180</v>
      </c>
      <c r="F165" s="36" t="n">
        <v>46129</v>
      </c>
      <c r="G165" s="32" t="s">
        <v>523</v>
      </c>
      <c r="L165" s="37" t="str">
        <f aca="false">IF(INDEX($A165:$J165,$L$6)&lt;&gt;"",TRIM(LEFT(INDEX($A165:$J165,$L$6),FIND("(",INDEX($A165:$J165,$L$6)&amp;"(")-1)),L164)</f>
        <v>Closed Won</v>
      </c>
      <c r="M165" s="37" t="str">
        <f aca="false">IF(INDEX($A165:$J165,$M$6)="","",INDEX($A165:$J165,$M$6)&amp;"")</f>
        <v>QQT_Lv45 Seminar-Wheels Repair - 26033007</v>
      </c>
      <c r="N165" s="37" t="str">
        <f aca="false">IF($M165="","",TRIM(INDEX($A165:$J165,$N$6)&amp;""))</f>
        <v>Deloitte - Sydney</v>
      </c>
      <c r="O165" s="37" t="str">
        <f aca="false">IF($M165="","",TRIM(INDEX($A165:$J165,$O$6)&amp;""))</f>
        <v>Support</v>
      </c>
      <c r="P165" s="37" t="str">
        <f aca="false">IF($M165="","",IFERROR(IF(INDEX(Settings!$B$41:$B$50,MATCH(O165,Settings!$A$41:$A$50,0))&amp;""="","UNMAPPED",INDEX(Settings!$B$41:$B$50,MATCH(O165,Settings!$A$41:$A$50,0))&amp;""),"UNMAPPED"))</f>
        <v>Onsite</v>
      </c>
      <c r="Q165" s="38" t="n">
        <f aca="false">IF($M165="",0,N(INDEX($A165:$J165,$Q$6)))</f>
        <v>354</v>
      </c>
      <c r="R165" s="39" t="n">
        <f aca="false">IF($M165="","",INDEX($A165:$J165,$R$6))</f>
        <v>46129</v>
      </c>
      <c r="S165" s="37" t="str">
        <f aca="false">IF($M165="","",IFERROR(INDEX(Settings!$B$27:$B$36,MATCH(L165,Settings!$A$27:$A$36,0))&amp;"","UNMAPPED"))</f>
        <v>Won</v>
      </c>
      <c r="T165" s="37" t="str">
        <f aca="false">IF($M165="","",IF(NOT(ISNUMBER(R165)),"NO DATE",IF(S165="Won",IF(R165&gt;Settings!$B$5,"Backlog","Delivered"),IF(S165="Open",IF(R165&gt;Settings!$B$5,"Pipeline","Overdue"),IF(S165="Lost","Lost","UNMAPPED")))))</f>
        <v>Delivered</v>
      </c>
      <c r="U165" s="40" t="n">
        <f aca="false">IF(T165="Backlog",1,IF(OR(T165="Pipeline",T165="Overdue"),N(INDEX(Settings!$C$27:$C$36,MATCH(L165,Settings!$A$27:$A$36,0))),0))</f>
        <v>0</v>
      </c>
      <c r="V165" s="38" t="n">
        <f aca="false">Q165*U165</f>
        <v>0</v>
      </c>
      <c r="W165" s="41" t="n">
        <f aca="false">IF($M165="","",IF(T165="Overdue",IF(Settings!$B$8="Yes",Settings!$B$7,""),IF(ISNUMBER(R165),DATE(YEAR(R165),MONTH(R165),1),"")))</f>
        <v>46113</v>
      </c>
      <c r="X165" s="38" t="n">
        <f aca="false">IF(AND(OR(T165="Backlog",T165="Pipeline",T165="Overdue"),ISNUMBER(W165)),IF(W165&lt;=Settings!$B$6,V165,0),0)</f>
        <v>0</v>
      </c>
      <c r="Y165" s="38" t="n">
        <f aca="false">IF(AND(OR(T165="Backlog",T165="Pipeline",T165="Overdue"),ISNUMBER(W165)),IF(W165&lt;=Settings!$B$6,Q165,0),0)</f>
        <v>0</v>
      </c>
      <c r="Z165" s="38" t="n">
        <f aca="false">IF(Y165=0,0,IF(T165="Backlog",Q165,Q165*Dashboard!$C$10))</f>
        <v>0</v>
      </c>
      <c r="AA165" s="37" t="n">
        <f aca="false">IF($N165="",0,IF(COUNTIF(Dashboard!$C$13:$C$22,$N165)&gt;0,1,0))</f>
        <v>0</v>
      </c>
      <c r="AB165" s="37" t="str">
        <f aca="false">IF($N165="","",IF(COUNTIF($N$8:$N165,$N165)=1,MAX($AB$7:$AB164)+1,""))</f>
        <v/>
      </c>
    </row>
    <row r="166" customFormat="false" ht="15" hidden="false" customHeight="false" outlineLevel="0" collapsed="false">
      <c r="B166" s="32" t="s">
        <v>524</v>
      </c>
      <c r="C166" s="32" t="s">
        <v>253</v>
      </c>
      <c r="D166" s="35" t="n">
        <v>3674</v>
      </c>
      <c r="E166" s="32" t="s">
        <v>145</v>
      </c>
      <c r="F166" s="36" t="n">
        <v>46175</v>
      </c>
      <c r="G166" s="32" t="s">
        <v>525</v>
      </c>
      <c r="L166" s="37" t="str">
        <f aca="false">IF(INDEX($A166:$J166,$L$6)&lt;&gt;"",TRIM(LEFT(INDEX($A166:$J166,$L$6),FIND("(",INDEX($A166:$J166,$L$6)&amp;"(")-1)),L165)</f>
        <v>Closed Won</v>
      </c>
      <c r="M166" s="37" t="str">
        <f aca="false">IF(INDEX($A166:$J166,$M$6)="","",INDEX($A166:$J166,$M$6)&amp;"")</f>
        <v>ASX CEO Connect 2.6.26</v>
      </c>
      <c r="N166" s="37" t="str">
        <f aca="false">IF($M166="","",TRIM(INDEX($A166:$J166,$N$6)&amp;""))</f>
        <v>ASX Australian Securities Exchange</v>
      </c>
      <c r="O166" s="37" t="str">
        <f aca="false">IF($M166="","",TRIM(INDEX($A166:$J166,$O$6)&amp;""))</f>
        <v>Event Production</v>
      </c>
      <c r="P166" s="37" t="str">
        <f aca="false">IF($M166="","",IFERROR(IF(INDEX(Settings!$B$41:$B$50,MATCH(O166,Settings!$A$41:$A$50,0))&amp;""="","UNMAPPED",INDEX(Settings!$B$41:$B$50,MATCH(O166,Settings!$A$41:$A$50,0))&amp;""),"UNMAPPED"))</f>
        <v>Production</v>
      </c>
      <c r="Q166" s="38" t="n">
        <f aca="false">IF($M166="",0,N(INDEX($A166:$J166,$Q$6)))</f>
        <v>3674</v>
      </c>
      <c r="R166" s="39" t="n">
        <f aca="false">IF($M166="","",INDEX($A166:$J166,$R$6))</f>
        <v>46175</v>
      </c>
      <c r="S166" s="37" t="str">
        <f aca="false">IF($M166="","",IFERROR(INDEX(Settings!$B$27:$B$36,MATCH(L166,Settings!$A$27:$A$36,0))&amp;"","UNMAPPED"))</f>
        <v>Won</v>
      </c>
      <c r="T166" s="37" t="str">
        <f aca="false">IF($M166="","",IF(NOT(ISNUMBER(R166)),"NO DATE",IF(S166="Won",IF(R166&gt;Settings!$B$5,"Backlog","Delivered"),IF(S166="Open",IF(R166&gt;Settings!$B$5,"Pipeline","Overdue"),IF(S166="Lost","Lost","UNMAPPED")))))</f>
        <v>Delivered</v>
      </c>
      <c r="U166" s="40" t="n">
        <f aca="false">IF(T166="Backlog",1,IF(OR(T166="Pipeline",T166="Overdue"),N(INDEX(Settings!$C$27:$C$36,MATCH(L166,Settings!$A$27:$A$36,0))),0))</f>
        <v>0</v>
      </c>
      <c r="V166" s="38" t="n">
        <f aca="false">Q166*U166</f>
        <v>0</v>
      </c>
      <c r="W166" s="41" t="n">
        <f aca="false">IF($M166="","",IF(T166="Overdue",IF(Settings!$B$8="Yes",Settings!$B$7,""),IF(ISNUMBER(R166),DATE(YEAR(R166),MONTH(R166),1),"")))</f>
        <v>46174</v>
      </c>
      <c r="X166" s="38" t="n">
        <f aca="false">IF(AND(OR(T166="Backlog",T166="Pipeline",T166="Overdue"),ISNUMBER(W166)),IF(W166&lt;=Settings!$B$6,V166,0),0)</f>
        <v>0</v>
      </c>
      <c r="Y166" s="38" t="n">
        <f aca="false">IF(AND(OR(T166="Backlog",T166="Pipeline",T166="Overdue"),ISNUMBER(W166)),IF(W166&lt;=Settings!$B$6,Q166,0),0)</f>
        <v>0</v>
      </c>
      <c r="Z166" s="38" t="n">
        <f aca="false">IF(Y166=0,0,IF(T166="Backlog",Q166,Q166*Dashboard!$C$10))</f>
        <v>0</v>
      </c>
      <c r="AA166" s="37" t="n">
        <f aca="false">IF($N166="",0,IF(COUNTIF(Dashboard!$C$13:$C$22,$N166)&gt;0,1,0))</f>
        <v>0</v>
      </c>
      <c r="AB166" s="37" t="str">
        <f aca="false">IF($N166="","",IF(COUNTIF($N$8:$N166,$N166)=1,MAX($AB$7:$AB165)+1,""))</f>
        <v/>
      </c>
    </row>
    <row r="167" customFormat="false" ht="15" hidden="false" customHeight="false" outlineLevel="0" collapsed="false">
      <c r="B167" s="32" t="s">
        <v>526</v>
      </c>
      <c r="C167" s="32" t="s">
        <v>154</v>
      </c>
      <c r="D167" s="35" t="n">
        <v>96067</v>
      </c>
      <c r="E167" s="32" t="s">
        <v>141</v>
      </c>
      <c r="F167" s="36" t="n">
        <v>46189</v>
      </c>
      <c r="G167" s="32" t="s">
        <v>527</v>
      </c>
      <c r="L167" s="37" t="str">
        <f aca="false">IF(INDEX($A167:$J167,$L$6)&lt;&gt;"",TRIM(LEFT(INDEX($A167:$J167,$L$6),FIND("(",INDEX($A167:$J167,$L$6)&amp;"(")-1)),L166)</f>
        <v>Closed Won</v>
      </c>
      <c r="M167" s="37" t="str">
        <f aca="false">IF(INDEX($A167:$J167,$M$6)="","",INDEX($A167:$J167,$M$6)&amp;"")</f>
        <v>PwC | Screen Replacements (SYD/MEL) - 26043003</v>
      </c>
      <c r="N167" s="37" t="str">
        <f aca="false">IF($M167="","",TRIM(INDEX($A167:$J167,$N$6)&amp;""))</f>
        <v>PWC</v>
      </c>
      <c r="O167" s="37" t="str">
        <f aca="false">IF($M167="","",TRIM(INDEX($A167:$J167,$O$6)&amp;""))</f>
        <v>Integration</v>
      </c>
      <c r="P167" s="37" t="str">
        <f aca="false">IF($M167="","",IFERROR(IF(INDEX(Settings!$B$41:$B$50,MATCH(O167,Settings!$A$41:$A$50,0))&amp;""="","UNMAPPED",INDEX(Settings!$B$41:$B$50,MATCH(O167,Settings!$A$41:$A$50,0))&amp;""),"UNMAPPED"))</f>
        <v>Integration</v>
      </c>
      <c r="Q167" s="38" t="n">
        <f aca="false">IF($M167="",0,N(INDEX($A167:$J167,$Q$6)))</f>
        <v>96067</v>
      </c>
      <c r="R167" s="39" t="n">
        <f aca="false">IF($M167="","",INDEX($A167:$J167,$R$6))</f>
        <v>46189</v>
      </c>
      <c r="S167" s="37" t="str">
        <f aca="false">IF($M167="","",IFERROR(INDEX(Settings!$B$27:$B$36,MATCH(L167,Settings!$A$27:$A$36,0))&amp;"","UNMAPPED"))</f>
        <v>Won</v>
      </c>
      <c r="T167" s="37" t="str">
        <f aca="false">IF($M167="","",IF(NOT(ISNUMBER(R167)),"NO DATE",IF(S167="Won",IF(R167&gt;Settings!$B$5,"Backlog","Delivered"),IF(S167="Open",IF(R167&gt;Settings!$B$5,"Pipeline","Overdue"),IF(S167="Lost","Lost","UNMAPPED")))))</f>
        <v>Delivered</v>
      </c>
      <c r="U167" s="40" t="n">
        <f aca="false">IF(T167="Backlog",1,IF(OR(T167="Pipeline",T167="Overdue"),N(INDEX(Settings!$C$27:$C$36,MATCH(L167,Settings!$A$27:$A$36,0))),0))</f>
        <v>0</v>
      </c>
      <c r="V167" s="38" t="n">
        <f aca="false">Q167*U167</f>
        <v>0</v>
      </c>
      <c r="W167" s="41" t="n">
        <f aca="false">IF($M167="","",IF(T167="Overdue",IF(Settings!$B$8="Yes",Settings!$B$7,""),IF(ISNUMBER(R167),DATE(YEAR(R167),MONTH(R167),1),"")))</f>
        <v>46174</v>
      </c>
      <c r="X167" s="38" t="n">
        <f aca="false">IF(AND(OR(T167="Backlog",T167="Pipeline",T167="Overdue"),ISNUMBER(W167)),IF(W167&lt;=Settings!$B$6,V167,0),0)</f>
        <v>0</v>
      </c>
      <c r="Y167" s="38" t="n">
        <f aca="false">IF(AND(OR(T167="Backlog",T167="Pipeline",T167="Overdue"),ISNUMBER(W167)),IF(W167&lt;=Settings!$B$6,Q167,0),0)</f>
        <v>0</v>
      </c>
      <c r="Z167" s="38" t="n">
        <f aca="false">IF(Y167=0,0,IF(T167="Backlog",Q167,Q167*Dashboard!$C$10))</f>
        <v>0</v>
      </c>
      <c r="AA167" s="37" t="n">
        <f aca="false">IF($N167="",0,IF(COUNTIF(Dashboard!$C$13:$C$22,$N167)&gt;0,1,0))</f>
        <v>0</v>
      </c>
      <c r="AB167" s="37" t="str">
        <f aca="false">IF($N167="","",IF(COUNTIF($N$8:$N167,$N167)=1,MAX($AB$7:$AB166)+1,""))</f>
        <v/>
      </c>
    </row>
    <row r="168" customFormat="false" ht="15" hidden="false" customHeight="false" outlineLevel="0" collapsed="false">
      <c r="B168" s="32" t="s">
        <v>528</v>
      </c>
      <c r="C168" s="32" t="s">
        <v>253</v>
      </c>
      <c r="D168" s="35" t="n">
        <v>6076</v>
      </c>
      <c r="E168" s="32" t="s">
        <v>145</v>
      </c>
      <c r="F168" s="36" t="n">
        <v>45911</v>
      </c>
      <c r="G168" s="32" t="s">
        <v>529</v>
      </c>
      <c r="L168" s="37" t="str">
        <f aca="false">IF(INDEX($A168:$J168,$L$6)&lt;&gt;"",TRIM(LEFT(INDEX($A168:$J168,$L$6),FIND("(",INDEX($A168:$J168,$L$6)&amp;"(")-1)),L167)</f>
        <v>Closed Won</v>
      </c>
      <c r="M168" s="37" t="str">
        <f aca="false">IF(INDEX($A168:$J168,$M$6)="","",INDEX($A168:$J168,$M$6)&amp;"")</f>
        <v>STAC Conf 11.09.2025</v>
      </c>
      <c r="N168" s="37" t="str">
        <f aca="false">IF($M168="","",TRIM(INDEX($A168:$J168,$N$6)&amp;""))</f>
        <v>ASX Australian Securities Exchange</v>
      </c>
      <c r="O168" s="37" t="str">
        <f aca="false">IF($M168="","",TRIM(INDEX($A168:$J168,$O$6)&amp;""))</f>
        <v>Event Production</v>
      </c>
      <c r="P168" s="37" t="str">
        <f aca="false">IF($M168="","",IFERROR(IF(INDEX(Settings!$B$41:$B$50,MATCH(O168,Settings!$A$41:$A$50,0))&amp;""="","UNMAPPED",INDEX(Settings!$B$41:$B$50,MATCH(O168,Settings!$A$41:$A$50,0))&amp;""),"UNMAPPED"))</f>
        <v>Production</v>
      </c>
      <c r="Q168" s="38" t="n">
        <f aca="false">IF($M168="",0,N(INDEX($A168:$J168,$Q$6)))</f>
        <v>6076</v>
      </c>
      <c r="R168" s="39" t="n">
        <f aca="false">IF($M168="","",INDEX($A168:$J168,$R$6))</f>
        <v>45911</v>
      </c>
      <c r="S168" s="37" t="str">
        <f aca="false">IF($M168="","",IFERROR(INDEX(Settings!$B$27:$B$36,MATCH(L168,Settings!$A$27:$A$36,0))&amp;"","UNMAPPED"))</f>
        <v>Won</v>
      </c>
      <c r="T168" s="37" t="str">
        <f aca="false">IF($M168="","",IF(NOT(ISNUMBER(R168)),"NO DATE",IF(S168="Won",IF(R168&gt;Settings!$B$5,"Backlog","Delivered"),IF(S168="Open",IF(R168&gt;Settings!$B$5,"Pipeline","Overdue"),IF(S168="Lost","Lost","UNMAPPED")))))</f>
        <v>Delivered</v>
      </c>
      <c r="U168" s="40" t="n">
        <f aca="false">IF(T168="Backlog",1,IF(OR(T168="Pipeline",T168="Overdue"),N(INDEX(Settings!$C$27:$C$36,MATCH(L168,Settings!$A$27:$A$36,0))),0))</f>
        <v>0</v>
      </c>
      <c r="V168" s="38" t="n">
        <f aca="false">Q168*U168</f>
        <v>0</v>
      </c>
      <c r="W168" s="41" t="n">
        <f aca="false">IF($M168="","",IF(T168="Overdue",IF(Settings!$B$8="Yes",Settings!$B$7,""),IF(ISNUMBER(R168),DATE(YEAR(R168),MONTH(R168),1),"")))</f>
        <v>45901</v>
      </c>
      <c r="X168" s="38" t="n">
        <f aca="false">IF(AND(OR(T168="Backlog",T168="Pipeline",T168="Overdue"),ISNUMBER(W168)),IF(W168&lt;=Settings!$B$6,V168,0),0)</f>
        <v>0</v>
      </c>
      <c r="Y168" s="38" t="n">
        <f aca="false">IF(AND(OR(T168="Backlog",T168="Pipeline",T168="Overdue"),ISNUMBER(W168)),IF(W168&lt;=Settings!$B$6,Q168,0),0)</f>
        <v>0</v>
      </c>
      <c r="Z168" s="38" t="n">
        <f aca="false">IF(Y168=0,0,IF(T168="Backlog",Q168,Q168*Dashboard!$C$10))</f>
        <v>0</v>
      </c>
      <c r="AA168" s="37" t="n">
        <f aca="false">IF($N168="",0,IF(COUNTIF(Dashboard!$C$13:$C$22,$N168)&gt;0,1,0))</f>
        <v>0</v>
      </c>
      <c r="AB168" s="37" t="str">
        <f aca="false">IF($N168="","",IF(COUNTIF($N$8:$N168,$N168)=1,MAX($AB$7:$AB167)+1,""))</f>
        <v/>
      </c>
    </row>
    <row r="169" customFormat="false" ht="15" hidden="false" customHeight="false" outlineLevel="0" collapsed="false">
      <c r="B169" s="32" t="s">
        <v>530</v>
      </c>
      <c r="C169" s="32" t="s">
        <v>253</v>
      </c>
      <c r="D169" s="35" t="n">
        <v>0</v>
      </c>
      <c r="E169" s="32" t="s">
        <v>208</v>
      </c>
      <c r="F169" s="36" t="n">
        <v>46167</v>
      </c>
      <c r="G169" s="32" t="s">
        <v>531</v>
      </c>
      <c r="L169" s="37" t="str">
        <f aca="false">IF(INDEX($A169:$J169,$L$6)&lt;&gt;"",TRIM(LEFT(INDEX($A169:$J169,$L$6),FIND("(",INDEX($A169:$J169,$L$6)&amp;"(")-1)),L168)</f>
        <v>Closed Won</v>
      </c>
      <c r="M169" s="37" t="str">
        <f aca="false">IF(INDEX($A169:$J169,$M$6)="","",INDEX($A169:$J169,$M$6)&amp;"")</f>
        <v>ASX CEO Farewell Highlights Video</v>
      </c>
      <c r="N169" s="37" t="str">
        <f aca="false">IF($M169="","",TRIM(INDEX($A169:$J169,$N$6)&amp;""))</f>
        <v>ASX Australian Securities Exchange</v>
      </c>
      <c r="O169" s="37" t="str">
        <f aca="false">IF($M169="","",TRIM(INDEX($A169:$J169,$O$6)&amp;""))</f>
        <v>Video Production</v>
      </c>
      <c r="P169" s="37" t="str">
        <f aca="false">IF($M169="","",IFERROR(IF(INDEX(Settings!$B$41:$B$50,MATCH(O169,Settings!$A$41:$A$50,0))&amp;""="","UNMAPPED",INDEX(Settings!$B$41:$B$50,MATCH(O169,Settings!$A$41:$A$50,0))&amp;""),"UNMAPPED"))</f>
        <v>Video</v>
      </c>
      <c r="Q169" s="38" t="n">
        <f aca="false">IF($M169="",0,N(INDEX($A169:$J169,$Q$6)))</f>
        <v>0</v>
      </c>
      <c r="R169" s="39" t="n">
        <f aca="false">IF($M169="","",INDEX($A169:$J169,$R$6))</f>
        <v>46167</v>
      </c>
      <c r="S169" s="37" t="str">
        <f aca="false">IF($M169="","",IFERROR(INDEX(Settings!$B$27:$B$36,MATCH(L169,Settings!$A$27:$A$36,0))&amp;"","UNMAPPED"))</f>
        <v>Won</v>
      </c>
      <c r="T169" s="37" t="str">
        <f aca="false">IF($M169="","",IF(NOT(ISNUMBER(R169)),"NO DATE",IF(S169="Won",IF(R169&gt;Settings!$B$5,"Backlog","Delivered"),IF(S169="Open",IF(R169&gt;Settings!$B$5,"Pipeline","Overdue"),IF(S169="Lost","Lost","UNMAPPED")))))</f>
        <v>Delivered</v>
      </c>
      <c r="U169" s="40" t="n">
        <f aca="false">IF(T169="Backlog",1,IF(OR(T169="Pipeline",T169="Overdue"),N(INDEX(Settings!$C$27:$C$36,MATCH(L169,Settings!$A$27:$A$36,0))),0))</f>
        <v>0</v>
      </c>
      <c r="V169" s="38" t="n">
        <f aca="false">Q169*U169</f>
        <v>0</v>
      </c>
      <c r="W169" s="41" t="n">
        <f aca="false">IF($M169="","",IF(T169="Overdue",IF(Settings!$B$8="Yes",Settings!$B$7,""),IF(ISNUMBER(R169),DATE(YEAR(R169),MONTH(R169),1),"")))</f>
        <v>46143</v>
      </c>
      <c r="X169" s="38" t="n">
        <f aca="false">IF(AND(OR(T169="Backlog",T169="Pipeline",T169="Overdue"),ISNUMBER(W169)),IF(W169&lt;=Settings!$B$6,V169,0),0)</f>
        <v>0</v>
      </c>
      <c r="Y169" s="38" t="n">
        <f aca="false">IF(AND(OR(T169="Backlog",T169="Pipeline",T169="Overdue"),ISNUMBER(W169)),IF(W169&lt;=Settings!$B$6,Q169,0),0)</f>
        <v>0</v>
      </c>
      <c r="Z169" s="38" t="n">
        <f aca="false">IF(Y169=0,0,IF(T169="Backlog",Q169,Q169*Dashboard!$C$10))</f>
        <v>0</v>
      </c>
      <c r="AA169" s="37" t="n">
        <f aca="false">IF($N169="",0,IF(COUNTIF(Dashboard!$C$13:$C$22,$N169)&gt;0,1,0))</f>
        <v>0</v>
      </c>
      <c r="AB169" s="37" t="str">
        <f aca="false">IF($N169="","",IF(COUNTIF($N$8:$N169,$N169)=1,MAX($AB$7:$AB168)+1,""))</f>
        <v/>
      </c>
    </row>
    <row r="170" customFormat="false" ht="15" hidden="false" customHeight="false" outlineLevel="0" collapsed="false">
      <c r="B170" s="32" t="s">
        <v>532</v>
      </c>
      <c r="C170" s="32" t="s">
        <v>194</v>
      </c>
      <c r="D170" s="35" t="n">
        <v>16547</v>
      </c>
      <c r="E170" s="32" t="s">
        <v>145</v>
      </c>
      <c r="F170" s="36" t="n">
        <v>45982</v>
      </c>
      <c r="G170" s="32" t="s">
        <v>533</v>
      </c>
      <c r="L170" s="37" t="str">
        <f aca="false">IF(INDEX($A170:$J170,$L$6)&lt;&gt;"",TRIM(LEFT(INDEX($A170:$J170,$L$6),FIND("(",INDEX($A170:$J170,$L$6)&amp;"(")-1)),L169)</f>
        <v>Closed Won</v>
      </c>
      <c r="M170" s="37" t="str">
        <f aca="false">IF(INDEX($A170:$J170,$M$6)="","",INDEX($A170:$J170,$M$6)&amp;"")</f>
        <v>Ventia Perth Town Hall 21.11.25</v>
      </c>
      <c r="N170" s="37" t="str">
        <f aca="false">IF($M170="","",TRIM(INDEX($A170:$J170,$N$6)&amp;""))</f>
        <v>Ventia</v>
      </c>
      <c r="O170" s="37" t="str">
        <f aca="false">IF($M170="","",TRIM(INDEX($A170:$J170,$O$6)&amp;""))</f>
        <v>Event Production</v>
      </c>
      <c r="P170" s="37" t="str">
        <f aca="false">IF($M170="","",IFERROR(IF(INDEX(Settings!$B$41:$B$50,MATCH(O170,Settings!$A$41:$A$50,0))&amp;""="","UNMAPPED",INDEX(Settings!$B$41:$B$50,MATCH(O170,Settings!$A$41:$A$50,0))&amp;""),"UNMAPPED"))</f>
        <v>Production</v>
      </c>
      <c r="Q170" s="38" t="n">
        <f aca="false">IF($M170="",0,N(INDEX($A170:$J170,$Q$6)))</f>
        <v>16547</v>
      </c>
      <c r="R170" s="39" t="n">
        <f aca="false">IF($M170="","",INDEX($A170:$J170,$R$6))</f>
        <v>45982</v>
      </c>
      <c r="S170" s="37" t="str">
        <f aca="false">IF($M170="","",IFERROR(INDEX(Settings!$B$27:$B$36,MATCH(L170,Settings!$A$27:$A$36,0))&amp;"","UNMAPPED"))</f>
        <v>Won</v>
      </c>
      <c r="T170" s="37" t="str">
        <f aca="false">IF($M170="","",IF(NOT(ISNUMBER(R170)),"NO DATE",IF(S170="Won",IF(R170&gt;Settings!$B$5,"Backlog","Delivered"),IF(S170="Open",IF(R170&gt;Settings!$B$5,"Pipeline","Overdue"),IF(S170="Lost","Lost","UNMAPPED")))))</f>
        <v>Delivered</v>
      </c>
      <c r="U170" s="40" t="n">
        <f aca="false">IF(T170="Backlog",1,IF(OR(T170="Pipeline",T170="Overdue"),N(INDEX(Settings!$C$27:$C$36,MATCH(L170,Settings!$A$27:$A$36,0))),0))</f>
        <v>0</v>
      </c>
      <c r="V170" s="38" t="n">
        <f aca="false">Q170*U170</f>
        <v>0</v>
      </c>
      <c r="W170" s="41" t="n">
        <f aca="false">IF($M170="","",IF(T170="Overdue",IF(Settings!$B$8="Yes",Settings!$B$7,""),IF(ISNUMBER(R170),DATE(YEAR(R170),MONTH(R170),1),"")))</f>
        <v>45962</v>
      </c>
      <c r="X170" s="38" t="n">
        <f aca="false">IF(AND(OR(T170="Backlog",T170="Pipeline",T170="Overdue"),ISNUMBER(W170)),IF(W170&lt;=Settings!$B$6,V170,0),0)</f>
        <v>0</v>
      </c>
      <c r="Y170" s="38" t="n">
        <f aca="false">IF(AND(OR(T170="Backlog",T170="Pipeline",T170="Overdue"),ISNUMBER(W170)),IF(W170&lt;=Settings!$B$6,Q170,0),0)</f>
        <v>0</v>
      </c>
      <c r="Z170" s="38" t="n">
        <f aca="false">IF(Y170=0,0,IF(T170="Backlog",Q170,Q170*Dashboard!$C$10))</f>
        <v>0</v>
      </c>
      <c r="AA170" s="37" t="n">
        <f aca="false">IF($N170="",0,IF(COUNTIF(Dashboard!$C$13:$C$22,$N170)&gt;0,1,0))</f>
        <v>0</v>
      </c>
      <c r="AB170" s="37" t="str">
        <f aca="false">IF($N170="","",IF(COUNTIF($N$8:$N170,$N170)=1,MAX($AB$7:$AB169)+1,""))</f>
        <v/>
      </c>
    </row>
    <row r="171" customFormat="false" ht="15" hidden="false" customHeight="false" outlineLevel="0" collapsed="false">
      <c r="B171" s="32" t="s">
        <v>534</v>
      </c>
      <c r="C171" s="32" t="s">
        <v>535</v>
      </c>
      <c r="D171" s="35" t="n">
        <v>5020</v>
      </c>
      <c r="E171" s="32" t="s">
        <v>141</v>
      </c>
      <c r="F171" s="36" t="n">
        <v>46164</v>
      </c>
      <c r="G171" s="32" t="s">
        <v>536</v>
      </c>
      <c r="L171" s="37" t="str">
        <f aca="false">IF(INDEX($A171:$J171,$L$6)&lt;&gt;"",TRIM(LEFT(INDEX($A171:$J171,$L$6),FIND("(",INDEX($A171:$J171,$L$6)&amp;"(")-1)),L170)</f>
        <v>Closed Won</v>
      </c>
      <c r="M171" s="37" t="str">
        <f aca="false">IF(INDEX($A171:$J171,$M$6)="","",INDEX($A171:$J171,$M$6)&amp;"")</f>
        <v>CoS | Barco Projector Shutters Supply - 2605804</v>
      </c>
      <c r="N171" s="37" t="str">
        <f aca="false">IF($M171="","",TRIM(INDEX($A171:$J171,$N$6)&amp;""))</f>
        <v>City of Sydney</v>
      </c>
      <c r="O171" s="37" t="str">
        <f aca="false">IF($M171="","",TRIM(INDEX($A171:$J171,$O$6)&amp;""))</f>
        <v>Integration</v>
      </c>
      <c r="P171" s="37" t="str">
        <f aca="false">IF($M171="","",IFERROR(IF(INDEX(Settings!$B$41:$B$50,MATCH(O171,Settings!$A$41:$A$50,0))&amp;""="","UNMAPPED",INDEX(Settings!$B$41:$B$50,MATCH(O171,Settings!$A$41:$A$50,0))&amp;""),"UNMAPPED"))</f>
        <v>Integration</v>
      </c>
      <c r="Q171" s="38" t="n">
        <f aca="false">IF($M171="",0,N(INDEX($A171:$J171,$Q$6)))</f>
        <v>5020</v>
      </c>
      <c r="R171" s="39" t="n">
        <f aca="false">IF($M171="","",INDEX($A171:$J171,$R$6))</f>
        <v>46164</v>
      </c>
      <c r="S171" s="37" t="str">
        <f aca="false">IF($M171="","",IFERROR(INDEX(Settings!$B$27:$B$36,MATCH(L171,Settings!$A$27:$A$36,0))&amp;"","UNMAPPED"))</f>
        <v>Won</v>
      </c>
      <c r="T171" s="37" t="str">
        <f aca="false">IF($M171="","",IF(NOT(ISNUMBER(R171)),"NO DATE",IF(S171="Won",IF(R171&gt;Settings!$B$5,"Backlog","Delivered"),IF(S171="Open",IF(R171&gt;Settings!$B$5,"Pipeline","Overdue"),IF(S171="Lost","Lost","UNMAPPED")))))</f>
        <v>Delivered</v>
      </c>
      <c r="U171" s="40" t="n">
        <f aca="false">IF(T171="Backlog",1,IF(OR(T171="Pipeline",T171="Overdue"),N(INDEX(Settings!$C$27:$C$36,MATCH(L171,Settings!$A$27:$A$36,0))),0))</f>
        <v>0</v>
      </c>
      <c r="V171" s="38" t="n">
        <f aca="false">Q171*U171</f>
        <v>0</v>
      </c>
      <c r="W171" s="41" t="n">
        <f aca="false">IF($M171="","",IF(T171="Overdue",IF(Settings!$B$8="Yes",Settings!$B$7,""),IF(ISNUMBER(R171),DATE(YEAR(R171),MONTH(R171),1),"")))</f>
        <v>46143</v>
      </c>
      <c r="X171" s="38" t="n">
        <f aca="false">IF(AND(OR(T171="Backlog",T171="Pipeline",T171="Overdue"),ISNUMBER(W171)),IF(W171&lt;=Settings!$B$6,V171,0),0)</f>
        <v>0</v>
      </c>
      <c r="Y171" s="38" t="n">
        <f aca="false">IF(AND(OR(T171="Backlog",T171="Pipeline",T171="Overdue"),ISNUMBER(W171)),IF(W171&lt;=Settings!$B$6,Q171,0),0)</f>
        <v>0</v>
      </c>
      <c r="Z171" s="38" t="n">
        <f aca="false">IF(Y171=0,0,IF(T171="Backlog",Q171,Q171*Dashboard!$C$10))</f>
        <v>0</v>
      </c>
      <c r="AA171" s="37" t="n">
        <f aca="false">IF($N171="",0,IF(COUNTIF(Dashboard!$C$13:$C$22,$N171)&gt;0,1,0))</f>
        <v>0</v>
      </c>
      <c r="AB171" s="37" t="n">
        <f aca="false">IF($N171="","",IF(COUNTIF($N$8:$N171,$N171)=1,MAX($AB$7:$AB170)+1,""))</f>
        <v>63</v>
      </c>
    </row>
    <row r="172" customFormat="false" ht="15" hidden="false" customHeight="false" outlineLevel="0" collapsed="false">
      <c r="B172" s="32" t="s">
        <v>537</v>
      </c>
      <c r="C172" s="32" t="s">
        <v>538</v>
      </c>
      <c r="D172" s="35" t="n">
        <v>2342</v>
      </c>
      <c r="E172" s="32" t="s">
        <v>141</v>
      </c>
      <c r="F172" s="36" t="n">
        <v>46093</v>
      </c>
      <c r="G172" s="32" t="s">
        <v>539</v>
      </c>
      <c r="L172" s="37" t="str">
        <f aca="false">IF(INDEX($A172:$J172,$L$6)&lt;&gt;"",TRIM(LEFT(INDEX($A172:$J172,$L$6),FIND("(",INDEX($A172:$J172,$L$6)&amp;"(")-1)),L171)</f>
        <v>Closed Won</v>
      </c>
      <c r="M172" s="37" t="str">
        <f aca="false">IF(INDEX($A172:$J172,$M$6)="","",INDEX($A172:$J172,$M$6)&amp;"")</f>
        <v>HP-Telstra: Phone Modification</v>
      </c>
      <c r="N172" s="37" t="str">
        <f aca="false">IF($M172="","",TRIM(INDEX($A172:$J172,$N$6)&amp;""))</f>
        <v>Telstra Enterprise</v>
      </c>
      <c r="O172" s="37" t="str">
        <f aca="false">IF($M172="","",TRIM(INDEX($A172:$J172,$O$6)&amp;""))</f>
        <v>Integration</v>
      </c>
      <c r="P172" s="37" t="str">
        <f aca="false">IF($M172="","",IFERROR(IF(INDEX(Settings!$B$41:$B$50,MATCH(O172,Settings!$A$41:$A$50,0))&amp;""="","UNMAPPED",INDEX(Settings!$B$41:$B$50,MATCH(O172,Settings!$A$41:$A$50,0))&amp;""),"UNMAPPED"))</f>
        <v>Integration</v>
      </c>
      <c r="Q172" s="38" t="n">
        <f aca="false">IF($M172="",0,N(INDEX($A172:$J172,$Q$6)))</f>
        <v>2342</v>
      </c>
      <c r="R172" s="39" t="n">
        <f aca="false">IF($M172="","",INDEX($A172:$J172,$R$6))</f>
        <v>46093</v>
      </c>
      <c r="S172" s="37" t="str">
        <f aca="false">IF($M172="","",IFERROR(INDEX(Settings!$B$27:$B$36,MATCH(L172,Settings!$A$27:$A$36,0))&amp;"","UNMAPPED"))</f>
        <v>Won</v>
      </c>
      <c r="T172" s="37" t="str">
        <f aca="false">IF($M172="","",IF(NOT(ISNUMBER(R172)),"NO DATE",IF(S172="Won",IF(R172&gt;Settings!$B$5,"Backlog","Delivered"),IF(S172="Open",IF(R172&gt;Settings!$B$5,"Pipeline","Overdue"),IF(S172="Lost","Lost","UNMAPPED")))))</f>
        <v>Delivered</v>
      </c>
      <c r="U172" s="40" t="n">
        <f aca="false">IF(T172="Backlog",1,IF(OR(T172="Pipeline",T172="Overdue"),N(INDEX(Settings!$C$27:$C$36,MATCH(L172,Settings!$A$27:$A$36,0))),0))</f>
        <v>0</v>
      </c>
      <c r="V172" s="38" t="n">
        <f aca="false">Q172*U172</f>
        <v>0</v>
      </c>
      <c r="W172" s="41" t="n">
        <f aca="false">IF($M172="","",IF(T172="Overdue",IF(Settings!$B$8="Yes",Settings!$B$7,""),IF(ISNUMBER(R172),DATE(YEAR(R172),MONTH(R172),1),"")))</f>
        <v>46082</v>
      </c>
      <c r="X172" s="38" t="n">
        <f aca="false">IF(AND(OR(T172="Backlog",T172="Pipeline",T172="Overdue"),ISNUMBER(W172)),IF(W172&lt;=Settings!$B$6,V172,0),0)</f>
        <v>0</v>
      </c>
      <c r="Y172" s="38" t="n">
        <f aca="false">IF(AND(OR(T172="Backlog",T172="Pipeline",T172="Overdue"),ISNUMBER(W172)),IF(W172&lt;=Settings!$B$6,Q172,0),0)</f>
        <v>0</v>
      </c>
      <c r="Z172" s="38" t="n">
        <f aca="false">IF(Y172=0,0,IF(T172="Backlog",Q172,Q172*Dashboard!$C$10))</f>
        <v>0</v>
      </c>
      <c r="AA172" s="37" t="n">
        <f aca="false">IF($N172="",0,IF(COUNTIF(Dashboard!$C$13:$C$22,$N172)&gt;0,1,0))</f>
        <v>0</v>
      </c>
      <c r="AB172" s="37" t="n">
        <f aca="false">IF($N172="","",IF(COUNTIF($N$8:$N172,$N172)=1,MAX($AB$7:$AB171)+1,""))</f>
        <v>64</v>
      </c>
    </row>
    <row r="173" customFormat="false" ht="15" hidden="false" customHeight="false" outlineLevel="0" collapsed="false">
      <c r="B173" s="32" t="s">
        <v>540</v>
      </c>
      <c r="C173" s="32" t="s">
        <v>191</v>
      </c>
      <c r="D173" s="35" t="n">
        <v>142800</v>
      </c>
      <c r="E173" s="32" t="s">
        <v>180</v>
      </c>
      <c r="F173" s="36" t="n">
        <v>46150</v>
      </c>
      <c r="G173" s="32" t="s">
        <v>541</v>
      </c>
      <c r="L173" s="37" t="str">
        <f aca="false">IF(INDEX($A173:$J173,$L$6)&lt;&gt;"",TRIM(LEFT(INDEX($A173:$J173,$L$6),FIND("(",INDEX($A173:$J173,$L$6)&amp;"(")-1)),L172)</f>
        <v>Closed Won</v>
      </c>
      <c r="M173" s="37" t="str">
        <f aca="false">IF(INDEX($A173:$J173,$M$6)="","",INDEX($A173:$J173,$M$6)&amp;"")</f>
        <v>CBA - Full Time Technician Melbourne - 12 month | 26043001</v>
      </c>
      <c r="N173" s="37" t="str">
        <f aca="false">IF($M173="","",TRIM(INDEX($A173:$J173,$N$6)&amp;""))</f>
        <v>Commonwealth Bank Australia (CBA)</v>
      </c>
      <c r="O173" s="37" t="str">
        <f aca="false">IF($M173="","",TRIM(INDEX($A173:$J173,$O$6)&amp;""))</f>
        <v>Support</v>
      </c>
      <c r="P173" s="37" t="str">
        <f aca="false">IF($M173="","",IFERROR(IF(INDEX(Settings!$B$41:$B$50,MATCH(O173,Settings!$A$41:$A$50,0))&amp;""="","UNMAPPED",INDEX(Settings!$B$41:$B$50,MATCH(O173,Settings!$A$41:$A$50,0))&amp;""),"UNMAPPED"))</f>
        <v>Onsite</v>
      </c>
      <c r="Q173" s="38" t="n">
        <f aca="false">IF($M173="",0,N(INDEX($A173:$J173,$Q$6)))</f>
        <v>142800</v>
      </c>
      <c r="R173" s="39" t="n">
        <f aca="false">IF($M173="","",INDEX($A173:$J173,$R$6))</f>
        <v>46150</v>
      </c>
      <c r="S173" s="37" t="str">
        <f aca="false">IF($M173="","",IFERROR(INDEX(Settings!$B$27:$B$36,MATCH(L173,Settings!$A$27:$A$36,0))&amp;"","UNMAPPED"))</f>
        <v>Won</v>
      </c>
      <c r="T173" s="37" t="str">
        <f aca="false">IF($M173="","",IF(NOT(ISNUMBER(R173)),"NO DATE",IF(S173="Won",IF(R173&gt;Settings!$B$5,"Backlog","Delivered"),IF(S173="Open",IF(R173&gt;Settings!$B$5,"Pipeline","Overdue"),IF(S173="Lost","Lost","UNMAPPED")))))</f>
        <v>Delivered</v>
      </c>
      <c r="U173" s="40" t="n">
        <f aca="false">IF(T173="Backlog",1,IF(OR(T173="Pipeline",T173="Overdue"),N(INDEX(Settings!$C$27:$C$36,MATCH(L173,Settings!$A$27:$A$36,0))),0))</f>
        <v>0</v>
      </c>
      <c r="V173" s="38" t="n">
        <f aca="false">Q173*U173</f>
        <v>0</v>
      </c>
      <c r="W173" s="41" t="n">
        <f aca="false">IF($M173="","",IF(T173="Overdue",IF(Settings!$B$8="Yes",Settings!$B$7,""),IF(ISNUMBER(R173),DATE(YEAR(R173),MONTH(R173),1),"")))</f>
        <v>46143</v>
      </c>
      <c r="X173" s="38" t="n">
        <f aca="false">IF(AND(OR(T173="Backlog",T173="Pipeline",T173="Overdue"),ISNUMBER(W173)),IF(W173&lt;=Settings!$B$6,V173,0),0)</f>
        <v>0</v>
      </c>
      <c r="Y173" s="38" t="n">
        <f aca="false">IF(AND(OR(T173="Backlog",T173="Pipeline",T173="Overdue"),ISNUMBER(W173)),IF(W173&lt;=Settings!$B$6,Q173,0),0)</f>
        <v>0</v>
      </c>
      <c r="Z173" s="38" t="n">
        <f aca="false">IF(Y173=0,0,IF(T173="Backlog",Q173,Q173*Dashboard!$C$10))</f>
        <v>0</v>
      </c>
      <c r="AA173" s="37" t="n">
        <f aca="false">IF($N173="",0,IF(COUNTIF(Dashboard!$C$13:$C$22,$N173)&gt;0,1,0))</f>
        <v>0</v>
      </c>
      <c r="AB173" s="37" t="str">
        <f aca="false">IF($N173="","",IF(COUNTIF($N$8:$N173,$N173)=1,MAX($AB$7:$AB172)+1,""))</f>
        <v/>
      </c>
    </row>
    <row r="174" customFormat="false" ht="15" hidden="false" customHeight="false" outlineLevel="0" collapsed="false">
      <c r="B174" s="32" t="s">
        <v>542</v>
      </c>
      <c r="C174" s="32" t="s">
        <v>211</v>
      </c>
      <c r="D174" s="35" t="n">
        <v>680</v>
      </c>
      <c r="E174" s="32" t="s">
        <v>145</v>
      </c>
      <c r="F174" s="36" t="n">
        <v>46286</v>
      </c>
      <c r="G174" s="32" t="s">
        <v>543</v>
      </c>
      <c r="L174" s="37" t="str">
        <f aca="false">IF(INDEX($A174:$J174,$L$6)&lt;&gt;"",TRIM(LEFT(INDEX($A174:$J174,$L$6),FIND("(",INDEX($A174:$J174,$L$6)&amp;"(")-1)),L173)</f>
        <v>Closed Won</v>
      </c>
      <c r="M174" s="37" t="str">
        <f aca="false">IF(INDEX($A174:$J174,$M$6)="","",INDEX($A174:$J174,$M$6)&amp;"")</f>
        <v>AusPayNet - Prod Support 21 &amp; 22.9.26</v>
      </c>
      <c r="N174" s="37" t="str">
        <f aca="false">IF($M174="","",TRIM(INDEX($A174:$J174,$N$6)&amp;""))</f>
        <v>Australian Payments Network</v>
      </c>
      <c r="O174" s="37" t="str">
        <f aca="false">IF($M174="","",TRIM(INDEX($A174:$J174,$O$6)&amp;""))</f>
        <v>Event Production</v>
      </c>
      <c r="P174" s="37" t="str">
        <f aca="false">IF($M174="","",IFERROR(IF(INDEX(Settings!$B$41:$B$50,MATCH(O174,Settings!$A$41:$A$50,0))&amp;""="","UNMAPPED",INDEX(Settings!$B$41:$B$50,MATCH(O174,Settings!$A$41:$A$50,0))&amp;""),"UNMAPPED"))</f>
        <v>Production</v>
      </c>
      <c r="Q174" s="38" t="n">
        <f aca="false">IF($M174="",0,N(INDEX($A174:$J174,$Q$6)))</f>
        <v>680</v>
      </c>
      <c r="R174" s="39" t="n">
        <f aca="false">IF($M174="","",INDEX($A174:$J174,$R$6))</f>
        <v>46286</v>
      </c>
      <c r="S174" s="37" t="str">
        <f aca="false">IF($M174="","",IFERROR(INDEX(Settings!$B$27:$B$36,MATCH(L174,Settings!$A$27:$A$36,0))&amp;"","UNMAPPED"))</f>
        <v>Won</v>
      </c>
      <c r="T174" s="37" t="str">
        <f aca="false">IF($M174="","",IF(NOT(ISNUMBER(R174)),"NO DATE",IF(S174="Won",IF(R174&gt;Settings!$B$5,"Backlog","Delivered"),IF(S174="Open",IF(R174&gt;Settings!$B$5,"Pipeline","Overdue"),IF(S174="Lost","Lost","UNMAPPED")))))</f>
        <v>Delivered</v>
      </c>
      <c r="U174" s="40" t="n">
        <f aca="false">IF(T174="Backlog",1,IF(OR(T174="Pipeline",T174="Overdue"),N(INDEX(Settings!$C$27:$C$36,MATCH(L174,Settings!$A$27:$A$36,0))),0))</f>
        <v>0</v>
      </c>
      <c r="V174" s="38" t="n">
        <f aca="false">Q174*U174</f>
        <v>0</v>
      </c>
      <c r="W174" s="41" t="n">
        <f aca="false">IF($M174="","",IF(T174="Overdue",IF(Settings!$B$8="Yes",Settings!$B$7,""),IF(ISNUMBER(R174),DATE(YEAR(R174),MONTH(R174),1),"")))</f>
        <v>46266</v>
      </c>
      <c r="X174" s="38" t="n">
        <f aca="false">IF(AND(OR(T174="Backlog",T174="Pipeline",T174="Overdue"),ISNUMBER(W174)),IF(W174&lt;=Settings!$B$6,V174,0),0)</f>
        <v>0</v>
      </c>
      <c r="Y174" s="38" t="n">
        <f aca="false">IF(AND(OR(T174="Backlog",T174="Pipeline",T174="Overdue"),ISNUMBER(W174)),IF(W174&lt;=Settings!$B$6,Q174,0),0)</f>
        <v>0</v>
      </c>
      <c r="Z174" s="38" t="n">
        <f aca="false">IF(Y174=0,0,IF(T174="Backlog",Q174,Q174*Dashboard!$C$10))</f>
        <v>0</v>
      </c>
      <c r="AA174" s="37" t="n">
        <f aca="false">IF($N174="",0,IF(COUNTIF(Dashboard!$C$13:$C$22,$N174)&gt;0,1,0))</f>
        <v>0</v>
      </c>
      <c r="AB174" s="37" t="str">
        <f aca="false">IF($N174="","",IF(COUNTIF($N$8:$N174,$N174)=1,MAX($AB$7:$AB173)+1,""))</f>
        <v/>
      </c>
    </row>
    <row r="175" customFormat="false" ht="15" hidden="false" customHeight="false" outlineLevel="0" collapsed="false">
      <c r="B175" s="32" t="s">
        <v>544</v>
      </c>
      <c r="C175" s="32" t="s">
        <v>205</v>
      </c>
      <c r="D175" s="35" t="n">
        <v>1146</v>
      </c>
      <c r="E175" s="32" t="s">
        <v>180</v>
      </c>
      <c r="F175" s="36" t="n">
        <v>45926</v>
      </c>
      <c r="G175" s="32" t="s">
        <v>545</v>
      </c>
      <c r="L175" s="37" t="str">
        <f aca="false">IF(INDEX($A175:$J175,$L$6)&lt;&gt;"",TRIM(LEFT(INDEX($A175:$J175,$L$6),FIND("(",INDEX($A175:$J175,$L$6)&amp;"(")-1)),L174)</f>
        <v>Closed Won</v>
      </c>
      <c r="M175" s="37" t="str">
        <f aca="false">IF(INDEX($A175:$J175,$M$6)="","",INDEX($A175:$J175,$M$6)&amp;"")</f>
        <v>DTTL - AV Solutions - Box Sale - AV Peripherals</v>
      </c>
      <c r="N175" s="37" t="str">
        <f aca="false">IF($M175="","",TRIM(INDEX($A175:$J175,$N$6)&amp;""))</f>
        <v>Deloitte - Sydney</v>
      </c>
      <c r="O175" s="37" t="str">
        <f aca="false">IF($M175="","",TRIM(INDEX($A175:$J175,$O$6)&amp;""))</f>
        <v>Support</v>
      </c>
      <c r="P175" s="37" t="str">
        <f aca="false">IF($M175="","",IFERROR(IF(INDEX(Settings!$B$41:$B$50,MATCH(O175,Settings!$A$41:$A$50,0))&amp;""="","UNMAPPED",INDEX(Settings!$B$41:$B$50,MATCH(O175,Settings!$A$41:$A$50,0))&amp;""),"UNMAPPED"))</f>
        <v>Onsite</v>
      </c>
      <c r="Q175" s="38" t="n">
        <f aca="false">IF($M175="",0,N(INDEX($A175:$J175,$Q$6)))</f>
        <v>1146</v>
      </c>
      <c r="R175" s="39" t="n">
        <f aca="false">IF($M175="","",INDEX($A175:$J175,$R$6))</f>
        <v>45926</v>
      </c>
      <c r="S175" s="37" t="str">
        <f aca="false">IF($M175="","",IFERROR(INDEX(Settings!$B$27:$B$36,MATCH(L175,Settings!$A$27:$A$36,0))&amp;"","UNMAPPED"))</f>
        <v>Won</v>
      </c>
      <c r="T175" s="37" t="str">
        <f aca="false">IF($M175="","",IF(NOT(ISNUMBER(R175)),"NO DATE",IF(S175="Won",IF(R175&gt;Settings!$B$5,"Backlog","Delivered"),IF(S175="Open",IF(R175&gt;Settings!$B$5,"Pipeline","Overdue"),IF(S175="Lost","Lost","UNMAPPED")))))</f>
        <v>Delivered</v>
      </c>
      <c r="U175" s="40" t="n">
        <f aca="false">IF(T175="Backlog",1,IF(OR(T175="Pipeline",T175="Overdue"),N(INDEX(Settings!$C$27:$C$36,MATCH(L175,Settings!$A$27:$A$36,0))),0))</f>
        <v>0</v>
      </c>
      <c r="V175" s="38" t="n">
        <f aca="false">Q175*U175</f>
        <v>0</v>
      </c>
      <c r="W175" s="41" t="n">
        <f aca="false">IF($M175="","",IF(T175="Overdue",IF(Settings!$B$8="Yes",Settings!$B$7,""),IF(ISNUMBER(R175),DATE(YEAR(R175),MONTH(R175),1),"")))</f>
        <v>45901</v>
      </c>
      <c r="X175" s="38" t="n">
        <f aca="false">IF(AND(OR(T175="Backlog",T175="Pipeline",T175="Overdue"),ISNUMBER(W175)),IF(W175&lt;=Settings!$B$6,V175,0),0)</f>
        <v>0</v>
      </c>
      <c r="Y175" s="38" t="n">
        <f aca="false">IF(AND(OR(T175="Backlog",T175="Pipeline",T175="Overdue"),ISNUMBER(W175)),IF(W175&lt;=Settings!$B$6,Q175,0),0)</f>
        <v>0</v>
      </c>
      <c r="Z175" s="38" t="n">
        <f aca="false">IF(Y175=0,0,IF(T175="Backlog",Q175,Q175*Dashboard!$C$10))</f>
        <v>0</v>
      </c>
      <c r="AA175" s="37" t="n">
        <f aca="false">IF($N175="",0,IF(COUNTIF(Dashboard!$C$13:$C$22,$N175)&gt;0,1,0))</f>
        <v>0</v>
      </c>
      <c r="AB175" s="37" t="str">
        <f aca="false">IF($N175="","",IF(COUNTIF($N$8:$N175,$N175)=1,MAX($AB$7:$AB174)+1,""))</f>
        <v/>
      </c>
    </row>
    <row r="176" customFormat="false" ht="15" hidden="false" customHeight="false" outlineLevel="0" collapsed="false">
      <c r="B176" s="32" t="s">
        <v>546</v>
      </c>
      <c r="C176" s="32" t="s">
        <v>211</v>
      </c>
      <c r="D176" s="35" t="n">
        <v>993</v>
      </c>
      <c r="E176" s="32" t="s">
        <v>141</v>
      </c>
      <c r="F176" s="36" t="n">
        <v>46253</v>
      </c>
      <c r="G176" s="32" t="s">
        <v>547</v>
      </c>
      <c r="L176" s="37" t="str">
        <f aca="false">IF(INDEX($A176:$J176,$L$6)&lt;&gt;"",TRIM(LEFT(INDEX($A176:$J176,$L$6),FIND("(",INDEX($A176:$J176,$L$6)&amp;"(")-1)),L175)</f>
        <v>Closed Won</v>
      </c>
      <c r="M176" s="37" t="str">
        <f aca="false">IF(INDEX($A176:$J176,$M$6)="","",INDEX($A176:$J176,$M$6)&amp;"")</f>
        <v>AusPayNet | Logi Subscription - 26081901</v>
      </c>
      <c r="N176" s="37" t="str">
        <f aca="false">IF($M176="","",TRIM(INDEX($A176:$J176,$N$6)&amp;""))</f>
        <v>Australian Payments Network</v>
      </c>
      <c r="O176" s="37" t="str">
        <f aca="false">IF($M176="","",TRIM(INDEX($A176:$J176,$O$6)&amp;""))</f>
        <v>Integration</v>
      </c>
      <c r="P176" s="37" t="str">
        <f aca="false">IF($M176="","",IFERROR(IF(INDEX(Settings!$B$41:$B$50,MATCH(O176,Settings!$A$41:$A$50,0))&amp;""="","UNMAPPED",INDEX(Settings!$B$41:$B$50,MATCH(O176,Settings!$A$41:$A$50,0))&amp;""),"UNMAPPED"))</f>
        <v>Integration</v>
      </c>
      <c r="Q176" s="38" t="n">
        <f aca="false">IF($M176="",0,N(INDEX($A176:$J176,$Q$6)))</f>
        <v>993</v>
      </c>
      <c r="R176" s="39" t="n">
        <f aca="false">IF($M176="","",INDEX($A176:$J176,$R$6))</f>
        <v>46253</v>
      </c>
      <c r="S176" s="37" t="str">
        <f aca="false">IF($M176="","",IFERROR(INDEX(Settings!$B$27:$B$36,MATCH(L176,Settings!$A$27:$A$36,0))&amp;"","UNMAPPED"))</f>
        <v>Won</v>
      </c>
      <c r="T176" s="37" t="str">
        <f aca="false">IF($M176="","",IF(NOT(ISNUMBER(R176)),"NO DATE",IF(S176="Won",IF(R176&gt;Settings!$B$5,"Backlog","Delivered"),IF(S176="Open",IF(R176&gt;Settings!$B$5,"Pipeline","Overdue"),IF(S176="Lost","Lost","UNMAPPED")))))</f>
        <v>Delivered</v>
      </c>
      <c r="U176" s="40" t="n">
        <f aca="false">IF(T176="Backlog",1,IF(OR(T176="Pipeline",T176="Overdue"),N(INDEX(Settings!$C$27:$C$36,MATCH(L176,Settings!$A$27:$A$36,0))),0))</f>
        <v>0</v>
      </c>
      <c r="V176" s="38" t="n">
        <f aca="false">Q176*U176</f>
        <v>0</v>
      </c>
      <c r="W176" s="41" t="n">
        <f aca="false">IF($M176="","",IF(T176="Overdue",IF(Settings!$B$8="Yes",Settings!$B$7,""),IF(ISNUMBER(R176),DATE(YEAR(R176),MONTH(R176),1),"")))</f>
        <v>46235</v>
      </c>
      <c r="X176" s="38" t="n">
        <f aca="false">IF(AND(OR(T176="Backlog",T176="Pipeline",T176="Overdue"),ISNUMBER(W176)),IF(W176&lt;=Settings!$B$6,V176,0),0)</f>
        <v>0</v>
      </c>
      <c r="Y176" s="38" t="n">
        <f aca="false">IF(AND(OR(T176="Backlog",T176="Pipeline",T176="Overdue"),ISNUMBER(W176)),IF(W176&lt;=Settings!$B$6,Q176,0),0)</f>
        <v>0</v>
      </c>
      <c r="Z176" s="38" t="n">
        <f aca="false">IF(Y176=0,0,IF(T176="Backlog",Q176,Q176*Dashboard!$C$10))</f>
        <v>0</v>
      </c>
      <c r="AA176" s="37" t="n">
        <f aca="false">IF($N176="",0,IF(COUNTIF(Dashboard!$C$13:$C$22,$N176)&gt;0,1,0))</f>
        <v>0</v>
      </c>
      <c r="AB176" s="37" t="str">
        <f aca="false">IF($N176="","",IF(COUNTIF($N$8:$N176,$N176)=1,MAX($AB$7:$AB175)+1,""))</f>
        <v/>
      </c>
    </row>
    <row r="177" customFormat="false" ht="15" hidden="false" customHeight="false" outlineLevel="0" collapsed="false">
      <c r="B177" s="32" t="s">
        <v>548</v>
      </c>
      <c r="C177" s="32" t="s">
        <v>160</v>
      </c>
      <c r="D177" s="35" t="n">
        <v>380</v>
      </c>
      <c r="E177" s="32" t="s">
        <v>145</v>
      </c>
      <c r="F177" s="36" t="n">
        <v>46168</v>
      </c>
      <c r="G177" s="32" t="s">
        <v>549</v>
      </c>
      <c r="L177" s="37" t="str">
        <f aca="false">IF(INDEX($A177:$J177,$L$6)&lt;&gt;"",TRIM(LEFT(INDEX($A177:$J177,$L$6),FIND("(",INDEX($A177:$J177,$L$6)&amp;"(")-1)),L176)</f>
        <v>Closed Won</v>
      </c>
      <c r="M177" s="37" t="str">
        <f aca="false">IF(INDEX($A177:$J177,$M$6)="","",INDEX($A177:$J177,$M$6)&amp;"")</f>
        <v>Elkiem Studio Support 26.5.26</v>
      </c>
      <c r="N177" s="37" t="str">
        <f aca="false">IF($M177="","",TRIM(INDEX($A177:$J177,$N$6)&amp;""))</f>
        <v>Elkiem</v>
      </c>
      <c r="O177" s="37" t="str">
        <f aca="false">IF($M177="","",TRIM(INDEX($A177:$J177,$O$6)&amp;""))</f>
        <v>Event Production</v>
      </c>
      <c r="P177" s="37" t="str">
        <f aca="false">IF($M177="","",IFERROR(IF(INDEX(Settings!$B$41:$B$50,MATCH(O177,Settings!$A$41:$A$50,0))&amp;""="","UNMAPPED",INDEX(Settings!$B$41:$B$50,MATCH(O177,Settings!$A$41:$A$50,0))&amp;""),"UNMAPPED"))</f>
        <v>Production</v>
      </c>
      <c r="Q177" s="38" t="n">
        <f aca="false">IF($M177="",0,N(INDEX($A177:$J177,$Q$6)))</f>
        <v>380</v>
      </c>
      <c r="R177" s="39" t="n">
        <f aca="false">IF($M177="","",INDEX($A177:$J177,$R$6))</f>
        <v>46168</v>
      </c>
      <c r="S177" s="37" t="str">
        <f aca="false">IF($M177="","",IFERROR(INDEX(Settings!$B$27:$B$36,MATCH(L177,Settings!$A$27:$A$36,0))&amp;"","UNMAPPED"))</f>
        <v>Won</v>
      </c>
      <c r="T177" s="37" t="str">
        <f aca="false">IF($M177="","",IF(NOT(ISNUMBER(R177)),"NO DATE",IF(S177="Won",IF(R177&gt;Settings!$B$5,"Backlog","Delivered"),IF(S177="Open",IF(R177&gt;Settings!$B$5,"Pipeline","Overdue"),IF(S177="Lost","Lost","UNMAPPED")))))</f>
        <v>Delivered</v>
      </c>
      <c r="U177" s="40" t="n">
        <f aca="false">IF(T177="Backlog",1,IF(OR(T177="Pipeline",T177="Overdue"),N(INDEX(Settings!$C$27:$C$36,MATCH(L177,Settings!$A$27:$A$36,0))),0))</f>
        <v>0</v>
      </c>
      <c r="V177" s="38" t="n">
        <f aca="false">Q177*U177</f>
        <v>0</v>
      </c>
      <c r="W177" s="41" t="n">
        <f aca="false">IF($M177="","",IF(T177="Overdue",IF(Settings!$B$8="Yes",Settings!$B$7,""),IF(ISNUMBER(R177),DATE(YEAR(R177),MONTH(R177),1),"")))</f>
        <v>46143</v>
      </c>
      <c r="X177" s="38" t="n">
        <f aca="false">IF(AND(OR(T177="Backlog",T177="Pipeline",T177="Overdue"),ISNUMBER(W177)),IF(W177&lt;=Settings!$B$6,V177,0),0)</f>
        <v>0</v>
      </c>
      <c r="Y177" s="38" t="n">
        <f aca="false">IF(AND(OR(T177="Backlog",T177="Pipeline",T177="Overdue"),ISNUMBER(W177)),IF(W177&lt;=Settings!$B$6,Q177,0),0)</f>
        <v>0</v>
      </c>
      <c r="Z177" s="38" t="n">
        <f aca="false">IF(Y177=0,0,IF(T177="Backlog",Q177,Q177*Dashboard!$C$10))</f>
        <v>0</v>
      </c>
      <c r="AA177" s="37" t="n">
        <f aca="false">IF($N177="",0,IF(COUNTIF(Dashboard!$C$13:$C$22,$N177)&gt;0,1,0))</f>
        <v>0</v>
      </c>
      <c r="AB177" s="37" t="str">
        <f aca="false">IF($N177="","",IF(COUNTIF($N$8:$N177,$N177)=1,MAX($AB$7:$AB176)+1,""))</f>
        <v/>
      </c>
    </row>
    <row r="178" customFormat="false" ht="15" hidden="false" customHeight="false" outlineLevel="0" collapsed="false">
      <c r="B178" s="32" t="s">
        <v>550</v>
      </c>
      <c r="C178" s="32" t="s">
        <v>324</v>
      </c>
      <c r="D178" s="35" t="n">
        <v>3600</v>
      </c>
      <c r="E178" s="32" t="s">
        <v>145</v>
      </c>
      <c r="F178" s="36" t="n">
        <v>45922</v>
      </c>
      <c r="G178" s="32" t="s">
        <v>551</v>
      </c>
      <c r="L178" s="37" t="str">
        <f aca="false">IF(INDEX($A178:$J178,$L$6)&lt;&gt;"",TRIM(LEFT(INDEX($A178:$J178,$L$6),FIND("(",INDEX($A178:$J178,$L$6)&amp;"(")-1)),L177)</f>
        <v>Closed Won</v>
      </c>
      <c r="M178" s="37" t="str">
        <f aca="false">IF(INDEX($A178:$J178,$M$6)="","",INDEX($A178:$J178,$M$6)&amp;"")</f>
        <v>KWM Stream 22.9.25</v>
      </c>
      <c r="N178" s="37" t="str">
        <f aca="false">IF($M178="","",TRIM(INDEX($A178:$J178,$N$6)&amp;""))</f>
        <v>ON24</v>
      </c>
      <c r="O178" s="37" t="str">
        <f aca="false">IF($M178="","",TRIM(INDEX($A178:$J178,$O$6)&amp;""))</f>
        <v>Event Production</v>
      </c>
      <c r="P178" s="37" t="str">
        <f aca="false">IF($M178="","",IFERROR(IF(INDEX(Settings!$B$41:$B$50,MATCH(O178,Settings!$A$41:$A$50,0))&amp;""="","UNMAPPED",INDEX(Settings!$B$41:$B$50,MATCH(O178,Settings!$A$41:$A$50,0))&amp;""),"UNMAPPED"))</f>
        <v>Production</v>
      </c>
      <c r="Q178" s="38" t="n">
        <f aca="false">IF($M178="",0,N(INDEX($A178:$J178,$Q$6)))</f>
        <v>3600</v>
      </c>
      <c r="R178" s="39" t="n">
        <f aca="false">IF($M178="","",INDEX($A178:$J178,$R$6))</f>
        <v>45922</v>
      </c>
      <c r="S178" s="37" t="str">
        <f aca="false">IF($M178="","",IFERROR(INDEX(Settings!$B$27:$B$36,MATCH(L178,Settings!$A$27:$A$36,0))&amp;"","UNMAPPED"))</f>
        <v>Won</v>
      </c>
      <c r="T178" s="37" t="str">
        <f aca="false">IF($M178="","",IF(NOT(ISNUMBER(R178)),"NO DATE",IF(S178="Won",IF(R178&gt;Settings!$B$5,"Backlog","Delivered"),IF(S178="Open",IF(R178&gt;Settings!$B$5,"Pipeline","Overdue"),IF(S178="Lost","Lost","UNMAPPED")))))</f>
        <v>Delivered</v>
      </c>
      <c r="U178" s="40" t="n">
        <f aca="false">IF(T178="Backlog",1,IF(OR(T178="Pipeline",T178="Overdue"),N(INDEX(Settings!$C$27:$C$36,MATCH(L178,Settings!$A$27:$A$36,0))),0))</f>
        <v>0</v>
      </c>
      <c r="V178" s="38" t="n">
        <f aca="false">Q178*U178</f>
        <v>0</v>
      </c>
      <c r="W178" s="41" t="n">
        <f aca="false">IF($M178="","",IF(T178="Overdue",IF(Settings!$B$8="Yes",Settings!$B$7,""),IF(ISNUMBER(R178),DATE(YEAR(R178),MONTH(R178),1),"")))</f>
        <v>45901</v>
      </c>
      <c r="X178" s="38" t="n">
        <f aca="false">IF(AND(OR(T178="Backlog",T178="Pipeline",T178="Overdue"),ISNUMBER(W178)),IF(W178&lt;=Settings!$B$6,V178,0),0)</f>
        <v>0</v>
      </c>
      <c r="Y178" s="38" t="n">
        <f aca="false">IF(AND(OR(T178="Backlog",T178="Pipeline",T178="Overdue"),ISNUMBER(W178)),IF(W178&lt;=Settings!$B$6,Q178,0),0)</f>
        <v>0</v>
      </c>
      <c r="Z178" s="38" t="n">
        <f aca="false">IF(Y178=0,0,IF(T178="Backlog",Q178,Q178*Dashboard!$C$10))</f>
        <v>0</v>
      </c>
      <c r="AA178" s="37" t="n">
        <f aca="false">IF($N178="",0,IF(COUNTIF(Dashboard!$C$13:$C$22,$N178)&gt;0,1,0))</f>
        <v>0</v>
      </c>
      <c r="AB178" s="37" t="str">
        <f aca="false">IF($N178="","",IF(COUNTIF($N$8:$N178,$N178)=1,MAX($AB$7:$AB177)+1,""))</f>
        <v/>
      </c>
    </row>
    <row r="179" customFormat="false" ht="15" hidden="false" customHeight="false" outlineLevel="0" collapsed="false">
      <c r="B179" s="32" t="s">
        <v>552</v>
      </c>
      <c r="C179" s="32" t="s">
        <v>310</v>
      </c>
      <c r="D179" s="35" t="n">
        <v>2215</v>
      </c>
      <c r="E179" s="32" t="s">
        <v>145</v>
      </c>
      <c r="F179" s="36" t="n">
        <v>46134</v>
      </c>
      <c r="G179" s="32" t="s">
        <v>553</v>
      </c>
      <c r="L179" s="37" t="str">
        <f aca="false">IF(INDEX($A179:$J179,$L$6)&lt;&gt;"",TRIM(LEFT(INDEX($A179:$J179,$L$6),FIND("(",INDEX($A179:$J179,$L$6)&amp;"(")-1)),L178)</f>
        <v>Closed Won</v>
      </c>
      <c r="M179" s="37" t="str">
        <f aca="false">IF(INDEX($A179:$J179,$M$6)="","",INDEX($A179:$J179,$M$6)&amp;"")</f>
        <v>Cochlear - Conference Call - 22.4.26</v>
      </c>
      <c r="N179" s="37" t="str">
        <f aca="false">IF($M179="","",TRIM(INDEX($A179:$J179,$N$6)&amp;""))</f>
        <v>Cochlear</v>
      </c>
      <c r="O179" s="37" t="str">
        <f aca="false">IF($M179="","",TRIM(INDEX($A179:$J179,$O$6)&amp;""))</f>
        <v>Event Production</v>
      </c>
      <c r="P179" s="37" t="str">
        <f aca="false">IF($M179="","",IFERROR(IF(INDEX(Settings!$B$41:$B$50,MATCH(O179,Settings!$A$41:$A$50,0))&amp;""="","UNMAPPED",INDEX(Settings!$B$41:$B$50,MATCH(O179,Settings!$A$41:$A$50,0))&amp;""),"UNMAPPED"))</f>
        <v>Production</v>
      </c>
      <c r="Q179" s="38" t="n">
        <f aca="false">IF($M179="",0,N(INDEX($A179:$J179,$Q$6)))</f>
        <v>2215</v>
      </c>
      <c r="R179" s="39" t="n">
        <f aca="false">IF($M179="","",INDEX($A179:$J179,$R$6))</f>
        <v>46134</v>
      </c>
      <c r="S179" s="37" t="str">
        <f aca="false">IF($M179="","",IFERROR(INDEX(Settings!$B$27:$B$36,MATCH(L179,Settings!$A$27:$A$36,0))&amp;"","UNMAPPED"))</f>
        <v>Won</v>
      </c>
      <c r="T179" s="37" t="str">
        <f aca="false">IF($M179="","",IF(NOT(ISNUMBER(R179)),"NO DATE",IF(S179="Won",IF(R179&gt;Settings!$B$5,"Backlog","Delivered"),IF(S179="Open",IF(R179&gt;Settings!$B$5,"Pipeline","Overdue"),IF(S179="Lost","Lost","UNMAPPED")))))</f>
        <v>Delivered</v>
      </c>
      <c r="U179" s="40" t="n">
        <f aca="false">IF(T179="Backlog",1,IF(OR(T179="Pipeline",T179="Overdue"),N(INDEX(Settings!$C$27:$C$36,MATCH(L179,Settings!$A$27:$A$36,0))),0))</f>
        <v>0</v>
      </c>
      <c r="V179" s="38" t="n">
        <f aca="false">Q179*U179</f>
        <v>0</v>
      </c>
      <c r="W179" s="41" t="n">
        <f aca="false">IF($M179="","",IF(T179="Overdue",IF(Settings!$B$8="Yes",Settings!$B$7,""),IF(ISNUMBER(R179),DATE(YEAR(R179),MONTH(R179),1),"")))</f>
        <v>46113</v>
      </c>
      <c r="X179" s="38" t="n">
        <f aca="false">IF(AND(OR(T179="Backlog",T179="Pipeline",T179="Overdue"),ISNUMBER(W179)),IF(W179&lt;=Settings!$B$6,V179,0),0)</f>
        <v>0</v>
      </c>
      <c r="Y179" s="38" t="n">
        <f aca="false">IF(AND(OR(T179="Backlog",T179="Pipeline",T179="Overdue"),ISNUMBER(W179)),IF(W179&lt;=Settings!$B$6,Q179,0),0)</f>
        <v>0</v>
      </c>
      <c r="Z179" s="38" t="n">
        <f aca="false">IF(Y179=0,0,IF(T179="Backlog",Q179,Q179*Dashboard!$C$10))</f>
        <v>0</v>
      </c>
      <c r="AA179" s="37" t="n">
        <f aca="false">IF($N179="",0,IF(COUNTIF(Dashboard!$C$13:$C$22,$N179)&gt;0,1,0))</f>
        <v>0</v>
      </c>
      <c r="AB179" s="37" t="str">
        <f aca="false">IF($N179="","",IF(COUNTIF($N$8:$N179,$N179)=1,MAX($AB$7:$AB178)+1,""))</f>
        <v/>
      </c>
    </row>
    <row r="180" customFormat="false" ht="15" hidden="false" customHeight="false" outlineLevel="0" collapsed="false">
      <c r="B180" s="32" t="s">
        <v>554</v>
      </c>
      <c r="C180" s="32" t="s">
        <v>217</v>
      </c>
      <c r="D180" s="35" t="n">
        <v>2152</v>
      </c>
      <c r="E180" s="32" t="s">
        <v>145</v>
      </c>
      <c r="F180" s="36" t="n">
        <v>46224</v>
      </c>
      <c r="G180" s="32" t="s">
        <v>555</v>
      </c>
      <c r="L180" s="37" t="str">
        <f aca="false">IF(INDEX($A180:$J180,$L$6)&lt;&gt;"",TRIM(LEFT(INDEX($A180:$J180,$L$6),FIND("(",INDEX($A180:$J180,$L$6)&amp;"(")-1)),L179)</f>
        <v>Closed Won</v>
      </c>
      <c r="M180" s="37" t="str">
        <f aca="false">IF(INDEX($A180:$J180,$M$6)="","",INDEX($A180:$J180,$M$6)&amp;"")</f>
        <v>Garvan - YPO Event - 6.8.26</v>
      </c>
      <c r="N180" s="37" t="str">
        <f aca="false">IF($M180="","",TRIM(INDEX($A180:$J180,$N$6)&amp;""))</f>
        <v>Garvan Institute of Medical Research</v>
      </c>
      <c r="O180" s="37" t="str">
        <f aca="false">IF($M180="","",TRIM(INDEX($A180:$J180,$O$6)&amp;""))</f>
        <v>Event Production</v>
      </c>
      <c r="P180" s="37" t="str">
        <f aca="false">IF($M180="","",IFERROR(IF(INDEX(Settings!$B$41:$B$50,MATCH(O180,Settings!$A$41:$A$50,0))&amp;""="","UNMAPPED",INDEX(Settings!$B$41:$B$50,MATCH(O180,Settings!$A$41:$A$50,0))&amp;""),"UNMAPPED"))</f>
        <v>Production</v>
      </c>
      <c r="Q180" s="38" t="n">
        <f aca="false">IF($M180="",0,N(INDEX($A180:$J180,$Q$6)))</f>
        <v>2152</v>
      </c>
      <c r="R180" s="39" t="n">
        <f aca="false">IF($M180="","",INDEX($A180:$J180,$R$6))</f>
        <v>46224</v>
      </c>
      <c r="S180" s="37" t="str">
        <f aca="false">IF($M180="","",IFERROR(INDEX(Settings!$B$27:$B$36,MATCH(L180,Settings!$A$27:$A$36,0))&amp;"","UNMAPPED"))</f>
        <v>Won</v>
      </c>
      <c r="T180" s="37" t="str">
        <f aca="false">IF($M180="","",IF(NOT(ISNUMBER(R180)),"NO DATE",IF(S180="Won",IF(R180&gt;Settings!$B$5,"Backlog","Delivered"),IF(S180="Open",IF(R180&gt;Settings!$B$5,"Pipeline","Overdue"),IF(S180="Lost","Lost","UNMAPPED")))))</f>
        <v>Delivered</v>
      </c>
      <c r="U180" s="40" t="n">
        <f aca="false">IF(T180="Backlog",1,IF(OR(T180="Pipeline",T180="Overdue"),N(INDEX(Settings!$C$27:$C$36,MATCH(L180,Settings!$A$27:$A$36,0))),0))</f>
        <v>0</v>
      </c>
      <c r="V180" s="38" t="n">
        <f aca="false">Q180*U180</f>
        <v>0</v>
      </c>
      <c r="W180" s="41" t="n">
        <f aca="false">IF($M180="","",IF(T180="Overdue",IF(Settings!$B$8="Yes",Settings!$B$7,""),IF(ISNUMBER(R180),DATE(YEAR(R180),MONTH(R180),1),"")))</f>
        <v>46204</v>
      </c>
      <c r="X180" s="38" t="n">
        <f aca="false">IF(AND(OR(T180="Backlog",T180="Pipeline",T180="Overdue"),ISNUMBER(W180)),IF(W180&lt;=Settings!$B$6,V180,0),0)</f>
        <v>0</v>
      </c>
      <c r="Y180" s="38" t="n">
        <f aca="false">IF(AND(OR(T180="Backlog",T180="Pipeline",T180="Overdue"),ISNUMBER(W180)),IF(W180&lt;=Settings!$B$6,Q180,0),0)</f>
        <v>0</v>
      </c>
      <c r="Z180" s="38" t="n">
        <f aca="false">IF(Y180=0,0,IF(T180="Backlog",Q180,Q180*Dashboard!$C$10))</f>
        <v>0</v>
      </c>
      <c r="AA180" s="37" t="n">
        <f aca="false">IF($N180="",0,IF(COUNTIF(Dashboard!$C$13:$C$22,$N180)&gt;0,1,0))</f>
        <v>0</v>
      </c>
      <c r="AB180" s="37" t="str">
        <f aca="false">IF($N180="","",IF(COUNTIF($N$8:$N180,$N180)=1,MAX($AB$7:$AB179)+1,""))</f>
        <v/>
      </c>
    </row>
    <row r="181" customFormat="false" ht="15" hidden="false" customHeight="false" outlineLevel="0" collapsed="false">
      <c r="B181" s="32" t="s">
        <v>556</v>
      </c>
      <c r="C181" s="32" t="s">
        <v>194</v>
      </c>
      <c r="D181" s="35" t="n">
        <v>16938</v>
      </c>
      <c r="E181" s="32" t="s">
        <v>145</v>
      </c>
      <c r="F181" s="36" t="n">
        <v>46182</v>
      </c>
      <c r="G181" s="32" t="s">
        <v>557</v>
      </c>
      <c r="L181" s="37" t="str">
        <f aca="false">IF(INDEX($A181:$J181,$L$6)&lt;&gt;"",TRIM(LEFT(INDEX($A181:$J181,$L$6),FIND("(",INDEX($A181:$J181,$L$6)&amp;"(")-1)),L180)</f>
        <v>Closed Won</v>
      </c>
      <c r="M181" s="37" t="str">
        <f aca="false">IF(INDEX($A181:$J181,$M$6)="","",INDEX($A181:$J181,$M$6)&amp;"")</f>
        <v>Ventia - June CEO Town Hall - 18.6.26</v>
      </c>
      <c r="N181" s="37" t="str">
        <f aca="false">IF($M181="","",TRIM(INDEX($A181:$J181,$N$6)&amp;""))</f>
        <v>Ventia</v>
      </c>
      <c r="O181" s="37" t="str">
        <f aca="false">IF($M181="","",TRIM(INDEX($A181:$J181,$O$6)&amp;""))</f>
        <v>Event Production</v>
      </c>
      <c r="P181" s="37" t="str">
        <f aca="false">IF($M181="","",IFERROR(IF(INDEX(Settings!$B$41:$B$50,MATCH(O181,Settings!$A$41:$A$50,0))&amp;""="","UNMAPPED",INDEX(Settings!$B$41:$B$50,MATCH(O181,Settings!$A$41:$A$50,0))&amp;""),"UNMAPPED"))</f>
        <v>Production</v>
      </c>
      <c r="Q181" s="38" t="n">
        <f aca="false">IF($M181="",0,N(INDEX($A181:$J181,$Q$6)))</f>
        <v>16938</v>
      </c>
      <c r="R181" s="39" t="n">
        <f aca="false">IF($M181="","",INDEX($A181:$J181,$R$6))</f>
        <v>46182</v>
      </c>
      <c r="S181" s="37" t="str">
        <f aca="false">IF($M181="","",IFERROR(INDEX(Settings!$B$27:$B$36,MATCH(L181,Settings!$A$27:$A$36,0))&amp;"","UNMAPPED"))</f>
        <v>Won</v>
      </c>
      <c r="T181" s="37" t="str">
        <f aca="false">IF($M181="","",IF(NOT(ISNUMBER(R181)),"NO DATE",IF(S181="Won",IF(R181&gt;Settings!$B$5,"Backlog","Delivered"),IF(S181="Open",IF(R181&gt;Settings!$B$5,"Pipeline","Overdue"),IF(S181="Lost","Lost","UNMAPPED")))))</f>
        <v>Delivered</v>
      </c>
      <c r="U181" s="40" t="n">
        <f aca="false">IF(T181="Backlog",1,IF(OR(T181="Pipeline",T181="Overdue"),N(INDEX(Settings!$C$27:$C$36,MATCH(L181,Settings!$A$27:$A$36,0))),0))</f>
        <v>0</v>
      </c>
      <c r="V181" s="38" t="n">
        <f aca="false">Q181*U181</f>
        <v>0</v>
      </c>
      <c r="W181" s="41" t="n">
        <f aca="false">IF($M181="","",IF(T181="Overdue",IF(Settings!$B$8="Yes",Settings!$B$7,""),IF(ISNUMBER(R181),DATE(YEAR(R181),MONTH(R181),1),"")))</f>
        <v>46174</v>
      </c>
      <c r="X181" s="38" t="n">
        <f aca="false">IF(AND(OR(T181="Backlog",T181="Pipeline",T181="Overdue"),ISNUMBER(W181)),IF(W181&lt;=Settings!$B$6,V181,0),0)</f>
        <v>0</v>
      </c>
      <c r="Y181" s="38" t="n">
        <f aca="false">IF(AND(OR(T181="Backlog",T181="Pipeline",T181="Overdue"),ISNUMBER(W181)),IF(W181&lt;=Settings!$B$6,Q181,0),0)</f>
        <v>0</v>
      </c>
      <c r="Z181" s="38" t="n">
        <f aca="false">IF(Y181=0,0,IF(T181="Backlog",Q181,Q181*Dashboard!$C$10))</f>
        <v>0</v>
      </c>
      <c r="AA181" s="37" t="n">
        <f aca="false">IF($N181="",0,IF(COUNTIF(Dashboard!$C$13:$C$22,$N181)&gt;0,1,0))</f>
        <v>0</v>
      </c>
      <c r="AB181" s="37" t="str">
        <f aca="false">IF($N181="","",IF(COUNTIF($N$8:$N181,$N181)=1,MAX($AB$7:$AB180)+1,""))</f>
        <v/>
      </c>
    </row>
    <row r="182" customFormat="false" ht="15" hidden="false" customHeight="false" outlineLevel="0" collapsed="false">
      <c r="B182" s="32" t="s">
        <v>558</v>
      </c>
      <c r="C182" s="32" t="s">
        <v>154</v>
      </c>
      <c r="D182" s="35" t="n">
        <v>2400</v>
      </c>
      <c r="E182" s="32" t="s">
        <v>180</v>
      </c>
      <c r="F182" s="36" t="n">
        <v>45856</v>
      </c>
      <c r="G182" s="32" t="s">
        <v>559</v>
      </c>
      <c r="L182" s="37" t="str">
        <f aca="false">IF(INDEX($A182:$J182,$L$6)&lt;&gt;"",TRIM(LEFT(INDEX($A182:$J182,$L$6),FIND("(",INDEX($A182:$J182,$L$6)&amp;"(")-1)),L181)</f>
        <v>Closed Won</v>
      </c>
      <c r="M182" s="37" t="str">
        <f aca="false">IF(INDEX($A182:$J182,$M$6)="","",INDEX($A182:$J182,$M$6)&amp;"")</f>
        <v>PWC Melbourne Support | Additional Tech's June/July 2025</v>
      </c>
      <c r="N182" s="37" t="str">
        <f aca="false">IF($M182="","",TRIM(INDEX($A182:$J182,$N$6)&amp;""))</f>
        <v>PWC</v>
      </c>
      <c r="O182" s="37" t="str">
        <f aca="false">IF($M182="","",TRIM(INDEX($A182:$J182,$O$6)&amp;""))</f>
        <v>Support</v>
      </c>
      <c r="P182" s="37" t="str">
        <f aca="false">IF($M182="","",IFERROR(IF(INDEX(Settings!$B$41:$B$50,MATCH(O182,Settings!$A$41:$A$50,0))&amp;""="","UNMAPPED",INDEX(Settings!$B$41:$B$50,MATCH(O182,Settings!$A$41:$A$50,0))&amp;""),"UNMAPPED"))</f>
        <v>Onsite</v>
      </c>
      <c r="Q182" s="38" t="n">
        <f aca="false">IF($M182="",0,N(INDEX($A182:$J182,$Q$6)))</f>
        <v>2400</v>
      </c>
      <c r="R182" s="39" t="n">
        <f aca="false">IF($M182="","",INDEX($A182:$J182,$R$6))</f>
        <v>45856</v>
      </c>
      <c r="S182" s="37" t="str">
        <f aca="false">IF($M182="","",IFERROR(INDEX(Settings!$B$27:$B$36,MATCH(L182,Settings!$A$27:$A$36,0))&amp;"","UNMAPPED"))</f>
        <v>Won</v>
      </c>
      <c r="T182" s="37" t="str">
        <f aca="false">IF($M182="","",IF(NOT(ISNUMBER(R182)),"NO DATE",IF(S182="Won",IF(R182&gt;Settings!$B$5,"Backlog","Delivered"),IF(S182="Open",IF(R182&gt;Settings!$B$5,"Pipeline","Overdue"),IF(S182="Lost","Lost","UNMAPPED")))))</f>
        <v>Delivered</v>
      </c>
      <c r="U182" s="40" t="n">
        <f aca="false">IF(T182="Backlog",1,IF(OR(T182="Pipeline",T182="Overdue"),N(INDEX(Settings!$C$27:$C$36,MATCH(L182,Settings!$A$27:$A$36,0))),0))</f>
        <v>0</v>
      </c>
      <c r="V182" s="38" t="n">
        <f aca="false">Q182*U182</f>
        <v>0</v>
      </c>
      <c r="W182" s="41" t="n">
        <f aca="false">IF($M182="","",IF(T182="Overdue",IF(Settings!$B$8="Yes",Settings!$B$7,""),IF(ISNUMBER(R182),DATE(YEAR(R182),MONTH(R182),1),"")))</f>
        <v>45839</v>
      </c>
      <c r="X182" s="38" t="n">
        <f aca="false">IF(AND(OR(T182="Backlog",T182="Pipeline",T182="Overdue"),ISNUMBER(W182)),IF(W182&lt;=Settings!$B$6,V182,0),0)</f>
        <v>0</v>
      </c>
      <c r="Y182" s="38" t="n">
        <f aca="false">IF(AND(OR(T182="Backlog",T182="Pipeline",T182="Overdue"),ISNUMBER(W182)),IF(W182&lt;=Settings!$B$6,Q182,0),0)</f>
        <v>0</v>
      </c>
      <c r="Z182" s="38" t="n">
        <f aca="false">IF(Y182=0,0,IF(T182="Backlog",Q182,Q182*Dashboard!$C$10))</f>
        <v>0</v>
      </c>
      <c r="AA182" s="37" t="n">
        <f aca="false">IF($N182="",0,IF(COUNTIF(Dashboard!$C$13:$C$22,$N182)&gt;0,1,0))</f>
        <v>0</v>
      </c>
      <c r="AB182" s="37" t="str">
        <f aca="false">IF($N182="","",IF(COUNTIF($N$8:$N182,$N182)=1,MAX($AB$7:$AB181)+1,""))</f>
        <v/>
      </c>
    </row>
    <row r="183" customFormat="false" ht="15" hidden="false" customHeight="false" outlineLevel="0" collapsed="false">
      <c r="B183" s="32" t="s">
        <v>560</v>
      </c>
      <c r="C183" s="32" t="s">
        <v>561</v>
      </c>
      <c r="D183" s="35" t="n">
        <v>5636</v>
      </c>
      <c r="E183" s="32" t="s">
        <v>145</v>
      </c>
      <c r="F183" s="36" t="n">
        <v>46193</v>
      </c>
      <c r="G183" s="32" t="s">
        <v>562</v>
      </c>
      <c r="L183" s="37" t="str">
        <f aca="false">IF(INDEX($A183:$J183,$L$6)&lt;&gt;"",TRIM(LEFT(INDEX($A183:$J183,$L$6),FIND("(",INDEX($A183:$J183,$L$6)&amp;"(")-1)),L182)</f>
        <v>Closed Won</v>
      </c>
      <c r="M183" s="37" t="str">
        <f aca="false">IF(INDEX($A183:$J183,$M$6)="","",INDEX($A183:$J183,$M$6)&amp;"")</f>
        <v>ARUP - Oves Awards - 23.7.26</v>
      </c>
      <c r="N183" s="37" t="str">
        <f aca="false">IF($M183="","",TRIM(INDEX($A183:$J183,$N$6)&amp;""))</f>
        <v>Arup</v>
      </c>
      <c r="O183" s="37" t="str">
        <f aca="false">IF($M183="","",TRIM(INDEX($A183:$J183,$O$6)&amp;""))</f>
        <v>Event Production</v>
      </c>
      <c r="P183" s="37" t="str">
        <f aca="false">IF($M183="","",IFERROR(IF(INDEX(Settings!$B$41:$B$50,MATCH(O183,Settings!$A$41:$A$50,0))&amp;""="","UNMAPPED",INDEX(Settings!$B$41:$B$50,MATCH(O183,Settings!$A$41:$A$50,0))&amp;""),"UNMAPPED"))</f>
        <v>Production</v>
      </c>
      <c r="Q183" s="38" t="n">
        <f aca="false">IF($M183="",0,N(INDEX($A183:$J183,$Q$6)))</f>
        <v>5636</v>
      </c>
      <c r="R183" s="39" t="n">
        <f aca="false">IF($M183="","",INDEX($A183:$J183,$R$6))</f>
        <v>46193</v>
      </c>
      <c r="S183" s="37" t="str">
        <f aca="false">IF($M183="","",IFERROR(INDEX(Settings!$B$27:$B$36,MATCH(L183,Settings!$A$27:$A$36,0))&amp;"","UNMAPPED"))</f>
        <v>Won</v>
      </c>
      <c r="T183" s="37" t="str">
        <f aca="false">IF($M183="","",IF(NOT(ISNUMBER(R183)),"NO DATE",IF(S183="Won",IF(R183&gt;Settings!$B$5,"Backlog","Delivered"),IF(S183="Open",IF(R183&gt;Settings!$B$5,"Pipeline","Overdue"),IF(S183="Lost","Lost","UNMAPPED")))))</f>
        <v>Delivered</v>
      </c>
      <c r="U183" s="40" t="n">
        <f aca="false">IF(T183="Backlog",1,IF(OR(T183="Pipeline",T183="Overdue"),N(INDEX(Settings!$C$27:$C$36,MATCH(L183,Settings!$A$27:$A$36,0))),0))</f>
        <v>0</v>
      </c>
      <c r="V183" s="38" t="n">
        <f aca="false">Q183*U183</f>
        <v>0</v>
      </c>
      <c r="W183" s="41" t="n">
        <f aca="false">IF($M183="","",IF(T183="Overdue",IF(Settings!$B$8="Yes",Settings!$B$7,""),IF(ISNUMBER(R183),DATE(YEAR(R183),MONTH(R183),1),"")))</f>
        <v>46174</v>
      </c>
      <c r="X183" s="38" t="n">
        <f aca="false">IF(AND(OR(T183="Backlog",T183="Pipeline",T183="Overdue"),ISNUMBER(W183)),IF(W183&lt;=Settings!$B$6,V183,0),0)</f>
        <v>0</v>
      </c>
      <c r="Y183" s="38" t="n">
        <f aca="false">IF(AND(OR(T183="Backlog",T183="Pipeline",T183="Overdue"),ISNUMBER(W183)),IF(W183&lt;=Settings!$B$6,Q183,0),0)</f>
        <v>0</v>
      </c>
      <c r="Z183" s="38" t="n">
        <f aca="false">IF(Y183=0,0,IF(T183="Backlog",Q183,Q183*Dashboard!$C$10))</f>
        <v>0</v>
      </c>
      <c r="AA183" s="37" t="n">
        <f aca="false">IF($N183="",0,IF(COUNTIF(Dashboard!$C$13:$C$22,$N183)&gt;0,1,0))</f>
        <v>0</v>
      </c>
      <c r="AB183" s="37" t="n">
        <f aca="false">IF($N183="","",IF(COUNTIF($N$8:$N183,$N183)=1,MAX($AB$7:$AB182)+1,""))</f>
        <v>65</v>
      </c>
    </row>
    <row r="184" customFormat="false" ht="15" hidden="false" customHeight="false" outlineLevel="0" collapsed="false">
      <c r="B184" s="32" t="s">
        <v>563</v>
      </c>
      <c r="C184" s="32" t="s">
        <v>276</v>
      </c>
      <c r="D184" s="35" t="n">
        <v>1710</v>
      </c>
      <c r="E184" s="32" t="s">
        <v>145</v>
      </c>
      <c r="F184" s="36" t="n">
        <v>46133</v>
      </c>
      <c r="G184" s="32" t="s">
        <v>564</v>
      </c>
      <c r="L184" s="37" t="str">
        <f aca="false">IF(INDEX($A184:$J184,$L$6)&lt;&gt;"",TRIM(LEFT(INDEX($A184:$J184,$L$6),FIND("(",INDEX($A184:$J184,$L$6)&amp;"(")-1)),L183)</f>
        <v>Closed Won</v>
      </c>
      <c r="M184" s="37" t="str">
        <f aca="false">IF(INDEX($A184:$J184,$M$6)="","",INDEX($A184:$J184,$M$6)&amp;"")</f>
        <v>Vega Global - Tech Support 23 &amp; 24.4.26</v>
      </c>
      <c r="N184" s="37" t="str">
        <f aca="false">IF($M184="","",TRIM(INDEX($A184:$J184,$N$6)&amp;""))</f>
        <v>Vega Global</v>
      </c>
      <c r="O184" s="37" t="str">
        <f aca="false">IF($M184="","",TRIM(INDEX($A184:$J184,$O$6)&amp;""))</f>
        <v>Event Production</v>
      </c>
      <c r="P184" s="37" t="str">
        <f aca="false">IF($M184="","",IFERROR(IF(INDEX(Settings!$B$41:$B$50,MATCH(O184,Settings!$A$41:$A$50,0))&amp;""="","UNMAPPED",INDEX(Settings!$B$41:$B$50,MATCH(O184,Settings!$A$41:$A$50,0))&amp;""),"UNMAPPED"))</f>
        <v>Production</v>
      </c>
      <c r="Q184" s="38" t="n">
        <f aca="false">IF($M184="",0,N(INDEX($A184:$J184,$Q$6)))</f>
        <v>1710</v>
      </c>
      <c r="R184" s="39" t="n">
        <f aca="false">IF($M184="","",INDEX($A184:$J184,$R$6))</f>
        <v>46133</v>
      </c>
      <c r="S184" s="37" t="str">
        <f aca="false">IF($M184="","",IFERROR(INDEX(Settings!$B$27:$B$36,MATCH(L184,Settings!$A$27:$A$36,0))&amp;"","UNMAPPED"))</f>
        <v>Won</v>
      </c>
      <c r="T184" s="37" t="str">
        <f aca="false">IF($M184="","",IF(NOT(ISNUMBER(R184)),"NO DATE",IF(S184="Won",IF(R184&gt;Settings!$B$5,"Backlog","Delivered"),IF(S184="Open",IF(R184&gt;Settings!$B$5,"Pipeline","Overdue"),IF(S184="Lost","Lost","UNMAPPED")))))</f>
        <v>Delivered</v>
      </c>
      <c r="U184" s="40" t="n">
        <f aca="false">IF(T184="Backlog",1,IF(OR(T184="Pipeline",T184="Overdue"),N(INDEX(Settings!$C$27:$C$36,MATCH(L184,Settings!$A$27:$A$36,0))),0))</f>
        <v>0</v>
      </c>
      <c r="V184" s="38" t="n">
        <f aca="false">Q184*U184</f>
        <v>0</v>
      </c>
      <c r="W184" s="41" t="n">
        <f aca="false">IF($M184="","",IF(T184="Overdue",IF(Settings!$B$8="Yes",Settings!$B$7,""),IF(ISNUMBER(R184),DATE(YEAR(R184),MONTH(R184),1),"")))</f>
        <v>46113</v>
      </c>
      <c r="X184" s="38" t="n">
        <f aca="false">IF(AND(OR(T184="Backlog",T184="Pipeline",T184="Overdue"),ISNUMBER(W184)),IF(W184&lt;=Settings!$B$6,V184,0),0)</f>
        <v>0</v>
      </c>
      <c r="Y184" s="38" t="n">
        <f aca="false">IF(AND(OR(T184="Backlog",T184="Pipeline",T184="Overdue"),ISNUMBER(W184)),IF(W184&lt;=Settings!$B$6,Q184,0),0)</f>
        <v>0</v>
      </c>
      <c r="Z184" s="38" t="n">
        <f aca="false">IF(Y184=0,0,IF(T184="Backlog",Q184,Q184*Dashboard!$C$10))</f>
        <v>0</v>
      </c>
      <c r="AA184" s="37" t="n">
        <f aca="false">IF($N184="",0,IF(COUNTIF(Dashboard!$C$13:$C$22,$N184)&gt;0,1,0))</f>
        <v>0</v>
      </c>
      <c r="AB184" s="37" t="str">
        <f aca="false">IF($N184="","",IF(COUNTIF($N$8:$N184,$N184)=1,MAX($AB$7:$AB183)+1,""))</f>
        <v/>
      </c>
    </row>
    <row r="185" customFormat="false" ht="15" hidden="false" customHeight="false" outlineLevel="0" collapsed="false">
      <c r="B185" s="32" t="s">
        <v>565</v>
      </c>
      <c r="C185" s="32" t="s">
        <v>253</v>
      </c>
      <c r="D185" s="35" t="n">
        <v>27767</v>
      </c>
      <c r="E185" s="32" t="s">
        <v>208</v>
      </c>
      <c r="F185" s="36" t="n">
        <v>46125</v>
      </c>
      <c r="G185" s="32" t="s">
        <v>566</v>
      </c>
      <c r="L185" s="37" t="str">
        <f aca="false">IF(INDEX($A185:$J185,$L$6)&lt;&gt;"",TRIM(LEFT(INDEX($A185:$J185,$L$6),FIND("(",INDEX($A185:$J185,$L$6)&amp;"(")-1)),L184)</f>
        <v>Closed Won</v>
      </c>
      <c r="M185" s="37" t="str">
        <f aca="false">IF(INDEX($A185:$J185,$M$6)="","",INDEX($A185:$J185,$M$6)&amp;"")</f>
        <v>ASX Investor Day On Demand Videos (May 2026)</v>
      </c>
      <c r="N185" s="37" t="str">
        <f aca="false">IF($M185="","",TRIM(INDEX($A185:$J185,$N$6)&amp;""))</f>
        <v>ASX Australian Securities Exchange</v>
      </c>
      <c r="O185" s="37" t="str">
        <f aca="false">IF($M185="","",TRIM(INDEX($A185:$J185,$O$6)&amp;""))</f>
        <v>Video Production</v>
      </c>
      <c r="P185" s="37" t="str">
        <f aca="false">IF($M185="","",IFERROR(IF(INDEX(Settings!$B$41:$B$50,MATCH(O185,Settings!$A$41:$A$50,0))&amp;""="","UNMAPPED",INDEX(Settings!$B$41:$B$50,MATCH(O185,Settings!$A$41:$A$50,0))&amp;""),"UNMAPPED"))</f>
        <v>Video</v>
      </c>
      <c r="Q185" s="38" t="n">
        <f aca="false">IF($M185="",0,N(INDEX($A185:$J185,$Q$6)))</f>
        <v>27767</v>
      </c>
      <c r="R185" s="39" t="n">
        <f aca="false">IF($M185="","",INDEX($A185:$J185,$R$6))</f>
        <v>46125</v>
      </c>
      <c r="S185" s="37" t="str">
        <f aca="false">IF($M185="","",IFERROR(INDEX(Settings!$B$27:$B$36,MATCH(L185,Settings!$A$27:$A$36,0))&amp;"","UNMAPPED"))</f>
        <v>Won</v>
      </c>
      <c r="T185" s="37" t="str">
        <f aca="false">IF($M185="","",IF(NOT(ISNUMBER(R185)),"NO DATE",IF(S185="Won",IF(R185&gt;Settings!$B$5,"Backlog","Delivered"),IF(S185="Open",IF(R185&gt;Settings!$B$5,"Pipeline","Overdue"),IF(S185="Lost","Lost","UNMAPPED")))))</f>
        <v>Delivered</v>
      </c>
      <c r="U185" s="40" t="n">
        <f aca="false">IF(T185="Backlog",1,IF(OR(T185="Pipeline",T185="Overdue"),N(INDEX(Settings!$C$27:$C$36,MATCH(L185,Settings!$A$27:$A$36,0))),0))</f>
        <v>0</v>
      </c>
      <c r="V185" s="38" t="n">
        <f aca="false">Q185*U185</f>
        <v>0</v>
      </c>
      <c r="W185" s="41" t="n">
        <f aca="false">IF($M185="","",IF(T185="Overdue",IF(Settings!$B$8="Yes",Settings!$B$7,""),IF(ISNUMBER(R185),DATE(YEAR(R185),MONTH(R185),1),"")))</f>
        <v>46113</v>
      </c>
      <c r="X185" s="38" t="n">
        <f aca="false">IF(AND(OR(T185="Backlog",T185="Pipeline",T185="Overdue"),ISNUMBER(W185)),IF(W185&lt;=Settings!$B$6,V185,0),0)</f>
        <v>0</v>
      </c>
      <c r="Y185" s="38" t="n">
        <f aca="false">IF(AND(OR(T185="Backlog",T185="Pipeline",T185="Overdue"),ISNUMBER(W185)),IF(W185&lt;=Settings!$B$6,Q185,0),0)</f>
        <v>0</v>
      </c>
      <c r="Z185" s="38" t="n">
        <f aca="false">IF(Y185=0,0,IF(T185="Backlog",Q185,Q185*Dashboard!$C$10))</f>
        <v>0</v>
      </c>
      <c r="AA185" s="37" t="n">
        <f aca="false">IF($N185="",0,IF(COUNTIF(Dashboard!$C$13:$C$22,$N185)&gt;0,1,0))</f>
        <v>0</v>
      </c>
      <c r="AB185" s="37" t="str">
        <f aca="false">IF($N185="","",IF(COUNTIF($N$8:$N185,$N185)=1,MAX($AB$7:$AB184)+1,""))</f>
        <v/>
      </c>
    </row>
    <row r="186" customFormat="false" ht="15" hidden="false" customHeight="false" outlineLevel="0" collapsed="false">
      <c r="B186" s="32" t="s">
        <v>567</v>
      </c>
      <c r="C186" s="32" t="s">
        <v>253</v>
      </c>
      <c r="D186" s="35" t="n">
        <v>3424</v>
      </c>
      <c r="E186" s="32" t="s">
        <v>145</v>
      </c>
      <c r="F186" s="36" t="n">
        <v>45993</v>
      </c>
      <c r="G186" s="32" t="s">
        <v>568</v>
      </c>
      <c r="L186" s="37" t="str">
        <f aca="false">IF(INDEX($A186:$J186,$L$6)&lt;&gt;"",TRIM(LEFT(INDEX($A186:$J186,$L$6),FIND("(",INDEX($A186:$J186,$L$6)&amp;"(")-1)),L185)</f>
        <v>Closed Won</v>
      </c>
      <c r="M186" s="37" t="str">
        <f aca="false">IF(INDEX($A186:$J186,$M$6)="","",INDEX($A186:$J186,$M$6)&amp;"")</f>
        <v>CEO Connect 2.12.2025</v>
      </c>
      <c r="N186" s="37" t="str">
        <f aca="false">IF($M186="","",TRIM(INDEX($A186:$J186,$N$6)&amp;""))</f>
        <v>ASX Australian Securities Exchange</v>
      </c>
      <c r="O186" s="37" t="str">
        <f aca="false">IF($M186="","",TRIM(INDEX($A186:$J186,$O$6)&amp;""))</f>
        <v>Event Production</v>
      </c>
      <c r="P186" s="37" t="str">
        <f aca="false">IF($M186="","",IFERROR(IF(INDEX(Settings!$B$41:$B$50,MATCH(O186,Settings!$A$41:$A$50,0))&amp;""="","UNMAPPED",INDEX(Settings!$B$41:$B$50,MATCH(O186,Settings!$A$41:$A$50,0))&amp;""),"UNMAPPED"))</f>
        <v>Production</v>
      </c>
      <c r="Q186" s="38" t="n">
        <f aca="false">IF($M186="",0,N(INDEX($A186:$J186,$Q$6)))</f>
        <v>3424</v>
      </c>
      <c r="R186" s="39" t="n">
        <f aca="false">IF($M186="","",INDEX($A186:$J186,$R$6))</f>
        <v>45993</v>
      </c>
      <c r="S186" s="37" t="str">
        <f aca="false">IF($M186="","",IFERROR(INDEX(Settings!$B$27:$B$36,MATCH(L186,Settings!$A$27:$A$36,0))&amp;"","UNMAPPED"))</f>
        <v>Won</v>
      </c>
      <c r="T186" s="37" t="str">
        <f aca="false">IF($M186="","",IF(NOT(ISNUMBER(R186)),"NO DATE",IF(S186="Won",IF(R186&gt;Settings!$B$5,"Backlog","Delivered"),IF(S186="Open",IF(R186&gt;Settings!$B$5,"Pipeline","Overdue"),IF(S186="Lost","Lost","UNMAPPED")))))</f>
        <v>Delivered</v>
      </c>
      <c r="U186" s="40" t="n">
        <f aca="false">IF(T186="Backlog",1,IF(OR(T186="Pipeline",T186="Overdue"),N(INDEX(Settings!$C$27:$C$36,MATCH(L186,Settings!$A$27:$A$36,0))),0))</f>
        <v>0</v>
      </c>
      <c r="V186" s="38" t="n">
        <f aca="false">Q186*U186</f>
        <v>0</v>
      </c>
      <c r="W186" s="41" t="n">
        <f aca="false">IF($M186="","",IF(T186="Overdue",IF(Settings!$B$8="Yes",Settings!$B$7,""),IF(ISNUMBER(R186),DATE(YEAR(R186),MONTH(R186),1),"")))</f>
        <v>45992</v>
      </c>
      <c r="X186" s="38" t="n">
        <f aca="false">IF(AND(OR(T186="Backlog",T186="Pipeline",T186="Overdue"),ISNUMBER(W186)),IF(W186&lt;=Settings!$B$6,V186,0),0)</f>
        <v>0</v>
      </c>
      <c r="Y186" s="38" t="n">
        <f aca="false">IF(AND(OR(T186="Backlog",T186="Pipeline",T186="Overdue"),ISNUMBER(W186)),IF(W186&lt;=Settings!$B$6,Q186,0),0)</f>
        <v>0</v>
      </c>
      <c r="Z186" s="38" t="n">
        <f aca="false">IF(Y186=0,0,IF(T186="Backlog",Q186,Q186*Dashboard!$C$10))</f>
        <v>0</v>
      </c>
      <c r="AA186" s="37" t="n">
        <f aca="false">IF($N186="",0,IF(COUNTIF(Dashboard!$C$13:$C$22,$N186)&gt;0,1,0))</f>
        <v>0</v>
      </c>
      <c r="AB186" s="37" t="str">
        <f aca="false">IF($N186="","",IF(COUNTIF($N$8:$N186,$N186)=1,MAX($AB$7:$AB185)+1,""))</f>
        <v/>
      </c>
    </row>
    <row r="187" customFormat="false" ht="15" hidden="false" customHeight="false" outlineLevel="0" collapsed="false">
      <c r="B187" s="32" t="s">
        <v>569</v>
      </c>
      <c r="C187" s="32" t="s">
        <v>570</v>
      </c>
      <c r="D187" s="35" t="n">
        <v>1900</v>
      </c>
      <c r="E187" s="32" t="s">
        <v>145</v>
      </c>
      <c r="F187" s="36" t="n">
        <v>45896</v>
      </c>
      <c r="G187" s="32" t="s">
        <v>571</v>
      </c>
      <c r="L187" s="37" t="str">
        <f aca="false">IF(INDEX($A187:$J187,$L$6)&lt;&gt;"",TRIM(LEFT(INDEX($A187:$J187,$L$6),FIND("(",INDEX($A187:$J187,$L$6)&amp;"(")-1)),L186)</f>
        <v>Closed Won</v>
      </c>
      <c r="M187" s="37" t="str">
        <f aca="false">IF(INDEX($A187:$J187,$M$6)="","",INDEX($A187:$J187,$M$6)&amp;"")</f>
        <v>Zoom Producer 27 &amp; 28.8.25</v>
      </c>
      <c r="N187" s="37" t="str">
        <f aca="false">IF($M187="","",TRIM(INDEX($A187:$J187,$N$6)&amp;""))</f>
        <v>Amazon Web Services Australia Pty Ltd</v>
      </c>
      <c r="O187" s="37" t="str">
        <f aca="false">IF($M187="","",TRIM(INDEX($A187:$J187,$O$6)&amp;""))</f>
        <v>Event Production</v>
      </c>
      <c r="P187" s="37" t="str">
        <f aca="false">IF($M187="","",IFERROR(IF(INDEX(Settings!$B$41:$B$50,MATCH(O187,Settings!$A$41:$A$50,0))&amp;""="","UNMAPPED",INDEX(Settings!$B$41:$B$50,MATCH(O187,Settings!$A$41:$A$50,0))&amp;""),"UNMAPPED"))</f>
        <v>Production</v>
      </c>
      <c r="Q187" s="38" t="n">
        <f aca="false">IF($M187="",0,N(INDEX($A187:$J187,$Q$6)))</f>
        <v>1900</v>
      </c>
      <c r="R187" s="39" t="n">
        <f aca="false">IF($M187="","",INDEX($A187:$J187,$R$6))</f>
        <v>45896</v>
      </c>
      <c r="S187" s="37" t="str">
        <f aca="false">IF($M187="","",IFERROR(INDEX(Settings!$B$27:$B$36,MATCH(L187,Settings!$A$27:$A$36,0))&amp;"","UNMAPPED"))</f>
        <v>Won</v>
      </c>
      <c r="T187" s="37" t="str">
        <f aca="false">IF($M187="","",IF(NOT(ISNUMBER(R187)),"NO DATE",IF(S187="Won",IF(R187&gt;Settings!$B$5,"Backlog","Delivered"),IF(S187="Open",IF(R187&gt;Settings!$B$5,"Pipeline","Overdue"),IF(S187="Lost","Lost","UNMAPPED")))))</f>
        <v>Delivered</v>
      </c>
      <c r="U187" s="40" t="n">
        <f aca="false">IF(T187="Backlog",1,IF(OR(T187="Pipeline",T187="Overdue"),N(INDEX(Settings!$C$27:$C$36,MATCH(L187,Settings!$A$27:$A$36,0))),0))</f>
        <v>0</v>
      </c>
      <c r="V187" s="38" t="n">
        <f aca="false">Q187*U187</f>
        <v>0</v>
      </c>
      <c r="W187" s="41" t="n">
        <f aca="false">IF($M187="","",IF(T187="Overdue",IF(Settings!$B$8="Yes",Settings!$B$7,""),IF(ISNUMBER(R187),DATE(YEAR(R187),MONTH(R187),1),"")))</f>
        <v>45870</v>
      </c>
      <c r="X187" s="38" t="n">
        <f aca="false">IF(AND(OR(T187="Backlog",T187="Pipeline",T187="Overdue"),ISNUMBER(W187)),IF(W187&lt;=Settings!$B$6,V187,0),0)</f>
        <v>0</v>
      </c>
      <c r="Y187" s="38" t="n">
        <f aca="false">IF(AND(OR(T187="Backlog",T187="Pipeline",T187="Overdue"),ISNUMBER(W187)),IF(W187&lt;=Settings!$B$6,Q187,0),0)</f>
        <v>0</v>
      </c>
      <c r="Z187" s="38" t="n">
        <f aca="false">IF(Y187=0,0,IF(T187="Backlog",Q187,Q187*Dashboard!$C$10))</f>
        <v>0</v>
      </c>
      <c r="AA187" s="37" t="n">
        <f aca="false">IF($N187="",0,IF(COUNTIF(Dashboard!$C$13:$C$22,$N187)&gt;0,1,0))</f>
        <v>0</v>
      </c>
      <c r="AB187" s="37" t="n">
        <f aca="false">IF($N187="","",IF(COUNTIF($N$8:$N187,$N187)=1,MAX($AB$7:$AB186)+1,""))</f>
        <v>66</v>
      </c>
    </row>
    <row r="188" customFormat="false" ht="15" hidden="false" customHeight="false" outlineLevel="0" collapsed="false">
      <c r="B188" s="32" t="s">
        <v>572</v>
      </c>
      <c r="C188" s="32" t="s">
        <v>191</v>
      </c>
      <c r="D188" s="35" t="n">
        <v>0</v>
      </c>
      <c r="E188" s="32" t="s">
        <v>145</v>
      </c>
      <c r="F188" s="36" t="n">
        <v>45938</v>
      </c>
      <c r="G188" s="32" t="s">
        <v>573</v>
      </c>
      <c r="L188" s="37" t="str">
        <f aca="false">IF(INDEX($A188:$J188,$L$6)&lt;&gt;"",TRIM(LEFT(INDEX($A188:$J188,$L$6),FIND("(",INDEX($A188:$J188,$L$6)&amp;"(")-1)),L187)</f>
        <v>Closed Won</v>
      </c>
      <c r="M188" s="37" t="str">
        <f aca="false">IF(INDEX($A188:$J188,$M$6)="","",INDEX($A188:$J188,$M$6)&amp;"")</f>
        <v>CBA AGM AV UPS</v>
      </c>
      <c r="N188" s="37" t="str">
        <f aca="false">IF($M188="","",TRIM(INDEX($A188:$J188,$N$6)&amp;""))</f>
        <v>Commonwealth Bank Australia (CBA)</v>
      </c>
      <c r="O188" s="37" t="str">
        <f aca="false">IF($M188="","",TRIM(INDEX($A188:$J188,$O$6)&amp;""))</f>
        <v>Event Production</v>
      </c>
      <c r="P188" s="37" t="str">
        <f aca="false">IF($M188="","",IFERROR(IF(INDEX(Settings!$B$41:$B$50,MATCH(O188,Settings!$A$41:$A$50,0))&amp;""="","UNMAPPED",INDEX(Settings!$B$41:$B$50,MATCH(O188,Settings!$A$41:$A$50,0))&amp;""),"UNMAPPED"))</f>
        <v>Production</v>
      </c>
      <c r="Q188" s="38" t="n">
        <f aca="false">IF($M188="",0,N(INDEX($A188:$J188,$Q$6)))</f>
        <v>0</v>
      </c>
      <c r="R188" s="39" t="n">
        <f aca="false">IF($M188="","",INDEX($A188:$J188,$R$6))</f>
        <v>45938</v>
      </c>
      <c r="S188" s="37" t="str">
        <f aca="false">IF($M188="","",IFERROR(INDEX(Settings!$B$27:$B$36,MATCH(L188,Settings!$A$27:$A$36,0))&amp;"","UNMAPPED"))</f>
        <v>Won</v>
      </c>
      <c r="T188" s="37" t="str">
        <f aca="false">IF($M188="","",IF(NOT(ISNUMBER(R188)),"NO DATE",IF(S188="Won",IF(R188&gt;Settings!$B$5,"Backlog","Delivered"),IF(S188="Open",IF(R188&gt;Settings!$B$5,"Pipeline","Overdue"),IF(S188="Lost","Lost","UNMAPPED")))))</f>
        <v>Delivered</v>
      </c>
      <c r="U188" s="40" t="n">
        <f aca="false">IF(T188="Backlog",1,IF(OR(T188="Pipeline",T188="Overdue"),N(INDEX(Settings!$C$27:$C$36,MATCH(L188,Settings!$A$27:$A$36,0))),0))</f>
        <v>0</v>
      </c>
      <c r="V188" s="38" t="n">
        <f aca="false">Q188*U188</f>
        <v>0</v>
      </c>
      <c r="W188" s="41" t="n">
        <f aca="false">IF($M188="","",IF(T188="Overdue",IF(Settings!$B$8="Yes",Settings!$B$7,""),IF(ISNUMBER(R188),DATE(YEAR(R188),MONTH(R188),1),"")))</f>
        <v>45931</v>
      </c>
      <c r="X188" s="38" t="n">
        <f aca="false">IF(AND(OR(T188="Backlog",T188="Pipeline",T188="Overdue"),ISNUMBER(W188)),IF(W188&lt;=Settings!$B$6,V188,0),0)</f>
        <v>0</v>
      </c>
      <c r="Y188" s="38" t="n">
        <f aca="false">IF(AND(OR(T188="Backlog",T188="Pipeline",T188="Overdue"),ISNUMBER(W188)),IF(W188&lt;=Settings!$B$6,Q188,0),0)</f>
        <v>0</v>
      </c>
      <c r="Z188" s="38" t="n">
        <f aca="false">IF(Y188=0,0,IF(T188="Backlog",Q188,Q188*Dashboard!$C$10))</f>
        <v>0</v>
      </c>
      <c r="AA188" s="37" t="n">
        <f aca="false">IF($N188="",0,IF(COUNTIF(Dashboard!$C$13:$C$22,$N188)&gt;0,1,0))</f>
        <v>0</v>
      </c>
      <c r="AB188" s="37" t="str">
        <f aca="false">IF($N188="","",IF(COUNTIF($N$8:$N188,$N188)=1,MAX($AB$7:$AB187)+1,""))</f>
        <v/>
      </c>
    </row>
    <row r="189" customFormat="false" ht="15" hidden="false" customHeight="false" outlineLevel="0" collapsed="false">
      <c r="B189" s="32" t="s">
        <v>574</v>
      </c>
      <c r="C189" s="32" t="s">
        <v>191</v>
      </c>
      <c r="D189" s="35" t="n">
        <v>7358</v>
      </c>
      <c r="E189" s="32" t="s">
        <v>145</v>
      </c>
      <c r="F189" s="36" t="n">
        <v>46077</v>
      </c>
      <c r="G189" s="32" t="s">
        <v>575</v>
      </c>
      <c r="L189" s="37" t="str">
        <f aca="false">IF(INDEX($A189:$J189,$L$6)&lt;&gt;"",TRIM(LEFT(INDEX($A189:$J189,$L$6),FIND("(",INDEX($A189:$J189,$L$6)&amp;"(")-1)),L188)</f>
        <v>Closed Won</v>
      </c>
      <c r="M189" s="37" t="str">
        <f aca="false">IF(INDEX($A189:$J189,$M$6)="","",INDEX($A189:$J189,$M$6)&amp;"")</f>
        <v>CBA AFR Dinner AV Support 3.3.26</v>
      </c>
      <c r="N189" s="37" t="str">
        <f aca="false">IF($M189="","",TRIM(INDEX($A189:$J189,$N$6)&amp;""))</f>
        <v>Commonwealth Bank Australia (CBA)</v>
      </c>
      <c r="O189" s="37" t="str">
        <f aca="false">IF($M189="","",TRIM(INDEX($A189:$J189,$O$6)&amp;""))</f>
        <v>Event Production</v>
      </c>
      <c r="P189" s="37" t="str">
        <f aca="false">IF($M189="","",IFERROR(IF(INDEX(Settings!$B$41:$B$50,MATCH(O189,Settings!$A$41:$A$50,0))&amp;""="","UNMAPPED",INDEX(Settings!$B$41:$B$50,MATCH(O189,Settings!$A$41:$A$50,0))&amp;""),"UNMAPPED"))</f>
        <v>Production</v>
      </c>
      <c r="Q189" s="38" t="n">
        <f aca="false">IF($M189="",0,N(INDEX($A189:$J189,$Q$6)))</f>
        <v>7358</v>
      </c>
      <c r="R189" s="39" t="n">
        <f aca="false">IF($M189="","",INDEX($A189:$J189,$R$6))</f>
        <v>46077</v>
      </c>
      <c r="S189" s="37" t="str">
        <f aca="false">IF($M189="","",IFERROR(INDEX(Settings!$B$27:$B$36,MATCH(L189,Settings!$A$27:$A$36,0))&amp;"","UNMAPPED"))</f>
        <v>Won</v>
      </c>
      <c r="T189" s="37" t="str">
        <f aca="false">IF($M189="","",IF(NOT(ISNUMBER(R189)),"NO DATE",IF(S189="Won",IF(R189&gt;Settings!$B$5,"Backlog","Delivered"),IF(S189="Open",IF(R189&gt;Settings!$B$5,"Pipeline","Overdue"),IF(S189="Lost","Lost","UNMAPPED")))))</f>
        <v>Delivered</v>
      </c>
      <c r="U189" s="40" t="n">
        <f aca="false">IF(T189="Backlog",1,IF(OR(T189="Pipeline",T189="Overdue"),N(INDEX(Settings!$C$27:$C$36,MATCH(L189,Settings!$A$27:$A$36,0))),0))</f>
        <v>0</v>
      </c>
      <c r="V189" s="38" t="n">
        <f aca="false">Q189*U189</f>
        <v>0</v>
      </c>
      <c r="W189" s="41" t="n">
        <f aca="false">IF($M189="","",IF(T189="Overdue",IF(Settings!$B$8="Yes",Settings!$B$7,""),IF(ISNUMBER(R189),DATE(YEAR(R189),MONTH(R189),1),"")))</f>
        <v>46054</v>
      </c>
      <c r="X189" s="38" t="n">
        <f aca="false">IF(AND(OR(T189="Backlog",T189="Pipeline",T189="Overdue"),ISNUMBER(W189)),IF(W189&lt;=Settings!$B$6,V189,0),0)</f>
        <v>0</v>
      </c>
      <c r="Y189" s="38" t="n">
        <f aca="false">IF(AND(OR(T189="Backlog",T189="Pipeline",T189="Overdue"),ISNUMBER(W189)),IF(W189&lt;=Settings!$B$6,Q189,0),0)</f>
        <v>0</v>
      </c>
      <c r="Z189" s="38" t="n">
        <f aca="false">IF(Y189=0,0,IF(T189="Backlog",Q189,Q189*Dashboard!$C$10))</f>
        <v>0</v>
      </c>
      <c r="AA189" s="37" t="n">
        <f aca="false">IF($N189="",0,IF(COUNTIF(Dashboard!$C$13:$C$22,$N189)&gt;0,1,0))</f>
        <v>0</v>
      </c>
      <c r="AB189" s="37" t="str">
        <f aca="false">IF($N189="","",IF(COUNTIF($N$8:$N189,$N189)=1,MAX($AB$7:$AB188)+1,""))</f>
        <v/>
      </c>
    </row>
    <row r="190" customFormat="false" ht="15" hidden="false" customHeight="false" outlineLevel="0" collapsed="false">
      <c r="B190" s="32" t="s">
        <v>576</v>
      </c>
      <c r="C190" s="32" t="s">
        <v>154</v>
      </c>
      <c r="D190" s="35" t="n">
        <v>7842</v>
      </c>
      <c r="E190" s="32" t="s">
        <v>145</v>
      </c>
      <c r="F190" s="36" t="n">
        <v>46077</v>
      </c>
      <c r="G190" s="32" t="s">
        <v>577</v>
      </c>
      <c r="L190" s="37" t="str">
        <f aca="false">IF(INDEX($A190:$J190,$L$6)&lt;&gt;"",TRIM(LEFT(INDEX($A190:$J190,$L$6),FIND("(",INDEX($A190:$J190,$L$6)&amp;"(")-1)),L189)</f>
        <v>Closed Won</v>
      </c>
      <c r="M190" s="37" t="str">
        <f aca="false">IF(INDEX($A190:$J190,$M$6)="","",INDEX($A190:$J190,$M$6)&amp;"")</f>
        <v>PWC Firmwide Webcast 24.2.26</v>
      </c>
      <c r="N190" s="37" t="str">
        <f aca="false">IF($M190="","",TRIM(INDEX($A190:$J190,$N$6)&amp;""))</f>
        <v>PWC</v>
      </c>
      <c r="O190" s="37" t="str">
        <f aca="false">IF($M190="","",TRIM(INDEX($A190:$J190,$O$6)&amp;""))</f>
        <v>Event Production</v>
      </c>
      <c r="P190" s="37" t="str">
        <f aca="false">IF($M190="","",IFERROR(IF(INDEX(Settings!$B$41:$B$50,MATCH(O190,Settings!$A$41:$A$50,0))&amp;""="","UNMAPPED",INDEX(Settings!$B$41:$B$50,MATCH(O190,Settings!$A$41:$A$50,0))&amp;""),"UNMAPPED"))</f>
        <v>Production</v>
      </c>
      <c r="Q190" s="38" t="n">
        <f aca="false">IF($M190="",0,N(INDEX($A190:$J190,$Q$6)))</f>
        <v>7842</v>
      </c>
      <c r="R190" s="39" t="n">
        <f aca="false">IF($M190="","",INDEX($A190:$J190,$R$6))</f>
        <v>46077</v>
      </c>
      <c r="S190" s="37" t="str">
        <f aca="false">IF($M190="","",IFERROR(INDEX(Settings!$B$27:$B$36,MATCH(L190,Settings!$A$27:$A$36,0))&amp;"","UNMAPPED"))</f>
        <v>Won</v>
      </c>
      <c r="T190" s="37" t="str">
        <f aca="false">IF($M190="","",IF(NOT(ISNUMBER(R190)),"NO DATE",IF(S190="Won",IF(R190&gt;Settings!$B$5,"Backlog","Delivered"),IF(S190="Open",IF(R190&gt;Settings!$B$5,"Pipeline","Overdue"),IF(S190="Lost","Lost","UNMAPPED")))))</f>
        <v>Delivered</v>
      </c>
      <c r="U190" s="40" t="n">
        <f aca="false">IF(T190="Backlog",1,IF(OR(T190="Pipeline",T190="Overdue"),N(INDEX(Settings!$C$27:$C$36,MATCH(L190,Settings!$A$27:$A$36,0))),0))</f>
        <v>0</v>
      </c>
      <c r="V190" s="38" t="n">
        <f aca="false">Q190*U190</f>
        <v>0</v>
      </c>
      <c r="W190" s="41" t="n">
        <f aca="false">IF($M190="","",IF(T190="Overdue",IF(Settings!$B$8="Yes",Settings!$B$7,""),IF(ISNUMBER(R190),DATE(YEAR(R190),MONTH(R190),1),"")))</f>
        <v>46054</v>
      </c>
      <c r="X190" s="38" t="n">
        <f aca="false">IF(AND(OR(T190="Backlog",T190="Pipeline",T190="Overdue"),ISNUMBER(W190)),IF(W190&lt;=Settings!$B$6,V190,0),0)</f>
        <v>0</v>
      </c>
      <c r="Y190" s="38" t="n">
        <f aca="false">IF(AND(OR(T190="Backlog",T190="Pipeline",T190="Overdue"),ISNUMBER(W190)),IF(W190&lt;=Settings!$B$6,Q190,0),0)</f>
        <v>0</v>
      </c>
      <c r="Z190" s="38" t="n">
        <f aca="false">IF(Y190=0,0,IF(T190="Backlog",Q190,Q190*Dashboard!$C$10))</f>
        <v>0</v>
      </c>
      <c r="AA190" s="37" t="n">
        <f aca="false">IF($N190="",0,IF(COUNTIF(Dashboard!$C$13:$C$22,$N190)&gt;0,1,0))</f>
        <v>0</v>
      </c>
      <c r="AB190" s="37" t="str">
        <f aca="false">IF($N190="","",IF(COUNTIF($N$8:$N190,$N190)=1,MAX($AB$7:$AB189)+1,""))</f>
        <v/>
      </c>
    </row>
    <row r="191" customFormat="false" ht="15" hidden="false" customHeight="false" outlineLevel="0" collapsed="false">
      <c r="B191" s="32" t="s">
        <v>578</v>
      </c>
      <c r="C191" s="32" t="s">
        <v>194</v>
      </c>
      <c r="D191" s="35" t="n">
        <v>5830</v>
      </c>
      <c r="E191" s="32" t="s">
        <v>145</v>
      </c>
      <c r="F191" s="36" t="n">
        <v>46122</v>
      </c>
      <c r="G191" s="32" t="s">
        <v>579</v>
      </c>
      <c r="L191" s="37" t="str">
        <f aca="false">IF(INDEX($A191:$J191,$L$6)&lt;&gt;"",TRIM(LEFT(INDEX($A191:$J191,$L$6),FIND("(",INDEX($A191:$J191,$L$6)&amp;"(")-1)),L190)</f>
        <v>Closed Won</v>
      </c>
      <c r="M191" s="37" t="str">
        <f aca="false">IF(INDEX($A191:$J191,$M$6)="","",INDEX($A191:$J191,$M$6)&amp;"")</f>
        <v>Perth Finbar Event</v>
      </c>
      <c r="N191" s="37" t="str">
        <f aca="false">IF($M191="","",TRIM(INDEX($A191:$J191,$N$6)&amp;""))</f>
        <v>Ventia</v>
      </c>
      <c r="O191" s="37" t="str">
        <f aca="false">IF($M191="","",TRIM(INDEX($A191:$J191,$O$6)&amp;""))</f>
        <v>Event Production</v>
      </c>
      <c r="P191" s="37" t="str">
        <f aca="false">IF($M191="","",IFERROR(IF(INDEX(Settings!$B$41:$B$50,MATCH(O191,Settings!$A$41:$A$50,0))&amp;""="","UNMAPPED",INDEX(Settings!$B$41:$B$50,MATCH(O191,Settings!$A$41:$A$50,0))&amp;""),"UNMAPPED"))</f>
        <v>Production</v>
      </c>
      <c r="Q191" s="38" t="n">
        <f aca="false">IF($M191="",0,N(INDEX($A191:$J191,$Q$6)))</f>
        <v>5830</v>
      </c>
      <c r="R191" s="39" t="n">
        <f aca="false">IF($M191="","",INDEX($A191:$J191,$R$6))</f>
        <v>46122</v>
      </c>
      <c r="S191" s="37" t="str">
        <f aca="false">IF($M191="","",IFERROR(INDEX(Settings!$B$27:$B$36,MATCH(L191,Settings!$A$27:$A$36,0))&amp;"","UNMAPPED"))</f>
        <v>Won</v>
      </c>
      <c r="T191" s="37" t="str">
        <f aca="false">IF($M191="","",IF(NOT(ISNUMBER(R191)),"NO DATE",IF(S191="Won",IF(R191&gt;Settings!$B$5,"Backlog","Delivered"),IF(S191="Open",IF(R191&gt;Settings!$B$5,"Pipeline","Overdue"),IF(S191="Lost","Lost","UNMAPPED")))))</f>
        <v>Delivered</v>
      </c>
      <c r="U191" s="40" t="n">
        <f aca="false">IF(T191="Backlog",1,IF(OR(T191="Pipeline",T191="Overdue"),N(INDEX(Settings!$C$27:$C$36,MATCH(L191,Settings!$A$27:$A$36,0))),0))</f>
        <v>0</v>
      </c>
      <c r="V191" s="38" t="n">
        <f aca="false">Q191*U191</f>
        <v>0</v>
      </c>
      <c r="W191" s="41" t="n">
        <f aca="false">IF($M191="","",IF(T191="Overdue",IF(Settings!$B$8="Yes",Settings!$B$7,""),IF(ISNUMBER(R191),DATE(YEAR(R191),MONTH(R191),1),"")))</f>
        <v>46113</v>
      </c>
      <c r="X191" s="38" t="n">
        <f aca="false">IF(AND(OR(T191="Backlog",T191="Pipeline",T191="Overdue"),ISNUMBER(W191)),IF(W191&lt;=Settings!$B$6,V191,0),0)</f>
        <v>0</v>
      </c>
      <c r="Y191" s="38" t="n">
        <f aca="false">IF(AND(OR(T191="Backlog",T191="Pipeline",T191="Overdue"),ISNUMBER(W191)),IF(W191&lt;=Settings!$B$6,Q191,0),0)</f>
        <v>0</v>
      </c>
      <c r="Z191" s="38" t="n">
        <f aca="false">IF(Y191=0,0,IF(T191="Backlog",Q191,Q191*Dashboard!$C$10))</f>
        <v>0</v>
      </c>
      <c r="AA191" s="37" t="n">
        <f aca="false">IF($N191="",0,IF(COUNTIF(Dashboard!$C$13:$C$22,$N191)&gt;0,1,0))</f>
        <v>0</v>
      </c>
      <c r="AB191" s="37" t="str">
        <f aca="false">IF($N191="","",IF(COUNTIF($N$8:$N191,$N191)=1,MAX($AB$7:$AB190)+1,""))</f>
        <v/>
      </c>
    </row>
    <row r="192" customFormat="false" ht="15" hidden="false" customHeight="false" outlineLevel="0" collapsed="false">
      <c r="B192" s="32" t="s">
        <v>580</v>
      </c>
      <c r="C192" s="32" t="s">
        <v>194</v>
      </c>
      <c r="D192" s="35" t="n">
        <v>11757</v>
      </c>
      <c r="E192" s="32" t="s">
        <v>145</v>
      </c>
      <c r="F192" s="36" t="n">
        <v>46001</v>
      </c>
      <c r="G192" s="32" t="s">
        <v>581</v>
      </c>
      <c r="L192" s="37" t="str">
        <f aca="false">IF(INDEX($A192:$J192,$L$6)&lt;&gt;"",TRIM(LEFT(INDEX($A192:$J192,$L$6),FIND("(",INDEX($A192:$J192,$L$6)&amp;"(")-1)),L191)</f>
        <v>Closed Won</v>
      </c>
      <c r="M192" s="37" t="str">
        <f aca="false">IF(INDEX($A192:$J192,$M$6)="","",INDEX($A192:$J192,$M$6)&amp;"")</f>
        <v>EOY Town Hall</v>
      </c>
      <c r="N192" s="37" t="str">
        <f aca="false">IF($M192="","",TRIM(INDEX($A192:$J192,$N$6)&amp;""))</f>
        <v>Ventia</v>
      </c>
      <c r="O192" s="37" t="str">
        <f aca="false">IF($M192="","",TRIM(INDEX($A192:$J192,$O$6)&amp;""))</f>
        <v>Event Production</v>
      </c>
      <c r="P192" s="37" t="str">
        <f aca="false">IF($M192="","",IFERROR(IF(INDEX(Settings!$B$41:$B$50,MATCH(O192,Settings!$A$41:$A$50,0))&amp;""="","UNMAPPED",INDEX(Settings!$B$41:$B$50,MATCH(O192,Settings!$A$41:$A$50,0))&amp;""),"UNMAPPED"))</f>
        <v>Production</v>
      </c>
      <c r="Q192" s="38" t="n">
        <f aca="false">IF($M192="",0,N(INDEX($A192:$J192,$Q$6)))</f>
        <v>11757</v>
      </c>
      <c r="R192" s="39" t="n">
        <f aca="false">IF($M192="","",INDEX($A192:$J192,$R$6))</f>
        <v>46001</v>
      </c>
      <c r="S192" s="37" t="str">
        <f aca="false">IF($M192="","",IFERROR(INDEX(Settings!$B$27:$B$36,MATCH(L192,Settings!$A$27:$A$36,0))&amp;"","UNMAPPED"))</f>
        <v>Won</v>
      </c>
      <c r="T192" s="37" t="str">
        <f aca="false">IF($M192="","",IF(NOT(ISNUMBER(R192)),"NO DATE",IF(S192="Won",IF(R192&gt;Settings!$B$5,"Backlog","Delivered"),IF(S192="Open",IF(R192&gt;Settings!$B$5,"Pipeline","Overdue"),IF(S192="Lost","Lost","UNMAPPED")))))</f>
        <v>Delivered</v>
      </c>
      <c r="U192" s="40" t="n">
        <f aca="false">IF(T192="Backlog",1,IF(OR(T192="Pipeline",T192="Overdue"),N(INDEX(Settings!$C$27:$C$36,MATCH(L192,Settings!$A$27:$A$36,0))),0))</f>
        <v>0</v>
      </c>
      <c r="V192" s="38" t="n">
        <f aca="false">Q192*U192</f>
        <v>0</v>
      </c>
      <c r="W192" s="41" t="n">
        <f aca="false">IF($M192="","",IF(T192="Overdue",IF(Settings!$B$8="Yes",Settings!$B$7,""),IF(ISNUMBER(R192),DATE(YEAR(R192),MONTH(R192),1),"")))</f>
        <v>45992</v>
      </c>
      <c r="X192" s="38" t="n">
        <f aca="false">IF(AND(OR(T192="Backlog",T192="Pipeline",T192="Overdue"),ISNUMBER(W192)),IF(W192&lt;=Settings!$B$6,V192,0),0)</f>
        <v>0</v>
      </c>
      <c r="Y192" s="38" t="n">
        <f aca="false">IF(AND(OR(T192="Backlog",T192="Pipeline",T192="Overdue"),ISNUMBER(W192)),IF(W192&lt;=Settings!$B$6,Q192,0),0)</f>
        <v>0</v>
      </c>
      <c r="Z192" s="38" t="n">
        <f aca="false">IF(Y192=0,0,IF(T192="Backlog",Q192,Q192*Dashboard!$C$10))</f>
        <v>0</v>
      </c>
      <c r="AA192" s="37" t="n">
        <f aca="false">IF($N192="",0,IF(COUNTIF(Dashboard!$C$13:$C$22,$N192)&gt;0,1,0))</f>
        <v>0</v>
      </c>
      <c r="AB192" s="37" t="str">
        <f aca="false">IF($N192="","",IF(COUNTIF($N$8:$N192,$N192)=1,MAX($AB$7:$AB191)+1,""))</f>
        <v/>
      </c>
    </row>
    <row r="193" customFormat="false" ht="15" hidden="false" customHeight="false" outlineLevel="0" collapsed="false">
      <c r="B193" s="32" t="s">
        <v>582</v>
      </c>
      <c r="C193" s="32" t="s">
        <v>140</v>
      </c>
      <c r="D193" s="35" t="n">
        <v>60348</v>
      </c>
      <c r="E193" s="32" t="s">
        <v>141</v>
      </c>
      <c r="F193" s="36" t="n">
        <v>46219</v>
      </c>
      <c r="G193" s="32" t="s">
        <v>583</v>
      </c>
      <c r="L193" s="37" t="str">
        <f aca="false">IF(INDEX($A193:$J193,$L$6)&lt;&gt;"",TRIM(LEFT(INDEX($A193:$J193,$L$6),FIND("(",INDEX($A193:$J193,$L$6)&amp;"(")-1)),L192)</f>
        <v>Closed Won</v>
      </c>
      <c r="M193" s="37" t="str">
        <f aca="false">IF(INDEX($A193:$J193,$M$6)="","",INDEX($A193:$J193,$M$6)&amp;"")</f>
        <v>DTTL | HBA AV Fitout - 2605605</v>
      </c>
      <c r="N193" s="37" t="str">
        <f aca="false">IF($M193="","",TRIM(INDEX($A193:$J193,$N$6)&amp;""))</f>
        <v>Deloitte Australia</v>
      </c>
      <c r="O193" s="37" t="str">
        <f aca="false">IF($M193="","",TRIM(INDEX($A193:$J193,$O$6)&amp;""))</f>
        <v>Integration</v>
      </c>
      <c r="P193" s="37" t="str">
        <f aca="false">IF($M193="","",IFERROR(IF(INDEX(Settings!$B$41:$B$50,MATCH(O193,Settings!$A$41:$A$50,0))&amp;""="","UNMAPPED",INDEX(Settings!$B$41:$B$50,MATCH(O193,Settings!$A$41:$A$50,0))&amp;""),"UNMAPPED"))</f>
        <v>Integration</v>
      </c>
      <c r="Q193" s="38" t="n">
        <f aca="false">IF($M193="",0,N(INDEX($A193:$J193,$Q$6)))</f>
        <v>60348</v>
      </c>
      <c r="R193" s="39" t="n">
        <f aca="false">IF($M193="","",INDEX($A193:$J193,$R$6))</f>
        <v>46219</v>
      </c>
      <c r="S193" s="37" t="str">
        <f aca="false">IF($M193="","",IFERROR(INDEX(Settings!$B$27:$B$36,MATCH(L193,Settings!$A$27:$A$36,0))&amp;"","UNMAPPED"))</f>
        <v>Won</v>
      </c>
      <c r="T193" s="37" t="str">
        <f aca="false">IF($M193="","",IF(NOT(ISNUMBER(R193)),"NO DATE",IF(S193="Won",IF(R193&gt;Settings!$B$5,"Backlog","Delivered"),IF(S193="Open",IF(R193&gt;Settings!$B$5,"Pipeline","Overdue"),IF(S193="Lost","Lost","UNMAPPED")))))</f>
        <v>Delivered</v>
      </c>
      <c r="U193" s="40" t="n">
        <f aca="false">IF(T193="Backlog",1,IF(OR(T193="Pipeline",T193="Overdue"),N(INDEX(Settings!$C$27:$C$36,MATCH(L193,Settings!$A$27:$A$36,0))),0))</f>
        <v>0</v>
      </c>
      <c r="V193" s="38" t="n">
        <f aca="false">Q193*U193</f>
        <v>0</v>
      </c>
      <c r="W193" s="41" t="n">
        <f aca="false">IF($M193="","",IF(T193="Overdue",IF(Settings!$B$8="Yes",Settings!$B$7,""),IF(ISNUMBER(R193),DATE(YEAR(R193),MONTH(R193),1),"")))</f>
        <v>46204</v>
      </c>
      <c r="X193" s="38" t="n">
        <f aca="false">IF(AND(OR(T193="Backlog",T193="Pipeline",T193="Overdue"),ISNUMBER(W193)),IF(W193&lt;=Settings!$B$6,V193,0),0)</f>
        <v>0</v>
      </c>
      <c r="Y193" s="38" t="n">
        <f aca="false">IF(AND(OR(T193="Backlog",T193="Pipeline",T193="Overdue"),ISNUMBER(W193)),IF(W193&lt;=Settings!$B$6,Q193,0),0)</f>
        <v>0</v>
      </c>
      <c r="Z193" s="38" t="n">
        <f aca="false">IF(Y193=0,0,IF(T193="Backlog",Q193,Q193*Dashboard!$C$10))</f>
        <v>0</v>
      </c>
      <c r="AA193" s="37" t="n">
        <f aca="false">IF($N193="",0,IF(COUNTIF(Dashboard!$C$13:$C$22,$N193)&gt;0,1,0))</f>
        <v>0</v>
      </c>
      <c r="AB193" s="37" t="str">
        <f aca="false">IF($N193="","",IF(COUNTIF($N$8:$N193,$N193)=1,MAX($AB$7:$AB192)+1,""))</f>
        <v/>
      </c>
    </row>
    <row r="194" customFormat="false" ht="15" hidden="false" customHeight="false" outlineLevel="0" collapsed="false">
      <c r="B194" s="32" t="s">
        <v>584</v>
      </c>
      <c r="C194" s="32" t="s">
        <v>585</v>
      </c>
      <c r="D194" s="35" t="n">
        <v>49969</v>
      </c>
      <c r="E194" s="32" t="s">
        <v>173</v>
      </c>
      <c r="F194" s="36" t="n">
        <v>46267</v>
      </c>
      <c r="G194" s="32" t="s">
        <v>586</v>
      </c>
      <c r="L194" s="37" t="str">
        <f aca="false">IF(INDEX($A194:$J194,$L$6)&lt;&gt;"",TRIM(LEFT(INDEX($A194:$J194,$L$6),FIND("(",INDEX($A194:$J194,$L$6)&amp;"(")-1)),L193)</f>
        <v>Closed Won</v>
      </c>
      <c r="M194" s="37" t="str">
        <f aca="false">IF(INDEX($A194:$J194,$M$6)="","",INDEX($A194:$J194,$M$6)&amp;"")</f>
        <v>CBPS Auditorium Upgrade | 2605704</v>
      </c>
      <c r="N194" s="37" t="str">
        <f aca="false">IF($M194="","",TRIM(INDEX($A194:$J194,$N$6)&amp;""))</f>
        <v>Commonwealth Bank of Australia - Sydney (CBP)</v>
      </c>
      <c r="O194" s="37" t="str">
        <f aca="false">IF($M194="","",TRIM(INDEX($A194:$J194,$O$6)&amp;""))</f>
        <v>Consulting</v>
      </c>
      <c r="P194" s="37" t="str">
        <f aca="false">IF($M194="","",IFERROR(IF(INDEX(Settings!$B$41:$B$50,MATCH(O194,Settings!$A$41:$A$50,0))&amp;""="","UNMAPPED",INDEX(Settings!$B$41:$B$50,MATCH(O194,Settings!$A$41:$A$50,0))&amp;""),"UNMAPPED"))</f>
        <v>Consulting</v>
      </c>
      <c r="Q194" s="38" t="n">
        <f aca="false">IF($M194="",0,N(INDEX($A194:$J194,$Q$6)))</f>
        <v>49969</v>
      </c>
      <c r="R194" s="39" t="n">
        <f aca="false">IF($M194="","",INDEX($A194:$J194,$R$6))</f>
        <v>46267</v>
      </c>
      <c r="S194" s="37" t="str">
        <f aca="false">IF($M194="","",IFERROR(INDEX(Settings!$B$27:$B$36,MATCH(L194,Settings!$A$27:$A$36,0))&amp;"","UNMAPPED"))</f>
        <v>Won</v>
      </c>
      <c r="T194" s="37" t="str">
        <f aca="false">IF($M194="","",IF(NOT(ISNUMBER(R194)),"NO DATE",IF(S194="Won",IF(R194&gt;Settings!$B$5,"Backlog","Delivered"),IF(S194="Open",IF(R194&gt;Settings!$B$5,"Pipeline","Overdue"),IF(S194="Lost","Lost","UNMAPPED")))))</f>
        <v>Delivered</v>
      </c>
      <c r="U194" s="40" t="n">
        <f aca="false">IF(T194="Backlog",1,IF(OR(T194="Pipeline",T194="Overdue"),N(INDEX(Settings!$C$27:$C$36,MATCH(L194,Settings!$A$27:$A$36,0))),0))</f>
        <v>0</v>
      </c>
      <c r="V194" s="38" t="n">
        <f aca="false">Q194*U194</f>
        <v>0</v>
      </c>
      <c r="W194" s="41" t="n">
        <f aca="false">IF($M194="","",IF(T194="Overdue",IF(Settings!$B$8="Yes",Settings!$B$7,""),IF(ISNUMBER(R194),DATE(YEAR(R194),MONTH(R194),1),"")))</f>
        <v>46266</v>
      </c>
      <c r="X194" s="38" t="n">
        <f aca="false">IF(AND(OR(T194="Backlog",T194="Pipeline",T194="Overdue"),ISNUMBER(W194)),IF(W194&lt;=Settings!$B$6,V194,0),0)</f>
        <v>0</v>
      </c>
      <c r="Y194" s="38" t="n">
        <f aca="false">IF(AND(OR(T194="Backlog",T194="Pipeline",T194="Overdue"),ISNUMBER(W194)),IF(W194&lt;=Settings!$B$6,Q194,0),0)</f>
        <v>0</v>
      </c>
      <c r="Z194" s="38" t="n">
        <f aca="false">IF(Y194=0,0,IF(T194="Backlog",Q194,Q194*Dashboard!$C$10))</f>
        <v>0</v>
      </c>
      <c r="AA194" s="37" t="n">
        <f aca="false">IF($N194="",0,IF(COUNTIF(Dashboard!$C$13:$C$22,$N194)&gt;0,1,0))</f>
        <v>0</v>
      </c>
      <c r="AB194" s="37" t="n">
        <f aca="false">IF($N194="","",IF(COUNTIF($N$8:$N194,$N194)=1,MAX($AB$7:$AB193)+1,""))</f>
        <v>67</v>
      </c>
    </row>
    <row r="195" customFormat="false" ht="15" hidden="false" customHeight="false" outlineLevel="0" collapsed="false">
      <c r="B195" s="32" t="s">
        <v>587</v>
      </c>
      <c r="C195" s="32" t="s">
        <v>244</v>
      </c>
      <c r="D195" s="35" t="n">
        <v>16288</v>
      </c>
      <c r="E195" s="32" t="s">
        <v>141</v>
      </c>
      <c r="F195" s="36" t="n">
        <v>46195</v>
      </c>
      <c r="G195" s="32" t="s">
        <v>588</v>
      </c>
      <c r="L195" s="37" t="str">
        <f aca="false">IF(INDEX($A195:$J195,$L$6)&lt;&gt;"",TRIM(LEFT(INDEX($A195:$J195,$L$6),FIND("(",INDEX($A195:$J195,$L$6)&amp;"(")-1)),L194)</f>
        <v>Closed Won</v>
      </c>
      <c r="M195" s="37" t="str">
        <f aca="false">IF(INDEX($A195:$J195,$M$6)="","",INDEX($A195:$J195,$M$6)&amp;"")</f>
        <v>APA | SYD Eptura ProxyClick Renewal - 2605703</v>
      </c>
      <c r="N195" s="37" t="str">
        <f aca="false">IF($M195="","",TRIM(INDEX($A195:$J195,$N$6)&amp;""))</f>
        <v>APA</v>
      </c>
      <c r="O195" s="37" t="str">
        <f aca="false">IF($M195="","",TRIM(INDEX($A195:$J195,$O$6)&amp;""))</f>
        <v>Integration</v>
      </c>
      <c r="P195" s="37" t="str">
        <f aca="false">IF($M195="","",IFERROR(IF(INDEX(Settings!$B$41:$B$50,MATCH(O195,Settings!$A$41:$A$50,0))&amp;""="","UNMAPPED",INDEX(Settings!$B$41:$B$50,MATCH(O195,Settings!$A$41:$A$50,0))&amp;""),"UNMAPPED"))</f>
        <v>Integration</v>
      </c>
      <c r="Q195" s="38" t="n">
        <f aca="false">IF($M195="",0,N(INDEX($A195:$J195,$Q$6)))</f>
        <v>16288</v>
      </c>
      <c r="R195" s="39" t="n">
        <f aca="false">IF($M195="","",INDEX($A195:$J195,$R$6))</f>
        <v>46195</v>
      </c>
      <c r="S195" s="37" t="str">
        <f aca="false">IF($M195="","",IFERROR(INDEX(Settings!$B$27:$B$36,MATCH(L195,Settings!$A$27:$A$36,0))&amp;"","UNMAPPED"))</f>
        <v>Won</v>
      </c>
      <c r="T195" s="37" t="str">
        <f aca="false">IF($M195="","",IF(NOT(ISNUMBER(R195)),"NO DATE",IF(S195="Won",IF(R195&gt;Settings!$B$5,"Backlog","Delivered"),IF(S195="Open",IF(R195&gt;Settings!$B$5,"Pipeline","Overdue"),IF(S195="Lost","Lost","UNMAPPED")))))</f>
        <v>Delivered</v>
      </c>
      <c r="U195" s="40" t="n">
        <f aca="false">IF(T195="Backlog",1,IF(OR(T195="Pipeline",T195="Overdue"),N(INDEX(Settings!$C$27:$C$36,MATCH(L195,Settings!$A$27:$A$36,0))),0))</f>
        <v>0</v>
      </c>
      <c r="V195" s="38" t="n">
        <f aca="false">Q195*U195</f>
        <v>0</v>
      </c>
      <c r="W195" s="41" t="n">
        <f aca="false">IF($M195="","",IF(T195="Overdue",IF(Settings!$B$8="Yes",Settings!$B$7,""),IF(ISNUMBER(R195),DATE(YEAR(R195),MONTH(R195),1),"")))</f>
        <v>46174</v>
      </c>
      <c r="X195" s="38" t="n">
        <f aca="false">IF(AND(OR(T195="Backlog",T195="Pipeline",T195="Overdue"),ISNUMBER(W195)),IF(W195&lt;=Settings!$B$6,V195,0),0)</f>
        <v>0</v>
      </c>
      <c r="Y195" s="38" t="n">
        <f aca="false">IF(AND(OR(T195="Backlog",T195="Pipeline",T195="Overdue"),ISNUMBER(W195)),IF(W195&lt;=Settings!$B$6,Q195,0),0)</f>
        <v>0</v>
      </c>
      <c r="Z195" s="38" t="n">
        <f aca="false">IF(Y195=0,0,IF(T195="Backlog",Q195,Q195*Dashboard!$C$10))</f>
        <v>0</v>
      </c>
      <c r="AA195" s="37" t="n">
        <f aca="false">IF($N195="",0,IF(COUNTIF(Dashboard!$C$13:$C$22,$N195)&gt;0,1,0))</f>
        <v>0</v>
      </c>
      <c r="AB195" s="37" t="str">
        <f aca="false">IF($N195="","",IF(COUNTIF($N$8:$N195,$N195)=1,MAX($AB$7:$AB194)+1,""))</f>
        <v/>
      </c>
    </row>
    <row r="196" customFormat="false" ht="15" hidden="false" customHeight="false" outlineLevel="0" collapsed="false">
      <c r="B196" s="32" t="s">
        <v>589</v>
      </c>
      <c r="C196" s="32" t="s">
        <v>253</v>
      </c>
      <c r="D196" s="35" t="n">
        <v>7768</v>
      </c>
      <c r="E196" s="32" t="s">
        <v>145</v>
      </c>
      <c r="F196" s="36" t="n">
        <v>46240</v>
      </c>
      <c r="G196" s="32" t="s">
        <v>590</v>
      </c>
      <c r="L196" s="37" t="str">
        <f aca="false">IF(INDEX($A196:$J196,$L$6)&lt;&gt;"",TRIM(LEFT(INDEX($A196:$J196,$L$6),FIND("(",INDEX($A196:$J196,$L$6)&amp;"(")-1)),L195)</f>
        <v>Closed Won</v>
      </c>
      <c r="M196" s="37" t="str">
        <f aca="false">IF(INDEX($A196:$J196,$M$6)="","",INDEX($A196:$J196,$M$6)&amp;"")</f>
        <v>ASX - ASX Live - 1.9.26</v>
      </c>
      <c r="N196" s="37" t="str">
        <f aca="false">IF($M196="","",TRIM(INDEX($A196:$J196,$N$6)&amp;""))</f>
        <v>ASX Australian Securities Exchange</v>
      </c>
      <c r="O196" s="37" t="str">
        <f aca="false">IF($M196="","",TRIM(INDEX($A196:$J196,$O$6)&amp;""))</f>
        <v>Event Production</v>
      </c>
      <c r="P196" s="37" t="str">
        <f aca="false">IF($M196="","",IFERROR(IF(INDEX(Settings!$B$41:$B$50,MATCH(O196,Settings!$A$41:$A$50,0))&amp;""="","UNMAPPED",INDEX(Settings!$B$41:$B$50,MATCH(O196,Settings!$A$41:$A$50,0))&amp;""),"UNMAPPED"))</f>
        <v>Production</v>
      </c>
      <c r="Q196" s="38" t="n">
        <f aca="false">IF($M196="",0,N(INDEX($A196:$J196,$Q$6)))</f>
        <v>7768</v>
      </c>
      <c r="R196" s="39" t="n">
        <f aca="false">IF($M196="","",INDEX($A196:$J196,$R$6))</f>
        <v>46240</v>
      </c>
      <c r="S196" s="37" t="str">
        <f aca="false">IF($M196="","",IFERROR(INDEX(Settings!$B$27:$B$36,MATCH(L196,Settings!$A$27:$A$36,0))&amp;"","UNMAPPED"))</f>
        <v>Won</v>
      </c>
      <c r="T196" s="37" t="str">
        <f aca="false">IF($M196="","",IF(NOT(ISNUMBER(R196)),"NO DATE",IF(S196="Won",IF(R196&gt;Settings!$B$5,"Backlog","Delivered"),IF(S196="Open",IF(R196&gt;Settings!$B$5,"Pipeline","Overdue"),IF(S196="Lost","Lost","UNMAPPED")))))</f>
        <v>Delivered</v>
      </c>
      <c r="U196" s="40" t="n">
        <f aca="false">IF(T196="Backlog",1,IF(OR(T196="Pipeline",T196="Overdue"),N(INDEX(Settings!$C$27:$C$36,MATCH(L196,Settings!$A$27:$A$36,0))),0))</f>
        <v>0</v>
      </c>
      <c r="V196" s="38" t="n">
        <f aca="false">Q196*U196</f>
        <v>0</v>
      </c>
      <c r="W196" s="41" t="n">
        <f aca="false">IF($M196="","",IF(T196="Overdue",IF(Settings!$B$8="Yes",Settings!$B$7,""),IF(ISNUMBER(R196),DATE(YEAR(R196),MONTH(R196),1),"")))</f>
        <v>46235</v>
      </c>
      <c r="X196" s="38" t="n">
        <f aca="false">IF(AND(OR(T196="Backlog",T196="Pipeline",T196="Overdue"),ISNUMBER(W196)),IF(W196&lt;=Settings!$B$6,V196,0),0)</f>
        <v>0</v>
      </c>
      <c r="Y196" s="38" t="n">
        <f aca="false">IF(AND(OR(T196="Backlog",T196="Pipeline",T196="Overdue"),ISNUMBER(W196)),IF(W196&lt;=Settings!$B$6,Q196,0),0)</f>
        <v>0</v>
      </c>
      <c r="Z196" s="38" t="n">
        <f aca="false">IF(Y196=0,0,IF(T196="Backlog",Q196,Q196*Dashboard!$C$10))</f>
        <v>0</v>
      </c>
      <c r="AA196" s="37" t="n">
        <f aca="false">IF($N196="",0,IF(COUNTIF(Dashboard!$C$13:$C$22,$N196)&gt;0,1,0))</f>
        <v>0</v>
      </c>
      <c r="AB196" s="37" t="str">
        <f aca="false">IF($N196="","",IF(COUNTIF($N$8:$N196,$N196)=1,MAX($AB$7:$AB195)+1,""))</f>
        <v/>
      </c>
    </row>
    <row r="197" customFormat="false" ht="15" hidden="false" customHeight="false" outlineLevel="0" collapsed="false">
      <c r="B197" s="32" t="s">
        <v>591</v>
      </c>
      <c r="C197" s="32" t="s">
        <v>154</v>
      </c>
      <c r="D197" s="35" t="n">
        <v>3060</v>
      </c>
      <c r="E197" s="32" t="s">
        <v>180</v>
      </c>
      <c r="F197" s="36" t="n">
        <v>46143</v>
      </c>
      <c r="G197" s="32" t="s">
        <v>592</v>
      </c>
      <c r="L197" s="37" t="str">
        <f aca="false">IF(INDEX($A197:$J197,$L$6)&lt;&gt;"",TRIM(LEFT(INDEX($A197:$J197,$L$6),FIND("(",INDEX($A197:$J197,$L$6)&amp;"(")-1)),L196)</f>
        <v>Closed Won</v>
      </c>
      <c r="M197" s="37" t="str">
        <f aca="false">IF(INDEX($A197:$J197,$M$6)="","",INDEX($A197:$J197,$M$6)&amp;"")</f>
        <v>Pool of hours for National AV Support - 03/2026_26042901</v>
      </c>
      <c r="N197" s="37" t="str">
        <f aca="false">IF($M197="","",TRIM(INDEX($A197:$J197,$N$6)&amp;""))</f>
        <v>PWC</v>
      </c>
      <c r="O197" s="37" t="str">
        <f aca="false">IF($M197="","",TRIM(INDEX($A197:$J197,$O$6)&amp;""))</f>
        <v>Support</v>
      </c>
      <c r="P197" s="37" t="str">
        <f aca="false">IF($M197="","",IFERROR(IF(INDEX(Settings!$B$41:$B$50,MATCH(O197,Settings!$A$41:$A$50,0))&amp;""="","UNMAPPED",INDEX(Settings!$B$41:$B$50,MATCH(O197,Settings!$A$41:$A$50,0))&amp;""),"UNMAPPED"))</f>
        <v>Onsite</v>
      </c>
      <c r="Q197" s="38" t="n">
        <f aca="false">IF($M197="",0,N(INDEX($A197:$J197,$Q$6)))</f>
        <v>3060</v>
      </c>
      <c r="R197" s="39" t="n">
        <f aca="false">IF($M197="","",INDEX($A197:$J197,$R$6))</f>
        <v>46143</v>
      </c>
      <c r="S197" s="37" t="str">
        <f aca="false">IF($M197="","",IFERROR(INDEX(Settings!$B$27:$B$36,MATCH(L197,Settings!$A$27:$A$36,0))&amp;"","UNMAPPED"))</f>
        <v>Won</v>
      </c>
      <c r="T197" s="37" t="str">
        <f aca="false">IF($M197="","",IF(NOT(ISNUMBER(R197)),"NO DATE",IF(S197="Won",IF(R197&gt;Settings!$B$5,"Backlog","Delivered"),IF(S197="Open",IF(R197&gt;Settings!$B$5,"Pipeline","Overdue"),IF(S197="Lost","Lost","UNMAPPED")))))</f>
        <v>Delivered</v>
      </c>
      <c r="U197" s="40" t="n">
        <f aca="false">IF(T197="Backlog",1,IF(OR(T197="Pipeline",T197="Overdue"),N(INDEX(Settings!$C$27:$C$36,MATCH(L197,Settings!$A$27:$A$36,0))),0))</f>
        <v>0</v>
      </c>
      <c r="V197" s="38" t="n">
        <f aca="false">Q197*U197</f>
        <v>0</v>
      </c>
      <c r="W197" s="41" t="n">
        <f aca="false">IF($M197="","",IF(T197="Overdue",IF(Settings!$B$8="Yes",Settings!$B$7,""),IF(ISNUMBER(R197),DATE(YEAR(R197),MONTH(R197),1),"")))</f>
        <v>46143</v>
      </c>
      <c r="X197" s="38" t="n">
        <f aca="false">IF(AND(OR(T197="Backlog",T197="Pipeline",T197="Overdue"),ISNUMBER(W197)),IF(W197&lt;=Settings!$B$6,V197,0),0)</f>
        <v>0</v>
      </c>
      <c r="Y197" s="38" t="n">
        <f aca="false">IF(AND(OR(T197="Backlog",T197="Pipeline",T197="Overdue"),ISNUMBER(W197)),IF(W197&lt;=Settings!$B$6,Q197,0),0)</f>
        <v>0</v>
      </c>
      <c r="Z197" s="38" t="n">
        <f aca="false">IF(Y197=0,0,IF(T197="Backlog",Q197,Q197*Dashboard!$C$10))</f>
        <v>0</v>
      </c>
      <c r="AA197" s="37" t="n">
        <f aca="false">IF($N197="",0,IF(COUNTIF(Dashboard!$C$13:$C$22,$N197)&gt;0,1,0))</f>
        <v>0</v>
      </c>
      <c r="AB197" s="37" t="str">
        <f aca="false">IF($N197="","",IF(COUNTIF($N$8:$N197,$N197)=1,MAX($AB$7:$AB196)+1,""))</f>
        <v/>
      </c>
    </row>
    <row r="198" customFormat="false" ht="15" hidden="false" customHeight="false" outlineLevel="0" collapsed="false">
      <c r="B198" s="32" t="s">
        <v>593</v>
      </c>
      <c r="C198" s="32" t="s">
        <v>154</v>
      </c>
      <c r="D198" s="35" t="n">
        <v>561</v>
      </c>
      <c r="E198" s="32" t="s">
        <v>141</v>
      </c>
      <c r="F198" s="36" t="n">
        <v>46195</v>
      </c>
      <c r="G198" s="32" t="s">
        <v>594</v>
      </c>
      <c r="L198" s="37" t="str">
        <f aca="false">IF(INDEX($A198:$J198,$L$6)&lt;&gt;"",TRIM(LEFT(INDEX($A198:$J198,$L$6),FIND("(",INDEX($A198:$J198,$L$6)&amp;"(")-1)),L197)</f>
        <v>Closed Won</v>
      </c>
      <c r="M198" s="37" t="str">
        <f aca="false">IF(INDEX($A198:$J198,$M$6)="","",INDEX($A198:$J198,$M$6)&amp;"")</f>
        <v>PwC | Syd Studio Equipment - 2606901</v>
      </c>
      <c r="N198" s="37" t="str">
        <f aca="false">IF($M198="","",TRIM(INDEX($A198:$J198,$N$6)&amp;""))</f>
        <v>PWC</v>
      </c>
      <c r="O198" s="37" t="str">
        <f aca="false">IF($M198="","",TRIM(INDEX($A198:$J198,$O$6)&amp;""))</f>
        <v>Integration</v>
      </c>
      <c r="P198" s="37" t="str">
        <f aca="false">IF($M198="","",IFERROR(IF(INDEX(Settings!$B$41:$B$50,MATCH(O198,Settings!$A$41:$A$50,0))&amp;""="","UNMAPPED",INDEX(Settings!$B$41:$B$50,MATCH(O198,Settings!$A$41:$A$50,0))&amp;""),"UNMAPPED"))</f>
        <v>Integration</v>
      </c>
      <c r="Q198" s="38" t="n">
        <f aca="false">IF($M198="",0,N(INDEX($A198:$J198,$Q$6)))</f>
        <v>561</v>
      </c>
      <c r="R198" s="39" t="n">
        <f aca="false">IF($M198="","",INDEX($A198:$J198,$R$6))</f>
        <v>46195</v>
      </c>
      <c r="S198" s="37" t="str">
        <f aca="false">IF($M198="","",IFERROR(INDEX(Settings!$B$27:$B$36,MATCH(L198,Settings!$A$27:$A$36,0))&amp;"","UNMAPPED"))</f>
        <v>Won</v>
      </c>
      <c r="T198" s="37" t="str">
        <f aca="false">IF($M198="","",IF(NOT(ISNUMBER(R198)),"NO DATE",IF(S198="Won",IF(R198&gt;Settings!$B$5,"Backlog","Delivered"),IF(S198="Open",IF(R198&gt;Settings!$B$5,"Pipeline","Overdue"),IF(S198="Lost","Lost","UNMAPPED")))))</f>
        <v>Delivered</v>
      </c>
      <c r="U198" s="40" t="n">
        <f aca="false">IF(T198="Backlog",1,IF(OR(T198="Pipeline",T198="Overdue"),N(INDEX(Settings!$C$27:$C$36,MATCH(L198,Settings!$A$27:$A$36,0))),0))</f>
        <v>0</v>
      </c>
      <c r="V198" s="38" t="n">
        <f aca="false">Q198*U198</f>
        <v>0</v>
      </c>
      <c r="W198" s="41" t="n">
        <f aca="false">IF($M198="","",IF(T198="Overdue",IF(Settings!$B$8="Yes",Settings!$B$7,""),IF(ISNUMBER(R198),DATE(YEAR(R198),MONTH(R198),1),"")))</f>
        <v>46174</v>
      </c>
      <c r="X198" s="38" t="n">
        <f aca="false">IF(AND(OR(T198="Backlog",T198="Pipeline",T198="Overdue"),ISNUMBER(W198)),IF(W198&lt;=Settings!$B$6,V198,0),0)</f>
        <v>0</v>
      </c>
      <c r="Y198" s="38" t="n">
        <f aca="false">IF(AND(OR(T198="Backlog",T198="Pipeline",T198="Overdue"),ISNUMBER(W198)),IF(W198&lt;=Settings!$B$6,Q198,0),0)</f>
        <v>0</v>
      </c>
      <c r="Z198" s="38" t="n">
        <f aca="false">IF(Y198=0,0,IF(T198="Backlog",Q198,Q198*Dashboard!$C$10))</f>
        <v>0</v>
      </c>
      <c r="AA198" s="37" t="n">
        <f aca="false">IF($N198="",0,IF(COUNTIF(Dashboard!$C$13:$C$22,$N198)&gt;0,1,0))</f>
        <v>0</v>
      </c>
      <c r="AB198" s="37" t="str">
        <f aca="false">IF($N198="","",IF(COUNTIF($N$8:$N198,$N198)=1,MAX($AB$7:$AB197)+1,""))</f>
        <v/>
      </c>
    </row>
    <row r="199" customFormat="false" ht="15" hidden="false" customHeight="false" outlineLevel="0" collapsed="false">
      <c r="B199" s="32" t="s">
        <v>595</v>
      </c>
      <c r="C199" s="32" t="s">
        <v>281</v>
      </c>
      <c r="D199" s="35" t="n">
        <v>3364</v>
      </c>
      <c r="E199" s="32" t="s">
        <v>262</v>
      </c>
      <c r="F199" s="36" t="n">
        <v>45994</v>
      </c>
      <c r="G199" s="32" t="s">
        <v>596</v>
      </c>
      <c r="L199" s="37" t="str">
        <f aca="false">IF(INDEX($A199:$J199,$L$6)&lt;&gt;"",TRIM(LEFT(INDEX($A199:$J199,$L$6),FIND("(",INDEX($A199:$J199,$L$6)&amp;"(")-1)),L198)</f>
        <v>Closed Won</v>
      </c>
      <c r="M199" s="37" t="str">
        <f aca="false">IF(INDEX($A199:$J199,$M$6)="","",INDEX($A199:$J199,$M$6)&amp;"")</f>
        <v>Ordinary General Meeting - 3.12.25</v>
      </c>
      <c r="N199" s="37" t="str">
        <f aca="false">IF($M199="","",TRIM(INDEX($A199:$J199,$N$6)&amp;""))</f>
        <v>The Royal Society of New South Wales</v>
      </c>
      <c r="O199" s="37" t="str">
        <f aca="false">IF($M199="","",TRIM(INDEX($A199:$J199,$O$6)&amp;""))</f>
        <v>Multi-Service</v>
      </c>
      <c r="P199" s="37" t="str">
        <f aca="false">IF($M199="","",IFERROR(IF(INDEX(Settings!$B$41:$B$50,MATCH(O199,Settings!$A$41:$A$50,0))&amp;""="","UNMAPPED",INDEX(Settings!$B$41:$B$50,MATCH(O199,Settings!$A$41:$A$50,0))&amp;""),"UNMAPPED"))</f>
        <v>Unallocated</v>
      </c>
      <c r="Q199" s="38" t="n">
        <f aca="false">IF($M199="",0,N(INDEX($A199:$J199,$Q$6)))</f>
        <v>3364</v>
      </c>
      <c r="R199" s="39" t="n">
        <f aca="false">IF($M199="","",INDEX($A199:$J199,$R$6))</f>
        <v>45994</v>
      </c>
      <c r="S199" s="37" t="str">
        <f aca="false">IF($M199="","",IFERROR(INDEX(Settings!$B$27:$B$36,MATCH(L199,Settings!$A$27:$A$36,0))&amp;"","UNMAPPED"))</f>
        <v>Won</v>
      </c>
      <c r="T199" s="37" t="str">
        <f aca="false">IF($M199="","",IF(NOT(ISNUMBER(R199)),"NO DATE",IF(S199="Won",IF(R199&gt;Settings!$B$5,"Backlog","Delivered"),IF(S199="Open",IF(R199&gt;Settings!$B$5,"Pipeline","Overdue"),IF(S199="Lost","Lost","UNMAPPED")))))</f>
        <v>Delivered</v>
      </c>
      <c r="U199" s="40" t="n">
        <f aca="false">IF(T199="Backlog",1,IF(OR(T199="Pipeline",T199="Overdue"),N(INDEX(Settings!$C$27:$C$36,MATCH(L199,Settings!$A$27:$A$36,0))),0))</f>
        <v>0</v>
      </c>
      <c r="V199" s="38" t="n">
        <f aca="false">Q199*U199</f>
        <v>0</v>
      </c>
      <c r="W199" s="41" t="n">
        <f aca="false">IF($M199="","",IF(T199="Overdue",IF(Settings!$B$8="Yes",Settings!$B$7,""),IF(ISNUMBER(R199),DATE(YEAR(R199),MONTH(R199),1),"")))</f>
        <v>45992</v>
      </c>
      <c r="X199" s="38" t="n">
        <f aca="false">IF(AND(OR(T199="Backlog",T199="Pipeline",T199="Overdue"),ISNUMBER(W199)),IF(W199&lt;=Settings!$B$6,V199,0),0)</f>
        <v>0</v>
      </c>
      <c r="Y199" s="38" t="n">
        <f aca="false">IF(AND(OR(T199="Backlog",T199="Pipeline",T199="Overdue"),ISNUMBER(W199)),IF(W199&lt;=Settings!$B$6,Q199,0),0)</f>
        <v>0</v>
      </c>
      <c r="Z199" s="38" t="n">
        <f aca="false">IF(Y199=0,0,IF(T199="Backlog",Q199,Q199*Dashboard!$C$10))</f>
        <v>0</v>
      </c>
      <c r="AA199" s="37" t="n">
        <f aca="false">IF($N199="",0,IF(COUNTIF(Dashboard!$C$13:$C$22,$N199)&gt;0,1,0))</f>
        <v>0</v>
      </c>
      <c r="AB199" s="37" t="str">
        <f aca="false">IF($N199="","",IF(COUNTIF($N$8:$N199,$N199)=1,MAX($AB$7:$AB198)+1,""))</f>
        <v/>
      </c>
    </row>
    <row r="200" customFormat="false" ht="15" hidden="false" customHeight="false" outlineLevel="0" collapsed="false">
      <c r="B200" s="32" t="s">
        <v>597</v>
      </c>
      <c r="C200" s="32" t="s">
        <v>434</v>
      </c>
      <c r="D200" s="35" t="n">
        <v>2342</v>
      </c>
      <c r="E200" s="32" t="s">
        <v>173</v>
      </c>
      <c r="F200" s="36" t="n">
        <v>46035</v>
      </c>
      <c r="G200" s="32" t="s">
        <v>598</v>
      </c>
      <c r="L200" s="37" t="str">
        <f aca="false">IF(INDEX($A200:$J200,$L$6)&lt;&gt;"",TRIM(LEFT(INDEX($A200:$J200,$L$6),FIND("(",INDEX($A200:$J200,$L$6)&amp;"(")-1)),L199)</f>
        <v>Closed Won</v>
      </c>
      <c r="M200" s="37" t="str">
        <f aca="false">IF(INDEX($A200:$J200,$M$6)="","",INDEX($A200:$J200,$M$6)&amp;"")</f>
        <v>Touchpoint Poly CCX400 modification</v>
      </c>
      <c r="N200" s="37" t="str">
        <f aca="false">IF($M200="","",TRIM(INDEX($A200:$J200,$N$6)&amp;""))</f>
        <v>touchpoint</v>
      </c>
      <c r="O200" s="37" t="str">
        <f aca="false">IF($M200="","",TRIM(INDEX($A200:$J200,$O$6)&amp;""))</f>
        <v>Consulting</v>
      </c>
      <c r="P200" s="37" t="str">
        <f aca="false">IF($M200="","",IFERROR(IF(INDEX(Settings!$B$41:$B$50,MATCH(O200,Settings!$A$41:$A$50,0))&amp;""="","UNMAPPED",INDEX(Settings!$B$41:$B$50,MATCH(O200,Settings!$A$41:$A$50,0))&amp;""),"UNMAPPED"))</f>
        <v>Consulting</v>
      </c>
      <c r="Q200" s="38" t="n">
        <f aca="false">IF($M200="",0,N(INDEX($A200:$J200,$Q$6)))</f>
        <v>2342</v>
      </c>
      <c r="R200" s="39" t="n">
        <f aca="false">IF($M200="","",INDEX($A200:$J200,$R$6))</f>
        <v>46035</v>
      </c>
      <c r="S200" s="37" t="str">
        <f aca="false">IF($M200="","",IFERROR(INDEX(Settings!$B$27:$B$36,MATCH(L200,Settings!$A$27:$A$36,0))&amp;"","UNMAPPED"))</f>
        <v>Won</v>
      </c>
      <c r="T200" s="37" t="str">
        <f aca="false">IF($M200="","",IF(NOT(ISNUMBER(R200)),"NO DATE",IF(S200="Won",IF(R200&gt;Settings!$B$5,"Backlog","Delivered"),IF(S200="Open",IF(R200&gt;Settings!$B$5,"Pipeline","Overdue"),IF(S200="Lost","Lost","UNMAPPED")))))</f>
        <v>Delivered</v>
      </c>
      <c r="U200" s="40" t="n">
        <f aca="false">IF(T200="Backlog",1,IF(OR(T200="Pipeline",T200="Overdue"),N(INDEX(Settings!$C$27:$C$36,MATCH(L200,Settings!$A$27:$A$36,0))),0))</f>
        <v>0</v>
      </c>
      <c r="V200" s="38" t="n">
        <f aca="false">Q200*U200</f>
        <v>0</v>
      </c>
      <c r="W200" s="41" t="n">
        <f aca="false">IF($M200="","",IF(T200="Overdue",IF(Settings!$B$8="Yes",Settings!$B$7,""),IF(ISNUMBER(R200),DATE(YEAR(R200),MONTH(R200),1),"")))</f>
        <v>46023</v>
      </c>
      <c r="X200" s="38" t="n">
        <f aca="false">IF(AND(OR(T200="Backlog",T200="Pipeline",T200="Overdue"),ISNUMBER(W200)),IF(W200&lt;=Settings!$B$6,V200,0),0)</f>
        <v>0</v>
      </c>
      <c r="Y200" s="38" t="n">
        <f aca="false">IF(AND(OR(T200="Backlog",T200="Pipeline",T200="Overdue"),ISNUMBER(W200)),IF(W200&lt;=Settings!$B$6,Q200,0),0)</f>
        <v>0</v>
      </c>
      <c r="Z200" s="38" t="n">
        <f aca="false">IF(Y200=0,0,IF(T200="Backlog",Q200,Q200*Dashboard!$C$10))</f>
        <v>0</v>
      </c>
      <c r="AA200" s="37" t="n">
        <f aca="false">IF($N200="",0,IF(COUNTIF(Dashboard!$C$13:$C$22,$N200)&gt;0,1,0))</f>
        <v>0</v>
      </c>
      <c r="AB200" s="37" t="str">
        <f aca="false">IF($N200="","",IF(COUNTIF($N$8:$N200,$N200)=1,MAX($AB$7:$AB199)+1,""))</f>
        <v/>
      </c>
    </row>
    <row r="201" customFormat="false" ht="15" hidden="false" customHeight="false" outlineLevel="0" collapsed="false">
      <c r="B201" s="32" t="s">
        <v>599</v>
      </c>
      <c r="C201" s="32" t="s">
        <v>236</v>
      </c>
      <c r="D201" s="35" t="n">
        <v>1275</v>
      </c>
      <c r="E201" s="32" t="s">
        <v>180</v>
      </c>
      <c r="F201" s="36" t="n">
        <v>45910</v>
      </c>
      <c r="G201" s="32" t="s">
        <v>600</v>
      </c>
      <c r="L201" s="37" t="str">
        <f aca="false">IF(INDEX($A201:$J201,$L$6)&lt;&gt;"",TRIM(LEFT(INDEX($A201:$J201,$L$6),FIND("(",INDEX($A201:$J201,$L$6)&amp;"(")-1)),L200)</f>
        <v>Closed Won</v>
      </c>
      <c r="M201" s="37" t="str">
        <f aca="false">IF(INDEX($A201:$J201,$M$6)="","",INDEX($A201:$J201,$M$6)&amp;"")</f>
        <v>TWG - Sydney Technician - 10th &amp; 11th of September 2025</v>
      </c>
      <c r="N201" s="37" t="str">
        <f aca="false">IF($M201="","",TRIM(INDEX($A201:$J201,$N$6)&amp;""))</f>
        <v>EY</v>
      </c>
      <c r="O201" s="37" t="str">
        <f aca="false">IF($M201="","",TRIM(INDEX($A201:$J201,$O$6)&amp;""))</f>
        <v>Support</v>
      </c>
      <c r="P201" s="37" t="str">
        <f aca="false">IF($M201="","",IFERROR(IF(INDEX(Settings!$B$41:$B$50,MATCH(O201,Settings!$A$41:$A$50,0))&amp;""="","UNMAPPED",INDEX(Settings!$B$41:$B$50,MATCH(O201,Settings!$A$41:$A$50,0))&amp;""),"UNMAPPED"))</f>
        <v>Onsite</v>
      </c>
      <c r="Q201" s="38" t="n">
        <f aca="false">IF($M201="",0,N(INDEX($A201:$J201,$Q$6)))</f>
        <v>1275</v>
      </c>
      <c r="R201" s="39" t="n">
        <f aca="false">IF($M201="","",INDEX($A201:$J201,$R$6))</f>
        <v>45910</v>
      </c>
      <c r="S201" s="37" t="str">
        <f aca="false">IF($M201="","",IFERROR(INDEX(Settings!$B$27:$B$36,MATCH(L201,Settings!$A$27:$A$36,0))&amp;"","UNMAPPED"))</f>
        <v>Won</v>
      </c>
      <c r="T201" s="37" t="str">
        <f aca="false">IF($M201="","",IF(NOT(ISNUMBER(R201)),"NO DATE",IF(S201="Won",IF(R201&gt;Settings!$B$5,"Backlog","Delivered"),IF(S201="Open",IF(R201&gt;Settings!$B$5,"Pipeline","Overdue"),IF(S201="Lost","Lost","UNMAPPED")))))</f>
        <v>Delivered</v>
      </c>
      <c r="U201" s="40" t="n">
        <f aca="false">IF(T201="Backlog",1,IF(OR(T201="Pipeline",T201="Overdue"),N(INDEX(Settings!$C$27:$C$36,MATCH(L201,Settings!$A$27:$A$36,0))),0))</f>
        <v>0</v>
      </c>
      <c r="V201" s="38" t="n">
        <f aca="false">Q201*U201</f>
        <v>0</v>
      </c>
      <c r="W201" s="41" t="n">
        <f aca="false">IF($M201="","",IF(T201="Overdue",IF(Settings!$B$8="Yes",Settings!$B$7,""),IF(ISNUMBER(R201),DATE(YEAR(R201),MONTH(R201),1),"")))</f>
        <v>45901</v>
      </c>
      <c r="X201" s="38" t="n">
        <f aca="false">IF(AND(OR(T201="Backlog",T201="Pipeline",T201="Overdue"),ISNUMBER(W201)),IF(W201&lt;=Settings!$B$6,V201,0),0)</f>
        <v>0</v>
      </c>
      <c r="Y201" s="38" t="n">
        <f aca="false">IF(AND(OR(T201="Backlog",T201="Pipeline",T201="Overdue"),ISNUMBER(W201)),IF(W201&lt;=Settings!$B$6,Q201,0),0)</f>
        <v>0</v>
      </c>
      <c r="Z201" s="38" t="n">
        <f aca="false">IF(Y201=0,0,IF(T201="Backlog",Q201,Q201*Dashboard!$C$10))</f>
        <v>0</v>
      </c>
      <c r="AA201" s="37" t="n">
        <f aca="false">IF($N201="",0,IF(COUNTIF(Dashboard!$C$13:$C$22,$N201)&gt;0,1,0))</f>
        <v>0</v>
      </c>
      <c r="AB201" s="37" t="str">
        <f aca="false">IF($N201="","",IF(COUNTIF($N$8:$N201,$N201)=1,MAX($AB$7:$AB200)+1,""))</f>
        <v/>
      </c>
    </row>
    <row r="202" customFormat="false" ht="15" hidden="false" customHeight="false" outlineLevel="0" collapsed="false">
      <c r="B202" s="32" t="s">
        <v>601</v>
      </c>
      <c r="C202" s="32" t="s">
        <v>140</v>
      </c>
      <c r="D202" s="35" t="n">
        <v>340</v>
      </c>
      <c r="E202" s="32" t="s">
        <v>180</v>
      </c>
      <c r="F202" s="36" t="n">
        <v>46182</v>
      </c>
      <c r="G202" s="32" t="s">
        <v>602</v>
      </c>
      <c r="L202" s="37" t="str">
        <f aca="false">IF(INDEX($A202:$J202,$L$6)&lt;&gt;"",TRIM(LEFT(INDEX($A202:$J202,$L$6),FIND("(",INDEX($A202:$J202,$L$6)&amp;"(")-1)),L201)</f>
        <v>Closed Won</v>
      </c>
      <c r="M202" s="37" t="str">
        <f aca="false">IF(INDEX($A202:$J202,$M$6)="","",INDEX($A202:$J202,$M$6)&amp;"")</f>
        <v>Dedicated Technician - Barker College Dinner</v>
      </c>
      <c r="N202" s="37" t="str">
        <f aca="false">IF($M202="","",TRIM(INDEX($A202:$J202,$N$6)&amp;""))</f>
        <v>Deloitte Australia</v>
      </c>
      <c r="O202" s="37" t="str">
        <f aca="false">IF($M202="","",TRIM(INDEX($A202:$J202,$O$6)&amp;""))</f>
        <v>Support</v>
      </c>
      <c r="P202" s="37" t="str">
        <f aca="false">IF($M202="","",IFERROR(IF(INDEX(Settings!$B$41:$B$50,MATCH(O202,Settings!$A$41:$A$50,0))&amp;""="","UNMAPPED",INDEX(Settings!$B$41:$B$50,MATCH(O202,Settings!$A$41:$A$50,0))&amp;""),"UNMAPPED"))</f>
        <v>Onsite</v>
      </c>
      <c r="Q202" s="38" t="n">
        <f aca="false">IF($M202="",0,N(INDEX($A202:$J202,$Q$6)))</f>
        <v>340</v>
      </c>
      <c r="R202" s="39" t="n">
        <f aca="false">IF($M202="","",INDEX($A202:$J202,$R$6))</f>
        <v>46182</v>
      </c>
      <c r="S202" s="37" t="str">
        <f aca="false">IF($M202="","",IFERROR(INDEX(Settings!$B$27:$B$36,MATCH(L202,Settings!$A$27:$A$36,0))&amp;"","UNMAPPED"))</f>
        <v>Won</v>
      </c>
      <c r="T202" s="37" t="str">
        <f aca="false">IF($M202="","",IF(NOT(ISNUMBER(R202)),"NO DATE",IF(S202="Won",IF(R202&gt;Settings!$B$5,"Backlog","Delivered"),IF(S202="Open",IF(R202&gt;Settings!$B$5,"Pipeline","Overdue"),IF(S202="Lost","Lost","UNMAPPED")))))</f>
        <v>Delivered</v>
      </c>
      <c r="U202" s="40" t="n">
        <f aca="false">IF(T202="Backlog",1,IF(OR(T202="Pipeline",T202="Overdue"),N(INDEX(Settings!$C$27:$C$36,MATCH(L202,Settings!$A$27:$A$36,0))),0))</f>
        <v>0</v>
      </c>
      <c r="V202" s="38" t="n">
        <f aca="false">Q202*U202</f>
        <v>0</v>
      </c>
      <c r="W202" s="41" t="n">
        <f aca="false">IF($M202="","",IF(T202="Overdue",IF(Settings!$B$8="Yes",Settings!$B$7,""),IF(ISNUMBER(R202),DATE(YEAR(R202),MONTH(R202),1),"")))</f>
        <v>46174</v>
      </c>
      <c r="X202" s="38" t="n">
        <f aca="false">IF(AND(OR(T202="Backlog",T202="Pipeline",T202="Overdue"),ISNUMBER(W202)),IF(W202&lt;=Settings!$B$6,V202,0),0)</f>
        <v>0</v>
      </c>
      <c r="Y202" s="38" t="n">
        <f aca="false">IF(AND(OR(T202="Backlog",T202="Pipeline",T202="Overdue"),ISNUMBER(W202)),IF(W202&lt;=Settings!$B$6,Q202,0),0)</f>
        <v>0</v>
      </c>
      <c r="Z202" s="38" t="n">
        <f aca="false">IF(Y202=0,0,IF(T202="Backlog",Q202,Q202*Dashboard!$C$10))</f>
        <v>0</v>
      </c>
      <c r="AA202" s="37" t="n">
        <f aca="false">IF($N202="",0,IF(COUNTIF(Dashboard!$C$13:$C$22,$N202)&gt;0,1,0))</f>
        <v>0</v>
      </c>
      <c r="AB202" s="37" t="str">
        <f aca="false">IF($N202="","",IF(COUNTIF($N$8:$N202,$N202)=1,MAX($AB$7:$AB201)+1,""))</f>
        <v/>
      </c>
    </row>
    <row r="203" customFormat="false" ht="15" hidden="false" customHeight="false" outlineLevel="0" collapsed="false">
      <c r="B203" s="32" t="s">
        <v>603</v>
      </c>
      <c r="C203" s="32" t="s">
        <v>253</v>
      </c>
      <c r="D203" s="35" t="n">
        <v>3674</v>
      </c>
      <c r="E203" s="32" t="s">
        <v>145</v>
      </c>
      <c r="F203" s="36" t="n">
        <v>46315</v>
      </c>
      <c r="G203" s="32" t="s">
        <v>604</v>
      </c>
      <c r="L203" s="37" t="str">
        <f aca="false">IF(INDEX($A203:$J203,$L$6)&lt;&gt;"",TRIM(LEFT(INDEX($A203:$J203,$L$6),FIND("(",INDEX($A203:$J203,$L$6)&amp;"(")-1)),L202)</f>
        <v>Closed Won</v>
      </c>
      <c r="M203" s="37" t="str">
        <f aca="false">IF(INDEX($A203:$J203,$M$6)="","",INDEX($A203:$J203,$M$6)&amp;"")</f>
        <v>ASX CEO Connect 27.10.26</v>
      </c>
      <c r="N203" s="37" t="str">
        <f aca="false">IF($M203="","",TRIM(INDEX($A203:$J203,$N$6)&amp;""))</f>
        <v>ASX Australian Securities Exchange</v>
      </c>
      <c r="O203" s="37" t="str">
        <f aca="false">IF($M203="","",TRIM(INDEX($A203:$J203,$O$6)&amp;""))</f>
        <v>Event Production</v>
      </c>
      <c r="P203" s="37" t="str">
        <f aca="false">IF($M203="","",IFERROR(IF(INDEX(Settings!$B$41:$B$50,MATCH(O203,Settings!$A$41:$A$50,0))&amp;""="","UNMAPPED",INDEX(Settings!$B$41:$B$50,MATCH(O203,Settings!$A$41:$A$50,0))&amp;""),"UNMAPPED"))</f>
        <v>Production</v>
      </c>
      <c r="Q203" s="38" t="n">
        <f aca="false">IF($M203="",0,N(INDEX($A203:$J203,$Q$6)))</f>
        <v>3674</v>
      </c>
      <c r="R203" s="39" t="n">
        <f aca="false">IF($M203="","",INDEX($A203:$J203,$R$6))</f>
        <v>46315</v>
      </c>
      <c r="S203" s="37" t="str">
        <f aca="false">IF($M203="","",IFERROR(INDEX(Settings!$B$27:$B$36,MATCH(L203,Settings!$A$27:$A$36,0))&amp;"","UNMAPPED"))</f>
        <v>Won</v>
      </c>
      <c r="T203" s="37" t="str">
        <f aca="false">IF($M203="","",IF(NOT(ISNUMBER(R203)),"NO DATE",IF(S203="Won",IF(R203&gt;Settings!$B$5,"Backlog","Delivered"),IF(S203="Open",IF(R203&gt;Settings!$B$5,"Pipeline","Overdue"),IF(S203="Lost","Lost","UNMAPPED")))))</f>
        <v>Backlog</v>
      </c>
      <c r="U203" s="40" t="n">
        <f aca="false">IF(T203="Backlog",1,IF(OR(T203="Pipeline",T203="Overdue"),N(INDEX(Settings!$C$27:$C$36,MATCH(L203,Settings!$A$27:$A$36,0))),0))</f>
        <v>1</v>
      </c>
      <c r="V203" s="38" t="n">
        <f aca="false">Q203*U203</f>
        <v>3674</v>
      </c>
      <c r="W203" s="41" t="n">
        <f aca="false">IF($M203="","",IF(T203="Overdue",IF(Settings!$B$8="Yes",Settings!$B$7,""),IF(ISNUMBER(R203),DATE(YEAR(R203),MONTH(R203),1),"")))</f>
        <v>46296</v>
      </c>
      <c r="X203" s="38" t="n">
        <f aca="false">IF(AND(OR(T203="Backlog",T203="Pipeline",T203="Overdue"),ISNUMBER(W203)),IF(W203&lt;=Settings!$B$6,V203,0),0)</f>
        <v>3674</v>
      </c>
      <c r="Y203" s="38" t="n">
        <f aca="false">IF(AND(OR(T203="Backlog",T203="Pipeline",T203="Overdue"),ISNUMBER(W203)),IF(W203&lt;=Settings!$B$6,Q203,0),0)</f>
        <v>3674</v>
      </c>
      <c r="Z203" s="38" t="n">
        <f aca="false">IF(Y203=0,0,IF(T203="Backlog",Q203,Q203*Dashboard!$C$10))</f>
        <v>3674</v>
      </c>
      <c r="AA203" s="37" t="n">
        <f aca="false">IF($N203="",0,IF(COUNTIF(Dashboard!$C$13:$C$22,$N203)&gt;0,1,0))</f>
        <v>0</v>
      </c>
      <c r="AB203" s="37" t="str">
        <f aca="false">IF($N203="","",IF(COUNTIF($N$8:$N203,$N203)=1,MAX($AB$7:$AB202)+1,""))</f>
        <v/>
      </c>
    </row>
    <row r="204" customFormat="false" ht="15" hidden="false" customHeight="false" outlineLevel="0" collapsed="false">
      <c r="B204" s="32" t="s">
        <v>605</v>
      </c>
      <c r="C204" s="32" t="s">
        <v>606</v>
      </c>
      <c r="D204" s="35" t="n">
        <v>5272</v>
      </c>
      <c r="E204" s="32" t="s">
        <v>141</v>
      </c>
      <c r="F204" s="36" t="n">
        <v>45961</v>
      </c>
      <c r="G204" s="32" t="s">
        <v>607</v>
      </c>
      <c r="L204" s="37" t="str">
        <f aca="false">IF(INDEX($A204:$J204,$L$6)&lt;&gt;"",TRIM(LEFT(INDEX($A204:$J204,$L$6),FIND("(",INDEX($A204:$J204,$L$6)&amp;"(")-1)),L203)</f>
        <v>Closed Won</v>
      </c>
      <c r="M204" s="37" t="str">
        <f aca="false">IF(INDEX($A204:$J204,$M$6)="","",INDEX($A204:$J204,$M$6)&amp;"")</f>
        <v>Presynct QLD Desk Booking</v>
      </c>
      <c r="N204" s="37" t="str">
        <f aca="false">IF($M204="","",TRIM(INDEX($A204:$J204,$N$6)&amp;""))</f>
        <v>CommSecurity Pty Ltd</v>
      </c>
      <c r="O204" s="37" t="str">
        <f aca="false">IF($M204="","",TRIM(INDEX($A204:$J204,$O$6)&amp;""))</f>
        <v>Integration</v>
      </c>
      <c r="P204" s="37" t="str">
        <f aca="false">IF($M204="","",IFERROR(IF(INDEX(Settings!$B$41:$B$50,MATCH(O204,Settings!$A$41:$A$50,0))&amp;""="","UNMAPPED",INDEX(Settings!$B$41:$B$50,MATCH(O204,Settings!$A$41:$A$50,0))&amp;""),"UNMAPPED"))</f>
        <v>Integration</v>
      </c>
      <c r="Q204" s="38" t="n">
        <f aca="false">IF($M204="",0,N(INDEX($A204:$J204,$Q$6)))</f>
        <v>5272</v>
      </c>
      <c r="R204" s="39" t="n">
        <f aca="false">IF($M204="","",INDEX($A204:$J204,$R$6))</f>
        <v>45961</v>
      </c>
      <c r="S204" s="37" t="str">
        <f aca="false">IF($M204="","",IFERROR(INDEX(Settings!$B$27:$B$36,MATCH(L204,Settings!$A$27:$A$36,0))&amp;"","UNMAPPED"))</f>
        <v>Won</v>
      </c>
      <c r="T204" s="37" t="str">
        <f aca="false">IF($M204="","",IF(NOT(ISNUMBER(R204)),"NO DATE",IF(S204="Won",IF(R204&gt;Settings!$B$5,"Backlog","Delivered"),IF(S204="Open",IF(R204&gt;Settings!$B$5,"Pipeline","Overdue"),IF(S204="Lost","Lost","UNMAPPED")))))</f>
        <v>Delivered</v>
      </c>
      <c r="U204" s="40" t="n">
        <f aca="false">IF(T204="Backlog",1,IF(OR(T204="Pipeline",T204="Overdue"),N(INDEX(Settings!$C$27:$C$36,MATCH(L204,Settings!$A$27:$A$36,0))),0))</f>
        <v>0</v>
      </c>
      <c r="V204" s="38" t="n">
        <f aca="false">Q204*U204</f>
        <v>0</v>
      </c>
      <c r="W204" s="41" t="n">
        <f aca="false">IF($M204="","",IF(T204="Overdue",IF(Settings!$B$8="Yes",Settings!$B$7,""),IF(ISNUMBER(R204),DATE(YEAR(R204),MONTH(R204),1),"")))</f>
        <v>45931</v>
      </c>
      <c r="X204" s="38" t="n">
        <f aca="false">IF(AND(OR(T204="Backlog",T204="Pipeline",T204="Overdue"),ISNUMBER(W204)),IF(W204&lt;=Settings!$B$6,V204,0),0)</f>
        <v>0</v>
      </c>
      <c r="Y204" s="38" t="n">
        <f aca="false">IF(AND(OR(T204="Backlog",T204="Pipeline",T204="Overdue"),ISNUMBER(W204)),IF(W204&lt;=Settings!$B$6,Q204,0),0)</f>
        <v>0</v>
      </c>
      <c r="Z204" s="38" t="n">
        <f aca="false">IF(Y204=0,0,IF(T204="Backlog",Q204,Q204*Dashboard!$C$10))</f>
        <v>0</v>
      </c>
      <c r="AA204" s="37" t="n">
        <f aca="false">IF($N204="",0,IF(COUNTIF(Dashboard!$C$13:$C$22,$N204)&gt;0,1,0))</f>
        <v>0</v>
      </c>
      <c r="AB204" s="37" t="n">
        <f aca="false">IF($N204="","",IF(COUNTIF($N$8:$N204,$N204)=1,MAX($AB$7:$AB203)+1,""))</f>
        <v>68</v>
      </c>
    </row>
    <row r="205" customFormat="false" ht="15" hidden="false" customHeight="false" outlineLevel="0" collapsed="false">
      <c r="B205" s="32" t="s">
        <v>608</v>
      </c>
      <c r="C205" s="32" t="s">
        <v>321</v>
      </c>
      <c r="D205" s="35" t="n">
        <v>17172</v>
      </c>
      <c r="E205" s="32" t="s">
        <v>173</v>
      </c>
      <c r="F205" s="36" t="n">
        <v>46051</v>
      </c>
      <c r="G205" s="32" t="s">
        <v>609</v>
      </c>
      <c r="L205" s="37" t="str">
        <f aca="false">IF(INDEX($A205:$J205,$L$6)&lt;&gt;"",TRIM(LEFT(INDEX($A205:$J205,$L$6),FIND("(",INDEX($A205:$J205,$L$6)&amp;"(")-1)),L204)</f>
        <v>Closed Won</v>
      </c>
      <c r="M205" s="37" t="str">
        <f aca="false">IF(INDEX($A205:$J205,$M$6)="","",INDEX($A205:$J205,$M$6)&amp;"")</f>
        <v>HP-MissionAus_AudioDSPSolution</v>
      </c>
      <c r="N205" s="37" t="str">
        <f aca="false">IF($M205="","",TRIM(INDEX($A205:$J205,$N$6)&amp;""))</f>
        <v>HP</v>
      </c>
      <c r="O205" s="37" t="str">
        <f aca="false">IF($M205="","",TRIM(INDEX($A205:$J205,$O$6)&amp;""))</f>
        <v>Consulting</v>
      </c>
      <c r="P205" s="37" t="str">
        <f aca="false">IF($M205="","",IFERROR(IF(INDEX(Settings!$B$41:$B$50,MATCH(O205,Settings!$A$41:$A$50,0))&amp;""="","UNMAPPED",INDEX(Settings!$B$41:$B$50,MATCH(O205,Settings!$A$41:$A$50,0))&amp;""),"UNMAPPED"))</f>
        <v>Consulting</v>
      </c>
      <c r="Q205" s="38" t="n">
        <f aca="false">IF($M205="",0,N(INDEX($A205:$J205,$Q$6)))</f>
        <v>17172</v>
      </c>
      <c r="R205" s="39" t="n">
        <f aca="false">IF($M205="","",INDEX($A205:$J205,$R$6))</f>
        <v>46051</v>
      </c>
      <c r="S205" s="37" t="str">
        <f aca="false">IF($M205="","",IFERROR(INDEX(Settings!$B$27:$B$36,MATCH(L205,Settings!$A$27:$A$36,0))&amp;"","UNMAPPED"))</f>
        <v>Won</v>
      </c>
      <c r="T205" s="37" t="str">
        <f aca="false">IF($M205="","",IF(NOT(ISNUMBER(R205)),"NO DATE",IF(S205="Won",IF(R205&gt;Settings!$B$5,"Backlog","Delivered"),IF(S205="Open",IF(R205&gt;Settings!$B$5,"Pipeline","Overdue"),IF(S205="Lost","Lost","UNMAPPED")))))</f>
        <v>Delivered</v>
      </c>
      <c r="U205" s="40" t="n">
        <f aca="false">IF(T205="Backlog",1,IF(OR(T205="Pipeline",T205="Overdue"),N(INDEX(Settings!$C$27:$C$36,MATCH(L205,Settings!$A$27:$A$36,0))),0))</f>
        <v>0</v>
      </c>
      <c r="V205" s="38" t="n">
        <f aca="false">Q205*U205</f>
        <v>0</v>
      </c>
      <c r="W205" s="41" t="n">
        <f aca="false">IF($M205="","",IF(T205="Overdue",IF(Settings!$B$8="Yes",Settings!$B$7,""),IF(ISNUMBER(R205),DATE(YEAR(R205),MONTH(R205),1),"")))</f>
        <v>46023</v>
      </c>
      <c r="X205" s="38" t="n">
        <f aca="false">IF(AND(OR(T205="Backlog",T205="Pipeline",T205="Overdue"),ISNUMBER(W205)),IF(W205&lt;=Settings!$B$6,V205,0),0)</f>
        <v>0</v>
      </c>
      <c r="Y205" s="38" t="n">
        <f aca="false">IF(AND(OR(T205="Backlog",T205="Pipeline",T205="Overdue"),ISNUMBER(W205)),IF(W205&lt;=Settings!$B$6,Q205,0),0)</f>
        <v>0</v>
      </c>
      <c r="Z205" s="38" t="n">
        <f aca="false">IF(Y205=0,0,IF(T205="Backlog",Q205,Q205*Dashboard!$C$10))</f>
        <v>0</v>
      </c>
      <c r="AA205" s="37" t="n">
        <f aca="false">IF($N205="",0,IF(COUNTIF(Dashboard!$C$13:$C$22,$N205)&gt;0,1,0))</f>
        <v>0</v>
      </c>
      <c r="AB205" s="37" t="str">
        <f aca="false">IF($N205="","",IF(COUNTIF($N$8:$N205,$N205)=1,MAX($AB$7:$AB204)+1,""))</f>
        <v/>
      </c>
    </row>
    <row r="206" customFormat="false" ht="15" hidden="false" customHeight="false" outlineLevel="0" collapsed="false">
      <c r="B206" s="32" t="s">
        <v>610</v>
      </c>
      <c r="C206" s="32" t="s">
        <v>169</v>
      </c>
      <c r="D206" s="35" t="n">
        <v>1104</v>
      </c>
      <c r="E206" s="32" t="s">
        <v>145</v>
      </c>
      <c r="F206" s="36" t="n">
        <v>45981</v>
      </c>
      <c r="G206" s="32" t="s">
        <v>611</v>
      </c>
      <c r="L206" s="37" t="str">
        <f aca="false">IF(INDEX($A206:$J206,$L$6)&lt;&gt;"",TRIM(LEFT(INDEX($A206:$J206,$L$6),FIND("(",INDEX($A206:$J206,$L$6)&amp;"(")-1)),L205)</f>
        <v>Closed Won</v>
      </c>
      <c r="M206" s="37" t="str">
        <f aca="false">IF(INDEX($A206:$J206,$M$6)="","",INDEX($A206:$J206,$M$6)&amp;"")</f>
        <v>Evolution EVN AGM - 20.11.25</v>
      </c>
      <c r="N206" s="37" t="str">
        <f aca="false">IF($M206="","",TRIM(INDEX($A206:$J206,$N$6)&amp;""))</f>
        <v>MUFG IR / Orient Capital</v>
      </c>
      <c r="O206" s="37" t="str">
        <f aca="false">IF($M206="","",TRIM(INDEX($A206:$J206,$O$6)&amp;""))</f>
        <v>Event Production</v>
      </c>
      <c r="P206" s="37" t="str">
        <f aca="false">IF($M206="","",IFERROR(IF(INDEX(Settings!$B$41:$B$50,MATCH(O206,Settings!$A$41:$A$50,0))&amp;""="","UNMAPPED",INDEX(Settings!$B$41:$B$50,MATCH(O206,Settings!$A$41:$A$50,0))&amp;""),"UNMAPPED"))</f>
        <v>Production</v>
      </c>
      <c r="Q206" s="38" t="n">
        <f aca="false">IF($M206="",0,N(INDEX($A206:$J206,$Q$6)))</f>
        <v>1104</v>
      </c>
      <c r="R206" s="39" t="n">
        <f aca="false">IF($M206="","",INDEX($A206:$J206,$R$6))</f>
        <v>45981</v>
      </c>
      <c r="S206" s="37" t="str">
        <f aca="false">IF($M206="","",IFERROR(INDEX(Settings!$B$27:$B$36,MATCH(L206,Settings!$A$27:$A$36,0))&amp;"","UNMAPPED"))</f>
        <v>Won</v>
      </c>
      <c r="T206" s="37" t="str">
        <f aca="false">IF($M206="","",IF(NOT(ISNUMBER(R206)),"NO DATE",IF(S206="Won",IF(R206&gt;Settings!$B$5,"Backlog","Delivered"),IF(S206="Open",IF(R206&gt;Settings!$B$5,"Pipeline","Overdue"),IF(S206="Lost","Lost","UNMAPPED")))))</f>
        <v>Delivered</v>
      </c>
      <c r="U206" s="40" t="n">
        <f aca="false">IF(T206="Backlog",1,IF(OR(T206="Pipeline",T206="Overdue"),N(INDEX(Settings!$C$27:$C$36,MATCH(L206,Settings!$A$27:$A$36,0))),0))</f>
        <v>0</v>
      </c>
      <c r="V206" s="38" t="n">
        <f aca="false">Q206*U206</f>
        <v>0</v>
      </c>
      <c r="W206" s="41" t="n">
        <f aca="false">IF($M206="","",IF(T206="Overdue",IF(Settings!$B$8="Yes",Settings!$B$7,""),IF(ISNUMBER(R206),DATE(YEAR(R206),MONTH(R206),1),"")))</f>
        <v>45962</v>
      </c>
      <c r="X206" s="38" t="n">
        <f aca="false">IF(AND(OR(T206="Backlog",T206="Pipeline",T206="Overdue"),ISNUMBER(W206)),IF(W206&lt;=Settings!$B$6,V206,0),0)</f>
        <v>0</v>
      </c>
      <c r="Y206" s="38" t="n">
        <f aca="false">IF(AND(OR(T206="Backlog",T206="Pipeline",T206="Overdue"),ISNUMBER(W206)),IF(W206&lt;=Settings!$B$6,Q206,0),0)</f>
        <v>0</v>
      </c>
      <c r="Z206" s="38" t="n">
        <f aca="false">IF(Y206=0,0,IF(T206="Backlog",Q206,Q206*Dashboard!$C$10))</f>
        <v>0</v>
      </c>
      <c r="AA206" s="37" t="n">
        <f aca="false">IF($N206="",0,IF(COUNTIF(Dashboard!$C$13:$C$22,$N206)&gt;0,1,0))</f>
        <v>0</v>
      </c>
      <c r="AB206" s="37" t="str">
        <f aca="false">IF($N206="","",IF(COUNTIF($N$8:$N206,$N206)=1,MAX($AB$7:$AB205)+1,""))</f>
        <v/>
      </c>
    </row>
    <row r="207" customFormat="false" ht="15" hidden="false" customHeight="false" outlineLevel="0" collapsed="false">
      <c r="B207" s="32" t="s">
        <v>612</v>
      </c>
      <c r="C207" s="32" t="s">
        <v>613</v>
      </c>
      <c r="D207" s="35" t="n">
        <v>10000</v>
      </c>
      <c r="E207" s="32" t="s">
        <v>145</v>
      </c>
      <c r="F207" s="36" t="n">
        <v>46051</v>
      </c>
      <c r="G207" s="32" t="s">
        <v>614</v>
      </c>
      <c r="L207" s="37" t="str">
        <f aca="false">IF(INDEX($A207:$J207,$L$6)&lt;&gt;"",TRIM(LEFT(INDEX($A207:$J207,$L$6),FIND("(",INDEX($A207:$J207,$L$6)&amp;"(")-1)),L206)</f>
        <v>Closed Won</v>
      </c>
      <c r="M207" s="37" t="str">
        <f aca="false">IF(INDEX($A207:$J207,$M$6)="","",INDEX($A207:$J207,$M$6)&amp;"")</f>
        <v>CEO Summit 2026</v>
      </c>
      <c r="N207" s="37" t="str">
        <f aca="false">IF($M207="","",TRIM(INDEX($A207:$J207,$N$6)&amp;""))</f>
        <v>CEO Institute</v>
      </c>
      <c r="O207" s="37" t="str">
        <f aca="false">IF($M207="","",TRIM(INDEX($A207:$J207,$O$6)&amp;""))</f>
        <v>Event Production</v>
      </c>
      <c r="P207" s="37" t="str">
        <f aca="false">IF($M207="","",IFERROR(IF(INDEX(Settings!$B$41:$B$50,MATCH(O207,Settings!$A$41:$A$50,0))&amp;""="","UNMAPPED",INDEX(Settings!$B$41:$B$50,MATCH(O207,Settings!$A$41:$A$50,0))&amp;""),"UNMAPPED"))</f>
        <v>Production</v>
      </c>
      <c r="Q207" s="38" t="n">
        <f aca="false">IF($M207="",0,N(INDEX($A207:$J207,$Q$6)))</f>
        <v>10000</v>
      </c>
      <c r="R207" s="39" t="n">
        <f aca="false">IF($M207="","",INDEX($A207:$J207,$R$6))</f>
        <v>46051</v>
      </c>
      <c r="S207" s="37" t="str">
        <f aca="false">IF($M207="","",IFERROR(INDEX(Settings!$B$27:$B$36,MATCH(L207,Settings!$A$27:$A$36,0))&amp;"","UNMAPPED"))</f>
        <v>Won</v>
      </c>
      <c r="T207" s="37" t="str">
        <f aca="false">IF($M207="","",IF(NOT(ISNUMBER(R207)),"NO DATE",IF(S207="Won",IF(R207&gt;Settings!$B$5,"Backlog","Delivered"),IF(S207="Open",IF(R207&gt;Settings!$B$5,"Pipeline","Overdue"),IF(S207="Lost","Lost","UNMAPPED")))))</f>
        <v>Delivered</v>
      </c>
      <c r="U207" s="40" t="n">
        <f aca="false">IF(T207="Backlog",1,IF(OR(T207="Pipeline",T207="Overdue"),N(INDEX(Settings!$C$27:$C$36,MATCH(L207,Settings!$A$27:$A$36,0))),0))</f>
        <v>0</v>
      </c>
      <c r="V207" s="38" t="n">
        <f aca="false">Q207*U207</f>
        <v>0</v>
      </c>
      <c r="W207" s="41" t="n">
        <f aca="false">IF($M207="","",IF(T207="Overdue",IF(Settings!$B$8="Yes",Settings!$B$7,""),IF(ISNUMBER(R207),DATE(YEAR(R207),MONTH(R207),1),"")))</f>
        <v>46023</v>
      </c>
      <c r="X207" s="38" t="n">
        <f aca="false">IF(AND(OR(T207="Backlog",T207="Pipeline",T207="Overdue"),ISNUMBER(W207)),IF(W207&lt;=Settings!$B$6,V207,0),0)</f>
        <v>0</v>
      </c>
      <c r="Y207" s="38" t="n">
        <f aca="false">IF(AND(OR(T207="Backlog",T207="Pipeline",T207="Overdue"),ISNUMBER(W207)),IF(W207&lt;=Settings!$B$6,Q207,0),0)</f>
        <v>0</v>
      </c>
      <c r="Z207" s="38" t="n">
        <f aca="false">IF(Y207=0,0,IF(T207="Backlog",Q207,Q207*Dashboard!$C$10))</f>
        <v>0</v>
      </c>
      <c r="AA207" s="37" t="n">
        <f aca="false">IF($N207="",0,IF(COUNTIF(Dashboard!$C$13:$C$22,$N207)&gt;0,1,0))</f>
        <v>0</v>
      </c>
      <c r="AB207" s="37" t="n">
        <f aca="false">IF($N207="","",IF(COUNTIF($N$8:$N207,$N207)=1,MAX($AB$7:$AB206)+1,""))</f>
        <v>69</v>
      </c>
    </row>
    <row r="208" customFormat="false" ht="15" hidden="false" customHeight="false" outlineLevel="0" collapsed="false">
      <c r="B208" s="32" t="s">
        <v>615</v>
      </c>
      <c r="C208" s="32" t="s">
        <v>616</v>
      </c>
      <c r="D208" s="35" t="n">
        <v>460</v>
      </c>
      <c r="E208" s="32" t="s">
        <v>145</v>
      </c>
      <c r="F208" s="36" t="n">
        <v>46122</v>
      </c>
      <c r="G208" s="32" t="s">
        <v>617</v>
      </c>
      <c r="L208" s="37" t="str">
        <f aca="false">IF(INDEX($A208:$J208,$L$6)&lt;&gt;"",TRIM(LEFT(INDEX($A208:$J208,$L$6),FIND("(",INDEX($A208:$J208,$L$6)&amp;"(")-1)),L207)</f>
        <v>Closed Won</v>
      </c>
      <c r="M208" s="37" t="str">
        <f aca="false">IF(INDEX($A208:$J208,$M$6)="","",INDEX($A208:$J208,$M$6)&amp;"")</f>
        <v>Loreto Normanhurst - AV Sound Eng Training - 14.4.26</v>
      </c>
      <c r="N208" s="37" t="str">
        <f aca="false">IF($M208="","",TRIM(INDEX($A208:$J208,$N$6)&amp;""))</f>
        <v>Loreto Normanhurst</v>
      </c>
      <c r="O208" s="37" t="str">
        <f aca="false">IF($M208="","",TRIM(INDEX($A208:$J208,$O$6)&amp;""))</f>
        <v>Event Production</v>
      </c>
      <c r="P208" s="37" t="str">
        <f aca="false">IF($M208="","",IFERROR(IF(INDEX(Settings!$B$41:$B$50,MATCH(O208,Settings!$A$41:$A$50,0))&amp;""="","UNMAPPED",INDEX(Settings!$B$41:$B$50,MATCH(O208,Settings!$A$41:$A$50,0))&amp;""),"UNMAPPED"))</f>
        <v>Production</v>
      </c>
      <c r="Q208" s="38" t="n">
        <f aca="false">IF($M208="",0,N(INDEX($A208:$J208,$Q$6)))</f>
        <v>460</v>
      </c>
      <c r="R208" s="39" t="n">
        <f aca="false">IF($M208="","",INDEX($A208:$J208,$R$6))</f>
        <v>46122</v>
      </c>
      <c r="S208" s="37" t="str">
        <f aca="false">IF($M208="","",IFERROR(INDEX(Settings!$B$27:$B$36,MATCH(L208,Settings!$A$27:$A$36,0))&amp;"","UNMAPPED"))</f>
        <v>Won</v>
      </c>
      <c r="T208" s="37" t="str">
        <f aca="false">IF($M208="","",IF(NOT(ISNUMBER(R208)),"NO DATE",IF(S208="Won",IF(R208&gt;Settings!$B$5,"Backlog","Delivered"),IF(S208="Open",IF(R208&gt;Settings!$B$5,"Pipeline","Overdue"),IF(S208="Lost","Lost","UNMAPPED")))))</f>
        <v>Delivered</v>
      </c>
      <c r="U208" s="40" t="n">
        <f aca="false">IF(T208="Backlog",1,IF(OR(T208="Pipeline",T208="Overdue"),N(INDEX(Settings!$C$27:$C$36,MATCH(L208,Settings!$A$27:$A$36,0))),0))</f>
        <v>0</v>
      </c>
      <c r="V208" s="38" t="n">
        <f aca="false">Q208*U208</f>
        <v>0</v>
      </c>
      <c r="W208" s="41" t="n">
        <f aca="false">IF($M208="","",IF(T208="Overdue",IF(Settings!$B$8="Yes",Settings!$B$7,""),IF(ISNUMBER(R208),DATE(YEAR(R208),MONTH(R208),1),"")))</f>
        <v>46113</v>
      </c>
      <c r="X208" s="38" t="n">
        <f aca="false">IF(AND(OR(T208="Backlog",T208="Pipeline",T208="Overdue"),ISNUMBER(W208)),IF(W208&lt;=Settings!$B$6,V208,0),0)</f>
        <v>0</v>
      </c>
      <c r="Y208" s="38" t="n">
        <f aca="false">IF(AND(OR(T208="Backlog",T208="Pipeline",T208="Overdue"),ISNUMBER(W208)),IF(W208&lt;=Settings!$B$6,Q208,0),0)</f>
        <v>0</v>
      </c>
      <c r="Z208" s="38" t="n">
        <f aca="false">IF(Y208=0,0,IF(T208="Backlog",Q208,Q208*Dashboard!$C$10))</f>
        <v>0</v>
      </c>
      <c r="AA208" s="37" t="n">
        <f aca="false">IF($N208="",0,IF(COUNTIF(Dashboard!$C$13:$C$22,$N208)&gt;0,1,0))</f>
        <v>0</v>
      </c>
      <c r="AB208" s="37" t="n">
        <f aca="false">IF($N208="","",IF(COUNTIF($N$8:$N208,$N208)=1,MAX($AB$7:$AB207)+1,""))</f>
        <v>70</v>
      </c>
    </row>
    <row r="209" customFormat="false" ht="15" hidden="false" customHeight="false" outlineLevel="0" collapsed="false">
      <c r="B209" s="32" t="s">
        <v>618</v>
      </c>
      <c r="C209" s="32" t="s">
        <v>253</v>
      </c>
      <c r="D209" s="35" t="n">
        <v>4423</v>
      </c>
      <c r="E209" s="32" t="s">
        <v>145</v>
      </c>
      <c r="F209" s="36" t="n">
        <v>46064</v>
      </c>
      <c r="G209" s="32" t="s">
        <v>619</v>
      </c>
      <c r="L209" s="37" t="str">
        <f aca="false">IF(INDEX($A209:$J209,$L$6)&lt;&gt;"",TRIM(LEFT(INDEX($A209:$J209,$L$6),FIND("(",INDEX($A209:$J209,$L$6)&amp;"(")-1)),L208)</f>
        <v>Closed Won</v>
      </c>
      <c r="M209" s="37" t="str">
        <f aca="false">IF(INDEX($A209:$J209,$M$6)="","",INDEX($A209:$J209,$M$6)&amp;"")</f>
        <v>ASX FY26 Town Hall 12.2.26</v>
      </c>
      <c r="N209" s="37" t="str">
        <f aca="false">IF($M209="","",TRIM(INDEX($A209:$J209,$N$6)&amp;""))</f>
        <v>ASX Australian Securities Exchange</v>
      </c>
      <c r="O209" s="37" t="str">
        <f aca="false">IF($M209="","",TRIM(INDEX($A209:$J209,$O$6)&amp;""))</f>
        <v>Event Production</v>
      </c>
      <c r="P209" s="37" t="str">
        <f aca="false">IF($M209="","",IFERROR(IF(INDEX(Settings!$B$41:$B$50,MATCH(O209,Settings!$A$41:$A$50,0))&amp;""="","UNMAPPED",INDEX(Settings!$B$41:$B$50,MATCH(O209,Settings!$A$41:$A$50,0))&amp;""),"UNMAPPED"))</f>
        <v>Production</v>
      </c>
      <c r="Q209" s="38" t="n">
        <f aca="false">IF($M209="",0,N(INDEX($A209:$J209,$Q$6)))</f>
        <v>4423</v>
      </c>
      <c r="R209" s="39" t="n">
        <f aca="false">IF($M209="","",INDEX($A209:$J209,$R$6))</f>
        <v>46064</v>
      </c>
      <c r="S209" s="37" t="str">
        <f aca="false">IF($M209="","",IFERROR(INDEX(Settings!$B$27:$B$36,MATCH(L209,Settings!$A$27:$A$36,0))&amp;"","UNMAPPED"))</f>
        <v>Won</v>
      </c>
      <c r="T209" s="37" t="str">
        <f aca="false">IF($M209="","",IF(NOT(ISNUMBER(R209)),"NO DATE",IF(S209="Won",IF(R209&gt;Settings!$B$5,"Backlog","Delivered"),IF(S209="Open",IF(R209&gt;Settings!$B$5,"Pipeline","Overdue"),IF(S209="Lost","Lost","UNMAPPED")))))</f>
        <v>Delivered</v>
      </c>
      <c r="U209" s="40" t="n">
        <f aca="false">IF(T209="Backlog",1,IF(OR(T209="Pipeline",T209="Overdue"),N(INDEX(Settings!$C$27:$C$36,MATCH(L209,Settings!$A$27:$A$36,0))),0))</f>
        <v>0</v>
      </c>
      <c r="V209" s="38" t="n">
        <f aca="false">Q209*U209</f>
        <v>0</v>
      </c>
      <c r="W209" s="41" t="n">
        <f aca="false">IF($M209="","",IF(T209="Overdue",IF(Settings!$B$8="Yes",Settings!$B$7,""),IF(ISNUMBER(R209),DATE(YEAR(R209),MONTH(R209),1),"")))</f>
        <v>46054</v>
      </c>
      <c r="X209" s="38" t="n">
        <f aca="false">IF(AND(OR(T209="Backlog",T209="Pipeline",T209="Overdue"),ISNUMBER(W209)),IF(W209&lt;=Settings!$B$6,V209,0),0)</f>
        <v>0</v>
      </c>
      <c r="Y209" s="38" t="n">
        <f aca="false">IF(AND(OR(T209="Backlog",T209="Pipeline",T209="Overdue"),ISNUMBER(W209)),IF(W209&lt;=Settings!$B$6,Q209,0),0)</f>
        <v>0</v>
      </c>
      <c r="Z209" s="38" t="n">
        <f aca="false">IF(Y209=0,0,IF(T209="Backlog",Q209,Q209*Dashboard!$C$10))</f>
        <v>0</v>
      </c>
      <c r="AA209" s="37" t="n">
        <f aca="false">IF($N209="",0,IF(COUNTIF(Dashboard!$C$13:$C$22,$N209)&gt;0,1,0))</f>
        <v>0</v>
      </c>
      <c r="AB209" s="37" t="str">
        <f aca="false">IF($N209="","",IF(COUNTIF($N$8:$N209,$N209)=1,MAX($AB$7:$AB208)+1,""))</f>
        <v/>
      </c>
    </row>
    <row r="210" customFormat="false" ht="15" hidden="false" customHeight="false" outlineLevel="0" collapsed="false">
      <c r="B210" s="32" t="s">
        <v>620</v>
      </c>
      <c r="C210" s="32" t="s">
        <v>194</v>
      </c>
      <c r="D210" s="35" t="n">
        <v>21742</v>
      </c>
      <c r="E210" s="32" t="s">
        <v>145</v>
      </c>
      <c r="F210" s="36" t="n">
        <v>46128</v>
      </c>
      <c r="G210" s="32" t="s">
        <v>621</v>
      </c>
      <c r="L210" s="37" t="str">
        <f aca="false">IF(INDEX($A210:$J210,$L$6)&lt;&gt;"",TRIM(LEFT(INDEX($A210:$J210,$L$6),FIND("(",INDEX($A210:$J210,$L$6)&amp;"(")-1)),L209)</f>
        <v>Closed Won</v>
      </c>
      <c r="M210" s="37" t="str">
        <f aca="false">IF(INDEX($A210:$J210,$M$6)="","",INDEX($A210:$J210,$M$6)&amp;"")</f>
        <v>Ventia - CEO Townhall - 23.4.26 (26031001)</v>
      </c>
      <c r="N210" s="37" t="str">
        <f aca="false">IF($M210="","",TRIM(INDEX($A210:$J210,$N$6)&amp;""))</f>
        <v>Ventia</v>
      </c>
      <c r="O210" s="37" t="str">
        <f aca="false">IF($M210="","",TRIM(INDEX($A210:$J210,$O$6)&amp;""))</f>
        <v>Event Production</v>
      </c>
      <c r="P210" s="37" t="str">
        <f aca="false">IF($M210="","",IFERROR(IF(INDEX(Settings!$B$41:$B$50,MATCH(O210,Settings!$A$41:$A$50,0))&amp;""="","UNMAPPED",INDEX(Settings!$B$41:$B$50,MATCH(O210,Settings!$A$41:$A$50,0))&amp;""),"UNMAPPED"))</f>
        <v>Production</v>
      </c>
      <c r="Q210" s="38" t="n">
        <f aca="false">IF($M210="",0,N(INDEX($A210:$J210,$Q$6)))</f>
        <v>21742</v>
      </c>
      <c r="R210" s="39" t="n">
        <f aca="false">IF($M210="","",INDEX($A210:$J210,$R$6))</f>
        <v>46128</v>
      </c>
      <c r="S210" s="37" t="str">
        <f aca="false">IF($M210="","",IFERROR(INDEX(Settings!$B$27:$B$36,MATCH(L210,Settings!$A$27:$A$36,0))&amp;"","UNMAPPED"))</f>
        <v>Won</v>
      </c>
      <c r="T210" s="37" t="str">
        <f aca="false">IF($M210="","",IF(NOT(ISNUMBER(R210)),"NO DATE",IF(S210="Won",IF(R210&gt;Settings!$B$5,"Backlog","Delivered"),IF(S210="Open",IF(R210&gt;Settings!$B$5,"Pipeline","Overdue"),IF(S210="Lost","Lost","UNMAPPED")))))</f>
        <v>Delivered</v>
      </c>
      <c r="U210" s="40" t="n">
        <f aca="false">IF(T210="Backlog",1,IF(OR(T210="Pipeline",T210="Overdue"),N(INDEX(Settings!$C$27:$C$36,MATCH(L210,Settings!$A$27:$A$36,0))),0))</f>
        <v>0</v>
      </c>
      <c r="V210" s="38" t="n">
        <f aca="false">Q210*U210</f>
        <v>0</v>
      </c>
      <c r="W210" s="41" t="n">
        <f aca="false">IF($M210="","",IF(T210="Overdue",IF(Settings!$B$8="Yes",Settings!$B$7,""),IF(ISNUMBER(R210),DATE(YEAR(R210),MONTH(R210),1),"")))</f>
        <v>46113</v>
      </c>
      <c r="X210" s="38" t="n">
        <f aca="false">IF(AND(OR(T210="Backlog",T210="Pipeline",T210="Overdue"),ISNUMBER(W210)),IF(W210&lt;=Settings!$B$6,V210,0),0)</f>
        <v>0</v>
      </c>
      <c r="Y210" s="38" t="n">
        <f aca="false">IF(AND(OR(T210="Backlog",T210="Pipeline",T210="Overdue"),ISNUMBER(W210)),IF(W210&lt;=Settings!$B$6,Q210,0),0)</f>
        <v>0</v>
      </c>
      <c r="Z210" s="38" t="n">
        <f aca="false">IF(Y210=0,0,IF(T210="Backlog",Q210,Q210*Dashboard!$C$10))</f>
        <v>0</v>
      </c>
      <c r="AA210" s="37" t="n">
        <f aca="false">IF($N210="",0,IF(COUNTIF(Dashboard!$C$13:$C$22,$N210)&gt;0,1,0))</f>
        <v>0</v>
      </c>
      <c r="AB210" s="37" t="str">
        <f aca="false">IF($N210="","",IF(COUNTIF($N$8:$N210,$N210)=1,MAX($AB$7:$AB209)+1,""))</f>
        <v/>
      </c>
    </row>
    <row r="211" customFormat="false" ht="15" hidden="false" customHeight="false" outlineLevel="0" collapsed="false">
      <c r="B211" s="32" t="s">
        <v>622</v>
      </c>
      <c r="C211" s="32" t="s">
        <v>169</v>
      </c>
      <c r="D211" s="35" t="n">
        <v>9258</v>
      </c>
      <c r="E211" s="32" t="s">
        <v>145</v>
      </c>
      <c r="F211" s="36" t="n">
        <v>45883</v>
      </c>
      <c r="G211" s="32" t="s">
        <v>623</v>
      </c>
      <c r="L211" s="37" t="str">
        <f aca="false">IF(INDEX($A211:$J211,$L$6)&lt;&gt;"",TRIM(LEFT(INDEX($A211:$J211,$L$6),FIND("(",INDEX($A211:$J211,$L$6)&amp;"(")-1)),L210)</f>
        <v>Closed Won</v>
      </c>
      <c r="M211" s="37" t="str">
        <f aca="false">IF(INDEX($A211:$J211,$M$6)="","",INDEX($A211:$J211,$M$6)&amp;"")</f>
        <v>OC - Suncorp - FYR 14.8.25</v>
      </c>
      <c r="N211" s="37" t="str">
        <f aca="false">IF($M211="","",TRIM(INDEX($A211:$J211,$N$6)&amp;""))</f>
        <v>MUFG IR / Orient Capital</v>
      </c>
      <c r="O211" s="37" t="str">
        <f aca="false">IF($M211="","",TRIM(INDEX($A211:$J211,$O$6)&amp;""))</f>
        <v>Event Production</v>
      </c>
      <c r="P211" s="37" t="str">
        <f aca="false">IF($M211="","",IFERROR(IF(INDEX(Settings!$B$41:$B$50,MATCH(O211,Settings!$A$41:$A$50,0))&amp;""="","UNMAPPED",INDEX(Settings!$B$41:$B$50,MATCH(O211,Settings!$A$41:$A$50,0))&amp;""),"UNMAPPED"))</f>
        <v>Production</v>
      </c>
      <c r="Q211" s="38" t="n">
        <f aca="false">IF($M211="",0,N(INDEX($A211:$J211,$Q$6)))</f>
        <v>9258</v>
      </c>
      <c r="R211" s="39" t="n">
        <f aca="false">IF($M211="","",INDEX($A211:$J211,$R$6))</f>
        <v>45883</v>
      </c>
      <c r="S211" s="37" t="str">
        <f aca="false">IF($M211="","",IFERROR(INDEX(Settings!$B$27:$B$36,MATCH(L211,Settings!$A$27:$A$36,0))&amp;"","UNMAPPED"))</f>
        <v>Won</v>
      </c>
      <c r="T211" s="37" t="str">
        <f aca="false">IF($M211="","",IF(NOT(ISNUMBER(R211)),"NO DATE",IF(S211="Won",IF(R211&gt;Settings!$B$5,"Backlog","Delivered"),IF(S211="Open",IF(R211&gt;Settings!$B$5,"Pipeline","Overdue"),IF(S211="Lost","Lost","UNMAPPED")))))</f>
        <v>Delivered</v>
      </c>
      <c r="U211" s="40" t="n">
        <f aca="false">IF(T211="Backlog",1,IF(OR(T211="Pipeline",T211="Overdue"),N(INDEX(Settings!$C$27:$C$36,MATCH(L211,Settings!$A$27:$A$36,0))),0))</f>
        <v>0</v>
      </c>
      <c r="V211" s="38" t="n">
        <f aca="false">Q211*U211</f>
        <v>0</v>
      </c>
      <c r="W211" s="41" t="n">
        <f aca="false">IF($M211="","",IF(T211="Overdue",IF(Settings!$B$8="Yes",Settings!$B$7,""),IF(ISNUMBER(R211),DATE(YEAR(R211),MONTH(R211),1),"")))</f>
        <v>45870</v>
      </c>
      <c r="X211" s="38" t="n">
        <f aca="false">IF(AND(OR(T211="Backlog",T211="Pipeline",T211="Overdue"),ISNUMBER(W211)),IF(W211&lt;=Settings!$B$6,V211,0),0)</f>
        <v>0</v>
      </c>
      <c r="Y211" s="38" t="n">
        <f aca="false">IF(AND(OR(T211="Backlog",T211="Pipeline",T211="Overdue"),ISNUMBER(W211)),IF(W211&lt;=Settings!$B$6,Q211,0),0)</f>
        <v>0</v>
      </c>
      <c r="Z211" s="38" t="n">
        <f aca="false">IF(Y211=0,0,IF(T211="Backlog",Q211,Q211*Dashboard!$C$10))</f>
        <v>0</v>
      </c>
      <c r="AA211" s="37" t="n">
        <f aca="false">IF($N211="",0,IF(COUNTIF(Dashboard!$C$13:$C$22,$N211)&gt;0,1,0))</f>
        <v>0</v>
      </c>
      <c r="AB211" s="37" t="str">
        <f aca="false">IF($N211="","",IF(COUNTIF($N$8:$N211,$N211)=1,MAX($AB$7:$AB210)+1,""))</f>
        <v/>
      </c>
    </row>
    <row r="212" customFormat="false" ht="15" hidden="false" customHeight="false" outlineLevel="0" collapsed="false">
      <c r="B212" s="32" t="s">
        <v>624</v>
      </c>
      <c r="C212" s="32" t="s">
        <v>253</v>
      </c>
      <c r="D212" s="35" t="n">
        <v>26723</v>
      </c>
      <c r="E212" s="32" t="s">
        <v>208</v>
      </c>
      <c r="F212" s="36" t="n">
        <v>45951</v>
      </c>
      <c r="G212" s="32" t="s">
        <v>625</v>
      </c>
      <c r="L212" s="37" t="str">
        <f aca="false">IF(INDEX($A212:$J212,$L$6)&lt;&gt;"",TRIM(LEFT(INDEX($A212:$J212,$L$6),FIND("(",INDEX($A212:$J212,$L$6)&amp;"(")-1)),L211)</f>
        <v>Closed Won</v>
      </c>
      <c r="M212" s="37" t="str">
        <f aca="false">IF(INDEX($A212:$J212,$M$6)="","",INDEX($A212:$J212,$M$6)&amp;"")</f>
        <v>Investor Day Shoot/Edit - 21.10.25</v>
      </c>
      <c r="N212" s="37" t="str">
        <f aca="false">IF($M212="","",TRIM(INDEX($A212:$J212,$N$6)&amp;""))</f>
        <v>ASX Australian Securities Exchange</v>
      </c>
      <c r="O212" s="37" t="str">
        <f aca="false">IF($M212="","",TRIM(INDEX($A212:$J212,$O$6)&amp;""))</f>
        <v>Video Production</v>
      </c>
      <c r="P212" s="37" t="str">
        <f aca="false">IF($M212="","",IFERROR(IF(INDEX(Settings!$B$41:$B$50,MATCH(O212,Settings!$A$41:$A$50,0))&amp;""="","UNMAPPED",INDEX(Settings!$B$41:$B$50,MATCH(O212,Settings!$A$41:$A$50,0))&amp;""),"UNMAPPED"))</f>
        <v>Video</v>
      </c>
      <c r="Q212" s="38" t="n">
        <f aca="false">IF($M212="",0,N(INDEX($A212:$J212,$Q$6)))</f>
        <v>26723</v>
      </c>
      <c r="R212" s="39" t="n">
        <f aca="false">IF($M212="","",INDEX($A212:$J212,$R$6))</f>
        <v>45951</v>
      </c>
      <c r="S212" s="37" t="str">
        <f aca="false">IF($M212="","",IFERROR(INDEX(Settings!$B$27:$B$36,MATCH(L212,Settings!$A$27:$A$36,0))&amp;"","UNMAPPED"))</f>
        <v>Won</v>
      </c>
      <c r="T212" s="37" t="str">
        <f aca="false">IF($M212="","",IF(NOT(ISNUMBER(R212)),"NO DATE",IF(S212="Won",IF(R212&gt;Settings!$B$5,"Backlog","Delivered"),IF(S212="Open",IF(R212&gt;Settings!$B$5,"Pipeline","Overdue"),IF(S212="Lost","Lost","UNMAPPED")))))</f>
        <v>Delivered</v>
      </c>
      <c r="U212" s="40" t="n">
        <f aca="false">IF(T212="Backlog",1,IF(OR(T212="Pipeline",T212="Overdue"),N(INDEX(Settings!$C$27:$C$36,MATCH(L212,Settings!$A$27:$A$36,0))),0))</f>
        <v>0</v>
      </c>
      <c r="V212" s="38" t="n">
        <f aca="false">Q212*U212</f>
        <v>0</v>
      </c>
      <c r="W212" s="41" t="n">
        <f aca="false">IF($M212="","",IF(T212="Overdue",IF(Settings!$B$8="Yes",Settings!$B$7,""),IF(ISNUMBER(R212),DATE(YEAR(R212),MONTH(R212),1),"")))</f>
        <v>45931</v>
      </c>
      <c r="X212" s="38" t="n">
        <f aca="false">IF(AND(OR(T212="Backlog",T212="Pipeline",T212="Overdue"),ISNUMBER(W212)),IF(W212&lt;=Settings!$B$6,V212,0),0)</f>
        <v>0</v>
      </c>
      <c r="Y212" s="38" t="n">
        <f aca="false">IF(AND(OR(T212="Backlog",T212="Pipeline",T212="Overdue"),ISNUMBER(W212)),IF(W212&lt;=Settings!$B$6,Q212,0),0)</f>
        <v>0</v>
      </c>
      <c r="Z212" s="38" t="n">
        <f aca="false">IF(Y212=0,0,IF(T212="Backlog",Q212,Q212*Dashboard!$C$10))</f>
        <v>0</v>
      </c>
      <c r="AA212" s="37" t="n">
        <f aca="false">IF($N212="",0,IF(COUNTIF(Dashboard!$C$13:$C$22,$N212)&gt;0,1,0))</f>
        <v>0</v>
      </c>
      <c r="AB212" s="37" t="str">
        <f aca="false">IF($N212="","",IF(COUNTIF($N$8:$N212,$N212)=1,MAX($AB$7:$AB211)+1,""))</f>
        <v/>
      </c>
    </row>
    <row r="213" customFormat="false" ht="15" hidden="false" customHeight="false" outlineLevel="0" collapsed="false">
      <c r="B213" s="32" t="s">
        <v>626</v>
      </c>
      <c r="C213" s="32" t="s">
        <v>244</v>
      </c>
      <c r="D213" s="35" t="n">
        <v>825</v>
      </c>
      <c r="E213" s="32" t="s">
        <v>141</v>
      </c>
      <c r="F213" s="36" t="n">
        <v>45922</v>
      </c>
      <c r="G213" s="32" t="s">
        <v>627</v>
      </c>
      <c r="L213" s="37" t="str">
        <f aca="false">IF(INDEX($A213:$J213,$L$6)&lt;&gt;"",TRIM(LEFT(INDEX($A213:$J213,$L$6),FIND("(",INDEX($A213:$J213,$L$6)&amp;"(")-1)),L212)</f>
        <v>Closed Won</v>
      </c>
      <c r="M213" s="37" t="str">
        <f aca="false">IF(INDEX($A213:$J213,$M$6)="","",INDEX($A213:$J213,$M$6)&amp;"")</f>
        <v>APA Sydney Tablet Brackets</v>
      </c>
      <c r="N213" s="37" t="str">
        <f aca="false">IF($M213="","",TRIM(INDEX($A213:$J213,$N$6)&amp;""))</f>
        <v>APA</v>
      </c>
      <c r="O213" s="37" t="str">
        <f aca="false">IF($M213="","",TRIM(INDEX($A213:$J213,$O$6)&amp;""))</f>
        <v>Integration</v>
      </c>
      <c r="P213" s="37" t="str">
        <f aca="false">IF($M213="","",IFERROR(IF(INDEX(Settings!$B$41:$B$50,MATCH(O213,Settings!$A$41:$A$50,0))&amp;""="","UNMAPPED",INDEX(Settings!$B$41:$B$50,MATCH(O213,Settings!$A$41:$A$50,0))&amp;""),"UNMAPPED"))</f>
        <v>Integration</v>
      </c>
      <c r="Q213" s="38" t="n">
        <f aca="false">IF($M213="",0,N(INDEX($A213:$J213,$Q$6)))</f>
        <v>825</v>
      </c>
      <c r="R213" s="39" t="n">
        <f aca="false">IF($M213="","",INDEX($A213:$J213,$R$6))</f>
        <v>45922</v>
      </c>
      <c r="S213" s="37" t="str">
        <f aca="false">IF($M213="","",IFERROR(INDEX(Settings!$B$27:$B$36,MATCH(L213,Settings!$A$27:$A$36,0))&amp;"","UNMAPPED"))</f>
        <v>Won</v>
      </c>
      <c r="T213" s="37" t="str">
        <f aca="false">IF($M213="","",IF(NOT(ISNUMBER(R213)),"NO DATE",IF(S213="Won",IF(R213&gt;Settings!$B$5,"Backlog","Delivered"),IF(S213="Open",IF(R213&gt;Settings!$B$5,"Pipeline","Overdue"),IF(S213="Lost","Lost","UNMAPPED")))))</f>
        <v>Delivered</v>
      </c>
      <c r="U213" s="40" t="n">
        <f aca="false">IF(T213="Backlog",1,IF(OR(T213="Pipeline",T213="Overdue"),N(INDEX(Settings!$C$27:$C$36,MATCH(L213,Settings!$A$27:$A$36,0))),0))</f>
        <v>0</v>
      </c>
      <c r="V213" s="38" t="n">
        <f aca="false">Q213*U213</f>
        <v>0</v>
      </c>
      <c r="W213" s="41" t="n">
        <f aca="false">IF($M213="","",IF(T213="Overdue",IF(Settings!$B$8="Yes",Settings!$B$7,""),IF(ISNUMBER(R213),DATE(YEAR(R213),MONTH(R213),1),"")))</f>
        <v>45901</v>
      </c>
      <c r="X213" s="38" t="n">
        <f aca="false">IF(AND(OR(T213="Backlog",T213="Pipeline",T213="Overdue"),ISNUMBER(W213)),IF(W213&lt;=Settings!$B$6,V213,0),0)</f>
        <v>0</v>
      </c>
      <c r="Y213" s="38" t="n">
        <f aca="false">IF(AND(OR(T213="Backlog",T213="Pipeline",T213="Overdue"),ISNUMBER(W213)),IF(W213&lt;=Settings!$B$6,Q213,0),0)</f>
        <v>0</v>
      </c>
      <c r="Z213" s="38" t="n">
        <f aca="false">IF(Y213=0,0,IF(T213="Backlog",Q213,Q213*Dashboard!$C$10))</f>
        <v>0</v>
      </c>
      <c r="AA213" s="37" t="n">
        <f aca="false">IF($N213="",0,IF(COUNTIF(Dashboard!$C$13:$C$22,$N213)&gt;0,1,0))</f>
        <v>0</v>
      </c>
      <c r="AB213" s="37" t="str">
        <f aca="false">IF($N213="","",IF(COUNTIF($N$8:$N213,$N213)=1,MAX($AB$7:$AB212)+1,""))</f>
        <v/>
      </c>
    </row>
    <row r="214" customFormat="false" ht="15" hidden="false" customHeight="false" outlineLevel="0" collapsed="false">
      <c r="B214" s="32" t="s">
        <v>628</v>
      </c>
      <c r="C214" s="32" t="s">
        <v>310</v>
      </c>
      <c r="D214" s="35" t="n">
        <v>9994</v>
      </c>
      <c r="E214" s="32" t="s">
        <v>145</v>
      </c>
      <c r="F214" s="36" t="n">
        <v>46235</v>
      </c>
      <c r="G214" s="32" t="s">
        <v>629</v>
      </c>
      <c r="L214" s="37" t="str">
        <f aca="false">IF(INDEX($A214:$J214,$L$6)&lt;&gt;"",TRIM(LEFT(INDEX($A214:$J214,$L$6),FIND("(",INDEX($A214:$J214,$L$6)&amp;"(")-1)),L213)</f>
        <v>Closed Won</v>
      </c>
      <c r="M214" s="37" t="str">
        <f aca="false">IF(INDEX($A214:$J214,$M$6)="","",INDEX($A214:$J214,$M$6)&amp;"")</f>
        <v>Cochlear - FY26 Results - 18.8.26</v>
      </c>
      <c r="N214" s="37" t="str">
        <f aca="false">IF($M214="","",TRIM(INDEX($A214:$J214,$N$6)&amp;""))</f>
        <v>Cochlear</v>
      </c>
      <c r="O214" s="37" t="str">
        <f aca="false">IF($M214="","",TRIM(INDEX($A214:$J214,$O$6)&amp;""))</f>
        <v>Event Production</v>
      </c>
      <c r="P214" s="37" t="str">
        <f aca="false">IF($M214="","",IFERROR(IF(INDEX(Settings!$B$41:$B$50,MATCH(O214,Settings!$A$41:$A$50,0))&amp;""="","UNMAPPED",INDEX(Settings!$B$41:$B$50,MATCH(O214,Settings!$A$41:$A$50,0))&amp;""),"UNMAPPED"))</f>
        <v>Production</v>
      </c>
      <c r="Q214" s="38" t="n">
        <f aca="false">IF($M214="",0,N(INDEX($A214:$J214,$Q$6)))</f>
        <v>9994</v>
      </c>
      <c r="R214" s="39" t="n">
        <f aca="false">IF($M214="","",INDEX($A214:$J214,$R$6))</f>
        <v>46235</v>
      </c>
      <c r="S214" s="37" t="str">
        <f aca="false">IF($M214="","",IFERROR(INDEX(Settings!$B$27:$B$36,MATCH(L214,Settings!$A$27:$A$36,0))&amp;"","UNMAPPED"))</f>
        <v>Won</v>
      </c>
      <c r="T214" s="37" t="str">
        <f aca="false">IF($M214="","",IF(NOT(ISNUMBER(R214)),"NO DATE",IF(S214="Won",IF(R214&gt;Settings!$B$5,"Backlog","Delivered"),IF(S214="Open",IF(R214&gt;Settings!$B$5,"Pipeline","Overdue"),IF(S214="Lost","Lost","UNMAPPED")))))</f>
        <v>Delivered</v>
      </c>
      <c r="U214" s="40" t="n">
        <f aca="false">IF(T214="Backlog",1,IF(OR(T214="Pipeline",T214="Overdue"),N(INDEX(Settings!$C$27:$C$36,MATCH(L214,Settings!$A$27:$A$36,0))),0))</f>
        <v>0</v>
      </c>
      <c r="V214" s="38" t="n">
        <f aca="false">Q214*U214</f>
        <v>0</v>
      </c>
      <c r="W214" s="41" t="n">
        <f aca="false">IF($M214="","",IF(T214="Overdue",IF(Settings!$B$8="Yes",Settings!$B$7,""),IF(ISNUMBER(R214),DATE(YEAR(R214),MONTH(R214),1),"")))</f>
        <v>46235</v>
      </c>
      <c r="X214" s="38" t="n">
        <f aca="false">IF(AND(OR(T214="Backlog",T214="Pipeline",T214="Overdue"),ISNUMBER(W214)),IF(W214&lt;=Settings!$B$6,V214,0),0)</f>
        <v>0</v>
      </c>
      <c r="Y214" s="38" t="n">
        <f aca="false">IF(AND(OR(T214="Backlog",T214="Pipeline",T214="Overdue"),ISNUMBER(W214)),IF(W214&lt;=Settings!$B$6,Q214,0),0)</f>
        <v>0</v>
      </c>
      <c r="Z214" s="38" t="n">
        <f aca="false">IF(Y214=0,0,IF(T214="Backlog",Q214,Q214*Dashboard!$C$10))</f>
        <v>0</v>
      </c>
      <c r="AA214" s="37" t="n">
        <f aca="false">IF($N214="",0,IF(COUNTIF(Dashboard!$C$13:$C$22,$N214)&gt;0,1,0))</f>
        <v>0</v>
      </c>
      <c r="AB214" s="37" t="str">
        <f aca="false">IF($N214="","",IF(COUNTIF($N$8:$N214,$N214)=1,MAX($AB$7:$AB213)+1,""))</f>
        <v/>
      </c>
    </row>
    <row r="215" customFormat="false" ht="15" hidden="false" customHeight="false" outlineLevel="0" collapsed="false">
      <c r="B215" s="32" t="s">
        <v>630</v>
      </c>
      <c r="C215" s="32" t="s">
        <v>324</v>
      </c>
      <c r="D215" s="35" t="n">
        <v>25249</v>
      </c>
      <c r="E215" s="32" t="s">
        <v>145</v>
      </c>
      <c r="F215" s="36" t="n">
        <v>46082</v>
      </c>
      <c r="G215" s="32" t="s">
        <v>631</v>
      </c>
      <c r="L215" s="37" t="str">
        <f aca="false">IF(INDEX($A215:$J215,$L$6)&lt;&gt;"",TRIM(LEFT(INDEX($A215:$J215,$L$6),FIND("(",INDEX($A215:$J215,$L$6)&amp;"(")-1)),L214)</f>
        <v>Closed Won</v>
      </c>
      <c r="M215" s="37" t="str">
        <f aca="false">IF(INDEX($A215:$J215,$M$6)="","",INDEX($A215:$J215,$M$6)&amp;"")</f>
        <v>ON24 - Ciena 17-18.3.26</v>
      </c>
      <c r="N215" s="37" t="str">
        <f aca="false">IF($M215="","",TRIM(INDEX($A215:$J215,$N$6)&amp;""))</f>
        <v>ON24</v>
      </c>
      <c r="O215" s="37" t="str">
        <f aca="false">IF($M215="","",TRIM(INDEX($A215:$J215,$O$6)&amp;""))</f>
        <v>Event Production</v>
      </c>
      <c r="P215" s="37" t="str">
        <f aca="false">IF($M215="","",IFERROR(IF(INDEX(Settings!$B$41:$B$50,MATCH(O215,Settings!$A$41:$A$50,0))&amp;""="","UNMAPPED",INDEX(Settings!$B$41:$B$50,MATCH(O215,Settings!$A$41:$A$50,0))&amp;""),"UNMAPPED"))</f>
        <v>Production</v>
      </c>
      <c r="Q215" s="38" t="n">
        <f aca="false">IF($M215="",0,N(INDEX($A215:$J215,$Q$6)))</f>
        <v>25249</v>
      </c>
      <c r="R215" s="39" t="n">
        <f aca="false">IF($M215="","",INDEX($A215:$J215,$R$6))</f>
        <v>46082</v>
      </c>
      <c r="S215" s="37" t="str">
        <f aca="false">IF($M215="","",IFERROR(INDEX(Settings!$B$27:$B$36,MATCH(L215,Settings!$A$27:$A$36,0))&amp;"","UNMAPPED"))</f>
        <v>Won</v>
      </c>
      <c r="T215" s="37" t="str">
        <f aca="false">IF($M215="","",IF(NOT(ISNUMBER(R215)),"NO DATE",IF(S215="Won",IF(R215&gt;Settings!$B$5,"Backlog","Delivered"),IF(S215="Open",IF(R215&gt;Settings!$B$5,"Pipeline","Overdue"),IF(S215="Lost","Lost","UNMAPPED")))))</f>
        <v>Delivered</v>
      </c>
      <c r="U215" s="40" t="n">
        <f aca="false">IF(T215="Backlog",1,IF(OR(T215="Pipeline",T215="Overdue"),N(INDEX(Settings!$C$27:$C$36,MATCH(L215,Settings!$A$27:$A$36,0))),0))</f>
        <v>0</v>
      </c>
      <c r="V215" s="38" t="n">
        <f aca="false">Q215*U215</f>
        <v>0</v>
      </c>
      <c r="W215" s="41" t="n">
        <f aca="false">IF($M215="","",IF(T215="Overdue",IF(Settings!$B$8="Yes",Settings!$B$7,""),IF(ISNUMBER(R215),DATE(YEAR(R215),MONTH(R215),1),"")))</f>
        <v>46082</v>
      </c>
      <c r="X215" s="38" t="n">
        <f aca="false">IF(AND(OR(T215="Backlog",T215="Pipeline",T215="Overdue"),ISNUMBER(W215)),IF(W215&lt;=Settings!$B$6,V215,0),0)</f>
        <v>0</v>
      </c>
      <c r="Y215" s="38" t="n">
        <f aca="false">IF(AND(OR(T215="Backlog",T215="Pipeline",T215="Overdue"),ISNUMBER(W215)),IF(W215&lt;=Settings!$B$6,Q215,0),0)</f>
        <v>0</v>
      </c>
      <c r="Z215" s="38" t="n">
        <f aca="false">IF(Y215=0,0,IF(T215="Backlog",Q215,Q215*Dashboard!$C$10))</f>
        <v>0</v>
      </c>
      <c r="AA215" s="37" t="n">
        <f aca="false">IF($N215="",0,IF(COUNTIF(Dashboard!$C$13:$C$22,$N215)&gt;0,1,0))</f>
        <v>0</v>
      </c>
      <c r="AB215" s="37" t="str">
        <f aca="false">IF($N215="","",IF(COUNTIF($N$8:$N215,$N215)=1,MAX($AB$7:$AB214)+1,""))</f>
        <v/>
      </c>
    </row>
    <row r="216" customFormat="false" ht="15" hidden="false" customHeight="false" outlineLevel="0" collapsed="false">
      <c r="B216" s="32" t="s">
        <v>632</v>
      </c>
      <c r="C216" s="32" t="s">
        <v>160</v>
      </c>
      <c r="D216" s="35" t="n">
        <v>380</v>
      </c>
      <c r="E216" s="32" t="s">
        <v>145</v>
      </c>
      <c r="F216" s="36" t="n">
        <v>46204</v>
      </c>
      <c r="G216" s="32" t="s">
        <v>633</v>
      </c>
      <c r="L216" s="37" t="str">
        <f aca="false">IF(INDEX($A216:$J216,$L$6)&lt;&gt;"",TRIM(LEFT(INDEX($A216:$J216,$L$6),FIND("(",INDEX($A216:$J216,$L$6)&amp;"(")-1)),L215)</f>
        <v>Closed Won</v>
      </c>
      <c r="M216" s="37" t="str">
        <f aca="false">IF(INDEX($A216:$J216,$M$6)="","",INDEX($A216:$J216,$M$6)&amp;"")</f>
        <v>Elkiem Studio Support 1.7.26</v>
      </c>
      <c r="N216" s="37" t="str">
        <f aca="false">IF($M216="","",TRIM(INDEX($A216:$J216,$N$6)&amp;""))</f>
        <v>Elkiem</v>
      </c>
      <c r="O216" s="37" t="str">
        <f aca="false">IF($M216="","",TRIM(INDEX($A216:$J216,$O$6)&amp;""))</f>
        <v>Event Production</v>
      </c>
      <c r="P216" s="37" t="str">
        <f aca="false">IF($M216="","",IFERROR(IF(INDEX(Settings!$B$41:$B$50,MATCH(O216,Settings!$A$41:$A$50,0))&amp;""="","UNMAPPED",INDEX(Settings!$B$41:$B$50,MATCH(O216,Settings!$A$41:$A$50,0))&amp;""),"UNMAPPED"))</f>
        <v>Production</v>
      </c>
      <c r="Q216" s="38" t="n">
        <f aca="false">IF($M216="",0,N(INDEX($A216:$J216,$Q$6)))</f>
        <v>380</v>
      </c>
      <c r="R216" s="39" t="n">
        <f aca="false">IF($M216="","",INDEX($A216:$J216,$R$6))</f>
        <v>46204</v>
      </c>
      <c r="S216" s="37" t="str">
        <f aca="false">IF($M216="","",IFERROR(INDEX(Settings!$B$27:$B$36,MATCH(L216,Settings!$A$27:$A$36,0))&amp;"","UNMAPPED"))</f>
        <v>Won</v>
      </c>
      <c r="T216" s="37" t="str">
        <f aca="false">IF($M216="","",IF(NOT(ISNUMBER(R216)),"NO DATE",IF(S216="Won",IF(R216&gt;Settings!$B$5,"Backlog","Delivered"),IF(S216="Open",IF(R216&gt;Settings!$B$5,"Pipeline","Overdue"),IF(S216="Lost","Lost","UNMAPPED")))))</f>
        <v>Delivered</v>
      </c>
      <c r="U216" s="40" t="n">
        <f aca="false">IF(T216="Backlog",1,IF(OR(T216="Pipeline",T216="Overdue"),N(INDEX(Settings!$C$27:$C$36,MATCH(L216,Settings!$A$27:$A$36,0))),0))</f>
        <v>0</v>
      </c>
      <c r="V216" s="38" t="n">
        <f aca="false">Q216*U216</f>
        <v>0</v>
      </c>
      <c r="W216" s="41" t="n">
        <f aca="false">IF($M216="","",IF(T216="Overdue",IF(Settings!$B$8="Yes",Settings!$B$7,""),IF(ISNUMBER(R216),DATE(YEAR(R216),MONTH(R216),1),"")))</f>
        <v>46204</v>
      </c>
      <c r="X216" s="38" t="n">
        <f aca="false">IF(AND(OR(T216="Backlog",T216="Pipeline",T216="Overdue"),ISNUMBER(W216)),IF(W216&lt;=Settings!$B$6,V216,0),0)</f>
        <v>0</v>
      </c>
      <c r="Y216" s="38" t="n">
        <f aca="false">IF(AND(OR(T216="Backlog",T216="Pipeline",T216="Overdue"),ISNUMBER(W216)),IF(W216&lt;=Settings!$B$6,Q216,0),0)</f>
        <v>0</v>
      </c>
      <c r="Z216" s="38" t="n">
        <f aca="false">IF(Y216=0,0,IF(T216="Backlog",Q216,Q216*Dashboard!$C$10))</f>
        <v>0</v>
      </c>
      <c r="AA216" s="37" t="n">
        <f aca="false">IF($N216="",0,IF(COUNTIF(Dashboard!$C$13:$C$22,$N216)&gt;0,1,0))</f>
        <v>0</v>
      </c>
      <c r="AB216" s="37" t="str">
        <f aca="false">IF($N216="","",IF(COUNTIF($N$8:$N216,$N216)=1,MAX($AB$7:$AB215)+1,""))</f>
        <v/>
      </c>
    </row>
    <row r="217" customFormat="false" ht="15" hidden="false" customHeight="false" outlineLevel="0" collapsed="false">
      <c r="B217" s="32" t="s">
        <v>634</v>
      </c>
      <c r="C217" s="32" t="s">
        <v>194</v>
      </c>
      <c r="D217" s="35" t="n">
        <v>11570</v>
      </c>
      <c r="E217" s="32" t="s">
        <v>145</v>
      </c>
      <c r="F217" s="36" t="n">
        <v>46230</v>
      </c>
      <c r="G217" s="32" t="s">
        <v>635</v>
      </c>
      <c r="L217" s="37" t="str">
        <f aca="false">IF(INDEX($A217:$J217,$L$6)&lt;&gt;"",TRIM(LEFT(INDEX($A217:$J217,$L$6),FIND("(",INDEX($A217:$J217,$L$6)&amp;"(")-1)),L216)</f>
        <v>Closed Won</v>
      </c>
      <c r="M217" s="37" t="str">
        <f aca="false">IF(INDEX($A217:$J217,$M$6)="","",INDEX($A217:$J217,$M$6)&amp;"")</f>
        <v>Ventia - Melbourne Office Event - 30.7.26</v>
      </c>
      <c r="N217" s="37" t="str">
        <f aca="false">IF($M217="","",TRIM(INDEX($A217:$J217,$N$6)&amp;""))</f>
        <v>Ventia</v>
      </c>
      <c r="O217" s="37" t="str">
        <f aca="false">IF($M217="","",TRIM(INDEX($A217:$J217,$O$6)&amp;""))</f>
        <v>Event Production</v>
      </c>
      <c r="P217" s="37" t="str">
        <f aca="false">IF($M217="","",IFERROR(IF(INDEX(Settings!$B$41:$B$50,MATCH(O217,Settings!$A$41:$A$50,0))&amp;""="","UNMAPPED",INDEX(Settings!$B$41:$B$50,MATCH(O217,Settings!$A$41:$A$50,0))&amp;""),"UNMAPPED"))</f>
        <v>Production</v>
      </c>
      <c r="Q217" s="38" t="n">
        <f aca="false">IF($M217="",0,N(INDEX($A217:$J217,$Q$6)))</f>
        <v>11570</v>
      </c>
      <c r="R217" s="39" t="n">
        <f aca="false">IF($M217="","",INDEX($A217:$J217,$R$6))</f>
        <v>46230</v>
      </c>
      <c r="S217" s="37" t="str">
        <f aca="false">IF($M217="","",IFERROR(INDEX(Settings!$B$27:$B$36,MATCH(L217,Settings!$A$27:$A$36,0))&amp;"","UNMAPPED"))</f>
        <v>Won</v>
      </c>
      <c r="T217" s="37" t="str">
        <f aca="false">IF($M217="","",IF(NOT(ISNUMBER(R217)),"NO DATE",IF(S217="Won",IF(R217&gt;Settings!$B$5,"Backlog","Delivered"),IF(S217="Open",IF(R217&gt;Settings!$B$5,"Pipeline","Overdue"),IF(S217="Lost","Lost","UNMAPPED")))))</f>
        <v>Delivered</v>
      </c>
      <c r="U217" s="40" t="n">
        <f aca="false">IF(T217="Backlog",1,IF(OR(T217="Pipeline",T217="Overdue"),N(INDEX(Settings!$C$27:$C$36,MATCH(L217,Settings!$A$27:$A$36,0))),0))</f>
        <v>0</v>
      </c>
      <c r="V217" s="38" t="n">
        <f aca="false">Q217*U217</f>
        <v>0</v>
      </c>
      <c r="W217" s="41" t="n">
        <f aca="false">IF($M217="","",IF(T217="Overdue",IF(Settings!$B$8="Yes",Settings!$B$7,""),IF(ISNUMBER(R217),DATE(YEAR(R217),MONTH(R217),1),"")))</f>
        <v>46204</v>
      </c>
      <c r="X217" s="38" t="n">
        <f aca="false">IF(AND(OR(T217="Backlog",T217="Pipeline",T217="Overdue"),ISNUMBER(W217)),IF(W217&lt;=Settings!$B$6,V217,0),0)</f>
        <v>0</v>
      </c>
      <c r="Y217" s="38" t="n">
        <f aca="false">IF(AND(OR(T217="Backlog",T217="Pipeline",T217="Overdue"),ISNUMBER(W217)),IF(W217&lt;=Settings!$B$6,Q217,0),0)</f>
        <v>0</v>
      </c>
      <c r="Z217" s="38" t="n">
        <f aca="false">IF(Y217=0,0,IF(T217="Backlog",Q217,Q217*Dashboard!$C$10))</f>
        <v>0</v>
      </c>
      <c r="AA217" s="37" t="n">
        <f aca="false">IF($N217="",0,IF(COUNTIF(Dashboard!$C$13:$C$22,$N217)&gt;0,1,0))</f>
        <v>0</v>
      </c>
      <c r="AB217" s="37" t="str">
        <f aca="false">IF($N217="","",IF(COUNTIF($N$8:$N217,$N217)=1,MAX($AB$7:$AB216)+1,""))</f>
        <v/>
      </c>
    </row>
    <row r="218" customFormat="false" ht="15" hidden="false" customHeight="false" outlineLevel="0" collapsed="false">
      <c r="B218" s="32" t="s">
        <v>636</v>
      </c>
      <c r="C218" s="32" t="s">
        <v>236</v>
      </c>
      <c r="D218" s="35" t="n">
        <v>680</v>
      </c>
      <c r="E218" s="32" t="s">
        <v>180</v>
      </c>
      <c r="F218" s="36" t="n">
        <v>45959</v>
      </c>
      <c r="G218" s="32" t="s">
        <v>637</v>
      </c>
      <c r="L218" s="37" t="str">
        <f aca="false">IF(INDEX($A218:$J218,$L$6)&lt;&gt;"",TRIM(LEFT(INDEX($A218:$J218,$L$6),FIND("(",INDEX($A218:$J218,$L$6)&amp;"(")-1)),L217)</f>
        <v>Closed Won</v>
      </c>
      <c r="M218" s="37" t="str">
        <f aca="false">IF(INDEX($A218:$J218,$M$6)="","",INDEX($A218:$J218,$M$6)&amp;"")</f>
        <v>TWG - Sydney Technician - 29th of October 2025</v>
      </c>
      <c r="N218" s="37" t="str">
        <f aca="false">IF($M218="","",TRIM(INDEX($A218:$J218,$N$6)&amp;""))</f>
        <v>EY</v>
      </c>
      <c r="O218" s="37" t="str">
        <f aca="false">IF($M218="","",TRIM(INDEX($A218:$J218,$O$6)&amp;""))</f>
        <v>Support</v>
      </c>
      <c r="P218" s="37" t="str">
        <f aca="false">IF($M218="","",IFERROR(IF(INDEX(Settings!$B$41:$B$50,MATCH(O218,Settings!$A$41:$A$50,0))&amp;""="","UNMAPPED",INDEX(Settings!$B$41:$B$50,MATCH(O218,Settings!$A$41:$A$50,0))&amp;""),"UNMAPPED"))</f>
        <v>Onsite</v>
      </c>
      <c r="Q218" s="38" t="n">
        <f aca="false">IF($M218="",0,N(INDEX($A218:$J218,$Q$6)))</f>
        <v>680</v>
      </c>
      <c r="R218" s="39" t="n">
        <f aca="false">IF($M218="","",INDEX($A218:$J218,$R$6))</f>
        <v>45959</v>
      </c>
      <c r="S218" s="37" t="str">
        <f aca="false">IF($M218="","",IFERROR(INDEX(Settings!$B$27:$B$36,MATCH(L218,Settings!$A$27:$A$36,0))&amp;"","UNMAPPED"))</f>
        <v>Won</v>
      </c>
      <c r="T218" s="37" t="str">
        <f aca="false">IF($M218="","",IF(NOT(ISNUMBER(R218)),"NO DATE",IF(S218="Won",IF(R218&gt;Settings!$B$5,"Backlog","Delivered"),IF(S218="Open",IF(R218&gt;Settings!$B$5,"Pipeline","Overdue"),IF(S218="Lost","Lost","UNMAPPED")))))</f>
        <v>Delivered</v>
      </c>
      <c r="U218" s="40" t="n">
        <f aca="false">IF(T218="Backlog",1,IF(OR(T218="Pipeline",T218="Overdue"),N(INDEX(Settings!$C$27:$C$36,MATCH(L218,Settings!$A$27:$A$36,0))),0))</f>
        <v>0</v>
      </c>
      <c r="V218" s="38" t="n">
        <f aca="false">Q218*U218</f>
        <v>0</v>
      </c>
      <c r="W218" s="41" t="n">
        <f aca="false">IF($M218="","",IF(T218="Overdue",IF(Settings!$B$8="Yes",Settings!$B$7,""),IF(ISNUMBER(R218),DATE(YEAR(R218),MONTH(R218),1),"")))</f>
        <v>45931</v>
      </c>
      <c r="X218" s="38" t="n">
        <f aca="false">IF(AND(OR(T218="Backlog",T218="Pipeline",T218="Overdue"),ISNUMBER(W218)),IF(W218&lt;=Settings!$B$6,V218,0),0)</f>
        <v>0</v>
      </c>
      <c r="Y218" s="38" t="n">
        <f aca="false">IF(AND(OR(T218="Backlog",T218="Pipeline",T218="Overdue"),ISNUMBER(W218)),IF(W218&lt;=Settings!$B$6,Q218,0),0)</f>
        <v>0</v>
      </c>
      <c r="Z218" s="38" t="n">
        <f aca="false">IF(Y218=0,0,IF(T218="Backlog",Q218,Q218*Dashboard!$C$10))</f>
        <v>0</v>
      </c>
      <c r="AA218" s="37" t="n">
        <f aca="false">IF($N218="",0,IF(COUNTIF(Dashboard!$C$13:$C$22,$N218)&gt;0,1,0))</f>
        <v>0</v>
      </c>
      <c r="AB218" s="37" t="str">
        <f aca="false">IF($N218="","",IF(COUNTIF($N$8:$N218,$N218)=1,MAX($AB$7:$AB217)+1,""))</f>
        <v/>
      </c>
    </row>
    <row r="219" customFormat="false" ht="15" hidden="false" customHeight="false" outlineLevel="0" collapsed="false">
      <c r="B219" s="32" t="s">
        <v>638</v>
      </c>
      <c r="C219" s="32" t="s">
        <v>310</v>
      </c>
      <c r="D219" s="35" t="n">
        <v>63000</v>
      </c>
      <c r="E219" s="32" t="s">
        <v>145</v>
      </c>
      <c r="F219" s="36" t="n">
        <v>45953</v>
      </c>
      <c r="G219" s="32" t="s">
        <v>639</v>
      </c>
      <c r="L219" s="37" t="str">
        <f aca="false">IF(INDEX($A219:$J219,$L$6)&lt;&gt;"",TRIM(LEFT(INDEX($A219:$J219,$L$6),FIND("(",INDEX($A219:$J219,$L$6)&amp;"(")-1)),L218)</f>
        <v>Closed Won</v>
      </c>
      <c r="M219" s="37" t="str">
        <f aca="false">IF(INDEX($A219:$J219,$M$6)="","",INDEX($A219:$J219,$M$6)&amp;"")</f>
        <v>COCHLEAR AGM 23.10.25</v>
      </c>
      <c r="N219" s="37" t="str">
        <f aca="false">IF($M219="","",TRIM(INDEX($A219:$J219,$N$6)&amp;""))</f>
        <v>Cochlear</v>
      </c>
      <c r="O219" s="37" t="str">
        <f aca="false">IF($M219="","",TRIM(INDEX($A219:$J219,$O$6)&amp;""))</f>
        <v>Event Production</v>
      </c>
      <c r="P219" s="37" t="str">
        <f aca="false">IF($M219="","",IFERROR(IF(INDEX(Settings!$B$41:$B$50,MATCH(O219,Settings!$A$41:$A$50,0))&amp;""="","UNMAPPED",INDEX(Settings!$B$41:$B$50,MATCH(O219,Settings!$A$41:$A$50,0))&amp;""),"UNMAPPED"))</f>
        <v>Production</v>
      </c>
      <c r="Q219" s="38" t="n">
        <f aca="false">IF($M219="",0,N(INDEX($A219:$J219,$Q$6)))</f>
        <v>63000</v>
      </c>
      <c r="R219" s="39" t="n">
        <f aca="false">IF($M219="","",INDEX($A219:$J219,$R$6))</f>
        <v>45953</v>
      </c>
      <c r="S219" s="37" t="str">
        <f aca="false">IF($M219="","",IFERROR(INDEX(Settings!$B$27:$B$36,MATCH(L219,Settings!$A$27:$A$36,0))&amp;"","UNMAPPED"))</f>
        <v>Won</v>
      </c>
      <c r="T219" s="37" t="str">
        <f aca="false">IF($M219="","",IF(NOT(ISNUMBER(R219)),"NO DATE",IF(S219="Won",IF(R219&gt;Settings!$B$5,"Backlog","Delivered"),IF(S219="Open",IF(R219&gt;Settings!$B$5,"Pipeline","Overdue"),IF(S219="Lost","Lost","UNMAPPED")))))</f>
        <v>Delivered</v>
      </c>
      <c r="U219" s="40" t="n">
        <f aca="false">IF(T219="Backlog",1,IF(OR(T219="Pipeline",T219="Overdue"),N(INDEX(Settings!$C$27:$C$36,MATCH(L219,Settings!$A$27:$A$36,0))),0))</f>
        <v>0</v>
      </c>
      <c r="V219" s="38" t="n">
        <f aca="false">Q219*U219</f>
        <v>0</v>
      </c>
      <c r="W219" s="41" t="n">
        <f aca="false">IF($M219="","",IF(T219="Overdue",IF(Settings!$B$8="Yes",Settings!$B$7,""),IF(ISNUMBER(R219),DATE(YEAR(R219),MONTH(R219),1),"")))</f>
        <v>45931</v>
      </c>
      <c r="X219" s="38" t="n">
        <f aca="false">IF(AND(OR(T219="Backlog",T219="Pipeline",T219="Overdue"),ISNUMBER(W219)),IF(W219&lt;=Settings!$B$6,V219,0),0)</f>
        <v>0</v>
      </c>
      <c r="Y219" s="38" t="n">
        <f aca="false">IF(AND(OR(T219="Backlog",T219="Pipeline",T219="Overdue"),ISNUMBER(W219)),IF(W219&lt;=Settings!$B$6,Q219,0),0)</f>
        <v>0</v>
      </c>
      <c r="Z219" s="38" t="n">
        <f aca="false">IF(Y219=0,0,IF(T219="Backlog",Q219,Q219*Dashboard!$C$10))</f>
        <v>0</v>
      </c>
      <c r="AA219" s="37" t="n">
        <f aca="false">IF($N219="",0,IF(COUNTIF(Dashboard!$C$13:$C$22,$N219)&gt;0,1,0))</f>
        <v>0</v>
      </c>
      <c r="AB219" s="37" t="str">
        <f aca="false">IF($N219="","",IF(COUNTIF($N$8:$N219,$N219)=1,MAX($AB$7:$AB218)+1,""))</f>
        <v/>
      </c>
    </row>
    <row r="220" customFormat="false" ht="15" hidden="false" customHeight="false" outlineLevel="0" collapsed="false">
      <c r="B220" s="32" t="s">
        <v>640</v>
      </c>
      <c r="C220" s="32" t="s">
        <v>154</v>
      </c>
      <c r="D220" s="35" t="n">
        <v>2665</v>
      </c>
      <c r="E220" s="32" t="s">
        <v>145</v>
      </c>
      <c r="F220" s="36" t="n">
        <v>45860</v>
      </c>
      <c r="G220" s="32" t="s">
        <v>641</v>
      </c>
      <c r="L220" s="37" t="str">
        <f aca="false">IF(INDEX($A220:$J220,$L$6)&lt;&gt;"",TRIM(LEFT(INDEX($A220:$J220,$L$6),FIND("(",INDEX($A220:$J220,$L$6)&amp;"(")-1)),L219)</f>
        <v>Closed Won</v>
      </c>
      <c r="M220" s="37" t="str">
        <f aca="false">IF(INDEX($A220:$J220,$M$6)="","",INDEX($A220:$J220,$M$6)&amp;"")</f>
        <v>PWC Tax Briefing 22.07.2025</v>
      </c>
      <c r="N220" s="37" t="str">
        <f aca="false">IF($M220="","",TRIM(INDEX($A220:$J220,$N$6)&amp;""))</f>
        <v>PWC</v>
      </c>
      <c r="O220" s="37" t="str">
        <f aca="false">IF($M220="","",TRIM(INDEX($A220:$J220,$O$6)&amp;""))</f>
        <v>Event Production</v>
      </c>
      <c r="P220" s="37" t="str">
        <f aca="false">IF($M220="","",IFERROR(IF(INDEX(Settings!$B$41:$B$50,MATCH(O220,Settings!$A$41:$A$50,0))&amp;""="","UNMAPPED",INDEX(Settings!$B$41:$B$50,MATCH(O220,Settings!$A$41:$A$50,0))&amp;""),"UNMAPPED"))</f>
        <v>Production</v>
      </c>
      <c r="Q220" s="38" t="n">
        <f aca="false">IF($M220="",0,N(INDEX($A220:$J220,$Q$6)))</f>
        <v>2665</v>
      </c>
      <c r="R220" s="39" t="n">
        <f aca="false">IF($M220="","",INDEX($A220:$J220,$R$6))</f>
        <v>45860</v>
      </c>
      <c r="S220" s="37" t="str">
        <f aca="false">IF($M220="","",IFERROR(INDEX(Settings!$B$27:$B$36,MATCH(L220,Settings!$A$27:$A$36,0))&amp;"","UNMAPPED"))</f>
        <v>Won</v>
      </c>
      <c r="T220" s="37" t="str">
        <f aca="false">IF($M220="","",IF(NOT(ISNUMBER(R220)),"NO DATE",IF(S220="Won",IF(R220&gt;Settings!$B$5,"Backlog","Delivered"),IF(S220="Open",IF(R220&gt;Settings!$B$5,"Pipeline","Overdue"),IF(S220="Lost","Lost","UNMAPPED")))))</f>
        <v>Delivered</v>
      </c>
      <c r="U220" s="40" t="n">
        <f aca="false">IF(T220="Backlog",1,IF(OR(T220="Pipeline",T220="Overdue"),N(INDEX(Settings!$C$27:$C$36,MATCH(L220,Settings!$A$27:$A$36,0))),0))</f>
        <v>0</v>
      </c>
      <c r="V220" s="38" t="n">
        <f aca="false">Q220*U220</f>
        <v>0</v>
      </c>
      <c r="W220" s="41" t="n">
        <f aca="false">IF($M220="","",IF(T220="Overdue",IF(Settings!$B$8="Yes",Settings!$B$7,""),IF(ISNUMBER(R220),DATE(YEAR(R220),MONTH(R220),1),"")))</f>
        <v>45839</v>
      </c>
      <c r="X220" s="38" t="n">
        <f aca="false">IF(AND(OR(T220="Backlog",T220="Pipeline",T220="Overdue"),ISNUMBER(W220)),IF(W220&lt;=Settings!$B$6,V220,0),0)</f>
        <v>0</v>
      </c>
      <c r="Y220" s="38" t="n">
        <f aca="false">IF(AND(OR(T220="Backlog",T220="Pipeline",T220="Overdue"),ISNUMBER(W220)),IF(W220&lt;=Settings!$B$6,Q220,0),0)</f>
        <v>0</v>
      </c>
      <c r="Z220" s="38" t="n">
        <f aca="false">IF(Y220=0,0,IF(T220="Backlog",Q220,Q220*Dashboard!$C$10))</f>
        <v>0</v>
      </c>
      <c r="AA220" s="37" t="n">
        <f aca="false">IF($N220="",0,IF(COUNTIF(Dashboard!$C$13:$C$22,$N220)&gt;0,1,0))</f>
        <v>0</v>
      </c>
      <c r="AB220" s="37" t="str">
        <f aca="false">IF($N220="","",IF(COUNTIF($N$8:$N220,$N220)=1,MAX($AB$7:$AB219)+1,""))</f>
        <v/>
      </c>
    </row>
    <row r="221" customFormat="false" ht="15" hidden="false" customHeight="false" outlineLevel="0" collapsed="false">
      <c r="B221" s="32" t="s">
        <v>642</v>
      </c>
      <c r="C221" s="32" t="s">
        <v>154</v>
      </c>
      <c r="D221" s="35" t="n">
        <v>1810</v>
      </c>
      <c r="E221" s="32" t="s">
        <v>145</v>
      </c>
      <c r="F221" s="36" t="n">
        <v>46001</v>
      </c>
      <c r="G221" s="32" t="s">
        <v>643</v>
      </c>
      <c r="L221" s="37" t="str">
        <f aca="false">IF(INDEX($A221:$J221,$L$6)&lt;&gt;"",TRIM(LEFT(INDEX($A221:$J221,$L$6),FIND("(",INDEX($A221:$J221,$L$6)&amp;"(")-1)),L220)</f>
        <v>Closed Won</v>
      </c>
      <c r="M221" s="37" t="str">
        <f aca="false">IF(INDEX($A221:$J221,$M$6)="","",INDEX($A221:$J221,$M$6)&amp;"")</f>
        <v>Studio Event</v>
      </c>
      <c r="N221" s="37" t="str">
        <f aca="false">IF($M221="","",TRIM(INDEX($A221:$J221,$N$6)&amp;""))</f>
        <v>PWC</v>
      </c>
      <c r="O221" s="37" t="str">
        <f aca="false">IF($M221="","",TRIM(INDEX($A221:$J221,$O$6)&amp;""))</f>
        <v>Event Production</v>
      </c>
      <c r="P221" s="37" t="str">
        <f aca="false">IF($M221="","",IFERROR(IF(INDEX(Settings!$B$41:$B$50,MATCH(O221,Settings!$A$41:$A$50,0))&amp;""="","UNMAPPED",INDEX(Settings!$B$41:$B$50,MATCH(O221,Settings!$A$41:$A$50,0))&amp;""),"UNMAPPED"))</f>
        <v>Production</v>
      </c>
      <c r="Q221" s="38" t="n">
        <f aca="false">IF($M221="",0,N(INDEX($A221:$J221,$Q$6)))</f>
        <v>1810</v>
      </c>
      <c r="R221" s="39" t="n">
        <f aca="false">IF($M221="","",INDEX($A221:$J221,$R$6))</f>
        <v>46001</v>
      </c>
      <c r="S221" s="37" t="str">
        <f aca="false">IF($M221="","",IFERROR(INDEX(Settings!$B$27:$B$36,MATCH(L221,Settings!$A$27:$A$36,0))&amp;"","UNMAPPED"))</f>
        <v>Won</v>
      </c>
      <c r="T221" s="37" t="str">
        <f aca="false">IF($M221="","",IF(NOT(ISNUMBER(R221)),"NO DATE",IF(S221="Won",IF(R221&gt;Settings!$B$5,"Backlog","Delivered"),IF(S221="Open",IF(R221&gt;Settings!$B$5,"Pipeline","Overdue"),IF(S221="Lost","Lost","UNMAPPED")))))</f>
        <v>Delivered</v>
      </c>
      <c r="U221" s="40" t="n">
        <f aca="false">IF(T221="Backlog",1,IF(OR(T221="Pipeline",T221="Overdue"),N(INDEX(Settings!$C$27:$C$36,MATCH(L221,Settings!$A$27:$A$36,0))),0))</f>
        <v>0</v>
      </c>
      <c r="V221" s="38" t="n">
        <f aca="false">Q221*U221</f>
        <v>0</v>
      </c>
      <c r="W221" s="41" t="n">
        <f aca="false">IF($M221="","",IF(T221="Overdue",IF(Settings!$B$8="Yes",Settings!$B$7,""),IF(ISNUMBER(R221),DATE(YEAR(R221),MONTH(R221),1),"")))</f>
        <v>45992</v>
      </c>
      <c r="X221" s="38" t="n">
        <f aca="false">IF(AND(OR(T221="Backlog",T221="Pipeline",T221="Overdue"),ISNUMBER(W221)),IF(W221&lt;=Settings!$B$6,V221,0),0)</f>
        <v>0</v>
      </c>
      <c r="Y221" s="38" t="n">
        <f aca="false">IF(AND(OR(T221="Backlog",T221="Pipeline",T221="Overdue"),ISNUMBER(W221)),IF(W221&lt;=Settings!$B$6,Q221,0),0)</f>
        <v>0</v>
      </c>
      <c r="Z221" s="38" t="n">
        <f aca="false">IF(Y221=0,0,IF(T221="Backlog",Q221,Q221*Dashboard!$C$10))</f>
        <v>0</v>
      </c>
      <c r="AA221" s="37" t="n">
        <f aca="false">IF($N221="",0,IF(COUNTIF(Dashboard!$C$13:$C$22,$N221)&gt;0,1,0))</f>
        <v>0</v>
      </c>
      <c r="AB221" s="37" t="str">
        <f aca="false">IF($N221="","",IF(COUNTIF($N$8:$N221,$N221)=1,MAX($AB$7:$AB220)+1,""))</f>
        <v/>
      </c>
    </row>
    <row r="222" customFormat="false" ht="15" hidden="false" customHeight="false" outlineLevel="0" collapsed="false">
      <c r="B222" s="32" t="s">
        <v>644</v>
      </c>
      <c r="C222" s="32" t="s">
        <v>253</v>
      </c>
      <c r="D222" s="35" t="n">
        <v>645</v>
      </c>
      <c r="E222" s="32" t="s">
        <v>145</v>
      </c>
      <c r="F222" s="36" t="n">
        <v>45889</v>
      </c>
      <c r="G222" s="32" t="s">
        <v>645</v>
      </c>
      <c r="L222" s="37" t="str">
        <f aca="false">IF(INDEX($A222:$J222,$L$6)&lt;&gt;"",TRIM(LEFT(INDEX($A222:$J222,$L$6),FIND("(",INDEX($A222:$J222,$L$6)&amp;"(")-1)),L221)</f>
        <v>Closed Won</v>
      </c>
      <c r="M222" s="37" t="str">
        <f aca="false">IF(INDEX($A222:$J222,$M$6)="","",INDEX($A222:$J222,$M$6)&amp;"")</f>
        <v>Company Secretary Brief 20.08.2025</v>
      </c>
      <c r="N222" s="37" t="str">
        <f aca="false">IF($M222="","",TRIM(INDEX($A222:$J222,$N$6)&amp;""))</f>
        <v>ASX Australian Securities Exchange</v>
      </c>
      <c r="O222" s="37" t="str">
        <f aca="false">IF($M222="","",TRIM(INDEX($A222:$J222,$O$6)&amp;""))</f>
        <v>Event Production</v>
      </c>
      <c r="P222" s="37" t="str">
        <f aca="false">IF($M222="","",IFERROR(IF(INDEX(Settings!$B$41:$B$50,MATCH(O222,Settings!$A$41:$A$50,0))&amp;""="","UNMAPPED",INDEX(Settings!$B$41:$B$50,MATCH(O222,Settings!$A$41:$A$50,0))&amp;""),"UNMAPPED"))</f>
        <v>Production</v>
      </c>
      <c r="Q222" s="38" t="n">
        <f aca="false">IF($M222="",0,N(INDEX($A222:$J222,$Q$6)))</f>
        <v>645</v>
      </c>
      <c r="R222" s="39" t="n">
        <f aca="false">IF($M222="","",INDEX($A222:$J222,$R$6))</f>
        <v>45889</v>
      </c>
      <c r="S222" s="37" t="str">
        <f aca="false">IF($M222="","",IFERROR(INDEX(Settings!$B$27:$B$36,MATCH(L222,Settings!$A$27:$A$36,0))&amp;"","UNMAPPED"))</f>
        <v>Won</v>
      </c>
      <c r="T222" s="37" t="str">
        <f aca="false">IF($M222="","",IF(NOT(ISNUMBER(R222)),"NO DATE",IF(S222="Won",IF(R222&gt;Settings!$B$5,"Backlog","Delivered"),IF(S222="Open",IF(R222&gt;Settings!$B$5,"Pipeline","Overdue"),IF(S222="Lost","Lost","UNMAPPED")))))</f>
        <v>Delivered</v>
      </c>
      <c r="U222" s="40" t="n">
        <f aca="false">IF(T222="Backlog",1,IF(OR(T222="Pipeline",T222="Overdue"),N(INDEX(Settings!$C$27:$C$36,MATCH(L222,Settings!$A$27:$A$36,0))),0))</f>
        <v>0</v>
      </c>
      <c r="V222" s="38" t="n">
        <f aca="false">Q222*U222</f>
        <v>0</v>
      </c>
      <c r="W222" s="41" t="n">
        <f aca="false">IF($M222="","",IF(T222="Overdue",IF(Settings!$B$8="Yes",Settings!$B$7,""),IF(ISNUMBER(R222),DATE(YEAR(R222),MONTH(R222),1),"")))</f>
        <v>45870</v>
      </c>
      <c r="X222" s="38" t="n">
        <f aca="false">IF(AND(OR(T222="Backlog",T222="Pipeline",T222="Overdue"),ISNUMBER(W222)),IF(W222&lt;=Settings!$B$6,V222,0),0)</f>
        <v>0</v>
      </c>
      <c r="Y222" s="38" t="n">
        <f aca="false">IF(AND(OR(T222="Backlog",T222="Pipeline",T222="Overdue"),ISNUMBER(W222)),IF(W222&lt;=Settings!$B$6,Q222,0),0)</f>
        <v>0</v>
      </c>
      <c r="Z222" s="38" t="n">
        <f aca="false">IF(Y222=0,0,IF(T222="Backlog",Q222,Q222*Dashboard!$C$10))</f>
        <v>0</v>
      </c>
      <c r="AA222" s="37" t="n">
        <f aca="false">IF($N222="",0,IF(COUNTIF(Dashboard!$C$13:$C$22,$N222)&gt;0,1,0))</f>
        <v>0</v>
      </c>
      <c r="AB222" s="37" t="str">
        <f aca="false">IF($N222="","",IF(COUNTIF($N$8:$N222,$N222)=1,MAX($AB$7:$AB221)+1,""))</f>
        <v/>
      </c>
    </row>
    <row r="223" customFormat="false" ht="15" hidden="false" customHeight="false" outlineLevel="0" collapsed="false">
      <c r="B223" s="32" t="s">
        <v>646</v>
      </c>
      <c r="C223" s="32" t="s">
        <v>154</v>
      </c>
      <c r="D223" s="35" t="n">
        <v>540</v>
      </c>
      <c r="E223" s="32" t="s">
        <v>180</v>
      </c>
      <c r="F223" s="36" t="n">
        <v>46094</v>
      </c>
      <c r="G223" s="32" t="s">
        <v>647</v>
      </c>
      <c r="L223" s="37" t="str">
        <f aca="false">IF(INDEX($A223:$J223,$L$6)&lt;&gt;"",TRIM(LEFT(INDEX($A223:$J223,$L$6),FIND("(",INDEX($A223:$J223,$L$6)&amp;"(")-1)),L222)</f>
        <v>Closed Won</v>
      </c>
      <c r="M223" s="37" t="str">
        <f aca="false">IF(INDEX($A223:$J223,$M$6)="","",INDEX($A223:$J223,$M$6)&amp;"")</f>
        <v>Perth AV Support | 24th of March 2026 - 2603902</v>
      </c>
      <c r="N223" s="37" t="str">
        <f aca="false">IF($M223="","",TRIM(INDEX($A223:$J223,$N$6)&amp;""))</f>
        <v>PWC</v>
      </c>
      <c r="O223" s="37" t="str">
        <f aca="false">IF($M223="","",TRIM(INDEX($A223:$J223,$O$6)&amp;""))</f>
        <v>Support</v>
      </c>
      <c r="P223" s="37" t="str">
        <f aca="false">IF($M223="","",IFERROR(IF(INDEX(Settings!$B$41:$B$50,MATCH(O223,Settings!$A$41:$A$50,0))&amp;""="","UNMAPPED",INDEX(Settings!$B$41:$B$50,MATCH(O223,Settings!$A$41:$A$50,0))&amp;""),"UNMAPPED"))</f>
        <v>Onsite</v>
      </c>
      <c r="Q223" s="38" t="n">
        <f aca="false">IF($M223="",0,N(INDEX($A223:$J223,$Q$6)))</f>
        <v>540</v>
      </c>
      <c r="R223" s="39" t="n">
        <f aca="false">IF($M223="","",INDEX($A223:$J223,$R$6))</f>
        <v>46094</v>
      </c>
      <c r="S223" s="37" t="str">
        <f aca="false">IF($M223="","",IFERROR(INDEX(Settings!$B$27:$B$36,MATCH(L223,Settings!$A$27:$A$36,0))&amp;"","UNMAPPED"))</f>
        <v>Won</v>
      </c>
      <c r="T223" s="37" t="str">
        <f aca="false">IF($M223="","",IF(NOT(ISNUMBER(R223)),"NO DATE",IF(S223="Won",IF(R223&gt;Settings!$B$5,"Backlog","Delivered"),IF(S223="Open",IF(R223&gt;Settings!$B$5,"Pipeline","Overdue"),IF(S223="Lost","Lost","UNMAPPED")))))</f>
        <v>Delivered</v>
      </c>
      <c r="U223" s="40" t="n">
        <f aca="false">IF(T223="Backlog",1,IF(OR(T223="Pipeline",T223="Overdue"),N(INDEX(Settings!$C$27:$C$36,MATCH(L223,Settings!$A$27:$A$36,0))),0))</f>
        <v>0</v>
      </c>
      <c r="V223" s="38" t="n">
        <f aca="false">Q223*U223</f>
        <v>0</v>
      </c>
      <c r="W223" s="41" t="n">
        <f aca="false">IF($M223="","",IF(T223="Overdue",IF(Settings!$B$8="Yes",Settings!$B$7,""),IF(ISNUMBER(R223),DATE(YEAR(R223),MONTH(R223),1),"")))</f>
        <v>46082</v>
      </c>
      <c r="X223" s="38" t="n">
        <f aca="false">IF(AND(OR(T223="Backlog",T223="Pipeline",T223="Overdue"),ISNUMBER(W223)),IF(W223&lt;=Settings!$B$6,V223,0),0)</f>
        <v>0</v>
      </c>
      <c r="Y223" s="38" t="n">
        <f aca="false">IF(AND(OR(T223="Backlog",T223="Pipeline",T223="Overdue"),ISNUMBER(W223)),IF(W223&lt;=Settings!$B$6,Q223,0),0)</f>
        <v>0</v>
      </c>
      <c r="Z223" s="38" t="n">
        <f aca="false">IF(Y223=0,0,IF(T223="Backlog",Q223,Q223*Dashboard!$C$10))</f>
        <v>0</v>
      </c>
      <c r="AA223" s="37" t="n">
        <f aca="false">IF($N223="",0,IF(COUNTIF(Dashboard!$C$13:$C$22,$N223)&gt;0,1,0))</f>
        <v>0</v>
      </c>
      <c r="AB223" s="37" t="str">
        <f aca="false">IF($N223="","",IF(COUNTIF($N$8:$N223,$N223)=1,MAX($AB$7:$AB222)+1,""))</f>
        <v/>
      </c>
    </row>
    <row r="224" customFormat="false" ht="15" hidden="false" customHeight="false" outlineLevel="0" collapsed="false">
      <c r="B224" s="32" t="s">
        <v>648</v>
      </c>
      <c r="C224" s="32" t="s">
        <v>267</v>
      </c>
      <c r="D224" s="35" t="n">
        <v>460</v>
      </c>
      <c r="E224" s="32" t="s">
        <v>145</v>
      </c>
      <c r="F224" s="36" t="n">
        <v>46286</v>
      </c>
      <c r="G224" s="32" t="s">
        <v>649</v>
      </c>
      <c r="L224" s="37" t="str">
        <f aca="false">IF(INDEX($A224:$J224,$L$6)&lt;&gt;"",TRIM(LEFT(INDEX($A224:$J224,$L$6),FIND("(",INDEX($A224:$J224,$L$6)&amp;"(")-1)),L223)</f>
        <v>Closed Won</v>
      </c>
      <c r="M224" s="37" t="str">
        <f aca="false">IF(INDEX($A224:$J224,$M$6)="","",INDEX($A224:$J224,$M$6)&amp;"")</f>
        <v>Dimensional - AV Support - 22.9.26</v>
      </c>
      <c r="N224" s="37" t="str">
        <f aca="false">IF($M224="","",TRIM(INDEX($A224:$J224,$N$6)&amp;""))</f>
        <v>Dimensional Fund Advisors</v>
      </c>
      <c r="O224" s="37" t="str">
        <f aca="false">IF($M224="","",TRIM(INDEX($A224:$J224,$O$6)&amp;""))</f>
        <v>Event Production</v>
      </c>
      <c r="P224" s="37" t="str">
        <f aca="false">IF($M224="","",IFERROR(IF(INDEX(Settings!$B$41:$B$50,MATCH(O224,Settings!$A$41:$A$50,0))&amp;""="","UNMAPPED",INDEX(Settings!$B$41:$B$50,MATCH(O224,Settings!$A$41:$A$50,0))&amp;""),"UNMAPPED"))</f>
        <v>Production</v>
      </c>
      <c r="Q224" s="38" t="n">
        <f aca="false">IF($M224="",0,N(INDEX($A224:$J224,$Q$6)))</f>
        <v>460</v>
      </c>
      <c r="R224" s="39" t="n">
        <f aca="false">IF($M224="","",INDEX($A224:$J224,$R$6))</f>
        <v>46286</v>
      </c>
      <c r="S224" s="37" t="str">
        <f aca="false">IF($M224="","",IFERROR(INDEX(Settings!$B$27:$B$36,MATCH(L224,Settings!$A$27:$A$36,0))&amp;"","UNMAPPED"))</f>
        <v>Won</v>
      </c>
      <c r="T224" s="37" t="str">
        <f aca="false">IF($M224="","",IF(NOT(ISNUMBER(R224)),"NO DATE",IF(S224="Won",IF(R224&gt;Settings!$B$5,"Backlog","Delivered"),IF(S224="Open",IF(R224&gt;Settings!$B$5,"Pipeline","Overdue"),IF(S224="Lost","Lost","UNMAPPED")))))</f>
        <v>Delivered</v>
      </c>
      <c r="U224" s="40" t="n">
        <f aca="false">IF(T224="Backlog",1,IF(OR(T224="Pipeline",T224="Overdue"),N(INDEX(Settings!$C$27:$C$36,MATCH(L224,Settings!$A$27:$A$36,0))),0))</f>
        <v>0</v>
      </c>
      <c r="V224" s="38" t="n">
        <f aca="false">Q224*U224</f>
        <v>0</v>
      </c>
      <c r="W224" s="41" t="n">
        <f aca="false">IF($M224="","",IF(T224="Overdue",IF(Settings!$B$8="Yes",Settings!$B$7,""),IF(ISNUMBER(R224),DATE(YEAR(R224),MONTH(R224),1),"")))</f>
        <v>46266</v>
      </c>
      <c r="X224" s="38" t="n">
        <f aca="false">IF(AND(OR(T224="Backlog",T224="Pipeline",T224="Overdue"),ISNUMBER(W224)),IF(W224&lt;=Settings!$B$6,V224,0),0)</f>
        <v>0</v>
      </c>
      <c r="Y224" s="38" t="n">
        <f aca="false">IF(AND(OR(T224="Backlog",T224="Pipeline",T224="Overdue"),ISNUMBER(W224)),IF(W224&lt;=Settings!$B$6,Q224,0),0)</f>
        <v>0</v>
      </c>
      <c r="Z224" s="38" t="n">
        <f aca="false">IF(Y224=0,0,IF(T224="Backlog",Q224,Q224*Dashboard!$C$10))</f>
        <v>0</v>
      </c>
      <c r="AA224" s="37" t="n">
        <f aca="false">IF($N224="",0,IF(COUNTIF(Dashboard!$C$13:$C$22,$N224)&gt;0,1,0))</f>
        <v>0</v>
      </c>
      <c r="AB224" s="37" t="str">
        <f aca="false">IF($N224="","",IF(COUNTIF($N$8:$N224,$N224)=1,MAX($AB$7:$AB223)+1,""))</f>
        <v/>
      </c>
    </row>
    <row r="225" customFormat="false" ht="15" hidden="false" customHeight="false" outlineLevel="0" collapsed="false">
      <c r="B225" s="32" t="s">
        <v>650</v>
      </c>
      <c r="C225" s="32" t="s">
        <v>377</v>
      </c>
      <c r="D225" s="35" t="n">
        <v>3040</v>
      </c>
      <c r="E225" s="32" t="s">
        <v>145</v>
      </c>
      <c r="F225" s="36" t="n">
        <v>45898</v>
      </c>
      <c r="G225" s="32" t="s">
        <v>651</v>
      </c>
      <c r="L225" s="37" t="str">
        <f aca="false">IF(INDEX($A225:$J225,$L$6)&lt;&gt;"",TRIM(LEFT(INDEX($A225:$J225,$L$6),FIND("(",INDEX($A225:$J225,$L$6)&amp;"(")-1)),L224)</f>
        <v>Closed Won</v>
      </c>
      <c r="M225" s="37" t="str">
        <f aca="false">IF(INDEX($A225:$J225,$M$6)="","",INDEX($A225:$J225,$M$6)&amp;"")</f>
        <v>Loghic Law Society Event 29 8 25</v>
      </c>
      <c r="N225" s="37" t="str">
        <f aca="false">IF($M225="","",TRIM(INDEX($A225:$J225,$N$6)&amp;""))</f>
        <v>Loghic Connect</v>
      </c>
      <c r="O225" s="37" t="str">
        <f aca="false">IF($M225="","",TRIM(INDEX($A225:$J225,$O$6)&amp;""))</f>
        <v>Event Production</v>
      </c>
      <c r="P225" s="37" t="str">
        <f aca="false">IF($M225="","",IFERROR(IF(INDEX(Settings!$B$41:$B$50,MATCH(O225,Settings!$A$41:$A$50,0))&amp;""="","UNMAPPED",INDEX(Settings!$B$41:$B$50,MATCH(O225,Settings!$A$41:$A$50,0))&amp;""),"UNMAPPED"))</f>
        <v>Production</v>
      </c>
      <c r="Q225" s="38" t="n">
        <f aca="false">IF($M225="",0,N(INDEX($A225:$J225,$Q$6)))</f>
        <v>3040</v>
      </c>
      <c r="R225" s="39" t="n">
        <f aca="false">IF($M225="","",INDEX($A225:$J225,$R$6))</f>
        <v>45898</v>
      </c>
      <c r="S225" s="37" t="str">
        <f aca="false">IF($M225="","",IFERROR(INDEX(Settings!$B$27:$B$36,MATCH(L225,Settings!$A$27:$A$36,0))&amp;"","UNMAPPED"))</f>
        <v>Won</v>
      </c>
      <c r="T225" s="37" t="str">
        <f aca="false">IF($M225="","",IF(NOT(ISNUMBER(R225)),"NO DATE",IF(S225="Won",IF(R225&gt;Settings!$B$5,"Backlog","Delivered"),IF(S225="Open",IF(R225&gt;Settings!$B$5,"Pipeline","Overdue"),IF(S225="Lost","Lost","UNMAPPED")))))</f>
        <v>Delivered</v>
      </c>
      <c r="U225" s="40" t="n">
        <f aca="false">IF(T225="Backlog",1,IF(OR(T225="Pipeline",T225="Overdue"),N(INDEX(Settings!$C$27:$C$36,MATCH(L225,Settings!$A$27:$A$36,0))),0))</f>
        <v>0</v>
      </c>
      <c r="V225" s="38" t="n">
        <f aca="false">Q225*U225</f>
        <v>0</v>
      </c>
      <c r="W225" s="41" t="n">
        <f aca="false">IF($M225="","",IF(T225="Overdue",IF(Settings!$B$8="Yes",Settings!$B$7,""),IF(ISNUMBER(R225),DATE(YEAR(R225),MONTH(R225),1),"")))</f>
        <v>45870</v>
      </c>
      <c r="X225" s="38" t="n">
        <f aca="false">IF(AND(OR(T225="Backlog",T225="Pipeline",T225="Overdue"),ISNUMBER(W225)),IF(W225&lt;=Settings!$B$6,V225,0),0)</f>
        <v>0</v>
      </c>
      <c r="Y225" s="38" t="n">
        <f aca="false">IF(AND(OR(T225="Backlog",T225="Pipeline",T225="Overdue"),ISNUMBER(W225)),IF(W225&lt;=Settings!$B$6,Q225,0),0)</f>
        <v>0</v>
      </c>
      <c r="Z225" s="38" t="n">
        <f aca="false">IF(Y225=0,0,IF(T225="Backlog",Q225,Q225*Dashboard!$C$10))</f>
        <v>0</v>
      </c>
      <c r="AA225" s="37" t="n">
        <f aca="false">IF($N225="",0,IF(COUNTIF(Dashboard!$C$13:$C$22,$N225)&gt;0,1,0))</f>
        <v>0</v>
      </c>
      <c r="AB225" s="37" t="str">
        <f aca="false">IF($N225="","",IF(COUNTIF($N$8:$N225,$N225)=1,MAX($AB$7:$AB224)+1,""))</f>
        <v/>
      </c>
    </row>
    <row r="226" customFormat="false" ht="15" hidden="false" customHeight="false" outlineLevel="0" collapsed="false">
      <c r="B226" s="32" t="s">
        <v>652</v>
      </c>
      <c r="C226" s="32" t="s">
        <v>205</v>
      </c>
      <c r="D226" s="35" t="n">
        <v>380</v>
      </c>
      <c r="E226" s="32" t="s">
        <v>145</v>
      </c>
      <c r="F226" s="36" t="n">
        <v>45989</v>
      </c>
      <c r="G226" s="32" t="s">
        <v>653</v>
      </c>
      <c r="L226" s="37" t="str">
        <f aca="false">IF(INDEX($A226:$J226,$L$6)&lt;&gt;"",TRIM(LEFT(INDEX($A226:$J226,$L$6),FIND("(",INDEX($A226:$J226,$L$6)&amp;"(")-1)),L225)</f>
        <v>Closed Won</v>
      </c>
      <c r="M226" s="37" t="str">
        <f aca="false">IF(INDEX($A226:$J226,$M$6)="","",INDEX($A226:$J226,$M$6)&amp;"")</f>
        <v>DTTL Syd - Christmas Party - 28.11.2025</v>
      </c>
      <c r="N226" s="37" t="str">
        <f aca="false">IF($M226="","",TRIM(INDEX($A226:$J226,$N$6)&amp;""))</f>
        <v>Deloitte - Sydney</v>
      </c>
      <c r="O226" s="37" t="str">
        <f aca="false">IF($M226="","",TRIM(INDEX($A226:$J226,$O$6)&amp;""))</f>
        <v>Event Production</v>
      </c>
      <c r="P226" s="37" t="str">
        <f aca="false">IF($M226="","",IFERROR(IF(INDEX(Settings!$B$41:$B$50,MATCH(O226,Settings!$A$41:$A$50,0))&amp;""="","UNMAPPED",INDEX(Settings!$B$41:$B$50,MATCH(O226,Settings!$A$41:$A$50,0))&amp;""),"UNMAPPED"))</f>
        <v>Production</v>
      </c>
      <c r="Q226" s="38" t="n">
        <f aca="false">IF($M226="",0,N(INDEX($A226:$J226,$Q$6)))</f>
        <v>380</v>
      </c>
      <c r="R226" s="39" t="n">
        <f aca="false">IF($M226="","",INDEX($A226:$J226,$R$6))</f>
        <v>45989</v>
      </c>
      <c r="S226" s="37" t="str">
        <f aca="false">IF($M226="","",IFERROR(INDEX(Settings!$B$27:$B$36,MATCH(L226,Settings!$A$27:$A$36,0))&amp;"","UNMAPPED"))</f>
        <v>Won</v>
      </c>
      <c r="T226" s="37" t="str">
        <f aca="false">IF($M226="","",IF(NOT(ISNUMBER(R226)),"NO DATE",IF(S226="Won",IF(R226&gt;Settings!$B$5,"Backlog","Delivered"),IF(S226="Open",IF(R226&gt;Settings!$B$5,"Pipeline","Overdue"),IF(S226="Lost","Lost","UNMAPPED")))))</f>
        <v>Delivered</v>
      </c>
      <c r="U226" s="40" t="n">
        <f aca="false">IF(T226="Backlog",1,IF(OR(T226="Pipeline",T226="Overdue"),N(INDEX(Settings!$C$27:$C$36,MATCH(L226,Settings!$A$27:$A$36,0))),0))</f>
        <v>0</v>
      </c>
      <c r="V226" s="38" t="n">
        <f aca="false">Q226*U226</f>
        <v>0</v>
      </c>
      <c r="W226" s="41" t="n">
        <f aca="false">IF($M226="","",IF(T226="Overdue",IF(Settings!$B$8="Yes",Settings!$B$7,""),IF(ISNUMBER(R226),DATE(YEAR(R226),MONTH(R226),1),"")))</f>
        <v>45962</v>
      </c>
      <c r="X226" s="38" t="n">
        <f aca="false">IF(AND(OR(T226="Backlog",T226="Pipeline",T226="Overdue"),ISNUMBER(W226)),IF(W226&lt;=Settings!$B$6,V226,0),0)</f>
        <v>0</v>
      </c>
      <c r="Y226" s="38" t="n">
        <f aca="false">IF(AND(OR(T226="Backlog",T226="Pipeline",T226="Overdue"),ISNUMBER(W226)),IF(W226&lt;=Settings!$B$6,Q226,0),0)</f>
        <v>0</v>
      </c>
      <c r="Z226" s="38" t="n">
        <f aca="false">IF(Y226=0,0,IF(T226="Backlog",Q226,Q226*Dashboard!$C$10))</f>
        <v>0</v>
      </c>
      <c r="AA226" s="37" t="n">
        <f aca="false">IF($N226="",0,IF(COUNTIF(Dashboard!$C$13:$C$22,$N226)&gt;0,1,0))</f>
        <v>0</v>
      </c>
      <c r="AB226" s="37" t="str">
        <f aca="false">IF($N226="","",IF(COUNTIF($N$8:$N226,$N226)=1,MAX($AB$7:$AB225)+1,""))</f>
        <v/>
      </c>
    </row>
    <row r="227" customFormat="false" ht="15" hidden="false" customHeight="false" outlineLevel="0" collapsed="false">
      <c r="B227" s="32" t="s">
        <v>654</v>
      </c>
      <c r="C227" s="32" t="s">
        <v>330</v>
      </c>
      <c r="D227" s="35" t="n">
        <v>1249</v>
      </c>
      <c r="E227" s="32" t="s">
        <v>208</v>
      </c>
      <c r="F227" s="36" t="n">
        <v>46282</v>
      </c>
      <c r="G227" s="32" t="s">
        <v>655</v>
      </c>
      <c r="L227" s="37" t="str">
        <f aca="false">IF(INDEX($A227:$J227,$L$6)&lt;&gt;"",TRIM(LEFT(INDEX($A227:$J227,$L$6),FIND("(",INDEX($A227:$J227,$L$6)&amp;"(")-1)),L226)</f>
        <v>Closed Won</v>
      </c>
      <c r="M227" s="37" t="str">
        <f aca="false">IF(INDEX($A227:$J227,$M$6)="","",INDEX($A227:$J227,$M$6)&amp;"")</f>
        <v>GP - Talking Philanthropy - Event Videography</v>
      </c>
      <c r="N227" s="37" t="str">
        <f aca="false">IF($M227="","",TRIM(INDEX($A227:$J227,$N$6)&amp;""))</f>
        <v>Global Philanthropic</v>
      </c>
      <c r="O227" s="37" t="str">
        <f aca="false">IF($M227="","",TRIM(INDEX($A227:$J227,$O$6)&amp;""))</f>
        <v>Video Production</v>
      </c>
      <c r="P227" s="37" t="str">
        <f aca="false">IF($M227="","",IFERROR(IF(INDEX(Settings!$B$41:$B$50,MATCH(O227,Settings!$A$41:$A$50,0))&amp;""="","UNMAPPED",INDEX(Settings!$B$41:$B$50,MATCH(O227,Settings!$A$41:$A$50,0))&amp;""),"UNMAPPED"))</f>
        <v>Video</v>
      </c>
      <c r="Q227" s="38" t="n">
        <f aca="false">IF($M227="",0,N(INDEX($A227:$J227,$Q$6)))</f>
        <v>1249</v>
      </c>
      <c r="R227" s="39" t="n">
        <f aca="false">IF($M227="","",INDEX($A227:$J227,$R$6))</f>
        <v>46282</v>
      </c>
      <c r="S227" s="37" t="str">
        <f aca="false">IF($M227="","",IFERROR(INDEX(Settings!$B$27:$B$36,MATCH(L227,Settings!$A$27:$A$36,0))&amp;"","UNMAPPED"))</f>
        <v>Won</v>
      </c>
      <c r="T227" s="37" t="str">
        <f aca="false">IF($M227="","",IF(NOT(ISNUMBER(R227)),"NO DATE",IF(S227="Won",IF(R227&gt;Settings!$B$5,"Backlog","Delivered"),IF(S227="Open",IF(R227&gt;Settings!$B$5,"Pipeline","Overdue"),IF(S227="Lost","Lost","UNMAPPED")))))</f>
        <v>Delivered</v>
      </c>
      <c r="U227" s="40" t="n">
        <f aca="false">IF(T227="Backlog",1,IF(OR(T227="Pipeline",T227="Overdue"),N(INDEX(Settings!$C$27:$C$36,MATCH(L227,Settings!$A$27:$A$36,0))),0))</f>
        <v>0</v>
      </c>
      <c r="V227" s="38" t="n">
        <f aca="false">Q227*U227</f>
        <v>0</v>
      </c>
      <c r="W227" s="41" t="n">
        <f aca="false">IF($M227="","",IF(T227="Overdue",IF(Settings!$B$8="Yes",Settings!$B$7,""),IF(ISNUMBER(R227),DATE(YEAR(R227),MONTH(R227),1),"")))</f>
        <v>46266</v>
      </c>
      <c r="X227" s="38" t="n">
        <f aca="false">IF(AND(OR(T227="Backlog",T227="Pipeline",T227="Overdue"),ISNUMBER(W227)),IF(W227&lt;=Settings!$B$6,V227,0),0)</f>
        <v>0</v>
      </c>
      <c r="Y227" s="38" t="n">
        <f aca="false">IF(AND(OR(T227="Backlog",T227="Pipeline",T227="Overdue"),ISNUMBER(W227)),IF(W227&lt;=Settings!$B$6,Q227,0),0)</f>
        <v>0</v>
      </c>
      <c r="Z227" s="38" t="n">
        <f aca="false">IF(Y227=0,0,IF(T227="Backlog",Q227,Q227*Dashboard!$C$10))</f>
        <v>0</v>
      </c>
      <c r="AA227" s="37" t="n">
        <f aca="false">IF($N227="",0,IF(COUNTIF(Dashboard!$C$13:$C$22,$N227)&gt;0,1,0))</f>
        <v>0</v>
      </c>
      <c r="AB227" s="37" t="str">
        <f aca="false">IF($N227="","",IF(COUNTIF($N$8:$N227,$N227)=1,MAX($AB$7:$AB226)+1,""))</f>
        <v/>
      </c>
    </row>
    <row r="228" customFormat="false" ht="15" hidden="false" customHeight="false" outlineLevel="0" collapsed="false">
      <c r="B228" s="32" t="s">
        <v>656</v>
      </c>
      <c r="C228" s="32" t="s">
        <v>244</v>
      </c>
      <c r="D228" s="35" t="n">
        <v>380</v>
      </c>
      <c r="E228" s="32" t="s">
        <v>145</v>
      </c>
      <c r="F228" s="36" t="n">
        <v>45846</v>
      </c>
      <c r="G228" s="32" t="s">
        <v>657</v>
      </c>
      <c r="L228" s="37" t="str">
        <f aca="false">IF(INDEX($A228:$J228,$L$6)&lt;&gt;"",TRIM(LEFT(INDEX($A228:$J228,$L$6),FIND("(",INDEX($A228:$J228,$L$6)&amp;"(")-1)),L227)</f>
        <v>Closed Won</v>
      </c>
      <c r="M228" s="37" t="str">
        <f aca="false">IF(INDEX($A228:$J228,$M$6)="","",INDEX($A228:$J228,$M$6)&amp;"")</f>
        <v>APA - 8.7.25 Town Hall</v>
      </c>
      <c r="N228" s="37" t="str">
        <f aca="false">IF($M228="","",TRIM(INDEX($A228:$J228,$N$6)&amp;""))</f>
        <v>APA</v>
      </c>
      <c r="O228" s="37" t="str">
        <f aca="false">IF($M228="","",TRIM(INDEX($A228:$J228,$O$6)&amp;""))</f>
        <v>Event Production</v>
      </c>
      <c r="P228" s="37" t="str">
        <f aca="false">IF($M228="","",IFERROR(IF(INDEX(Settings!$B$41:$B$50,MATCH(O228,Settings!$A$41:$A$50,0))&amp;""="","UNMAPPED",INDEX(Settings!$B$41:$B$50,MATCH(O228,Settings!$A$41:$A$50,0))&amp;""),"UNMAPPED"))</f>
        <v>Production</v>
      </c>
      <c r="Q228" s="38" t="n">
        <f aca="false">IF($M228="",0,N(INDEX($A228:$J228,$Q$6)))</f>
        <v>380</v>
      </c>
      <c r="R228" s="39" t="n">
        <f aca="false">IF($M228="","",INDEX($A228:$J228,$R$6))</f>
        <v>45846</v>
      </c>
      <c r="S228" s="37" t="str">
        <f aca="false">IF($M228="","",IFERROR(INDEX(Settings!$B$27:$B$36,MATCH(L228,Settings!$A$27:$A$36,0))&amp;"","UNMAPPED"))</f>
        <v>Won</v>
      </c>
      <c r="T228" s="37" t="str">
        <f aca="false">IF($M228="","",IF(NOT(ISNUMBER(R228)),"NO DATE",IF(S228="Won",IF(R228&gt;Settings!$B$5,"Backlog","Delivered"),IF(S228="Open",IF(R228&gt;Settings!$B$5,"Pipeline","Overdue"),IF(S228="Lost","Lost","UNMAPPED")))))</f>
        <v>Delivered</v>
      </c>
      <c r="U228" s="40" t="n">
        <f aca="false">IF(T228="Backlog",1,IF(OR(T228="Pipeline",T228="Overdue"),N(INDEX(Settings!$C$27:$C$36,MATCH(L228,Settings!$A$27:$A$36,0))),0))</f>
        <v>0</v>
      </c>
      <c r="V228" s="38" t="n">
        <f aca="false">Q228*U228</f>
        <v>0</v>
      </c>
      <c r="W228" s="41" t="n">
        <f aca="false">IF($M228="","",IF(T228="Overdue",IF(Settings!$B$8="Yes",Settings!$B$7,""),IF(ISNUMBER(R228),DATE(YEAR(R228),MONTH(R228),1),"")))</f>
        <v>45839</v>
      </c>
      <c r="X228" s="38" t="n">
        <f aca="false">IF(AND(OR(T228="Backlog",T228="Pipeline",T228="Overdue"),ISNUMBER(W228)),IF(W228&lt;=Settings!$B$6,V228,0),0)</f>
        <v>0</v>
      </c>
      <c r="Y228" s="38" t="n">
        <f aca="false">IF(AND(OR(T228="Backlog",T228="Pipeline",T228="Overdue"),ISNUMBER(W228)),IF(W228&lt;=Settings!$B$6,Q228,0),0)</f>
        <v>0</v>
      </c>
      <c r="Z228" s="38" t="n">
        <f aca="false">IF(Y228=0,0,IF(T228="Backlog",Q228,Q228*Dashboard!$C$10))</f>
        <v>0</v>
      </c>
      <c r="AA228" s="37" t="n">
        <f aca="false">IF($N228="",0,IF(COUNTIF(Dashboard!$C$13:$C$22,$N228)&gt;0,1,0))</f>
        <v>0</v>
      </c>
      <c r="AB228" s="37" t="str">
        <f aca="false">IF($N228="","",IF(COUNTIF($N$8:$N228,$N228)=1,MAX($AB$7:$AB227)+1,""))</f>
        <v/>
      </c>
    </row>
    <row r="229" customFormat="false" ht="15" hidden="false" customHeight="false" outlineLevel="0" collapsed="false">
      <c r="B229" s="32" t="s">
        <v>658</v>
      </c>
      <c r="C229" s="32" t="s">
        <v>154</v>
      </c>
      <c r="D229" s="35" t="n">
        <v>72000</v>
      </c>
      <c r="E229" s="32" t="s">
        <v>180</v>
      </c>
      <c r="F229" s="36" t="n">
        <v>45901</v>
      </c>
      <c r="G229" s="32" t="s">
        <v>659</v>
      </c>
      <c r="L229" s="37" t="str">
        <f aca="false">IF(INDEX($A229:$J229,$L$6)&lt;&gt;"",TRIM(LEFT(INDEX($A229:$J229,$L$6),FIND("(",INDEX($A229:$J229,$L$6)&amp;"(")-1)),L228)</f>
        <v>Closed Won</v>
      </c>
      <c r="M229" s="37" t="str">
        <f aca="false">IF(INDEX($A229:$J229,$M$6)="","",INDEX($A229:$J229,$M$6)&amp;"")</f>
        <v>PWC Brisbane AV Support | 6 months</v>
      </c>
      <c r="N229" s="37" t="str">
        <f aca="false">IF($M229="","",TRIM(INDEX($A229:$J229,$N$6)&amp;""))</f>
        <v>PWC</v>
      </c>
      <c r="O229" s="37" t="str">
        <f aca="false">IF($M229="","",TRIM(INDEX($A229:$J229,$O$6)&amp;""))</f>
        <v>Support</v>
      </c>
      <c r="P229" s="37" t="str">
        <f aca="false">IF($M229="","",IFERROR(IF(INDEX(Settings!$B$41:$B$50,MATCH(O229,Settings!$A$41:$A$50,0))&amp;""="","UNMAPPED",INDEX(Settings!$B$41:$B$50,MATCH(O229,Settings!$A$41:$A$50,0))&amp;""),"UNMAPPED"))</f>
        <v>Onsite</v>
      </c>
      <c r="Q229" s="38" t="n">
        <f aca="false">IF($M229="",0,N(INDEX($A229:$J229,$Q$6)))</f>
        <v>72000</v>
      </c>
      <c r="R229" s="39" t="n">
        <f aca="false">IF($M229="","",INDEX($A229:$J229,$R$6))</f>
        <v>45901</v>
      </c>
      <c r="S229" s="37" t="str">
        <f aca="false">IF($M229="","",IFERROR(INDEX(Settings!$B$27:$B$36,MATCH(L229,Settings!$A$27:$A$36,0))&amp;"","UNMAPPED"))</f>
        <v>Won</v>
      </c>
      <c r="T229" s="37" t="str">
        <f aca="false">IF($M229="","",IF(NOT(ISNUMBER(R229)),"NO DATE",IF(S229="Won",IF(R229&gt;Settings!$B$5,"Backlog","Delivered"),IF(S229="Open",IF(R229&gt;Settings!$B$5,"Pipeline","Overdue"),IF(S229="Lost","Lost","UNMAPPED")))))</f>
        <v>Delivered</v>
      </c>
      <c r="U229" s="40" t="n">
        <f aca="false">IF(T229="Backlog",1,IF(OR(T229="Pipeline",T229="Overdue"),N(INDEX(Settings!$C$27:$C$36,MATCH(L229,Settings!$A$27:$A$36,0))),0))</f>
        <v>0</v>
      </c>
      <c r="V229" s="38" t="n">
        <f aca="false">Q229*U229</f>
        <v>0</v>
      </c>
      <c r="W229" s="41" t="n">
        <f aca="false">IF($M229="","",IF(T229="Overdue",IF(Settings!$B$8="Yes",Settings!$B$7,""),IF(ISNUMBER(R229),DATE(YEAR(R229),MONTH(R229),1),"")))</f>
        <v>45901</v>
      </c>
      <c r="X229" s="38" t="n">
        <f aca="false">IF(AND(OR(T229="Backlog",T229="Pipeline",T229="Overdue"),ISNUMBER(W229)),IF(W229&lt;=Settings!$B$6,V229,0),0)</f>
        <v>0</v>
      </c>
      <c r="Y229" s="38" t="n">
        <f aca="false">IF(AND(OR(T229="Backlog",T229="Pipeline",T229="Overdue"),ISNUMBER(W229)),IF(W229&lt;=Settings!$B$6,Q229,0),0)</f>
        <v>0</v>
      </c>
      <c r="Z229" s="38" t="n">
        <f aca="false">IF(Y229=0,0,IF(T229="Backlog",Q229,Q229*Dashboard!$C$10))</f>
        <v>0</v>
      </c>
      <c r="AA229" s="37" t="n">
        <f aca="false">IF($N229="",0,IF(COUNTIF(Dashboard!$C$13:$C$22,$N229)&gt;0,1,0))</f>
        <v>0</v>
      </c>
      <c r="AB229" s="37" t="str">
        <f aca="false">IF($N229="","",IF(COUNTIF($N$8:$N229,$N229)=1,MAX($AB$7:$AB228)+1,""))</f>
        <v/>
      </c>
    </row>
    <row r="230" customFormat="false" ht="15" hidden="false" customHeight="false" outlineLevel="0" collapsed="false">
      <c r="B230" s="32" t="s">
        <v>660</v>
      </c>
      <c r="C230" s="32" t="s">
        <v>236</v>
      </c>
      <c r="D230" s="35" t="n">
        <v>1635</v>
      </c>
      <c r="E230" s="32" t="s">
        <v>145</v>
      </c>
      <c r="F230" s="36" t="n">
        <v>45901</v>
      </c>
      <c r="G230" s="32" t="s">
        <v>661</v>
      </c>
      <c r="L230" s="37" t="str">
        <f aca="false">IF(INDEX($A230:$J230,$L$6)&lt;&gt;"",TRIM(LEFT(INDEX($A230:$J230,$L$6),FIND("(",INDEX($A230:$J230,$L$6)&amp;"(")-1)),L229)</f>
        <v>Closed Won</v>
      </c>
      <c r="M230" s="37" t="str">
        <f aca="false">IF(INDEX($A230:$J230,$M$6)="","",INDEX($A230:$J230,$M$6)&amp;"")</f>
        <v>NSW Town Hall 1 &amp; 2.9.25</v>
      </c>
      <c r="N230" s="37" t="str">
        <f aca="false">IF($M230="","",TRIM(INDEX($A230:$J230,$N$6)&amp;""))</f>
        <v>EY</v>
      </c>
      <c r="O230" s="37" t="str">
        <f aca="false">IF($M230="","",TRIM(INDEX($A230:$J230,$O$6)&amp;""))</f>
        <v>Event Production</v>
      </c>
      <c r="P230" s="37" t="str">
        <f aca="false">IF($M230="","",IFERROR(IF(INDEX(Settings!$B$41:$B$50,MATCH(O230,Settings!$A$41:$A$50,0))&amp;""="","UNMAPPED",INDEX(Settings!$B$41:$B$50,MATCH(O230,Settings!$A$41:$A$50,0))&amp;""),"UNMAPPED"))</f>
        <v>Production</v>
      </c>
      <c r="Q230" s="38" t="n">
        <f aca="false">IF($M230="",0,N(INDEX($A230:$J230,$Q$6)))</f>
        <v>1635</v>
      </c>
      <c r="R230" s="39" t="n">
        <f aca="false">IF($M230="","",INDEX($A230:$J230,$R$6))</f>
        <v>45901</v>
      </c>
      <c r="S230" s="37" t="str">
        <f aca="false">IF($M230="","",IFERROR(INDEX(Settings!$B$27:$B$36,MATCH(L230,Settings!$A$27:$A$36,0))&amp;"","UNMAPPED"))</f>
        <v>Won</v>
      </c>
      <c r="T230" s="37" t="str">
        <f aca="false">IF($M230="","",IF(NOT(ISNUMBER(R230)),"NO DATE",IF(S230="Won",IF(R230&gt;Settings!$B$5,"Backlog","Delivered"),IF(S230="Open",IF(R230&gt;Settings!$B$5,"Pipeline","Overdue"),IF(S230="Lost","Lost","UNMAPPED")))))</f>
        <v>Delivered</v>
      </c>
      <c r="U230" s="40" t="n">
        <f aca="false">IF(T230="Backlog",1,IF(OR(T230="Pipeline",T230="Overdue"),N(INDEX(Settings!$C$27:$C$36,MATCH(L230,Settings!$A$27:$A$36,0))),0))</f>
        <v>0</v>
      </c>
      <c r="V230" s="38" t="n">
        <f aca="false">Q230*U230</f>
        <v>0</v>
      </c>
      <c r="W230" s="41" t="n">
        <f aca="false">IF($M230="","",IF(T230="Overdue",IF(Settings!$B$8="Yes",Settings!$B$7,""),IF(ISNUMBER(R230),DATE(YEAR(R230),MONTH(R230),1),"")))</f>
        <v>45901</v>
      </c>
      <c r="X230" s="38" t="n">
        <f aca="false">IF(AND(OR(T230="Backlog",T230="Pipeline",T230="Overdue"),ISNUMBER(W230)),IF(W230&lt;=Settings!$B$6,V230,0),0)</f>
        <v>0</v>
      </c>
      <c r="Y230" s="38" t="n">
        <f aca="false">IF(AND(OR(T230="Backlog",T230="Pipeline",T230="Overdue"),ISNUMBER(W230)),IF(W230&lt;=Settings!$B$6,Q230,0),0)</f>
        <v>0</v>
      </c>
      <c r="Z230" s="38" t="n">
        <f aca="false">IF(Y230=0,0,IF(T230="Backlog",Q230,Q230*Dashboard!$C$10))</f>
        <v>0</v>
      </c>
      <c r="AA230" s="37" t="n">
        <f aca="false">IF($N230="",0,IF(COUNTIF(Dashboard!$C$13:$C$22,$N230)&gt;0,1,0))</f>
        <v>0</v>
      </c>
      <c r="AB230" s="37" t="str">
        <f aca="false">IF($N230="","",IF(COUNTIF($N$8:$N230,$N230)=1,MAX($AB$7:$AB229)+1,""))</f>
        <v/>
      </c>
    </row>
    <row r="231" customFormat="false" ht="15" hidden="false" customHeight="false" outlineLevel="0" collapsed="false">
      <c r="B231" s="32" t="s">
        <v>662</v>
      </c>
      <c r="C231" s="32" t="s">
        <v>387</v>
      </c>
      <c r="D231" s="35" t="n">
        <v>2854</v>
      </c>
      <c r="E231" s="32" t="s">
        <v>180</v>
      </c>
      <c r="F231" s="36" t="n">
        <v>46129</v>
      </c>
      <c r="G231" s="32" t="s">
        <v>663</v>
      </c>
      <c r="L231" s="37" t="str">
        <f aca="false">IF(INDEX($A231:$J231,$L$6)&lt;&gt;"",TRIM(LEFT(INDEX($A231:$J231,$L$6),FIND("(",INDEX($A231:$J231,$L$6)&amp;"(")-1)),L230)</f>
        <v>Closed Won</v>
      </c>
      <c r="M231" s="37" t="str">
        <f aca="false">IF(INDEX($A231:$J231,$M$6)="","",INDEX($A231:$J231,$M$6)&amp;"")</f>
        <v>MEL_Lv31 Repair of LED Panels - 26033008</v>
      </c>
      <c r="N231" s="37" t="str">
        <f aca="false">IF($M231="","",TRIM(INDEX($A231:$J231,$N$6)&amp;""))</f>
        <v>Deloitte - Melbourne</v>
      </c>
      <c r="O231" s="37" t="str">
        <f aca="false">IF($M231="","",TRIM(INDEX($A231:$J231,$O$6)&amp;""))</f>
        <v>Support</v>
      </c>
      <c r="P231" s="37" t="str">
        <f aca="false">IF($M231="","",IFERROR(IF(INDEX(Settings!$B$41:$B$50,MATCH(O231,Settings!$A$41:$A$50,0))&amp;""="","UNMAPPED",INDEX(Settings!$B$41:$B$50,MATCH(O231,Settings!$A$41:$A$50,0))&amp;""),"UNMAPPED"))</f>
        <v>Onsite</v>
      </c>
      <c r="Q231" s="38" t="n">
        <f aca="false">IF($M231="",0,N(INDEX($A231:$J231,$Q$6)))</f>
        <v>2854</v>
      </c>
      <c r="R231" s="39" t="n">
        <f aca="false">IF($M231="","",INDEX($A231:$J231,$R$6))</f>
        <v>46129</v>
      </c>
      <c r="S231" s="37" t="str">
        <f aca="false">IF($M231="","",IFERROR(INDEX(Settings!$B$27:$B$36,MATCH(L231,Settings!$A$27:$A$36,0))&amp;"","UNMAPPED"))</f>
        <v>Won</v>
      </c>
      <c r="T231" s="37" t="str">
        <f aca="false">IF($M231="","",IF(NOT(ISNUMBER(R231)),"NO DATE",IF(S231="Won",IF(R231&gt;Settings!$B$5,"Backlog","Delivered"),IF(S231="Open",IF(R231&gt;Settings!$B$5,"Pipeline","Overdue"),IF(S231="Lost","Lost","UNMAPPED")))))</f>
        <v>Delivered</v>
      </c>
      <c r="U231" s="40" t="n">
        <f aca="false">IF(T231="Backlog",1,IF(OR(T231="Pipeline",T231="Overdue"),N(INDEX(Settings!$C$27:$C$36,MATCH(L231,Settings!$A$27:$A$36,0))),0))</f>
        <v>0</v>
      </c>
      <c r="V231" s="38" t="n">
        <f aca="false">Q231*U231</f>
        <v>0</v>
      </c>
      <c r="W231" s="41" t="n">
        <f aca="false">IF($M231="","",IF(T231="Overdue",IF(Settings!$B$8="Yes",Settings!$B$7,""),IF(ISNUMBER(R231),DATE(YEAR(R231),MONTH(R231),1),"")))</f>
        <v>46113</v>
      </c>
      <c r="X231" s="38" t="n">
        <f aca="false">IF(AND(OR(T231="Backlog",T231="Pipeline",T231="Overdue"),ISNUMBER(W231)),IF(W231&lt;=Settings!$B$6,V231,0),0)</f>
        <v>0</v>
      </c>
      <c r="Y231" s="38" t="n">
        <f aca="false">IF(AND(OR(T231="Backlog",T231="Pipeline",T231="Overdue"),ISNUMBER(W231)),IF(W231&lt;=Settings!$B$6,Q231,0),0)</f>
        <v>0</v>
      </c>
      <c r="Z231" s="38" t="n">
        <f aca="false">IF(Y231=0,0,IF(T231="Backlog",Q231,Q231*Dashboard!$C$10))</f>
        <v>0</v>
      </c>
      <c r="AA231" s="37" t="n">
        <f aca="false">IF($N231="",0,IF(COUNTIF(Dashboard!$C$13:$C$22,$N231)&gt;0,1,0))</f>
        <v>0</v>
      </c>
      <c r="AB231" s="37" t="str">
        <f aca="false">IF($N231="","",IF(COUNTIF($N$8:$N231,$N231)=1,MAX($AB$7:$AB230)+1,""))</f>
        <v/>
      </c>
    </row>
    <row r="232" customFormat="false" ht="15" hidden="false" customHeight="false" outlineLevel="0" collapsed="false">
      <c r="B232" s="32" t="s">
        <v>664</v>
      </c>
      <c r="C232" s="32" t="s">
        <v>140</v>
      </c>
      <c r="D232" s="35" t="n">
        <v>340</v>
      </c>
      <c r="E232" s="32" t="s">
        <v>180</v>
      </c>
      <c r="F232" s="36" t="n">
        <v>46182</v>
      </c>
      <c r="G232" s="32" t="s">
        <v>665</v>
      </c>
      <c r="L232" s="37" t="str">
        <f aca="false">IF(INDEX($A232:$J232,$L$6)&lt;&gt;"",TRIM(LEFT(INDEX($A232:$J232,$L$6),FIND("(",INDEX($A232:$J232,$L$6)&amp;"(")-1)),L231)</f>
        <v>Closed Won</v>
      </c>
      <c r="M232" s="37" t="str">
        <f aca="false">IF(INDEX($A232:$J232,$M$6)="","",INDEX($A232:$J232,$M$6)&amp;"")</f>
        <v>Dedicated Technician - Future of Commercial Payments &amp; Travel - June Event</v>
      </c>
      <c r="N232" s="37" t="str">
        <f aca="false">IF($M232="","",TRIM(INDEX($A232:$J232,$N$6)&amp;""))</f>
        <v>Deloitte Australia</v>
      </c>
      <c r="O232" s="37" t="str">
        <f aca="false">IF($M232="","",TRIM(INDEX($A232:$J232,$O$6)&amp;""))</f>
        <v>Support</v>
      </c>
      <c r="P232" s="37" t="str">
        <f aca="false">IF($M232="","",IFERROR(IF(INDEX(Settings!$B$41:$B$50,MATCH(O232,Settings!$A$41:$A$50,0))&amp;""="","UNMAPPED",INDEX(Settings!$B$41:$B$50,MATCH(O232,Settings!$A$41:$A$50,0))&amp;""),"UNMAPPED"))</f>
        <v>Onsite</v>
      </c>
      <c r="Q232" s="38" t="n">
        <f aca="false">IF($M232="",0,N(INDEX($A232:$J232,$Q$6)))</f>
        <v>340</v>
      </c>
      <c r="R232" s="39" t="n">
        <f aca="false">IF($M232="","",INDEX($A232:$J232,$R$6))</f>
        <v>46182</v>
      </c>
      <c r="S232" s="37" t="str">
        <f aca="false">IF($M232="","",IFERROR(INDEX(Settings!$B$27:$B$36,MATCH(L232,Settings!$A$27:$A$36,0))&amp;"","UNMAPPED"))</f>
        <v>Won</v>
      </c>
      <c r="T232" s="37" t="str">
        <f aca="false">IF($M232="","",IF(NOT(ISNUMBER(R232)),"NO DATE",IF(S232="Won",IF(R232&gt;Settings!$B$5,"Backlog","Delivered"),IF(S232="Open",IF(R232&gt;Settings!$B$5,"Pipeline","Overdue"),IF(S232="Lost","Lost","UNMAPPED")))))</f>
        <v>Delivered</v>
      </c>
      <c r="U232" s="40" t="n">
        <f aca="false">IF(T232="Backlog",1,IF(OR(T232="Pipeline",T232="Overdue"),N(INDEX(Settings!$C$27:$C$36,MATCH(L232,Settings!$A$27:$A$36,0))),0))</f>
        <v>0</v>
      </c>
      <c r="V232" s="38" t="n">
        <f aca="false">Q232*U232</f>
        <v>0</v>
      </c>
      <c r="W232" s="41" t="n">
        <f aca="false">IF($M232="","",IF(T232="Overdue",IF(Settings!$B$8="Yes",Settings!$B$7,""),IF(ISNUMBER(R232),DATE(YEAR(R232),MONTH(R232),1),"")))</f>
        <v>46174</v>
      </c>
      <c r="X232" s="38" t="n">
        <f aca="false">IF(AND(OR(T232="Backlog",T232="Pipeline",T232="Overdue"),ISNUMBER(W232)),IF(W232&lt;=Settings!$B$6,V232,0),0)</f>
        <v>0</v>
      </c>
      <c r="Y232" s="38" t="n">
        <f aca="false">IF(AND(OR(T232="Backlog",T232="Pipeline",T232="Overdue"),ISNUMBER(W232)),IF(W232&lt;=Settings!$B$6,Q232,0),0)</f>
        <v>0</v>
      </c>
      <c r="Z232" s="38" t="n">
        <f aca="false">IF(Y232=0,0,IF(T232="Backlog",Q232,Q232*Dashboard!$C$10))</f>
        <v>0</v>
      </c>
      <c r="AA232" s="37" t="n">
        <f aca="false">IF($N232="",0,IF(COUNTIF(Dashboard!$C$13:$C$22,$N232)&gt;0,1,0))</f>
        <v>0</v>
      </c>
      <c r="AB232" s="37" t="str">
        <f aca="false">IF($N232="","",IF(COUNTIF($N$8:$N232,$N232)=1,MAX($AB$7:$AB231)+1,""))</f>
        <v/>
      </c>
    </row>
    <row r="233" customFormat="false" ht="15" hidden="false" customHeight="false" outlineLevel="0" collapsed="false">
      <c r="B233" s="32" t="s">
        <v>666</v>
      </c>
      <c r="C233" s="32" t="s">
        <v>188</v>
      </c>
      <c r="D233" s="35" t="n">
        <v>12271</v>
      </c>
      <c r="E233" s="32" t="s">
        <v>141</v>
      </c>
      <c r="F233" s="36" t="n">
        <v>46234</v>
      </c>
      <c r="G233" s="32" t="s">
        <v>667</v>
      </c>
      <c r="L233" s="37" t="str">
        <f aca="false">IF(INDEX($A233:$J233,$L$6)&lt;&gt;"",TRIM(LEFT(INDEX($A233:$J233,$L$6),FIND("(",INDEX($A233:$J233,$L$6)&amp;"(")-1)),L232)</f>
        <v>Closed Won</v>
      </c>
      <c r="M233" s="37" t="str">
        <f aca="false">IF(INDEX($A233:$J233,$M$6)="","",INDEX($A233:$J233,$M$6)&amp;"")</f>
        <v>Aware | SYD 28.06 Equipment - 26052701</v>
      </c>
      <c r="N233" s="37" t="str">
        <f aca="false">IF($M233="","",TRIM(INDEX($A233:$J233,$N$6)&amp;""))</f>
        <v>Aware Super</v>
      </c>
      <c r="O233" s="37" t="str">
        <f aca="false">IF($M233="","",TRIM(INDEX($A233:$J233,$O$6)&amp;""))</f>
        <v>Integration</v>
      </c>
      <c r="P233" s="37" t="str">
        <f aca="false">IF($M233="","",IFERROR(IF(INDEX(Settings!$B$41:$B$50,MATCH(O233,Settings!$A$41:$A$50,0))&amp;""="","UNMAPPED",INDEX(Settings!$B$41:$B$50,MATCH(O233,Settings!$A$41:$A$50,0))&amp;""),"UNMAPPED"))</f>
        <v>Integration</v>
      </c>
      <c r="Q233" s="38" t="n">
        <f aca="false">IF($M233="",0,N(INDEX($A233:$J233,$Q$6)))</f>
        <v>12271</v>
      </c>
      <c r="R233" s="39" t="n">
        <f aca="false">IF($M233="","",INDEX($A233:$J233,$R$6))</f>
        <v>46234</v>
      </c>
      <c r="S233" s="37" t="str">
        <f aca="false">IF($M233="","",IFERROR(INDEX(Settings!$B$27:$B$36,MATCH(L233,Settings!$A$27:$A$36,0))&amp;"","UNMAPPED"))</f>
        <v>Won</v>
      </c>
      <c r="T233" s="37" t="str">
        <f aca="false">IF($M233="","",IF(NOT(ISNUMBER(R233)),"NO DATE",IF(S233="Won",IF(R233&gt;Settings!$B$5,"Backlog","Delivered"),IF(S233="Open",IF(R233&gt;Settings!$B$5,"Pipeline","Overdue"),IF(S233="Lost","Lost","UNMAPPED")))))</f>
        <v>Delivered</v>
      </c>
      <c r="U233" s="40" t="n">
        <f aca="false">IF(T233="Backlog",1,IF(OR(T233="Pipeline",T233="Overdue"),N(INDEX(Settings!$C$27:$C$36,MATCH(L233,Settings!$A$27:$A$36,0))),0))</f>
        <v>0</v>
      </c>
      <c r="V233" s="38" t="n">
        <f aca="false">Q233*U233</f>
        <v>0</v>
      </c>
      <c r="W233" s="41" t="n">
        <f aca="false">IF($M233="","",IF(T233="Overdue",IF(Settings!$B$8="Yes",Settings!$B$7,""),IF(ISNUMBER(R233),DATE(YEAR(R233),MONTH(R233),1),"")))</f>
        <v>46204</v>
      </c>
      <c r="X233" s="38" t="n">
        <f aca="false">IF(AND(OR(T233="Backlog",T233="Pipeline",T233="Overdue"),ISNUMBER(W233)),IF(W233&lt;=Settings!$B$6,V233,0),0)</f>
        <v>0</v>
      </c>
      <c r="Y233" s="38" t="n">
        <f aca="false">IF(AND(OR(T233="Backlog",T233="Pipeline",T233="Overdue"),ISNUMBER(W233)),IF(W233&lt;=Settings!$B$6,Q233,0),0)</f>
        <v>0</v>
      </c>
      <c r="Z233" s="38" t="n">
        <f aca="false">IF(Y233=0,0,IF(T233="Backlog",Q233,Q233*Dashboard!$C$10))</f>
        <v>0</v>
      </c>
      <c r="AA233" s="37" t="n">
        <f aca="false">IF($N233="",0,IF(COUNTIF(Dashboard!$C$13:$C$22,$N233)&gt;0,1,0))</f>
        <v>0</v>
      </c>
      <c r="AB233" s="37" t="str">
        <f aca="false">IF($N233="","",IF(COUNTIF($N$8:$N233,$N233)=1,MAX($AB$7:$AB232)+1,""))</f>
        <v/>
      </c>
    </row>
    <row r="234" customFormat="false" ht="15" hidden="false" customHeight="false" outlineLevel="0" collapsed="false">
      <c r="B234" s="32" t="s">
        <v>668</v>
      </c>
      <c r="C234" s="32" t="s">
        <v>169</v>
      </c>
      <c r="D234" s="35" t="n">
        <v>23800</v>
      </c>
      <c r="E234" s="32" t="s">
        <v>145</v>
      </c>
      <c r="F234" s="36" t="n">
        <v>45988</v>
      </c>
      <c r="G234" s="32" t="s">
        <v>669</v>
      </c>
      <c r="L234" s="37" t="str">
        <f aca="false">IF(INDEX($A234:$J234,$L$6)&lt;&gt;"",TRIM(LEFT(INDEX($A234:$J234,$L$6),FIND("(",INDEX($A234:$J234,$L$6)&amp;"(")-1)),L233)</f>
        <v>Closed Won</v>
      </c>
      <c r="M234" s="37" t="str">
        <f aca="false">IF(INDEX($A234:$J234,$M$6)="","",INDEX($A234:$J234,$M$6)&amp;"")</f>
        <v>Dairy Australia AGM - 27.11.25</v>
      </c>
      <c r="N234" s="37" t="str">
        <f aca="false">IF($M234="","",TRIM(INDEX($A234:$J234,$N$6)&amp;""))</f>
        <v>MUFG IR / Orient Capital</v>
      </c>
      <c r="O234" s="37" t="str">
        <f aca="false">IF($M234="","",TRIM(INDEX($A234:$J234,$O$6)&amp;""))</f>
        <v>Event Production</v>
      </c>
      <c r="P234" s="37" t="str">
        <f aca="false">IF($M234="","",IFERROR(IF(INDEX(Settings!$B$41:$B$50,MATCH(O234,Settings!$A$41:$A$50,0))&amp;""="","UNMAPPED",INDEX(Settings!$B$41:$B$50,MATCH(O234,Settings!$A$41:$A$50,0))&amp;""),"UNMAPPED"))</f>
        <v>Production</v>
      </c>
      <c r="Q234" s="38" t="n">
        <f aca="false">IF($M234="",0,N(INDEX($A234:$J234,$Q$6)))</f>
        <v>23800</v>
      </c>
      <c r="R234" s="39" t="n">
        <f aca="false">IF($M234="","",INDEX($A234:$J234,$R$6))</f>
        <v>45988</v>
      </c>
      <c r="S234" s="37" t="str">
        <f aca="false">IF($M234="","",IFERROR(INDEX(Settings!$B$27:$B$36,MATCH(L234,Settings!$A$27:$A$36,0))&amp;"","UNMAPPED"))</f>
        <v>Won</v>
      </c>
      <c r="T234" s="37" t="str">
        <f aca="false">IF($M234="","",IF(NOT(ISNUMBER(R234)),"NO DATE",IF(S234="Won",IF(R234&gt;Settings!$B$5,"Backlog","Delivered"),IF(S234="Open",IF(R234&gt;Settings!$B$5,"Pipeline","Overdue"),IF(S234="Lost","Lost","UNMAPPED")))))</f>
        <v>Delivered</v>
      </c>
      <c r="U234" s="40" t="n">
        <f aca="false">IF(T234="Backlog",1,IF(OR(T234="Pipeline",T234="Overdue"),N(INDEX(Settings!$C$27:$C$36,MATCH(L234,Settings!$A$27:$A$36,0))),0))</f>
        <v>0</v>
      </c>
      <c r="V234" s="38" t="n">
        <f aca="false">Q234*U234</f>
        <v>0</v>
      </c>
      <c r="W234" s="41" t="n">
        <f aca="false">IF($M234="","",IF(T234="Overdue",IF(Settings!$B$8="Yes",Settings!$B$7,""),IF(ISNUMBER(R234),DATE(YEAR(R234),MONTH(R234),1),"")))</f>
        <v>45962</v>
      </c>
      <c r="X234" s="38" t="n">
        <f aca="false">IF(AND(OR(T234="Backlog",T234="Pipeline",T234="Overdue"),ISNUMBER(W234)),IF(W234&lt;=Settings!$B$6,V234,0),0)</f>
        <v>0</v>
      </c>
      <c r="Y234" s="38" t="n">
        <f aca="false">IF(AND(OR(T234="Backlog",T234="Pipeline",T234="Overdue"),ISNUMBER(W234)),IF(W234&lt;=Settings!$B$6,Q234,0),0)</f>
        <v>0</v>
      </c>
      <c r="Z234" s="38" t="n">
        <f aca="false">IF(Y234=0,0,IF(T234="Backlog",Q234,Q234*Dashboard!$C$10))</f>
        <v>0</v>
      </c>
      <c r="AA234" s="37" t="n">
        <f aca="false">IF($N234="",0,IF(COUNTIF(Dashboard!$C$13:$C$22,$N234)&gt;0,1,0))</f>
        <v>0</v>
      </c>
      <c r="AB234" s="37" t="str">
        <f aca="false">IF($N234="","",IF(COUNTIF($N$8:$N234,$N234)=1,MAX($AB$7:$AB233)+1,""))</f>
        <v/>
      </c>
    </row>
    <row r="235" customFormat="false" ht="15" hidden="false" customHeight="false" outlineLevel="0" collapsed="false">
      <c r="B235" s="32" t="s">
        <v>670</v>
      </c>
      <c r="C235" s="32" t="s">
        <v>267</v>
      </c>
      <c r="D235" s="35" t="n">
        <v>380</v>
      </c>
      <c r="E235" s="32" t="s">
        <v>145</v>
      </c>
      <c r="F235" s="36" t="n">
        <v>45960</v>
      </c>
      <c r="G235" s="32" t="s">
        <v>671</v>
      </c>
      <c r="L235" s="37" t="str">
        <f aca="false">IF(INDEX($A235:$J235,$L$6)&lt;&gt;"",TRIM(LEFT(INDEX($A235:$J235,$L$6),FIND("(",INDEX($A235:$J235,$L$6)&amp;"(")-1)),L234)</f>
        <v>Closed Won</v>
      </c>
      <c r="M235" s="37" t="str">
        <f aca="false">IF(INDEX($A235:$J235,$M$6)="","",INDEX($A235:$J235,$M$6)&amp;"")</f>
        <v>Dimensional Audio Op - 30 10 25</v>
      </c>
      <c r="N235" s="37" t="str">
        <f aca="false">IF($M235="","",TRIM(INDEX($A235:$J235,$N$6)&amp;""))</f>
        <v>Dimensional Fund Advisors</v>
      </c>
      <c r="O235" s="37" t="str">
        <f aca="false">IF($M235="","",TRIM(INDEX($A235:$J235,$O$6)&amp;""))</f>
        <v>Event Production</v>
      </c>
      <c r="P235" s="37" t="str">
        <f aca="false">IF($M235="","",IFERROR(IF(INDEX(Settings!$B$41:$B$50,MATCH(O235,Settings!$A$41:$A$50,0))&amp;""="","UNMAPPED",INDEX(Settings!$B$41:$B$50,MATCH(O235,Settings!$A$41:$A$50,0))&amp;""),"UNMAPPED"))</f>
        <v>Production</v>
      </c>
      <c r="Q235" s="38" t="n">
        <f aca="false">IF($M235="",0,N(INDEX($A235:$J235,$Q$6)))</f>
        <v>380</v>
      </c>
      <c r="R235" s="39" t="n">
        <f aca="false">IF($M235="","",INDEX($A235:$J235,$R$6))</f>
        <v>45960</v>
      </c>
      <c r="S235" s="37" t="str">
        <f aca="false">IF($M235="","",IFERROR(INDEX(Settings!$B$27:$B$36,MATCH(L235,Settings!$A$27:$A$36,0))&amp;"","UNMAPPED"))</f>
        <v>Won</v>
      </c>
      <c r="T235" s="37" t="str">
        <f aca="false">IF($M235="","",IF(NOT(ISNUMBER(R235)),"NO DATE",IF(S235="Won",IF(R235&gt;Settings!$B$5,"Backlog","Delivered"),IF(S235="Open",IF(R235&gt;Settings!$B$5,"Pipeline","Overdue"),IF(S235="Lost","Lost","UNMAPPED")))))</f>
        <v>Delivered</v>
      </c>
      <c r="U235" s="40" t="n">
        <f aca="false">IF(T235="Backlog",1,IF(OR(T235="Pipeline",T235="Overdue"),N(INDEX(Settings!$C$27:$C$36,MATCH(L235,Settings!$A$27:$A$36,0))),0))</f>
        <v>0</v>
      </c>
      <c r="V235" s="38" t="n">
        <f aca="false">Q235*U235</f>
        <v>0</v>
      </c>
      <c r="W235" s="41" t="n">
        <f aca="false">IF($M235="","",IF(T235="Overdue",IF(Settings!$B$8="Yes",Settings!$B$7,""),IF(ISNUMBER(R235),DATE(YEAR(R235),MONTH(R235),1),"")))</f>
        <v>45931</v>
      </c>
      <c r="X235" s="38" t="n">
        <f aca="false">IF(AND(OR(T235="Backlog",T235="Pipeline",T235="Overdue"),ISNUMBER(W235)),IF(W235&lt;=Settings!$B$6,V235,0),0)</f>
        <v>0</v>
      </c>
      <c r="Y235" s="38" t="n">
        <f aca="false">IF(AND(OR(T235="Backlog",T235="Pipeline",T235="Overdue"),ISNUMBER(W235)),IF(W235&lt;=Settings!$B$6,Q235,0),0)</f>
        <v>0</v>
      </c>
      <c r="Z235" s="38" t="n">
        <f aca="false">IF(Y235=0,0,IF(T235="Backlog",Q235,Q235*Dashboard!$C$10))</f>
        <v>0</v>
      </c>
      <c r="AA235" s="37" t="n">
        <f aca="false">IF($N235="",0,IF(COUNTIF(Dashboard!$C$13:$C$22,$N235)&gt;0,1,0))</f>
        <v>0</v>
      </c>
      <c r="AB235" s="37" t="str">
        <f aca="false">IF($N235="","",IF(COUNTIF($N$8:$N235,$N235)=1,MAX($AB$7:$AB234)+1,""))</f>
        <v/>
      </c>
    </row>
    <row r="236" customFormat="false" ht="15" hidden="false" customHeight="false" outlineLevel="0" collapsed="false">
      <c r="B236" s="32" t="s">
        <v>672</v>
      </c>
      <c r="C236" s="32" t="s">
        <v>194</v>
      </c>
      <c r="D236" s="35" t="n">
        <v>2350</v>
      </c>
      <c r="E236" s="32" t="s">
        <v>145</v>
      </c>
      <c r="F236" s="36" t="n">
        <v>46106</v>
      </c>
      <c r="G236" s="32" t="s">
        <v>673</v>
      </c>
      <c r="L236" s="37" t="str">
        <f aca="false">IF(INDEX($A236:$J236,$L$6)&lt;&gt;"",TRIM(LEFT(INDEX($A236:$J236,$L$6),FIND("(",INDEX($A236:$J236,$L$6)&amp;"(")-1)),L235)</f>
        <v>Closed Won</v>
      </c>
      <c r="M236" s="37" t="str">
        <f aca="false">IF(INDEX($A236:$J236,$M$6)="","",INDEX($A236:$J236,$M$6)&amp;"")</f>
        <v>Ventia - Supply Partner Conference - Screen Hire 25.3.26</v>
      </c>
      <c r="N236" s="37" t="str">
        <f aca="false">IF($M236="","",TRIM(INDEX($A236:$J236,$N$6)&amp;""))</f>
        <v>Ventia</v>
      </c>
      <c r="O236" s="37" t="str">
        <f aca="false">IF($M236="","",TRIM(INDEX($A236:$J236,$O$6)&amp;""))</f>
        <v>Event Production</v>
      </c>
      <c r="P236" s="37" t="str">
        <f aca="false">IF($M236="","",IFERROR(IF(INDEX(Settings!$B$41:$B$50,MATCH(O236,Settings!$A$41:$A$50,0))&amp;""="","UNMAPPED",INDEX(Settings!$B$41:$B$50,MATCH(O236,Settings!$A$41:$A$50,0))&amp;""),"UNMAPPED"))</f>
        <v>Production</v>
      </c>
      <c r="Q236" s="38" t="n">
        <f aca="false">IF($M236="",0,N(INDEX($A236:$J236,$Q$6)))</f>
        <v>2350</v>
      </c>
      <c r="R236" s="39" t="n">
        <f aca="false">IF($M236="","",INDEX($A236:$J236,$R$6))</f>
        <v>46106</v>
      </c>
      <c r="S236" s="37" t="str">
        <f aca="false">IF($M236="","",IFERROR(INDEX(Settings!$B$27:$B$36,MATCH(L236,Settings!$A$27:$A$36,0))&amp;"","UNMAPPED"))</f>
        <v>Won</v>
      </c>
      <c r="T236" s="37" t="str">
        <f aca="false">IF($M236="","",IF(NOT(ISNUMBER(R236)),"NO DATE",IF(S236="Won",IF(R236&gt;Settings!$B$5,"Backlog","Delivered"),IF(S236="Open",IF(R236&gt;Settings!$B$5,"Pipeline","Overdue"),IF(S236="Lost","Lost","UNMAPPED")))))</f>
        <v>Delivered</v>
      </c>
      <c r="U236" s="40" t="n">
        <f aca="false">IF(T236="Backlog",1,IF(OR(T236="Pipeline",T236="Overdue"),N(INDEX(Settings!$C$27:$C$36,MATCH(L236,Settings!$A$27:$A$36,0))),0))</f>
        <v>0</v>
      </c>
      <c r="V236" s="38" t="n">
        <f aca="false">Q236*U236</f>
        <v>0</v>
      </c>
      <c r="W236" s="41" t="n">
        <f aca="false">IF($M236="","",IF(T236="Overdue",IF(Settings!$B$8="Yes",Settings!$B$7,""),IF(ISNUMBER(R236),DATE(YEAR(R236),MONTH(R236),1),"")))</f>
        <v>46082</v>
      </c>
      <c r="X236" s="38" t="n">
        <f aca="false">IF(AND(OR(T236="Backlog",T236="Pipeline",T236="Overdue"),ISNUMBER(W236)),IF(W236&lt;=Settings!$B$6,V236,0),0)</f>
        <v>0</v>
      </c>
      <c r="Y236" s="38" t="n">
        <f aca="false">IF(AND(OR(T236="Backlog",T236="Pipeline",T236="Overdue"),ISNUMBER(W236)),IF(W236&lt;=Settings!$B$6,Q236,0),0)</f>
        <v>0</v>
      </c>
      <c r="Z236" s="38" t="n">
        <f aca="false">IF(Y236=0,0,IF(T236="Backlog",Q236,Q236*Dashboard!$C$10))</f>
        <v>0</v>
      </c>
      <c r="AA236" s="37" t="n">
        <f aca="false">IF($N236="",0,IF(COUNTIF(Dashboard!$C$13:$C$22,$N236)&gt;0,1,0))</f>
        <v>0</v>
      </c>
      <c r="AB236" s="37" t="str">
        <f aca="false">IF($N236="","",IF(COUNTIF($N$8:$N236,$N236)=1,MAX($AB$7:$AB235)+1,""))</f>
        <v/>
      </c>
    </row>
    <row r="237" customFormat="false" ht="15" hidden="false" customHeight="false" outlineLevel="0" collapsed="false">
      <c r="B237" s="32" t="s">
        <v>674</v>
      </c>
      <c r="C237" s="32" t="s">
        <v>316</v>
      </c>
      <c r="D237" s="35" t="n">
        <v>950</v>
      </c>
      <c r="E237" s="32" t="s">
        <v>145</v>
      </c>
      <c r="F237" s="36" t="n">
        <v>46286</v>
      </c>
      <c r="G237" s="32" t="s">
        <v>675</v>
      </c>
      <c r="L237" s="37" t="str">
        <f aca="false">IF(INDEX($A237:$J237,$L$6)&lt;&gt;"",TRIM(LEFT(INDEX($A237:$J237,$L$6),FIND("(",INDEX($A237:$J237,$L$6)&amp;"(")-1)),L236)</f>
        <v>Closed Won</v>
      </c>
      <c r="M237" s="37" t="str">
        <f aca="false">IF(INDEX($A237:$J237,$M$6)="","",INDEX($A237:$J237,$M$6)&amp;"")</f>
        <v>Bankwest - BCEC WGEA Report Launch - 13.10.2026</v>
      </c>
      <c r="N237" s="37" t="str">
        <f aca="false">IF($M237="","",TRIM(INDEX($A237:$J237,$N$6)&amp;""))</f>
        <v>Bankwest</v>
      </c>
      <c r="O237" s="37" t="str">
        <f aca="false">IF($M237="","",TRIM(INDEX($A237:$J237,$O$6)&amp;""))</f>
        <v>Event Production</v>
      </c>
      <c r="P237" s="37" t="str">
        <f aca="false">IF($M237="","",IFERROR(IF(INDEX(Settings!$B$41:$B$50,MATCH(O237,Settings!$A$41:$A$50,0))&amp;""="","UNMAPPED",INDEX(Settings!$B$41:$B$50,MATCH(O237,Settings!$A$41:$A$50,0))&amp;""),"UNMAPPED"))</f>
        <v>Production</v>
      </c>
      <c r="Q237" s="38" t="n">
        <f aca="false">IF($M237="",0,N(INDEX($A237:$J237,$Q$6)))</f>
        <v>950</v>
      </c>
      <c r="R237" s="39" t="n">
        <f aca="false">IF($M237="","",INDEX($A237:$J237,$R$6))</f>
        <v>46286</v>
      </c>
      <c r="S237" s="37" t="str">
        <f aca="false">IF($M237="","",IFERROR(INDEX(Settings!$B$27:$B$36,MATCH(L237,Settings!$A$27:$A$36,0))&amp;"","UNMAPPED"))</f>
        <v>Won</v>
      </c>
      <c r="T237" s="37" t="str">
        <f aca="false">IF($M237="","",IF(NOT(ISNUMBER(R237)),"NO DATE",IF(S237="Won",IF(R237&gt;Settings!$B$5,"Backlog","Delivered"),IF(S237="Open",IF(R237&gt;Settings!$B$5,"Pipeline","Overdue"),IF(S237="Lost","Lost","UNMAPPED")))))</f>
        <v>Delivered</v>
      </c>
      <c r="U237" s="40" t="n">
        <f aca="false">IF(T237="Backlog",1,IF(OR(T237="Pipeline",T237="Overdue"),N(INDEX(Settings!$C$27:$C$36,MATCH(L237,Settings!$A$27:$A$36,0))),0))</f>
        <v>0</v>
      </c>
      <c r="V237" s="38" t="n">
        <f aca="false">Q237*U237</f>
        <v>0</v>
      </c>
      <c r="W237" s="41" t="n">
        <f aca="false">IF($M237="","",IF(T237="Overdue",IF(Settings!$B$8="Yes",Settings!$B$7,""),IF(ISNUMBER(R237),DATE(YEAR(R237),MONTH(R237),1),"")))</f>
        <v>46266</v>
      </c>
      <c r="X237" s="38" t="n">
        <f aca="false">IF(AND(OR(T237="Backlog",T237="Pipeline",T237="Overdue"),ISNUMBER(W237)),IF(W237&lt;=Settings!$B$6,V237,0),0)</f>
        <v>0</v>
      </c>
      <c r="Y237" s="38" t="n">
        <f aca="false">IF(AND(OR(T237="Backlog",T237="Pipeline",T237="Overdue"),ISNUMBER(W237)),IF(W237&lt;=Settings!$B$6,Q237,0),0)</f>
        <v>0</v>
      </c>
      <c r="Z237" s="38" t="n">
        <f aca="false">IF(Y237=0,0,IF(T237="Backlog",Q237,Q237*Dashboard!$C$10))</f>
        <v>0</v>
      </c>
      <c r="AA237" s="37" t="n">
        <f aca="false">IF($N237="",0,IF(COUNTIF(Dashboard!$C$13:$C$22,$N237)&gt;0,1,0))</f>
        <v>0</v>
      </c>
      <c r="AB237" s="37" t="str">
        <f aca="false">IF($N237="","",IF(COUNTIF($N$8:$N237,$N237)=1,MAX($AB$7:$AB236)+1,""))</f>
        <v/>
      </c>
    </row>
    <row r="238" customFormat="false" ht="15" hidden="false" customHeight="false" outlineLevel="0" collapsed="false">
      <c r="B238" s="32" t="s">
        <v>676</v>
      </c>
      <c r="C238" s="32" t="s">
        <v>154</v>
      </c>
      <c r="D238" s="35" t="n">
        <v>2195</v>
      </c>
      <c r="E238" s="32" t="s">
        <v>145</v>
      </c>
      <c r="F238" s="36" t="n">
        <v>46160</v>
      </c>
      <c r="G238" s="32" t="s">
        <v>677</v>
      </c>
      <c r="L238" s="37" t="str">
        <f aca="false">IF(INDEX($A238:$J238,$L$6)&lt;&gt;"",TRIM(LEFT(INDEX($A238:$J238,$L$6),FIND("(",INDEX($A238:$J238,$L$6)&amp;"(")-1)),L237)</f>
        <v>Closed Won</v>
      </c>
      <c r="M238" s="37" t="str">
        <f aca="false">IF(INDEX($A238:$J238,$M$6)="","",INDEX($A238:$J238,$M$6)&amp;"")</f>
        <v>PWC - Perth Studio Event - 25.5.26</v>
      </c>
      <c r="N238" s="37" t="str">
        <f aca="false">IF($M238="","",TRIM(INDEX($A238:$J238,$N$6)&amp;""))</f>
        <v>PWC</v>
      </c>
      <c r="O238" s="37" t="str">
        <f aca="false">IF($M238="","",TRIM(INDEX($A238:$J238,$O$6)&amp;""))</f>
        <v>Event Production</v>
      </c>
      <c r="P238" s="37" t="str">
        <f aca="false">IF($M238="","",IFERROR(IF(INDEX(Settings!$B$41:$B$50,MATCH(O238,Settings!$A$41:$A$50,0))&amp;""="","UNMAPPED",INDEX(Settings!$B$41:$B$50,MATCH(O238,Settings!$A$41:$A$50,0))&amp;""),"UNMAPPED"))</f>
        <v>Production</v>
      </c>
      <c r="Q238" s="38" t="n">
        <f aca="false">IF($M238="",0,N(INDEX($A238:$J238,$Q$6)))</f>
        <v>2195</v>
      </c>
      <c r="R238" s="39" t="n">
        <f aca="false">IF($M238="","",INDEX($A238:$J238,$R$6))</f>
        <v>46160</v>
      </c>
      <c r="S238" s="37" t="str">
        <f aca="false">IF($M238="","",IFERROR(INDEX(Settings!$B$27:$B$36,MATCH(L238,Settings!$A$27:$A$36,0))&amp;"","UNMAPPED"))</f>
        <v>Won</v>
      </c>
      <c r="T238" s="37" t="str">
        <f aca="false">IF($M238="","",IF(NOT(ISNUMBER(R238)),"NO DATE",IF(S238="Won",IF(R238&gt;Settings!$B$5,"Backlog","Delivered"),IF(S238="Open",IF(R238&gt;Settings!$B$5,"Pipeline","Overdue"),IF(S238="Lost","Lost","UNMAPPED")))))</f>
        <v>Delivered</v>
      </c>
      <c r="U238" s="40" t="n">
        <f aca="false">IF(T238="Backlog",1,IF(OR(T238="Pipeline",T238="Overdue"),N(INDEX(Settings!$C$27:$C$36,MATCH(L238,Settings!$A$27:$A$36,0))),0))</f>
        <v>0</v>
      </c>
      <c r="V238" s="38" t="n">
        <f aca="false">Q238*U238</f>
        <v>0</v>
      </c>
      <c r="W238" s="41" t="n">
        <f aca="false">IF($M238="","",IF(T238="Overdue",IF(Settings!$B$8="Yes",Settings!$B$7,""),IF(ISNUMBER(R238),DATE(YEAR(R238),MONTH(R238),1),"")))</f>
        <v>46143</v>
      </c>
      <c r="X238" s="38" t="n">
        <f aca="false">IF(AND(OR(T238="Backlog",T238="Pipeline",T238="Overdue"),ISNUMBER(W238)),IF(W238&lt;=Settings!$B$6,V238,0),0)</f>
        <v>0</v>
      </c>
      <c r="Y238" s="38" t="n">
        <f aca="false">IF(AND(OR(T238="Backlog",T238="Pipeline",T238="Overdue"),ISNUMBER(W238)),IF(W238&lt;=Settings!$B$6,Q238,0),0)</f>
        <v>0</v>
      </c>
      <c r="Z238" s="38" t="n">
        <f aca="false">IF(Y238=0,0,IF(T238="Backlog",Q238,Q238*Dashboard!$C$10))</f>
        <v>0</v>
      </c>
      <c r="AA238" s="37" t="n">
        <f aca="false">IF($N238="",0,IF(COUNTIF(Dashboard!$C$13:$C$22,$N238)&gt;0,1,0))</f>
        <v>0</v>
      </c>
      <c r="AB238" s="37" t="str">
        <f aca="false">IF($N238="","",IF(COUNTIF($N$8:$N238,$N238)=1,MAX($AB$7:$AB237)+1,""))</f>
        <v/>
      </c>
    </row>
    <row r="239" customFormat="false" ht="15" hidden="false" customHeight="false" outlineLevel="0" collapsed="false">
      <c r="B239" s="32" t="s">
        <v>678</v>
      </c>
      <c r="C239" s="32" t="s">
        <v>679</v>
      </c>
      <c r="D239" s="35" t="n">
        <v>1140</v>
      </c>
      <c r="E239" s="32" t="s">
        <v>145</v>
      </c>
      <c r="F239" s="36" t="n">
        <v>46160</v>
      </c>
      <c r="G239" s="32" t="s">
        <v>680</v>
      </c>
      <c r="L239" s="37" t="str">
        <f aca="false">IF(INDEX($A239:$J239,$L$6)&lt;&gt;"",TRIM(LEFT(INDEX($A239:$J239,$L$6),FIND("(",INDEX($A239:$J239,$L$6)&amp;"(")-1)),L238)</f>
        <v>Closed Won</v>
      </c>
      <c r="M239" s="37" t="str">
        <f aca="false">IF(INDEX($A239:$J239,$M$6)="","",INDEX($A239:$J239,$M$6)&amp;"")</f>
        <v>AVIT - Taronga Zoo AV Support - 18th &amp; 19th May 26'</v>
      </c>
      <c r="N239" s="37" t="str">
        <f aca="false">IF($M239="","",TRIM(INDEX($A239:$J239,$N$6)&amp;""))</f>
        <v>AVIT</v>
      </c>
      <c r="O239" s="37" t="str">
        <f aca="false">IF($M239="","",TRIM(INDEX($A239:$J239,$O$6)&amp;""))</f>
        <v>Event Production</v>
      </c>
      <c r="P239" s="37" t="str">
        <f aca="false">IF($M239="","",IFERROR(IF(INDEX(Settings!$B$41:$B$50,MATCH(O239,Settings!$A$41:$A$50,0))&amp;""="","UNMAPPED",INDEX(Settings!$B$41:$B$50,MATCH(O239,Settings!$A$41:$A$50,0))&amp;""),"UNMAPPED"))</f>
        <v>Production</v>
      </c>
      <c r="Q239" s="38" t="n">
        <f aca="false">IF($M239="",0,N(INDEX($A239:$J239,$Q$6)))</f>
        <v>1140</v>
      </c>
      <c r="R239" s="39" t="n">
        <f aca="false">IF($M239="","",INDEX($A239:$J239,$R$6))</f>
        <v>46160</v>
      </c>
      <c r="S239" s="37" t="str">
        <f aca="false">IF($M239="","",IFERROR(INDEX(Settings!$B$27:$B$36,MATCH(L239,Settings!$A$27:$A$36,0))&amp;"","UNMAPPED"))</f>
        <v>Won</v>
      </c>
      <c r="T239" s="37" t="str">
        <f aca="false">IF($M239="","",IF(NOT(ISNUMBER(R239)),"NO DATE",IF(S239="Won",IF(R239&gt;Settings!$B$5,"Backlog","Delivered"),IF(S239="Open",IF(R239&gt;Settings!$B$5,"Pipeline","Overdue"),IF(S239="Lost","Lost","UNMAPPED")))))</f>
        <v>Delivered</v>
      </c>
      <c r="U239" s="40" t="n">
        <f aca="false">IF(T239="Backlog",1,IF(OR(T239="Pipeline",T239="Overdue"),N(INDEX(Settings!$C$27:$C$36,MATCH(L239,Settings!$A$27:$A$36,0))),0))</f>
        <v>0</v>
      </c>
      <c r="V239" s="38" t="n">
        <f aca="false">Q239*U239</f>
        <v>0</v>
      </c>
      <c r="W239" s="41" t="n">
        <f aca="false">IF($M239="","",IF(T239="Overdue",IF(Settings!$B$8="Yes",Settings!$B$7,""),IF(ISNUMBER(R239),DATE(YEAR(R239),MONTH(R239),1),"")))</f>
        <v>46143</v>
      </c>
      <c r="X239" s="38" t="n">
        <f aca="false">IF(AND(OR(T239="Backlog",T239="Pipeline",T239="Overdue"),ISNUMBER(W239)),IF(W239&lt;=Settings!$B$6,V239,0),0)</f>
        <v>0</v>
      </c>
      <c r="Y239" s="38" t="n">
        <f aca="false">IF(AND(OR(T239="Backlog",T239="Pipeline",T239="Overdue"),ISNUMBER(W239)),IF(W239&lt;=Settings!$B$6,Q239,0),0)</f>
        <v>0</v>
      </c>
      <c r="Z239" s="38" t="n">
        <f aca="false">IF(Y239=0,0,IF(T239="Backlog",Q239,Q239*Dashboard!$C$10))</f>
        <v>0</v>
      </c>
      <c r="AA239" s="37" t="n">
        <f aca="false">IF($N239="",0,IF(COUNTIF(Dashboard!$C$13:$C$22,$N239)&gt;0,1,0))</f>
        <v>0</v>
      </c>
      <c r="AB239" s="37" t="n">
        <f aca="false">IF($N239="","",IF(COUNTIF($N$8:$N239,$N239)=1,MAX($AB$7:$AB238)+1,""))</f>
        <v>71</v>
      </c>
    </row>
    <row r="240" customFormat="false" ht="15" hidden="false" customHeight="false" outlineLevel="0" collapsed="false">
      <c r="B240" s="32" t="s">
        <v>681</v>
      </c>
      <c r="C240" s="32" t="s">
        <v>154</v>
      </c>
      <c r="D240" s="35" t="n">
        <v>5760</v>
      </c>
      <c r="E240" s="32" t="s">
        <v>180</v>
      </c>
      <c r="F240" s="36" t="n">
        <v>46073</v>
      </c>
      <c r="G240" s="32" t="s">
        <v>682</v>
      </c>
      <c r="L240" s="37" t="str">
        <f aca="false">IF(INDEX($A240:$J240,$L$6)&lt;&gt;"",TRIM(LEFT(INDEX($A240:$J240,$L$6),FIND("(",INDEX($A240:$J240,$L$6)&amp;"(")-1)),L239)</f>
        <v>Closed Won</v>
      </c>
      <c r="M240" s="37" t="str">
        <f aca="false">IF(INDEX($A240:$J240,$M$6)="","",INDEX($A240:$J240,$M$6)&amp;"")</f>
        <v>PWC Melbourne Support | Technician coverage March/April</v>
      </c>
      <c r="N240" s="37" t="str">
        <f aca="false">IF($M240="","",TRIM(INDEX($A240:$J240,$N$6)&amp;""))</f>
        <v>PWC</v>
      </c>
      <c r="O240" s="37" t="str">
        <f aca="false">IF($M240="","",TRIM(INDEX($A240:$J240,$O$6)&amp;""))</f>
        <v>Support</v>
      </c>
      <c r="P240" s="37" t="str">
        <f aca="false">IF($M240="","",IFERROR(IF(INDEX(Settings!$B$41:$B$50,MATCH(O240,Settings!$A$41:$A$50,0))&amp;""="","UNMAPPED",INDEX(Settings!$B$41:$B$50,MATCH(O240,Settings!$A$41:$A$50,0))&amp;""),"UNMAPPED"))</f>
        <v>Onsite</v>
      </c>
      <c r="Q240" s="38" t="n">
        <f aca="false">IF($M240="",0,N(INDEX($A240:$J240,$Q$6)))</f>
        <v>5760</v>
      </c>
      <c r="R240" s="39" t="n">
        <f aca="false">IF($M240="","",INDEX($A240:$J240,$R$6))</f>
        <v>46073</v>
      </c>
      <c r="S240" s="37" t="str">
        <f aca="false">IF($M240="","",IFERROR(INDEX(Settings!$B$27:$B$36,MATCH(L240,Settings!$A$27:$A$36,0))&amp;"","UNMAPPED"))</f>
        <v>Won</v>
      </c>
      <c r="T240" s="37" t="str">
        <f aca="false">IF($M240="","",IF(NOT(ISNUMBER(R240)),"NO DATE",IF(S240="Won",IF(R240&gt;Settings!$B$5,"Backlog","Delivered"),IF(S240="Open",IF(R240&gt;Settings!$B$5,"Pipeline","Overdue"),IF(S240="Lost","Lost","UNMAPPED")))))</f>
        <v>Delivered</v>
      </c>
      <c r="U240" s="40" t="n">
        <f aca="false">IF(T240="Backlog",1,IF(OR(T240="Pipeline",T240="Overdue"),N(INDEX(Settings!$C$27:$C$36,MATCH(L240,Settings!$A$27:$A$36,0))),0))</f>
        <v>0</v>
      </c>
      <c r="V240" s="38" t="n">
        <f aca="false">Q240*U240</f>
        <v>0</v>
      </c>
      <c r="W240" s="41" t="n">
        <f aca="false">IF($M240="","",IF(T240="Overdue",IF(Settings!$B$8="Yes",Settings!$B$7,""),IF(ISNUMBER(R240),DATE(YEAR(R240),MONTH(R240),1),"")))</f>
        <v>46054</v>
      </c>
      <c r="X240" s="38" t="n">
        <f aca="false">IF(AND(OR(T240="Backlog",T240="Pipeline",T240="Overdue"),ISNUMBER(W240)),IF(W240&lt;=Settings!$B$6,V240,0),0)</f>
        <v>0</v>
      </c>
      <c r="Y240" s="38" t="n">
        <f aca="false">IF(AND(OR(T240="Backlog",T240="Pipeline",T240="Overdue"),ISNUMBER(W240)),IF(W240&lt;=Settings!$B$6,Q240,0),0)</f>
        <v>0</v>
      </c>
      <c r="Z240" s="38" t="n">
        <f aca="false">IF(Y240=0,0,IF(T240="Backlog",Q240,Q240*Dashboard!$C$10))</f>
        <v>0</v>
      </c>
      <c r="AA240" s="37" t="n">
        <f aca="false">IF($N240="",0,IF(COUNTIF(Dashboard!$C$13:$C$22,$N240)&gt;0,1,0))</f>
        <v>0</v>
      </c>
      <c r="AB240" s="37" t="str">
        <f aca="false">IF($N240="","",IF(COUNTIF($N$8:$N240,$N240)=1,MAX($AB$7:$AB239)+1,""))</f>
        <v/>
      </c>
    </row>
    <row r="241" customFormat="false" ht="15" hidden="false" customHeight="false" outlineLevel="0" collapsed="false">
      <c r="B241" s="32" t="s">
        <v>683</v>
      </c>
      <c r="C241" s="32" t="s">
        <v>191</v>
      </c>
      <c r="D241" s="35" t="n">
        <v>10070</v>
      </c>
      <c r="E241" s="32" t="s">
        <v>262</v>
      </c>
      <c r="F241" s="36" t="n">
        <v>46082</v>
      </c>
      <c r="G241" s="32" t="s">
        <v>684</v>
      </c>
      <c r="L241" s="37" t="str">
        <f aca="false">IF(INDEX($A241:$J241,$L$6)&lt;&gt;"",TRIM(LEFT(INDEX($A241:$J241,$L$6),FIND("(",INDEX($A241:$J241,$L$6)&amp;"(")-1)),L240)</f>
        <v>Closed Won</v>
      </c>
      <c r="M241" s="37" t="str">
        <f aca="false">IF(INDEX($A241:$J241,$M$6)="","",INDEX($A241:$J241,$M$6)&amp;"")</f>
        <v>CBA LES - Feb 2026</v>
      </c>
      <c r="N241" s="37" t="str">
        <f aca="false">IF($M241="","",TRIM(INDEX($A241:$J241,$N$6)&amp;""))</f>
        <v>Commonwealth Bank Australia (CBA)</v>
      </c>
      <c r="O241" s="37" t="str">
        <f aca="false">IF($M241="","",TRIM(INDEX($A241:$J241,$O$6)&amp;""))</f>
        <v>Multi-Service</v>
      </c>
      <c r="P241" s="37" t="str">
        <f aca="false">IF($M241="","",IFERROR(IF(INDEX(Settings!$B$41:$B$50,MATCH(O241,Settings!$A$41:$A$50,0))&amp;""="","UNMAPPED",INDEX(Settings!$B$41:$B$50,MATCH(O241,Settings!$A$41:$A$50,0))&amp;""),"UNMAPPED"))</f>
        <v>Unallocated</v>
      </c>
      <c r="Q241" s="38" t="n">
        <f aca="false">IF($M241="",0,N(INDEX($A241:$J241,$Q$6)))</f>
        <v>10070</v>
      </c>
      <c r="R241" s="39" t="n">
        <f aca="false">IF($M241="","",INDEX($A241:$J241,$R$6))</f>
        <v>46082</v>
      </c>
      <c r="S241" s="37" t="str">
        <f aca="false">IF($M241="","",IFERROR(INDEX(Settings!$B$27:$B$36,MATCH(L241,Settings!$A$27:$A$36,0))&amp;"","UNMAPPED"))</f>
        <v>Won</v>
      </c>
      <c r="T241" s="37" t="str">
        <f aca="false">IF($M241="","",IF(NOT(ISNUMBER(R241)),"NO DATE",IF(S241="Won",IF(R241&gt;Settings!$B$5,"Backlog","Delivered"),IF(S241="Open",IF(R241&gt;Settings!$B$5,"Pipeline","Overdue"),IF(S241="Lost","Lost","UNMAPPED")))))</f>
        <v>Delivered</v>
      </c>
      <c r="U241" s="40" t="n">
        <f aca="false">IF(T241="Backlog",1,IF(OR(T241="Pipeline",T241="Overdue"),N(INDEX(Settings!$C$27:$C$36,MATCH(L241,Settings!$A$27:$A$36,0))),0))</f>
        <v>0</v>
      </c>
      <c r="V241" s="38" t="n">
        <f aca="false">Q241*U241</f>
        <v>0</v>
      </c>
      <c r="W241" s="41" t="n">
        <f aca="false">IF($M241="","",IF(T241="Overdue",IF(Settings!$B$8="Yes",Settings!$B$7,""),IF(ISNUMBER(R241),DATE(YEAR(R241),MONTH(R241),1),"")))</f>
        <v>46082</v>
      </c>
      <c r="X241" s="38" t="n">
        <f aca="false">IF(AND(OR(T241="Backlog",T241="Pipeline",T241="Overdue"),ISNUMBER(W241)),IF(W241&lt;=Settings!$B$6,V241,0),0)</f>
        <v>0</v>
      </c>
      <c r="Y241" s="38" t="n">
        <f aca="false">IF(AND(OR(T241="Backlog",T241="Pipeline",T241="Overdue"),ISNUMBER(W241)),IF(W241&lt;=Settings!$B$6,Q241,0),0)</f>
        <v>0</v>
      </c>
      <c r="Z241" s="38" t="n">
        <f aca="false">IF(Y241=0,0,IF(T241="Backlog",Q241,Q241*Dashboard!$C$10))</f>
        <v>0</v>
      </c>
      <c r="AA241" s="37" t="n">
        <f aca="false">IF($N241="",0,IF(COUNTIF(Dashboard!$C$13:$C$22,$N241)&gt;0,1,0))</f>
        <v>0</v>
      </c>
      <c r="AB241" s="37" t="str">
        <f aca="false">IF($N241="","",IF(COUNTIF($N$8:$N241,$N241)=1,MAX($AB$7:$AB240)+1,""))</f>
        <v/>
      </c>
    </row>
    <row r="242" customFormat="false" ht="15" hidden="false" customHeight="false" outlineLevel="0" collapsed="false">
      <c r="B242" s="32" t="s">
        <v>685</v>
      </c>
      <c r="C242" s="32" t="s">
        <v>253</v>
      </c>
      <c r="D242" s="35" t="n">
        <v>3424</v>
      </c>
      <c r="E242" s="32" t="s">
        <v>145</v>
      </c>
      <c r="F242" s="36" t="n">
        <v>45958</v>
      </c>
      <c r="G242" s="32" t="s">
        <v>686</v>
      </c>
      <c r="L242" s="37" t="str">
        <f aca="false">IF(INDEX($A242:$J242,$L$6)&lt;&gt;"",TRIM(LEFT(INDEX($A242:$J242,$L$6),FIND("(",INDEX($A242:$J242,$L$6)&amp;"(")-1)),L241)</f>
        <v>Closed Won</v>
      </c>
      <c r="M242" s="37" t="str">
        <f aca="false">IF(INDEX($A242:$J242,$M$6)="","",INDEX($A242:$J242,$M$6)&amp;"")</f>
        <v>CEO Connect 28.10.25</v>
      </c>
      <c r="N242" s="37" t="str">
        <f aca="false">IF($M242="","",TRIM(INDEX($A242:$J242,$N$6)&amp;""))</f>
        <v>ASX Australian Securities Exchange</v>
      </c>
      <c r="O242" s="37" t="str">
        <f aca="false">IF($M242="","",TRIM(INDEX($A242:$J242,$O$6)&amp;""))</f>
        <v>Event Production</v>
      </c>
      <c r="P242" s="37" t="str">
        <f aca="false">IF($M242="","",IFERROR(IF(INDEX(Settings!$B$41:$B$50,MATCH(O242,Settings!$A$41:$A$50,0))&amp;""="","UNMAPPED",INDEX(Settings!$B$41:$B$50,MATCH(O242,Settings!$A$41:$A$50,0))&amp;""),"UNMAPPED"))</f>
        <v>Production</v>
      </c>
      <c r="Q242" s="38" t="n">
        <f aca="false">IF($M242="",0,N(INDEX($A242:$J242,$Q$6)))</f>
        <v>3424</v>
      </c>
      <c r="R242" s="39" t="n">
        <f aca="false">IF($M242="","",INDEX($A242:$J242,$R$6))</f>
        <v>45958</v>
      </c>
      <c r="S242" s="37" t="str">
        <f aca="false">IF($M242="","",IFERROR(INDEX(Settings!$B$27:$B$36,MATCH(L242,Settings!$A$27:$A$36,0))&amp;"","UNMAPPED"))</f>
        <v>Won</v>
      </c>
      <c r="T242" s="37" t="str">
        <f aca="false">IF($M242="","",IF(NOT(ISNUMBER(R242)),"NO DATE",IF(S242="Won",IF(R242&gt;Settings!$B$5,"Backlog","Delivered"),IF(S242="Open",IF(R242&gt;Settings!$B$5,"Pipeline","Overdue"),IF(S242="Lost","Lost","UNMAPPED")))))</f>
        <v>Delivered</v>
      </c>
      <c r="U242" s="40" t="n">
        <f aca="false">IF(T242="Backlog",1,IF(OR(T242="Pipeline",T242="Overdue"),N(INDEX(Settings!$C$27:$C$36,MATCH(L242,Settings!$A$27:$A$36,0))),0))</f>
        <v>0</v>
      </c>
      <c r="V242" s="38" t="n">
        <f aca="false">Q242*U242</f>
        <v>0</v>
      </c>
      <c r="W242" s="41" t="n">
        <f aca="false">IF($M242="","",IF(T242="Overdue",IF(Settings!$B$8="Yes",Settings!$B$7,""),IF(ISNUMBER(R242),DATE(YEAR(R242),MONTH(R242),1),"")))</f>
        <v>45931</v>
      </c>
      <c r="X242" s="38" t="n">
        <f aca="false">IF(AND(OR(T242="Backlog",T242="Pipeline",T242="Overdue"),ISNUMBER(W242)),IF(W242&lt;=Settings!$B$6,V242,0),0)</f>
        <v>0</v>
      </c>
      <c r="Y242" s="38" t="n">
        <f aca="false">IF(AND(OR(T242="Backlog",T242="Pipeline",T242="Overdue"),ISNUMBER(W242)),IF(W242&lt;=Settings!$B$6,Q242,0),0)</f>
        <v>0</v>
      </c>
      <c r="Z242" s="38" t="n">
        <f aca="false">IF(Y242=0,0,IF(T242="Backlog",Q242,Q242*Dashboard!$C$10))</f>
        <v>0</v>
      </c>
      <c r="AA242" s="37" t="n">
        <f aca="false">IF($N242="",0,IF(COUNTIF(Dashboard!$C$13:$C$22,$N242)&gt;0,1,0))</f>
        <v>0</v>
      </c>
      <c r="AB242" s="37" t="str">
        <f aca="false">IF($N242="","",IF(COUNTIF($N$8:$N242,$N242)=1,MAX($AB$7:$AB241)+1,""))</f>
        <v/>
      </c>
    </row>
    <row r="243" customFormat="false" ht="15" hidden="false" customHeight="false" outlineLevel="0" collapsed="false">
      <c r="B243" s="32" t="s">
        <v>687</v>
      </c>
      <c r="C243" s="32" t="s">
        <v>188</v>
      </c>
      <c r="D243" s="35" t="n">
        <v>38290</v>
      </c>
      <c r="E243" s="32" t="s">
        <v>141</v>
      </c>
      <c r="F243" s="36" t="n">
        <v>46167</v>
      </c>
      <c r="G243" s="32" t="s">
        <v>688</v>
      </c>
      <c r="L243" s="37" t="str">
        <f aca="false">IF(INDEX($A243:$J243,$L$6)&lt;&gt;"",TRIM(LEFT(INDEX($A243:$J243,$L$6),FIND("(",INDEX($A243:$J243,$L$6)&amp;"(")-1)),L242)</f>
        <v>Closed Won</v>
      </c>
      <c r="M243" s="37" t="str">
        <f aca="false">IF(INDEX($A243:$J243,$M$6)="","",INDEX($A243:$J243,$M$6)&amp;"")</f>
        <v>Aware | MEL AV Fitout - 2605806</v>
      </c>
      <c r="N243" s="37" t="str">
        <f aca="false">IF($M243="","",TRIM(INDEX($A243:$J243,$N$6)&amp;""))</f>
        <v>Aware Super</v>
      </c>
      <c r="O243" s="37" t="str">
        <f aca="false">IF($M243="","",TRIM(INDEX($A243:$J243,$O$6)&amp;""))</f>
        <v>Integration</v>
      </c>
      <c r="P243" s="37" t="str">
        <f aca="false">IF($M243="","",IFERROR(IF(INDEX(Settings!$B$41:$B$50,MATCH(O243,Settings!$A$41:$A$50,0))&amp;""="","UNMAPPED",INDEX(Settings!$B$41:$B$50,MATCH(O243,Settings!$A$41:$A$50,0))&amp;""),"UNMAPPED"))</f>
        <v>Integration</v>
      </c>
      <c r="Q243" s="38" t="n">
        <f aca="false">IF($M243="",0,N(INDEX($A243:$J243,$Q$6)))</f>
        <v>38290</v>
      </c>
      <c r="R243" s="39" t="n">
        <f aca="false">IF($M243="","",INDEX($A243:$J243,$R$6))</f>
        <v>46167</v>
      </c>
      <c r="S243" s="37" t="str">
        <f aca="false">IF($M243="","",IFERROR(INDEX(Settings!$B$27:$B$36,MATCH(L243,Settings!$A$27:$A$36,0))&amp;"","UNMAPPED"))</f>
        <v>Won</v>
      </c>
      <c r="T243" s="37" t="str">
        <f aca="false">IF($M243="","",IF(NOT(ISNUMBER(R243)),"NO DATE",IF(S243="Won",IF(R243&gt;Settings!$B$5,"Backlog","Delivered"),IF(S243="Open",IF(R243&gt;Settings!$B$5,"Pipeline","Overdue"),IF(S243="Lost","Lost","UNMAPPED")))))</f>
        <v>Delivered</v>
      </c>
      <c r="U243" s="40" t="n">
        <f aca="false">IF(T243="Backlog",1,IF(OR(T243="Pipeline",T243="Overdue"),N(INDEX(Settings!$C$27:$C$36,MATCH(L243,Settings!$A$27:$A$36,0))),0))</f>
        <v>0</v>
      </c>
      <c r="V243" s="38" t="n">
        <f aca="false">Q243*U243</f>
        <v>0</v>
      </c>
      <c r="W243" s="41" t="n">
        <f aca="false">IF($M243="","",IF(T243="Overdue",IF(Settings!$B$8="Yes",Settings!$B$7,""),IF(ISNUMBER(R243),DATE(YEAR(R243),MONTH(R243),1),"")))</f>
        <v>46143</v>
      </c>
      <c r="X243" s="38" t="n">
        <f aca="false">IF(AND(OR(T243="Backlog",T243="Pipeline",T243="Overdue"),ISNUMBER(W243)),IF(W243&lt;=Settings!$B$6,V243,0),0)</f>
        <v>0</v>
      </c>
      <c r="Y243" s="38" t="n">
        <f aca="false">IF(AND(OR(T243="Backlog",T243="Pipeline",T243="Overdue"),ISNUMBER(W243)),IF(W243&lt;=Settings!$B$6,Q243,0),0)</f>
        <v>0</v>
      </c>
      <c r="Z243" s="38" t="n">
        <f aca="false">IF(Y243=0,0,IF(T243="Backlog",Q243,Q243*Dashboard!$C$10))</f>
        <v>0</v>
      </c>
      <c r="AA243" s="37" t="n">
        <f aca="false">IF($N243="",0,IF(COUNTIF(Dashboard!$C$13:$C$22,$N243)&gt;0,1,0))</f>
        <v>0</v>
      </c>
      <c r="AB243" s="37" t="str">
        <f aca="false">IF($N243="","",IF(COUNTIF($N$8:$N243,$N243)=1,MAX($AB$7:$AB242)+1,""))</f>
        <v/>
      </c>
    </row>
    <row r="244" customFormat="false" ht="15" hidden="false" customHeight="false" outlineLevel="0" collapsed="false">
      <c r="B244" s="32" t="s">
        <v>689</v>
      </c>
      <c r="C244" s="32" t="s">
        <v>690</v>
      </c>
      <c r="D244" s="35" t="n">
        <v>8848</v>
      </c>
      <c r="E244" s="32" t="s">
        <v>141</v>
      </c>
      <c r="F244" s="36" t="n">
        <v>45912</v>
      </c>
      <c r="G244" s="32" t="s">
        <v>691</v>
      </c>
      <c r="L244" s="37" t="str">
        <f aca="false">IF(INDEX($A244:$J244,$L$6)&lt;&gt;"",TRIM(LEFT(INDEX($A244:$J244,$L$6),FIND("(",INDEX($A244:$J244,$L$6)&amp;"(")-1)),L243)</f>
        <v>Closed Won</v>
      </c>
      <c r="M244" s="37" t="str">
        <f aca="false">IF(INDEX($A244:$J244,$M$6)="","",INDEX($A244:$J244,$M$6)&amp;"")</f>
        <v>Neat Bar Pro Box Sale</v>
      </c>
      <c r="N244" s="37" t="str">
        <f aca="false">IF($M244="","",TRIM(INDEX($A244:$J244,$N$6)&amp;""))</f>
        <v>Corrivium</v>
      </c>
      <c r="O244" s="37" t="str">
        <f aca="false">IF($M244="","",TRIM(INDEX($A244:$J244,$O$6)&amp;""))</f>
        <v>Integration</v>
      </c>
      <c r="P244" s="37" t="str">
        <f aca="false">IF($M244="","",IFERROR(IF(INDEX(Settings!$B$41:$B$50,MATCH(O244,Settings!$A$41:$A$50,0))&amp;""="","UNMAPPED",INDEX(Settings!$B$41:$B$50,MATCH(O244,Settings!$A$41:$A$50,0))&amp;""),"UNMAPPED"))</f>
        <v>Integration</v>
      </c>
      <c r="Q244" s="38" t="n">
        <f aca="false">IF($M244="",0,N(INDEX($A244:$J244,$Q$6)))</f>
        <v>8848</v>
      </c>
      <c r="R244" s="39" t="n">
        <f aca="false">IF($M244="","",INDEX($A244:$J244,$R$6))</f>
        <v>45912</v>
      </c>
      <c r="S244" s="37" t="str">
        <f aca="false">IF($M244="","",IFERROR(INDEX(Settings!$B$27:$B$36,MATCH(L244,Settings!$A$27:$A$36,0))&amp;"","UNMAPPED"))</f>
        <v>Won</v>
      </c>
      <c r="T244" s="37" t="str">
        <f aca="false">IF($M244="","",IF(NOT(ISNUMBER(R244)),"NO DATE",IF(S244="Won",IF(R244&gt;Settings!$B$5,"Backlog","Delivered"),IF(S244="Open",IF(R244&gt;Settings!$B$5,"Pipeline","Overdue"),IF(S244="Lost","Lost","UNMAPPED")))))</f>
        <v>Delivered</v>
      </c>
      <c r="U244" s="40" t="n">
        <f aca="false">IF(T244="Backlog",1,IF(OR(T244="Pipeline",T244="Overdue"),N(INDEX(Settings!$C$27:$C$36,MATCH(L244,Settings!$A$27:$A$36,0))),0))</f>
        <v>0</v>
      </c>
      <c r="V244" s="38" t="n">
        <f aca="false">Q244*U244</f>
        <v>0</v>
      </c>
      <c r="W244" s="41" t="n">
        <f aca="false">IF($M244="","",IF(T244="Overdue",IF(Settings!$B$8="Yes",Settings!$B$7,""),IF(ISNUMBER(R244),DATE(YEAR(R244),MONTH(R244),1),"")))</f>
        <v>45901</v>
      </c>
      <c r="X244" s="38" t="n">
        <f aca="false">IF(AND(OR(T244="Backlog",T244="Pipeline",T244="Overdue"),ISNUMBER(W244)),IF(W244&lt;=Settings!$B$6,V244,0),0)</f>
        <v>0</v>
      </c>
      <c r="Y244" s="38" t="n">
        <f aca="false">IF(AND(OR(T244="Backlog",T244="Pipeline",T244="Overdue"),ISNUMBER(W244)),IF(W244&lt;=Settings!$B$6,Q244,0),0)</f>
        <v>0</v>
      </c>
      <c r="Z244" s="38" t="n">
        <f aca="false">IF(Y244=0,0,IF(T244="Backlog",Q244,Q244*Dashboard!$C$10))</f>
        <v>0</v>
      </c>
      <c r="AA244" s="37" t="n">
        <f aca="false">IF($N244="",0,IF(COUNTIF(Dashboard!$C$13:$C$22,$N244)&gt;0,1,0))</f>
        <v>0</v>
      </c>
      <c r="AB244" s="37" t="n">
        <f aca="false">IF($N244="","",IF(COUNTIF($N$8:$N244,$N244)=1,MAX($AB$7:$AB243)+1,""))</f>
        <v>72</v>
      </c>
    </row>
    <row r="245" customFormat="false" ht="15" hidden="false" customHeight="false" outlineLevel="0" collapsed="false">
      <c r="B245" s="32" t="s">
        <v>692</v>
      </c>
      <c r="C245" s="32" t="s">
        <v>194</v>
      </c>
      <c r="D245" s="35" t="n">
        <v>16762</v>
      </c>
      <c r="E245" s="32" t="s">
        <v>145</v>
      </c>
      <c r="F245" s="36" t="n">
        <v>46098</v>
      </c>
      <c r="G245" s="32" t="s">
        <v>693</v>
      </c>
      <c r="L245" s="37" t="str">
        <f aca="false">IF(INDEX($A245:$J245,$L$6)&lt;&gt;"",TRIM(LEFT(INDEX($A245:$J245,$L$6),FIND("(",INDEX($A245:$J245,$L$6)&amp;"(")-1)),L244)</f>
        <v>Closed Won</v>
      </c>
      <c r="M245" s="37" t="str">
        <f aca="false">IF(INDEX($A245:$J245,$M$6)="","",INDEX($A245:$J245,$M$6)&amp;"")</f>
        <v>Ventia - Supply Partner Conference - 25.3.26</v>
      </c>
      <c r="N245" s="37" t="str">
        <f aca="false">IF($M245="","",TRIM(INDEX($A245:$J245,$N$6)&amp;""))</f>
        <v>Ventia</v>
      </c>
      <c r="O245" s="37" t="str">
        <f aca="false">IF($M245="","",TRIM(INDEX($A245:$J245,$O$6)&amp;""))</f>
        <v>Event Production</v>
      </c>
      <c r="P245" s="37" t="str">
        <f aca="false">IF($M245="","",IFERROR(IF(INDEX(Settings!$B$41:$B$50,MATCH(O245,Settings!$A$41:$A$50,0))&amp;""="","UNMAPPED",INDEX(Settings!$B$41:$B$50,MATCH(O245,Settings!$A$41:$A$50,0))&amp;""),"UNMAPPED"))</f>
        <v>Production</v>
      </c>
      <c r="Q245" s="38" t="n">
        <f aca="false">IF($M245="",0,N(INDEX($A245:$J245,$Q$6)))</f>
        <v>16762</v>
      </c>
      <c r="R245" s="39" t="n">
        <f aca="false">IF($M245="","",INDEX($A245:$J245,$R$6))</f>
        <v>46098</v>
      </c>
      <c r="S245" s="37" t="str">
        <f aca="false">IF($M245="","",IFERROR(INDEX(Settings!$B$27:$B$36,MATCH(L245,Settings!$A$27:$A$36,0))&amp;"","UNMAPPED"))</f>
        <v>Won</v>
      </c>
      <c r="T245" s="37" t="str">
        <f aca="false">IF($M245="","",IF(NOT(ISNUMBER(R245)),"NO DATE",IF(S245="Won",IF(R245&gt;Settings!$B$5,"Backlog","Delivered"),IF(S245="Open",IF(R245&gt;Settings!$B$5,"Pipeline","Overdue"),IF(S245="Lost","Lost","UNMAPPED")))))</f>
        <v>Delivered</v>
      </c>
      <c r="U245" s="40" t="n">
        <f aca="false">IF(T245="Backlog",1,IF(OR(T245="Pipeline",T245="Overdue"),N(INDEX(Settings!$C$27:$C$36,MATCH(L245,Settings!$A$27:$A$36,0))),0))</f>
        <v>0</v>
      </c>
      <c r="V245" s="38" t="n">
        <f aca="false">Q245*U245</f>
        <v>0</v>
      </c>
      <c r="W245" s="41" t="n">
        <f aca="false">IF($M245="","",IF(T245="Overdue",IF(Settings!$B$8="Yes",Settings!$B$7,""),IF(ISNUMBER(R245),DATE(YEAR(R245),MONTH(R245),1),"")))</f>
        <v>46082</v>
      </c>
      <c r="X245" s="38" t="n">
        <f aca="false">IF(AND(OR(T245="Backlog",T245="Pipeline",T245="Overdue"),ISNUMBER(W245)),IF(W245&lt;=Settings!$B$6,V245,0),0)</f>
        <v>0</v>
      </c>
      <c r="Y245" s="38" t="n">
        <f aca="false">IF(AND(OR(T245="Backlog",T245="Pipeline",T245="Overdue"),ISNUMBER(W245)),IF(W245&lt;=Settings!$B$6,Q245,0),0)</f>
        <v>0</v>
      </c>
      <c r="Z245" s="38" t="n">
        <f aca="false">IF(Y245=0,0,IF(T245="Backlog",Q245,Q245*Dashboard!$C$10))</f>
        <v>0</v>
      </c>
      <c r="AA245" s="37" t="n">
        <f aca="false">IF($N245="",0,IF(COUNTIF(Dashboard!$C$13:$C$22,$N245)&gt;0,1,0))</f>
        <v>0</v>
      </c>
      <c r="AB245" s="37" t="str">
        <f aca="false">IF($N245="","",IF(COUNTIF($N$8:$N245,$N245)=1,MAX($AB$7:$AB244)+1,""))</f>
        <v/>
      </c>
    </row>
    <row r="246" customFormat="false" ht="15" hidden="false" customHeight="false" outlineLevel="0" collapsed="false">
      <c r="B246" s="32" t="s">
        <v>694</v>
      </c>
      <c r="C246" s="32" t="s">
        <v>695</v>
      </c>
      <c r="D246" s="35" t="n">
        <v>145000</v>
      </c>
      <c r="E246" s="32" t="s">
        <v>180</v>
      </c>
      <c r="F246" s="36" t="n">
        <v>46101</v>
      </c>
      <c r="G246" s="32" t="s">
        <v>696</v>
      </c>
      <c r="L246" s="37" t="str">
        <f aca="false">IF(INDEX($A246:$J246,$L$6)&lt;&gt;"",TRIM(LEFT(INDEX($A246:$J246,$L$6),FIND("(",INDEX($A246:$J246,$L$6)&amp;"(")-1)),L245)</f>
        <v>Closed Won</v>
      </c>
      <c r="M246" s="37" t="str">
        <f aca="false">IF(INDEX($A246:$J246,$M$6)="","",INDEX($A246:$J246,$M$6)&amp;"")</f>
        <v>ABS AV Support (Canberra) - 26021602</v>
      </c>
      <c r="N246" s="37" t="str">
        <f aca="false">IF($M246="","",TRIM(INDEX($A246:$J246,$N$6)&amp;""))</f>
        <v>Generation-E</v>
      </c>
      <c r="O246" s="37" t="str">
        <f aca="false">IF($M246="","",TRIM(INDEX($A246:$J246,$O$6)&amp;""))</f>
        <v>Support</v>
      </c>
      <c r="P246" s="37" t="str">
        <f aca="false">IF($M246="","",IFERROR(IF(INDEX(Settings!$B$41:$B$50,MATCH(O246,Settings!$A$41:$A$50,0))&amp;""="","UNMAPPED",INDEX(Settings!$B$41:$B$50,MATCH(O246,Settings!$A$41:$A$50,0))&amp;""),"UNMAPPED"))</f>
        <v>Onsite</v>
      </c>
      <c r="Q246" s="38" t="n">
        <f aca="false">IF($M246="",0,N(INDEX($A246:$J246,$Q$6)))</f>
        <v>145000</v>
      </c>
      <c r="R246" s="39" t="n">
        <f aca="false">IF($M246="","",INDEX($A246:$J246,$R$6))</f>
        <v>46101</v>
      </c>
      <c r="S246" s="37" t="str">
        <f aca="false">IF($M246="","",IFERROR(INDEX(Settings!$B$27:$B$36,MATCH(L246,Settings!$A$27:$A$36,0))&amp;"","UNMAPPED"))</f>
        <v>Won</v>
      </c>
      <c r="T246" s="37" t="str">
        <f aca="false">IF($M246="","",IF(NOT(ISNUMBER(R246)),"NO DATE",IF(S246="Won",IF(R246&gt;Settings!$B$5,"Backlog","Delivered"),IF(S246="Open",IF(R246&gt;Settings!$B$5,"Pipeline","Overdue"),IF(S246="Lost","Lost","UNMAPPED")))))</f>
        <v>Delivered</v>
      </c>
      <c r="U246" s="40" t="n">
        <f aca="false">IF(T246="Backlog",1,IF(OR(T246="Pipeline",T246="Overdue"),N(INDEX(Settings!$C$27:$C$36,MATCH(L246,Settings!$A$27:$A$36,0))),0))</f>
        <v>0</v>
      </c>
      <c r="V246" s="38" t="n">
        <f aca="false">Q246*U246</f>
        <v>0</v>
      </c>
      <c r="W246" s="41" t="n">
        <f aca="false">IF($M246="","",IF(T246="Overdue",IF(Settings!$B$8="Yes",Settings!$B$7,""),IF(ISNUMBER(R246),DATE(YEAR(R246),MONTH(R246),1),"")))</f>
        <v>46082</v>
      </c>
      <c r="X246" s="38" t="n">
        <f aca="false">IF(AND(OR(T246="Backlog",T246="Pipeline",T246="Overdue"),ISNUMBER(W246)),IF(W246&lt;=Settings!$B$6,V246,0),0)</f>
        <v>0</v>
      </c>
      <c r="Y246" s="38" t="n">
        <f aca="false">IF(AND(OR(T246="Backlog",T246="Pipeline",T246="Overdue"),ISNUMBER(W246)),IF(W246&lt;=Settings!$B$6,Q246,0),0)</f>
        <v>0</v>
      </c>
      <c r="Z246" s="38" t="n">
        <f aca="false">IF(Y246=0,0,IF(T246="Backlog",Q246,Q246*Dashboard!$C$10))</f>
        <v>0</v>
      </c>
      <c r="AA246" s="37" t="n">
        <f aca="false">IF($N246="",0,IF(COUNTIF(Dashboard!$C$13:$C$22,$N246)&gt;0,1,0))</f>
        <v>0</v>
      </c>
      <c r="AB246" s="37" t="n">
        <f aca="false">IF($N246="","",IF(COUNTIF($N$8:$N246,$N246)=1,MAX($AB$7:$AB245)+1,""))</f>
        <v>73</v>
      </c>
    </row>
    <row r="247" customFormat="false" ht="15" hidden="false" customHeight="false" outlineLevel="0" collapsed="false">
      <c r="B247" s="32" t="s">
        <v>697</v>
      </c>
      <c r="C247" s="32" t="s">
        <v>154</v>
      </c>
      <c r="D247" s="35" t="n">
        <v>4250</v>
      </c>
      <c r="E247" s="32" t="s">
        <v>180</v>
      </c>
      <c r="F247" s="36" t="n">
        <v>46234</v>
      </c>
      <c r="G247" s="32" t="s">
        <v>698</v>
      </c>
      <c r="L247" s="37" t="str">
        <f aca="false">IF(INDEX($A247:$J247,$L$6)&lt;&gt;"",TRIM(LEFT(INDEX($A247:$J247,$L$6),FIND("(",INDEX($A247:$J247,$L$6)&amp;"(")-1)),L246)</f>
        <v>Closed Won</v>
      </c>
      <c r="M247" s="37" t="str">
        <f aca="false">IF(INDEX($A247:$J247,$M$6)="","",INDEX($A247:$J247,$M$6)&amp;"")</f>
        <v>Pool of hours for National AV Support - 20JULY26</v>
      </c>
      <c r="N247" s="37" t="str">
        <f aca="false">IF($M247="","",TRIM(INDEX($A247:$J247,$N$6)&amp;""))</f>
        <v>PWC</v>
      </c>
      <c r="O247" s="37" t="str">
        <f aca="false">IF($M247="","",TRIM(INDEX($A247:$J247,$O$6)&amp;""))</f>
        <v>Support</v>
      </c>
      <c r="P247" s="37" t="str">
        <f aca="false">IF($M247="","",IFERROR(IF(INDEX(Settings!$B$41:$B$50,MATCH(O247,Settings!$A$41:$A$50,0))&amp;""="","UNMAPPED",INDEX(Settings!$B$41:$B$50,MATCH(O247,Settings!$A$41:$A$50,0))&amp;""),"UNMAPPED"))</f>
        <v>Onsite</v>
      </c>
      <c r="Q247" s="38" t="n">
        <f aca="false">IF($M247="",0,N(INDEX($A247:$J247,$Q$6)))</f>
        <v>4250</v>
      </c>
      <c r="R247" s="39" t="n">
        <f aca="false">IF($M247="","",INDEX($A247:$J247,$R$6))</f>
        <v>46234</v>
      </c>
      <c r="S247" s="37" t="str">
        <f aca="false">IF($M247="","",IFERROR(INDEX(Settings!$B$27:$B$36,MATCH(L247,Settings!$A$27:$A$36,0))&amp;"","UNMAPPED"))</f>
        <v>Won</v>
      </c>
      <c r="T247" s="37" t="str">
        <f aca="false">IF($M247="","",IF(NOT(ISNUMBER(R247)),"NO DATE",IF(S247="Won",IF(R247&gt;Settings!$B$5,"Backlog","Delivered"),IF(S247="Open",IF(R247&gt;Settings!$B$5,"Pipeline","Overdue"),IF(S247="Lost","Lost","UNMAPPED")))))</f>
        <v>Delivered</v>
      </c>
      <c r="U247" s="40" t="n">
        <f aca="false">IF(T247="Backlog",1,IF(OR(T247="Pipeline",T247="Overdue"),N(INDEX(Settings!$C$27:$C$36,MATCH(L247,Settings!$A$27:$A$36,0))),0))</f>
        <v>0</v>
      </c>
      <c r="V247" s="38" t="n">
        <f aca="false">Q247*U247</f>
        <v>0</v>
      </c>
      <c r="W247" s="41" t="n">
        <f aca="false">IF($M247="","",IF(T247="Overdue",IF(Settings!$B$8="Yes",Settings!$B$7,""),IF(ISNUMBER(R247),DATE(YEAR(R247),MONTH(R247),1),"")))</f>
        <v>46204</v>
      </c>
      <c r="X247" s="38" t="n">
        <f aca="false">IF(AND(OR(T247="Backlog",T247="Pipeline",T247="Overdue"),ISNUMBER(W247)),IF(W247&lt;=Settings!$B$6,V247,0),0)</f>
        <v>0</v>
      </c>
      <c r="Y247" s="38" t="n">
        <f aca="false">IF(AND(OR(T247="Backlog",T247="Pipeline",T247="Overdue"),ISNUMBER(W247)),IF(W247&lt;=Settings!$B$6,Q247,0),0)</f>
        <v>0</v>
      </c>
      <c r="Z247" s="38" t="n">
        <f aca="false">IF(Y247=0,0,IF(T247="Backlog",Q247,Q247*Dashboard!$C$10))</f>
        <v>0</v>
      </c>
      <c r="AA247" s="37" t="n">
        <f aca="false">IF($N247="",0,IF(COUNTIF(Dashboard!$C$13:$C$22,$N247)&gt;0,1,0))</f>
        <v>0</v>
      </c>
      <c r="AB247" s="37" t="str">
        <f aca="false">IF($N247="","",IF(COUNTIF($N$8:$N247,$N247)=1,MAX($AB$7:$AB246)+1,""))</f>
        <v/>
      </c>
    </row>
    <row r="248" customFormat="false" ht="15" hidden="false" customHeight="false" outlineLevel="0" collapsed="false">
      <c r="B248" s="32" t="s">
        <v>699</v>
      </c>
      <c r="C248" s="32" t="s">
        <v>244</v>
      </c>
      <c r="D248" s="35" t="n">
        <v>380</v>
      </c>
      <c r="E248" s="32" t="s">
        <v>145</v>
      </c>
      <c r="F248" s="36" t="n">
        <v>45860</v>
      </c>
      <c r="G248" s="32" t="s">
        <v>700</v>
      </c>
      <c r="L248" s="37" t="str">
        <f aca="false">IF(INDEX($A248:$J248,$L$6)&lt;&gt;"",TRIM(LEFT(INDEX($A248:$J248,$L$6),FIND("(",INDEX($A248:$J248,$L$6)&amp;"(")-1)),L247)</f>
        <v>Closed Won</v>
      </c>
      <c r="M248" s="37" t="str">
        <f aca="false">IF(INDEX($A248:$J248,$M$6)="","",INDEX($A248:$J248,$M$6)&amp;"")</f>
        <v>APA - 22.7.25 Town Hall</v>
      </c>
      <c r="N248" s="37" t="str">
        <f aca="false">IF($M248="","",TRIM(INDEX($A248:$J248,$N$6)&amp;""))</f>
        <v>APA</v>
      </c>
      <c r="O248" s="37" t="str">
        <f aca="false">IF($M248="","",TRIM(INDEX($A248:$J248,$O$6)&amp;""))</f>
        <v>Event Production</v>
      </c>
      <c r="P248" s="37" t="str">
        <f aca="false">IF($M248="","",IFERROR(IF(INDEX(Settings!$B$41:$B$50,MATCH(O248,Settings!$A$41:$A$50,0))&amp;""="","UNMAPPED",INDEX(Settings!$B$41:$B$50,MATCH(O248,Settings!$A$41:$A$50,0))&amp;""),"UNMAPPED"))</f>
        <v>Production</v>
      </c>
      <c r="Q248" s="38" t="n">
        <f aca="false">IF($M248="",0,N(INDEX($A248:$J248,$Q$6)))</f>
        <v>380</v>
      </c>
      <c r="R248" s="39" t="n">
        <f aca="false">IF($M248="","",INDEX($A248:$J248,$R$6))</f>
        <v>45860</v>
      </c>
      <c r="S248" s="37" t="str">
        <f aca="false">IF($M248="","",IFERROR(INDEX(Settings!$B$27:$B$36,MATCH(L248,Settings!$A$27:$A$36,0))&amp;"","UNMAPPED"))</f>
        <v>Won</v>
      </c>
      <c r="T248" s="37" t="str">
        <f aca="false">IF($M248="","",IF(NOT(ISNUMBER(R248)),"NO DATE",IF(S248="Won",IF(R248&gt;Settings!$B$5,"Backlog","Delivered"),IF(S248="Open",IF(R248&gt;Settings!$B$5,"Pipeline","Overdue"),IF(S248="Lost","Lost","UNMAPPED")))))</f>
        <v>Delivered</v>
      </c>
      <c r="U248" s="40" t="n">
        <f aca="false">IF(T248="Backlog",1,IF(OR(T248="Pipeline",T248="Overdue"),N(INDEX(Settings!$C$27:$C$36,MATCH(L248,Settings!$A$27:$A$36,0))),0))</f>
        <v>0</v>
      </c>
      <c r="V248" s="38" t="n">
        <f aca="false">Q248*U248</f>
        <v>0</v>
      </c>
      <c r="W248" s="41" t="n">
        <f aca="false">IF($M248="","",IF(T248="Overdue",IF(Settings!$B$8="Yes",Settings!$B$7,""),IF(ISNUMBER(R248),DATE(YEAR(R248),MONTH(R248),1),"")))</f>
        <v>45839</v>
      </c>
      <c r="X248" s="38" t="n">
        <f aca="false">IF(AND(OR(T248="Backlog",T248="Pipeline",T248="Overdue"),ISNUMBER(W248)),IF(W248&lt;=Settings!$B$6,V248,0),0)</f>
        <v>0</v>
      </c>
      <c r="Y248" s="38" t="n">
        <f aca="false">IF(AND(OR(T248="Backlog",T248="Pipeline",T248="Overdue"),ISNUMBER(W248)),IF(W248&lt;=Settings!$B$6,Q248,0),0)</f>
        <v>0</v>
      </c>
      <c r="Z248" s="38" t="n">
        <f aca="false">IF(Y248=0,0,IF(T248="Backlog",Q248,Q248*Dashboard!$C$10))</f>
        <v>0</v>
      </c>
      <c r="AA248" s="37" t="n">
        <f aca="false">IF($N248="",0,IF(COUNTIF(Dashboard!$C$13:$C$22,$N248)&gt;0,1,0))</f>
        <v>0</v>
      </c>
      <c r="AB248" s="37" t="str">
        <f aca="false">IF($N248="","",IF(COUNTIF($N$8:$N248,$N248)=1,MAX($AB$7:$AB247)+1,""))</f>
        <v/>
      </c>
    </row>
    <row r="249" customFormat="false" ht="15" hidden="false" customHeight="false" outlineLevel="0" collapsed="false">
      <c r="B249" s="32" t="s">
        <v>701</v>
      </c>
      <c r="C249" s="32" t="s">
        <v>191</v>
      </c>
      <c r="D249" s="35" t="n">
        <v>7000</v>
      </c>
      <c r="E249" s="32" t="s">
        <v>262</v>
      </c>
      <c r="F249" s="36" t="n">
        <v>45991</v>
      </c>
      <c r="G249" s="32" t="s">
        <v>702</v>
      </c>
      <c r="L249" s="37" t="str">
        <f aca="false">IF(INDEX($A249:$J249,$L$6)&lt;&gt;"",TRIM(LEFT(INDEX($A249:$J249,$L$6),FIND("(",INDEX($A249:$J249,$L$6)&amp;"(")-1)),L248)</f>
        <v>Closed Won</v>
      </c>
      <c r="M249" s="37" t="str">
        <f aca="false">IF(INDEX($A249:$J249,$M$6)="","",INDEX($A249:$J249,$M$6)&amp;"")</f>
        <v>CBA Live Event Support - Nov 2025</v>
      </c>
      <c r="N249" s="37" t="str">
        <f aca="false">IF($M249="","",TRIM(INDEX($A249:$J249,$N$6)&amp;""))</f>
        <v>Commonwealth Bank Australia (CBA)</v>
      </c>
      <c r="O249" s="37" t="str">
        <f aca="false">IF($M249="","",TRIM(INDEX($A249:$J249,$O$6)&amp;""))</f>
        <v>Multi-Service</v>
      </c>
      <c r="P249" s="37" t="str">
        <f aca="false">IF($M249="","",IFERROR(IF(INDEX(Settings!$B$41:$B$50,MATCH(O249,Settings!$A$41:$A$50,0))&amp;""="","UNMAPPED",INDEX(Settings!$B$41:$B$50,MATCH(O249,Settings!$A$41:$A$50,0))&amp;""),"UNMAPPED"))</f>
        <v>Unallocated</v>
      </c>
      <c r="Q249" s="38" t="n">
        <f aca="false">IF($M249="",0,N(INDEX($A249:$J249,$Q$6)))</f>
        <v>7000</v>
      </c>
      <c r="R249" s="39" t="n">
        <f aca="false">IF($M249="","",INDEX($A249:$J249,$R$6))</f>
        <v>45991</v>
      </c>
      <c r="S249" s="37" t="str">
        <f aca="false">IF($M249="","",IFERROR(INDEX(Settings!$B$27:$B$36,MATCH(L249,Settings!$A$27:$A$36,0))&amp;"","UNMAPPED"))</f>
        <v>Won</v>
      </c>
      <c r="T249" s="37" t="str">
        <f aca="false">IF($M249="","",IF(NOT(ISNUMBER(R249)),"NO DATE",IF(S249="Won",IF(R249&gt;Settings!$B$5,"Backlog","Delivered"),IF(S249="Open",IF(R249&gt;Settings!$B$5,"Pipeline","Overdue"),IF(S249="Lost","Lost","UNMAPPED")))))</f>
        <v>Delivered</v>
      </c>
      <c r="U249" s="40" t="n">
        <f aca="false">IF(T249="Backlog",1,IF(OR(T249="Pipeline",T249="Overdue"),N(INDEX(Settings!$C$27:$C$36,MATCH(L249,Settings!$A$27:$A$36,0))),0))</f>
        <v>0</v>
      </c>
      <c r="V249" s="38" t="n">
        <f aca="false">Q249*U249</f>
        <v>0</v>
      </c>
      <c r="W249" s="41" t="n">
        <f aca="false">IF($M249="","",IF(T249="Overdue",IF(Settings!$B$8="Yes",Settings!$B$7,""),IF(ISNUMBER(R249),DATE(YEAR(R249),MONTH(R249),1),"")))</f>
        <v>45962</v>
      </c>
      <c r="X249" s="38" t="n">
        <f aca="false">IF(AND(OR(T249="Backlog",T249="Pipeline",T249="Overdue"),ISNUMBER(W249)),IF(W249&lt;=Settings!$B$6,V249,0),0)</f>
        <v>0</v>
      </c>
      <c r="Y249" s="38" t="n">
        <f aca="false">IF(AND(OR(T249="Backlog",T249="Pipeline",T249="Overdue"),ISNUMBER(W249)),IF(W249&lt;=Settings!$B$6,Q249,0),0)</f>
        <v>0</v>
      </c>
      <c r="Z249" s="38" t="n">
        <f aca="false">IF(Y249=0,0,IF(T249="Backlog",Q249,Q249*Dashboard!$C$10))</f>
        <v>0</v>
      </c>
      <c r="AA249" s="37" t="n">
        <f aca="false">IF($N249="",0,IF(COUNTIF(Dashboard!$C$13:$C$22,$N249)&gt;0,1,0))</f>
        <v>0</v>
      </c>
      <c r="AB249" s="37" t="str">
        <f aca="false">IF($N249="","",IF(COUNTIF($N$8:$N249,$N249)=1,MAX($AB$7:$AB248)+1,""))</f>
        <v/>
      </c>
    </row>
    <row r="250" customFormat="false" ht="15" hidden="false" customHeight="false" outlineLevel="0" collapsed="false">
      <c r="B250" s="32" t="s">
        <v>703</v>
      </c>
      <c r="C250" s="32" t="s">
        <v>169</v>
      </c>
      <c r="D250" s="35" t="n">
        <v>7906</v>
      </c>
      <c r="E250" s="32" t="s">
        <v>145</v>
      </c>
      <c r="F250" s="36" t="n">
        <v>46162</v>
      </c>
      <c r="G250" s="32" t="s">
        <v>704</v>
      </c>
      <c r="L250" s="37" t="str">
        <f aca="false">IF(INDEX($A250:$J250,$L$6)&lt;&gt;"",TRIM(LEFT(INDEX($A250:$J250,$L$6),FIND("(",INDEX($A250:$J250,$L$6)&amp;"(")-1)),L249)</f>
        <v>Closed Won</v>
      </c>
      <c r="M250" s="37" t="str">
        <f aca="false">IF(INDEX($A250:$J250,$M$6)="","",INDEX($A250:$J250,$M$6)&amp;"")</f>
        <v>MUFG - EDV Investor Day - 27.5.26</v>
      </c>
      <c r="N250" s="37" t="str">
        <f aca="false">IF($M250="","",TRIM(INDEX($A250:$J250,$N$6)&amp;""))</f>
        <v>MUFG IR / Orient Capital</v>
      </c>
      <c r="O250" s="37" t="str">
        <f aca="false">IF($M250="","",TRIM(INDEX($A250:$J250,$O$6)&amp;""))</f>
        <v>Event Production</v>
      </c>
      <c r="P250" s="37" t="str">
        <f aca="false">IF($M250="","",IFERROR(IF(INDEX(Settings!$B$41:$B$50,MATCH(O250,Settings!$A$41:$A$50,0))&amp;""="","UNMAPPED",INDEX(Settings!$B$41:$B$50,MATCH(O250,Settings!$A$41:$A$50,0))&amp;""),"UNMAPPED"))</f>
        <v>Production</v>
      </c>
      <c r="Q250" s="38" t="n">
        <f aca="false">IF($M250="",0,N(INDEX($A250:$J250,$Q$6)))</f>
        <v>7906</v>
      </c>
      <c r="R250" s="39" t="n">
        <f aca="false">IF($M250="","",INDEX($A250:$J250,$R$6))</f>
        <v>46162</v>
      </c>
      <c r="S250" s="37" t="str">
        <f aca="false">IF($M250="","",IFERROR(INDEX(Settings!$B$27:$B$36,MATCH(L250,Settings!$A$27:$A$36,0))&amp;"","UNMAPPED"))</f>
        <v>Won</v>
      </c>
      <c r="T250" s="37" t="str">
        <f aca="false">IF($M250="","",IF(NOT(ISNUMBER(R250)),"NO DATE",IF(S250="Won",IF(R250&gt;Settings!$B$5,"Backlog","Delivered"),IF(S250="Open",IF(R250&gt;Settings!$B$5,"Pipeline","Overdue"),IF(S250="Lost","Lost","UNMAPPED")))))</f>
        <v>Delivered</v>
      </c>
      <c r="U250" s="40" t="n">
        <f aca="false">IF(T250="Backlog",1,IF(OR(T250="Pipeline",T250="Overdue"),N(INDEX(Settings!$C$27:$C$36,MATCH(L250,Settings!$A$27:$A$36,0))),0))</f>
        <v>0</v>
      </c>
      <c r="V250" s="38" t="n">
        <f aca="false">Q250*U250</f>
        <v>0</v>
      </c>
      <c r="W250" s="41" t="n">
        <f aca="false">IF($M250="","",IF(T250="Overdue",IF(Settings!$B$8="Yes",Settings!$B$7,""),IF(ISNUMBER(R250),DATE(YEAR(R250),MONTH(R250),1),"")))</f>
        <v>46143</v>
      </c>
      <c r="X250" s="38" t="n">
        <f aca="false">IF(AND(OR(T250="Backlog",T250="Pipeline",T250="Overdue"),ISNUMBER(W250)),IF(W250&lt;=Settings!$B$6,V250,0),0)</f>
        <v>0</v>
      </c>
      <c r="Y250" s="38" t="n">
        <f aca="false">IF(AND(OR(T250="Backlog",T250="Pipeline",T250="Overdue"),ISNUMBER(W250)),IF(W250&lt;=Settings!$B$6,Q250,0),0)</f>
        <v>0</v>
      </c>
      <c r="Z250" s="38" t="n">
        <f aca="false">IF(Y250=0,0,IF(T250="Backlog",Q250,Q250*Dashboard!$C$10))</f>
        <v>0</v>
      </c>
      <c r="AA250" s="37" t="n">
        <f aca="false">IF($N250="",0,IF(COUNTIF(Dashboard!$C$13:$C$22,$N250)&gt;0,1,0))</f>
        <v>0</v>
      </c>
      <c r="AB250" s="37" t="str">
        <f aca="false">IF($N250="","",IF(COUNTIF($N$8:$N250,$N250)=1,MAX($AB$7:$AB249)+1,""))</f>
        <v/>
      </c>
    </row>
    <row r="251" customFormat="false" ht="15" hidden="false" customHeight="false" outlineLevel="0" collapsed="false">
      <c r="B251" s="32" t="s">
        <v>705</v>
      </c>
      <c r="C251" s="32" t="s">
        <v>267</v>
      </c>
      <c r="D251" s="35" t="n">
        <v>460</v>
      </c>
      <c r="E251" s="32" t="s">
        <v>145</v>
      </c>
      <c r="F251" s="36" t="n">
        <v>46248</v>
      </c>
      <c r="G251" s="32" t="s">
        <v>706</v>
      </c>
      <c r="L251" s="37" t="str">
        <f aca="false">IF(INDEX($A251:$J251,$L$6)&lt;&gt;"",TRIM(LEFT(INDEX($A251:$J251,$L$6),FIND("(",INDEX($A251:$J251,$L$6)&amp;"(")-1)),L250)</f>
        <v>Closed Won</v>
      </c>
      <c r="M251" s="37" t="str">
        <f aca="false">IF(INDEX($A251:$J251,$M$6)="","",INDEX($A251:$J251,$M$6)&amp;"")</f>
        <v>Dimensional - AV Support - 19.8.26</v>
      </c>
      <c r="N251" s="37" t="str">
        <f aca="false">IF($M251="","",TRIM(INDEX($A251:$J251,$N$6)&amp;""))</f>
        <v>Dimensional Fund Advisors</v>
      </c>
      <c r="O251" s="37" t="str">
        <f aca="false">IF($M251="","",TRIM(INDEX($A251:$J251,$O$6)&amp;""))</f>
        <v>Event Production</v>
      </c>
      <c r="P251" s="37" t="str">
        <f aca="false">IF($M251="","",IFERROR(IF(INDEX(Settings!$B$41:$B$50,MATCH(O251,Settings!$A$41:$A$50,0))&amp;""="","UNMAPPED",INDEX(Settings!$B$41:$B$50,MATCH(O251,Settings!$A$41:$A$50,0))&amp;""),"UNMAPPED"))</f>
        <v>Production</v>
      </c>
      <c r="Q251" s="38" t="n">
        <f aca="false">IF($M251="",0,N(INDEX($A251:$J251,$Q$6)))</f>
        <v>460</v>
      </c>
      <c r="R251" s="39" t="n">
        <f aca="false">IF($M251="","",INDEX($A251:$J251,$R$6))</f>
        <v>46248</v>
      </c>
      <c r="S251" s="37" t="str">
        <f aca="false">IF($M251="","",IFERROR(INDEX(Settings!$B$27:$B$36,MATCH(L251,Settings!$A$27:$A$36,0))&amp;"","UNMAPPED"))</f>
        <v>Won</v>
      </c>
      <c r="T251" s="37" t="str">
        <f aca="false">IF($M251="","",IF(NOT(ISNUMBER(R251)),"NO DATE",IF(S251="Won",IF(R251&gt;Settings!$B$5,"Backlog","Delivered"),IF(S251="Open",IF(R251&gt;Settings!$B$5,"Pipeline","Overdue"),IF(S251="Lost","Lost","UNMAPPED")))))</f>
        <v>Delivered</v>
      </c>
      <c r="U251" s="40" t="n">
        <f aca="false">IF(T251="Backlog",1,IF(OR(T251="Pipeline",T251="Overdue"),N(INDEX(Settings!$C$27:$C$36,MATCH(L251,Settings!$A$27:$A$36,0))),0))</f>
        <v>0</v>
      </c>
      <c r="V251" s="38" t="n">
        <f aca="false">Q251*U251</f>
        <v>0</v>
      </c>
      <c r="W251" s="41" t="n">
        <f aca="false">IF($M251="","",IF(T251="Overdue",IF(Settings!$B$8="Yes",Settings!$B$7,""),IF(ISNUMBER(R251),DATE(YEAR(R251),MONTH(R251),1),"")))</f>
        <v>46235</v>
      </c>
      <c r="X251" s="38" t="n">
        <f aca="false">IF(AND(OR(T251="Backlog",T251="Pipeline",T251="Overdue"),ISNUMBER(W251)),IF(W251&lt;=Settings!$B$6,V251,0),0)</f>
        <v>0</v>
      </c>
      <c r="Y251" s="38" t="n">
        <f aca="false">IF(AND(OR(T251="Backlog",T251="Pipeline",T251="Overdue"),ISNUMBER(W251)),IF(W251&lt;=Settings!$B$6,Q251,0),0)</f>
        <v>0</v>
      </c>
      <c r="Z251" s="38" t="n">
        <f aca="false">IF(Y251=0,0,IF(T251="Backlog",Q251,Q251*Dashboard!$C$10))</f>
        <v>0</v>
      </c>
      <c r="AA251" s="37" t="n">
        <f aca="false">IF($N251="",0,IF(COUNTIF(Dashboard!$C$13:$C$22,$N251)&gt;0,1,0))</f>
        <v>0</v>
      </c>
      <c r="AB251" s="37" t="str">
        <f aca="false">IF($N251="","",IF(COUNTIF($N$8:$N251,$N251)=1,MAX($AB$7:$AB250)+1,""))</f>
        <v/>
      </c>
    </row>
    <row r="252" customFormat="false" ht="15" hidden="false" customHeight="false" outlineLevel="0" collapsed="false">
      <c r="B252" s="32" t="s">
        <v>707</v>
      </c>
      <c r="C252" s="32" t="s">
        <v>140</v>
      </c>
      <c r="D252" s="35" t="n">
        <v>638</v>
      </c>
      <c r="E252" s="32" t="s">
        <v>180</v>
      </c>
      <c r="F252" s="36" t="n">
        <v>46273</v>
      </c>
      <c r="G252" s="32" t="s">
        <v>708</v>
      </c>
      <c r="L252" s="37" t="str">
        <f aca="false">IF(INDEX($A252:$J252,$L$6)&lt;&gt;"",TRIM(LEFT(INDEX($A252:$J252,$L$6),FIND("(",INDEX($A252:$J252,$L$6)&amp;"(")-1)),L251)</f>
        <v>Closed Won</v>
      </c>
      <c r="M252" s="37" t="str">
        <f aca="false">IF(INDEX($A252:$J252,$M$6)="","",INDEX($A252:$J252,$M$6)&amp;"")</f>
        <v>Tech Support - ARC AI Symposium</v>
      </c>
      <c r="N252" s="37" t="str">
        <f aca="false">IF($M252="","",TRIM(INDEX($A252:$J252,$N$6)&amp;""))</f>
        <v>Deloitte Australia</v>
      </c>
      <c r="O252" s="37" t="str">
        <f aca="false">IF($M252="","",TRIM(INDEX($A252:$J252,$O$6)&amp;""))</f>
        <v>Support</v>
      </c>
      <c r="P252" s="37" t="str">
        <f aca="false">IF($M252="","",IFERROR(IF(INDEX(Settings!$B$41:$B$50,MATCH(O252,Settings!$A$41:$A$50,0))&amp;""="","UNMAPPED",INDEX(Settings!$B$41:$B$50,MATCH(O252,Settings!$A$41:$A$50,0))&amp;""),"UNMAPPED"))</f>
        <v>Onsite</v>
      </c>
      <c r="Q252" s="38" t="n">
        <f aca="false">IF($M252="",0,N(INDEX($A252:$J252,$Q$6)))</f>
        <v>638</v>
      </c>
      <c r="R252" s="39" t="n">
        <f aca="false">IF($M252="","",INDEX($A252:$J252,$R$6))</f>
        <v>46273</v>
      </c>
      <c r="S252" s="37" t="str">
        <f aca="false">IF($M252="","",IFERROR(INDEX(Settings!$B$27:$B$36,MATCH(L252,Settings!$A$27:$A$36,0))&amp;"","UNMAPPED"))</f>
        <v>Won</v>
      </c>
      <c r="T252" s="37" t="str">
        <f aca="false">IF($M252="","",IF(NOT(ISNUMBER(R252)),"NO DATE",IF(S252="Won",IF(R252&gt;Settings!$B$5,"Backlog","Delivered"),IF(S252="Open",IF(R252&gt;Settings!$B$5,"Pipeline","Overdue"),IF(S252="Lost","Lost","UNMAPPED")))))</f>
        <v>Delivered</v>
      </c>
      <c r="U252" s="40" t="n">
        <f aca="false">IF(T252="Backlog",1,IF(OR(T252="Pipeline",T252="Overdue"),N(INDEX(Settings!$C$27:$C$36,MATCH(L252,Settings!$A$27:$A$36,0))),0))</f>
        <v>0</v>
      </c>
      <c r="V252" s="38" t="n">
        <f aca="false">Q252*U252</f>
        <v>0</v>
      </c>
      <c r="W252" s="41" t="n">
        <f aca="false">IF($M252="","",IF(T252="Overdue",IF(Settings!$B$8="Yes",Settings!$B$7,""),IF(ISNUMBER(R252),DATE(YEAR(R252),MONTH(R252),1),"")))</f>
        <v>46266</v>
      </c>
      <c r="X252" s="38" t="n">
        <f aca="false">IF(AND(OR(T252="Backlog",T252="Pipeline",T252="Overdue"),ISNUMBER(W252)),IF(W252&lt;=Settings!$B$6,V252,0),0)</f>
        <v>0</v>
      </c>
      <c r="Y252" s="38" t="n">
        <f aca="false">IF(AND(OR(T252="Backlog",T252="Pipeline",T252="Overdue"),ISNUMBER(W252)),IF(W252&lt;=Settings!$B$6,Q252,0),0)</f>
        <v>0</v>
      </c>
      <c r="Z252" s="38" t="n">
        <f aca="false">IF(Y252=0,0,IF(T252="Backlog",Q252,Q252*Dashboard!$C$10))</f>
        <v>0</v>
      </c>
      <c r="AA252" s="37" t="n">
        <f aca="false">IF($N252="",0,IF(COUNTIF(Dashboard!$C$13:$C$22,$N252)&gt;0,1,0))</f>
        <v>0</v>
      </c>
      <c r="AB252" s="37" t="str">
        <f aca="false">IF($N252="","",IF(COUNTIF($N$8:$N252,$N252)=1,MAX($AB$7:$AB251)+1,""))</f>
        <v/>
      </c>
    </row>
    <row r="253" customFormat="false" ht="15" hidden="false" customHeight="false" outlineLevel="0" collapsed="false">
      <c r="B253" s="32" t="s">
        <v>709</v>
      </c>
      <c r="C253" s="32" t="s">
        <v>253</v>
      </c>
      <c r="D253" s="35" t="n">
        <v>4174</v>
      </c>
      <c r="E253" s="32" t="s">
        <v>145</v>
      </c>
      <c r="F253" s="36" t="n">
        <v>46058</v>
      </c>
      <c r="G253" s="32" t="s">
        <v>710</v>
      </c>
      <c r="L253" s="37" t="str">
        <f aca="false">IF(INDEX($A253:$J253,$L$6)&lt;&gt;"",TRIM(LEFT(INDEX($A253:$J253,$L$6),FIND("(",INDEX($A253:$J253,$L$6)&amp;"(")-1)),L252)</f>
        <v>Closed Won</v>
      </c>
      <c r="M253" s="37" t="str">
        <f aca="false">IF(INDEX($A253:$J253,$M$6)="","",INDEX($A253:$J253,$M$6)&amp;"")</f>
        <v>ASX - CEO Connect (Extended) - 1.9.26</v>
      </c>
      <c r="N253" s="37" t="str">
        <f aca="false">IF($M253="","",TRIM(INDEX($A253:$J253,$N$6)&amp;""))</f>
        <v>ASX Australian Securities Exchange</v>
      </c>
      <c r="O253" s="37" t="str">
        <f aca="false">IF($M253="","",TRIM(INDEX($A253:$J253,$O$6)&amp;""))</f>
        <v>Event Production</v>
      </c>
      <c r="P253" s="37" t="str">
        <f aca="false">IF($M253="","",IFERROR(IF(INDEX(Settings!$B$41:$B$50,MATCH(O253,Settings!$A$41:$A$50,0))&amp;""="","UNMAPPED",INDEX(Settings!$B$41:$B$50,MATCH(O253,Settings!$A$41:$A$50,0))&amp;""),"UNMAPPED"))</f>
        <v>Production</v>
      </c>
      <c r="Q253" s="38" t="n">
        <f aca="false">IF($M253="",0,N(INDEX($A253:$J253,$Q$6)))</f>
        <v>4174</v>
      </c>
      <c r="R253" s="39" t="n">
        <f aca="false">IF($M253="","",INDEX($A253:$J253,$R$6))</f>
        <v>46058</v>
      </c>
      <c r="S253" s="37" t="str">
        <f aca="false">IF($M253="","",IFERROR(INDEX(Settings!$B$27:$B$36,MATCH(L253,Settings!$A$27:$A$36,0))&amp;"","UNMAPPED"))</f>
        <v>Won</v>
      </c>
      <c r="T253" s="37" t="str">
        <f aca="false">IF($M253="","",IF(NOT(ISNUMBER(R253)),"NO DATE",IF(S253="Won",IF(R253&gt;Settings!$B$5,"Backlog","Delivered"),IF(S253="Open",IF(R253&gt;Settings!$B$5,"Pipeline","Overdue"),IF(S253="Lost","Lost","UNMAPPED")))))</f>
        <v>Delivered</v>
      </c>
      <c r="U253" s="40" t="n">
        <f aca="false">IF(T253="Backlog",1,IF(OR(T253="Pipeline",T253="Overdue"),N(INDEX(Settings!$C$27:$C$36,MATCH(L253,Settings!$A$27:$A$36,0))),0))</f>
        <v>0</v>
      </c>
      <c r="V253" s="38" t="n">
        <f aca="false">Q253*U253</f>
        <v>0</v>
      </c>
      <c r="W253" s="41" t="n">
        <f aca="false">IF($M253="","",IF(T253="Overdue",IF(Settings!$B$8="Yes",Settings!$B$7,""),IF(ISNUMBER(R253),DATE(YEAR(R253),MONTH(R253),1),"")))</f>
        <v>46054</v>
      </c>
      <c r="X253" s="38" t="n">
        <f aca="false">IF(AND(OR(T253="Backlog",T253="Pipeline",T253="Overdue"),ISNUMBER(W253)),IF(W253&lt;=Settings!$B$6,V253,0),0)</f>
        <v>0</v>
      </c>
      <c r="Y253" s="38" t="n">
        <f aca="false">IF(AND(OR(T253="Backlog",T253="Pipeline",T253="Overdue"),ISNUMBER(W253)),IF(W253&lt;=Settings!$B$6,Q253,0),0)</f>
        <v>0</v>
      </c>
      <c r="Z253" s="38" t="n">
        <f aca="false">IF(Y253=0,0,IF(T253="Backlog",Q253,Q253*Dashboard!$C$10))</f>
        <v>0</v>
      </c>
      <c r="AA253" s="37" t="n">
        <f aca="false">IF($N253="",0,IF(COUNTIF(Dashboard!$C$13:$C$22,$N253)&gt;0,1,0))</f>
        <v>0</v>
      </c>
      <c r="AB253" s="37" t="str">
        <f aca="false">IF($N253="","",IF(COUNTIF($N$8:$N253,$N253)=1,MAX($AB$7:$AB252)+1,""))</f>
        <v/>
      </c>
    </row>
    <row r="254" customFormat="false" ht="15" hidden="false" customHeight="false" outlineLevel="0" collapsed="false">
      <c r="B254" s="32" t="s">
        <v>711</v>
      </c>
      <c r="C254" s="32" t="s">
        <v>205</v>
      </c>
      <c r="D254" s="35" t="n">
        <v>12184</v>
      </c>
      <c r="E254" s="32" t="s">
        <v>145</v>
      </c>
      <c r="F254" s="36" t="n">
        <v>46169</v>
      </c>
      <c r="G254" s="32" t="s">
        <v>712</v>
      </c>
      <c r="L254" s="37" t="str">
        <f aca="false">IF(INDEX($A254:$J254,$L$6)&lt;&gt;"",TRIM(LEFT(INDEX($A254:$J254,$L$6),FIND("(",INDEX($A254:$J254,$L$6)&amp;"(")-1)),L253)</f>
        <v>Closed Won</v>
      </c>
      <c r="M254" s="37" t="str">
        <f aca="false">IF(INDEX($A254:$J254,$M$6)="","",INDEX($A254:$J254,$M$6)&amp;"")</f>
        <v>DTTL - CEO Roadshow - 1.6.26</v>
      </c>
      <c r="N254" s="37" t="str">
        <f aca="false">IF($M254="","",TRIM(INDEX($A254:$J254,$N$6)&amp;""))</f>
        <v>Deloitte - Sydney</v>
      </c>
      <c r="O254" s="37" t="str">
        <f aca="false">IF($M254="","",TRIM(INDEX($A254:$J254,$O$6)&amp;""))</f>
        <v>Event Production</v>
      </c>
      <c r="P254" s="37" t="str">
        <f aca="false">IF($M254="","",IFERROR(IF(INDEX(Settings!$B$41:$B$50,MATCH(O254,Settings!$A$41:$A$50,0))&amp;""="","UNMAPPED",INDEX(Settings!$B$41:$B$50,MATCH(O254,Settings!$A$41:$A$50,0))&amp;""),"UNMAPPED"))</f>
        <v>Production</v>
      </c>
      <c r="Q254" s="38" t="n">
        <f aca="false">IF($M254="",0,N(INDEX($A254:$J254,$Q$6)))</f>
        <v>12184</v>
      </c>
      <c r="R254" s="39" t="n">
        <f aca="false">IF($M254="","",INDEX($A254:$J254,$R$6))</f>
        <v>46169</v>
      </c>
      <c r="S254" s="37" t="str">
        <f aca="false">IF($M254="","",IFERROR(INDEX(Settings!$B$27:$B$36,MATCH(L254,Settings!$A$27:$A$36,0))&amp;"","UNMAPPED"))</f>
        <v>Won</v>
      </c>
      <c r="T254" s="37" t="str">
        <f aca="false">IF($M254="","",IF(NOT(ISNUMBER(R254)),"NO DATE",IF(S254="Won",IF(R254&gt;Settings!$B$5,"Backlog","Delivered"),IF(S254="Open",IF(R254&gt;Settings!$B$5,"Pipeline","Overdue"),IF(S254="Lost","Lost","UNMAPPED")))))</f>
        <v>Delivered</v>
      </c>
      <c r="U254" s="40" t="n">
        <f aca="false">IF(T254="Backlog",1,IF(OR(T254="Pipeline",T254="Overdue"),N(INDEX(Settings!$C$27:$C$36,MATCH(L254,Settings!$A$27:$A$36,0))),0))</f>
        <v>0</v>
      </c>
      <c r="V254" s="38" t="n">
        <f aca="false">Q254*U254</f>
        <v>0</v>
      </c>
      <c r="W254" s="41" t="n">
        <f aca="false">IF($M254="","",IF(T254="Overdue",IF(Settings!$B$8="Yes",Settings!$B$7,""),IF(ISNUMBER(R254),DATE(YEAR(R254),MONTH(R254),1),"")))</f>
        <v>46143</v>
      </c>
      <c r="X254" s="38" t="n">
        <f aca="false">IF(AND(OR(T254="Backlog",T254="Pipeline",T254="Overdue"),ISNUMBER(W254)),IF(W254&lt;=Settings!$B$6,V254,0),0)</f>
        <v>0</v>
      </c>
      <c r="Y254" s="38" t="n">
        <f aca="false">IF(AND(OR(T254="Backlog",T254="Pipeline",T254="Overdue"),ISNUMBER(W254)),IF(W254&lt;=Settings!$B$6,Q254,0),0)</f>
        <v>0</v>
      </c>
      <c r="Z254" s="38" t="n">
        <f aca="false">IF(Y254=0,0,IF(T254="Backlog",Q254,Q254*Dashboard!$C$10))</f>
        <v>0</v>
      </c>
      <c r="AA254" s="37" t="n">
        <f aca="false">IF($N254="",0,IF(COUNTIF(Dashboard!$C$13:$C$22,$N254)&gt;0,1,0))</f>
        <v>0</v>
      </c>
      <c r="AB254" s="37" t="str">
        <f aca="false">IF($N254="","",IF(COUNTIF($N$8:$N254,$N254)=1,MAX($AB$7:$AB253)+1,""))</f>
        <v/>
      </c>
    </row>
    <row r="255" customFormat="false" ht="15" hidden="false" customHeight="false" outlineLevel="0" collapsed="false">
      <c r="B255" s="32" t="s">
        <v>713</v>
      </c>
      <c r="C255" s="32" t="s">
        <v>267</v>
      </c>
      <c r="D255" s="35" t="n">
        <v>380</v>
      </c>
      <c r="E255" s="32" t="s">
        <v>145</v>
      </c>
      <c r="F255" s="36" t="n">
        <v>45987</v>
      </c>
      <c r="G255" s="32" t="s">
        <v>714</v>
      </c>
      <c r="L255" s="37" t="str">
        <f aca="false">IF(INDEX($A255:$J255,$L$6)&lt;&gt;"",TRIM(LEFT(INDEX($A255:$J255,$L$6),FIND("(",INDEX($A255:$J255,$L$6)&amp;"(")-1)),L254)</f>
        <v>Closed Won</v>
      </c>
      <c r="M255" s="37" t="str">
        <f aca="false">IF(INDEX($A255:$J255,$M$6)="","",INDEX($A255:$J255,$M$6)&amp;"")</f>
        <v>Dimensional Audio Op - 26 11 25</v>
      </c>
      <c r="N255" s="37" t="str">
        <f aca="false">IF($M255="","",TRIM(INDEX($A255:$J255,$N$6)&amp;""))</f>
        <v>Dimensional Fund Advisors</v>
      </c>
      <c r="O255" s="37" t="str">
        <f aca="false">IF($M255="","",TRIM(INDEX($A255:$J255,$O$6)&amp;""))</f>
        <v>Event Production</v>
      </c>
      <c r="P255" s="37" t="str">
        <f aca="false">IF($M255="","",IFERROR(IF(INDEX(Settings!$B$41:$B$50,MATCH(O255,Settings!$A$41:$A$50,0))&amp;""="","UNMAPPED",INDEX(Settings!$B$41:$B$50,MATCH(O255,Settings!$A$41:$A$50,0))&amp;""),"UNMAPPED"))</f>
        <v>Production</v>
      </c>
      <c r="Q255" s="38" t="n">
        <f aca="false">IF($M255="",0,N(INDEX($A255:$J255,$Q$6)))</f>
        <v>380</v>
      </c>
      <c r="R255" s="39" t="n">
        <f aca="false">IF($M255="","",INDEX($A255:$J255,$R$6))</f>
        <v>45987</v>
      </c>
      <c r="S255" s="37" t="str">
        <f aca="false">IF($M255="","",IFERROR(INDEX(Settings!$B$27:$B$36,MATCH(L255,Settings!$A$27:$A$36,0))&amp;"","UNMAPPED"))</f>
        <v>Won</v>
      </c>
      <c r="T255" s="37" t="str">
        <f aca="false">IF($M255="","",IF(NOT(ISNUMBER(R255)),"NO DATE",IF(S255="Won",IF(R255&gt;Settings!$B$5,"Backlog","Delivered"),IF(S255="Open",IF(R255&gt;Settings!$B$5,"Pipeline","Overdue"),IF(S255="Lost","Lost","UNMAPPED")))))</f>
        <v>Delivered</v>
      </c>
      <c r="U255" s="40" t="n">
        <f aca="false">IF(T255="Backlog",1,IF(OR(T255="Pipeline",T255="Overdue"),N(INDEX(Settings!$C$27:$C$36,MATCH(L255,Settings!$A$27:$A$36,0))),0))</f>
        <v>0</v>
      </c>
      <c r="V255" s="38" t="n">
        <f aca="false">Q255*U255</f>
        <v>0</v>
      </c>
      <c r="W255" s="41" t="n">
        <f aca="false">IF($M255="","",IF(T255="Overdue",IF(Settings!$B$8="Yes",Settings!$B$7,""),IF(ISNUMBER(R255),DATE(YEAR(R255),MONTH(R255),1),"")))</f>
        <v>45962</v>
      </c>
      <c r="X255" s="38" t="n">
        <f aca="false">IF(AND(OR(T255="Backlog",T255="Pipeline",T255="Overdue"),ISNUMBER(W255)),IF(W255&lt;=Settings!$B$6,V255,0),0)</f>
        <v>0</v>
      </c>
      <c r="Y255" s="38" t="n">
        <f aca="false">IF(AND(OR(T255="Backlog",T255="Pipeline",T255="Overdue"),ISNUMBER(W255)),IF(W255&lt;=Settings!$B$6,Q255,0),0)</f>
        <v>0</v>
      </c>
      <c r="Z255" s="38" t="n">
        <f aca="false">IF(Y255=0,0,IF(T255="Backlog",Q255,Q255*Dashboard!$C$10))</f>
        <v>0</v>
      </c>
      <c r="AA255" s="37" t="n">
        <f aca="false">IF($N255="",0,IF(COUNTIF(Dashboard!$C$13:$C$22,$N255)&gt;0,1,0))</f>
        <v>0</v>
      </c>
      <c r="AB255" s="37" t="str">
        <f aca="false">IF($N255="","",IF(COUNTIF($N$8:$N255,$N255)=1,MAX($AB$7:$AB254)+1,""))</f>
        <v/>
      </c>
    </row>
    <row r="256" customFormat="false" ht="15" hidden="false" customHeight="false" outlineLevel="0" collapsed="false">
      <c r="B256" s="32" t="s">
        <v>715</v>
      </c>
      <c r="C256" s="32" t="s">
        <v>244</v>
      </c>
      <c r="D256" s="35" t="n">
        <v>1825</v>
      </c>
      <c r="E256" s="32" t="s">
        <v>145</v>
      </c>
      <c r="F256" s="36" t="n">
        <v>46302</v>
      </c>
      <c r="G256" s="32" t="s">
        <v>716</v>
      </c>
      <c r="L256" s="37" t="str">
        <f aca="false">IF(INDEX($A256:$J256,$L$6)&lt;&gt;"",TRIM(LEFT(INDEX($A256:$J256,$L$6),FIND("(",INDEX($A256:$J256,$L$6)&amp;"(")-1)),L255)</f>
        <v>Closed Won</v>
      </c>
      <c r="M256" s="37" t="str">
        <f aca="false">IF(INDEX($A256:$J256,$M$6)="","",INDEX($A256:$J256,$M$6)&amp;"")</f>
        <v>APA - AV Train the Trainer Session - 21.10.26</v>
      </c>
      <c r="N256" s="37" t="str">
        <f aca="false">IF($M256="","",TRIM(INDEX($A256:$J256,$N$6)&amp;""))</f>
        <v>APA</v>
      </c>
      <c r="O256" s="37" t="str">
        <f aca="false">IF($M256="","",TRIM(INDEX($A256:$J256,$O$6)&amp;""))</f>
        <v>Event Production</v>
      </c>
      <c r="P256" s="37" t="str">
        <f aca="false">IF($M256="","",IFERROR(IF(INDEX(Settings!$B$41:$B$50,MATCH(O256,Settings!$A$41:$A$50,0))&amp;""="","UNMAPPED",INDEX(Settings!$B$41:$B$50,MATCH(O256,Settings!$A$41:$A$50,0))&amp;""),"UNMAPPED"))</f>
        <v>Production</v>
      </c>
      <c r="Q256" s="38" t="n">
        <f aca="false">IF($M256="",0,N(INDEX($A256:$J256,$Q$6)))</f>
        <v>1825</v>
      </c>
      <c r="R256" s="39" t="n">
        <f aca="false">IF($M256="","",INDEX($A256:$J256,$R$6))</f>
        <v>46302</v>
      </c>
      <c r="S256" s="37" t="str">
        <f aca="false">IF($M256="","",IFERROR(INDEX(Settings!$B$27:$B$36,MATCH(L256,Settings!$A$27:$A$36,0))&amp;"","UNMAPPED"))</f>
        <v>Won</v>
      </c>
      <c r="T256" s="37" t="str">
        <f aca="false">IF($M256="","",IF(NOT(ISNUMBER(R256)),"NO DATE",IF(S256="Won",IF(R256&gt;Settings!$B$5,"Backlog","Delivered"),IF(S256="Open",IF(R256&gt;Settings!$B$5,"Pipeline","Overdue"),IF(S256="Lost","Lost","UNMAPPED")))))</f>
        <v>Backlog</v>
      </c>
      <c r="U256" s="40" t="n">
        <f aca="false">IF(T256="Backlog",1,IF(OR(T256="Pipeline",T256="Overdue"),N(INDEX(Settings!$C$27:$C$36,MATCH(L256,Settings!$A$27:$A$36,0))),0))</f>
        <v>1</v>
      </c>
      <c r="V256" s="38" t="n">
        <f aca="false">Q256*U256</f>
        <v>1825</v>
      </c>
      <c r="W256" s="41" t="n">
        <f aca="false">IF($M256="","",IF(T256="Overdue",IF(Settings!$B$8="Yes",Settings!$B$7,""),IF(ISNUMBER(R256),DATE(YEAR(R256),MONTH(R256),1),"")))</f>
        <v>46296</v>
      </c>
      <c r="X256" s="38" t="n">
        <f aca="false">IF(AND(OR(T256="Backlog",T256="Pipeline",T256="Overdue"),ISNUMBER(W256)),IF(W256&lt;=Settings!$B$6,V256,0),0)</f>
        <v>1825</v>
      </c>
      <c r="Y256" s="38" t="n">
        <f aca="false">IF(AND(OR(T256="Backlog",T256="Pipeline",T256="Overdue"),ISNUMBER(W256)),IF(W256&lt;=Settings!$B$6,Q256,0),0)</f>
        <v>1825</v>
      </c>
      <c r="Z256" s="38" t="n">
        <f aca="false">IF(Y256=0,0,IF(T256="Backlog",Q256,Q256*Dashboard!$C$10))</f>
        <v>1825</v>
      </c>
      <c r="AA256" s="37" t="n">
        <f aca="false">IF($N256="",0,IF(COUNTIF(Dashboard!$C$13:$C$22,$N256)&gt;0,1,0))</f>
        <v>0</v>
      </c>
      <c r="AB256" s="37" t="str">
        <f aca="false">IF($N256="","",IF(COUNTIF($N$8:$N256,$N256)=1,MAX($AB$7:$AB255)+1,""))</f>
        <v/>
      </c>
    </row>
    <row r="257" customFormat="false" ht="15" hidden="false" customHeight="false" outlineLevel="0" collapsed="false">
      <c r="B257" s="32" t="s">
        <v>717</v>
      </c>
      <c r="C257" s="32" t="s">
        <v>253</v>
      </c>
      <c r="D257" s="35" t="n">
        <v>3674</v>
      </c>
      <c r="E257" s="32" t="s">
        <v>145</v>
      </c>
      <c r="F257" s="36" t="n">
        <v>46350</v>
      </c>
      <c r="G257" s="32" t="s">
        <v>718</v>
      </c>
      <c r="L257" s="37" t="str">
        <f aca="false">IF(INDEX($A257:$J257,$L$6)&lt;&gt;"",TRIM(LEFT(INDEX($A257:$J257,$L$6),FIND("(",INDEX($A257:$J257,$L$6)&amp;"(")-1)),L256)</f>
        <v>Closed Won</v>
      </c>
      <c r="M257" s="37" t="str">
        <f aca="false">IF(INDEX($A257:$J257,$M$6)="","",INDEX($A257:$J257,$M$6)&amp;"")</f>
        <v>ASX CEO Connect 1.12.26</v>
      </c>
      <c r="N257" s="37" t="str">
        <f aca="false">IF($M257="","",TRIM(INDEX($A257:$J257,$N$6)&amp;""))</f>
        <v>ASX Australian Securities Exchange</v>
      </c>
      <c r="O257" s="37" t="str">
        <f aca="false">IF($M257="","",TRIM(INDEX($A257:$J257,$O$6)&amp;""))</f>
        <v>Event Production</v>
      </c>
      <c r="P257" s="37" t="str">
        <f aca="false">IF($M257="","",IFERROR(IF(INDEX(Settings!$B$41:$B$50,MATCH(O257,Settings!$A$41:$A$50,0))&amp;""="","UNMAPPED",INDEX(Settings!$B$41:$B$50,MATCH(O257,Settings!$A$41:$A$50,0))&amp;""),"UNMAPPED"))</f>
        <v>Production</v>
      </c>
      <c r="Q257" s="38" t="n">
        <f aca="false">IF($M257="",0,N(INDEX($A257:$J257,$Q$6)))</f>
        <v>3674</v>
      </c>
      <c r="R257" s="39" t="n">
        <f aca="false">IF($M257="","",INDEX($A257:$J257,$R$6))</f>
        <v>46350</v>
      </c>
      <c r="S257" s="37" t="str">
        <f aca="false">IF($M257="","",IFERROR(INDEX(Settings!$B$27:$B$36,MATCH(L257,Settings!$A$27:$A$36,0))&amp;"","UNMAPPED"))</f>
        <v>Won</v>
      </c>
      <c r="T257" s="37" t="str">
        <f aca="false">IF($M257="","",IF(NOT(ISNUMBER(R257)),"NO DATE",IF(S257="Won",IF(R257&gt;Settings!$B$5,"Backlog","Delivered"),IF(S257="Open",IF(R257&gt;Settings!$B$5,"Pipeline","Overdue"),IF(S257="Lost","Lost","UNMAPPED")))))</f>
        <v>Backlog</v>
      </c>
      <c r="U257" s="40" t="n">
        <f aca="false">IF(T257="Backlog",1,IF(OR(T257="Pipeline",T257="Overdue"),N(INDEX(Settings!$C$27:$C$36,MATCH(L257,Settings!$A$27:$A$36,0))),0))</f>
        <v>1</v>
      </c>
      <c r="V257" s="38" t="n">
        <f aca="false">Q257*U257</f>
        <v>3674</v>
      </c>
      <c r="W257" s="41" t="n">
        <f aca="false">IF($M257="","",IF(T257="Overdue",IF(Settings!$B$8="Yes",Settings!$B$7,""),IF(ISNUMBER(R257),DATE(YEAR(R257),MONTH(R257),1),"")))</f>
        <v>46327</v>
      </c>
      <c r="X257" s="38" t="n">
        <f aca="false">IF(AND(OR(T257="Backlog",T257="Pipeline",T257="Overdue"),ISNUMBER(W257)),IF(W257&lt;=Settings!$B$6,V257,0),0)</f>
        <v>3674</v>
      </c>
      <c r="Y257" s="38" t="n">
        <f aca="false">IF(AND(OR(T257="Backlog",T257="Pipeline",T257="Overdue"),ISNUMBER(W257)),IF(W257&lt;=Settings!$B$6,Q257,0),0)</f>
        <v>3674</v>
      </c>
      <c r="Z257" s="38" t="n">
        <f aca="false">IF(Y257=0,0,IF(T257="Backlog",Q257,Q257*Dashboard!$C$10))</f>
        <v>3674</v>
      </c>
      <c r="AA257" s="37" t="n">
        <f aca="false">IF($N257="",0,IF(COUNTIF(Dashboard!$C$13:$C$22,$N257)&gt;0,1,0))</f>
        <v>0</v>
      </c>
      <c r="AB257" s="37" t="str">
        <f aca="false">IF($N257="","",IF(COUNTIF($N$8:$N257,$N257)=1,MAX($AB$7:$AB256)+1,""))</f>
        <v/>
      </c>
    </row>
    <row r="258" customFormat="false" ht="15" hidden="false" customHeight="false" outlineLevel="0" collapsed="false">
      <c r="B258" s="32" t="s">
        <v>719</v>
      </c>
      <c r="C258" s="32" t="s">
        <v>188</v>
      </c>
      <c r="D258" s="35" t="n">
        <v>2076</v>
      </c>
      <c r="E258" s="32" t="s">
        <v>141</v>
      </c>
      <c r="F258" s="36" t="n">
        <v>46241</v>
      </c>
      <c r="G258" s="32" t="s">
        <v>720</v>
      </c>
      <c r="L258" s="37" t="str">
        <f aca="false">IF(INDEX($A258:$J258,$L$6)&lt;&gt;"",TRIM(LEFT(INDEX($A258:$J258,$L$6),FIND("(",INDEX($A258:$J258,$L$6)&amp;"(")-1)),L257)</f>
        <v>Closed Won</v>
      </c>
      <c r="M258" s="37" t="str">
        <f aca="false">IF(INDEX($A258:$J258,$M$6)="","",INDEX($A258:$J258,$M$6)&amp;"")</f>
        <v>Aware Super | SYD 24.16 UC Engine Replacement - 26062503</v>
      </c>
      <c r="N258" s="37" t="str">
        <f aca="false">IF($M258="","",TRIM(INDEX($A258:$J258,$N$6)&amp;""))</f>
        <v>Aware Super</v>
      </c>
      <c r="O258" s="37" t="str">
        <f aca="false">IF($M258="","",TRIM(INDEX($A258:$J258,$O$6)&amp;""))</f>
        <v>Integration</v>
      </c>
      <c r="P258" s="37" t="str">
        <f aca="false">IF($M258="","",IFERROR(IF(INDEX(Settings!$B$41:$B$50,MATCH(O258,Settings!$A$41:$A$50,0))&amp;""="","UNMAPPED",INDEX(Settings!$B$41:$B$50,MATCH(O258,Settings!$A$41:$A$50,0))&amp;""),"UNMAPPED"))</f>
        <v>Integration</v>
      </c>
      <c r="Q258" s="38" t="n">
        <f aca="false">IF($M258="",0,N(INDEX($A258:$J258,$Q$6)))</f>
        <v>2076</v>
      </c>
      <c r="R258" s="39" t="n">
        <f aca="false">IF($M258="","",INDEX($A258:$J258,$R$6))</f>
        <v>46241</v>
      </c>
      <c r="S258" s="37" t="str">
        <f aca="false">IF($M258="","",IFERROR(INDEX(Settings!$B$27:$B$36,MATCH(L258,Settings!$A$27:$A$36,0))&amp;"","UNMAPPED"))</f>
        <v>Won</v>
      </c>
      <c r="T258" s="37" t="str">
        <f aca="false">IF($M258="","",IF(NOT(ISNUMBER(R258)),"NO DATE",IF(S258="Won",IF(R258&gt;Settings!$B$5,"Backlog","Delivered"),IF(S258="Open",IF(R258&gt;Settings!$B$5,"Pipeline","Overdue"),IF(S258="Lost","Lost","UNMAPPED")))))</f>
        <v>Delivered</v>
      </c>
      <c r="U258" s="40" t="n">
        <f aca="false">IF(T258="Backlog",1,IF(OR(T258="Pipeline",T258="Overdue"),N(INDEX(Settings!$C$27:$C$36,MATCH(L258,Settings!$A$27:$A$36,0))),0))</f>
        <v>0</v>
      </c>
      <c r="V258" s="38" t="n">
        <f aca="false">Q258*U258</f>
        <v>0</v>
      </c>
      <c r="W258" s="41" t="n">
        <f aca="false">IF($M258="","",IF(T258="Overdue",IF(Settings!$B$8="Yes",Settings!$B$7,""),IF(ISNUMBER(R258),DATE(YEAR(R258),MONTH(R258),1),"")))</f>
        <v>46235</v>
      </c>
      <c r="X258" s="38" t="n">
        <f aca="false">IF(AND(OR(T258="Backlog",T258="Pipeline",T258="Overdue"),ISNUMBER(W258)),IF(W258&lt;=Settings!$B$6,V258,0),0)</f>
        <v>0</v>
      </c>
      <c r="Y258" s="38" t="n">
        <f aca="false">IF(AND(OR(T258="Backlog",T258="Pipeline",T258="Overdue"),ISNUMBER(W258)),IF(W258&lt;=Settings!$B$6,Q258,0),0)</f>
        <v>0</v>
      </c>
      <c r="Z258" s="38" t="n">
        <f aca="false">IF(Y258=0,0,IF(T258="Backlog",Q258,Q258*Dashboard!$C$10))</f>
        <v>0</v>
      </c>
      <c r="AA258" s="37" t="n">
        <f aca="false">IF($N258="",0,IF(COUNTIF(Dashboard!$C$13:$C$22,$N258)&gt;0,1,0))</f>
        <v>0</v>
      </c>
      <c r="AB258" s="37" t="str">
        <f aca="false">IF($N258="","",IF(COUNTIF($N$8:$N258,$N258)=1,MAX($AB$7:$AB257)+1,""))</f>
        <v/>
      </c>
    </row>
    <row r="259" customFormat="false" ht="15" hidden="false" customHeight="false" outlineLevel="0" collapsed="false">
      <c r="B259" s="32" t="s">
        <v>721</v>
      </c>
      <c r="C259" s="32" t="s">
        <v>276</v>
      </c>
      <c r="D259" s="35" t="n">
        <v>855</v>
      </c>
      <c r="E259" s="32" t="s">
        <v>145</v>
      </c>
      <c r="F259" s="36" t="n">
        <v>46107</v>
      </c>
      <c r="G259" s="32" t="s">
        <v>722</v>
      </c>
      <c r="L259" s="37" t="str">
        <f aca="false">IF(INDEX($A259:$J259,$L$6)&lt;&gt;"",TRIM(LEFT(INDEX($A259:$J259,$L$6),FIND("(",INDEX($A259:$J259,$L$6)&amp;"(")-1)),L258)</f>
        <v>Closed Won</v>
      </c>
      <c r="M259" s="37" t="str">
        <f aca="false">IF(INDEX($A259:$J259,$M$6)="","",INDEX($A259:$J259,$M$6)&amp;"")</f>
        <v>Vega Global - Studio Support - 27.3.26</v>
      </c>
      <c r="N259" s="37" t="str">
        <f aca="false">IF($M259="","",TRIM(INDEX($A259:$J259,$N$6)&amp;""))</f>
        <v>Vega Global</v>
      </c>
      <c r="O259" s="37" t="str">
        <f aca="false">IF($M259="","",TRIM(INDEX($A259:$J259,$O$6)&amp;""))</f>
        <v>Event Production</v>
      </c>
      <c r="P259" s="37" t="str">
        <f aca="false">IF($M259="","",IFERROR(IF(INDEX(Settings!$B$41:$B$50,MATCH(O259,Settings!$A$41:$A$50,0))&amp;""="","UNMAPPED",INDEX(Settings!$B$41:$B$50,MATCH(O259,Settings!$A$41:$A$50,0))&amp;""),"UNMAPPED"))</f>
        <v>Production</v>
      </c>
      <c r="Q259" s="38" t="n">
        <f aca="false">IF($M259="",0,N(INDEX($A259:$J259,$Q$6)))</f>
        <v>855</v>
      </c>
      <c r="R259" s="39" t="n">
        <f aca="false">IF($M259="","",INDEX($A259:$J259,$R$6))</f>
        <v>46107</v>
      </c>
      <c r="S259" s="37" t="str">
        <f aca="false">IF($M259="","",IFERROR(INDEX(Settings!$B$27:$B$36,MATCH(L259,Settings!$A$27:$A$36,0))&amp;"","UNMAPPED"))</f>
        <v>Won</v>
      </c>
      <c r="T259" s="37" t="str">
        <f aca="false">IF($M259="","",IF(NOT(ISNUMBER(R259)),"NO DATE",IF(S259="Won",IF(R259&gt;Settings!$B$5,"Backlog","Delivered"),IF(S259="Open",IF(R259&gt;Settings!$B$5,"Pipeline","Overdue"),IF(S259="Lost","Lost","UNMAPPED")))))</f>
        <v>Delivered</v>
      </c>
      <c r="U259" s="40" t="n">
        <f aca="false">IF(T259="Backlog",1,IF(OR(T259="Pipeline",T259="Overdue"),N(INDEX(Settings!$C$27:$C$36,MATCH(L259,Settings!$A$27:$A$36,0))),0))</f>
        <v>0</v>
      </c>
      <c r="V259" s="38" t="n">
        <f aca="false">Q259*U259</f>
        <v>0</v>
      </c>
      <c r="W259" s="41" t="n">
        <f aca="false">IF($M259="","",IF(T259="Overdue",IF(Settings!$B$8="Yes",Settings!$B$7,""),IF(ISNUMBER(R259),DATE(YEAR(R259),MONTH(R259),1),"")))</f>
        <v>46082</v>
      </c>
      <c r="X259" s="38" t="n">
        <f aca="false">IF(AND(OR(T259="Backlog",T259="Pipeline",T259="Overdue"),ISNUMBER(W259)),IF(W259&lt;=Settings!$B$6,V259,0),0)</f>
        <v>0</v>
      </c>
      <c r="Y259" s="38" t="n">
        <f aca="false">IF(AND(OR(T259="Backlog",T259="Pipeline",T259="Overdue"),ISNUMBER(W259)),IF(W259&lt;=Settings!$B$6,Q259,0),0)</f>
        <v>0</v>
      </c>
      <c r="Z259" s="38" t="n">
        <f aca="false">IF(Y259=0,0,IF(T259="Backlog",Q259,Q259*Dashboard!$C$10))</f>
        <v>0</v>
      </c>
      <c r="AA259" s="37" t="n">
        <f aca="false">IF($N259="",0,IF(COUNTIF(Dashboard!$C$13:$C$22,$N259)&gt;0,1,0))</f>
        <v>0</v>
      </c>
      <c r="AB259" s="37" t="str">
        <f aca="false">IF($N259="","",IF(COUNTIF($N$8:$N259,$N259)=1,MAX($AB$7:$AB258)+1,""))</f>
        <v/>
      </c>
    </row>
    <row r="260" customFormat="false" ht="15" hidden="false" customHeight="false" outlineLevel="0" collapsed="false">
      <c r="B260" s="32" t="s">
        <v>723</v>
      </c>
      <c r="C260" s="32" t="s">
        <v>324</v>
      </c>
      <c r="D260" s="35" t="n">
        <v>2575</v>
      </c>
      <c r="E260" s="32" t="s">
        <v>145</v>
      </c>
      <c r="F260" s="36" t="n">
        <v>46223</v>
      </c>
      <c r="G260" s="32" t="s">
        <v>724</v>
      </c>
      <c r="L260" s="37" t="str">
        <f aca="false">IF(INDEX($A260:$J260,$L$6)&lt;&gt;"",TRIM(LEFT(INDEX($A260:$J260,$L$6),FIND("(",INDEX($A260:$J260,$L$6)&amp;"(")-1)),L259)</f>
        <v>Closed Won</v>
      </c>
      <c r="M260" s="37" t="str">
        <f aca="false">IF(INDEX($A260:$J260,$M$6)="","",INDEX($A260:$J260,$M$6)&amp;"")</f>
        <v>ON24 - KWM Event - 23.7.26</v>
      </c>
      <c r="N260" s="37" t="str">
        <f aca="false">IF($M260="","",TRIM(INDEX($A260:$J260,$N$6)&amp;""))</f>
        <v>ON24</v>
      </c>
      <c r="O260" s="37" t="str">
        <f aca="false">IF($M260="","",TRIM(INDEX($A260:$J260,$O$6)&amp;""))</f>
        <v>Event Production</v>
      </c>
      <c r="P260" s="37" t="str">
        <f aca="false">IF($M260="","",IFERROR(IF(INDEX(Settings!$B$41:$B$50,MATCH(O260,Settings!$A$41:$A$50,0))&amp;""="","UNMAPPED",INDEX(Settings!$B$41:$B$50,MATCH(O260,Settings!$A$41:$A$50,0))&amp;""),"UNMAPPED"))</f>
        <v>Production</v>
      </c>
      <c r="Q260" s="38" t="n">
        <f aca="false">IF($M260="",0,N(INDEX($A260:$J260,$Q$6)))</f>
        <v>2575</v>
      </c>
      <c r="R260" s="39" t="n">
        <f aca="false">IF($M260="","",INDEX($A260:$J260,$R$6))</f>
        <v>46223</v>
      </c>
      <c r="S260" s="37" t="str">
        <f aca="false">IF($M260="","",IFERROR(INDEX(Settings!$B$27:$B$36,MATCH(L260,Settings!$A$27:$A$36,0))&amp;"","UNMAPPED"))</f>
        <v>Won</v>
      </c>
      <c r="T260" s="37" t="str">
        <f aca="false">IF($M260="","",IF(NOT(ISNUMBER(R260)),"NO DATE",IF(S260="Won",IF(R260&gt;Settings!$B$5,"Backlog","Delivered"),IF(S260="Open",IF(R260&gt;Settings!$B$5,"Pipeline","Overdue"),IF(S260="Lost","Lost","UNMAPPED")))))</f>
        <v>Delivered</v>
      </c>
      <c r="U260" s="40" t="n">
        <f aca="false">IF(T260="Backlog",1,IF(OR(T260="Pipeline",T260="Overdue"),N(INDEX(Settings!$C$27:$C$36,MATCH(L260,Settings!$A$27:$A$36,0))),0))</f>
        <v>0</v>
      </c>
      <c r="V260" s="38" t="n">
        <f aca="false">Q260*U260</f>
        <v>0</v>
      </c>
      <c r="W260" s="41" t="n">
        <f aca="false">IF($M260="","",IF(T260="Overdue",IF(Settings!$B$8="Yes",Settings!$B$7,""),IF(ISNUMBER(R260),DATE(YEAR(R260),MONTH(R260),1),"")))</f>
        <v>46204</v>
      </c>
      <c r="X260" s="38" t="n">
        <f aca="false">IF(AND(OR(T260="Backlog",T260="Pipeline",T260="Overdue"),ISNUMBER(W260)),IF(W260&lt;=Settings!$B$6,V260,0),0)</f>
        <v>0</v>
      </c>
      <c r="Y260" s="38" t="n">
        <f aca="false">IF(AND(OR(T260="Backlog",T260="Pipeline",T260="Overdue"),ISNUMBER(W260)),IF(W260&lt;=Settings!$B$6,Q260,0),0)</f>
        <v>0</v>
      </c>
      <c r="Z260" s="38" t="n">
        <f aca="false">IF(Y260=0,0,IF(T260="Backlog",Q260,Q260*Dashboard!$C$10))</f>
        <v>0</v>
      </c>
      <c r="AA260" s="37" t="n">
        <f aca="false">IF($N260="",0,IF(COUNTIF(Dashboard!$C$13:$C$22,$N260)&gt;0,1,0))</f>
        <v>0</v>
      </c>
      <c r="AB260" s="37" t="str">
        <f aca="false">IF($N260="","",IF(COUNTIF($N$8:$N260,$N260)=1,MAX($AB$7:$AB259)+1,""))</f>
        <v/>
      </c>
    </row>
    <row r="261" customFormat="false" ht="15" hidden="false" customHeight="false" outlineLevel="0" collapsed="false">
      <c r="B261" s="32" t="s">
        <v>725</v>
      </c>
      <c r="C261" s="32" t="s">
        <v>327</v>
      </c>
      <c r="D261" s="35" t="n">
        <v>4215</v>
      </c>
      <c r="E261" s="32" t="s">
        <v>173</v>
      </c>
      <c r="F261" s="36" t="n">
        <v>46080</v>
      </c>
      <c r="G261" s="32" t="s">
        <v>726</v>
      </c>
      <c r="L261" s="37" t="str">
        <f aca="false">IF(INDEX($A261:$J261,$L$6)&lt;&gt;"",TRIM(LEFT(INDEX($A261:$J261,$L$6),FIND("(",INDEX($A261:$J261,$L$6)&amp;"(")-1)),L260)</f>
        <v>Closed Won</v>
      </c>
      <c r="M261" s="37" t="str">
        <f aca="false">IF(INDEX($A261:$J261,$M$6)="","",INDEX($A261:$J261,$M$6)&amp;"")</f>
        <v>YSG | Orange Room Upgrade CONS - 2602203</v>
      </c>
      <c r="N261" s="37" t="str">
        <f aca="false">IF($M261="","",TRIM(INDEX($A261:$J261,$N$6)&amp;""))</f>
        <v>YSG Studio</v>
      </c>
      <c r="O261" s="37" t="str">
        <f aca="false">IF($M261="","",TRIM(INDEX($A261:$J261,$O$6)&amp;""))</f>
        <v>Consulting</v>
      </c>
      <c r="P261" s="37" t="str">
        <f aca="false">IF($M261="","",IFERROR(IF(INDEX(Settings!$B$41:$B$50,MATCH(O261,Settings!$A$41:$A$50,0))&amp;""="","UNMAPPED",INDEX(Settings!$B$41:$B$50,MATCH(O261,Settings!$A$41:$A$50,0))&amp;""),"UNMAPPED"))</f>
        <v>Consulting</v>
      </c>
      <c r="Q261" s="38" t="n">
        <f aca="false">IF($M261="",0,N(INDEX($A261:$J261,$Q$6)))</f>
        <v>4215</v>
      </c>
      <c r="R261" s="39" t="n">
        <f aca="false">IF($M261="","",INDEX($A261:$J261,$R$6))</f>
        <v>46080</v>
      </c>
      <c r="S261" s="37" t="str">
        <f aca="false">IF($M261="","",IFERROR(INDEX(Settings!$B$27:$B$36,MATCH(L261,Settings!$A$27:$A$36,0))&amp;"","UNMAPPED"))</f>
        <v>Won</v>
      </c>
      <c r="T261" s="37" t="str">
        <f aca="false">IF($M261="","",IF(NOT(ISNUMBER(R261)),"NO DATE",IF(S261="Won",IF(R261&gt;Settings!$B$5,"Backlog","Delivered"),IF(S261="Open",IF(R261&gt;Settings!$B$5,"Pipeline","Overdue"),IF(S261="Lost","Lost","UNMAPPED")))))</f>
        <v>Delivered</v>
      </c>
      <c r="U261" s="40" t="n">
        <f aca="false">IF(T261="Backlog",1,IF(OR(T261="Pipeline",T261="Overdue"),N(INDEX(Settings!$C$27:$C$36,MATCH(L261,Settings!$A$27:$A$36,0))),0))</f>
        <v>0</v>
      </c>
      <c r="V261" s="38" t="n">
        <f aca="false">Q261*U261</f>
        <v>0</v>
      </c>
      <c r="W261" s="41" t="n">
        <f aca="false">IF($M261="","",IF(T261="Overdue",IF(Settings!$B$8="Yes",Settings!$B$7,""),IF(ISNUMBER(R261),DATE(YEAR(R261),MONTH(R261),1),"")))</f>
        <v>46054</v>
      </c>
      <c r="X261" s="38" t="n">
        <f aca="false">IF(AND(OR(T261="Backlog",T261="Pipeline",T261="Overdue"),ISNUMBER(W261)),IF(W261&lt;=Settings!$B$6,V261,0),0)</f>
        <v>0</v>
      </c>
      <c r="Y261" s="38" t="n">
        <f aca="false">IF(AND(OR(T261="Backlog",T261="Pipeline",T261="Overdue"),ISNUMBER(W261)),IF(W261&lt;=Settings!$B$6,Q261,0),0)</f>
        <v>0</v>
      </c>
      <c r="Z261" s="38" t="n">
        <f aca="false">IF(Y261=0,0,IF(T261="Backlog",Q261,Q261*Dashboard!$C$10))</f>
        <v>0</v>
      </c>
      <c r="AA261" s="37" t="n">
        <f aca="false">IF($N261="",0,IF(COUNTIF(Dashboard!$C$13:$C$22,$N261)&gt;0,1,0))</f>
        <v>0</v>
      </c>
      <c r="AB261" s="37" t="str">
        <f aca="false">IF($N261="","",IF(COUNTIF($N$8:$N261,$N261)=1,MAX($AB$7:$AB260)+1,""))</f>
        <v/>
      </c>
    </row>
    <row r="262" customFormat="false" ht="15" hidden="false" customHeight="false" outlineLevel="0" collapsed="false">
      <c r="B262" s="32" t="s">
        <v>727</v>
      </c>
      <c r="C262" s="32" t="s">
        <v>169</v>
      </c>
      <c r="D262" s="35" t="n">
        <v>34930</v>
      </c>
      <c r="E262" s="32" t="s">
        <v>145</v>
      </c>
      <c r="F262" s="36" t="n">
        <v>46064</v>
      </c>
      <c r="G262" s="32" t="s">
        <v>728</v>
      </c>
      <c r="L262" s="37" t="str">
        <f aca="false">IF(INDEX($A262:$J262,$L$6)&lt;&gt;"",TRIM(LEFT(INDEX($A262:$J262,$L$6),FIND("(",INDEX($A262:$J262,$L$6)&amp;"(")-1)),L261)</f>
        <v>Closed Won</v>
      </c>
      <c r="M262" s="37" t="str">
        <f aca="false">IF(INDEX($A262:$J262,$M$6)="","",INDEX($A262:$J262,$M$6)&amp;"")</f>
        <v>Suncorp HYR 18.2.26</v>
      </c>
      <c r="N262" s="37" t="str">
        <f aca="false">IF($M262="","",TRIM(INDEX($A262:$J262,$N$6)&amp;""))</f>
        <v>MUFG IR / Orient Capital</v>
      </c>
      <c r="O262" s="37" t="str">
        <f aca="false">IF($M262="","",TRIM(INDEX($A262:$J262,$O$6)&amp;""))</f>
        <v>Event Production</v>
      </c>
      <c r="P262" s="37" t="str">
        <f aca="false">IF($M262="","",IFERROR(IF(INDEX(Settings!$B$41:$B$50,MATCH(O262,Settings!$A$41:$A$50,0))&amp;""="","UNMAPPED",INDEX(Settings!$B$41:$B$50,MATCH(O262,Settings!$A$41:$A$50,0))&amp;""),"UNMAPPED"))</f>
        <v>Production</v>
      </c>
      <c r="Q262" s="38" t="n">
        <f aca="false">IF($M262="",0,N(INDEX($A262:$J262,$Q$6)))</f>
        <v>34930</v>
      </c>
      <c r="R262" s="39" t="n">
        <f aca="false">IF($M262="","",INDEX($A262:$J262,$R$6))</f>
        <v>46064</v>
      </c>
      <c r="S262" s="37" t="str">
        <f aca="false">IF($M262="","",IFERROR(INDEX(Settings!$B$27:$B$36,MATCH(L262,Settings!$A$27:$A$36,0))&amp;"","UNMAPPED"))</f>
        <v>Won</v>
      </c>
      <c r="T262" s="37" t="str">
        <f aca="false">IF($M262="","",IF(NOT(ISNUMBER(R262)),"NO DATE",IF(S262="Won",IF(R262&gt;Settings!$B$5,"Backlog","Delivered"),IF(S262="Open",IF(R262&gt;Settings!$B$5,"Pipeline","Overdue"),IF(S262="Lost","Lost","UNMAPPED")))))</f>
        <v>Delivered</v>
      </c>
      <c r="U262" s="40" t="n">
        <f aca="false">IF(T262="Backlog",1,IF(OR(T262="Pipeline",T262="Overdue"),N(INDEX(Settings!$C$27:$C$36,MATCH(L262,Settings!$A$27:$A$36,0))),0))</f>
        <v>0</v>
      </c>
      <c r="V262" s="38" t="n">
        <f aca="false">Q262*U262</f>
        <v>0</v>
      </c>
      <c r="W262" s="41" t="n">
        <f aca="false">IF($M262="","",IF(T262="Overdue",IF(Settings!$B$8="Yes",Settings!$B$7,""),IF(ISNUMBER(R262),DATE(YEAR(R262),MONTH(R262),1),"")))</f>
        <v>46054</v>
      </c>
      <c r="X262" s="38" t="n">
        <f aca="false">IF(AND(OR(T262="Backlog",T262="Pipeline",T262="Overdue"),ISNUMBER(W262)),IF(W262&lt;=Settings!$B$6,V262,0),0)</f>
        <v>0</v>
      </c>
      <c r="Y262" s="38" t="n">
        <f aca="false">IF(AND(OR(T262="Backlog",T262="Pipeline",T262="Overdue"),ISNUMBER(W262)),IF(W262&lt;=Settings!$B$6,Q262,0),0)</f>
        <v>0</v>
      </c>
      <c r="Z262" s="38" t="n">
        <f aca="false">IF(Y262=0,0,IF(T262="Backlog",Q262,Q262*Dashboard!$C$10))</f>
        <v>0</v>
      </c>
      <c r="AA262" s="37" t="n">
        <f aca="false">IF($N262="",0,IF(COUNTIF(Dashboard!$C$13:$C$22,$N262)&gt;0,1,0))</f>
        <v>0</v>
      </c>
      <c r="AB262" s="37" t="str">
        <f aca="false">IF($N262="","",IF(COUNTIF($N$8:$N262,$N262)=1,MAX($AB$7:$AB261)+1,""))</f>
        <v/>
      </c>
    </row>
    <row r="263" customFormat="false" ht="15" hidden="false" customHeight="false" outlineLevel="0" collapsed="false">
      <c r="B263" s="32" t="s">
        <v>729</v>
      </c>
      <c r="C263" s="32" t="s">
        <v>377</v>
      </c>
      <c r="D263" s="35" t="n">
        <v>380</v>
      </c>
      <c r="E263" s="32" t="s">
        <v>145</v>
      </c>
      <c r="F263" s="36" t="n">
        <v>45897</v>
      </c>
      <c r="G263" s="32" t="s">
        <v>730</v>
      </c>
      <c r="L263" s="37" t="str">
        <f aca="false">IF(INDEX($A263:$J263,$L$6)&lt;&gt;"",TRIM(LEFT(INDEX($A263:$J263,$L$6),FIND("(",INDEX($A263:$J263,$L$6)&amp;"(")-1)),L262)</f>
        <v>Closed Won</v>
      </c>
      <c r="M263" s="37" t="str">
        <f aca="false">IF(INDEX($A263:$J263,$M$6)="","",INDEX($A263:$J263,$M$6)&amp;"")</f>
        <v>Webcast Operator - 28.8.25</v>
      </c>
      <c r="N263" s="37" t="str">
        <f aca="false">IF($M263="","",TRIM(INDEX($A263:$J263,$N$6)&amp;""))</f>
        <v>Loghic Connect</v>
      </c>
      <c r="O263" s="37" t="str">
        <f aca="false">IF($M263="","",TRIM(INDEX($A263:$J263,$O$6)&amp;""))</f>
        <v>Event Production</v>
      </c>
      <c r="P263" s="37" t="str">
        <f aca="false">IF($M263="","",IFERROR(IF(INDEX(Settings!$B$41:$B$50,MATCH(O263,Settings!$A$41:$A$50,0))&amp;""="","UNMAPPED",INDEX(Settings!$B$41:$B$50,MATCH(O263,Settings!$A$41:$A$50,0))&amp;""),"UNMAPPED"))</f>
        <v>Production</v>
      </c>
      <c r="Q263" s="38" t="n">
        <f aca="false">IF($M263="",0,N(INDEX($A263:$J263,$Q$6)))</f>
        <v>380</v>
      </c>
      <c r="R263" s="39" t="n">
        <f aca="false">IF($M263="","",INDEX($A263:$J263,$R$6))</f>
        <v>45897</v>
      </c>
      <c r="S263" s="37" t="str">
        <f aca="false">IF($M263="","",IFERROR(INDEX(Settings!$B$27:$B$36,MATCH(L263,Settings!$A$27:$A$36,0))&amp;"","UNMAPPED"))</f>
        <v>Won</v>
      </c>
      <c r="T263" s="37" t="str">
        <f aca="false">IF($M263="","",IF(NOT(ISNUMBER(R263)),"NO DATE",IF(S263="Won",IF(R263&gt;Settings!$B$5,"Backlog","Delivered"),IF(S263="Open",IF(R263&gt;Settings!$B$5,"Pipeline","Overdue"),IF(S263="Lost","Lost","UNMAPPED")))))</f>
        <v>Delivered</v>
      </c>
      <c r="U263" s="40" t="n">
        <f aca="false">IF(T263="Backlog",1,IF(OR(T263="Pipeline",T263="Overdue"),N(INDEX(Settings!$C$27:$C$36,MATCH(L263,Settings!$A$27:$A$36,0))),0))</f>
        <v>0</v>
      </c>
      <c r="V263" s="38" t="n">
        <f aca="false">Q263*U263</f>
        <v>0</v>
      </c>
      <c r="W263" s="41" t="n">
        <f aca="false">IF($M263="","",IF(T263="Overdue",IF(Settings!$B$8="Yes",Settings!$B$7,""),IF(ISNUMBER(R263),DATE(YEAR(R263),MONTH(R263),1),"")))</f>
        <v>45870</v>
      </c>
      <c r="X263" s="38" t="n">
        <f aca="false">IF(AND(OR(T263="Backlog",T263="Pipeline",T263="Overdue"),ISNUMBER(W263)),IF(W263&lt;=Settings!$B$6,V263,0),0)</f>
        <v>0</v>
      </c>
      <c r="Y263" s="38" t="n">
        <f aca="false">IF(AND(OR(T263="Backlog",T263="Pipeline",T263="Overdue"),ISNUMBER(W263)),IF(W263&lt;=Settings!$B$6,Q263,0),0)</f>
        <v>0</v>
      </c>
      <c r="Z263" s="38" t="n">
        <f aca="false">IF(Y263=0,0,IF(T263="Backlog",Q263,Q263*Dashboard!$C$10))</f>
        <v>0</v>
      </c>
      <c r="AA263" s="37" t="n">
        <f aca="false">IF($N263="",0,IF(COUNTIF(Dashboard!$C$13:$C$22,$N263)&gt;0,1,0))</f>
        <v>0</v>
      </c>
      <c r="AB263" s="37" t="str">
        <f aca="false">IF($N263="","",IF(COUNTIF($N$8:$N263,$N263)=1,MAX($AB$7:$AB262)+1,""))</f>
        <v/>
      </c>
    </row>
    <row r="264" customFormat="false" ht="15" hidden="false" customHeight="false" outlineLevel="0" collapsed="false">
      <c r="B264" s="32" t="s">
        <v>731</v>
      </c>
      <c r="C264" s="32" t="s">
        <v>183</v>
      </c>
      <c r="D264" s="35" t="n">
        <v>4200</v>
      </c>
      <c r="E264" s="32" t="s">
        <v>145</v>
      </c>
      <c r="F264" s="36" t="n">
        <v>45966</v>
      </c>
      <c r="G264" s="32" t="s">
        <v>732</v>
      </c>
      <c r="L264" s="37" t="str">
        <f aca="false">IF(INDEX($A264:$J264,$L$6)&lt;&gt;"",TRIM(LEFT(INDEX($A264:$J264,$L$6),FIND("(",INDEX($A264:$J264,$L$6)&amp;"(")-1)),L263)</f>
        <v>Closed Won</v>
      </c>
      <c r="M264" s="37" t="str">
        <f aca="false">IF(INDEX($A264:$J264,$M$6)="","",INDEX($A264:$J264,$M$6)&amp;"")</f>
        <v>Nanosonics AGM 5.11.25</v>
      </c>
      <c r="N264" s="37" t="str">
        <f aca="false">IF($M264="","",TRIM(INDEX($A264:$J264,$N$6)&amp;""))</f>
        <v>Chorus Call</v>
      </c>
      <c r="O264" s="37" t="str">
        <f aca="false">IF($M264="","",TRIM(INDEX($A264:$J264,$O$6)&amp;""))</f>
        <v>Event Production</v>
      </c>
      <c r="P264" s="37" t="str">
        <f aca="false">IF($M264="","",IFERROR(IF(INDEX(Settings!$B$41:$B$50,MATCH(O264,Settings!$A$41:$A$50,0))&amp;""="","UNMAPPED",INDEX(Settings!$B$41:$B$50,MATCH(O264,Settings!$A$41:$A$50,0))&amp;""),"UNMAPPED"))</f>
        <v>Production</v>
      </c>
      <c r="Q264" s="38" t="n">
        <f aca="false">IF($M264="",0,N(INDEX($A264:$J264,$Q$6)))</f>
        <v>4200</v>
      </c>
      <c r="R264" s="39" t="n">
        <f aca="false">IF($M264="","",INDEX($A264:$J264,$R$6))</f>
        <v>45966</v>
      </c>
      <c r="S264" s="37" t="str">
        <f aca="false">IF($M264="","",IFERROR(INDEX(Settings!$B$27:$B$36,MATCH(L264,Settings!$A$27:$A$36,0))&amp;"","UNMAPPED"))</f>
        <v>Won</v>
      </c>
      <c r="T264" s="37" t="str">
        <f aca="false">IF($M264="","",IF(NOT(ISNUMBER(R264)),"NO DATE",IF(S264="Won",IF(R264&gt;Settings!$B$5,"Backlog","Delivered"),IF(S264="Open",IF(R264&gt;Settings!$B$5,"Pipeline","Overdue"),IF(S264="Lost","Lost","UNMAPPED")))))</f>
        <v>Delivered</v>
      </c>
      <c r="U264" s="40" t="n">
        <f aca="false">IF(T264="Backlog",1,IF(OR(T264="Pipeline",T264="Overdue"),N(INDEX(Settings!$C$27:$C$36,MATCH(L264,Settings!$A$27:$A$36,0))),0))</f>
        <v>0</v>
      </c>
      <c r="V264" s="38" t="n">
        <f aca="false">Q264*U264</f>
        <v>0</v>
      </c>
      <c r="W264" s="41" t="n">
        <f aca="false">IF($M264="","",IF(T264="Overdue",IF(Settings!$B$8="Yes",Settings!$B$7,""),IF(ISNUMBER(R264),DATE(YEAR(R264),MONTH(R264),1),"")))</f>
        <v>45962</v>
      </c>
      <c r="X264" s="38" t="n">
        <f aca="false">IF(AND(OR(T264="Backlog",T264="Pipeline",T264="Overdue"),ISNUMBER(W264)),IF(W264&lt;=Settings!$B$6,V264,0),0)</f>
        <v>0</v>
      </c>
      <c r="Y264" s="38" t="n">
        <f aca="false">IF(AND(OR(T264="Backlog",T264="Pipeline",T264="Overdue"),ISNUMBER(W264)),IF(W264&lt;=Settings!$B$6,Q264,0),0)</f>
        <v>0</v>
      </c>
      <c r="Z264" s="38" t="n">
        <f aca="false">IF(Y264=0,0,IF(T264="Backlog",Q264,Q264*Dashboard!$C$10))</f>
        <v>0</v>
      </c>
      <c r="AA264" s="37" t="n">
        <f aca="false">IF($N264="",0,IF(COUNTIF(Dashboard!$C$13:$C$22,$N264)&gt;0,1,0))</f>
        <v>0</v>
      </c>
      <c r="AB264" s="37" t="str">
        <f aca="false">IF($N264="","",IF(COUNTIF($N$8:$N264,$N264)=1,MAX($AB$7:$AB263)+1,""))</f>
        <v/>
      </c>
    </row>
    <row r="265" customFormat="false" ht="15" hidden="false" customHeight="false" outlineLevel="0" collapsed="false">
      <c r="B265" s="32" t="s">
        <v>733</v>
      </c>
      <c r="C265" s="32" t="s">
        <v>316</v>
      </c>
      <c r="D265" s="35" t="n">
        <v>962</v>
      </c>
      <c r="E265" s="32" t="s">
        <v>180</v>
      </c>
      <c r="F265" s="36" t="n">
        <v>45919</v>
      </c>
      <c r="G265" s="32" t="s">
        <v>734</v>
      </c>
      <c r="L265" s="37" t="str">
        <f aca="false">IF(INDEX($A265:$J265,$L$6)&lt;&gt;"",TRIM(LEFT(INDEX($A265:$J265,$L$6),FIND("(",INDEX($A265:$J265,$L$6)&amp;"(")-1)),L264)</f>
        <v>Closed Won</v>
      </c>
      <c r="M265" s="37" t="str">
        <f aca="false">IF(INDEX($A265:$J265,$M$6)="","",INDEX($A265:$J265,$M$6)&amp;"")</f>
        <v>Bankwest Perth | Internship - Tawona Madangure</v>
      </c>
      <c r="N265" s="37" t="str">
        <f aca="false">IF($M265="","",TRIM(INDEX($A265:$J265,$N$6)&amp;""))</f>
        <v>Bankwest</v>
      </c>
      <c r="O265" s="37" t="str">
        <f aca="false">IF($M265="","",TRIM(INDEX($A265:$J265,$O$6)&amp;""))</f>
        <v>Support</v>
      </c>
      <c r="P265" s="37" t="str">
        <f aca="false">IF($M265="","",IFERROR(IF(INDEX(Settings!$B$41:$B$50,MATCH(O265,Settings!$A$41:$A$50,0))&amp;""="","UNMAPPED",INDEX(Settings!$B$41:$B$50,MATCH(O265,Settings!$A$41:$A$50,0))&amp;""),"UNMAPPED"))</f>
        <v>Onsite</v>
      </c>
      <c r="Q265" s="38" t="n">
        <f aca="false">IF($M265="",0,N(INDEX($A265:$J265,$Q$6)))</f>
        <v>962</v>
      </c>
      <c r="R265" s="39" t="n">
        <f aca="false">IF($M265="","",INDEX($A265:$J265,$R$6))</f>
        <v>45919</v>
      </c>
      <c r="S265" s="37" t="str">
        <f aca="false">IF($M265="","",IFERROR(INDEX(Settings!$B$27:$B$36,MATCH(L265,Settings!$A$27:$A$36,0))&amp;"","UNMAPPED"))</f>
        <v>Won</v>
      </c>
      <c r="T265" s="37" t="str">
        <f aca="false">IF($M265="","",IF(NOT(ISNUMBER(R265)),"NO DATE",IF(S265="Won",IF(R265&gt;Settings!$B$5,"Backlog","Delivered"),IF(S265="Open",IF(R265&gt;Settings!$B$5,"Pipeline","Overdue"),IF(S265="Lost","Lost","UNMAPPED")))))</f>
        <v>Delivered</v>
      </c>
      <c r="U265" s="40" t="n">
        <f aca="false">IF(T265="Backlog",1,IF(OR(T265="Pipeline",T265="Overdue"),N(INDEX(Settings!$C$27:$C$36,MATCH(L265,Settings!$A$27:$A$36,0))),0))</f>
        <v>0</v>
      </c>
      <c r="V265" s="38" t="n">
        <f aca="false">Q265*U265</f>
        <v>0</v>
      </c>
      <c r="W265" s="41" t="n">
        <f aca="false">IF($M265="","",IF(T265="Overdue",IF(Settings!$B$8="Yes",Settings!$B$7,""),IF(ISNUMBER(R265),DATE(YEAR(R265),MONTH(R265),1),"")))</f>
        <v>45901</v>
      </c>
      <c r="X265" s="38" t="n">
        <f aca="false">IF(AND(OR(T265="Backlog",T265="Pipeline",T265="Overdue"),ISNUMBER(W265)),IF(W265&lt;=Settings!$B$6,V265,0),0)</f>
        <v>0</v>
      </c>
      <c r="Y265" s="38" t="n">
        <f aca="false">IF(AND(OR(T265="Backlog",T265="Pipeline",T265="Overdue"),ISNUMBER(W265)),IF(W265&lt;=Settings!$B$6,Q265,0),0)</f>
        <v>0</v>
      </c>
      <c r="Z265" s="38" t="n">
        <f aca="false">IF(Y265=0,0,IF(T265="Backlog",Q265,Q265*Dashboard!$C$10))</f>
        <v>0</v>
      </c>
      <c r="AA265" s="37" t="n">
        <f aca="false">IF($N265="",0,IF(COUNTIF(Dashboard!$C$13:$C$22,$N265)&gt;0,1,0))</f>
        <v>0</v>
      </c>
      <c r="AB265" s="37" t="str">
        <f aca="false">IF($N265="","",IF(COUNTIF($N$8:$N265,$N265)=1,MAX($AB$7:$AB264)+1,""))</f>
        <v/>
      </c>
    </row>
    <row r="266" customFormat="false" ht="15" hidden="false" customHeight="false" outlineLevel="0" collapsed="false">
      <c r="B266" s="32" t="s">
        <v>735</v>
      </c>
      <c r="C266" s="32" t="s">
        <v>253</v>
      </c>
      <c r="D266" s="35" t="n">
        <v>4598</v>
      </c>
      <c r="E266" s="32" t="s">
        <v>145</v>
      </c>
      <c r="F266" s="36" t="n">
        <v>45917</v>
      </c>
      <c r="G266" s="32" t="s">
        <v>736</v>
      </c>
      <c r="L266" s="37" t="str">
        <f aca="false">IF(INDEX($A266:$J266,$L$6)&lt;&gt;"",TRIM(LEFT(INDEX($A266:$J266,$L$6),FIND("(",INDEX($A266:$J266,$L$6)&amp;"(")-1)),L265)</f>
        <v>Closed Won</v>
      </c>
      <c r="M266" s="37" t="str">
        <f aca="false">IF(INDEX($A266:$J266,$M$6)="","",INDEX($A266:$J266,$M$6)&amp;"")</f>
        <v>Business Committee - 17.9.25</v>
      </c>
      <c r="N266" s="37" t="str">
        <f aca="false">IF($M266="","",TRIM(INDEX($A266:$J266,$N$6)&amp;""))</f>
        <v>ASX Australian Securities Exchange</v>
      </c>
      <c r="O266" s="37" t="str">
        <f aca="false">IF($M266="","",TRIM(INDEX($A266:$J266,$O$6)&amp;""))</f>
        <v>Event Production</v>
      </c>
      <c r="P266" s="37" t="str">
        <f aca="false">IF($M266="","",IFERROR(IF(INDEX(Settings!$B$41:$B$50,MATCH(O266,Settings!$A$41:$A$50,0))&amp;""="","UNMAPPED",INDEX(Settings!$B$41:$B$50,MATCH(O266,Settings!$A$41:$A$50,0))&amp;""),"UNMAPPED"))</f>
        <v>Production</v>
      </c>
      <c r="Q266" s="38" t="n">
        <f aca="false">IF($M266="",0,N(INDEX($A266:$J266,$Q$6)))</f>
        <v>4598</v>
      </c>
      <c r="R266" s="39" t="n">
        <f aca="false">IF($M266="","",INDEX($A266:$J266,$R$6))</f>
        <v>45917</v>
      </c>
      <c r="S266" s="37" t="str">
        <f aca="false">IF($M266="","",IFERROR(INDEX(Settings!$B$27:$B$36,MATCH(L266,Settings!$A$27:$A$36,0))&amp;"","UNMAPPED"))</f>
        <v>Won</v>
      </c>
      <c r="T266" s="37" t="str">
        <f aca="false">IF($M266="","",IF(NOT(ISNUMBER(R266)),"NO DATE",IF(S266="Won",IF(R266&gt;Settings!$B$5,"Backlog","Delivered"),IF(S266="Open",IF(R266&gt;Settings!$B$5,"Pipeline","Overdue"),IF(S266="Lost","Lost","UNMAPPED")))))</f>
        <v>Delivered</v>
      </c>
      <c r="U266" s="40" t="n">
        <f aca="false">IF(T266="Backlog",1,IF(OR(T266="Pipeline",T266="Overdue"),N(INDEX(Settings!$C$27:$C$36,MATCH(L266,Settings!$A$27:$A$36,0))),0))</f>
        <v>0</v>
      </c>
      <c r="V266" s="38" t="n">
        <f aca="false">Q266*U266</f>
        <v>0</v>
      </c>
      <c r="W266" s="41" t="n">
        <f aca="false">IF($M266="","",IF(T266="Overdue",IF(Settings!$B$8="Yes",Settings!$B$7,""),IF(ISNUMBER(R266),DATE(YEAR(R266),MONTH(R266),1),"")))</f>
        <v>45901</v>
      </c>
      <c r="X266" s="38" t="n">
        <f aca="false">IF(AND(OR(T266="Backlog",T266="Pipeline",T266="Overdue"),ISNUMBER(W266)),IF(W266&lt;=Settings!$B$6,V266,0),0)</f>
        <v>0</v>
      </c>
      <c r="Y266" s="38" t="n">
        <f aca="false">IF(AND(OR(T266="Backlog",T266="Pipeline",T266="Overdue"),ISNUMBER(W266)),IF(W266&lt;=Settings!$B$6,Q266,0),0)</f>
        <v>0</v>
      </c>
      <c r="Z266" s="38" t="n">
        <f aca="false">IF(Y266=0,0,IF(T266="Backlog",Q266,Q266*Dashboard!$C$10))</f>
        <v>0</v>
      </c>
      <c r="AA266" s="37" t="n">
        <f aca="false">IF($N266="",0,IF(COUNTIF(Dashboard!$C$13:$C$22,$N266)&gt;0,1,0))</f>
        <v>0</v>
      </c>
      <c r="AB266" s="37" t="str">
        <f aca="false">IF($N266="","",IF(COUNTIF($N$8:$N266,$N266)=1,MAX($AB$7:$AB265)+1,""))</f>
        <v/>
      </c>
    </row>
    <row r="267" customFormat="false" ht="15" hidden="false" customHeight="false" outlineLevel="0" collapsed="false">
      <c r="B267" s="32" t="s">
        <v>737</v>
      </c>
      <c r="C267" s="32" t="s">
        <v>217</v>
      </c>
      <c r="D267" s="35" t="n">
        <v>760</v>
      </c>
      <c r="E267" s="32" t="s">
        <v>145</v>
      </c>
      <c r="F267" s="36" t="n">
        <v>46293</v>
      </c>
      <c r="G267" s="32" t="s">
        <v>738</v>
      </c>
      <c r="L267" s="37" t="str">
        <f aca="false">IF(INDEX($A267:$J267,$L$6)&lt;&gt;"",TRIM(LEFT(INDEX($A267:$J267,$L$6),FIND("(",INDEX($A267:$J267,$L$6)&amp;"(")-1)),L266)</f>
        <v>Closed Won</v>
      </c>
      <c r="M267" s="37" t="str">
        <f aca="false">IF(INDEX($A267:$J267,$M$6)="","",INDEX($A267:$J267,$M$6)&amp;"")</f>
        <v>Garvan - Breast Cancer Sympsoium - 1.10.26</v>
      </c>
      <c r="N267" s="37" t="str">
        <f aca="false">IF($M267="","",TRIM(INDEX($A267:$J267,$N$6)&amp;""))</f>
        <v>Garvan Institute of Medical Research</v>
      </c>
      <c r="O267" s="37" t="str">
        <f aca="false">IF($M267="","",TRIM(INDEX($A267:$J267,$O$6)&amp;""))</f>
        <v>Event Production</v>
      </c>
      <c r="P267" s="37" t="str">
        <f aca="false">IF($M267="","",IFERROR(IF(INDEX(Settings!$B$41:$B$50,MATCH(O267,Settings!$A$41:$A$50,0))&amp;""="","UNMAPPED",INDEX(Settings!$B$41:$B$50,MATCH(O267,Settings!$A$41:$A$50,0))&amp;""),"UNMAPPED"))</f>
        <v>Production</v>
      </c>
      <c r="Q267" s="38" t="n">
        <f aca="false">IF($M267="",0,N(INDEX($A267:$J267,$Q$6)))</f>
        <v>760</v>
      </c>
      <c r="R267" s="39" t="n">
        <f aca="false">IF($M267="","",INDEX($A267:$J267,$R$6))</f>
        <v>46293</v>
      </c>
      <c r="S267" s="37" t="str">
        <f aca="false">IF($M267="","",IFERROR(INDEX(Settings!$B$27:$B$36,MATCH(L267,Settings!$A$27:$A$36,0))&amp;"","UNMAPPED"))</f>
        <v>Won</v>
      </c>
      <c r="T267" s="37" t="str">
        <f aca="false">IF($M267="","",IF(NOT(ISNUMBER(R267)),"NO DATE",IF(S267="Won",IF(R267&gt;Settings!$B$5,"Backlog","Delivered"),IF(S267="Open",IF(R267&gt;Settings!$B$5,"Pipeline","Overdue"),IF(S267="Lost","Lost","UNMAPPED")))))</f>
        <v>Delivered</v>
      </c>
      <c r="U267" s="40" t="n">
        <f aca="false">IF(T267="Backlog",1,IF(OR(T267="Pipeline",T267="Overdue"),N(INDEX(Settings!$C$27:$C$36,MATCH(L267,Settings!$A$27:$A$36,0))),0))</f>
        <v>0</v>
      </c>
      <c r="V267" s="38" t="n">
        <f aca="false">Q267*U267</f>
        <v>0</v>
      </c>
      <c r="W267" s="41" t="n">
        <f aca="false">IF($M267="","",IF(T267="Overdue",IF(Settings!$B$8="Yes",Settings!$B$7,""),IF(ISNUMBER(R267),DATE(YEAR(R267),MONTH(R267),1),"")))</f>
        <v>46266</v>
      </c>
      <c r="X267" s="38" t="n">
        <f aca="false">IF(AND(OR(T267="Backlog",T267="Pipeline",T267="Overdue"),ISNUMBER(W267)),IF(W267&lt;=Settings!$B$6,V267,0),0)</f>
        <v>0</v>
      </c>
      <c r="Y267" s="38" t="n">
        <f aca="false">IF(AND(OR(T267="Backlog",T267="Pipeline",T267="Overdue"),ISNUMBER(W267)),IF(W267&lt;=Settings!$B$6,Q267,0),0)</f>
        <v>0</v>
      </c>
      <c r="Z267" s="38" t="n">
        <f aca="false">IF(Y267=0,0,IF(T267="Backlog",Q267,Q267*Dashboard!$C$10))</f>
        <v>0</v>
      </c>
      <c r="AA267" s="37" t="n">
        <f aca="false">IF($N267="",0,IF(COUNTIF(Dashboard!$C$13:$C$22,$N267)&gt;0,1,0))</f>
        <v>0</v>
      </c>
      <c r="AB267" s="37" t="str">
        <f aca="false">IF($N267="","",IF(COUNTIF($N$8:$N267,$N267)=1,MAX($AB$7:$AB266)+1,""))</f>
        <v/>
      </c>
    </row>
    <row r="268" customFormat="false" ht="15" hidden="false" customHeight="false" outlineLevel="0" collapsed="false">
      <c r="B268" s="32" t="s">
        <v>739</v>
      </c>
      <c r="C268" s="32" t="s">
        <v>191</v>
      </c>
      <c r="D268" s="35" t="n">
        <v>16494</v>
      </c>
      <c r="E268" s="32" t="s">
        <v>262</v>
      </c>
      <c r="F268" s="36" t="n">
        <v>46001</v>
      </c>
      <c r="G268" s="32" t="s">
        <v>740</v>
      </c>
      <c r="L268" s="37" t="str">
        <f aca="false">IF(INDEX($A268:$J268,$L$6)&lt;&gt;"",TRIM(LEFT(INDEX($A268:$J268,$L$6),FIND("(",INDEX($A268:$J268,$L$6)&amp;"(")-1)),L267)</f>
        <v>Closed Won</v>
      </c>
      <c r="M268" s="37" t="str">
        <f aca="false">IF(INDEX($A268:$J268,$M$6)="","",INDEX($A268:$J268,$M$6)&amp;"")</f>
        <v>CBA Live Events - Hybrid Event Support - 10.12.25</v>
      </c>
      <c r="N268" s="37" t="str">
        <f aca="false">IF($M268="","",TRIM(INDEX($A268:$J268,$N$6)&amp;""))</f>
        <v>Commonwealth Bank Australia (CBA)</v>
      </c>
      <c r="O268" s="37" t="str">
        <f aca="false">IF($M268="","",TRIM(INDEX($A268:$J268,$O$6)&amp;""))</f>
        <v>Multi-Service</v>
      </c>
      <c r="P268" s="37" t="str">
        <f aca="false">IF($M268="","",IFERROR(IF(INDEX(Settings!$B$41:$B$50,MATCH(O268,Settings!$A$41:$A$50,0))&amp;""="","UNMAPPED",INDEX(Settings!$B$41:$B$50,MATCH(O268,Settings!$A$41:$A$50,0))&amp;""),"UNMAPPED"))</f>
        <v>Unallocated</v>
      </c>
      <c r="Q268" s="38" t="n">
        <f aca="false">IF($M268="",0,N(INDEX($A268:$J268,$Q$6)))</f>
        <v>16494</v>
      </c>
      <c r="R268" s="39" t="n">
        <f aca="false">IF($M268="","",INDEX($A268:$J268,$R$6))</f>
        <v>46001</v>
      </c>
      <c r="S268" s="37" t="str">
        <f aca="false">IF($M268="","",IFERROR(INDEX(Settings!$B$27:$B$36,MATCH(L268,Settings!$A$27:$A$36,0))&amp;"","UNMAPPED"))</f>
        <v>Won</v>
      </c>
      <c r="T268" s="37" t="str">
        <f aca="false">IF($M268="","",IF(NOT(ISNUMBER(R268)),"NO DATE",IF(S268="Won",IF(R268&gt;Settings!$B$5,"Backlog","Delivered"),IF(S268="Open",IF(R268&gt;Settings!$B$5,"Pipeline","Overdue"),IF(S268="Lost","Lost","UNMAPPED")))))</f>
        <v>Delivered</v>
      </c>
      <c r="U268" s="40" t="n">
        <f aca="false">IF(T268="Backlog",1,IF(OR(T268="Pipeline",T268="Overdue"),N(INDEX(Settings!$C$27:$C$36,MATCH(L268,Settings!$A$27:$A$36,0))),0))</f>
        <v>0</v>
      </c>
      <c r="V268" s="38" t="n">
        <f aca="false">Q268*U268</f>
        <v>0</v>
      </c>
      <c r="W268" s="41" t="n">
        <f aca="false">IF($M268="","",IF(T268="Overdue",IF(Settings!$B$8="Yes",Settings!$B$7,""),IF(ISNUMBER(R268),DATE(YEAR(R268),MONTH(R268),1),"")))</f>
        <v>45992</v>
      </c>
      <c r="X268" s="38" t="n">
        <f aca="false">IF(AND(OR(T268="Backlog",T268="Pipeline",T268="Overdue"),ISNUMBER(W268)),IF(W268&lt;=Settings!$B$6,V268,0),0)</f>
        <v>0</v>
      </c>
      <c r="Y268" s="38" t="n">
        <f aca="false">IF(AND(OR(T268="Backlog",T268="Pipeline",T268="Overdue"),ISNUMBER(W268)),IF(W268&lt;=Settings!$B$6,Q268,0),0)</f>
        <v>0</v>
      </c>
      <c r="Z268" s="38" t="n">
        <f aca="false">IF(Y268=0,0,IF(T268="Backlog",Q268,Q268*Dashboard!$C$10))</f>
        <v>0</v>
      </c>
      <c r="AA268" s="37" t="n">
        <f aca="false">IF($N268="",0,IF(COUNTIF(Dashboard!$C$13:$C$22,$N268)&gt;0,1,0))</f>
        <v>0</v>
      </c>
      <c r="AB268" s="37" t="str">
        <f aca="false">IF($N268="","",IF(COUNTIF($N$8:$N268,$N268)=1,MAX($AB$7:$AB267)+1,""))</f>
        <v/>
      </c>
    </row>
    <row r="269" customFormat="false" ht="15" hidden="false" customHeight="false" outlineLevel="0" collapsed="false">
      <c r="B269" s="32" t="s">
        <v>741</v>
      </c>
      <c r="C269" s="32" t="s">
        <v>140</v>
      </c>
      <c r="D269" s="35" t="n">
        <v>1275</v>
      </c>
      <c r="E269" s="32" t="s">
        <v>180</v>
      </c>
      <c r="F269" s="36" t="n">
        <v>46241</v>
      </c>
      <c r="G269" s="32" t="s">
        <v>742</v>
      </c>
      <c r="L269" s="37" t="str">
        <f aca="false">IF(INDEX($A269:$J269,$L$6)&lt;&gt;"",TRIM(LEFT(INDEX($A269:$J269,$L$6),FIND("(",INDEX($A269:$J269,$L$6)&amp;"(")-1)),L268)</f>
        <v>Closed Won</v>
      </c>
      <c r="M269" s="37" t="str">
        <f aca="false">IF(INDEX($A269:$J269,$M$6)="","",INDEX($A269:$J269,$M$6)&amp;"")</f>
        <v>Tech Support - Change Maker</v>
      </c>
      <c r="N269" s="37" t="str">
        <f aca="false">IF($M269="","",TRIM(INDEX($A269:$J269,$N$6)&amp;""))</f>
        <v>Deloitte Australia</v>
      </c>
      <c r="O269" s="37" t="str">
        <f aca="false">IF($M269="","",TRIM(INDEX($A269:$J269,$O$6)&amp;""))</f>
        <v>Support</v>
      </c>
      <c r="P269" s="37" t="str">
        <f aca="false">IF($M269="","",IFERROR(IF(INDEX(Settings!$B$41:$B$50,MATCH(O269,Settings!$A$41:$A$50,0))&amp;""="","UNMAPPED",INDEX(Settings!$B$41:$B$50,MATCH(O269,Settings!$A$41:$A$50,0))&amp;""),"UNMAPPED"))</f>
        <v>Onsite</v>
      </c>
      <c r="Q269" s="38" t="n">
        <f aca="false">IF($M269="",0,N(INDEX($A269:$J269,$Q$6)))</f>
        <v>1275</v>
      </c>
      <c r="R269" s="39" t="n">
        <f aca="false">IF($M269="","",INDEX($A269:$J269,$R$6))</f>
        <v>46241</v>
      </c>
      <c r="S269" s="37" t="str">
        <f aca="false">IF($M269="","",IFERROR(INDEX(Settings!$B$27:$B$36,MATCH(L269,Settings!$A$27:$A$36,0))&amp;"","UNMAPPED"))</f>
        <v>Won</v>
      </c>
      <c r="T269" s="37" t="str">
        <f aca="false">IF($M269="","",IF(NOT(ISNUMBER(R269)),"NO DATE",IF(S269="Won",IF(R269&gt;Settings!$B$5,"Backlog","Delivered"),IF(S269="Open",IF(R269&gt;Settings!$B$5,"Pipeline","Overdue"),IF(S269="Lost","Lost","UNMAPPED")))))</f>
        <v>Delivered</v>
      </c>
      <c r="U269" s="40" t="n">
        <f aca="false">IF(T269="Backlog",1,IF(OR(T269="Pipeline",T269="Overdue"),N(INDEX(Settings!$C$27:$C$36,MATCH(L269,Settings!$A$27:$A$36,0))),0))</f>
        <v>0</v>
      </c>
      <c r="V269" s="38" t="n">
        <f aca="false">Q269*U269</f>
        <v>0</v>
      </c>
      <c r="W269" s="41" t="n">
        <f aca="false">IF($M269="","",IF(T269="Overdue",IF(Settings!$B$8="Yes",Settings!$B$7,""),IF(ISNUMBER(R269),DATE(YEAR(R269),MONTH(R269),1),"")))</f>
        <v>46235</v>
      </c>
      <c r="X269" s="38" t="n">
        <f aca="false">IF(AND(OR(T269="Backlog",T269="Pipeline",T269="Overdue"),ISNUMBER(W269)),IF(W269&lt;=Settings!$B$6,V269,0),0)</f>
        <v>0</v>
      </c>
      <c r="Y269" s="38" t="n">
        <f aca="false">IF(AND(OR(T269="Backlog",T269="Pipeline",T269="Overdue"),ISNUMBER(W269)),IF(W269&lt;=Settings!$B$6,Q269,0),0)</f>
        <v>0</v>
      </c>
      <c r="Z269" s="38" t="n">
        <f aca="false">IF(Y269=0,0,IF(T269="Backlog",Q269,Q269*Dashboard!$C$10))</f>
        <v>0</v>
      </c>
      <c r="AA269" s="37" t="n">
        <f aca="false">IF($N269="",0,IF(COUNTIF(Dashboard!$C$13:$C$22,$N269)&gt;0,1,0))</f>
        <v>0</v>
      </c>
      <c r="AB269" s="37" t="str">
        <f aca="false">IF($N269="","",IF(COUNTIF($N$8:$N269,$N269)=1,MAX($AB$7:$AB268)+1,""))</f>
        <v/>
      </c>
    </row>
    <row r="270" customFormat="false" ht="15" hidden="false" customHeight="false" outlineLevel="0" collapsed="false">
      <c r="B270" s="32" t="s">
        <v>743</v>
      </c>
      <c r="C270" s="32" t="s">
        <v>154</v>
      </c>
      <c r="D270" s="35" t="n">
        <v>1810</v>
      </c>
      <c r="E270" s="32" t="s">
        <v>145</v>
      </c>
      <c r="F270" s="36" t="n">
        <v>45966</v>
      </c>
      <c r="G270" s="32" t="s">
        <v>744</v>
      </c>
      <c r="L270" s="37" t="str">
        <f aca="false">IF(INDEX($A270:$J270,$L$6)&lt;&gt;"",TRIM(LEFT(INDEX($A270:$J270,$L$6),FIND("(",INDEX($A270:$J270,$L$6)&amp;"(")-1)),L269)</f>
        <v>Closed Won</v>
      </c>
      <c r="M270" s="37" t="str">
        <f aca="false">IF(INDEX($A270:$J270,$M$6)="","",INDEX($A270:$J270,$M$6)&amp;"")</f>
        <v>PWC Studio Event 5.11.25</v>
      </c>
      <c r="N270" s="37" t="str">
        <f aca="false">IF($M270="","",TRIM(INDEX($A270:$J270,$N$6)&amp;""))</f>
        <v>PWC</v>
      </c>
      <c r="O270" s="37" t="str">
        <f aca="false">IF($M270="","",TRIM(INDEX($A270:$J270,$O$6)&amp;""))</f>
        <v>Event Production</v>
      </c>
      <c r="P270" s="37" t="str">
        <f aca="false">IF($M270="","",IFERROR(IF(INDEX(Settings!$B$41:$B$50,MATCH(O270,Settings!$A$41:$A$50,0))&amp;""="","UNMAPPED",INDEX(Settings!$B$41:$B$50,MATCH(O270,Settings!$A$41:$A$50,0))&amp;""),"UNMAPPED"))</f>
        <v>Production</v>
      </c>
      <c r="Q270" s="38" t="n">
        <f aca="false">IF($M270="",0,N(INDEX($A270:$J270,$Q$6)))</f>
        <v>1810</v>
      </c>
      <c r="R270" s="39" t="n">
        <f aca="false">IF($M270="","",INDEX($A270:$J270,$R$6))</f>
        <v>45966</v>
      </c>
      <c r="S270" s="37" t="str">
        <f aca="false">IF($M270="","",IFERROR(INDEX(Settings!$B$27:$B$36,MATCH(L270,Settings!$A$27:$A$36,0))&amp;"","UNMAPPED"))</f>
        <v>Won</v>
      </c>
      <c r="T270" s="37" t="str">
        <f aca="false">IF($M270="","",IF(NOT(ISNUMBER(R270)),"NO DATE",IF(S270="Won",IF(R270&gt;Settings!$B$5,"Backlog","Delivered"),IF(S270="Open",IF(R270&gt;Settings!$B$5,"Pipeline","Overdue"),IF(S270="Lost","Lost","UNMAPPED")))))</f>
        <v>Delivered</v>
      </c>
      <c r="U270" s="40" t="n">
        <f aca="false">IF(T270="Backlog",1,IF(OR(T270="Pipeline",T270="Overdue"),N(INDEX(Settings!$C$27:$C$36,MATCH(L270,Settings!$A$27:$A$36,0))),0))</f>
        <v>0</v>
      </c>
      <c r="V270" s="38" t="n">
        <f aca="false">Q270*U270</f>
        <v>0</v>
      </c>
      <c r="W270" s="41" t="n">
        <f aca="false">IF($M270="","",IF(T270="Overdue",IF(Settings!$B$8="Yes",Settings!$B$7,""),IF(ISNUMBER(R270),DATE(YEAR(R270),MONTH(R270),1),"")))</f>
        <v>45962</v>
      </c>
      <c r="X270" s="38" t="n">
        <f aca="false">IF(AND(OR(T270="Backlog",T270="Pipeline",T270="Overdue"),ISNUMBER(W270)),IF(W270&lt;=Settings!$B$6,V270,0),0)</f>
        <v>0</v>
      </c>
      <c r="Y270" s="38" t="n">
        <f aca="false">IF(AND(OR(T270="Backlog",T270="Pipeline",T270="Overdue"),ISNUMBER(W270)),IF(W270&lt;=Settings!$B$6,Q270,0),0)</f>
        <v>0</v>
      </c>
      <c r="Z270" s="38" t="n">
        <f aca="false">IF(Y270=0,0,IF(T270="Backlog",Q270,Q270*Dashboard!$C$10))</f>
        <v>0</v>
      </c>
      <c r="AA270" s="37" t="n">
        <f aca="false">IF($N270="",0,IF(COUNTIF(Dashboard!$C$13:$C$22,$N270)&gt;0,1,0))</f>
        <v>0</v>
      </c>
      <c r="AB270" s="37" t="str">
        <f aca="false">IF($N270="","",IF(COUNTIF($N$8:$N270,$N270)=1,MAX($AB$7:$AB269)+1,""))</f>
        <v/>
      </c>
    </row>
    <row r="271" customFormat="false" ht="15" hidden="false" customHeight="false" outlineLevel="0" collapsed="false">
      <c r="B271" s="32" t="s">
        <v>745</v>
      </c>
      <c r="C271" s="32" t="s">
        <v>239</v>
      </c>
      <c r="D271" s="35" t="n">
        <v>10368</v>
      </c>
      <c r="E271" s="32" t="s">
        <v>145</v>
      </c>
      <c r="F271" s="36" t="n">
        <v>46169</v>
      </c>
      <c r="G271" s="32" t="s">
        <v>746</v>
      </c>
      <c r="L271" s="37" t="str">
        <f aca="false">IF(INDEX($A271:$J271,$L$6)&lt;&gt;"",TRIM(LEFT(INDEX($A271:$J271,$L$6),FIND("(",INDEX($A271:$J271,$L$6)&amp;"(")-1)),L270)</f>
        <v>Closed Won</v>
      </c>
      <c r="M271" s="37" t="str">
        <f aca="false">IF(INDEX($A271:$J271,$M$6)="","",INDEX($A271:$J271,$M$6)&amp;"")</f>
        <v>TLC - Investor Day - 3.6.26</v>
      </c>
      <c r="N271" s="37" t="str">
        <f aca="false">IF($M271="","",TRIM(INDEX($A271:$J271,$N$6)&amp;""))</f>
        <v>The Lottery Corporation</v>
      </c>
      <c r="O271" s="37" t="str">
        <f aca="false">IF($M271="","",TRIM(INDEX($A271:$J271,$O$6)&amp;""))</f>
        <v>Event Production</v>
      </c>
      <c r="P271" s="37" t="str">
        <f aca="false">IF($M271="","",IFERROR(IF(INDEX(Settings!$B$41:$B$50,MATCH(O271,Settings!$A$41:$A$50,0))&amp;""="","UNMAPPED",INDEX(Settings!$B$41:$B$50,MATCH(O271,Settings!$A$41:$A$50,0))&amp;""),"UNMAPPED"))</f>
        <v>Production</v>
      </c>
      <c r="Q271" s="38" t="n">
        <f aca="false">IF($M271="",0,N(INDEX($A271:$J271,$Q$6)))</f>
        <v>10368</v>
      </c>
      <c r="R271" s="39" t="n">
        <f aca="false">IF($M271="","",INDEX($A271:$J271,$R$6))</f>
        <v>46169</v>
      </c>
      <c r="S271" s="37" t="str">
        <f aca="false">IF($M271="","",IFERROR(INDEX(Settings!$B$27:$B$36,MATCH(L271,Settings!$A$27:$A$36,0))&amp;"","UNMAPPED"))</f>
        <v>Won</v>
      </c>
      <c r="T271" s="37" t="str">
        <f aca="false">IF($M271="","",IF(NOT(ISNUMBER(R271)),"NO DATE",IF(S271="Won",IF(R271&gt;Settings!$B$5,"Backlog","Delivered"),IF(S271="Open",IF(R271&gt;Settings!$B$5,"Pipeline","Overdue"),IF(S271="Lost","Lost","UNMAPPED")))))</f>
        <v>Delivered</v>
      </c>
      <c r="U271" s="40" t="n">
        <f aca="false">IF(T271="Backlog",1,IF(OR(T271="Pipeline",T271="Overdue"),N(INDEX(Settings!$C$27:$C$36,MATCH(L271,Settings!$A$27:$A$36,0))),0))</f>
        <v>0</v>
      </c>
      <c r="V271" s="38" t="n">
        <f aca="false">Q271*U271</f>
        <v>0</v>
      </c>
      <c r="W271" s="41" t="n">
        <f aca="false">IF($M271="","",IF(T271="Overdue",IF(Settings!$B$8="Yes",Settings!$B$7,""),IF(ISNUMBER(R271),DATE(YEAR(R271),MONTH(R271),1),"")))</f>
        <v>46143</v>
      </c>
      <c r="X271" s="38" t="n">
        <f aca="false">IF(AND(OR(T271="Backlog",T271="Pipeline",T271="Overdue"),ISNUMBER(W271)),IF(W271&lt;=Settings!$B$6,V271,0),0)</f>
        <v>0</v>
      </c>
      <c r="Y271" s="38" t="n">
        <f aca="false">IF(AND(OR(T271="Backlog",T271="Pipeline",T271="Overdue"),ISNUMBER(W271)),IF(W271&lt;=Settings!$B$6,Q271,0),0)</f>
        <v>0</v>
      </c>
      <c r="Z271" s="38" t="n">
        <f aca="false">IF(Y271=0,0,IF(T271="Backlog",Q271,Q271*Dashboard!$C$10))</f>
        <v>0</v>
      </c>
      <c r="AA271" s="37" t="n">
        <f aca="false">IF($N271="",0,IF(COUNTIF(Dashboard!$C$13:$C$22,$N271)&gt;0,1,0))</f>
        <v>0</v>
      </c>
      <c r="AB271" s="37" t="str">
        <f aca="false">IF($N271="","",IF(COUNTIF($N$8:$N271,$N271)=1,MAX($AB$7:$AB270)+1,""))</f>
        <v/>
      </c>
    </row>
    <row r="272" customFormat="false" ht="15" hidden="false" customHeight="false" outlineLevel="0" collapsed="false">
      <c r="B272" s="32" t="s">
        <v>747</v>
      </c>
      <c r="C272" s="32" t="s">
        <v>191</v>
      </c>
      <c r="D272" s="35" t="n">
        <v>3905</v>
      </c>
      <c r="E272" s="32" t="s">
        <v>145</v>
      </c>
      <c r="F272" s="36" t="n">
        <v>46098</v>
      </c>
      <c r="G272" s="32" t="s">
        <v>748</v>
      </c>
      <c r="L272" s="37" t="str">
        <f aca="false">IF(INDEX($A272:$J272,$L$6)&lt;&gt;"",TRIM(LEFT(INDEX($A272:$J272,$L$6),FIND("(",INDEX($A272:$J272,$L$6)&amp;"(")-1)),L271)</f>
        <v>Closed Won</v>
      </c>
      <c r="M272" s="37" t="str">
        <f aca="false">IF(INDEX($A272:$J272,$M$6)="","",INDEX($A272:$J272,$M$6)&amp;"")</f>
        <v>CBA Panel Event 24.3.26</v>
      </c>
      <c r="N272" s="37" t="str">
        <f aca="false">IF($M272="","",TRIM(INDEX($A272:$J272,$N$6)&amp;""))</f>
        <v>Commonwealth Bank Australia (CBA)</v>
      </c>
      <c r="O272" s="37" t="str">
        <f aca="false">IF($M272="","",TRIM(INDEX($A272:$J272,$O$6)&amp;""))</f>
        <v>Event Production</v>
      </c>
      <c r="P272" s="37" t="str">
        <f aca="false">IF($M272="","",IFERROR(IF(INDEX(Settings!$B$41:$B$50,MATCH(O272,Settings!$A$41:$A$50,0))&amp;""="","UNMAPPED",INDEX(Settings!$B$41:$B$50,MATCH(O272,Settings!$A$41:$A$50,0))&amp;""),"UNMAPPED"))</f>
        <v>Production</v>
      </c>
      <c r="Q272" s="38" t="n">
        <f aca="false">IF($M272="",0,N(INDEX($A272:$J272,$Q$6)))</f>
        <v>3905</v>
      </c>
      <c r="R272" s="39" t="n">
        <f aca="false">IF($M272="","",INDEX($A272:$J272,$R$6))</f>
        <v>46098</v>
      </c>
      <c r="S272" s="37" t="str">
        <f aca="false">IF($M272="","",IFERROR(INDEX(Settings!$B$27:$B$36,MATCH(L272,Settings!$A$27:$A$36,0))&amp;"","UNMAPPED"))</f>
        <v>Won</v>
      </c>
      <c r="T272" s="37" t="str">
        <f aca="false">IF($M272="","",IF(NOT(ISNUMBER(R272)),"NO DATE",IF(S272="Won",IF(R272&gt;Settings!$B$5,"Backlog","Delivered"),IF(S272="Open",IF(R272&gt;Settings!$B$5,"Pipeline","Overdue"),IF(S272="Lost","Lost","UNMAPPED")))))</f>
        <v>Delivered</v>
      </c>
      <c r="U272" s="40" t="n">
        <f aca="false">IF(T272="Backlog",1,IF(OR(T272="Pipeline",T272="Overdue"),N(INDEX(Settings!$C$27:$C$36,MATCH(L272,Settings!$A$27:$A$36,0))),0))</f>
        <v>0</v>
      </c>
      <c r="V272" s="38" t="n">
        <f aca="false">Q272*U272</f>
        <v>0</v>
      </c>
      <c r="W272" s="41" t="n">
        <f aca="false">IF($M272="","",IF(T272="Overdue",IF(Settings!$B$8="Yes",Settings!$B$7,""),IF(ISNUMBER(R272),DATE(YEAR(R272),MONTH(R272),1),"")))</f>
        <v>46082</v>
      </c>
      <c r="X272" s="38" t="n">
        <f aca="false">IF(AND(OR(T272="Backlog",T272="Pipeline",T272="Overdue"),ISNUMBER(W272)),IF(W272&lt;=Settings!$B$6,V272,0),0)</f>
        <v>0</v>
      </c>
      <c r="Y272" s="38" t="n">
        <f aca="false">IF(AND(OR(T272="Backlog",T272="Pipeline",T272="Overdue"),ISNUMBER(W272)),IF(W272&lt;=Settings!$B$6,Q272,0),0)</f>
        <v>0</v>
      </c>
      <c r="Z272" s="38" t="n">
        <f aca="false">IF(Y272=0,0,IF(T272="Backlog",Q272,Q272*Dashboard!$C$10))</f>
        <v>0</v>
      </c>
      <c r="AA272" s="37" t="n">
        <f aca="false">IF($N272="",0,IF(COUNTIF(Dashboard!$C$13:$C$22,$N272)&gt;0,1,0))</f>
        <v>0</v>
      </c>
      <c r="AB272" s="37" t="str">
        <f aca="false">IF($N272="","",IF(COUNTIF($N$8:$N272,$N272)=1,MAX($AB$7:$AB271)+1,""))</f>
        <v/>
      </c>
    </row>
    <row r="273" customFormat="false" ht="15" hidden="false" customHeight="false" outlineLevel="0" collapsed="false">
      <c r="B273" s="32" t="s">
        <v>749</v>
      </c>
      <c r="C273" s="32" t="s">
        <v>679</v>
      </c>
      <c r="D273" s="35" t="n">
        <v>340</v>
      </c>
      <c r="E273" s="32" t="s">
        <v>180</v>
      </c>
      <c r="F273" s="36" t="n">
        <v>46192</v>
      </c>
      <c r="G273" s="32" t="s">
        <v>750</v>
      </c>
      <c r="L273" s="37" t="str">
        <f aca="false">IF(INDEX($A273:$J273,$L$6)&lt;&gt;"",TRIM(LEFT(INDEX($A273:$J273,$L$6),FIND("(",INDEX($A273:$J273,$L$6)&amp;"(")-1)),L272)</f>
        <v>Closed Won</v>
      </c>
      <c r="M273" s="37" t="str">
        <f aca="false">IF(INDEX($A273:$J273,$M$6)="","",INDEX($A273:$J273,$M$6)&amp;"")</f>
        <v>AVIT - Pinsent Masons Technician Callout</v>
      </c>
      <c r="N273" s="37" t="str">
        <f aca="false">IF($M273="","",TRIM(INDEX($A273:$J273,$N$6)&amp;""))</f>
        <v>AVIT</v>
      </c>
      <c r="O273" s="37" t="str">
        <f aca="false">IF($M273="","",TRIM(INDEX($A273:$J273,$O$6)&amp;""))</f>
        <v>Support</v>
      </c>
      <c r="P273" s="37" t="str">
        <f aca="false">IF($M273="","",IFERROR(IF(INDEX(Settings!$B$41:$B$50,MATCH(O273,Settings!$A$41:$A$50,0))&amp;""="","UNMAPPED",INDEX(Settings!$B$41:$B$50,MATCH(O273,Settings!$A$41:$A$50,0))&amp;""),"UNMAPPED"))</f>
        <v>Onsite</v>
      </c>
      <c r="Q273" s="38" t="n">
        <f aca="false">IF($M273="",0,N(INDEX($A273:$J273,$Q$6)))</f>
        <v>340</v>
      </c>
      <c r="R273" s="39" t="n">
        <f aca="false">IF($M273="","",INDEX($A273:$J273,$R$6))</f>
        <v>46192</v>
      </c>
      <c r="S273" s="37" t="str">
        <f aca="false">IF($M273="","",IFERROR(INDEX(Settings!$B$27:$B$36,MATCH(L273,Settings!$A$27:$A$36,0))&amp;"","UNMAPPED"))</f>
        <v>Won</v>
      </c>
      <c r="T273" s="37" t="str">
        <f aca="false">IF($M273="","",IF(NOT(ISNUMBER(R273)),"NO DATE",IF(S273="Won",IF(R273&gt;Settings!$B$5,"Backlog","Delivered"),IF(S273="Open",IF(R273&gt;Settings!$B$5,"Pipeline","Overdue"),IF(S273="Lost","Lost","UNMAPPED")))))</f>
        <v>Delivered</v>
      </c>
      <c r="U273" s="40" t="n">
        <f aca="false">IF(T273="Backlog",1,IF(OR(T273="Pipeline",T273="Overdue"),N(INDEX(Settings!$C$27:$C$36,MATCH(L273,Settings!$A$27:$A$36,0))),0))</f>
        <v>0</v>
      </c>
      <c r="V273" s="38" t="n">
        <f aca="false">Q273*U273</f>
        <v>0</v>
      </c>
      <c r="W273" s="41" t="n">
        <f aca="false">IF($M273="","",IF(T273="Overdue",IF(Settings!$B$8="Yes",Settings!$B$7,""),IF(ISNUMBER(R273),DATE(YEAR(R273),MONTH(R273),1),"")))</f>
        <v>46174</v>
      </c>
      <c r="X273" s="38" t="n">
        <f aca="false">IF(AND(OR(T273="Backlog",T273="Pipeline",T273="Overdue"),ISNUMBER(W273)),IF(W273&lt;=Settings!$B$6,V273,0),0)</f>
        <v>0</v>
      </c>
      <c r="Y273" s="38" t="n">
        <f aca="false">IF(AND(OR(T273="Backlog",T273="Pipeline",T273="Overdue"),ISNUMBER(W273)),IF(W273&lt;=Settings!$B$6,Q273,0),0)</f>
        <v>0</v>
      </c>
      <c r="Z273" s="38" t="n">
        <f aca="false">IF(Y273=0,0,IF(T273="Backlog",Q273,Q273*Dashboard!$C$10))</f>
        <v>0</v>
      </c>
      <c r="AA273" s="37" t="n">
        <f aca="false">IF($N273="",0,IF(COUNTIF(Dashboard!$C$13:$C$22,$N273)&gt;0,1,0))</f>
        <v>0</v>
      </c>
      <c r="AB273" s="37" t="str">
        <f aca="false">IF($N273="","",IF(COUNTIF($N$8:$N273,$N273)=1,MAX($AB$7:$AB272)+1,""))</f>
        <v/>
      </c>
    </row>
    <row r="274" customFormat="false" ht="15" hidden="false" customHeight="false" outlineLevel="0" collapsed="false">
      <c r="B274" s="32" t="s">
        <v>751</v>
      </c>
      <c r="C274" s="32" t="s">
        <v>205</v>
      </c>
      <c r="D274" s="35" t="n">
        <v>2862</v>
      </c>
      <c r="E274" s="32" t="s">
        <v>145</v>
      </c>
      <c r="F274" s="36" t="n">
        <v>46001</v>
      </c>
      <c r="G274" s="32" t="s">
        <v>752</v>
      </c>
      <c r="L274" s="37" t="str">
        <f aca="false">IF(INDEX($A274:$J274,$L$6)&lt;&gt;"",TRIM(LEFT(INDEX($A274:$J274,$L$6),FIND("(",INDEX($A274:$J274,$L$6)&amp;"(")-1)),L273)</f>
        <v>Closed Won</v>
      </c>
      <c r="M274" s="37" t="str">
        <f aca="false">IF(INDEX($A274:$J274,$M$6)="","",INDEX($A274:$J274,$M$6)&amp;"")</f>
        <v>Next Gen AV Dry Hire</v>
      </c>
      <c r="N274" s="37" t="str">
        <f aca="false">IF($M274="","",TRIM(INDEX($A274:$J274,$N$6)&amp;""))</f>
        <v>Deloitte - Sydney</v>
      </c>
      <c r="O274" s="37" t="str">
        <f aca="false">IF($M274="","",TRIM(INDEX($A274:$J274,$O$6)&amp;""))</f>
        <v>Event Production</v>
      </c>
      <c r="P274" s="37" t="str">
        <f aca="false">IF($M274="","",IFERROR(IF(INDEX(Settings!$B$41:$B$50,MATCH(O274,Settings!$A$41:$A$50,0))&amp;""="","UNMAPPED",INDEX(Settings!$B$41:$B$50,MATCH(O274,Settings!$A$41:$A$50,0))&amp;""),"UNMAPPED"))</f>
        <v>Production</v>
      </c>
      <c r="Q274" s="38" t="n">
        <f aca="false">IF($M274="",0,N(INDEX($A274:$J274,$Q$6)))</f>
        <v>2862</v>
      </c>
      <c r="R274" s="39" t="n">
        <f aca="false">IF($M274="","",INDEX($A274:$J274,$R$6))</f>
        <v>46001</v>
      </c>
      <c r="S274" s="37" t="str">
        <f aca="false">IF($M274="","",IFERROR(INDEX(Settings!$B$27:$B$36,MATCH(L274,Settings!$A$27:$A$36,0))&amp;"","UNMAPPED"))</f>
        <v>Won</v>
      </c>
      <c r="T274" s="37" t="str">
        <f aca="false">IF($M274="","",IF(NOT(ISNUMBER(R274)),"NO DATE",IF(S274="Won",IF(R274&gt;Settings!$B$5,"Backlog","Delivered"),IF(S274="Open",IF(R274&gt;Settings!$B$5,"Pipeline","Overdue"),IF(S274="Lost","Lost","UNMAPPED")))))</f>
        <v>Delivered</v>
      </c>
      <c r="U274" s="40" t="n">
        <f aca="false">IF(T274="Backlog",1,IF(OR(T274="Pipeline",T274="Overdue"),N(INDEX(Settings!$C$27:$C$36,MATCH(L274,Settings!$A$27:$A$36,0))),0))</f>
        <v>0</v>
      </c>
      <c r="V274" s="38" t="n">
        <f aca="false">Q274*U274</f>
        <v>0</v>
      </c>
      <c r="W274" s="41" t="n">
        <f aca="false">IF($M274="","",IF(T274="Overdue",IF(Settings!$B$8="Yes",Settings!$B$7,""),IF(ISNUMBER(R274),DATE(YEAR(R274),MONTH(R274),1),"")))</f>
        <v>45992</v>
      </c>
      <c r="X274" s="38" t="n">
        <f aca="false">IF(AND(OR(T274="Backlog",T274="Pipeline",T274="Overdue"),ISNUMBER(W274)),IF(W274&lt;=Settings!$B$6,V274,0),0)</f>
        <v>0</v>
      </c>
      <c r="Y274" s="38" t="n">
        <f aca="false">IF(AND(OR(T274="Backlog",T274="Pipeline",T274="Overdue"),ISNUMBER(W274)),IF(W274&lt;=Settings!$B$6,Q274,0),0)</f>
        <v>0</v>
      </c>
      <c r="Z274" s="38" t="n">
        <f aca="false">IF(Y274=0,0,IF(T274="Backlog",Q274,Q274*Dashboard!$C$10))</f>
        <v>0</v>
      </c>
      <c r="AA274" s="37" t="n">
        <f aca="false">IF($N274="",0,IF(COUNTIF(Dashboard!$C$13:$C$22,$N274)&gt;0,1,0))</f>
        <v>0</v>
      </c>
      <c r="AB274" s="37" t="str">
        <f aca="false">IF($N274="","",IF(COUNTIF($N$8:$N274,$N274)=1,MAX($AB$7:$AB273)+1,""))</f>
        <v/>
      </c>
    </row>
    <row r="275" customFormat="false" ht="15" hidden="false" customHeight="false" outlineLevel="0" collapsed="false">
      <c r="B275" s="32" t="s">
        <v>753</v>
      </c>
      <c r="C275" s="32" t="s">
        <v>188</v>
      </c>
      <c r="D275" s="35" t="n">
        <v>132000</v>
      </c>
      <c r="E275" s="32" t="s">
        <v>180</v>
      </c>
      <c r="F275" s="36" t="n">
        <v>46185</v>
      </c>
      <c r="G275" s="32" t="s">
        <v>754</v>
      </c>
      <c r="L275" s="37" t="str">
        <f aca="false">IF(INDEX($A275:$J275,$L$6)&lt;&gt;"",TRIM(LEFT(INDEX($A275:$J275,$L$6),FIND("(",INDEX($A275:$J275,$L$6)&amp;"(")-1)),L274)</f>
        <v>Closed Won</v>
      </c>
      <c r="M275" s="37" t="str">
        <f aca="false">IF(INDEX($A275:$J275,$M$6)="","",INDEX($A275:$J275,$M$6)&amp;"")</f>
        <v>Annual National Maintenance | 26022301</v>
      </c>
      <c r="N275" s="37" t="str">
        <f aca="false">IF($M275="","",TRIM(INDEX($A275:$J275,$N$6)&amp;""))</f>
        <v>Aware Super</v>
      </c>
      <c r="O275" s="37" t="str">
        <f aca="false">IF($M275="","",TRIM(INDEX($A275:$J275,$O$6)&amp;""))</f>
        <v>Support</v>
      </c>
      <c r="P275" s="37" t="str">
        <f aca="false">IF($M275="","",IFERROR(IF(INDEX(Settings!$B$41:$B$50,MATCH(O275,Settings!$A$41:$A$50,0))&amp;""="","UNMAPPED",INDEX(Settings!$B$41:$B$50,MATCH(O275,Settings!$A$41:$A$50,0))&amp;""),"UNMAPPED"))</f>
        <v>Onsite</v>
      </c>
      <c r="Q275" s="38" t="n">
        <f aca="false">IF($M275="",0,N(INDEX($A275:$J275,$Q$6)))</f>
        <v>132000</v>
      </c>
      <c r="R275" s="39" t="n">
        <f aca="false">IF($M275="","",INDEX($A275:$J275,$R$6))</f>
        <v>46185</v>
      </c>
      <c r="S275" s="37" t="str">
        <f aca="false">IF($M275="","",IFERROR(INDEX(Settings!$B$27:$B$36,MATCH(L275,Settings!$A$27:$A$36,0))&amp;"","UNMAPPED"))</f>
        <v>Won</v>
      </c>
      <c r="T275" s="37" t="str">
        <f aca="false">IF($M275="","",IF(NOT(ISNUMBER(R275)),"NO DATE",IF(S275="Won",IF(R275&gt;Settings!$B$5,"Backlog","Delivered"),IF(S275="Open",IF(R275&gt;Settings!$B$5,"Pipeline","Overdue"),IF(S275="Lost","Lost","UNMAPPED")))))</f>
        <v>Delivered</v>
      </c>
      <c r="U275" s="40" t="n">
        <f aca="false">IF(T275="Backlog",1,IF(OR(T275="Pipeline",T275="Overdue"),N(INDEX(Settings!$C$27:$C$36,MATCH(L275,Settings!$A$27:$A$36,0))),0))</f>
        <v>0</v>
      </c>
      <c r="V275" s="38" t="n">
        <f aca="false">Q275*U275</f>
        <v>0</v>
      </c>
      <c r="W275" s="41" t="n">
        <f aca="false">IF($M275="","",IF(T275="Overdue",IF(Settings!$B$8="Yes",Settings!$B$7,""),IF(ISNUMBER(R275),DATE(YEAR(R275),MONTH(R275),1),"")))</f>
        <v>46174</v>
      </c>
      <c r="X275" s="38" t="n">
        <f aca="false">IF(AND(OR(T275="Backlog",T275="Pipeline",T275="Overdue"),ISNUMBER(W275)),IF(W275&lt;=Settings!$B$6,V275,0),0)</f>
        <v>0</v>
      </c>
      <c r="Y275" s="38" t="n">
        <f aca="false">IF(AND(OR(T275="Backlog",T275="Pipeline",T275="Overdue"),ISNUMBER(W275)),IF(W275&lt;=Settings!$B$6,Q275,0),0)</f>
        <v>0</v>
      </c>
      <c r="Z275" s="38" t="n">
        <f aca="false">IF(Y275=0,0,IF(T275="Backlog",Q275,Q275*Dashboard!$C$10))</f>
        <v>0</v>
      </c>
      <c r="AA275" s="37" t="n">
        <f aca="false">IF($N275="",0,IF(COUNTIF(Dashboard!$C$13:$C$22,$N275)&gt;0,1,0))</f>
        <v>0</v>
      </c>
      <c r="AB275" s="37" t="str">
        <f aca="false">IF($N275="","",IF(COUNTIF($N$8:$N275,$N275)=1,MAX($AB$7:$AB274)+1,""))</f>
        <v/>
      </c>
    </row>
    <row r="276" customFormat="false" ht="15" hidden="false" customHeight="false" outlineLevel="0" collapsed="false">
      <c r="B276" s="32" t="s">
        <v>755</v>
      </c>
      <c r="C276" s="32" t="s">
        <v>756</v>
      </c>
      <c r="D276" s="35" t="n">
        <v>1792</v>
      </c>
      <c r="E276" s="32" t="s">
        <v>141</v>
      </c>
      <c r="F276" s="36" t="n">
        <v>46281</v>
      </c>
      <c r="G276" s="32" t="s">
        <v>757</v>
      </c>
      <c r="L276" s="37" t="str">
        <f aca="false">IF(INDEX($A276:$J276,$L$6)&lt;&gt;"",TRIM(LEFT(INDEX($A276:$J276,$L$6),FIND("(",INDEX($A276:$J276,$L$6)&amp;"(")-1)),L275)</f>
        <v>Closed Won</v>
      </c>
      <c r="M276" s="37" t="str">
        <f aca="false">IF(INDEX($A276:$J276,$M$6)="","",INDEX($A276:$J276,$M$6)&amp;"")</f>
        <v>HP-CSIRO | Phone Mod x3 - 26082401</v>
      </c>
      <c r="N276" s="37" t="str">
        <f aca="false">IF($M276="","",TRIM(INDEX($A276:$J276,$N$6)&amp;""))</f>
        <v>CSIRO</v>
      </c>
      <c r="O276" s="37" t="str">
        <f aca="false">IF($M276="","",TRIM(INDEX($A276:$J276,$O$6)&amp;""))</f>
        <v>Integration</v>
      </c>
      <c r="P276" s="37" t="str">
        <f aca="false">IF($M276="","",IFERROR(IF(INDEX(Settings!$B$41:$B$50,MATCH(O276,Settings!$A$41:$A$50,0))&amp;""="","UNMAPPED",INDEX(Settings!$B$41:$B$50,MATCH(O276,Settings!$A$41:$A$50,0))&amp;""),"UNMAPPED"))</f>
        <v>Integration</v>
      </c>
      <c r="Q276" s="38" t="n">
        <f aca="false">IF($M276="",0,N(INDEX($A276:$J276,$Q$6)))</f>
        <v>1792</v>
      </c>
      <c r="R276" s="39" t="n">
        <f aca="false">IF($M276="","",INDEX($A276:$J276,$R$6))</f>
        <v>46281</v>
      </c>
      <c r="S276" s="37" t="str">
        <f aca="false">IF($M276="","",IFERROR(INDEX(Settings!$B$27:$B$36,MATCH(L276,Settings!$A$27:$A$36,0))&amp;"","UNMAPPED"))</f>
        <v>Won</v>
      </c>
      <c r="T276" s="37" t="str">
        <f aca="false">IF($M276="","",IF(NOT(ISNUMBER(R276)),"NO DATE",IF(S276="Won",IF(R276&gt;Settings!$B$5,"Backlog","Delivered"),IF(S276="Open",IF(R276&gt;Settings!$B$5,"Pipeline","Overdue"),IF(S276="Lost","Lost","UNMAPPED")))))</f>
        <v>Delivered</v>
      </c>
      <c r="U276" s="40" t="n">
        <f aca="false">IF(T276="Backlog",1,IF(OR(T276="Pipeline",T276="Overdue"),N(INDEX(Settings!$C$27:$C$36,MATCH(L276,Settings!$A$27:$A$36,0))),0))</f>
        <v>0</v>
      </c>
      <c r="V276" s="38" t="n">
        <f aca="false">Q276*U276</f>
        <v>0</v>
      </c>
      <c r="W276" s="41" t="n">
        <f aca="false">IF($M276="","",IF(T276="Overdue",IF(Settings!$B$8="Yes",Settings!$B$7,""),IF(ISNUMBER(R276),DATE(YEAR(R276),MONTH(R276),1),"")))</f>
        <v>46266</v>
      </c>
      <c r="X276" s="38" t="n">
        <f aca="false">IF(AND(OR(T276="Backlog",T276="Pipeline",T276="Overdue"),ISNUMBER(W276)),IF(W276&lt;=Settings!$B$6,V276,0),0)</f>
        <v>0</v>
      </c>
      <c r="Y276" s="38" t="n">
        <f aca="false">IF(AND(OR(T276="Backlog",T276="Pipeline",T276="Overdue"),ISNUMBER(W276)),IF(W276&lt;=Settings!$B$6,Q276,0),0)</f>
        <v>0</v>
      </c>
      <c r="Z276" s="38" t="n">
        <f aca="false">IF(Y276=0,0,IF(T276="Backlog",Q276,Q276*Dashboard!$C$10))</f>
        <v>0</v>
      </c>
      <c r="AA276" s="37" t="n">
        <f aca="false">IF($N276="",0,IF(COUNTIF(Dashboard!$C$13:$C$22,$N276)&gt;0,1,0))</f>
        <v>0</v>
      </c>
      <c r="AB276" s="37" t="n">
        <f aca="false">IF($N276="","",IF(COUNTIF($N$8:$N276,$N276)=1,MAX($AB$7:$AB275)+1,""))</f>
        <v>74</v>
      </c>
    </row>
    <row r="277" customFormat="false" ht="15" hidden="false" customHeight="false" outlineLevel="0" collapsed="false">
      <c r="B277" s="32" t="s">
        <v>758</v>
      </c>
      <c r="C277" s="32" t="s">
        <v>140</v>
      </c>
      <c r="D277" s="35" t="n">
        <v>765</v>
      </c>
      <c r="E277" s="32" t="s">
        <v>180</v>
      </c>
      <c r="F277" s="36" t="n">
        <v>46290</v>
      </c>
      <c r="G277" s="32" t="s">
        <v>759</v>
      </c>
      <c r="L277" s="37" t="str">
        <f aca="false">IF(INDEX($A277:$J277,$L$6)&lt;&gt;"",TRIM(LEFT(INDEX($A277:$J277,$L$6),FIND("(",INDEX($A277:$J277,$L$6)&amp;"(")-1)),L276)</f>
        <v>Closed Won</v>
      </c>
      <c r="M277" s="37" t="str">
        <f aca="false">IF(INDEX($A277:$J277,$M$6)="","",INDEX($A277:$J277,$M$6)&amp;"")</f>
        <v>Tech Support - Next Gen</v>
      </c>
      <c r="N277" s="37" t="str">
        <f aca="false">IF($M277="","",TRIM(INDEX($A277:$J277,$N$6)&amp;""))</f>
        <v>Deloitte Australia</v>
      </c>
      <c r="O277" s="37" t="str">
        <f aca="false">IF($M277="","",TRIM(INDEX($A277:$J277,$O$6)&amp;""))</f>
        <v>Support</v>
      </c>
      <c r="P277" s="37" t="str">
        <f aca="false">IF($M277="","",IFERROR(IF(INDEX(Settings!$B$41:$B$50,MATCH(O277,Settings!$A$41:$A$50,0))&amp;""="","UNMAPPED",INDEX(Settings!$B$41:$B$50,MATCH(O277,Settings!$A$41:$A$50,0))&amp;""),"UNMAPPED"))</f>
        <v>Onsite</v>
      </c>
      <c r="Q277" s="38" t="n">
        <f aca="false">IF($M277="",0,N(INDEX($A277:$J277,$Q$6)))</f>
        <v>765</v>
      </c>
      <c r="R277" s="39" t="n">
        <f aca="false">IF($M277="","",INDEX($A277:$J277,$R$6))</f>
        <v>46290</v>
      </c>
      <c r="S277" s="37" t="str">
        <f aca="false">IF($M277="","",IFERROR(INDEX(Settings!$B$27:$B$36,MATCH(L277,Settings!$A$27:$A$36,0))&amp;"","UNMAPPED"))</f>
        <v>Won</v>
      </c>
      <c r="T277" s="37" t="str">
        <f aca="false">IF($M277="","",IF(NOT(ISNUMBER(R277)),"NO DATE",IF(S277="Won",IF(R277&gt;Settings!$B$5,"Backlog","Delivered"),IF(S277="Open",IF(R277&gt;Settings!$B$5,"Pipeline","Overdue"),IF(S277="Lost","Lost","UNMAPPED")))))</f>
        <v>Delivered</v>
      </c>
      <c r="U277" s="40" t="n">
        <f aca="false">IF(T277="Backlog",1,IF(OR(T277="Pipeline",T277="Overdue"),N(INDEX(Settings!$C$27:$C$36,MATCH(L277,Settings!$A$27:$A$36,0))),0))</f>
        <v>0</v>
      </c>
      <c r="V277" s="38" t="n">
        <f aca="false">Q277*U277</f>
        <v>0</v>
      </c>
      <c r="W277" s="41" t="n">
        <f aca="false">IF($M277="","",IF(T277="Overdue",IF(Settings!$B$8="Yes",Settings!$B$7,""),IF(ISNUMBER(R277),DATE(YEAR(R277),MONTH(R277),1),"")))</f>
        <v>46266</v>
      </c>
      <c r="X277" s="38" t="n">
        <f aca="false">IF(AND(OR(T277="Backlog",T277="Pipeline",T277="Overdue"),ISNUMBER(W277)),IF(W277&lt;=Settings!$B$6,V277,0),0)</f>
        <v>0</v>
      </c>
      <c r="Y277" s="38" t="n">
        <f aca="false">IF(AND(OR(T277="Backlog",T277="Pipeline",T277="Overdue"),ISNUMBER(W277)),IF(W277&lt;=Settings!$B$6,Q277,0),0)</f>
        <v>0</v>
      </c>
      <c r="Z277" s="38" t="n">
        <f aca="false">IF(Y277=0,0,IF(T277="Backlog",Q277,Q277*Dashboard!$C$10))</f>
        <v>0</v>
      </c>
      <c r="AA277" s="37" t="n">
        <f aca="false">IF($N277="",0,IF(COUNTIF(Dashboard!$C$13:$C$22,$N277)&gt;0,1,0))</f>
        <v>0</v>
      </c>
      <c r="AB277" s="37" t="str">
        <f aca="false">IF($N277="","",IF(COUNTIF($N$8:$N277,$N277)=1,MAX($AB$7:$AB276)+1,""))</f>
        <v/>
      </c>
    </row>
    <row r="278" customFormat="false" ht="15" hidden="false" customHeight="false" outlineLevel="0" collapsed="false">
      <c r="B278" s="32" t="s">
        <v>760</v>
      </c>
      <c r="C278" s="32" t="s">
        <v>154</v>
      </c>
      <c r="D278" s="35" t="n">
        <v>1810</v>
      </c>
      <c r="E278" s="32" t="s">
        <v>145</v>
      </c>
      <c r="F278" s="36" t="n">
        <v>45937</v>
      </c>
      <c r="G278" s="32" t="s">
        <v>761</v>
      </c>
      <c r="L278" s="37" t="str">
        <f aca="false">IF(INDEX($A278:$J278,$L$6)&lt;&gt;"",TRIM(LEFT(INDEX($A278:$J278,$L$6),FIND("(",INDEX($A278:$J278,$L$6)&amp;"(")-1)),L277)</f>
        <v>Closed Won</v>
      </c>
      <c r="M278" s="37" t="str">
        <f aca="false">IF(INDEX($A278:$J278,$M$6)="","",INDEX($A278:$J278,$M$6)&amp;"")</f>
        <v>PWC Studio Event 7. 10.25</v>
      </c>
      <c r="N278" s="37" t="str">
        <f aca="false">IF($M278="","",TRIM(INDEX($A278:$J278,$N$6)&amp;""))</f>
        <v>PWC</v>
      </c>
      <c r="O278" s="37" t="str">
        <f aca="false">IF($M278="","",TRIM(INDEX($A278:$J278,$O$6)&amp;""))</f>
        <v>Event Production</v>
      </c>
      <c r="P278" s="37" t="str">
        <f aca="false">IF($M278="","",IFERROR(IF(INDEX(Settings!$B$41:$B$50,MATCH(O278,Settings!$A$41:$A$50,0))&amp;""="","UNMAPPED",INDEX(Settings!$B$41:$B$50,MATCH(O278,Settings!$A$41:$A$50,0))&amp;""),"UNMAPPED"))</f>
        <v>Production</v>
      </c>
      <c r="Q278" s="38" t="n">
        <f aca="false">IF($M278="",0,N(INDEX($A278:$J278,$Q$6)))</f>
        <v>1810</v>
      </c>
      <c r="R278" s="39" t="n">
        <f aca="false">IF($M278="","",INDEX($A278:$J278,$R$6))</f>
        <v>45937</v>
      </c>
      <c r="S278" s="37" t="str">
        <f aca="false">IF($M278="","",IFERROR(INDEX(Settings!$B$27:$B$36,MATCH(L278,Settings!$A$27:$A$36,0))&amp;"","UNMAPPED"))</f>
        <v>Won</v>
      </c>
      <c r="T278" s="37" t="str">
        <f aca="false">IF($M278="","",IF(NOT(ISNUMBER(R278)),"NO DATE",IF(S278="Won",IF(R278&gt;Settings!$B$5,"Backlog","Delivered"),IF(S278="Open",IF(R278&gt;Settings!$B$5,"Pipeline","Overdue"),IF(S278="Lost","Lost","UNMAPPED")))))</f>
        <v>Delivered</v>
      </c>
      <c r="U278" s="40" t="n">
        <f aca="false">IF(T278="Backlog",1,IF(OR(T278="Pipeline",T278="Overdue"),N(INDEX(Settings!$C$27:$C$36,MATCH(L278,Settings!$A$27:$A$36,0))),0))</f>
        <v>0</v>
      </c>
      <c r="V278" s="38" t="n">
        <f aca="false">Q278*U278</f>
        <v>0</v>
      </c>
      <c r="W278" s="41" t="n">
        <f aca="false">IF($M278="","",IF(T278="Overdue",IF(Settings!$B$8="Yes",Settings!$B$7,""),IF(ISNUMBER(R278),DATE(YEAR(R278),MONTH(R278),1),"")))</f>
        <v>45931</v>
      </c>
      <c r="X278" s="38" t="n">
        <f aca="false">IF(AND(OR(T278="Backlog",T278="Pipeline",T278="Overdue"),ISNUMBER(W278)),IF(W278&lt;=Settings!$B$6,V278,0),0)</f>
        <v>0</v>
      </c>
      <c r="Y278" s="38" t="n">
        <f aca="false">IF(AND(OR(T278="Backlog",T278="Pipeline",T278="Overdue"),ISNUMBER(W278)),IF(W278&lt;=Settings!$B$6,Q278,0),0)</f>
        <v>0</v>
      </c>
      <c r="Z278" s="38" t="n">
        <f aca="false">IF(Y278=0,0,IF(T278="Backlog",Q278,Q278*Dashboard!$C$10))</f>
        <v>0</v>
      </c>
      <c r="AA278" s="37" t="n">
        <f aca="false">IF($N278="",0,IF(COUNTIF(Dashboard!$C$13:$C$22,$N278)&gt;0,1,0))</f>
        <v>0</v>
      </c>
      <c r="AB278" s="37" t="str">
        <f aca="false">IF($N278="","",IF(COUNTIF($N$8:$N278,$N278)=1,MAX($AB$7:$AB277)+1,""))</f>
        <v/>
      </c>
    </row>
    <row r="279" customFormat="false" ht="15" hidden="false" customHeight="false" outlineLevel="0" collapsed="false">
      <c r="B279" s="32" t="s">
        <v>762</v>
      </c>
      <c r="C279" s="32" t="s">
        <v>515</v>
      </c>
      <c r="D279" s="35" t="n">
        <v>340</v>
      </c>
      <c r="E279" s="32" t="s">
        <v>180</v>
      </c>
      <c r="F279" s="36" t="n">
        <v>45962</v>
      </c>
      <c r="G279" s="32" t="s">
        <v>763</v>
      </c>
      <c r="L279" s="37" t="str">
        <f aca="false">IF(INDEX($A279:$J279,$L$6)&lt;&gt;"",TRIM(LEFT(INDEX($A279:$J279,$L$6),FIND("(",INDEX($A279:$J279,$L$6)&amp;"(")-1)),L278)</f>
        <v>Closed Won</v>
      </c>
      <c r="M279" s="37" t="str">
        <f aca="false">IF(INDEX($A279:$J279,$M$6)="","",INDEX($A279:$J279,$M$6)&amp;"")</f>
        <v>Deloitte Tech Support - 1st of November 25 - Courageous Principals</v>
      </c>
      <c r="N279" s="37" t="str">
        <f aca="false">IF($M279="","",TRIM(INDEX($A279:$J279,$N$6)&amp;""))</f>
        <v>Deloitte - Brisbane</v>
      </c>
      <c r="O279" s="37" t="str">
        <f aca="false">IF($M279="","",TRIM(INDEX($A279:$J279,$O$6)&amp;""))</f>
        <v>Support</v>
      </c>
      <c r="P279" s="37" t="str">
        <f aca="false">IF($M279="","",IFERROR(IF(INDEX(Settings!$B$41:$B$50,MATCH(O279,Settings!$A$41:$A$50,0))&amp;""="","UNMAPPED",INDEX(Settings!$B$41:$B$50,MATCH(O279,Settings!$A$41:$A$50,0))&amp;""),"UNMAPPED"))</f>
        <v>Onsite</v>
      </c>
      <c r="Q279" s="38" t="n">
        <f aca="false">IF($M279="",0,N(INDEX($A279:$J279,$Q$6)))</f>
        <v>340</v>
      </c>
      <c r="R279" s="39" t="n">
        <f aca="false">IF($M279="","",INDEX($A279:$J279,$R$6))</f>
        <v>45962</v>
      </c>
      <c r="S279" s="37" t="str">
        <f aca="false">IF($M279="","",IFERROR(INDEX(Settings!$B$27:$B$36,MATCH(L279,Settings!$A$27:$A$36,0))&amp;"","UNMAPPED"))</f>
        <v>Won</v>
      </c>
      <c r="T279" s="37" t="str">
        <f aca="false">IF($M279="","",IF(NOT(ISNUMBER(R279)),"NO DATE",IF(S279="Won",IF(R279&gt;Settings!$B$5,"Backlog","Delivered"),IF(S279="Open",IF(R279&gt;Settings!$B$5,"Pipeline","Overdue"),IF(S279="Lost","Lost","UNMAPPED")))))</f>
        <v>Delivered</v>
      </c>
      <c r="U279" s="40" t="n">
        <f aca="false">IF(T279="Backlog",1,IF(OR(T279="Pipeline",T279="Overdue"),N(INDEX(Settings!$C$27:$C$36,MATCH(L279,Settings!$A$27:$A$36,0))),0))</f>
        <v>0</v>
      </c>
      <c r="V279" s="38" t="n">
        <f aca="false">Q279*U279</f>
        <v>0</v>
      </c>
      <c r="W279" s="41" t="n">
        <f aca="false">IF($M279="","",IF(T279="Overdue",IF(Settings!$B$8="Yes",Settings!$B$7,""),IF(ISNUMBER(R279),DATE(YEAR(R279),MONTH(R279),1),"")))</f>
        <v>45962</v>
      </c>
      <c r="X279" s="38" t="n">
        <f aca="false">IF(AND(OR(T279="Backlog",T279="Pipeline",T279="Overdue"),ISNUMBER(W279)),IF(W279&lt;=Settings!$B$6,V279,0),0)</f>
        <v>0</v>
      </c>
      <c r="Y279" s="38" t="n">
        <f aca="false">IF(AND(OR(T279="Backlog",T279="Pipeline",T279="Overdue"),ISNUMBER(W279)),IF(W279&lt;=Settings!$B$6,Q279,0),0)</f>
        <v>0</v>
      </c>
      <c r="Z279" s="38" t="n">
        <f aca="false">IF(Y279=0,0,IF(T279="Backlog",Q279,Q279*Dashboard!$C$10))</f>
        <v>0</v>
      </c>
      <c r="AA279" s="37" t="n">
        <f aca="false">IF($N279="",0,IF(COUNTIF(Dashboard!$C$13:$C$22,$N279)&gt;0,1,0))</f>
        <v>0</v>
      </c>
      <c r="AB279" s="37" t="str">
        <f aca="false">IF($N279="","",IF(COUNTIF($N$8:$N279,$N279)=1,MAX($AB$7:$AB278)+1,""))</f>
        <v/>
      </c>
    </row>
    <row r="280" customFormat="false" ht="15" hidden="false" customHeight="false" outlineLevel="0" collapsed="false">
      <c r="B280" s="32" t="s">
        <v>764</v>
      </c>
      <c r="C280" s="32" t="s">
        <v>765</v>
      </c>
      <c r="D280" s="35" t="n">
        <v>1136</v>
      </c>
      <c r="E280" s="32" t="s">
        <v>145</v>
      </c>
      <c r="F280" s="36" t="n">
        <v>46171</v>
      </c>
      <c r="G280" s="32" t="s">
        <v>766</v>
      </c>
      <c r="L280" s="37" t="str">
        <f aca="false">IF(INDEX($A280:$J280,$L$6)&lt;&gt;"",TRIM(LEFT(INDEX($A280:$J280,$L$6),FIND("(",INDEX($A280:$J280,$L$6)&amp;"(")-1)),L279)</f>
        <v>Closed Won</v>
      </c>
      <c r="M280" s="37" t="str">
        <f aca="false">IF(INDEX($A280:$J280,$M$6)="","",INDEX($A280:$J280,$M$6)&amp;"")</f>
        <v>Causeway Productions - Stool Hire - 1.6.27</v>
      </c>
      <c r="N280" s="37" t="str">
        <f aca="false">IF($M280="","",TRIM(INDEX($A280:$J280,$N$6)&amp;""))</f>
        <v>SoundCredit.tv</v>
      </c>
      <c r="O280" s="37" t="str">
        <f aca="false">IF($M280="","",TRIM(INDEX($A280:$J280,$O$6)&amp;""))</f>
        <v>Event Production</v>
      </c>
      <c r="P280" s="37" t="str">
        <f aca="false">IF($M280="","",IFERROR(IF(INDEX(Settings!$B$41:$B$50,MATCH(O280,Settings!$A$41:$A$50,0))&amp;""="","UNMAPPED",INDEX(Settings!$B$41:$B$50,MATCH(O280,Settings!$A$41:$A$50,0))&amp;""),"UNMAPPED"))</f>
        <v>Production</v>
      </c>
      <c r="Q280" s="38" t="n">
        <f aca="false">IF($M280="",0,N(INDEX($A280:$J280,$Q$6)))</f>
        <v>1136</v>
      </c>
      <c r="R280" s="39" t="n">
        <f aca="false">IF($M280="","",INDEX($A280:$J280,$R$6))</f>
        <v>46171</v>
      </c>
      <c r="S280" s="37" t="str">
        <f aca="false">IF($M280="","",IFERROR(INDEX(Settings!$B$27:$B$36,MATCH(L280,Settings!$A$27:$A$36,0))&amp;"","UNMAPPED"))</f>
        <v>Won</v>
      </c>
      <c r="T280" s="37" t="str">
        <f aca="false">IF($M280="","",IF(NOT(ISNUMBER(R280)),"NO DATE",IF(S280="Won",IF(R280&gt;Settings!$B$5,"Backlog","Delivered"),IF(S280="Open",IF(R280&gt;Settings!$B$5,"Pipeline","Overdue"),IF(S280="Lost","Lost","UNMAPPED")))))</f>
        <v>Delivered</v>
      </c>
      <c r="U280" s="40" t="n">
        <f aca="false">IF(T280="Backlog",1,IF(OR(T280="Pipeline",T280="Overdue"),N(INDEX(Settings!$C$27:$C$36,MATCH(L280,Settings!$A$27:$A$36,0))),0))</f>
        <v>0</v>
      </c>
      <c r="V280" s="38" t="n">
        <f aca="false">Q280*U280</f>
        <v>0</v>
      </c>
      <c r="W280" s="41" t="n">
        <f aca="false">IF($M280="","",IF(T280="Overdue",IF(Settings!$B$8="Yes",Settings!$B$7,""),IF(ISNUMBER(R280),DATE(YEAR(R280),MONTH(R280),1),"")))</f>
        <v>46143</v>
      </c>
      <c r="X280" s="38" t="n">
        <f aca="false">IF(AND(OR(T280="Backlog",T280="Pipeline",T280="Overdue"),ISNUMBER(W280)),IF(W280&lt;=Settings!$B$6,V280,0),0)</f>
        <v>0</v>
      </c>
      <c r="Y280" s="38" t="n">
        <f aca="false">IF(AND(OR(T280="Backlog",T280="Pipeline",T280="Overdue"),ISNUMBER(W280)),IF(W280&lt;=Settings!$B$6,Q280,0),0)</f>
        <v>0</v>
      </c>
      <c r="Z280" s="38" t="n">
        <f aca="false">IF(Y280=0,0,IF(T280="Backlog",Q280,Q280*Dashboard!$C$10))</f>
        <v>0</v>
      </c>
      <c r="AA280" s="37" t="n">
        <f aca="false">IF($N280="",0,IF(COUNTIF(Dashboard!$C$13:$C$22,$N280)&gt;0,1,0))</f>
        <v>0</v>
      </c>
      <c r="AB280" s="37" t="n">
        <f aca="false">IF($N280="","",IF(COUNTIF($N$8:$N280,$N280)=1,MAX($AB$7:$AB279)+1,""))</f>
        <v>75</v>
      </c>
    </row>
    <row r="281" customFormat="false" ht="15" hidden="false" customHeight="false" outlineLevel="0" collapsed="false">
      <c r="B281" s="32" t="s">
        <v>767</v>
      </c>
      <c r="C281" s="32" t="s">
        <v>613</v>
      </c>
      <c r="D281" s="35" t="n">
        <v>8260</v>
      </c>
      <c r="E281" s="32" t="s">
        <v>145</v>
      </c>
      <c r="F281" s="36" t="n">
        <v>46232</v>
      </c>
      <c r="G281" s="32" t="s">
        <v>768</v>
      </c>
      <c r="L281" s="37" t="str">
        <f aca="false">IF(INDEX($A281:$J281,$L$6)&lt;&gt;"",TRIM(LEFT(INDEX($A281:$J281,$L$6),FIND("(",INDEX($A281:$J281,$L$6)&amp;"(")-1)),L280)</f>
        <v>Closed Won</v>
      </c>
      <c r="M281" s="37" t="str">
        <f aca="false">IF(INDEX($A281:$J281,$M$6)="","",INDEX($A281:$J281,$M$6)&amp;"")</f>
        <v>CEOi - CEO Connect - 11.8.26</v>
      </c>
      <c r="N281" s="37" t="str">
        <f aca="false">IF($M281="","",TRIM(INDEX($A281:$J281,$N$6)&amp;""))</f>
        <v>CEO Institute</v>
      </c>
      <c r="O281" s="37" t="str">
        <f aca="false">IF($M281="","",TRIM(INDEX($A281:$J281,$O$6)&amp;""))</f>
        <v>Event Production</v>
      </c>
      <c r="P281" s="37" t="str">
        <f aca="false">IF($M281="","",IFERROR(IF(INDEX(Settings!$B$41:$B$50,MATCH(O281,Settings!$A$41:$A$50,0))&amp;""="","UNMAPPED",INDEX(Settings!$B$41:$B$50,MATCH(O281,Settings!$A$41:$A$50,0))&amp;""),"UNMAPPED"))</f>
        <v>Production</v>
      </c>
      <c r="Q281" s="38" t="n">
        <f aca="false">IF($M281="",0,N(INDEX($A281:$J281,$Q$6)))</f>
        <v>8260</v>
      </c>
      <c r="R281" s="39" t="n">
        <f aca="false">IF($M281="","",INDEX($A281:$J281,$R$6))</f>
        <v>46232</v>
      </c>
      <c r="S281" s="37" t="str">
        <f aca="false">IF($M281="","",IFERROR(INDEX(Settings!$B$27:$B$36,MATCH(L281,Settings!$A$27:$A$36,0))&amp;"","UNMAPPED"))</f>
        <v>Won</v>
      </c>
      <c r="T281" s="37" t="str">
        <f aca="false">IF($M281="","",IF(NOT(ISNUMBER(R281)),"NO DATE",IF(S281="Won",IF(R281&gt;Settings!$B$5,"Backlog","Delivered"),IF(S281="Open",IF(R281&gt;Settings!$B$5,"Pipeline","Overdue"),IF(S281="Lost","Lost","UNMAPPED")))))</f>
        <v>Delivered</v>
      </c>
      <c r="U281" s="40" t="n">
        <f aca="false">IF(T281="Backlog",1,IF(OR(T281="Pipeline",T281="Overdue"),N(INDEX(Settings!$C$27:$C$36,MATCH(L281,Settings!$A$27:$A$36,0))),0))</f>
        <v>0</v>
      </c>
      <c r="V281" s="38" t="n">
        <f aca="false">Q281*U281</f>
        <v>0</v>
      </c>
      <c r="W281" s="41" t="n">
        <f aca="false">IF($M281="","",IF(T281="Overdue",IF(Settings!$B$8="Yes",Settings!$B$7,""),IF(ISNUMBER(R281),DATE(YEAR(R281),MONTH(R281),1),"")))</f>
        <v>46204</v>
      </c>
      <c r="X281" s="38" t="n">
        <f aca="false">IF(AND(OR(T281="Backlog",T281="Pipeline",T281="Overdue"),ISNUMBER(W281)),IF(W281&lt;=Settings!$B$6,V281,0),0)</f>
        <v>0</v>
      </c>
      <c r="Y281" s="38" t="n">
        <f aca="false">IF(AND(OR(T281="Backlog",T281="Pipeline",T281="Overdue"),ISNUMBER(W281)),IF(W281&lt;=Settings!$B$6,Q281,0),0)</f>
        <v>0</v>
      </c>
      <c r="Z281" s="38" t="n">
        <f aca="false">IF(Y281=0,0,IF(T281="Backlog",Q281,Q281*Dashboard!$C$10))</f>
        <v>0</v>
      </c>
      <c r="AA281" s="37" t="n">
        <f aca="false">IF($N281="",0,IF(COUNTIF(Dashboard!$C$13:$C$22,$N281)&gt;0,1,0))</f>
        <v>0</v>
      </c>
      <c r="AB281" s="37" t="str">
        <f aca="false">IF($N281="","",IF(COUNTIF($N$8:$N281,$N281)=1,MAX($AB$7:$AB280)+1,""))</f>
        <v/>
      </c>
    </row>
    <row r="282" customFormat="false" ht="15" hidden="false" customHeight="false" outlineLevel="0" collapsed="false">
      <c r="B282" s="32" t="s">
        <v>769</v>
      </c>
      <c r="C282" s="32" t="s">
        <v>154</v>
      </c>
      <c r="D282" s="35" t="n">
        <v>18000</v>
      </c>
      <c r="E282" s="32" t="s">
        <v>180</v>
      </c>
      <c r="F282" s="36" t="n">
        <v>45950</v>
      </c>
      <c r="G282" s="32" t="s">
        <v>770</v>
      </c>
      <c r="L282" s="37" t="str">
        <f aca="false">IF(INDEX($A282:$J282,$L$6)&lt;&gt;"",TRIM(LEFT(INDEX($A282:$J282,$L$6),FIND("(",INDEX($A282:$J282,$L$6)&amp;"(")-1)),L281)</f>
        <v>Closed Won</v>
      </c>
      <c r="M282" s="37" t="str">
        <f aca="false">IF(INDEX($A282:$J282,$M$6)="","",INDEX($A282:$J282,$M$6)&amp;"")</f>
        <v>PWC - Lv2 Support for MFA Rollout - SYD / MEL</v>
      </c>
      <c r="N282" s="37" t="str">
        <f aca="false">IF($M282="","",TRIM(INDEX($A282:$J282,$N$6)&amp;""))</f>
        <v>PWC</v>
      </c>
      <c r="O282" s="37" t="str">
        <f aca="false">IF($M282="","",TRIM(INDEX($A282:$J282,$O$6)&amp;""))</f>
        <v>Support</v>
      </c>
      <c r="P282" s="37" t="str">
        <f aca="false">IF($M282="","",IFERROR(IF(INDEX(Settings!$B$41:$B$50,MATCH(O282,Settings!$A$41:$A$50,0))&amp;""="","UNMAPPED",INDEX(Settings!$B$41:$B$50,MATCH(O282,Settings!$A$41:$A$50,0))&amp;""),"UNMAPPED"))</f>
        <v>Onsite</v>
      </c>
      <c r="Q282" s="38" t="n">
        <f aca="false">IF($M282="",0,N(INDEX($A282:$J282,$Q$6)))</f>
        <v>18000</v>
      </c>
      <c r="R282" s="39" t="n">
        <f aca="false">IF($M282="","",INDEX($A282:$J282,$R$6))</f>
        <v>45950</v>
      </c>
      <c r="S282" s="37" t="str">
        <f aca="false">IF($M282="","",IFERROR(INDEX(Settings!$B$27:$B$36,MATCH(L282,Settings!$A$27:$A$36,0))&amp;"","UNMAPPED"))</f>
        <v>Won</v>
      </c>
      <c r="T282" s="37" t="str">
        <f aca="false">IF($M282="","",IF(NOT(ISNUMBER(R282)),"NO DATE",IF(S282="Won",IF(R282&gt;Settings!$B$5,"Backlog","Delivered"),IF(S282="Open",IF(R282&gt;Settings!$B$5,"Pipeline","Overdue"),IF(S282="Lost","Lost","UNMAPPED")))))</f>
        <v>Delivered</v>
      </c>
      <c r="U282" s="40" t="n">
        <f aca="false">IF(T282="Backlog",1,IF(OR(T282="Pipeline",T282="Overdue"),N(INDEX(Settings!$C$27:$C$36,MATCH(L282,Settings!$A$27:$A$36,0))),0))</f>
        <v>0</v>
      </c>
      <c r="V282" s="38" t="n">
        <f aca="false">Q282*U282</f>
        <v>0</v>
      </c>
      <c r="W282" s="41" t="n">
        <f aca="false">IF($M282="","",IF(T282="Overdue",IF(Settings!$B$8="Yes",Settings!$B$7,""),IF(ISNUMBER(R282),DATE(YEAR(R282),MONTH(R282),1),"")))</f>
        <v>45931</v>
      </c>
      <c r="X282" s="38" t="n">
        <f aca="false">IF(AND(OR(T282="Backlog",T282="Pipeline",T282="Overdue"),ISNUMBER(W282)),IF(W282&lt;=Settings!$B$6,V282,0),0)</f>
        <v>0</v>
      </c>
      <c r="Y282" s="38" t="n">
        <f aca="false">IF(AND(OR(T282="Backlog",T282="Pipeline",T282="Overdue"),ISNUMBER(W282)),IF(W282&lt;=Settings!$B$6,Q282,0),0)</f>
        <v>0</v>
      </c>
      <c r="Z282" s="38" t="n">
        <f aca="false">IF(Y282=0,0,IF(T282="Backlog",Q282,Q282*Dashboard!$C$10))</f>
        <v>0</v>
      </c>
      <c r="AA282" s="37" t="n">
        <f aca="false">IF($N282="",0,IF(COUNTIF(Dashboard!$C$13:$C$22,$N282)&gt;0,1,0))</f>
        <v>0</v>
      </c>
      <c r="AB282" s="37" t="str">
        <f aca="false">IF($N282="","",IF(COUNTIF($N$8:$N282,$N282)=1,MAX($AB$7:$AB281)+1,""))</f>
        <v/>
      </c>
    </row>
    <row r="283" customFormat="false" ht="15" hidden="false" customHeight="false" outlineLevel="0" collapsed="false">
      <c r="B283" s="32" t="s">
        <v>771</v>
      </c>
      <c r="C283" s="32" t="s">
        <v>772</v>
      </c>
      <c r="D283" s="35" t="n">
        <v>4400</v>
      </c>
      <c r="E283" s="32" t="s">
        <v>145</v>
      </c>
      <c r="F283" s="36" t="n">
        <v>45929</v>
      </c>
      <c r="G283" s="32" t="s">
        <v>773</v>
      </c>
      <c r="L283" s="37" t="str">
        <f aca="false">IF(INDEX($A283:$J283,$L$6)&lt;&gt;"",TRIM(LEFT(INDEX($A283:$J283,$L$6),FIND("(",INDEX($A283:$J283,$L$6)&amp;"(")-1)),L282)</f>
        <v>Closed Won</v>
      </c>
      <c r="M283" s="37" t="str">
        <f aca="false">IF(INDEX($A283:$J283,$M$6)="","",INDEX($A283:$J283,$M$6)&amp;"")</f>
        <v>ICC - Support Technician 29.09.25 - 03.10.25</v>
      </c>
      <c r="N283" s="37" t="str">
        <f aca="false">IF($M283="","",TRIM(INDEX($A283:$J283,$N$6)&amp;""))</f>
        <v>ICC Sydney - International Convention &amp; Exhibition Centre</v>
      </c>
      <c r="O283" s="37" t="str">
        <f aca="false">IF($M283="","",TRIM(INDEX($A283:$J283,$O$6)&amp;""))</f>
        <v>Event Production</v>
      </c>
      <c r="P283" s="37" t="str">
        <f aca="false">IF($M283="","",IFERROR(IF(INDEX(Settings!$B$41:$B$50,MATCH(O283,Settings!$A$41:$A$50,0))&amp;""="","UNMAPPED",INDEX(Settings!$B$41:$B$50,MATCH(O283,Settings!$A$41:$A$50,0))&amp;""),"UNMAPPED"))</f>
        <v>Production</v>
      </c>
      <c r="Q283" s="38" t="n">
        <f aca="false">IF($M283="",0,N(INDEX($A283:$J283,$Q$6)))</f>
        <v>4400</v>
      </c>
      <c r="R283" s="39" t="n">
        <f aca="false">IF($M283="","",INDEX($A283:$J283,$R$6))</f>
        <v>45929</v>
      </c>
      <c r="S283" s="37" t="str">
        <f aca="false">IF($M283="","",IFERROR(INDEX(Settings!$B$27:$B$36,MATCH(L283,Settings!$A$27:$A$36,0))&amp;"","UNMAPPED"))</f>
        <v>Won</v>
      </c>
      <c r="T283" s="37" t="str">
        <f aca="false">IF($M283="","",IF(NOT(ISNUMBER(R283)),"NO DATE",IF(S283="Won",IF(R283&gt;Settings!$B$5,"Backlog","Delivered"),IF(S283="Open",IF(R283&gt;Settings!$B$5,"Pipeline","Overdue"),IF(S283="Lost","Lost","UNMAPPED")))))</f>
        <v>Delivered</v>
      </c>
      <c r="U283" s="40" t="n">
        <f aca="false">IF(T283="Backlog",1,IF(OR(T283="Pipeline",T283="Overdue"),N(INDEX(Settings!$C$27:$C$36,MATCH(L283,Settings!$A$27:$A$36,0))),0))</f>
        <v>0</v>
      </c>
      <c r="V283" s="38" t="n">
        <f aca="false">Q283*U283</f>
        <v>0</v>
      </c>
      <c r="W283" s="41" t="n">
        <f aca="false">IF($M283="","",IF(T283="Overdue",IF(Settings!$B$8="Yes",Settings!$B$7,""),IF(ISNUMBER(R283),DATE(YEAR(R283),MONTH(R283),1),"")))</f>
        <v>45901</v>
      </c>
      <c r="X283" s="38" t="n">
        <f aca="false">IF(AND(OR(T283="Backlog",T283="Pipeline",T283="Overdue"),ISNUMBER(W283)),IF(W283&lt;=Settings!$B$6,V283,0),0)</f>
        <v>0</v>
      </c>
      <c r="Y283" s="38" t="n">
        <f aca="false">IF(AND(OR(T283="Backlog",T283="Pipeline",T283="Overdue"),ISNUMBER(W283)),IF(W283&lt;=Settings!$B$6,Q283,0),0)</f>
        <v>0</v>
      </c>
      <c r="Z283" s="38" t="n">
        <f aca="false">IF(Y283=0,0,IF(T283="Backlog",Q283,Q283*Dashboard!$C$10))</f>
        <v>0</v>
      </c>
      <c r="AA283" s="37" t="n">
        <f aca="false">IF($N283="",0,IF(COUNTIF(Dashboard!$C$13:$C$22,$N283)&gt;0,1,0))</f>
        <v>0</v>
      </c>
      <c r="AB283" s="37" t="n">
        <f aca="false">IF($N283="","",IF(COUNTIF($N$8:$N283,$N283)=1,MAX($AB$7:$AB282)+1,""))</f>
        <v>76</v>
      </c>
    </row>
    <row r="284" customFormat="false" ht="15" hidden="false" customHeight="false" outlineLevel="0" collapsed="false">
      <c r="B284" s="32" t="s">
        <v>774</v>
      </c>
      <c r="C284" s="32" t="s">
        <v>163</v>
      </c>
      <c r="D284" s="35" t="n">
        <v>22000</v>
      </c>
      <c r="E284" s="32" t="s">
        <v>145</v>
      </c>
      <c r="F284" s="36" t="n">
        <v>45986</v>
      </c>
      <c r="G284" s="32" t="s">
        <v>775</v>
      </c>
      <c r="L284" s="37" t="str">
        <f aca="false">IF(INDEX($A284:$J284,$L$6)&lt;&gt;"",TRIM(LEFT(INDEX($A284:$J284,$L$6),FIND("(",INDEX($A284:$J284,$L$6)&amp;"(")-1)),L283)</f>
        <v>Closed Won</v>
      </c>
      <c r="M284" s="37" t="str">
        <f aca="false">IF(INDEX($A284:$J284,$M$6)="","",INDEX($A284:$J284,$M$6)&amp;"")</f>
        <v>Automic Invest 2025</v>
      </c>
      <c r="N284" s="37" t="str">
        <f aca="false">IF($M284="","",TRIM(INDEX($A284:$J284,$N$6)&amp;""))</f>
        <v>Automic Group</v>
      </c>
      <c r="O284" s="37" t="str">
        <f aca="false">IF($M284="","",TRIM(INDEX($A284:$J284,$O$6)&amp;""))</f>
        <v>Event Production</v>
      </c>
      <c r="P284" s="37" t="str">
        <f aca="false">IF($M284="","",IFERROR(IF(INDEX(Settings!$B$41:$B$50,MATCH(O284,Settings!$A$41:$A$50,0))&amp;""="","UNMAPPED",INDEX(Settings!$B$41:$B$50,MATCH(O284,Settings!$A$41:$A$50,0))&amp;""),"UNMAPPED"))</f>
        <v>Production</v>
      </c>
      <c r="Q284" s="38" t="n">
        <f aca="false">IF($M284="",0,N(INDEX($A284:$J284,$Q$6)))</f>
        <v>22000</v>
      </c>
      <c r="R284" s="39" t="n">
        <f aca="false">IF($M284="","",INDEX($A284:$J284,$R$6))</f>
        <v>45986</v>
      </c>
      <c r="S284" s="37" t="str">
        <f aca="false">IF($M284="","",IFERROR(INDEX(Settings!$B$27:$B$36,MATCH(L284,Settings!$A$27:$A$36,0))&amp;"","UNMAPPED"))</f>
        <v>Won</v>
      </c>
      <c r="T284" s="37" t="str">
        <f aca="false">IF($M284="","",IF(NOT(ISNUMBER(R284)),"NO DATE",IF(S284="Won",IF(R284&gt;Settings!$B$5,"Backlog","Delivered"),IF(S284="Open",IF(R284&gt;Settings!$B$5,"Pipeline","Overdue"),IF(S284="Lost","Lost","UNMAPPED")))))</f>
        <v>Delivered</v>
      </c>
      <c r="U284" s="40" t="n">
        <f aca="false">IF(T284="Backlog",1,IF(OR(T284="Pipeline",T284="Overdue"),N(INDEX(Settings!$C$27:$C$36,MATCH(L284,Settings!$A$27:$A$36,0))),0))</f>
        <v>0</v>
      </c>
      <c r="V284" s="38" t="n">
        <f aca="false">Q284*U284</f>
        <v>0</v>
      </c>
      <c r="W284" s="41" t="n">
        <f aca="false">IF($M284="","",IF(T284="Overdue",IF(Settings!$B$8="Yes",Settings!$B$7,""),IF(ISNUMBER(R284),DATE(YEAR(R284),MONTH(R284),1),"")))</f>
        <v>45962</v>
      </c>
      <c r="X284" s="38" t="n">
        <f aca="false">IF(AND(OR(T284="Backlog",T284="Pipeline",T284="Overdue"),ISNUMBER(W284)),IF(W284&lt;=Settings!$B$6,V284,0),0)</f>
        <v>0</v>
      </c>
      <c r="Y284" s="38" t="n">
        <f aca="false">IF(AND(OR(T284="Backlog",T284="Pipeline",T284="Overdue"),ISNUMBER(W284)),IF(W284&lt;=Settings!$B$6,Q284,0),0)</f>
        <v>0</v>
      </c>
      <c r="Z284" s="38" t="n">
        <f aca="false">IF(Y284=0,0,IF(T284="Backlog",Q284,Q284*Dashboard!$C$10))</f>
        <v>0</v>
      </c>
      <c r="AA284" s="37" t="n">
        <f aca="false">IF($N284="",0,IF(COUNTIF(Dashboard!$C$13:$C$22,$N284)&gt;0,1,0))</f>
        <v>0</v>
      </c>
      <c r="AB284" s="37" t="str">
        <f aca="false">IF($N284="","",IF(COUNTIF($N$8:$N284,$N284)=1,MAX($AB$7:$AB283)+1,""))</f>
        <v/>
      </c>
    </row>
    <row r="285" customFormat="false" ht="15" hidden="false" customHeight="false" outlineLevel="0" collapsed="false">
      <c r="B285" s="32" t="s">
        <v>776</v>
      </c>
      <c r="C285" s="32" t="s">
        <v>253</v>
      </c>
      <c r="D285" s="35" t="n">
        <v>5225</v>
      </c>
      <c r="E285" s="32" t="s">
        <v>145</v>
      </c>
      <c r="F285" s="36" t="n">
        <v>46290</v>
      </c>
      <c r="G285" s="32" t="s">
        <v>777</v>
      </c>
      <c r="L285" s="37" t="str">
        <f aca="false">IF(INDEX($A285:$J285,$L$6)&lt;&gt;"",TRIM(LEFT(INDEX($A285:$J285,$L$6),FIND("(",INDEX($A285:$J285,$L$6)&amp;"(")-1)),L284)</f>
        <v>Closed Won</v>
      </c>
      <c r="M285" s="37" t="str">
        <f aca="false">IF(INDEX($A285:$J285,$M$6)="","",INDEX($A285:$J285,$M$6)&amp;"")</f>
        <v>ASX - Lighting and Confetti Test - 29.9.26</v>
      </c>
      <c r="N285" s="37" t="str">
        <f aca="false">IF($M285="","",TRIM(INDEX($A285:$J285,$N$6)&amp;""))</f>
        <v>ASX Australian Securities Exchange</v>
      </c>
      <c r="O285" s="37" t="str">
        <f aca="false">IF($M285="","",TRIM(INDEX($A285:$J285,$O$6)&amp;""))</f>
        <v>Event Production</v>
      </c>
      <c r="P285" s="37" t="str">
        <f aca="false">IF($M285="","",IFERROR(IF(INDEX(Settings!$B$41:$B$50,MATCH(O285,Settings!$A$41:$A$50,0))&amp;""="","UNMAPPED",INDEX(Settings!$B$41:$B$50,MATCH(O285,Settings!$A$41:$A$50,0))&amp;""),"UNMAPPED"))</f>
        <v>Production</v>
      </c>
      <c r="Q285" s="38" t="n">
        <f aca="false">IF($M285="",0,N(INDEX($A285:$J285,$Q$6)))</f>
        <v>5225</v>
      </c>
      <c r="R285" s="39" t="n">
        <f aca="false">IF($M285="","",INDEX($A285:$J285,$R$6))</f>
        <v>46290</v>
      </c>
      <c r="S285" s="37" t="str">
        <f aca="false">IF($M285="","",IFERROR(INDEX(Settings!$B$27:$B$36,MATCH(L285,Settings!$A$27:$A$36,0))&amp;"","UNMAPPED"))</f>
        <v>Won</v>
      </c>
      <c r="T285" s="37" t="str">
        <f aca="false">IF($M285="","",IF(NOT(ISNUMBER(R285)),"NO DATE",IF(S285="Won",IF(R285&gt;Settings!$B$5,"Backlog","Delivered"),IF(S285="Open",IF(R285&gt;Settings!$B$5,"Pipeline","Overdue"),IF(S285="Lost","Lost","UNMAPPED")))))</f>
        <v>Delivered</v>
      </c>
      <c r="U285" s="40" t="n">
        <f aca="false">IF(T285="Backlog",1,IF(OR(T285="Pipeline",T285="Overdue"),N(INDEX(Settings!$C$27:$C$36,MATCH(L285,Settings!$A$27:$A$36,0))),0))</f>
        <v>0</v>
      </c>
      <c r="V285" s="38" t="n">
        <f aca="false">Q285*U285</f>
        <v>0</v>
      </c>
      <c r="W285" s="41" t="n">
        <f aca="false">IF($M285="","",IF(T285="Overdue",IF(Settings!$B$8="Yes",Settings!$B$7,""),IF(ISNUMBER(R285),DATE(YEAR(R285),MONTH(R285),1),"")))</f>
        <v>46266</v>
      </c>
      <c r="X285" s="38" t="n">
        <f aca="false">IF(AND(OR(T285="Backlog",T285="Pipeline",T285="Overdue"),ISNUMBER(W285)),IF(W285&lt;=Settings!$B$6,V285,0),0)</f>
        <v>0</v>
      </c>
      <c r="Y285" s="38" t="n">
        <f aca="false">IF(AND(OR(T285="Backlog",T285="Pipeline",T285="Overdue"),ISNUMBER(W285)),IF(W285&lt;=Settings!$B$6,Q285,0),0)</f>
        <v>0</v>
      </c>
      <c r="Z285" s="38" t="n">
        <f aca="false">IF(Y285=0,0,IF(T285="Backlog",Q285,Q285*Dashboard!$C$10))</f>
        <v>0</v>
      </c>
      <c r="AA285" s="37" t="n">
        <f aca="false">IF($N285="",0,IF(COUNTIF(Dashboard!$C$13:$C$22,$N285)&gt;0,1,0))</f>
        <v>0</v>
      </c>
      <c r="AB285" s="37" t="str">
        <f aca="false">IF($N285="","",IF(COUNTIF($N$8:$N285,$N285)=1,MAX($AB$7:$AB284)+1,""))</f>
        <v/>
      </c>
    </row>
    <row r="286" customFormat="false" ht="15" hidden="false" customHeight="false" outlineLevel="0" collapsed="false">
      <c r="B286" s="32" t="s">
        <v>778</v>
      </c>
      <c r="C286" s="32" t="s">
        <v>217</v>
      </c>
      <c r="D286" s="35" t="n">
        <v>770</v>
      </c>
      <c r="E286" s="32" t="s">
        <v>145</v>
      </c>
      <c r="F286" s="36" t="n">
        <v>46196</v>
      </c>
      <c r="G286" s="32" t="s">
        <v>779</v>
      </c>
      <c r="L286" s="37" t="str">
        <f aca="false">IF(INDEX($A286:$J286,$L$6)&lt;&gt;"",TRIM(LEFT(INDEX($A286:$J286,$L$6),FIND("(",INDEX($A286:$J286,$L$6)&amp;"(")-1)),L285)</f>
        <v>Closed Won</v>
      </c>
      <c r="M286" s="37" t="str">
        <f aca="false">IF(INDEX($A286:$J286,$M$6)="","",INDEX($A286:$J286,$M$6)&amp;"")</f>
        <v>Garvan - All Clear Event Support - 25.8.26</v>
      </c>
      <c r="N286" s="37" t="str">
        <f aca="false">IF($M286="","",TRIM(INDEX($A286:$J286,$N$6)&amp;""))</f>
        <v>Garvan Institute of Medical Research</v>
      </c>
      <c r="O286" s="37" t="str">
        <f aca="false">IF($M286="","",TRIM(INDEX($A286:$J286,$O$6)&amp;""))</f>
        <v>Event Production</v>
      </c>
      <c r="P286" s="37" t="str">
        <f aca="false">IF($M286="","",IFERROR(IF(INDEX(Settings!$B$41:$B$50,MATCH(O286,Settings!$A$41:$A$50,0))&amp;""="","UNMAPPED",INDEX(Settings!$B$41:$B$50,MATCH(O286,Settings!$A$41:$A$50,0))&amp;""),"UNMAPPED"))</f>
        <v>Production</v>
      </c>
      <c r="Q286" s="38" t="n">
        <f aca="false">IF($M286="",0,N(INDEX($A286:$J286,$Q$6)))</f>
        <v>770</v>
      </c>
      <c r="R286" s="39" t="n">
        <f aca="false">IF($M286="","",INDEX($A286:$J286,$R$6))</f>
        <v>46196</v>
      </c>
      <c r="S286" s="37" t="str">
        <f aca="false">IF($M286="","",IFERROR(INDEX(Settings!$B$27:$B$36,MATCH(L286,Settings!$A$27:$A$36,0))&amp;"","UNMAPPED"))</f>
        <v>Won</v>
      </c>
      <c r="T286" s="37" t="str">
        <f aca="false">IF($M286="","",IF(NOT(ISNUMBER(R286)),"NO DATE",IF(S286="Won",IF(R286&gt;Settings!$B$5,"Backlog","Delivered"),IF(S286="Open",IF(R286&gt;Settings!$B$5,"Pipeline","Overdue"),IF(S286="Lost","Lost","UNMAPPED")))))</f>
        <v>Delivered</v>
      </c>
      <c r="U286" s="40" t="n">
        <f aca="false">IF(T286="Backlog",1,IF(OR(T286="Pipeline",T286="Overdue"),N(INDEX(Settings!$C$27:$C$36,MATCH(L286,Settings!$A$27:$A$36,0))),0))</f>
        <v>0</v>
      </c>
      <c r="V286" s="38" t="n">
        <f aca="false">Q286*U286</f>
        <v>0</v>
      </c>
      <c r="W286" s="41" t="n">
        <f aca="false">IF($M286="","",IF(T286="Overdue",IF(Settings!$B$8="Yes",Settings!$B$7,""),IF(ISNUMBER(R286),DATE(YEAR(R286),MONTH(R286),1),"")))</f>
        <v>46174</v>
      </c>
      <c r="X286" s="38" t="n">
        <f aca="false">IF(AND(OR(T286="Backlog",T286="Pipeline",T286="Overdue"),ISNUMBER(W286)),IF(W286&lt;=Settings!$B$6,V286,0),0)</f>
        <v>0</v>
      </c>
      <c r="Y286" s="38" t="n">
        <f aca="false">IF(AND(OR(T286="Backlog",T286="Pipeline",T286="Overdue"),ISNUMBER(W286)),IF(W286&lt;=Settings!$B$6,Q286,0),0)</f>
        <v>0</v>
      </c>
      <c r="Z286" s="38" t="n">
        <f aca="false">IF(Y286=0,0,IF(T286="Backlog",Q286,Q286*Dashboard!$C$10))</f>
        <v>0</v>
      </c>
      <c r="AA286" s="37" t="n">
        <f aca="false">IF($N286="",0,IF(COUNTIF(Dashboard!$C$13:$C$22,$N286)&gt;0,1,0))</f>
        <v>0</v>
      </c>
      <c r="AB286" s="37" t="str">
        <f aca="false">IF($N286="","",IF(COUNTIF($N$8:$N286,$N286)=1,MAX($AB$7:$AB285)+1,""))</f>
        <v/>
      </c>
    </row>
    <row r="287" customFormat="false" ht="15" hidden="false" customHeight="false" outlineLevel="0" collapsed="false">
      <c r="B287" s="32" t="s">
        <v>780</v>
      </c>
      <c r="C287" s="32" t="s">
        <v>781</v>
      </c>
      <c r="D287" s="35" t="n">
        <v>13200</v>
      </c>
      <c r="E287" s="32" t="s">
        <v>145</v>
      </c>
      <c r="F287" s="36" t="n">
        <v>46035</v>
      </c>
      <c r="G287" s="32" t="s">
        <v>782</v>
      </c>
      <c r="L287" s="37" t="str">
        <f aca="false">IF(INDEX($A287:$J287,$L$6)&lt;&gt;"",TRIM(LEFT(INDEX($A287:$J287,$L$6),FIND("(",INDEX($A287:$J287,$L$6)&amp;"(")-1)),L286)</f>
        <v>Closed Won</v>
      </c>
      <c r="M287" s="37" t="str">
        <f aca="false">IF(INDEX($A287:$J287,$M$6)="","",INDEX($A287:$J287,$M$6)&amp;"")</f>
        <v>HY25 Results &amp; Sell-side Analyst Call</v>
      </c>
      <c r="N287" s="37" t="str">
        <f aca="false">IF($M287="","",TRIM(INDEX($A287:$J287,$N$6)&amp;""))</f>
        <v>Virgin Australia</v>
      </c>
      <c r="O287" s="37" t="str">
        <f aca="false">IF($M287="","",TRIM(INDEX($A287:$J287,$O$6)&amp;""))</f>
        <v>Event Production</v>
      </c>
      <c r="P287" s="37" t="str">
        <f aca="false">IF($M287="","",IFERROR(IF(INDEX(Settings!$B$41:$B$50,MATCH(O287,Settings!$A$41:$A$50,0))&amp;""="","UNMAPPED",INDEX(Settings!$B$41:$B$50,MATCH(O287,Settings!$A$41:$A$50,0))&amp;""),"UNMAPPED"))</f>
        <v>Production</v>
      </c>
      <c r="Q287" s="38" t="n">
        <f aca="false">IF($M287="",0,N(INDEX($A287:$J287,$Q$6)))</f>
        <v>13200</v>
      </c>
      <c r="R287" s="39" t="n">
        <f aca="false">IF($M287="","",INDEX($A287:$J287,$R$6))</f>
        <v>46035</v>
      </c>
      <c r="S287" s="37" t="str">
        <f aca="false">IF($M287="","",IFERROR(INDEX(Settings!$B$27:$B$36,MATCH(L287,Settings!$A$27:$A$36,0))&amp;"","UNMAPPED"))</f>
        <v>Won</v>
      </c>
      <c r="T287" s="37" t="str">
        <f aca="false">IF($M287="","",IF(NOT(ISNUMBER(R287)),"NO DATE",IF(S287="Won",IF(R287&gt;Settings!$B$5,"Backlog","Delivered"),IF(S287="Open",IF(R287&gt;Settings!$B$5,"Pipeline","Overdue"),IF(S287="Lost","Lost","UNMAPPED")))))</f>
        <v>Delivered</v>
      </c>
      <c r="U287" s="40" t="n">
        <f aca="false">IF(T287="Backlog",1,IF(OR(T287="Pipeline",T287="Overdue"),N(INDEX(Settings!$C$27:$C$36,MATCH(L287,Settings!$A$27:$A$36,0))),0))</f>
        <v>0</v>
      </c>
      <c r="V287" s="38" t="n">
        <f aca="false">Q287*U287</f>
        <v>0</v>
      </c>
      <c r="W287" s="41" t="n">
        <f aca="false">IF($M287="","",IF(T287="Overdue",IF(Settings!$B$8="Yes",Settings!$B$7,""),IF(ISNUMBER(R287),DATE(YEAR(R287),MONTH(R287),1),"")))</f>
        <v>46023</v>
      </c>
      <c r="X287" s="38" t="n">
        <f aca="false">IF(AND(OR(T287="Backlog",T287="Pipeline",T287="Overdue"),ISNUMBER(W287)),IF(W287&lt;=Settings!$B$6,V287,0),0)</f>
        <v>0</v>
      </c>
      <c r="Y287" s="38" t="n">
        <f aca="false">IF(AND(OR(T287="Backlog",T287="Pipeline",T287="Overdue"),ISNUMBER(W287)),IF(W287&lt;=Settings!$B$6,Q287,0),0)</f>
        <v>0</v>
      </c>
      <c r="Z287" s="38" t="n">
        <f aca="false">IF(Y287=0,0,IF(T287="Backlog",Q287,Q287*Dashboard!$C$10))</f>
        <v>0</v>
      </c>
      <c r="AA287" s="37" t="n">
        <f aca="false">IF($N287="",0,IF(COUNTIF(Dashboard!$C$13:$C$22,$N287)&gt;0,1,0))</f>
        <v>0</v>
      </c>
      <c r="AB287" s="37" t="n">
        <f aca="false">IF($N287="","",IF(COUNTIF($N$8:$N287,$N287)=1,MAX($AB$7:$AB286)+1,""))</f>
        <v>77</v>
      </c>
    </row>
    <row r="288" customFormat="false" ht="15" hidden="false" customHeight="false" outlineLevel="0" collapsed="false">
      <c r="B288" s="32" t="s">
        <v>783</v>
      </c>
      <c r="C288" s="32" t="s">
        <v>316</v>
      </c>
      <c r="D288" s="35" t="n">
        <v>1087</v>
      </c>
      <c r="E288" s="32" t="s">
        <v>145</v>
      </c>
      <c r="F288" s="36" t="n">
        <v>46301</v>
      </c>
      <c r="G288" s="32" t="s">
        <v>784</v>
      </c>
      <c r="L288" s="37" t="str">
        <f aca="false">IF(INDEX($A288:$J288,$L$6)&lt;&gt;"",TRIM(LEFT(INDEX($A288:$J288,$L$6),FIND("(",INDEX($A288:$J288,$L$6)&amp;"(")-1)),L287)</f>
        <v>Closed Won</v>
      </c>
      <c r="M288" s="37" t="str">
        <f aca="false">IF(INDEX($A288:$J288,$M$6)="","",INDEX($A288:$J288,$M$6)&amp;"")</f>
        <v>Bankwest - Stage Hire - 29.10.26</v>
      </c>
      <c r="N288" s="37" t="str">
        <f aca="false">IF($M288="","",TRIM(INDEX($A288:$J288,$N$6)&amp;""))</f>
        <v>Bankwest</v>
      </c>
      <c r="O288" s="37" t="str">
        <f aca="false">IF($M288="","",TRIM(INDEX($A288:$J288,$O$6)&amp;""))</f>
        <v>Event Production</v>
      </c>
      <c r="P288" s="37" t="str">
        <f aca="false">IF($M288="","",IFERROR(IF(INDEX(Settings!$B$41:$B$50,MATCH(O288,Settings!$A$41:$A$50,0))&amp;""="","UNMAPPED",INDEX(Settings!$B$41:$B$50,MATCH(O288,Settings!$A$41:$A$50,0))&amp;""),"UNMAPPED"))</f>
        <v>Production</v>
      </c>
      <c r="Q288" s="38" t="n">
        <f aca="false">IF($M288="",0,N(INDEX($A288:$J288,$Q$6)))</f>
        <v>1087</v>
      </c>
      <c r="R288" s="39" t="n">
        <f aca="false">IF($M288="","",INDEX($A288:$J288,$R$6))</f>
        <v>46301</v>
      </c>
      <c r="S288" s="37" t="str">
        <f aca="false">IF($M288="","",IFERROR(INDEX(Settings!$B$27:$B$36,MATCH(L288,Settings!$A$27:$A$36,0))&amp;"","UNMAPPED"))</f>
        <v>Won</v>
      </c>
      <c r="T288" s="37" t="str">
        <f aca="false">IF($M288="","",IF(NOT(ISNUMBER(R288)),"NO DATE",IF(S288="Won",IF(R288&gt;Settings!$B$5,"Backlog","Delivered"),IF(S288="Open",IF(R288&gt;Settings!$B$5,"Pipeline","Overdue"),IF(S288="Lost","Lost","UNMAPPED")))))</f>
        <v>Backlog</v>
      </c>
      <c r="U288" s="40" t="n">
        <f aca="false">IF(T288="Backlog",1,IF(OR(T288="Pipeline",T288="Overdue"),N(INDEX(Settings!$C$27:$C$36,MATCH(L288,Settings!$A$27:$A$36,0))),0))</f>
        <v>1</v>
      </c>
      <c r="V288" s="38" t="n">
        <f aca="false">Q288*U288</f>
        <v>1087</v>
      </c>
      <c r="W288" s="41" t="n">
        <f aca="false">IF($M288="","",IF(T288="Overdue",IF(Settings!$B$8="Yes",Settings!$B$7,""),IF(ISNUMBER(R288),DATE(YEAR(R288),MONTH(R288),1),"")))</f>
        <v>46296</v>
      </c>
      <c r="X288" s="38" t="n">
        <f aca="false">IF(AND(OR(T288="Backlog",T288="Pipeline",T288="Overdue"),ISNUMBER(W288)),IF(W288&lt;=Settings!$B$6,V288,0),0)</f>
        <v>1087</v>
      </c>
      <c r="Y288" s="38" t="n">
        <f aca="false">IF(AND(OR(T288="Backlog",T288="Pipeline",T288="Overdue"),ISNUMBER(W288)),IF(W288&lt;=Settings!$B$6,Q288,0),0)</f>
        <v>1087</v>
      </c>
      <c r="Z288" s="38" t="n">
        <f aca="false">IF(Y288=0,0,IF(T288="Backlog",Q288,Q288*Dashboard!$C$10))</f>
        <v>1087</v>
      </c>
      <c r="AA288" s="37" t="n">
        <f aca="false">IF($N288="",0,IF(COUNTIF(Dashboard!$C$13:$C$22,$N288)&gt;0,1,0))</f>
        <v>0</v>
      </c>
      <c r="AB288" s="37" t="str">
        <f aca="false">IF($N288="","",IF(COUNTIF($N$8:$N288,$N288)=1,MAX($AB$7:$AB287)+1,""))</f>
        <v/>
      </c>
    </row>
    <row r="289" customFormat="false" ht="15" hidden="false" customHeight="false" outlineLevel="0" collapsed="false">
      <c r="B289" s="32" t="s">
        <v>785</v>
      </c>
      <c r="C289" s="32" t="s">
        <v>515</v>
      </c>
      <c r="D289" s="35" t="n">
        <v>298</v>
      </c>
      <c r="E289" s="32" t="s">
        <v>180</v>
      </c>
      <c r="F289" s="36" t="n">
        <v>46106</v>
      </c>
      <c r="G289" s="32" t="s">
        <v>786</v>
      </c>
      <c r="L289" s="37" t="str">
        <f aca="false">IF(INDEX($A289:$J289,$L$6)&lt;&gt;"",TRIM(LEFT(INDEX($A289:$J289,$L$6),FIND("(",INDEX($A289:$J289,$L$6)&amp;"(")-1)),L288)</f>
        <v>Closed Won</v>
      </c>
      <c r="M289" s="37" t="str">
        <f aca="false">IF(INDEX($A289:$J289,$M$6)="","",INDEX($A289:$J289,$M$6)&amp;"")</f>
        <v>Deloitte Brisbane - Additional Tech Support</v>
      </c>
      <c r="N289" s="37" t="str">
        <f aca="false">IF($M289="","",TRIM(INDEX($A289:$J289,$N$6)&amp;""))</f>
        <v>Deloitte - Brisbane</v>
      </c>
      <c r="O289" s="37" t="str">
        <f aca="false">IF($M289="","",TRIM(INDEX($A289:$J289,$O$6)&amp;""))</f>
        <v>Support</v>
      </c>
      <c r="P289" s="37" t="str">
        <f aca="false">IF($M289="","",IFERROR(IF(INDEX(Settings!$B$41:$B$50,MATCH(O289,Settings!$A$41:$A$50,0))&amp;""="","UNMAPPED",INDEX(Settings!$B$41:$B$50,MATCH(O289,Settings!$A$41:$A$50,0))&amp;""),"UNMAPPED"))</f>
        <v>Onsite</v>
      </c>
      <c r="Q289" s="38" t="n">
        <f aca="false">IF($M289="",0,N(INDEX($A289:$J289,$Q$6)))</f>
        <v>298</v>
      </c>
      <c r="R289" s="39" t="n">
        <f aca="false">IF($M289="","",INDEX($A289:$J289,$R$6))</f>
        <v>46106</v>
      </c>
      <c r="S289" s="37" t="str">
        <f aca="false">IF($M289="","",IFERROR(INDEX(Settings!$B$27:$B$36,MATCH(L289,Settings!$A$27:$A$36,0))&amp;"","UNMAPPED"))</f>
        <v>Won</v>
      </c>
      <c r="T289" s="37" t="str">
        <f aca="false">IF($M289="","",IF(NOT(ISNUMBER(R289)),"NO DATE",IF(S289="Won",IF(R289&gt;Settings!$B$5,"Backlog","Delivered"),IF(S289="Open",IF(R289&gt;Settings!$B$5,"Pipeline","Overdue"),IF(S289="Lost","Lost","UNMAPPED")))))</f>
        <v>Delivered</v>
      </c>
      <c r="U289" s="40" t="n">
        <f aca="false">IF(T289="Backlog",1,IF(OR(T289="Pipeline",T289="Overdue"),N(INDEX(Settings!$C$27:$C$36,MATCH(L289,Settings!$A$27:$A$36,0))),0))</f>
        <v>0</v>
      </c>
      <c r="V289" s="38" t="n">
        <f aca="false">Q289*U289</f>
        <v>0</v>
      </c>
      <c r="W289" s="41" t="n">
        <f aca="false">IF($M289="","",IF(T289="Overdue",IF(Settings!$B$8="Yes",Settings!$B$7,""),IF(ISNUMBER(R289),DATE(YEAR(R289),MONTH(R289),1),"")))</f>
        <v>46082</v>
      </c>
      <c r="X289" s="38" t="n">
        <f aca="false">IF(AND(OR(T289="Backlog",T289="Pipeline",T289="Overdue"),ISNUMBER(W289)),IF(W289&lt;=Settings!$B$6,V289,0),0)</f>
        <v>0</v>
      </c>
      <c r="Y289" s="38" t="n">
        <f aca="false">IF(AND(OR(T289="Backlog",T289="Pipeline",T289="Overdue"),ISNUMBER(W289)),IF(W289&lt;=Settings!$B$6,Q289,0),0)</f>
        <v>0</v>
      </c>
      <c r="Z289" s="38" t="n">
        <f aca="false">IF(Y289=0,0,IF(T289="Backlog",Q289,Q289*Dashboard!$C$10))</f>
        <v>0</v>
      </c>
      <c r="AA289" s="37" t="n">
        <f aca="false">IF($N289="",0,IF(COUNTIF(Dashboard!$C$13:$C$22,$N289)&gt;0,1,0))</f>
        <v>0</v>
      </c>
      <c r="AB289" s="37" t="str">
        <f aca="false">IF($N289="","",IF(COUNTIF($N$8:$N289,$N289)=1,MAX($AB$7:$AB288)+1,""))</f>
        <v/>
      </c>
    </row>
    <row r="290" customFormat="false" ht="15" hidden="false" customHeight="false" outlineLevel="0" collapsed="false">
      <c r="B290" s="32" t="s">
        <v>787</v>
      </c>
      <c r="C290" s="32" t="s">
        <v>217</v>
      </c>
      <c r="D290" s="35" t="n">
        <v>1320</v>
      </c>
      <c r="E290" s="32" t="s">
        <v>145</v>
      </c>
      <c r="F290" s="36" t="n">
        <v>46093</v>
      </c>
      <c r="G290" s="32" t="s">
        <v>788</v>
      </c>
      <c r="L290" s="37" t="str">
        <f aca="false">IF(INDEX($A290:$J290,$L$6)&lt;&gt;"",TRIM(LEFT(INDEX($A290:$J290,$L$6),FIND("(",INDEX($A290:$J290,$L$6)&amp;"(")-1)),L289)</f>
        <v>Closed Won</v>
      </c>
      <c r="M290" s="37" t="str">
        <f aca="false">IF(INDEX($A290:$J290,$M$6)="","",INDEX($A290:$J290,$M$6)&amp;"")</f>
        <v>Garvan - NECTA Conference 27.3.26</v>
      </c>
      <c r="N290" s="37" t="str">
        <f aca="false">IF($M290="","",TRIM(INDEX($A290:$J290,$N$6)&amp;""))</f>
        <v>Garvan Institute of Medical Research</v>
      </c>
      <c r="O290" s="37" t="str">
        <f aca="false">IF($M290="","",TRIM(INDEX($A290:$J290,$O$6)&amp;""))</f>
        <v>Event Production</v>
      </c>
      <c r="P290" s="37" t="str">
        <f aca="false">IF($M290="","",IFERROR(IF(INDEX(Settings!$B$41:$B$50,MATCH(O290,Settings!$A$41:$A$50,0))&amp;""="","UNMAPPED",INDEX(Settings!$B$41:$B$50,MATCH(O290,Settings!$A$41:$A$50,0))&amp;""),"UNMAPPED"))</f>
        <v>Production</v>
      </c>
      <c r="Q290" s="38" t="n">
        <f aca="false">IF($M290="",0,N(INDEX($A290:$J290,$Q$6)))</f>
        <v>1320</v>
      </c>
      <c r="R290" s="39" t="n">
        <f aca="false">IF($M290="","",INDEX($A290:$J290,$R$6))</f>
        <v>46093</v>
      </c>
      <c r="S290" s="37" t="str">
        <f aca="false">IF($M290="","",IFERROR(INDEX(Settings!$B$27:$B$36,MATCH(L290,Settings!$A$27:$A$36,0))&amp;"","UNMAPPED"))</f>
        <v>Won</v>
      </c>
      <c r="T290" s="37" t="str">
        <f aca="false">IF($M290="","",IF(NOT(ISNUMBER(R290)),"NO DATE",IF(S290="Won",IF(R290&gt;Settings!$B$5,"Backlog","Delivered"),IF(S290="Open",IF(R290&gt;Settings!$B$5,"Pipeline","Overdue"),IF(S290="Lost","Lost","UNMAPPED")))))</f>
        <v>Delivered</v>
      </c>
      <c r="U290" s="40" t="n">
        <f aca="false">IF(T290="Backlog",1,IF(OR(T290="Pipeline",T290="Overdue"),N(INDEX(Settings!$C$27:$C$36,MATCH(L290,Settings!$A$27:$A$36,0))),0))</f>
        <v>0</v>
      </c>
      <c r="V290" s="38" t="n">
        <f aca="false">Q290*U290</f>
        <v>0</v>
      </c>
      <c r="W290" s="41" t="n">
        <f aca="false">IF($M290="","",IF(T290="Overdue",IF(Settings!$B$8="Yes",Settings!$B$7,""),IF(ISNUMBER(R290),DATE(YEAR(R290),MONTH(R290),1),"")))</f>
        <v>46082</v>
      </c>
      <c r="X290" s="38" t="n">
        <f aca="false">IF(AND(OR(T290="Backlog",T290="Pipeline",T290="Overdue"),ISNUMBER(W290)),IF(W290&lt;=Settings!$B$6,V290,0),0)</f>
        <v>0</v>
      </c>
      <c r="Y290" s="38" t="n">
        <f aca="false">IF(AND(OR(T290="Backlog",T290="Pipeline",T290="Overdue"),ISNUMBER(W290)),IF(W290&lt;=Settings!$B$6,Q290,0),0)</f>
        <v>0</v>
      </c>
      <c r="Z290" s="38" t="n">
        <f aca="false">IF(Y290=0,0,IF(T290="Backlog",Q290,Q290*Dashboard!$C$10))</f>
        <v>0</v>
      </c>
      <c r="AA290" s="37" t="n">
        <f aca="false">IF($N290="",0,IF(COUNTIF(Dashboard!$C$13:$C$22,$N290)&gt;0,1,0))</f>
        <v>0</v>
      </c>
      <c r="AB290" s="37" t="str">
        <f aca="false">IF($N290="","",IF(COUNTIF($N$8:$N290,$N290)=1,MAX($AB$7:$AB289)+1,""))</f>
        <v/>
      </c>
    </row>
    <row r="291" customFormat="false" ht="15" hidden="false" customHeight="false" outlineLevel="0" collapsed="false">
      <c r="B291" s="32" t="s">
        <v>789</v>
      </c>
      <c r="C291" s="32" t="s">
        <v>690</v>
      </c>
      <c r="D291" s="35" t="n">
        <v>9050</v>
      </c>
      <c r="E291" s="32" t="s">
        <v>145</v>
      </c>
      <c r="F291" s="36" t="n">
        <v>46147</v>
      </c>
      <c r="G291" s="32" t="s">
        <v>790</v>
      </c>
      <c r="L291" s="37" t="str">
        <f aca="false">IF(INDEX($A291:$J291,$L$6)&lt;&gt;"",TRIM(LEFT(INDEX($A291:$J291,$L$6),FIND("(",INDEX($A291:$J291,$L$6)&amp;"(")-1)),L290)</f>
        <v>Closed Won</v>
      </c>
      <c r="M291" s="37" t="str">
        <f aca="false">IF(INDEX($A291:$J291,$M$6)="","",INDEX($A291:$J291,$M$6)&amp;"")</f>
        <v>Corrivium - AWS Summit - 12.5.26</v>
      </c>
      <c r="N291" s="37" t="str">
        <f aca="false">IF($M291="","",TRIM(INDEX($A291:$J291,$N$6)&amp;""))</f>
        <v>Corrivium</v>
      </c>
      <c r="O291" s="37" t="str">
        <f aca="false">IF($M291="","",TRIM(INDEX($A291:$J291,$O$6)&amp;""))</f>
        <v>Event Production</v>
      </c>
      <c r="P291" s="37" t="str">
        <f aca="false">IF($M291="","",IFERROR(IF(INDEX(Settings!$B$41:$B$50,MATCH(O291,Settings!$A$41:$A$50,0))&amp;""="","UNMAPPED",INDEX(Settings!$B$41:$B$50,MATCH(O291,Settings!$A$41:$A$50,0))&amp;""),"UNMAPPED"))</f>
        <v>Production</v>
      </c>
      <c r="Q291" s="38" t="n">
        <f aca="false">IF($M291="",0,N(INDEX($A291:$J291,$Q$6)))</f>
        <v>9050</v>
      </c>
      <c r="R291" s="39" t="n">
        <f aca="false">IF($M291="","",INDEX($A291:$J291,$R$6))</f>
        <v>46147</v>
      </c>
      <c r="S291" s="37" t="str">
        <f aca="false">IF($M291="","",IFERROR(INDEX(Settings!$B$27:$B$36,MATCH(L291,Settings!$A$27:$A$36,0))&amp;"","UNMAPPED"))</f>
        <v>Won</v>
      </c>
      <c r="T291" s="37" t="str">
        <f aca="false">IF($M291="","",IF(NOT(ISNUMBER(R291)),"NO DATE",IF(S291="Won",IF(R291&gt;Settings!$B$5,"Backlog","Delivered"),IF(S291="Open",IF(R291&gt;Settings!$B$5,"Pipeline","Overdue"),IF(S291="Lost","Lost","UNMAPPED")))))</f>
        <v>Delivered</v>
      </c>
      <c r="U291" s="40" t="n">
        <f aca="false">IF(T291="Backlog",1,IF(OR(T291="Pipeline",T291="Overdue"),N(INDEX(Settings!$C$27:$C$36,MATCH(L291,Settings!$A$27:$A$36,0))),0))</f>
        <v>0</v>
      </c>
      <c r="V291" s="38" t="n">
        <f aca="false">Q291*U291</f>
        <v>0</v>
      </c>
      <c r="W291" s="41" t="n">
        <f aca="false">IF($M291="","",IF(T291="Overdue",IF(Settings!$B$8="Yes",Settings!$B$7,""),IF(ISNUMBER(R291),DATE(YEAR(R291),MONTH(R291),1),"")))</f>
        <v>46143</v>
      </c>
      <c r="X291" s="38" t="n">
        <f aca="false">IF(AND(OR(T291="Backlog",T291="Pipeline",T291="Overdue"),ISNUMBER(W291)),IF(W291&lt;=Settings!$B$6,V291,0),0)</f>
        <v>0</v>
      </c>
      <c r="Y291" s="38" t="n">
        <f aca="false">IF(AND(OR(T291="Backlog",T291="Pipeline",T291="Overdue"),ISNUMBER(W291)),IF(W291&lt;=Settings!$B$6,Q291,0),0)</f>
        <v>0</v>
      </c>
      <c r="Z291" s="38" t="n">
        <f aca="false">IF(Y291=0,0,IF(T291="Backlog",Q291,Q291*Dashboard!$C$10))</f>
        <v>0</v>
      </c>
      <c r="AA291" s="37" t="n">
        <f aca="false">IF($N291="",0,IF(COUNTIF(Dashboard!$C$13:$C$22,$N291)&gt;0,1,0))</f>
        <v>0</v>
      </c>
      <c r="AB291" s="37" t="str">
        <f aca="false">IF($N291="","",IF(COUNTIF($N$8:$N291,$N291)=1,MAX($AB$7:$AB290)+1,""))</f>
        <v/>
      </c>
    </row>
    <row r="292" customFormat="false" ht="15" hidden="false" customHeight="false" outlineLevel="0" collapsed="false">
      <c r="B292" s="32" t="s">
        <v>791</v>
      </c>
      <c r="C292" s="32" t="s">
        <v>194</v>
      </c>
      <c r="D292" s="35" t="n">
        <v>41414</v>
      </c>
      <c r="E292" s="32" t="s">
        <v>145</v>
      </c>
      <c r="F292" s="36" t="n">
        <v>46128</v>
      </c>
      <c r="G292" s="32" t="s">
        <v>792</v>
      </c>
      <c r="L292" s="37" t="str">
        <f aca="false">IF(INDEX($A292:$J292,$L$6)&lt;&gt;"",TRIM(LEFT(INDEX($A292:$J292,$L$6),FIND("(",INDEX($A292:$J292,$L$6)&amp;"(")-1)),L291)</f>
        <v>Closed Won</v>
      </c>
      <c r="M292" s="37" t="str">
        <f aca="false">IF(INDEX($A292:$J292,$M$6)="","",INDEX($A292:$J292,$M$6)&amp;"")</f>
        <v>Ventia - Finance Conference - 29.4.26 (26031002)</v>
      </c>
      <c r="N292" s="37" t="str">
        <f aca="false">IF($M292="","",TRIM(INDEX($A292:$J292,$N$6)&amp;""))</f>
        <v>Ventia</v>
      </c>
      <c r="O292" s="37" t="str">
        <f aca="false">IF($M292="","",TRIM(INDEX($A292:$J292,$O$6)&amp;""))</f>
        <v>Event Production</v>
      </c>
      <c r="P292" s="37" t="str">
        <f aca="false">IF($M292="","",IFERROR(IF(INDEX(Settings!$B$41:$B$50,MATCH(O292,Settings!$A$41:$A$50,0))&amp;""="","UNMAPPED",INDEX(Settings!$B$41:$B$50,MATCH(O292,Settings!$A$41:$A$50,0))&amp;""),"UNMAPPED"))</f>
        <v>Production</v>
      </c>
      <c r="Q292" s="38" t="n">
        <f aca="false">IF($M292="",0,N(INDEX($A292:$J292,$Q$6)))</f>
        <v>41414</v>
      </c>
      <c r="R292" s="39" t="n">
        <f aca="false">IF($M292="","",INDEX($A292:$J292,$R$6))</f>
        <v>46128</v>
      </c>
      <c r="S292" s="37" t="str">
        <f aca="false">IF($M292="","",IFERROR(INDEX(Settings!$B$27:$B$36,MATCH(L292,Settings!$A$27:$A$36,0))&amp;"","UNMAPPED"))</f>
        <v>Won</v>
      </c>
      <c r="T292" s="37" t="str">
        <f aca="false">IF($M292="","",IF(NOT(ISNUMBER(R292)),"NO DATE",IF(S292="Won",IF(R292&gt;Settings!$B$5,"Backlog","Delivered"),IF(S292="Open",IF(R292&gt;Settings!$B$5,"Pipeline","Overdue"),IF(S292="Lost","Lost","UNMAPPED")))))</f>
        <v>Delivered</v>
      </c>
      <c r="U292" s="40" t="n">
        <f aca="false">IF(T292="Backlog",1,IF(OR(T292="Pipeline",T292="Overdue"),N(INDEX(Settings!$C$27:$C$36,MATCH(L292,Settings!$A$27:$A$36,0))),0))</f>
        <v>0</v>
      </c>
      <c r="V292" s="38" t="n">
        <f aca="false">Q292*U292</f>
        <v>0</v>
      </c>
      <c r="W292" s="41" t="n">
        <f aca="false">IF($M292="","",IF(T292="Overdue",IF(Settings!$B$8="Yes",Settings!$B$7,""),IF(ISNUMBER(R292),DATE(YEAR(R292),MONTH(R292),1),"")))</f>
        <v>46113</v>
      </c>
      <c r="X292" s="38" t="n">
        <f aca="false">IF(AND(OR(T292="Backlog",T292="Pipeline",T292="Overdue"),ISNUMBER(W292)),IF(W292&lt;=Settings!$B$6,V292,0),0)</f>
        <v>0</v>
      </c>
      <c r="Y292" s="38" t="n">
        <f aca="false">IF(AND(OR(T292="Backlog",T292="Pipeline",T292="Overdue"),ISNUMBER(W292)),IF(W292&lt;=Settings!$B$6,Q292,0),0)</f>
        <v>0</v>
      </c>
      <c r="Z292" s="38" t="n">
        <f aca="false">IF(Y292=0,0,IF(T292="Backlog",Q292,Q292*Dashboard!$C$10))</f>
        <v>0</v>
      </c>
      <c r="AA292" s="37" t="n">
        <f aca="false">IF($N292="",0,IF(COUNTIF(Dashboard!$C$13:$C$22,$N292)&gt;0,1,0))</f>
        <v>0</v>
      </c>
      <c r="AB292" s="37" t="str">
        <f aca="false">IF($N292="","",IF(COUNTIF($N$8:$N292,$N292)=1,MAX($AB$7:$AB291)+1,""))</f>
        <v/>
      </c>
    </row>
    <row r="293" customFormat="false" ht="15" hidden="false" customHeight="false" outlineLevel="0" collapsed="false">
      <c r="B293" s="32" t="s">
        <v>793</v>
      </c>
      <c r="C293" s="32" t="s">
        <v>281</v>
      </c>
      <c r="D293" s="35" t="n">
        <v>3406</v>
      </c>
      <c r="E293" s="32" t="s">
        <v>145</v>
      </c>
      <c r="F293" s="36" t="n">
        <v>45931</v>
      </c>
      <c r="G293" s="32" t="s">
        <v>794</v>
      </c>
      <c r="L293" s="37" t="str">
        <f aca="false">IF(INDEX($A293:$J293,$L$6)&lt;&gt;"",TRIM(LEFT(INDEX($A293:$J293,$L$6),FIND("(",INDEX($A293:$J293,$L$6)&amp;"(")-1)),L292)</f>
        <v>Closed Won</v>
      </c>
      <c r="M293" s="37" t="str">
        <f aca="false">IF(INDEX($A293:$J293,$M$6)="","",INDEX($A293:$J293,$M$6)&amp;"")</f>
        <v>Ord Gen Meet 1.10.25</v>
      </c>
      <c r="N293" s="37" t="str">
        <f aca="false">IF($M293="","",TRIM(INDEX($A293:$J293,$N$6)&amp;""))</f>
        <v>The Royal Society of New South Wales</v>
      </c>
      <c r="O293" s="37" t="str">
        <f aca="false">IF($M293="","",TRIM(INDEX($A293:$J293,$O$6)&amp;""))</f>
        <v>Event Production</v>
      </c>
      <c r="P293" s="37" t="str">
        <f aca="false">IF($M293="","",IFERROR(IF(INDEX(Settings!$B$41:$B$50,MATCH(O293,Settings!$A$41:$A$50,0))&amp;""="","UNMAPPED",INDEX(Settings!$B$41:$B$50,MATCH(O293,Settings!$A$41:$A$50,0))&amp;""),"UNMAPPED"))</f>
        <v>Production</v>
      </c>
      <c r="Q293" s="38" t="n">
        <f aca="false">IF($M293="",0,N(INDEX($A293:$J293,$Q$6)))</f>
        <v>3406</v>
      </c>
      <c r="R293" s="39" t="n">
        <f aca="false">IF($M293="","",INDEX($A293:$J293,$R$6))</f>
        <v>45931</v>
      </c>
      <c r="S293" s="37" t="str">
        <f aca="false">IF($M293="","",IFERROR(INDEX(Settings!$B$27:$B$36,MATCH(L293,Settings!$A$27:$A$36,0))&amp;"","UNMAPPED"))</f>
        <v>Won</v>
      </c>
      <c r="T293" s="37" t="str">
        <f aca="false">IF($M293="","",IF(NOT(ISNUMBER(R293)),"NO DATE",IF(S293="Won",IF(R293&gt;Settings!$B$5,"Backlog","Delivered"),IF(S293="Open",IF(R293&gt;Settings!$B$5,"Pipeline","Overdue"),IF(S293="Lost","Lost","UNMAPPED")))))</f>
        <v>Delivered</v>
      </c>
      <c r="U293" s="40" t="n">
        <f aca="false">IF(T293="Backlog",1,IF(OR(T293="Pipeline",T293="Overdue"),N(INDEX(Settings!$C$27:$C$36,MATCH(L293,Settings!$A$27:$A$36,0))),0))</f>
        <v>0</v>
      </c>
      <c r="V293" s="38" t="n">
        <f aca="false">Q293*U293</f>
        <v>0</v>
      </c>
      <c r="W293" s="41" t="n">
        <f aca="false">IF($M293="","",IF(T293="Overdue",IF(Settings!$B$8="Yes",Settings!$B$7,""),IF(ISNUMBER(R293),DATE(YEAR(R293),MONTH(R293),1),"")))</f>
        <v>45931</v>
      </c>
      <c r="X293" s="38" t="n">
        <f aca="false">IF(AND(OR(T293="Backlog",T293="Pipeline",T293="Overdue"),ISNUMBER(W293)),IF(W293&lt;=Settings!$B$6,V293,0),0)</f>
        <v>0</v>
      </c>
      <c r="Y293" s="38" t="n">
        <f aca="false">IF(AND(OR(T293="Backlog",T293="Pipeline",T293="Overdue"),ISNUMBER(W293)),IF(W293&lt;=Settings!$B$6,Q293,0),0)</f>
        <v>0</v>
      </c>
      <c r="Z293" s="38" t="n">
        <f aca="false">IF(Y293=0,0,IF(T293="Backlog",Q293,Q293*Dashboard!$C$10))</f>
        <v>0</v>
      </c>
      <c r="AA293" s="37" t="n">
        <f aca="false">IF($N293="",0,IF(COUNTIF(Dashboard!$C$13:$C$22,$N293)&gt;0,1,0))</f>
        <v>0</v>
      </c>
      <c r="AB293" s="37" t="str">
        <f aca="false">IF($N293="","",IF(COUNTIF($N$8:$N293,$N293)=1,MAX($AB$7:$AB292)+1,""))</f>
        <v/>
      </c>
    </row>
    <row r="294" customFormat="false" ht="15" hidden="false" customHeight="false" outlineLevel="0" collapsed="false">
      <c r="B294" s="32" t="s">
        <v>795</v>
      </c>
      <c r="C294" s="32" t="s">
        <v>194</v>
      </c>
      <c r="D294" s="35" t="n">
        <v>6949</v>
      </c>
      <c r="E294" s="32" t="s">
        <v>145</v>
      </c>
      <c r="F294" s="36" t="n">
        <v>46199</v>
      </c>
      <c r="G294" s="32" t="s">
        <v>796</v>
      </c>
      <c r="L294" s="37" t="str">
        <f aca="false">IF(INDEX($A294:$J294,$L$6)&lt;&gt;"",TRIM(LEFT(INDEX($A294:$J294,$L$6),FIND("(",INDEX($A294:$J294,$L$6)&amp;"(")-1)),L293)</f>
        <v>Closed Won</v>
      </c>
      <c r="M294" s="37" t="str">
        <f aca="false">IF(INDEX($A294:$J294,$M$6)="","",INDEX($A294:$J294,$M$6)&amp;"")</f>
        <v>Ventia - XELT Event - 29.6.26</v>
      </c>
      <c r="N294" s="37" t="str">
        <f aca="false">IF($M294="","",TRIM(INDEX($A294:$J294,$N$6)&amp;""))</f>
        <v>Ventia</v>
      </c>
      <c r="O294" s="37" t="str">
        <f aca="false">IF($M294="","",TRIM(INDEX($A294:$J294,$O$6)&amp;""))</f>
        <v>Event Production</v>
      </c>
      <c r="P294" s="37" t="str">
        <f aca="false">IF($M294="","",IFERROR(IF(INDEX(Settings!$B$41:$B$50,MATCH(O294,Settings!$A$41:$A$50,0))&amp;""="","UNMAPPED",INDEX(Settings!$B$41:$B$50,MATCH(O294,Settings!$A$41:$A$50,0))&amp;""),"UNMAPPED"))</f>
        <v>Production</v>
      </c>
      <c r="Q294" s="38" t="n">
        <f aca="false">IF($M294="",0,N(INDEX($A294:$J294,$Q$6)))</f>
        <v>6949</v>
      </c>
      <c r="R294" s="39" t="n">
        <f aca="false">IF($M294="","",INDEX($A294:$J294,$R$6))</f>
        <v>46199</v>
      </c>
      <c r="S294" s="37" t="str">
        <f aca="false">IF($M294="","",IFERROR(INDEX(Settings!$B$27:$B$36,MATCH(L294,Settings!$A$27:$A$36,0))&amp;"","UNMAPPED"))</f>
        <v>Won</v>
      </c>
      <c r="T294" s="37" t="str">
        <f aca="false">IF($M294="","",IF(NOT(ISNUMBER(R294)),"NO DATE",IF(S294="Won",IF(R294&gt;Settings!$B$5,"Backlog","Delivered"),IF(S294="Open",IF(R294&gt;Settings!$B$5,"Pipeline","Overdue"),IF(S294="Lost","Lost","UNMAPPED")))))</f>
        <v>Delivered</v>
      </c>
      <c r="U294" s="40" t="n">
        <f aca="false">IF(T294="Backlog",1,IF(OR(T294="Pipeline",T294="Overdue"),N(INDEX(Settings!$C$27:$C$36,MATCH(L294,Settings!$A$27:$A$36,0))),0))</f>
        <v>0</v>
      </c>
      <c r="V294" s="38" t="n">
        <f aca="false">Q294*U294</f>
        <v>0</v>
      </c>
      <c r="W294" s="41" t="n">
        <f aca="false">IF($M294="","",IF(T294="Overdue",IF(Settings!$B$8="Yes",Settings!$B$7,""),IF(ISNUMBER(R294),DATE(YEAR(R294),MONTH(R294),1),"")))</f>
        <v>46174</v>
      </c>
      <c r="X294" s="38" t="n">
        <f aca="false">IF(AND(OR(T294="Backlog",T294="Pipeline",T294="Overdue"),ISNUMBER(W294)),IF(W294&lt;=Settings!$B$6,V294,0),0)</f>
        <v>0</v>
      </c>
      <c r="Y294" s="38" t="n">
        <f aca="false">IF(AND(OR(T294="Backlog",T294="Pipeline",T294="Overdue"),ISNUMBER(W294)),IF(W294&lt;=Settings!$B$6,Q294,0),0)</f>
        <v>0</v>
      </c>
      <c r="Z294" s="38" t="n">
        <f aca="false">IF(Y294=0,0,IF(T294="Backlog",Q294,Q294*Dashboard!$C$10))</f>
        <v>0</v>
      </c>
      <c r="AA294" s="37" t="n">
        <f aca="false">IF($N294="",0,IF(COUNTIF(Dashboard!$C$13:$C$22,$N294)&gt;0,1,0))</f>
        <v>0</v>
      </c>
      <c r="AB294" s="37" t="str">
        <f aca="false">IF($N294="","",IF(COUNTIF($N$8:$N294,$N294)=1,MAX($AB$7:$AB293)+1,""))</f>
        <v/>
      </c>
    </row>
    <row r="295" customFormat="false" ht="15" hidden="false" customHeight="false" outlineLevel="0" collapsed="false">
      <c r="B295" s="32" t="s">
        <v>797</v>
      </c>
      <c r="C295" s="32" t="s">
        <v>253</v>
      </c>
      <c r="D295" s="35" t="n">
        <v>37876</v>
      </c>
      <c r="E295" s="32" t="s">
        <v>145</v>
      </c>
      <c r="F295" s="36" t="n">
        <v>45883</v>
      </c>
      <c r="G295" s="32" t="s">
        <v>798</v>
      </c>
      <c r="L295" s="37" t="str">
        <f aca="false">IF(INDEX($A295:$J295,$L$6)&lt;&gt;"",TRIM(LEFT(INDEX($A295:$J295,$L$6),FIND("(",INDEX($A295:$J295,$L$6)&amp;"(")-1)),L294)</f>
        <v>Closed Won</v>
      </c>
      <c r="M295" s="37" t="str">
        <f aca="false">IF(INDEX($A295:$J295,$M$6)="","",INDEX($A295:$J295,$M$6)&amp;"")</f>
        <v>ASX FY25 Results Briefing 14.8.25</v>
      </c>
      <c r="N295" s="37" t="str">
        <f aca="false">IF($M295="","",TRIM(INDEX($A295:$J295,$N$6)&amp;""))</f>
        <v>ASX Australian Securities Exchange</v>
      </c>
      <c r="O295" s="37" t="str">
        <f aca="false">IF($M295="","",TRIM(INDEX($A295:$J295,$O$6)&amp;""))</f>
        <v>Event Production</v>
      </c>
      <c r="P295" s="37" t="str">
        <f aca="false">IF($M295="","",IFERROR(IF(INDEX(Settings!$B$41:$B$50,MATCH(O295,Settings!$A$41:$A$50,0))&amp;""="","UNMAPPED",INDEX(Settings!$B$41:$B$50,MATCH(O295,Settings!$A$41:$A$50,0))&amp;""),"UNMAPPED"))</f>
        <v>Production</v>
      </c>
      <c r="Q295" s="38" t="n">
        <f aca="false">IF($M295="",0,N(INDEX($A295:$J295,$Q$6)))</f>
        <v>37876</v>
      </c>
      <c r="R295" s="39" t="n">
        <f aca="false">IF($M295="","",INDEX($A295:$J295,$R$6))</f>
        <v>45883</v>
      </c>
      <c r="S295" s="37" t="str">
        <f aca="false">IF($M295="","",IFERROR(INDEX(Settings!$B$27:$B$36,MATCH(L295,Settings!$A$27:$A$36,0))&amp;"","UNMAPPED"))</f>
        <v>Won</v>
      </c>
      <c r="T295" s="37" t="str">
        <f aca="false">IF($M295="","",IF(NOT(ISNUMBER(R295)),"NO DATE",IF(S295="Won",IF(R295&gt;Settings!$B$5,"Backlog","Delivered"),IF(S295="Open",IF(R295&gt;Settings!$B$5,"Pipeline","Overdue"),IF(S295="Lost","Lost","UNMAPPED")))))</f>
        <v>Delivered</v>
      </c>
      <c r="U295" s="40" t="n">
        <f aca="false">IF(T295="Backlog",1,IF(OR(T295="Pipeline",T295="Overdue"),N(INDEX(Settings!$C$27:$C$36,MATCH(L295,Settings!$A$27:$A$36,0))),0))</f>
        <v>0</v>
      </c>
      <c r="V295" s="38" t="n">
        <f aca="false">Q295*U295</f>
        <v>0</v>
      </c>
      <c r="W295" s="41" t="n">
        <f aca="false">IF($M295="","",IF(T295="Overdue",IF(Settings!$B$8="Yes",Settings!$B$7,""),IF(ISNUMBER(R295),DATE(YEAR(R295),MONTH(R295),1),"")))</f>
        <v>45870</v>
      </c>
      <c r="X295" s="38" t="n">
        <f aca="false">IF(AND(OR(T295="Backlog",T295="Pipeline",T295="Overdue"),ISNUMBER(W295)),IF(W295&lt;=Settings!$B$6,V295,0),0)</f>
        <v>0</v>
      </c>
      <c r="Y295" s="38" t="n">
        <f aca="false">IF(AND(OR(T295="Backlog",T295="Pipeline",T295="Overdue"),ISNUMBER(W295)),IF(W295&lt;=Settings!$B$6,Q295,0),0)</f>
        <v>0</v>
      </c>
      <c r="Z295" s="38" t="n">
        <f aca="false">IF(Y295=0,0,IF(T295="Backlog",Q295,Q295*Dashboard!$C$10))</f>
        <v>0</v>
      </c>
      <c r="AA295" s="37" t="n">
        <f aca="false">IF($N295="",0,IF(COUNTIF(Dashboard!$C$13:$C$22,$N295)&gt;0,1,0))</f>
        <v>0</v>
      </c>
      <c r="AB295" s="37" t="str">
        <f aca="false">IF($N295="","",IF(COUNTIF($N$8:$N295,$N295)=1,MAX($AB$7:$AB294)+1,""))</f>
        <v/>
      </c>
    </row>
    <row r="296" customFormat="false" ht="15" hidden="false" customHeight="false" outlineLevel="0" collapsed="false">
      <c r="B296" s="32" t="s">
        <v>799</v>
      </c>
      <c r="C296" s="32" t="s">
        <v>800</v>
      </c>
      <c r="D296" s="35" t="n">
        <v>542</v>
      </c>
      <c r="E296" s="32" t="s">
        <v>145</v>
      </c>
      <c r="F296" s="36" t="n">
        <v>45841</v>
      </c>
      <c r="G296" s="32" t="s">
        <v>801</v>
      </c>
      <c r="L296" s="37" t="str">
        <f aca="false">IF(INDEX($A296:$J296,$L$6)&lt;&gt;"",TRIM(LEFT(INDEX($A296:$J296,$L$6),FIND("(",INDEX($A296:$J296,$L$6)&amp;"(")-1)),L295)</f>
        <v>Closed Won</v>
      </c>
      <c r="M296" s="37" t="str">
        <f aca="false">IF(INDEX($A296:$J296,$M$6)="","",INDEX($A296:$J296,$M$6)&amp;"")</f>
        <v>GemLife Listing Stream - 3.7.25</v>
      </c>
      <c r="N296" s="37" t="str">
        <f aca="false">IF($M296="","",TRIM(INDEX($A296:$J296,$N$6)&amp;""))</f>
        <v>GemLife</v>
      </c>
      <c r="O296" s="37" t="str">
        <f aca="false">IF($M296="","",TRIM(INDEX($A296:$J296,$O$6)&amp;""))</f>
        <v>Event Production</v>
      </c>
      <c r="P296" s="37" t="str">
        <f aca="false">IF($M296="","",IFERROR(IF(INDEX(Settings!$B$41:$B$50,MATCH(O296,Settings!$A$41:$A$50,0))&amp;""="","UNMAPPED",INDEX(Settings!$B$41:$B$50,MATCH(O296,Settings!$A$41:$A$50,0))&amp;""),"UNMAPPED"))</f>
        <v>Production</v>
      </c>
      <c r="Q296" s="38" t="n">
        <f aca="false">IF($M296="",0,N(INDEX($A296:$J296,$Q$6)))</f>
        <v>542</v>
      </c>
      <c r="R296" s="39" t="n">
        <f aca="false">IF($M296="","",INDEX($A296:$J296,$R$6))</f>
        <v>45841</v>
      </c>
      <c r="S296" s="37" t="str">
        <f aca="false">IF($M296="","",IFERROR(INDEX(Settings!$B$27:$B$36,MATCH(L296,Settings!$A$27:$A$36,0))&amp;"","UNMAPPED"))</f>
        <v>Won</v>
      </c>
      <c r="T296" s="37" t="str">
        <f aca="false">IF($M296="","",IF(NOT(ISNUMBER(R296)),"NO DATE",IF(S296="Won",IF(R296&gt;Settings!$B$5,"Backlog","Delivered"),IF(S296="Open",IF(R296&gt;Settings!$B$5,"Pipeline","Overdue"),IF(S296="Lost","Lost","UNMAPPED")))))</f>
        <v>Delivered</v>
      </c>
      <c r="U296" s="40" t="n">
        <f aca="false">IF(T296="Backlog",1,IF(OR(T296="Pipeline",T296="Overdue"),N(INDEX(Settings!$C$27:$C$36,MATCH(L296,Settings!$A$27:$A$36,0))),0))</f>
        <v>0</v>
      </c>
      <c r="V296" s="38" t="n">
        <f aca="false">Q296*U296</f>
        <v>0</v>
      </c>
      <c r="W296" s="41" t="n">
        <f aca="false">IF($M296="","",IF(T296="Overdue",IF(Settings!$B$8="Yes",Settings!$B$7,""),IF(ISNUMBER(R296),DATE(YEAR(R296),MONTH(R296),1),"")))</f>
        <v>45839</v>
      </c>
      <c r="X296" s="38" t="n">
        <f aca="false">IF(AND(OR(T296="Backlog",T296="Pipeline",T296="Overdue"),ISNUMBER(W296)),IF(W296&lt;=Settings!$B$6,V296,0),0)</f>
        <v>0</v>
      </c>
      <c r="Y296" s="38" t="n">
        <f aca="false">IF(AND(OR(T296="Backlog",T296="Pipeline",T296="Overdue"),ISNUMBER(W296)),IF(W296&lt;=Settings!$B$6,Q296,0),0)</f>
        <v>0</v>
      </c>
      <c r="Z296" s="38" t="n">
        <f aca="false">IF(Y296=0,0,IF(T296="Backlog",Q296,Q296*Dashboard!$C$10))</f>
        <v>0</v>
      </c>
      <c r="AA296" s="37" t="n">
        <f aca="false">IF($N296="",0,IF(COUNTIF(Dashboard!$C$13:$C$22,$N296)&gt;0,1,0))</f>
        <v>0</v>
      </c>
      <c r="AB296" s="37" t="n">
        <f aca="false">IF($N296="","",IF(COUNTIF($N$8:$N296,$N296)=1,MAX($AB$7:$AB295)+1,""))</f>
        <v>78</v>
      </c>
    </row>
    <row r="297" customFormat="false" ht="15" hidden="false" customHeight="false" outlineLevel="0" collapsed="false">
      <c r="B297" s="32" t="s">
        <v>802</v>
      </c>
      <c r="C297" s="32" t="s">
        <v>199</v>
      </c>
      <c r="D297" s="35" t="n">
        <v>23721</v>
      </c>
      <c r="E297" s="32" t="s">
        <v>180</v>
      </c>
      <c r="F297" s="36" t="n">
        <v>46204</v>
      </c>
      <c r="G297" s="32" t="s">
        <v>803</v>
      </c>
      <c r="L297" s="37" t="str">
        <f aca="false">IF(INDEX($A297:$J297,$L$6)&lt;&gt;"",TRIM(LEFT(INDEX($A297:$J297,$L$6),FIND("(",INDEX($A297:$J297,$L$6)&amp;"(")-1)),L296)</f>
        <v>Closed Won</v>
      </c>
      <c r="M297" s="37" t="str">
        <f aca="false">IF(INDEX($A297:$J297,$M$6)="","",INDEX($A297:$J297,$M$6)&amp;"")</f>
        <v>Ricoh / Qantas Extension (2 Months)</v>
      </c>
      <c r="N297" s="37" t="str">
        <f aca="false">IF($M297="","",TRIM(INDEX($A297:$J297,$N$6)&amp;""))</f>
        <v>Ricoh</v>
      </c>
      <c r="O297" s="37" t="str">
        <f aca="false">IF($M297="","",TRIM(INDEX($A297:$J297,$O$6)&amp;""))</f>
        <v>Support</v>
      </c>
      <c r="P297" s="37" t="str">
        <f aca="false">IF($M297="","",IFERROR(IF(INDEX(Settings!$B$41:$B$50,MATCH(O297,Settings!$A$41:$A$50,0))&amp;""="","UNMAPPED",INDEX(Settings!$B$41:$B$50,MATCH(O297,Settings!$A$41:$A$50,0))&amp;""),"UNMAPPED"))</f>
        <v>Onsite</v>
      </c>
      <c r="Q297" s="38" t="n">
        <f aca="false">IF($M297="",0,N(INDEX($A297:$J297,$Q$6)))</f>
        <v>23721</v>
      </c>
      <c r="R297" s="39" t="n">
        <f aca="false">IF($M297="","",INDEX($A297:$J297,$R$6))</f>
        <v>46204</v>
      </c>
      <c r="S297" s="37" t="str">
        <f aca="false">IF($M297="","",IFERROR(INDEX(Settings!$B$27:$B$36,MATCH(L297,Settings!$A$27:$A$36,0))&amp;"","UNMAPPED"))</f>
        <v>Won</v>
      </c>
      <c r="T297" s="37" t="str">
        <f aca="false">IF($M297="","",IF(NOT(ISNUMBER(R297)),"NO DATE",IF(S297="Won",IF(R297&gt;Settings!$B$5,"Backlog","Delivered"),IF(S297="Open",IF(R297&gt;Settings!$B$5,"Pipeline","Overdue"),IF(S297="Lost","Lost","UNMAPPED")))))</f>
        <v>Delivered</v>
      </c>
      <c r="U297" s="40" t="n">
        <f aca="false">IF(T297="Backlog",1,IF(OR(T297="Pipeline",T297="Overdue"),N(INDEX(Settings!$C$27:$C$36,MATCH(L297,Settings!$A$27:$A$36,0))),0))</f>
        <v>0</v>
      </c>
      <c r="V297" s="38" t="n">
        <f aca="false">Q297*U297</f>
        <v>0</v>
      </c>
      <c r="W297" s="41" t="n">
        <f aca="false">IF($M297="","",IF(T297="Overdue",IF(Settings!$B$8="Yes",Settings!$B$7,""),IF(ISNUMBER(R297),DATE(YEAR(R297),MONTH(R297),1),"")))</f>
        <v>46204</v>
      </c>
      <c r="X297" s="38" t="n">
        <f aca="false">IF(AND(OR(T297="Backlog",T297="Pipeline",T297="Overdue"),ISNUMBER(W297)),IF(W297&lt;=Settings!$B$6,V297,0),0)</f>
        <v>0</v>
      </c>
      <c r="Y297" s="38" t="n">
        <f aca="false">IF(AND(OR(T297="Backlog",T297="Pipeline",T297="Overdue"),ISNUMBER(W297)),IF(W297&lt;=Settings!$B$6,Q297,0),0)</f>
        <v>0</v>
      </c>
      <c r="Z297" s="38" t="n">
        <f aca="false">IF(Y297=0,0,IF(T297="Backlog",Q297,Q297*Dashboard!$C$10))</f>
        <v>0</v>
      </c>
      <c r="AA297" s="37" t="n">
        <f aca="false">IF($N297="",0,IF(COUNTIF(Dashboard!$C$13:$C$22,$N297)&gt;0,1,0))</f>
        <v>0</v>
      </c>
      <c r="AB297" s="37" t="str">
        <f aca="false">IF($N297="","",IF(COUNTIF($N$8:$N297,$N297)=1,MAX($AB$7:$AB296)+1,""))</f>
        <v/>
      </c>
    </row>
    <row r="298" customFormat="false" ht="15" hidden="false" customHeight="false" outlineLevel="0" collapsed="false">
      <c r="B298" s="32" t="s">
        <v>804</v>
      </c>
      <c r="C298" s="32" t="s">
        <v>160</v>
      </c>
      <c r="D298" s="35" t="n">
        <v>380</v>
      </c>
      <c r="E298" s="32" t="s">
        <v>145</v>
      </c>
      <c r="F298" s="36" t="n">
        <v>46184</v>
      </c>
      <c r="G298" s="32" t="s">
        <v>805</v>
      </c>
      <c r="L298" s="37" t="str">
        <f aca="false">IF(INDEX($A298:$J298,$L$6)&lt;&gt;"",TRIM(LEFT(INDEX($A298:$J298,$L$6),FIND("(",INDEX($A298:$J298,$L$6)&amp;"(")-1)),L297)</f>
        <v>Closed Won</v>
      </c>
      <c r="M298" s="37" t="str">
        <f aca="false">IF(INDEX($A298:$J298,$M$6)="","",INDEX($A298:$J298,$M$6)&amp;"")</f>
        <v>Elkiem - Studio Support - 30.6.26</v>
      </c>
      <c r="N298" s="37" t="str">
        <f aca="false">IF($M298="","",TRIM(INDEX($A298:$J298,$N$6)&amp;""))</f>
        <v>Elkiem</v>
      </c>
      <c r="O298" s="37" t="str">
        <f aca="false">IF($M298="","",TRIM(INDEX($A298:$J298,$O$6)&amp;""))</f>
        <v>Event Production</v>
      </c>
      <c r="P298" s="37" t="str">
        <f aca="false">IF($M298="","",IFERROR(IF(INDEX(Settings!$B$41:$B$50,MATCH(O298,Settings!$A$41:$A$50,0))&amp;""="","UNMAPPED",INDEX(Settings!$B$41:$B$50,MATCH(O298,Settings!$A$41:$A$50,0))&amp;""),"UNMAPPED"))</f>
        <v>Production</v>
      </c>
      <c r="Q298" s="38" t="n">
        <f aca="false">IF($M298="",0,N(INDEX($A298:$J298,$Q$6)))</f>
        <v>380</v>
      </c>
      <c r="R298" s="39" t="n">
        <f aca="false">IF($M298="","",INDEX($A298:$J298,$R$6))</f>
        <v>46184</v>
      </c>
      <c r="S298" s="37" t="str">
        <f aca="false">IF($M298="","",IFERROR(INDEX(Settings!$B$27:$B$36,MATCH(L298,Settings!$A$27:$A$36,0))&amp;"","UNMAPPED"))</f>
        <v>Won</v>
      </c>
      <c r="T298" s="37" t="str">
        <f aca="false">IF($M298="","",IF(NOT(ISNUMBER(R298)),"NO DATE",IF(S298="Won",IF(R298&gt;Settings!$B$5,"Backlog","Delivered"),IF(S298="Open",IF(R298&gt;Settings!$B$5,"Pipeline","Overdue"),IF(S298="Lost","Lost","UNMAPPED")))))</f>
        <v>Delivered</v>
      </c>
      <c r="U298" s="40" t="n">
        <f aca="false">IF(T298="Backlog",1,IF(OR(T298="Pipeline",T298="Overdue"),N(INDEX(Settings!$C$27:$C$36,MATCH(L298,Settings!$A$27:$A$36,0))),0))</f>
        <v>0</v>
      </c>
      <c r="V298" s="38" t="n">
        <f aca="false">Q298*U298</f>
        <v>0</v>
      </c>
      <c r="W298" s="41" t="n">
        <f aca="false">IF($M298="","",IF(T298="Overdue",IF(Settings!$B$8="Yes",Settings!$B$7,""),IF(ISNUMBER(R298),DATE(YEAR(R298),MONTH(R298),1),"")))</f>
        <v>46174</v>
      </c>
      <c r="X298" s="38" t="n">
        <f aca="false">IF(AND(OR(T298="Backlog",T298="Pipeline",T298="Overdue"),ISNUMBER(W298)),IF(W298&lt;=Settings!$B$6,V298,0),0)</f>
        <v>0</v>
      </c>
      <c r="Y298" s="38" t="n">
        <f aca="false">IF(AND(OR(T298="Backlog",T298="Pipeline",T298="Overdue"),ISNUMBER(W298)),IF(W298&lt;=Settings!$B$6,Q298,0),0)</f>
        <v>0</v>
      </c>
      <c r="Z298" s="38" t="n">
        <f aca="false">IF(Y298=0,0,IF(T298="Backlog",Q298,Q298*Dashboard!$C$10))</f>
        <v>0</v>
      </c>
      <c r="AA298" s="37" t="n">
        <f aca="false">IF($N298="",0,IF(COUNTIF(Dashboard!$C$13:$C$22,$N298)&gt;0,1,0))</f>
        <v>0</v>
      </c>
      <c r="AB298" s="37" t="str">
        <f aca="false">IF($N298="","",IF(COUNTIF($N$8:$N298,$N298)=1,MAX($AB$7:$AB297)+1,""))</f>
        <v/>
      </c>
    </row>
    <row r="299" customFormat="false" ht="15" hidden="false" customHeight="false" outlineLevel="0" collapsed="false">
      <c r="B299" s="32" t="s">
        <v>806</v>
      </c>
      <c r="C299" s="32" t="s">
        <v>160</v>
      </c>
      <c r="D299" s="35" t="n">
        <v>380</v>
      </c>
      <c r="E299" s="32" t="s">
        <v>145</v>
      </c>
      <c r="F299" s="36" t="n">
        <v>46217</v>
      </c>
      <c r="G299" s="32" t="s">
        <v>807</v>
      </c>
      <c r="L299" s="37" t="str">
        <f aca="false">IF(INDEX($A299:$J299,$L$6)&lt;&gt;"",TRIM(LEFT(INDEX($A299:$J299,$L$6),FIND("(",INDEX($A299:$J299,$L$6)&amp;"(")-1)),L298)</f>
        <v>Closed Won</v>
      </c>
      <c r="M299" s="37" t="str">
        <f aca="false">IF(INDEX($A299:$J299,$M$6)="","",INDEX($A299:$J299,$M$6)&amp;"")</f>
        <v>Elkiem - Studio Support - 2.12.26</v>
      </c>
      <c r="N299" s="37" t="str">
        <f aca="false">IF($M299="","",TRIM(INDEX($A299:$J299,$N$6)&amp;""))</f>
        <v>Elkiem</v>
      </c>
      <c r="O299" s="37" t="str">
        <f aca="false">IF($M299="","",TRIM(INDEX($A299:$J299,$O$6)&amp;""))</f>
        <v>Event Production</v>
      </c>
      <c r="P299" s="37" t="str">
        <f aca="false">IF($M299="","",IFERROR(IF(INDEX(Settings!$B$41:$B$50,MATCH(O299,Settings!$A$41:$A$50,0))&amp;""="","UNMAPPED",INDEX(Settings!$B$41:$B$50,MATCH(O299,Settings!$A$41:$A$50,0))&amp;""),"UNMAPPED"))</f>
        <v>Production</v>
      </c>
      <c r="Q299" s="38" t="n">
        <f aca="false">IF($M299="",0,N(INDEX($A299:$J299,$Q$6)))</f>
        <v>380</v>
      </c>
      <c r="R299" s="39" t="n">
        <f aca="false">IF($M299="","",INDEX($A299:$J299,$R$6))</f>
        <v>46217</v>
      </c>
      <c r="S299" s="37" t="str">
        <f aca="false">IF($M299="","",IFERROR(INDEX(Settings!$B$27:$B$36,MATCH(L299,Settings!$A$27:$A$36,0))&amp;"","UNMAPPED"))</f>
        <v>Won</v>
      </c>
      <c r="T299" s="37" t="str">
        <f aca="false">IF($M299="","",IF(NOT(ISNUMBER(R299)),"NO DATE",IF(S299="Won",IF(R299&gt;Settings!$B$5,"Backlog","Delivered"),IF(S299="Open",IF(R299&gt;Settings!$B$5,"Pipeline","Overdue"),IF(S299="Lost","Lost","UNMAPPED")))))</f>
        <v>Delivered</v>
      </c>
      <c r="U299" s="40" t="n">
        <f aca="false">IF(T299="Backlog",1,IF(OR(T299="Pipeline",T299="Overdue"),N(INDEX(Settings!$C$27:$C$36,MATCH(L299,Settings!$A$27:$A$36,0))),0))</f>
        <v>0</v>
      </c>
      <c r="V299" s="38" t="n">
        <f aca="false">Q299*U299</f>
        <v>0</v>
      </c>
      <c r="W299" s="41" t="n">
        <f aca="false">IF($M299="","",IF(T299="Overdue",IF(Settings!$B$8="Yes",Settings!$B$7,""),IF(ISNUMBER(R299),DATE(YEAR(R299),MONTH(R299),1),"")))</f>
        <v>46204</v>
      </c>
      <c r="X299" s="38" t="n">
        <f aca="false">IF(AND(OR(T299="Backlog",T299="Pipeline",T299="Overdue"),ISNUMBER(W299)),IF(W299&lt;=Settings!$B$6,V299,0),0)</f>
        <v>0</v>
      </c>
      <c r="Y299" s="38" t="n">
        <f aca="false">IF(AND(OR(T299="Backlog",T299="Pipeline",T299="Overdue"),ISNUMBER(W299)),IF(W299&lt;=Settings!$B$6,Q299,0),0)</f>
        <v>0</v>
      </c>
      <c r="Z299" s="38" t="n">
        <f aca="false">IF(Y299=0,0,IF(T299="Backlog",Q299,Q299*Dashboard!$C$10))</f>
        <v>0</v>
      </c>
      <c r="AA299" s="37" t="n">
        <f aca="false">IF($N299="",0,IF(COUNTIF(Dashboard!$C$13:$C$22,$N299)&gt;0,1,0))</f>
        <v>0</v>
      </c>
      <c r="AB299" s="37" t="str">
        <f aca="false">IF($N299="","",IF(COUNTIF($N$8:$N299,$N299)=1,MAX($AB$7:$AB298)+1,""))</f>
        <v/>
      </c>
    </row>
    <row r="300" customFormat="false" ht="15" hidden="false" customHeight="false" outlineLevel="0" collapsed="false">
      <c r="B300" s="32" t="s">
        <v>808</v>
      </c>
      <c r="C300" s="32" t="s">
        <v>160</v>
      </c>
      <c r="D300" s="35" t="n">
        <v>380</v>
      </c>
      <c r="E300" s="32" t="s">
        <v>145</v>
      </c>
      <c r="F300" s="36" t="n">
        <v>46229</v>
      </c>
      <c r="G300" s="32" t="s">
        <v>809</v>
      </c>
      <c r="L300" s="37" t="str">
        <f aca="false">IF(INDEX($A300:$J300,$L$6)&lt;&gt;"",TRIM(LEFT(INDEX($A300:$J300,$L$6),FIND("(",INDEX($A300:$J300,$L$6)&amp;"(")-1)),L299)</f>
        <v>Closed Won</v>
      </c>
      <c r="M300" s="37" t="str">
        <f aca="false">IF(INDEX($A300:$J300,$M$6)="","",INDEX($A300:$J300,$M$6)&amp;"")</f>
        <v>Elkiem - Studio Support - 11.8.26</v>
      </c>
      <c r="N300" s="37" t="str">
        <f aca="false">IF($M300="","",TRIM(INDEX($A300:$J300,$N$6)&amp;""))</f>
        <v>Elkiem</v>
      </c>
      <c r="O300" s="37" t="str">
        <f aca="false">IF($M300="","",TRIM(INDEX($A300:$J300,$O$6)&amp;""))</f>
        <v>Event Production</v>
      </c>
      <c r="P300" s="37" t="str">
        <f aca="false">IF($M300="","",IFERROR(IF(INDEX(Settings!$B$41:$B$50,MATCH(O300,Settings!$A$41:$A$50,0))&amp;""="","UNMAPPED",INDEX(Settings!$B$41:$B$50,MATCH(O300,Settings!$A$41:$A$50,0))&amp;""),"UNMAPPED"))</f>
        <v>Production</v>
      </c>
      <c r="Q300" s="38" t="n">
        <f aca="false">IF($M300="",0,N(INDEX($A300:$J300,$Q$6)))</f>
        <v>380</v>
      </c>
      <c r="R300" s="39" t="n">
        <f aca="false">IF($M300="","",INDEX($A300:$J300,$R$6))</f>
        <v>46229</v>
      </c>
      <c r="S300" s="37" t="str">
        <f aca="false">IF($M300="","",IFERROR(INDEX(Settings!$B$27:$B$36,MATCH(L300,Settings!$A$27:$A$36,0))&amp;"","UNMAPPED"))</f>
        <v>Won</v>
      </c>
      <c r="T300" s="37" t="str">
        <f aca="false">IF($M300="","",IF(NOT(ISNUMBER(R300)),"NO DATE",IF(S300="Won",IF(R300&gt;Settings!$B$5,"Backlog","Delivered"),IF(S300="Open",IF(R300&gt;Settings!$B$5,"Pipeline","Overdue"),IF(S300="Lost","Lost","UNMAPPED")))))</f>
        <v>Delivered</v>
      </c>
      <c r="U300" s="40" t="n">
        <f aca="false">IF(T300="Backlog",1,IF(OR(T300="Pipeline",T300="Overdue"),N(INDEX(Settings!$C$27:$C$36,MATCH(L300,Settings!$A$27:$A$36,0))),0))</f>
        <v>0</v>
      </c>
      <c r="V300" s="38" t="n">
        <f aca="false">Q300*U300</f>
        <v>0</v>
      </c>
      <c r="W300" s="41" t="n">
        <f aca="false">IF($M300="","",IF(T300="Overdue",IF(Settings!$B$8="Yes",Settings!$B$7,""),IF(ISNUMBER(R300),DATE(YEAR(R300),MONTH(R300),1),"")))</f>
        <v>46204</v>
      </c>
      <c r="X300" s="38" t="n">
        <f aca="false">IF(AND(OR(T300="Backlog",T300="Pipeline",T300="Overdue"),ISNUMBER(W300)),IF(W300&lt;=Settings!$B$6,V300,0),0)</f>
        <v>0</v>
      </c>
      <c r="Y300" s="38" t="n">
        <f aca="false">IF(AND(OR(T300="Backlog",T300="Pipeline",T300="Overdue"),ISNUMBER(W300)),IF(W300&lt;=Settings!$B$6,Q300,0),0)</f>
        <v>0</v>
      </c>
      <c r="Z300" s="38" t="n">
        <f aca="false">IF(Y300=0,0,IF(T300="Backlog",Q300,Q300*Dashboard!$C$10))</f>
        <v>0</v>
      </c>
      <c r="AA300" s="37" t="n">
        <f aca="false">IF($N300="",0,IF(COUNTIF(Dashboard!$C$13:$C$22,$N300)&gt;0,1,0))</f>
        <v>0</v>
      </c>
      <c r="AB300" s="37" t="str">
        <f aca="false">IF($N300="","",IF(COUNTIF($N$8:$N300,$N300)=1,MAX($AB$7:$AB299)+1,""))</f>
        <v/>
      </c>
    </row>
    <row r="301" customFormat="false" ht="15" hidden="false" customHeight="false" outlineLevel="0" collapsed="false">
      <c r="B301" s="32" t="s">
        <v>749</v>
      </c>
      <c r="C301" s="32" t="s">
        <v>679</v>
      </c>
      <c r="D301" s="35" t="n">
        <v>340</v>
      </c>
      <c r="E301" s="32" t="s">
        <v>180</v>
      </c>
      <c r="F301" s="36" t="n">
        <v>46170</v>
      </c>
      <c r="G301" s="32" t="s">
        <v>810</v>
      </c>
      <c r="L301" s="37" t="str">
        <f aca="false">IF(INDEX($A301:$J301,$L$6)&lt;&gt;"",TRIM(LEFT(INDEX($A301:$J301,$L$6),FIND("(",INDEX($A301:$J301,$L$6)&amp;"(")-1)),L300)</f>
        <v>Closed Won</v>
      </c>
      <c r="M301" s="37" t="str">
        <f aca="false">IF(INDEX($A301:$J301,$M$6)="","",INDEX($A301:$J301,$M$6)&amp;"")</f>
        <v>AVIT - Pinsent Masons Technician Callout</v>
      </c>
      <c r="N301" s="37" t="str">
        <f aca="false">IF($M301="","",TRIM(INDEX($A301:$J301,$N$6)&amp;""))</f>
        <v>AVIT</v>
      </c>
      <c r="O301" s="37" t="str">
        <f aca="false">IF($M301="","",TRIM(INDEX($A301:$J301,$O$6)&amp;""))</f>
        <v>Support</v>
      </c>
      <c r="P301" s="37" t="str">
        <f aca="false">IF($M301="","",IFERROR(IF(INDEX(Settings!$B$41:$B$50,MATCH(O301,Settings!$A$41:$A$50,0))&amp;""="","UNMAPPED",INDEX(Settings!$B$41:$B$50,MATCH(O301,Settings!$A$41:$A$50,0))&amp;""),"UNMAPPED"))</f>
        <v>Onsite</v>
      </c>
      <c r="Q301" s="38" t="n">
        <f aca="false">IF($M301="",0,N(INDEX($A301:$J301,$Q$6)))</f>
        <v>340</v>
      </c>
      <c r="R301" s="39" t="n">
        <f aca="false">IF($M301="","",INDEX($A301:$J301,$R$6))</f>
        <v>46170</v>
      </c>
      <c r="S301" s="37" t="str">
        <f aca="false">IF($M301="","",IFERROR(INDEX(Settings!$B$27:$B$36,MATCH(L301,Settings!$A$27:$A$36,0))&amp;"","UNMAPPED"))</f>
        <v>Won</v>
      </c>
      <c r="T301" s="37" t="str">
        <f aca="false">IF($M301="","",IF(NOT(ISNUMBER(R301)),"NO DATE",IF(S301="Won",IF(R301&gt;Settings!$B$5,"Backlog","Delivered"),IF(S301="Open",IF(R301&gt;Settings!$B$5,"Pipeline","Overdue"),IF(S301="Lost","Lost","UNMAPPED")))))</f>
        <v>Delivered</v>
      </c>
      <c r="U301" s="40" t="n">
        <f aca="false">IF(T301="Backlog",1,IF(OR(T301="Pipeline",T301="Overdue"),N(INDEX(Settings!$C$27:$C$36,MATCH(L301,Settings!$A$27:$A$36,0))),0))</f>
        <v>0</v>
      </c>
      <c r="V301" s="38" t="n">
        <f aca="false">Q301*U301</f>
        <v>0</v>
      </c>
      <c r="W301" s="41" t="n">
        <f aca="false">IF($M301="","",IF(T301="Overdue",IF(Settings!$B$8="Yes",Settings!$B$7,""),IF(ISNUMBER(R301),DATE(YEAR(R301),MONTH(R301),1),"")))</f>
        <v>46143</v>
      </c>
      <c r="X301" s="38" t="n">
        <f aca="false">IF(AND(OR(T301="Backlog",T301="Pipeline",T301="Overdue"),ISNUMBER(W301)),IF(W301&lt;=Settings!$B$6,V301,0),0)</f>
        <v>0</v>
      </c>
      <c r="Y301" s="38" t="n">
        <f aca="false">IF(AND(OR(T301="Backlog",T301="Pipeline",T301="Overdue"),ISNUMBER(W301)),IF(W301&lt;=Settings!$B$6,Q301,0),0)</f>
        <v>0</v>
      </c>
      <c r="Z301" s="38" t="n">
        <f aca="false">IF(Y301=0,0,IF(T301="Backlog",Q301,Q301*Dashboard!$C$10))</f>
        <v>0</v>
      </c>
      <c r="AA301" s="37" t="n">
        <f aca="false">IF($N301="",0,IF(COUNTIF(Dashboard!$C$13:$C$22,$N301)&gt;0,1,0))</f>
        <v>0</v>
      </c>
      <c r="AB301" s="37" t="str">
        <f aca="false">IF($N301="","",IF(COUNTIF($N$8:$N301,$N301)=1,MAX($AB$7:$AB300)+1,""))</f>
        <v/>
      </c>
    </row>
    <row r="302" customFormat="false" ht="15" hidden="false" customHeight="false" outlineLevel="0" collapsed="false">
      <c r="B302" s="32" t="s">
        <v>811</v>
      </c>
      <c r="C302" s="32" t="s">
        <v>154</v>
      </c>
      <c r="D302" s="35" t="n">
        <v>720</v>
      </c>
      <c r="E302" s="32" t="s">
        <v>145</v>
      </c>
      <c r="F302" s="36" t="n">
        <v>45994</v>
      </c>
      <c r="G302" s="32" t="s">
        <v>812</v>
      </c>
      <c r="L302" s="37" t="str">
        <f aca="false">IF(INDEX($A302:$J302,$L$6)&lt;&gt;"",TRIM(LEFT(INDEX($A302:$J302,$L$6),FIND("(",INDEX($A302:$J302,$L$6)&amp;"(")-1)),L301)</f>
        <v>Closed Won</v>
      </c>
      <c r="M302" s="37" t="str">
        <f aca="false">IF(INDEX($A302:$J302,$M$6)="","",INDEX($A302:$J302,$M$6)&amp;"")</f>
        <v>PWC - Vision Dry Hire - 3.12.25</v>
      </c>
      <c r="N302" s="37" t="str">
        <f aca="false">IF($M302="","",TRIM(INDEX($A302:$J302,$N$6)&amp;""))</f>
        <v>PWC</v>
      </c>
      <c r="O302" s="37" t="str">
        <f aca="false">IF($M302="","",TRIM(INDEX($A302:$J302,$O$6)&amp;""))</f>
        <v>Event Production</v>
      </c>
      <c r="P302" s="37" t="str">
        <f aca="false">IF($M302="","",IFERROR(IF(INDEX(Settings!$B$41:$B$50,MATCH(O302,Settings!$A$41:$A$50,0))&amp;""="","UNMAPPED",INDEX(Settings!$B$41:$B$50,MATCH(O302,Settings!$A$41:$A$50,0))&amp;""),"UNMAPPED"))</f>
        <v>Production</v>
      </c>
      <c r="Q302" s="38" t="n">
        <f aca="false">IF($M302="",0,N(INDEX($A302:$J302,$Q$6)))</f>
        <v>720</v>
      </c>
      <c r="R302" s="39" t="n">
        <f aca="false">IF($M302="","",INDEX($A302:$J302,$R$6))</f>
        <v>45994</v>
      </c>
      <c r="S302" s="37" t="str">
        <f aca="false">IF($M302="","",IFERROR(INDEX(Settings!$B$27:$B$36,MATCH(L302,Settings!$A$27:$A$36,0))&amp;"","UNMAPPED"))</f>
        <v>Won</v>
      </c>
      <c r="T302" s="37" t="str">
        <f aca="false">IF($M302="","",IF(NOT(ISNUMBER(R302)),"NO DATE",IF(S302="Won",IF(R302&gt;Settings!$B$5,"Backlog","Delivered"),IF(S302="Open",IF(R302&gt;Settings!$B$5,"Pipeline","Overdue"),IF(S302="Lost","Lost","UNMAPPED")))))</f>
        <v>Delivered</v>
      </c>
      <c r="U302" s="40" t="n">
        <f aca="false">IF(T302="Backlog",1,IF(OR(T302="Pipeline",T302="Overdue"),N(INDEX(Settings!$C$27:$C$36,MATCH(L302,Settings!$A$27:$A$36,0))),0))</f>
        <v>0</v>
      </c>
      <c r="V302" s="38" t="n">
        <f aca="false">Q302*U302</f>
        <v>0</v>
      </c>
      <c r="W302" s="41" t="n">
        <f aca="false">IF($M302="","",IF(T302="Overdue",IF(Settings!$B$8="Yes",Settings!$B$7,""),IF(ISNUMBER(R302),DATE(YEAR(R302),MONTH(R302),1),"")))</f>
        <v>45992</v>
      </c>
      <c r="X302" s="38" t="n">
        <f aca="false">IF(AND(OR(T302="Backlog",T302="Pipeline",T302="Overdue"),ISNUMBER(W302)),IF(W302&lt;=Settings!$B$6,V302,0),0)</f>
        <v>0</v>
      </c>
      <c r="Y302" s="38" t="n">
        <f aca="false">IF(AND(OR(T302="Backlog",T302="Pipeline",T302="Overdue"),ISNUMBER(W302)),IF(W302&lt;=Settings!$B$6,Q302,0),0)</f>
        <v>0</v>
      </c>
      <c r="Z302" s="38" t="n">
        <f aca="false">IF(Y302=0,0,IF(T302="Backlog",Q302,Q302*Dashboard!$C$10))</f>
        <v>0</v>
      </c>
      <c r="AA302" s="37" t="n">
        <f aca="false">IF($N302="",0,IF(COUNTIF(Dashboard!$C$13:$C$22,$N302)&gt;0,1,0))</f>
        <v>0</v>
      </c>
      <c r="AB302" s="37" t="str">
        <f aca="false">IF($N302="","",IF(COUNTIF($N$8:$N302,$N302)=1,MAX($AB$7:$AB301)+1,""))</f>
        <v/>
      </c>
    </row>
    <row r="303" customFormat="false" ht="15" hidden="false" customHeight="false" outlineLevel="0" collapsed="false">
      <c r="B303" s="32" t="s">
        <v>813</v>
      </c>
      <c r="C303" s="32" t="s">
        <v>814</v>
      </c>
      <c r="D303" s="35" t="n">
        <v>810</v>
      </c>
      <c r="E303" s="32" t="s">
        <v>145</v>
      </c>
      <c r="F303" s="36" t="n">
        <v>45876</v>
      </c>
      <c r="G303" s="32" t="s">
        <v>815</v>
      </c>
      <c r="L303" s="37" t="str">
        <f aca="false">IF(INDEX($A303:$J303,$L$6)&lt;&gt;"",TRIM(LEFT(INDEX($A303:$J303,$L$6),FIND("(",INDEX($A303:$J303,$L$6)&amp;"(")-1)),L302)</f>
        <v>Closed Won</v>
      </c>
      <c r="M303" s="37" t="str">
        <f aca="false">IF(INDEX($A303:$J303,$M$6)="","",INDEX($A303:$J303,$M$6)&amp;"")</f>
        <v>Woke Announcement</v>
      </c>
      <c r="N303" s="37" t="str">
        <f aca="false">IF($M303="","",TRIM(INDEX($A303:$J303,$N$6)&amp;""))</f>
        <v>ZMM Group Public Relations</v>
      </c>
      <c r="O303" s="37" t="str">
        <f aca="false">IF($M303="","",TRIM(INDEX($A303:$J303,$O$6)&amp;""))</f>
        <v>Event Production</v>
      </c>
      <c r="P303" s="37" t="str">
        <f aca="false">IF($M303="","",IFERROR(IF(INDEX(Settings!$B$41:$B$50,MATCH(O303,Settings!$A$41:$A$50,0))&amp;""="","UNMAPPED",INDEX(Settings!$B$41:$B$50,MATCH(O303,Settings!$A$41:$A$50,0))&amp;""),"UNMAPPED"))</f>
        <v>Production</v>
      </c>
      <c r="Q303" s="38" t="n">
        <f aca="false">IF($M303="",0,N(INDEX($A303:$J303,$Q$6)))</f>
        <v>810</v>
      </c>
      <c r="R303" s="39" t="n">
        <f aca="false">IF($M303="","",INDEX($A303:$J303,$R$6))</f>
        <v>45876</v>
      </c>
      <c r="S303" s="37" t="str">
        <f aca="false">IF($M303="","",IFERROR(INDEX(Settings!$B$27:$B$36,MATCH(L303,Settings!$A$27:$A$36,0))&amp;"","UNMAPPED"))</f>
        <v>Won</v>
      </c>
      <c r="T303" s="37" t="str">
        <f aca="false">IF($M303="","",IF(NOT(ISNUMBER(R303)),"NO DATE",IF(S303="Won",IF(R303&gt;Settings!$B$5,"Backlog","Delivered"),IF(S303="Open",IF(R303&gt;Settings!$B$5,"Pipeline","Overdue"),IF(S303="Lost","Lost","UNMAPPED")))))</f>
        <v>Delivered</v>
      </c>
      <c r="U303" s="40" t="n">
        <f aca="false">IF(T303="Backlog",1,IF(OR(T303="Pipeline",T303="Overdue"),N(INDEX(Settings!$C$27:$C$36,MATCH(L303,Settings!$A$27:$A$36,0))),0))</f>
        <v>0</v>
      </c>
      <c r="V303" s="38" t="n">
        <f aca="false">Q303*U303</f>
        <v>0</v>
      </c>
      <c r="W303" s="41" t="n">
        <f aca="false">IF($M303="","",IF(T303="Overdue",IF(Settings!$B$8="Yes",Settings!$B$7,""),IF(ISNUMBER(R303),DATE(YEAR(R303),MONTH(R303),1),"")))</f>
        <v>45870</v>
      </c>
      <c r="X303" s="38" t="n">
        <f aca="false">IF(AND(OR(T303="Backlog",T303="Pipeline",T303="Overdue"),ISNUMBER(W303)),IF(W303&lt;=Settings!$B$6,V303,0),0)</f>
        <v>0</v>
      </c>
      <c r="Y303" s="38" t="n">
        <f aca="false">IF(AND(OR(T303="Backlog",T303="Pipeline",T303="Overdue"),ISNUMBER(W303)),IF(W303&lt;=Settings!$B$6,Q303,0),0)</f>
        <v>0</v>
      </c>
      <c r="Z303" s="38" t="n">
        <f aca="false">IF(Y303=0,0,IF(T303="Backlog",Q303,Q303*Dashboard!$C$10))</f>
        <v>0</v>
      </c>
      <c r="AA303" s="37" t="n">
        <f aca="false">IF($N303="",0,IF(COUNTIF(Dashboard!$C$13:$C$22,$N303)&gt;0,1,0))</f>
        <v>0</v>
      </c>
      <c r="AB303" s="37" t="n">
        <f aca="false">IF($N303="","",IF(COUNTIF($N$8:$N303,$N303)=1,MAX($AB$7:$AB302)+1,""))</f>
        <v>79</v>
      </c>
    </row>
    <row r="304" customFormat="false" ht="15" hidden="false" customHeight="false" outlineLevel="0" collapsed="false">
      <c r="B304" s="32" t="s">
        <v>816</v>
      </c>
      <c r="C304" s="32" t="s">
        <v>817</v>
      </c>
      <c r="D304" s="35" t="n">
        <v>745</v>
      </c>
      <c r="E304" s="32" t="s">
        <v>145</v>
      </c>
      <c r="F304" s="36" t="n">
        <v>46184</v>
      </c>
      <c r="G304" s="32" t="s">
        <v>818</v>
      </c>
      <c r="L304" s="37" t="str">
        <f aca="false">IF(INDEX($A304:$J304,$L$6)&lt;&gt;"",TRIM(LEFT(INDEX($A304:$J304,$L$6),FIND("(",INDEX($A304:$J304,$L$6)&amp;"(")-1)),L303)</f>
        <v>Closed Won</v>
      </c>
      <c r="M304" s="37" t="str">
        <f aca="false">IF(INDEX($A304:$J304,$M$6)="","",INDEX($A304:$J304,$M$6)&amp;"")</f>
        <v>Optiver - Fireside Event Support - 18.6.26</v>
      </c>
      <c r="N304" s="37" t="str">
        <f aca="false">IF($M304="","",TRIM(INDEX($A304:$J304,$N$6)&amp;""))</f>
        <v>Optiver</v>
      </c>
      <c r="O304" s="37" t="str">
        <f aca="false">IF($M304="","",TRIM(INDEX($A304:$J304,$O$6)&amp;""))</f>
        <v>Event Production</v>
      </c>
      <c r="P304" s="37" t="str">
        <f aca="false">IF($M304="","",IFERROR(IF(INDEX(Settings!$B$41:$B$50,MATCH(O304,Settings!$A$41:$A$50,0))&amp;""="","UNMAPPED",INDEX(Settings!$B$41:$B$50,MATCH(O304,Settings!$A$41:$A$50,0))&amp;""),"UNMAPPED"))</f>
        <v>Production</v>
      </c>
      <c r="Q304" s="38" t="n">
        <f aca="false">IF($M304="",0,N(INDEX($A304:$J304,$Q$6)))</f>
        <v>745</v>
      </c>
      <c r="R304" s="39" t="n">
        <f aca="false">IF($M304="","",INDEX($A304:$J304,$R$6))</f>
        <v>46184</v>
      </c>
      <c r="S304" s="37" t="str">
        <f aca="false">IF($M304="","",IFERROR(INDEX(Settings!$B$27:$B$36,MATCH(L304,Settings!$A$27:$A$36,0))&amp;"","UNMAPPED"))</f>
        <v>Won</v>
      </c>
      <c r="T304" s="37" t="str">
        <f aca="false">IF($M304="","",IF(NOT(ISNUMBER(R304)),"NO DATE",IF(S304="Won",IF(R304&gt;Settings!$B$5,"Backlog","Delivered"),IF(S304="Open",IF(R304&gt;Settings!$B$5,"Pipeline","Overdue"),IF(S304="Lost","Lost","UNMAPPED")))))</f>
        <v>Delivered</v>
      </c>
      <c r="U304" s="40" t="n">
        <f aca="false">IF(T304="Backlog",1,IF(OR(T304="Pipeline",T304="Overdue"),N(INDEX(Settings!$C$27:$C$36,MATCH(L304,Settings!$A$27:$A$36,0))),0))</f>
        <v>0</v>
      </c>
      <c r="V304" s="38" t="n">
        <f aca="false">Q304*U304</f>
        <v>0</v>
      </c>
      <c r="W304" s="41" t="n">
        <f aca="false">IF($M304="","",IF(T304="Overdue",IF(Settings!$B$8="Yes",Settings!$B$7,""),IF(ISNUMBER(R304),DATE(YEAR(R304),MONTH(R304),1),"")))</f>
        <v>46174</v>
      </c>
      <c r="X304" s="38" t="n">
        <f aca="false">IF(AND(OR(T304="Backlog",T304="Pipeline",T304="Overdue"),ISNUMBER(W304)),IF(W304&lt;=Settings!$B$6,V304,0),0)</f>
        <v>0</v>
      </c>
      <c r="Y304" s="38" t="n">
        <f aca="false">IF(AND(OR(T304="Backlog",T304="Pipeline",T304="Overdue"),ISNUMBER(W304)),IF(W304&lt;=Settings!$B$6,Q304,0),0)</f>
        <v>0</v>
      </c>
      <c r="Z304" s="38" t="n">
        <f aca="false">IF(Y304=0,0,IF(T304="Backlog",Q304,Q304*Dashboard!$C$10))</f>
        <v>0</v>
      </c>
      <c r="AA304" s="37" t="n">
        <f aca="false">IF($N304="",0,IF(COUNTIF(Dashboard!$C$13:$C$22,$N304)&gt;0,1,0))</f>
        <v>0</v>
      </c>
      <c r="AB304" s="37" t="n">
        <f aca="false">IF($N304="","",IF(COUNTIF($N$8:$N304,$N304)=1,MAX($AB$7:$AB303)+1,""))</f>
        <v>80</v>
      </c>
    </row>
    <row r="305" customFormat="false" ht="15" hidden="false" customHeight="false" outlineLevel="0" collapsed="false">
      <c r="B305" s="32" t="s">
        <v>819</v>
      </c>
      <c r="C305" s="32" t="s">
        <v>194</v>
      </c>
      <c r="D305" s="35" t="n">
        <v>10000</v>
      </c>
      <c r="E305" s="32" t="s">
        <v>145</v>
      </c>
      <c r="F305" s="36" t="n">
        <v>45987</v>
      </c>
      <c r="G305" s="32" t="s">
        <v>820</v>
      </c>
      <c r="L305" s="37" t="str">
        <f aca="false">IF(INDEX($A305:$J305,$L$6)&lt;&gt;"",TRIM(LEFT(INDEX($A305:$J305,$L$6),FIND("(",INDEX($A305:$J305,$L$6)&amp;"(")-1)),L304)</f>
        <v>Closed Won</v>
      </c>
      <c r="M305" s="37" t="str">
        <f aca="false">IF(INDEX($A305:$J305,$M$6)="","",INDEX($A305:$J305,$M$6)&amp;"")</f>
        <v>XELT Session Nth Syd - 26.11.2025</v>
      </c>
      <c r="N305" s="37" t="str">
        <f aca="false">IF($M305="","",TRIM(INDEX($A305:$J305,$N$6)&amp;""))</f>
        <v>Ventia</v>
      </c>
      <c r="O305" s="37" t="str">
        <f aca="false">IF($M305="","",TRIM(INDEX($A305:$J305,$O$6)&amp;""))</f>
        <v>Event Production</v>
      </c>
      <c r="P305" s="37" t="str">
        <f aca="false">IF($M305="","",IFERROR(IF(INDEX(Settings!$B$41:$B$50,MATCH(O305,Settings!$A$41:$A$50,0))&amp;""="","UNMAPPED",INDEX(Settings!$B$41:$B$50,MATCH(O305,Settings!$A$41:$A$50,0))&amp;""),"UNMAPPED"))</f>
        <v>Production</v>
      </c>
      <c r="Q305" s="38" t="n">
        <f aca="false">IF($M305="",0,N(INDEX($A305:$J305,$Q$6)))</f>
        <v>10000</v>
      </c>
      <c r="R305" s="39" t="n">
        <f aca="false">IF($M305="","",INDEX($A305:$J305,$R$6))</f>
        <v>45987</v>
      </c>
      <c r="S305" s="37" t="str">
        <f aca="false">IF($M305="","",IFERROR(INDEX(Settings!$B$27:$B$36,MATCH(L305,Settings!$A$27:$A$36,0))&amp;"","UNMAPPED"))</f>
        <v>Won</v>
      </c>
      <c r="T305" s="37" t="str">
        <f aca="false">IF($M305="","",IF(NOT(ISNUMBER(R305)),"NO DATE",IF(S305="Won",IF(R305&gt;Settings!$B$5,"Backlog","Delivered"),IF(S305="Open",IF(R305&gt;Settings!$B$5,"Pipeline","Overdue"),IF(S305="Lost","Lost","UNMAPPED")))))</f>
        <v>Delivered</v>
      </c>
      <c r="U305" s="40" t="n">
        <f aca="false">IF(T305="Backlog",1,IF(OR(T305="Pipeline",T305="Overdue"),N(INDEX(Settings!$C$27:$C$36,MATCH(L305,Settings!$A$27:$A$36,0))),0))</f>
        <v>0</v>
      </c>
      <c r="V305" s="38" t="n">
        <f aca="false">Q305*U305</f>
        <v>0</v>
      </c>
      <c r="W305" s="41" t="n">
        <f aca="false">IF($M305="","",IF(T305="Overdue",IF(Settings!$B$8="Yes",Settings!$B$7,""),IF(ISNUMBER(R305),DATE(YEAR(R305),MONTH(R305),1),"")))</f>
        <v>45962</v>
      </c>
      <c r="X305" s="38" t="n">
        <f aca="false">IF(AND(OR(T305="Backlog",T305="Pipeline",T305="Overdue"),ISNUMBER(W305)),IF(W305&lt;=Settings!$B$6,V305,0),0)</f>
        <v>0</v>
      </c>
      <c r="Y305" s="38" t="n">
        <f aca="false">IF(AND(OR(T305="Backlog",T305="Pipeline",T305="Overdue"),ISNUMBER(W305)),IF(W305&lt;=Settings!$B$6,Q305,0),0)</f>
        <v>0</v>
      </c>
      <c r="Z305" s="38" t="n">
        <f aca="false">IF(Y305=0,0,IF(T305="Backlog",Q305,Q305*Dashboard!$C$10))</f>
        <v>0</v>
      </c>
      <c r="AA305" s="37" t="n">
        <f aca="false">IF($N305="",0,IF(COUNTIF(Dashboard!$C$13:$C$22,$N305)&gt;0,1,0))</f>
        <v>0</v>
      </c>
      <c r="AB305" s="37" t="str">
        <f aca="false">IF($N305="","",IF(COUNTIF($N$8:$N305,$N305)=1,MAX($AB$7:$AB304)+1,""))</f>
        <v/>
      </c>
    </row>
    <row r="306" customFormat="false" ht="15" hidden="false" customHeight="false" outlineLevel="0" collapsed="false">
      <c r="B306" s="32" t="s">
        <v>821</v>
      </c>
      <c r="C306" s="32" t="s">
        <v>140</v>
      </c>
      <c r="D306" s="35" t="n">
        <v>33939</v>
      </c>
      <c r="E306" s="32" t="s">
        <v>141</v>
      </c>
      <c r="F306" s="36" t="n">
        <v>46171</v>
      </c>
      <c r="G306" s="32" t="s">
        <v>822</v>
      </c>
      <c r="L306" s="37" t="str">
        <f aca="false">IF(INDEX($A306:$J306,$L$6)&lt;&gt;"",TRIM(LEFT(INDEX($A306:$J306,$L$6),FIND("(",INDEX($A306:$J306,$L$6)&amp;"(")-1)),L305)</f>
        <v>Closed Won</v>
      </c>
      <c r="M306" s="37" t="str">
        <f aca="false">IF(INDEX($A306:$J306,$M$6)="","",INDEX($A306:$J306,$M$6)&amp;"")</f>
        <v>DTTL | Syd Mobile Displays - 26052003</v>
      </c>
      <c r="N306" s="37" t="str">
        <f aca="false">IF($M306="","",TRIM(INDEX($A306:$J306,$N$6)&amp;""))</f>
        <v>Deloitte Australia</v>
      </c>
      <c r="O306" s="37" t="str">
        <f aca="false">IF($M306="","",TRIM(INDEX($A306:$J306,$O$6)&amp;""))</f>
        <v>Integration</v>
      </c>
      <c r="P306" s="37" t="str">
        <f aca="false">IF($M306="","",IFERROR(IF(INDEX(Settings!$B$41:$B$50,MATCH(O306,Settings!$A$41:$A$50,0))&amp;""="","UNMAPPED",INDEX(Settings!$B$41:$B$50,MATCH(O306,Settings!$A$41:$A$50,0))&amp;""),"UNMAPPED"))</f>
        <v>Integration</v>
      </c>
      <c r="Q306" s="38" t="n">
        <f aca="false">IF($M306="",0,N(INDEX($A306:$J306,$Q$6)))</f>
        <v>33939</v>
      </c>
      <c r="R306" s="39" t="n">
        <f aca="false">IF($M306="","",INDEX($A306:$J306,$R$6))</f>
        <v>46171</v>
      </c>
      <c r="S306" s="37" t="str">
        <f aca="false">IF($M306="","",IFERROR(INDEX(Settings!$B$27:$B$36,MATCH(L306,Settings!$A$27:$A$36,0))&amp;"","UNMAPPED"))</f>
        <v>Won</v>
      </c>
      <c r="T306" s="37" t="str">
        <f aca="false">IF($M306="","",IF(NOT(ISNUMBER(R306)),"NO DATE",IF(S306="Won",IF(R306&gt;Settings!$B$5,"Backlog","Delivered"),IF(S306="Open",IF(R306&gt;Settings!$B$5,"Pipeline","Overdue"),IF(S306="Lost","Lost","UNMAPPED")))))</f>
        <v>Delivered</v>
      </c>
      <c r="U306" s="40" t="n">
        <f aca="false">IF(T306="Backlog",1,IF(OR(T306="Pipeline",T306="Overdue"),N(INDEX(Settings!$C$27:$C$36,MATCH(L306,Settings!$A$27:$A$36,0))),0))</f>
        <v>0</v>
      </c>
      <c r="V306" s="38" t="n">
        <f aca="false">Q306*U306</f>
        <v>0</v>
      </c>
      <c r="W306" s="41" t="n">
        <f aca="false">IF($M306="","",IF(T306="Overdue",IF(Settings!$B$8="Yes",Settings!$B$7,""),IF(ISNUMBER(R306),DATE(YEAR(R306),MONTH(R306),1),"")))</f>
        <v>46143</v>
      </c>
      <c r="X306" s="38" t="n">
        <f aca="false">IF(AND(OR(T306="Backlog",T306="Pipeline",T306="Overdue"),ISNUMBER(W306)),IF(W306&lt;=Settings!$B$6,V306,0),0)</f>
        <v>0</v>
      </c>
      <c r="Y306" s="38" t="n">
        <f aca="false">IF(AND(OR(T306="Backlog",T306="Pipeline",T306="Overdue"),ISNUMBER(W306)),IF(W306&lt;=Settings!$B$6,Q306,0),0)</f>
        <v>0</v>
      </c>
      <c r="Z306" s="38" t="n">
        <f aca="false">IF(Y306=0,0,IF(T306="Backlog",Q306,Q306*Dashboard!$C$10))</f>
        <v>0</v>
      </c>
      <c r="AA306" s="37" t="n">
        <f aca="false">IF($N306="",0,IF(COUNTIF(Dashboard!$C$13:$C$22,$N306)&gt;0,1,0))</f>
        <v>0</v>
      </c>
      <c r="AB306" s="37" t="str">
        <f aca="false">IF($N306="","",IF(COUNTIF($N$8:$N306,$N306)=1,MAX($AB$7:$AB305)+1,""))</f>
        <v/>
      </c>
    </row>
    <row r="307" customFormat="false" ht="15" hidden="false" customHeight="false" outlineLevel="0" collapsed="false">
      <c r="B307" s="32" t="s">
        <v>823</v>
      </c>
      <c r="C307" s="32" t="s">
        <v>169</v>
      </c>
      <c r="D307" s="35" t="n">
        <v>12100</v>
      </c>
      <c r="E307" s="32" t="s">
        <v>145</v>
      </c>
      <c r="F307" s="36" t="n">
        <v>45988</v>
      </c>
      <c r="G307" s="32" t="s">
        <v>824</v>
      </c>
      <c r="L307" s="37" t="str">
        <f aca="false">IF(INDEX($A307:$J307,$L$6)&lt;&gt;"",TRIM(LEFT(INDEX($A307:$J307,$L$6),FIND("(",INDEX($A307:$J307,$L$6)&amp;"(")-1)),L306)</f>
        <v>Closed Won</v>
      </c>
      <c r="M307" s="37" t="str">
        <f aca="false">IF(INDEX($A307:$J307,$M$6)="","",INDEX($A307:$J307,$M$6)&amp;"")</f>
        <v>HUB Investor Day 27.11.25</v>
      </c>
      <c r="N307" s="37" t="str">
        <f aca="false">IF($M307="","",TRIM(INDEX($A307:$J307,$N$6)&amp;""))</f>
        <v>MUFG IR / Orient Capital</v>
      </c>
      <c r="O307" s="37" t="str">
        <f aca="false">IF($M307="","",TRIM(INDEX($A307:$J307,$O$6)&amp;""))</f>
        <v>Event Production</v>
      </c>
      <c r="P307" s="37" t="str">
        <f aca="false">IF($M307="","",IFERROR(IF(INDEX(Settings!$B$41:$B$50,MATCH(O307,Settings!$A$41:$A$50,0))&amp;""="","UNMAPPED",INDEX(Settings!$B$41:$B$50,MATCH(O307,Settings!$A$41:$A$50,0))&amp;""),"UNMAPPED"))</f>
        <v>Production</v>
      </c>
      <c r="Q307" s="38" t="n">
        <f aca="false">IF($M307="",0,N(INDEX($A307:$J307,$Q$6)))</f>
        <v>12100</v>
      </c>
      <c r="R307" s="39" t="n">
        <f aca="false">IF($M307="","",INDEX($A307:$J307,$R$6))</f>
        <v>45988</v>
      </c>
      <c r="S307" s="37" t="str">
        <f aca="false">IF($M307="","",IFERROR(INDEX(Settings!$B$27:$B$36,MATCH(L307,Settings!$A$27:$A$36,0))&amp;"","UNMAPPED"))</f>
        <v>Won</v>
      </c>
      <c r="T307" s="37" t="str">
        <f aca="false">IF($M307="","",IF(NOT(ISNUMBER(R307)),"NO DATE",IF(S307="Won",IF(R307&gt;Settings!$B$5,"Backlog","Delivered"),IF(S307="Open",IF(R307&gt;Settings!$B$5,"Pipeline","Overdue"),IF(S307="Lost","Lost","UNMAPPED")))))</f>
        <v>Delivered</v>
      </c>
      <c r="U307" s="40" t="n">
        <f aca="false">IF(T307="Backlog",1,IF(OR(T307="Pipeline",T307="Overdue"),N(INDEX(Settings!$C$27:$C$36,MATCH(L307,Settings!$A$27:$A$36,0))),0))</f>
        <v>0</v>
      </c>
      <c r="V307" s="38" t="n">
        <f aca="false">Q307*U307</f>
        <v>0</v>
      </c>
      <c r="W307" s="41" t="n">
        <f aca="false">IF($M307="","",IF(T307="Overdue",IF(Settings!$B$8="Yes",Settings!$B$7,""),IF(ISNUMBER(R307),DATE(YEAR(R307),MONTH(R307),1),"")))</f>
        <v>45962</v>
      </c>
      <c r="X307" s="38" t="n">
        <f aca="false">IF(AND(OR(T307="Backlog",T307="Pipeline",T307="Overdue"),ISNUMBER(W307)),IF(W307&lt;=Settings!$B$6,V307,0),0)</f>
        <v>0</v>
      </c>
      <c r="Y307" s="38" t="n">
        <f aca="false">IF(AND(OR(T307="Backlog",T307="Pipeline",T307="Overdue"),ISNUMBER(W307)),IF(W307&lt;=Settings!$B$6,Q307,0),0)</f>
        <v>0</v>
      </c>
      <c r="Z307" s="38" t="n">
        <f aca="false">IF(Y307=0,0,IF(T307="Backlog",Q307,Q307*Dashboard!$C$10))</f>
        <v>0</v>
      </c>
      <c r="AA307" s="37" t="n">
        <f aca="false">IF($N307="",0,IF(COUNTIF(Dashboard!$C$13:$C$22,$N307)&gt;0,1,0))</f>
        <v>0</v>
      </c>
      <c r="AB307" s="37" t="str">
        <f aca="false">IF($N307="","",IF(COUNTIF($N$8:$N307,$N307)=1,MAX($AB$7:$AB306)+1,""))</f>
        <v/>
      </c>
    </row>
    <row r="308" customFormat="false" ht="15" hidden="false" customHeight="false" outlineLevel="0" collapsed="false">
      <c r="B308" s="32" t="s">
        <v>825</v>
      </c>
      <c r="C308" s="32" t="s">
        <v>293</v>
      </c>
      <c r="D308" s="35" t="n">
        <v>27122</v>
      </c>
      <c r="E308" s="32" t="s">
        <v>145</v>
      </c>
      <c r="F308" s="36" t="n">
        <v>46303</v>
      </c>
      <c r="G308" s="32" t="s">
        <v>826</v>
      </c>
      <c r="L308" s="37" t="str">
        <f aca="false">IF(INDEX($A308:$J308,$L$6)&lt;&gt;"",TRIM(LEFT(INDEX($A308:$J308,$L$6),FIND("(",INDEX($A308:$J308,$L$6)&amp;"(")-1)),L307)</f>
        <v>Closed Won</v>
      </c>
      <c r="M308" s="37" t="str">
        <f aca="false">IF(INDEX($A308:$J308,$M$6)="","",INDEX($A308:$J308,$M$6)&amp;"")</f>
        <v>Microsoft - SME&amp;C Town Hall - Oct 26'</v>
      </c>
      <c r="N308" s="37" t="str">
        <f aca="false">IF($M308="","",TRIM(INDEX($A308:$J308,$N$6)&amp;""))</f>
        <v>Microsoft</v>
      </c>
      <c r="O308" s="37" t="str">
        <f aca="false">IF($M308="","",TRIM(INDEX($A308:$J308,$O$6)&amp;""))</f>
        <v>Event Production</v>
      </c>
      <c r="P308" s="37" t="str">
        <f aca="false">IF($M308="","",IFERROR(IF(INDEX(Settings!$B$41:$B$50,MATCH(O308,Settings!$A$41:$A$50,0))&amp;""="","UNMAPPED",INDEX(Settings!$B$41:$B$50,MATCH(O308,Settings!$A$41:$A$50,0))&amp;""),"UNMAPPED"))</f>
        <v>Production</v>
      </c>
      <c r="Q308" s="38" t="n">
        <f aca="false">IF($M308="",0,N(INDEX($A308:$J308,$Q$6)))</f>
        <v>27122</v>
      </c>
      <c r="R308" s="39" t="n">
        <f aca="false">IF($M308="","",INDEX($A308:$J308,$R$6))</f>
        <v>46303</v>
      </c>
      <c r="S308" s="37" t="str">
        <f aca="false">IF($M308="","",IFERROR(INDEX(Settings!$B$27:$B$36,MATCH(L308,Settings!$A$27:$A$36,0))&amp;"","UNMAPPED"))</f>
        <v>Won</v>
      </c>
      <c r="T308" s="37" t="str">
        <f aca="false">IF($M308="","",IF(NOT(ISNUMBER(R308)),"NO DATE",IF(S308="Won",IF(R308&gt;Settings!$B$5,"Backlog","Delivered"),IF(S308="Open",IF(R308&gt;Settings!$B$5,"Pipeline","Overdue"),IF(S308="Lost","Lost","UNMAPPED")))))</f>
        <v>Backlog</v>
      </c>
      <c r="U308" s="40" t="n">
        <f aca="false">IF(T308="Backlog",1,IF(OR(T308="Pipeline",T308="Overdue"),N(INDEX(Settings!$C$27:$C$36,MATCH(L308,Settings!$A$27:$A$36,0))),0))</f>
        <v>1</v>
      </c>
      <c r="V308" s="38" t="n">
        <f aca="false">Q308*U308</f>
        <v>27122</v>
      </c>
      <c r="W308" s="41" t="n">
        <f aca="false">IF($M308="","",IF(T308="Overdue",IF(Settings!$B$8="Yes",Settings!$B$7,""),IF(ISNUMBER(R308),DATE(YEAR(R308),MONTH(R308),1),"")))</f>
        <v>46296</v>
      </c>
      <c r="X308" s="38" t="n">
        <f aca="false">IF(AND(OR(T308="Backlog",T308="Pipeline",T308="Overdue"),ISNUMBER(W308)),IF(W308&lt;=Settings!$B$6,V308,0),0)</f>
        <v>27122</v>
      </c>
      <c r="Y308" s="38" t="n">
        <f aca="false">IF(AND(OR(T308="Backlog",T308="Pipeline",T308="Overdue"),ISNUMBER(W308)),IF(W308&lt;=Settings!$B$6,Q308,0),0)</f>
        <v>27122</v>
      </c>
      <c r="Z308" s="38" t="n">
        <f aca="false">IF(Y308=0,0,IF(T308="Backlog",Q308,Q308*Dashboard!$C$10))</f>
        <v>27122</v>
      </c>
      <c r="AA308" s="37" t="n">
        <f aca="false">IF($N308="",0,IF(COUNTIF(Dashboard!$C$13:$C$22,$N308)&gt;0,1,0))</f>
        <v>0</v>
      </c>
      <c r="AB308" s="37" t="str">
        <f aca="false">IF($N308="","",IF(COUNTIF($N$8:$N308,$N308)=1,MAX($AB$7:$AB307)+1,""))</f>
        <v/>
      </c>
    </row>
    <row r="309" customFormat="false" ht="15" hidden="false" customHeight="false" outlineLevel="0" collapsed="false">
      <c r="B309" s="32" t="s">
        <v>827</v>
      </c>
      <c r="C309" s="32" t="s">
        <v>253</v>
      </c>
      <c r="D309" s="35" t="n">
        <v>5380</v>
      </c>
      <c r="E309" s="32" t="s">
        <v>145</v>
      </c>
      <c r="F309" s="36" t="n">
        <v>46158</v>
      </c>
      <c r="G309" s="32" t="s">
        <v>828</v>
      </c>
      <c r="L309" s="37" t="str">
        <f aca="false">IF(INDEX($A309:$J309,$L$6)&lt;&gt;"",TRIM(LEFT(INDEX($A309:$J309,$L$6),FIND("(",INDEX($A309:$J309,$L$6)&amp;"(")-1)),L308)</f>
        <v>Closed Won</v>
      </c>
      <c r="M309" s="37" t="str">
        <f aca="false">IF(INDEX($A309:$J309,$M$6)="","",INDEX($A309:$J309,$M$6)&amp;"")</f>
        <v>Investor Days (16.3) Sydney &amp; (23.3) Melbourne</v>
      </c>
      <c r="N309" s="37" t="str">
        <f aca="false">IF($M309="","",TRIM(INDEX($A309:$J309,$N$6)&amp;""))</f>
        <v>ASX Australian Securities Exchange</v>
      </c>
      <c r="O309" s="37" t="str">
        <f aca="false">IF($M309="","",TRIM(INDEX($A309:$J309,$O$6)&amp;""))</f>
        <v>Event Production</v>
      </c>
      <c r="P309" s="37" t="str">
        <f aca="false">IF($M309="","",IFERROR(IF(INDEX(Settings!$B$41:$B$50,MATCH(O309,Settings!$A$41:$A$50,0))&amp;""="","UNMAPPED",INDEX(Settings!$B$41:$B$50,MATCH(O309,Settings!$A$41:$A$50,0))&amp;""),"UNMAPPED"))</f>
        <v>Production</v>
      </c>
      <c r="Q309" s="38" t="n">
        <f aca="false">IF($M309="",0,N(INDEX($A309:$J309,$Q$6)))</f>
        <v>5380</v>
      </c>
      <c r="R309" s="39" t="n">
        <f aca="false">IF($M309="","",INDEX($A309:$J309,$R$6))</f>
        <v>46158</v>
      </c>
      <c r="S309" s="37" t="str">
        <f aca="false">IF($M309="","",IFERROR(INDEX(Settings!$B$27:$B$36,MATCH(L309,Settings!$A$27:$A$36,0))&amp;"","UNMAPPED"))</f>
        <v>Won</v>
      </c>
      <c r="T309" s="37" t="str">
        <f aca="false">IF($M309="","",IF(NOT(ISNUMBER(R309)),"NO DATE",IF(S309="Won",IF(R309&gt;Settings!$B$5,"Backlog","Delivered"),IF(S309="Open",IF(R309&gt;Settings!$B$5,"Pipeline","Overdue"),IF(S309="Lost","Lost","UNMAPPED")))))</f>
        <v>Delivered</v>
      </c>
      <c r="U309" s="40" t="n">
        <f aca="false">IF(T309="Backlog",1,IF(OR(T309="Pipeline",T309="Overdue"),N(INDEX(Settings!$C$27:$C$36,MATCH(L309,Settings!$A$27:$A$36,0))),0))</f>
        <v>0</v>
      </c>
      <c r="V309" s="38" t="n">
        <f aca="false">Q309*U309</f>
        <v>0</v>
      </c>
      <c r="W309" s="41" t="n">
        <f aca="false">IF($M309="","",IF(T309="Overdue",IF(Settings!$B$8="Yes",Settings!$B$7,""),IF(ISNUMBER(R309),DATE(YEAR(R309),MONTH(R309),1),"")))</f>
        <v>46143</v>
      </c>
      <c r="X309" s="38" t="n">
        <f aca="false">IF(AND(OR(T309="Backlog",T309="Pipeline",T309="Overdue"),ISNUMBER(W309)),IF(W309&lt;=Settings!$B$6,V309,0),0)</f>
        <v>0</v>
      </c>
      <c r="Y309" s="38" t="n">
        <f aca="false">IF(AND(OR(T309="Backlog",T309="Pipeline",T309="Overdue"),ISNUMBER(W309)),IF(W309&lt;=Settings!$B$6,Q309,0),0)</f>
        <v>0</v>
      </c>
      <c r="Z309" s="38" t="n">
        <f aca="false">IF(Y309=0,0,IF(T309="Backlog",Q309,Q309*Dashboard!$C$10))</f>
        <v>0</v>
      </c>
      <c r="AA309" s="37" t="n">
        <f aca="false">IF($N309="",0,IF(COUNTIF(Dashboard!$C$13:$C$22,$N309)&gt;0,1,0))</f>
        <v>0</v>
      </c>
      <c r="AB309" s="37" t="str">
        <f aca="false">IF($N309="","",IF(COUNTIF($N$8:$N309,$N309)=1,MAX($AB$7:$AB308)+1,""))</f>
        <v/>
      </c>
    </row>
    <row r="310" customFormat="false" ht="15" hidden="false" customHeight="false" outlineLevel="0" collapsed="false">
      <c r="B310" s="32" t="s">
        <v>829</v>
      </c>
      <c r="C310" s="32" t="s">
        <v>169</v>
      </c>
      <c r="D310" s="35" t="n">
        <v>5709</v>
      </c>
      <c r="E310" s="32" t="s">
        <v>145</v>
      </c>
      <c r="F310" s="36" t="n">
        <v>45873</v>
      </c>
      <c r="G310" s="32" t="s">
        <v>830</v>
      </c>
      <c r="L310" s="37" t="str">
        <f aca="false">IF(INDEX($A310:$J310,$L$6)&lt;&gt;"",TRIM(LEFT(INDEX($A310:$J310,$L$6),FIND("(",INDEX($A310:$J310,$L$6)&amp;"(")-1)),L309)</f>
        <v>Closed Won</v>
      </c>
      <c r="M310" s="37" t="str">
        <f aca="false">IF(INDEX($A310:$J310,$M$6)="","",INDEX($A310:$J310,$M$6)&amp;"")</f>
        <v>DHG AGM 04.08.25 (OC) Cam &amp; Lighting</v>
      </c>
      <c r="N310" s="37" t="str">
        <f aca="false">IF($M310="","",TRIM(INDEX($A310:$J310,$N$6)&amp;""))</f>
        <v>MUFG IR / Orient Capital</v>
      </c>
      <c r="O310" s="37" t="str">
        <f aca="false">IF($M310="","",TRIM(INDEX($A310:$J310,$O$6)&amp;""))</f>
        <v>Event Production</v>
      </c>
      <c r="P310" s="37" t="str">
        <f aca="false">IF($M310="","",IFERROR(IF(INDEX(Settings!$B$41:$B$50,MATCH(O310,Settings!$A$41:$A$50,0))&amp;""="","UNMAPPED",INDEX(Settings!$B$41:$B$50,MATCH(O310,Settings!$A$41:$A$50,0))&amp;""),"UNMAPPED"))</f>
        <v>Production</v>
      </c>
      <c r="Q310" s="38" t="n">
        <f aca="false">IF($M310="",0,N(INDEX($A310:$J310,$Q$6)))</f>
        <v>5709</v>
      </c>
      <c r="R310" s="39" t="n">
        <f aca="false">IF($M310="","",INDEX($A310:$J310,$R$6))</f>
        <v>45873</v>
      </c>
      <c r="S310" s="37" t="str">
        <f aca="false">IF($M310="","",IFERROR(INDEX(Settings!$B$27:$B$36,MATCH(L310,Settings!$A$27:$A$36,0))&amp;"","UNMAPPED"))</f>
        <v>Won</v>
      </c>
      <c r="T310" s="37" t="str">
        <f aca="false">IF($M310="","",IF(NOT(ISNUMBER(R310)),"NO DATE",IF(S310="Won",IF(R310&gt;Settings!$B$5,"Backlog","Delivered"),IF(S310="Open",IF(R310&gt;Settings!$B$5,"Pipeline","Overdue"),IF(S310="Lost","Lost","UNMAPPED")))))</f>
        <v>Delivered</v>
      </c>
      <c r="U310" s="40" t="n">
        <f aca="false">IF(T310="Backlog",1,IF(OR(T310="Pipeline",T310="Overdue"),N(INDEX(Settings!$C$27:$C$36,MATCH(L310,Settings!$A$27:$A$36,0))),0))</f>
        <v>0</v>
      </c>
      <c r="V310" s="38" t="n">
        <f aca="false">Q310*U310</f>
        <v>0</v>
      </c>
      <c r="W310" s="41" t="n">
        <f aca="false">IF($M310="","",IF(T310="Overdue",IF(Settings!$B$8="Yes",Settings!$B$7,""),IF(ISNUMBER(R310),DATE(YEAR(R310),MONTH(R310),1),"")))</f>
        <v>45870</v>
      </c>
      <c r="X310" s="38" t="n">
        <f aca="false">IF(AND(OR(T310="Backlog",T310="Pipeline",T310="Overdue"),ISNUMBER(W310)),IF(W310&lt;=Settings!$B$6,V310,0),0)</f>
        <v>0</v>
      </c>
      <c r="Y310" s="38" t="n">
        <f aca="false">IF(AND(OR(T310="Backlog",T310="Pipeline",T310="Overdue"),ISNUMBER(W310)),IF(W310&lt;=Settings!$B$6,Q310,0),0)</f>
        <v>0</v>
      </c>
      <c r="Z310" s="38" t="n">
        <f aca="false">IF(Y310=0,0,IF(T310="Backlog",Q310,Q310*Dashboard!$C$10))</f>
        <v>0</v>
      </c>
      <c r="AA310" s="37" t="n">
        <f aca="false">IF($N310="",0,IF(COUNTIF(Dashboard!$C$13:$C$22,$N310)&gt;0,1,0))</f>
        <v>0</v>
      </c>
      <c r="AB310" s="37" t="str">
        <f aca="false">IF($N310="","",IF(COUNTIF($N$8:$N310,$N310)=1,MAX($AB$7:$AB309)+1,""))</f>
        <v/>
      </c>
    </row>
    <row r="311" customFormat="false" ht="15" hidden="false" customHeight="false" outlineLevel="0" collapsed="false">
      <c r="B311" s="32" t="s">
        <v>831</v>
      </c>
      <c r="C311" s="32" t="s">
        <v>364</v>
      </c>
      <c r="D311" s="35" t="n">
        <v>680</v>
      </c>
      <c r="E311" s="32" t="s">
        <v>180</v>
      </c>
      <c r="F311" s="36" t="n">
        <v>45926</v>
      </c>
      <c r="G311" s="32" t="s">
        <v>832</v>
      </c>
      <c r="L311" s="37" t="str">
        <f aca="false">IF(INDEX($A311:$J311,$L$6)&lt;&gt;"",TRIM(LEFT(INDEX($A311:$J311,$L$6),FIND("(",INDEX($A311:$J311,$L$6)&amp;"(")-1)),L310)</f>
        <v>Closed Won</v>
      </c>
      <c r="M311" s="37" t="str">
        <f aca="false">IF(INDEX($A311:$J311,$M$6)="","",INDEX($A311:$J311,$M$6)&amp;"")</f>
        <v>Deloitte Tech Support - 24th of September - Exec and Board Workshop</v>
      </c>
      <c r="N311" s="37" t="str">
        <f aca="false">IF($M311="","",TRIM(INDEX($A311:$J311,$N$6)&amp;""))</f>
        <v>Deloitte - Parramatta</v>
      </c>
      <c r="O311" s="37" t="str">
        <f aca="false">IF($M311="","",TRIM(INDEX($A311:$J311,$O$6)&amp;""))</f>
        <v>Support</v>
      </c>
      <c r="P311" s="37" t="str">
        <f aca="false">IF($M311="","",IFERROR(IF(INDEX(Settings!$B$41:$B$50,MATCH(O311,Settings!$A$41:$A$50,0))&amp;""="","UNMAPPED",INDEX(Settings!$B$41:$B$50,MATCH(O311,Settings!$A$41:$A$50,0))&amp;""),"UNMAPPED"))</f>
        <v>Onsite</v>
      </c>
      <c r="Q311" s="38" t="n">
        <f aca="false">IF($M311="",0,N(INDEX($A311:$J311,$Q$6)))</f>
        <v>680</v>
      </c>
      <c r="R311" s="39" t="n">
        <f aca="false">IF($M311="","",INDEX($A311:$J311,$R$6))</f>
        <v>45926</v>
      </c>
      <c r="S311" s="37" t="str">
        <f aca="false">IF($M311="","",IFERROR(INDEX(Settings!$B$27:$B$36,MATCH(L311,Settings!$A$27:$A$36,0))&amp;"","UNMAPPED"))</f>
        <v>Won</v>
      </c>
      <c r="T311" s="37" t="str">
        <f aca="false">IF($M311="","",IF(NOT(ISNUMBER(R311)),"NO DATE",IF(S311="Won",IF(R311&gt;Settings!$B$5,"Backlog","Delivered"),IF(S311="Open",IF(R311&gt;Settings!$B$5,"Pipeline","Overdue"),IF(S311="Lost","Lost","UNMAPPED")))))</f>
        <v>Delivered</v>
      </c>
      <c r="U311" s="40" t="n">
        <f aca="false">IF(T311="Backlog",1,IF(OR(T311="Pipeline",T311="Overdue"),N(INDEX(Settings!$C$27:$C$36,MATCH(L311,Settings!$A$27:$A$36,0))),0))</f>
        <v>0</v>
      </c>
      <c r="V311" s="38" t="n">
        <f aca="false">Q311*U311</f>
        <v>0</v>
      </c>
      <c r="W311" s="41" t="n">
        <f aca="false">IF($M311="","",IF(T311="Overdue",IF(Settings!$B$8="Yes",Settings!$B$7,""),IF(ISNUMBER(R311),DATE(YEAR(R311),MONTH(R311),1),"")))</f>
        <v>45901</v>
      </c>
      <c r="X311" s="38" t="n">
        <f aca="false">IF(AND(OR(T311="Backlog",T311="Pipeline",T311="Overdue"),ISNUMBER(W311)),IF(W311&lt;=Settings!$B$6,V311,0),0)</f>
        <v>0</v>
      </c>
      <c r="Y311" s="38" t="n">
        <f aca="false">IF(AND(OR(T311="Backlog",T311="Pipeline",T311="Overdue"),ISNUMBER(W311)),IF(W311&lt;=Settings!$B$6,Q311,0),0)</f>
        <v>0</v>
      </c>
      <c r="Z311" s="38" t="n">
        <f aca="false">IF(Y311=0,0,IF(T311="Backlog",Q311,Q311*Dashboard!$C$10))</f>
        <v>0</v>
      </c>
      <c r="AA311" s="37" t="n">
        <f aca="false">IF($N311="",0,IF(COUNTIF(Dashboard!$C$13:$C$22,$N311)&gt;0,1,0))</f>
        <v>0</v>
      </c>
      <c r="AB311" s="37" t="str">
        <f aca="false">IF($N311="","",IF(COUNTIF($N$8:$N311,$N311)=1,MAX($AB$7:$AB310)+1,""))</f>
        <v/>
      </c>
    </row>
    <row r="312" customFormat="false" ht="15" hidden="false" customHeight="false" outlineLevel="0" collapsed="false">
      <c r="B312" s="32" t="s">
        <v>833</v>
      </c>
      <c r="C312" s="32" t="s">
        <v>191</v>
      </c>
      <c r="D312" s="35" t="n">
        <v>12170</v>
      </c>
      <c r="E312" s="32" t="s">
        <v>145</v>
      </c>
      <c r="F312" s="36" t="n">
        <v>46064</v>
      </c>
      <c r="G312" s="32" t="s">
        <v>834</v>
      </c>
      <c r="L312" s="37" t="str">
        <f aca="false">IF(INDEX($A312:$J312,$L$6)&lt;&gt;"",TRIM(LEFT(INDEX($A312:$J312,$L$6),FIND("(",INDEX($A312:$J312,$L$6)&amp;"(")-1)),L311)</f>
        <v>Closed Won</v>
      </c>
      <c r="M312" s="37" t="str">
        <f aca="false">IF(INDEX($A312:$J312,$M$6)="","",INDEX($A312:$J312,$M$6)&amp;"")</f>
        <v>CBA HYR 2026</v>
      </c>
      <c r="N312" s="37" t="str">
        <f aca="false">IF($M312="","",TRIM(INDEX($A312:$J312,$N$6)&amp;""))</f>
        <v>Commonwealth Bank Australia (CBA)</v>
      </c>
      <c r="O312" s="37" t="str">
        <f aca="false">IF($M312="","",TRIM(INDEX($A312:$J312,$O$6)&amp;""))</f>
        <v>Event Production</v>
      </c>
      <c r="P312" s="37" t="str">
        <f aca="false">IF($M312="","",IFERROR(IF(INDEX(Settings!$B$41:$B$50,MATCH(O312,Settings!$A$41:$A$50,0))&amp;""="","UNMAPPED",INDEX(Settings!$B$41:$B$50,MATCH(O312,Settings!$A$41:$A$50,0))&amp;""),"UNMAPPED"))</f>
        <v>Production</v>
      </c>
      <c r="Q312" s="38" t="n">
        <f aca="false">IF($M312="",0,N(INDEX($A312:$J312,$Q$6)))</f>
        <v>12170</v>
      </c>
      <c r="R312" s="39" t="n">
        <f aca="false">IF($M312="","",INDEX($A312:$J312,$R$6))</f>
        <v>46064</v>
      </c>
      <c r="S312" s="37" t="str">
        <f aca="false">IF($M312="","",IFERROR(INDEX(Settings!$B$27:$B$36,MATCH(L312,Settings!$A$27:$A$36,0))&amp;"","UNMAPPED"))</f>
        <v>Won</v>
      </c>
      <c r="T312" s="37" t="str">
        <f aca="false">IF($M312="","",IF(NOT(ISNUMBER(R312)),"NO DATE",IF(S312="Won",IF(R312&gt;Settings!$B$5,"Backlog","Delivered"),IF(S312="Open",IF(R312&gt;Settings!$B$5,"Pipeline","Overdue"),IF(S312="Lost","Lost","UNMAPPED")))))</f>
        <v>Delivered</v>
      </c>
      <c r="U312" s="40" t="n">
        <f aca="false">IF(T312="Backlog",1,IF(OR(T312="Pipeline",T312="Overdue"),N(INDEX(Settings!$C$27:$C$36,MATCH(L312,Settings!$A$27:$A$36,0))),0))</f>
        <v>0</v>
      </c>
      <c r="V312" s="38" t="n">
        <f aca="false">Q312*U312</f>
        <v>0</v>
      </c>
      <c r="W312" s="41" t="n">
        <f aca="false">IF($M312="","",IF(T312="Overdue",IF(Settings!$B$8="Yes",Settings!$B$7,""),IF(ISNUMBER(R312),DATE(YEAR(R312),MONTH(R312),1),"")))</f>
        <v>46054</v>
      </c>
      <c r="X312" s="38" t="n">
        <f aca="false">IF(AND(OR(T312="Backlog",T312="Pipeline",T312="Overdue"),ISNUMBER(W312)),IF(W312&lt;=Settings!$B$6,V312,0),0)</f>
        <v>0</v>
      </c>
      <c r="Y312" s="38" t="n">
        <f aca="false">IF(AND(OR(T312="Backlog",T312="Pipeline",T312="Overdue"),ISNUMBER(W312)),IF(W312&lt;=Settings!$B$6,Q312,0),0)</f>
        <v>0</v>
      </c>
      <c r="Z312" s="38" t="n">
        <f aca="false">IF(Y312=0,0,IF(T312="Backlog",Q312,Q312*Dashboard!$C$10))</f>
        <v>0</v>
      </c>
      <c r="AA312" s="37" t="n">
        <f aca="false">IF($N312="",0,IF(COUNTIF(Dashboard!$C$13:$C$22,$N312)&gt;0,1,0))</f>
        <v>0</v>
      </c>
      <c r="AB312" s="37" t="str">
        <f aca="false">IF($N312="","",IF(COUNTIF($N$8:$N312,$N312)=1,MAX($AB$7:$AB311)+1,""))</f>
        <v/>
      </c>
    </row>
    <row r="313" customFormat="false" ht="15" hidden="false" customHeight="false" outlineLevel="0" collapsed="false">
      <c r="B313" s="32" t="s">
        <v>835</v>
      </c>
      <c r="C313" s="32" t="s">
        <v>253</v>
      </c>
      <c r="D313" s="35" t="n">
        <v>1170</v>
      </c>
      <c r="E313" s="32" t="s">
        <v>145</v>
      </c>
      <c r="F313" s="36" t="n">
        <v>45917</v>
      </c>
      <c r="G313" s="32" t="s">
        <v>836</v>
      </c>
      <c r="L313" s="37" t="str">
        <f aca="false">IF(INDEX($A313:$J313,$L$6)&lt;&gt;"",TRIM(LEFT(INDEX($A313:$J313,$L$6),FIND("(",INDEX($A313:$J313,$L$6)&amp;"(")-1)),L312)</f>
        <v>Closed Won</v>
      </c>
      <c r="M313" s="37" t="str">
        <f aca="false">IF(INDEX($A313:$J313,$M$6)="","",INDEX($A313:$J313,$M$6)&amp;"")</f>
        <v>ASX NAB Pre-Market Day 17.09.2025</v>
      </c>
      <c r="N313" s="37" t="str">
        <f aca="false">IF($M313="","",TRIM(INDEX($A313:$J313,$N$6)&amp;""))</f>
        <v>ASX Australian Securities Exchange</v>
      </c>
      <c r="O313" s="37" t="str">
        <f aca="false">IF($M313="","",TRIM(INDEX($A313:$J313,$O$6)&amp;""))</f>
        <v>Event Production</v>
      </c>
      <c r="P313" s="37" t="str">
        <f aca="false">IF($M313="","",IFERROR(IF(INDEX(Settings!$B$41:$B$50,MATCH(O313,Settings!$A$41:$A$50,0))&amp;""="","UNMAPPED",INDEX(Settings!$B$41:$B$50,MATCH(O313,Settings!$A$41:$A$50,0))&amp;""),"UNMAPPED"))</f>
        <v>Production</v>
      </c>
      <c r="Q313" s="38" t="n">
        <f aca="false">IF($M313="",0,N(INDEX($A313:$J313,$Q$6)))</f>
        <v>1170</v>
      </c>
      <c r="R313" s="39" t="n">
        <f aca="false">IF($M313="","",INDEX($A313:$J313,$R$6))</f>
        <v>45917</v>
      </c>
      <c r="S313" s="37" t="str">
        <f aca="false">IF($M313="","",IFERROR(INDEX(Settings!$B$27:$B$36,MATCH(L313,Settings!$A$27:$A$36,0))&amp;"","UNMAPPED"))</f>
        <v>Won</v>
      </c>
      <c r="T313" s="37" t="str">
        <f aca="false">IF($M313="","",IF(NOT(ISNUMBER(R313)),"NO DATE",IF(S313="Won",IF(R313&gt;Settings!$B$5,"Backlog","Delivered"),IF(S313="Open",IF(R313&gt;Settings!$B$5,"Pipeline","Overdue"),IF(S313="Lost","Lost","UNMAPPED")))))</f>
        <v>Delivered</v>
      </c>
      <c r="U313" s="40" t="n">
        <f aca="false">IF(T313="Backlog",1,IF(OR(T313="Pipeline",T313="Overdue"),N(INDEX(Settings!$C$27:$C$36,MATCH(L313,Settings!$A$27:$A$36,0))),0))</f>
        <v>0</v>
      </c>
      <c r="V313" s="38" t="n">
        <f aca="false">Q313*U313</f>
        <v>0</v>
      </c>
      <c r="W313" s="41" t="n">
        <f aca="false">IF($M313="","",IF(T313="Overdue",IF(Settings!$B$8="Yes",Settings!$B$7,""),IF(ISNUMBER(R313),DATE(YEAR(R313),MONTH(R313),1),"")))</f>
        <v>45901</v>
      </c>
      <c r="X313" s="38" t="n">
        <f aca="false">IF(AND(OR(T313="Backlog",T313="Pipeline",T313="Overdue"),ISNUMBER(W313)),IF(W313&lt;=Settings!$B$6,V313,0),0)</f>
        <v>0</v>
      </c>
      <c r="Y313" s="38" t="n">
        <f aca="false">IF(AND(OR(T313="Backlog",T313="Pipeline",T313="Overdue"),ISNUMBER(W313)),IF(W313&lt;=Settings!$B$6,Q313,0),0)</f>
        <v>0</v>
      </c>
      <c r="Z313" s="38" t="n">
        <f aca="false">IF(Y313=0,0,IF(T313="Backlog",Q313,Q313*Dashboard!$C$10))</f>
        <v>0</v>
      </c>
      <c r="AA313" s="37" t="n">
        <f aca="false">IF($N313="",0,IF(COUNTIF(Dashboard!$C$13:$C$22,$N313)&gt;0,1,0))</f>
        <v>0</v>
      </c>
      <c r="AB313" s="37" t="str">
        <f aca="false">IF($N313="","",IF(COUNTIF($N$8:$N313,$N313)=1,MAX($AB$7:$AB312)+1,""))</f>
        <v/>
      </c>
    </row>
    <row r="314" customFormat="false" ht="15" hidden="false" customHeight="false" outlineLevel="0" collapsed="false">
      <c r="B314" s="32" t="s">
        <v>837</v>
      </c>
      <c r="C314" s="32" t="s">
        <v>838</v>
      </c>
      <c r="D314" s="35" t="n">
        <v>9879</v>
      </c>
      <c r="E314" s="32" t="s">
        <v>145</v>
      </c>
      <c r="F314" s="36" t="n">
        <v>46337</v>
      </c>
      <c r="G314" s="32" t="s">
        <v>839</v>
      </c>
      <c r="L314" s="37" t="str">
        <f aca="false">IF(INDEX($A314:$J314,$L$6)&lt;&gt;"",TRIM(LEFT(INDEX($A314:$J314,$L$6),FIND("(",INDEX($A314:$J314,$L$6)&amp;"(")-1)),L313)</f>
        <v>Closed Won</v>
      </c>
      <c r="M314" s="37" t="str">
        <f aca="false">IF(INDEX($A314:$J314,$M$6)="","",INDEX($A314:$J314,$M$6)&amp;"")</f>
        <v>Ubank - Volunteer Day - 11.11.26</v>
      </c>
      <c r="N314" s="37" t="str">
        <f aca="false">IF($M314="","",TRIM(INDEX($A314:$J314,$N$6)&amp;""))</f>
        <v>uBank</v>
      </c>
      <c r="O314" s="37" t="str">
        <f aca="false">IF($M314="","",TRIM(INDEX($A314:$J314,$O$6)&amp;""))</f>
        <v>Event Production</v>
      </c>
      <c r="P314" s="37" t="str">
        <f aca="false">IF($M314="","",IFERROR(IF(INDEX(Settings!$B$41:$B$50,MATCH(O314,Settings!$A$41:$A$50,0))&amp;""="","UNMAPPED",INDEX(Settings!$B$41:$B$50,MATCH(O314,Settings!$A$41:$A$50,0))&amp;""),"UNMAPPED"))</f>
        <v>Production</v>
      </c>
      <c r="Q314" s="38" t="n">
        <f aca="false">IF($M314="",0,N(INDEX($A314:$J314,$Q$6)))</f>
        <v>9879</v>
      </c>
      <c r="R314" s="39" t="n">
        <f aca="false">IF($M314="","",INDEX($A314:$J314,$R$6))</f>
        <v>46337</v>
      </c>
      <c r="S314" s="37" t="str">
        <f aca="false">IF($M314="","",IFERROR(INDEX(Settings!$B$27:$B$36,MATCH(L314,Settings!$A$27:$A$36,0))&amp;"","UNMAPPED"))</f>
        <v>Won</v>
      </c>
      <c r="T314" s="37" t="str">
        <f aca="false">IF($M314="","",IF(NOT(ISNUMBER(R314)),"NO DATE",IF(S314="Won",IF(R314&gt;Settings!$B$5,"Backlog","Delivered"),IF(S314="Open",IF(R314&gt;Settings!$B$5,"Pipeline","Overdue"),IF(S314="Lost","Lost","UNMAPPED")))))</f>
        <v>Backlog</v>
      </c>
      <c r="U314" s="40" t="n">
        <f aca="false">IF(T314="Backlog",1,IF(OR(T314="Pipeline",T314="Overdue"),N(INDEX(Settings!$C$27:$C$36,MATCH(L314,Settings!$A$27:$A$36,0))),0))</f>
        <v>1</v>
      </c>
      <c r="V314" s="38" t="n">
        <f aca="false">Q314*U314</f>
        <v>9879</v>
      </c>
      <c r="W314" s="41" t="n">
        <f aca="false">IF($M314="","",IF(T314="Overdue",IF(Settings!$B$8="Yes",Settings!$B$7,""),IF(ISNUMBER(R314),DATE(YEAR(R314),MONTH(R314),1),"")))</f>
        <v>46327</v>
      </c>
      <c r="X314" s="38" t="n">
        <f aca="false">IF(AND(OR(T314="Backlog",T314="Pipeline",T314="Overdue"),ISNUMBER(W314)),IF(W314&lt;=Settings!$B$6,V314,0),0)</f>
        <v>9879</v>
      </c>
      <c r="Y314" s="38" t="n">
        <f aca="false">IF(AND(OR(T314="Backlog",T314="Pipeline",T314="Overdue"),ISNUMBER(W314)),IF(W314&lt;=Settings!$B$6,Q314,0),0)</f>
        <v>9879</v>
      </c>
      <c r="Z314" s="38" t="n">
        <f aca="false">IF(Y314=0,0,IF(T314="Backlog",Q314,Q314*Dashboard!$C$10))</f>
        <v>9879</v>
      </c>
      <c r="AA314" s="37" t="n">
        <f aca="false">IF($N314="",0,IF(COUNTIF(Dashboard!$C$13:$C$22,$N314)&gt;0,1,0))</f>
        <v>0</v>
      </c>
      <c r="AB314" s="37" t="n">
        <f aca="false">IF($N314="","",IF(COUNTIF($N$8:$N314,$N314)=1,MAX($AB$7:$AB313)+1,""))</f>
        <v>81</v>
      </c>
    </row>
    <row r="315" customFormat="false" ht="15" hidden="false" customHeight="false" outlineLevel="0" collapsed="false">
      <c r="B315" s="32" t="s">
        <v>840</v>
      </c>
      <c r="C315" s="32" t="s">
        <v>169</v>
      </c>
      <c r="D315" s="35" t="n">
        <v>9675</v>
      </c>
      <c r="E315" s="32" t="s">
        <v>145</v>
      </c>
      <c r="F315" s="36" t="n">
        <v>46140</v>
      </c>
      <c r="G315" s="32" t="s">
        <v>841</v>
      </c>
      <c r="L315" s="37" t="str">
        <f aca="false">IF(INDEX($A315:$J315,$L$6)&lt;&gt;"",TRIM(LEFT(INDEX($A315:$J315,$L$6),FIND("(",INDEX($A315:$J315,$L$6)&amp;"(")-1)),L314)</f>
        <v>Closed Won</v>
      </c>
      <c r="M315" s="37" t="str">
        <f aca="false">IF(INDEX($A315:$J315,$M$6)="","",INDEX($A315:$J315,$M$6)&amp;"")</f>
        <v>MUFG - A1N AGM - 7.5.26</v>
      </c>
      <c r="N315" s="37" t="str">
        <f aca="false">IF($M315="","",TRIM(INDEX($A315:$J315,$N$6)&amp;""))</f>
        <v>MUFG IR / Orient Capital</v>
      </c>
      <c r="O315" s="37" t="str">
        <f aca="false">IF($M315="","",TRIM(INDEX($A315:$J315,$O$6)&amp;""))</f>
        <v>Event Production</v>
      </c>
      <c r="P315" s="37" t="str">
        <f aca="false">IF($M315="","",IFERROR(IF(INDEX(Settings!$B$41:$B$50,MATCH(O315,Settings!$A$41:$A$50,0))&amp;""="","UNMAPPED",INDEX(Settings!$B$41:$B$50,MATCH(O315,Settings!$A$41:$A$50,0))&amp;""),"UNMAPPED"))</f>
        <v>Production</v>
      </c>
      <c r="Q315" s="38" t="n">
        <f aca="false">IF($M315="",0,N(INDEX($A315:$J315,$Q$6)))</f>
        <v>9675</v>
      </c>
      <c r="R315" s="39" t="n">
        <f aca="false">IF($M315="","",INDEX($A315:$J315,$R$6))</f>
        <v>46140</v>
      </c>
      <c r="S315" s="37" t="str">
        <f aca="false">IF($M315="","",IFERROR(INDEX(Settings!$B$27:$B$36,MATCH(L315,Settings!$A$27:$A$36,0))&amp;"","UNMAPPED"))</f>
        <v>Won</v>
      </c>
      <c r="T315" s="37" t="str">
        <f aca="false">IF($M315="","",IF(NOT(ISNUMBER(R315)),"NO DATE",IF(S315="Won",IF(R315&gt;Settings!$B$5,"Backlog","Delivered"),IF(S315="Open",IF(R315&gt;Settings!$B$5,"Pipeline","Overdue"),IF(S315="Lost","Lost","UNMAPPED")))))</f>
        <v>Delivered</v>
      </c>
      <c r="U315" s="40" t="n">
        <f aca="false">IF(T315="Backlog",1,IF(OR(T315="Pipeline",T315="Overdue"),N(INDEX(Settings!$C$27:$C$36,MATCH(L315,Settings!$A$27:$A$36,0))),0))</f>
        <v>0</v>
      </c>
      <c r="V315" s="38" t="n">
        <f aca="false">Q315*U315</f>
        <v>0</v>
      </c>
      <c r="W315" s="41" t="n">
        <f aca="false">IF($M315="","",IF(T315="Overdue",IF(Settings!$B$8="Yes",Settings!$B$7,""),IF(ISNUMBER(R315),DATE(YEAR(R315),MONTH(R315),1),"")))</f>
        <v>46113</v>
      </c>
      <c r="X315" s="38" t="n">
        <f aca="false">IF(AND(OR(T315="Backlog",T315="Pipeline",T315="Overdue"),ISNUMBER(W315)),IF(W315&lt;=Settings!$B$6,V315,0),0)</f>
        <v>0</v>
      </c>
      <c r="Y315" s="38" t="n">
        <f aca="false">IF(AND(OR(T315="Backlog",T315="Pipeline",T315="Overdue"),ISNUMBER(W315)),IF(W315&lt;=Settings!$B$6,Q315,0),0)</f>
        <v>0</v>
      </c>
      <c r="Z315" s="38" t="n">
        <f aca="false">IF(Y315=0,0,IF(T315="Backlog",Q315,Q315*Dashboard!$C$10))</f>
        <v>0</v>
      </c>
      <c r="AA315" s="37" t="n">
        <f aca="false">IF($N315="",0,IF(COUNTIF(Dashboard!$C$13:$C$22,$N315)&gt;0,1,0))</f>
        <v>0</v>
      </c>
      <c r="AB315" s="37" t="str">
        <f aca="false">IF($N315="","",IF(COUNTIF($N$8:$N315,$N315)=1,MAX($AB$7:$AB314)+1,""))</f>
        <v/>
      </c>
    </row>
    <row r="316" customFormat="false" ht="15" hidden="false" customHeight="false" outlineLevel="0" collapsed="false">
      <c r="B316" s="32" t="s">
        <v>842</v>
      </c>
      <c r="C316" s="32" t="s">
        <v>191</v>
      </c>
      <c r="D316" s="35" t="n">
        <v>10165</v>
      </c>
      <c r="E316" s="32" t="s">
        <v>145</v>
      </c>
      <c r="F316" s="36" t="n">
        <v>46122</v>
      </c>
      <c r="G316" s="32" t="s">
        <v>843</v>
      </c>
      <c r="L316" s="37" t="str">
        <f aca="false">IF(INDEX($A316:$J316,$L$6)&lt;&gt;"",TRIM(LEFT(INDEX($A316:$J316,$L$6),FIND("(",INDEX($A316:$J316,$L$6)&amp;"(")-1)),L315)</f>
        <v>Closed Won</v>
      </c>
      <c r="M316" s="37" t="str">
        <f aca="false">IF(INDEX($A316:$J316,$M$6)="","",INDEX($A316:$J316,$M$6)&amp;"")</f>
        <v>CBA LES - March 2026</v>
      </c>
      <c r="N316" s="37" t="str">
        <f aca="false">IF($M316="","",TRIM(INDEX($A316:$J316,$N$6)&amp;""))</f>
        <v>Commonwealth Bank Australia (CBA)</v>
      </c>
      <c r="O316" s="37" t="str">
        <f aca="false">IF($M316="","",TRIM(INDEX($A316:$J316,$O$6)&amp;""))</f>
        <v>Event Production</v>
      </c>
      <c r="P316" s="37" t="str">
        <f aca="false">IF($M316="","",IFERROR(IF(INDEX(Settings!$B$41:$B$50,MATCH(O316,Settings!$A$41:$A$50,0))&amp;""="","UNMAPPED",INDEX(Settings!$B$41:$B$50,MATCH(O316,Settings!$A$41:$A$50,0))&amp;""),"UNMAPPED"))</f>
        <v>Production</v>
      </c>
      <c r="Q316" s="38" t="n">
        <f aca="false">IF($M316="",0,N(INDEX($A316:$J316,$Q$6)))</f>
        <v>10165</v>
      </c>
      <c r="R316" s="39" t="n">
        <f aca="false">IF($M316="","",INDEX($A316:$J316,$R$6))</f>
        <v>46122</v>
      </c>
      <c r="S316" s="37" t="str">
        <f aca="false">IF($M316="","",IFERROR(INDEX(Settings!$B$27:$B$36,MATCH(L316,Settings!$A$27:$A$36,0))&amp;"","UNMAPPED"))</f>
        <v>Won</v>
      </c>
      <c r="T316" s="37" t="str">
        <f aca="false">IF($M316="","",IF(NOT(ISNUMBER(R316)),"NO DATE",IF(S316="Won",IF(R316&gt;Settings!$B$5,"Backlog","Delivered"),IF(S316="Open",IF(R316&gt;Settings!$B$5,"Pipeline","Overdue"),IF(S316="Lost","Lost","UNMAPPED")))))</f>
        <v>Delivered</v>
      </c>
      <c r="U316" s="40" t="n">
        <f aca="false">IF(T316="Backlog",1,IF(OR(T316="Pipeline",T316="Overdue"),N(INDEX(Settings!$C$27:$C$36,MATCH(L316,Settings!$A$27:$A$36,0))),0))</f>
        <v>0</v>
      </c>
      <c r="V316" s="38" t="n">
        <f aca="false">Q316*U316</f>
        <v>0</v>
      </c>
      <c r="W316" s="41" t="n">
        <f aca="false">IF($M316="","",IF(T316="Overdue",IF(Settings!$B$8="Yes",Settings!$B$7,""),IF(ISNUMBER(R316),DATE(YEAR(R316),MONTH(R316),1),"")))</f>
        <v>46113</v>
      </c>
      <c r="X316" s="38" t="n">
        <f aca="false">IF(AND(OR(T316="Backlog",T316="Pipeline",T316="Overdue"),ISNUMBER(W316)),IF(W316&lt;=Settings!$B$6,V316,0),0)</f>
        <v>0</v>
      </c>
      <c r="Y316" s="38" t="n">
        <f aca="false">IF(AND(OR(T316="Backlog",T316="Pipeline",T316="Overdue"),ISNUMBER(W316)),IF(W316&lt;=Settings!$B$6,Q316,0),0)</f>
        <v>0</v>
      </c>
      <c r="Z316" s="38" t="n">
        <f aca="false">IF(Y316=0,0,IF(T316="Backlog",Q316,Q316*Dashboard!$C$10))</f>
        <v>0</v>
      </c>
      <c r="AA316" s="37" t="n">
        <f aca="false">IF($N316="",0,IF(COUNTIF(Dashboard!$C$13:$C$22,$N316)&gt;0,1,0))</f>
        <v>0</v>
      </c>
      <c r="AB316" s="37" t="str">
        <f aca="false">IF($N316="","",IF(COUNTIF($N$8:$N316,$N316)=1,MAX($AB$7:$AB315)+1,""))</f>
        <v/>
      </c>
    </row>
    <row r="317" customFormat="false" ht="15" hidden="false" customHeight="false" outlineLevel="0" collapsed="false">
      <c r="B317" s="32" t="s">
        <v>844</v>
      </c>
      <c r="C317" s="32" t="s">
        <v>616</v>
      </c>
      <c r="D317" s="35" t="n">
        <v>460</v>
      </c>
      <c r="E317" s="32" t="s">
        <v>145</v>
      </c>
      <c r="F317" s="36" t="n">
        <v>46059</v>
      </c>
      <c r="G317" s="32" t="s">
        <v>845</v>
      </c>
      <c r="L317" s="37" t="str">
        <f aca="false">IF(INDEX($A317:$J317,$L$6)&lt;&gt;"",TRIM(LEFT(INDEX($A317:$J317,$L$6),FIND("(",INDEX($A317:$J317,$L$6)&amp;"(")-1)),L316)</f>
        <v>Closed Won</v>
      </c>
      <c r="M317" s="37" t="str">
        <f aca="false">IF(INDEX($A317:$J317,$M$6)="","",INDEX($A317:$J317,$M$6)&amp;"")</f>
        <v>AV Sound Engineering Training</v>
      </c>
      <c r="N317" s="37" t="str">
        <f aca="false">IF($M317="","",TRIM(INDEX($A317:$J317,$N$6)&amp;""))</f>
        <v>Loreto Normanhurst</v>
      </c>
      <c r="O317" s="37" t="str">
        <f aca="false">IF($M317="","",TRIM(INDEX($A317:$J317,$O$6)&amp;""))</f>
        <v>Event Production</v>
      </c>
      <c r="P317" s="37" t="str">
        <f aca="false">IF($M317="","",IFERROR(IF(INDEX(Settings!$B$41:$B$50,MATCH(O317,Settings!$A$41:$A$50,0))&amp;""="","UNMAPPED",INDEX(Settings!$B$41:$B$50,MATCH(O317,Settings!$A$41:$A$50,0))&amp;""),"UNMAPPED"))</f>
        <v>Production</v>
      </c>
      <c r="Q317" s="38" t="n">
        <f aca="false">IF($M317="",0,N(INDEX($A317:$J317,$Q$6)))</f>
        <v>460</v>
      </c>
      <c r="R317" s="39" t="n">
        <f aca="false">IF($M317="","",INDEX($A317:$J317,$R$6))</f>
        <v>46059</v>
      </c>
      <c r="S317" s="37" t="str">
        <f aca="false">IF($M317="","",IFERROR(INDEX(Settings!$B$27:$B$36,MATCH(L317,Settings!$A$27:$A$36,0))&amp;"","UNMAPPED"))</f>
        <v>Won</v>
      </c>
      <c r="T317" s="37" t="str">
        <f aca="false">IF($M317="","",IF(NOT(ISNUMBER(R317)),"NO DATE",IF(S317="Won",IF(R317&gt;Settings!$B$5,"Backlog","Delivered"),IF(S317="Open",IF(R317&gt;Settings!$B$5,"Pipeline","Overdue"),IF(S317="Lost","Lost","UNMAPPED")))))</f>
        <v>Delivered</v>
      </c>
      <c r="U317" s="40" t="n">
        <f aca="false">IF(T317="Backlog",1,IF(OR(T317="Pipeline",T317="Overdue"),N(INDEX(Settings!$C$27:$C$36,MATCH(L317,Settings!$A$27:$A$36,0))),0))</f>
        <v>0</v>
      </c>
      <c r="V317" s="38" t="n">
        <f aca="false">Q317*U317</f>
        <v>0</v>
      </c>
      <c r="W317" s="41" t="n">
        <f aca="false">IF($M317="","",IF(T317="Overdue",IF(Settings!$B$8="Yes",Settings!$B$7,""),IF(ISNUMBER(R317),DATE(YEAR(R317),MONTH(R317),1),"")))</f>
        <v>46054</v>
      </c>
      <c r="X317" s="38" t="n">
        <f aca="false">IF(AND(OR(T317="Backlog",T317="Pipeline",T317="Overdue"),ISNUMBER(W317)),IF(W317&lt;=Settings!$B$6,V317,0),0)</f>
        <v>0</v>
      </c>
      <c r="Y317" s="38" t="n">
        <f aca="false">IF(AND(OR(T317="Backlog",T317="Pipeline",T317="Overdue"),ISNUMBER(W317)),IF(W317&lt;=Settings!$B$6,Q317,0),0)</f>
        <v>0</v>
      </c>
      <c r="Z317" s="38" t="n">
        <f aca="false">IF(Y317=0,0,IF(T317="Backlog",Q317,Q317*Dashboard!$C$10))</f>
        <v>0</v>
      </c>
      <c r="AA317" s="37" t="n">
        <f aca="false">IF($N317="",0,IF(COUNTIF(Dashboard!$C$13:$C$22,$N317)&gt;0,1,0))</f>
        <v>0</v>
      </c>
      <c r="AB317" s="37" t="str">
        <f aca="false">IF($N317="","",IF(COUNTIF($N$8:$N317,$N317)=1,MAX($AB$7:$AB316)+1,""))</f>
        <v/>
      </c>
    </row>
    <row r="318" customFormat="false" ht="15" hidden="false" customHeight="false" outlineLevel="0" collapsed="false">
      <c r="B318" s="32" t="s">
        <v>846</v>
      </c>
      <c r="C318" s="32" t="s">
        <v>847</v>
      </c>
      <c r="D318" s="35" t="n">
        <v>19965</v>
      </c>
      <c r="E318" s="32" t="s">
        <v>145</v>
      </c>
      <c r="F318" s="36" t="n">
        <v>46266</v>
      </c>
      <c r="G318" s="32" t="s">
        <v>848</v>
      </c>
      <c r="L318" s="37" t="str">
        <f aca="false">IF(INDEX($A318:$J318,$L$6)&lt;&gt;"",TRIM(LEFT(INDEX($A318:$J318,$L$6),FIND("(",INDEX($A318:$J318,$L$6)&amp;"(")-1)),L317)</f>
        <v>Closed Won</v>
      </c>
      <c r="M318" s="37" t="str">
        <f aca="false">IF(INDEX($A318:$J318,$M$6)="","",INDEX($A318:$J318,$M$6)&amp;"")</f>
        <v>ART - AMM Briefing Notes System - 25.11.26</v>
      </c>
      <c r="N318" s="37" t="str">
        <f aca="false">IF($M318="","",TRIM(INDEX($A318:$J318,$N$6)&amp;""))</f>
        <v>Australian Retirement Trust</v>
      </c>
      <c r="O318" s="37" t="str">
        <f aca="false">IF($M318="","",TRIM(INDEX($A318:$J318,$O$6)&amp;""))</f>
        <v>Event Production</v>
      </c>
      <c r="P318" s="37" t="str">
        <f aca="false">IF($M318="","",IFERROR(IF(INDEX(Settings!$B$41:$B$50,MATCH(O318,Settings!$A$41:$A$50,0))&amp;""="","UNMAPPED",INDEX(Settings!$B$41:$B$50,MATCH(O318,Settings!$A$41:$A$50,0))&amp;""),"UNMAPPED"))</f>
        <v>Production</v>
      </c>
      <c r="Q318" s="38" t="n">
        <f aca="false">IF($M318="",0,N(INDEX($A318:$J318,$Q$6)))</f>
        <v>19965</v>
      </c>
      <c r="R318" s="39" t="n">
        <f aca="false">IF($M318="","",INDEX($A318:$J318,$R$6))</f>
        <v>46266</v>
      </c>
      <c r="S318" s="37" t="str">
        <f aca="false">IF($M318="","",IFERROR(INDEX(Settings!$B$27:$B$36,MATCH(L318,Settings!$A$27:$A$36,0))&amp;"","UNMAPPED"))</f>
        <v>Won</v>
      </c>
      <c r="T318" s="37" t="str">
        <f aca="false">IF($M318="","",IF(NOT(ISNUMBER(R318)),"NO DATE",IF(S318="Won",IF(R318&gt;Settings!$B$5,"Backlog","Delivered"),IF(S318="Open",IF(R318&gt;Settings!$B$5,"Pipeline","Overdue"),IF(S318="Lost","Lost","UNMAPPED")))))</f>
        <v>Delivered</v>
      </c>
      <c r="U318" s="40" t="n">
        <f aca="false">IF(T318="Backlog",1,IF(OR(T318="Pipeline",T318="Overdue"),N(INDEX(Settings!$C$27:$C$36,MATCH(L318,Settings!$A$27:$A$36,0))),0))</f>
        <v>0</v>
      </c>
      <c r="V318" s="38" t="n">
        <f aca="false">Q318*U318</f>
        <v>0</v>
      </c>
      <c r="W318" s="41" t="n">
        <f aca="false">IF($M318="","",IF(T318="Overdue",IF(Settings!$B$8="Yes",Settings!$B$7,""),IF(ISNUMBER(R318),DATE(YEAR(R318),MONTH(R318),1),"")))</f>
        <v>46266</v>
      </c>
      <c r="X318" s="38" t="n">
        <f aca="false">IF(AND(OR(T318="Backlog",T318="Pipeline",T318="Overdue"),ISNUMBER(W318)),IF(W318&lt;=Settings!$B$6,V318,0),0)</f>
        <v>0</v>
      </c>
      <c r="Y318" s="38" t="n">
        <f aca="false">IF(AND(OR(T318="Backlog",T318="Pipeline",T318="Overdue"),ISNUMBER(W318)),IF(W318&lt;=Settings!$B$6,Q318,0),0)</f>
        <v>0</v>
      </c>
      <c r="Z318" s="38" t="n">
        <f aca="false">IF(Y318=0,0,IF(T318="Backlog",Q318,Q318*Dashboard!$C$10))</f>
        <v>0</v>
      </c>
      <c r="AA318" s="37" t="n">
        <f aca="false">IF($N318="",0,IF(COUNTIF(Dashboard!$C$13:$C$22,$N318)&gt;0,1,0))</f>
        <v>0</v>
      </c>
      <c r="AB318" s="37" t="n">
        <f aca="false">IF($N318="","",IF(COUNTIF($N$8:$N318,$N318)=1,MAX($AB$7:$AB317)+1,""))</f>
        <v>82</v>
      </c>
    </row>
    <row r="319" customFormat="false" ht="15" hidden="false" customHeight="false" outlineLevel="0" collapsed="false">
      <c r="B319" s="32" t="s">
        <v>849</v>
      </c>
      <c r="C319" s="32" t="s">
        <v>850</v>
      </c>
      <c r="D319" s="35" t="n">
        <v>2983</v>
      </c>
      <c r="E319" s="32" t="s">
        <v>141</v>
      </c>
      <c r="F319" s="36" t="n">
        <v>45898</v>
      </c>
      <c r="G319" s="32" t="s">
        <v>851</v>
      </c>
      <c r="L319" s="37" t="str">
        <f aca="false">IF(INDEX($A319:$J319,$L$6)&lt;&gt;"",TRIM(LEFT(INDEX($A319:$J319,$L$6),FIND("(",INDEX($A319:$J319,$L$6)&amp;"(")-1)),L318)</f>
        <v>Closed Won</v>
      </c>
      <c r="M319" s="37" t="str">
        <f aca="false">IF(INDEX($A319:$J319,$M$6)="","",INDEX($A319:$J319,$M$6)&amp;"")</f>
        <v>Loan Airmedia Purchase</v>
      </c>
      <c r="N319" s="37" t="str">
        <f aca="false">IF($M319="","",TRIM(INDEX($A319:$J319,$N$6)&amp;""))</f>
        <v>Hills Grammar</v>
      </c>
      <c r="O319" s="37" t="str">
        <f aca="false">IF($M319="","",TRIM(INDEX($A319:$J319,$O$6)&amp;""))</f>
        <v>Integration</v>
      </c>
      <c r="P319" s="37" t="str">
        <f aca="false">IF($M319="","",IFERROR(IF(INDEX(Settings!$B$41:$B$50,MATCH(O319,Settings!$A$41:$A$50,0))&amp;""="","UNMAPPED",INDEX(Settings!$B$41:$B$50,MATCH(O319,Settings!$A$41:$A$50,0))&amp;""),"UNMAPPED"))</f>
        <v>Integration</v>
      </c>
      <c r="Q319" s="38" t="n">
        <f aca="false">IF($M319="",0,N(INDEX($A319:$J319,$Q$6)))</f>
        <v>2983</v>
      </c>
      <c r="R319" s="39" t="n">
        <f aca="false">IF($M319="","",INDEX($A319:$J319,$R$6))</f>
        <v>45898</v>
      </c>
      <c r="S319" s="37" t="str">
        <f aca="false">IF($M319="","",IFERROR(INDEX(Settings!$B$27:$B$36,MATCH(L319,Settings!$A$27:$A$36,0))&amp;"","UNMAPPED"))</f>
        <v>Won</v>
      </c>
      <c r="T319" s="37" t="str">
        <f aca="false">IF($M319="","",IF(NOT(ISNUMBER(R319)),"NO DATE",IF(S319="Won",IF(R319&gt;Settings!$B$5,"Backlog","Delivered"),IF(S319="Open",IF(R319&gt;Settings!$B$5,"Pipeline","Overdue"),IF(S319="Lost","Lost","UNMAPPED")))))</f>
        <v>Delivered</v>
      </c>
      <c r="U319" s="40" t="n">
        <f aca="false">IF(T319="Backlog",1,IF(OR(T319="Pipeline",T319="Overdue"),N(INDEX(Settings!$C$27:$C$36,MATCH(L319,Settings!$A$27:$A$36,0))),0))</f>
        <v>0</v>
      </c>
      <c r="V319" s="38" t="n">
        <f aca="false">Q319*U319</f>
        <v>0</v>
      </c>
      <c r="W319" s="41" t="n">
        <f aca="false">IF($M319="","",IF(T319="Overdue",IF(Settings!$B$8="Yes",Settings!$B$7,""),IF(ISNUMBER(R319),DATE(YEAR(R319),MONTH(R319),1),"")))</f>
        <v>45870</v>
      </c>
      <c r="X319" s="38" t="n">
        <f aca="false">IF(AND(OR(T319="Backlog",T319="Pipeline",T319="Overdue"),ISNUMBER(W319)),IF(W319&lt;=Settings!$B$6,V319,0),0)</f>
        <v>0</v>
      </c>
      <c r="Y319" s="38" t="n">
        <f aca="false">IF(AND(OR(T319="Backlog",T319="Pipeline",T319="Overdue"),ISNUMBER(W319)),IF(W319&lt;=Settings!$B$6,Q319,0),0)</f>
        <v>0</v>
      </c>
      <c r="Z319" s="38" t="n">
        <f aca="false">IF(Y319=0,0,IF(T319="Backlog",Q319,Q319*Dashboard!$C$10))</f>
        <v>0</v>
      </c>
      <c r="AA319" s="37" t="n">
        <f aca="false">IF($N319="",0,IF(COUNTIF(Dashboard!$C$13:$C$22,$N319)&gt;0,1,0))</f>
        <v>0</v>
      </c>
      <c r="AB319" s="37" t="n">
        <f aca="false">IF($N319="","",IF(COUNTIF($N$8:$N319,$N319)=1,MAX($AB$7:$AB318)+1,""))</f>
        <v>83</v>
      </c>
    </row>
    <row r="320" customFormat="false" ht="15" hidden="false" customHeight="false" outlineLevel="0" collapsed="false">
      <c r="B320" s="32" t="s">
        <v>852</v>
      </c>
      <c r="C320" s="32" t="s">
        <v>276</v>
      </c>
      <c r="D320" s="35" t="n">
        <v>2640</v>
      </c>
      <c r="E320" s="32" t="s">
        <v>145</v>
      </c>
      <c r="F320" s="36" t="n">
        <v>46142</v>
      </c>
      <c r="G320" s="32" t="s">
        <v>853</v>
      </c>
      <c r="L320" s="37" t="str">
        <f aca="false">IF(INDEX($A320:$J320,$L$6)&lt;&gt;"",TRIM(LEFT(INDEX($A320:$J320,$L$6),FIND("(",INDEX($A320:$J320,$L$6)&amp;"(")-1)),L319)</f>
        <v>Closed Won</v>
      </c>
      <c r="M320" s="37" t="str">
        <f aca="false">IF(INDEX($A320:$J320,$M$6)="","",INDEX($A320:$J320,$M$6)&amp;"")</f>
        <v>Vega Global - Event Support - 26.5.26</v>
      </c>
      <c r="N320" s="37" t="str">
        <f aca="false">IF($M320="","",TRIM(INDEX($A320:$J320,$N$6)&amp;""))</f>
        <v>Vega Global</v>
      </c>
      <c r="O320" s="37" t="str">
        <f aca="false">IF($M320="","",TRIM(INDEX($A320:$J320,$O$6)&amp;""))</f>
        <v>Event Production</v>
      </c>
      <c r="P320" s="37" t="str">
        <f aca="false">IF($M320="","",IFERROR(IF(INDEX(Settings!$B$41:$B$50,MATCH(O320,Settings!$A$41:$A$50,0))&amp;""="","UNMAPPED",INDEX(Settings!$B$41:$B$50,MATCH(O320,Settings!$A$41:$A$50,0))&amp;""),"UNMAPPED"))</f>
        <v>Production</v>
      </c>
      <c r="Q320" s="38" t="n">
        <f aca="false">IF($M320="",0,N(INDEX($A320:$J320,$Q$6)))</f>
        <v>2640</v>
      </c>
      <c r="R320" s="39" t="n">
        <f aca="false">IF($M320="","",INDEX($A320:$J320,$R$6))</f>
        <v>46142</v>
      </c>
      <c r="S320" s="37" t="str">
        <f aca="false">IF($M320="","",IFERROR(INDEX(Settings!$B$27:$B$36,MATCH(L320,Settings!$A$27:$A$36,0))&amp;"","UNMAPPED"))</f>
        <v>Won</v>
      </c>
      <c r="T320" s="37" t="str">
        <f aca="false">IF($M320="","",IF(NOT(ISNUMBER(R320)),"NO DATE",IF(S320="Won",IF(R320&gt;Settings!$B$5,"Backlog","Delivered"),IF(S320="Open",IF(R320&gt;Settings!$B$5,"Pipeline","Overdue"),IF(S320="Lost","Lost","UNMAPPED")))))</f>
        <v>Delivered</v>
      </c>
      <c r="U320" s="40" t="n">
        <f aca="false">IF(T320="Backlog",1,IF(OR(T320="Pipeline",T320="Overdue"),N(INDEX(Settings!$C$27:$C$36,MATCH(L320,Settings!$A$27:$A$36,0))),0))</f>
        <v>0</v>
      </c>
      <c r="V320" s="38" t="n">
        <f aca="false">Q320*U320</f>
        <v>0</v>
      </c>
      <c r="W320" s="41" t="n">
        <f aca="false">IF($M320="","",IF(T320="Overdue",IF(Settings!$B$8="Yes",Settings!$B$7,""),IF(ISNUMBER(R320),DATE(YEAR(R320),MONTH(R320),1),"")))</f>
        <v>46113</v>
      </c>
      <c r="X320" s="38" t="n">
        <f aca="false">IF(AND(OR(T320="Backlog",T320="Pipeline",T320="Overdue"),ISNUMBER(W320)),IF(W320&lt;=Settings!$B$6,V320,0),0)</f>
        <v>0</v>
      </c>
      <c r="Y320" s="38" t="n">
        <f aca="false">IF(AND(OR(T320="Backlog",T320="Pipeline",T320="Overdue"),ISNUMBER(W320)),IF(W320&lt;=Settings!$B$6,Q320,0),0)</f>
        <v>0</v>
      </c>
      <c r="Z320" s="38" t="n">
        <f aca="false">IF(Y320=0,0,IF(T320="Backlog",Q320,Q320*Dashboard!$C$10))</f>
        <v>0</v>
      </c>
      <c r="AA320" s="37" t="n">
        <f aca="false">IF($N320="",0,IF(COUNTIF(Dashboard!$C$13:$C$22,$N320)&gt;0,1,0))</f>
        <v>0</v>
      </c>
      <c r="AB320" s="37" t="str">
        <f aca="false">IF($N320="","",IF(COUNTIF($N$8:$N320,$N320)=1,MAX($AB$7:$AB319)+1,""))</f>
        <v/>
      </c>
    </row>
    <row r="321" customFormat="false" ht="15" hidden="false" customHeight="false" outlineLevel="0" collapsed="false">
      <c r="B321" s="32" t="s">
        <v>854</v>
      </c>
      <c r="C321" s="32" t="s">
        <v>855</v>
      </c>
      <c r="D321" s="35" t="n">
        <v>11236</v>
      </c>
      <c r="E321" s="32" t="s">
        <v>145</v>
      </c>
      <c r="F321" s="36" t="n">
        <v>45953</v>
      </c>
      <c r="G321" s="32" t="s">
        <v>856</v>
      </c>
      <c r="L321" s="37" t="str">
        <f aca="false">IF(INDEX($A321:$J321,$L$6)&lt;&gt;"",TRIM(LEFT(INDEX($A321:$J321,$L$6),FIND("(",INDEX($A321:$J321,$L$6)&amp;"(")-1)),L320)</f>
        <v>Closed Won</v>
      </c>
      <c r="M321" s="37" t="str">
        <f aca="false">IF(INDEX($A321:$J321,$M$6)="","",INDEX($A321:$J321,$M$6)&amp;"")</f>
        <v>Arinex Techs &amp; Equip - 23.10-26.10.25</v>
      </c>
      <c r="N321" s="37" t="str">
        <f aca="false">IF($M321="","",TRIM(INDEX($A321:$J321,$N$6)&amp;""))</f>
        <v>Arinex Group</v>
      </c>
      <c r="O321" s="37" t="str">
        <f aca="false">IF($M321="","",TRIM(INDEX($A321:$J321,$O$6)&amp;""))</f>
        <v>Event Production</v>
      </c>
      <c r="P321" s="37" t="str">
        <f aca="false">IF($M321="","",IFERROR(IF(INDEX(Settings!$B$41:$B$50,MATCH(O321,Settings!$A$41:$A$50,0))&amp;""="","UNMAPPED",INDEX(Settings!$B$41:$B$50,MATCH(O321,Settings!$A$41:$A$50,0))&amp;""),"UNMAPPED"))</f>
        <v>Production</v>
      </c>
      <c r="Q321" s="38" t="n">
        <f aca="false">IF($M321="",0,N(INDEX($A321:$J321,$Q$6)))</f>
        <v>11236</v>
      </c>
      <c r="R321" s="39" t="n">
        <f aca="false">IF($M321="","",INDEX($A321:$J321,$R$6))</f>
        <v>45953</v>
      </c>
      <c r="S321" s="37" t="str">
        <f aca="false">IF($M321="","",IFERROR(INDEX(Settings!$B$27:$B$36,MATCH(L321,Settings!$A$27:$A$36,0))&amp;"","UNMAPPED"))</f>
        <v>Won</v>
      </c>
      <c r="T321" s="37" t="str">
        <f aca="false">IF($M321="","",IF(NOT(ISNUMBER(R321)),"NO DATE",IF(S321="Won",IF(R321&gt;Settings!$B$5,"Backlog","Delivered"),IF(S321="Open",IF(R321&gt;Settings!$B$5,"Pipeline","Overdue"),IF(S321="Lost","Lost","UNMAPPED")))))</f>
        <v>Delivered</v>
      </c>
      <c r="U321" s="40" t="n">
        <f aca="false">IF(T321="Backlog",1,IF(OR(T321="Pipeline",T321="Overdue"),N(INDEX(Settings!$C$27:$C$36,MATCH(L321,Settings!$A$27:$A$36,0))),0))</f>
        <v>0</v>
      </c>
      <c r="V321" s="38" t="n">
        <f aca="false">Q321*U321</f>
        <v>0</v>
      </c>
      <c r="W321" s="41" t="n">
        <f aca="false">IF($M321="","",IF(T321="Overdue",IF(Settings!$B$8="Yes",Settings!$B$7,""),IF(ISNUMBER(R321),DATE(YEAR(R321),MONTH(R321),1),"")))</f>
        <v>45931</v>
      </c>
      <c r="X321" s="38" t="n">
        <f aca="false">IF(AND(OR(T321="Backlog",T321="Pipeline",T321="Overdue"),ISNUMBER(W321)),IF(W321&lt;=Settings!$B$6,V321,0),0)</f>
        <v>0</v>
      </c>
      <c r="Y321" s="38" t="n">
        <f aca="false">IF(AND(OR(T321="Backlog",T321="Pipeline",T321="Overdue"),ISNUMBER(W321)),IF(W321&lt;=Settings!$B$6,Q321,0),0)</f>
        <v>0</v>
      </c>
      <c r="Z321" s="38" t="n">
        <f aca="false">IF(Y321=0,0,IF(T321="Backlog",Q321,Q321*Dashboard!$C$10))</f>
        <v>0</v>
      </c>
      <c r="AA321" s="37" t="n">
        <f aca="false">IF($N321="",0,IF(COUNTIF(Dashboard!$C$13:$C$22,$N321)&gt;0,1,0))</f>
        <v>0</v>
      </c>
      <c r="AB321" s="37" t="n">
        <f aca="false">IF($N321="","",IF(COUNTIF($N$8:$N321,$N321)=1,MAX($AB$7:$AB320)+1,""))</f>
        <v>84</v>
      </c>
    </row>
    <row r="322" customFormat="false" ht="15" hidden="false" customHeight="false" outlineLevel="0" collapsed="false">
      <c r="B322" s="32" t="s">
        <v>857</v>
      </c>
      <c r="C322" s="32" t="s">
        <v>205</v>
      </c>
      <c r="D322" s="35" t="n">
        <v>340</v>
      </c>
      <c r="E322" s="32" t="s">
        <v>180</v>
      </c>
      <c r="F322" s="36" t="n">
        <v>45937</v>
      </c>
      <c r="G322" s="32" t="s">
        <v>858</v>
      </c>
      <c r="L322" s="37" t="str">
        <f aca="false">IF(INDEX($A322:$J322,$L$6)&lt;&gt;"",TRIM(LEFT(INDEX($A322:$J322,$L$6),FIND("(",INDEX($A322:$J322,$L$6)&amp;"(")-1)),L321)</f>
        <v>Closed Won</v>
      </c>
      <c r="M322" s="37" t="str">
        <f aca="false">IF(INDEX($A322:$J322,$M$6)="","",INDEX($A322:$J322,$M$6)&amp;"")</f>
        <v>Deloitte Tech Support - 7th of October 25 - CMHAA Event</v>
      </c>
      <c r="N322" s="37" t="str">
        <f aca="false">IF($M322="","",TRIM(INDEX($A322:$J322,$N$6)&amp;""))</f>
        <v>Deloitte - Sydney</v>
      </c>
      <c r="O322" s="37" t="str">
        <f aca="false">IF($M322="","",TRIM(INDEX($A322:$J322,$O$6)&amp;""))</f>
        <v>Support</v>
      </c>
      <c r="P322" s="37" t="str">
        <f aca="false">IF($M322="","",IFERROR(IF(INDEX(Settings!$B$41:$B$50,MATCH(O322,Settings!$A$41:$A$50,0))&amp;""="","UNMAPPED",INDEX(Settings!$B$41:$B$50,MATCH(O322,Settings!$A$41:$A$50,0))&amp;""),"UNMAPPED"))</f>
        <v>Onsite</v>
      </c>
      <c r="Q322" s="38" t="n">
        <f aca="false">IF($M322="",0,N(INDEX($A322:$J322,$Q$6)))</f>
        <v>340</v>
      </c>
      <c r="R322" s="39" t="n">
        <f aca="false">IF($M322="","",INDEX($A322:$J322,$R$6))</f>
        <v>45937</v>
      </c>
      <c r="S322" s="37" t="str">
        <f aca="false">IF($M322="","",IFERROR(INDEX(Settings!$B$27:$B$36,MATCH(L322,Settings!$A$27:$A$36,0))&amp;"","UNMAPPED"))</f>
        <v>Won</v>
      </c>
      <c r="T322" s="37" t="str">
        <f aca="false">IF($M322="","",IF(NOT(ISNUMBER(R322)),"NO DATE",IF(S322="Won",IF(R322&gt;Settings!$B$5,"Backlog","Delivered"),IF(S322="Open",IF(R322&gt;Settings!$B$5,"Pipeline","Overdue"),IF(S322="Lost","Lost","UNMAPPED")))))</f>
        <v>Delivered</v>
      </c>
      <c r="U322" s="40" t="n">
        <f aca="false">IF(T322="Backlog",1,IF(OR(T322="Pipeline",T322="Overdue"),N(INDEX(Settings!$C$27:$C$36,MATCH(L322,Settings!$A$27:$A$36,0))),0))</f>
        <v>0</v>
      </c>
      <c r="V322" s="38" t="n">
        <f aca="false">Q322*U322</f>
        <v>0</v>
      </c>
      <c r="W322" s="41" t="n">
        <f aca="false">IF($M322="","",IF(T322="Overdue",IF(Settings!$B$8="Yes",Settings!$B$7,""),IF(ISNUMBER(R322),DATE(YEAR(R322),MONTH(R322),1),"")))</f>
        <v>45931</v>
      </c>
      <c r="X322" s="38" t="n">
        <f aca="false">IF(AND(OR(T322="Backlog",T322="Pipeline",T322="Overdue"),ISNUMBER(W322)),IF(W322&lt;=Settings!$B$6,V322,0),0)</f>
        <v>0</v>
      </c>
      <c r="Y322" s="38" t="n">
        <f aca="false">IF(AND(OR(T322="Backlog",T322="Pipeline",T322="Overdue"),ISNUMBER(W322)),IF(W322&lt;=Settings!$B$6,Q322,0),0)</f>
        <v>0</v>
      </c>
      <c r="Z322" s="38" t="n">
        <f aca="false">IF(Y322=0,0,IF(T322="Backlog",Q322,Q322*Dashboard!$C$10))</f>
        <v>0</v>
      </c>
      <c r="AA322" s="37" t="n">
        <f aca="false">IF($N322="",0,IF(COUNTIF(Dashboard!$C$13:$C$22,$N322)&gt;0,1,0))</f>
        <v>0</v>
      </c>
      <c r="AB322" s="37" t="str">
        <f aca="false">IF($N322="","",IF(COUNTIF($N$8:$N322,$N322)=1,MAX($AB$7:$AB321)+1,""))</f>
        <v/>
      </c>
    </row>
    <row r="323" customFormat="false" ht="15" hidden="false" customHeight="false" outlineLevel="0" collapsed="false">
      <c r="B323" s="32" t="s">
        <v>859</v>
      </c>
      <c r="C323" s="32" t="s">
        <v>154</v>
      </c>
      <c r="D323" s="35" t="n">
        <v>340</v>
      </c>
      <c r="E323" s="32" t="s">
        <v>180</v>
      </c>
      <c r="F323" s="36" t="n">
        <v>46227</v>
      </c>
      <c r="G323" s="32" t="s">
        <v>860</v>
      </c>
      <c r="L323" s="37" t="str">
        <f aca="false">IF(INDEX($A323:$J323,$L$6)&lt;&gt;"",TRIM(LEFT(INDEX($A323:$J323,$L$6),FIND("(",INDEX($A323:$J323,$L$6)&amp;"(")-1)),L322)</f>
        <v>Closed Won</v>
      </c>
      <c r="M323" s="37" t="str">
        <f aca="false">IF(INDEX($A323:$J323,$M$6)="","",INDEX($A323:$J323,$M$6)&amp;"")</f>
        <v>PWC - Event Technician - 29.7.26</v>
      </c>
      <c r="N323" s="37" t="str">
        <f aca="false">IF($M323="","",TRIM(INDEX($A323:$J323,$N$6)&amp;""))</f>
        <v>PWC</v>
      </c>
      <c r="O323" s="37" t="str">
        <f aca="false">IF($M323="","",TRIM(INDEX($A323:$J323,$O$6)&amp;""))</f>
        <v>Support</v>
      </c>
      <c r="P323" s="37" t="str">
        <f aca="false">IF($M323="","",IFERROR(IF(INDEX(Settings!$B$41:$B$50,MATCH(O323,Settings!$A$41:$A$50,0))&amp;""="","UNMAPPED",INDEX(Settings!$B$41:$B$50,MATCH(O323,Settings!$A$41:$A$50,0))&amp;""),"UNMAPPED"))</f>
        <v>Onsite</v>
      </c>
      <c r="Q323" s="38" t="n">
        <f aca="false">IF($M323="",0,N(INDEX($A323:$J323,$Q$6)))</f>
        <v>340</v>
      </c>
      <c r="R323" s="39" t="n">
        <f aca="false">IF($M323="","",INDEX($A323:$J323,$R$6))</f>
        <v>46227</v>
      </c>
      <c r="S323" s="37" t="str">
        <f aca="false">IF($M323="","",IFERROR(INDEX(Settings!$B$27:$B$36,MATCH(L323,Settings!$A$27:$A$36,0))&amp;"","UNMAPPED"))</f>
        <v>Won</v>
      </c>
      <c r="T323" s="37" t="str">
        <f aca="false">IF($M323="","",IF(NOT(ISNUMBER(R323)),"NO DATE",IF(S323="Won",IF(R323&gt;Settings!$B$5,"Backlog","Delivered"),IF(S323="Open",IF(R323&gt;Settings!$B$5,"Pipeline","Overdue"),IF(S323="Lost","Lost","UNMAPPED")))))</f>
        <v>Delivered</v>
      </c>
      <c r="U323" s="40" t="n">
        <f aca="false">IF(T323="Backlog",1,IF(OR(T323="Pipeline",T323="Overdue"),N(INDEX(Settings!$C$27:$C$36,MATCH(L323,Settings!$A$27:$A$36,0))),0))</f>
        <v>0</v>
      </c>
      <c r="V323" s="38" t="n">
        <f aca="false">Q323*U323</f>
        <v>0</v>
      </c>
      <c r="W323" s="41" t="n">
        <f aca="false">IF($M323="","",IF(T323="Overdue",IF(Settings!$B$8="Yes",Settings!$B$7,""),IF(ISNUMBER(R323),DATE(YEAR(R323),MONTH(R323),1),"")))</f>
        <v>46204</v>
      </c>
      <c r="X323" s="38" t="n">
        <f aca="false">IF(AND(OR(T323="Backlog",T323="Pipeline",T323="Overdue"),ISNUMBER(W323)),IF(W323&lt;=Settings!$B$6,V323,0),0)</f>
        <v>0</v>
      </c>
      <c r="Y323" s="38" t="n">
        <f aca="false">IF(AND(OR(T323="Backlog",T323="Pipeline",T323="Overdue"),ISNUMBER(W323)),IF(W323&lt;=Settings!$B$6,Q323,0),0)</f>
        <v>0</v>
      </c>
      <c r="Z323" s="38" t="n">
        <f aca="false">IF(Y323=0,0,IF(T323="Backlog",Q323,Q323*Dashboard!$C$10))</f>
        <v>0</v>
      </c>
      <c r="AA323" s="37" t="n">
        <f aca="false">IF($N323="",0,IF(COUNTIF(Dashboard!$C$13:$C$22,$N323)&gt;0,1,0))</f>
        <v>0</v>
      </c>
      <c r="AB323" s="37" t="str">
        <f aca="false">IF($N323="","",IF(COUNTIF($N$8:$N323,$N323)=1,MAX($AB$7:$AB322)+1,""))</f>
        <v/>
      </c>
    </row>
    <row r="324" customFormat="false" ht="15" hidden="false" customHeight="false" outlineLevel="0" collapsed="false">
      <c r="B324" s="32" t="s">
        <v>861</v>
      </c>
      <c r="C324" s="32" t="s">
        <v>233</v>
      </c>
      <c r="D324" s="35" t="n">
        <v>1810</v>
      </c>
      <c r="E324" s="32" t="s">
        <v>173</v>
      </c>
      <c r="F324" s="36" t="n">
        <v>45988</v>
      </c>
      <c r="G324" s="32" t="s">
        <v>862</v>
      </c>
      <c r="L324" s="37" t="str">
        <f aca="false">IF(INDEX($A324:$J324,$L$6)&lt;&gt;"",TRIM(LEFT(INDEX($A324:$J324,$L$6),FIND("(",INDEX($A324:$J324,$L$6)&amp;"(")-1)),L323)</f>
        <v>Closed Won</v>
      </c>
      <c r="M324" s="37" t="str">
        <f aca="false">IF(INDEX($A324:$J324,$M$6)="","",INDEX($A324:$J324,$M$6)&amp;"")</f>
        <v>Novigi Executive Boardroom Upgrade</v>
      </c>
      <c r="N324" s="37" t="str">
        <f aca="false">IF($M324="","",TRIM(INDEX($A324:$J324,$N$6)&amp;""))</f>
        <v>Novigi</v>
      </c>
      <c r="O324" s="37" t="str">
        <f aca="false">IF($M324="","",TRIM(INDEX($A324:$J324,$O$6)&amp;""))</f>
        <v>Consulting</v>
      </c>
      <c r="P324" s="37" t="str">
        <f aca="false">IF($M324="","",IFERROR(IF(INDEX(Settings!$B$41:$B$50,MATCH(O324,Settings!$A$41:$A$50,0))&amp;""="","UNMAPPED",INDEX(Settings!$B$41:$B$50,MATCH(O324,Settings!$A$41:$A$50,0))&amp;""),"UNMAPPED"))</f>
        <v>Consulting</v>
      </c>
      <c r="Q324" s="38" t="n">
        <f aca="false">IF($M324="",0,N(INDEX($A324:$J324,$Q$6)))</f>
        <v>1810</v>
      </c>
      <c r="R324" s="39" t="n">
        <f aca="false">IF($M324="","",INDEX($A324:$J324,$R$6))</f>
        <v>45988</v>
      </c>
      <c r="S324" s="37" t="str">
        <f aca="false">IF($M324="","",IFERROR(INDEX(Settings!$B$27:$B$36,MATCH(L324,Settings!$A$27:$A$36,0))&amp;"","UNMAPPED"))</f>
        <v>Won</v>
      </c>
      <c r="T324" s="37" t="str">
        <f aca="false">IF($M324="","",IF(NOT(ISNUMBER(R324)),"NO DATE",IF(S324="Won",IF(R324&gt;Settings!$B$5,"Backlog","Delivered"),IF(S324="Open",IF(R324&gt;Settings!$B$5,"Pipeline","Overdue"),IF(S324="Lost","Lost","UNMAPPED")))))</f>
        <v>Delivered</v>
      </c>
      <c r="U324" s="40" t="n">
        <f aca="false">IF(T324="Backlog",1,IF(OR(T324="Pipeline",T324="Overdue"),N(INDEX(Settings!$C$27:$C$36,MATCH(L324,Settings!$A$27:$A$36,0))),0))</f>
        <v>0</v>
      </c>
      <c r="V324" s="38" t="n">
        <f aca="false">Q324*U324</f>
        <v>0</v>
      </c>
      <c r="W324" s="41" t="n">
        <f aca="false">IF($M324="","",IF(T324="Overdue",IF(Settings!$B$8="Yes",Settings!$B$7,""),IF(ISNUMBER(R324),DATE(YEAR(R324),MONTH(R324),1),"")))</f>
        <v>45962</v>
      </c>
      <c r="X324" s="38" t="n">
        <f aca="false">IF(AND(OR(T324="Backlog",T324="Pipeline",T324="Overdue"),ISNUMBER(W324)),IF(W324&lt;=Settings!$B$6,V324,0),0)</f>
        <v>0</v>
      </c>
      <c r="Y324" s="38" t="n">
        <f aca="false">IF(AND(OR(T324="Backlog",T324="Pipeline",T324="Overdue"),ISNUMBER(W324)),IF(W324&lt;=Settings!$B$6,Q324,0),0)</f>
        <v>0</v>
      </c>
      <c r="Z324" s="38" t="n">
        <f aca="false">IF(Y324=0,0,IF(T324="Backlog",Q324,Q324*Dashboard!$C$10))</f>
        <v>0</v>
      </c>
      <c r="AA324" s="37" t="n">
        <f aca="false">IF($N324="",0,IF(COUNTIF(Dashboard!$C$13:$C$22,$N324)&gt;0,1,0))</f>
        <v>0</v>
      </c>
      <c r="AB324" s="37" t="str">
        <f aca="false">IF($N324="","",IF(COUNTIF($N$8:$N324,$N324)=1,MAX($AB$7:$AB323)+1,""))</f>
        <v/>
      </c>
    </row>
    <row r="325" customFormat="false" ht="15" hidden="false" customHeight="false" outlineLevel="0" collapsed="false">
      <c r="B325" s="32" t="s">
        <v>863</v>
      </c>
      <c r="C325" s="32" t="s">
        <v>233</v>
      </c>
      <c r="D325" s="35" t="n">
        <v>340</v>
      </c>
      <c r="E325" s="32" t="s">
        <v>180</v>
      </c>
      <c r="F325" s="36" t="n">
        <v>46283</v>
      </c>
      <c r="G325" s="32" t="s">
        <v>864</v>
      </c>
      <c r="L325" s="37" t="str">
        <f aca="false">IF(INDEX($A325:$J325,$L$6)&lt;&gt;"",TRIM(LEFT(INDEX($A325:$J325,$L$6),FIND("(",INDEX($A325:$J325,$L$6)&amp;"(")-1)),L324)</f>
        <v>Closed Won</v>
      </c>
      <c r="M325" s="37" t="str">
        <f aca="false">IF(INDEX($A325:$J325,$M$6)="","",INDEX($A325:$J325,$M$6)&amp;"")</f>
        <v>Novigi | Dharawal Maintenance - 26091501</v>
      </c>
      <c r="N325" s="37" t="str">
        <f aca="false">IF($M325="","",TRIM(INDEX($A325:$J325,$N$6)&amp;""))</f>
        <v>Novigi</v>
      </c>
      <c r="O325" s="37" t="str">
        <f aca="false">IF($M325="","",TRIM(INDEX($A325:$J325,$O$6)&amp;""))</f>
        <v>Support</v>
      </c>
      <c r="P325" s="37" t="str">
        <f aca="false">IF($M325="","",IFERROR(IF(INDEX(Settings!$B$41:$B$50,MATCH(O325,Settings!$A$41:$A$50,0))&amp;""="","UNMAPPED",INDEX(Settings!$B$41:$B$50,MATCH(O325,Settings!$A$41:$A$50,0))&amp;""),"UNMAPPED"))</f>
        <v>Onsite</v>
      </c>
      <c r="Q325" s="38" t="n">
        <f aca="false">IF($M325="",0,N(INDEX($A325:$J325,$Q$6)))</f>
        <v>340</v>
      </c>
      <c r="R325" s="39" t="n">
        <f aca="false">IF($M325="","",INDEX($A325:$J325,$R$6))</f>
        <v>46283</v>
      </c>
      <c r="S325" s="37" t="str">
        <f aca="false">IF($M325="","",IFERROR(INDEX(Settings!$B$27:$B$36,MATCH(L325,Settings!$A$27:$A$36,0))&amp;"","UNMAPPED"))</f>
        <v>Won</v>
      </c>
      <c r="T325" s="37" t="str">
        <f aca="false">IF($M325="","",IF(NOT(ISNUMBER(R325)),"NO DATE",IF(S325="Won",IF(R325&gt;Settings!$B$5,"Backlog","Delivered"),IF(S325="Open",IF(R325&gt;Settings!$B$5,"Pipeline","Overdue"),IF(S325="Lost","Lost","UNMAPPED")))))</f>
        <v>Delivered</v>
      </c>
      <c r="U325" s="40" t="n">
        <f aca="false">IF(T325="Backlog",1,IF(OR(T325="Pipeline",T325="Overdue"),N(INDEX(Settings!$C$27:$C$36,MATCH(L325,Settings!$A$27:$A$36,0))),0))</f>
        <v>0</v>
      </c>
      <c r="V325" s="38" t="n">
        <f aca="false">Q325*U325</f>
        <v>0</v>
      </c>
      <c r="W325" s="41" t="n">
        <f aca="false">IF($M325="","",IF(T325="Overdue",IF(Settings!$B$8="Yes",Settings!$B$7,""),IF(ISNUMBER(R325),DATE(YEAR(R325),MONTH(R325),1),"")))</f>
        <v>46266</v>
      </c>
      <c r="X325" s="38" t="n">
        <f aca="false">IF(AND(OR(T325="Backlog",T325="Pipeline",T325="Overdue"),ISNUMBER(W325)),IF(W325&lt;=Settings!$B$6,V325,0),0)</f>
        <v>0</v>
      </c>
      <c r="Y325" s="38" t="n">
        <f aca="false">IF(AND(OR(T325="Backlog",T325="Pipeline",T325="Overdue"),ISNUMBER(W325)),IF(W325&lt;=Settings!$B$6,Q325,0),0)</f>
        <v>0</v>
      </c>
      <c r="Z325" s="38" t="n">
        <f aca="false">IF(Y325=0,0,IF(T325="Backlog",Q325,Q325*Dashboard!$C$10))</f>
        <v>0</v>
      </c>
      <c r="AA325" s="37" t="n">
        <f aca="false">IF($N325="",0,IF(COUNTIF(Dashboard!$C$13:$C$22,$N325)&gt;0,1,0))</f>
        <v>0</v>
      </c>
      <c r="AB325" s="37" t="str">
        <f aca="false">IF($N325="","",IF(COUNTIF($N$8:$N325,$N325)=1,MAX($AB$7:$AB324)+1,""))</f>
        <v/>
      </c>
    </row>
    <row r="326" customFormat="false" ht="15" hidden="false" customHeight="false" outlineLevel="0" collapsed="false">
      <c r="B326" s="32" t="s">
        <v>865</v>
      </c>
      <c r="C326" s="32" t="s">
        <v>324</v>
      </c>
      <c r="D326" s="35" t="n">
        <v>14288</v>
      </c>
      <c r="E326" s="32" t="s">
        <v>145</v>
      </c>
      <c r="F326" s="36" t="n">
        <v>46084</v>
      </c>
      <c r="G326" s="32" t="s">
        <v>866</v>
      </c>
      <c r="L326" s="37" t="str">
        <f aca="false">IF(INDEX($A326:$J326,$L$6)&lt;&gt;"",TRIM(LEFT(INDEX($A326:$J326,$L$6),FIND("(",INDEX($A326:$J326,$L$6)&amp;"(")-1)),L325)</f>
        <v>Closed Won</v>
      </c>
      <c r="M326" s="37" t="str">
        <f aca="false">IF(INDEX($A326:$J326,$M$6)="","",INDEX($A326:$J326,$M$6)&amp;"")</f>
        <v>ON24 - KWM 11,17,19th of March 2026</v>
      </c>
      <c r="N326" s="37" t="str">
        <f aca="false">IF($M326="","",TRIM(INDEX($A326:$J326,$N$6)&amp;""))</f>
        <v>ON24</v>
      </c>
      <c r="O326" s="37" t="str">
        <f aca="false">IF($M326="","",TRIM(INDEX($A326:$J326,$O$6)&amp;""))</f>
        <v>Event Production</v>
      </c>
      <c r="P326" s="37" t="str">
        <f aca="false">IF($M326="","",IFERROR(IF(INDEX(Settings!$B$41:$B$50,MATCH(O326,Settings!$A$41:$A$50,0))&amp;""="","UNMAPPED",INDEX(Settings!$B$41:$B$50,MATCH(O326,Settings!$A$41:$A$50,0))&amp;""),"UNMAPPED"))</f>
        <v>Production</v>
      </c>
      <c r="Q326" s="38" t="n">
        <f aca="false">IF($M326="",0,N(INDEX($A326:$J326,$Q$6)))</f>
        <v>14288</v>
      </c>
      <c r="R326" s="39" t="n">
        <f aca="false">IF($M326="","",INDEX($A326:$J326,$R$6))</f>
        <v>46084</v>
      </c>
      <c r="S326" s="37" t="str">
        <f aca="false">IF($M326="","",IFERROR(INDEX(Settings!$B$27:$B$36,MATCH(L326,Settings!$A$27:$A$36,0))&amp;"","UNMAPPED"))</f>
        <v>Won</v>
      </c>
      <c r="T326" s="37" t="str">
        <f aca="false">IF($M326="","",IF(NOT(ISNUMBER(R326)),"NO DATE",IF(S326="Won",IF(R326&gt;Settings!$B$5,"Backlog","Delivered"),IF(S326="Open",IF(R326&gt;Settings!$B$5,"Pipeline","Overdue"),IF(S326="Lost","Lost","UNMAPPED")))))</f>
        <v>Delivered</v>
      </c>
      <c r="U326" s="40" t="n">
        <f aca="false">IF(T326="Backlog",1,IF(OR(T326="Pipeline",T326="Overdue"),N(INDEX(Settings!$C$27:$C$36,MATCH(L326,Settings!$A$27:$A$36,0))),0))</f>
        <v>0</v>
      </c>
      <c r="V326" s="38" t="n">
        <f aca="false">Q326*U326</f>
        <v>0</v>
      </c>
      <c r="W326" s="41" t="n">
        <f aca="false">IF($M326="","",IF(T326="Overdue",IF(Settings!$B$8="Yes",Settings!$B$7,""),IF(ISNUMBER(R326),DATE(YEAR(R326),MONTH(R326),1),"")))</f>
        <v>46082</v>
      </c>
      <c r="X326" s="38" t="n">
        <f aca="false">IF(AND(OR(T326="Backlog",T326="Pipeline",T326="Overdue"),ISNUMBER(W326)),IF(W326&lt;=Settings!$B$6,V326,0),0)</f>
        <v>0</v>
      </c>
      <c r="Y326" s="38" t="n">
        <f aca="false">IF(AND(OR(T326="Backlog",T326="Pipeline",T326="Overdue"),ISNUMBER(W326)),IF(W326&lt;=Settings!$B$6,Q326,0),0)</f>
        <v>0</v>
      </c>
      <c r="Z326" s="38" t="n">
        <f aca="false">IF(Y326=0,0,IF(T326="Backlog",Q326,Q326*Dashboard!$C$10))</f>
        <v>0</v>
      </c>
      <c r="AA326" s="37" t="n">
        <f aca="false">IF($N326="",0,IF(COUNTIF(Dashboard!$C$13:$C$22,$N326)&gt;0,1,0))</f>
        <v>0</v>
      </c>
      <c r="AB326" s="37" t="str">
        <f aca="false">IF($N326="","",IF(COUNTIF($N$8:$N326,$N326)=1,MAX($AB$7:$AB325)+1,""))</f>
        <v/>
      </c>
    </row>
    <row r="327" customFormat="false" ht="15" hidden="false" customHeight="false" outlineLevel="0" collapsed="false">
      <c r="B327" s="32" t="s">
        <v>867</v>
      </c>
      <c r="C327" s="32" t="s">
        <v>281</v>
      </c>
      <c r="D327" s="35" t="n">
        <v>3071</v>
      </c>
      <c r="E327" s="32" t="s">
        <v>145</v>
      </c>
      <c r="F327" s="36" t="n">
        <v>46176</v>
      </c>
      <c r="G327" s="32" t="s">
        <v>868</v>
      </c>
      <c r="L327" s="37" t="str">
        <f aca="false">IF(INDEX($A327:$J327,$L$6)&lt;&gt;"",TRIM(LEFT(INDEX($A327:$J327,$L$6),FIND("(",INDEX($A327:$J327,$L$6)&amp;"(")-1)),L326)</f>
        <v>Closed Won</v>
      </c>
      <c r="M327" s="37" t="str">
        <f aca="false">IF(INDEX($A327:$J327,$M$6)="","",INDEX($A327:$J327,$M$6)&amp;"")</f>
        <v>RSNSW - OGM - 1.7.26</v>
      </c>
      <c r="N327" s="37" t="str">
        <f aca="false">IF($M327="","",TRIM(INDEX($A327:$J327,$N$6)&amp;""))</f>
        <v>The Royal Society of New South Wales</v>
      </c>
      <c r="O327" s="37" t="str">
        <f aca="false">IF($M327="","",TRIM(INDEX($A327:$J327,$O$6)&amp;""))</f>
        <v>Event Production</v>
      </c>
      <c r="P327" s="37" t="str">
        <f aca="false">IF($M327="","",IFERROR(IF(INDEX(Settings!$B$41:$B$50,MATCH(O327,Settings!$A$41:$A$50,0))&amp;""="","UNMAPPED",INDEX(Settings!$B$41:$B$50,MATCH(O327,Settings!$A$41:$A$50,0))&amp;""),"UNMAPPED"))</f>
        <v>Production</v>
      </c>
      <c r="Q327" s="38" t="n">
        <f aca="false">IF($M327="",0,N(INDEX($A327:$J327,$Q$6)))</f>
        <v>3071</v>
      </c>
      <c r="R327" s="39" t="n">
        <f aca="false">IF($M327="","",INDEX($A327:$J327,$R$6))</f>
        <v>46176</v>
      </c>
      <c r="S327" s="37" t="str">
        <f aca="false">IF($M327="","",IFERROR(INDEX(Settings!$B$27:$B$36,MATCH(L327,Settings!$A$27:$A$36,0))&amp;"","UNMAPPED"))</f>
        <v>Won</v>
      </c>
      <c r="T327" s="37" t="str">
        <f aca="false">IF($M327="","",IF(NOT(ISNUMBER(R327)),"NO DATE",IF(S327="Won",IF(R327&gt;Settings!$B$5,"Backlog","Delivered"),IF(S327="Open",IF(R327&gt;Settings!$B$5,"Pipeline","Overdue"),IF(S327="Lost","Lost","UNMAPPED")))))</f>
        <v>Delivered</v>
      </c>
      <c r="U327" s="40" t="n">
        <f aca="false">IF(T327="Backlog",1,IF(OR(T327="Pipeline",T327="Overdue"),N(INDEX(Settings!$C$27:$C$36,MATCH(L327,Settings!$A$27:$A$36,0))),0))</f>
        <v>0</v>
      </c>
      <c r="V327" s="38" t="n">
        <f aca="false">Q327*U327</f>
        <v>0</v>
      </c>
      <c r="W327" s="41" t="n">
        <f aca="false">IF($M327="","",IF(T327="Overdue",IF(Settings!$B$8="Yes",Settings!$B$7,""),IF(ISNUMBER(R327),DATE(YEAR(R327),MONTH(R327),1),"")))</f>
        <v>46174</v>
      </c>
      <c r="X327" s="38" t="n">
        <f aca="false">IF(AND(OR(T327="Backlog",T327="Pipeline",T327="Overdue"),ISNUMBER(W327)),IF(W327&lt;=Settings!$B$6,V327,0),0)</f>
        <v>0</v>
      </c>
      <c r="Y327" s="38" t="n">
        <f aca="false">IF(AND(OR(T327="Backlog",T327="Pipeline",T327="Overdue"),ISNUMBER(W327)),IF(W327&lt;=Settings!$B$6,Q327,0),0)</f>
        <v>0</v>
      </c>
      <c r="Z327" s="38" t="n">
        <f aca="false">IF(Y327=0,0,IF(T327="Backlog",Q327,Q327*Dashboard!$C$10))</f>
        <v>0</v>
      </c>
      <c r="AA327" s="37" t="n">
        <f aca="false">IF($N327="",0,IF(COUNTIF(Dashboard!$C$13:$C$22,$N327)&gt;0,1,0))</f>
        <v>0</v>
      </c>
      <c r="AB327" s="37" t="str">
        <f aca="false">IF($N327="","",IF(COUNTIF($N$8:$N327,$N327)=1,MAX($AB$7:$AB326)+1,""))</f>
        <v/>
      </c>
    </row>
    <row r="328" customFormat="false" ht="15" hidden="false" customHeight="false" outlineLevel="0" collapsed="false">
      <c r="B328" s="32" t="s">
        <v>869</v>
      </c>
      <c r="C328" s="32" t="s">
        <v>316</v>
      </c>
      <c r="D328" s="35" t="n">
        <v>1060</v>
      </c>
      <c r="E328" s="32" t="s">
        <v>145</v>
      </c>
      <c r="F328" s="36" t="n">
        <v>46155</v>
      </c>
      <c r="G328" s="32" t="s">
        <v>870</v>
      </c>
      <c r="L328" s="37" t="str">
        <f aca="false">IF(INDEX($A328:$J328,$L$6)&lt;&gt;"",TRIM(LEFT(INDEX($A328:$J328,$L$6),FIND("(",INDEX($A328:$J328,$L$6)&amp;"(")-1)),L327)</f>
        <v>Closed Won</v>
      </c>
      <c r="M328" s="37" t="str">
        <f aca="false">IF(INDEX($A328:$J328,$M$6)="","",INDEX($A328:$J328,$M$6)&amp;"")</f>
        <v>Bankwest - Stage Hire - 27.5.2026</v>
      </c>
      <c r="N328" s="37" t="str">
        <f aca="false">IF($M328="","",TRIM(INDEX($A328:$J328,$N$6)&amp;""))</f>
        <v>Bankwest</v>
      </c>
      <c r="O328" s="37" t="str">
        <f aca="false">IF($M328="","",TRIM(INDEX($A328:$J328,$O$6)&amp;""))</f>
        <v>Event Production</v>
      </c>
      <c r="P328" s="37" t="str">
        <f aca="false">IF($M328="","",IFERROR(IF(INDEX(Settings!$B$41:$B$50,MATCH(O328,Settings!$A$41:$A$50,0))&amp;""="","UNMAPPED",INDEX(Settings!$B$41:$B$50,MATCH(O328,Settings!$A$41:$A$50,0))&amp;""),"UNMAPPED"))</f>
        <v>Production</v>
      </c>
      <c r="Q328" s="38" t="n">
        <f aca="false">IF($M328="",0,N(INDEX($A328:$J328,$Q$6)))</f>
        <v>1060</v>
      </c>
      <c r="R328" s="39" t="n">
        <f aca="false">IF($M328="","",INDEX($A328:$J328,$R$6))</f>
        <v>46155</v>
      </c>
      <c r="S328" s="37" t="str">
        <f aca="false">IF($M328="","",IFERROR(INDEX(Settings!$B$27:$B$36,MATCH(L328,Settings!$A$27:$A$36,0))&amp;"","UNMAPPED"))</f>
        <v>Won</v>
      </c>
      <c r="T328" s="37" t="str">
        <f aca="false">IF($M328="","",IF(NOT(ISNUMBER(R328)),"NO DATE",IF(S328="Won",IF(R328&gt;Settings!$B$5,"Backlog","Delivered"),IF(S328="Open",IF(R328&gt;Settings!$B$5,"Pipeline","Overdue"),IF(S328="Lost","Lost","UNMAPPED")))))</f>
        <v>Delivered</v>
      </c>
      <c r="U328" s="40" t="n">
        <f aca="false">IF(T328="Backlog",1,IF(OR(T328="Pipeline",T328="Overdue"),N(INDEX(Settings!$C$27:$C$36,MATCH(L328,Settings!$A$27:$A$36,0))),0))</f>
        <v>0</v>
      </c>
      <c r="V328" s="38" t="n">
        <f aca="false">Q328*U328</f>
        <v>0</v>
      </c>
      <c r="W328" s="41" t="n">
        <f aca="false">IF($M328="","",IF(T328="Overdue",IF(Settings!$B$8="Yes",Settings!$B$7,""),IF(ISNUMBER(R328),DATE(YEAR(R328),MONTH(R328),1),"")))</f>
        <v>46143</v>
      </c>
      <c r="X328" s="38" t="n">
        <f aca="false">IF(AND(OR(T328="Backlog",T328="Pipeline",T328="Overdue"),ISNUMBER(W328)),IF(W328&lt;=Settings!$B$6,V328,0),0)</f>
        <v>0</v>
      </c>
      <c r="Y328" s="38" t="n">
        <f aca="false">IF(AND(OR(T328="Backlog",T328="Pipeline",T328="Overdue"),ISNUMBER(W328)),IF(W328&lt;=Settings!$B$6,Q328,0),0)</f>
        <v>0</v>
      </c>
      <c r="Z328" s="38" t="n">
        <f aca="false">IF(Y328=0,0,IF(T328="Backlog",Q328,Q328*Dashboard!$C$10))</f>
        <v>0</v>
      </c>
      <c r="AA328" s="37" t="n">
        <f aca="false">IF($N328="",0,IF(COUNTIF(Dashboard!$C$13:$C$22,$N328)&gt;0,1,0))</f>
        <v>0</v>
      </c>
      <c r="AB328" s="37" t="str">
        <f aca="false">IF($N328="","",IF(COUNTIF($N$8:$N328,$N328)=1,MAX($AB$7:$AB327)+1,""))</f>
        <v/>
      </c>
    </row>
    <row r="329" customFormat="false" ht="15" hidden="false" customHeight="false" outlineLevel="0" collapsed="false">
      <c r="B329" s="32" t="s">
        <v>871</v>
      </c>
      <c r="C329" s="32" t="s">
        <v>191</v>
      </c>
      <c r="D329" s="35" t="n">
        <v>2400</v>
      </c>
      <c r="E329" s="32" t="s">
        <v>145</v>
      </c>
      <c r="F329" s="36" t="n">
        <v>46203</v>
      </c>
      <c r="G329" s="32" t="s">
        <v>872</v>
      </c>
      <c r="L329" s="37" t="str">
        <f aca="false">IF(INDEX($A329:$J329,$L$6)&lt;&gt;"",TRIM(LEFT(INDEX($A329:$J329,$L$6),FIND("(",INDEX($A329:$J329,$L$6)&amp;"(")-1)),L328)</f>
        <v>Closed Won</v>
      </c>
      <c r="M329" s="37" t="str">
        <f aca="false">IF(INDEX($A329:$J329,$M$6)="","",INDEX($A329:$J329,$M$6)&amp;"")</f>
        <v>CBA - LES - June 2026</v>
      </c>
      <c r="N329" s="37" t="str">
        <f aca="false">IF($M329="","",TRIM(INDEX($A329:$J329,$N$6)&amp;""))</f>
        <v>Commonwealth Bank Australia (CBA)</v>
      </c>
      <c r="O329" s="37" t="str">
        <f aca="false">IF($M329="","",TRIM(INDEX($A329:$J329,$O$6)&amp;""))</f>
        <v>Event Production</v>
      </c>
      <c r="P329" s="37" t="str">
        <f aca="false">IF($M329="","",IFERROR(IF(INDEX(Settings!$B$41:$B$50,MATCH(O329,Settings!$A$41:$A$50,0))&amp;""="","UNMAPPED",INDEX(Settings!$B$41:$B$50,MATCH(O329,Settings!$A$41:$A$50,0))&amp;""),"UNMAPPED"))</f>
        <v>Production</v>
      </c>
      <c r="Q329" s="38" t="n">
        <f aca="false">IF($M329="",0,N(INDEX($A329:$J329,$Q$6)))</f>
        <v>2400</v>
      </c>
      <c r="R329" s="39" t="n">
        <f aca="false">IF($M329="","",INDEX($A329:$J329,$R$6))</f>
        <v>46203</v>
      </c>
      <c r="S329" s="37" t="str">
        <f aca="false">IF($M329="","",IFERROR(INDEX(Settings!$B$27:$B$36,MATCH(L329,Settings!$A$27:$A$36,0))&amp;"","UNMAPPED"))</f>
        <v>Won</v>
      </c>
      <c r="T329" s="37" t="str">
        <f aca="false">IF($M329="","",IF(NOT(ISNUMBER(R329)),"NO DATE",IF(S329="Won",IF(R329&gt;Settings!$B$5,"Backlog","Delivered"),IF(S329="Open",IF(R329&gt;Settings!$B$5,"Pipeline","Overdue"),IF(S329="Lost","Lost","UNMAPPED")))))</f>
        <v>Delivered</v>
      </c>
      <c r="U329" s="40" t="n">
        <f aca="false">IF(T329="Backlog",1,IF(OR(T329="Pipeline",T329="Overdue"),N(INDEX(Settings!$C$27:$C$36,MATCH(L329,Settings!$A$27:$A$36,0))),0))</f>
        <v>0</v>
      </c>
      <c r="V329" s="38" t="n">
        <f aca="false">Q329*U329</f>
        <v>0</v>
      </c>
      <c r="W329" s="41" t="n">
        <f aca="false">IF($M329="","",IF(T329="Overdue",IF(Settings!$B$8="Yes",Settings!$B$7,""),IF(ISNUMBER(R329),DATE(YEAR(R329),MONTH(R329),1),"")))</f>
        <v>46174</v>
      </c>
      <c r="X329" s="38" t="n">
        <f aca="false">IF(AND(OR(T329="Backlog",T329="Pipeline",T329="Overdue"),ISNUMBER(W329)),IF(W329&lt;=Settings!$B$6,V329,0),0)</f>
        <v>0</v>
      </c>
      <c r="Y329" s="38" t="n">
        <f aca="false">IF(AND(OR(T329="Backlog",T329="Pipeline",T329="Overdue"),ISNUMBER(W329)),IF(W329&lt;=Settings!$B$6,Q329,0),0)</f>
        <v>0</v>
      </c>
      <c r="Z329" s="38" t="n">
        <f aca="false">IF(Y329=0,0,IF(T329="Backlog",Q329,Q329*Dashboard!$C$10))</f>
        <v>0</v>
      </c>
      <c r="AA329" s="37" t="n">
        <f aca="false">IF($N329="",0,IF(COUNTIF(Dashboard!$C$13:$C$22,$N329)&gt;0,1,0))</f>
        <v>0</v>
      </c>
      <c r="AB329" s="37" t="str">
        <f aca="false">IF($N329="","",IF(COUNTIF($N$8:$N329,$N329)=1,MAX($AB$7:$AB328)+1,""))</f>
        <v/>
      </c>
    </row>
    <row r="330" customFormat="false" ht="15" hidden="false" customHeight="false" outlineLevel="0" collapsed="false">
      <c r="B330" s="32" t="s">
        <v>873</v>
      </c>
      <c r="C330" s="32" t="s">
        <v>160</v>
      </c>
      <c r="D330" s="35" t="n">
        <v>380</v>
      </c>
      <c r="E330" s="32" t="s">
        <v>145</v>
      </c>
      <c r="F330" s="36" t="n">
        <v>46233</v>
      </c>
      <c r="G330" s="32" t="s">
        <v>874</v>
      </c>
      <c r="L330" s="37" t="str">
        <f aca="false">IF(INDEX($A330:$J330,$L$6)&lt;&gt;"",TRIM(LEFT(INDEX($A330:$J330,$L$6),FIND("(",INDEX($A330:$J330,$L$6)&amp;"(")-1)),L329)</f>
        <v>Closed Won</v>
      </c>
      <c r="M330" s="37" t="str">
        <f aca="false">IF(INDEX($A330:$J330,$M$6)="","",INDEX($A330:$J330,$M$6)&amp;"")</f>
        <v>Elkiem - Studio Support - 25.8.26</v>
      </c>
      <c r="N330" s="37" t="str">
        <f aca="false">IF($M330="","",TRIM(INDEX($A330:$J330,$N$6)&amp;""))</f>
        <v>Elkiem</v>
      </c>
      <c r="O330" s="37" t="str">
        <f aca="false">IF($M330="","",TRIM(INDEX($A330:$J330,$O$6)&amp;""))</f>
        <v>Event Production</v>
      </c>
      <c r="P330" s="37" t="str">
        <f aca="false">IF($M330="","",IFERROR(IF(INDEX(Settings!$B$41:$B$50,MATCH(O330,Settings!$A$41:$A$50,0))&amp;""="","UNMAPPED",INDEX(Settings!$B$41:$B$50,MATCH(O330,Settings!$A$41:$A$50,0))&amp;""),"UNMAPPED"))</f>
        <v>Production</v>
      </c>
      <c r="Q330" s="38" t="n">
        <f aca="false">IF($M330="",0,N(INDEX($A330:$J330,$Q$6)))</f>
        <v>380</v>
      </c>
      <c r="R330" s="39" t="n">
        <f aca="false">IF($M330="","",INDEX($A330:$J330,$R$6))</f>
        <v>46233</v>
      </c>
      <c r="S330" s="37" t="str">
        <f aca="false">IF($M330="","",IFERROR(INDEX(Settings!$B$27:$B$36,MATCH(L330,Settings!$A$27:$A$36,0))&amp;"","UNMAPPED"))</f>
        <v>Won</v>
      </c>
      <c r="T330" s="37" t="str">
        <f aca="false">IF($M330="","",IF(NOT(ISNUMBER(R330)),"NO DATE",IF(S330="Won",IF(R330&gt;Settings!$B$5,"Backlog","Delivered"),IF(S330="Open",IF(R330&gt;Settings!$B$5,"Pipeline","Overdue"),IF(S330="Lost","Lost","UNMAPPED")))))</f>
        <v>Delivered</v>
      </c>
      <c r="U330" s="40" t="n">
        <f aca="false">IF(T330="Backlog",1,IF(OR(T330="Pipeline",T330="Overdue"),N(INDEX(Settings!$C$27:$C$36,MATCH(L330,Settings!$A$27:$A$36,0))),0))</f>
        <v>0</v>
      </c>
      <c r="V330" s="38" t="n">
        <f aca="false">Q330*U330</f>
        <v>0</v>
      </c>
      <c r="W330" s="41" t="n">
        <f aca="false">IF($M330="","",IF(T330="Overdue",IF(Settings!$B$8="Yes",Settings!$B$7,""),IF(ISNUMBER(R330),DATE(YEAR(R330),MONTH(R330),1),"")))</f>
        <v>46204</v>
      </c>
      <c r="X330" s="38" t="n">
        <f aca="false">IF(AND(OR(T330="Backlog",T330="Pipeline",T330="Overdue"),ISNUMBER(W330)),IF(W330&lt;=Settings!$B$6,V330,0),0)</f>
        <v>0</v>
      </c>
      <c r="Y330" s="38" t="n">
        <f aca="false">IF(AND(OR(T330="Backlog",T330="Pipeline",T330="Overdue"),ISNUMBER(W330)),IF(W330&lt;=Settings!$B$6,Q330,0),0)</f>
        <v>0</v>
      </c>
      <c r="Z330" s="38" t="n">
        <f aca="false">IF(Y330=0,0,IF(T330="Backlog",Q330,Q330*Dashboard!$C$10))</f>
        <v>0</v>
      </c>
      <c r="AA330" s="37" t="n">
        <f aca="false">IF($N330="",0,IF(COUNTIF(Dashboard!$C$13:$C$22,$N330)&gt;0,1,0))</f>
        <v>0</v>
      </c>
      <c r="AB330" s="37" t="str">
        <f aca="false">IF($N330="","",IF(COUNTIF($N$8:$N330,$N330)=1,MAX($AB$7:$AB329)+1,""))</f>
        <v/>
      </c>
    </row>
    <row r="331" customFormat="false" ht="15" hidden="false" customHeight="false" outlineLevel="0" collapsed="false">
      <c r="B331" s="32" t="s">
        <v>875</v>
      </c>
      <c r="C331" s="32" t="s">
        <v>169</v>
      </c>
      <c r="D331" s="35" t="n">
        <v>8600</v>
      </c>
      <c r="E331" s="32" t="s">
        <v>145</v>
      </c>
      <c r="F331" s="36" t="n">
        <v>45975</v>
      </c>
      <c r="G331" s="32" t="s">
        <v>876</v>
      </c>
      <c r="L331" s="37" t="str">
        <f aca="false">IF(INDEX($A331:$J331,$L$6)&lt;&gt;"",TRIM(LEFT(INDEX($A331:$J331,$L$6),FIND("(",INDEX($A331:$J331,$L$6)&amp;"(")-1)),L330)</f>
        <v>Closed Won</v>
      </c>
      <c r="M331" s="37" t="str">
        <f aca="false">IF(INDEX($A331:$J331,$M$6)="","",INDEX($A331:$J331,$M$6)&amp;"")</f>
        <v>Aust Wool Limited AGM - 14.11.25</v>
      </c>
      <c r="N331" s="37" t="str">
        <f aca="false">IF($M331="","",TRIM(INDEX($A331:$J331,$N$6)&amp;""))</f>
        <v>MUFG IR / Orient Capital</v>
      </c>
      <c r="O331" s="37" t="str">
        <f aca="false">IF($M331="","",TRIM(INDEX($A331:$J331,$O$6)&amp;""))</f>
        <v>Event Production</v>
      </c>
      <c r="P331" s="37" t="str">
        <f aca="false">IF($M331="","",IFERROR(IF(INDEX(Settings!$B$41:$B$50,MATCH(O331,Settings!$A$41:$A$50,0))&amp;""="","UNMAPPED",INDEX(Settings!$B$41:$B$50,MATCH(O331,Settings!$A$41:$A$50,0))&amp;""),"UNMAPPED"))</f>
        <v>Production</v>
      </c>
      <c r="Q331" s="38" t="n">
        <f aca="false">IF($M331="",0,N(INDEX($A331:$J331,$Q$6)))</f>
        <v>8600</v>
      </c>
      <c r="R331" s="39" t="n">
        <f aca="false">IF($M331="","",INDEX($A331:$J331,$R$6))</f>
        <v>45975</v>
      </c>
      <c r="S331" s="37" t="str">
        <f aca="false">IF($M331="","",IFERROR(INDEX(Settings!$B$27:$B$36,MATCH(L331,Settings!$A$27:$A$36,0))&amp;"","UNMAPPED"))</f>
        <v>Won</v>
      </c>
      <c r="T331" s="37" t="str">
        <f aca="false">IF($M331="","",IF(NOT(ISNUMBER(R331)),"NO DATE",IF(S331="Won",IF(R331&gt;Settings!$B$5,"Backlog","Delivered"),IF(S331="Open",IF(R331&gt;Settings!$B$5,"Pipeline","Overdue"),IF(S331="Lost","Lost","UNMAPPED")))))</f>
        <v>Delivered</v>
      </c>
      <c r="U331" s="40" t="n">
        <f aca="false">IF(T331="Backlog",1,IF(OR(T331="Pipeline",T331="Overdue"),N(INDEX(Settings!$C$27:$C$36,MATCH(L331,Settings!$A$27:$A$36,0))),0))</f>
        <v>0</v>
      </c>
      <c r="V331" s="38" t="n">
        <f aca="false">Q331*U331</f>
        <v>0</v>
      </c>
      <c r="W331" s="41" t="n">
        <f aca="false">IF($M331="","",IF(T331="Overdue",IF(Settings!$B$8="Yes",Settings!$B$7,""),IF(ISNUMBER(R331),DATE(YEAR(R331),MONTH(R331),1),"")))</f>
        <v>45962</v>
      </c>
      <c r="X331" s="38" t="n">
        <f aca="false">IF(AND(OR(T331="Backlog",T331="Pipeline",T331="Overdue"),ISNUMBER(W331)),IF(W331&lt;=Settings!$B$6,V331,0),0)</f>
        <v>0</v>
      </c>
      <c r="Y331" s="38" t="n">
        <f aca="false">IF(AND(OR(T331="Backlog",T331="Pipeline",T331="Overdue"),ISNUMBER(W331)),IF(W331&lt;=Settings!$B$6,Q331,0),0)</f>
        <v>0</v>
      </c>
      <c r="Z331" s="38" t="n">
        <f aca="false">IF(Y331=0,0,IF(T331="Backlog",Q331,Q331*Dashboard!$C$10))</f>
        <v>0</v>
      </c>
      <c r="AA331" s="37" t="n">
        <f aca="false">IF($N331="",0,IF(COUNTIF(Dashboard!$C$13:$C$22,$N331)&gt;0,1,0))</f>
        <v>0</v>
      </c>
      <c r="AB331" s="37" t="str">
        <f aca="false">IF($N331="","",IF(COUNTIF($N$8:$N331,$N331)=1,MAX($AB$7:$AB330)+1,""))</f>
        <v/>
      </c>
    </row>
    <row r="332" customFormat="false" ht="15" hidden="false" customHeight="false" outlineLevel="0" collapsed="false">
      <c r="B332" s="32" t="s">
        <v>877</v>
      </c>
      <c r="C332" s="32" t="s">
        <v>878</v>
      </c>
      <c r="D332" s="35" t="n">
        <v>6359</v>
      </c>
      <c r="E332" s="32" t="s">
        <v>141</v>
      </c>
      <c r="F332" s="36" t="n">
        <v>45853</v>
      </c>
      <c r="G332" s="32" t="s">
        <v>879</v>
      </c>
      <c r="L332" s="37" t="str">
        <f aca="false">IF(INDEX($A332:$J332,$L$6)&lt;&gt;"",TRIM(LEFT(INDEX($A332:$J332,$L$6),FIND("(",INDEX($A332:$J332,$L$6)&amp;"(")-1)),L331)</f>
        <v>Closed Won</v>
      </c>
      <c r="M332" s="37" t="str">
        <f aca="false">IF(INDEX($A332:$J332,$M$6)="","",INDEX($A332:$J332,$M$6)&amp;"")</f>
        <v>Microphone Supply</v>
      </c>
      <c r="N332" s="37" t="str">
        <f aca="false">IF($M332="","",TRIM(INDEX($A332:$J332,$N$6)&amp;""))</f>
        <v>JohnChae</v>
      </c>
      <c r="O332" s="37" t="str">
        <f aca="false">IF($M332="","",TRIM(INDEX($A332:$J332,$O$6)&amp;""))</f>
        <v>Integration</v>
      </c>
      <c r="P332" s="37" t="str">
        <f aca="false">IF($M332="","",IFERROR(IF(INDEX(Settings!$B$41:$B$50,MATCH(O332,Settings!$A$41:$A$50,0))&amp;""="","UNMAPPED",INDEX(Settings!$B$41:$B$50,MATCH(O332,Settings!$A$41:$A$50,0))&amp;""),"UNMAPPED"))</f>
        <v>Integration</v>
      </c>
      <c r="Q332" s="38" t="n">
        <f aca="false">IF($M332="",0,N(INDEX($A332:$J332,$Q$6)))</f>
        <v>6359</v>
      </c>
      <c r="R332" s="39" t="n">
        <f aca="false">IF($M332="","",INDEX($A332:$J332,$R$6))</f>
        <v>45853</v>
      </c>
      <c r="S332" s="37" t="str">
        <f aca="false">IF($M332="","",IFERROR(INDEX(Settings!$B$27:$B$36,MATCH(L332,Settings!$A$27:$A$36,0))&amp;"","UNMAPPED"))</f>
        <v>Won</v>
      </c>
      <c r="T332" s="37" t="str">
        <f aca="false">IF($M332="","",IF(NOT(ISNUMBER(R332)),"NO DATE",IF(S332="Won",IF(R332&gt;Settings!$B$5,"Backlog","Delivered"),IF(S332="Open",IF(R332&gt;Settings!$B$5,"Pipeline","Overdue"),IF(S332="Lost","Lost","UNMAPPED")))))</f>
        <v>Delivered</v>
      </c>
      <c r="U332" s="40" t="n">
        <f aca="false">IF(T332="Backlog",1,IF(OR(T332="Pipeline",T332="Overdue"),N(INDEX(Settings!$C$27:$C$36,MATCH(L332,Settings!$A$27:$A$36,0))),0))</f>
        <v>0</v>
      </c>
      <c r="V332" s="38" t="n">
        <f aca="false">Q332*U332</f>
        <v>0</v>
      </c>
      <c r="W332" s="41" t="n">
        <f aca="false">IF($M332="","",IF(T332="Overdue",IF(Settings!$B$8="Yes",Settings!$B$7,""),IF(ISNUMBER(R332),DATE(YEAR(R332),MONTH(R332),1),"")))</f>
        <v>45839</v>
      </c>
      <c r="X332" s="38" t="n">
        <f aca="false">IF(AND(OR(T332="Backlog",T332="Pipeline",T332="Overdue"),ISNUMBER(W332)),IF(W332&lt;=Settings!$B$6,V332,0),0)</f>
        <v>0</v>
      </c>
      <c r="Y332" s="38" t="n">
        <f aca="false">IF(AND(OR(T332="Backlog",T332="Pipeline",T332="Overdue"),ISNUMBER(W332)),IF(W332&lt;=Settings!$B$6,Q332,0),0)</f>
        <v>0</v>
      </c>
      <c r="Z332" s="38" t="n">
        <f aca="false">IF(Y332=0,0,IF(T332="Backlog",Q332,Q332*Dashboard!$C$10))</f>
        <v>0</v>
      </c>
      <c r="AA332" s="37" t="n">
        <f aca="false">IF($N332="",0,IF(COUNTIF(Dashboard!$C$13:$C$22,$N332)&gt;0,1,0))</f>
        <v>0</v>
      </c>
      <c r="AB332" s="37" t="n">
        <f aca="false">IF($N332="","",IF(COUNTIF($N$8:$N332,$N332)=1,MAX($AB$7:$AB331)+1,""))</f>
        <v>85</v>
      </c>
    </row>
    <row r="333" customFormat="false" ht="15" hidden="false" customHeight="false" outlineLevel="0" collapsed="false">
      <c r="B333" s="32" t="s">
        <v>880</v>
      </c>
      <c r="C333" s="32" t="s">
        <v>166</v>
      </c>
      <c r="D333" s="35" t="n">
        <v>1471</v>
      </c>
      <c r="E333" s="32" t="s">
        <v>141</v>
      </c>
      <c r="F333" s="36" t="n">
        <v>45945</v>
      </c>
      <c r="G333" s="32" t="s">
        <v>881</v>
      </c>
      <c r="L333" s="37" t="str">
        <f aca="false">IF(INDEX($A333:$J333,$L$6)&lt;&gt;"",TRIM(LEFT(INDEX($A333:$J333,$L$6),FIND("(",INDEX($A333:$J333,$L$6)&amp;"(")-1)),L332)</f>
        <v>Closed Won</v>
      </c>
      <c r="M333" s="37" t="str">
        <f aca="false">IF(INDEX($A333:$J333,$M$6)="","",INDEX($A333:$J333,$M$6)&amp;"")</f>
        <v>Reconstruction Authority Newcastle Desk Booking</v>
      </c>
      <c r="N333" s="37" t="str">
        <f aca="false">IF($M333="","",TRIM(INDEX($A333:$J333,$N$6)&amp;""))</f>
        <v>Property and Development NSW</v>
      </c>
      <c r="O333" s="37" t="str">
        <f aca="false">IF($M333="","",TRIM(INDEX($A333:$J333,$O$6)&amp;""))</f>
        <v>Integration</v>
      </c>
      <c r="P333" s="37" t="str">
        <f aca="false">IF($M333="","",IFERROR(IF(INDEX(Settings!$B$41:$B$50,MATCH(O333,Settings!$A$41:$A$50,0))&amp;""="","UNMAPPED",INDEX(Settings!$B$41:$B$50,MATCH(O333,Settings!$A$41:$A$50,0))&amp;""),"UNMAPPED"))</f>
        <v>Integration</v>
      </c>
      <c r="Q333" s="38" t="n">
        <f aca="false">IF($M333="",0,N(INDEX($A333:$J333,$Q$6)))</f>
        <v>1471</v>
      </c>
      <c r="R333" s="39" t="n">
        <f aca="false">IF($M333="","",INDEX($A333:$J333,$R$6))</f>
        <v>45945</v>
      </c>
      <c r="S333" s="37" t="str">
        <f aca="false">IF($M333="","",IFERROR(INDEX(Settings!$B$27:$B$36,MATCH(L333,Settings!$A$27:$A$36,0))&amp;"","UNMAPPED"))</f>
        <v>Won</v>
      </c>
      <c r="T333" s="37" t="str">
        <f aca="false">IF($M333="","",IF(NOT(ISNUMBER(R333)),"NO DATE",IF(S333="Won",IF(R333&gt;Settings!$B$5,"Backlog","Delivered"),IF(S333="Open",IF(R333&gt;Settings!$B$5,"Pipeline","Overdue"),IF(S333="Lost","Lost","UNMAPPED")))))</f>
        <v>Delivered</v>
      </c>
      <c r="U333" s="40" t="n">
        <f aca="false">IF(T333="Backlog",1,IF(OR(T333="Pipeline",T333="Overdue"),N(INDEX(Settings!$C$27:$C$36,MATCH(L333,Settings!$A$27:$A$36,0))),0))</f>
        <v>0</v>
      </c>
      <c r="V333" s="38" t="n">
        <f aca="false">Q333*U333</f>
        <v>0</v>
      </c>
      <c r="W333" s="41" t="n">
        <f aca="false">IF($M333="","",IF(T333="Overdue",IF(Settings!$B$8="Yes",Settings!$B$7,""),IF(ISNUMBER(R333),DATE(YEAR(R333),MONTH(R333),1),"")))</f>
        <v>45931</v>
      </c>
      <c r="X333" s="38" t="n">
        <f aca="false">IF(AND(OR(T333="Backlog",T333="Pipeline",T333="Overdue"),ISNUMBER(W333)),IF(W333&lt;=Settings!$B$6,V333,0),0)</f>
        <v>0</v>
      </c>
      <c r="Y333" s="38" t="n">
        <f aca="false">IF(AND(OR(T333="Backlog",T333="Pipeline",T333="Overdue"),ISNUMBER(W333)),IF(W333&lt;=Settings!$B$6,Q333,0),0)</f>
        <v>0</v>
      </c>
      <c r="Z333" s="38" t="n">
        <f aca="false">IF(Y333=0,0,IF(T333="Backlog",Q333,Q333*Dashboard!$C$10))</f>
        <v>0</v>
      </c>
      <c r="AA333" s="37" t="n">
        <f aca="false">IF($N333="",0,IF(COUNTIF(Dashboard!$C$13:$C$22,$N333)&gt;0,1,0))</f>
        <v>0</v>
      </c>
      <c r="AB333" s="37" t="str">
        <f aca="false">IF($N333="","",IF(COUNTIF($N$8:$N333,$N333)=1,MAX($AB$7:$AB332)+1,""))</f>
        <v/>
      </c>
    </row>
    <row r="334" customFormat="false" ht="15" hidden="false" customHeight="false" outlineLevel="0" collapsed="false">
      <c r="B334" s="32" t="s">
        <v>882</v>
      </c>
      <c r="C334" s="32" t="s">
        <v>191</v>
      </c>
      <c r="D334" s="35" t="n">
        <v>795</v>
      </c>
      <c r="E334" s="32" t="s">
        <v>145</v>
      </c>
      <c r="F334" s="36" t="n">
        <v>46198</v>
      </c>
      <c r="G334" s="32" t="s">
        <v>883</v>
      </c>
      <c r="L334" s="37" t="str">
        <f aca="false">IF(INDEX($A334:$J334,$L$6)&lt;&gt;"",TRIM(LEFT(INDEX($A334:$J334,$L$6),FIND("(",INDEX($A334:$J334,$L$6)&amp;"(")-1)),L333)</f>
        <v>Closed Won</v>
      </c>
      <c r="M334" s="37" t="str">
        <f aca="false">IF(INDEX($A334:$J334,$M$6)="","",INDEX($A334:$J334,$M$6)&amp;"")</f>
        <v>CBA - CommBank Private Hosting - 25.6.26</v>
      </c>
      <c r="N334" s="37" t="str">
        <f aca="false">IF($M334="","",TRIM(INDEX($A334:$J334,$N$6)&amp;""))</f>
        <v>Commonwealth Bank Australia (CBA)</v>
      </c>
      <c r="O334" s="37" t="str">
        <f aca="false">IF($M334="","",TRIM(INDEX($A334:$J334,$O$6)&amp;""))</f>
        <v>Event Production</v>
      </c>
      <c r="P334" s="37" t="str">
        <f aca="false">IF($M334="","",IFERROR(IF(INDEX(Settings!$B$41:$B$50,MATCH(O334,Settings!$A$41:$A$50,0))&amp;""="","UNMAPPED",INDEX(Settings!$B$41:$B$50,MATCH(O334,Settings!$A$41:$A$50,0))&amp;""),"UNMAPPED"))</f>
        <v>Production</v>
      </c>
      <c r="Q334" s="38" t="n">
        <f aca="false">IF($M334="",0,N(INDEX($A334:$J334,$Q$6)))</f>
        <v>795</v>
      </c>
      <c r="R334" s="39" t="n">
        <f aca="false">IF($M334="","",INDEX($A334:$J334,$R$6))</f>
        <v>46198</v>
      </c>
      <c r="S334" s="37" t="str">
        <f aca="false">IF($M334="","",IFERROR(INDEX(Settings!$B$27:$B$36,MATCH(L334,Settings!$A$27:$A$36,0))&amp;"","UNMAPPED"))</f>
        <v>Won</v>
      </c>
      <c r="T334" s="37" t="str">
        <f aca="false">IF($M334="","",IF(NOT(ISNUMBER(R334)),"NO DATE",IF(S334="Won",IF(R334&gt;Settings!$B$5,"Backlog","Delivered"),IF(S334="Open",IF(R334&gt;Settings!$B$5,"Pipeline","Overdue"),IF(S334="Lost","Lost","UNMAPPED")))))</f>
        <v>Delivered</v>
      </c>
      <c r="U334" s="40" t="n">
        <f aca="false">IF(T334="Backlog",1,IF(OR(T334="Pipeline",T334="Overdue"),N(INDEX(Settings!$C$27:$C$36,MATCH(L334,Settings!$A$27:$A$36,0))),0))</f>
        <v>0</v>
      </c>
      <c r="V334" s="38" t="n">
        <f aca="false">Q334*U334</f>
        <v>0</v>
      </c>
      <c r="W334" s="41" t="n">
        <f aca="false">IF($M334="","",IF(T334="Overdue",IF(Settings!$B$8="Yes",Settings!$B$7,""),IF(ISNUMBER(R334),DATE(YEAR(R334),MONTH(R334),1),"")))</f>
        <v>46174</v>
      </c>
      <c r="X334" s="38" t="n">
        <f aca="false">IF(AND(OR(T334="Backlog",T334="Pipeline",T334="Overdue"),ISNUMBER(W334)),IF(W334&lt;=Settings!$B$6,V334,0),0)</f>
        <v>0</v>
      </c>
      <c r="Y334" s="38" t="n">
        <f aca="false">IF(AND(OR(T334="Backlog",T334="Pipeline",T334="Overdue"),ISNUMBER(W334)),IF(W334&lt;=Settings!$B$6,Q334,0),0)</f>
        <v>0</v>
      </c>
      <c r="Z334" s="38" t="n">
        <f aca="false">IF(Y334=0,0,IF(T334="Backlog",Q334,Q334*Dashboard!$C$10))</f>
        <v>0</v>
      </c>
      <c r="AA334" s="37" t="n">
        <f aca="false">IF($N334="",0,IF(COUNTIF(Dashboard!$C$13:$C$22,$N334)&gt;0,1,0))</f>
        <v>0</v>
      </c>
      <c r="AB334" s="37" t="str">
        <f aca="false">IF($N334="","",IF(COUNTIF($N$8:$N334,$N334)=1,MAX($AB$7:$AB333)+1,""))</f>
        <v/>
      </c>
    </row>
    <row r="335" customFormat="false" ht="15" hidden="false" customHeight="false" outlineLevel="0" collapsed="false">
      <c r="B335" s="32" t="s">
        <v>884</v>
      </c>
      <c r="C335" s="32" t="s">
        <v>169</v>
      </c>
      <c r="D335" s="35" t="n">
        <v>38600</v>
      </c>
      <c r="E335" s="32" t="s">
        <v>145</v>
      </c>
      <c r="F335" s="36" t="n">
        <v>45960</v>
      </c>
      <c r="G335" s="32" t="s">
        <v>885</v>
      </c>
      <c r="L335" s="37" t="str">
        <f aca="false">IF(INDEX($A335:$J335,$L$6)&lt;&gt;"",TRIM(LEFT(INDEX($A335:$J335,$L$6),FIND("(",INDEX($A335:$J335,$L$6)&amp;"(")-1)),L334)</f>
        <v>Closed Won</v>
      </c>
      <c r="M335" s="37" t="str">
        <f aca="false">IF(INDEX($A335:$J335,$M$6)="","",INDEX($A335:$J335,$M$6)&amp;"")</f>
        <v>Suncorp Investor Day - 30.10.25</v>
      </c>
      <c r="N335" s="37" t="str">
        <f aca="false">IF($M335="","",TRIM(INDEX($A335:$J335,$N$6)&amp;""))</f>
        <v>MUFG IR / Orient Capital</v>
      </c>
      <c r="O335" s="37" t="str">
        <f aca="false">IF($M335="","",TRIM(INDEX($A335:$J335,$O$6)&amp;""))</f>
        <v>Event Production</v>
      </c>
      <c r="P335" s="37" t="str">
        <f aca="false">IF($M335="","",IFERROR(IF(INDEX(Settings!$B$41:$B$50,MATCH(O335,Settings!$A$41:$A$50,0))&amp;""="","UNMAPPED",INDEX(Settings!$B$41:$B$50,MATCH(O335,Settings!$A$41:$A$50,0))&amp;""),"UNMAPPED"))</f>
        <v>Production</v>
      </c>
      <c r="Q335" s="38" t="n">
        <f aca="false">IF($M335="",0,N(INDEX($A335:$J335,$Q$6)))</f>
        <v>38600</v>
      </c>
      <c r="R335" s="39" t="n">
        <f aca="false">IF($M335="","",INDEX($A335:$J335,$R$6))</f>
        <v>45960</v>
      </c>
      <c r="S335" s="37" t="str">
        <f aca="false">IF($M335="","",IFERROR(INDEX(Settings!$B$27:$B$36,MATCH(L335,Settings!$A$27:$A$36,0))&amp;"","UNMAPPED"))</f>
        <v>Won</v>
      </c>
      <c r="T335" s="37" t="str">
        <f aca="false">IF($M335="","",IF(NOT(ISNUMBER(R335)),"NO DATE",IF(S335="Won",IF(R335&gt;Settings!$B$5,"Backlog","Delivered"),IF(S335="Open",IF(R335&gt;Settings!$B$5,"Pipeline","Overdue"),IF(S335="Lost","Lost","UNMAPPED")))))</f>
        <v>Delivered</v>
      </c>
      <c r="U335" s="40" t="n">
        <f aca="false">IF(T335="Backlog",1,IF(OR(T335="Pipeline",T335="Overdue"),N(INDEX(Settings!$C$27:$C$36,MATCH(L335,Settings!$A$27:$A$36,0))),0))</f>
        <v>0</v>
      </c>
      <c r="V335" s="38" t="n">
        <f aca="false">Q335*U335</f>
        <v>0</v>
      </c>
      <c r="W335" s="41" t="n">
        <f aca="false">IF($M335="","",IF(T335="Overdue",IF(Settings!$B$8="Yes",Settings!$B$7,""),IF(ISNUMBER(R335),DATE(YEAR(R335),MONTH(R335),1),"")))</f>
        <v>45931</v>
      </c>
      <c r="X335" s="38" t="n">
        <f aca="false">IF(AND(OR(T335="Backlog",T335="Pipeline",T335="Overdue"),ISNUMBER(W335)),IF(W335&lt;=Settings!$B$6,V335,0),0)</f>
        <v>0</v>
      </c>
      <c r="Y335" s="38" t="n">
        <f aca="false">IF(AND(OR(T335="Backlog",T335="Pipeline",T335="Overdue"),ISNUMBER(W335)),IF(W335&lt;=Settings!$B$6,Q335,0),0)</f>
        <v>0</v>
      </c>
      <c r="Z335" s="38" t="n">
        <f aca="false">IF(Y335=0,0,IF(T335="Backlog",Q335,Q335*Dashboard!$C$10))</f>
        <v>0</v>
      </c>
      <c r="AA335" s="37" t="n">
        <f aca="false">IF($N335="",0,IF(COUNTIF(Dashboard!$C$13:$C$22,$N335)&gt;0,1,0))</f>
        <v>0</v>
      </c>
      <c r="AB335" s="37" t="str">
        <f aca="false">IF($N335="","",IF(COUNTIF($N$8:$N335,$N335)=1,MAX($AB$7:$AB334)+1,""))</f>
        <v/>
      </c>
    </row>
    <row r="336" customFormat="false" ht="15" hidden="false" customHeight="false" outlineLevel="0" collapsed="false">
      <c r="B336" s="32" t="s">
        <v>886</v>
      </c>
      <c r="C336" s="32" t="s">
        <v>154</v>
      </c>
      <c r="D336" s="35" t="n">
        <v>1350</v>
      </c>
      <c r="E336" s="32" t="s">
        <v>145</v>
      </c>
      <c r="F336" s="36" t="n">
        <v>45861</v>
      </c>
      <c r="G336" s="32" t="s">
        <v>887</v>
      </c>
      <c r="L336" s="37" t="str">
        <f aca="false">IF(INDEX($A336:$J336,$L$6)&lt;&gt;"",TRIM(LEFT(INDEX($A336:$J336,$L$6),FIND("(",INDEX($A336:$J336,$L$6)&amp;"(")-1)),L335)</f>
        <v>Closed Won</v>
      </c>
      <c r="M336" s="37" t="str">
        <f aca="false">IF(INDEX($A336:$J336,$M$6)="","",INDEX($A336:$J336,$M$6)&amp;"")</f>
        <v>PWC Firmwide Webcast 23.07.2025</v>
      </c>
      <c r="N336" s="37" t="str">
        <f aca="false">IF($M336="","",TRIM(INDEX($A336:$J336,$N$6)&amp;""))</f>
        <v>PWC</v>
      </c>
      <c r="O336" s="37" t="str">
        <f aca="false">IF($M336="","",TRIM(INDEX($A336:$J336,$O$6)&amp;""))</f>
        <v>Event Production</v>
      </c>
      <c r="P336" s="37" t="str">
        <f aca="false">IF($M336="","",IFERROR(IF(INDEX(Settings!$B$41:$B$50,MATCH(O336,Settings!$A$41:$A$50,0))&amp;""="","UNMAPPED",INDEX(Settings!$B$41:$B$50,MATCH(O336,Settings!$A$41:$A$50,0))&amp;""),"UNMAPPED"))</f>
        <v>Production</v>
      </c>
      <c r="Q336" s="38" t="n">
        <f aca="false">IF($M336="",0,N(INDEX($A336:$J336,$Q$6)))</f>
        <v>1350</v>
      </c>
      <c r="R336" s="39" t="n">
        <f aca="false">IF($M336="","",INDEX($A336:$J336,$R$6))</f>
        <v>45861</v>
      </c>
      <c r="S336" s="37" t="str">
        <f aca="false">IF($M336="","",IFERROR(INDEX(Settings!$B$27:$B$36,MATCH(L336,Settings!$A$27:$A$36,0))&amp;"","UNMAPPED"))</f>
        <v>Won</v>
      </c>
      <c r="T336" s="37" t="str">
        <f aca="false">IF($M336="","",IF(NOT(ISNUMBER(R336)),"NO DATE",IF(S336="Won",IF(R336&gt;Settings!$B$5,"Backlog","Delivered"),IF(S336="Open",IF(R336&gt;Settings!$B$5,"Pipeline","Overdue"),IF(S336="Lost","Lost","UNMAPPED")))))</f>
        <v>Delivered</v>
      </c>
      <c r="U336" s="40" t="n">
        <f aca="false">IF(T336="Backlog",1,IF(OR(T336="Pipeline",T336="Overdue"),N(INDEX(Settings!$C$27:$C$36,MATCH(L336,Settings!$A$27:$A$36,0))),0))</f>
        <v>0</v>
      </c>
      <c r="V336" s="38" t="n">
        <f aca="false">Q336*U336</f>
        <v>0</v>
      </c>
      <c r="W336" s="41" t="n">
        <f aca="false">IF($M336="","",IF(T336="Overdue",IF(Settings!$B$8="Yes",Settings!$B$7,""),IF(ISNUMBER(R336),DATE(YEAR(R336),MONTH(R336),1),"")))</f>
        <v>45839</v>
      </c>
      <c r="X336" s="38" t="n">
        <f aca="false">IF(AND(OR(T336="Backlog",T336="Pipeline",T336="Overdue"),ISNUMBER(W336)),IF(W336&lt;=Settings!$B$6,V336,0),0)</f>
        <v>0</v>
      </c>
      <c r="Y336" s="38" t="n">
        <f aca="false">IF(AND(OR(T336="Backlog",T336="Pipeline",T336="Overdue"),ISNUMBER(W336)),IF(W336&lt;=Settings!$B$6,Q336,0),0)</f>
        <v>0</v>
      </c>
      <c r="Z336" s="38" t="n">
        <f aca="false">IF(Y336=0,0,IF(T336="Backlog",Q336,Q336*Dashboard!$C$10))</f>
        <v>0</v>
      </c>
      <c r="AA336" s="37" t="n">
        <f aca="false">IF($N336="",0,IF(COUNTIF(Dashboard!$C$13:$C$22,$N336)&gt;0,1,0))</f>
        <v>0</v>
      </c>
      <c r="AB336" s="37" t="str">
        <f aca="false">IF($N336="","",IF(COUNTIF($N$8:$N336,$N336)=1,MAX($AB$7:$AB335)+1,""))</f>
        <v/>
      </c>
    </row>
    <row r="337" customFormat="false" ht="15" hidden="false" customHeight="false" outlineLevel="0" collapsed="false">
      <c r="B337" s="32" t="s">
        <v>888</v>
      </c>
      <c r="C337" s="32" t="s">
        <v>217</v>
      </c>
      <c r="D337" s="35" t="n">
        <v>865</v>
      </c>
      <c r="E337" s="32" t="s">
        <v>145</v>
      </c>
      <c r="F337" s="36" t="n">
        <v>46258</v>
      </c>
      <c r="G337" s="32" t="s">
        <v>889</v>
      </c>
      <c r="L337" s="37" t="str">
        <f aca="false">IF(INDEX($A337:$J337,$L$6)&lt;&gt;"",TRIM(LEFT(INDEX($A337:$J337,$L$6),FIND("(",INDEX($A337:$J337,$L$6)&amp;"(")-1)),L336)</f>
        <v>Closed Won</v>
      </c>
      <c r="M337" s="37" t="str">
        <f aca="false">IF(INDEX($A337:$J337,$M$6)="","",INDEX($A337:$J337,$M$6)&amp;"")</f>
        <v>Garvan - AllClear Program Meeting - 2.9.26</v>
      </c>
      <c r="N337" s="37" t="str">
        <f aca="false">IF($M337="","",TRIM(INDEX($A337:$J337,$N$6)&amp;""))</f>
        <v>Garvan Institute of Medical Research</v>
      </c>
      <c r="O337" s="37" t="str">
        <f aca="false">IF($M337="","",TRIM(INDEX($A337:$J337,$O$6)&amp;""))</f>
        <v>Event Production</v>
      </c>
      <c r="P337" s="37" t="str">
        <f aca="false">IF($M337="","",IFERROR(IF(INDEX(Settings!$B$41:$B$50,MATCH(O337,Settings!$A$41:$A$50,0))&amp;""="","UNMAPPED",INDEX(Settings!$B$41:$B$50,MATCH(O337,Settings!$A$41:$A$50,0))&amp;""),"UNMAPPED"))</f>
        <v>Production</v>
      </c>
      <c r="Q337" s="38" t="n">
        <f aca="false">IF($M337="",0,N(INDEX($A337:$J337,$Q$6)))</f>
        <v>865</v>
      </c>
      <c r="R337" s="39" t="n">
        <f aca="false">IF($M337="","",INDEX($A337:$J337,$R$6))</f>
        <v>46258</v>
      </c>
      <c r="S337" s="37" t="str">
        <f aca="false">IF($M337="","",IFERROR(INDEX(Settings!$B$27:$B$36,MATCH(L337,Settings!$A$27:$A$36,0))&amp;"","UNMAPPED"))</f>
        <v>Won</v>
      </c>
      <c r="T337" s="37" t="str">
        <f aca="false">IF($M337="","",IF(NOT(ISNUMBER(R337)),"NO DATE",IF(S337="Won",IF(R337&gt;Settings!$B$5,"Backlog","Delivered"),IF(S337="Open",IF(R337&gt;Settings!$B$5,"Pipeline","Overdue"),IF(S337="Lost","Lost","UNMAPPED")))))</f>
        <v>Delivered</v>
      </c>
      <c r="U337" s="40" t="n">
        <f aca="false">IF(T337="Backlog",1,IF(OR(T337="Pipeline",T337="Overdue"),N(INDEX(Settings!$C$27:$C$36,MATCH(L337,Settings!$A$27:$A$36,0))),0))</f>
        <v>0</v>
      </c>
      <c r="V337" s="38" t="n">
        <f aca="false">Q337*U337</f>
        <v>0</v>
      </c>
      <c r="W337" s="41" t="n">
        <f aca="false">IF($M337="","",IF(T337="Overdue",IF(Settings!$B$8="Yes",Settings!$B$7,""),IF(ISNUMBER(R337),DATE(YEAR(R337),MONTH(R337),1),"")))</f>
        <v>46235</v>
      </c>
      <c r="X337" s="38" t="n">
        <f aca="false">IF(AND(OR(T337="Backlog",T337="Pipeline",T337="Overdue"),ISNUMBER(W337)),IF(W337&lt;=Settings!$B$6,V337,0),0)</f>
        <v>0</v>
      </c>
      <c r="Y337" s="38" t="n">
        <f aca="false">IF(AND(OR(T337="Backlog",T337="Pipeline",T337="Overdue"),ISNUMBER(W337)),IF(W337&lt;=Settings!$B$6,Q337,0),0)</f>
        <v>0</v>
      </c>
      <c r="Z337" s="38" t="n">
        <f aca="false">IF(Y337=0,0,IF(T337="Backlog",Q337,Q337*Dashboard!$C$10))</f>
        <v>0</v>
      </c>
      <c r="AA337" s="37" t="n">
        <f aca="false">IF($N337="",0,IF(COUNTIF(Dashboard!$C$13:$C$22,$N337)&gt;0,1,0))</f>
        <v>0</v>
      </c>
      <c r="AB337" s="37" t="str">
        <f aca="false">IF($N337="","",IF(COUNTIF($N$8:$N337,$N337)=1,MAX($AB$7:$AB336)+1,""))</f>
        <v/>
      </c>
    </row>
    <row r="338" customFormat="false" ht="15" hidden="false" customHeight="false" outlineLevel="0" collapsed="false">
      <c r="B338" s="32" t="s">
        <v>890</v>
      </c>
      <c r="C338" s="32" t="s">
        <v>253</v>
      </c>
      <c r="D338" s="35" t="n">
        <v>1531</v>
      </c>
      <c r="E338" s="32" t="s">
        <v>145</v>
      </c>
      <c r="F338" s="36" t="n">
        <v>46001</v>
      </c>
      <c r="G338" s="32" t="s">
        <v>891</v>
      </c>
      <c r="L338" s="37" t="str">
        <f aca="false">IF(INDEX($A338:$J338,$L$6)&lt;&gt;"",TRIM(LEFT(INDEX($A338:$J338,$L$6),FIND("(",INDEX($A338:$J338,$L$6)&amp;"(")-1)),L337)</f>
        <v>Closed Won</v>
      </c>
      <c r="M338" s="37" t="str">
        <f aca="false">IF(INDEX($A338:$J338,$M$6)="","",INDEX($A338:$J338,$M$6)&amp;"")</f>
        <v>Business Committee (Remote)</v>
      </c>
      <c r="N338" s="37" t="str">
        <f aca="false">IF($M338="","",TRIM(INDEX($A338:$J338,$N$6)&amp;""))</f>
        <v>ASX Australian Securities Exchange</v>
      </c>
      <c r="O338" s="37" t="str">
        <f aca="false">IF($M338="","",TRIM(INDEX($A338:$J338,$O$6)&amp;""))</f>
        <v>Event Production</v>
      </c>
      <c r="P338" s="37" t="str">
        <f aca="false">IF($M338="","",IFERROR(IF(INDEX(Settings!$B$41:$B$50,MATCH(O338,Settings!$A$41:$A$50,0))&amp;""="","UNMAPPED",INDEX(Settings!$B$41:$B$50,MATCH(O338,Settings!$A$41:$A$50,0))&amp;""),"UNMAPPED"))</f>
        <v>Production</v>
      </c>
      <c r="Q338" s="38" t="n">
        <f aca="false">IF($M338="",0,N(INDEX($A338:$J338,$Q$6)))</f>
        <v>1531</v>
      </c>
      <c r="R338" s="39" t="n">
        <f aca="false">IF($M338="","",INDEX($A338:$J338,$R$6))</f>
        <v>46001</v>
      </c>
      <c r="S338" s="37" t="str">
        <f aca="false">IF($M338="","",IFERROR(INDEX(Settings!$B$27:$B$36,MATCH(L338,Settings!$A$27:$A$36,0))&amp;"","UNMAPPED"))</f>
        <v>Won</v>
      </c>
      <c r="T338" s="37" t="str">
        <f aca="false">IF($M338="","",IF(NOT(ISNUMBER(R338)),"NO DATE",IF(S338="Won",IF(R338&gt;Settings!$B$5,"Backlog","Delivered"),IF(S338="Open",IF(R338&gt;Settings!$B$5,"Pipeline","Overdue"),IF(S338="Lost","Lost","UNMAPPED")))))</f>
        <v>Delivered</v>
      </c>
      <c r="U338" s="40" t="n">
        <f aca="false">IF(T338="Backlog",1,IF(OR(T338="Pipeline",T338="Overdue"),N(INDEX(Settings!$C$27:$C$36,MATCH(L338,Settings!$A$27:$A$36,0))),0))</f>
        <v>0</v>
      </c>
      <c r="V338" s="38" t="n">
        <f aca="false">Q338*U338</f>
        <v>0</v>
      </c>
      <c r="W338" s="41" t="n">
        <f aca="false">IF($M338="","",IF(T338="Overdue",IF(Settings!$B$8="Yes",Settings!$B$7,""),IF(ISNUMBER(R338),DATE(YEAR(R338),MONTH(R338),1),"")))</f>
        <v>45992</v>
      </c>
      <c r="X338" s="38" t="n">
        <f aca="false">IF(AND(OR(T338="Backlog",T338="Pipeline",T338="Overdue"),ISNUMBER(W338)),IF(W338&lt;=Settings!$B$6,V338,0),0)</f>
        <v>0</v>
      </c>
      <c r="Y338" s="38" t="n">
        <f aca="false">IF(AND(OR(T338="Backlog",T338="Pipeline",T338="Overdue"),ISNUMBER(W338)),IF(W338&lt;=Settings!$B$6,Q338,0),0)</f>
        <v>0</v>
      </c>
      <c r="Z338" s="38" t="n">
        <f aca="false">IF(Y338=0,0,IF(T338="Backlog",Q338,Q338*Dashboard!$C$10))</f>
        <v>0</v>
      </c>
      <c r="AA338" s="37" t="n">
        <f aca="false">IF($N338="",0,IF(COUNTIF(Dashboard!$C$13:$C$22,$N338)&gt;0,1,0))</f>
        <v>0</v>
      </c>
      <c r="AB338" s="37" t="str">
        <f aca="false">IF($N338="","",IF(COUNTIF($N$8:$N338,$N338)=1,MAX($AB$7:$AB337)+1,""))</f>
        <v/>
      </c>
    </row>
    <row r="339" customFormat="false" ht="15" hidden="false" customHeight="false" outlineLevel="0" collapsed="false">
      <c r="B339" s="32" t="s">
        <v>892</v>
      </c>
      <c r="C339" s="32" t="s">
        <v>222</v>
      </c>
      <c r="D339" s="35" t="n">
        <v>11629</v>
      </c>
      <c r="E339" s="32" t="s">
        <v>145</v>
      </c>
      <c r="F339" s="36" t="n">
        <v>45890</v>
      </c>
      <c r="G339" s="32" t="s">
        <v>893</v>
      </c>
      <c r="L339" s="37" t="str">
        <f aca="false">IF(INDEX($A339:$J339,$L$6)&lt;&gt;"",TRIM(LEFT(INDEX($A339:$J339,$L$6),FIND("(",INDEX($A339:$J339,$L$6)&amp;"(")-1)),L338)</f>
        <v>Closed Won</v>
      </c>
      <c r="M339" s="37" t="str">
        <f aca="false">IF(INDEX($A339:$J339,$M$6)="","",INDEX($A339:$J339,$M$6)&amp;"")</f>
        <v>Downer FY Results Brief 21.8.25</v>
      </c>
      <c r="N339" s="37" t="str">
        <f aca="false">IF($M339="","",TRIM(INDEX($A339:$J339,$N$6)&amp;""))</f>
        <v>Downer EDI</v>
      </c>
      <c r="O339" s="37" t="str">
        <f aca="false">IF($M339="","",TRIM(INDEX($A339:$J339,$O$6)&amp;""))</f>
        <v>Event Production</v>
      </c>
      <c r="P339" s="37" t="str">
        <f aca="false">IF($M339="","",IFERROR(IF(INDEX(Settings!$B$41:$B$50,MATCH(O339,Settings!$A$41:$A$50,0))&amp;""="","UNMAPPED",INDEX(Settings!$B$41:$B$50,MATCH(O339,Settings!$A$41:$A$50,0))&amp;""),"UNMAPPED"))</f>
        <v>Production</v>
      </c>
      <c r="Q339" s="38" t="n">
        <f aca="false">IF($M339="",0,N(INDEX($A339:$J339,$Q$6)))</f>
        <v>11629</v>
      </c>
      <c r="R339" s="39" t="n">
        <f aca="false">IF($M339="","",INDEX($A339:$J339,$R$6))</f>
        <v>45890</v>
      </c>
      <c r="S339" s="37" t="str">
        <f aca="false">IF($M339="","",IFERROR(INDEX(Settings!$B$27:$B$36,MATCH(L339,Settings!$A$27:$A$36,0))&amp;"","UNMAPPED"))</f>
        <v>Won</v>
      </c>
      <c r="T339" s="37" t="str">
        <f aca="false">IF($M339="","",IF(NOT(ISNUMBER(R339)),"NO DATE",IF(S339="Won",IF(R339&gt;Settings!$B$5,"Backlog","Delivered"),IF(S339="Open",IF(R339&gt;Settings!$B$5,"Pipeline","Overdue"),IF(S339="Lost","Lost","UNMAPPED")))))</f>
        <v>Delivered</v>
      </c>
      <c r="U339" s="40" t="n">
        <f aca="false">IF(T339="Backlog",1,IF(OR(T339="Pipeline",T339="Overdue"),N(INDEX(Settings!$C$27:$C$36,MATCH(L339,Settings!$A$27:$A$36,0))),0))</f>
        <v>0</v>
      </c>
      <c r="V339" s="38" t="n">
        <f aca="false">Q339*U339</f>
        <v>0</v>
      </c>
      <c r="W339" s="41" t="n">
        <f aca="false">IF($M339="","",IF(T339="Overdue",IF(Settings!$B$8="Yes",Settings!$B$7,""),IF(ISNUMBER(R339),DATE(YEAR(R339),MONTH(R339),1),"")))</f>
        <v>45870</v>
      </c>
      <c r="X339" s="38" t="n">
        <f aca="false">IF(AND(OR(T339="Backlog",T339="Pipeline",T339="Overdue"),ISNUMBER(W339)),IF(W339&lt;=Settings!$B$6,V339,0),0)</f>
        <v>0</v>
      </c>
      <c r="Y339" s="38" t="n">
        <f aca="false">IF(AND(OR(T339="Backlog",T339="Pipeline",T339="Overdue"),ISNUMBER(W339)),IF(W339&lt;=Settings!$B$6,Q339,0),0)</f>
        <v>0</v>
      </c>
      <c r="Z339" s="38" t="n">
        <f aca="false">IF(Y339=0,0,IF(T339="Backlog",Q339,Q339*Dashboard!$C$10))</f>
        <v>0</v>
      </c>
      <c r="AA339" s="37" t="n">
        <f aca="false">IF($N339="",0,IF(COUNTIF(Dashboard!$C$13:$C$22,$N339)&gt;0,1,0))</f>
        <v>0</v>
      </c>
      <c r="AB339" s="37" t="str">
        <f aca="false">IF($N339="","",IF(COUNTIF($N$8:$N339,$N339)=1,MAX($AB$7:$AB338)+1,""))</f>
        <v/>
      </c>
    </row>
    <row r="340" customFormat="false" ht="15" hidden="false" customHeight="false" outlineLevel="0" collapsed="false">
      <c r="B340" s="32" t="s">
        <v>506</v>
      </c>
      <c r="C340" s="32" t="s">
        <v>154</v>
      </c>
      <c r="D340" s="35" t="n">
        <v>17000</v>
      </c>
      <c r="E340" s="32" t="s">
        <v>180</v>
      </c>
      <c r="F340" s="36" t="n">
        <v>46301</v>
      </c>
      <c r="G340" s="32" t="s">
        <v>894</v>
      </c>
      <c r="L340" s="37" t="str">
        <f aca="false">IF(INDEX($A340:$J340,$L$6)&lt;&gt;"",TRIM(LEFT(INDEX($A340:$J340,$L$6),FIND("(",INDEX($A340:$J340,$L$6)&amp;"(")-1)),L339)</f>
        <v>Closed Won</v>
      </c>
      <c r="M340" s="37" t="str">
        <f aca="false">IF(INDEX($A340:$J340,$M$6)="","",INDEX($A340:$J340,$M$6)&amp;"")</f>
        <v>Pool of Hours - National AV / IT Support</v>
      </c>
      <c r="N340" s="37" t="str">
        <f aca="false">IF($M340="","",TRIM(INDEX($A340:$J340,$N$6)&amp;""))</f>
        <v>PWC</v>
      </c>
      <c r="O340" s="37" t="str">
        <f aca="false">IF($M340="","",TRIM(INDEX($A340:$J340,$O$6)&amp;""))</f>
        <v>Support</v>
      </c>
      <c r="P340" s="37" t="str">
        <f aca="false">IF($M340="","",IFERROR(IF(INDEX(Settings!$B$41:$B$50,MATCH(O340,Settings!$A$41:$A$50,0))&amp;""="","UNMAPPED",INDEX(Settings!$B$41:$B$50,MATCH(O340,Settings!$A$41:$A$50,0))&amp;""),"UNMAPPED"))</f>
        <v>Onsite</v>
      </c>
      <c r="Q340" s="38" t="n">
        <f aca="false">IF($M340="",0,N(INDEX($A340:$J340,$Q$6)))</f>
        <v>17000</v>
      </c>
      <c r="R340" s="39" t="n">
        <f aca="false">IF($M340="","",INDEX($A340:$J340,$R$6))</f>
        <v>46301</v>
      </c>
      <c r="S340" s="37" t="str">
        <f aca="false">IF($M340="","",IFERROR(INDEX(Settings!$B$27:$B$36,MATCH(L340,Settings!$A$27:$A$36,0))&amp;"","UNMAPPED"))</f>
        <v>Won</v>
      </c>
      <c r="T340" s="37" t="str">
        <f aca="false">IF($M340="","",IF(NOT(ISNUMBER(R340)),"NO DATE",IF(S340="Won",IF(R340&gt;Settings!$B$5,"Backlog","Delivered"),IF(S340="Open",IF(R340&gt;Settings!$B$5,"Pipeline","Overdue"),IF(S340="Lost","Lost","UNMAPPED")))))</f>
        <v>Backlog</v>
      </c>
      <c r="U340" s="40" t="n">
        <f aca="false">IF(T340="Backlog",1,IF(OR(T340="Pipeline",T340="Overdue"),N(INDEX(Settings!$C$27:$C$36,MATCH(L340,Settings!$A$27:$A$36,0))),0))</f>
        <v>1</v>
      </c>
      <c r="V340" s="38" t="n">
        <f aca="false">Q340*U340</f>
        <v>17000</v>
      </c>
      <c r="W340" s="41" t="n">
        <f aca="false">IF($M340="","",IF(T340="Overdue",IF(Settings!$B$8="Yes",Settings!$B$7,""),IF(ISNUMBER(R340),DATE(YEAR(R340),MONTH(R340),1),"")))</f>
        <v>46296</v>
      </c>
      <c r="X340" s="38" t="n">
        <f aca="false">IF(AND(OR(T340="Backlog",T340="Pipeline",T340="Overdue"),ISNUMBER(W340)),IF(W340&lt;=Settings!$B$6,V340,0),0)</f>
        <v>17000</v>
      </c>
      <c r="Y340" s="38" t="n">
        <f aca="false">IF(AND(OR(T340="Backlog",T340="Pipeline",T340="Overdue"),ISNUMBER(W340)),IF(W340&lt;=Settings!$B$6,Q340,0),0)</f>
        <v>17000</v>
      </c>
      <c r="Z340" s="38" t="n">
        <f aca="false">IF(Y340=0,0,IF(T340="Backlog",Q340,Q340*Dashboard!$C$10))</f>
        <v>17000</v>
      </c>
      <c r="AA340" s="37" t="n">
        <f aca="false">IF($N340="",0,IF(COUNTIF(Dashboard!$C$13:$C$22,$N340)&gt;0,1,0))</f>
        <v>0</v>
      </c>
      <c r="AB340" s="37" t="str">
        <f aca="false">IF($N340="","",IF(COUNTIF($N$8:$N340,$N340)=1,MAX($AB$7:$AB339)+1,""))</f>
        <v/>
      </c>
    </row>
    <row r="341" customFormat="false" ht="15" hidden="false" customHeight="false" outlineLevel="0" collapsed="false">
      <c r="B341" s="32" t="s">
        <v>895</v>
      </c>
      <c r="C341" s="32" t="s">
        <v>253</v>
      </c>
      <c r="D341" s="35" t="n">
        <v>3424</v>
      </c>
      <c r="E341" s="32" t="s">
        <v>145</v>
      </c>
      <c r="F341" s="36" t="n">
        <v>45902</v>
      </c>
      <c r="G341" s="32" t="s">
        <v>896</v>
      </c>
      <c r="L341" s="37" t="str">
        <f aca="false">IF(INDEX($A341:$J341,$L$6)&lt;&gt;"",TRIM(LEFT(INDEX($A341:$J341,$L$6),FIND("(",INDEX($A341:$J341,$L$6)&amp;"(")-1)),L340)</f>
        <v>Closed Won</v>
      </c>
      <c r="M341" s="37" t="str">
        <f aca="false">IF(INDEX($A341:$J341,$M$6)="","",INDEX($A341:$J341,$M$6)&amp;"")</f>
        <v>CEO Connect 2.9.25</v>
      </c>
      <c r="N341" s="37" t="str">
        <f aca="false">IF($M341="","",TRIM(INDEX($A341:$J341,$N$6)&amp;""))</f>
        <v>ASX Australian Securities Exchange</v>
      </c>
      <c r="O341" s="37" t="str">
        <f aca="false">IF($M341="","",TRIM(INDEX($A341:$J341,$O$6)&amp;""))</f>
        <v>Event Production</v>
      </c>
      <c r="P341" s="37" t="str">
        <f aca="false">IF($M341="","",IFERROR(IF(INDEX(Settings!$B$41:$B$50,MATCH(O341,Settings!$A$41:$A$50,0))&amp;""="","UNMAPPED",INDEX(Settings!$B$41:$B$50,MATCH(O341,Settings!$A$41:$A$50,0))&amp;""),"UNMAPPED"))</f>
        <v>Production</v>
      </c>
      <c r="Q341" s="38" t="n">
        <f aca="false">IF($M341="",0,N(INDEX($A341:$J341,$Q$6)))</f>
        <v>3424</v>
      </c>
      <c r="R341" s="39" t="n">
        <f aca="false">IF($M341="","",INDEX($A341:$J341,$R$6))</f>
        <v>45902</v>
      </c>
      <c r="S341" s="37" t="str">
        <f aca="false">IF($M341="","",IFERROR(INDEX(Settings!$B$27:$B$36,MATCH(L341,Settings!$A$27:$A$36,0))&amp;"","UNMAPPED"))</f>
        <v>Won</v>
      </c>
      <c r="T341" s="37" t="str">
        <f aca="false">IF($M341="","",IF(NOT(ISNUMBER(R341)),"NO DATE",IF(S341="Won",IF(R341&gt;Settings!$B$5,"Backlog","Delivered"),IF(S341="Open",IF(R341&gt;Settings!$B$5,"Pipeline","Overdue"),IF(S341="Lost","Lost","UNMAPPED")))))</f>
        <v>Delivered</v>
      </c>
      <c r="U341" s="40" t="n">
        <f aca="false">IF(T341="Backlog",1,IF(OR(T341="Pipeline",T341="Overdue"),N(INDEX(Settings!$C$27:$C$36,MATCH(L341,Settings!$A$27:$A$36,0))),0))</f>
        <v>0</v>
      </c>
      <c r="V341" s="38" t="n">
        <f aca="false">Q341*U341</f>
        <v>0</v>
      </c>
      <c r="W341" s="41" t="n">
        <f aca="false">IF($M341="","",IF(T341="Overdue",IF(Settings!$B$8="Yes",Settings!$B$7,""),IF(ISNUMBER(R341),DATE(YEAR(R341),MONTH(R341),1),"")))</f>
        <v>45901</v>
      </c>
      <c r="X341" s="38" t="n">
        <f aca="false">IF(AND(OR(T341="Backlog",T341="Pipeline",T341="Overdue"),ISNUMBER(W341)),IF(W341&lt;=Settings!$B$6,V341,0),0)</f>
        <v>0</v>
      </c>
      <c r="Y341" s="38" t="n">
        <f aca="false">IF(AND(OR(T341="Backlog",T341="Pipeline",T341="Overdue"),ISNUMBER(W341)),IF(W341&lt;=Settings!$B$6,Q341,0),0)</f>
        <v>0</v>
      </c>
      <c r="Z341" s="38" t="n">
        <f aca="false">IF(Y341=0,0,IF(T341="Backlog",Q341,Q341*Dashboard!$C$10))</f>
        <v>0</v>
      </c>
      <c r="AA341" s="37" t="n">
        <f aca="false">IF($N341="",0,IF(COUNTIF(Dashboard!$C$13:$C$22,$N341)&gt;0,1,0))</f>
        <v>0</v>
      </c>
      <c r="AB341" s="37" t="str">
        <f aca="false">IF($N341="","",IF(COUNTIF($N$8:$N341,$N341)=1,MAX($AB$7:$AB340)+1,""))</f>
        <v/>
      </c>
    </row>
    <row r="342" customFormat="false" ht="15" hidden="false" customHeight="false" outlineLevel="0" collapsed="false">
      <c r="B342" s="32" t="s">
        <v>897</v>
      </c>
      <c r="C342" s="32" t="s">
        <v>898</v>
      </c>
      <c r="D342" s="35" t="n">
        <v>45909</v>
      </c>
      <c r="E342" s="32" t="s">
        <v>141</v>
      </c>
      <c r="F342" s="36" t="n">
        <v>46253</v>
      </c>
      <c r="G342" s="32" t="s">
        <v>899</v>
      </c>
      <c r="L342" s="37" t="str">
        <f aca="false">IF(INDEX($A342:$J342,$L$6)&lt;&gt;"",TRIM(LEFT(INDEX($A342:$J342,$L$6),FIND("(",INDEX($A342:$J342,$L$6)&amp;"(")-1)),L341)</f>
        <v>Closed Won</v>
      </c>
      <c r="M342" s="37" t="str">
        <f aca="false">IF(INDEX($A342:$J342,$M$6)="","",INDEX($A342:$J342,$M$6)&amp;"")</f>
        <v>HP-D3 | Austrac Phone Mods x100 - 26052102</v>
      </c>
      <c r="N342" s="37" t="str">
        <f aca="false">IF($M342="","",TRIM(INDEX($A342:$J342,$N$6)&amp;""))</f>
        <v>Data#3</v>
      </c>
      <c r="O342" s="37" t="str">
        <f aca="false">IF($M342="","",TRIM(INDEX($A342:$J342,$O$6)&amp;""))</f>
        <v>Integration</v>
      </c>
      <c r="P342" s="37" t="str">
        <f aca="false">IF($M342="","",IFERROR(IF(INDEX(Settings!$B$41:$B$50,MATCH(O342,Settings!$A$41:$A$50,0))&amp;""="","UNMAPPED",INDEX(Settings!$B$41:$B$50,MATCH(O342,Settings!$A$41:$A$50,0))&amp;""),"UNMAPPED"))</f>
        <v>Integration</v>
      </c>
      <c r="Q342" s="38" t="n">
        <f aca="false">IF($M342="",0,N(INDEX($A342:$J342,$Q$6)))</f>
        <v>45909</v>
      </c>
      <c r="R342" s="39" t="n">
        <f aca="false">IF($M342="","",INDEX($A342:$J342,$R$6))</f>
        <v>46253</v>
      </c>
      <c r="S342" s="37" t="str">
        <f aca="false">IF($M342="","",IFERROR(INDEX(Settings!$B$27:$B$36,MATCH(L342,Settings!$A$27:$A$36,0))&amp;"","UNMAPPED"))</f>
        <v>Won</v>
      </c>
      <c r="T342" s="37" t="str">
        <f aca="false">IF($M342="","",IF(NOT(ISNUMBER(R342)),"NO DATE",IF(S342="Won",IF(R342&gt;Settings!$B$5,"Backlog","Delivered"),IF(S342="Open",IF(R342&gt;Settings!$B$5,"Pipeline","Overdue"),IF(S342="Lost","Lost","UNMAPPED")))))</f>
        <v>Delivered</v>
      </c>
      <c r="U342" s="40" t="n">
        <f aca="false">IF(T342="Backlog",1,IF(OR(T342="Pipeline",T342="Overdue"),N(INDEX(Settings!$C$27:$C$36,MATCH(L342,Settings!$A$27:$A$36,0))),0))</f>
        <v>0</v>
      </c>
      <c r="V342" s="38" t="n">
        <f aca="false">Q342*U342</f>
        <v>0</v>
      </c>
      <c r="W342" s="41" t="n">
        <f aca="false">IF($M342="","",IF(T342="Overdue",IF(Settings!$B$8="Yes",Settings!$B$7,""),IF(ISNUMBER(R342),DATE(YEAR(R342),MONTH(R342),1),"")))</f>
        <v>46235</v>
      </c>
      <c r="X342" s="38" t="n">
        <f aca="false">IF(AND(OR(T342="Backlog",T342="Pipeline",T342="Overdue"),ISNUMBER(W342)),IF(W342&lt;=Settings!$B$6,V342,0),0)</f>
        <v>0</v>
      </c>
      <c r="Y342" s="38" t="n">
        <f aca="false">IF(AND(OR(T342="Backlog",T342="Pipeline",T342="Overdue"),ISNUMBER(W342)),IF(W342&lt;=Settings!$B$6,Q342,0),0)</f>
        <v>0</v>
      </c>
      <c r="Z342" s="38" t="n">
        <f aca="false">IF(Y342=0,0,IF(T342="Backlog",Q342,Q342*Dashboard!$C$10))</f>
        <v>0</v>
      </c>
      <c r="AA342" s="37" t="n">
        <f aca="false">IF($N342="",0,IF(COUNTIF(Dashboard!$C$13:$C$22,$N342)&gt;0,1,0))</f>
        <v>0</v>
      </c>
      <c r="AB342" s="37" t="n">
        <f aca="false">IF($N342="","",IF(COUNTIF($N$8:$N342,$N342)=1,MAX($AB$7:$AB341)+1,""))</f>
        <v>86</v>
      </c>
    </row>
    <row r="343" customFormat="false" ht="15" hidden="false" customHeight="false" outlineLevel="0" collapsed="false">
      <c r="B343" s="32" t="s">
        <v>900</v>
      </c>
      <c r="C343" s="32" t="s">
        <v>194</v>
      </c>
      <c r="D343" s="35" t="n">
        <v>10336</v>
      </c>
      <c r="E343" s="32" t="s">
        <v>145</v>
      </c>
      <c r="F343" s="36" t="n">
        <v>45883</v>
      </c>
      <c r="G343" s="32" t="s">
        <v>901</v>
      </c>
      <c r="L343" s="37" t="str">
        <f aca="false">IF(INDEX($A343:$J343,$L$6)&lt;&gt;"",TRIM(LEFT(INDEX($A343:$J343,$L$6),FIND("(",INDEX($A343:$J343,$L$6)&amp;"(")-1)),L342)</f>
        <v>Closed Won</v>
      </c>
      <c r="M343" s="37" t="str">
        <f aca="false">IF(INDEX($A343:$J343,$M$6)="","",INDEX($A343:$J343,$M$6)&amp;"")</f>
        <v>Ventia HY25 Results Brief 14.8.25</v>
      </c>
      <c r="N343" s="37" t="str">
        <f aca="false">IF($M343="","",TRIM(INDEX($A343:$J343,$N$6)&amp;""))</f>
        <v>Ventia</v>
      </c>
      <c r="O343" s="37" t="str">
        <f aca="false">IF($M343="","",TRIM(INDEX($A343:$J343,$O$6)&amp;""))</f>
        <v>Event Production</v>
      </c>
      <c r="P343" s="37" t="str">
        <f aca="false">IF($M343="","",IFERROR(IF(INDEX(Settings!$B$41:$B$50,MATCH(O343,Settings!$A$41:$A$50,0))&amp;""="","UNMAPPED",INDEX(Settings!$B$41:$B$50,MATCH(O343,Settings!$A$41:$A$50,0))&amp;""),"UNMAPPED"))</f>
        <v>Production</v>
      </c>
      <c r="Q343" s="38" t="n">
        <f aca="false">IF($M343="",0,N(INDEX($A343:$J343,$Q$6)))</f>
        <v>10336</v>
      </c>
      <c r="R343" s="39" t="n">
        <f aca="false">IF($M343="","",INDEX($A343:$J343,$R$6))</f>
        <v>45883</v>
      </c>
      <c r="S343" s="37" t="str">
        <f aca="false">IF($M343="","",IFERROR(INDEX(Settings!$B$27:$B$36,MATCH(L343,Settings!$A$27:$A$36,0))&amp;"","UNMAPPED"))</f>
        <v>Won</v>
      </c>
      <c r="T343" s="37" t="str">
        <f aca="false">IF($M343="","",IF(NOT(ISNUMBER(R343)),"NO DATE",IF(S343="Won",IF(R343&gt;Settings!$B$5,"Backlog","Delivered"),IF(S343="Open",IF(R343&gt;Settings!$B$5,"Pipeline","Overdue"),IF(S343="Lost","Lost","UNMAPPED")))))</f>
        <v>Delivered</v>
      </c>
      <c r="U343" s="40" t="n">
        <f aca="false">IF(T343="Backlog",1,IF(OR(T343="Pipeline",T343="Overdue"),N(INDEX(Settings!$C$27:$C$36,MATCH(L343,Settings!$A$27:$A$36,0))),0))</f>
        <v>0</v>
      </c>
      <c r="V343" s="38" t="n">
        <f aca="false">Q343*U343</f>
        <v>0</v>
      </c>
      <c r="W343" s="41" t="n">
        <f aca="false">IF($M343="","",IF(T343="Overdue",IF(Settings!$B$8="Yes",Settings!$B$7,""),IF(ISNUMBER(R343),DATE(YEAR(R343),MONTH(R343),1),"")))</f>
        <v>45870</v>
      </c>
      <c r="X343" s="38" t="n">
        <f aca="false">IF(AND(OR(T343="Backlog",T343="Pipeline",T343="Overdue"),ISNUMBER(W343)),IF(W343&lt;=Settings!$B$6,V343,0),0)</f>
        <v>0</v>
      </c>
      <c r="Y343" s="38" t="n">
        <f aca="false">IF(AND(OR(T343="Backlog",T343="Pipeline",T343="Overdue"),ISNUMBER(W343)),IF(W343&lt;=Settings!$B$6,Q343,0),0)</f>
        <v>0</v>
      </c>
      <c r="Z343" s="38" t="n">
        <f aca="false">IF(Y343=0,0,IF(T343="Backlog",Q343,Q343*Dashboard!$C$10))</f>
        <v>0</v>
      </c>
      <c r="AA343" s="37" t="n">
        <f aca="false">IF($N343="",0,IF(COUNTIF(Dashboard!$C$13:$C$22,$N343)&gt;0,1,0))</f>
        <v>0</v>
      </c>
      <c r="AB343" s="37" t="str">
        <f aca="false">IF($N343="","",IF(COUNTIF($N$8:$N343,$N343)=1,MAX($AB$7:$AB342)+1,""))</f>
        <v/>
      </c>
    </row>
    <row r="344" customFormat="false" ht="15" hidden="false" customHeight="false" outlineLevel="0" collapsed="false">
      <c r="B344" s="32" t="s">
        <v>902</v>
      </c>
      <c r="C344" s="32" t="s">
        <v>160</v>
      </c>
      <c r="D344" s="35" t="n">
        <v>380</v>
      </c>
      <c r="E344" s="32" t="s">
        <v>145</v>
      </c>
      <c r="F344" s="36" t="n">
        <v>46243</v>
      </c>
      <c r="G344" s="32" t="s">
        <v>903</v>
      </c>
      <c r="L344" s="37" t="str">
        <f aca="false">IF(INDEX($A344:$J344,$L$6)&lt;&gt;"",TRIM(LEFT(INDEX($A344:$J344,$L$6),FIND("(",INDEX($A344:$J344,$L$6)&amp;"(")-1)),L343)</f>
        <v>Closed Won</v>
      </c>
      <c r="M344" s="37" t="str">
        <f aca="false">IF(INDEX($A344:$J344,$M$6)="","",INDEX($A344:$J344,$M$6)&amp;"")</f>
        <v>Elkeim - Studio Support - 10.9.26</v>
      </c>
      <c r="N344" s="37" t="str">
        <f aca="false">IF($M344="","",TRIM(INDEX($A344:$J344,$N$6)&amp;""))</f>
        <v>Elkiem</v>
      </c>
      <c r="O344" s="37" t="str">
        <f aca="false">IF($M344="","",TRIM(INDEX($A344:$J344,$O$6)&amp;""))</f>
        <v>Event Production</v>
      </c>
      <c r="P344" s="37" t="str">
        <f aca="false">IF($M344="","",IFERROR(IF(INDEX(Settings!$B$41:$B$50,MATCH(O344,Settings!$A$41:$A$50,0))&amp;""="","UNMAPPED",INDEX(Settings!$B$41:$B$50,MATCH(O344,Settings!$A$41:$A$50,0))&amp;""),"UNMAPPED"))</f>
        <v>Production</v>
      </c>
      <c r="Q344" s="38" t="n">
        <f aca="false">IF($M344="",0,N(INDEX($A344:$J344,$Q$6)))</f>
        <v>380</v>
      </c>
      <c r="R344" s="39" t="n">
        <f aca="false">IF($M344="","",INDEX($A344:$J344,$R$6))</f>
        <v>46243</v>
      </c>
      <c r="S344" s="37" t="str">
        <f aca="false">IF($M344="","",IFERROR(INDEX(Settings!$B$27:$B$36,MATCH(L344,Settings!$A$27:$A$36,0))&amp;"","UNMAPPED"))</f>
        <v>Won</v>
      </c>
      <c r="T344" s="37" t="str">
        <f aca="false">IF($M344="","",IF(NOT(ISNUMBER(R344)),"NO DATE",IF(S344="Won",IF(R344&gt;Settings!$B$5,"Backlog","Delivered"),IF(S344="Open",IF(R344&gt;Settings!$B$5,"Pipeline","Overdue"),IF(S344="Lost","Lost","UNMAPPED")))))</f>
        <v>Delivered</v>
      </c>
      <c r="U344" s="40" t="n">
        <f aca="false">IF(T344="Backlog",1,IF(OR(T344="Pipeline",T344="Overdue"),N(INDEX(Settings!$C$27:$C$36,MATCH(L344,Settings!$A$27:$A$36,0))),0))</f>
        <v>0</v>
      </c>
      <c r="V344" s="38" t="n">
        <f aca="false">Q344*U344</f>
        <v>0</v>
      </c>
      <c r="W344" s="41" t="n">
        <f aca="false">IF($M344="","",IF(T344="Overdue",IF(Settings!$B$8="Yes",Settings!$B$7,""),IF(ISNUMBER(R344),DATE(YEAR(R344),MONTH(R344),1),"")))</f>
        <v>46235</v>
      </c>
      <c r="X344" s="38" t="n">
        <f aca="false">IF(AND(OR(T344="Backlog",T344="Pipeline",T344="Overdue"),ISNUMBER(W344)),IF(W344&lt;=Settings!$B$6,V344,0),0)</f>
        <v>0</v>
      </c>
      <c r="Y344" s="38" t="n">
        <f aca="false">IF(AND(OR(T344="Backlog",T344="Pipeline",T344="Overdue"),ISNUMBER(W344)),IF(W344&lt;=Settings!$B$6,Q344,0),0)</f>
        <v>0</v>
      </c>
      <c r="Z344" s="38" t="n">
        <f aca="false">IF(Y344=0,0,IF(T344="Backlog",Q344,Q344*Dashboard!$C$10))</f>
        <v>0</v>
      </c>
      <c r="AA344" s="37" t="n">
        <f aca="false">IF($N344="",0,IF(COUNTIF(Dashboard!$C$13:$C$22,$N344)&gt;0,1,0))</f>
        <v>0</v>
      </c>
      <c r="AB344" s="37" t="str">
        <f aca="false">IF($N344="","",IF(COUNTIF($N$8:$N344,$N344)=1,MAX($AB$7:$AB343)+1,""))</f>
        <v/>
      </c>
    </row>
    <row r="345" customFormat="false" ht="15" hidden="false" customHeight="false" outlineLevel="0" collapsed="false">
      <c r="B345" s="32" t="s">
        <v>904</v>
      </c>
      <c r="C345" s="32" t="s">
        <v>154</v>
      </c>
      <c r="D345" s="35" t="n">
        <v>1650</v>
      </c>
      <c r="E345" s="32" t="s">
        <v>145</v>
      </c>
      <c r="F345" s="36" t="n">
        <v>46237</v>
      </c>
      <c r="G345" s="32" t="s">
        <v>905</v>
      </c>
      <c r="L345" s="37" t="str">
        <f aca="false">IF(INDEX($A345:$J345,$L$6)&lt;&gt;"",TRIM(LEFT(INDEX($A345:$J345,$L$6),FIND("(",INDEX($A345:$J345,$L$6)&amp;"(")-1)),L344)</f>
        <v>Closed Won</v>
      </c>
      <c r="M345" s="37" t="str">
        <f aca="false">IF(INDEX($A345:$J345,$M$6)="","",INDEX($A345:$J345,$M$6)&amp;"")</f>
        <v>PwC - AI Townhall - 6.8.26</v>
      </c>
      <c r="N345" s="37" t="str">
        <f aca="false">IF($M345="","",TRIM(INDEX($A345:$J345,$N$6)&amp;""))</f>
        <v>PWC</v>
      </c>
      <c r="O345" s="37" t="str">
        <f aca="false">IF($M345="","",TRIM(INDEX($A345:$J345,$O$6)&amp;""))</f>
        <v>Event Production</v>
      </c>
      <c r="P345" s="37" t="str">
        <f aca="false">IF($M345="","",IFERROR(IF(INDEX(Settings!$B$41:$B$50,MATCH(O345,Settings!$A$41:$A$50,0))&amp;""="","UNMAPPED",INDEX(Settings!$B$41:$B$50,MATCH(O345,Settings!$A$41:$A$50,0))&amp;""),"UNMAPPED"))</f>
        <v>Production</v>
      </c>
      <c r="Q345" s="38" t="n">
        <f aca="false">IF($M345="",0,N(INDEX($A345:$J345,$Q$6)))</f>
        <v>1650</v>
      </c>
      <c r="R345" s="39" t="n">
        <f aca="false">IF($M345="","",INDEX($A345:$J345,$R$6))</f>
        <v>46237</v>
      </c>
      <c r="S345" s="37" t="str">
        <f aca="false">IF($M345="","",IFERROR(INDEX(Settings!$B$27:$B$36,MATCH(L345,Settings!$A$27:$A$36,0))&amp;"","UNMAPPED"))</f>
        <v>Won</v>
      </c>
      <c r="T345" s="37" t="str">
        <f aca="false">IF($M345="","",IF(NOT(ISNUMBER(R345)),"NO DATE",IF(S345="Won",IF(R345&gt;Settings!$B$5,"Backlog","Delivered"),IF(S345="Open",IF(R345&gt;Settings!$B$5,"Pipeline","Overdue"),IF(S345="Lost","Lost","UNMAPPED")))))</f>
        <v>Delivered</v>
      </c>
      <c r="U345" s="40" t="n">
        <f aca="false">IF(T345="Backlog",1,IF(OR(T345="Pipeline",T345="Overdue"),N(INDEX(Settings!$C$27:$C$36,MATCH(L345,Settings!$A$27:$A$36,0))),0))</f>
        <v>0</v>
      </c>
      <c r="V345" s="38" t="n">
        <f aca="false">Q345*U345</f>
        <v>0</v>
      </c>
      <c r="W345" s="41" t="n">
        <f aca="false">IF($M345="","",IF(T345="Overdue",IF(Settings!$B$8="Yes",Settings!$B$7,""),IF(ISNUMBER(R345),DATE(YEAR(R345),MONTH(R345),1),"")))</f>
        <v>46235</v>
      </c>
      <c r="X345" s="38" t="n">
        <f aca="false">IF(AND(OR(T345="Backlog",T345="Pipeline",T345="Overdue"),ISNUMBER(W345)),IF(W345&lt;=Settings!$B$6,V345,0),0)</f>
        <v>0</v>
      </c>
      <c r="Y345" s="38" t="n">
        <f aca="false">IF(AND(OR(T345="Backlog",T345="Pipeline",T345="Overdue"),ISNUMBER(W345)),IF(W345&lt;=Settings!$B$6,Q345,0),0)</f>
        <v>0</v>
      </c>
      <c r="Z345" s="38" t="n">
        <f aca="false">IF(Y345=0,0,IF(T345="Backlog",Q345,Q345*Dashboard!$C$10))</f>
        <v>0</v>
      </c>
      <c r="AA345" s="37" t="n">
        <f aca="false">IF($N345="",0,IF(COUNTIF(Dashboard!$C$13:$C$22,$N345)&gt;0,1,0))</f>
        <v>0</v>
      </c>
      <c r="AB345" s="37" t="str">
        <f aca="false">IF($N345="","",IF(COUNTIF($N$8:$N345,$N345)=1,MAX($AB$7:$AB344)+1,""))</f>
        <v/>
      </c>
    </row>
    <row r="346" customFormat="false" ht="15" hidden="false" customHeight="false" outlineLevel="0" collapsed="false">
      <c r="B346" s="32" t="s">
        <v>906</v>
      </c>
      <c r="C346" s="32" t="s">
        <v>850</v>
      </c>
      <c r="D346" s="35" t="n">
        <v>5131</v>
      </c>
      <c r="E346" s="32" t="s">
        <v>141</v>
      </c>
      <c r="F346" s="36" t="n">
        <v>45870</v>
      </c>
      <c r="G346" s="32" t="s">
        <v>907</v>
      </c>
      <c r="L346" s="37" t="str">
        <f aca="false">IF(INDEX($A346:$J346,$L$6)&lt;&gt;"",TRIM(LEFT(INDEX($A346:$J346,$L$6),FIND("(",INDEX($A346:$J346,$L$6)&amp;"(")-1)),L345)</f>
        <v>Closed Won</v>
      </c>
      <c r="M346" s="37" t="str">
        <f aca="false">IF(INDEX($A346:$J346,$M$6)="","",INDEX($A346:$J346,$M$6)&amp;"")</f>
        <v>Airmedia Supply</v>
      </c>
      <c r="N346" s="37" t="str">
        <f aca="false">IF($M346="","",TRIM(INDEX($A346:$J346,$N$6)&amp;""))</f>
        <v>Hills Grammar</v>
      </c>
      <c r="O346" s="37" t="str">
        <f aca="false">IF($M346="","",TRIM(INDEX($A346:$J346,$O$6)&amp;""))</f>
        <v>Integration</v>
      </c>
      <c r="P346" s="37" t="str">
        <f aca="false">IF($M346="","",IFERROR(IF(INDEX(Settings!$B$41:$B$50,MATCH(O346,Settings!$A$41:$A$50,0))&amp;""="","UNMAPPED",INDEX(Settings!$B$41:$B$50,MATCH(O346,Settings!$A$41:$A$50,0))&amp;""),"UNMAPPED"))</f>
        <v>Integration</v>
      </c>
      <c r="Q346" s="38" t="n">
        <f aca="false">IF($M346="",0,N(INDEX($A346:$J346,$Q$6)))</f>
        <v>5131</v>
      </c>
      <c r="R346" s="39" t="n">
        <f aca="false">IF($M346="","",INDEX($A346:$J346,$R$6))</f>
        <v>45870</v>
      </c>
      <c r="S346" s="37" t="str">
        <f aca="false">IF($M346="","",IFERROR(INDEX(Settings!$B$27:$B$36,MATCH(L346,Settings!$A$27:$A$36,0))&amp;"","UNMAPPED"))</f>
        <v>Won</v>
      </c>
      <c r="T346" s="37" t="str">
        <f aca="false">IF($M346="","",IF(NOT(ISNUMBER(R346)),"NO DATE",IF(S346="Won",IF(R346&gt;Settings!$B$5,"Backlog","Delivered"),IF(S346="Open",IF(R346&gt;Settings!$B$5,"Pipeline","Overdue"),IF(S346="Lost","Lost","UNMAPPED")))))</f>
        <v>Delivered</v>
      </c>
      <c r="U346" s="40" t="n">
        <f aca="false">IF(T346="Backlog",1,IF(OR(T346="Pipeline",T346="Overdue"),N(INDEX(Settings!$C$27:$C$36,MATCH(L346,Settings!$A$27:$A$36,0))),0))</f>
        <v>0</v>
      </c>
      <c r="V346" s="38" t="n">
        <f aca="false">Q346*U346</f>
        <v>0</v>
      </c>
      <c r="W346" s="41" t="n">
        <f aca="false">IF($M346="","",IF(T346="Overdue",IF(Settings!$B$8="Yes",Settings!$B$7,""),IF(ISNUMBER(R346),DATE(YEAR(R346),MONTH(R346),1),"")))</f>
        <v>45870</v>
      </c>
      <c r="X346" s="38" t="n">
        <f aca="false">IF(AND(OR(T346="Backlog",T346="Pipeline",T346="Overdue"),ISNUMBER(W346)),IF(W346&lt;=Settings!$B$6,V346,0),0)</f>
        <v>0</v>
      </c>
      <c r="Y346" s="38" t="n">
        <f aca="false">IF(AND(OR(T346="Backlog",T346="Pipeline",T346="Overdue"),ISNUMBER(W346)),IF(W346&lt;=Settings!$B$6,Q346,0),0)</f>
        <v>0</v>
      </c>
      <c r="Z346" s="38" t="n">
        <f aca="false">IF(Y346=0,0,IF(T346="Backlog",Q346,Q346*Dashboard!$C$10))</f>
        <v>0</v>
      </c>
      <c r="AA346" s="37" t="n">
        <f aca="false">IF($N346="",0,IF(COUNTIF(Dashboard!$C$13:$C$22,$N346)&gt;0,1,0))</f>
        <v>0</v>
      </c>
      <c r="AB346" s="37" t="str">
        <f aca="false">IF($N346="","",IF(COUNTIF($N$8:$N346,$N346)=1,MAX($AB$7:$AB345)+1,""))</f>
        <v/>
      </c>
    </row>
    <row r="347" customFormat="false" ht="15" hidden="false" customHeight="false" outlineLevel="0" collapsed="false">
      <c r="B347" s="32" t="s">
        <v>908</v>
      </c>
      <c r="C347" s="32" t="s">
        <v>847</v>
      </c>
      <c r="D347" s="35" t="n">
        <v>1303</v>
      </c>
      <c r="E347" s="32" t="s">
        <v>145</v>
      </c>
      <c r="F347" s="36" t="n">
        <v>46274</v>
      </c>
      <c r="G347" s="32" t="s">
        <v>909</v>
      </c>
      <c r="L347" s="37" t="str">
        <f aca="false">IF(INDEX($A347:$J347,$L$6)&lt;&gt;"",TRIM(LEFT(INDEX($A347:$J347,$L$6),FIND("(",INDEX($A347:$J347,$L$6)&amp;"(")-1)),L346)</f>
        <v>Closed Won</v>
      </c>
      <c r="M347" s="37" t="str">
        <f aca="false">IF(INDEX($A347:$J347,$M$6)="","",INDEX($A347:$J347,$M$6)&amp;"")</f>
        <v>ART - AMM Captioning - 25.11.26</v>
      </c>
      <c r="N347" s="37" t="str">
        <f aca="false">IF($M347="","",TRIM(INDEX($A347:$J347,$N$6)&amp;""))</f>
        <v>Australian Retirement Trust</v>
      </c>
      <c r="O347" s="37" t="str">
        <f aca="false">IF($M347="","",TRIM(INDEX($A347:$J347,$O$6)&amp;""))</f>
        <v>Event Production</v>
      </c>
      <c r="P347" s="37" t="str">
        <f aca="false">IF($M347="","",IFERROR(IF(INDEX(Settings!$B$41:$B$50,MATCH(O347,Settings!$A$41:$A$50,0))&amp;""="","UNMAPPED",INDEX(Settings!$B$41:$B$50,MATCH(O347,Settings!$A$41:$A$50,0))&amp;""),"UNMAPPED"))</f>
        <v>Production</v>
      </c>
      <c r="Q347" s="38" t="n">
        <f aca="false">IF($M347="",0,N(INDEX($A347:$J347,$Q$6)))</f>
        <v>1303</v>
      </c>
      <c r="R347" s="39" t="n">
        <f aca="false">IF($M347="","",INDEX($A347:$J347,$R$6))</f>
        <v>46274</v>
      </c>
      <c r="S347" s="37" t="str">
        <f aca="false">IF($M347="","",IFERROR(INDEX(Settings!$B$27:$B$36,MATCH(L347,Settings!$A$27:$A$36,0))&amp;"","UNMAPPED"))</f>
        <v>Won</v>
      </c>
      <c r="T347" s="37" t="str">
        <f aca="false">IF($M347="","",IF(NOT(ISNUMBER(R347)),"NO DATE",IF(S347="Won",IF(R347&gt;Settings!$B$5,"Backlog","Delivered"),IF(S347="Open",IF(R347&gt;Settings!$B$5,"Pipeline","Overdue"),IF(S347="Lost","Lost","UNMAPPED")))))</f>
        <v>Delivered</v>
      </c>
      <c r="U347" s="40" t="n">
        <f aca="false">IF(T347="Backlog",1,IF(OR(T347="Pipeline",T347="Overdue"),N(INDEX(Settings!$C$27:$C$36,MATCH(L347,Settings!$A$27:$A$36,0))),0))</f>
        <v>0</v>
      </c>
      <c r="V347" s="38" t="n">
        <f aca="false">Q347*U347</f>
        <v>0</v>
      </c>
      <c r="W347" s="41" t="n">
        <f aca="false">IF($M347="","",IF(T347="Overdue",IF(Settings!$B$8="Yes",Settings!$B$7,""),IF(ISNUMBER(R347),DATE(YEAR(R347),MONTH(R347),1),"")))</f>
        <v>46266</v>
      </c>
      <c r="X347" s="38" t="n">
        <f aca="false">IF(AND(OR(T347="Backlog",T347="Pipeline",T347="Overdue"),ISNUMBER(W347)),IF(W347&lt;=Settings!$B$6,V347,0),0)</f>
        <v>0</v>
      </c>
      <c r="Y347" s="38" t="n">
        <f aca="false">IF(AND(OR(T347="Backlog",T347="Pipeline",T347="Overdue"),ISNUMBER(W347)),IF(W347&lt;=Settings!$B$6,Q347,0),0)</f>
        <v>0</v>
      </c>
      <c r="Z347" s="38" t="n">
        <f aca="false">IF(Y347=0,0,IF(T347="Backlog",Q347,Q347*Dashboard!$C$10))</f>
        <v>0</v>
      </c>
      <c r="AA347" s="37" t="n">
        <f aca="false">IF($N347="",0,IF(COUNTIF(Dashboard!$C$13:$C$22,$N347)&gt;0,1,0))</f>
        <v>0</v>
      </c>
      <c r="AB347" s="37" t="str">
        <f aca="false">IF($N347="","",IF(COUNTIF($N$8:$N347,$N347)=1,MAX($AB$7:$AB346)+1,""))</f>
        <v/>
      </c>
    </row>
    <row r="348" customFormat="false" ht="15" hidden="false" customHeight="false" outlineLevel="0" collapsed="false">
      <c r="B348" s="32" t="s">
        <v>910</v>
      </c>
      <c r="C348" s="32" t="s">
        <v>253</v>
      </c>
      <c r="D348" s="35" t="n">
        <v>110</v>
      </c>
      <c r="E348" s="32" t="s">
        <v>208</v>
      </c>
      <c r="F348" s="36" t="n">
        <v>46122</v>
      </c>
      <c r="G348" s="32" t="s">
        <v>911</v>
      </c>
      <c r="L348" s="37" t="str">
        <f aca="false">IF(INDEX($A348:$J348,$L$6)&lt;&gt;"",TRIM(LEFT(INDEX($A348:$J348,$L$6),FIND("(",INDEX($A348:$J348,$L$6)&amp;"(")-1)),L347)</f>
        <v>Closed Won</v>
      </c>
      <c r="M348" s="37" t="str">
        <f aca="false">IF(INDEX($A348:$J348,$M$6)="","",INDEX($A348:$J348,$M$6)&amp;"")</f>
        <v>ASX-Bloomberg - Image Creation</v>
      </c>
      <c r="N348" s="37" t="str">
        <f aca="false">IF($M348="","",TRIM(INDEX($A348:$J348,$N$6)&amp;""))</f>
        <v>ASX Australian Securities Exchange</v>
      </c>
      <c r="O348" s="37" t="str">
        <f aca="false">IF($M348="","",TRIM(INDEX($A348:$J348,$O$6)&amp;""))</f>
        <v>Video Production</v>
      </c>
      <c r="P348" s="37" t="str">
        <f aca="false">IF($M348="","",IFERROR(IF(INDEX(Settings!$B$41:$B$50,MATCH(O348,Settings!$A$41:$A$50,0))&amp;""="","UNMAPPED",INDEX(Settings!$B$41:$B$50,MATCH(O348,Settings!$A$41:$A$50,0))&amp;""),"UNMAPPED"))</f>
        <v>Video</v>
      </c>
      <c r="Q348" s="38" t="n">
        <f aca="false">IF($M348="",0,N(INDEX($A348:$J348,$Q$6)))</f>
        <v>110</v>
      </c>
      <c r="R348" s="39" t="n">
        <f aca="false">IF($M348="","",INDEX($A348:$J348,$R$6))</f>
        <v>46122</v>
      </c>
      <c r="S348" s="37" t="str">
        <f aca="false">IF($M348="","",IFERROR(INDEX(Settings!$B$27:$B$36,MATCH(L348,Settings!$A$27:$A$36,0))&amp;"","UNMAPPED"))</f>
        <v>Won</v>
      </c>
      <c r="T348" s="37" t="str">
        <f aca="false">IF($M348="","",IF(NOT(ISNUMBER(R348)),"NO DATE",IF(S348="Won",IF(R348&gt;Settings!$B$5,"Backlog","Delivered"),IF(S348="Open",IF(R348&gt;Settings!$B$5,"Pipeline","Overdue"),IF(S348="Lost","Lost","UNMAPPED")))))</f>
        <v>Delivered</v>
      </c>
      <c r="U348" s="40" t="n">
        <f aca="false">IF(T348="Backlog",1,IF(OR(T348="Pipeline",T348="Overdue"),N(INDEX(Settings!$C$27:$C$36,MATCH(L348,Settings!$A$27:$A$36,0))),0))</f>
        <v>0</v>
      </c>
      <c r="V348" s="38" t="n">
        <f aca="false">Q348*U348</f>
        <v>0</v>
      </c>
      <c r="W348" s="41" t="n">
        <f aca="false">IF($M348="","",IF(T348="Overdue",IF(Settings!$B$8="Yes",Settings!$B$7,""),IF(ISNUMBER(R348),DATE(YEAR(R348),MONTH(R348),1),"")))</f>
        <v>46113</v>
      </c>
      <c r="X348" s="38" t="n">
        <f aca="false">IF(AND(OR(T348="Backlog",T348="Pipeline",T348="Overdue"),ISNUMBER(W348)),IF(W348&lt;=Settings!$B$6,V348,0),0)</f>
        <v>0</v>
      </c>
      <c r="Y348" s="38" t="n">
        <f aca="false">IF(AND(OR(T348="Backlog",T348="Pipeline",T348="Overdue"),ISNUMBER(W348)),IF(W348&lt;=Settings!$B$6,Q348,0),0)</f>
        <v>0</v>
      </c>
      <c r="Z348" s="38" t="n">
        <f aca="false">IF(Y348=0,0,IF(T348="Backlog",Q348,Q348*Dashboard!$C$10))</f>
        <v>0</v>
      </c>
      <c r="AA348" s="37" t="n">
        <f aca="false">IF($N348="",0,IF(COUNTIF(Dashboard!$C$13:$C$22,$N348)&gt;0,1,0))</f>
        <v>0</v>
      </c>
      <c r="AB348" s="37" t="str">
        <f aca="false">IF($N348="","",IF(COUNTIF($N$8:$N348,$N348)=1,MAX($AB$7:$AB347)+1,""))</f>
        <v/>
      </c>
    </row>
    <row r="349" customFormat="false" ht="15" hidden="false" customHeight="false" outlineLevel="0" collapsed="false">
      <c r="B349" s="32" t="s">
        <v>912</v>
      </c>
      <c r="C349" s="32" t="s">
        <v>772</v>
      </c>
      <c r="D349" s="35" t="n">
        <v>13496</v>
      </c>
      <c r="E349" s="32" t="s">
        <v>145</v>
      </c>
      <c r="F349" s="36" t="n">
        <v>46262</v>
      </c>
      <c r="G349" s="32" t="s">
        <v>913</v>
      </c>
      <c r="L349" s="37" t="str">
        <f aca="false">IF(INDEX($A349:$J349,$L$6)&lt;&gt;"",TRIM(LEFT(INDEX($A349:$J349,$L$6),FIND("(",INDEX($A349:$J349,$L$6)&amp;"(")-1)),L348)</f>
        <v>Closed Won</v>
      </c>
      <c r="M349" s="37" t="str">
        <f aca="false">IF(INDEX($A349:$J349,$M$6)="","",INDEX($A349:$J349,$M$6)&amp;"")</f>
        <v>ICC - Presenter &amp; Speaker Preparation - September 2026</v>
      </c>
      <c r="N349" s="37" t="str">
        <f aca="false">IF($M349="","",TRIM(INDEX($A349:$J349,$N$6)&amp;""))</f>
        <v>ICC Sydney - International Convention &amp; Exhibition Centre</v>
      </c>
      <c r="O349" s="37" t="str">
        <f aca="false">IF($M349="","",TRIM(INDEX($A349:$J349,$O$6)&amp;""))</f>
        <v>Event Production</v>
      </c>
      <c r="P349" s="37" t="str">
        <f aca="false">IF($M349="","",IFERROR(IF(INDEX(Settings!$B$41:$B$50,MATCH(O349,Settings!$A$41:$A$50,0))&amp;""="","UNMAPPED",INDEX(Settings!$B$41:$B$50,MATCH(O349,Settings!$A$41:$A$50,0))&amp;""),"UNMAPPED"))</f>
        <v>Production</v>
      </c>
      <c r="Q349" s="38" t="n">
        <f aca="false">IF($M349="",0,N(INDEX($A349:$J349,$Q$6)))</f>
        <v>13496</v>
      </c>
      <c r="R349" s="39" t="n">
        <f aca="false">IF($M349="","",INDEX($A349:$J349,$R$6))</f>
        <v>46262</v>
      </c>
      <c r="S349" s="37" t="str">
        <f aca="false">IF($M349="","",IFERROR(INDEX(Settings!$B$27:$B$36,MATCH(L349,Settings!$A$27:$A$36,0))&amp;"","UNMAPPED"))</f>
        <v>Won</v>
      </c>
      <c r="T349" s="37" t="str">
        <f aca="false">IF($M349="","",IF(NOT(ISNUMBER(R349)),"NO DATE",IF(S349="Won",IF(R349&gt;Settings!$B$5,"Backlog","Delivered"),IF(S349="Open",IF(R349&gt;Settings!$B$5,"Pipeline","Overdue"),IF(S349="Lost","Lost","UNMAPPED")))))</f>
        <v>Delivered</v>
      </c>
      <c r="U349" s="40" t="n">
        <f aca="false">IF(T349="Backlog",1,IF(OR(T349="Pipeline",T349="Overdue"),N(INDEX(Settings!$C$27:$C$36,MATCH(L349,Settings!$A$27:$A$36,0))),0))</f>
        <v>0</v>
      </c>
      <c r="V349" s="38" t="n">
        <f aca="false">Q349*U349</f>
        <v>0</v>
      </c>
      <c r="W349" s="41" t="n">
        <f aca="false">IF($M349="","",IF(T349="Overdue",IF(Settings!$B$8="Yes",Settings!$B$7,""),IF(ISNUMBER(R349),DATE(YEAR(R349),MONTH(R349),1),"")))</f>
        <v>46235</v>
      </c>
      <c r="X349" s="38" t="n">
        <f aca="false">IF(AND(OR(T349="Backlog",T349="Pipeline",T349="Overdue"),ISNUMBER(W349)),IF(W349&lt;=Settings!$B$6,V349,0),0)</f>
        <v>0</v>
      </c>
      <c r="Y349" s="38" t="n">
        <f aca="false">IF(AND(OR(T349="Backlog",T349="Pipeline",T349="Overdue"),ISNUMBER(W349)),IF(W349&lt;=Settings!$B$6,Q349,0),0)</f>
        <v>0</v>
      </c>
      <c r="Z349" s="38" t="n">
        <f aca="false">IF(Y349=0,0,IF(T349="Backlog",Q349,Q349*Dashboard!$C$10))</f>
        <v>0</v>
      </c>
      <c r="AA349" s="37" t="n">
        <f aca="false">IF($N349="",0,IF(COUNTIF(Dashboard!$C$13:$C$22,$N349)&gt;0,1,0))</f>
        <v>0</v>
      </c>
      <c r="AB349" s="37" t="str">
        <f aca="false">IF($N349="","",IF(COUNTIF($N$8:$N349,$N349)=1,MAX($AB$7:$AB348)+1,""))</f>
        <v/>
      </c>
    </row>
    <row r="350" customFormat="false" ht="15" hidden="false" customHeight="false" outlineLevel="0" collapsed="false">
      <c r="B350" s="32" t="s">
        <v>914</v>
      </c>
      <c r="C350" s="32" t="s">
        <v>915</v>
      </c>
      <c r="D350" s="35" t="n">
        <v>13527</v>
      </c>
      <c r="E350" s="32" t="s">
        <v>145</v>
      </c>
      <c r="F350" s="36" t="n">
        <v>46076</v>
      </c>
      <c r="G350" s="32" t="s">
        <v>916</v>
      </c>
      <c r="L350" s="37" t="str">
        <f aca="false">IF(INDEX($A350:$J350,$L$6)&lt;&gt;"",TRIM(LEFT(INDEX($A350:$J350,$L$6),FIND("(",INDEX($A350:$J350,$L$6)&amp;"(")-1)),L349)</f>
        <v>Closed Won</v>
      </c>
      <c r="M350" s="37" t="str">
        <f aca="false">IF(INDEX($A350:$J350,$M$6)="","",INDEX($A350:$J350,$M$6)&amp;"")</f>
        <v>Symal HYR Presentation</v>
      </c>
      <c r="N350" s="37" t="str">
        <f aca="false">IF($M350="","",TRIM(INDEX($A350:$J350,$N$6)&amp;""))</f>
        <v>Symal</v>
      </c>
      <c r="O350" s="37" t="str">
        <f aca="false">IF($M350="","",TRIM(INDEX($A350:$J350,$O$6)&amp;""))</f>
        <v>Event Production</v>
      </c>
      <c r="P350" s="37" t="str">
        <f aca="false">IF($M350="","",IFERROR(IF(INDEX(Settings!$B$41:$B$50,MATCH(O350,Settings!$A$41:$A$50,0))&amp;""="","UNMAPPED",INDEX(Settings!$B$41:$B$50,MATCH(O350,Settings!$A$41:$A$50,0))&amp;""),"UNMAPPED"))</f>
        <v>Production</v>
      </c>
      <c r="Q350" s="38" t="n">
        <f aca="false">IF($M350="",0,N(INDEX($A350:$J350,$Q$6)))</f>
        <v>13527</v>
      </c>
      <c r="R350" s="39" t="n">
        <f aca="false">IF($M350="","",INDEX($A350:$J350,$R$6))</f>
        <v>46076</v>
      </c>
      <c r="S350" s="37" t="str">
        <f aca="false">IF($M350="","",IFERROR(INDEX(Settings!$B$27:$B$36,MATCH(L350,Settings!$A$27:$A$36,0))&amp;"","UNMAPPED"))</f>
        <v>Won</v>
      </c>
      <c r="T350" s="37" t="str">
        <f aca="false">IF($M350="","",IF(NOT(ISNUMBER(R350)),"NO DATE",IF(S350="Won",IF(R350&gt;Settings!$B$5,"Backlog","Delivered"),IF(S350="Open",IF(R350&gt;Settings!$B$5,"Pipeline","Overdue"),IF(S350="Lost","Lost","UNMAPPED")))))</f>
        <v>Delivered</v>
      </c>
      <c r="U350" s="40" t="n">
        <f aca="false">IF(T350="Backlog",1,IF(OR(T350="Pipeline",T350="Overdue"),N(INDEX(Settings!$C$27:$C$36,MATCH(L350,Settings!$A$27:$A$36,0))),0))</f>
        <v>0</v>
      </c>
      <c r="V350" s="38" t="n">
        <f aca="false">Q350*U350</f>
        <v>0</v>
      </c>
      <c r="W350" s="41" t="n">
        <f aca="false">IF($M350="","",IF(T350="Overdue",IF(Settings!$B$8="Yes",Settings!$B$7,""),IF(ISNUMBER(R350),DATE(YEAR(R350),MONTH(R350),1),"")))</f>
        <v>46054</v>
      </c>
      <c r="X350" s="38" t="n">
        <f aca="false">IF(AND(OR(T350="Backlog",T350="Pipeline",T350="Overdue"),ISNUMBER(W350)),IF(W350&lt;=Settings!$B$6,V350,0),0)</f>
        <v>0</v>
      </c>
      <c r="Y350" s="38" t="n">
        <f aca="false">IF(AND(OR(T350="Backlog",T350="Pipeline",T350="Overdue"),ISNUMBER(W350)),IF(W350&lt;=Settings!$B$6,Q350,0),0)</f>
        <v>0</v>
      </c>
      <c r="Z350" s="38" t="n">
        <f aca="false">IF(Y350=0,0,IF(T350="Backlog",Q350,Q350*Dashboard!$C$10))</f>
        <v>0</v>
      </c>
      <c r="AA350" s="37" t="n">
        <f aca="false">IF($N350="",0,IF(COUNTIF(Dashboard!$C$13:$C$22,$N350)&gt;0,1,0))</f>
        <v>0</v>
      </c>
      <c r="AB350" s="37" t="n">
        <f aca="false">IF($N350="","",IF(COUNTIF($N$8:$N350,$N350)=1,MAX($AB$7:$AB349)+1,""))</f>
        <v>87</v>
      </c>
    </row>
    <row r="351" customFormat="false" ht="15" hidden="false" customHeight="false" outlineLevel="0" collapsed="false">
      <c r="B351" s="32" t="s">
        <v>917</v>
      </c>
      <c r="C351" s="32" t="s">
        <v>191</v>
      </c>
      <c r="D351" s="35" t="n">
        <v>4322</v>
      </c>
      <c r="E351" s="32" t="s">
        <v>145</v>
      </c>
      <c r="F351" s="36" t="n">
        <v>46143</v>
      </c>
      <c r="G351" s="32" t="s">
        <v>918</v>
      </c>
      <c r="L351" s="37" t="str">
        <f aca="false">IF(INDEX($A351:$J351,$L$6)&lt;&gt;"",TRIM(LEFT(INDEX($A351:$J351,$L$6),FIND("(",INDEX($A351:$J351,$L$6)&amp;"(")-1)),L350)</f>
        <v>Closed Won</v>
      </c>
      <c r="M351" s="37" t="str">
        <f aca="false">IF(INDEX($A351:$J351,$M$6)="","",INDEX($A351:$J351,$M$6)&amp;"")</f>
        <v>CBA LES - April 2026</v>
      </c>
      <c r="N351" s="37" t="str">
        <f aca="false">IF($M351="","",TRIM(INDEX($A351:$J351,$N$6)&amp;""))</f>
        <v>Commonwealth Bank Australia (CBA)</v>
      </c>
      <c r="O351" s="37" t="str">
        <f aca="false">IF($M351="","",TRIM(INDEX($A351:$J351,$O$6)&amp;""))</f>
        <v>Event Production</v>
      </c>
      <c r="P351" s="37" t="str">
        <f aca="false">IF($M351="","",IFERROR(IF(INDEX(Settings!$B$41:$B$50,MATCH(O351,Settings!$A$41:$A$50,0))&amp;""="","UNMAPPED",INDEX(Settings!$B$41:$B$50,MATCH(O351,Settings!$A$41:$A$50,0))&amp;""),"UNMAPPED"))</f>
        <v>Production</v>
      </c>
      <c r="Q351" s="38" t="n">
        <f aca="false">IF($M351="",0,N(INDEX($A351:$J351,$Q$6)))</f>
        <v>4322</v>
      </c>
      <c r="R351" s="39" t="n">
        <f aca="false">IF($M351="","",INDEX($A351:$J351,$R$6))</f>
        <v>46143</v>
      </c>
      <c r="S351" s="37" t="str">
        <f aca="false">IF($M351="","",IFERROR(INDEX(Settings!$B$27:$B$36,MATCH(L351,Settings!$A$27:$A$36,0))&amp;"","UNMAPPED"))</f>
        <v>Won</v>
      </c>
      <c r="T351" s="37" t="str">
        <f aca="false">IF($M351="","",IF(NOT(ISNUMBER(R351)),"NO DATE",IF(S351="Won",IF(R351&gt;Settings!$B$5,"Backlog","Delivered"),IF(S351="Open",IF(R351&gt;Settings!$B$5,"Pipeline","Overdue"),IF(S351="Lost","Lost","UNMAPPED")))))</f>
        <v>Delivered</v>
      </c>
      <c r="U351" s="40" t="n">
        <f aca="false">IF(T351="Backlog",1,IF(OR(T351="Pipeline",T351="Overdue"),N(INDEX(Settings!$C$27:$C$36,MATCH(L351,Settings!$A$27:$A$36,0))),0))</f>
        <v>0</v>
      </c>
      <c r="V351" s="38" t="n">
        <f aca="false">Q351*U351</f>
        <v>0</v>
      </c>
      <c r="W351" s="41" t="n">
        <f aca="false">IF($M351="","",IF(T351="Overdue",IF(Settings!$B$8="Yes",Settings!$B$7,""),IF(ISNUMBER(R351),DATE(YEAR(R351),MONTH(R351),1),"")))</f>
        <v>46143</v>
      </c>
      <c r="X351" s="38" t="n">
        <f aca="false">IF(AND(OR(T351="Backlog",T351="Pipeline",T351="Overdue"),ISNUMBER(W351)),IF(W351&lt;=Settings!$B$6,V351,0),0)</f>
        <v>0</v>
      </c>
      <c r="Y351" s="38" t="n">
        <f aca="false">IF(AND(OR(T351="Backlog",T351="Pipeline",T351="Overdue"),ISNUMBER(W351)),IF(W351&lt;=Settings!$B$6,Q351,0),0)</f>
        <v>0</v>
      </c>
      <c r="Z351" s="38" t="n">
        <f aca="false">IF(Y351=0,0,IF(T351="Backlog",Q351,Q351*Dashboard!$C$10))</f>
        <v>0</v>
      </c>
      <c r="AA351" s="37" t="n">
        <f aca="false">IF($N351="",0,IF(COUNTIF(Dashboard!$C$13:$C$22,$N351)&gt;0,1,0))</f>
        <v>0</v>
      </c>
      <c r="AB351" s="37" t="str">
        <f aca="false">IF($N351="","",IF(COUNTIF($N$8:$N351,$N351)=1,MAX($AB$7:$AB350)+1,""))</f>
        <v/>
      </c>
    </row>
    <row r="352" customFormat="false" ht="15" hidden="false" customHeight="false" outlineLevel="0" collapsed="false">
      <c r="B352" s="32" t="s">
        <v>919</v>
      </c>
      <c r="C352" s="32" t="s">
        <v>217</v>
      </c>
      <c r="D352" s="35" t="n">
        <v>760</v>
      </c>
      <c r="E352" s="32" t="s">
        <v>145</v>
      </c>
      <c r="F352" s="36" t="n">
        <v>46080</v>
      </c>
      <c r="G352" s="32" t="s">
        <v>920</v>
      </c>
      <c r="L352" s="37" t="str">
        <f aca="false">IF(INDEX($A352:$J352,$L$6)&lt;&gt;"",TRIM(LEFT(INDEX($A352:$J352,$L$6),FIND("(",INDEX($A352:$J352,$L$6)&amp;"(")-1)),L351)</f>
        <v>Closed Won</v>
      </c>
      <c r="M352" s="37" t="str">
        <f aca="false">IF(INDEX($A352:$J352,$M$6)="","",INDEX($A352:$J352,$M$6)&amp;"")</f>
        <v>Garvan - Women in Science Conference 13.3.26</v>
      </c>
      <c r="N352" s="37" t="str">
        <f aca="false">IF($M352="","",TRIM(INDEX($A352:$J352,$N$6)&amp;""))</f>
        <v>Garvan Institute of Medical Research</v>
      </c>
      <c r="O352" s="37" t="str">
        <f aca="false">IF($M352="","",TRIM(INDEX($A352:$J352,$O$6)&amp;""))</f>
        <v>Event Production</v>
      </c>
      <c r="P352" s="37" t="str">
        <f aca="false">IF($M352="","",IFERROR(IF(INDEX(Settings!$B$41:$B$50,MATCH(O352,Settings!$A$41:$A$50,0))&amp;""="","UNMAPPED",INDEX(Settings!$B$41:$B$50,MATCH(O352,Settings!$A$41:$A$50,0))&amp;""),"UNMAPPED"))</f>
        <v>Production</v>
      </c>
      <c r="Q352" s="38" t="n">
        <f aca="false">IF($M352="",0,N(INDEX($A352:$J352,$Q$6)))</f>
        <v>760</v>
      </c>
      <c r="R352" s="39" t="n">
        <f aca="false">IF($M352="","",INDEX($A352:$J352,$R$6))</f>
        <v>46080</v>
      </c>
      <c r="S352" s="37" t="str">
        <f aca="false">IF($M352="","",IFERROR(INDEX(Settings!$B$27:$B$36,MATCH(L352,Settings!$A$27:$A$36,0))&amp;"","UNMAPPED"))</f>
        <v>Won</v>
      </c>
      <c r="T352" s="37" t="str">
        <f aca="false">IF($M352="","",IF(NOT(ISNUMBER(R352)),"NO DATE",IF(S352="Won",IF(R352&gt;Settings!$B$5,"Backlog","Delivered"),IF(S352="Open",IF(R352&gt;Settings!$B$5,"Pipeline","Overdue"),IF(S352="Lost","Lost","UNMAPPED")))))</f>
        <v>Delivered</v>
      </c>
      <c r="U352" s="40" t="n">
        <f aca="false">IF(T352="Backlog",1,IF(OR(T352="Pipeline",T352="Overdue"),N(INDEX(Settings!$C$27:$C$36,MATCH(L352,Settings!$A$27:$A$36,0))),0))</f>
        <v>0</v>
      </c>
      <c r="V352" s="38" t="n">
        <f aca="false">Q352*U352</f>
        <v>0</v>
      </c>
      <c r="W352" s="41" t="n">
        <f aca="false">IF($M352="","",IF(T352="Overdue",IF(Settings!$B$8="Yes",Settings!$B$7,""),IF(ISNUMBER(R352),DATE(YEAR(R352),MONTH(R352),1),"")))</f>
        <v>46054</v>
      </c>
      <c r="X352" s="38" t="n">
        <f aca="false">IF(AND(OR(T352="Backlog",T352="Pipeline",T352="Overdue"),ISNUMBER(W352)),IF(W352&lt;=Settings!$B$6,V352,0),0)</f>
        <v>0</v>
      </c>
      <c r="Y352" s="38" t="n">
        <f aca="false">IF(AND(OR(T352="Backlog",T352="Pipeline",T352="Overdue"),ISNUMBER(W352)),IF(W352&lt;=Settings!$B$6,Q352,0),0)</f>
        <v>0</v>
      </c>
      <c r="Z352" s="38" t="n">
        <f aca="false">IF(Y352=0,0,IF(T352="Backlog",Q352,Q352*Dashboard!$C$10))</f>
        <v>0</v>
      </c>
      <c r="AA352" s="37" t="n">
        <f aca="false">IF($N352="",0,IF(COUNTIF(Dashboard!$C$13:$C$22,$N352)&gt;0,1,0))</f>
        <v>0</v>
      </c>
      <c r="AB352" s="37" t="str">
        <f aca="false">IF($N352="","",IF(COUNTIF($N$8:$N352,$N352)=1,MAX($AB$7:$AB351)+1,""))</f>
        <v/>
      </c>
    </row>
    <row r="353" customFormat="false" ht="15" hidden="false" customHeight="false" outlineLevel="0" collapsed="false">
      <c r="B353" s="32" t="s">
        <v>921</v>
      </c>
      <c r="C353" s="32" t="s">
        <v>154</v>
      </c>
      <c r="D353" s="35" t="n">
        <v>12039</v>
      </c>
      <c r="E353" s="32" t="s">
        <v>141</v>
      </c>
      <c r="F353" s="36" t="n">
        <v>46185</v>
      </c>
      <c r="G353" s="32" t="s">
        <v>922</v>
      </c>
      <c r="L353" s="37" t="str">
        <f aca="false">IF(INDEX($A353:$J353,$L$6)&lt;&gt;"",TRIM(LEFT(INDEX($A353:$J353,$L$6),FIND("(",INDEX($A353:$J353,$L$6)&amp;"(")-1)),L352)</f>
        <v>Closed Won</v>
      </c>
      <c r="M353" s="37" t="str">
        <f aca="false">IF(INDEX($A353:$J353,$M$6)="","",INDEX($A353:$J353,$M$6)&amp;"")</f>
        <v>PwC | Mel Studio Equipment - 26051801</v>
      </c>
      <c r="N353" s="37" t="str">
        <f aca="false">IF($M353="","",TRIM(INDEX($A353:$J353,$N$6)&amp;""))</f>
        <v>PWC</v>
      </c>
      <c r="O353" s="37" t="str">
        <f aca="false">IF($M353="","",TRIM(INDEX($A353:$J353,$O$6)&amp;""))</f>
        <v>Integration</v>
      </c>
      <c r="P353" s="37" t="str">
        <f aca="false">IF($M353="","",IFERROR(IF(INDEX(Settings!$B$41:$B$50,MATCH(O353,Settings!$A$41:$A$50,0))&amp;""="","UNMAPPED",INDEX(Settings!$B$41:$B$50,MATCH(O353,Settings!$A$41:$A$50,0))&amp;""),"UNMAPPED"))</f>
        <v>Integration</v>
      </c>
      <c r="Q353" s="38" t="n">
        <f aca="false">IF($M353="",0,N(INDEX($A353:$J353,$Q$6)))</f>
        <v>12039</v>
      </c>
      <c r="R353" s="39" t="n">
        <f aca="false">IF($M353="","",INDEX($A353:$J353,$R$6))</f>
        <v>46185</v>
      </c>
      <c r="S353" s="37" t="str">
        <f aca="false">IF($M353="","",IFERROR(INDEX(Settings!$B$27:$B$36,MATCH(L353,Settings!$A$27:$A$36,0))&amp;"","UNMAPPED"))</f>
        <v>Won</v>
      </c>
      <c r="T353" s="37" t="str">
        <f aca="false">IF($M353="","",IF(NOT(ISNUMBER(R353)),"NO DATE",IF(S353="Won",IF(R353&gt;Settings!$B$5,"Backlog","Delivered"),IF(S353="Open",IF(R353&gt;Settings!$B$5,"Pipeline","Overdue"),IF(S353="Lost","Lost","UNMAPPED")))))</f>
        <v>Delivered</v>
      </c>
      <c r="U353" s="40" t="n">
        <f aca="false">IF(T353="Backlog",1,IF(OR(T353="Pipeline",T353="Overdue"),N(INDEX(Settings!$C$27:$C$36,MATCH(L353,Settings!$A$27:$A$36,0))),0))</f>
        <v>0</v>
      </c>
      <c r="V353" s="38" t="n">
        <f aca="false">Q353*U353</f>
        <v>0</v>
      </c>
      <c r="W353" s="41" t="n">
        <f aca="false">IF($M353="","",IF(T353="Overdue",IF(Settings!$B$8="Yes",Settings!$B$7,""),IF(ISNUMBER(R353),DATE(YEAR(R353),MONTH(R353),1),"")))</f>
        <v>46174</v>
      </c>
      <c r="X353" s="38" t="n">
        <f aca="false">IF(AND(OR(T353="Backlog",T353="Pipeline",T353="Overdue"),ISNUMBER(W353)),IF(W353&lt;=Settings!$B$6,V353,0),0)</f>
        <v>0</v>
      </c>
      <c r="Y353" s="38" t="n">
        <f aca="false">IF(AND(OR(T353="Backlog",T353="Pipeline",T353="Overdue"),ISNUMBER(W353)),IF(W353&lt;=Settings!$B$6,Q353,0),0)</f>
        <v>0</v>
      </c>
      <c r="Z353" s="38" t="n">
        <f aca="false">IF(Y353=0,0,IF(T353="Backlog",Q353,Q353*Dashboard!$C$10))</f>
        <v>0</v>
      </c>
      <c r="AA353" s="37" t="n">
        <f aca="false">IF($N353="",0,IF(COUNTIF(Dashboard!$C$13:$C$22,$N353)&gt;0,1,0))</f>
        <v>0</v>
      </c>
      <c r="AB353" s="37" t="str">
        <f aca="false">IF($N353="","",IF(COUNTIF($N$8:$N353,$N353)=1,MAX($AB$7:$AB352)+1,""))</f>
        <v/>
      </c>
    </row>
    <row r="354" customFormat="false" ht="15" hidden="false" customHeight="false" outlineLevel="0" collapsed="false">
      <c r="B354" s="32" t="s">
        <v>923</v>
      </c>
      <c r="C354" s="32" t="s">
        <v>160</v>
      </c>
      <c r="D354" s="35" t="n">
        <v>380</v>
      </c>
      <c r="E354" s="32" t="s">
        <v>145</v>
      </c>
      <c r="F354" s="36" t="n">
        <v>45985</v>
      </c>
      <c r="G354" s="32" t="s">
        <v>924</v>
      </c>
      <c r="L354" s="37" t="str">
        <f aca="false">IF(INDEX($A354:$J354,$L$6)&lt;&gt;"",TRIM(LEFT(INDEX($A354:$J354,$L$6),FIND("(",INDEX($A354:$J354,$L$6)&amp;"(")-1)),L353)</f>
        <v>Closed Won</v>
      </c>
      <c r="M354" s="37" t="str">
        <f aca="false">IF(INDEX($A354:$J354,$M$6)="","",INDEX($A354:$J354,$M$6)&amp;"")</f>
        <v>Elkiem - Dedicated Technician</v>
      </c>
      <c r="N354" s="37" t="str">
        <f aca="false">IF($M354="","",TRIM(INDEX($A354:$J354,$N$6)&amp;""))</f>
        <v>Elkiem</v>
      </c>
      <c r="O354" s="37" t="str">
        <f aca="false">IF($M354="","",TRIM(INDEX($A354:$J354,$O$6)&amp;""))</f>
        <v>Event Production</v>
      </c>
      <c r="P354" s="37" t="str">
        <f aca="false">IF($M354="","",IFERROR(IF(INDEX(Settings!$B$41:$B$50,MATCH(O354,Settings!$A$41:$A$50,0))&amp;""="","UNMAPPED",INDEX(Settings!$B$41:$B$50,MATCH(O354,Settings!$A$41:$A$50,0))&amp;""),"UNMAPPED"))</f>
        <v>Production</v>
      </c>
      <c r="Q354" s="38" t="n">
        <f aca="false">IF($M354="",0,N(INDEX($A354:$J354,$Q$6)))</f>
        <v>380</v>
      </c>
      <c r="R354" s="39" t="n">
        <f aca="false">IF($M354="","",INDEX($A354:$J354,$R$6))</f>
        <v>45985</v>
      </c>
      <c r="S354" s="37" t="str">
        <f aca="false">IF($M354="","",IFERROR(INDEX(Settings!$B$27:$B$36,MATCH(L354,Settings!$A$27:$A$36,0))&amp;"","UNMAPPED"))</f>
        <v>Won</v>
      </c>
      <c r="T354" s="37" t="str">
        <f aca="false">IF($M354="","",IF(NOT(ISNUMBER(R354)),"NO DATE",IF(S354="Won",IF(R354&gt;Settings!$B$5,"Backlog","Delivered"),IF(S354="Open",IF(R354&gt;Settings!$B$5,"Pipeline","Overdue"),IF(S354="Lost","Lost","UNMAPPED")))))</f>
        <v>Delivered</v>
      </c>
      <c r="U354" s="40" t="n">
        <f aca="false">IF(T354="Backlog",1,IF(OR(T354="Pipeline",T354="Overdue"),N(INDEX(Settings!$C$27:$C$36,MATCH(L354,Settings!$A$27:$A$36,0))),0))</f>
        <v>0</v>
      </c>
      <c r="V354" s="38" t="n">
        <f aca="false">Q354*U354</f>
        <v>0</v>
      </c>
      <c r="W354" s="41" t="n">
        <f aca="false">IF($M354="","",IF(T354="Overdue",IF(Settings!$B$8="Yes",Settings!$B$7,""),IF(ISNUMBER(R354),DATE(YEAR(R354),MONTH(R354),1),"")))</f>
        <v>45962</v>
      </c>
      <c r="X354" s="38" t="n">
        <f aca="false">IF(AND(OR(T354="Backlog",T354="Pipeline",T354="Overdue"),ISNUMBER(W354)),IF(W354&lt;=Settings!$B$6,V354,0),0)</f>
        <v>0</v>
      </c>
      <c r="Y354" s="38" t="n">
        <f aca="false">IF(AND(OR(T354="Backlog",T354="Pipeline",T354="Overdue"),ISNUMBER(W354)),IF(W354&lt;=Settings!$B$6,Q354,0),0)</f>
        <v>0</v>
      </c>
      <c r="Z354" s="38" t="n">
        <f aca="false">IF(Y354=0,0,IF(T354="Backlog",Q354,Q354*Dashboard!$C$10))</f>
        <v>0</v>
      </c>
      <c r="AA354" s="37" t="n">
        <f aca="false">IF($N354="",0,IF(COUNTIF(Dashboard!$C$13:$C$22,$N354)&gt;0,1,0))</f>
        <v>0</v>
      </c>
      <c r="AB354" s="37" t="str">
        <f aca="false">IF($N354="","",IF(COUNTIF($N$8:$N354,$N354)=1,MAX($AB$7:$AB353)+1,""))</f>
        <v/>
      </c>
    </row>
    <row r="355" customFormat="false" ht="15" hidden="false" customHeight="false" outlineLevel="0" collapsed="false">
      <c r="B355" s="32" t="s">
        <v>925</v>
      </c>
      <c r="C355" s="32" t="s">
        <v>817</v>
      </c>
      <c r="D355" s="35" t="n">
        <v>850</v>
      </c>
      <c r="E355" s="32" t="s">
        <v>145</v>
      </c>
      <c r="F355" s="36" t="n">
        <v>46142</v>
      </c>
      <c r="G355" s="32" t="s">
        <v>926</v>
      </c>
      <c r="L355" s="37" t="str">
        <f aca="false">IF(INDEX($A355:$J355,$L$6)&lt;&gt;"",TRIM(LEFT(INDEX($A355:$J355,$L$6),FIND("(",INDEX($A355:$J355,$L$6)&amp;"(")-1)),L354)</f>
        <v>Closed Won</v>
      </c>
      <c r="M355" s="37" t="str">
        <f aca="false">IF(INDEX($A355:$J355,$M$6)="","",INDEX($A355:$J355,$M$6)&amp;"")</f>
        <v>Optiver - AV Support - 30.4.26</v>
      </c>
      <c r="N355" s="37" t="str">
        <f aca="false">IF($M355="","",TRIM(INDEX($A355:$J355,$N$6)&amp;""))</f>
        <v>Optiver</v>
      </c>
      <c r="O355" s="37" t="str">
        <f aca="false">IF($M355="","",TRIM(INDEX($A355:$J355,$O$6)&amp;""))</f>
        <v>Event Production</v>
      </c>
      <c r="P355" s="37" t="str">
        <f aca="false">IF($M355="","",IFERROR(IF(INDEX(Settings!$B$41:$B$50,MATCH(O355,Settings!$A$41:$A$50,0))&amp;""="","UNMAPPED",INDEX(Settings!$B$41:$B$50,MATCH(O355,Settings!$A$41:$A$50,0))&amp;""),"UNMAPPED"))</f>
        <v>Production</v>
      </c>
      <c r="Q355" s="38" t="n">
        <f aca="false">IF($M355="",0,N(INDEX($A355:$J355,$Q$6)))</f>
        <v>850</v>
      </c>
      <c r="R355" s="39" t="n">
        <f aca="false">IF($M355="","",INDEX($A355:$J355,$R$6))</f>
        <v>46142</v>
      </c>
      <c r="S355" s="37" t="str">
        <f aca="false">IF($M355="","",IFERROR(INDEX(Settings!$B$27:$B$36,MATCH(L355,Settings!$A$27:$A$36,0))&amp;"","UNMAPPED"))</f>
        <v>Won</v>
      </c>
      <c r="T355" s="37" t="str">
        <f aca="false">IF($M355="","",IF(NOT(ISNUMBER(R355)),"NO DATE",IF(S355="Won",IF(R355&gt;Settings!$B$5,"Backlog","Delivered"),IF(S355="Open",IF(R355&gt;Settings!$B$5,"Pipeline","Overdue"),IF(S355="Lost","Lost","UNMAPPED")))))</f>
        <v>Delivered</v>
      </c>
      <c r="U355" s="40" t="n">
        <f aca="false">IF(T355="Backlog",1,IF(OR(T355="Pipeline",T355="Overdue"),N(INDEX(Settings!$C$27:$C$36,MATCH(L355,Settings!$A$27:$A$36,0))),0))</f>
        <v>0</v>
      </c>
      <c r="V355" s="38" t="n">
        <f aca="false">Q355*U355</f>
        <v>0</v>
      </c>
      <c r="W355" s="41" t="n">
        <f aca="false">IF($M355="","",IF(T355="Overdue",IF(Settings!$B$8="Yes",Settings!$B$7,""),IF(ISNUMBER(R355),DATE(YEAR(R355),MONTH(R355),1),"")))</f>
        <v>46113</v>
      </c>
      <c r="X355" s="38" t="n">
        <f aca="false">IF(AND(OR(T355="Backlog",T355="Pipeline",T355="Overdue"),ISNUMBER(W355)),IF(W355&lt;=Settings!$B$6,V355,0),0)</f>
        <v>0</v>
      </c>
      <c r="Y355" s="38" t="n">
        <f aca="false">IF(AND(OR(T355="Backlog",T355="Pipeline",T355="Overdue"),ISNUMBER(W355)),IF(W355&lt;=Settings!$B$6,Q355,0),0)</f>
        <v>0</v>
      </c>
      <c r="Z355" s="38" t="n">
        <f aca="false">IF(Y355=0,0,IF(T355="Backlog",Q355,Q355*Dashboard!$C$10))</f>
        <v>0</v>
      </c>
      <c r="AA355" s="37" t="n">
        <f aca="false">IF($N355="",0,IF(COUNTIF(Dashboard!$C$13:$C$22,$N355)&gt;0,1,0))</f>
        <v>0</v>
      </c>
      <c r="AB355" s="37" t="str">
        <f aca="false">IF($N355="","",IF(COUNTIF($N$8:$N355,$N355)=1,MAX($AB$7:$AB354)+1,""))</f>
        <v/>
      </c>
    </row>
    <row r="356" customFormat="false" ht="15" hidden="false" customHeight="false" outlineLevel="0" collapsed="false">
      <c r="B356" s="32" t="s">
        <v>927</v>
      </c>
      <c r="C356" s="32" t="s">
        <v>160</v>
      </c>
      <c r="D356" s="35" t="n">
        <v>760</v>
      </c>
      <c r="E356" s="32" t="s">
        <v>145</v>
      </c>
      <c r="F356" s="36" t="n">
        <v>45923</v>
      </c>
      <c r="G356" s="32" t="s">
        <v>928</v>
      </c>
      <c r="L356" s="37" t="str">
        <f aca="false">IF(INDEX($A356:$J356,$L$6)&lt;&gt;"",TRIM(LEFT(INDEX($A356:$J356,$L$6),FIND("(",INDEX($A356:$J356,$L$6)&amp;"(")-1)),L355)</f>
        <v>Closed Won</v>
      </c>
      <c r="M356" s="37" t="str">
        <f aca="false">IF(INDEX($A356:$J356,$M$6)="","",INDEX($A356:$J356,$M$6)&amp;"")</f>
        <v>23.9.25 - Event Workshop Record</v>
      </c>
      <c r="N356" s="37" t="str">
        <f aca="false">IF($M356="","",TRIM(INDEX($A356:$J356,$N$6)&amp;""))</f>
        <v>Elkiem</v>
      </c>
      <c r="O356" s="37" t="str">
        <f aca="false">IF($M356="","",TRIM(INDEX($A356:$J356,$O$6)&amp;""))</f>
        <v>Event Production</v>
      </c>
      <c r="P356" s="37" t="str">
        <f aca="false">IF($M356="","",IFERROR(IF(INDEX(Settings!$B$41:$B$50,MATCH(O356,Settings!$A$41:$A$50,0))&amp;""="","UNMAPPED",INDEX(Settings!$B$41:$B$50,MATCH(O356,Settings!$A$41:$A$50,0))&amp;""),"UNMAPPED"))</f>
        <v>Production</v>
      </c>
      <c r="Q356" s="38" t="n">
        <f aca="false">IF($M356="",0,N(INDEX($A356:$J356,$Q$6)))</f>
        <v>760</v>
      </c>
      <c r="R356" s="39" t="n">
        <f aca="false">IF($M356="","",INDEX($A356:$J356,$R$6))</f>
        <v>45923</v>
      </c>
      <c r="S356" s="37" t="str">
        <f aca="false">IF($M356="","",IFERROR(INDEX(Settings!$B$27:$B$36,MATCH(L356,Settings!$A$27:$A$36,0))&amp;"","UNMAPPED"))</f>
        <v>Won</v>
      </c>
      <c r="T356" s="37" t="str">
        <f aca="false">IF($M356="","",IF(NOT(ISNUMBER(R356)),"NO DATE",IF(S356="Won",IF(R356&gt;Settings!$B$5,"Backlog","Delivered"),IF(S356="Open",IF(R356&gt;Settings!$B$5,"Pipeline","Overdue"),IF(S356="Lost","Lost","UNMAPPED")))))</f>
        <v>Delivered</v>
      </c>
      <c r="U356" s="40" t="n">
        <f aca="false">IF(T356="Backlog",1,IF(OR(T356="Pipeline",T356="Overdue"),N(INDEX(Settings!$C$27:$C$36,MATCH(L356,Settings!$A$27:$A$36,0))),0))</f>
        <v>0</v>
      </c>
      <c r="V356" s="38" t="n">
        <f aca="false">Q356*U356</f>
        <v>0</v>
      </c>
      <c r="W356" s="41" t="n">
        <f aca="false">IF($M356="","",IF(T356="Overdue",IF(Settings!$B$8="Yes",Settings!$B$7,""),IF(ISNUMBER(R356),DATE(YEAR(R356),MONTH(R356),1),"")))</f>
        <v>45901</v>
      </c>
      <c r="X356" s="38" t="n">
        <f aca="false">IF(AND(OR(T356="Backlog",T356="Pipeline",T356="Overdue"),ISNUMBER(W356)),IF(W356&lt;=Settings!$B$6,V356,0),0)</f>
        <v>0</v>
      </c>
      <c r="Y356" s="38" t="n">
        <f aca="false">IF(AND(OR(T356="Backlog",T356="Pipeline",T356="Overdue"),ISNUMBER(W356)),IF(W356&lt;=Settings!$B$6,Q356,0),0)</f>
        <v>0</v>
      </c>
      <c r="Z356" s="38" t="n">
        <f aca="false">IF(Y356=0,0,IF(T356="Backlog",Q356,Q356*Dashboard!$C$10))</f>
        <v>0</v>
      </c>
      <c r="AA356" s="37" t="n">
        <f aca="false">IF($N356="",0,IF(COUNTIF(Dashboard!$C$13:$C$22,$N356)&gt;0,1,0))</f>
        <v>0</v>
      </c>
      <c r="AB356" s="37" t="str">
        <f aca="false">IF($N356="","",IF(COUNTIF($N$8:$N356,$N356)=1,MAX($AB$7:$AB355)+1,""))</f>
        <v/>
      </c>
    </row>
    <row r="357" customFormat="false" ht="15" hidden="false" customHeight="false" outlineLevel="0" collapsed="false">
      <c r="B357" s="32" t="s">
        <v>929</v>
      </c>
      <c r="C357" s="32" t="s">
        <v>679</v>
      </c>
      <c r="D357" s="35" t="n">
        <v>760</v>
      </c>
      <c r="E357" s="32" t="s">
        <v>145</v>
      </c>
      <c r="F357" s="36" t="n">
        <v>46167</v>
      </c>
      <c r="G357" s="32" t="s">
        <v>930</v>
      </c>
      <c r="L357" s="37" t="str">
        <f aca="false">IF(INDEX($A357:$J357,$L$6)&lt;&gt;"",TRIM(LEFT(INDEX($A357:$J357,$L$6),FIND("(",INDEX($A357:$J357,$L$6)&amp;"(")-1)),L356)</f>
        <v>Closed Won</v>
      </c>
      <c r="M357" s="37" t="str">
        <f aca="false">IF(INDEX($A357:$J357,$M$6)="","",INDEX($A357:$J357,$M$6)&amp;"")</f>
        <v>AVIT - Taronga AV Event Support - 26 &amp; 27th May 26'</v>
      </c>
      <c r="N357" s="37" t="str">
        <f aca="false">IF($M357="","",TRIM(INDEX($A357:$J357,$N$6)&amp;""))</f>
        <v>AVIT</v>
      </c>
      <c r="O357" s="37" t="str">
        <f aca="false">IF($M357="","",TRIM(INDEX($A357:$J357,$O$6)&amp;""))</f>
        <v>Event Production</v>
      </c>
      <c r="P357" s="37" t="str">
        <f aca="false">IF($M357="","",IFERROR(IF(INDEX(Settings!$B$41:$B$50,MATCH(O357,Settings!$A$41:$A$50,0))&amp;""="","UNMAPPED",INDEX(Settings!$B$41:$B$50,MATCH(O357,Settings!$A$41:$A$50,0))&amp;""),"UNMAPPED"))</f>
        <v>Production</v>
      </c>
      <c r="Q357" s="38" t="n">
        <f aca="false">IF($M357="",0,N(INDEX($A357:$J357,$Q$6)))</f>
        <v>760</v>
      </c>
      <c r="R357" s="39" t="n">
        <f aca="false">IF($M357="","",INDEX($A357:$J357,$R$6))</f>
        <v>46167</v>
      </c>
      <c r="S357" s="37" t="str">
        <f aca="false">IF($M357="","",IFERROR(INDEX(Settings!$B$27:$B$36,MATCH(L357,Settings!$A$27:$A$36,0))&amp;"","UNMAPPED"))</f>
        <v>Won</v>
      </c>
      <c r="T357" s="37" t="str">
        <f aca="false">IF($M357="","",IF(NOT(ISNUMBER(R357)),"NO DATE",IF(S357="Won",IF(R357&gt;Settings!$B$5,"Backlog","Delivered"),IF(S357="Open",IF(R357&gt;Settings!$B$5,"Pipeline","Overdue"),IF(S357="Lost","Lost","UNMAPPED")))))</f>
        <v>Delivered</v>
      </c>
      <c r="U357" s="40" t="n">
        <f aca="false">IF(T357="Backlog",1,IF(OR(T357="Pipeline",T357="Overdue"),N(INDEX(Settings!$C$27:$C$36,MATCH(L357,Settings!$A$27:$A$36,0))),0))</f>
        <v>0</v>
      </c>
      <c r="V357" s="38" t="n">
        <f aca="false">Q357*U357</f>
        <v>0</v>
      </c>
      <c r="W357" s="41" t="n">
        <f aca="false">IF($M357="","",IF(T357="Overdue",IF(Settings!$B$8="Yes",Settings!$B$7,""),IF(ISNUMBER(R357),DATE(YEAR(R357),MONTH(R357),1),"")))</f>
        <v>46143</v>
      </c>
      <c r="X357" s="38" t="n">
        <f aca="false">IF(AND(OR(T357="Backlog",T357="Pipeline",T357="Overdue"),ISNUMBER(W357)),IF(W357&lt;=Settings!$B$6,V357,0),0)</f>
        <v>0</v>
      </c>
      <c r="Y357" s="38" t="n">
        <f aca="false">IF(AND(OR(T357="Backlog",T357="Pipeline",T357="Overdue"),ISNUMBER(W357)),IF(W357&lt;=Settings!$B$6,Q357,0),0)</f>
        <v>0</v>
      </c>
      <c r="Z357" s="38" t="n">
        <f aca="false">IF(Y357=0,0,IF(T357="Backlog",Q357,Q357*Dashboard!$C$10))</f>
        <v>0</v>
      </c>
      <c r="AA357" s="37" t="n">
        <f aca="false">IF($N357="",0,IF(COUNTIF(Dashboard!$C$13:$C$22,$N357)&gt;0,1,0))</f>
        <v>0</v>
      </c>
      <c r="AB357" s="37" t="str">
        <f aca="false">IF($N357="","",IF(COUNTIF($N$8:$N357,$N357)=1,MAX($AB$7:$AB356)+1,""))</f>
        <v/>
      </c>
    </row>
    <row r="358" customFormat="false" ht="15" hidden="false" customHeight="false" outlineLevel="0" collapsed="false">
      <c r="B358" s="32" t="s">
        <v>931</v>
      </c>
      <c r="C358" s="32" t="s">
        <v>236</v>
      </c>
      <c r="D358" s="35" t="n">
        <v>3740</v>
      </c>
      <c r="E358" s="32" t="s">
        <v>180</v>
      </c>
      <c r="F358" s="36" t="n">
        <v>46280</v>
      </c>
      <c r="G358" s="32" t="s">
        <v>932</v>
      </c>
      <c r="L358" s="37" t="str">
        <f aca="false">IF(INDEX($A358:$J358,$L$6)&lt;&gt;"",TRIM(LEFT(INDEX($A358:$J358,$L$6),FIND("(",INDEX($A358:$J358,$L$6)&amp;"(")-1)),L357)</f>
        <v>Closed Won</v>
      </c>
      <c r="M358" s="37" t="str">
        <f aca="false">IF(INDEX($A358:$J358,$M$6)="","",INDEX($A358:$J358,$M$6)&amp;"")</f>
        <v>EY - Support Technician BNE</v>
      </c>
      <c r="N358" s="37" t="str">
        <f aca="false">IF($M358="","",TRIM(INDEX($A358:$J358,$N$6)&amp;""))</f>
        <v>EY</v>
      </c>
      <c r="O358" s="37" t="str">
        <f aca="false">IF($M358="","",TRIM(INDEX($A358:$J358,$O$6)&amp;""))</f>
        <v>Support</v>
      </c>
      <c r="P358" s="37" t="str">
        <f aca="false">IF($M358="","",IFERROR(IF(INDEX(Settings!$B$41:$B$50,MATCH(O358,Settings!$A$41:$A$50,0))&amp;""="","UNMAPPED",INDEX(Settings!$B$41:$B$50,MATCH(O358,Settings!$A$41:$A$50,0))&amp;""),"UNMAPPED"))</f>
        <v>Onsite</v>
      </c>
      <c r="Q358" s="38" t="n">
        <f aca="false">IF($M358="",0,N(INDEX($A358:$J358,$Q$6)))</f>
        <v>3740</v>
      </c>
      <c r="R358" s="39" t="n">
        <f aca="false">IF($M358="","",INDEX($A358:$J358,$R$6))</f>
        <v>46280</v>
      </c>
      <c r="S358" s="37" t="str">
        <f aca="false">IF($M358="","",IFERROR(INDEX(Settings!$B$27:$B$36,MATCH(L358,Settings!$A$27:$A$36,0))&amp;"","UNMAPPED"))</f>
        <v>Won</v>
      </c>
      <c r="T358" s="37" t="str">
        <f aca="false">IF($M358="","",IF(NOT(ISNUMBER(R358)),"NO DATE",IF(S358="Won",IF(R358&gt;Settings!$B$5,"Backlog","Delivered"),IF(S358="Open",IF(R358&gt;Settings!$B$5,"Pipeline","Overdue"),IF(S358="Lost","Lost","UNMAPPED")))))</f>
        <v>Delivered</v>
      </c>
      <c r="U358" s="40" t="n">
        <f aca="false">IF(T358="Backlog",1,IF(OR(T358="Pipeline",T358="Overdue"),N(INDEX(Settings!$C$27:$C$36,MATCH(L358,Settings!$A$27:$A$36,0))),0))</f>
        <v>0</v>
      </c>
      <c r="V358" s="38" t="n">
        <f aca="false">Q358*U358</f>
        <v>0</v>
      </c>
      <c r="W358" s="41" t="n">
        <f aca="false">IF($M358="","",IF(T358="Overdue",IF(Settings!$B$8="Yes",Settings!$B$7,""),IF(ISNUMBER(R358),DATE(YEAR(R358),MONTH(R358),1),"")))</f>
        <v>46266</v>
      </c>
      <c r="X358" s="38" t="n">
        <f aca="false">IF(AND(OR(T358="Backlog",T358="Pipeline",T358="Overdue"),ISNUMBER(W358)),IF(W358&lt;=Settings!$B$6,V358,0),0)</f>
        <v>0</v>
      </c>
      <c r="Y358" s="38" t="n">
        <f aca="false">IF(AND(OR(T358="Backlog",T358="Pipeline",T358="Overdue"),ISNUMBER(W358)),IF(W358&lt;=Settings!$B$6,Q358,0),0)</f>
        <v>0</v>
      </c>
      <c r="Z358" s="38" t="n">
        <f aca="false">IF(Y358=0,0,IF(T358="Backlog",Q358,Q358*Dashboard!$C$10))</f>
        <v>0</v>
      </c>
      <c r="AA358" s="37" t="n">
        <f aca="false">IF($N358="",0,IF(COUNTIF(Dashboard!$C$13:$C$22,$N358)&gt;0,1,0))</f>
        <v>0</v>
      </c>
      <c r="AB358" s="37" t="str">
        <f aca="false">IF($N358="","",IF(COUNTIF($N$8:$N358,$N358)=1,MAX($AB$7:$AB357)+1,""))</f>
        <v/>
      </c>
    </row>
    <row r="359" customFormat="false" ht="15" hidden="false" customHeight="false" outlineLevel="0" collapsed="false">
      <c r="B359" s="32" t="s">
        <v>933</v>
      </c>
      <c r="C359" s="32" t="s">
        <v>310</v>
      </c>
      <c r="D359" s="35" t="n">
        <v>9994</v>
      </c>
      <c r="E359" s="32" t="s">
        <v>145</v>
      </c>
      <c r="F359" s="36" t="n">
        <v>46066</v>
      </c>
      <c r="G359" s="32" t="s">
        <v>934</v>
      </c>
      <c r="L359" s="37" t="str">
        <f aca="false">IF(INDEX($A359:$J359,$L$6)&lt;&gt;"",TRIM(LEFT(INDEX($A359:$J359,$L$6),FIND("(",INDEX($A359:$J359,$L$6)&amp;"(")-1)),L358)</f>
        <v>Closed Won</v>
      </c>
      <c r="M359" s="37" t="str">
        <f aca="false">IF(INDEX($A359:$J359,$M$6)="","",INDEX($A359:$J359,$M$6)&amp;"")</f>
        <v>HY Results 2026</v>
      </c>
      <c r="N359" s="37" t="str">
        <f aca="false">IF($M359="","",TRIM(INDEX($A359:$J359,$N$6)&amp;""))</f>
        <v>Cochlear</v>
      </c>
      <c r="O359" s="37" t="str">
        <f aca="false">IF($M359="","",TRIM(INDEX($A359:$J359,$O$6)&amp;""))</f>
        <v>Event Production</v>
      </c>
      <c r="P359" s="37" t="str">
        <f aca="false">IF($M359="","",IFERROR(IF(INDEX(Settings!$B$41:$B$50,MATCH(O359,Settings!$A$41:$A$50,0))&amp;""="","UNMAPPED",INDEX(Settings!$B$41:$B$50,MATCH(O359,Settings!$A$41:$A$50,0))&amp;""),"UNMAPPED"))</f>
        <v>Production</v>
      </c>
      <c r="Q359" s="38" t="n">
        <f aca="false">IF($M359="",0,N(INDEX($A359:$J359,$Q$6)))</f>
        <v>9994</v>
      </c>
      <c r="R359" s="39" t="n">
        <f aca="false">IF($M359="","",INDEX($A359:$J359,$R$6))</f>
        <v>46066</v>
      </c>
      <c r="S359" s="37" t="str">
        <f aca="false">IF($M359="","",IFERROR(INDEX(Settings!$B$27:$B$36,MATCH(L359,Settings!$A$27:$A$36,0))&amp;"","UNMAPPED"))</f>
        <v>Won</v>
      </c>
      <c r="T359" s="37" t="str">
        <f aca="false">IF($M359="","",IF(NOT(ISNUMBER(R359)),"NO DATE",IF(S359="Won",IF(R359&gt;Settings!$B$5,"Backlog","Delivered"),IF(S359="Open",IF(R359&gt;Settings!$B$5,"Pipeline","Overdue"),IF(S359="Lost","Lost","UNMAPPED")))))</f>
        <v>Delivered</v>
      </c>
      <c r="U359" s="40" t="n">
        <f aca="false">IF(T359="Backlog",1,IF(OR(T359="Pipeline",T359="Overdue"),N(INDEX(Settings!$C$27:$C$36,MATCH(L359,Settings!$A$27:$A$36,0))),0))</f>
        <v>0</v>
      </c>
      <c r="V359" s="38" t="n">
        <f aca="false">Q359*U359</f>
        <v>0</v>
      </c>
      <c r="W359" s="41" t="n">
        <f aca="false">IF($M359="","",IF(T359="Overdue",IF(Settings!$B$8="Yes",Settings!$B$7,""),IF(ISNUMBER(R359),DATE(YEAR(R359),MONTH(R359),1),"")))</f>
        <v>46054</v>
      </c>
      <c r="X359" s="38" t="n">
        <f aca="false">IF(AND(OR(T359="Backlog",T359="Pipeline",T359="Overdue"),ISNUMBER(W359)),IF(W359&lt;=Settings!$B$6,V359,0),0)</f>
        <v>0</v>
      </c>
      <c r="Y359" s="38" t="n">
        <f aca="false">IF(AND(OR(T359="Backlog",T359="Pipeline",T359="Overdue"),ISNUMBER(W359)),IF(W359&lt;=Settings!$B$6,Q359,0),0)</f>
        <v>0</v>
      </c>
      <c r="Z359" s="38" t="n">
        <f aca="false">IF(Y359=0,0,IF(T359="Backlog",Q359,Q359*Dashboard!$C$10))</f>
        <v>0</v>
      </c>
      <c r="AA359" s="37" t="n">
        <f aca="false">IF($N359="",0,IF(COUNTIF(Dashboard!$C$13:$C$22,$N359)&gt;0,1,0))</f>
        <v>0</v>
      </c>
      <c r="AB359" s="37" t="str">
        <f aca="false">IF($N359="","",IF(COUNTIF($N$8:$N359,$N359)=1,MAX($AB$7:$AB358)+1,""))</f>
        <v/>
      </c>
    </row>
    <row r="360" customFormat="false" ht="15" hidden="false" customHeight="false" outlineLevel="0" collapsed="false">
      <c r="B360" s="32" t="s">
        <v>935</v>
      </c>
      <c r="C360" s="32" t="s">
        <v>154</v>
      </c>
      <c r="D360" s="35" t="n">
        <v>4300</v>
      </c>
      <c r="E360" s="32" t="s">
        <v>145</v>
      </c>
      <c r="F360" s="36" t="n">
        <v>46245</v>
      </c>
      <c r="G360" s="32" t="s">
        <v>936</v>
      </c>
      <c r="L360" s="37" t="str">
        <f aca="false">IF(INDEX($A360:$J360,$L$6)&lt;&gt;"",TRIM(LEFT(INDEX($A360:$J360,$L$6),FIND("(",INDEX($A360:$J360,$L$6)&amp;"(")-1)),L359)</f>
        <v>Closed Won</v>
      </c>
      <c r="M360" s="37" t="str">
        <f aca="false">IF(INDEX($A360:$J360,$M$6)="","",INDEX($A360:$J360,$M$6)&amp;"")</f>
        <v>PWC - GB Webcast - 11.8.26</v>
      </c>
      <c r="N360" s="37" t="str">
        <f aca="false">IF($M360="","",TRIM(INDEX($A360:$J360,$N$6)&amp;""))</f>
        <v>PWC</v>
      </c>
      <c r="O360" s="37" t="str">
        <f aca="false">IF($M360="","",TRIM(INDEX($A360:$J360,$O$6)&amp;""))</f>
        <v>Event Production</v>
      </c>
      <c r="P360" s="37" t="str">
        <f aca="false">IF($M360="","",IFERROR(IF(INDEX(Settings!$B$41:$B$50,MATCH(O360,Settings!$A$41:$A$50,0))&amp;""="","UNMAPPED",INDEX(Settings!$B$41:$B$50,MATCH(O360,Settings!$A$41:$A$50,0))&amp;""),"UNMAPPED"))</f>
        <v>Production</v>
      </c>
      <c r="Q360" s="38" t="n">
        <f aca="false">IF($M360="",0,N(INDEX($A360:$J360,$Q$6)))</f>
        <v>4300</v>
      </c>
      <c r="R360" s="39" t="n">
        <f aca="false">IF($M360="","",INDEX($A360:$J360,$R$6))</f>
        <v>46245</v>
      </c>
      <c r="S360" s="37" t="str">
        <f aca="false">IF($M360="","",IFERROR(INDEX(Settings!$B$27:$B$36,MATCH(L360,Settings!$A$27:$A$36,0))&amp;"","UNMAPPED"))</f>
        <v>Won</v>
      </c>
      <c r="T360" s="37" t="str">
        <f aca="false">IF($M360="","",IF(NOT(ISNUMBER(R360)),"NO DATE",IF(S360="Won",IF(R360&gt;Settings!$B$5,"Backlog","Delivered"),IF(S360="Open",IF(R360&gt;Settings!$B$5,"Pipeline","Overdue"),IF(S360="Lost","Lost","UNMAPPED")))))</f>
        <v>Delivered</v>
      </c>
      <c r="U360" s="40" t="n">
        <f aca="false">IF(T360="Backlog",1,IF(OR(T360="Pipeline",T360="Overdue"),N(INDEX(Settings!$C$27:$C$36,MATCH(L360,Settings!$A$27:$A$36,0))),0))</f>
        <v>0</v>
      </c>
      <c r="V360" s="38" t="n">
        <f aca="false">Q360*U360</f>
        <v>0</v>
      </c>
      <c r="W360" s="41" t="n">
        <f aca="false">IF($M360="","",IF(T360="Overdue",IF(Settings!$B$8="Yes",Settings!$B$7,""),IF(ISNUMBER(R360),DATE(YEAR(R360),MONTH(R360),1),"")))</f>
        <v>46235</v>
      </c>
      <c r="X360" s="38" t="n">
        <f aca="false">IF(AND(OR(T360="Backlog",T360="Pipeline",T360="Overdue"),ISNUMBER(W360)),IF(W360&lt;=Settings!$B$6,V360,0),0)</f>
        <v>0</v>
      </c>
      <c r="Y360" s="38" t="n">
        <f aca="false">IF(AND(OR(T360="Backlog",T360="Pipeline",T360="Overdue"),ISNUMBER(W360)),IF(W360&lt;=Settings!$B$6,Q360,0),0)</f>
        <v>0</v>
      </c>
      <c r="Z360" s="38" t="n">
        <f aca="false">IF(Y360=0,0,IF(T360="Backlog",Q360,Q360*Dashboard!$C$10))</f>
        <v>0</v>
      </c>
      <c r="AA360" s="37" t="n">
        <f aca="false">IF($N360="",0,IF(COUNTIF(Dashboard!$C$13:$C$22,$N360)&gt;0,1,0))</f>
        <v>0</v>
      </c>
      <c r="AB360" s="37" t="str">
        <f aca="false">IF($N360="","",IF(COUNTIF($N$8:$N360,$N360)=1,MAX($AB$7:$AB359)+1,""))</f>
        <v/>
      </c>
    </row>
    <row r="361" customFormat="false" ht="15" hidden="false" customHeight="false" outlineLevel="0" collapsed="false">
      <c r="B361" s="32" t="s">
        <v>937</v>
      </c>
      <c r="C361" s="32" t="s">
        <v>217</v>
      </c>
      <c r="D361" s="35" t="n">
        <v>1093</v>
      </c>
      <c r="E361" s="32" t="s">
        <v>145</v>
      </c>
      <c r="F361" s="36" t="n">
        <v>45923</v>
      </c>
      <c r="G361" s="32" t="s">
        <v>938</v>
      </c>
      <c r="L361" s="37" t="str">
        <f aca="false">IF(INDEX($A361:$J361,$L$6)&lt;&gt;"",TRIM(LEFT(INDEX($A361:$J361,$L$6),FIND("(",INDEX($A361:$J361,$L$6)&amp;"(")-1)),L360)</f>
        <v>Closed Won</v>
      </c>
      <c r="M361" s="37" t="str">
        <f aca="false">IF(INDEX($A361:$J361,$M$6)="","",INDEX($A361:$J361,$M$6)&amp;"")</f>
        <v>Curran Library Event 23.9.2025</v>
      </c>
      <c r="N361" s="37" t="str">
        <f aca="false">IF($M361="","",TRIM(INDEX($A361:$J361,$N$6)&amp;""))</f>
        <v>Garvan Institute of Medical Research</v>
      </c>
      <c r="O361" s="37" t="str">
        <f aca="false">IF($M361="","",TRIM(INDEX($A361:$J361,$O$6)&amp;""))</f>
        <v>Event Production</v>
      </c>
      <c r="P361" s="37" t="str">
        <f aca="false">IF($M361="","",IFERROR(IF(INDEX(Settings!$B$41:$B$50,MATCH(O361,Settings!$A$41:$A$50,0))&amp;""="","UNMAPPED",INDEX(Settings!$B$41:$B$50,MATCH(O361,Settings!$A$41:$A$50,0))&amp;""),"UNMAPPED"))</f>
        <v>Production</v>
      </c>
      <c r="Q361" s="38" t="n">
        <f aca="false">IF($M361="",0,N(INDEX($A361:$J361,$Q$6)))</f>
        <v>1093</v>
      </c>
      <c r="R361" s="39" t="n">
        <f aca="false">IF($M361="","",INDEX($A361:$J361,$R$6))</f>
        <v>45923</v>
      </c>
      <c r="S361" s="37" t="str">
        <f aca="false">IF($M361="","",IFERROR(INDEX(Settings!$B$27:$B$36,MATCH(L361,Settings!$A$27:$A$36,0))&amp;"","UNMAPPED"))</f>
        <v>Won</v>
      </c>
      <c r="T361" s="37" t="str">
        <f aca="false">IF($M361="","",IF(NOT(ISNUMBER(R361)),"NO DATE",IF(S361="Won",IF(R361&gt;Settings!$B$5,"Backlog","Delivered"),IF(S361="Open",IF(R361&gt;Settings!$B$5,"Pipeline","Overdue"),IF(S361="Lost","Lost","UNMAPPED")))))</f>
        <v>Delivered</v>
      </c>
      <c r="U361" s="40" t="n">
        <f aca="false">IF(T361="Backlog",1,IF(OR(T361="Pipeline",T361="Overdue"),N(INDEX(Settings!$C$27:$C$36,MATCH(L361,Settings!$A$27:$A$36,0))),0))</f>
        <v>0</v>
      </c>
      <c r="V361" s="38" t="n">
        <f aca="false">Q361*U361</f>
        <v>0</v>
      </c>
      <c r="W361" s="41" t="n">
        <f aca="false">IF($M361="","",IF(T361="Overdue",IF(Settings!$B$8="Yes",Settings!$B$7,""),IF(ISNUMBER(R361),DATE(YEAR(R361),MONTH(R361),1),"")))</f>
        <v>45901</v>
      </c>
      <c r="X361" s="38" t="n">
        <f aca="false">IF(AND(OR(T361="Backlog",T361="Pipeline",T361="Overdue"),ISNUMBER(W361)),IF(W361&lt;=Settings!$B$6,V361,0),0)</f>
        <v>0</v>
      </c>
      <c r="Y361" s="38" t="n">
        <f aca="false">IF(AND(OR(T361="Backlog",T361="Pipeline",T361="Overdue"),ISNUMBER(W361)),IF(W361&lt;=Settings!$B$6,Q361,0),0)</f>
        <v>0</v>
      </c>
      <c r="Z361" s="38" t="n">
        <f aca="false">IF(Y361=0,0,IF(T361="Backlog",Q361,Q361*Dashboard!$C$10))</f>
        <v>0</v>
      </c>
      <c r="AA361" s="37" t="n">
        <f aca="false">IF($N361="",0,IF(COUNTIF(Dashboard!$C$13:$C$22,$N361)&gt;0,1,0))</f>
        <v>0</v>
      </c>
      <c r="AB361" s="37" t="str">
        <f aca="false">IF($N361="","",IF(COUNTIF($N$8:$N361,$N361)=1,MAX($AB$7:$AB360)+1,""))</f>
        <v/>
      </c>
    </row>
    <row r="362" customFormat="false" ht="15" hidden="false" customHeight="false" outlineLevel="0" collapsed="false">
      <c r="B362" s="32" t="s">
        <v>939</v>
      </c>
      <c r="C362" s="32" t="s">
        <v>154</v>
      </c>
      <c r="D362" s="35" t="n">
        <v>2665</v>
      </c>
      <c r="E362" s="32" t="s">
        <v>145</v>
      </c>
      <c r="F362" s="36" t="n">
        <v>45967</v>
      </c>
      <c r="G362" s="32" t="s">
        <v>940</v>
      </c>
      <c r="L362" s="37" t="str">
        <f aca="false">IF(INDEX($A362:$J362,$L$6)&lt;&gt;"",TRIM(LEFT(INDEX($A362:$J362,$L$6),FIND("(",INDEX($A362:$J362,$L$6)&amp;"(")-1)),L361)</f>
        <v>Closed Won</v>
      </c>
      <c r="M362" s="37" t="str">
        <f aca="false">IF(INDEX($A362:$J362,$M$6)="","",INDEX($A362:$J362,$M$6)&amp;"")</f>
        <v>PWC Future of Finance 6.11.2025</v>
      </c>
      <c r="N362" s="37" t="str">
        <f aca="false">IF($M362="","",TRIM(INDEX($A362:$J362,$N$6)&amp;""))</f>
        <v>PWC</v>
      </c>
      <c r="O362" s="37" t="str">
        <f aca="false">IF($M362="","",TRIM(INDEX($A362:$J362,$O$6)&amp;""))</f>
        <v>Event Production</v>
      </c>
      <c r="P362" s="37" t="str">
        <f aca="false">IF($M362="","",IFERROR(IF(INDEX(Settings!$B$41:$B$50,MATCH(O362,Settings!$A$41:$A$50,0))&amp;""="","UNMAPPED",INDEX(Settings!$B$41:$B$50,MATCH(O362,Settings!$A$41:$A$50,0))&amp;""),"UNMAPPED"))</f>
        <v>Production</v>
      </c>
      <c r="Q362" s="38" t="n">
        <f aca="false">IF($M362="",0,N(INDEX($A362:$J362,$Q$6)))</f>
        <v>2665</v>
      </c>
      <c r="R362" s="39" t="n">
        <f aca="false">IF($M362="","",INDEX($A362:$J362,$R$6))</f>
        <v>45967</v>
      </c>
      <c r="S362" s="37" t="str">
        <f aca="false">IF($M362="","",IFERROR(INDEX(Settings!$B$27:$B$36,MATCH(L362,Settings!$A$27:$A$36,0))&amp;"","UNMAPPED"))</f>
        <v>Won</v>
      </c>
      <c r="T362" s="37" t="str">
        <f aca="false">IF($M362="","",IF(NOT(ISNUMBER(R362)),"NO DATE",IF(S362="Won",IF(R362&gt;Settings!$B$5,"Backlog","Delivered"),IF(S362="Open",IF(R362&gt;Settings!$B$5,"Pipeline","Overdue"),IF(S362="Lost","Lost","UNMAPPED")))))</f>
        <v>Delivered</v>
      </c>
      <c r="U362" s="40" t="n">
        <f aca="false">IF(T362="Backlog",1,IF(OR(T362="Pipeline",T362="Overdue"),N(INDEX(Settings!$C$27:$C$36,MATCH(L362,Settings!$A$27:$A$36,0))),0))</f>
        <v>0</v>
      </c>
      <c r="V362" s="38" t="n">
        <f aca="false">Q362*U362</f>
        <v>0</v>
      </c>
      <c r="W362" s="41" t="n">
        <f aca="false">IF($M362="","",IF(T362="Overdue",IF(Settings!$B$8="Yes",Settings!$B$7,""),IF(ISNUMBER(R362),DATE(YEAR(R362),MONTH(R362),1),"")))</f>
        <v>45962</v>
      </c>
      <c r="X362" s="38" t="n">
        <f aca="false">IF(AND(OR(T362="Backlog",T362="Pipeline",T362="Overdue"),ISNUMBER(W362)),IF(W362&lt;=Settings!$B$6,V362,0),0)</f>
        <v>0</v>
      </c>
      <c r="Y362" s="38" t="n">
        <f aca="false">IF(AND(OR(T362="Backlog",T362="Pipeline",T362="Overdue"),ISNUMBER(W362)),IF(W362&lt;=Settings!$B$6,Q362,0),0)</f>
        <v>0</v>
      </c>
      <c r="Z362" s="38" t="n">
        <f aca="false">IF(Y362=0,0,IF(T362="Backlog",Q362,Q362*Dashboard!$C$10))</f>
        <v>0</v>
      </c>
      <c r="AA362" s="37" t="n">
        <f aca="false">IF($N362="",0,IF(COUNTIF(Dashboard!$C$13:$C$22,$N362)&gt;0,1,0))</f>
        <v>0</v>
      </c>
      <c r="AB362" s="37" t="str">
        <f aca="false">IF($N362="","",IF(COUNTIF($N$8:$N362,$N362)=1,MAX($AB$7:$AB361)+1,""))</f>
        <v/>
      </c>
    </row>
    <row r="363" customFormat="false" ht="15" hidden="false" customHeight="false" outlineLevel="0" collapsed="false">
      <c r="B363" s="32" t="s">
        <v>941</v>
      </c>
      <c r="C363" s="32" t="s">
        <v>194</v>
      </c>
      <c r="D363" s="35" t="n">
        <v>11151</v>
      </c>
      <c r="E363" s="32" t="s">
        <v>145</v>
      </c>
      <c r="F363" s="36" t="n">
        <v>46087</v>
      </c>
      <c r="G363" s="32" t="s">
        <v>942</v>
      </c>
      <c r="L363" s="37" t="str">
        <f aca="false">IF(INDEX($A363:$J363,$L$6)&lt;&gt;"",TRIM(LEFT(INDEX($A363:$J363,$L$6),FIND("(",INDEX($A363:$J363,$L$6)&amp;"(")-1)),L362)</f>
        <v>Closed Won</v>
      </c>
      <c r="M363" s="37" t="str">
        <f aca="false">IF(INDEX($A363:$J363,$M$6)="","",INDEX($A363:$J363,$M$6)&amp;"")</f>
        <v>Ventia XELT 11.3.2026</v>
      </c>
      <c r="N363" s="37" t="str">
        <f aca="false">IF($M363="","",TRIM(INDEX($A363:$J363,$N$6)&amp;""))</f>
        <v>Ventia</v>
      </c>
      <c r="O363" s="37" t="str">
        <f aca="false">IF($M363="","",TRIM(INDEX($A363:$J363,$O$6)&amp;""))</f>
        <v>Event Production</v>
      </c>
      <c r="P363" s="37" t="str">
        <f aca="false">IF($M363="","",IFERROR(IF(INDEX(Settings!$B$41:$B$50,MATCH(O363,Settings!$A$41:$A$50,0))&amp;""="","UNMAPPED",INDEX(Settings!$B$41:$B$50,MATCH(O363,Settings!$A$41:$A$50,0))&amp;""),"UNMAPPED"))</f>
        <v>Production</v>
      </c>
      <c r="Q363" s="38" t="n">
        <f aca="false">IF($M363="",0,N(INDEX($A363:$J363,$Q$6)))</f>
        <v>11151</v>
      </c>
      <c r="R363" s="39" t="n">
        <f aca="false">IF($M363="","",INDEX($A363:$J363,$R$6))</f>
        <v>46087</v>
      </c>
      <c r="S363" s="37" t="str">
        <f aca="false">IF($M363="","",IFERROR(INDEX(Settings!$B$27:$B$36,MATCH(L363,Settings!$A$27:$A$36,0))&amp;"","UNMAPPED"))</f>
        <v>Won</v>
      </c>
      <c r="T363" s="37" t="str">
        <f aca="false">IF($M363="","",IF(NOT(ISNUMBER(R363)),"NO DATE",IF(S363="Won",IF(R363&gt;Settings!$B$5,"Backlog","Delivered"),IF(S363="Open",IF(R363&gt;Settings!$B$5,"Pipeline","Overdue"),IF(S363="Lost","Lost","UNMAPPED")))))</f>
        <v>Delivered</v>
      </c>
      <c r="U363" s="40" t="n">
        <f aca="false">IF(T363="Backlog",1,IF(OR(T363="Pipeline",T363="Overdue"),N(INDEX(Settings!$C$27:$C$36,MATCH(L363,Settings!$A$27:$A$36,0))),0))</f>
        <v>0</v>
      </c>
      <c r="V363" s="38" t="n">
        <f aca="false">Q363*U363</f>
        <v>0</v>
      </c>
      <c r="W363" s="41" t="n">
        <f aca="false">IF($M363="","",IF(T363="Overdue",IF(Settings!$B$8="Yes",Settings!$B$7,""),IF(ISNUMBER(R363),DATE(YEAR(R363),MONTH(R363),1),"")))</f>
        <v>46082</v>
      </c>
      <c r="X363" s="38" t="n">
        <f aca="false">IF(AND(OR(T363="Backlog",T363="Pipeline",T363="Overdue"),ISNUMBER(W363)),IF(W363&lt;=Settings!$B$6,V363,0),0)</f>
        <v>0</v>
      </c>
      <c r="Y363" s="38" t="n">
        <f aca="false">IF(AND(OR(T363="Backlog",T363="Pipeline",T363="Overdue"),ISNUMBER(W363)),IF(W363&lt;=Settings!$B$6,Q363,0),0)</f>
        <v>0</v>
      </c>
      <c r="Z363" s="38" t="n">
        <f aca="false">IF(Y363=0,0,IF(T363="Backlog",Q363,Q363*Dashboard!$C$10))</f>
        <v>0</v>
      </c>
      <c r="AA363" s="37" t="n">
        <f aca="false">IF($N363="",0,IF(COUNTIF(Dashboard!$C$13:$C$22,$N363)&gt;0,1,0))</f>
        <v>0</v>
      </c>
      <c r="AB363" s="37" t="str">
        <f aca="false">IF($N363="","",IF(COUNTIF($N$8:$N363,$N363)=1,MAX($AB$7:$AB362)+1,""))</f>
        <v/>
      </c>
    </row>
    <row r="364" customFormat="false" ht="15" hidden="false" customHeight="false" outlineLevel="0" collapsed="false">
      <c r="B364" s="32" t="s">
        <v>943</v>
      </c>
      <c r="C364" s="32" t="s">
        <v>244</v>
      </c>
      <c r="D364" s="35" t="n">
        <v>13981</v>
      </c>
      <c r="E364" s="32" t="s">
        <v>145</v>
      </c>
      <c r="F364" s="36" t="n">
        <v>46211</v>
      </c>
      <c r="G364" s="32" t="s">
        <v>944</v>
      </c>
      <c r="L364" s="37" t="str">
        <f aca="false">IF(INDEX($A364:$J364,$L$6)&lt;&gt;"",TRIM(LEFT(INDEX($A364:$J364,$L$6),FIND("(",INDEX($A364:$J364,$L$6)&amp;"(")-1)),L363)</f>
        <v>Closed Won</v>
      </c>
      <c r="M364" s="37" t="str">
        <f aca="false">IF(INDEX($A364:$J364,$M$6)="","",INDEX($A364:$J364,$M$6)&amp;"")</f>
        <v>APA - Qtly All Hands (BNE) - 4.11.26</v>
      </c>
      <c r="N364" s="37" t="str">
        <f aca="false">IF($M364="","",TRIM(INDEX($A364:$J364,$N$6)&amp;""))</f>
        <v>APA</v>
      </c>
      <c r="O364" s="37" t="str">
        <f aca="false">IF($M364="","",TRIM(INDEX($A364:$J364,$O$6)&amp;""))</f>
        <v>Event Production</v>
      </c>
      <c r="P364" s="37" t="str">
        <f aca="false">IF($M364="","",IFERROR(IF(INDEX(Settings!$B$41:$B$50,MATCH(O364,Settings!$A$41:$A$50,0))&amp;""="","UNMAPPED",INDEX(Settings!$B$41:$B$50,MATCH(O364,Settings!$A$41:$A$50,0))&amp;""),"UNMAPPED"))</f>
        <v>Production</v>
      </c>
      <c r="Q364" s="38" t="n">
        <f aca="false">IF($M364="",0,N(INDEX($A364:$J364,$Q$6)))</f>
        <v>13981</v>
      </c>
      <c r="R364" s="39" t="n">
        <f aca="false">IF($M364="","",INDEX($A364:$J364,$R$6))</f>
        <v>46211</v>
      </c>
      <c r="S364" s="37" t="str">
        <f aca="false">IF($M364="","",IFERROR(INDEX(Settings!$B$27:$B$36,MATCH(L364,Settings!$A$27:$A$36,0))&amp;"","UNMAPPED"))</f>
        <v>Won</v>
      </c>
      <c r="T364" s="37" t="str">
        <f aca="false">IF($M364="","",IF(NOT(ISNUMBER(R364)),"NO DATE",IF(S364="Won",IF(R364&gt;Settings!$B$5,"Backlog","Delivered"),IF(S364="Open",IF(R364&gt;Settings!$B$5,"Pipeline","Overdue"),IF(S364="Lost","Lost","UNMAPPED")))))</f>
        <v>Delivered</v>
      </c>
      <c r="U364" s="40" t="n">
        <f aca="false">IF(T364="Backlog",1,IF(OR(T364="Pipeline",T364="Overdue"),N(INDEX(Settings!$C$27:$C$36,MATCH(L364,Settings!$A$27:$A$36,0))),0))</f>
        <v>0</v>
      </c>
      <c r="V364" s="38" t="n">
        <f aca="false">Q364*U364</f>
        <v>0</v>
      </c>
      <c r="W364" s="41" t="n">
        <f aca="false">IF($M364="","",IF(T364="Overdue",IF(Settings!$B$8="Yes",Settings!$B$7,""),IF(ISNUMBER(R364),DATE(YEAR(R364),MONTH(R364),1),"")))</f>
        <v>46204</v>
      </c>
      <c r="X364" s="38" t="n">
        <f aca="false">IF(AND(OR(T364="Backlog",T364="Pipeline",T364="Overdue"),ISNUMBER(W364)),IF(W364&lt;=Settings!$B$6,V364,0),0)</f>
        <v>0</v>
      </c>
      <c r="Y364" s="38" t="n">
        <f aca="false">IF(AND(OR(T364="Backlog",T364="Pipeline",T364="Overdue"),ISNUMBER(W364)),IF(W364&lt;=Settings!$B$6,Q364,0),0)</f>
        <v>0</v>
      </c>
      <c r="Z364" s="38" t="n">
        <f aca="false">IF(Y364=0,0,IF(T364="Backlog",Q364,Q364*Dashboard!$C$10))</f>
        <v>0</v>
      </c>
      <c r="AA364" s="37" t="n">
        <f aca="false">IF($N364="",0,IF(COUNTIF(Dashboard!$C$13:$C$22,$N364)&gt;0,1,0))</f>
        <v>0</v>
      </c>
      <c r="AB364" s="37" t="str">
        <f aca="false">IF($N364="","",IF(COUNTIF($N$8:$N364,$N364)=1,MAX($AB$7:$AB363)+1,""))</f>
        <v/>
      </c>
    </row>
    <row r="365" customFormat="false" ht="15" hidden="false" customHeight="false" outlineLevel="0" collapsed="false">
      <c r="B365" s="32" t="s">
        <v>945</v>
      </c>
      <c r="C365" s="32" t="s">
        <v>244</v>
      </c>
      <c r="D365" s="35" t="n">
        <v>4205</v>
      </c>
      <c r="E365" s="32" t="s">
        <v>141</v>
      </c>
      <c r="F365" s="36" t="n">
        <v>46223</v>
      </c>
      <c r="G365" s="32" t="s">
        <v>946</v>
      </c>
      <c r="L365" s="37" t="str">
        <f aca="false">IF(INDEX($A365:$J365,$L$6)&lt;&gt;"",TRIM(LEFT(INDEX($A365:$J365,$L$6),FIND("(",INDEX($A365:$J365,$L$6)&amp;"(")-1)),L364)</f>
        <v>Closed Won</v>
      </c>
      <c r="M365" s="37" t="str">
        <f aca="false">IF(INDEX($A365:$J365,$M$6)="","",INDEX($A365:$J365,$M$6)&amp;"")</f>
        <v>APA | Young Eptura Proxyclick Licence Renewal - 2606101</v>
      </c>
      <c r="N365" s="37" t="str">
        <f aca="false">IF($M365="","",TRIM(INDEX($A365:$J365,$N$6)&amp;""))</f>
        <v>APA</v>
      </c>
      <c r="O365" s="37" t="str">
        <f aca="false">IF($M365="","",TRIM(INDEX($A365:$J365,$O$6)&amp;""))</f>
        <v>Integration</v>
      </c>
      <c r="P365" s="37" t="str">
        <f aca="false">IF($M365="","",IFERROR(IF(INDEX(Settings!$B$41:$B$50,MATCH(O365,Settings!$A$41:$A$50,0))&amp;""="","UNMAPPED",INDEX(Settings!$B$41:$B$50,MATCH(O365,Settings!$A$41:$A$50,0))&amp;""),"UNMAPPED"))</f>
        <v>Integration</v>
      </c>
      <c r="Q365" s="38" t="n">
        <f aca="false">IF($M365="",0,N(INDEX($A365:$J365,$Q$6)))</f>
        <v>4205</v>
      </c>
      <c r="R365" s="39" t="n">
        <f aca="false">IF($M365="","",INDEX($A365:$J365,$R$6))</f>
        <v>46223</v>
      </c>
      <c r="S365" s="37" t="str">
        <f aca="false">IF($M365="","",IFERROR(INDEX(Settings!$B$27:$B$36,MATCH(L365,Settings!$A$27:$A$36,0))&amp;"","UNMAPPED"))</f>
        <v>Won</v>
      </c>
      <c r="T365" s="37" t="str">
        <f aca="false">IF($M365="","",IF(NOT(ISNUMBER(R365)),"NO DATE",IF(S365="Won",IF(R365&gt;Settings!$B$5,"Backlog","Delivered"),IF(S365="Open",IF(R365&gt;Settings!$B$5,"Pipeline","Overdue"),IF(S365="Lost","Lost","UNMAPPED")))))</f>
        <v>Delivered</v>
      </c>
      <c r="U365" s="40" t="n">
        <f aca="false">IF(T365="Backlog",1,IF(OR(T365="Pipeline",T365="Overdue"),N(INDEX(Settings!$C$27:$C$36,MATCH(L365,Settings!$A$27:$A$36,0))),0))</f>
        <v>0</v>
      </c>
      <c r="V365" s="38" t="n">
        <f aca="false">Q365*U365</f>
        <v>0</v>
      </c>
      <c r="W365" s="41" t="n">
        <f aca="false">IF($M365="","",IF(T365="Overdue",IF(Settings!$B$8="Yes",Settings!$B$7,""),IF(ISNUMBER(R365),DATE(YEAR(R365),MONTH(R365),1),"")))</f>
        <v>46204</v>
      </c>
      <c r="X365" s="38" t="n">
        <f aca="false">IF(AND(OR(T365="Backlog",T365="Pipeline",T365="Overdue"),ISNUMBER(W365)),IF(W365&lt;=Settings!$B$6,V365,0),0)</f>
        <v>0</v>
      </c>
      <c r="Y365" s="38" t="n">
        <f aca="false">IF(AND(OR(T365="Backlog",T365="Pipeline",T365="Overdue"),ISNUMBER(W365)),IF(W365&lt;=Settings!$B$6,Q365,0),0)</f>
        <v>0</v>
      </c>
      <c r="Z365" s="38" t="n">
        <f aca="false">IF(Y365=0,0,IF(T365="Backlog",Q365,Q365*Dashboard!$C$10))</f>
        <v>0</v>
      </c>
      <c r="AA365" s="37" t="n">
        <f aca="false">IF($N365="",0,IF(COUNTIF(Dashboard!$C$13:$C$22,$N365)&gt;0,1,0))</f>
        <v>0</v>
      </c>
      <c r="AB365" s="37" t="str">
        <f aca="false">IF($N365="","",IF(COUNTIF($N$8:$N365,$N365)=1,MAX($AB$7:$AB364)+1,""))</f>
        <v/>
      </c>
    </row>
    <row r="366" customFormat="false" ht="15" hidden="false" customHeight="false" outlineLevel="0" collapsed="false">
      <c r="B366" s="32" t="s">
        <v>506</v>
      </c>
      <c r="C366" s="32" t="s">
        <v>154</v>
      </c>
      <c r="D366" s="35" t="n">
        <v>8500</v>
      </c>
      <c r="E366" s="32" t="s">
        <v>180</v>
      </c>
      <c r="F366" s="36" t="n">
        <v>46253</v>
      </c>
      <c r="G366" s="32" t="s">
        <v>947</v>
      </c>
      <c r="L366" s="37" t="str">
        <f aca="false">IF(INDEX($A366:$J366,$L$6)&lt;&gt;"",TRIM(LEFT(INDEX($A366:$J366,$L$6),FIND("(",INDEX($A366:$J366,$L$6)&amp;"(")-1)),L365)</f>
        <v>Closed Won</v>
      </c>
      <c r="M366" s="37" t="str">
        <f aca="false">IF(INDEX($A366:$J366,$M$6)="","",INDEX($A366:$J366,$M$6)&amp;"")</f>
        <v>Pool of Hours - National AV / IT Support</v>
      </c>
      <c r="N366" s="37" t="str">
        <f aca="false">IF($M366="","",TRIM(INDEX($A366:$J366,$N$6)&amp;""))</f>
        <v>PWC</v>
      </c>
      <c r="O366" s="37" t="str">
        <f aca="false">IF($M366="","",TRIM(INDEX($A366:$J366,$O$6)&amp;""))</f>
        <v>Support</v>
      </c>
      <c r="P366" s="37" t="str">
        <f aca="false">IF($M366="","",IFERROR(IF(INDEX(Settings!$B$41:$B$50,MATCH(O366,Settings!$A$41:$A$50,0))&amp;""="","UNMAPPED",INDEX(Settings!$B$41:$B$50,MATCH(O366,Settings!$A$41:$A$50,0))&amp;""),"UNMAPPED"))</f>
        <v>Onsite</v>
      </c>
      <c r="Q366" s="38" t="n">
        <f aca="false">IF($M366="",0,N(INDEX($A366:$J366,$Q$6)))</f>
        <v>8500</v>
      </c>
      <c r="R366" s="39" t="n">
        <f aca="false">IF($M366="","",INDEX($A366:$J366,$R$6))</f>
        <v>46253</v>
      </c>
      <c r="S366" s="37" t="str">
        <f aca="false">IF($M366="","",IFERROR(INDEX(Settings!$B$27:$B$36,MATCH(L366,Settings!$A$27:$A$36,0))&amp;"","UNMAPPED"))</f>
        <v>Won</v>
      </c>
      <c r="T366" s="37" t="str">
        <f aca="false">IF($M366="","",IF(NOT(ISNUMBER(R366)),"NO DATE",IF(S366="Won",IF(R366&gt;Settings!$B$5,"Backlog","Delivered"),IF(S366="Open",IF(R366&gt;Settings!$B$5,"Pipeline","Overdue"),IF(S366="Lost","Lost","UNMAPPED")))))</f>
        <v>Delivered</v>
      </c>
      <c r="U366" s="40" t="n">
        <f aca="false">IF(T366="Backlog",1,IF(OR(T366="Pipeline",T366="Overdue"),N(INDEX(Settings!$C$27:$C$36,MATCH(L366,Settings!$A$27:$A$36,0))),0))</f>
        <v>0</v>
      </c>
      <c r="V366" s="38" t="n">
        <f aca="false">Q366*U366</f>
        <v>0</v>
      </c>
      <c r="W366" s="41" t="n">
        <f aca="false">IF($M366="","",IF(T366="Overdue",IF(Settings!$B$8="Yes",Settings!$B$7,""),IF(ISNUMBER(R366),DATE(YEAR(R366),MONTH(R366),1),"")))</f>
        <v>46235</v>
      </c>
      <c r="X366" s="38" t="n">
        <f aca="false">IF(AND(OR(T366="Backlog",T366="Pipeline",T366="Overdue"),ISNUMBER(W366)),IF(W366&lt;=Settings!$B$6,V366,0),0)</f>
        <v>0</v>
      </c>
      <c r="Y366" s="38" t="n">
        <f aca="false">IF(AND(OR(T366="Backlog",T366="Pipeline",T366="Overdue"),ISNUMBER(W366)),IF(W366&lt;=Settings!$B$6,Q366,0),0)</f>
        <v>0</v>
      </c>
      <c r="Z366" s="38" t="n">
        <f aca="false">IF(Y366=0,0,IF(T366="Backlog",Q366,Q366*Dashboard!$C$10))</f>
        <v>0</v>
      </c>
      <c r="AA366" s="37" t="n">
        <f aca="false">IF($N366="",0,IF(COUNTIF(Dashboard!$C$13:$C$22,$N366)&gt;0,1,0))</f>
        <v>0</v>
      </c>
      <c r="AB366" s="37" t="str">
        <f aca="false">IF($N366="","",IF(COUNTIF($N$8:$N366,$N366)=1,MAX($AB$7:$AB365)+1,""))</f>
        <v/>
      </c>
    </row>
    <row r="367" customFormat="false" ht="15" hidden="false" customHeight="false" outlineLevel="0" collapsed="false">
      <c r="B367" s="32" t="s">
        <v>948</v>
      </c>
      <c r="C367" s="32" t="s">
        <v>154</v>
      </c>
      <c r="D367" s="35" t="n">
        <v>2475</v>
      </c>
      <c r="E367" s="32" t="s">
        <v>180</v>
      </c>
      <c r="F367" s="36" t="n">
        <v>45863</v>
      </c>
      <c r="G367" s="32" t="s">
        <v>949</v>
      </c>
      <c r="L367" s="37" t="str">
        <f aca="false">IF(INDEX($A367:$J367,$L$6)&lt;&gt;"",TRIM(LEFT(INDEX($A367:$J367,$L$6),FIND("(",INDEX($A367:$J367,$L$6)&amp;"(")-1)),L366)</f>
        <v>Closed Won</v>
      </c>
      <c r="M367" s="37" t="str">
        <f aca="false">IF(INDEX($A367:$J367,$M$6)="","",INDEX($A367:$J367,$M$6)&amp;"")</f>
        <v>Pool of hours for National AV Support #4</v>
      </c>
      <c r="N367" s="37" t="str">
        <f aca="false">IF($M367="","",TRIM(INDEX($A367:$J367,$N$6)&amp;""))</f>
        <v>PWC</v>
      </c>
      <c r="O367" s="37" t="str">
        <f aca="false">IF($M367="","",TRIM(INDEX($A367:$J367,$O$6)&amp;""))</f>
        <v>Support</v>
      </c>
      <c r="P367" s="37" t="str">
        <f aca="false">IF($M367="","",IFERROR(IF(INDEX(Settings!$B$41:$B$50,MATCH(O367,Settings!$A$41:$A$50,0))&amp;""="","UNMAPPED",INDEX(Settings!$B$41:$B$50,MATCH(O367,Settings!$A$41:$A$50,0))&amp;""),"UNMAPPED"))</f>
        <v>Onsite</v>
      </c>
      <c r="Q367" s="38" t="n">
        <f aca="false">IF($M367="",0,N(INDEX($A367:$J367,$Q$6)))</f>
        <v>2475</v>
      </c>
      <c r="R367" s="39" t="n">
        <f aca="false">IF($M367="","",INDEX($A367:$J367,$R$6))</f>
        <v>45863</v>
      </c>
      <c r="S367" s="37" t="str">
        <f aca="false">IF($M367="","",IFERROR(INDEX(Settings!$B$27:$B$36,MATCH(L367,Settings!$A$27:$A$36,0))&amp;"","UNMAPPED"))</f>
        <v>Won</v>
      </c>
      <c r="T367" s="37" t="str">
        <f aca="false">IF($M367="","",IF(NOT(ISNUMBER(R367)),"NO DATE",IF(S367="Won",IF(R367&gt;Settings!$B$5,"Backlog","Delivered"),IF(S367="Open",IF(R367&gt;Settings!$B$5,"Pipeline","Overdue"),IF(S367="Lost","Lost","UNMAPPED")))))</f>
        <v>Delivered</v>
      </c>
      <c r="U367" s="40" t="n">
        <f aca="false">IF(T367="Backlog",1,IF(OR(T367="Pipeline",T367="Overdue"),N(INDEX(Settings!$C$27:$C$36,MATCH(L367,Settings!$A$27:$A$36,0))),0))</f>
        <v>0</v>
      </c>
      <c r="V367" s="38" t="n">
        <f aca="false">Q367*U367</f>
        <v>0</v>
      </c>
      <c r="W367" s="41" t="n">
        <f aca="false">IF($M367="","",IF(T367="Overdue",IF(Settings!$B$8="Yes",Settings!$B$7,""),IF(ISNUMBER(R367),DATE(YEAR(R367),MONTH(R367),1),"")))</f>
        <v>45839</v>
      </c>
      <c r="X367" s="38" t="n">
        <f aca="false">IF(AND(OR(T367="Backlog",T367="Pipeline",T367="Overdue"),ISNUMBER(W367)),IF(W367&lt;=Settings!$B$6,V367,0),0)</f>
        <v>0</v>
      </c>
      <c r="Y367" s="38" t="n">
        <f aca="false">IF(AND(OR(T367="Backlog",T367="Pipeline",T367="Overdue"),ISNUMBER(W367)),IF(W367&lt;=Settings!$B$6,Q367,0),0)</f>
        <v>0</v>
      </c>
      <c r="Z367" s="38" t="n">
        <f aca="false">IF(Y367=0,0,IF(T367="Backlog",Q367,Q367*Dashboard!$C$10))</f>
        <v>0</v>
      </c>
      <c r="AA367" s="37" t="n">
        <f aca="false">IF($N367="",0,IF(COUNTIF(Dashboard!$C$13:$C$22,$N367)&gt;0,1,0))</f>
        <v>0</v>
      </c>
      <c r="AB367" s="37" t="str">
        <f aca="false">IF($N367="","",IF(COUNTIF($N$8:$N367,$N367)=1,MAX($AB$7:$AB366)+1,""))</f>
        <v/>
      </c>
    </row>
    <row r="368" customFormat="false" ht="15" hidden="false" customHeight="false" outlineLevel="0" collapsed="false">
      <c r="B368" s="32" t="s">
        <v>950</v>
      </c>
      <c r="C368" s="32" t="s">
        <v>205</v>
      </c>
      <c r="D368" s="35" t="n">
        <v>435</v>
      </c>
      <c r="E368" s="32" t="s">
        <v>180</v>
      </c>
      <c r="F368" s="36" t="n">
        <v>45981</v>
      </c>
      <c r="G368" s="32" t="s">
        <v>951</v>
      </c>
      <c r="L368" s="37" t="str">
        <f aca="false">IF(INDEX($A368:$J368,$L$6)&lt;&gt;"",TRIM(LEFT(INDEX($A368:$J368,$L$6),FIND("(",INDEX($A368:$J368,$L$6)&amp;"(")-1)),L367)</f>
        <v>Closed Won</v>
      </c>
      <c r="M368" s="37" t="str">
        <f aca="false">IF(INDEX($A368:$J368,$M$6)="","",INDEX($A368:$J368,$M$6)&amp;"")</f>
        <v>Deloitte Tech Support - Client Seminar Event 20/11</v>
      </c>
      <c r="N368" s="37" t="str">
        <f aca="false">IF($M368="","",TRIM(INDEX($A368:$J368,$N$6)&amp;""))</f>
        <v>Deloitte - Sydney</v>
      </c>
      <c r="O368" s="37" t="str">
        <f aca="false">IF($M368="","",TRIM(INDEX($A368:$J368,$O$6)&amp;""))</f>
        <v>Support</v>
      </c>
      <c r="P368" s="37" t="str">
        <f aca="false">IF($M368="","",IFERROR(IF(INDEX(Settings!$B$41:$B$50,MATCH(O368,Settings!$A$41:$A$50,0))&amp;""="","UNMAPPED",INDEX(Settings!$B$41:$B$50,MATCH(O368,Settings!$A$41:$A$50,0))&amp;""),"UNMAPPED"))</f>
        <v>Onsite</v>
      </c>
      <c r="Q368" s="38" t="n">
        <f aca="false">IF($M368="",0,N(INDEX($A368:$J368,$Q$6)))</f>
        <v>435</v>
      </c>
      <c r="R368" s="39" t="n">
        <f aca="false">IF($M368="","",INDEX($A368:$J368,$R$6))</f>
        <v>45981</v>
      </c>
      <c r="S368" s="37" t="str">
        <f aca="false">IF($M368="","",IFERROR(INDEX(Settings!$B$27:$B$36,MATCH(L368,Settings!$A$27:$A$36,0))&amp;"","UNMAPPED"))</f>
        <v>Won</v>
      </c>
      <c r="T368" s="37" t="str">
        <f aca="false">IF($M368="","",IF(NOT(ISNUMBER(R368)),"NO DATE",IF(S368="Won",IF(R368&gt;Settings!$B$5,"Backlog","Delivered"),IF(S368="Open",IF(R368&gt;Settings!$B$5,"Pipeline","Overdue"),IF(S368="Lost","Lost","UNMAPPED")))))</f>
        <v>Delivered</v>
      </c>
      <c r="U368" s="40" t="n">
        <f aca="false">IF(T368="Backlog",1,IF(OR(T368="Pipeline",T368="Overdue"),N(INDEX(Settings!$C$27:$C$36,MATCH(L368,Settings!$A$27:$A$36,0))),0))</f>
        <v>0</v>
      </c>
      <c r="V368" s="38" t="n">
        <f aca="false">Q368*U368</f>
        <v>0</v>
      </c>
      <c r="W368" s="41" t="n">
        <f aca="false">IF($M368="","",IF(T368="Overdue",IF(Settings!$B$8="Yes",Settings!$B$7,""),IF(ISNUMBER(R368),DATE(YEAR(R368),MONTH(R368),1),"")))</f>
        <v>45962</v>
      </c>
      <c r="X368" s="38" t="n">
        <f aca="false">IF(AND(OR(T368="Backlog",T368="Pipeline",T368="Overdue"),ISNUMBER(W368)),IF(W368&lt;=Settings!$B$6,V368,0),0)</f>
        <v>0</v>
      </c>
      <c r="Y368" s="38" t="n">
        <f aca="false">IF(AND(OR(T368="Backlog",T368="Pipeline",T368="Overdue"),ISNUMBER(W368)),IF(W368&lt;=Settings!$B$6,Q368,0),0)</f>
        <v>0</v>
      </c>
      <c r="Z368" s="38" t="n">
        <f aca="false">IF(Y368=0,0,IF(T368="Backlog",Q368,Q368*Dashboard!$C$10))</f>
        <v>0</v>
      </c>
      <c r="AA368" s="37" t="n">
        <f aca="false">IF($N368="",0,IF(COUNTIF(Dashboard!$C$13:$C$22,$N368)&gt;0,1,0))</f>
        <v>0</v>
      </c>
      <c r="AB368" s="37" t="str">
        <f aca="false">IF($N368="","",IF(COUNTIF($N$8:$N368,$N368)=1,MAX($AB$7:$AB367)+1,""))</f>
        <v/>
      </c>
    </row>
    <row r="369" customFormat="false" ht="15" hidden="false" customHeight="false" outlineLevel="0" collapsed="false">
      <c r="B369" s="32" t="s">
        <v>952</v>
      </c>
      <c r="C369" s="32" t="s">
        <v>276</v>
      </c>
      <c r="D369" s="35" t="n">
        <v>380</v>
      </c>
      <c r="E369" s="32" t="s">
        <v>145</v>
      </c>
      <c r="F369" s="36" t="n">
        <v>45995</v>
      </c>
      <c r="G369" s="32" t="s">
        <v>953</v>
      </c>
      <c r="L369" s="37" t="str">
        <f aca="false">IF(INDEX($A369:$J369,$L$6)&lt;&gt;"",TRIM(LEFT(INDEX($A369:$J369,$L$6),FIND("(",INDEX($A369:$J369,$L$6)&amp;"(")-1)),L368)</f>
        <v>Closed Won</v>
      </c>
      <c r="M369" s="37" t="str">
        <f aca="false">IF(INDEX($A369:$J369,$M$6)="","",INDEX($A369:$J369,$M$6)&amp;"")</f>
        <v>JP Morgan - Audio Technician 4.12.25</v>
      </c>
      <c r="N369" s="37" t="str">
        <f aca="false">IF($M369="","",TRIM(INDEX($A369:$J369,$N$6)&amp;""))</f>
        <v>Vega Global</v>
      </c>
      <c r="O369" s="37" t="str">
        <f aca="false">IF($M369="","",TRIM(INDEX($A369:$J369,$O$6)&amp;""))</f>
        <v>Event Production</v>
      </c>
      <c r="P369" s="37" t="str">
        <f aca="false">IF($M369="","",IFERROR(IF(INDEX(Settings!$B$41:$B$50,MATCH(O369,Settings!$A$41:$A$50,0))&amp;""="","UNMAPPED",INDEX(Settings!$B$41:$B$50,MATCH(O369,Settings!$A$41:$A$50,0))&amp;""),"UNMAPPED"))</f>
        <v>Production</v>
      </c>
      <c r="Q369" s="38" t="n">
        <f aca="false">IF($M369="",0,N(INDEX($A369:$J369,$Q$6)))</f>
        <v>380</v>
      </c>
      <c r="R369" s="39" t="n">
        <f aca="false">IF($M369="","",INDEX($A369:$J369,$R$6))</f>
        <v>45995</v>
      </c>
      <c r="S369" s="37" t="str">
        <f aca="false">IF($M369="","",IFERROR(INDEX(Settings!$B$27:$B$36,MATCH(L369,Settings!$A$27:$A$36,0))&amp;"","UNMAPPED"))</f>
        <v>Won</v>
      </c>
      <c r="T369" s="37" t="str">
        <f aca="false">IF($M369="","",IF(NOT(ISNUMBER(R369)),"NO DATE",IF(S369="Won",IF(R369&gt;Settings!$B$5,"Backlog","Delivered"),IF(S369="Open",IF(R369&gt;Settings!$B$5,"Pipeline","Overdue"),IF(S369="Lost","Lost","UNMAPPED")))))</f>
        <v>Delivered</v>
      </c>
      <c r="U369" s="40" t="n">
        <f aca="false">IF(T369="Backlog",1,IF(OR(T369="Pipeline",T369="Overdue"),N(INDEX(Settings!$C$27:$C$36,MATCH(L369,Settings!$A$27:$A$36,0))),0))</f>
        <v>0</v>
      </c>
      <c r="V369" s="38" t="n">
        <f aca="false">Q369*U369</f>
        <v>0</v>
      </c>
      <c r="W369" s="41" t="n">
        <f aca="false">IF($M369="","",IF(T369="Overdue",IF(Settings!$B$8="Yes",Settings!$B$7,""),IF(ISNUMBER(R369),DATE(YEAR(R369),MONTH(R369),1),"")))</f>
        <v>45992</v>
      </c>
      <c r="X369" s="38" t="n">
        <f aca="false">IF(AND(OR(T369="Backlog",T369="Pipeline",T369="Overdue"),ISNUMBER(W369)),IF(W369&lt;=Settings!$B$6,V369,0),0)</f>
        <v>0</v>
      </c>
      <c r="Y369" s="38" t="n">
        <f aca="false">IF(AND(OR(T369="Backlog",T369="Pipeline",T369="Overdue"),ISNUMBER(W369)),IF(W369&lt;=Settings!$B$6,Q369,0),0)</f>
        <v>0</v>
      </c>
      <c r="Z369" s="38" t="n">
        <f aca="false">IF(Y369=0,0,IF(T369="Backlog",Q369,Q369*Dashboard!$C$10))</f>
        <v>0</v>
      </c>
      <c r="AA369" s="37" t="n">
        <f aca="false">IF($N369="",0,IF(COUNTIF(Dashboard!$C$13:$C$22,$N369)&gt;0,1,0))</f>
        <v>0</v>
      </c>
      <c r="AB369" s="37" t="str">
        <f aca="false">IF($N369="","",IF(COUNTIF($N$8:$N369,$N369)=1,MAX($AB$7:$AB368)+1,""))</f>
        <v/>
      </c>
    </row>
    <row r="370" customFormat="false" ht="15" hidden="false" customHeight="false" outlineLevel="0" collapsed="false">
      <c r="B370" s="32" t="s">
        <v>954</v>
      </c>
      <c r="C370" s="32" t="s">
        <v>955</v>
      </c>
      <c r="D370" s="35" t="n">
        <v>4707</v>
      </c>
      <c r="E370" s="32" t="s">
        <v>145</v>
      </c>
      <c r="F370" s="36" t="n">
        <v>46042</v>
      </c>
      <c r="G370" s="32" t="s">
        <v>956</v>
      </c>
      <c r="L370" s="37" t="str">
        <f aca="false">IF(INDEX($A370:$J370,$L$6)&lt;&gt;"",TRIM(LEFT(INDEX($A370:$J370,$L$6),FIND("(",INDEX($A370:$J370,$L$6)&amp;"(")-1)),L369)</f>
        <v>Closed Won</v>
      </c>
      <c r="M370" s="37" t="str">
        <f aca="false">IF(INDEX($A370:$J370,$M$6)="","",INDEX($A370:$J370,$M$6)&amp;"")</f>
        <v>Investor Webinar 2026</v>
      </c>
      <c r="N370" s="37" t="str">
        <f aca="false">IF($M370="","",TRIM(INDEX($A370:$J370,$N$6)&amp;""))</f>
        <v>Nyrada</v>
      </c>
      <c r="O370" s="37" t="str">
        <f aca="false">IF($M370="","",TRIM(INDEX($A370:$J370,$O$6)&amp;""))</f>
        <v>Event Production</v>
      </c>
      <c r="P370" s="37" t="str">
        <f aca="false">IF($M370="","",IFERROR(IF(INDEX(Settings!$B$41:$B$50,MATCH(O370,Settings!$A$41:$A$50,0))&amp;""="","UNMAPPED",INDEX(Settings!$B$41:$B$50,MATCH(O370,Settings!$A$41:$A$50,0))&amp;""),"UNMAPPED"))</f>
        <v>Production</v>
      </c>
      <c r="Q370" s="38" t="n">
        <f aca="false">IF($M370="",0,N(INDEX($A370:$J370,$Q$6)))</f>
        <v>4707</v>
      </c>
      <c r="R370" s="39" t="n">
        <f aca="false">IF($M370="","",INDEX($A370:$J370,$R$6))</f>
        <v>46042</v>
      </c>
      <c r="S370" s="37" t="str">
        <f aca="false">IF($M370="","",IFERROR(INDEX(Settings!$B$27:$B$36,MATCH(L370,Settings!$A$27:$A$36,0))&amp;"","UNMAPPED"))</f>
        <v>Won</v>
      </c>
      <c r="T370" s="37" t="str">
        <f aca="false">IF($M370="","",IF(NOT(ISNUMBER(R370)),"NO DATE",IF(S370="Won",IF(R370&gt;Settings!$B$5,"Backlog","Delivered"),IF(S370="Open",IF(R370&gt;Settings!$B$5,"Pipeline","Overdue"),IF(S370="Lost","Lost","UNMAPPED")))))</f>
        <v>Delivered</v>
      </c>
      <c r="U370" s="40" t="n">
        <f aca="false">IF(T370="Backlog",1,IF(OR(T370="Pipeline",T370="Overdue"),N(INDEX(Settings!$C$27:$C$36,MATCH(L370,Settings!$A$27:$A$36,0))),0))</f>
        <v>0</v>
      </c>
      <c r="V370" s="38" t="n">
        <f aca="false">Q370*U370</f>
        <v>0</v>
      </c>
      <c r="W370" s="41" t="n">
        <f aca="false">IF($M370="","",IF(T370="Overdue",IF(Settings!$B$8="Yes",Settings!$B$7,""),IF(ISNUMBER(R370),DATE(YEAR(R370),MONTH(R370),1),"")))</f>
        <v>46023</v>
      </c>
      <c r="X370" s="38" t="n">
        <f aca="false">IF(AND(OR(T370="Backlog",T370="Pipeline",T370="Overdue"),ISNUMBER(W370)),IF(W370&lt;=Settings!$B$6,V370,0),0)</f>
        <v>0</v>
      </c>
      <c r="Y370" s="38" t="n">
        <f aca="false">IF(AND(OR(T370="Backlog",T370="Pipeline",T370="Overdue"),ISNUMBER(W370)),IF(W370&lt;=Settings!$B$6,Q370,0),0)</f>
        <v>0</v>
      </c>
      <c r="Z370" s="38" t="n">
        <f aca="false">IF(Y370=0,0,IF(T370="Backlog",Q370,Q370*Dashboard!$C$10))</f>
        <v>0</v>
      </c>
      <c r="AA370" s="37" t="n">
        <f aca="false">IF($N370="",0,IF(COUNTIF(Dashboard!$C$13:$C$22,$N370)&gt;0,1,0))</f>
        <v>0</v>
      </c>
      <c r="AB370" s="37" t="n">
        <f aca="false">IF($N370="","",IF(COUNTIF($N$8:$N370,$N370)=1,MAX($AB$7:$AB369)+1,""))</f>
        <v>88</v>
      </c>
    </row>
    <row r="371" customFormat="false" ht="15" hidden="false" customHeight="false" outlineLevel="0" collapsed="false">
      <c r="B371" s="32" t="s">
        <v>957</v>
      </c>
      <c r="C371" s="32" t="s">
        <v>847</v>
      </c>
      <c r="D371" s="35" t="n">
        <v>889</v>
      </c>
      <c r="E371" s="32" t="s">
        <v>145</v>
      </c>
      <c r="F371" s="36" t="n">
        <v>46274</v>
      </c>
      <c r="G371" s="32" t="s">
        <v>958</v>
      </c>
      <c r="L371" s="37" t="str">
        <f aca="false">IF(INDEX($A371:$J371,$L$6)&lt;&gt;"",TRIM(LEFT(INDEX($A371:$J371,$L$6),FIND("(",INDEX($A371:$J371,$L$6)&amp;"(")-1)),L370)</f>
        <v>Closed Won</v>
      </c>
      <c r="M371" s="37" t="str">
        <f aca="false">IF(INDEX($A371:$J371,$M$6)="","",INDEX($A371:$J371,$M$6)&amp;"")</f>
        <v>ART - Education Session Captioning - 25.11.26</v>
      </c>
      <c r="N371" s="37" t="str">
        <f aca="false">IF($M371="","",TRIM(INDEX($A371:$J371,$N$6)&amp;""))</f>
        <v>Australian Retirement Trust</v>
      </c>
      <c r="O371" s="37" t="str">
        <f aca="false">IF($M371="","",TRIM(INDEX($A371:$J371,$O$6)&amp;""))</f>
        <v>Event Production</v>
      </c>
      <c r="P371" s="37" t="str">
        <f aca="false">IF($M371="","",IFERROR(IF(INDEX(Settings!$B$41:$B$50,MATCH(O371,Settings!$A$41:$A$50,0))&amp;""="","UNMAPPED",INDEX(Settings!$B$41:$B$50,MATCH(O371,Settings!$A$41:$A$50,0))&amp;""),"UNMAPPED"))</f>
        <v>Production</v>
      </c>
      <c r="Q371" s="38" t="n">
        <f aca="false">IF($M371="",0,N(INDEX($A371:$J371,$Q$6)))</f>
        <v>889</v>
      </c>
      <c r="R371" s="39" t="n">
        <f aca="false">IF($M371="","",INDEX($A371:$J371,$R$6))</f>
        <v>46274</v>
      </c>
      <c r="S371" s="37" t="str">
        <f aca="false">IF($M371="","",IFERROR(INDEX(Settings!$B$27:$B$36,MATCH(L371,Settings!$A$27:$A$36,0))&amp;"","UNMAPPED"))</f>
        <v>Won</v>
      </c>
      <c r="T371" s="37" t="str">
        <f aca="false">IF($M371="","",IF(NOT(ISNUMBER(R371)),"NO DATE",IF(S371="Won",IF(R371&gt;Settings!$B$5,"Backlog","Delivered"),IF(S371="Open",IF(R371&gt;Settings!$B$5,"Pipeline","Overdue"),IF(S371="Lost","Lost","UNMAPPED")))))</f>
        <v>Delivered</v>
      </c>
      <c r="U371" s="40" t="n">
        <f aca="false">IF(T371="Backlog",1,IF(OR(T371="Pipeline",T371="Overdue"),N(INDEX(Settings!$C$27:$C$36,MATCH(L371,Settings!$A$27:$A$36,0))),0))</f>
        <v>0</v>
      </c>
      <c r="V371" s="38" t="n">
        <f aca="false">Q371*U371</f>
        <v>0</v>
      </c>
      <c r="W371" s="41" t="n">
        <f aca="false">IF($M371="","",IF(T371="Overdue",IF(Settings!$B$8="Yes",Settings!$B$7,""),IF(ISNUMBER(R371),DATE(YEAR(R371),MONTH(R371),1),"")))</f>
        <v>46266</v>
      </c>
      <c r="X371" s="38" t="n">
        <f aca="false">IF(AND(OR(T371="Backlog",T371="Pipeline",T371="Overdue"),ISNUMBER(W371)),IF(W371&lt;=Settings!$B$6,V371,0),0)</f>
        <v>0</v>
      </c>
      <c r="Y371" s="38" t="n">
        <f aca="false">IF(AND(OR(T371="Backlog",T371="Pipeline",T371="Overdue"),ISNUMBER(W371)),IF(W371&lt;=Settings!$B$6,Q371,0),0)</f>
        <v>0</v>
      </c>
      <c r="Z371" s="38" t="n">
        <f aca="false">IF(Y371=0,0,IF(T371="Backlog",Q371,Q371*Dashboard!$C$10))</f>
        <v>0</v>
      </c>
      <c r="AA371" s="37" t="n">
        <f aca="false">IF($N371="",0,IF(COUNTIF(Dashboard!$C$13:$C$22,$N371)&gt;0,1,0))</f>
        <v>0</v>
      </c>
      <c r="AB371" s="37" t="str">
        <f aca="false">IF($N371="","",IF(COUNTIF($N$8:$N371,$N371)=1,MAX($AB$7:$AB370)+1,""))</f>
        <v/>
      </c>
    </row>
    <row r="372" customFormat="false" ht="15" hidden="false" customHeight="false" outlineLevel="0" collapsed="false">
      <c r="B372" s="32" t="s">
        <v>959</v>
      </c>
      <c r="C372" s="32" t="s">
        <v>205</v>
      </c>
      <c r="D372" s="35" t="n">
        <v>850</v>
      </c>
      <c r="E372" s="32" t="s">
        <v>180</v>
      </c>
      <c r="F372" s="36" t="n">
        <v>45987</v>
      </c>
      <c r="G372" s="32" t="s">
        <v>960</v>
      </c>
      <c r="L372" s="37" t="str">
        <f aca="false">IF(INDEX($A372:$J372,$L$6)&lt;&gt;"",TRIM(LEFT(INDEX($A372:$J372,$L$6),FIND("(",INDEX($A372:$J372,$L$6)&amp;"(")-1)),L371)</f>
        <v>Closed Won</v>
      </c>
      <c r="M372" s="37" t="str">
        <f aca="false">IF(INDEX($A372:$J372,$M$6)="","",INDEX($A372:$J372,$M$6)&amp;"")</f>
        <v>Deloitte Tech Support - Sports Investment Summit 26th of November</v>
      </c>
      <c r="N372" s="37" t="str">
        <f aca="false">IF($M372="","",TRIM(INDEX($A372:$J372,$N$6)&amp;""))</f>
        <v>Deloitte - Sydney</v>
      </c>
      <c r="O372" s="37" t="str">
        <f aca="false">IF($M372="","",TRIM(INDEX($A372:$J372,$O$6)&amp;""))</f>
        <v>Support</v>
      </c>
      <c r="P372" s="37" t="str">
        <f aca="false">IF($M372="","",IFERROR(IF(INDEX(Settings!$B$41:$B$50,MATCH(O372,Settings!$A$41:$A$50,0))&amp;""="","UNMAPPED",INDEX(Settings!$B$41:$B$50,MATCH(O372,Settings!$A$41:$A$50,0))&amp;""),"UNMAPPED"))</f>
        <v>Onsite</v>
      </c>
      <c r="Q372" s="38" t="n">
        <f aca="false">IF($M372="",0,N(INDEX($A372:$J372,$Q$6)))</f>
        <v>850</v>
      </c>
      <c r="R372" s="39" t="n">
        <f aca="false">IF($M372="","",INDEX($A372:$J372,$R$6))</f>
        <v>45987</v>
      </c>
      <c r="S372" s="37" t="str">
        <f aca="false">IF($M372="","",IFERROR(INDEX(Settings!$B$27:$B$36,MATCH(L372,Settings!$A$27:$A$36,0))&amp;"","UNMAPPED"))</f>
        <v>Won</v>
      </c>
      <c r="T372" s="37" t="str">
        <f aca="false">IF($M372="","",IF(NOT(ISNUMBER(R372)),"NO DATE",IF(S372="Won",IF(R372&gt;Settings!$B$5,"Backlog","Delivered"),IF(S372="Open",IF(R372&gt;Settings!$B$5,"Pipeline","Overdue"),IF(S372="Lost","Lost","UNMAPPED")))))</f>
        <v>Delivered</v>
      </c>
      <c r="U372" s="40" t="n">
        <f aca="false">IF(T372="Backlog",1,IF(OR(T372="Pipeline",T372="Overdue"),N(INDEX(Settings!$C$27:$C$36,MATCH(L372,Settings!$A$27:$A$36,0))),0))</f>
        <v>0</v>
      </c>
      <c r="V372" s="38" t="n">
        <f aca="false">Q372*U372</f>
        <v>0</v>
      </c>
      <c r="W372" s="41" t="n">
        <f aca="false">IF($M372="","",IF(T372="Overdue",IF(Settings!$B$8="Yes",Settings!$B$7,""),IF(ISNUMBER(R372),DATE(YEAR(R372),MONTH(R372),1),"")))</f>
        <v>45962</v>
      </c>
      <c r="X372" s="38" t="n">
        <f aca="false">IF(AND(OR(T372="Backlog",T372="Pipeline",T372="Overdue"),ISNUMBER(W372)),IF(W372&lt;=Settings!$B$6,V372,0),0)</f>
        <v>0</v>
      </c>
      <c r="Y372" s="38" t="n">
        <f aca="false">IF(AND(OR(T372="Backlog",T372="Pipeline",T372="Overdue"),ISNUMBER(W372)),IF(W372&lt;=Settings!$B$6,Q372,0),0)</f>
        <v>0</v>
      </c>
      <c r="Z372" s="38" t="n">
        <f aca="false">IF(Y372=0,0,IF(T372="Backlog",Q372,Q372*Dashboard!$C$10))</f>
        <v>0</v>
      </c>
      <c r="AA372" s="37" t="n">
        <f aca="false">IF($N372="",0,IF(COUNTIF(Dashboard!$C$13:$C$22,$N372)&gt;0,1,0))</f>
        <v>0</v>
      </c>
      <c r="AB372" s="37" t="str">
        <f aca="false">IF($N372="","",IF(COUNTIF($N$8:$N372,$N372)=1,MAX($AB$7:$AB371)+1,""))</f>
        <v/>
      </c>
    </row>
    <row r="373" customFormat="false" ht="15" hidden="false" customHeight="false" outlineLevel="0" collapsed="false">
      <c r="B373" s="32" t="s">
        <v>769</v>
      </c>
      <c r="C373" s="32" t="s">
        <v>154</v>
      </c>
      <c r="D373" s="35" t="n">
        <v>8550</v>
      </c>
      <c r="E373" s="32" t="s">
        <v>180</v>
      </c>
      <c r="F373" s="36" t="n">
        <v>45950</v>
      </c>
      <c r="G373" s="32" t="s">
        <v>961</v>
      </c>
      <c r="L373" s="37" t="str">
        <f aca="false">IF(INDEX($A373:$J373,$L$6)&lt;&gt;"",TRIM(LEFT(INDEX($A373:$J373,$L$6),FIND("(",INDEX($A373:$J373,$L$6)&amp;"(")-1)),L372)</f>
        <v>Closed Won</v>
      </c>
      <c r="M373" s="37" t="str">
        <f aca="false">IF(INDEX($A373:$J373,$M$6)="","",INDEX($A373:$J373,$M$6)&amp;"")</f>
        <v>PWC - Lv2 Support for MFA Rollout - SYD / MEL</v>
      </c>
      <c r="N373" s="37" t="str">
        <f aca="false">IF($M373="","",TRIM(INDEX($A373:$J373,$N$6)&amp;""))</f>
        <v>PWC</v>
      </c>
      <c r="O373" s="37" t="str">
        <f aca="false">IF($M373="","",TRIM(INDEX($A373:$J373,$O$6)&amp;""))</f>
        <v>Support</v>
      </c>
      <c r="P373" s="37" t="str">
        <f aca="false">IF($M373="","",IFERROR(IF(INDEX(Settings!$B$41:$B$50,MATCH(O373,Settings!$A$41:$A$50,0))&amp;""="","UNMAPPED",INDEX(Settings!$B$41:$B$50,MATCH(O373,Settings!$A$41:$A$50,0))&amp;""),"UNMAPPED"))</f>
        <v>Onsite</v>
      </c>
      <c r="Q373" s="38" t="n">
        <f aca="false">IF($M373="",0,N(INDEX($A373:$J373,$Q$6)))</f>
        <v>8550</v>
      </c>
      <c r="R373" s="39" t="n">
        <f aca="false">IF($M373="","",INDEX($A373:$J373,$R$6))</f>
        <v>45950</v>
      </c>
      <c r="S373" s="37" t="str">
        <f aca="false">IF($M373="","",IFERROR(INDEX(Settings!$B$27:$B$36,MATCH(L373,Settings!$A$27:$A$36,0))&amp;"","UNMAPPED"))</f>
        <v>Won</v>
      </c>
      <c r="T373" s="37" t="str">
        <f aca="false">IF($M373="","",IF(NOT(ISNUMBER(R373)),"NO DATE",IF(S373="Won",IF(R373&gt;Settings!$B$5,"Backlog","Delivered"),IF(S373="Open",IF(R373&gt;Settings!$B$5,"Pipeline","Overdue"),IF(S373="Lost","Lost","UNMAPPED")))))</f>
        <v>Delivered</v>
      </c>
      <c r="U373" s="40" t="n">
        <f aca="false">IF(T373="Backlog",1,IF(OR(T373="Pipeline",T373="Overdue"),N(INDEX(Settings!$C$27:$C$36,MATCH(L373,Settings!$A$27:$A$36,0))),0))</f>
        <v>0</v>
      </c>
      <c r="V373" s="38" t="n">
        <f aca="false">Q373*U373</f>
        <v>0</v>
      </c>
      <c r="W373" s="41" t="n">
        <f aca="false">IF($M373="","",IF(T373="Overdue",IF(Settings!$B$8="Yes",Settings!$B$7,""),IF(ISNUMBER(R373),DATE(YEAR(R373),MONTH(R373),1),"")))</f>
        <v>45931</v>
      </c>
      <c r="X373" s="38" t="n">
        <f aca="false">IF(AND(OR(T373="Backlog",T373="Pipeline",T373="Overdue"),ISNUMBER(W373)),IF(W373&lt;=Settings!$B$6,V373,0),0)</f>
        <v>0</v>
      </c>
      <c r="Y373" s="38" t="n">
        <f aca="false">IF(AND(OR(T373="Backlog",T373="Pipeline",T373="Overdue"),ISNUMBER(W373)),IF(W373&lt;=Settings!$B$6,Q373,0),0)</f>
        <v>0</v>
      </c>
      <c r="Z373" s="38" t="n">
        <f aca="false">IF(Y373=0,0,IF(T373="Backlog",Q373,Q373*Dashboard!$C$10))</f>
        <v>0</v>
      </c>
      <c r="AA373" s="37" t="n">
        <f aca="false">IF($N373="",0,IF(COUNTIF(Dashboard!$C$13:$C$22,$N373)&gt;0,1,0))</f>
        <v>0</v>
      </c>
      <c r="AB373" s="37" t="str">
        <f aca="false">IF($N373="","",IF(COUNTIF($N$8:$N373,$N373)=1,MAX($AB$7:$AB372)+1,""))</f>
        <v/>
      </c>
    </row>
    <row r="374" customFormat="false" ht="15" hidden="false" customHeight="false" outlineLevel="0" collapsed="false">
      <c r="B374" s="32" t="s">
        <v>962</v>
      </c>
      <c r="C374" s="32" t="s">
        <v>963</v>
      </c>
      <c r="D374" s="35" t="n">
        <v>8400</v>
      </c>
      <c r="E374" s="32" t="s">
        <v>145</v>
      </c>
      <c r="F374" s="36" t="n">
        <v>45967</v>
      </c>
      <c r="G374" s="32" t="s">
        <v>964</v>
      </c>
      <c r="L374" s="37" t="str">
        <f aca="false">IF(INDEX($A374:$J374,$L$6)&lt;&gt;"",TRIM(LEFT(INDEX($A374:$J374,$L$6),FIND("(",INDEX($A374:$J374,$L$6)&amp;"(")-1)),L373)</f>
        <v>Closed Won</v>
      </c>
      <c r="M374" s="37" t="str">
        <f aca="false">IF(INDEX($A374:$J374,$M$6)="","",INDEX($A374:$J374,$M$6)&amp;"")</f>
        <v>Noumi AGM 6.11.25</v>
      </c>
      <c r="N374" s="37" t="str">
        <f aca="false">IF($M374="","",TRIM(INDEX($A374:$J374,$N$6)&amp;""))</f>
        <v>Noumi</v>
      </c>
      <c r="O374" s="37" t="str">
        <f aca="false">IF($M374="","",TRIM(INDEX($A374:$J374,$O$6)&amp;""))</f>
        <v>Event Production</v>
      </c>
      <c r="P374" s="37" t="str">
        <f aca="false">IF($M374="","",IFERROR(IF(INDEX(Settings!$B$41:$B$50,MATCH(O374,Settings!$A$41:$A$50,0))&amp;""="","UNMAPPED",INDEX(Settings!$B$41:$B$50,MATCH(O374,Settings!$A$41:$A$50,0))&amp;""),"UNMAPPED"))</f>
        <v>Production</v>
      </c>
      <c r="Q374" s="38" t="n">
        <f aca="false">IF($M374="",0,N(INDEX($A374:$J374,$Q$6)))</f>
        <v>8400</v>
      </c>
      <c r="R374" s="39" t="n">
        <f aca="false">IF($M374="","",INDEX($A374:$J374,$R$6))</f>
        <v>45967</v>
      </c>
      <c r="S374" s="37" t="str">
        <f aca="false">IF($M374="","",IFERROR(INDEX(Settings!$B$27:$B$36,MATCH(L374,Settings!$A$27:$A$36,0))&amp;"","UNMAPPED"))</f>
        <v>Won</v>
      </c>
      <c r="T374" s="37" t="str">
        <f aca="false">IF($M374="","",IF(NOT(ISNUMBER(R374)),"NO DATE",IF(S374="Won",IF(R374&gt;Settings!$B$5,"Backlog","Delivered"),IF(S374="Open",IF(R374&gt;Settings!$B$5,"Pipeline","Overdue"),IF(S374="Lost","Lost","UNMAPPED")))))</f>
        <v>Delivered</v>
      </c>
      <c r="U374" s="40" t="n">
        <f aca="false">IF(T374="Backlog",1,IF(OR(T374="Pipeline",T374="Overdue"),N(INDEX(Settings!$C$27:$C$36,MATCH(L374,Settings!$A$27:$A$36,0))),0))</f>
        <v>0</v>
      </c>
      <c r="V374" s="38" t="n">
        <f aca="false">Q374*U374</f>
        <v>0</v>
      </c>
      <c r="W374" s="41" t="n">
        <f aca="false">IF($M374="","",IF(T374="Overdue",IF(Settings!$B$8="Yes",Settings!$B$7,""),IF(ISNUMBER(R374),DATE(YEAR(R374),MONTH(R374),1),"")))</f>
        <v>45962</v>
      </c>
      <c r="X374" s="38" t="n">
        <f aca="false">IF(AND(OR(T374="Backlog",T374="Pipeline",T374="Overdue"),ISNUMBER(W374)),IF(W374&lt;=Settings!$B$6,V374,0),0)</f>
        <v>0</v>
      </c>
      <c r="Y374" s="38" t="n">
        <f aca="false">IF(AND(OR(T374="Backlog",T374="Pipeline",T374="Overdue"),ISNUMBER(W374)),IF(W374&lt;=Settings!$B$6,Q374,0),0)</f>
        <v>0</v>
      </c>
      <c r="Z374" s="38" t="n">
        <f aca="false">IF(Y374=0,0,IF(T374="Backlog",Q374,Q374*Dashboard!$C$10))</f>
        <v>0</v>
      </c>
      <c r="AA374" s="37" t="n">
        <f aca="false">IF($N374="",0,IF(COUNTIF(Dashboard!$C$13:$C$22,$N374)&gt;0,1,0))</f>
        <v>0</v>
      </c>
      <c r="AB374" s="37" t="n">
        <f aca="false">IF($N374="","",IF(COUNTIF($N$8:$N374,$N374)=1,MAX($AB$7:$AB373)+1,""))</f>
        <v>89</v>
      </c>
    </row>
    <row r="375" customFormat="false" ht="15" hidden="false" customHeight="false" outlineLevel="0" collapsed="false">
      <c r="B375" s="32" t="s">
        <v>965</v>
      </c>
      <c r="C375" s="32" t="s">
        <v>191</v>
      </c>
      <c r="D375" s="35" t="n">
        <v>13571</v>
      </c>
      <c r="E375" s="32" t="s">
        <v>145</v>
      </c>
      <c r="F375" s="36" t="n">
        <v>46153</v>
      </c>
      <c r="G375" s="32" t="s">
        <v>966</v>
      </c>
      <c r="L375" s="37" t="str">
        <f aca="false">IF(INDEX($A375:$J375,$L$6)&lt;&gt;"",TRIM(LEFT(INDEX($A375:$J375,$L$6),FIND("(",INDEX($A375:$J375,$L$6)&amp;"(")-1)),L374)</f>
        <v>Closed Won</v>
      </c>
      <c r="M375" s="37" t="str">
        <f aca="false">IF(INDEX($A375:$J375,$M$6)="","",INDEX($A375:$J375,$M$6)&amp;"")</f>
        <v>CBA BNE - Event Support - 13.5.26</v>
      </c>
      <c r="N375" s="37" t="str">
        <f aca="false">IF($M375="","",TRIM(INDEX($A375:$J375,$N$6)&amp;""))</f>
        <v>Commonwealth Bank Australia (CBA)</v>
      </c>
      <c r="O375" s="37" t="str">
        <f aca="false">IF($M375="","",TRIM(INDEX($A375:$J375,$O$6)&amp;""))</f>
        <v>Event Production</v>
      </c>
      <c r="P375" s="37" t="str">
        <f aca="false">IF($M375="","",IFERROR(IF(INDEX(Settings!$B$41:$B$50,MATCH(O375,Settings!$A$41:$A$50,0))&amp;""="","UNMAPPED",INDEX(Settings!$B$41:$B$50,MATCH(O375,Settings!$A$41:$A$50,0))&amp;""),"UNMAPPED"))</f>
        <v>Production</v>
      </c>
      <c r="Q375" s="38" t="n">
        <f aca="false">IF($M375="",0,N(INDEX($A375:$J375,$Q$6)))</f>
        <v>13571</v>
      </c>
      <c r="R375" s="39" t="n">
        <f aca="false">IF($M375="","",INDEX($A375:$J375,$R$6))</f>
        <v>46153</v>
      </c>
      <c r="S375" s="37" t="str">
        <f aca="false">IF($M375="","",IFERROR(INDEX(Settings!$B$27:$B$36,MATCH(L375,Settings!$A$27:$A$36,0))&amp;"","UNMAPPED"))</f>
        <v>Won</v>
      </c>
      <c r="T375" s="37" t="str">
        <f aca="false">IF($M375="","",IF(NOT(ISNUMBER(R375)),"NO DATE",IF(S375="Won",IF(R375&gt;Settings!$B$5,"Backlog","Delivered"),IF(S375="Open",IF(R375&gt;Settings!$B$5,"Pipeline","Overdue"),IF(S375="Lost","Lost","UNMAPPED")))))</f>
        <v>Delivered</v>
      </c>
      <c r="U375" s="40" t="n">
        <f aca="false">IF(T375="Backlog",1,IF(OR(T375="Pipeline",T375="Overdue"),N(INDEX(Settings!$C$27:$C$36,MATCH(L375,Settings!$A$27:$A$36,0))),0))</f>
        <v>0</v>
      </c>
      <c r="V375" s="38" t="n">
        <f aca="false">Q375*U375</f>
        <v>0</v>
      </c>
      <c r="W375" s="41" t="n">
        <f aca="false">IF($M375="","",IF(T375="Overdue",IF(Settings!$B$8="Yes",Settings!$B$7,""),IF(ISNUMBER(R375),DATE(YEAR(R375),MONTH(R375),1),"")))</f>
        <v>46143</v>
      </c>
      <c r="X375" s="38" t="n">
        <f aca="false">IF(AND(OR(T375="Backlog",T375="Pipeline",T375="Overdue"),ISNUMBER(W375)),IF(W375&lt;=Settings!$B$6,V375,0),0)</f>
        <v>0</v>
      </c>
      <c r="Y375" s="38" t="n">
        <f aca="false">IF(AND(OR(T375="Backlog",T375="Pipeline",T375="Overdue"),ISNUMBER(W375)),IF(W375&lt;=Settings!$B$6,Q375,0),0)</f>
        <v>0</v>
      </c>
      <c r="Z375" s="38" t="n">
        <f aca="false">IF(Y375=0,0,IF(T375="Backlog",Q375,Q375*Dashboard!$C$10))</f>
        <v>0</v>
      </c>
      <c r="AA375" s="37" t="n">
        <f aca="false">IF($N375="",0,IF(COUNTIF(Dashboard!$C$13:$C$22,$N375)&gt;0,1,0))</f>
        <v>0</v>
      </c>
      <c r="AB375" s="37" t="str">
        <f aca="false">IF($N375="","",IF(COUNTIF($N$8:$N375,$N375)=1,MAX($AB$7:$AB374)+1,""))</f>
        <v/>
      </c>
    </row>
    <row r="376" customFormat="false" ht="15" hidden="false" customHeight="false" outlineLevel="0" collapsed="false">
      <c r="B376" s="32" t="s">
        <v>967</v>
      </c>
      <c r="C376" s="32" t="s">
        <v>679</v>
      </c>
      <c r="D376" s="35" t="n">
        <v>950</v>
      </c>
      <c r="E376" s="32" t="s">
        <v>145</v>
      </c>
      <c r="F376" s="36" t="n">
        <v>46167</v>
      </c>
      <c r="G376" s="32" t="s">
        <v>968</v>
      </c>
      <c r="L376" s="37" t="str">
        <f aca="false">IF(INDEX($A376:$J376,$L$6)&lt;&gt;"",TRIM(LEFT(INDEX($A376:$J376,$L$6),FIND("(",INDEX($A376:$J376,$L$6)&amp;"(")-1)),L375)</f>
        <v>Closed Won</v>
      </c>
      <c r="M376" s="37" t="str">
        <f aca="false">IF(INDEX($A376:$J376,$M$6)="","",INDEX($A376:$J376,$M$6)&amp;"")</f>
        <v>AVIT - Taronga AV Event Support - 4 &amp; 5th June 26'</v>
      </c>
      <c r="N376" s="37" t="str">
        <f aca="false">IF($M376="","",TRIM(INDEX($A376:$J376,$N$6)&amp;""))</f>
        <v>AVIT</v>
      </c>
      <c r="O376" s="37" t="str">
        <f aca="false">IF($M376="","",TRIM(INDEX($A376:$J376,$O$6)&amp;""))</f>
        <v>Event Production</v>
      </c>
      <c r="P376" s="37" t="str">
        <f aca="false">IF($M376="","",IFERROR(IF(INDEX(Settings!$B$41:$B$50,MATCH(O376,Settings!$A$41:$A$50,0))&amp;""="","UNMAPPED",INDEX(Settings!$B$41:$B$50,MATCH(O376,Settings!$A$41:$A$50,0))&amp;""),"UNMAPPED"))</f>
        <v>Production</v>
      </c>
      <c r="Q376" s="38" t="n">
        <f aca="false">IF($M376="",0,N(INDEX($A376:$J376,$Q$6)))</f>
        <v>950</v>
      </c>
      <c r="R376" s="39" t="n">
        <f aca="false">IF($M376="","",INDEX($A376:$J376,$R$6))</f>
        <v>46167</v>
      </c>
      <c r="S376" s="37" t="str">
        <f aca="false">IF($M376="","",IFERROR(INDEX(Settings!$B$27:$B$36,MATCH(L376,Settings!$A$27:$A$36,0))&amp;"","UNMAPPED"))</f>
        <v>Won</v>
      </c>
      <c r="T376" s="37" t="str">
        <f aca="false">IF($M376="","",IF(NOT(ISNUMBER(R376)),"NO DATE",IF(S376="Won",IF(R376&gt;Settings!$B$5,"Backlog","Delivered"),IF(S376="Open",IF(R376&gt;Settings!$B$5,"Pipeline","Overdue"),IF(S376="Lost","Lost","UNMAPPED")))))</f>
        <v>Delivered</v>
      </c>
      <c r="U376" s="40" t="n">
        <f aca="false">IF(T376="Backlog",1,IF(OR(T376="Pipeline",T376="Overdue"),N(INDEX(Settings!$C$27:$C$36,MATCH(L376,Settings!$A$27:$A$36,0))),0))</f>
        <v>0</v>
      </c>
      <c r="V376" s="38" t="n">
        <f aca="false">Q376*U376</f>
        <v>0</v>
      </c>
      <c r="W376" s="41" t="n">
        <f aca="false">IF($M376="","",IF(T376="Overdue",IF(Settings!$B$8="Yes",Settings!$B$7,""),IF(ISNUMBER(R376),DATE(YEAR(R376),MONTH(R376),1),"")))</f>
        <v>46143</v>
      </c>
      <c r="X376" s="38" t="n">
        <f aca="false">IF(AND(OR(T376="Backlog",T376="Pipeline",T376="Overdue"),ISNUMBER(W376)),IF(W376&lt;=Settings!$B$6,V376,0),0)</f>
        <v>0</v>
      </c>
      <c r="Y376" s="38" t="n">
        <f aca="false">IF(AND(OR(T376="Backlog",T376="Pipeline",T376="Overdue"),ISNUMBER(W376)),IF(W376&lt;=Settings!$B$6,Q376,0),0)</f>
        <v>0</v>
      </c>
      <c r="Z376" s="38" t="n">
        <f aca="false">IF(Y376=0,0,IF(T376="Backlog",Q376,Q376*Dashboard!$C$10))</f>
        <v>0</v>
      </c>
      <c r="AA376" s="37" t="n">
        <f aca="false">IF($N376="",0,IF(COUNTIF(Dashboard!$C$13:$C$22,$N376)&gt;0,1,0))</f>
        <v>0</v>
      </c>
      <c r="AB376" s="37" t="str">
        <f aca="false">IF($N376="","",IF(COUNTIF($N$8:$N376,$N376)=1,MAX($AB$7:$AB375)+1,""))</f>
        <v/>
      </c>
    </row>
    <row r="377" customFormat="false" ht="15" hidden="false" customHeight="false" outlineLevel="0" collapsed="false">
      <c r="B377" s="32" t="s">
        <v>969</v>
      </c>
      <c r="C377" s="32" t="s">
        <v>247</v>
      </c>
      <c r="D377" s="35" t="n">
        <v>11813</v>
      </c>
      <c r="E377" s="32" t="s">
        <v>145</v>
      </c>
      <c r="F377" s="36" t="n">
        <v>45890</v>
      </c>
      <c r="G377" s="32" t="s">
        <v>970</v>
      </c>
      <c r="L377" s="37" t="str">
        <f aca="false">IF(INDEX($A377:$J377,$L$6)&lt;&gt;"",TRIM(LEFT(INDEX($A377:$J377,$L$6),FIND("(",INDEX($A377:$J377,$L$6)&amp;"(")-1)),L376)</f>
        <v>Closed Won</v>
      </c>
      <c r="M377" s="37" t="str">
        <f aca="false">IF(INDEX($A377:$J377,$M$6)="","",INDEX($A377:$J377,$M$6)&amp;"")</f>
        <v>AGL CTAP Webcast 21.08.25</v>
      </c>
      <c r="N377" s="37" t="str">
        <f aca="false">IF($M377="","",TRIM(INDEX($A377:$J377,$N$6)&amp;""))</f>
        <v>AGL</v>
      </c>
      <c r="O377" s="37" t="str">
        <f aca="false">IF($M377="","",TRIM(INDEX($A377:$J377,$O$6)&amp;""))</f>
        <v>Event Production</v>
      </c>
      <c r="P377" s="37" t="str">
        <f aca="false">IF($M377="","",IFERROR(IF(INDEX(Settings!$B$41:$B$50,MATCH(O377,Settings!$A$41:$A$50,0))&amp;""="","UNMAPPED",INDEX(Settings!$B$41:$B$50,MATCH(O377,Settings!$A$41:$A$50,0))&amp;""),"UNMAPPED"))</f>
        <v>Production</v>
      </c>
      <c r="Q377" s="38" t="n">
        <f aca="false">IF($M377="",0,N(INDEX($A377:$J377,$Q$6)))</f>
        <v>11813</v>
      </c>
      <c r="R377" s="39" t="n">
        <f aca="false">IF($M377="","",INDEX($A377:$J377,$R$6))</f>
        <v>45890</v>
      </c>
      <c r="S377" s="37" t="str">
        <f aca="false">IF($M377="","",IFERROR(INDEX(Settings!$B$27:$B$36,MATCH(L377,Settings!$A$27:$A$36,0))&amp;"","UNMAPPED"))</f>
        <v>Won</v>
      </c>
      <c r="T377" s="37" t="str">
        <f aca="false">IF($M377="","",IF(NOT(ISNUMBER(R377)),"NO DATE",IF(S377="Won",IF(R377&gt;Settings!$B$5,"Backlog","Delivered"),IF(S377="Open",IF(R377&gt;Settings!$B$5,"Pipeline","Overdue"),IF(S377="Lost","Lost","UNMAPPED")))))</f>
        <v>Delivered</v>
      </c>
      <c r="U377" s="40" t="n">
        <f aca="false">IF(T377="Backlog",1,IF(OR(T377="Pipeline",T377="Overdue"),N(INDEX(Settings!$C$27:$C$36,MATCH(L377,Settings!$A$27:$A$36,0))),0))</f>
        <v>0</v>
      </c>
      <c r="V377" s="38" t="n">
        <f aca="false">Q377*U377</f>
        <v>0</v>
      </c>
      <c r="W377" s="41" t="n">
        <f aca="false">IF($M377="","",IF(T377="Overdue",IF(Settings!$B$8="Yes",Settings!$B$7,""),IF(ISNUMBER(R377),DATE(YEAR(R377),MONTH(R377),1),"")))</f>
        <v>45870</v>
      </c>
      <c r="X377" s="38" t="n">
        <f aca="false">IF(AND(OR(T377="Backlog",T377="Pipeline",T377="Overdue"),ISNUMBER(W377)),IF(W377&lt;=Settings!$B$6,V377,0),0)</f>
        <v>0</v>
      </c>
      <c r="Y377" s="38" t="n">
        <f aca="false">IF(AND(OR(T377="Backlog",T377="Pipeline",T377="Overdue"),ISNUMBER(W377)),IF(W377&lt;=Settings!$B$6,Q377,0),0)</f>
        <v>0</v>
      </c>
      <c r="Z377" s="38" t="n">
        <f aca="false">IF(Y377=0,0,IF(T377="Backlog",Q377,Q377*Dashboard!$C$10))</f>
        <v>0</v>
      </c>
      <c r="AA377" s="37" t="n">
        <f aca="false">IF($N377="",0,IF(COUNTIF(Dashboard!$C$13:$C$22,$N377)&gt;0,1,0))</f>
        <v>0</v>
      </c>
      <c r="AB377" s="37" t="str">
        <f aca="false">IF($N377="","",IF(COUNTIF($N$8:$N377,$N377)=1,MAX($AB$7:$AB376)+1,""))</f>
        <v/>
      </c>
    </row>
    <row r="378" customFormat="false" ht="15" hidden="false" customHeight="false" outlineLevel="0" collapsed="false">
      <c r="B378" s="32" t="s">
        <v>971</v>
      </c>
      <c r="C378" s="32" t="s">
        <v>276</v>
      </c>
      <c r="D378" s="35" t="n">
        <v>3220</v>
      </c>
      <c r="E378" s="32" t="s">
        <v>145</v>
      </c>
      <c r="F378" s="36" t="n">
        <v>46190</v>
      </c>
      <c r="G378" s="32" t="s">
        <v>972</v>
      </c>
      <c r="L378" s="37" t="str">
        <f aca="false">IF(INDEX($A378:$J378,$L$6)&lt;&gt;"",TRIM(LEFT(INDEX($A378:$J378,$L$6),FIND("(",INDEX($A378:$J378,$L$6)&amp;"(")-1)),L377)</f>
        <v>Closed Won</v>
      </c>
      <c r="M378" s="37" t="str">
        <f aca="false">IF(INDEX($A378:$J378,$M$6)="","",INDEX($A378:$J378,$M$6)&amp;"")</f>
        <v>Vega - Event Support - 22 &amp; 23rd June</v>
      </c>
      <c r="N378" s="37" t="str">
        <f aca="false">IF($M378="","",TRIM(INDEX($A378:$J378,$N$6)&amp;""))</f>
        <v>Vega Global</v>
      </c>
      <c r="O378" s="37" t="str">
        <f aca="false">IF($M378="","",TRIM(INDEX($A378:$J378,$O$6)&amp;""))</f>
        <v>Event Production</v>
      </c>
      <c r="P378" s="37" t="str">
        <f aca="false">IF($M378="","",IFERROR(IF(INDEX(Settings!$B$41:$B$50,MATCH(O378,Settings!$A$41:$A$50,0))&amp;""="","UNMAPPED",INDEX(Settings!$B$41:$B$50,MATCH(O378,Settings!$A$41:$A$50,0))&amp;""),"UNMAPPED"))</f>
        <v>Production</v>
      </c>
      <c r="Q378" s="38" t="n">
        <f aca="false">IF($M378="",0,N(INDEX($A378:$J378,$Q$6)))</f>
        <v>3220</v>
      </c>
      <c r="R378" s="39" t="n">
        <f aca="false">IF($M378="","",INDEX($A378:$J378,$R$6))</f>
        <v>46190</v>
      </c>
      <c r="S378" s="37" t="str">
        <f aca="false">IF($M378="","",IFERROR(INDEX(Settings!$B$27:$B$36,MATCH(L378,Settings!$A$27:$A$36,0))&amp;"","UNMAPPED"))</f>
        <v>Won</v>
      </c>
      <c r="T378" s="37" t="str">
        <f aca="false">IF($M378="","",IF(NOT(ISNUMBER(R378)),"NO DATE",IF(S378="Won",IF(R378&gt;Settings!$B$5,"Backlog","Delivered"),IF(S378="Open",IF(R378&gt;Settings!$B$5,"Pipeline","Overdue"),IF(S378="Lost","Lost","UNMAPPED")))))</f>
        <v>Delivered</v>
      </c>
      <c r="U378" s="40" t="n">
        <f aca="false">IF(T378="Backlog",1,IF(OR(T378="Pipeline",T378="Overdue"),N(INDEX(Settings!$C$27:$C$36,MATCH(L378,Settings!$A$27:$A$36,0))),0))</f>
        <v>0</v>
      </c>
      <c r="V378" s="38" t="n">
        <f aca="false">Q378*U378</f>
        <v>0</v>
      </c>
      <c r="W378" s="41" t="n">
        <f aca="false">IF($M378="","",IF(T378="Overdue",IF(Settings!$B$8="Yes",Settings!$B$7,""),IF(ISNUMBER(R378),DATE(YEAR(R378),MONTH(R378),1),"")))</f>
        <v>46174</v>
      </c>
      <c r="X378" s="38" t="n">
        <f aca="false">IF(AND(OR(T378="Backlog",T378="Pipeline",T378="Overdue"),ISNUMBER(W378)),IF(W378&lt;=Settings!$B$6,V378,0),0)</f>
        <v>0</v>
      </c>
      <c r="Y378" s="38" t="n">
        <f aca="false">IF(AND(OR(T378="Backlog",T378="Pipeline",T378="Overdue"),ISNUMBER(W378)),IF(W378&lt;=Settings!$B$6,Q378,0),0)</f>
        <v>0</v>
      </c>
      <c r="Z378" s="38" t="n">
        <f aca="false">IF(Y378=0,0,IF(T378="Backlog",Q378,Q378*Dashboard!$C$10))</f>
        <v>0</v>
      </c>
      <c r="AA378" s="37" t="n">
        <f aca="false">IF($N378="",0,IF(COUNTIF(Dashboard!$C$13:$C$22,$N378)&gt;0,1,0))</f>
        <v>0</v>
      </c>
      <c r="AB378" s="37" t="str">
        <f aca="false">IF($N378="","",IF(COUNTIF($N$8:$N378,$N378)=1,MAX($AB$7:$AB377)+1,""))</f>
        <v/>
      </c>
    </row>
    <row r="379" customFormat="false" ht="15" hidden="false" customHeight="false" outlineLevel="0" collapsed="false">
      <c r="B379" s="32" t="s">
        <v>973</v>
      </c>
      <c r="C379" s="32" t="s">
        <v>974</v>
      </c>
      <c r="D379" s="35" t="n">
        <v>495</v>
      </c>
      <c r="E379" s="32" t="s">
        <v>145</v>
      </c>
      <c r="F379" s="36" t="n">
        <v>46220</v>
      </c>
      <c r="G379" s="32" t="s">
        <v>975</v>
      </c>
      <c r="L379" s="37" t="str">
        <f aca="false">IF(INDEX($A379:$J379,$L$6)&lt;&gt;"",TRIM(LEFT(INDEX($A379:$J379,$L$6),FIND("(",INDEX($A379:$J379,$L$6)&amp;"(")-1)),L378)</f>
        <v>Closed Won</v>
      </c>
      <c r="M379" s="37" t="str">
        <f aca="false">IF(INDEX($A379:$J379,$M$6)="","",INDEX($A379:$J379,$M$6)&amp;"")</f>
        <v>St Vincents Public Hospital - Awards Night - 26.8.25</v>
      </c>
      <c r="N379" s="37" t="str">
        <f aca="false">IF($M379="","",TRIM(INDEX($A379:$J379,$N$6)&amp;""))</f>
        <v>St Vincent's Public Hospital Sydney (SVHS)</v>
      </c>
      <c r="O379" s="37" t="str">
        <f aca="false">IF($M379="","",TRIM(INDEX($A379:$J379,$O$6)&amp;""))</f>
        <v>Event Production</v>
      </c>
      <c r="P379" s="37" t="str">
        <f aca="false">IF($M379="","",IFERROR(IF(INDEX(Settings!$B$41:$B$50,MATCH(O379,Settings!$A$41:$A$50,0))&amp;""="","UNMAPPED",INDEX(Settings!$B$41:$B$50,MATCH(O379,Settings!$A$41:$A$50,0))&amp;""),"UNMAPPED"))</f>
        <v>Production</v>
      </c>
      <c r="Q379" s="38" t="n">
        <f aca="false">IF($M379="",0,N(INDEX($A379:$J379,$Q$6)))</f>
        <v>495</v>
      </c>
      <c r="R379" s="39" t="n">
        <f aca="false">IF($M379="","",INDEX($A379:$J379,$R$6))</f>
        <v>46220</v>
      </c>
      <c r="S379" s="37" t="str">
        <f aca="false">IF($M379="","",IFERROR(INDEX(Settings!$B$27:$B$36,MATCH(L379,Settings!$A$27:$A$36,0))&amp;"","UNMAPPED"))</f>
        <v>Won</v>
      </c>
      <c r="T379" s="37" t="str">
        <f aca="false">IF($M379="","",IF(NOT(ISNUMBER(R379)),"NO DATE",IF(S379="Won",IF(R379&gt;Settings!$B$5,"Backlog","Delivered"),IF(S379="Open",IF(R379&gt;Settings!$B$5,"Pipeline","Overdue"),IF(S379="Lost","Lost","UNMAPPED")))))</f>
        <v>Delivered</v>
      </c>
      <c r="U379" s="40" t="n">
        <f aca="false">IF(T379="Backlog",1,IF(OR(T379="Pipeline",T379="Overdue"),N(INDEX(Settings!$C$27:$C$36,MATCH(L379,Settings!$A$27:$A$36,0))),0))</f>
        <v>0</v>
      </c>
      <c r="V379" s="38" t="n">
        <f aca="false">Q379*U379</f>
        <v>0</v>
      </c>
      <c r="W379" s="41" t="n">
        <f aca="false">IF($M379="","",IF(T379="Overdue",IF(Settings!$B$8="Yes",Settings!$B$7,""),IF(ISNUMBER(R379),DATE(YEAR(R379),MONTH(R379),1),"")))</f>
        <v>46204</v>
      </c>
      <c r="X379" s="38" t="n">
        <f aca="false">IF(AND(OR(T379="Backlog",T379="Pipeline",T379="Overdue"),ISNUMBER(W379)),IF(W379&lt;=Settings!$B$6,V379,0),0)</f>
        <v>0</v>
      </c>
      <c r="Y379" s="38" t="n">
        <f aca="false">IF(AND(OR(T379="Backlog",T379="Pipeline",T379="Overdue"),ISNUMBER(W379)),IF(W379&lt;=Settings!$B$6,Q379,0),0)</f>
        <v>0</v>
      </c>
      <c r="Z379" s="38" t="n">
        <f aca="false">IF(Y379=0,0,IF(T379="Backlog",Q379,Q379*Dashboard!$C$10))</f>
        <v>0</v>
      </c>
      <c r="AA379" s="37" t="n">
        <f aca="false">IF($N379="",0,IF(COUNTIF(Dashboard!$C$13:$C$22,$N379)&gt;0,1,0))</f>
        <v>0</v>
      </c>
      <c r="AB379" s="37" t="n">
        <f aca="false">IF($N379="","",IF(COUNTIF($N$8:$N379,$N379)=1,MAX($AB$7:$AB378)+1,""))</f>
        <v>90</v>
      </c>
    </row>
    <row r="380" customFormat="false" ht="15" hidden="false" customHeight="false" outlineLevel="0" collapsed="false">
      <c r="B380" s="32" t="s">
        <v>976</v>
      </c>
      <c r="C380" s="32" t="s">
        <v>281</v>
      </c>
      <c r="D380" s="35" t="n">
        <v>3071</v>
      </c>
      <c r="E380" s="32" t="s">
        <v>145</v>
      </c>
      <c r="F380" s="36" t="n">
        <v>46105</v>
      </c>
      <c r="G380" s="32" t="s">
        <v>977</v>
      </c>
      <c r="L380" s="37" t="str">
        <f aca="false">IF(INDEX($A380:$J380,$L$6)&lt;&gt;"",TRIM(LEFT(INDEX($A380:$J380,$L$6),FIND("(",INDEX($A380:$J380,$L$6)&amp;"(")-1)),L379)</f>
        <v>Closed Won</v>
      </c>
      <c r="M380" s="37" t="str">
        <f aca="false">IF(INDEX($A380:$J380,$M$6)="","",INDEX($A380:$J380,$M$6)&amp;"")</f>
        <v>RSNSW - OGM - 2.9.26</v>
      </c>
      <c r="N380" s="37" t="str">
        <f aca="false">IF($M380="","",TRIM(INDEX($A380:$J380,$N$6)&amp;""))</f>
        <v>The Royal Society of New South Wales</v>
      </c>
      <c r="O380" s="37" t="str">
        <f aca="false">IF($M380="","",TRIM(INDEX($A380:$J380,$O$6)&amp;""))</f>
        <v>Event Production</v>
      </c>
      <c r="P380" s="37" t="str">
        <f aca="false">IF($M380="","",IFERROR(IF(INDEX(Settings!$B$41:$B$50,MATCH(O380,Settings!$A$41:$A$50,0))&amp;""="","UNMAPPED",INDEX(Settings!$B$41:$B$50,MATCH(O380,Settings!$A$41:$A$50,0))&amp;""),"UNMAPPED"))</f>
        <v>Production</v>
      </c>
      <c r="Q380" s="38" t="n">
        <f aca="false">IF($M380="",0,N(INDEX($A380:$J380,$Q$6)))</f>
        <v>3071</v>
      </c>
      <c r="R380" s="39" t="n">
        <f aca="false">IF($M380="","",INDEX($A380:$J380,$R$6))</f>
        <v>46105</v>
      </c>
      <c r="S380" s="37" t="str">
        <f aca="false">IF($M380="","",IFERROR(INDEX(Settings!$B$27:$B$36,MATCH(L380,Settings!$A$27:$A$36,0))&amp;"","UNMAPPED"))</f>
        <v>Won</v>
      </c>
      <c r="T380" s="37" t="str">
        <f aca="false">IF($M380="","",IF(NOT(ISNUMBER(R380)),"NO DATE",IF(S380="Won",IF(R380&gt;Settings!$B$5,"Backlog","Delivered"),IF(S380="Open",IF(R380&gt;Settings!$B$5,"Pipeline","Overdue"),IF(S380="Lost","Lost","UNMAPPED")))))</f>
        <v>Delivered</v>
      </c>
      <c r="U380" s="40" t="n">
        <f aca="false">IF(T380="Backlog",1,IF(OR(T380="Pipeline",T380="Overdue"),N(INDEX(Settings!$C$27:$C$36,MATCH(L380,Settings!$A$27:$A$36,0))),0))</f>
        <v>0</v>
      </c>
      <c r="V380" s="38" t="n">
        <f aca="false">Q380*U380</f>
        <v>0</v>
      </c>
      <c r="W380" s="41" t="n">
        <f aca="false">IF($M380="","",IF(T380="Overdue",IF(Settings!$B$8="Yes",Settings!$B$7,""),IF(ISNUMBER(R380),DATE(YEAR(R380),MONTH(R380),1),"")))</f>
        <v>46082</v>
      </c>
      <c r="X380" s="38" t="n">
        <f aca="false">IF(AND(OR(T380="Backlog",T380="Pipeline",T380="Overdue"),ISNUMBER(W380)),IF(W380&lt;=Settings!$B$6,V380,0),0)</f>
        <v>0</v>
      </c>
      <c r="Y380" s="38" t="n">
        <f aca="false">IF(AND(OR(T380="Backlog",T380="Pipeline",T380="Overdue"),ISNUMBER(W380)),IF(W380&lt;=Settings!$B$6,Q380,0),0)</f>
        <v>0</v>
      </c>
      <c r="Z380" s="38" t="n">
        <f aca="false">IF(Y380=0,0,IF(T380="Backlog",Q380,Q380*Dashboard!$C$10))</f>
        <v>0</v>
      </c>
      <c r="AA380" s="37" t="n">
        <f aca="false">IF($N380="",0,IF(COUNTIF(Dashboard!$C$13:$C$22,$N380)&gt;0,1,0))</f>
        <v>0</v>
      </c>
      <c r="AB380" s="37" t="str">
        <f aca="false">IF($N380="","",IF(COUNTIF($N$8:$N380,$N380)=1,MAX($AB$7:$AB379)+1,""))</f>
        <v/>
      </c>
    </row>
    <row r="381" customFormat="false" ht="15" hidden="false" customHeight="false" outlineLevel="0" collapsed="false">
      <c r="B381" s="32" t="s">
        <v>978</v>
      </c>
      <c r="C381" s="32" t="s">
        <v>169</v>
      </c>
      <c r="D381" s="35" t="n">
        <v>28430</v>
      </c>
      <c r="E381" s="32" t="s">
        <v>145</v>
      </c>
      <c r="F381" s="36" t="n">
        <v>45978</v>
      </c>
      <c r="G381" s="32" t="s">
        <v>979</v>
      </c>
      <c r="L381" s="37" t="str">
        <f aca="false">IF(INDEX($A381:$J381,$L$6)&lt;&gt;"",TRIM(LEFT(INDEX($A381:$J381,$L$6),FIND("(",INDEX($A381:$J381,$L$6)&amp;"(")-1)),L380)</f>
        <v>Closed Won</v>
      </c>
      <c r="M381" s="37" t="str">
        <f aca="false">IF(INDEX($A381:$J381,$M$6)="","",INDEX($A381:$J381,$M$6)&amp;"")</f>
        <v>Endeavour EDV AGM - 17.11.25</v>
      </c>
      <c r="N381" s="37" t="str">
        <f aca="false">IF($M381="","",TRIM(INDEX($A381:$J381,$N$6)&amp;""))</f>
        <v>MUFG IR / Orient Capital</v>
      </c>
      <c r="O381" s="37" t="str">
        <f aca="false">IF($M381="","",TRIM(INDEX($A381:$J381,$O$6)&amp;""))</f>
        <v>Event Production</v>
      </c>
      <c r="P381" s="37" t="str">
        <f aca="false">IF($M381="","",IFERROR(IF(INDEX(Settings!$B$41:$B$50,MATCH(O381,Settings!$A$41:$A$50,0))&amp;""="","UNMAPPED",INDEX(Settings!$B$41:$B$50,MATCH(O381,Settings!$A$41:$A$50,0))&amp;""),"UNMAPPED"))</f>
        <v>Production</v>
      </c>
      <c r="Q381" s="38" t="n">
        <f aca="false">IF($M381="",0,N(INDEX($A381:$J381,$Q$6)))</f>
        <v>28430</v>
      </c>
      <c r="R381" s="39" t="n">
        <f aca="false">IF($M381="","",INDEX($A381:$J381,$R$6))</f>
        <v>45978</v>
      </c>
      <c r="S381" s="37" t="str">
        <f aca="false">IF($M381="","",IFERROR(INDEX(Settings!$B$27:$B$36,MATCH(L381,Settings!$A$27:$A$36,0))&amp;"","UNMAPPED"))</f>
        <v>Won</v>
      </c>
      <c r="T381" s="37" t="str">
        <f aca="false">IF($M381="","",IF(NOT(ISNUMBER(R381)),"NO DATE",IF(S381="Won",IF(R381&gt;Settings!$B$5,"Backlog","Delivered"),IF(S381="Open",IF(R381&gt;Settings!$B$5,"Pipeline","Overdue"),IF(S381="Lost","Lost","UNMAPPED")))))</f>
        <v>Delivered</v>
      </c>
      <c r="U381" s="40" t="n">
        <f aca="false">IF(T381="Backlog",1,IF(OR(T381="Pipeline",T381="Overdue"),N(INDEX(Settings!$C$27:$C$36,MATCH(L381,Settings!$A$27:$A$36,0))),0))</f>
        <v>0</v>
      </c>
      <c r="V381" s="38" t="n">
        <f aca="false">Q381*U381</f>
        <v>0</v>
      </c>
      <c r="W381" s="41" t="n">
        <f aca="false">IF($M381="","",IF(T381="Overdue",IF(Settings!$B$8="Yes",Settings!$B$7,""),IF(ISNUMBER(R381),DATE(YEAR(R381),MONTH(R381),1),"")))</f>
        <v>45962</v>
      </c>
      <c r="X381" s="38" t="n">
        <f aca="false">IF(AND(OR(T381="Backlog",T381="Pipeline",T381="Overdue"),ISNUMBER(W381)),IF(W381&lt;=Settings!$B$6,V381,0),0)</f>
        <v>0</v>
      </c>
      <c r="Y381" s="38" t="n">
        <f aca="false">IF(AND(OR(T381="Backlog",T381="Pipeline",T381="Overdue"),ISNUMBER(W381)),IF(W381&lt;=Settings!$B$6,Q381,0),0)</f>
        <v>0</v>
      </c>
      <c r="Z381" s="38" t="n">
        <f aca="false">IF(Y381=0,0,IF(T381="Backlog",Q381,Q381*Dashboard!$C$10))</f>
        <v>0</v>
      </c>
      <c r="AA381" s="37" t="n">
        <f aca="false">IF($N381="",0,IF(COUNTIF(Dashboard!$C$13:$C$22,$N381)&gt;0,1,0))</f>
        <v>0</v>
      </c>
      <c r="AB381" s="37" t="str">
        <f aca="false">IF($N381="","",IF(COUNTIF($N$8:$N381,$N381)=1,MAX($AB$7:$AB380)+1,""))</f>
        <v/>
      </c>
    </row>
    <row r="382" customFormat="false" ht="15" hidden="false" customHeight="false" outlineLevel="0" collapsed="false">
      <c r="B382" s="32" t="s">
        <v>980</v>
      </c>
      <c r="C382" s="32" t="s">
        <v>253</v>
      </c>
      <c r="D382" s="35" t="n">
        <v>11319</v>
      </c>
      <c r="E382" s="32" t="s">
        <v>208</v>
      </c>
      <c r="F382" s="36" t="n">
        <v>46069</v>
      </c>
      <c r="G382" s="32" t="s">
        <v>981</v>
      </c>
      <c r="L382" s="37" t="str">
        <f aca="false">IF(INDEX($A382:$J382,$L$6)&lt;&gt;"",TRIM(LEFT(INDEX($A382:$J382,$L$6),FIND("(",INDEX($A382:$J382,$L$6)&amp;"(")-1)),L381)</f>
        <v>Closed Won</v>
      </c>
      <c r="M382" s="37" t="str">
        <f aca="false">IF(INDEX($A382:$J382,$M$6)="","",INDEX($A382:$J382,$M$6)&amp;"")</f>
        <v>Meet the Manager Series (March 2026)</v>
      </c>
      <c r="N382" s="37" t="str">
        <f aca="false">IF($M382="","",TRIM(INDEX($A382:$J382,$N$6)&amp;""))</f>
        <v>ASX Australian Securities Exchange</v>
      </c>
      <c r="O382" s="37" t="str">
        <f aca="false">IF($M382="","",TRIM(INDEX($A382:$J382,$O$6)&amp;""))</f>
        <v>Video Production</v>
      </c>
      <c r="P382" s="37" t="str">
        <f aca="false">IF($M382="","",IFERROR(IF(INDEX(Settings!$B$41:$B$50,MATCH(O382,Settings!$A$41:$A$50,0))&amp;""="","UNMAPPED",INDEX(Settings!$B$41:$B$50,MATCH(O382,Settings!$A$41:$A$50,0))&amp;""),"UNMAPPED"))</f>
        <v>Video</v>
      </c>
      <c r="Q382" s="38" t="n">
        <f aca="false">IF($M382="",0,N(INDEX($A382:$J382,$Q$6)))</f>
        <v>11319</v>
      </c>
      <c r="R382" s="39" t="n">
        <f aca="false">IF($M382="","",INDEX($A382:$J382,$R$6))</f>
        <v>46069</v>
      </c>
      <c r="S382" s="37" t="str">
        <f aca="false">IF($M382="","",IFERROR(INDEX(Settings!$B$27:$B$36,MATCH(L382,Settings!$A$27:$A$36,0))&amp;"","UNMAPPED"))</f>
        <v>Won</v>
      </c>
      <c r="T382" s="37" t="str">
        <f aca="false">IF($M382="","",IF(NOT(ISNUMBER(R382)),"NO DATE",IF(S382="Won",IF(R382&gt;Settings!$B$5,"Backlog","Delivered"),IF(S382="Open",IF(R382&gt;Settings!$B$5,"Pipeline","Overdue"),IF(S382="Lost","Lost","UNMAPPED")))))</f>
        <v>Delivered</v>
      </c>
      <c r="U382" s="40" t="n">
        <f aca="false">IF(T382="Backlog",1,IF(OR(T382="Pipeline",T382="Overdue"),N(INDEX(Settings!$C$27:$C$36,MATCH(L382,Settings!$A$27:$A$36,0))),0))</f>
        <v>0</v>
      </c>
      <c r="V382" s="38" t="n">
        <f aca="false">Q382*U382</f>
        <v>0</v>
      </c>
      <c r="W382" s="41" t="n">
        <f aca="false">IF($M382="","",IF(T382="Overdue",IF(Settings!$B$8="Yes",Settings!$B$7,""),IF(ISNUMBER(R382),DATE(YEAR(R382),MONTH(R382),1),"")))</f>
        <v>46054</v>
      </c>
      <c r="X382" s="38" t="n">
        <f aca="false">IF(AND(OR(T382="Backlog",T382="Pipeline",T382="Overdue"),ISNUMBER(W382)),IF(W382&lt;=Settings!$B$6,V382,0),0)</f>
        <v>0</v>
      </c>
      <c r="Y382" s="38" t="n">
        <f aca="false">IF(AND(OR(T382="Backlog",T382="Pipeline",T382="Overdue"),ISNUMBER(W382)),IF(W382&lt;=Settings!$B$6,Q382,0),0)</f>
        <v>0</v>
      </c>
      <c r="Z382" s="38" t="n">
        <f aca="false">IF(Y382=0,0,IF(T382="Backlog",Q382,Q382*Dashboard!$C$10))</f>
        <v>0</v>
      </c>
      <c r="AA382" s="37" t="n">
        <f aca="false">IF($N382="",0,IF(COUNTIF(Dashboard!$C$13:$C$22,$N382)&gt;0,1,0))</f>
        <v>0</v>
      </c>
      <c r="AB382" s="37" t="str">
        <f aca="false">IF($N382="","",IF(COUNTIF($N$8:$N382,$N382)=1,MAX($AB$7:$AB381)+1,""))</f>
        <v/>
      </c>
    </row>
    <row r="383" customFormat="false" ht="15" hidden="false" customHeight="false" outlineLevel="0" collapsed="false">
      <c r="B383" s="32" t="s">
        <v>982</v>
      </c>
      <c r="C383" s="32" t="s">
        <v>244</v>
      </c>
      <c r="D383" s="35" t="n">
        <v>830</v>
      </c>
      <c r="E383" s="32" t="s">
        <v>145</v>
      </c>
      <c r="F383" s="36" t="n">
        <v>46241</v>
      </c>
      <c r="G383" s="32" t="s">
        <v>983</v>
      </c>
      <c r="L383" s="37" t="str">
        <f aca="false">IF(INDEX($A383:$J383,$L$6)&lt;&gt;"",TRIM(LEFT(INDEX($A383:$J383,$L$6),FIND("(",INDEX($A383:$J383,$L$6)&amp;"(")-1)),L382)</f>
        <v>Closed Won</v>
      </c>
      <c r="M383" s="37" t="str">
        <f aca="false">IF(INDEX($A383:$J383,$M$6)="","",INDEX($A383:$J383,$M$6)&amp;"")</f>
        <v>APA - Qtly All Hands SYD Screen Hire - 20.8.26</v>
      </c>
      <c r="N383" s="37" t="str">
        <f aca="false">IF($M383="","",TRIM(INDEX($A383:$J383,$N$6)&amp;""))</f>
        <v>APA</v>
      </c>
      <c r="O383" s="37" t="str">
        <f aca="false">IF($M383="","",TRIM(INDEX($A383:$J383,$O$6)&amp;""))</f>
        <v>Event Production</v>
      </c>
      <c r="P383" s="37" t="str">
        <f aca="false">IF($M383="","",IFERROR(IF(INDEX(Settings!$B$41:$B$50,MATCH(O383,Settings!$A$41:$A$50,0))&amp;""="","UNMAPPED",INDEX(Settings!$B$41:$B$50,MATCH(O383,Settings!$A$41:$A$50,0))&amp;""),"UNMAPPED"))</f>
        <v>Production</v>
      </c>
      <c r="Q383" s="38" t="n">
        <f aca="false">IF($M383="",0,N(INDEX($A383:$J383,$Q$6)))</f>
        <v>830</v>
      </c>
      <c r="R383" s="39" t="n">
        <f aca="false">IF($M383="","",INDEX($A383:$J383,$R$6))</f>
        <v>46241</v>
      </c>
      <c r="S383" s="37" t="str">
        <f aca="false">IF($M383="","",IFERROR(INDEX(Settings!$B$27:$B$36,MATCH(L383,Settings!$A$27:$A$36,0))&amp;"","UNMAPPED"))</f>
        <v>Won</v>
      </c>
      <c r="T383" s="37" t="str">
        <f aca="false">IF($M383="","",IF(NOT(ISNUMBER(R383)),"NO DATE",IF(S383="Won",IF(R383&gt;Settings!$B$5,"Backlog","Delivered"),IF(S383="Open",IF(R383&gt;Settings!$B$5,"Pipeline","Overdue"),IF(S383="Lost","Lost","UNMAPPED")))))</f>
        <v>Delivered</v>
      </c>
      <c r="U383" s="40" t="n">
        <f aca="false">IF(T383="Backlog",1,IF(OR(T383="Pipeline",T383="Overdue"),N(INDEX(Settings!$C$27:$C$36,MATCH(L383,Settings!$A$27:$A$36,0))),0))</f>
        <v>0</v>
      </c>
      <c r="V383" s="38" t="n">
        <f aca="false">Q383*U383</f>
        <v>0</v>
      </c>
      <c r="W383" s="41" t="n">
        <f aca="false">IF($M383="","",IF(T383="Overdue",IF(Settings!$B$8="Yes",Settings!$B$7,""),IF(ISNUMBER(R383),DATE(YEAR(R383),MONTH(R383),1),"")))</f>
        <v>46235</v>
      </c>
      <c r="X383" s="38" t="n">
        <f aca="false">IF(AND(OR(T383="Backlog",T383="Pipeline",T383="Overdue"),ISNUMBER(W383)),IF(W383&lt;=Settings!$B$6,V383,0),0)</f>
        <v>0</v>
      </c>
      <c r="Y383" s="38" t="n">
        <f aca="false">IF(AND(OR(T383="Backlog",T383="Pipeline",T383="Overdue"),ISNUMBER(W383)),IF(W383&lt;=Settings!$B$6,Q383,0),0)</f>
        <v>0</v>
      </c>
      <c r="Z383" s="38" t="n">
        <f aca="false">IF(Y383=0,0,IF(T383="Backlog",Q383,Q383*Dashboard!$C$10))</f>
        <v>0</v>
      </c>
      <c r="AA383" s="37" t="n">
        <f aca="false">IF($N383="",0,IF(COUNTIF(Dashboard!$C$13:$C$22,$N383)&gt;0,1,0))</f>
        <v>0</v>
      </c>
      <c r="AB383" s="37" t="str">
        <f aca="false">IF($N383="","",IF(COUNTIF($N$8:$N383,$N383)=1,MAX($AB$7:$AB382)+1,""))</f>
        <v/>
      </c>
    </row>
    <row r="384" customFormat="false" ht="15" hidden="false" customHeight="false" outlineLevel="0" collapsed="false">
      <c r="B384" s="32" t="s">
        <v>984</v>
      </c>
      <c r="C384" s="32" t="s">
        <v>169</v>
      </c>
      <c r="D384" s="35" t="n">
        <v>25508</v>
      </c>
      <c r="E384" s="32" t="s">
        <v>145</v>
      </c>
      <c r="F384" s="36" t="n">
        <v>45994</v>
      </c>
      <c r="G384" s="32" t="s">
        <v>985</v>
      </c>
      <c r="L384" s="37" t="str">
        <f aca="false">IF(INDEX($A384:$J384,$L$6)&lt;&gt;"",TRIM(LEFT(INDEX($A384:$J384,$L$6),FIND("(",INDEX($A384:$J384,$L$6)&amp;"(")-1)),L383)</f>
        <v>Closed Won</v>
      </c>
      <c r="M384" s="37" t="str">
        <f aca="false">IF(INDEX($A384:$J384,$M$6)="","",INDEX($A384:$J384,$M$6)&amp;"")</f>
        <v>Wisetech Investor Day</v>
      </c>
      <c r="N384" s="37" t="str">
        <f aca="false">IF($M384="","",TRIM(INDEX($A384:$J384,$N$6)&amp;""))</f>
        <v>MUFG IR / Orient Capital</v>
      </c>
      <c r="O384" s="37" t="str">
        <f aca="false">IF($M384="","",TRIM(INDEX($A384:$J384,$O$6)&amp;""))</f>
        <v>Event Production</v>
      </c>
      <c r="P384" s="37" t="str">
        <f aca="false">IF($M384="","",IFERROR(IF(INDEX(Settings!$B$41:$B$50,MATCH(O384,Settings!$A$41:$A$50,0))&amp;""="","UNMAPPED",INDEX(Settings!$B$41:$B$50,MATCH(O384,Settings!$A$41:$A$50,0))&amp;""),"UNMAPPED"))</f>
        <v>Production</v>
      </c>
      <c r="Q384" s="38" t="n">
        <f aca="false">IF($M384="",0,N(INDEX($A384:$J384,$Q$6)))</f>
        <v>25508</v>
      </c>
      <c r="R384" s="39" t="n">
        <f aca="false">IF($M384="","",INDEX($A384:$J384,$R$6))</f>
        <v>45994</v>
      </c>
      <c r="S384" s="37" t="str">
        <f aca="false">IF($M384="","",IFERROR(INDEX(Settings!$B$27:$B$36,MATCH(L384,Settings!$A$27:$A$36,0))&amp;"","UNMAPPED"))</f>
        <v>Won</v>
      </c>
      <c r="T384" s="37" t="str">
        <f aca="false">IF($M384="","",IF(NOT(ISNUMBER(R384)),"NO DATE",IF(S384="Won",IF(R384&gt;Settings!$B$5,"Backlog","Delivered"),IF(S384="Open",IF(R384&gt;Settings!$B$5,"Pipeline","Overdue"),IF(S384="Lost","Lost","UNMAPPED")))))</f>
        <v>Delivered</v>
      </c>
      <c r="U384" s="40" t="n">
        <f aca="false">IF(T384="Backlog",1,IF(OR(T384="Pipeline",T384="Overdue"),N(INDEX(Settings!$C$27:$C$36,MATCH(L384,Settings!$A$27:$A$36,0))),0))</f>
        <v>0</v>
      </c>
      <c r="V384" s="38" t="n">
        <f aca="false">Q384*U384</f>
        <v>0</v>
      </c>
      <c r="W384" s="41" t="n">
        <f aca="false">IF($M384="","",IF(T384="Overdue",IF(Settings!$B$8="Yes",Settings!$B$7,""),IF(ISNUMBER(R384),DATE(YEAR(R384),MONTH(R384),1),"")))</f>
        <v>45992</v>
      </c>
      <c r="X384" s="38" t="n">
        <f aca="false">IF(AND(OR(T384="Backlog",T384="Pipeline",T384="Overdue"),ISNUMBER(W384)),IF(W384&lt;=Settings!$B$6,V384,0),0)</f>
        <v>0</v>
      </c>
      <c r="Y384" s="38" t="n">
        <f aca="false">IF(AND(OR(T384="Backlog",T384="Pipeline",T384="Overdue"),ISNUMBER(W384)),IF(W384&lt;=Settings!$B$6,Q384,0),0)</f>
        <v>0</v>
      </c>
      <c r="Z384" s="38" t="n">
        <f aca="false">IF(Y384=0,0,IF(T384="Backlog",Q384,Q384*Dashboard!$C$10))</f>
        <v>0</v>
      </c>
      <c r="AA384" s="37" t="n">
        <f aca="false">IF($N384="",0,IF(COUNTIF(Dashboard!$C$13:$C$22,$N384)&gt;0,1,0))</f>
        <v>0</v>
      </c>
      <c r="AB384" s="37" t="str">
        <f aca="false">IF($N384="","",IF(COUNTIF($N$8:$N384,$N384)=1,MAX($AB$7:$AB383)+1,""))</f>
        <v/>
      </c>
    </row>
    <row r="385" customFormat="false" ht="15" hidden="false" customHeight="false" outlineLevel="0" collapsed="false">
      <c r="B385" s="32" t="s">
        <v>986</v>
      </c>
      <c r="C385" s="32" t="s">
        <v>244</v>
      </c>
      <c r="D385" s="35" t="n">
        <v>12601</v>
      </c>
      <c r="E385" s="32" t="s">
        <v>145</v>
      </c>
      <c r="F385" s="36" t="n">
        <v>46211</v>
      </c>
      <c r="G385" s="32" t="s">
        <v>987</v>
      </c>
      <c r="L385" s="37" t="str">
        <f aca="false">IF(INDEX($A385:$J385,$L$6)&lt;&gt;"",TRIM(LEFT(INDEX($A385:$J385,$L$6),FIND("(",INDEX($A385:$J385,$L$6)&amp;"(")-1)),L384)</f>
        <v>Closed Won</v>
      </c>
      <c r="M385" s="37" t="str">
        <f aca="false">IF(INDEX($A385:$J385,$M$6)="","",INDEX($A385:$J385,$M$6)&amp;"")</f>
        <v>APA - Qtly All Hands Sydney - Feb 27</v>
      </c>
      <c r="N385" s="37" t="str">
        <f aca="false">IF($M385="","",TRIM(INDEX($A385:$J385,$N$6)&amp;""))</f>
        <v>APA</v>
      </c>
      <c r="O385" s="37" t="str">
        <f aca="false">IF($M385="","",TRIM(INDEX($A385:$J385,$O$6)&amp;""))</f>
        <v>Event Production</v>
      </c>
      <c r="P385" s="37" t="str">
        <f aca="false">IF($M385="","",IFERROR(IF(INDEX(Settings!$B$41:$B$50,MATCH(O385,Settings!$A$41:$A$50,0))&amp;""="","UNMAPPED",INDEX(Settings!$B$41:$B$50,MATCH(O385,Settings!$A$41:$A$50,0))&amp;""),"UNMAPPED"))</f>
        <v>Production</v>
      </c>
      <c r="Q385" s="38" t="n">
        <f aca="false">IF($M385="",0,N(INDEX($A385:$J385,$Q$6)))</f>
        <v>12601</v>
      </c>
      <c r="R385" s="39" t="n">
        <f aca="false">IF($M385="","",INDEX($A385:$J385,$R$6))</f>
        <v>46211</v>
      </c>
      <c r="S385" s="37" t="str">
        <f aca="false">IF($M385="","",IFERROR(INDEX(Settings!$B$27:$B$36,MATCH(L385,Settings!$A$27:$A$36,0))&amp;"","UNMAPPED"))</f>
        <v>Won</v>
      </c>
      <c r="T385" s="37" t="str">
        <f aca="false">IF($M385="","",IF(NOT(ISNUMBER(R385)),"NO DATE",IF(S385="Won",IF(R385&gt;Settings!$B$5,"Backlog","Delivered"),IF(S385="Open",IF(R385&gt;Settings!$B$5,"Pipeline","Overdue"),IF(S385="Lost","Lost","UNMAPPED")))))</f>
        <v>Delivered</v>
      </c>
      <c r="U385" s="40" t="n">
        <f aca="false">IF(T385="Backlog",1,IF(OR(T385="Pipeline",T385="Overdue"),N(INDEX(Settings!$C$27:$C$36,MATCH(L385,Settings!$A$27:$A$36,0))),0))</f>
        <v>0</v>
      </c>
      <c r="V385" s="38" t="n">
        <f aca="false">Q385*U385</f>
        <v>0</v>
      </c>
      <c r="W385" s="41" t="n">
        <f aca="false">IF($M385="","",IF(T385="Overdue",IF(Settings!$B$8="Yes",Settings!$B$7,""),IF(ISNUMBER(R385),DATE(YEAR(R385),MONTH(R385),1),"")))</f>
        <v>46204</v>
      </c>
      <c r="X385" s="38" t="n">
        <f aca="false">IF(AND(OR(T385="Backlog",T385="Pipeline",T385="Overdue"),ISNUMBER(W385)),IF(W385&lt;=Settings!$B$6,V385,0),0)</f>
        <v>0</v>
      </c>
      <c r="Y385" s="38" t="n">
        <f aca="false">IF(AND(OR(T385="Backlog",T385="Pipeline",T385="Overdue"),ISNUMBER(W385)),IF(W385&lt;=Settings!$B$6,Q385,0),0)</f>
        <v>0</v>
      </c>
      <c r="Z385" s="38" t="n">
        <f aca="false">IF(Y385=0,0,IF(T385="Backlog",Q385,Q385*Dashboard!$C$10))</f>
        <v>0</v>
      </c>
      <c r="AA385" s="37" t="n">
        <f aca="false">IF($N385="",0,IF(COUNTIF(Dashboard!$C$13:$C$22,$N385)&gt;0,1,0))</f>
        <v>0</v>
      </c>
      <c r="AB385" s="37" t="str">
        <f aca="false">IF($N385="","",IF(COUNTIF($N$8:$N385,$N385)=1,MAX($AB$7:$AB384)+1,""))</f>
        <v/>
      </c>
    </row>
    <row r="386" customFormat="false" ht="15" hidden="false" customHeight="false" outlineLevel="0" collapsed="false">
      <c r="B386" s="32" t="s">
        <v>988</v>
      </c>
      <c r="C386" s="32" t="s">
        <v>163</v>
      </c>
      <c r="D386" s="35" t="n">
        <v>7978</v>
      </c>
      <c r="E386" s="32" t="s">
        <v>145</v>
      </c>
      <c r="F386" s="36" t="n">
        <v>46290</v>
      </c>
      <c r="G386" s="32" t="s">
        <v>989</v>
      </c>
      <c r="L386" s="37" t="str">
        <f aca="false">IF(INDEX($A386:$J386,$L$6)&lt;&gt;"",TRIM(LEFT(INDEX($A386:$J386,$L$6),FIND("(",INDEX($A386:$J386,$L$6)&amp;"(")-1)),L385)</f>
        <v>Closed Won</v>
      </c>
      <c r="M386" s="37" t="str">
        <f aca="false">IF(INDEX($A386:$J386,$M$6)="","",INDEX($A386:$J386,$M$6)&amp;"")</f>
        <v>Automic - September All Hands - 25.9.26</v>
      </c>
      <c r="N386" s="37" t="str">
        <f aca="false">IF($M386="","",TRIM(INDEX($A386:$J386,$N$6)&amp;""))</f>
        <v>Automic Group</v>
      </c>
      <c r="O386" s="37" t="str">
        <f aca="false">IF($M386="","",TRIM(INDEX($A386:$J386,$O$6)&amp;""))</f>
        <v>Event Production</v>
      </c>
      <c r="P386" s="37" t="str">
        <f aca="false">IF($M386="","",IFERROR(IF(INDEX(Settings!$B$41:$B$50,MATCH(O386,Settings!$A$41:$A$50,0))&amp;""="","UNMAPPED",INDEX(Settings!$B$41:$B$50,MATCH(O386,Settings!$A$41:$A$50,0))&amp;""),"UNMAPPED"))</f>
        <v>Production</v>
      </c>
      <c r="Q386" s="38" t="n">
        <f aca="false">IF($M386="",0,N(INDEX($A386:$J386,$Q$6)))</f>
        <v>7978</v>
      </c>
      <c r="R386" s="39" t="n">
        <f aca="false">IF($M386="","",INDEX($A386:$J386,$R$6))</f>
        <v>46290</v>
      </c>
      <c r="S386" s="37" t="str">
        <f aca="false">IF($M386="","",IFERROR(INDEX(Settings!$B$27:$B$36,MATCH(L386,Settings!$A$27:$A$36,0))&amp;"","UNMAPPED"))</f>
        <v>Won</v>
      </c>
      <c r="T386" s="37" t="str">
        <f aca="false">IF($M386="","",IF(NOT(ISNUMBER(R386)),"NO DATE",IF(S386="Won",IF(R386&gt;Settings!$B$5,"Backlog","Delivered"),IF(S386="Open",IF(R386&gt;Settings!$B$5,"Pipeline","Overdue"),IF(S386="Lost","Lost","UNMAPPED")))))</f>
        <v>Delivered</v>
      </c>
      <c r="U386" s="40" t="n">
        <f aca="false">IF(T386="Backlog",1,IF(OR(T386="Pipeline",T386="Overdue"),N(INDEX(Settings!$C$27:$C$36,MATCH(L386,Settings!$A$27:$A$36,0))),0))</f>
        <v>0</v>
      </c>
      <c r="V386" s="38" t="n">
        <f aca="false">Q386*U386</f>
        <v>0</v>
      </c>
      <c r="W386" s="41" t="n">
        <f aca="false">IF($M386="","",IF(T386="Overdue",IF(Settings!$B$8="Yes",Settings!$B$7,""),IF(ISNUMBER(R386),DATE(YEAR(R386),MONTH(R386),1),"")))</f>
        <v>46266</v>
      </c>
      <c r="X386" s="38" t="n">
        <f aca="false">IF(AND(OR(T386="Backlog",T386="Pipeline",T386="Overdue"),ISNUMBER(W386)),IF(W386&lt;=Settings!$B$6,V386,0),0)</f>
        <v>0</v>
      </c>
      <c r="Y386" s="38" t="n">
        <f aca="false">IF(AND(OR(T386="Backlog",T386="Pipeline",T386="Overdue"),ISNUMBER(W386)),IF(W386&lt;=Settings!$B$6,Q386,0),0)</f>
        <v>0</v>
      </c>
      <c r="Z386" s="38" t="n">
        <f aca="false">IF(Y386=0,0,IF(T386="Backlog",Q386,Q386*Dashboard!$C$10))</f>
        <v>0</v>
      </c>
      <c r="AA386" s="37" t="n">
        <f aca="false">IF($N386="",0,IF(COUNTIF(Dashboard!$C$13:$C$22,$N386)&gt;0,1,0))</f>
        <v>0</v>
      </c>
      <c r="AB386" s="37" t="str">
        <f aca="false">IF($N386="","",IF(COUNTIF($N$8:$N386,$N386)=1,MAX($AB$7:$AB385)+1,""))</f>
        <v/>
      </c>
    </row>
    <row r="387" customFormat="false" ht="15" hidden="false" customHeight="false" outlineLevel="0" collapsed="false">
      <c r="B387" s="32" t="s">
        <v>990</v>
      </c>
      <c r="C387" s="32" t="s">
        <v>166</v>
      </c>
      <c r="D387" s="35" t="n">
        <v>231667</v>
      </c>
      <c r="E387" s="32" t="s">
        <v>173</v>
      </c>
      <c r="F387" s="36" t="n">
        <v>46141</v>
      </c>
      <c r="G387" s="32" t="s">
        <v>991</v>
      </c>
      <c r="L387" s="37" t="str">
        <f aca="false">IF(INDEX($A387:$J387,$L$6)&lt;&gt;"",TRIM(LEFT(INDEX($A387:$J387,$L$6),FIND("(",INDEX($A387:$J387,$L$6)&amp;"(")-1)),L386)</f>
        <v>Closed Won</v>
      </c>
      <c r="M387" s="37" t="str">
        <f aca="false">IF(INDEX($A387:$J387,$M$6)="","",INDEX($A387:$J387,$M$6)&amp;"")</f>
        <v>PDNSW | Eptura Licence Renewal - 2603202</v>
      </c>
      <c r="N387" s="37" t="str">
        <f aca="false">IF($M387="","",TRIM(INDEX($A387:$J387,$N$6)&amp;""))</f>
        <v>Property and Development NSW</v>
      </c>
      <c r="O387" s="37" t="str">
        <f aca="false">IF($M387="","",TRIM(INDEX($A387:$J387,$O$6)&amp;""))</f>
        <v>Consulting</v>
      </c>
      <c r="P387" s="37" t="str">
        <f aca="false">IF($M387="","",IFERROR(IF(INDEX(Settings!$B$41:$B$50,MATCH(O387,Settings!$A$41:$A$50,0))&amp;""="","UNMAPPED",INDEX(Settings!$B$41:$B$50,MATCH(O387,Settings!$A$41:$A$50,0))&amp;""),"UNMAPPED"))</f>
        <v>Consulting</v>
      </c>
      <c r="Q387" s="38" t="n">
        <f aca="false">IF($M387="",0,N(INDEX($A387:$J387,$Q$6)))</f>
        <v>231667</v>
      </c>
      <c r="R387" s="39" t="n">
        <f aca="false">IF($M387="","",INDEX($A387:$J387,$R$6))</f>
        <v>46141</v>
      </c>
      <c r="S387" s="37" t="str">
        <f aca="false">IF($M387="","",IFERROR(INDEX(Settings!$B$27:$B$36,MATCH(L387,Settings!$A$27:$A$36,0))&amp;"","UNMAPPED"))</f>
        <v>Won</v>
      </c>
      <c r="T387" s="37" t="str">
        <f aca="false">IF($M387="","",IF(NOT(ISNUMBER(R387)),"NO DATE",IF(S387="Won",IF(R387&gt;Settings!$B$5,"Backlog","Delivered"),IF(S387="Open",IF(R387&gt;Settings!$B$5,"Pipeline","Overdue"),IF(S387="Lost","Lost","UNMAPPED")))))</f>
        <v>Delivered</v>
      </c>
      <c r="U387" s="40" t="n">
        <f aca="false">IF(T387="Backlog",1,IF(OR(T387="Pipeline",T387="Overdue"),N(INDEX(Settings!$C$27:$C$36,MATCH(L387,Settings!$A$27:$A$36,0))),0))</f>
        <v>0</v>
      </c>
      <c r="V387" s="38" t="n">
        <f aca="false">Q387*U387</f>
        <v>0</v>
      </c>
      <c r="W387" s="41" t="n">
        <f aca="false">IF($M387="","",IF(T387="Overdue",IF(Settings!$B$8="Yes",Settings!$B$7,""),IF(ISNUMBER(R387),DATE(YEAR(R387),MONTH(R387),1),"")))</f>
        <v>46113</v>
      </c>
      <c r="X387" s="38" t="n">
        <f aca="false">IF(AND(OR(T387="Backlog",T387="Pipeline",T387="Overdue"),ISNUMBER(W387)),IF(W387&lt;=Settings!$B$6,V387,0),0)</f>
        <v>0</v>
      </c>
      <c r="Y387" s="38" t="n">
        <f aca="false">IF(AND(OR(T387="Backlog",T387="Pipeline",T387="Overdue"),ISNUMBER(W387)),IF(W387&lt;=Settings!$B$6,Q387,0),0)</f>
        <v>0</v>
      </c>
      <c r="Z387" s="38" t="n">
        <f aca="false">IF(Y387=0,0,IF(T387="Backlog",Q387,Q387*Dashboard!$C$10))</f>
        <v>0</v>
      </c>
      <c r="AA387" s="37" t="n">
        <f aca="false">IF($N387="",0,IF(COUNTIF(Dashboard!$C$13:$C$22,$N387)&gt;0,1,0))</f>
        <v>0</v>
      </c>
      <c r="AB387" s="37" t="str">
        <f aca="false">IF($N387="","",IF(COUNTIF($N$8:$N387,$N387)=1,MAX($AB$7:$AB386)+1,""))</f>
        <v/>
      </c>
    </row>
    <row r="388" customFormat="false" ht="15" hidden="false" customHeight="false" outlineLevel="0" collapsed="false">
      <c r="B388" s="32" t="s">
        <v>992</v>
      </c>
      <c r="C388" s="32" t="s">
        <v>194</v>
      </c>
      <c r="D388" s="35" t="n">
        <v>52750</v>
      </c>
      <c r="E388" s="32" t="s">
        <v>145</v>
      </c>
      <c r="F388" s="36" t="n">
        <v>46224</v>
      </c>
      <c r="G388" s="32" t="s">
        <v>993</v>
      </c>
      <c r="L388" s="37" t="str">
        <f aca="false">IF(INDEX($A388:$J388,$L$6)&lt;&gt;"",TRIM(LEFT(INDEX($A388:$J388,$L$6),FIND("(",INDEX($A388:$J388,$L$6)&amp;"(")-1)),L387)</f>
        <v>Closed Won</v>
      </c>
      <c r="M388" s="37" t="str">
        <f aca="false">IF(INDEX($A388:$J388,$M$6)="","",INDEX($A388:$J388,$M$6)&amp;"")</f>
        <v>Ventia - Ventia Awards - 30.7.26</v>
      </c>
      <c r="N388" s="37" t="str">
        <f aca="false">IF($M388="","",TRIM(INDEX($A388:$J388,$N$6)&amp;""))</f>
        <v>Ventia</v>
      </c>
      <c r="O388" s="37" t="str">
        <f aca="false">IF($M388="","",TRIM(INDEX($A388:$J388,$O$6)&amp;""))</f>
        <v>Event Production</v>
      </c>
      <c r="P388" s="37" t="str">
        <f aca="false">IF($M388="","",IFERROR(IF(INDEX(Settings!$B$41:$B$50,MATCH(O388,Settings!$A$41:$A$50,0))&amp;""="","UNMAPPED",INDEX(Settings!$B$41:$B$50,MATCH(O388,Settings!$A$41:$A$50,0))&amp;""),"UNMAPPED"))</f>
        <v>Production</v>
      </c>
      <c r="Q388" s="38" t="n">
        <f aca="false">IF($M388="",0,N(INDEX($A388:$J388,$Q$6)))</f>
        <v>52750</v>
      </c>
      <c r="R388" s="39" t="n">
        <f aca="false">IF($M388="","",INDEX($A388:$J388,$R$6))</f>
        <v>46224</v>
      </c>
      <c r="S388" s="37" t="str">
        <f aca="false">IF($M388="","",IFERROR(INDEX(Settings!$B$27:$B$36,MATCH(L388,Settings!$A$27:$A$36,0))&amp;"","UNMAPPED"))</f>
        <v>Won</v>
      </c>
      <c r="T388" s="37" t="str">
        <f aca="false">IF($M388="","",IF(NOT(ISNUMBER(R388)),"NO DATE",IF(S388="Won",IF(R388&gt;Settings!$B$5,"Backlog","Delivered"),IF(S388="Open",IF(R388&gt;Settings!$B$5,"Pipeline","Overdue"),IF(S388="Lost","Lost","UNMAPPED")))))</f>
        <v>Delivered</v>
      </c>
      <c r="U388" s="40" t="n">
        <f aca="false">IF(T388="Backlog",1,IF(OR(T388="Pipeline",T388="Overdue"),N(INDEX(Settings!$C$27:$C$36,MATCH(L388,Settings!$A$27:$A$36,0))),0))</f>
        <v>0</v>
      </c>
      <c r="V388" s="38" t="n">
        <f aca="false">Q388*U388</f>
        <v>0</v>
      </c>
      <c r="W388" s="41" t="n">
        <f aca="false">IF($M388="","",IF(T388="Overdue",IF(Settings!$B$8="Yes",Settings!$B$7,""),IF(ISNUMBER(R388),DATE(YEAR(R388),MONTH(R388),1),"")))</f>
        <v>46204</v>
      </c>
      <c r="X388" s="38" t="n">
        <f aca="false">IF(AND(OR(T388="Backlog",T388="Pipeline",T388="Overdue"),ISNUMBER(W388)),IF(W388&lt;=Settings!$B$6,V388,0),0)</f>
        <v>0</v>
      </c>
      <c r="Y388" s="38" t="n">
        <f aca="false">IF(AND(OR(T388="Backlog",T388="Pipeline",T388="Overdue"),ISNUMBER(W388)),IF(W388&lt;=Settings!$B$6,Q388,0),0)</f>
        <v>0</v>
      </c>
      <c r="Z388" s="38" t="n">
        <f aca="false">IF(Y388=0,0,IF(T388="Backlog",Q388,Q388*Dashboard!$C$10))</f>
        <v>0</v>
      </c>
      <c r="AA388" s="37" t="n">
        <f aca="false">IF($N388="",0,IF(COUNTIF(Dashboard!$C$13:$C$22,$N388)&gt;0,1,0))</f>
        <v>0</v>
      </c>
      <c r="AB388" s="37" t="str">
        <f aca="false">IF($N388="","",IF(COUNTIF($N$8:$N388,$N388)=1,MAX($AB$7:$AB387)+1,""))</f>
        <v/>
      </c>
    </row>
    <row r="389" customFormat="false" ht="15" hidden="false" customHeight="false" outlineLevel="0" collapsed="false">
      <c r="B389" s="32" t="s">
        <v>994</v>
      </c>
      <c r="C389" s="32" t="s">
        <v>140</v>
      </c>
      <c r="D389" s="35" t="n">
        <v>27408</v>
      </c>
      <c r="E389" s="32" t="s">
        <v>180</v>
      </c>
      <c r="F389" s="36" t="n">
        <v>46129</v>
      </c>
      <c r="G389" s="32" t="s">
        <v>995</v>
      </c>
      <c r="L389" s="37" t="str">
        <f aca="false">IF(INDEX($A389:$J389,$L$6)&lt;&gt;"",TRIM(LEFT(INDEX($A389:$J389,$L$6),FIND("(",INDEX($A389:$J389,$L$6)&amp;"(")-1)),L388)</f>
        <v>Closed Won</v>
      </c>
      <c r="M389" s="37" t="str">
        <f aca="false">IF(INDEX($A389:$J389,$M$6)="","",INDEX($A389:$J389,$M$6)&amp;"")</f>
        <v>8PSQ Dream Big Microphones - 26033003</v>
      </c>
      <c r="N389" s="37" t="str">
        <f aca="false">IF($M389="","",TRIM(INDEX($A389:$J389,$N$6)&amp;""))</f>
        <v>Deloitte Australia</v>
      </c>
      <c r="O389" s="37" t="str">
        <f aca="false">IF($M389="","",TRIM(INDEX($A389:$J389,$O$6)&amp;""))</f>
        <v>Support</v>
      </c>
      <c r="P389" s="37" t="str">
        <f aca="false">IF($M389="","",IFERROR(IF(INDEX(Settings!$B$41:$B$50,MATCH(O389,Settings!$A$41:$A$50,0))&amp;""="","UNMAPPED",INDEX(Settings!$B$41:$B$50,MATCH(O389,Settings!$A$41:$A$50,0))&amp;""),"UNMAPPED"))</f>
        <v>Onsite</v>
      </c>
      <c r="Q389" s="38" t="n">
        <f aca="false">IF($M389="",0,N(INDEX($A389:$J389,$Q$6)))</f>
        <v>27408</v>
      </c>
      <c r="R389" s="39" t="n">
        <f aca="false">IF($M389="","",INDEX($A389:$J389,$R$6))</f>
        <v>46129</v>
      </c>
      <c r="S389" s="37" t="str">
        <f aca="false">IF($M389="","",IFERROR(INDEX(Settings!$B$27:$B$36,MATCH(L389,Settings!$A$27:$A$36,0))&amp;"","UNMAPPED"))</f>
        <v>Won</v>
      </c>
      <c r="T389" s="37" t="str">
        <f aca="false">IF($M389="","",IF(NOT(ISNUMBER(R389)),"NO DATE",IF(S389="Won",IF(R389&gt;Settings!$B$5,"Backlog","Delivered"),IF(S389="Open",IF(R389&gt;Settings!$B$5,"Pipeline","Overdue"),IF(S389="Lost","Lost","UNMAPPED")))))</f>
        <v>Delivered</v>
      </c>
      <c r="U389" s="40" t="n">
        <f aca="false">IF(T389="Backlog",1,IF(OR(T389="Pipeline",T389="Overdue"),N(INDEX(Settings!$C$27:$C$36,MATCH(L389,Settings!$A$27:$A$36,0))),0))</f>
        <v>0</v>
      </c>
      <c r="V389" s="38" t="n">
        <f aca="false">Q389*U389</f>
        <v>0</v>
      </c>
      <c r="W389" s="41" t="n">
        <f aca="false">IF($M389="","",IF(T389="Overdue",IF(Settings!$B$8="Yes",Settings!$B$7,""),IF(ISNUMBER(R389),DATE(YEAR(R389),MONTH(R389),1),"")))</f>
        <v>46113</v>
      </c>
      <c r="X389" s="38" t="n">
        <f aca="false">IF(AND(OR(T389="Backlog",T389="Pipeline",T389="Overdue"),ISNUMBER(W389)),IF(W389&lt;=Settings!$B$6,V389,0),0)</f>
        <v>0</v>
      </c>
      <c r="Y389" s="38" t="n">
        <f aca="false">IF(AND(OR(T389="Backlog",T389="Pipeline",T389="Overdue"),ISNUMBER(W389)),IF(W389&lt;=Settings!$B$6,Q389,0),0)</f>
        <v>0</v>
      </c>
      <c r="Z389" s="38" t="n">
        <f aca="false">IF(Y389=0,0,IF(T389="Backlog",Q389,Q389*Dashboard!$C$10))</f>
        <v>0</v>
      </c>
      <c r="AA389" s="37" t="n">
        <f aca="false">IF($N389="",0,IF(COUNTIF(Dashboard!$C$13:$C$22,$N389)&gt;0,1,0))</f>
        <v>0</v>
      </c>
      <c r="AB389" s="37" t="str">
        <f aca="false">IF($N389="","",IF(COUNTIF($N$8:$N389,$N389)=1,MAX($AB$7:$AB388)+1,""))</f>
        <v/>
      </c>
    </row>
    <row r="390" customFormat="false" ht="15" hidden="false" customHeight="false" outlineLevel="0" collapsed="false">
      <c r="B390" s="32" t="s">
        <v>996</v>
      </c>
      <c r="C390" s="32" t="s">
        <v>253</v>
      </c>
      <c r="D390" s="35" t="n">
        <v>1730</v>
      </c>
      <c r="E390" s="32" t="s">
        <v>145</v>
      </c>
      <c r="F390" s="36" t="n">
        <v>46303</v>
      </c>
      <c r="G390" s="32" t="s">
        <v>997</v>
      </c>
      <c r="L390" s="37" t="str">
        <f aca="false">IF(INDEX($A390:$J390,$L$6)&lt;&gt;"",TRIM(LEFT(INDEX($A390:$J390,$L$6),FIND("(",INDEX($A390:$J390,$L$6)&amp;"(")-1)),L389)</f>
        <v>Closed Won</v>
      </c>
      <c r="M390" s="37" t="str">
        <f aca="false">IF(INDEX($A390:$J390,$M$6)="","",INDEX($A390:$J390,$M$6)&amp;"")</f>
        <v>ASX - Listing Event Lighting - 14.10.26</v>
      </c>
      <c r="N390" s="37" t="str">
        <f aca="false">IF($M390="","",TRIM(INDEX($A390:$J390,$N$6)&amp;""))</f>
        <v>ASX Australian Securities Exchange</v>
      </c>
      <c r="O390" s="37" t="str">
        <f aca="false">IF($M390="","",TRIM(INDEX($A390:$J390,$O$6)&amp;""))</f>
        <v>Event Production</v>
      </c>
      <c r="P390" s="37" t="str">
        <f aca="false">IF($M390="","",IFERROR(IF(INDEX(Settings!$B$41:$B$50,MATCH(O390,Settings!$A$41:$A$50,0))&amp;""="","UNMAPPED",INDEX(Settings!$B$41:$B$50,MATCH(O390,Settings!$A$41:$A$50,0))&amp;""),"UNMAPPED"))</f>
        <v>Production</v>
      </c>
      <c r="Q390" s="38" t="n">
        <f aca="false">IF($M390="",0,N(INDEX($A390:$J390,$Q$6)))</f>
        <v>1730</v>
      </c>
      <c r="R390" s="39" t="n">
        <f aca="false">IF($M390="","",INDEX($A390:$J390,$R$6))</f>
        <v>46303</v>
      </c>
      <c r="S390" s="37" t="str">
        <f aca="false">IF($M390="","",IFERROR(INDEX(Settings!$B$27:$B$36,MATCH(L390,Settings!$A$27:$A$36,0))&amp;"","UNMAPPED"))</f>
        <v>Won</v>
      </c>
      <c r="T390" s="37" t="str">
        <f aca="false">IF($M390="","",IF(NOT(ISNUMBER(R390)),"NO DATE",IF(S390="Won",IF(R390&gt;Settings!$B$5,"Backlog","Delivered"),IF(S390="Open",IF(R390&gt;Settings!$B$5,"Pipeline","Overdue"),IF(S390="Lost","Lost","UNMAPPED")))))</f>
        <v>Backlog</v>
      </c>
      <c r="U390" s="40" t="n">
        <f aca="false">IF(T390="Backlog",1,IF(OR(T390="Pipeline",T390="Overdue"),N(INDEX(Settings!$C$27:$C$36,MATCH(L390,Settings!$A$27:$A$36,0))),0))</f>
        <v>1</v>
      </c>
      <c r="V390" s="38" t="n">
        <f aca="false">Q390*U390</f>
        <v>1730</v>
      </c>
      <c r="W390" s="41" t="n">
        <f aca="false">IF($M390="","",IF(T390="Overdue",IF(Settings!$B$8="Yes",Settings!$B$7,""),IF(ISNUMBER(R390),DATE(YEAR(R390),MONTH(R390),1),"")))</f>
        <v>46296</v>
      </c>
      <c r="X390" s="38" t="n">
        <f aca="false">IF(AND(OR(T390="Backlog",T390="Pipeline",T390="Overdue"),ISNUMBER(W390)),IF(W390&lt;=Settings!$B$6,V390,0),0)</f>
        <v>1730</v>
      </c>
      <c r="Y390" s="38" t="n">
        <f aca="false">IF(AND(OR(T390="Backlog",T390="Pipeline",T390="Overdue"),ISNUMBER(W390)),IF(W390&lt;=Settings!$B$6,Q390,0),0)</f>
        <v>1730</v>
      </c>
      <c r="Z390" s="38" t="n">
        <f aca="false">IF(Y390=0,0,IF(T390="Backlog",Q390,Q390*Dashboard!$C$10))</f>
        <v>1730</v>
      </c>
      <c r="AA390" s="37" t="n">
        <f aca="false">IF($N390="",0,IF(COUNTIF(Dashboard!$C$13:$C$22,$N390)&gt;0,1,0))</f>
        <v>0</v>
      </c>
      <c r="AB390" s="37" t="str">
        <f aca="false">IF($N390="","",IF(COUNTIF($N$8:$N390,$N390)=1,MAX($AB$7:$AB389)+1,""))</f>
        <v/>
      </c>
    </row>
    <row r="391" customFormat="false" ht="15" hidden="false" customHeight="false" outlineLevel="0" collapsed="false">
      <c r="B391" s="32" t="s">
        <v>998</v>
      </c>
      <c r="C391" s="32" t="s">
        <v>154</v>
      </c>
      <c r="D391" s="35" t="n">
        <v>398</v>
      </c>
      <c r="E391" s="32" t="s">
        <v>145</v>
      </c>
      <c r="F391" s="36" t="n">
        <v>46058</v>
      </c>
      <c r="G391" s="32" t="s">
        <v>999</v>
      </c>
      <c r="L391" s="37" t="str">
        <f aca="false">IF(INDEX($A391:$J391,$L$6)&lt;&gt;"",TRIM(LEFT(INDEX($A391:$J391,$L$6),FIND("(",INDEX($A391:$J391,$L$6)&amp;"(")-1)),L390)</f>
        <v>Closed Won</v>
      </c>
      <c r="M391" s="37" t="str">
        <f aca="false">IF(INDEX($A391:$J391,$M$6)="","",INDEX($A391:$J391,$M$6)&amp;"")</f>
        <v>Ops Surround Hire</v>
      </c>
      <c r="N391" s="37" t="str">
        <f aca="false">IF($M391="","",TRIM(INDEX($A391:$J391,$N$6)&amp;""))</f>
        <v>PWC</v>
      </c>
      <c r="O391" s="37" t="str">
        <f aca="false">IF($M391="","",TRIM(INDEX($A391:$J391,$O$6)&amp;""))</f>
        <v>Event Production</v>
      </c>
      <c r="P391" s="37" t="str">
        <f aca="false">IF($M391="","",IFERROR(IF(INDEX(Settings!$B$41:$B$50,MATCH(O391,Settings!$A$41:$A$50,0))&amp;""="","UNMAPPED",INDEX(Settings!$B$41:$B$50,MATCH(O391,Settings!$A$41:$A$50,0))&amp;""),"UNMAPPED"))</f>
        <v>Production</v>
      </c>
      <c r="Q391" s="38" t="n">
        <f aca="false">IF($M391="",0,N(INDEX($A391:$J391,$Q$6)))</f>
        <v>398</v>
      </c>
      <c r="R391" s="39" t="n">
        <f aca="false">IF($M391="","",INDEX($A391:$J391,$R$6))</f>
        <v>46058</v>
      </c>
      <c r="S391" s="37" t="str">
        <f aca="false">IF($M391="","",IFERROR(INDEX(Settings!$B$27:$B$36,MATCH(L391,Settings!$A$27:$A$36,0))&amp;"","UNMAPPED"))</f>
        <v>Won</v>
      </c>
      <c r="T391" s="37" t="str">
        <f aca="false">IF($M391="","",IF(NOT(ISNUMBER(R391)),"NO DATE",IF(S391="Won",IF(R391&gt;Settings!$B$5,"Backlog","Delivered"),IF(S391="Open",IF(R391&gt;Settings!$B$5,"Pipeline","Overdue"),IF(S391="Lost","Lost","UNMAPPED")))))</f>
        <v>Delivered</v>
      </c>
      <c r="U391" s="40" t="n">
        <f aca="false">IF(T391="Backlog",1,IF(OR(T391="Pipeline",T391="Overdue"),N(INDEX(Settings!$C$27:$C$36,MATCH(L391,Settings!$A$27:$A$36,0))),0))</f>
        <v>0</v>
      </c>
      <c r="V391" s="38" t="n">
        <f aca="false">Q391*U391</f>
        <v>0</v>
      </c>
      <c r="W391" s="41" t="n">
        <f aca="false">IF($M391="","",IF(T391="Overdue",IF(Settings!$B$8="Yes",Settings!$B$7,""),IF(ISNUMBER(R391),DATE(YEAR(R391),MONTH(R391),1),"")))</f>
        <v>46054</v>
      </c>
      <c r="X391" s="38" t="n">
        <f aca="false">IF(AND(OR(T391="Backlog",T391="Pipeline",T391="Overdue"),ISNUMBER(W391)),IF(W391&lt;=Settings!$B$6,V391,0),0)</f>
        <v>0</v>
      </c>
      <c r="Y391" s="38" t="n">
        <f aca="false">IF(AND(OR(T391="Backlog",T391="Pipeline",T391="Overdue"),ISNUMBER(W391)),IF(W391&lt;=Settings!$B$6,Q391,0),0)</f>
        <v>0</v>
      </c>
      <c r="Z391" s="38" t="n">
        <f aca="false">IF(Y391=0,0,IF(T391="Backlog",Q391,Q391*Dashboard!$C$10))</f>
        <v>0</v>
      </c>
      <c r="AA391" s="37" t="n">
        <f aca="false">IF($N391="",0,IF(COUNTIF(Dashboard!$C$13:$C$22,$N391)&gt;0,1,0))</f>
        <v>0</v>
      </c>
      <c r="AB391" s="37" t="str">
        <f aca="false">IF($N391="","",IF(COUNTIF($N$8:$N391,$N391)=1,MAX($AB$7:$AB390)+1,""))</f>
        <v/>
      </c>
    </row>
    <row r="392" customFormat="false" ht="15" hidden="false" customHeight="false" outlineLevel="0" collapsed="false">
      <c r="B392" s="32" t="s">
        <v>1000</v>
      </c>
      <c r="C392" s="32" t="s">
        <v>205</v>
      </c>
      <c r="D392" s="35" t="n">
        <v>3850</v>
      </c>
      <c r="E392" s="32" t="s">
        <v>145</v>
      </c>
      <c r="F392" s="36" t="n">
        <v>46091</v>
      </c>
      <c r="G392" s="32" t="s">
        <v>1001</v>
      </c>
      <c r="L392" s="37" t="str">
        <f aca="false">IF(INDEX($A392:$J392,$L$6)&lt;&gt;"",TRIM(LEFT(INDEX($A392:$J392,$L$6),FIND("(",INDEX($A392:$J392,$L$6)&amp;"(")-1)),L391)</f>
        <v>Closed Won</v>
      </c>
      <c r="M392" s="37" t="str">
        <f aca="false">IF(INDEX($A392:$J392,$M$6)="","",INDEX($A392:$J392,$M$6)&amp;"")</f>
        <v>MS Surface Audio Speaker Setup</v>
      </c>
      <c r="N392" s="37" t="str">
        <f aca="false">IF($M392="","",TRIM(INDEX($A392:$J392,$N$6)&amp;""))</f>
        <v>Deloitte - Sydney</v>
      </c>
      <c r="O392" s="37" t="str">
        <f aca="false">IF($M392="","",TRIM(INDEX($A392:$J392,$O$6)&amp;""))</f>
        <v>Event Production</v>
      </c>
      <c r="P392" s="37" t="str">
        <f aca="false">IF($M392="","",IFERROR(IF(INDEX(Settings!$B$41:$B$50,MATCH(O392,Settings!$A$41:$A$50,0))&amp;""="","UNMAPPED",INDEX(Settings!$B$41:$B$50,MATCH(O392,Settings!$A$41:$A$50,0))&amp;""),"UNMAPPED"))</f>
        <v>Production</v>
      </c>
      <c r="Q392" s="38" t="n">
        <f aca="false">IF($M392="",0,N(INDEX($A392:$J392,$Q$6)))</f>
        <v>3850</v>
      </c>
      <c r="R392" s="39" t="n">
        <f aca="false">IF($M392="","",INDEX($A392:$J392,$R$6))</f>
        <v>46091</v>
      </c>
      <c r="S392" s="37" t="str">
        <f aca="false">IF($M392="","",IFERROR(INDEX(Settings!$B$27:$B$36,MATCH(L392,Settings!$A$27:$A$36,0))&amp;"","UNMAPPED"))</f>
        <v>Won</v>
      </c>
      <c r="T392" s="37" t="str">
        <f aca="false">IF($M392="","",IF(NOT(ISNUMBER(R392)),"NO DATE",IF(S392="Won",IF(R392&gt;Settings!$B$5,"Backlog","Delivered"),IF(S392="Open",IF(R392&gt;Settings!$B$5,"Pipeline","Overdue"),IF(S392="Lost","Lost","UNMAPPED")))))</f>
        <v>Delivered</v>
      </c>
      <c r="U392" s="40" t="n">
        <f aca="false">IF(T392="Backlog",1,IF(OR(T392="Pipeline",T392="Overdue"),N(INDEX(Settings!$C$27:$C$36,MATCH(L392,Settings!$A$27:$A$36,0))),0))</f>
        <v>0</v>
      </c>
      <c r="V392" s="38" t="n">
        <f aca="false">Q392*U392</f>
        <v>0</v>
      </c>
      <c r="W392" s="41" t="n">
        <f aca="false">IF($M392="","",IF(T392="Overdue",IF(Settings!$B$8="Yes",Settings!$B$7,""),IF(ISNUMBER(R392),DATE(YEAR(R392),MONTH(R392),1),"")))</f>
        <v>46082</v>
      </c>
      <c r="X392" s="38" t="n">
        <f aca="false">IF(AND(OR(T392="Backlog",T392="Pipeline",T392="Overdue"),ISNUMBER(W392)),IF(W392&lt;=Settings!$B$6,V392,0),0)</f>
        <v>0</v>
      </c>
      <c r="Y392" s="38" t="n">
        <f aca="false">IF(AND(OR(T392="Backlog",T392="Pipeline",T392="Overdue"),ISNUMBER(W392)),IF(W392&lt;=Settings!$B$6,Q392,0),0)</f>
        <v>0</v>
      </c>
      <c r="Z392" s="38" t="n">
        <f aca="false">IF(Y392=0,0,IF(T392="Backlog",Q392,Q392*Dashboard!$C$10))</f>
        <v>0</v>
      </c>
      <c r="AA392" s="37" t="n">
        <f aca="false">IF($N392="",0,IF(COUNTIF(Dashboard!$C$13:$C$22,$N392)&gt;0,1,0))</f>
        <v>0</v>
      </c>
      <c r="AB392" s="37" t="str">
        <f aca="false">IF($N392="","",IF(COUNTIF($N$8:$N392,$N392)=1,MAX($AB$7:$AB391)+1,""))</f>
        <v/>
      </c>
    </row>
    <row r="393" customFormat="false" ht="15" hidden="false" customHeight="false" outlineLevel="0" collapsed="false">
      <c r="B393" s="32" t="s">
        <v>1002</v>
      </c>
      <c r="C393" s="32" t="s">
        <v>324</v>
      </c>
      <c r="D393" s="35" t="n">
        <v>2732</v>
      </c>
      <c r="E393" s="32" t="s">
        <v>145</v>
      </c>
      <c r="F393" s="36" t="n">
        <v>46249</v>
      </c>
      <c r="G393" s="32" t="s">
        <v>1003</v>
      </c>
      <c r="L393" s="37" t="str">
        <f aca="false">IF(INDEX($A393:$J393,$L$6)&lt;&gt;"",TRIM(LEFT(INDEX($A393:$J393,$L$6),FIND("(",INDEX($A393:$J393,$L$6)&amp;"(")-1)),L392)</f>
        <v>Closed Won</v>
      </c>
      <c r="M393" s="37" t="str">
        <f aca="false">IF(INDEX($A393:$J393,$M$6)="","",INDEX($A393:$J393,$M$6)&amp;"")</f>
        <v>ON24 - KWM Sydney Event - 18.08.2026</v>
      </c>
      <c r="N393" s="37" t="str">
        <f aca="false">IF($M393="","",TRIM(INDEX($A393:$J393,$N$6)&amp;""))</f>
        <v>ON24</v>
      </c>
      <c r="O393" s="37" t="str">
        <f aca="false">IF($M393="","",TRIM(INDEX($A393:$J393,$O$6)&amp;""))</f>
        <v>Event Production</v>
      </c>
      <c r="P393" s="37" t="str">
        <f aca="false">IF($M393="","",IFERROR(IF(INDEX(Settings!$B$41:$B$50,MATCH(O393,Settings!$A$41:$A$50,0))&amp;""="","UNMAPPED",INDEX(Settings!$B$41:$B$50,MATCH(O393,Settings!$A$41:$A$50,0))&amp;""),"UNMAPPED"))</f>
        <v>Production</v>
      </c>
      <c r="Q393" s="38" t="n">
        <f aca="false">IF($M393="",0,N(INDEX($A393:$J393,$Q$6)))</f>
        <v>2732</v>
      </c>
      <c r="R393" s="39" t="n">
        <f aca="false">IF($M393="","",INDEX($A393:$J393,$R$6))</f>
        <v>46249</v>
      </c>
      <c r="S393" s="37" t="str">
        <f aca="false">IF($M393="","",IFERROR(INDEX(Settings!$B$27:$B$36,MATCH(L393,Settings!$A$27:$A$36,0))&amp;"","UNMAPPED"))</f>
        <v>Won</v>
      </c>
      <c r="T393" s="37" t="str">
        <f aca="false">IF($M393="","",IF(NOT(ISNUMBER(R393)),"NO DATE",IF(S393="Won",IF(R393&gt;Settings!$B$5,"Backlog","Delivered"),IF(S393="Open",IF(R393&gt;Settings!$B$5,"Pipeline","Overdue"),IF(S393="Lost","Lost","UNMAPPED")))))</f>
        <v>Delivered</v>
      </c>
      <c r="U393" s="40" t="n">
        <f aca="false">IF(T393="Backlog",1,IF(OR(T393="Pipeline",T393="Overdue"),N(INDEX(Settings!$C$27:$C$36,MATCH(L393,Settings!$A$27:$A$36,0))),0))</f>
        <v>0</v>
      </c>
      <c r="V393" s="38" t="n">
        <f aca="false">Q393*U393</f>
        <v>0</v>
      </c>
      <c r="W393" s="41" t="n">
        <f aca="false">IF($M393="","",IF(T393="Overdue",IF(Settings!$B$8="Yes",Settings!$B$7,""),IF(ISNUMBER(R393),DATE(YEAR(R393),MONTH(R393),1),"")))</f>
        <v>46235</v>
      </c>
      <c r="X393" s="38" t="n">
        <f aca="false">IF(AND(OR(T393="Backlog",T393="Pipeline",T393="Overdue"),ISNUMBER(W393)),IF(W393&lt;=Settings!$B$6,V393,0),0)</f>
        <v>0</v>
      </c>
      <c r="Y393" s="38" t="n">
        <f aca="false">IF(AND(OR(T393="Backlog",T393="Pipeline",T393="Overdue"),ISNUMBER(W393)),IF(W393&lt;=Settings!$B$6,Q393,0),0)</f>
        <v>0</v>
      </c>
      <c r="Z393" s="38" t="n">
        <f aca="false">IF(Y393=0,0,IF(T393="Backlog",Q393,Q393*Dashboard!$C$10))</f>
        <v>0</v>
      </c>
      <c r="AA393" s="37" t="n">
        <f aca="false">IF($N393="",0,IF(COUNTIF(Dashboard!$C$13:$C$22,$N393)&gt;0,1,0))</f>
        <v>0</v>
      </c>
      <c r="AB393" s="37" t="str">
        <f aca="false">IF($N393="","",IF(COUNTIF($N$8:$N393,$N393)=1,MAX($AB$7:$AB392)+1,""))</f>
        <v/>
      </c>
    </row>
    <row r="394" customFormat="false" ht="15" hidden="false" customHeight="false" outlineLevel="0" collapsed="false">
      <c r="B394" s="32" t="s">
        <v>1004</v>
      </c>
      <c r="C394" s="32" t="s">
        <v>191</v>
      </c>
      <c r="D394" s="35" t="n">
        <v>2607</v>
      </c>
      <c r="E394" s="32" t="s">
        <v>145</v>
      </c>
      <c r="F394" s="36" t="n">
        <v>45512</v>
      </c>
      <c r="G394" s="32" t="s">
        <v>1005</v>
      </c>
      <c r="L394" s="37" t="str">
        <f aca="false">IF(INDEX($A394:$J394,$L$6)&lt;&gt;"",TRIM(LEFT(INDEX($A394:$J394,$L$6),FIND("(",INDEX($A394:$J394,$L$6)&amp;"(")-1)),L393)</f>
        <v>Closed Won</v>
      </c>
      <c r="M394" s="37" t="str">
        <f aca="false">IF(INDEX($A394:$J394,$M$6)="","",INDEX($A394:$J394,$M$6)&amp;"")</f>
        <v>CBA - Screen Hire 08 - 15.08.2025</v>
      </c>
      <c r="N394" s="37" t="str">
        <f aca="false">IF($M394="","",TRIM(INDEX($A394:$J394,$N$6)&amp;""))</f>
        <v>Commonwealth Bank Australia (CBA)</v>
      </c>
      <c r="O394" s="37" t="str">
        <f aca="false">IF($M394="","",TRIM(INDEX($A394:$J394,$O$6)&amp;""))</f>
        <v>Event Production</v>
      </c>
      <c r="P394" s="37" t="str">
        <f aca="false">IF($M394="","",IFERROR(IF(INDEX(Settings!$B$41:$B$50,MATCH(O394,Settings!$A$41:$A$50,0))&amp;""="","UNMAPPED",INDEX(Settings!$B$41:$B$50,MATCH(O394,Settings!$A$41:$A$50,0))&amp;""),"UNMAPPED"))</f>
        <v>Production</v>
      </c>
      <c r="Q394" s="38" t="n">
        <f aca="false">IF($M394="",0,N(INDEX($A394:$J394,$Q$6)))</f>
        <v>2607</v>
      </c>
      <c r="R394" s="39" t="n">
        <f aca="false">IF($M394="","",INDEX($A394:$J394,$R$6))</f>
        <v>45512</v>
      </c>
      <c r="S394" s="37" t="str">
        <f aca="false">IF($M394="","",IFERROR(INDEX(Settings!$B$27:$B$36,MATCH(L394,Settings!$A$27:$A$36,0))&amp;"","UNMAPPED"))</f>
        <v>Won</v>
      </c>
      <c r="T394" s="37" t="str">
        <f aca="false">IF($M394="","",IF(NOT(ISNUMBER(R394)),"NO DATE",IF(S394="Won",IF(R394&gt;Settings!$B$5,"Backlog","Delivered"),IF(S394="Open",IF(R394&gt;Settings!$B$5,"Pipeline","Overdue"),IF(S394="Lost","Lost","UNMAPPED")))))</f>
        <v>Delivered</v>
      </c>
      <c r="U394" s="40" t="n">
        <f aca="false">IF(T394="Backlog",1,IF(OR(T394="Pipeline",T394="Overdue"),N(INDEX(Settings!$C$27:$C$36,MATCH(L394,Settings!$A$27:$A$36,0))),0))</f>
        <v>0</v>
      </c>
      <c r="V394" s="38" t="n">
        <f aca="false">Q394*U394</f>
        <v>0</v>
      </c>
      <c r="W394" s="41" t="n">
        <f aca="false">IF($M394="","",IF(T394="Overdue",IF(Settings!$B$8="Yes",Settings!$B$7,""),IF(ISNUMBER(R394),DATE(YEAR(R394),MONTH(R394),1),"")))</f>
        <v>45505</v>
      </c>
      <c r="X394" s="38" t="n">
        <f aca="false">IF(AND(OR(T394="Backlog",T394="Pipeline",T394="Overdue"),ISNUMBER(W394)),IF(W394&lt;=Settings!$B$6,V394,0),0)</f>
        <v>0</v>
      </c>
      <c r="Y394" s="38" t="n">
        <f aca="false">IF(AND(OR(T394="Backlog",T394="Pipeline",T394="Overdue"),ISNUMBER(W394)),IF(W394&lt;=Settings!$B$6,Q394,0),0)</f>
        <v>0</v>
      </c>
      <c r="Z394" s="38" t="n">
        <f aca="false">IF(Y394=0,0,IF(T394="Backlog",Q394,Q394*Dashboard!$C$10))</f>
        <v>0</v>
      </c>
      <c r="AA394" s="37" t="n">
        <f aca="false">IF($N394="",0,IF(COUNTIF(Dashboard!$C$13:$C$22,$N394)&gt;0,1,0))</f>
        <v>0</v>
      </c>
      <c r="AB394" s="37" t="str">
        <f aca="false">IF($N394="","",IF(COUNTIF($N$8:$N394,$N394)=1,MAX($AB$7:$AB393)+1,""))</f>
        <v/>
      </c>
    </row>
    <row r="395" customFormat="false" ht="15" hidden="false" customHeight="false" outlineLevel="0" collapsed="false">
      <c r="B395" s="32" t="s">
        <v>1006</v>
      </c>
      <c r="C395" s="32" t="s">
        <v>222</v>
      </c>
      <c r="D395" s="35" t="n">
        <v>21914</v>
      </c>
      <c r="E395" s="32" t="s">
        <v>145</v>
      </c>
      <c r="F395" s="36" t="n">
        <v>46072</v>
      </c>
      <c r="G395" s="32" t="s">
        <v>1007</v>
      </c>
      <c r="L395" s="37" t="str">
        <f aca="false">IF(INDEX($A395:$J395,$L$6)&lt;&gt;"",TRIM(LEFT(INDEX($A395:$J395,$L$6),FIND("(",INDEX($A395:$J395,$L$6)&amp;"(")-1)),L394)</f>
        <v>Closed Won</v>
      </c>
      <c r="M395" s="37" t="str">
        <f aca="false">IF(INDEX($A395:$J395,$M$6)="","",INDEX($A395:$J395,$M$6)&amp;"")</f>
        <v>Downer HY26 Employee Briefing 25.2.2026</v>
      </c>
      <c r="N395" s="37" t="str">
        <f aca="false">IF($M395="","",TRIM(INDEX($A395:$J395,$N$6)&amp;""))</f>
        <v>Downer EDI</v>
      </c>
      <c r="O395" s="37" t="str">
        <f aca="false">IF($M395="","",TRIM(INDEX($A395:$J395,$O$6)&amp;""))</f>
        <v>Event Production</v>
      </c>
      <c r="P395" s="37" t="str">
        <f aca="false">IF($M395="","",IFERROR(IF(INDEX(Settings!$B$41:$B$50,MATCH(O395,Settings!$A$41:$A$50,0))&amp;""="","UNMAPPED",INDEX(Settings!$B$41:$B$50,MATCH(O395,Settings!$A$41:$A$50,0))&amp;""),"UNMAPPED"))</f>
        <v>Production</v>
      </c>
      <c r="Q395" s="38" t="n">
        <f aca="false">IF($M395="",0,N(INDEX($A395:$J395,$Q$6)))</f>
        <v>21914</v>
      </c>
      <c r="R395" s="39" t="n">
        <f aca="false">IF($M395="","",INDEX($A395:$J395,$R$6))</f>
        <v>46072</v>
      </c>
      <c r="S395" s="37" t="str">
        <f aca="false">IF($M395="","",IFERROR(INDEX(Settings!$B$27:$B$36,MATCH(L395,Settings!$A$27:$A$36,0))&amp;"","UNMAPPED"))</f>
        <v>Won</v>
      </c>
      <c r="T395" s="37" t="str">
        <f aca="false">IF($M395="","",IF(NOT(ISNUMBER(R395)),"NO DATE",IF(S395="Won",IF(R395&gt;Settings!$B$5,"Backlog","Delivered"),IF(S395="Open",IF(R395&gt;Settings!$B$5,"Pipeline","Overdue"),IF(S395="Lost","Lost","UNMAPPED")))))</f>
        <v>Delivered</v>
      </c>
      <c r="U395" s="40" t="n">
        <f aca="false">IF(T395="Backlog",1,IF(OR(T395="Pipeline",T395="Overdue"),N(INDEX(Settings!$C$27:$C$36,MATCH(L395,Settings!$A$27:$A$36,0))),0))</f>
        <v>0</v>
      </c>
      <c r="V395" s="38" t="n">
        <f aca="false">Q395*U395</f>
        <v>0</v>
      </c>
      <c r="W395" s="41" t="n">
        <f aca="false">IF($M395="","",IF(T395="Overdue",IF(Settings!$B$8="Yes",Settings!$B$7,""),IF(ISNUMBER(R395),DATE(YEAR(R395),MONTH(R395),1),"")))</f>
        <v>46054</v>
      </c>
      <c r="X395" s="38" t="n">
        <f aca="false">IF(AND(OR(T395="Backlog",T395="Pipeline",T395="Overdue"),ISNUMBER(W395)),IF(W395&lt;=Settings!$B$6,V395,0),0)</f>
        <v>0</v>
      </c>
      <c r="Y395" s="38" t="n">
        <f aca="false">IF(AND(OR(T395="Backlog",T395="Pipeline",T395="Overdue"),ISNUMBER(W395)),IF(W395&lt;=Settings!$B$6,Q395,0),0)</f>
        <v>0</v>
      </c>
      <c r="Z395" s="38" t="n">
        <f aca="false">IF(Y395=0,0,IF(T395="Backlog",Q395,Q395*Dashboard!$C$10))</f>
        <v>0</v>
      </c>
      <c r="AA395" s="37" t="n">
        <f aca="false">IF($N395="",0,IF(COUNTIF(Dashboard!$C$13:$C$22,$N395)&gt;0,1,0))</f>
        <v>0</v>
      </c>
      <c r="AB395" s="37" t="str">
        <f aca="false">IF($N395="","",IF(COUNTIF($N$8:$N395,$N395)=1,MAX($AB$7:$AB394)+1,""))</f>
        <v/>
      </c>
    </row>
    <row r="396" customFormat="false" ht="15" hidden="false" customHeight="false" outlineLevel="0" collapsed="false">
      <c r="B396" s="32" t="s">
        <v>1008</v>
      </c>
      <c r="C396" s="32" t="s">
        <v>154</v>
      </c>
      <c r="D396" s="35" t="n">
        <v>2475</v>
      </c>
      <c r="E396" s="32" t="s">
        <v>180</v>
      </c>
      <c r="F396" s="36" t="n">
        <v>45946</v>
      </c>
      <c r="G396" s="32" t="s">
        <v>1009</v>
      </c>
      <c r="L396" s="37" t="str">
        <f aca="false">IF(INDEX($A396:$J396,$L$6)&lt;&gt;"",TRIM(LEFT(INDEX($A396:$J396,$L$6),FIND("(",INDEX($A396:$J396,$L$6)&amp;"(")-1)),L395)</f>
        <v>Closed Won</v>
      </c>
      <c r="M396" s="37" t="str">
        <f aca="false">IF(INDEX($A396:$J396,$M$6)="","",INDEX($A396:$J396,$M$6)&amp;"")</f>
        <v>Pool of hours for National AV Support #6</v>
      </c>
      <c r="N396" s="37" t="str">
        <f aca="false">IF($M396="","",TRIM(INDEX($A396:$J396,$N$6)&amp;""))</f>
        <v>PWC</v>
      </c>
      <c r="O396" s="37" t="str">
        <f aca="false">IF($M396="","",TRIM(INDEX($A396:$J396,$O$6)&amp;""))</f>
        <v>Support</v>
      </c>
      <c r="P396" s="37" t="str">
        <f aca="false">IF($M396="","",IFERROR(IF(INDEX(Settings!$B$41:$B$50,MATCH(O396,Settings!$A$41:$A$50,0))&amp;""="","UNMAPPED",INDEX(Settings!$B$41:$B$50,MATCH(O396,Settings!$A$41:$A$50,0))&amp;""),"UNMAPPED"))</f>
        <v>Onsite</v>
      </c>
      <c r="Q396" s="38" t="n">
        <f aca="false">IF($M396="",0,N(INDEX($A396:$J396,$Q$6)))</f>
        <v>2475</v>
      </c>
      <c r="R396" s="39" t="n">
        <f aca="false">IF($M396="","",INDEX($A396:$J396,$R$6))</f>
        <v>45946</v>
      </c>
      <c r="S396" s="37" t="str">
        <f aca="false">IF($M396="","",IFERROR(INDEX(Settings!$B$27:$B$36,MATCH(L396,Settings!$A$27:$A$36,0))&amp;"","UNMAPPED"))</f>
        <v>Won</v>
      </c>
      <c r="T396" s="37" t="str">
        <f aca="false">IF($M396="","",IF(NOT(ISNUMBER(R396)),"NO DATE",IF(S396="Won",IF(R396&gt;Settings!$B$5,"Backlog","Delivered"),IF(S396="Open",IF(R396&gt;Settings!$B$5,"Pipeline","Overdue"),IF(S396="Lost","Lost","UNMAPPED")))))</f>
        <v>Delivered</v>
      </c>
      <c r="U396" s="40" t="n">
        <f aca="false">IF(T396="Backlog",1,IF(OR(T396="Pipeline",T396="Overdue"),N(INDEX(Settings!$C$27:$C$36,MATCH(L396,Settings!$A$27:$A$36,0))),0))</f>
        <v>0</v>
      </c>
      <c r="V396" s="38" t="n">
        <f aca="false">Q396*U396</f>
        <v>0</v>
      </c>
      <c r="W396" s="41" t="n">
        <f aca="false">IF($M396="","",IF(T396="Overdue",IF(Settings!$B$8="Yes",Settings!$B$7,""),IF(ISNUMBER(R396),DATE(YEAR(R396),MONTH(R396),1),"")))</f>
        <v>45931</v>
      </c>
      <c r="X396" s="38" t="n">
        <f aca="false">IF(AND(OR(T396="Backlog",T396="Pipeline",T396="Overdue"),ISNUMBER(W396)),IF(W396&lt;=Settings!$B$6,V396,0),0)</f>
        <v>0</v>
      </c>
      <c r="Y396" s="38" t="n">
        <f aca="false">IF(AND(OR(T396="Backlog",T396="Pipeline",T396="Overdue"),ISNUMBER(W396)),IF(W396&lt;=Settings!$B$6,Q396,0),0)</f>
        <v>0</v>
      </c>
      <c r="Z396" s="38" t="n">
        <f aca="false">IF(Y396=0,0,IF(T396="Backlog",Q396,Q396*Dashboard!$C$10))</f>
        <v>0</v>
      </c>
      <c r="AA396" s="37" t="n">
        <f aca="false">IF($N396="",0,IF(COUNTIF(Dashboard!$C$13:$C$22,$N396)&gt;0,1,0))</f>
        <v>0</v>
      </c>
      <c r="AB396" s="37" t="str">
        <f aca="false">IF($N396="","",IF(COUNTIF($N$8:$N396,$N396)=1,MAX($AB$7:$AB395)+1,""))</f>
        <v/>
      </c>
    </row>
    <row r="397" customFormat="false" ht="15" hidden="false" customHeight="false" outlineLevel="0" collapsed="false">
      <c r="B397" s="32" t="s">
        <v>1010</v>
      </c>
      <c r="C397" s="32" t="s">
        <v>217</v>
      </c>
      <c r="D397" s="35" t="n">
        <v>2375</v>
      </c>
      <c r="E397" s="32" t="s">
        <v>145</v>
      </c>
      <c r="F397" s="36" t="n">
        <v>45939</v>
      </c>
      <c r="G397" s="32" t="s">
        <v>1011</v>
      </c>
      <c r="L397" s="37" t="str">
        <f aca="false">IF(INDEX($A397:$J397,$L$6)&lt;&gt;"",TRIM(LEFT(INDEX($A397:$J397,$L$6),FIND("(",INDEX($A397:$J397,$L$6)&amp;"(")-1)),L396)</f>
        <v>Closed Won</v>
      </c>
      <c r="M397" s="37" t="str">
        <f aca="false">IF(INDEX($A397:$J397,$M$6)="","",INDEX($A397:$J397,$M$6)&amp;"")</f>
        <v>Dedicated Tech - Oct 9 - 10 2025</v>
      </c>
      <c r="N397" s="37" t="str">
        <f aca="false">IF($M397="","",TRIM(INDEX($A397:$J397,$N$6)&amp;""))</f>
        <v>Garvan Institute of Medical Research</v>
      </c>
      <c r="O397" s="37" t="str">
        <f aca="false">IF($M397="","",TRIM(INDEX($A397:$J397,$O$6)&amp;""))</f>
        <v>Event Production</v>
      </c>
      <c r="P397" s="37" t="str">
        <f aca="false">IF($M397="","",IFERROR(IF(INDEX(Settings!$B$41:$B$50,MATCH(O397,Settings!$A$41:$A$50,0))&amp;""="","UNMAPPED",INDEX(Settings!$B$41:$B$50,MATCH(O397,Settings!$A$41:$A$50,0))&amp;""),"UNMAPPED"))</f>
        <v>Production</v>
      </c>
      <c r="Q397" s="38" t="n">
        <f aca="false">IF($M397="",0,N(INDEX($A397:$J397,$Q$6)))</f>
        <v>2375</v>
      </c>
      <c r="R397" s="39" t="n">
        <f aca="false">IF($M397="","",INDEX($A397:$J397,$R$6))</f>
        <v>45939</v>
      </c>
      <c r="S397" s="37" t="str">
        <f aca="false">IF($M397="","",IFERROR(INDEX(Settings!$B$27:$B$36,MATCH(L397,Settings!$A$27:$A$36,0))&amp;"","UNMAPPED"))</f>
        <v>Won</v>
      </c>
      <c r="T397" s="37" t="str">
        <f aca="false">IF($M397="","",IF(NOT(ISNUMBER(R397)),"NO DATE",IF(S397="Won",IF(R397&gt;Settings!$B$5,"Backlog","Delivered"),IF(S397="Open",IF(R397&gt;Settings!$B$5,"Pipeline","Overdue"),IF(S397="Lost","Lost","UNMAPPED")))))</f>
        <v>Delivered</v>
      </c>
      <c r="U397" s="40" t="n">
        <f aca="false">IF(T397="Backlog",1,IF(OR(T397="Pipeline",T397="Overdue"),N(INDEX(Settings!$C$27:$C$36,MATCH(L397,Settings!$A$27:$A$36,0))),0))</f>
        <v>0</v>
      </c>
      <c r="V397" s="38" t="n">
        <f aca="false">Q397*U397</f>
        <v>0</v>
      </c>
      <c r="W397" s="41" t="n">
        <f aca="false">IF($M397="","",IF(T397="Overdue",IF(Settings!$B$8="Yes",Settings!$B$7,""),IF(ISNUMBER(R397),DATE(YEAR(R397),MONTH(R397),1),"")))</f>
        <v>45931</v>
      </c>
      <c r="X397" s="38" t="n">
        <f aca="false">IF(AND(OR(T397="Backlog",T397="Pipeline",T397="Overdue"),ISNUMBER(W397)),IF(W397&lt;=Settings!$B$6,V397,0),0)</f>
        <v>0</v>
      </c>
      <c r="Y397" s="38" t="n">
        <f aca="false">IF(AND(OR(T397="Backlog",T397="Pipeline",T397="Overdue"),ISNUMBER(W397)),IF(W397&lt;=Settings!$B$6,Q397,0),0)</f>
        <v>0</v>
      </c>
      <c r="Z397" s="38" t="n">
        <f aca="false">IF(Y397=0,0,IF(T397="Backlog",Q397,Q397*Dashboard!$C$10))</f>
        <v>0</v>
      </c>
      <c r="AA397" s="37" t="n">
        <f aca="false">IF($N397="",0,IF(COUNTIF(Dashboard!$C$13:$C$22,$N397)&gt;0,1,0))</f>
        <v>0</v>
      </c>
      <c r="AB397" s="37" t="str">
        <f aca="false">IF($N397="","",IF(COUNTIF($N$8:$N397,$N397)=1,MAX($AB$7:$AB396)+1,""))</f>
        <v/>
      </c>
    </row>
    <row r="398" customFormat="false" ht="15" hidden="false" customHeight="false" outlineLevel="0" collapsed="false">
      <c r="B398" s="32" t="s">
        <v>1012</v>
      </c>
      <c r="C398" s="32" t="s">
        <v>217</v>
      </c>
      <c r="D398" s="35" t="n">
        <v>990</v>
      </c>
      <c r="E398" s="32" t="s">
        <v>145</v>
      </c>
      <c r="F398" s="36" t="n">
        <v>45890</v>
      </c>
      <c r="G398" s="32" t="s">
        <v>1013</v>
      </c>
      <c r="L398" s="37" t="str">
        <f aca="false">IF(INDEX($A398:$J398,$L$6)&lt;&gt;"",TRIM(LEFT(INDEX($A398:$J398,$L$6),FIND("(",INDEX($A398:$J398,$L$6)&amp;"(")-1)),L397)</f>
        <v>Closed Won</v>
      </c>
      <c r="M398" s="37" t="str">
        <f aca="false">IF(INDEX($A398:$J398,$M$6)="","",INDEX($A398:$J398,$M$6)&amp;"")</f>
        <v>Garvan Curran Library Event 21.08.2025</v>
      </c>
      <c r="N398" s="37" t="str">
        <f aca="false">IF($M398="","",TRIM(INDEX($A398:$J398,$N$6)&amp;""))</f>
        <v>Garvan Institute of Medical Research</v>
      </c>
      <c r="O398" s="37" t="str">
        <f aca="false">IF($M398="","",TRIM(INDEX($A398:$J398,$O$6)&amp;""))</f>
        <v>Event Production</v>
      </c>
      <c r="P398" s="37" t="str">
        <f aca="false">IF($M398="","",IFERROR(IF(INDEX(Settings!$B$41:$B$50,MATCH(O398,Settings!$A$41:$A$50,0))&amp;""="","UNMAPPED",INDEX(Settings!$B$41:$B$50,MATCH(O398,Settings!$A$41:$A$50,0))&amp;""),"UNMAPPED"))</f>
        <v>Production</v>
      </c>
      <c r="Q398" s="38" t="n">
        <f aca="false">IF($M398="",0,N(INDEX($A398:$J398,$Q$6)))</f>
        <v>990</v>
      </c>
      <c r="R398" s="39" t="n">
        <f aca="false">IF($M398="","",INDEX($A398:$J398,$R$6))</f>
        <v>45890</v>
      </c>
      <c r="S398" s="37" t="str">
        <f aca="false">IF($M398="","",IFERROR(INDEX(Settings!$B$27:$B$36,MATCH(L398,Settings!$A$27:$A$36,0))&amp;"","UNMAPPED"))</f>
        <v>Won</v>
      </c>
      <c r="T398" s="37" t="str">
        <f aca="false">IF($M398="","",IF(NOT(ISNUMBER(R398)),"NO DATE",IF(S398="Won",IF(R398&gt;Settings!$B$5,"Backlog","Delivered"),IF(S398="Open",IF(R398&gt;Settings!$B$5,"Pipeline","Overdue"),IF(S398="Lost","Lost","UNMAPPED")))))</f>
        <v>Delivered</v>
      </c>
      <c r="U398" s="40" t="n">
        <f aca="false">IF(T398="Backlog",1,IF(OR(T398="Pipeline",T398="Overdue"),N(INDEX(Settings!$C$27:$C$36,MATCH(L398,Settings!$A$27:$A$36,0))),0))</f>
        <v>0</v>
      </c>
      <c r="V398" s="38" t="n">
        <f aca="false">Q398*U398</f>
        <v>0</v>
      </c>
      <c r="W398" s="41" t="n">
        <f aca="false">IF($M398="","",IF(T398="Overdue",IF(Settings!$B$8="Yes",Settings!$B$7,""),IF(ISNUMBER(R398),DATE(YEAR(R398),MONTH(R398),1),"")))</f>
        <v>45870</v>
      </c>
      <c r="X398" s="38" t="n">
        <f aca="false">IF(AND(OR(T398="Backlog",T398="Pipeline",T398="Overdue"),ISNUMBER(W398)),IF(W398&lt;=Settings!$B$6,V398,0),0)</f>
        <v>0</v>
      </c>
      <c r="Y398" s="38" t="n">
        <f aca="false">IF(AND(OR(T398="Backlog",T398="Pipeline",T398="Overdue"),ISNUMBER(W398)),IF(W398&lt;=Settings!$B$6,Q398,0),0)</f>
        <v>0</v>
      </c>
      <c r="Z398" s="38" t="n">
        <f aca="false">IF(Y398=0,0,IF(T398="Backlog",Q398,Q398*Dashboard!$C$10))</f>
        <v>0</v>
      </c>
      <c r="AA398" s="37" t="n">
        <f aca="false">IF($N398="",0,IF(COUNTIF(Dashboard!$C$13:$C$22,$N398)&gt;0,1,0))</f>
        <v>0</v>
      </c>
      <c r="AB398" s="37" t="str">
        <f aca="false">IF($N398="","",IF(COUNTIF($N$8:$N398,$N398)=1,MAX($AB$7:$AB397)+1,""))</f>
        <v/>
      </c>
    </row>
    <row r="399" customFormat="false" ht="15" hidden="false" customHeight="false" outlineLevel="0" collapsed="false">
      <c r="B399" s="32" t="s">
        <v>1014</v>
      </c>
      <c r="C399" s="32" t="s">
        <v>217</v>
      </c>
      <c r="D399" s="35" t="n">
        <v>1100</v>
      </c>
      <c r="E399" s="32" t="s">
        <v>145</v>
      </c>
      <c r="F399" s="36" t="n">
        <v>45968</v>
      </c>
      <c r="G399" s="32" t="s">
        <v>1015</v>
      </c>
      <c r="L399" s="37" t="str">
        <f aca="false">IF(INDEX($A399:$J399,$L$6)&lt;&gt;"",TRIM(LEFT(INDEX($A399:$J399,$L$6),FIND("(",INDEX($A399:$J399,$L$6)&amp;"(")-1)),L398)</f>
        <v>Closed Won</v>
      </c>
      <c r="M399" s="37" t="str">
        <f aca="false">IF(INDEX($A399:$J399,$M$6)="","",INDEX($A399:$J399,$M$6)&amp;"")</f>
        <v>Morning Tea - 7.11.2025</v>
      </c>
      <c r="N399" s="37" t="str">
        <f aca="false">IF($M399="","",TRIM(INDEX($A399:$J399,$N$6)&amp;""))</f>
        <v>Garvan Institute of Medical Research</v>
      </c>
      <c r="O399" s="37" t="str">
        <f aca="false">IF($M399="","",TRIM(INDEX($A399:$J399,$O$6)&amp;""))</f>
        <v>Event Production</v>
      </c>
      <c r="P399" s="37" t="str">
        <f aca="false">IF($M399="","",IFERROR(IF(INDEX(Settings!$B$41:$B$50,MATCH(O399,Settings!$A$41:$A$50,0))&amp;""="","UNMAPPED",INDEX(Settings!$B$41:$B$50,MATCH(O399,Settings!$A$41:$A$50,0))&amp;""),"UNMAPPED"))</f>
        <v>Production</v>
      </c>
      <c r="Q399" s="38" t="n">
        <f aca="false">IF($M399="",0,N(INDEX($A399:$J399,$Q$6)))</f>
        <v>1100</v>
      </c>
      <c r="R399" s="39" t="n">
        <f aca="false">IF($M399="","",INDEX($A399:$J399,$R$6))</f>
        <v>45968</v>
      </c>
      <c r="S399" s="37" t="str">
        <f aca="false">IF($M399="","",IFERROR(INDEX(Settings!$B$27:$B$36,MATCH(L399,Settings!$A$27:$A$36,0))&amp;"","UNMAPPED"))</f>
        <v>Won</v>
      </c>
      <c r="T399" s="37" t="str">
        <f aca="false">IF($M399="","",IF(NOT(ISNUMBER(R399)),"NO DATE",IF(S399="Won",IF(R399&gt;Settings!$B$5,"Backlog","Delivered"),IF(S399="Open",IF(R399&gt;Settings!$B$5,"Pipeline","Overdue"),IF(S399="Lost","Lost","UNMAPPED")))))</f>
        <v>Delivered</v>
      </c>
      <c r="U399" s="40" t="n">
        <f aca="false">IF(T399="Backlog",1,IF(OR(T399="Pipeline",T399="Overdue"),N(INDEX(Settings!$C$27:$C$36,MATCH(L399,Settings!$A$27:$A$36,0))),0))</f>
        <v>0</v>
      </c>
      <c r="V399" s="38" t="n">
        <f aca="false">Q399*U399</f>
        <v>0</v>
      </c>
      <c r="W399" s="41" t="n">
        <f aca="false">IF($M399="","",IF(T399="Overdue",IF(Settings!$B$8="Yes",Settings!$B$7,""),IF(ISNUMBER(R399),DATE(YEAR(R399),MONTH(R399),1),"")))</f>
        <v>45962</v>
      </c>
      <c r="X399" s="38" t="n">
        <f aca="false">IF(AND(OR(T399="Backlog",T399="Pipeline",T399="Overdue"),ISNUMBER(W399)),IF(W399&lt;=Settings!$B$6,V399,0),0)</f>
        <v>0</v>
      </c>
      <c r="Y399" s="38" t="n">
        <f aca="false">IF(AND(OR(T399="Backlog",T399="Pipeline",T399="Overdue"),ISNUMBER(W399)),IF(W399&lt;=Settings!$B$6,Q399,0),0)</f>
        <v>0</v>
      </c>
      <c r="Z399" s="38" t="n">
        <f aca="false">IF(Y399=0,0,IF(T399="Backlog",Q399,Q399*Dashboard!$C$10))</f>
        <v>0</v>
      </c>
      <c r="AA399" s="37" t="n">
        <f aca="false">IF($N399="",0,IF(COUNTIF(Dashboard!$C$13:$C$22,$N399)&gt;0,1,0))</f>
        <v>0</v>
      </c>
      <c r="AB399" s="37" t="str">
        <f aca="false">IF($N399="","",IF(COUNTIF($N$8:$N399,$N399)=1,MAX($AB$7:$AB398)+1,""))</f>
        <v/>
      </c>
    </row>
    <row r="400" customFormat="false" ht="15" hidden="false" customHeight="false" outlineLevel="0" collapsed="false">
      <c r="B400" s="32" t="s">
        <v>1016</v>
      </c>
      <c r="C400" s="32" t="s">
        <v>154</v>
      </c>
      <c r="D400" s="35" t="n">
        <v>440</v>
      </c>
      <c r="E400" s="32" t="s">
        <v>180</v>
      </c>
      <c r="F400" s="36" t="n">
        <v>46085</v>
      </c>
      <c r="G400" s="32" t="s">
        <v>1017</v>
      </c>
      <c r="L400" s="37" t="str">
        <f aca="false">IF(INDEX($A400:$J400,$L$6)&lt;&gt;"",TRIM(LEFT(INDEX($A400:$J400,$L$6),FIND("(",INDEX($A400:$J400,$L$6)&amp;"(")-1)),L399)</f>
        <v>Closed Won</v>
      </c>
      <c r="M400" s="37" t="str">
        <f aca="false">IF(INDEX($A400:$J400,$M$6)="","",INDEX($A400:$J400,$M$6)&amp;"")</f>
        <v>2603302 - Perth AV Support | 4th of March 2026</v>
      </c>
      <c r="N400" s="37" t="str">
        <f aca="false">IF($M400="","",TRIM(INDEX($A400:$J400,$N$6)&amp;""))</f>
        <v>PWC</v>
      </c>
      <c r="O400" s="37" t="str">
        <f aca="false">IF($M400="","",TRIM(INDEX($A400:$J400,$O$6)&amp;""))</f>
        <v>Support</v>
      </c>
      <c r="P400" s="37" t="str">
        <f aca="false">IF($M400="","",IFERROR(IF(INDEX(Settings!$B$41:$B$50,MATCH(O400,Settings!$A$41:$A$50,0))&amp;""="","UNMAPPED",INDEX(Settings!$B$41:$B$50,MATCH(O400,Settings!$A$41:$A$50,0))&amp;""),"UNMAPPED"))</f>
        <v>Onsite</v>
      </c>
      <c r="Q400" s="38" t="n">
        <f aca="false">IF($M400="",0,N(INDEX($A400:$J400,$Q$6)))</f>
        <v>440</v>
      </c>
      <c r="R400" s="39" t="n">
        <f aca="false">IF($M400="","",INDEX($A400:$J400,$R$6))</f>
        <v>46085</v>
      </c>
      <c r="S400" s="37" t="str">
        <f aca="false">IF($M400="","",IFERROR(INDEX(Settings!$B$27:$B$36,MATCH(L400,Settings!$A$27:$A$36,0))&amp;"","UNMAPPED"))</f>
        <v>Won</v>
      </c>
      <c r="T400" s="37" t="str">
        <f aca="false">IF($M400="","",IF(NOT(ISNUMBER(R400)),"NO DATE",IF(S400="Won",IF(R400&gt;Settings!$B$5,"Backlog","Delivered"),IF(S400="Open",IF(R400&gt;Settings!$B$5,"Pipeline","Overdue"),IF(S400="Lost","Lost","UNMAPPED")))))</f>
        <v>Delivered</v>
      </c>
      <c r="U400" s="40" t="n">
        <f aca="false">IF(T400="Backlog",1,IF(OR(T400="Pipeline",T400="Overdue"),N(INDEX(Settings!$C$27:$C$36,MATCH(L400,Settings!$A$27:$A$36,0))),0))</f>
        <v>0</v>
      </c>
      <c r="V400" s="38" t="n">
        <f aca="false">Q400*U400</f>
        <v>0</v>
      </c>
      <c r="W400" s="41" t="n">
        <f aca="false">IF($M400="","",IF(T400="Overdue",IF(Settings!$B$8="Yes",Settings!$B$7,""),IF(ISNUMBER(R400),DATE(YEAR(R400),MONTH(R400),1),"")))</f>
        <v>46082</v>
      </c>
      <c r="X400" s="38" t="n">
        <f aca="false">IF(AND(OR(T400="Backlog",T400="Pipeline",T400="Overdue"),ISNUMBER(W400)),IF(W400&lt;=Settings!$B$6,V400,0),0)</f>
        <v>0</v>
      </c>
      <c r="Y400" s="38" t="n">
        <f aca="false">IF(AND(OR(T400="Backlog",T400="Pipeline",T400="Overdue"),ISNUMBER(W400)),IF(W400&lt;=Settings!$B$6,Q400,0),0)</f>
        <v>0</v>
      </c>
      <c r="Z400" s="38" t="n">
        <f aca="false">IF(Y400=0,0,IF(T400="Backlog",Q400,Q400*Dashboard!$C$10))</f>
        <v>0</v>
      </c>
      <c r="AA400" s="37" t="n">
        <f aca="false">IF($N400="",0,IF(COUNTIF(Dashboard!$C$13:$C$22,$N400)&gt;0,1,0))</f>
        <v>0</v>
      </c>
      <c r="AB400" s="37" t="str">
        <f aca="false">IF($N400="","",IF(COUNTIF($N$8:$N400,$N400)=1,MAX($AB$7:$AB399)+1,""))</f>
        <v/>
      </c>
    </row>
    <row r="401" customFormat="false" ht="15" hidden="false" customHeight="false" outlineLevel="0" collapsed="false">
      <c r="B401" s="32" t="s">
        <v>1018</v>
      </c>
      <c r="C401" s="32" t="s">
        <v>154</v>
      </c>
      <c r="D401" s="35" t="n">
        <v>1810</v>
      </c>
      <c r="E401" s="32" t="s">
        <v>145</v>
      </c>
      <c r="F401" s="36" t="n">
        <v>45869</v>
      </c>
      <c r="G401" s="32" t="s">
        <v>1019</v>
      </c>
      <c r="L401" s="37" t="str">
        <f aca="false">IF(INDEX($A401:$J401,$L$6)&lt;&gt;"",TRIM(LEFT(INDEX($A401:$J401,$L$6),FIND("(",INDEX($A401:$J401,$L$6)&amp;"(")-1)),L400)</f>
        <v>Closed Won</v>
      </c>
      <c r="M401" s="37" t="str">
        <f aca="false">IF(INDEX($A401:$J401,$M$6)="","",INDEX($A401:$J401,$M$6)&amp;"")</f>
        <v>PWC Studio Event 31.07.2025</v>
      </c>
      <c r="N401" s="37" t="str">
        <f aca="false">IF($M401="","",TRIM(INDEX($A401:$J401,$N$6)&amp;""))</f>
        <v>PWC</v>
      </c>
      <c r="O401" s="37" t="str">
        <f aca="false">IF($M401="","",TRIM(INDEX($A401:$J401,$O$6)&amp;""))</f>
        <v>Event Production</v>
      </c>
      <c r="P401" s="37" t="str">
        <f aca="false">IF($M401="","",IFERROR(IF(INDEX(Settings!$B$41:$B$50,MATCH(O401,Settings!$A$41:$A$50,0))&amp;""="","UNMAPPED",INDEX(Settings!$B$41:$B$50,MATCH(O401,Settings!$A$41:$A$50,0))&amp;""),"UNMAPPED"))</f>
        <v>Production</v>
      </c>
      <c r="Q401" s="38" t="n">
        <f aca="false">IF($M401="",0,N(INDEX($A401:$J401,$Q$6)))</f>
        <v>1810</v>
      </c>
      <c r="R401" s="39" t="n">
        <f aca="false">IF($M401="","",INDEX($A401:$J401,$R$6))</f>
        <v>45869</v>
      </c>
      <c r="S401" s="37" t="str">
        <f aca="false">IF($M401="","",IFERROR(INDEX(Settings!$B$27:$B$36,MATCH(L401,Settings!$A$27:$A$36,0))&amp;"","UNMAPPED"))</f>
        <v>Won</v>
      </c>
      <c r="T401" s="37" t="str">
        <f aca="false">IF($M401="","",IF(NOT(ISNUMBER(R401)),"NO DATE",IF(S401="Won",IF(R401&gt;Settings!$B$5,"Backlog","Delivered"),IF(S401="Open",IF(R401&gt;Settings!$B$5,"Pipeline","Overdue"),IF(S401="Lost","Lost","UNMAPPED")))))</f>
        <v>Delivered</v>
      </c>
      <c r="U401" s="40" t="n">
        <f aca="false">IF(T401="Backlog",1,IF(OR(T401="Pipeline",T401="Overdue"),N(INDEX(Settings!$C$27:$C$36,MATCH(L401,Settings!$A$27:$A$36,0))),0))</f>
        <v>0</v>
      </c>
      <c r="V401" s="38" t="n">
        <f aca="false">Q401*U401</f>
        <v>0</v>
      </c>
      <c r="W401" s="41" t="n">
        <f aca="false">IF($M401="","",IF(T401="Overdue",IF(Settings!$B$8="Yes",Settings!$B$7,""),IF(ISNUMBER(R401),DATE(YEAR(R401),MONTH(R401),1),"")))</f>
        <v>45839</v>
      </c>
      <c r="X401" s="38" t="n">
        <f aca="false">IF(AND(OR(T401="Backlog",T401="Pipeline",T401="Overdue"),ISNUMBER(W401)),IF(W401&lt;=Settings!$B$6,V401,0),0)</f>
        <v>0</v>
      </c>
      <c r="Y401" s="38" t="n">
        <f aca="false">IF(AND(OR(T401="Backlog",T401="Pipeline",T401="Overdue"),ISNUMBER(W401)),IF(W401&lt;=Settings!$B$6,Q401,0),0)</f>
        <v>0</v>
      </c>
      <c r="Z401" s="38" t="n">
        <f aca="false">IF(Y401=0,0,IF(T401="Backlog",Q401,Q401*Dashboard!$C$10))</f>
        <v>0</v>
      </c>
      <c r="AA401" s="37" t="n">
        <f aca="false">IF($N401="",0,IF(COUNTIF(Dashboard!$C$13:$C$22,$N401)&gt;0,1,0))</f>
        <v>0</v>
      </c>
      <c r="AB401" s="37" t="str">
        <f aca="false">IF($N401="","",IF(COUNTIF($N$8:$N401,$N401)=1,MAX($AB$7:$AB400)+1,""))</f>
        <v/>
      </c>
    </row>
    <row r="402" customFormat="false" ht="15" hidden="false" customHeight="false" outlineLevel="0" collapsed="false">
      <c r="B402" s="32" t="s">
        <v>1020</v>
      </c>
      <c r="C402" s="32" t="s">
        <v>1021</v>
      </c>
      <c r="D402" s="35" t="n">
        <v>630</v>
      </c>
      <c r="E402" s="32" t="s">
        <v>145</v>
      </c>
      <c r="F402" s="36" t="n">
        <v>46119</v>
      </c>
      <c r="G402" s="32" t="s">
        <v>1022</v>
      </c>
      <c r="L402" s="37" t="str">
        <f aca="false">IF(INDEX($A402:$J402,$L$6)&lt;&gt;"",TRIM(LEFT(INDEX($A402:$J402,$L$6),FIND("(",INDEX($A402:$J402,$L$6)&amp;"(")-1)),L401)</f>
        <v>Closed Won</v>
      </c>
      <c r="M402" s="37" t="str">
        <f aca="false">IF(INDEX($A402:$J402,$M$6)="","",INDEX($A402:$J402,$M$6)&amp;"")</f>
        <v>BibbyWorks - Dry Mic Hire - 10.4.26</v>
      </c>
      <c r="N402" s="37" t="str">
        <f aca="false">IF($M402="","",TRIM(INDEX($A402:$J402,$N$6)&amp;""))</f>
        <v>BibbyWorks</v>
      </c>
      <c r="O402" s="37" t="str">
        <f aca="false">IF($M402="","",TRIM(INDEX($A402:$J402,$O$6)&amp;""))</f>
        <v>Event Production</v>
      </c>
      <c r="P402" s="37" t="str">
        <f aca="false">IF($M402="","",IFERROR(IF(INDEX(Settings!$B$41:$B$50,MATCH(O402,Settings!$A$41:$A$50,0))&amp;""="","UNMAPPED",INDEX(Settings!$B$41:$B$50,MATCH(O402,Settings!$A$41:$A$50,0))&amp;""),"UNMAPPED"))</f>
        <v>Production</v>
      </c>
      <c r="Q402" s="38" t="n">
        <f aca="false">IF($M402="",0,N(INDEX($A402:$J402,$Q$6)))</f>
        <v>630</v>
      </c>
      <c r="R402" s="39" t="n">
        <f aca="false">IF($M402="","",INDEX($A402:$J402,$R$6))</f>
        <v>46119</v>
      </c>
      <c r="S402" s="37" t="str">
        <f aca="false">IF($M402="","",IFERROR(INDEX(Settings!$B$27:$B$36,MATCH(L402,Settings!$A$27:$A$36,0))&amp;"","UNMAPPED"))</f>
        <v>Won</v>
      </c>
      <c r="T402" s="37" t="str">
        <f aca="false">IF($M402="","",IF(NOT(ISNUMBER(R402)),"NO DATE",IF(S402="Won",IF(R402&gt;Settings!$B$5,"Backlog","Delivered"),IF(S402="Open",IF(R402&gt;Settings!$B$5,"Pipeline","Overdue"),IF(S402="Lost","Lost","UNMAPPED")))))</f>
        <v>Delivered</v>
      </c>
      <c r="U402" s="40" t="n">
        <f aca="false">IF(T402="Backlog",1,IF(OR(T402="Pipeline",T402="Overdue"),N(INDEX(Settings!$C$27:$C$36,MATCH(L402,Settings!$A$27:$A$36,0))),0))</f>
        <v>0</v>
      </c>
      <c r="V402" s="38" t="n">
        <f aca="false">Q402*U402</f>
        <v>0</v>
      </c>
      <c r="W402" s="41" t="n">
        <f aca="false">IF($M402="","",IF(T402="Overdue",IF(Settings!$B$8="Yes",Settings!$B$7,""),IF(ISNUMBER(R402),DATE(YEAR(R402),MONTH(R402),1),"")))</f>
        <v>46113</v>
      </c>
      <c r="X402" s="38" t="n">
        <f aca="false">IF(AND(OR(T402="Backlog",T402="Pipeline",T402="Overdue"),ISNUMBER(W402)),IF(W402&lt;=Settings!$B$6,V402,0),0)</f>
        <v>0</v>
      </c>
      <c r="Y402" s="38" t="n">
        <f aca="false">IF(AND(OR(T402="Backlog",T402="Pipeline",T402="Overdue"),ISNUMBER(W402)),IF(W402&lt;=Settings!$B$6,Q402,0),0)</f>
        <v>0</v>
      </c>
      <c r="Z402" s="38" t="n">
        <f aca="false">IF(Y402=0,0,IF(T402="Backlog",Q402,Q402*Dashboard!$C$10))</f>
        <v>0</v>
      </c>
      <c r="AA402" s="37" t="n">
        <f aca="false">IF($N402="",0,IF(COUNTIF(Dashboard!$C$13:$C$22,$N402)&gt;0,1,0))</f>
        <v>0</v>
      </c>
      <c r="AB402" s="37" t="n">
        <f aca="false">IF($N402="","",IF(COUNTIF($N$8:$N402,$N402)=1,MAX($AB$7:$AB401)+1,""))</f>
        <v>91</v>
      </c>
    </row>
    <row r="403" customFormat="false" ht="15" hidden="false" customHeight="false" outlineLevel="0" collapsed="false">
      <c r="B403" s="32" t="s">
        <v>1023</v>
      </c>
      <c r="C403" s="32" t="s">
        <v>154</v>
      </c>
      <c r="D403" s="35" t="n">
        <v>2180</v>
      </c>
      <c r="E403" s="32" t="s">
        <v>145</v>
      </c>
      <c r="F403" s="36" t="n">
        <v>46127</v>
      </c>
      <c r="G403" s="32" t="s">
        <v>1024</v>
      </c>
      <c r="L403" s="37" t="str">
        <f aca="false">IF(INDEX($A403:$J403,$L$6)&lt;&gt;"",TRIM(LEFT(INDEX($A403:$J403,$L$6),FIND("(",INDEX($A403:$J403,$L$6)&amp;"(")-1)),L402)</f>
        <v>Closed Won</v>
      </c>
      <c r="M403" s="37" t="str">
        <f aca="false">IF(INDEX($A403:$J403,$M$6)="","",INDEX($A403:$J403,$M$6)&amp;"")</f>
        <v>PwC - Audio Support - 29.4.26</v>
      </c>
      <c r="N403" s="37" t="str">
        <f aca="false">IF($M403="","",TRIM(INDEX($A403:$J403,$N$6)&amp;""))</f>
        <v>PWC</v>
      </c>
      <c r="O403" s="37" t="str">
        <f aca="false">IF($M403="","",TRIM(INDEX($A403:$J403,$O$6)&amp;""))</f>
        <v>Event Production</v>
      </c>
      <c r="P403" s="37" t="str">
        <f aca="false">IF($M403="","",IFERROR(IF(INDEX(Settings!$B$41:$B$50,MATCH(O403,Settings!$A$41:$A$50,0))&amp;""="","UNMAPPED",INDEX(Settings!$B$41:$B$50,MATCH(O403,Settings!$A$41:$A$50,0))&amp;""),"UNMAPPED"))</f>
        <v>Production</v>
      </c>
      <c r="Q403" s="38" t="n">
        <f aca="false">IF($M403="",0,N(INDEX($A403:$J403,$Q$6)))</f>
        <v>2180</v>
      </c>
      <c r="R403" s="39" t="n">
        <f aca="false">IF($M403="","",INDEX($A403:$J403,$R$6))</f>
        <v>46127</v>
      </c>
      <c r="S403" s="37" t="str">
        <f aca="false">IF($M403="","",IFERROR(INDEX(Settings!$B$27:$B$36,MATCH(L403,Settings!$A$27:$A$36,0))&amp;"","UNMAPPED"))</f>
        <v>Won</v>
      </c>
      <c r="T403" s="37" t="str">
        <f aca="false">IF($M403="","",IF(NOT(ISNUMBER(R403)),"NO DATE",IF(S403="Won",IF(R403&gt;Settings!$B$5,"Backlog","Delivered"),IF(S403="Open",IF(R403&gt;Settings!$B$5,"Pipeline","Overdue"),IF(S403="Lost","Lost","UNMAPPED")))))</f>
        <v>Delivered</v>
      </c>
      <c r="U403" s="40" t="n">
        <f aca="false">IF(T403="Backlog",1,IF(OR(T403="Pipeline",T403="Overdue"),N(INDEX(Settings!$C$27:$C$36,MATCH(L403,Settings!$A$27:$A$36,0))),0))</f>
        <v>0</v>
      </c>
      <c r="V403" s="38" t="n">
        <f aca="false">Q403*U403</f>
        <v>0</v>
      </c>
      <c r="W403" s="41" t="n">
        <f aca="false">IF($M403="","",IF(T403="Overdue",IF(Settings!$B$8="Yes",Settings!$B$7,""),IF(ISNUMBER(R403),DATE(YEAR(R403),MONTH(R403),1),"")))</f>
        <v>46113</v>
      </c>
      <c r="X403" s="38" t="n">
        <f aca="false">IF(AND(OR(T403="Backlog",T403="Pipeline",T403="Overdue"),ISNUMBER(W403)),IF(W403&lt;=Settings!$B$6,V403,0),0)</f>
        <v>0</v>
      </c>
      <c r="Y403" s="38" t="n">
        <f aca="false">IF(AND(OR(T403="Backlog",T403="Pipeline",T403="Overdue"),ISNUMBER(W403)),IF(W403&lt;=Settings!$B$6,Q403,0),0)</f>
        <v>0</v>
      </c>
      <c r="Z403" s="38" t="n">
        <f aca="false">IF(Y403=0,0,IF(T403="Backlog",Q403,Q403*Dashboard!$C$10))</f>
        <v>0</v>
      </c>
      <c r="AA403" s="37" t="n">
        <f aca="false">IF($N403="",0,IF(COUNTIF(Dashboard!$C$13:$C$22,$N403)&gt;0,1,0))</f>
        <v>0</v>
      </c>
      <c r="AB403" s="37" t="str">
        <f aca="false">IF($N403="","",IF(COUNTIF($N$8:$N403,$N403)=1,MAX($AB$7:$AB402)+1,""))</f>
        <v/>
      </c>
    </row>
    <row r="404" customFormat="false" ht="15" hidden="false" customHeight="false" outlineLevel="0" collapsed="false">
      <c r="B404" s="32" t="s">
        <v>1025</v>
      </c>
      <c r="C404" s="32" t="s">
        <v>154</v>
      </c>
      <c r="D404" s="35" t="n">
        <v>108000</v>
      </c>
      <c r="E404" s="32" t="s">
        <v>180</v>
      </c>
      <c r="F404" s="36" t="n">
        <v>46059</v>
      </c>
      <c r="G404" s="32" t="s">
        <v>1026</v>
      </c>
      <c r="L404" s="37" t="str">
        <f aca="false">IF(INDEX($A404:$J404,$L$6)&lt;&gt;"",TRIM(LEFT(INDEX($A404:$J404,$L$6),FIND("(",INDEX($A404:$J404,$L$6)&amp;"(")-1)),L403)</f>
        <v>Closed Won</v>
      </c>
      <c r="M404" s="37" t="str">
        <f aca="false">IF(INDEX($A404:$J404,$M$6)="","",INDEX($A404:$J404,$M$6)&amp;"")</f>
        <v>PWC - Tech Hub Support - SYD / MEL / BNE</v>
      </c>
      <c r="N404" s="37" t="str">
        <f aca="false">IF($M404="","",TRIM(INDEX($A404:$J404,$N$6)&amp;""))</f>
        <v>PWC</v>
      </c>
      <c r="O404" s="37" t="str">
        <f aca="false">IF($M404="","",TRIM(INDEX($A404:$J404,$O$6)&amp;""))</f>
        <v>Support</v>
      </c>
      <c r="P404" s="37" t="str">
        <f aca="false">IF($M404="","",IFERROR(IF(INDEX(Settings!$B$41:$B$50,MATCH(O404,Settings!$A$41:$A$50,0))&amp;""="","UNMAPPED",INDEX(Settings!$B$41:$B$50,MATCH(O404,Settings!$A$41:$A$50,0))&amp;""),"UNMAPPED"))</f>
        <v>Onsite</v>
      </c>
      <c r="Q404" s="38" t="n">
        <f aca="false">IF($M404="",0,N(INDEX($A404:$J404,$Q$6)))</f>
        <v>108000</v>
      </c>
      <c r="R404" s="39" t="n">
        <f aca="false">IF($M404="","",INDEX($A404:$J404,$R$6))</f>
        <v>46059</v>
      </c>
      <c r="S404" s="37" t="str">
        <f aca="false">IF($M404="","",IFERROR(INDEX(Settings!$B$27:$B$36,MATCH(L404,Settings!$A$27:$A$36,0))&amp;"","UNMAPPED"))</f>
        <v>Won</v>
      </c>
      <c r="T404" s="37" t="str">
        <f aca="false">IF($M404="","",IF(NOT(ISNUMBER(R404)),"NO DATE",IF(S404="Won",IF(R404&gt;Settings!$B$5,"Backlog","Delivered"),IF(S404="Open",IF(R404&gt;Settings!$B$5,"Pipeline","Overdue"),IF(S404="Lost","Lost","UNMAPPED")))))</f>
        <v>Delivered</v>
      </c>
      <c r="U404" s="40" t="n">
        <f aca="false">IF(T404="Backlog",1,IF(OR(T404="Pipeline",T404="Overdue"),N(INDEX(Settings!$C$27:$C$36,MATCH(L404,Settings!$A$27:$A$36,0))),0))</f>
        <v>0</v>
      </c>
      <c r="V404" s="38" t="n">
        <f aca="false">Q404*U404</f>
        <v>0</v>
      </c>
      <c r="W404" s="41" t="n">
        <f aca="false">IF($M404="","",IF(T404="Overdue",IF(Settings!$B$8="Yes",Settings!$B$7,""),IF(ISNUMBER(R404),DATE(YEAR(R404),MONTH(R404),1),"")))</f>
        <v>46054</v>
      </c>
      <c r="X404" s="38" t="n">
        <f aca="false">IF(AND(OR(T404="Backlog",T404="Pipeline",T404="Overdue"),ISNUMBER(W404)),IF(W404&lt;=Settings!$B$6,V404,0),0)</f>
        <v>0</v>
      </c>
      <c r="Y404" s="38" t="n">
        <f aca="false">IF(AND(OR(T404="Backlog",T404="Pipeline",T404="Overdue"),ISNUMBER(W404)),IF(W404&lt;=Settings!$B$6,Q404,0),0)</f>
        <v>0</v>
      </c>
      <c r="Z404" s="38" t="n">
        <f aca="false">IF(Y404=0,0,IF(T404="Backlog",Q404,Q404*Dashboard!$C$10))</f>
        <v>0</v>
      </c>
      <c r="AA404" s="37" t="n">
        <f aca="false">IF($N404="",0,IF(COUNTIF(Dashboard!$C$13:$C$22,$N404)&gt;0,1,0))</f>
        <v>0</v>
      </c>
      <c r="AB404" s="37" t="str">
        <f aca="false">IF($N404="","",IF(COUNTIF($N$8:$N404,$N404)=1,MAX($AB$7:$AB403)+1,""))</f>
        <v/>
      </c>
    </row>
    <row r="405" customFormat="false" ht="15" hidden="false" customHeight="false" outlineLevel="0" collapsed="false">
      <c r="B405" s="32" t="s">
        <v>1027</v>
      </c>
      <c r="C405" s="32" t="s">
        <v>1028</v>
      </c>
      <c r="D405" s="35" t="n">
        <v>5714</v>
      </c>
      <c r="E405" s="32" t="s">
        <v>145</v>
      </c>
      <c r="F405" s="36" t="n">
        <v>46094</v>
      </c>
      <c r="G405" s="32" t="s">
        <v>1029</v>
      </c>
      <c r="L405" s="37" t="str">
        <f aca="false">IF(INDEX($A405:$J405,$L$6)&lt;&gt;"",TRIM(LEFT(INDEX($A405:$J405,$L$6),FIND("(",INDEX($A405:$J405,$L$6)&amp;"(")-1)),L404)</f>
        <v>Closed Won</v>
      </c>
      <c r="M405" s="37" t="str">
        <f aca="false">IF(INDEX($A405:$J405,$M$6)="","",INDEX($A405:$J405,$M$6)&amp;"")</f>
        <v>ClinPrep Medical Conference 21.3.26</v>
      </c>
      <c r="N405" s="37" t="str">
        <f aca="false">IF($M405="","",TRIM(INDEX($A405:$J405,$N$6)&amp;""))</f>
        <v>Sydney Clinprep</v>
      </c>
      <c r="O405" s="37" t="str">
        <f aca="false">IF($M405="","",TRIM(INDEX($A405:$J405,$O$6)&amp;""))</f>
        <v>Event Production</v>
      </c>
      <c r="P405" s="37" t="str">
        <f aca="false">IF($M405="","",IFERROR(IF(INDEX(Settings!$B$41:$B$50,MATCH(O405,Settings!$A$41:$A$50,0))&amp;""="","UNMAPPED",INDEX(Settings!$B$41:$B$50,MATCH(O405,Settings!$A$41:$A$50,0))&amp;""),"UNMAPPED"))</f>
        <v>Production</v>
      </c>
      <c r="Q405" s="38" t="n">
        <f aca="false">IF($M405="",0,N(INDEX($A405:$J405,$Q$6)))</f>
        <v>5714</v>
      </c>
      <c r="R405" s="39" t="n">
        <f aca="false">IF($M405="","",INDEX($A405:$J405,$R$6))</f>
        <v>46094</v>
      </c>
      <c r="S405" s="37" t="str">
        <f aca="false">IF($M405="","",IFERROR(INDEX(Settings!$B$27:$B$36,MATCH(L405,Settings!$A$27:$A$36,0))&amp;"","UNMAPPED"))</f>
        <v>Won</v>
      </c>
      <c r="T405" s="37" t="str">
        <f aca="false">IF($M405="","",IF(NOT(ISNUMBER(R405)),"NO DATE",IF(S405="Won",IF(R405&gt;Settings!$B$5,"Backlog","Delivered"),IF(S405="Open",IF(R405&gt;Settings!$B$5,"Pipeline","Overdue"),IF(S405="Lost","Lost","UNMAPPED")))))</f>
        <v>Delivered</v>
      </c>
      <c r="U405" s="40" t="n">
        <f aca="false">IF(T405="Backlog",1,IF(OR(T405="Pipeline",T405="Overdue"),N(INDEX(Settings!$C$27:$C$36,MATCH(L405,Settings!$A$27:$A$36,0))),0))</f>
        <v>0</v>
      </c>
      <c r="V405" s="38" t="n">
        <f aca="false">Q405*U405</f>
        <v>0</v>
      </c>
      <c r="W405" s="41" t="n">
        <f aca="false">IF($M405="","",IF(T405="Overdue",IF(Settings!$B$8="Yes",Settings!$B$7,""),IF(ISNUMBER(R405),DATE(YEAR(R405),MONTH(R405),1),"")))</f>
        <v>46082</v>
      </c>
      <c r="X405" s="38" t="n">
        <f aca="false">IF(AND(OR(T405="Backlog",T405="Pipeline",T405="Overdue"),ISNUMBER(W405)),IF(W405&lt;=Settings!$B$6,V405,0),0)</f>
        <v>0</v>
      </c>
      <c r="Y405" s="38" t="n">
        <f aca="false">IF(AND(OR(T405="Backlog",T405="Pipeline",T405="Overdue"),ISNUMBER(W405)),IF(W405&lt;=Settings!$B$6,Q405,0),0)</f>
        <v>0</v>
      </c>
      <c r="Z405" s="38" t="n">
        <f aca="false">IF(Y405=0,0,IF(T405="Backlog",Q405,Q405*Dashboard!$C$10))</f>
        <v>0</v>
      </c>
      <c r="AA405" s="37" t="n">
        <f aca="false">IF($N405="",0,IF(COUNTIF(Dashboard!$C$13:$C$22,$N405)&gt;0,1,0))</f>
        <v>0</v>
      </c>
      <c r="AB405" s="37" t="n">
        <f aca="false">IF($N405="","",IF(COUNTIF($N$8:$N405,$N405)=1,MAX($AB$7:$AB404)+1,""))</f>
        <v>92</v>
      </c>
    </row>
    <row r="406" customFormat="false" ht="15" hidden="false" customHeight="false" outlineLevel="0" collapsed="false">
      <c r="B406" s="32" t="s">
        <v>1030</v>
      </c>
      <c r="C406" s="32" t="s">
        <v>140</v>
      </c>
      <c r="D406" s="35" t="n">
        <v>7735</v>
      </c>
      <c r="E406" s="32" t="s">
        <v>180</v>
      </c>
      <c r="F406" s="36" t="n">
        <v>46262</v>
      </c>
      <c r="G406" s="32" t="s">
        <v>1031</v>
      </c>
      <c r="L406" s="37" t="str">
        <f aca="false">IF(INDEX($A406:$J406,$L$6)&lt;&gt;"",TRIM(LEFT(INDEX($A406:$J406,$L$6),FIND("(",INDEX($A406:$J406,$L$6)&amp;"(")-1)),L405)</f>
        <v>Closed Won</v>
      </c>
      <c r="M406" s="37" t="str">
        <f aca="false">IF(INDEX($A406:$J406,$M$6)="","",INDEX($A406:$J406,$M$6)&amp;"")</f>
        <v>STL Travel (SYD-PER)</v>
      </c>
      <c r="N406" s="37" t="str">
        <f aca="false">IF($M406="","",TRIM(INDEX($A406:$J406,$N$6)&amp;""))</f>
        <v>Deloitte Australia</v>
      </c>
      <c r="O406" s="37" t="str">
        <f aca="false">IF($M406="","",TRIM(INDEX($A406:$J406,$O$6)&amp;""))</f>
        <v>Support</v>
      </c>
      <c r="P406" s="37" t="str">
        <f aca="false">IF($M406="","",IFERROR(IF(INDEX(Settings!$B$41:$B$50,MATCH(O406,Settings!$A$41:$A$50,0))&amp;""="","UNMAPPED",INDEX(Settings!$B$41:$B$50,MATCH(O406,Settings!$A$41:$A$50,0))&amp;""),"UNMAPPED"))</f>
        <v>Onsite</v>
      </c>
      <c r="Q406" s="38" t="n">
        <f aca="false">IF($M406="",0,N(INDEX($A406:$J406,$Q$6)))</f>
        <v>7735</v>
      </c>
      <c r="R406" s="39" t="n">
        <f aca="false">IF($M406="","",INDEX($A406:$J406,$R$6))</f>
        <v>46262</v>
      </c>
      <c r="S406" s="37" t="str">
        <f aca="false">IF($M406="","",IFERROR(INDEX(Settings!$B$27:$B$36,MATCH(L406,Settings!$A$27:$A$36,0))&amp;"","UNMAPPED"))</f>
        <v>Won</v>
      </c>
      <c r="T406" s="37" t="str">
        <f aca="false">IF($M406="","",IF(NOT(ISNUMBER(R406)),"NO DATE",IF(S406="Won",IF(R406&gt;Settings!$B$5,"Backlog","Delivered"),IF(S406="Open",IF(R406&gt;Settings!$B$5,"Pipeline","Overdue"),IF(S406="Lost","Lost","UNMAPPED")))))</f>
        <v>Delivered</v>
      </c>
      <c r="U406" s="40" t="n">
        <f aca="false">IF(T406="Backlog",1,IF(OR(T406="Pipeline",T406="Overdue"),N(INDEX(Settings!$C$27:$C$36,MATCH(L406,Settings!$A$27:$A$36,0))),0))</f>
        <v>0</v>
      </c>
      <c r="V406" s="38" t="n">
        <f aca="false">Q406*U406</f>
        <v>0</v>
      </c>
      <c r="W406" s="41" t="n">
        <f aca="false">IF($M406="","",IF(T406="Overdue",IF(Settings!$B$8="Yes",Settings!$B$7,""),IF(ISNUMBER(R406),DATE(YEAR(R406),MONTH(R406),1),"")))</f>
        <v>46235</v>
      </c>
      <c r="X406" s="38" t="n">
        <f aca="false">IF(AND(OR(T406="Backlog",T406="Pipeline",T406="Overdue"),ISNUMBER(W406)),IF(W406&lt;=Settings!$B$6,V406,0),0)</f>
        <v>0</v>
      </c>
      <c r="Y406" s="38" t="n">
        <f aca="false">IF(AND(OR(T406="Backlog",T406="Pipeline",T406="Overdue"),ISNUMBER(W406)),IF(W406&lt;=Settings!$B$6,Q406,0),0)</f>
        <v>0</v>
      </c>
      <c r="Z406" s="38" t="n">
        <f aca="false">IF(Y406=0,0,IF(T406="Backlog",Q406,Q406*Dashboard!$C$10))</f>
        <v>0</v>
      </c>
      <c r="AA406" s="37" t="n">
        <f aca="false">IF($N406="",0,IF(COUNTIF(Dashboard!$C$13:$C$22,$N406)&gt;0,1,0))</f>
        <v>0</v>
      </c>
      <c r="AB406" s="37" t="str">
        <f aca="false">IF($N406="","",IF(COUNTIF($N$8:$N406,$N406)=1,MAX($AB$7:$AB405)+1,""))</f>
        <v/>
      </c>
    </row>
    <row r="407" customFormat="false" ht="15" hidden="false" customHeight="false" outlineLevel="0" collapsed="false">
      <c r="B407" s="32" t="s">
        <v>1032</v>
      </c>
      <c r="C407" s="32" t="s">
        <v>253</v>
      </c>
      <c r="D407" s="35" t="n">
        <v>1510</v>
      </c>
      <c r="E407" s="32" t="s">
        <v>145</v>
      </c>
      <c r="F407" s="36" t="n">
        <v>46240</v>
      </c>
      <c r="G407" s="32" t="s">
        <v>1033</v>
      </c>
      <c r="L407" s="37" t="str">
        <f aca="false">IF(INDEX($A407:$J407,$L$6)&lt;&gt;"",TRIM(LEFT(INDEX($A407:$J407,$L$6),FIND("(",INDEX($A407:$J407,$L$6)&amp;"(")-1)),L406)</f>
        <v>Closed Won</v>
      </c>
      <c r="M407" s="37" t="str">
        <f aca="false">IF(INDEX($A407:$J407,$M$6)="","",INDEX($A407:$J407,$M$6)&amp;"")</f>
        <v>ASX -FYR Employee Town Hall - 13.8.26</v>
      </c>
      <c r="N407" s="37" t="str">
        <f aca="false">IF($M407="","",TRIM(INDEX($A407:$J407,$N$6)&amp;""))</f>
        <v>ASX Australian Securities Exchange</v>
      </c>
      <c r="O407" s="37" t="str">
        <f aca="false">IF($M407="","",TRIM(INDEX($A407:$J407,$O$6)&amp;""))</f>
        <v>Event Production</v>
      </c>
      <c r="P407" s="37" t="str">
        <f aca="false">IF($M407="","",IFERROR(IF(INDEX(Settings!$B$41:$B$50,MATCH(O407,Settings!$A$41:$A$50,0))&amp;""="","UNMAPPED",INDEX(Settings!$B$41:$B$50,MATCH(O407,Settings!$A$41:$A$50,0))&amp;""),"UNMAPPED"))</f>
        <v>Production</v>
      </c>
      <c r="Q407" s="38" t="n">
        <f aca="false">IF($M407="",0,N(INDEX($A407:$J407,$Q$6)))</f>
        <v>1510</v>
      </c>
      <c r="R407" s="39" t="n">
        <f aca="false">IF($M407="","",INDEX($A407:$J407,$R$6))</f>
        <v>46240</v>
      </c>
      <c r="S407" s="37" t="str">
        <f aca="false">IF($M407="","",IFERROR(INDEX(Settings!$B$27:$B$36,MATCH(L407,Settings!$A$27:$A$36,0))&amp;"","UNMAPPED"))</f>
        <v>Won</v>
      </c>
      <c r="T407" s="37" t="str">
        <f aca="false">IF($M407="","",IF(NOT(ISNUMBER(R407)),"NO DATE",IF(S407="Won",IF(R407&gt;Settings!$B$5,"Backlog","Delivered"),IF(S407="Open",IF(R407&gt;Settings!$B$5,"Pipeline","Overdue"),IF(S407="Lost","Lost","UNMAPPED")))))</f>
        <v>Delivered</v>
      </c>
      <c r="U407" s="40" t="n">
        <f aca="false">IF(T407="Backlog",1,IF(OR(T407="Pipeline",T407="Overdue"),N(INDEX(Settings!$C$27:$C$36,MATCH(L407,Settings!$A$27:$A$36,0))),0))</f>
        <v>0</v>
      </c>
      <c r="V407" s="38" t="n">
        <f aca="false">Q407*U407</f>
        <v>0</v>
      </c>
      <c r="W407" s="41" t="n">
        <f aca="false">IF($M407="","",IF(T407="Overdue",IF(Settings!$B$8="Yes",Settings!$B$7,""),IF(ISNUMBER(R407),DATE(YEAR(R407),MONTH(R407),1),"")))</f>
        <v>46235</v>
      </c>
      <c r="X407" s="38" t="n">
        <f aca="false">IF(AND(OR(T407="Backlog",T407="Pipeline",T407="Overdue"),ISNUMBER(W407)),IF(W407&lt;=Settings!$B$6,V407,0),0)</f>
        <v>0</v>
      </c>
      <c r="Y407" s="38" t="n">
        <f aca="false">IF(AND(OR(T407="Backlog",T407="Pipeline",T407="Overdue"),ISNUMBER(W407)),IF(W407&lt;=Settings!$B$6,Q407,0),0)</f>
        <v>0</v>
      </c>
      <c r="Z407" s="38" t="n">
        <f aca="false">IF(Y407=0,0,IF(T407="Backlog",Q407,Q407*Dashboard!$C$10))</f>
        <v>0</v>
      </c>
      <c r="AA407" s="37" t="n">
        <f aca="false">IF($N407="",0,IF(COUNTIF(Dashboard!$C$13:$C$22,$N407)&gt;0,1,0))</f>
        <v>0</v>
      </c>
      <c r="AB407" s="37" t="str">
        <f aca="false">IF($N407="","",IF(COUNTIF($N$8:$N407,$N407)=1,MAX($AB$7:$AB406)+1,""))</f>
        <v/>
      </c>
    </row>
    <row r="408" customFormat="false" ht="15" hidden="false" customHeight="false" outlineLevel="0" collapsed="false">
      <c r="B408" s="32" t="s">
        <v>1034</v>
      </c>
      <c r="C408" s="32" t="s">
        <v>253</v>
      </c>
      <c r="D408" s="35" t="n">
        <v>1485</v>
      </c>
      <c r="E408" s="32" t="s">
        <v>208</v>
      </c>
      <c r="F408" s="36" t="n">
        <v>46136</v>
      </c>
      <c r="G408" s="32" t="s">
        <v>1035</v>
      </c>
      <c r="L408" s="37" t="str">
        <f aca="false">IF(INDEX($A408:$J408,$L$6)&lt;&gt;"",TRIM(LEFT(INDEX($A408:$J408,$L$6),FIND("(",INDEX($A408:$J408,$L$6)&amp;"(")-1)),L407)</f>
        <v>Closed Won</v>
      </c>
      <c r="M408" s="37" t="str">
        <f aca="false">IF(INDEX($A408:$J408,$M$6)="","",INDEX($A408:$J408,$M$6)&amp;"")</f>
        <v>ASX Investor Day Social Media Videos (May 2026)</v>
      </c>
      <c r="N408" s="37" t="str">
        <f aca="false">IF($M408="","",TRIM(INDEX($A408:$J408,$N$6)&amp;""))</f>
        <v>ASX Australian Securities Exchange</v>
      </c>
      <c r="O408" s="37" t="str">
        <f aca="false">IF($M408="","",TRIM(INDEX($A408:$J408,$O$6)&amp;""))</f>
        <v>Video Production</v>
      </c>
      <c r="P408" s="37" t="str">
        <f aca="false">IF($M408="","",IFERROR(IF(INDEX(Settings!$B$41:$B$50,MATCH(O408,Settings!$A$41:$A$50,0))&amp;""="","UNMAPPED",INDEX(Settings!$B$41:$B$50,MATCH(O408,Settings!$A$41:$A$50,0))&amp;""),"UNMAPPED"))</f>
        <v>Video</v>
      </c>
      <c r="Q408" s="38" t="n">
        <f aca="false">IF($M408="",0,N(INDEX($A408:$J408,$Q$6)))</f>
        <v>1485</v>
      </c>
      <c r="R408" s="39" t="n">
        <f aca="false">IF($M408="","",INDEX($A408:$J408,$R$6))</f>
        <v>46136</v>
      </c>
      <c r="S408" s="37" t="str">
        <f aca="false">IF($M408="","",IFERROR(INDEX(Settings!$B$27:$B$36,MATCH(L408,Settings!$A$27:$A$36,0))&amp;"","UNMAPPED"))</f>
        <v>Won</v>
      </c>
      <c r="T408" s="37" t="str">
        <f aca="false">IF($M408="","",IF(NOT(ISNUMBER(R408)),"NO DATE",IF(S408="Won",IF(R408&gt;Settings!$B$5,"Backlog","Delivered"),IF(S408="Open",IF(R408&gt;Settings!$B$5,"Pipeline","Overdue"),IF(S408="Lost","Lost","UNMAPPED")))))</f>
        <v>Delivered</v>
      </c>
      <c r="U408" s="40" t="n">
        <f aca="false">IF(T408="Backlog",1,IF(OR(T408="Pipeline",T408="Overdue"),N(INDEX(Settings!$C$27:$C$36,MATCH(L408,Settings!$A$27:$A$36,0))),0))</f>
        <v>0</v>
      </c>
      <c r="V408" s="38" t="n">
        <f aca="false">Q408*U408</f>
        <v>0</v>
      </c>
      <c r="W408" s="41" t="n">
        <f aca="false">IF($M408="","",IF(T408="Overdue",IF(Settings!$B$8="Yes",Settings!$B$7,""),IF(ISNUMBER(R408),DATE(YEAR(R408),MONTH(R408),1),"")))</f>
        <v>46113</v>
      </c>
      <c r="X408" s="38" t="n">
        <f aca="false">IF(AND(OR(T408="Backlog",T408="Pipeline",T408="Overdue"),ISNUMBER(W408)),IF(W408&lt;=Settings!$B$6,V408,0),0)</f>
        <v>0</v>
      </c>
      <c r="Y408" s="38" t="n">
        <f aca="false">IF(AND(OR(T408="Backlog",T408="Pipeline",T408="Overdue"),ISNUMBER(W408)),IF(W408&lt;=Settings!$B$6,Q408,0),0)</f>
        <v>0</v>
      </c>
      <c r="Z408" s="38" t="n">
        <f aca="false">IF(Y408=0,0,IF(T408="Backlog",Q408,Q408*Dashboard!$C$10))</f>
        <v>0</v>
      </c>
      <c r="AA408" s="37" t="n">
        <f aca="false">IF($N408="",0,IF(COUNTIF(Dashboard!$C$13:$C$22,$N408)&gt;0,1,0))</f>
        <v>0</v>
      </c>
      <c r="AB408" s="37" t="str">
        <f aca="false">IF($N408="","",IF(COUNTIF($N$8:$N408,$N408)=1,MAX($AB$7:$AB407)+1,""))</f>
        <v/>
      </c>
    </row>
    <row r="409" customFormat="false" ht="15" hidden="false" customHeight="false" outlineLevel="0" collapsed="false">
      <c r="B409" s="32" t="s">
        <v>1036</v>
      </c>
      <c r="C409" s="32" t="s">
        <v>194</v>
      </c>
      <c r="D409" s="35" t="n">
        <v>12674</v>
      </c>
      <c r="E409" s="32" t="s">
        <v>145</v>
      </c>
      <c r="F409" s="36" t="n">
        <v>46086</v>
      </c>
      <c r="G409" s="32" t="s">
        <v>1037</v>
      </c>
      <c r="L409" s="37" t="str">
        <f aca="false">IF(INDEX($A409:$J409,$L$6)&lt;&gt;"",TRIM(LEFT(INDEX($A409:$J409,$L$6),FIND("(",INDEX($A409:$J409,$L$6)&amp;"(")-1)),L408)</f>
        <v>Closed Won</v>
      </c>
      <c r="M409" s="37" t="str">
        <f aca="false">IF(INDEX($A409:$J409,$M$6)="","",INDEX($A409:$J409,$M$6)&amp;"")</f>
        <v>Ventia Leader Welcome 4.3.26</v>
      </c>
      <c r="N409" s="37" t="str">
        <f aca="false">IF($M409="","",TRIM(INDEX($A409:$J409,$N$6)&amp;""))</f>
        <v>Ventia</v>
      </c>
      <c r="O409" s="37" t="str">
        <f aca="false">IF($M409="","",TRIM(INDEX($A409:$J409,$O$6)&amp;""))</f>
        <v>Event Production</v>
      </c>
      <c r="P409" s="37" t="str">
        <f aca="false">IF($M409="","",IFERROR(IF(INDEX(Settings!$B$41:$B$50,MATCH(O409,Settings!$A$41:$A$50,0))&amp;""="","UNMAPPED",INDEX(Settings!$B$41:$B$50,MATCH(O409,Settings!$A$41:$A$50,0))&amp;""),"UNMAPPED"))</f>
        <v>Production</v>
      </c>
      <c r="Q409" s="38" t="n">
        <f aca="false">IF($M409="",0,N(INDEX($A409:$J409,$Q$6)))</f>
        <v>12674</v>
      </c>
      <c r="R409" s="39" t="n">
        <f aca="false">IF($M409="","",INDEX($A409:$J409,$R$6))</f>
        <v>46086</v>
      </c>
      <c r="S409" s="37" t="str">
        <f aca="false">IF($M409="","",IFERROR(INDEX(Settings!$B$27:$B$36,MATCH(L409,Settings!$A$27:$A$36,0))&amp;"","UNMAPPED"))</f>
        <v>Won</v>
      </c>
      <c r="T409" s="37" t="str">
        <f aca="false">IF($M409="","",IF(NOT(ISNUMBER(R409)),"NO DATE",IF(S409="Won",IF(R409&gt;Settings!$B$5,"Backlog","Delivered"),IF(S409="Open",IF(R409&gt;Settings!$B$5,"Pipeline","Overdue"),IF(S409="Lost","Lost","UNMAPPED")))))</f>
        <v>Delivered</v>
      </c>
      <c r="U409" s="40" t="n">
        <f aca="false">IF(T409="Backlog",1,IF(OR(T409="Pipeline",T409="Overdue"),N(INDEX(Settings!$C$27:$C$36,MATCH(L409,Settings!$A$27:$A$36,0))),0))</f>
        <v>0</v>
      </c>
      <c r="V409" s="38" t="n">
        <f aca="false">Q409*U409</f>
        <v>0</v>
      </c>
      <c r="W409" s="41" t="n">
        <f aca="false">IF($M409="","",IF(T409="Overdue",IF(Settings!$B$8="Yes",Settings!$B$7,""),IF(ISNUMBER(R409),DATE(YEAR(R409),MONTH(R409),1),"")))</f>
        <v>46082</v>
      </c>
      <c r="X409" s="38" t="n">
        <f aca="false">IF(AND(OR(T409="Backlog",T409="Pipeline",T409="Overdue"),ISNUMBER(W409)),IF(W409&lt;=Settings!$B$6,V409,0),0)</f>
        <v>0</v>
      </c>
      <c r="Y409" s="38" t="n">
        <f aca="false">IF(AND(OR(T409="Backlog",T409="Pipeline",T409="Overdue"),ISNUMBER(W409)),IF(W409&lt;=Settings!$B$6,Q409,0),0)</f>
        <v>0</v>
      </c>
      <c r="Z409" s="38" t="n">
        <f aca="false">IF(Y409=0,0,IF(T409="Backlog",Q409,Q409*Dashboard!$C$10))</f>
        <v>0</v>
      </c>
      <c r="AA409" s="37" t="n">
        <f aca="false">IF($N409="",0,IF(COUNTIF(Dashboard!$C$13:$C$22,$N409)&gt;0,1,0))</f>
        <v>0</v>
      </c>
      <c r="AB409" s="37" t="str">
        <f aca="false">IF($N409="","",IF(COUNTIF($N$8:$N409,$N409)=1,MAX($AB$7:$AB408)+1,""))</f>
        <v/>
      </c>
    </row>
    <row r="410" customFormat="false" ht="15" hidden="false" customHeight="false" outlineLevel="0" collapsed="false">
      <c r="B410" s="32" t="s">
        <v>1038</v>
      </c>
      <c r="C410" s="32" t="s">
        <v>194</v>
      </c>
      <c r="D410" s="35" t="n">
        <v>9444</v>
      </c>
      <c r="E410" s="32" t="s">
        <v>145</v>
      </c>
      <c r="F410" s="36" t="n">
        <v>46234</v>
      </c>
      <c r="G410" s="32" t="s">
        <v>1039</v>
      </c>
      <c r="L410" s="37" t="str">
        <f aca="false">IF(INDEX($A410:$J410,$L$6)&lt;&gt;"",TRIM(LEFT(INDEX($A410:$J410,$L$6),FIND("(",INDEX($A410:$J410,$L$6)&amp;"(")-1)),L409)</f>
        <v>Closed Won</v>
      </c>
      <c r="M410" s="37" t="str">
        <f aca="false">IF(INDEX($A410:$J410,$M$6)="","",INDEX($A410:$J410,$M$6)&amp;"")</f>
        <v>Ventia - RUOK? Day - 10.09.2026</v>
      </c>
      <c r="N410" s="37" t="str">
        <f aca="false">IF($M410="","",TRIM(INDEX($A410:$J410,$N$6)&amp;""))</f>
        <v>Ventia</v>
      </c>
      <c r="O410" s="37" t="str">
        <f aca="false">IF($M410="","",TRIM(INDEX($A410:$J410,$O$6)&amp;""))</f>
        <v>Event Production</v>
      </c>
      <c r="P410" s="37" t="str">
        <f aca="false">IF($M410="","",IFERROR(IF(INDEX(Settings!$B$41:$B$50,MATCH(O410,Settings!$A$41:$A$50,0))&amp;""="","UNMAPPED",INDEX(Settings!$B$41:$B$50,MATCH(O410,Settings!$A$41:$A$50,0))&amp;""),"UNMAPPED"))</f>
        <v>Production</v>
      </c>
      <c r="Q410" s="38" t="n">
        <f aca="false">IF($M410="",0,N(INDEX($A410:$J410,$Q$6)))</f>
        <v>9444</v>
      </c>
      <c r="R410" s="39" t="n">
        <f aca="false">IF($M410="","",INDEX($A410:$J410,$R$6))</f>
        <v>46234</v>
      </c>
      <c r="S410" s="37" t="str">
        <f aca="false">IF($M410="","",IFERROR(INDEX(Settings!$B$27:$B$36,MATCH(L410,Settings!$A$27:$A$36,0))&amp;"","UNMAPPED"))</f>
        <v>Won</v>
      </c>
      <c r="T410" s="37" t="str">
        <f aca="false">IF($M410="","",IF(NOT(ISNUMBER(R410)),"NO DATE",IF(S410="Won",IF(R410&gt;Settings!$B$5,"Backlog","Delivered"),IF(S410="Open",IF(R410&gt;Settings!$B$5,"Pipeline","Overdue"),IF(S410="Lost","Lost","UNMAPPED")))))</f>
        <v>Delivered</v>
      </c>
      <c r="U410" s="40" t="n">
        <f aca="false">IF(T410="Backlog",1,IF(OR(T410="Pipeline",T410="Overdue"),N(INDEX(Settings!$C$27:$C$36,MATCH(L410,Settings!$A$27:$A$36,0))),0))</f>
        <v>0</v>
      </c>
      <c r="V410" s="38" t="n">
        <f aca="false">Q410*U410</f>
        <v>0</v>
      </c>
      <c r="W410" s="41" t="n">
        <f aca="false">IF($M410="","",IF(T410="Overdue",IF(Settings!$B$8="Yes",Settings!$B$7,""),IF(ISNUMBER(R410),DATE(YEAR(R410),MONTH(R410),1),"")))</f>
        <v>46204</v>
      </c>
      <c r="X410" s="38" t="n">
        <f aca="false">IF(AND(OR(T410="Backlog",T410="Pipeline",T410="Overdue"),ISNUMBER(W410)),IF(W410&lt;=Settings!$B$6,V410,0),0)</f>
        <v>0</v>
      </c>
      <c r="Y410" s="38" t="n">
        <f aca="false">IF(AND(OR(T410="Backlog",T410="Pipeline",T410="Overdue"),ISNUMBER(W410)),IF(W410&lt;=Settings!$B$6,Q410,0),0)</f>
        <v>0</v>
      </c>
      <c r="Z410" s="38" t="n">
        <f aca="false">IF(Y410=0,0,IF(T410="Backlog",Q410,Q410*Dashboard!$C$10))</f>
        <v>0</v>
      </c>
      <c r="AA410" s="37" t="n">
        <f aca="false">IF($N410="",0,IF(COUNTIF(Dashboard!$C$13:$C$22,$N410)&gt;0,1,0))</f>
        <v>0</v>
      </c>
      <c r="AB410" s="37" t="str">
        <f aca="false">IF($N410="","",IF(COUNTIF($N$8:$N410,$N410)=1,MAX($AB$7:$AB409)+1,""))</f>
        <v/>
      </c>
    </row>
    <row r="411" customFormat="false" ht="15" hidden="false" customHeight="false" outlineLevel="0" collapsed="false">
      <c r="B411" s="32" t="s">
        <v>1040</v>
      </c>
      <c r="C411" s="32" t="s">
        <v>140</v>
      </c>
      <c r="D411" s="35" t="n">
        <v>1262</v>
      </c>
      <c r="E411" s="32" t="s">
        <v>180</v>
      </c>
      <c r="F411" s="36" t="n">
        <v>46141</v>
      </c>
      <c r="G411" s="32" t="s">
        <v>1041</v>
      </c>
      <c r="L411" s="37" t="str">
        <f aca="false">IF(INDEX($A411:$J411,$L$6)&lt;&gt;"",TRIM(LEFT(INDEX($A411:$J411,$L$6),FIND("(",INDEX($A411:$J411,$L$6)&amp;"(")-1)),L410)</f>
        <v>Closed Won</v>
      </c>
      <c r="M411" s="37" t="str">
        <f aca="false">IF(INDEX($A411:$J411,$M$6)="","",INDEX($A411:$J411,$M$6)&amp;"")</f>
        <v>Deloitte Darwin - Meeting Room Extension Cable Install_26042802</v>
      </c>
      <c r="N411" s="37" t="str">
        <f aca="false">IF($M411="","",TRIM(INDEX($A411:$J411,$N$6)&amp;""))</f>
        <v>Deloitte Australia</v>
      </c>
      <c r="O411" s="37" t="str">
        <f aca="false">IF($M411="","",TRIM(INDEX($A411:$J411,$O$6)&amp;""))</f>
        <v>Support</v>
      </c>
      <c r="P411" s="37" t="str">
        <f aca="false">IF($M411="","",IFERROR(IF(INDEX(Settings!$B$41:$B$50,MATCH(O411,Settings!$A$41:$A$50,0))&amp;""="","UNMAPPED",INDEX(Settings!$B$41:$B$50,MATCH(O411,Settings!$A$41:$A$50,0))&amp;""),"UNMAPPED"))</f>
        <v>Onsite</v>
      </c>
      <c r="Q411" s="38" t="n">
        <f aca="false">IF($M411="",0,N(INDEX($A411:$J411,$Q$6)))</f>
        <v>1262</v>
      </c>
      <c r="R411" s="39" t="n">
        <f aca="false">IF($M411="","",INDEX($A411:$J411,$R$6))</f>
        <v>46141</v>
      </c>
      <c r="S411" s="37" t="str">
        <f aca="false">IF($M411="","",IFERROR(INDEX(Settings!$B$27:$B$36,MATCH(L411,Settings!$A$27:$A$36,0))&amp;"","UNMAPPED"))</f>
        <v>Won</v>
      </c>
      <c r="T411" s="37" t="str">
        <f aca="false">IF($M411="","",IF(NOT(ISNUMBER(R411)),"NO DATE",IF(S411="Won",IF(R411&gt;Settings!$B$5,"Backlog","Delivered"),IF(S411="Open",IF(R411&gt;Settings!$B$5,"Pipeline","Overdue"),IF(S411="Lost","Lost","UNMAPPED")))))</f>
        <v>Delivered</v>
      </c>
      <c r="U411" s="40" t="n">
        <f aca="false">IF(T411="Backlog",1,IF(OR(T411="Pipeline",T411="Overdue"),N(INDEX(Settings!$C$27:$C$36,MATCH(L411,Settings!$A$27:$A$36,0))),0))</f>
        <v>0</v>
      </c>
      <c r="V411" s="38" t="n">
        <f aca="false">Q411*U411</f>
        <v>0</v>
      </c>
      <c r="W411" s="41" t="n">
        <f aca="false">IF($M411="","",IF(T411="Overdue",IF(Settings!$B$8="Yes",Settings!$B$7,""),IF(ISNUMBER(R411),DATE(YEAR(R411),MONTH(R411),1),"")))</f>
        <v>46113</v>
      </c>
      <c r="X411" s="38" t="n">
        <f aca="false">IF(AND(OR(T411="Backlog",T411="Pipeline",T411="Overdue"),ISNUMBER(W411)),IF(W411&lt;=Settings!$B$6,V411,0),0)</f>
        <v>0</v>
      </c>
      <c r="Y411" s="38" t="n">
        <f aca="false">IF(AND(OR(T411="Backlog",T411="Pipeline",T411="Overdue"),ISNUMBER(W411)),IF(W411&lt;=Settings!$B$6,Q411,0),0)</f>
        <v>0</v>
      </c>
      <c r="Z411" s="38" t="n">
        <f aca="false">IF(Y411=0,0,IF(T411="Backlog",Q411,Q411*Dashboard!$C$10))</f>
        <v>0</v>
      </c>
      <c r="AA411" s="37" t="n">
        <f aca="false">IF($N411="",0,IF(COUNTIF(Dashboard!$C$13:$C$22,$N411)&gt;0,1,0))</f>
        <v>0</v>
      </c>
      <c r="AB411" s="37" t="str">
        <f aca="false">IF($N411="","",IF(COUNTIF($N$8:$N411,$N411)=1,MAX($AB$7:$AB410)+1,""))</f>
        <v/>
      </c>
    </row>
    <row r="412" customFormat="false" ht="15" hidden="false" customHeight="false" outlineLevel="0" collapsed="false">
      <c r="B412" s="32" t="s">
        <v>1042</v>
      </c>
      <c r="C412" s="32" t="s">
        <v>1043</v>
      </c>
      <c r="D412" s="35" t="n">
        <v>185</v>
      </c>
      <c r="E412" s="32" t="s">
        <v>145</v>
      </c>
      <c r="F412" s="36" t="n">
        <v>46303</v>
      </c>
      <c r="G412" s="32" t="s">
        <v>1044</v>
      </c>
      <c r="L412" s="37" t="str">
        <f aca="false">IF(INDEX($A412:$J412,$L$6)&lt;&gt;"",TRIM(LEFT(INDEX($A412:$J412,$L$6),FIND("(",INDEX($A412:$J412,$L$6)&amp;"(")-1)),L411)</f>
        <v>Closed Won</v>
      </c>
      <c r="M412" s="37" t="str">
        <f aca="false">IF(INDEX($A412:$J412,$M$6)="","",INDEX($A412:$J412,$M$6)&amp;"")</f>
        <v>Noisebox - Audio Dry Hire - 13.10.16</v>
      </c>
      <c r="N412" s="37" t="str">
        <f aca="false">IF($M412="","",TRIM(INDEX($A412:$J412,$N$6)&amp;""))</f>
        <v>Noisebox</v>
      </c>
      <c r="O412" s="37" t="str">
        <f aca="false">IF($M412="","",TRIM(INDEX($A412:$J412,$O$6)&amp;""))</f>
        <v>Event Production</v>
      </c>
      <c r="P412" s="37" t="str">
        <f aca="false">IF($M412="","",IFERROR(IF(INDEX(Settings!$B$41:$B$50,MATCH(O412,Settings!$A$41:$A$50,0))&amp;""="","UNMAPPED",INDEX(Settings!$B$41:$B$50,MATCH(O412,Settings!$A$41:$A$50,0))&amp;""),"UNMAPPED"))</f>
        <v>Production</v>
      </c>
      <c r="Q412" s="38" t="n">
        <f aca="false">IF($M412="",0,N(INDEX($A412:$J412,$Q$6)))</f>
        <v>185</v>
      </c>
      <c r="R412" s="39" t="n">
        <f aca="false">IF($M412="","",INDEX($A412:$J412,$R$6))</f>
        <v>46303</v>
      </c>
      <c r="S412" s="37" t="str">
        <f aca="false">IF($M412="","",IFERROR(INDEX(Settings!$B$27:$B$36,MATCH(L412,Settings!$A$27:$A$36,0))&amp;"","UNMAPPED"))</f>
        <v>Won</v>
      </c>
      <c r="T412" s="37" t="str">
        <f aca="false">IF($M412="","",IF(NOT(ISNUMBER(R412)),"NO DATE",IF(S412="Won",IF(R412&gt;Settings!$B$5,"Backlog","Delivered"),IF(S412="Open",IF(R412&gt;Settings!$B$5,"Pipeline","Overdue"),IF(S412="Lost","Lost","UNMAPPED")))))</f>
        <v>Backlog</v>
      </c>
      <c r="U412" s="40" t="n">
        <f aca="false">IF(T412="Backlog",1,IF(OR(T412="Pipeline",T412="Overdue"),N(INDEX(Settings!$C$27:$C$36,MATCH(L412,Settings!$A$27:$A$36,0))),0))</f>
        <v>1</v>
      </c>
      <c r="V412" s="38" t="n">
        <f aca="false">Q412*U412</f>
        <v>185</v>
      </c>
      <c r="W412" s="41" t="n">
        <f aca="false">IF($M412="","",IF(T412="Overdue",IF(Settings!$B$8="Yes",Settings!$B$7,""),IF(ISNUMBER(R412),DATE(YEAR(R412),MONTH(R412),1),"")))</f>
        <v>46296</v>
      </c>
      <c r="X412" s="38" t="n">
        <f aca="false">IF(AND(OR(T412="Backlog",T412="Pipeline",T412="Overdue"),ISNUMBER(W412)),IF(W412&lt;=Settings!$B$6,V412,0),0)</f>
        <v>185</v>
      </c>
      <c r="Y412" s="38" t="n">
        <f aca="false">IF(AND(OR(T412="Backlog",T412="Pipeline",T412="Overdue"),ISNUMBER(W412)),IF(W412&lt;=Settings!$B$6,Q412,0),0)</f>
        <v>185</v>
      </c>
      <c r="Z412" s="38" t="n">
        <f aca="false">IF(Y412=0,0,IF(T412="Backlog",Q412,Q412*Dashboard!$C$10))</f>
        <v>185</v>
      </c>
      <c r="AA412" s="37" t="n">
        <f aca="false">IF($N412="",0,IF(COUNTIF(Dashboard!$C$13:$C$22,$N412)&gt;0,1,0))</f>
        <v>0</v>
      </c>
      <c r="AB412" s="37" t="n">
        <f aca="false">IF($N412="","",IF(COUNTIF($N$8:$N412,$N412)=1,MAX($AB$7:$AB411)+1,""))</f>
        <v>93</v>
      </c>
    </row>
    <row r="413" customFormat="false" ht="15" hidden="false" customHeight="false" outlineLevel="0" collapsed="false">
      <c r="B413" s="32" t="s">
        <v>1045</v>
      </c>
      <c r="C413" s="32" t="s">
        <v>169</v>
      </c>
      <c r="D413" s="35" t="n">
        <v>14706</v>
      </c>
      <c r="E413" s="32" t="s">
        <v>145</v>
      </c>
      <c r="F413" s="36" t="n">
        <v>45873</v>
      </c>
      <c r="G413" s="32" t="s">
        <v>1046</v>
      </c>
      <c r="L413" s="37" t="str">
        <f aca="false">IF(INDEX($A413:$J413,$L$6)&lt;&gt;"",TRIM(LEFT(INDEX($A413:$J413,$L$6),FIND("(",INDEX($A413:$J413,$L$6)&amp;"(")-1)),L412)</f>
        <v>Closed Won</v>
      </c>
      <c r="M413" s="37" t="str">
        <f aca="false">IF(INDEX($A413:$J413,$M$6)="","",INDEX($A413:$J413,$M$6)&amp;"")</f>
        <v>DHG AGM 04.08.25 (Orient Capital)</v>
      </c>
      <c r="N413" s="37" t="str">
        <f aca="false">IF($M413="","",TRIM(INDEX($A413:$J413,$N$6)&amp;""))</f>
        <v>MUFG IR / Orient Capital</v>
      </c>
      <c r="O413" s="37" t="str">
        <f aca="false">IF($M413="","",TRIM(INDEX($A413:$J413,$O$6)&amp;""))</f>
        <v>Event Production</v>
      </c>
      <c r="P413" s="37" t="str">
        <f aca="false">IF($M413="","",IFERROR(IF(INDEX(Settings!$B$41:$B$50,MATCH(O413,Settings!$A$41:$A$50,0))&amp;""="","UNMAPPED",INDEX(Settings!$B$41:$B$50,MATCH(O413,Settings!$A$41:$A$50,0))&amp;""),"UNMAPPED"))</f>
        <v>Production</v>
      </c>
      <c r="Q413" s="38" t="n">
        <f aca="false">IF($M413="",0,N(INDEX($A413:$J413,$Q$6)))</f>
        <v>14706</v>
      </c>
      <c r="R413" s="39" t="n">
        <f aca="false">IF($M413="","",INDEX($A413:$J413,$R$6))</f>
        <v>45873</v>
      </c>
      <c r="S413" s="37" t="str">
        <f aca="false">IF($M413="","",IFERROR(INDEX(Settings!$B$27:$B$36,MATCH(L413,Settings!$A$27:$A$36,0))&amp;"","UNMAPPED"))</f>
        <v>Won</v>
      </c>
      <c r="T413" s="37" t="str">
        <f aca="false">IF($M413="","",IF(NOT(ISNUMBER(R413)),"NO DATE",IF(S413="Won",IF(R413&gt;Settings!$B$5,"Backlog","Delivered"),IF(S413="Open",IF(R413&gt;Settings!$B$5,"Pipeline","Overdue"),IF(S413="Lost","Lost","UNMAPPED")))))</f>
        <v>Delivered</v>
      </c>
      <c r="U413" s="40" t="n">
        <f aca="false">IF(T413="Backlog",1,IF(OR(T413="Pipeline",T413="Overdue"),N(INDEX(Settings!$C$27:$C$36,MATCH(L413,Settings!$A$27:$A$36,0))),0))</f>
        <v>0</v>
      </c>
      <c r="V413" s="38" t="n">
        <f aca="false">Q413*U413</f>
        <v>0</v>
      </c>
      <c r="W413" s="41" t="n">
        <f aca="false">IF($M413="","",IF(T413="Overdue",IF(Settings!$B$8="Yes",Settings!$B$7,""),IF(ISNUMBER(R413),DATE(YEAR(R413),MONTH(R413),1),"")))</f>
        <v>45870</v>
      </c>
      <c r="X413" s="38" t="n">
        <f aca="false">IF(AND(OR(T413="Backlog",T413="Pipeline",T413="Overdue"),ISNUMBER(W413)),IF(W413&lt;=Settings!$B$6,V413,0),0)</f>
        <v>0</v>
      </c>
      <c r="Y413" s="38" t="n">
        <f aca="false">IF(AND(OR(T413="Backlog",T413="Pipeline",T413="Overdue"),ISNUMBER(W413)),IF(W413&lt;=Settings!$B$6,Q413,0),0)</f>
        <v>0</v>
      </c>
      <c r="Z413" s="38" t="n">
        <f aca="false">IF(Y413=0,0,IF(T413="Backlog",Q413,Q413*Dashboard!$C$10))</f>
        <v>0</v>
      </c>
      <c r="AA413" s="37" t="n">
        <f aca="false">IF($N413="",0,IF(COUNTIF(Dashboard!$C$13:$C$22,$N413)&gt;0,1,0))</f>
        <v>0</v>
      </c>
      <c r="AB413" s="37" t="str">
        <f aca="false">IF($N413="","",IF(COUNTIF($N$8:$N413,$N413)=1,MAX($AB$7:$AB412)+1,""))</f>
        <v/>
      </c>
    </row>
    <row r="414" customFormat="false" ht="15" hidden="false" customHeight="false" outlineLevel="0" collapsed="false">
      <c r="B414" s="32" t="s">
        <v>1047</v>
      </c>
      <c r="C414" s="32" t="s">
        <v>191</v>
      </c>
      <c r="D414" s="35" t="n">
        <v>3990</v>
      </c>
      <c r="E414" s="32" t="s">
        <v>145</v>
      </c>
      <c r="F414" s="36" t="n">
        <v>46265</v>
      </c>
      <c r="G414" s="32" t="s">
        <v>1048</v>
      </c>
      <c r="L414" s="37" t="str">
        <f aca="false">IF(INDEX($A414:$J414,$L$6)&lt;&gt;"",TRIM(LEFT(INDEX($A414:$J414,$L$6),FIND("(",INDEX($A414:$J414,$L$6)&amp;"(")-1)),L413)</f>
        <v>Closed Won</v>
      </c>
      <c r="M414" s="37" t="str">
        <f aca="false">IF(INDEX($A414:$J414,$M$6)="","",INDEX($A414:$J414,$M$6)&amp;"")</f>
        <v>CBA - LES - August 2026</v>
      </c>
      <c r="N414" s="37" t="str">
        <f aca="false">IF($M414="","",TRIM(INDEX($A414:$J414,$N$6)&amp;""))</f>
        <v>Commonwealth Bank Australia (CBA)</v>
      </c>
      <c r="O414" s="37" t="str">
        <f aca="false">IF($M414="","",TRIM(INDEX($A414:$J414,$O$6)&amp;""))</f>
        <v>Event Production</v>
      </c>
      <c r="P414" s="37" t="str">
        <f aca="false">IF($M414="","",IFERROR(IF(INDEX(Settings!$B$41:$B$50,MATCH(O414,Settings!$A$41:$A$50,0))&amp;""="","UNMAPPED",INDEX(Settings!$B$41:$B$50,MATCH(O414,Settings!$A$41:$A$50,0))&amp;""),"UNMAPPED"))</f>
        <v>Production</v>
      </c>
      <c r="Q414" s="38" t="n">
        <f aca="false">IF($M414="",0,N(INDEX($A414:$J414,$Q$6)))</f>
        <v>3990</v>
      </c>
      <c r="R414" s="39" t="n">
        <f aca="false">IF($M414="","",INDEX($A414:$J414,$R$6))</f>
        <v>46265</v>
      </c>
      <c r="S414" s="37" t="str">
        <f aca="false">IF($M414="","",IFERROR(INDEX(Settings!$B$27:$B$36,MATCH(L414,Settings!$A$27:$A$36,0))&amp;"","UNMAPPED"))</f>
        <v>Won</v>
      </c>
      <c r="T414" s="37" t="str">
        <f aca="false">IF($M414="","",IF(NOT(ISNUMBER(R414)),"NO DATE",IF(S414="Won",IF(R414&gt;Settings!$B$5,"Backlog","Delivered"),IF(S414="Open",IF(R414&gt;Settings!$B$5,"Pipeline","Overdue"),IF(S414="Lost","Lost","UNMAPPED")))))</f>
        <v>Delivered</v>
      </c>
      <c r="U414" s="40" t="n">
        <f aca="false">IF(T414="Backlog",1,IF(OR(T414="Pipeline",T414="Overdue"),N(INDEX(Settings!$C$27:$C$36,MATCH(L414,Settings!$A$27:$A$36,0))),0))</f>
        <v>0</v>
      </c>
      <c r="V414" s="38" t="n">
        <f aca="false">Q414*U414</f>
        <v>0</v>
      </c>
      <c r="W414" s="41" t="n">
        <f aca="false">IF($M414="","",IF(T414="Overdue",IF(Settings!$B$8="Yes",Settings!$B$7,""),IF(ISNUMBER(R414),DATE(YEAR(R414),MONTH(R414),1),"")))</f>
        <v>46235</v>
      </c>
      <c r="X414" s="38" t="n">
        <f aca="false">IF(AND(OR(T414="Backlog",T414="Pipeline",T414="Overdue"),ISNUMBER(W414)),IF(W414&lt;=Settings!$B$6,V414,0),0)</f>
        <v>0</v>
      </c>
      <c r="Y414" s="38" t="n">
        <f aca="false">IF(AND(OR(T414="Backlog",T414="Pipeline",T414="Overdue"),ISNUMBER(W414)),IF(W414&lt;=Settings!$B$6,Q414,0),0)</f>
        <v>0</v>
      </c>
      <c r="Z414" s="38" t="n">
        <f aca="false">IF(Y414=0,0,IF(T414="Backlog",Q414,Q414*Dashboard!$C$10))</f>
        <v>0</v>
      </c>
      <c r="AA414" s="37" t="n">
        <f aca="false">IF($N414="",0,IF(COUNTIF(Dashboard!$C$13:$C$22,$N414)&gt;0,1,0))</f>
        <v>0</v>
      </c>
      <c r="AB414" s="37" t="str">
        <f aca="false">IF($N414="","",IF(COUNTIF($N$8:$N414,$N414)=1,MAX($AB$7:$AB413)+1,""))</f>
        <v/>
      </c>
    </row>
    <row r="415" customFormat="false" ht="15" hidden="false" customHeight="false" outlineLevel="0" collapsed="false">
      <c r="B415" s="32" t="s">
        <v>1049</v>
      </c>
      <c r="C415" s="32" t="s">
        <v>236</v>
      </c>
      <c r="D415" s="35" t="n">
        <v>3188</v>
      </c>
      <c r="E415" s="32" t="s">
        <v>180</v>
      </c>
      <c r="F415" s="36" t="n">
        <v>45978</v>
      </c>
      <c r="G415" s="32" t="s">
        <v>1050</v>
      </c>
      <c r="L415" s="37" t="str">
        <f aca="false">IF(INDEX($A415:$J415,$L$6)&lt;&gt;"",TRIM(LEFT(INDEX($A415:$J415,$L$6),FIND("(",INDEX($A415:$J415,$L$6)&amp;"(")-1)),L414)</f>
        <v>Closed Won</v>
      </c>
      <c r="M415" s="37" t="str">
        <f aca="false">IF(INDEX($A415:$J415,$M$6)="","",INDEX($A415:$J415,$M$6)&amp;"")</f>
        <v>TWG - Sydney Technician - 17/11/2025 - 21/11/2025</v>
      </c>
      <c r="N415" s="37" t="str">
        <f aca="false">IF($M415="","",TRIM(INDEX($A415:$J415,$N$6)&amp;""))</f>
        <v>EY</v>
      </c>
      <c r="O415" s="37" t="str">
        <f aca="false">IF($M415="","",TRIM(INDEX($A415:$J415,$O$6)&amp;""))</f>
        <v>Support</v>
      </c>
      <c r="P415" s="37" t="str">
        <f aca="false">IF($M415="","",IFERROR(IF(INDEX(Settings!$B$41:$B$50,MATCH(O415,Settings!$A$41:$A$50,0))&amp;""="","UNMAPPED",INDEX(Settings!$B$41:$B$50,MATCH(O415,Settings!$A$41:$A$50,0))&amp;""),"UNMAPPED"))</f>
        <v>Onsite</v>
      </c>
      <c r="Q415" s="38" t="n">
        <f aca="false">IF($M415="",0,N(INDEX($A415:$J415,$Q$6)))</f>
        <v>3188</v>
      </c>
      <c r="R415" s="39" t="n">
        <f aca="false">IF($M415="","",INDEX($A415:$J415,$R$6))</f>
        <v>45978</v>
      </c>
      <c r="S415" s="37" t="str">
        <f aca="false">IF($M415="","",IFERROR(INDEX(Settings!$B$27:$B$36,MATCH(L415,Settings!$A$27:$A$36,0))&amp;"","UNMAPPED"))</f>
        <v>Won</v>
      </c>
      <c r="T415" s="37" t="str">
        <f aca="false">IF($M415="","",IF(NOT(ISNUMBER(R415)),"NO DATE",IF(S415="Won",IF(R415&gt;Settings!$B$5,"Backlog","Delivered"),IF(S415="Open",IF(R415&gt;Settings!$B$5,"Pipeline","Overdue"),IF(S415="Lost","Lost","UNMAPPED")))))</f>
        <v>Delivered</v>
      </c>
      <c r="U415" s="40" t="n">
        <f aca="false">IF(T415="Backlog",1,IF(OR(T415="Pipeline",T415="Overdue"),N(INDEX(Settings!$C$27:$C$36,MATCH(L415,Settings!$A$27:$A$36,0))),0))</f>
        <v>0</v>
      </c>
      <c r="V415" s="38" t="n">
        <f aca="false">Q415*U415</f>
        <v>0</v>
      </c>
      <c r="W415" s="41" t="n">
        <f aca="false">IF($M415="","",IF(T415="Overdue",IF(Settings!$B$8="Yes",Settings!$B$7,""),IF(ISNUMBER(R415),DATE(YEAR(R415),MONTH(R415),1),"")))</f>
        <v>45962</v>
      </c>
      <c r="X415" s="38" t="n">
        <f aca="false">IF(AND(OR(T415="Backlog",T415="Pipeline",T415="Overdue"),ISNUMBER(W415)),IF(W415&lt;=Settings!$B$6,V415,0),0)</f>
        <v>0</v>
      </c>
      <c r="Y415" s="38" t="n">
        <f aca="false">IF(AND(OR(T415="Backlog",T415="Pipeline",T415="Overdue"),ISNUMBER(W415)),IF(W415&lt;=Settings!$B$6,Q415,0),0)</f>
        <v>0</v>
      </c>
      <c r="Z415" s="38" t="n">
        <f aca="false">IF(Y415=0,0,IF(T415="Backlog",Q415,Q415*Dashboard!$C$10))</f>
        <v>0</v>
      </c>
      <c r="AA415" s="37" t="n">
        <f aca="false">IF($N415="",0,IF(COUNTIF(Dashboard!$C$13:$C$22,$N415)&gt;0,1,0))</f>
        <v>0</v>
      </c>
      <c r="AB415" s="37" t="str">
        <f aca="false">IF($N415="","",IF(COUNTIF($N$8:$N415,$N415)=1,MAX($AB$7:$AB414)+1,""))</f>
        <v/>
      </c>
    </row>
    <row r="416" customFormat="false" ht="15" hidden="false" customHeight="false" outlineLevel="0" collapsed="false">
      <c r="B416" s="32" t="s">
        <v>1051</v>
      </c>
      <c r="C416" s="32" t="s">
        <v>236</v>
      </c>
      <c r="D416" s="35" t="n">
        <v>638</v>
      </c>
      <c r="E416" s="32" t="s">
        <v>180</v>
      </c>
      <c r="F416" s="36" t="n">
        <v>45897</v>
      </c>
      <c r="G416" s="32" t="s">
        <v>1052</v>
      </c>
      <c r="L416" s="37" t="str">
        <f aca="false">IF(INDEX($A416:$J416,$L$6)&lt;&gt;"",TRIM(LEFT(INDEX($A416:$J416,$L$6),FIND("(",INDEX($A416:$J416,$L$6)&amp;"(")-1)),L415)</f>
        <v>Closed Won</v>
      </c>
      <c r="M416" s="37" t="str">
        <f aca="false">IF(INDEX($A416:$J416,$M$6)="","",INDEX($A416:$J416,$M$6)&amp;"")</f>
        <v>TWG - Sydney Technician - 28th of August 2025</v>
      </c>
      <c r="N416" s="37" t="str">
        <f aca="false">IF($M416="","",TRIM(INDEX($A416:$J416,$N$6)&amp;""))</f>
        <v>EY</v>
      </c>
      <c r="O416" s="37" t="str">
        <f aca="false">IF($M416="","",TRIM(INDEX($A416:$J416,$O$6)&amp;""))</f>
        <v>Support</v>
      </c>
      <c r="P416" s="37" t="str">
        <f aca="false">IF($M416="","",IFERROR(IF(INDEX(Settings!$B$41:$B$50,MATCH(O416,Settings!$A$41:$A$50,0))&amp;""="","UNMAPPED",INDEX(Settings!$B$41:$B$50,MATCH(O416,Settings!$A$41:$A$50,0))&amp;""),"UNMAPPED"))</f>
        <v>Onsite</v>
      </c>
      <c r="Q416" s="38" t="n">
        <f aca="false">IF($M416="",0,N(INDEX($A416:$J416,$Q$6)))</f>
        <v>638</v>
      </c>
      <c r="R416" s="39" t="n">
        <f aca="false">IF($M416="","",INDEX($A416:$J416,$R$6))</f>
        <v>45897</v>
      </c>
      <c r="S416" s="37" t="str">
        <f aca="false">IF($M416="","",IFERROR(INDEX(Settings!$B$27:$B$36,MATCH(L416,Settings!$A$27:$A$36,0))&amp;"","UNMAPPED"))</f>
        <v>Won</v>
      </c>
      <c r="T416" s="37" t="str">
        <f aca="false">IF($M416="","",IF(NOT(ISNUMBER(R416)),"NO DATE",IF(S416="Won",IF(R416&gt;Settings!$B$5,"Backlog","Delivered"),IF(S416="Open",IF(R416&gt;Settings!$B$5,"Pipeline","Overdue"),IF(S416="Lost","Lost","UNMAPPED")))))</f>
        <v>Delivered</v>
      </c>
      <c r="U416" s="40" t="n">
        <f aca="false">IF(T416="Backlog",1,IF(OR(T416="Pipeline",T416="Overdue"),N(INDEX(Settings!$C$27:$C$36,MATCH(L416,Settings!$A$27:$A$36,0))),0))</f>
        <v>0</v>
      </c>
      <c r="V416" s="38" t="n">
        <f aca="false">Q416*U416</f>
        <v>0</v>
      </c>
      <c r="W416" s="41" t="n">
        <f aca="false">IF($M416="","",IF(T416="Overdue",IF(Settings!$B$8="Yes",Settings!$B$7,""),IF(ISNUMBER(R416),DATE(YEAR(R416),MONTH(R416),1),"")))</f>
        <v>45870</v>
      </c>
      <c r="X416" s="38" t="n">
        <f aca="false">IF(AND(OR(T416="Backlog",T416="Pipeline",T416="Overdue"),ISNUMBER(W416)),IF(W416&lt;=Settings!$B$6,V416,0),0)</f>
        <v>0</v>
      </c>
      <c r="Y416" s="38" t="n">
        <f aca="false">IF(AND(OR(T416="Backlog",T416="Pipeline",T416="Overdue"),ISNUMBER(W416)),IF(W416&lt;=Settings!$B$6,Q416,0),0)</f>
        <v>0</v>
      </c>
      <c r="Z416" s="38" t="n">
        <f aca="false">IF(Y416=0,0,IF(T416="Backlog",Q416,Q416*Dashboard!$C$10))</f>
        <v>0</v>
      </c>
      <c r="AA416" s="37" t="n">
        <f aca="false">IF($N416="",0,IF(COUNTIF(Dashboard!$C$13:$C$22,$N416)&gt;0,1,0))</f>
        <v>0</v>
      </c>
      <c r="AB416" s="37" t="str">
        <f aca="false">IF($N416="","",IF(COUNTIF($N$8:$N416,$N416)=1,MAX($AB$7:$AB415)+1,""))</f>
        <v/>
      </c>
    </row>
    <row r="417" customFormat="false" ht="15" hidden="false" customHeight="false" outlineLevel="0" collapsed="false">
      <c r="B417" s="32" t="s">
        <v>1053</v>
      </c>
      <c r="C417" s="32" t="s">
        <v>205</v>
      </c>
      <c r="D417" s="35" t="n">
        <v>850</v>
      </c>
      <c r="E417" s="32" t="s">
        <v>262</v>
      </c>
      <c r="F417" s="36" t="n">
        <v>45987</v>
      </c>
      <c r="G417" s="32" t="s">
        <v>1054</v>
      </c>
      <c r="L417" s="37" t="str">
        <f aca="false">IF(INDEX($A417:$J417,$L$6)&lt;&gt;"",TRIM(LEFT(INDEX($A417:$J417,$L$6),FIND("(",INDEX($A417:$J417,$L$6)&amp;"(")-1)),L416)</f>
        <v>Closed Won</v>
      </c>
      <c r="M417" s="37" t="str">
        <f aca="false">IF(INDEX($A417:$J417,$M$6)="","",INDEX($A417:$J417,$M$6)&amp;"")</f>
        <v>Deloitte Tech Support - Market Shapers - 26th of November 25</v>
      </c>
      <c r="N417" s="37" t="str">
        <f aca="false">IF($M417="","",TRIM(INDEX($A417:$J417,$N$6)&amp;""))</f>
        <v>Deloitte - Sydney</v>
      </c>
      <c r="O417" s="37" t="str">
        <f aca="false">IF($M417="","",TRIM(INDEX($A417:$J417,$O$6)&amp;""))</f>
        <v>Multi-Service</v>
      </c>
      <c r="P417" s="37" t="str">
        <f aca="false">IF($M417="","",IFERROR(IF(INDEX(Settings!$B$41:$B$50,MATCH(O417,Settings!$A$41:$A$50,0))&amp;""="","UNMAPPED",INDEX(Settings!$B$41:$B$50,MATCH(O417,Settings!$A$41:$A$50,0))&amp;""),"UNMAPPED"))</f>
        <v>Unallocated</v>
      </c>
      <c r="Q417" s="38" t="n">
        <f aca="false">IF($M417="",0,N(INDEX($A417:$J417,$Q$6)))</f>
        <v>850</v>
      </c>
      <c r="R417" s="39" t="n">
        <f aca="false">IF($M417="","",INDEX($A417:$J417,$R$6))</f>
        <v>45987</v>
      </c>
      <c r="S417" s="37" t="str">
        <f aca="false">IF($M417="","",IFERROR(INDEX(Settings!$B$27:$B$36,MATCH(L417,Settings!$A$27:$A$36,0))&amp;"","UNMAPPED"))</f>
        <v>Won</v>
      </c>
      <c r="T417" s="37" t="str">
        <f aca="false">IF($M417="","",IF(NOT(ISNUMBER(R417)),"NO DATE",IF(S417="Won",IF(R417&gt;Settings!$B$5,"Backlog","Delivered"),IF(S417="Open",IF(R417&gt;Settings!$B$5,"Pipeline","Overdue"),IF(S417="Lost","Lost","UNMAPPED")))))</f>
        <v>Delivered</v>
      </c>
      <c r="U417" s="40" t="n">
        <f aca="false">IF(T417="Backlog",1,IF(OR(T417="Pipeline",T417="Overdue"),N(INDEX(Settings!$C$27:$C$36,MATCH(L417,Settings!$A$27:$A$36,0))),0))</f>
        <v>0</v>
      </c>
      <c r="V417" s="38" t="n">
        <f aca="false">Q417*U417</f>
        <v>0</v>
      </c>
      <c r="W417" s="41" t="n">
        <f aca="false">IF($M417="","",IF(T417="Overdue",IF(Settings!$B$8="Yes",Settings!$B$7,""),IF(ISNUMBER(R417),DATE(YEAR(R417),MONTH(R417),1),"")))</f>
        <v>45962</v>
      </c>
      <c r="X417" s="38" t="n">
        <f aca="false">IF(AND(OR(T417="Backlog",T417="Pipeline",T417="Overdue"),ISNUMBER(W417)),IF(W417&lt;=Settings!$B$6,V417,0),0)</f>
        <v>0</v>
      </c>
      <c r="Y417" s="38" t="n">
        <f aca="false">IF(AND(OR(T417="Backlog",T417="Pipeline",T417="Overdue"),ISNUMBER(W417)),IF(W417&lt;=Settings!$B$6,Q417,0),0)</f>
        <v>0</v>
      </c>
      <c r="Z417" s="38" t="n">
        <f aca="false">IF(Y417=0,0,IF(T417="Backlog",Q417,Q417*Dashboard!$C$10))</f>
        <v>0</v>
      </c>
      <c r="AA417" s="37" t="n">
        <f aca="false">IF($N417="",0,IF(COUNTIF(Dashboard!$C$13:$C$22,$N417)&gt;0,1,0))</f>
        <v>0</v>
      </c>
      <c r="AB417" s="37" t="str">
        <f aca="false">IF($N417="","",IF(COUNTIF($N$8:$N417,$N417)=1,MAX($AB$7:$AB416)+1,""))</f>
        <v/>
      </c>
    </row>
    <row r="418" customFormat="false" ht="15" hidden="false" customHeight="false" outlineLevel="0" collapsed="false">
      <c r="B418" s="32" t="s">
        <v>1055</v>
      </c>
      <c r="C418" s="32" t="s">
        <v>247</v>
      </c>
      <c r="D418" s="35" t="n">
        <v>7990</v>
      </c>
      <c r="E418" s="32" t="s">
        <v>145</v>
      </c>
      <c r="F418" s="36" t="n">
        <v>46064</v>
      </c>
      <c r="G418" s="32" t="s">
        <v>1056</v>
      </c>
      <c r="L418" s="37" t="str">
        <f aca="false">IF(INDEX($A418:$J418,$L$6)&lt;&gt;"",TRIM(LEFT(INDEX($A418:$J418,$L$6),FIND("(",INDEX($A418:$J418,$L$6)&amp;"(")-1)),L417)</f>
        <v>Closed Won</v>
      </c>
      <c r="M418" s="37" t="str">
        <f aca="false">IF(INDEX($A418:$J418,$M$6)="","",INDEX($A418:$J418,$M$6)&amp;"")</f>
        <v>HYR Employee Town Hall 2026</v>
      </c>
      <c r="N418" s="37" t="str">
        <f aca="false">IF($M418="","",TRIM(INDEX($A418:$J418,$N$6)&amp;""))</f>
        <v>AGL</v>
      </c>
      <c r="O418" s="37" t="str">
        <f aca="false">IF($M418="","",TRIM(INDEX($A418:$J418,$O$6)&amp;""))</f>
        <v>Event Production</v>
      </c>
      <c r="P418" s="37" t="str">
        <f aca="false">IF($M418="","",IFERROR(IF(INDEX(Settings!$B$41:$B$50,MATCH(O418,Settings!$A$41:$A$50,0))&amp;""="","UNMAPPED",INDEX(Settings!$B$41:$B$50,MATCH(O418,Settings!$A$41:$A$50,0))&amp;""),"UNMAPPED"))</f>
        <v>Production</v>
      </c>
      <c r="Q418" s="38" t="n">
        <f aca="false">IF($M418="",0,N(INDEX($A418:$J418,$Q$6)))</f>
        <v>7990</v>
      </c>
      <c r="R418" s="39" t="n">
        <f aca="false">IF($M418="","",INDEX($A418:$J418,$R$6))</f>
        <v>46064</v>
      </c>
      <c r="S418" s="37" t="str">
        <f aca="false">IF($M418="","",IFERROR(INDEX(Settings!$B$27:$B$36,MATCH(L418,Settings!$A$27:$A$36,0))&amp;"","UNMAPPED"))</f>
        <v>Won</v>
      </c>
      <c r="T418" s="37" t="str">
        <f aca="false">IF($M418="","",IF(NOT(ISNUMBER(R418)),"NO DATE",IF(S418="Won",IF(R418&gt;Settings!$B$5,"Backlog","Delivered"),IF(S418="Open",IF(R418&gt;Settings!$B$5,"Pipeline","Overdue"),IF(S418="Lost","Lost","UNMAPPED")))))</f>
        <v>Delivered</v>
      </c>
      <c r="U418" s="40" t="n">
        <f aca="false">IF(T418="Backlog",1,IF(OR(T418="Pipeline",T418="Overdue"),N(INDEX(Settings!$C$27:$C$36,MATCH(L418,Settings!$A$27:$A$36,0))),0))</f>
        <v>0</v>
      </c>
      <c r="V418" s="38" t="n">
        <f aca="false">Q418*U418</f>
        <v>0</v>
      </c>
      <c r="W418" s="41" t="n">
        <f aca="false">IF($M418="","",IF(T418="Overdue",IF(Settings!$B$8="Yes",Settings!$B$7,""),IF(ISNUMBER(R418),DATE(YEAR(R418),MONTH(R418),1),"")))</f>
        <v>46054</v>
      </c>
      <c r="X418" s="38" t="n">
        <f aca="false">IF(AND(OR(T418="Backlog",T418="Pipeline",T418="Overdue"),ISNUMBER(W418)),IF(W418&lt;=Settings!$B$6,V418,0),0)</f>
        <v>0</v>
      </c>
      <c r="Y418" s="38" t="n">
        <f aca="false">IF(AND(OR(T418="Backlog",T418="Pipeline",T418="Overdue"),ISNUMBER(W418)),IF(W418&lt;=Settings!$B$6,Q418,0),0)</f>
        <v>0</v>
      </c>
      <c r="Z418" s="38" t="n">
        <f aca="false">IF(Y418=0,0,IF(T418="Backlog",Q418,Q418*Dashboard!$C$10))</f>
        <v>0</v>
      </c>
      <c r="AA418" s="37" t="n">
        <f aca="false">IF($N418="",0,IF(COUNTIF(Dashboard!$C$13:$C$22,$N418)&gt;0,1,0))</f>
        <v>0</v>
      </c>
      <c r="AB418" s="37" t="str">
        <f aca="false">IF($N418="","",IF(COUNTIF($N$8:$N418,$N418)=1,MAX($AB$7:$AB417)+1,""))</f>
        <v/>
      </c>
    </row>
    <row r="419" customFormat="false" ht="15" hidden="false" customHeight="false" outlineLevel="0" collapsed="false">
      <c r="B419" s="32" t="s">
        <v>1057</v>
      </c>
      <c r="C419" s="32" t="s">
        <v>253</v>
      </c>
      <c r="D419" s="35" t="n">
        <v>1279</v>
      </c>
      <c r="E419" s="32" t="s">
        <v>145</v>
      </c>
      <c r="F419" s="36" t="n">
        <v>45966</v>
      </c>
      <c r="G419" s="32" t="s">
        <v>1058</v>
      </c>
      <c r="L419" s="37" t="str">
        <f aca="false">IF(INDEX($A419:$J419,$L$6)&lt;&gt;"",TRIM(LEFT(INDEX($A419:$J419,$L$6),FIND("(",INDEX($A419:$J419,$L$6)&amp;"(")-1)),L418)</f>
        <v>Closed Won</v>
      </c>
      <c r="M419" s="37" t="str">
        <f aca="false">IF(INDEX($A419:$J419,$M$6)="","",INDEX($A419:$J419,$M$6)&amp;"")</f>
        <v>CHESS Replace Comm 5.11.25</v>
      </c>
      <c r="N419" s="37" t="str">
        <f aca="false">IF($M419="","",TRIM(INDEX($A419:$J419,$N$6)&amp;""))</f>
        <v>ASX Australian Securities Exchange</v>
      </c>
      <c r="O419" s="37" t="str">
        <f aca="false">IF($M419="","",TRIM(INDEX($A419:$J419,$O$6)&amp;""))</f>
        <v>Event Production</v>
      </c>
      <c r="P419" s="37" t="str">
        <f aca="false">IF($M419="","",IFERROR(IF(INDEX(Settings!$B$41:$B$50,MATCH(O419,Settings!$A$41:$A$50,0))&amp;""="","UNMAPPED",INDEX(Settings!$B$41:$B$50,MATCH(O419,Settings!$A$41:$A$50,0))&amp;""),"UNMAPPED"))</f>
        <v>Production</v>
      </c>
      <c r="Q419" s="38" t="n">
        <f aca="false">IF($M419="",0,N(INDEX($A419:$J419,$Q$6)))</f>
        <v>1279</v>
      </c>
      <c r="R419" s="39" t="n">
        <f aca="false">IF($M419="","",INDEX($A419:$J419,$R$6))</f>
        <v>45966</v>
      </c>
      <c r="S419" s="37" t="str">
        <f aca="false">IF($M419="","",IFERROR(INDEX(Settings!$B$27:$B$36,MATCH(L419,Settings!$A$27:$A$36,0))&amp;"","UNMAPPED"))</f>
        <v>Won</v>
      </c>
      <c r="T419" s="37" t="str">
        <f aca="false">IF($M419="","",IF(NOT(ISNUMBER(R419)),"NO DATE",IF(S419="Won",IF(R419&gt;Settings!$B$5,"Backlog","Delivered"),IF(S419="Open",IF(R419&gt;Settings!$B$5,"Pipeline","Overdue"),IF(S419="Lost","Lost","UNMAPPED")))))</f>
        <v>Delivered</v>
      </c>
      <c r="U419" s="40" t="n">
        <f aca="false">IF(T419="Backlog",1,IF(OR(T419="Pipeline",T419="Overdue"),N(INDEX(Settings!$C$27:$C$36,MATCH(L419,Settings!$A$27:$A$36,0))),0))</f>
        <v>0</v>
      </c>
      <c r="V419" s="38" t="n">
        <f aca="false">Q419*U419</f>
        <v>0</v>
      </c>
      <c r="W419" s="41" t="n">
        <f aca="false">IF($M419="","",IF(T419="Overdue",IF(Settings!$B$8="Yes",Settings!$B$7,""),IF(ISNUMBER(R419),DATE(YEAR(R419),MONTH(R419),1),"")))</f>
        <v>45962</v>
      </c>
      <c r="X419" s="38" t="n">
        <f aca="false">IF(AND(OR(T419="Backlog",T419="Pipeline",T419="Overdue"),ISNUMBER(W419)),IF(W419&lt;=Settings!$B$6,V419,0),0)</f>
        <v>0</v>
      </c>
      <c r="Y419" s="38" t="n">
        <f aca="false">IF(AND(OR(T419="Backlog",T419="Pipeline",T419="Overdue"),ISNUMBER(W419)),IF(W419&lt;=Settings!$B$6,Q419,0),0)</f>
        <v>0</v>
      </c>
      <c r="Z419" s="38" t="n">
        <f aca="false">IF(Y419=0,0,IF(T419="Backlog",Q419,Q419*Dashboard!$C$10))</f>
        <v>0</v>
      </c>
      <c r="AA419" s="37" t="n">
        <f aca="false">IF($N419="",0,IF(COUNTIF(Dashboard!$C$13:$C$22,$N419)&gt;0,1,0))</f>
        <v>0</v>
      </c>
      <c r="AB419" s="37" t="str">
        <f aca="false">IF($N419="","",IF(COUNTIF($N$8:$N419,$N419)=1,MAX($AB$7:$AB418)+1,""))</f>
        <v/>
      </c>
    </row>
    <row r="420" customFormat="false" ht="15" hidden="false" customHeight="false" outlineLevel="0" collapsed="false">
      <c r="B420" s="32" t="s">
        <v>1059</v>
      </c>
      <c r="C420" s="32" t="s">
        <v>194</v>
      </c>
      <c r="D420" s="35" t="n">
        <v>8561</v>
      </c>
      <c r="E420" s="32" t="s">
        <v>145</v>
      </c>
      <c r="F420" s="36" t="n">
        <v>45883</v>
      </c>
      <c r="G420" s="32" t="s">
        <v>1060</v>
      </c>
      <c r="L420" s="37" t="str">
        <f aca="false">IF(INDEX($A420:$J420,$L$6)&lt;&gt;"",TRIM(LEFT(INDEX($A420:$J420,$L$6),FIND("(",INDEX($A420:$J420,$L$6)&amp;"(")-1)),L419)</f>
        <v>Closed Won</v>
      </c>
      <c r="M420" s="37" t="str">
        <f aca="false">IF(INDEX($A420:$J420,$M$6)="","",INDEX($A420:$J420,$M$6)&amp;"")</f>
        <v>Ventia CEO Results Town Hall 14.8.25</v>
      </c>
      <c r="N420" s="37" t="str">
        <f aca="false">IF($M420="","",TRIM(INDEX($A420:$J420,$N$6)&amp;""))</f>
        <v>Ventia</v>
      </c>
      <c r="O420" s="37" t="str">
        <f aca="false">IF($M420="","",TRIM(INDEX($A420:$J420,$O$6)&amp;""))</f>
        <v>Event Production</v>
      </c>
      <c r="P420" s="37" t="str">
        <f aca="false">IF($M420="","",IFERROR(IF(INDEX(Settings!$B$41:$B$50,MATCH(O420,Settings!$A$41:$A$50,0))&amp;""="","UNMAPPED",INDEX(Settings!$B$41:$B$50,MATCH(O420,Settings!$A$41:$A$50,0))&amp;""),"UNMAPPED"))</f>
        <v>Production</v>
      </c>
      <c r="Q420" s="38" t="n">
        <f aca="false">IF($M420="",0,N(INDEX($A420:$J420,$Q$6)))</f>
        <v>8561</v>
      </c>
      <c r="R420" s="39" t="n">
        <f aca="false">IF($M420="","",INDEX($A420:$J420,$R$6))</f>
        <v>45883</v>
      </c>
      <c r="S420" s="37" t="str">
        <f aca="false">IF($M420="","",IFERROR(INDEX(Settings!$B$27:$B$36,MATCH(L420,Settings!$A$27:$A$36,0))&amp;"","UNMAPPED"))</f>
        <v>Won</v>
      </c>
      <c r="T420" s="37" t="str">
        <f aca="false">IF($M420="","",IF(NOT(ISNUMBER(R420)),"NO DATE",IF(S420="Won",IF(R420&gt;Settings!$B$5,"Backlog","Delivered"),IF(S420="Open",IF(R420&gt;Settings!$B$5,"Pipeline","Overdue"),IF(S420="Lost","Lost","UNMAPPED")))))</f>
        <v>Delivered</v>
      </c>
      <c r="U420" s="40" t="n">
        <f aca="false">IF(T420="Backlog",1,IF(OR(T420="Pipeline",T420="Overdue"),N(INDEX(Settings!$C$27:$C$36,MATCH(L420,Settings!$A$27:$A$36,0))),0))</f>
        <v>0</v>
      </c>
      <c r="V420" s="38" t="n">
        <f aca="false">Q420*U420</f>
        <v>0</v>
      </c>
      <c r="W420" s="41" t="n">
        <f aca="false">IF($M420="","",IF(T420="Overdue",IF(Settings!$B$8="Yes",Settings!$B$7,""),IF(ISNUMBER(R420),DATE(YEAR(R420),MONTH(R420),1),"")))</f>
        <v>45870</v>
      </c>
      <c r="X420" s="38" t="n">
        <f aca="false">IF(AND(OR(T420="Backlog",T420="Pipeline",T420="Overdue"),ISNUMBER(W420)),IF(W420&lt;=Settings!$B$6,V420,0),0)</f>
        <v>0</v>
      </c>
      <c r="Y420" s="38" t="n">
        <f aca="false">IF(AND(OR(T420="Backlog",T420="Pipeline",T420="Overdue"),ISNUMBER(W420)),IF(W420&lt;=Settings!$B$6,Q420,0),0)</f>
        <v>0</v>
      </c>
      <c r="Z420" s="38" t="n">
        <f aca="false">IF(Y420=0,0,IF(T420="Backlog",Q420,Q420*Dashboard!$C$10))</f>
        <v>0</v>
      </c>
      <c r="AA420" s="37" t="n">
        <f aca="false">IF($N420="",0,IF(COUNTIF(Dashboard!$C$13:$C$22,$N420)&gt;0,1,0))</f>
        <v>0</v>
      </c>
      <c r="AB420" s="37" t="str">
        <f aca="false">IF($N420="","",IF(COUNTIF($N$8:$N420,$N420)=1,MAX($AB$7:$AB419)+1,""))</f>
        <v/>
      </c>
    </row>
    <row r="421" customFormat="false" ht="15" hidden="false" customHeight="false" outlineLevel="0" collapsed="false">
      <c r="B421" s="32" t="s">
        <v>1061</v>
      </c>
      <c r="C421" s="32" t="s">
        <v>817</v>
      </c>
      <c r="D421" s="35" t="n">
        <v>745</v>
      </c>
      <c r="E421" s="32" t="s">
        <v>145</v>
      </c>
      <c r="F421" s="36" t="n">
        <v>46212</v>
      </c>
      <c r="G421" s="32" t="s">
        <v>1062</v>
      </c>
      <c r="L421" s="37" t="str">
        <f aca="false">IF(INDEX($A421:$J421,$L$6)&lt;&gt;"",TRIM(LEFT(INDEX($A421:$J421,$L$6),FIND("(",INDEX($A421:$J421,$L$6)&amp;"(")-1)),L420)</f>
        <v>Closed Won</v>
      </c>
      <c r="M421" s="37" t="str">
        <f aca="false">IF(INDEX($A421:$J421,$M$6)="","",INDEX($A421:$J421,$M$6)&amp;"")</f>
        <v>Optiver - Town Hall - 23.7.26</v>
      </c>
      <c r="N421" s="37" t="str">
        <f aca="false">IF($M421="","",TRIM(INDEX($A421:$J421,$N$6)&amp;""))</f>
        <v>Optiver</v>
      </c>
      <c r="O421" s="37" t="str">
        <f aca="false">IF($M421="","",TRIM(INDEX($A421:$J421,$O$6)&amp;""))</f>
        <v>Event Production</v>
      </c>
      <c r="P421" s="37" t="str">
        <f aca="false">IF($M421="","",IFERROR(IF(INDEX(Settings!$B$41:$B$50,MATCH(O421,Settings!$A$41:$A$50,0))&amp;""="","UNMAPPED",INDEX(Settings!$B$41:$B$50,MATCH(O421,Settings!$A$41:$A$50,0))&amp;""),"UNMAPPED"))</f>
        <v>Production</v>
      </c>
      <c r="Q421" s="38" t="n">
        <f aca="false">IF($M421="",0,N(INDEX($A421:$J421,$Q$6)))</f>
        <v>745</v>
      </c>
      <c r="R421" s="39" t="n">
        <f aca="false">IF($M421="","",INDEX($A421:$J421,$R$6))</f>
        <v>46212</v>
      </c>
      <c r="S421" s="37" t="str">
        <f aca="false">IF($M421="","",IFERROR(INDEX(Settings!$B$27:$B$36,MATCH(L421,Settings!$A$27:$A$36,0))&amp;"","UNMAPPED"))</f>
        <v>Won</v>
      </c>
      <c r="T421" s="37" t="str">
        <f aca="false">IF($M421="","",IF(NOT(ISNUMBER(R421)),"NO DATE",IF(S421="Won",IF(R421&gt;Settings!$B$5,"Backlog","Delivered"),IF(S421="Open",IF(R421&gt;Settings!$B$5,"Pipeline","Overdue"),IF(S421="Lost","Lost","UNMAPPED")))))</f>
        <v>Delivered</v>
      </c>
      <c r="U421" s="40" t="n">
        <f aca="false">IF(T421="Backlog",1,IF(OR(T421="Pipeline",T421="Overdue"),N(INDEX(Settings!$C$27:$C$36,MATCH(L421,Settings!$A$27:$A$36,0))),0))</f>
        <v>0</v>
      </c>
      <c r="V421" s="38" t="n">
        <f aca="false">Q421*U421</f>
        <v>0</v>
      </c>
      <c r="W421" s="41" t="n">
        <f aca="false">IF($M421="","",IF(T421="Overdue",IF(Settings!$B$8="Yes",Settings!$B$7,""),IF(ISNUMBER(R421),DATE(YEAR(R421),MONTH(R421),1),"")))</f>
        <v>46204</v>
      </c>
      <c r="X421" s="38" t="n">
        <f aca="false">IF(AND(OR(T421="Backlog",T421="Pipeline",T421="Overdue"),ISNUMBER(W421)),IF(W421&lt;=Settings!$B$6,V421,0),0)</f>
        <v>0</v>
      </c>
      <c r="Y421" s="38" t="n">
        <f aca="false">IF(AND(OR(T421="Backlog",T421="Pipeline",T421="Overdue"),ISNUMBER(W421)),IF(W421&lt;=Settings!$B$6,Q421,0),0)</f>
        <v>0</v>
      </c>
      <c r="Z421" s="38" t="n">
        <f aca="false">IF(Y421=0,0,IF(T421="Backlog",Q421,Q421*Dashboard!$C$10))</f>
        <v>0</v>
      </c>
      <c r="AA421" s="37" t="n">
        <f aca="false">IF($N421="",0,IF(COUNTIF(Dashboard!$C$13:$C$22,$N421)&gt;0,1,0))</f>
        <v>0</v>
      </c>
      <c r="AB421" s="37" t="str">
        <f aca="false">IF($N421="","",IF(COUNTIF($N$8:$N421,$N421)=1,MAX($AB$7:$AB420)+1,""))</f>
        <v/>
      </c>
    </row>
    <row r="422" customFormat="false" ht="15" hidden="false" customHeight="false" outlineLevel="0" collapsed="false">
      <c r="B422" s="32" t="s">
        <v>1063</v>
      </c>
      <c r="C422" s="32" t="s">
        <v>183</v>
      </c>
      <c r="D422" s="35" t="n">
        <v>17855</v>
      </c>
      <c r="E422" s="32" t="s">
        <v>145</v>
      </c>
      <c r="F422" s="36" t="n">
        <v>45981</v>
      </c>
      <c r="G422" s="32" t="s">
        <v>1064</v>
      </c>
      <c r="L422" s="37" t="str">
        <f aca="false">IF(INDEX($A422:$J422,$L$6)&lt;&gt;"",TRIM(LEFT(INDEX($A422:$J422,$L$6),FIND("(",INDEX($A422:$J422,$L$6)&amp;"(")-1)),L421)</f>
        <v>Closed Won</v>
      </c>
      <c r="M422" s="37" t="str">
        <f aca="false">IF(INDEX($A422:$J422,$M$6)="","",INDEX($A422:$J422,$M$6)&amp;"")</f>
        <v>QUBE Holdings AGM - 20.11.25</v>
      </c>
      <c r="N422" s="37" t="str">
        <f aca="false">IF($M422="","",TRIM(INDEX($A422:$J422,$N$6)&amp;""))</f>
        <v>Chorus Call</v>
      </c>
      <c r="O422" s="37" t="str">
        <f aca="false">IF($M422="","",TRIM(INDEX($A422:$J422,$O$6)&amp;""))</f>
        <v>Event Production</v>
      </c>
      <c r="P422" s="37" t="str">
        <f aca="false">IF($M422="","",IFERROR(IF(INDEX(Settings!$B$41:$B$50,MATCH(O422,Settings!$A$41:$A$50,0))&amp;""="","UNMAPPED",INDEX(Settings!$B$41:$B$50,MATCH(O422,Settings!$A$41:$A$50,0))&amp;""),"UNMAPPED"))</f>
        <v>Production</v>
      </c>
      <c r="Q422" s="38" t="n">
        <f aca="false">IF($M422="",0,N(INDEX($A422:$J422,$Q$6)))</f>
        <v>17855</v>
      </c>
      <c r="R422" s="39" t="n">
        <f aca="false">IF($M422="","",INDEX($A422:$J422,$R$6))</f>
        <v>45981</v>
      </c>
      <c r="S422" s="37" t="str">
        <f aca="false">IF($M422="","",IFERROR(INDEX(Settings!$B$27:$B$36,MATCH(L422,Settings!$A$27:$A$36,0))&amp;"","UNMAPPED"))</f>
        <v>Won</v>
      </c>
      <c r="T422" s="37" t="str">
        <f aca="false">IF($M422="","",IF(NOT(ISNUMBER(R422)),"NO DATE",IF(S422="Won",IF(R422&gt;Settings!$B$5,"Backlog","Delivered"),IF(S422="Open",IF(R422&gt;Settings!$B$5,"Pipeline","Overdue"),IF(S422="Lost","Lost","UNMAPPED")))))</f>
        <v>Delivered</v>
      </c>
      <c r="U422" s="40" t="n">
        <f aca="false">IF(T422="Backlog",1,IF(OR(T422="Pipeline",T422="Overdue"),N(INDEX(Settings!$C$27:$C$36,MATCH(L422,Settings!$A$27:$A$36,0))),0))</f>
        <v>0</v>
      </c>
      <c r="V422" s="38" t="n">
        <f aca="false">Q422*U422</f>
        <v>0</v>
      </c>
      <c r="W422" s="41" t="n">
        <f aca="false">IF($M422="","",IF(T422="Overdue",IF(Settings!$B$8="Yes",Settings!$B$7,""),IF(ISNUMBER(R422),DATE(YEAR(R422),MONTH(R422),1),"")))</f>
        <v>45962</v>
      </c>
      <c r="X422" s="38" t="n">
        <f aca="false">IF(AND(OR(T422="Backlog",T422="Pipeline",T422="Overdue"),ISNUMBER(W422)),IF(W422&lt;=Settings!$B$6,V422,0),0)</f>
        <v>0</v>
      </c>
      <c r="Y422" s="38" t="n">
        <f aca="false">IF(AND(OR(T422="Backlog",T422="Pipeline",T422="Overdue"),ISNUMBER(W422)),IF(W422&lt;=Settings!$B$6,Q422,0),0)</f>
        <v>0</v>
      </c>
      <c r="Z422" s="38" t="n">
        <f aca="false">IF(Y422=0,0,IF(T422="Backlog",Q422,Q422*Dashboard!$C$10))</f>
        <v>0</v>
      </c>
      <c r="AA422" s="37" t="n">
        <f aca="false">IF($N422="",0,IF(COUNTIF(Dashboard!$C$13:$C$22,$N422)&gt;0,1,0))</f>
        <v>0</v>
      </c>
      <c r="AB422" s="37" t="str">
        <f aca="false">IF($N422="","",IF(COUNTIF($N$8:$N422,$N422)=1,MAX($AB$7:$AB421)+1,""))</f>
        <v/>
      </c>
    </row>
    <row r="423" customFormat="false" ht="15" hidden="false" customHeight="false" outlineLevel="0" collapsed="false">
      <c r="B423" s="32" t="s">
        <v>1065</v>
      </c>
      <c r="C423" s="32" t="s">
        <v>281</v>
      </c>
      <c r="D423" s="35" t="n">
        <v>2881</v>
      </c>
      <c r="E423" s="32" t="s">
        <v>145</v>
      </c>
      <c r="F423" s="36" t="n">
        <v>46064</v>
      </c>
      <c r="G423" s="32" t="s">
        <v>1066</v>
      </c>
      <c r="L423" s="37" t="str">
        <f aca="false">IF(INDEX($A423:$J423,$L$6)&lt;&gt;"",TRIM(LEFT(INDEX($A423:$J423,$L$6),FIND("(",INDEX($A423:$J423,$L$6)&amp;"(")-1)),L422)</f>
        <v>Closed Won</v>
      </c>
      <c r="M423" s="37" t="str">
        <f aca="false">IF(INDEX($A423:$J423,$M$6)="","",INDEX($A423:$J423,$M$6)&amp;"")</f>
        <v>Ordinary General Meeting</v>
      </c>
      <c r="N423" s="37" t="str">
        <f aca="false">IF($M423="","",TRIM(INDEX($A423:$J423,$N$6)&amp;""))</f>
        <v>The Royal Society of New South Wales</v>
      </c>
      <c r="O423" s="37" t="str">
        <f aca="false">IF($M423="","",TRIM(INDEX($A423:$J423,$O$6)&amp;""))</f>
        <v>Event Production</v>
      </c>
      <c r="P423" s="37" t="str">
        <f aca="false">IF($M423="","",IFERROR(IF(INDEX(Settings!$B$41:$B$50,MATCH(O423,Settings!$A$41:$A$50,0))&amp;""="","UNMAPPED",INDEX(Settings!$B$41:$B$50,MATCH(O423,Settings!$A$41:$A$50,0))&amp;""),"UNMAPPED"))</f>
        <v>Production</v>
      </c>
      <c r="Q423" s="38" t="n">
        <f aca="false">IF($M423="",0,N(INDEX($A423:$J423,$Q$6)))</f>
        <v>2881</v>
      </c>
      <c r="R423" s="39" t="n">
        <f aca="false">IF($M423="","",INDEX($A423:$J423,$R$6))</f>
        <v>46064</v>
      </c>
      <c r="S423" s="37" t="str">
        <f aca="false">IF($M423="","",IFERROR(INDEX(Settings!$B$27:$B$36,MATCH(L423,Settings!$A$27:$A$36,0))&amp;"","UNMAPPED"))</f>
        <v>Won</v>
      </c>
      <c r="T423" s="37" t="str">
        <f aca="false">IF($M423="","",IF(NOT(ISNUMBER(R423)),"NO DATE",IF(S423="Won",IF(R423&gt;Settings!$B$5,"Backlog","Delivered"),IF(S423="Open",IF(R423&gt;Settings!$B$5,"Pipeline","Overdue"),IF(S423="Lost","Lost","UNMAPPED")))))</f>
        <v>Delivered</v>
      </c>
      <c r="U423" s="40" t="n">
        <f aca="false">IF(T423="Backlog",1,IF(OR(T423="Pipeline",T423="Overdue"),N(INDEX(Settings!$C$27:$C$36,MATCH(L423,Settings!$A$27:$A$36,0))),0))</f>
        <v>0</v>
      </c>
      <c r="V423" s="38" t="n">
        <f aca="false">Q423*U423</f>
        <v>0</v>
      </c>
      <c r="W423" s="41" t="n">
        <f aca="false">IF($M423="","",IF(T423="Overdue",IF(Settings!$B$8="Yes",Settings!$B$7,""),IF(ISNUMBER(R423),DATE(YEAR(R423),MONTH(R423),1),"")))</f>
        <v>46054</v>
      </c>
      <c r="X423" s="38" t="n">
        <f aca="false">IF(AND(OR(T423="Backlog",T423="Pipeline",T423="Overdue"),ISNUMBER(W423)),IF(W423&lt;=Settings!$B$6,V423,0),0)</f>
        <v>0</v>
      </c>
      <c r="Y423" s="38" t="n">
        <f aca="false">IF(AND(OR(T423="Backlog",T423="Pipeline",T423="Overdue"),ISNUMBER(W423)),IF(W423&lt;=Settings!$B$6,Q423,0),0)</f>
        <v>0</v>
      </c>
      <c r="Z423" s="38" t="n">
        <f aca="false">IF(Y423=0,0,IF(T423="Backlog",Q423,Q423*Dashboard!$C$10))</f>
        <v>0</v>
      </c>
      <c r="AA423" s="37" t="n">
        <f aca="false">IF($N423="",0,IF(COUNTIF(Dashboard!$C$13:$C$22,$N423)&gt;0,1,0))</f>
        <v>0</v>
      </c>
      <c r="AB423" s="37" t="str">
        <f aca="false">IF($N423="","",IF(COUNTIF($N$8:$N423,$N423)=1,MAX($AB$7:$AB422)+1,""))</f>
        <v/>
      </c>
    </row>
    <row r="424" customFormat="false" ht="15" hidden="false" customHeight="false" outlineLevel="0" collapsed="false">
      <c r="B424" s="32" t="s">
        <v>1067</v>
      </c>
      <c r="C424" s="32" t="s">
        <v>222</v>
      </c>
      <c r="D424" s="35" t="n">
        <v>23665</v>
      </c>
      <c r="E424" s="32" t="s">
        <v>145</v>
      </c>
      <c r="F424" s="36" t="n">
        <v>45895</v>
      </c>
      <c r="G424" s="32" t="s">
        <v>1068</v>
      </c>
      <c r="L424" s="37" t="str">
        <f aca="false">IF(INDEX($A424:$J424,$L$6)&lt;&gt;"",TRIM(LEFT(INDEX($A424:$J424,$L$6),FIND("(",INDEX($A424:$J424,$L$6)&amp;"(")-1)),L423)</f>
        <v>Closed Won</v>
      </c>
      <c r="M424" s="37" t="str">
        <f aca="false">IF(INDEX($A424:$J424,$M$6)="","",INDEX($A424:$J424,$M$6)&amp;"")</f>
        <v>Full Year Staff Brief - 26.08.25</v>
      </c>
      <c r="N424" s="37" t="str">
        <f aca="false">IF($M424="","",TRIM(INDEX($A424:$J424,$N$6)&amp;""))</f>
        <v>Downer EDI</v>
      </c>
      <c r="O424" s="37" t="str">
        <f aca="false">IF($M424="","",TRIM(INDEX($A424:$J424,$O$6)&amp;""))</f>
        <v>Event Production</v>
      </c>
      <c r="P424" s="37" t="str">
        <f aca="false">IF($M424="","",IFERROR(IF(INDEX(Settings!$B$41:$B$50,MATCH(O424,Settings!$A$41:$A$50,0))&amp;""="","UNMAPPED",INDEX(Settings!$B$41:$B$50,MATCH(O424,Settings!$A$41:$A$50,0))&amp;""),"UNMAPPED"))</f>
        <v>Production</v>
      </c>
      <c r="Q424" s="38" t="n">
        <f aca="false">IF($M424="",0,N(INDEX($A424:$J424,$Q$6)))</f>
        <v>23665</v>
      </c>
      <c r="R424" s="39" t="n">
        <f aca="false">IF($M424="","",INDEX($A424:$J424,$R$6))</f>
        <v>45895</v>
      </c>
      <c r="S424" s="37" t="str">
        <f aca="false">IF($M424="","",IFERROR(INDEX(Settings!$B$27:$B$36,MATCH(L424,Settings!$A$27:$A$36,0))&amp;"","UNMAPPED"))</f>
        <v>Won</v>
      </c>
      <c r="T424" s="37" t="str">
        <f aca="false">IF($M424="","",IF(NOT(ISNUMBER(R424)),"NO DATE",IF(S424="Won",IF(R424&gt;Settings!$B$5,"Backlog","Delivered"),IF(S424="Open",IF(R424&gt;Settings!$B$5,"Pipeline","Overdue"),IF(S424="Lost","Lost","UNMAPPED")))))</f>
        <v>Delivered</v>
      </c>
      <c r="U424" s="40" t="n">
        <f aca="false">IF(T424="Backlog",1,IF(OR(T424="Pipeline",T424="Overdue"),N(INDEX(Settings!$C$27:$C$36,MATCH(L424,Settings!$A$27:$A$36,0))),0))</f>
        <v>0</v>
      </c>
      <c r="V424" s="38" t="n">
        <f aca="false">Q424*U424</f>
        <v>0</v>
      </c>
      <c r="W424" s="41" t="n">
        <f aca="false">IF($M424="","",IF(T424="Overdue",IF(Settings!$B$8="Yes",Settings!$B$7,""),IF(ISNUMBER(R424),DATE(YEAR(R424),MONTH(R424),1),"")))</f>
        <v>45870</v>
      </c>
      <c r="X424" s="38" t="n">
        <f aca="false">IF(AND(OR(T424="Backlog",T424="Pipeline",T424="Overdue"),ISNUMBER(W424)),IF(W424&lt;=Settings!$B$6,V424,0),0)</f>
        <v>0</v>
      </c>
      <c r="Y424" s="38" t="n">
        <f aca="false">IF(AND(OR(T424="Backlog",T424="Pipeline",T424="Overdue"),ISNUMBER(W424)),IF(W424&lt;=Settings!$B$6,Q424,0),0)</f>
        <v>0</v>
      </c>
      <c r="Z424" s="38" t="n">
        <f aca="false">IF(Y424=0,0,IF(T424="Backlog",Q424,Q424*Dashboard!$C$10))</f>
        <v>0</v>
      </c>
      <c r="AA424" s="37" t="n">
        <f aca="false">IF($N424="",0,IF(COUNTIF(Dashboard!$C$13:$C$22,$N424)&gt;0,1,0))</f>
        <v>0</v>
      </c>
      <c r="AB424" s="37" t="str">
        <f aca="false">IF($N424="","",IF(COUNTIF($N$8:$N424,$N424)=1,MAX($AB$7:$AB423)+1,""))</f>
        <v/>
      </c>
    </row>
    <row r="425" customFormat="false" ht="15" hidden="false" customHeight="false" outlineLevel="0" collapsed="false">
      <c r="B425" s="32" t="s">
        <v>1069</v>
      </c>
      <c r="C425" s="32" t="s">
        <v>205</v>
      </c>
      <c r="D425" s="35" t="n">
        <v>375</v>
      </c>
      <c r="E425" s="32" t="s">
        <v>180</v>
      </c>
      <c r="F425" s="36" t="n">
        <v>45874</v>
      </c>
      <c r="G425" s="32" t="s">
        <v>1070</v>
      </c>
      <c r="L425" s="37" t="str">
        <f aca="false">IF(INDEX($A425:$J425,$L$6)&lt;&gt;"",TRIM(LEFT(INDEX($A425:$J425,$L$6),FIND("(",INDEX($A425:$J425,$L$6)&amp;"(")-1)),L424)</f>
        <v>Closed Won</v>
      </c>
      <c r="M425" s="37" t="str">
        <f aca="false">IF(INDEX($A425:$J425,$M$6)="","",INDEX($A425:$J425,$M$6)&amp;"")</f>
        <v>Deloitte Tech Support - 5th of August - Bump In - Fin Crime Event 3.0</v>
      </c>
      <c r="N425" s="37" t="str">
        <f aca="false">IF($M425="","",TRIM(INDEX($A425:$J425,$N$6)&amp;""))</f>
        <v>Deloitte - Sydney</v>
      </c>
      <c r="O425" s="37" t="str">
        <f aca="false">IF($M425="","",TRIM(INDEX($A425:$J425,$O$6)&amp;""))</f>
        <v>Support</v>
      </c>
      <c r="P425" s="37" t="str">
        <f aca="false">IF($M425="","",IFERROR(IF(INDEX(Settings!$B$41:$B$50,MATCH(O425,Settings!$A$41:$A$50,0))&amp;""="","UNMAPPED",INDEX(Settings!$B$41:$B$50,MATCH(O425,Settings!$A$41:$A$50,0))&amp;""),"UNMAPPED"))</f>
        <v>Onsite</v>
      </c>
      <c r="Q425" s="38" t="n">
        <f aca="false">IF($M425="",0,N(INDEX($A425:$J425,$Q$6)))</f>
        <v>375</v>
      </c>
      <c r="R425" s="39" t="n">
        <f aca="false">IF($M425="","",INDEX($A425:$J425,$R$6))</f>
        <v>45874</v>
      </c>
      <c r="S425" s="37" t="str">
        <f aca="false">IF($M425="","",IFERROR(INDEX(Settings!$B$27:$B$36,MATCH(L425,Settings!$A$27:$A$36,0))&amp;"","UNMAPPED"))</f>
        <v>Won</v>
      </c>
      <c r="T425" s="37" t="str">
        <f aca="false">IF($M425="","",IF(NOT(ISNUMBER(R425)),"NO DATE",IF(S425="Won",IF(R425&gt;Settings!$B$5,"Backlog","Delivered"),IF(S425="Open",IF(R425&gt;Settings!$B$5,"Pipeline","Overdue"),IF(S425="Lost","Lost","UNMAPPED")))))</f>
        <v>Delivered</v>
      </c>
      <c r="U425" s="40" t="n">
        <f aca="false">IF(T425="Backlog",1,IF(OR(T425="Pipeline",T425="Overdue"),N(INDEX(Settings!$C$27:$C$36,MATCH(L425,Settings!$A$27:$A$36,0))),0))</f>
        <v>0</v>
      </c>
      <c r="V425" s="38" t="n">
        <f aca="false">Q425*U425</f>
        <v>0</v>
      </c>
      <c r="W425" s="41" t="n">
        <f aca="false">IF($M425="","",IF(T425="Overdue",IF(Settings!$B$8="Yes",Settings!$B$7,""),IF(ISNUMBER(R425),DATE(YEAR(R425),MONTH(R425),1),"")))</f>
        <v>45870</v>
      </c>
      <c r="X425" s="38" t="n">
        <f aca="false">IF(AND(OR(T425="Backlog",T425="Pipeline",T425="Overdue"),ISNUMBER(W425)),IF(W425&lt;=Settings!$B$6,V425,0),0)</f>
        <v>0</v>
      </c>
      <c r="Y425" s="38" t="n">
        <f aca="false">IF(AND(OR(T425="Backlog",T425="Pipeline",T425="Overdue"),ISNUMBER(W425)),IF(W425&lt;=Settings!$B$6,Q425,0),0)</f>
        <v>0</v>
      </c>
      <c r="Z425" s="38" t="n">
        <f aca="false">IF(Y425=0,0,IF(T425="Backlog",Q425,Q425*Dashboard!$C$10))</f>
        <v>0</v>
      </c>
      <c r="AA425" s="37" t="n">
        <f aca="false">IF($N425="",0,IF(COUNTIF(Dashboard!$C$13:$C$22,$N425)&gt;0,1,0))</f>
        <v>0</v>
      </c>
      <c r="AB425" s="37" t="str">
        <f aca="false">IF($N425="","",IF(COUNTIF($N$8:$N425,$N425)=1,MAX($AB$7:$AB424)+1,""))</f>
        <v/>
      </c>
    </row>
    <row r="426" customFormat="false" ht="15" hidden="false" customHeight="false" outlineLevel="0" collapsed="false">
      <c r="B426" s="32" t="s">
        <v>1071</v>
      </c>
      <c r="C426" s="32" t="s">
        <v>191</v>
      </c>
      <c r="D426" s="35" t="n">
        <v>10000</v>
      </c>
      <c r="E426" s="32" t="s">
        <v>262</v>
      </c>
      <c r="F426" s="36" t="n">
        <v>45930</v>
      </c>
      <c r="G426" s="32" t="s">
        <v>1072</v>
      </c>
      <c r="L426" s="37" t="str">
        <f aca="false">IF(INDEX($A426:$J426,$L$6)&lt;&gt;"",TRIM(LEFT(INDEX($A426:$J426,$L$6),FIND("(",INDEX($A426:$J426,$L$6)&amp;"(")-1)),L425)</f>
        <v>Closed Won</v>
      </c>
      <c r="M426" s="37" t="str">
        <f aca="false">IF(INDEX($A426:$J426,$M$6)="","",INDEX($A426:$J426,$M$6)&amp;"")</f>
        <v>CBA Live Event Support - Sept 2025</v>
      </c>
      <c r="N426" s="37" t="str">
        <f aca="false">IF($M426="","",TRIM(INDEX($A426:$J426,$N$6)&amp;""))</f>
        <v>Commonwealth Bank Australia (CBA)</v>
      </c>
      <c r="O426" s="37" t="str">
        <f aca="false">IF($M426="","",TRIM(INDEX($A426:$J426,$O$6)&amp;""))</f>
        <v>Multi-Service</v>
      </c>
      <c r="P426" s="37" t="str">
        <f aca="false">IF($M426="","",IFERROR(IF(INDEX(Settings!$B$41:$B$50,MATCH(O426,Settings!$A$41:$A$50,0))&amp;""="","UNMAPPED",INDEX(Settings!$B$41:$B$50,MATCH(O426,Settings!$A$41:$A$50,0))&amp;""),"UNMAPPED"))</f>
        <v>Unallocated</v>
      </c>
      <c r="Q426" s="38" t="n">
        <f aca="false">IF($M426="",0,N(INDEX($A426:$J426,$Q$6)))</f>
        <v>10000</v>
      </c>
      <c r="R426" s="39" t="n">
        <f aca="false">IF($M426="","",INDEX($A426:$J426,$R$6))</f>
        <v>45930</v>
      </c>
      <c r="S426" s="37" t="str">
        <f aca="false">IF($M426="","",IFERROR(INDEX(Settings!$B$27:$B$36,MATCH(L426,Settings!$A$27:$A$36,0))&amp;"","UNMAPPED"))</f>
        <v>Won</v>
      </c>
      <c r="T426" s="37" t="str">
        <f aca="false">IF($M426="","",IF(NOT(ISNUMBER(R426)),"NO DATE",IF(S426="Won",IF(R426&gt;Settings!$B$5,"Backlog","Delivered"),IF(S426="Open",IF(R426&gt;Settings!$B$5,"Pipeline","Overdue"),IF(S426="Lost","Lost","UNMAPPED")))))</f>
        <v>Delivered</v>
      </c>
      <c r="U426" s="40" t="n">
        <f aca="false">IF(T426="Backlog",1,IF(OR(T426="Pipeline",T426="Overdue"),N(INDEX(Settings!$C$27:$C$36,MATCH(L426,Settings!$A$27:$A$36,0))),0))</f>
        <v>0</v>
      </c>
      <c r="V426" s="38" t="n">
        <f aca="false">Q426*U426</f>
        <v>0</v>
      </c>
      <c r="W426" s="41" t="n">
        <f aca="false">IF($M426="","",IF(T426="Overdue",IF(Settings!$B$8="Yes",Settings!$B$7,""),IF(ISNUMBER(R426),DATE(YEAR(R426),MONTH(R426),1),"")))</f>
        <v>45901</v>
      </c>
      <c r="X426" s="38" t="n">
        <f aca="false">IF(AND(OR(T426="Backlog",T426="Pipeline",T426="Overdue"),ISNUMBER(W426)),IF(W426&lt;=Settings!$B$6,V426,0),0)</f>
        <v>0</v>
      </c>
      <c r="Y426" s="38" t="n">
        <f aca="false">IF(AND(OR(T426="Backlog",T426="Pipeline",T426="Overdue"),ISNUMBER(W426)),IF(W426&lt;=Settings!$B$6,Q426,0),0)</f>
        <v>0</v>
      </c>
      <c r="Z426" s="38" t="n">
        <f aca="false">IF(Y426=0,0,IF(T426="Backlog",Q426,Q426*Dashboard!$C$10))</f>
        <v>0</v>
      </c>
      <c r="AA426" s="37" t="n">
        <f aca="false">IF($N426="",0,IF(COUNTIF(Dashboard!$C$13:$C$22,$N426)&gt;0,1,0))</f>
        <v>0</v>
      </c>
      <c r="AB426" s="37" t="str">
        <f aca="false">IF($N426="","",IF(COUNTIF($N$8:$N426,$N426)=1,MAX($AB$7:$AB425)+1,""))</f>
        <v/>
      </c>
    </row>
    <row r="427" customFormat="false" ht="15" hidden="false" customHeight="false" outlineLevel="0" collapsed="false">
      <c r="B427" s="32" t="s">
        <v>1073</v>
      </c>
      <c r="C427" s="32" t="s">
        <v>679</v>
      </c>
      <c r="D427" s="35" t="n">
        <v>2565</v>
      </c>
      <c r="E427" s="32" t="s">
        <v>145</v>
      </c>
      <c r="F427" s="36" t="n">
        <v>46184</v>
      </c>
      <c r="G427" s="32" t="s">
        <v>1074</v>
      </c>
      <c r="L427" s="37" t="str">
        <f aca="false">IF(INDEX($A427:$J427,$L$6)&lt;&gt;"",TRIM(LEFT(INDEX($A427:$J427,$L$6),FIND("(",INDEX($A427:$J427,$L$6)&amp;"(")-1)),L426)</f>
        <v>Closed Won</v>
      </c>
      <c r="M427" s="37" t="str">
        <f aca="false">IF(INDEX($A427:$J427,$M$6)="","",INDEX($A427:$J427,$M$6)&amp;"")</f>
        <v>AVIT - Taronga AV Support - 9-11.6.26</v>
      </c>
      <c r="N427" s="37" t="str">
        <f aca="false">IF($M427="","",TRIM(INDEX($A427:$J427,$N$6)&amp;""))</f>
        <v>AVIT</v>
      </c>
      <c r="O427" s="37" t="str">
        <f aca="false">IF($M427="","",TRIM(INDEX($A427:$J427,$O$6)&amp;""))</f>
        <v>Event Production</v>
      </c>
      <c r="P427" s="37" t="str">
        <f aca="false">IF($M427="","",IFERROR(IF(INDEX(Settings!$B$41:$B$50,MATCH(O427,Settings!$A$41:$A$50,0))&amp;""="","UNMAPPED",INDEX(Settings!$B$41:$B$50,MATCH(O427,Settings!$A$41:$A$50,0))&amp;""),"UNMAPPED"))</f>
        <v>Production</v>
      </c>
      <c r="Q427" s="38" t="n">
        <f aca="false">IF($M427="",0,N(INDEX($A427:$J427,$Q$6)))</f>
        <v>2565</v>
      </c>
      <c r="R427" s="39" t="n">
        <f aca="false">IF($M427="","",INDEX($A427:$J427,$R$6))</f>
        <v>46184</v>
      </c>
      <c r="S427" s="37" t="str">
        <f aca="false">IF($M427="","",IFERROR(INDEX(Settings!$B$27:$B$36,MATCH(L427,Settings!$A$27:$A$36,0))&amp;"","UNMAPPED"))</f>
        <v>Won</v>
      </c>
      <c r="T427" s="37" t="str">
        <f aca="false">IF($M427="","",IF(NOT(ISNUMBER(R427)),"NO DATE",IF(S427="Won",IF(R427&gt;Settings!$B$5,"Backlog","Delivered"),IF(S427="Open",IF(R427&gt;Settings!$B$5,"Pipeline","Overdue"),IF(S427="Lost","Lost","UNMAPPED")))))</f>
        <v>Delivered</v>
      </c>
      <c r="U427" s="40" t="n">
        <f aca="false">IF(T427="Backlog",1,IF(OR(T427="Pipeline",T427="Overdue"),N(INDEX(Settings!$C$27:$C$36,MATCH(L427,Settings!$A$27:$A$36,0))),0))</f>
        <v>0</v>
      </c>
      <c r="V427" s="38" t="n">
        <f aca="false">Q427*U427</f>
        <v>0</v>
      </c>
      <c r="W427" s="41" t="n">
        <f aca="false">IF($M427="","",IF(T427="Overdue",IF(Settings!$B$8="Yes",Settings!$B$7,""),IF(ISNUMBER(R427),DATE(YEAR(R427),MONTH(R427),1),"")))</f>
        <v>46174</v>
      </c>
      <c r="X427" s="38" t="n">
        <f aca="false">IF(AND(OR(T427="Backlog",T427="Pipeline",T427="Overdue"),ISNUMBER(W427)),IF(W427&lt;=Settings!$B$6,V427,0),0)</f>
        <v>0</v>
      </c>
      <c r="Y427" s="38" t="n">
        <f aca="false">IF(AND(OR(T427="Backlog",T427="Pipeline",T427="Overdue"),ISNUMBER(W427)),IF(W427&lt;=Settings!$B$6,Q427,0),0)</f>
        <v>0</v>
      </c>
      <c r="Z427" s="38" t="n">
        <f aca="false">IF(Y427=0,0,IF(T427="Backlog",Q427,Q427*Dashboard!$C$10))</f>
        <v>0</v>
      </c>
      <c r="AA427" s="37" t="n">
        <f aca="false">IF($N427="",0,IF(COUNTIF(Dashboard!$C$13:$C$22,$N427)&gt;0,1,0))</f>
        <v>0</v>
      </c>
      <c r="AB427" s="37" t="str">
        <f aca="false">IF($N427="","",IF(COUNTIF($N$8:$N427,$N427)=1,MAX($AB$7:$AB426)+1,""))</f>
        <v/>
      </c>
    </row>
    <row r="428" customFormat="false" ht="15" hidden="false" customHeight="false" outlineLevel="0" collapsed="false">
      <c r="B428" s="32" t="s">
        <v>1075</v>
      </c>
      <c r="C428" s="32" t="s">
        <v>1076</v>
      </c>
      <c r="D428" s="35" t="n">
        <v>8100</v>
      </c>
      <c r="E428" s="32" t="s">
        <v>208</v>
      </c>
      <c r="F428" s="36" t="n">
        <v>45939</v>
      </c>
      <c r="G428" s="32" t="s">
        <v>1077</v>
      </c>
      <c r="L428" s="37" t="str">
        <f aca="false">IF(INDEX($A428:$J428,$L$6)&lt;&gt;"",TRIM(LEFT(INDEX($A428:$J428,$L$6),FIND("(",INDEX($A428:$J428,$L$6)&amp;"(")-1)),L427)</f>
        <v>Closed Won</v>
      </c>
      <c r="M428" s="37" t="str">
        <f aca="false">IF(INDEX($A428:$J428,$M$6)="","",INDEX($A428:$J428,$M$6)&amp;"")</f>
        <v>Melb Event Video Highlights - 9.10.25</v>
      </c>
      <c r="N428" s="37" t="str">
        <f aca="false">IF($M428="","",TRIM(INDEX($A428:$J428,$N$6)&amp;""))</f>
        <v>London Stock Exchange Group (LSEG)</v>
      </c>
      <c r="O428" s="37" t="str">
        <f aca="false">IF($M428="","",TRIM(INDEX($A428:$J428,$O$6)&amp;""))</f>
        <v>Video Production</v>
      </c>
      <c r="P428" s="37" t="str">
        <f aca="false">IF($M428="","",IFERROR(IF(INDEX(Settings!$B$41:$B$50,MATCH(O428,Settings!$A$41:$A$50,0))&amp;""="","UNMAPPED",INDEX(Settings!$B$41:$B$50,MATCH(O428,Settings!$A$41:$A$50,0))&amp;""),"UNMAPPED"))</f>
        <v>Video</v>
      </c>
      <c r="Q428" s="38" t="n">
        <f aca="false">IF($M428="",0,N(INDEX($A428:$J428,$Q$6)))</f>
        <v>8100</v>
      </c>
      <c r="R428" s="39" t="n">
        <f aca="false">IF($M428="","",INDEX($A428:$J428,$R$6))</f>
        <v>45939</v>
      </c>
      <c r="S428" s="37" t="str">
        <f aca="false">IF($M428="","",IFERROR(INDEX(Settings!$B$27:$B$36,MATCH(L428,Settings!$A$27:$A$36,0))&amp;"","UNMAPPED"))</f>
        <v>Won</v>
      </c>
      <c r="T428" s="37" t="str">
        <f aca="false">IF($M428="","",IF(NOT(ISNUMBER(R428)),"NO DATE",IF(S428="Won",IF(R428&gt;Settings!$B$5,"Backlog","Delivered"),IF(S428="Open",IF(R428&gt;Settings!$B$5,"Pipeline","Overdue"),IF(S428="Lost","Lost","UNMAPPED")))))</f>
        <v>Delivered</v>
      </c>
      <c r="U428" s="40" t="n">
        <f aca="false">IF(T428="Backlog",1,IF(OR(T428="Pipeline",T428="Overdue"),N(INDEX(Settings!$C$27:$C$36,MATCH(L428,Settings!$A$27:$A$36,0))),0))</f>
        <v>0</v>
      </c>
      <c r="V428" s="38" t="n">
        <f aca="false">Q428*U428</f>
        <v>0</v>
      </c>
      <c r="W428" s="41" t="n">
        <f aca="false">IF($M428="","",IF(T428="Overdue",IF(Settings!$B$8="Yes",Settings!$B$7,""),IF(ISNUMBER(R428),DATE(YEAR(R428),MONTH(R428),1),"")))</f>
        <v>45931</v>
      </c>
      <c r="X428" s="38" t="n">
        <f aca="false">IF(AND(OR(T428="Backlog",T428="Pipeline",T428="Overdue"),ISNUMBER(W428)),IF(W428&lt;=Settings!$B$6,V428,0),0)</f>
        <v>0</v>
      </c>
      <c r="Y428" s="38" t="n">
        <f aca="false">IF(AND(OR(T428="Backlog",T428="Pipeline",T428="Overdue"),ISNUMBER(W428)),IF(W428&lt;=Settings!$B$6,Q428,0),0)</f>
        <v>0</v>
      </c>
      <c r="Z428" s="38" t="n">
        <f aca="false">IF(Y428=0,0,IF(T428="Backlog",Q428,Q428*Dashboard!$C$10))</f>
        <v>0</v>
      </c>
      <c r="AA428" s="37" t="n">
        <f aca="false">IF($N428="",0,IF(COUNTIF(Dashboard!$C$13:$C$22,$N428)&gt;0,1,0))</f>
        <v>0</v>
      </c>
      <c r="AB428" s="37" t="n">
        <f aca="false">IF($N428="","",IF(COUNTIF($N$8:$N428,$N428)=1,MAX($AB$7:$AB427)+1,""))</f>
        <v>94</v>
      </c>
    </row>
    <row r="429" customFormat="false" ht="15" hidden="false" customHeight="false" outlineLevel="0" collapsed="false">
      <c r="B429" s="32" t="s">
        <v>1078</v>
      </c>
      <c r="C429" s="32" t="s">
        <v>154</v>
      </c>
      <c r="D429" s="35" t="n">
        <v>1400</v>
      </c>
      <c r="E429" s="32" t="s">
        <v>145</v>
      </c>
      <c r="F429" s="36" t="n">
        <v>46156</v>
      </c>
      <c r="G429" s="32" t="s">
        <v>1079</v>
      </c>
      <c r="L429" s="37" t="str">
        <f aca="false">IF(INDEX($A429:$J429,$L$6)&lt;&gt;"",TRIM(LEFT(INDEX($A429:$J429,$L$6),FIND("(",INDEX($A429:$J429,$L$6)&amp;"(")-1)),L428)</f>
        <v>Closed Won</v>
      </c>
      <c r="M429" s="37" t="str">
        <f aca="false">IF(INDEX($A429:$J429,$M$6)="","",INDEX($A429:$J429,$M$6)&amp;"")</f>
        <v>PWC - Foldback Monitor Hire - 28.5.26</v>
      </c>
      <c r="N429" s="37" t="str">
        <f aca="false">IF($M429="","",TRIM(INDEX($A429:$J429,$N$6)&amp;""))</f>
        <v>PWC</v>
      </c>
      <c r="O429" s="37" t="str">
        <f aca="false">IF($M429="","",TRIM(INDEX($A429:$J429,$O$6)&amp;""))</f>
        <v>Event Production</v>
      </c>
      <c r="P429" s="37" t="str">
        <f aca="false">IF($M429="","",IFERROR(IF(INDEX(Settings!$B$41:$B$50,MATCH(O429,Settings!$A$41:$A$50,0))&amp;""="","UNMAPPED",INDEX(Settings!$B$41:$B$50,MATCH(O429,Settings!$A$41:$A$50,0))&amp;""),"UNMAPPED"))</f>
        <v>Production</v>
      </c>
      <c r="Q429" s="38" t="n">
        <f aca="false">IF($M429="",0,N(INDEX($A429:$J429,$Q$6)))</f>
        <v>1400</v>
      </c>
      <c r="R429" s="39" t="n">
        <f aca="false">IF($M429="","",INDEX($A429:$J429,$R$6))</f>
        <v>46156</v>
      </c>
      <c r="S429" s="37" t="str">
        <f aca="false">IF($M429="","",IFERROR(INDEX(Settings!$B$27:$B$36,MATCH(L429,Settings!$A$27:$A$36,0))&amp;"","UNMAPPED"))</f>
        <v>Won</v>
      </c>
      <c r="T429" s="37" t="str">
        <f aca="false">IF($M429="","",IF(NOT(ISNUMBER(R429)),"NO DATE",IF(S429="Won",IF(R429&gt;Settings!$B$5,"Backlog","Delivered"),IF(S429="Open",IF(R429&gt;Settings!$B$5,"Pipeline","Overdue"),IF(S429="Lost","Lost","UNMAPPED")))))</f>
        <v>Delivered</v>
      </c>
      <c r="U429" s="40" t="n">
        <f aca="false">IF(T429="Backlog",1,IF(OR(T429="Pipeline",T429="Overdue"),N(INDEX(Settings!$C$27:$C$36,MATCH(L429,Settings!$A$27:$A$36,0))),0))</f>
        <v>0</v>
      </c>
      <c r="V429" s="38" t="n">
        <f aca="false">Q429*U429</f>
        <v>0</v>
      </c>
      <c r="W429" s="41" t="n">
        <f aca="false">IF($M429="","",IF(T429="Overdue",IF(Settings!$B$8="Yes",Settings!$B$7,""),IF(ISNUMBER(R429),DATE(YEAR(R429),MONTH(R429),1),"")))</f>
        <v>46143</v>
      </c>
      <c r="X429" s="38" t="n">
        <f aca="false">IF(AND(OR(T429="Backlog",T429="Pipeline",T429="Overdue"),ISNUMBER(W429)),IF(W429&lt;=Settings!$B$6,V429,0),0)</f>
        <v>0</v>
      </c>
      <c r="Y429" s="38" t="n">
        <f aca="false">IF(AND(OR(T429="Backlog",T429="Pipeline",T429="Overdue"),ISNUMBER(W429)),IF(W429&lt;=Settings!$B$6,Q429,0),0)</f>
        <v>0</v>
      </c>
      <c r="Z429" s="38" t="n">
        <f aca="false">IF(Y429=0,0,IF(T429="Backlog",Q429,Q429*Dashboard!$C$10))</f>
        <v>0</v>
      </c>
      <c r="AA429" s="37" t="n">
        <f aca="false">IF($N429="",0,IF(COUNTIF(Dashboard!$C$13:$C$22,$N429)&gt;0,1,0))</f>
        <v>0</v>
      </c>
      <c r="AB429" s="37" t="str">
        <f aca="false">IF($N429="","",IF(COUNTIF($N$8:$N429,$N429)=1,MAX($AB$7:$AB428)+1,""))</f>
        <v/>
      </c>
    </row>
    <row r="430" customFormat="false" ht="15" hidden="false" customHeight="false" outlineLevel="0" collapsed="false">
      <c r="B430" s="32" t="s">
        <v>1080</v>
      </c>
      <c r="C430" s="32" t="s">
        <v>140</v>
      </c>
      <c r="D430" s="35" t="n">
        <v>850</v>
      </c>
      <c r="E430" s="32" t="s">
        <v>180</v>
      </c>
      <c r="F430" s="36" t="n">
        <v>46232</v>
      </c>
      <c r="G430" s="32" t="s">
        <v>1081</v>
      </c>
      <c r="L430" s="37" t="str">
        <f aca="false">IF(INDEX($A430:$J430,$L$6)&lt;&gt;"",TRIM(LEFT(INDEX($A430:$J430,$L$6),FIND("(",INDEX($A430:$J430,$L$6)&amp;"(")-1)),L429)</f>
        <v>Closed Won</v>
      </c>
      <c r="M430" s="37" t="str">
        <f aca="false">IF(INDEX($A430:$J430,$M$6)="","",INDEX($A430:$J430,$M$6)&amp;"")</f>
        <v>Market Shapers</v>
      </c>
      <c r="N430" s="37" t="str">
        <f aca="false">IF($M430="","",TRIM(INDEX($A430:$J430,$N$6)&amp;""))</f>
        <v>Deloitte Australia</v>
      </c>
      <c r="O430" s="37" t="str">
        <f aca="false">IF($M430="","",TRIM(INDEX($A430:$J430,$O$6)&amp;""))</f>
        <v>Support</v>
      </c>
      <c r="P430" s="37" t="str">
        <f aca="false">IF($M430="","",IFERROR(IF(INDEX(Settings!$B$41:$B$50,MATCH(O430,Settings!$A$41:$A$50,0))&amp;""="","UNMAPPED",INDEX(Settings!$B$41:$B$50,MATCH(O430,Settings!$A$41:$A$50,0))&amp;""),"UNMAPPED"))</f>
        <v>Onsite</v>
      </c>
      <c r="Q430" s="38" t="n">
        <f aca="false">IF($M430="",0,N(INDEX($A430:$J430,$Q$6)))</f>
        <v>850</v>
      </c>
      <c r="R430" s="39" t="n">
        <f aca="false">IF($M430="","",INDEX($A430:$J430,$R$6))</f>
        <v>46232</v>
      </c>
      <c r="S430" s="37" t="str">
        <f aca="false">IF($M430="","",IFERROR(INDEX(Settings!$B$27:$B$36,MATCH(L430,Settings!$A$27:$A$36,0))&amp;"","UNMAPPED"))</f>
        <v>Won</v>
      </c>
      <c r="T430" s="37" t="str">
        <f aca="false">IF($M430="","",IF(NOT(ISNUMBER(R430)),"NO DATE",IF(S430="Won",IF(R430&gt;Settings!$B$5,"Backlog","Delivered"),IF(S430="Open",IF(R430&gt;Settings!$B$5,"Pipeline","Overdue"),IF(S430="Lost","Lost","UNMAPPED")))))</f>
        <v>Delivered</v>
      </c>
      <c r="U430" s="40" t="n">
        <f aca="false">IF(T430="Backlog",1,IF(OR(T430="Pipeline",T430="Overdue"),N(INDEX(Settings!$C$27:$C$36,MATCH(L430,Settings!$A$27:$A$36,0))),0))</f>
        <v>0</v>
      </c>
      <c r="V430" s="38" t="n">
        <f aca="false">Q430*U430</f>
        <v>0</v>
      </c>
      <c r="W430" s="41" t="n">
        <f aca="false">IF($M430="","",IF(T430="Overdue",IF(Settings!$B$8="Yes",Settings!$B$7,""),IF(ISNUMBER(R430),DATE(YEAR(R430),MONTH(R430),1),"")))</f>
        <v>46204</v>
      </c>
      <c r="X430" s="38" t="n">
        <f aca="false">IF(AND(OR(T430="Backlog",T430="Pipeline",T430="Overdue"),ISNUMBER(W430)),IF(W430&lt;=Settings!$B$6,V430,0),0)</f>
        <v>0</v>
      </c>
      <c r="Y430" s="38" t="n">
        <f aca="false">IF(AND(OR(T430="Backlog",T430="Pipeline",T430="Overdue"),ISNUMBER(W430)),IF(W430&lt;=Settings!$B$6,Q430,0),0)</f>
        <v>0</v>
      </c>
      <c r="Z430" s="38" t="n">
        <f aca="false">IF(Y430=0,0,IF(T430="Backlog",Q430,Q430*Dashboard!$C$10))</f>
        <v>0</v>
      </c>
      <c r="AA430" s="37" t="n">
        <f aca="false">IF($N430="",0,IF(COUNTIF(Dashboard!$C$13:$C$22,$N430)&gt;0,1,0))</f>
        <v>0</v>
      </c>
      <c r="AB430" s="37" t="str">
        <f aca="false">IF($N430="","",IF(COUNTIF($N$8:$N430,$N430)=1,MAX($AB$7:$AB429)+1,""))</f>
        <v/>
      </c>
    </row>
    <row r="431" customFormat="false" ht="15" hidden="false" customHeight="false" outlineLevel="0" collapsed="false">
      <c r="B431" s="32" t="s">
        <v>1082</v>
      </c>
      <c r="C431" s="32" t="s">
        <v>267</v>
      </c>
      <c r="D431" s="35" t="n">
        <v>460</v>
      </c>
      <c r="E431" s="32" t="s">
        <v>145</v>
      </c>
      <c r="F431" s="36" t="n">
        <v>46301</v>
      </c>
      <c r="G431" s="32" t="s">
        <v>1083</v>
      </c>
      <c r="L431" s="37" t="str">
        <f aca="false">IF(INDEX($A431:$J431,$L$6)&lt;&gt;"",TRIM(LEFT(INDEX($A431:$J431,$L$6),FIND("(",INDEX($A431:$J431,$L$6)&amp;"(")-1)),L430)</f>
        <v>Closed Won</v>
      </c>
      <c r="M431" s="37" t="str">
        <f aca="false">IF(INDEX($A431:$J431,$M$6)="","",INDEX($A431:$J431,$M$6)&amp;"")</f>
        <v>Dimensional - AV Audio Support - 15.10.26</v>
      </c>
      <c r="N431" s="37" t="str">
        <f aca="false">IF($M431="","",TRIM(INDEX($A431:$J431,$N$6)&amp;""))</f>
        <v>Dimensional Fund Advisors</v>
      </c>
      <c r="O431" s="37" t="str">
        <f aca="false">IF($M431="","",TRIM(INDEX($A431:$J431,$O$6)&amp;""))</f>
        <v>Event Production</v>
      </c>
      <c r="P431" s="37" t="str">
        <f aca="false">IF($M431="","",IFERROR(IF(INDEX(Settings!$B$41:$B$50,MATCH(O431,Settings!$A$41:$A$50,0))&amp;""="","UNMAPPED",INDEX(Settings!$B$41:$B$50,MATCH(O431,Settings!$A$41:$A$50,0))&amp;""),"UNMAPPED"))</f>
        <v>Production</v>
      </c>
      <c r="Q431" s="38" t="n">
        <f aca="false">IF($M431="",0,N(INDEX($A431:$J431,$Q$6)))</f>
        <v>460</v>
      </c>
      <c r="R431" s="39" t="n">
        <f aca="false">IF($M431="","",INDEX($A431:$J431,$R$6))</f>
        <v>46301</v>
      </c>
      <c r="S431" s="37" t="str">
        <f aca="false">IF($M431="","",IFERROR(INDEX(Settings!$B$27:$B$36,MATCH(L431,Settings!$A$27:$A$36,0))&amp;"","UNMAPPED"))</f>
        <v>Won</v>
      </c>
      <c r="T431" s="37" t="str">
        <f aca="false">IF($M431="","",IF(NOT(ISNUMBER(R431)),"NO DATE",IF(S431="Won",IF(R431&gt;Settings!$B$5,"Backlog","Delivered"),IF(S431="Open",IF(R431&gt;Settings!$B$5,"Pipeline","Overdue"),IF(S431="Lost","Lost","UNMAPPED")))))</f>
        <v>Backlog</v>
      </c>
      <c r="U431" s="40" t="n">
        <f aca="false">IF(T431="Backlog",1,IF(OR(T431="Pipeline",T431="Overdue"),N(INDEX(Settings!$C$27:$C$36,MATCH(L431,Settings!$A$27:$A$36,0))),0))</f>
        <v>1</v>
      </c>
      <c r="V431" s="38" t="n">
        <f aca="false">Q431*U431</f>
        <v>460</v>
      </c>
      <c r="W431" s="41" t="n">
        <f aca="false">IF($M431="","",IF(T431="Overdue",IF(Settings!$B$8="Yes",Settings!$B$7,""),IF(ISNUMBER(R431),DATE(YEAR(R431),MONTH(R431),1),"")))</f>
        <v>46296</v>
      </c>
      <c r="X431" s="38" t="n">
        <f aca="false">IF(AND(OR(T431="Backlog",T431="Pipeline",T431="Overdue"),ISNUMBER(W431)),IF(W431&lt;=Settings!$B$6,V431,0),0)</f>
        <v>460</v>
      </c>
      <c r="Y431" s="38" t="n">
        <f aca="false">IF(AND(OR(T431="Backlog",T431="Pipeline",T431="Overdue"),ISNUMBER(W431)),IF(W431&lt;=Settings!$B$6,Q431,0),0)</f>
        <v>460</v>
      </c>
      <c r="Z431" s="38" t="n">
        <f aca="false">IF(Y431=0,0,IF(T431="Backlog",Q431,Q431*Dashboard!$C$10))</f>
        <v>460</v>
      </c>
      <c r="AA431" s="37" t="n">
        <f aca="false">IF($N431="",0,IF(COUNTIF(Dashboard!$C$13:$C$22,$N431)&gt;0,1,0))</f>
        <v>0</v>
      </c>
      <c r="AB431" s="37" t="str">
        <f aca="false">IF($N431="","",IF(COUNTIF($N$8:$N431,$N431)=1,MAX($AB$7:$AB430)+1,""))</f>
        <v/>
      </c>
    </row>
    <row r="432" customFormat="false" ht="15" hidden="false" customHeight="false" outlineLevel="0" collapsed="false">
      <c r="B432" s="32" t="s">
        <v>1084</v>
      </c>
      <c r="C432" s="32" t="s">
        <v>364</v>
      </c>
      <c r="D432" s="35" t="n">
        <v>4977</v>
      </c>
      <c r="E432" s="32" t="s">
        <v>145</v>
      </c>
      <c r="F432" s="36" t="n">
        <v>45938</v>
      </c>
      <c r="G432" s="32" t="s">
        <v>1085</v>
      </c>
      <c r="L432" s="37" t="str">
        <f aca="false">IF(INDEX($A432:$J432,$L$6)&lt;&gt;"",TRIM(LEFT(INDEX($A432:$J432,$L$6),FIND("(",INDEX($A432:$J432,$L$6)&amp;"(")-1)),L431)</f>
        <v>Closed Won</v>
      </c>
      <c r="M432" s="37" t="str">
        <f aca="false">IF(INDEX($A432:$J432,$M$6)="","",INDEX($A432:$J432,$M$6)&amp;"")</f>
        <v>Dry Hire - Changemakers 8 -9.10.25</v>
      </c>
      <c r="N432" s="37" t="str">
        <f aca="false">IF($M432="","",TRIM(INDEX($A432:$J432,$N$6)&amp;""))</f>
        <v>Deloitte - Parramatta</v>
      </c>
      <c r="O432" s="37" t="str">
        <f aca="false">IF($M432="","",TRIM(INDEX($A432:$J432,$O$6)&amp;""))</f>
        <v>Event Production</v>
      </c>
      <c r="P432" s="37" t="str">
        <f aca="false">IF($M432="","",IFERROR(IF(INDEX(Settings!$B$41:$B$50,MATCH(O432,Settings!$A$41:$A$50,0))&amp;""="","UNMAPPED",INDEX(Settings!$B$41:$B$50,MATCH(O432,Settings!$A$41:$A$50,0))&amp;""),"UNMAPPED"))</f>
        <v>Production</v>
      </c>
      <c r="Q432" s="38" t="n">
        <f aca="false">IF($M432="",0,N(INDEX($A432:$J432,$Q$6)))</f>
        <v>4977</v>
      </c>
      <c r="R432" s="39" t="n">
        <f aca="false">IF($M432="","",INDEX($A432:$J432,$R$6))</f>
        <v>45938</v>
      </c>
      <c r="S432" s="37" t="str">
        <f aca="false">IF($M432="","",IFERROR(INDEX(Settings!$B$27:$B$36,MATCH(L432,Settings!$A$27:$A$36,0))&amp;"","UNMAPPED"))</f>
        <v>Won</v>
      </c>
      <c r="T432" s="37" t="str">
        <f aca="false">IF($M432="","",IF(NOT(ISNUMBER(R432)),"NO DATE",IF(S432="Won",IF(R432&gt;Settings!$B$5,"Backlog","Delivered"),IF(S432="Open",IF(R432&gt;Settings!$B$5,"Pipeline","Overdue"),IF(S432="Lost","Lost","UNMAPPED")))))</f>
        <v>Delivered</v>
      </c>
      <c r="U432" s="40" t="n">
        <f aca="false">IF(T432="Backlog",1,IF(OR(T432="Pipeline",T432="Overdue"),N(INDEX(Settings!$C$27:$C$36,MATCH(L432,Settings!$A$27:$A$36,0))),0))</f>
        <v>0</v>
      </c>
      <c r="V432" s="38" t="n">
        <f aca="false">Q432*U432</f>
        <v>0</v>
      </c>
      <c r="W432" s="41" t="n">
        <f aca="false">IF($M432="","",IF(T432="Overdue",IF(Settings!$B$8="Yes",Settings!$B$7,""),IF(ISNUMBER(R432),DATE(YEAR(R432),MONTH(R432),1),"")))</f>
        <v>45931</v>
      </c>
      <c r="X432" s="38" t="n">
        <f aca="false">IF(AND(OR(T432="Backlog",T432="Pipeline",T432="Overdue"),ISNUMBER(W432)),IF(W432&lt;=Settings!$B$6,V432,0),0)</f>
        <v>0</v>
      </c>
      <c r="Y432" s="38" t="n">
        <f aca="false">IF(AND(OR(T432="Backlog",T432="Pipeline",T432="Overdue"),ISNUMBER(W432)),IF(W432&lt;=Settings!$B$6,Q432,0),0)</f>
        <v>0</v>
      </c>
      <c r="Z432" s="38" t="n">
        <f aca="false">IF(Y432=0,0,IF(T432="Backlog",Q432,Q432*Dashboard!$C$10))</f>
        <v>0</v>
      </c>
      <c r="AA432" s="37" t="n">
        <f aca="false">IF($N432="",0,IF(COUNTIF(Dashboard!$C$13:$C$22,$N432)&gt;0,1,0))</f>
        <v>0</v>
      </c>
      <c r="AB432" s="37" t="str">
        <f aca="false">IF($N432="","",IF(COUNTIF($N$8:$N432,$N432)=1,MAX($AB$7:$AB431)+1,""))</f>
        <v/>
      </c>
    </row>
    <row r="433" customFormat="false" ht="15" hidden="false" customHeight="false" outlineLevel="0" collapsed="false">
      <c r="B433" s="32" t="s">
        <v>1086</v>
      </c>
      <c r="C433" s="32" t="s">
        <v>1087</v>
      </c>
      <c r="D433" s="35" t="n">
        <v>1161</v>
      </c>
      <c r="E433" s="32" t="s">
        <v>141</v>
      </c>
      <c r="F433" s="36" t="n">
        <v>46191</v>
      </c>
      <c r="G433" s="32" t="s">
        <v>1088</v>
      </c>
      <c r="L433" s="37" t="str">
        <f aca="false">IF(INDEX($A433:$J433,$L$6)&lt;&gt;"",TRIM(LEFT(INDEX($A433:$J433,$L$6),FIND("(",INDEX($A433:$J433,$L$6)&amp;"(")-1)),L432)</f>
        <v>Closed Won</v>
      </c>
      <c r="M433" s="37" t="str">
        <f aca="false">IF(INDEX($A433:$J433,$M$6)="","",INDEX($A433:$J433,$M$6)&amp;"")</f>
        <v>HP-BAE | Phone Mod - 26051301</v>
      </c>
      <c r="N433" s="37" t="str">
        <f aca="false">IF($M433="","",TRIM(INDEX($A433:$J433,$N$6)&amp;""))</f>
        <v>BAE Systems Australia</v>
      </c>
      <c r="O433" s="37" t="str">
        <f aca="false">IF($M433="","",TRIM(INDEX($A433:$J433,$O$6)&amp;""))</f>
        <v>Integration</v>
      </c>
      <c r="P433" s="37" t="str">
        <f aca="false">IF($M433="","",IFERROR(IF(INDEX(Settings!$B$41:$B$50,MATCH(O433,Settings!$A$41:$A$50,0))&amp;""="","UNMAPPED",INDEX(Settings!$B$41:$B$50,MATCH(O433,Settings!$A$41:$A$50,0))&amp;""),"UNMAPPED"))</f>
        <v>Integration</v>
      </c>
      <c r="Q433" s="38" t="n">
        <f aca="false">IF($M433="",0,N(INDEX($A433:$J433,$Q$6)))</f>
        <v>1161</v>
      </c>
      <c r="R433" s="39" t="n">
        <f aca="false">IF($M433="","",INDEX($A433:$J433,$R$6))</f>
        <v>46191</v>
      </c>
      <c r="S433" s="37" t="str">
        <f aca="false">IF($M433="","",IFERROR(INDEX(Settings!$B$27:$B$36,MATCH(L433,Settings!$A$27:$A$36,0))&amp;"","UNMAPPED"))</f>
        <v>Won</v>
      </c>
      <c r="T433" s="37" t="str">
        <f aca="false">IF($M433="","",IF(NOT(ISNUMBER(R433)),"NO DATE",IF(S433="Won",IF(R433&gt;Settings!$B$5,"Backlog","Delivered"),IF(S433="Open",IF(R433&gt;Settings!$B$5,"Pipeline","Overdue"),IF(S433="Lost","Lost","UNMAPPED")))))</f>
        <v>Delivered</v>
      </c>
      <c r="U433" s="40" t="n">
        <f aca="false">IF(T433="Backlog",1,IF(OR(T433="Pipeline",T433="Overdue"),N(INDEX(Settings!$C$27:$C$36,MATCH(L433,Settings!$A$27:$A$36,0))),0))</f>
        <v>0</v>
      </c>
      <c r="V433" s="38" t="n">
        <f aca="false">Q433*U433</f>
        <v>0</v>
      </c>
      <c r="W433" s="41" t="n">
        <f aca="false">IF($M433="","",IF(T433="Overdue",IF(Settings!$B$8="Yes",Settings!$B$7,""),IF(ISNUMBER(R433),DATE(YEAR(R433),MONTH(R433),1),"")))</f>
        <v>46174</v>
      </c>
      <c r="X433" s="38" t="n">
        <f aca="false">IF(AND(OR(T433="Backlog",T433="Pipeline",T433="Overdue"),ISNUMBER(W433)),IF(W433&lt;=Settings!$B$6,V433,0),0)</f>
        <v>0</v>
      </c>
      <c r="Y433" s="38" t="n">
        <f aca="false">IF(AND(OR(T433="Backlog",T433="Pipeline",T433="Overdue"),ISNUMBER(W433)),IF(W433&lt;=Settings!$B$6,Q433,0),0)</f>
        <v>0</v>
      </c>
      <c r="Z433" s="38" t="n">
        <f aca="false">IF(Y433=0,0,IF(T433="Backlog",Q433,Q433*Dashboard!$C$10))</f>
        <v>0</v>
      </c>
      <c r="AA433" s="37" t="n">
        <f aca="false">IF($N433="",0,IF(COUNTIF(Dashboard!$C$13:$C$22,$N433)&gt;0,1,0))</f>
        <v>0</v>
      </c>
      <c r="AB433" s="37" t="n">
        <f aca="false">IF($N433="","",IF(COUNTIF($N$8:$N433,$N433)=1,MAX($AB$7:$AB432)+1,""))</f>
        <v>95</v>
      </c>
    </row>
    <row r="434" customFormat="false" ht="15" hidden="false" customHeight="false" outlineLevel="0" collapsed="false">
      <c r="B434" s="32" t="s">
        <v>1089</v>
      </c>
      <c r="C434" s="32" t="s">
        <v>244</v>
      </c>
      <c r="D434" s="35" t="n">
        <v>380</v>
      </c>
      <c r="E434" s="32" t="s">
        <v>145</v>
      </c>
      <c r="F434" s="36" t="n">
        <v>45911</v>
      </c>
      <c r="G434" s="32" t="s">
        <v>1090</v>
      </c>
      <c r="L434" s="37" t="str">
        <f aca="false">IF(INDEX($A434:$J434,$L$6)&lt;&gt;"",TRIM(LEFT(INDEX($A434:$J434,$L$6),FIND("(",INDEX($A434:$J434,$L$6)&amp;"(")-1)),L433)</f>
        <v>Closed Won</v>
      </c>
      <c r="M434" s="37" t="str">
        <f aca="false">IF(INDEX($A434:$J434,$M$6)="","",INDEX($A434:$J434,$M$6)&amp;"")</f>
        <v>APA Town Hall 11.9.25</v>
      </c>
      <c r="N434" s="37" t="str">
        <f aca="false">IF($M434="","",TRIM(INDEX($A434:$J434,$N$6)&amp;""))</f>
        <v>APA</v>
      </c>
      <c r="O434" s="37" t="str">
        <f aca="false">IF($M434="","",TRIM(INDEX($A434:$J434,$O$6)&amp;""))</f>
        <v>Event Production</v>
      </c>
      <c r="P434" s="37" t="str">
        <f aca="false">IF($M434="","",IFERROR(IF(INDEX(Settings!$B$41:$B$50,MATCH(O434,Settings!$A$41:$A$50,0))&amp;""="","UNMAPPED",INDEX(Settings!$B$41:$B$50,MATCH(O434,Settings!$A$41:$A$50,0))&amp;""),"UNMAPPED"))</f>
        <v>Production</v>
      </c>
      <c r="Q434" s="38" t="n">
        <f aca="false">IF($M434="",0,N(INDEX($A434:$J434,$Q$6)))</f>
        <v>380</v>
      </c>
      <c r="R434" s="39" t="n">
        <f aca="false">IF($M434="","",INDEX($A434:$J434,$R$6))</f>
        <v>45911</v>
      </c>
      <c r="S434" s="37" t="str">
        <f aca="false">IF($M434="","",IFERROR(INDEX(Settings!$B$27:$B$36,MATCH(L434,Settings!$A$27:$A$36,0))&amp;"","UNMAPPED"))</f>
        <v>Won</v>
      </c>
      <c r="T434" s="37" t="str">
        <f aca="false">IF($M434="","",IF(NOT(ISNUMBER(R434)),"NO DATE",IF(S434="Won",IF(R434&gt;Settings!$B$5,"Backlog","Delivered"),IF(S434="Open",IF(R434&gt;Settings!$B$5,"Pipeline","Overdue"),IF(S434="Lost","Lost","UNMAPPED")))))</f>
        <v>Delivered</v>
      </c>
      <c r="U434" s="40" t="n">
        <f aca="false">IF(T434="Backlog",1,IF(OR(T434="Pipeline",T434="Overdue"),N(INDEX(Settings!$C$27:$C$36,MATCH(L434,Settings!$A$27:$A$36,0))),0))</f>
        <v>0</v>
      </c>
      <c r="V434" s="38" t="n">
        <f aca="false">Q434*U434</f>
        <v>0</v>
      </c>
      <c r="W434" s="41" t="n">
        <f aca="false">IF($M434="","",IF(T434="Overdue",IF(Settings!$B$8="Yes",Settings!$B$7,""),IF(ISNUMBER(R434),DATE(YEAR(R434),MONTH(R434),1),"")))</f>
        <v>45901</v>
      </c>
      <c r="X434" s="38" t="n">
        <f aca="false">IF(AND(OR(T434="Backlog",T434="Pipeline",T434="Overdue"),ISNUMBER(W434)),IF(W434&lt;=Settings!$B$6,V434,0),0)</f>
        <v>0</v>
      </c>
      <c r="Y434" s="38" t="n">
        <f aca="false">IF(AND(OR(T434="Backlog",T434="Pipeline",T434="Overdue"),ISNUMBER(W434)),IF(W434&lt;=Settings!$B$6,Q434,0),0)</f>
        <v>0</v>
      </c>
      <c r="Z434" s="38" t="n">
        <f aca="false">IF(Y434=0,0,IF(T434="Backlog",Q434,Q434*Dashboard!$C$10))</f>
        <v>0</v>
      </c>
      <c r="AA434" s="37" t="n">
        <f aca="false">IF($N434="",0,IF(COUNTIF(Dashboard!$C$13:$C$22,$N434)&gt;0,1,0))</f>
        <v>0</v>
      </c>
      <c r="AB434" s="37" t="str">
        <f aca="false">IF($N434="","",IF(COUNTIF($N$8:$N434,$N434)=1,MAX($AB$7:$AB433)+1,""))</f>
        <v/>
      </c>
    </row>
    <row r="435" customFormat="false" ht="15" hidden="false" customHeight="false" outlineLevel="0" collapsed="false">
      <c r="B435" s="32" t="s">
        <v>1091</v>
      </c>
      <c r="C435" s="32" t="s">
        <v>222</v>
      </c>
      <c r="D435" s="35" t="n">
        <v>17842</v>
      </c>
      <c r="E435" s="32" t="s">
        <v>145</v>
      </c>
      <c r="F435" s="36" t="n">
        <v>45972</v>
      </c>
      <c r="G435" s="32" t="s">
        <v>1092</v>
      </c>
      <c r="L435" s="37" t="str">
        <f aca="false">IF(INDEX($A435:$J435,$L$6)&lt;&gt;"",TRIM(LEFT(INDEX($A435:$J435,$L$6),FIND("(",INDEX($A435:$J435,$L$6)&amp;"(")-1)),L434)</f>
        <v>Closed Won</v>
      </c>
      <c r="M435" s="37" t="str">
        <f aca="false">IF(INDEX($A435:$J435,$M$6)="","",INDEX($A435:$J435,$M$6)&amp;"")</f>
        <v>AGM 11.11.2025</v>
      </c>
      <c r="N435" s="37" t="str">
        <f aca="false">IF($M435="","",TRIM(INDEX($A435:$J435,$N$6)&amp;""))</f>
        <v>Downer EDI</v>
      </c>
      <c r="O435" s="37" t="str">
        <f aca="false">IF($M435="","",TRIM(INDEX($A435:$J435,$O$6)&amp;""))</f>
        <v>Event Production</v>
      </c>
      <c r="P435" s="37" t="str">
        <f aca="false">IF($M435="","",IFERROR(IF(INDEX(Settings!$B$41:$B$50,MATCH(O435,Settings!$A$41:$A$50,0))&amp;""="","UNMAPPED",INDEX(Settings!$B$41:$B$50,MATCH(O435,Settings!$A$41:$A$50,0))&amp;""),"UNMAPPED"))</f>
        <v>Production</v>
      </c>
      <c r="Q435" s="38" t="n">
        <f aca="false">IF($M435="",0,N(INDEX($A435:$J435,$Q$6)))</f>
        <v>17842</v>
      </c>
      <c r="R435" s="39" t="n">
        <f aca="false">IF($M435="","",INDEX($A435:$J435,$R$6))</f>
        <v>45972</v>
      </c>
      <c r="S435" s="37" t="str">
        <f aca="false">IF($M435="","",IFERROR(INDEX(Settings!$B$27:$B$36,MATCH(L435,Settings!$A$27:$A$36,0))&amp;"","UNMAPPED"))</f>
        <v>Won</v>
      </c>
      <c r="T435" s="37" t="str">
        <f aca="false">IF($M435="","",IF(NOT(ISNUMBER(R435)),"NO DATE",IF(S435="Won",IF(R435&gt;Settings!$B$5,"Backlog","Delivered"),IF(S435="Open",IF(R435&gt;Settings!$B$5,"Pipeline","Overdue"),IF(S435="Lost","Lost","UNMAPPED")))))</f>
        <v>Delivered</v>
      </c>
      <c r="U435" s="40" t="n">
        <f aca="false">IF(T435="Backlog",1,IF(OR(T435="Pipeline",T435="Overdue"),N(INDEX(Settings!$C$27:$C$36,MATCH(L435,Settings!$A$27:$A$36,0))),0))</f>
        <v>0</v>
      </c>
      <c r="V435" s="38" t="n">
        <f aca="false">Q435*U435</f>
        <v>0</v>
      </c>
      <c r="W435" s="41" t="n">
        <f aca="false">IF($M435="","",IF(T435="Overdue",IF(Settings!$B$8="Yes",Settings!$B$7,""),IF(ISNUMBER(R435),DATE(YEAR(R435),MONTH(R435),1),"")))</f>
        <v>45962</v>
      </c>
      <c r="X435" s="38" t="n">
        <f aca="false">IF(AND(OR(T435="Backlog",T435="Pipeline",T435="Overdue"),ISNUMBER(W435)),IF(W435&lt;=Settings!$B$6,V435,0),0)</f>
        <v>0</v>
      </c>
      <c r="Y435" s="38" t="n">
        <f aca="false">IF(AND(OR(T435="Backlog",T435="Pipeline",T435="Overdue"),ISNUMBER(W435)),IF(W435&lt;=Settings!$B$6,Q435,0),0)</f>
        <v>0</v>
      </c>
      <c r="Z435" s="38" t="n">
        <f aca="false">IF(Y435=0,0,IF(T435="Backlog",Q435,Q435*Dashboard!$C$10))</f>
        <v>0</v>
      </c>
      <c r="AA435" s="37" t="n">
        <f aca="false">IF($N435="",0,IF(COUNTIF(Dashboard!$C$13:$C$22,$N435)&gt;0,1,0))</f>
        <v>0</v>
      </c>
      <c r="AB435" s="37" t="str">
        <f aca="false">IF($N435="","",IF(COUNTIF($N$8:$N435,$N435)=1,MAX($AB$7:$AB434)+1,""))</f>
        <v/>
      </c>
    </row>
    <row r="436" customFormat="false" ht="15" hidden="false" customHeight="false" outlineLevel="0" collapsed="false">
      <c r="B436" s="32" t="s">
        <v>1093</v>
      </c>
      <c r="C436" s="32" t="s">
        <v>253</v>
      </c>
      <c r="D436" s="35" t="n">
        <v>1279</v>
      </c>
      <c r="E436" s="32" t="s">
        <v>145</v>
      </c>
      <c r="F436" s="36" t="n">
        <v>45903</v>
      </c>
      <c r="G436" s="32" t="s">
        <v>1094</v>
      </c>
      <c r="L436" s="37" t="str">
        <f aca="false">IF(INDEX($A436:$J436,$L$6)&lt;&gt;"",TRIM(LEFT(INDEX($A436:$J436,$L$6),FIND("(",INDEX($A436:$J436,$L$6)&amp;"(")-1)),L435)</f>
        <v>Closed Won</v>
      </c>
      <c r="M436" s="37" t="str">
        <f aca="false">IF(INDEX($A436:$J436,$M$6)="","",INDEX($A436:$J436,$M$6)&amp;"")</f>
        <v>CHESS Replace Comm 3.9.25</v>
      </c>
      <c r="N436" s="37" t="str">
        <f aca="false">IF($M436="","",TRIM(INDEX($A436:$J436,$N$6)&amp;""))</f>
        <v>ASX Australian Securities Exchange</v>
      </c>
      <c r="O436" s="37" t="str">
        <f aca="false">IF($M436="","",TRIM(INDEX($A436:$J436,$O$6)&amp;""))</f>
        <v>Event Production</v>
      </c>
      <c r="P436" s="37" t="str">
        <f aca="false">IF($M436="","",IFERROR(IF(INDEX(Settings!$B$41:$B$50,MATCH(O436,Settings!$A$41:$A$50,0))&amp;""="","UNMAPPED",INDEX(Settings!$B$41:$B$50,MATCH(O436,Settings!$A$41:$A$50,0))&amp;""),"UNMAPPED"))</f>
        <v>Production</v>
      </c>
      <c r="Q436" s="38" t="n">
        <f aca="false">IF($M436="",0,N(INDEX($A436:$J436,$Q$6)))</f>
        <v>1279</v>
      </c>
      <c r="R436" s="39" t="n">
        <f aca="false">IF($M436="","",INDEX($A436:$J436,$R$6))</f>
        <v>45903</v>
      </c>
      <c r="S436" s="37" t="str">
        <f aca="false">IF($M436="","",IFERROR(INDEX(Settings!$B$27:$B$36,MATCH(L436,Settings!$A$27:$A$36,0))&amp;"","UNMAPPED"))</f>
        <v>Won</v>
      </c>
      <c r="T436" s="37" t="str">
        <f aca="false">IF($M436="","",IF(NOT(ISNUMBER(R436)),"NO DATE",IF(S436="Won",IF(R436&gt;Settings!$B$5,"Backlog","Delivered"),IF(S436="Open",IF(R436&gt;Settings!$B$5,"Pipeline","Overdue"),IF(S436="Lost","Lost","UNMAPPED")))))</f>
        <v>Delivered</v>
      </c>
      <c r="U436" s="40" t="n">
        <f aca="false">IF(T436="Backlog",1,IF(OR(T436="Pipeline",T436="Overdue"),N(INDEX(Settings!$C$27:$C$36,MATCH(L436,Settings!$A$27:$A$36,0))),0))</f>
        <v>0</v>
      </c>
      <c r="V436" s="38" t="n">
        <f aca="false">Q436*U436</f>
        <v>0</v>
      </c>
      <c r="W436" s="41" t="n">
        <f aca="false">IF($M436="","",IF(T436="Overdue",IF(Settings!$B$8="Yes",Settings!$B$7,""),IF(ISNUMBER(R436),DATE(YEAR(R436),MONTH(R436),1),"")))</f>
        <v>45901</v>
      </c>
      <c r="X436" s="38" t="n">
        <f aca="false">IF(AND(OR(T436="Backlog",T436="Pipeline",T436="Overdue"),ISNUMBER(W436)),IF(W436&lt;=Settings!$B$6,V436,0),0)</f>
        <v>0</v>
      </c>
      <c r="Y436" s="38" t="n">
        <f aca="false">IF(AND(OR(T436="Backlog",T436="Pipeline",T436="Overdue"),ISNUMBER(W436)),IF(W436&lt;=Settings!$B$6,Q436,0),0)</f>
        <v>0</v>
      </c>
      <c r="Z436" s="38" t="n">
        <f aca="false">IF(Y436=0,0,IF(T436="Backlog",Q436,Q436*Dashboard!$C$10))</f>
        <v>0</v>
      </c>
      <c r="AA436" s="37" t="n">
        <f aca="false">IF($N436="",0,IF(COUNTIF(Dashboard!$C$13:$C$22,$N436)&gt;0,1,0))</f>
        <v>0</v>
      </c>
      <c r="AB436" s="37" t="str">
        <f aca="false">IF($N436="","",IF(COUNTIF($N$8:$N436,$N436)=1,MAX($AB$7:$AB435)+1,""))</f>
        <v/>
      </c>
    </row>
    <row r="437" customFormat="false" ht="15" hidden="false" customHeight="false" outlineLevel="0" collapsed="false">
      <c r="B437" s="32" t="s">
        <v>1095</v>
      </c>
      <c r="C437" s="32" t="s">
        <v>154</v>
      </c>
      <c r="D437" s="35" t="n">
        <v>5830</v>
      </c>
      <c r="E437" s="32" t="s">
        <v>141</v>
      </c>
      <c r="F437" s="36" t="n">
        <v>45912</v>
      </c>
      <c r="G437" s="32" t="s">
        <v>1096</v>
      </c>
      <c r="L437" s="37" t="str">
        <f aca="false">IF(INDEX($A437:$J437,$L$6)&lt;&gt;"",TRIM(LEFT(INDEX($A437:$J437,$L$6),FIND("(",INDEX($A437:$J437,$L$6)&amp;"(")-1)),L436)</f>
        <v>Closed Won</v>
      </c>
      <c r="M437" s="37" t="str">
        <f aca="false">IF(INDEX($A437:$J437,$M$6)="","",INDEX($A437:$J437,$M$6)&amp;"")</f>
        <v>PwC Peripherals Box Sale AUG25</v>
      </c>
      <c r="N437" s="37" t="str">
        <f aca="false">IF($M437="","",TRIM(INDEX($A437:$J437,$N$6)&amp;""))</f>
        <v>PWC</v>
      </c>
      <c r="O437" s="37" t="str">
        <f aca="false">IF($M437="","",TRIM(INDEX($A437:$J437,$O$6)&amp;""))</f>
        <v>Integration</v>
      </c>
      <c r="P437" s="37" t="str">
        <f aca="false">IF($M437="","",IFERROR(IF(INDEX(Settings!$B$41:$B$50,MATCH(O437,Settings!$A$41:$A$50,0))&amp;""="","UNMAPPED",INDEX(Settings!$B$41:$B$50,MATCH(O437,Settings!$A$41:$A$50,0))&amp;""),"UNMAPPED"))</f>
        <v>Integration</v>
      </c>
      <c r="Q437" s="38" t="n">
        <f aca="false">IF($M437="",0,N(INDEX($A437:$J437,$Q$6)))</f>
        <v>5830</v>
      </c>
      <c r="R437" s="39" t="n">
        <f aca="false">IF($M437="","",INDEX($A437:$J437,$R$6))</f>
        <v>45912</v>
      </c>
      <c r="S437" s="37" t="str">
        <f aca="false">IF($M437="","",IFERROR(INDEX(Settings!$B$27:$B$36,MATCH(L437,Settings!$A$27:$A$36,0))&amp;"","UNMAPPED"))</f>
        <v>Won</v>
      </c>
      <c r="T437" s="37" t="str">
        <f aca="false">IF($M437="","",IF(NOT(ISNUMBER(R437)),"NO DATE",IF(S437="Won",IF(R437&gt;Settings!$B$5,"Backlog","Delivered"),IF(S437="Open",IF(R437&gt;Settings!$B$5,"Pipeline","Overdue"),IF(S437="Lost","Lost","UNMAPPED")))))</f>
        <v>Delivered</v>
      </c>
      <c r="U437" s="40" t="n">
        <f aca="false">IF(T437="Backlog",1,IF(OR(T437="Pipeline",T437="Overdue"),N(INDEX(Settings!$C$27:$C$36,MATCH(L437,Settings!$A$27:$A$36,0))),0))</f>
        <v>0</v>
      </c>
      <c r="V437" s="38" t="n">
        <f aca="false">Q437*U437</f>
        <v>0</v>
      </c>
      <c r="W437" s="41" t="n">
        <f aca="false">IF($M437="","",IF(T437="Overdue",IF(Settings!$B$8="Yes",Settings!$B$7,""),IF(ISNUMBER(R437),DATE(YEAR(R437),MONTH(R437),1),"")))</f>
        <v>45901</v>
      </c>
      <c r="X437" s="38" t="n">
        <f aca="false">IF(AND(OR(T437="Backlog",T437="Pipeline",T437="Overdue"),ISNUMBER(W437)),IF(W437&lt;=Settings!$B$6,V437,0),0)</f>
        <v>0</v>
      </c>
      <c r="Y437" s="38" t="n">
        <f aca="false">IF(AND(OR(T437="Backlog",T437="Pipeline",T437="Overdue"),ISNUMBER(W437)),IF(W437&lt;=Settings!$B$6,Q437,0),0)</f>
        <v>0</v>
      </c>
      <c r="Z437" s="38" t="n">
        <f aca="false">IF(Y437=0,0,IF(T437="Backlog",Q437,Q437*Dashboard!$C$10))</f>
        <v>0</v>
      </c>
      <c r="AA437" s="37" t="n">
        <f aca="false">IF($N437="",0,IF(COUNTIF(Dashboard!$C$13:$C$22,$N437)&gt;0,1,0))</f>
        <v>0</v>
      </c>
      <c r="AB437" s="37" t="str">
        <f aca="false">IF($N437="","",IF(COUNTIF($N$8:$N437,$N437)=1,MAX($AB$7:$AB436)+1,""))</f>
        <v/>
      </c>
    </row>
    <row r="438" customFormat="false" ht="15" hidden="false" customHeight="false" outlineLevel="0" collapsed="false">
      <c r="B438" s="32" t="s">
        <v>1097</v>
      </c>
      <c r="C438" s="32" t="s">
        <v>188</v>
      </c>
      <c r="D438" s="35" t="n">
        <v>4631</v>
      </c>
      <c r="E438" s="32" t="s">
        <v>141</v>
      </c>
      <c r="F438" s="36" t="n">
        <v>46237</v>
      </c>
      <c r="G438" s="32" t="s">
        <v>1098</v>
      </c>
      <c r="L438" s="37" t="str">
        <f aca="false">IF(INDEX($A438:$J438,$L$6)&lt;&gt;"",TRIM(LEFT(INDEX($A438:$J438,$L$6),FIND("(",INDEX($A438:$J438,$L$6)&amp;"(")-1)),L437)</f>
        <v>Closed Won</v>
      </c>
      <c r="M438" s="37" t="str">
        <f aca="false">IF(INDEX($A438:$J438,$M$6)="","",INDEX($A438:$J438,$M$6)&amp;"")</f>
        <v>Aware | SYD 28.06 Services - 26062901</v>
      </c>
      <c r="N438" s="37" t="str">
        <f aca="false">IF($M438="","",TRIM(INDEX($A438:$J438,$N$6)&amp;""))</f>
        <v>Aware Super</v>
      </c>
      <c r="O438" s="37" t="str">
        <f aca="false">IF($M438="","",TRIM(INDEX($A438:$J438,$O$6)&amp;""))</f>
        <v>Integration</v>
      </c>
      <c r="P438" s="37" t="str">
        <f aca="false">IF($M438="","",IFERROR(IF(INDEX(Settings!$B$41:$B$50,MATCH(O438,Settings!$A$41:$A$50,0))&amp;""="","UNMAPPED",INDEX(Settings!$B$41:$B$50,MATCH(O438,Settings!$A$41:$A$50,0))&amp;""),"UNMAPPED"))</f>
        <v>Integration</v>
      </c>
      <c r="Q438" s="38" t="n">
        <f aca="false">IF($M438="",0,N(INDEX($A438:$J438,$Q$6)))</f>
        <v>4631</v>
      </c>
      <c r="R438" s="39" t="n">
        <f aca="false">IF($M438="","",INDEX($A438:$J438,$R$6))</f>
        <v>46237</v>
      </c>
      <c r="S438" s="37" t="str">
        <f aca="false">IF($M438="","",IFERROR(INDEX(Settings!$B$27:$B$36,MATCH(L438,Settings!$A$27:$A$36,0))&amp;"","UNMAPPED"))</f>
        <v>Won</v>
      </c>
      <c r="T438" s="37" t="str">
        <f aca="false">IF($M438="","",IF(NOT(ISNUMBER(R438)),"NO DATE",IF(S438="Won",IF(R438&gt;Settings!$B$5,"Backlog","Delivered"),IF(S438="Open",IF(R438&gt;Settings!$B$5,"Pipeline","Overdue"),IF(S438="Lost","Lost","UNMAPPED")))))</f>
        <v>Delivered</v>
      </c>
      <c r="U438" s="40" t="n">
        <f aca="false">IF(T438="Backlog",1,IF(OR(T438="Pipeline",T438="Overdue"),N(INDEX(Settings!$C$27:$C$36,MATCH(L438,Settings!$A$27:$A$36,0))),0))</f>
        <v>0</v>
      </c>
      <c r="V438" s="38" t="n">
        <f aca="false">Q438*U438</f>
        <v>0</v>
      </c>
      <c r="W438" s="41" t="n">
        <f aca="false">IF($M438="","",IF(T438="Overdue",IF(Settings!$B$8="Yes",Settings!$B$7,""),IF(ISNUMBER(R438),DATE(YEAR(R438),MONTH(R438),1),"")))</f>
        <v>46235</v>
      </c>
      <c r="X438" s="38" t="n">
        <f aca="false">IF(AND(OR(T438="Backlog",T438="Pipeline",T438="Overdue"),ISNUMBER(W438)),IF(W438&lt;=Settings!$B$6,V438,0),0)</f>
        <v>0</v>
      </c>
      <c r="Y438" s="38" t="n">
        <f aca="false">IF(AND(OR(T438="Backlog",T438="Pipeline",T438="Overdue"),ISNUMBER(W438)),IF(W438&lt;=Settings!$B$6,Q438,0),0)</f>
        <v>0</v>
      </c>
      <c r="Z438" s="38" t="n">
        <f aca="false">IF(Y438=0,0,IF(T438="Backlog",Q438,Q438*Dashboard!$C$10))</f>
        <v>0</v>
      </c>
      <c r="AA438" s="37" t="n">
        <f aca="false">IF($N438="",0,IF(COUNTIF(Dashboard!$C$13:$C$22,$N438)&gt;0,1,0))</f>
        <v>0</v>
      </c>
      <c r="AB438" s="37" t="str">
        <f aca="false">IF($N438="","",IF(COUNTIF($N$8:$N438,$N438)=1,MAX($AB$7:$AB437)+1,""))</f>
        <v/>
      </c>
    </row>
    <row r="439" customFormat="false" ht="15" hidden="false" customHeight="false" outlineLevel="0" collapsed="false">
      <c r="B439" s="32" t="s">
        <v>1099</v>
      </c>
      <c r="C439" s="32" t="s">
        <v>154</v>
      </c>
      <c r="D439" s="35" t="n">
        <v>1925</v>
      </c>
      <c r="E439" s="32" t="s">
        <v>145</v>
      </c>
      <c r="F439" s="36" t="n">
        <v>46195</v>
      </c>
      <c r="G439" s="32" t="s">
        <v>1100</v>
      </c>
      <c r="L439" s="37" t="str">
        <f aca="false">IF(INDEX($A439:$J439,$L$6)&lt;&gt;"",TRIM(LEFT(INDEX($A439:$J439,$L$6),FIND("(",INDEX($A439:$J439,$L$6)&amp;"(")-1)),L438)</f>
        <v>Closed Won</v>
      </c>
      <c r="M439" s="37" t="str">
        <f aca="false">IF(INDEX($A439:$J439,$M$6)="","",INDEX($A439:$J439,$M$6)&amp;"")</f>
        <v>PWC - Tax &amp; Legal Webcast</v>
      </c>
      <c r="N439" s="37" t="str">
        <f aca="false">IF($M439="","",TRIM(INDEX($A439:$J439,$N$6)&amp;""))</f>
        <v>PWC</v>
      </c>
      <c r="O439" s="37" t="str">
        <f aca="false">IF($M439="","",TRIM(INDEX($A439:$J439,$O$6)&amp;""))</f>
        <v>Event Production</v>
      </c>
      <c r="P439" s="37" t="str">
        <f aca="false">IF($M439="","",IFERROR(IF(INDEX(Settings!$B$41:$B$50,MATCH(O439,Settings!$A$41:$A$50,0))&amp;""="","UNMAPPED",INDEX(Settings!$B$41:$B$50,MATCH(O439,Settings!$A$41:$A$50,0))&amp;""),"UNMAPPED"))</f>
        <v>Production</v>
      </c>
      <c r="Q439" s="38" t="n">
        <f aca="false">IF($M439="",0,N(INDEX($A439:$J439,$Q$6)))</f>
        <v>1925</v>
      </c>
      <c r="R439" s="39" t="n">
        <f aca="false">IF($M439="","",INDEX($A439:$J439,$R$6))</f>
        <v>46195</v>
      </c>
      <c r="S439" s="37" t="str">
        <f aca="false">IF($M439="","",IFERROR(INDEX(Settings!$B$27:$B$36,MATCH(L439,Settings!$A$27:$A$36,0))&amp;"","UNMAPPED"))</f>
        <v>Won</v>
      </c>
      <c r="T439" s="37" t="str">
        <f aca="false">IF($M439="","",IF(NOT(ISNUMBER(R439)),"NO DATE",IF(S439="Won",IF(R439&gt;Settings!$B$5,"Backlog","Delivered"),IF(S439="Open",IF(R439&gt;Settings!$B$5,"Pipeline","Overdue"),IF(S439="Lost","Lost","UNMAPPED")))))</f>
        <v>Delivered</v>
      </c>
      <c r="U439" s="40" t="n">
        <f aca="false">IF(T439="Backlog",1,IF(OR(T439="Pipeline",T439="Overdue"),N(INDEX(Settings!$C$27:$C$36,MATCH(L439,Settings!$A$27:$A$36,0))),0))</f>
        <v>0</v>
      </c>
      <c r="V439" s="38" t="n">
        <f aca="false">Q439*U439</f>
        <v>0</v>
      </c>
      <c r="W439" s="41" t="n">
        <f aca="false">IF($M439="","",IF(T439="Overdue",IF(Settings!$B$8="Yes",Settings!$B$7,""),IF(ISNUMBER(R439),DATE(YEAR(R439),MONTH(R439),1),"")))</f>
        <v>46174</v>
      </c>
      <c r="X439" s="38" t="n">
        <f aca="false">IF(AND(OR(T439="Backlog",T439="Pipeline",T439="Overdue"),ISNUMBER(W439)),IF(W439&lt;=Settings!$B$6,V439,0),0)</f>
        <v>0</v>
      </c>
      <c r="Y439" s="38" t="n">
        <f aca="false">IF(AND(OR(T439="Backlog",T439="Pipeline",T439="Overdue"),ISNUMBER(W439)),IF(W439&lt;=Settings!$B$6,Q439,0),0)</f>
        <v>0</v>
      </c>
      <c r="Z439" s="38" t="n">
        <f aca="false">IF(Y439=0,0,IF(T439="Backlog",Q439,Q439*Dashboard!$C$10))</f>
        <v>0</v>
      </c>
      <c r="AA439" s="37" t="n">
        <f aca="false">IF($N439="",0,IF(COUNTIF(Dashboard!$C$13:$C$22,$N439)&gt;0,1,0))</f>
        <v>0</v>
      </c>
      <c r="AB439" s="37" t="str">
        <f aca="false">IF($N439="","",IF(COUNTIF($N$8:$N439,$N439)=1,MAX($AB$7:$AB438)+1,""))</f>
        <v/>
      </c>
    </row>
    <row r="440" customFormat="false" ht="15" hidden="false" customHeight="false" outlineLevel="0" collapsed="false">
      <c r="B440" s="32" t="s">
        <v>1101</v>
      </c>
      <c r="C440" s="32" t="s">
        <v>267</v>
      </c>
      <c r="D440" s="35" t="n">
        <v>475</v>
      </c>
      <c r="E440" s="32" t="s">
        <v>145</v>
      </c>
      <c r="F440" s="36" t="n">
        <v>45903</v>
      </c>
      <c r="G440" s="32" t="s">
        <v>1102</v>
      </c>
      <c r="L440" s="37" t="str">
        <f aca="false">IF(INDEX($A440:$J440,$L$6)&lt;&gt;"",TRIM(LEFT(INDEX($A440:$J440,$L$6),FIND("(",INDEX($A440:$J440,$L$6)&amp;"(")-1)),L439)</f>
        <v>Closed Won</v>
      </c>
      <c r="M440" s="37" t="str">
        <f aca="false">IF(INDEX($A440:$J440,$M$6)="","",INDEX($A440:$J440,$M$6)&amp;"")</f>
        <v>Fund Advisors Audio Op - 3 9 25</v>
      </c>
      <c r="N440" s="37" t="str">
        <f aca="false">IF($M440="","",TRIM(INDEX($A440:$J440,$N$6)&amp;""))</f>
        <v>Dimensional Fund Advisors</v>
      </c>
      <c r="O440" s="37" t="str">
        <f aca="false">IF($M440="","",TRIM(INDEX($A440:$J440,$O$6)&amp;""))</f>
        <v>Event Production</v>
      </c>
      <c r="P440" s="37" t="str">
        <f aca="false">IF($M440="","",IFERROR(IF(INDEX(Settings!$B$41:$B$50,MATCH(O440,Settings!$A$41:$A$50,0))&amp;""="","UNMAPPED",INDEX(Settings!$B$41:$B$50,MATCH(O440,Settings!$A$41:$A$50,0))&amp;""),"UNMAPPED"))</f>
        <v>Production</v>
      </c>
      <c r="Q440" s="38" t="n">
        <f aca="false">IF($M440="",0,N(INDEX($A440:$J440,$Q$6)))</f>
        <v>475</v>
      </c>
      <c r="R440" s="39" t="n">
        <f aca="false">IF($M440="","",INDEX($A440:$J440,$R$6))</f>
        <v>45903</v>
      </c>
      <c r="S440" s="37" t="str">
        <f aca="false">IF($M440="","",IFERROR(INDEX(Settings!$B$27:$B$36,MATCH(L440,Settings!$A$27:$A$36,0))&amp;"","UNMAPPED"))</f>
        <v>Won</v>
      </c>
      <c r="T440" s="37" t="str">
        <f aca="false">IF($M440="","",IF(NOT(ISNUMBER(R440)),"NO DATE",IF(S440="Won",IF(R440&gt;Settings!$B$5,"Backlog","Delivered"),IF(S440="Open",IF(R440&gt;Settings!$B$5,"Pipeline","Overdue"),IF(S440="Lost","Lost","UNMAPPED")))))</f>
        <v>Delivered</v>
      </c>
      <c r="U440" s="40" t="n">
        <f aca="false">IF(T440="Backlog",1,IF(OR(T440="Pipeline",T440="Overdue"),N(INDEX(Settings!$C$27:$C$36,MATCH(L440,Settings!$A$27:$A$36,0))),0))</f>
        <v>0</v>
      </c>
      <c r="V440" s="38" t="n">
        <f aca="false">Q440*U440</f>
        <v>0</v>
      </c>
      <c r="W440" s="41" t="n">
        <f aca="false">IF($M440="","",IF(T440="Overdue",IF(Settings!$B$8="Yes",Settings!$B$7,""),IF(ISNUMBER(R440),DATE(YEAR(R440),MONTH(R440),1),"")))</f>
        <v>45901</v>
      </c>
      <c r="X440" s="38" t="n">
        <f aca="false">IF(AND(OR(T440="Backlog",T440="Pipeline",T440="Overdue"),ISNUMBER(W440)),IF(W440&lt;=Settings!$B$6,V440,0),0)</f>
        <v>0</v>
      </c>
      <c r="Y440" s="38" t="n">
        <f aca="false">IF(AND(OR(T440="Backlog",T440="Pipeline",T440="Overdue"),ISNUMBER(W440)),IF(W440&lt;=Settings!$B$6,Q440,0),0)</f>
        <v>0</v>
      </c>
      <c r="Z440" s="38" t="n">
        <f aca="false">IF(Y440=0,0,IF(T440="Backlog",Q440,Q440*Dashboard!$C$10))</f>
        <v>0</v>
      </c>
      <c r="AA440" s="37" t="n">
        <f aca="false">IF($N440="",0,IF(COUNTIF(Dashboard!$C$13:$C$22,$N440)&gt;0,1,0))</f>
        <v>0</v>
      </c>
      <c r="AB440" s="37" t="str">
        <f aca="false">IF($N440="","",IF(COUNTIF($N$8:$N440,$N440)=1,MAX($AB$7:$AB439)+1,""))</f>
        <v/>
      </c>
    </row>
    <row r="441" customFormat="false" ht="15" hidden="false" customHeight="false" outlineLevel="0" collapsed="false">
      <c r="B441" s="32" t="s">
        <v>1103</v>
      </c>
      <c r="C441" s="32" t="s">
        <v>163</v>
      </c>
      <c r="D441" s="35" t="n">
        <v>11500</v>
      </c>
      <c r="E441" s="32" t="s">
        <v>145</v>
      </c>
      <c r="F441" s="36" t="n">
        <v>45931</v>
      </c>
      <c r="G441" s="32" t="s">
        <v>1104</v>
      </c>
      <c r="L441" s="37" t="str">
        <f aca="false">IF(INDEX($A441:$J441,$L$6)&lt;&gt;"",TRIM(LEFT(INDEX($A441:$J441,$L$6),FIND("(",INDEX($A441:$J441,$L$6)&amp;"(")-1)),L440)</f>
        <v>Closed Won</v>
      </c>
      <c r="M441" s="37" t="str">
        <f aca="false">IF(INDEX($A441:$J441,$M$6)="","",INDEX($A441:$J441,$M$6)&amp;"")</f>
        <v>HUB24 AGM 20.11.25</v>
      </c>
      <c r="N441" s="37" t="str">
        <f aca="false">IF($M441="","",TRIM(INDEX($A441:$J441,$N$6)&amp;""))</f>
        <v>Automic Group</v>
      </c>
      <c r="O441" s="37" t="str">
        <f aca="false">IF($M441="","",TRIM(INDEX($A441:$J441,$O$6)&amp;""))</f>
        <v>Event Production</v>
      </c>
      <c r="P441" s="37" t="str">
        <f aca="false">IF($M441="","",IFERROR(IF(INDEX(Settings!$B$41:$B$50,MATCH(O441,Settings!$A$41:$A$50,0))&amp;""="","UNMAPPED",INDEX(Settings!$B$41:$B$50,MATCH(O441,Settings!$A$41:$A$50,0))&amp;""),"UNMAPPED"))</f>
        <v>Production</v>
      </c>
      <c r="Q441" s="38" t="n">
        <f aca="false">IF($M441="",0,N(INDEX($A441:$J441,$Q$6)))</f>
        <v>11500</v>
      </c>
      <c r="R441" s="39" t="n">
        <f aca="false">IF($M441="","",INDEX($A441:$J441,$R$6))</f>
        <v>45931</v>
      </c>
      <c r="S441" s="37" t="str">
        <f aca="false">IF($M441="","",IFERROR(INDEX(Settings!$B$27:$B$36,MATCH(L441,Settings!$A$27:$A$36,0))&amp;"","UNMAPPED"))</f>
        <v>Won</v>
      </c>
      <c r="T441" s="37" t="str">
        <f aca="false">IF($M441="","",IF(NOT(ISNUMBER(R441)),"NO DATE",IF(S441="Won",IF(R441&gt;Settings!$B$5,"Backlog","Delivered"),IF(S441="Open",IF(R441&gt;Settings!$B$5,"Pipeline","Overdue"),IF(S441="Lost","Lost","UNMAPPED")))))</f>
        <v>Delivered</v>
      </c>
      <c r="U441" s="40" t="n">
        <f aca="false">IF(T441="Backlog",1,IF(OR(T441="Pipeline",T441="Overdue"),N(INDEX(Settings!$C$27:$C$36,MATCH(L441,Settings!$A$27:$A$36,0))),0))</f>
        <v>0</v>
      </c>
      <c r="V441" s="38" t="n">
        <f aca="false">Q441*U441</f>
        <v>0</v>
      </c>
      <c r="W441" s="41" t="n">
        <f aca="false">IF($M441="","",IF(T441="Overdue",IF(Settings!$B$8="Yes",Settings!$B$7,""),IF(ISNUMBER(R441),DATE(YEAR(R441),MONTH(R441),1),"")))</f>
        <v>45931</v>
      </c>
      <c r="X441" s="38" t="n">
        <f aca="false">IF(AND(OR(T441="Backlog",T441="Pipeline",T441="Overdue"),ISNUMBER(W441)),IF(W441&lt;=Settings!$B$6,V441,0),0)</f>
        <v>0</v>
      </c>
      <c r="Y441" s="38" t="n">
        <f aca="false">IF(AND(OR(T441="Backlog",T441="Pipeline",T441="Overdue"),ISNUMBER(W441)),IF(W441&lt;=Settings!$B$6,Q441,0),0)</f>
        <v>0</v>
      </c>
      <c r="Z441" s="38" t="n">
        <f aca="false">IF(Y441=0,0,IF(T441="Backlog",Q441,Q441*Dashboard!$C$10))</f>
        <v>0</v>
      </c>
      <c r="AA441" s="37" t="n">
        <f aca="false">IF($N441="",0,IF(COUNTIF(Dashboard!$C$13:$C$22,$N441)&gt;0,1,0))</f>
        <v>0</v>
      </c>
      <c r="AB441" s="37" t="str">
        <f aca="false">IF($N441="","",IF(COUNTIF($N$8:$N441,$N441)=1,MAX($AB$7:$AB440)+1,""))</f>
        <v/>
      </c>
    </row>
    <row r="442" customFormat="false" ht="15" hidden="false" customHeight="false" outlineLevel="0" collapsed="false">
      <c r="B442" s="32" t="s">
        <v>973</v>
      </c>
      <c r="C442" s="32" t="s">
        <v>974</v>
      </c>
      <c r="D442" s="35" t="n">
        <v>810</v>
      </c>
      <c r="E442" s="32" t="s">
        <v>145</v>
      </c>
      <c r="F442" s="36" t="n">
        <v>45895</v>
      </c>
      <c r="G442" s="32" t="s">
        <v>1105</v>
      </c>
      <c r="L442" s="37" t="str">
        <f aca="false">IF(INDEX($A442:$J442,$L$6)&lt;&gt;"",TRIM(LEFT(INDEX($A442:$J442,$L$6),FIND("(",INDEX($A442:$J442,$L$6)&amp;"(")-1)),L441)</f>
        <v>Closed Won</v>
      </c>
      <c r="M442" s="37" t="str">
        <f aca="false">IF(INDEX($A442:$J442,$M$6)="","",INDEX($A442:$J442,$M$6)&amp;"")</f>
        <v>St Vincents Public Hospital - Awards Night - 26.8.25</v>
      </c>
      <c r="N442" s="37" t="str">
        <f aca="false">IF($M442="","",TRIM(INDEX($A442:$J442,$N$6)&amp;""))</f>
        <v>St Vincent's Public Hospital Sydney (SVHS)</v>
      </c>
      <c r="O442" s="37" t="str">
        <f aca="false">IF($M442="","",TRIM(INDEX($A442:$J442,$O$6)&amp;""))</f>
        <v>Event Production</v>
      </c>
      <c r="P442" s="37" t="str">
        <f aca="false">IF($M442="","",IFERROR(IF(INDEX(Settings!$B$41:$B$50,MATCH(O442,Settings!$A$41:$A$50,0))&amp;""="","UNMAPPED",INDEX(Settings!$B$41:$B$50,MATCH(O442,Settings!$A$41:$A$50,0))&amp;""),"UNMAPPED"))</f>
        <v>Production</v>
      </c>
      <c r="Q442" s="38" t="n">
        <f aca="false">IF($M442="",0,N(INDEX($A442:$J442,$Q$6)))</f>
        <v>810</v>
      </c>
      <c r="R442" s="39" t="n">
        <f aca="false">IF($M442="","",INDEX($A442:$J442,$R$6))</f>
        <v>45895</v>
      </c>
      <c r="S442" s="37" t="str">
        <f aca="false">IF($M442="","",IFERROR(INDEX(Settings!$B$27:$B$36,MATCH(L442,Settings!$A$27:$A$36,0))&amp;"","UNMAPPED"))</f>
        <v>Won</v>
      </c>
      <c r="T442" s="37" t="str">
        <f aca="false">IF($M442="","",IF(NOT(ISNUMBER(R442)),"NO DATE",IF(S442="Won",IF(R442&gt;Settings!$B$5,"Backlog","Delivered"),IF(S442="Open",IF(R442&gt;Settings!$B$5,"Pipeline","Overdue"),IF(S442="Lost","Lost","UNMAPPED")))))</f>
        <v>Delivered</v>
      </c>
      <c r="U442" s="40" t="n">
        <f aca="false">IF(T442="Backlog",1,IF(OR(T442="Pipeline",T442="Overdue"),N(INDEX(Settings!$C$27:$C$36,MATCH(L442,Settings!$A$27:$A$36,0))),0))</f>
        <v>0</v>
      </c>
      <c r="V442" s="38" t="n">
        <f aca="false">Q442*U442</f>
        <v>0</v>
      </c>
      <c r="W442" s="41" t="n">
        <f aca="false">IF($M442="","",IF(T442="Overdue",IF(Settings!$B$8="Yes",Settings!$B$7,""),IF(ISNUMBER(R442),DATE(YEAR(R442),MONTH(R442),1),"")))</f>
        <v>45870</v>
      </c>
      <c r="X442" s="38" t="n">
        <f aca="false">IF(AND(OR(T442="Backlog",T442="Pipeline",T442="Overdue"),ISNUMBER(W442)),IF(W442&lt;=Settings!$B$6,V442,0),0)</f>
        <v>0</v>
      </c>
      <c r="Y442" s="38" t="n">
        <f aca="false">IF(AND(OR(T442="Backlog",T442="Pipeline",T442="Overdue"),ISNUMBER(W442)),IF(W442&lt;=Settings!$B$6,Q442,0),0)</f>
        <v>0</v>
      </c>
      <c r="Z442" s="38" t="n">
        <f aca="false">IF(Y442=0,0,IF(T442="Backlog",Q442,Q442*Dashboard!$C$10))</f>
        <v>0</v>
      </c>
      <c r="AA442" s="37" t="n">
        <f aca="false">IF($N442="",0,IF(COUNTIF(Dashboard!$C$13:$C$22,$N442)&gt;0,1,0))</f>
        <v>0</v>
      </c>
      <c r="AB442" s="37" t="str">
        <f aca="false">IF($N442="","",IF(COUNTIF($N$8:$N442,$N442)=1,MAX($AB$7:$AB441)+1,""))</f>
        <v/>
      </c>
    </row>
    <row r="443" customFormat="false" ht="15" hidden="false" customHeight="false" outlineLevel="0" collapsed="false">
      <c r="B443" s="32" t="s">
        <v>1106</v>
      </c>
      <c r="C443" s="32" t="s">
        <v>160</v>
      </c>
      <c r="D443" s="35" t="n">
        <v>380</v>
      </c>
      <c r="E443" s="32" t="s">
        <v>145</v>
      </c>
      <c r="F443" s="36" t="n">
        <v>46121</v>
      </c>
      <c r="G443" s="32" t="s">
        <v>1107</v>
      </c>
      <c r="L443" s="37" t="str">
        <f aca="false">IF(INDEX($A443:$J443,$L$6)&lt;&gt;"",TRIM(LEFT(INDEX($A443:$J443,$L$6),FIND("(",INDEX($A443:$J443,$L$6)&amp;"(")-1)),L442)</f>
        <v>Closed Won</v>
      </c>
      <c r="M443" s="37" t="str">
        <f aca="false">IF(INDEX($A443:$J443,$M$6)="","",INDEX($A443:$J443,$M$6)&amp;"")</f>
        <v>Elkiem - Studio Support 15.4.26</v>
      </c>
      <c r="N443" s="37" t="str">
        <f aca="false">IF($M443="","",TRIM(INDEX($A443:$J443,$N$6)&amp;""))</f>
        <v>Elkiem</v>
      </c>
      <c r="O443" s="37" t="str">
        <f aca="false">IF($M443="","",TRIM(INDEX($A443:$J443,$O$6)&amp;""))</f>
        <v>Event Production</v>
      </c>
      <c r="P443" s="37" t="str">
        <f aca="false">IF($M443="","",IFERROR(IF(INDEX(Settings!$B$41:$B$50,MATCH(O443,Settings!$A$41:$A$50,0))&amp;""="","UNMAPPED",INDEX(Settings!$B$41:$B$50,MATCH(O443,Settings!$A$41:$A$50,0))&amp;""),"UNMAPPED"))</f>
        <v>Production</v>
      </c>
      <c r="Q443" s="38" t="n">
        <f aca="false">IF($M443="",0,N(INDEX($A443:$J443,$Q$6)))</f>
        <v>380</v>
      </c>
      <c r="R443" s="39" t="n">
        <f aca="false">IF($M443="","",INDEX($A443:$J443,$R$6))</f>
        <v>46121</v>
      </c>
      <c r="S443" s="37" t="str">
        <f aca="false">IF($M443="","",IFERROR(INDEX(Settings!$B$27:$B$36,MATCH(L443,Settings!$A$27:$A$36,0))&amp;"","UNMAPPED"))</f>
        <v>Won</v>
      </c>
      <c r="T443" s="37" t="str">
        <f aca="false">IF($M443="","",IF(NOT(ISNUMBER(R443)),"NO DATE",IF(S443="Won",IF(R443&gt;Settings!$B$5,"Backlog","Delivered"),IF(S443="Open",IF(R443&gt;Settings!$B$5,"Pipeline","Overdue"),IF(S443="Lost","Lost","UNMAPPED")))))</f>
        <v>Delivered</v>
      </c>
      <c r="U443" s="40" t="n">
        <f aca="false">IF(T443="Backlog",1,IF(OR(T443="Pipeline",T443="Overdue"),N(INDEX(Settings!$C$27:$C$36,MATCH(L443,Settings!$A$27:$A$36,0))),0))</f>
        <v>0</v>
      </c>
      <c r="V443" s="38" t="n">
        <f aca="false">Q443*U443</f>
        <v>0</v>
      </c>
      <c r="W443" s="41" t="n">
        <f aca="false">IF($M443="","",IF(T443="Overdue",IF(Settings!$B$8="Yes",Settings!$B$7,""),IF(ISNUMBER(R443),DATE(YEAR(R443),MONTH(R443),1),"")))</f>
        <v>46113</v>
      </c>
      <c r="X443" s="38" t="n">
        <f aca="false">IF(AND(OR(T443="Backlog",T443="Pipeline",T443="Overdue"),ISNUMBER(W443)),IF(W443&lt;=Settings!$B$6,V443,0),0)</f>
        <v>0</v>
      </c>
      <c r="Y443" s="38" t="n">
        <f aca="false">IF(AND(OR(T443="Backlog",T443="Pipeline",T443="Overdue"),ISNUMBER(W443)),IF(W443&lt;=Settings!$B$6,Q443,0),0)</f>
        <v>0</v>
      </c>
      <c r="Z443" s="38" t="n">
        <f aca="false">IF(Y443=0,0,IF(T443="Backlog",Q443,Q443*Dashboard!$C$10))</f>
        <v>0</v>
      </c>
      <c r="AA443" s="37" t="n">
        <f aca="false">IF($N443="",0,IF(COUNTIF(Dashboard!$C$13:$C$22,$N443)&gt;0,1,0))</f>
        <v>0</v>
      </c>
      <c r="AB443" s="37" t="str">
        <f aca="false">IF($N443="","",IF(COUNTIF($N$8:$N443,$N443)=1,MAX($AB$7:$AB442)+1,""))</f>
        <v/>
      </c>
    </row>
    <row r="444" customFormat="false" ht="15" hidden="false" customHeight="false" outlineLevel="0" collapsed="false">
      <c r="B444" s="32" t="s">
        <v>1108</v>
      </c>
      <c r="C444" s="32" t="s">
        <v>194</v>
      </c>
      <c r="D444" s="35" t="n">
        <v>10150</v>
      </c>
      <c r="E444" s="32" t="s">
        <v>145</v>
      </c>
      <c r="F444" s="36" t="n">
        <v>46258</v>
      </c>
      <c r="G444" s="32" t="s">
        <v>1109</v>
      </c>
      <c r="L444" s="37" t="str">
        <f aca="false">IF(INDEX($A444:$J444,$L$6)&lt;&gt;"",TRIM(LEFT(INDEX($A444:$J444,$L$6),FIND("(",INDEX($A444:$J444,$L$6)&amp;"(")-1)),L443)</f>
        <v>Closed Won</v>
      </c>
      <c r="M444" s="37" t="str">
        <f aca="false">IF(INDEX($A444:$J444,$M$6)="","",INDEX($A444:$J444,$M$6)&amp;"")</f>
        <v>Ventia - Half Year Results Briefing - 24.8.26</v>
      </c>
      <c r="N444" s="37" t="str">
        <f aca="false">IF($M444="","",TRIM(INDEX($A444:$J444,$N$6)&amp;""))</f>
        <v>Ventia</v>
      </c>
      <c r="O444" s="37" t="str">
        <f aca="false">IF($M444="","",TRIM(INDEX($A444:$J444,$O$6)&amp;""))</f>
        <v>Event Production</v>
      </c>
      <c r="P444" s="37" t="str">
        <f aca="false">IF($M444="","",IFERROR(IF(INDEX(Settings!$B$41:$B$50,MATCH(O444,Settings!$A$41:$A$50,0))&amp;""="","UNMAPPED",INDEX(Settings!$B$41:$B$50,MATCH(O444,Settings!$A$41:$A$50,0))&amp;""),"UNMAPPED"))</f>
        <v>Production</v>
      </c>
      <c r="Q444" s="38" t="n">
        <f aca="false">IF($M444="",0,N(INDEX($A444:$J444,$Q$6)))</f>
        <v>10150</v>
      </c>
      <c r="R444" s="39" t="n">
        <f aca="false">IF($M444="","",INDEX($A444:$J444,$R$6))</f>
        <v>46258</v>
      </c>
      <c r="S444" s="37" t="str">
        <f aca="false">IF($M444="","",IFERROR(INDEX(Settings!$B$27:$B$36,MATCH(L444,Settings!$A$27:$A$36,0))&amp;"","UNMAPPED"))</f>
        <v>Won</v>
      </c>
      <c r="T444" s="37" t="str">
        <f aca="false">IF($M444="","",IF(NOT(ISNUMBER(R444)),"NO DATE",IF(S444="Won",IF(R444&gt;Settings!$B$5,"Backlog","Delivered"),IF(S444="Open",IF(R444&gt;Settings!$B$5,"Pipeline","Overdue"),IF(S444="Lost","Lost","UNMAPPED")))))</f>
        <v>Delivered</v>
      </c>
      <c r="U444" s="40" t="n">
        <f aca="false">IF(T444="Backlog",1,IF(OR(T444="Pipeline",T444="Overdue"),N(INDEX(Settings!$C$27:$C$36,MATCH(L444,Settings!$A$27:$A$36,0))),0))</f>
        <v>0</v>
      </c>
      <c r="V444" s="38" t="n">
        <f aca="false">Q444*U444</f>
        <v>0</v>
      </c>
      <c r="W444" s="41" t="n">
        <f aca="false">IF($M444="","",IF(T444="Overdue",IF(Settings!$B$8="Yes",Settings!$B$7,""),IF(ISNUMBER(R444),DATE(YEAR(R444),MONTH(R444),1),"")))</f>
        <v>46235</v>
      </c>
      <c r="X444" s="38" t="n">
        <f aca="false">IF(AND(OR(T444="Backlog",T444="Pipeline",T444="Overdue"),ISNUMBER(W444)),IF(W444&lt;=Settings!$B$6,V444,0),0)</f>
        <v>0</v>
      </c>
      <c r="Y444" s="38" t="n">
        <f aca="false">IF(AND(OR(T444="Backlog",T444="Pipeline",T444="Overdue"),ISNUMBER(W444)),IF(W444&lt;=Settings!$B$6,Q444,0),0)</f>
        <v>0</v>
      </c>
      <c r="Z444" s="38" t="n">
        <f aca="false">IF(Y444=0,0,IF(T444="Backlog",Q444,Q444*Dashboard!$C$10))</f>
        <v>0</v>
      </c>
      <c r="AA444" s="37" t="n">
        <f aca="false">IF($N444="",0,IF(COUNTIF(Dashboard!$C$13:$C$22,$N444)&gt;0,1,0))</f>
        <v>0</v>
      </c>
      <c r="AB444" s="37" t="str">
        <f aca="false">IF($N444="","",IF(COUNTIF($N$8:$N444,$N444)=1,MAX($AB$7:$AB443)+1,""))</f>
        <v/>
      </c>
    </row>
    <row r="445" customFormat="false" ht="15" hidden="false" customHeight="false" outlineLevel="0" collapsed="false">
      <c r="B445" s="32" t="s">
        <v>1110</v>
      </c>
      <c r="C445" s="32" t="s">
        <v>188</v>
      </c>
      <c r="D445" s="35" t="n">
        <v>6217</v>
      </c>
      <c r="E445" s="32" t="s">
        <v>141</v>
      </c>
      <c r="F445" s="36" t="n">
        <v>46234</v>
      </c>
      <c r="G445" s="32" t="s">
        <v>1111</v>
      </c>
      <c r="L445" s="37" t="str">
        <f aca="false">IF(INDEX($A445:$J445,$L$6)&lt;&gt;"",TRIM(LEFT(INDEX($A445:$J445,$L$6),FIND("(",INDEX($A445:$J445,$L$6)&amp;"(")-1)),L444)</f>
        <v>Closed Won</v>
      </c>
      <c r="M445" s="37" t="str">
        <f aca="false">IF(INDEX($A445:$J445,$M$6)="","",INDEX($A445:$J445,$M$6)&amp;"")</f>
        <v>Aware | MEL 17.02 Amp Replacement - 26072101</v>
      </c>
      <c r="N445" s="37" t="str">
        <f aca="false">IF($M445="","",TRIM(INDEX($A445:$J445,$N$6)&amp;""))</f>
        <v>Aware Super</v>
      </c>
      <c r="O445" s="37" t="str">
        <f aca="false">IF($M445="","",TRIM(INDEX($A445:$J445,$O$6)&amp;""))</f>
        <v>Integration</v>
      </c>
      <c r="P445" s="37" t="str">
        <f aca="false">IF($M445="","",IFERROR(IF(INDEX(Settings!$B$41:$B$50,MATCH(O445,Settings!$A$41:$A$50,0))&amp;""="","UNMAPPED",INDEX(Settings!$B$41:$B$50,MATCH(O445,Settings!$A$41:$A$50,0))&amp;""),"UNMAPPED"))</f>
        <v>Integration</v>
      </c>
      <c r="Q445" s="38" t="n">
        <f aca="false">IF($M445="",0,N(INDEX($A445:$J445,$Q$6)))</f>
        <v>6217</v>
      </c>
      <c r="R445" s="39" t="n">
        <f aca="false">IF($M445="","",INDEX($A445:$J445,$R$6))</f>
        <v>46234</v>
      </c>
      <c r="S445" s="37" t="str">
        <f aca="false">IF($M445="","",IFERROR(INDEX(Settings!$B$27:$B$36,MATCH(L445,Settings!$A$27:$A$36,0))&amp;"","UNMAPPED"))</f>
        <v>Won</v>
      </c>
      <c r="T445" s="37" t="str">
        <f aca="false">IF($M445="","",IF(NOT(ISNUMBER(R445)),"NO DATE",IF(S445="Won",IF(R445&gt;Settings!$B$5,"Backlog","Delivered"),IF(S445="Open",IF(R445&gt;Settings!$B$5,"Pipeline","Overdue"),IF(S445="Lost","Lost","UNMAPPED")))))</f>
        <v>Delivered</v>
      </c>
      <c r="U445" s="40" t="n">
        <f aca="false">IF(T445="Backlog",1,IF(OR(T445="Pipeline",T445="Overdue"),N(INDEX(Settings!$C$27:$C$36,MATCH(L445,Settings!$A$27:$A$36,0))),0))</f>
        <v>0</v>
      </c>
      <c r="V445" s="38" t="n">
        <f aca="false">Q445*U445</f>
        <v>0</v>
      </c>
      <c r="W445" s="41" t="n">
        <f aca="false">IF($M445="","",IF(T445="Overdue",IF(Settings!$B$8="Yes",Settings!$B$7,""),IF(ISNUMBER(R445),DATE(YEAR(R445),MONTH(R445),1),"")))</f>
        <v>46204</v>
      </c>
      <c r="X445" s="38" t="n">
        <f aca="false">IF(AND(OR(T445="Backlog",T445="Pipeline",T445="Overdue"),ISNUMBER(W445)),IF(W445&lt;=Settings!$B$6,V445,0),0)</f>
        <v>0</v>
      </c>
      <c r="Y445" s="38" t="n">
        <f aca="false">IF(AND(OR(T445="Backlog",T445="Pipeline",T445="Overdue"),ISNUMBER(W445)),IF(W445&lt;=Settings!$B$6,Q445,0),0)</f>
        <v>0</v>
      </c>
      <c r="Z445" s="38" t="n">
        <f aca="false">IF(Y445=0,0,IF(T445="Backlog",Q445,Q445*Dashboard!$C$10))</f>
        <v>0</v>
      </c>
      <c r="AA445" s="37" t="n">
        <f aca="false">IF($N445="",0,IF(COUNTIF(Dashboard!$C$13:$C$22,$N445)&gt;0,1,0))</f>
        <v>0</v>
      </c>
      <c r="AB445" s="37" t="str">
        <f aca="false">IF($N445="","",IF(COUNTIF($N$8:$N445,$N445)=1,MAX($AB$7:$AB444)+1,""))</f>
        <v/>
      </c>
    </row>
    <row r="446" customFormat="false" ht="15" hidden="false" customHeight="false" outlineLevel="0" collapsed="false">
      <c r="B446" s="32" t="s">
        <v>1112</v>
      </c>
      <c r="C446" s="32" t="s">
        <v>1113</v>
      </c>
      <c r="D446" s="35" t="n">
        <v>1445</v>
      </c>
      <c r="E446" s="32" t="s">
        <v>145</v>
      </c>
      <c r="F446" s="36" t="n">
        <v>46140</v>
      </c>
      <c r="G446" s="32" t="s">
        <v>1114</v>
      </c>
      <c r="L446" s="37" t="str">
        <f aca="false">IF(INDEX($A446:$J446,$L$6)&lt;&gt;"",TRIM(LEFT(INDEX($A446:$J446,$L$6),FIND("(",INDEX($A446:$J446,$L$6)&amp;"(")-1)),L445)</f>
        <v>Closed Won</v>
      </c>
      <c r="M446" s="37" t="str">
        <f aca="false">IF(INDEX($A446:$J446,$M$6)="","",INDEX($A446:$J446,$M$6)&amp;"")</f>
        <v>SVHA - International Nurses Day - 12.5.26</v>
      </c>
      <c r="N446" s="37" t="str">
        <f aca="false">IF($M446="","",TRIM(INDEX($A446:$J446,$N$6)&amp;""))</f>
        <v>St. Vincent's Private Hospital (SVPH)</v>
      </c>
      <c r="O446" s="37" t="str">
        <f aca="false">IF($M446="","",TRIM(INDEX($A446:$J446,$O$6)&amp;""))</f>
        <v>Event Production</v>
      </c>
      <c r="P446" s="37" t="str">
        <f aca="false">IF($M446="","",IFERROR(IF(INDEX(Settings!$B$41:$B$50,MATCH(O446,Settings!$A$41:$A$50,0))&amp;""="","UNMAPPED",INDEX(Settings!$B$41:$B$50,MATCH(O446,Settings!$A$41:$A$50,0))&amp;""),"UNMAPPED"))</f>
        <v>Production</v>
      </c>
      <c r="Q446" s="38" t="n">
        <f aca="false">IF($M446="",0,N(INDEX($A446:$J446,$Q$6)))</f>
        <v>1445</v>
      </c>
      <c r="R446" s="39" t="n">
        <f aca="false">IF($M446="","",INDEX($A446:$J446,$R$6))</f>
        <v>46140</v>
      </c>
      <c r="S446" s="37" t="str">
        <f aca="false">IF($M446="","",IFERROR(INDEX(Settings!$B$27:$B$36,MATCH(L446,Settings!$A$27:$A$36,0))&amp;"","UNMAPPED"))</f>
        <v>Won</v>
      </c>
      <c r="T446" s="37" t="str">
        <f aca="false">IF($M446="","",IF(NOT(ISNUMBER(R446)),"NO DATE",IF(S446="Won",IF(R446&gt;Settings!$B$5,"Backlog","Delivered"),IF(S446="Open",IF(R446&gt;Settings!$B$5,"Pipeline","Overdue"),IF(S446="Lost","Lost","UNMAPPED")))))</f>
        <v>Delivered</v>
      </c>
      <c r="U446" s="40" t="n">
        <f aca="false">IF(T446="Backlog",1,IF(OR(T446="Pipeline",T446="Overdue"),N(INDEX(Settings!$C$27:$C$36,MATCH(L446,Settings!$A$27:$A$36,0))),0))</f>
        <v>0</v>
      </c>
      <c r="V446" s="38" t="n">
        <f aca="false">Q446*U446</f>
        <v>0</v>
      </c>
      <c r="W446" s="41" t="n">
        <f aca="false">IF($M446="","",IF(T446="Overdue",IF(Settings!$B$8="Yes",Settings!$B$7,""),IF(ISNUMBER(R446),DATE(YEAR(R446),MONTH(R446),1),"")))</f>
        <v>46113</v>
      </c>
      <c r="X446" s="38" t="n">
        <f aca="false">IF(AND(OR(T446="Backlog",T446="Pipeline",T446="Overdue"),ISNUMBER(W446)),IF(W446&lt;=Settings!$B$6,V446,0),0)</f>
        <v>0</v>
      </c>
      <c r="Y446" s="38" t="n">
        <f aca="false">IF(AND(OR(T446="Backlog",T446="Pipeline",T446="Overdue"),ISNUMBER(W446)),IF(W446&lt;=Settings!$B$6,Q446,0),0)</f>
        <v>0</v>
      </c>
      <c r="Z446" s="38" t="n">
        <f aca="false">IF(Y446=0,0,IF(T446="Backlog",Q446,Q446*Dashboard!$C$10))</f>
        <v>0</v>
      </c>
      <c r="AA446" s="37" t="n">
        <f aca="false">IF($N446="",0,IF(COUNTIF(Dashboard!$C$13:$C$22,$N446)&gt;0,1,0))</f>
        <v>0</v>
      </c>
      <c r="AB446" s="37" t="n">
        <f aca="false">IF($N446="","",IF(COUNTIF($N$8:$N446,$N446)=1,MAX($AB$7:$AB445)+1,""))</f>
        <v>96</v>
      </c>
    </row>
    <row r="447" customFormat="false" ht="15" hidden="false" customHeight="false" outlineLevel="0" collapsed="false">
      <c r="B447" s="32" t="s">
        <v>1115</v>
      </c>
      <c r="C447" s="32" t="s">
        <v>199</v>
      </c>
      <c r="D447" s="35" t="n">
        <v>340</v>
      </c>
      <c r="E447" s="32" t="s">
        <v>180</v>
      </c>
      <c r="F447" s="36" t="n">
        <v>46265</v>
      </c>
      <c r="G447" s="32" t="s">
        <v>1116</v>
      </c>
      <c r="L447" s="37" t="str">
        <f aca="false">IF(INDEX($A447:$J447,$L$6)&lt;&gt;"",TRIM(LEFT(INDEX($A447:$J447,$L$6),FIND("(",INDEX($A447:$J447,$L$6)&amp;"(")-1)),L446)</f>
        <v>Closed Won</v>
      </c>
      <c r="M447" s="37" t="str">
        <f aca="false">IF(INDEX($A447:$J447,$M$6)="","",INDEX($A447:$J447,$M$6)&amp;"")</f>
        <v>Event Support Technician</v>
      </c>
      <c r="N447" s="37" t="str">
        <f aca="false">IF($M447="","",TRIM(INDEX($A447:$J447,$N$6)&amp;""))</f>
        <v>Ricoh</v>
      </c>
      <c r="O447" s="37" t="str">
        <f aca="false">IF($M447="","",TRIM(INDEX($A447:$J447,$O$6)&amp;""))</f>
        <v>Support</v>
      </c>
      <c r="P447" s="37" t="str">
        <f aca="false">IF($M447="","",IFERROR(IF(INDEX(Settings!$B$41:$B$50,MATCH(O447,Settings!$A$41:$A$50,0))&amp;""="","UNMAPPED",INDEX(Settings!$B$41:$B$50,MATCH(O447,Settings!$A$41:$A$50,0))&amp;""),"UNMAPPED"))</f>
        <v>Onsite</v>
      </c>
      <c r="Q447" s="38" t="n">
        <f aca="false">IF($M447="",0,N(INDEX($A447:$J447,$Q$6)))</f>
        <v>340</v>
      </c>
      <c r="R447" s="39" t="n">
        <f aca="false">IF($M447="","",INDEX($A447:$J447,$R$6))</f>
        <v>46265</v>
      </c>
      <c r="S447" s="37" t="str">
        <f aca="false">IF($M447="","",IFERROR(INDEX(Settings!$B$27:$B$36,MATCH(L447,Settings!$A$27:$A$36,0))&amp;"","UNMAPPED"))</f>
        <v>Won</v>
      </c>
      <c r="T447" s="37" t="str">
        <f aca="false">IF($M447="","",IF(NOT(ISNUMBER(R447)),"NO DATE",IF(S447="Won",IF(R447&gt;Settings!$B$5,"Backlog","Delivered"),IF(S447="Open",IF(R447&gt;Settings!$B$5,"Pipeline","Overdue"),IF(S447="Lost","Lost","UNMAPPED")))))</f>
        <v>Delivered</v>
      </c>
      <c r="U447" s="40" t="n">
        <f aca="false">IF(T447="Backlog",1,IF(OR(T447="Pipeline",T447="Overdue"),N(INDEX(Settings!$C$27:$C$36,MATCH(L447,Settings!$A$27:$A$36,0))),0))</f>
        <v>0</v>
      </c>
      <c r="V447" s="38" t="n">
        <f aca="false">Q447*U447</f>
        <v>0</v>
      </c>
      <c r="W447" s="41" t="n">
        <f aca="false">IF($M447="","",IF(T447="Overdue",IF(Settings!$B$8="Yes",Settings!$B$7,""),IF(ISNUMBER(R447),DATE(YEAR(R447),MONTH(R447),1),"")))</f>
        <v>46235</v>
      </c>
      <c r="X447" s="38" t="n">
        <f aca="false">IF(AND(OR(T447="Backlog",T447="Pipeline",T447="Overdue"),ISNUMBER(W447)),IF(W447&lt;=Settings!$B$6,V447,0),0)</f>
        <v>0</v>
      </c>
      <c r="Y447" s="38" t="n">
        <f aca="false">IF(AND(OR(T447="Backlog",T447="Pipeline",T447="Overdue"),ISNUMBER(W447)),IF(W447&lt;=Settings!$B$6,Q447,0),0)</f>
        <v>0</v>
      </c>
      <c r="Z447" s="38" t="n">
        <f aca="false">IF(Y447=0,0,IF(T447="Backlog",Q447,Q447*Dashboard!$C$10))</f>
        <v>0</v>
      </c>
      <c r="AA447" s="37" t="n">
        <f aca="false">IF($N447="",0,IF(COUNTIF(Dashboard!$C$13:$C$22,$N447)&gt;0,1,0))</f>
        <v>0</v>
      </c>
      <c r="AB447" s="37" t="str">
        <f aca="false">IF($N447="","",IF(COUNTIF($N$8:$N447,$N447)=1,MAX($AB$7:$AB446)+1,""))</f>
        <v/>
      </c>
    </row>
    <row r="448" customFormat="false" ht="15" hidden="false" customHeight="false" outlineLevel="0" collapsed="false">
      <c r="B448" s="32" t="s">
        <v>1117</v>
      </c>
      <c r="C448" s="32" t="s">
        <v>154</v>
      </c>
      <c r="D448" s="35" t="n">
        <v>9000</v>
      </c>
      <c r="E448" s="32" t="s">
        <v>180</v>
      </c>
      <c r="F448" s="36" t="n">
        <v>45979</v>
      </c>
      <c r="G448" s="32" t="s">
        <v>1118</v>
      </c>
      <c r="L448" s="37" t="str">
        <f aca="false">IF(INDEX($A448:$J448,$L$6)&lt;&gt;"",TRIM(LEFT(INDEX($A448:$J448,$L$6),FIND("(",INDEX($A448:$J448,$L$6)&amp;"(")-1)),L447)</f>
        <v>Closed Won</v>
      </c>
      <c r="M448" s="37" t="str">
        <f aca="false">IF(INDEX($A448:$J448,$M$6)="","",INDEX($A448:$J448,$M$6)&amp;"")</f>
        <v>PWC Melbourne Support | Additional Tech 18th of Nov till 18th of Dec</v>
      </c>
      <c r="N448" s="37" t="str">
        <f aca="false">IF($M448="","",TRIM(INDEX($A448:$J448,$N$6)&amp;""))</f>
        <v>PWC</v>
      </c>
      <c r="O448" s="37" t="str">
        <f aca="false">IF($M448="","",TRIM(INDEX($A448:$J448,$O$6)&amp;""))</f>
        <v>Support</v>
      </c>
      <c r="P448" s="37" t="str">
        <f aca="false">IF($M448="","",IFERROR(IF(INDEX(Settings!$B$41:$B$50,MATCH(O448,Settings!$A$41:$A$50,0))&amp;""="","UNMAPPED",INDEX(Settings!$B$41:$B$50,MATCH(O448,Settings!$A$41:$A$50,0))&amp;""),"UNMAPPED"))</f>
        <v>Onsite</v>
      </c>
      <c r="Q448" s="38" t="n">
        <f aca="false">IF($M448="",0,N(INDEX($A448:$J448,$Q$6)))</f>
        <v>9000</v>
      </c>
      <c r="R448" s="39" t="n">
        <f aca="false">IF($M448="","",INDEX($A448:$J448,$R$6))</f>
        <v>45979</v>
      </c>
      <c r="S448" s="37" t="str">
        <f aca="false">IF($M448="","",IFERROR(INDEX(Settings!$B$27:$B$36,MATCH(L448,Settings!$A$27:$A$36,0))&amp;"","UNMAPPED"))</f>
        <v>Won</v>
      </c>
      <c r="T448" s="37" t="str">
        <f aca="false">IF($M448="","",IF(NOT(ISNUMBER(R448)),"NO DATE",IF(S448="Won",IF(R448&gt;Settings!$B$5,"Backlog","Delivered"),IF(S448="Open",IF(R448&gt;Settings!$B$5,"Pipeline","Overdue"),IF(S448="Lost","Lost","UNMAPPED")))))</f>
        <v>Delivered</v>
      </c>
      <c r="U448" s="40" t="n">
        <f aca="false">IF(T448="Backlog",1,IF(OR(T448="Pipeline",T448="Overdue"),N(INDEX(Settings!$C$27:$C$36,MATCH(L448,Settings!$A$27:$A$36,0))),0))</f>
        <v>0</v>
      </c>
      <c r="V448" s="38" t="n">
        <f aca="false">Q448*U448</f>
        <v>0</v>
      </c>
      <c r="W448" s="41" t="n">
        <f aca="false">IF($M448="","",IF(T448="Overdue",IF(Settings!$B$8="Yes",Settings!$B$7,""),IF(ISNUMBER(R448),DATE(YEAR(R448),MONTH(R448),1),"")))</f>
        <v>45962</v>
      </c>
      <c r="X448" s="38" t="n">
        <f aca="false">IF(AND(OR(T448="Backlog",T448="Pipeline",T448="Overdue"),ISNUMBER(W448)),IF(W448&lt;=Settings!$B$6,V448,0),0)</f>
        <v>0</v>
      </c>
      <c r="Y448" s="38" t="n">
        <f aca="false">IF(AND(OR(T448="Backlog",T448="Pipeline",T448="Overdue"),ISNUMBER(W448)),IF(W448&lt;=Settings!$B$6,Q448,0),0)</f>
        <v>0</v>
      </c>
      <c r="Z448" s="38" t="n">
        <f aca="false">IF(Y448=0,0,IF(T448="Backlog",Q448,Q448*Dashboard!$C$10))</f>
        <v>0</v>
      </c>
      <c r="AA448" s="37" t="n">
        <f aca="false">IF($N448="",0,IF(COUNTIF(Dashboard!$C$13:$C$22,$N448)&gt;0,1,0))</f>
        <v>0</v>
      </c>
      <c r="AB448" s="37" t="str">
        <f aca="false">IF($N448="","",IF(COUNTIF($N$8:$N448,$N448)=1,MAX($AB$7:$AB447)+1,""))</f>
        <v/>
      </c>
    </row>
    <row r="449" customFormat="false" ht="15" hidden="false" customHeight="false" outlineLevel="0" collapsed="false">
      <c r="B449" s="32" t="s">
        <v>1119</v>
      </c>
      <c r="C449" s="32" t="s">
        <v>387</v>
      </c>
      <c r="D449" s="35" t="n">
        <v>7896</v>
      </c>
      <c r="E449" s="32" t="s">
        <v>180</v>
      </c>
      <c r="F449" s="36" t="n">
        <v>46129</v>
      </c>
      <c r="G449" s="32" t="s">
        <v>1120</v>
      </c>
      <c r="L449" s="37" t="str">
        <f aca="false">IF(INDEX($A449:$J449,$L$6)&lt;&gt;"",TRIM(LEFT(INDEX($A449:$J449,$L$6),FIND("(",INDEX($A449:$J449,$L$6)&amp;"(")-1)),L448)</f>
        <v>Closed Won</v>
      </c>
      <c r="M449" s="37" t="str">
        <f aca="false">IF(INDEX($A449:$J449,$M$6)="","",INDEX($A449:$J449,$M$6)&amp;"")</f>
        <v>MEL_Bluetooth Audio - 26033004</v>
      </c>
      <c r="N449" s="37" t="str">
        <f aca="false">IF($M449="","",TRIM(INDEX($A449:$J449,$N$6)&amp;""))</f>
        <v>Deloitte - Melbourne</v>
      </c>
      <c r="O449" s="37" t="str">
        <f aca="false">IF($M449="","",TRIM(INDEX($A449:$J449,$O$6)&amp;""))</f>
        <v>Support</v>
      </c>
      <c r="P449" s="37" t="str">
        <f aca="false">IF($M449="","",IFERROR(IF(INDEX(Settings!$B$41:$B$50,MATCH(O449,Settings!$A$41:$A$50,0))&amp;""="","UNMAPPED",INDEX(Settings!$B$41:$B$50,MATCH(O449,Settings!$A$41:$A$50,0))&amp;""),"UNMAPPED"))</f>
        <v>Onsite</v>
      </c>
      <c r="Q449" s="38" t="n">
        <f aca="false">IF($M449="",0,N(INDEX($A449:$J449,$Q$6)))</f>
        <v>7896</v>
      </c>
      <c r="R449" s="39" t="n">
        <f aca="false">IF($M449="","",INDEX($A449:$J449,$R$6))</f>
        <v>46129</v>
      </c>
      <c r="S449" s="37" t="str">
        <f aca="false">IF($M449="","",IFERROR(INDEX(Settings!$B$27:$B$36,MATCH(L449,Settings!$A$27:$A$36,0))&amp;"","UNMAPPED"))</f>
        <v>Won</v>
      </c>
      <c r="T449" s="37" t="str">
        <f aca="false">IF($M449="","",IF(NOT(ISNUMBER(R449)),"NO DATE",IF(S449="Won",IF(R449&gt;Settings!$B$5,"Backlog","Delivered"),IF(S449="Open",IF(R449&gt;Settings!$B$5,"Pipeline","Overdue"),IF(S449="Lost","Lost","UNMAPPED")))))</f>
        <v>Delivered</v>
      </c>
      <c r="U449" s="40" t="n">
        <f aca="false">IF(T449="Backlog",1,IF(OR(T449="Pipeline",T449="Overdue"),N(INDEX(Settings!$C$27:$C$36,MATCH(L449,Settings!$A$27:$A$36,0))),0))</f>
        <v>0</v>
      </c>
      <c r="V449" s="38" t="n">
        <f aca="false">Q449*U449</f>
        <v>0</v>
      </c>
      <c r="W449" s="41" t="n">
        <f aca="false">IF($M449="","",IF(T449="Overdue",IF(Settings!$B$8="Yes",Settings!$B$7,""),IF(ISNUMBER(R449),DATE(YEAR(R449),MONTH(R449),1),"")))</f>
        <v>46113</v>
      </c>
      <c r="X449" s="38" t="n">
        <f aca="false">IF(AND(OR(T449="Backlog",T449="Pipeline",T449="Overdue"),ISNUMBER(W449)),IF(W449&lt;=Settings!$B$6,V449,0),0)</f>
        <v>0</v>
      </c>
      <c r="Y449" s="38" t="n">
        <f aca="false">IF(AND(OR(T449="Backlog",T449="Pipeline",T449="Overdue"),ISNUMBER(W449)),IF(W449&lt;=Settings!$B$6,Q449,0),0)</f>
        <v>0</v>
      </c>
      <c r="Z449" s="38" t="n">
        <f aca="false">IF(Y449=0,0,IF(T449="Backlog",Q449,Q449*Dashboard!$C$10))</f>
        <v>0</v>
      </c>
      <c r="AA449" s="37" t="n">
        <f aca="false">IF($N449="",0,IF(COUNTIF(Dashboard!$C$13:$C$22,$N449)&gt;0,1,0))</f>
        <v>0</v>
      </c>
      <c r="AB449" s="37" t="str">
        <f aca="false">IF($N449="","",IF(COUNTIF($N$8:$N449,$N449)=1,MAX($AB$7:$AB448)+1,""))</f>
        <v/>
      </c>
    </row>
    <row r="450" customFormat="false" ht="15" hidden="false" customHeight="false" outlineLevel="0" collapsed="false">
      <c r="B450" s="32" t="s">
        <v>1121</v>
      </c>
      <c r="C450" s="32" t="s">
        <v>253</v>
      </c>
      <c r="D450" s="35" t="n">
        <v>1279</v>
      </c>
      <c r="E450" s="32" t="s">
        <v>145</v>
      </c>
      <c r="F450" s="36" t="n">
        <v>45875</v>
      </c>
      <c r="G450" s="32" t="s">
        <v>1122</v>
      </c>
      <c r="L450" s="37" t="str">
        <f aca="false">IF(INDEX($A450:$J450,$L$6)&lt;&gt;"",TRIM(LEFT(INDEX($A450:$J450,$L$6),FIND("(",INDEX($A450:$J450,$L$6)&amp;"(")-1)),L449)</f>
        <v>Closed Won</v>
      </c>
      <c r="M450" s="37" t="str">
        <f aca="false">IF(INDEX($A450:$J450,$M$6)="","",INDEX($A450:$J450,$M$6)&amp;"")</f>
        <v>CHESS Replacement Committee Aug 2025</v>
      </c>
      <c r="N450" s="37" t="str">
        <f aca="false">IF($M450="","",TRIM(INDEX($A450:$J450,$N$6)&amp;""))</f>
        <v>ASX Australian Securities Exchange</v>
      </c>
      <c r="O450" s="37" t="str">
        <f aca="false">IF($M450="","",TRIM(INDEX($A450:$J450,$O$6)&amp;""))</f>
        <v>Event Production</v>
      </c>
      <c r="P450" s="37" t="str">
        <f aca="false">IF($M450="","",IFERROR(IF(INDEX(Settings!$B$41:$B$50,MATCH(O450,Settings!$A$41:$A$50,0))&amp;""="","UNMAPPED",INDEX(Settings!$B$41:$B$50,MATCH(O450,Settings!$A$41:$A$50,0))&amp;""),"UNMAPPED"))</f>
        <v>Production</v>
      </c>
      <c r="Q450" s="38" t="n">
        <f aca="false">IF($M450="",0,N(INDEX($A450:$J450,$Q$6)))</f>
        <v>1279</v>
      </c>
      <c r="R450" s="39" t="n">
        <f aca="false">IF($M450="","",INDEX($A450:$J450,$R$6))</f>
        <v>45875</v>
      </c>
      <c r="S450" s="37" t="str">
        <f aca="false">IF($M450="","",IFERROR(INDEX(Settings!$B$27:$B$36,MATCH(L450,Settings!$A$27:$A$36,0))&amp;"","UNMAPPED"))</f>
        <v>Won</v>
      </c>
      <c r="T450" s="37" t="str">
        <f aca="false">IF($M450="","",IF(NOT(ISNUMBER(R450)),"NO DATE",IF(S450="Won",IF(R450&gt;Settings!$B$5,"Backlog","Delivered"),IF(S450="Open",IF(R450&gt;Settings!$B$5,"Pipeline","Overdue"),IF(S450="Lost","Lost","UNMAPPED")))))</f>
        <v>Delivered</v>
      </c>
      <c r="U450" s="40" t="n">
        <f aca="false">IF(T450="Backlog",1,IF(OR(T450="Pipeline",T450="Overdue"),N(INDEX(Settings!$C$27:$C$36,MATCH(L450,Settings!$A$27:$A$36,0))),0))</f>
        <v>0</v>
      </c>
      <c r="V450" s="38" t="n">
        <f aca="false">Q450*U450</f>
        <v>0</v>
      </c>
      <c r="W450" s="41" t="n">
        <f aca="false">IF($M450="","",IF(T450="Overdue",IF(Settings!$B$8="Yes",Settings!$B$7,""),IF(ISNUMBER(R450),DATE(YEAR(R450),MONTH(R450),1),"")))</f>
        <v>45870</v>
      </c>
      <c r="X450" s="38" t="n">
        <f aca="false">IF(AND(OR(T450="Backlog",T450="Pipeline",T450="Overdue"),ISNUMBER(W450)),IF(W450&lt;=Settings!$B$6,V450,0),0)</f>
        <v>0</v>
      </c>
      <c r="Y450" s="38" t="n">
        <f aca="false">IF(AND(OR(T450="Backlog",T450="Pipeline",T450="Overdue"),ISNUMBER(W450)),IF(W450&lt;=Settings!$B$6,Q450,0),0)</f>
        <v>0</v>
      </c>
      <c r="Z450" s="38" t="n">
        <f aca="false">IF(Y450=0,0,IF(T450="Backlog",Q450,Q450*Dashboard!$C$10))</f>
        <v>0</v>
      </c>
      <c r="AA450" s="37" t="n">
        <f aca="false">IF($N450="",0,IF(COUNTIF(Dashboard!$C$13:$C$22,$N450)&gt;0,1,0))</f>
        <v>0</v>
      </c>
      <c r="AB450" s="37" t="str">
        <f aca="false">IF($N450="","",IF(COUNTIF($N$8:$N450,$N450)=1,MAX($AB$7:$AB449)+1,""))</f>
        <v/>
      </c>
    </row>
    <row r="451" customFormat="false" ht="15" hidden="false" customHeight="false" outlineLevel="0" collapsed="false">
      <c r="B451" s="32" t="s">
        <v>1123</v>
      </c>
      <c r="C451" s="32" t="s">
        <v>307</v>
      </c>
      <c r="D451" s="35" t="n">
        <v>13870</v>
      </c>
      <c r="E451" s="32" t="s">
        <v>208</v>
      </c>
      <c r="F451" s="36" t="n">
        <v>46073</v>
      </c>
      <c r="G451" s="32" t="s">
        <v>1124</v>
      </c>
      <c r="L451" s="37" t="str">
        <f aca="false">IF(INDEX($A451:$J451,$L$6)&lt;&gt;"",TRIM(LEFT(INDEX($A451:$J451,$L$6),FIND("(",INDEX($A451:$J451,$L$6)&amp;"(")-1)),L450)</f>
        <v>Closed Won</v>
      </c>
      <c r="M451" s="37" t="str">
        <f aca="false">IF(INDEX($A451:$J451,$M$6)="","",INDEX($A451:$J451,$M$6)&amp;"")</f>
        <v>Charity Golf Classic Highlights Video 2026</v>
      </c>
      <c r="N451" s="37" t="str">
        <f aca="false">IF($M451="","",TRIM(INDEX($A451:$J451,$N$6)&amp;""))</f>
        <v>ASX Refinitiv Charity Foundation Ltd</v>
      </c>
      <c r="O451" s="37" t="str">
        <f aca="false">IF($M451="","",TRIM(INDEX($A451:$J451,$O$6)&amp;""))</f>
        <v>Video Production</v>
      </c>
      <c r="P451" s="37" t="str">
        <f aca="false">IF($M451="","",IFERROR(IF(INDEX(Settings!$B$41:$B$50,MATCH(O451,Settings!$A$41:$A$50,0))&amp;""="","UNMAPPED",INDEX(Settings!$B$41:$B$50,MATCH(O451,Settings!$A$41:$A$50,0))&amp;""),"UNMAPPED"))</f>
        <v>Video</v>
      </c>
      <c r="Q451" s="38" t="n">
        <f aca="false">IF($M451="",0,N(INDEX($A451:$J451,$Q$6)))</f>
        <v>13870</v>
      </c>
      <c r="R451" s="39" t="n">
        <f aca="false">IF($M451="","",INDEX($A451:$J451,$R$6))</f>
        <v>46073</v>
      </c>
      <c r="S451" s="37" t="str">
        <f aca="false">IF($M451="","",IFERROR(INDEX(Settings!$B$27:$B$36,MATCH(L451,Settings!$A$27:$A$36,0))&amp;"","UNMAPPED"))</f>
        <v>Won</v>
      </c>
      <c r="T451" s="37" t="str">
        <f aca="false">IF($M451="","",IF(NOT(ISNUMBER(R451)),"NO DATE",IF(S451="Won",IF(R451&gt;Settings!$B$5,"Backlog","Delivered"),IF(S451="Open",IF(R451&gt;Settings!$B$5,"Pipeline","Overdue"),IF(S451="Lost","Lost","UNMAPPED")))))</f>
        <v>Delivered</v>
      </c>
      <c r="U451" s="40" t="n">
        <f aca="false">IF(T451="Backlog",1,IF(OR(T451="Pipeline",T451="Overdue"),N(INDEX(Settings!$C$27:$C$36,MATCH(L451,Settings!$A$27:$A$36,0))),0))</f>
        <v>0</v>
      </c>
      <c r="V451" s="38" t="n">
        <f aca="false">Q451*U451</f>
        <v>0</v>
      </c>
      <c r="W451" s="41" t="n">
        <f aca="false">IF($M451="","",IF(T451="Overdue",IF(Settings!$B$8="Yes",Settings!$B$7,""),IF(ISNUMBER(R451),DATE(YEAR(R451),MONTH(R451),1),"")))</f>
        <v>46054</v>
      </c>
      <c r="X451" s="38" t="n">
        <f aca="false">IF(AND(OR(T451="Backlog",T451="Pipeline",T451="Overdue"),ISNUMBER(W451)),IF(W451&lt;=Settings!$B$6,V451,0),0)</f>
        <v>0</v>
      </c>
      <c r="Y451" s="38" t="n">
        <f aca="false">IF(AND(OR(T451="Backlog",T451="Pipeline",T451="Overdue"),ISNUMBER(W451)),IF(W451&lt;=Settings!$B$6,Q451,0),0)</f>
        <v>0</v>
      </c>
      <c r="Z451" s="38" t="n">
        <f aca="false">IF(Y451=0,0,IF(T451="Backlog",Q451,Q451*Dashboard!$C$10))</f>
        <v>0</v>
      </c>
      <c r="AA451" s="37" t="n">
        <f aca="false">IF($N451="",0,IF(COUNTIF(Dashboard!$C$13:$C$22,$N451)&gt;0,1,0))</f>
        <v>0</v>
      </c>
      <c r="AB451" s="37" t="str">
        <f aca="false">IF($N451="","",IF(COUNTIF($N$8:$N451,$N451)=1,MAX($AB$7:$AB450)+1,""))</f>
        <v/>
      </c>
    </row>
    <row r="452" customFormat="false" ht="15" hidden="false" customHeight="false" outlineLevel="0" collapsed="false">
      <c r="B452" s="32" t="s">
        <v>1125</v>
      </c>
      <c r="C452" s="32" t="s">
        <v>247</v>
      </c>
      <c r="D452" s="35" t="n">
        <v>14272</v>
      </c>
      <c r="E452" s="32" t="s">
        <v>145</v>
      </c>
      <c r="F452" s="36" t="n">
        <v>46064</v>
      </c>
      <c r="G452" s="32" t="s">
        <v>1126</v>
      </c>
      <c r="L452" s="37" t="str">
        <f aca="false">IF(INDEX($A452:$J452,$L$6)&lt;&gt;"",TRIM(LEFT(INDEX($A452:$J452,$L$6),FIND("(",INDEX($A452:$J452,$L$6)&amp;"(")-1)),L451)</f>
        <v>Closed Won</v>
      </c>
      <c r="M452" s="37" t="str">
        <f aca="false">IF(INDEX($A452:$J452,$M$6)="","",INDEX($A452:$J452,$M$6)&amp;"")</f>
        <v>HYR Investor Briefing 2026</v>
      </c>
      <c r="N452" s="37" t="str">
        <f aca="false">IF($M452="","",TRIM(INDEX($A452:$J452,$N$6)&amp;""))</f>
        <v>AGL</v>
      </c>
      <c r="O452" s="37" t="str">
        <f aca="false">IF($M452="","",TRIM(INDEX($A452:$J452,$O$6)&amp;""))</f>
        <v>Event Production</v>
      </c>
      <c r="P452" s="37" t="str">
        <f aca="false">IF($M452="","",IFERROR(IF(INDEX(Settings!$B$41:$B$50,MATCH(O452,Settings!$A$41:$A$50,0))&amp;""="","UNMAPPED",INDEX(Settings!$B$41:$B$50,MATCH(O452,Settings!$A$41:$A$50,0))&amp;""),"UNMAPPED"))</f>
        <v>Production</v>
      </c>
      <c r="Q452" s="38" t="n">
        <f aca="false">IF($M452="",0,N(INDEX($A452:$J452,$Q$6)))</f>
        <v>14272</v>
      </c>
      <c r="R452" s="39" t="n">
        <f aca="false">IF($M452="","",INDEX($A452:$J452,$R$6))</f>
        <v>46064</v>
      </c>
      <c r="S452" s="37" t="str">
        <f aca="false">IF($M452="","",IFERROR(INDEX(Settings!$B$27:$B$36,MATCH(L452,Settings!$A$27:$A$36,0))&amp;"","UNMAPPED"))</f>
        <v>Won</v>
      </c>
      <c r="T452" s="37" t="str">
        <f aca="false">IF($M452="","",IF(NOT(ISNUMBER(R452)),"NO DATE",IF(S452="Won",IF(R452&gt;Settings!$B$5,"Backlog","Delivered"),IF(S452="Open",IF(R452&gt;Settings!$B$5,"Pipeline","Overdue"),IF(S452="Lost","Lost","UNMAPPED")))))</f>
        <v>Delivered</v>
      </c>
      <c r="U452" s="40" t="n">
        <f aca="false">IF(T452="Backlog",1,IF(OR(T452="Pipeline",T452="Overdue"),N(INDEX(Settings!$C$27:$C$36,MATCH(L452,Settings!$A$27:$A$36,0))),0))</f>
        <v>0</v>
      </c>
      <c r="V452" s="38" t="n">
        <f aca="false">Q452*U452</f>
        <v>0</v>
      </c>
      <c r="W452" s="41" t="n">
        <f aca="false">IF($M452="","",IF(T452="Overdue",IF(Settings!$B$8="Yes",Settings!$B$7,""),IF(ISNUMBER(R452),DATE(YEAR(R452),MONTH(R452),1),"")))</f>
        <v>46054</v>
      </c>
      <c r="X452" s="38" t="n">
        <f aca="false">IF(AND(OR(T452="Backlog",T452="Pipeline",T452="Overdue"),ISNUMBER(W452)),IF(W452&lt;=Settings!$B$6,V452,0),0)</f>
        <v>0</v>
      </c>
      <c r="Y452" s="38" t="n">
        <f aca="false">IF(AND(OR(T452="Backlog",T452="Pipeline",T452="Overdue"),ISNUMBER(W452)),IF(W452&lt;=Settings!$B$6,Q452,0),0)</f>
        <v>0</v>
      </c>
      <c r="Z452" s="38" t="n">
        <f aca="false">IF(Y452=0,0,IF(T452="Backlog",Q452,Q452*Dashboard!$C$10))</f>
        <v>0</v>
      </c>
      <c r="AA452" s="37" t="n">
        <f aca="false">IF($N452="",0,IF(COUNTIF(Dashboard!$C$13:$C$22,$N452)&gt;0,1,0))</f>
        <v>0</v>
      </c>
      <c r="AB452" s="37" t="str">
        <f aca="false">IF($N452="","",IF(COUNTIF($N$8:$N452,$N452)=1,MAX($AB$7:$AB451)+1,""))</f>
        <v/>
      </c>
    </row>
    <row r="453" customFormat="false" ht="15" hidden="false" customHeight="false" outlineLevel="0" collapsed="false">
      <c r="B453" s="32" t="s">
        <v>1127</v>
      </c>
      <c r="C453" s="32" t="s">
        <v>613</v>
      </c>
      <c r="D453" s="35" t="n">
        <v>7570</v>
      </c>
      <c r="E453" s="32" t="s">
        <v>208</v>
      </c>
      <c r="F453" s="36" t="n">
        <v>46028</v>
      </c>
      <c r="G453" s="32" t="s">
        <v>1128</v>
      </c>
      <c r="L453" s="37" t="str">
        <f aca="false">IF(INDEX($A453:$J453,$L$6)&lt;&gt;"",TRIM(LEFT(INDEX($A453:$J453,$L$6),FIND("(",INDEX($A453:$J453,$L$6)&amp;"(")-1)),L452)</f>
        <v>Closed Won</v>
      </c>
      <c r="M453" s="37" t="str">
        <f aca="false">IF(INDEX($A453:$J453,$M$6)="","",INDEX($A453:$J453,$M$6)&amp;"")</f>
        <v>The Leadership Program Brand Video</v>
      </c>
      <c r="N453" s="37" t="str">
        <f aca="false">IF($M453="","",TRIM(INDEX($A453:$J453,$N$6)&amp;""))</f>
        <v>CEO Institute</v>
      </c>
      <c r="O453" s="37" t="str">
        <f aca="false">IF($M453="","",TRIM(INDEX($A453:$J453,$O$6)&amp;""))</f>
        <v>Video Production</v>
      </c>
      <c r="P453" s="37" t="str">
        <f aca="false">IF($M453="","",IFERROR(IF(INDEX(Settings!$B$41:$B$50,MATCH(O453,Settings!$A$41:$A$50,0))&amp;""="","UNMAPPED",INDEX(Settings!$B$41:$B$50,MATCH(O453,Settings!$A$41:$A$50,0))&amp;""),"UNMAPPED"))</f>
        <v>Video</v>
      </c>
      <c r="Q453" s="38" t="n">
        <f aca="false">IF($M453="",0,N(INDEX($A453:$J453,$Q$6)))</f>
        <v>7570</v>
      </c>
      <c r="R453" s="39" t="n">
        <f aca="false">IF($M453="","",INDEX($A453:$J453,$R$6))</f>
        <v>46028</v>
      </c>
      <c r="S453" s="37" t="str">
        <f aca="false">IF($M453="","",IFERROR(INDEX(Settings!$B$27:$B$36,MATCH(L453,Settings!$A$27:$A$36,0))&amp;"","UNMAPPED"))</f>
        <v>Won</v>
      </c>
      <c r="T453" s="37" t="str">
        <f aca="false">IF($M453="","",IF(NOT(ISNUMBER(R453)),"NO DATE",IF(S453="Won",IF(R453&gt;Settings!$B$5,"Backlog","Delivered"),IF(S453="Open",IF(R453&gt;Settings!$B$5,"Pipeline","Overdue"),IF(S453="Lost","Lost","UNMAPPED")))))</f>
        <v>Delivered</v>
      </c>
      <c r="U453" s="40" t="n">
        <f aca="false">IF(T453="Backlog",1,IF(OR(T453="Pipeline",T453="Overdue"),N(INDEX(Settings!$C$27:$C$36,MATCH(L453,Settings!$A$27:$A$36,0))),0))</f>
        <v>0</v>
      </c>
      <c r="V453" s="38" t="n">
        <f aca="false">Q453*U453</f>
        <v>0</v>
      </c>
      <c r="W453" s="41" t="n">
        <f aca="false">IF($M453="","",IF(T453="Overdue",IF(Settings!$B$8="Yes",Settings!$B$7,""),IF(ISNUMBER(R453),DATE(YEAR(R453),MONTH(R453),1),"")))</f>
        <v>46023</v>
      </c>
      <c r="X453" s="38" t="n">
        <f aca="false">IF(AND(OR(T453="Backlog",T453="Pipeline",T453="Overdue"),ISNUMBER(W453)),IF(W453&lt;=Settings!$B$6,V453,0),0)</f>
        <v>0</v>
      </c>
      <c r="Y453" s="38" t="n">
        <f aca="false">IF(AND(OR(T453="Backlog",T453="Pipeline",T453="Overdue"),ISNUMBER(W453)),IF(W453&lt;=Settings!$B$6,Q453,0),0)</f>
        <v>0</v>
      </c>
      <c r="Z453" s="38" t="n">
        <f aca="false">IF(Y453=0,0,IF(T453="Backlog",Q453,Q453*Dashboard!$C$10))</f>
        <v>0</v>
      </c>
      <c r="AA453" s="37" t="n">
        <f aca="false">IF($N453="",0,IF(COUNTIF(Dashboard!$C$13:$C$22,$N453)&gt;0,1,0))</f>
        <v>0</v>
      </c>
      <c r="AB453" s="37" t="str">
        <f aca="false">IF($N453="","",IF(COUNTIF($N$8:$N453,$N453)=1,MAX($AB$7:$AB452)+1,""))</f>
        <v/>
      </c>
    </row>
    <row r="454" customFormat="false" ht="15" hidden="false" customHeight="false" outlineLevel="0" collapsed="false">
      <c r="B454" s="32" t="s">
        <v>1129</v>
      </c>
      <c r="C454" s="32" t="s">
        <v>253</v>
      </c>
      <c r="D454" s="35" t="n">
        <v>5000</v>
      </c>
      <c r="E454" s="32" t="s">
        <v>145</v>
      </c>
      <c r="F454" s="36" t="n">
        <v>45969</v>
      </c>
      <c r="G454" s="32" t="s">
        <v>1130</v>
      </c>
      <c r="L454" s="37" t="str">
        <f aca="false">IF(INDEX($A454:$J454,$L$6)&lt;&gt;"",TRIM(LEFT(INDEX($A454:$J454,$L$6),FIND("(",INDEX($A454:$J454,$L$6)&amp;"(")-1)),L453)</f>
        <v>Closed Won</v>
      </c>
      <c r="M454" s="37" t="str">
        <f aca="false">IF(INDEX($A454:$J454,$M$6)="","",INDEX($A454:$J454,$M$6)&amp;"")</f>
        <v>Investor Day Tech Syd &amp; Melb - 8 &amp; 11.25</v>
      </c>
      <c r="N454" s="37" t="str">
        <f aca="false">IF($M454="","",TRIM(INDEX($A454:$J454,$N$6)&amp;""))</f>
        <v>ASX Australian Securities Exchange</v>
      </c>
      <c r="O454" s="37" t="str">
        <f aca="false">IF($M454="","",TRIM(INDEX($A454:$J454,$O$6)&amp;""))</f>
        <v>Event Production</v>
      </c>
      <c r="P454" s="37" t="str">
        <f aca="false">IF($M454="","",IFERROR(IF(INDEX(Settings!$B$41:$B$50,MATCH(O454,Settings!$A$41:$A$50,0))&amp;""="","UNMAPPED",INDEX(Settings!$B$41:$B$50,MATCH(O454,Settings!$A$41:$A$50,0))&amp;""),"UNMAPPED"))</f>
        <v>Production</v>
      </c>
      <c r="Q454" s="38" t="n">
        <f aca="false">IF($M454="",0,N(INDEX($A454:$J454,$Q$6)))</f>
        <v>5000</v>
      </c>
      <c r="R454" s="39" t="n">
        <f aca="false">IF($M454="","",INDEX($A454:$J454,$R$6))</f>
        <v>45969</v>
      </c>
      <c r="S454" s="37" t="str">
        <f aca="false">IF($M454="","",IFERROR(INDEX(Settings!$B$27:$B$36,MATCH(L454,Settings!$A$27:$A$36,0))&amp;"","UNMAPPED"))</f>
        <v>Won</v>
      </c>
      <c r="T454" s="37" t="str">
        <f aca="false">IF($M454="","",IF(NOT(ISNUMBER(R454)),"NO DATE",IF(S454="Won",IF(R454&gt;Settings!$B$5,"Backlog","Delivered"),IF(S454="Open",IF(R454&gt;Settings!$B$5,"Pipeline","Overdue"),IF(S454="Lost","Lost","UNMAPPED")))))</f>
        <v>Delivered</v>
      </c>
      <c r="U454" s="40" t="n">
        <f aca="false">IF(T454="Backlog",1,IF(OR(T454="Pipeline",T454="Overdue"),N(INDEX(Settings!$C$27:$C$36,MATCH(L454,Settings!$A$27:$A$36,0))),0))</f>
        <v>0</v>
      </c>
      <c r="V454" s="38" t="n">
        <f aca="false">Q454*U454</f>
        <v>0</v>
      </c>
      <c r="W454" s="41" t="n">
        <f aca="false">IF($M454="","",IF(T454="Overdue",IF(Settings!$B$8="Yes",Settings!$B$7,""),IF(ISNUMBER(R454),DATE(YEAR(R454),MONTH(R454),1),"")))</f>
        <v>45962</v>
      </c>
      <c r="X454" s="38" t="n">
        <f aca="false">IF(AND(OR(T454="Backlog",T454="Pipeline",T454="Overdue"),ISNUMBER(W454)),IF(W454&lt;=Settings!$B$6,V454,0),0)</f>
        <v>0</v>
      </c>
      <c r="Y454" s="38" t="n">
        <f aca="false">IF(AND(OR(T454="Backlog",T454="Pipeline",T454="Overdue"),ISNUMBER(W454)),IF(W454&lt;=Settings!$B$6,Q454,0),0)</f>
        <v>0</v>
      </c>
      <c r="Z454" s="38" t="n">
        <f aca="false">IF(Y454=0,0,IF(T454="Backlog",Q454,Q454*Dashboard!$C$10))</f>
        <v>0</v>
      </c>
      <c r="AA454" s="37" t="n">
        <f aca="false">IF($N454="",0,IF(COUNTIF(Dashboard!$C$13:$C$22,$N454)&gt;0,1,0))</f>
        <v>0</v>
      </c>
      <c r="AB454" s="37" t="str">
        <f aca="false">IF($N454="","",IF(COUNTIF($N$8:$N454,$N454)=1,MAX($AB$7:$AB453)+1,""))</f>
        <v/>
      </c>
    </row>
    <row r="455" customFormat="false" ht="15" hidden="false" customHeight="false" outlineLevel="0" collapsed="false">
      <c r="B455" s="32" t="s">
        <v>1131</v>
      </c>
      <c r="C455" s="32" t="s">
        <v>183</v>
      </c>
      <c r="D455" s="35" t="n">
        <v>6728</v>
      </c>
      <c r="E455" s="32" t="s">
        <v>145</v>
      </c>
      <c r="F455" s="36" t="n">
        <v>45979</v>
      </c>
      <c r="G455" s="32" t="s">
        <v>1132</v>
      </c>
      <c r="L455" s="37" t="str">
        <f aca="false">IF(INDEX($A455:$J455,$L$6)&lt;&gt;"",TRIM(LEFT(INDEX($A455:$J455,$L$6),FIND("(",INDEX($A455:$J455,$L$6)&amp;"(")-1)),L454)</f>
        <v>Closed Won</v>
      </c>
      <c r="M455" s="37" t="str">
        <f aca="false">IF(INDEX($A455:$J455,$M$6)="","",INDEX($A455:$J455,$M$6)&amp;"")</f>
        <v>Regal Partners AGM 18.11.2025</v>
      </c>
      <c r="N455" s="37" t="str">
        <f aca="false">IF($M455="","",TRIM(INDEX($A455:$J455,$N$6)&amp;""))</f>
        <v>Chorus Call</v>
      </c>
      <c r="O455" s="37" t="str">
        <f aca="false">IF($M455="","",TRIM(INDEX($A455:$J455,$O$6)&amp;""))</f>
        <v>Event Production</v>
      </c>
      <c r="P455" s="37" t="str">
        <f aca="false">IF($M455="","",IFERROR(IF(INDEX(Settings!$B$41:$B$50,MATCH(O455,Settings!$A$41:$A$50,0))&amp;""="","UNMAPPED",INDEX(Settings!$B$41:$B$50,MATCH(O455,Settings!$A$41:$A$50,0))&amp;""),"UNMAPPED"))</f>
        <v>Production</v>
      </c>
      <c r="Q455" s="38" t="n">
        <f aca="false">IF($M455="",0,N(INDEX($A455:$J455,$Q$6)))</f>
        <v>6728</v>
      </c>
      <c r="R455" s="39" t="n">
        <f aca="false">IF($M455="","",INDEX($A455:$J455,$R$6))</f>
        <v>45979</v>
      </c>
      <c r="S455" s="37" t="str">
        <f aca="false">IF($M455="","",IFERROR(INDEX(Settings!$B$27:$B$36,MATCH(L455,Settings!$A$27:$A$36,0))&amp;"","UNMAPPED"))</f>
        <v>Won</v>
      </c>
      <c r="T455" s="37" t="str">
        <f aca="false">IF($M455="","",IF(NOT(ISNUMBER(R455)),"NO DATE",IF(S455="Won",IF(R455&gt;Settings!$B$5,"Backlog","Delivered"),IF(S455="Open",IF(R455&gt;Settings!$B$5,"Pipeline","Overdue"),IF(S455="Lost","Lost","UNMAPPED")))))</f>
        <v>Delivered</v>
      </c>
      <c r="U455" s="40" t="n">
        <f aca="false">IF(T455="Backlog",1,IF(OR(T455="Pipeline",T455="Overdue"),N(INDEX(Settings!$C$27:$C$36,MATCH(L455,Settings!$A$27:$A$36,0))),0))</f>
        <v>0</v>
      </c>
      <c r="V455" s="38" t="n">
        <f aca="false">Q455*U455</f>
        <v>0</v>
      </c>
      <c r="W455" s="41" t="n">
        <f aca="false">IF($M455="","",IF(T455="Overdue",IF(Settings!$B$8="Yes",Settings!$B$7,""),IF(ISNUMBER(R455),DATE(YEAR(R455),MONTH(R455),1),"")))</f>
        <v>45962</v>
      </c>
      <c r="X455" s="38" t="n">
        <f aca="false">IF(AND(OR(T455="Backlog",T455="Pipeline",T455="Overdue"),ISNUMBER(W455)),IF(W455&lt;=Settings!$B$6,V455,0),0)</f>
        <v>0</v>
      </c>
      <c r="Y455" s="38" t="n">
        <f aca="false">IF(AND(OR(T455="Backlog",T455="Pipeline",T455="Overdue"),ISNUMBER(W455)),IF(W455&lt;=Settings!$B$6,Q455,0),0)</f>
        <v>0</v>
      </c>
      <c r="Z455" s="38" t="n">
        <f aca="false">IF(Y455=0,0,IF(T455="Backlog",Q455,Q455*Dashboard!$C$10))</f>
        <v>0</v>
      </c>
      <c r="AA455" s="37" t="n">
        <f aca="false">IF($N455="",0,IF(COUNTIF(Dashboard!$C$13:$C$22,$N455)&gt;0,1,0))</f>
        <v>0</v>
      </c>
      <c r="AB455" s="37" t="str">
        <f aca="false">IF($N455="","",IF(COUNTIF($N$8:$N455,$N455)=1,MAX($AB$7:$AB454)+1,""))</f>
        <v/>
      </c>
    </row>
    <row r="456" customFormat="false" ht="15" hidden="false" customHeight="false" outlineLevel="0" collapsed="false">
      <c r="B456" s="32" t="s">
        <v>1133</v>
      </c>
      <c r="C456" s="32" t="s">
        <v>281</v>
      </c>
      <c r="D456" s="35" t="n">
        <v>3081</v>
      </c>
      <c r="E456" s="32" t="s">
        <v>145</v>
      </c>
      <c r="F456" s="36" t="n">
        <v>46120</v>
      </c>
      <c r="G456" s="32" t="s">
        <v>1134</v>
      </c>
      <c r="L456" s="37" t="str">
        <f aca="false">IF(INDEX($A456:$J456,$L$6)&lt;&gt;"",TRIM(LEFT(INDEX($A456:$J456,$L$6),FIND("(",INDEX($A456:$J456,$L$6)&amp;"(")-1)),L455)</f>
        <v>Closed Won</v>
      </c>
      <c r="M456" s="37" t="str">
        <f aca="false">IF(INDEX($A456:$J456,$M$6)="","",INDEX($A456:$J456,$M$6)&amp;"")</f>
        <v>RSNSW Ordinary General Meeting 8.4.26</v>
      </c>
      <c r="N456" s="37" t="str">
        <f aca="false">IF($M456="","",TRIM(INDEX($A456:$J456,$N$6)&amp;""))</f>
        <v>The Royal Society of New South Wales</v>
      </c>
      <c r="O456" s="37" t="str">
        <f aca="false">IF($M456="","",TRIM(INDEX($A456:$J456,$O$6)&amp;""))</f>
        <v>Event Production</v>
      </c>
      <c r="P456" s="37" t="str">
        <f aca="false">IF($M456="","",IFERROR(IF(INDEX(Settings!$B$41:$B$50,MATCH(O456,Settings!$A$41:$A$50,0))&amp;""="","UNMAPPED",INDEX(Settings!$B$41:$B$50,MATCH(O456,Settings!$A$41:$A$50,0))&amp;""),"UNMAPPED"))</f>
        <v>Production</v>
      </c>
      <c r="Q456" s="38" t="n">
        <f aca="false">IF($M456="",0,N(INDEX($A456:$J456,$Q$6)))</f>
        <v>3081</v>
      </c>
      <c r="R456" s="39" t="n">
        <f aca="false">IF($M456="","",INDEX($A456:$J456,$R$6))</f>
        <v>46120</v>
      </c>
      <c r="S456" s="37" t="str">
        <f aca="false">IF($M456="","",IFERROR(INDEX(Settings!$B$27:$B$36,MATCH(L456,Settings!$A$27:$A$36,0))&amp;"","UNMAPPED"))</f>
        <v>Won</v>
      </c>
      <c r="T456" s="37" t="str">
        <f aca="false">IF($M456="","",IF(NOT(ISNUMBER(R456)),"NO DATE",IF(S456="Won",IF(R456&gt;Settings!$B$5,"Backlog","Delivered"),IF(S456="Open",IF(R456&gt;Settings!$B$5,"Pipeline","Overdue"),IF(S456="Lost","Lost","UNMAPPED")))))</f>
        <v>Delivered</v>
      </c>
      <c r="U456" s="40" t="n">
        <f aca="false">IF(T456="Backlog",1,IF(OR(T456="Pipeline",T456="Overdue"),N(INDEX(Settings!$C$27:$C$36,MATCH(L456,Settings!$A$27:$A$36,0))),0))</f>
        <v>0</v>
      </c>
      <c r="V456" s="38" t="n">
        <f aca="false">Q456*U456</f>
        <v>0</v>
      </c>
      <c r="W456" s="41" t="n">
        <f aca="false">IF($M456="","",IF(T456="Overdue",IF(Settings!$B$8="Yes",Settings!$B$7,""),IF(ISNUMBER(R456),DATE(YEAR(R456),MONTH(R456),1),"")))</f>
        <v>46113</v>
      </c>
      <c r="X456" s="38" t="n">
        <f aca="false">IF(AND(OR(T456="Backlog",T456="Pipeline",T456="Overdue"),ISNUMBER(W456)),IF(W456&lt;=Settings!$B$6,V456,0),0)</f>
        <v>0</v>
      </c>
      <c r="Y456" s="38" t="n">
        <f aca="false">IF(AND(OR(T456="Backlog",T456="Pipeline",T456="Overdue"),ISNUMBER(W456)),IF(W456&lt;=Settings!$B$6,Q456,0),0)</f>
        <v>0</v>
      </c>
      <c r="Z456" s="38" t="n">
        <f aca="false">IF(Y456=0,0,IF(T456="Backlog",Q456,Q456*Dashboard!$C$10))</f>
        <v>0</v>
      </c>
      <c r="AA456" s="37" t="n">
        <f aca="false">IF($N456="",0,IF(COUNTIF(Dashboard!$C$13:$C$22,$N456)&gt;0,1,0))</f>
        <v>0</v>
      </c>
      <c r="AB456" s="37" t="str">
        <f aca="false">IF($N456="","",IF(COUNTIF($N$8:$N456,$N456)=1,MAX($AB$7:$AB455)+1,""))</f>
        <v/>
      </c>
    </row>
    <row r="457" customFormat="false" ht="15" hidden="false" customHeight="false" outlineLevel="0" collapsed="false">
      <c r="B457" s="32" t="s">
        <v>1135</v>
      </c>
      <c r="C457" s="32" t="s">
        <v>276</v>
      </c>
      <c r="D457" s="35" t="n">
        <v>380</v>
      </c>
      <c r="E457" s="32" t="s">
        <v>145</v>
      </c>
      <c r="F457" s="36" t="n">
        <v>46111</v>
      </c>
      <c r="G457" s="32" t="s">
        <v>1136</v>
      </c>
      <c r="L457" s="37" t="str">
        <f aca="false">IF(INDEX($A457:$J457,$L$6)&lt;&gt;"",TRIM(LEFT(INDEX($A457:$J457,$L$6),FIND("(",INDEX($A457:$J457,$L$6)&amp;"(")-1)),L456)</f>
        <v>Closed Won</v>
      </c>
      <c r="M457" s="37" t="str">
        <f aca="false">IF(INDEX($A457:$J457,$M$6)="","",INDEX($A457:$J457,$M$6)&amp;"")</f>
        <v>Vega Global - Studio Support - 30.3.26</v>
      </c>
      <c r="N457" s="37" t="str">
        <f aca="false">IF($M457="","",TRIM(INDEX($A457:$J457,$N$6)&amp;""))</f>
        <v>Vega Global</v>
      </c>
      <c r="O457" s="37" t="str">
        <f aca="false">IF($M457="","",TRIM(INDEX($A457:$J457,$O$6)&amp;""))</f>
        <v>Event Production</v>
      </c>
      <c r="P457" s="37" t="str">
        <f aca="false">IF($M457="","",IFERROR(IF(INDEX(Settings!$B$41:$B$50,MATCH(O457,Settings!$A$41:$A$50,0))&amp;""="","UNMAPPED",INDEX(Settings!$B$41:$B$50,MATCH(O457,Settings!$A$41:$A$50,0))&amp;""),"UNMAPPED"))</f>
        <v>Production</v>
      </c>
      <c r="Q457" s="38" t="n">
        <f aca="false">IF($M457="",0,N(INDEX($A457:$J457,$Q$6)))</f>
        <v>380</v>
      </c>
      <c r="R457" s="39" t="n">
        <f aca="false">IF($M457="","",INDEX($A457:$J457,$R$6))</f>
        <v>46111</v>
      </c>
      <c r="S457" s="37" t="str">
        <f aca="false">IF($M457="","",IFERROR(INDEX(Settings!$B$27:$B$36,MATCH(L457,Settings!$A$27:$A$36,0))&amp;"","UNMAPPED"))</f>
        <v>Won</v>
      </c>
      <c r="T457" s="37" t="str">
        <f aca="false">IF($M457="","",IF(NOT(ISNUMBER(R457)),"NO DATE",IF(S457="Won",IF(R457&gt;Settings!$B$5,"Backlog","Delivered"),IF(S457="Open",IF(R457&gt;Settings!$B$5,"Pipeline","Overdue"),IF(S457="Lost","Lost","UNMAPPED")))))</f>
        <v>Delivered</v>
      </c>
      <c r="U457" s="40" t="n">
        <f aca="false">IF(T457="Backlog",1,IF(OR(T457="Pipeline",T457="Overdue"),N(INDEX(Settings!$C$27:$C$36,MATCH(L457,Settings!$A$27:$A$36,0))),0))</f>
        <v>0</v>
      </c>
      <c r="V457" s="38" t="n">
        <f aca="false">Q457*U457</f>
        <v>0</v>
      </c>
      <c r="W457" s="41" t="n">
        <f aca="false">IF($M457="","",IF(T457="Overdue",IF(Settings!$B$8="Yes",Settings!$B$7,""),IF(ISNUMBER(R457),DATE(YEAR(R457),MONTH(R457),1),"")))</f>
        <v>46082</v>
      </c>
      <c r="X457" s="38" t="n">
        <f aca="false">IF(AND(OR(T457="Backlog",T457="Pipeline",T457="Overdue"),ISNUMBER(W457)),IF(W457&lt;=Settings!$B$6,V457,0),0)</f>
        <v>0</v>
      </c>
      <c r="Y457" s="38" t="n">
        <f aca="false">IF(AND(OR(T457="Backlog",T457="Pipeline",T457="Overdue"),ISNUMBER(W457)),IF(W457&lt;=Settings!$B$6,Q457,0),0)</f>
        <v>0</v>
      </c>
      <c r="Z457" s="38" t="n">
        <f aca="false">IF(Y457=0,0,IF(T457="Backlog",Q457,Q457*Dashboard!$C$10))</f>
        <v>0</v>
      </c>
      <c r="AA457" s="37" t="n">
        <f aca="false">IF($N457="",0,IF(COUNTIF(Dashboard!$C$13:$C$22,$N457)&gt;0,1,0))</f>
        <v>0</v>
      </c>
      <c r="AB457" s="37" t="str">
        <f aca="false">IF($N457="","",IF(COUNTIF($N$8:$N457,$N457)=1,MAX($AB$7:$AB456)+1,""))</f>
        <v/>
      </c>
    </row>
    <row r="458" customFormat="false" ht="15" hidden="false" customHeight="false" outlineLevel="0" collapsed="false">
      <c r="B458" s="32" t="s">
        <v>1137</v>
      </c>
      <c r="C458" s="32" t="s">
        <v>205</v>
      </c>
      <c r="D458" s="35" t="n">
        <v>355</v>
      </c>
      <c r="E458" s="32" t="s">
        <v>180</v>
      </c>
      <c r="F458" s="36" t="n">
        <v>45986</v>
      </c>
      <c r="G458" s="32" t="s">
        <v>1138</v>
      </c>
      <c r="L458" s="37" t="str">
        <f aca="false">IF(INDEX($A458:$J458,$L$6)&lt;&gt;"",TRIM(LEFT(INDEX($A458:$J458,$L$6),FIND("(",INDEX($A458:$J458,$L$6)&amp;"(")-1)),L457)</f>
        <v>Closed Won</v>
      </c>
      <c r="M458" s="37" t="str">
        <f aca="false">IF(INDEX($A458:$J458,$M$6)="","",INDEX($A458:$J458,$M$6)&amp;"")</f>
        <v>Deloitte Tech Support - Sports Investment Summit 25/11</v>
      </c>
      <c r="N458" s="37" t="str">
        <f aca="false">IF($M458="","",TRIM(INDEX($A458:$J458,$N$6)&amp;""))</f>
        <v>Deloitte - Sydney</v>
      </c>
      <c r="O458" s="37" t="str">
        <f aca="false">IF($M458="","",TRIM(INDEX($A458:$J458,$O$6)&amp;""))</f>
        <v>Support</v>
      </c>
      <c r="P458" s="37" t="str">
        <f aca="false">IF($M458="","",IFERROR(IF(INDEX(Settings!$B$41:$B$50,MATCH(O458,Settings!$A$41:$A$50,0))&amp;""="","UNMAPPED",INDEX(Settings!$B$41:$B$50,MATCH(O458,Settings!$A$41:$A$50,0))&amp;""),"UNMAPPED"))</f>
        <v>Onsite</v>
      </c>
      <c r="Q458" s="38" t="n">
        <f aca="false">IF($M458="",0,N(INDEX($A458:$J458,$Q$6)))</f>
        <v>355</v>
      </c>
      <c r="R458" s="39" t="n">
        <f aca="false">IF($M458="","",INDEX($A458:$J458,$R$6))</f>
        <v>45986</v>
      </c>
      <c r="S458" s="37" t="str">
        <f aca="false">IF($M458="","",IFERROR(INDEX(Settings!$B$27:$B$36,MATCH(L458,Settings!$A$27:$A$36,0))&amp;"","UNMAPPED"))</f>
        <v>Won</v>
      </c>
      <c r="T458" s="37" t="str">
        <f aca="false">IF($M458="","",IF(NOT(ISNUMBER(R458)),"NO DATE",IF(S458="Won",IF(R458&gt;Settings!$B$5,"Backlog","Delivered"),IF(S458="Open",IF(R458&gt;Settings!$B$5,"Pipeline","Overdue"),IF(S458="Lost","Lost","UNMAPPED")))))</f>
        <v>Delivered</v>
      </c>
      <c r="U458" s="40" t="n">
        <f aca="false">IF(T458="Backlog",1,IF(OR(T458="Pipeline",T458="Overdue"),N(INDEX(Settings!$C$27:$C$36,MATCH(L458,Settings!$A$27:$A$36,0))),0))</f>
        <v>0</v>
      </c>
      <c r="V458" s="38" t="n">
        <f aca="false">Q458*U458</f>
        <v>0</v>
      </c>
      <c r="W458" s="41" t="n">
        <f aca="false">IF($M458="","",IF(T458="Overdue",IF(Settings!$B$8="Yes",Settings!$B$7,""),IF(ISNUMBER(R458),DATE(YEAR(R458),MONTH(R458),1),"")))</f>
        <v>45962</v>
      </c>
      <c r="X458" s="38" t="n">
        <f aca="false">IF(AND(OR(T458="Backlog",T458="Pipeline",T458="Overdue"),ISNUMBER(W458)),IF(W458&lt;=Settings!$B$6,V458,0),0)</f>
        <v>0</v>
      </c>
      <c r="Y458" s="38" t="n">
        <f aca="false">IF(AND(OR(T458="Backlog",T458="Pipeline",T458="Overdue"),ISNUMBER(W458)),IF(W458&lt;=Settings!$B$6,Q458,0),0)</f>
        <v>0</v>
      </c>
      <c r="Z458" s="38" t="n">
        <f aca="false">IF(Y458=0,0,IF(T458="Backlog",Q458,Q458*Dashboard!$C$10))</f>
        <v>0</v>
      </c>
      <c r="AA458" s="37" t="n">
        <f aca="false">IF($N458="",0,IF(COUNTIF(Dashboard!$C$13:$C$22,$N458)&gt;0,1,0))</f>
        <v>0</v>
      </c>
      <c r="AB458" s="37" t="str">
        <f aca="false">IF($N458="","",IF(COUNTIF($N$8:$N458,$N458)=1,MAX($AB$7:$AB457)+1,""))</f>
        <v/>
      </c>
    </row>
    <row r="459" customFormat="false" ht="15" hidden="false" customHeight="false" outlineLevel="0" collapsed="false">
      <c r="B459" s="32" t="s">
        <v>1139</v>
      </c>
      <c r="C459" s="32" t="s">
        <v>154</v>
      </c>
      <c r="D459" s="35" t="n">
        <v>340</v>
      </c>
      <c r="E459" s="32" t="s">
        <v>180</v>
      </c>
      <c r="F459" s="36" t="n">
        <v>46232</v>
      </c>
      <c r="G459" s="32" t="s">
        <v>1140</v>
      </c>
      <c r="L459" s="37" t="str">
        <f aca="false">IF(INDEX($A459:$J459,$L$6)&lt;&gt;"",TRIM(LEFT(INDEX($A459:$J459,$L$6),FIND("(",INDEX($A459:$J459,$L$6)&amp;"(")-1)),L458)</f>
        <v>Closed Won</v>
      </c>
      <c r="M459" s="37" t="str">
        <f aca="false">IF(INDEX($A459:$J459,$M$6)="","",INDEX($A459:$J459,$M$6)&amp;"")</f>
        <v>PWC - Event Technician - 30.7.26</v>
      </c>
      <c r="N459" s="37" t="str">
        <f aca="false">IF($M459="","",TRIM(INDEX($A459:$J459,$N$6)&amp;""))</f>
        <v>PWC</v>
      </c>
      <c r="O459" s="37" t="str">
        <f aca="false">IF($M459="","",TRIM(INDEX($A459:$J459,$O$6)&amp;""))</f>
        <v>Support</v>
      </c>
      <c r="P459" s="37" t="str">
        <f aca="false">IF($M459="","",IFERROR(IF(INDEX(Settings!$B$41:$B$50,MATCH(O459,Settings!$A$41:$A$50,0))&amp;""="","UNMAPPED",INDEX(Settings!$B$41:$B$50,MATCH(O459,Settings!$A$41:$A$50,0))&amp;""),"UNMAPPED"))</f>
        <v>Onsite</v>
      </c>
      <c r="Q459" s="38" t="n">
        <f aca="false">IF($M459="",0,N(INDEX($A459:$J459,$Q$6)))</f>
        <v>340</v>
      </c>
      <c r="R459" s="39" t="n">
        <f aca="false">IF($M459="","",INDEX($A459:$J459,$R$6))</f>
        <v>46232</v>
      </c>
      <c r="S459" s="37" t="str">
        <f aca="false">IF($M459="","",IFERROR(INDEX(Settings!$B$27:$B$36,MATCH(L459,Settings!$A$27:$A$36,0))&amp;"","UNMAPPED"))</f>
        <v>Won</v>
      </c>
      <c r="T459" s="37" t="str">
        <f aca="false">IF($M459="","",IF(NOT(ISNUMBER(R459)),"NO DATE",IF(S459="Won",IF(R459&gt;Settings!$B$5,"Backlog","Delivered"),IF(S459="Open",IF(R459&gt;Settings!$B$5,"Pipeline","Overdue"),IF(S459="Lost","Lost","UNMAPPED")))))</f>
        <v>Delivered</v>
      </c>
      <c r="U459" s="40" t="n">
        <f aca="false">IF(T459="Backlog",1,IF(OR(T459="Pipeline",T459="Overdue"),N(INDEX(Settings!$C$27:$C$36,MATCH(L459,Settings!$A$27:$A$36,0))),0))</f>
        <v>0</v>
      </c>
      <c r="V459" s="38" t="n">
        <f aca="false">Q459*U459</f>
        <v>0</v>
      </c>
      <c r="W459" s="41" t="n">
        <f aca="false">IF($M459="","",IF(T459="Overdue",IF(Settings!$B$8="Yes",Settings!$B$7,""),IF(ISNUMBER(R459),DATE(YEAR(R459),MONTH(R459),1),"")))</f>
        <v>46204</v>
      </c>
      <c r="X459" s="38" t="n">
        <f aca="false">IF(AND(OR(T459="Backlog",T459="Pipeline",T459="Overdue"),ISNUMBER(W459)),IF(W459&lt;=Settings!$B$6,V459,0),0)</f>
        <v>0</v>
      </c>
      <c r="Y459" s="38" t="n">
        <f aca="false">IF(AND(OR(T459="Backlog",T459="Pipeline",T459="Overdue"),ISNUMBER(W459)),IF(W459&lt;=Settings!$B$6,Q459,0),0)</f>
        <v>0</v>
      </c>
      <c r="Z459" s="38" t="n">
        <f aca="false">IF(Y459=0,0,IF(T459="Backlog",Q459,Q459*Dashboard!$C$10))</f>
        <v>0</v>
      </c>
      <c r="AA459" s="37" t="n">
        <f aca="false">IF($N459="",0,IF(COUNTIF(Dashboard!$C$13:$C$22,$N459)&gt;0,1,0))</f>
        <v>0</v>
      </c>
      <c r="AB459" s="37" t="str">
        <f aca="false">IF($N459="","",IF(COUNTIF($N$8:$N459,$N459)=1,MAX($AB$7:$AB458)+1,""))</f>
        <v/>
      </c>
    </row>
    <row r="460" customFormat="false" ht="15" hidden="false" customHeight="false" outlineLevel="0" collapsed="false">
      <c r="B460" s="32" t="s">
        <v>506</v>
      </c>
      <c r="C460" s="32" t="s">
        <v>154</v>
      </c>
      <c r="D460" s="35" t="n">
        <v>8500</v>
      </c>
      <c r="E460" s="32" t="s">
        <v>180</v>
      </c>
      <c r="F460" s="36" t="n">
        <v>46238</v>
      </c>
      <c r="G460" s="32" t="s">
        <v>1141</v>
      </c>
      <c r="L460" s="37" t="str">
        <f aca="false">IF(INDEX($A460:$J460,$L$6)&lt;&gt;"",TRIM(LEFT(INDEX($A460:$J460,$L$6),FIND("(",INDEX($A460:$J460,$L$6)&amp;"(")-1)),L459)</f>
        <v>Closed Won</v>
      </c>
      <c r="M460" s="37" t="str">
        <f aca="false">IF(INDEX($A460:$J460,$M$6)="","",INDEX($A460:$J460,$M$6)&amp;"")</f>
        <v>Pool of Hours - National AV / IT Support</v>
      </c>
      <c r="N460" s="37" t="str">
        <f aca="false">IF($M460="","",TRIM(INDEX($A460:$J460,$N$6)&amp;""))</f>
        <v>PWC</v>
      </c>
      <c r="O460" s="37" t="str">
        <f aca="false">IF($M460="","",TRIM(INDEX($A460:$J460,$O$6)&amp;""))</f>
        <v>Support</v>
      </c>
      <c r="P460" s="37" t="str">
        <f aca="false">IF($M460="","",IFERROR(IF(INDEX(Settings!$B$41:$B$50,MATCH(O460,Settings!$A$41:$A$50,0))&amp;""="","UNMAPPED",INDEX(Settings!$B$41:$B$50,MATCH(O460,Settings!$A$41:$A$50,0))&amp;""),"UNMAPPED"))</f>
        <v>Onsite</v>
      </c>
      <c r="Q460" s="38" t="n">
        <f aca="false">IF($M460="",0,N(INDEX($A460:$J460,$Q$6)))</f>
        <v>8500</v>
      </c>
      <c r="R460" s="39" t="n">
        <f aca="false">IF($M460="","",INDEX($A460:$J460,$R$6))</f>
        <v>46238</v>
      </c>
      <c r="S460" s="37" t="str">
        <f aca="false">IF($M460="","",IFERROR(INDEX(Settings!$B$27:$B$36,MATCH(L460,Settings!$A$27:$A$36,0))&amp;"","UNMAPPED"))</f>
        <v>Won</v>
      </c>
      <c r="T460" s="37" t="str">
        <f aca="false">IF($M460="","",IF(NOT(ISNUMBER(R460)),"NO DATE",IF(S460="Won",IF(R460&gt;Settings!$B$5,"Backlog","Delivered"),IF(S460="Open",IF(R460&gt;Settings!$B$5,"Pipeline","Overdue"),IF(S460="Lost","Lost","UNMAPPED")))))</f>
        <v>Delivered</v>
      </c>
      <c r="U460" s="40" t="n">
        <f aca="false">IF(T460="Backlog",1,IF(OR(T460="Pipeline",T460="Overdue"),N(INDEX(Settings!$C$27:$C$36,MATCH(L460,Settings!$A$27:$A$36,0))),0))</f>
        <v>0</v>
      </c>
      <c r="V460" s="38" t="n">
        <f aca="false">Q460*U460</f>
        <v>0</v>
      </c>
      <c r="W460" s="41" t="n">
        <f aca="false">IF($M460="","",IF(T460="Overdue",IF(Settings!$B$8="Yes",Settings!$B$7,""),IF(ISNUMBER(R460),DATE(YEAR(R460),MONTH(R460),1),"")))</f>
        <v>46235</v>
      </c>
      <c r="X460" s="38" t="n">
        <f aca="false">IF(AND(OR(T460="Backlog",T460="Pipeline",T460="Overdue"),ISNUMBER(W460)),IF(W460&lt;=Settings!$B$6,V460,0),0)</f>
        <v>0</v>
      </c>
      <c r="Y460" s="38" t="n">
        <f aca="false">IF(AND(OR(T460="Backlog",T460="Pipeline",T460="Overdue"),ISNUMBER(W460)),IF(W460&lt;=Settings!$B$6,Q460,0),0)</f>
        <v>0</v>
      </c>
      <c r="Z460" s="38" t="n">
        <f aca="false">IF(Y460=0,0,IF(T460="Backlog",Q460,Q460*Dashboard!$C$10))</f>
        <v>0</v>
      </c>
      <c r="AA460" s="37" t="n">
        <f aca="false">IF($N460="",0,IF(COUNTIF(Dashboard!$C$13:$C$22,$N460)&gt;0,1,0))</f>
        <v>0</v>
      </c>
      <c r="AB460" s="37" t="str">
        <f aca="false">IF($N460="","",IF(COUNTIF($N$8:$N460,$N460)=1,MAX($AB$7:$AB459)+1,""))</f>
        <v/>
      </c>
    </row>
    <row r="461" customFormat="false" ht="15" hidden="false" customHeight="false" outlineLevel="0" collapsed="false">
      <c r="B461" s="32" t="s">
        <v>1142</v>
      </c>
      <c r="C461" s="32" t="s">
        <v>267</v>
      </c>
      <c r="D461" s="35" t="n">
        <v>950</v>
      </c>
      <c r="E461" s="32" t="s">
        <v>145</v>
      </c>
      <c r="F461" s="36" t="n">
        <v>46153</v>
      </c>
      <c r="G461" s="32" t="s">
        <v>1143</v>
      </c>
      <c r="L461" s="37" t="str">
        <f aca="false">IF(INDEX($A461:$J461,$L$6)&lt;&gt;"",TRIM(LEFT(INDEX($A461:$J461,$L$6),FIND("(",INDEX($A461:$J461,$L$6)&amp;"(")-1)),L460)</f>
        <v>Closed Won</v>
      </c>
      <c r="M461" s="37" t="str">
        <f aca="false">IF(INDEX($A461:$J461,$M$6)="","",INDEX($A461:$J461,$M$6)&amp;"")</f>
        <v>Dimensional - AV Support - 3&amp;4.6.26</v>
      </c>
      <c r="N461" s="37" t="str">
        <f aca="false">IF($M461="","",TRIM(INDEX($A461:$J461,$N$6)&amp;""))</f>
        <v>Dimensional Fund Advisors</v>
      </c>
      <c r="O461" s="37" t="str">
        <f aca="false">IF($M461="","",TRIM(INDEX($A461:$J461,$O$6)&amp;""))</f>
        <v>Event Production</v>
      </c>
      <c r="P461" s="37" t="str">
        <f aca="false">IF($M461="","",IFERROR(IF(INDEX(Settings!$B$41:$B$50,MATCH(O461,Settings!$A$41:$A$50,0))&amp;""="","UNMAPPED",INDEX(Settings!$B$41:$B$50,MATCH(O461,Settings!$A$41:$A$50,0))&amp;""),"UNMAPPED"))</f>
        <v>Production</v>
      </c>
      <c r="Q461" s="38" t="n">
        <f aca="false">IF($M461="",0,N(INDEX($A461:$J461,$Q$6)))</f>
        <v>950</v>
      </c>
      <c r="R461" s="39" t="n">
        <f aca="false">IF($M461="","",INDEX($A461:$J461,$R$6))</f>
        <v>46153</v>
      </c>
      <c r="S461" s="37" t="str">
        <f aca="false">IF($M461="","",IFERROR(INDEX(Settings!$B$27:$B$36,MATCH(L461,Settings!$A$27:$A$36,0))&amp;"","UNMAPPED"))</f>
        <v>Won</v>
      </c>
      <c r="T461" s="37" t="str">
        <f aca="false">IF($M461="","",IF(NOT(ISNUMBER(R461)),"NO DATE",IF(S461="Won",IF(R461&gt;Settings!$B$5,"Backlog","Delivered"),IF(S461="Open",IF(R461&gt;Settings!$B$5,"Pipeline","Overdue"),IF(S461="Lost","Lost","UNMAPPED")))))</f>
        <v>Delivered</v>
      </c>
      <c r="U461" s="40" t="n">
        <f aca="false">IF(T461="Backlog",1,IF(OR(T461="Pipeline",T461="Overdue"),N(INDEX(Settings!$C$27:$C$36,MATCH(L461,Settings!$A$27:$A$36,0))),0))</f>
        <v>0</v>
      </c>
      <c r="V461" s="38" t="n">
        <f aca="false">Q461*U461</f>
        <v>0</v>
      </c>
      <c r="W461" s="41" t="n">
        <f aca="false">IF($M461="","",IF(T461="Overdue",IF(Settings!$B$8="Yes",Settings!$B$7,""),IF(ISNUMBER(R461),DATE(YEAR(R461),MONTH(R461),1),"")))</f>
        <v>46143</v>
      </c>
      <c r="X461" s="38" t="n">
        <f aca="false">IF(AND(OR(T461="Backlog",T461="Pipeline",T461="Overdue"),ISNUMBER(W461)),IF(W461&lt;=Settings!$B$6,V461,0),0)</f>
        <v>0</v>
      </c>
      <c r="Y461" s="38" t="n">
        <f aca="false">IF(AND(OR(T461="Backlog",T461="Pipeline",T461="Overdue"),ISNUMBER(W461)),IF(W461&lt;=Settings!$B$6,Q461,0),0)</f>
        <v>0</v>
      </c>
      <c r="Z461" s="38" t="n">
        <f aca="false">IF(Y461=0,0,IF(T461="Backlog",Q461,Q461*Dashboard!$C$10))</f>
        <v>0</v>
      </c>
      <c r="AA461" s="37" t="n">
        <f aca="false">IF($N461="",0,IF(COUNTIF(Dashboard!$C$13:$C$22,$N461)&gt;0,1,0))</f>
        <v>0</v>
      </c>
      <c r="AB461" s="37" t="str">
        <f aca="false">IF($N461="","",IF(COUNTIF($N$8:$N461,$N461)=1,MAX($AB$7:$AB460)+1,""))</f>
        <v/>
      </c>
    </row>
    <row r="462" customFormat="false" ht="15" hidden="false" customHeight="false" outlineLevel="0" collapsed="false">
      <c r="B462" s="32" t="s">
        <v>1144</v>
      </c>
      <c r="C462" s="32" t="s">
        <v>267</v>
      </c>
      <c r="D462" s="35" t="n">
        <v>380</v>
      </c>
      <c r="E462" s="32" t="s">
        <v>145</v>
      </c>
      <c r="F462" s="36" t="n">
        <v>45874</v>
      </c>
      <c r="G462" s="32" t="s">
        <v>1145</v>
      </c>
      <c r="L462" s="37" t="str">
        <f aca="false">IF(INDEX($A462:$J462,$L$6)&lt;&gt;"",TRIM(LEFT(INDEX($A462:$J462,$L$6),FIND("(",INDEX($A462:$J462,$L$6)&amp;"(")-1)),L461)</f>
        <v>Closed Won</v>
      </c>
      <c r="M462" s="37" t="str">
        <f aca="false">IF(INDEX($A462:$J462,$M$6)="","",INDEX($A462:$J462,$M$6)&amp;"")</f>
        <v>Dimensional Fund Advisors Audio Op - 5 8 25</v>
      </c>
      <c r="N462" s="37" t="str">
        <f aca="false">IF($M462="","",TRIM(INDEX($A462:$J462,$N$6)&amp;""))</f>
        <v>Dimensional Fund Advisors</v>
      </c>
      <c r="O462" s="37" t="str">
        <f aca="false">IF($M462="","",TRIM(INDEX($A462:$J462,$O$6)&amp;""))</f>
        <v>Event Production</v>
      </c>
      <c r="P462" s="37" t="str">
        <f aca="false">IF($M462="","",IFERROR(IF(INDEX(Settings!$B$41:$B$50,MATCH(O462,Settings!$A$41:$A$50,0))&amp;""="","UNMAPPED",INDEX(Settings!$B$41:$B$50,MATCH(O462,Settings!$A$41:$A$50,0))&amp;""),"UNMAPPED"))</f>
        <v>Production</v>
      </c>
      <c r="Q462" s="38" t="n">
        <f aca="false">IF($M462="",0,N(INDEX($A462:$J462,$Q$6)))</f>
        <v>380</v>
      </c>
      <c r="R462" s="39" t="n">
        <f aca="false">IF($M462="","",INDEX($A462:$J462,$R$6))</f>
        <v>45874</v>
      </c>
      <c r="S462" s="37" t="str">
        <f aca="false">IF($M462="","",IFERROR(INDEX(Settings!$B$27:$B$36,MATCH(L462,Settings!$A$27:$A$36,0))&amp;"","UNMAPPED"))</f>
        <v>Won</v>
      </c>
      <c r="T462" s="37" t="str">
        <f aca="false">IF($M462="","",IF(NOT(ISNUMBER(R462)),"NO DATE",IF(S462="Won",IF(R462&gt;Settings!$B$5,"Backlog","Delivered"),IF(S462="Open",IF(R462&gt;Settings!$B$5,"Pipeline","Overdue"),IF(S462="Lost","Lost","UNMAPPED")))))</f>
        <v>Delivered</v>
      </c>
      <c r="U462" s="40" t="n">
        <f aca="false">IF(T462="Backlog",1,IF(OR(T462="Pipeline",T462="Overdue"),N(INDEX(Settings!$C$27:$C$36,MATCH(L462,Settings!$A$27:$A$36,0))),0))</f>
        <v>0</v>
      </c>
      <c r="V462" s="38" t="n">
        <f aca="false">Q462*U462</f>
        <v>0</v>
      </c>
      <c r="W462" s="41" t="n">
        <f aca="false">IF($M462="","",IF(T462="Overdue",IF(Settings!$B$8="Yes",Settings!$B$7,""),IF(ISNUMBER(R462),DATE(YEAR(R462),MONTH(R462),1),"")))</f>
        <v>45870</v>
      </c>
      <c r="X462" s="38" t="n">
        <f aca="false">IF(AND(OR(T462="Backlog",T462="Pipeline",T462="Overdue"),ISNUMBER(W462)),IF(W462&lt;=Settings!$B$6,V462,0),0)</f>
        <v>0</v>
      </c>
      <c r="Y462" s="38" t="n">
        <f aca="false">IF(AND(OR(T462="Backlog",T462="Pipeline",T462="Overdue"),ISNUMBER(W462)),IF(W462&lt;=Settings!$B$6,Q462,0),0)</f>
        <v>0</v>
      </c>
      <c r="Z462" s="38" t="n">
        <f aca="false">IF(Y462=0,0,IF(T462="Backlog",Q462,Q462*Dashboard!$C$10))</f>
        <v>0</v>
      </c>
      <c r="AA462" s="37" t="n">
        <f aca="false">IF($N462="",0,IF(COUNTIF(Dashboard!$C$13:$C$22,$N462)&gt;0,1,0))</f>
        <v>0</v>
      </c>
      <c r="AB462" s="37" t="str">
        <f aca="false">IF($N462="","",IF(COUNTIF($N$8:$N462,$N462)=1,MAX($AB$7:$AB461)+1,""))</f>
        <v/>
      </c>
    </row>
    <row r="463" customFormat="false" ht="15" hidden="false" customHeight="false" outlineLevel="0" collapsed="false">
      <c r="B463" s="32" t="s">
        <v>1146</v>
      </c>
      <c r="C463" s="32" t="s">
        <v>154</v>
      </c>
      <c r="D463" s="35" t="n">
        <v>1925</v>
      </c>
      <c r="E463" s="32" t="s">
        <v>145</v>
      </c>
      <c r="F463" s="36" t="n">
        <v>46195</v>
      </c>
      <c r="G463" s="32" t="s">
        <v>1147</v>
      </c>
      <c r="L463" s="37" t="str">
        <f aca="false">IF(INDEX($A463:$J463,$L$6)&lt;&gt;"",TRIM(LEFT(INDEX($A463:$J463,$L$6),FIND("(",INDEX($A463:$J463,$L$6)&amp;"(")-1)),L462)</f>
        <v>Closed Won</v>
      </c>
      <c r="M463" s="37" t="str">
        <f aca="false">IF(INDEX($A463:$J463,$M$6)="","",INDEX($A463:$J463,$M$6)&amp;"")</f>
        <v>PWC - Early Careers Webcast - 29.7.26</v>
      </c>
      <c r="N463" s="37" t="str">
        <f aca="false">IF($M463="","",TRIM(INDEX($A463:$J463,$N$6)&amp;""))</f>
        <v>PWC</v>
      </c>
      <c r="O463" s="37" t="str">
        <f aca="false">IF($M463="","",TRIM(INDEX($A463:$J463,$O$6)&amp;""))</f>
        <v>Event Production</v>
      </c>
      <c r="P463" s="37" t="str">
        <f aca="false">IF($M463="","",IFERROR(IF(INDEX(Settings!$B$41:$B$50,MATCH(O463,Settings!$A$41:$A$50,0))&amp;""="","UNMAPPED",INDEX(Settings!$B$41:$B$50,MATCH(O463,Settings!$A$41:$A$50,0))&amp;""),"UNMAPPED"))</f>
        <v>Production</v>
      </c>
      <c r="Q463" s="38" t="n">
        <f aca="false">IF($M463="",0,N(INDEX($A463:$J463,$Q$6)))</f>
        <v>1925</v>
      </c>
      <c r="R463" s="39" t="n">
        <f aca="false">IF($M463="","",INDEX($A463:$J463,$R$6))</f>
        <v>46195</v>
      </c>
      <c r="S463" s="37" t="str">
        <f aca="false">IF($M463="","",IFERROR(INDEX(Settings!$B$27:$B$36,MATCH(L463,Settings!$A$27:$A$36,0))&amp;"","UNMAPPED"))</f>
        <v>Won</v>
      </c>
      <c r="T463" s="37" t="str">
        <f aca="false">IF($M463="","",IF(NOT(ISNUMBER(R463)),"NO DATE",IF(S463="Won",IF(R463&gt;Settings!$B$5,"Backlog","Delivered"),IF(S463="Open",IF(R463&gt;Settings!$B$5,"Pipeline","Overdue"),IF(S463="Lost","Lost","UNMAPPED")))))</f>
        <v>Delivered</v>
      </c>
      <c r="U463" s="40" t="n">
        <f aca="false">IF(T463="Backlog",1,IF(OR(T463="Pipeline",T463="Overdue"),N(INDEX(Settings!$C$27:$C$36,MATCH(L463,Settings!$A$27:$A$36,0))),0))</f>
        <v>0</v>
      </c>
      <c r="V463" s="38" t="n">
        <f aca="false">Q463*U463</f>
        <v>0</v>
      </c>
      <c r="W463" s="41" t="n">
        <f aca="false">IF($M463="","",IF(T463="Overdue",IF(Settings!$B$8="Yes",Settings!$B$7,""),IF(ISNUMBER(R463),DATE(YEAR(R463),MONTH(R463),1),"")))</f>
        <v>46174</v>
      </c>
      <c r="X463" s="38" t="n">
        <f aca="false">IF(AND(OR(T463="Backlog",T463="Pipeline",T463="Overdue"),ISNUMBER(W463)),IF(W463&lt;=Settings!$B$6,V463,0),0)</f>
        <v>0</v>
      </c>
      <c r="Y463" s="38" t="n">
        <f aca="false">IF(AND(OR(T463="Backlog",T463="Pipeline",T463="Overdue"),ISNUMBER(W463)),IF(W463&lt;=Settings!$B$6,Q463,0),0)</f>
        <v>0</v>
      </c>
      <c r="Z463" s="38" t="n">
        <f aca="false">IF(Y463=0,0,IF(T463="Backlog",Q463,Q463*Dashboard!$C$10))</f>
        <v>0</v>
      </c>
      <c r="AA463" s="37" t="n">
        <f aca="false">IF($N463="",0,IF(COUNTIF(Dashboard!$C$13:$C$22,$N463)&gt;0,1,0))</f>
        <v>0</v>
      </c>
      <c r="AB463" s="37" t="str">
        <f aca="false">IF($N463="","",IF(COUNTIF($N$8:$N463,$N463)=1,MAX($AB$7:$AB462)+1,""))</f>
        <v/>
      </c>
    </row>
    <row r="464" customFormat="false" ht="15" hidden="false" customHeight="false" outlineLevel="0" collapsed="false">
      <c r="B464" s="32" t="s">
        <v>1148</v>
      </c>
      <c r="C464" s="32" t="s">
        <v>817</v>
      </c>
      <c r="D464" s="35" t="n">
        <v>708</v>
      </c>
      <c r="E464" s="32" t="s">
        <v>145</v>
      </c>
      <c r="F464" s="36" t="n">
        <v>46002</v>
      </c>
      <c r="G464" s="32" t="s">
        <v>1149</v>
      </c>
      <c r="L464" s="37" t="str">
        <f aca="false">IF(INDEX($A464:$J464,$L$6)&lt;&gt;"",TRIM(LEFT(INDEX($A464:$J464,$L$6),FIND("(",INDEX($A464:$J464,$L$6)&amp;"(")-1)),L463)</f>
        <v>Closed Won</v>
      </c>
      <c r="M464" s="37" t="str">
        <f aca="false">IF(INDEX($A464:$J464,$M$6)="","",INDEX($A464:$J464,$M$6)&amp;"")</f>
        <v>Optiver - Town Hall - 11.12.2025</v>
      </c>
      <c r="N464" s="37" t="str">
        <f aca="false">IF($M464="","",TRIM(INDEX($A464:$J464,$N$6)&amp;""))</f>
        <v>Optiver</v>
      </c>
      <c r="O464" s="37" t="str">
        <f aca="false">IF($M464="","",TRIM(INDEX($A464:$J464,$O$6)&amp;""))</f>
        <v>Event Production</v>
      </c>
      <c r="P464" s="37" t="str">
        <f aca="false">IF($M464="","",IFERROR(IF(INDEX(Settings!$B$41:$B$50,MATCH(O464,Settings!$A$41:$A$50,0))&amp;""="","UNMAPPED",INDEX(Settings!$B$41:$B$50,MATCH(O464,Settings!$A$41:$A$50,0))&amp;""),"UNMAPPED"))</f>
        <v>Production</v>
      </c>
      <c r="Q464" s="38" t="n">
        <f aca="false">IF($M464="",0,N(INDEX($A464:$J464,$Q$6)))</f>
        <v>708</v>
      </c>
      <c r="R464" s="39" t="n">
        <f aca="false">IF($M464="","",INDEX($A464:$J464,$R$6))</f>
        <v>46002</v>
      </c>
      <c r="S464" s="37" t="str">
        <f aca="false">IF($M464="","",IFERROR(INDEX(Settings!$B$27:$B$36,MATCH(L464,Settings!$A$27:$A$36,0))&amp;"","UNMAPPED"))</f>
        <v>Won</v>
      </c>
      <c r="T464" s="37" t="str">
        <f aca="false">IF($M464="","",IF(NOT(ISNUMBER(R464)),"NO DATE",IF(S464="Won",IF(R464&gt;Settings!$B$5,"Backlog","Delivered"),IF(S464="Open",IF(R464&gt;Settings!$B$5,"Pipeline","Overdue"),IF(S464="Lost","Lost","UNMAPPED")))))</f>
        <v>Delivered</v>
      </c>
      <c r="U464" s="40" t="n">
        <f aca="false">IF(T464="Backlog",1,IF(OR(T464="Pipeline",T464="Overdue"),N(INDEX(Settings!$C$27:$C$36,MATCH(L464,Settings!$A$27:$A$36,0))),0))</f>
        <v>0</v>
      </c>
      <c r="V464" s="38" t="n">
        <f aca="false">Q464*U464</f>
        <v>0</v>
      </c>
      <c r="W464" s="41" t="n">
        <f aca="false">IF($M464="","",IF(T464="Overdue",IF(Settings!$B$8="Yes",Settings!$B$7,""),IF(ISNUMBER(R464),DATE(YEAR(R464),MONTH(R464),1),"")))</f>
        <v>45992</v>
      </c>
      <c r="X464" s="38" t="n">
        <f aca="false">IF(AND(OR(T464="Backlog",T464="Pipeline",T464="Overdue"),ISNUMBER(W464)),IF(W464&lt;=Settings!$B$6,V464,0),0)</f>
        <v>0</v>
      </c>
      <c r="Y464" s="38" t="n">
        <f aca="false">IF(AND(OR(T464="Backlog",T464="Pipeline",T464="Overdue"),ISNUMBER(W464)),IF(W464&lt;=Settings!$B$6,Q464,0),0)</f>
        <v>0</v>
      </c>
      <c r="Z464" s="38" t="n">
        <f aca="false">IF(Y464=0,0,IF(T464="Backlog",Q464,Q464*Dashboard!$C$10))</f>
        <v>0</v>
      </c>
      <c r="AA464" s="37" t="n">
        <f aca="false">IF($N464="",0,IF(COUNTIF(Dashboard!$C$13:$C$22,$N464)&gt;0,1,0))</f>
        <v>0</v>
      </c>
      <c r="AB464" s="37" t="str">
        <f aca="false">IF($N464="","",IF(COUNTIF($N$8:$N464,$N464)=1,MAX($AB$7:$AB463)+1,""))</f>
        <v/>
      </c>
    </row>
    <row r="465" customFormat="false" ht="15" hidden="false" customHeight="false" outlineLevel="0" collapsed="false">
      <c r="B465" s="32" t="s">
        <v>1150</v>
      </c>
      <c r="C465" s="32" t="s">
        <v>253</v>
      </c>
      <c r="D465" s="35" t="n">
        <v>4174</v>
      </c>
      <c r="E465" s="32" t="s">
        <v>145</v>
      </c>
      <c r="F465" s="36" t="n">
        <v>46084</v>
      </c>
      <c r="G465" s="32" t="s">
        <v>1151</v>
      </c>
      <c r="L465" s="37" t="str">
        <f aca="false">IF(INDEX($A465:$J465,$L$6)&lt;&gt;"",TRIM(LEFT(INDEX($A465:$J465,$L$6),FIND("(",INDEX($A465:$J465,$L$6)&amp;"(")-1)),L464)</f>
        <v>Closed Won</v>
      </c>
      <c r="M465" s="37" t="str">
        <f aca="false">IF(INDEX($A465:$J465,$M$6)="","",INDEX($A465:$J465,$M$6)&amp;"")</f>
        <v>CEO Connect (Extended Results) 3.3.26</v>
      </c>
      <c r="N465" s="37" t="str">
        <f aca="false">IF($M465="","",TRIM(INDEX($A465:$J465,$N$6)&amp;""))</f>
        <v>ASX Australian Securities Exchange</v>
      </c>
      <c r="O465" s="37" t="str">
        <f aca="false">IF($M465="","",TRIM(INDEX($A465:$J465,$O$6)&amp;""))</f>
        <v>Event Production</v>
      </c>
      <c r="P465" s="37" t="str">
        <f aca="false">IF($M465="","",IFERROR(IF(INDEX(Settings!$B$41:$B$50,MATCH(O465,Settings!$A$41:$A$50,0))&amp;""="","UNMAPPED",INDEX(Settings!$B$41:$B$50,MATCH(O465,Settings!$A$41:$A$50,0))&amp;""),"UNMAPPED"))</f>
        <v>Production</v>
      </c>
      <c r="Q465" s="38" t="n">
        <f aca="false">IF($M465="",0,N(INDEX($A465:$J465,$Q$6)))</f>
        <v>4174</v>
      </c>
      <c r="R465" s="39" t="n">
        <f aca="false">IF($M465="","",INDEX($A465:$J465,$R$6))</f>
        <v>46084</v>
      </c>
      <c r="S465" s="37" t="str">
        <f aca="false">IF($M465="","",IFERROR(INDEX(Settings!$B$27:$B$36,MATCH(L465,Settings!$A$27:$A$36,0))&amp;"","UNMAPPED"))</f>
        <v>Won</v>
      </c>
      <c r="T465" s="37" t="str">
        <f aca="false">IF($M465="","",IF(NOT(ISNUMBER(R465)),"NO DATE",IF(S465="Won",IF(R465&gt;Settings!$B$5,"Backlog","Delivered"),IF(S465="Open",IF(R465&gt;Settings!$B$5,"Pipeline","Overdue"),IF(S465="Lost","Lost","UNMAPPED")))))</f>
        <v>Delivered</v>
      </c>
      <c r="U465" s="40" t="n">
        <f aca="false">IF(T465="Backlog",1,IF(OR(T465="Pipeline",T465="Overdue"),N(INDEX(Settings!$C$27:$C$36,MATCH(L465,Settings!$A$27:$A$36,0))),0))</f>
        <v>0</v>
      </c>
      <c r="V465" s="38" t="n">
        <f aca="false">Q465*U465</f>
        <v>0</v>
      </c>
      <c r="W465" s="41" t="n">
        <f aca="false">IF($M465="","",IF(T465="Overdue",IF(Settings!$B$8="Yes",Settings!$B$7,""),IF(ISNUMBER(R465),DATE(YEAR(R465),MONTH(R465),1),"")))</f>
        <v>46082</v>
      </c>
      <c r="X465" s="38" t="n">
        <f aca="false">IF(AND(OR(T465="Backlog",T465="Pipeline",T465="Overdue"),ISNUMBER(W465)),IF(W465&lt;=Settings!$B$6,V465,0),0)</f>
        <v>0</v>
      </c>
      <c r="Y465" s="38" t="n">
        <f aca="false">IF(AND(OR(T465="Backlog",T465="Pipeline",T465="Overdue"),ISNUMBER(W465)),IF(W465&lt;=Settings!$B$6,Q465,0),0)</f>
        <v>0</v>
      </c>
      <c r="Z465" s="38" t="n">
        <f aca="false">IF(Y465=0,0,IF(T465="Backlog",Q465,Q465*Dashboard!$C$10))</f>
        <v>0</v>
      </c>
      <c r="AA465" s="37" t="n">
        <f aca="false">IF($N465="",0,IF(COUNTIF(Dashboard!$C$13:$C$22,$N465)&gt;0,1,0))</f>
        <v>0</v>
      </c>
      <c r="AB465" s="37" t="str">
        <f aca="false">IF($N465="","",IF(COUNTIF($N$8:$N465,$N465)=1,MAX($AB$7:$AB464)+1,""))</f>
        <v/>
      </c>
    </row>
    <row r="466" customFormat="false" ht="15" hidden="false" customHeight="false" outlineLevel="0" collapsed="false">
      <c r="B466" s="32" t="s">
        <v>1152</v>
      </c>
      <c r="C466" s="32" t="s">
        <v>194</v>
      </c>
      <c r="D466" s="35" t="n">
        <v>7273</v>
      </c>
      <c r="E466" s="32" t="s">
        <v>145</v>
      </c>
      <c r="F466" s="36" t="n">
        <v>46071</v>
      </c>
      <c r="G466" s="32" t="s">
        <v>1153</v>
      </c>
      <c r="L466" s="37" t="str">
        <f aca="false">IF(INDEX($A466:$J466,$L$6)&lt;&gt;"",TRIM(LEFT(INDEX($A466:$J466,$L$6),FIND("(",INDEX($A466:$J466,$L$6)&amp;"(")-1)),L465)</f>
        <v>Closed Won</v>
      </c>
      <c r="M466" s="37" t="str">
        <f aca="false">IF(INDEX($A466:$J466,$M$6)="","",INDEX($A466:$J466,$M$6)&amp;"")</f>
        <v>Ventia IS x-Leadership Team 25.2.25</v>
      </c>
      <c r="N466" s="37" t="str">
        <f aca="false">IF($M466="","",TRIM(INDEX($A466:$J466,$N$6)&amp;""))</f>
        <v>Ventia</v>
      </c>
      <c r="O466" s="37" t="str">
        <f aca="false">IF($M466="","",TRIM(INDEX($A466:$J466,$O$6)&amp;""))</f>
        <v>Event Production</v>
      </c>
      <c r="P466" s="37" t="str">
        <f aca="false">IF($M466="","",IFERROR(IF(INDEX(Settings!$B$41:$B$50,MATCH(O466,Settings!$A$41:$A$50,0))&amp;""="","UNMAPPED",INDEX(Settings!$B$41:$B$50,MATCH(O466,Settings!$A$41:$A$50,0))&amp;""),"UNMAPPED"))</f>
        <v>Production</v>
      </c>
      <c r="Q466" s="38" t="n">
        <f aca="false">IF($M466="",0,N(INDEX($A466:$J466,$Q$6)))</f>
        <v>7273</v>
      </c>
      <c r="R466" s="39" t="n">
        <f aca="false">IF($M466="","",INDEX($A466:$J466,$R$6))</f>
        <v>46071</v>
      </c>
      <c r="S466" s="37" t="str">
        <f aca="false">IF($M466="","",IFERROR(INDEX(Settings!$B$27:$B$36,MATCH(L466,Settings!$A$27:$A$36,0))&amp;"","UNMAPPED"))</f>
        <v>Won</v>
      </c>
      <c r="T466" s="37" t="str">
        <f aca="false">IF($M466="","",IF(NOT(ISNUMBER(R466)),"NO DATE",IF(S466="Won",IF(R466&gt;Settings!$B$5,"Backlog","Delivered"),IF(S466="Open",IF(R466&gt;Settings!$B$5,"Pipeline","Overdue"),IF(S466="Lost","Lost","UNMAPPED")))))</f>
        <v>Delivered</v>
      </c>
      <c r="U466" s="40" t="n">
        <f aca="false">IF(T466="Backlog",1,IF(OR(T466="Pipeline",T466="Overdue"),N(INDEX(Settings!$C$27:$C$36,MATCH(L466,Settings!$A$27:$A$36,0))),0))</f>
        <v>0</v>
      </c>
      <c r="V466" s="38" t="n">
        <f aca="false">Q466*U466</f>
        <v>0</v>
      </c>
      <c r="W466" s="41" t="n">
        <f aca="false">IF($M466="","",IF(T466="Overdue",IF(Settings!$B$8="Yes",Settings!$B$7,""),IF(ISNUMBER(R466),DATE(YEAR(R466),MONTH(R466),1),"")))</f>
        <v>46054</v>
      </c>
      <c r="X466" s="38" t="n">
        <f aca="false">IF(AND(OR(T466="Backlog",T466="Pipeline",T466="Overdue"),ISNUMBER(W466)),IF(W466&lt;=Settings!$B$6,V466,0),0)</f>
        <v>0</v>
      </c>
      <c r="Y466" s="38" t="n">
        <f aca="false">IF(AND(OR(T466="Backlog",T466="Pipeline",T466="Overdue"),ISNUMBER(W466)),IF(W466&lt;=Settings!$B$6,Q466,0),0)</f>
        <v>0</v>
      </c>
      <c r="Z466" s="38" t="n">
        <f aca="false">IF(Y466=0,0,IF(T466="Backlog",Q466,Q466*Dashboard!$C$10))</f>
        <v>0</v>
      </c>
      <c r="AA466" s="37" t="n">
        <f aca="false">IF($N466="",0,IF(COUNTIF(Dashboard!$C$13:$C$22,$N466)&gt;0,1,0))</f>
        <v>0</v>
      </c>
      <c r="AB466" s="37" t="str">
        <f aca="false">IF($N466="","",IF(COUNTIF($N$8:$N466,$N466)=1,MAX($AB$7:$AB465)+1,""))</f>
        <v/>
      </c>
    </row>
    <row r="467" customFormat="false" ht="15" hidden="false" customHeight="false" outlineLevel="0" collapsed="false">
      <c r="B467" s="32" t="s">
        <v>1154</v>
      </c>
      <c r="C467" s="32" t="s">
        <v>160</v>
      </c>
      <c r="D467" s="35" t="n">
        <v>380</v>
      </c>
      <c r="E467" s="32" t="s">
        <v>145</v>
      </c>
      <c r="F467" s="36" t="n">
        <v>46140</v>
      </c>
      <c r="G467" s="32" t="s">
        <v>1155</v>
      </c>
      <c r="L467" s="37" t="str">
        <f aca="false">IF(INDEX($A467:$J467,$L$6)&lt;&gt;"",TRIM(LEFT(INDEX($A467:$J467,$L$6),FIND("(",INDEX($A467:$J467,$L$6)&amp;"(")-1)),L466)</f>
        <v>Closed Won</v>
      </c>
      <c r="M467" s="37" t="str">
        <f aca="false">IF(INDEX($A467:$J467,$M$6)="","",INDEX($A467:$J467,$M$6)&amp;"")</f>
        <v>Elkiem - Studio Support - 28.4.26</v>
      </c>
      <c r="N467" s="37" t="str">
        <f aca="false">IF($M467="","",TRIM(INDEX($A467:$J467,$N$6)&amp;""))</f>
        <v>Elkiem</v>
      </c>
      <c r="O467" s="37" t="str">
        <f aca="false">IF($M467="","",TRIM(INDEX($A467:$J467,$O$6)&amp;""))</f>
        <v>Event Production</v>
      </c>
      <c r="P467" s="37" t="str">
        <f aca="false">IF($M467="","",IFERROR(IF(INDEX(Settings!$B$41:$B$50,MATCH(O467,Settings!$A$41:$A$50,0))&amp;""="","UNMAPPED",INDEX(Settings!$B$41:$B$50,MATCH(O467,Settings!$A$41:$A$50,0))&amp;""),"UNMAPPED"))</f>
        <v>Production</v>
      </c>
      <c r="Q467" s="38" t="n">
        <f aca="false">IF($M467="",0,N(INDEX($A467:$J467,$Q$6)))</f>
        <v>380</v>
      </c>
      <c r="R467" s="39" t="n">
        <f aca="false">IF($M467="","",INDEX($A467:$J467,$R$6))</f>
        <v>46140</v>
      </c>
      <c r="S467" s="37" t="str">
        <f aca="false">IF($M467="","",IFERROR(INDEX(Settings!$B$27:$B$36,MATCH(L467,Settings!$A$27:$A$36,0))&amp;"","UNMAPPED"))</f>
        <v>Won</v>
      </c>
      <c r="T467" s="37" t="str">
        <f aca="false">IF($M467="","",IF(NOT(ISNUMBER(R467)),"NO DATE",IF(S467="Won",IF(R467&gt;Settings!$B$5,"Backlog","Delivered"),IF(S467="Open",IF(R467&gt;Settings!$B$5,"Pipeline","Overdue"),IF(S467="Lost","Lost","UNMAPPED")))))</f>
        <v>Delivered</v>
      </c>
      <c r="U467" s="40" t="n">
        <f aca="false">IF(T467="Backlog",1,IF(OR(T467="Pipeline",T467="Overdue"),N(INDEX(Settings!$C$27:$C$36,MATCH(L467,Settings!$A$27:$A$36,0))),0))</f>
        <v>0</v>
      </c>
      <c r="V467" s="38" t="n">
        <f aca="false">Q467*U467</f>
        <v>0</v>
      </c>
      <c r="W467" s="41" t="n">
        <f aca="false">IF($M467="","",IF(T467="Overdue",IF(Settings!$B$8="Yes",Settings!$B$7,""),IF(ISNUMBER(R467),DATE(YEAR(R467),MONTH(R467),1),"")))</f>
        <v>46113</v>
      </c>
      <c r="X467" s="38" t="n">
        <f aca="false">IF(AND(OR(T467="Backlog",T467="Pipeline",T467="Overdue"),ISNUMBER(W467)),IF(W467&lt;=Settings!$B$6,V467,0),0)</f>
        <v>0</v>
      </c>
      <c r="Y467" s="38" t="n">
        <f aca="false">IF(AND(OR(T467="Backlog",T467="Pipeline",T467="Overdue"),ISNUMBER(W467)),IF(W467&lt;=Settings!$B$6,Q467,0),0)</f>
        <v>0</v>
      </c>
      <c r="Z467" s="38" t="n">
        <f aca="false">IF(Y467=0,0,IF(T467="Backlog",Q467,Q467*Dashboard!$C$10))</f>
        <v>0</v>
      </c>
      <c r="AA467" s="37" t="n">
        <f aca="false">IF($N467="",0,IF(COUNTIF(Dashboard!$C$13:$C$22,$N467)&gt;0,1,0))</f>
        <v>0</v>
      </c>
      <c r="AB467" s="37" t="str">
        <f aca="false">IF($N467="","",IF(COUNTIF($N$8:$N467,$N467)=1,MAX($AB$7:$AB466)+1,""))</f>
        <v/>
      </c>
    </row>
    <row r="468" customFormat="false" ht="15" hidden="false" customHeight="false" outlineLevel="0" collapsed="false">
      <c r="B468" s="32" t="s">
        <v>1156</v>
      </c>
      <c r="C468" s="32" t="s">
        <v>244</v>
      </c>
      <c r="D468" s="35" t="n">
        <v>11888</v>
      </c>
      <c r="E468" s="32" t="s">
        <v>141</v>
      </c>
      <c r="F468" s="36" t="n">
        <v>45877</v>
      </c>
      <c r="G468" s="32" t="s">
        <v>1157</v>
      </c>
      <c r="L468" s="37" t="str">
        <f aca="false">IF(INDEX($A468:$J468,$L$6)&lt;&gt;"",TRIM(LEFT(INDEX($A468:$J468,$L$6),FIND("(",INDEX($A468:$J468,$L$6)&amp;"(")-1)),L467)</f>
        <v>Closed Won</v>
      </c>
      <c r="M468" s="37" t="str">
        <f aca="false">IF(INDEX($A468:$J468,$M$6)="","",INDEX($A468:$J468,$M$6)&amp;"")</f>
        <v>Proxyclick VMS Renewal - Brisbane and Darwin</v>
      </c>
      <c r="N468" s="37" t="str">
        <f aca="false">IF($M468="","",TRIM(INDEX($A468:$J468,$N$6)&amp;""))</f>
        <v>APA</v>
      </c>
      <c r="O468" s="37" t="str">
        <f aca="false">IF($M468="","",TRIM(INDEX($A468:$J468,$O$6)&amp;""))</f>
        <v>Integration</v>
      </c>
      <c r="P468" s="37" t="str">
        <f aca="false">IF($M468="","",IFERROR(IF(INDEX(Settings!$B$41:$B$50,MATCH(O468,Settings!$A$41:$A$50,0))&amp;""="","UNMAPPED",INDEX(Settings!$B$41:$B$50,MATCH(O468,Settings!$A$41:$A$50,0))&amp;""),"UNMAPPED"))</f>
        <v>Integration</v>
      </c>
      <c r="Q468" s="38" t="n">
        <f aca="false">IF($M468="",0,N(INDEX($A468:$J468,$Q$6)))</f>
        <v>11888</v>
      </c>
      <c r="R468" s="39" t="n">
        <f aca="false">IF($M468="","",INDEX($A468:$J468,$R$6))</f>
        <v>45877</v>
      </c>
      <c r="S468" s="37" t="str">
        <f aca="false">IF($M468="","",IFERROR(INDEX(Settings!$B$27:$B$36,MATCH(L468,Settings!$A$27:$A$36,0))&amp;"","UNMAPPED"))</f>
        <v>Won</v>
      </c>
      <c r="T468" s="37" t="str">
        <f aca="false">IF($M468="","",IF(NOT(ISNUMBER(R468)),"NO DATE",IF(S468="Won",IF(R468&gt;Settings!$B$5,"Backlog","Delivered"),IF(S468="Open",IF(R468&gt;Settings!$B$5,"Pipeline","Overdue"),IF(S468="Lost","Lost","UNMAPPED")))))</f>
        <v>Delivered</v>
      </c>
      <c r="U468" s="40" t="n">
        <f aca="false">IF(T468="Backlog",1,IF(OR(T468="Pipeline",T468="Overdue"),N(INDEX(Settings!$C$27:$C$36,MATCH(L468,Settings!$A$27:$A$36,0))),0))</f>
        <v>0</v>
      </c>
      <c r="V468" s="38" t="n">
        <f aca="false">Q468*U468</f>
        <v>0</v>
      </c>
      <c r="W468" s="41" t="n">
        <f aca="false">IF($M468="","",IF(T468="Overdue",IF(Settings!$B$8="Yes",Settings!$B$7,""),IF(ISNUMBER(R468),DATE(YEAR(R468),MONTH(R468),1),"")))</f>
        <v>45870</v>
      </c>
      <c r="X468" s="38" t="n">
        <f aca="false">IF(AND(OR(T468="Backlog",T468="Pipeline",T468="Overdue"),ISNUMBER(W468)),IF(W468&lt;=Settings!$B$6,V468,0),0)</f>
        <v>0</v>
      </c>
      <c r="Y468" s="38" t="n">
        <f aca="false">IF(AND(OR(T468="Backlog",T468="Pipeline",T468="Overdue"),ISNUMBER(W468)),IF(W468&lt;=Settings!$B$6,Q468,0),0)</f>
        <v>0</v>
      </c>
      <c r="Z468" s="38" t="n">
        <f aca="false">IF(Y468=0,0,IF(T468="Backlog",Q468,Q468*Dashboard!$C$10))</f>
        <v>0</v>
      </c>
      <c r="AA468" s="37" t="n">
        <f aca="false">IF($N468="",0,IF(COUNTIF(Dashboard!$C$13:$C$22,$N468)&gt;0,1,0))</f>
        <v>0</v>
      </c>
      <c r="AB468" s="37" t="str">
        <f aca="false">IF($N468="","",IF(COUNTIF($N$8:$N468,$N468)=1,MAX($AB$7:$AB467)+1,""))</f>
        <v/>
      </c>
    </row>
    <row r="469" customFormat="false" ht="15" hidden="false" customHeight="false" outlineLevel="0" collapsed="false">
      <c r="B469" s="32" t="s">
        <v>1158</v>
      </c>
      <c r="C469" s="32" t="s">
        <v>781</v>
      </c>
      <c r="D469" s="35" t="n">
        <v>13390</v>
      </c>
      <c r="E469" s="32" t="s">
        <v>145</v>
      </c>
      <c r="F469" s="36" t="n">
        <v>46182</v>
      </c>
      <c r="G469" s="32" t="s">
        <v>1159</v>
      </c>
      <c r="L469" s="37" t="str">
        <f aca="false">IF(INDEX($A469:$J469,$L$6)&lt;&gt;"",TRIM(LEFT(INDEX($A469:$J469,$L$6),FIND("(",INDEX($A469:$J469,$L$6)&amp;"(")-1)),L468)</f>
        <v>Closed Won</v>
      </c>
      <c r="M469" s="37" t="str">
        <f aca="false">IF(INDEX($A469:$J469,$M$6)="","",INDEX($A469:$J469,$M$6)&amp;"")</f>
        <v>Virgin - FYR 2026 (BNE) - 28.8.26</v>
      </c>
      <c r="N469" s="37" t="str">
        <f aca="false">IF($M469="","",TRIM(INDEX($A469:$J469,$N$6)&amp;""))</f>
        <v>Virgin Australia</v>
      </c>
      <c r="O469" s="37" t="str">
        <f aca="false">IF($M469="","",TRIM(INDEX($A469:$J469,$O$6)&amp;""))</f>
        <v>Event Production</v>
      </c>
      <c r="P469" s="37" t="str">
        <f aca="false">IF($M469="","",IFERROR(IF(INDEX(Settings!$B$41:$B$50,MATCH(O469,Settings!$A$41:$A$50,0))&amp;""="","UNMAPPED",INDEX(Settings!$B$41:$B$50,MATCH(O469,Settings!$A$41:$A$50,0))&amp;""),"UNMAPPED"))</f>
        <v>Production</v>
      </c>
      <c r="Q469" s="38" t="n">
        <f aca="false">IF($M469="",0,N(INDEX($A469:$J469,$Q$6)))</f>
        <v>13390</v>
      </c>
      <c r="R469" s="39" t="n">
        <f aca="false">IF($M469="","",INDEX($A469:$J469,$R$6))</f>
        <v>46182</v>
      </c>
      <c r="S469" s="37" t="str">
        <f aca="false">IF($M469="","",IFERROR(INDEX(Settings!$B$27:$B$36,MATCH(L469,Settings!$A$27:$A$36,0))&amp;"","UNMAPPED"))</f>
        <v>Won</v>
      </c>
      <c r="T469" s="37" t="str">
        <f aca="false">IF($M469="","",IF(NOT(ISNUMBER(R469)),"NO DATE",IF(S469="Won",IF(R469&gt;Settings!$B$5,"Backlog","Delivered"),IF(S469="Open",IF(R469&gt;Settings!$B$5,"Pipeline","Overdue"),IF(S469="Lost","Lost","UNMAPPED")))))</f>
        <v>Delivered</v>
      </c>
      <c r="U469" s="40" t="n">
        <f aca="false">IF(T469="Backlog",1,IF(OR(T469="Pipeline",T469="Overdue"),N(INDEX(Settings!$C$27:$C$36,MATCH(L469,Settings!$A$27:$A$36,0))),0))</f>
        <v>0</v>
      </c>
      <c r="V469" s="38" t="n">
        <f aca="false">Q469*U469</f>
        <v>0</v>
      </c>
      <c r="W469" s="41" t="n">
        <f aca="false">IF($M469="","",IF(T469="Overdue",IF(Settings!$B$8="Yes",Settings!$B$7,""),IF(ISNUMBER(R469),DATE(YEAR(R469),MONTH(R469),1),"")))</f>
        <v>46174</v>
      </c>
      <c r="X469" s="38" t="n">
        <f aca="false">IF(AND(OR(T469="Backlog",T469="Pipeline",T469="Overdue"),ISNUMBER(W469)),IF(W469&lt;=Settings!$B$6,V469,0),0)</f>
        <v>0</v>
      </c>
      <c r="Y469" s="38" t="n">
        <f aca="false">IF(AND(OR(T469="Backlog",T469="Pipeline",T469="Overdue"),ISNUMBER(W469)),IF(W469&lt;=Settings!$B$6,Q469,0),0)</f>
        <v>0</v>
      </c>
      <c r="Z469" s="38" t="n">
        <f aca="false">IF(Y469=0,0,IF(T469="Backlog",Q469,Q469*Dashboard!$C$10))</f>
        <v>0</v>
      </c>
      <c r="AA469" s="37" t="n">
        <f aca="false">IF($N469="",0,IF(COUNTIF(Dashboard!$C$13:$C$22,$N469)&gt;0,1,0))</f>
        <v>0</v>
      </c>
      <c r="AB469" s="37" t="str">
        <f aca="false">IF($N469="","",IF(COUNTIF($N$8:$N469,$N469)=1,MAX($AB$7:$AB468)+1,""))</f>
        <v/>
      </c>
    </row>
    <row r="470" customFormat="false" ht="15" hidden="false" customHeight="false" outlineLevel="0" collapsed="false">
      <c r="B470" s="32" t="s">
        <v>1160</v>
      </c>
      <c r="C470" s="32" t="s">
        <v>154</v>
      </c>
      <c r="D470" s="35" t="n">
        <v>1925</v>
      </c>
      <c r="E470" s="32" t="s">
        <v>145</v>
      </c>
      <c r="F470" s="36" t="n">
        <v>46178</v>
      </c>
      <c r="G470" s="32" t="s">
        <v>1161</v>
      </c>
      <c r="L470" s="37" t="str">
        <f aca="false">IF(INDEX($A470:$J470,$L$6)&lt;&gt;"",TRIM(LEFT(INDEX($A470:$J470,$L$6),FIND("(",INDEX($A470:$J470,$L$6)&amp;"(")-1)),L469)</f>
        <v>Closed Won</v>
      </c>
      <c r="M470" s="37" t="str">
        <f aca="false">IF(INDEX($A470:$J470,$M$6)="","",INDEX($A470:$J470,$M$6)&amp;"")</f>
        <v>PWC - NRW Webcast - 11.6.26</v>
      </c>
      <c r="N470" s="37" t="str">
        <f aca="false">IF($M470="","",TRIM(INDEX($A470:$J470,$N$6)&amp;""))</f>
        <v>PWC</v>
      </c>
      <c r="O470" s="37" t="str">
        <f aca="false">IF($M470="","",TRIM(INDEX($A470:$J470,$O$6)&amp;""))</f>
        <v>Event Production</v>
      </c>
      <c r="P470" s="37" t="str">
        <f aca="false">IF($M470="","",IFERROR(IF(INDEX(Settings!$B$41:$B$50,MATCH(O470,Settings!$A$41:$A$50,0))&amp;""="","UNMAPPED",INDEX(Settings!$B$41:$B$50,MATCH(O470,Settings!$A$41:$A$50,0))&amp;""),"UNMAPPED"))</f>
        <v>Production</v>
      </c>
      <c r="Q470" s="38" t="n">
        <f aca="false">IF($M470="",0,N(INDEX($A470:$J470,$Q$6)))</f>
        <v>1925</v>
      </c>
      <c r="R470" s="39" t="n">
        <f aca="false">IF($M470="","",INDEX($A470:$J470,$R$6))</f>
        <v>46178</v>
      </c>
      <c r="S470" s="37" t="str">
        <f aca="false">IF($M470="","",IFERROR(INDEX(Settings!$B$27:$B$36,MATCH(L470,Settings!$A$27:$A$36,0))&amp;"","UNMAPPED"))</f>
        <v>Won</v>
      </c>
      <c r="T470" s="37" t="str">
        <f aca="false">IF($M470="","",IF(NOT(ISNUMBER(R470)),"NO DATE",IF(S470="Won",IF(R470&gt;Settings!$B$5,"Backlog","Delivered"),IF(S470="Open",IF(R470&gt;Settings!$B$5,"Pipeline","Overdue"),IF(S470="Lost","Lost","UNMAPPED")))))</f>
        <v>Delivered</v>
      </c>
      <c r="U470" s="40" t="n">
        <f aca="false">IF(T470="Backlog",1,IF(OR(T470="Pipeline",T470="Overdue"),N(INDEX(Settings!$C$27:$C$36,MATCH(L470,Settings!$A$27:$A$36,0))),0))</f>
        <v>0</v>
      </c>
      <c r="V470" s="38" t="n">
        <f aca="false">Q470*U470</f>
        <v>0</v>
      </c>
      <c r="W470" s="41" t="n">
        <f aca="false">IF($M470="","",IF(T470="Overdue",IF(Settings!$B$8="Yes",Settings!$B$7,""),IF(ISNUMBER(R470),DATE(YEAR(R470),MONTH(R470),1),"")))</f>
        <v>46174</v>
      </c>
      <c r="X470" s="38" t="n">
        <f aca="false">IF(AND(OR(T470="Backlog",T470="Pipeline",T470="Overdue"),ISNUMBER(W470)),IF(W470&lt;=Settings!$B$6,V470,0),0)</f>
        <v>0</v>
      </c>
      <c r="Y470" s="38" t="n">
        <f aca="false">IF(AND(OR(T470="Backlog",T470="Pipeline",T470="Overdue"),ISNUMBER(W470)),IF(W470&lt;=Settings!$B$6,Q470,0),0)</f>
        <v>0</v>
      </c>
      <c r="Z470" s="38" t="n">
        <f aca="false">IF(Y470=0,0,IF(T470="Backlog",Q470,Q470*Dashboard!$C$10))</f>
        <v>0</v>
      </c>
      <c r="AA470" s="37" t="n">
        <f aca="false">IF($N470="",0,IF(COUNTIF(Dashboard!$C$13:$C$22,$N470)&gt;0,1,0))</f>
        <v>0</v>
      </c>
      <c r="AB470" s="37" t="str">
        <f aca="false">IF($N470="","",IF(COUNTIF($N$8:$N470,$N470)=1,MAX($AB$7:$AB469)+1,""))</f>
        <v/>
      </c>
    </row>
    <row r="471" customFormat="false" ht="15" hidden="false" customHeight="false" outlineLevel="0" collapsed="false">
      <c r="B471" s="32" t="s">
        <v>1162</v>
      </c>
      <c r="C471" s="32" t="s">
        <v>154</v>
      </c>
      <c r="D471" s="35" t="n">
        <v>2550</v>
      </c>
      <c r="E471" s="32" t="s">
        <v>180</v>
      </c>
      <c r="F471" s="36" t="n">
        <v>46112</v>
      </c>
      <c r="G471" s="32" t="s">
        <v>1163</v>
      </c>
      <c r="L471" s="37" t="str">
        <f aca="false">IF(INDEX($A471:$J471,$L$6)&lt;&gt;"",TRIM(LEFT(INDEX($A471:$J471,$L$6),FIND("(",INDEX($A471:$J471,$L$6)&amp;"(")-1)),L470)</f>
        <v>Closed Won</v>
      </c>
      <c r="M471" s="37" t="str">
        <f aca="false">IF(INDEX($A471:$J471,$M$6)="","",INDEX($A471:$J471,$M$6)&amp;"")</f>
        <v>Pool of hours for National AV Support - 02/2026</v>
      </c>
      <c r="N471" s="37" t="str">
        <f aca="false">IF($M471="","",TRIM(INDEX($A471:$J471,$N$6)&amp;""))</f>
        <v>PWC</v>
      </c>
      <c r="O471" s="37" t="str">
        <f aca="false">IF($M471="","",TRIM(INDEX($A471:$J471,$O$6)&amp;""))</f>
        <v>Support</v>
      </c>
      <c r="P471" s="37" t="str">
        <f aca="false">IF($M471="","",IFERROR(IF(INDEX(Settings!$B$41:$B$50,MATCH(O471,Settings!$A$41:$A$50,0))&amp;""="","UNMAPPED",INDEX(Settings!$B$41:$B$50,MATCH(O471,Settings!$A$41:$A$50,0))&amp;""),"UNMAPPED"))</f>
        <v>Onsite</v>
      </c>
      <c r="Q471" s="38" t="n">
        <f aca="false">IF($M471="",0,N(INDEX($A471:$J471,$Q$6)))</f>
        <v>2550</v>
      </c>
      <c r="R471" s="39" t="n">
        <f aca="false">IF($M471="","",INDEX($A471:$J471,$R$6))</f>
        <v>46112</v>
      </c>
      <c r="S471" s="37" t="str">
        <f aca="false">IF($M471="","",IFERROR(INDEX(Settings!$B$27:$B$36,MATCH(L471,Settings!$A$27:$A$36,0))&amp;"","UNMAPPED"))</f>
        <v>Won</v>
      </c>
      <c r="T471" s="37" t="str">
        <f aca="false">IF($M471="","",IF(NOT(ISNUMBER(R471)),"NO DATE",IF(S471="Won",IF(R471&gt;Settings!$B$5,"Backlog","Delivered"),IF(S471="Open",IF(R471&gt;Settings!$B$5,"Pipeline","Overdue"),IF(S471="Lost","Lost","UNMAPPED")))))</f>
        <v>Delivered</v>
      </c>
      <c r="U471" s="40" t="n">
        <f aca="false">IF(T471="Backlog",1,IF(OR(T471="Pipeline",T471="Overdue"),N(INDEX(Settings!$C$27:$C$36,MATCH(L471,Settings!$A$27:$A$36,0))),0))</f>
        <v>0</v>
      </c>
      <c r="V471" s="38" t="n">
        <f aca="false">Q471*U471</f>
        <v>0</v>
      </c>
      <c r="W471" s="41" t="n">
        <f aca="false">IF($M471="","",IF(T471="Overdue",IF(Settings!$B$8="Yes",Settings!$B$7,""),IF(ISNUMBER(R471),DATE(YEAR(R471),MONTH(R471),1),"")))</f>
        <v>46082</v>
      </c>
      <c r="X471" s="38" t="n">
        <f aca="false">IF(AND(OR(T471="Backlog",T471="Pipeline",T471="Overdue"),ISNUMBER(W471)),IF(W471&lt;=Settings!$B$6,V471,0),0)</f>
        <v>0</v>
      </c>
      <c r="Y471" s="38" t="n">
        <f aca="false">IF(AND(OR(T471="Backlog",T471="Pipeline",T471="Overdue"),ISNUMBER(W471)),IF(W471&lt;=Settings!$B$6,Q471,0),0)</f>
        <v>0</v>
      </c>
      <c r="Z471" s="38" t="n">
        <f aca="false">IF(Y471=0,0,IF(T471="Backlog",Q471,Q471*Dashboard!$C$10))</f>
        <v>0</v>
      </c>
      <c r="AA471" s="37" t="n">
        <f aca="false">IF($N471="",0,IF(COUNTIF(Dashboard!$C$13:$C$22,$N471)&gt;0,1,0))</f>
        <v>0</v>
      </c>
      <c r="AB471" s="37" t="str">
        <f aca="false">IF($N471="","",IF(COUNTIF($N$8:$N471,$N471)=1,MAX($AB$7:$AB470)+1,""))</f>
        <v/>
      </c>
    </row>
    <row r="472" customFormat="false" ht="15" hidden="false" customHeight="false" outlineLevel="0" collapsed="false">
      <c r="B472" s="32" t="s">
        <v>1164</v>
      </c>
      <c r="C472" s="32" t="s">
        <v>188</v>
      </c>
      <c r="D472" s="35" t="n">
        <v>6196</v>
      </c>
      <c r="E472" s="32" t="s">
        <v>141</v>
      </c>
      <c r="F472" s="36" t="n">
        <v>46238</v>
      </c>
      <c r="G472" s="32" t="s">
        <v>1165</v>
      </c>
      <c r="L472" s="37" t="str">
        <f aca="false">IF(INDEX($A472:$J472,$L$6)&lt;&gt;"",TRIM(LEFT(INDEX($A472:$J472,$L$6),FIND("(",INDEX($A472:$J472,$L$6)&amp;"(")-1)),L471)</f>
        <v>Closed Won</v>
      </c>
      <c r="M472" s="37" t="str">
        <f aca="false">IF(INDEX($A472:$J472,$M$6)="","",INDEX($A472:$J472,$M$6)&amp;"")</f>
        <v>Aware | SYD Occupancy Sensors - 26062902</v>
      </c>
      <c r="N472" s="37" t="str">
        <f aca="false">IF($M472="","",TRIM(INDEX($A472:$J472,$N$6)&amp;""))</f>
        <v>Aware Super</v>
      </c>
      <c r="O472" s="37" t="str">
        <f aca="false">IF($M472="","",TRIM(INDEX($A472:$J472,$O$6)&amp;""))</f>
        <v>Integration</v>
      </c>
      <c r="P472" s="37" t="str">
        <f aca="false">IF($M472="","",IFERROR(IF(INDEX(Settings!$B$41:$B$50,MATCH(O472,Settings!$A$41:$A$50,0))&amp;""="","UNMAPPED",INDEX(Settings!$B$41:$B$50,MATCH(O472,Settings!$A$41:$A$50,0))&amp;""),"UNMAPPED"))</f>
        <v>Integration</v>
      </c>
      <c r="Q472" s="38" t="n">
        <f aca="false">IF($M472="",0,N(INDEX($A472:$J472,$Q$6)))</f>
        <v>6196</v>
      </c>
      <c r="R472" s="39" t="n">
        <f aca="false">IF($M472="","",INDEX($A472:$J472,$R$6))</f>
        <v>46238</v>
      </c>
      <c r="S472" s="37" t="str">
        <f aca="false">IF($M472="","",IFERROR(INDEX(Settings!$B$27:$B$36,MATCH(L472,Settings!$A$27:$A$36,0))&amp;"","UNMAPPED"))</f>
        <v>Won</v>
      </c>
      <c r="T472" s="37" t="str">
        <f aca="false">IF($M472="","",IF(NOT(ISNUMBER(R472)),"NO DATE",IF(S472="Won",IF(R472&gt;Settings!$B$5,"Backlog","Delivered"),IF(S472="Open",IF(R472&gt;Settings!$B$5,"Pipeline","Overdue"),IF(S472="Lost","Lost","UNMAPPED")))))</f>
        <v>Delivered</v>
      </c>
      <c r="U472" s="40" t="n">
        <f aca="false">IF(T472="Backlog",1,IF(OR(T472="Pipeline",T472="Overdue"),N(INDEX(Settings!$C$27:$C$36,MATCH(L472,Settings!$A$27:$A$36,0))),0))</f>
        <v>0</v>
      </c>
      <c r="V472" s="38" t="n">
        <f aca="false">Q472*U472</f>
        <v>0</v>
      </c>
      <c r="W472" s="41" t="n">
        <f aca="false">IF($M472="","",IF(T472="Overdue",IF(Settings!$B$8="Yes",Settings!$B$7,""),IF(ISNUMBER(R472),DATE(YEAR(R472),MONTH(R472),1),"")))</f>
        <v>46235</v>
      </c>
      <c r="X472" s="38" t="n">
        <f aca="false">IF(AND(OR(T472="Backlog",T472="Pipeline",T472="Overdue"),ISNUMBER(W472)),IF(W472&lt;=Settings!$B$6,V472,0),0)</f>
        <v>0</v>
      </c>
      <c r="Y472" s="38" t="n">
        <f aca="false">IF(AND(OR(T472="Backlog",T472="Pipeline",T472="Overdue"),ISNUMBER(W472)),IF(W472&lt;=Settings!$B$6,Q472,0),0)</f>
        <v>0</v>
      </c>
      <c r="Z472" s="38" t="n">
        <f aca="false">IF(Y472=0,0,IF(T472="Backlog",Q472,Q472*Dashboard!$C$10))</f>
        <v>0</v>
      </c>
      <c r="AA472" s="37" t="n">
        <f aca="false">IF($N472="",0,IF(COUNTIF(Dashboard!$C$13:$C$22,$N472)&gt;0,1,0))</f>
        <v>0</v>
      </c>
      <c r="AB472" s="37" t="str">
        <f aca="false">IF($N472="","",IF(COUNTIF($N$8:$N472,$N472)=1,MAX($AB$7:$AB471)+1,""))</f>
        <v/>
      </c>
    </row>
    <row r="473" customFormat="false" ht="15" hidden="false" customHeight="false" outlineLevel="0" collapsed="false">
      <c r="B473" s="32" t="s">
        <v>1166</v>
      </c>
      <c r="C473" s="32" t="s">
        <v>183</v>
      </c>
      <c r="D473" s="35" t="n">
        <v>16014</v>
      </c>
      <c r="E473" s="32" t="s">
        <v>145</v>
      </c>
      <c r="F473" s="36" t="n">
        <v>46149</v>
      </c>
      <c r="G473" s="32" t="s">
        <v>1167</v>
      </c>
      <c r="L473" s="37" t="str">
        <f aca="false">IF(INDEX($A473:$J473,$L$6)&lt;&gt;"",TRIM(LEFT(INDEX($A473:$J473,$L$6),FIND("(",INDEX($A473:$J473,$L$6)&amp;"(")-1)),L472)</f>
        <v>Closed Won</v>
      </c>
      <c r="M473" s="37" t="str">
        <f aca="false">IF(INDEX($A473:$J473,$M$6)="","",INDEX($A473:$J473,$M$6)&amp;"")</f>
        <v>ChorusCall - Regal Partners AGM - 28.5.26</v>
      </c>
      <c r="N473" s="37" t="str">
        <f aca="false">IF($M473="","",TRIM(INDEX($A473:$J473,$N$6)&amp;""))</f>
        <v>Chorus Call</v>
      </c>
      <c r="O473" s="37" t="str">
        <f aca="false">IF($M473="","",TRIM(INDEX($A473:$J473,$O$6)&amp;""))</f>
        <v>Event Production</v>
      </c>
      <c r="P473" s="37" t="str">
        <f aca="false">IF($M473="","",IFERROR(IF(INDEX(Settings!$B$41:$B$50,MATCH(O473,Settings!$A$41:$A$50,0))&amp;""="","UNMAPPED",INDEX(Settings!$B$41:$B$50,MATCH(O473,Settings!$A$41:$A$50,0))&amp;""),"UNMAPPED"))</f>
        <v>Production</v>
      </c>
      <c r="Q473" s="38" t="n">
        <f aca="false">IF($M473="",0,N(INDEX($A473:$J473,$Q$6)))</f>
        <v>16014</v>
      </c>
      <c r="R473" s="39" t="n">
        <f aca="false">IF($M473="","",INDEX($A473:$J473,$R$6))</f>
        <v>46149</v>
      </c>
      <c r="S473" s="37" t="str">
        <f aca="false">IF($M473="","",IFERROR(INDEX(Settings!$B$27:$B$36,MATCH(L473,Settings!$A$27:$A$36,0))&amp;"","UNMAPPED"))</f>
        <v>Won</v>
      </c>
      <c r="T473" s="37" t="str">
        <f aca="false">IF($M473="","",IF(NOT(ISNUMBER(R473)),"NO DATE",IF(S473="Won",IF(R473&gt;Settings!$B$5,"Backlog","Delivered"),IF(S473="Open",IF(R473&gt;Settings!$B$5,"Pipeline","Overdue"),IF(S473="Lost","Lost","UNMAPPED")))))</f>
        <v>Delivered</v>
      </c>
      <c r="U473" s="40" t="n">
        <f aca="false">IF(T473="Backlog",1,IF(OR(T473="Pipeline",T473="Overdue"),N(INDEX(Settings!$C$27:$C$36,MATCH(L473,Settings!$A$27:$A$36,0))),0))</f>
        <v>0</v>
      </c>
      <c r="V473" s="38" t="n">
        <f aca="false">Q473*U473</f>
        <v>0</v>
      </c>
      <c r="W473" s="41" t="n">
        <f aca="false">IF($M473="","",IF(T473="Overdue",IF(Settings!$B$8="Yes",Settings!$B$7,""),IF(ISNUMBER(R473),DATE(YEAR(R473),MONTH(R473),1),"")))</f>
        <v>46143</v>
      </c>
      <c r="X473" s="38" t="n">
        <f aca="false">IF(AND(OR(T473="Backlog",T473="Pipeline",T473="Overdue"),ISNUMBER(W473)),IF(W473&lt;=Settings!$B$6,V473,0),0)</f>
        <v>0</v>
      </c>
      <c r="Y473" s="38" t="n">
        <f aca="false">IF(AND(OR(T473="Backlog",T473="Pipeline",T473="Overdue"),ISNUMBER(W473)),IF(W473&lt;=Settings!$B$6,Q473,0),0)</f>
        <v>0</v>
      </c>
      <c r="Z473" s="38" t="n">
        <f aca="false">IF(Y473=0,0,IF(T473="Backlog",Q473,Q473*Dashboard!$C$10))</f>
        <v>0</v>
      </c>
      <c r="AA473" s="37" t="n">
        <f aca="false">IF($N473="",0,IF(COUNTIF(Dashboard!$C$13:$C$22,$N473)&gt;0,1,0))</f>
        <v>0</v>
      </c>
      <c r="AB473" s="37" t="str">
        <f aca="false">IF($N473="","",IF(COUNTIF($N$8:$N473,$N473)=1,MAX($AB$7:$AB472)+1,""))</f>
        <v/>
      </c>
    </row>
    <row r="474" customFormat="false" ht="15" hidden="false" customHeight="false" outlineLevel="0" collapsed="false">
      <c r="B474" s="32" t="s">
        <v>1168</v>
      </c>
      <c r="C474" s="32" t="s">
        <v>194</v>
      </c>
      <c r="D474" s="35" t="n">
        <v>6831</v>
      </c>
      <c r="E474" s="32" t="s">
        <v>145</v>
      </c>
      <c r="F474" s="36" t="n">
        <v>46142</v>
      </c>
      <c r="G474" s="32" t="s">
        <v>1169</v>
      </c>
      <c r="L474" s="37" t="str">
        <f aca="false">IF(INDEX($A474:$J474,$L$6)&lt;&gt;"",TRIM(LEFT(INDEX($A474:$J474,$L$6),FIND("(",INDEX($A474:$J474,$L$6)&amp;"(")-1)),L473)</f>
        <v>Closed Won</v>
      </c>
      <c r="M474" s="37" t="str">
        <f aca="false">IF(INDEX($A474:$J474,$M$6)="","",INDEX($A474:$J474,$M$6)&amp;"")</f>
        <v>Ventia - Transport Australia + Ventia Networking- 6.5.26</v>
      </c>
      <c r="N474" s="37" t="str">
        <f aca="false">IF($M474="","",TRIM(INDEX($A474:$J474,$N$6)&amp;""))</f>
        <v>Ventia</v>
      </c>
      <c r="O474" s="37" t="str">
        <f aca="false">IF($M474="","",TRIM(INDEX($A474:$J474,$O$6)&amp;""))</f>
        <v>Event Production</v>
      </c>
      <c r="P474" s="37" t="str">
        <f aca="false">IF($M474="","",IFERROR(IF(INDEX(Settings!$B$41:$B$50,MATCH(O474,Settings!$A$41:$A$50,0))&amp;""="","UNMAPPED",INDEX(Settings!$B$41:$B$50,MATCH(O474,Settings!$A$41:$A$50,0))&amp;""),"UNMAPPED"))</f>
        <v>Production</v>
      </c>
      <c r="Q474" s="38" t="n">
        <f aca="false">IF($M474="",0,N(INDEX($A474:$J474,$Q$6)))</f>
        <v>6831</v>
      </c>
      <c r="R474" s="39" t="n">
        <f aca="false">IF($M474="","",INDEX($A474:$J474,$R$6))</f>
        <v>46142</v>
      </c>
      <c r="S474" s="37" t="str">
        <f aca="false">IF($M474="","",IFERROR(INDEX(Settings!$B$27:$B$36,MATCH(L474,Settings!$A$27:$A$36,0))&amp;"","UNMAPPED"))</f>
        <v>Won</v>
      </c>
      <c r="T474" s="37" t="str">
        <f aca="false">IF($M474="","",IF(NOT(ISNUMBER(R474)),"NO DATE",IF(S474="Won",IF(R474&gt;Settings!$B$5,"Backlog","Delivered"),IF(S474="Open",IF(R474&gt;Settings!$B$5,"Pipeline","Overdue"),IF(S474="Lost","Lost","UNMAPPED")))))</f>
        <v>Delivered</v>
      </c>
      <c r="U474" s="40" t="n">
        <f aca="false">IF(T474="Backlog",1,IF(OR(T474="Pipeline",T474="Overdue"),N(INDEX(Settings!$C$27:$C$36,MATCH(L474,Settings!$A$27:$A$36,0))),0))</f>
        <v>0</v>
      </c>
      <c r="V474" s="38" t="n">
        <f aca="false">Q474*U474</f>
        <v>0</v>
      </c>
      <c r="W474" s="41" t="n">
        <f aca="false">IF($M474="","",IF(T474="Overdue",IF(Settings!$B$8="Yes",Settings!$B$7,""),IF(ISNUMBER(R474),DATE(YEAR(R474),MONTH(R474),1),"")))</f>
        <v>46113</v>
      </c>
      <c r="X474" s="38" t="n">
        <f aca="false">IF(AND(OR(T474="Backlog",T474="Pipeline",T474="Overdue"),ISNUMBER(W474)),IF(W474&lt;=Settings!$B$6,V474,0),0)</f>
        <v>0</v>
      </c>
      <c r="Y474" s="38" t="n">
        <f aca="false">IF(AND(OR(T474="Backlog",T474="Pipeline",T474="Overdue"),ISNUMBER(W474)),IF(W474&lt;=Settings!$B$6,Q474,0),0)</f>
        <v>0</v>
      </c>
      <c r="Z474" s="38" t="n">
        <f aca="false">IF(Y474=0,0,IF(T474="Backlog",Q474,Q474*Dashboard!$C$10))</f>
        <v>0</v>
      </c>
      <c r="AA474" s="37" t="n">
        <f aca="false">IF($N474="",0,IF(COUNTIF(Dashboard!$C$13:$C$22,$N474)&gt;0,1,0))</f>
        <v>0</v>
      </c>
      <c r="AB474" s="37" t="str">
        <f aca="false">IF($N474="","",IF(COUNTIF($N$8:$N474,$N474)=1,MAX($AB$7:$AB473)+1,""))</f>
        <v/>
      </c>
    </row>
    <row r="475" customFormat="false" ht="15" hidden="false" customHeight="false" outlineLevel="0" collapsed="false">
      <c r="B475" s="32" t="s">
        <v>1170</v>
      </c>
      <c r="C475" s="32" t="s">
        <v>1171</v>
      </c>
      <c r="D475" s="35" t="n">
        <v>96305</v>
      </c>
      <c r="E475" s="32" t="s">
        <v>173</v>
      </c>
      <c r="F475" s="36" t="n">
        <v>46035</v>
      </c>
      <c r="G475" s="32" t="s">
        <v>1172</v>
      </c>
      <c r="L475" s="37" t="str">
        <f aca="false">IF(INDEX($A475:$J475,$L$6)&lt;&gt;"",TRIM(LEFT(INDEX($A475:$J475,$L$6),FIND("(",INDEX($A475:$J475,$L$6)&amp;"(")-1)),L474)</f>
        <v>Closed Won</v>
      </c>
      <c r="M475" s="37" t="str">
        <f aca="false">IF(INDEX($A475:$J475,$M$6)="","",INDEX($A475:$J475,$M$6)&amp;"")</f>
        <v>DEWR - Studio Upgrade - Consulting, Design</v>
      </c>
      <c r="N475" s="37" t="str">
        <f aca="false">IF($M475="","",TRIM(INDEX($A475:$J475,$N$6)&amp;""))</f>
        <v>Department of Employment &amp; Workplace Relations (DEWR)</v>
      </c>
      <c r="O475" s="37" t="str">
        <f aca="false">IF($M475="","",TRIM(INDEX($A475:$J475,$O$6)&amp;""))</f>
        <v>Consulting</v>
      </c>
      <c r="P475" s="37" t="str">
        <f aca="false">IF($M475="","",IFERROR(IF(INDEX(Settings!$B$41:$B$50,MATCH(O475,Settings!$A$41:$A$50,0))&amp;""="","UNMAPPED",INDEX(Settings!$B$41:$B$50,MATCH(O475,Settings!$A$41:$A$50,0))&amp;""),"UNMAPPED"))</f>
        <v>Consulting</v>
      </c>
      <c r="Q475" s="38" t="n">
        <f aca="false">IF($M475="",0,N(INDEX($A475:$J475,$Q$6)))</f>
        <v>96305</v>
      </c>
      <c r="R475" s="39" t="n">
        <f aca="false">IF($M475="","",INDEX($A475:$J475,$R$6))</f>
        <v>46035</v>
      </c>
      <c r="S475" s="37" t="str">
        <f aca="false">IF($M475="","",IFERROR(INDEX(Settings!$B$27:$B$36,MATCH(L475,Settings!$A$27:$A$36,0))&amp;"","UNMAPPED"))</f>
        <v>Won</v>
      </c>
      <c r="T475" s="37" t="str">
        <f aca="false">IF($M475="","",IF(NOT(ISNUMBER(R475)),"NO DATE",IF(S475="Won",IF(R475&gt;Settings!$B$5,"Backlog","Delivered"),IF(S475="Open",IF(R475&gt;Settings!$B$5,"Pipeline","Overdue"),IF(S475="Lost","Lost","UNMAPPED")))))</f>
        <v>Delivered</v>
      </c>
      <c r="U475" s="40" t="n">
        <f aca="false">IF(T475="Backlog",1,IF(OR(T475="Pipeline",T475="Overdue"),N(INDEX(Settings!$C$27:$C$36,MATCH(L475,Settings!$A$27:$A$36,0))),0))</f>
        <v>0</v>
      </c>
      <c r="V475" s="38" t="n">
        <f aca="false">Q475*U475</f>
        <v>0</v>
      </c>
      <c r="W475" s="41" t="n">
        <f aca="false">IF($M475="","",IF(T475="Overdue",IF(Settings!$B$8="Yes",Settings!$B$7,""),IF(ISNUMBER(R475),DATE(YEAR(R475),MONTH(R475),1),"")))</f>
        <v>46023</v>
      </c>
      <c r="X475" s="38" t="n">
        <f aca="false">IF(AND(OR(T475="Backlog",T475="Pipeline",T475="Overdue"),ISNUMBER(W475)),IF(W475&lt;=Settings!$B$6,V475,0),0)</f>
        <v>0</v>
      </c>
      <c r="Y475" s="38" t="n">
        <f aca="false">IF(AND(OR(T475="Backlog",T475="Pipeline",T475="Overdue"),ISNUMBER(W475)),IF(W475&lt;=Settings!$B$6,Q475,0),0)</f>
        <v>0</v>
      </c>
      <c r="Z475" s="38" t="n">
        <f aca="false">IF(Y475=0,0,IF(T475="Backlog",Q475,Q475*Dashboard!$C$10))</f>
        <v>0</v>
      </c>
      <c r="AA475" s="37" t="n">
        <f aca="false">IF($N475="",0,IF(COUNTIF(Dashboard!$C$13:$C$22,$N475)&gt;0,1,0))</f>
        <v>0</v>
      </c>
      <c r="AB475" s="37" t="n">
        <f aca="false">IF($N475="","",IF(COUNTIF($N$8:$N475,$N475)=1,MAX($AB$7:$AB474)+1,""))</f>
        <v>97</v>
      </c>
    </row>
    <row r="476" customFormat="false" ht="15" hidden="false" customHeight="false" outlineLevel="0" collapsed="false">
      <c r="B476" s="32" t="s">
        <v>1173</v>
      </c>
      <c r="C476" s="32" t="s">
        <v>244</v>
      </c>
      <c r="D476" s="35" t="n">
        <v>17486</v>
      </c>
      <c r="E476" s="32" t="s">
        <v>145</v>
      </c>
      <c r="F476" s="36" t="n">
        <v>46072</v>
      </c>
      <c r="G476" s="32" t="s">
        <v>1174</v>
      </c>
      <c r="L476" s="37" t="str">
        <f aca="false">IF(INDEX($A476:$J476,$L$6)&lt;&gt;"",TRIM(LEFT(INDEX($A476:$J476,$L$6),FIND("(",INDEX($A476:$J476,$L$6)&amp;"(")-1)),L475)</f>
        <v>Closed Won</v>
      </c>
      <c r="M476" s="37" t="str">
        <f aca="false">IF(INDEX($A476:$J476,$M$6)="","",INDEX($A476:$J476,$M$6)&amp;"")</f>
        <v>APA - Half &amp; Full Year Investor Briefing - 2026</v>
      </c>
      <c r="N476" s="37" t="str">
        <f aca="false">IF($M476="","",TRIM(INDEX($A476:$J476,$N$6)&amp;""))</f>
        <v>APA</v>
      </c>
      <c r="O476" s="37" t="str">
        <f aca="false">IF($M476="","",TRIM(INDEX($A476:$J476,$O$6)&amp;""))</f>
        <v>Event Production</v>
      </c>
      <c r="P476" s="37" t="str">
        <f aca="false">IF($M476="","",IFERROR(IF(INDEX(Settings!$B$41:$B$50,MATCH(O476,Settings!$A$41:$A$50,0))&amp;""="","UNMAPPED",INDEX(Settings!$B$41:$B$50,MATCH(O476,Settings!$A$41:$A$50,0))&amp;""),"UNMAPPED"))</f>
        <v>Production</v>
      </c>
      <c r="Q476" s="38" t="n">
        <f aca="false">IF($M476="",0,N(INDEX($A476:$J476,$Q$6)))</f>
        <v>17486</v>
      </c>
      <c r="R476" s="39" t="n">
        <f aca="false">IF($M476="","",INDEX($A476:$J476,$R$6))</f>
        <v>46072</v>
      </c>
      <c r="S476" s="37" t="str">
        <f aca="false">IF($M476="","",IFERROR(INDEX(Settings!$B$27:$B$36,MATCH(L476,Settings!$A$27:$A$36,0))&amp;"","UNMAPPED"))</f>
        <v>Won</v>
      </c>
      <c r="T476" s="37" t="str">
        <f aca="false">IF($M476="","",IF(NOT(ISNUMBER(R476)),"NO DATE",IF(S476="Won",IF(R476&gt;Settings!$B$5,"Backlog","Delivered"),IF(S476="Open",IF(R476&gt;Settings!$B$5,"Pipeline","Overdue"),IF(S476="Lost","Lost","UNMAPPED")))))</f>
        <v>Delivered</v>
      </c>
      <c r="U476" s="40" t="n">
        <f aca="false">IF(T476="Backlog",1,IF(OR(T476="Pipeline",T476="Overdue"),N(INDEX(Settings!$C$27:$C$36,MATCH(L476,Settings!$A$27:$A$36,0))),0))</f>
        <v>0</v>
      </c>
      <c r="V476" s="38" t="n">
        <f aca="false">Q476*U476</f>
        <v>0</v>
      </c>
      <c r="W476" s="41" t="n">
        <f aca="false">IF($M476="","",IF(T476="Overdue",IF(Settings!$B$8="Yes",Settings!$B$7,""),IF(ISNUMBER(R476),DATE(YEAR(R476),MONTH(R476),1),"")))</f>
        <v>46054</v>
      </c>
      <c r="X476" s="38" t="n">
        <f aca="false">IF(AND(OR(T476="Backlog",T476="Pipeline",T476="Overdue"),ISNUMBER(W476)),IF(W476&lt;=Settings!$B$6,V476,0),0)</f>
        <v>0</v>
      </c>
      <c r="Y476" s="38" t="n">
        <f aca="false">IF(AND(OR(T476="Backlog",T476="Pipeline",T476="Overdue"),ISNUMBER(W476)),IF(W476&lt;=Settings!$B$6,Q476,0),0)</f>
        <v>0</v>
      </c>
      <c r="Z476" s="38" t="n">
        <f aca="false">IF(Y476=0,0,IF(T476="Backlog",Q476,Q476*Dashboard!$C$10))</f>
        <v>0</v>
      </c>
      <c r="AA476" s="37" t="n">
        <f aca="false">IF($N476="",0,IF(COUNTIF(Dashboard!$C$13:$C$22,$N476)&gt;0,1,0))</f>
        <v>0</v>
      </c>
      <c r="AB476" s="37" t="str">
        <f aca="false">IF($N476="","",IF(COUNTIF($N$8:$N476,$N476)=1,MAX($AB$7:$AB475)+1,""))</f>
        <v/>
      </c>
    </row>
    <row r="477" customFormat="false" ht="15" hidden="false" customHeight="false" outlineLevel="0" collapsed="false">
      <c r="B477" s="32" t="s">
        <v>1175</v>
      </c>
      <c r="C477" s="32" t="s">
        <v>160</v>
      </c>
      <c r="D477" s="35" t="n">
        <v>380</v>
      </c>
      <c r="E477" s="32" t="s">
        <v>145</v>
      </c>
      <c r="F477" s="36" t="n">
        <v>46273</v>
      </c>
      <c r="G477" s="32" t="s">
        <v>1176</v>
      </c>
      <c r="L477" s="37" t="str">
        <f aca="false">IF(INDEX($A477:$J477,$L$6)&lt;&gt;"",TRIM(LEFT(INDEX($A477:$J477,$L$6),FIND("(",INDEX($A477:$J477,$L$6)&amp;"(")-1)),L476)</f>
        <v>Closed Won</v>
      </c>
      <c r="M477" s="37" t="str">
        <f aca="false">IF(INDEX($A477:$J477,$M$6)="","",INDEX($A477:$J477,$M$6)&amp;"")</f>
        <v>Elkiem - Studio Support - 16.9.26</v>
      </c>
      <c r="N477" s="37" t="str">
        <f aca="false">IF($M477="","",TRIM(INDEX($A477:$J477,$N$6)&amp;""))</f>
        <v>Elkiem</v>
      </c>
      <c r="O477" s="37" t="str">
        <f aca="false">IF($M477="","",TRIM(INDEX($A477:$J477,$O$6)&amp;""))</f>
        <v>Event Production</v>
      </c>
      <c r="P477" s="37" t="str">
        <f aca="false">IF($M477="","",IFERROR(IF(INDEX(Settings!$B$41:$B$50,MATCH(O477,Settings!$A$41:$A$50,0))&amp;""="","UNMAPPED",INDEX(Settings!$B$41:$B$50,MATCH(O477,Settings!$A$41:$A$50,0))&amp;""),"UNMAPPED"))</f>
        <v>Production</v>
      </c>
      <c r="Q477" s="38" t="n">
        <f aca="false">IF($M477="",0,N(INDEX($A477:$J477,$Q$6)))</f>
        <v>380</v>
      </c>
      <c r="R477" s="39" t="n">
        <f aca="false">IF($M477="","",INDEX($A477:$J477,$R$6))</f>
        <v>46273</v>
      </c>
      <c r="S477" s="37" t="str">
        <f aca="false">IF($M477="","",IFERROR(INDEX(Settings!$B$27:$B$36,MATCH(L477,Settings!$A$27:$A$36,0))&amp;"","UNMAPPED"))</f>
        <v>Won</v>
      </c>
      <c r="T477" s="37" t="str">
        <f aca="false">IF($M477="","",IF(NOT(ISNUMBER(R477)),"NO DATE",IF(S477="Won",IF(R477&gt;Settings!$B$5,"Backlog","Delivered"),IF(S477="Open",IF(R477&gt;Settings!$B$5,"Pipeline","Overdue"),IF(S477="Lost","Lost","UNMAPPED")))))</f>
        <v>Delivered</v>
      </c>
      <c r="U477" s="40" t="n">
        <f aca="false">IF(T477="Backlog",1,IF(OR(T477="Pipeline",T477="Overdue"),N(INDEX(Settings!$C$27:$C$36,MATCH(L477,Settings!$A$27:$A$36,0))),0))</f>
        <v>0</v>
      </c>
      <c r="V477" s="38" t="n">
        <f aca="false">Q477*U477</f>
        <v>0</v>
      </c>
      <c r="W477" s="41" t="n">
        <f aca="false">IF($M477="","",IF(T477="Overdue",IF(Settings!$B$8="Yes",Settings!$B$7,""),IF(ISNUMBER(R477),DATE(YEAR(R477),MONTH(R477),1),"")))</f>
        <v>46266</v>
      </c>
      <c r="X477" s="38" t="n">
        <f aca="false">IF(AND(OR(T477="Backlog",T477="Pipeline",T477="Overdue"),ISNUMBER(W477)),IF(W477&lt;=Settings!$B$6,V477,0),0)</f>
        <v>0</v>
      </c>
      <c r="Y477" s="38" t="n">
        <f aca="false">IF(AND(OR(T477="Backlog",T477="Pipeline",T477="Overdue"),ISNUMBER(W477)),IF(W477&lt;=Settings!$B$6,Q477,0),0)</f>
        <v>0</v>
      </c>
      <c r="Z477" s="38" t="n">
        <f aca="false">IF(Y477=0,0,IF(T477="Backlog",Q477,Q477*Dashboard!$C$10))</f>
        <v>0</v>
      </c>
      <c r="AA477" s="37" t="n">
        <f aca="false">IF($N477="",0,IF(COUNTIF(Dashboard!$C$13:$C$22,$N477)&gt;0,1,0))</f>
        <v>0</v>
      </c>
      <c r="AB477" s="37" t="str">
        <f aca="false">IF($N477="","",IF(COUNTIF($N$8:$N477,$N477)=1,MAX($AB$7:$AB476)+1,""))</f>
        <v/>
      </c>
    </row>
    <row r="478" customFormat="false" ht="15" hidden="false" customHeight="false" outlineLevel="0" collapsed="false">
      <c r="B478" s="32" t="s">
        <v>1023</v>
      </c>
      <c r="C478" s="32" t="s">
        <v>154</v>
      </c>
      <c r="D478" s="35" t="n">
        <v>2180</v>
      </c>
      <c r="E478" s="32" t="s">
        <v>145</v>
      </c>
      <c r="F478" s="36" t="n">
        <v>46132</v>
      </c>
      <c r="G478" s="32" t="s">
        <v>1177</v>
      </c>
      <c r="L478" s="37" t="str">
        <f aca="false">IF(INDEX($A478:$J478,$L$6)&lt;&gt;"",TRIM(LEFT(INDEX($A478:$J478,$L$6),FIND("(",INDEX($A478:$J478,$L$6)&amp;"(")-1)),L477)</f>
        <v>Closed Won</v>
      </c>
      <c r="M478" s="37" t="str">
        <f aca="false">IF(INDEX($A478:$J478,$M$6)="","",INDEX($A478:$J478,$M$6)&amp;"")</f>
        <v>PwC - Audio Support - 29.4.26</v>
      </c>
      <c r="N478" s="37" t="str">
        <f aca="false">IF($M478="","",TRIM(INDEX($A478:$J478,$N$6)&amp;""))</f>
        <v>PWC</v>
      </c>
      <c r="O478" s="37" t="str">
        <f aca="false">IF($M478="","",TRIM(INDEX($A478:$J478,$O$6)&amp;""))</f>
        <v>Event Production</v>
      </c>
      <c r="P478" s="37" t="str">
        <f aca="false">IF($M478="","",IFERROR(IF(INDEX(Settings!$B$41:$B$50,MATCH(O478,Settings!$A$41:$A$50,0))&amp;""="","UNMAPPED",INDEX(Settings!$B$41:$B$50,MATCH(O478,Settings!$A$41:$A$50,0))&amp;""),"UNMAPPED"))</f>
        <v>Production</v>
      </c>
      <c r="Q478" s="38" t="n">
        <f aca="false">IF($M478="",0,N(INDEX($A478:$J478,$Q$6)))</f>
        <v>2180</v>
      </c>
      <c r="R478" s="39" t="n">
        <f aca="false">IF($M478="","",INDEX($A478:$J478,$R$6))</f>
        <v>46132</v>
      </c>
      <c r="S478" s="37" t="str">
        <f aca="false">IF($M478="","",IFERROR(INDEX(Settings!$B$27:$B$36,MATCH(L478,Settings!$A$27:$A$36,0))&amp;"","UNMAPPED"))</f>
        <v>Won</v>
      </c>
      <c r="T478" s="37" t="str">
        <f aca="false">IF($M478="","",IF(NOT(ISNUMBER(R478)),"NO DATE",IF(S478="Won",IF(R478&gt;Settings!$B$5,"Backlog","Delivered"),IF(S478="Open",IF(R478&gt;Settings!$B$5,"Pipeline","Overdue"),IF(S478="Lost","Lost","UNMAPPED")))))</f>
        <v>Delivered</v>
      </c>
      <c r="U478" s="40" t="n">
        <f aca="false">IF(T478="Backlog",1,IF(OR(T478="Pipeline",T478="Overdue"),N(INDEX(Settings!$C$27:$C$36,MATCH(L478,Settings!$A$27:$A$36,0))),0))</f>
        <v>0</v>
      </c>
      <c r="V478" s="38" t="n">
        <f aca="false">Q478*U478</f>
        <v>0</v>
      </c>
      <c r="W478" s="41" t="n">
        <f aca="false">IF($M478="","",IF(T478="Overdue",IF(Settings!$B$8="Yes",Settings!$B$7,""),IF(ISNUMBER(R478),DATE(YEAR(R478),MONTH(R478),1),"")))</f>
        <v>46113</v>
      </c>
      <c r="X478" s="38" t="n">
        <f aca="false">IF(AND(OR(T478="Backlog",T478="Pipeline",T478="Overdue"),ISNUMBER(W478)),IF(W478&lt;=Settings!$B$6,V478,0),0)</f>
        <v>0</v>
      </c>
      <c r="Y478" s="38" t="n">
        <f aca="false">IF(AND(OR(T478="Backlog",T478="Pipeline",T478="Overdue"),ISNUMBER(W478)),IF(W478&lt;=Settings!$B$6,Q478,0),0)</f>
        <v>0</v>
      </c>
      <c r="Z478" s="38" t="n">
        <f aca="false">IF(Y478=0,0,IF(T478="Backlog",Q478,Q478*Dashboard!$C$10))</f>
        <v>0</v>
      </c>
      <c r="AA478" s="37" t="n">
        <f aca="false">IF($N478="",0,IF(COUNTIF(Dashboard!$C$13:$C$22,$N478)&gt;0,1,0))</f>
        <v>0</v>
      </c>
      <c r="AB478" s="37" t="str">
        <f aca="false">IF($N478="","",IF(COUNTIF($N$8:$N478,$N478)=1,MAX($AB$7:$AB477)+1,""))</f>
        <v/>
      </c>
    </row>
    <row r="479" customFormat="false" ht="15" hidden="false" customHeight="false" outlineLevel="0" collapsed="false">
      <c r="B479" s="32" t="s">
        <v>1178</v>
      </c>
      <c r="C479" s="32" t="s">
        <v>253</v>
      </c>
      <c r="D479" s="35" t="n">
        <v>1278</v>
      </c>
      <c r="E479" s="32" t="s">
        <v>145</v>
      </c>
      <c r="F479" s="36" t="n">
        <v>45994</v>
      </c>
      <c r="G479" s="32" t="s">
        <v>1179</v>
      </c>
      <c r="L479" s="37" t="str">
        <f aca="false">IF(INDEX($A479:$J479,$L$6)&lt;&gt;"",TRIM(LEFT(INDEX($A479:$J479,$L$6),FIND("(",INDEX($A479:$J479,$L$6)&amp;"(")-1)),L478)</f>
        <v>Closed Won</v>
      </c>
      <c r="M479" s="37" t="str">
        <f aca="false">IF(INDEX($A479:$J479,$M$6)="","",INDEX($A479:$J479,$M$6)&amp;"")</f>
        <v>ASX - CHESS Replacement Comms 03.12.25</v>
      </c>
      <c r="N479" s="37" t="str">
        <f aca="false">IF($M479="","",TRIM(INDEX($A479:$J479,$N$6)&amp;""))</f>
        <v>ASX Australian Securities Exchange</v>
      </c>
      <c r="O479" s="37" t="str">
        <f aca="false">IF($M479="","",TRIM(INDEX($A479:$J479,$O$6)&amp;""))</f>
        <v>Event Production</v>
      </c>
      <c r="P479" s="37" t="str">
        <f aca="false">IF($M479="","",IFERROR(IF(INDEX(Settings!$B$41:$B$50,MATCH(O479,Settings!$A$41:$A$50,0))&amp;""="","UNMAPPED",INDEX(Settings!$B$41:$B$50,MATCH(O479,Settings!$A$41:$A$50,0))&amp;""),"UNMAPPED"))</f>
        <v>Production</v>
      </c>
      <c r="Q479" s="38" t="n">
        <f aca="false">IF($M479="",0,N(INDEX($A479:$J479,$Q$6)))</f>
        <v>1278</v>
      </c>
      <c r="R479" s="39" t="n">
        <f aca="false">IF($M479="","",INDEX($A479:$J479,$R$6))</f>
        <v>45994</v>
      </c>
      <c r="S479" s="37" t="str">
        <f aca="false">IF($M479="","",IFERROR(INDEX(Settings!$B$27:$B$36,MATCH(L479,Settings!$A$27:$A$36,0))&amp;"","UNMAPPED"))</f>
        <v>Won</v>
      </c>
      <c r="T479" s="37" t="str">
        <f aca="false">IF($M479="","",IF(NOT(ISNUMBER(R479)),"NO DATE",IF(S479="Won",IF(R479&gt;Settings!$B$5,"Backlog","Delivered"),IF(S479="Open",IF(R479&gt;Settings!$B$5,"Pipeline","Overdue"),IF(S479="Lost","Lost","UNMAPPED")))))</f>
        <v>Delivered</v>
      </c>
      <c r="U479" s="40" t="n">
        <f aca="false">IF(T479="Backlog",1,IF(OR(T479="Pipeline",T479="Overdue"),N(INDEX(Settings!$C$27:$C$36,MATCH(L479,Settings!$A$27:$A$36,0))),0))</f>
        <v>0</v>
      </c>
      <c r="V479" s="38" t="n">
        <f aca="false">Q479*U479</f>
        <v>0</v>
      </c>
      <c r="W479" s="41" t="n">
        <f aca="false">IF($M479="","",IF(T479="Overdue",IF(Settings!$B$8="Yes",Settings!$B$7,""),IF(ISNUMBER(R479),DATE(YEAR(R479),MONTH(R479),1),"")))</f>
        <v>45992</v>
      </c>
      <c r="X479" s="38" t="n">
        <f aca="false">IF(AND(OR(T479="Backlog",T479="Pipeline",T479="Overdue"),ISNUMBER(W479)),IF(W479&lt;=Settings!$B$6,V479,0),0)</f>
        <v>0</v>
      </c>
      <c r="Y479" s="38" t="n">
        <f aca="false">IF(AND(OR(T479="Backlog",T479="Pipeline",T479="Overdue"),ISNUMBER(W479)),IF(W479&lt;=Settings!$B$6,Q479,0),0)</f>
        <v>0</v>
      </c>
      <c r="Z479" s="38" t="n">
        <f aca="false">IF(Y479=0,0,IF(T479="Backlog",Q479,Q479*Dashboard!$C$10))</f>
        <v>0</v>
      </c>
      <c r="AA479" s="37" t="n">
        <f aca="false">IF($N479="",0,IF(COUNTIF(Dashboard!$C$13:$C$22,$N479)&gt;0,1,0))</f>
        <v>0</v>
      </c>
      <c r="AB479" s="37" t="str">
        <f aca="false">IF($N479="","",IF(COUNTIF($N$8:$N479,$N479)=1,MAX($AB$7:$AB478)+1,""))</f>
        <v/>
      </c>
    </row>
    <row r="480" customFormat="false" ht="15" hidden="false" customHeight="false" outlineLevel="0" collapsed="false">
      <c r="B480" s="32" t="s">
        <v>1180</v>
      </c>
      <c r="C480" s="32" t="s">
        <v>169</v>
      </c>
      <c r="D480" s="35" t="n">
        <v>28652</v>
      </c>
      <c r="E480" s="32" t="s">
        <v>145</v>
      </c>
      <c r="F480" s="36" t="n">
        <v>46246</v>
      </c>
      <c r="G480" s="32" t="s">
        <v>1181</v>
      </c>
      <c r="L480" s="37" t="str">
        <f aca="false">IF(INDEX($A480:$J480,$L$6)&lt;&gt;"",TRIM(LEFT(INDEX($A480:$J480,$L$6),FIND("(",INDEX($A480:$J480,$L$6)&amp;"(")-1)),L479)</f>
        <v>Closed Won</v>
      </c>
      <c r="M480" s="37" t="str">
        <f aca="false">IF(INDEX($A480:$J480,$M$6)="","",INDEX($A480:$J480,$M$6)&amp;"")</f>
        <v>MUFG -SUN FYR26 - 12.8.26</v>
      </c>
      <c r="N480" s="37" t="str">
        <f aca="false">IF($M480="","",TRIM(INDEX($A480:$J480,$N$6)&amp;""))</f>
        <v>MUFG IR / Orient Capital</v>
      </c>
      <c r="O480" s="37" t="str">
        <f aca="false">IF($M480="","",TRIM(INDEX($A480:$J480,$O$6)&amp;""))</f>
        <v>Event Production</v>
      </c>
      <c r="P480" s="37" t="str">
        <f aca="false">IF($M480="","",IFERROR(IF(INDEX(Settings!$B$41:$B$50,MATCH(O480,Settings!$A$41:$A$50,0))&amp;""="","UNMAPPED",INDEX(Settings!$B$41:$B$50,MATCH(O480,Settings!$A$41:$A$50,0))&amp;""),"UNMAPPED"))</f>
        <v>Production</v>
      </c>
      <c r="Q480" s="38" t="n">
        <f aca="false">IF($M480="",0,N(INDEX($A480:$J480,$Q$6)))</f>
        <v>28652</v>
      </c>
      <c r="R480" s="39" t="n">
        <f aca="false">IF($M480="","",INDEX($A480:$J480,$R$6))</f>
        <v>46246</v>
      </c>
      <c r="S480" s="37" t="str">
        <f aca="false">IF($M480="","",IFERROR(INDEX(Settings!$B$27:$B$36,MATCH(L480,Settings!$A$27:$A$36,0))&amp;"","UNMAPPED"))</f>
        <v>Won</v>
      </c>
      <c r="T480" s="37" t="str">
        <f aca="false">IF($M480="","",IF(NOT(ISNUMBER(R480)),"NO DATE",IF(S480="Won",IF(R480&gt;Settings!$B$5,"Backlog","Delivered"),IF(S480="Open",IF(R480&gt;Settings!$B$5,"Pipeline","Overdue"),IF(S480="Lost","Lost","UNMAPPED")))))</f>
        <v>Delivered</v>
      </c>
      <c r="U480" s="40" t="n">
        <f aca="false">IF(T480="Backlog",1,IF(OR(T480="Pipeline",T480="Overdue"),N(INDEX(Settings!$C$27:$C$36,MATCH(L480,Settings!$A$27:$A$36,0))),0))</f>
        <v>0</v>
      </c>
      <c r="V480" s="38" t="n">
        <f aca="false">Q480*U480</f>
        <v>0</v>
      </c>
      <c r="W480" s="41" t="n">
        <f aca="false">IF($M480="","",IF(T480="Overdue",IF(Settings!$B$8="Yes",Settings!$B$7,""),IF(ISNUMBER(R480),DATE(YEAR(R480),MONTH(R480),1),"")))</f>
        <v>46235</v>
      </c>
      <c r="X480" s="38" t="n">
        <f aca="false">IF(AND(OR(T480="Backlog",T480="Pipeline",T480="Overdue"),ISNUMBER(W480)),IF(W480&lt;=Settings!$B$6,V480,0),0)</f>
        <v>0</v>
      </c>
      <c r="Y480" s="38" t="n">
        <f aca="false">IF(AND(OR(T480="Backlog",T480="Pipeline",T480="Overdue"),ISNUMBER(W480)),IF(W480&lt;=Settings!$B$6,Q480,0),0)</f>
        <v>0</v>
      </c>
      <c r="Z480" s="38" t="n">
        <f aca="false">IF(Y480=0,0,IF(T480="Backlog",Q480,Q480*Dashboard!$C$10))</f>
        <v>0</v>
      </c>
      <c r="AA480" s="37" t="n">
        <f aca="false">IF($N480="",0,IF(COUNTIF(Dashboard!$C$13:$C$22,$N480)&gt;0,1,0))</f>
        <v>0</v>
      </c>
      <c r="AB480" s="37" t="str">
        <f aca="false">IF($N480="","",IF(COUNTIF($N$8:$N480,$N480)=1,MAX($AB$7:$AB479)+1,""))</f>
        <v/>
      </c>
    </row>
    <row r="481" customFormat="false" ht="15" hidden="false" customHeight="false" outlineLevel="0" collapsed="false">
      <c r="B481" s="32" t="s">
        <v>1182</v>
      </c>
      <c r="C481" s="32" t="s">
        <v>244</v>
      </c>
      <c r="D481" s="35" t="n">
        <v>7417</v>
      </c>
      <c r="E481" s="32" t="s">
        <v>141</v>
      </c>
      <c r="F481" s="36" t="n">
        <v>46198</v>
      </c>
      <c r="G481" s="32" t="s">
        <v>1183</v>
      </c>
      <c r="L481" s="37" t="str">
        <f aca="false">IF(INDEX($A481:$J481,$L$6)&lt;&gt;"",TRIM(LEFT(INDEX($A481:$J481,$L$6),FIND("(",INDEX($A481:$J481,$L$6)&amp;"(")-1)),L480)</f>
        <v>Closed Won</v>
      </c>
      <c r="M481" s="37" t="str">
        <f aca="false">IF(INDEX($A481:$J481,$M$6)="","",INDEX($A481:$J481,$M$6)&amp;"")</f>
        <v>APA | ADL Eptura ProxyClick Renewal - 2605701</v>
      </c>
      <c r="N481" s="37" t="str">
        <f aca="false">IF($M481="","",TRIM(INDEX($A481:$J481,$N$6)&amp;""))</f>
        <v>APA</v>
      </c>
      <c r="O481" s="37" t="str">
        <f aca="false">IF($M481="","",TRIM(INDEX($A481:$J481,$O$6)&amp;""))</f>
        <v>Integration</v>
      </c>
      <c r="P481" s="37" t="str">
        <f aca="false">IF($M481="","",IFERROR(IF(INDEX(Settings!$B$41:$B$50,MATCH(O481,Settings!$A$41:$A$50,0))&amp;""="","UNMAPPED",INDEX(Settings!$B$41:$B$50,MATCH(O481,Settings!$A$41:$A$50,0))&amp;""),"UNMAPPED"))</f>
        <v>Integration</v>
      </c>
      <c r="Q481" s="38" t="n">
        <f aca="false">IF($M481="",0,N(INDEX($A481:$J481,$Q$6)))</f>
        <v>7417</v>
      </c>
      <c r="R481" s="39" t="n">
        <f aca="false">IF($M481="","",INDEX($A481:$J481,$R$6))</f>
        <v>46198</v>
      </c>
      <c r="S481" s="37" t="str">
        <f aca="false">IF($M481="","",IFERROR(INDEX(Settings!$B$27:$B$36,MATCH(L481,Settings!$A$27:$A$36,0))&amp;"","UNMAPPED"))</f>
        <v>Won</v>
      </c>
      <c r="T481" s="37" t="str">
        <f aca="false">IF($M481="","",IF(NOT(ISNUMBER(R481)),"NO DATE",IF(S481="Won",IF(R481&gt;Settings!$B$5,"Backlog","Delivered"),IF(S481="Open",IF(R481&gt;Settings!$B$5,"Pipeline","Overdue"),IF(S481="Lost","Lost","UNMAPPED")))))</f>
        <v>Delivered</v>
      </c>
      <c r="U481" s="40" t="n">
        <f aca="false">IF(T481="Backlog",1,IF(OR(T481="Pipeline",T481="Overdue"),N(INDEX(Settings!$C$27:$C$36,MATCH(L481,Settings!$A$27:$A$36,0))),0))</f>
        <v>0</v>
      </c>
      <c r="V481" s="38" t="n">
        <f aca="false">Q481*U481</f>
        <v>0</v>
      </c>
      <c r="W481" s="41" t="n">
        <f aca="false">IF($M481="","",IF(T481="Overdue",IF(Settings!$B$8="Yes",Settings!$B$7,""),IF(ISNUMBER(R481),DATE(YEAR(R481),MONTH(R481),1),"")))</f>
        <v>46174</v>
      </c>
      <c r="X481" s="38" t="n">
        <f aca="false">IF(AND(OR(T481="Backlog",T481="Pipeline",T481="Overdue"),ISNUMBER(W481)),IF(W481&lt;=Settings!$B$6,V481,0),0)</f>
        <v>0</v>
      </c>
      <c r="Y481" s="38" t="n">
        <f aca="false">IF(AND(OR(T481="Backlog",T481="Pipeline",T481="Overdue"),ISNUMBER(W481)),IF(W481&lt;=Settings!$B$6,Q481,0),0)</f>
        <v>0</v>
      </c>
      <c r="Z481" s="38" t="n">
        <f aca="false">IF(Y481=0,0,IF(T481="Backlog",Q481,Q481*Dashboard!$C$10))</f>
        <v>0</v>
      </c>
      <c r="AA481" s="37" t="n">
        <f aca="false">IF($N481="",0,IF(COUNTIF(Dashboard!$C$13:$C$22,$N481)&gt;0,1,0))</f>
        <v>0</v>
      </c>
      <c r="AB481" s="37" t="str">
        <f aca="false">IF($N481="","",IF(COUNTIF($N$8:$N481,$N481)=1,MAX($AB$7:$AB480)+1,""))</f>
        <v/>
      </c>
    </row>
    <row r="482" customFormat="false" ht="15" hidden="false" customHeight="false" outlineLevel="0" collapsed="false">
      <c r="B482" s="32" t="s">
        <v>1184</v>
      </c>
      <c r="C482" s="32" t="s">
        <v>154</v>
      </c>
      <c r="D482" s="35" t="n">
        <v>1810</v>
      </c>
      <c r="E482" s="32" t="s">
        <v>145</v>
      </c>
      <c r="F482" s="36" t="n">
        <v>46084</v>
      </c>
      <c r="G482" s="32" t="s">
        <v>1185</v>
      </c>
      <c r="L482" s="37" t="str">
        <f aca="false">IF(INDEX($A482:$J482,$L$6)&lt;&gt;"",TRIM(LEFT(INDEX($A482:$J482,$L$6),FIND("(",INDEX($A482:$J482,$L$6)&amp;"(")-1)),L481)</f>
        <v>Closed Won</v>
      </c>
      <c r="M482" s="37" t="str">
        <f aca="false">IF(INDEX($A482:$J482,$M$6)="","",INDEX($A482:$J482,$M$6)&amp;"")</f>
        <v>PWC -Tax &amp; Legal Webcast 10.3.26</v>
      </c>
      <c r="N482" s="37" t="str">
        <f aca="false">IF($M482="","",TRIM(INDEX($A482:$J482,$N$6)&amp;""))</f>
        <v>PWC</v>
      </c>
      <c r="O482" s="37" t="str">
        <f aca="false">IF($M482="","",TRIM(INDEX($A482:$J482,$O$6)&amp;""))</f>
        <v>Event Production</v>
      </c>
      <c r="P482" s="37" t="str">
        <f aca="false">IF($M482="","",IFERROR(IF(INDEX(Settings!$B$41:$B$50,MATCH(O482,Settings!$A$41:$A$50,0))&amp;""="","UNMAPPED",INDEX(Settings!$B$41:$B$50,MATCH(O482,Settings!$A$41:$A$50,0))&amp;""),"UNMAPPED"))</f>
        <v>Production</v>
      </c>
      <c r="Q482" s="38" t="n">
        <f aca="false">IF($M482="",0,N(INDEX($A482:$J482,$Q$6)))</f>
        <v>1810</v>
      </c>
      <c r="R482" s="39" t="n">
        <f aca="false">IF($M482="","",INDEX($A482:$J482,$R$6))</f>
        <v>46084</v>
      </c>
      <c r="S482" s="37" t="str">
        <f aca="false">IF($M482="","",IFERROR(INDEX(Settings!$B$27:$B$36,MATCH(L482,Settings!$A$27:$A$36,0))&amp;"","UNMAPPED"))</f>
        <v>Won</v>
      </c>
      <c r="T482" s="37" t="str">
        <f aca="false">IF($M482="","",IF(NOT(ISNUMBER(R482)),"NO DATE",IF(S482="Won",IF(R482&gt;Settings!$B$5,"Backlog","Delivered"),IF(S482="Open",IF(R482&gt;Settings!$B$5,"Pipeline","Overdue"),IF(S482="Lost","Lost","UNMAPPED")))))</f>
        <v>Delivered</v>
      </c>
      <c r="U482" s="40" t="n">
        <f aca="false">IF(T482="Backlog",1,IF(OR(T482="Pipeline",T482="Overdue"),N(INDEX(Settings!$C$27:$C$36,MATCH(L482,Settings!$A$27:$A$36,0))),0))</f>
        <v>0</v>
      </c>
      <c r="V482" s="38" t="n">
        <f aca="false">Q482*U482</f>
        <v>0</v>
      </c>
      <c r="W482" s="41" t="n">
        <f aca="false">IF($M482="","",IF(T482="Overdue",IF(Settings!$B$8="Yes",Settings!$B$7,""),IF(ISNUMBER(R482),DATE(YEAR(R482),MONTH(R482),1),"")))</f>
        <v>46082</v>
      </c>
      <c r="X482" s="38" t="n">
        <f aca="false">IF(AND(OR(T482="Backlog",T482="Pipeline",T482="Overdue"),ISNUMBER(W482)),IF(W482&lt;=Settings!$B$6,V482,0),0)</f>
        <v>0</v>
      </c>
      <c r="Y482" s="38" t="n">
        <f aca="false">IF(AND(OR(T482="Backlog",T482="Pipeline",T482="Overdue"),ISNUMBER(W482)),IF(W482&lt;=Settings!$B$6,Q482,0),0)</f>
        <v>0</v>
      </c>
      <c r="Z482" s="38" t="n">
        <f aca="false">IF(Y482=0,0,IF(T482="Backlog",Q482,Q482*Dashboard!$C$10))</f>
        <v>0</v>
      </c>
      <c r="AA482" s="37" t="n">
        <f aca="false">IF($N482="",0,IF(COUNTIF(Dashboard!$C$13:$C$22,$N482)&gt;0,1,0))</f>
        <v>0</v>
      </c>
      <c r="AB482" s="37" t="str">
        <f aca="false">IF($N482="","",IF(COUNTIF($N$8:$N482,$N482)=1,MAX($AB$7:$AB481)+1,""))</f>
        <v/>
      </c>
    </row>
    <row r="483" customFormat="false" ht="15" hidden="false" customHeight="false" outlineLevel="0" collapsed="false">
      <c r="B483" s="32" t="s">
        <v>1186</v>
      </c>
      <c r="C483" s="32" t="s">
        <v>160</v>
      </c>
      <c r="D483" s="35" t="n">
        <v>522</v>
      </c>
      <c r="E483" s="32" t="s">
        <v>145</v>
      </c>
      <c r="F483" s="36" t="n">
        <v>46160</v>
      </c>
      <c r="G483" s="32" t="s">
        <v>1187</v>
      </c>
      <c r="L483" s="37" t="str">
        <f aca="false">IF(INDEX($A483:$J483,$L$6)&lt;&gt;"",TRIM(LEFT(INDEX($A483:$J483,$L$6),FIND("(",INDEX($A483:$J483,$L$6)&amp;"(")-1)),L482)</f>
        <v>Closed Won</v>
      </c>
      <c r="M483" s="37" t="str">
        <f aca="false">IF(INDEX($A483:$J483,$M$6)="","",INDEX($A483:$J483,$M$6)&amp;"")</f>
        <v>Elkiem Studio Support 15.7.26</v>
      </c>
      <c r="N483" s="37" t="str">
        <f aca="false">IF($M483="","",TRIM(INDEX($A483:$J483,$N$6)&amp;""))</f>
        <v>Elkiem</v>
      </c>
      <c r="O483" s="37" t="str">
        <f aca="false">IF($M483="","",TRIM(INDEX($A483:$J483,$O$6)&amp;""))</f>
        <v>Event Production</v>
      </c>
      <c r="P483" s="37" t="str">
        <f aca="false">IF($M483="","",IFERROR(IF(INDEX(Settings!$B$41:$B$50,MATCH(O483,Settings!$A$41:$A$50,0))&amp;""="","UNMAPPED",INDEX(Settings!$B$41:$B$50,MATCH(O483,Settings!$A$41:$A$50,0))&amp;""),"UNMAPPED"))</f>
        <v>Production</v>
      </c>
      <c r="Q483" s="38" t="n">
        <f aca="false">IF($M483="",0,N(INDEX($A483:$J483,$Q$6)))</f>
        <v>522</v>
      </c>
      <c r="R483" s="39" t="n">
        <f aca="false">IF($M483="","",INDEX($A483:$J483,$R$6))</f>
        <v>46160</v>
      </c>
      <c r="S483" s="37" t="str">
        <f aca="false">IF($M483="","",IFERROR(INDEX(Settings!$B$27:$B$36,MATCH(L483,Settings!$A$27:$A$36,0))&amp;"","UNMAPPED"))</f>
        <v>Won</v>
      </c>
      <c r="T483" s="37" t="str">
        <f aca="false">IF($M483="","",IF(NOT(ISNUMBER(R483)),"NO DATE",IF(S483="Won",IF(R483&gt;Settings!$B$5,"Backlog","Delivered"),IF(S483="Open",IF(R483&gt;Settings!$B$5,"Pipeline","Overdue"),IF(S483="Lost","Lost","UNMAPPED")))))</f>
        <v>Delivered</v>
      </c>
      <c r="U483" s="40" t="n">
        <f aca="false">IF(T483="Backlog",1,IF(OR(T483="Pipeline",T483="Overdue"),N(INDEX(Settings!$C$27:$C$36,MATCH(L483,Settings!$A$27:$A$36,0))),0))</f>
        <v>0</v>
      </c>
      <c r="V483" s="38" t="n">
        <f aca="false">Q483*U483</f>
        <v>0</v>
      </c>
      <c r="W483" s="41" t="n">
        <f aca="false">IF($M483="","",IF(T483="Overdue",IF(Settings!$B$8="Yes",Settings!$B$7,""),IF(ISNUMBER(R483),DATE(YEAR(R483),MONTH(R483),1),"")))</f>
        <v>46143</v>
      </c>
      <c r="X483" s="38" t="n">
        <f aca="false">IF(AND(OR(T483="Backlog",T483="Pipeline",T483="Overdue"),ISNUMBER(W483)),IF(W483&lt;=Settings!$B$6,V483,0),0)</f>
        <v>0</v>
      </c>
      <c r="Y483" s="38" t="n">
        <f aca="false">IF(AND(OR(T483="Backlog",T483="Pipeline",T483="Overdue"),ISNUMBER(W483)),IF(W483&lt;=Settings!$B$6,Q483,0),0)</f>
        <v>0</v>
      </c>
      <c r="Z483" s="38" t="n">
        <f aca="false">IF(Y483=0,0,IF(T483="Backlog",Q483,Q483*Dashboard!$C$10))</f>
        <v>0</v>
      </c>
      <c r="AA483" s="37" t="n">
        <f aca="false">IF($N483="",0,IF(COUNTIF(Dashboard!$C$13:$C$22,$N483)&gt;0,1,0))</f>
        <v>0</v>
      </c>
      <c r="AB483" s="37" t="str">
        <f aca="false">IF($N483="","",IF(COUNTIF($N$8:$N483,$N483)=1,MAX($AB$7:$AB482)+1,""))</f>
        <v/>
      </c>
    </row>
    <row r="484" customFormat="false" ht="15" hidden="false" customHeight="false" outlineLevel="0" collapsed="false">
      <c r="B484" s="32" t="s">
        <v>1188</v>
      </c>
      <c r="C484" s="32" t="s">
        <v>217</v>
      </c>
      <c r="D484" s="35" t="n">
        <v>2058</v>
      </c>
      <c r="E484" s="32" t="s">
        <v>145</v>
      </c>
      <c r="F484" s="36" t="n">
        <v>46153</v>
      </c>
      <c r="G484" s="32" t="s">
        <v>1189</v>
      </c>
      <c r="L484" s="37" t="str">
        <f aca="false">IF(INDEX($A484:$J484,$L$6)&lt;&gt;"",TRIM(LEFT(INDEX($A484:$J484,$L$6),FIND("(",INDEX($A484:$J484,$L$6)&amp;"(")-1)),L483)</f>
        <v>Closed Won</v>
      </c>
      <c r="M484" s="37" t="str">
        <f aca="false">IF(INDEX($A484:$J484,$M$6)="","",INDEX($A484:$J484,$M$6)&amp;"")</f>
        <v>Garvan - CTF - 12.5.26</v>
      </c>
      <c r="N484" s="37" t="str">
        <f aca="false">IF($M484="","",TRIM(INDEX($A484:$J484,$N$6)&amp;""))</f>
        <v>Garvan Institute of Medical Research</v>
      </c>
      <c r="O484" s="37" t="str">
        <f aca="false">IF($M484="","",TRIM(INDEX($A484:$J484,$O$6)&amp;""))</f>
        <v>Event Production</v>
      </c>
      <c r="P484" s="37" t="str">
        <f aca="false">IF($M484="","",IFERROR(IF(INDEX(Settings!$B$41:$B$50,MATCH(O484,Settings!$A$41:$A$50,0))&amp;""="","UNMAPPED",INDEX(Settings!$B$41:$B$50,MATCH(O484,Settings!$A$41:$A$50,0))&amp;""),"UNMAPPED"))</f>
        <v>Production</v>
      </c>
      <c r="Q484" s="38" t="n">
        <f aca="false">IF($M484="",0,N(INDEX($A484:$J484,$Q$6)))</f>
        <v>2058</v>
      </c>
      <c r="R484" s="39" t="n">
        <f aca="false">IF($M484="","",INDEX($A484:$J484,$R$6))</f>
        <v>46153</v>
      </c>
      <c r="S484" s="37" t="str">
        <f aca="false">IF($M484="","",IFERROR(INDEX(Settings!$B$27:$B$36,MATCH(L484,Settings!$A$27:$A$36,0))&amp;"","UNMAPPED"))</f>
        <v>Won</v>
      </c>
      <c r="T484" s="37" t="str">
        <f aca="false">IF($M484="","",IF(NOT(ISNUMBER(R484)),"NO DATE",IF(S484="Won",IF(R484&gt;Settings!$B$5,"Backlog","Delivered"),IF(S484="Open",IF(R484&gt;Settings!$B$5,"Pipeline","Overdue"),IF(S484="Lost","Lost","UNMAPPED")))))</f>
        <v>Delivered</v>
      </c>
      <c r="U484" s="40" t="n">
        <f aca="false">IF(T484="Backlog",1,IF(OR(T484="Pipeline",T484="Overdue"),N(INDEX(Settings!$C$27:$C$36,MATCH(L484,Settings!$A$27:$A$36,0))),0))</f>
        <v>0</v>
      </c>
      <c r="V484" s="38" t="n">
        <f aca="false">Q484*U484</f>
        <v>0</v>
      </c>
      <c r="W484" s="41" t="n">
        <f aca="false">IF($M484="","",IF(T484="Overdue",IF(Settings!$B$8="Yes",Settings!$B$7,""),IF(ISNUMBER(R484),DATE(YEAR(R484),MONTH(R484),1),"")))</f>
        <v>46143</v>
      </c>
      <c r="X484" s="38" t="n">
        <f aca="false">IF(AND(OR(T484="Backlog",T484="Pipeline",T484="Overdue"),ISNUMBER(W484)),IF(W484&lt;=Settings!$B$6,V484,0),0)</f>
        <v>0</v>
      </c>
      <c r="Y484" s="38" t="n">
        <f aca="false">IF(AND(OR(T484="Backlog",T484="Pipeline",T484="Overdue"),ISNUMBER(W484)),IF(W484&lt;=Settings!$B$6,Q484,0),0)</f>
        <v>0</v>
      </c>
      <c r="Z484" s="38" t="n">
        <f aca="false">IF(Y484=0,0,IF(T484="Backlog",Q484,Q484*Dashboard!$C$10))</f>
        <v>0</v>
      </c>
      <c r="AA484" s="37" t="n">
        <f aca="false">IF($N484="",0,IF(COUNTIF(Dashboard!$C$13:$C$22,$N484)&gt;0,1,0))</f>
        <v>0</v>
      </c>
      <c r="AB484" s="37" t="str">
        <f aca="false">IF($N484="","",IF(COUNTIF($N$8:$N484,$N484)=1,MAX($AB$7:$AB483)+1,""))</f>
        <v/>
      </c>
    </row>
    <row r="485" customFormat="false" ht="15" hidden="false" customHeight="false" outlineLevel="0" collapsed="false">
      <c r="B485" s="32" t="s">
        <v>1190</v>
      </c>
      <c r="C485" s="32" t="s">
        <v>915</v>
      </c>
      <c r="D485" s="35" t="n">
        <v>13337</v>
      </c>
      <c r="E485" s="32" t="s">
        <v>145</v>
      </c>
      <c r="F485" s="36" t="n">
        <v>46182</v>
      </c>
      <c r="G485" s="32" t="s">
        <v>1191</v>
      </c>
      <c r="L485" s="37" t="str">
        <f aca="false">IF(INDEX($A485:$J485,$L$6)&lt;&gt;"",TRIM(LEFT(INDEX($A485:$J485,$L$6),FIND("(",INDEX($A485:$J485,$L$6)&amp;"(")-1)),L484)</f>
        <v>Closed Won</v>
      </c>
      <c r="M485" s="37" t="str">
        <f aca="false">IF(INDEX($A485:$J485,$M$6)="","",INDEX($A485:$J485,$M$6)&amp;"")</f>
        <v>Symal - FYR26 (Melb) - 24.8.26</v>
      </c>
      <c r="N485" s="37" t="str">
        <f aca="false">IF($M485="","",TRIM(INDEX($A485:$J485,$N$6)&amp;""))</f>
        <v>Symal</v>
      </c>
      <c r="O485" s="37" t="str">
        <f aca="false">IF($M485="","",TRIM(INDEX($A485:$J485,$O$6)&amp;""))</f>
        <v>Event Production</v>
      </c>
      <c r="P485" s="37" t="str">
        <f aca="false">IF($M485="","",IFERROR(IF(INDEX(Settings!$B$41:$B$50,MATCH(O485,Settings!$A$41:$A$50,0))&amp;""="","UNMAPPED",INDEX(Settings!$B$41:$B$50,MATCH(O485,Settings!$A$41:$A$50,0))&amp;""),"UNMAPPED"))</f>
        <v>Production</v>
      </c>
      <c r="Q485" s="38" t="n">
        <f aca="false">IF($M485="",0,N(INDEX($A485:$J485,$Q$6)))</f>
        <v>13337</v>
      </c>
      <c r="R485" s="39" t="n">
        <f aca="false">IF($M485="","",INDEX($A485:$J485,$R$6))</f>
        <v>46182</v>
      </c>
      <c r="S485" s="37" t="str">
        <f aca="false">IF($M485="","",IFERROR(INDEX(Settings!$B$27:$B$36,MATCH(L485,Settings!$A$27:$A$36,0))&amp;"","UNMAPPED"))</f>
        <v>Won</v>
      </c>
      <c r="T485" s="37" t="str">
        <f aca="false">IF($M485="","",IF(NOT(ISNUMBER(R485)),"NO DATE",IF(S485="Won",IF(R485&gt;Settings!$B$5,"Backlog","Delivered"),IF(S485="Open",IF(R485&gt;Settings!$B$5,"Pipeline","Overdue"),IF(S485="Lost","Lost","UNMAPPED")))))</f>
        <v>Delivered</v>
      </c>
      <c r="U485" s="40" t="n">
        <f aca="false">IF(T485="Backlog",1,IF(OR(T485="Pipeline",T485="Overdue"),N(INDEX(Settings!$C$27:$C$36,MATCH(L485,Settings!$A$27:$A$36,0))),0))</f>
        <v>0</v>
      </c>
      <c r="V485" s="38" t="n">
        <f aca="false">Q485*U485</f>
        <v>0</v>
      </c>
      <c r="W485" s="41" t="n">
        <f aca="false">IF($M485="","",IF(T485="Overdue",IF(Settings!$B$8="Yes",Settings!$B$7,""),IF(ISNUMBER(R485),DATE(YEAR(R485),MONTH(R485),1),"")))</f>
        <v>46174</v>
      </c>
      <c r="X485" s="38" t="n">
        <f aca="false">IF(AND(OR(T485="Backlog",T485="Pipeline",T485="Overdue"),ISNUMBER(W485)),IF(W485&lt;=Settings!$B$6,V485,0),0)</f>
        <v>0</v>
      </c>
      <c r="Y485" s="38" t="n">
        <f aca="false">IF(AND(OR(T485="Backlog",T485="Pipeline",T485="Overdue"),ISNUMBER(W485)),IF(W485&lt;=Settings!$B$6,Q485,0),0)</f>
        <v>0</v>
      </c>
      <c r="Z485" s="38" t="n">
        <f aca="false">IF(Y485=0,0,IF(T485="Backlog",Q485,Q485*Dashboard!$C$10))</f>
        <v>0</v>
      </c>
      <c r="AA485" s="37" t="n">
        <f aca="false">IF($N485="",0,IF(COUNTIF(Dashboard!$C$13:$C$22,$N485)&gt;0,1,0))</f>
        <v>0</v>
      </c>
      <c r="AB485" s="37" t="str">
        <f aca="false">IF($N485="","",IF(COUNTIF($N$8:$N485,$N485)=1,MAX($AB$7:$AB484)+1,""))</f>
        <v/>
      </c>
    </row>
    <row r="486" customFormat="false" ht="15" hidden="false" customHeight="false" outlineLevel="0" collapsed="false">
      <c r="B486" s="32" t="s">
        <v>1192</v>
      </c>
      <c r="C486" s="32" t="s">
        <v>140</v>
      </c>
      <c r="D486" s="35" t="n">
        <v>81600</v>
      </c>
      <c r="E486" s="32" t="s">
        <v>180</v>
      </c>
      <c r="F486" s="36" t="n">
        <v>46265</v>
      </c>
      <c r="G486" s="32" t="s">
        <v>1193</v>
      </c>
      <c r="L486" s="37" t="str">
        <f aca="false">IF(INDEX($A486:$J486,$L$6)&lt;&gt;"",TRIM(LEFT(INDEX($A486:$J486,$L$6),FIND("(",INDEX($A486:$J486,$L$6)&amp;"(")-1)),L485)</f>
        <v>Closed Won</v>
      </c>
      <c r="M486" s="37" t="str">
        <f aca="false">IF(INDEX($A486:$J486,$M$6)="","",INDEX($A486:$J486,$M$6)&amp;"")</f>
        <v>Perth AV &amp; Hospitality Technician (SEP26-FEB27)</v>
      </c>
      <c r="N486" s="37" t="str">
        <f aca="false">IF($M486="","",TRIM(INDEX($A486:$J486,$N$6)&amp;""))</f>
        <v>Deloitte Australia</v>
      </c>
      <c r="O486" s="37" t="str">
        <f aca="false">IF($M486="","",TRIM(INDEX($A486:$J486,$O$6)&amp;""))</f>
        <v>Support</v>
      </c>
      <c r="P486" s="37" t="str">
        <f aca="false">IF($M486="","",IFERROR(IF(INDEX(Settings!$B$41:$B$50,MATCH(O486,Settings!$A$41:$A$50,0))&amp;""="","UNMAPPED",INDEX(Settings!$B$41:$B$50,MATCH(O486,Settings!$A$41:$A$50,0))&amp;""),"UNMAPPED"))</f>
        <v>Onsite</v>
      </c>
      <c r="Q486" s="38" t="n">
        <f aca="false">IF($M486="",0,N(INDEX($A486:$J486,$Q$6)))</f>
        <v>81600</v>
      </c>
      <c r="R486" s="39" t="n">
        <f aca="false">IF($M486="","",INDEX($A486:$J486,$R$6))</f>
        <v>46265</v>
      </c>
      <c r="S486" s="37" t="str">
        <f aca="false">IF($M486="","",IFERROR(INDEX(Settings!$B$27:$B$36,MATCH(L486,Settings!$A$27:$A$36,0))&amp;"","UNMAPPED"))</f>
        <v>Won</v>
      </c>
      <c r="T486" s="37" t="str">
        <f aca="false">IF($M486="","",IF(NOT(ISNUMBER(R486)),"NO DATE",IF(S486="Won",IF(R486&gt;Settings!$B$5,"Backlog","Delivered"),IF(S486="Open",IF(R486&gt;Settings!$B$5,"Pipeline","Overdue"),IF(S486="Lost","Lost","UNMAPPED")))))</f>
        <v>Delivered</v>
      </c>
      <c r="U486" s="40" t="n">
        <f aca="false">IF(T486="Backlog",1,IF(OR(T486="Pipeline",T486="Overdue"),N(INDEX(Settings!$C$27:$C$36,MATCH(L486,Settings!$A$27:$A$36,0))),0))</f>
        <v>0</v>
      </c>
      <c r="V486" s="38" t="n">
        <f aca="false">Q486*U486</f>
        <v>0</v>
      </c>
      <c r="W486" s="41" t="n">
        <f aca="false">IF($M486="","",IF(T486="Overdue",IF(Settings!$B$8="Yes",Settings!$B$7,""),IF(ISNUMBER(R486),DATE(YEAR(R486),MONTH(R486),1),"")))</f>
        <v>46235</v>
      </c>
      <c r="X486" s="38" t="n">
        <f aca="false">IF(AND(OR(T486="Backlog",T486="Pipeline",T486="Overdue"),ISNUMBER(W486)),IF(W486&lt;=Settings!$B$6,V486,0),0)</f>
        <v>0</v>
      </c>
      <c r="Y486" s="38" t="n">
        <f aca="false">IF(AND(OR(T486="Backlog",T486="Pipeline",T486="Overdue"),ISNUMBER(W486)),IF(W486&lt;=Settings!$B$6,Q486,0),0)</f>
        <v>0</v>
      </c>
      <c r="Z486" s="38" t="n">
        <f aca="false">IF(Y486=0,0,IF(T486="Backlog",Q486,Q486*Dashboard!$C$10))</f>
        <v>0</v>
      </c>
      <c r="AA486" s="37" t="n">
        <f aca="false">IF($N486="",0,IF(COUNTIF(Dashboard!$C$13:$C$22,$N486)&gt;0,1,0))</f>
        <v>0</v>
      </c>
      <c r="AB486" s="37" t="str">
        <f aca="false">IF($N486="","",IF(COUNTIF($N$8:$N486,$N486)=1,MAX($AB$7:$AB485)+1,""))</f>
        <v/>
      </c>
    </row>
    <row r="487" customFormat="false" ht="15" hidden="false" customHeight="false" outlineLevel="0" collapsed="false">
      <c r="B487" s="32" t="s">
        <v>1194</v>
      </c>
      <c r="C487" s="32" t="s">
        <v>244</v>
      </c>
      <c r="D487" s="35" t="n">
        <v>3719</v>
      </c>
      <c r="E487" s="32" t="s">
        <v>141</v>
      </c>
      <c r="F487" s="36" t="n">
        <v>46010</v>
      </c>
      <c r="G487" s="32" t="s">
        <v>1195</v>
      </c>
      <c r="L487" s="37" t="str">
        <f aca="false">IF(INDEX($A487:$J487,$L$6)&lt;&gt;"",TRIM(LEFT(INDEX($A487:$J487,$L$6),FIND("(",INDEX($A487:$J487,$L$6)&amp;"(")-1)),L486)</f>
        <v>Closed Won</v>
      </c>
      <c r="M487" s="37" t="str">
        <f aca="false">IF(INDEX($A487:$J487,$M$6)="","",INDEX($A487:$J487,$M$6)&amp;"")</f>
        <v>APA MEL - iPad &amp; Bouncepad Sale</v>
      </c>
      <c r="N487" s="37" t="str">
        <f aca="false">IF($M487="","",TRIM(INDEX($A487:$J487,$N$6)&amp;""))</f>
        <v>APA</v>
      </c>
      <c r="O487" s="37" t="str">
        <f aca="false">IF($M487="","",TRIM(INDEX($A487:$J487,$O$6)&amp;""))</f>
        <v>Integration</v>
      </c>
      <c r="P487" s="37" t="str">
        <f aca="false">IF($M487="","",IFERROR(IF(INDEX(Settings!$B$41:$B$50,MATCH(O487,Settings!$A$41:$A$50,0))&amp;""="","UNMAPPED",INDEX(Settings!$B$41:$B$50,MATCH(O487,Settings!$A$41:$A$50,0))&amp;""),"UNMAPPED"))</f>
        <v>Integration</v>
      </c>
      <c r="Q487" s="38" t="n">
        <f aca="false">IF($M487="",0,N(INDEX($A487:$J487,$Q$6)))</f>
        <v>3719</v>
      </c>
      <c r="R487" s="39" t="n">
        <f aca="false">IF($M487="","",INDEX($A487:$J487,$R$6))</f>
        <v>46010</v>
      </c>
      <c r="S487" s="37" t="str">
        <f aca="false">IF($M487="","",IFERROR(INDEX(Settings!$B$27:$B$36,MATCH(L487,Settings!$A$27:$A$36,0))&amp;"","UNMAPPED"))</f>
        <v>Won</v>
      </c>
      <c r="T487" s="37" t="str">
        <f aca="false">IF($M487="","",IF(NOT(ISNUMBER(R487)),"NO DATE",IF(S487="Won",IF(R487&gt;Settings!$B$5,"Backlog","Delivered"),IF(S487="Open",IF(R487&gt;Settings!$B$5,"Pipeline","Overdue"),IF(S487="Lost","Lost","UNMAPPED")))))</f>
        <v>Delivered</v>
      </c>
      <c r="U487" s="40" t="n">
        <f aca="false">IF(T487="Backlog",1,IF(OR(T487="Pipeline",T487="Overdue"),N(INDEX(Settings!$C$27:$C$36,MATCH(L487,Settings!$A$27:$A$36,0))),0))</f>
        <v>0</v>
      </c>
      <c r="V487" s="38" t="n">
        <f aca="false">Q487*U487</f>
        <v>0</v>
      </c>
      <c r="W487" s="41" t="n">
        <f aca="false">IF($M487="","",IF(T487="Overdue",IF(Settings!$B$8="Yes",Settings!$B$7,""),IF(ISNUMBER(R487),DATE(YEAR(R487),MONTH(R487),1),"")))</f>
        <v>45992</v>
      </c>
      <c r="X487" s="38" t="n">
        <f aca="false">IF(AND(OR(T487="Backlog",T487="Pipeline",T487="Overdue"),ISNUMBER(W487)),IF(W487&lt;=Settings!$B$6,V487,0),0)</f>
        <v>0</v>
      </c>
      <c r="Y487" s="38" t="n">
        <f aca="false">IF(AND(OR(T487="Backlog",T487="Pipeline",T487="Overdue"),ISNUMBER(W487)),IF(W487&lt;=Settings!$B$6,Q487,0),0)</f>
        <v>0</v>
      </c>
      <c r="Z487" s="38" t="n">
        <f aca="false">IF(Y487=0,0,IF(T487="Backlog",Q487,Q487*Dashboard!$C$10))</f>
        <v>0</v>
      </c>
      <c r="AA487" s="37" t="n">
        <f aca="false">IF($N487="",0,IF(COUNTIF(Dashboard!$C$13:$C$22,$N487)&gt;0,1,0))</f>
        <v>0</v>
      </c>
      <c r="AB487" s="37" t="str">
        <f aca="false">IF($N487="","",IF(COUNTIF($N$8:$N487,$N487)=1,MAX($AB$7:$AB486)+1,""))</f>
        <v/>
      </c>
    </row>
    <row r="488" customFormat="false" ht="15" hidden="false" customHeight="false" outlineLevel="0" collapsed="false">
      <c r="B488" s="32" t="s">
        <v>1196</v>
      </c>
      <c r="C488" s="32" t="s">
        <v>387</v>
      </c>
      <c r="D488" s="35" t="n">
        <v>1572</v>
      </c>
      <c r="E488" s="32" t="s">
        <v>180</v>
      </c>
      <c r="F488" s="36" t="n">
        <v>46094</v>
      </c>
      <c r="G488" s="32" t="s">
        <v>1197</v>
      </c>
      <c r="L488" s="37" t="str">
        <f aca="false">IF(INDEX($A488:$J488,$L$6)&lt;&gt;"",TRIM(LEFT(INDEX($A488:$J488,$L$6),FIND("(",INDEX($A488:$J488,$L$6)&amp;"(")-1)),L487)</f>
        <v>Closed Won</v>
      </c>
      <c r="M488" s="37" t="str">
        <f aca="false">IF(INDEX($A488:$J488,$M$6)="","",INDEX($A488:$J488,$M$6)&amp;"")</f>
        <v>2603201 - Tech Support Melbourne - Change Makers Event</v>
      </c>
      <c r="N488" s="37" t="str">
        <f aca="false">IF($M488="","",TRIM(INDEX($A488:$J488,$N$6)&amp;""))</f>
        <v>Deloitte - Melbourne</v>
      </c>
      <c r="O488" s="37" t="str">
        <f aca="false">IF($M488="","",TRIM(INDEX($A488:$J488,$O$6)&amp;""))</f>
        <v>Support</v>
      </c>
      <c r="P488" s="37" t="str">
        <f aca="false">IF($M488="","",IFERROR(IF(INDEX(Settings!$B$41:$B$50,MATCH(O488,Settings!$A$41:$A$50,0))&amp;""="","UNMAPPED",INDEX(Settings!$B$41:$B$50,MATCH(O488,Settings!$A$41:$A$50,0))&amp;""),"UNMAPPED"))</f>
        <v>Onsite</v>
      </c>
      <c r="Q488" s="38" t="n">
        <f aca="false">IF($M488="",0,N(INDEX($A488:$J488,$Q$6)))</f>
        <v>1572</v>
      </c>
      <c r="R488" s="39" t="n">
        <f aca="false">IF($M488="","",INDEX($A488:$J488,$R$6))</f>
        <v>46094</v>
      </c>
      <c r="S488" s="37" t="str">
        <f aca="false">IF($M488="","",IFERROR(INDEX(Settings!$B$27:$B$36,MATCH(L488,Settings!$A$27:$A$36,0))&amp;"","UNMAPPED"))</f>
        <v>Won</v>
      </c>
      <c r="T488" s="37" t="str">
        <f aca="false">IF($M488="","",IF(NOT(ISNUMBER(R488)),"NO DATE",IF(S488="Won",IF(R488&gt;Settings!$B$5,"Backlog","Delivered"),IF(S488="Open",IF(R488&gt;Settings!$B$5,"Pipeline","Overdue"),IF(S488="Lost","Lost","UNMAPPED")))))</f>
        <v>Delivered</v>
      </c>
      <c r="U488" s="40" t="n">
        <f aca="false">IF(T488="Backlog",1,IF(OR(T488="Pipeline",T488="Overdue"),N(INDEX(Settings!$C$27:$C$36,MATCH(L488,Settings!$A$27:$A$36,0))),0))</f>
        <v>0</v>
      </c>
      <c r="V488" s="38" t="n">
        <f aca="false">Q488*U488</f>
        <v>0</v>
      </c>
      <c r="W488" s="41" t="n">
        <f aca="false">IF($M488="","",IF(T488="Overdue",IF(Settings!$B$8="Yes",Settings!$B$7,""),IF(ISNUMBER(R488),DATE(YEAR(R488),MONTH(R488),1),"")))</f>
        <v>46082</v>
      </c>
      <c r="X488" s="38" t="n">
        <f aca="false">IF(AND(OR(T488="Backlog",T488="Pipeline",T488="Overdue"),ISNUMBER(W488)),IF(W488&lt;=Settings!$B$6,V488,0),0)</f>
        <v>0</v>
      </c>
      <c r="Y488" s="38" t="n">
        <f aca="false">IF(AND(OR(T488="Backlog",T488="Pipeline",T488="Overdue"),ISNUMBER(W488)),IF(W488&lt;=Settings!$B$6,Q488,0),0)</f>
        <v>0</v>
      </c>
      <c r="Z488" s="38" t="n">
        <f aca="false">IF(Y488=0,0,IF(T488="Backlog",Q488,Q488*Dashboard!$C$10))</f>
        <v>0</v>
      </c>
      <c r="AA488" s="37" t="n">
        <f aca="false">IF($N488="",0,IF(COUNTIF(Dashboard!$C$13:$C$22,$N488)&gt;0,1,0))</f>
        <v>0</v>
      </c>
      <c r="AB488" s="37" t="str">
        <f aca="false">IF($N488="","",IF(COUNTIF($N$8:$N488,$N488)=1,MAX($AB$7:$AB487)+1,""))</f>
        <v/>
      </c>
    </row>
    <row r="489" customFormat="false" ht="15" hidden="false" customHeight="false" outlineLevel="0" collapsed="false">
      <c r="B489" s="32" t="s">
        <v>1198</v>
      </c>
      <c r="C489" s="32" t="s">
        <v>281</v>
      </c>
      <c r="D489" s="35" t="n">
        <v>3406</v>
      </c>
      <c r="E489" s="32" t="s">
        <v>145</v>
      </c>
      <c r="F489" s="36" t="n">
        <v>45875</v>
      </c>
      <c r="G489" s="32" t="s">
        <v>1199</v>
      </c>
      <c r="L489" s="37" t="str">
        <f aca="false">IF(INDEX($A489:$J489,$L$6)&lt;&gt;"",TRIM(LEFT(INDEX($A489:$J489,$L$6),FIND("(",INDEX($A489:$J489,$L$6)&amp;"(")-1)),L488)</f>
        <v>Closed Won</v>
      </c>
      <c r="M489" s="37" t="str">
        <f aca="false">IF(INDEX($A489:$J489,$M$6)="","",INDEX($A489:$J489,$M$6)&amp;"")</f>
        <v>RSNSW - Ord Gen Meet 6.8.25</v>
      </c>
      <c r="N489" s="37" t="str">
        <f aca="false">IF($M489="","",TRIM(INDEX($A489:$J489,$N$6)&amp;""))</f>
        <v>The Royal Society of New South Wales</v>
      </c>
      <c r="O489" s="37" t="str">
        <f aca="false">IF($M489="","",TRIM(INDEX($A489:$J489,$O$6)&amp;""))</f>
        <v>Event Production</v>
      </c>
      <c r="P489" s="37" t="str">
        <f aca="false">IF($M489="","",IFERROR(IF(INDEX(Settings!$B$41:$B$50,MATCH(O489,Settings!$A$41:$A$50,0))&amp;""="","UNMAPPED",INDEX(Settings!$B$41:$B$50,MATCH(O489,Settings!$A$41:$A$50,0))&amp;""),"UNMAPPED"))</f>
        <v>Production</v>
      </c>
      <c r="Q489" s="38" t="n">
        <f aca="false">IF($M489="",0,N(INDEX($A489:$J489,$Q$6)))</f>
        <v>3406</v>
      </c>
      <c r="R489" s="39" t="n">
        <f aca="false">IF($M489="","",INDEX($A489:$J489,$R$6))</f>
        <v>45875</v>
      </c>
      <c r="S489" s="37" t="str">
        <f aca="false">IF($M489="","",IFERROR(INDEX(Settings!$B$27:$B$36,MATCH(L489,Settings!$A$27:$A$36,0))&amp;"","UNMAPPED"))</f>
        <v>Won</v>
      </c>
      <c r="T489" s="37" t="str">
        <f aca="false">IF($M489="","",IF(NOT(ISNUMBER(R489)),"NO DATE",IF(S489="Won",IF(R489&gt;Settings!$B$5,"Backlog","Delivered"),IF(S489="Open",IF(R489&gt;Settings!$B$5,"Pipeline","Overdue"),IF(S489="Lost","Lost","UNMAPPED")))))</f>
        <v>Delivered</v>
      </c>
      <c r="U489" s="40" t="n">
        <f aca="false">IF(T489="Backlog",1,IF(OR(T489="Pipeline",T489="Overdue"),N(INDEX(Settings!$C$27:$C$36,MATCH(L489,Settings!$A$27:$A$36,0))),0))</f>
        <v>0</v>
      </c>
      <c r="V489" s="38" t="n">
        <f aca="false">Q489*U489</f>
        <v>0</v>
      </c>
      <c r="W489" s="41" t="n">
        <f aca="false">IF($M489="","",IF(T489="Overdue",IF(Settings!$B$8="Yes",Settings!$B$7,""),IF(ISNUMBER(R489),DATE(YEAR(R489),MONTH(R489),1),"")))</f>
        <v>45870</v>
      </c>
      <c r="X489" s="38" t="n">
        <f aca="false">IF(AND(OR(T489="Backlog",T489="Pipeline",T489="Overdue"),ISNUMBER(W489)),IF(W489&lt;=Settings!$B$6,V489,0),0)</f>
        <v>0</v>
      </c>
      <c r="Y489" s="38" t="n">
        <f aca="false">IF(AND(OR(T489="Backlog",T489="Pipeline",T489="Overdue"),ISNUMBER(W489)),IF(W489&lt;=Settings!$B$6,Q489,0),0)</f>
        <v>0</v>
      </c>
      <c r="Z489" s="38" t="n">
        <f aca="false">IF(Y489=0,0,IF(T489="Backlog",Q489,Q489*Dashboard!$C$10))</f>
        <v>0</v>
      </c>
      <c r="AA489" s="37" t="n">
        <f aca="false">IF($N489="",0,IF(COUNTIF(Dashboard!$C$13:$C$22,$N489)&gt;0,1,0))</f>
        <v>0</v>
      </c>
      <c r="AB489" s="37" t="str">
        <f aca="false">IF($N489="","",IF(COUNTIF($N$8:$N489,$N489)=1,MAX($AB$7:$AB488)+1,""))</f>
        <v/>
      </c>
    </row>
    <row r="490" customFormat="false" ht="15" hidden="false" customHeight="false" outlineLevel="0" collapsed="false">
      <c r="B490" s="32" t="s">
        <v>1200</v>
      </c>
      <c r="C490" s="32" t="s">
        <v>154</v>
      </c>
      <c r="D490" s="35" t="n">
        <v>1810</v>
      </c>
      <c r="E490" s="32" t="s">
        <v>145</v>
      </c>
      <c r="F490" s="36" t="n">
        <v>46104</v>
      </c>
      <c r="G490" s="32" t="s">
        <v>1201</v>
      </c>
      <c r="L490" s="37" t="str">
        <f aca="false">IF(INDEX($A490:$J490,$L$6)&lt;&gt;"",TRIM(LEFT(INDEX($A490:$J490,$L$6),FIND("(",INDEX($A490:$J490,$L$6)&amp;"(")-1)),L489)</f>
        <v>Closed Won</v>
      </c>
      <c r="M490" s="37" t="str">
        <f aca="false">IF(INDEX($A490:$J490,$M$6)="","",INDEX($A490:$J490,$M$6)&amp;"")</f>
        <v>PWC - Studio Webcast - 30.3.26</v>
      </c>
      <c r="N490" s="37" t="str">
        <f aca="false">IF($M490="","",TRIM(INDEX($A490:$J490,$N$6)&amp;""))</f>
        <v>PWC</v>
      </c>
      <c r="O490" s="37" t="str">
        <f aca="false">IF($M490="","",TRIM(INDEX($A490:$J490,$O$6)&amp;""))</f>
        <v>Event Production</v>
      </c>
      <c r="P490" s="37" t="str">
        <f aca="false">IF($M490="","",IFERROR(IF(INDEX(Settings!$B$41:$B$50,MATCH(O490,Settings!$A$41:$A$50,0))&amp;""="","UNMAPPED",INDEX(Settings!$B$41:$B$50,MATCH(O490,Settings!$A$41:$A$50,0))&amp;""),"UNMAPPED"))</f>
        <v>Production</v>
      </c>
      <c r="Q490" s="38" t="n">
        <f aca="false">IF($M490="",0,N(INDEX($A490:$J490,$Q$6)))</f>
        <v>1810</v>
      </c>
      <c r="R490" s="39" t="n">
        <f aca="false">IF($M490="","",INDEX($A490:$J490,$R$6))</f>
        <v>46104</v>
      </c>
      <c r="S490" s="37" t="str">
        <f aca="false">IF($M490="","",IFERROR(INDEX(Settings!$B$27:$B$36,MATCH(L490,Settings!$A$27:$A$36,0))&amp;"","UNMAPPED"))</f>
        <v>Won</v>
      </c>
      <c r="T490" s="37" t="str">
        <f aca="false">IF($M490="","",IF(NOT(ISNUMBER(R490)),"NO DATE",IF(S490="Won",IF(R490&gt;Settings!$B$5,"Backlog","Delivered"),IF(S490="Open",IF(R490&gt;Settings!$B$5,"Pipeline","Overdue"),IF(S490="Lost","Lost","UNMAPPED")))))</f>
        <v>Delivered</v>
      </c>
      <c r="U490" s="40" t="n">
        <f aca="false">IF(T490="Backlog",1,IF(OR(T490="Pipeline",T490="Overdue"),N(INDEX(Settings!$C$27:$C$36,MATCH(L490,Settings!$A$27:$A$36,0))),0))</f>
        <v>0</v>
      </c>
      <c r="V490" s="38" t="n">
        <f aca="false">Q490*U490</f>
        <v>0</v>
      </c>
      <c r="W490" s="41" t="n">
        <f aca="false">IF($M490="","",IF(T490="Overdue",IF(Settings!$B$8="Yes",Settings!$B$7,""),IF(ISNUMBER(R490),DATE(YEAR(R490),MONTH(R490),1),"")))</f>
        <v>46082</v>
      </c>
      <c r="X490" s="38" t="n">
        <f aca="false">IF(AND(OR(T490="Backlog",T490="Pipeline",T490="Overdue"),ISNUMBER(W490)),IF(W490&lt;=Settings!$B$6,V490,0),0)</f>
        <v>0</v>
      </c>
      <c r="Y490" s="38" t="n">
        <f aca="false">IF(AND(OR(T490="Backlog",T490="Pipeline",T490="Overdue"),ISNUMBER(W490)),IF(W490&lt;=Settings!$B$6,Q490,0),0)</f>
        <v>0</v>
      </c>
      <c r="Z490" s="38" t="n">
        <f aca="false">IF(Y490=0,0,IF(T490="Backlog",Q490,Q490*Dashboard!$C$10))</f>
        <v>0</v>
      </c>
      <c r="AA490" s="37" t="n">
        <f aca="false">IF($N490="",0,IF(COUNTIF(Dashboard!$C$13:$C$22,$N490)&gt;0,1,0))</f>
        <v>0</v>
      </c>
      <c r="AB490" s="37" t="str">
        <f aca="false">IF($N490="","",IF(COUNTIF($N$8:$N490,$N490)=1,MAX($AB$7:$AB489)+1,""))</f>
        <v/>
      </c>
    </row>
    <row r="491" customFormat="false" ht="15" hidden="false" customHeight="false" outlineLevel="0" collapsed="false">
      <c r="B491" s="32" t="s">
        <v>1202</v>
      </c>
      <c r="C491" s="32" t="s">
        <v>217</v>
      </c>
      <c r="D491" s="35" t="n">
        <v>1120</v>
      </c>
      <c r="E491" s="32" t="s">
        <v>145</v>
      </c>
      <c r="F491" s="36" t="n">
        <v>46190</v>
      </c>
      <c r="G491" s="32" t="s">
        <v>1203</v>
      </c>
      <c r="L491" s="37" t="str">
        <f aca="false">IF(INDEX($A491:$J491,$L$6)&lt;&gt;"",TRIM(LEFT(INDEX($A491:$J491,$L$6),FIND("(",INDEX($A491:$J491,$L$6)&amp;"(")-1)),L490)</f>
        <v>Closed Won</v>
      </c>
      <c r="M491" s="37" t="str">
        <f aca="false">IF(INDEX($A491:$J491,$M$6)="","",INDEX($A491:$J491,$M$6)&amp;"")</f>
        <v>Garvan - Morning Tea Event - 31.7.26</v>
      </c>
      <c r="N491" s="37" t="str">
        <f aca="false">IF($M491="","",TRIM(INDEX($A491:$J491,$N$6)&amp;""))</f>
        <v>Garvan Institute of Medical Research</v>
      </c>
      <c r="O491" s="37" t="str">
        <f aca="false">IF($M491="","",TRIM(INDEX($A491:$J491,$O$6)&amp;""))</f>
        <v>Event Production</v>
      </c>
      <c r="P491" s="37" t="str">
        <f aca="false">IF($M491="","",IFERROR(IF(INDEX(Settings!$B$41:$B$50,MATCH(O491,Settings!$A$41:$A$50,0))&amp;""="","UNMAPPED",INDEX(Settings!$B$41:$B$50,MATCH(O491,Settings!$A$41:$A$50,0))&amp;""),"UNMAPPED"))</f>
        <v>Production</v>
      </c>
      <c r="Q491" s="38" t="n">
        <f aca="false">IF($M491="",0,N(INDEX($A491:$J491,$Q$6)))</f>
        <v>1120</v>
      </c>
      <c r="R491" s="39" t="n">
        <f aca="false">IF($M491="","",INDEX($A491:$J491,$R$6))</f>
        <v>46190</v>
      </c>
      <c r="S491" s="37" t="str">
        <f aca="false">IF($M491="","",IFERROR(INDEX(Settings!$B$27:$B$36,MATCH(L491,Settings!$A$27:$A$36,0))&amp;"","UNMAPPED"))</f>
        <v>Won</v>
      </c>
      <c r="T491" s="37" t="str">
        <f aca="false">IF($M491="","",IF(NOT(ISNUMBER(R491)),"NO DATE",IF(S491="Won",IF(R491&gt;Settings!$B$5,"Backlog","Delivered"),IF(S491="Open",IF(R491&gt;Settings!$B$5,"Pipeline","Overdue"),IF(S491="Lost","Lost","UNMAPPED")))))</f>
        <v>Delivered</v>
      </c>
      <c r="U491" s="40" t="n">
        <f aca="false">IF(T491="Backlog",1,IF(OR(T491="Pipeline",T491="Overdue"),N(INDEX(Settings!$C$27:$C$36,MATCH(L491,Settings!$A$27:$A$36,0))),0))</f>
        <v>0</v>
      </c>
      <c r="V491" s="38" t="n">
        <f aca="false">Q491*U491</f>
        <v>0</v>
      </c>
      <c r="W491" s="41" t="n">
        <f aca="false">IF($M491="","",IF(T491="Overdue",IF(Settings!$B$8="Yes",Settings!$B$7,""),IF(ISNUMBER(R491),DATE(YEAR(R491),MONTH(R491),1),"")))</f>
        <v>46174</v>
      </c>
      <c r="X491" s="38" t="n">
        <f aca="false">IF(AND(OR(T491="Backlog",T491="Pipeline",T491="Overdue"),ISNUMBER(W491)),IF(W491&lt;=Settings!$B$6,V491,0),0)</f>
        <v>0</v>
      </c>
      <c r="Y491" s="38" t="n">
        <f aca="false">IF(AND(OR(T491="Backlog",T491="Pipeline",T491="Overdue"),ISNUMBER(W491)),IF(W491&lt;=Settings!$B$6,Q491,0),0)</f>
        <v>0</v>
      </c>
      <c r="Z491" s="38" t="n">
        <f aca="false">IF(Y491=0,0,IF(T491="Backlog",Q491,Q491*Dashboard!$C$10))</f>
        <v>0</v>
      </c>
      <c r="AA491" s="37" t="n">
        <f aca="false">IF($N491="",0,IF(COUNTIF(Dashboard!$C$13:$C$22,$N491)&gt;0,1,0))</f>
        <v>0</v>
      </c>
      <c r="AB491" s="37" t="str">
        <f aca="false">IF($N491="","",IF(COUNTIF($N$8:$N491,$N491)=1,MAX($AB$7:$AB490)+1,""))</f>
        <v/>
      </c>
    </row>
    <row r="492" customFormat="false" ht="15" hidden="false" customHeight="false" outlineLevel="0" collapsed="false">
      <c r="B492" s="32" t="s">
        <v>1204</v>
      </c>
      <c r="C492" s="32" t="s">
        <v>253</v>
      </c>
      <c r="D492" s="35" t="n">
        <v>4602</v>
      </c>
      <c r="E492" s="32" t="s">
        <v>208</v>
      </c>
      <c r="F492" s="36" t="n">
        <v>46237</v>
      </c>
      <c r="G492" s="32" t="s">
        <v>1205</v>
      </c>
      <c r="L492" s="37" t="str">
        <f aca="false">IF(INDEX($A492:$J492,$L$6)&lt;&gt;"",TRIM(LEFT(INDEX($A492:$J492,$L$6),FIND("(",INDEX($A492:$J492,$L$6)&amp;"(")-1)),L491)</f>
        <v>Closed Won</v>
      </c>
      <c r="M492" s="37" t="str">
        <f aca="false">IF(INDEX($A492:$J492,$M$6)="","",INDEX($A492:$J492,$M$6)&amp;"")</f>
        <v>ASX’s Advisory Group on Corporate Governance</v>
      </c>
      <c r="N492" s="37" t="str">
        <f aca="false">IF($M492="","",TRIM(INDEX($A492:$J492,$N$6)&amp;""))</f>
        <v>ASX Australian Securities Exchange</v>
      </c>
      <c r="O492" s="37" t="str">
        <f aca="false">IF($M492="","",TRIM(INDEX($A492:$J492,$O$6)&amp;""))</f>
        <v>Video Production</v>
      </c>
      <c r="P492" s="37" t="str">
        <f aca="false">IF($M492="","",IFERROR(IF(INDEX(Settings!$B$41:$B$50,MATCH(O492,Settings!$A$41:$A$50,0))&amp;""="","UNMAPPED",INDEX(Settings!$B$41:$B$50,MATCH(O492,Settings!$A$41:$A$50,0))&amp;""),"UNMAPPED"))</f>
        <v>Video</v>
      </c>
      <c r="Q492" s="38" t="n">
        <f aca="false">IF($M492="",0,N(INDEX($A492:$J492,$Q$6)))</f>
        <v>4602</v>
      </c>
      <c r="R492" s="39" t="n">
        <f aca="false">IF($M492="","",INDEX($A492:$J492,$R$6))</f>
        <v>46237</v>
      </c>
      <c r="S492" s="37" t="str">
        <f aca="false">IF($M492="","",IFERROR(INDEX(Settings!$B$27:$B$36,MATCH(L492,Settings!$A$27:$A$36,0))&amp;"","UNMAPPED"))</f>
        <v>Won</v>
      </c>
      <c r="T492" s="37" t="str">
        <f aca="false">IF($M492="","",IF(NOT(ISNUMBER(R492)),"NO DATE",IF(S492="Won",IF(R492&gt;Settings!$B$5,"Backlog","Delivered"),IF(S492="Open",IF(R492&gt;Settings!$B$5,"Pipeline","Overdue"),IF(S492="Lost","Lost","UNMAPPED")))))</f>
        <v>Delivered</v>
      </c>
      <c r="U492" s="40" t="n">
        <f aca="false">IF(T492="Backlog",1,IF(OR(T492="Pipeline",T492="Overdue"),N(INDEX(Settings!$C$27:$C$36,MATCH(L492,Settings!$A$27:$A$36,0))),0))</f>
        <v>0</v>
      </c>
      <c r="V492" s="38" t="n">
        <f aca="false">Q492*U492</f>
        <v>0</v>
      </c>
      <c r="W492" s="41" t="n">
        <f aca="false">IF($M492="","",IF(T492="Overdue",IF(Settings!$B$8="Yes",Settings!$B$7,""),IF(ISNUMBER(R492),DATE(YEAR(R492),MONTH(R492),1),"")))</f>
        <v>46235</v>
      </c>
      <c r="X492" s="38" t="n">
        <f aca="false">IF(AND(OR(T492="Backlog",T492="Pipeline",T492="Overdue"),ISNUMBER(W492)),IF(W492&lt;=Settings!$B$6,V492,0),0)</f>
        <v>0</v>
      </c>
      <c r="Y492" s="38" t="n">
        <f aca="false">IF(AND(OR(T492="Backlog",T492="Pipeline",T492="Overdue"),ISNUMBER(W492)),IF(W492&lt;=Settings!$B$6,Q492,0),0)</f>
        <v>0</v>
      </c>
      <c r="Z492" s="38" t="n">
        <f aca="false">IF(Y492=0,0,IF(T492="Backlog",Q492,Q492*Dashboard!$C$10))</f>
        <v>0</v>
      </c>
      <c r="AA492" s="37" t="n">
        <f aca="false">IF($N492="",0,IF(COUNTIF(Dashboard!$C$13:$C$22,$N492)&gt;0,1,0))</f>
        <v>0</v>
      </c>
      <c r="AB492" s="37" t="str">
        <f aca="false">IF($N492="","",IF(COUNTIF($N$8:$N492,$N492)=1,MAX($AB$7:$AB491)+1,""))</f>
        <v/>
      </c>
    </row>
    <row r="493" customFormat="false" ht="15" hidden="false" customHeight="false" outlineLevel="0" collapsed="false">
      <c r="B493" s="32" t="s">
        <v>1206</v>
      </c>
      <c r="C493" s="32" t="s">
        <v>183</v>
      </c>
      <c r="D493" s="35" t="n">
        <v>4757</v>
      </c>
      <c r="E493" s="32" t="s">
        <v>145</v>
      </c>
      <c r="F493" s="36" t="n">
        <v>45985</v>
      </c>
      <c r="G493" s="32" t="s">
        <v>1207</v>
      </c>
      <c r="L493" s="37" t="str">
        <f aca="false">IF(INDEX($A493:$J493,$L$6)&lt;&gt;"",TRIM(LEFT(INDEX($A493:$J493,$L$6),FIND("(",INDEX($A493:$J493,$L$6)&amp;"(")-1)),L492)</f>
        <v>Closed Won</v>
      </c>
      <c r="M493" s="37" t="str">
        <f aca="false">IF(INDEX($A493:$J493,$M$6)="","",INDEX($A493:$J493,$M$6)&amp;"")</f>
        <v>Integrated Res AGM 24.11.25</v>
      </c>
      <c r="N493" s="37" t="str">
        <f aca="false">IF($M493="","",TRIM(INDEX($A493:$J493,$N$6)&amp;""))</f>
        <v>Chorus Call</v>
      </c>
      <c r="O493" s="37" t="str">
        <f aca="false">IF($M493="","",TRIM(INDEX($A493:$J493,$O$6)&amp;""))</f>
        <v>Event Production</v>
      </c>
      <c r="P493" s="37" t="str">
        <f aca="false">IF($M493="","",IFERROR(IF(INDEX(Settings!$B$41:$B$50,MATCH(O493,Settings!$A$41:$A$50,0))&amp;""="","UNMAPPED",INDEX(Settings!$B$41:$B$50,MATCH(O493,Settings!$A$41:$A$50,0))&amp;""),"UNMAPPED"))</f>
        <v>Production</v>
      </c>
      <c r="Q493" s="38" t="n">
        <f aca="false">IF($M493="",0,N(INDEX($A493:$J493,$Q$6)))</f>
        <v>4757</v>
      </c>
      <c r="R493" s="39" t="n">
        <f aca="false">IF($M493="","",INDEX($A493:$J493,$R$6))</f>
        <v>45985</v>
      </c>
      <c r="S493" s="37" t="str">
        <f aca="false">IF($M493="","",IFERROR(INDEX(Settings!$B$27:$B$36,MATCH(L493,Settings!$A$27:$A$36,0))&amp;"","UNMAPPED"))</f>
        <v>Won</v>
      </c>
      <c r="T493" s="37" t="str">
        <f aca="false">IF($M493="","",IF(NOT(ISNUMBER(R493)),"NO DATE",IF(S493="Won",IF(R493&gt;Settings!$B$5,"Backlog","Delivered"),IF(S493="Open",IF(R493&gt;Settings!$B$5,"Pipeline","Overdue"),IF(S493="Lost","Lost","UNMAPPED")))))</f>
        <v>Delivered</v>
      </c>
      <c r="U493" s="40" t="n">
        <f aca="false">IF(T493="Backlog",1,IF(OR(T493="Pipeline",T493="Overdue"),N(INDEX(Settings!$C$27:$C$36,MATCH(L493,Settings!$A$27:$A$36,0))),0))</f>
        <v>0</v>
      </c>
      <c r="V493" s="38" t="n">
        <f aca="false">Q493*U493</f>
        <v>0</v>
      </c>
      <c r="W493" s="41" t="n">
        <f aca="false">IF($M493="","",IF(T493="Overdue",IF(Settings!$B$8="Yes",Settings!$B$7,""),IF(ISNUMBER(R493),DATE(YEAR(R493),MONTH(R493),1),"")))</f>
        <v>45962</v>
      </c>
      <c r="X493" s="38" t="n">
        <f aca="false">IF(AND(OR(T493="Backlog",T493="Pipeline",T493="Overdue"),ISNUMBER(W493)),IF(W493&lt;=Settings!$B$6,V493,0),0)</f>
        <v>0</v>
      </c>
      <c r="Y493" s="38" t="n">
        <f aca="false">IF(AND(OR(T493="Backlog",T493="Pipeline",T493="Overdue"),ISNUMBER(W493)),IF(W493&lt;=Settings!$B$6,Q493,0),0)</f>
        <v>0</v>
      </c>
      <c r="Z493" s="38" t="n">
        <f aca="false">IF(Y493=0,0,IF(T493="Backlog",Q493,Q493*Dashboard!$C$10))</f>
        <v>0</v>
      </c>
      <c r="AA493" s="37" t="n">
        <f aca="false">IF($N493="",0,IF(COUNTIF(Dashboard!$C$13:$C$22,$N493)&gt;0,1,0))</f>
        <v>0</v>
      </c>
      <c r="AB493" s="37" t="str">
        <f aca="false">IF($N493="","",IF(COUNTIF($N$8:$N493,$N493)=1,MAX($AB$7:$AB492)+1,""))</f>
        <v/>
      </c>
    </row>
    <row r="494" customFormat="false" ht="15" hidden="false" customHeight="false" outlineLevel="0" collapsed="false">
      <c r="B494" s="32" t="s">
        <v>1208</v>
      </c>
      <c r="C494" s="32" t="s">
        <v>281</v>
      </c>
      <c r="D494" s="35" t="n">
        <v>2881</v>
      </c>
      <c r="E494" s="32" t="s">
        <v>145</v>
      </c>
      <c r="F494" s="36" t="n">
        <v>46176</v>
      </c>
      <c r="G494" s="32" t="s">
        <v>1209</v>
      </c>
      <c r="L494" s="37" t="str">
        <f aca="false">IF(INDEX($A494:$J494,$L$6)&lt;&gt;"",TRIM(LEFT(INDEX($A494:$J494,$L$6),FIND("(",INDEX($A494:$J494,$L$6)&amp;"(")-1)),L493)</f>
        <v>Closed Won</v>
      </c>
      <c r="M494" s="37" t="str">
        <f aca="false">IF(INDEX($A494:$J494,$M$6)="","",INDEX($A494:$J494,$M$6)&amp;"")</f>
        <v>RSNSW Ordinary General Meeting 3.6.26</v>
      </c>
      <c r="N494" s="37" t="str">
        <f aca="false">IF($M494="","",TRIM(INDEX($A494:$J494,$N$6)&amp;""))</f>
        <v>The Royal Society of New South Wales</v>
      </c>
      <c r="O494" s="37" t="str">
        <f aca="false">IF($M494="","",TRIM(INDEX($A494:$J494,$O$6)&amp;""))</f>
        <v>Event Production</v>
      </c>
      <c r="P494" s="37" t="str">
        <f aca="false">IF($M494="","",IFERROR(IF(INDEX(Settings!$B$41:$B$50,MATCH(O494,Settings!$A$41:$A$50,0))&amp;""="","UNMAPPED",INDEX(Settings!$B$41:$B$50,MATCH(O494,Settings!$A$41:$A$50,0))&amp;""),"UNMAPPED"))</f>
        <v>Production</v>
      </c>
      <c r="Q494" s="38" t="n">
        <f aca="false">IF($M494="",0,N(INDEX($A494:$J494,$Q$6)))</f>
        <v>2881</v>
      </c>
      <c r="R494" s="39" t="n">
        <f aca="false">IF($M494="","",INDEX($A494:$J494,$R$6))</f>
        <v>46176</v>
      </c>
      <c r="S494" s="37" t="str">
        <f aca="false">IF($M494="","",IFERROR(INDEX(Settings!$B$27:$B$36,MATCH(L494,Settings!$A$27:$A$36,0))&amp;"","UNMAPPED"))</f>
        <v>Won</v>
      </c>
      <c r="T494" s="37" t="str">
        <f aca="false">IF($M494="","",IF(NOT(ISNUMBER(R494)),"NO DATE",IF(S494="Won",IF(R494&gt;Settings!$B$5,"Backlog","Delivered"),IF(S494="Open",IF(R494&gt;Settings!$B$5,"Pipeline","Overdue"),IF(S494="Lost","Lost","UNMAPPED")))))</f>
        <v>Delivered</v>
      </c>
      <c r="U494" s="40" t="n">
        <f aca="false">IF(T494="Backlog",1,IF(OR(T494="Pipeline",T494="Overdue"),N(INDEX(Settings!$C$27:$C$36,MATCH(L494,Settings!$A$27:$A$36,0))),0))</f>
        <v>0</v>
      </c>
      <c r="V494" s="38" t="n">
        <f aca="false">Q494*U494</f>
        <v>0</v>
      </c>
      <c r="W494" s="41" t="n">
        <f aca="false">IF($M494="","",IF(T494="Overdue",IF(Settings!$B$8="Yes",Settings!$B$7,""),IF(ISNUMBER(R494),DATE(YEAR(R494),MONTH(R494),1),"")))</f>
        <v>46174</v>
      </c>
      <c r="X494" s="38" t="n">
        <f aca="false">IF(AND(OR(T494="Backlog",T494="Pipeline",T494="Overdue"),ISNUMBER(W494)),IF(W494&lt;=Settings!$B$6,V494,0),0)</f>
        <v>0</v>
      </c>
      <c r="Y494" s="38" t="n">
        <f aca="false">IF(AND(OR(T494="Backlog",T494="Pipeline",T494="Overdue"),ISNUMBER(W494)),IF(W494&lt;=Settings!$B$6,Q494,0),0)</f>
        <v>0</v>
      </c>
      <c r="Z494" s="38" t="n">
        <f aca="false">IF(Y494=0,0,IF(T494="Backlog",Q494,Q494*Dashboard!$C$10))</f>
        <v>0</v>
      </c>
      <c r="AA494" s="37" t="n">
        <f aca="false">IF($N494="",0,IF(COUNTIF(Dashboard!$C$13:$C$22,$N494)&gt;0,1,0))</f>
        <v>0</v>
      </c>
      <c r="AB494" s="37" t="str">
        <f aca="false">IF($N494="","",IF(COUNTIF($N$8:$N494,$N494)=1,MAX($AB$7:$AB493)+1,""))</f>
        <v/>
      </c>
    </row>
    <row r="495" customFormat="false" ht="15" hidden="false" customHeight="false" outlineLevel="0" collapsed="false">
      <c r="B495" s="32" t="s">
        <v>1210</v>
      </c>
      <c r="C495" s="32" t="s">
        <v>227</v>
      </c>
      <c r="D495" s="35" t="n">
        <v>0</v>
      </c>
      <c r="E495" s="32" t="s">
        <v>208</v>
      </c>
      <c r="F495" s="36" t="n">
        <v>46185</v>
      </c>
      <c r="G495" s="32" t="s">
        <v>1211</v>
      </c>
      <c r="L495" s="37" t="str">
        <f aca="false">IF(INDEX($A495:$J495,$L$6)&lt;&gt;"",TRIM(LEFT(INDEX($A495:$J495,$L$6),FIND("(",INDEX($A495:$J495,$L$6)&amp;"(")-1)),L494)</f>
        <v>Closed Won</v>
      </c>
      <c r="M495" s="37" t="str">
        <f aca="false">IF(INDEX($A495:$J495,$M$6)="","",INDEX($A495:$J495,$M$6)&amp;"")</f>
        <v>St Catherines Case Study Video</v>
      </c>
      <c r="N495" s="37" t="str">
        <f aca="false">IF($M495="","",TRIM(INDEX($A495:$J495,$N$6)&amp;""))</f>
        <v>St Catherine's School</v>
      </c>
      <c r="O495" s="37" t="str">
        <f aca="false">IF($M495="","",TRIM(INDEX($A495:$J495,$O$6)&amp;""))</f>
        <v>Video Production</v>
      </c>
      <c r="P495" s="37" t="str">
        <f aca="false">IF($M495="","",IFERROR(IF(INDEX(Settings!$B$41:$B$50,MATCH(O495,Settings!$A$41:$A$50,0))&amp;""="","UNMAPPED",INDEX(Settings!$B$41:$B$50,MATCH(O495,Settings!$A$41:$A$50,0))&amp;""),"UNMAPPED"))</f>
        <v>Video</v>
      </c>
      <c r="Q495" s="38" t="n">
        <f aca="false">IF($M495="",0,N(INDEX($A495:$J495,$Q$6)))</f>
        <v>0</v>
      </c>
      <c r="R495" s="39" t="n">
        <f aca="false">IF($M495="","",INDEX($A495:$J495,$R$6))</f>
        <v>46185</v>
      </c>
      <c r="S495" s="37" t="str">
        <f aca="false">IF($M495="","",IFERROR(INDEX(Settings!$B$27:$B$36,MATCH(L495,Settings!$A$27:$A$36,0))&amp;"","UNMAPPED"))</f>
        <v>Won</v>
      </c>
      <c r="T495" s="37" t="str">
        <f aca="false">IF($M495="","",IF(NOT(ISNUMBER(R495)),"NO DATE",IF(S495="Won",IF(R495&gt;Settings!$B$5,"Backlog","Delivered"),IF(S495="Open",IF(R495&gt;Settings!$B$5,"Pipeline","Overdue"),IF(S495="Lost","Lost","UNMAPPED")))))</f>
        <v>Delivered</v>
      </c>
      <c r="U495" s="40" t="n">
        <f aca="false">IF(T495="Backlog",1,IF(OR(T495="Pipeline",T495="Overdue"),N(INDEX(Settings!$C$27:$C$36,MATCH(L495,Settings!$A$27:$A$36,0))),0))</f>
        <v>0</v>
      </c>
      <c r="V495" s="38" t="n">
        <f aca="false">Q495*U495</f>
        <v>0</v>
      </c>
      <c r="W495" s="41" t="n">
        <f aca="false">IF($M495="","",IF(T495="Overdue",IF(Settings!$B$8="Yes",Settings!$B$7,""),IF(ISNUMBER(R495),DATE(YEAR(R495),MONTH(R495),1),"")))</f>
        <v>46174</v>
      </c>
      <c r="X495" s="38" t="n">
        <f aca="false">IF(AND(OR(T495="Backlog",T495="Pipeline",T495="Overdue"),ISNUMBER(W495)),IF(W495&lt;=Settings!$B$6,V495,0),0)</f>
        <v>0</v>
      </c>
      <c r="Y495" s="38" t="n">
        <f aca="false">IF(AND(OR(T495="Backlog",T495="Pipeline",T495="Overdue"),ISNUMBER(W495)),IF(W495&lt;=Settings!$B$6,Q495,0),0)</f>
        <v>0</v>
      </c>
      <c r="Z495" s="38" t="n">
        <f aca="false">IF(Y495=0,0,IF(T495="Backlog",Q495,Q495*Dashboard!$C$10))</f>
        <v>0</v>
      </c>
      <c r="AA495" s="37" t="n">
        <f aca="false">IF($N495="",0,IF(COUNTIF(Dashboard!$C$13:$C$22,$N495)&gt;0,1,0))</f>
        <v>0</v>
      </c>
      <c r="AB495" s="37" t="str">
        <f aca="false">IF($N495="","",IF(COUNTIF($N$8:$N495,$N495)=1,MAX($AB$7:$AB494)+1,""))</f>
        <v/>
      </c>
    </row>
    <row r="496" customFormat="false" ht="15" hidden="false" customHeight="false" outlineLevel="0" collapsed="false">
      <c r="B496" s="32" t="s">
        <v>1212</v>
      </c>
      <c r="C496" s="32" t="s">
        <v>191</v>
      </c>
      <c r="D496" s="35" t="n">
        <v>12170</v>
      </c>
      <c r="E496" s="32" t="s">
        <v>145</v>
      </c>
      <c r="F496" s="36" t="n">
        <v>46246</v>
      </c>
      <c r="G496" s="32" t="s">
        <v>1213</v>
      </c>
      <c r="L496" s="37" t="str">
        <f aca="false">IF(INDEX($A496:$J496,$L$6)&lt;&gt;"",TRIM(LEFT(INDEX($A496:$J496,$L$6),FIND("(",INDEX($A496:$J496,$L$6)&amp;"(")-1)),L495)</f>
        <v>Closed Won</v>
      </c>
      <c r="M496" s="37" t="str">
        <f aca="false">IF(INDEX($A496:$J496,$M$6)="","",INDEX($A496:$J496,$M$6)&amp;"")</f>
        <v>CBA - FYR26 - 12.8.26</v>
      </c>
      <c r="N496" s="37" t="str">
        <f aca="false">IF($M496="","",TRIM(INDEX($A496:$J496,$N$6)&amp;""))</f>
        <v>Commonwealth Bank Australia (CBA)</v>
      </c>
      <c r="O496" s="37" t="str">
        <f aca="false">IF($M496="","",TRIM(INDEX($A496:$J496,$O$6)&amp;""))</f>
        <v>Event Production</v>
      </c>
      <c r="P496" s="37" t="str">
        <f aca="false">IF($M496="","",IFERROR(IF(INDEX(Settings!$B$41:$B$50,MATCH(O496,Settings!$A$41:$A$50,0))&amp;""="","UNMAPPED",INDEX(Settings!$B$41:$B$50,MATCH(O496,Settings!$A$41:$A$50,0))&amp;""),"UNMAPPED"))</f>
        <v>Production</v>
      </c>
      <c r="Q496" s="38" t="n">
        <f aca="false">IF($M496="",0,N(INDEX($A496:$J496,$Q$6)))</f>
        <v>12170</v>
      </c>
      <c r="R496" s="39" t="n">
        <f aca="false">IF($M496="","",INDEX($A496:$J496,$R$6))</f>
        <v>46246</v>
      </c>
      <c r="S496" s="37" t="str">
        <f aca="false">IF($M496="","",IFERROR(INDEX(Settings!$B$27:$B$36,MATCH(L496,Settings!$A$27:$A$36,0))&amp;"","UNMAPPED"))</f>
        <v>Won</v>
      </c>
      <c r="T496" s="37" t="str">
        <f aca="false">IF($M496="","",IF(NOT(ISNUMBER(R496)),"NO DATE",IF(S496="Won",IF(R496&gt;Settings!$B$5,"Backlog","Delivered"),IF(S496="Open",IF(R496&gt;Settings!$B$5,"Pipeline","Overdue"),IF(S496="Lost","Lost","UNMAPPED")))))</f>
        <v>Delivered</v>
      </c>
      <c r="U496" s="40" t="n">
        <f aca="false">IF(T496="Backlog",1,IF(OR(T496="Pipeline",T496="Overdue"),N(INDEX(Settings!$C$27:$C$36,MATCH(L496,Settings!$A$27:$A$36,0))),0))</f>
        <v>0</v>
      </c>
      <c r="V496" s="38" t="n">
        <f aca="false">Q496*U496</f>
        <v>0</v>
      </c>
      <c r="W496" s="41" t="n">
        <f aca="false">IF($M496="","",IF(T496="Overdue",IF(Settings!$B$8="Yes",Settings!$B$7,""),IF(ISNUMBER(R496),DATE(YEAR(R496),MONTH(R496),1),"")))</f>
        <v>46235</v>
      </c>
      <c r="X496" s="38" t="n">
        <f aca="false">IF(AND(OR(T496="Backlog",T496="Pipeline",T496="Overdue"),ISNUMBER(W496)),IF(W496&lt;=Settings!$B$6,V496,0),0)</f>
        <v>0</v>
      </c>
      <c r="Y496" s="38" t="n">
        <f aca="false">IF(AND(OR(T496="Backlog",T496="Pipeline",T496="Overdue"),ISNUMBER(W496)),IF(W496&lt;=Settings!$B$6,Q496,0),0)</f>
        <v>0</v>
      </c>
      <c r="Z496" s="38" t="n">
        <f aca="false">IF(Y496=0,0,IF(T496="Backlog",Q496,Q496*Dashboard!$C$10))</f>
        <v>0</v>
      </c>
      <c r="AA496" s="37" t="n">
        <f aca="false">IF($N496="",0,IF(COUNTIF(Dashboard!$C$13:$C$22,$N496)&gt;0,1,0))</f>
        <v>0</v>
      </c>
      <c r="AB496" s="37" t="str">
        <f aca="false">IF($N496="","",IF(COUNTIF($N$8:$N496,$N496)=1,MAX($AB$7:$AB495)+1,""))</f>
        <v/>
      </c>
    </row>
    <row r="497" customFormat="false" ht="15" hidden="false" customHeight="false" outlineLevel="0" collapsed="false">
      <c r="B497" s="32" t="s">
        <v>1214</v>
      </c>
      <c r="C497" s="32" t="s">
        <v>205</v>
      </c>
      <c r="D497" s="35" t="n">
        <v>892</v>
      </c>
      <c r="E497" s="32" t="s">
        <v>180</v>
      </c>
      <c r="F497" s="36" t="n">
        <v>46149</v>
      </c>
      <c r="G497" s="32" t="s">
        <v>1215</v>
      </c>
      <c r="L497" s="37" t="str">
        <f aca="false">IF(INDEX($A497:$J497,$L$6)&lt;&gt;"",TRIM(LEFT(INDEX($A497:$J497,$L$6),FIND("(",INDEX($A497:$J497,$L$6)&amp;"(")-1)),L496)</f>
        <v>Closed Won</v>
      </c>
      <c r="M497" s="37" t="str">
        <f aca="false">IF(INDEX($A497:$J497,$M$6)="","",INDEX($A497:$J497,$M$6)&amp;"")</f>
        <v>Deloitte Tech Support -2026 ESNSW CBA Forum_2605706</v>
      </c>
      <c r="N497" s="37" t="str">
        <f aca="false">IF($M497="","",TRIM(INDEX($A497:$J497,$N$6)&amp;""))</f>
        <v>Deloitte - Sydney</v>
      </c>
      <c r="O497" s="37" t="str">
        <f aca="false">IF($M497="","",TRIM(INDEX($A497:$J497,$O$6)&amp;""))</f>
        <v>Support</v>
      </c>
      <c r="P497" s="37" t="str">
        <f aca="false">IF($M497="","",IFERROR(IF(INDEX(Settings!$B$41:$B$50,MATCH(O497,Settings!$A$41:$A$50,0))&amp;""="","UNMAPPED",INDEX(Settings!$B$41:$B$50,MATCH(O497,Settings!$A$41:$A$50,0))&amp;""),"UNMAPPED"))</f>
        <v>Onsite</v>
      </c>
      <c r="Q497" s="38" t="n">
        <f aca="false">IF($M497="",0,N(INDEX($A497:$J497,$Q$6)))</f>
        <v>892</v>
      </c>
      <c r="R497" s="39" t="n">
        <f aca="false">IF($M497="","",INDEX($A497:$J497,$R$6))</f>
        <v>46149</v>
      </c>
      <c r="S497" s="37" t="str">
        <f aca="false">IF($M497="","",IFERROR(INDEX(Settings!$B$27:$B$36,MATCH(L497,Settings!$A$27:$A$36,0))&amp;"","UNMAPPED"))</f>
        <v>Won</v>
      </c>
      <c r="T497" s="37" t="str">
        <f aca="false">IF($M497="","",IF(NOT(ISNUMBER(R497)),"NO DATE",IF(S497="Won",IF(R497&gt;Settings!$B$5,"Backlog","Delivered"),IF(S497="Open",IF(R497&gt;Settings!$B$5,"Pipeline","Overdue"),IF(S497="Lost","Lost","UNMAPPED")))))</f>
        <v>Delivered</v>
      </c>
      <c r="U497" s="40" t="n">
        <f aca="false">IF(T497="Backlog",1,IF(OR(T497="Pipeline",T497="Overdue"),N(INDEX(Settings!$C$27:$C$36,MATCH(L497,Settings!$A$27:$A$36,0))),0))</f>
        <v>0</v>
      </c>
      <c r="V497" s="38" t="n">
        <f aca="false">Q497*U497</f>
        <v>0</v>
      </c>
      <c r="W497" s="41" t="n">
        <f aca="false">IF($M497="","",IF(T497="Overdue",IF(Settings!$B$8="Yes",Settings!$B$7,""),IF(ISNUMBER(R497),DATE(YEAR(R497),MONTH(R497),1),"")))</f>
        <v>46143</v>
      </c>
      <c r="X497" s="38" t="n">
        <f aca="false">IF(AND(OR(T497="Backlog",T497="Pipeline",T497="Overdue"),ISNUMBER(W497)),IF(W497&lt;=Settings!$B$6,V497,0),0)</f>
        <v>0</v>
      </c>
      <c r="Y497" s="38" t="n">
        <f aca="false">IF(AND(OR(T497="Backlog",T497="Pipeline",T497="Overdue"),ISNUMBER(W497)),IF(W497&lt;=Settings!$B$6,Q497,0),0)</f>
        <v>0</v>
      </c>
      <c r="Z497" s="38" t="n">
        <f aca="false">IF(Y497=0,0,IF(T497="Backlog",Q497,Q497*Dashboard!$C$10))</f>
        <v>0</v>
      </c>
      <c r="AA497" s="37" t="n">
        <f aca="false">IF($N497="",0,IF(COUNTIF(Dashboard!$C$13:$C$22,$N497)&gt;0,1,0))</f>
        <v>0</v>
      </c>
      <c r="AB497" s="37" t="str">
        <f aca="false">IF($N497="","",IF(COUNTIF($N$8:$N497,$N497)=1,MAX($AB$7:$AB496)+1,""))</f>
        <v/>
      </c>
    </row>
    <row r="498" customFormat="false" ht="15" hidden="false" customHeight="false" outlineLevel="0" collapsed="false">
      <c r="B498" s="32" t="s">
        <v>1216</v>
      </c>
      <c r="C498" s="32" t="s">
        <v>217</v>
      </c>
      <c r="D498" s="35" t="n">
        <v>940</v>
      </c>
      <c r="E498" s="32" t="s">
        <v>145</v>
      </c>
      <c r="F498" s="36" t="n">
        <v>46239</v>
      </c>
      <c r="G498" s="32" t="s">
        <v>1217</v>
      </c>
      <c r="L498" s="37" t="str">
        <f aca="false">IF(INDEX($A498:$J498,$L$6)&lt;&gt;"",TRIM(LEFT(INDEX($A498:$J498,$L$6),FIND("(",INDEX($A498:$J498,$L$6)&amp;"(")-1)),L497)</f>
        <v>Closed Won</v>
      </c>
      <c r="M498" s="37" t="str">
        <f aca="false">IF(INDEX($A498:$J498,$M$6)="","",INDEX($A498:$J498,$M$6)&amp;"")</f>
        <v>Garvan - Suttons Event - 15.10.26</v>
      </c>
      <c r="N498" s="37" t="str">
        <f aca="false">IF($M498="","",TRIM(INDEX($A498:$J498,$N$6)&amp;""))</f>
        <v>Garvan Institute of Medical Research</v>
      </c>
      <c r="O498" s="37" t="str">
        <f aca="false">IF($M498="","",TRIM(INDEX($A498:$J498,$O$6)&amp;""))</f>
        <v>Event Production</v>
      </c>
      <c r="P498" s="37" t="str">
        <f aca="false">IF($M498="","",IFERROR(IF(INDEX(Settings!$B$41:$B$50,MATCH(O498,Settings!$A$41:$A$50,0))&amp;""="","UNMAPPED",INDEX(Settings!$B$41:$B$50,MATCH(O498,Settings!$A$41:$A$50,0))&amp;""),"UNMAPPED"))</f>
        <v>Production</v>
      </c>
      <c r="Q498" s="38" t="n">
        <f aca="false">IF($M498="",0,N(INDEX($A498:$J498,$Q$6)))</f>
        <v>940</v>
      </c>
      <c r="R498" s="39" t="n">
        <f aca="false">IF($M498="","",INDEX($A498:$J498,$R$6))</f>
        <v>46239</v>
      </c>
      <c r="S498" s="37" t="str">
        <f aca="false">IF($M498="","",IFERROR(INDEX(Settings!$B$27:$B$36,MATCH(L498,Settings!$A$27:$A$36,0))&amp;"","UNMAPPED"))</f>
        <v>Won</v>
      </c>
      <c r="T498" s="37" t="str">
        <f aca="false">IF($M498="","",IF(NOT(ISNUMBER(R498)),"NO DATE",IF(S498="Won",IF(R498&gt;Settings!$B$5,"Backlog","Delivered"),IF(S498="Open",IF(R498&gt;Settings!$B$5,"Pipeline","Overdue"),IF(S498="Lost","Lost","UNMAPPED")))))</f>
        <v>Delivered</v>
      </c>
      <c r="U498" s="40" t="n">
        <f aca="false">IF(T498="Backlog",1,IF(OR(T498="Pipeline",T498="Overdue"),N(INDEX(Settings!$C$27:$C$36,MATCH(L498,Settings!$A$27:$A$36,0))),0))</f>
        <v>0</v>
      </c>
      <c r="V498" s="38" t="n">
        <f aca="false">Q498*U498</f>
        <v>0</v>
      </c>
      <c r="W498" s="41" t="n">
        <f aca="false">IF($M498="","",IF(T498="Overdue",IF(Settings!$B$8="Yes",Settings!$B$7,""),IF(ISNUMBER(R498),DATE(YEAR(R498),MONTH(R498),1),"")))</f>
        <v>46235</v>
      </c>
      <c r="X498" s="38" t="n">
        <f aca="false">IF(AND(OR(T498="Backlog",T498="Pipeline",T498="Overdue"),ISNUMBER(W498)),IF(W498&lt;=Settings!$B$6,V498,0),0)</f>
        <v>0</v>
      </c>
      <c r="Y498" s="38" t="n">
        <f aca="false">IF(AND(OR(T498="Backlog",T498="Pipeline",T498="Overdue"),ISNUMBER(W498)),IF(W498&lt;=Settings!$B$6,Q498,0),0)</f>
        <v>0</v>
      </c>
      <c r="Z498" s="38" t="n">
        <f aca="false">IF(Y498=0,0,IF(T498="Backlog",Q498,Q498*Dashboard!$C$10))</f>
        <v>0</v>
      </c>
      <c r="AA498" s="37" t="n">
        <f aca="false">IF($N498="",0,IF(COUNTIF(Dashboard!$C$13:$C$22,$N498)&gt;0,1,0))</f>
        <v>0</v>
      </c>
      <c r="AB498" s="37" t="str">
        <f aca="false">IF($N498="","",IF(COUNTIF($N$8:$N498,$N498)=1,MAX($AB$7:$AB497)+1,""))</f>
        <v/>
      </c>
    </row>
    <row r="499" customFormat="false" ht="15" hidden="false" customHeight="false" outlineLevel="0" collapsed="false">
      <c r="B499" s="32" t="s">
        <v>1218</v>
      </c>
      <c r="C499" s="32" t="s">
        <v>253</v>
      </c>
      <c r="D499" s="35" t="n">
        <v>1279</v>
      </c>
      <c r="E499" s="32" t="s">
        <v>145</v>
      </c>
      <c r="F499" s="36" t="n">
        <v>45938</v>
      </c>
      <c r="G499" s="32" t="s">
        <v>1219</v>
      </c>
      <c r="L499" s="37" t="str">
        <f aca="false">IF(INDEX($A499:$J499,$L$6)&lt;&gt;"",TRIM(LEFT(INDEX($A499:$J499,$L$6),FIND("(",INDEX($A499:$J499,$L$6)&amp;"(")-1)),L498)</f>
        <v>Closed Won</v>
      </c>
      <c r="M499" s="37" t="str">
        <f aca="false">IF(INDEX($A499:$J499,$M$6)="","",INDEX($A499:$J499,$M$6)&amp;"")</f>
        <v>CHESS Replace Comm 8.10.25</v>
      </c>
      <c r="N499" s="37" t="str">
        <f aca="false">IF($M499="","",TRIM(INDEX($A499:$J499,$N$6)&amp;""))</f>
        <v>ASX Australian Securities Exchange</v>
      </c>
      <c r="O499" s="37" t="str">
        <f aca="false">IF($M499="","",TRIM(INDEX($A499:$J499,$O$6)&amp;""))</f>
        <v>Event Production</v>
      </c>
      <c r="P499" s="37" t="str">
        <f aca="false">IF($M499="","",IFERROR(IF(INDEX(Settings!$B$41:$B$50,MATCH(O499,Settings!$A$41:$A$50,0))&amp;""="","UNMAPPED",INDEX(Settings!$B$41:$B$50,MATCH(O499,Settings!$A$41:$A$50,0))&amp;""),"UNMAPPED"))</f>
        <v>Production</v>
      </c>
      <c r="Q499" s="38" t="n">
        <f aca="false">IF($M499="",0,N(INDEX($A499:$J499,$Q$6)))</f>
        <v>1279</v>
      </c>
      <c r="R499" s="39" t="n">
        <f aca="false">IF($M499="","",INDEX($A499:$J499,$R$6))</f>
        <v>45938</v>
      </c>
      <c r="S499" s="37" t="str">
        <f aca="false">IF($M499="","",IFERROR(INDEX(Settings!$B$27:$B$36,MATCH(L499,Settings!$A$27:$A$36,0))&amp;"","UNMAPPED"))</f>
        <v>Won</v>
      </c>
      <c r="T499" s="37" t="str">
        <f aca="false">IF($M499="","",IF(NOT(ISNUMBER(R499)),"NO DATE",IF(S499="Won",IF(R499&gt;Settings!$B$5,"Backlog","Delivered"),IF(S499="Open",IF(R499&gt;Settings!$B$5,"Pipeline","Overdue"),IF(S499="Lost","Lost","UNMAPPED")))))</f>
        <v>Delivered</v>
      </c>
      <c r="U499" s="40" t="n">
        <f aca="false">IF(T499="Backlog",1,IF(OR(T499="Pipeline",T499="Overdue"),N(INDEX(Settings!$C$27:$C$36,MATCH(L499,Settings!$A$27:$A$36,0))),0))</f>
        <v>0</v>
      </c>
      <c r="V499" s="38" t="n">
        <f aca="false">Q499*U499</f>
        <v>0</v>
      </c>
      <c r="W499" s="41" t="n">
        <f aca="false">IF($M499="","",IF(T499="Overdue",IF(Settings!$B$8="Yes",Settings!$B$7,""),IF(ISNUMBER(R499),DATE(YEAR(R499),MONTH(R499),1),"")))</f>
        <v>45931</v>
      </c>
      <c r="X499" s="38" t="n">
        <f aca="false">IF(AND(OR(T499="Backlog",T499="Pipeline",T499="Overdue"),ISNUMBER(W499)),IF(W499&lt;=Settings!$B$6,V499,0),0)</f>
        <v>0</v>
      </c>
      <c r="Y499" s="38" t="n">
        <f aca="false">IF(AND(OR(T499="Backlog",T499="Pipeline",T499="Overdue"),ISNUMBER(W499)),IF(W499&lt;=Settings!$B$6,Q499,0),0)</f>
        <v>0</v>
      </c>
      <c r="Z499" s="38" t="n">
        <f aca="false">IF(Y499=0,0,IF(T499="Backlog",Q499,Q499*Dashboard!$C$10))</f>
        <v>0</v>
      </c>
      <c r="AA499" s="37" t="n">
        <f aca="false">IF($N499="",0,IF(COUNTIF(Dashboard!$C$13:$C$22,$N499)&gt;0,1,0))</f>
        <v>0</v>
      </c>
      <c r="AB499" s="37" t="str">
        <f aca="false">IF($N499="","",IF(COUNTIF($N$8:$N499,$N499)=1,MAX($AB$7:$AB498)+1,""))</f>
        <v/>
      </c>
    </row>
    <row r="500" customFormat="false" ht="15" hidden="false" customHeight="false" outlineLevel="0" collapsed="false">
      <c r="B500" s="32" t="s">
        <v>1220</v>
      </c>
      <c r="C500" s="32" t="s">
        <v>194</v>
      </c>
      <c r="D500" s="35" t="n">
        <v>29344</v>
      </c>
      <c r="E500" s="32" t="s">
        <v>145</v>
      </c>
      <c r="F500" s="36" t="n">
        <v>46132</v>
      </c>
      <c r="G500" s="32" t="s">
        <v>1221</v>
      </c>
      <c r="L500" s="37" t="str">
        <f aca="false">IF(INDEX($A500:$J500,$L$6)&lt;&gt;"",TRIM(LEFT(INDEX($A500:$J500,$L$6),FIND("(",INDEX($A500:$J500,$L$6)&amp;"(")-1)),L499)</f>
        <v>Closed Won</v>
      </c>
      <c r="M500" s="37" t="str">
        <f aca="false">IF(INDEX($A500:$J500,$M$6)="","",INDEX($A500:$J500,$M$6)&amp;"")</f>
        <v>Ventia - Investor Day - 4.5.2026</v>
      </c>
      <c r="N500" s="37" t="str">
        <f aca="false">IF($M500="","",TRIM(INDEX($A500:$J500,$N$6)&amp;""))</f>
        <v>Ventia</v>
      </c>
      <c r="O500" s="37" t="str">
        <f aca="false">IF($M500="","",TRIM(INDEX($A500:$J500,$O$6)&amp;""))</f>
        <v>Event Production</v>
      </c>
      <c r="P500" s="37" t="str">
        <f aca="false">IF($M500="","",IFERROR(IF(INDEX(Settings!$B$41:$B$50,MATCH(O500,Settings!$A$41:$A$50,0))&amp;""="","UNMAPPED",INDEX(Settings!$B$41:$B$50,MATCH(O500,Settings!$A$41:$A$50,0))&amp;""),"UNMAPPED"))</f>
        <v>Production</v>
      </c>
      <c r="Q500" s="38" t="n">
        <f aca="false">IF($M500="",0,N(INDEX($A500:$J500,$Q$6)))</f>
        <v>29344</v>
      </c>
      <c r="R500" s="39" t="n">
        <f aca="false">IF($M500="","",INDEX($A500:$J500,$R$6))</f>
        <v>46132</v>
      </c>
      <c r="S500" s="37" t="str">
        <f aca="false">IF($M500="","",IFERROR(INDEX(Settings!$B$27:$B$36,MATCH(L500,Settings!$A$27:$A$36,0))&amp;"","UNMAPPED"))</f>
        <v>Won</v>
      </c>
      <c r="T500" s="37" t="str">
        <f aca="false">IF($M500="","",IF(NOT(ISNUMBER(R500)),"NO DATE",IF(S500="Won",IF(R500&gt;Settings!$B$5,"Backlog","Delivered"),IF(S500="Open",IF(R500&gt;Settings!$B$5,"Pipeline","Overdue"),IF(S500="Lost","Lost","UNMAPPED")))))</f>
        <v>Delivered</v>
      </c>
      <c r="U500" s="40" t="n">
        <f aca="false">IF(T500="Backlog",1,IF(OR(T500="Pipeline",T500="Overdue"),N(INDEX(Settings!$C$27:$C$36,MATCH(L500,Settings!$A$27:$A$36,0))),0))</f>
        <v>0</v>
      </c>
      <c r="V500" s="38" t="n">
        <f aca="false">Q500*U500</f>
        <v>0</v>
      </c>
      <c r="W500" s="41" t="n">
        <f aca="false">IF($M500="","",IF(T500="Overdue",IF(Settings!$B$8="Yes",Settings!$B$7,""),IF(ISNUMBER(R500),DATE(YEAR(R500),MONTH(R500),1),"")))</f>
        <v>46113</v>
      </c>
      <c r="X500" s="38" t="n">
        <f aca="false">IF(AND(OR(T500="Backlog",T500="Pipeline",T500="Overdue"),ISNUMBER(W500)),IF(W500&lt;=Settings!$B$6,V500,0),0)</f>
        <v>0</v>
      </c>
      <c r="Y500" s="38" t="n">
        <f aca="false">IF(AND(OR(T500="Backlog",T500="Pipeline",T500="Overdue"),ISNUMBER(W500)),IF(W500&lt;=Settings!$B$6,Q500,0),0)</f>
        <v>0</v>
      </c>
      <c r="Z500" s="38" t="n">
        <f aca="false">IF(Y500=0,0,IF(T500="Backlog",Q500,Q500*Dashboard!$C$10))</f>
        <v>0</v>
      </c>
      <c r="AA500" s="37" t="n">
        <f aca="false">IF($N500="",0,IF(COUNTIF(Dashboard!$C$13:$C$22,$N500)&gt;0,1,0))</f>
        <v>0</v>
      </c>
      <c r="AB500" s="37" t="str">
        <f aca="false">IF($N500="","",IF(COUNTIF($N$8:$N500,$N500)=1,MAX($AB$7:$AB499)+1,""))</f>
        <v/>
      </c>
    </row>
    <row r="501" customFormat="false" ht="15" hidden="false" customHeight="false" outlineLevel="0" collapsed="false">
      <c r="B501" s="32" t="s">
        <v>1222</v>
      </c>
      <c r="C501" s="32" t="s">
        <v>217</v>
      </c>
      <c r="D501" s="35" t="n">
        <v>940</v>
      </c>
      <c r="E501" s="32" t="s">
        <v>145</v>
      </c>
      <c r="F501" s="36" t="n">
        <v>46115</v>
      </c>
      <c r="G501" s="32" t="s">
        <v>1223</v>
      </c>
      <c r="L501" s="37" t="str">
        <f aca="false">IF(INDEX($A501:$J501,$L$6)&lt;&gt;"",TRIM(LEFT(INDEX($A501:$J501,$L$6),FIND("(",INDEX($A501:$J501,$L$6)&amp;"(")-1)),L500)</f>
        <v>Closed Won</v>
      </c>
      <c r="M501" s="37" t="str">
        <f aca="false">IF(INDEX($A501:$J501,$M$6)="","",INDEX($A501:$J501,$M$6)&amp;"")</f>
        <v>Garvan - April Morning Tea - 10.4.26</v>
      </c>
      <c r="N501" s="37" t="str">
        <f aca="false">IF($M501="","",TRIM(INDEX($A501:$J501,$N$6)&amp;""))</f>
        <v>Garvan Institute of Medical Research</v>
      </c>
      <c r="O501" s="37" t="str">
        <f aca="false">IF($M501="","",TRIM(INDEX($A501:$J501,$O$6)&amp;""))</f>
        <v>Event Production</v>
      </c>
      <c r="P501" s="37" t="str">
        <f aca="false">IF($M501="","",IFERROR(IF(INDEX(Settings!$B$41:$B$50,MATCH(O501,Settings!$A$41:$A$50,0))&amp;""="","UNMAPPED",INDEX(Settings!$B$41:$B$50,MATCH(O501,Settings!$A$41:$A$50,0))&amp;""),"UNMAPPED"))</f>
        <v>Production</v>
      </c>
      <c r="Q501" s="38" t="n">
        <f aca="false">IF($M501="",0,N(INDEX($A501:$J501,$Q$6)))</f>
        <v>940</v>
      </c>
      <c r="R501" s="39" t="n">
        <f aca="false">IF($M501="","",INDEX($A501:$J501,$R$6))</f>
        <v>46115</v>
      </c>
      <c r="S501" s="37" t="str">
        <f aca="false">IF($M501="","",IFERROR(INDEX(Settings!$B$27:$B$36,MATCH(L501,Settings!$A$27:$A$36,0))&amp;"","UNMAPPED"))</f>
        <v>Won</v>
      </c>
      <c r="T501" s="37" t="str">
        <f aca="false">IF($M501="","",IF(NOT(ISNUMBER(R501)),"NO DATE",IF(S501="Won",IF(R501&gt;Settings!$B$5,"Backlog","Delivered"),IF(S501="Open",IF(R501&gt;Settings!$B$5,"Pipeline","Overdue"),IF(S501="Lost","Lost","UNMAPPED")))))</f>
        <v>Delivered</v>
      </c>
      <c r="U501" s="40" t="n">
        <f aca="false">IF(T501="Backlog",1,IF(OR(T501="Pipeline",T501="Overdue"),N(INDEX(Settings!$C$27:$C$36,MATCH(L501,Settings!$A$27:$A$36,0))),0))</f>
        <v>0</v>
      </c>
      <c r="V501" s="38" t="n">
        <f aca="false">Q501*U501</f>
        <v>0</v>
      </c>
      <c r="W501" s="41" t="n">
        <f aca="false">IF($M501="","",IF(T501="Overdue",IF(Settings!$B$8="Yes",Settings!$B$7,""),IF(ISNUMBER(R501),DATE(YEAR(R501),MONTH(R501),1),"")))</f>
        <v>46113</v>
      </c>
      <c r="X501" s="38" t="n">
        <f aca="false">IF(AND(OR(T501="Backlog",T501="Pipeline",T501="Overdue"),ISNUMBER(W501)),IF(W501&lt;=Settings!$B$6,V501,0),0)</f>
        <v>0</v>
      </c>
      <c r="Y501" s="38" t="n">
        <f aca="false">IF(AND(OR(T501="Backlog",T501="Pipeline",T501="Overdue"),ISNUMBER(W501)),IF(W501&lt;=Settings!$B$6,Q501,0),0)</f>
        <v>0</v>
      </c>
      <c r="Z501" s="38" t="n">
        <f aca="false">IF(Y501=0,0,IF(T501="Backlog",Q501,Q501*Dashboard!$C$10))</f>
        <v>0</v>
      </c>
      <c r="AA501" s="37" t="n">
        <f aca="false">IF($N501="",0,IF(COUNTIF(Dashboard!$C$13:$C$22,$N501)&gt;0,1,0))</f>
        <v>0</v>
      </c>
      <c r="AB501" s="37" t="str">
        <f aca="false">IF($N501="","",IF(COUNTIF($N$8:$N501,$N501)=1,MAX($AB$7:$AB500)+1,""))</f>
        <v/>
      </c>
    </row>
    <row r="502" customFormat="false" ht="15" hidden="false" customHeight="false" outlineLevel="0" collapsed="false">
      <c r="B502" s="32" t="s">
        <v>1224</v>
      </c>
      <c r="C502" s="32" t="s">
        <v>276</v>
      </c>
      <c r="D502" s="35" t="n">
        <v>430</v>
      </c>
      <c r="E502" s="32" t="s">
        <v>208</v>
      </c>
      <c r="F502" s="36" t="n">
        <v>45985</v>
      </c>
      <c r="G502" s="32" t="s">
        <v>1225</v>
      </c>
      <c r="L502" s="37" t="str">
        <f aca="false">IF(INDEX($A502:$J502,$L$6)&lt;&gt;"",TRIM(LEFT(INDEX($A502:$J502,$L$6),FIND("(",INDEX($A502:$J502,$L$6)&amp;"(")-1)),L501)</f>
        <v>Closed Won</v>
      </c>
      <c r="M502" s="37" t="str">
        <f aca="false">IF(INDEX($A502:$J502,$M$6)="","",INDEX($A502:$J502,$M$6)&amp;"")</f>
        <v>VEGA - Lighting Hire - 24.11.2025</v>
      </c>
      <c r="N502" s="37" t="str">
        <f aca="false">IF($M502="","",TRIM(INDEX($A502:$J502,$N$6)&amp;""))</f>
        <v>Vega Global</v>
      </c>
      <c r="O502" s="37" t="str">
        <f aca="false">IF($M502="","",TRIM(INDEX($A502:$J502,$O$6)&amp;""))</f>
        <v>Video Production</v>
      </c>
      <c r="P502" s="37" t="str">
        <f aca="false">IF($M502="","",IFERROR(IF(INDEX(Settings!$B$41:$B$50,MATCH(O502,Settings!$A$41:$A$50,0))&amp;""="","UNMAPPED",INDEX(Settings!$B$41:$B$50,MATCH(O502,Settings!$A$41:$A$50,0))&amp;""),"UNMAPPED"))</f>
        <v>Video</v>
      </c>
      <c r="Q502" s="38" t="n">
        <f aca="false">IF($M502="",0,N(INDEX($A502:$J502,$Q$6)))</f>
        <v>430</v>
      </c>
      <c r="R502" s="39" t="n">
        <f aca="false">IF($M502="","",INDEX($A502:$J502,$R$6))</f>
        <v>45985</v>
      </c>
      <c r="S502" s="37" t="str">
        <f aca="false">IF($M502="","",IFERROR(INDEX(Settings!$B$27:$B$36,MATCH(L502,Settings!$A$27:$A$36,0))&amp;"","UNMAPPED"))</f>
        <v>Won</v>
      </c>
      <c r="T502" s="37" t="str">
        <f aca="false">IF($M502="","",IF(NOT(ISNUMBER(R502)),"NO DATE",IF(S502="Won",IF(R502&gt;Settings!$B$5,"Backlog","Delivered"),IF(S502="Open",IF(R502&gt;Settings!$B$5,"Pipeline","Overdue"),IF(S502="Lost","Lost","UNMAPPED")))))</f>
        <v>Delivered</v>
      </c>
      <c r="U502" s="40" t="n">
        <f aca="false">IF(T502="Backlog",1,IF(OR(T502="Pipeline",T502="Overdue"),N(INDEX(Settings!$C$27:$C$36,MATCH(L502,Settings!$A$27:$A$36,0))),0))</f>
        <v>0</v>
      </c>
      <c r="V502" s="38" t="n">
        <f aca="false">Q502*U502</f>
        <v>0</v>
      </c>
      <c r="W502" s="41" t="n">
        <f aca="false">IF($M502="","",IF(T502="Overdue",IF(Settings!$B$8="Yes",Settings!$B$7,""),IF(ISNUMBER(R502),DATE(YEAR(R502),MONTH(R502),1),"")))</f>
        <v>45962</v>
      </c>
      <c r="X502" s="38" t="n">
        <f aca="false">IF(AND(OR(T502="Backlog",T502="Pipeline",T502="Overdue"),ISNUMBER(W502)),IF(W502&lt;=Settings!$B$6,V502,0),0)</f>
        <v>0</v>
      </c>
      <c r="Y502" s="38" t="n">
        <f aca="false">IF(AND(OR(T502="Backlog",T502="Pipeline",T502="Overdue"),ISNUMBER(W502)),IF(W502&lt;=Settings!$B$6,Q502,0),0)</f>
        <v>0</v>
      </c>
      <c r="Z502" s="38" t="n">
        <f aca="false">IF(Y502=0,0,IF(T502="Backlog",Q502,Q502*Dashboard!$C$10))</f>
        <v>0</v>
      </c>
      <c r="AA502" s="37" t="n">
        <f aca="false">IF($N502="",0,IF(COUNTIF(Dashboard!$C$13:$C$22,$N502)&gt;0,1,0))</f>
        <v>0</v>
      </c>
      <c r="AB502" s="37" t="str">
        <f aca="false">IF($N502="","",IF(COUNTIF($N$8:$N502,$N502)=1,MAX($AB$7:$AB501)+1,""))</f>
        <v/>
      </c>
    </row>
    <row r="503" customFormat="false" ht="15" hidden="false" customHeight="false" outlineLevel="0" collapsed="false">
      <c r="B503" s="32" t="s">
        <v>1226</v>
      </c>
      <c r="C503" s="32" t="s">
        <v>211</v>
      </c>
      <c r="D503" s="35"/>
      <c r="E503" s="32" t="s">
        <v>180</v>
      </c>
      <c r="F503" s="36" t="n">
        <v>46083</v>
      </c>
      <c r="G503" s="32" t="s">
        <v>1227</v>
      </c>
      <c r="L503" s="37" t="str">
        <f aca="false">IF(INDEX($A503:$J503,$L$6)&lt;&gt;"",TRIM(LEFT(INDEX($A503:$J503,$L$6),FIND("(",INDEX($A503:$J503,$L$6)&amp;"(")-1)),L502)</f>
        <v>Closed Won</v>
      </c>
      <c r="M503" s="37" t="str">
        <f aca="false">IF(INDEX($A503:$J503,$M$6)="","",INDEX($A503:$J503,$M$6)&amp;"")</f>
        <v>AusPayNet | Quarterly AV Support &amp; Maintenance 2026</v>
      </c>
      <c r="N503" s="37" t="str">
        <f aca="false">IF($M503="","",TRIM(INDEX($A503:$J503,$N$6)&amp;""))</f>
        <v>Australian Payments Network</v>
      </c>
      <c r="O503" s="37" t="str">
        <f aca="false">IF($M503="","",TRIM(INDEX($A503:$J503,$O$6)&amp;""))</f>
        <v>Support</v>
      </c>
      <c r="P503" s="37" t="str">
        <f aca="false">IF($M503="","",IFERROR(IF(INDEX(Settings!$B$41:$B$50,MATCH(O503,Settings!$A$41:$A$50,0))&amp;""="","UNMAPPED",INDEX(Settings!$B$41:$B$50,MATCH(O503,Settings!$A$41:$A$50,0))&amp;""),"UNMAPPED"))</f>
        <v>Onsite</v>
      </c>
      <c r="Q503" s="38" t="n">
        <f aca="false">IF($M503="",0,N(INDEX($A503:$J503,$Q$6)))</f>
        <v>0</v>
      </c>
      <c r="R503" s="39" t="n">
        <f aca="false">IF($M503="","",INDEX($A503:$J503,$R$6))</f>
        <v>46083</v>
      </c>
      <c r="S503" s="37" t="str">
        <f aca="false">IF($M503="","",IFERROR(INDEX(Settings!$B$27:$B$36,MATCH(L503,Settings!$A$27:$A$36,0))&amp;"","UNMAPPED"))</f>
        <v>Won</v>
      </c>
      <c r="T503" s="37" t="str">
        <f aca="false">IF($M503="","",IF(NOT(ISNUMBER(R503)),"NO DATE",IF(S503="Won",IF(R503&gt;Settings!$B$5,"Backlog","Delivered"),IF(S503="Open",IF(R503&gt;Settings!$B$5,"Pipeline","Overdue"),IF(S503="Lost","Lost","UNMAPPED")))))</f>
        <v>Delivered</v>
      </c>
      <c r="U503" s="40" t="n">
        <f aca="false">IF(T503="Backlog",1,IF(OR(T503="Pipeline",T503="Overdue"),N(INDEX(Settings!$C$27:$C$36,MATCH(L503,Settings!$A$27:$A$36,0))),0))</f>
        <v>0</v>
      </c>
      <c r="V503" s="38" t="n">
        <f aca="false">Q503*U503</f>
        <v>0</v>
      </c>
      <c r="W503" s="41" t="n">
        <f aca="false">IF($M503="","",IF(T503="Overdue",IF(Settings!$B$8="Yes",Settings!$B$7,""),IF(ISNUMBER(R503),DATE(YEAR(R503),MONTH(R503),1),"")))</f>
        <v>46082</v>
      </c>
      <c r="X503" s="38" t="n">
        <f aca="false">IF(AND(OR(T503="Backlog",T503="Pipeline",T503="Overdue"),ISNUMBER(W503)),IF(W503&lt;=Settings!$B$6,V503,0),0)</f>
        <v>0</v>
      </c>
      <c r="Y503" s="38" t="n">
        <f aca="false">IF(AND(OR(T503="Backlog",T503="Pipeline",T503="Overdue"),ISNUMBER(W503)),IF(W503&lt;=Settings!$B$6,Q503,0),0)</f>
        <v>0</v>
      </c>
      <c r="Z503" s="38" t="n">
        <f aca="false">IF(Y503=0,0,IF(T503="Backlog",Q503,Q503*Dashboard!$C$10))</f>
        <v>0</v>
      </c>
      <c r="AA503" s="37" t="n">
        <f aca="false">IF($N503="",0,IF(COUNTIF(Dashboard!$C$13:$C$22,$N503)&gt;0,1,0))</f>
        <v>0</v>
      </c>
      <c r="AB503" s="37" t="str">
        <f aca="false">IF($N503="","",IF(COUNTIF($N$8:$N503,$N503)=1,MAX($AB$7:$AB502)+1,""))</f>
        <v/>
      </c>
    </row>
    <row r="504" customFormat="false" ht="15" hidden="false" customHeight="false" outlineLevel="0" collapsed="false">
      <c r="B504" s="32" t="s">
        <v>1228</v>
      </c>
      <c r="C504" s="32" t="s">
        <v>169</v>
      </c>
      <c r="D504" s="35" t="n">
        <v>14500</v>
      </c>
      <c r="E504" s="32" t="s">
        <v>145</v>
      </c>
      <c r="F504" s="36" t="n">
        <v>45974</v>
      </c>
      <c r="G504" s="32" t="s">
        <v>1229</v>
      </c>
      <c r="L504" s="37" t="str">
        <f aca="false">IF(INDEX($A504:$J504,$L$6)&lt;&gt;"",TRIM(LEFT(INDEX($A504:$J504,$L$6),FIND("(",INDEX($A504:$J504,$L$6)&amp;"(")-1)),L503)</f>
        <v>Closed Won</v>
      </c>
      <c r="M504" s="37" t="str">
        <f aca="false">IF(INDEX($A504:$J504,$M$6)="","",INDEX($A504:$J504,$M$6)&amp;"")</f>
        <v>NXT AGM - 13.11.25</v>
      </c>
      <c r="N504" s="37" t="str">
        <f aca="false">IF($M504="","",TRIM(INDEX($A504:$J504,$N$6)&amp;""))</f>
        <v>MUFG IR / Orient Capital</v>
      </c>
      <c r="O504" s="37" t="str">
        <f aca="false">IF($M504="","",TRIM(INDEX($A504:$J504,$O$6)&amp;""))</f>
        <v>Event Production</v>
      </c>
      <c r="P504" s="37" t="str">
        <f aca="false">IF($M504="","",IFERROR(IF(INDEX(Settings!$B$41:$B$50,MATCH(O504,Settings!$A$41:$A$50,0))&amp;""="","UNMAPPED",INDEX(Settings!$B$41:$B$50,MATCH(O504,Settings!$A$41:$A$50,0))&amp;""),"UNMAPPED"))</f>
        <v>Production</v>
      </c>
      <c r="Q504" s="38" t="n">
        <f aca="false">IF($M504="",0,N(INDEX($A504:$J504,$Q$6)))</f>
        <v>14500</v>
      </c>
      <c r="R504" s="39" t="n">
        <f aca="false">IF($M504="","",INDEX($A504:$J504,$R$6))</f>
        <v>45974</v>
      </c>
      <c r="S504" s="37" t="str">
        <f aca="false">IF($M504="","",IFERROR(INDEX(Settings!$B$27:$B$36,MATCH(L504,Settings!$A$27:$A$36,0))&amp;"","UNMAPPED"))</f>
        <v>Won</v>
      </c>
      <c r="T504" s="37" t="str">
        <f aca="false">IF($M504="","",IF(NOT(ISNUMBER(R504)),"NO DATE",IF(S504="Won",IF(R504&gt;Settings!$B$5,"Backlog","Delivered"),IF(S504="Open",IF(R504&gt;Settings!$B$5,"Pipeline","Overdue"),IF(S504="Lost","Lost","UNMAPPED")))))</f>
        <v>Delivered</v>
      </c>
      <c r="U504" s="40" t="n">
        <f aca="false">IF(T504="Backlog",1,IF(OR(T504="Pipeline",T504="Overdue"),N(INDEX(Settings!$C$27:$C$36,MATCH(L504,Settings!$A$27:$A$36,0))),0))</f>
        <v>0</v>
      </c>
      <c r="V504" s="38" t="n">
        <f aca="false">Q504*U504</f>
        <v>0</v>
      </c>
      <c r="W504" s="41" t="n">
        <f aca="false">IF($M504="","",IF(T504="Overdue",IF(Settings!$B$8="Yes",Settings!$B$7,""),IF(ISNUMBER(R504),DATE(YEAR(R504),MONTH(R504),1),"")))</f>
        <v>45962</v>
      </c>
      <c r="X504" s="38" t="n">
        <f aca="false">IF(AND(OR(T504="Backlog",T504="Pipeline",T504="Overdue"),ISNUMBER(W504)),IF(W504&lt;=Settings!$B$6,V504,0),0)</f>
        <v>0</v>
      </c>
      <c r="Y504" s="38" t="n">
        <f aca="false">IF(AND(OR(T504="Backlog",T504="Pipeline",T504="Overdue"),ISNUMBER(W504)),IF(W504&lt;=Settings!$B$6,Q504,0),0)</f>
        <v>0</v>
      </c>
      <c r="Z504" s="38" t="n">
        <f aca="false">IF(Y504=0,0,IF(T504="Backlog",Q504,Q504*Dashboard!$C$10))</f>
        <v>0</v>
      </c>
      <c r="AA504" s="37" t="n">
        <f aca="false">IF($N504="",0,IF(COUNTIF(Dashboard!$C$13:$C$22,$N504)&gt;0,1,0))</f>
        <v>0</v>
      </c>
      <c r="AB504" s="37" t="str">
        <f aca="false">IF($N504="","",IF(COUNTIF($N$8:$N504,$N504)=1,MAX($AB$7:$AB503)+1,""))</f>
        <v/>
      </c>
    </row>
    <row r="505" customFormat="false" ht="15" hidden="false" customHeight="false" outlineLevel="0" collapsed="false">
      <c r="B505" s="32" t="s">
        <v>1230</v>
      </c>
      <c r="C505" s="32" t="s">
        <v>443</v>
      </c>
      <c r="D505" s="35" t="n">
        <v>4614</v>
      </c>
      <c r="E505" s="32" t="s">
        <v>208</v>
      </c>
      <c r="F505" s="36" t="n">
        <v>46170</v>
      </c>
      <c r="G505" s="32" t="s">
        <v>1231</v>
      </c>
      <c r="L505" s="37" t="str">
        <f aca="false">IF(INDEX($A505:$J505,$L$6)&lt;&gt;"",TRIM(LEFT(INDEX($A505:$J505,$L$6),FIND("(",INDEX($A505:$J505,$L$6)&amp;"(")-1)),L504)</f>
        <v>Closed Won</v>
      </c>
      <c r="M505" s="37" t="str">
        <f aca="false">IF(INDEX($A505:$J505,$M$6)="","",INDEX($A505:$J505,$M$6)&amp;"")</f>
        <v>MeetMagic - Human AI Event Highlights Videos</v>
      </c>
      <c r="N505" s="37" t="str">
        <f aca="false">IF($M505="","",TRIM(INDEX($A505:$J505,$N$6)&amp;""))</f>
        <v>Meet Magic</v>
      </c>
      <c r="O505" s="37" t="str">
        <f aca="false">IF($M505="","",TRIM(INDEX($A505:$J505,$O$6)&amp;""))</f>
        <v>Video Production</v>
      </c>
      <c r="P505" s="37" t="str">
        <f aca="false">IF($M505="","",IFERROR(IF(INDEX(Settings!$B$41:$B$50,MATCH(O505,Settings!$A$41:$A$50,0))&amp;""="","UNMAPPED",INDEX(Settings!$B$41:$B$50,MATCH(O505,Settings!$A$41:$A$50,0))&amp;""),"UNMAPPED"))</f>
        <v>Video</v>
      </c>
      <c r="Q505" s="38" t="n">
        <f aca="false">IF($M505="",0,N(INDEX($A505:$J505,$Q$6)))</f>
        <v>4614</v>
      </c>
      <c r="R505" s="39" t="n">
        <f aca="false">IF($M505="","",INDEX($A505:$J505,$R$6))</f>
        <v>46170</v>
      </c>
      <c r="S505" s="37" t="str">
        <f aca="false">IF($M505="","",IFERROR(INDEX(Settings!$B$27:$B$36,MATCH(L505,Settings!$A$27:$A$36,0))&amp;"","UNMAPPED"))</f>
        <v>Won</v>
      </c>
      <c r="T505" s="37" t="str">
        <f aca="false">IF($M505="","",IF(NOT(ISNUMBER(R505)),"NO DATE",IF(S505="Won",IF(R505&gt;Settings!$B$5,"Backlog","Delivered"),IF(S505="Open",IF(R505&gt;Settings!$B$5,"Pipeline","Overdue"),IF(S505="Lost","Lost","UNMAPPED")))))</f>
        <v>Delivered</v>
      </c>
      <c r="U505" s="40" t="n">
        <f aca="false">IF(T505="Backlog",1,IF(OR(T505="Pipeline",T505="Overdue"),N(INDEX(Settings!$C$27:$C$36,MATCH(L505,Settings!$A$27:$A$36,0))),0))</f>
        <v>0</v>
      </c>
      <c r="V505" s="38" t="n">
        <f aca="false">Q505*U505</f>
        <v>0</v>
      </c>
      <c r="W505" s="41" t="n">
        <f aca="false">IF($M505="","",IF(T505="Overdue",IF(Settings!$B$8="Yes",Settings!$B$7,""),IF(ISNUMBER(R505),DATE(YEAR(R505),MONTH(R505),1),"")))</f>
        <v>46143</v>
      </c>
      <c r="X505" s="38" t="n">
        <f aca="false">IF(AND(OR(T505="Backlog",T505="Pipeline",T505="Overdue"),ISNUMBER(W505)),IF(W505&lt;=Settings!$B$6,V505,0),0)</f>
        <v>0</v>
      </c>
      <c r="Y505" s="38" t="n">
        <f aca="false">IF(AND(OR(T505="Backlog",T505="Pipeline",T505="Overdue"),ISNUMBER(W505)),IF(W505&lt;=Settings!$B$6,Q505,0),0)</f>
        <v>0</v>
      </c>
      <c r="Z505" s="38" t="n">
        <f aca="false">IF(Y505=0,0,IF(T505="Backlog",Q505,Q505*Dashboard!$C$10))</f>
        <v>0</v>
      </c>
      <c r="AA505" s="37" t="n">
        <f aca="false">IF($N505="",0,IF(COUNTIF(Dashboard!$C$13:$C$22,$N505)&gt;0,1,0))</f>
        <v>0</v>
      </c>
      <c r="AB505" s="37" t="str">
        <f aca="false">IF($N505="","",IF(COUNTIF($N$8:$N505,$N505)=1,MAX($AB$7:$AB504)+1,""))</f>
        <v/>
      </c>
    </row>
    <row r="506" customFormat="false" ht="15" hidden="false" customHeight="false" outlineLevel="0" collapsed="false">
      <c r="B506" s="32" t="s">
        <v>1232</v>
      </c>
      <c r="C506" s="32" t="s">
        <v>267</v>
      </c>
      <c r="D506" s="35" t="n">
        <v>950</v>
      </c>
      <c r="E506" s="32" t="s">
        <v>145</v>
      </c>
      <c r="F506" s="36" t="n">
        <v>45911</v>
      </c>
      <c r="G506" s="32" t="s">
        <v>1233</v>
      </c>
      <c r="L506" s="37" t="str">
        <f aca="false">IF(INDEX($A506:$J506,$L$6)&lt;&gt;"",TRIM(LEFT(INDEX($A506:$J506,$L$6),FIND("(",INDEX($A506:$J506,$L$6)&amp;"(")-1)),L505)</f>
        <v>Closed Won</v>
      </c>
      <c r="M506" s="37" t="str">
        <f aca="false">IF(INDEX($A506:$J506,$M$6)="","",INDEX($A506:$J506,$M$6)&amp;"")</f>
        <v>Fund Advisors Audio Op - 11 &amp; 12 9 25</v>
      </c>
      <c r="N506" s="37" t="str">
        <f aca="false">IF($M506="","",TRIM(INDEX($A506:$J506,$N$6)&amp;""))</f>
        <v>Dimensional Fund Advisors</v>
      </c>
      <c r="O506" s="37" t="str">
        <f aca="false">IF($M506="","",TRIM(INDEX($A506:$J506,$O$6)&amp;""))</f>
        <v>Event Production</v>
      </c>
      <c r="P506" s="37" t="str">
        <f aca="false">IF($M506="","",IFERROR(IF(INDEX(Settings!$B$41:$B$50,MATCH(O506,Settings!$A$41:$A$50,0))&amp;""="","UNMAPPED",INDEX(Settings!$B$41:$B$50,MATCH(O506,Settings!$A$41:$A$50,0))&amp;""),"UNMAPPED"))</f>
        <v>Production</v>
      </c>
      <c r="Q506" s="38" t="n">
        <f aca="false">IF($M506="",0,N(INDEX($A506:$J506,$Q$6)))</f>
        <v>950</v>
      </c>
      <c r="R506" s="39" t="n">
        <f aca="false">IF($M506="","",INDEX($A506:$J506,$R$6))</f>
        <v>45911</v>
      </c>
      <c r="S506" s="37" t="str">
        <f aca="false">IF($M506="","",IFERROR(INDEX(Settings!$B$27:$B$36,MATCH(L506,Settings!$A$27:$A$36,0))&amp;"","UNMAPPED"))</f>
        <v>Won</v>
      </c>
      <c r="T506" s="37" t="str">
        <f aca="false">IF($M506="","",IF(NOT(ISNUMBER(R506)),"NO DATE",IF(S506="Won",IF(R506&gt;Settings!$B$5,"Backlog","Delivered"),IF(S506="Open",IF(R506&gt;Settings!$B$5,"Pipeline","Overdue"),IF(S506="Lost","Lost","UNMAPPED")))))</f>
        <v>Delivered</v>
      </c>
      <c r="U506" s="40" t="n">
        <f aca="false">IF(T506="Backlog",1,IF(OR(T506="Pipeline",T506="Overdue"),N(INDEX(Settings!$C$27:$C$36,MATCH(L506,Settings!$A$27:$A$36,0))),0))</f>
        <v>0</v>
      </c>
      <c r="V506" s="38" t="n">
        <f aca="false">Q506*U506</f>
        <v>0</v>
      </c>
      <c r="W506" s="41" t="n">
        <f aca="false">IF($M506="","",IF(T506="Overdue",IF(Settings!$B$8="Yes",Settings!$B$7,""),IF(ISNUMBER(R506),DATE(YEAR(R506),MONTH(R506),1),"")))</f>
        <v>45901</v>
      </c>
      <c r="X506" s="38" t="n">
        <f aca="false">IF(AND(OR(T506="Backlog",T506="Pipeline",T506="Overdue"),ISNUMBER(W506)),IF(W506&lt;=Settings!$B$6,V506,0),0)</f>
        <v>0</v>
      </c>
      <c r="Y506" s="38" t="n">
        <f aca="false">IF(AND(OR(T506="Backlog",T506="Pipeline",T506="Overdue"),ISNUMBER(W506)),IF(W506&lt;=Settings!$B$6,Q506,0),0)</f>
        <v>0</v>
      </c>
      <c r="Z506" s="38" t="n">
        <f aca="false">IF(Y506=0,0,IF(T506="Backlog",Q506,Q506*Dashboard!$C$10))</f>
        <v>0</v>
      </c>
      <c r="AA506" s="37" t="n">
        <f aca="false">IF($N506="",0,IF(COUNTIF(Dashboard!$C$13:$C$22,$N506)&gt;0,1,0))</f>
        <v>0</v>
      </c>
      <c r="AB506" s="37" t="str">
        <f aca="false">IF($N506="","",IF(COUNTIF($N$8:$N506,$N506)=1,MAX($AB$7:$AB505)+1,""))</f>
        <v/>
      </c>
    </row>
    <row r="507" customFormat="false" ht="15" hidden="false" customHeight="false" outlineLevel="0" collapsed="false">
      <c r="B507" s="32" t="s">
        <v>1234</v>
      </c>
      <c r="C507" s="32" t="s">
        <v>253</v>
      </c>
      <c r="D507" s="35" t="n">
        <v>4174</v>
      </c>
      <c r="E507" s="32" t="s">
        <v>145</v>
      </c>
      <c r="F507" s="36" t="n">
        <v>46266</v>
      </c>
      <c r="G507" s="32" t="s">
        <v>1235</v>
      </c>
      <c r="L507" s="37" t="str">
        <f aca="false">IF(INDEX($A507:$J507,$L$6)&lt;&gt;"",TRIM(LEFT(INDEX($A507:$J507,$L$6),FIND("(",INDEX($A507:$J507,$L$6)&amp;"(")-1)),L506)</f>
        <v>Closed Won</v>
      </c>
      <c r="M507" s="37" t="str">
        <f aca="false">IF(INDEX($A507:$J507,$M$6)="","",INDEX($A507:$J507,$M$6)&amp;"")</f>
        <v>CEO Connect (Extended Results) 1.9.26</v>
      </c>
      <c r="N507" s="37" t="str">
        <f aca="false">IF($M507="","",TRIM(INDEX($A507:$J507,$N$6)&amp;""))</f>
        <v>ASX Australian Securities Exchange</v>
      </c>
      <c r="O507" s="37" t="str">
        <f aca="false">IF($M507="","",TRIM(INDEX($A507:$J507,$O$6)&amp;""))</f>
        <v>Event Production</v>
      </c>
      <c r="P507" s="37" t="str">
        <f aca="false">IF($M507="","",IFERROR(IF(INDEX(Settings!$B$41:$B$50,MATCH(O507,Settings!$A$41:$A$50,0))&amp;""="","UNMAPPED",INDEX(Settings!$B$41:$B$50,MATCH(O507,Settings!$A$41:$A$50,0))&amp;""),"UNMAPPED"))</f>
        <v>Production</v>
      </c>
      <c r="Q507" s="38" t="n">
        <f aca="false">IF($M507="",0,N(INDEX($A507:$J507,$Q$6)))</f>
        <v>4174</v>
      </c>
      <c r="R507" s="39" t="n">
        <f aca="false">IF($M507="","",INDEX($A507:$J507,$R$6))</f>
        <v>46266</v>
      </c>
      <c r="S507" s="37" t="str">
        <f aca="false">IF($M507="","",IFERROR(INDEX(Settings!$B$27:$B$36,MATCH(L507,Settings!$A$27:$A$36,0))&amp;"","UNMAPPED"))</f>
        <v>Won</v>
      </c>
      <c r="T507" s="37" t="str">
        <f aca="false">IF($M507="","",IF(NOT(ISNUMBER(R507)),"NO DATE",IF(S507="Won",IF(R507&gt;Settings!$B$5,"Backlog","Delivered"),IF(S507="Open",IF(R507&gt;Settings!$B$5,"Pipeline","Overdue"),IF(S507="Lost","Lost","UNMAPPED")))))</f>
        <v>Delivered</v>
      </c>
      <c r="U507" s="40" t="n">
        <f aca="false">IF(T507="Backlog",1,IF(OR(T507="Pipeline",T507="Overdue"),N(INDEX(Settings!$C$27:$C$36,MATCH(L507,Settings!$A$27:$A$36,0))),0))</f>
        <v>0</v>
      </c>
      <c r="V507" s="38" t="n">
        <f aca="false">Q507*U507</f>
        <v>0</v>
      </c>
      <c r="W507" s="41" t="n">
        <f aca="false">IF($M507="","",IF(T507="Overdue",IF(Settings!$B$8="Yes",Settings!$B$7,""),IF(ISNUMBER(R507),DATE(YEAR(R507),MONTH(R507),1),"")))</f>
        <v>46266</v>
      </c>
      <c r="X507" s="38" t="n">
        <f aca="false">IF(AND(OR(T507="Backlog",T507="Pipeline",T507="Overdue"),ISNUMBER(W507)),IF(W507&lt;=Settings!$B$6,V507,0),0)</f>
        <v>0</v>
      </c>
      <c r="Y507" s="38" t="n">
        <f aca="false">IF(AND(OR(T507="Backlog",T507="Pipeline",T507="Overdue"),ISNUMBER(W507)),IF(W507&lt;=Settings!$B$6,Q507,0),0)</f>
        <v>0</v>
      </c>
      <c r="Z507" s="38" t="n">
        <f aca="false">IF(Y507=0,0,IF(T507="Backlog",Q507,Q507*Dashboard!$C$10))</f>
        <v>0</v>
      </c>
      <c r="AA507" s="37" t="n">
        <f aca="false">IF($N507="",0,IF(COUNTIF(Dashboard!$C$13:$C$22,$N507)&gt;0,1,0))</f>
        <v>0</v>
      </c>
      <c r="AB507" s="37" t="str">
        <f aca="false">IF($N507="","",IF(COUNTIF($N$8:$N507,$N507)=1,MAX($AB$7:$AB506)+1,""))</f>
        <v/>
      </c>
    </row>
    <row r="508" customFormat="false" ht="15" hidden="false" customHeight="false" outlineLevel="0" collapsed="false">
      <c r="B508" s="32" t="s">
        <v>1236</v>
      </c>
      <c r="C508" s="32" t="s">
        <v>194</v>
      </c>
      <c r="D508" s="35" t="n">
        <v>10334</v>
      </c>
      <c r="E508" s="32" t="s">
        <v>145</v>
      </c>
      <c r="F508" s="36" t="n">
        <v>46072</v>
      </c>
      <c r="G508" s="32" t="s">
        <v>1237</v>
      </c>
      <c r="L508" s="37" t="str">
        <f aca="false">IF(INDEX($A508:$J508,$L$6)&lt;&gt;"",TRIM(LEFT(INDEX($A508:$J508,$L$6),FIND("(",INDEX($A508:$J508,$L$6)&amp;"(")-1)),L507)</f>
        <v>Closed Won</v>
      </c>
      <c r="M508" s="37" t="str">
        <f aca="false">IF(INDEX($A508:$J508,$M$6)="","",INDEX($A508:$J508,$M$6)&amp;"")</f>
        <v>Ventia HY25 Results Briefing 19.2.2026</v>
      </c>
      <c r="N508" s="37" t="str">
        <f aca="false">IF($M508="","",TRIM(INDEX($A508:$J508,$N$6)&amp;""))</f>
        <v>Ventia</v>
      </c>
      <c r="O508" s="37" t="str">
        <f aca="false">IF($M508="","",TRIM(INDEX($A508:$J508,$O$6)&amp;""))</f>
        <v>Event Production</v>
      </c>
      <c r="P508" s="37" t="str">
        <f aca="false">IF($M508="","",IFERROR(IF(INDEX(Settings!$B$41:$B$50,MATCH(O508,Settings!$A$41:$A$50,0))&amp;""="","UNMAPPED",INDEX(Settings!$B$41:$B$50,MATCH(O508,Settings!$A$41:$A$50,0))&amp;""),"UNMAPPED"))</f>
        <v>Production</v>
      </c>
      <c r="Q508" s="38" t="n">
        <f aca="false">IF($M508="",0,N(INDEX($A508:$J508,$Q$6)))</f>
        <v>10334</v>
      </c>
      <c r="R508" s="39" t="n">
        <f aca="false">IF($M508="","",INDEX($A508:$J508,$R$6))</f>
        <v>46072</v>
      </c>
      <c r="S508" s="37" t="str">
        <f aca="false">IF($M508="","",IFERROR(INDEX(Settings!$B$27:$B$36,MATCH(L508,Settings!$A$27:$A$36,0))&amp;"","UNMAPPED"))</f>
        <v>Won</v>
      </c>
      <c r="T508" s="37" t="str">
        <f aca="false">IF($M508="","",IF(NOT(ISNUMBER(R508)),"NO DATE",IF(S508="Won",IF(R508&gt;Settings!$B$5,"Backlog","Delivered"),IF(S508="Open",IF(R508&gt;Settings!$B$5,"Pipeline","Overdue"),IF(S508="Lost","Lost","UNMAPPED")))))</f>
        <v>Delivered</v>
      </c>
      <c r="U508" s="40" t="n">
        <f aca="false">IF(T508="Backlog",1,IF(OR(T508="Pipeline",T508="Overdue"),N(INDEX(Settings!$C$27:$C$36,MATCH(L508,Settings!$A$27:$A$36,0))),0))</f>
        <v>0</v>
      </c>
      <c r="V508" s="38" t="n">
        <f aca="false">Q508*U508</f>
        <v>0</v>
      </c>
      <c r="W508" s="41" t="n">
        <f aca="false">IF($M508="","",IF(T508="Overdue",IF(Settings!$B$8="Yes",Settings!$B$7,""),IF(ISNUMBER(R508),DATE(YEAR(R508),MONTH(R508),1),"")))</f>
        <v>46054</v>
      </c>
      <c r="X508" s="38" t="n">
        <f aca="false">IF(AND(OR(T508="Backlog",T508="Pipeline",T508="Overdue"),ISNUMBER(W508)),IF(W508&lt;=Settings!$B$6,V508,0),0)</f>
        <v>0</v>
      </c>
      <c r="Y508" s="38" t="n">
        <f aca="false">IF(AND(OR(T508="Backlog",T508="Pipeline",T508="Overdue"),ISNUMBER(W508)),IF(W508&lt;=Settings!$B$6,Q508,0),0)</f>
        <v>0</v>
      </c>
      <c r="Z508" s="38" t="n">
        <f aca="false">IF(Y508=0,0,IF(T508="Backlog",Q508,Q508*Dashboard!$C$10))</f>
        <v>0</v>
      </c>
      <c r="AA508" s="37" t="n">
        <f aca="false">IF($N508="",0,IF(COUNTIF(Dashboard!$C$13:$C$22,$N508)&gt;0,1,0))</f>
        <v>0</v>
      </c>
      <c r="AB508" s="37" t="str">
        <f aca="false">IF($N508="","",IF(COUNTIF($N$8:$N508,$N508)=1,MAX($AB$7:$AB507)+1,""))</f>
        <v/>
      </c>
    </row>
    <row r="509" customFormat="false" ht="15" hidden="false" customHeight="false" outlineLevel="0" collapsed="false">
      <c r="B509" s="32" t="s">
        <v>1238</v>
      </c>
      <c r="C509" s="32" t="s">
        <v>915</v>
      </c>
      <c r="D509" s="35" t="n">
        <v>13616</v>
      </c>
      <c r="E509" s="32" t="s">
        <v>145</v>
      </c>
      <c r="F509" s="36" t="n">
        <v>45895</v>
      </c>
      <c r="G509" s="32" t="s">
        <v>1239</v>
      </c>
      <c r="L509" s="37" t="str">
        <f aca="false">IF(INDEX($A509:$J509,$L$6)&lt;&gt;"",TRIM(LEFT(INDEX($A509:$J509,$L$6),FIND("(",INDEX($A509:$J509,$L$6)&amp;"(")-1)),L508)</f>
        <v>Closed Won</v>
      </c>
      <c r="M509" s="37" t="str">
        <f aca="false">IF(INDEX($A509:$J509,$M$6)="","",INDEX($A509:$J509,$M$6)&amp;"")</f>
        <v>Symal Financial Results 26.08.25</v>
      </c>
      <c r="N509" s="37" t="str">
        <f aca="false">IF($M509="","",TRIM(INDEX($A509:$J509,$N$6)&amp;""))</f>
        <v>Symal</v>
      </c>
      <c r="O509" s="37" t="str">
        <f aca="false">IF($M509="","",TRIM(INDEX($A509:$J509,$O$6)&amp;""))</f>
        <v>Event Production</v>
      </c>
      <c r="P509" s="37" t="str">
        <f aca="false">IF($M509="","",IFERROR(IF(INDEX(Settings!$B$41:$B$50,MATCH(O509,Settings!$A$41:$A$50,0))&amp;""="","UNMAPPED",INDEX(Settings!$B$41:$B$50,MATCH(O509,Settings!$A$41:$A$50,0))&amp;""),"UNMAPPED"))</f>
        <v>Production</v>
      </c>
      <c r="Q509" s="38" t="n">
        <f aca="false">IF($M509="",0,N(INDEX($A509:$J509,$Q$6)))</f>
        <v>13616</v>
      </c>
      <c r="R509" s="39" t="n">
        <f aca="false">IF($M509="","",INDEX($A509:$J509,$R$6))</f>
        <v>45895</v>
      </c>
      <c r="S509" s="37" t="str">
        <f aca="false">IF($M509="","",IFERROR(INDEX(Settings!$B$27:$B$36,MATCH(L509,Settings!$A$27:$A$36,0))&amp;"","UNMAPPED"))</f>
        <v>Won</v>
      </c>
      <c r="T509" s="37" t="str">
        <f aca="false">IF($M509="","",IF(NOT(ISNUMBER(R509)),"NO DATE",IF(S509="Won",IF(R509&gt;Settings!$B$5,"Backlog","Delivered"),IF(S509="Open",IF(R509&gt;Settings!$B$5,"Pipeline","Overdue"),IF(S509="Lost","Lost","UNMAPPED")))))</f>
        <v>Delivered</v>
      </c>
      <c r="U509" s="40" t="n">
        <f aca="false">IF(T509="Backlog",1,IF(OR(T509="Pipeline",T509="Overdue"),N(INDEX(Settings!$C$27:$C$36,MATCH(L509,Settings!$A$27:$A$36,0))),0))</f>
        <v>0</v>
      </c>
      <c r="V509" s="38" t="n">
        <f aca="false">Q509*U509</f>
        <v>0</v>
      </c>
      <c r="W509" s="41" t="n">
        <f aca="false">IF($M509="","",IF(T509="Overdue",IF(Settings!$B$8="Yes",Settings!$B$7,""),IF(ISNUMBER(R509),DATE(YEAR(R509),MONTH(R509),1),"")))</f>
        <v>45870</v>
      </c>
      <c r="X509" s="38" t="n">
        <f aca="false">IF(AND(OR(T509="Backlog",T509="Pipeline",T509="Overdue"),ISNUMBER(W509)),IF(W509&lt;=Settings!$B$6,V509,0),0)</f>
        <v>0</v>
      </c>
      <c r="Y509" s="38" t="n">
        <f aca="false">IF(AND(OR(T509="Backlog",T509="Pipeline",T509="Overdue"),ISNUMBER(W509)),IF(W509&lt;=Settings!$B$6,Q509,0),0)</f>
        <v>0</v>
      </c>
      <c r="Z509" s="38" t="n">
        <f aca="false">IF(Y509=0,0,IF(T509="Backlog",Q509,Q509*Dashboard!$C$10))</f>
        <v>0</v>
      </c>
      <c r="AA509" s="37" t="n">
        <f aca="false">IF($N509="",0,IF(COUNTIF(Dashboard!$C$13:$C$22,$N509)&gt;0,1,0))</f>
        <v>0</v>
      </c>
      <c r="AB509" s="37" t="str">
        <f aca="false">IF($N509="","",IF(COUNTIF($N$8:$N509,$N509)=1,MAX($AB$7:$AB508)+1,""))</f>
        <v/>
      </c>
    </row>
    <row r="510" customFormat="false" ht="15" hidden="false" customHeight="false" outlineLevel="0" collapsed="false">
      <c r="B510" s="32" t="s">
        <v>1240</v>
      </c>
      <c r="C510" s="32" t="s">
        <v>276</v>
      </c>
      <c r="D510" s="35" t="n">
        <v>1790</v>
      </c>
      <c r="E510" s="32" t="s">
        <v>145</v>
      </c>
      <c r="F510" s="36" t="n">
        <v>46274</v>
      </c>
      <c r="G510" s="32" t="s">
        <v>1241</v>
      </c>
      <c r="L510" s="37" t="str">
        <f aca="false">IF(INDEX($A510:$J510,$L$6)&lt;&gt;"",TRIM(LEFT(INDEX($A510:$J510,$L$6),FIND("(",INDEX($A510:$J510,$L$6)&amp;"(")-1)),L509)</f>
        <v>Closed Won</v>
      </c>
      <c r="M510" s="37" t="str">
        <f aca="false">IF(INDEX($A510:$J510,$M$6)="","",INDEX($A510:$J510,$M$6)&amp;"")</f>
        <v>Vega Global - Payments Forum - 17.9.26</v>
      </c>
      <c r="N510" s="37" t="str">
        <f aca="false">IF($M510="","",TRIM(INDEX($A510:$J510,$N$6)&amp;""))</f>
        <v>Vega Global</v>
      </c>
      <c r="O510" s="37" t="str">
        <f aca="false">IF($M510="","",TRIM(INDEX($A510:$J510,$O$6)&amp;""))</f>
        <v>Event Production</v>
      </c>
      <c r="P510" s="37" t="str">
        <f aca="false">IF($M510="","",IFERROR(IF(INDEX(Settings!$B$41:$B$50,MATCH(O510,Settings!$A$41:$A$50,0))&amp;""="","UNMAPPED",INDEX(Settings!$B$41:$B$50,MATCH(O510,Settings!$A$41:$A$50,0))&amp;""),"UNMAPPED"))</f>
        <v>Production</v>
      </c>
      <c r="Q510" s="38" t="n">
        <f aca="false">IF($M510="",0,N(INDEX($A510:$J510,$Q$6)))</f>
        <v>1790</v>
      </c>
      <c r="R510" s="39" t="n">
        <f aca="false">IF($M510="","",INDEX($A510:$J510,$R$6))</f>
        <v>46274</v>
      </c>
      <c r="S510" s="37" t="str">
        <f aca="false">IF($M510="","",IFERROR(INDEX(Settings!$B$27:$B$36,MATCH(L510,Settings!$A$27:$A$36,0))&amp;"","UNMAPPED"))</f>
        <v>Won</v>
      </c>
      <c r="T510" s="37" t="str">
        <f aca="false">IF($M510="","",IF(NOT(ISNUMBER(R510)),"NO DATE",IF(S510="Won",IF(R510&gt;Settings!$B$5,"Backlog","Delivered"),IF(S510="Open",IF(R510&gt;Settings!$B$5,"Pipeline","Overdue"),IF(S510="Lost","Lost","UNMAPPED")))))</f>
        <v>Delivered</v>
      </c>
      <c r="U510" s="40" t="n">
        <f aca="false">IF(T510="Backlog",1,IF(OR(T510="Pipeline",T510="Overdue"),N(INDEX(Settings!$C$27:$C$36,MATCH(L510,Settings!$A$27:$A$36,0))),0))</f>
        <v>0</v>
      </c>
      <c r="V510" s="38" t="n">
        <f aca="false">Q510*U510</f>
        <v>0</v>
      </c>
      <c r="W510" s="41" t="n">
        <f aca="false">IF($M510="","",IF(T510="Overdue",IF(Settings!$B$8="Yes",Settings!$B$7,""),IF(ISNUMBER(R510),DATE(YEAR(R510),MONTH(R510),1),"")))</f>
        <v>46266</v>
      </c>
      <c r="X510" s="38" t="n">
        <f aca="false">IF(AND(OR(T510="Backlog",T510="Pipeline",T510="Overdue"),ISNUMBER(W510)),IF(W510&lt;=Settings!$B$6,V510,0),0)</f>
        <v>0</v>
      </c>
      <c r="Y510" s="38" t="n">
        <f aca="false">IF(AND(OR(T510="Backlog",T510="Pipeline",T510="Overdue"),ISNUMBER(W510)),IF(W510&lt;=Settings!$B$6,Q510,0),0)</f>
        <v>0</v>
      </c>
      <c r="Z510" s="38" t="n">
        <f aca="false">IF(Y510=0,0,IF(T510="Backlog",Q510,Q510*Dashboard!$C$10))</f>
        <v>0</v>
      </c>
      <c r="AA510" s="37" t="n">
        <f aca="false">IF($N510="",0,IF(COUNTIF(Dashboard!$C$13:$C$22,$N510)&gt;0,1,0))</f>
        <v>0</v>
      </c>
      <c r="AB510" s="37" t="str">
        <f aca="false">IF($N510="","",IF(COUNTIF($N$8:$N510,$N510)=1,MAX($AB$7:$AB509)+1,""))</f>
        <v/>
      </c>
    </row>
    <row r="511" customFormat="false" ht="15" hidden="false" customHeight="false" outlineLevel="0" collapsed="false">
      <c r="B511" s="32" t="s">
        <v>1242</v>
      </c>
      <c r="C511" s="32" t="s">
        <v>535</v>
      </c>
      <c r="D511" s="35" t="n">
        <v>159150</v>
      </c>
      <c r="E511" s="32" t="s">
        <v>141</v>
      </c>
      <c r="F511" s="36" t="n">
        <v>46203</v>
      </c>
      <c r="G511" s="32" t="s">
        <v>1243</v>
      </c>
      <c r="L511" s="37" t="str">
        <f aca="false">IF(INDEX($A511:$J511,$L$6)&lt;&gt;"",TRIM(LEFT(INDEX($A511:$J511,$L$6),FIND("(",INDEX($A511:$J511,$L$6)&amp;"(")-1)),L510)</f>
        <v>Closed Won</v>
      </c>
      <c r="M511" s="37" t="str">
        <f aca="false">IF(INDEX($A511:$J511,$M$6)="","",INDEX($A511:$J511,$M$6)&amp;"")</f>
        <v>CoS | Barco E3 Sale - 25111203</v>
      </c>
      <c r="N511" s="37" t="str">
        <f aca="false">IF($M511="","",TRIM(INDEX($A511:$J511,$N$6)&amp;""))</f>
        <v>City of Sydney</v>
      </c>
      <c r="O511" s="37" t="str">
        <f aca="false">IF($M511="","",TRIM(INDEX($A511:$J511,$O$6)&amp;""))</f>
        <v>Integration</v>
      </c>
      <c r="P511" s="37" t="str">
        <f aca="false">IF($M511="","",IFERROR(IF(INDEX(Settings!$B$41:$B$50,MATCH(O511,Settings!$A$41:$A$50,0))&amp;""="","UNMAPPED",INDEX(Settings!$B$41:$B$50,MATCH(O511,Settings!$A$41:$A$50,0))&amp;""),"UNMAPPED"))</f>
        <v>Integration</v>
      </c>
      <c r="Q511" s="38" t="n">
        <f aca="false">IF($M511="",0,N(INDEX($A511:$J511,$Q$6)))</f>
        <v>159150</v>
      </c>
      <c r="R511" s="39" t="n">
        <f aca="false">IF($M511="","",INDEX($A511:$J511,$R$6))</f>
        <v>46203</v>
      </c>
      <c r="S511" s="37" t="str">
        <f aca="false">IF($M511="","",IFERROR(INDEX(Settings!$B$27:$B$36,MATCH(L511,Settings!$A$27:$A$36,0))&amp;"","UNMAPPED"))</f>
        <v>Won</v>
      </c>
      <c r="T511" s="37" t="str">
        <f aca="false">IF($M511="","",IF(NOT(ISNUMBER(R511)),"NO DATE",IF(S511="Won",IF(R511&gt;Settings!$B$5,"Backlog","Delivered"),IF(S511="Open",IF(R511&gt;Settings!$B$5,"Pipeline","Overdue"),IF(S511="Lost","Lost","UNMAPPED")))))</f>
        <v>Delivered</v>
      </c>
      <c r="U511" s="40" t="n">
        <f aca="false">IF(T511="Backlog",1,IF(OR(T511="Pipeline",T511="Overdue"),N(INDEX(Settings!$C$27:$C$36,MATCH(L511,Settings!$A$27:$A$36,0))),0))</f>
        <v>0</v>
      </c>
      <c r="V511" s="38" t="n">
        <f aca="false">Q511*U511</f>
        <v>0</v>
      </c>
      <c r="W511" s="41" t="n">
        <f aca="false">IF($M511="","",IF(T511="Overdue",IF(Settings!$B$8="Yes",Settings!$B$7,""),IF(ISNUMBER(R511),DATE(YEAR(R511),MONTH(R511),1),"")))</f>
        <v>46174</v>
      </c>
      <c r="X511" s="38" t="n">
        <f aca="false">IF(AND(OR(T511="Backlog",T511="Pipeline",T511="Overdue"),ISNUMBER(W511)),IF(W511&lt;=Settings!$B$6,V511,0),0)</f>
        <v>0</v>
      </c>
      <c r="Y511" s="38" t="n">
        <f aca="false">IF(AND(OR(T511="Backlog",T511="Pipeline",T511="Overdue"),ISNUMBER(W511)),IF(W511&lt;=Settings!$B$6,Q511,0),0)</f>
        <v>0</v>
      </c>
      <c r="Z511" s="38" t="n">
        <f aca="false">IF(Y511=0,0,IF(T511="Backlog",Q511,Q511*Dashboard!$C$10))</f>
        <v>0</v>
      </c>
      <c r="AA511" s="37" t="n">
        <f aca="false">IF($N511="",0,IF(COUNTIF(Dashboard!$C$13:$C$22,$N511)&gt;0,1,0))</f>
        <v>0</v>
      </c>
      <c r="AB511" s="37" t="str">
        <f aca="false">IF($N511="","",IF(COUNTIF($N$8:$N511,$N511)=1,MAX($AB$7:$AB510)+1,""))</f>
        <v/>
      </c>
    </row>
    <row r="512" customFormat="false" ht="15" hidden="false" customHeight="false" outlineLevel="0" collapsed="false">
      <c r="A512" s="32" t="s">
        <v>1244</v>
      </c>
      <c r="B512" s="32" t="s">
        <v>1245</v>
      </c>
      <c r="C512" s="32" t="s">
        <v>188</v>
      </c>
      <c r="D512" s="35" t="n">
        <v>500</v>
      </c>
      <c r="E512" s="32" t="s">
        <v>141</v>
      </c>
      <c r="F512" s="36" t="n">
        <v>46304</v>
      </c>
      <c r="G512" s="32" t="s">
        <v>1246</v>
      </c>
      <c r="L512" s="37" t="str">
        <f aca="false">IF(INDEX($A512:$J512,$L$6)&lt;&gt;"",TRIM(LEFT(INDEX($A512:$J512,$L$6),FIND("(",INDEX($A512:$J512,$L$6)&amp;"(")-1)),L511)</f>
        <v>Closed Lost</v>
      </c>
      <c r="M512" s="37" t="str">
        <f aca="false">IF(INDEX($A512:$J512,$M$6)="","",INDEX($A512:$J512,$M$6)&amp;"")</f>
        <v>Aware | Melbourne Display Temporary Swap</v>
      </c>
      <c r="N512" s="37" t="str">
        <f aca="false">IF($M512="","",TRIM(INDEX($A512:$J512,$N$6)&amp;""))</f>
        <v>Aware Super</v>
      </c>
      <c r="O512" s="37" t="str">
        <f aca="false">IF($M512="","",TRIM(INDEX($A512:$J512,$O$6)&amp;""))</f>
        <v>Integration</v>
      </c>
      <c r="P512" s="37" t="str">
        <f aca="false">IF($M512="","",IFERROR(IF(INDEX(Settings!$B$41:$B$50,MATCH(O512,Settings!$A$41:$A$50,0))&amp;""="","UNMAPPED",INDEX(Settings!$B$41:$B$50,MATCH(O512,Settings!$A$41:$A$50,0))&amp;""),"UNMAPPED"))</f>
        <v>Integration</v>
      </c>
      <c r="Q512" s="38" t="n">
        <f aca="false">IF($M512="",0,N(INDEX($A512:$J512,$Q$6)))</f>
        <v>500</v>
      </c>
      <c r="R512" s="39" t="n">
        <f aca="false">IF($M512="","",INDEX($A512:$J512,$R$6))</f>
        <v>46304</v>
      </c>
      <c r="S512" s="37" t="str">
        <f aca="false">IF($M512="","",IFERROR(INDEX(Settings!$B$27:$B$36,MATCH(L512,Settings!$A$27:$A$36,0))&amp;"","UNMAPPED"))</f>
        <v>Lost</v>
      </c>
      <c r="T512" s="37" t="str">
        <f aca="false">IF($M512="","",IF(NOT(ISNUMBER(R512)),"NO DATE",IF(S512="Won",IF(R512&gt;Settings!$B$5,"Backlog","Delivered"),IF(S512="Open",IF(R512&gt;Settings!$B$5,"Pipeline","Overdue"),IF(S512="Lost","Lost","UNMAPPED")))))</f>
        <v>Lost</v>
      </c>
      <c r="U512" s="40" t="n">
        <f aca="false">IF(T512="Backlog",1,IF(OR(T512="Pipeline",T512="Overdue"),N(INDEX(Settings!$C$27:$C$36,MATCH(L512,Settings!$A$27:$A$36,0))),0))</f>
        <v>0</v>
      </c>
      <c r="V512" s="38" t="n">
        <f aca="false">Q512*U512</f>
        <v>0</v>
      </c>
      <c r="W512" s="41" t="n">
        <f aca="false">IF($M512="","",IF(T512="Overdue",IF(Settings!$B$8="Yes",Settings!$B$7,""),IF(ISNUMBER(R512),DATE(YEAR(R512),MONTH(R512),1),"")))</f>
        <v>46296</v>
      </c>
      <c r="X512" s="38" t="n">
        <f aca="false">IF(AND(OR(T512="Backlog",T512="Pipeline",T512="Overdue"),ISNUMBER(W512)),IF(W512&lt;=Settings!$B$6,V512,0),0)</f>
        <v>0</v>
      </c>
      <c r="Y512" s="38" t="n">
        <f aca="false">IF(AND(OR(T512="Backlog",T512="Pipeline",T512="Overdue"),ISNUMBER(W512)),IF(W512&lt;=Settings!$B$6,Q512,0),0)</f>
        <v>0</v>
      </c>
      <c r="Z512" s="38" t="n">
        <f aca="false">IF(Y512=0,0,IF(T512="Backlog",Q512,Q512*Dashboard!$C$10))</f>
        <v>0</v>
      </c>
      <c r="AA512" s="37" t="n">
        <f aca="false">IF($N512="",0,IF(COUNTIF(Dashboard!$C$13:$C$22,$N512)&gt;0,1,0))</f>
        <v>0</v>
      </c>
      <c r="AB512" s="37" t="str">
        <f aca="false">IF($N512="","",IF(COUNTIF($N$8:$N512,$N512)=1,MAX($AB$7:$AB511)+1,""))</f>
        <v/>
      </c>
    </row>
    <row r="513" customFormat="false" ht="15" hidden="false" customHeight="false" outlineLevel="0" collapsed="false">
      <c r="B513" s="32" t="s">
        <v>1247</v>
      </c>
      <c r="C513" s="32" t="s">
        <v>267</v>
      </c>
      <c r="D513" s="35" t="n">
        <v>380</v>
      </c>
      <c r="E513" s="32" t="s">
        <v>145</v>
      </c>
      <c r="F513" s="36" t="n">
        <v>45973</v>
      </c>
      <c r="G513" s="32" t="s">
        <v>1248</v>
      </c>
      <c r="L513" s="37" t="str">
        <f aca="false">IF(INDEX($A513:$J513,$L$6)&lt;&gt;"",TRIM(LEFT(INDEX($A513:$J513,$L$6),FIND("(",INDEX($A513:$J513,$L$6)&amp;"(")-1)),L512)</f>
        <v>Closed Lost</v>
      </c>
      <c r="M513" s="37" t="str">
        <f aca="false">IF(INDEX($A513:$J513,$M$6)="","",INDEX($A513:$J513,$M$6)&amp;"")</f>
        <v>Audio Op #2 (Jaaz) - 12 11 25</v>
      </c>
      <c r="N513" s="37" t="str">
        <f aca="false">IF($M513="","",TRIM(INDEX($A513:$J513,$N$6)&amp;""))</f>
        <v>Dimensional Fund Advisors</v>
      </c>
      <c r="O513" s="37" t="str">
        <f aca="false">IF($M513="","",TRIM(INDEX($A513:$J513,$O$6)&amp;""))</f>
        <v>Event Production</v>
      </c>
      <c r="P513" s="37" t="str">
        <f aca="false">IF($M513="","",IFERROR(IF(INDEX(Settings!$B$41:$B$50,MATCH(O513,Settings!$A$41:$A$50,0))&amp;""="","UNMAPPED",INDEX(Settings!$B$41:$B$50,MATCH(O513,Settings!$A$41:$A$50,0))&amp;""),"UNMAPPED"))</f>
        <v>Production</v>
      </c>
      <c r="Q513" s="38" t="n">
        <f aca="false">IF($M513="",0,N(INDEX($A513:$J513,$Q$6)))</f>
        <v>380</v>
      </c>
      <c r="R513" s="39" t="n">
        <f aca="false">IF($M513="","",INDEX($A513:$J513,$R$6))</f>
        <v>45973</v>
      </c>
      <c r="S513" s="37" t="str">
        <f aca="false">IF($M513="","",IFERROR(INDEX(Settings!$B$27:$B$36,MATCH(L513,Settings!$A$27:$A$36,0))&amp;"","UNMAPPED"))</f>
        <v>Lost</v>
      </c>
      <c r="T513" s="37" t="str">
        <f aca="false">IF($M513="","",IF(NOT(ISNUMBER(R513)),"NO DATE",IF(S513="Won",IF(R513&gt;Settings!$B$5,"Backlog","Delivered"),IF(S513="Open",IF(R513&gt;Settings!$B$5,"Pipeline","Overdue"),IF(S513="Lost","Lost","UNMAPPED")))))</f>
        <v>Lost</v>
      </c>
      <c r="U513" s="40" t="n">
        <f aca="false">IF(T513="Backlog",1,IF(OR(T513="Pipeline",T513="Overdue"),N(INDEX(Settings!$C$27:$C$36,MATCH(L513,Settings!$A$27:$A$36,0))),0))</f>
        <v>0</v>
      </c>
      <c r="V513" s="38" t="n">
        <f aca="false">Q513*U513</f>
        <v>0</v>
      </c>
      <c r="W513" s="41" t="n">
        <f aca="false">IF($M513="","",IF(T513="Overdue",IF(Settings!$B$8="Yes",Settings!$B$7,""),IF(ISNUMBER(R513),DATE(YEAR(R513),MONTH(R513),1),"")))</f>
        <v>45962</v>
      </c>
      <c r="X513" s="38" t="n">
        <f aca="false">IF(AND(OR(T513="Backlog",T513="Pipeline",T513="Overdue"),ISNUMBER(W513)),IF(W513&lt;=Settings!$B$6,V513,0),0)</f>
        <v>0</v>
      </c>
      <c r="Y513" s="38" t="n">
        <f aca="false">IF(AND(OR(T513="Backlog",T513="Pipeline",T513="Overdue"),ISNUMBER(W513)),IF(W513&lt;=Settings!$B$6,Q513,0),0)</f>
        <v>0</v>
      </c>
      <c r="Z513" s="38" t="n">
        <f aca="false">IF(Y513=0,0,IF(T513="Backlog",Q513,Q513*Dashboard!$C$10))</f>
        <v>0</v>
      </c>
      <c r="AA513" s="37" t="n">
        <f aca="false">IF($N513="",0,IF(COUNTIF(Dashboard!$C$13:$C$22,$N513)&gt;0,1,0))</f>
        <v>0</v>
      </c>
      <c r="AB513" s="37" t="str">
        <f aca="false">IF($N513="","",IF(COUNTIF($N$8:$N513,$N513)=1,MAX($AB$7:$AB512)+1,""))</f>
        <v/>
      </c>
    </row>
    <row r="514" customFormat="false" ht="15" hidden="false" customHeight="false" outlineLevel="0" collapsed="false">
      <c r="B514" s="32" t="s">
        <v>1249</v>
      </c>
      <c r="C514" s="32" t="s">
        <v>1250</v>
      </c>
      <c r="D514" s="35" t="n">
        <v>500000</v>
      </c>
      <c r="E514" s="32" t="s">
        <v>173</v>
      </c>
      <c r="F514" s="36" t="n">
        <v>46069</v>
      </c>
      <c r="G514" s="32" t="s">
        <v>1251</v>
      </c>
      <c r="L514" s="37" t="str">
        <f aca="false">IF(INDEX($A514:$J514,$L$6)&lt;&gt;"",TRIM(LEFT(INDEX($A514:$J514,$L$6),FIND("(",INDEX($A514:$J514,$L$6)&amp;"(")-1)),L513)</f>
        <v>Closed Lost</v>
      </c>
      <c r="M514" s="37" t="str">
        <f aca="false">IF(INDEX($A514:$J514,$M$6)="","",INDEX($A514:$J514,$M$6)&amp;"")</f>
        <v>Conservatorium of Music Lighting Upgrade</v>
      </c>
      <c r="N514" s="37" t="str">
        <f aca="false">IF($M514="","",TRIM(INDEX($A514:$J514,$N$6)&amp;""))</f>
        <v>MM Electrical Merchandising</v>
      </c>
      <c r="O514" s="37" t="str">
        <f aca="false">IF($M514="","",TRIM(INDEX($A514:$J514,$O$6)&amp;""))</f>
        <v>Consulting</v>
      </c>
      <c r="P514" s="37" t="str">
        <f aca="false">IF($M514="","",IFERROR(IF(INDEX(Settings!$B$41:$B$50,MATCH(O514,Settings!$A$41:$A$50,0))&amp;""="","UNMAPPED",INDEX(Settings!$B$41:$B$50,MATCH(O514,Settings!$A$41:$A$50,0))&amp;""),"UNMAPPED"))</f>
        <v>Consulting</v>
      </c>
      <c r="Q514" s="38" t="n">
        <f aca="false">IF($M514="",0,N(INDEX($A514:$J514,$Q$6)))</f>
        <v>500000</v>
      </c>
      <c r="R514" s="39" t="n">
        <f aca="false">IF($M514="","",INDEX($A514:$J514,$R$6))</f>
        <v>46069</v>
      </c>
      <c r="S514" s="37" t="str">
        <f aca="false">IF($M514="","",IFERROR(INDEX(Settings!$B$27:$B$36,MATCH(L514,Settings!$A$27:$A$36,0))&amp;"","UNMAPPED"))</f>
        <v>Lost</v>
      </c>
      <c r="T514" s="37" t="str">
        <f aca="false">IF($M514="","",IF(NOT(ISNUMBER(R514)),"NO DATE",IF(S514="Won",IF(R514&gt;Settings!$B$5,"Backlog","Delivered"),IF(S514="Open",IF(R514&gt;Settings!$B$5,"Pipeline","Overdue"),IF(S514="Lost","Lost","UNMAPPED")))))</f>
        <v>Lost</v>
      </c>
      <c r="U514" s="40" t="n">
        <f aca="false">IF(T514="Backlog",1,IF(OR(T514="Pipeline",T514="Overdue"),N(INDEX(Settings!$C$27:$C$36,MATCH(L514,Settings!$A$27:$A$36,0))),0))</f>
        <v>0</v>
      </c>
      <c r="V514" s="38" t="n">
        <f aca="false">Q514*U514</f>
        <v>0</v>
      </c>
      <c r="W514" s="41" t="n">
        <f aca="false">IF($M514="","",IF(T514="Overdue",IF(Settings!$B$8="Yes",Settings!$B$7,""),IF(ISNUMBER(R514),DATE(YEAR(R514),MONTH(R514),1),"")))</f>
        <v>46054</v>
      </c>
      <c r="X514" s="38" t="n">
        <f aca="false">IF(AND(OR(T514="Backlog",T514="Pipeline",T514="Overdue"),ISNUMBER(W514)),IF(W514&lt;=Settings!$B$6,V514,0),0)</f>
        <v>0</v>
      </c>
      <c r="Y514" s="38" t="n">
        <f aca="false">IF(AND(OR(T514="Backlog",T514="Pipeline",T514="Overdue"),ISNUMBER(W514)),IF(W514&lt;=Settings!$B$6,Q514,0),0)</f>
        <v>0</v>
      </c>
      <c r="Z514" s="38" t="n">
        <f aca="false">IF(Y514=0,0,IF(T514="Backlog",Q514,Q514*Dashboard!$C$10))</f>
        <v>0</v>
      </c>
      <c r="AA514" s="37" t="n">
        <f aca="false">IF($N514="",0,IF(COUNTIF(Dashboard!$C$13:$C$22,$N514)&gt;0,1,0))</f>
        <v>0</v>
      </c>
      <c r="AB514" s="37" t="n">
        <f aca="false">IF($N514="","",IF(COUNTIF($N$8:$N514,$N514)=1,MAX($AB$7:$AB513)+1,""))</f>
        <v>98</v>
      </c>
    </row>
    <row r="515" customFormat="false" ht="15" hidden="false" customHeight="false" outlineLevel="0" collapsed="false">
      <c r="B515" s="32" t="s">
        <v>1252</v>
      </c>
      <c r="C515" s="32" t="s">
        <v>154</v>
      </c>
      <c r="D515" s="35" t="n">
        <v>2500</v>
      </c>
      <c r="E515" s="32" t="s">
        <v>145</v>
      </c>
      <c r="F515" s="36" t="n">
        <v>46254</v>
      </c>
      <c r="G515" s="32" t="s">
        <v>1253</v>
      </c>
      <c r="L515" s="37" t="str">
        <f aca="false">IF(INDEX($A515:$J515,$L$6)&lt;&gt;"",TRIM(LEFT(INDEX($A515:$J515,$L$6),FIND("(",INDEX($A515:$J515,$L$6)&amp;"(")-1)),L514)</f>
        <v>Closed Lost</v>
      </c>
      <c r="M515" s="37" t="str">
        <f aca="false">IF(INDEX($A515:$J515,$M$6)="","",INDEX($A515:$J515,$M$6)&amp;"")</f>
        <v>PWC - Firmwide Webcast - 20.8.26</v>
      </c>
      <c r="N515" s="37" t="str">
        <f aca="false">IF($M515="","",TRIM(INDEX($A515:$J515,$N$6)&amp;""))</f>
        <v>PWC</v>
      </c>
      <c r="O515" s="37" t="str">
        <f aca="false">IF($M515="","",TRIM(INDEX($A515:$J515,$O$6)&amp;""))</f>
        <v>Event Production</v>
      </c>
      <c r="P515" s="37" t="str">
        <f aca="false">IF($M515="","",IFERROR(IF(INDEX(Settings!$B$41:$B$50,MATCH(O515,Settings!$A$41:$A$50,0))&amp;""="","UNMAPPED",INDEX(Settings!$B$41:$B$50,MATCH(O515,Settings!$A$41:$A$50,0))&amp;""),"UNMAPPED"))</f>
        <v>Production</v>
      </c>
      <c r="Q515" s="38" t="n">
        <f aca="false">IF($M515="",0,N(INDEX($A515:$J515,$Q$6)))</f>
        <v>2500</v>
      </c>
      <c r="R515" s="39" t="n">
        <f aca="false">IF($M515="","",INDEX($A515:$J515,$R$6))</f>
        <v>46254</v>
      </c>
      <c r="S515" s="37" t="str">
        <f aca="false">IF($M515="","",IFERROR(INDEX(Settings!$B$27:$B$36,MATCH(L515,Settings!$A$27:$A$36,0))&amp;"","UNMAPPED"))</f>
        <v>Lost</v>
      </c>
      <c r="T515" s="37" t="str">
        <f aca="false">IF($M515="","",IF(NOT(ISNUMBER(R515)),"NO DATE",IF(S515="Won",IF(R515&gt;Settings!$B$5,"Backlog","Delivered"),IF(S515="Open",IF(R515&gt;Settings!$B$5,"Pipeline","Overdue"),IF(S515="Lost","Lost","UNMAPPED")))))</f>
        <v>Lost</v>
      </c>
      <c r="U515" s="40" t="n">
        <f aca="false">IF(T515="Backlog",1,IF(OR(T515="Pipeline",T515="Overdue"),N(INDEX(Settings!$C$27:$C$36,MATCH(L515,Settings!$A$27:$A$36,0))),0))</f>
        <v>0</v>
      </c>
      <c r="V515" s="38" t="n">
        <f aca="false">Q515*U515</f>
        <v>0</v>
      </c>
      <c r="W515" s="41" t="n">
        <f aca="false">IF($M515="","",IF(T515="Overdue",IF(Settings!$B$8="Yes",Settings!$B$7,""),IF(ISNUMBER(R515),DATE(YEAR(R515),MONTH(R515),1),"")))</f>
        <v>46235</v>
      </c>
      <c r="X515" s="38" t="n">
        <f aca="false">IF(AND(OR(T515="Backlog",T515="Pipeline",T515="Overdue"),ISNUMBER(W515)),IF(W515&lt;=Settings!$B$6,V515,0),0)</f>
        <v>0</v>
      </c>
      <c r="Y515" s="38" t="n">
        <f aca="false">IF(AND(OR(T515="Backlog",T515="Pipeline",T515="Overdue"),ISNUMBER(W515)),IF(W515&lt;=Settings!$B$6,Q515,0),0)</f>
        <v>0</v>
      </c>
      <c r="Z515" s="38" t="n">
        <f aca="false">IF(Y515=0,0,IF(T515="Backlog",Q515,Q515*Dashboard!$C$10))</f>
        <v>0</v>
      </c>
      <c r="AA515" s="37" t="n">
        <f aca="false">IF($N515="",0,IF(COUNTIF(Dashboard!$C$13:$C$22,$N515)&gt;0,1,0))</f>
        <v>0</v>
      </c>
      <c r="AB515" s="37" t="str">
        <f aca="false">IF($N515="","",IF(COUNTIF($N$8:$N515,$N515)=1,MAX($AB$7:$AB514)+1,""))</f>
        <v/>
      </c>
    </row>
    <row r="516" customFormat="false" ht="15" hidden="false" customHeight="false" outlineLevel="0" collapsed="false">
      <c r="B516" s="32" t="s">
        <v>1254</v>
      </c>
      <c r="C516" s="32" t="s">
        <v>1255</v>
      </c>
      <c r="D516" s="35" t="n">
        <v>700000</v>
      </c>
      <c r="E516" s="32" t="s">
        <v>141</v>
      </c>
      <c r="F516" s="36" t="n">
        <v>46203</v>
      </c>
      <c r="G516" s="32" t="s">
        <v>1256</v>
      </c>
      <c r="L516" s="37" t="str">
        <f aca="false">IF(INDEX($A516:$J516,$L$6)&lt;&gt;"",TRIM(LEFT(INDEX($A516:$J516,$L$6),FIND("(",INDEX($A516:$J516,$L$6)&amp;"(")-1)),L515)</f>
        <v>Closed Lost</v>
      </c>
      <c r="M516" s="37" t="str">
        <f aca="false">IF(INDEX($A516:$J516,$M$6)="","",INDEX($A516:$J516,$M$6)&amp;"")</f>
        <v>3 x LED wall box sale - 2603203</v>
      </c>
      <c r="N516" s="37" t="str">
        <f aca="false">IF($M516="","",TRIM(INDEX($A516:$J516,$N$6)&amp;""))</f>
        <v>ANZ</v>
      </c>
      <c r="O516" s="37" t="str">
        <f aca="false">IF($M516="","",TRIM(INDEX($A516:$J516,$O$6)&amp;""))</f>
        <v>Integration</v>
      </c>
      <c r="P516" s="37" t="str">
        <f aca="false">IF($M516="","",IFERROR(IF(INDEX(Settings!$B$41:$B$50,MATCH(O516,Settings!$A$41:$A$50,0))&amp;""="","UNMAPPED",INDEX(Settings!$B$41:$B$50,MATCH(O516,Settings!$A$41:$A$50,0))&amp;""),"UNMAPPED"))</f>
        <v>Integration</v>
      </c>
      <c r="Q516" s="38" t="n">
        <f aca="false">IF($M516="",0,N(INDEX($A516:$J516,$Q$6)))</f>
        <v>700000</v>
      </c>
      <c r="R516" s="39" t="n">
        <f aca="false">IF($M516="","",INDEX($A516:$J516,$R$6))</f>
        <v>46203</v>
      </c>
      <c r="S516" s="37" t="str">
        <f aca="false">IF($M516="","",IFERROR(INDEX(Settings!$B$27:$B$36,MATCH(L516,Settings!$A$27:$A$36,0))&amp;"","UNMAPPED"))</f>
        <v>Lost</v>
      </c>
      <c r="T516" s="37" t="str">
        <f aca="false">IF($M516="","",IF(NOT(ISNUMBER(R516)),"NO DATE",IF(S516="Won",IF(R516&gt;Settings!$B$5,"Backlog","Delivered"),IF(S516="Open",IF(R516&gt;Settings!$B$5,"Pipeline","Overdue"),IF(S516="Lost","Lost","UNMAPPED")))))</f>
        <v>Lost</v>
      </c>
      <c r="U516" s="40" t="n">
        <f aca="false">IF(T516="Backlog",1,IF(OR(T516="Pipeline",T516="Overdue"),N(INDEX(Settings!$C$27:$C$36,MATCH(L516,Settings!$A$27:$A$36,0))),0))</f>
        <v>0</v>
      </c>
      <c r="V516" s="38" t="n">
        <f aca="false">Q516*U516</f>
        <v>0</v>
      </c>
      <c r="W516" s="41" t="n">
        <f aca="false">IF($M516="","",IF(T516="Overdue",IF(Settings!$B$8="Yes",Settings!$B$7,""),IF(ISNUMBER(R516),DATE(YEAR(R516),MONTH(R516),1),"")))</f>
        <v>46174</v>
      </c>
      <c r="X516" s="38" t="n">
        <f aca="false">IF(AND(OR(T516="Backlog",T516="Pipeline",T516="Overdue"),ISNUMBER(W516)),IF(W516&lt;=Settings!$B$6,V516,0),0)</f>
        <v>0</v>
      </c>
      <c r="Y516" s="38" t="n">
        <f aca="false">IF(AND(OR(T516="Backlog",T516="Pipeline",T516="Overdue"),ISNUMBER(W516)),IF(W516&lt;=Settings!$B$6,Q516,0),0)</f>
        <v>0</v>
      </c>
      <c r="Z516" s="38" t="n">
        <f aca="false">IF(Y516=0,0,IF(T516="Backlog",Q516,Q516*Dashboard!$C$10))</f>
        <v>0</v>
      </c>
      <c r="AA516" s="37" t="n">
        <f aca="false">IF($N516="",0,IF(COUNTIF(Dashboard!$C$13:$C$22,$N516)&gt;0,1,0))</f>
        <v>0</v>
      </c>
      <c r="AB516" s="37" t="n">
        <f aca="false">IF($N516="","",IF(COUNTIF($N$8:$N516,$N516)=1,MAX($AB$7:$AB515)+1,""))</f>
        <v>99</v>
      </c>
    </row>
    <row r="517" customFormat="false" ht="15" hidden="false" customHeight="false" outlineLevel="0" collapsed="false">
      <c r="B517" s="32" t="s">
        <v>1257</v>
      </c>
      <c r="C517" s="32" t="s">
        <v>244</v>
      </c>
      <c r="D517" s="35" t="n">
        <v>0</v>
      </c>
      <c r="E517" s="32" t="s">
        <v>173</v>
      </c>
      <c r="F517" s="36" t="n">
        <v>46203</v>
      </c>
      <c r="G517" s="32" t="s">
        <v>1258</v>
      </c>
      <c r="L517" s="37" t="str">
        <f aca="false">IF(INDEX($A517:$J517,$L$6)&lt;&gt;"",TRIM(LEFT(INDEX($A517:$J517,$L$6),FIND("(",INDEX($A517:$J517,$L$6)&amp;"(")-1)),L516)</f>
        <v>Closed Lost</v>
      </c>
      <c r="M517" s="37" t="str">
        <f aca="false">IF(INDEX($A517:$J517,$M$6)="","",INDEX($A517:$J517,$M$6)&amp;"")</f>
        <v>APA New Melbourne Office Consultation from production Team - 26051503</v>
      </c>
      <c r="N517" s="37" t="str">
        <f aca="false">IF($M517="","",TRIM(INDEX($A517:$J517,$N$6)&amp;""))</f>
        <v>APA</v>
      </c>
      <c r="O517" s="37" t="str">
        <f aca="false">IF($M517="","",TRIM(INDEX($A517:$J517,$O$6)&amp;""))</f>
        <v>Consulting</v>
      </c>
      <c r="P517" s="37" t="str">
        <f aca="false">IF($M517="","",IFERROR(IF(INDEX(Settings!$B$41:$B$50,MATCH(O517,Settings!$A$41:$A$50,0))&amp;""="","UNMAPPED",INDEX(Settings!$B$41:$B$50,MATCH(O517,Settings!$A$41:$A$50,0))&amp;""),"UNMAPPED"))</f>
        <v>Consulting</v>
      </c>
      <c r="Q517" s="38" t="n">
        <f aca="false">IF($M517="",0,N(INDEX($A517:$J517,$Q$6)))</f>
        <v>0</v>
      </c>
      <c r="R517" s="39" t="n">
        <f aca="false">IF($M517="","",INDEX($A517:$J517,$R$6))</f>
        <v>46203</v>
      </c>
      <c r="S517" s="37" t="str">
        <f aca="false">IF($M517="","",IFERROR(INDEX(Settings!$B$27:$B$36,MATCH(L517,Settings!$A$27:$A$36,0))&amp;"","UNMAPPED"))</f>
        <v>Lost</v>
      </c>
      <c r="T517" s="37" t="str">
        <f aca="false">IF($M517="","",IF(NOT(ISNUMBER(R517)),"NO DATE",IF(S517="Won",IF(R517&gt;Settings!$B$5,"Backlog","Delivered"),IF(S517="Open",IF(R517&gt;Settings!$B$5,"Pipeline","Overdue"),IF(S517="Lost","Lost","UNMAPPED")))))</f>
        <v>Lost</v>
      </c>
      <c r="U517" s="40" t="n">
        <f aca="false">IF(T517="Backlog",1,IF(OR(T517="Pipeline",T517="Overdue"),N(INDEX(Settings!$C$27:$C$36,MATCH(L517,Settings!$A$27:$A$36,0))),0))</f>
        <v>0</v>
      </c>
      <c r="V517" s="38" t="n">
        <f aca="false">Q517*U517</f>
        <v>0</v>
      </c>
      <c r="W517" s="41" t="n">
        <f aca="false">IF($M517="","",IF(T517="Overdue",IF(Settings!$B$8="Yes",Settings!$B$7,""),IF(ISNUMBER(R517),DATE(YEAR(R517),MONTH(R517),1),"")))</f>
        <v>46174</v>
      </c>
      <c r="X517" s="38" t="n">
        <f aca="false">IF(AND(OR(T517="Backlog",T517="Pipeline",T517="Overdue"),ISNUMBER(W517)),IF(W517&lt;=Settings!$B$6,V517,0),0)</f>
        <v>0</v>
      </c>
      <c r="Y517" s="38" t="n">
        <f aca="false">IF(AND(OR(T517="Backlog",T517="Pipeline",T517="Overdue"),ISNUMBER(W517)),IF(W517&lt;=Settings!$B$6,Q517,0),0)</f>
        <v>0</v>
      </c>
      <c r="Z517" s="38" t="n">
        <f aca="false">IF(Y517=0,0,IF(T517="Backlog",Q517,Q517*Dashboard!$C$10))</f>
        <v>0</v>
      </c>
      <c r="AA517" s="37" t="n">
        <f aca="false">IF($N517="",0,IF(COUNTIF(Dashboard!$C$13:$C$22,$N517)&gt;0,1,0))</f>
        <v>0</v>
      </c>
      <c r="AB517" s="37" t="str">
        <f aca="false">IF($N517="","",IF(COUNTIF($N$8:$N517,$N517)=1,MAX($AB$7:$AB516)+1,""))</f>
        <v/>
      </c>
    </row>
    <row r="518" customFormat="false" ht="15" hidden="false" customHeight="false" outlineLevel="0" collapsed="false">
      <c r="B518" s="32" t="s">
        <v>1259</v>
      </c>
      <c r="C518" s="32" t="s">
        <v>307</v>
      </c>
      <c r="D518" s="35" t="n">
        <v>0</v>
      </c>
      <c r="E518" s="32" t="s">
        <v>208</v>
      </c>
      <c r="F518" s="36" t="n">
        <v>46203</v>
      </c>
      <c r="G518" s="32" t="s">
        <v>1260</v>
      </c>
      <c r="L518" s="37" t="str">
        <f aca="false">IF(INDEX($A518:$J518,$L$6)&lt;&gt;"",TRIM(LEFT(INDEX($A518:$J518,$L$6),FIND("(",INDEX($A518:$J518,$L$6)&amp;"(")-1)),L517)</f>
        <v>Closed Lost</v>
      </c>
      <c r="M518" s="37" t="str">
        <f aca="false">IF(INDEX($A518:$J518,$M$6)="","",INDEX($A518:$J518,$M$6)&amp;"")</f>
        <v>Mid Year Charity Highlights Video 2026</v>
      </c>
      <c r="N518" s="37" t="str">
        <f aca="false">IF($M518="","",TRIM(INDEX($A518:$J518,$N$6)&amp;""))</f>
        <v>ASX Refinitiv Charity Foundation Ltd</v>
      </c>
      <c r="O518" s="37" t="str">
        <f aca="false">IF($M518="","",TRIM(INDEX($A518:$J518,$O$6)&amp;""))</f>
        <v>Video Production</v>
      </c>
      <c r="P518" s="37" t="str">
        <f aca="false">IF($M518="","",IFERROR(IF(INDEX(Settings!$B$41:$B$50,MATCH(O518,Settings!$A$41:$A$50,0))&amp;""="","UNMAPPED",INDEX(Settings!$B$41:$B$50,MATCH(O518,Settings!$A$41:$A$50,0))&amp;""),"UNMAPPED"))</f>
        <v>Video</v>
      </c>
      <c r="Q518" s="38" t="n">
        <f aca="false">IF($M518="",0,N(INDEX($A518:$J518,$Q$6)))</f>
        <v>0</v>
      </c>
      <c r="R518" s="39" t="n">
        <f aca="false">IF($M518="","",INDEX($A518:$J518,$R$6))</f>
        <v>46203</v>
      </c>
      <c r="S518" s="37" t="str">
        <f aca="false">IF($M518="","",IFERROR(INDEX(Settings!$B$27:$B$36,MATCH(L518,Settings!$A$27:$A$36,0))&amp;"","UNMAPPED"))</f>
        <v>Lost</v>
      </c>
      <c r="T518" s="37" t="str">
        <f aca="false">IF($M518="","",IF(NOT(ISNUMBER(R518)),"NO DATE",IF(S518="Won",IF(R518&gt;Settings!$B$5,"Backlog","Delivered"),IF(S518="Open",IF(R518&gt;Settings!$B$5,"Pipeline","Overdue"),IF(S518="Lost","Lost","UNMAPPED")))))</f>
        <v>Lost</v>
      </c>
      <c r="U518" s="40" t="n">
        <f aca="false">IF(T518="Backlog",1,IF(OR(T518="Pipeline",T518="Overdue"),N(INDEX(Settings!$C$27:$C$36,MATCH(L518,Settings!$A$27:$A$36,0))),0))</f>
        <v>0</v>
      </c>
      <c r="V518" s="38" t="n">
        <f aca="false">Q518*U518</f>
        <v>0</v>
      </c>
      <c r="W518" s="41" t="n">
        <f aca="false">IF($M518="","",IF(T518="Overdue",IF(Settings!$B$8="Yes",Settings!$B$7,""),IF(ISNUMBER(R518),DATE(YEAR(R518),MONTH(R518),1),"")))</f>
        <v>46174</v>
      </c>
      <c r="X518" s="38" t="n">
        <f aca="false">IF(AND(OR(T518="Backlog",T518="Pipeline",T518="Overdue"),ISNUMBER(W518)),IF(W518&lt;=Settings!$B$6,V518,0),0)</f>
        <v>0</v>
      </c>
      <c r="Y518" s="38" t="n">
        <f aca="false">IF(AND(OR(T518="Backlog",T518="Pipeline",T518="Overdue"),ISNUMBER(W518)),IF(W518&lt;=Settings!$B$6,Q518,0),0)</f>
        <v>0</v>
      </c>
      <c r="Z518" s="38" t="n">
        <f aca="false">IF(Y518=0,0,IF(T518="Backlog",Q518,Q518*Dashboard!$C$10))</f>
        <v>0</v>
      </c>
      <c r="AA518" s="37" t="n">
        <f aca="false">IF($N518="",0,IF(COUNTIF(Dashboard!$C$13:$C$22,$N518)&gt;0,1,0))</f>
        <v>0</v>
      </c>
      <c r="AB518" s="37" t="str">
        <f aca="false">IF($N518="","",IF(COUNTIF($N$8:$N518,$N518)=1,MAX($AB$7:$AB517)+1,""))</f>
        <v/>
      </c>
    </row>
    <row r="519" customFormat="false" ht="15" hidden="false" customHeight="false" outlineLevel="0" collapsed="false">
      <c r="B519" s="32" t="s">
        <v>1261</v>
      </c>
      <c r="C519" s="32" t="s">
        <v>1262</v>
      </c>
      <c r="D519" s="35" t="n">
        <v>7000</v>
      </c>
      <c r="E519" s="32" t="s">
        <v>173</v>
      </c>
      <c r="F519" s="36" t="n">
        <v>46150</v>
      </c>
      <c r="G519" s="32" t="s">
        <v>1263</v>
      </c>
      <c r="L519" s="37" t="str">
        <f aca="false">IF(INDEX($A519:$J519,$L$6)&lt;&gt;"",TRIM(LEFT(INDEX($A519:$J519,$L$6),FIND("(",INDEX($A519:$J519,$L$6)&amp;"(")-1)),L518)</f>
        <v>Closed Lost</v>
      </c>
      <c r="M519" s="37" t="str">
        <f aca="false">IF(INDEX($A519:$J519,$M$6)="","",INDEX($A519:$J519,$M$6)&amp;"")</f>
        <v>C3 Church system design - 26031201</v>
      </c>
      <c r="N519" s="37" t="str">
        <f aca="false">IF($M519="","",TRIM(INDEX($A519:$J519,$N$6)&amp;""))</f>
        <v>PTS Consulting</v>
      </c>
      <c r="O519" s="37" t="str">
        <f aca="false">IF($M519="","",TRIM(INDEX($A519:$J519,$O$6)&amp;""))</f>
        <v>Consulting</v>
      </c>
      <c r="P519" s="37" t="str">
        <f aca="false">IF($M519="","",IFERROR(IF(INDEX(Settings!$B$41:$B$50,MATCH(O519,Settings!$A$41:$A$50,0))&amp;""="","UNMAPPED",INDEX(Settings!$B$41:$B$50,MATCH(O519,Settings!$A$41:$A$50,0))&amp;""),"UNMAPPED"))</f>
        <v>Consulting</v>
      </c>
      <c r="Q519" s="38" t="n">
        <f aca="false">IF($M519="",0,N(INDEX($A519:$J519,$Q$6)))</f>
        <v>7000</v>
      </c>
      <c r="R519" s="39" t="n">
        <f aca="false">IF($M519="","",INDEX($A519:$J519,$R$6))</f>
        <v>46150</v>
      </c>
      <c r="S519" s="37" t="str">
        <f aca="false">IF($M519="","",IFERROR(INDEX(Settings!$B$27:$B$36,MATCH(L519,Settings!$A$27:$A$36,0))&amp;"","UNMAPPED"))</f>
        <v>Lost</v>
      </c>
      <c r="T519" s="37" t="str">
        <f aca="false">IF($M519="","",IF(NOT(ISNUMBER(R519)),"NO DATE",IF(S519="Won",IF(R519&gt;Settings!$B$5,"Backlog","Delivered"),IF(S519="Open",IF(R519&gt;Settings!$B$5,"Pipeline","Overdue"),IF(S519="Lost","Lost","UNMAPPED")))))</f>
        <v>Lost</v>
      </c>
      <c r="U519" s="40" t="n">
        <f aca="false">IF(T519="Backlog",1,IF(OR(T519="Pipeline",T519="Overdue"),N(INDEX(Settings!$C$27:$C$36,MATCH(L519,Settings!$A$27:$A$36,0))),0))</f>
        <v>0</v>
      </c>
      <c r="V519" s="38" t="n">
        <f aca="false">Q519*U519</f>
        <v>0</v>
      </c>
      <c r="W519" s="41" t="n">
        <f aca="false">IF($M519="","",IF(T519="Overdue",IF(Settings!$B$8="Yes",Settings!$B$7,""),IF(ISNUMBER(R519),DATE(YEAR(R519),MONTH(R519),1),"")))</f>
        <v>46143</v>
      </c>
      <c r="X519" s="38" t="n">
        <f aca="false">IF(AND(OR(T519="Backlog",T519="Pipeline",T519="Overdue"),ISNUMBER(W519)),IF(W519&lt;=Settings!$B$6,V519,0),0)</f>
        <v>0</v>
      </c>
      <c r="Y519" s="38" t="n">
        <f aca="false">IF(AND(OR(T519="Backlog",T519="Pipeline",T519="Overdue"),ISNUMBER(W519)),IF(W519&lt;=Settings!$B$6,Q519,0),0)</f>
        <v>0</v>
      </c>
      <c r="Z519" s="38" t="n">
        <f aca="false">IF(Y519=0,0,IF(T519="Backlog",Q519,Q519*Dashboard!$C$10))</f>
        <v>0</v>
      </c>
      <c r="AA519" s="37" t="n">
        <f aca="false">IF($N519="",0,IF(COUNTIF(Dashboard!$C$13:$C$22,$N519)&gt;0,1,0))</f>
        <v>0</v>
      </c>
      <c r="AB519" s="37" t="n">
        <f aca="false">IF($N519="","",IF(COUNTIF($N$8:$N519,$N519)=1,MAX($AB$7:$AB518)+1,""))</f>
        <v>100</v>
      </c>
    </row>
    <row r="520" customFormat="false" ht="15" hidden="false" customHeight="false" outlineLevel="0" collapsed="false">
      <c r="B520" s="32" t="s">
        <v>1264</v>
      </c>
      <c r="C520" s="32" t="s">
        <v>1265</v>
      </c>
      <c r="D520" s="35" t="n">
        <v>2895</v>
      </c>
      <c r="E520" s="32" t="s">
        <v>145</v>
      </c>
      <c r="F520" s="36" t="n">
        <v>46107</v>
      </c>
      <c r="G520" s="32" t="s">
        <v>1266</v>
      </c>
      <c r="L520" s="37" t="str">
        <f aca="false">IF(INDEX($A520:$J520,$L$6)&lt;&gt;"",TRIM(LEFT(INDEX($A520:$J520,$L$6),FIND("(",INDEX($A520:$J520,$L$6)&amp;"(")-1)),L519)</f>
        <v>Closed Lost</v>
      </c>
      <c r="M520" s="37" t="str">
        <f aca="false">IF(INDEX($A520:$J520,$M$6)="","",INDEX($A520:$J520,$M$6)&amp;"")</f>
        <v>Lander &amp; Rogers - Seminar Event - 26.3.26</v>
      </c>
      <c r="N520" s="37" t="str">
        <f aca="false">IF($M520="","",TRIM(INDEX($A520:$J520,$N$6)&amp;""))</f>
        <v>Lander &amp; Rogers</v>
      </c>
      <c r="O520" s="37" t="str">
        <f aca="false">IF($M520="","",TRIM(INDEX($A520:$J520,$O$6)&amp;""))</f>
        <v>Event Production</v>
      </c>
      <c r="P520" s="37" t="str">
        <f aca="false">IF($M520="","",IFERROR(IF(INDEX(Settings!$B$41:$B$50,MATCH(O520,Settings!$A$41:$A$50,0))&amp;""="","UNMAPPED",INDEX(Settings!$B$41:$B$50,MATCH(O520,Settings!$A$41:$A$50,0))&amp;""),"UNMAPPED"))</f>
        <v>Production</v>
      </c>
      <c r="Q520" s="38" t="n">
        <f aca="false">IF($M520="",0,N(INDEX($A520:$J520,$Q$6)))</f>
        <v>2895</v>
      </c>
      <c r="R520" s="39" t="n">
        <f aca="false">IF($M520="","",INDEX($A520:$J520,$R$6))</f>
        <v>46107</v>
      </c>
      <c r="S520" s="37" t="str">
        <f aca="false">IF($M520="","",IFERROR(INDEX(Settings!$B$27:$B$36,MATCH(L520,Settings!$A$27:$A$36,0))&amp;"","UNMAPPED"))</f>
        <v>Lost</v>
      </c>
      <c r="T520" s="37" t="str">
        <f aca="false">IF($M520="","",IF(NOT(ISNUMBER(R520)),"NO DATE",IF(S520="Won",IF(R520&gt;Settings!$B$5,"Backlog","Delivered"),IF(S520="Open",IF(R520&gt;Settings!$B$5,"Pipeline","Overdue"),IF(S520="Lost","Lost","UNMAPPED")))))</f>
        <v>Lost</v>
      </c>
      <c r="U520" s="40" t="n">
        <f aca="false">IF(T520="Backlog",1,IF(OR(T520="Pipeline",T520="Overdue"),N(INDEX(Settings!$C$27:$C$36,MATCH(L520,Settings!$A$27:$A$36,0))),0))</f>
        <v>0</v>
      </c>
      <c r="V520" s="38" t="n">
        <f aca="false">Q520*U520</f>
        <v>0</v>
      </c>
      <c r="W520" s="41" t="n">
        <f aca="false">IF($M520="","",IF(T520="Overdue",IF(Settings!$B$8="Yes",Settings!$B$7,""),IF(ISNUMBER(R520),DATE(YEAR(R520),MONTH(R520),1),"")))</f>
        <v>46082</v>
      </c>
      <c r="X520" s="38" t="n">
        <f aca="false">IF(AND(OR(T520="Backlog",T520="Pipeline",T520="Overdue"),ISNUMBER(W520)),IF(W520&lt;=Settings!$B$6,V520,0),0)</f>
        <v>0</v>
      </c>
      <c r="Y520" s="38" t="n">
        <f aca="false">IF(AND(OR(T520="Backlog",T520="Pipeline",T520="Overdue"),ISNUMBER(W520)),IF(W520&lt;=Settings!$B$6,Q520,0),0)</f>
        <v>0</v>
      </c>
      <c r="Z520" s="38" t="n">
        <f aca="false">IF(Y520=0,0,IF(T520="Backlog",Q520,Q520*Dashboard!$C$10))</f>
        <v>0</v>
      </c>
      <c r="AA520" s="37" t="n">
        <f aca="false">IF($N520="",0,IF(COUNTIF(Dashboard!$C$13:$C$22,$N520)&gt;0,1,0))</f>
        <v>0</v>
      </c>
      <c r="AB520" s="37" t="n">
        <f aca="false">IF($N520="","",IF(COUNTIF($N$8:$N520,$N520)=1,MAX($AB$7:$AB519)+1,""))</f>
        <v>101</v>
      </c>
    </row>
    <row r="521" customFormat="false" ht="15" hidden="false" customHeight="false" outlineLevel="0" collapsed="false">
      <c r="B521" s="32" t="s">
        <v>1267</v>
      </c>
      <c r="C521" s="32" t="s">
        <v>817</v>
      </c>
      <c r="D521" s="35" t="n">
        <v>850</v>
      </c>
      <c r="E521" s="32" t="s">
        <v>145</v>
      </c>
      <c r="F521" s="36" t="n">
        <v>46161</v>
      </c>
      <c r="G521" s="32" t="s">
        <v>1268</v>
      </c>
      <c r="L521" s="37" t="str">
        <f aca="false">IF(INDEX($A521:$J521,$L$6)&lt;&gt;"",TRIM(LEFT(INDEX($A521:$J521,$L$6),FIND("(",INDEX($A521:$J521,$L$6)&amp;"(")-1)),L520)</f>
        <v>Closed Lost</v>
      </c>
      <c r="M521" s="37" t="str">
        <f aca="false">IF(INDEX($A521:$J521,$M$6)="","",INDEX($A521:$J521,$M$6)&amp;"")</f>
        <v>Optiver - AV Support - 26.5.26</v>
      </c>
      <c r="N521" s="37" t="str">
        <f aca="false">IF($M521="","",TRIM(INDEX($A521:$J521,$N$6)&amp;""))</f>
        <v>Optiver</v>
      </c>
      <c r="O521" s="37" t="str">
        <f aca="false">IF($M521="","",TRIM(INDEX($A521:$J521,$O$6)&amp;""))</f>
        <v>Event Production</v>
      </c>
      <c r="P521" s="37" t="str">
        <f aca="false">IF($M521="","",IFERROR(IF(INDEX(Settings!$B$41:$B$50,MATCH(O521,Settings!$A$41:$A$50,0))&amp;""="","UNMAPPED",INDEX(Settings!$B$41:$B$50,MATCH(O521,Settings!$A$41:$A$50,0))&amp;""),"UNMAPPED"))</f>
        <v>Production</v>
      </c>
      <c r="Q521" s="38" t="n">
        <f aca="false">IF($M521="",0,N(INDEX($A521:$J521,$Q$6)))</f>
        <v>850</v>
      </c>
      <c r="R521" s="39" t="n">
        <f aca="false">IF($M521="","",INDEX($A521:$J521,$R$6))</f>
        <v>46161</v>
      </c>
      <c r="S521" s="37" t="str">
        <f aca="false">IF($M521="","",IFERROR(INDEX(Settings!$B$27:$B$36,MATCH(L521,Settings!$A$27:$A$36,0))&amp;"","UNMAPPED"))</f>
        <v>Lost</v>
      </c>
      <c r="T521" s="37" t="str">
        <f aca="false">IF($M521="","",IF(NOT(ISNUMBER(R521)),"NO DATE",IF(S521="Won",IF(R521&gt;Settings!$B$5,"Backlog","Delivered"),IF(S521="Open",IF(R521&gt;Settings!$B$5,"Pipeline","Overdue"),IF(S521="Lost","Lost","UNMAPPED")))))</f>
        <v>Lost</v>
      </c>
      <c r="U521" s="40" t="n">
        <f aca="false">IF(T521="Backlog",1,IF(OR(T521="Pipeline",T521="Overdue"),N(INDEX(Settings!$C$27:$C$36,MATCH(L521,Settings!$A$27:$A$36,0))),0))</f>
        <v>0</v>
      </c>
      <c r="V521" s="38" t="n">
        <f aca="false">Q521*U521</f>
        <v>0</v>
      </c>
      <c r="W521" s="41" t="n">
        <f aca="false">IF($M521="","",IF(T521="Overdue",IF(Settings!$B$8="Yes",Settings!$B$7,""),IF(ISNUMBER(R521),DATE(YEAR(R521),MONTH(R521),1),"")))</f>
        <v>46143</v>
      </c>
      <c r="X521" s="38" t="n">
        <f aca="false">IF(AND(OR(T521="Backlog",T521="Pipeline",T521="Overdue"),ISNUMBER(W521)),IF(W521&lt;=Settings!$B$6,V521,0),0)</f>
        <v>0</v>
      </c>
      <c r="Y521" s="38" t="n">
        <f aca="false">IF(AND(OR(T521="Backlog",T521="Pipeline",T521="Overdue"),ISNUMBER(W521)),IF(W521&lt;=Settings!$B$6,Q521,0),0)</f>
        <v>0</v>
      </c>
      <c r="Z521" s="38" t="n">
        <f aca="false">IF(Y521=0,0,IF(T521="Backlog",Q521,Q521*Dashboard!$C$10))</f>
        <v>0</v>
      </c>
      <c r="AA521" s="37" t="n">
        <f aca="false">IF($N521="",0,IF(COUNTIF(Dashboard!$C$13:$C$22,$N521)&gt;0,1,0))</f>
        <v>0</v>
      </c>
      <c r="AB521" s="37" t="str">
        <f aca="false">IF($N521="","",IF(COUNTIF($N$8:$N521,$N521)=1,MAX($AB$7:$AB520)+1,""))</f>
        <v/>
      </c>
    </row>
    <row r="522" customFormat="false" ht="15" hidden="false" customHeight="false" outlineLevel="0" collapsed="false">
      <c r="B522" s="32" t="s">
        <v>1269</v>
      </c>
      <c r="C522" s="32" t="s">
        <v>434</v>
      </c>
      <c r="D522" s="35" t="n">
        <v>186</v>
      </c>
      <c r="E522" s="32" t="s">
        <v>173</v>
      </c>
      <c r="F522" s="36" t="n">
        <v>45968</v>
      </c>
      <c r="G522" s="32" t="s">
        <v>1270</v>
      </c>
      <c r="L522" s="37" t="str">
        <f aca="false">IF(INDEX($A522:$J522,$L$6)&lt;&gt;"",TRIM(LEFT(INDEX($A522:$J522,$L$6),FIND("(",INDEX($A522:$J522,$L$6)&amp;"(")-1)),L521)</f>
        <v>Closed Lost</v>
      </c>
      <c r="M522" s="37" t="str">
        <f aca="false">IF(INDEX($A522:$J522,$M$6)="","",INDEX($A522:$J522,$M$6)&amp;"")</f>
        <v>Touchpoints - Wall mount kits for CCX400</v>
      </c>
      <c r="N522" s="37" t="str">
        <f aca="false">IF($M522="","",TRIM(INDEX($A522:$J522,$N$6)&amp;""))</f>
        <v>touchpoint</v>
      </c>
      <c r="O522" s="37" t="str">
        <f aca="false">IF($M522="","",TRIM(INDEX($A522:$J522,$O$6)&amp;""))</f>
        <v>Consulting</v>
      </c>
      <c r="P522" s="37" t="str">
        <f aca="false">IF($M522="","",IFERROR(IF(INDEX(Settings!$B$41:$B$50,MATCH(O522,Settings!$A$41:$A$50,0))&amp;""="","UNMAPPED",INDEX(Settings!$B$41:$B$50,MATCH(O522,Settings!$A$41:$A$50,0))&amp;""),"UNMAPPED"))</f>
        <v>Consulting</v>
      </c>
      <c r="Q522" s="38" t="n">
        <f aca="false">IF($M522="",0,N(INDEX($A522:$J522,$Q$6)))</f>
        <v>186</v>
      </c>
      <c r="R522" s="39" t="n">
        <f aca="false">IF($M522="","",INDEX($A522:$J522,$R$6))</f>
        <v>45968</v>
      </c>
      <c r="S522" s="37" t="str">
        <f aca="false">IF($M522="","",IFERROR(INDEX(Settings!$B$27:$B$36,MATCH(L522,Settings!$A$27:$A$36,0))&amp;"","UNMAPPED"))</f>
        <v>Lost</v>
      </c>
      <c r="T522" s="37" t="str">
        <f aca="false">IF($M522="","",IF(NOT(ISNUMBER(R522)),"NO DATE",IF(S522="Won",IF(R522&gt;Settings!$B$5,"Backlog","Delivered"),IF(S522="Open",IF(R522&gt;Settings!$B$5,"Pipeline","Overdue"),IF(S522="Lost","Lost","UNMAPPED")))))</f>
        <v>Lost</v>
      </c>
      <c r="U522" s="40" t="n">
        <f aca="false">IF(T522="Backlog",1,IF(OR(T522="Pipeline",T522="Overdue"),N(INDEX(Settings!$C$27:$C$36,MATCH(L522,Settings!$A$27:$A$36,0))),0))</f>
        <v>0</v>
      </c>
      <c r="V522" s="38" t="n">
        <f aca="false">Q522*U522</f>
        <v>0</v>
      </c>
      <c r="W522" s="41" t="n">
        <f aca="false">IF($M522="","",IF(T522="Overdue",IF(Settings!$B$8="Yes",Settings!$B$7,""),IF(ISNUMBER(R522),DATE(YEAR(R522),MONTH(R522),1),"")))</f>
        <v>45962</v>
      </c>
      <c r="X522" s="38" t="n">
        <f aca="false">IF(AND(OR(T522="Backlog",T522="Pipeline",T522="Overdue"),ISNUMBER(W522)),IF(W522&lt;=Settings!$B$6,V522,0),0)</f>
        <v>0</v>
      </c>
      <c r="Y522" s="38" t="n">
        <f aca="false">IF(AND(OR(T522="Backlog",T522="Pipeline",T522="Overdue"),ISNUMBER(W522)),IF(W522&lt;=Settings!$B$6,Q522,0),0)</f>
        <v>0</v>
      </c>
      <c r="Z522" s="38" t="n">
        <f aca="false">IF(Y522=0,0,IF(T522="Backlog",Q522,Q522*Dashboard!$C$10))</f>
        <v>0</v>
      </c>
      <c r="AA522" s="37" t="n">
        <f aca="false">IF($N522="",0,IF(COUNTIF(Dashboard!$C$13:$C$22,$N522)&gt;0,1,0))</f>
        <v>0</v>
      </c>
      <c r="AB522" s="37" t="str">
        <f aca="false">IF($N522="","",IF(COUNTIF($N$8:$N522,$N522)=1,MAX($AB$7:$AB521)+1,""))</f>
        <v/>
      </c>
    </row>
    <row r="523" customFormat="false" ht="15" hidden="false" customHeight="false" outlineLevel="0" collapsed="false">
      <c r="B523" s="32" t="s">
        <v>1271</v>
      </c>
      <c r="C523" s="32" t="s">
        <v>154</v>
      </c>
      <c r="D523" s="35"/>
      <c r="E523" s="32" t="s">
        <v>180</v>
      </c>
      <c r="F523" s="36" t="n">
        <v>45933</v>
      </c>
      <c r="G523" s="32" t="s">
        <v>1272</v>
      </c>
      <c r="L523" s="37" t="str">
        <f aca="false">IF(INDEX($A523:$J523,$L$6)&lt;&gt;"",TRIM(LEFT(INDEX($A523:$J523,$L$6),FIND("(",INDEX($A523:$J523,$L$6)&amp;"(")-1)),L522)</f>
        <v>Closed Lost</v>
      </c>
      <c r="M523" s="37" t="str">
        <f aca="false">IF(INDEX($A523:$J523,$M$6)="","",INDEX($A523:$J523,$M$6)&amp;"")</f>
        <v>PWC Ops Stage &amp; Drape Supply</v>
      </c>
      <c r="N523" s="37" t="str">
        <f aca="false">IF($M523="","",TRIM(INDEX($A523:$J523,$N$6)&amp;""))</f>
        <v>PWC</v>
      </c>
      <c r="O523" s="37" t="str">
        <f aca="false">IF($M523="","",TRIM(INDEX($A523:$J523,$O$6)&amp;""))</f>
        <v>Support</v>
      </c>
      <c r="P523" s="37" t="str">
        <f aca="false">IF($M523="","",IFERROR(IF(INDEX(Settings!$B$41:$B$50,MATCH(O523,Settings!$A$41:$A$50,0))&amp;""="","UNMAPPED",INDEX(Settings!$B$41:$B$50,MATCH(O523,Settings!$A$41:$A$50,0))&amp;""),"UNMAPPED"))</f>
        <v>Onsite</v>
      </c>
      <c r="Q523" s="38" t="n">
        <f aca="false">IF($M523="",0,N(INDEX($A523:$J523,$Q$6)))</f>
        <v>0</v>
      </c>
      <c r="R523" s="39" t="n">
        <f aca="false">IF($M523="","",INDEX($A523:$J523,$R$6))</f>
        <v>45933</v>
      </c>
      <c r="S523" s="37" t="str">
        <f aca="false">IF($M523="","",IFERROR(INDEX(Settings!$B$27:$B$36,MATCH(L523,Settings!$A$27:$A$36,0))&amp;"","UNMAPPED"))</f>
        <v>Lost</v>
      </c>
      <c r="T523" s="37" t="str">
        <f aca="false">IF($M523="","",IF(NOT(ISNUMBER(R523)),"NO DATE",IF(S523="Won",IF(R523&gt;Settings!$B$5,"Backlog","Delivered"),IF(S523="Open",IF(R523&gt;Settings!$B$5,"Pipeline","Overdue"),IF(S523="Lost","Lost","UNMAPPED")))))</f>
        <v>Lost</v>
      </c>
      <c r="U523" s="40" t="n">
        <f aca="false">IF(T523="Backlog",1,IF(OR(T523="Pipeline",T523="Overdue"),N(INDEX(Settings!$C$27:$C$36,MATCH(L523,Settings!$A$27:$A$36,0))),0))</f>
        <v>0</v>
      </c>
      <c r="V523" s="38" t="n">
        <f aca="false">Q523*U523</f>
        <v>0</v>
      </c>
      <c r="W523" s="41" t="n">
        <f aca="false">IF($M523="","",IF(T523="Overdue",IF(Settings!$B$8="Yes",Settings!$B$7,""),IF(ISNUMBER(R523),DATE(YEAR(R523),MONTH(R523),1),"")))</f>
        <v>45931</v>
      </c>
      <c r="X523" s="38" t="n">
        <f aca="false">IF(AND(OR(T523="Backlog",T523="Pipeline",T523="Overdue"),ISNUMBER(W523)),IF(W523&lt;=Settings!$B$6,V523,0),0)</f>
        <v>0</v>
      </c>
      <c r="Y523" s="38" t="n">
        <f aca="false">IF(AND(OR(T523="Backlog",T523="Pipeline",T523="Overdue"),ISNUMBER(W523)),IF(W523&lt;=Settings!$B$6,Q523,0),0)</f>
        <v>0</v>
      </c>
      <c r="Z523" s="38" t="n">
        <f aca="false">IF(Y523=0,0,IF(T523="Backlog",Q523,Q523*Dashboard!$C$10))</f>
        <v>0</v>
      </c>
      <c r="AA523" s="37" t="n">
        <f aca="false">IF($N523="",0,IF(COUNTIF(Dashboard!$C$13:$C$22,$N523)&gt;0,1,0))</f>
        <v>0</v>
      </c>
      <c r="AB523" s="37" t="str">
        <f aca="false">IF($N523="","",IF(COUNTIF($N$8:$N523,$N523)=1,MAX($AB$7:$AB522)+1,""))</f>
        <v/>
      </c>
    </row>
    <row r="524" customFormat="false" ht="15" hidden="false" customHeight="false" outlineLevel="0" collapsed="false">
      <c r="B524" s="32" t="s">
        <v>1273</v>
      </c>
      <c r="C524" s="32" t="s">
        <v>199</v>
      </c>
      <c r="D524" s="35" t="n">
        <v>0</v>
      </c>
      <c r="E524" s="32" t="s">
        <v>180</v>
      </c>
      <c r="F524" s="36" t="n">
        <v>46142</v>
      </c>
      <c r="G524" s="32" t="s">
        <v>1274</v>
      </c>
      <c r="L524" s="37" t="str">
        <f aca="false">IF(INDEX($A524:$J524,$L$6)&lt;&gt;"",TRIM(LEFT(INDEX($A524:$J524,$L$6),FIND("(",INDEX($A524:$J524,$L$6)&amp;"(")-1)),L523)</f>
        <v>Closed Lost</v>
      </c>
      <c r="M524" s="37" t="str">
        <f aca="false">IF(INDEX($A524:$J524,$M$6)="","",INDEX($A524:$J524,$M$6)&amp;"")</f>
        <v>Jetstar On-site Resource/s - 2601901</v>
      </c>
      <c r="N524" s="37" t="str">
        <f aca="false">IF($M524="","",TRIM(INDEX($A524:$J524,$N$6)&amp;""))</f>
        <v>Ricoh</v>
      </c>
      <c r="O524" s="37" t="str">
        <f aca="false">IF($M524="","",TRIM(INDEX($A524:$J524,$O$6)&amp;""))</f>
        <v>Support</v>
      </c>
      <c r="P524" s="37" t="str">
        <f aca="false">IF($M524="","",IFERROR(IF(INDEX(Settings!$B$41:$B$50,MATCH(O524,Settings!$A$41:$A$50,0))&amp;""="","UNMAPPED",INDEX(Settings!$B$41:$B$50,MATCH(O524,Settings!$A$41:$A$50,0))&amp;""),"UNMAPPED"))</f>
        <v>Onsite</v>
      </c>
      <c r="Q524" s="38" t="n">
        <f aca="false">IF($M524="",0,N(INDEX($A524:$J524,$Q$6)))</f>
        <v>0</v>
      </c>
      <c r="R524" s="39" t="n">
        <f aca="false">IF($M524="","",INDEX($A524:$J524,$R$6))</f>
        <v>46142</v>
      </c>
      <c r="S524" s="37" t="str">
        <f aca="false">IF($M524="","",IFERROR(INDEX(Settings!$B$27:$B$36,MATCH(L524,Settings!$A$27:$A$36,0))&amp;"","UNMAPPED"))</f>
        <v>Lost</v>
      </c>
      <c r="T524" s="37" t="str">
        <f aca="false">IF($M524="","",IF(NOT(ISNUMBER(R524)),"NO DATE",IF(S524="Won",IF(R524&gt;Settings!$B$5,"Backlog","Delivered"),IF(S524="Open",IF(R524&gt;Settings!$B$5,"Pipeline","Overdue"),IF(S524="Lost","Lost","UNMAPPED")))))</f>
        <v>Lost</v>
      </c>
      <c r="U524" s="40" t="n">
        <f aca="false">IF(T524="Backlog",1,IF(OR(T524="Pipeline",T524="Overdue"),N(INDEX(Settings!$C$27:$C$36,MATCH(L524,Settings!$A$27:$A$36,0))),0))</f>
        <v>0</v>
      </c>
      <c r="V524" s="38" t="n">
        <f aca="false">Q524*U524</f>
        <v>0</v>
      </c>
      <c r="W524" s="41" t="n">
        <f aca="false">IF($M524="","",IF(T524="Overdue",IF(Settings!$B$8="Yes",Settings!$B$7,""),IF(ISNUMBER(R524),DATE(YEAR(R524),MONTH(R524),1),"")))</f>
        <v>46113</v>
      </c>
      <c r="X524" s="38" t="n">
        <f aca="false">IF(AND(OR(T524="Backlog",T524="Pipeline",T524="Overdue"),ISNUMBER(W524)),IF(W524&lt;=Settings!$B$6,V524,0),0)</f>
        <v>0</v>
      </c>
      <c r="Y524" s="38" t="n">
        <f aca="false">IF(AND(OR(T524="Backlog",T524="Pipeline",T524="Overdue"),ISNUMBER(W524)),IF(W524&lt;=Settings!$B$6,Q524,0),0)</f>
        <v>0</v>
      </c>
      <c r="Z524" s="38" t="n">
        <f aca="false">IF(Y524=0,0,IF(T524="Backlog",Q524,Q524*Dashboard!$C$10))</f>
        <v>0</v>
      </c>
      <c r="AA524" s="37" t="n">
        <f aca="false">IF($N524="",0,IF(COUNTIF(Dashboard!$C$13:$C$22,$N524)&gt;0,1,0))</f>
        <v>0</v>
      </c>
      <c r="AB524" s="37" t="str">
        <f aca="false">IF($N524="","",IF(COUNTIF($N$8:$N524,$N524)=1,MAX($AB$7:$AB523)+1,""))</f>
        <v/>
      </c>
    </row>
    <row r="525" customFormat="false" ht="15" hidden="false" customHeight="false" outlineLevel="0" collapsed="false">
      <c r="B525" s="32" t="s">
        <v>1275</v>
      </c>
      <c r="C525" s="32" t="s">
        <v>321</v>
      </c>
      <c r="D525" s="35" t="n">
        <v>49450</v>
      </c>
      <c r="E525" s="32" t="s">
        <v>141</v>
      </c>
      <c r="F525" s="36" t="n">
        <v>46216</v>
      </c>
      <c r="G525" s="32" t="s">
        <v>1276</v>
      </c>
      <c r="L525" s="37" t="str">
        <f aca="false">IF(INDEX($A525:$J525,$L$6)&lt;&gt;"",TRIM(LEFT(INDEX($A525:$J525,$L$6),FIND("(",INDEX($A525:$J525,$L$6)&amp;"(")-1)),L524)</f>
        <v>Closed Lost</v>
      </c>
      <c r="M525" s="37" t="str">
        <f aca="false">IF(INDEX($A525:$J525,$M$6)="","",INDEX($A525:$J525,$M$6)&amp;"")</f>
        <v>HP-Calvary Flexi-Space AV Upgrade - (CA200305) - 26031004</v>
      </c>
      <c r="N525" s="37" t="str">
        <f aca="false">IF($M525="","",TRIM(INDEX($A525:$J525,$N$6)&amp;""))</f>
        <v>HP</v>
      </c>
      <c r="O525" s="37" t="str">
        <f aca="false">IF($M525="","",TRIM(INDEX($A525:$J525,$O$6)&amp;""))</f>
        <v>Integration</v>
      </c>
      <c r="P525" s="37" t="str">
        <f aca="false">IF($M525="","",IFERROR(IF(INDEX(Settings!$B$41:$B$50,MATCH(O525,Settings!$A$41:$A$50,0))&amp;""="","UNMAPPED",INDEX(Settings!$B$41:$B$50,MATCH(O525,Settings!$A$41:$A$50,0))&amp;""),"UNMAPPED"))</f>
        <v>Integration</v>
      </c>
      <c r="Q525" s="38" t="n">
        <f aca="false">IF($M525="",0,N(INDEX($A525:$J525,$Q$6)))</f>
        <v>49450</v>
      </c>
      <c r="R525" s="39" t="n">
        <f aca="false">IF($M525="","",INDEX($A525:$J525,$R$6))</f>
        <v>46216</v>
      </c>
      <c r="S525" s="37" t="str">
        <f aca="false">IF($M525="","",IFERROR(INDEX(Settings!$B$27:$B$36,MATCH(L525,Settings!$A$27:$A$36,0))&amp;"","UNMAPPED"))</f>
        <v>Lost</v>
      </c>
      <c r="T525" s="37" t="str">
        <f aca="false">IF($M525="","",IF(NOT(ISNUMBER(R525)),"NO DATE",IF(S525="Won",IF(R525&gt;Settings!$B$5,"Backlog","Delivered"),IF(S525="Open",IF(R525&gt;Settings!$B$5,"Pipeline","Overdue"),IF(S525="Lost","Lost","UNMAPPED")))))</f>
        <v>Lost</v>
      </c>
      <c r="U525" s="40" t="n">
        <f aca="false">IF(T525="Backlog",1,IF(OR(T525="Pipeline",T525="Overdue"),N(INDEX(Settings!$C$27:$C$36,MATCH(L525,Settings!$A$27:$A$36,0))),0))</f>
        <v>0</v>
      </c>
      <c r="V525" s="38" t="n">
        <f aca="false">Q525*U525</f>
        <v>0</v>
      </c>
      <c r="W525" s="41" t="n">
        <f aca="false">IF($M525="","",IF(T525="Overdue",IF(Settings!$B$8="Yes",Settings!$B$7,""),IF(ISNUMBER(R525),DATE(YEAR(R525),MONTH(R525),1),"")))</f>
        <v>46204</v>
      </c>
      <c r="X525" s="38" t="n">
        <f aca="false">IF(AND(OR(T525="Backlog",T525="Pipeline",T525="Overdue"),ISNUMBER(W525)),IF(W525&lt;=Settings!$B$6,V525,0),0)</f>
        <v>0</v>
      </c>
      <c r="Y525" s="38" t="n">
        <f aca="false">IF(AND(OR(T525="Backlog",T525="Pipeline",T525="Overdue"),ISNUMBER(W525)),IF(W525&lt;=Settings!$B$6,Q525,0),0)</f>
        <v>0</v>
      </c>
      <c r="Z525" s="38" t="n">
        <f aca="false">IF(Y525=0,0,IF(T525="Backlog",Q525,Q525*Dashboard!$C$10))</f>
        <v>0</v>
      </c>
      <c r="AA525" s="37" t="n">
        <f aca="false">IF($N525="",0,IF(COUNTIF(Dashboard!$C$13:$C$22,$N525)&gt;0,1,0))</f>
        <v>0</v>
      </c>
      <c r="AB525" s="37" t="str">
        <f aca="false">IF($N525="","",IF(COUNTIF($N$8:$N525,$N525)=1,MAX($AB$7:$AB524)+1,""))</f>
        <v/>
      </c>
    </row>
    <row r="526" customFormat="false" ht="15" hidden="false" customHeight="false" outlineLevel="0" collapsed="false">
      <c r="B526" s="32" t="s">
        <v>1277</v>
      </c>
      <c r="C526" s="32" t="s">
        <v>163</v>
      </c>
      <c r="D526" s="35" t="n">
        <v>5000</v>
      </c>
      <c r="E526" s="32" t="s">
        <v>173</v>
      </c>
      <c r="F526" s="36" t="n">
        <v>46171</v>
      </c>
      <c r="G526" s="32" t="s">
        <v>1278</v>
      </c>
      <c r="L526" s="37" t="str">
        <f aca="false">IF(INDEX($A526:$J526,$L$6)&lt;&gt;"",TRIM(LEFT(INDEX($A526:$J526,$L$6),FIND("(",INDEX($A526:$J526,$L$6)&amp;"(")-1)),L525)</f>
        <v>Closed Lost</v>
      </c>
      <c r="M526" s="37" t="str">
        <f aca="false">IF(INDEX($A526:$J526,$M$6)="","",INDEX($A526:$J526,$M$6)&amp;"")</f>
        <v>Studio Fitout - 26021703</v>
      </c>
      <c r="N526" s="37" t="str">
        <f aca="false">IF($M526="","",TRIM(INDEX($A526:$J526,$N$6)&amp;""))</f>
        <v>Automic Group</v>
      </c>
      <c r="O526" s="37" t="str">
        <f aca="false">IF($M526="","",TRIM(INDEX($A526:$J526,$O$6)&amp;""))</f>
        <v>Consulting</v>
      </c>
      <c r="P526" s="37" t="str">
        <f aca="false">IF($M526="","",IFERROR(IF(INDEX(Settings!$B$41:$B$50,MATCH(O526,Settings!$A$41:$A$50,0))&amp;""="","UNMAPPED",INDEX(Settings!$B$41:$B$50,MATCH(O526,Settings!$A$41:$A$50,0))&amp;""),"UNMAPPED"))</f>
        <v>Consulting</v>
      </c>
      <c r="Q526" s="38" t="n">
        <f aca="false">IF($M526="",0,N(INDEX($A526:$J526,$Q$6)))</f>
        <v>5000</v>
      </c>
      <c r="R526" s="39" t="n">
        <f aca="false">IF($M526="","",INDEX($A526:$J526,$R$6))</f>
        <v>46171</v>
      </c>
      <c r="S526" s="37" t="str">
        <f aca="false">IF($M526="","",IFERROR(INDEX(Settings!$B$27:$B$36,MATCH(L526,Settings!$A$27:$A$36,0))&amp;"","UNMAPPED"))</f>
        <v>Lost</v>
      </c>
      <c r="T526" s="37" t="str">
        <f aca="false">IF($M526="","",IF(NOT(ISNUMBER(R526)),"NO DATE",IF(S526="Won",IF(R526&gt;Settings!$B$5,"Backlog","Delivered"),IF(S526="Open",IF(R526&gt;Settings!$B$5,"Pipeline","Overdue"),IF(S526="Lost","Lost","UNMAPPED")))))</f>
        <v>Lost</v>
      </c>
      <c r="U526" s="40" t="n">
        <f aca="false">IF(T526="Backlog",1,IF(OR(T526="Pipeline",T526="Overdue"),N(INDEX(Settings!$C$27:$C$36,MATCH(L526,Settings!$A$27:$A$36,0))),0))</f>
        <v>0</v>
      </c>
      <c r="V526" s="38" t="n">
        <f aca="false">Q526*U526</f>
        <v>0</v>
      </c>
      <c r="W526" s="41" t="n">
        <f aca="false">IF($M526="","",IF(T526="Overdue",IF(Settings!$B$8="Yes",Settings!$B$7,""),IF(ISNUMBER(R526),DATE(YEAR(R526),MONTH(R526),1),"")))</f>
        <v>46143</v>
      </c>
      <c r="X526" s="38" t="n">
        <f aca="false">IF(AND(OR(T526="Backlog",T526="Pipeline",T526="Overdue"),ISNUMBER(W526)),IF(W526&lt;=Settings!$B$6,V526,0),0)</f>
        <v>0</v>
      </c>
      <c r="Y526" s="38" t="n">
        <f aca="false">IF(AND(OR(T526="Backlog",T526="Pipeline",T526="Overdue"),ISNUMBER(W526)),IF(W526&lt;=Settings!$B$6,Q526,0),0)</f>
        <v>0</v>
      </c>
      <c r="Z526" s="38" t="n">
        <f aca="false">IF(Y526=0,0,IF(T526="Backlog",Q526,Q526*Dashboard!$C$10))</f>
        <v>0</v>
      </c>
      <c r="AA526" s="37" t="n">
        <f aca="false">IF($N526="",0,IF(COUNTIF(Dashboard!$C$13:$C$22,$N526)&gt;0,1,0))</f>
        <v>0</v>
      </c>
      <c r="AB526" s="37" t="str">
        <f aca="false">IF($N526="","",IF(COUNTIF($N$8:$N526,$N526)=1,MAX($AB$7:$AB525)+1,""))</f>
        <v/>
      </c>
    </row>
    <row r="527" customFormat="false" ht="15" hidden="false" customHeight="false" outlineLevel="0" collapsed="false">
      <c r="B527" s="32" t="s">
        <v>1279</v>
      </c>
      <c r="C527" s="32" t="s">
        <v>154</v>
      </c>
      <c r="D527" s="35" t="n">
        <v>7486</v>
      </c>
      <c r="E527" s="32" t="s">
        <v>141</v>
      </c>
      <c r="F527" s="36" t="n">
        <v>46017</v>
      </c>
      <c r="G527" s="32" t="s">
        <v>1280</v>
      </c>
      <c r="L527" s="37" t="str">
        <f aca="false">IF(INDEX($A527:$J527,$L$6)&lt;&gt;"",TRIM(LEFT(INDEX($A527:$J527,$L$6),FIND("(",INDEX($A527:$J527,$L$6)&amp;"(")-1)),L526)</f>
        <v>Closed Lost</v>
      </c>
      <c r="M527" s="37" t="str">
        <f aca="false">IF(INDEX($A527:$J527,$M$6)="","",INDEX($A527:$J527,$M$6)&amp;"")</f>
        <v>PWC Adelaide LED uplight purchase</v>
      </c>
      <c r="N527" s="37" t="str">
        <f aca="false">IF($M527="","",TRIM(INDEX($A527:$J527,$N$6)&amp;""))</f>
        <v>PWC</v>
      </c>
      <c r="O527" s="37" t="str">
        <f aca="false">IF($M527="","",TRIM(INDEX($A527:$J527,$O$6)&amp;""))</f>
        <v>Integration</v>
      </c>
      <c r="P527" s="37" t="str">
        <f aca="false">IF($M527="","",IFERROR(IF(INDEX(Settings!$B$41:$B$50,MATCH(O527,Settings!$A$41:$A$50,0))&amp;""="","UNMAPPED",INDEX(Settings!$B$41:$B$50,MATCH(O527,Settings!$A$41:$A$50,0))&amp;""),"UNMAPPED"))</f>
        <v>Integration</v>
      </c>
      <c r="Q527" s="38" t="n">
        <f aca="false">IF($M527="",0,N(INDEX($A527:$J527,$Q$6)))</f>
        <v>7486</v>
      </c>
      <c r="R527" s="39" t="n">
        <f aca="false">IF($M527="","",INDEX($A527:$J527,$R$6))</f>
        <v>46017</v>
      </c>
      <c r="S527" s="37" t="str">
        <f aca="false">IF($M527="","",IFERROR(INDEX(Settings!$B$27:$B$36,MATCH(L527,Settings!$A$27:$A$36,0))&amp;"","UNMAPPED"))</f>
        <v>Lost</v>
      </c>
      <c r="T527" s="37" t="str">
        <f aca="false">IF($M527="","",IF(NOT(ISNUMBER(R527)),"NO DATE",IF(S527="Won",IF(R527&gt;Settings!$B$5,"Backlog","Delivered"),IF(S527="Open",IF(R527&gt;Settings!$B$5,"Pipeline","Overdue"),IF(S527="Lost","Lost","UNMAPPED")))))</f>
        <v>Lost</v>
      </c>
      <c r="U527" s="40" t="n">
        <f aca="false">IF(T527="Backlog",1,IF(OR(T527="Pipeline",T527="Overdue"),N(INDEX(Settings!$C$27:$C$36,MATCH(L527,Settings!$A$27:$A$36,0))),0))</f>
        <v>0</v>
      </c>
      <c r="V527" s="38" t="n">
        <f aca="false">Q527*U527</f>
        <v>0</v>
      </c>
      <c r="W527" s="41" t="n">
        <f aca="false">IF($M527="","",IF(T527="Overdue",IF(Settings!$B$8="Yes",Settings!$B$7,""),IF(ISNUMBER(R527),DATE(YEAR(R527),MONTH(R527),1),"")))</f>
        <v>45992</v>
      </c>
      <c r="X527" s="38" t="n">
        <f aca="false">IF(AND(OR(T527="Backlog",T527="Pipeline",T527="Overdue"),ISNUMBER(W527)),IF(W527&lt;=Settings!$B$6,V527,0),0)</f>
        <v>0</v>
      </c>
      <c r="Y527" s="38" t="n">
        <f aca="false">IF(AND(OR(T527="Backlog",T527="Pipeline",T527="Overdue"),ISNUMBER(W527)),IF(W527&lt;=Settings!$B$6,Q527,0),0)</f>
        <v>0</v>
      </c>
      <c r="Z527" s="38" t="n">
        <f aca="false">IF(Y527=0,0,IF(T527="Backlog",Q527,Q527*Dashboard!$C$10))</f>
        <v>0</v>
      </c>
      <c r="AA527" s="37" t="n">
        <f aca="false">IF($N527="",0,IF(COUNTIF(Dashboard!$C$13:$C$22,$N527)&gt;0,1,0))</f>
        <v>0</v>
      </c>
      <c r="AB527" s="37" t="str">
        <f aca="false">IF($N527="","",IF(COUNTIF($N$8:$N527,$N527)=1,MAX($AB$7:$AB526)+1,""))</f>
        <v/>
      </c>
    </row>
    <row r="528" customFormat="false" ht="15" hidden="false" customHeight="false" outlineLevel="0" collapsed="false">
      <c r="B528" s="32" t="s">
        <v>1281</v>
      </c>
      <c r="C528" s="32" t="s">
        <v>140</v>
      </c>
      <c r="D528" s="35" t="n">
        <v>0</v>
      </c>
      <c r="E528" s="32" t="s">
        <v>173</v>
      </c>
      <c r="F528" s="36" t="n">
        <v>46112</v>
      </c>
      <c r="G528" s="32" t="s">
        <v>1282</v>
      </c>
      <c r="L528" s="37" t="str">
        <f aca="false">IF(INDEX($A528:$J528,$L$6)&lt;&gt;"",TRIM(LEFT(INDEX($A528:$J528,$L$6),FIND("(",INDEX($A528:$J528,$L$6)&amp;"(")-1)),L527)</f>
        <v>Closed Lost</v>
      </c>
      <c r="M528" s="37" t="str">
        <f aca="false">IF(INDEX($A528:$J528,$M$6)="","",INDEX($A528:$J528,$M$6)&amp;"")</f>
        <v>Perth Office Upgrade</v>
      </c>
      <c r="N528" s="37" t="str">
        <f aca="false">IF($M528="","",TRIM(INDEX($A528:$J528,$N$6)&amp;""))</f>
        <v>Deloitte Australia</v>
      </c>
      <c r="O528" s="37" t="str">
        <f aca="false">IF($M528="","",TRIM(INDEX($A528:$J528,$O$6)&amp;""))</f>
        <v>Consulting</v>
      </c>
      <c r="P528" s="37" t="str">
        <f aca="false">IF($M528="","",IFERROR(IF(INDEX(Settings!$B$41:$B$50,MATCH(O528,Settings!$A$41:$A$50,0))&amp;""="","UNMAPPED",INDEX(Settings!$B$41:$B$50,MATCH(O528,Settings!$A$41:$A$50,0))&amp;""),"UNMAPPED"))</f>
        <v>Consulting</v>
      </c>
      <c r="Q528" s="38" t="n">
        <f aca="false">IF($M528="",0,N(INDEX($A528:$J528,$Q$6)))</f>
        <v>0</v>
      </c>
      <c r="R528" s="39" t="n">
        <f aca="false">IF($M528="","",INDEX($A528:$J528,$R$6))</f>
        <v>46112</v>
      </c>
      <c r="S528" s="37" t="str">
        <f aca="false">IF($M528="","",IFERROR(INDEX(Settings!$B$27:$B$36,MATCH(L528,Settings!$A$27:$A$36,0))&amp;"","UNMAPPED"))</f>
        <v>Lost</v>
      </c>
      <c r="T528" s="37" t="str">
        <f aca="false">IF($M528="","",IF(NOT(ISNUMBER(R528)),"NO DATE",IF(S528="Won",IF(R528&gt;Settings!$B$5,"Backlog","Delivered"),IF(S528="Open",IF(R528&gt;Settings!$B$5,"Pipeline","Overdue"),IF(S528="Lost","Lost","UNMAPPED")))))</f>
        <v>Lost</v>
      </c>
      <c r="U528" s="40" t="n">
        <f aca="false">IF(T528="Backlog",1,IF(OR(T528="Pipeline",T528="Overdue"),N(INDEX(Settings!$C$27:$C$36,MATCH(L528,Settings!$A$27:$A$36,0))),0))</f>
        <v>0</v>
      </c>
      <c r="V528" s="38" t="n">
        <f aca="false">Q528*U528</f>
        <v>0</v>
      </c>
      <c r="W528" s="41" t="n">
        <f aca="false">IF($M528="","",IF(T528="Overdue",IF(Settings!$B$8="Yes",Settings!$B$7,""),IF(ISNUMBER(R528),DATE(YEAR(R528),MONTH(R528),1),"")))</f>
        <v>46082</v>
      </c>
      <c r="X528" s="38" t="n">
        <f aca="false">IF(AND(OR(T528="Backlog",T528="Pipeline",T528="Overdue"),ISNUMBER(W528)),IF(W528&lt;=Settings!$B$6,V528,0),0)</f>
        <v>0</v>
      </c>
      <c r="Y528" s="38" t="n">
        <f aca="false">IF(AND(OR(T528="Backlog",T528="Pipeline",T528="Overdue"),ISNUMBER(W528)),IF(W528&lt;=Settings!$B$6,Q528,0),0)</f>
        <v>0</v>
      </c>
      <c r="Z528" s="38" t="n">
        <f aca="false">IF(Y528=0,0,IF(T528="Backlog",Q528,Q528*Dashboard!$C$10))</f>
        <v>0</v>
      </c>
      <c r="AA528" s="37" t="n">
        <f aca="false">IF($N528="",0,IF(COUNTIF(Dashboard!$C$13:$C$22,$N528)&gt;0,1,0))</f>
        <v>0</v>
      </c>
      <c r="AB528" s="37" t="str">
        <f aca="false">IF($N528="","",IF(COUNTIF($N$8:$N528,$N528)=1,MAX($AB$7:$AB527)+1,""))</f>
        <v/>
      </c>
    </row>
    <row r="529" customFormat="false" ht="15" hidden="false" customHeight="false" outlineLevel="0" collapsed="false">
      <c r="B529" s="32" t="s">
        <v>1283</v>
      </c>
      <c r="C529" s="32" t="s">
        <v>236</v>
      </c>
      <c r="D529" s="35" t="n">
        <v>2720</v>
      </c>
      <c r="E529" s="32" t="s">
        <v>180</v>
      </c>
      <c r="F529" s="36" t="n">
        <v>46142</v>
      </c>
      <c r="G529" s="32" t="s">
        <v>1284</v>
      </c>
      <c r="L529" s="37" t="str">
        <f aca="false">IF(INDEX($A529:$J529,$L$6)&lt;&gt;"",TRIM(LEFT(INDEX($A529:$J529,$L$6),FIND("(",INDEX($A529:$J529,$L$6)&amp;"(")-1)),L528)</f>
        <v>Closed Lost</v>
      </c>
      <c r="M529" s="37" t="str">
        <f aca="false">IF(INDEX($A529:$J529,$M$6)="","",INDEX($A529:$J529,$M$6)&amp;"")</f>
        <v>TWG - Brisbane Technician - 05/05/26 - 08/05/26_26041601</v>
      </c>
      <c r="N529" s="37" t="str">
        <f aca="false">IF($M529="","",TRIM(INDEX($A529:$J529,$N$6)&amp;""))</f>
        <v>EY</v>
      </c>
      <c r="O529" s="37" t="str">
        <f aca="false">IF($M529="","",TRIM(INDEX($A529:$J529,$O$6)&amp;""))</f>
        <v>Support</v>
      </c>
      <c r="P529" s="37" t="str">
        <f aca="false">IF($M529="","",IFERROR(IF(INDEX(Settings!$B$41:$B$50,MATCH(O529,Settings!$A$41:$A$50,0))&amp;""="","UNMAPPED",INDEX(Settings!$B$41:$B$50,MATCH(O529,Settings!$A$41:$A$50,0))&amp;""),"UNMAPPED"))</f>
        <v>Onsite</v>
      </c>
      <c r="Q529" s="38" t="n">
        <f aca="false">IF($M529="",0,N(INDEX($A529:$J529,$Q$6)))</f>
        <v>2720</v>
      </c>
      <c r="R529" s="39" t="n">
        <f aca="false">IF($M529="","",INDEX($A529:$J529,$R$6))</f>
        <v>46142</v>
      </c>
      <c r="S529" s="37" t="str">
        <f aca="false">IF($M529="","",IFERROR(INDEX(Settings!$B$27:$B$36,MATCH(L529,Settings!$A$27:$A$36,0))&amp;"","UNMAPPED"))</f>
        <v>Lost</v>
      </c>
      <c r="T529" s="37" t="str">
        <f aca="false">IF($M529="","",IF(NOT(ISNUMBER(R529)),"NO DATE",IF(S529="Won",IF(R529&gt;Settings!$B$5,"Backlog","Delivered"),IF(S529="Open",IF(R529&gt;Settings!$B$5,"Pipeline","Overdue"),IF(S529="Lost","Lost","UNMAPPED")))))</f>
        <v>Lost</v>
      </c>
      <c r="U529" s="40" t="n">
        <f aca="false">IF(T529="Backlog",1,IF(OR(T529="Pipeline",T529="Overdue"),N(INDEX(Settings!$C$27:$C$36,MATCH(L529,Settings!$A$27:$A$36,0))),0))</f>
        <v>0</v>
      </c>
      <c r="V529" s="38" t="n">
        <f aca="false">Q529*U529</f>
        <v>0</v>
      </c>
      <c r="W529" s="41" t="n">
        <f aca="false">IF($M529="","",IF(T529="Overdue",IF(Settings!$B$8="Yes",Settings!$B$7,""),IF(ISNUMBER(R529),DATE(YEAR(R529),MONTH(R529),1),"")))</f>
        <v>46113</v>
      </c>
      <c r="X529" s="38" t="n">
        <f aca="false">IF(AND(OR(T529="Backlog",T529="Pipeline",T529="Overdue"),ISNUMBER(W529)),IF(W529&lt;=Settings!$B$6,V529,0),0)</f>
        <v>0</v>
      </c>
      <c r="Y529" s="38" t="n">
        <f aca="false">IF(AND(OR(T529="Backlog",T529="Pipeline",T529="Overdue"),ISNUMBER(W529)),IF(W529&lt;=Settings!$B$6,Q529,0),0)</f>
        <v>0</v>
      </c>
      <c r="Z529" s="38" t="n">
        <f aca="false">IF(Y529=0,0,IF(T529="Backlog",Q529,Q529*Dashboard!$C$10))</f>
        <v>0</v>
      </c>
      <c r="AA529" s="37" t="n">
        <f aca="false">IF($N529="",0,IF(COUNTIF(Dashboard!$C$13:$C$22,$N529)&gt;0,1,0))</f>
        <v>0</v>
      </c>
      <c r="AB529" s="37" t="str">
        <f aca="false">IF($N529="","",IF(COUNTIF($N$8:$N529,$N529)=1,MAX($AB$7:$AB528)+1,""))</f>
        <v/>
      </c>
    </row>
    <row r="530" customFormat="false" ht="15" hidden="false" customHeight="false" outlineLevel="0" collapsed="false">
      <c r="B530" s="32" t="s">
        <v>1285</v>
      </c>
      <c r="C530" s="32" t="s">
        <v>772</v>
      </c>
      <c r="D530" s="35" t="n">
        <v>1000</v>
      </c>
      <c r="E530" s="32" t="s">
        <v>145</v>
      </c>
      <c r="F530" s="36" t="n">
        <v>46234</v>
      </c>
      <c r="G530" s="32" t="s">
        <v>1286</v>
      </c>
      <c r="L530" s="37" t="str">
        <f aca="false">IF(INDEX($A530:$J530,$L$6)&lt;&gt;"",TRIM(LEFT(INDEX($A530:$J530,$L$6),FIND("(",INDEX($A530:$J530,$L$6)&amp;"(")-1)),L529)</f>
        <v>Closed Lost</v>
      </c>
      <c r="M530" s="37" t="str">
        <f aca="false">IF(INDEX($A530:$J530,$M$6)="","",INDEX($A530:$J530,$M$6)&amp;"")</f>
        <v>ICC - AV Tech Support - 13.8.26</v>
      </c>
      <c r="N530" s="37" t="str">
        <f aca="false">IF($M530="","",TRIM(INDEX($A530:$J530,$N$6)&amp;""))</f>
        <v>ICC Sydney - International Convention &amp; Exhibition Centre</v>
      </c>
      <c r="O530" s="37" t="str">
        <f aca="false">IF($M530="","",TRIM(INDEX($A530:$J530,$O$6)&amp;""))</f>
        <v>Event Production</v>
      </c>
      <c r="P530" s="37" t="str">
        <f aca="false">IF($M530="","",IFERROR(IF(INDEX(Settings!$B$41:$B$50,MATCH(O530,Settings!$A$41:$A$50,0))&amp;""="","UNMAPPED",INDEX(Settings!$B$41:$B$50,MATCH(O530,Settings!$A$41:$A$50,0))&amp;""),"UNMAPPED"))</f>
        <v>Production</v>
      </c>
      <c r="Q530" s="38" t="n">
        <f aca="false">IF($M530="",0,N(INDEX($A530:$J530,$Q$6)))</f>
        <v>1000</v>
      </c>
      <c r="R530" s="39" t="n">
        <f aca="false">IF($M530="","",INDEX($A530:$J530,$R$6))</f>
        <v>46234</v>
      </c>
      <c r="S530" s="37" t="str">
        <f aca="false">IF($M530="","",IFERROR(INDEX(Settings!$B$27:$B$36,MATCH(L530,Settings!$A$27:$A$36,0))&amp;"","UNMAPPED"))</f>
        <v>Lost</v>
      </c>
      <c r="T530" s="37" t="str">
        <f aca="false">IF($M530="","",IF(NOT(ISNUMBER(R530)),"NO DATE",IF(S530="Won",IF(R530&gt;Settings!$B$5,"Backlog","Delivered"),IF(S530="Open",IF(R530&gt;Settings!$B$5,"Pipeline","Overdue"),IF(S530="Lost","Lost","UNMAPPED")))))</f>
        <v>Lost</v>
      </c>
      <c r="U530" s="40" t="n">
        <f aca="false">IF(T530="Backlog",1,IF(OR(T530="Pipeline",T530="Overdue"),N(INDEX(Settings!$C$27:$C$36,MATCH(L530,Settings!$A$27:$A$36,0))),0))</f>
        <v>0</v>
      </c>
      <c r="V530" s="38" t="n">
        <f aca="false">Q530*U530</f>
        <v>0</v>
      </c>
      <c r="W530" s="41" t="n">
        <f aca="false">IF($M530="","",IF(T530="Overdue",IF(Settings!$B$8="Yes",Settings!$B$7,""),IF(ISNUMBER(R530),DATE(YEAR(R530),MONTH(R530),1),"")))</f>
        <v>46204</v>
      </c>
      <c r="X530" s="38" t="n">
        <f aca="false">IF(AND(OR(T530="Backlog",T530="Pipeline",T530="Overdue"),ISNUMBER(W530)),IF(W530&lt;=Settings!$B$6,V530,0),0)</f>
        <v>0</v>
      </c>
      <c r="Y530" s="38" t="n">
        <f aca="false">IF(AND(OR(T530="Backlog",T530="Pipeline",T530="Overdue"),ISNUMBER(W530)),IF(W530&lt;=Settings!$B$6,Q530,0),0)</f>
        <v>0</v>
      </c>
      <c r="Z530" s="38" t="n">
        <f aca="false">IF(Y530=0,0,IF(T530="Backlog",Q530,Q530*Dashboard!$C$10))</f>
        <v>0</v>
      </c>
      <c r="AA530" s="37" t="n">
        <f aca="false">IF($N530="",0,IF(COUNTIF(Dashboard!$C$13:$C$22,$N530)&gt;0,1,0))</f>
        <v>0</v>
      </c>
      <c r="AB530" s="37" t="str">
        <f aca="false">IF($N530="","",IF(COUNTIF($N$8:$N530,$N530)=1,MAX($AB$7:$AB529)+1,""))</f>
        <v/>
      </c>
    </row>
    <row r="531" customFormat="false" ht="15" hidden="false" customHeight="false" outlineLevel="0" collapsed="false">
      <c r="B531" s="32" t="s">
        <v>1287</v>
      </c>
      <c r="C531" s="32" t="s">
        <v>1262</v>
      </c>
      <c r="D531" s="35" t="n">
        <v>1500</v>
      </c>
      <c r="E531" s="32" t="s">
        <v>173</v>
      </c>
      <c r="F531" s="36" t="n">
        <v>46140</v>
      </c>
      <c r="G531" s="32" t="s">
        <v>1288</v>
      </c>
      <c r="L531" s="37" t="str">
        <f aca="false">IF(INDEX($A531:$J531,$L$6)&lt;&gt;"",TRIM(LEFT(INDEX($A531:$J531,$L$6),FIND("(",INDEX($A531:$J531,$L$6)&amp;"(")-1)),L530)</f>
        <v>Closed Lost</v>
      </c>
      <c r="M531" s="37" t="str">
        <f aca="false">IF(INDEX($A531:$J531,$M$6)="","",INDEX($A531:$J531,$M$6)&amp;"")</f>
        <v>AV Witness Testing - 26031202</v>
      </c>
      <c r="N531" s="37" t="str">
        <f aca="false">IF($M531="","",TRIM(INDEX($A531:$J531,$N$6)&amp;""))</f>
        <v>PTS Consulting</v>
      </c>
      <c r="O531" s="37" t="str">
        <f aca="false">IF($M531="","",TRIM(INDEX($A531:$J531,$O$6)&amp;""))</f>
        <v>Consulting</v>
      </c>
      <c r="P531" s="37" t="str">
        <f aca="false">IF($M531="","",IFERROR(IF(INDEX(Settings!$B$41:$B$50,MATCH(O531,Settings!$A$41:$A$50,0))&amp;""="","UNMAPPED",INDEX(Settings!$B$41:$B$50,MATCH(O531,Settings!$A$41:$A$50,0))&amp;""),"UNMAPPED"))</f>
        <v>Consulting</v>
      </c>
      <c r="Q531" s="38" t="n">
        <f aca="false">IF($M531="",0,N(INDEX($A531:$J531,$Q$6)))</f>
        <v>1500</v>
      </c>
      <c r="R531" s="39" t="n">
        <f aca="false">IF($M531="","",INDEX($A531:$J531,$R$6))</f>
        <v>46140</v>
      </c>
      <c r="S531" s="37" t="str">
        <f aca="false">IF($M531="","",IFERROR(INDEX(Settings!$B$27:$B$36,MATCH(L531,Settings!$A$27:$A$36,0))&amp;"","UNMAPPED"))</f>
        <v>Lost</v>
      </c>
      <c r="T531" s="37" t="str">
        <f aca="false">IF($M531="","",IF(NOT(ISNUMBER(R531)),"NO DATE",IF(S531="Won",IF(R531&gt;Settings!$B$5,"Backlog","Delivered"),IF(S531="Open",IF(R531&gt;Settings!$B$5,"Pipeline","Overdue"),IF(S531="Lost","Lost","UNMAPPED")))))</f>
        <v>Lost</v>
      </c>
      <c r="U531" s="40" t="n">
        <f aca="false">IF(T531="Backlog",1,IF(OR(T531="Pipeline",T531="Overdue"),N(INDEX(Settings!$C$27:$C$36,MATCH(L531,Settings!$A$27:$A$36,0))),0))</f>
        <v>0</v>
      </c>
      <c r="V531" s="38" t="n">
        <f aca="false">Q531*U531</f>
        <v>0</v>
      </c>
      <c r="W531" s="41" t="n">
        <f aca="false">IF($M531="","",IF(T531="Overdue",IF(Settings!$B$8="Yes",Settings!$B$7,""),IF(ISNUMBER(R531),DATE(YEAR(R531),MONTH(R531),1),"")))</f>
        <v>46113</v>
      </c>
      <c r="X531" s="38" t="n">
        <f aca="false">IF(AND(OR(T531="Backlog",T531="Pipeline",T531="Overdue"),ISNUMBER(W531)),IF(W531&lt;=Settings!$B$6,V531,0),0)</f>
        <v>0</v>
      </c>
      <c r="Y531" s="38" t="n">
        <f aca="false">IF(AND(OR(T531="Backlog",T531="Pipeline",T531="Overdue"),ISNUMBER(W531)),IF(W531&lt;=Settings!$B$6,Q531,0),0)</f>
        <v>0</v>
      </c>
      <c r="Z531" s="38" t="n">
        <f aca="false">IF(Y531=0,0,IF(T531="Backlog",Q531,Q531*Dashboard!$C$10))</f>
        <v>0</v>
      </c>
      <c r="AA531" s="37" t="n">
        <f aca="false">IF($N531="",0,IF(COUNTIF(Dashboard!$C$13:$C$22,$N531)&gt;0,1,0))</f>
        <v>0</v>
      </c>
      <c r="AB531" s="37" t="str">
        <f aca="false">IF($N531="","",IF(COUNTIF($N$8:$N531,$N531)=1,MAX($AB$7:$AB530)+1,""))</f>
        <v/>
      </c>
    </row>
    <row r="532" customFormat="false" ht="15" hidden="false" customHeight="false" outlineLevel="0" collapsed="false">
      <c r="B532" s="32" t="s">
        <v>1289</v>
      </c>
      <c r="C532" s="32" t="s">
        <v>321</v>
      </c>
      <c r="D532" s="35" t="n">
        <v>20610</v>
      </c>
      <c r="E532" s="32" t="s">
        <v>141</v>
      </c>
      <c r="F532" s="36" t="n">
        <v>46216</v>
      </c>
      <c r="G532" s="32" t="s">
        <v>1290</v>
      </c>
      <c r="L532" s="37" t="str">
        <f aca="false">IF(INDEX($A532:$J532,$L$6)&lt;&gt;"",TRIM(LEFT(INDEX($A532:$J532,$L$6),FIND("(",INDEX($A532:$J532,$L$6)&amp;"(")-1)),L531)</f>
        <v>Closed Lost</v>
      </c>
      <c r="M532" s="37" t="str">
        <f aca="false">IF(INDEX($A532:$J532,$M$6)="","",INDEX($A532:$J532,$M$6)&amp;"")</f>
        <v>HP-PMI | Multiple Rooms MCS Install - 26032601</v>
      </c>
      <c r="N532" s="37" t="str">
        <f aca="false">IF($M532="","",TRIM(INDEX($A532:$J532,$N$6)&amp;""))</f>
        <v>HP</v>
      </c>
      <c r="O532" s="37" t="str">
        <f aca="false">IF($M532="","",TRIM(INDEX($A532:$J532,$O$6)&amp;""))</f>
        <v>Integration</v>
      </c>
      <c r="P532" s="37" t="str">
        <f aca="false">IF($M532="","",IFERROR(IF(INDEX(Settings!$B$41:$B$50,MATCH(O532,Settings!$A$41:$A$50,0))&amp;""="","UNMAPPED",INDEX(Settings!$B$41:$B$50,MATCH(O532,Settings!$A$41:$A$50,0))&amp;""),"UNMAPPED"))</f>
        <v>Integration</v>
      </c>
      <c r="Q532" s="38" t="n">
        <f aca="false">IF($M532="",0,N(INDEX($A532:$J532,$Q$6)))</f>
        <v>20610</v>
      </c>
      <c r="R532" s="39" t="n">
        <f aca="false">IF($M532="","",INDEX($A532:$J532,$R$6))</f>
        <v>46216</v>
      </c>
      <c r="S532" s="37" t="str">
        <f aca="false">IF($M532="","",IFERROR(INDEX(Settings!$B$27:$B$36,MATCH(L532,Settings!$A$27:$A$36,0))&amp;"","UNMAPPED"))</f>
        <v>Lost</v>
      </c>
      <c r="T532" s="37" t="str">
        <f aca="false">IF($M532="","",IF(NOT(ISNUMBER(R532)),"NO DATE",IF(S532="Won",IF(R532&gt;Settings!$B$5,"Backlog","Delivered"),IF(S532="Open",IF(R532&gt;Settings!$B$5,"Pipeline","Overdue"),IF(S532="Lost","Lost","UNMAPPED")))))</f>
        <v>Lost</v>
      </c>
      <c r="U532" s="40" t="n">
        <f aca="false">IF(T532="Backlog",1,IF(OR(T532="Pipeline",T532="Overdue"),N(INDEX(Settings!$C$27:$C$36,MATCH(L532,Settings!$A$27:$A$36,0))),0))</f>
        <v>0</v>
      </c>
      <c r="V532" s="38" t="n">
        <f aca="false">Q532*U532</f>
        <v>0</v>
      </c>
      <c r="W532" s="41" t="n">
        <f aca="false">IF($M532="","",IF(T532="Overdue",IF(Settings!$B$8="Yes",Settings!$B$7,""),IF(ISNUMBER(R532),DATE(YEAR(R532),MONTH(R532),1),"")))</f>
        <v>46204</v>
      </c>
      <c r="X532" s="38" t="n">
        <f aca="false">IF(AND(OR(T532="Backlog",T532="Pipeline",T532="Overdue"),ISNUMBER(W532)),IF(W532&lt;=Settings!$B$6,V532,0),0)</f>
        <v>0</v>
      </c>
      <c r="Y532" s="38" t="n">
        <f aca="false">IF(AND(OR(T532="Backlog",T532="Pipeline",T532="Overdue"),ISNUMBER(W532)),IF(W532&lt;=Settings!$B$6,Q532,0),0)</f>
        <v>0</v>
      </c>
      <c r="Z532" s="38" t="n">
        <f aca="false">IF(Y532=0,0,IF(T532="Backlog",Q532,Q532*Dashboard!$C$10))</f>
        <v>0</v>
      </c>
      <c r="AA532" s="37" t="n">
        <f aca="false">IF($N532="",0,IF(COUNTIF(Dashboard!$C$13:$C$22,$N532)&gt;0,1,0))</f>
        <v>0</v>
      </c>
      <c r="AB532" s="37" t="str">
        <f aca="false">IF($N532="","",IF(COUNTIF($N$8:$N532,$N532)=1,MAX($AB$7:$AB531)+1,""))</f>
        <v/>
      </c>
    </row>
    <row r="533" customFormat="false" ht="15" hidden="false" customHeight="false" outlineLevel="0" collapsed="false">
      <c r="B533" s="32" t="s">
        <v>1291</v>
      </c>
      <c r="C533" s="32" t="s">
        <v>140</v>
      </c>
      <c r="D533" s="35" t="n">
        <v>30000</v>
      </c>
      <c r="E533" s="32" t="s">
        <v>173</v>
      </c>
      <c r="F533" s="36" t="n">
        <v>46168</v>
      </c>
      <c r="G533" s="32" t="s">
        <v>1292</v>
      </c>
      <c r="L533" s="37" t="str">
        <f aca="false">IF(INDEX($A533:$J533,$L$6)&lt;&gt;"",TRIM(LEFT(INDEX($A533:$J533,$L$6),FIND("(",INDEX($A533:$J533,$L$6)&amp;"(")-1)),L532)</f>
        <v>Closed Lost</v>
      </c>
      <c r="M533" s="37" t="str">
        <f aca="false">IF(INDEX($A533:$J533,$M$6)="","",INDEX($A533:$J533,$M$6)&amp;"")</f>
        <v>DTTL ITS consulting engagement - 2603301</v>
      </c>
      <c r="N533" s="37" t="str">
        <f aca="false">IF($M533="","",TRIM(INDEX($A533:$J533,$N$6)&amp;""))</f>
        <v>Deloitte Australia</v>
      </c>
      <c r="O533" s="37" t="str">
        <f aca="false">IF($M533="","",TRIM(INDEX($A533:$J533,$O$6)&amp;""))</f>
        <v>Consulting</v>
      </c>
      <c r="P533" s="37" t="str">
        <f aca="false">IF($M533="","",IFERROR(IF(INDEX(Settings!$B$41:$B$50,MATCH(O533,Settings!$A$41:$A$50,0))&amp;""="","UNMAPPED",INDEX(Settings!$B$41:$B$50,MATCH(O533,Settings!$A$41:$A$50,0))&amp;""),"UNMAPPED"))</f>
        <v>Consulting</v>
      </c>
      <c r="Q533" s="38" t="n">
        <f aca="false">IF($M533="",0,N(INDEX($A533:$J533,$Q$6)))</f>
        <v>30000</v>
      </c>
      <c r="R533" s="39" t="n">
        <f aca="false">IF($M533="","",INDEX($A533:$J533,$R$6))</f>
        <v>46168</v>
      </c>
      <c r="S533" s="37" t="str">
        <f aca="false">IF($M533="","",IFERROR(INDEX(Settings!$B$27:$B$36,MATCH(L533,Settings!$A$27:$A$36,0))&amp;"","UNMAPPED"))</f>
        <v>Lost</v>
      </c>
      <c r="T533" s="37" t="str">
        <f aca="false">IF($M533="","",IF(NOT(ISNUMBER(R533)),"NO DATE",IF(S533="Won",IF(R533&gt;Settings!$B$5,"Backlog","Delivered"),IF(S533="Open",IF(R533&gt;Settings!$B$5,"Pipeline","Overdue"),IF(S533="Lost","Lost","UNMAPPED")))))</f>
        <v>Lost</v>
      </c>
      <c r="U533" s="40" t="n">
        <f aca="false">IF(T533="Backlog",1,IF(OR(T533="Pipeline",T533="Overdue"),N(INDEX(Settings!$C$27:$C$36,MATCH(L533,Settings!$A$27:$A$36,0))),0))</f>
        <v>0</v>
      </c>
      <c r="V533" s="38" t="n">
        <f aca="false">Q533*U533</f>
        <v>0</v>
      </c>
      <c r="W533" s="41" t="n">
        <f aca="false">IF($M533="","",IF(T533="Overdue",IF(Settings!$B$8="Yes",Settings!$B$7,""),IF(ISNUMBER(R533),DATE(YEAR(R533),MONTH(R533),1),"")))</f>
        <v>46143</v>
      </c>
      <c r="X533" s="38" t="n">
        <f aca="false">IF(AND(OR(T533="Backlog",T533="Pipeline",T533="Overdue"),ISNUMBER(W533)),IF(W533&lt;=Settings!$B$6,V533,0),0)</f>
        <v>0</v>
      </c>
      <c r="Y533" s="38" t="n">
        <f aca="false">IF(AND(OR(T533="Backlog",T533="Pipeline",T533="Overdue"),ISNUMBER(W533)),IF(W533&lt;=Settings!$B$6,Q533,0),0)</f>
        <v>0</v>
      </c>
      <c r="Z533" s="38" t="n">
        <f aca="false">IF(Y533=0,0,IF(T533="Backlog",Q533,Q533*Dashboard!$C$10))</f>
        <v>0</v>
      </c>
      <c r="AA533" s="37" t="n">
        <f aca="false">IF($N533="",0,IF(COUNTIF(Dashboard!$C$13:$C$22,$N533)&gt;0,1,0))</f>
        <v>0</v>
      </c>
      <c r="AB533" s="37" t="str">
        <f aca="false">IF($N533="","",IF(COUNTIF($N$8:$N533,$N533)=1,MAX($AB$7:$AB532)+1,""))</f>
        <v/>
      </c>
    </row>
    <row r="534" customFormat="false" ht="15" hidden="false" customHeight="false" outlineLevel="0" collapsed="false">
      <c r="B534" s="32" t="s">
        <v>1293</v>
      </c>
      <c r="C534" s="32" t="s">
        <v>817</v>
      </c>
      <c r="D534" s="35" t="n">
        <v>850</v>
      </c>
      <c r="E534" s="32" t="s">
        <v>145</v>
      </c>
      <c r="F534" s="36" t="n">
        <v>46153</v>
      </c>
      <c r="G534" s="32" t="s">
        <v>1294</v>
      </c>
      <c r="L534" s="37" t="str">
        <f aca="false">IF(INDEX($A534:$J534,$L$6)&lt;&gt;"",TRIM(LEFT(INDEX($A534:$J534,$L$6),FIND("(",INDEX($A534:$J534,$L$6)&amp;"(")-1)),L533)</f>
        <v>Closed Lost</v>
      </c>
      <c r="M534" s="37" t="str">
        <f aca="false">IF(INDEX($A534:$J534,$M$6)="","",INDEX($A534:$J534,$M$6)&amp;"")</f>
        <v>Optiver - AV Support - 9.6.26</v>
      </c>
      <c r="N534" s="37" t="str">
        <f aca="false">IF($M534="","",TRIM(INDEX($A534:$J534,$N$6)&amp;""))</f>
        <v>Optiver</v>
      </c>
      <c r="O534" s="37" t="str">
        <f aca="false">IF($M534="","",TRIM(INDEX($A534:$J534,$O$6)&amp;""))</f>
        <v>Event Production</v>
      </c>
      <c r="P534" s="37" t="str">
        <f aca="false">IF($M534="","",IFERROR(IF(INDEX(Settings!$B$41:$B$50,MATCH(O534,Settings!$A$41:$A$50,0))&amp;""="","UNMAPPED",INDEX(Settings!$B$41:$B$50,MATCH(O534,Settings!$A$41:$A$50,0))&amp;""),"UNMAPPED"))</f>
        <v>Production</v>
      </c>
      <c r="Q534" s="38" t="n">
        <f aca="false">IF($M534="",0,N(INDEX($A534:$J534,$Q$6)))</f>
        <v>850</v>
      </c>
      <c r="R534" s="39" t="n">
        <f aca="false">IF($M534="","",INDEX($A534:$J534,$R$6))</f>
        <v>46153</v>
      </c>
      <c r="S534" s="37" t="str">
        <f aca="false">IF($M534="","",IFERROR(INDEX(Settings!$B$27:$B$36,MATCH(L534,Settings!$A$27:$A$36,0))&amp;"","UNMAPPED"))</f>
        <v>Lost</v>
      </c>
      <c r="T534" s="37" t="str">
        <f aca="false">IF($M534="","",IF(NOT(ISNUMBER(R534)),"NO DATE",IF(S534="Won",IF(R534&gt;Settings!$B$5,"Backlog","Delivered"),IF(S534="Open",IF(R534&gt;Settings!$B$5,"Pipeline","Overdue"),IF(S534="Lost","Lost","UNMAPPED")))))</f>
        <v>Lost</v>
      </c>
      <c r="U534" s="40" t="n">
        <f aca="false">IF(T534="Backlog",1,IF(OR(T534="Pipeline",T534="Overdue"),N(INDEX(Settings!$C$27:$C$36,MATCH(L534,Settings!$A$27:$A$36,0))),0))</f>
        <v>0</v>
      </c>
      <c r="V534" s="38" t="n">
        <f aca="false">Q534*U534</f>
        <v>0</v>
      </c>
      <c r="W534" s="41" t="n">
        <f aca="false">IF($M534="","",IF(T534="Overdue",IF(Settings!$B$8="Yes",Settings!$B$7,""),IF(ISNUMBER(R534),DATE(YEAR(R534),MONTH(R534),1),"")))</f>
        <v>46143</v>
      </c>
      <c r="X534" s="38" t="n">
        <f aca="false">IF(AND(OR(T534="Backlog",T534="Pipeline",T534="Overdue"),ISNUMBER(W534)),IF(W534&lt;=Settings!$B$6,V534,0),0)</f>
        <v>0</v>
      </c>
      <c r="Y534" s="38" t="n">
        <f aca="false">IF(AND(OR(T534="Backlog",T534="Pipeline",T534="Overdue"),ISNUMBER(W534)),IF(W534&lt;=Settings!$B$6,Q534,0),0)</f>
        <v>0</v>
      </c>
      <c r="Z534" s="38" t="n">
        <f aca="false">IF(Y534=0,0,IF(T534="Backlog",Q534,Q534*Dashboard!$C$10))</f>
        <v>0</v>
      </c>
      <c r="AA534" s="37" t="n">
        <f aca="false">IF($N534="",0,IF(COUNTIF(Dashboard!$C$13:$C$22,$N534)&gt;0,1,0))</f>
        <v>0</v>
      </c>
      <c r="AB534" s="37" t="str">
        <f aca="false">IF($N534="","",IF(COUNTIF($N$8:$N534,$N534)=1,MAX($AB$7:$AB533)+1,""))</f>
        <v/>
      </c>
    </row>
    <row r="535" customFormat="false" ht="15" hidden="false" customHeight="false" outlineLevel="0" collapsed="false">
      <c r="B535" s="32" t="s">
        <v>1295</v>
      </c>
      <c r="C535" s="32" t="s">
        <v>244</v>
      </c>
      <c r="D535" s="35"/>
      <c r="E535" s="32" t="s">
        <v>173</v>
      </c>
      <c r="F535" s="36" t="n">
        <v>46052</v>
      </c>
      <c r="G535" s="32" t="s">
        <v>1296</v>
      </c>
      <c r="L535" s="37" t="str">
        <f aca="false">IF(INDEX($A535:$J535,$L$6)&lt;&gt;"",TRIM(LEFT(INDEX($A535:$J535,$L$6),FIND("(",INDEX($A535:$J535,$L$6)&amp;"(")-1)),L534)</f>
        <v>Closed Lost</v>
      </c>
      <c r="M535" s="37" t="str">
        <f aca="false">IF(INDEX($A535:$J535,$M$6)="","",INDEX($A535:$J535,$M$6)&amp;"")</f>
        <v>APA ADL - Brother Printer and Labels</v>
      </c>
      <c r="N535" s="37" t="str">
        <f aca="false">IF($M535="","",TRIM(INDEX($A535:$J535,$N$6)&amp;""))</f>
        <v>APA</v>
      </c>
      <c r="O535" s="37" t="str">
        <f aca="false">IF($M535="","",TRIM(INDEX($A535:$J535,$O$6)&amp;""))</f>
        <v>Consulting</v>
      </c>
      <c r="P535" s="37" t="str">
        <f aca="false">IF($M535="","",IFERROR(IF(INDEX(Settings!$B$41:$B$50,MATCH(O535,Settings!$A$41:$A$50,0))&amp;""="","UNMAPPED",INDEX(Settings!$B$41:$B$50,MATCH(O535,Settings!$A$41:$A$50,0))&amp;""),"UNMAPPED"))</f>
        <v>Consulting</v>
      </c>
      <c r="Q535" s="38" t="n">
        <f aca="false">IF($M535="",0,N(INDEX($A535:$J535,$Q$6)))</f>
        <v>0</v>
      </c>
      <c r="R535" s="39" t="n">
        <f aca="false">IF($M535="","",INDEX($A535:$J535,$R$6))</f>
        <v>46052</v>
      </c>
      <c r="S535" s="37" t="str">
        <f aca="false">IF($M535="","",IFERROR(INDEX(Settings!$B$27:$B$36,MATCH(L535,Settings!$A$27:$A$36,0))&amp;"","UNMAPPED"))</f>
        <v>Lost</v>
      </c>
      <c r="T535" s="37" t="str">
        <f aca="false">IF($M535="","",IF(NOT(ISNUMBER(R535)),"NO DATE",IF(S535="Won",IF(R535&gt;Settings!$B$5,"Backlog","Delivered"),IF(S535="Open",IF(R535&gt;Settings!$B$5,"Pipeline","Overdue"),IF(S535="Lost","Lost","UNMAPPED")))))</f>
        <v>Lost</v>
      </c>
      <c r="U535" s="40" t="n">
        <f aca="false">IF(T535="Backlog",1,IF(OR(T535="Pipeline",T535="Overdue"),N(INDEX(Settings!$C$27:$C$36,MATCH(L535,Settings!$A$27:$A$36,0))),0))</f>
        <v>0</v>
      </c>
      <c r="V535" s="38" t="n">
        <f aca="false">Q535*U535</f>
        <v>0</v>
      </c>
      <c r="W535" s="41" t="n">
        <f aca="false">IF($M535="","",IF(T535="Overdue",IF(Settings!$B$8="Yes",Settings!$B$7,""),IF(ISNUMBER(R535),DATE(YEAR(R535),MONTH(R535),1),"")))</f>
        <v>46023</v>
      </c>
      <c r="X535" s="38" t="n">
        <f aca="false">IF(AND(OR(T535="Backlog",T535="Pipeline",T535="Overdue"),ISNUMBER(W535)),IF(W535&lt;=Settings!$B$6,V535,0),0)</f>
        <v>0</v>
      </c>
      <c r="Y535" s="38" t="n">
        <f aca="false">IF(AND(OR(T535="Backlog",T535="Pipeline",T535="Overdue"),ISNUMBER(W535)),IF(W535&lt;=Settings!$B$6,Q535,0),0)</f>
        <v>0</v>
      </c>
      <c r="Z535" s="38" t="n">
        <f aca="false">IF(Y535=0,0,IF(T535="Backlog",Q535,Q535*Dashboard!$C$10))</f>
        <v>0</v>
      </c>
      <c r="AA535" s="37" t="n">
        <f aca="false">IF($N535="",0,IF(COUNTIF(Dashboard!$C$13:$C$22,$N535)&gt;0,1,0))</f>
        <v>0</v>
      </c>
      <c r="AB535" s="37" t="str">
        <f aca="false">IF($N535="","",IF(COUNTIF($N$8:$N535,$N535)=1,MAX($AB$7:$AB534)+1,""))</f>
        <v/>
      </c>
    </row>
    <row r="536" customFormat="false" ht="15" hidden="false" customHeight="false" outlineLevel="0" collapsed="false">
      <c r="B536" s="32" t="s">
        <v>1297</v>
      </c>
      <c r="C536" s="32" t="s">
        <v>217</v>
      </c>
      <c r="D536" s="35" t="n">
        <v>995</v>
      </c>
      <c r="E536" s="32" t="s">
        <v>145</v>
      </c>
      <c r="F536" s="36" t="n">
        <v>46259</v>
      </c>
      <c r="G536" s="32" t="s">
        <v>1298</v>
      </c>
      <c r="L536" s="37" t="str">
        <f aca="false">IF(INDEX($A536:$J536,$L$6)&lt;&gt;"",TRIM(LEFT(INDEX($A536:$J536,$L$6),FIND("(",INDEX($A536:$J536,$L$6)&amp;"(")-1)),L535)</f>
        <v>Closed Lost</v>
      </c>
      <c r="M536" s="37" t="str">
        <f aca="false">IF(INDEX($A536:$J536,$M$6)="","",INDEX($A536:$J536,$M$6)&amp;"")</f>
        <v>Garvan - Forever Young Cocktail Event - 10.9.26</v>
      </c>
      <c r="N536" s="37" t="str">
        <f aca="false">IF($M536="","",TRIM(INDEX($A536:$J536,$N$6)&amp;""))</f>
        <v>Garvan Institute of Medical Research</v>
      </c>
      <c r="O536" s="37" t="str">
        <f aca="false">IF($M536="","",TRIM(INDEX($A536:$J536,$O$6)&amp;""))</f>
        <v>Event Production</v>
      </c>
      <c r="P536" s="37" t="str">
        <f aca="false">IF($M536="","",IFERROR(IF(INDEX(Settings!$B$41:$B$50,MATCH(O536,Settings!$A$41:$A$50,0))&amp;""="","UNMAPPED",INDEX(Settings!$B$41:$B$50,MATCH(O536,Settings!$A$41:$A$50,0))&amp;""),"UNMAPPED"))</f>
        <v>Production</v>
      </c>
      <c r="Q536" s="38" t="n">
        <f aca="false">IF($M536="",0,N(INDEX($A536:$J536,$Q$6)))</f>
        <v>995</v>
      </c>
      <c r="R536" s="39" t="n">
        <f aca="false">IF($M536="","",INDEX($A536:$J536,$R$6))</f>
        <v>46259</v>
      </c>
      <c r="S536" s="37" t="str">
        <f aca="false">IF($M536="","",IFERROR(INDEX(Settings!$B$27:$B$36,MATCH(L536,Settings!$A$27:$A$36,0))&amp;"","UNMAPPED"))</f>
        <v>Lost</v>
      </c>
      <c r="T536" s="37" t="str">
        <f aca="false">IF($M536="","",IF(NOT(ISNUMBER(R536)),"NO DATE",IF(S536="Won",IF(R536&gt;Settings!$B$5,"Backlog","Delivered"),IF(S536="Open",IF(R536&gt;Settings!$B$5,"Pipeline","Overdue"),IF(S536="Lost","Lost","UNMAPPED")))))</f>
        <v>Lost</v>
      </c>
      <c r="U536" s="40" t="n">
        <f aca="false">IF(T536="Backlog",1,IF(OR(T536="Pipeline",T536="Overdue"),N(INDEX(Settings!$C$27:$C$36,MATCH(L536,Settings!$A$27:$A$36,0))),0))</f>
        <v>0</v>
      </c>
      <c r="V536" s="38" t="n">
        <f aca="false">Q536*U536</f>
        <v>0</v>
      </c>
      <c r="W536" s="41" t="n">
        <f aca="false">IF($M536="","",IF(T536="Overdue",IF(Settings!$B$8="Yes",Settings!$B$7,""),IF(ISNUMBER(R536),DATE(YEAR(R536),MONTH(R536),1),"")))</f>
        <v>46235</v>
      </c>
      <c r="X536" s="38" t="n">
        <f aca="false">IF(AND(OR(T536="Backlog",T536="Pipeline",T536="Overdue"),ISNUMBER(W536)),IF(W536&lt;=Settings!$B$6,V536,0),0)</f>
        <v>0</v>
      </c>
      <c r="Y536" s="38" t="n">
        <f aca="false">IF(AND(OR(T536="Backlog",T536="Pipeline",T536="Overdue"),ISNUMBER(W536)),IF(W536&lt;=Settings!$B$6,Q536,0),0)</f>
        <v>0</v>
      </c>
      <c r="Z536" s="38" t="n">
        <f aca="false">IF(Y536=0,0,IF(T536="Backlog",Q536,Q536*Dashboard!$C$10))</f>
        <v>0</v>
      </c>
      <c r="AA536" s="37" t="n">
        <f aca="false">IF($N536="",0,IF(COUNTIF(Dashboard!$C$13:$C$22,$N536)&gt;0,1,0))</f>
        <v>0</v>
      </c>
      <c r="AB536" s="37" t="str">
        <f aca="false">IF($N536="","",IF(COUNTIF($N$8:$N536,$N536)=1,MAX($AB$7:$AB535)+1,""))</f>
        <v/>
      </c>
    </row>
    <row r="537" customFormat="false" ht="15" hidden="false" customHeight="false" outlineLevel="0" collapsed="false">
      <c r="B537" s="32" t="s">
        <v>1299</v>
      </c>
      <c r="C537" s="32" t="s">
        <v>1300</v>
      </c>
      <c r="D537" s="35" t="n">
        <v>2000</v>
      </c>
      <c r="E537" s="32" t="s">
        <v>145</v>
      </c>
      <c r="F537" s="36" t="n">
        <v>46220</v>
      </c>
      <c r="G537" s="32" t="s">
        <v>1301</v>
      </c>
      <c r="L537" s="37" t="str">
        <f aca="false">IF(INDEX($A537:$J537,$L$6)&lt;&gt;"",TRIM(LEFT(INDEX($A537:$J537,$L$6),FIND("(",INDEX($A537:$J537,$L$6)&amp;"(")-1)),L536)</f>
        <v>Closed Lost</v>
      </c>
      <c r="M537" s="37" t="str">
        <f aca="false">IF(INDEX($A537:$J537,$M$6)="","",INDEX($A537:$J537,$M$6)&amp;"")</f>
        <v>IDG - Shell House Screen Hire - 25.7.26</v>
      </c>
      <c r="N537" s="37" t="str">
        <f aca="false">IF($M537="","",TRIM(INDEX($A537:$J537,$N$6)&amp;""))</f>
        <v>Integrated Design Group</v>
      </c>
      <c r="O537" s="37" t="str">
        <f aca="false">IF($M537="","",TRIM(INDEX($A537:$J537,$O$6)&amp;""))</f>
        <v>Event Production</v>
      </c>
      <c r="P537" s="37" t="str">
        <f aca="false">IF($M537="","",IFERROR(IF(INDEX(Settings!$B$41:$B$50,MATCH(O537,Settings!$A$41:$A$50,0))&amp;""="","UNMAPPED",INDEX(Settings!$B$41:$B$50,MATCH(O537,Settings!$A$41:$A$50,0))&amp;""),"UNMAPPED"))</f>
        <v>Production</v>
      </c>
      <c r="Q537" s="38" t="n">
        <f aca="false">IF($M537="",0,N(INDEX($A537:$J537,$Q$6)))</f>
        <v>2000</v>
      </c>
      <c r="R537" s="39" t="n">
        <f aca="false">IF($M537="","",INDEX($A537:$J537,$R$6))</f>
        <v>46220</v>
      </c>
      <c r="S537" s="37" t="str">
        <f aca="false">IF($M537="","",IFERROR(INDEX(Settings!$B$27:$B$36,MATCH(L537,Settings!$A$27:$A$36,0))&amp;"","UNMAPPED"))</f>
        <v>Lost</v>
      </c>
      <c r="T537" s="37" t="str">
        <f aca="false">IF($M537="","",IF(NOT(ISNUMBER(R537)),"NO DATE",IF(S537="Won",IF(R537&gt;Settings!$B$5,"Backlog","Delivered"),IF(S537="Open",IF(R537&gt;Settings!$B$5,"Pipeline","Overdue"),IF(S537="Lost","Lost","UNMAPPED")))))</f>
        <v>Lost</v>
      </c>
      <c r="U537" s="40" t="n">
        <f aca="false">IF(T537="Backlog",1,IF(OR(T537="Pipeline",T537="Overdue"),N(INDEX(Settings!$C$27:$C$36,MATCH(L537,Settings!$A$27:$A$36,0))),0))</f>
        <v>0</v>
      </c>
      <c r="V537" s="38" t="n">
        <f aca="false">Q537*U537</f>
        <v>0</v>
      </c>
      <c r="W537" s="41" t="n">
        <f aca="false">IF($M537="","",IF(T537="Overdue",IF(Settings!$B$8="Yes",Settings!$B$7,""),IF(ISNUMBER(R537),DATE(YEAR(R537),MONTH(R537),1),"")))</f>
        <v>46204</v>
      </c>
      <c r="X537" s="38" t="n">
        <f aca="false">IF(AND(OR(T537="Backlog",T537="Pipeline",T537="Overdue"),ISNUMBER(W537)),IF(W537&lt;=Settings!$B$6,V537,0),0)</f>
        <v>0</v>
      </c>
      <c r="Y537" s="38" t="n">
        <f aca="false">IF(AND(OR(T537="Backlog",T537="Pipeline",T537="Overdue"),ISNUMBER(W537)),IF(W537&lt;=Settings!$B$6,Q537,0),0)</f>
        <v>0</v>
      </c>
      <c r="Z537" s="38" t="n">
        <f aca="false">IF(Y537=0,0,IF(T537="Backlog",Q537,Q537*Dashboard!$C$10))</f>
        <v>0</v>
      </c>
      <c r="AA537" s="37" t="n">
        <f aca="false">IF($N537="",0,IF(COUNTIF(Dashboard!$C$13:$C$22,$N537)&gt;0,1,0))</f>
        <v>0</v>
      </c>
      <c r="AB537" s="37" t="n">
        <f aca="false">IF($N537="","",IF(COUNTIF($N$8:$N537,$N537)=1,MAX($AB$7:$AB536)+1,""))</f>
        <v>102</v>
      </c>
    </row>
    <row r="538" customFormat="false" ht="15" hidden="false" customHeight="false" outlineLevel="0" collapsed="false">
      <c r="B538" s="32" t="s">
        <v>1302</v>
      </c>
      <c r="C538" s="32" t="s">
        <v>199</v>
      </c>
      <c r="D538" s="35" t="n">
        <v>0</v>
      </c>
      <c r="E538" s="32" t="s">
        <v>180</v>
      </c>
      <c r="F538" s="36" t="n">
        <v>46192</v>
      </c>
      <c r="G538" s="32" t="s">
        <v>1303</v>
      </c>
      <c r="L538" s="37" t="str">
        <f aca="false">IF(INDEX($A538:$J538,$L$6)&lt;&gt;"",TRIM(LEFT(INDEX($A538:$J538,$L$6),FIND("(",INDEX($A538:$J538,$L$6)&amp;"(")-1)),L537)</f>
        <v>Closed Lost</v>
      </c>
      <c r="M538" s="37" t="str">
        <f aca="false">IF(INDEX($A538:$J538,$M$6)="","",INDEX($A538:$J538,$M$6)&amp;"")</f>
        <v>Company X - 3yr Maintenance Contract | 2603101</v>
      </c>
      <c r="N538" s="37" t="str">
        <f aca="false">IF($M538="","",TRIM(INDEX($A538:$J538,$N$6)&amp;""))</f>
        <v>Ricoh</v>
      </c>
      <c r="O538" s="37" t="str">
        <f aca="false">IF($M538="","",TRIM(INDEX($A538:$J538,$O$6)&amp;""))</f>
        <v>Support</v>
      </c>
      <c r="P538" s="37" t="str">
        <f aca="false">IF($M538="","",IFERROR(IF(INDEX(Settings!$B$41:$B$50,MATCH(O538,Settings!$A$41:$A$50,0))&amp;""="","UNMAPPED",INDEX(Settings!$B$41:$B$50,MATCH(O538,Settings!$A$41:$A$50,0))&amp;""),"UNMAPPED"))</f>
        <v>Onsite</v>
      </c>
      <c r="Q538" s="38" t="n">
        <f aca="false">IF($M538="",0,N(INDEX($A538:$J538,$Q$6)))</f>
        <v>0</v>
      </c>
      <c r="R538" s="39" t="n">
        <f aca="false">IF($M538="","",INDEX($A538:$J538,$R$6))</f>
        <v>46192</v>
      </c>
      <c r="S538" s="37" t="str">
        <f aca="false">IF($M538="","",IFERROR(INDEX(Settings!$B$27:$B$36,MATCH(L538,Settings!$A$27:$A$36,0))&amp;"","UNMAPPED"))</f>
        <v>Lost</v>
      </c>
      <c r="T538" s="37" t="str">
        <f aca="false">IF($M538="","",IF(NOT(ISNUMBER(R538)),"NO DATE",IF(S538="Won",IF(R538&gt;Settings!$B$5,"Backlog","Delivered"),IF(S538="Open",IF(R538&gt;Settings!$B$5,"Pipeline","Overdue"),IF(S538="Lost","Lost","UNMAPPED")))))</f>
        <v>Lost</v>
      </c>
      <c r="U538" s="40" t="n">
        <f aca="false">IF(T538="Backlog",1,IF(OR(T538="Pipeline",T538="Overdue"),N(INDEX(Settings!$C$27:$C$36,MATCH(L538,Settings!$A$27:$A$36,0))),0))</f>
        <v>0</v>
      </c>
      <c r="V538" s="38" t="n">
        <f aca="false">Q538*U538</f>
        <v>0</v>
      </c>
      <c r="W538" s="41" t="n">
        <f aca="false">IF($M538="","",IF(T538="Overdue",IF(Settings!$B$8="Yes",Settings!$B$7,""),IF(ISNUMBER(R538),DATE(YEAR(R538),MONTH(R538),1),"")))</f>
        <v>46174</v>
      </c>
      <c r="X538" s="38" t="n">
        <f aca="false">IF(AND(OR(T538="Backlog",T538="Pipeline",T538="Overdue"),ISNUMBER(W538)),IF(W538&lt;=Settings!$B$6,V538,0),0)</f>
        <v>0</v>
      </c>
      <c r="Y538" s="38" t="n">
        <f aca="false">IF(AND(OR(T538="Backlog",T538="Pipeline",T538="Overdue"),ISNUMBER(W538)),IF(W538&lt;=Settings!$B$6,Q538,0),0)</f>
        <v>0</v>
      </c>
      <c r="Z538" s="38" t="n">
        <f aca="false">IF(Y538=0,0,IF(T538="Backlog",Q538,Q538*Dashboard!$C$10))</f>
        <v>0</v>
      </c>
      <c r="AA538" s="37" t="n">
        <f aca="false">IF($N538="",0,IF(COUNTIF(Dashboard!$C$13:$C$22,$N538)&gt;0,1,0))</f>
        <v>0</v>
      </c>
      <c r="AB538" s="37" t="str">
        <f aca="false">IF($N538="","",IF(COUNTIF($N$8:$N538,$N538)=1,MAX($AB$7:$AB537)+1,""))</f>
        <v/>
      </c>
    </row>
    <row r="539" customFormat="false" ht="15" hidden="false" customHeight="false" outlineLevel="0" collapsed="false">
      <c r="B539" s="32" t="s">
        <v>1304</v>
      </c>
      <c r="C539" s="32" t="s">
        <v>1305</v>
      </c>
      <c r="D539" s="35"/>
      <c r="E539" s="32" t="s">
        <v>173</v>
      </c>
      <c r="F539" s="36" t="n">
        <v>46072</v>
      </c>
      <c r="G539" s="32" t="s">
        <v>1306</v>
      </c>
      <c r="L539" s="37" t="str">
        <f aca="false">IF(INDEX($A539:$J539,$L$6)&lt;&gt;"",TRIM(LEFT(INDEX($A539:$J539,$L$6),FIND("(",INDEX($A539:$J539,$L$6)&amp;"(")-1)),L538)</f>
        <v>Closed Lost</v>
      </c>
      <c r="M539" s="37" t="str">
        <f aca="false">IF(INDEX($A539:$J539,$M$6)="","",INDEX($A539:$J539,$M$6)&amp;"")</f>
        <v>DFAT Elevations</v>
      </c>
      <c r="N539" s="37" t="str">
        <f aca="false">IF($M539="","",TRIM(INDEX($A539:$J539,$N$6)&amp;""))</f>
        <v>Department of Foreign Affairs and Trade</v>
      </c>
      <c r="O539" s="37" t="str">
        <f aca="false">IF($M539="","",TRIM(INDEX($A539:$J539,$O$6)&amp;""))</f>
        <v>Consulting</v>
      </c>
      <c r="P539" s="37" t="str">
        <f aca="false">IF($M539="","",IFERROR(IF(INDEX(Settings!$B$41:$B$50,MATCH(O539,Settings!$A$41:$A$50,0))&amp;""="","UNMAPPED",INDEX(Settings!$B$41:$B$50,MATCH(O539,Settings!$A$41:$A$50,0))&amp;""),"UNMAPPED"))</f>
        <v>Consulting</v>
      </c>
      <c r="Q539" s="38" t="n">
        <f aca="false">IF($M539="",0,N(INDEX($A539:$J539,$Q$6)))</f>
        <v>0</v>
      </c>
      <c r="R539" s="39" t="n">
        <f aca="false">IF($M539="","",INDEX($A539:$J539,$R$6))</f>
        <v>46072</v>
      </c>
      <c r="S539" s="37" t="str">
        <f aca="false">IF($M539="","",IFERROR(INDEX(Settings!$B$27:$B$36,MATCH(L539,Settings!$A$27:$A$36,0))&amp;"","UNMAPPED"))</f>
        <v>Lost</v>
      </c>
      <c r="T539" s="37" t="str">
        <f aca="false">IF($M539="","",IF(NOT(ISNUMBER(R539)),"NO DATE",IF(S539="Won",IF(R539&gt;Settings!$B$5,"Backlog","Delivered"),IF(S539="Open",IF(R539&gt;Settings!$B$5,"Pipeline","Overdue"),IF(S539="Lost","Lost","UNMAPPED")))))</f>
        <v>Lost</v>
      </c>
      <c r="U539" s="40" t="n">
        <f aca="false">IF(T539="Backlog",1,IF(OR(T539="Pipeline",T539="Overdue"),N(INDEX(Settings!$C$27:$C$36,MATCH(L539,Settings!$A$27:$A$36,0))),0))</f>
        <v>0</v>
      </c>
      <c r="V539" s="38" t="n">
        <f aca="false">Q539*U539</f>
        <v>0</v>
      </c>
      <c r="W539" s="41" t="n">
        <f aca="false">IF($M539="","",IF(T539="Overdue",IF(Settings!$B$8="Yes",Settings!$B$7,""),IF(ISNUMBER(R539),DATE(YEAR(R539),MONTH(R539),1),"")))</f>
        <v>46054</v>
      </c>
      <c r="X539" s="38" t="n">
        <f aca="false">IF(AND(OR(T539="Backlog",T539="Pipeline",T539="Overdue"),ISNUMBER(W539)),IF(W539&lt;=Settings!$B$6,V539,0),0)</f>
        <v>0</v>
      </c>
      <c r="Y539" s="38" t="n">
        <f aca="false">IF(AND(OR(T539="Backlog",T539="Pipeline",T539="Overdue"),ISNUMBER(W539)),IF(W539&lt;=Settings!$B$6,Q539,0),0)</f>
        <v>0</v>
      </c>
      <c r="Z539" s="38" t="n">
        <f aca="false">IF(Y539=0,0,IF(T539="Backlog",Q539,Q539*Dashboard!$C$10))</f>
        <v>0</v>
      </c>
      <c r="AA539" s="37" t="n">
        <f aca="false">IF($N539="",0,IF(COUNTIF(Dashboard!$C$13:$C$22,$N539)&gt;0,1,0))</f>
        <v>0</v>
      </c>
      <c r="AB539" s="37" t="n">
        <f aca="false">IF($N539="","",IF(COUNTIF($N$8:$N539,$N539)=1,MAX($AB$7:$AB538)+1,""))</f>
        <v>103</v>
      </c>
    </row>
    <row r="540" customFormat="false" ht="15" hidden="false" customHeight="false" outlineLevel="0" collapsed="false">
      <c r="B540" s="32" t="s">
        <v>1307</v>
      </c>
      <c r="C540" s="32" t="s">
        <v>236</v>
      </c>
      <c r="D540" s="35" t="n">
        <v>6120</v>
      </c>
      <c r="E540" s="32" t="s">
        <v>180</v>
      </c>
      <c r="F540" s="36" t="n">
        <v>46142</v>
      </c>
      <c r="G540" s="32" t="s">
        <v>1308</v>
      </c>
      <c r="L540" s="37" t="str">
        <f aca="false">IF(INDEX($A540:$J540,$L$6)&lt;&gt;"",TRIM(LEFT(INDEX($A540:$J540,$L$6),FIND("(",INDEX($A540:$J540,$L$6)&amp;"(")-1)),L539)</f>
        <v>Closed Lost</v>
      </c>
      <c r="M540" s="37" t="str">
        <f aca="false">IF(INDEX($A540:$J540,$M$6)="","",INDEX($A540:$J540,$M$6)&amp;"")</f>
        <v>TWG - Brisbane Technician - 05/05/26 - 08/05/26 &amp; 11/05/26 - 15/05/26_26041602</v>
      </c>
      <c r="N540" s="37" t="str">
        <f aca="false">IF($M540="","",TRIM(INDEX($A540:$J540,$N$6)&amp;""))</f>
        <v>EY</v>
      </c>
      <c r="O540" s="37" t="str">
        <f aca="false">IF($M540="","",TRIM(INDEX($A540:$J540,$O$6)&amp;""))</f>
        <v>Support</v>
      </c>
      <c r="P540" s="37" t="str">
        <f aca="false">IF($M540="","",IFERROR(IF(INDEX(Settings!$B$41:$B$50,MATCH(O540,Settings!$A$41:$A$50,0))&amp;""="","UNMAPPED",INDEX(Settings!$B$41:$B$50,MATCH(O540,Settings!$A$41:$A$50,0))&amp;""),"UNMAPPED"))</f>
        <v>Onsite</v>
      </c>
      <c r="Q540" s="38" t="n">
        <f aca="false">IF($M540="",0,N(INDEX($A540:$J540,$Q$6)))</f>
        <v>6120</v>
      </c>
      <c r="R540" s="39" t="n">
        <f aca="false">IF($M540="","",INDEX($A540:$J540,$R$6))</f>
        <v>46142</v>
      </c>
      <c r="S540" s="37" t="str">
        <f aca="false">IF($M540="","",IFERROR(INDEX(Settings!$B$27:$B$36,MATCH(L540,Settings!$A$27:$A$36,0))&amp;"","UNMAPPED"))</f>
        <v>Lost</v>
      </c>
      <c r="T540" s="37" t="str">
        <f aca="false">IF($M540="","",IF(NOT(ISNUMBER(R540)),"NO DATE",IF(S540="Won",IF(R540&gt;Settings!$B$5,"Backlog","Delivered"),IF(S540="Open",IF(R540&gt;Settings!$B$5,"Pipeline","Overdue"),IF(S540="Lost","Lost","UNMAPPED")))))</f>
        <v>Lost</v>
      </c>
      <c r="U540" s="40" t="n">
        <f aca="false">IF(T540="Backlog",1,IF(OR(T540="Pipeline",T540="Overdue"),N(INDEX(Settings!$C$27:$C$36,MATCH(L540,Settings!$A$27:$A$36,0))),0))</f>
        <v>0</v>
      </c>
      <c r="V540" s="38" t="n">
        <f aca="false">Q540*U540</f>
        <v>0</v>
      </c>
      <c r="W540" s="41" t="n">
        <f aca="false">IF($M540="","",IF(T540="Overdue",IF(Settings!$B$8="Yes",Settings!$B$7,""),IF(ISNUMBER(R540),DATE(YEAR(R540),MONTH(R540),1),"")))</f>
        <v>46113</v>
      </c>
      <c r="X540" s="38" t="n">
        <f aca="false">IF(AND(OR(T540="Backlog",T540="Pipeline",T540="Overdue"),ISNUMBER(W540)),IF(W540&lt;=Settings!$B$6,V540,0),0)</f>
        <v>0</v>
      </c>
      <c r="Y540" s="38" t="n">
        <f aca="false">IF(AND(OR(T540="Backlog",T540="Pipeline",T540="Overdue"),ISNUMBER(W540)),IF(W540&lt;=Settings!$B$6,Q540,0),0)</f>
        <v>0</v>
      </c>
      <c r="Z540" s="38" t="n">
        <f aca="false">IF(Y540=0,0,IF(T540="Backlog",Q540,Q540*Dashboard!$C$10))</f>
        <v>0</v>
      </c>
      <c r="AA540" s="37" t="n">
        <f aca="false">IF($N540="",0,IF(COUNTIF(Dashboard!$C$13:$C$22,$N540)&gt;0,1,0))</f>
        <v>0</v>
      </c>
      <c r="AB540" s="37" t="str">
        <f aca="false">IF($N540="","",IF(COUNTIF($N$8:$N540,$N540)=1,MAX($AB$7:$AB539)+1,""))</f>
        <v/>
      </c>
    </row>
    <row r="541" customFormat="false" ht="15" hidden="false" customHeight="false" outlineLevel="0" collapsed="false">
      <c r="B541" s="32" t="s">
        <v>1309</v>
      </c>
      <c r="C541" s="32" t="s">
        <v>205</v>
      </c>
      <c r="D541" s="35" t="n">
        <v>5450</v>
      </c>
      <c r="E541" s="32" t="s">
        <v>145</v>
      </c>
      <c r="F541" s="36" t="n">
        <v>46223</v>
      </c>
      <c r="G541" s="32" t="s">
        <v>1310</v>
      </c>
      <c r="L541" s="37" t="str">
        <f aca="false">IF(INDEX($A541:$J541,$L$6)&lt;&gt;"",TRIM(LEFT(INDEX($A541:$J541,$L$6),FIND("(",INDEX($A541:$J541,$L$6)&amp;"(")-1)),L540)</f>
        <v>Closed Lost</v>
      </c>
      <c r="M541" s="37" t="str">
        <f aca="false">IF(INDEX($A541:$J541,$M$6)="","",INDEX($A541:$J541,$M$6)&amp;"")</f>
        <v>DTTL - Naidoc Event - 23.7.26</v>
      </c>
      <c r="N541" s="37" t="str">
        <f aca="false">IF($M541="","",TRIM(INDEX($A541:$J541,$N$6)&amp;""))</f>
        <v>Deloitte - Sydney</v>
      </c>
      <c r="O541" s="37" t="str">
        <f aca="false">IF($M541="","",TRIM(INDEX($A541:$J541,$O$6)&amp;""))</f>
        <v>Event Production</v>
      </c>
      <c r="P541" s="37" t="str">
        <f aca="false">IF($M541="","",IFERROR(IF(INDEX(Settings!$B$41:$B$50,MATCH(O541,Settings!$A$41:$A$50,0))&amp;""="","UNMAPPED",INDEX(Settings!$B$41:$B$50,MATCH(O541,Settings!$A$41:$A$50,0))&amp;""),"UNMAPPED"))</f>
        <v>Production</v>
      </c>
      <c r="Q541" s="38" t="n">
        <f aca="false">IF($M541="",0,N(INDEX($A541:$J541,$Q$6)))</f>
        <v>5450</v>
      </c>
      <c r="R541" s="39" t="n">
        <f aca="false">IF($M541="","",INDEX($A541:$J541,$R$6))</f>
        <v>46223</v>
      </c>
      <c r="S541" s="37" t="str">
        <f aca="false">IF($M541="","",IFERROR(INDEX(Settings!$B$27:$B$36,MATCH(L541,Settings!$A$27:$A$36,0))&amp;"","UNMAPPED"))</f>
        <v>Lost</v>
      </c>
      <c r="T541" s="37" t="str">
        <f aca="false">IF($M541="","",IF(NOT(ISNUMBER(R541)),"NO DATE",IF(S541="Won",IF(R541&gt;Settings!$B$5,"Backlog","Delivered"),IF(S541="Open",IF(R541&gt;Settings!$B$5,"Pipeline","Overdue"),IF(S541="Lost","Lost","UNMAPPED")))))</f>
        <v>Lost</v>
      </c>
      <c r="U541" s="40" t="n">
        <f aca="false">IF(T541="Backlog",1,IF(OR(T541="Pipeline",T541="Overdue"),N(INDEX(Settings!$C$27:$C$36,MATCH(L541,Settings!$A$27:$A$36,0))),0))</f>
        <v>0</v>
      </c>
      <c r="V541" s="38" t="n">
        <f aca="false">Q541*U541</f>
        <v>0</v>
      </c>
      <c r="W541" s="41" t="n">
        <f aca="false">IF($M541="","",IF(T541="Overdue",IF(Settings!$B$8="Yes",Settings!$B$7,""),IF(ISNUMBER(R541),DATE(YEAR(R541),MONTH(R541),1),"")))</f>
        <v>46204</v>
      </c>
      <c r="X541" s="38" t="n">
        <f aca="false">IF(AND(OR(T541="Backlog",T541="Pipeline",T541="Overdue"),ISNUMBER(W541)),IF(W541&lt;=Settings!$B$6,V541,0),0)</f>
        <v>0</v>
      </c>
      <c r="Y541" s="38" t="n">
        <f aca="false">IF(AND(OR(T541="Backlog",T541="Pipeline",T541="Overdue"),ISNUMBER(W541)),IF(W541&lt;=Settings!$B$6,Q541,0),0)</f>
        <v>0</v>
      </c>
      <c r="Z541" s="38" t="n">
        <f aca="false">IF(Y541=0,0,IF(T541="Backlog",Q541,Q541*Dashboard!$C$10))</f>
        <v>0</v>
      </c>
      <c r="AA541" s="37" t="n">
        <f aca="false">IF($N541="",0,IF(COUNTIF(Dashboard!$C$13:$C$22,$N541)&gt;0,1,0))</f>
        <v>0</v>
      </c>
      <c r="AB541" s="37" t="str">
        <f aca="false">IF($N541="","",IF(COUNTIF($N$8:$N541,$N541)=1,MAX($AB$7:$AB540)+1,""))</f>
        <v/>
      </c>
    </row>
    <row r="542" customFormat="false" ht="15" hidden="false" customHeight="false" outlineLevel="0" collapsed="false">
      <c r="B542" s="32" t="s">
        <v>1311</v>
      </c>
      <c r="C542" s="32" t="s">
        <v>183</v>
      </c>
      <c r="D542" s="35" t="n">
        <v>12476</v>
      </c>
      <c r="E542" s="32" t="s">
        <v>262</v>
      </c>
      <c r="F542" s="36" t="n">
        <v>45965</v>
      </c>
      <c r="G542" s="32" t="s">
        <v>1312</v>
      </c>
      <c r="L542" s="37" t="str">
        <f aca="false">IF(INDEX($A542:$J542,$L$6)&lt;&gt;"",TRIM(LEFT(INDEX($A542:$J542,$L$6),FIND("(",INDEX($A542:$J542,$L$6)&amp;"(")-1)),L541)</f>
        <v>Closed Lost</v>
      </c>
      <c r="M542" s="37" t="str">
        <f aca="false">IF(INDEX($A542:$J542,$M$6)="","",INDEX($A542:$J542,$M$6)&amp;"")</f>
        <v>ChorusCall (GrowthPoint) - Video and Lighting Equipment supply</v>
      </c>
      <c r="N542" s="37" t="str">
        <f aca="false">IF($M542="","",TRIM(INDEX($A542:$J542,$N$6)&amp;""))</f>
        <v>Chorus Call</v>
      </c>
      <c r="O542" s="37" t="str">
        <f aca="false">IF($M542="","",TRIM(INDEX($A542:$J542,$O$6)&amp;""))</f>
        <v>Multi-Service</v>
      </c>
      <c r="P542" s="37" t="str">
        <f aca="false">IF($M542="","",IFERROR(IF(INDEX(Settings!$B$41:$B$50,MATCH(O542,Settings!$A$41:$A$50,0))&amp;""="","UNMAPPED",INDEX(Settings!$B$41:$B$50,MATCH(O542,Settings!$A$41:$A$50,0))&amp;""),"UNMAPPED"))</f>
        <v>Unallocated</v>
      </c>
      <c r="Q542" s="38" t="n">
        <f aca="false">IF($M542="",0,N(INDEX($A542:$J542,$Q$6)))</f>
        <v>12476</v>
      </c>
      <c r="R542" s="39" t="n">
        <f aca="false">IF($M542="","",INDEX($A542:$J542,$R$6))</f>
        <v>45965</v>
      </c>
      <c r="S542" s="37" t="str">
        <f aca="false">IF($M542="","",IFERROR(INDEX(Settings!$B$27:$B$36,MATCH(L542,Settings!$A$27:$A$36,0))&amp;"","UNMAPPED"))</f>
        <v>Lost</v>
      </c>
      <c r="T542" s="37" t="str">
        <f aca="false">IF($M542="","",IF(NOT(ISNUMBER(R542)),"NO DATE",IF(S542="Won",IF(R542&gt;Settings!$B$5,"Backlog","Delivered"),IF(S542="Open",IF(R542&gt;Settings!$B$5,"Pipeline","Overdue"),IF(S542="Lost","Lost","UNMAPPED")))))</f>
        <v>Lost</v>
      </c>
      <c r="U542" s="40" t="n">
        <f aca="false">IF(T542="Backlog",1,IF(OR(T542="Pipeline",T542="Overdue"),N(INDEX(Settings!$C$27:$C$36,MATCH(L542,Settings!$A$27:$A$36,0))),0))</f>
        <v>0</v>
      </c>
      <c r="V542" s="38" t="n">
        <f aca="false">Q542*U542</f>
        <v>0</v>
      </c>
      <c r="W542" s="41" t="n">
        <f aca="false">IF($M542="","",IF(T542="Overdue",IF(Settings!$B$8="Yes",Settings!$B$7,""),IF(ISNUMBER(R542),DATE(YEAR(R542),MONTH(R542),1),"")))</f>
        <v>45962</v>
      </c>
      <c r="X542" s="38" t="n">
        <f aca="false">IF(AND(OR(T542="Backlog",T542="Pipeline",T542="Overdue"),ISNUMBER(W542)),IF(W542&lt;=Settings!$B$6,V542,0),0)</f>
        <v>0</v>
      </c>
      <c r="Y542" s="38" t="n">
        <f aca="false">IF(AND(OR(T542="Backlog",T542="Pipeline",T542="Overdue"),ISNUMBER(W542)),IF(W542&lt;=Settings!$B$6,Q542,0),0)</f>
        <v>0</v>
      </c>
      <c r="Z542" s="38" t="n">
        <f aca="false">IF(Y542=0,0,IF(T542="Backlog",Q542,Q542*Dashboard!$C$10))</f>
        <v>0</v>
      </c>
      <c r="AA542" s="37" t="n">
        <f aca="false">IF($N542="",0,IF(COUNTIF(Dashboard!$C$13:$C$22,$N542)&gt;0,1,0))</f>
        <v>0</v>
      </c>
      <c r="AB542" s="37" t="str">
        <f aca="false">IF($N542="","",IF(COUNTIF($N$8:$N542,$N542)=1,MAX($AB$7:$AB541)+1,""))</f>
        <v/>
      </c>
    </row>
    <row r="543" customFormat="false" ht="15" hidden="false" customHeight="false" outlineLevel="0" collapsed="false">
      <c r="B543" s="32" t="s">
        <v>1313</v>
      </c>
      <c r="C543" s="32" t="s">
        <v>1314</v>
      </c>
      <c r="D543" s="35" t="n">
        <v>10000</v>
      </c>
      <c r="E543" s="32" t="s">
        <v>145</v>
      </c>
      <c r="F543" s="36" t="n">
        <v>46072</v>
      </c>
      <c r="G543" s="32" t="s">
        <v>1315</v>
      </c>
      <c r="L543" s="37" t="str">
        <f aca="false">IF(INDEX($A543:$J543,$L$6)&lt;&gt;"",TRIM(LEFT(INDEX($A543:$J543,$L$6),FIND("(",INDEX($A543:$J543,$L$6)&amp;"(")-1)),L542)</f>
        <v>Closed Lost</v>
      </c>
      <c r="M543" s="37" t="str">
        <f aca="false">IF(INDEX($A543:$J543,$M$6)="","",INDEX($A543:$J543,$M$6)&amp;"")</f>
        <v>Law Partners Q1 Meeting</v>
      </c>
      <c r="N543" s="37" t="str">
        <f aca="false">IF($M543="","",TRIM(INDEX($A543:$J543,$N$6)&amp;""))</f>
        <v>Law Partners</v>
      </c>
      <c r="O543" s="37" t="str">
        <f aca="false">IF($M543="","",TRIM(INDEX($A543:$J543,$O$6)&amp;""))</f>
        <v>Event Production</v>
      </c>
      <c r="P543" s="37" t="str">
        <f aca="false">IF($M543="","",IFERROR(IF(INDEX(Settings!$B$41:$B$50,MATCH(O543,Settings!$A$41:$A$50,0))&amp;""="","UNMAPPED",INDEX(Settings!$B$41:$B$50,MATCH(O543,Settings!$A$41:$A$50,0))&amp;""),"UNMAPPED"))</f>
        <v>Production</v>
      </c>
      <c r="Q543" s="38" t="n">
        <f aca="false">IF($M543="",0,N(INDEX($A543:$J543,$Q$6)))</f>
        <v>10000</v>
      </c>
      <c r="R543" s="39" t="n">
        <f aca="false">IF($M543="","",INDEX($A543:$J543,$R$6))</f>
        <v>46072</v>
      </c>
      <c r="S543" s="37" t="str">
        <f aca="false">IF($M543="","",IFERROR(INDEX(Settings!$B$27:$B$36,MATCH(L543,Settings!$A$27:$A$36,0))&amp;"","UNMAPPED"))</f>
        <v>Lost</v>
      </c>
      <c r="T543" s="37" t="str">
        <f aca="false">IF($M543="","",IF(NOT(ISNUMBER(R543)),"NO DATE",IF(S543="Won",IF(R543&gt;Settings!$B$5,"Backlog","Delivered"),IF(S543="Open",IF(R543&gt;Settings!$B$5,"Pipeline","Overdue"),IF(S543="Lost","Lost","UNMAPPED")))))</f>
        <v>Lost</v>
      </c>
      <c r="U543" s="40" t="n">
        <f aca="false">IF(T543="Backlog",1,IF(OR(T543="Pipeline",T543="Overdue"),N(INDEX(Settings!$C$27:$C$36,MATCH(L543,Settings!$A$27:$A$36,0))),0))</f>
        <v>0</v>
      </c>
      <c r="V543" s="38" t="n">
        <f aca="false">Q543*U543</f>
        <v>0</v>
      </c>
      <c r="W543" s="41" t="n">
        <f aca="false">IF($M543="","",IF(T543="Overdue",IF(Settings!$B$8="Yes",Settings!$B$7,""),IF(ISNUMBER(R543),DATE(YEAR(R543),MONTH(R543),1),"")))</f>
        <v>46054</v>
      </c>
      <c r="X543" s="38" t="n">
        <f aca="false">IF(AND(OR(T543="Backlog",T543="Pipeline",T543="Overdue"),ISNUMBER(W543)),IF(W543&lt;=Settings!$B$6,V543,0),0)</f>
        <v>0</v>
      </c>
      <c r="Y543" s="38" t="n">
        <f aca="false">IF(AND(OR(T543="Backlog",T543="Pipeline",T543="Overdue"),ISNUMBER(W543)),IF(W543&lt;=Settings!$B$6,Q543,0),0)</f>
        <v>0</v>
      </c>
      <c r="Z543" s="38" t="n">
        <f aca="false">IF(Y543=0,0,IF(T543="Backlog",Q543,Q543*Dashboard!$C$10))</f>
        <v>0</v>
      </c>
      <c r="AA543" s="37" t="n">
        <f aca="false">IF($N543="",0,IF(COUNTIF(Dashboard!$C$13:$C$22,$N543)&gt;0,1,0))</f>
        <v>0</v>
      </c>
      <c r="AB543" s="37" t="n">
        <f aca="false">IF($N543="","",IF(COUNTIF($N$8:$N543,$N543)=1,MAX($AB$7:$AB542)+1,""))</f>
        <v>104</v>
      </c>
    </row>
    <row r="544" customFormat="false" ht="15" hidden="false" customHeight="false" outlineLevel="0" collapsed="false">
      <c r="B544" s="32" t="s">
        <v>1316</v>
      </c>
      <c r="C544" s="32" t="s">
        <v>756</v>
      </c>
      <c r="D544" s="35" t="n">
        <v>10000</v>
      </c>
      <c r="E544" s="32" t="s">
        <v>145</v>
      </c>
      <c r="F544" s="36" t="n">
        <v>46211</v>
      </c>
      <c r="G544" s="32" t="s">
        <v>1317</v>
      </c>
      <c r="L544" s="37" t="str">
        <f aca="false">IF(INDEX($A544:$J544,$L$6)&lt;&gt;"",TRIM(LEFT(INDEX($A544:$J544,$L$6),FIND("(",INDEX($A544:$J544,$L$6)&amp;"(")-1)),L543)</f>
        <v>Closed Lost</v>
      </c>
      <c r="M544" s="37" t="str">
        <f aca="false">IF(INDEX($A544:$J544,$M$6)="","",INDEX($A544:$J544,$M$6)&amp;"")</f>
        <v>CSIRO - Careers Expo - 5.8.26</v>
      </c>
      <c r="N544" s="37" t="str">
        <f aca="false">IF($M544="","",TRIM(INDEX($A544:$J544,$N$6)&amp;""))</f>
        <v>CSIRO</v>
      </c>
      <c r="O544" s="37" t="str">
        <f aca="false">IF($M544="","",TRIM(INDEX($A544:$J544,$O$6)&amp;""))</f>
        <v>Event Production</v>
      </c>
      <c r="P544" s="37" t="str">
        <f aca="false">IF($M544="","",IFERROR(IF(INDEX(Settings!$B$41:$B$50,MATCH(O544,Settings!$A$41:$A$50,0))&amp;""="","UNMAPPED",INDEX(Settings!$B$41:$B$50,MATCH(O544,Settings!$A$41:$A$50,0))&amp;""),"UNMAPPED"))</f>
        <v>Production</v>
      </c>
      <c r="Q544" s="38" t="n">
        <f aca="false">IF($M544="",0,N(INDEX($A544:$J544,$Q$6)))</f>
        <v>10000</v>
      </c>
      <c r="R544" s="39" t="n">
        <f aca="false">IF($M544="","",INDEX($A544:$J544,$R$6))</f>
        <v>46211</v>
      </c>
      <c r="S544" s="37" t="str">
        <f aca="false">IF($M544="","",IFERROR(INDEX(Settings!$B$27:$B$36,MATCH(L544,Settings!$A$27:$A$36,0))&amp;"","UNMAPPED"))</f>
        <v>Lost</v>
      </c>
      <c r="T544" s="37" t="str">
        <f aca="false">IF($M544="","",IF(NOT(ISNUMBER(R544)),"NO DATE",IF(S544="Won",IF(R544&gt;Settings!$B$5,"Backlog","Delivered"),IF(S544="Open",IF(R544&gt;Settings!$B$5,"Pipeline","Overdue"),IF(S544="Lost","Lost","UNMAPPED")))))</f>
        <v>Lost</v>
      </c>
      <c r="U544" s="40" t="n">
        <f aca="false">IF(T544="Backlog",1,IF(OR(T544="Pipeline",T544="Overdue"),N(INDEX(Settings!$C$27:$C$36,MATCH(L544,Settings!$A$27:$A$36,0))),0))</f>
        <v>0</v>
      </c>
      <c r="V544" s="38" t="n">
        <f aca="false">Q544*U544</f>
        <v>0</v>
      </c>
      <c r="W544" s="41" t="n">
        <f aca="false">IF($M544="","",IF(T544="Overdue",IF(Settings!$B$8="Yes",Settings!$B$7,""),IF(ISNUMBER(R544),DATE(YEAR(R544),MONTH(R544),1),"")))</f>
        <v>46204</v>
      </c>
      <c r="X544" s="38" t="n">
        <f aca="false">IF(AND(OR(T544="Backlog",T544="Pipeline",T544="Overdue"),ISNUMBER(W544)),IF(W544&lt;=Settings!$B$6,V544,0),0)</f>
        <v>0</v>
      </c>
      <c r="Y544" s="38" t="n">
        <f aca="false">IF(AND(OR(T544="Backlog",T544="Pipeline",T544="Overdue"),ISNUMBER(W544)),IF(W544&lt;=Settings!$B$6,Q544,0),0)</f>
        <v>0</v>
      </c>
      <c r="Z544" s="38" t="n">
        <f aca="false">IF(Y544=0,0,IF(T544="Backlog",Q544,Q544*Dashboard!$C$10))</f>
        <v>0</v>
      </c>
      <c r="AA544" s="37" t="n">
        <f aca="false">IF($N544="",0,IF(COUNTIF(Dashboard!$C$13:$C$22,$N544)&gt;0,1,0))</f>
        <v>0</v>
      </c>
      <c r="AB544" s="37" t="str">
        <f aca="false">IF($N544="","",IF(COUNTIF($N$8:$N544,$N544)=1,MAX($AB$7:$AB543)+1,""))</f>
        <v/>
      </c>
    </row>
    <row r="545" customFormat="false" ht="15" hidden="false" customHeight="false" outlineLevel="0" collapsed="false">
      <c r="B545" s="32" t="s">
        <v>1318</v>
      </c>
      <c r="C545" s="32" t="s">
        <v>817</v>
      </c>
      <c r="D545" s="35" t="n">
        <v>850</v>
      </c>
      <c r="E545" s="32" t="s">
        <v>145</v>
      </c>
      <c r="F545" s="36" t="n">
        <v>46153</v>
      </c>
      <c r="G545" s="32" t="s">
        <v>1319</v>
      </c>
      <c r="L545" s="37" t="str">
        <f aca="false">IF(INDEX($A545:$J545,$L$6)&lt;&gt;"",TRIM(LEFT(INDEX($A545:$J545,$L$6),FIND("(",INDEX($A545:$J545,$L$6)&amp;"(")-1)),L544)</f>
        <v>Closed Lost</v>
      </c>
      <c r="M545" s="37" t="str">
        <f aca="false">IF(INDEX($A545:$J545,$M$6)="","",INDEX($A545:$J545,$M$6)&amp;"")</f>
        <v>Optiver - AV Support - 23.6.26</v>
      </c>
      <c r="N545" s="37" t="str">
        <f aca="false">IF($M545="","",TRIM(INDEX($A545:$J545,$N$6)&amp;""))</f>
        <v>Optiver</v>
      </c>
      <c r="O545" s="37" t="str">
        <f aca="false">IF($M545="","",TRIM(INDEX($A545:$J545,$O$6)&amp;""))</f>
        <v>Event Production</v>
      </c>
      <c r="P545" s="37" t="str">
        <f aca="false">IF($M545="","",IFERROR(IF(INDEX(Settings!$B$41:$B$50,MATCH(O545,Settings!$A$41:$A$50,0))&amp;""="","UNMAPPED",INDEX(Settings!$B$41:$B$50,MATCH(O545,Settings!$A$41:$A$50,0))&amp;""),"UNMAPPED"))</f>
        <v>Production</v>
      </c>
      <c r="Q545" s="38" t="n">
        <f aca="false">IF($M545="",0,N(INDEX($A545:$J545,$Q$6)))</f>
        <v>850</v>
      </c>
      <c r="R545" s="39" t="n">
        <f aca="false">IF($M545="","",INDEX($A545:$J545,$R$6))</f>
        <v>46153</v>
      </c>
      <c r="S545" s="37" t="str">
        <f aca="false">IF($M545="","",IFERROR(INDEX(Settings!$B$27:$B$36,MATCH(L545,Settings!$A$27:$A$36,0))&amp;"","UNMAPPED"))</f>
        <v>Lost</v>
      </c>
      <c r="T545" s="37" t="str">
        <f aca="false">IF($M545="","",IF(NOT(ISNUMBER(R545)),"NO DATE",IF(S545="Won",IF(R545&gt;Settings!$B$5,"Backlog","Delivered"),IF(S545="Open",IF(R545&gt;Settings!$B$5,"Pipeline","Overdue"),IF(S545="Lost","Lost","UNMAPPED")))))</f>
        <v>Lost</v>
      </c>
      <c r="U545" s="40" t="n">
        <f aca="false">IF(T545="Backlog",1,IF(OR(T545="Pipeline",T545="Overdue"),N(INDEX(Settings!$C$27:$C$36,MATCH(L545,Settings!$A$27:$A$36,0))),0))</f>
        <v>0</v>
      </c>
      <c r="V545" s="38" t="n">
        <f aca="false">Q545*U545</f>
        <v>0</v>
      </c>
      <c r="W545" s="41" t="n">
        <f aca="false">IF($M545="","",IF(T545="Overdue",IF(Settings!$B$8="Yes",Settings!$B$7,""),IF(ISNUMBER(R545),DATE(YEAR(R545),MONTH(R545),1),"")))</f>
        <v>46143</v>
      </c>
      <c r="X545" s="38" t="n">
        <f aca="false">IF(AND(OR(T545="Backlog",T545="Pipeline",T545="Overdue"),ISNUMBER(W545)),IF(W545&lt;=Settings!$B$6,V545,0),0)</f>
        <v>0</v>
      </c>
      <c r="Y545" s="38" t="n">
        <f aca="false">IF(AND(OR(T545="Backlog",T545="Pipeline",T545="Overdue"),ISNUMBER(W545)),IF(W545&lt;=Settings!$B$6,Q545,0),0)</f>
        <v>0</v>
      </c>
      <c r="Z545" s="38" t="n">
        <f aca="false">IF(Y545=0,0,IF(T545="Backlog",Q545,Q545*Dashboard!$C$10))</f>
        <v>0</v>
      </c>
      <c r="AA545" s="37" t="n">
        <f aca="false">IF($N545="",0,IF(COUNTIF(Dashboard!$C$13:$C$22,$N545)&gt;0,1,0))</f>
        <v>0</v>
      </c>
      <c r="AB545" s="37" t="str">
        <f aca="false">IF($N545="","",IF(COUNTIF($N$8:$N545,$N545)=1,MAX($AB$7:$AB544)+1,""))</f>
        <v/>
      </c>
    </row>
    <row r="546" customFormat="false" ht="15" hidden="false" customHeight="false" outlineLevel="0" collapsed="false">
      <c r="B546" s="32" t="s">
        <v>1320</v>
      </c>
      <c r="C546" s="32" t="s">
        <v>1321</v>
      </c>
      <c r="D546" s="35" t="n">
        <v>0</v>
      </c>
      <c r="E546" s="32" t="s">
        <v>173</v>
      </c>
      <c r="F546" s="36" t="n">
        <v>46129</v>
      </c>
      <c r="G546" s="32" t="s">
        <v>1322</v>
      </c>
      <c r="L546" s="37" t="str">
        <f aca="false">IF(INDEX($A546:$J546,$L$6)&lt;&gt;"",TRIM(LEFT(INDEX($A546:$J546,$L$6),FIND("(",INDEX($A546:$J546,$L$6)&amp;"(")-1)),L545)</f>
        <v>Closed Lost</v>
      </c>
      <c r="M546" s="37" t="str">
        <f aca="false">IF(INDEX($A546:$J546,$M$6)="","",INDEX($A546:$J546,$M$6)&amp;"")</f>
        <v>UNE AV Consultancy Services - 26041401</v>
      </c>
      <c r="N546" s="37" t="str">
        <f aca="false">IF($M546="","",TRIM(INDEX($A546:$J546,$N$6)&amp;""))</f>
        <v>University of New England</v>
      </c>
      <c r="O546" s="37" t="str">
        <f aca="false">IF($M546="","",TRIM(INDEX($A546:$J546,$O$6)&amp;""))</f>
        <v>Consulting</v>
      </c>
      <c r="P546" s="37" t="str">
        <f aca="false">IF($M546="","",IFERROR(IF(INDEX(Settings!$B$41:$B$50,MATCH(O546,Settings!$A$41:$A$50,0))&amp;""="","UNMAPPED",INDEX(Settings!$B$41:$B$50,MATCH(O546,Settings!$A$41:$A$50,0))&amp;""),"UNMAPPED"))</f>
        <v>Consulting</v>
      </c>
      <c r="Q546" s="38" t="n">
        <f aca="false">IF($M546="",0,N(INDEX($A546:$J546,$Q$6)))</f>
        <v>0</v>
      </c>
      <c r="R546" s="39" t="n">
        <f aca="false">IF($M546="","",INDEX($A546:$J546,$R$6))</f>
        <v>46129</v>
      </c>
      <c r="S546" s="37" t="str">
        <f aca="false">IF($M546="","",IFERROR(INDEX(Settings!$B$27:$B$36,MATCH(L546,Settings!$A$27:$A$36,0))&amp;"","UNMAPPED"))</f>
        <v>Lost</v>
      </c>
      <c r="T546" s="37" t="str">
        <f aca="false">IF($M546="","",IF(NOT(ISNUMBER(R546)),"NO DATE",IF(S546="Won",IF(R546&gt;Settings!$B$5,"Backlog","Delivered"),IF(S546="Open",IF(R546&gt;Settings!$B$5,"Pipeline","Overdue"),IF(S546="Lost","Lost","UNMAPPED")))))</f>
        <v>Lost</v>
      </c>
      <c r="U546" s="40" t="n">
        <f aca="false">IF(T546="Backlog",1,IF(OR(T546="Pipeline",T546="Overdue"),N(INDEX(Settings!$C$27:$C$36,MATCH(L546,Settings!$A$27:$A$36,0))),0))</f>
        <v>0</v>
      </c>
      <c r="V546" s="38" t="n">
        <f aca="false">Q546*U546</f>
        <v>0</v>
      </c>
      <c r="W546" s="41" t="n">
        <f aca="false">IF($M546="","",IF(T546="Overdue",IF(Settings!$B$8="Yes",Settings!$B$7,""),IF(ISNUMBER(R546),DATE(YEAR(R546),MONTH(R546),1),"")))</f>
        <v>46113</v>
      </c>
      <c r="X546" s="38" t="n">
        <f aca="false">IF(AND(OR(T546="Backlog",T546="Pipeline",T546="Overdue"),ISNUMBER(W546)),IF(W546&lt;=Settings!$B$6,V546,0),0)</f>
        <v>0</v>
      </c>
      <c r="Y546" s="38" t="n">
        <f aca="false">IF(AND(OR(T546="Backlog",T546="Pipeline",T546="Overdue"),ISNUMBER(W546)),IF(W546&lt;=Settings!$B$6,Q546,0),0)</f>
        <v>0</v>
      </c>
      <c r="Z546" s="38" t="n">
        <f aca="false">IF(Y546=0,0,IF(T546="Backlog",Q546,Q546*Dashboard!$C$10))</f>
        <v>0</v>
      </c>
      <c r="AA546" s="37" t="n">
        <f aca="false">IF($N546="",0,IF(COUNTIF(Dashboard!$C$13:$C$22,$N546)&gt;0,1,0))</f>
        <v>0</v>
      </c>
      <c r="AB546" s="37" t="n">
        <f aca="false">IF($N546="","",IF(COUNTIF($N$8:$N546,$N546)=1,MAX($AB$7:$AB545)+1,""))</f>
        <v>105</v>
      </c>
    </row>
    <row r="547" customFormat="false" ht="15" hidden="false" customHeight="false" outlineLevel="0" collapsed="false">
      <c r="B547" s="32" t="s">
        <v>1323</v>
      </c>
      <c r="C547" s="32" t="s">
        <v>479</v>
      </c>
      <c r="D547" s="35" t="n">
        <v>0</v>
      </c>
      <c r="E547" s="32" t="s">
        <v>173</v>
      </c>
      <c r="F547" s="36" t="n">
        <v>45947</v>
      </c>
      <c r="G547" s="32" t="s">
        <v>1324</v>
      </c>
      <c r="L547" s="37" t="str">
        <f aca="false">IF(INDEX($A547:$J547,$L$6)&lt;&gt;"",TRIM(LEFT(INDEX($A547:$J547,$L$6),FIND("(",INDEX($A547:$J547,$L$6)&amp;"(")-1)),L546)</f>
        <v>Closed Lost</v>
      </c>
      <c r="M547" s="37" t="str">
        <f aca="false">IF(INDEX($A547:$J547,$M$6)="","",INDEX($A547:$J547,$M$6)&amp;"")</f>
        <v>Stone &amp; Chalk - Swytch cable replacement</v>
      </c>
      <c r="N547" s="37" t="str">
        <f aca="false">IF($M547="","",TRIM(INDEX($A547:$J547,$N$6)&amp;""))</f>
        <v>Stone &amp; Chalk</v>
      </c>
      <c r="O547" s="37" t="str">
        <f aca="false">IF($M547="","",TRIM(INDEX($A547:$J547,$O$6)&amp;""))</f>
        <v>Consulting</v>
      </c>
      <c r="P547" s="37" t="str">
        <f aca="false">IF($M547="","",IFERROR(IF(INDEX(Settings!$B$41:$B$50,MATCH(O547,Settings!$A$41:$A$50,0))&amp;""="","UNMAPPED",INDEX(Settings!$B$41:$B$50,MATCH(O547,Settings!$A$41:$A$50,0))&amp;""),"UNMAPPED"))</f>
        <v>Consulting</v>
      </c>
      <c r="Q547" s="38" t="n">
        <f aca="false">IF($M547="",0,N(INDEX($A547:$J547,$Q$6)))</f>
        <v>0</v>
      </c>
      <c r="R547" s="39" t="n">
        <f aca="false">IF($M547="","",INDEX($A547:$J547,$R$6))</f>
        <v>45947</v>
      </c>
      <c r="S547" s="37" t="str">
        <f aca="false">IF($M547="","",IFERROR(INDEX(Settings!$B$27:$B$36,MATCH(L547,Settings!$A$27:$A$36,0))&amp;"","UNMAPPED"))</f>
        <v>Lost</v>
      </c>
      <c r="T547" s="37" t="str">
        <f aca="false">IF($M547="","",IF(NOT(ISNUMBER(R547)),"NO DATE",IF(S547="Won",IF(R547&gt;Settings!$B$5,"Backlog","Delivered"),IF(S547="Open",IF(R547&gt;Settings!$B$5,"Pipeline","Overdue"),IF(S547="Lost","Lost","UNMAPPED")))))</f>
        <v>Lost</v>
      </c>
      <c r="U547" s="40" t="n">
        <f aca="false">IF(T547="Backlog",1,IF(OR(T547="Pipeline",T547="Overdue"),N(INDEX(Settings!$C$27:$C$36,MATCH(L547,Settings!$A$27:$A$36,0))),0))</f>
        <v>0</v>
      </c>
      <c r="V547" s="38" t="n">
        <f aca="false">Q547*U547</f>
        <v>0</v>
      </c>
      <c r="W547" s="41" t="n">
        <f aca="false">IF($M547="","",IF(T547="Overdue",IF(Settings!$B$8="Yes",Settings!$B$7,""),IF(ISNUMBER(R547),DATE(YEAR(R547),MONTH(R547),1),"")))</f>
        <v>45931</v>
      </c>
      <c r="X547" s="38" t="n">
        <f aca="false">IF(AND(OR(T547="Backlog",T547="Pipeline",T547="Overdue"),ISNUMBER(W547)),IF(W547&lt;=Settings!$B$6,V547,0),0)</f>
        <v>0</v>
      </c>
      <c r="Y547" s="38" t="n">
        <f aca="false">IF(AND(OR(T547="Backlog",T547="Pipeline",T547="Overdue"),ISNUMBER(W547)),IF(W547&lt;=Settings!$B$6,Q547,0),0)</f>
        <v>0</v>
      </c>
      <c r="Z547" s="38" t="n">
        <f aca="false">IF(Y547=0,0,IF(T547="Backlog",Q547,Q547*Dashboard!$C$10))</f>
        <v>0</v>
      </c>
      <c r="AA547" s="37" t="n">
        <f aca="false">IF($N547="",0,IF(COUNTIF(Dashboard!$C$13:$C$22,$N547)&gt;0,1,0))</f>
        <v>0</v>
      </c>
      <c r="AB547" s="37" t="str">
        <f aca="false">IF($N547="","",IF(COUNTIF($N$8:$N547,$N547)=1,MAX($AB$7:$AB546)+1,""))</f>
        <v/>
      </c>
    </row>
    <row r="548" customFormat="false" ht="15" hidden="false" customHeight="false" outlineLevel="0" collapsed="false">
      <c r="B548" s="32" t="s">
        <v>1325</v>
      </c>
      <c r="C548" s="32" t="s">
        <v>847</v>
      </c>
      <c r="D548" s="35" t="n">
        <v>5000</v>
      </c>
      <c r="E548" s="32" t="s">
        <v>145</v>
      </c>
      <c r="F548" s="36" t="n">
        <v>45930</v>
      </c>
      <c r="G548" s="32" t="s">
        <v>1326</v>
      </c>
      <c r="L548" s="37" t="str">
        <f aca="false">IF(INDEX($A548:$J548,$L$6)&lt;&gt;"",TRIM(LEFT(INDEX($A548:$J548,$L$6),FIND("(",INDEX($A548:$J548,$L$6)&amp;"(")-1)),L547)</f>
        <v>Closed Lost</v>
      </c>
      <c r="M548" s="37" t="str">
        <f aca="false">IF(INDEX($A548:$J548,$M$6)="","",INDEX($A548:$J548,$M$6)&amp;"")</f>
        <v>Arties Awards</v>
      </c>
      <c r="N548" s="37" t="str">
        <f aca="false">IF($M548="","",TRIM(INDEX($A548:$J548,$N$6)&amp;""))</f>
        <v>Australian Retirement Trust</v>
      </c>
      <c r="O548" s="37" t="str">
        <f aca="false">IF($M548="","",TRIM(INDEX($A548:$J548,$O$6)&amp;""))</f>
        <v>Event Production</v>
      </c>
      <c r="P548" s="37" t="str">
        <f aca="false">IF($M548="","",IFERROR(IF(INDEX(Settings!$B$41:$B$50,MATCH(O548,Settings!$A$41:$A$50,0))&amp;""="","UNMAPPED",INDEX(Settings!$B$41:$B$50,MATCH(O548,Settings!$A$41:$A$50,0))&amp;""),"UNMAPPED"))</f>
        <v>Production</v>
      </c>
      <c r="Q548" s="38" t="n">
        <f aca="false">IF($M548="",0,N(INDEX($A548:$J548,$Q$6)))</f>
        <v>5000</v>
      </c>
      <c r="R548" s="39" t="n">
        <f aca="false">IF($M548="","",INDEX($A548:$J548,$R$6))</f>
        <v>45930</v>
      </c>
      <c r="S548" s="37" t="str">
        <f aca="false">IF($M548="","",IFERROR(INDEX(Settings!$B$27:$B$36,MATCH(L548,Settings!$A$27:$A$36,0))&amp;"","UNMAPPED"))</f>
        <v>Lost</v>
      </c>
      <c r="T548" s="37" t="str">
        <f aca="false">IF($M548="","",IF(NOT(ISNUMBER(R548)),"NO DATE",IF(S548="Won",IF(R548&gt;Settings!$B$5,"Backlog","Delivered"),IF(S548="Open",IF(R548&gt;Settings!$B$5,"Pipeline","Overdue"),IF(S548="Lost","Lost","UNMAPPED")))))</f>
        <v>Lost</v>
      </c>
      <c r="U548" s="40" t="n">
        <f aca="false">IF(T548="Backlog",1,IF(OR(T548="Pipeline",T548="Overdue"),N(INDEX(Settings!$C$27:$C$36,MATCH(L548,Settings!$A$27:$A$36,0))),0))</f>
        <v>0</v>
      </c>
      <c r="V548" s="38" t="n">
        <f aca="false">Q548*U548</f>
        <v>0</v>
      </c>
      <c r="W548" s="41" t="n">
        <f aca="false">IF($M548="","",IF(T548="Overdue",IF(Settings!$B$8="Yes",Settings!$B$7,""),IF(ISNUMBER(R548),DATE(YEAR(R548),MONTH(R548),1),"")))</f>
        <v>45901</v>
      </c>
      <c r="X548" s="38" t="n">
        <f aca="false">IF(AND(OR(T548="Backlog",T548="Pipeline",T548="Overdue"),ISNUMBER(W548)),IF(W548&lt;=Settings!$B$6,V548,0),0)</f>
        <v>0</v>
      </c>
      <c r="Y548" s="38" t="n">
        <f aca="false">IF(AND(OR(T548="Backlog",T548="Pipeline",T548="Overdue"),ISNUMBER(W548)),IF(W548&lt;=Settings!$B$6,Q548,0),0)</f>
        <v>0</v>
      </c>
      <c r="Z548" s="38" t="n">
        <f aca="false">IF(Y548=0,0,IF(T548="Backlog",Q548,Q548*Dashboard!$C$10))</f>
        <v>0</v>
      </c>
      <c r="AA548" s="37" t="n">
        <f aca="false">IF($N548="",0,IF(COUNTIF(Dashboard!$C$13:$C$22,$N548)&gt;0,1,0))</f>
        <v>0</v>
      </c>
      <c r="AB548" s="37" t="str">
        <f aca="false">IF($N548="","",IF(COUNTIF($N$8:$N548,$N548)=1,MAX($AB$7:$AB547)+1,""))</f>
        <v/>
      </c>
    </row>
    <row r="549" customFormat="false" ht="15" hidden="false" customHeight="false" outlineLevel="0" collapsed="false">
      <c r="B549" s="32" t="s">
        <v>1327</v>
      </c>
      <c r="C549" s="32" t="s">
        <v>188</v>
      </c>
      <c r="D549" s="35" t="n">
        <v>0</v>
      </c>
      <c r="E549" s="32" t="s">
        <v>141</v>
      </c>
      <c r="F549" s="36" t="n">
        <v>46225</v>
      </c>
      <c r="G549" s="32" t="s">
        <v>1328</v>
      </c>
      <c r="L549" s="37" t="str">
        <f aca="false">IF(INDEX($A549:$J549,$L$6)&lt;&gt;"",TRIM(LEFT(INDEX($A549:$J549,$L$6),FIND("(",INDEX($A549:$J549,$L$6)&amp;"(")-1)),L548)</f>
        <v>Closed Lost</v>
      </c>
      <c r="M549" s="37" t="str">
        <f aca="false">IF(INDEX($A549:$J549,$M$6)="","",INDEX($A549:$J549,$M$6)&amp;"")</f>
        <v>Aware | SYD Seminar Rm - 2605805</v>
      </c>
      <c r="N549" s="37" t="str">
        <f aca="false">IF($M549="","",TRIM(INDEX($A549:$J549,$N$6)&amp;""))</f>
        <v>Aware Super</v>
      </c>
      <c r="O549" s="37" t="str">
        <f aca="false">IF($M549="","",TRIM(INDEX($A549:$J549,$O$6)&amp;""))</f>
        <v>Integration</v>
      </c>
      <c r="P549" s="37" t="str">
        <f aca="false">IF($M549="","",IFERROR(IF(INDEX(Settings!$B$41:$B$50,MATCH(O549,Settings!$A$41:$A$50,0))&amp;""="","UNMAPPED",INDEX(Settings!$B$41:$B$50,MATCH(O549,Settings!$A$41:$A$50,0))&amp;""),"UNMAPPED"))</f>
        <v>Integration</v>
      </c>
      <c r="Q549" s="38" t="n">
        <f aca="false">IF($M549="",0,N(INDEX($A549:$J549,$Q$6)))</f>
        <v>0</v>
      </c>
      <c r="R549" s="39" t="n">
        <f aca="false">IF($M549="","",INDEX($A549:$J549,$R$6))</f>
        <v>46225</v>
      </c>
      <c r="S549" s="37" t="str">
        <f aca="false">IF($M549="","",IFERROR(INDEX(Settings!$B$27:$B$36,MATCH(L549,Settings!$A$27:$A$36,0))&amp;"","UNMAPPED"))</f>
        <v>Lost</v>
      </c>
      <c r="T549" s="37" t="str">
        <f aca="false">IF($M549="","",IF(NOT(ISNUMBER(R549)),"NO DATE",IF(S549="Won",IF(R549&gt;Settings!$B$5,"Backlog","Delivered"),IF(S549="Open",IF(R549&gt;Settings!$B$5,"Pipeline","Overdue"),IF(S549="Lost","Lost","UNMAPPED")))))</f>
        <v>Lost</v>
      </c>
      <c r="U549" s="40" t="n">
        <f aca="false">IF(T549="Backlog",1,IF(OR(T549="Pipeline",T549="Overdue"),N(INDEX(Settings!$C$27:$C$36,MATCH(L549,Settings!$A$27:$A$36,0))),0))</f>
        <v>0</v>
      </c>
      <c r="V549" s="38" t="n">
        <f aca="false">Q549*U549</f>
        <v>0</v>
      </c>
      <c r="W549" s="41" t="n">
        <f aca="false">IF($M549="","",IF(T549="Overdue",IF(Settings!$B$8="Yes",Settings!$B$7,""),IF(ISNUMBER(R549),DATE(YEAR(R549),MONTH(R549),1),"")))</f>
        <v>46204</v>
      </c>
      <c r="X549" s="38" t="n">
        <f aca="false">IF(AND(OR(T549="Backlog",T549="Pipeline",T549="Overdue"),ISNUMBER(W549)),IF(W549&lt;=Settings!$B$6,V549,0),0)</f>
        <v>0</v>
      </c>
      <c r="Y549" s="38" t="n">
        <f aca="false">IF(AND(OR(T549="Backlog",T549="Pipeline",T549="Overdue"),ISNUMBER(W549)),IF(W549&lt;=Settings!$B$6,Q549,0),0)</f>
        <v>0</v>
      </c>
      <c r="Z549" s="38" t="n">
        <f aca="false">IF(Y549=0,0,IF(T549="Backlog",Q549,Q549*Dashboard!$C$10))</f>
        <v>0</v>
      </c>
      <c r="AA549" s="37" t="n">
        <f aca="false">IF($N549="",0,IF(COUNTIF(Dashboard!$C$13:$C$22,$N549)&gt;0,1,0))</f>
        <v>0</v>
      </c>
      <c r="AB549" s="37" t="str">
        <f aca="false">IF($N549="","",IF(COUNTIF($N$8:$N549,$N549)=1,MAX($AB$7:$AB548)+1,""))</f>
        <v/>
      </c>
    </row>
    <row r="550" customFormat="false" ht="15" hidden="false" customHeight="false" outlineLevel="0" collapsed="false">
      <c r="B550" s="32" t="s">
        <v>1329</v>
      </c>
      <c r="C550" s="32" t="s">
        <v>183</v>
      </c>
      <c r="D550" s="35" t="n">
        <v>6957</v>
      </c>
      <c r="E550" s="32" t="s">
        <v>145</v>
      </c>
      <c r="F550" s="36" t="n">
        <v>46274</v>
      </c>
      <c r="G550" s="32" t="s">
        <v>1330</v>
      </c>
      <c r="L550" s="37" t="str">
        <f aca="false">IF(INDEX($A550:$J550,$L$6)&lt;&gt;"",TRIM(LEFT(INDEX($A550:$J550,$L$6),FIND("(",INDEX($A550:$J550,$L$6)&amp;"(")-1)),L549)</f>
        <v>Closed Lost</v>
      </c>
      <c r="M550" s="37" t="str">
        <f aca="false">IF(INDEX($A550:$J550,$M$6)="","",INDEX($A550:$J550,$M$6)&amp;"")</f>
        <v>Chorus Call - IRL AGM - 25.11.26</v>
      </c>
      <c r="N550" s="37" t="str">
        <f aca="false">IF($M550="","",TRIM(INDEX($A550:$J550,$N$6)&amp;""))</f>
        <v>Chorus Call</v>
      </c>
      <c r="O550" s="37" t="str">
        <f aca="false">IF($M550="","",TRIM(INDEX($A550:$J550,$O$6)&amp;""))</f>
        <v>Event Production</v>
      </c>
      <c r="P550" s="37" t="str">
        <f aca="false">IF($M550="","",IFERROR(IF(INDEX(Settings!$B$41:$B$50,MATCH(O550,Settings!$A$41:$A$50,0))&amp;""="","UNMAPPED",INDEX(Settings!$B$41:$B$50,MATCH(O550,Settings!$A$41:$A$50,0))&amp;""),"UNMAPPED"))</f>
        <v>Production</v>
      </c>
      <c r="Q550" s="38" t="n">
        <f aca="false">IF($M550="",0,N(INDEX($A550:$J550,$Q$6)))</f>
        <v>6957</v>
      </c>
      <c r="R550" s="39" t="n">
        <f aca="false">IF($M550="","",INDEX($A550:$J550,$R$6))</f>
        <v>46274</v>
      </c>
      <c r="S550" s="37" t="str">
        <f aca="false">IF($M550="","",IFERROR(INDEX(Settings!$B$27:$B$36,MATCH(L550,Settings!$A$27:$A$36,0))&amp;"","UNMAPPED"))</f>
        <v>Lost</v>
      </c>
      <c r="T550" s="37" t="str">
        <f aca="false">IF($M550="","",IF(NOT(ISNUMBER(R550)),"NO DATE",IF(S550="Won",IF(R550&gt;Settings!$B$5,"Backlog","Delivered"),IF(S550="Open",IF(R550&gt;Settings!$B$5,"Pipeline","Overdue"),IF(S550="Lost","Lost","UNMAPPED")))))</f>
        <v>Lost</v>
      </c>
      <c r="U550" s="40" t="n">
        <f aca="false">IF(T550="Backlog",1,IF(OR(T550="Pipeline",T550="Overdue"),N(INDEX(Settings!$C$27:$C$36,MATCH(L550,Settings!$A$27:$A$36,0))),0))</f>
        <v>0</v>
      </c>
      <c r="V550" s="38" t="n">
        <f aca="false">Q550*U550</f>
        <v>0</v>
      </c>
      <c r="W550" s="41" t="n">
        <f aca="false">IF($M550="","",IF(T550="Overdue",IF(Settings!$B$8="Yes",Settings!$B$7,""),IF(ISNUMBER(R550),DATE(YEAR(R550),MONTH(R550),1),"")))</f>
        <v>46266</v>
      </c>
      <c r="X550" s="38" t="n">
        <f aca="false">IF(AND(OR(T550="Backlog",T550="Pipeline",T550="Overdue"),ISNUMBER(W550)),IF(W550&lt;=Settings!$B$6,V550,0),0)</f>
        <v>0</v>
      </c>
      <c r="Y550" s="38" t="n">
        <f aca="false">IF(AND(OR(T550="Backlog",T550="Pipeline",T550="Overdue"),ISNUMBER(W550)),IF(W550&lt;=Settings!$B$6,Q550,0),0)</f>
        <v>0</v>
      </c>
      <c r="Z550" s="38" t="n">
        <f aca="false">IF(Y550=0,0,IF(T550="Backlog",Q550,Q550*Dashboard!$C$10))</f>
        <v>0</v>
      </c>
      <c r="AA550" s="37" t="n">
        <f aca="false">IF($N550="",0,IF(COUNTIF(Dashboard!$C$13:$C$22,$N550)&gt;0,1,0))</f>
        <v>0</v>
      </c>
      <c r="AB550" s="37" t="str">
        <f aca="false">IF($N550="","",IF(COUNTIF($N$8:$N550,$N550)=1,MAX($AB$7:$AB549)+1,""))</f>
        <v/>
      </c>
    </row>
    <row r="551" customFormat="false" ht="15" hidden="false" customHeight="false" outlineLevel="0" collapsed="false">
      <c r="B551" s="32" t="s">
        <v>1331</v>
      </c>
      <c r="C551" s="32" t="s">
        <v>194</v>
      </c>
      <c r="D551" s="35" t="n">
        <v>8500</v>
      </c>
      <c r="E551" s="32" t="s">
        <v>145</v>
      </c>
      <c r="F551" s="36" t="n">
        <v>46238</v>
      </c>
      <c r="G551" s="32" t="s">
        <v>1332</v>
      </c>
      <c r="L551" s="37" t="str">
        <f aca="false">IF(INDEX($A551:$J551,$L$6)&lt;&gt;"",TRIM(LEFT(INDEX($A551:$J551,$L$6),FIND("(",INDEX($A551:$J551,$L$6)&amp;"(")-1)),L550)</f>
        <v>Closed Lost</v>
      </c>
      <c r="M551" s="37" t="str">
        <f aca="false">IF(INDEX($A551:$J551,$M$6)="","",INDEX($A551:$J551,$M$6)&amp;"")</f>
        <v>Ventia - Next Leader Conference - 10.8.26</v>
      </c>
      <c r="N551" s="37" t="str">
        <f aca="false">IF($M551="","",TRIM(INDEX($A551:$J551,$N$6)&amp;""))</f>
        <v>Ventia</v>
      </c>
      <c r="O551" s="37" t="str">
        <f aca="false">IF($M551="","",TRIM(INDEX($A551:$J551,$O$6)&amp;""))</f>
        <v>Event Production</v>
      </c>
      <c r="P551" s="37" t="str">
        <f aca="false">IF($M551="","",IFERROR(IF(INDEX(Settings!$B$41:$B$50,MATCH(O551,Settings!$A$41:$A$50,0))&amp;""="","UNMAPPED",INDEX(Settings!$B$41:$B$50,MATCH(O551,Settings!$A$41:$A$50,0))&amp;""),"UNMAPPED"))</f>
        <v>Production</v>
      </c>
      <c r="Q551" s="38" t="n">
        <f aca="false">IF($M551="",0,N(INDEX($A551:$J551,$Q$6)))</f>
        <v>8500</v>
      </c>
      <c r="R551" s="39" t="n">
        <f aca="false">IF($M551="","",INDEX($A551:$J551,$R$6))</f>
        <v>46238</v>
      </c>
      <c r="S551" s="37" t="str">
        <f aca="false">IF($M551="","",IFERROR(INDEX(Settings!$B$27:$B$36,MATCH(L551,Settings!$A$27:$A$36,0))&amp;"","UNMAPPED"))</f>
        <v>Lost</v>
      </c>
      <c r="T551" s="37" t="str">
        <f aca="false">IF($M551="","",IF(NOT(ISNUMBER(R551)),"NO DATE",IF(S551="Won",IF(R551&gt;Settings!$B$5,"Backlog","Delivered"),IF(S551="Open",IF(R551&gt;Settings!$B$5,"Pipeline","Overdue"),IF(S551="Lost","Lost","UNMAPPED")))))</f>
        <v>Lost</v>
      </c>
      <c r="U551" s="40" t="n">
        <f aca="false">IF(T551="Backlog",1,IF(OR(T551="Pipeline",T551="Overdue"),N(INDEX(Settings!$C$27:$C$36,MATCH(L551,Settings!$A$27:$A$36,0))),0))</f>
        <v>0</v>
      </c>
      <c r="V551" s="38" t="n">
        <f aca="false">Q551*U551</f>
        <v>0</v>
      </c>
      <c r="W551" s="41" t="n">
        <f aca="false">IF($M551="","",IF(T551="Overdue",IF(Settings!$B$8="Yes",Settings!$B$7,""),IF(ISNUMBER(R551),DATE(YEAR(R551),MONTH(R551),1),"")))</f>
        <v>46235</v>
      </c>
      <c r="X551" s="38" t="n">
        <f aca="false">IF(AND(OR(T551="Backlog",T551="Pipeline",T551="Overdue"),ISNUMBER(W551)),IF(W551&lt;=Settings!$B$6,V551,0),0)</f>
        <v>0</v>
      </c>
      <c r="Y551" s="38" t="n">
        <f aca="false">IF(AND(OR(T551="Backlog",T551="Pipeline",T551="Overdue"),ISNUMBER(W551)),IF(W551&lt;=Settings!$B$6,Q551,0),0)</f>
        <v>0</v>
      </c>
      <c r="Z551" s="38" t="n">
        <f aca="false">IF(Y551=0,0,IF(T551="Backlog",Q551,Q551*Dashboard!$C$10))</f>
        <v>0</v>
      </c>
      <c r="AA551" s="37" t="n">
        <f aca="false">IF($N551="",0,IF(COUNTIF(Dashboard!$C$13:$C$22,$N551)&gt;0,1,0))</f>
        <v>0</v>
      </c>
      <c r="AB551" s="37" t="str">
        <f aca="false">IF($N551="","",IF(COUNTIF($N$8:$N551,$N551)=1,MAX($AB$7:$AB550)+1,""))</f>
        <v/>
      </c>
    </row>
    <row r="552" customFormat="false" ht="15" hidden="false" customHeight="false" outlineLevel="0" collapsed="false">
      <c r="B552" s="32" t="s">
        <v>1333</v>
      </c>
      <c r="C552" s="32" t="s">
        <v>1334</v>
      </c>
      <c r="D552" s="35" t="n">
        <v>4370</v>
      </c>
      <c r="E552" s="32" t="s">
        <v>208</v>
      </c>
      <c r="F552" s="36" t="n">
        <v>45863</v>
      </c>
      <c r="G552" s="32" t="s">
        <v>1335</v>
      </c>
      <c r="L552" s="37" t="str">
        <f aca="false">IF(INDEX($A552:$J552,$L$6)&lt;&gt;"",TRIM(LEFT(INDEX($A552:$J552,$L$6),FIND("(",INDEX($A552:$J552,$L$6)&amp;"(")-1)),L551)</f>
        <v>Closed Lost</v>
      </c>
      <c r="M552" s="37" t="str">
        <f aca="false">IF(INDEX($A552:$J552,$M$6)="","",INDEX($A552:$J552,$M$6)&amp;"")</f>
        <v>Ring The Bell Ceremony - 30 7 25</v>
      </c>
      <c r="N552" s="37" t="str">
        <f aca="false">IF($M552="","",TRIM(INDEX($A552:$J552,$N$6)&amp;""))</f>
        <v>UN Global Compact Network Australia</v>
      </c>
      <c r="O552" s="37" t="str">
        <f aca="false">IF($M552="","",TRIM(INDEX($A552:$J552,$O$6)&amp;""))</f>
        <v>Video Production</v>
      </c>
      <c r="P552" s="37" t="str">
        <f aca="false">IF($M552="","",IFERROR(IF(INDEX(Settings!$B$41:$B$50,MATCH(O552,Settings!$A$41:$A$50,0))&amp;""="","UNMAPPED",INDEX(Settings!$B$41:$B$50,MATCH(O552,Settings!$A$41:$A$50,0))&amp;""),"UNMAPPED"))</f>
        <v>Video</v>
      </c>
      <c r="Q552" s="38" t="n">
        <f aca="false">IF($M552="",0,N(INDEX($A552:$J552,$Q$6)))</f>
        <v>4370</v>
      </c>
      <c r="R552" s="39" t="n">
        <f aca="false">IF($M552="","",INDEX($A552:$J552,$R$6))</f>
        <v>45863</v>
      </c>
      <c r="S552" s="37" t="str">
        <f aca="false">IF($M552="","",IFERROR(INDEX(Settings!$B$27:$B$36,MATCH(L552,Settings!$A$27:$A$36,0))&amp;"","UNMAPPED"))</f>
        <v>Lost</v>
      </c>
      <c r="T552" s="37" t="str">
        <f aca="false">IF($M552="","",IF(NOT(ISNUMBER(R552)),"NO DATE",IF(S552="Won",IF(R552&gt;Settings!$B$5,"Backlog","Delivered"),IF(S552="Open",IF(R552&gt;Settings!$B$5,"Pipeline","Overdue"),IF(S552="Lost","Lost","UNMAPPED")))))</f>
        <v>Lost</v>
      </c>
      <c r="U552" s="40" t="n">
        <f aca="false">IF(T552="Backlog",1,IF(OR(T552="Pipeline",T552="Overdue"),N(INDEX(Settings!$C$27:$C$36,MATCH(L552,Settings!$A$27:$A$36,0))),0))</f>
        <v>0</v>
      </c>
      <c r="V552" s="38" t="n">
        <f aca="false">Q552*U552</f>
        <v>0</v>
      </c>
      <c r="W552" s="41" t="n">
        <f aca="false">IF($M552="","",IF(T552="Overdue",IF(Settings!$B$8="Yes",Settings!$B$7,""),IF(ISNUMBER(R552),DATE(YEAR(R552),MONTH(R552),1),"")))</f>
        <v>45839</v>
      </c>
      <c r="X552" s="38" t="n">
        <f aca="false">IF(AND(OR(T552="Backlog",T552="Pipeline",T552="Overdue"),ISNUMBER(W552)),IF(W552&lt;=Settings!$B$6,V552,0),0)</f>
        <v>0</v>
      </c>
      <c r="Y552" s="38" t="n">
        <f aca="false">IF(AND(OR(T552="Backlog",T552="Pipeline",T552="Overdue"),ISNUMBER(W552)),IF(W552&lt;=Settings!$B$6,Q552,0),0)</f>
        <v>0</v>
      </c>
      <c r="Z552" s="38" t="n">
        <f aca="false">IF(Y552=0,0,IF(T552="Backlog",Q552,Q552*Dashboard!$C$10))</f>
        <v>0</v>
      </c>
      <c r="AA552" s="37" t="n">
        <f aca="false">IF($N552="",0,IF(COUNTIF(Dashboard!$C$13:$C$22,$N552)&gt;0,1,0))</f>
        <v>0</v>
      </c>
      <c r="AB552" s="37" t="n">
        <f aca="false">IF($N552="","",IF(COUNTIF($N$8:$N552,$N552)=1,MAX($AB$7:$AB551)+1,""))</f>
        <v>106</v>
      </c>
    </row>
    <row r="553" customFormat="false" ht="15" hidden="false" customHeight="false" outlineLevel="0" collapsed="false">
      <c r="B553" s="32" t="s">
        <v>1336</v>
      </c>
      <c r="C553" s="32" t="s">
        <v>205</v>
      </c>
      <c r="D553" s="35" t="n">
        <v>12185</v>
      </c>
      <c r="E553" s="32" t="s">
        <v>145</v>
      </c>
      <c r="F553" s="36" t="n">
        <v>46161</v>
      </c>
      <c r="G553" s="32" t="s">
        <v>1337</v>
      </c>
      <c r="L553" s="37" t="str">
        <f aca="false">IF(INDEX($A553:$J553,$L$6)&lt;&gt;"",TRIM(LEFT(INDEX($A553:$J553,$L$6),FIND("(",INDEX($A553:$J553,$L$6)&amp;"(")-1)),L552)</f>
        <v>Closed Lost</v>
      </c>
      <c r="M553" s="37" t="str">
        <f aca="false">IF(INDEX($A553:$J553,$M$6)="","",INDEX($A553:$J553,$M$6)&amp;"")</f>
        <v>DTTL - Mardi Gras/Vivid - 27.5.26</v>
      </c>
      <c r="N553" s="37" t="str">
        <f aca="false">IF($M553="","",TRIM(INDEX($A553:$J553,$N$6)&amp;""))</f>
        <v>Deloitte - Sydney</v>
      </c>
      <c r="O553" s="37" t="str">
        <f aca="false">IF($M553="","",TRIM(INDEX($A553:$J553,$O$6)&amp;""))</f>
        <v>Event Production</v>
      </c>
      <c r="P553" s="37" t="str">
        <f aca="false">IF($M553="","",IFERROR(IF(INDEX(Settings!$B$41:$B$50,MATCH(O553,Settings!$A$41:$A$50,0))&amp;""="","UNMAPPED",INDEX(Settings!$B$41:$B$50,MATCH(O553,Settings!$A$41:$A$50,0))&amp;""),"UNMAPPED"))</f>
        <v>Production</v>
      </c>
      <c r="Q553" s="38" t="n">
        <f aca="false">IF($M553="",0,N(INDEX($A553:$J553,$Q$6)))</f>
        <v>12185</v>
      </c>
      <c r="R553" s="39" t="n">
        <f aca="false">IF($M553="","",INDEX($A553:$J553,$R$6))</f>
        <v>46161</v>
      </c>
      <c r="S553" s="37" t="str">
        <f aca="false">IF($M553="","",IFERROR(INDEX(Settings!$B$27:$B$36,MATCH(L553,Settings!$A$27:$A$36,0))&amp;"","UNMAPPED"))</f>
        <v>Lost</v>
      </c>
      <c r="T553" s="37" t="str">
        <f aca="false">IF($M553="","",IF(NOT(ISNUMBER(R553)),"NO DATE",IF(S553="Won",IF(R553&gt;Settings!$B$5,"Backlog","Delivered"),IF(S553="Open",IF(R553&gt;Settings!$B$5,"Pipeline","Overdue"),IF(S553="Lost","Lost","UNMAPPED")))))</f>
        <v>Lost</v>
      </c>
      <c r="U553" s="40" t="n">
        <f aca="false">IF(T553="Backlog",1,IF(OR(T553="Pipeline",T553="Overdue"),N(INDEX(Settings!$C$27:$C$36,MATCH(L553,Settings!$A$27:$A$36,0))),0))</f>
        <v>0</v>
      </c>
      <c r="V553" s="38" t="n">
        <f aca="false">Q553*U553</f>
        <v>0</v>
      </c>
      <c r="W553" s="41" t="n">
        <f aca="false">IF($M553="","",IF(T553="Overdue",IF(Settings!$B$8="Yes",Settings!$B$7,""),IF(ISNUMBER(R553),DATE(YEAR(R553),MONTH(R553),1),"")))</f>
        <v>46143</v>
      </c>
      <c r="X553" s="38" t="n">
        <f aca="false">IF(AND(OR(T553="Backlog",T553="Pipeline",T553="Overdue"),ISNUMBER(W553)),IF(W553&lt;=Settings!$B$6,V553,0),0)</f>
        <v>0</v>
      </c>
      <c r="Y553" s="38" t="n">
        <f aca="false">IF(AND(OR(T553="Backlog",T553="Pipeline",T553="Overdue"),ISNUMBER(W553)),IF(W553&lt;=Settings!$B$6,Q553,0),0)</f>
        <v>0</v>
      </c>
      <c r="Z553" s="38" t="n">
        <f aca="false">IF(Y553=0,0,IF(T553="Backlog",Q553,Q553*Dashboard!$C$10))</f>
        <v>0</v>
      </c>
      <c r="AA553" s="37" t="n">
        <f aca="false">IF($N553="",0,IF(COUNTIF(Dashboard!$C$13:$C$22,$N553)&gt;0,1,0))</f>
        <v>0</v>
      </c>
      <c r="AB553" s="37" t="str">
        <f aca="false">IF($N553="","",IF(COUNTIF($N$8:$N553,$N553)=1,MAX($AB$7:$AB552)+1,""))</f>
        <v/>
      </c>
    </row>
    <row r="554" customFormat="false" ht="15" hidden="false" customHeight="false" outlineLevel="0" collapsed="false">
      <c r="B554" s="32" t="s">
        <v>1338</v>
      </c>
      <c r="C554" s="32" t="s">
        <v>1339</v>
      </c>
      <c r="D554" s="35" t="n">
        <v>6665</v>
      </c>
      <c r="E554" s="32" t="s">
        <v>173</v>
      </c>
      <c r="F554" s="36" t="n">
        <v>46146</v>
      </c>
      <c r="G554" s="32" t="s">
        <v>1340</v>
      </c>
      <c r="L554" s="37" t="str">
        <f aca="false">IF(INDEX($A554:$J554,$L$6)&lt;&gt;"",TRIM(LEFT(INDEX($A554:$J554,$L$6),FIND("(",INDEX($A554:$J554,$L$6)&amp;"(")-1)),L553)</f>
        <v>Closed Lost</v>
      </c>
      <c r="M554" s="37" t="str">
        <f aca="false">IF(INDEX($A554:$J554,$M$6)="","",INDEX($A554:$J554,$M$6)&amp;"")</f>
        <v>Board Room Uplift - 26021801</v>
      </c>
      <c r="N554" s="37" t="str">
        <f aca="false">IF($M554="","",TRIM(INDEX($A554:$J554,$N$6)&amp;""))</f>
        <v>National Pharmacies</v>
      </c>
      <c r="O554" s="37" t="str">
        <f aca="false">IF($M554="","",TRIM(INDEX($A554:$J554,$O$6)&amp;""))</f>
        <v>Consulting</v>
      </c>
      <c r="P554" s="37" t="str">
        <f aca="false">IF($M554="","",IFERROR(IF(INDEX(Settings!$B$41:$B$50,MATCH(O554,Settings!$A$41:$A$50,0))&amp;""="","UNMAPPED",INDEX(Settings!$B$41:$B$50,MATCH(O554,Settings!$A$41:$A$50,0))&amp;""),"UNMAPPED"))</f>
        <v>Consulting</v>
      </c>
      <c r="Q554" s="38" t="n">
        <f aca="false">IF($M554="",0,N(INDEX($A554:$J554,$Q$6)))</f>
        <v>6665</v>
      </c>
      <c r="R554" s="39" t="n">
        <f aca="false">IF($M554="","",INDEX($A554:$J554,$R$6))</f>
        <v>46146</v>
      </c>
      <c r="S554" s="37" t="str">
        <f aca="false">IF($M554="","",IFERROR(INDEX(Settings!$B$27:$B$36,MATCH(L554,Settings!$A$27:$A$36,0))&amp;"","UNMAPPED"))</f>
        <v>Lost</v>
      </c>
      <c r="T554" s="37" t="str">
        <f aca="false">IF($M554="","",IF(NOT(ISNUMBER(R554)),"NO DATE",IF(S554="Won",IF(R554&gt;Settings!$B$5,"Backlog","Delivered"),IF(S554="Open",IF(R554&gt;Settings!$B$5,"Pipeline","Overdue"),IF(S554="Lost","Lost","UNMAPPED")))))</f>
        <v>Lost</v>
      </c>
      <c r="U554" s="40" t="n">
        <f aca="false">IF(T554="Backlog",1,IF(OR(T554="Pipeline",T554="Overdue"),N(INDEX(Settings!$C$27:$C$36,MATCH(L554,Settings!$A$27:$A$36,0))),0))</f>
        <v>0</v>
      </c>
      <c r="V554" s="38" t="n">
        <f aca="false">Q554*U554</f>
        <v>0</v>
      </c>
      <c r="W554" s="41" t="n">
        <f aca="false">IF($M554="","",IF(T554="Overdue",IF(Settings!$B$8="Yes",Settings!$B$7,""),IF(ISNUMBER(R554),DATE(YEAR(R554),MONTH(R554),1),"")))</f>
        <v>46143</v>
      </c>
      <c r="X554" s="38" t="n">
        <f aca="false">IF(AND(OR(T554="Backlog",T554="Pipeline",T554="Overdue"),ISNUMBER(W554)),IF(W554&lt;=Settings!$B$6,V554,0),0)</f>
        <v>0</v>
      </c>
      <c r="Y554" s="38" t="n">
        <f aca="false">IF(AND(OR(T554="Backlog",T554="Pipeline",T554="Overdue"),ISNUMBER(W554)),IF(W554&lt;=Settings!$B$6,Q554,0),0)</f>
        <v>0</v>
      </c>
      <c r="Z554" s="38" t="n">
        <f aca="false">IF(Y554=0,0,IF(T554="Backlog",Q554,Q554*Dashboard!$C$10))</f>
        <v>0</v>
      </c>
      <c r="AA554" s="37" t="n">
        <f aca="false">IF($N554="",0,IF(COUNTIF(Dashboard!$C$13:$C$22,$N554)&gt;0,1,0))</f>
        <v>0</v>
      </c>
      <c r="AB554" s="37" t="n">
        <f aca="false">IF($N554="","",IF(COUNTIF($N$8:$N554,$N554)=1,MAX($AB$7:$AB553)+1,""))</f>
        <v>107</v>
      </c>
    </row>
    <row r="555" customFormat="false" ht="15" hidden="false" customHeight="false" outlineLevel="0" collapsed="false">
      <c r="B555" s="32" t="s">
        <v>1341</v>
      </c>
      <c r="C555" s="32" t="s">
        <v>321</v>
      </c>
      <c r="D555" s="35" t="n">
        <v>4930</v>
      </c>
      <c r="E555" s="32" t="s">
        <v>141</v>
      </c>
      <c r="F555" s="36" t="n">
        <v>46216</v>
      </c>
      <c r="G555" s="32" t="s">
        <v>1342</v>
      </c>
      <c r="L555" s="37" t="str">
        <f aca="false">IF(INDEX($A555:$J555,$L$6)&lt;&gt;"",TRIM(LEFT(INDEX($A555:$J555,$L$6),FIND("(",INDEX($A555:$J555,$L$6)&amp;"(")-1)),L554)</f>
        <v>Closed Lost</v>
      </c>
      <c r="M555" s="37" t="str">
        <f aca="false">IF(INDEX($A555:$J555,$M$6)="","",INDEX($A555:$J555,$M$6)&amp;"")</f>
        <v>HP_CremorneVicMCS - 26032603</v>
      </c>
      <c r="N555" s="37" t="str">
        <f aca="false">IF($M555="","",TRIM(INDEX($A555:$J555,$N$6)&amp;""))</f>
        <v>HP</v>
      </c>
      <c r="O555" s="37" t="str">
        <f aca="false">IF($M555="","",TRIM(INDEX($A555:$J555,$O$6)&amp;""))</f>
        <v>Integration</v>
      </c>
      <c r="P555" s="37" t="str">
        <f aca="false">IF($M555="","",IFERROR(IF(INDEX(Settings!$B$41:$B$50,MATCH(O555,Settings!$A$41:$A$50,0))&amp;""="","UNMAPPED",INDEX(Settings!$B$41:$B$50,MATCH(O555,Settings!$A$41:$A$50,0))&amp;""),"UNMAPPED"))</f>
        <v>Integration</v>
      </c>
      <c r="Q555" s="38" t="n">
        <f aca="false">IF($M555="",0,N(INDEX($A555:$J555,$Q$6)))</f>
        <v>4930</v>
      </c>
      <c r="R555" s="39" t="n">
        <f aca="false">IF($M555="","",INDEX($A555:$J555,$R$6))</f>
        <v>46216</v>
      </c>
      <c r="S555" s="37" t="str">
        <f aca="false">IF($M555="","",IFERROR(INDEX(Settings!$B$27:$B$36,MATCH(L555,Settings!$A$27:$A$36,0))&amp;"","UNMAPPED"))</f>
        <v>Lost</v>
      </c>
      <c r="T555" s="37" t="str">
        <f aca="false">IF($M555="","",IF(NOT(ISNUMBER(R555)),"NO DATE",IF(S555="Won",IF(R555&gt;Settings!$B$5,"Backlog","Delivered"),IF(S555="Open",IF(R555&gt;Settings!$B$5,"Pipeline","Overdue"),IF(S555="Lost","Lost","UNMAPPED")))))</f>
        <v>Lost</v>
      </c>
      <c r="U555" s="40" t="n">
        <f aca="false">IF(T555="Backlog",1,IF(OR(T555="Pipeline",T555="Overdue"),N(INDEX(Settings!$C$27:$C$36,MATCH(L555,Settings!$A$27:$A$36,0))),0))</f>
        <v>0</v>
      </c>
      <c r="V555" s="38" t="n">
        <f aca="false">Q555*U555</f>
        <v>0</v>
      </c>
      <c r="W555" s="41" t="n">
        <f aca="false">IF($M555="","",IF(T555="Overdue",IF(Settings!$B$8="Yes",Settings!$B$7,""),IF(ISNUMBER(R555),DATE(YEAR(R555),MONTH(R555),1),"")))</f>
        <v>46204</v>
      </c>
      <c r="X555" s="38" t="n">
        <f aca="false">IF(AND(OR(T555="Backlog",T555="Pipeline",T555="Overdue"),ISNUMBER(W555)),IF(W555&lt;=Settings!$B$6,V555,0),0)</f>
        <v>0</v>
      </c>
      <c r="Y555" s="38" t="n">
        <f aca="false">IF(AND(OR(T555="Backlog",T555="Pipeline",T555="Overdue"),ISNUMBER(W555)),IF(W555&lt;=Settings!$B$6,Q555,0),0)</f>
        <v>0</v>
      </c>
      <c r="Z555" s="38" t="n">
        <f aca="false">IF(Y555=0,0,IF(T555="Backlog",Q555,Q555*Dashboard!$C$10))</f>
        <v>0</v>
      </c>
      <c r="AA555" s="37" t="n">
        <f aca="false">IF($N555="",0,IF(COUNTIF(Dashboard!$C$13:$C$22,$N555)&gt;0,1,0))</f>
        <v>0</v>
      </c>
      <c r="AB555" s="37" t="str">
        <f aca="false">IF($N555="","",IF(COUNTIF($N$8:$N555,$N555)=1,MAX($AB$7:$AB554)+1,""))</f>
        <v/>
      </c>
    </row>
    <row r="556" customFormat="false" ht="15" hidden="false" customHeight="false" outlineLevel="0" collapsed="false">
      <c r="B556" s="32" t="s">
        <v>1343</v>
      </c>
      <c r="C556" s="32" t="s">
        <v>290</v>
      </c>
      <c r="D556" s="35" t="n">
        <v>15171</v>
      </c>
      <c r="E556" s="32" t="s">
        <v>173</v>
      </c>
      <c r="F556" s="36" t="n">
        <v>46296</v>
      </c>
      <c r="G556" s="32" t="s">
        <v>1344</v>
      </c>
      <c r="L556" s="37" t="str">
        <f aca="false">IF(INDEX($A556:$J556,$L$6)&lt;&gt;"",TRIM(LEFT(INDEX($A556:$J556,$L$6),FIND("(",INDEX($A556:$J556,$L$6)&amp;"(")-1)),L555)</f>
        <v>Closed Lost</v>
      </c>
      <c r="M556" s="37" t="str">
        <f aca="false">IF(INDEX($A556:$J556,$M$6)="","",INDEX($A556:$J556,$M$6)&amp;"")</f>
        <v>Remondis | FPD Anti-Glare Recommendations - 26071502</v>
      </c>
      <c r="N556" s="37" t="str">
        <f aca="false">IF($M556="","",TRIM(INDEX($A556:$J556,$N$6)&amp;""))</f>
        <v>Remondis</v>
      </c>
      <c r="O556" s="37" t="str">
        <f aca="false">IF($M556="","",TRIM(INDEX($A556:$J556,$O$6)&amp;""))</f>
        <v>Consulting</v>
      </c>
      <c r="P556" s="37" t="str">
        <f aca="false">IF($M556="","",IFERROR(IF(INDEX(Settings!$B$41:$B$50,MATCH(O556,Settings!$A$41:$A$50,0))&amp;""="","UNMAPPED",INDEX(Settings!$B$41:$B$50,MATCH(O556,Settings!$A$41:$A$50,0))&amp;""),"UNMAPPED"))</f>
        <v>Consulting</v>
      </c>
      <c r="Q556" s="38" t="n">
        <f aca="false">IF($M556="",0,N(INDEX($A556:$J556,$Q$6)))</f>
        <v>15171</v>
      </c>
      <c r="R556" s="39" t="n">
        <f aca="false">IF($M556="","",INDEX($A556:$J556,$R$6))</f>
        <v>46296</v>
      </c>
      <c r="S556" s="37" t="str">
        <f aca="false">IF($M556="","",IFERROR(INDEX(Settings!$B$27:$B$36,MATCH(L556,Settings!$A$27:$A$36,0))&amp;"","UNMAPPED"))</f>
        <v>Lost</v>
      </c>
      <c r="T556" s="37" t="str">
        <f aca="false">IF($M556="","",IF(NOT(ISNUMBER(R556)),"NO DATE",IF(S556="Won",IF(R556&gt;Settings!$B$5,"Backlog","Delivered"),IF(S556="Open",IF(R556&gt;Settings!$B$5,"Pipeline","Overdue"),IF(S556="Lost","Lost","UNMAPPED")))))</f>
        <v>Lost</v>
      </c>
      <c r="U556" s="40" t="n">
        <f aca="false">IF(T556="Backlog",1,IF(OR(T556="Pipeline",T556="Overdue"),N(INDEX(Settings!$C$27:$C$36,MATCH(L556,Settings!$A$27:$A$36,0))),0))</f>
        <v>0</v>
      </c>
      <c r="V556" s="38" t="n">
        <f aca="false">Q556*U556</f>
        <v>0</v>
      </c>
      <c r="W556" s="41" t="n">
        <f aca="false">IF($M556="","",IF(T556="Overdue",IF(Settings!$B$8="Yes",Settings!$B$7,""),IF(ISNUMBER(R556),DATE(YEAR(R556),MONTH(R556),1),"")))</f>
        <v>46296</v>
      </c>
      <c r="X556" s="38" t="n">
        <f aca="false">IF(AND(OR(T556="Backlog",T556="Pipeline",T556="Overdue"),ISNUMBER(W556)),IF(W556&lt;=Settings!$B$6,V556,0),0)</f>
        <v>0</v>
      </c>
      <c r="Y556" s="38" t="n">
        <f aca="false">IF(AND(OR(T556="Backlog",T556="Pipeline",T556="Overdue"),ISNUMBER(W556)),IF(W556&lt;=Settings!$B$6,Q556,0),0)</f>
        <v>0</v>
      </c>
      <c r="Z556" s="38" t="n">
        <f aca="false">IF(Y556=0,0,IF(T556="Backlog",Q556,Q556*Dashboard!$C$10))</f>
        <v>0</v>
      </c>
      <c r="AA556" s="37" t="n">
        <f aca="false">IF($N556="",0,IF(COUNTIF(Dashboard!$C$13:$C$22,$N556)&gt;0,1,0))</f>
        <v>0</v>
      </c>
      <c r="AB556" s="37" t="str">
        <f aca="false">IF($N556="","",IF(COUNTIF($N$8:$N556,$N556)=1,MAX($AB$7:$AB555)+1,""))</f>
        <v/>
      </c>
    </row>
    <row r="557" customFormat="false" ht="15" hidden="false" customHeight="false" outlineLevel="0" collapsed="false">
      <c r="B557" s="32" t="s">
        <v>1345</v>
      </c>
      <c r="C557" s="32" t="s">
        <v>1346</v>
      </c>
      <c r="D557" s="35" t="n">
        <v>58977</v>
      </c>
      <c r="E557" s="32" t="s">
        <v>141</v>
      </c>
      <c r="F557" s="36" t="n">
        <v>46219</v>
      </c>
      <c r="G557" s="32" t="s">
        <v>1347</v>
      </c>
      <c r="L557" s="37" t="str">
        <f aca="false">IF(INDEX($A557:$J557,$L$6)&lt;&gt;"",TRIM(LEFT(INDEX($A557:$J557,$L$6),FIND("(",INDEX($A557:$J557,$L$6)&amp;"(")-1)),L556)</f>
        <v>Closed Lost</v>
      </c>
      <c r="M557" s="37" t="str">
        <f aca="false">IF(INDEX($A557:$J557,$M$6)="","",INDEX($A557:$J557,$M$6)&amp;"")</f>
        <v>Wayflyer | AV Install - 26041404</v>
      </c>
      <c r="N557" s="37" t="str">
        <f aca="false">IF($M557="","",TRIM(INDEX($A557:$J557,$N$6)&amp;""))</f>
        <v>Wayflyer</v>
      </c>
      <c r="O557" s="37" t="str">
        <f aca="false">IF($M557="","",TRIM(INDEX($A557:$J557,$O$6)&amp;""))</f>
        <v>Integration</v>
      </c>
      <c r="P557" s="37" t="str">
        <f aca="false">IF($M557="","",IFERROR(IF(INDEX(Settings!$B$41:$B$50,MATCH(O557,Settings!$A$41:$A$50,0))&amp;""="","UNMAPPED",INDEX(Settings!$B$41:$B$50,MATCH(O557,Settings!$A$41:$A$50,0))&amp;""),"UNMAPPED"))</f>
        <v>Integration</v>
      </c>
      <c r="Q557" s="38" t="n">
        <f aca="false">IF($M557="",0,N(INDEX($A557:$J557,$Q$6)))</f>
        <v>58977</v>
      </c>
      <c r="R557" s="39" t="n">
        <f aca="false">IF($M557="","",INDEX($A557:$J557,$R$6))</f>
        <v>46219</v>
      </c>
      <c r="S557" s="37" t="str">
        <f aca="false">IF($M557="","",IFERROR(INDEX(Settings!$B$27:$B$36,MATCH(L557,Settings!$A$27:$A$36,0))&amp;"","UNMAPPED"))</f>
        <v>Lost</v>
      </c>
      <c r="T557" s="37" t="str">
        <f aca="false">IF($M557="","",IF(NOT(ISNUMBER(R557)),"NO DATE",IF(S557="Won",IF(R557&gt;Settings!$B$5,"Backlog","Delivered"),IF(S557="Open",IF(R557&gt;Settings!$B$5,"Pipeline","Overdue"),IF(S557="Lost","Lost","UNMAPPED")))))</f>
        <v>Lost</v>
      </c>
      <c r="U557" s="40" t="n">
        <f aca="false">IF(T557="Backlog",1,IF(OR(T557="Pipeline",T557="Overdue"),N(INDEX(Settings!$C$27:$C$36,MATCH(L557,Settings!$A$27:$A$36,0))),0))</f>
        <v>0</v>
      </c>
      <c r="V557" s="38" t="n">
        <f aca="false">Q557*U557</f>
        <v>0</v>
      </c>
      <c r="W557" s="41" t="n">
        <f aca="false">IF($M557="","",IF(T557="Overdue",IF(Settings!$B$8="Yes",Settings!$B$7,""),IF(ISNUMBER(R557),DATE(YEAR(R557),MONTH(R557),1),"")))</f>
        <v>46204</v>
      </c>
      <c r="X557" s="38" t="n">
        <f aca="false">IF(AND(OR(T557="Backlog",T557="Pipeline",T557="Overdue"),ISNUMBER(W557)),IF(W557&lt;=Settings!$B$6,V557,0),0)</f>
        <v>0</v>
      </c>
      <c r="Y557" s="38" t="n">
        <f aca="false">IF(AND(OR(T557="Backlog",T557="Pipeline",T557="Overdue"),ISNUMBER(W557)),IF(W557&lt;=Settings!$B$6,Q557,0),0)</f>
        <v>0</v>
      </c>
      <c r="Z557" s="38" t="n">
        <f aca="false">IF(Y557=0,0,IF(T557="Backlog",Q557,Q557*Dashboard!$C$10))</f>
        <v>0</v>
      </c>
      <c r="AA557" s="37" t="n">
        <f aca="false">IF($N557="",0,IF(COUNTIF(Dashboard!$C$13:$C$22,$N557)&gt;0,1,0))</f>
        <v>0</v>
      </c>
      <c r="AB557" s="37" t="n">
        <f aca="false">IF($N557="","",IF(COUNTIF($N$8:$N557,$N557)=1,MAX($AB$7:$AB556)+1,""))</f>
        <v>108</v>
      </c>
    </row>
    <row r="558" customFormat="false" ht="15" hidden="false" customHeight="false" outlineLevel="0" collapsed="false">
      <c r="B558" s="32" t="s">
        <v>1348</v>
      </c>
      <c r="C558" s="32" t="s">
        <v>236</v>
      </c>
      <c r="D558" s="35" t="n">
        <v>2185</v>
      </c>
      <c r="E558" s="32" t="s">
        <v>145</v>
      </c>
      <c r="F558" s="36" t="n">
        <v>46279</v>
      </c>
      <c r="G558" s="32" t="s">
        <v>1349</v>
      </c>
      <c r="L558" s="37" t="str">
        <f aca="false">IF(INDEX($A558:$J558,$L$6)&lt;&gt;"",TRIM(LEFT(INDEX($A558:$J558,$L$6),FIND("(",INDEX($A558:$J558,$L$6)&amp;"(")-1)),L557)</f>
        <v>Closed Lost</v>
      </c>
      <c r="M558" s="37" t="str">
        <f aca="false">IF(INDEX($A558:$J558,$M$6)="","",INDEX($A558:$J558,$M$6)&amp;"")</f>
        <v>EY - Event Support Tech (BNE) - 7.10.26</v>
      </c>
      <c r="N558" s="37" t="str">
        <f aca="false">IF($M558="","",TRIM(INDEX($A558:$J558,$N$6)&amp;""))</f>
        <v>EY</v>
      </c>
      <c r="O558" s="37" t="str">
        <f aca="false">IF($M558="","",TRIM(INDEX($A558:$J558,$O$6)&amp;""))</f>
        <v>Event Production</v>
      </c>
      <c r="P558" s="37" t="str">
        <f aca="false">IF($M558="","",IFERROR(IF(INDEX(Settings!$B$41:$B$50,MATCH(O558,Settings!$A$41:$A$50,0))&amp;""="","UNMAPPED",INDEX(Settings!$B$41:$B$50,MATCH(O558,Settings!$A$41:$A$50,0))&amp;""),"UNMAPPED"))</f>
        <v>Production</v>
      </c>
      <c r="Q558" s="38" t="n">
        <f aca="false">IF($M558="",0,N(INDEX($A558:$J558,$Q$6)))</f>
        <v>2185</v>
      </c>
      <c r="R558" s="39" t="n">
        <f aca="false">IF($M558="","",INDEX($A558:$J558,$R$6))</f>
        <v>46279</v>
      </c>
      <c r="S558" s="37" t="str">
        <f aca="false">IF($M558="","",IFERROR(INDEX(Settings!$B$27:$B$36,MATCH(L558,Settings!$A$27:$A$36,0))&amp;"","UNMAPPED"))</f>
        <v>Lost</v>
      </c>
      <c r="T558" s="37" t="str">
        <f aca="false">IF($M558="","",IF(NOT(ISNUMBER(R558)),"NO DATE",IF(S558="Won",IF(R558&gt;Settings!$B$5,"Backlog","Delivered"),IF(S558="Open",IF(R558&gt;Settings!$B$5,"Pipeline","Overdue"),IF(S558="Lost","Lost","UNMAPPED")))))</f>
        <v>Lost</v>
      </c>
      <c r="U558" s="40" t="n">
        <f aca="false">IF(T558="Backlog",1,IF(OR(T558="Pipeline",T558="Overdue"),N(INDEX(Settings!$C$27:$C$36,MATCH(L558,Settings!$A$27:$A$36,0))),0))</f>
        <v>0</v>
      </c>
      <c r="V558" s="38" t="n">
        <f aca="false">Q558*U558</f>
        <v>0</v>
      </c>
      <c r="W558" s="41" t="n">
        <f aca="false">IF($M558="","",IF(T558="Overdue",IF(Settings!$B$8="Yes",Settings!$B$7,""),IF(ISNUMBER(R558),DATE(YEAR(R558),MONTH(R558),1),"")))</f>
        <v>46266</v>
      </c>
      <c r="X558" s="38" t="n">
        <f aca="false">IF(AND(OR(T558="Backlog",T558="Pipeline",T558="Overdue"),ISNUMBER(W558)),IF(W558&lt;=Settings!$B$6,V558,0),0)</f>
        <v>0</v>
      </c>
      <c r="Y558" s="38" t="n">
        <f aca="false">IF(AND(OR(T558="Backlog",T558="Pipeline",T558="Overdue"),ISNUMBER(W558)),IF(W558&lt;=Settings!$B$6,Q558,0),0)</f>
        <v>0</v>
      </c>
      <c r="Z558" s="38" t="n">
        <f aca="false">IF(Y558=0,0,IF(T558="Backlog",Q558,Q558*Dashboard!$C$10))</f>
        <v>0</v>
      </c>
      <c r="AA558" s="37" t="n">
        <f aca="false">IF($N558="",0,IF(COUNTIF(Dashboard!$C$13:$C$22,$N558)&gt;0,1,0))</f>
        <v>0</v>
      </c>
      <c r="AB558" s="37" t="str">
        <f aca="false">IF($N558="","",IF(COUNTIF($N$8:$N558,$N558)=1,MAX($AB$7:$AB557)+1,""))</f>
        <v/>
      </c>
    </row>
    <row r="559" customFormat="false" ht="15" hidden="false" customHeight="false" outlineLevel="0" collapsed="false">
      <c r="B559" s="32" t="s">
        <v>1350</v>
      </c>
      <c r="C559" s="32" t="s">
        <v>154</v>
      </c>
      <c r="D559" s="35" t="n">
        <v>7888</v>
      </c>
      <c r="E559" s="32" t="s">
        <v>141</v>
      </c>
      <c r="F559" s="36" t="n">
        <v>46069</v>
      </c>
      <c r="G559" s="32" t="s">
        <v>1351</v>
      </c>
      <c r="L559" s="37" t="str">
        <f aca="false">IF(INDEX($A559:$J559,$L$6)&lt;&gt;"",TRIM(LEFT(INDEX($A559:$J559,$L$6),FIND("(",INDEX($A559:$J559,$L$6)&amp;"(")-1)),L558)</f>
        <v>Closed Lost</v>
      </c>
      <c r="M559" s="37" t="str">
        <f aca="false">IF(INDEX($A559:$J559,$M$6)="","",INDEX($A559:$J559,$M$6)&amp;"")</f>
        <v>Ops Drape Supply</v>
      </c>
      <c r="N559" s="37" t="str">
        <f aca="false">IF($M559="","",TRIM(INDEX($A559:$J559,$N$6)&amp;""))</f>
        <v>PWC</v>
      </c>
      <c r="O559" s="37" t="str">
        <f aca="false">IF($M559="","",TRIM(INDEX($A559:$J559,$O$6)&amp;""))</f>
        <v>Integration</v>
      </c>
      <c r="P559" s="37" t="str">
        <f aca="false">IF($M559="","",IFERROR(IF(INDEX(Settings!$B$41:$B$50,MATCH(O559,Settings!$A$41:$A$50,0))&amp;""="","UNMAPPED",INDEX(Settings!$B$41:$B$50,MATCH(O559,Settings!$A$41:$A$50,0))&amp;""),"UNMAPPED"))</f>
        <v>Integration</v>
      </c>
      <c r="Q559" s="38" t="n">
        <f aca="false">IF($M559="",0,N(INDEX($A559:$J559,$Q$6)))</f>
        <v>7888</v>
      </c>
      <c r="R559" s="39" t="n">
        <f aca="false">IF($M559="","",INDEX($A559:$J559,$R$6))</f>
        <v>46069</v>
      </c>
      <c r="S559" s="37" t="str">
        <f aca="false">IF($M559="","",IFERROR(INDEX(Settings!$B$27:$B$36,MATCH(L559,Settings!$A$27:$A$36,0))&amp;"","UNMAPPED"))</f>
        <v>Lost</v>
      </c>
      <c r="T559" s="37" t="str">
        <f aca="false">IF($M559="","",IF(NOT(ISNUMBER(R559)),"NO DATE",IF(S559="Won",IF(R559&gt;Settings!$B$5,"Backlog","Delivered"),IF(S559="Open",IF(R559&gt;Settings!$B$5,"Pipeline","Overdue"),IF(S559="Lost","Lost","UNMAPPED")))))</f>
        <v>Lost</v>
      </c>
      <c r="U559" s="40" t="n">
        <f aca="false">IF(T559="Backlog",1,IF(OR(T559="Pipeline",T559="Overdue"),N(INDEX(Settings!$C$27:$C$36,MATCH(L559,Settings!$A$27:$A$36,0))),0))</f>
        <v>0</v>
      </c>
      <c r="V559" s="38" t="n">
        <f aca="false">Q559*U559</f>
        <v>0</v>
      </c>
      <c r="W559" s="41" t="n">
        <f aca="false">IF($M559="","",IF(T559="Overdue",IF(Settings!$B$8="Yes",Settings!$B$7,""),IF(ISNUMBER(R559),DATE(YEAR(R559),MONTH(R559),1),"")))</f>
        <v>46054</v>
      </c>
      <c r="X559" s="38" t="n">
        <f aca="false">IF(AND(OR(T559="Backlog",T559="Pipeline",T559="Overdue"),ISNUMBER(W559)),IF(W559&lt;=Settings!$B$6,V559,0),0)</f>
        <v>0</v>
      </c>
      <c r="Y559" s="38" t="n">
        <f aca="false">IF(AND(OR(T559="Backlog",T559="Pipeline",T559="Overdue"),ISNUMBER(W559)),IF(W559&lt;=Settings!$B$6,Q559,0),0)</f>
        <v>0</v>
      </c>
      <c r="Z559" s="38" t="n">
        <f aca="false">IF(Y559=0,0,IF(T559="Backlog",Q559,Q559*Dashboard!$C$10))</f>
        <v>0</v>
      </c>
      <c r="AA559" s="37" t="n">
        <f aca="false">IF($N559="",0,IF(COUNTIF(Dashboard!$C$13:$C$22,$N559)&gt;0,1,0))</f>
        <v>0</v>
      </c>
      <c r="AB559" s="37" t="str">
        <f aca="false">IF($N559="","",IF(COUNTIF($N$8:$N559,$N559)=1,MAX($AB$7:$AB558)+1,""))</f>
        <v/>
      </c>
    </row>
    <row r="560" customFormat="false" ht="15" hidden="false" customHeight="false" outlineLevel="0" collapsed="false">
      <c r="B560" s="32" t="s">
        <v>1352</v>
      </c>
      <c r="C560" s="32" t="s">
        <v>535</v>
      </c>
      <c r="D560" s="35" t="n">
        <v>1000000</v>
      </c>
      <c r="E560" s="32" t="s">
        <v>173</v>
      </c>
      <c r="F560" s="36" t="n">
        <v>46001</v>
      </c>
      <c r="G560" s="32" t="s">
        <v>1353</v>
      </c>
      <c r="L560" s="37" t="str">
        <f aca="false">IF(INDEX($A560:$J560,$L$6)&lt;&gt;"",TRIM(LEFT(INDEX($A560:$J560,$L$6),FIND("(",INDEX($A560:$J560,$L$6)&amp;"(")-1)),L559)</f>
        <v>Closed Lost</v>
      </c>
      <c r="M560" s="37" t="str">
        <f aca="false">IF(INDEX($A560:$J560,$M$6)="","",INDEX($A560:$J560,$M$6)&amp;"")</f>
        <v>City of Sydney PA Renewal</v>
      </c>
      <c r="N560" s="37" t="str">
        <f aca="false">IF($M560="","",TRIM(INDEX($A560:$J560,$N$6)&amp;""))</f>
        <v>City of Sydney</v>
      </c>
      <c r="O560" s="37" t="str">
        <f aca="false">IF($M560="","",TRIM(INDEX($A560:$J560,$O$6)&amp;""))</f>
        <v>Consulting</v>
      </c>
      <c r="P560" s="37" t="str">
        <f aca="false">IF($M560="","",IFERROR(IF(INDEX(Settings!$B$41:$B$50,MATCH(O560,Settings!$A$41:$A$50,0))&amp;""="","UNMAPPED",INDEX(Settings!$B$41:$B$50,MATCH(O560,Settings!$A$41:$A$50,0))&amp;""),"UNMAPPED"))</f>
        <v>Consulting</v>
      </c>
      <c r="Q560" s="38" t="n">
        <f aca="false">IF($M560="",0,N(INDEX($A560:$J560,$Q$6)))</f>
        <v>1000000</v>
      </c>
      <c r="R560" s="39" t="n">
        <f aca="false">IF($M560="","",INDEX($A560:$J560,$R$6))</f>
        <v>46001</v>
      </c>
      <c r="S560" s="37" t="str">
        <f aca="false">IF($M560="","",IFERROR(INDEX(Settings!$B$27:$B$36,MATCH(L560,Settings!$A$27:$A$36,0))&amp;"","UNMAPPED"))</f>
        <v>Lost</v>
      </c>
      <c r="T560" s="37" t="str">
        <f aca="false">IF($M560="","",IF(NOT(ISNUMBER(R560)),"NO DATE",IF(S560="Won",IF(R560&gt;Settings!$B$5,"Backlog","Delivered"),IF(S560="Open",IF(R560&gt;Settings!$B$5,"Pipeline","Overdue"),IF(S560="Lost","Lost","UNMAPPED")))))</f>
        <v>Lost</v>
      </c>
      <c r="U560" s="40" t="n">
        <f aca="false">IF(T560="Backlog",1,IF(OR(T560="Pipeline",T560="Overdue"),N(INDEX(Settings!$C$27:$C$36,MATCH(L560,Settings!$A$27:$A$36,0))),0))</f>
        <v>0</v>
      </c>
      <c r="V560" s="38" t="n">
        <f aca="false">Q560*U560</f>
        <v>0</v>
      </c>
      <c r="W560" s="41" t="n">
        <f aca="false">IF($M560="","",IF(T560="Overdue",IF(Settings!$B$8="Yes",Settings!$B$7,""),IF(ISNUMBER(R560),DATE(YEAR(R560),MONTH(R560),1),"")))</f>
        <v>45992</v>
      </c>
      <c r="X560" s="38" t="n">
        <f aca="false">IF(AND(OR(T560="Backlog",T560="Pipeline",T560="Overdue"),ISNUMBER(W560)),IF(W560&lt;=Settings!$B$6,V560,0),0)</f>
        <v>0</v>
      </c>
      <c r="Y560" s="38" t="n">
        <f aca="false">IF(AND(OR(T560="Backlog",T560="Pipeline",T560="Overdue"),ISNUMBER(W560)),IF(W560&lt;=Settings!$B$6,Q560,0),0)</f>
        <v>0</v>
      </c>
      <c r="Z560" s="38" t="n">
        <f aca="false">IF(Y560=0,0,IF(T560="Backlog",Q560,Q560*Dashboard!$C$10))</f>
        <v>0</v>
      </c>
      <c r="AA560" s="37" t="n">
        <f aca="false">IF($N560="",0,IF(COUNTIF(Dashboard!$C$13:$C$22,$N560)&gt;0,1,0))</f>
        <v>0</v>
      </c>
      <c r="AB560" s="37" t="str">
        <f aca="false">IF($N560="","",IF(COUNTIF($N$8:$N560,$N560)=1,MAX($AB$7:$AB559)+1,""))</f>
        <v/>
      </c>
    </row>
    <row r="561" customFormat="false" ht="15" hidden="false" customHeight="false" outlineLevel="0" collapsed="false">
      <c r="B561" s="32" t="s">
        <v>1354</v>
      </c>
      <c r="C561" s="32" t="s">
        <v>253</v>
      </c>
      <c r="D561" s="35" t="n">
        <v>5660</v>
      </c>
      <c r="E561" s="32" t="s">
        <v>208</v>
      </c>
      <c r="F561" s="36" t="n">
        <v>46160</v>
      </c>
      <c r="G561" s="32" t="s">
        <v>1355</v>
      </c>
      <c r="L561" s="37" t="str">
        <f aca="false">IF(INDEX($A561:$J561,$L$6)&lt;&gt;"",TRIM(LEFT(INDEX($A561:$J561,$L$6),FIND("(",INDEX($A561:$J561,$L$6)&amp;"(")-1)),L560)</f>
        <v>Closed Lost</v>
      </c>
      <c r="M561" s="37" t="str">
        <f aca="false">IF(INDEX($A561:$J561,$M$6)="","",INDEX($A561:$J561,$M$6)&amp;"")</f>
        <v>Listed@ASX with [Unknown]</v>
      </c>
      <c r="N561" s="37" t="str">
        <f aca="false">IF($M561="","",TRIM(INDEX($A561:$J561,$N$6)&amp;""))</f>
        <v>ASX Australian Securities Exchange</v>
      </c>
      <c r="O561" s="37" t="str">
        <f aca="false">IF($M561="","",TRIM(INDEX($A561:$J561,$O$6)&amp;""))</f>
        <v>Video Production</v>
      </c>
      <c r="P561" s="37" t="str">
        <f aca="false">IF($M561="","",IFERROR(IF(INDEX(Settings!$B$41:$B$50,MATCH(O561,Settings!$A$41:$A$50,0))&amp;""="","UNMAPPED",INDEX(Settings!$B$41:$B$50,MATCH(O561,Settings!$A$41:$A$50,0))&amp;""),"UNMAPPED"))</f>
        <v>Video</v>
      </c>
      <c r="Q561" s="38" t="n">
        <f aca="false">IF($M561="",0,N(INDEX($A561:$J561,$Q$6)))</f>
        <v>5660</v>
      </c>
      <c r="R561" s="39" t="n">
        <f aca="false">IF($M561="","",INDEX($A561:$J561,$R$6))</f>
        <v>46160</v>
      </c>
      <c r="S561" s="37" t="str">
        <f aca="false">IF($M561="","",IFERROR(INDEX(Settings!$B$27:$B$36,MATCH(L561,Settings!$A$27:$A$36,0))&amp;"","UNMAPPED"))</f>
        <v>Lost</v>
      </c>
      <c r="T561" s="37" t="str">
        <f aca="false">IF($M561="","",IF(NOT(ISNUMBER(R561)),"NO DATE",IF(S561="Won",IF(R561&gt;Settings!$B$5,"Backlog","Delivered"),IF(S561="Open",IF(R561&gt;Settings!$B$5,"Pipeline","Overdue"),IF(S561="Lost","Lost","UNMAPPED")))))</f>
        <v>Lost</v>
      </c>
      <c r="U561" s="40" t="n">
        <f aca="false">IF(T561="Backlog",1,IF(OR(T561="Pipeline",T561="Overdue"),N(INDEX(Settings!$C$27:$C$36,MATCH(L561,Settings!$A$27:$A$36,0))),0))</f>
        <v>0</v>
      </c>
      <c r="V561" s="38" t="n">
        <f aca="false">Q561*U561</f>
        <v>0</v>
      </c>
      <c r="W561" s="41" t="n">
        <f aca="false">IF($M561="","",IF(T561="Overdue",IF(Settings!$B$8="Yes",Settings!$B$7,""),IF(ISNUMBER(R561),DATE(YEAR(R561),MONTH(R561),1),"")))</f>
        <v>46143</v>
      </c>
      <c r="X561" s="38" t="n">
        <f aca="false">IF(AND(OR(T561="Backlog",T561="Pipeline",T561="Overdue"),ISNUMBER(W561)),IF(W561&lt;=Settings!$B$6,V561,0),0)</f>
        <v>0</v>
      </c>
      <c r="Y561" s="38" t="n">
        <f aca="false">IF(AND(OR(T561="Backlog",T561="Pipeline",T561="Overdue"),ISNUMBER(W561)),IF(W561&lt;=Settings!$B$6,Q561,0),0)</f>
        <v>0</v>
      </c>
      <c r="Z561" s="38" t="n">
        <f aca="false">IF(Y561=0,0,IF(T561="Backlog",Q561,Q561*Dashboard!$C$10))</f>
        <v>0</v>
      </c>
      <c r="AA561" s="37" t="n">
        <f aca="false">IF($N561="",0,IF(COUNTIF(Dashboard!$C$13:$C$22,$N561)&gt;0,1,0))</f>
        <v>0</v>
      </c>
      <c r="AB561" s="37" t="str">
        <f aca="false">IF($N561="","",IF(COUNTIF($N$8:$N561,$N561)=1,MAX($AB$7:$AB560)+1,""))</f>
        <v/>
      </c>
    </row>
    <row r="562" customFormat="false" ht="15" hidden="false" customHeight="false" outlineLevel="0" collapsed="false">
      <c r="B562" s="32" t="s">
        <v>1356</v>
      </c>
      <c r="C562" s="32" t="s">
        <v>1357</v>
      </c>
      <c r="D562" s="35" t="n">
        <v>8850</v>
      </c>
      <c r="E562" s="32" t="s">
        <v>145</v>
      </c>
      <c r="F562" s="36" t="n">
        <v>46254</v>
      </c>
      <c r="G562" s="32" t="s">
        <v>1358</v>
      </c>
      <c r="L562" s="37" t="str">
        <f aca="false">IF(INDEX($A562:$J562,$L$6)&lt;&gt;"",TRIM(LEFT(INDEX($A562:$J562,$L$6),FIND("(",INDEX($A562:$J562,$L$6)&amp;"(")-1)),L561)</f>
        <v>Closed Lost</v>
      </c>
      <c r="M562" s="37" t="str">
        <f aca="false">IF(INDEX($A562:$J562,$M$6)="","",INDEX($A562:$J562,$M$6)&amp;"")</f>
        <v>Sydney AV Technologies - OTIS Townhall - 15.8.26</v>
      </c>
      <c r="N562" s="37" t="str">
        <f aca="false">IF($M562="","",TRIM(INDEX($A562:$J562,$N$6)&amp;""))</f>
        <v>Sydney AV Technoloies</v>
      </c>
      <c r="O562" s="37" t="str">
        <f aca="false">IF($M562="","",TRIM(INDEX($A562:$J562,$O$6)&amp;""))</f>
        <v>Event Production</v>
      </c>
      <c r="P562" s="37" t="str">
        <f aca="false">IF($M562="","",IFERROR(IF(INDEX(Settings!$B$41:$B$50,MATCH(O562,Settings!$A$41:$A$50,0))&amp;""="","UNMAPPED",INDEX(Settings!$B$41:$B$50,MATCH(O562,Settings!$A$41:$A$50,0))&amp;""),"UNMAPPED"))</f>
        <v>Production</v>
      </c>
      <c r="Q562" s="38" t="n">
        <f aca="false">IF($M562="",0,N(INDEX($A562:$J562,$Q$6)))</f>
        <v>8850</v>
      </c>
      <c r="R562" s="39" t="n">
        <f aca="false">IF($M562="","",INDEX($A562:$J562,$R$6))</f>
        <v>46254</v>
      </c>
      <c r="S562" s="37" t="str">
        <f aca="false">IF($M562="","",IFERROR(INDEX(Settings!$B$27:$B$36,MATCH(L562,Settings!$A$27:$A$36,0))&amp;"","UNMAPPED"))</f>
        <v>Lost</v>
      </c>
      <c r="T562" s="37" t="str">
        <f aca="false">IF($M562="","",IF(NOT(ISNUMBER(R562)),"NO DATE",IF(S562="Won",IF(R562&gt;Settings!$B$5,"Backlog","Delivered"),IF(S562="Open",IF(R562&gt;Settings!$B$5,"Pipeline","Overdue"),IF(S562="Lost","Lost","UNMAPPED")))))</f>
        <v>Lost</v>
      </c>
      <c r="U562" s="40" t="n">
        <f aca="false">IF(T562="Backlog",1,IF(OR(T562="Pipeline",T562="Overdue"),N(INDEX(Settings!$C$27:$C$36,MATCH(L562,Settings!$A$27:$A$36,0))),0))</f>
        <v>0</v>
      </c>
      <c r="V562" s="38" t="n">
        <f aca="false">Q562*U562</f>
        <v>0</v>
      </c>
      <c r="W562" s="41" t="n">
        <f aca="false">IF($M562="","",IF(T562="Overdue",IF(Settings!$B$8="Yes",Settings!$B$7,""),IF(ISNUMBER(R562),DATE(YEAR(R562),MONTH(R562),1),"")))</f>
        <v>46235</v>
      </c>
      <c r="X562" s="38" t="n">
        <f aca="false">IF(AND(OR(T562="Backlog",T562="Pipeline",T562="Overdue"),ISNUMBER(W562)),IF(W562&lt;=Settings!$B$6,V562,0),0)</f>
        <v>0</v>
      </c>
      <c r="Y562" s="38" t="n">
        <f aca="false">IF(AND(OR(T562="Backlog",T562="Pipeline",T562="Overdue"),ISNUMBER(W562)),IF(W562&lt;=Settings!$B$6,Q562,0),0)</f>
        <v>0</v>
      </c>
      <c r="Z562" s="38" t="n">
        <f aca="false">IF(Y562=0,0,IF(T562="Backlog",Q562,Q562*Dashboard!$C$10))</f>
        <v>0</v>
      </c>
      <c r="AA562" s="37" t="n">
        <f aca="false">IF($N562="",0,IF(COUNTIF(Dashboard!$C$13:$C$22,$N562)&gt;0,1,0))</f>
        <v>0</v>
      </c>
      <c r="AB562" s="37" t="n">
        <f aca="false">IF($N562="","",IF(COUNTIF($N$8:$N562,$N562)=1,MAX($AB$7:$AB561)+1,""))</f>
        <v>109</v>
      </c>
    </row>
    <row r="563" customFormat="false" ht="15" hidden="false" customHeight="false" outlineLevel="0" collapsed="false">
      <c r="B563" s="32" t="s">
        <v>1359</v>
      </c>
      <c r="C563" s="32" t="s">
        <v>160</v>
      </c>
      <c r="D563" s="35" t="n">
        <v>380</v>
      </c>
      <c r="E563" s="32" t="s">
        <v>145</v>
      </c>
      <c r="F563" s="36" t="n">
        <v>46253</v>
      </c>
      <c r="G563" s="32" t="s">
        <v>1360</v>
      </c>
      <c r="L563" s="37" t="str">
        <f aca="false">IF(INDEX($A563:$J563,$L$6)&lt;&gt;"",TRIM(LEFT(INDEX($A563:$J563,$L$6),FIND("(",INDEX($A563:$J563,$L$6)&amp;"(")-1)),L562)</f>
        <v>Closed Lost</v>
      </c>
      <c r="M563" s="37" t="str">
        <f aca="false">IF(INDEX($A563:$J563,$M$6)="","",INDEX($A563:$J563,$M$6)&amp;"")</f>
        <v>Elkiem - Studio Support - 9.9.26</v>
      </c>
      <c r="N563" s="37" t="str">
        <f aca="false">IF($M563="","",TRIM(INDEX($A563:$J563,$N$6)&amp;""))</f>
        <v>Elkiem</v>
      </c>
      <c r="O563" s="37" t="str">
        <f aca="false">IF($M563="","",TRIM(INDEX($A563:$J563,$O$6)&amp;""))</f>
        <v>Event Production</v>
      </c>
      <c r="P563" s="37" t="str">
        <f aca="false">IF($M563="","",IFERROR(IF(INDEX(Settings!$B$41:$B$50,MATCH(O563,Settings!$A$41:$A$50,0))&amp;""="","UNMAPPED",INDEX(Settings!$B$41:$B$50,MATCH(O563,Settings!$A$41:$A$50,0))&amp;""),"UNMAPPED"))</f>
        <v>Production</v>
      </c>
      <c r="Q563" s="38" t="n">
        <f aca="false">IF($M563="",0,N(INDEX($A563:$J563,$Q$6)))</f>
        <v>380</v>
      </c>
      <c r="R563" s="39" t="n">
        <f aca="false">IF($M563="","",INDEX($A563:$J563,$R$6))</f>
        <v>46253</v>
      </c>
      <c r="S563" s="37" t="str">
        <f aca="false">IF($M563="","",IFERROR(INDEX(Settings!$B$27:$B$36,MATCH(L563,Settings!$A$27:$A$36,0))&amp;"","UNMAPPED"))</f>
        <v>Lost</v>
      </c>
      <c r="T563" s="37" t="str">
        <f aca="false">IF($M563="","",IF(NOT(ISNUMBER(R563)),"NO DATE",IF(S563="Won",IF(R563&gt;Settings!$B$5,"Backlog","Delivered"),IF(S563="Open",IF(R563&gt;Settings!$B$5,"Pipeline","Overdue"),IF(S563="Lost","Lost","UNMAPPED")))))</f>
        <v>Lost</v>
      </c>
      <c r="U563" s="40" t="n">
        <f aca="false">IF(T563="Backlog",1,IF(OR(T563="Pipeline",T563="Overdue"),N(INDEX(Settings!$C$27:$C$36,MATCH(L563,Settings!$A$27:$A$36,0))),0))</f>
        <v>0</v>
      </c>
      <c r="V563" s="38" t="n">
        <f aca="false">Q563*U563</f>
        <v>0</v>
      </c>
      <c r="W563" s="41" t="n">
        <f aca="false">IF($M563="","",IF(T563="Overdue",IF(Settings!$B$8="Yes",Settings!$B$7,""),IF(ISNUMBER(R563),DATE(YEAR(R563),MONTH(R563),1),"")))</f>
        <v>46235</v>
      </c>
      <c r="X563" s="38" t="n">
        <f aca="false">IF(AND(OR(T563="Backlog",T563="Pipeline",T563="Overdue"),ISNUMBER(W563)),IF(W563&lt;=Settings!$B$6,V563,0),0)</f>
        <v>0</v>
      </c>
      <c r="Y563" s="38" t="n">
        <f aca="false">IF(AND(OR(T563="Backlog",T563="Pipeline",T563="Overdue"),ISNUMBER(W563)),IF(W563&lt;=Settings!$B$6,Q563,0),0)</f>
        <v>0</v>
      </c>
      <c r="Z563" s="38" t="n">
        <f aca="false">IF(Y563=0,0,IF(T563="Backlog",Q563,Q563*Dashboard!$C$10))</f>
        <v>0</v>
      </c>
      <c r="AA563" s="37" t="n">
        <f aca="false">IF($N563="",0,IF(COUNTIF(Dashboard!$C$13:$C$22,$N563)&gt;0,1,0))</f>
        <v>0</v>
      </c>
      <c r="AB563" s="37" t="str">
        <f aca="false">IF($N563="","",IF(COUNTIF($N$8:$N563,$N563)=1,MAX($AB$7:$AB562)+1,""))</f>
        <v/>
      </c>
    </row>
    <row r="564" customFormat="false" ht="15" hidden="false" customHeight="false" outlineLevel="0" collapsed="false">
      <c r="B564" s="32" t="s">
        <v>1361</v>
      </c>
      <c r="C564" s="32" t="s">
        <v>160</v>
      </c>
      <c r="D564" s="35" t="n">
        <v>380</v>
      </c>
      <c r="E564" s="32" t="s">
        <v>145</v>
      </c>
      <c r="F564" s="36" t="n">
        <v>46174</v>
      </c>
      <c r="G564" s="32" t="s">
        <v>1362</v>
      </c>
      <c r="L564" s="37" t="str">
        <f aca="false">IF(INDEX($A564:$J564,$L$6)&lt;&gt;"",TRIM(LEFT(INDEX($A564:$J564,$L$6),FIND("(",INDEX($A564:$J564,$L$6)&amp;"(")-1)),L563)</f>
        <v>Closed Lost</v>
      </c>
      <c r="M564" s="37" t="str">
        <f aca="false">IF(INDEX($A564:$J564,$M$6)="","",INDEX($A564:$J564,$M$6)&amp;"")</f>
        <v>Elkiem - Studio Support - 9.6.26</v>
      </c>
      <c r="N564" s="37" t="str">
        <f aca="false">IF($M564="","",TRIM(INDEX($A564:$J564,$N$6)&amp;""))</f>
        <v>Elkiem</v>
      </c>
      <c r="O564" s="37" t="str">
        <f aca="false">IF($M564="","",TRIM(INDEX($A564:$J564,$O$6)&amp;""))</f>
        <v>Event Production</v>
      </c>
      <c r="P564" s="37" t="str">
        <f aca="false">IF($M564="","",IFERROR(IF(INDEX(Settings!$B$41:$B$50,MATCH(O564,Settings!$A$41:$A$50,0))&amp;""="","UNMAPPED",INDEX(Settings!$B$41:$B$50,MATCH(O564,Settings!$A$41:$A$50,0))&amp;""),"UNMAPPED"))</f>
        <v>Production</v>
      </c>
      <c r="Q564" s="38" t="n">
        <f aca="false">IF($M564="",0,N(INDEX($A564:$J564,$Q$6)))</f>
        <v>380</v>
      </c>
      <c r="R564" s="39" t="n">
        <f aca="false">IF($M564="","",INDEX($A564:$J564,$R$6))</f>
        <v>46174</v>
      </c>
      <c r="S564" s="37" t="str">
        <f aca="false">IF($M564="","",IFERROR(INDEX(Settings!$B$27:$B$36,MATCH(L564,Settings!$A$27:$A$36,0))&amp;"","UNMAPPED"))</f>
        <v>Lost</v>
      </c>
      <c r="T564" s="37" t="str">
        <f aca="false">IF($M564="","",IF(NOT(ISNUMBER(R564)),"NO DATE",IF(S564="Won",IF(R564&gt;Settings!$B$5,"Backlog","Delivered"),IF(S564="Open",IF(R564&gt;Settings!$B$5,"Pipeline","Overdue"),IF(S564="Lost","Lost","UNMAPPED")))))</f>
        <v>Lost</v>
      </c>
      <c r="U564" s="40" t="n">
        <f aca="false">IF(T564="Backlog",1,IF(OR(T564="Pipeline",T564="Overdue"),N(INDEX(Settings!$C$27:$C$36,MATCH(L564,Settings!$A$27:$A$36,0))),0))</f>
        <v>0</v>
      </c>
      <c r="V564" s="38" t="n">
        <f aca="false">Q564*U564</f>
        <v>0</v>
      </c>
      <c r="W564" s="41" t="n">
        <f aca="false">IF($M564="","",IF(T564="Overdue",IF(Settings!$B$8="Yes",Settings!$B$7,""),IF(ISNUMBER(R564),DATE(YEAR(R564),MONTH(R564),1),"")))</f>
        <v>46174</v>
      </c>
      <c r="X564" s="38" t="n">
        <f aca="false">IF(AND(OR(T564="Backlog",T564="Pipeline",T564="Overdue"),ISNUMBER(W564)),IF(W564&lt;=Settings!$B$6,V564,0),0)</f>
        <v>0</v>
      </c>
      <c r="Y564" s="38" t="n">
        <f aca="false">IF(AND(OR(T564="Backlog",T564="Pipeline",T564="Overdue"),ISNUMBER(W564)),IF(W564&lt;=Settings!$B$6,Q564,0),0)</f>
        <v>0</v>
      </c>
      <c r="Z564" s="38" t="n">
        <f aca="false">IF(Y564=0,0,IF(T564="Backlog",Q564,Q564*Dashboard!$C$10))</f>
        <v>0</v>
      </c>
      <c r="AA564" s="37" t="n">
        <f aca="false">IF($N564="",0,IF(COUNTIF(Dashboard!$C$13:$C$22,$N564)&gt;0,1,0))</f>
        <v>0</v>
      </c>
      <c r="AB564" s="37" t="str">
        <f aca="false">IF($N564="","",IF(COUNTIF($N$8:$N564,$N564)=1,MAX($AB$7:$AB563)+1,""))</f>
        <v/>
      </c>
    </row>
    <row r="565" customFormat="false" ht="15" hidden="false" customHeight="false" outlineLevel="0" collapsed="false">
      <c r="B565" s="32" t="s">
        <v>1363</v>
      </c>
      <c r="C565" s="32" t="s">
        <v>214</v>
      </c>
      <c r="D565" s="35" t="n">
        <v>2768</v>
      </c>
      <c r="E565" s="32" t="s">
        <v>208</v>
      </c>
      <c r="F565" s="36" t="n">
        <v>46198</v>
      </c>
      <c r="G565" s="32" t="s">
        <v>1364</v>
      </c>
      <c r="L565" s="37" t="str">
        <f aca="false">IF(INDEX($A565:$J565,$L$6)&lt;&gt;"",TRIM(LEFT(INDEX($A565:$J565,$L$6),FIND("(",INDEX($A565:$J565,$L$6)&amp;"(")-1)),L564)</f>
        <v>Closed Lost</v>
      </c>
      <c r="M565" s="37" t="str">
        <f aca="false">IF(INDEX($A565:$J565,$M$6)="","",INDEX($A565:$J565,$M$6)&amp;"")</f>
        <v>Dexus - Unnamed Client Event Recording</v>
      </c>
      <c r="N565" s="37" t="str">
        <f aca="false">IF($M565="","",TRIM(INDEX($A565:$J565,$N$6)&amp;""))</f>
        <v>Dexus</v>
      </c>
      <c r="O565" s="37" t="str">
        <f aca="false">IF($M565="","",TRIM(INDEX($A565:$J565,$O$6)&amp;""))</f>
        <v>Video Production</v>
      </c>
      <c r="P565" s="37" t="str">
        <f aca="false">IF($M565="","",IFERROR(IF(INDEX(Settings!$B$41:$B$50,MATCH(O565,Settings!$A$41:$A$50,0))&amp;""="","UNMAPPED",INDEX(Settings!$B$41:$B$50,MATCH(O565,Settings!$A$41:$A$50,0))&amp;""),"UNMAPPED"))</f>
        <v>Video</v>
      </c>
      <c r="Q565" s="38" t="n">
        <f aca="false">IF($M565="",0,N(INDEX($A565:$J565,$Q$6)))</f>
        <v>2768</v>
      </c>
      <c r="R565" s="39" t="n">
        <f aca="false">IF($M565="","",INDEX($A565:$J565,$R$6))</f>
        <v>46198</v>
      </c>
      <c r="S565" s="37" t="str">
        <f aca="false">IF($M565="","",IFERROR(INDEX(Settings!$B$27:$B$36,MATCH(L565,Settings!$A$27:$A$36,0))&amp;"","UNMAPPED"))</f>
        <v>Lost</v>
      </c>
      <c r="T565" s="37" t="str">
        <f aca="false">IF($M565="","",IF(NOT(ISNUMBER(R565)),"NO DATE",IF(S565="Won",IF(R565&gt;Settings!$B$5,"Backlog","Delivered"),IF(S565="Open",IF(R565&gt;Settings!$B$5,"Pipeline","Overdue"),IF(S565="Lost","Lost","UNMAPPED")))))</f>
        <v>Lost</v>
      </c>
      <c r="U565" s="40" t="n">
        <f aca="false">IF(T565="Backlog",1,IF(OR(T565="Pipeline",T565="Overdue"),N(INDEX(Settings!$C$27:$C$36,MATCH(L565,Settings!$A$27:$A$36,0))),0))</f>
        <v>0</v>
      </c>
      <c r="V565" s="38" t="n">
        <f aca="false">Q565*U565</f>
        <v>0</v>
      </c>
      <c r="W565" s="41" t="n">
        <f aca="false">IF($M565="","",IF(T565="Overdue",IF(Settings!$B$8="Yes",Settings!$B$7,""),IF(ISNUMBER(R565),DATE(YEAR(R565),MONTH(R565),1),"")))</f>
        <v>46174</v>
      </c>
      <c r="X565" s="38" t="n">
        <f aca="false">IF(AND(OR(T565="Backlog",T565="Pipeline",T565="Overdue"),ISNUMBER(W565)),IF(W565&lt;=Settings!$B$6,V565,0),0)</f>
        <v>0</v>
      </c>
      <c r="Y565" s="38" t="n">
        <f aca="false">IF(AND(OR(T565="Backlog",T565="Pipeline",T565="Overdue"),ISNUMBER(W565)),IF(W565&lt;=Settings!$B$6,Q565,0),0)</f>
        <v>0</v>
      </c>
      <c r="Z565" s="38" t="n">
        <f aca="false">IF(Y565=0,0,IF(T565="Backlog",Q565,Q565*Dashboard!$C$10))</f>
        <v>0</v>
      </c>
      <c r="AA565" s="37" t="n">
        <f aca="false">IF($N565="",0,IF(COUNTIF(Dashboard!$C$13:$C$22,$N565)&gt;0,1,0))</f>
        <v>0</v>
      </c>
      <c r="AB565" s="37" t="str">
        <f aca="false">IF($N565="","",IF(COUNTIF($N$8:$N565,$N565)=1,MAX($AB$7:$AB564)+1,""))</f>
        <v/>
      </c>
    </row>
    <row r="566" customFormat="false" ht="15" hidden="false" customHeight="false" outlineLevel="0" collapsed="false">
      <c r="B566" s="32" t="s">
        <v>1365</v>
      </c>
      <c r="C566" s="32" t="s">
        <v>214</v>
      </c>
      <c r="D566" s="35" t="n">
        <v>7645</v>
      </c>
      <c r="E566" s="32" t="s">
        <v>145</v>
      </c>
      <c r="F566" s="36" t="n">
        <v>46143</v>
      </c>
      <c r="G566" s="32" t="s">
        <v>1366</v>
      </c>
      <c r="L566" s="37" t="str">
        <f aca="false">IF(INDEX($A566:$J566,$L$6)&lt;&gt;"",TRIM(LEFT(INDEX($A566:$J566,$L$6),FIND("(",INDEX($A566:$J566,$L$6)&amp;"(")-1)),L565)</f>
        <v>Closed Lost</v>
      </c>
      <c r="M566" s="37" t="str">
        <f aca="false">IF(INDEX($A566:$J566,$M$6)="","",INDEX($A566:$J566,$M$6)&amp;"")</f>
        <v>Dexus - AV Event 13.5.2026</v>
      </c>
      <c r="N566" s="37" t="str">
        <f aca="false">IF($M566="","",TRIM(INDEX($A566:$J566,$N$6)&amp;""))</f>
        <v>Dexus</v>
      </c>
      <c r="O566" s="37" t="str">
        <f aca="false">IF($M566="","",TRIM(INDEX($A566:$J566,$O$6)&amp;""))</f>
        <v>Event Production</v>
      </c>
      <c r="P566" s="37" t="str">
        <f aca="false">IF($M566="","",IFERROR(IF(INDEX(Settings!$B$41:$B$50,MATCH(O566,Settings!$A$41:$A$50,0))&amp;""="","UNMAPPED",INDEX(Settings!$B$41:$B$50,MATCH(O566,Settings!$A$41:$A$50,0))&amp;""),"UNMAPPED"))</f>
        <v>Production</v>
      </c>
      <c r="Q566" s="38" t="n">
        <f aca="false">IF($M566="",0,N(INDEX($A566:$J566,$Q$6)))</f>
        <v>7645</v>
      </c>
      <c r="R566" s="39" t="n">
        <f aca="false">IF($M566="","",INDEX($A566:$J566,$R$6))</f>
        <v>46143</v>
      </c>
      <c r="S566" s="37" t="str">
        <f aca="false">IF($M566="","",IFERROR(INDEX(Settings!$B$27:$B$36,MATCH(L566,Settings!$A$27:$A$36,0))&amp;"","UNMAPPED"))</f>
        <v>Lost</v>
      </c>
      <c r="T566" s="37" t="str">
        <f aca="false">IF($M566="","",IF(NOT(ISNUMBER(R566)),"NO DATE",IF(S566="Won",IF(R566&gt;Settings!$B$5,"Backlog","Delivered"),IF(S566="Open",IF(R566&gt;Settings!$B$5,"Pipeline","Overdue"),IF(S566="Lost","Lost","UNMAPPED")))))</f>
        <v>Lost</v>
      </c>
      <c r="U566" s="40" t="n">
        <f aca="false">IF(T566="Backlog",1,IF(OR(T566="Pipeline",T566="Overdue"),N(INDEX(Settings!$C$27:$C$36,MATCH(L566,Settings!$A$27:$A$36,0))),0))</f>
        <v>0</v>
      </c>
      <c r="V566" s="38" t="n">
        <f aca="false">Q566*U566</f>
        <v>0</v>
      </c>
      <c r="W566" s="41" t="n">
        <f aca="false">IF($M566="","",IF(T566="Overdue",IF(Settings!$B$8="Yes",Settings!$B$7,""),IF(ISNUMBER(R566),DATE(YEAR(R566),MONTH(R566),1),"")))</f>
        <v>46143</v>
      </c>
      <c r="X566" s="38" t="n">
        <f aca="false">IF(AND(OR(T566="Backlog",T566="Pipeline",T566="Overdue"),ISNUMBER(W566)),IF(W566&lt;=Settings!$B$6,V566,0),0)</f>
        <v>0</v>
      </c>
      <c r="Y566" s="38" t="n">
        <f aca="false">IF(AND(OR(T566="Backlog",T566="Pipeline",T566="Overdue"),ISNUMBER(W566)),IF(W566&lt;=Settings!$B$6,Q566,0),0)</f>
        <v>0</v>
      </c>
      <c r="Z566" s="38" t="n">
        <f aca="false">IF(Y566=0,0,IF(T566="Backlog",Q566,Q566*Dashboard!$C$10))</f>
        <v>0</v>
      </c>
      <c r="AA566" s="37" t="n">
        <f aca="false">IF($N566="",0,IF(COUNTIF(Dashboard!$C$13:$C$22,$N566)&gt;0,1,0))</f>
        <v>0</v>
      </c>
      <c r="AB566" s="37" t="str">
        <f aca="false">IF($N566="","",IF(COUNTIF($N$8:$N566,$N566)=1,MAX($AB$7:$AB565)+1,""))</f>
        <v/>
      </c>
    </row>
    <row r="567" customFormat="false" ht="15" hidden="false" customHeight="false" outlineLevel="0" collapsed="false">
      <c r="B567" s="32" t="s">
        <v>1367</v>
      </c>
      <c r="C567" s="32" t="s">
        <v>239</v>
      </c>
      <c r="D567" s="35" t="n">
        <v>0</v>
      </c>
      <c r="E567" s="32" t="s">
        <v>208</v>
      </c>
      <c r="F567" s="36" t="n">
        <v>46307</v>
      </c>
      <c r="G567" s="32" t="s">
        <v>1368</v>
      </c>
      <c r="L567" s="37" t="str">
        <f aca="false">IF(INDEX($A567:$J567,$L$6)&lt;&gt;"",TRIM(LEFT(INDEX($A567:$J567,$L$6),FIND("(",INDEX($A567:$J567,$L$6)&amp;"(")-1)),L566)</f>
        <v>Closed Lost</v>
      </c>
      <c r="M567" s="37" t="str">
        <f aca="false">IF(INDEX($A567:$J567,$M$6)="","",INDEX($A567:$J567,$M$6)&amp;"")</f>
        <v>TLC - 2026 AGM - Event Highlights Video 14.10.2026</v>
      </c>
      <c r="N567" s="37" t="str">
        <f aca="false">IF($M567="","",TRIM(INDEX($A567:$J567,$N$6)&amp;""))</f>
        <v>The Lottery Corporation</v>
      </c>
      <c r="O567" s="37" t="str">
        <f aca="false">IF($M567="","",TRIM(INDEX($A567:$J567,$O$6)&amp;""))</f>
        <v>Video Production</v>
      </c>
      <c r="P567" s="37" t="str">
        <f aca="false">IF($M567="","",IFERROR(IF(INDEX(Settings!$B$41:$B$50,MATCH(O567,Settings!$A$41:$A$50,0))&amp;""="","UNMAPPED",INDEX(Settings!$B$41:$B$50,MATCH(O567,Settings!$A$41:$A$50,0))&amp;""),"UNMAPPED"))</f>
        <v>Video</v>
      </c>
      <c r="Q567" s="38" t="n">
        <f aca="false">IF($M567="",0,N(INDEX($A567:$J567,$Q$6)))</f>
        <v>0</v>
      </c>
      <c r="R567" s="39" t="n">
        <f aca="false">IF($M567="","",INDEX($A567:$J567,$R$6))</f>
        <v>46307</v>
      </c>
      <c r="S567" s="37" t="str">
        <f aca="false">IF($M567="","",IFERROR(INDEX(Settings!$B$27:$B$36,MATCH(L567,Settings!$A$27:$A$36,0))&amp;"","UNMAPPED"))</f>
        <v>Lost</v>
      </c>
      <c r="T567" s="37" t="str">
        <f aca="false">IF($M567="","",IF(NOT(ISNUMBER(R567)),"NO DATE",IF(S567="Won",IF(R567&gt;Settings!$B$5,"Backlog","Delivered"),IF(S567="Open",IF(R567&gt;Settings!$B$5,"Pipeline","Overdue"),IF(S567="Lost","Lost","UNMAPPED")))))</f>
        <v>Lost</v>
      </c>
      <c r="U567" s="40" t="n">
        <f aca="false">IF(T567="Backlog",1,IF(OR(T567="Pipeline",T567="Overdue"),N(INDEX(Settings!$C$27:$C$36,MATCH(L567,Settings!$A$27:$A$36,0))),0))</f>
        <v>0</v>
      </c>
      <c r="V567" s="38" t="n">
        <f aca="false">Q567*U567</f>
        <v>0</v>
      </c>
      <c r="W567" s="41" t="n">
        <f aca="false">IF($M567="","",IF(T567="Overdue",IF(Settings!$B$8="Yes",Settings!$B$7,""),IF(ISNUMBER(R567),DATE(YEAR(R567),MONTH(R567),1),"")))</f>
        <v>46296</v>
      </c>
      <c r="X567" s="38" t="n">
        <f aca="false">IF(AND(OR(T567="Backlog",T567="Pipeline",T567="Overdue"),ISNUMBER(W567)),IF(W567&lt;=Settings!$B$6,V567,0),0)</f>
        <v>0</v>
      </c>
      <c r="Y567" s="38" t="n">
        <f aca="false">IF(AND(OR(T567="Backlog",T567="Pipeline",T567="Overdue"),ISNUMBER(W567)),IF(W567&lt;=Settings!$B$6,Q567,0),0)</f>
        <v>0</v>
      </c>
      <c r="Z567" s="38" t="n">
        <f aca="false">IF(Y567=0,0,IF(T567="Backlog",Q567,Q567*Dashboard!$C$10))</f>
        <v>0</v>
      </c>
      <c r="AA567" s="37" t="n">
        <f aca="false">IF($N567="",0,IF(COUNTIF(Dashboard!$C$13:$C$22,$N567)&gt;0,1,0))</f>
        <v>0</v>
      </c>
      <c r="AB567" s="37" t="str">
        <f aca="false">IF($N567="","",IF(COUNTIF($N$8:$N567,$N567)=1,MAX($AB$7:$AB566)+1,""))</f>
        <v/>
      </c>
    </row>
    <row r="568" customFormat="false" ht="15" hidden="false" customHeight="false" outlineLevel="0" collapsed="false">
      <c r="B568" s="32" t="s">
        <v>1369</v>
      </c>
      <c r="C568" s="32" t="s">
        <v>1370</v>
      </c>
      <c r="D568" s="35" t="n">
        <v>63000</v>
      </c>
      <c r="E568" s="32" t="s">
        <v>141</v>
      </c>
      <c r="F568" s="36" t="n">
        <v>45923</v>
      </c>
      <c r="G568" s="32" t="s">
        <v>1371</v>
      </c>
      <c r="L568" s="37" t="str">
        <f aca="false">IF(INDEX($A568:$J568,$L$6)&lt;&gt;"",TRIM(LEFT(INDEX($A568:$J568,$L$6),FIND("(",INDEX($A568:$J568,$L$6)&amp;"(")-1)),L567)</f>
        <v>Closed Lost</v>
      </c>
      <c r="M568" s="37" t="str">
        <f aca="false">IF(INDEX($A568:$J568,$M$6)="","",INDEX($A568:$J568,$M$6)&amp;"")</f>
        <v>Sante Group - Meeting Room refresh</v>
      </c>
      <c r="N568" s="37" t="str">
        <f aca="false">IF($M568="","",TRIM(INDEX($A568:$J568,$N$6)&amp;""))</f>
        <v>Sante Group</v>
      </c>
      <c r="O568" s="37" t="str">
        <f aca="false">IF($M568="","",TRIM(INDEX($A568:$J568,$O$6)&amp;""))</f>
        <v>Integration</v>
      </c>
      <c r="P568" s="37" t="str">
        <f aca="false">IF($M568="","",IFERROR(IF(INDEX(Settings!$B$41:$B$50,MATCH(O568,Settings!$A$41:$A$50,0))&amp;""="","UNMAPPED",INDEX(Settings!$B$41:$B$50,MATCH(O568,Settings!$A$41:$A$50,0))&amp;""),"UNMAPPED"))</f>
        <v>Integration</v>
      </c>
      <c r="Q568" s="38" t="n">
        <f aca="false">IF($M568="",0,N(INDEX($A568:$J568,$Q$6)))</f>
        <v>63000</v>
      </c>
      <c r="R568" s="39" t="n">
        <f aca="false">IF($M568="","",INDEX($A568:$J568,$R$6))</f>
        <v>45923</v>
      </c>
      <c r="S568" s="37" t="str">
        <f aca="false">IF($M568="","",IFERROR(INDEX(Settings!$B$27:$B$36,MATCH(L568,Settings!$A$27:$A$36,0))&amp;"","UNMAPPED"))</f>
        <v>Lost</v>
      </c>
      <c r="T568" s="37" t="str">
        <f aca="false">IF($M568="","",IF(NOT(ISNUMBER(R568)),"NO DATE",IF(S568="Won",IF(R568&gt;Settings!$B$5,"Backlog","Delivered"),IF(S568="Open",IF(R568&gt;Settings!$B$5,"Pipeline","Overdue"),IF(S568="Lost","Lost","UNMAPPED")))))</f>
        <v>Lost</v>
      </c>
      <c r="U568" s="40" t="n">
        <f aca="false">IF(T568="Backlog",1,IF(OR(T568="Pipeline",T568="Overdue"),N(INDEX(Settings!$C$27:$C$36,MATCH(L568,Settings!$A$27:$A$36,0))),0))</f>
        <v>0</v>
      </c>
      <c r="V568" s="38" t="n">
        <f aca="false">Q568*U568</f>
        <v>0</v>
      </c>
      <c r="W568" s="41" t="n">
        <f aca="false">IF($M568="","",IF(T568="Overdue",IF(Settings!$B$8="Yes",Settings!$B$7,""),IF(ISNUMBER(R568),DATE(YEAR(R568),MONTH(R568),1),"")))</f>
        <v>45901</v>
      </c>
      <c r="X568" s="38" t="n">
        <f aca="false">IF(AND(OR(T568="Backlog",T568="Pipeline",T568="Overdue"),ISNUMBER(W568)),IF(W568&lt;=Settings!$B$6,V568,0),0)</f>
        <v>0</v>
      </c>
      <c r="Y568" s="38" t="n">
        <f aca="false">IF(AND(OR(T568="Backlog",T568="Pipeline",T568="Overdue"),ISNUMBER(W568)),IF(W568&lt;=Settings!$B$6,Q568,0),0)</f>
        <v>0</v>
      </c>
      <c r="Z568" s="38" t="n">
        <f aca="false">IF(Y568=0,0,IF(T568="Backlog",Q568,Q568*Dashboard!$C$10))</f>
        <v>0</v>
      </c>
      <c r="AA568" s="37" t="n">
        <f aca="false">IF($N568="",0,IF(COUNTIF(Dashboard!$C$13:$C$22,$N568)&gt;0,1,0))</f>
        <v>0</v>
      </c>
      <c r="AB568" s="37" t="n">
        <f aca="false">IF($N568="","",IF(COUNTIF($N$8:$N568,$N568)=1,MAX($AB$7:$AB567)+1,""))</f>
        <v>110</v>
      </c>
    </row>
    <row r="569" customFormat="false" ht="15" hidden="false" customHeight="false" outlineLevel="0" collapsed="false">
      <c r="B569" s="32" t="s">
        <v>1372</v>
      </c>
      <c r="C569" s="32" t="s">
        <v>194</v>
      </c>
      <c r="D569" s="35" t="n">
        <v>8000</v>
      </c>
      <c r="E569" s="32" t="s">
        <v>145</v>
      </c>
      <c r="F569" s="36" t="n">
        <v>46259</v>
      </c>
      <c r="G569" s="32" t="s">
        <v>1373</v>
      </c>
      <c r="L569" s="37" t="str">
        <f aca="false">IF(INDEX($A569:$J569,$L$6)&lt;&gt;"",TRIM(LEFT(INDEX($A569:$J569,$L$6),FIND("(",INDEX($A569:$J569,$L$6)&amp;"(")-1)),L568)</f>
        <v>Closed Lost</v>
      </c>
      <c r="M569" s="37" t="str">
        <f aca="false">IF(INDEX($A569:$J569,$M$6)="","",INDEX($A569:$J569,$M$6)&amp;"")</f>
        <v>Ventia - Auckland Events Office - 14.9.26</v>
      </c>
      <c r="N569" s="37" t="str">
        <f aca="false">IF($M569="","",TRIM(INDEX($A569:$J569,$N$6)&amp;""))</f>
        <v>Ventia</v>
      </c>
      <c r="O569" s="37" t="str">
        <f aca="false">IF($M569="","",TRIM(INDEX($A569:$J569,$O$6)&amp;""))</f>
        <v>Event Production</v>
      </c>
      <c r="P569" s="37" t="str">
        <f aca="false">IF($M569="","",IFERROR(IF(INDEX(Settings!$B$41:$B$50,MATCH(O569,Settings!$A$41:$A$50,0))&amp;""="","UNMAPPED",INDEX(Settings!$B$41:$B$50,MATCH(O569,Settings!$A$41:$A$50,0))&amp;""),"UNMAPPED"))</f>
        <v>Production</v>
      </c>
      <c r="Q569" s="38" t="n">
        <f aca="false">IF($M569="",0,N(INDEX($A569:$J569,$Q$6)))</f>
        <v>8000</v>
      </c>
      <c r="R569" s="39" t="n">
        <f aca="false">IF($M569="","",INDEX($A569:$J569,$R$6))</f>
        <v>46259</v>
      </c>
      <c r="S569" s="37" t="str">
        <f aca="false">IF($M569="","",IFERROR(INDEX(Settings!$B$27:$B$36,MATCH(L569,Settings!$A$27:$A$36,0))&amp;"","UNMAPPED"))</f>
        <v>Lost</v>
      </c>
      <c r="T569" s="37" t="str">
        <f aca="false">IF($M569="","",IF(NOT(ISNUMBER(R569)),"NO DATE",IF(S569="Won",IF(R569&gt;Settings!$B$5,"Backlog","Delivered"),IF(S569="Open",IF(R569&gt;Settings!$B$5,"Pipeline","Overdue"),IF(S569="Lost","Lost","UNMAPPED")))))</f>
        <v>Lost</v>
      </c>
      <c r="U569" s="40" t="n">
        <f aca="false">IF(T569="Backlog",1,IF(OR(T569="Pipeline",T569="Overdue"),N(INDEX(Settings!$C$27:$C$36,MATCH(L569,Settings!$A$27:$A$36,0))),0))</f>
        <v>0</v>
      </c>
      <c r="V569" s="38" t="n">
        <f aca="false">Q569*U569</f>
        <v>0</v>
      </c>
      <c r="W569" s="41" t="n">
        <f aca="false">IF($M569="","",IF(T569="Overdue",IF(Settings!$B$8="Yes",Settings!$B$7,""),IF(ISNUMBER(R569),DATE(YEAR(R569),MONTH(R569),1),"")))</f>
        <v>46235</v>
      </c>
      <c r="X569" s="38" t="n">
        <f aca="false">IF(AND(OR(T569="Backlog",T569="Pipeline",T569="Overdue"),ISNUMBER(W569)),IF(W569&lt;=Settings!$B$6,V569,0),0)</f>
        <v>0</v>
      </c>
      <c r="Y569" s="38" t="n">
        <f aca="false">IF(AND(OR(T569="Backlog",T569="Pipeline",T569="Overdue"),ISNUMBER(W569)),IF(W569&lt;=Settings!$B$6,Q569,0),0)</f>
        <v>0</v>
      </c>
      <c r="Z569" s="38" t="n">
        <f aca="false">IF(Y569=0,0,IF(T569="Backlog",Q569,Q569*Dashboard!$C$10))</f>
        <v>0</v>
      </c>
      <c r="AA569" s="37" t="n">
        <f aca="false">IF($N569="",0,IF(COUNTIF(Dashboard!$C$13:$C$22,$N569)&gt;0,1,0))</f>
        <v>0</v>
      </c>
      <c r="AB569" s="37" t="str">
        <f aca="false">IF($N569="","",IF(COUNTIF($N$8:$N569,$N569)=1,MAX($AB$7:$AB568)+1,""))</f>
        <v/>
      </c>
    </row>
    <row r="570" customFormat="false" ht="15" hidden="false" customHeight="false" outlineLevel="0" collapsed="false">
      <c r="B570" s="32" t="s">
        <v>1374</v>
      </c>
      <c r="C570" s="32" t="s">
        <v>160</v>
      </c>
      <c r="D570" s="35" t="n">
        <v>380</v>
      </c>
      <c r="E570" s="32" t="s">
        <v>145</v>
      </c>
      <c r="F570" s="36" t="n">
        <v>46273</v>
      </c>
      <c r="G570" s="32" t="s">
        <v>1375</v>
      </c>
      <c r="L570" s="37" t="str">
        <f aca="false">IF(INDEX($A570:$J570,$L$6)&lt;&gt;"",TRIM(LEFT(INDEX($A570:$J570,$L$6),FIND("(",INDEX($A570:$J570,$L$6)&amp;"(")-1)),L569)</f>
        <v>Closed Lost</v>
      </c>
      <c r="M570" s="37" t="str">
        <f aca="false">IF(INDEX($A570:$J570,$M$6)="","",INDEX($A570:$J570,$M$6)&amp;"")</f>
        <v>Elkiem - Studio Support - 4.11.26</v>
      </c>
      <c r="N570" s="37" t="str">
        <f aca="false">IF($M570="","",TRIM(INDEX($A570:$J570,$N$6)&amp;""))</f>
        <v>Elkiem</v>
      </c>
      <c r="O570" s="37" t="str">
        <f aca="false">IF($M570="","",TRIM(INDEX($A570:$J570,$O$6)&amp;""))</f>
        <v>Event Production</v>
      </c>
      <c r="P570" s="37" t="str">
        <f aca="false">IF($M570="","",IFERROR(IF(INDEX(Settings!$B$41:$B$50,MATCH(O570,Settings!$A$41:$A$50,0))&amp;""="","UNMAPPED",INDEX(Settings!$B$41:$B$50,MATCH(O570,Settings!$A$41:$A$50,0))&amp;""),"UNMAPPED"))</f>
        <v>Production</v>
      </c>
      <c r="Q570" s="38" t="n">
        <f aca="false">IF($M570="",0,N(INDEX($A570:$J570,$Q$6)))</f>
        <v>380</v>
      </c>
      <c r="R570" s="39" t="n">
        <f aca="false">IF($M570="","",INDEX($A570:$J570,$R$6))</f>
        <v>46273</v>
      </c>
      <c r="S570" s="37" t="str">
        <f aca="false">IF($M570="","",IFERROR(INDEX(Settings!$B$27:$B$36,MATCH(L570,Settings!$A$27:$A$36,0))&amp;"","UNMAPPED"))</f>
        <v>Lost</v>
      </c>
      <c r="T570" s="37" t="str">
        <f aca="false">IF($M570="","",IF(NOT(ISNUMBER(R570)),"NO DATE",IF(S570="Won",IF(R570&gt;Settings!$B$5,"Backlog","Delivered"),IF(S570="Open",IF(R570&gt;Settings!$B$5,"Pipeline","Overdue"),IF(S570="Lost","Lost","UNMAPPED")))))</f>
        <v>Lost</v>
      </c>
      <c r="U570" s="40" t="n">
        <f aca="false">IF(T570="Backlog",1,IF(OR(T570="Pipeline",T570="Overdue"),N(INDEX(Settings!$C$27:$C$36,MATCH(L570,Settings!$A$27:$A$36,0))),0))</f>
        <v>0</v>
      </c>
      <c r="V570" s="38" t="n">
        <f aca="false">Q570*U570</f>
        <v>0</v>
      </c>
      <c r="W570" s="41" t="n">
        <f aca="false">IF($M570="","",IF(T570="Overdue",IF(Settings!$B$8="Yes",Settings!$B$7,""),IF(ISNUMBER(R570),DATE(YEAR(R570),MONTH(R570),1),"")))</f>
        <v>46266</v>
      </c>
      <c r="X570" s="38" t="n">
        <f aca="false">IF(AND(OR(T570="Backlog",T570="Pipeline",T570="Overdue"),ISNUMBER(W570)),IF(W570&lt;=Settings!$B$6,V570,0),0)</f>
        <v>0</v>
      </c>
      <c r="Y570" s="38" t="n">
        <f aca="false">IF(AND(OR(T570="Backlog",T570="Pipeline",T570="Overdue"),ISNUMBER(W570)),IF(W570&lt;=Settings!$B$6,Q570,0),0)</f>
        <v>0</v>
      </c>
      <c r="Z570" s="38" t="n">
        <f aca="false">IF(Y570=0,0,IF(T570="Backlog",Q570,Q570*Dashboard!$C$10))</f>
        <v>0</v>
      </c>
      <c r="AA570" s="37" t="n">
        <f aca="false">IF($N570="",0,IF(COUNTIF(Dashboard!$C$13:$C$22,$N570)&gt;0,1,0))</f>
        <v>0</v>
      </c>
      <c r="AB570" s="37" t="str">
        <f aca="false">IF($N570="","",IF(COUNTIF($N$8:$N570,$N570)=1,MAX($AB$7:$AB569)+1,""))</f>
        <v/>
      </c>
    </row>
    <row r="571" customFormat="false" ht="15" hidden="false" customHeight="false" outlineLevel="0" collapsed="false">
      <c r="B571" s="32" t="s">
        <v>1376</v>
      </c>
      <c r="C571" s="32" t="s">
        <v>1377</v>
      </c>
      <c r="D571" s="35" t="n">
        <v>4380</v>
      </c>
      <c r="E571" s="32" t="s">
        <v>145</v>
      </c>
      <c r="F571" s="36" t="n">
        <v>46261</v>
      </c>
      <c r="G571" s="32" t="s">
        <v>1378</v>
      </c>
      <c r="L571" s="37" t="str">
        <f aca="false">IF(INDEX($A571:$J571,$L$6)&lt;&gt;"",TRIM(LEFT(INDEX($A571:$J571,$L$6),FIND("(",INDEX($A571:$J571,$L$6)&amp;"(")-1)),L570)</f>
        <v>Closed Lost</v>
      </c>
      <c r="M571" s="37" t="str">
        <f aca="false">IF(INDEX($A571:$J571,$M$6)="","",INDEX($A571:$J571,$M$6)&amp;"")</f>
        <v>Brain Chip - Investor Day - Late August</v>
      </c>
      <c r="N571" s="37" t="str">
        <f aca="false">IF($M571="","",TRIM(INDEX($A571:$J571,$N$6)&amp;""))</f>
        <v>Brain Chip</v>
      </c>
      <c r="O571" s="37" t="str">
        <f aca="false">IF($M571="","",TRIM(INDEX($A571:$J571,$O$6)&amp;""))</f>
        <v>Event Production</v>
      </c>
      <c r="P571" s="37" t="str">
        <f aca="false">IF($M571="","",IFERROR(IF(INDEX(Settings!$B$41:$B$50,MATCH(O571,Settings!$A$41:$A$50,0))&amp;""="","UNMAPPED",INDEX(Settings!$B$41:$B$50,MATCH(O571,Settings!$A$41:$A$50,0))&amp;""),"UNMAPPED"))</f>
        <v>Production</v>
      </c>
      <c r="Q571" s="38" t="n">
        <f aca="false">IF($M571="",0,N(INDEX($A571:$J571,$Q$6)))</f>
        <v>4380</v>
      </c>
      <c r="R571" s="39" t="n">
        <f aca="false">IF($M571="","",INDEX($A571:$J571,$R$6))</f>
        <v>46261</v>
      </c>
      <c r="S571" s="37" t="str">
        <f aca="false">IF($M571="","",IFERROR(INDEX(Settings!$B$27:$B$36,MATCH(L571,Settings!$A$27:$A$36,0))&amp;"","UNMAPPED"))</f>
        <v>Lost</v>
      </c>
      <c r="T571" s="37" t="str">
        <f aca="false">IF($M571="","",IF(NOT(ISNUMBER(R571)),"NO DATE",IF(S571="Won",IF(R571&gt;Settings!$B$5,"Backlog","Delivered"),IF(S571="Open",IF(R571&gt;Settings!$B$5,"Pipeline","Overdue"),IF(S571="Lost","Lost","UNMAPPED")))))</f>
        <v>Lost</v>
      </c>
      <c r="U571" s="40" t="n">
        <f aca="false">IF(T571="Backlog",1,IF(OR(T571="Pipeline",T571="Overdue"),N(INDEX(Settings!$C$27:$C$36,MATCH(L571,Settings!$A$27:$A$36,0))),0))</f>
        <v>0</v>
      </c>
      <c r="V571" s="38" t="n">
        <f aca="false">Q571*U571</f>
        <v>0</v>
      </c>
      <c r="W571" s="41" t="n">
        <f aca="false">IF($M571="","",IF(T571="Overdue",IF(Settings!$B$8="Yes",Settings!$B$7,""),IF(ISNUMBER(R571),DATE(YEAR(R571),MONTH(R571),1),"")))</f>
        <v>46235</v>
      </c>
      <c r="X571" s="38" t="n">
        <f aca="false">IF(AND(OR(T571="Backlog",T571="Pipeline",T571="Overdue"),ISNUMBER(W571)),IF(W571&lt;=Settings!$B$6,V571,0),0)</f>
        <v>0</v>
      </c>
      <c r="Y571" s="38" t="n">
        <f aca="false">IF(AND(OR(T571="Backlog",T571="Pipeline",T571="Overdue"),ISNUMBER(W571)),IF(W571&lt;=Settings!$B$6,Q571,0),0)</f>
        <v>0</v>
      </c>
      <c r="Z571" s="38" t="n">
        <f aca="false">IF(Y571=0,0,IF(T571="Backlog",Q571,Q571*Dashboard!$C$10))</f>
        <v>0</v>
      </c>
      <c r="AA571" s="37" t="n">
        <f aca="false">IF($N571="",0,IF(COUNTIF(Dashboard!$C$13:$C$22,$N571)&gt;0,1,0))</f>
        <v>0</v>
      </c>
      <c r="AB571" s="37" t="n">
        <f aca="false">IF($N571="","",IF(COUNTIF($N$8:$N571,$N571)=1,MAX($AB$7:$AB570)+1,""))</f>
        <v>111</v>
      </c>
    </row>
    <row r="572" customFormat="false" ht="15" hidden="false" customHeight="false" outlineLevel="0" collapsed="false">
      <c r="B572" s="32" t="s">
        <v>1379</v>
      </c>
      <c r="C572" s="32" t="s">
        <v>518</v>
      </c>
      <c r="D572" s="35" t="n">
        <v>825</v>
      </c>
      <c r="E572" s="32" t="s">
        <v>208</v>
      </c>
      <c r="F572" s="36" t="n">
        <v>46073</v>
      </c>
      <c r="G572" s="32" t="s">
        <v>1380</v>
      </c>
      <c r="L572" s="37" t="str">
        <f aca="false">IF(INDEX($A572:$J572,$L$6)&lt;&gt;"",TRIM(LEFT(INDEX($A572:$J572,$L$6),FIND("(",INDEX($A572:$J572,$L$6)&amp;"(")-1)),L571)</f>
        <v>Closed Lost</v>
      </c>
      <c r="M572" s="37" t="str">
        <f aca="false">IF(INDEX($A572:$J572,$M$6)="","",INDEX($A572:$J572,$M$6)&amp;"")</f>
        <v>Ootoz Camera Kit Hire 20.02.2026</v>
      </c>
      <c r="N572" s="37" t="str">
        <f aca="false">IF($M572="","",TRIM(INDEX($A572:$J572,$N$6)&amp;""))</f>
        <v>Ootoz Productions</v>
      </c>
      <c r="O572" s="37" t="str">
        <f aca="false">IF($M572="","",TRIM(INDEX($A572:$J572,$O$6)&amp;""))</f>
        <v>Video Production</v>
      </c>
      <c r="P572" s="37" t="str">
        <f aca="false">IF($M572="","",IFERROR(IF(INDEX(Settings!$B$41:$B$50,MATCH(O572,Settings!$A$41:$A$50,0))&amp;""="","UNMAPPED",INDEX(Settings!$B$41:$B$50,MATCH(O572,Settings!$A$41:$A$50,0))&amp;""),"UNMAPPED"))</f>
        <v>Video</v>
      </c>
      <c r="Q572" s="38" t="n">
        <f aca="false">IF($M572="",0,N(INDEX($A572:$J572,$Q$6)))</f>
        <v>825</v>
      </c>
      <c r="R572" s="39" t="n">
        <f aca="false">IF($M572="","",INDEX($A572:$J572,$R$6))</f>
        <v>46073</v>
      </c>
      <c r="S572" s="37" t="str">
        <f aca="false">IF($M572="","",IFERROR(INDEX(Settings!$B$27:$B$36,MATCH(L572,Settings!$A$27:$A$36,0))&amp;"","UNMAPPED"))</f>
        <v>Lost</v>
      </c>
      <c r="T572" s="37" t="str">
        <f aca="false">IF($M572="","",IF(NOT(ISNUMBER(R572)),"NO DATE",IF(S572="Won",IF(R572&gt;Settings!$B$5,"Backlog","Delivered"),IF(S572="Open",IF(R572&gt;Settings!$B$5,"Pipeline","Overdue"),IF(S572="Lost","Lost","UNMAPPED")))))</f>
        <v>Lost</v>
      </c>
      <c r="U572" s="40" t="n">
        <f aca="false">IF(T572="Backlog",1,IF(OR(T572="Pipeline",T572="Overdue"),N(INDEX(Settings!$C$27:$C$36,MATCH(L572,Settings!$A$27:$A$36,0))),0))</f>
        <v>0</v>
      </c>
      <c r="V572" s="38" t="n">
        <f aca="false">Q572*U572</f>
        <v>0</v>
      </c>
      <c r="W572" s="41" t="n">
        <f aca="false">IF($M572="","",IF(T572="Overdue",IF(Settings!$B$8="Yes",Settings!$B$7,""),IF(ISNUMBER(R572),DATE(YEAR(R572),MONTH(R572),1),"")))</f>
        <v>46054</v>
      </c>
      <c r="X572" s="38" t="n">
        <f aca="false">IF(AND(OR(T572="Backlog",T572="Pipeline",T572="Overdue"),ISNUMBER(W572)),IF(W572&lt;=Settings!$B$6,V572,0),0)</f>
        <v>0</v>
      </c>
      <c r="Y572" s="38" t="n">
        <f aca="false">IF(AND(OR(T572="Backlog",T572="Pipeline",T572="Overdue"),ISNUMBER(W572)),IF(W572&lt;=Settings!$B$6,Q572,0),0)</f>
        <v>0</v>
      </c>
      <c r="Z572" s="38" t="n">
        <f aca="false">IF(Y572=0,0,IF(T572="Backlog",Q572,Q572*Dashboard!$C$10))</f>
        <v>0</v>
      </c>
      <c r="AA572" s="37" t="n">
        <f aca="false">IF($N572="",0,IF(COUNTIF(Dashboard!$C$13:$C$22,$N572)&gt;0,1,0))</f>
        <v>0</v>
      </c>
      <c r="AB572" s="37" t="str">
        <f aca="false">IF($N572="","",IF(COUNTIF($N$8:$N572,$N572)=1,MAX($AB$7:$AB571)+1,""))</f>
        <v/>
      </c>
    </row>
    <row r="573" customFormat="false" ht="15" hidden="false" customHeight="false" outlineLevel="0" collapsed="false">
      <c r="B573" s="32" t="s">
        <v>1381</v>
      </c>
      <c r="C573" s="32" t="s">
        <v>1382</v>
      </c>
      <c r="D573" s="35" t="n">
        <v>9493</v>
      </c>
      <c r="E573" s="32" t="s">
        <v>208</v>
      </c>
      <c r="F573" s="36" t="n">
        <v>45951</v>
      </c>
      <c r="G573" s="32" t="s">
        <v>1383</v>
      </c>
      <c r="L573" s="37" t="str">
        <f aca="false">IF(INDEX($A573:$J573,$L$6)&lt;&gt;"",TRIM(LEFT(INDEX($A573:$J573,$L$6),FIND("(",INDEX($A573:$J573,$L$6)&amp;"(")-1)),L572)</f>
        <v>Closed Lost</v>
      </c>
      <c r="M573" s="37" t="str">
        <f aca="false">IF(INDEX($A573:$J573,$M$6)="","",INDEX($A573:$J573,$M$6)&amp;"")</f>
        <v>Adamantem Capital Highlights Video</v>
      </c>
      <c r="N573" s="37" t="str">
        <f aca="false">IF($M573="","",TRIM(INDEX($A573:$J573,$N$6)&amp;""))</f>
        <v>Adamantem Capital</v>
      </c>
      <c r="O573" s="37" t="str">
        <f aca="false">IF($M573="","",TRIM(INDEX($A573:$J573,$O$6)&amp;""))</f>
        <v>Video Production</v>
      </c>
      <c r="P573" s="37" t="str">
        <f aca="false">IF($M573="","",IFERROR(IF(INDEX(Settings!$B$41:$B$50,MATCH(O573,Settings!$A$41:$A$50,0))&amp;""="","UNMAPPED",INDEX(Settings!$B$41:$B$50,MATCH(O573,Settings!$A$41:$A$50,0))&amp;""),"UNMAPPED"))</f>
        <v>Video</v>
      </c>
      <c r="Q573" s="38" t="n">
        <f aca="false">IF($M573="",0,N(INDEX($A573:$J573,$Q$6)))</f>
        <v>9493</v>
      </c>
      <c r="R573" s="39" t="n">
        <f aca="false">IF($M573="","",INDEX($A573:$J573,$R$6))</f>
        <v>45951</v>
      </c>
      <c r="S573" s="37" t="str">
        <f aca="false">IF($M573="","",IFERROR(INDEX(Settings!$B$27:$B$36,MATCH(L573,Settings!$A$27:$A$36,0))&amp;"","UNMAPPED"))</f>
        <v>Lost</v>
      </c>
      <c r="T573" s="37" t="str">
        <f aca="false">IF($M573="","",IF(NOT(ISNUMBER(R573)),"NO DATE",IF(S573="Won",IF(R573&gt;Settings!$B$5,"Backlog","Delivered"),IF(S573="Open",IF(R573&gt;Settings!$B$5,"Pipeline","Overdue"),IF(S573="Lost","Lost","UNMAPPED")))))</f>
        <v>Lost</v>
      </c>
      <c r="U573" s="40" t="n">
        <f aca="false">IF(T573="Backlog",1,IF(OR(T573="Pipeline",T573="Overdue"),N(INDEX(Settings!$C$27:$C$36,MATCH(L573,Settings!$A$27:$A$36,0))),0))</f>
        <v>0</v>
      </c>
      <c r="V573" s="38" t="n">
        <f aca="false">Q573*U573</f>
        <v>0</v>
      </c>
      <c r="W573" s="41" t="n">
        <f aca="false">IF($M573="","",IF(T573="Overdue",IF(Settings!$B$8="Yes",Settings!$B$7,""),IF(ISNUMBER(R573),DATE(YEAR(R573),MONTH(R573),1),"")))</f>
        <v>45931</v>
      </c>
      <c r="X573" s="38" t="n">
        <f aca="false">IF(AND(OR(T573="Backlog",T573="Pipeline",T573="Overdue"),ISNUMBER(W573)),IF(W573&lt;=Settings!$B$6,V573,0),0)</f>
        <v>0</v>
      </c>
      <c r="Y573" s="38" t="n">
        <f aca="false">IF(AND(OR(T573="Backlog",T573="Pipeline",T573="Overdue"),ISNUMBER(W573)),IF(W573&lt;=Settings!$B$6,Q573,0),0)</f>
        <v>0</v>
      </c>
      <c r="Z573" s="38" t="n">
        <f aca="false">IF(Y573=0,0,IF(T573="Backlog",Q573,Q573*Dashboard!$C$10))</f>
        <v>0</v>
      </c>
      <c r="AA573" s="37" t="n">
        <f aca="false">IF($N573="",0,IF(COUNTIF(Dashboard!$C$13:$C$22,$N573)&gt;0,1,0))</f>
        <v>0</v>
      </c>
      <c r="AB573" s="37" t="n">
        <f aca="false">IF($N573="","",IF(COUNTIF($N$8:$N573,$N573)=1,MAX($AB$7:$AB572)+1,""))</f>
        <v>112</v>
      </c>
    </row>
    <row r="574" customFormat="false" ht="15" hidden="false" customHeight="false" outlineLevel="0" collapsed="false">
      <c r="B574" s="32" t="s">
        <v>1384</v>
      </c>
      <c r="C574" s="32" t="s">
        <v>194</v>
      </c>
      <c r="D574" s="35" t="n">
        <v>8500</v>
      </c>
      <c r="E574" s="32" t="s">
        <v>145</v>
      </c>
      <c r="F574" s="36" t="n">
        <v>46280</v>
      </c>
      <c r="G574" s="32" t="s">
        <v>1385</v>
      </c>
      <c r="L574" s="37" t="str">
        <f aca="false">IF(INDEX($A574:$J574,$L$6)&lt;&gt;"",TRIM(LEFT(INDEX($A574:$J574,$L$6),FIND("(",INDEX($A574:$J574,$L$6)&amp;"(")-1)),L573)</f>
        <v>Closed Lost</v>
      </c>
      <c r="M574" s="37" t="str">
        <f aca="false">IF(INDEX($A574:$J574,$M$6)="","",INDEX($A574:$J574,$M$6)&amp;"")</f>
        <v>Ventia - Brisbane Depot Event - 15.10.26</v>
      </c>
      <c r="N574" s="37" t="str">
        <f aca="false">IF($M574="","",TRIM(INDEX($A574:$J574,$N$6)&amp;""))</f>
        <v>Ventia</v>
      </c>
      <c r="O574" s="37" t="str">
        <f aca="false">IF($M574="","",TRIM(INDEX($A574:$J574,$O$6)&amp;""))</f>
        <v>Event Production</v>
      </c>
      <c r="P574" s="37" t="str">
        <f aca="false">IF($M574="","",IFERROR(IF(INDEX(Settings!$B$41:$B$50,MATCH(O574,Settings!$A$41:$A$50,0))&amp;""="","UNMAPPED",INDEX(Settings!$B$41:$B$50,MATCH(O574,Settings!$A$41:$A$50,0))&amp;""),"UNMAPPED"))</f>
        <v>Production</v>
      </c>
      <c r="Q574" s="38" t="n">
        <f aca="false">IF($M574="",0,N(INDEX($A574:$J574,$Q$6)))</f>
        <v>8500</v>
      </c>
      <c r="R574" s="39" t="n">
        <f aca="false">IF($M574="","",INDEX($A574:$J574,$R$6))</f>
        <v>46280</v>
      </c>
      <c r="S574" s="37" t="str">
        <f aca="false">IF($M574="","",IFERROR(INDEX(Settings!$B$27:$B$36,MATCH(L574,Settings!$A$27:$A$36,0))&amp;"","UNMAPPED"))</f>
        <v>Lost</v>
      </c>
      <c r="T574" s="37" t="str">
        <f aca="false">IF($M574="","",IF(NOT(ISNUMBER(R574)),"NO DATE",IF(S574="Won",IF(R574&gt;Settings!$B$5,"Backlog","Delivered"),IF(S574="Open",IF(R574&gt;Settings!$B$5,"Pipeline","Overdue"),IF(S574="Lost","Lost","UNMAPPED")))))</f>
        <v>Lost</v>
      </c>
      <c r="U574" s="40" t="n">
        <f aca="false">IF(T574="Backlog",1,IF(OR(T574="Pipeline",T574="Overdue"),N(INDEX(Settings!$C$27:$C$36,MATCH(L574,Settings!$A$27:$A$36,0))),0))</f>
        <v>0</v>
      </c>
      <c r="V574" s="38" t="n">
        <f aca="false">Q574*U574</f>
        <v>0</v>
      </c>
      <c r="W574" s="41" t="n">
        <f aca="false">IF($M574="","",IF(T574="Overdue",IF(Settings!$B$8="Yes",Settings!$B$7,""),IF(ISNUMBER(R574),DATE(YEAR(R574),MONTH(R574),1),"")))</f>
        <v>46266</v>
      </c>
      <c r="X574" s="38" t="n">
        <f aca="false">IF(AND(OR(T574="Backlog",T574="Pipeline",T574="Overdue"),ISNUMBER(W574)),IF(W574&lt;=Settings!$B$6,V574,0),0)</f>
        <v>0</v>
      </c>
      <c r="Y574" s="38" t="n">
        <f aca="false">IF(AND(OR(T574="Backlog",T574="Pipeline",T574="Overdue"),ISNUMBER(W574)),IF(W574&lt;=Settings!$B$6,Q574,0),0)</f>
        <v>0</v>
      </c>
      <c r="Z574" s="38" t="n">
        <f aca="false">IF(Y574=0,0,IF(T574="Backlog",Q574,Q574*Dashboard!$C$10))</f>
        <v>0</v>
      </c>
      <c r="AA574" s="37" t="n">
        <f aca="false">IF($N574="",0,IF(COUNTIF(Dashboard!$C$13:$C$22,$N574)&gt;0,1,0))</f>
        <v>0</v>
      </c>
      <c r="AB574" s="37" t="str">
        <f aca="false">IF($N574="","",IF(COUNTIF($N$8:$N574,$N574)=1,MAX($AB$7:$AB573)+1,""))</f>
        <v/>
      </c>
    </row>
    <row r="575" customFormat="false" ht="15" hidden="false" customHeight="false" outlineLevel="0" collapsed="false">
      <c r="B575" s="32" t="s">
        <v>1386</v>
      </c>
      <c r="C575" s="32" t="s">
        <v>253</v>
      </c>
      <c r="D575" s="35" t="n">
        <v>1423</v>
      </c>
      <c r="E575" s="32" t="s">
        <v>208</v>
      </c>
      <c r="F575" s="36" t="n">
        <v>46239</v>
      </c>
      <c r="G575" s="32" t="s">
        <v>1387</v>
      </c>
      <c r="L575" s="37" t="str">
        <f aca="false">IF(INDEX($A575:$J575,$L$6)&lt;&gt;"",TRIM(LEFT(INDEX($A575:$J575,$L$6),FIND("(",INDEX($A575:$J575,$L$6)&amp;"(")-1)),L574)</f>
        <v>Closed Lost</v>
      </c>
      <c r="M575" s="37" t="str">
        <f aca="false">IF(INDEX($A575:$J575,$M$6)="","",INDEX($A575:$J575,$M$6)&amp;"")</f>
        <v>ASX - FY26 Financial Results Pre-Recording</v>
      </c>
      <c r="N575" s="37" t="str">
        <f aca="false">IF($M575="","",TRIM(INDEX($A575:$J575,$N$6)&amp;""))</f>
        <v>ASX Australian Securities Exchange</v>
      </c>
      <c r="O575" s="37" t="str">
        <f aca="false">IF($M575="","",TRIM(INDEX($A575:$J575,$O$6)&amp;""))</f>
        <v>Video Production</v>
      </c>
      <c r="P575" s="37" t="str">
        <f aca="false">IF($M575="","",IFERROR(IF(INDEX(Settings!$B$41:$B$50,MATCH(O575,Settings!$A$41:$A$50,0))&amp;""="","UNMAPPED",INDEX(Settings!$B$41:$B$50,MATCH(O575,Settings!$A$41:$A$50,0))&amp;""),"UNMAPPED"))</f>
        <v>Video</v>
      </c>
      <c r="Q575" s="38" t="n">
        <f aca="false">IF($M575="",0,N(INDEX($A575:$J575,$Q$6)))</f>
        <v>1423</v>
      </c>
      <c r="R575" s="39" t="n">
        <f aca="false">IF($M575="","",INDEX($A575:$J575,$R$6))</f>
        <v>46239</v>
      </c>
      <c r="S575" s="37" t="str">
        <f aca="false">IF($M575="","",IFERROR(INDEX(Settings!$B$27:$B$36,MATCH(L575,Settings!$A$27:$A$36,0))&amp;"","UNMAPPED"))</f>
        <v>Lost</v>
      </c>
      <c r="T575" s="37" t="str">
        <f aca="false">IF($M575="","",IF(NOT(ISNUMBER(R575)),"NO DATE",IF(S575="Won",IF(R575&gt;Settings!$B$5,"Backlog","Delivered"),IF(S575="Open",IF(R575&gt;Settings!$B$5,"Pipeline","Overdue"),IF(S575="Lost","Lost","UNMAPPED")))))</f>
        <v>Lost</v>
      </c>
      <c r="U575" s="40" t="n">
        <f aca="false">IF(T575="Backlog",1,IF(OR(T575="Pipeline",T575="Overdue"),N(INDEX(Settings!$C$27:$C$36,MATCH(L575,Settings!$A$27:$A$36,0))),0))</f>
        <v>0</v>
      </c>
      <c r="V575" s="38" t="n">
        <f aca="false">Q575*U575</f>
        <v>0</v>
      </c>
      <c r="W575" s="41" t="n">
        <f aca="false">IF($M575="","",IF(T575="Overdue",IF(Settings!$B$8="Yes",Settings!$B$7,""),IF(ISNUMBER(R575),DATE(YEAR(R575),MONTH(R575),1),"")))</f>
        <v>46235</v>
      </c>
      <c r="X575" s="38" t="n">
        <f aca="false">IF(AND(OR(T575="Backlog",T575="Pipeline",T575="Overdue"),ISNUMBER(W575)),IF(W575&lt;=Settings!$B$6,V575,0),0)</f>
        <v>0</v>
      </c>
      <c r="Y575" s="38" t="n">
        <f aca="false">IF(AND(OR(T575="Backlog",T575="Pipeline",T575="Overdue"),ISNUMBER(W575)),IF(W575&lt;=Settings!$B$6,Q575,0),0)</f>
        <v>0</v>
      </c>
      <c r="Z575" s="38" t="n">
        <f aca="false">IF(Y575=0,0,IF(T575="Backlog",Q575,Q575*Dashboard!$C$10))</f>
        <v>0</v>
      </c>
      <c r="AA575" s="37" t="n">
        <f aca="false">IF($N575="",0,IF(COUNTIF(Dashboard!$C$13:$C$22,$N575)&gt;0,1,0))</f>
        <v>0</v>
      </c>
      <c r="AB575" s="37" t="str">
        <f aca="false">IF($N575="","",IF(COUNTIF($N$8:$N575,$N575)=1,MAX($AB$7:$AB574)+1,""))</f>
        <v/>
      </c>
    </row>
    <row r="576" customFormat="false" ht="15" hidden="false" customHeight="false" outlineLevel="0" collapsed="false">
      <c r="B576" s="32" t="s">
        <v>1388</v>
      </c>
      <c r="C576" s="32" t="s">
        <v>253</v>
      </c>
      <c r="D576" s="35" t="n">
        <v>4736</v>
      </c>
      <c r="E576" s="32" t="s">
        <v>145</v>
      </c>
      <c r="F576" s="36" t="n">
        <v>46169</v>
      </c>
      <c r="G576" s="32" t="s">
        <v>1389</v>
      </c>
      <c r="L576" s="37" t="str">
        <f aca="false">IF(INDEX($A576:$J576,$L$6)&lt;&gt;"",TRIM(LEFT(INDEX($A576:$J576,$L$6),FIND("(",INDEX($A576:$J576,$L$6)&amp;"(")-1)),L575)</f>
        <v>Closed Lost</v>
      </c>
      <c r="M576" s="37" t="str">
        <f aca="false">IF(INDEX($A576:$J576,$M$6)="","",INDEX($A576:$J576,$M$6)&amp;"")</f>
        <v>ASX - Business Meeting - 27.5.26</v>
      </c>
      <c r="N576" s="37" t="str">
        <f aca="false">IF($M576="","",TRIM(INDEX($A576:$J576,$N$6)&amp;""))</f>
        <v>ASX Australian Securities Exchange</v>
      </c>
      <c r="O576" s="37" t="str">
        <f aca="false">IF($M576="","",TRIM(INDEX($A576:$J576,$O$6)&amp;""))</f>
        <v>Event Production</v>
      </c>
      <c r="P576" s="37" t="str">
        <f aca="false">IF($M576="","",IFERROR(IF(INDEX(Settings!$B$41:$B$50,MATCH(O576,Settings!$A$41:$A$50,0))&amp;""="","UNMAPPED",INDEX(Settings!$B$41:$B$50,MATCH(O576,Settings!$A$41:$A$50,0))&amp;""),"UNMAPPED"))</f>
        <v>Production</v>
      </c>
      <c r="Q576" s="38" t="n">
        <f aca="false">IF($M576="",0,N(INDEX($A576:$J576,$Q$6)))</f>
        <v>4736</v>
      </c>
      <c r="R576" s="39" t="n">
        <f aca="false">IF($M576="","",INDEX($A576:$J576,$R$6))</f>
        <v>46169</v>
      </c>
      <c r="S576" s="37" t="str">
        <f aca="false">IF($M576="","",IFERROR(INDEX(Settings!$B$27:$B$36,MATCH(L576,Settings!$A$27:$A$36,0))&amp;"","UNMAPPED"))</f>
        <v>Lost</v>
      </c>
      <c r="T576" s="37" t="str">
        <f aca="false">IF($M576="","",IF(NOT(ISNUMBER(R576)),"NO DATE",IF(S576="Won",IF(R576&gt;Settings!$B$5,"Backlog","Delivered"),IF(S576="Open",IF(R576&gt;Settings!$B$5,"Pipeline","Overdue"),IF(S576="Lost","Lost","UNMAPPED")))))</f>
        <v>Lost</v>
      </c>
      <c r="U576" s="40" t="n">
        <f aca="false">IF(T576="Backlog",1,IF(OR(T576="Pipeline",T576="Overdue"),N(INDEX(Settings!$C$27:$C$36,MATCH(L576,Settings!$A$27:$A$36,0))),0))</f>
        <v>0</v>
      </c>
      <c r="V576" s="38" t="n">
        <f aca="false">Q576*U576</f>
        <v>0</v>
      </c>
      <c r="W576" s="41" t="n">
        <f aca="false">IF($M576="","",IF(T576="Overdue",IF(Settings!$B$8="Yes",Settings!$B$7,""),IF(ISNUMBER(R576),DATE(YEAR(R576),MONTH(R576),1),"")))</f>
        <v>46143</v>
      </c>
      <c r="X576" s="38" t="n">
        <f aca="false">IF(AND(OR(T576="Backlog",T576="Pipeline",T576="Overdue"),ISNUMBER(W576)),IF(W576&lt;=Settings!$B$6,V576,0),0)</f>
        <v>0</v>
      </c>
      <c r="Y576" s="38" t="n">
        <f aca="false">IF(AND(OR(T576="Backlog",T576="Pipeline",T576="Overdue"),ISNUMBER(W576)),IF(W576&lt;=Settings!$B$6,Q576,0),0)</f>
        <v>0</v>
      </c>
      <c r="Z576" s="38" t="n">
        <f aca="false">IF(Y576=0,0,IF(T576="Backlog",Q576,Q576*Dashboard!$C$10))</f>
        <v>0</v>
      </c>
      <c r="AA576" s="37" t="n">
        <f aca="false">IF($N576="",0,IF(COUNTIF(Dashboard!$C$13:$C$22,$N576)&gt;0,1,0))</f>
        <v>0</v>
      </c>
      <c r="AB576" s="37" t="str">
        <f aca="false">IF($N576="","",IF(COUNTIF($N$8:$N576,$N576)=1,MAX($AB$7:$AB575)+1,""))</f>
        <v/>
      </c>
    </row>
    <row r="577" customFormat="false" ht="15" hidden="false" customHeight="false" outlineLevel="0" collapsed="false">
      <c r="B577" s="32" t="s">
        <v>1390</v>
      </c>
      <c r="C577" s="32" t="s">
        <v>1391</v>
      </c>
      <c r="D577" s="35"/>
      <c r="E577" s="32" t="s">
        <v>141</v>
      </c>
      <c r="F577" s="36" t="n">
        <v>46265</v>
      </c>
      <c r="G577" s="32" t="s">
        <v>1392</v>
      </c>
      <c r="L577" s="37" t="str">
        <f aca="false">IF(INDEX($A577:$J577,$L$6)&lt;&gt;"",TRIM(LEFT(INDEX($A577:$J577,$L$6),FIND("(",INDEX($A577:$J577,$L$6)&amp;"(")-1)),L576)</f>
        <v>Closed Lost</v>
      </c>
      <c r="M577" s="37" t="str">
        <f aca="false">IF(INDEX($A577:$J577,$M$6)="","",INDEX($A577:$J577,$M$6)&amp;"")</f>
        <v>St Luke's | Audio Mixing Desk Supply - 2608601</v>
      </c>
      <c r="N577" s="37" t="str">
        <f aca="false">IF($M577="","",TRIM(INDEX($A577:$J577,$N$6)&amp;""))</f>
        <v>St Luke's LIverpool</v>
      </c>
      <c r="O577" s="37" t="str">
        <f aca="false">IF($M577="","",TRIM(INDEX($A577:$J577,$O$6)&amp;""))</f>
        <v>Integration</v>
      </c>
      <c r="P577" s="37" t="str">
        <f aca="false">IF($M577="","",IFERROR(IF(INDEX(Settings!$B$41:$B$50,MATCH(O577,Settings!$A$41:$A$50,0))&amp;""="","UNMAPPED",INDEX(Settings!$B$41:$B$50,MATCH(O577,Settings!$A$41:$A$50,0))&amp;""),"UNMAPPED"))</f>
        <v>Integration</v>
      </c>
      <c r="Q577" s="38" t="n">
        <f aca="false">IF($M577="",0,N(INDEX($A577:$J577,$Q$6)))</f>
        <v>0</v>
      </c>
      <c r="R577" s="39" t="n">
        <f aca="false">IF($M577="","",INDEX($A577:$J577,$R$6))</f>
        <v>46265</v>
      </c>
      <c r="S577" s="37" t="str">
        <f aca="false">IF($M577="","",IFERROR(INDEX(Settings!$B$27:$B$36,MATCH(L577,Settings!$A$27:$A$36,0))&amp;"","UNMAPPED"))</f>
        <v>Lost</v>
      </c>
      <c r="T577" s="37" t="str">
        <f aca="false">IF($M577="","",IF(NOT(ISNUMBER(R577)),"NO DATE",IF(S577="Won",IF(R577&gt;Settings!$B$5,"Backlog","Delivered"),IF(S577="Open",IF(R577&gt;Settings!$B$5,"Pipeline","Overdue"),IF(S577="Lost","Lost","UNMAPPED")))))</f>
        <v>Lost</v>
      </c>
      <c r="U577" s="40" t="n">
        <f aca="false">IF(T577="Backlog",1,IF(OR(T577="Pipeline",T577="Overdue"),N(INDEX(Settings!$C$27:$C$36,MATCH(L577,Settings!$A$27:$A$36,0))),0))</f>
        <v>0</v>
      </c>
      <c r="V577" s="38" t="n">
        <f aca="false">Q577*U577</f>
        <v>0</v>
      </c>
      <c r="W577" s="41" t="n">
        <f aca="false">IF($M577="","",IF(T577="Overdue",IF(Settings!$B$8="Yes",Settings!$B$7,""),IF(ISNUMBER(R577),DATE(YEAR(R577),MONTH(R577),1),"")))</f>
        <v>46235</v>
      </c>
      <c r="X577" s="38" t="n">
        <f aca="false">IF(AND(OR(T577="Backlog",T577="Pipeline",T577="Overdue"),ISNUMBER(W577)),IF(W577&lt;=Settings!$B$6,V577,0),0)</f>
        <v>0</v>
      </c>
      <c r="Y577" s="38" t="n">
        <f aca="false">IF(AND(OR(T577="Backlog",T577="Pipeline",T577="Overdue"),ISNUMBER(W577)),IF(W577&lt;=Settings!$B$6,Q577,0),0)</f>
        <v>0</v>
      </c>
      <c r="Z577" s="38" t="n">
        <f aca="false">IF(Y577=0,0,IF(T577="Backlog",Q577,Q577*Dashboard!$C$10))</f>
        <v>0</v>
      </c>
      <c r="AA577" s="37" t="n">
        <f aca="false">IF($N577="",0,IF(COUNTIF(Dashboard!$C$13:$C$22,$N577)&gt;0,1,0))</f>
        <v>0</v>
      </c>
      <c r="AB577" s="37" t="n">
        <f aca="false">IF($N577="","",IF(COUNTIF($N$8:$N577,$N577)=1,MAX($AB$7:$AB576)+1,""))</f>
        <v>113</v>
      </c>
    </row>
    <row r="578" customFormat="false" ht="15" hidden="false" customHeight="false" outlineLevel="0" collapsed="false">
      <c r="B578" s="32" t="s">
        <v>1393</v>
      </c>
      <c r="C578" s="32" t="s">
        <v>154</v>
      </c>
      <c r="D578" s="35" t="n">
        <v>1200</v>
      </c>
      <c r="E578" s="32" t="s">
        <v>180</v>
      </c>
      <c r="F578" s="36" t="n">
        <v>45866</v>
      </c>
      <c r="G578" s="32" t="s">
        <v>1394</v>
      </c>
      <c r="L578" s="37" t="str">
        <f aca="false">IF(INDEX($A578:$J578,$L$6)&lt;&gt;"",TRIM(LEFT(INDEX($A578:$J578,$L$6),FIND("(",INDEX($A578:$J578,$L$6)&amp;"(")-1)),L577)</f>
        <v>Closed Lost</v>
      </c>
      <c r="M578" s="37" t="str">
        <f aca="false">IF(INDEX($A578:$J578,$M$6)="","",INDEX($A578:$J578,$M$6)&amp;"")</f>
        <v>PWC Melbourne Support | 28th &amp; 29th July 2025</v>
      </c>
      <c r="N578" s="37" t="str">
        <f aca="false">IF($M578="","",TRIM(INDEX($A578:$J578,$N$6)&amp;""))</f>
        <v>PWC</v>
      </c>
      <c r="O578" s="37" t="str">
        <f aca="false">IF($M578="","",TRIM(INDEX($A578:$J578,$O$6)&amp;""))</f>
        <v>Support</v>
      </c>
      <c r="P578" s="37" t="str">
        <f aca="false">IF($M578="","",IFERROR(IF(INDEX(Settings!$B$41:$B$50,MATCH(O578,Settings!$A$41:$A$50,0))&amp;""="","UNMAPPED",INDEX(Settings!$B$41:$B$50,MATCH(O578,Settings!$A$41:$A$50,0))&amp;""),"UNMAPPED"))</f>
        <v>Onsite</v>
      </c>
      <c r="Q578" s="38" t="n">
        <f aca="false">IF($M578="",0,N(INDEX($A578:$J578,$Q$6)))</f>
        <v>1200</v>
      </c>
      <c r="R578" s="39" t="n">
        <f aca="false">IF($M578="","",INDEX($A578:$J578,$R$6))</f>
        <v>45866</v>
      </c>
      <c r="S578" s="37" t="str">
        <f aca="false">IF($M578="","",IFERROR(INDEX(Settings!$B$27:$B$36,MATCH(L578,Settings!$A$27:$A$36,0))&amp;"","UNMAPPED"))</f>
        <v>Lost</v>
      </c>
      <c r="T578" s="37" t="str">
        <f aca="false">IF($M578="","",IF(NOT(ISNUMBER(R578)),"NO DATE",IF(S578="Won",IF(R578&gt;Settings!$B$5,"Backlog","Delivered"),IF(S578="Open",IF(R578&gt;Settings!$B$5,"Pipeline","Overdue"),IF(S578="Lost","Lost","UNMAPPED")))))</f>
        <v>Lost</v>
      </c>
      <c r="U578" s="40" t="n">
        <f aca="false">IF(T578="Backlog",1,IF(OR(T578="Pipeline",T578="Overdue"),N(INDEX(Settings!$C$27:$C$36,MATCH(L578,Settings!$A$27:$A$36,0))),0))</f>
        <v>0</v>
      </c>
      <c r="V578" s="38" t="n">
        <f aca="false">Q578*U578</f>
        <v>0</v>
      </c>
      <c r="W578" s="41" t="n">
        <f aca="false">IF($M578="","",IF(T578="Overdue",IF(Settings!$B$8="Yes",Settings!$B$7,""),IF(ISNUMBER(R578),DATE(YEAR(R578),MONTH(R578),1),"")))</f>
        <v>45839</v>
      </c>
      <c r="X578" s="38" t="n">
        <f aca="false">IF(AND(OR(T578="Backlog",T578="Pipeline",T578="Overdue"),ISNUMBER(W578)),IF(W578&lt;=Settings!$B$6,V578,0),0)</f>
        <v>0</v>
      </c>
      <c r="Y578" s="38" t="n">
        <f aca="false">IF(AND(OR(T578="Backlog",T578="Pipeline",T578="Overdue"),ISNUMBER(W578)),IF(W578&lt;=Settings!$B$6,Q578,0),0)</f>
        <v>0</v>
      </c>
      <c r="Z578" s="38" t="n">
        <f aca="false">IF(Y578=0,0,IF(T578="Backlog",Q578,Q578*Dashboard!$C$10))</f>
        <v>0</v>
      </c>
      <c r="AA578" s="37" t="n">
        <f aca="false">IF($N578="",0,IF(COUNTIF(Dashboard!$C$13:$C$22,$N578)&gt;0,1,0))</f>
        <v>0</v>
      </c>
      <c r="AB578" s="37" t="str">
        <f aca="false">IF($N578="","",IF(COUNTIF($N$8:$N578,$N578)=1,MAX($AB$7:$AB577)+1,""))</f>
        <v/>
      </c>
    </row>
    <row r="579" customFormat="false" ht="15" hidden="false" customHeight="false" outlineLevel="0" collapsed="false">
      <c r="B579" s="32" t="s">
        <v>1395</v>
      </c>
      <c r="C579" s="32" t="s">
        <v>1396</v>
      </c>
      <c r="D579" s="35" t="n">
        <v>41530</v>
      </c>
      <c r="E579" s="32" t="s">
        <v>173</v>
      </c>
      <c r="F579" s="36" t="n">
        <v>46113</v>
      </c>
      <c r="G579" s="32" t="s">
        <v>1397</v>
      </c>
      <c r="L579" s="37" t="str">
        <f aca="false">IF(INDEX($A579:$J579,$L$6)&lt;&gt;"",TRIM(LEFT(INDEX($A579:$J579,$L$6),FIND("(",INDEX($A579:$J579,$L$6)&amp;"(")-1)),L578)</f>
        <v>Closed Lost</v>
      </c>
      <c r="M579" s="37" t="str">
        <f aca="false">IF(INDEX($A579:$J579,$M$6)="","",INDEX($A579:$J579,$M$6)&amp;"")</f>
        <v>System Uplift (100 Harris) - 26012302</v>
      </c>
      <c r="N579" s="37" t="str">
        <f aca="false">IF($M579="","",TRIM(INDEX($A579:$J579,$N$6)&amp;""))</f>
        <v>Attcorp</v>
      </c>
      <c r="O579" s="37" t="str">
        <f aca="false">IF($M579="","",TRIM(INDEX($A579:$J579,$O$6)&amp;""))</f>
        <v>Consulting</v>
      </c>
      <c r="P579" s="37" t="str">
        <f aca="false">IF($M579="","",IFERROR(IF(INDEX(Settings!$B$41:$B$50,MATCH(O579,Settings!$A$41:$A$50,0))&amp;""="","UNMAPPED",INDEX(Settings!$B$41:$B$50,MATCH(O579,Settings!$A$41:$A$50,0))&amp;""),"UNMAPPED"))</f>
        <v>Consulting</v>
      </c>
      <c r="Q579" s="38" t="n">
        <f aca="false">IF($M579="",0,N(INDEX($A579:$J579,$Q$6)))</f>
        <v>41530</v>
      </c>
      <c r="R579" s="39" t="n">
        <f aca="false">IF($M579="","",INDEX($A579:$J579,$R$6))</f>
        <v>46113</v>
      </c>
      <c r="S579" s="37" t="str">
        <f aca="false">IF($M579="","",IFERROR(INDEX(Settings!$B$27:$B$36,MATCH(L579,Settings!$A$27:$A$36,0))&amp;"","UNMAPPED"))</f>
        <v>Lost</v>
      </c>
      <c r="T579" s="37" t="str">
        <f aca="false">IF($M579="","",IF(NOT(ISNUMBER(R579)),"NO DATE",IF(S579="Won",IF(R579&gt;Settings!$B$5,"Backlog","Delivered"),IF(S579="Open",IF(R579&gt;Settings!$B$5,"Pipeline","Overdue"),IF(S579="Lost","Lost","UNMAPPED")))))</f>
        <v>Lost</v>
      </c>
      <c r="U579" s="40" t="n">
        <f aca="false">IF(T579="Backlog",1,IF(OR(T579="Pipeline",T579="Overdue"),N(INDEX(Settings!$C$27:$C$36,MATCH(L579,Settings!$A$27:$A$36,0))),0))</f>
        <v>0</v>
      </c>
      <c r="V579" s="38" t="n">
        <f aca="false">Q579*U579</f>
        <v>0</v>
      </c>
      <c r="W579" s="41" t="n">
        <f aca="false">IF($M579="","",IF(T579="Overdue",IF(Settings!$B$8="Yes",Settings!$B$7,""),IF(ISNUMBER(R579),DATE(YEAR(R579),MONTH(R579),1),"")))</f>
        <v>46113</v>
      </c>
      <c r="X579" s="38" t="n">
        <f aca="false">IF(AND(OR(T579="Backlog",T579="Pipeline",T579="Overdue"),ISNUMBER(W579)),IF(W579&lt;=Settings!$B$6,V579,0),0)</f>
        <v>0</v>
      </c>
      <c r="Y579" s="38" t="n">
        <f aca="false">IF(AND(OR(T579="Backlog",T579="Pipeline",T579="Overdue"),ISNUMBER(W579)),IF(W579&lt;=Settings!$B$6,Q579,0),0)</f>
        <v>0</v>
      </c>
      <c r="Z579" s="38" t="n">
        <f aca="false">IF(Y579=0,0,IF(T579="Backlog",Q579,Q579*Dashboard!$C$10))</f>
        <v>0</v>
      </c>
      <c r="AA579" s="37" t="n">
        <f aca="false">IF($N579="",0,IF(COUNTIF(Dashboard!$C$13:$C$22,$N579)&gt;0,1,0))</f>
        <v>0</v>
      </c>
      <c r="AB579" s="37" t="n">
        <f aca="false">IF($N579="","",IF(COUNTIF($N$8:$N579,$N579)=1,MAX($AB$7:$AB578)+1,""))</f>
        <v>114</v>
      </c>
    </row>
    <row r="580" customFormat="false" ht="15" hidden="false" customHeight="false" outlineLevel="0" collapsed="false">
      <c r="B580" s="32" t="s">
        <v>1398</v>
      </c>
      <c r="C580" s="32" t="s">
        <v>1314</v>
      </c>
      <c r="D580" s="35" t="n">
        <v>15525</v>
      </c>
      <c r="E580" s="32" t="s">
        <v>145</v>
      </c>
      <c r="F580" s="36" t="n">
        <v>46141</v>
      </c>
      <c r="G580" s="32" t="s">
        <v>1399</v>
      </c>
      <c r="L580" s="37" t="str">
        <f aca="false">IF(INDEX($A580:$J580,$L$6)&lt;&gt;"",TRIM(LEFT(INDEX($A580:$J580,$L$6),FIND("(",INDEX($A580:$J580,$L$6)&amp;"(")-1)),L579)</f>
        <v>Closed Lost</v>
      </c>
      <c r="M580" s="37" t="str">
        <f aca="false">IF(INDEX($A580:$J580,$M$6)="","",INDEX($A580:$J580,$M$6)&amp;"")</f>
        <v>Law Partners - Q3 Meeting - 29.5.2026</v>
      </c>
      <c r="N580" s="37" t="str">
        <f aca="false">IF($M580="","",TRIM(INDEX($A580:$J580,$N$6)&amp;""))</f>
        <v>Law Partners</v>
      </c>
      <c r="O580" s="37" t="str">
        <f aca="false">IF($M580="","",TRIM(INDEX($A580:$J580,$O$6)&amp;""))</f>
        <v>Event Production</v>
      </c>
      <c r="P580" s="37" t="str">
        <f aca="false">IF($M580="","",IFERROR(IF(INDEX(Settings!$B$41:$B$50,MATCH(O580,Settings!$A$41:$A$50,0))&amp;""="","UNMAPPED",INDEX(Settings!$B$41:$B$50,MATCH(O580,Settings!$A$41:$A$50,0))&amp;""),"UNMAPPED"))</f>
        <v>Production</v>
      </c>
      <c r="Q580" s="38" t="n">
        <f aca="false">IF($M580="",0,N(INDEX($A580:$J580,$Q$6)))</f>
        <v>15525</v>
      </c>
      <c r="R580" s="39" t="n">
        <f aca="false">IF($M580="","",INDEX($A580:$J580,$R$6))</f>
        <v>46141</v>
      </c>
      <c r="S580" s="37" t="str">
        <f aca="false">IF($M580="","",IFERROR(INDEX(Settings!$B$27:$B$36,MATCH(L580,Settings!$A$27:$A$36,0))&amp;"","UNMAPPED"))</f>
        <v>Lost</v>
      </c>
      <c r="T580" s="37" t="str">
        <f aca="false">IF($M580="","",IF(NOT(ISNUMBER(R580)),"NO DATE",IF(S580="Won",IF(R580&gt;Settings!$B$5,"Backlog","Delivered"),IF(S580="Open",IF(R580&gt;Settings!$B$5,"Pipeline","Overdue"),IF(S580="Lost","Lost","UNMAPPED")))))</f>
        <v>Lost</v>
      </c>
      <c r="U580" s="40" t="n">
        <f aca="false">IF(T580="Backlog",1,IF(OR(T580="Pipeline",T580="Overdue"),N(INDEX(Settings!$C$27:$C$36,MATCH(L580,Settings!$A$27:$A$36,0))),0))</f>
        <v>0</v>
      </c>
      <c r="V580" s="38" t="n">
        <f aca="false">Q580*U580</f>
        <v>0</v>
      </c>
      <c r="W580" s="41" t="n">
        <f aca="false">IF($M580="","",IF(T580="Overdue",IF(Settings!$B$8="Yes",Settings!$B$7,""),IF(ISNUMBER(R580),DATE(YEAR(R580),MONTH(R580),1),"")))</f>
        <v>46113</v>
      </c>
      <c r="X580" s="38" t="n">
        <f aca="false">IF(AND(OR(T580="Backlog",T580="Pipeline",T580="Overdue"),ISNUMBER(W580)),IF(W580&lt;=Settings!$B$6,V580,0),0)</f>
        <v>0</v>
      </c>
      <c r="Y580" s="38" t="n">
        <f aca="false">IF(AND(OR(T580="Backlog",T580="Pipeline",T580="Overdue"),ISNUMBER(W580)),IF(W580&lt;=Settings!$B$6,Q580,0),0)</f>
        <v>0</v>
      </c>
      <c r="Z580" s="38" t="n">
        <f aca="false">IF(Y580=0,0,IF(T580="Backlog",Q580,Q580*Dashboard!$C$10))</f>
        <v>0</v>
      </c>
      <c r="AA580" s="37" t="n">
        <f aca="false">IF($N580="",0,IF(COUNTIF(Dashboard!$C$13:$C$22,$N580)&gt;0,1,0))</f>
        <v>0</v>
      </c>
      <c r="AB580" s="37" t="str">
        <f aca="false">IF($N580="","",IF(COUNTIF($N$8:$N580,$N580)=1,MAX($AB$7:$AB579)+1,""))</f>
        <v/>
      </c>
    </row>
    <row r="581" customFormat="false" ht="15" hidden="false" customHeight="false" outlineLevel="0" collapsed="false">
      <c r="B581" s="32" t="s">
        <v>1400</v>
      </c>
      <c r="C581" s="32" t="s">
        <v>160</v>
      </c>
      <c r="D581" s="35" t="n">
        <v>380</v>
      </c>
      <c r="E581" s="32" t="s">
        <v>145</v>
      </c>
      <c r="F581" s="36" t="n">
        <v>46210</v>
      </c>
      <c r="G581" s="32" t="s">
        <v>1401</v>
      </c>
      <c r="L581" s="37" t="str">
        <f aca="false">IF(INDEX($A581:$J581,$L$6)&lt;&gt;"",TRIM(LEFT(INDEX($A581:$J581,$L$6),FIND("(",INDEX($A581:$J581,$L$6)&amp;"(")-1)),L580)</f>
        <v>Closed Lost</v>
      </c>
      <c r="M581" s="37" t="str">
        <f aca="false">IF(INDEX($A581:$J581,$M$6)="","",INDEX($A581:$J581,$M$6)&amp;"")</f>
        <v>Elkiem - Studio Support - 9.7.26</v>
      </c>
      <c r="N581" s="37" t="str">
        <f aca="false">IF($M581="","",TRIM(INDEX($A581:$J581,$N$6)&amp;""))</f>
        <v>Elkiem</v>
      </c>
      <c r="O581" s="37" t="str">
        <f aca="false">IF($M581="","",TRIM(INDEX($A581:$J581,$O$6)&amp;""))</f>
        <v>Event Production</v>
      </c>
      <c r="P581" s="37" t="str">
        <f aca="false">IF($M581="","",IFERROR(IF(INDEX(Settings!$B$41:$B$50,MATCH(O581,Settings!$A$41:$A$50,0))&amp;""="","UNMAPPED",INDEX(Settings!$B$41:$B$50,MATCH(O581,Settings!$A$41:$A$50,0))&amp;""),"UNMAPPED"))</f>
        <v>Production</v>
      </c>
      <c r="Q581" s="38" t="n">
        <f aca="false">IF($M581="",0,N(INDEX($A581:$J581,$Q$6)))</f>
        <v>380</v>
      </c>
      <c r="R581" s="39" t="n">
        <f aca="false">IF($M581="","",INDEX($A581:$J581,$R$6))</f>
        <v>46210</v>
      </c>
      <c r="S581" s="37" t="str">
        <f aca="false">IF($M581="","",IFERROR(INDEX(Settings!$B$27:$B$36,MATCH(L581,Settings!$A$27:$A$36,0))&amp;"","UNMAPPED"))</f>
        <v>Lost</v>
      </c>
      <c r="T581" s="37" t="str">
        <f aca="false">IF($M581="","",IF(NOT(ISNUMBER(R581)),"NO DATE",IF(S581="Won",IF(R581&gt;Settings!$B$5,"Backlog","Delivered"),IF(S581="Open",IF(R581&gt;Settings!$B$5,"Pipeline","Overdue"),IF(S581="Lost","Lost","UNMAPPED")))))</f>
        <v>Lost</v>
      </c>
      <c r="U581" s="40" t="n">
        <f aca="false">IF(T581="Backlog",1,IF(OR(T581="Pipeline",T581="Overdue"),N(INDEX(Settings!$C$27:$C$36,MATCH(L581,Settings!$A$27:$A$36,0))),0))</f>
        <v>0</v>
      </c>
      <c r="V581" s="38" t="n">
        <f aca="false">Q581*U581</f>
        <v>0</v>
      </c>
      <c r="W581" s="41" t="n">
        <f aca="false">IF($M581="","",IF(T581="Overdue",IF(Settings!$B$8="Yes",Settings!$B$7,""),IF(ISNUMBER(R581),DATE(YEAR(R581),MONTH(R581),1),"")))</f>
        <v>46204</v>
      </c>
      <c r="X581" s="38" t="n">
        <f aca="false">IF(AND(OR(T581="Backlog",T581="Pipeline",T581="Overdue"),ISNUMBER(W581)),IF(W581&lt;=Settings!$B$6,V581,0),0)</f>
        <v>0</v>
      </c>
      <c r="Y581" s="38" t="n">
        <f aca="false">IF(AND(OR(T581="Backlog",T581="Pipeline",T581="Overdue"),ISNUMBER(W581)),IF(W581&lt;=Settings!$B$6,Q581,0),0)</f>
        <v>0</v>
      </c>
      <c r="Z581" s="38" t="n">
        <f aca="false">IF(Y581=0,0,IF(T581="Backlog",Q581,Q581*Dashboard!$C$10))</f>
        <v>0</v>
      </c>
      <c r="AA581" s="37" t="n">
        <f aca="false">IF($N581="",0,IF(COUNTIF(Dashboard!$C$13:$C$22,$N581)&gt;0,1,0))</f>
        <v>0</v>
      </c>
      <c r="AB581" s="37" t="str">
        <f aca="false">IF($N581="","",IF(COUNTIF($N$8:$N581,$N581)=1,MAX($AB$7:$AB580)+1,""))</f>
        <v/>
      </c>
    </row>
    <row r="582" customFormat="false" ht="15" hidden="false" customHeight="false" outlineLevel="0" collapsed="false">
      <c r="B582" s="32" t="s">
        <v>1402</v>
      </c>
      <c r="C582" s="32" t="s">
        <v>1403</v>
      </c>
      <c r="D582" s="35" t="n">
        <v>9071</v>
      </c>
      <c r="E582" s="32" t="s">
        <v>208</v>
      </c>
      <c r="F582" s="36" t="n">
        <v>46309</v>
      </c>
      <c r="G582" s="32" t="s">
        <v>1404</v>
      </c>
      <c r="L582" s="37" t="str">
        <f aca="false">IF(INDEX($A582:$J582,$L$6)&lt;&gt;"",TRIM(LEFT(INDEX($A582:$J582,$L$6),FIND("(",INDEX($A582:$J582,$L$6)&amp;"(")-1)),L581)</f>
        <v>Closed Lost</v>
      </c>
      <c r="M582" s="37" t="str">
        <f aca="false">IF(INDEX($A582:$J582,$M$6)="","",INDEX($A582:$J582,$M$6)&amp;"")</f>
        <v>Ingenia Site Promotional Video</v>
      </c>
      <c r="N582" s="37" t="str">
        <f aca="false">IF($M582="","",TRIM(INDEX($A582:$J582,$N$6)&amp;""))</f>
        <v>Ingenia Communities Group</v>
      </c>
      <c r="O582" s="37" t="str">
        <f aca="false">IF($M582="","",TRIM(INDEX($A582:$J582,$O$6)&amp;""))</f>
        <v>Video Production</v>
      </c>
      <c r="P582" s="37" t="str">
        <f aca="false">IF($M582="","",IFERROR(IF(INDEX(Settings!$B$41:$B$50,MATCH(O582,Settings!$A$41:$A$50,0))&amp;""="","UNMAPPED",INDEX(Settings!$B$41:$B$50,MATCH(O582,Settings!$A$41:$A$50,0))&amp;""),"UNMAPPED"))</f>
        <v>Video</v>
      </c>
      <c r="Q582" s="38" t="n">
        <f aca="false">IF($M582="",0,N(INDEX($A582:$J582,$Q$6)))</f>
        <v>9071</v>
      </c>
      <c r="R582" s="39" t="n">
        <f aca="false">IF($M582="","",INDEX($A582:$J582,$R$6))</f>
        <v>46309</v>
      </c>
      <c r="S582" s="37" t="str">
        <f aca="false">IF($M582="","",IFERROR(INDEX(Settings!$B$27:$B$36,MATCH(L582,Settings!$A$27:$A$36,0))&amp;"","UNMAPPED"))</f>
        <v>Lost</v>
      </c>
      <c r="T582" s="37" t="str">
        <f aca="false">IF($M582="","",IF(NOT(ISNUMBER(R582)),"NO DATE",IF(S582="Won",IF(R582&gt;Settings!$B$5,"Backlog","Delivered"),IF(S582="Open",IF(R582&gt;Settings!$B$5,"Pipeline","Overdue"),IF(S582="Lost","Lost","UNMAPPED")))))</f>
        <v>Lost</v>
      </c>
      <c r="U582" s="40" t="n">
        <f aca="false">IF(T582="Backlog",1,IF(OR(T582="Pipeline",T582="Overdue"),N(INDEX(Settings!$C$27:$C$36,MATCH(L582,Settings!$A$27:$A$36,0))),0))</f>
        <v>0</v>
      </c>
      <c r="V582" s="38" t="n">
        <f aca="false">Q582*U582</f>
        <v>0</v>
      </c>
      <c r="W582" s="41" t="n">
        <f aca="false">IF($M582="","",IF(T582="Overdue",IF(Settings!$B$8="Yes",Settings!$B$7,""),IF(ISNUMBER(R582),DATE(YEAR(R582),MONTH(R582),1),"")))</f>
        <v>46296</v>
      </c>
      <c r="X582" s="38" t="n">
        <f aca="false">IF(AND(OR(T582="Backlog",T582="Pipeline",T582="Overdue"),ISNUMBER(W582)),IF(W582&lt;=Settings!$B$6,V582,0),0)</f>
        <v>0</v>
      </c>
      <c r="Y582" s="38" t="n">
        <f aca="false">IF(AND(OR(T582="Backlog",T582="Pipeline",T582="Overdue"),ISNUMBER(W582)),IF(W582&lt;=Settings!$B$6,Q582,0),0)</f>
        <v>0</v>
      </c>
      <c r="Z582" s="38" t="n">
        <f aca="false">IF(Y582=0,0,IF(T582="Backlog",Q582,Q582*Dashboard!$C$10))</f>
        <v>0</v>
      </c>
      <c r="AA582" s="37" t="n">
        <f aca="false">IF($N582="",0,IF(COUNTIF(Dashboard!$C$13:$C$22,$N582)&gt;0,1,0))</f>
        <v>0</v>
      </c>
      <c r="AB582" s="37" t="n">
        <f aca="false">IF($N582="","",IF(COUNTIF($N$8:$N582,$N582)=1,MAX($AB$7:$AB581)+1,""))</f>
        <v>115</v>
      </c>
    </row>
    <row r="583" customFormat="false" ht="15" hidden="false" customHeight="false" outlineLevel="0" collapsed="false">
      <c r="B583" s="32" t="s">
        <v>1405</v>
      </c>
      <c r="C583" s="32" t="s">
        <v>535</v>
      </c>
      <c r="D583" s="35" t="n">
        <v>100000</v>
      </c>
      <c r="E583" s="32" t="s">
        <v>145</v>
      </c>
      <c r="F583" s="36" t="n">
        <v>46143</v>
      </c>
      <c r="G583" s="32" t="s">
        <v>1406</v>
      </c>
      <c r="L583" s="37" t="str">
        <f aca="false">IF(INDEX($A583:$J583,$L$6)&lt;&gt;"",TRIM(LEFT(INDEX($A583:$J583,$L$6),FIND("(",INDEX($A583:$J583,$L$6)&amp;"(")-1)),L582)</f>
        <v>Closed Lost</v>
      </c>
      <c r="M583" s="37" t="str">
        <f aca="false">IF(INDEX($A583:$J583,$M$6)="","",INDEX($A583:$J583,$M$6)&amp;"")</f>
        <v>CoS - Live Events Tender 2026</v>
      </c>
      <c r="N583" s="37" t="str">
        <f aca="false">IF($M583="","",TRIM(INDEX($A583:$J583,$N$6)&amp;""))</f>
        <v>City of Sydney</v>
      </c>
      <c r="O583" s="37" t="str">
        <f aca="false">IF($M583="","",TRIM(INDEX($A583:$J583,$O$6)&amp;""))</f>
        <v>Event Production</v>
      </c>
      <c r="P583" s="37" t="str">
        <f aca="false">IF($M583="","",IFERROR(IF(INDEX(Settings!$B$41:$B$50,MATCH(O583,Settings!$A$41:$A$50,0))&amp;""="","UNMAPPED",INDEX(Settings!$B$41:$B$50,MATCH(O583,Settings!$A$41:$A$50,0))&amp;""),"UNMAPPED"))</f>
        <v>Production</v>
      </c>
      <c r="Q583" s="38" t="n">
        <f aca="false">IF($M583="",0,N(INDEX($A583:$J583,$Q$6)))</f>
        <v>100000</v>
      </c>
      <c r="R583" s="39" t="n">
        <f aca="false">IF($M583="","",INDEX($A583:$J583,$R$6))</f>
        <v>46143</v>
      </c>
      <c r="S583" s="37" t="str">
        <f aca="false">IF($M583="","",IFERROR(INDEX(Settings!$B$27:$B$36,MATCH(L583,Settings!$A$27:$A$36,0))&amp;"","UNMAPPED"))</f>
        <v>Lost</v>
      </c>
      <c r="T583" s="37" t="str">
        <f aca="false">IF($M583="","",IF(NOT(ISNUMBER(R583)),"NO DATE",IF(S583="Won",IF(R583&gt;Settings!$B$5,"Backlog","Delivered"),IF(S583="Open",IF(R583&gt;Settings!$B$5,"Pipeline","Overdue"),IF(S583="Lost","Lost","UNMAPPED")))))</f>
        <v>Lost</v>
      </c>
      <c r="U583" s="40" t="n">
        <f aca="false">IF(T583="Backlog",1,IF(OR(T583="Pipeline",T583="Overdue"),N(INDEX(Settings!$C$27:$C$36,MATCH(L583,Settings!$A$27:$A$36,0))),0))</f>
        <v>0</v>
      </c>
      <c r="V583" s="38" t="n">
        <f aca="false">Q583*U583</f>
        <v>0</v>
      </c>
      <c r="W583" s="41" t="n">
        <f aca="false">IF($M583="","",IF(T583="Overdue",IF(Settings!$B$8="Yes",Settings!$B$7,""),IF(ISNUMBER(R583),DATE(YEAR(R583),MONTH(R583),1),"")))</f>
        <v>46143</v>
      </c>
      <c r="X583" s="38" t="n">
        <f aca="false">IF(AND(OR(T583="Backlog",T583="Pipeline",T583="Overdue"),ISNUMBER(W583)),IF(W583&lt;=Settings!$B$6,V583,0),0)</f>
        <v>0</v>
      </c>
      <c r="Y583" s="38" t="n">
        <f aca="false">IF(AND(OR(T583="Backlog",T583="Pipeline",T583="Overdue"),ISNUMBER(W583)),IF(W583&lt;=Settings!$B$6,Q583,0),0)</f>
        <v>0</v>
      </c>
      <c r="Z583" s="38" t="n">
        <f aca="false">IF(Y583=0,0,IF(T583="Backlog",Q583,Q583*Dashboard!$C$10))</f>
        <v>0</v>
      </c>
      <c r="AA583" s="37" t="n">
        <f aca="false">IF($N583="",0,IF(COUNTIF(Dashboard!$C$13:$C$22,$N583)&gt;0,1,0))</f>
        <v>0</v>
      </c>
      <c r="AB583" s="37" t="str">
        <f aca="false">IF($N583="","",IF(COUNTIF($N$8:$N583,$N583)=1,MAX($AB$7:$AB582)+1,""))</f>
        <v/>
      </c>
    </row>
    <row r="584" customFormat="false" ht="15" hidden="false" customHeight="false" outlineLevel="0" collapsed="false">
      <c r="B584" s="32" t="s">
        <v>1407</v>
      </c>
      <c r="C584" s="32" t="s">
        <v>160</v>
      </c>
      <c r="D584" s="35" t="n">
        <v>380</v>
      </c>
      <c r="E584" s="32" t="s">
        <v>145</v>
      </c>
      <c r="F584" s="36" t="n">
        <v>46221</v>
      </c>
      <c r="G584" s="32" t="s">
        <v>1408</v>
      </c>
      <c r="L584" s="37" t="str">
        <f aca="false">IF(INDEX($A584:$J584,$L$6)&lt;&gt;"",TRIM(LEFT(INDEX($A584:$J584,$L$6),FIND("(",INDEX($A584:$J584,$L$6)&amp;"(")-1)),L583)</f>
        <v>Closed Lost</v>
      </c>
      <c r="M584" s="37" t="str">
        <f aca="false">IF(INDEX($A584:$J584,$M$6)="","",INDEX($A584:$J584,$M$6)&amp;"")</f>
        <v>Elkiem - Studio Support - 28.7.26</v>
      </c>
      <c r="N584" s="37" t="str">
        <f aca="false">IF($M584="","",TRIM(INDEX($A584:$J584,$N$6)&amp;""))</f>
        <v>Elkiem</v>
      </c>
      <c r="O584" s="37" t="str">
        <f aca="false">IF($M584="","",TRIM(INDEX($A584:$J584,$O$6)&amp;""))</f>
        <v>Event Production</v>
      </c>
      <c r="P584" s="37" t="str">
        <f aca="false">IF($M584="","",IFERROR(IF(INDEX(Settings!$B$41:$B$50,MATCH(O584,Settings!$A$41:$A$50,0))&amp;""="","UNMAPPED",INDEX(Settings!$B$41:$B$50,MATCH(O584,Settings!$A$41:$A$50,0))&amp;""),"UNMAPPED"))</f>
        <v>Production</v>
      </c>
      <c r="Q584" s="38" t="n">
        <f aca="false">IF($M584="",0,N(INDEX($A584:$J584,$Q$6)))</f>
        <v>380</v>
      </c>
      <c r="R584" s="39" t="n">
        <f aca="false">IF($M584="","",INDEX($A584:$J584,$R$6))</f>
        <v>46221</v>
      </c>
      <c r="S584" s="37" t="str">
        <f aca="false">IF($M584="","",IFERROR(INDEX(Settings!$B$27:$B$36,MATCH(L584,Settings!$A$27:$A$36,0))&amp;"","UNMAPPED"))</f>
        <v>Lost</v>
      </c>
      <c r="T584" s="37" t="str">
        <f aca="false">IF($M584="","",IF(NOT(ISNUMBER(R584)),"NO DATE",IF(S584="Won",IF(R584&gt;Settings!$B$5,"Backlog","Delivered"),IF(S584="Open",IF(R584&gt;Settings!$B$5,"Pipeline","Overdue"),IF(S584="Lost","Lost","UNMAPPED")))))</f>
        <v>Lost</v>
      </c>
      <c r="U584" s="40" t="n">
        <f aca="false">IF(T584="Backlog",1,IF(OR(T584="Pipeline",T584="Overdue"),N(INDEX(Settings!$C$27:$C$36,MATCH(L584,Settings!$A$27:$A$36,0))),0))</f>
        <v>0</v>
      </c>
      <c r="V584" s="38" t="n">
        <f aca="false">Q584*U584</f>
        <v>0</v>
      </c>
      <c r="W584" s="41" t="n">
        <f aca="false">IF($M584="","",IF(T584="Overdue",IF(Settings!$B$8="Yes",Settings!$B$7,""),IF(ISNUMBER(R584),DATE(YEAR(R584),MONTH(R584),1),"")))</f>
        <v>46204</v>
      </c>
      <c r="X584" s="38" t="n">
        <f aca="false">IF(AND(OR(T584="Backlog",T584="Pipeline",T584="Overdue"),ISNUMBER(W584)),IF(W584&lt;=Settings!$B$6,V584,0),0)</f>
        <v>0</v>
      </c>
      <c r="Y584" s="38" t="n">
        <f aca="false">IF(AND(OR(T584="Backlog",T584="Pipeline",T584="Overdue"),ISNUMBER(W584)),IF(W584&lt;=Settings!$B$6,Q584,0),0)</f>
        <v>0</v>
      </c>
      <c r="Z584" s="38" t="n">
        <f aca="false">IF(Y584=0,0,IF(T584="Backlog",Q584,Q584*Dashboard!$C$10))</f>
        <v>0</v>
      </c>
      <c r="AA584" s="37" t="n">
        <f aca="false">IF($N584="",0,IF(COUNTIF(Dashboard!$C$13:$C$22,$N584)&gt;0,1,0))</f>
        <v>0</v>
      </c>
      <c r="AB584" s="37" t="str">
        <f aca="false">IF($N584="","",IF(COUNTIF($N$8:$N584,$N584)=1,MAX($AB$7:$AB583)+1,""))</f>
        <v/>
      </c>
    </row>
    <row r="585" customFormat="false" ht="15" hidden="false" customHeight="false" outlineLevel="0" collapsed="false">
      <c r="B585" s="32" t="s">
        <v>1409</v>
      </c>
      <c r="C585" s="32" t="s">
        <v>194</v>
      </c>
      <c r="D585" s="35" t="n">
        <v>6964</v>
      </c>
      <c r="E585" s="32" t="s">
        <v>145</v>
      </c>
      <c r="F585" s="36" t="n">
        <v>46150</v>
      </c>
      <c r="G585" s="32" t="s">
        <v>1410</v>
      </c>
      <c r="L585" s="37" t="str">
        <f aca="false">IF(INDEX($A585:$J585,$L$6)&lt;&gt;"",TRIM(LEFT(INDEX($A585:$J585,$L$6),FIND("(",INDEX($A585:$J585,$L$6)&amp;"(")-1)),L584)</f>
        <v>Closed Lost</v>
      </c>
      <c r="M585" s="37" t="str">
        <f aca="false">IF(INDEX($A585:$J585,$M$6)="","",INDEX($A585:$J585,$M$6)&amp;"")</f>
        <v>Ventia (MEL) - Town Hall Event - 8.5.26</v>
      </c>
      <c r="N585" s="37" t="str">
        <f aca="false">IF($M585="","",TRIM(INDEX($A585:$J585,$N$6)&amp;""))</f>
        <v>Ventia</v>
      </c>
      <c r="O585" s="37" t="str">
        <f aca="false">IF($M585="","",TRIM(INDEX($A585:$J585,$O$6)&amp;""))</f>
        <v>Event Production</v>
      </c>
      <c r="P585" s="37" t="str">
        <f aca="false">IF($M585="","",IFERROR(IF(INDEX(Settings!$B$41:$B$50,MATCH(O585,Settings!$A$41:$A$50,0))&amp;""="","UNMAPPED",INDEX(Settings!$B$41:$B$50,MATCH(O585,Settings!$A$41:$A$50,0))&amp;""),"UNMAPPED"))</f>
        <v>Production</v>
      </c>
      <c r="Q585" s="38" t="n">
        <f aca="false">IF($M585="",0,N(INDEX($A585:$J585,$Q$6)))</f>
        <v>6964</v>
      </c>
      <c r="R585" s="39" t="n">
        <f aca="false">IF($M585="","",INDEX($A585:$J585,$R$6))</f>
        <v>46150</v>
      </c>
      <c r="S585" s="37" t="str">
        <f aca="false">IF($M585="","",IFERROR(INDEX(Settings!$B$27:$B$36,MATCH(L585,Settings!$A$27:$A$36,0))&amp;"","UNMAPPED"))</f>
        <v>Lost</v>
      </c>
      <c r="T585" s="37" t="str">
        <f aca="false">IF($M585="","",IF(NOT(ISNUMBER(R585)),"NO DATE",IF(S585="Won",IF(R585&gt;Settings!$B$5,"Backlog","Delivered"),IF(S585="Open",IF(R585&gt;Settings!$B$5,"Pipeline","Overdue"),IF(S585="Lost","Lost","UNMAPPED")))))</f>
        <v>Lost</v>
      </c>
      <c r="U585" s="40" t="n">
        <f aca="false">IF(T585="Backlog",1,IF(OR(T585="Pipeline",T585="Overdue"),N(INDEX(Settings!$C$27:$C$36,MATCH(L585,Settings!$A$27:$A$36,0))),0))</f>
        <v>0</v>
      </c>
      <c r="V585" s="38" t="n">
        <f aca="false">Q585*U585</f>
        <v>0</v>
      </c>
      <c r="W585" s="41" t="n">
        <f aca="false">IF($M585="","",IF(T585="Overdue",IF(Settings!$B$8="Yes",Settings!$B$7,""),IF(ISNUMBER(R585),DATE(YEAR(R585),MONTH(R585),1),"")))</f>
        <v>46143</v>
      </c>
      <c r="X585" s="38" t="n">
        <f aca="false">IF(AND(OR(T585="Backlog",T585="Pipeline",T585="Overdue"),ISNUMBER(W585)),IF(W585&lt;=Settings!$B$6,V585,0),0)</f>
        <v>0</v>
      </c>
      <c r="Y585" s="38" t="n">
        <f aca="false">IF(AND(OR(T585="Backlog",T585="Pipeline",T585="Overdue"),ISNUMBER(W585)),IF(W585&lt;=Settings!$B$6,Q585,0),0)</f>
        <v>0</v>
      </c>
      <c r="Z585" s="38" t="n">
        <f aca="false">IF(Y585=0,0,IF(T585="Backlog",Q585,Q585*Dashboard!$C$10))</f>
        <v>0</v>
      </c>
      <c r="AA585" s="37" t="n">
        <f aca="false">IF($N585="",0,IF(COUNTIF(Dashboard!$C$13:$C$22,$N585)&gt;0,1,0))</f>
        <v>0</v>
      </c>
      <c r="AB585" s="37" t="str">
        <f aca="false">IF($N585="","",IF(COUNTIF($N$8:$N585,$N585)=1,MAX($AB$7:$AB584)+1,""))</f>
        <v/>
      </c>
    </row>
    <row r="586" customFormat="false" ht="15" hidden="false" customHeight="false" outlineLevel="0" collapsed="false">
      <c r="B586" s="32" t="s">
        <v>1411</v>
      </c>
      <c r="C586" s="32" t="s">
        <v>140</v>
      </c>
      <c r="D586" s="35" t="n">
        <v>1426</v>
      </c>
      <c r="E586" s="32" t="s">
        <v>141</v>
      </c>
      <c r="F586" s="36" t="n">
        <v>46275</v>
      </c>
      <c r="G586" s="32" t="s">
        <v>1412</v>
      </c>
      <c r="L586" s="37" t="str">
        <f aca="false">IF(INDEX($A586:$J586,$L$6)&lt;&gt;"",TRIM(LEFT(INDEX($A586:$J586,$L$6),FIND("(",INDEX($A586:$J586,$L$6)&amp;"(")-1)),L585)</f>
        <v>Closed Lost</v>
      </c>
      <c r="M586" s="37" t="str">
        <f aca="false">IF(INDEX($A586:$J586,$M$6)="","",INDEX($A586:$J586,$M$6)&amp;"")</f>
        <v>Perth Display Decommissioning</v>
      </c>
      <c r="N586" s="37" t="str">
        <f aca="false">IF($M586="","",TRIM(INDEX($A586:$J586,$N$6)&amp;""))</f>
        <v>Deloitte Australia</v>
      </c>
      <c r="O586" s="37" t="str">
        <f aca="false">IF($M586="","",TRIM(INDEX($A586:$J586,$O$6)&amp;""))</f>
        <v>Integration</v>
      </c>
      <c r="P586" s="37" t="str">
        <f aca="false">IF($M586="","",IFERROR(IF(INDEX(Settings!$B$41:$B$50,MATCH(O586,Settings!$A$41:$A$50,0))&amp;""="","UNMAPPED",INDEX(Settings!$B$41:$B$50,MATCH(O586,Settings!$A$41:$A$50,0))&amp;""),"UNMAPPED"))</f>
        <v>Integration</v>
      </c>
      <c r="Q586" s="38" t="n">
        <f aca="false">IF($M586="",0,N(INDEX($A586:$J586,$Q$6)))</f>
        <v>1426</v>
      </c>
      <c r="R586" s="39" t="n">
        <f aca="false">IF($M586="","",INDEX($A586:$J586,$R$6))</f>
        <v>46275</v>
      </c>
      <c r="S586" s="37" t="str">
        <f aca="false">IF($M586="","",IFERROR(INDEX(Settings!$B$27:$B$36,MATCH(L586,Settings!$A$27:$A$36,0))&amp;"","UNMAPPED"))</f>
        <v>Lost</v>
      </c>
      <c r="T586" s="37" t="str">
        <f aca="false">IF($M586="","",IF(NOT(ISNUMBER(R586)),"NO DATE",IF(S586="Won",IF(R586&gt;Settings!$B$5,"Backlog","Delivered"),IF(S586="Open",IF(R586&gt;Settings!$B$5,"Pipeline","Overdue"),IF(S586="Lost","Lost","UNMAPPED")))))</f>
        <v>Lost</v>
      </c>
      <c r="U586" s="40" t="n">
        <f aca="false">IF(T586="Backlog",1,IF(OR(T586="Pipeline",T586="Overdue"),N(INDEX(Settings!$C$27:$C$36,MATCH(L586,Settings!$A$27:$A$36,0))),0))</f>
        <v>0</v>
      </c>
      <c r="V586" s="38" t="n">
        <f aca="false">Q586*U586</f>
        <v>0</v>
      </c>
      <c r="W586" s="41" t="n">
        <f aca="false">IF($M586="","",IF(T586="Overdue",IF(Settings!$B$8="Yes",Settings!$B$7,""),IF(ISNUMBER(R586),DATE(YEAR(R586),MONTH(R586),1),"")))</f>
        <v>46266</v>
      </c>
      <c r="X586" s="38" t="n">
        <f aca="false">IF(AND(OR(T586="Backlog",T586="Pipeline",T586="Overdue"),ISNUMBER(W586)),IF(W586&lt;=Settings!$B$6,V586,0),0)</f>
        <v>0</v>
      </c>
      <c r="Y586" s="38" t="n">
        <f aca="false">IF(AND(OR(T586="Backlog",T586="Pipeline",T586="Overdue"),ISNUMBER(W586)),IF(W586&lt;=Settings!$B$6,Q586,0),0)</f>
        <v>0</v>
      </c>
      <c r="Z586" s="38" t="n">
        <f aca="false">IF(Y586=0,0,IF(T586="Backlog",Q586,Q586*Dashboard!$C$10))</f>
        <v>0</v>
      </c>
      <c r="AA586" s="37" t="n">
        <f aca="false">IF($N586="",0,IF(COUNTIF(Dashboard!$C$13:$C$22,$N586)&gt;0,1,0))</f>
        <v>0</v>
      </c>
      <c r="AB586" s="37" t="str">
        <f aca="false">IF($N586="","",IF(COUNTIF($N$8:$N586,$N586)=1,MAX($AB$7:$AB585)+1,""))</f>
        <v/>
      </c>
    </row>
    <row r="587" customFormat="false" ht="15" hidden="false" customHeight="false" outlineLevel="0" collapsed="false">
      <c r="B587" s="32" t="s">
        <v>1413</v>
      </c>
      <c r="C587" s="32" t="s">
        <v>160</v>
      </c>
      <c r="D587" s="35" t="n">
        <v>380</v>
      </c>
      <c r="E587" s="32" t="s">
        <v>145</v>
      </c>
      <c r="F587" s="36" t="n">
        <v>46221</v>
      </c>
      <c r="G587" s="32" t="s">
        <v>1414</v>
      </c>
      <c r="L587" s="37" t="str">
        <f aca="false">IF(INDEX($A587:$J587,$L$6)&lt;&gt;"",TRIM(LEFT(INDEX($A587:$J587,$L$6),FIND("(",INDEX($A587:$J587,$L$6)&amp;"(")-1)),L586)</f>
        <v>Closed Lost</v>
      </c>
      <c r="M587" s="37" t="str">
        <f aca="false">IF(INDEX($A587:$J587,$M$6)="","",INDEX($A587:$J587,$M$6)&amp;"")</f>
        <v>Elkiem - Studio Support - 29.7.26</v>
      </c>
      <c r="N587" s="37" t="str">
        <f aca="false">IF($M587="","",TRIM(INDEX($A587:$J587,$N$6)&amp;""))</f>
        <v>Elkiem</v>
      </c>
      <c r="O587" s="37" t="str">
        <f aca="false">IF($M587="","",TRIM(INDEX($A587:$J587,$O$6)&amp;""))</f>
        <v>Event Production</v>
      </c>
      <c r="P587" s="37" t="str">
        <f aca="false">IF($M587="","",IFERROR(IF(INDEX(Settings!$B$41:$B$50,MATCH(O587,Settings!$A$41:$A$50,0))&amp;""="","UNMAPPED",INDEX(Settings!$B$41:$B$50,MATCH(O587,Settings!$A$41:$A$50,0))&amp;""),"UNMAPPED"))</f>
        <v>Production</v>
      </c>
      <c r="Q587" s="38" t="n">
        <f aca="false">IF($M587="",0,N(INDEX($A587:$J587,$Q$6)))</f>
        <v>380</v>
      </c>
      <c r="R587" s="39" t="n">
        <f aca="false">IF($M587="","",INDEX($A587:$J587,$R$6))</f>
        <v>46221</v>
      </c>
      <c r="S587" s="37" t="str">
        <f aca="false">IF($M587="","",IFERROR(INDEX(Settings!$B$27:$B$36,MATCH(L587,Settings!$A$27:$A$36,0))&amp;"","UNMAPPED"))</f>
        <v>Lost</v>
      </c>
      <c r="T587" s="37" t="str">
        <f aca="false">IF($M587="","",IF(NOT(ISNUMBER(R587)),"NO DATE",IF(S587="Won",IF(R587&gt;Settings!$B$5,"Backlog","Delivered"),IF(S587="Open",IF(R587&gt;Settings!$B$5,"Pipeline","Overdue"),IF(S587="Lost","Lost","UNMAPPED")))))</f>
        <v>Lost</v>
      </c>
      <c r="U587" s="40" t="n">
        <f aca="false">IF(T587="Backlog",1,IF(OR(T587="Pipeline",T587="Overdue"),N(INDEX(Settings!$C$27:$C$36,MATCH(L587,Settings!$A$27:$A$36,0))),0))</f>
        <v>0</v>
      </c>
      <c r="V587" s="38" t="n">
        <f aca="false">Q587*U587</f>
        <v>0</v>
      </c>
      <c r="W587" s="41" t="n">
        <f aca="false">IF($M587="","",IF(T587="Overdue",IF(Settings!$B$8="Yes",Settings!$B$7,""),IF(ISNUMBER(R587),DATE(YEAR(R587),MONTH(R587),1),"")))</f>
        <v>46204</v>
      </c>
      <c r="X587" s="38" t="n">
        <f aca="false">IF(AND(OR(T587="Backlog",T587="Pipeline",T587="Overdue"),ISNUMBER(W587)),IF(W587&lt;=Settings!$B$6,V587,0),0)</f>
        <v>0</v>
      </c>
      <c r="Y587" s="38" t="n">
        <f aca="false">IF(AND(OR(T587="Backlog",T587="Pipeline",T587="Overdue"),ISNUMBER(W587)),IF(W587&lt;=Settings!$B$6,Q587,0),0)</f>
        <v>0</v>
      </c>
      <c r="Z587" s="38" t="n">
        <f aca="false">IF(Y587=0,0,IF(T587="Backlog",Q587,Q587*Dashboard!$C$10))</f>
        <v>0</v>
      </c>
      <c r="AA587" s="37" t="n">
        <f aca="false">IF($N587="",0,IF(COUNTIF(Dashboard!$C$13:$C$22,$N587)&gt;0,1,0))</f>
        <v>0</v>
      </c>
      <c r="AB587" s="37" t="str">
        <f aca="false">IF($N587="","",IF(COUNTIF($N$8:$N587,$N587)=1,MAX($AB$7:$AB586)+1,""))</f>
        <v/>
      </c>
    </row>
    <row r="588" customFormat="false" ht="15" hidden="false" customHeight="false" outlineLevel="0" collapsed="false">
      <c r="B588" s="32" t="s">
        <v>1415</v>
      </c>
      <c r="C588" s="32" t="s">
        <v>1416</v>
      </c>
      <c r="D588" s="35" t="n">
        <v>7540</v>
      </c>
      <c r="E588" s="32" t="s">
        <v>173</v>
      </c>
      <c r="F588" s="36" t="n">
        <v>46262</v>
      </c>
      <c r="G588" s="32" t="s">
        <v>1417</v>
      </c>
      <c r="L588" s="37" t="str">
        <f aca="false">IF(INDEX($A588:$J588,$L$6)&lt;&gt;"",TRIM(LEFT(INDEX($A588:$J588,$L$6),FIND("(",INDEX($A588:$J588,$L$6)&amp;"(")-1)),L587)</f>
        <v>Closed Lost</v>
      </c>
      <c r="M588" s="37" t="str">
        <f aca="false">IF(INDEX($A588:$J588,$M$6)="","",INDEX($A588:$J588,$M$6)&amp;"")</f>
        <v>Architectus | AV Drawings - 2608602</v>
      </c>
      <c r="N588" s="37" t="str">
        <f aca="false">IF($M588="","",TRIM(INDEX($A588:$J588,$N$6)&amp;""))</f>
        <v>Architectus</v>
      </c>
      <c r="O588" s="37" t="str">
        <f aca="false">IF($M588="","",TRIM(INDEX($A588:$J588,$O$6)&amp;""))</f>
        <v>Consulting</v>
      </c>
      <c r="P588" s="37" t="str">
        <f aca="false">IF($M588="","",IFERROR(IF(INDEX(Settings!$B$41:$B$50,MATCH(O588,Settings!$A$41:$A$50,0))&amp;""="","UNMAPPED",INDEX(Settings!$B$41:$B$50,MATCH(O588,Settings!$A$41:$A$50,0))&amp;""),"UNMAPPED"))</f>
        <v>Consulting</v>
      </c>
      <c r="Q588" s="38" t="n">
        <f aca="false">IF($M588="",0,N(INDEX($A588:$J588,$Q$6)))</f>
        <v>7540</v>
      </c>
      <c r="R588" s="39" t="n">
        <f aca="false">IF($M588="","",INDEX($A588:$J588,$R$6))</f>
        <v>46262</v>
      </c>
      <c r="S588" s="37" t="str">
        <f aca="false">IF($M588="","",IFERROR(INDEX(Settings!$B$27:$B$36,MATCH(L588,Settings!$A$27:$A$36,0))&amp;"","UNMAPPED"))</f>
        <v>Lost</v>
      </c>
      <c r="T588" s="37" t="str">
        <f aca="false">IF($M588="","",IF(NOT(ISNUMBER(R588)),"NO DATE",IF(S588="Won",IF(R588&gt;Settings!$B$5,"Backlog","Delivered"),IF(S588="Open",IF(R588&gt;Settings!$B$5,"Pipeline","Overdue"),IF(S588="Lost","Lost","UNMAPPED")))))</f>
        <v>Lost</v>
      </c>
      <c r="U588" s="40" t="n">
        <f aca="false">IF(T588="Backlog",1,IF(OR(T588="Pipeline",T588="Overdue"),N(INDEX(Settings!$C$27:$C$36,MATCH(L588,Settings!$A$27:$A$36,0))),0))</f>
        <v>0</v>
      </c>
      <c r="V588" s="38" t="n">
        <f aca="false">Q588*U588</f>
        <v>0</v>
      </c>
      <c r="W588" s="41" t="n">
        <f aca="false">IF($M588="","",IF(T588="Overdue",IF(Settings!$B$8="Yes",Settings!$B$7,""),IF(ISNUMBER(R588),DATE(YEAR(R588),MONTH(R588),1),"")))</f>
        <v>46235</v>
      </c>
      <c r="X588" s="38" t="n">
        <f aca="false">IF(AND(OR(T588="Backlog",T588="Pipeline",T588="Overdue"),ISNUMBER(W588)),IF(W588&lt;=Settings!$B$6,V588,0),0)</f>
        <v>0</v>
      </c>
      <c r="Y588" s="38" t="n">
        <f aca="false">IF(AND(OR(T588="Backlog",T588="Pipeline",T588="Overdue"),ISNUMBER(W588)),IF(W588&lt;=Settings!$B$6,Q588,0),0)</f>
        <v>0</v>
      </c>
      <c r="Z588" s="38" t="n">
        <f aca="false">IF(Y588=0,0,IF(T588="Backlog",Q588,Q588*Dashboard!$C$10))</f>
        <v>0</v>
      </c>
      <c r="AA588" s="37" t="n">
        <f aca="false">IF($N588="",0,IF(COUNTIF(Dashboard!$C$13:$C$22,$N588)&gt;0,1,0))</f>
        <v>0</v>
      </c>
      <c r="AB588" s="37" t="n">
        <f aca="false">IF($N588="","",IF(COUNTIF($N$8:$N588,$N588)=1,MAX($AB$7:$AB587)+1,""))</f>
        <v>116</v>
      </c>
    </row>
    <row r="589" customFormat="false" ht="15" hidden="false" customHeight="false" outlineLevel="0" collapsed="false">
      <c r="B589" s="32" t="s">
        <v>1418</v>
      </c>
      <c r="C589" s="32" t="s">
        <v>1346</v>
      </c>
      <c r="D589" s="35" t="n">
        <v>5388</v>
      </c>
      <c r="E589" s="32" t="s">
        <v>141</v>
      </c>
      <c r="F589" s="36" t="n">
        <v>46219</v>
      </c>
      <c r="G589" s="32" t="s">
        <v>1419</v>
      </c>
      <c r="L589" s="37" t="str">
        <f aca="false">IF(INDEX($A589:$J589,$L$6)&lt;&gt;"",TRIM(LEFT(INDEX($A589:$J589,$L$6),FIND("(",INDEX($A589:$J589,$L$6)&amp;"(")-1)),L588)</f>
        <v>Closed Lost</v>
      </c>
      <c r="M589" s="37" t="str">
        <f aca="false">IF(INDEX($A589:$J589,$M$6)="","",INDEX($A589:$J589,$M$6)&amp;"")</f>
        <v>Wayflyer | Headset Purchase - 2605608</v>
      </c>
      <c r="N589" s="37" t="str">
        <f aca="false">IF($M589="","",TRIM(INDEX($A589:$J589,$N$6)&amp;""))</f>
        <v>Wayflyer</v>
      </c>
      <c r="O589" s="37" t="str">
        <f aca="false">IF($M589="","",TRIM(INDEX($A589:$J589,$O$6)&amp;""))</f>
        <v>Integration</v>
      </c>
      <c r="P589" s="37" t="str">
        <f aca="false">IF($M589="","",IFERROR(IF(INDEX(Settings!$B$41:$B$50,MATCH(O589,Settings!$A$41:$A$50,0))&amp;""="","UNMAPPED",INDEX(Settings!$B$41:$B$50,MATCH(O589,Settings!$A$41:$A$50,0))&amp;""),"UNMAPPED"))</f>
        <v>Integration</v>
      </c>
      <c r="Q589" s="38" t="n">
        <f aca="false">IF($M589="",0,N(INDEX($A589:$J589,$Q$6)))</f>
        <v>5388</v>
      </c>
      <c r="R589" s="39" t="n">
        <f aca="false">IF($M589="","",INDEX($A589:$J589,$R$6))</f>
        <v>46219</v>
      </c>
      <c r="S589" s="37" t="str">
        <f aca="false">IF($M589="","",IFERROR(INDEX(Settings!$B$27:$B$36,MATCH(L589,Settings!$A$27:$A$36,0))&amp;"","UNMAPPED"))</f>
        <v>Lost</v>
      </c>
      <c r="T589" s="37" t="str">
        <f aca="false">IF($M589="","",IF(NOT(ISNUMBER(R589)),"NO DATE",IF(S589="Won",IF(R589&gt;Settings!$B$5,"Backlog","Delivered"),IF(S589="Open",IF(R589&gt;Settings!$B$5,"Pipeline","Overdue"),IF(S589="Lost","Lost","UNMAPPED")))))</f>
        <v>Lost</v>
      </c>
      <c r="U589" s="40" t="n">
        <f aca="false">IF(T589="Backlog",1,IF(OR(T589="Pipeline",T589="Overdue"),N(INDEX(Settings!$C$27:$C$36,MATCH(L589,Settings!$A$27:$A$36,0))),0))</f>
        <v>0</v>
      </c>
      <c r="V589" s="38" t="n">
        <f aca="false">Q589*U589</f>
        <v>0</v>
      </c>
      <c r="W589" s="41" t="n">
        <f aca="false">IF($M589="","",IF(T589="Overdue",IF(Settings!$B$8="Yes",Settings!$B$7,""),IF(ISNUMBER(R589),DATE(YEAR(R589),MONTH(R589),1),"")))</f>
        <v>46204</v>
      </c>
      <c r="X589" s="38" t="n">
        <f aca="false">IF(AND(OR(T589="Backlog",T589="Pipeline",T589="Overdue"),ISNUMBER(W589)),IF(W589&lt;=Settings!$B$6,V589,0),0)</f>
        <v>0</v>
      </c>
      <c r="Y589" s="38" t="n">
        <f aca="false">IF(AND(OR(T589="Backlog",T589="Pipeline",T589="Overdue"),ISNUMBER(W589)),IF(W589&lt;=Settings!$B$6,Q589,0),0)</f>
        <v>0</v>
      </c>
      <c r="Z589" s="38" t="n">
        <f aca="false">IF(Y589=0,0,IF(T589="Backlog",Q589,Q589*Dashboard!$C$10))</f>
        <v>0</v>
      </c>
      <c r="AA589" s="37" t="n">
        <f aca="false">IF($N589="",0,IF(COUNTIF(Dashboard!$C$13:$C$22,$N589)&gt;0,1,0))</f>
        <v>0</v>
      </c>
      <c r="AB589" s="37" t="str">
        <f aca="false">IF($N589="","",IF(COUNTIF($N$8:$N589,$N589)=1,MAX($AB$7:$AB588)+1,""))</f>
        <v/>
      </c>
    </row>
    <row r="590" customFormat="false" ht="15" hidden="false" customHeight="false" outlineLevel="0" collapsed="false">
      <c r="B590" s="32" t="s">
        <v>1420</v>
      </c>
      <c r="C590" s="32" t="s">
        <v>1421</v>
      </c>
      <c r="D590" s="35" t="n">
        <v>1800</v>
      </c>
      <c r="E590" s="32" t="s">
        <v>145</v>
      </c>
      <c r="F590" s="36" t="n">
        <v>46308</v>
      </c>
      <c r="G590" s="32" t="s">
        <v>1422</v>
      </c>
      <c r="L590" s="37" t="str">
        <f aca="false">IF(INDEX($A590:$J590,$L$6)&lt;&gt;"",TRIM(LEFT(INDEX($A590:$J590,$L$6),FIND("(",INDEX($A590:$J590,$L$6)&amp;"(")-1)),L589)</f>
        <v>Closed Lost</v>
      </c>
      <c r="M590" s="37" t="str">
        <f aca="false">IF(INDEX($A590:$J590,$M$6)="","",INDEX($A590:$J590,$M$6)&amp;"")</f>
        <v>Capital-e - Workato Event - 13 &amp; 14.10.26</v>
      </c>
      <c r="N590" s="37" t="str">
        <f aca="false">IF($M590="","",TRIM(INDEX($A590:$J590,$N$6)&amp;""))</f>
        <v>Capital-e</v>
      </c>
      <c r="O590" s="37" t="str">
        <f aca="false">IF($M590="","",TRIM(INDEX($A590:$J590,$O$6)&amp;""))</f>
        <v>Event Production</v>
      </c>
      <c r="P590" s="37" t="str">
        <f aca="false">IF($M590="","",IFERROR(IF(INDEX(Settings!$B$41:$B$50,MATCH(O590,Settings!$A$41:$A$50,0))&amp;""="","UNMAPPED",INDEX(Settings!$B$41:$B$50,MATCH(O590,Settings!$A$41:$A$50,0))&amp;""),"UNMAPPED"))</f>
        <v>Production</v>
      </c>
      <c r="Q590" s="38" t="n">
        <f aca="false">IF($M590="",0,N(INDEX($A590:$J590,$Q$6)))</f>
        <v>1800</v>
      </c>
      <c r="R590" s="39" t="n">
        <f aca="false">IF($M590="","",INDEX($A590:$J590,$R$6))</f>
        <v>46308</v>
      </c>
      <c r="S590" s="37" t="str">
        <f aca="false">IF($M590="","",IFERROR(INDEX(Settings!$B$27:$B$36,MATCH(L590,Settings!$A$27:$A$36,0))&amp;"","UNMAPPED"))</f>
        <v>Lost</v>
      </c>
      <c r="T590" s="37" t="str">
        <f aca="false">IF($M590="","",IF(NOT(ISNUMBER(R590)),"NO DATE",IF(S590="Won",IF(R590&gt;Settings!$B$5,"Backlog","Delivered"),IF(S590="Open",IF(R590&gt;Settings!$B$5,"Pipeline","Overdue"),IF(S590="Lost","Lost","UNMAPPED")))))</f>
        <v>Lost</v>
      </c>
      <c r="U590" s="40" t="n">
        <f aca="false">IF(T590="Backlog",1,IF(OR(T590="Pipeline",T590="Overdue"),N(INDEX(Settings!$C$27:$C$36,MATCH(L590,Settings!$A$27:$A$36,0))),0))</f>
        <v>0</v>
      </c>
      <c r="V590" s="38" t="n">
        <f aca="false">Q590*U590</f>
        <v>0</v>
      </c>
      <c r="W590" s="41" t="n">
        <f aca="false">IF($M590="","",IF(T590="Overdue",IF(Settings!$B$8="Yes",Settings!$B$7,""),IF(ISNUMBER(R590),DATE(YEAR(R590),MONTH(R590),1),"")))</f>
        <v>46296</v>
      </c>
      <c r="X590" s="38" t="n">
        <f aca="false">IF(AND(OR(T590="Backlog",T590="Pipeline",T590="Overdue"),ISNUMBER(W590)),IF(W590&lt;=Settings!$B$6,V590,0),0)</f>
        <v>0</v>
      </c>
      <c r="Y590" s="38" t="n">
        <f aca="false">IF(AND(OR(T590="Backlog",T590="Pipeline",T590="Overdue"),ISNUMBER(W590)),IF(W590&lt;=Settings!$B$6,Q590,0),0)</f>
        <v>0</v>
      </c>
      <c r="Z590" s="38" t="n">
        <f aca="false">IF(Y590=0,0,IF(T590="Backlog",Q590,Q590*Dashboard!$C$10))</f>
        <v>0</v>
      </c>
      <c r="AA590" s="37" t="n">
        <f aca="false">IF($N590="",0,IF(COUNTIF(Dashboard!$C$13:$C$22,$N590)&gt;0,1,0))</f>
        <v>0</v>
      </c>
      <c r="AB590" s="37" t="n">
        <f aca="false">IF($N590="","",IF(COUNTIF($N$8:$N590,$N590)=1,MAX($AB$7:$AB589)+1,""))</f>
        <v>117</v>
      </c>
    </row>
    <row r="591" customFormat="false" ht="15" hidden="false" customHeight="false" outlineLevel="0" collapsed="false">
      <c r="B591" s="32" t="s">
        <v>1423</v>
      </c>
      <c r="C591" s="32" t="s">
        <v>321</v>
      </c>
      <c r="D591" s="35" t="n">
        <v>2950</v>
      </c>
      <c r="E591" s="32" t="s">
        <v>141</v>
      </c>
      <c r="F591" s="36" t="n">
        <v>46080</v>
      </c>
      <c r="G591" s="32" t="s">
        <v>284</v>
      </c>
      <c r="L591" s="37" t="str">
        <f aca="false">IF(INDEX($A591:$J591,$L$6)&lt;&gt;"",TRIM(LEFT(INDEX($A591:$J591,$L$6),FIND("(",INDEX($A591:$J591,$L$6)&amp;"(")-1)),L590)</f>
        <v>Closed Lost</v>
      </c>
      <c r="M591" s="37" t="str">
        <f aca="false">IF(INDEX($A591:$J591,$M$6)="","",INDEX($A591:$J591,$M$6)&amp;"")</f>
        <v>HP Poly Pakenham Professional Services</v>
      </c>
      <c r="N591" s="37" t="str">
        <f aca="false">IF($M591="","",TRIM(INDEX($A591:$J591,$N$6)&amp;""))</f>
        <v>HP</v>
      </c>
      <c r="O591" s="37" t="str">
        <f aca="false">IF($M591="","",TRIM(INDEX($A591:$J591,$O$6)&amp;""))</f>
        <v>Integration</v>
      </c>
      <c r="P591" s="37" t="str">
        <f aca="false">IF($M591="","",IFERROR(IF(INDEX(Settings!$B$41:$B$50,MATCH(O591,Settings!$A$41:$A$50,0))&amp;""="","UNMAPPED",INDEX(Settings!$B$41:$B$50,MATCH(O591,Settings!$A$41:$A$50,0))&amp;""),"UNMAPPED"))</f>
        <v>Integration</v>
      </c>
      <c r="Q591" s="38" t="n">
        <f aca="false">IF($M591="",0,N(INDEX($A591:$J591,$Q$6)))</f>
        <v>2950</v>
      </c>
      <c r="R591" s="39" t="n">
        <f aca="false">IF($M591="","",INDEX($A591:$J591,$R$6))</f>
        <v>46080</v>
      </c>
      <c r="S591" s="37" t="str">
        <f aca="false">IF($M591="","",IFERROR(INDEX(Settings!$B$27:$B$36,MATCH(L591,Settings!$A$27:$A$36,0))&amp;"","UNMAPPED"))</f>
        <v>Lost</v>
      </c>
      <c r="T591" s="37" t="str">
        <f aca="false">IF($M591="","",IF(NOT(ISNUMBER(R591)),"NO DATE",IF(S591="Won",IF(R591&gt;Settings!$B$5,"Backlog","Delivered"),IF(S591="Open",IF(R591&gt;Settings!$B$5,"Pipeline","Overdue"),IF(S591="Lost","Lost","UNMAPPED")))))</f>
        <v>Lost</v>
      </c>
      <c r="U591" s="40" t="n">
        <f aca="false">IF(T591="Backlog",1,IF(OR(T591="Pipeline",T591="Overdue"),N(INDEX(Settings!$C$27:$C$36,MATCH(L591,Settings!$A$27:$A$36,0))),0))</f>
        <v>0</v>
      </c>
      <c r="V591" s="38" t="n">
        <f aca="false">Q591*U591</f>
        <v>0</v>
      </c>
      <c r="W591" s="41" t="n">
        <f aca="false">IF($M591="","",IF(T591="Overdue",IF(Settings!$B$8="Yes",Settings!$B$7,""),IF(ISNUMBER(R591),DATE(YEAR(R591),MONTH(R591),1),"")))</f>
        <v>46054</v>
      </c>
      <c r="X591" s="38" t="n">
        <f aca="false">IF(AND(OR(T591="Backlog",T591="Pipeline",T591="Overdue"),ISNUMBER(W591)),IF(W591&lt;=Settings!$B$6,V591,0),0)</f>
        <v>0</v>
      </c>
      <c r="Y591" s="38" t="n">
        <f aca="false">IF(AND(OR(T591="Backlog",T591="Pipeline",T591="Overdue"),ISNUMBER(W591)),IF(W591&lt;=Settings!$B$6,Q591,0),0)</f>
        <v>0</v>
      </c>
      <c r="Z591" s="38" t="n">
        <f aca="false">IF(Y591=0,0,IF(T591="Backlog",Q591,Q591*Dashboard!$C$10))</f>
        <v>0</v>
      </c>
      <c r="AA591" s="37" t="n">
        <f aca="false">IF($N591="",0,IF(COUNTIF(Dashboard!$C$13:$C$22,$N591)&gt;0,1,0))</f>
        <v>0</v>
      </c>
      <c r="AB591" s="37" t="str">
        <f aca="false">IF($N591="","",IF(COUNTIF($N$8:$N591,$N591)=1,MAX($AB$7:$AB590)+1,""))</f>
        <v/>
      </c>
    </row>
    <row r="592" customFormat="false" ht="15" hidden="false" customHeight="false" outlineLevel="0" collapsed="false">
      <c r="B592" s="32" t="s">
        <v>1424</v>
      </c>
      <c r="C592" s="32" t="s">
        <v>160</v>
      </c>
      <c r="D592" s="35" t="n">
        <v>380</v>
      </c>
      <c r="E592" s="32" t="s">
        <v>145</v>
      </c>
      <c r="F592" s="36" t="n">
        <v>46273</v>
      </c>
      <c r="G592" s="32" t="s">
        <v>1425</v>
      </c>
      <c r="L592" s="37" t="str">
        <f aca="false">IF(INDEX($A592:$J592,$L$6)&lt;&gt;"",TRIM(LEFT(INDEX($A592:$J592,$L$6),FIND("(",INDEX($A592:$J592,$L$6)&amp;"(")-1)),L591)</f>
        <v>Closed Lost</v>
      </c>
      <c r="M592" s="37" t="str">
        <f aca="false">IF(INDEX($A592:$J592,$M$6)="","",INDEX($A592:$J592,$M$6)&amp;"")</f>
        <v>Elkiem - Studio Support - 18.9.26</v>
      </c>
      <c r="N592" s="37" t="str">
        <f aca="false">IF($M592="","",TRIM(INDEX($A592:$J592,$N$6)&amp;""))</f>
        <v>Elkiem</v>
      </c>
      <c r="O592" s="37" t="str">
        <f aca="false">IF($M592="","",TRIM(INDEX($A592:$J592,$O$6)&amp;""))</f>
        <v>Event Production</v>
      </c>
      <c r="P592" s="37" t="str">
        <f aca="false">IF($M592="","",IFERROR(IF(INDEX(Settings!$B$41:$B$50,MATCH(O592,Settings!$A$41:$A$50,0))&amp;""="","UNMAPPED",INDEX(Settings!$B$41:$B$50,MATCH(O592,Settings!$A$41:$A$50,0))&amp;""),"UNMAPPED"))</f>
        <v>Production</v>
      </c>
      <c r="Q592" s="38" t="n">
        <f aca="false">IF($M592="",0,N(INDEX($A592:$J592,$Q$6)))</f>
        <v>380</v>
      </c>
      <c r="R592" s="39" t="n">
        <f aca="false">IF($M592="","",INDEX($A592:$J592,$R$6))</f>
        <v>46273</v>
      </c>
      <c r="S592" s="37" t="str">
        <f aca="false">IF($M592="","",IFERROR(INDEX(Settings!$B$27:$B$36,MATCH(L592,Settings!$A$27:$A$36,0))&amp;"","UNMAPPED"))</f>
        <v>Lost</v>
      </c>
      <c r="T592" s="37" t="str">
        <f aca="false">IF($M592="","",IF(NOT(ISNUMBER(R592)),"NO DATE",IF(S592="Won",IF(R592&gt;Settings!$B$5,"Backlog","Delivered"),IF(S592="Open",IF(R592&gt;Settings!$B$5,"Pipeline","Overdue"),IF(S592="Lost","Lost","UNMAPPED")))))</f>
        <v>Lost</v>
      </c>
      <c r="U592" s="40" t="n">
        <f aca="false">IF(T592="Backlog",1,IF(OR(T592="Pipeline",T592="Overdue"),N(INDEX(Settings!$C$27:$C$36,MATCH(L592,Settings!$A$27:$A$36,0))),0))</f>
        <v>0</v>
      </c>
      <c r="V592" s="38" t="n">
        <f aca="false">Q592*U592</f>
        <v>0</v>
      </c>
      <c r="W592" s="41" t="n">
        <f aca="false">IF($M592="","",IF(T592="Overdue",IF(Settings!$B$8="Yes",Settings!$B$7,""),IF(ISNUMBER(R592),DATE(YEAR(R592),MONTH(R592),1),"")))</f>
        <v>46266</v>
      </c>
      <c r="X592" s="38" t="n">
        <f aca="false">IF(AND(OR(T592="Backlog",T592="Pipeline",T592="Overdue"),ISNUMBER(W592)),IF(W592&lt;=Settings!$B$6,V592,0),0)</f>
        <v>0</v>
      </c>
      <c r="Y592" s="38" t="n">
        <f aca="false">IF(AND(OR(T592="Backlog",T592="Pipeline",T592="Overdue"),ISNUMBER(W592)),IF(W592&lt;=Settings!$B$6,Q592,0),0)</f>
        <v>0</v>
      </c>
      <c r="Z592" s="38" t="n">
        <f aca="false">IF(Y592=0,0,IF(T592="Backlog",Q592,Q592*Dashboard!$C$10))</f>
        <v>0</v>
      </c>
      <c r="AA592" s="37" t="n">
        <f aca="false">IF($N592="",0,IF(COUNTIF(Dashboard!$C$13:$C$22,$N592)&gt;0,1,0))</f>
        <v>0</v>
      </c>
      <c r="AB592" s="37" t="str">
        <f aca="false">IF($N592="","",IF(COUNTIF($N$8:$N592,$N592)=1,MAX($AB$7:$AB591)+1,""))</f>
        <v/>
      </c>
    </row>
    <row r="593" customFormat="false" ht="15" hidden="false" customHeight="false" outlineLevel="0" collapsed="false">
      <c r="B593" s="32" t="s">
        <v>1426</v>
      </c>
      <c r="C593" s="32" t="s">
        <v>183</v>
      </c>
      <c r="D593" s="35" t="n">
        <v>10500</v>
      </c>
      <c r="E593" s="32" t="s">
        <v>145</v>
      </c>
      <c r="F593" s="36" t="n">
        <v>45960</v>
      </c>
      <c r="G593" s="32" t="s">
        <v>1427</v>
      </c>
      <c r="L593" s="37" t="str">
        <f aca="false">IF(INDEX($A593:$J593,$L$6)&lt;&gt;"",TRIM(LEFT(INDEX($A593:$J593,$L$6),FIND("(",INDEX($A593:$J593,$L$6)&amp;"(")-1)),L592)</f>
        <v>Closed Lost</v>
      </c>
      <c r="M593" s="37" t="str">
        <f aca="false">IF(INDEX($A593:$J593,$M$6)="","",INDEX($A593:$J593,$M$6)&amp;"")</f>
        <v>RACA EGM 30.10.25</v>
      </c>
      <c r="N593" s="37" t="str">
        <f aca="false">IF($M593="","",TRIM(INDEX($A593:$J593,$N$6)&amp;""))</f>
        <v>Chorus Call</v>
      </c>
      <c r="O593" s="37" t="str">
        <f aca="false">IF($M593="","",TRIM(INDEX($A593:$J593,$O$6)&amp;""))</f>
        <v>Event Production</v>
      </c>
      <c r="P593" s="37" t="str">
        <f aca="false">IF($M593="","",IFERROR(IF(INDEX(Settings!$B$41:$B$50,MATCH(O593,Settings!$A$41:$A$50,0))&amp;""="","UNMAPPED",INDEX(Settings!$B$41:$B$50,MATCH(O593,Settings!$A$41:$A$50,0))&amp;""),"UNMAPPED"))</f>
        <v>Production</v>
      </c>
      <c r="Q593" s="38" t="n">
        <f aca="false">IF($M593="",0,N(INDEX($A593:$J593,$Q$6)))</f>
        <v>10500</v>
      </c>
      <c r="R593" s="39" t="n">
        <f aca="false">IF($M593="","",INDEX($A593:$J593,$R$6))</f>
        <v>45960</v>
      </c>
      <c r="S593" s="37" t="str">
        <f aca="false">IF($M593="","",IFERROR(INDEX(Settings!$B$27:$B$36,MATCH(L593,Settings!$A$27:$A$36,0))&amp;"","UNMAPPED"))</f>
        <v>Lost</v>
      </c>
      <c r="T593" s="37" t="str">
        <f aca="false">IF($M593="","",IF(NOT(ISNUMBER(R593)),"NO DATE",IF(S593="Won",IF(R593&gt;Settings!$B$5,"Backlog","Delivered"),IF(S593="Open",IF(R593&gt;Settings!$B$5,"Pipeline","Overdue"),IF(S593="Lost","Lost","UNMAPPED")))))</f>
        <v>Lost</v>
      </c>
      <c r="U593" s="40" t="n">
        <f aca="false">IF(T593="Backlog",1,IF(OR(T593="Pipeline",T593="Overdue"),N(INDEX(Settings!$C$27:$C$36,MATCH(L593,Settings!$A$27:$A$36,0))),0))</f>
        <v>0</v>
      </c>
      <c r="V593" s="38" t="n">
        <f aca="false">Q593*U593</f>
        <v>0</v>
      </c>
      <c r="W593" s="41" t="n">
        <f aca="false">IF($M593="","",IF(T593="Overdue",IF(Settings!$B$8="Yes",Settings!$B$7,""),IF(ISNUMBER(R593),DATE(YEAR(R593),MONTH(R593),1),"")))</f>
        <v>45931</v>
      </c>
      <c r="X593" s="38" t="n">
        <f aca="false">IF(AND(OR(T593="Backlog",T593="Pipeline",T593="Overdue"),ISNUMBER(W593)),IF(W593&lt;=Settings!$B$6,V593,0),0)</f>
        <v>0</v>
      </c>
      <c r="Y593" s="38" t="n">
        <f aca="false">IF(AND(OR(T593="Backlog",T593="Pipeline",T593="Overdue"),ISNUMBER(W593)),IF(W593&lt;=Settings!$B$6,Q593,0),0)</f>
        <v>0</v>
      </c>
      <c r="Z593" s="38" t="n">
        <f aca="false">IF(Y593=0,0,IF(T593="Backlog",Q593,Q593*Dashboard!$C$10))</f>
        <v>0</v>
      </c>
      <c r="AA593" s="37" t="n">
        <f aca="false">IF($N593="",0,IF(COUNTIF(Dashboard!$C$13:$C$22,$N593)&gt;0,1,0))</f>
        <v>0</v>
      </c>
      <c r="AB593" s="37" t="str">
        <f aca="false">IF($N593="","",IF(COUNTIF($N$8:$N593,$N593)=1,MAX($AB$7:$AB592)+1,""))</f>
        <v/>
      </c>
    </row>
    <row r="594" customFormat="false" ht="15" hidden="false" customHeight="false" outlineLevel="0" collapsed="false">
      <c r="B594" s="32" t="s">
        <v>1428</v>
      </c>
      <c r="C594" s="32" t="s">
        <v>154</v>
      </c>
      <c r="D594" s="35" t="n">
        <v>1380</v>
      </c>
      <c r="E594" s="32" t="s">
        <v>180</v>
      </c>
      <c r="F594" s="36" t="n">
        <v>46084</v>
      </c>
      <c r="G594" s="32" t="s">
        <v>1429</v>
      </c>
      <c r="L594" s="37" t="str">
        <f aca="false">IF(INDEX($A594:$J594,$L$6)&lt;&gt;"",TRIM(LEFT(INDEX($A594:$J594,$L$6),FIND("(",INDEX($A594:$J594,$L$6)&amp;"(")-1)),L593)</f>
        <v>Closed Lost</v>
      </c>
      <c r="M594" s="37" t="str">
        <f aca="false">IF(INDEX($A594:$J594,$M$6)="","",INDEX($A594:$J594,$M$6)&amp;"")</f>
        <v>26021201 - Scyne Canberra | Meeting Room Troubleshooting - Service Call</v>
      </c>
      <c r="N594" s="37" t="str">
        <f aca="false">IF($M594="","",TRIM(INDEX($A594:$J594,$N$6)&amp;""))</f>
        <v>PWC</v>
      </c>
      <c r="O594" s="37" t="str">
        <f aca="false">IF($M594="","",TRIM(INDEX($A594:$J594,$O$6)&amp;""))</f>
        <v>Support</v>
      </c>
      <c r="P594" s="37" t="str">
        <f aca="false">IF($M594="","",IFERROR(IF(INDEX(Settings!$B$41:$B$50,MATCH(O594,Settings!$A$41:$A$50,0))&amp;""="","UNMAPPED",INDEX(Settings!$B$41:$B$50,MATCH(O594,Settings!$A$41:$A$50,0))&amp;""),"UNMAPPED"))</f>
        <v>Onsite</v>
      </c>
      <c r="Q594" s="38" t="n">
        <f aca="false">IF($M594="",0,N(INDEX($A594:$J594,$Q$6)))</f>
        <v>1380</v>
      </c>
      <c r="R594" s="39" t="n">
        <f aca="false">IF($M594="","",INDEX($A594:$J594,$R$6))</f>
        <v>46084</v>
      </c>
      <c r="S594" s="37" t="str">
        <f aca="false">IF($M594="","",IFERROR(INDEX(Settings!$B$27:$B$36,MATCH(L594,Settings!$A$27:$A$36,0))&amp;"","UNMAPPED"))</f>
        <v>Lost</v>
      </c>
      <c r="T594" s="37" t="str">
        <f aca="false">IF($M594="","",IF(NOT(ISNUMBER(R594)),"NO DATE",IF(S594="Won",IF(R594&gt;Settings!$B$5,"Backlog","Delivered"),IF(S594="Open",IF(R594&gt;Settings!$B$5,"Pipeline","Overdue"),IF(S594="Lost","Lost","UNMAPPED")))))</f>
        <v>Lost</v>
      </c>
      <c r="U594" s="40" t="n">
        <f aca="false">IF(T594="Backlog",1,IF(OR(T594="Pipeline",T594="Overdue"),N(INDEX(Settings!$C$27:$C$36,MATCH(L594,Settings!$A$27:$A$36,0))),0))</f>
        <v>0</v>
      </c>
      <c r="V594" s="38" t="n">
        <f aca="false">Q594*U594</f>
        <v>0</v>
      </c>
      <c r="W594" s="41" t="n">
        <f aca="false">IF($M594="","",IF(T594="Overdue",IF(Settings!$B$8="Yes",Settings!$B$7,""),IF(ISNUMBER(R594),DATE(YEAR(R594),MONTH(R594),1),"")))</f>
        <v>46082</v>
      </c>
      <c r="X594" s="38" t="n">
        <f aca="false">IF(AND(OR(T594="Backlog",T594="Pipeline",T594="Overdue"),ISNUMBER(W594)),IF(W594&lt;=Settings!$B$6,V594,0),0)</f>
        <v>0</v>
      </c>
      <c r="Y594" s="38" t="n">
        <f aca="false">IF(AND(OR(T594="Backlog",T594="Pipeline",T594="Overdue"),ISNUMBER(W594)),IF(W594&lt;=Settings!$B$6,Q594,0),0)</f>
        <v>0</v>
      </c>
      <c r="Z594" s="38" t="n">
        <f aca="false">IF(Y594=0,0,IF(T594="Backlog",Q594,Q594*Dashboard!$C$10))</f>
        <v>0</v>
      </c>
      <c r="AA594" s="37" t="n">
        <f aca="false">IF($N594="",0,IF(COUNTIF(Dashboard!$C$13:$C$22,$N594)&gt;0,1,0))</f>
        <v>0</v>
      </c>
      <c r="AB594" s="37" t="str">
        <f aca="false">IF($N594="","",IF(COUNTIF($N$8:$N594,$N594)=1,MAX($AB$7:$AB593)+1,""))</f>
        <v/>
      </c>
    </row>
    <row r="595" customFormat="false" ht="15" hidden="false" customHeight="false" outlineLevel="0" collapsed="false">
      <c r="B595" s="32" t="s">
        <v>1430</v>
      </c>
      <c r="C595" s="32" t="s">
        <v>321</v>
      </c>
      <c r="D595" s="35" t="n">
        <v>38190</v>
      </c>
      <c r="E595" s="32" t="s">
        <v>141</v>
      </c>
      <c r="F595" s="36" t="n">
        <v>46216</v>
      </c>
      <c r="G595" s="32" t="s">
        <v>1431</v>
      </c>
      <c r="L595" s="37" t="str">
        <f aca="false">IF(INDEX($A595:$J595,$L$6)&lt;&gt;"",TRIM(LEFT(INDEX($A595:$J595,$L$6),FIND("(",INDEX($A595:$J595,$L$6)&amp;"(")-1)),L594)</f>
        <v>Closed Lost</v>
      </c>
      <c r="M595" s="37" t="str">
        <f aca="false">IF(INDEX($A595:$J595,$M$6)="","",INDEX($A595:$J595,$M$6)&amp;"")</f>
        <v>HP-PMI_Custom Rooms Install - 26032604</v>
      </c>
      <c r="N595" s="37" t="str">
        <f aca="false">IF($M595="","",TRIM(INDEX($A595:$J595,$N$6)&amp;""))</f>
        <v>HP</v>
      </c>
      <c r="O595" s="37" t="str">
        <f aca="false">IF($M595="","",TRIM(INDEX($A595:$J595,$O$6)&amp;""))</f>
        <v>Integration</v>
      </c>
      <c r="P595" s="37" t="str">
        <f aca="false">IF($M595="","",IFERROR(IF(INDEX(Settings!$B$41:$B$50,MATCH(O595,Settings!$A$41:$A$50,0))&amp;""="","UNMAPPED",INDEX(Settings!$B$41:$B$50,MATCH(O595,Settings!$A$41:$A$50,0))&amp;""),"UNMAPPED"))</f>
        <v>Integration</v>
      </c>
      <c r="Q595" s="38" t="n">
        <f aca="false">IF($M595="",0,N(INDEX($A595:$J595,$Q$6)))</f>
        <v>38190</v>
      </c>
      <c r="R595" s="39" t="n">
        <f aca="false">IF($M595="","",INDEX($A595:$J595,$R$6))</f>
        <v>46216</v>
      </c>
      <c r="S595" s="37" t="str">
        <f aca="false">IF($M595="","",IFERROR(INDEX(Settings!$B$27:$B$36,MATCH(L595,Settings!$A$27:$A$36,0))&amp;"","UNMAPPED"))</f>
        <v>Lost</v>
      </c>
      <c r="T595" s="37" t="str">
        <f aca="false">IF($M595="","",IF(NOT(ISNUMBER(R595)),"NO DATE",IF(S595="Won",IF(R595&gt;Settings!$B$5,"Backlog","Delivered"),IF(S595="Open",IF(R595&gt;Settings!$B$5,"Pipeline","Overdue"),IF(S595="Lost","Lost","UNMAPPED")))))</f>
        <v>Lost</v>
      </c>
      <c r="U595" s="40" t="n">
        <f aca="false">IF(T595="Backlog",1,IF(OR(T595="Pipeline",T595="Overdue"),N(INDEX(Settings!$C$27:$C$36,MATCH(L595,Settings!$A$27:$A$36,0))),0))</f>
        <v>0</v>
      </c>
      <c r="V595" s="38" t="n">
        <f aca="false">Q595*U595</f>
        <v>0</v>
      </c>
      <c r="W595" s="41" t="n">
        <f aca="false">IF($M595="","",IF(T595="Overdue",IF(Settings!$B$8="Yes",Settings!$B$7,""),IF(ISNUMBER(R595),DATE(YEAR(R595),MONTH(R595),1),"")))</f>
        <v>46204</v>
      </c>
      <c r="X595" s="38" t="n">
        <f aca="false">IF(AND(OR(T595="Backlog",T595="Pipeline",T595="Overdue"),ISNUMBER(W595)),IF(W595&lt;=Settings!$B$6,V595,0),0)</f>
        <v>0</v>
      </c>
      <c r="Y595" s="38" t="n">
        <f aca="false">IF(AND(OR(T595="Backlog",T595="Pipeline",T595="Overdue"),ISNUMBER(W595)),IF(W595&lt;=Settings!$B$6,Q595,0),0)</f>
        <v>0</v>
      </c>
      <c r="Z595" s="38" t="n">
        <f aca="false">IF(Y595=0,0,IF(T595="Backlog",Q595,Q595*Dashboard!$C$10))</f>
        <v>0</v>
      </c>
      <c r="AA595" s="37" t="n">
        <f aca="false">IF($N595="",0,IF(COUNTIF(Dashboard!$C$13:$C$22,$N595)&gt;0,1,0))</f>
        <v>0</v>
      </c>
      <c r="AB595" s="37" t="str">
        <f aca="false">IF($N595="","",IF(COUNTIF($N$8:$N595,$N595)=1,MAX($AB$7:$AB594)+1,""))</f>
        <v/>
      </c>
    </row>
    <row r="596" customFormat="false" ht="15" hidden="false" customHeight="false" outlineLevel="0" collapsed="false">
      <c r="B596" s="32" t="s">
        <v>1432</v>
      </c>
      <c r="C596" s="32" t="s">
        <v>1433</v>
      </c>
      <c r="D596" s="35" t="n">
        <v>31000</v>
      </c>
      <c r="E596" s="32" t="s">
        <v>145</v>
      </c>
      <c r="F596" s="36" t="n">
        <v>46251</v>
      </c>
      <c r="G596" s="32" t="s">
        <v>1434</v>
      </c>
      <c r="L596" s="37" t="str">
        <f aca="false">IF(INDEX($A596:$J596,$L$6)&lt;&gt;"",TRIM(LEFT(INDEX($A596:$J596,$L$6),FIND("(",INDEX($A596:$J596,$L$6)&amp;"(")-1)),L595)</f>
        <v>Closed Lost</v>
      </c>
      <c r="M596" s="37" t="str">
        <f aca="false">IF(INDEX($A596:$J596,$M$6)="","",INDEX($A596:$J596,$M$6)&amp;"")</f>
        <v>CSE - Sri Lanka Invest - 17.8.26</v>
      </c>
      <c r="N596" s="37" t="str">
        <f aca="false">IF($M596="","",TRIM(INDEX($A596:$J596,$N$6)&amp;""))</f>
        <v>Columbo Stock Exchange</v>
      </c>
      <c r="O596" s="37" t="str">
        <f aca="false">IF($M596="","",TRIM(INDEX($A596:$J596,$O$6)&amp;""))</f>
        <v>Event Production</v>
      </c>
      <c r="P596" s="37" t="str">
        <f aca="false">IF($M596="","",IFERROR(IF(INDEX(Settings!$B$41:$B$50,MATCH(O596,Settings!$A$41:$A$50,0))&amp;""="","UNMAPPED",INDEX(Settings!$B$41:$B$50,MATCH(O596,Settings!$A$41:$A$50,0))&amp;""),"UNMAPPED"))</f>
        <v>Production</v>
      </c>
      <c r="Q596" s="38" t="n">
        <f aca="false">IF($M596="",0,N(INDEX($A596:$J596,$Q$6)))</f>
        <v>31000</v>
      </c>
      <c r="R596" s="39" t="n">
        <f aca="false">IF($M596="","",INDEX($A596:$J596,$R$6))</f>
        <v>46251</v>
      </c>
      <c r="S596" s="37" t="str">
        <f aca="false">IF($M596="","",IFERROR(INDEX(Settings!$B$27:$B$36,MATCH(L596,Settings!$A$27:$A$36,0))&amp;"","UNMAPPED"))</f>
        <v>Lost</v>
      </c>
      <c r="T596" s="37" t="str">
        <f aca="false">IF($M596="","",IF(NOT(ISNUMBER(R596)),"NO DATE",IF(S596="Won",IF(R596&gt;Settings!$B$5,"Backlog","Delivered"),IF(S596="Open",IF(R596&gt;Settings!$B$5,"Pipeline","Overdue"),IF(S596="Lost","Lost","UNMAPPED")))))</f>
        <v>Lost</v>
      </c>
      <c r="U596" s="40" t="n">
        <f aca="false">IF(T596="Backlog",1,IF(OR(T596="Pipeline",T596="Overdue"),N(INDEX(Settings!$C$27:$C$36,MATCH(L596,Settings!$A$27:$A$36,0))),0))</f>
        <v>0</v>
      </c>
      <c r="V596" s="38" t="n">
        <f aca="false">Q596*U596</f>
        <v>0</v>
      </c>
      <c r="W596" s="41" t="n">
        <f aca="false">IF($M596="","",IF(T596="Overdue",IF(Settings!$B$8="Yes",Settings!$B$7,""),IF(ISNUMBER(R596),DATE(YEAR(R596),MONTH(R596),1),"")))</f>
        <v>46235</v>
      </c>
      <c r="X596" s="38" t="n">
        <f aca="false">IF(AND(OR(T596="Backlog",T596="Pipeline",T596="Overdue"),ISNUMBER(W596)),IF(W596&lt;=Settings!$B$6,V596,0),0)</f>
        <v>0</v>
      </c>
      <c r="Y596" s="38" t="n">
        <f aca="false">IF(AND(OR(T596="Backlog",T596="Pipeline",T596="Overdue"),ISNUMBER(W596)),IF(W596&lt;=Settings!$B$6,Q596,0),0)</f>
        <v>0</v>
      </c>
      <c r="Z596" s="38" t="n">
        <f aca="false">IF(Y596=0,0,IF(T596="Backlog",Q596,Q596*Dashboard!$C$10))</f>
        <v>0</v>
      </c>
      <c r="AA596" s="37" t="n">
        <f aca="false">IF($N596="",0,IF(COUNTIF(Dashboard!$C$13:$C$22,$N596)&gt;0,1,0))</f>
        <v>0</v>
      </c>
      <c r="AB596" s="37" t="n">
        <f aca="false">IF($N596="","",IF(COUNTIF($N$8:$N596,$N596)=1,MAX($AB$7:$AB595)+1,""))</f>
        <v>118</v>
      </c>
    </row>
    <row r="597" customFormat="false" ht="15" hidden="false" customHeight="false" outlineLevel="0" collapsed="false">
      <c r="B597" s="32" t="s">
        <v>1435</v>
      </c>
      <c r="C597" s="32" t="s">
        <v>163</v>
      </c>
      <c r="D597" s="35" t="n">
        <v>2752</v>
      </c>
      <c r="E597" s="32" t="s">
        <v>208</v>
      </c>
      <c r="F597" s="36" t="n">
        <v>46108</v>
      </c>
      <c r="G597" s="32" t="s">
        <v>1436</v>
      </c>
      <c r="L597" s="37" t="str">
        <f aca="false">IF(INDEX($A597:$J597,$L$6)&lt;&gt;"",TRIM(LEFT(INDEX($A597:$J597,$L$6),FIND("(",INDEX($A597:$J597,$L$6)&amp;"(")-1)),L596)</f>
        <v>Closed Lost</v>
      </c>
      <c r="M597" s="37" t="str">
        <f aca="false">IF(INDEX($A597:$J597,$M$6)="","",INDEX($A597:$J597,$M$6)&amp;"")</f>
        <v>Automic Client Breakfast</v>
      </c>
      <c r="N597" s="37" t="str">
        <f aca="false">IF($M597="","",TRIM(INDEX($A597:$J597,$N$6)&amp;""))</f>
        <v>Automic Group</v>
      </c>
      <c r="O597" s="37" t="str">
        <f aca="false">IF($M597="","",TRIM(INDEX($A597:$J597,$O$6)&amp;""))</f>
        <v>Video Production</v>
      </c>
      <c r="P597" s="37" t="str">
        <f aca="false">IF($M597="","",IFERROR(IF(INDEX(Settings!$B$41:$B$50,MATCH(O597,Settings!$A$41:$A$50,0))&amp;""="","UNMAPPED",INDEX(Settings!$B$41:$B$50,MATCH(O597,Settings!$A$41:$A$50,0))&amp;""),"UNMAPPED"))</f>
        <v>Video</v>
      </c>
      <c r="Q597" s="38" t="n">
        <f aca="false">IF($M597="",0,N(INDEX($A597:$J597,$Q$6)))</f>
        <v>2752</v>
      </c>
      <c r="R597" s="39" t="n">
        <f aca="false">IF($M597="","",INDEX($A597:$J597,$R$6))</f>
        <v>46108</v>
      </c>
      <c r="S597" s="37" t="str">
        <f aca="false">IF($M597="","",IFERROR(INDEX(Settings!$B$27:$B$36,MATCH(L597,Settings!$A$27:$A$36,0))&amp;"","UNMAPPED"))</f>
        <v>Lost</v>
      </c>
      <c r="T597" s="37" t="str">
        <f aca="false">IF($M597="","",IF(NOT(ISNUMBER(R597)),"NO DATE",IF(S597="Won",IF(R597&gt;Settings!$B$5,"Backlog","Delivered"),IF(S597="Open",IF(R597&gt;Settings!$B$5,"Pipeline","Overdue"),IF(S597="Lost","Lost","UNMAPPED")))))</f>
        <v>Lost</v>
      </c>
      <c r="U597" s="40" t="n">
        <f aca="false">IF(T597="Backlog",1,IF(OR(T597="Pipeline",T597="Overdue"),N(INDEX(Settings!$C$27:$C$36,MATCH(L597,Settings!$A$27:$A$36,0))),0))</f>
        <v>0</v>
      </c>
      <c r="V597" s="38" t="n">
        <f aca="false">Q597*U597</f>
        <v>0</v>
      </c>
      <c r="W597" s="41" t="n">
        <f aca="false">IF($M597="","",IF(T597="Overdue",IF(Settings!$B$8="Yes",Settings!$B$7,""),IF(ISNUMBER(R597),DATE(YEAR(R597),MONTH(R597),1),"")))</f>
        <v>46082</v>
      </c>
      <c r="X597" s="38" t="n">
        <f aca="false">IF(AND(OR(T597="Backlog",T597="Pipeline",T597="Overdue"),ISNUMBER(W597)),IF(W597&lt;=Settings!$B$6,V597,0),0)</f>
        <v>0</v>
      </c>
      <c r="Y597" s="38" t="n">
        <f aca="false">IF(AND(OR(T597="Backlog",T597="Pipeline",T597="Overdue"),ISNUMBER(W597)),IF(W597&lt;=Settings!$B$6,Q597,0),0)</f>
        <v>0</v>
      </c>
      <c r="Z597" s="38" t="n">
        <f aca="false">IF(Y597=0,0,IF(T597="Backlog",Q597,Q597*Dashboard!$C$10))</f>
        <v>0</v>
      </c>
      <c r="AA597" s="37" t="n">
        <f aca="false">IF($N597="",0,IF(COUNTIF(Dashboard!$C$13:$C$22,$N597)&gt;0,1,0))</f>
        <v>0</v>
      </c>
      <c r="AB597" s="37" t="str">
        <f aca="false">IF($N597="","",IF(COUNTIF($N$8:$N597,$N597)=1,MAX($AB$7:$AB596)+1,""))</f>
        <v/>
      </c>
    </row>
    <row r="598" customFormat="false" ht="15" hidden="false" customHeight="false" outlineLevel="0" collapsed="false">
      <c r="B598" s="32" t="s">
        <v>1437</v>
      </c>
      <c r="C598" s="32" t="s">
        <v>211</v>
      </c>
      <c r="D598" s="35" t="n">
        <v>510</v>
      </c>
      <c r="E598" s="32" t="s">
        <v>180</v>
      </c>
      <c r="F598" s="36" t="n">
        <v>46059</v>
      </c>
      <c r="G598" s="32" t="s">
        <v>1438</v>
      </c>
      <c r="L598" s="37" t="str">
        <f aca="false">IF(INDEX($A598:$J598,$L$6)&lt;&gt;"",TRIM(LEFT(INDEX($A598:$J598,$L$6),FIND("(",INDEX($A598:$J598,$L$6)&amp;"(")-1)),L597)</f>
        <v>Closed Lost</v>
      </c>
      <c r="M598" s="37" t="str">
        <f aca="false">IF(INDEX($A598:$J598,$M$6)="","",INDEX($A598:$J598,$M$6)&amp;"")</f>
        <v>AusPayNet | AV Support -17th of February 2026</v>
      </c>
      <c r="N598" s="37" t="str">
        <f aca="false">IF($M598="","",TRIM(INDEX($A598:$J598,$N$6)&amp;""))</f>
        <v>Australian Payments Network</v>
      </c>
      <c r="O598" s="37" t="str">
        <f aca="false">IF($M598="","",TRIM(INDEX($A598:$J598,$O$6)&amp;""))</f>
        <v>Support</v>
      </c>
      <c r="P598" s="37" t="str">
        <f aca="false">IF($M598="","",IFERROR(IF(INDEX(Settings!$B$41:$B$50,MATCH(O598,Settings!$A$41:$A$50,0))&amp;""="","UNMAPPED",INDEX(Settings!$B$41:$B$50,MATCH(O598,Settings!$A$41:$A$50,0))&amp;""),"UNMAPPED"))</f>
        <v>Onsite</v>
      </c>
      <c r="Q598" s="38" t="n">
        <f aca="false">IF($M598="",0,N(INDEX($A598:$J598,$Q$6)))</f>
        <v>510</v>
      </c>
      <c r="R598" s="39" t="n">
        <f aca="false">IF($M598="","",INDEX($A598:$J598,$R$6))</f>
        <v>46059</v>
      </c>
      <c r="S598" s="37" t="str">
        <f aca="false">IF($M598="","",IFERROR(INDEX(Settings!$B$27:$B$36,MATCH(L598,Settings!$A$27:$A$36,0))&amp;"","UNMAPPED"))</f>
        <v>Lost</v>
      </c>
      <c r="T598" s="37" t="str">
        <f aca="false">IF($M598="","",IF(NOT(ISNUMBER(R598)),"NO DATE",IF(S598="Won",IF(R598&gt;Settings!$B$5,"Backlog","Delivered"),IF(S598="Open",IF(R598&gt;Settings!$B$5,"Pipeline","Overdue"),IF(S598="Lost","Lost","UNMAPPED")))))</f>
        <v>Lost</v>
      </c>
      <c r="U598" s="40" t="n">
        <f aca="false">IF(T598="Backlog",1,IF(OR(T598="Pipeline",T598="Overdue"),N(INDEX(Settings!$C$27:$C$36,MATCH(L598,Settings!$A$27:$A$36,0))),0))</f>
        <v>0</v>
      </c>
      <c r="V598" s="38" t="n">
        <f aca="false">Q598*U598</f>
        <v>0</v>
      </c>
      <c r="W598" s="41" t="n">
        <f aca="false">IF($M598="","",IF(T598="Overdue",IF(Settings!$B$8="Yes",Settings!$B$7,""),IF(ISNUMBER(R598),DATE(YEAR(R598),MONTH(R598),1),"")))</f>
        <v>46054</v>
      </c>
      <c r="X598" s="38" t="n">
        <f aca="false">IF(AND(OR(T598="Backlog",T598="Pipeline",T598="Overdue"),ISNUMBER(W598)),IF(W598&lt;=Settings!$B$6,V598,0),0)</f>
        <v>0</v>
      </c>
      <c r="Y598" s="38" t="n">
        <f aca="false">IF(AND(OR(T598="Backlog",T598="Pipeline",T598="Overdue"),ISNUMBER(W598)),IF(W598&lt;=Settings!$B$6,Q598,0),0)</f>
        <v>0</v>
      </c>
      <c r="Z598" s="38" t="n">
        <f aca="false">IF(Y598=0,0,IF(T598="Backlog",Q598,Q598*Dashboard!$C$10))</f>
        <v>0</v>
      </c>
      <c r="AA598" s="37" t="n">
        <f aca="false">IF($N598="",0,IF(COUNTIF(Dashboard!$C$13:$C$22,$N598)&gt;0,1,0))</f>
        <v>0</v>
      </c>
      <c r="AB598" s="37" t="str">
        <f aca="false">IF($N598="","",IF(COUNTIF($N$8:$N598,$N598)=1,MAX($AB$7:$AB597)+1,""))</f>
        <v/>
      </c>
    </row>
    <row r="599" customFormat="false" ht="15" hidden="false" customHeight="false" outlineLevel="0" collapsed="false">
      <c r="B599" s="32" t="s">
        <v>1439</v>
      </c>
      <c r="C599" s="32" t="s">
        <v>144</v>
      </c>
      <c r="D599" s="35" t="n">
        <v>4000</v>
      </c>
      <c r="E599" s="32" t="s">
        <v>145</v>
      </c>
      <c r="F599" s="36" t="n">
        <v>46059</v>
      </c>
      <c r="G599" s="32" t="s">
        <v>1440</v>
      </c>
      <c r="L599" s="37" t="str">
        <f aca="false">IF(INDEX($A599:$J599,$L$6)&lt;&gt;"",TRIM(LEFT(INDEX($A599:$J599,$L$6),FIND("(",INDEX($A599:$J599,$L$6)&amp;"(")-1)),L598)</f>
        <v>Closed Lost</v>
      </c>
      <c r="M599" s="37" t="str">
        <f aca="false">IF(INDEX($A599:$J599,$M$6)="","",INDEX($A599:$J599,$M$6)&amp;"")</f>
        <v>Mardi Gras Bingo</v>
      </c>
      <c r="N599" s="37" t="str">
        <f aca="false">IF($M599="","",TRIM(INDEX($A599:$J599,$N$6)&amp;""))</f>
        <v>Investa</v>
      </c>
      <c r="O599" s="37" t="str">
        <f aca="false">IF($M599="","",TRIM(INDEX($A599:$J599,$O$6)&amp;""))</f>
        <v>Event Production</v>
      </c>
      <c r="P599" s="37" t="str">
        <f aca="false">IF($M599="","",IFERROR(IF(INDEX(Settings!$B$41:$B$50,MATCH(O599,Settings!$A$41:$A$50,0))&amp;""="","UNMAPPED",INDEX(Settings!$B$41:$B$50,MATCH(O599,Settings!$A$41:$A$50,0))&amp;""),"UNMAPPED"))</f>
        <v>Production</v>
      </c>
      <c r="Q599" s="38" t="n">
        <f aca="false">IF($M599="",0,N(INDEX($A599:$J599,$Q$6)))</f>
        <v>4000</v>
      </c>
      <c r="R599" s="39" t="n">
        <f aca="false">IF($M599="","",INDEX($A599:$J599,$R$6))</f>
        <v>46059</v>
      </c>
      <c r="S599" s="37" t="str">
        <f aca="false">IF($M599="","",IFERROR(INDEX(Settings!$B$27:$B$36,MATCH(L599,Settings!$A$27:$A$36,0))&amp;"","UNMAPPED"))</f>
        <v>Lost</v>
      </c>
      <c r="T599" s="37" t="str">
        <f aca="false">IF($M599="","",IF(NOT(ISNUMBER(R599)),"NO DATE",IF(S599="Won",IF(R599&gt;Settings!$B$5,"Backlog","Delivered"),IF(S599="Open",IF(R599&gt;Settings!$B$5,"Pipeline","Overdue"),IF(S599="Lost","Lost","UNMAPPED")))))</f>
        <v>Lost</v>
      </c>
      <c r="U599" s="40" t="n">
        <f aca="false">IF(T599="Backlog",1,IF(OR(T599="Pipeline",T599="Overdue"),N(INDEX(Settings!$C$27:$C$36,MATCH(L599,Settings!$A$27:$A$36,0))),0))</f>
        <v>0</v>
      </c>
      <c r="V599" s="38" t="n">
        <f aca="false">Q599*U599</f>
        <v>0</v>
      </c>
      <c r="W599" s="41" t="n">
        <f aca="false">IF($M599="","",IF(T599="Overdue",IF(Settings!$B$8="Yes",Settings!$B$7,""),IF(ISNUMBER(R599),DATE(YEAR(R599),MONTH(R599),1),"")))</f>
        <v>46054</v>
      </c>
      <c r="X599" s="38" t="n">
        <f aca="false">IF(AND(OR(T599="Backlog",T599="Pipeline",T599="Overdue"),ISNUMBER(W599)),IF(W599&lt;=Settings!$B$6,V599,0),0)</f>
        <v>0</v>
      </c>
      <c r="Y599" s="38" t="n">
        <f aca="false">IF(AND(OR(T599="Backlog",T599="Pipeline",T599="Overdue"),ISNUMBER(W599)),IF(W599&lt;=Settings!$B$6,Q599,0),0)</f>
        <v>0</v>
      </c>
      <c r="Z599" s="38" t="n">
        <f aca="false">IF(Y599=0,0,IF(T599="Backlog",Q599,Q599*Dashboard!$C$10))</f>
        <v>0</v>
      </c>
      <c r="AA599" s="37" t="n">
        <f aca="false">IF($N599="",0,IF(COUNTIF(Dashboard!$C$13:$C$22,$N599)&gt;0,1,0))</f>
        <v>0</v>
      </c>
      <c r="AB599" s="37" t="str">
        <f aca="false">IF($N599="","",IF(COUNTIF($N$8:$N599,$N599)=1,MAX($AB$7:$AB598)+1,""))</f>
        <v/>
      </c>
    </row>
    <row r="600" customFormat="false" ht="15" hidden="false" customHeight="false" outlineLevel="0" collapsed="false">
      <c r="B600" s="32" t="s">
        <v>1441</v>
      </c>
      <c r="C600" s="32" t="s">
        <v>154</v>
      </c>
      <c r="D600" s="35" t="n">
        <v>5713</v>
      </c>
      <c r="E600" s="32" t="s">
        <v>141</v>
      </c>
      <c r="F600" s="36" t="n">
        <v>45919</v>
      </c>
      <c r="G600" s="32" t="s">
        <v>1442</v>
      </c>
      <c r="L600" s="37" t="str">
        <f aca="false">IF(INDEX($A600:$J600,$L$6)&lt;&gt;"",TRIM(LEFT(INDEX($A600:$J600,$L$6),FIND("(",INDEX($A600:$J600,$L$6)&amp;"(")-1)),L599)</f>
        <v>Closed Lost</v>
      </c>
      <c r="M600" s="37" t="str">
        <f aca="false">IF(INDEX($A600:$J600,$M$6)="","",INDEX($A600:$J600,$M$6)&amp;"")</f>
        <v>Sharp Screen Replacement Sydney</v>
      </c>
      <c r="N600" s="37" t="str">
        <f aca="false">IF($M600="","",TRIM(INDEX($A600:$J600,$N$6)&amp;""))</f>
        <v>PWC</v>
      </c>
      <c r="O600" s="37" t="str">
        <f aca="false">IF($M600="","",TRIM(INDEX($A600:$J600,$O$6)&amp;""))</f>
        <v>Integration</v>
      </c>
      <c r="P600" s="37" t="str">
        <f aca="false">IF($M600="","",IFERROR(IF(INDEX(Settings!$B$41:$B$50,MATCH(O600,Settings!$A$41:$A$50,0))&amp;""="","UNMAPPED",INDEX(Settings!$B$41:$B$50,MATCH(O600,Settings!$A$41:$A$50,0))&amp;""),"UNMAPPED"))</f>
        <v>Integration</v>
      </c>
      <c r="Q600" s="38" t="n">
        <f aca="false">IF($M600="",0,N(INDEX($A600:$J600,$Q$6)))</f>
        <v>5713</v>
      </c>
      <c r="R600" s="39" t="n">
        <f aca="false">IF($M600="","",INDEX($A600:$J600,$R$6))</f>
        <v>45919</v>
      </c>
      <c r="S600" s="37" t="str">
        <f aca="false">IF($M600="","",IFERROR(INDEX(Settings!$B$27:$B$36,MATCH(L600,Settings!$A$27:$A$36,0))&amp;"","UNMAPPED"))</f>
        <v>Lost</v>
      </c>
      <c r="T600" s="37" t="str">
        <f aca="false">IF($M600="","",IF(NOT(ISNUMBER(R600)),"NO DATE",IF(S600="Won",IF(R600&gt;Settings!$B$5,"Backlog","Delivered"),IF(S600="Open",IF(R600&gt;Settings!$B$5,"Pipeline","Overdue"),IF(S600="Lost","Lost","UNMAPPED")))))</f>
        <v>Lost</v>
      </c>
      <c r="U600" s="40" t="n">
        <f aca="false">IF(T600="Backlog",1,IF(OR(T600="Pipeline",T600="Overdue"),N(INDEX(Settings!$C$27:$C$36,MATCH(L600,Settings!$A$27:$A$36,0))),0))</f>
        <v>0</v>
      </c>
      <c r="V600" s="38" t="n">
        <f aca="false">Q600*U600</f>
        <v>0</v>
      </c>
      <c r="W600" s="41" t="n">
        <f aca="false">IF($M600="","",IF(T600="Overdue",IF(Settings!$B$8="Yes",Settings!$B$7,""),IF(ISNUMBER(R600),DATE(YEAR(R600),MONTH(R600),1),"")))</f>
        <v>45901</v>
      </c>
      <c r="X600" s="38" t="n">
        <f aca="false">IF(AND(OR(T600="Backlog",T600="Pipeline",T600="Overdue"),ISNUMBER(W600)),IF(W600&lt;=Settings!$B$6,V600,0),0)</f>
        <v>0</v>
      </c>
      <c r="Y600" s="38" t="n">
        <f aca="false">IF(AND(OR(T600="Backlog",T600="Pipeline",T600="Overdue"),ISNUMBER(W600)),IF(W600&lt;=Settings!$B$6,Q600,0),0)</f>
        <v>0</v>
      </c>
      <c r="Z600" s="38" t="n">
        <f aca="false">IF(Y600=0,0,IF(T600="Backlog",Q600,Q600*Dashboard!$C$10))</f>
        <v>0</v>
      </c>
      <c r="AA600" s="37" t="n">
        <f aca="false">IF($N600="",0,IF(COUNTIF(Dashboard!$C$13:$C$22,$N600)&gt;0,1,0))</f>
        <v>0</v>
      </c>
      <c r="AB600" s="37" t="str">
        <f aca="false">IF($N600="","",IF(COUNTIF($N$8:$N600,$N600)=1,MAX($AB$7:$AB599)+1,""))</f>
        <v/>
      </c>
    </row>
    <row r="601" customFormat="false" ht="15" hidden="false" customHeight="false" outlineLevel="0" collapsed="false">
      <c r="B601" s="32" t="s">
        <v>1443</v>
      </c>
      <c r="C601" s="32" t="s">
        <v>324</v>
      </c>
      <c r="D601" s="35" t="n">
        <v>4055</v>
      </c>
      <c r="E601" s="32" t="s">
        <v>145</v>
      </c>
      <c r="F601" s="36" t="n">
        <v>46260</v>
      </c>
      <c r="G601" s="32" t="s">
        <v>1444</v>
      </c>
      <c r="L601" s="37" t="str">
        <f aca="false">IF(INDEX($A601:$J601,$L$6)&lt;&gt;"",TRIM(LEFT(INDEX($A601:$J601,$L$6),FIND("(",INDEX($A601:$J601,$L$6)&amp;"(")-1)),L600)</f>
        <v>Closed Lost</v>
      </c>
      <c r="M601" s="37" t="str">
        <f aca="false">IF(INDEX($A601:$J601,$M$6)="","",INDEX($A601:$J601,$M$6)&amp;"")</f>
        <v>KWM Melbourne Event - 26.8.2026</v>
      </c>
      <c r="N601" s="37" t="str">
        <f aca="false">IF($M601="","",TRIM(INDEX($A601:$J601,$N$6)&amp;""))</f>
        <v>ON24</v>
      </c>
      <c r="O601" s="37" t="str">
        <f aca="false">IF($M601="","",TRIM(INDEX($A601:$J601,$O$6)&amp;""))</f>
        <v>Event Production</v>
      </c>
      <c r="P601" s="37" t="str">
        <f aca="false">IF($M601="","",IFERROR(IF(INDEX(Settings!$B$41:$B$50,MATCH(O601,Settings!$A$41:$A$50,0))&amp;""="","UNMAPPED",INDEX(Settings!$B$41:$B$50,MATCH(O601,Settings!$A$41:$A$50,0))&amp;""),"UNMAPPED"))</f>
        <v>Production</v>
      </c>
      <c r="Q601" s="38" t="n">
        <f aca="false">IF($M601="",0,N(INDEX($A601:$J601,$Q$6)))</f>
        <v>4055</v>
      </c>
      <c r="R601" s="39" t="n">
        <f aca="false">IF($M601="","",INDEX($A601:$J601,$R$6))</f>
        <v>46260</v>
      </c>
      <c r="S601" s="37" t="str">
        <f aca="false">IF($M601="","",IFERROR(INDEX(Settings!$B$27:$B$36,MATCH(L601,Settings!$A$27:$A$36,0))&amp;"","UNMAPPED"))</f>
        <v>Lost</v>
      </c>
      <c r="T601" s="37" t="str">
        <f aca="false">IF($M601="","",IF(NOT(ISNUMBER(R601)),"NO DATE",IF(S601="Won",IF(R601&gt;Settings!$B$5,"Backlog","Delivered"),IF(S601="Open",IF(R601&gt;Settings!$B$5,"Pipeline","Overdue"),IF(S601="Lost","Lost","UNMAPPED")))))</f>
        <v>Lost</v>
      </c>
      <c r="U601" s="40" t="n">
        <f aca="false">IF(T601="Backlog",1,IF(OR(T601="Pipeline",T601="Overdue"),N(INDEX(Settings!$C$27:$C$36,MATCH(L601,Settings!$A$27:$A$36,0))),0))</f>
        <v>0</v>
      </c>
      <c r="V601" s="38" t="n">
        <f aca="false">Q601*U601</f>
        <v>0</v>
      </c>
      <c r="W601" s="41" t="n">
        <f aca="false">IF($M601="","",IF(T601="Overdue",IF(Settings!$B$8="Yes",Settings!$B$7,""),IF(ISNUMBER(R601),DATE(YEAR(R601),MONTH(R601),1),"")))</f>
        <v>46235</v>
      </c>
      <c r="X601" s="38" t="n">
        <f aca="false">IF(AND(OR(T601="Backlog",T601="Pipeline",T601="Overdue"),ISNUMBER(W601)),IF(W601&lt;=Settings!$B$6,V601,0),0)</f>
        <v>0</v>
      </c>
      <c r="Y601" s="38" t="n">
        <f aca="false">IF(AND(OR(T601="Backlog",T601="Pipeline",T601="Overdue"),ISNUMBER(W601)),IF(W601&lt;=Settings!$B$6,Q601,0),0)</f>
        <v>0</v>
      </c>
      <c r="Z601" s="38" t="n">
        <f aca="false">IF(Y601=0,0,IF(T601="Backlog",Q601,Q601*Dashboard!$C$10))</f>
        <v>0</v>
      </c>
      <c r="AA601" s="37" t="n">
        <f aca="false">IF($N601="",0,IF(COUNTIF(Dashboard!$C$13:$C$22,$N601)&gt;0,1,0))</f>
        <v>0</v>
      </c>
      <c r="AB601" s="37" t="str">
        <f aca="false">IF($N601="","",IF(COUNTIF($N$8:$N601,$N601)=1,MAX($AB$7:$AB600)+1,""))</f>
        <v/>
      </c>
    </row>
    <row r="602" customFormat="false" ht="15" hidden="false" customHeight="false" outlineLevel="0" collapsed="false">
      <c r="B602" s="32" t="s">
        <v>1445</v>
      </c>
      <c r="C602" s="32" t="s">
        <v>1446</v>
      </c>
      <c r="D602" s="35"/>
      <c r="E602" s="32" t="s">
        <v>180</v>
      </c>
      <c r="F602" s="36" t="n">
        <v>46214</v>
      </c>
      <c r="G602" s="32" t="s">
        <v>1447</v>
      </c>
      <c r="L602" s="37" t="str">
        <f aca="false">IF(INDEX($A602:$J602,$L$6)&lt;&gt;"",TRIM(LEFT(INDEX($A602:$J602,$L$6),FIND("(",INDEX($A602:$J602,$L$6)&amp;"(")-1)),L601)</f>
        <v>Closed Lost</v>
      </c>
      <c r="M602" s="37" t="str">
        <f aca="false">IF(INDEX($A602:$J602,$M$6)="","",INDEX($A602:$J602,$M$6)&amp;"")</f>
        <v>AV Support Contract (3-years) | 26051403</v>
      </c>
      <c r="N602" s="37" t="str">
        <f aca="false">IF($M602="","",TRIM(INDEX($A602:$J602,$N$6)&amp;""))</f>
        <v>TRANSGRID</v>
      </c>
      <c r="O602" s="37" t="str">
        <f aca="false">IF($M602="","",TRIM(INDEX($A602:$J602,$O$6)&amp;""))</f>
        <v>Support</v>
      </c>
      <c r="P602" s="37" t="str">
        <f aca="false">IF($M602="","",IFERROR(IF(INDEX(Settings!$B$41:$B$50,MATCH(O602,Settings!$A$41:$A$50,0))&amp;""="","UNMAPPED",INDEX(Settings!$B$41:$B$50,MATCH(O602,Settings!$A$41:$A$50,0))&amp;""),"UNMAPPED"))</f>
        <v>Onsite</v>
      </c>
      <c r="Q602" s="38" t="n">
        <f aca="false">IF($M602="",0,N(INDEX($A602:$J602,$Q$6)))</f>
        <v>0</v>
      </c>
      <c r="R602" s="39" t="n">
        <f aca="false">IF($M602="","",INDEX($A602:$J602,$R$6))</f>
        <v>46214</v>
      </c>
      <c r="S602" s="37" t="str">
        <f aca="false">IF($M602="","",IFERROR(INDEX(Settings!$B$27:$B$36,MATCH(L602,Settings!$A$27:$A$36,0))&amp;"","UNMAPPED"))</f>
        <v>Lost</v>
      </c>
      <c r="T602" s="37" t="str">
        <f aca="false">IF($M602="","",IF(NOT(ISNUMBER(R602)),"NO DATE",IF(S602="Won",IF(R602&gt;Settings!$B$5,"Backlog","Delivered"),IF(S602="Open",IF(R602&gt;Settings!$B$5,"Pipeline","Overdue"),IF(S602="Lost","Lost","UNMAPPED")))))</f>
        <v>Lost</v>
      </c>
      <c r="U602" s="40" t="n">
        <f aca="false">IF(T602="Backlog",1,IF(OR(T602="Pipeline",T602="Overdue"),N(INDEX(Settings!$C$27:$C$36,MATCH(L602,Settings!$A$27:$A$36,0))),0))</f>
        <v>0</v>
      </c>
      <c r="V602" s="38" t="n">
        <f aca="false">Q602*U602</f>
        <v>0</v>
      </c>
      <c r="W602" s="41" t="n">
        <f aca="false">IF($M602="","",IF(T602="Overdue",IF(Settings!$B$8="Yes",Settings!$B$7,""),IF(ISNUMBER(R602),DATE(YEAR(R602),MONTH(R602),1),"")))</f>
        <v>46204</v>
      </c>
      <c r="X602" s="38" t="n">
        <f aca="false">IF(AND(OR(T602="Backlog",T602="Pipeline",T602="Overdue"),ISNUMBER(W602)),IF(W602&lt;=Settings!$B$6,V602,0),0)</f>
        <v>0</v>
      </c>
      <c r="Y602" s="38" t="n">
        <f aca="false">IF(AND(OR(T602="Backlog",T602="Pipeline",T602="Overdue"),ISNUMBER(W602)),IF(W602&lt;=Settings!$B$6,Q602,0),0)</f>
        <v>0</v>
      </c>
      <c r="Z602" s="38" t="n">
        <f aca="false">IF(Y602=0,0,IF(T602="Backlog",Q602,Q602*Dashboard!$C$10))</f>
        <v>0</v>
      </c>
      <c r="AA602" s="37" t="n">
        <f aca="false">IF($N602="",0,IF(COUNTIF(Dashboard!$C$13:$C$22,$N602)&gt;0,1,0))</f>
        <v>0</v>
      </c>
      <c r="AB602" s="37" t="n">
        <f aca="false">IF($N602="","",IF(COUNTIF($N$8:$N602,$N602)=1,MAX($AB$7:$AB601)+1,""))</f>
        <v>119</v>
      </c>
    </row>
    <row r="603" customFormat="false" ht="15" hidden="false" customHeight="false" outlineLevel="0" collapsed="false">
      <c r="B603" s="32" t="s">
        <v>1448</v>
      </c>
      <c r="C603" s="32" t="s">
        <v>276</v>
      </c>
      <c r="D603" s="35" t="n">
        <v>860</v>
      </c>
      <c r="E603" s="32" t="s">
        <v>145</v>
      </c>
      <c r="F603" s="36" t="n">
        <v>46308</v>
      </c>
      <c r="G603" s="32" t="s">
        <v>1449</v>
      </c>
      <c r="L603" s="37" t="str">
        <f aca="false">IF(INDEX($A603:$J603,$L$6)&lt;&gt;"",TRIM(LEFT(INDEX($A603:$J603,$L$6),FIND("(",INDEX($A603:$J603,$L$6)&amp;"(")-1)),L602)</f>
        <v>Closed Lost</v>
      </c>
      <c r="M603" s="37" t="str">
        <f aca="false">IF(INDEX($A603:$J603,$M$6)="","",INDEX($A603:$J603,$M$6)&amp;"")</f>
        <v>Vega Global - Event Support - 13/14.10.26</v>
      </c>
      <c r="N603" s="37" t="str">
        <f aca="false">IF($M603="","",TRIM(INDEX($A603:$J603,$N$6)&amp;""))</f>
        <v>Vega Global</v>
      </c>
      <c r="O603" s="37" t="str">
        <f aca="false">IF($M603="","",TRIM(INDEX($A603:$J603,$O$6)&amp;""))</f>
        <v>Event Production</v>
      </c>
      <c r="P603" s="37" t="str">
        <f aca="false">IF($M603="","",IFERROR(IF(INDEX(Settings!$B$41:$B$50,MATCH(O603,Settings!$A$41:$A$50,0))&amp;""="","UNMAPPED",INDEX(Settings!$B$41:$B$50,MATCH(O603,Settings!$A$41:$A$50,0))&amp;""),"UNMAPPED"))</f>
        <v>Production</v>
      </c>
      <c r="Q603" s="38" t="n">
        <f aca="false">IF($M603="",0,N(INDEX($A603:$J603,$Q$6)))</f>
        <v>860</v>
      </c>
      <c r="R603" s="39" t="n">
        <f aca="false">IF($M603="","",INDEX($A603:$J603,$R$6))</f>
        <v>46308</v>
      </c>
      <c r="S603" s="37" t="str">
        <f aca="false">IF($M603="","",IFERROR(INDEX(Settings!$B$27:$B$36,MATCH(L603,Settings!$A$27:$A$36,0))&amp;"","UNMAPPED"))</f>
        <v>Lost</v>
      </c>
      <c r="T603" s="37" t="str">
        <f aca="false">IF($M603="","",IF(NOT(ISNUMBER(R603)),"NO DATE",IF(S603="Won",IF(R603&gt;Settings!$B$5,"Backlog","Delivered"),IF(S603="Open",IF(R603&gt;Settings!$B$5,"Pipeline","Overdue"),IF(S603="Lost","Lost","UNMAPPED")))))</f>
        <v>Lost</v>
      </c>
      <c r="U603" s="40" t="n">
        <f aca="false">IF(T603="Backlog",1,IF(OR(T603="Pipeline",T603="Overdue"),N(INDEX(Settings!$C$27:$C$36,MATCH(L603,Settings!$A$27:$A$36,0))),0))</f>
        <v>0</v>
      </c>
      <c r="V603" s="38" t="n">
        <f aca="false">Q603*U603</f>
        <v>0</v>
      </c>
      <c r="W603" s="41" t="n">
        <f aca="false">IF($M603="","",IF(T603="Overdue",IF(Settings!$B$8="Yes",Settings!$B$7,""),IF(ISNUMBER(R603),DATE(YEAR(R603),MONTH(R603),1),"")))</f>
        <v>46296</v>
      </c>
      <c r="X603" s="38" t="n">
        <f aca="false">IF(AND(OR(T603="Backlog",T603="Pipeline",T603="Overdue"),ISNUMBER(W603)),IF(W603&lt;=Settings!$B$6,V603,0),0)</f>
        <v>0</v>
      </c>
      <c r="Y603" s="38" t="n">
        <f aca="false">IF(AND(OR(T603="Backlog",T603="Pipeline",T603="Overdue"),ISNUMBER(W603)),IF(W603&lt;=Settings!$B$6,Q603,0),0)</f>
        <v>0</v>
      </c>
      <c r="Z603" s="38" t="n">
        <f aca="false">IF(Y603=0,0,IF(T603="Backlog",Q603,Q603*Dashboard!$C$10))</f>
        <v>0</v>
      </c>
      <c r="AA603" s="37" t="n">
        <f aca="false">IF($N603="",0,IF(COUNTIF(Dashboard!$C$13:$C$22,$N603)&gt;0,1,0))</f>
        <v>0</v>
      </c>
      <c r="AB603" s="37" t="str">
        <f aca="false">IF($N603="","",IF(COUNTIF($N$8:$N603,$N603)=1,MAX($AB$7:$AB602)+1,""))</f>
        <v/>
      </c>
    </row>
    <row r="604" customFormat="false" ht="15" hidden="false" customHeight="false" outlineLevel="0" collapsed="false">
      <c r="B604" s="32" t="s">
        <v>1450</v>
      </c>
      <c r="C604" s="32" t="s">
        <v>898</v>
      </c>
      <c r="D604" s="35" t="n">
        <v>1</v>
      </c>
      <c r="E604" s="32" t="s">
        <v>141</v>
      </c>
      <c r="F604" s="36" t="n">
        <v>46297</v>
      </c>
      <c r="G604" s="32" t="s">
        <v>1451</v>
      </c>
      <c r="L604" s="37" t="str">
        <f aca="false">IF(INDEX($A604:$J604,$L$6)&lt;&gt;"",TRIM(LEFT(INDEX($A604:$J604,$L$6),FIND("(",INDEX($A604:$J604,$L$6)&amp;"(")-1)),L603)</f>
        <v>Closed Lost</v>
      </c>
      <c r="M604" s="37" t="str">
        <f aca="false">IF(INDEX($A604:$J604,$M$6)="","",INDEX($A604:$J604,$M$6)&amp;"")</f>
        <v>HP-D3 | Austrac Phone Mods x72 - 26091602</v>
      </c>
      <c r="N604" s="37" t="str">
        <f aca="false">IF($M604="","",TRIM(INDEX($A604:$J604,$N$6)&amp;""))</f>
        <v>Data#3</v>
      </c>
      <c r="O604" s="37" t="str">
        <f aca="false">IF($M604="","",TRIM(INDEX($A604:$J604,$O$6)&amp;""))</f>
        <v>Integration</v>
      </c>
      <c r="P604" s="37" t="str">
        <f aca="false">IF($M604="","",IFERROR(IF(INDEX(Settings!$B$41:$B$50,MATCH(O604,Settings!$A$41:$A$50,0))&amp;""="","UNMAPPED",INDEX(Settings!$B$41:$B$50,MATCH(O604,Settings!$A$41:$A$50,0))&amp;""),"UNMAPPED"))</f>
        <v>Integration</v>
      </c>
      <c r="Q604" s="38" t="n">
        <f aca="false">IF($M604="",0,N(INDEX($A604:$J604,$Q$6)))</f>
        <v>1</v>
      </c>
      <c r="R604" s="39" t="n">
        <f aca="false">IF($M604="","",INDEX($A604:$J604,$R$6))</f>
        <v>46297</v>
      </c>
      <c r="S604" s="37" t="str">
        <f aca="false">IF($M604="","",IFERROR(INDEX(Settings!$B$27:$B$36,MATCH(L604,Settings!$A$27:$A$36,0))&amp;"","UNMAPPED"))</f>
        <v>Lost</v>
      </c>
      <c r="T604" s="37" t="str">
        <f aca="false">IF($M604="","",IF(NOT(ISNUMBER(R604)),"NO DATE",IF(S604="Won",IF(R604&gt;Settings!$B$5,"Backlog","Delivered"),IF(S604="Open",IF(R604&gt;Settings!$B$5,"Pipeline","Overdue"),IF(S604="Lost","Lost","UNMAPPED")))))</f>
        <v>Lost</v>
      </c>
      <c r="U604" s="40" t="n">
        <f aca="false">IF(T604="Backlog",1,IF(OR(T604="Pipeline",T604="Overdue"),N(INDEX(Settings!$C$27:$C$36,MATCH(L604,Settings!$A$27:$A$36,0))),0))</f>
        <v>0</v>
      </c>
      <c r="V604" s="38" t="n">
        <f aca="false">Q604*U604</f>
        <v>0</v>
      </c>
      <c r="W604" s="41" t="n">
        <f aca="false">IF($M604="","",IF(T604="Overdue",IF(Settings!$B$8="Yes",Settings!$B$7,""),IF(ISNUMBER(R604),DATE(YEAR(R604),MONTH(R604),1),"")))</f>
        <v>46296</v>
      </c>
      <c r="X604" s="38" t="n">
        <f aca="false">IF(AND(OR(T604="Backlog",T604="Pipeline",T604="Overdue"),ISNUMBER(W604)),IF(W604&lt;=Settings!$B$6,V604,0),0)</f>
        <v>0</v>
      </c>
      <c r="Y604" s="38" t="n">
        <f aca="false">IF(AND(OR(T604="Backlog",T604="Pipeline",T604="Overdue"),ISNUMBER(W604)),IF(W604&lt;=Settings!$B$6,Q604,0),0)</f>
        <v>0</v>
      </c>
      <c r="Z604" s="38" t="n">
        <f aca="false">IF(Y604=0,0,IF(T604="Backlog",Q604,Q604*Dashboard!$C$10))</f>
        <v>0</v>
      </c>
      <c r="AA604" s="37" t="n">
        <f aca="false">IF($N604="",0,IF(COUNTIF(Dashboard!$C$13:$C$22,$N604)&gt;0,1,0))</f>
        <v>0</v>
      </c>
      <c r="AB604" s="37" t="str">
        <f aca="false">IF($N604="","",IF(COUNTIF($N$8:$N604,$N604)=1,MAX($AB$7:$AB603)+1,""))</f>
        <v/>
      </c>
    </row>
    <row r="605" customFormat="false" ht="15" hidden="false" customHeight="false" outlineLevel="0" collapsed="false">
      <c r="B605" s="32" t="s">
        <v>1452</v>
      </c>
      <c r="C605" s="32" t="s">
        <v>1453</v>
      </c>
      <c r="D605" s="35" t="n">
        <v>2000</v>
      </c>
      <c r="E605" s="32" t="s">
        <v>141</v>
      </c>
      <c r="F605" s="36" t="n">
        <v>46066</v>
      </c>
      <c r="G605" s="32" t="s">
        <v>1454</v>
      </c>
      <c r="L605" s="37" t="str">
        <f aca="false">IF(INDEX($A605:$J605,$L$6)&lt;&gt;"",TRIM(LEFT(INDEX($A605:$J605,$L$6),FIND("(",INDEX($A605:$J605,$L$6)&amp;"(")-1)),L604)</f>
        <v>Closed Lost</v>
      </c>
      <c r="M605" s="37" t="str">
        <f aca="false">IF(INDEX($A605:$J605,$M$6)="","",INDEX($A605:$J605,$M$6)&amp;"")</f>
        <v>Generate</v>
      </c>
      <c r="N605" s="37" t="str">
        <f aca="false">IF($M605="","",TRIM(INDEX($A605:$J605,$N$6)&amp;""))</f>
        <v>Generate Property Group</v>
      </c>
      <c r="O605" s="37" t="str">
        <f aca="false">IF($M605="","",TRIM(INDEX($A605:$J605,$O$6)&amp;""))</f>
        <v>Integration</v>
      </c>
      <c r="P605" s="37" t="str">
        <f aca="false">IF($M605="","",IFERROR(IF(INDEX(Settings!$B$41:$B$50,MATCH(O605,Settings!$A$41:$A$50,0))&amp;""="","UNMAPPED",INDEX(Settings!$B$41:$B$50,MATCH(O605,Settings!$A$41:$A$50,0))&amp;""),"UNMAPPED"))</f>
        <v>Integration</v>
      </c>
      <c r="Q605" s="38" t="n">
        <f aca="false">IF($M605="",0,N(INDEX($A605:$J605,$Q$6)))</f>
        <v>2000</v>
      </c>
      <c r="R605" s="39" t="n">
        <f aca="false">IF($M605="","",INDEX($A605:$J605,$R$6))</f>
        <v>46066</v>
      </c>
      <c r="S605" s="37" t="str">
        <f aca="false">IF($M605="","",IFERROR(INDEX(Settings!$B$27:$B$36,MATCH(L605,Settings!$A$27:$A$36,0))&amp;"","UNMAPPED"))</f>
        <v>Lost</v>
      </c>
      <c r="T605" s="37" t="str">
        <f aca="false">IF($M605="","",IF(NOT(ISNUMBER(R605)),"NO DATE",IF(S605="Won",IF(R605&gt;Settings!$B$5,"Backlog","Delivered"),IF(S605="Open",IF(R605&gt;Settings!$B$5,"Pipeline","Overdue"),IF(S605="Lost","Lost","UNMAPPED")))))</f>
        <v>Lost</v>
      </c>
      <c r="U605" s="40" t="n">
        <f aca="false">IF(T605="Backlog",1,IF(OR(T605="Pipeline",T605="Overdue"),N(INDEX(Settings!$C$27:$C$36,MATCH(L605,Settings!$A$27:$A$36,0))),0))</f>
        <v>0</v>
      </c>
      <c r="V605" s="38" t="n">
        <f aca="false">Q605*U605</f>
        <v>0</v>
      </c>
      <c r="W605" s="41" t="n">
        <f aca="false">IF($M605="","",IF(T605="Overdue",IF(Settings!$B$8="Yes",Settings!$B$7,""),IF(ISNUMBER(R605),DATE(YEAR(R605),MONTH(R605),1),"")))</f>
        <v>46054</v>
      </c>
      <c r="X605" s="38" t="n">
        <f aca="false">IF(AND(OR(T605="Backlog",T605="Pipeline",T605="Overdue"),ISNUMBER(W605)),IF(W605&lt;=Settings!$B$6,V605,0),0)</f>
        <v>0</v>
      </c>
      <c r="Y605" s="38" t="n">
        <f aca="false">IF(AND(OR(T605="Backlog",T605="Pipeline",T605="Overdue"),ISNUMBER(W605)),IF(W605&lt;=Settings!$B$6,Q605,0),0)</f>
        <v>0</v>
      </c>
      <c r="Z605" s="38" t="n">
        <f aca="false">IF(Y605=0,0,IF(T605="Backlog",Q605,Q605*Dashboard!$C$10))</f>
        <v>0</v>
      </c>
      <c r="AA605" s="37" t="n">
        <f aca="false">IF($N605="",0,IF(COUNTIF(Dashboard!$C$13:$C$22,$N605)&gt;0,1,0))</f>
        <v>0</v>
      </c>
      <c r="AB605" s="37" t="n">
        <f aca="false">IF($N605="","",IF(COUNTIF($N$8:$N605,$N605)=1,MAX($AB$7:$AB604)+1,""))</f>
        <v>120</v>
      </c>
    </row>
    <row r="606" customFormat="false" ht="15" hidden="false" customHeight="false" outlineLevel="0" collapsed="false">
      <c r="B606" s="32" t="s">
        <v>1455</v>
      </c>
      <c r="C606" s="32" t="s">
        <v>1456</v>
      </c>
      <c r="D606" s="35" t="n">
        <v>835</v>
      </c>
      <c r="E606" s="32" t="s">
        <v>180</v>
      </c>
      <c r="F606" s="36" t="n">
        <v>45926</v>
      </c>
      <c r="G606" s="32" t="s">
        <v>1457</v>
      </c>
      <c r="L606" s="37" t="str">
        <f aca="false">IF(INDEX($A606:$J606,$L$6)&lt;&gt;"",TRIM(LEFT(INDEX($A606:$J606,$L$6),FIND("(",INDEX($A606:$J606,$L$6)&amp;"(")-1)),L605)</f>
        <v>Closed Lost</v>
      </c>
      <c r="M606" s="37" t="str">
        <f aca="false">IF(INDEX($A606:$J606,$M$6)="","",INDEX($A606:$J606,$M$6)&amp;"")</f>
        <v>DTTL Perth | Projector Lamp purchase</v>
      </c>
      <c r="N606" s="37" t="str">
        <f aca="false">IF($M606="","",TRIM(INDEX($A606:$J606,$N$6)&amp;""))</f>
        <v>Deloitte - Perth</v>
      </c>
      <c r="O606" s="37" t="str">
        <f aca="false">IF($M606="","",TRIM(INDEX($A606:$J606,$O$6)&amp;""))</f>
        <v>Support</v>
      </c>
      <c r="P606" s="37" t="str">
        <f aca="false">IF($M606="","",IFERROR(IF(INDEX(Settings!$B$41:$B$50,MATCH(O606,Settings!$A$41:$A$50,0))&amp;""="","UNMAPPED",INDEX(Settings!$B$41:$B$50,MATCH(O606,Settings!$A$41:$A$50,0))&amp;""),"UNMAPPED"))</f>
        <v>Onsite</v>
      </c>
      <c r="Q606" s="38" t="n">
        <f aca="false">IF($M606="",0,N(INDEX($A606:$J606,$Q$6)))</f>
        <v>835</v>
      </c>
      <c r="R606" s="39" t="n">
        <f aca="false">IF($M606="","",INDEX($A606:$J606,$R$6))</f>
        <v>45926</v>
      </c>
      <c r="S606" s="37" t="str">
        <f aca="false">IF($M606="","",IFERROR(INDEX(Settings!$B$27:$B$36,MATCH(L606,Settings!$A$27:$A$36,0))&amp;"","UNMAPPED"))</f>
        <v>Lost</v>
      </c>
      <c r="T606" s="37" t="str">
        <f aca="false">IF($M606="","",IF(NOT(ISNUMBER(R606)),"NO DATE",IF(S606="Won",IF(R606&gt;Settings!$B$5,"Backlog","Delivered"),IF(S606="Open",IF(R606&gt;Settings!$B$5,"Pipeline","Overdue"),IF(S606="Lost","Lost","UNMAPPED")))))</f>
        <v>Lost</v>
      </c>
      <c r="U606" s="40" t="n">
        <f aca="false">IF(T606="Backlog",1,IF(OR(T606="Pipeline",T606="Overdue"),N(INDEX(Settings!$C$27:$C$36,MATCH(L606,Settings!$A$27:$A$36,0))),0))</f>
        <v>0</v>
      </c>
      <c r="V606" s="38" t="n">
        <f aca="false">Q606*U606</f>
        <v>0</v>
      </c>
      <c r="W606" s="41" t="n">
        <f aca="false">IF($M606="","",IF(T606="Overdue",IF(Settings!$B$8="Yes",Settings!$B$7,""),IF(ISNUMBER(R606),DATE(YEAR(R606),MONTH(R606),1),"")))</f>
        <v>45901</v>
      </c>
      <c r="X606" s="38" t="n">
        <f aca="false">IF(AND(OR(T606="Backlog",T606="Pipeline",T606="Overdue"),ISNUMBER(W606)),IF(W606&lt;=Settings!$B$6,V606,0),0)</f>
        <v>0</v>
      </c>
      <c r="Y606" s="38" t="n">
        <f aca="false">IF(AND(OR(T606="Backlog",T606="Pipeline",T606="Overdue"),ISNUMBER(W606)),IF(W606&lt;=Settings!$B$6,Q606,0),0)</f>
        <v>0</v>
      </c>
      <c r="Z606" s="38" t="n">
        <f aca="false">IF(Y606=0,0,IF(T606="Backlog",Q606,Q606*Dashboard!$C$10))</f>
        <v>0</v>
      </c>
      <c r="AA606" s="37" t="n">
        <f aca="false">IF($N606="",0,IF(COUNTIF(Dashboard!$C$13:$C$22,$N606)&gt;0,1,0))</f>
        <v>0</v>
      </c>
      <c r="AB606" s="37" t="n">
        <f aca="false">IF($N606="","",IF(COUNTIF($N$8:$N606,$N606)=1,MAX($AB$7:$AB605)+1,""))</f>
        <v>121</v>
      </c>
    </row>
    <row r="607" customFormat="false" ht="15" hidden="false" customHeight="false" outlineLevel="0" collapsed="false">
      <c r="B607" s="32" t="s">
        <v>1458</v>
      </c>
      <c r="C607" s="32" t="s">
        <v>154</v>
      </c>
      <c r="D607" s="35" t="n">
        <v>7650</v>
      </c>
      <c r="E607" s="32" t="s">
        <v>180</v>
      </c>
      <c r="F607" s="36" t="n">
        <v>46255</v>
      </c>
      <c r="G607" s="32" t="s">
        <v>1459</v>
      </c>
      <c r="L607" s="37" t="str">
        <f aca="false">IF(INDEX($A607:$J607,$L$6)&lt;&gt;"",TRIM(LEFT(INDEX($A607:$J607,$L$6),FIND("(",INDEX($A607:$J607,$L$6)&amp;"(")-1)),L606)</f>
        <v>Closed Lost</v>
      </c>
      <c r="M607" s="37" t="str">
        <f aca="false">IF(INDEX($A607:$J607,$M$6)="","",INDEX($A607:$J607,$M$6)&amp;"")</f>
        <v>Melbourne Technician coverage -AUG/SEP</v>
      </c>
      <c r="N607" s="37" t="str">
        <f aca="false">IF($M607="","",TRIM(INDEX($A607:$J607,$N$6)&amp;""))</f>
        <v>PWC</v>
      </c>
      <c r="O607" s="37" t="str">
        <f aca="false">IF($M607="","",TRIM(INDEX($A607:$J607,$O$6)&amp;""))</f>
        <v>Support</v>
      </c>
      <c r="P607" s="37" t="str">
        <f aca="false">IF($M607="","",IFERROR(IF(INDEX(Settings!$B$41:$B$50,MATCH(O607,Settings!$A$41:$A$50,0))&amp;""="","UNMAPPED",INDEX(Settings!$B$41:$B$50,MATCH(O607,Settings!$A$41:$A$50,0))&amp;""),"UNMAPPED"))</f>
        <v>Onsite</v>
      </c>
      <c r="Q607" s="38" t="n">
        <f aca="false">IF($M607="",0,N(INDEX($A607:$J607,$Q$6)))</f>
        <v>7650</v>
      </c>
      <c r="R607" s="39" t="n">
        <f aca="false">IF($M607="","",INDEX($A607:$J607,$R$6))</f>
        <v>46255</v>
      </c>
      <c r="S607" s="37" t="str">
        <f aca="false">IF($M607="","",IFERROR(INDEX(Settings!$B$27:$B$36,MATCH(L607,Settings!$A$27:$A$36,0))&amp;"","UNMAPPED"))</f>
        <v>Lost</v>
      </c>
      <c r="T607" s="37" t="str">
        <f aca="false">IF($M607="","",IF(NOT(ISNUMBER(R607)),"NO DATE",IF(S607="Won",IF(R607&gt;Settings!$B$5,"Backlog","Delivered"),IF(S607="Open",IF(R607&gt;Settings!$B$5,"Pipeline","Overdue"),IF(S607="Lost","Lost","UNMAPPED")))))</f>
        <v>Lost</v>
      </c>
      <c r="U607" s="40" t="n">
        <f aca="false">IF(T607="Backlog",1,IF(OR(T607="Pipeline",T607="Overdue"),N(INDEX(Settings!$C$27:$C$36,MATCH(L607,Settings!$A$27:$A$36,0))),0))</f>
        <v>0</v>
      </c>
      <c r="V607" s="38" t="n">
        <f aca="false">Q607*U607</f>
        <v>0</v>
      </c>
      <c r="W607" s="41" t="n">
        <f aca="false">IF($M607="","",IF(T607="Overdue",IF(Settings!$B$8="Yes",Settings!$B$7,""),IF(ISNUMBER(R607),DATE(YEAR(R607),MONTH(R607),1),"")))</f>
        <v>46235</v>
      </c>
      <c r="X607" s="38" t="n">
        <f aca="false">IF(AND(OR(T607="Backlog",T607="Pipeline",T607="Overdue"),ISNUMBER(W607)),IF(W607&lt;=Settings!$B$6,V607,0),0)</f>
        <v>0</v>
      </c>
      <c r="Y607" s="38" t="n">
        <f aca="false">IF(AND(OR(T607="Backlog",T607="Pipeline",T607="Overdue"),ISNUMBER(W607)),IF(W607&lt;=Settings!$B$6,Q607,0),0)</f>
        <v>0</v>
      </c>
      <c r="Z607" s="38" t="n">
        <f aca="false">IF(Y607=0,0,IF(T607="Backlog",Q607,Q607*Dashboard!$C$10))</f>
        <v>0</v>
      </c>
      <c r="AA607" s="37" t="n">
        <f aca="false">IF($N607="",0,IF(COUNTIF(Dashboard!$C$13:$C$22,$N607)&gt;0,1,0))</f>
        <v>0</v>
      </c>
      <c r="AB607" s="37" t="str">
        <f aca="false">IF($N607="","",IF(COUNTIF($N$8:$N607,$N607)=1,MAX($AB$7:$AB606)+1,""))</f>
        <v/>
      </c>
    </row>
    <row r="608" customFormat="false" ht="15" hidden="false" customHeight="false" outlineLevel="0" collapsed="false">
      <c r="B608" s="32" t="s">
        <v>1460</v>
      </c>
      <c r="C608" s="32" t="s">
        <v>1171</v>
      </c>
      <c r="D608" s="35" t="n">
        <v>12250</v>
      </c>
      <c r="E608" s="32" t="s">
        <v>173</v>
      </c>
      <c r="F608" s="36" t="n">
        <v>45900</v>
      </c>
      <c r="G608" s="32" t="s">
        <v>1461</v>
      </c>
      <c r="L608" s="37" t="str">
        <f aca="false">IF(INDEX($A608:$J608,$L$6)&lt;&gt;"",TRIM(LEFT(INDEX($A608:$J608,$L$6),FIND("(",INDEX($A608:$J608,$L$6)&amp;"(")-1)),L607)</f>
        <v>Closed Lost</v>
      </c>
      <c r="M608" s="37" t="str">
        <f aca="false">IF(INDEX($A608:$J608,$M$6)="","",INDEX($A608:$J608,$M$6)&amp;"")</f>
        <v>Studio Refresh Discovery Phase</v>
      </c>
      <c r="N608" s="37" t="str">
        <f aca="false">IF($M608="","",TRIM(INDEX($A608:$J608,$N$6)&amp;""))</f>
        <v>Department of Employment &amp; Workplace Relations (DEWR)</v>
      </c>
      <c r="O608" s="37" t="str">
        <f aca="false">IF($M608="","",TRIM(INDEX($A608:$J608,$O$6)&amp;""))</f>
        <v>Consulting</v>
      </c>
      <c r="P608" s="37" t="str">
        <f aca="false">IF($M608="","",IFERROR(IF(INDEX(Settings!$B$41:$B$50,MATCH(O608,Settings!$A$41:$A$50,0))&amp;""="","UNMAPPED",INDEX(Settings!$B$41:$B$50,MATCH(O608,Settings!$A$41:$A$50,0))&amp;""),"UNMAPPED"))</f>
        <v>Consulting</v>
      </c>
      <c r="Q608" s="38" t="n">
        <f aca="false">IF($M608="",0,N(INDEX($A608:$J608,$Q$6)))</f>
        <v>12250</v>
      </c>
      <c r="R608" s="39" t="n">
        <f aca="false">IF($M608="","",INDEX($A608:$J608,$R$6))</f>
        <v>45900</v>
      </c>
      <c r="S608" s="37" t="str">
        <f aca="false">IF($M608="","",IFERROR(INDEX(Settings!$B$27:$B$36,MATCH(L608,Settings!$A$27:$A$36,0))&amp;"","UNMAPPED"))</f>
        <v>Lost</v>
      </c>
      <c r="T608" s="37" t="str">
        <f aca="false">IF($M608="","",IF(NOT(ISNUMBER(R608)),"NO DATE",IF(S608="Won",IF(R608&gt;Settings!$B$5,"Backlog","Delivered"),IF(S608="Open",IF(R608&gt;Settings!$B$5,"Pipeline","Overdue"),IF(S608="Lost","Lost","UNMAPPED")))))</f>
        <v>Lost</v>
      </c>
      <c r="U608" s="40" t="n">
        <f aca="false">IF(T608="Backlog",1,IF(OR(T608="Pipeline",T608="Overdue"),N(INDEX(Settings!$C$27:$C$36,MATCH(L608,Settings!$A$27:$A$36,0))),0))</f>
        <v>0</v>
      </c>
      <c r="V608" s="38" t="n">
        <f aca="false">Q608*U608</f>
        <v>0</v>
      </c>
      <c r="W608" s="41" t="n">
        <f aca="false">IF($M608="","",IF(T608="Overdue",IF(Settings!$B$8="Yes",Settings!$B$7,""),IF(ISNUMBER(R608),DATE(YEAR(R608),MONTH(R608),1),"")))</f>
        <v>45870</v>
      </c>
      <c r="X608" s="38" t="n">
        <f aca="false">IF(AND(OR(T608="Backlog",T608="Pipeline",T608="Overdue"),ISNUMBER(W608)),IF(W608&lt;=Settings!$B$6,V608,0),0)</f>
        <v>0</v>
      </c>
      <c r="Y608" s="38" t="n">
        <f aca="false">IF(AND(OR(T608="Backlog",T608="Pipeline",T608="Overdue"),ISNUMBER(W608)),IF(W608&lt;=Settings!$B$6,Q608,0),0)</f>
        <v>0</v>
      </c>
      <c r="Z608" s="38" t="n">
        <f aca="false">IF(Y608=0,0,IF(T608="Backlog",Q608,Q608*Dashboard!$C$10))</f>
        <v>0</v>
      </c>
      <c r="AA608" s="37" t="n">
        <f aca="false">IF($N608="",0,IF(COUNTIF(Dashboard!$C$13:$C$22,$N608)&gt;0,1,0))</f>
        <v>0</v>
      </c>
      <c r="AB608" s="37" t="str">
        <f aca="false">IF($N608="","",IF(COUNTIF($N$8:$N608,$N608)=1,MAX($AB$7:$AB607)+1,""))</f>
        <v/>
      </c>
    </row>
    <row r="609" customFormat="false" ht="15" hidden="false" customHeight="false" outlineLevel="0" collapsed="false">
      <c r="B609" s="32" t="s">
        <v>1462</v>
      </c>
      <c r="C609" s="32" t="s">
        <v>321</v>
      </c>
      <c r="D609" s="35" t="n">
        <v>450</v>
      </c>
      <c r="E609" s="32" t="s">
        <v>141</v>
      </c>
      <c r="F609" s="36" t="n">
        <v>46216</v>
      </c>
      <c r="G609" s="32" t="s">
        <v>1463</v>
      </c>
      <c r="L609" s="37" t="str">
        <f aca="false">IF(INDEX($A609:$J609,$L$6)&lt;&gt;"",TRIM(LEFT(INDEX($A609:$J609,$L$6),FIND("(",INDEX($A609:$J609,$L$6)&amp;"(")-1)),L608)</f>
        <v>Closed Lost</v>
      </c>
      <c r="M609" s="37" t="str">
        <f aca="false">IF(INDEX($A609:$J609,$M$6)="","",INDEX($A609:$J609,$M$6)&amp;"")</f>
        <v>HP-Calvary 36Month Support Rate Card - 26042102</v>
      </c>
      <c r="N609" s="37" t="str">
        <f aca="false">IF($M609="","",TRIM(INDEX($A609:$J609,$N$6)&amp;""))</f>
        <v>HP</v>
      </c>
      <c r="O609" s="37" t="str">
        <f aca="false">IF($M609="","",TRIM(INDEX($A609:$J609,$O$6)&amp;""))</f>
        <v>Integration</v>
      </c>
      <c r="P609" s="37" t="str">
        <f aca="false">IF($M609="","",IFERROR(IF(INDEX(Settings!$B$41:$B$50,MATCH(O609,Settings!$A$41:$A$50,0))&amp;""="","UNMAPPED",INDEX(Settings!$B$41:$B$50,MATCH(O609,Settings!$A$41:$A$50,0))&amp;""),"UNMAPPED"))</f>
        <v>Integration</v>
      </c>
      <c r="Q609" s="38" t="n">
        <f aca="false">IF($M609="",0,N(INDEX($A609:$J609,$Q$6)))</f>
        <v>450</v>
      </c>
      <c r="R609" s="39" t="n">
        <f aca="false">IF($M609="","",INDEX($A609:$J609,$R$6))</f>
        <v>46216</v>
      </c>
      <c r="S609" s="37" t="str">
        <f aca="false">IF($M609="","",IFERROR(INDEX(Settings!$B$27:$B$36,MATCH(L609,Settings!$A$27:$A$36,0))&amp;"","UNMAPPED"))</f>
        <v>Lost</v>
      </c>
      <c r="T609" s="37" t="str">
        <f aca="false">IF($M609="","",IF(NOT(ISNUMBER(R609)),"NO DATE",IF(S609="Won",IF(R609&gt;Settings!$B$5,"Backlog","Delivered"),IF(S609="Open",IF(R609&gt;Settings!$B$5,"Pipeline","Overdue"),IF(S609="Lost","Lost","UNMAPPED")))))</f>
        <v>Lost</v>
      </c>
      <c r="U609" s="40" t="n">
        <f aca="false">IF(T609="Backlog",1,IF(OR(T609="Pipeline",T609="Overdue"),N(INDEX(Settings!$C$27:$C$36,MATCH(L609,Settings!$A$27:$A$36,0))),0))</f>
        <v>0</v>
      </c>
      <c r="V609" s="38" t="n">
        <f aca="false">Q609*U609</f>
        <v>0</v>
      </c>
      <c r="W609" s="41" t="n">
        <f aca="false">IF($M609="","",IF(T609="Overdue",IF(Settings!$B$8="Yes",Settings!$B$7,""),IF(ISNUMBER(R609),DATE(YEAR(R609),MONTH(R609),1),"")))</f>
        <v>46204</v>
      </c>
      <c r="X609" s="38" t="n">
        <f aca="false">IF(AND(OR(T609="Backlog",T609="Pipeline",T609="Overdue"),ISNUMBER(W609)),IF(W609&lt;=Settings!$B$6,V609,0),0)</f>
        <v>0</v>
      </c>
      <c r="Y609" s="38" t="n">
        <f aca="false">IF(AND(OR(T609="Backlog",T609="Pipeline",T609="Overdue"),ISNUMBER(W609)),IF(W609&lt;=Settings!$B$6,Q609,0),0)</f>
        <v>0</v>
      </c>
      <c r="Z609" s="38" t="n">
        <f aca="false">IF(Y609=0,0,IF(T609="Backlog",Q609,Q609*Dashboard!$C$10))</f>
        <v>0</v>
      </c>
      <c r="AA609" s="37" t="n">
        <f aca="false">IF($N609="",0,IF(COUNTIF(Dashboard!$C$13:$C$22,$N609)&gt;0,1,0))</f>
        <v>0</v>
      </c>
      <c r="AB609" s="37" t="str">
        <f aca="false">IF($N609="","",IF(COUNTIF($N$8:$N609,$N609)=1,MAX($AB$7:$AB608)+1,""))</f>
        <v/>
      </c>
    </row>
    <row r="610" customFormat="false" ht="15" hidden="false" customHeight="false" outlineLevel="0" collapsed="false">
      <c r="B610" s="32" t="s">
        <v>1464</v>
      </c>
      <c r="C610" s="32" t="s">
        <v>321</v>
      </c>
      <c r="D610" s="35" t="n">
        <v>200000</v>
      </c>
      <c r="E610" s="32" t="s">
        <v>141</v>
      </c>
      <c r="F610" s="36" t="n">
        <v>45961</v>
      </c>
      <c r="G610" s="32" t="s">
        <v>1465</v>
      </c>
      <c r="L610" s="37" t="str">
        <f aca="false">IF(INDEX($A610:$J610,$L$6)&lt;&gt;"",TRIM(LEFT(INDEX($A610:$J610,$L$6),FIND("(",INDEX($A610:$J610,$L$6)&amp;"(")-1)),L609)</f>
        <v>Closed Lost</v>
      </c>
      <c r="M610" s="37" t="str">
        <f aca="false">IF(INDEX($A610:$J610,$M$6)="","",INDEX($A610:$J610,$M$6)&amp;"")</f>
        <v>Wingecarribee Shire Council RFP</v>
      </c>
      <c r="N610" s="37" t="str">
        <f aca="false">IF($M610="","",TRIM(INDEX($A610:$J610,$N$6)&amp;""))</f>
        <v>HP</v>
      </c>
      <c r="O610" s="37" t="str">
        <f aca="false">IF($M610="","",TRIM(INDEX($A610:$J610,$O$6)&amp;""))</f>
        <v>Integration</v>
      </c>
      <c r="P610" s="37" t="str">
        <f aca="false">IF($M610="","",IFERROR(IF(INDEX(Settings!$B$41:$B$50,MATCH(O610,Settings!$A$41:$A$50,0))&amp;""="","UNMAPPED",INDEX(Settings!$B$41:$B$50,MATCH(O610,Settings!$A$41:$A$50,0))&amp;""),"UNMAPPED"))</f>
        <v>Integration</v>
      </c>
      <c r="Q610" s="38" t="n">
        <f aca="false">IF($M610="",0,N(INDEX($A610:$J610,$Q$6)))</f>
        <v>200000</v>
      </c>
      <c r="R610" s="39" t="n">
        <f aca="false">IF($M610="","",INDEX($A610:$J610,$R$6))</f>
        <v>45961</v>
      </c>
      <c r="S610" s="37" t="str">
        <f aca="false">IF($M610="","",IFERROR(INDEX(Settings!$B$27:$B$36,MATCH(L610,Settings!$A$27:$A$36,0))&amp;"","UNMAPPED"))</f>
        <v>Lost</v>
      </c>
      <c r="T610" s="37" t="str">
        <f aca="false">IF($M610="","",IF(NOT(ISNUMBER(R610)),"NO DATE",IF(S610="Won",IF(R610&gt;Settings!$B$5,"Backlog","Delivered"),IF(S610="Open",IF(R610&gt;Settings!$B$5,"Pipeline","Overdue"),IF(S610="Lost","Lost","UNMAPPED")))))</f>
        <v>Lost</v>
      </c>
      <c r="U610" s="40" t="n">
        <f aca="false">IF(T610="Backlog",1,IF(OR(T610="Pipeline",T610="Overdue"),N(INDEX(Settings!$C$27:$C$36,MATCH(L610,Settings!$A$27:$A$36,0))),0))</f>
        <v>0</v>
      </c>
      <c r="V610" s="38" t="n">
        <f aca="false">Q610*U610</f>
        <v>0</v>
      </c>
      <c r="W610" s="41" t="n">
        <f aca="false">IF($M610="","",IF(T610="Overdue",IF(Settings!$B$8="Yes",Settings!$B$7,""),IF(ISNUMBER(R610),DATE(YEAR(R610),MONTH(R610),1),"")))</f>
        <v>45931</v>
      </c>
      <c r="X610" s="38" t="n">
        <f aca="false">IF(AND(OR(T610="Backlog",T610="Pipeline",T610="Overdue"),ISNUMBER(W610)),IF(W610&lt;=Settings!$B$6,V610,0),0)</f>
        <v>0</v>
      </c>
      <c r="Y610" s="38" t="n">
        <f aca="false">IF(AND(OR(T610="Backlog",T610="Pipeline",T610="Overdue"),ISNUMBER(W610)),IF(W610&lt;=Settings!$B$6,Q610,0),0)</f>
        <v>0</v>
      </c>
      <c r="Z610" s="38" t="n">
        <f aca="false">IF(Y610=0,0,IF(T610="Backlog",Q610,Q610*Dashboard!$C$10))</f>
        <v>0</v>
      </c>
      <c r="AA610" s="37" t="n">
        <f aca="false">IF($N610="",0,IF(COUNTIF(Dashboard!$C$13:$C$22,$N610)&gt;0,1,0))</f>
        <v>0</v>
      </c>
      <c r="AB610" s="37" t="str">
        <f aca="false">IF($N610="","",IF(COUNTIF($N$8:$N610,$N610)=1,MAX($AB$7:$AB609)+1,""))</f>
        <v/>
      </c>
    </row>
    <row r="611" customFormat="false" ht="15" hidden="false" customHeight="false" outlineLevel="0" collapsed="false">
      <c r="B611" s="32" t="s">
        <v>1466</v>
      </c>
      <c r="C611" s="32" t="s">
        <v>321</v>
      </c>
      <c r="D611" s="35"/>
      <c r="E611" s="32" t="s">
        <v>173</v>
      </c>
      <c r="F611" s="36" t="n">
        <v>46112</v>
      </c>
      <c r="G611" s="32" t="s">
        <v>1467</v>
      </c>
      <c r="L611" s="37" t="str">
        <f aca="false">IF(INDEX($A611:$J611,$L$6)&lt;&gt;"",TRIM(LEFT(INDEX($A611:$J611,$L$6),FIND("(",INDEX($A611:$J611,$L$6)&amp;"(")-1)),L610)</f>
        <v>Closed Lost</v>
      </c>
      <c r="M611" s="37" t="str">
        <f aca="false">IF(INDEX($A611:$J611,$M$6)="","",INDEX($A611:$J611,$M$6)&amp;"")</f>
        <v>Room Design Service (MEL) - 26031003</v>
      </c>
      <c r="N611" s="37" t="str">
        <f aca="false">IF($M611="","",TRIM(INDEX($A611:$J611,$N$6)&amp;""))</f>
        <v>HP</v>
      </c>
      <c r="O611" s="37" t="str">
        <f aca="false">IF($M611="","",TRIM(INDEX($A611:$J611,$O$6)&amp;""))</f>
        <v>Consulting</v>
      </c>
      <c r="P611" s="37" t="str">
        <f aca="false">IF($M611="","",IFERROR(IF(INDEX(Settings!$B$41:$B$50,MATCH(O611,Settings!$A$41:$A$50,0))&amp;""="","UNMAPPED",INDEX(Settings!$B$41:$B$50,MATCH(O611,Settings!$A$41:$A$50,0))&amp;""),"UNMAPPED"))</f>
        <v>Consulting</v>
      </c>
      <c r="Q611" s="38" t="n">
        <f aca="false">IF($M611="",0,N(INDEX($A611:$J611,$Q$6)))</f>
        <v>0</v>
      </c>
      <c r="R611" s="39" t="n">
        <f aca="false">IF($M611="","",INDEX($A611:$J611,$R$6))</f>
        <v>46112</v>
      </c>
      <c r="S611" s="37" t="str">
        <f aca="false">IF($M611="","",IFERROR(INDEX(Settings!$B$27:$B$36,MATCH(L611,Settings!$A$27:$A$36,0))&amp;"","UNMAPPED"))</f>
        <v>Lost</v>
      </c>
      <c r="T611" s="37" t="str">
        <f aca="false">IF($M611="","",IF(NOT(ISNUMBER(R611)),"NO DATE",IF(S611="Won",IF(R611&gt;Settings!$B$5,"Backlog","Delivered"),IF(S611="Open",IF(R611&gt;Settings!$B$5,"Pipeline","Overdue"),IF(S611="Lost","Lost","UNMAPPED")))))</f>
        <v>Lost</v>
      </c>
      <c r="U611" s="40" t="n">
        <f aca="false">IF(T611="Backlog",1,IF(OR(T611="Pipeline",T611="Overdue"),N(INDEX(Settings!$C$27:$C$36,MATCH(L611,Settings!$A$27:$A$36,0))),0))</f>
        <v>0</v>
      </c>
      <c r="V611" s="38" t="n">
        <f aca="false">Q611*U611</f>
        <v>0</v>
      </c>
      <c r="W611" s="41" t="n">
        <f aca="false">IF($M611="","",IF(T611="Overdue",IF(Settings!$B$8="Yes",Settings!$B$7,""),IF(ISNUMBER(R611),DATE(YEAR(R611),MONTH(R611),1),"")))</f>
        <v>46082</v>
      </c>
      <c r="X611" s="38" t="n">
        <f aca="false">IF(AND(OR(T611="Backlog",T611="Pipeline",T611="Overdue"),ISNUMBER(W611)),IF(W611&lt;=Settings!$B$6,V611,0),0)</f>
        <v>0</v>
      </c>
      <c r="Y611" s="38" t="n">
        <f aca="false">IF(AND(OR(T611="Backlog",T611="Pipeline",T611="Overdue"),ISNUMBER(W611)),IF(W611&lt;=Settings!$B$6,Q611,0),0)</f>
        <v>0</v>
      </c>
      <c r="Z611" s="38" t="n">
        <f aca="false">IF(Y611=0,0,IF(T611="Backlog",Q611,Q611*Dashboard!$C$10))</f>
        <v>0</v>
      </c>
      <c r="AA611" s="37" t="n">
        <f aca="false">IF($N611="",0,IF(COUNTIF(Dashboard!$C$13:$C$22,$N611)&gt;0,1,0))</f>
        <v>0</v>
      </c>
      <c r="AB611" s="37" t="str">
        <f aca="false">IF($N611="","",IF(COUNTIF($N$8:$N611,$N611)=1,MAX($AB$7:$AB610)+1,""))</f>
        <v/>
      </c>
    </row>
    <row r="612" customFormat="false" ht="15" hidden="false" customHeight="false" outlineLevel="0" collapsed="false">
      <c r="B612" s="32" t="s">
        <v>1468</v>
      </c>
      <c r="C612" s="32" t="s">
        <v>1469</v>
      </c>
      <c r="D612" s="35" t="n">
        <v>15000</v>
      </c>
      <c r="E612" s="32" t="s">
        <v>145</v>
      </c>
      <c r="F612" s="36" t="n">
        <v>46203</v>
      </c>
      <c r="G612" s="32" t="s">
        <v>1470</v>
      </c>
      <c r="L612" s="37" t="str">
        <f aca="false">IF(INDEX($A612:$J612,$L$6)&lt;&gt;"",TRIM(LEFT(INDEX($A612:$J612,$L$6),FIND("(",INDEX($A612:$J612,$L$6)&amp;"(")-1)),L611)</f>
        <v>Closed Lost</v>
      </c>
      <c r="M612" s="37" t="str">
        <f aca="false">IF(INDEX($A612:$J612,$M$6)="","",INDEX($A612:$J612,$M$6)&amp;"")</f>
        <v>Circadia - Circadia Elevate - 14.8.26</v>
      </c>
      <c r="N612" s="37" t="str">
        <f aca="false">IF($M612="","",TRIM(INDEX($A612:$J612,$N$6)&amp;""))</f>
        <v>Circadia Australia</v>
      </c>
      <c r="O612" s="37" t="str">
        <f aca="false">IF($M612="","",TRIM(INDEX($A612:$J612,$O$6)&amp;""))</f>
        <v>Event Production</v>
      </c>
      <c r="P612" s="37" t="str">
        <f aca="false">IF($M612="","",IFERROR(IF(INDEX(Settings!$B$41:$B$50,MATCH(O612,Settings!$A$41:$A$50,0))&amp;""="","UNMAPPED",INDEX(Settings!$B$41:$B$50,MATCH(O612,Settings!$A$41:$A$50,0))&amp;""),"UNMAPPED"))</f>
        <v>Production</v>
      </c>
      <c r="Q612" s="38" t="n">
        <f aca="false">IF($M612="",0,N(INDEX($A612:$J612,$Q$6)))</f>
        <v>15000</v>
      </c>
      <c r="R612" s="39" t="n">
        <f aca="false">IF($M612="","",INDEX($A612:$J612,$R$6))</f>
        <v>46203</v>
      </c>
      <c r="S612" s="37" t="str">
        <f aca="false">IF($M612="","",IFERROR(INDEX(Settings!$B$27:$B$36,MATCH(L612,Settings!$A$27:$A$36,0))&amp;"","UNMAPPED"))</f>
        <v>Lost</v>
      </c>
      <c r="T612" s="37" t="str">
        <f aca="false">IF($M612="","",IF(NOT(ISNUMBER(R612)),"NO DATE",IF(S612="Won",IF(R612&gt;Settings!$B$5,"Backlog","Delivered"),IF(S612="Open",IF(R612&gt;Settings!$B$5,"Pipeline","Overdue"),IF(S612="Lost","Lost","UNMAPPED")))))</f>
        <v>Lost</v>
      </c>
      <c r="U612" s="40" t="n">
        <f aca="false">IF(T612="Backlog",1,IF(OR(T612="Pipeline",T612="Overdue"),N(INDEX(Settings!$C$27:$C$36,MATCH(L612,Settings!$A$27:$A$36,0))),0))</f>
        <v>0</v>
      </c>
      <c r="V612" s="38" t="n">
        <f aca="false">Q612*U612</f>
        <v>0</v>
      </c>
      <c r="W612" s="41" t="n">
        <f aca="false">IF($M612="","",IF(T612="Overdue",IF(Settings!$B$8="Yes",Settings!$B$7,""),IF(ISNUMBER(R612),DATE(YEAR(R612),MONTH(R612),1),"")))</f>
        <v>46174</v>
      </c>
      <c r="X612" s="38" t="n">
        <f aca="false">IF(AND(OR(T612="Backlog",T612="Pipeline",T612="Overdue"),ISNUMBER(W612)),IF(W612&lt;=Settings!$B$6,V612,0),0)</f>
        <v>0</v>
      </c>
      <c r="Y612" s="38" t="n">
        <f aca="false">IF(AND(OR(T612="Backlog",T612="Pipeline",T612="Overdue"),ISNUMBER(W612)),IF(W612&lt;=Settings!$B$6,Q612,0),0)</f>
        <v>0</v>
      </c>
      <c r="Z612" s="38" t="n">
        <f aca="false">IF(Y612=0,0,IF(T612="Backlog",Q612,Q612*Dashboard!$C$10))</f>
        <v>0</v>
      </c>
      <c r="AA612" s="37" t="n">
        <f aca="false">IF($N612="",0,IF(COUNTIF(Dashboard!$C$13:$C$22,$N612)&gt;0,1,0))</f>
        <v>0</v>
      </c>
      <c r="AB612" s="37" t="n">
        <f aca="false">IF($N612="","",IF(COUNTIF($N$8:$N612,$N612)=1,MAX($AB$7:$AB611)+1,""))</f>
        <v>122</v>
      </c>
    </row>
    <row r="613" customFormat="false" ht="15" hidden="false" customHeight="false" outlineLevel="0" collapsed="false">
      <c r="B613" s="32" t="s">
        <v>1471</v>
      </c>
      <c r="C613" s="32" t="s">
        <v>1472</v>
      </c>
      <c r="D613" s="35" t="n">
        <v>720</v>
      </c>
      <c r="E613" s="32" t="s">
        <v>141</v>
      </c>
      <c r="F613" s="36" t="n">
        <v>46273</v>
      </c>
      <c r="G613" s="32" t="s">
        <v>1473</v>
      </c>
      <c r="L613" s="37" t="str">
        <f aca="false">IF(INDEX($A613:$J613,$L$6)&lt;&gt;"",TRIM(LEFT(INDEX($A613:$J613,$L$6),FIND("(",INDEX($A613:$J613,$L$6)&amp;"(")-1)),L612)</f>
        <v>Closed Lost</v>
      </c>
      <c r="M613" s="37" t="str">
        <f aca="false">IF(INDEX($A613:$J613,$M$6)="","",INDEX($A613:$J613,$M$6)&amp;"")</f>
        <v>SydCustomJoinery | Rack Quote - 26073108</v>
      </c>
      <c r="N613" s="37" t="str">
        <f aca="false">IF($M613="","",TRIM(INDEX($A613:$J613,$N$6)&amp;""))</f>
        <v>Sydney Custom Joinery</v>
      </c>
      <c r="O613" s="37" t="str">
        <f aca="false">IF($M613="","",TRIM(INDEX($A613:$J613,$O$6)&amp;""))</f>
        <v>Integration</v>
      </c>
      <c r="P613" s="37" t="str">
        <f aca="false">IF($M613="","",IFERROR(IF(INDEX(Settings!$B$41:$B$50,MATCH(O613,Settings!$A$41:$A$50,0))&amp;""="","UNMAPPED",INDEX(Settings!$B$41:$B$50,MATCH(O613,Settings!$A$41:$A$50,0))&amp;""),"UNMAPPED"))</f>
        <v>Integration</v>
      </c>
      <c r="Q613" s="38" t="n">
        <f aca="false">IF($M613="",0,N(INDEX($A613:$J613,$Q$6)))</f>
        <v>720</v>
      </c>
      <c r="R613" s="39" t="n">
        <f aca="false">IF($M613="","",INDEX($A613:$J613,$R$6))</f>
        <v>46273</v>
      </c>
      <c r="S613" s="37" t="str">
        <f aca="false">IF($M613="","",IFERROR(INDEX(Settings!$B$27:$B$36,MATCH(L613,Settings!$A$27:$A$36,0))&amp;"","UNMAPPED"))</f>
        <v>Lost</v>
      </c>
      <c r="T613" s="37" t="str">
        <f aca="false">IF($M613="","",IF(NOT(ISNUMBER(R613)),"NO DATE",IF(S613="Won",IF(R613&gt;Settings!$B$5,"Backlog","Delivered"),IF(S613="Open",IF(R613&gt;Settings!$B$5,"Pipeline","Overdue"),IF(S613="Lost","Lost","UNMAPPED")))))</f>
        <v>Lost</v>
      </c>
      <c r="U613" s="40" t="n">
        <f aca="false">IF(T613="Backlog",1,IF(OR(T613="Pipeline",T613="Overdue"),N(INDEX(Settings!$C$27:$C$36,MATCH(L613,Settings!$A$27:$A$36,0))),0))</f>
        <v>0</v>
      </c>
      <c r="V613" s="38" t="n">
        <f aca="false">Q613*U613</f>
        <v>0</v>
      </c>
      <c r="W613" s="41" t="n">
        <f aca="false">IF($M613="","",IF(T613="Overdue",IF(Settings!$B$8="Yes",Settings!$B$7,""),IF(ISNUMBER(R613),DATE(YEAR(R613),MONTH(R613),1),"")))</f>
        <v>46266</v>
      </c>
      <c r="X613" s="38" t="n">
        <f aca="false">IF(AND(OR(T613="Backlog",T613="Pipeline",T613="Overdue"),ISNUMBER(W613)),IF(W613&lt;=Settings!$B$6,V613,0),0)</f>
        <v>0</v>
      </c>
      <c r="Y613" s="38" t="n">
        <f aca="false">IF(AND(OR(T613="Backlog",T613="Pipeline",T613="Overdue"),ISNUMBER(W613)),IF(W613&lt;=Settings!$B$6,Q613,0),0)</f>
        <v>0</v>
      </c>
      <c r="Z613" s="38" t="n">
        <f aca="false">IF(Y613=0,0,IF(T613="Backlog",Q613,Q613*Dashboard!$C$10))</f>
        <v>0</v>
      </c>
      <c r="AA613" s="37" t="n">
        <f aca="false">IF($N613="",0,IF(COUNTIF(Dashboard!$C$13:$C$22,$N613)&gt;0,1,0))</f>
        <v>0</v>
      </c>
      <c r="AB613" s="37" t="n">
        <f aca="false">IF($N613="","",IF(COUNTIF($N$8:$N613,$N613)=1,MAX($AB$7:$AB612)+1,""))</f>
        <v>123</v>
      </c>
    </row>
    <row r="614" customFormat="false" ht="15" hidden="false" customHeight="false" outlineLevel="0" collapsed="false">
      <c r="B614" s="32" t="s">
        <v>1474</v>
      </c>
      <c r="C614" s="32" t="s">
        <v>205</v>
      </c>
      <c r="D614" s="35" t="n">
        <v>0</v>
      </c>
      <c r="E614" s="32" t="s">
        <v>180</v>
      </c>
      <c r="F614" s="36" t="n">
        <v>45968</v>
      </c>
      <c r="G614" s="32" t="s">
        <v>1475</v>
      </c>
      <c r="L614" s="37" t="str">
        <f aca="false">IF(INDEX($A614:$J614,$L$6)&lt;&gt;"",TRIM(LEFT(INDEX($A614:$J614,$L$6),FIND("(",INDEX($A614:$J614,$L$6)&amp;"(")-1)),L613)</f>
        <v>Closed Lost</v>
      </c>
      <c r="M614" s="37" t="str">
        <f aca="false">IF(INDEX($A614:$J614,$M$6)="","",INDEX($A614:$J614,$M$6)&amp;"")</f>
        <v>Deloitte Tech Support - 28th of November 25</v>
      </c>
      <c r="N614" s="37" t="str">
        <f aca="false">IF($M614="","",TRIM(INDEX($A614:$J614,$N$6)&amp;""))</f>
        <v>Deloitte - Sydney</v>
      </c>
      <c r="O614" s="37" t="str">
        <f aca="false">IF($M614="","",TRIM(INDEX($A614:$J614,$O$6)&amp;""))</f>
        <v>Support</v>
      </c>
      <c r="P614" s="37" t="str">
        <f aca="false">IF($M614="","",IFERROR(IF(INDEX(Settings!$B$41:$B$50,MATCH(O614,Settings!$A$41:$A$50,0))&amp;""="","UNMAPPED",INDEX(Settings!$B$41:$B$50,MATCH(O614,Settings!$A$41:$A$50,0))&amp;""),"UNMAPPED"))</f>
        <v>Onsite</v>
      </c>
      <c r="Q614" s="38" t="n">
        <f aca="false">IF($M614="",0,N(INDEX($A614:$J614,$Q$6)))</f>
        <v>0</v>
      </c>
      <c r="R614" s="39" t="n">
        <f aca="false">IF($M614="","",INDEX($A614:$J614,$R$6))</f>
        <v>45968</v>
      </c>
      <c r="S614" s="37" t="str">
        <f aca="false">IF($M614="","",IFERROR(INDEX(Settings!$B$27:$B$36,MATCH(L614,Settings!$A$27:$A$36,0))&amp;"","UNMAPPED"))</f>
        <v>Lost</v>
      </c>
      <c r="T614" s="37" t="str">
        <f aca="false">IF($M614="","",IF(NOT(ISNUMBER(R614)),"NO DATE",IF(S614="Won",IF(R614&gt;Settings!$B$5,"Backlog","Delivered"),IF(S614="Open",IF(R614&gt;Settings!$B$5,"Pipeline","Overdue"),IF(S614="Lost","Lost","UNMAPPED")))))</f>
        <v>Lost</v>
      </c>
      <c r="U614" s="40" t="n">
        <f aca="false">IF(T614="Backlog",1,IF(OR(T614="Pipeline",T614="Overdue"),N(INDEX(Settings!$C$27:$C$36,MATCH(L614,Settings!$A$27:$A$36,0))),0))</f>
        <v>0</v>
      </c>
      <c r="V614" s="38" t="n">
        <f aca="false">Q614*U614</f>
        <v>0</v>
      </c>
      <c r="W614" s="41" t="n">
        <f aca="false">IF($M614="","",IF(T614="Overdue",IF(Settings!$B$8="Yes",Settings!$B$7,""),IF(ISNUMBER(R614),DATE(YEAR(R614),MONTH(R614),1),"")))</f>
        <v>45962</v>
      </c>
      <c r="X614" s="38" t="n">
        <f aca="false">IF(AND(OR(T614="Backlog",T614="Pipeline",T614="Overdue"),ISNUMBER(W614)),IF(W614&lt;=Settings!$B$6,V614,0),0)</f>
        <v>0</v>
      </c>
      <c r="Y614" s="38" t="n">
        <f aca="false">IF(AND(OR(T614="Backlog",T614="Pipeline",T614="Overdue"),ISNUMBER(W614)),IF(W614&lt;=Settings!$B$6,Q614,0),0)</f>
        <v>0</v>
      </c>
      <c r="Z614" s="38" t="n">
        <f aca="false">IF(Y614=0,0,IF(T614="Backlog",Q614,Q614*Dashboard!$C$10))</f>
        <v>0</v>
      </c>
      <c r="AA614" s="37" t="n">
        <f aca="false">IF($N614="",0,IF(COUNTIF(Dashboard!$C$13:$C$22,$N614)&gt;0,1,0))</f>
        <v>0</v>
      </c>
      <c r="AB614" s="37" t="str">
        <f aca="false">IF($N614="","",IF(COUNTIF($N$8:$N614,$N614)=1,MAX($AB$7:$AB613)+1,""))</f>
        <v/>
      </c>
    </row>
    <row r="615" customFormat="false" ht="15" hidden="false" customHeight="false" outlineLevel="0" collapsed="false">
      <c r="B615" s="32" t="s">
        <v>1476</v>
      </c>
      <c r="C615" s="32" t="s">
        <v>1477</v>
      </c>
      <c r="D615" s="35" t="n">
        <v>0</v>
      </c>
      <c r="E615" s="32" t="s">
        <v>141</v>
      </c>
      <c r="F615" s="36" t="n">
        <v>46171</v>
      </c>
      <c r="G615" s="32" t="s">
        <v>1478</v>
      </c>
      <c r="L615" s="37" t="str">
        <f aca="false">IF(INDEX($A615:$J615,$L$6)&lt;&gt;"",TRIM(LEFT(INDEX($A615:$J615,$L$6),FIND("(",INDEX($A615:$J615,$L$6)&amp;"(")-1)),L614)</f>
        <v>Closed Lost</v>
      </c>
      <c r="M615" s="37" t="str">
        <f aca="false">IF(INDEX($A615:$J615,$M$6)="","",INDEX($A615:$J615,$M$6)&amp;"")</f>
        <v>HP-Optus Phone Modification - 26051502</v>
      </c>
      <c r="N615" s="37" t="str">
        <f aca="false">IF($M615="","",TRIM(INDEX($A615:$J615,$N$6)&amp;""))</f>
        <v>Ingram Micro</v>
      </c>
      <c r="O615" s="37" t="str">
        <f aca="false">IF($M615="","",TRIM(INDEX($A615:$J615,$O$6)&amp;""))</f>
        <v>Integration</v>
      </c>
      <c r="P615" s="37" t="str">
        <f aca="false">IF($M615="","",IFERROR(IF(INDEX(Settings!$B$41:$B$50,MATCH(O615,Settings!$A$41:$A$50,0))&amp;""="","UNMAPPED",INDEX(Settings!$B$41:$B$50,MATCH(O615,Settings!$A$41:$A$50,0))&amp;""),"UNMAPPED"))</f>
        <v>Integration</v>
      </c>
      <c r="Q615" s="38" t="n">
        <f aca="false">IF($M615="",0,N(INDEX($A615:$J615,$Q$6)))</f>
        <v>0</v>
      </c>
      <c r="R615" s="39" t="n">
        <f aca="false">IF($M615="","",INDEX($A615:$J615,$R$6))</f>
        <v>46171</v>
      </c>
      <c r="S615" s="37" t="str">
        <f aca="false">IF($M615="","",IFERROR(INDEX(Settings!$B$27:$B$36,MATCH(L615,Settings!$A$27:$A$36,0))&amp;"","UNMAPPED"))</f>
        <v>Lost</v>
      </c>
      <c r="T615" s="37" t="str">
        <f aca="false">IF($M615="","",IF(NOT(ISNUMBER(R615)),"NO DATE",IF(S615="Won",IF(R615&gt;Settings!$B$5,"Backlog","Delivered"),IF(S615="Open",IF(R615&gt;Settings!$B$5,"Pipeline","Overdue"),IF(S615="Lost","Lost","UNMAPPED")))))</f>
        <v>Lost</v>
      </c>
      <c r="U615" s="40" t="n">
        <f aca="false">IF(T615="Backlog",1,IF(OR(T615="Pipeline",T615="Overdue"),N(INDEX(Settings!$C$27:$C$36,MATCH(L615,Settings!$A$27:$A$36,0))),0))</f>
        <v>0</v>
      </c>
      <c r="V615" s="38" t="n">
        <f aca="false">Q615*U615</f>
        <v>0</v>
      </c>
      <c r="W615" s="41" t="n">
        <f aca="false">IF($M615="","",IF(T615="Overdue",IF(Settings!$B$8="Yes",Settings!$B$7,""),IF(ISNUMBER(R615),DATE(YEAR(R615),MONTH(R615),1),"")))</f>
        <v>46143</v>
      </c>
      <c r="X615" s="38" t="n">
        <f aca="false">IF(AND(OR(T615="Backlog",T615="Pipeline",T615="Overdue"),ISNUMBER(W615)),IF(W615&lt;=Settings!$B$6,V615,0),0)</f>
        <v>0</v>
      </c>
      <c r="Y615" s="38" t="n">
        <f aca="false">IF(AND(OR(T615="Backlog",T615="Pipeline",T615="Overdue"),ISNUMBER(W615)),IF(W615&lt;=Settings!$B$6,Q615,0),0)</f>
        <v>0</v>
      </c>
      <c r="Z615" s="38" t="n">
        <f aca="false">IF(Y615=0,0,IF(T615="Backlog",Q615,Q615*Dashboard!$C$10))</f>
        <v>0</v>
      </c>
      <c r="AA615" s="37" t="n">
        <f aca="false">IF($N615="",0,IF(COUNTIF(Dashboard!$C$13:$C$22,$N615)&gt;0,1,0))</f>
        <v>0</v>
      </c>
      <c r="AB615" s="37" t="n">
        <f aca="false">IF($N615="","",IF(COUNTIF($N$8:$N615,$N615)=1,MAX($AB$7:$AB614)+1,""))</f>
        <v>124</v>
      </c>
    </row>
    <row r="616" customFormat="false" ht="15" hidden="false" customHeight="false" outlineLevel="0" collapsed="false">
      <c r="B616" s="32" t="s">
        <v>1479</v>
      </c>
      <c r="C616" s="32" t="s">
        <v>230</v>
      </c>
      <c r="D616" s="35" t="n">
        <v>6245</v>
      </c>
      <c r="E616" s="32" t="s">
        <v>145</v>
      </c>
      <c r="F616" s="36" t="n">
        <v>46286</v>
      </c>
      <c r="G616" s="32" t="s">
        <v>1480</v>
      </c>
      <c r="L616" s="37" t="str">
        <f aca="false">IF(INDEX($A616:$J616,$L$6)&lt;&gt;"",TRIM(LEFT(INDEX($A616:$J616,$L$6),FIND("(",INDEX($A616:$J616,$L$6)&amp;"(")-1)),L615)</f>
        <v>Closed Lost</v>
      </c>
      <c r="M616" s="37" t="str">
        <f aca="false">IF(INDEX($A616:$J616,$M$6)="","",INDEX($A616:$J616,$M$6)&amp;"")</f>
        <v>QBE - AFL Grand Final Event - 25.9.26</v>
      </c>
      <c r="N616" s="37" t="str">
        <f aca="false">IF($M616="","",TRIM(INDEX($A616:$J616,$N$6)&amp;""))</f>
        <v>QBE</v>
      </c>
      <c r="O616" s="37" t="str">
        <f aca="false">IF($M616="","",TRIM(INDEX($A616:$J616,$O$6)&amp;""))</f>
        <v>Event Production</v>
      </c>
      <c r="P616" s="37" t="str">
        <f aca="false">IF($M616="","",IFERROR(IF(INDEX(Settings!$B$41:$B$50,MATCH(O616,Settings!$A$41:$A$50,0))&amp;""="","UNMAPPED",INDEX(Settings!$B$41:$B$50,MATCH(O616,Settings!$A$41:$A$50,0))&amp;""),"UNMAPPED"))</f>
        <v>Production</v>
      </c>
      <c r="Q616" s="38" t="n">
        <f aca="false">IF($M616="",0,N(INDEX($A616:$J616,$Q$6)))</f>
        <v>6245</v>
      </c>
      <c r="R616" s="39" t="n">
        <f aca="false">IF($M616="","",INDEX($A616:$J616,$R$6))</f>
        <v>46286</v>
      </c>
      <c r="S616" s="37" t="str">
        <f aca="false">IF($M616="","",IFERROR(INDEX(Settings!$B$27:$B$36,MATCH(L616,Settings!$A$27:$A$36,0))&amp;"","UNMAPPED"))</f>
        <v>Lost</v>
      </c>
      <c r="T616" s="37" t="str">
        <f aca="false">IF($M616="","",IF(NOT(ISNUMBER(R616)),"NO DATE",IF(S616="Won",IF(R616&gt;Settings!$B$5,"Backlog","Delivered"),IF(S616="Open",IF(R616&gt;Settings!$B$5,"Pipeline","Overdue"),IF(S616="Lost","Lost","UNMAPPED")))))</f>
        <v>Lost</v>
      </c>
      <c r="U616" s="40" t="n">
        <f aca="false">IF(T616="Backlog",1,IF(OR(T616="Pipeline",T616="Overdue"),N(INDEX(Settings!$C$27:$C$36,MATCH(L616,Settings!$A$27:$A$36,0))),0))</f>
        <v>0</v>
      </c>
      <c r="V616" s="38" t="n">
        <f aca="false">Q616*U616</f>
        <v>0</v>
      </c>
      <c r="W616" s="41" t="n">
        <f aca="false">IF($M616="","",IF(T616="Overdue",IF(Settings!$B$8="Yes",Settings!$B$7,""),IF(ISNUMBER(R616),DATE(YEAR(R616),MONTH(R616),1),"")))</f>
        <v>46266</v>
      </c>
      <c r="X616" s="38" t="n">
        <f aca="false">IF(AND(OR(T616="Backlog",T616="Pipeline",T616="Overdue"),ISNUMBER(W616)),IF(W616&lt;=Settings!$B$6,V616,0),0)</f>
        <v>0</v>
      </c>
      <c r="Y616" s="38" t="n">
        <f aca="false">IF(AND(OR(T616="Backlog",T616="Pipeline",T616="Overdue"),ISNUMBER(W616)),IF(W616&lt;=Settings!$B$6,Q616,0),0)</f>
        <v>0</v>
      </c>
      <c r="Z616" s="38" t="n">
        <f aca="false">IF(Y616=0,0,IF(T616="Backlog",Q616,Q616*Dashboard!$C$10))</f>
        <v>0</v>
      </c>
      <c r="AA616" s="37" t="n">
        <f aca="false">IF($N616="",0,IF(COUNTIF(Dashboard!$C$13:$C$22,$N616)&gt;0,1,0))</f>
        <v>0</v>
      </c>
      <c r="AB616" s="37" t="str">
        <f aca="false">IF($N616="","",IF(COUNTIF($N$8:$N616,$N616)=1,MAX($AB$7:$AB615)+1,""))</f>
        <v/>
      </c>
    </row>
    <row r="617" customFormat="false" ht="15" hidden="false" customHeight="false" outlineLevel="0" collapsed="false">
      <c r="B617" s="32" t="s">
        <v>1481</v>
      </c>
      <c r="C617" s="32" t="s">
        <v>765</v>
      </c>
      <c r="D617" s="35" t="n">
        <v>2670</v>
      </c>
      <c r="E617" s="32" t="s">
        <v>208</v>
      </c>
      <c r="F617" s="36" t="n">
        <v>46231</v>
      </c>
      <c r="G617" s="32" t="s">
        <v>1482</v>
      </c>
      <c r="L617" s="37" t="str">
        <f aca="false">IF(INDEX($A617:$J617,$L$6)&lt;&gt;"",TRIM(LEFT(INDEX($A617:$J617,$L$6),FIND("(",INDEX($A617:$J617,$L$6)&amp;"(")-1)),L616)</f>
        <v>Closed Lost</v>
      </c>
      <c r="M617" s="37" t="str">
        <f aca="false">IF(INDEX($A617:$J617,$M$6)="","",INDEX($A617:$J617,$M$6)&amp;"")</f>
        <v>SoundCredit.TV - OnSite Edit - 28/29.7.26</v>
      </c>
      <c r="N617" s="37" t="str">
        <f aca="false">IF($M617="","",TRIM(INDEX($A617:$J617,$N$6)&amp;""))</f>
        <v>SoundCredit.tv</v>
      </c>
      <c r="O617" s="37" t="str">
        <f aca="false">IF($M617="","",TRIM(INDEX($A617:$J617,$O$6)&amp;""))</f>
        <v>Video Production</v>
      </c>
      <c r="P617" s="37" t="str">
        <f aca="false">IF($M617="","",IFERROR(IF(INDEX(Settings!$B$41:$B$50,MATCH(O617,Settings!$A$41:$A$50,0))&amp;""="","UNMAPPED",INDEX(Settings!$B$41:$B$50,MATCH(O617,Settings!$A$41:$A$50,0))&amp;""),"UNMAPPED"))</f>
        <v>Video</v>
      </c>
      <c r="Q617" s="38" t="n">
        <f aca="false">IF($M617="",0,N(INDEX($A617:$J617,$Q$6)))</f>
        <v>2670</v>
      </c>
      <c r="R617" s="39" t="n">
        <f aca="false">IF($M617="","",INDEX($A617:$J617,$R$6))</f>
        <v>46231</v>
      </c>
      <c r="S617" s="37" t="str">
        <f aca="false">IF($M617="","",IFERROR(INDEX(Settings!$B$27:$B$36,MATCH(L617,Settings!$A$27:$A$36,0))&amp;"","UNMAPPED"))</f>
        <v>Lost</v>
      </c>
      <c r="T617" s="37" t="str">
        <f aca="false">IF($M617="","",IF(NOT(ISNUMBER(R617)),"NO DATE",IF(S617="Won",IF(R617&gt;Settings!$B$5,"Backlog","Delivered"),IF(S617="Open",IF(R617&gt;Settings!$B$5,"Pipeline","Overdue"),IF(S617="Lost","Lost","UNMAPPED")))))</f>
        <v>Lost</v>
      </c>
      <c r="U617" s="40" t="n">
        <f aca="false">IF(T617="Backlog",1,IF(OR(T617="Pipeline",T617="Overdue"),N(INDEX(Settings!$C$27:$C$36,MATCH(L617,Settings!$A$27:$A$36,0))),0))</f>
        <v>0</v>
      </c>
      <c r="V617" s="38" t="n">
        <f aca="false">Q617*U617</f>
        <v>0</v>
      </c>
      <c r="W617" s="41" t="n">
        <f aca="false">IF($M617="","",IF(T617="Overdue",IF(Settings!$B$8="Yes",Settings!$B$7,""),IF(ISNUMBER(R617),DATE(YEAR(R617),MONTH(R617),1),"")))</f>
        <v>46204</v>
      </c>
      <c r="X617" s="38" t="n">
        <f aca="false">IF(AND(OR(T617="Backlog",T617="Pipeline",T617="Overdue"),ISNUMBER(W617)),IF(W617&lt;=Settings!$B$6,V617,0),0)</f>
        <v>0</v>
      </c>
      <c r="Y617" s="38" t="n">
        <f aca="false">IF(AND(OR(T617="Backlog",T617="Pipeline",T617="Overdue"),ISNUMBER(W617)),IF(W617&lt;=Settings!$B$6,Q617,0),0)</f>
        <v>0</v>
      </c>
      <c r="Z617" s="38" t="n">
        <f aca="false">IF(Y617=0,0,IF(T617="Backlog",Q617,Q617*Dashboard!$C$10))</f>
        <v>0</v>
      </c>
      <c r="AA617" s="37" t="n">
        <f aca="false">IF($N617="",0,IF(COUNTIF(Dashboard!$C$13:$C$22,$N617)&gt;0,1,0))</f>
        <v>0</v>
      </c>
      <c r="AB617" s="37" t="str">
        <f aca="false">IF($N617="","",IF(COUNTIF($N$8:$N617,$N617)=1,MAX($AB$7:$AB616)+1,""))</f>
        <v/>
      </c>
    </row>
    <row r="618" customFormat="false" ht="15" hidden="false" customHeight="false" outlineLevel="0" collapsed="false">
      <c r="B618" s="32" t="s">
        <v>1483</v>
      </c>
      <c r="C618" s="32" t="s">
        <v>1484</v>
      </c>
      <c r="D618" s="35" t="n">
        <v>150000</v>
      </c>
      <c r="E618" s="32" t="s">
        <v>180</v>
      </c>
      <c r="F618" s="36" t="n">
        <v>46080</v>
      </c>
      <c r="G618" s="32" t="s">
        <v>1485</v>
      </c>
      <c r="L618" s="37" t="str">
        <f aca="false">IF(INDEX($A618:$J618,$L$6)&lt;&gt;"",TRIM(LEFT(INDEX($A618:$J618,$L$6),FIND("(",INDEX($A618:$J618,$L$6)&amp;"(")-1)),L617)</f>
        <v>Closed Lost</v>
      </c>
      <c r="M618" s="37" t="str">
        <f aca="false">IF(INDEX($A618:$J618,$M$6)="","",INDEX($A618:$J618,$M$6)&amp;"")</f>
        <v>25121801 - AV Support RFP</v>
      </c>
      <c r="N618" s="37" t="str">
        <f aca="false">IF($M618="","",TRIM(INDEX($A618:$J618,$N$6)&amp;""))</f>
        <v>Australian Payments Plus</v>
      </c>
      <c r="O618" s="37" t="str">
        <f aca="false">IF($M618="","",TRIM(INDEX($A618:$J618,$O$6)&amp;""))</f>
        <v>Support</v>
      </c>
      <c r="P618" s="37" t="str">
        <f aca="false">IF($M618="","",IFERROR(IF(INDEX(Settings!$B$41:$B$50,MATCH(O618,Settings!$A$41:$A$50,0))&amp;""="","UNMAPPED",INDEX(Settings!$B$41:$B$50,MATCH(O618,Settings!$A$41:$A$50,0))&amp;""),"UNMAPPED"))</f>
        <v>Onsite</v>
      </c>
      <c r="Q618" s="38" t="n">
        <f aca="false">IF($M618="",0,N(INDEX($A618:$J618,$Q$6)))</f>
        <v>150000</v>
      </c>
      <c r="R618" s="39" t="n">
        <f aca="false">IF($M618="","",INDEX($A618:$J618,$R$6))</f>
        <v>46080</v>
      </c>
      <c r="S618" s="37" t="str">
        <f aca="false">IF($M618="","",IFERROR(INDEX(Settings!$B$27:$B$36,MATCH(L618,Settings!$A$27:$A$36,0))&amp;"","UNMAPPED"))</f>
        <v>Lost</v>
      </c>
      <c r="T618" s="37" t="str">
        <f aca="false">IF($M618="","",IF(NOT(ISNUMBER(R618)),"NO DATE",IF(S618="Won",IF(R618&gt;Settings!$B$5,"Backlog","Delivered"),IF(S618="Open",IF(R618&gt;Settings!$B$5,"Pipeline","Overdue"),IF(S618="Lost","Lost","UNMAPPED")))))</f>
        <v>Lost</v>
      </c>
      <c r="U618" s="40" t="n">
        <f aca="false">IF(T618="Backlog",1,IF(OR(T618="Pipeline",T618="Overdue"),N(INDEX(Settings!$C$27:$C$36,MATCH(L618,Settings!$A$27:$A$36,0))),0))</f>
        <v>0</v>
      </c>
      <c r="V618" s="38" t="n">
        <f aca="false">Q618*U618</f>
        <v>0</v>
      </c>
      <c r="W618" s="41" t="n">
        <f aca="false">IF($M618="","",IF(T618="Overdue",IF(Settings!$B$8="Yes",Settings!$B$7,""),IF(ISNUMBER(R618),DATE(YEAR(R618),MONTH(R618),1),"")))</f>
        <v>46054</v>
      </c>
      <c r="X618" s="38" t="n">
        <f aca="false">IF(AND(OR(T618="Backlog",T618="Pipeline",T618="Overdue"),ISNUMBER(W618)),IF(W618&lt;=Settings!$B$6,V618,0),0)</f>
        <v>0</v>
      </c>
      <c r="Y618" s="38" t="n">
        <f aca="false">IF(AND(OR(T618="Backlog",T618="Pipeline",T618="Overdue"),ISNUMBER(W618)),IF(W618&lt;=Settings!$B$6,Q618,0),0)</f>
        <v>0</v>
      </c>
      <c r="Z618" s="38" t="n">
        <f aca="false">IF(Y618=0,0,IF(T618="Backlog",Q618,Q618*Dashboard!$C$10))</f>
        <v>0</v>
      </c>
      <c r="AA618" s="37" t="n">
        <f aca="false">IF($N618="",0,IF(COUNTIF(Dashboard!$C$13:$C$22,$N618)&gt;0,1,0))</f>
        <v>0</v>
      </c>
      <c r="AB618" s="37" t="n">
        <f aca="false">IF($N618="","",IF(COUNTIF($N$8:$N618,$N618)=1,MAX($AB$7:$AB617)+1,""))</f>
        <v>125</v>
      </c>
    </row>
    <row r="619" customFormat="false" ht="15" hidden="false" customHeight="false" outlineLevel="0" collapsed="false">
      <c r="B619" s="32" t="s">
        <v>1486</v>
      </c>
      <c r="C619" s="32" t="s">
        <v>236</v>
      </c>
      <c r="D619" s="35" t="n">
        <v>15938</v>
      </c>
      <c r="E619" s="32" t="s">
        <v>180</v>
      </c>
      <c r="F619" s="36" t="n">
        <v>46059</v>
      </c>
      <c r="G619" s="32" t="s">
        <v>1487</v>
      </c>
      <c r="L619" s="37" t="str">
        <f aca="false">IF(INDEX($A619:$J619,$L$6)&lt;&gt;"",TRIM(LEFT(INDEX($A619:$J619,$L$6),FIND("(",INDEX($A619:$J619,$L$6)&amp;"(")-1)),L618)</f>
        <v>Closed Lost</v>
      </c>
      <c r="M619" s="37" t="str">
        <f aca="false">IF(INDEX($A619:$J619,$M$6)="","",INDEX($A619:$J619,$M$6)&amp;"")</f>
        <v>TWG - Sydney Technician - 09/02/2026 - 13/03/2026</v>
      </c>
      <c r="N619" s="37" t="str">
        <f aca="false">IF($M619="","",TRIM(INDEX($A619:$J619,$N$6)&amp;""))</f>
        <v>EY</v>
      </c>
      <c r="O619" s="37" t="str">
        <f aca="false">IF($M619="","",TRIM(INDEX($A619:$J619,$O$6)&amp;""))</f>
        <v>Support</v>
      </c>
      <c r="P619" s="37" t="str">
        <f aca="false">IF($M619="","",IFERROR(IF(INDEX(Settings!$B$41:$B$50,MATCH(O619,Settings!$A$41:$A$50,0))&amp;""="","UNMAPPED",INDEX(Settings!$B$41:$B$50,MATCH(O619,Settings!$A$41:$A$50,0))&amp;""),"UNMAPPED"))</f>
        <v>Onsite</v>
      </c>
      <c r="Q619" s="38" t="n">
        <f aca="false">IF($M619="",0,N(INDEX($A619:$J619,$Q$6)))</f>
        <v>15938</v>
      </c>
      <c r="R619" s="39" t="n">
        <f aca="false">IF($M619="","",INDEX($A619:$J619,$R$6))</f>
        <v>46059</v>
      </c>
      <c r="S619" s="37" t="str">
        <f aca="false">IF($M619="","",IFERROR(INDEX(Settings!$B$27:$B$36,MATCH(L619,Settings!$A$27:$A$36,0))&amp;"","UNMAPPED"))</f>
        <v>Lost</v>
      </c>
      <c r="T619" s="37" t="str">
        <f aca="false">IF($M619="","",IF(NOT(ISNUMBER(R619)),"NO DATE",IF(S619="Won",IF(R619&gt;Settings!$B$5,"Backlog","Delivered"),IF(S619="Open",IF(R619&gt;Settings!$B$5,"Pipeline","Overdue"),IF(S619="Lost","Lost","UNMAPPED")))))</f>
        <v>Lost</v>
      </c>
      <c r="U619" s="40" t="n">
        <f aca="false">IF(T619="Backlog",1,IF(OR(T619="Pipeline",T619="Overdue"),N(INDEX(Settings!$C$27:$C$36,MATCH(L619,Settings!$A$27:$A$36,0))),0))</f>
        <v>0</v>
      </c>
      <c r="V619" s="38" t="n">
        <f aca="false">Q619*U619</f>
        <v>0</v>
      </c>
      <c r="W619" s="41" t="n">
        <f aca="false">IF($M619="","",IF(T619="Overdue",IF(Settings!$B$8="Yes",Settings!$B$7,""),IF(ISNUMBER(R619),DATE(YEAR(R619),MONTH(R619),1),"")))</f>
        <v>46054</v>
      </c>
      <c r="X619" s="38" t="n">
        <f aca="false">IF(AND(OR(T619="Backlog",T619="Pipeline",T619="Overdue"),ISNUMBER(W619)),IF(W619&lt;=Settings!$B$6,V619,0),0)</f>
        <v>0</v>
      </c>
      <c r="Y619" s="38" t="n">
        <f aca="false">IF(AND(OR(T619="Backlog",T619="Pipeline",T619="Overdue"),ISNUMBER(W619)),IF(W619&lt;=Settings!$B$6,Q619,0),0)</f>
        <v>0</v>
      </c>
      <c r="Z619" s="38" t="n">
        <f aca="false">IF(Y619=0,0,IF(T619="Backlog",Q619,Q619*Dashboard!$C$10))</f>
        <v>0</v>
      </c>
      <c r="AA619" s="37" t="n">
        <f aca="false">IF($N619="",0,IF(COUNTIF(Dashboard!$C$13:$C$22,$N619)&gt;0,1,0))</f>
        <v>0</v>
      </c>
      <c r="AB619" s="37" t="str">
        <f aca="false">IF($N619="","",IF(COUNTIF($N$8:$N619,$N619)=1,MAX($AB$7:$AB618)+1,""))</f>
        <v/>
      </c>
    </row>
    <row r="620" customFormat="false" ht="15" hidden="false" customHeight="false" outlineLevel="0" collapsed="false">
      <c r="B620" s="32" t="s">
        <v>1488</v>
      </c>
      <c r="C620" s="32" t="s">
        <v>1489</v>
      </c>
      <c r="D620" s="35" t="n">
        <v>49555</v>
      </c>
      <c r="E620" s="32" t="s">
        <v>173</v>
      </c>
      <c r="F620" s="36" t="n">
        <v>46219</v>
      </c>
      <c r="G620" s="32" t="s">
        <v>1490</v>
      </c>
      <c r="L620" s="37" t="str">
        <f aca="false">IF(INDEX($A620:$J620,$L$6)&lt;&gt;"",TRIM(LEFT(INDEX($A620:$J620,$L$6),FIND("(",INDEX($A620:$J620,$L$6)&amp;"(")-1)),L619)</f>
        <v>Closed Lost</v>
      </c>
      <c r="M620" s="37" t="str">
        <f aca="false">IF(INDEX($A620:$J620,$M$6)="","",INDEX($A620:$J620,$M$6)&amp;"")</f>
        <v>Visagio | VC Upgrade - 2605705</v>
      </c>
      <c r="N620" s="37" t="str">
        <f aca="false">IF($M620="","",TRIM(INDEX($A620:$J620,$N$6)&amp;""))</f>
        <v>Visagio</v>
      </c>
      <c r="O620" s="37" t="str">
        <f aca="false">IF($M620="","",TRIM(INDEX($A620:$J620,$O$6)&amp;""))</f>
        <v>Consulting</v>
      </c>
      <c r="P620" s="37" t="str">
        <f aca="false">IF($M620="","",IFERROR(IF(INDEX(Settings!$B$41:$B$50,MATCH(O620,Settings!$A$41:$A$50,0))&amp;""="","UNMAPPED",INDEX(Settings!$B$41:$B$50,MATCH(O620,Settings!$A$41:$A$50,0))&amp;""),"UNMAPPED"))</f>
        <v>Consulting</v>
      </c>
      <c r="Q620" s="38" t="n">
        <f aca="false">IF($M620="",0,N(INDEX($A620:$J620,$Q$6)))</f>
        <v>49555</v>
      </c>
      <c r="R620" s="39" t="n">
        <f aca="false">IF($M620="","",INDEX($A620:$J620,$R$6))</f>
        <v>46219</v>
      </c>
      <c r="S620" s="37" t="str">
        <f aca="false">IF($M620="","",IFERROR(INDEX(Settings!$B$27:$B$36,MATCH(L620,Settings!$A$27:$A$36,0))&amp;"","UNMAPPED"))</f>
        <v>Lost</v>
      </c>
      <c r="T620" s="37" t="str">
        <f aca="false">IF($M620="","",IF(NOT(ISNUMBER(R620)),"NO DATE",IF(S620="Won",IF(R620&gt;Settings!$B$5,"Backlog","Delivered"),IF(S620="Open",IF(R620&gt;Settings!$B$5,"Pipeline","Overdue"),IF(S620="Lost","Lost","UNMAPPED")))))</f>
        <v>Lost</v>
      </c>
      <c r="U620" s="40" t="n">
        <f aca="false">IF(T620="Backlog",1,IF(OR(T620="Pipeline",T620="Overdue"),N(INDEX(Settings!$C$27:$C$36,MATCH(L620,Settings!$A$27:$A$36,0))),0))</f>
        <v>0</v>
      </c>
      <c r="V620" s="38" t="n">
        <f aca="false">Q620*U620</f>
        <v>0</v>
      </c>
      <c r="W620" s="41" t="n">
        <f aca="false">IF($M620="","",IF(T620="Overdue",IF(Settings!$B$8="Yes",Settings!$B$7,""),IF(ISNUMBER(R620),DATE(YEAR(R620),MONTH(R620),1),"")))</f>
        <v>46204</v>
      </c>
      <c r="X620" s="38" t="n">
        <f aca="false">IF(AND(OR(T620="Backlog",T620="Pipeline",T620="Overdue"),ISNUMBER(W620)),IF(W620&lt;=Settings!$B$6,V620,0),0)</f>
        <v>0</v>
      </c>
      <c r="Y620" s="38" t="n">
        <f aca="false">IF(AND(OR(T620="Backlog",T620="Pipeline",T620="Overdue"),ISNUMBER(W620)),IF(W620&lt;=Settings!$B$6,Q620,0),0)</f>
        <v>0</v>
      </c>
      <c r="Z620" s="38" t="n">
        <f aca="false">IF(Y620=0,0,IF(T620="Backlog",Q620,Q620*Dashboard!$C$10))</f>
        <v>0</v>
      </c>
      <c r="AA620" s="37" t="n">
        <f aca="false">IF($N620="",0,IF(COUNTIF(Dashboard!$C$13:$C$22,$N620)&gt;0,1,0))</f>
        <v>0</v>
      </c>
      <c r="AB620" s="37" t="n">
        <f aca="false">IF($N620="","",IF(COUNTIF($N$8:$N620,$N620)=1,MAX($AB$7:$AB619)+1,""))</f>
        <v>126</v>
      </c>
    </row>
    <row r="621" customFormat="false" ht="15" hidden="false" customHeight="false" outlineLevel="0" collapsed="false">
      <c r="B621" s="32" t="s">
        <v>1491</v>
      </c>
      <c r="C621" s="32" t="s">
        <v>191</v>
      </c>
      <c r="D621" s="35" t="n">
        <v>3302</v>
      </c>
      <c r="E621" s="32" t="s">
        <v>145</v>
      </c>
      <c r="F621" s="36" t="n">
        <v>46247</v>
      </c>
      <c r="G621" s="32" t="s">
        <v>1492</v>
      </c>
      <c r="L621" s="37" t="str">
        <f aca="false">IF(INDEX($A621:$J621,$L$6)&lt;&gt;"",TRIM(LEFT(INDEX($A621:$J621,$L$6),FIND("(",INDEX($A621:$J621,$L$6)&amp;"(")-1)),L620)</f>
        <v>Closed Lost</v>
      </c>
      <c r="M621" s="37" t="str">
        <f aca="false">IF(INDEX($A621:$J621,$M$6)="","",INDEX($A621:$J621,$M$6)&amp;"")</f>
        <v>CBA - L&amp;GS Forum - 25.8.26</v>
      </c>
      <c r="N621" s="37" t="str">
        <f aca="false">IF($M621="","",TRIM(INDEX($A621:$J621,$N$6)&amp;""))</f>
        <v>Commonwealth Bank Australia (CBA)</v>
      </c>
      <c r="O621" s="37" t="str">
        <f aca="false">IF($M621="","",TRIM(INDEX($A621:$J621,$O$6)&amp;""))</f>
        <v>Event Production</v>
      </c>
      <c r="P621" s="37" t="str">
        <f aca="false">IF($M621="","",IFERROR(IF(INDEX(Settings!$B$41:$B$50,MATCH(O621,Settings!$A$41:$A$50,0))&amp;""="","UNMAPPED",INDEX(Settings!$B$41:$B$50,MATCH(O621,Settings!$A$41:$A$50,0))&amp;""),"UNMAPPED"))</f>
        <v>Production</v>
      </c>
      <c r="Q621" s="38" t="n">
        <f aca="false">IF($M621="",0,N(INDEX($A621:$J621,$Q$6)))</f>
        <v>3302</v>
      </c>
      <c r="R621" s="39" t="n">
        <f aca="false">IF($M621="","",INDEX($A621:$J621,$R$6))</f>
        <v>46247</v>
      </c>
      <c r="S621" s="37" t="str">
        <f aca="false">IF($M621="","",IFERROR(INDEX(Settings!$B$27:$B$36,MATCH(L621,Settings!$A$27:$A$36,0))&amp;"","UNMAPPED"))</f>
        <v>Lost</v>
      </c>
      <c r="T621" s="37" t="str">
        <f aca="false">IF($M621="","",IF(NOT(ISNUMBER(R621)),"NO DATE",IF(S621="Won",IF(R621&gt;Settings!$B$5,"Backlog","Delivered"),IF(S621="Open",IF(R621&gt;Settings!$B$5,"Pipeline","Overdue"),IF(S621="Lost","Lost","UNMAPPED")))))</f>
        <v>Lost</v>
      </c>
      <c r="U621" s="40" t="n">
        <f aca="false">IF(T621="Backlog",1,IF(OR(T621="Pipeline",T621="Overdue"),N(INDEX(Settings!$C$27:$C$36,MATCH(L621,Settings!$A$27:$A$36,0))),0))</f>
        <v>0</v>
      </c>
      <c r="V621" s="38" t="n">
        <f aca="false">Q621*U621</f>
        <v>0</v>
      </c>
      <c r="W621" s="41" t="n">
        <f aca="false">IF($M621="","",IF(T621="Overdue",IF(Settings!$B$8="Yes",Settings!$B$7,""),IF(ISNUMBER(R621),DATE(YEAR(R621),MONTH(R621),1),"")))</f>
        <v>46235</v>
      </c>
      <c r="X621" s="38" t="n">
        <f aca="false">IF(AND(OR(T621="Backlog",T621="Pipeline",T621="Overdue"),ISNUMBER(W621)),IF(W621&lt;=Settings!$B$6,V621,0),0)</f>
        <v>0</v>
      </c>
      <c r="Y621" s="38" t="n">
        <f aca="false">IF(AND(OR(T621="Backlog",T621="Pipeline",T621="Overdue"),ISNUMBER(W621)),IF(W621&lt;=Settings!$B$6,Q621,0),0)</f>
        <v>0</v>
      </c>
      <c r="Z621" s="38" t="n">
        <f aca="false">IF(Y621=0,0,IF(T621="Backlog",Q621,Q621*Dashboard!$C$10))</f>
        <v>0</v>
      </c>
      <c r="AA621" s="37" t="n">
        <f aca="false">IF($N621="",0,IF(COUNTIF(Dashboard!$C$13:$C$22,$N621)&gt;0,1,0))</f>
        <v>0</v>
      </c>
      <c r="AB621" s="37" t="str">
        <f aca="false">IF($N621="","",IF(COUNTIF($N$8:$N621,$N621)=1,MAX($AB$7:$AB620)+1,""))</f>
        <v/>
      </c>
    </row>
    <row r="622" customFormat="false" ht="15" hidden="false" customHeight="false" outlineLevel="0" collapsed="false">
      <c r="B622" s="32" t="s">
        <v>1493</v>
      </c>
      <c r="C622" s="32" t="s">
        <v>154</v>
      </c>
      <c r="D622" s="35" t="n">
        <v>671969</v>
      </c>
      <c r="E622" s="32" t="s">
        <v>141</v>
      </c>
      <c r="F622" s="36" t="n">
        <v>46233</v>
      </c>
      <c r="G622" s="32" t="s">
        <v>1494</v>
      </c>
      <c r="L622" s="37" t="str">
        <f aca="false">IF(INDEX($A622:$J622,$L$6)&lt;&gt;"",TRIM(LEFT(INDEX($A622:$J622,$L$6),FIND("(",INDEX($A622:$J622,$L$6)&amp;"(")-1)),L621)</f>
        <v>Closed Lost</v>
      </c>
      <c r="M622" s="37" t="str">
        <f aca="false">IF(INDEX($A622:$J622,$M$6)="","",INDEX($A622:$J622,$M$6)&amp;"")</f>
        <v>MultiFunction Room Upgrade x3 (MEL) | 26052903</v>
      </c>
      <c r="N622" s="37" t="str">
        <f aca="false">IF($M622="","",TRIM(INDEX($A622:$J622,$N$6)&amp;""))</f>
        <v>PWC</v>
      </c>
      <c r="O622" s="37" t="str">
        <f aca="false">IF($M622="","",TRIM(INDEX($A622:$J622,$O$6)&amp;""))</f>
        <v>Integration</v>
      </c>
      <c r="P622" s="37" t="str">
        <f aca="false">IF($M622="","",IFERROR(IF(INDEX(Settings!$B$41:$B$50,MATCH(O622,Settings!$A$41:$A$50,0))&amp;""="","UNMAPPED",INDEX(Settings!$B$41:$B$50,MATCH(O622,Settings!$A$41:$A$50,0))&amp;""),"UNMAPPED"))</f>
        <v>Integration</v>
      </c>
      <c r="Q622" s="38" t="n">
        <f aca="false">IF($M622="",0,N(INDEX($A622:$J622,$Q$6)))</f>
        <v>671969</v>
      </c>
      <c r="R622" s="39" t="n">
        <f aca="false">IF($M622="","",INDEX($A622:$J622,$R$6))</f>
        <v>46233</v>
      </c>
      <c r="S622" s="37" t="str">
        <f aca="false">IF($M622="","",IFERROR(INDEX(Settings!$B$27:$B$36,MATCH(L622,Settings!$A$27:$A$36,0))&amp;"","UNMAPPED"))</f>
        <v>Lost</v>
      </c>
      <c r="T622" s="37" t="str">
        <f aca="false">IF($M622="","",IF(NOT(ISNUMBER(R622)),"NO DATE",IF(S622="Won",IF(R622&gt;Settings!$B$5,"Backlog","Delivered"),IF(S622="Open",IF(R622&gt;Settings!$B$5,"Pipeline","Overdue"),IF(S622="Lost","Lost","UNMAPPED")))))</f>
        <v>Lost</v>
      </c>
      <c r="U622" s="40" t="n">
        <f aca="false">IF(T622="Backlog",1,IF(OR(T622="Pipeline",T622="Overdue"),N(INDEX(Settings!$C$27:$C$36,MATCH(L622,Settings!$A$27:$A$36,0))),0))</f>
        <v>0</v>
      </c>
      <c r="V622" s="38" t="n">
        <f aca="false">Q622*U622</f>
        <v>0</v>
      </c>
      <c r="W622" s="41" t="n">
        <f aca="false">IF($M622="","",IF(T622="Overdue",IF(Settings!$B$8="Yes",Settings!$B$7,""),IF(ISNUMBER(R622),DATE(YEAR(R622),MONTH(R622),1),"")))</f>
        <v>46204</v>
      </c>
      <c r="X622" s="38" t="n">
        <f aca="false">IF(AND(OR(T622="Backlog",T622="Pipeline",T622="Overdue"),ISNUMBER(W622)),IF(W622&lt;=Settings!$B$6,V622,0),0)</f>
        <v>0</v>
      </c>
      <c r="Y622" s="38" t="n">
        <f aca="false">IF(AND(OR(T622="Backlog",T622="Pipeline",T622="Overdue"),ISNUMBER(W622)),IF(W622&lt;=Settings!$B$6,Q622,0),0)</f>
        <v>0</v>
      </c>
      <c r="Z622" s="38" t="n">
        <f aca="false">IF(Y622=0,0,IF(T622="Backlog",Q622,Q622*Dashboard!$C$10))</f>
        <v>0</v>
      </c>
      <c r="AA622" s="37" t="n">
        <f aca="false">IF($N622="",0,IF(COUNTIF(Dashboard!$C$13:$C$22,$N622)&gt;0,1,0))</f>
        <v>0</v>
      </c>
      <c r="AB622" s="37" t="str">
        <f aca="false">IF($N622="","",IF(COUNTIF($N$8:$N622,$N622)=1,MAX($AB$7:$AB621)+1,""))</f>
        <v/>
      </c>
    </row>
    <row r="623" customFormat="false" ht="15" hidden="false" customHeight="false" outlineLevel="0" collapsed="false">
      <c r="B623" s="32" t="s">
        <v>1495</v>
      </c>
      <c r="C623" s="32" t="s">
        <v>191</v>
      </c>
      <c r="D623" s="35" t="n">
        <v>7206</v>
      </c>
      <c r="E623" s="32" t="s">
        <v>145</v>
      </c>
      <c r="F623" s="36" t="n">
        <v>46210</v>
      </c>
      <c r="G623" s="32" t="s">
        <v>1496</v>
      </c>
      <c r="L623" s="37" t="str">
        <f aca="false">IF(INDEX($A623:$J623,$L$6)&lt;&gt;"",TRIM(LEFT(INDEX($A623:$J623,$L$6),FIND("(",INDEX($A623:$J623,$L$6)&amp;"(")-1)),L622)</f>
        <v>Closed Lost</v>
      </c>
      <c r="M623" s="37" t="str">
        <f aca="false">IF(INDEX($A623:$J623,$M$6)="","",INDEX($A623:$J623,$M$6)&amp;"")</f>
        <v>CBA - Matt Comyn Town Hall (Perth) - 15.7.26</v>
      </c>
      <c r="N623" s="37" t="str">
        <f aca="false">IF($M623="","",TRIM(INDEX($A623:$J623,$N$6)&amp;""))</f>
        <v>Commonwealth Bank Australia (CBA)</v>
      </c>
      <c r="O623" s="37" t="str">
        <f aca="false">IF($M623="","",TRIM(INDEX($A623:$J623,$O$6)&amp;""))</f>
        <v>Event Production</v>
      </c>
      <c r="P623" s="37" t="str">
        <f aca="false">IF($M623="","",IFERROR(IF(INDEX(Settings!$B$41:$B$50,MATCH(O623,Settings!$A$41:$A$50,0))&amp;""="","UNMAPPED",INDEX(Settings!$B$41:$B$50,MATCH(O623,Settings!$A$41:$A$50,0))&amp;""),"UNMAPPED"))</f>
        <v>Production</v>
      </c>
      <c r="Q623" s="38" t="n">
        <f aca="false">IF($M623="",0,N(INDEX($A623:$J623,$Q$6)))</f>
        <v>7206</v>
      </c>
      <c r="R623" s="39" t="n">
        <f aca="false">IF($M623="","",INDEX($A623:$J623,$R$6))</f>
        <v>46210</v>
      </c>
      <c r="S623" s="37" t="str">
        <f aca="false">IF($M623="","",IFERROR(INDEX(Settings!$B$27:$B$36,MATCH(L623,Settings!$A$27:$A$36,0))&amp;"","UNMAPPED"))</f>
        <v>Lost</v>
      </c>
      <c r="T623" s="37" t="str">
        <f aca="false">IF($M623="","",IF(NOT(ISNUMBER(R623)),"NO DATE",IF(S623="Won",IF(R623&gt;Settings!$B$5,"Backlog","Delivered"),IF(S623="Open",IF(R623&gt;Settings!$B$5,"Pipeline","Overdue"),IF(S623="Lost","Lost","UNMAPPED")))))</f>
        <v>Lost</v>
      </c>
      <c r="U623" s="40" t="n">
        <f aca="false">IF(T623="Backlog",1,IF(OR(T623="Pipeline",T623="Overdue"),N(INDEX(Settings!$C$27:$C$36,MATCH(L623,Settings!$A$27:$A$36,0))),0))</f>
        <v>0</v>
      </c>
      <c r="V623" s="38" t="n">
        <f aca="false">Q623*U623</f>
        <v>0</v>
      </c>
      <c r="W623" s="41" t="n">
        <f aca="false">IF($M623="","",IF(T623="Overdue",IF(Settings!$B$8="Yes",Settings!$B$7,""),IF(ISNUMBER(R623),DATE(YEAR(R623),MONTH(R623),1),"")))</f>
        <v>46204</v>
      </c>
      <c r="X623" s="38" t="n">
        <f aca="false">IF(AND(OR(T623="Backlog",T623="Pipeline",T623="Overdue"),ISNUMBER(W623)),IF(W623&lt;=Settings!$B$6,V623,0),0)</f>
        <v>0</v>
      </c>
      <c r="Y623" s="38" t="n">
        <f aca="false">IF(AND(OR(T623="Backlog",T623="Pipeline",T623="Overdue"),ISNUMBER(W623)),IF(W623&lt;=Settings!$B$6,Q623,0),0)</f>
        <v>0</v>
      </c>
      <c r="Z623" s="38" t="n">
        <f aca="false">IF(Y623=0,0,IF(T623="Backlog",Q623,Q623*Dashboard!$C$10))</f>
        <v>0</v>
      </c>
      <c r="AA623" s="37" t="n">
        <f aca="false">IF($N623="",0,IF(COUNTIF(Dashboard!$C$13:$C$22,$N623)&gt;0,1,0))</f>
        <v>0</v>
      </c>
      <c r="AB623" s="37" t="str">
        <f aca="false">IF($N623="","",IF(COUNTIF($N$8:$N623,$N623)=1,MAX($AB$7:$AB622)+1,""))</f>
        <v/>
      </c>
    </row>
    <row r="624" customFormat="false" ht="15" hidden="false" customHeight="false" outlineLevel="0" collapsed="false">
      <c r="B624" s="32" t="s">
        <v>1497</v>
      </c>
      <c r="C624" s="32" t="s">
        <v>253</v>
      </c>
      <c r="D624" s="35" t="n">
        <v>10000</v>
      </c>
      <c r="E624" s="32" t="s">
        <v>208</v>
      </c>
      <c r="F624" s="36" t="n">
        <v>46325</v>
      </c>
      <c r="G624" s="32" t="s">
        <v>1498</v>
      </c>
      <c r="L624" s="37" t="str">
        <f aca="false">IF(INDEX($A624:$J624,$L$6)&lt;&gt;"",TRIM(LEFT(INDEX($A624:$J624,$L$6),FIND("(",INDEX($A624:$J624,$L$6)&amp;"(")-1)),L623)</f>
        <v>Closed Lost</v>
      </c>
      <c r="M624" s="37" t="str">
        <f aca="false">IF(INDEX($A624:$J624,$M$6)="","",INDEX($A624:$J624,$M$6)&amp;"")</f>
        <v>ASX Client Case Studies Videos FY27</v>
      </c>
      <c r="N624" s="37" t="str">
        <f aca="false">IF($M624="","",TRIM(INDEX($A624:$J624,$N$6)&amp;""))</f>
        <v>ASX Australian Securities Exchange</v>
      </c>
      <c r="O624" s="37" t="str">
        <f aca="false">IF($M624="","",TRIM(INDEX($A624:$J624,$O$6)&amp;""))</f>
        <v>Video Production</v>
      </c>
      <c r="P624" s="37" t="str">
        <f aca="false">IF($M624="","",IFERROR(IF(INDEX(Settings!$B$41:$B$50,MATCH(O624,Settings!$A$41:$A$50,0))&amp;""="","UNMAPPED",INDEX(Settings!$B$41:$B$50,MATCH(O624,Settings!$A$41:$A$50,0))&amp;""),"UNMAPPED"))</f>
        <v>Video</v>
      </c>
      <c r="Q624" s="38" t="n">
        <f aca="false">IF($M624="",0,N(INDEX($A624:$J624,$Q$6)))</f>
        <v>10000</v>
      </c>
      <c r="R624" s="39" t="n">
        <f aca="false">IF($M624="","",INDEX($A624:$J624,$R$6))</f>
        <v>46325</v>
      </c>
      <c r="S624" s="37" t="str">
        <f aca="false">IF($M624="","",IFERROR(INDEX(Settings!$B$27:$B$36,MATCH(L624,Settings!$A$27:$A$36,0))&amp;"","UNMAPPED"))</f>
        <v>Lost</v>
      </c>
      <c r="T624" s="37" t="str">
        <f aca="false">IF($M624="","",IF(NOT(ISNUMBER(R624)),"NO DATE",IF(S624="Won",IF(R624&gt;Settings!$B$5,"Backlog","Delivered"),IF(S624="Open",IF(R624&gt;Settings!$B$5,"Pipeline","Overdue"),IF(S624="Lost","Lost","UNMAPPED")))))</f>
        <v>Lost</v>
      </c>
      <c r="U624" s="40" t="n">
        <f aca="false">IF(T624="Backlog",1,IF(OR(T624="Pipeline",T624="Overdue"),N(INDEX(Settings!$C$27:$C$36,MATCH(L624,Settings!$A$27:$A$36,0))),0))</f>
        <v>0</v>
      </c>
      <c r="V624" s="38" t="n">
        <f aca="false">Q624*U624</f>
        <v>0</v>
      </c>
      <c r="W624" s="41" t="n">
        <f aca="false">IF($M624="","",IF(T624="Overdue",IF(Settings!$B$8="Yes",Settings!$B$7,""),IF(ISNUMBER(R624),DATE(YEAR(R624),MONTH(R624),1),"")))</f>
        <v>46296</v>
      </c>
      <c r="X624" s="38" t="n">
        <f aca="false">IF(AND(OR(T624="Backlog",T624="Pipeline",T624="Overdue"),ISNUMBER(W624)),IF(W624&lt;=Settings!$B$6,V624,0),0)</f>
        <v>0</v>
      </c>
      <c r="Y624" s="38" t="n">
        <f aca="false">IF(AND(OR(T624="Backlog",T624="Pipeline",T624="Overdue"),ISNUMBER(W624)),IF(W624&lt;=Settings!$B$6,Q624,0),0)</f>
        <v>0</v>
      </c>
      <c r="Z624" s="38" t="n">
        <f aca="false">IF(Y624=0,0,IF(T624="Backlog",Q624,Q624*Dashboard!$C$10))</f>
        <v>0</v>
      </c>
      <c r="AA624" s="37" t="n">
        <f aca="false">IF($N624="",0,IF(COUNTIF(Dashboard!$C$13:$C$22,$N624)&gt;0,1,0))</f>
        <v>0</v>
      </c>
      <c r="AB624" s="37" t="str">
        <f aca="false">IF($N624="","",IF(COUNTIF($N$8:$N624,$N624)=1,MAX($AB$7:$AB623)+1,""))</f>
        <v/>
      </c>
    </row>
    <row r="625" customFormat="false" ht="15" hidden="false" customHeight="false" outlineLevel="0" collapsed="false">
      <c r="B625" s="32" t="s">
        <v>1499</v>
      </c>
      <c r="C625" s="32" t="s">
        <v>172</v>
      </c>
      <c r="D625" s="35" t="n">
        <v>58850</v>
      </c>
      <c r="E625" s="32" t="s">
        <v>173</v>
      </c>
      <c r="F625" s="36" t="n">
        <v>46281</v>
      </c>
      <c r="G625" s="32" t="s">
        <v>1500</v>
      </c>
      <c r="L625" s="37" t="str">
        <f aca="false">IF(INDEX($A625:$J625,$L$6)&lt;&gt;"",TRIM(LEFT(INDEX($A625:$J625,$L$6),FIND("(",INDEX($A625:$J625,$L$6)&amp;"(")-1)),L624)</f>
        <v>Closed Lost</v>
      </c>
      <c r="M625" s="37" t="str">
        <f aca="false">IF(INDEX($A625:$J625,$M$6)="","",INDEX($A625:$J625,$M$6)&amp;"")</f>
        <v>Kirra | AFP Tender Support - 26073001</v>
      </c>
      <c r="N625" s="37" t="str">
        <f aca="false">IF($M625="","",TRIM(INDEX($A625:$J625,$N$6)&amp;""))</f>
        <v>Kirra Services</v>
      </c>
      <c r="O625" s="37" t="str">
        <f aca="false">IF($M625="","",TRIM(INDEX($A625:$J625,$O$6)&amp;""))</f>
        <v>Consulting</v>
      </c>
      <c r="P625" s="37" t="str">
        <f aca="false">IF($M625="","",IFERROR(IF(INDEX(Settings!$B$41:$B$50,MATCH(O625,Settings!$A$41:$A$50,0))&amp;""="","UNMAPPED",INDEX(Settings!$B$41:$B$50,MATCH(O625,Settings!$A$41:$A$50,0))&amp;""),"UNMAPPED"))</f>
        <v>Consulting</v>
      </c>
      <c r="Q625" s="38" t="n">
        <f aca="false">IF($M625="",0,N(INDEX($A625:$J625,$Q$6)))</f>
        <v>58850</v>
      </c>
      <c r="R625" s="39" t="n">
        <f aca="false">IF($M625="","",INDEX($A625:$J625,$R$6))</f>
        <v>46281</v>
      </c>
      <c r="S625" s="37" t="str">
        <f aca="false">IF($M625="","",IFERROR(INDEX(Settings!$B$27:$B$36,MATCH(L625,Settings!$A$27:$A$36,0))&amp;"","UNMAPPED"))</f>
        <v>Lost</v>
      </c>
      <c r="T625" s="37" t="str">
        <f aca="false">IF($M625="","",IF(NOT(ISNUMBER(R625)),"NO DATE",IF(S625="Won",IF(R625&gt;Settings!$B$5,"Backlog","Delivered"),IF(S625="Open",IF(R625&gt;Settings!$B$5,"Pipeline","Overdue"),IF(S625="Lost","Lost","UNMAPPED")))))</f>
        <v>Lost</v>
      </c>
      <c r="U625" s="40" t="n">
        <f aca="false">IF(T625="Backlog",1,IF(OR(T625="Pipeline",T625="Overdue"),N(INDEX(Settings!$C$27:$C$36,MATCH(L625,Settings!$A$27:$A$36,0))),0))</f>
        <v>0</v>
      </c>
      <c r="V625" s="38" t="n">
        <f aca="false">Q625*U625</f>
        <v>0</v>
      </c>
      <c r="W625" s="41" t="n">
        <f aca="false">IF($M625="","",IF(T625="Overdue",IF(Settings!$B$8="Yes",Settings!$B$7,""),IF(ISNUMBER(R625),DATE(YEAR(R625),MONTH(R625),1),"")))</f>
        <v>46266</v>
      </c>
      <c r="X625" s="38" t="n">
        <f aca="false">IF(AND(OR(T625="Backlog",T625="Pipeline",T625="Overdue"),ISNUMBER(W625)),IF(W625&lt;=Settings!$B$6,V625,0),0)</f>
        <v>0</v>
      </c>
      <c r="Y625" s="38" t="n">
        <f aca="false">IF(AND(OR(T625="Backlog",T625="Pipeline",T625="Overdue"),ISNUMBER(W625)),IF(W625&lt;=Settings!$B$6,Q625,0),0)</f>
        <v>0</v>
      </c>
      <c r="Z625" s="38" t="n">
        <f aca="false">IF(Y625=0,0,IF(T625="Backlog",Q625,Q625*Dashboard!$C$10))</f>
        <v>0</v>
      </c>
      <c r="AA625" s="37" t="n">
        <f aca="false">IF($N625="",0,IF(COUNTIF(Dashboard!$C$13:$C$22,$N625)&gt;0,1,0))</f>
        <v>0</v>
      </c>
      <c r="AB625" s="37" t="str">
        <f aca="false">IF($N625="","",IF(COUNTIF($N$8:$N625,$N625)=1,MAX($AB$7:$AB624)+1,""))</f>
        <v/>
      </c>
    </row>
    <row r="626" customFormat="false" ht="15" hidden="false" customHeight="false" outlineLevel="0" collapsed="false">
      <c r="B626" s="32" t="s">
        <v>1501</v>
      </c>
      <c r="C626" s="32" t="s">
        <v>538</v>
      </c>
      <c r="D626" s="35" t="n">
        <v>0</v>
      </c>
      <c r="E626" s="32" t="s">
        <v>141</v>
      </c>
      <c r="F626" s="36" t="n">
        <v>46265</v>
      </c>
      <c r="G626" s="32" t="s">
        <v>1502</v>
      </c>
      <c r="L626" s="37" t="str">
        <f aca="false">IF(INDEX($A626:$J626,$L$6)&lt;&gt;"",TRIM(LEFT(INDEX($A626:$J626,$L$6),FIND("(",INDEX($A626:$J626,$L$6)&amp;"(")-1)),L625)</f>
        <v>Closed Lost</v>
      </c>
      <c r="M626" s="37" t="str">
        <f aca="false">IF(INDEX($A626:$J626,$M$6)="","",INDEX($A626:$J626,$M$6)&amp;"")</f>
        <v>HP-Telstra | CSIRO Phone Mod - 2608301</v>
      </c>
      <c r="N626" s="37" t="str">
        <f aca="false">IF($M626="","",TRIM(INDEX($A626:$J626,$N$6)&amp;""))</f>
        <v>Telstra Enterprise</v>
      </c>
      <c r="O626" s="37" t="str">
        <f aca="false">IF($M626="","",TRIM(INDEX($A626:$J626,$O$6)&amp;""))</f>
        <v>Integration</v>
      </c>
      <c r="P626" s="37" t="str">
        <f aca="false">IF($M626="","",IFERROR(IF(INDEX(Settings!$B$41:$B$50,MATCH(O626,Settings!$A$41:$A$50,0))&amp;""="","UNMAPPED",INDEX(Settings!$B$41:$B$50,MATCH(O626,Settings!$A$41:$A$50,0))&amp;""),"UNMAPPED"))</f>
        <v>Integration</v>
      </c>
      <c r="Q626" s="38" t="n">
        <f aca="false">IF($M626="",0,N(INDEX($A626:$J626,$Q$6)))</f>
        <v>0</v>
      </c>
      <c r="R626" s="39" t="n">
        <f aca="false">IF($M626="","",INDEX($A626:$J626,$R$6))</f>
        <v>46265</v>
      </c>
      <c r="S626" s="37" t="str">
        <f aca="false">IF($M626="","",IFERROR(INDEX(Settings!$B$27:$B$36,MATCH(L626,Settings!$A$27:$A$36,0))&amp;"","UNMAPPED"))</f>
        <v>Lost</v>
      </c>
      <c r="T626" s="37" t="str">
        <f aca="false">IF($M626="","",IF(NOT(ISNUMBER(R626)),"NO DATE",IF(S626="Won",IF(R626&gt;Settings!$B$5,"Backlog","Delivered"),IF(S626="Open",IF(R626&gt;Settings!$B$5,"Pipeline","Overdue"),IF(S626="Lost","Lost","UNMAPPED")))))</f>
        <v>Lost</v>
      </c>
      <c r="U626" s="40" t="n">
        <f aca="false">IF(T626="Backlog",1,IF(OR(T626="Pipeline",T626="Overdue"),N(INDEX(Settings!$C$27:$C$36,MATCH(L626,Settings!$A$27:$A$36,0))),0))</f>
        <v>0</v>
      </c>
      <c r="V626" s="38" t="n">
        <f aca="false">Q626*U626</f>
        <v>0</v>
      </c>
      <c r="W626" s="41" t="n">
        <f aca="false">IF($M626="","",IF(T626="Overdue",IF(Settings!$B$8="Yes",Settings!$B$7,""),IF(ISNUMBER(R626),DATE(YEAR(R626),MONTH(R626),1),"")))</f>
        <v>46235</v>
      </c>
      <c r="X626" s="38" t="n">
        <f aca="false">IF(AND(OR(T626="Backlog",T626="Pipeline",T626="Overdue"),ISNUMBER(W626)),IF(W626&lt;=Settings!$B$6,V626,0),0)</f>
        <v>0</v>
      </c>
      <c r="Y626" s="38" t="n">
        <f aca="false">IF(AND(OR(T626="Backlog",T626="Pipeline",T626="Overdue"),ISNUMBER(W626)),IF(W626&lt;=Settings!$B$6,Q626,0),0)</f>
        <v>0</v>
      </c>
      <c r="Z626" s="38" t="n">
        <f aca="false">IF(Y626=0,0,IF(T626="Backlog",Q626,Q626*Dashboard!$C$10))</f>
        <v>0</v>
      </c>
      <c r="AA626" s="37" t="n">
        <f aca="false">IF($N626="",0,IF(COUNTIF(Dashboard!$C$13:$C$22,$N626)&gt;0,1,0))</f>
        <v>0</v>
      </c>
      <c r="AB626" s="37" t="str">
        <f aca="false">IF($N626="","",IF(COUNTIF($N$8:$N626,$N626)=1,MAX($AB$7:$AB625)+1,""))</f>
        <v/>
      </c>
    </row>
    <row r="627" customFormat="false" ht="15" hidden="false" customHeight="false" outlineLevel="0" collapsed="false">
      <c r="B627" s="32" t="s">
        <v>1503</v>
      </c>
      <c r="C627" s="32" t="s">
        <v>1504</v>
      </c>
      <c r="D627" s="35" t="n">
        <v>3306</v>
      </c>
      <c r="E627" s="32" t="s">
        <v>145</v>
      </c>
      <c r="F627" s="36" t="n">
        <v>45884</v>
      </c>
      <c r="G627" s="32" t="s">
        <v>1505</v>
      </c>
      <c r="L627" s="37" t="str">
        <f aca="false">IF(INDEX($A627:$J627,$L$6)&lt;&gt;"",TRIM(LEFT(INDEX($A627:$J627,$L$6),FIND("(",INDEX($A627:$J627,$L$6)&amp;"(")-1)),L626)</f>
        <v>Closed Lost</v>
      </c>
      <c r="M627" s="37" t="str">
        <f aca="false">IF(INDEX($A627:$J627,$M$6)="","",INDEX($A627:$J627,$M$6)&amp;"")</f>
        <v>Mirvac FYR 15.8.25</v>
      </c>
      <c r="N627" s="37" t="str">
        <f aca="false">IF($M627="","",TRIM(INDEX($A627:$J627,$N$6)&amp;""))</f>
        <v>Notified</v>
      </c>
      <c r="O627" s="37" t="str">
        <f aca="false">IF($M627="","",TRIM(INDEX($A627:$J627,$O$6)&amp;""))</f>
        <v>Event Production</v>
      </c>
      <c r="P627" s="37" t="str">
        <f aca="false">IF($M627="","",IFERROR(IF(INDEX(Settings!$B$41:$B$50,MATCH(O627,Settings!$A$41:$A$50,0))&amp;""="","UNMAPPED",INDEX(Settings!$B$41:$B$50,MATCH(O627,Settings!$A$41:$A$50,0))&amp;""),"UNMAPPED"))</f>
        <v>Production</v>
      </c>
      <c r="Q627" s="38" t="n">
        <f aca="false">IF($M627="",0,N(INDEX($A627:$J627,$Q$6)))</f>
        <v>3306</v>
      </c>
      <c r="R627" s="39" t="n">
        <f aca="false">IF($M627="","",INDEX($A627:$J627,$R$6))</f>
        <v>45884</v>
      </c>
      <c r="S627" s="37" t="str">
        <f aca="false">IF($M627="","",IFERROR(INDEX(Settings!$B$27:$B$36,MATCH(L627,Settings!$A$27:$A$36,0))&amp;"","UNMAPPED"))</f>
        <v>Lost</v>
      </c>
      <c r="T627" s="37" t="str">
        <f aca="false">IF($M627="","",IF(NOT(ISNUMBER(R627)),"NO DATE",IF(S627="Won",IF(R627&gt;Settings!$B$5,"Backlog","Delivered"),IF(S627="Open",IF(R627&gt;Settings!$B$5,"Pipeline","Overdue"),IF(S627="Lost","Lost","UNMAPPED")))))</f>
        <v>Lost</v>
      </c>
      <c r="U627" s="40" t="n">
        <f aca="false">IF(T627="Backlog",1,IF(OR(T627="Pipeline",T627="Overdue"),N(INDEX(Settings!$C$27:$C$36,MATCH(L627,Settings!$A$27:$A$36,0))),0))</f>
        <v>0</v>
      </c>
      <c r="V627" s="38" t="n">
        <f aca="false">Q627*U627</f>
        <v>0</v>
      </c>
      <c r="W627" s="41" t="n">
        <f aca="false">IF($M627="","",IF(T627="Overdue",IF(Settings!$B$8="Yes",Settings!$B$7,""),IF(ISNUMBER(R627),DATE(YEAR(R627),MONTH(R627),1),"")))</f>
        <v>45870</v>
      </c>
      <c r="X627" s="38" t="n">
        <f aca="false">IF(AND(OR(T627="Backlog",T627="Pipeline",T627="Overdue"),ISNUMBER(W627)),IF(W627&lt;=Settings!$B$6,V627,0),0)</f>
        <v>0</v>
      </c>
      <c r="Y627" s="38" t="n">
        <f aca="false">IF(AND(OR(T627="Backlog",T627="Pipeline",T627="Overdue"),ISNUMBER(W627)),IF(W627&lt;=Settings!$B$6,Q627,0),0)</f>
        <v>0</v>
      </c>
      <c r="Z627" s="38" t="n">
        <f aca="false">IF(Y627=0,0,IF(T627="Backlog",Q627,Q627*Dashboard!$C$10))</f>
        <v>0</v>
      </c>
      <c r="AA627" s="37" t="n">
        <f aca="false">IF($N627="",0,IF(COUNTIF(Dashboard!$C$13:$C$22,$N627)&gt;0,1,0))</f>
        <v>0</v>
      </c>
      <c r="AB627" s="37" t="n">
        <f aca="false">IF($N627="","",IF(COUNTIF($N$8:$N627,$N627)=1,MAX($AB$7:$AB626)+1,""))</f>
        <v>127</v>
      </c>
    </row>
    <row r="628" customFormat="false" ht="15" hidden="false" customHeight="false" outlineLevel="0" collapsed="false">
      <c r="B628" s="32" t="s">
        <v>1506</v>
      </c>
      <c r="C628" s="32" t="s">
        <v>253</v>
      </c>
      <c r="D628" s="35" t="n">
        <v>704</v>
      </c>
      <c r="E628" s="32" t="s">
        <v>208</v>
      </c>
      <c r="F628" s="36" t="n">
        <v>46142</v>
      </c>
      <c r="G628" s="32" t="s">
        <v>1507</v>
      </c>
      <c r="L628" s="37" t="str">
        <f aca="false">IF(INDEX($A628:$J628,$L$6)&lt;&gt;"",TRIM(LEFT(INDEX($A628:$J628,$L$6),FIND("(",INDEX($A628:$J628,$L$6)&amp;"(")-1)),L627)</f>
        <v>Closed Lost</v>
      </c>
      <c r="M628" s="37" t="str">
        <f aca="false">IF(INDEX($A628:$J628,$M$6)="","",INDEX($A628:$J628,$M$6)&amp;"")</f>
        <v>ASX MTM Schroders Social Media Video</v>
      </c>
      <c r="N628" s="37" t="str">
        <f aca="false">IF($M628="","",TRIM(INDEX($A628:$J628,$N$6)&amp;""))</f>
        <v>ASX Australian Securities Exchange</v>
      </c>
      <c r="O628" s="37" t="str">
        <f aca="false">IF($M628="","",TRIM(INDEX($A628:$J628,$O$6)&amp;""))</f>
        <v>Video Production</v>
      </c>
      <c r="P628" s="37" t="str">
        <f aca="false">IF($M628="","",IFERROR(IF(INDEX(Settings!$B$41:$B$50,MATCH(O628,Settings!$A$41:$A$50,0))&amp;""="","UNMAPPED",INDEX(Settings!$B$41:$B$50,MATCH(O628,Settings!$A$41:$A$50,0))&amp;""),"UNMAPPED"))</f>
        <v>Video</v>
      </c>
      <c r="Q628" s="38" t="n">
        <f aca="false">IF($M628="",0,N(INDEX($A628:$J628,$Q$6)))</f>
        <v>704</v>
      </c>
      <c r="R628" s="39" t="n">
        <f aca="false">IF($M628="","",INDEX($A628:$J628,$R$6))</f>
        <v>46142</v>
      </c>
      <c r="S628" s="37" t="str">
        <f aca="false">IF($M628="","",IFERROR(INDEX(Settings!$B$27:$B$36,MATCH(L628,Settings!$A$27:$A$36,0))&amp;"","UNMAPPED"))</f>
        <v>Lost</v>
      </c>
      <c r="T628" s="37" t="str">
        <f aca="false">IF($M628="","",IF(NOT(ISNUMBER(R628)),"NO DATE",IF(S628="Won",IF(R628&gt;Settings!$B$5,"Backlog","Delivered"),IF(S628="Open",IF(R628&gt;Settings!$B$5,"Pipeline","Overdue"),IF(S628="Lost","Lost","UNMAPPED")))))</f>
        <v>Lost</v>
      </c>
      <c r="U628" s="40" t="n">
        <f aca="false">IF(T628="Backlog",1,IF(OR(T628="Pipeline",T628="Overdue"),N(INDEX(Settings!$C$27:$C$36,MATCH(L628,Settings!$A$27:$A$36,0))),0))</f>
        <v>0</v>
      </c>
      <c r="V628" s="38" t="n">
        <f aca="false">Q628*U628</f>
        <v>0</v>
      </c>
      <c r="W628" s="41" t="n">
        <f aca="false">IF($M628="","",IF(T628="Overdue",IF(Settings!$B$8="Yes",Settings!$B$7,""),IF(ISNUMBER(R628),DATE(YEAR(R628),MONTH(R628),1),"")))</f>
        <v>46113</v>
      </c>
      <c r="X628" s="38" t="n">
        <f aca="false">IF(AND(OR(T628="Backlog",T628="Pipeline",T628="Overdue"),ISNUMBER(W628)),IF(W628&lt;=Settings!$B$6,V628,0),0)</f>
        <v>0</v>
      </c>
      <c r="Y628" s="38" t="n">
        <f aca="false">IF(AND(OR(T628="Backlog",T628="Pipeline",T628="Overdue"),ISNUMBER(W628)),IF(W628&lt;=Settings!$B$6,Q628,0),0)</f>
        <v>0</v>
      </c>
      <c r="Z628" s="38" t="n">
        <f aca="false">IF(Y628=0,0,IF(T628="Backlog",Q628,Q628*Dashboard!$C$10))</f>
        <v>0</v>
      </c>
      <c r="AA628" s="37" t="n">
        <f aca="false">IF($N628="",0,IF(COUNTIF(Dashboard!$C$13:$C$22,$N628)&gt;0,1,0))</f>
        <v>0</v>
      </c>
      <c r="AB628" s="37" t="str">
        <f aca="false">IF($N628="","",IF(COUNTIF($N$8:$N628,$N628)=1,MAX($AB$7:$AB627)+1,""))</f>
        <v/>
      </c>
    </row>
    <row r="629" customFormat="false" ht="15" hidden="false" customHeight="false" outlineLevel="0" collapsed="false">
      <c r="A629" s="32" t="s">
        <v>1508</v>
      </c>
      <c r="B629" s="32" t="s">
        <v>1509</v>
      </c>
      <c r="C629" s="32" t="s">
        <v>163</v>
      </c>
      <c r="D629" s="35" t="n">
        <v>9783</v>
      </c>
      <c r="E629" s="32" t="s">
        <v>145</v>
      </c>
      <c r="F629" s="36" t="n">
        <v>46331</v>
      </c>
      <c r="G629" s="32" t="s">
        <v>1510</v>
      </c>
      <c r="L629" s="37" t="str">
        <f aca="false">IF(INDEX($A629:$J629,$L$6)&lt;&gt;"",TRIM(LEFT(INDEX($A629:$J629,$L$6),FIND("(",INDEX($A629:$J629,$L$6)&amp;"(")-1)),L628)</f>
        <v>Verbal Approval</v>
      </c>
      <c r="M629" s="37" t="str">
        <f aca="false">IF(INDEX($A629:$J629,$M$6)="","",INDEX($A629:$J629,$M$6)&amp;"")</f>
        <v>Automic - Noumi LTD AGM - 5.11.26</v>
      </c>
      <c r="N629" s="37" t="str">
        <f aca="false">IF($M629="","",TRIM(INDEX($A629:$J629,$N$6)&amp;""))</f>
        <v>Automic Group</v>
      </c>
      <c r="O629" s="37" t="str">
        <f aca="false">IF($M629="","",TRIM(INDEX($A629:$J629,$O$6)&amp;""))</f>
        <v>Event Production</v>
      </c>
      <c r="P629" s="37" t="str">
        <f aca="false">IF($M629="","",IFERROR(IF(INDEX(Settings!$B$41:$B$50,MATCH(O629,Settings!$A$41:$A$50,0))&amp;""="","UNMAPPED",INDEX(Settings!$B$41:$B$50,MATCH(O629,Settings!$A$41:$A$50,0))&amp;""),"UNMAPPED"))</f>
        <v>Production</v>
      </c>
      <c r="Q629" s="38" t="n">
        <f aca="false">IF($M629="",0,N(INDEX($A629:$J629,$Q$6)))</f>
        <v>9783</v>
      </c>
      <c r="R629" s="39" t="n">
        <f aca="false">IF($M629="","",INDEX($A629:$J629,$R$6))</f>
        <v>46331</v>
      </c>
      <c r="S629" s="37" t="str">
        <f aca="false">IF($M629="","",IFERROR(INDEX(Settings!$B$27:$B$36,MATCH(L629,Settings!$A$27:$A$36,0))&amp;"","UNMAPPED"))</f>
        <v>Open</v>
      </c>
      <c r="T629" s="37" t="str">
        <f aca="false">IF($M629="","",IF(NOT(ISNUMBER(R629)),"NO DATE",IF(S629="Won",IF(R629&gt;Settings!$B$5,"Backlog","Delivered"),IF(S629="Open",IF(R629&gt;Settings!$B$5,"Pipeline","Overdue"),IF(S629="Lost","Lost","UNMAPPED")))))</f>
        <v>Pipeline</v>
      </c>
      <c r="U629" s="40" t="n">
        <f aca="false">IF(T629="Backlog",1,IF(OR(T629="Pipeline",T629="Overdue"),N(INDEX(Settings!$C$27:$C$36,MATCH(L629,Settings!$A$27:$A$36,0))),0))</f>
        <v>0.9</v>
      </c>
      <c r="V629" s="38" t="n">
        <f aca="false">Q629*U629</f>
        <v>8804.7</v>
      </c>
      <c r="W629" s="41" t="n">
        <f aca="false">IF($M629="","",IF(T629="Overdue",IF(Settings!$B$8="Yes",Settings!$B$7,""),IF(ISNUMBER(R629),DATE(YEAR(R629),MONTH(R629),1),"")))</f>
        <v>46327</v>
      </c>
      <c r="X629" s="38" t="n">
        <f aca="false">IF(AND(OR(T629="Backlog",T629="Pipeline",T629="Overdue"),ISNUMBER(W629)),IF(W629&lt;=Settings!$B$6,V629,0),0)</f>
        <v>8804.7</v>
      </c>
      <c r="Y629" s="38" t="n">
        <f aca="false">IF(AND(OR(T629="Backlog",T629="Pipeline",T629="Overdue"),ISNUMBER(W629)),IF(W629&lt;=Settings!$B$6,Q629,0),0)</f>
        <v>9783</v>
      </c>
      <c r="Z629" s="38" t="n">
        <f aca="false">IF(Y629=0,0,IF(T629="Backlog",Q629,Q629*Dashboard!$C$10))</f>
        <v>0</v>
      </c>
      <c r="AA629" s="37" t="n">
        <f aca="false">IF($N629="",0,IF(COUNTIF(Dashboard!$C$13:$C$22,$N629)&gt;0,1,0))</f>
        <v>0</v>
      </c>
      <c r="AB629" s="37" t="str">
        <f aca="false">IF($N629="","",IF(COUNTIF($N$8:$N629,$N629)=1,MAX($AB$7:$AB628)+1,""))</f>
        <v/>
      </c>
    </row>
    <row r="630" customFormat="false" ht="15" hidden="false" customHeight="false" outlineLevel="0" collapsed="false">
      <c r="B630" s="32" t="s">
        <v>1511</v>
      </c>
      <c r="C630" s="32" t="s">
        <v>1512</v>
      </c>
      <c r="D630" s="35" t="n">
        <v>3360</v>
      </c>
      <c r="E630" s="32" t="s">
        <v>145</v>
      </c>
      <c r="F630" s="36" t="n">
        <v>46323</v>
      </c>
      <c r="G630" s="32" t="s">
        <v>1513</v>
      </c>
      <c r="L630" s="37" t="str">
        <f aca="false">IF(INDEX($A630:$J630,$L$6)&lt;&gt;"",TRIM(LEFT(INDEX($A630:$J630,$L$6),FIND("(",INDEX($A630:$J630,$L$6)&amp;"(")-1)),L629)</f>
        <v>Verbal Approval</v>
      </c>
      <c r="M630" s="37" t="str">
        <f aca="false">IF(INDEX($A630:$J630,$M$6)="","",INDEX($A630:$J630,$M$6)&amp;"")</f>
        <v>The George Institute - Sydney Cardiovascular Symposium - 29 &amp; 30.10.26</v>
      </c>
      <c r="N630" s="37" t="str">
        <f aca="false">IF($M630="","",TRIM(INDEX($A630:$J630,$N$6)&amp;""))</f>
        <v>The George Institute</v>
      </c>
      <c r="O630" s="37" t="str">
        <f aca="false">IF($M630="","",TRIM(INDEX($A630:$J630,$O$6)&amp;""))</f>
        <v>Event Production</v>
      </c>
      <c r="P630" s="37" t="str">
        <f aca="false">IF($M630="","",IFERROR(IF(INDEX(Settings!$B$41:$B$50,MATCH(O630,Settings!$A$41:$A$50,0))&amp;""="","UNMAPPED",INDEX(Settings!$B$41:$B$50,MATCH(O630,Settings!$A$41:$A$50,0))&amp;""),"UNMAPPED"))</f>
        <v>Production</v>
      </c>
      <c r="Q630" s="38" t="n">
        <f aca="false">IF($M630="",0,N(INDEX($A630:$J630,$Q$6)))</f>
        <v>3360</v>
      </c>
      <c r="R630" s="39" t="n">
        <f aca="false">IF($M630="","",INDEX($A630:$J630,$R$6))</f>
        <v>46323</v>
      </c>
      <c r="S630" s="37" t="str">
        <f aca="false">IF($M630="","",IFERROR(INDEX(Settings!$B$27:$B$36,MATCH(L630,Settings!$A$27:$A$36,0))&amp;"","UNMAPPED"))</f>
        <v>Open</v>
      </c>
      <c r="T630" s="37" t="str">
        <f aca="false">IF($M630="","",IF(NOT(ISNUMBER(R630)),"NO DATE",IF(S630="Won",IF(R630&gt;Settings!$B$5,"Backlog","Delivered"),IF(S630="Open",IF(R630&gt;Settings!$B$5,"Pipeline","Overdue"),IF(S630="Lost","Lost","UNMAPPED")))))</f>
        <v>Pipeline</v>
      </c>
      <c r="U630" s="40" t="n">
        <f aca="false">IF(T630="Backlog",1,IF(OR(T630="Pipeline",T630="Overdue"),N(INDEX(Settings!$C$27:$C$36,MATCH(L630,Settings!$A$27:$A$36,0))),0))</f>
        <v>0.9</v>
      </c>
      <c r="V630" s="38" t="n">
        <f aca="false">Q630*U630</f>
        <v>3024</v>
      </c>
      <c r="W630" s="41" t="n">
        <f aca="false">IF($M630="","",IF(T630="Overdue",IF(Settings!$B$8="Yes",Settings!$B$7,""),IF(ISNUMBER(R630),DATE(YEAR(R630),MONTH(R630),1),"")))</f>
        <v>46296</v>
      </c>
      <c r="X630" s="38" t="n">
        <f aca="false">IF(AND(OR(T630="Backlog",T630="Pipeline",T630="Overdue"),ISNUMBER(W630)),IF(W630&lt;=Settings!$B$6,V630,0),0)</f>
        <v>3024</v>
      </c>
      <c r="Y630" s="38" t="n">
        <f aca="false">IF(AND(OR(T630="Backlog",T630="Pipeline",T630="Overdue"),ISNUMBER(W630)),IF(W630&lt;=Settings!$B$6,Q630,0),0)</f>
        <v>3360</v>
      </c>
      <c r="Z630" s="38" t="n">
        <f aca="false">IF(Y630=0,0,IF(T630="Backlog",Q630,Q630*Dashboard!$C$10))</f>
        <v>0</v>
      </c>
      <c r="AA630" s="37" t="n">
        <f aca="false">IF($N630="",0,IF(COUNTIF(Dashboard!$C$13:$C$22,$N630)&gt;0,1,0))</f>
        <v>0</v>
      </c>
      <c r="AB630" s="37" t="n">
        <f aca="false">IF($N630="","",IF(COUNTIF($N$8:$N630,$N630)=1,MAX($AB$7:$AB629)+1,""))</f>
        <v>128</v>
      </c>
    </row>
    <row r="631" customFormat="false" ht="15" hidden="false" customHeight="false" outlineLevel="0" collapsed="false">
      <c r="B631" s="32" t="s">
        <v>1514</v>
      </c>
      <c r="C631" s="32" t="s">
        <v>239</v>
      </c>
      <c r="D631" s="35" t="n">
        <v>1395</v>
      </c>
      <c r="E631" s="32" t="s">
        <v>208</v>
      </c>
      <c r="F631" s="36" t="n">
        <v>46307</v>
      </c>
      <c r="G631" s="32" t="s">
        <v>1515</v>
      </c>
      <c r="L631" s="37" t="str">
        <f aca="false">IF(INDEX($A631:$J631,$L$6)&lt;&gt;"",TRIM(LEFT(INDEX($A631:$J631,$L$6),FIND("(",INDEX($A631:$J631,$L$6)&amp;"(")-1)),L630)</f>
        <v>Verbal Approval</v>
      </c>
      <c r="M631" s="37" t="str">
        <f aca="false">IF(INDEX($A631:$J631,$M$6)="","",INDEX($A631:$J631,$M$6)&amp;"")</f>
        <v>TLC - 2026 AGM - Photography 14.10.2026</v>
      </c>
      <c r="N631" s="37" t="str">
        <f aca="false">IF($M631="","",TRIM(INDEX($A631:$J631,$N$6)&amp;""))</f>
        <v>The Lottery Corporation</v>
      </c>
      <c r="O631" s="37" t="str">
        <f aca="false">IF($M631="","",TRIM(INDEX($A631:$J631,$O$6)&amp;""))</f>
        <v>Video Production</v>
      </c>
      <c r="P631" s="37" t="str">
        <f aca="false">IF($M631="","",IFERROR(IF(INDEX(Settings!$B$41:$B$50,MATCH(O631,Settings!$A$41:$A$50,0))&amp;""="","UNMAPPED",INDEX(Settings!$B$41:$B$50,MATCH(O631,Settings!$A$41:$A$50,0))&amp;""),"UNMAPPED"))</f>
        <v>Video</v>
      </c>
      <c r="Q631" s="38" t="n">
        <f aca="false">IF($M631="",0,N(INDEX($A631:$J631,$Q$6)))</f>
        <v>1395</v>
      </c>
      <c r="R631" s="39" t="n">
        <f aca="false">IF($M631="","",INDEX($A631:$J631,$R$6))</f>
        <v>46307</v>
      </c>
      <c r="S631" s="37" t="str">
        <f aca="false">IF($M631="","",IFERROR(INDEX(Settings!$B$27:$B$36,MATCH(L631,Settings!$A$27:$A$36,0))&amp;"","UNMAPPED"))</f>
        <v>Open</v>
      </c>
      <c r="T631" s="37" t="str">
        <f aca="false">IF($M631="","",IF(NOT(ISNUMBER(R631)),"NO DATE",IF(S631="Won",IF(R631&gt;Settings!$B$5,"Backlog","Delivered"),IF(S631="Open",IF(R631&gt;Settings!$B$5,"Pipeline","Overdue"),IF(S631="Lost","Lost","UNMAPPED")))))</f>
        <v>Pipeline</v>
      </c>
      <c r="U631" s="40" t="n">
        <f aca="false">IF(T631="Backlog",1,IF(OR(T631="Pipeline",T631="Overdue"),N(INDEX(Settings!$C$27:$C$36,MATCH(L631,Settings!$A$27:$A$36,0))),0))</f>
        <v>0.9</v>
      </c>
      <c r="V631" s="38" t="n">
        <f aca="false">Q631*U631</f>
        <v>1255.5</v>
      </c>
      <c r="W631" s="41" t="n">
        <f aca="false">IF($M631="","",IF(T631="Overdue",IF(Settings!$B$8="Yes",Settings!$B$7,""),IF(ISNUMBER(R631),DATE(YEAR(R631),MONTH(R631),1),"")))</f>
        <v>46296</v>
      </c>
      <c r="X631" s="38" t="n">
        <f aca="false">IF(AND(OR(T631="Backlog",T631="Pipeline",T631="Overdue"),ISNUMBER(W631)),IF(W631&lt;=Settings!$B$6,V631,0),0)</f>
        <v>1255.5</v>
      </c>
      <c r="Y631" s="38" t="n">
        <f aca="false">IF(AND(OR(T631="Backlog",T631="Pipeline",T631="Overdue"),ISNUMBER(W631)),IF(W631&lt;=Settings!$B$6,Q631,0),0)</f>
        <v>1395</v>
      </c>
      <c r="Z631" s="38" t="n">
        <f aca="false">IF(Y631=0,0,IF(T631="Backlog",Q631,Q631*Dashboard!$C$10))</f>
        <v>0</v>
      </c>
      <c r="AA631" s="37" t="n">
        <f aca="false">IF($N631="",0,IF(COUNTIF(Dashboard!$C$13:$C$22,$N631)&gt;0,1,0))</f>
        <v>0</v>
      </c>
      <c r="AB631" s="37" t="str">
        <f aca="false">IF($N631="","",IF(COUNTIF($N$8:$N631,$N631)=1,MAX($AB$7:$AB630)+1,""))</f>
        <v/>
      </c>
    </row>
    <row r="632" customFormat="false" ht="15" hidden="false" customHeight="false" outlineLevel="0" collapsed="false">
      <c r="B632" s="32" t="s">
        <v>1516</v>
      </c>
      <c r="C632" s="32" t="s">
        <v>310</v>
      </c>
      <c r="D632" s="35" t="n">
        <v>60000</v>
      </c>
      <c r="E632" s="32" t="s">
        <v>145</v>
      </c>
      <c r="F632" s="36" t="n">
        <v>46291</v>
      </c>
      <c r="G632" s="32" t="s">
        <v>1517</v>
      </c>
      <c r="L632" s="37" t="str">
        <f aca="false">IF(INDEX($A632:$J632,$L$6)&lt;&gt;"",TRIM(LEFT(INDEX($A632:$J632,$L$6),FIND("(",INDEX($A632:$J632,$L$6)&amp;"(")-1)),L631)</f>
        <v>Verbal Approval</v>
      </c>
      <c r="M632" s="37" t="str">
        <f aca="false">IF(INDEX($A632:$J632,$M$6)="","",INDEX($A632:$J632,$M$6)&amp;"")</f>
        <v>Cochlear - AGM - 26.10.26</v>
      </c>
      <c r="N632" s="37" t="str">
        <f aca="false">IF($M632="","",TRIM(INDEX($A632:$J632,$N$6)&amp;""))</f>
        <v>Cochlear</v>
      </c>
      <c r="O632" s="37" t="str">
        <f aca="false">IF($M632="","",TRIM(INDEX($A632:$J632,$O$6)&amp;""))</f>
        <v>Event Production</v>
      </c>
      <c r="P632" s="37" t="str">
        <f aca="false">IF($M632="","",IFERROR(IF(INDEX(Settings!$B$41:$B$50,MATCH(O632,Settings!$A$41:$A$50,0))&amp;""="","UNMAPPED",INDEX(Settings!$B$41:$B$50,MATCH(O632,Settings!$A$41:$A$50,0))&amp;""),"UNMAPPED"))</f>
        <v>Production</v>
      </c>
      <c r="Q632" s="38" t="n">
        <f aca="false">IF($M632="",0,N(INDEX($A632:$J632,$Q$6)))</f>
        <v>60000</v>
      </c>
      <c r="R632" s="39" t="n">
        <f aca="false">IF($M632="","",INDEX($A632:$J632,$R$6))</f>
        <v>46291</v>
      </c>
      <c r="S632" s="37" t="str">
        <f aca="false">IF($M632="","",IFERROR(INDEX(Settings!$B$27:$B$36,MATCH(L632,Settings!$A$27:$A$36,0))&amp;"","UNMAPPED"))</f>
        <v>Open</v>
      </c>
      <c r="T632" s="37" t="str">
        <f aca="false">IF($M632="","",IF(NOT(ISNUMBER(R632)),"NO DATE",IF(S632="Won",IF(R632&gt;Settings!$B$5,"Backlog","Delivered"),IF(S632="Open",IF(R632&gt;Settings!$B$5,"Pipeline","Overdue"),IF(S632="Lost","Lost","UNMAPPED")))))</f>
        <v>Overdue</v>
      </c>
      <c r="U632" s="40" t="n">
        <f aca="false">IF(T632="Backlog",1,IF(OR(T632="Pipeline",T632="Overdue"),N(INDEX(Settings!$C$27:$C$36,MATCH(L632,Settings!$A$27:$A$36,0))),0))</f>
        <v>0.9</v>
      </c>
      <c r="V632" s="38" t="n">
        <f aca="false">Q632*U632</f>
        <v>54000</v>
      </c>
      <c r="W632" s="41" t="str">
        <f aca="false">IF($M632="","",IF(T632="Overdue",IF(Settings!$B$8="Yes",Settings!$B$7,""),IF(ISNUMBER(R632),DATE(YEAR(R632),MONTH(R632),1),"")))</f>
        <v/>
      </c>
      <c r="X632" s="38" t="n">
        <f aca="false">IF(AND(OR(T632="Backlog",T632="Pipeline",T632="Overdue"),ISNUMBER(W632)),IF(W632&lt;=Settings!$B$6,V632,0),0)</f>
        <v>0</v>
      </c>
      <c r="Y632" s="38" t="n">
        <f aca="false">IF(AND(OR(T632="Backlog",T632="Pipeline",T632="Overdue"),ISNUMBER(W632)),IF(W632&lt;=Settings!$B$6,Q632,0),0)</f>
        <v>0</v>
      </c>
      <c r="Z632" s="38" t="n">
        <f aca="false">IF(Y632=0,0,IF(T632="Backlog",Q632,Q632*Dashboard!$C$10))</f>
        <v>0</v>
      </c>
      <c r="AA632" s="37" t="n">
        <f aca="false">IF($N632="",0,IF(COUNTIF(Dashboard!$C$13:$C$22,$N632)&gt;0,1,0))</f>
        <v>0</v>
      </c>
      <c r="AB632" s="37" t="str">
        <f aca="false">IF($N632="","",IF(COUNTIF($N$8:$N632,$N632)=1,MAX($AB$7:$AB631)+1,""))</f>
        <v/>
      </c>
    </row>
    <row r="633" customFormat="false" ht="15" hidden="false" customHeight="false" outlineLevel="0" collapsed="false">
      <c r="B633" s="32" t="s">
        <v>1518</v>
      </c>
      <c r="C633" s="32" t="s">
        <v>169</v>
      </c>
      <c r="D633" s="35" t="n">
        <v>7847</v>
      </c>
      <c r="E633" s="32" t="s">
        <v>145</v>
      </c>
      <c r="F633" s="36" t="n">
        <v>46322</v>
      </c>
      <c r="G633" s="32" t="s">
        <v>1519</v>
      </c>
      <c r="L633" s="37" t="str">
        <f aca="false">IF(INDEX($A633:$J633,$L$6)&lt;&gt;"",TRIM(LEFT(INDEX($A633:$J633,$L$6),FIND("(",INDEX($A633:$J633,$L$6)&amp;"(")-1)),L632)</f>
        <v>Verbal Approval</v>
      </c>
      <c r="M633" s="37" t="str">
        <f aca="false">IF(INDEX($A633:$J633,$M$6)="","",INDEX($A633:$J633,$M$6)&amp;"")</f>
        <v>MUFG - IBM Ltd AGM - 27.10.26</v>
      </c>
      <c r="N633" s="37" t="str">
        <f aca="false">IF($M633="","",TRIM(INDEX($A633:$J633,$N$6)&amp;""))</f>
        <v>MUFG IR / Orient Capital</v>
      </c>
      <c r="O633" s="37" t="str">
        <f aca="false">IF($M633="","",TRIM(INDEX($A633:$J633,$O$6)&amp;""))</f>
        <v>Event Production</v>
      </c>
      <c r="P633" s="37" t="str">
        <f aca="false">IF($M633="","",IFERROR(IF(INDEX(Settings!$B$41:$B$50,MATCH(O633,Settings!$A$41:$A$50,0))&amp;""="","UNMAPPED",INDEX(Settings!$B$41:$B$50,MATCH(O633,Settings!$A$41:$A$50,0))&amp;""),"UNMAPPED"))</f>
        <v>Production</v>
      </c>
      <c r="Q633" s="38" t="n">
        <f aca="false">IF($M633="",0,N(INDEX($A633:$J633,$Q$6)))</f>
        <v>7847</v>
      </c>
      <c r="R633" s="39" t="n">
        <f aca="false">IF($M633="","",INDEX($A633:$J633,$R$6))</f>
        <v>46322</v>
      </c>
      <c r="S633" s="37" t="str">
        <f aca="false">IF($M633="","",IFERROR(INDEX(Settings!$B$27:$B$36,MATCH(L633,Settings!$A$27:$A$36,0))&amp;"","UNMAPPED"))</f>
        <v>Open</v>
      </c>
      <c r="T633" s="37" t="str">
        <f aca="false">IF($M633="","",IF(NOT(ISNUMBER(R633)),"NO DATE",IF(S633="Won",IF(R633&gt;Settings!$B$5,"Backlog","Delivered"),IF(S633="Open",IF(R633&gt;Settings!$B$5,"Pipeline","Overdue"),IF(S633="Lost","Lost","UNMAPPED")))))</f>
        <v>Pipeline</v>
      </c>
      <c r="U633" s="40" t="n">
        <f aca="false">IF(T633="Backlog",1,IF(OR(T633="Pipeline",T633="Overdue"),N(INDEX(Settings!$C$27:$C$36,MATCH(L633,Settings!$A$27:$A$36,0))),0))</f>
        <v>0.9</v>
      </c>
      <c r="V633" s="38" t="n">
        <f aca="false">Q633*U633</f>
        <v>7062.3</v>
      </c>
      <c r="W633" s="41" t="n">
        <f aca="false">IF($M633="","",IF(T633="Overdue",IF(Settings!$B$8="Yes",Settings!$B$7,""),IF(ISNUMBER(R633),DATE(YEAR(R633),MONTH(R633),1),"")))</f>
        <v>46296</v>
      </c>
      <c r="X633" s="38" t="n">
        <f aca="false">IF(AND(OR(T633="Backlog",T633="Pipeline",T633="Overdue"),ISNUMBER(W633)),IF(W633&lt;=Settings!$B$6,V633,0),0)</f>
        <v>7062.3</v>
      </c>
      <c r="Y633" s="38" t="n">
        <f aca="false">IF(AND(OR(T633="Backlog",T633="Pipeline",T633="Overdue"),ISNUMBER(W633)),IF(W633&lt;=Settings!$B$6,Q633,0),0)</f>
        <v>7847</v>
      </c>
      <c r="Z633" s="38" t="n">
        <f aca="false">IF(Y633=0,0,IF(T633="Backlog",Q633,Q633*Dashboard!$C$10))</f>
        <v>0</v>
      </c>
      <c r="AA633" s="37" t="n">
        <f aca="false">IF($N633="",0,IF(COUNTIF(Dashboard!$C$13:$C$22,$N633)&gt;0,1,0))</f>
        <v>0</v>
      </c>
      <c r="AB633" s="37" t="str">
        <f aca="false">IF($N633="","",IF(COUNTIF($N$8:$N633,$N633)=1,MAX($AB$7:$AB632)+1,""))</f>
        <v/>
      </c>
    </row>
    <row r="634" customFormat="false" ht="15" hidden="false" customHeight="false" outlineLevel="0" collapsed="false">
      <c r="B634" s="32" t="s">
        <v>1520</v>
      </c>
      <c r="C634" s="32" t="s">
        <v>169</v>
      </c>
      <c r="D634" s="35" t="n">
        <v>26000</v>
      </c>
      <c r="E634" s="32" t="s">
        <v>145</v>
      </c>
      <c r="F634" s="36" t="n">
        <v>46325</v>
      </c>
      <c r="G634" s="32" t="s">
        <v>1521</v>
      </c>
      <c r="L634" s="37" t="str">
        <f aca="false">IF(INDEX($A634:$J634,$L$6)&lt;&gt;"",TRIM(LEFT(INDEX($A634:$J634,$L$6),FIND("(",INDEX($A634:$J634,$L$6)&amp;"(")-1)),L633)</f>
        <v>Verbal Approval</v>
      </c>
      <c r="M634" s="37" t="str">
        <f aca="false">IF(INDEX($A634:$J634,$M$6)="","",INDEX($A634:$J634,$M$6)&amp;"")</f>
        <v>MUFG - Endeavour AGM - 30.10.26</v>
      </c>
      <c r="N634" s="37" t="str">
        <f aca="false">IF($M634="","",TRIM(INDEX($A634:$J634,$N$6)&amp;""))</f>
        <v>MUFG IR / Orient Capital</v>
      </c>
      <c r="O634" s="37" t="str">
        <f aca="false">IF($M634="","",TRIM(INDEX($A634:$J634,$O$6)&amp;""))</f>
        <v>Event Production</v>
      </c>
      <c r="P634" s="37" t="str">
        <f aca="false">IF($M634="","",IFERROR(IF(INDEX(Settings!$B$41:$B$50,MATCH(O634,Settings!$A$41:$A$50,0))&amp;""="","UNMAPPED",INDEX(Settings!$B$41:$B$50,MATCH(O634,Settings!$A$41:$A$50,0))&amp;""),"UNMAPPED"))</f>
        <v>Production</v>
      </c>
      <c r="Q634" s="38" t="n">
        <f aca="false">IF($M634="",0,N(INDEX($A634:$J634,$Q$6)))</f>
        <v>26000</v>
      </c>
      <c r="R634" s="39" t="n">
        <f aca="false">IF($M634="","",INDEX($A634:$J634,$R$6))</f>
        <v>46325</v>
      </c>
      <c r="S634" s="37" t="str">
        <f aca="false">IF($M634="","",IFERROR(INDEX(Settings!$B$27:$B$36,MATCH(L634,Settings!$A$27:$A$36,0))&amp;"","UNMAPPED"))</f>
        <v>Open</v>
      </c>
      <c r="T634" s="37" t="str">
        <f aca="false">IF($M634="","",IF(NOT(ISNUMBER(R634)),"NO DATE",IF(S634="Won",IF(R634&gt;Settings!$B$5,"Backlog","Delivered"),IF(S634="Open",IF(R634&gt;Settings!$B$5,"Pipeline","Overdue"),IF(S634="Lost","Lost","UNMAPPED")))))</f>
        <v>Pipeline</v>
      </c>
      <c r="U634" s="40" t="n">
        <f aca="false">IF(T634="Backlog",1,IF(OR(T634="Pipeline",T634="Overdue"),N(INDEX(Settings!$C$27:$C$36,MATCH(L634,Settings!$A$27:$A$36,0))),0))</f>
        <v>0.9</v>
      </c>
      <c r="V634" s="38" t="n">
        <f aca="false">Q634*U634</f>
        <v>23400</v>
      </c>
      <c r="W634" s="41" t="n">
        <f aca="false">IF($M634="","",IF(T634="Overdue",IF(Settings!$B$8="Yes",Settings!$B$7,""),IF(ISNUMBER(R634),DATE(YEAR(R634),MONTH(R634),1),"")))</f>
        <v>46296</v>
      </c>
      <c r="X634" s="38" t="n">
        <f aca="false">IF(AND(OR(T634="Backlog",T634="Pipeline",T634="Overdue"),ISNUMBER(W634)),IF(W634&lt;=Settings!$B$6,V634,0),0)</f>
        <v>23400</v>
      </c>
      <c r="Y634" s="38" t="n">
        <f aca="false">IF(AND(OR(T634="Backlog",T634="Pipeline",T634="Overdue"),ISNUMBER(W634)),IF(W634&lt;=Settings!$B$6,Q634,0),0)</f>
        <v>26000</v>
      </c>
      <c r="Z634" s="38" t="n">
        <f aca="false">IF(Y634=0,0,IF(T634="Backlog",Q634,Q634*Dashboard!$C$10))</f>
        <v>0</v>
      </c>
      <c r="AA634" s="37" t="n">
        <f aca="false">IF($N634="",0,IF(COUNTIF(Dashboard!$C$13:$C$22,$N634)&gt;0,1,0))</f>
        <v>0</v>
      </c>
      <c r="AB634" s="37" t="str">
        <f aca="false">IF($N634="","",IF(COUNTIF($N$8:$N634,$N634)=1,MAX($AB$7:$AB633)+1,""))</f>
        <v/>
      </c>
    </row>
    <row r="635" customFormat="false" ht="15" hidden="false" customHeight="false" outlineLevel="0" collapsed="false">
      <c r="B635" s="32" t="s">
        <v>1522</v>
      </c>
      <c r="C635" s="32" t="s">
        <v>250</v>
      </c>
      <c r="D635" s="35" t="n">
        <v>12600</v>
      </c>
      <c r="E635" s="32" t="s">
        <v>145</v>
      </c>
      <c r="F635" s="36" t="n">
        <v>46308</v>
      </c>
      <c r="G635" s="32" t="s">
        <v>1523</v>
      </c>
      <c r="L635" s="37" t="str">
        <f aca="false">IF(INDEX($A635:$J635,$L$6)&lt;&gt;"",TRIM(LEFT(INDEX($A635:$J635,$L$6),FIND("(",INDEX($A635:$J635,$L$6)&amp;"(")-1)),L634)</f>
        <v>Verbal Approval</v>
      </c>
      <c r="M635" s="37" t="str">
        <f aca="false">IF(INDEX($A635:$J635,$M$6)="","",INDEX($A635:$J635,$M$6)&amp;"")</f>
        <v>3YS Owls - Governance Top 100 2026 - 30.10.26</v>
      </c>
      <c r="N635" s="37" t="str">
        <f aca="false">IF($M635="","",TRIM(INDEX($A635:$J635,$N$6)&amp;""))</f>
        <v>3YS Owls Pty Ltd</v>
      </c>
      <c r="O635" s="37" t="str">
        <f aca="false">IF($M635="","",TRIM(INDEX($A635:$J635,$O$6)&amp;""))</f>
        <v>Event Production</v>
      </c>
      <c r="P635" s="37" t="str">
        <f aca="false">IF($M635="","",IFERROR(IF(INDEX(Settings!$B$41:$B$50,MATCH(O635,Settings!$A$41:$A$50,0))&amp;""="","UNMAPPED",INDEX(Settings!$B$41:$B$50,MATCH(O635,Settings!$A$41:$A$50,0))&amp;""),"UNMAPPED"))</f>
        <v>Production</v>
      </c>
      <c r="Q635" s="38" t="n">
        <f aca="false">IF($M635="",0,N(INDEX($A635:$J635,$Q$6)))</f>
        <v>12600</v>
      </c>
      <c r="R635" s="39" t="n">
        <f aca="false">IF($M635="","",INDEX($A635:$J635,$R$6))</f>
        <v>46308</v>
      </c>
      <c r="S635" s="37" t="str">
        <f aca="false">IF($M635="","",IFERROR(INDEX(Settings!$B$27:$B$36,MATCH(L635,Settings!$A$27:$A$36,0))&amp;"","UNMAPPED"))</f>
        <v>Open</v>
      </c>
      <c r="T635" s="37" t="str">
        <f aca="false">IF($M635="","",IF(NOT(ISNUMBER(R635)),"NO DATE",IF(S635="Won",IF(R635&gt;Settings!$B$5,"Backlog","Delivered"),IF(S635="Open",IF(R635&gt;Settings!$B$5,"Pipeline","Overdue"),IF(S635="Lost","Lost","UNMAPPED")))))</f>
        <v>Pipeline</v>
      </c>
      <c r="U635" s="40" t="n">
        <f aca="false">IF(T635="Backlog",1,IF(OR(T635="Pipeline",T635="Overdue"),N(INDEX(Settings!$C$27:$C$36,MATCH(L635,Settings!$A$27:$A$36,0))),0))</f>
        <v>0.9</v>
      </c>
      <c r="V635" s="38" t="n">
        <f aca="false">Q635*U635</f>
        <v>11340</v>
      </c>
      <c r="W635" s="41" t="n">
        <f aca="false">IF($M635="","",IF(T635="Overdue",IF(Settings!$B$8="Yes",Settings!$B$7,""),IF(ISNUMBER(R635),DATE(YEAR(R635),MONTH(R635),1),"")))</f>
        <v>46296</v>
      </c>
      <c r="X635" s="38" t="n">
        <f aca="false">IF(AND(OR(T635="Backlog",T635="Pipeline",T635="Overdue"),ISNUMBER(W635)),IF(W635&lt;=Settings!$B$6,V635,0),0)</f>
        <v>11340</v>
      </c>
      <c r="Y635" s="38" t="n">
        <f aca="false">IF(AND(OR(T635="Backlog",T635="Pipeline",T635="Overdue"),ISNUMBER(W635)),IF(W635&lt;=Settings!$B$6,Q635,0),0)</f>
        <v>12600</v>
      </c>
      <c r="Z635" s="38" t="n">
        <f aca="false">IF(Y635=0,0,IF(T635="Backlog",Q635,Q635*Dashboard!$C$10))</f>
        <v>0</v>
      </c>
      <c r="AA635" s="37" t="n">
        <f aca="false">IF($N635="",0,IF(COUNTIF(Dashboard!$C$13:$C$22,$N635)&gt;0,1,0))</f>
        <v>0</v>
      </c>
      <c r="AB635" s="37" t="str">
        <f aca="false">IF($N635="","",IF(COUNTIF($N$8:$N635,$N635)=1,MAX($AB$7:$AB634)+1,""))</f>
        <v/>
      </c>
    </row>
    <row r="636" customFormat="false" ht="15" hidden="false" customHeight="false" outlineLevel="0" collapsed="false">
      <c r="B636" s="32" t="s">
        <v>1524</v>
      </c>
      <c r="C636" s="32" t="s">
        <v>217</v>
      </c>
      <c r="D636" s="35" t="n">
        <v>1120</v>
      </c>
      <c r="E636" s="32" t="s">
        <v>145</v>
      </c>
      <c r="F636" s="36" t="n">
        <v>46346</v>
      </c>
      <c r="G636" s="32" t="s">
        <v>1525</v>
      </c>
      <c r="L636" s="37" t="str">
        <f aca="false">IF(INDEX($A636:$J636,$L$6)&lt;&gt;"",TRIM(LEFT(INDEX($A636:$J636,$L$6),FIND("(",INDEX($A636:$J636,$L$6)&amp;"(")-1)),L635)</f>
        <v>Verbal Approval</v>
      </c>
      <c r="M636" s="37" t="str">
        <f aca="false">IF(INDEX($A636:$J636,$M$6)="","",INDEX($A636:$J636,$M$6)&amp;"")</f>
        <v>Garvan - Morning Tea Event - 20.11.26</v>
      </c>
      <c r="N636" s="37" t="str">
        <f aca="false">IF($M636="","",TRIM(INDEX($A636:$J636,$N$6)&amp;""))</f>
        <v>Garvan Institute of Medical Research</v>
      </c>
      <c r="O636" s="37" t="str">
        <f aca="false">IF($M636="","",TRIM(INDEX($A636:$J636,$O$6)&amp;""))</f>
        <v>Event Production</v>
      </c>
      <c r="P636" s="37" t="str">
        <f aca="false">IF($M636="","",IFERROR(IF(INDEX(Settings!$B$41:$B$50,MATCH(O636,Settings!$A$41:$A$50,0))&amp;""="","UNMAPPED",INDEX(Settings!$B$41:$B$50,MATCH(O636,Settings!$A$41:$A$50,0))&amp;""),"UNMAPPED"))</f>
        <v>Production</v>
      </c>
      <c r="Q636" s="38" t="n">
        <f aca="false">IF($M636="",0,N(INDEX($A636:$J636,$Q$6)))</f>
        <v>1120</v>
      </c>
      <c r="R636" s="39" t="n">
        <f aca="false">IF($M636="","",INDEX($A636:$J636,$R$6))</f>
        <v>46346</v>
      </c>
      <c r="S636" s="37" t="str">
        <f aca="false">IF($M636="","",IFERROR(INDEX(Settings!$B$27:$B$36,MATCH(L636,Settings!$A$27:$A$36,0))&amp;"","UNMAPPED"))</f>
        <v>Open</v>
      </c>
      <c r="T636" s="37" t="str">
        <f aca="false">IF($M636="","",IF(NOT(ISNUMBER(R636)),"NO DATE",IF(S636="Won",IF(R636&gt;Settings!$B$5,"Backlog","Delivered"),IF(S636="Open",IF(R636&gt;Settings!$B$5,"Pipeline","Overdue"),IF(S636="Lost","Lost","UNMAPPED")))))</f>
        <v>Pipeline</v>
      </c>
      <c r="U636" s="40" t="n">
        <f aca="false">IF(T636="Backlog",1,IF(OR(T636="Pipeline",T636="Overdue"),N(INDEX(Settings!$C$27:$C$36,MATCH(L636,Settings!$A$27:$A$36,0))),0))</f>
        <v>0.9</v>
      </c>
      <c r="V636" s="38" t="n">
        <f aca="false">Q636*U636</f>
        <v>1008</v>
      </c>
      <c r="W636" s="41" t="n">
        <f aca="false">IF($M636="","",IF(T636="Overdue",IF(Settings!$B$8="Yes",Settings!$B$7,""),IF(ISNUMBER(R636),DATE(YEAR(R636),MONTH(R636),1),"")))</f>
        <v>46327</v>
      </c>
      <c r="X636" s="38" t="n">
        <f aca="false">IF(AND(OR(T636="Backlog",T636="Pipeline",T636="Overdue"),ISNUMBER(W636)),IF(W636&lt;=Settings!$B$6,V636,0),0)</f>
        <v>1008</v>
      </c>
      <c r="Y636" s="38" t="n">
        <f aca="false">IF(AND(OR(T636="Backlog",T636="Pipeline",T636="Overdue"),ISNUMBER(W636)),IF(W636&lt;=Settings!$B$6,Q636,0),0)</f>
        <v>1120</v>
      </c>
      <c r="Z636" s="38" t="n">
        <f aca="false">IF(Y636=0,0,IF(T636="Backlog",Q636,Q636*Dashboard!$C$10))</f>
        <v>0</v>
      </c>
      <c r="AA636" s="37" t="n">
        <f aca="false">IF($N636="",0,IF(COUNTIF(Dashboard!$C$13:$C$22,$N636)&gt;0,1,0))</f>
        <v>0</v>
      </c>
      <c r="AB636" s="37" t="str">
        <f aca="false">IF($N636="","",IF(COUNTIF($N$8:$N636,$N636)=1,MAX($AB$7:$AB635)+1,""))</f>
        <v/>
      </c>
    </row>
    <row r="637" customFormat="false" ht="15" hidden="false" customHeight="false" outlineLevel="0" collapsed="false">
      <c r="B637" s="32" t="s">
        <v>1526</v>
      </c>
      <c r="C637" s="32" t="s">
        <v>191</v>
      </c>
      <c r="D637" s="35" t="n">
        <v>450000</v>
      </c>
      <c r="E637" s="32" t="s">
        <v>145</v>
      </c>
      <c r="F637" s="36" t="n">
        <v>46521</v>
      </c>
      <c r="G637" s="32" t="s">
        <v>1527</v>
      </c>
      <c r="L637" s="37" t="str">
        <f aca="false">IF(INDEX($A637:$J637,$L$6)&lt;&gt;"",TRIM(LEFT(INDEX($A637:$J637,$L$6),FIND("(",INDEX($A637:$J637,$L$6)&amp;"(")-1)),L636)</f>
        <v>Verbal Approval</v>
      </c>
      <c r="M637" s="37" t="str">
        <f aca="false">IF(INDEX($A637:$J637,$M$6)="","",INDEX($A637:$J637,$M$6)&amp;"")</f>
        <v>CBA - AGM 2027 -</v>
      </c>
      <c r="N637" s="37" t="str">
        <f aca="false">IF($M637="","",TRIM(INDEX($A637:$J637,$N$6)&amp;""))</f>
        <v>Commonwealth Bank Australia (CBA)</v>
      </c>
      <c r="O637" s="37" t="str">
        <f aca="false">IF($M637="","",TRIM(INDEX($A637:$J637,$O$6)&amp;""))</f>
        <v>Event Production</v>
      </c>
      <c r="P637" s="37" t="str">
        <f aca="false">IF($M637="","",IFERROR(IF(INDEX(Settings!$B$41:$B$50,MATCH(O637,Settings!$A$41:$A$50,0))&amp;""="","UNMAPPED",INDEX(Settings!$B$41:$B$50,MATCH(O637,Settings!$A$41:$A$50,0))&amp;""),"UNMAPPED"))</f>
        <v>Production</v>
      </c>
      <c r="Q637" s="38" t="n">
        <f aca="false">IF($M637="",0,N(INDEX($A637:$J637,$Q$6)))</f>
        <v>450000</v>
      </c>
      <c r="R637" s="39" t="n">
        <f aca="false">IF($M637="","",INDEX($A637:$J637,$R$6))</f>
        <v>46521</v>
      </c>
      <c r="S637" s="37" t="str">
        <f aca="false">IF($M637="","",IFERROR(INDEX(Settings!$B$27:$B$36,MATCH(L637,Settings!$A$27:$A$36,0))&amp;"","UNMAPPED"))</f>
        <v>Open</v>
      </c>
      <c r="T637" s="37" t="str">
        <f aca="false">IF($M637="","",IF(NOT(ISNUMBER(R637)),"NO DATE",IF(S637="Won",IF(R637&gt;Settings!$B$5,"Backlog","Delivered"),IF(S637="Open",IF(R637&gt;Settings!$B$5,"Pipeline","Overdue"),IF(S637="Lost","Lost","UNMAPPED")))))</f>
        <v>Pipeline</v>
      </c>
      <c r="U637" s="40" t="n">
        <f aca="false">IF(T637="Backlog",1,IF(OR(T637="Pipeline",T637="Overdue"),N(INDEX(Settings!$C$27:$C$36,MATCH(L637,Settings!$A$27:$A$36,0))),0))</f>
        <v>0.9</v>
      </c>
      <c r="V637" s="38" t="n">
        <f aca="false">Q637*U637</f>
        <v>405000</v>
      </c>
      <c r="W637" s="41" t="n">
        <f aca="false">IF($M637="","",IF(T637="Overdue",IF(Settings!$B$8="Yes",Settings!$B$7,""),IF(ISNUMBER(R637),DATE(YEAR(R637),MONTH(R637),1),"")))</f>
        <v>46508</v>
      </c>
      <c r="X637" s="38" t="n">
        <f aca="false">IF(AND(OR(T637="Backlog",T637="Pipeline",T637="Overdue"),ISNUMBER(W637)),IF(W637&lt;=Settings!$B$6,V637,0),0)</f>
        <v>405000</v>
      </c>
      <c r="Y637" s="38" t="n">
        <f aca="false">IF(AND(OR(T637="Backlog",T637="Pipeline",T637="Overdue"),ISNUMBER(W637)),IF(W637&lt;=Settings!$B$6,Q637,0),0)</f>
        <v>450000</v>
      </c>
      <c r="Z637" s="38" t="n">
        <f aca="false">IF(Y637=0,0,IF(T637="Backlog",Q637,Q637*Dashboard!$C$10))</f>
        <v>0</v>
      </c>
      <c r="AA637" s="37" t="n">
        <f aca="false">IF($N637="",0,IF(COUNTIF(Dashboard!$C$13:$C$22,$N637)&gt;0,1,0))</f>
        <v>0</v>
      </c>
      <c r="AB637" s="37" t="str">
        <f aca="false">IF($N637="","",IF(COUNTIF($N$8:$N637,$N637)=1,MAX($AB$7:$AB636)+1,""))</f>
        <v/>
      </c>
    </row>
    <row r="638" customFormat="false" ht="15" hidden="false" customHeight="false" outlineLevel="0" collapsed="false">
      <c r="B638" s="32" t="s">
        <v>1528</v>
      </c>
      <c r="C638" s="32" t="s">
        <v>244</v>
      </c>
      <c r="D638" s="35" t="n">
        <v>14870</v>
      </c>
      <c r="E638" s="32" t="s">
        <v>145</v>
      </c>
      <c r="F638" s="36" t="n">
        <v>46527</v>
      </c>
      <c r="G638" s="32" t="s">
        <v>1529</v>
      </c>
      <c r="L638" s="37" t="str">
        <f aca="false">IF(INDEX($A638:$J638,$L$6)&lt;&gt;"",TRIM(LEFT(INDEX($A638:$J638,$L$6),FIND("(",INDEX($A638:$J638,$L$6)&amp;"(")-1)),L637)</f>
        <v>Verbal Approval</v>
      </c>
      <c r="M638" s="37" t="str">
        <f aca="false">IF(INDEX($A638:$J638,$M$6)="","",INDEX($A638:$J638,$M$6)&amp;"")</f>
        <v>APA - Qtly All Hands (Perth) - May 27'</v>
      </c>
      <c r="N638" s="37" t="str">
        <f aca="false">IF($M638="","",TRIM(INDEX($A638:$J638,$N$6)&amp;""))</f>
        <v>APA</v>
      </c>
      <c r="O638" s="37" t="str">
        <f aca="false">IF($M638="","",TRIM(INDEX($A638:$J638,$O$6)&amp;""))</f>
        <v>Event Production</v>
      </c>
      <c r="P638" s="37" t="str">
        <f aca="false">IF($M638="","",IFERROR(IF(INDEX(Settings!$B$41:$B$50,MATCH(O638,Settings!$A$41:$A$50,0))&amp;""="","UNMAPPED",INDEX(Settings!$B$41:$B$50,MATCH(O638,Settings!$A$41:$A$50,0))&amp;""),"UNMAPPED"))</f>
        <v>Production</v>
      </c>
      <c r="Q638" s="38" t="n">
        <f aca="false">IF($M638="",0,N(INDEX($A638:$J638,$Q$6)))</f>
        <v>14870</v>
      </c>
      <c r="R638" s="39" t="n">
        <f aca="false">IF($M638="","",INDEX($A638:$J638,$R$6))</f>
        <v>46527</v>
      </c>
      <c r="S638" s="37" t="str">
        <f aca="false">IF($M638="","",IFERROR(INDEX(Settings!$B$27:$B$36,MATCH(L638,Settings!$A$27:$A$36,0))&amp;"","UNMAPPED"))</f>
        <v>Open</v>
      </c>
      <c r="T638" s="37" t="str">
        <f aca="false">IF($M638="","",IF(NOT(ISNUMBER(R638)),"NO DATE",IF(S638="Won",IF(R638&gt;Settings!$B$5,"Backlog","Delivered"),IF(S638="Open",IF(R638&gt;Settings!$B$5,"Pipeline","Overdue"),IF(S638="Lost","Lost","UNMAPPED")))))</f>
        <v>Pipeline</v>
      </c>
      <c r="U638" s="40" t="n">
        <f aca="false">IF(T638="Backlog",1,IF(OR(T638="Pipeline",T638="Overdue"),N(INDEX(Settings!$C$27:$C$36,MATCH(L638,Settings!$A$27:$A$36,0))),0))</f>
        <v>0.9</v>
      </c>
      <c r="V638" s="38" t="n">
        <f aca="false">Q638*U638</f>
        <v>13383</v>
      </c>
      <c r="W638" s="41" t="n">
        <f aca="false">IF($M638="","",IF(T638="Overdue",IF(Settings!$B$8="Yes",Settings!$B$7,""),IF(ISNUMBER(R638),DATE(YEAR(R638),MONTH(R638),1),"")))</f>
        <v>46508</v>
      </c>
      <c r="X638" s="38" t="n">
        <f aca="false">IF(AND(OR(T638="Backlog",T638="Pipeline",T638="Overdue"),ISNUMBER(W638)),IF(W638&lt;=Settings!$B$6,V638,0),0)</f>
        <v>13383</v>
      </c>
      <c r="Y638" s="38" t="n">
        <f aca="false">IF(AND(OR(T638="Backlog",T638="Pipeline",T638="Overdue"),ISNUMBER(W638)),IF(W638&lt;=Settings!$B$6,Q638,0),0)</f>
        <v>14870</v>
      </c>
      <c r="Z638" s="38" t="n">
        <f aca="false">IF(Y638=0,0,IF(T638="Backlog",Q638,Q638*Dashboard!$C$10))</f>
        <v>0</v>
      </c>
      <c r="AA638" s="37" t="n">
        <f aca="false">IF($N638="",0,IF(COUNTIF(Dashboard!$C$13:$C$22,$N638)&gt;0,1,0))</f>
        <v>0</v>
      </c>
      <c r="AB638" s="37" t="str">
        <f aca="false">IF($N638="","",IF(COUNTIF($N$8:$N638,$N638)=1,MAX($AB$7:$AB637)+1,""))</f>
        <v/>
      </c>
    </row>
    <row r="639" customFormat="false" ht="15" hidden="false" customHeight="false" outlineLevel="0" collapsed="false">
      <c r="B639" s="32" t="s">
        <v>1530</v>
      </c>
      <c r="C639" s="32" t="s">
        <v>191</v>
      </c>
      <c r="D639" s="35" t="n">
        <v>7500</v>
      </c>
      <c r="E639" s="32" t="s">
        <v>145</v>
      </c>
      <c r="F639" s="36" t="n">
        <v>46325</v>
      </c>
      <c r="G639" s="32" t="s">
        <v>1531</v>
      </c>
      <c r="L639" s="37" t="str">
        <f aca="false">IF(INDEX($A639:$J639,$L$6)&lt;&gt;"",TRIM(LEFT(INDEX($A639:$J639,$L$6),FIND("(",INDEX($A639:$J639,$L$6)&amp;"(")-1)),L638)</f>
        <v>Verbal Approval</v>
      </c>
      <c r="M639" s="37" t="str">
        <f aca="false">IF(INDEX($A639:$J639,$M$6)="","",INDEX($A639:$J639,$M$6)&amp;"")</f>
        <v>CBA - LES - October 2026</v>
      </c>
      <c r="N639" s="37" t="str">
        <f aca="false">IF($M639="","",TRIM(INDEX($A639:$J639,$N$6)&amp;""))</f>
        <v>Commonwealth Bank Australia (CBA)</v>
      </c>
      <c r="O639" s="37" t="str">
        <f aca="false">IF($M639="","",TRIM(INDEX($A639:$J639,$O$6)&amp;""))</f>
        <v>Event Production</v>
      </c>
      <c r="P639" s="37" t="str">
        <f aca="false">IF($M639="","",IFERROR(IF(INDEX(Settings!$B$41:$B$50,MATCH(O639,Settings!$A$41:$A$50,0))&amp;""="","UNMAPPED",INDEX(Settings!$B$41:$B$50,MATCH(O639,Settings!$A$41:$A$50,0))&amp;""),"UNMAPPED"))</f>
        <v>Production</v>
      </c>
      <c r="Q639" s="38" t="n">
        <f aca="false">IF($M639="",0,N(INDEX($A639:$J639,$Q$6)))</f>
        <v>7500</v>
      </c>
      <c r="R639" s="39" t="n">
        <f aca="false">IF($M639="","",INDEX($A639:$J639,$R$6))</f>
        <v>46325</v>
      </c>
      <c r="S639" s="37" t="str">
        <f aca="false">IF($M639="","",IFERROR(INDEX(Settings!$B$27:$B$36,MATCH(L639,Settings!$A$27:$A$36,0))&amp;"","UNMAPPED"))</f>
        <v>Open</v>
      </c>
      <c r="T639" s="37" t="str">
        <f aca="false">IF($M639="","",IF(NOT(ISNUMBER(R639)),"NO DATE",IF(S639="Won",IF(R639&gt;Settings!$B$5,"Backlog","Delivered"),IF(S639="Open",IF(R639&gt;Settings!$B$5,"Pipeline","Overdue"),IF(S639="Lost","Lost","UNMAPPED")))))</f>
        <v>Pipeline</v>
      </c>
      <c r="U639" s="40" t="n">
        <f aca="false">IF(T639="Backlog",1,IF(OR(T639="Pipeline",T639="Overdue"),N(INDEX(Settings!$C$27:$C$36,MATCH(L639,Settings!$A$27:$A$36,0))),0))</f>
        <v>0.9</v>
      </c>
      <c r="V639" s="38" t="n">
        <f aca="false">Q639*U639</f>
        <v>6750</v>
      </c>
      <c r="W639" s="41" t="n">
        <f aca="false">IF($M639="","",IF(T639="Overdue",IF(Settings!$B$8="Yes",Settings!$B$7,""),IF(ISNUMBER(R639),DATE(YEAR(R639),MONTH(R639),1),"")))</f>
        <v>46296</v>
      </c>
      <c r="X639" s="38" t="n">
        <f aca="false">IF(AND(OR(T639="Backlog",T639="Pipeline",T639="Overdue"),ISNUMBER(W639)),IF(W639&lt;=Settings!$B$6,V639,0),0)</f>
        <v>6750</v>
      </c>
      <c r="Y639" s="38" t="n">
        <f aca="false">IF(AND(OR(T639="Backlog",T639="Pipeline",T639="Overdue"),ISNUMBER(W639)),IF(W639&lt;=Settings!$B$6,Q639,0),0)</f>
        <v>7500</v>
      </c>
      <c r="Z639" s="38" t="n">
        <f aca="false">IF(Y639=0,0,IF(T639="Backlog",Q639,Q639*Dashboard!$C$10))</f>
        <v>0</v>
      </c>
      <c r="AA639" s="37" t="n">
        <f aca="false">IF($N639="",0,IF(COUNTIF(Dashboard!$C$13:$C$22,$N639)&gt;0,1,0))</f>
        <v>0</v>
      </c>
      <c r="AB639" s="37" t="str">
        <f aca="false">IF($N639="","",IF(COUNTIF($N$8:$N639,$N639)=1,MAX($AB$7:$AB638)+1,""))</f>
        <v/>
      </c>
    </row>
    <row r="640" customFormat="false" ht="15" hidden="false" customHeight="false" outlineLevel="0" collapsed="false">
      <c r="B640" s="32" t="s">
        <v>1532</v>
      </c>
      <c r="C640" s="32" t="s">
        <v>1533</v>
      </c>
      <c r="D640" s="35" t="n">
        <v>16523</v>
      </c>
      <c r="E640" s="32" t="s">
        <v>145</v>
      </c>
      <c r="F640" s="36" t="n">
        <v>46358</v>
      </c>
      <c r="G640" s="32" t="s">
        <v>1534</v>
      </c>
      <c r="L640" s="37" t="str">
        <f aca="false">IF(INDEX($A640:$J640,$L$6)&lt;&gt;"",TRIM(LEFT(INDEX($A640:$J640,$L$6),FIND("(",INDEX($A640:$J640,$L$6)&amp;"(")-1)),L639)</f>
        <v>Verbal Approval</v>
      </c>
      <c r="M640" s="37" t="str">
        <f aca="false">IF(INDEX($A640:$J640,$M$6)="","",INDEX($A640:$J640,$M$6)&amp;"")</f>
        <v>SLHD - AGM - 2.12.26</v>
      </c>
      <c r="N640" s="37" t="str">
        <f aca="false">IF($M640="","",TRIM(INDEX($A640:$J640,$N$6)&amp;""))</f>
        <v>Sydney Local Health District</v>
      </c>
      <c r="O640" s="37" t="str">
        <f aca="false">IF($M640="","",TRIM(INDEX($A640:$J640,$O$6)&amp;""))</f>
        <v>Event Production</v>
      </c>
      <c r="P640" s="37" t="str">
        <f aca="false">IF($M640="","",IFERROR(IF(INDEX(Settings!$B$41:$B$50,MATCH(O640,Settings!$A$41:$A$50,0))&amp;""="","UNMAPPED",INDEX(Settings!$B$41:$B$50,MATCH(O640,Settings!$A$41:$A$50,0))&amp;""),"UNMAPPED"))</f>
        <v>Production</v>
      </c>
      <c r="Q640" s="38" t="n">
        <f aca="false">IF($M640="",0,N(INDEX($A640:$J640,$Q$6)))</f>
        <v>16523</v>
      </c>
      <c r="R640" s="39" t="n">
        <f aca="false">IF($M640="","",INDEX($A640:$J640,$R$6))</f>
        <v>46358</v>
      </c>
      <c r="S640" s="37" t="str">
        <f aca="false">IF($M640="","",IFERROR(INDEX(Settings!$B$27:$B$36,MATCH(L640,Settings!$A$27:$A$36,0))&amp;"","UNMAPPED"))</f>
        <v>Open</v>
      </c>
      <c r="T640" s="37" t="str">
        <f aca="false">IF($M640="","",IF(NOT(ISNUMBER(R640)),"NO DATE",IF(S640="Won",IF(R640&gt;Settings!$B$5,"Backlog","Delivered"),IF(S640="Open",IF(R640&gt;Settings!$B$5,"Pipeline","Overdue"),IF(S640="Lost","Lost","UNMAPPED")))))</f>
        <v>Pipeline</v>
      </c>
      <c r="U640" s="40" t="n">
        <f aca="false">IF(T640="Backlog",1,IF(OR(T640="Pipeline",T640="Overdue"),N(INDEX(Settings!$C$27:$C$36,MATCH(L640,Settings!$A$27:$A$36,0))),0))</f>
        <v>0.9</v>
      </c>
      <c r="V640" s="38" t="n">
        <f aca="false">Q640*U640</f>
        <v>14870.7</v>
      </c>
      <c r="W640" s="41" t="n">
        <f aca="false">IF($M640="","",IF(T640="Overdue",IF(Settings!$B$8="Yes",Settings!$B$7,""),IF(ISNUMBER(R640),DATE(YEAR(R640),MONTH(R640),1),"")))</f>
        <v>46357</v>
      </c>
      <c r="X640" s="38" t="n">
        <f aca="false">IF(AND(OR(T640="Backlog",T640="Pipeline",T640="Overdue"),ISNUMBER(W640)),IF(W640&lt;=Settings!$B$6,V640,0),0)</f>
        <v>14870.7</v>
      </c>
      <c r="Y640" s="38" t="n">
        <f aca="false">IF(AND(OR(T640="Backlog",T640="Pipeline",T640="Overdue"),ISNUMBER(W640)),IF(W640&lt;=Settings!$B$6,Q640,0),0)</f>
        <v>16523</v>
      </c>
      <c r="Z640" s="38" t="n">
        <f aca="false">IF(Y640=0,0,IF(T640="Backlog",Q640,Q640*Dashboard!$C$10))</f>
        <v>0</v>
      </c>
      <c r="AA640" s="37" t="n">
        <f aca="false">IF($N640="",0,IF(COUNTIF(Dashboard!$C$13:$C$22,$N640)&gt;0,1,0))</f>
        <v>0</v>
      </c>
      <c r="AB640" s="37" t="n">
        <f aca="false">IF($N640="","",IF(COUNTIF($N$8:$N640,$N640)=1,MAX($AB$7:$AB639)+1,""))</f>
        <v>129</v>
      </c>
    </row>
    <row r="641" customFormat="false" ht="15" hidden="false" customHeight="false" outlineLevel="0" collapsed="false">
      <c r="B641" s="32" t="s">
        <v>1535</v>
      </c>
      <c r="C641" s="32" t="s">
        <v>169</v>
      </c>
      <c r="D641" s="35" t="n">
        <v>33424</v>
      </c>
      <c r="E641" s="32" t="s">
        <v>145</v>
      </c>
      <c r="F641" s="36" t="n">
        <v>46324</v>
      </c>
      <c r="G641" s="32" t="s">
        <v>1536</v>
      </c>
      <c r="L641" s="37" t="str">
        <f aca="false">IF(INDEX($A641:$J641,$L$6)&lt;&gt;"",TRIM(LEFT(INDEX($A641:$J641,$L$6),FIND("(",INDEX($A641:$J641,$L$6)&amp;"(")-1)),L640)</f>
        <v>Verbal Approval</v>
      </c>
      <c r="M641" s="37" t="str">
        <f aca="false">IF(INDEX($A641:$J641,$M$6)="","",INDEX($A641:$J641,$M$6)&amp;"")</f>
        <v>MUFG - SUN Investor Day - 29.10.26</v>
      </c>
      <c r="N641" s="37" t="str">
        <f aca="false">IF($M641="","",TRIM(INDEX($A641:$J641,$N$6)&amp;""))</f>
        <v>MUFG IR / Orient Capital</v>
      </c>
      <c r="O641" s="37" t="str">
        <f aca="false">IF($M641="","",TRIM(INDEX($A641:$J641,$O$6)&amp;""))</f>
        <v>Event Production</v>
      </c>
      <c r="P641" s="37" t="str">
        <f aca="false">IF($M641="","",IFERROR(IF(INDEX(Settings!$B$41:$B$50,MATCH(O641,Settings!$A$41:$A$50,0))&amp;""="","UNMAPPED",INDEX(Settings!$B$41:$B$50,MATCH(O641,Settings!$A$41:$A$50,0))&amp;""),"UNMAPPED"))</f>
        <v>Production</v>
      </c>
      <c r="Q641" s="38" t="n">
        <f aca="false">IF($M641="",0,N(INDEX($A641:$J641,$Q$6)))</f>
        <v>33424</v>
      </c>
      <c r="R641" s="39" t="n">
        <f aca="false">IF($M641="","",INDEX($A641:$J641,$R$6))</f>
        <v>46324</v>
      </c>
      <c r="S641" s="37" t="str">
        <f aca="false">IF($M641="","",IFERROR(INDEX(Settings!$B$27:$B$36,MATCH(L641,Settings!$A$27:$A$36,0))&amp;"","UNMAPPED"))</f>
        <v>Open</v>
      </c>
      <c r="T641" s="37" t="str">
        <f aca="false">IF($M641="","",IF(NOT(ISNUMBER(R641)),"NO DATE",IF(S641="Won",IF(R641&gt;Settings!$B$5,"Backlog","Delivered"),IF(S641="Open",IF(R641&gt;Settings!$B$5,"Pipeline","Overdue"),IF(S641="Lost","Lost","UNMAPPED")))))</f>
        <v>Pipeline</v>
      </c>
      <c r="U641" s="40" t="n">
        <f aca="false">IF(T641="Backlog",1,IF(OR(T641="Pipeline",T641="Overdue"),N(INDEX(Settings!$C$27:$C$36,MATCH(L641,Settings!$A$27:$A$36,0))),0))</f>
        <v>0.9</v>
      </c>
      <c r="V641" s="38" t="n">
        <f aca="false">Q641*U641</f>
        <v>30081.6</v>
      </c>
      <c r="W641" s="41" t="n">
        <f aca="false">IF($M641="","",IF(T641="Overdue",IF(Settings!$B$8="Yes",Settings!$B$7,""),IF(ISNUMBER(R641),DATE(YEAR(R641),MONTH(R641),1),"")))</f>
        <v>46296</v>
      </c>
      <c r="X641" s="38" t="n">
        <f aca="false">IF(AND(OR(T641="Backlog",T641="Pipeline",T641="Overdue"),ISNUMBER(W641)),IF(W641&lt;=Settings!$B$6,V641,0),0)</f>
        <v>30081.6</v>
      </c>
      <c r="Y641" s="38" t="n">
        <f aca="false">IF(AND(OR(T641="Backlog",T641="Pipeline",T641="Overdue"),ISNUMBER(W641)),IF(W641&lt;=Settings!$B$6,Q641,0),0)</f>
        <v>33424</v>
      </c>
      <c r="Z641" s="38" t="n">
        <f aca="false">IF(Y641=0,0,IF(T641="Backlog",Q641,Q641*Dashboard!$C$10))</f>
        <v>0</v>
      </c>
      <c r="AA641" s="37" t="n">
        <f aca="false">IF($N641="",0,IF(COUNTIF(Dashboard!$C$13:$C$22,$N641)&gt;0,1,0))</f>
        <v>0</v>
      </c>
      <c r="AB641" s="37" t="str">
        <f aca="false">IF($N641="","",IF(COUNTIF($N$8:$N641,$N641)=1,MAX($AB$7:$AB640)+1,""))</f>
        <v/>
      </c>
    </row>
    <row r="642" customFormat="false" ht="15" hidden="false" customHeight="false" outlineLevel="0" collapsed="false">
      <c r="B642" s="32" t="s">
        <v>1537</v>
      </c>
      <c r="C642" s="32" t="s">
        <v>239</v>
      </c>
      <c r="D642" s="35" t="n">
        <v>26987</v>
      </c>
      <c r="E642" s="32" t="s">
        <v>145</v>
      </c>
      <c r="F642" s="36" t="n">
        <v>46309</v>
      </c>
      <c r="G642" s="32" t="s">
        <v>1538</v>
      </c>
      <c r="L642" s="37" t="str">
        <f aca="false">IF(INDEX($A642:$J642,$L$6)&lt;&gt;"",TRIM(LEFT(INDEX($A642:$J642,$L$6),FIND("(",INDEX($A642:$J642,$L$6)&amp;"(")-1)),L641)</f>
        <v>Verbal Approval</v>
      </c>
      <c r="M642" s="37" t="str">
        <f aca="false">IF(INDEX($A642:$J642,$M$6)="","",INDEX($A642:$J642,$M$6)&amp;"")</f>
        <v>TLC - 2026 AGM - 14.10.26</v>
      </c>
      <c r="N642" s="37" t="str">
        <f aca="false">IF($M642="","",TRIM(INDEX($A642:$J642,$N$6)&amp;""))</f>
        <v>The Lottery Corporation</v>
      </c>
      <c r="O642" s="37" t="str">
        <f aca="false">IF($M642="","",TRIM(INDEX($A642:$J642,$O$6)&amp;""))</f>
        <v>Event Production</v>
      </c>
      <c r="P642" s="37" t="str">
        <f aca="false">IF($M642="","",IFERROR(IF(INDEX(Settings!$B$41:$B$50,MATCH(O642,Settings!$A$41:$A$50,0))&amp;""="","UNMAPPED",INDEX(Settings!$B$41:$B$50,MATCH(O642,Settings!$A$41:$A$50,0))&amp;""),"UNMAPPED"))</f>
        <v>Production</v>
      </c>
      <c r="Q642" s="38" t="n">
        <f aca="false">IF($M642="",0,N(INDEX($A642:$J642,$Q$6)))</f>
        <v>26987</v>
      </c>
      <c r="R642" s="39" t="n">
        <f aca="false">IF($M642="","",INDEX($A642:$J642,$R$6))</f>
        <v>46309</v>
      </c>
      <c r="S642" s="37" t="str">
        <f aca="false">IF($M642="","",IFERROR(INDEX(Settings!$B$27:$B$36,MATCH(L642,Settings!$A$27:$A$36,0))&amp;"","UNMAPPED"))</f>
        <v>Open</v>
      </c>
      <c r="T642" s="37" t="str">
        <f aca="false">IF($M642="","",IF(NOT(ISNUMBER(R642)),"NO DATE",IF(S642="Won",IF(R642&gt;Settings!$B$5,"Backlog","Delivered"),IF(S642="Open",IF(R642&gt;Settings!$B$5,"Pipeline","Overdue"),IF(S642="Lost","Lost","UNMAPPED")))))</f>
        <v>Pipeline</v>
      </c>
      <c r="U642" s="40" t="n">
        <f aca="false">IF(T642="Backlog",1,IF(OR(T642="Pipeline",T642="Overdue"),N(INDEX(Settings!$C$27:$C$36,MATCH(L642,Settings!$A$27:$A$36,0))),0))</f>
        <v>0.9</v>
      </c>
      <c r="V642" s="38" t="n">
        <f aca="false">Q642*U642</f>
        <v>24288.3</v>
      </c>
      <c r="W642" s="41" t="n">
        <f aca="false">IF($M642="","",IF(T642="Overdue",IF(Settings!$B$8="Yes",Settings!$B$7,""),IF(ISNUMBER(R642),DATE(YEAR(R642),MONTH(R642),1),"")))</f>
        <v>46296</v>
      </c>
      <c r="X642" s="38" t="n">
        <f aca="false">IF(AND(OR(T642="Backlog",T642="Pipeline",T642="Overdue"),ISNUMBER(W642)),IF(W642&lt;=Settings!$B$6,V642,0),0)</f>
        <v>24288.3</v>
      </c>
      <c r="Y642" s="38" t="n">
        <f aca="false">IF(AND(OR(T642="Backlog",T642="Pipeline",T642="Overdue"),ISNUMBER(W642)),IF(W642&lt;=Settings!$B$6,Q642,0),0)</f>
        <v>26987</v>
      </c>
      <c r="Z642" s="38" t="n">
        <f aca="false">IF(Y642=0,0,IF(T642="Backlog",Q642,Q642*Dashboard!$C$10))</f>
        <v>0</v>
      </c>
      <c r="AA642" s="37" t="n">
        <f aca="false">IF($N642="",0,IF(COUNTIF(Dashboard!$C$13:$C$22,$N642)&gt;0,1,0))</f>
        <v>0</v>
      </c>
      <c r="AB642" s="37" t="str">
        <f aca="false">IF($N642="","",IF(COUNTIF($N$8:$N642,$N642)=1,MAX($AB$7:$AB641)+1,""))</f>
        <v/>
      </c>
    </row>
    <row r="643" customFormat="false" ht="15" hidden="false" customHeight="false" outlineLevel="0" collapsed="false">
      <c r="A643" s="32" t="s">
        <v>1539</v>
      </c>
      <c r="B643" s="32" t="s">
        <v>1540</v>
      </c>
      <c r="C643" s="32" t="s">
        <v>1391</v>
      </c>
      <c r="D643" s="35"/>
      <c r="E643" s="32" t="s">
        <v>141</v>
      </c>
      <c r="F643" s="36" t="n">
        <v>46297</v>
      </c>
      <c r="G643" s="32" t="s">
        <v>1541</v>
      </c>
      <c r="L643" s="37" t="str">
        <f aca="false">IF(INDEX($A643:$J643,$L$6)&lt;&gt;"",TRIM(LEFT(INDEX($A643:$J643,$L$6),FIND("(",INDEX($A643:$J643,$L$6)&amp;"(")-1)),L642)</f>
        <v>Building Value Proposition</v>
      </c>
      <c r="M643" s="37" t="str">
        <f aca="false">IF(INDEX($A643:$J643,$M$6)="","",INDEX($A643:$J643,$M$6)&amp;"")</f>
        <v>St Lukes | Audio System Supply - OPP</v>
      </c>
      <c r="N643" s="37" t="str">
        <f aca="false">IF($M643="","",TRIM(INDEX($A643:$J643,$N$6)&amp;""))</f>
        <v>St Luke's LIverpool</v>
      </c>
      <c r="O643" s="37" t="str">
        <f aca="false">IF($M643="","",TRIM(INDEX($A643:$J643,$O$6)&amp;""))</f>
        <v>Integration</v>
      </c>
      <c r="P643" s="37" t="str">
        <f aca="false">IF($M643="","",IFERROR(IF(INDEX(Settings!$B$41:$B$50,MATCH(O643,Settings!$A$41:$A$50,0))&amp;""="","UNMAPPED",INDEX(Settings!$B$41:$B$50,MATCH(O643,Settings!$A$41:$A$50,0))&amp;""),"UNMAPPED"))</f>
        <v>Integration</v>
      </c>
      <c r="Q643" s="38" t="n">
        <f aca="false">IF($M643="",0,N(INDEX($A643:$J643,$Q$6)))</f>
        <v>0</v>
      </c>
      <c r="R643" s="39" t="n">
        <f aca="false">IF($M643="","",INDEX($A643:$J643,$R$6))</f>
        <v>46297</v>
      </c>
      <c r="S643" s="37" t="str">
        <f aca="false">IF($M643="","",IFERROR(INDEX(Settings!$B$27:$B$36,MATCH(L643,Settings!$A$27:$A$36,0))&amp;"","UNMAPPED"))</f>
        <v>Open</v>
      </c>
      <c r="T643" s="37" t="str">
        <f aca="false">IF($M643="","",IF(NOT(ISNUMBER(R643)),"NO DATE",IF(S643="Won",IF(R643&gt;Settings!$B$5,"Backlog","Delivered"),IF(S643="Open",IF(R643&gt;Settings!$B$5,"Pipeline","Overdue"),IF(S643="Lost","Lost","UNMAPPED")))))</f>
        <v>Pipeline</v>
      </c>
      <c r="U643" s="40" t="n">
        <f aca="false">IF(T643="Backlog",1,IF(OR(T643="Pipeline",T643="Overdue"),N(INDEX(Settings!$C$27:$C$36,MATCH(L643,Settings!$A$27:$A$36,0))),0))</f>
        <v>0.2</v>
      </c>
      <c r="V643" s="38" t="n">
        <f aca="false">Q643*U643</f>
        <v>0</v>
      </c>
      <c r="W643" s="41" t="n">
        <f aca="false">IF($M643="","",IF(T643="Overdue",IF(Settings!$B$8="Yes",Settings!$B$7,""),IF(ISNUMBER(R643),DATE(YEAR(R643),MONTH(R643),1),"")))</f>
        <v>46296</v>
      </c>
      <c r="X643" s="38" t="n">
        <f aca="false">IF(AND(OR(T643="Backlog",T643="Pipeline",T643="Overdue"),ISNUMBER(W643)),IF(W643&lt;=Settings!$B$6,V643,0),0)</f>
        <v>0</v>
      </c>
      <c r="Y643" s="38" t="n">
        <f aca="false">IF(AND(OR(T643="Backlog",T643="Pipeline",T643="Overdue"),ISNUMBER(W643)),IF(W643&lt;=Settings!$B$6,Q643,0),0)</f>
        <v>0</v>
      </c>
      <c r="Z643" s="38" t="n">
        <f aca="false">IF(Y643=0,0,IF(T643="Backlog",Q643,Q643*Dashboard!$C$10))</f>
        <v>0</v>
      </c>
      <c r="AA643" s="37" t="n">
        <f aca="false">IF($N643="",0,IF(COUNTIF(Dashboard!$C$13:$C$22,$N643)&gt;0,1,0))</f>
        <v>0</v>
      </c>
      <c r="AB643" s="37" t="str">
        <f aca="false">IF($N643="","",IF(COUNTIF($N$8:$N643,$N643)=1,MAX($AB$7:$AB642)+1,""))</f>
        <v/>
      </c>
    </row>
    <row r="644" customFormat="false" ht="15" hidden="false" customHeight="false" outlineLevel="0" collapsed="false">
      <c r="B644" s="32" t="s">
        <v>1542</v>
      </c>
      <c r="C644" s="32" t="s">
        <v>222</v>
      </c>
      <c r="D644" s="35" t="n">
        <v>18200</v>
      </c>
      <c r="E644" s="32" t="s">
        <v>145</v>
      </c>
      <c r="F644" s="36" t="n">
        <v>46337</v>
      </c>
      <c r="G644" s="32" t="s">
        <v>1543</v>
      </c>
      <c r="L644" s="37" t="str">
        <f aca="false">IF(INDEX($A644:$J644,$L$6)&lt;&gt;"",TRIM(LEFT(INDEX($A644:$J644,$L$6),FIND("(",INDEX($A644:$J644,$L$6)&amp;"(")-1)),L643)</f>
        <v>Building Value Proposition</v>
      </c>
      <c r="M644" s="37" t="str">
        <f aca="false">IF(INDEX($A644:$J644,$M$6)="","",INDEX($A644:$J644,$M$6)&amp;"")</f>
        <v>Downer - 2026 AGM - 11.11.26</v>
      </c>
      <c r="N644" s="37" t="str">
        <f aca="false">IF($M644="","",TRIM(INDEX($A644:$J644,$N$6)&amp;""))</f>
        <v>Downer EDI</v>
      </c>
      <c r="O644" s="37" t="str">
        <f aca="false">IF($M644="","",TRIM(INDEX($A644:$J644,$O$6)&amp;""))</f>
        <v>Event Production</v>
      </c>
      <c r="P644" s="37" t="str">
        <f aca="false">IF($M644="","",IFERROR(IF(INDEX(Settings!$B$41:$B$50,MATCH(O644,Settings!$A$41:$A$50,0))&amp;""="","UNMAPPED",INDEX(Settings!$B$41:$B$50,MATCH(O644,Settings!$A$41:$A$50,0))&amp;""),"UNMAPPED"))</f>
        <v>Production</v>
      </c>
      <c r="Q644" s="38" t="n">
        <f aca="false">IF($M644="",0,N(INDEX($A644:$J644,$Q$6)))</f>
        <v>18200</v>
      </c>
      <c r="R644" s="39" t="n">
        <f aca="false">IF($M644="","",INDEX($A644:$J644,$R$6))</f>
        <v>46337</v>
      </c>
      <c r="S644" s="37" t="str">
        <f aca="false">IF($M644="","",IFERROR(INDEX(Settings!$B$27:$B$36,MATCH(L644,Settings!$A$27:$A$36,0))&amp;"","UNMAPPED"))</f>
        <v>Open</v>
      </c>
      <c r="T644" s="37" t="str">
        <f aca="false">IF($M644="","",IF(NOT(ISNUMBER(R644)),"NO DATE",IF(S644="Won",IF(R644&gt;Settings!$B$5,"Backlog","Delivered"),IF(S644="Open",IF(R644&gt;Settings!$B$5,"Pipeline","Overdue"),IF(S644="Lost","Lost","UNMAPPED")))))</f>
        <v>Pipeline</v>
      </c>
      <c r="U644" s="40" t="n">
        <f aca="false">IF(T644="Backlog",1,IF(OR(T644="Pipeline",T644="Overdue"),N(INDEX(Settings!$C$27:$C$36,MATCH(L644,Settings!$A$27:$A$36,0))),0))</f>
        <v>0.2</v>
      </c>
      <c r="V644" s="38" t="n">
        <f aca="false">Q644*U644</f>
        <v>3640</v>
      </c>
      <c r="W644" s="41" t="n">
        <f aca="false">IF($M644="","",IF(T644="Overdue",IF(Settings!$B$8="Yes",Settings!$B$7,""),IF(ISNUMBER(R644),DATE(YEAR(R644),MONTH(R644),1),"")))</f>
        <v>46327</v>
      </c>
      <c r="X644" s="38" t="n">
        <f aca="false">IF(AND(OR(T644="Backlog",T644="Pipeline",T644="Overdue"),ISNUMBER(W644)),IF(W644&lt;=Settings!$B$6,V644,0),0)</f>
        <v>3640</v>
      </c>
      <c r="Y644" s="38" t="n">
        <f aca="false">IF(AND(OR(T644="Backlog",T644="Pipeline",T644="Overdue"),ISNUMBER(W644)),IF(W644&lt;=Settings!$B$6,Q644,0),0)</f>
        <v>18200</v>
      </c>
      <c r="Z644" s="38" t="n">
        <f aca="false">IF(Y644=0,0,IF(T644="Backlog",Q644,Q644*Dashboard!$C$10))</f>
        <v>0</v>
      </c>
      <c r="AA644" s="37" t="n">
        <f aca="false">IF($N644="",0,IF(COUNTIF(Dashboard!$C$13:$C$22,$N644)&gt;0,1,0))</f>
        <v>0</v>
      </c>
      <c r="AB644" s="37" t="str">
        <f aca="false">IF($N644="","",IF(COUNTIF($N$8:$N644,$N644)=1,MAX($AB$7:$AB643)+1,""))</f>
        <v/>
      </c>
    </row>
    <row r="645" customFormat="false" ht="15" hidden="false" customHeight="false" outlineLevel="0" collapsed="false">
      <c r="B645" s="32" t="s">
        <v>1544</v>
      </c>
      <c r="C645" s="32" t="s">
        <v>191</v>
      </c>
      <c r="D645" s="35"/>
      <c r="E645" s="32" t="s">
        <v>180</v>
      </c>
      <c r="F645" s="36" t="n">
        <v>46325</v>
      </c>
      <c r="G645" s="32" t="s">
        <v>1545</v>
      </c>
      <c r="L645" s="37" t="str">
        <f aca="false">IF(INDEX($A645:$J645,$L$6)&lt;&gt;"",TRIM(LEFT(INDEX($A645:$J645,$L$6),FIND("(",INDEX($A645:$J645,$L$6)&amp;"(")-1)),L644)</f>
        <v>Building Value Proposition</v>
      </c>
      <c r="M645" s="37" t="str">
        <f aca="false">IF(INDEX($A645:$J645,$M$6)="","",INDEX($A645:$J645,$M$6)&amp;"")</f>
        <v>Audio-Visual Services for Client Services Events | 26051501</v>
      </c>
      <c r="N645" s="37" t="str">
        <f aca="false">IF($M645="","",TRIM(INDEX($A645:$J645,$N$6)&amp;""))</f>
        <v>Commonwealth Bank Australia (CBA)</v>
      </c>
      <c r="O645" s="37" t="str">
        <f aca="false">IF($M645="","",TRIM(INDEX($A645:$J645,$O$6)&amp;""))</f>
        <v>Support</v>
      </c>
      <c r="P645" s="37" t="str">
        <f aca="false">IF($M645="","",IFERROR(IF(INDEX(Settings!$B$41:$B$50,MATCH(O645,Settings!$A$41:$A$50,0))&amp;""="","UNMAPPED",INDEX(Settings!$B$41:$B$50,MATCH(O645,Settings!$A$41:$A$50,0))&amp;""),"UNMAPPED"))</f>
        <v>Onsite</v>
      </c>
      <c r="Q645" s="38" t="n">
        <f aca="false">IF($M645="",0,N(INDEX($A645:$J645,$Q$6)))</f>
        <v>0</v>
      </c>
      <c r="R645" s="39" t="n">
        <f aca="false">IF($M645="","",INDEX($A645:$J645,$R$6))</f>
        <v>46325</v>
      </c>
      <c r="S645" s="37" t="str">
        <f aca="false">IF($M645="","",IFERROR(INDEX(Settings!$B$27:$B$36,MATCH(L645,Settings!$A$27:$A$36,0))&amp;"","UNMAPPED"))</f>
        <v>Open</v>
      </c>
      <c r="T645" s="37" t="str">
        <f aca="false">IF($M645="","",IF(NOT(ISNUMBER(R645)),"NO DATE",IF(S645="Won",IF(R645&gt;Settings!$B$5,"Backlog","Delivered"),IF(S645="Open",IF(R645&gt;Settings!$B$5,"Pipeline","Overdue"),IF(S645="Lost","Lost","UNMAPPED")))))</f>
        <v>Pipeline</v>
      </c>
      <c r="U645" s="40" t="n">
        <f aca="false">IF(T645="Backlog",1,IF(OR(T645="Pipeline",T645="Overdue"),N(INDEX(Settings!$C$27:$C$36,MATCH(L645,Settings!$A$27:$A$36,0))),0))</f>
        <v>0.2</v>
      </c>
      <c r="V645" s="38" t="n">
        <f aca="false">Q645*U645</f>
        <v>0</v>
      </c>
      <c r="W645" s="41" t="n">
        <f aca="false">IF($M645="","",IF(T645="Overdue",IF(Settings!$B$8="Yes",Settings!$B$7,""),IF(ISNUMBER(R645),DATE(YEAR(R645),MONTH(R645),1),"")))</f>
        <v>46296</v>
      </c>
      <c r="X645" s="38" t="n">
        <f aca="false">IF(AND(OR(T645="Backlog",T645="Pipeline",T645="Overdue"),ISNUMBER(W645)),IF(W645&lt;=Settings!$B$6,V645,0),0)</f>
        <v>0</v>
      </c>
      <c r="Y645" s="38" t="n">
        <f aca="false">IF(AND(OR(T645="Backlog",T645="Pipeline",T645="Overdue"),ISNUMBER(W645)),IF(W645&lt;=Settings!$B$6,Q645,0),0)</f>
        <v>0</v>
      </c>
      <c r="Z645" s="38" t="n">
        <f aca="false">IF(Y645=0,0,IF(T645="Backlog",Q645,Q645*Dashboard!$C$10))</f>
        <v>0</v>
      </c>
      <c r="AA645" s="37" t="n">
        <f aca="false">IF($N645="",0,IF(COUNTIF(Dashboard!$C$13:$C$22,$N645)&gt;0,1,0))</f>
        <v>0</v>
      </c>
      <c r="AB645" s="37" t="str">
        <f aca="false">IF($N645="","",IF(COUNTIF($N$8:$N645,$N645)=1,MAX($AB$7:$AB644)+1,""))</f>
        <v/>
      </c>
    </row>
    <row r="646" customFormat="false" ht="15" hidden="false" customHeight="false" outlineLevel="0" collapsed="false">
      <c r="B646" s="32" t="s">
        <v>1546</v>
      </c>
      <c r="C646" s="32" t="s">
        <v>188</v>
      </c>
      <c r="D646" s="35" t="n">
        <v>10000</v>
      </c>
      <c r="E646" s="32" t="s">
        <v>145</v>
      </c>
      <c r="F646" s="36" t="n">
        <v>46358</v>
      </c>
      <c r="G646" s="32" t="s">
        <v>1547</v>
      </c>
      <c r="L646" s="37" t="str">
        <f aca="false">IF(INDEX($A646:$J646,$L$6)&lt;&gt;"",TRIM(LEFT(INDEX($A646:$J646,$L$6),FIND("(",INDEX($A646:$J646,$L$6)&amp;"(")-1)),L645)</f>
        <v>Building Value Proposition</v>
      </c>
      <c r="M646" s="37" t="str">
        <f aca="false">IF(INDEX($A646:$J646,$M$6)="","",INDEX($A646:$J646,$M$6)&amp;"")</f>
        <v>Aware Super - SLHD AGM - 2.12.26</v>
      </c>
      <c r="N646" s="37" t="str">
        <f aca="false">IF($M646="","",TRIM(INDEX($A646:$J646,$N$6)&amp;""))</f>
        <v>Aware Super</v>
      </c>
      <c r="O646" s="37" t="str">
        <f aca="false">IF($M646="","",TRIM(INDEX($A646:$J646,$O$6)&amp;""))</f>
        <v>Event Production</v>
      </c>
      <c r="P646" s="37" t="str">
        <f aca="false">IF($M646="","",IFERROR(IF(INDEX(Settings!$B$41:$B$50,MATCH(O646,Settings!$A$41:$A$50,0))&amp;""="","UNMAPPED",INDEX(Settings!$B$41:$B$50,MATCH(O646,Settings!$A$41:$A$50,0))&amp;""),"UNMAPPED"))</f>
        <v>Production</v>
      </c>
      <c r="Q646" s="38" t="n">
        <f aca="false">IF($M646="",0,N(INDEX($A646:$J646,$Q$6)))</f>
        <v>10000</v>
      </c>
      <c r="R646" s="39" t="n">
        <f aca="false">IF($M646="","",INDEX($A646:$J646,$R$6))</f>
        <v>46358</v>
      </c>
      <c r="S646" s="37" t="str">
        <f aca="false">IF($M646="","",IFERROR(INDEX(Settings!$B$27:$B$36,MATCH(L646,Settings!$A$27:$A$36,0))&amp;"","UNMAPPED"))</f>
        <v>Open</v>
      </c>
      <c r="T646" s="37" t="str">
        <f aca="false">IF($M646="","",IF(NOT(ISNUMBER(R646)),"NO DATE",IF(S646="Won",IF(R646&gt;Settings!$B$5,"Backlog","Delivered"),IF(S646="Open",IF(R646&gt;Settings!$B$5,"Pipeline","Overdue"),IF(S646="Lost","Lost","UNMAPPED")))))</f>
        <v>Pipeline</v>
      </c>
      <c r="U646" s="40" t="n">
        <f aca="false">IF(T646="Backlog",1,IF(OR(T646="Pipeline",T646="Overdue"),N(INDEX(Settings!$C$27:$C$36,MATCH(L646,Settings!$A$27:$A$36,0))),0))</f>
        <v>0.2</v>
      </c>
      <c r="V646" s="38" t="n">
        <f aca="false">Q646*U646</f>
        <v>2000</v>
      </c>
      <c r="W646" s="41" t="n">
        <f aca="false">IF($M646="","",IF(T646="Overdue",IF(Settings!$B$8="Yes",Settings!$B$7,""),IF(ISNUMBER(R646),DATE(YEAR(R646),MONTH(R646),1),"")))</f>
        <v>46357</v>
      </c>
      <c r="X646" s="38" t="n">
        <f aca="false">IF(AND(OR(T646="Backlog",T646="Pipeline",T646="Overdue"),ISNUMBER(W646)),IF(W646&lt;=Settings!$B$6,V646,0),0)</f>
        <v>2000</v>
      </c>
      <c r="Y646" s="38" t="n">
        <f aca="false">IF(AND(OR(T646="Backlog",T646="Pipeline",T646="Overdue"),ISNUMBER(W646)),IF(W646&lt;=Settings!$B$6,Q646,0),0)</f>
        <v>10000</v>
      </c>
      <c r="Z646" s="38" t="n">
        <f aca="false">IF(Y646=0,0,IF(T646="Backlog",Q646,Q646*Dashboard!$C$10))</f>
        <v>0</v>
      </c>
      <c r="AA646" s="37" t="n">
        <f aca="false">IF($N646="",0,IF(COUNTIF(Dashboard!$C$13:$C$22,$N646)&gt;0,1,0))</f>
        <v>0</v>
      </c>
      <c r="AB646" s="37" t="str">
        <f aca="false">IF($N646="","",IF(COUNTIF($N$8:$N646,$N646)=1,MAX($AB$7:$AB645)+1,""))</f>
        <v/>
      </c>
    </row>
    <row r="647" customFormat="false" ht="15" hidden="false" customHeight="false" outlineLevel="0" collapsed="false">
      <c r="B647" s="32" t="s">
        <v>1548</v>
      </c>
      <c r="C647" s="32" t="s">
        <v>850</v>
      </c>
      <c r="D647" s="35" t="n">
        <v>75000</v>
      </c>
      <c r="E647" s="32" t="s">
        <v>173</v>
      </c>
      <c r="F647" s="36" t="n">
        <v>46356</v>
      </c>
      <c r="G647" s="32" t="s">
        <v>1549</v>
      </c>
      <c r="L647" s="37" t="str">
        <f aca="false">IF(INDEX($A647:$J647,$L$6)&lt;&gt;"",TRIM(LEFT(INDEX($A647:$J647,$L$6),FIND("(",INDEX($A647:$J647,$L$6)&amp;"(")-1)),L646)</f>
        <v>Building Value Proposition</v>
      </c>
      <c r="M647" s="37" t="str">
        <f aca="false">IF(INDEX($A647:$J647,$M$6)="","",INDEX($A647:$J647,$M$6)&amp;"")</f>
        <v>Innovation Centre</v>
      </c>
      <c r="N647" s="37" t="str">
        <f aca="false">IF($M647="","",TRIM(INDEX($A647:$J647,$N$6)&amp;""))</f>
        <v>Hills Grammar</v>
      </c>
      <c r="O647" s="37" t="str">
        <f aca="false">IF($M647="","",TRIM(INDEX($A647:$J647,$O$6)&amp;""))</f>
        <v>Consulting</v>
      </c>
      <c r="P647" s="37" t="str">
        <f aca="false">IF($M647="","",IFERROR(IF(INDEX(Settings!$B$41:$B$50,MATCH(O647,Settings!$A$41:$A$50,0))&amp;""="","UNMAPPED",INDEX(Settings!$B$41:$B$50,MATCH(O647,Settings!$A$41:$A$50,0))&amp;""),"UNMAPPED"))</f>
        <v>Consulting</v>
      </c>
      <c r="Q647" s="38" t="n">
        <f aca="false">IF($M647="",0,N(INDEX($A647:$J647,$Q$6)))</f>
        <v>75000</v>
      </c>
      <c r="R647" s="39" t="n">
        <f aca="false">IF($M647="","",INDEX($A647:$J647,$R$6))</f>
        <v>46356</v>
      </c>
      <c r="S647" s="37" t="str">
        <f aca="false">IF($M647="","",IFERROR(INDEX(Settings!$B$27:$B$36,MATCH(L647,Settings!$A$27:$A$36,0))&amp;"","UNMAPPED"))</f>
        <v>Open</v>
      </c>
      <c r="T647" s="37" t="str">
        <f aca="false">IF($M647="","",IF(NOT(ISNUMBER(R647)),"NO DATE",IF(S647="Won",IF(R647&gt;Settings!$B$5,"Backlog","Delivered"),IF(S647="Open",IF(R647&gt;Settings!$B$5,"Pipeline","Overdue"),IF(S647="Lost","Lost","UNMAPPED")))))</f>
        <v>Pipeline</v>
      </c>
      <c r="U647" s="40" t="n">
        <f aca="false">IF(T647="Backlog",1,IF(OR(T647="Pipeline",T647="Overdue"),N(INDEX(Settings!$C$27:$C$36,MATCH(L647,Settings!$A$27:$A$36,0))),0))</f>
        <v>0.2</v>
      </c>
      <c r="V647" s="38" t="n">
        <f aca="false">Q647*U647</f>
        <v>15000</v>
      </c>
      <c r="W647" s="41" t="n">
        <f aca="false">IF($M647="","",IF(T647="Overdue",IF(Settings!$B$8="Yes",Settings!$B$7,""),IF(ISNUMBER(R647),DATE(YEAR(R647),MONTH(R647),1),"")))</f>
        <v>46327</v>
      </c>
      <c r="X647" s="38" t="n">
        <f aca="false">IF(AND(OR(T647="Backlog",T647="Pipeline",T647="Overdue"),ISNUMBER(W647)),IF(W647&lt;=Settings!$B$6,V647,0),0)</f>
        <v>15000</v>
      </c>
      <c r="Y647" s="38" t="n">
        <f aca="false">IF(AND(OR(T647="Backlog",T647="Pipeline",T647="Overdue"),ISNUMBER(W647)),IF(W647&lt;=Settings!$B$6,Q647,0),0)</f>
        <v>75000</v>
      </c>
      <c r="Z647" s="38" t="n">
        <f aca="false">IF(Y647=0,0,IF(T647="Backlog",Q647,Q647*Dashboard!$C$10))</f>
        <v>0</v>
      </c>
      <c r="AA647" s="37" t="n">
        <f aca="false">IF($N647="",0,IF(COUNTIF(Dashboard!$C$13:$C$22,$N647)&gt;0,1,0))</f>
        <v>0</v>
      </c>
      <c r="AB647" s="37" t="str">
        <f aca="false">IF($N647="","",IF(COUNTIF($N$8:$N647,$N647)=1,MAX($AB$7:$AB646)+1,""))</f>
        <v/>
      </c>
    </row>
    <row r="648" customFormat="false" ht="15" hidden="false" customHeight="false" outlineLevel="0" collapsed="false">
      <c r="B648" s="32" t="s">
        <v>1550</v>
      </c>
      <c r="C648" s="32" t="s">
        <v>236</v>
      </c>
      <c r="D648" s="35" t="n">
        <v>2000</v>
      </c>
      <c r="E648" s="32" t="s">
        <v>145</v>
      </c>
      <c r="F648" s="36" t="n">
        <v>46430</v>
      </c>
      <c r="G648" s="32" t="s">
        <v>1551</v>
      </c>
      <c r="L648" s="37" t="str">
        <f aca="false">IF(INDEX($A648:$J648,$L$6)&lt;&gt;"",TRIM(LEFT(INDEX($A648:$J648,$L$6),FIND("(",INDEX($A648:$J648,$L$6)&amp;"(")-1)),L647)</f>
        <v>Building Value Proposition</v>
      </c>
      <c r="M648" s="37" t="str">
        <f aca="false">IF(INDEX($A648:$J648,$M$6)="","",INDEX($A648:$J648,$M$6)&amp;"")</f>
        <v>EY - Feb Event Support - 12.2.26</v>
      </c>
      <c r="N648" s="37" t="str">
        <f aca="false">IF($M648="","",TRIM(INDEX($A648:$J648,$N$6)&amp;""))</f>
        <v>EY</v>
      </c>
      <c r="O648" s="37" t="str">
        <f aca="false">IF($M648="","",TRIM(INDEX($A648:$J648,$O$6)&amp;""))</f>
        <v>Event Production</v>
      </c>
      <c r="P648" s="37" t="str">
        <f aca="false">IF($M648="","",IFERROR(IF(INDEX(Settings!$B$41:$B$50,MATCH(O648,Settings!$A$41:$A$50,0))&amp;""="","UNMAPPED",INDEX(Settings!$B$41:$B$50,MATCH(O648,Settings!$A$41:$A$50,0))&amp;""),"UNMAPPED"))</f>
        <v>Production</v>
      </c>
      <c r="Q648" s="38" t="n">
        <f aca="false">IF($M648="",0,N(INDEX($A648:$J648,$Q$6)))</f>
        <v>2000</v>
      </c>
      <c r="R648" s="39" t="n">
        <f aca="false">IF($M648="","",INDEX($A648:$J648,$R$6))</f>
        <v>46430</v>
      </c>
      <c r="S648" s="37" t="str">
        <f aca="false">IF($M648="","",IFERROR(INDEX(Settings!$B$27:$B$36,MATCH(L648,Settings!$A$27:$A$36,0))&amp;"","UNMAPPED"))</f>
        <v>Open</v>
      </c>
      <c r="T648" s="37" t="str">
        <f aca="false">IF($M648="","",IF(NOT(ISNUMBER(R648)),"NO DATE",IF(S648="Won",IF(R648&gt;Settings!$B$5,"Backlog","Delivered"),IF(S648="Open",IF(R648&gt;Settings!$B$5,"Pipeline","Overdue"),IF(S648="Lost","Lost","UNMAPPED")))))</f>
        <v>Pipeline</v>
      </c>
      <c r="U648" s="40" t="n">
        <f aca="false">IF(T648="Backlog",1,IF(OR(T648="Pipeline",T648="Overdue"),N(INDEX(Settings!$C$27:$C$36,MATCH(L648,Settings!$A$27:$A$36,0))),0))</f>
        <v>0.2</v>
      </c>
      <c r="V648" s="38" t="n">
        <f aca="false">Q648*U648</f>
        <v>400</v>
      </c>
      <c r="W648" s="41" t="n">
        <f aca="false">IF($M648="","",IF(T648="Overdue",IF(Settings!$B$8="Yes",Settings!$B$7,""),IF(ISNUMBER(R648),DATE(YEAR(R648),MONTH(R648),1),"")))</f>
        <v>46419</v>
      </c>
      <c r="X648" s="38" t="n">
        <f aca="false">IF(AND(OR(T648="Backlog",T648="Pipeline",T648="Overdue"),ISNUMBER(W648)),IF(W648&lt;=Settings!$B$6,V648,0),0)</f>
        <v>400</v>
      </c>
      <c r="Y648" s="38" t="n">
        <f aca="false">IF(AND(OR(T648="Backlog",T648="Pipeline",T648="Overdue"),ISNUMBER(W648)),IF(W648&lt;=Settings!$B$6,Q648,0),0)</f>
        <v>2000</v>
      </c>
      <c r="Z648" s="38" t="n">
        <f aca="false">IF(Y648=0,0,IF(T648="Backlog",Q648,Q648*Dashboard!$C$10))</f>
        <v>0</v>
      </c>
      <c r="AA648" s="37" t="n">
        <f aca="false">IF($N648="",0,IF(COUNTIF(Dashboard!$C$13:$C$22,$N648)&gt;0,1,0))</f>
        <v>0</v>
      </c>
      <c r="AB648" s="37" t="str">
        <f aca="false">IF($N648="","",IF(COUNTIF($N$8:$N648,$N648)=1,MAX($AB$7:$AB647)+1,""))</f>
        <v/>
      </c>
    </row>
    <row r="649" customFormat="false" ht="15" hidden="false" customHeight="false" outlineLevel="0" collapsed="false">
      <c r="B649" s="32" t="s">
        <v>1552</v>
      </c>
      <c r="C649" s="32" t="s">
        <v>1553</v>
      </c>
      <c r="D649" s="35"/>
      <c r="E649" s="32" t="s">
        <v>145</v>
      </c>
      <c r="F649" s="36" t="n">
        <v>46352</v>
      </c>
      <c r="G649" s="32" t="s">
        <v>1554</v>
      </c>
      <c r="L649" s="37" t="str">
        <f aca="false">IF(INDEX($A649:$J649,$L$6)&lt;&gt;"",TRIM(LEFT(INDEX($A649:$J649,$L$6),FIND("(",INDEX($A649:$J649,$L$6)&amp;"(")-1)),L648)</f>
        <v>Building Value Proposition</v>
      </c>
      <c r="M649" s="37" t="str">
        <f aca="false">IF(INDEX($A649:$J649,$M$6)="","",INDEX($A649:$J649,$M$6)&amp;"")</f>
        <v>Sequoia - Client AGM - 26.11.26</v>
      </c>
      <c r="N649" s="37" t="str">
        <f aca="false">IF($M649="","",TRIM(INDEX($A649:$J649,$N$6)&amp;""))</f>
        <v>Sequoia Financial Group Limited</v>
      </c>
      <c r="O649" s="37" t="str">
        <f aca="false">IF($M649="","",TRIM(INDEX($A649:$J649,$O$6)&amp;""))</f>
        <v>Event Production</v>
      </c>
      <c r="P649" s="37" t="str">
        <f aca="false">IF($M649="","",IFERROR(IF(INDEX(Settings!$B$41:$B$50,MATCH(O649,Settings!$A$41:$A$50,0))&amp;""="","UNMAPPED",INDEX(Settings!$B$41:$B$50,MATCH(O649,Settings!$A$41:$A$50,0))&amp;""),"UNMAPPED"))</f>
        <v>Production</v>
      </c>
      <c r="Q649" s="38" t="n">
        <f aca="false">IF($M649="",0,N(INDEX($A649:$J649,$Q$6)))</f>
        <v>0</v>
      </c>
      <c r="R649" s="39" t="n">
        <f aca="false">IF($M649="","",INDEX($A649:$J649,$R$6))</f>
        <v>46352</v>
      </c>
      <c r="S649" s="37" t="str">
        <f aca="false">IF($M649="","",IFERROR(INDEX(Settings!$B$27:$B$36,MATCH(L649,Settings!$A$27:$A$36,0))&amp;"","UNMAPPED"))</f>
        <v>Open</v>
      </c>
      <c r="T649" s="37" t="str">
        <f aca="false">IF($M649="","",IF(NOT(ISNUMBER(R649)),"NO DATE",IF(S649="Won",IF(R649&gt;Settings!$B$5,"Backlog","Delivered"),IF(S649="Open",IF(R649&gt;Settings!$B$5,"Pipeline","Overdue"),IF(S649="Lost","Lost","UNMAPPED")))))</f>
        <v>Pipeline</v>
      </c>
      <c r="U649" s="40" t="n">
        <f aca="false">IF(T649="Backlog",1,IF(OR(T649="Pipeline",T649="Overdue"),N(INDEX(Settings!$C$27:$C$36,MATCH(L649,Settings!$A$27:$A$36,0))),0))</f>
        <v>0.2</v>
      </c>
      <c r="V649" s="38" t="n">
        <f aca="false">Q649*U649</f>
        <v>0</v>
      </c>
      <c r="W649" s="41" t="n">
        <f aca="false">IF($M649="","",IF(T649="Overdue",IF(Settings!$B$8="Yes",Settings!$B$7,""),IF(ISNUMBER(R649),DATE(YEAR(R649),MONTH(R649),1),"")))</f>
        <v>46327</v>
      </c>
      <c r="X649" s="38" t="n">
        <f aca="false">IF(AND(OR(T649="Backlog",T649="Pipeline",T649="Overdue"),ISNUMBER(W649)),IF(W649&lt;=Settings!$B$6,V649,0),0)</f>
        <v>0</v>
      </c>
      <c r="Y649" s="38" t="n">
        <f aca="false">IF(AND(OR(T649="Backlog",T649="Pipeline",T649="Overdue"),ISNUMBER(W649)),IF(W649&lt;=Settings!$B$6,Q649,0),0)</f>
        <v>0</v>
      </c>
      <c r="Z649" s="38" t="n">
        <f aca="false">IF(Y649=0,0,IF(T649="Backlog",Q649,Q649*Dashboard!$C$10))</f>
        <v>0</v>
      </c>
      <c r="AA649" s="37" t="n">
        <f aca="false">IF($N649="",0,IF(COUNTIF(Dashboard!$C$13:$C$22,$N649)&gt;0,1,0))</f>
        <v>0</v>
      </c>
      <c r="AB649" s="37" t="n">
        <f aca="false">IF($N649="","",IF(COUNTIF($N$8:$N649,$N649)=1,MAX($AB$7:$AB648)+1,""))</f>
        <v>130</v>
      </c>
    </row>
    <row r="650" customFormat="false" ht="15" hidden="false" customHeight="false" outlineLevel="0" collapsed="false">
      <c r="B650" s="32" t="s">
        <v>1555</v>
      </c>
      <c r="C650" s="32" t="s">
        <v>1171</v>
      </c>
      <c r="D650" s="35" t="n">
        <v>3000</v>
      </c>
      <c r="E650" s="32" t="s">
        <v>173</v>
      </c>
      <c r="F650" s="36" t="n">
        <v>46265</v>
      </c>
      <c r="G650" s="32" t="s">
        <v>1556</v>
      </c>
      <c r="L650" s="37" t="str">
        <f aca="false">IF(INDEX($A650:$J650,$L$6)&lt;&gt;"",TRIM(LEFT(INDEX($A650:$J650,$L$6),FIND("(",INDEX($A650:$J650,$L$6)&amp;"(")-1)),L649)</f>
        <v>Building Value Proposition</v>
      </c>
      <c r="M650" s="37" t="str">
        <f aca="false">IF(INDEX($A650:$J650,$M$6)="","",INDEX($A650:$J650,$M$6)&amp;"")</f>
        <v>DEWR Theatre / Possum Room link</v>
      </c>
      <c r="N650" s="37" t="str">
        <f aca="false">IF($M650="","",TRIM(INDEX($A650:$J650,$N$6)&amp;""))</f>
        <v>Department of Employment &amp; Workplace Relations (DEWR)</v>
      </c>
      <c r="O650" s="37" t="str">
        <f aca="false">IF($M650="","",TRIM(INDEX($A650:$J650,$O$6)&amp;""))</f>
        <v>Consulting</v>
      </c>
      <c r="P650" s="37" t="str">
        <f aca="false">IF($M650="","",IFERROR(IF(INDEX(Settings!$B$41:$B$50,MATCH(O650,Settings!$A$41:$A$50,0))&amp;""="","UNMAPPED",INDEX(Settings!$B$41:$B$50,MATCH(O650,Settings!$A$41:$A$50,0))&amp;""),"UNMAPPED"))</f>
        <v>Consulting</v>
      </c>
      <c r="Q650" s="38" t="n">
        <f aca="false">IF($M650="",0,N(INDEX($A650:$J650,$Q$6)))</f>
        <v>3000</v>
      </c>
      <c r="R650" s="39" t="n">
        <f aca="false">IF($M650="","",INDEX($A650:$J650,$R$6))</f>
        <v>46265</v>
      </c>
      <c r="S650" s="37" t="str">
        <f aca="false">IF($M650="","",IFERROR(INDEX(Settings!$B$27:$B$36,MATCH(L650,Settings!$A$27:$A$36,0))&amp;"","UNMAPPED"))</f>
        <v>Open</v>
      </c>
      <c r="T650" s="37" t="str">
        <f aca="false">IF($M650="","",IF(NOT(ISNUMBER(R650)),"NO DATE",IF(S650="Won",IF(R650&gt;Settings!$B$5,"Backlog","Delivered"),IF(S650="Open",IF(R650&gt;Settings!$B$5,"Pipeline","Overdue"),IF(S650="Lost","Lost","UNMAPPED")))))</f>
        <v>Overdue</v>
      </c>
      <c r="U650" s="40" t="n">
        <f aca="false">IF(T650="Backlog",1,IF(OR(T650="Pipeline",T650="Overdue"),N(INDEX(Settings!$C$27:$C$36,MATCH(L650,Settings!$A$27:$A$36,0))),0))</f>
        <v>0.2</v>
      </c>
      <c r="V650" s="38" t="n">
        <f aca="false">Q650*U650</f>
        <v>600</v>
      </c>
      <c r="W650" s="41" t="str">
        <f aca="false">IF($M650="","",IF(T650="Overdue",IF(Settings!$B$8="Yes",Settings!$B$7,""),IF(ISNUMBER(R650),DATE(YEAR(R650),MONTH(R650),1),"")))</f>
        <v/>
      </c>
      <c r="X650" s="38" t="n">
        <f aca="false">IF(AND(OR(T650="Backlog",T650="Pipeline",T650="Overdue"),ISNUMBER(W650)),IF(W650&lt;=Settings!$B$6,V650,0),0)</f>
        <v>0</v>
      </c>
      <c r="Y650" s="38" t="n">
        <f aca="false">IF(AND(OR(T650="Backlog",T650="Pipeline",T650="Overdue"),ISNUMBER(W650)),IF(W650&lt;=Settings!$B$6,Q650,0),0)</f>
        <v>0</v>
      </c>
      <c r="Z650" s="38" t="n">
        <f aca="false">IF(Y650=0,0,IF(T650="Backlog",Q650,Q650*Dashboard!$C$10))</f>
        <v>0</v>
      </c>
      <c r="AA650" s="37" t="n">
        <f aca="false">IF($N650="",0,IF(COUNTIF(Dashboard!$C$13:$C$22,$N650)&gt;0,1,0))</f>
        <v>0</v>
      </c>
      <c r="AB650" s="37" t="str">
        <f aca="false">IF($N650="","",IF(COUNTIF($N$8:$N650,$N650)=1,MAX($AB$7:$AB649)+1,""))</f>
        <v/>
      </c>
    </row>
    <row r="651" customFormat="false" ht="15" hidden="false" customHeight="false" outlineLevel="0" collapsed="false">
      <c r="B651" s="32" t="s">
        <v>1557</v>
      </c>
      <c r="C651" s="32" t="s">
        <v>1558</v>
      </c>
      <c r="D651" s="35" t="n">
        <v>7075</v>
      </c>
      <c r="E651" s="32" t="s">
        <v>145</v>
      </c>
      <c r="F651" s="36" t="n">
        <v>46329</v>
      </c>
      <c r="G651" s="32" t="s">
        <v>1559</v>
      </c>
      <c r="L651" s="37" t="str">
        <f aca="false">IF(INDEX($A651:$J651,$L$6)&lt;&gt;"",TRIM(LEFT(INDEX($A651:$J651,$L$6),FIND("(",INDEX($A651:$J651,$L$6)&amp;"(")-1)),L650)</f>
        <v>Building Value Proposition</v>
      </c>
      <c r="M651" s="37" t="str">
        <f aca="false">IF(INDEX($A651:$J651,$M$6)="","",INDEX($A651:$J651,$M$6)&amp;"")</f>
        <v>Phillip Street Resturaunt - Melbourne Cup Event - 3.11.26</v>
      </c>
      <c r="N651" s="37" t="str">
        <f aca="false">IF($M651="","",TRIM(INDEX($A651:$J651,$N$6)&amp;""))</f>
        <v>Phillip St Restaurant</v>
      </c>
      <c r="O651" s="37" t="str">
        <f aca="false">IF($M651="","",TRIM(INDEX($A651:$J651,$O$6)&amp;""))</f>
        <v>Event Production</v>
      </c>
      <c r="P651" s="37" t="str">
        <f aca="false">IF($M651="","",IFERROR(IF(INDEX(Settings!$B$41:$B$50,MATCH(O651,Settings!$A$41:$A$50,0))&amp;""="","UNMAPPED",INDEX(Settings!$B$41:$B$50,MATCH(O651,Settings!$A$41:$A$50,0))&amp;""),"UNMAPPED"))</f>
        <v>Production</v>
      </c>
      <c r="Q651" s="38" t="n">
        <f aca="false">IF($M651="",0,N(INDEX($A651:$J651,$Q$6)))</f>
        <v>7075</v>
      </c>
      <c r="R651" s="39" t="n">
        <f aca="false">IF($M651="","",INDEX($A651:$J651,$R$6))</f>
        <v>46329</v>
      </c>
      <c r="S651" s="37" t="str">
        <f aca="false">IF($M651="","",IFERROR(INDEX(Settings!$B$27:$B$36,MATCH(L651,Settings!$A$27:$A$36,0))&amp;"","UNMAPPED"))</f>
        <v>Open</v>
      </c>
      <c r="T651" s="37" t="str">
        <f aca="false">IF($M651="","",IF(NOT(ISNUMBER(R651)),"NO DATE",IF(S651="Won",IF(R651&gt;Settings!$B$5,"Backlog","Delivered"),IF(S651="Open",IF(R651&gt;Settings!$B$5,"Pipeline","Overdue"),IF(S651="Lost","Lost","UNMAPPED")))))</f>
        <v>Pipeline</v>
      </c>
      <c r="U651" s="40" t="n">
        <f aca="false">IF(T651="Backlog",1,IF(OR(T651="Pipeline",T651="Overdue"),N(INDEX(Settings!$C$27:$C$36,MATCH(L651,Settings!$A$27:$A$36,0))),0))</f>
        <v>0.2</v>
      </c>
      <c r="V651" s="38" t="n">
        <f aca="false">Q651*U651</f>
        <v>1415</v>
      </c>
      <c r="W651" s="41" t="n">
        <f aca="false">IF($M651="","",IF(T651="Overdue",IF(Settings!$B$8="Yes",Settings!$B$7,""),IF(ISNUMBER(R651),DATE(YEAR(R651),MONTH(R651),1),"")))</f>
        <v>46327</v>
      </c>
      <c r="X651" s="38" t="n">
        <f aca="false">IF(AND(OR(T651="Backlog",T651="Pipeline",T651="Overdue"),ISNUMBER(W651)),IF(W651&lt;=Settings!$B$6,V651,0),0)</f>
        <v>1415</v>
      </c>
      <c r="Y651" s="38" t="n">
        <f aca="false">IF(AND(OR(T651="Backlog",T651="Pipeline",T651="Overdue"),ISNUMBER(W651)),IF(W651&lt;=Settings!$B$6,Q651,0),0)</f>
        <v>7075</v>
      </c>
      <c r="Z651" s="38" t="n">
        <f aca="false">IF(Y651=0,0,IF(T651="Backlog",Q651,Q651*Dashboard!$C$10))</f>
        <v>0</v>
      </c>
      <c r="AA651" s="37" t="n">
        <f aca="false">IF($N651="",0,IF(COUNTIF(Dashboard!$C$13:$C$22,$N651)&gt;0,1,0))</f>
        <v>0</v>
      </c>
      <c r="AB651" s="37" t="n">
        <f aca="false">IF($N651="","",IF(COUNTIF($N$8:$N651,$N651)=1,MAX($AB$7:$AB650)+1,""))</f>
        <v>131</v>
      </c>
    </row>
    <row r="652" customFormat="false" ht="15" hidden="false" customHeight="false" outlineLevel="0" collapsed="false">
      <c r="B652" s="32" t="s">
        <v>1560</v>
      </c>
      <c r="C652" s="32" t="s">
        <v>1561</v>
      </c>
      <c r="D652" s="35" t="n">
        <v>4000</v>
      </c>
      <c r="E652" s="32" t="s">
        <v>145</v>
      </c>
      <c r="F652" s="36" t="n">
        <v>46325</v>
      </c>
      <c r="G652" s="32" t="s">
        <v>1562</v>
      </c>
      <c r="L652" s="37" t="str">
        <f aca="false">IF(INDEX($A652:$J652,$L$6)&lt;&gt;"",TRIM(LEFT(INDEX($A652:$J652,$L$6),FIND("(",INDEX($A652:$J652,$L$6)&amp;"(")-1)),L651)</f>
        <v>Building Value Proposition</v>
      </c>
      <c r="M652" s="37" t="str">
        <f aca="false">IF(INDEX($A652:$J652,$M$6)="","",INDEX($A652:$J652,$M$6)&amp;"")</f>
        <v>EHL - 2026 AGM - 19.11.26</v>
      </c>
      <c r="N652" s="37" t="str">
        <f aca="false">IF($M652="","",TRIM(INDEX($A652:$J652,$N$6)&amp;""))</f>
        <v>Emeco Group</v>
      </c>
      <c r="O652" s="37" t="str">
        <f aca="false">IF($M652="","",TRIM(INDEX($A652:$J652,$O$6)&amp;""))</f>
        <v>Event Production</v>
      </c>
      <c r="P652" s="37" t="str">
        <f aca="false">IF($M652="","",IFERROR(IF(INDEX(Settings!$B$41:$B$50,MATCH(O652,Settings!$A$41:$A$50,0))&amp;""="","UNMAPPED",INDEX(Settings!$B$41:$B$50,MATCH(O652,Settings!$A$41:$A$50,0))&amp;""),"UNMAPPED"))</f>
        <v>Production</v>
      </c>
      <c r="Q652" s="38" t="n">
        <f aca="false">IF($M652="",0,N(INDEX($A652:$J652,$Q$6)))</f>
        <v>4000</v>
      </c>
      <c r="R652" s="39" t="n">
        <f aca="false">IF($M652="","",INDEX($A652:$J652,$R$6))</f>
        <v>46325</v>
      </c>
      <c r="S652" s="37" t="str">
        <f aca="false">IF($M652="","",IFERROR(INDEX(Settings!$B$27:$B$36,MATCH(L652,Settings!$A$27:$A$36,0))&amp;"","UNMAPPED"))</f>
        <v>Open</v>
      </c>
      <c r="T652" s="37" t="str">
        <f aca="false">IF($M652="","",IF(NOT(ISNUMBER(R652)),"NO DATE",IF(S652="Won",IF(R652&gt;Settings!$B$5,"Backlog","Delivered"),IF(S652="Open",IF(R652&gt;Settings!$B$5,"Pipeline","Overdue"),IF(S652="Lost","Lost","UNMAPPED")))))</f>
        <v>Pipeline</v>
      </c>
      <c r="U652" s="40" t="n">
        <f aca="false">IF(T652="Backlog",1,IF(OR(T652="Pipeline",T652="Overdue"),N(INDEX(Settings!$C$27:$C$36,MATCH(L652,Settings!$A$27:$A$36,0))),0))</f>
        <v>0.2</v>
      </c>
      <c r="V652" s="38" t="n">
        <f aca="false">Q652*U652</f>
        <v>800</v>
      </c>
      <c r="W652" s="41" t="n">
        <f aca="false">IF($M652="","",IF(T652="Overdue",IF(Settings!$B$8="Yes",Settings!$B$7,""),IF(ISNUMBER(R652),DATE(YEAR(R652),MONTH(R652),1),"")))</f>
        <v>46296</v>
      </c>
      <c r="X652" s="38" t="n">
        <f aca="false">IF(AND(OR(T652="Backlog",T652="Pipeline",T652="Overdue"),ISNUMBER(W652)),IF(W652&lt;=Settings!$B$6,V652,0),0)</f>
        <v>800</v>
      </c>
      <c r="Y652" s="38" t="n">
        <f aca="false">IF(AND(OR(T652="Backlog",T652="Pipeline",T652="Overdue"),ISNUMBER(W652)),IF(W652&lt;=Settings!$B$6,Q652,0),0)</f>
        <v>4000</v>
      </c>
      <c r="Z652" s="38" t="n">
        <f aca="false">IF(Y652=0,0,IF(T652="Backlog",Q652,Q652*Dashboard!$C$10))</f>
        <v>0</v>
      </c>
      <c r="AA652" s="37" t="n">
        <f aca="false">IF($N652="",0,IF(COUNTIF(Dashboard!$C$13:$C$22,$N652)&gt;0,1,0))</f>
        <v>0</v>
      </c>
      <c r="AB652" s="37" t="n">
        <f aca="false">IF($N652="","",IF(COUNTIF($N$8:$N652,$N652)=1,MAX($AB$7:$AB651)+1,""))</f>
        <v>132</v>
      </c>
    </row>
    <row r="653" customFormat="false" ht="15" hidden="false" customHeight="false" outlineLevel="0" collapsed="false">
      <c r="B653" s="32" t="s">
        <v>1563</v>
      </c>
      <c r="C653" s="32" t="s">
        <v>353</v>
      </c>
      <c r="D653" s="35"/>
      <c r="E653" s="32" t="s">
        <v>262</v>
      </c>
      <c r="F653" s="36" t="n">
        <v>46164</v>
      </c>
      <c r="G653" s="32" t="s">
        <v>1564</v>
      </c>
      <c r="L653" s="37" t="str">
        <f aca="false">IF(INDEX($A653:$J653,$L$6)&lt;&gt;"",TRIM(LEFT(INDEX($A653:$J653,$L$6),FIND("(",INDEX($A653:$J653,$L$6)&amp;"(")-1)),L652)</f>
        <v>Building Value Proposition</v>
      </c>
      <c r="M653" s="37" t="str">
        <f aca="false">IF(INDEX($A653:$J653,$M$6)="","",INDEX($A653:$J653,$M$6)&amp;"")</f>
        <v>AV &amp; VC Platform Services and Support - 2604101</v>
      </c>
      <c r="N653" s="37" t="str">
        <f aca="false">IF($M653="","",TRIM(INDEX($A653:$J653,$N$6)&amp;""))</f>
        <v>Department of Agriculture, Fisheries and Forestry (DAFF)</v>
      </c>
      <c r="O653" s="37" t="str">
        <f aca="false">IF($M653="","",TRIM(INDEX($A653:$J653,$O$6)&amp;""))</f>
        <v>Multi-Service</v>
      </c>
      <c r="P653" s="37" t="str">
        <f aca="false">IF($M653="","",IFERROR(IF(INDEX(Settings!$B$41:$B$50,MATCH(O653,Settings!$A$41:$A$50,0))&amp;""="","UNMAPPED",INDEX(Settings!$B$41:$B$50,MATCH(O653,Settings!$A$41:$A$50,0))&amp;""),"UNMAPPED"))</f>
        <v>Unallocated</v>
      </c>
      <c r="Q653" s="38" t="n">
        <f aca="false">IF($M653="",0,N(INDEX($A653:$J653,$Q$6)))</f>
        <v>0</v>
      </c>
      <c r="R653" s="39" t="n">
        <f aca="false">IF($M653="","",INDEX($A653:$J653,$R$6))</f>
        <v>46164</v>
      </c>
      <c r="S653" s="37" t="str">
        <f aca="false">IF($M653="","",IFERROR(INDEX(Settings!$B$27:$B$36,MATCH(L653,Settings!$A$27:$A$36,0))&amp;"","UNMAPPED"))</f>
        <v>Open</v>
      </c>
      <c r="T653" s="37" t="str">
        <f aca="false">IF($M653="","",IF(NOT(ISNUMBER(R653)),"NO DATE",IF(S653="Won",IF(R653&gt;Settings!$B$5,"Backlog","Delivered"),IF(S653="Open",IF(R653&gt;Settings!$B$5,"Pipeline","Overdue"),IF(S653="Lost","Lost","UNMAPPED")))))</f>
        <v>Overdue</v>
      </c>
      <c r="U653" s="40" t="n">
        <f aca="false">IF(T653="Backlog",1,IF(OR(T653="Pipeline",T653="Overdue"),N(INDEX(Settings!$C$27:$C$36,MATCH(L653,Settings!$A$27:$A$36,0))),0))</f>
        <v>0.2</v>
      </c>
      <c r="V653" s="38" t="n">
        <f aca="false">Q653*U653</f>
        <v>0</v>
      </c>
      <c r="W653" s="41" t="str">
        <f aca="false">IF($M653="","",IF(T653="Overdue",IF(Settings!$B$8="Yes",Settings!$B$7,""),IF(ISNUMBER(R653),DATE(YEAR(R653),MONTH(R653),1),"")))</f>
        <v/>
      </c>
      <c r="X653" s="38" t="n">
        <f aca="false">IF(AND(OR(T653="Backlog",T653="Pipeline",T653="Overdue"),ISNUMBER(W653)),IF(W653&lt;=Settings!$B$6,V653,0),0)</f>
        <v>0</v>
      </c>
      <c r="Y653" s="38" t="n">
        <f aca="false">IF(AND(OR(T653="Backlog",T653="Pipeline",T653="Overdue"),ISNUMBER(W653)),IF(W653&lt;=Settings!$B$6,Q653,0),0)</f>
        <v>0</v>
      </c>
      <c r="Z653" s="38" t="n">
        <f aca="false">IF(Y653=0,0,IF(T653="Backlog",Q653,Q653*Dashboard!$C$10))</f>
        <v>0</v>
      </c>
      <c r="AA653" s="37" t="n">
        <f aca="false">IF($N653="",0,IF(COUNTIF(Dashboard!$C$13:$C$22,$N653)&gt;0,1,0))</f>
        <v>0</v>
      </c>
      <c r="AB653" s="37" t="str">
        <f aca="false">IF($N653="","",IF(COUNTIF($N$8:$N653,$N653)=1,MAX($AB$7:$AB652)+1,""))</f>
        <v/>
      </c>
    </row>
    <row r="654" customFormat="false" ht="15" hidden="false" customHeight="false" outlineLevel="0" collapsed="false">
      <c r="B654" s="32" t="s">
        <v>1565</v>
      </c>
      <c r="C654" s="32" t="s">
        <v>253</v>
      </c>
      <c r="D654" s="35"/>
      <c r="E654" s="32" t="s">
        <v>145</v>
      </c>
      <c r="F654" s="36" t="n">
        <v>46340</v>
      </c>
      <c r="G654" s="32" t="s">
        <v>1566</v>
      </c>
      <c r="L654" s="37" t="str">
        <f aca="false">IF(INDEX($A654:$J654,$L$6)&lt;&gt;"",TRIM(LEFT(INDEX($A654:$J654,$L$6),FIND("(",INDEX($A654:$J654,$L$6)&amp;"(")-1)),L653)</f>
        <v>Building Value Proposition</v>
      </c>
      <c r="M654" s="37" t="str">
        <f aca="false">IF(INDEX($A654:$J654,$M$6)="","",INDEX($A654:$J654,$M$6)&amp;"")</f>
        <v>ASX - Investor Day - 14.11.26</v>
      </c>
      <c r="N654" s="37" t="str">
        <f aca="false">IF($M654="","",TRIM(INDEX($A654:$J654,$N$6)&amp;""))</f>
        <v>ASX Australian Securities Exchange</v>
      </c>
      <c r="O654" s="37" t="str">
        <f aca="false">IF($M654="","",TRIM(INDEX($A654:$J654,$O$6)&amp;""))</f>
        <v>Event Production</v>
      </c>
      <c r="P654" s="37" t="str">
        <f aca="false">IF($M654="","",IFERROR(IF(INDEX(Settings!$B$41:$B$50,MATCH(O654,Settings!$A$41:$A$50,0))&amp;""="","UNMAPPED",INDEX(Settings!$B$41:$B$50,MATCH(O654,Settings!$A$41:$A$50,0))&amp;""),"UNMAPPED"))</f>
        <v>Production</v>
      </c>
      <c r="Q654" s="38" t="n">
        <f aca="false">IF($M654="",0,N(INDEX($A654:$J654,$Q$6)))</f>
        <v>0</v>
      </c>
      <c r="R654" s="39" t="n">
        <f aca="false">IF($M654="","",INDEX($A654:$J654,$R$6))</f>
        <v>46340</v>
      </c>
      <c r="S654" s="37" t="str">
        <f aca="false">IF($M654="","",IFERROR(INDEX(Settings!$B$27:$B$36,MATCH(L654,Settings!$A$27:$A$36,0))&amp;"","UNMAPPED"))</f>
        <v>Open</v>
      </c>
      <c r="T654" s="37" t="str">
        <f aca="false">IF($M654="","",IF(NOT(ISNUMBER(R654)),"NO DATE",IF(S654="Won",IF(R654&gt;Settings!$B$5,"Backlog","Delivered"),IF(S654="Open",IF(R654&gt;Settings!$B$5,"Pipeline","Overdue"),IF(S654="Lost","Lost","UNMAPPED")))))</f>
        <v>Pipeline</v>
      </c>
      <c r="U654" s="40" t="n">
        <f aca="false">IF(T654="Backlog",1,IF(OR(T654="Pipeline",T654="Overdue"),N(INDEX(Settings!$C$27:$C$36,MATCH(L654,Settings!$A$27:$A$36,0))),0))</f>
        <v>0.2</v>
      </c>
      <c r="V654" s="38" t="n">
        <f aca="false">Q654*U654</f>
        <v>0</v>
      </c>
      <c r="W654" s="41" t="n">
        <f aca="false">IF($M654="","",IF(T654="Overdue",IF(Settings!$B$8="Yes",Settings!$B$7,""),IF(ISNUMBER(R654),DATE(YEAR(R654),MONTH(R654),1),"")))</f>
        <v>46327</v>
      </c>
      <c r="X654" s="38" t="n">
        <f aca="false">IF(AND(OR(T654="Backlog",T654="Pipeline",T654="Overdue"),ISNUMBER(W654)),IF(W654&lt;=Settings!$B$6,V654,0),0)</f>
        <v>0</v>
      </c>
      <c r="Y654" s="38" t="n">
        <f aca="false">IF(AND(OR(T654="Backlog",T654="Pipeline",T654="Overdue"),ISNUMBER(W654)),IF(W654&lt;=Settings!$B$6,Q654,0),0)</f>
        <v>0</v>
      </c>
      <c r="Z654" s="38" t="n">
        <f aca="false">IF(Y654=0,0,IF(T654="Backlog",Q654,Q654*Dashboard!$C$10))</f>
        <v>0</v>
      </c>
      <c r="AA654" s="37" t="n">
        <f aca="false">IF($N654="",0,IF(COUNTIF(Dashboard!$C$13:$C$22,$N654)&gt;0,1,0))</f>
        <v>0</v>
      </c>
      <c r="AB654" s="37" t="str">
        <f aca="false">IF($N654="","",IF(COUNTIF($N$8:$N654,$N654)=1,MAX($AB$7:$AB653)+1,""))</f>
        <v/>
      </c>
    </row>
    <row r="655" customFormat="false" ht="15" hidden="false" customHeight="false" outlineLevel="0" collapsed="false">
      <c r="B655" s="32" t="s">
        <v>1567</v>
      </c>
      <c r="C655" s="32" t="s">
        <v>310</v>
      </c>
      <c r="D655" s="35" t="n">
        <v>24000</v>
      </c>
      <c r="E655" s="32" t="s">
        <v>145</v>
      </c>
      <c r="F655" s="36" t="n">
        <v>46308</v>
      </c>
      <c r="G655" s="32" t="s">
        <v>1568</v>
      </c>
      <c r="L655" s="37" t="str">
        <f aca="false">IF(INDEX($A655:$J655,$L$6)&lt;&gt;"",TRIM(LEFT(INDEX($A655:$J655,$L$6),FIND("(",INDEX($A655:$J655,$L$6)&amp;"(")-1)),L654)</f>
        <v>Building Value Proposition</v>
      </c>
      <c r="M655" s="37" t="str">
        <f aca="false">IF(INDEX($A655:$J655,$M$6)="","",INDEX($A655:$J655,$M$6)&amp;"")</f>
        <v>Cochlear - Capital Markets Day - 13.11.26</v>
      </c>
      <c r="N655" s="37" t="str">
        <f aca="false">IF($M655="","",TRIM(INDEX($A655:$J655,$N$6)&amp;""))</f>
        <v>Cochlear</v>
      </c>
      <c r="O655" s="37" t="str">
        <f aca="false">IF($M655="","",TRIM(INDEX($A655:$J655,$O$6)&amp;""))</f>
        <v>Event Production</v>
      </c>
      <c r="P655" s="37" t="str">
        <f aca="false">IF($M655="","",IFERROR(IF(INDEX(Settings!$B$41:$B$50,MATCH(O655,Settings!$A$41:$A$50,0))&amp;""="","UNMAPPED",INDEX(Settings!$B$41:$B$50,MATCH(O655,Settings!$A$41:$A$50,0))&amp;""),"UNMAPPED"))</f>
        <v>Production</v>
      </c>
      <c r="Q655" s="38" t="n">
        <f aca="false">IF($M655="",0,N(INDEX($A655:$J655,$Q$6)))</f>
        <v>24000</v>
      </c>
      <c r="R655" s="39" t="n">
        <f aca="false">IF($M655="","",INDEX($A655:$J655,$R$6))</f>
        <v>46308</v>
      </c>
      <c r="S655" s="37" t="str">
        <f aca="false">IF($M655="","",IFERROR(INDEX(Settings!$B$27:$B$36,MATCH(L655,Settings!$A$27:$A$36,0))&amp;"","UNMAPPED"))</f>
        <v>Open</v>
      </c>
      <c r="T655" s="37" t="str">
        <f aca="false">IF($M655="","",IF(NOT(ISNUMBER(R655)),"NO DATE",IF(S655="Won",IF(R655&gt;Settings!$B$5,"Backlog","Delivered"),IF(S655="Open",IF(R655&gt;Settings!$B$5,"Pipeline","Overdue"),IF(S655="Lost","Lost","UNMAPPED")))))</f>
        <v>Pipeline</v>
      </c>
      <c r="U655" s="40" t="n">
        <f aca="false">IF(T655="Backlog",1,IF(OR(T655="Pipeline",T655="Overdue"),N(INDEX(Settings!$C$27:$C$36,MATCH(L655,Settings!$A$27:$A$36,0))),0))</f>
        <v>0.2</v>
      </c>
      <c r="V655" s="38" t="n">
        <f aca="false">Q655*U655</f>
        <v>4800</v>
      </c>
      <c r="W655" s="41" t="n">
        <f aca="false">IF($M655="","",IF(T655="Overdue",IF(Settings!$B$8="Yes",Settings!$B$7,""),IF(ISNUMBER(R655),DATE(YEAR(R655),MONTH(R655),1),"")))</f>
        <v>46296</v>
      </c>
      <c r="X655" s="38" t="n">
        <f aca="false">IF(AND(OR(T655="Backlog",T655="Pipeline",T655="Overdue"),ISNUMBER(W655)),IF(W655&lt;=Settings!$B$6,V655,0),0)</f>
        <v>4800</v>
      </c>
      <c r="Y655" s="38" t="n">
        <f aca="false">IF(AND(OR(T655="Backlog",T655="Pipeline",T655="Overdue"),ISNUMBER(W655)),IF(W655&lt;=Settings!$B$6,Q655,0),0)</f>
        <v>24000</v>
      </c>
      <c r="Z655" s="38" t="n">
        <f aca="false">IF(Y655=0,0,IF(T655="Backlog",Q655,Q655*Dashboard!$C$10))</f>
        <v>0</v>
      </c>
      <c r="AA655" s="37" t="n">
        <f aca="false">IF($N655="",0,IF(COUNTIF(Dashboard!$C$13:$C$22,$N655)&gt;0,1,0))</f>
        <v>0</v>
      </c>
      <c r="AB655" s="37" t="str">
        <f aca="false">IF($N655="","",IF(COUNTIF($N$8:$N655,$N655)=1,MAX($AB$7:$AB654)+1,""))</f>
        <v/>
      </c>
    </row>
    <row r="656" customFormat="false" ht="15" hidden="false" customHeight="false" outlineLevel="0" collapsed="false">
      <c r="B656" s="32" t="s">
        <v>1569</v>
      </c>
      <c r="C656" s="32" t="s">
        <v>194</v>
      </c>
      <c r="D656" s="35"/>
      <c r="E656" s="32" t="s">
        <v>145</v>
      </c>
      <c r="F656" s="36" t="n">
        <v>46351</v>
      </c>
      <c r="G656" s="32" t="s">
        <v>1570</v>
      </c>
      <c r="L656" s="37" t="str">
        <f aca="false">IF(INDEX($A656:$J656,$L$6)&lt;&gt;"",TRIM(LEFT(INDEX($A656:$J656,$L$6),FIND("(",INDEX($A656:$J656,$L$6)&amp;"(")-1)),L655)</f>
        <v>Building Value Proposition</v>
      </c>
      <c r="M656" s="37" t="str">
        <f aca="false">IF(INDEX($A656:$J656,$M$6)="","",INDEX($A656:$J656,$M$6)&amp;"")</f>
        <v>Ventia - Leaders Forum - 25.11.26</v>
      </c>
      <c r="N656" s="37" t="str">
        <f aca="false">IF($M656="","",TRIM(INDEX($A656:$J656,$N$6)&amp;""))</f>
        <v>Ventia</v>
      </c>
      <c r="O656" s="37" t="str">
        <f aca="false">IF($M656="","",TRIM(INDEX($A656:$J656,$O$6)&amp;""))</f>
        <v>Event Production</v>
      </c>
      <c r="P656" s="37" t="str">
        <f aca="false">IF($M656="","",IFERROR(IF(INDEX(Settings!$B$41:$B$50,MATCH(O656,Settings!$A$41:$A$50,0))&amp;""="","UNMAPPED",INDEX(Settings!$B$41:$B$50,MATCH(O656,Settings!$A$41:$A$50,0))&amp;""),"UNMAPPED"))</f>
        <v>Production</v>
      </c>
      <c r="Q656" s="38" t="n">
        <f aca="false">IF($M656="",0,N(INDEX($A656:$J656,$Q$6)))</f>
        <v>0</v>
      </c>
      <c r="R656" s="39" t="n">
        <f aca="false">IF($M656="","",INDEX($A656:$J656,$R$6))</f>
        <v>46351</v>
      </c>
      <c r="S656" s="37" t="str">
        <f aca="false">IF($M656="","",IFERROR(INDEX(Settings!$B$27:$B$36,MATCH(L656,Settings!$A$27:$A$36,0))&amp;"","UNMAPPED"))</f>
        <v>Open</v>
      </c>
      <c r="T656" s="37" t="str">
        <f aca="false">IF($M656="","",IF(NOT(ISNUMBER(R656)),"NO DATE",IF(S656="Won",IF(R656&gt;Settings!$B$5,"Backlog","Delivered"),IF(S656="Open",IF(R656&gt;Settings!$B$5,"Pipeline","Overdue"),IF(S656="Lost","Lost","UNMAPPED")))))</f>
        <v>Pipeline</v>
      </c>
      <c r="U656" s="40" t="n">
        <f aca="false">IF(T656="Backlog",1,IF(OR(T656="Pipeline",T656="Overdue"),N(INDEX(Settings!$C$27:$C$36,MATCH(L656,Settings!$A$27:$A$36,0))),0))</f>
        <v>0.2</v>
      </c>
      <c r="V656" s="38" t="n">
        <f aca="false">Q656*U656</f>
        <v>0</v>
      </c>
      <c r="W656" s="41" t="n">
        <f aca="false">IF($M656="","",IF(T656="Overdue",IF(Settings!$B$8="Yes",Settings!$B$7,""),IF(ISNUMBER(R656),DATE(YEAR(R656),MONTH(R656),1),"")))</f>
        <v>46327</v>
      </c>
      <c r="X656" s="38" t="n">
        <f aca="false">IF(AND(OR(T656="Backlog",T656="Pipeline",T656="Overdue"),ISNUMBER(W656)),IF(W656&lt;=Settings!$B$6,V656,0),0)</f>
        <v>0</v>
      </c>
      <c r="Y656" s="38" t="n">
        <f aca="false">IF(AND(OR(T656="Backlog",T656="Pipeline",T656="Overdue"),ISNUMBER(W656)),IF(W656&lt;=Settings!$B$6,Q656,0),0)</f>
        <v>0</v>
      </c>
      <c r="Z656" s="38" t="n">
        <f aca="false">IF(Y656=0,0,IF(T656="Backlog",Q656,Q656*Dashboard!$C$10))</f>
        <v>0</v>
      </c>
      <c r="AA656" s="37" t="n">
        <f aca="false">IF($N656="",0,IF(COUNTIF(Dashboard!$C$13:$C$22,$N656)&gt;0,1,0))</f>
        <v>0</v>
      </c>
      <c r="AB656" s="37" t="str">
        <f aca="false">IF($N656="","",IF(COUNTIF($N$8:$N656,$N656)=1,MAX($AB$7:$AB655)+1,""))</f>
        <v/>
      </c>
    </row>
    <row r="657" customFormat="false" ht="15" hidden="false" customHeight="false" outlineLevel="0" collapsed="false">
      <c r="B657" s="32" t="s">
        <v>1571</v>
      </c>
      <c r="C657" s="32" t="s">
        <v>253</v>
      </c>
      <c r="D657" s="35"/>
      <c r="E657" s="32" t="s">
        <v>145</v>
      </c>
      <c r="F657" s="36" t="n">
        <v>46347</v>
      </c>
      <c r="G657" s="32" t="s">
        <v>1572</v>
      </c>
      <c r="L657" s="37" t="str">
        <f aca="false">IF(INDEX($A657:$J657,$L$6)&lt;&gt;"",TRIM(LEFT(INDEX($A657:$J657,$L$6),FIND("(",INDEX($A657:$J657,$L$6)&amp;"(")-1)),L656)</f>
        <v>Building Value Proposition</v>
      </c>
      <c r="M657" s="37" t="str">
        <f aca="false">IF(INDEX($A657:$J657,$M$6)="","",INDEX($A657:$J657,$M$6)&amp;"")</f>
        <v>ASX - Investor Day - 21.11.26</v>
      </c>
      <c r="N657" s="37" t="str">
        <f aca="false">IF($M657="","",TRIM(INDEX($A657:$J657,$N$6)&amp;""))</f>
        <v>ASX Australian Securities Exchange</v>
      </c>
      <c r="O657" s="37" t="str">
        <f aca="false">IF($M657="","",TRIM(INDEX($A657:$J657,$O$6)&amp;""))</f>
        <v>Event Production</v>
      </c>
      <c r="P657" s="37" t="str">
        <f aca="false">IF($M657="","",IFERROR(IF(INDEX(Settings!$B$41:$B$50,MATCH(O657,Settings!$A$41:$A$50,0))&amp;""="","UNMAPPED",INDEX(Settings!$B$41:$B$50,MATCH(O657,Settings!$A$41:$A$50,0))&amp;""),"UNMAPPED"))</f>
        <v>Production</v>
      </c>
      <c r="Q657" s="38" t="n">
        <f aca="false">IF($M657="",0,N(INDEX($A657:$J657,$Q$6)))</f>
        <v>0</v>
      </c>
      <c r="R657" s="39" t="n">
        <f aca="false">IF($M657="","",INDEX($A657:$J657,$R$6))</f>
        <v>46347</v>
      </c>
      <c r="S657" s="37" t="str">
        <f aca="false">IF($M657="","",IFERROR(INDEX(Settings!$B$27:$B$36,MATCH(L657,Settings!$A$27:$A$36,0))&amp;"","UNMAPPED"))</f>
        <v>Open</v>
      </c>
      <c r="T657" s="37" t="str">
        <f aca="false">IF($M657="","",IF(NOT(ISNUMBER(R657)),"NO DATE",IF(S657="Won",IF(R657&gt;Settings!$B$5,"Backlog","Delivered"),IF(S657="Open",IF(R657&gt;Settings!$B$5,"Pipeline","Overdue"),IF(S657="Lost","Lost","UNMAPPED")))))</f>
        <v>Pipeline</v>
      </c>
      <c r="U657" s="40" t="n">
        <f aca="false">IF(T657="Backlog",1,IF(OR(T657="Pipeline",T657="Overdue"),N(INDEX(Settings!$C$27:$C$36,MATCH(L657,Settings!$A$27:$A$36,0))),0))</f>
        <v>0.2</v>
      </c>
      <c r="V657" s="38" t="n">
        <f aca="false">Q657*U657</f>
        <v>0</v>
      </c>
      <c r="W657" s="41" t="n">
        <f aca="false">IF($M657="","",IF(T657="Overdue",IF(Settings!$B$8="Yes",Settings!$B$7,""),IF(ISNUMBER(R657),DATE(YEAR(R657),MONTH(R657),1),"")))</f>
        <v>46327</v>
      </c>
      <c r="X657" s="38" t="n">
        <f aca="false">IF(AND(OR(T657="Backlog",T657="Pipeline",T657="Overdue"),ISNUMBER(W657)),IF(W657&lt;=Settings!$B$6,V657,0),0)</f>
        <v>0</v>
      </c>
      <c r="Y657" s="38" t="n">
        <f aca="false">IF(AND(OR(T657="Backlog",T657="Pipeline",T657="Overdue"),ISNUMBER(W657)),IF(W657&lt;=Settings!$B$6,Q657,0),0)</f>
        <v>0</v>
      </c>
      <c r="Z657" s="38" t="n">
        <f aca="false">IF(Y657=0,0,IF(T657="Backlog",Q657,Q657*Dashboard!$C$10))</f>
        <v>0</v>
      </c>
      <c r="AA657" s="37" t="n">
        <f aca="false">IF($N657="",0,IF(COUNTIF(Dashboard!$C$13:$C$22,$N657)&gt;0,1,0))</f>
        <v>0</v>
      </c>
      <c r="AB657" s="37" t="str">
        <f aca="false">IF($N657="","",IF(COUNTIF($N$8:$N657,$N657)=1,MAX($AB$7:$AB656)+1,""))</f>
        <v/>
      </c>
    </row>
    <row r="658" customFormat="false" ht="15" hidden="false" customHeight="false" outlineLevel="0" collapsed="false">
      <c r="B658" s="32" t="s">
        <v>1573</v>
      </c>
      <c r="C658" s="32" t="s">
        <v>183</v>
      </c>
      <c r="D658" s="35" t="n">
        <v>15000</v>
      </c>
      <c r="E658" s="32" t="s">
        <v>145</v>
      </c>
      <c r="F658" s="36" t="n">
        <v>46343</v>
      </c>
      <c r="G658" s="32" t="s">
        <v>1574</v>
      </c>
      <c r="L658" s="37" t="str">
        <f aca="false">IF(INDEX($A658:$J658,$L$6)&lt;&gt;"",TRIM(LEFT(INDEX($A658:$J658,$L$6),FIND("(",INDEX($A658:$J658,$L$6)&amp;"(")-1)),L657)</f>
        <v>Building Value Proposition</v>
      </c>
      <c r="M658" s="37" t="str">
        <f aca="false">IF(INDEX($A658:$J658,$M$6)="","",INDEX($A658:$J658,$M$6)&amp;"")</f>
        <v>Chorus Call - Regal Funds AGM - 17.11.26</v>
      </c>
      <c r="N658" s="37" t="str">
        <f aca="false">IF($M658="","",TRIM(INDEX($A658:$J658,$N$6)&amp;""))</f>
        <v>Chorus Call</v>
      </c>
      <c r="O658" s="37" t="str">
        <f aca="false">IF($M658="","",TRIM(INDEX($A658:$J658,$O$6)&amp;""))</f>
        <v>Event Production</v>
      </c>
      <c r="P658" s="37" t="str">
        <f aca="false">IF($M658="","",IFERROR(IF(INDEX(Settings!$B$41:$B$50,MATCH(O658,Settings!$A$41:$A$50,0))&amp;""="","UNMAPPED",INDEX(Settings!$B$41:$B$50,MATCH(O658,Settings!$A$41:$A$50,0))&amp;""),"UNMAPPED"))</f>
        <v>Production</v>
      </c>
      <c r="Q658" s="38" t="n">
        <f aca="false">IF($M658="",0,N(INDEX($A658:$J658,$Q$6)))</f>
        <v>15000</v>
      </c>
      <c r="R658" s="39" t="n">
        <f aca="false">IF($M658="","",INDEX($A658:$J658,$R$6))</f>
        <v>46343</v>
      </c>
      <c r="S658" s="37" t="str">
        <f aca="false">IF($M658="","",IFERROR(INDEX(Settings!$B$27:$B$36,MATCH(L658,Settings!$A$27:$A$36,0))&amp;"","UNMAPPED"))</f>
        <v>Open</v>
      </c>
      <c r="T658" s="37" t="str">
        <f aca="false">IF($M658="","",IF(NOT(ISNUMBER(R658)),"NO DATE",IF(S658="Won",IF(R658&gt;Settings!$B$5,"Backlog","Delivered"),IF(S658="Open",IF(R658&gt;Settings!$B$5,"Pipeline","Overdue"),IF(S658="Lost","Lost","UNMAPPED")))))</f>
        <v>Pipeline</v>
      </c>
      <c r="U658" s="40" t="n">
        <f aca="false">IF(T658="Backlog",1,IF(OR(T658="Pipeline",T658="Overdue"),N(INDEX(Settings!$C$27:$C$36,MATCH(L658,Settings!$A$27:$A$36,0))),0))</f>
        <v>0.2</v>
      </c>
      <c r="V658" s="38" t="n">
        <f aca="false">Q658*U658</f>
        <v>3000</v>
      </c>
      <c r="W658" s="41" t="n">
        <f aca="false">IF($M658="","",IF(T658="Overdue",IF(Settings!$B$8="Yes",Settings!$B$7,""),IF(ISNUMBER(R658),DATE(YEAR(R658),MONTH(R658),1),"")))</f>
        <v>46327</v>
      </c>
      <c r="X658" s="38" t="n">
        <f aca="false">IF(AND(OR(T658="Backlog",T658="Pipeline",T658="Overdue"),ISNUMBER(W658)),IF(W658&lt;=Settings!$B$6,V658,0),0)</f>
        <v>3000</v>
      </c>
      <c r="Y658" s="38" t="n">
        <f aca="false">IF(AND(OR(T658="Backlog",T658="Pipeline",T658="Overdue"),ISNUMBER(W658)),IF(W658&lt;=Settings!$B$6,Q658,0),0)</f>
        <v>15000</v>
      </c>
      <c r="Z658" s="38" t="n">
        <f aca="false">IF(Y658=0,0,IF(T658="Backlog",Q658,Q658*Dashboard!$C$10))</f>
        <v>0</v>
      </c>
      <c r="AA658" s="37" t="n">
        <f aca="false">IF($N658="",0,IF(COUNTIF(Dashboard!$C$13:$C$22,$N658)&gt;0,1,0))</f>
        <v>0</v>
      </c>
      <c r="AB658" s="37" t="str">
        <f aca="false">IF($N658="","",IF(COUNTIF($N$8:$N658,$N658)=1,MAX($AB$7:$AB657)+1,""))</f>
        <v/>
      </c>
    </row>
    <row r="659" customFormat="false" ht="15" hidden="false" customHeight="false" outlineLevel="0" collapsed="false">
      <c r="B659" s="32" t="s">
        <v>1575</v>
      </c>
      <c r="C659" s="32" t="s">
        <v>188</v>
      </c>
      <c r="D659" s="35" t="n">
        <v>8265</v>
      </c>
      <c r="E659" s="32" t="s">
        <v>141</v>
      </c>
      <c r="F659" s="36" t="n">
        <v>46353</v>
      </c>
      <c r="G659" s="32" t="s">
        <v>1576</v>
      </c>
      <c r="L659" s="37" t="str">
        <f aca="false">IF(INDEX($A659:$J659,$L$6)&lt;&gt;"",TRIM(LEFT(INDEX($A659:$J659,$L$6),FIND("(",INDEX($A659:$J659,$L$6)&amp;"(")-1)),L658)</f>
        <v>Building Value Proposition</v>
      </c>
      <c r="M659" s="37" t="str">
        <f aca="false">IF(INDEX($A659:$J659,$M$6)="","",INDEX($A659:$J659,$M$6)&amp;"")</f>
        <v>Aware | Wollongong Boardroom Upgrade - 26082701</v>
      </c>
      <c r="N659" s="37" t="str">
        <f aca="false">IF($M659="","",TRIM(INDEX($A659:$J659,$N$6)&amp;""))</f>
        <v>Aware Super</v>
      </c>
      <c r="O659" s="37" t="str">
        <f aca="false">IF($M659="","",TRIM(INDEX($A659:$J659,$O$6)&amp;""))</f>
        <v>Integration</v>
      </c>
      <c r="P659" s="37" t="str">
        <f aca="false">IF($M659="","",IFERROR(IF(INDEX(Settings!$B$41:$B$50,MATCH(O659,Settings!$A$41:$A$50,0))&amp;""="","UNMAPPED",INDEX(Settings!$B$41:$B$50,MATCH(O659,Settings!$A$41:$A$50,0))&amp;""),"UNMAPPED"))</f>
        <v>Integration</v>
      </c>
      <c r="Q659" s="38" t="n">
        <f aca="false">IF($M659="",0,N(INDEX($A659:$J659,$Q$6)))</f>
        <v>8265</v>
      </c>
      <c r="R659" s="39" t="n">
        <f aca="false">IF($M659="","",INDEX($A659:$J659,$R$6))</f>
        <v>46353</v>
      </c>
      <c r="S659" s="37" t="str">
        <f aca="false">IF($M659="","",IFERROR(INDEX(Settings!$B$27:$B$36,MATCH(L659,Settings!$A$27:$A$36,0))&amp;"","UNMAPPED"))</f>
        <v>Open</v>
      </c>
      <c r="T659" s="37" t="str">
        <f aca="false">IF($M659="","",IF(NOT(ISNUMBER(R659)),"NO DATE",IF(S659="Won",IF(R659&gt;Settings!$B$5,"Backlog","Delivered"),IF(S659="Open",IF(R659&gt;Settings!$B$5,"Pipeline","Overdue"),IF(S659="Lost","Lost","UNMAPPED")))))</f>
        <v>Pipeline</v>
      </c>
      <c r="U659" s="40" t="n">
        <f aca="false">IF(T659="Backlog",1,IF(OR(T659="Pipeline",T659="Overdue"),N(INDEX(Settings!$C$27:$C$36,MATCH(L659,Settings!$A$27:$A$36,0))),0))</f>
        <v>0.2</v>
      </c>
      <c r="V659" s="38" t="n">
        <f aca="false">Q659*U659</f>
        <v>1653</v>
      </c>
      <c r="W659" s="41" t="n">
        <f aca="false">IF($M659="","",IF(T659="Overdue",IF(Settings!$B$8="Yes",Settings!$B$7,""),IF(ISNUMBER(R659),DATE(YEAR(R659),MONTH(R659),1),"")))</f>
        <v>46327</v>
      </c>
      <c r="X659" s="38" t="n">
        <f aca="false">IF(AND(OR(T659="Backlog",T659="Pipeline",T659="Overdue"),ISNUMBER(W659)),IF(W659&lt;=Settings!$B$6,V659,0),0)</f>
        <v>1653</v>
      </c>
      <c r="Y659" s="38" t="n">
        <f aca="false">IF(AND(OR(T659="Backlog",T659="Pipeline",T659="Overdue"),ISNUMBER(W659)),IF(W659&lt;=Settings!$B$6,Q659,0),0)</f>
        <v>8265</v>
      </c>
      <c r="Z659" s="38" t="n">
        <f aca="false">IF(Y659=0,0,IF(T659="Backlog",Q659,Q659*Dashboard!$C$10))</f>
        <v>0</v>
      </c>
      <c r="AA659" s="37" t="n">
        <f aca="false">IF($N659="",0,IF(COUNTIF(Dashboard!$C$13:$C$22,$N659)&gt;0,1,0))</f>
        <v>0</v>
      </c>
      <c r="AB659" s="37" t="str">
        <f aca="false">IF($N659="","",IF(COUNTIF($N$8:$N659,$N659)=1,MAX($AB$7:$AB658)+1,""))</f>
        <v/>
      </c>
    </row>
    <row r="660" customFormat="false" ht="15" hidden="false" customHeight="false" outlineLevel="0" collapsed="false">
      <c r="B660" s="32" t="s">
        <v>1577</v>
      </c>
      <c r="C660" s="32" t="s">
        <v>163</v>
      </c>
      <c r="D660" s="35" t="n">
        <v>15000</v>
      </c>
      <c r="E660" s="32" t="s">
        <v>145</v>
      </c>
      <c r="F660" s="36" t="n">
        <v>46346</v>
      </c>
      <c r="G660" s="32" t="s">
        <v>1578</v>
      </c>
      <c r="L660" s="37" t="str">
        <f aca="false">IF(INDEX($A660:$J660,$L$6)&lt;&gt;"",TRIM(LEFT(INDEX($A660:$J660,$L$6),FIND("(",INDEX($A660:$J660,$L$6)&amp;"(")-1)),L659)</f>
        <v>Building Value Proposition</v>
      </c>
      <c r="M660" s="37" t="str">
        <f aca="false">IF(INDEX($A660:$J660,$M$6)="","",INDEX($A660:$J660,$M$6)&amp;"")</f>
        <v>Automic - HUB24 AGM - 19.11.26</v>
      </c>
      <c r="N660" s="37" t="str">
        <f aca="false">IF($M660="","",TRIM(INDEX($A660:$J660,$N$6)&amp;""))</f>
        <v>Automic Group</v>
      </c>
      <c r="O660" s="37" t="str">
        <f aca="false">IF($M660="","",TRIM(INDEX($A660:$J660,$O$6)&amp;""))</f>
        <v>Event Production</v>
      </c>
      <c r="P660" s="37" t="str">
        <f aca="false">IF($M660="","",IFERROR(IF(INDEX(Settings!$B$41:$B$50,MATCH(O660,Settings!$A$41:$A$50,0))&amp;""="","UNMAPPED",INDEX(Settings!$B$41:$B$50,MATCH(O660,Settings!$A$41:$A$50,0))&amp;""),"UNMAPPED"))</f>
        <v>Production</v>
      </c>
      <c r="Q660" s="38" t="n">
        <f aca="false">IF($M660="",0,N(INDEX($A660:$J660,$Q$6)))</f>
        <v>15000</v>
      </c>
      <c r="R660" s="39" t="n">
        <f aca="false">IF($M660="","",INDEX($A660:$J660,$R$6))</f>
        <v>46346</v>
      </c>
      <c r="S660" s="37" t="str">
        <f aca="false">IF($M660="","",IFERROR(INDEX(Settings!$B$27:$B$36,MATCH(L660,Settings!$A$27:$A$36,0))&amp;"","UNMAPPED"))</f>
        <v>Open</v>
      </c>
      <c r="T660" s="37" t="str">
        <f aca="false">IF($M660="","",IF(NOT(ISNUMBER(R660)),"NO DATE",IF(S660="Won",IF(R660&gt;Settings!$B$5,"Backlog","Delivered"),IF(S660="Open",IF(R660&gt;Settings!$B$5,"Pipeline","Overdue"),IF(S660="Lost","Lost","UNMAPPED")))))</f>
        <v>Pipeline</v>
      </c>
      <c r="U660" s="40" t="n">
        <f aca="false">IF(T660="Backlog",1,IF(OR(T660="Pipeline",T660="Overdue"),N(INDEX(Settings!$C$27:$C$36,MATCH(L660,Settings!$A$27:$A$36,0))),0))</f>
        <v>0.2</v>
      </c>
      <c r="V660" s="38" t="n">
        <f aca="false">Q660*U660</f>
        <v>3000</v>
      </c>
      <c r="W660" s="41" t="n">
        <f aca="false">IF($M660="","",IF(T660="Overdue",IF(Settings!$B$8="Yes",Settings!$B$7,""),IF(ISNUMBER(R660),DATE(YEAR(R660),MONTH(R660),1),"")))</f>
        <v>46327</v>
      </c>
      <c r="X660" s="38" t="n">
        <f aca="false">IF(AND(OR(T660="Backlog",T660="Pipeline",T660="Overdue"),ISNUMBER(W660)),IF(W660&lt;=Settings!$B$6,V660,0),0)</f>
        <v>3000</v>
      </c>
      <c r="Y660" s="38" t="n">
        <f aca="false">IF(AND(OR(T660="Backlog",T660="Pipeline",T660="Overdue"),ISNUMBER(W660)),IF(W660&lt;=Settings!$B$6,Q660,0),0)</f>
        <v>15000</v>
      </c>
      <c r="Z660" s="38" t="n">
        <f aca="false">IF(Y660=0,0,IF(T660="Backlog",Q660,Q660*Dashboard!$C$10))</f>
        <v>0</v>
      </c>
      <c r="AA660" s="37" t="n">
        <f aca="false">IF($N660="",0,IF(COUNTIF(Dashboard!$C$13:$C$22,$N660)&gt;0,1,0))</f>
        <v>0</v>
      </c>
      <c r="AB660" s="37" t="str">
        <f aca="false">IF($N660="","",IF(COUNTIF($N$8:$N660,$N660)=1,MAX($AB$7:$AB659)+1,""))</f>
        <v/>
      </c>
    </row>
    <row r="661" customFormat="false" ht="15" hidden="false" customHeight="false" outlineLevel="0" collapsed="false">
      <c r="B661" s="32" t="s">
        <v>1579</v>
      </c>
      <c r="C661" s="32" t="s">
        <v>217</v>
      </c>
      <c r="D661" s="35" t="n">
        <v>1120</v>
      </c>
      <c r="E661" s="32" t="s">
        <v>145</v>
      </c>
      <c r="F661" s="36" t="n">
        <v>46418</v>
      </c>
      <c r="G661" s="32" t="s">
        <v>1580</v>
      </c>
      <c r="L661" s="37" t="str">
        <f aca="false">IF(INDEX($A661:$J661,$L$6)&lt;&gt;"",TRIM(LEFT(INDEX($A661:$J661,$L$6),FIND("(",INDEX($A661:$J661,$L$6)&amp;"(")-1)),L660)</f>
        <v>Building Value Proposition</v>
      </c>
      <c r="M661" s="37" t="str">
        <f aca="false">IF(INDEX($A661:$J661,$M$6)="","",INDEX($A661:$J661,$M$6)&amp;"")</f>
        <v>Garvan - Morning Tea Event - Jan' 27</v>
      </c>
      <c r="N661" s="37" t="str">
        <f aca="false">IF($M661="","",TRIM(INDEX($A661:$J661,$N$6)&amp;""))</f>
        <v>Garvan Institute of Medical Research</v>
      </c>
      <c r="O661" s="37" t="str">
        <f aca="false">IF($M661="","",TRIM(INDEX($A661:$J661,$O$6)&amp;""))</f>
        <v>Event Production</v>
      </c>
      <c r="P661" s="37" t="str">
        <f aca="false">IF($M661="","",IFERROR(IF(INDEX(Settings!$B$41:$B$50,MATCH(O661,Settings!$A$41:$A$50,0))&amp;""="","UNMAPPED",INDEX(Settings!$B$41:$B$50,MATCH(O661,Settings!$A$41:$A$50,0))&amp;""),"UNMAPPED"))</f>
        <v>Production</v>
      </c>
      <c r="Q661" s="38" t="n">
        <f aca="false">IF($M661="",0,N(INDEX($A661:$J661,$Q$6)))</f>
        <v>1120</v>
      </c>
      <c r="R661" s="39" t="n">
        <f aca="false">IF($M661="","",INDEX($A661:$J661,$R$6))</f>
        <v>46418</v>
      </c>
      <c r="S661" s="37" t="str">
        <f aca="false">IF($M661="","",IFERROR(INDEX(Settings!$B$27:$B$36,MATCH(L661,Settings!$A$27:$A$36,0))&amp;"","UNMAPPED"))</f>
        <v>Open</v>
      </c>
      <c r="T661" s="37" t="str">
        <f aca="false">IF($M661="","",IF(NOT(ISNUMBER(R661)),"NO DATE",IF(S661="Won",IF(R661&gt;Settings!$B$5,"Backlog","Delivered"),IF(S661="Open",IF(R661&gt;Settings!$B$5,"Pipeline","Overdue"),IF(S661="Lost","Lost","UNMAPPED")))))</f>
        <v>Pipeline</v>
      </c>
      <c r="U661" s="40" t="n">
        <f aca="false">IF(T661="Backlog",1,IF(OR(T661="Pipeline",T661="Overdue"),N(INDEX(Settings!$C$27:$C$36,MATCH(L661,Settings!$A$27:$A$36,0))),0))</f>
        <v>0.2</v>
      </c>
      <c r="V661" s="38" t="n">
        <f aca="false">Q661*U661</f>
        <v>224</v>
      </c>
      <c r="W661" s="41" t="n">
        <f aca="false">IF($M661="","",IF(T661="Overdue",IF(Settings!$B$8="Yes",Settings!$B$7,""),IF(ISNUMBER(R661),DATE(YEAR(R661),MONTH(R661),1),"")))</f>
        <v>46388</v>
      </c>
      <c r="X661" s="38" t="n">
        <f aca="false">IF(AND(OR(T661="Backlog",T661="Pipeline",T661="Overdue"),ISNUMBER(W661)),IF(W661&lt;=Settings!$B$6,V661,0),0)</f>
        <v>224</v>
      </c>
      <c r="Y661" s="38" t="n">
        <f aca="false">IF(AND(OR(T661="Backlog",T661="Pipeline",T661="Overdue"),ISNUMBER(W661)),IF(W661&lt;=Settings!$B$6,Q661,0),0)</f>
        <v>1120</v>
      </c>
      <c r="Z661" s="38" t="n">
        <f aca="false">IF(Y661=0,0,IF(T661="Backlog",Q661,Q661*Dashboard!$C$10))</f>
        <v>0</v>
      </c>
      <c r="AA661" s="37" t="n">
        <f aca="false">IF($N661="",0,IF(COUNTIF(Dashboard!$C$13:$C$22,$N661)&gt;0,1,0))</f>
        <v>0</v>
      </c>
      <c r="AB661" s="37" t="str">
        <f aca="false">IF($N661="","",IF(COUNTIF($N$8:$N661,$N661)=1,MAX($AB$7:$AB660)+1,""))</f>
        <v/>
      </c>
    </row>
    <row r="662" customFormat="false" ht="15" hidden="false" customHeight="false" outlineLevel="0" collapsed="false">
      <c r="B662" s="32" t="s">
        <v>1581</v>
      </c>
      <c r="C662" s="32" t="s">
        <v>1582</v>
      </c>
      <c r="D662" s="35"/>
      <c r="E662" s="32" t="s">
        <v>141</v>
      </c>
      <c r="F662" s="36" t="n">
        <v>46377</v>
      </c>
      <c r="G662" s="32" t="s">
        <v>1583</v>
      </c>
      <c r="L662" s="37" t="str">
        <f aca="false">IF(INDEX($A662:$J662,$L$6)&lt;&gt;"",TRIM(LEFT(INDEX($A662:$J662,$L$6),FIND("(",INDEX($A662:$J662,$L$6)&amp;"(")-1)),L661)</f>
        <v>Building Value Proposition</v>
      </c>
      <c r="M662" s="37" t="str">
        <f aca="false">IF(INDEX($A662:$J662,$M$6)="","",INDEX($A662:$J662,$M$6)&amp;"")</f>
        <v>AGIG | Thomastown Proxyclick Renewal - 2609802</v>
      </c>
      <c r="N662" s="37" t="str">
        <f aca="false">IF($M662="","",TRIM(INDEX($A662:$J662,$N$6)&amp;""))</f>
        <v>AGIG</v>
      </c>
      <c r="O662" s="37" t="str">
        <f aca="false">IF($M662="","",TRIM(INDEX($A662:$J662,$O$6)&amp;""))</f>
        <v>Integration</v>
      </c>
      <c r="P662" s="37" t="str">
        <f aca="false">IF($M662="","",IFERROR(IF(INDEX(Settings!$B$41:$B$50,MATCH(O662,Settings!$A$41:$A$50,0))&amp;""="","UNMAPPED",INDEX(Settings!$B$41:$B$50,MATCH(O662,Settings!$A$41:$A$50,0))&amp;""),"UNMAPPED"))</f>
        <v>Integration</v>
      </c>
      <c r="Q662" s="38" t="n">
        <f aca="false">IF($M662="",0,N(INDEX($A662:$J662,$Q$6)))</f>
        <v>0</v>
      </c>
      <c r="R662" s="39" t="n">
        <f aca="false">IF($M662="","",INDEX($A662:$J662,$R$6))</f>
        <v>46377</v>
      </c>
      <c r="S662" s="37" t="str">
        <f aca="false">IF($M662="","",IFERROR(INDEX(Settings!$B$27:$B$36,MATCH(L662,Settings!$A$27:$A$36,0))&amp;"","UNMAPPED"))</f>
        <v>Open</v>
      </c>
      <c r="T662" s="37" t="str">
        <f aca="false">IF($M662="","",IF(NOT(ISNUMBER(R662)),"NO DATE",IF(S662="Won",IF(R662&gt;Settings!$B$5,"Backlog","Delivered"),IF(S662="Open",IF(R662&gt;Settings!$B$5,"Pipeline","Overdue"),IF(S662="Lost","Lost","UNMAPPED")))))</f>
        <v>Pipeline</v>
      </c>
      <c r="U662" s="40" t="n">
        <f aca="false">IF(T662="Backlog",1,IF(OR(T662="Pipeline",T662="Overdue"),N(INDEX(Settings!$C$27:$C$36,MATCH(L662,Settings!$A$27:$A$36,0))),0))</f>
        <v>0.2</v>
      </c>
      <c r="V662" s="38" t="n">
        <f aca="false">Q662*U662</f>
        <v>0</v>
      </c>
      <c r="W662" s="41" t="n">
        <f aca="false">IF($M662="","",IF(T662="Overdue",IF(Settings!$B$8="Yes",Settings!$B$7,""),IF(ISNUMBER(R662),DATE(YEAR(R662),MONTH(R662),1),"")))</f>
        <v>46357</v>
      </c>
      <c r="X662" s="38" t="n">
        <f aca="false">IF(AND(OR(T662="Backlog",T662="Pipeline",T662="Overdue"),ISNUMBER(W662)),IF(W662&lt;=Settings!$B$6,V662,0),0)</f>
        <v>0</v>
      </c>
      <c r="Y662" s="38" t="n">
        <f aca="false">IF(AND(OR(T662="Backlog",T662="Pipeline",T662="Overdue"),ISNUMBER(W662)),IF(W662&lt;=Settings!$B$6,Q662,0),0)</f>
        <v>0</v>
      </c>
      <c r="Z662" s="38" t="n">
        <f aca="false">IF(Y662=0,0,IF(T662="Backlog",Q662,Q662*Dashboard!$C$10))</f>
        <v>0</v>
      </c>
      <c r="AA662" s="37" t="n">
        <f aca="false">IF($N662="",0,IF(COUNTIF(Dashboard!$C$13:$C$22,$N662)&gt;0,1,0))</f>
        <v>0</v>
      </c>
      <c r="AB662" s="37" t="n">
        <f aca="false">IF($N662="","",IF(COUNTIF($N$8:$N662,$N662)=1,MAX($AB$7:$AB661)+1,""))</f>
        <v>133</v>
      </c>
    </row>
    <row r="663" customFormat="false" ht="15" hidden="false" customHeight="false" outlineLevel="0" collapsed="false">
      <c r="B663" s="32" t="s">
        <v>1584</v>
      </c>
      <c r="C663" s="32" t="s">
        <v>194</v>
      </c>
      <c r="D663" s="35" t="n">
        <v>18000</v>
      </c>
      <c r="E663" s="32" t="s">
        <v>145</v>
      </c>
      <c r="F663" s="36" t="n">
        <v>46323</v>
      </c>
      <c r="G663" s="32" t="s">
        <v>1585</v>
      </c>
      <c r="L663" s="37" t="str">
        <f aca="false">IF(INDEX($A663:$J663,$L$6)&lt;&gt;"",TRIM(LEFT(INDEX($A663:$J663,$L$6),FIND("(",INDEX($A663:$J663,$L$6)&amp;"(")-1)),L662)</f>
        <v>Building Value Proposition</v>
      </c>
      <c r="M663" s="37" t="str">
        <f aca="false">IF(INDEX($A663:$J663,$M$6)="","",INDEX($A663:$J663,$M$6)&amp;"")</f>
        <v>Ventia - CEO Town Hall - 28.10.26</v>
      </c>
      <c r="N663" s="37" t="str">
        <f aca="false">IF($M663="","",TRIM(INDEX($A663:$J663,$N$6)&amp;""))</f>
        <v>Ventia</v>
      </c>
      <c r="O663" s="37" t="str">
        <f aca="false">IF($M663="","",TRIM(INDEX($A663:$J663,$O$6)&amp;""))</f>
        <v>Event Production</v>
      </c>
      <c r="P663" s="37" t="str">
        <f aca="false">IF($M663="","",IFERROR(IF(INDEX(Settings!$B$41:$B$50,MATCH(O663,Settings!$A$41:$A$50,0))&amp;""="","UNMAPPED",INDEX(Settings!$B$41:$B$50,MATCH(O663,Settings!$A$41:$A$50,0))&amp;""),"UNMAPPED"))</f>
        <v>Production</v>
      </c>
      <c r="Q663" s="38" t="n">
        <f aca="false">IF($M663="",0,N(INDEX($A663:$J663,$Q$6)))</f>
        <v>18000</v>
      </c>
      <c r="R663" s="39" t="n">
        <f aca="false">IF($M663="","",INDEX($A663:$J663,$R$6))</f>
        <v>46323</v>
      </c>
      <c r="S663" s="37" t="str">
        <f aca="false">IF($M663="","",IFERROR(INDEX(Settings!$B$27:$B$36,MATCH(L663,Settings!$A$27:$A$36,0))&amp;"","UNMAPPED"))</f>
        <v>Open</v>
      </c>
      <c r="T663" s="37" t="str">
        <f aca="false">IF($M663="","",IF(NOT(ISNUMBER(R663)),"NO DATE",IF(S663="Won",IF(R663&gt;Settings!$B$5,"Backlog","Delivered"),IF(S663="Open",IF(R663&gt;Settings!$B$5,"Pipeline","Overdue"),IF(S663="Lost","Lost","UNMAPPED")))))</f>
        <v>Pipeline</v>
      </c>
      <c r="U663" s="40" t="n">
        <f aca="false">IF(T663="Backlog",1,IF(OR(T663="Pipeline",T663="Overdue"),N(INDEX(Settings!$C$27:$C$36,MATCH(L663,Settings!$A$27:$A$36,0))),0))</f>
        <v>0.2</v>
      </c>
      <c r="V663" s="38" t="n">
        <f aca="false">Q663*U663</f>
        <v>3600</v>
      </c>
      <c r="W663" s="41" t="n">
        <f aca="false">IF($M663="","",IF(T663="Overdue",IF(Settings!$B$8="Yes",Settings!$B$7,""),IF(ISNUMBER(R663),DATE(YEAR(R663),MONTH(R663),1),"")))</f>
        <v>46296</v>
      </c>
      <c r="X663" s="38" t="n">
        <f aca="false">IF(AND(OR(T663="Backlog",T663="Pipeline",T663="Overdue"),ISNUMBER(W663)),IF(W663&lt;=Settings!$B$6,V663,0),0)</f>
        <v>3600</v>
      </c>
      <c r="Y663" s="38" t="n">
        <f aca="false">IF(AND(OR(T663="Backlog",T663="Pipeline",T663="Overdue"),ISNUMBER(W663)),IF(W663&lt;=Settings!$B$6,Q663,0),0)</f>
        <v>18000</v>
      </c>
      <c r="Z663" s="38" t="n">
        <f aca="false">IF(Y663=0,0,IF(T663="Backlog",Q663,Q663*Dashboard!$C$10))</f>
        <v>0</v>
      </c>
      <c r="AA663" s="37" t="n">
        <f aca="false">IF($N663="",0,IF(COUNTIF(Dashboard!$C$13:$C$22,$N663)&gt;0,1,0))</f>
        <v>0</v>
      </c>
      <c r="AB663" s="37" t="str">
        <f aca="false">IF($N663="","",IF(COUNTIF($N$8:$N663,$N663)=1,MAX($AB$7:$AB662)+1,""))</f>
        <v/>
      </c>
    </row>
    <row r="664" customFormat="false" ht="15" hidden="false" customHeight="false" outlineLevel="0" collapsed="false">
      <c r="B664" s="32" t="s">
        <v>1586</v>
      </c>
      <c r="C664" s="32" t="s">
        <v>217</v>
      </c>
      <c r="D664" s="35" t="n">
        <v>1120</v>
      </c>
      <c r="E664" s="32" t="s">
        <v>145</v>
      </c>
      <c r="F664" s="36" t="n">
        <v>46507</v>
      </c>
      <c r="G664" s="32" t="s">
        <v>1587</v>
      </c>
      <c r="L664" s="37" t="str">
        <f aca="false">IF(INDEX($A664:$J664,$L$6)&lt;&gt;"",TRIM(LEFT(INDEX($A664:$J664,$L$6),FIND("(",INDEX($A664:$J664,$L$6)&amp;"(")-1)),L663)</f>
        <v>Building Value Proposition</v>
      </c>
      <c r="M664" s="37" t="str">
        <f aca="false">IF(INDEX($A664:$J664,$M$6)="","",INDEX($A664:$J664,$M$6)&amp;"")</f>
        <v>Garvan - Morning Tea Event - Apr' 27</v>
      </c>
      <c r="N664" s="37" t="str">
        <f aca="false">IF($M664="","",TRIM(INDEX($A664:$J664,$N$6)&amp;""))</f>
        <v>Garvan Institute of Medical Research</v>
      </c>
      <c r="O664" s="37" t="str">
        <f aca="false">IF($M664="","",TRIM(INDEX($A664:$J664,$O$6)&amp;""))</f>
        <v>Event Production</v>
      </c>
      <c r="P664" s="37" t="str">
        <f aca="false">IF($M664="","",IFERROR(IF(INDEX(Settings!$B$41:$B$50,MATCH(O664,Settings!$A$41:$A$50,0))&amp;""="","UNMAPPED",INDEX(Settings!$B$41:$B$50,MATCH(O664,Settings!$A$41:$A$50,0))&amp;""),"UNMAPPED"))</f>
        <v>Production</v>
      </c>
      <c r="Q664" s="38" t="n">
        <f aca="false">IF($M664="",0,N(INDEX($A664:$J664,$Q$6)))</f>
        <v>1120</v>
      </c>
      <c r="R664" s="39" t="n">
        <f aca="false">IF($M664="","",INDEX($A664:$J664,$R$6))</f>
        <v>46507</v>
      </c>
      <c r="S664" s="37" t="str">
        <f aca="false">IF($M664="","",IFERROR(INDEX(Settings!$B$27:$B$36,MATCH(L664,Settings!$A$27:$A$36,0))&amp;"","UNMAPPED"))</f>
        <v>Open</v>
      </c>
      <c r="T664" s="37" t="str">
        <f aca="false">IF($M664="","",IF(NOT(ISNUMBER(R664)),"NO DATE",IF(S664="Won",IF(R664&gt;Settings!$B$5,"Backlog","Delivered"),IF(S664="Open",IF(R664&gt;Settings!$B$5,"Pipeline","Overdue"),IF(S664="Lost","Lost","UNMAPPED")))))</f>
        <v>Pipeline</v>
      </c>
      <c r="U664" s="40" t="n">
        <f aca="false">IF(T664="Backlog",1,IF(OR(T664="Pipeline",T664="Overdue"),N(INDEX(Settings!$C$27:$C$36,MATCH(L664,Settings!$A$27:$A$36,0))),0))</f>
        <v>0.2</v>
      </c>
      <c r="V664" s="38" t="n">
        <f aca="false">Q664*U664</f>
        <v>224</v>
      </c>
      <c r="W664" s="41" t="n">
        <f aca="false">IF($M664="","",IF(T664="Overdue",IF(Settings!$B$8="Yes",Settings!$B$7,""),IF(ISNUMBER(R664),DATE(YEAR(R664),MONTH(R664),1),"")))</f>
        <v>46478</v>
      </c>
      <c r="X664" s="38" t="n">
        <f aca="false">IF(AND(OR(T664="Backlog",T664="Pipeline",T664="Overdue"),ISNUMBER(W664)),IF(W664&lt;=Settings!$B$6,V664,0),0)</f>
        <v>224</v>
      </c>
      <c r="Y664" s="38" t="n">
        <f aca="false">IF(AND(OR(T664="Backlog",T664="Pipeline",T664="Overdue"),ISNUMBER(W664)),IF(W664&lt;=Settings!$B$6,Q664,0),0)</f>
        <v>1120</v>
      </c>
      <c r="Z664" s="38" t="n">
        <f aca="false">IF(Y664=0,0,IF(T664="Backlog",Q664,Q664*Dashboard!$C$10))</f>
        <v>0</v>
      </c>
      <c r="AA664" s="37" t="n">
        <f aca="false">IF($N664="",0,IF(COUNTIF(Dashboard!$C$13:$C$22,$N664)&gt;0,1,0))</f>
        <v>0</v>
      </c>
      <c r="AB664" s="37" t="str">
        <f aca="false">IF($N664="","",IF(COUNTIF($N$8:$N664,$N664)=1,MAX($AB$7:$AB663)+1,""))</f>
        <v/>
      </c>
    </row>
    <row r="665" customFormat="false" ht="15" hidden="false" customHeight="false" outlineLevel="0" collapsed="false">
      <c r="B665" s="32" t="s">
        <v>1588</v>
      </c>
      <c r="C665" s="32" t="s">
        <v>154</v>
      </c>
      <c r="D665" s="35"/>
      <c r="E665" s="32" t="s">
        <v>141</v>
      </c>
      <c r="F665" s="36" t="n">
        <v>46325</v>
      </c>
      <c r="G665" s="32" t="s">
        <v>1589</v>
      </c>
      <c r="L665" s="37" t="str">
        <f aca="false">IF(INDEX($A665:$J665,$L$6)&lt;&gt;"",TRIM(LEFT(INDEX($A665:$J665,$L$6),FIND("(",INDEX($A665:$J665,$L$6)&amp;"(")-1)),L664)</f>
        <v>Building Value Proposition</v>
      </c>
      <c r="M665" s="37" t="str">
        <f aca="false">IF(INDEX($A665:$J665,$M$6)="","",INDEX($A665:$J665,$M$6)&amp;"")</f>
        <v>PwC | SYD 65" Display Replacement - 2609101</v>
      </c>
      <c r="N665" s="37" t="str">
        <f aca="false">IF($M665="","",TRIM(INDEX($A665:$J665,$N$6)&amp;""))</f>
        <v>PWC</v>
      </c>
      <c r="O665" s="37" t="str">
        <f aca="false">IF($M665="","",TRIM(INDEX($A665:$J665,$O$6)&amp;""))</f>
        <v>Integration</v>
      </c>
      <c r="P665" s="37" t="str">
        <f aca="false">IF($M665="","",IFERROR(IF(INDEX(Settings!$B$41:$B$50,MATCH(O665,Settings!$A$41:$A$50,0))&amp;""="","UNMAPPED",INDEX(Settings!$B$41:$B$50,MATCH(O665,Settings!$A$41:$A$50,0))&amp;""),"UNMAPPED"))</f>
        <v>Integration</v>
      </c>
      <c r="Q665" s="38" t="n">
        <f aca="false">IF($M665="",0,N(INDEX($A665:$J665,$Q$6)))</f>
        <v>0</v>
      </c>
      <c r="R665" s="39" t="n">
        <f aca="false">IF($M665="","",INDEX($A665:$J665,$R$6))</f>
        <v>46325</v>
      </c>
      <c r="S665" s="37" t="str">
        <f aca="false">IF($M665="","",IFERROR(INDEX(Settings!$B$27:$B$36,MATCH(L665,Settings!$A$27:$A$36,0))&amp;"","UNMAPPED"))</f>
        <v>Open</v>
      </c>
      <c r="T665" s="37" t="str">
        <f aca="false">IF($M665="","",IF(NOT(ISNUMBER(R665)),"NO DATE",IF(S665="Won",IF(R665&gt;Settings!$B$5,"Backlog","Delivered"),IF(S665="Open",IF(R665&gt;Settings!$B$5,"Pipeline","Overdue"),IF(S665="Lost","Lost","UNMAPPED")))))</f>
        <v>Pipeline</v>
      </c>
      <c r="U665" s="40" t="n">
        <f aca="false">IF(T665="Backlog",1,IF(OR(T665="Pipeline",T665="Overdue"),N(INDEX(Settings!$C$27:$C$36,MATCH(L665,Settings!$A$27:$A$36,0))),0))</f>
        <v>0.2</v>
      </c>
      <c r="V665" s="38" t="n">
        <f aca="false">Q665*U665</f>
        <v>0</v>
      </c>
      <c r="W665" s="41" t="n">
        <f aca="false">IF($M665="","",IF(T665="Overdue",IF(Settings!$B$8="Yes",Settings!$B$7,""),IF(ISNUMBER(R665),DATE(YEAR(R665),MONTH(R665),1),"")))</f>
        <v>46296</v>
      </c>
      <c r="X665" s="38" t="n">
        <f aca="false">IF(AND(OR(T665="Backlog",T665="Pipeline",T665="Overdue"),ISNUMBER(W665)),IF(W665&lt;=Settings!$B$6,V665,0),0)</f>
        <v>0</v>
      </c>
      <c r="Y665" s="38" t="n">
        <f aca="false">IF(AND(OR(T665="Backlog",T665="Pipeline",T665="Overdue"),ISNUMBER(W665)),IF(W665&lt;=Settings!$B$6,Q665,0),0)</f>
        <v>0</v>
      </c>
      <c r="Z665" s="38" t="n">
        <f aca="false">IF(Y665=0,0,IF(T665="Backlog",Q665,Q665*Dashboard!$C$10))</f>
        <v>0</v>
      </c>
      <c r="AA665" s="37" t="n">
        <f aca="false">IF($N665="",0,IF(COUNTIF(Dashboard!$C$13:$C$22,$N665)&gt;0,1,0))</f>
        <v>0</v>
      </c>
      <c r="AB665" s="37" t="str">
        <f aca="false">IF($N665="","",IF(COUNTIF($N$8:$N665,$N665)=1,MAX($AB$7:$AB664)+1,""))</f>
        <v/>
      </c>
    </row>
    <row r="666" customFormat="false" ht="15" hidden="false" customHeight="false" outlineLevel="0" collapsed="false">
      <c r="B666" s="32" t="s">
        <v>1590</v>
      </c>
      <c r="C666" s="32" t="s">
        <v>194</v>
      </c>
      <c r="D666" s="35" t="n">
        <v>12000</v>
      </c>
      <c r="E666" s="32" t="s">
        <v>145</v>
      </c>
      <c r="F666" s="36" t="n">
        <v>46366</v>
      </c>
      <c r="G666" s="32" t="s">
        <v>1591</v>
      </c>
      <c r="L666" s="37" t="str">
        <f aca="false">IF(INDEX($A666:$J666,$L$6)&lt;&gt;"",TRIM(LEFT(INDEX($A666:$J666,$L$6),FIND("(",INDEX($A666:$J666,$L$6)&amp;"(")-1)),L665)</f>
        <v>Building Value Proposition</v>
      </c>
      <c r="M666" s="37" t="str">
        <f aca="false">IF(INDEX($A666:$J666,$M$6)="","",INDEX($A666:$J666,$M$6)&amp;"")</f>
        <v>Ventia - CEO Townhall - 10.12.26</v>
      </c>
      <c r="N666" s="37" t="str">
        <f aca="false">IF($M666="","",TRIM(INDEX($A666:$J666,$N$6)&amp;""))</f>
        <v>Ventia</v>
      </c>
      <c r="O666" s="37" t="str">
        <f aca="false">IF($M666="","",TRIM(INDEX($A666:$J666,$O$6)&amp;""))</f>
        <v>Event Production</v>
      </c>
      <c r="P666" s="37" t="str">
        <f aca="false">IF($M666="","",IFERROR(IF(INDEX(Settings!$B$41:$B$50,MATCH(O666,Settings!$A$41:$A$50,0))&amp;""="","UNMAPPED",INDEX(Settings!$B$41:$B$50,MATCH(O666,Settings!$A$41:$A$50,0))&amp;""),"UNMAPPED"))</f>
        <v>Production</v>
      </c>
      <c r="Q666" s="38" t="n">
        <f aca="false">IF($M666="",0,N(INDEX($A666:$J666,$Q$6)))</f>
        <v>12000</v>
      </c>
      <c r="R666" s="39" t="n">
        <f aca="false">IF($M666="","",INDEX($A666:$J666,$R$6))</f>
        <v>46366</v>
      </c>
      <c r="S666" s="37" t="str">
        <f aca="false">IF($M666="","",IFERROR(INDEX(Settings!$B$27:$B$36,MATCH(L666,Settings!$A$27:$A$36,0))&amp;"","UNMAPPED"))</f>
        <v>Open</v>
      </c>
      <c r="T666" s="37" t="str">
        <f aca="false">IF($M666="","",IF(NOT(ISNUMBER(R666)),"NO DATE",IF(S666="Won",IF(R666&gt;Settings!$B$5,"Backlog","Delivered"),IF(S666="Open",IF(R666&gt;Settings!$B$5,"Pipeline","Overdue"),IF(S666="Lost","Lost","UNMAPPED")))))</f>
        <v>Pipeline</v>
      </c>
      <c r="U666" s="40" t="n">
        <f aca="false">IF(T666="Backlog",1,IF(OR(T666="Pipeline",T666="Overdue"),N(INDEX(Settings!$C$27:$C$36,MATCH(L666,Settings!$A$27:$A$36,0))),0))</f>
        <v>0.2</v>
      </c>
      <c r="V666" s="38" t="n">
        <f aca="false">Q666*U666</f>
        <v>2400</v>
      </c>
      <c r="W666" s="41" t="n">
        <f aca="false">IF($M666="","",IF(T666="Overdue",IF(Settings!$B$8="Yes",Settings!$B$7,""),IF(ISNUMBER(R666),DATE(YEAR(R666),MONTH(R666),1),"")))</f>
        <v>46357</v>
      </c>
      <c r="X666" s="38" t="n">
        <f aca="false">IF(AND(OR(T666="Backlog",T666="Pipeline",T666="Overdue"),ISNUMBER(W666)),IF(W666&lt;=Settings!$B$6,V666,0),0)</f>
        <v>2400</v>
      </c>
      <c r="Y666" s="38" t="n">
        <f aca="false">IF(AND(OR(T666="Backlog",T666="Pipeline",T666="Overdue"),ISNUMBER(W666)),IF(W666&lt;=Settings!$B$6,Q666,0),0)</f>
        <v>12000</v>
      </c>
      <c r="Z666" s="38" t="n">
        <f aca="false">IF(Y666=0,0,IF(T666="Backlog",Q666,Q666*Dashboard!$C$10))</f>
        <v>0</v>
      </c>
      <c r="AA666" s="37" t="n">
        <f aca="false">IF($N666="",0,IF(COUNTIF(Dashboard!$C$13:$C$22,$N666)&gt;0,1,0))</f>
        <v>0</v>
      </c>
      <c r="AB666" s="37" t="str">
        <f aca="false">IF($N666="","",IF(COUNTIF($N$8:$N666,$N666)=1,MAX($AB$7:$AB665)+1,""))</f>
        <v/>
      </c>
    </row>
    <row r="667" customFormat="false" ht="15" hidden="false" customHeight="false" outlineLevel="0" collapsed="false">
      <c r="B667" s="32" t="s">
        <v>1592</v>
      </c>
      <c r="C667" s="32" t="s">
        <v>169</v>
      </c>
      <c r="D667" s="35" t="n">
        <v>25000</v>
      </c>
      <c r="E667" s="32" t="s">
        <v>145</v>
      </c>
      <c r="F667" s="36" t="n">
        <v>46338</v>
      </c>
      <c r="G667" s="32" t="s">
        <v>1593</v>
      </c>
      <c r="L667" s="37" t="str">
        <f aca="false">IF(INDEX($A667:$J667,$L$6)&lt;&gt;"",TRIM(LEFT(INDEX($A667:$J667,$L$6),FIND("(",INDEX($A667:$J667,$L$6)&amp;"(")-1)),L666)</f>
        <v>Building Value Proposition</v>
      </c>
      <c r="M667" s="37" t="str">
        <f aca="false">IF(INDEX($A667:$J667,$M$6)="","",INDEX($A667:$J667,$M$6)&amp;"")</f>
        <v>MUFG - Australian Wool Innovation AGM - 12.11.26</v>
      </c>
      <c r="N667" s="37" t="str">
        <f aca="false">IF($M667="","",TRIM(INDEX($A667:$J667,$N$6)&amp;""))</f>
        <v>MUFG IR / Orient Capital</v>
      </c>
      <c r="O667" s="37" t="str">
        <f aca="false">IF($M667="","",TRIM(INDEX($A667:$J667,$O$6)&amp;""))</f>
        <v>Event Production</v>
      </c>
      <c r="P667" s="37" t="str">
        <f aca="false">IF($M667="","",IFERROR(IF(INDEX(Settings!$B$41:$B$50,MATCH(O667,Settings!$A$41:$A$50,0))&amp;""="","UNMAPPED",INDEX(Settings!$B$41:$B$50,MATCH(O667,Settings!$A$41:$A$50,0))&amp;""),"UNMAPPED"))</f>
        <v>Production</v>
      </c>
      <c r="Q667" s="38" t="n">
        <f aca="false">IF($M667="",0,N(INDEX($A667:$J667,$Q$6)))</f>
        <v>25000</v>
      </c>
      <c r="R667" s="39" t="n">
        <f aca="false">IF($M667="","",INDEX($A667:$J667,$R$6))</f>
        <v>46338</v>
      </c>
      <c r="S667" s="37" t="str">
        <f aca="false">IF($M667="","",IFERROR(INDEX(Settings!$B$27:$B$36,MATCH(L667,Settings!$A$27:$A$36,0))&amp;"","UNMAPPED"))</f>
        <v>Open</v>
      </c>
      <c r="T667" s="37" t="str">
        <f aca="false">IF($M667="","",IF(NOT(ISNUMBER(R667)),"NO DATE",IF(S667="Won",IF(R667&gt;Settings!$B$5,"Backlog","Delivered"),IF(S667="Open",IF(R667&gt;Settings!$B$5,"Pipeline","Overdue"),IF(S667="Lost","Lost","UNMAPPED")))))</f>
        <v>Pipeline</v>
      </c>
      <c r="U667" s="40" t="n">
        <f aca="false">IF(T667="Backlog",1,IF(OR(T667="Pipeline",T667="Overdue"),N(INDEX(Settings!$C$27:$C$36,MATCH(L667,Settings!$A$27:$A$36,0))),0))</f>
        <v>0.2</v>
      </c>
      <c r="V667" s="38" t="n">
        <f aca="false">Q667*U667</f>
        <v>5000</v>
      </c>
      <c r="W667" s="41" t="n">
        <f aca="false">IF($M667="","",IF(T667="Overdue",IF(Settings!$B$8="Yes",Settings!$B$7,""),IF(ISNUMBER(R667),DATE(YEAR(R667),MONTH(R667),1),"")))</f>
        <v>46327</v>
      </c>
      <c r="X667" s="38" t="n">
        <f aca="false">IF(AND(OR(T667="Backlog",T667="Pipeline",T667="Overdue"),ISNUMBER(W667)),IF(W667&lt;=Settings!$B$6,V667,0),0)</f>
        <v>5000</v>
      </c>
      <c r="Y667" s="38" t="n">
        <f aca="false">IF(AND(OR(T667="Backlog",T667="Pipeline",T667="Overdue"),ISNUMBER(W667)),IF(W667&lt;=Settings!$B$6,Q667,0),0)</f>
        <v>25000</v>
      </c>
      <c r="Z667" s="38" t="n">
        <f aca="false">IF(Y667=0,0,IF(T667="Backlog",Q667,Q667*Dashboard!$C$10))</f>
        <v>0</v>
      </c>
      <c r="AA667" s="37" t="n">
        <f aca="false">IF($N667="",0,IF(COUNTIF(Dashboard!$C$13:$C$22,$N667)&gt;0,1,0))</f>
        <v>0</v>
      </c>
      <c r="AB667" s="37" t="str">
        <f aca="false">IF($N667="","",IF(COUNTIF($N$8:$N667,$N667)=1,MAX($AB$7:$AB666)+1,""))</f>
        <v/>
      </c>
    </row>
    <row r="668" customFormat="false" ht="15" hidden="false" customHeight="false" outlineLevel="0" collapsed="false">
      <c r="B668" s="32" t="s">
        <v>1594</v>
      </c>
      <c r="C668" s="32" t="s">
        <v>817</v>
      </c>
      <c r="D668" s="35" t="n">
        <v>10000</v>
      </c>
      <c r="E668" s="32" t="s">
        <v>145</v>
      </c>
      <c r="F668" s="36" t="n">
        <v>46359</v>
      </c>
      <c r="G668" s="32" t="s">
        <v>1595</v>
      </c>
      <c r="L668" s="37" t="str">
        <f aca="false">IF(INDEX($A668:$J668,$L$6)&lt;&gt;"",TRIM(LEFT(INDEX($A668:$J668,$L$6),FIND("(",INDEX($A668:$J668,$L$6)&amp;"(")-1)),L667)</f>
        <v>Building Value Proposition</v>
      </c>
      <c r="M668" s="37" t="str">
        <f aca="false">IF(INDEX($A668:$J668,$M$6)="","",INDEX($A668:$J668,$M$6)&amp;"")</f>
        <v>Optiver - Town Hall - 17.12.26</v>
      </c>
      <c r="N668" s="37" t="str">
        <f aca="false">IF($M668="","",TRIM(INDEX($A668:$J668,$N$6)&amp;""))</f>
        <v>Optiver</v>
      </c>
      <c r="O668" s="37" t="str">
        <f aca="false">IF($M668="","",TRIM(INDEX($A668:$J668,$O$6)&amp;""))</f>
        <v>Event Production</v>
      </c>
      <c r="P668" s="37" t="str">
        <f aca="false">IF($M668="","",IFERROR(IF(INDEX(Settings!$B$41:$B$50,MATCH(O668,Settings!$A$41:$A$50,0))&amp;""="","UNMAPPED",INDEX(Settings!$B$41:$B$50,MATCH(O668,Settings!$A$41:$A$50,0))&amp;""),"UNMAPPED"))</f>
        <v>Production</v>
      </c>
      <c r="Q668" s="38" t="n">
        <f aca="false">IF($M668="",0,N(INDEX($A668:$J668,$Q$6)))</f>
        <v>10000</v>
      </c>
      <c r="R668" s="39" t="n">
        <f aca="false">IF($M668="","",INDEX($A668:$J668,$R$6))</f>
        <v>46359</v>
      </c>
      <c r="S668" s="37" t="str">
        <f aca="false">IF($M668="","",IFERROR(INDEX(Settings!$B$27:$B$36,MATCH(L668,Settings!$A$27:$A$36,0))&amp;"","UNMAPPED"))</f>
        <v>Open</v>
      </c>
      <c r="T668" s="37" t="str">
        <f aca="false">IF($M668="","",IF(NOT(ISNUMBER(R668)),"NO DATE",IF(S668="Won",IF(R668&gt;Settings!$B$5,"Backlog","Delivered"),IF(S668="Open",IF(R668&gt;Settings!$B$5,"Pipeline","Overdue"),IF(S668="Lost","Lost","UNMAPPED")))))</f>
        <v>Pipeline</v>
      </c>
      <c r="U668" s="40" t="n">
        <f aca="false">IF(T668="Backlog",1,IF(OR(T668="Pipeline",T668="Overdue"),N(INDEX(Settings!$C$27:$C$36,MATCH(L668,Settings!$A$27:$A$36,0))),0))</f>
        <v>0.2</v>
      </c>
      <c r="V668" s="38" t="n">
        <f aca="false">Q668*U668</f>
        <v>2000</v>
      </c>
      <c r="W668" s="41" t="n">
        <f aca="false">IF($M668="","",IF(T668="Overdue",IF(Settings!$B$8="Yes",Settings!$B$7,""),IF(ISNUMBER(R668),DATE(YEAR(R668),MONTH(R668),1),"")))</f>
        <v>46357</v>
      </c>
      <c r="X668" s="38" t="n">
        <f aca="false">IF(AND(OR(T668="Backlog",T668="Pipeline",T668="Overdue"),ISNUMBER(W668)),IF(W668&lt;=Settings!$B$6,V668,0),0)</f>
        <v>2000</v>
      </c>
      <c r="Y668" s="38" t="n">
        <f aca="false">IF(AND(OR(T668="Backlog",T668="Pipeline",T668="Overdue"),ISNUMBER(W668)),IF(W668&lt;=Settings!$B$6,Q668,0),0)</f>
        <v>10000</v>
      </c>
      <c r="Z668" s="38" t="n">
        <f aca="false">IF(Y668=0,0,IF(T668="Backlog",Q668,Q668*Dashboard!$C$10))</f>
        <v>0</v>
      </c>
      <c r="AA668" s="37" t="n">
        <f aca="false">IF($N668="",0,IF(COUNTIF(Dashboard!$C$13:$C$22,$N668)&gt;0,1,0))</f>
        <v>0</v>
      </c>
      <c r="AB668" s="37" t="str">
        <f aca="false">IF($N668="","",IF(COUNTIF($N$8:$N668,$N668)=1,MAX($AB$7:$AB667)+1,""))</f>
        <v/>
      </c>
    </row>
    <row r="669" customFormat="false" ht="15" hidden="false" customHeight="false" outlineLevel="0" collapsed="false">
      <c r="B669" s="32" t="s">
        <v>1596</v>
      </c>
      <c r="C669" s="32" t="s">
        <v>253</v>
      </c>
      <c r="D669" s="35" t="n">
        <v>0</v>
      </c>
      <c r="E669" s="32" t="s">
        <v>145</v>
      </c>
      <c r="F669" s="36" t="n">
        <v>46293</v>
      </c>
      <c r="G669" s="32" t="s">
        <v>1597</v>
      </c>
      <c r="L669" s="37" t="str">
        <f aca="false">IF(INDEX($A669:$J669,$L$6)&lt;&gt;"",TRIM(LEFT(INDEX($A669:$J669,$L$6),FIND("(",INDEX($A669:$J669,$L$6)&amp;"(")-1)),L668)</f>
        <v>Building Value Proposition</v>
      </c>
      <c r="M669" s="37" t="str">
        <f aca="false">IF(INDEX($A669:$J669,$M$6)="","",INDEX($A669:$J669,$M$6)&amp;"")</f>
        <v>ASX - Exchange Place External Listing Audio - 30.10.26</v>
      </c>
      <c r="N669" s="37" t="str">
        <f aca="false">IF($M669="","",TRIM(INDEX($A669:$J669,$N$6)&amp;""))</f>
        <v>ASX Australian Securities Exchange</v>
      </c>
      <c r="O669" s="37" t="str">
        <f aca="false">IF($M669="","",TRIM(INDEX($A669:$J669,$O$6)&amp;""))</f>
        <v>Event Production</v>
      </c>
      <c r="P669" s="37" t="str">
        <f aca="false">IF($M669="","",IFERROR(IF(INDEX(Settings!$B$41:$B$50,MATCH(O669,Settings!$A$41:$A$50,0))&amp;""="","UNMAPPED",INDEX(Settings!$B$41:$B$50,MATCH(O669,Settings!$A$41:$A$50,0))&amp;""),"UNMAPPED"))</f>
        <v>Production</v>
      </c>
      <c r="Q669" s="38" t="n">
        <f aca="false">IF($M669="",0,N(INDEX($A669:$J669,$Q$6)))</f>
        <v>0</v>
      </c>
      <c r="R669" s="39" t="n">
        <f aca="false">IF($M669="","",INDEX($A669:$J669,$R$6))</f>
        <v>46293</v>
      </c>
      <c r="S669" s="37" t="str">
        <f aca="false">IF($M669="","",IFERROR(INDEX(Settings!$B$27:$B$36,MATCH(L669,Settings!$A$27:$A$36,0))&amp;"","UNMAPPED"))</f>
        <v>Open</v>
      </c>
      <c r="T669" s="37" t="str">
        <f aca="false">IF($M669="","",IF(NOT(ISNUMBER(R669)),"NO DATE",IF(S669="Won",IF(R669&gt;Settings!$B$5,"Backlog","Delivered"),IF(S669="Open",IF(R669&gt;Settings!$B$5,"Pipeline","Overdue"),IF(S669="Lost","Lost","UNMAPPED")))))</f>
        <v>Overdue</v>
      </c>
      <c r="U669" s="40" t="n">
        <f aca="false">IF(T669="Backlog",1,IF(OR(T669="Pipeline",T669="Overdue"),N(INDEX(Settings!$C$27:$C$36,MATCH(L669,Settings!$A$27:$A$36,0))),0))</f>
        <v>0.2</v>
      </c>
      <c r="V669" s="38" t="n">
        <f aca="false">Q669*U669</f>
        <v>0</v>
      </c>
      <c r="W669" s="41" t="str">
        <f aca="false">IF($M669="","",IF(T669="Overdue",IF(Settings!$B$8="Yes",Settings!$B$7,""),IF(ISNUMBER(R669),DATE(YEAR(R669),MONTH(R669),1),"")))</f>
        <v/>
      </c>
      <c r="X669" s="38" t="n">
        <f aca="false">IF(AND(OR(T669="Backlog",T669="Pipeline",T669="Overdue"),ISNUMBER(W669)),IF(W669&lt;=Settings!$B$6,V669,0),0)</f>
        <v>0</v>
      </c>
      <c r="Y669" s="38" t="n">
        <f aca="false">IF(AND(OR(T669="Backlog",T669="Pipeline",T669="Overdue"),ISNUMBER(W669)),IF(W669&lt;=Settings!$B$6,Q669,0),0)</f>
        <v>0</v>
      </c>
      <c r="Z669" s="38" t="n">
        <f aca="false">IF(Y669=0,0,IF(T669="Backlog",Q669,Q669*Dashboard!$C$10))</f>
        <v>0</v>
      </c>
      <c r="AA669" s="37" t="n">
        <f aca="false">IF($N669="",0,IF(COUNTIF(Dashboard!$C$13:$C$22,$N669)&gt;0,1,0))</f>
        <v>0</v>
      </c>
      <c r="AB669" s="37" t="str">
        <f aca="false">IF($N669="","",IF(COUNTIF($N$8:$N669,$N669)=1,MAX($AB$7:$AB668)+1,""))</f>
        <v/>
      </c>
    </row>
    <row r="670" customFormat="false" ht="15" hidden="false" customHeight="false" outlineLevel="0" collapsed="false">
      <c r="B670" s="32" t="s">
        <v>1598</v>
      </c>
      <c r="C670" s="32" t="s">
        <v>253</v>
      </c>
      <c r="D670" s="35" t="n">
        <v>0</v>
      </c>
      <c r="E670" s="32" t="s">
        <v>173</v>
      </c>
      <c r="F670" s="36" t="n">
        <v>46325</v>
      </c>
      <c r="G670" s="32" t="s">
        <v>1599</v>
      </c>
      <c r="L670" s="37" t="str">
        <f aca="false">IF(INDEX($A670:$J670,$L$6)&lt;&gt;"",TRIM(LEFT(INDEX($A670:$J670,$L$6),FIND("(",INDEX($A670:$J670,$L$6)&amp;"(")-1)),L669)</f>
        <v>Building Value Proposition</v>
      </c>
      <c r="M670" s="37" t="str">
        <f aca="false">IF(INDEX($A670:$J670,$M$6)="","",INDEX($A670:$J670,$M$6)&amp;"")</f>
        <v>Exchange Place Permanent External Audio</v>
      </c>
      <c r="N670" s="37" t="str">
        <f aca="false">IF($M670="","",TRIM(INDEX($A670:$J670,$N$6)&amp;""))</f>
        <v>ASX Australian Securities Exchange</v>
      </c>
      <c r="O670" s="37" t="str">
        <f aca="false">IF($M670="","",TRIM(INDEX($A670:$J670,$O$6)&amp;""))</f>
        <v>Consulting</v>
      </c>
      <c r="P670" s="37" t="str">
        <f aca="false">IF($M670="","",IFERROR(IF(INDEX(Settings!$B$41:$B$50,MATCH(O670,Settings!$A$41:$A$50,0))&amp;""="","UNMAPPED",INDEX(Settings!$B$41:$B$50,MATCH(O670,Settings!$A$41:$A$50,0))&amp;""),"UNMAPPED"))</f>
        <v>Consulting</v>
      </c>
      <c r="Q670" s="38" t="n">
        <f aca="false">IF($M670="",0,N(INDEX($A670:$J670,$Q$6)))</f>
        <v>0</v>
      </c>
      <c r="R670" s="39" t="n">
        <f aca="false">IF($M670="","",INDEX($A670:$J670,$R$6))</f>
        <v>46325</v>
      </c>
      <c r="S670" s="37" t="str">
        <f aca="false">IF($M670="","",IFERROR(INDEX(Settings!$B$27:$B$36,MATCH(L670,Settings!$A$27:$A$36,0))&amp;"","UNMAPPED"))</f>
        <v>Open</v>
      </c>
      <c r="T670" s="37" t="str">
        <f aca="false">IF($M670="","",IF(NOT(ISNUMBER(R670)),"NO DATE",IF(S670="Won",IF(R670&gt;Settings!$B$5,"Backlog","Delivered"),IF(S670="Open",IF(R670&gt;Settings!$B$5,"Pipeline","Overdue"),IF(S670="Lost","Lost","UNMAPPED")))))</f>
        <v>Pipeline</v>
      </c>
      <c r="U670" s="40" t="n">
        <f aca="false">IF(T670="Backlog",1,IF(OR(T670="Pipeline",T670="Overdue"),N(INDEX(Settings!$C$27:$C$36,MATCH(L670,Settings!$A$27:$A$36,0))),0))</f>
        <v>0.2</v>
      </c>
      <c r="V670" s="38" t="n">
        <f aca="false">Q670*U670</f>
        <v>0</v>
      </c>
      <c r="W670" s="41" t="n">
        <f aca="false">IF($M670="","",IF(T670="Overdue",IF(Settings!$B$8="Yes",Settings!$B$7,""),IF(ISNUMBER(R670),DATE(YEAR(R670),MONTH(R670),1),"")))</f>
        <v>46296</v>
      </c>
      <c r="X670" s="38" t="n">
        <f aca="false">IF(AND(OR(T670="Backlog",T670="Pipeline",T670="Overdue"),ISNUMBER(W670)),IF(W670&lt;=Settings!$B$6,V670,0),0)</f>
        <v>0</v>
      </c>
      <c r="Y670" s="38" t="n">
        <f aca="false">IF(AND(OR(T670="Backlog",T670="Pipeline",T670="Overdue"),ISNUMBER(W670)),IF(W670&lt;=Settings!$B$6,Q670,0),0)</f>
        <v>0</v>
      </c>
      <c r="Z670" s="38" t="n">
        <f aca="false">IF(Y670=0,0,IF(T670="Backlog",Q670,Q670*Dashboard!$C$10))</f>
        <v>0</v>
      </c>
      <c r="AA670" s="37" t="n">
        <f aca="false">IF($N670="",0,IF(COUNTIF(Dashboard!$C$13:$C$22,$N670)&gt;0,1,0))</f>
        <v>0</v>
      </c>
      <c r="AB670" s="37" t="str">
        <f aca="false">IF($N670="","",IF(COUNTIF($N$8:$N670,$N670)=1,MAX($AB$7:$AB669)+1,""))</f>
        <v/>
      </c>
    </row>
    <row r="671" customFormat="false" ht="15" hidden="false" customHeight="false" outlineLevel="0" collapsed="false">
      <c r="L671" s="37" t="str">
        <f aca="false">IF(INDEX($A671:$J671,$L$6)&lt;&gt;"",TRIM(LEFT(INDEX($A671:$J671,$L$6),FIND("(",INDEX($A671:$J671,$L$6)&amp;"(")-1)),L670)</f>
        <v>Building Value Proposition</v>
      </c>
      <c r="M671" s="37" t="str">
        <f aca="false">IF(INDEX($A671:$J671,$M$6)="","",INDEX($A671:$J671,$M$6)&amp;"")</f>
        <v/>
      </c>
      <c r="N671" s="37" t="str">
        <f aca="false">IF($M671="","",TRIM(INDEX($A671:$J671,$N$6)&amp;""))</f>
        <v/>
      </c>
      <c r="O671" s="37" t="str">
        <f aca="false">IF($M671="","",TRIM(INDEX($A671:$J671,$O$6)&amp;""))</f>
        <v/>
      </c>
      <c r="P671" s="37" t="str">
        <f aca="false">IF($M671="","",IFERROR(IF(INDEX(Settings!$B$41:$B$50,MATCH(O671,Settings!$A$41:$A$50,0))&amp;""="","UNMAPPED",INDEX(Settings!$B$41:$B$50,MATCH(O671,Settings!$A$41:$A$50,0))&amp;""),"UNMAPPED"))</f>
        <v/>
      </c>
      <c r="Q671" s="38" t="n">
        <f aca="false">IF($M671="",0,N(INDEX($A671:$J671,$Q$6)))</f>
        <v>0</v>
      </c>
      <c r="R671" s="39" t="str">
        <f aca="false">IF($M671="","",INDEX($A671:$J671,$R$6))</f>
        <v/>
      </c>
      <c r="S671" s="37" t="str">
        <f aca="false">IF($M671="","",IFERROR(INDEX(Settings!$B$27:$B$36,MATCH(L671,Settings!$A$27:$A$36,0))&amp;"","UNMAPPED"))</f>
        <v/>
      </c>
      <c r="T671" s="37" t="str">
        <f aca="false">IF($M671="","",IF(NOT(ISNUMBER(R671)),"NO DATE",IF(S671="Won",IF(R671&gt;Settings!$B$5,"Backlog","Delivered"),IF(S671="Open",IF(R671&gt;Settings!$B$5,"Pipeline","Overdue"),IF(S671="Lost","Lost","UNMAPPED")))))</f>
        <v/>
      </c>
      <c r="U671" s="40" t="n">
        <f aca="false">IF(T671="Backlog",1,IF(OR(T671="Pipeline",T671="Overdue"),N(INDEX(Settings!$C$27:$C$36,MATCH(L671,Settings!$A$27:$A$36,0))),0))</f>
        <v>0</v>
      </c>
      <c r="V671" s="38" t="n">
        <f aca="false">Q671*U671</f>
        <v>0</v>
      </c>
      <c r="W671" s="41" t="str">
        <f aca="false">IF($M671="","",IF(T671="Overdue",IF(Settings!$B$8="Yes",Settings!$B$7,""),IF(ISNUMBER(R671),DATE(YEAR(R671),MONTH(R671),1),"")))</f>
        <v/>
      </c>
      <c r="X671" s="38" t="n">
        <f aca="false">IF(AND(OR(T671="Backlog",T671="Pipeline",T671="Overdue"),ISNUMBER(W671)),IF(W671&lt;=Settings!$B$6,V671,0),0)</f>
        <v>0</v>
      </c>
      <c r="Y671" s="38" t="n">
        <f aca="false">IF(AND(OR(T671="Backlog",T671="Pipeline",T671="Overdue"),ISNUMBER(W671)),IF(W671&lt;=Settings!$B$6,Q671,0),0)</f>
        <v>0</v>
      </c>
      <c r="Z671" s="38" t="n">
        <f aca="false">IF(Y671=0,0,IF(T671="Backlog",Q671,Q671*Dashboard!$C$10))</f>
        <v>0</v>
      </c>
      <c r="AA671" s="37" t="n">
        <f aca="false">IF($N671="",0,IF(COUNTIF(Dashboard!$C$13:$C$22,$N671)&gt;0,1,0))</f>
        <v>0</v>
      </c>
      <c r="AB671" s="37" t="str">
        <f aca="false">IF($N671="","",IF(COUNTIF($N$8:$N671,$N671)=1,MAX($AB$7:$AB670)+1,""))</f>
        <v/>
      </c>
    </row>
    <row r="672" customFormat="false" ht="15" hidden="false" customHeight="false" outlineLevel="0" collapsed="false">
      <c r="L672" s="37" t="str">
        <f aca="false">IF(INDEX($A672:$J672,$L$6)&lt;&gt;"",TRIM(LEFT(INDEX($A672:$J672,$L$6),FIND("(",INDEX($A672:$J672,$L$6)&amp;"(")-1)),L671)</f>
        <v>Building Value Proposition</v>
      </c>
      <c r="M672" s="37" t="str">
        <f aca="false">IF(INDEX($A672:$J672,$M$6)="","",INDEX($A672:$J672,$M$6)&amp;"")</f>
        <v/>
      </c>
      <c r="N672" s="37" t="str">
        <f aca="false">IF($M672="","",TRIM(INDEX($A672:$J672,$N$6)&amp;""))</f>
        <v/>
      </c>
      <c r="O672" s="37" t="str">
        <f aca="false">IF($M672="","",TRIM(INDEX($A672:$J672,$O$6)&amp;""))</f>
        <v/>
      </c>
      <c r="P672" s="37" t="str">
        <f aca="false">IF($M672="","",IFERROR(IF(INDEX(Settings!$B$41:$B$50,MATCH(O672,Settings!$A$41:$A$50,0))&amp;""="","UNMAPPED",INDEX(Settings!$B$41:$B$50,MATCH(O672,Settings!$A$41:$A$50,0))&amp;""),"UNMAPPED"))</f>
        <v/>
      </c>
      <c r="Q672" s="38" t="n">
        <f aca="false">IF($M672="",0,N(INDEX($A672:$J672,$Q$6)))</f>
        <v>0</v>
      </c>
      <c r="R672" s="39" t="str">
        <f aca="false">IF($M672="","",INDEX($A672:$J672,$R$6))</f>
        <v/>
      </c>
      <c r="S672" s="37" t="str">
        <f aca="false">IF($M672="","",IFERROR(INDEX(Settings!$B$27:$B$36,MATCH(L672,Settings!$A$27:$A$36,0))&amp;"","UNMAPPED"))</f>
        <v/>
      </c>
      <c r="T672" s="37" t="str">
        <f aca="false">IF($M672="","",IF(NOT(ISNUMBER(R672)),"NO DATE",IF(S672="Won",IF(R672&gt;Settings!$B$5,"Backlog","Delivered"),IF(S672="Open",IF(R672&gt;Settings!$B$5,"Pipeline","Overdue"),IF(S672="Lost","Lost","UNMAPPED")))))</f>
        <v/>
      </c>
      <c r="U672" s="40" t="n">
        <f aca="false">IF(T672="Backlog",1,IF(OR(T672="Pipeline",T672="Overdue"),N(INDEX(Settings!$C$27:$C$36,MATCH(L672,Settings!$A$27:$A$36,0))),0))</f>
        <v>0</v>
      </c>
      <c r="V672" s="38" t="n">
        <f aca="false">Q672*U672</f>
        <v>0</v>
      </c>
      <c r="W672" s="41" t="str">
        <f aca="false">IF($M672="","",IF(T672="Overdue",IF(Settings!$B$8="Yes",Settings!$B$7,""),IF(ISNUMBER(R672),DATE(YEAR(R672),MONTH(R672),1),"")))</f>
        <v/>
      </c>
      <c r="X672" s="38" t="n">
        <f aca="false">IF(AND(OR(T672="Backlog",T672="Pipeline",T672="Overdue"),ISNUMBER(W672)),IF(W672&lt;=Settings!$B$6,V672,0),0)</f>
        <v>0</v>
      </c>
      <c r="Y672" s="38" t="n">
        <f aca="false">IF(AND(OR(T672="Backlog",T672="Pipeline",T672="Overdue"),ISNUMBER(W672)),IF(W672&lt;=Settings!$B$6,Q672,0),0)</f>
        <v>0</v>
      </c>
      <c r="Z672" s="38" t="n">
        <f aca="false">IF(Y672=0,0,IF(T672="Backlog",Q672,Q672*Dashboard!$C$10))</f>
        <v>0</v>
      </c>
      <c r="AA672" s="37" t="n">
        <f aca="false">IF($N672="",0,IF(COUNTIF(Dashboard!$C$13:$C$22,$N672)&gt;0,1,0))</f>
        <v>0</v>
      </c>
      <c r="AB672" s="37" t="str">
        <f aca="false">IF($N672="","",IF(COUNTIF($N$8:$N672,$N672)=1,MAX($AB$7:$AB671)+1,""))</f>
        <v/>
      </c>
    </row>
    <row r="673" customFormat="false" ht="15" hidden="false" customHeight="false" outlineLevel="0" collapsed="false">
      <c r="L673" s="37" t="str">
        <f aca="false">IF(INDEX($A673:$J673,$L$6)&lt;&gt;"",TRIM(LEFT(INDEX($A673:$J673,$L$6),FIND("(",INDEX($A673:$J673,$L$6)&amp;"(")-1)),L672)</f>
        <v>Building Value Proposition</v>
      </c>
      <c r="M673" s="37" t="str">
        <f aca="false">IF(INDEX($A673:$J673,$M$6)="","",INDEX($A673:$J673,$M$6)&amp;"")</f>
        <v/>
      </c>
      <c r="N673" s="37" t="str">
        <f aca="false">IF($M673="","",TRIM(INDEX($A673:$J673,$N$6)&amp;""))</f>
        <v/>
      </c>
      <c r="O673" s="37" t="str">
        <f aca="false">IF($M673="","",TRIM(INDEX($A673:$J673,$O$6)&amp;""))</f>
        <v/>
      </c>
      <c r="P673" s="37" t="str">
        <f aca="false">IF($M673="","",IFERROR(IF(INDEX(Settings!$B$41:$B$50,MATCH(O673,Settings!$A$41:$A$50,0))&amp;""="","UNMAPPED",INDEX(Settings!$B$41:$B$50,MATCH(O673,Settings!$A$41:$A$50,0))&amp;""),"UNMAPPED"))</f>
        <v/>
      </c>
      <c r="Q673" s="38" t="n">
        <f aca="false">IF($M673="",0,N(INDEX($A673:$J673,$Q$6)))</f>
        <v>0</v>
      </c>
      <c r="R673" s="39" t="str">
        <f aca="false">IF($M673="","",INDEX($A673:$J673,$R$6))</f>
        <v/>
      </c>
      <c r="S673" s="37" t="str">
        <f aca="false">IF($M673="","",IFERROR(INDEX(Settings!$B$27:$B$36,MATCH(L673,Settings!$A$27:$A$36,0))&amp;"","UNMAPPED"))</f>
        <v/>
      </c>
      <c r="T673" s="37" t="str">
        <f aca="false">IF($M673="","",IF(NOT(ISNUMBER(R673)),"NO DATE",IF(S673="Won",IF(R673&gt;Settings!$B$5,"Backlog","Delivered"),IF(S673="Open",IF(R673&gt;Settings!$B$5,"Pipeline","Overdue"),IF(S673="Lost","Lost","UNMAPPED")))))</f>
        <v/>
      </c>
      <c r="U673" s="40" t="n">
        <f aca="false">IF(T673="Backlog",1,IF(OR(T673="Pipeline",T673="Overdue"),N(INDEX(Settings!$C$27:$C$36,MATCH(L673,Settings!$A$27:$A$36,0))),0))</f>
        <v>0</v>
      </c>
      <c r="V673" s="38" t="n">
        <f aca="false">Q673*U673</f>
        <v>0</v>
      </c>
      <c r="W673" s="41" t="str">
        <f aca="false">IF($M673="","",IF(T673="Overdue",IF(Settings!$B$8="Yes",Settings!$B$7,""),IF(ISNUMBER(R673),DATE(YEAR(R673),MONTH(R673),1),"")))</f>
        <v/>
      </c>
      <c r="X673" s="38" t="n">
        <f aca="false">IF(AND(OR(T673="Backlog",T673="Pipeline",T673="Overdue"),ISNUMBER(W673)),IF(W673&lt;=Settings!$B$6,V673,0),0)</f>
        <v>0</v>
      </c>
      <c r="Y673" s="38" t="n">
        <f aca="false">IF(AND(OR(T673="Backlog",T673="Pipeline",T673="Overdue"),ISNUMBER(W673)),IF(W673&lt;=Settings!$B$6,Q673,0),0)</f>
        <v>0</v>
      </c>
      <c r="Z673" s="38" t="n">
        <f aca="false">IF(Y673=0,0,IF(T673="Backlog",Q673,Q673*Dashboard!$C$10))</f>
        <v>0</v>
      </c>
      <c r="AA673" s="37" t="n">
        <f aca="false">IF($N673="",0,IF(COUNTIF(Dashboard!$C$13:$C$22,$N673)&gt;0,1,0))</f>
        <v>0</v>
      </c>
      <c r="AB673" s="37" t="str">
        <f aca="false">IF($N673="","",IF(COUNTIF($N$8:$N673,$N673)=1,MAX($AB$7:$AB672)+1,""))</f>
        <v/>
      </c>
    </row>
    <row r="674" customFormat="false" ht="15" hidden="false" customHeight="false" outlineLevel="0" collapsed="false">
      <c r="L674" s="37" t="str">
        <f aca="false">IF(INDEX($A674:$J674,$L$6)&lt;&gt;"",TRIM(LEFT(INDEX($A674:$J674,$L$6),FIND("(",INDEX($A674:$J674,$L$6)&amp;"(")-1)),L673)</f>
        <v>Building Value Proposition</v>
      </c>
      <c r="M674" s="37" t="str">
        <f aca="false">IF(INDEX($A674:$J674,$M$6)="","",INDEX($A674:$J674,$M$6)&amp;"")</f>
        <v/>
      </c>
      <c r="N674" s="37" t="str">
        <f aca="false">IF($M674="","",TRIM(INDEX($A674:$J674,$N$6)&amp;""))</f>
        <v/>
      </c>
      <c r="O674" s="37" t="str">
        <f aca="false">IF($M674="","",TRIM(INDEX($A674:$J674,$O$6)&amp;""))</f>
        <v/>
      </c>
      <c r="P674" s="37" t="str">
        <f aca="false">IF($M674="","",IFERROR(IF(INDEX(Settings!$B$41:$B$50,MATCH(O674,Settings!$A$41:$A$50,0))&amp;""="","UNMAPPED",INDEX(Settings!$B$41:$B$50,MATCH(O674,Settings!$A$41:$A$50,0))&amp;""),"UNMAPPED"))</f>
        <v/>
      </c>
      <c r="Q674" s="38" t="n">
        <f aca="false">IF($M674="",0,N(INDEX($A674:$J674,$Q$6)))</f>
        <v>0</v>
      </c>
      <c r="R674" s="39" t="str">
        <f aca="false">IF($M674="","",INDEX($A674:$J674,$R$6))</f>
        <v/>
      </c>
      <c r="S674" s="37" t="str">
        <f aca="false">IF($M674="","",IFERROR(INDEX(Settings!$B$27:$B$36,MATCH(L674,Settings!$A$27:$A$36,0))&amp;"","UNMAPPED"))</f>
        <v/>
      </c>
      <c r="T674" s="37" t="str">
        <f aca="false">IF($M674="","",IF(NOT(ISNUMBER(R674)),"NO DATE",IF(S674="Won",IF(R674&gt;Settings!$B$5,"Backlog","Delivered"),IF(S674="Open",IF(R674&gt;Settings!$B$5,"Pipeline","Overdue"),IF(S674="Lost","Lost","UNMAPPED")))))</f>
        <v/>
      </c>
      <c r="U674" s="40" t="n">
        <f aca="false">IF(T674="Backlog",1,IF(OR(T674="Pipeline",T674="Overdue"),N(INDEX(Settings!$C$27:$C$36,MATCH(L674,Settings!$A$27:$A$36,0))),0))</f>
        <v>0</v>
      </c>
      <c r="V674" s="38" t="n">
        <f aca="false">Q674*U674</f>
        <v>0</v>
      </c>
      <c r="W674" s="41" t="str">
        <f aca="false">IF($M674="","",IF(T674="Overdue",IF(Settings!$B$8="Yes",Settings!$B$7,""),IF(ISNUMBER(R674),DATE(YEAR(R674),MONTH(R674),1),"")))</f>
        <v/>
      </c>
      <c r="X674" s="38" t="n">
        <f aca="false">IF(AND(OR(T674="Backlog",T674="Pipeline",T674="Overdue"),ISNUMBER(W674)),IF(W674&lt;=Settings!$B$6,V674,0),0)</f>
        <v>0</v>
      </c>
      <c r="Y674" s="38" t="n">
        <f aca="false">IF(AND(OR(T674="Backlog",T674="Pipeline",T674="Overdue"),ISNUMBER(W674)),IF(W674&lt;=Settings!$B$6,Q674,0),0)</f>
        <v>0</v>
      </c>
      <c r="Z674" s="38" t="n">
        <f aca="false">IF(Y674=0,0,IF(T674="Backlog",Q674,Q674*Dashboard!$C$10))</f>
        <v>0</v>
      </c>
      <c r="AA674" s="37" t="n">
        <f aca="false">IF($N674="",0,IF(COUNTIF(Dashboard!$C$13:$C$22,$N674)&gt;0,1,0))</f>
        <v>0</v>
      </c>
      <c r="AB674" s="37" t="str">
        <f aca="false">IF($N674="","",IF(COUNTIF($N$8:$N674,$N674)=1,MAX($AB$7:$AB673)+1,""))</f>
        <v/>
      </c>
    </row>
    <row r="675" customFormat="false" ht="15" hidden="false" customHeight="false" outlineLevel="0" collapsed="false">
      <c r="L675" s="37" t="str">
        <f aca="false">IF(INDEX($A675:$J675,$L$6)&lt;&gt;"",TRIM(LEFT(INDEX($A675:$J675,$L$6),FIND("(",INDEX($A675:$J675,$L$6)&amp;"(")-1)),L674)</f>
        <v>Building Value Proposition</v>
      </c>
      <c r="M675" s="37" t="str">
        <f aca="false">IF(INDEX($A675:$J675,$M$6)="","",INDEX($A675:$J675,$M$6)&amp;"")</f>
        <v/>
      </c>
      <c r="N675" s="37" t="str">
        <f aca="false">IF($M675="","",TRIM(INDEX($A675:$J675,$N$6)&amp;""))</f>
        <v/>
      </c>
      <c r="O675" s="37" t="str">
        <f aca="false">IF($M675="","",TRIM(INDEX($A675:$J675,$O$6)&amp;""))</f>
        <v/>
      </c>
      <c r="P675" s="37" t="str">
        <f aca="false">IF($M675="","",IFERROR(IF(INDEX(Settings!$B$41:$B$50,MATCH(O675,Settings!$A$41:$A$50,0))&amp;""="","UNMAPPED",INDEX(Settings!$B$41:$B$50,MATCH(O675,Settings!$A$41:$A$50,0))&amp;""),"UNMAPPED"))</f>
        <v/>
      </c>
      <c r="Q675" s="38" t="n">
        <f aca="false">IF($M675="",0,N(INDEX($A675:$J675,$Q$6)))</f>
        <v>0</v>
      </c>
      <c r="R675" s="39" t="str">
        <f aca="false">IF($M675="","",INDEX($A675:$J675,$R$6))</f>
        <v/>
      </c>
      <c r="S675" s="37" t="str">
        <f aca="false">IF($M675="","",IFERROR(INDEX(Settings!$B$27:$B$36,MATCH(L675,Settings!$A$27:$A$36,0))&amp;"","UNMAPPED"))</f>
        <v/>
      </c>
      <c r="T675" s="37" t="str">
        <f aca="false">IF($M675="","",IF(NOT(ISNUMBER(R675)),"NO DATE",IF(S675="Won",IF(R675&gt;Settings!$B$5,"Backlog","Delivered"),IF(S675="Open",IF(R675&gt;Settings!$B$5,"Pipeline","Overdue"),IF(S675="Lost","Lost","UNMAPPED")))))</f>
        <v/>
      </c>
      <c r="U675" s="40" t="n">
        <f aca="false">IF(T675="Backlog",1,IF(OR(T675="Pipeline",T675="Overdue"),N(INDEX(Settings!$C$27:$C$36,MATCH(L675,Settings!$A$27:$A$36,0))),0))</f>
        <v>0</v>
      </c>
      <c r="V675" s="38" t="n">
        <f aca="false">Q675*U675</f>
        <v>0</v>
      </c>
      <c r="W675" s="41" t="str">
        <f aca="false">IF($M675="","",IF(T675="Overdue",IF(Settings!$B$8="Yes",Settings!$B$7,""),IF(ISNUMBER(R675),DATE(YEAR(R675),MONTH(R675),1),"")))</f>
        <v/>
      </c>
      <c r="X675" s="38" t="n">
        <f aca="false">IF(AND(OR(T675="Backlog",T675="Pipeline",T675="Overdue"),ISNUMBER(W675)),IF(W675&lt;=Settings!$B$6,V675,0),0)</f>
        <v>0</v>
      </c>
      <c r="Y675" s="38" t="n">
        <f aca="false">IF(AND(OR(T675="Backlog",T675="Pipeline",T675="Overdue"),ISNUMBER(W675)),IF(W675&lt;=Settings!$B$6,Q675,0),0)</f>
        <v>0</v>
      </c>
      <c r="Z675" s="38" t="n">
        <f aca="false">IF(Y675=0,0,IF(T675="Backlog",Q675,Q675*Dashboard!$C$10))</f>
        <v>0</v>
      </c>
      <c r="AA675" s="37" t="n">
        <f aca="false">IF($N675="",0,IF(COUNTIF(Dashboard!$C$13:$C$22,$N675)&gt;0,1,0))</f>
        <v>0</v>
      </c>
      <c r="AB675" s="37" t="str">
        <f aca="false">IF($N675="","",IF(COUNTIF($N$8:$N675,$N675)=1,MAX($AB$7:$AB674)+1,""))</f>
        <v/>
      </c>
    </row>
    <row r="676" customFormat="false" ht="15" hidden="false" customHeight="false" outlineLevel="0" collapsed="false">
      <c r="L676" s="37" t="str">
        <f aca="false">IF(INDEX($A676:$J676,$L$6)&lt;&gt;"",TRIM(LEFT(INDEX($A676:$J676,$L$6),FIND("(",INDEX($A676:$J676,$L$6)&amp;"(")-1)),L675)</f>
        <v>Building Value Proposition</v>
      </c>
      <c r="M676" s="37" t="str">
        <f aca="false">IF(INDEX($A676:$J676,$M$6)="","",INDEX($A676:$J676,$M$6)&amp;"")</f>
        <v/>
      </c>
      <c r="N676" s="37" t="str">
        <f aca="false">IF($M676="","",TRIM(INDEX($A676:$J676,$N$6)&amp;""))</f>
        <v/>
      </c>
      <c r="O676" s="37" t="str">
        <f aca="false">IF($M676="","",TRIM(INDEX($A676:$J676,$O$6)&amp;""))</f>
        <v/>
      </c>
      <c r="P676" s="37" t="str">
        <f aca="false">IF($M676="","",IFERROR(IF(INDEX(Settings!$B$41:$B$50,MATCH(O676,Settings!$A$41:$A$50,0))&amp;""="","UNMAPPED",INDEX(Settings!$B$41:$B$50,MATCH(O676,Settings!$A$41:$A$50,0))&amp;""),"UNMAPPED"))</f>
        <v/>
      </c>
      <c r="Q676" s="38" t="n">
        <f aca="false">IF($M676="",0,N(INDEX($A676:$J676,$Q$6)))</f>
        <v>0</v>
      </c>
      <c r="R676" s="39" t="str">
        <f aca="false">IF($M676="","",INDEX($A676:$J676,$R$6))</f>
        <v/>
      </c>
      <c r="S676" s="37" t="str">
        <f aca="false">IF($M676="","",IFERROR(INDEX(Settings!$B$27:$B$36,MATCH(L676,Settings!$A$27:$A$36,0))&amp;"","UNMAPPED"))</f>
        <v/>
      </c>
      <c r="T676" s="37" t="str">
        <f aca="false">IF($M676="","",IF(NOT(ISNUMBER(R676)),"NO DATE",IF(S676="Won",IF(R676&gt;Settings!$B$5,"Backlog","Delivered"),IF(S676="Open",IF(R676&gt;Settings!$B$5,"Pipeline","Overdue"),IF(S676="Lost","Lost","UNMAPPED")))))</f>
        <v/>
      </c>
      <c r="U676" s="40" t="n">
        <f aca="false">IF(T676="Backlog",1,IF(OR(T676="Pipeline",T676="Overdue"),N(INDEX(Settings!$C$27:$C$36,MATCH(L676,Settings!$A$27:$A$36,0))),0))</f>
        <v>0</v>
      </c>
      <c r="V676" s="38" t="n">
        <f aca="false">Q676*U676</f>
        <v>0</v>
      </c>
      <c r="W676" s="41" t="str">
        <f aca="false">IF($M676="","",IF(T676="Overdue",IF(Settings!$B$8="Yes",Settings!$B$7,""),IF(ISNUMBER(R676),DATE(YEAR(R676),MONTH(R676),1),"")))</f>
        <v/>
      </c>
      <c r="X676" s="38" t="n">
        <f aca="false">IF(AND(OR(T676="Backlog",T676="Pipeline",T676="Overdue"),ISNUMBER(W676)),IF(W676&lt;=Settings!$B$6,V676,0),0)</f>
        <v>0</v>
      </c>
      <c r="Y676" s="38" t="n">
        <f aca="false">IF(AND(OR(T676="Backlog",T676="Pipeline",T676="Overdue"),ISNUMBER(W676)),IF(W676&lt;=Settings!$B$6,Q676,0),0)</f>
        <v>0</v>
      </c>
      <c r="Z676" s="38" t="n">
        <f aca="false">IF(Y676=0,0,IF(T676="Backlog",Q676,Q676*Dashboard!$C$10))</f>
        <v>0</v>
      </c>
      <c r="AA676" s="37" t="n">
        <f aca="false">IF($N676="",0,IF(COUNTIF(Dashboard!$C$13:$C$22,$N676)&gt;0,1,0))</f>
        <v>0</v>
      </c>
      <c r="AB676" s="37" t="str">
        <f aca="false">IF($N676="","",IF(COUNTIF($N$8:$N676,$N676)=1,MAX($AB$7:$AB675)+1,""))</f>
        <v/>
      </c>
    </row>
    <row r="677" customFormat="false" ht="15" hidden="false" customHeight="false" outlineLevel="0" collapsed="false">
      <c r="L677" s="37" t="str">
        <f aca="false">IF(INDEX($A677:$J677,$L$6)&lt;&gt;"",TRIM(LEFT(INDEX($A677:$J677,$L$6),FIND("(",INDEX($A677:$J677,$L$6)&amp;"(")-1)),L676)</f>
        <v>Building Value Proposition</v>
      </c>
      <c r="M677" s="37" t="str">
        <f aca="false">IF(INDEX($A677:$J677,$M$6)="","",INDEX($A677:$J677,$M$6)&amp;"")</f>
        <v/>
      </c>
      <c r="N677" s="37" t="str">
        <f aca="false">IF($M677="","",TRIM(INDEX($A677:$J677,$N$6)&amp;""))</f>
        <v/>
      </c>
      <c r="O677" s="37" t="str">
        <f aca="false">IF($M677="","",TRIM(INDEX($A677:$J677,$O$6)&amp;""))</f>
        <v/>
      </c>
      <c r="P677" s="37" t="str">
        <f aca="false">IF($M677="","",IFERROR(IF(INDEX(Settings!$B$41:$B$50,MATCH(O677,Settings!$A$41:$A$50,0))&amp;""="","UNMAPPED",INDEX(Settings!$B$41:$B$50,MATCH(O677,Settings!$A$41:$A$50,0))&amp;""),"UNMAPPED"))</f>
        <v/>
      </c>
      <c r="Q677" s="38" t="n">
        <f aca="false">IF($M677="",0,N(INDEX($A677:$J677,$Q$6)))</f>
        <v>0</v>
      </c>
      <c r="R677" s="39" t="str">
        <f aca="false">IF($M677="","",INDEX($A677:$J677,$R$6))</f>
        <v/>
      </c>
      <c r="S677" s="37" t="str">
        <f aca="false">IF($M677="","",IFERROR(INDEX(Settings!$B$27:$B$36,MATCH(L677,Settings!$A$27:$A$36,0))&amp;"","UNMAPPED"))</f>
        <v/>
      </c>
      <c r="T677" s="37" t="str">
        <f aca="false">IF($M677="","",IF(NOT(ISNUMBER(R677)),"NO DATE",IF(S677="Won",IF(R677&gt;Settings!$B$5,"Backlog","Delivered"),IF(S677="Open",IF(R677&gt;Settings!$B$5,"Pipeline","Overdue"),IF(S677="Lost","Lost","UNMAPPED")))))</f>
        <v/>
      </c>
      <c r="U677" s="40" t="n">
        <f aca="false">IF(T677="Backlog",1,IF(OR(T677="Pipeline",T677="Overdue"),N(INDEX(Settings!$C$27:$C$36,MATCH(L677,Settings!$A$27:$A$36,0))),0))</f>
        <v>0</v>
      </c>
      <c r="V677" s="38" t="n">
        <f aca="false">Q677*U677</f>
        <v>0</v>
      </c>
      <c r="W677" s="41" t="str">
        <f aca="false">IF($M677="","",IF(T677="Overdue",IF(Settings!$B$8="Yes",Settings!$B$7,""),IF(ISNUMBER(R677),DATE(YEAR(R677),MONTH(R677),1),"")))</f>
        <v/>
      </c>
      <c r="X677" s="38" t="n">
        <f aca="false">IF(AND(OR(T677="Backlog",T677="Pipeline",T677="Overdue"),ISNUMBER(W677)),IF(W677&lt;=Settings!$B$6,V677,0),0)</f>
        <v>0</v>
      </c>
      <c r="Y677" s="38" t="n">
        <f aca="false">IF(AND(OR(T677="Backlog",T677="Pipeline",T677="Overdue"),ISNUMBER(W677)),IF(W677&lt;=Settings!$B$6,Q677,0),0)</f>
        <v>0</v>
      </c>
      <c r="Z677" s="38" t="n">
        <f aca="false">IF(Y677=0,0,IF(T677="Backlog",Q677,Q677*Dashboard!$C$10))</f>
        <v>0</v>
      </c>
      <c r="AA677" s="37" t="n">
        <f aca="false">IF($N677="",0,IF(COUNTIF(Dashboard!$C$13:$C$22,$N677)&gt;0,1,0))</f>
        <v>0</v>
      </c>
      <c r="AB677" s="37" t="str">
        <f aca="false">IF($N677="","",IF(COUNTIF($N$8:$N677,$N677)=1,MAX($AB$7:$AB676)+1,""))</f>
        <v/>
      </c>
    </row>
    <row r="678" customFormat="false" ht="15" hidden="false" customHeight="false" outlineLevel="0" collapsed="false">
      <c r="L678" s="37" t="str">
        <f aca="false">IF(INDEX($A678:$J678,$L$6)&lt;&gt;"",TRIM(LEFT(INDEX($A678:$J678,$L$6),FIND("(",INDEX($A678:$J678,$L$6)&amp;"(")-1)),L677)</f>
        <v>Building Value Proposition</v>
      </c>
      <c r="M678" s="37" t="str">
        <f aca="false">IF(INDEX($A678:$J678,$M$6)="","",INDEX($A678:$J678,$M$6)&amp;"")</f>
        <v/>
      </c>
      <c r="N678" s="37" t="str">
        <f aca="false">IF($M678="","",TRIM(INDEX($A678:$J678,$N$6)&amp;""))</f>
        <v/>
      </c>
      <c r="O678" s="37" t="str">
        <f aca="false">IF($M678="","",TRIM(INDEX($A678:$J678,$O$6)&amp;""))</f>
        <v/>
      </c>
      <c r="P678" s="37" t="str">
        <f aca="false">IF($M678="","",IFERROR(IF(INDEX(Settings!$B$41:$B$50,MATCH(O678,Settings!$A$41:$A$50,0))&amp;""="","UNMAPPED",INDEX(Settings!$B$41:$B$50,MATCH(O678,Settings!$A$41:$A$50,0))&amp;""),"UNMAPPED"))</f>
        <v/>
      </c>
      <c r="Q678" s="38" t="n">
        <f aca="false">IF($M678="",0,N(INDEX($A678:$J678,$Q$6)))</f>
        <v>0</v>
      </c>
      <c r="R678" s="39" t="str">
        <f aca="false">IF($M678="","",INDEX($A678:$J678,$R$6))</f>
        <v/>
      </c>
      <c r="S678" s="37" t="str">
        <f aca="false">IF($M678="","",IFERROR(INDEX(Settings!$B$27:$B$36,MATCH(L678,Settings!$A$27:$A$36,0))&amp;"","UNMAPPED"))</f>
        <v/>
      </c>
      <c r="T678" s="37" t="str">
        <f aca="false">IF($M678="","",IF(NOT(ISNUMBER(R678)),"NO DATE",IF(S678="Won",IF(R678&gt;Settings!$B$5,"Backlog","Delivered"),IF(S678="Open",IF(R678&gt;Settings!$B$5,"Pipeline","Overdue"),IF(S678="Lost","Lost","UNMAPPED")))))</f>
        <v/>
      </c>
      <c r="U678" s="40" t="n">
        <f aca="false">IF(T678="Backlog",1,IF(OR(T678="Pipeline",T678="Overdue"),N(INDEX(Settings!$C$27:$C$36,MATCH(L678,Settings!$A$27:$A$36,0))),0))</f>
        <v>0</v>
      </c>
      <c r="V678" s="38" t="n">
        <f aca="false">Q678*U678</f>
        <v>0</v>
      </c>
      <c r="W678" s="41" t="str">
        <f aca="false">IF($M678="","",IF(T678="Overdue",IF(Settings!$B$8="Yes",Settings!$B$7,""),IF(ISNUMBER(R678),DATE(YEAR(R678),MONTH(R678),1),"")))</f>
        <v/>
      </c>
      <c r="X678" s="38" t="n">
        <f aca="false">IF(AND(OR(T678="Backlog",T678="Pipeline",T678="Overdue"),ISNUMBER(W678)),IF(W678&lt;=Settings!$B$6,V678,0),0)</f>
        <v>0</v>
      </c>
      <c r="Y678" s="38" t="n">
        <f aca="false">IF(AND(OR(T678="Backlog",T678="Pipeline",T678="Overdue"),ISNUMBER(W678)),IF(W678&lt;=Settings!$B$6,Q678,0),0)</f>
        <v>0</v>
      </c>
      <c r="Z678" s="38" t="n">
        <f aca="false">IF(Y678=0,0,IF(T678="Backlog",Q678,Q678*Dashboard!$C$10))</f>
        <v>0</v>
      </c>
      <c r="AA678" s="37" t="n">
        <f aca="false">IF($N678="",0,IF(COUNTIF(Dashboard!$C$13:$C$22,$N678)&gt;0,1,0))</f>
        <v>0</v>
      </c>
      <c r="AB678" s="37" t="str">
        <f aca="false">IF($N678="","",IF(COUNTIF($N$8:$N678,$N678)=1,MAX($AB$7:$AB677)+1,""))</f>
        <v/>
      </c>
    </row>
    <row r="679" customFormat="false" ht="15" hidden="false" customHeight="false" outlineLevel="0" collapsed="false">
      <c r="L679" s="37" t="str">
        <f aca="false">IF(INDEX($A679:$J679,$L$6)&lt;&gt;"",TRIM(LEFT(INDEX($A679:$J679,$L$6),FIND("(",INDEX($A679:$J679,$L$6)&amp;"(")-1)),L678)</f>
        <v>Building Value Proposition</v>
      </c>
      <c r="M679" s="37" t="str">
        <f aca="false">IF(INDEX($A679:$J679,$M$6)="","",INDEX($A679:$J679,$M$6)&amp;"")</f>
        <v/>
      </c>
      <c r="N679" s="37" t="str">
        <f aca="false">IF($M679="","",TRIM(INDEX($A679:$J679,$N$6)&amp;""))</f>
        <v/>
      </c>
      <c r="O679" s="37" t="str">
        <f aca="false">IF($M679="","",TRIM(INDEX($A679:$J679,$O$6)&amp;""))</f>
        <v/>
      </c>
      <c r="P679" s="37" t="str">
        <f aca="false">IF($M679="","",IFERROR(IF(INDEX(Settings!$B$41:$B$50,MATCH(O679,Settings!$A$41:$A$50,0))&amp;""="","UNMAPPED",INDEX(Settings!$B$41:$B$50,MATCH(O679,Settings!$A$41:$A$50,0))&amp;""),"UNMAPPED"))</f>
        <v/>
      </c>
      <c r="Q679" s="38" t="n">
        <f aca="false">IF($M679="",0,N(INDEX($A679:$J679,$Q$6)))</f>
        <v>0</v>
      </c>
      <c r="R679" s="39" t="str">
        <f aca="false">IF($M679="","",INDEX($A679:$J679,$R$6))</f>
        <v/>
      </c>
      <c r="S679" s="37" t="str">
        <f aca="false">IF($M679="","",IFERROR(INDEX(Settings!$B$27:$B$36,MATCH(L679,Settings!$A$27:$A$36,0))&amp;"","UNMAPPED"))</f>
        <v/>
      </c>
      <c r="T679" s="37" t="str">
        <f aca="false">IF($M679="","",IF(NOT(ISNUMBER(R679)),"NO DATE",IF(S679="Won",IF(R679&gt;Settings!$B$5,"Backlog","Delivered"),IF(S679="Open",IF(R679&gt;Settings!$B$5,"Pipeline","Overdue"),IF(S679="Lost","Lost","UNMAPPED")))))</f>
        <v/>
      </c>
      <c r="U679" s="40" t="n">
        <f aca="false">IF(T679="Backlog",1,IF(OR(T679="Pipeline",T679="Overdue"),N(INDEX(Settings!$C$27:$C$36,MATCH(L679,Settings!$A$27:$A$36,0))),0))</f>
        <v>0</v>
      </c>
      <c r="V679" s="38" t="n">
        <f aca="false">Q679*U679</f>
        <v>0</v>
      </c>
      <c r="W679" s="41" t="str">
        <f aca="false">IF($M679="","",IF(T679="Overdue",IF(Settings!$B$8="Yes",Settings!$B$7,""),IF(ISNUMBER(R679),DATE(YEAR(R679),MONTH(R679),1),"")))</f>
        <v/>
      </c>
      <c r="X679" s="38" t="n">
        <f aca="false">IF(AND(OR(T679="Backlog",T679="Pipeline",T679="Overdue"),ISNUMBER(W679)),IF(W679&lt;=Settings!$B$6,V679,0),0)</f>
        <v>0</v>
      </c>
      <c r="Y679" s="38" t="n">
        <f aca="false">IF(AND(OR(T679="Backlog",T679="Pipeline",T679="Overdue"),ISNUMBER(W679)),IF(W679&lt;=Settings!$B$6,Q679,0),0)</f>
        <v>0</v>
      </c>
      <c r="Z679" s="38" t="n">
        <f aca="false">IF(Y679=0,0,IF(T679="Backlog",Q679,Q679*Dashboard!$C$10))</f>
        <v>0</v>
      </c>
      <c r="AA679" s="37" t="n">
        <f aca="false">IF($N679="",0,IF(COUNTIF(Dashboard!$C$13:$C$22,$N679)&gt;0,1,0))</f>
        <v>0</v>
      </c>
      <c r="AB679" s="37" t="str">
        <f aca="false">IF($N679="","",IF(COUNTIF($N$8:$N679,$N679)=1,MAX($AB$7:$AB678)+1,""))</f>
        <v/>
      </c>
    </row>
    <row r="680" customFormat="false" ht="15" hidden="false" customHeight="false" outlineLevel="0" collapsed="false">
      <c r="L680" s="37" t="str">
        <f aca="false">IF(INDEX($A680:$J680,$L$6)&lt;&gt;"",TRIM(LEFT(INDEX($A680:$J680,$L$6),FIND("(",INDEX($A680:$J680,$L$6)&amp;"(")-1)),L679)</f>
        <v>Building Value Proposition</v>
      </c>
      <c r="M680" s="37" t="str">
        <f aca="false">IF(INDEX($A680:$J680,$M$6)="","",INDEX($A680:$J680,$M$6)&amp;"")</f>
        <v/>
      </c>
      <c r="N680" s="37" t="str">
        <f aca="false">IF($M680="","",TRIM(INDEX($A680:$J680,$N$6)&amp;""))</f>
        <v/>
      </c>
      <c r="O680" s="37" t="str">
        <f aca="false">IF($M680="","",TRIM(INDEX($A680:$J680,$O$6)&amp;""))</f>
        <v/>
      </c>
      <c r="P680" s="37" t="str">
        <f aca="false">IF($M680="","",IFERROR(IF(INDEX(Settings!$B$41:$B$50,MATCH(O680,Settings!$A$41:$A$50,0))&amp;""="","UNMAPPED",INDEX(Settings!$B$41:$B$50,MATCH(O680,Settings!$A$41:$A$50,0))&amp;""),"UNMAPPED"))</f>
        <v/>
      </c>
      <c r="Q680" s="38" t="n">
        <f aca="false">IF($M680="",0,N(INDEX($A680:$J680,$Q$6)))</f>
        <v>0</v>
      </c>
      <c r="R680" s="39" t="str">
        <f aca="false">IF($M680="","",INDEX($A680:$J680,$R$6))</f>
        <v/>
      </c>
      <c r="S680" s="37" t="str">
        <f aca="false">IF($M680="","",IFERROR(INDEX(Settings!$B$27:$B$36,MATCH(L680,Settings!$A$27:$A$36,0))&amp;"","UNMAPPED"))</f>
        <v/>
      </c>
      <c r="T680" s="37" t="str">
        <f aca="false">IF($M680="","",IF(NOT(ISNUMBER(R680)),"NO DATE",IF(S680="Won",IF(R680&gt;Settings!$B$5,"Backlog","Delivered"),IF(S680="Open",IF(R680&gt;Settings!$B$5,"Pipeline","Overdue"),IF(S680="Lost","Lost","UNMAPPED")))))</f>
        <v/>
      </c>
      <c r="U680" s="40" t="n">
        <f aca="false">IF(T680="Backlog",1,IF(OR(T680="Pipeline",T680="Overdue"),N(INDEX(Settings!$C$27:$C$36,MATCH(L680,Settings!$A$27:$A$36,0))),0))</f>
        <v>0</v>
      </c>
      <c r="V680" s="38" t="n">
        <f aca="false">Q680*U680</f>
        <v>0</v>
      </c>
      <c r="W680" s="41" t="str">
        <f aca="false">IF($M680="","",IF(T680="Overdue",IF(Settings!$B$8="Yes",Settings!$B$7,""),IF(ISNUMBER(R680),DATE(YEAR(R680),MONTH(R680),1),"")))</f>
        <v/>
      </c>
      <c r="X680" s="38" t="n">
        <f aca="false">IF(AND(OR(T680="Backlog",T680="Pipeline",T680="Overdue"),ISNUMBER(W680)),IF(W680&lt;=Settings!$B$6,V680,0),0)</f>
        <v>0</v>
      </c>
      <c r="Y680" s="38" t="n">
        <f aca="false">IF(AND(OR(T680="Backlog",T680="Pipeline",T680="Overdue"),ISNUMBER(W680)),IF(W680&lt;=Settings!$B$6,Q680,0),0)</f>
        <v>0</v>
      </c>
      <c r="Z680" s="38" t="n">
        <f aca="false">IF(Y680=0,0,IF(T680="Backlog",Q680,Q680*Dashboard!$C$10))</f>
        <v>0</v>
      </c>
      <c r="AA680" s="37" t="n">
        <f aca="false">IF($N680="",0,IF(COUNTIF(Dashboard!$C$13:$C$22,$N680)&gt;0,1,0))</f>
        <v>0</v>
      </c>
      <c r="AB680" s="37" t="str">
        <f aca="false">IF($N680="","",IF(COUNTIF($N$8:$N680,$N680)=1,MAX($AB$7:$AB679)+1,""))</f>
        <v/>
      </c>
    </row>
    <row r="681" customFormat="false" ht="15" hidden="false" customHeight="false" outlineLevel="0" collapsed="false">
      <c r="L681" s="37" t="str">
        <f aca="false">IF(INDEX($A681:$J681,$L$6)&lt;&gt;"",TRIM(LEFT(INDEX($A681:$J681,$L$6),FIND("(",INDEX($A681:$J681,$L$6)&amp;"(")-1)),L680)</f>
        <v>Building Value Proposition</v>
      </c>
      <c r="M681" s="37" t="str">
        <f aca="false">IF(INDEX($A681:$J681,$M$6)="","",INDEX($A681:$J681,$M$6)&amp;"")</f>
        <v/>
      </c>
      <c r="N681" s="37" t="str">
        <f aca="false">IF($M681="","",TRIM(INDEX($A681:$J681,$N$6)&amp;""))</f>
        <v/>
      </c>
      <c r="O681" s="37" t="str">
        <f aca="false">IF($M681="","",TRIM(INDEX($A681:$J681,$O$6)&amp;""))</f>
        <v/>
      </c>
      <c r="P681" s="37" t="str">
        <f aca="false">IF($M681="","",IFERROR(IF(INDEX(Settings!$B$41:$B$50,MATCH(O681,Settings!$A$41:$A$50,0))&amp;""="","UNMAPPED",INDEX(Settings!$B$41:$B$50,MATCH(O681,Settings!$A$41:$A$50,0))&amp;""),"UNMAPPED"))</f>
        <v/>
      </c>
      <c r="Q681" s="38" t="n">
        <f aca="false">IF($M681="",0,N(INDEX($A681:$J681,$Q$6)))</f>
        <v>0</v>
      </c>
      <c r="R681" s="39" t="str">
        <f aca="false">IF($M681="","",INDEX($A681:$J681,$R$6))</f>
        <v/>
      </c>
      <c r="S681" s="37" t="str">
        <f aca="false">IF($M681="","",IFERROR(INDEX(Settings!$B$27:$B$36,MATCH(L681,Settings!$A$27:$A$36,0))&amp;"","UNMAPPED"))</f>
        <v/>
      </c>
      <c r="T681" s="37" t="str">
        <f aca="false">IF($M681="","",IF(NOT(ISNUMBER(R681)),"NO DATE",IF(S681="Won",IF(R681&gt;Settings!$B$5,"Backlog","Delivered"),IF(S681="Open",IF(R681&gt;Settings!$B$5,"Pipeline","Overdue"),IF(S681="Lost","Lost","UNMAPPED")))))</f>
        <v/>
      </c>
      <c r="U681" s="40" t="n">
        <f aca="false">IF(T681="Backlog",1,IF(OR(T681="Pipeline",T681="Overdue"),N(INDEX(Settings!$C$27:$C$36,MATCH(L681,Settings!$A$27:$A$36,0))),0))</f>
        <v>0</v>
      </c>
      <c r="V681" s="38" t="n">
        <f aca="false">Q681*U681</f>
        <v>0</v>
      </c>
      <c r="W681" s="41" t="str">
        <f aca="false">IF($M681="","",IF(T681="Overdue",IF(Settings!$B$8="Yes",Settings!$B$7,""),IF(ISNUMBER(R681),DATE(YEAR(R681),MONTH(R681),1),"")))</f>
        <v/>
      </c>
      <c r="X681" s="38" t="n">
        <f aca="false">IF(AND(OR(T681="Backlog",T681="Pipeline",T681="Overdue"),ISNUMBER(W681)),IF(W681&lt;=Settings!$B$6,V681,0),0)</f>
        <v>0</v>
      </c>
      <c r="Y681" s="38" t="n">
        <f aca="false">IF(AND(OR(T681="Backlog",T681="Pipeline",T681="Overdue"),ISNUMBER(W681)),IF(W681&lt;=Settings!$B$6,Q681,0),0)</f>
        <v>0</v>
      </c>
      <c r="Z681" s="38" t="n">
        <f aca="false">IF(Y681=0,0,IF(T681="Backlog",Q681,Q681*Dashboard!$C$10))</f>
        <v>0</v>
      </c>
      <c r="AA681" s="37" t="n">
        <f aca="false">IF($N681="",0,IF(COUNTIF(Dashboard!$C$13:$C$22,$N681)&gt;0,1,0))</f>
        <v>0</v>
      </c>
      <c r="AB681" s="37" t="str">
        <f aca="false">IF($N681="","",IF(COUNTIF($N$8:$N681,$N681)=1,MAX($AB$7:$AB680)+1,""))</f>
        <v/>
      </c>
    </row>
    <row r="682" customFormat="false" ht="15" hidden="false" customHeight="false" outlineLevel="0" collapsed="false">
      <c r="L682" s="37" t="str">
        <f aca="false">IF(INDEX($A682:$J682,$L$6)&lt;&gt;"",TRIM(LEFT(INDEX($A682:$J682,$L$6),FIND("(",INDEX($A682:$J682,$L$6)&amp;"(")-1)),L681)</f>
        <v>Building Value Proposition</v>
      </c>
      <c r="M682" s="37" t="str">
        <f aca="false">IF(INDEX($A682:$J682,$M$6)="","",INDEX($A682:$J682,$M$6)&amp;"")</f>
        <v/>
      </c>
      <c r="N682" s="37" t="str">
        <f aca="false">IF($M682="","",TRIM(INDEX($A682:$J682,$N$6)&amp;""))</f>
        <v/>
      </c>
      <c r="O682" s="37" t="str">
        <f aca="false">IF($M682="","",TRIM(INDEX($A682:$J682,$O$6)&amp;""))</f>
        <v/>
      </c>
      <c r="P682" s="37" t="str">
        <f aca="false">IF($M682="","",IFERROR(IF(INDEX(Settings!$B$41:$B$50,MATCH(O682,Settings!$A$41:$A$50,0))&amp;""="","UNMAPPED",INDEX(Settings!$B$41:$B$50,MATCH(O682,Settings!$A$41:$A$50,0))&amp;""),"UNMAPPED"))</f>
        <v/>
      </c>
      <c r="Q682" s="38" t="n">
        <f aca="false">IF($M682="",0,N(INDEX($A682:$J682,$Q$6)))</f>
        <v>0</v>
      </c>
      <c r="R682" s="39" t="str">
        <f aca="false">IF($M682="","",INDEX($A682:$J682,$R$6))</f>
        <v/>
      </c>
      <c r="S682" s="37" t="str">
        <f aca="false">IF($M682="","",IFERROR(INDEX(Settings!$B$27:$B$36,MATCH(L682,Settings!$A$27:$A$36,0))&amp;"","UNMAPPED"))</f>
        <v/>
      </c>
      <c r="T682" s="37" t="str">
        <f aca="false">IF($M682="","",IF(NOT(ISNUMBER(R682)),"NO DATE",IF(S682="Won",IF(R682&gt;Settings!$B$5,"Backlog","Delivered"),IF(S682="Open",IF(R682&gt;Settings!$B$5,"Pipeline","Overdue"),IF(S682="Lost","Lost","UNMAPPED")))))</f>
        <v/>
      </c>
      <c r="U682" s="40" t="n">
        <f aca="false">IF(T682="Backlog",1,IF(OR(T682="Pipeline",T682="Overdue"),N(INDEX(Settings!$C$27:$C$36,MATCH(L682,Settings!$A$27:$A$36,0))),0))</f>
        <v>0</v>
      </c>
      <c r="V682" s="38" t="n">
        <f aca="false">Q682*U682</f>
        <v>0</v>
      </c>
      <c r="W682" s="41" t="str">
        <f aca="false">IF($M682="","",IF(T682="Overdue",IF(Settings!$B$8="Yes",Settings!$B$7,""),IF(ISNUMBER(R682),DATE(YEAR(R682),MONTH(R682),1),"")))</f>
        <v/>
      </c>
      <c r="X682" s="38" t="n">
        <f aca="false">IF(AND(OR(T682="Backlog",T682="Pipeline",T682="Overdue"),ISNUMBER(W682)),IF(W682&lt;=Settings!$B$6,V682,0),0)</f>
        <v>0</v>
      </c>
      <c r="Y682" s="38" t="n">
        <f aca="false">IF(AND(OR(T682="Backlog",T682="Pipeline",T682="Overdue"),ISNUMBER(W682)),IF(W682&lt;=Settings!$B$6,Q682,0),0)</f>
        <v>0</v>
      </c>
      <c r="Z682" s="38" t="n">
        <f aca="false">IF(Y682=0,0,IF(T682="Backlog",Q682,Q682*Dashboard!$C$10))</f>
        <v>0</v>
      </c>
      <c r="AA682" s="37" t="n">
        <f aca="false">IF($N682="",0,IF(COUNTIF(Dashboard!$C$13:$C$22,$N682)&gt;0,1,0))</f>
        <v>0</v>
      </c>
      <c r="AB682" s="37" t="str">
        <f aca="false">IF($N682="","",IF(COUNTIF($N$8:$N682,$N682)=1,MAX($AB$7:$AB681)+1,""))</f>
        <v/>
      </c>
    </row>
    <row r="683" customFormat="false" ht="15" hidden="false" customHeight="false" outlineLevel="0" collapsed="false">
      <c r="L683" s="37" t="str">
        <f aca="false">IF(INDEX($A683:$J683,$L$6)&lt;&gt;"",TRIM(LEFT(INDEX($A683:$J683,$L$6),FIND("(",INDEX($A683:$J683,$L$6)&amp;"(")-1)),L682)</f>
        <v>Building Value Proposition</v>
      </c>
      <c r="M683" s="37" t="str">
        <f aca="false">IF(INDEX($A683:$J683,$M$6)="","",INDEX($A683:$J683,$M$6)&amp;"")</f>
        <v/>
      </c>
      <c r="N683" s="37" t="str">
        <f aca="false">IF($M683="","",TRIM(INDEX($A683:$J683,$N$6)&amp;""))</f>
        <v/>
      </c>
      <c r="O683" s="37" t="str">
        <f aca="false">IF($M683="","",TRIM(INDEX($A683:$J683,$O$6)&amp;""))</f>
        <v/>
      </c>
      <c r="P683" s="37" t="str">
        <f aca="false">IF($M683="","",IFERROR(IF(INDEX(Settings!$B$41:$B$50,MATCH(O683,Settings!$A$41:$A$50,0))&amp;""="","UNMAPPED",INDEX(Settings!$B$41:$B$50,MATCH(O683,Settings!$A$41:$A$50,0))&amp;""),"UNMAPPED"))</f>
        <v/>
      </c>
      <c r="Q683" s="38" t="n">
        <f aca="false">IF($M683="",0,N(INDEX($A683:$J683,$Q$6)))</f>
        <v>0</v>
      </c>
      <c r="R683" s="39" t="str">
        <f aca="false">IF($M683="","",INDEX($A683:$J683,$R$6))</f>
        <v/>
      </c>
      <c r="S683" s="37" t="str">
        <f aca="false">IF($M683="","",IFERROR(INDEX(Settings!$B$27:$B$36,MATCH(L683,Settings!$A$27:$A$36,0))&amp;"","UNMAPPED"))</f>
        <v/>
      </c>
      <c r="T683" s="37" t="str">
        <f aca="false">IF($M683="","",IF(NOT(ISNUMBER(R683)),"NO DATE",IF(S683="Won",IF(R683&gt;Settings!$B$5,"Backlog","Delivered"),IF(S683="Open",IF(R683&gt;Settings!$B$5,"Pipeline","Overdue"),IF(S683="Lost","Lost","UNMAPPED")))))</f>
        <v/>
      </c>
      <c r="U683" s="40" t="n">
        <f aca="false">IF(T683="Backlog",1,IF(OR(T683="Pipeline",T683="Overdue"),N(INDEX(Settings!$C$27:$C$36,MATCH(L683,Settings!$A$27:$A$36,0))),0))</f>
        <v>0</v>
      </c>
      <c r="V683" s="38" t="n">
        <f aca="false">Q683*U683</f>
        <v>0</v>
      </c>
      <c r="W683" s="41" t="str">
        <f aca="false">IF($M683="","",IF(T683="Overdue",IF(Settings!$B$8="Yes",Settings!$B$7,""),IF(ISNUMBER(R683),DATE(YEAR(R683),MONTH(R683),1),"")))</f>
        <v/>
      </c>
      <c r="X683" s="38" t="n">
        <f aca="false">IF(AND(OR(T683="Backlog",T683="Pipeline",T683="Overdue"),ISNUMBER(W683)),IF(W683&lt;=Settings!$B$6,V683,0),0)</f>
        <v>0</v>
      </c>
      <c r="Y683" s="38" t="n">
        <f aca="false">IF(AND(OR(T683="Backlog",T683="Pipeline",T683="Overdue"),ISNUMBER(W683)),IF(W683&lt;=Settings!$B$6,Q683,0),0)</f>
        <v>0</v>
      </c>
      <c r="Z683" s="38" t="n">
        <f aca="false">IF(Y683=0,0,IF(T683="Backlog",Q683,Q683*Dashboard!$C$10))</f>
        <v>0</v>
      </c>
      <c r="AA683" s="37" t="n">
        <f aca="false">IF($N683="",0,IF(COUNTIF(Dashboard!$C$13:$C$22,$N683)&gt;0,1,0))</f>
        <v>0</v>
      </c>
      <c r="AB683" s="37" t="str">
        <f aca="false">IF($N683="","",IF(COUNTIF($N$8:$N683,$N683)=1,MAX($AB$7:$AB682)+1,""))</f>
        <v/>
      </c>
    </row>
    <row r="684" customFormat="false" ht="15" hidden="false" customHeight="false" outlineLevel="0" collapsed="false">
      <c r="L684" s="37" t="str">
        <f aca="false">IF(INDEX($A684:$J684,$L$6)&lt;&gt;"",TRIM(LEFT(INDEX($A684:$J684,$L$6),FIND("(",INDEX($A684:$J684,$L$6)&amp;"(")-1)),L683)</f>
        <v>Building Value Proposition</v>
      </c>
      <c r="M684" s="37" t="str">
        <f aca="false">IF(INDEX($A684:$J684,$M$6)="","",INDEX($A684:$J684,$M$6)&amp;"")</f>
        <v/>
      </c>
      <c r="N684" s="37" t="str">
        <f aca="false">IF($M684="","",TRIM(INDEX($A684:$J684,$N$6)&amp;""))</f>
        <v/>
      </c>
      <c r="O684" s="37" t="str">
        <f aca="false">IF($M684="","",TRIM(INDEX($A684:$J684,$O$6)&amp;""))</f>
        <v/>
      </c>
      <c r="P684" s="37" t="str">
        <f aca="false">IF($M684="","",IFERROR(IF(INDEX(Settings!$B$41:$B$50,MATCH(O684,Settings!$A$41:$A$50,0))&amp;""="","UNMAPPED",INDEX(Settings!$B$41:$B$50,MATCH(O684,Settings!$A$41:$A$50,0))&amp;""),"UNMAPPED"))</f>
        <v/>
      </c>
      <c r="Q684" s="38" t="n">
        <f aca="false">IF($M684="",0,N(INDEX($A684:$J684,$Q$6)))</f>
        <v>0</v>
      </c>
      <c r="R684" s="39" t="str">
        <f aca="false">IF($M684="","",INDEX($A684:$J684,$R$6))</f>
        <v/>
      </c>
      <c r="S684" s="37" t="str">
        <f aca="false">IF($M684="","",IFERROR(INDEX(Settings!$B$27:$B$36,MATCH(L684,Settings!$A$27:$A$36,0))&amp;"","UNMAPPED"))</f>
        <v/>
      </c>
      <c r="T684" s="37" t="str">
        <f aca="false">IF($M684="","",IF(NOT(ISNUMBER(R684)),"NO DATE",IF(S684="Won",IF(R684&gt;Settings!$B$5,"Backlog","Delivered"),IF(S684="Open",IF(R684&gt;Settings!$B$5,"Pipeline","Overdue"),IF(S684="Lost","Lost","UNMAPPED")))))</f>
        <v/>
      </c>
      <c r="U684" s="40" t="n">
        <f aca="false">IF(T684="Backlog",1,IF(OR(T684="Pipeline",T684="Overdue"),N(INDEX(Settings!$C$27:$C$36,MATCH(L684,Settings!$A$27:$A$36,0))),0))</f>
        <v>0</v>
      </c>
      <c r="V684" s="38" t="n">
        <f aca="false">Q684*U684</f>
        <v>0</v>
      </c>
      <c r="W684" s="41" t="str">
        <f aca="false">IF($M684="","",IF(T684="Overdue",IF(Settings!$B$8="Yes",Settings!$B$7,""),IF(ISNUMBER(R684),DATE(YEAR(R684),MONTH(R684),1),"")))</f>
        <v/>
      </c>
      <c r="X684" s="38" t="n">
        <f aca="false">IF(AND(OR(T684="Backlog",T684="Pipeline",T684="Overdue"),ISNUMBER(W684)),IF(W684&lt;=Settings!$B$6,V684,0),0)</f>
        <v>0</v>
      </c>
      <c r="Y684" s="38" t="n">
        <f aca="false">IF(AND(OR(T684="Backlog",T684="Pipeline",T684="Overdue"),ISNUMBER(W684)),IF(W684&lt;=Settings!$B$6,Q684,0),0)</f>
        <v>0</v>
      </c>
      <c r="Z684" s="38" t="n">
        <f aca="false">IF(Y684=0,0,IF(T684="Backlog",Q684,Q684*Dashboard!$C$10))</f>
        <v>0</v>
      </c>
      <c r="AA684" s="37" t="n">
        <f aca="false">IF($N684="",0,IF(COUNTIF(Dashboard!$C$13:$C$22,$N684)&gt;0,1,0))</f>
        <v>0</v>
      </c>
      <c r="AB684" s="37" t="str">
        <f aca="false">IF($N684="","",IF(COUNTIF($N$8:$N684,$N684)=1,MAX($AB$7:$AB683)+1,""))</f>
        <v/>
      </c>
    </row>
    <row r="685" customFormat="false" ht="15" hidden="false" customHeight="false" outlineLevel="0" collapsed="false">
      <c r="L685" s="37" t="str">
        <f aca="false">IF(INDEX($A685:$J685,$L$6)&lt;&gt;"",TRIM(LEFT(INDEX($A685:$J685,$L$6),FIND("(",INDEX($A685:$J685,$L$6)&amp;"(")-1)),L684)</f>
        <v>Building Value Proposition</v>
      </c>
      <c r="M685" s="37" t="str">
        <f aca="false">IF(INDEX($A685:$J685,$M$6)="","",INDEX($A685:$J685,$M$6)&amp;"")</f>
        <v/>
      </c>
      <c r="N685" s="37" t="str">
        <f aca="false">IF($M685="","",TRIM(INDEX($A685:$J685,$N$6)&amp;""))</f>
        <v/>
      </c>
      <c r="O685" s="37" t="str">
        <f aca="false">IF($M685="","",TRIM(INDEX($A685:$J685,$O$6)&amp;""))</f>
        <v/>
      </c>
      <c r="P685" s="37" t="str">
        <f aca="false">IF($M685="","",IFERROR(IF(INDEX(Settings!$B$41:$B$50,MATCH(O685,Settings!$A$41:$A$50,0))&amp;""="","UNMAPPED",INDEX(Settings!$B$41:$B$50,MATCH(O685,Settings!$A$41:$A$50,0))&amp;""),"UNMAPPED"))</f>
        <v/>
      </c>
      <c r="Q685" s="38" t="n">
        <f aca="false">IF($M685="",0,N(INDEX($A685:$J685,$Q$6)))</f>
        <v>0</v>
      </c>
      <c r="R685" s="39" t="str">
        <f aca="false">IF($M685="","",INDEX($A685:$J685,$R$6))</f>
        <v/>
      </c>
      <c r="S685" s="37" t="str">
        <f aca="false">IF($M685="","",IFERROR(INDEX(Settings!$B$27:$B$36,MATCH(L685,Settings!$A$27:$A$36,0))&amp;"","UNMAPPED"))</f>
        <v/>
      </c>
      <c r="T685" s="37" t="str">
        <f aca="false">IF($M685="","",IF(NOT(ISNUMBER(R685)),"NO DATE",IF(S685="Won",IF(R685&gt;Settings!$B$5,"Backlog","Delivered"),IF(S685="Open",IF(R685&gt;Settings!$B$5,"Pipeline","Overdue"),IF(S685="Lost","Lost","UNMAPPED")))))</f>
        <v/>
      </c>
      <c r="U685" s="40" t="n">
        <f aca="false">IF(T685="Backlog",1,IF(OR(T685="Pipeline",T685="Overdue"),N(INDEX(Settings!$C$27:$C$36,MATCH(L685,Settings!$A$27:$A$36,0))),0))</f>
        <v>0</v>
      </c>
      <c r="V685" s="38" t="n">
        <f aca="false">Q685*U685</f>
        <v>0</v>
      </c>
      <c r="W685" s="41" t="str">
        <f aca="false">IF($M685="","",IF(T685="Overdue",IF(Settings!$B$8="Yes",Settings!$B$7,""),IF(ISNUMBER(R685),DATE(YEAR(R685),MONTH(R685),1),"")))</f>
        <v/>
      </c>
      <c r="X685" s="38" t="n">
        <f aca="false">IF(AND(OR(T685="Backlog",T685="Pipeline",T685="Overdue"),ISNUMBER(W685)),IF(W685&lt;=Settings!$B$6,V685,0),0)</f>
        <v>0</v>
      </c>
      <c r="Y685" s="38" t="n">
        <f aca="false">IF(AND(OR(T685="Backlog",T685="Pipeline",T685="Overdue"),ISNUMBER(W685)),IF(W685&lt;=Settings!$B$6,Q685,0),0)</f>
        <v>0</v>
      </c>
      <c r="Z685" s="38" t="n">
        <f aca="false">IF(Y685=0,0,IF(T685="Backlog",Q685,Q685*Dashboard!$C$10))</f>
        <v>0</v>
      </c>
      <c r="AA685" s="37" t="n">
        <f aca="false">IF($N685="",0,IF(COUNTIF(Dashboard!$C$13:$C$22,$N685)&gt;0,1,0))</f>
        <v>0</v>
      </c>
      <c r="AB685" s="37" t="str">
        <f aca="false">IF($N685="","",IF(COUNTIF($N$8:$N685,$N685)=1,MAX($AB$7:$AB684)+1,""))</f>
        <v/>
      </c>
    </row>
    <row r="686" customFormat="false" ht="15" hidden="false" customHeight="false" outlineLevel="0" collapsed="false">
      <c r="L686" s="37" t="str">
        <f aca="false">IF(INDEX($A686:$J686,$L$6)&lt;&gt;"",TRIM(LEFT(INDEX($A686:$J686,$L$6),FIND("(",INDEX($A686:$J686,$L$6)&amp;"(")-1)),L685)</f>
        <v>Building Value Proposition</v>
      </c>
      <c r="M686" s="37" t="str">
        <f aca="false">IF(INDEX($A686:$J686,$M$6)="","",INDEX($A686:$J686,$M$6)&amp;"")</f>
        <v/>
      </c>
      <c r="N686" s="37" t="str">
        <f aca="false">IF($M686="","",TRIM(INDEX($A686:$J686,$N$6)&amp;""))</f>
        <v/>
      </c>
      <c r="O686" s="37" t="str">
        <f aca="false">IF($M686="","",TRIM(INDEX($A686:$J686,$O$6)&amp;""))</f>
        <v/>
      </c>
      <c r="P686" s="37" t="str">
        <f aca="false">IF($M686="","",IFERROR(IF(INDEX(Settings!$B$41:$B$50,MATCH(O686,Settings!$A$41:$A$50,0))&amp;""="","UNMAPPED",INDEX(Settings!$B$41:$B$50,MATCH(O686,Settings!$A$41:$A$50,0))&amp;""),"UNMAPPED"))</f>
        <v/>
      </c>
      <c r="Q686" s="38" t="n">
        <f aca="false">IF($M686="",0,N(INDEX($A686:$J686,$Q$6)))</f>
        <v>0</v>
      </c>
      <c r="R686" s="39" t="str">
        <f aca="false">IF($M686="","",INDEX($A686:$J686,$R$6))</f>
        <v/>
      </c>
      <c r="S686" s="37" t="str">
        <f aca="false">IF($M686="","",IFERROR(INDEX(Settings!$B$27:$B$36,MATCH(L686,Settings!$A$27:$A$36,0))&amp;"","UNMAPPED"))</f>
        <v/>
      </c>
      <c r="T686" s="37" t="str">
        <f aca="false">IF($M686="","",IF(NOT(ISNUMBER(R686)),"NO DATE",IF(S686="Won",IF(R686&gt;Settings!$B$5,"Backlog","Delivered"),IF(S686="Open",IF(R686&gt;Settings!$B$5,"Pipeline","Overdue"),IF(S686="Lost","Lost","UNMAPPED")))))</f>
        <v/>
      </c>
      <c r="U686" s="40" t="n">
        <f aca="false">IF(T686="Backlog",1,IF(OR(T686="Pipeline",T686="Overdue"),N(INDEX(Settings!$C$27:$C$36,MATCH(L686,Settings!$A$27:$A$36,0))),0))</f>
        <v>0</v>
      </c>
      <c r="V686" s="38" t="n">
        <f aca="false">Q686*U686</f>
        <v>0</v>
      </c>
      <c r="W686" s="41" t="str">
        <f aca="false">IF($M686="","",IF(T686="Overdue",IF(Settings!$B$8="Yes",Settings!$B$7,""),IF(ISNUMBER(R686),DATE(YEAR(R686),MONTH(R686),1),"")))</f>
        <v/>
      </c>
      <c r="X686" s="38" t="n">
        <f aca="false">IF(AND(OR(T686="Backlog",T686="Pipeline",T686="Overdue"),ISNUMBER(W686)),IF(W686&lt;=Settings!$B$6,V686,0),0)</f>
        <v>0</v>
      </c>
      <c r="Y686" s="38" t="n">
        <f aca="false">IF(AND(OR(T686="Backlog",T686="Pipeline",T686="Overdue"),ISNUMBER(W686)),IF(W686&lt;=Settings!$B$6,Q686,0),0)</f>
        <v>0</v>
      </c>
      <c r="Z686" s="38" t="n">
        <f aca="false">IF(Y686=0,0,IF(T686="Backlog",Q686,Q686*Dashboard!$C$10))</f>
        <v>0</v>
      </c>
      <c r="AA686" s="37" t="n">
        <f aca="false">IF($N686="",0,IF(COUNTIF(Dashboard!$C$13:$C$22,$N686)&gt;0,1,0))</f>
        <v>0</v>
      </c>
      <c r="AB686" s="37" t="str">
        <f aca="false">IF($N686="","",IF(COUNTIF($N$8:$N686,$N686)=1,MAX($AB$7:$AB685)+1,""))</f>
        <v/>
      </c>
    </row>
    <row r="687" customFormat="false" ht="15" hidden="false" customHeight="false" outlineLevel="0" collapsed="false">
      <c r="L687" s="37" t="str">
        <f aca="false">IF(INDEX($A687:$J687,$L$6)&lt;&gt;"",TRIM(LEFT(INDEX($A687:$J687,$L$6),FIND("(",INDEX($A687:$J687,$L$6)&amp;"(")-1)),L686)</f>
        <v>Building Value Proposition</v>
      </c>
      <c r="M687" s="37" t="str">
        <f aca="false">IF(INDEX($A687:$J687,$M$6)="","",INDEX($A687:$J687,$M$6)&amp;"")</f>
        <v/>
      </c>
      <c r="N687" s="37" t="str">
        <f aca="false">IF($M687="","",TRIM(INDEX($A687:$J687,$N$6)&amp;""))</f>
        <v/>
      </c>
      <c r="O687" s="37" t="str">
        <f aca="false">IF($M687="","",TRIM(INDEX($A687:$J687,$O$6)&amp;""))</f>
        <v/>
      </c>
      <c r="P687" s="37" t="str">
        <f aca="false">IF($M687="","",IFERROR(IF(INDEX(Settings!$B$41:$B$50,MATCH(O687,Settings!$A$41:$A$50,0))&amp;""="","UNMAPPED",INDEX(Settings!$B$41:$B$50,MATCH(O687,Settings!$A$41:$A$50,0))&amp;""),"UNMAPPED"))</f>
        <v/>
      </c>
      <c r="Q687" s="38" t="n">
        <f aca="false">IF($M687="",0,N(INDEX($A687:$J687,$Q$6)))</f>
        <v>0</v>
      </c>
      <c r="R687" s="39" t="str">
        <f aca="false">IF($M687="","",INDEX($A687:$J687,$R$6))</f>
        <v/>
      </c>
      <c r="S687" s="37" t="str">
        <f aca="false">IF($M687="","",IFERROR(INDEX(Settings!$B$27:$B$36,MATCH(L687,Settings!$A$27:$A$36,0))&amp;"","UNMAPPED"))</f>
        <v/>
      </c>
      <c r="T687" s="37" t="str">
        <f aca="false">IF($M687="","",IF(NOT(ISNUMBER(R687)),"NO DATE",IF(S687="Won",IF(R687&gt;Settings!$B$5,"Backlog","Delivered"),IF(S687="Open",IF(R687&gt;Settings!$B$5,"Pipeline","Overdue"),IF(S687="Lost","Lost","UNMAPPED")))))</f>
        <v/>
      </c>
      <c r="U687" s="40" t="n">
        <f aca="false">IF(T687="Backlog",1,IF(OR(T687="Pipeline",T687="Overdue"),N(INDEX(Settings!$C$27:$C$36,MATCH(L687,Settings!$A$27:$A$36,0))),0))</f>
        <v>0</v>
      </c>
      <c r="V687" s="38" t="n">
        <f aca="false">Q687*U687</f>
        <v>0</v>
      </c>
      <c r="W687" s="41" t="str">
        <f aca="false">IF($M687="","",IF(T687="Overdue",IF(Settings!$B$8="Yes",Settings!$B$7,""),IF(ISNUMBER(R687),DATE(YEAR(R687),MONTH(R687),1),"")))</f>
        <v/>
      </c>
      <c r="X687" s="38" t="n">
        <f aca="false">IF(AND(OR(T687="Backlog",T687="Pipeline",T687="Overdue"),ISNUMBER(W687)),IF(W687&lt;=Settings!$B$6,V687,0),0)</f>
        <v>0</v>
      </c>
      <c r="Y687" s="38" t="n">
        <f aca="false">IF(AND(OR(T687="Backlog",T687="Pipeline",T687="Overdue"),ISNUMBER(W687)),IF(W687&lt;=Settings!$B$6,Q687,0),0)</f>
        <v>0</v>
      </c>
      <c r="Z687" s="38" t="n">
        <f aca="false">IF(Y687=0,0,IF(T687="Backlog",Q687,Q687*Dashboard!$C$10))</f>
        <v>0</v>
      </c>
      <c r="AA687" s="37" t="n">
        <f aca="false">IF($N687="",0,IF(COUNTIF(Dashboard!$C$13:$C$22,$N687)&gt;0,1,0))</f>
        <v>0</v>
      </c>
      <c r="AB687" s="37" t="str">
        <f aca="false">IF($N687="","",IF(COUNTIF($N$8:$N687,$N687)=1,MAX($AB$7:$AB686)+1,""))</f>
        <v/>
      </c>
    </row>
    <row r="688" customFormat="false" ht="15" hidden="false" customHeight="false" outlineLevel="0" collapsed="false">
      <c r="L688" s="37" t="str">
        <f aca="false">IF(INDEX($A688:$J688,$L$6)&lt;&gt;"",TRIM(LEFT(INDEX($A688:$J688,$L$6),FIND("(",INDEX($A688:$J688,$L$6)&amp;"(")-1)),L687)</f>
        <v>Building Value Proposition</v>
      </c>
      <c r="M688" s="37" t="str">
        <f aca="false">IF(INDEX($A688:$J688,$M$6)="","",INDEX($A688:$J688,$M$6)&amp;"")</f>
        <v/>
      </c>
      <c r="N688" s="37" t="str">
        <f aca="false">IF($M688="","",TRIM(INDEX($A688:$J688,$N$6)&amp;""))</f>
        <v/>
      </c>
      <c r="O688" s="37" t="str">
        <f aca="false">IF($M688="","",TRIM(INDEX($A688:$J688,$O$6)&amp;""))</f>
        <v/>
      </c>
      <c r="P688" s="37" t="str">
        <f aca="false">IF($M688="","",IFERROR(IF(INDEX(Settings!$B$41:$B$50,MATCH(O688,Settings!$A$41:$A$50,0))&amp;""="","UNMAPPED",INDEX(Settings!$B$41:$B$50,MATCH(O688,Settings!$A$41:$A$50,0))&amp;""),"UNMAPPED"))</f>
        <v/>
      </c>
      <c r="Q688" s="38" t="n">
        <f aca="false">IF($M688="",0,N(INDEX($A688:$J688,$Q$6)))</f>
        <v>0</v>
      </c>
      <c r="R688" s="39" t="str">
        <f aca="false">IF($M688="","",INDEX($A688:$J688,$R$6))</f>
        <v/>
      </c>
      <c r="S688" s="37" t="str">
        <f aca="false">IF($M688="","",IFERROR(INDEX(Settings!$B$27:$B$36,MATCH(L688,Settings!$A$27:$A$36,0))&amp;"","UNMAPPED"))</f>
        <v/>
      </c>
      <c r="T688" s="37" t="str">
        <f aca="false">IF($M688="","",IF(NOT(ISNUMBER(R688)),"NO DATE",IF(S688="Won",IF(R688&gt;Settings!$B$5,"Backlog","Delivered"),IF(S688="Open",IF(R688&gt;Settings!$B$5,"Pipeline","Overdue"),IF(S688="Lost","Lost","UNMAPPED")))))</f>
        <v/>
      </c>
      <c r="U688" s="40" t="n">
        <f aca="false">IF(T688="Backlog",1,IF(OR(T688="Pipeline",T688="Overdue"),N(INDEX(Settings!$C$27:$C$36,MATCH(L688,Settings!$A$27:$A$36,0))),0))</f>
        <v>0</v>
      </c>
      <c r="V688" s="38" t="n">
        <f aca="false">Q688*U688</f>
        <v>0</v>
      </c>
      <c r="W688" s="41" t="str">
        <f aca="false">IF($M688="","",IF(T688="Overdue",IF(Settings!$B$8="Yes",Settings!$B$7,""),IF(ISNUMBER(R688),DATE(YEAR(R688),MONTH(R688),1),"")))</f>
        <v/>
      </c>
      <c r="X688" s="38" t="n">
        <f aca="false">IF(AND(OR(T688="Backlog",T688="Pipeline",T688="Overdue"),ISNUMBER(W688)),IF(W688&lt;=Settings!$B$6,V688,0),0)</f>
        <v>0</v>
      </c>
      <c r="Y688" s="38" t="n">
        <f aca="false">IF(AND(OR(T688="Backlog",T688="Pipeline",T688="Overdue"),ISNUMBER(W688)),IF(W688&lt;=Settings!$B$6,Q688,0),0)</f>
        <v>0</v>
      </c>
      <c r="Z688" s="38" t="n">
        <f aca="false">IF(Y688=0,0,IF(T688="Backlog",Q688,Q688*Dashboard!$C$10))</f>
        <v>0</v>
      </c>
      <c r="AA688" s="37" t="n">
        <f aca="false">IF($N688="",0,IF(COUNTIF(Dashboard!$C$13:$C$22,$N688)&gt;0,1,0))</f>
        <v>0</v>
      </c>
      <c r="AB688" s="37" t="str">
        <f aca="false">IF($N688="","",IF(COUNTIF($N$8:$N688,$N688)=1,MAX($AB$7:$AB687)+1,""))</f>
        <v/>
      </c>
    </row>
    <row r="689" customFormat="false" ht="15" hidden="false" customHeight="false" outlineLevel="0" collapsed="false">
      <c r="L689" s="37" t="str">
        <f aca="false">IF(INDEX($A689:$J689,$L$6)&lt;&gt;"",TRIM(LEFT(INDEX($A689:$J689,$L$6),FIND("(",INDEX($A689:$J689,$L$6)&amp;"(")-1)),L688)</f>
        <v>Building Value Proposition</v>
      </c>
      <c r="M689" s="37" t="str">
        <f aca="false">IF(INDEX($A689:$J689,$M$6)="","",INDEX($A689:$J689,$M$6)&amp;"")</f>
        <v/>
      </c>
      <c r="N689" s="37" t="str">
        <f aca="false">IF($M689="","",TRIM(INDEX($A689:$J689,$N$6)&amp;""))</f>
        <v/>
      </c>
      <c r="O689" s="37" t="str">
        <f aca="false">IF($M689="","",TRIM(INDEX($A689:$J689,$O$6)&amp;""))</f>
        <v/>
      </c>
      <c r="P689" s="37" t="str">
        <f aca="false">IF($M689="","",IFERROR(IF(INDEX(Settings!$B$41:$B$50,MATCH(O689,Settings!$A$41:$A$50,0))&amp;""="","UNMAPPED",INDEX(Settings!$B$41:$B$50,MATCH(O689,Settings!$A$41:$A$50,0))&amp;""),"UNMAPPED"))</f>
        <v/>
      </c>
      <c r="Q689" s="38" t="n">
        <f aca="false">IF($M689="",0,N(INDEX($A689:$J689,$Q$6)))</f>
        <v>0</v>
      </c>
      <c r="R689" s="39" t="str">
        <f aca="false">IF($M689="","",INDEX($A689:$J689,$R$6))</f>
        <v/>
      </c>
      <c r="S689" s="37" t="str">
        <f aca="false">IF($M689="","",IFERROR(INDEX(Settings!$B$27:$B$36,MATCH(L689,Settings!$A$27:$A$36,0))&amp;"","UNMAPPED"))</f>
        <v/>
      </c>
      <c r="T689" s="37" t="str">
        <f aca="false">IF($M689="","",IF(NOT(ISNUMBER(R689)),"NO DATE",IF(S689="Won",IF(R689&gt;Settings!$B$5,"Backlog","Delivered"),IF(S689="Open",IF(R689&gt;Settings!$B$5,"Pipeline","Overdue"),IF(S689="Lost","Lost","UNMAPPED")))))</f>
        <v/>
      </c>
      <c r="U689" s="40" t="n">
        <f aca="false">IF(T689="Backlog",1,IF(OR(T689="Pipeline",T689="Overdue"),N(INDEX(Settings!$C$27:$C$36,MATCH(L689,Settings!$A$27:$A$36,0))),0))</f>
        <v>0</v>
      </c>
      <c r="V689" s="38" t="n">
        <f aca="false">Q689*U689</f>
        <v>0</v>
      </c>
      <c r="W689" s="41" t="str">
        <f aca="false">IF($M689="","",IF(T689="Overdue",IF(Settings!$B$8="Yes",Settings!$B$7,""),IF(ISNUMBER(R689),DATE(YEAR(R689),MONTH(R689),1),"")))</f>
        <v/>
      </c>
      <c r="X689" s="38" t="n">
        <f aca="false">IF(AND(OR(T689="Backlog",T689="Pipeline",T689="Overdue"),ISNUMBER(W689)),IF(W689&lt;=Settings!$B$6,V689,0),0)</f>
        <v>0</v>
      </c>
      <c r="Y689" s="38" t="n">
        <f aca="false">IF(AND(OR(T689="Backlog",T689="Pipeline",T689="Overdue"),ISNUMBER(W689)),IF(W689&lt;=Settings!$B$6,Q689,0),0)</f>
        <v>0</v>
      </c>
      <c r="Z689" s="38" t="n">
        <f aca="false">IF(Y689=0,0,IF(T689="Backlog",Q689,Q689*Dashboard!$C$10))</f>
        <v>0</v>
      </c>
      <c r="AA689" s="37" t="n">
        <f aca="false">IF($N689="",0,IF(COUNTIF(Dashboard!$C$13:$C$22,$N689)&gt;0,1,0))</f>
        <v>0</v>
      </c>
      <c r="AB689" s="37" t="str">
        <f aca="false">IF($N689="","",IF(COUNTIF($N$8:$N689,$N689)=1,MAX($AB$7:$AB688)+1,""))</f>
        <v/>
      </c>
    </row>
    <row r="690" customFormat="false" ht="15" hidden="false" customHeight="false" outlineLevel="0" collapsed="false">
      <c r="L690" s="37" t="str">
        <f aca="false">IF(INDEX($A690:$J690,$L$6)&lt;&gt;"",TRIM(LEFT(INDEX($A690:$J690,$L$6),FIND("(",INDEX($A690:$J690,$L$6)&amp;"(")-1)),L689)</f>
        <v>Building Value Proposition</v>
      </c>
      <c r="M690" s="37" t="str">
        <f aca="false">IF(INDEX($A690:$J690,$M$6)="","",INDEX($A690:$J690,$M$6)&amp;"")</f>
        <v/>
      </c>
      <c r="N690" s="37" t="str">
        <f aca="false">IF($M690="","",TRIM(INDEX($A690:$J690,$N$6)&amp;""))</f>
        <v/>
      </c>
      <c r="O690" s="37" t="str">
        <f aca="false">IF($M690="","",TRIM(INDEX($A690:$J690,$O$6)&amp;""))</f>
        <v/>
      </c>
      <c r="P690" s="37" t="str">
        <f aca="false">IF($M690="","",IFERROR(IF(INDEX(Settings!$B$41:$B$50,MATCH(O690,Settings!$A$41:$A$50,0))&amp;""="","UNMAPPED",INDEX(Settings!$B$41:$B$50,MATCH(O690,Settings!$A$41:$A$50,0))&amp;""),"UNMAPPED"))</f>
        <v/>
      </c>
      <c r="Q690" s="38" t="n">
        <f aca="false">IF($M690="",0,N(INDEX($A690:$J690,$Q$6)))</f>
        <v>0</v>
      </c>
      <c r="R690" s="39" t="str">
        <f aca="false">IF($M690="","",INDEX($A690:$J690,$R$6))</f>
        <v/>
      </c>
      <c r="S690" s="37" t="str">
        <f aca="false">IF($M690="","",IFERROR(INDEX(Settings!$B$27:$B$36,MATCH(L690,Settings!$A$27:$A$36,0))&amp;"","UNMAPPED"))</f>
        <v/>
      </c>
      <c r="T690" s="37" t="str">
        <f aca="false">IF($M690="","",IF(NOT(ISNUMBER(R690)),"NO DATE",IF(S690="Won",IF(R690&gt;Settings!$B$5,"Backlog","Delivered"),IF(S690="Open",IF(R690&gt;Settings!$B$5,"Pipeline","Overdue"),IF(S690="Lost","Lost","UNMAPPED")))))</f>
        <v/>
      </c>
      <c r="U690" s="40" t="n">
        <f aca="false">IF(T690="Backlog",1,IF(OR(T690="Pipeline",T690="Overdue"),N(INDEX(Settings!$C$27:$C$36,MATCH(L690,Settings!$A$27:$A$36,0))),0))</f>
        <v>0</v>
      </c>
      <c r="V690" s="38" t="n">
        <f aca="false">Q690*U690</f>
        <v>0</v>
      </c>
      <c r="W690" s="41" t="str">
        <f aca="false">IF($M690="","",IF(T690="Overdue",IF(Settings!$B$8="Yes",Settings!$B$7,""),IF(ISNUMBER(R690),DATE(YEAR(R690),MONTH(R690),1),"")))</f>
        <v/>
      </c>
      <c r="X690" s="38" t="n">
        <f aca="false">IF(AND(OR(T690="Backlog",T690="Pipeline",T690="Overdue"),ISNUMBER(W690)),IF(W690&lt;=Settings!$B$6,V690,0),0)</f>
        <v>0</v>
      </c>
      <c r="Y690" s="38" t="n">
        <f aca="false">IF(AND(OR(T690="Backlog",T690="Pipeline",T690="Overdue"),ISNUMBER(W690)),IF(W690&lt;=Settings!$B$6,Q690,0),0)</f>
        <v>0</v>
      </c>
      <c r="Z690" s="38" t="n">
        <f aca="false">IF(Y690=0,0,IF(T690="Backlog",Q690,Q690*Dashboard!$C$10))</f>
        <v>0</v>
      </c>
      <c r="AA690" s="37" t="n">
        <f aca="false">IF($N690="",0,IF(COUNTIF(Dashboard!$C$13:$C$22,$N690)&gt;0,1,0))</f>
        <v>0</v>
      </c>
      <c r="AB690" s="37" t="str">
        <f aca="false">IF($N690="","",IF(COUNTIF($N$8:$N690,$N690)=1,MAX($AB$7:$AB689)+1,""))</f>
        <v/>
      </c>
    </row>
    <row r="691" customFormat="false" ht="15" hidden="false" customHeight="false" outlineLevel="0" collapsed="false">
      <c r="L691" s="37" t="str">
        <f aca="false">IF(INDEX($A691:$J691,$L$6)&lt;&gt;"",TRIM(LEFT(INDEX($A691:$J691,$L$6),FIND("(",INDEX($A691:$J691,$L$6)&amp;"(")-1)),L690)</f>
        <v>Building Value Proposition</v>
      </c>
      <c r="M691" s="37" t="str">
        <f aca="false">IF(INDEX($A691:$J691,$M$6)="","",INDEX($A691:$J691,$M$6)&amp;"")</f>
        <v/>
      </c>
      <c r="N691" s="37" t="str">
        <f aca="false">IF($M691="","",TRIM(INDEX($A691:$J691,$N$6)&amp;""))</f>
        <v/>
      </c>
      <c r="O691" s="37" t="str">
        <f aca="false">IF($M691="","",TRIM(INDEX($A691:$J691,$O$6)&amp;""))</f>
        <v/>
      </c>
      <c r="P691" s="37" t="str">
        <f aca="false">IF($M691="","",IFERROR(IF(INDEX(Settings!$B$41:$B$50,MATCH(O691,Settings!$A$41:$A$50,0))&amp;""="","UNMAPPED",INDEX(Settings!$B$41:$B$50,MATCH(O691,Settings!$A$41:$A$50,0))&amp;""),"UNMAPPED"))</f>
        <v/>
      </c>
      <c r="Q691" s="38" t="n">
        <f aca="false">IF($M691="",0,N(INDEX($A691:$J691,$Q$6)))</f>
        <v>0</v>
      </c>
      <c r="R691" s="39" t="str">
        <f aca="false">IF($M691="","",INDEX($A691:$J691,$R$6))</f>
        <v/>
      </c>
      <c r="S691" s="37" t="str">
        <f aca="false">IF($M691="","",IFERROR(INDEX(Settings!$B$27:$B$36,MATCH(L691,Settings!$A$27:$A$36,0))&amp;"","UNMAPPED"))</f>
        <v/>
      </c>
      <c r="T691" s="37" t="str">
        <f aca="false">IF($M691="","",IF(NOT(ISNUMBER(R691)),"NO DATE",IF(S691="Won",IF(R691&gt;Settings!$B$5,"Backlog","Delivered"),IF(S691="Open",IF(R691&gt;Settings!$B$5,"Pipeline","Overdue"),IF(S691="Lost","Lost","UNMAPPED")))))</f>
        <v/>
      </c>
      <c r="U691" s="40" t="n">
        <f aca="false">IF(T691="Backlog",1,IF(OR(T691="Pipeline",T691="Overdue"),N(INDEX(Settings!$C$27:$C$36,MATCH(L691,Settings!$A$27:$A$36,0))),0))</f>
        <v>0</v>
      </c>
      <c r="V691" s="38" t="n">
        <f aca="false">Q691*U691</f>
        <v>0</v>
      </c>
      <c r="W691" s="41" t="str">
        <f aca="false">IF($M691="","",IF(T691="Overdue",IF(Settings!$B$8="Yes",Settings!$B$7,""),IF(ISNUMBER(R691),DATE(YEAR(R691),MONTH(R691),1),"")))</f>
        <v/>
      </c>
      <c r="X691" s="38" t="n">
        <f aca="false">IF(AND(OR(T691="Backlog",T691="Pipeline",T691="Overdue"),ISNUMBER(W691)),IF(W691&lt;=Settings!$B$6,V691,0),0)</f>
        <v>0</v>
      </c>
      <c r="Y691" s="38" t="n">
        <f aca="false">IF(AND(OR(T691="Backlog",T691="Pipeline",T691="Overdue"),ISNUMBER(W691)),IF(W691&lt;=Settings!$B$6,Q691,0),0)</f>
        <v>0</v>
      </c>
      <c r="Z691" s="38" t="n">
        <f aca="false">IF(Y691=0,0,IF(T691="Backlog",Q691,Q691*Dashboard!$C$10))</f>
        <v>0</v>
      </c>
      <c r="AA691" s="37" t="n">
        <f aca="false">IF($N691="",0,IF(COUNTIF(Dashboard!$C$13:$C$22,$N691)&gt;0,1,0))</f>
        <v>0</v>
      </c>
      <c r="AB691" s="37" t="str">
        <f aca="false">IF($N691="","",IF(COUNTIF($N$8:$N691,$N691)=1,MAX($AB$7:$AB690)+1,""))</f>
        <v/>
      </c>
    </row>
    <row r="692" customFormat="false" ht="15" hidden="false" customHeight="false" outlineLevel="0" collapsed="false">
      <c r="L692" s="37" t="str">
        <f aca="false">IF(INDEX($A692:$J692,$L$6)&lt;&gt;"",TRIM(LEFT(INDEX($A692:$J692,$L$6),FIND("(",INDEX($A692:$J692,$L$6)&amp;"(")-1)),L691)</f>
        <v>Building Value Proposition</v>
      </c>
      <c r="M692" s="37" t="str">
        <f aca="false">IF(INDEX($A692:$J692,$M$6)="","",INDEX($A692:$J692,$M$6)&amp;"")</f>
        <v/>
      </c>
      <c r="N692" s="37" t="str">
        <f aca="false">IF($M692="","",TRIM(INDEX($A692:$J692,$N$6)&amp;""))</f>
        <v/>
      </c>
      <c r="O692" s="37" t="str">
        <f aca="false">IF($M692="","",TRIM(INDEX($A692:$J692,$O$6)&amp;""))</f>
        <v/>
      </c>
      <c r="P692" s="37" t="str">
        <f aca="false">IF($M692="","",IFERROR(IF(INDEX(Settings!$B$41:$B$50,MATCH(O692,Settings!$A$41:$A$50,0))&amp;""="","UNMAPPED",INDEX(Settings!$B$41:$B$50,MATCH(O692,Settings!$A$41:$A$50,0))&amp;""),"UNMAPPED"))</f>
        <v/>
      </c>
      <c r="Q692" s="38" t="n">
        <f aca="false">IF($M692="",0,N(INDEX($A692:$J692,$Q$6)))</f>
        <v>0</v>
      </c>
      <c r="R692" s="39" t="str">
        <f aca="false">IF($M692="","",INDEX($A692:$J692,$R$6))</f>
        <v/>
      </c>
      <c r="S692" s="37" t="str">
        <f aca="false">IF($M692="","",IFERROR(INDEX(Settings!$B$27:$B$36,MATCH(L692,Settings!$A$27:$A$36,0))&amp;"","UNMAPPED"))</f>
        <v/>
      </c>
      <c r="T692" s="37" t="str">
        <f aca="false">IF($M692="","",IF(NOT(ISNUMBER(R692)),"NO DATE",IF(S692="Won",IF(R692&gt;Settings!$B$5,"Backlog","Delivered"),IF(S692="Open",IF(R692&gt;Settings!$B$5,"Pipeline","Overdue"),IF(S692="Lost","Lost","UNMAPPED")))))</f>
        <v/>
      </c>
      <c r="U692" s="40" t="n">
        <f aca="false">IF(T692="Backlog",1,IF(OR(T692="Pipeline",T692="Overdue"),N(INDEX(Settings!$C$27:$C$36,MATCH(L692,Settings!$A$27:$A$36,0))),0))</f>
        <v>0</v>
      </c>
      <c r="V692" s="38" t="n">
        <f aca="false">Q692*U692</f>
        <v>0</v>
      </c>
      <c r="W692" s="41" t="str">
        <f aca="false">IF($M692="","",IF(T692="Overdue",IF(Settings!$B$8="Yes",Settings!$B$7,""),IF(ISNUMBER(R692),DATE(YEAR(R692),MONTH(R692),1),"")))</f>
        <v/>
      </c>
      <c r="X692" s="38" t="n">
        <f aca="false">IF(AND(OR(T692="Backlog",T692="Pipeline",T692="Overdue"),ISNUMBER(W692)),IF(W692&lt;=Settings!$B$6,V692,0),0)</f>
        <v>0</v>
      </c>
      <c r="Y692" s="38" t="n">
        <f aca="false">IF(AND(OR(T692="Backlog",T692="Pipeline",T692="Overdue"),ISNUMBER(W692)),IF(W692&lt;=Settings!$B$6,Q692,0),0)</f>
        <v>0</v>
      </c>
      <c r="Z692" s="38" t="n">
        <f aca="false">IF(Y692=0,0,IF(T692="Backlog",Q692,Q692*Dashboard!$C$10))</f>
        <v>0</v>
      </c>
      <c r="AA692" s="37" t="n">
        <f aca="false">IF($N692="",0,IF(COUNTIF(Dashboard!$C$13:$C$22,$N692)&gt;0,1,0))</f>
        <v>0</v>
      </c>
      <c r="AB692" s="37" t="str">
        <f aca="false">IF($N692="","",IF(COUNTIF($N$8:$N692,$N692)=1,MAX($AB$7:$AB691)+1,""))</f>
        <v/>
      </c>
    </row>
    <row r="693" customFormat="false" ht="15" hidden="false" customHeight="false" outlineLevel="0" collapsed="false">
      <c r="L693" s="37" t="str">
        <f aca="false">IF(INDEX($A693:$J693,$L$6)&lt;&gt;"",TRIM(LEFT(INDEX($A693:$J693,$L$6),FIND("(",INDEX($A693:$J693,$L$6)&amp;"(")-1)),L692)</f>
        <v>Building Value Proposition</v>
      </c>
      <c r="M693" s="37" t="str">
        <f aca="false">IF(INDEX($A693:$J693,$M$6)="","",INDEX($A693:$J693,$M$6)&amp;"")</f>
        <v/>
      </c>
      <c r="N693" s="37" t="str">
        <f aca="false">IF($M693="","",TRIM(INDEX($A693:$J693,$N$6)&amp;""))</f>
        <v/>
      </c>
      <c r="O693" s="37" t="str">
        <f aca="false">IF($M693="","",TRIM(INDEX($A693:$J693,$O$6)&amp;""))</f>
        <v/>
      </c>
      <c r="P693" s="37" t="str">
        <f aca="false">IF($M693="","",IFERROR(IF(INDEX(Settings!$B$41:$B$50,MATCH(O693,Settings!$A$41:$A$50,0))&amp;""="","UNMAPPED",INDEX(Settings!$B$41:$B$50,MATCH(O693,Settings!$A$41:$A$50,0))&amp;""),"UNMAPPED"))</f>
        <v/>
      </c>
      <c r="Q693" s="38" t="n">
        <f aca="false">IF($M693="",0,N(INDEX($A693:$J693,$Q$6)))</f>
        <v>0</v>
      </c>
      <c r="R693" s="39" t="str">
        <f aca="false">IF($M693="","",INDEX($A693:$J693,$R$6))</f>
        <v/>
      </c>
      <c r="S693" s="37" t="str">
        <f aca="false">IF($M693="","",IFERROR(INDEX(Settings!$B$27:$B$36,MATCH(L693,Settings!$A$27:$A$36,0))&amp;"","UNMAPPED"))</f>
        <v/>
      </c>
      <c r="T693" s="37" t="str">
        <f aca="false">IF($M693="","",IF(NOT(ISNUMBER(R693)),"NO DATE",IF(S693="Won",IF(R693&gt;Settings!$B$5,"Backlog","Delivered"),IF(S693="Open",IF(R693&gt;Settings!$B$5,"Pipeline","Overdue"),IF(S693="Lost","Lost","UNMAPPED")))))</f>
        <v/>
      </c>
      <c r="U693" s="40" t="n">
        <f aca="false">IF(T693="Backlog",1,IF(OR(T693="Pipeline",T693="Overdue"),N(INDEX(Settings!$C$27:$C$36,MATCH(L693,Settings!$A$27:$A$36,0))),0))</f>
        <v>0</v>
      </c>
      <c r="V693" s="38" t="n">
        <f aca="false">Q693*U693</f>
        <v>0</v>
      </c>
      <c r="W693" s="41" t="str">
        <f aca="false">IF($M693="","",IF(T693="Overdue",IF(Settings!$B$8="Yes",Settings!$B$7,""),IF(ISNUMBER(R693),DATE(YEAR(R693),MONTH(R693),1),"")))</f>
        <v/>
      </c>
      <c r="X693" s="38" t="n">
        <f aca="false">IF(AND(OR(T693="Backlog",T693="Pipeline",T693="Overdue"),ISNUMBER(W693)),IF(W693&lt;=Settings!$B$6,V693,0),0)</f>
        <v>0</v>
      </c>
      <c r="Y693" s="38" t="n">
        <f aca="false">IF(AND(OR(T693="Backlog",T693="Pipeline",T693="Overdue"),ISNUMBER(W693)),IF(W693&lt;=Settings!$B$6,Q693,0),0)</f>
        <v>0</v>
      </c>
      <c r="Z693" s="38" t="n">
        <f aca="false">IF(Y693=0,0,IF(T693="Backlog",Q693,Q693*Dashboard!$C$10))</f>
        <v>0</v>
      </c>
      <c r="AA693" s="37" t="n">
        <f aca="false">IF($N693="",0,IF(COUNTIF(Dashboard!$C$13:$C$22,$N693)&gt;0,1,0))</f>
        <v>0</v>
      </c>
      <c r="AB693" s="37" t="str">
        <f aca="false">IF($N693="","",IF(COUNTIF($N$8:$N693,$N693)=1,MAX($AB$7:$AB692)+1,""))</f>
        <v/>
      </c>
    </row>
    <row r="694" customFormat="false" ht="15" hidden="false" customHeight="false" outlineLevel="0" collapsed="false">
      <c r="L694" s="37" t="str">
        <f aca="false">IF(INDEX($A694:$J694,$L$6)&lt;&gt;"",TRIM(LEFT(INDEX($A694:$J694,$L$6),FIND("(",INDEX($A694:$J694,$L$6)&amp;"(")-1)),L693)</f>
        <v>Building Value Proposition</v>
      </c>
      <c r="M694" s="37" t="str">
        <f aca="false">IF(INDEX($A694:$J694,$M$6)="","",INDEX($A694:$J694,$M$6)&amp;"")</f>
        <v/>
      </c>
      <c r="N694" s="37" t="str">
        <f aca="false">IF($M694="","",TRIM(INDEX($A694:$J694,$N$6)&amp;""))</f>
        <v/>
      </c>
      <c r="O694" s="37" t="str">
        <f aca="false">IF($M694="","",TRIM(INDEX($A694:$J694,$O$6)&amp;""))</f>
        <v/>
      </c>
      <c r="P694" s="37" t="str">
        <f aca="false">IF($M694="","",IFERROR(IF(INDEX(Settings!$B$41:$B$50,MATCH(O694,Settings!$A$41:$A$50,0))&amp;""="","UNMAPPED",INDEX(Settings!$B$41:$B$50,MATCH(O694,Settings!$A$41:$A$50,0))&amp;""),"UNMAPPED"))</f>
        <v/>
      </c>
      <c r="Q694" s="38" t="n">
        <f aca="false">IF($M694="",0,N(INDEX($A694:$J694,$Q$6)))</f>
        <v>0</v>
      </c>
      <c r="R694" s="39" t="str">
        <f aca="false">IF($M694="","",INDEX($A694:$J694,$R$6))</f>
        <v/>
      </c>
      <c r="S694" s="37" t="str">
        <f aca="false">IF($M694="","",IFERROR(INDEX(Settings!$B$27:$B$36,MATCH(L694,Settings!$A$27:$A$36,0))&amp;"","UNMAPPED"))</f>
        <v/>
      </c>
      <c r="T694" s="37" t="str">
        <f aca="false">IF($M694="","",IF(NOT(ISNUMBER(R694)),"NO DATE",IF(S694="Won",IF(R694&gt;Settings!$B$5,"Backlog","Delivered"),IF(S694="Open",IF(R694&gt;Settings!$B$5,"Pipeline","Overdue"),IF(S694="Lost","Lost","UNMAPPED")))))</f>
        <v/>
      </c>
      <c r="U694" s="40" t="n">
        <f aca="false">IF(T694="Backlog",1,IF(OR(T694="Pipeline",T694="Overdue"),N(INDEX(Settings!$C$27:$C$36,MATCH(L694,Settings!$A$27:$A$36,0))),0))</f>
        <v>0</v>
      </c>
      <c r="V694" s="38" t="n">
        <f aca="false">Q694*U694</f>
        <v>0</v>
      </c>
      <c r="W694" s="41" t="str">
        <f aca="false">IF($M694="","",IF(T694="Overdue",IF(Settings!$B$8="Yes",Settings!$B$7,""),IF(ISNUMBER(R694),DATE(YEAR(R694),MONTH(R694),1),"")))</f>
        <v/>
      </c>
      <c r="X694" s="38" t="n">
        <f aca="false">IF(AND(OR(T694="Backlog",T694="Pipeline",T694="Overdue"),ISNUMBER(W694)),IF(W694&lt;=Settings!$B$6,V694,0),0)</f>
        <v>0</v>
      </c>
      <c r="Y694" s="38" t="n">
        <f aca="false">IF(AND(OR(T694="Backlog",T694="Pipeline",T694="Overdue"),ISNUMBER(W694)),IF(W694&lt;=Settings!$B$6,Q694,0),0)</f>
        <v>0</v>
      </c>
      <c r="Z694" s="38" t="n">
        <f aca="false">IF(Y694=0,0,IF(T694="Backlog",Q694,Q694*Dashboard!$C$10))</f>
        <v>0</v>
      </c>
      <c r="AA694" s="37" t="n">
        <f aca="false">IF($N694="",0,IF(COUNTIF(Dashboard!$C$13:$C$22,$N694)&gt;0,1,0))</f>
        <v>0</v>
      </c>
      <c r="AB694" s="37" t="str">
        <f aca="false">IF($N694="","",IF(COUNTIF($N$8:$N694,$N694)=1,MAX($AB$7:$AB693)+1,""))</f>
        <v/>
      </c>
    </row>
    <row r="695" customFormat="false" ht="15" hidden="false" customHeight="false" outlineLevel="0" collapsed="false">
      <c r="L695" s="37" t="str">
        <f aca="false">IF(INDEX($A695:$J695,$L$6)&lt;&gt;"",TRIM(LEFT(INDEX($A695:$J695,$L$6),FIND("(",INDEX($A695:$J695,$L$6)&amp;"(")-1)),L694)</f>
        <v>Building Value Proposition</v>
      </c>
      <c r="M695" s="37" t="str">
        <f aca="false">IF(INDEX($A695:$J695,$M$6)="","",INDEX($A695:$J695,$M$6)&amp;"")</f>
        <v/>
      </c>
      <c r="N695" s="37" t="str">
        <f aca="false">IF($M695="","",TRIM(INDEX($A695:$J695,$N$6)&amp;""))</f>
        <v/>
      </c>
      <c r="O695" s="37" t="str">
        <f aca="false">IF($M695="","",TRIM(INDEX($A695:$J695,$O$6)&amp;""))</f>
        <v/>
      </c>
      <c r="P695" s="37" t="str">
        <f aca="false">IF($M695="","",IFERROR(IF(INDEX(Settings!$B$41:$B$50,MATCH(O695,Settings!$A$41:$A$50,0))&amp;""="","UNMAPPED",INDEX(Settings!$B$41:$B$50,MATCH(O695,Settings!$A$41:$A$50,0))&amp;""),"UNMAPPED"))</f>
        <v/>
      </c>
      <c r="Q695" s="38" t="n">
        <f aca="false">IF($M695="",0,N(INDEX($A695:$J695,$Q$6)))</f>
        <v>0</v>
      </c>
      <c r="R695" s="39" t="str">
        <f aca="false">IF($M695="","",INDEX($A695:$J695,$R$6))</f>
        <v/>
      </c>
      <c r="S695" s="37" t="str">
        <f aca="false">IF($M695="","",IFERROR(INDEX(Settings!$B$27:$B$36,MATCH(L695,Settings!$A$27:$A$36,0))&amp;"","UNMAPPED"))</f>
        <v/>
      </c>
      <c r="T695" s="37" t="str">
        <f aca="false">IF($M695="","",IF(NOT(ISNUMBER(R695)),"NO DATE",IF(S695="Won",IF(R695&gt;Settings!$B$5,"Backlog","Delivered"),IF(S695="Open",IF(R695&gt;Settings!$B$5,"Pipeline","Overdue"),IF(S695="Lost","Lost","UNMAPPED")))))</f>
        <v/>
      </c>
      <c r="U695" s="40" t="n">
        <f aca="false">IF(T695="Backlog",1,IF(OR(T695="Pipeline",T695="Overdue"),N(INDEX(Settings!$C$27:$C$36,MATCH(L695,Settings!$A$27:$A$36,0))),0))</f>
        <v>0</v>
      </c>
      <c r="V695" s="38" t="n">
        <f aca="false">Q695*U695</f>
        <v>0</v>
      </c>
      <c r="W695" s="41" t="str">
        <f aca="false">IF($M695="","",IF(T695="Overdue",IF(Settings!$B$8="Yes",Settings!$B$7,""),IF(ISNUMBER(R695),DATE(YEAR(R695),MONTH(R695),1),"")))</f>
        <v/>
      </c>
      <c r="X695" s="38" t="n">
        <f aca="false">IF(AND(OR(T695="Backlog",T695="Pipeline",T695="Overdue"),ISNUMBER(W695)),IF(W695&lt;=Settings!$B$6,V695,0),0)</f>
        <v>0</v>
      </c>
      <c r="Y695" s="38" t="n">
        <f aca="false">IF(AND(OR(T695="Backlog",T695="Pipeline",T695="Overdue"),ISNUMBER(W695)),IF(W695&lt;=Settings!$B$6,Q695,0),0)</f>
        <v>0</v>
      </c>
      <c r="Z695" s="38" t="n">
        <f aca="false">IF(Y695=0,0,IF(T695="Backlog",Q695,Q695*Dashboard!$C$10))</f>
        <v>0</v>
      </c>
      <c r="AA695" s="37" t="n">
        <f aca="false">IF($N695="",0,IF(COUNTIF(Dashboard!$C$13:$C$22,$N695)&gt;0,1,0))</f>
        <v>0</v>
      </c>
      <c r="AB695" s="37" t="str">
        <f aca="false">IF($N695="","",IF(COUNTIF($N$8:$N695,$N695)=1,MAX($AB$7:$AB694)+1,""))</f>
        <v/>
      </c>
    </row>
    <row r="696" customFormat="false" ht="15" hidden="false" customHeight="false" outlineLevel="0" collapsed="false">
      <c r="L696" s="37" t="str">
        <f aca="false">IF(INDEX($A696:$J696,$L$6)&lt;&gt;"",TRIM(LEFT(INDEX($A696:$J696,$L$6),FIND("(",INDEX($A696:$J696,$L$6)&amp;"(")-1)),L695)</f>
        <v>Building Value Proposition</v>
      </c>
      <c r="M696" s="37" t="str">
        <f aca="false">IF(INDEX($A696:$J696,$M$6)="","",INDEX($A696:$J696,$M$6)&amp;"")</f>
        <v/>
      </c>
      <c r="N696" s="37" t="str">
        <f aca="false">IF($M696="","",TRIM(INDEX($A696:$J696,$N$6)&amp;""))</f>
        <v/>
      </c>
      <c r="O696" s="37" t="str">
        <f aca="false">IF($M696="","",TRIM(INDEX($A696:$J696,$O$6)&amp;""))</f>
        <v/>
      </c>
      <c r="P696" s="37" t="str">
        <f aca="false">IF($M696="","",IFERROR(IF(INDEX(Settings!$B$41:$B$50,MATCH(O696,Settings!$A$41:$A$50,0))&amp;""="","UNMAPPED",INDEX(Settings!$B$41:$B$50,MATCH(O696,Settings!$A$41:$A$50,0))&amp;""),"UNMAPPED"))</f>
        <v/>
      </c>
      <c r="Q696" s="38" t="n">
        <f aca="false">IF($M696="",0,N(INDEX($A696:$J696,$Q$6)))</f>
        <v>0</v>
      </c>
      <c r="R696" s="39" t="str">
        <f aca="false">IF($M696="","",INDEX($A696:$J696,$R$6))</f>
        <v/>
      </c>
      <c r="S696" s="37" t="str">
        <f aca="false">IF($M696="","",IFERROR(INDEX(Settings!$B$27:$B$36,MATCH(L696,Settings!$A$27:$A$36,0))&amp;"","UNMAPPED"))</f>
        <v/>
      </c>
      <c r="T696" s="37" t="str">
        <f aca="false">IF($M696="","",IF(NOT(ISNUMBER(R696)),"NO DATE",IF(S696="Won",IF(R696&gt;Settings!$B$5,"Backlog","Delivered"),IF(S696="Open",IF(R696&gt;Settings!$B$5,"Pipeline","Overdue"),IF(S696="Lost","Lost","UNMAPPED")))))</f>
        <v/>
      </c>
      <c r="U696" s="40" t="n">
        <f aca="false">IF(T696="Backlog",1,IF(OR(T696="Pipeline",T696="Overdue"),N(INDEX(Settings!$C$27:$C$36,MATCH(L696,Settings!$A$27:$A$36,0))),0))</f>
        <v>0</v>
      </c>
      <c r="V696" s="38" t="n">
        <f aca="false">Q696*U696</f>
        <v>0</v>
      </c>
      <c r="W696" s="41" t="str">
        <f aca="false">IF($M696="","",IF(T696="Overdue",IF(Settings!$B$8="Yes",Settings!$B$7,""),IF(ISNUMBER(R696),DATE(YEAR(R696),MONTH(R696),1),"")))</f>
        <v/>
      </c>
      <c r="X696" s="38" t="n">
        <f aca="false">IF(AND(OR(T696="Backlog",T696="Pipeline",T696="Overdue"),ISNUMBER(W696)),IF(W696&lt;=Settings!$B$6,V696,0),0)</f>
        <v>0</v>
      </c>
      <c r="Y696" s="38" t="n">
        <f aca="false">IF(AND(OR(T696="Backlog",T696="Pipeline",T696="Overdue"),ISNUMBER(W696)),IF(W696&lt;=Settings!$B$6,Q696,0),0)</f>
        <v>0</v>
      </c>
      <c r="Z696" s="38" t="n">
        <f aca="false">IF(Y696=0,0,IF(T696="Backlog",Q696,Q696*Dashboard!$C$10))</f>
        <v>0</v>
      </c>
      <c r="AA696" s="37" t="n">
        <f aca="false">IF($N696="",0,IF(COUNTIF(Dashboard!$C$13:$C$22,$N696)&gt;0,1,0))</f>
        <v>0</v>
      </c>
      <c r="AB696" s="37" t="str">
        <f aca="false">IF($N696="","",IF(COUNTIF($N$8:$N696,$N696)=1,MAX($AB$7:$AB695)+1,""))</f>
        <v/>
      </c>
    </row>
    <row r="697" customFormat="false" ht="15" hidden="false" customHeight="false" outlineLevel="0" collapsed="false">
      <c r="L697" s="37" t="str">
        <f aca="false">IF(INDEX($A697:$J697,$L$6)&lt;&gt;"",TRIM(LEFT(INDEX($A697:$J697,$L$6),FIND("(",INDEX($A697:$J697,$L$6)&amp;"(")-1)),L696)</f>
        <v>Building Value Proposition</v>
      </c>
      <c r="M697" s="37" t="str">
        <f aca="false">IF(INDEX($A697:$J697,$M$6)="","",INDEX($A697:$J697,$M$6)&amp;"")</f>
        <v/>
      </c>
      <c r="N697" s="37" t="str">
        <f aca="false">IF($M697="","",TRIM(INDEX($A697:$J697,$N$6)&amp;""))</f>
        <v/>
      </c>
      <c r="O697" s="37" t="str">
        <f aca="false">IF($M697="","",TRIM(INDEX($A697:$J697,$O$6)&amp;""))</f>
        <v/>
      </c>
      <c r="P697" s="37" t="str">
        <f aca="false">IF($M697="","",IFERROR(IF(INDEX(Settings!$B$41:$B$50,MATCH(O697,Settings!$A$41:$A$50,0))&amp;""="","UNMAPPED",INDEX(Settings!$B$41:$B$50,MATCH(O697,Settings!$A$41:$A$50,0))&amp;""),"UNMAPPED"))</f>
        <v/>
      </c>
      <c r="Q697" s="38" t="n">
        <f aca="false">IF($M697="",0,N(INDEX($A697:$J697,$Q$6)))</f>
        <v>0</v>
      </c>
      <c r="R697" s="39" t="str">
        <f aca="false">IF($M697="","",INDEX($A697:$J697,$R$6))</f>
        <v/>
      </c>
      <c r="S697" s="37" t="str">
        <f aca="false">IF($M697="","",IFERROR(INDEX(Settings!$B$27:$B$36,MATCH(L697,Settings!$A$27:$A$36,0))&amp;"","UNMAPPED"))</f>
        <v/>
      </c>
      <c r="T697" s="37" t="str">
        <f aca="false">IF($M697="","",IF(NOT(ISNUMBER(R697)),"NO DATE",IF(S697="Won",IF(R697&gt;Settings!$B$5,"Backlog","Delivered"),IF(S697="Open",IF(R697&gt;Settings!$B$5,"Pipeline","Overdue"),IF(S697="Lost","Lost","UNMAPPED")))))</f>
        <v/>
      </c>
      <c r="U697" s="40" t="n">
        <f aca="false">IF(T697="Backlog",1,IF(OR(T697="Pipeline",T697="Overdue"),N(INDEX(Settings!$C$27:$C$36,MATCH(L697,Settings!$A$27:$A$36,0))),0))</f>
        <v>0</v>
      </c>
      <c r="V697" s="38" t="n">
        <f aca="false">Q697*U697</f>
        <v>0</v>
      </c>
      <c r="W697" s="41" t="str">
        <f aca="false">IF($M697="","",IF(T697="Overdue",IF(Settings!$B$8="Yes",Settings!$B$7,""),IF(ISNUMBER(R697),DATE(YEAR(R697),MONTH(R697),1),"")))</f>
        <v/>
      </c>
      <c r="X697" s="38" t="n">
        <f aca="false">IF(AND(OR(T697="Backlog",T697="Pipeline",T697="Overdue"),ISNUMBER(W697)),IF(W697&lt;=Settings!$B$6,V697,0),0)</f>
        <v>0</v>
      </c>
      <c r="Y697" s="38" t="n">
        <f aca="false">IF(AND(OR(T697="Backlog",T697="Pipeline",T697="Overdue"),ISNUMBER(W697)),IF(W697&lt;=Settings!$B$6,Q697,0),0)</f>
        <v>0</v>
      </c>
      <c r="Z697" s="38" t="n">
        <f aca="false">IF(Y697=0,0,IF(T697="Backlog",Q697,Q697*Dashboard!$C$10))</f>
        <v>0</v>
      </c>
      <c r="AA697" s="37" t="n">
        <f aca="false">IF($N697="",0,IF(COUNTIF(Dashboard!$C$13:$C$22,$N697)&gt;0,1,0))</f>
        <v>0</v>
      </c>
      <c r="AB697" s="37" t="str">
        <f aca="false">IF($N697="","",IF(COUNTIF($N$8:$N697,$N697)=1,MAX($AB$7:$AB696)+1,""))</f>
        <v/>
      </c>
    </row>
    <row r="698" customFormat="false" ht="15" hidden="false" customHeight="false" outlineLevel="0" collapsed="false">
      <c r="L698" s="37" t="str">
        <f aca="false">IF(INDEX($A698:$J698,$L$6)&lt;&gt;"",TRIM(LEFT(INDEX($A698:$J698,$L$6),FIND("(",INDEX($A698:$J698,$L$6)&amp;"(")-1)),L697)</f>
        <v>Building Value Proposition</v>
      </c>
      <c r="M698" s="37" t="str">
        <f aca="false">IF(INDEX($A698:$J698,$M$6)="","",INDEX($A698:$J698,$M$6)&amp;"")</f>
        <v/>
      </c>
      <c r="N698" s="37" t="str">
        <f aca="false">IF($M698="","",TRIM(INDEX($A698:$J698,$N$6)&amp;""))</f>
        <v/>
      </c>
      <c r="O698" s="37" t="str">
        <f aca="false">IF($M698="","",TRIM(INDEX($A698:$J698,$O$6)&amp;""))</f>
        <v/>
      </c>
      <c r="P698" s="37" t="str">
        <f aca="false">IF($M698="","",IFERROR(IF(INDEX(Settings!$B$41:$B$50,MATCH(O698,Settings!$A$41:$A$50,0))&amp;""="","UNMAPPED",INDEX(Settings!$B$41:$B$50,MATCH(O698,Settings!$A$41:$A$50,0))&amp;""),"UNMAPPED"))</f>
        <v/>
      </c>
      <c r="Q698" s="38" t="n">
        <f aca="false">IF($M698="",0,N(INDEX($A698:$J698,$Q$6)))</f>
        <v>0</v>
      </c>
      <c r="R698" s="39" t="str">
        <f aca="false">IF($M698="","",INDEX($A698:$J698,$R$6))</f>
        <v/>
      </c>
      <c r="S698" s="37" t="str">
        <f aca="false">IF($M698="","",IFERROR(INDEX(Settings!$B$27:$B$36,MATCH(L698,Settings!$A$27:$A$36,0))&amp;"","UNMAPPED"))</f>
        <v/>
      </c>
      <c r="T698" s="37" t="str">
        <f aca="false">IF($M698="","",IF(NOT(ISNUMBER(R698)),"NO DATE",IF(S698="Won",IF(R698&gt;Settings!$B$5,"Backlog","Delivered"),IF(S698="Open",IF(R698&gt;Settings!$B$5,"Pipeline","Overdue"),IF(S698="Lost","Lost","UNMAPPED")))))</f>
        <v/>
      </c>
      <c r="U698" s="40" t="n">
        <f aca="false">IF(T698="Backlog",1,IF(OR(T698="Pipeline",T698="Overdue"),N(INDEX(Settings!$C$27:$C$36,MATCH(L698,Settings!$A$27:$A$36,0))),0))</f>
        <v>0</v>
      </c>
      <c r="V698" s="38" t="n">
        <f aca="false">Q698*U698</f>
        <v>0</v>
      </c>
      <c r="W698" s="41" t="str">
        <f aca="false">IF($M698="","",IF(T698="Overdue",IF(Settings!$B$8="Yes",Settings!$B$7,""),IF(ISNUMBER(R698),DATE(YEAR(R698),MONTH(R698),1),"")))</f>
        <v/>
      </c>
      <c r="X698" s="38" t="n">
        <f aca="false">IF(AND(OR(T698="Backlog",T698="Pipeline",T698="Overdue"),ISNUMBER(W698)),IF(W698&lt;=Settings!$B$6,V698,0),0)</f>
        <v>0</v>
      </c>
      <c r="Y698" s="38" t="n">
        <f aca="false">IF(AND(OR(T698="Backlog",T698="Pipeline",T698="Overdue"),ISNUMBER(W698)),IF(W698&lt;=Settings!$B$6,Q698,0),0)</f>
        <v>0</v>
      </c>
      <c r="Z698" s="38" t="n">
        <f aca="false">IF(Y698=0,0,IF(T698="Backlog",Q698,Q698*Dashboard!$C$10))</f>
        <v>0</v>
      </c>
      <c r="AA698" s="37" t="n">
        <f aca="false">IF($N698="",0,IF(COUNTIF(Dashboard!$C$13:$C$22,$N698)&gt;0,1,0))</f>
        <v>0</v>
      </c>
      <c r="AB698" s="37" t="str">
        <f aca="false">IF($N698="","",IF(COUNTIF($N$8:$N698,$N698)=1,MAX($AB$7:$AB697)+1,""))</f>
        <v/>
      </c>
    </row>
    <row r="699" customFormat="false" ht="15" hidden="false" customHeight="false" outlineLevel="0" collapsed="false">
      <c r="L699" s="37" t="str">
        <f aca="false">IF(INDEX($A699:$J699,$L$6)&lt;&gt;"",TRIM(LEFT(INDEX($A699:$J699,$L$6),FIND("(",INDEX($A699:$J699,$L$6)&amp;"(")-1)),L698)</f>
        <v>Building Value Proposition</v>
      </c>
      <c r="M699" s="37" t="str">
        <f aca="false">IF(INDEX($A699:$J699,$M$6)="","",INDEX($A699:$J699,$M$6)&amp;"")</f>
        <v/>
      </c>
      <c r="N699" s="37" t="str">
        <f aca="false">IF($M699="","",TRIM(INDEX($A699:$J699,$N$6)&amp;""))</f>
        <v/>
      </c>
      <c r="O699" s="37" t="str">
        <f aca="false">IF($M699="","",TRIM(INDEX($A699:$J699,$O$6)&amp;""))</f>
        <v/>
      </c>
      <c r="P699" s="37" t="str">
        <f aca="false">IF($M699="","",IFERROR(IF(INDEX(Settings!$B$41:$B$50,MATCH(O699,Settings!$A$41:$A$50,0))&amp;""="","UNMAPPED",INDEX(Settings!$B$41:$B$50,MATCH(O699,Settings!$A$41:$A$50,0))&amp;""),"UNMAPPED"))</f>
        <v/>
      </c>
      <c r="Q699" s="38" t="n">
        <f aca="false">IF($M699="",0,N(INDEX($A699:$J699,$Q$6)))</f>
        <v>0</v>
      </c>
      <c r="R699" s="39" t="str">
        <f aca="false">IF($M699="","",INDEX($A699:$J699,$R$6))</f>
        <v/>
      </c>
      <c r="S699" s="37" t="str">
        <f aca="false">IF($M699="","",IFERROR(INDEX(Settings!$B$27:$B$36,MATCH(L699,Settings!$A$27:$A$36,0))&amp;"","UNMAPPED"))</f>
        <v/>
      </c>
      <c r="T699" s="37" t="str">
        <f aca="false">IF($M699="","",IF(NOT(ISNUMBER(R699)),"NO DATE",IF(S699="Won",IF(R699&gt;Settings!$B$5,"Backlog","Delivered"),IF(S699="Open",IF(R699&gt;Settings!$B$5,"Pipeline","Overdue"),IF(S699="Lost","Lost","UNMAPPED")))))</f>
        <v/>
      </c>
      <c r="U699" s="40" t="n">
        <f aca="false">IF(T699="Backlog",1,IF(OR(T699="Pipeline",T699="Overdue"),N(INDEX(Settings!$C$27:$C$36,MATCH(L699,Settings!$A$27:$A$36,0))),0))</f>
        <v>0</v>
      </c>
      <c r="V699" s="38" t="n">
        <f aca="false">Q699*U699</f>
        <v>0</v>
      </c>
      <c r="W699" s="41" t="str">
        <f aca="false">IF($M699="","",IF(T699="Overdue",IF(Settings!$B$8="Yes",Settings!$B$7,""),IF(ISNUMBER(R699),DATE(YEAR(R699),MONTH(R699),1),"")))</f>
        <v/>
      </c>
      <c r="X699" s="38" t="n">
        <f aca="false">IF(AND(OR(T699="Backlog",T699="Pipeline",T699="Overdue"),ISNUMBER(W699)),IF(W699&lt;=Settings!$B$6,V699,0),0)</f>
        <v>0</v>
      </c>
      <c r="Y699" s="38" t="n">
        <f aca="false">IF(AND(OR(T699="Backlog",T699="Pipeline",T699="Overdue"),ISNUMBER(W699)),IF(W699&lt;=Settings!$B$6,Q699,0),0)</f>
        <v>0</v>
      </c>
      <c r="Z699" s="38" t="n">
        <f aca="false">IF(Y699=0,0,IF(T699="Backlog",Q699,Q699*Dashboard!$C$10))</f>
        <v>0</v>
      </c>
      <c r="AA699" s="37" t="n">
        <f aca="false">IF($N699="",0,IF(COUNTIF(Dashboard!$C$13:$C$22,$N699)&gt;0,1,0))</f>
        <v>0</v>
      </c>
      <c r="AB699" s="37" t="str">
        <f aca="false">IF($N699="","",IF(COUNTIF($N$8:$N699,$N699)=1,MAX($AB$7:$AB698)+1,""))</f>
        <v/>
      </c>
    </row>
    <row r="700" customFormat="false" ht="15" hidden="false" customHeight="false" outlineLevel="0" collapsed="false">
      <c r="L700" s="37" t="str">
        <f aca="false">IF(INDEX($A700:$J700,$L$6)&lt;&gt;"",TRIM(LEFT(INDEX($A700:$J700,$L$6),FIND("(",INDEX($A700:$J700,$L$6)&amp;"(")-1)),L699)</f>
        <v>Building Value Proposition</v>
      </c>
      <c r="M700" s="37" t="str">
        <f aca="false">IF(INDEX($A700:$J700,$M$6)="","",INDEX($A700:$J700,$M$6)&amp;"")</f>
        <v/>
      </c>
      <c r="N700" s="37" t="str">
        <f aca="false">IF($M700="","",TRIM(INDEX($A700:$J700,$N$6)&amp;""))</f>
        <v/>
      </c>
      <c r="O700" s="37" t="str">
        <f aca="false">IF($M700="","",TRIM(INDEX($A700:$J700,$O$6)&amp;""))</f>
        <v/>
      </c>
      <c r="P700" s="37" t="str">
        <f aca="false">IF($M700="","",IFERROR(IF(INDEX(Settings!$B$41:$B$50,MATCH(O700,Settings!$A$41:$A$50,0))&amp;""="","UNMAPPED",INDEX(Settings!$B$41:$B$50,MATCH(O700,Settings!$A$41:$A$50,0))&amp;""),"UNMAPPED"))</f>
        <v/>
      </c>
      <c r="Q700" s="38" t="n">
        <f aca="false">IF($M700="",0,N(INDEX($A700:$J700,$Q$6)))</f>
        <v>0</v>
      </c>
      <c r="R700" s="39" t="str">
        <f aca="false">IF($M700="","",INDEX($A700:$J700,$R$6))</f>
        <v/>
      </c>
      <c r="S700" s="37" t="str">
        <f aca="false">IF($M700="","",IFERROR(INDEX(Settings!$B$27:$B$36,MATCH(L700,Settings!$A$27:$A$36,0))&amp;"","UNMAPPED"))</f>
        <v/>
      </c>
      <c r="T700" s="37" t="str">
        <f aca="false">IF($M700="","",IF(NOT(ISNUMBER(R700)),"NO DATE",IF(S700="Won",IF(R700&gt;Settings!$B$5,"Backlog","Delivered"),IF(S700="Open",IF(R700&gt;Settings!$B$5,"Pipeline","Overdue"),IF(S700="Lost","Lost","UNMAPPED")))))</f>
        <v/>
      </c>
      <c r="U700" s="40" t="n">
        <f aca="false">IF(T700="Backlog",1,IF(OR(T700="Pipeline",T700="Overdue"),N(INDEX(Settings!$C$27:$C$36,MATCH(L700,Settings!$A$27:$A$36,0))),0))</f>
        <v>0</v>
      </c>
      <c r="V700" s="38" t="n">
        <f aca="false">Q700*U700</f>
        <v>0</v>
      </c>
      <c r="W700" s="41" t="str">
        <f aca="false">IF($M700="","",IF(T700="Overdue",IF(Settings!$B$8="Yes",Settings!$B$7,""),IF(ISNUMBER(R700),DATE(YEAR(R700),MONTH(R700),1),"")))</f>
        <v/>
      </c>
      <c r="X700" s="38" t="n">
        <f aca="false">IF(AND(OR(T700="Backlog",T700="Pipeline",T700="Overdue"),ISNUMBER(W700)),IF(W700&lt;=Settings!$B$6,V700,0),0)</f>
        <v>0</v>
      </c>
      <c r="Y700" s="38" t="n">
        <f aca="false">IF(AND(OR(T700="Backlog",T700="Pipeline",T700="Overdue"),ISNUMBER(W700)),IF(W700&lt;=Settings!$B$6,Q700,0),0)</f>
        <v>0</v>
      </c>
      <c r="Z700" s="38" t="n">
        <f aca="false">IF(Y700=0,0,IF(T700="Backlog",Q700,Q700*Dashboard!$C$10))</f>
        <v>0</v>
      </c>
      <c r="AA700" s="37" t="n">
        <f aca="false">IF($N700="",0,IF(COUNTIF(Dashboard!$C$13:$C$22,$N700)&gt;0,1,0))</f>
        <v>0</v>
      </c>
      <c r="AB700" s="37" t="str">
        <f aca="false">IF($N700="","",IF(COUNTIF($N$8:$N700,$N700)=1,MAX($AB$7:$AB699)+1,""))</f>
        <v/>
      </c>
    </row>
    <row r="701" customFormat="false" ht="15" hidden="false" customHeight="false" outlineLevel="0" collapsed="false">
      <c r="L701" s="37" t="str">
        <f aca="false">IF(INDEX($A701:$J701,$L$6)&lt;&gt;"",TRIM(LEFT(INDEX($A701:$J701,$L$6),FIND("(",INDEX($A701:$J701,$L$6)&amp;"(")-1)),L700)</f>
        <v>Building Value Proposition</v>
      </c>
      <c r="M701" s="37" t="str">
        <f aca="false">IF(INDEX($A701:$J701,$M$6)="","",INDEX($A701:$J701,$M$6)&amp;"")</f>
        <v/>
      </c>
      <c r="N701" s="37" t="str">
        <f aca="false">IF($M701="","",TRIM(INDEX($A701:$J701,$N$6)&amp;""))</f>
        <v/>
      </c>
      <c r="O701" s="37" t="str">
        <f aca="false">IF($M701="","",TRIM(INDEX($A701:$J701,$O$6)&amp;""))</f>
        <v/>
      </c>
      <c r="P701" s="37" t="str">
        <f aca="false">IF($M701="","",IFERROR(IF(INDEX(Settings!$B$41:$B$50,MATCH(O701,Settings!$A$41:$A$50,0))&amp;""="","UNMAPPED",INDEX(Settings!$B$41:$B$50,MATCH(O701,Settings!$A$41:$A$50,0))&amp;""),"UNMAPPED"))</f>
        <v/>
      </c>
      <c r="Q701" s="38" t="n">
        <f aca="false">IF($M701="",0,N(INDEX($A701:$J701,$Q$6)))</f>
        <v>0</v>
      </c>
      <c r="R701" s="39" t="str">
        <f aca="false">IF($M701="","",INDEX($A701:$J701,$R$6))</f>
        <v/>
      </c>
      <c r="S701" s="37" t="str">
        <f aca="false">IF($M701="","",IFERROR(INDEX(Settings!$B$27:$B$36,MATCH(L701,Settings!$A$27:$A$36,0))&amp;"","UNMAPPED"))</f>
        <v/>
      </c>
      <c r="T701" s="37" t="str">
        <f aca="false">IF($M701="","",IF(NOT(ISNUMBER(R701)),"NO DATE",IF(S701="Won",IF(R701&gt;Settings!$B$5,"Backlog","Delivered"),IF(S701="Open",IF(R701&gt;Settings!$B$5,"Pipeline","Overdue"),IF(S701="Lost","Lost","UNMAPPED")))))</f>
        <v/>
      </c>
      <c r="U701" s="40" t="n">
        <f aca="false">IF(T701="Backlog",1,IF(OR(T701="Pipeline",T701="Overdue"),N(INDEX(Settings!$C$27:$C$36,MATCH(L701,Settings!$A$27:$A$36,0))),0))</f>
        <v>0</v>
      </c>
      <c r="V701" s="38" t="n">
        <f aca="false">Q701*U701</f>
        <v>0</v>
      </c>
      <c r="W701" s="41" t="str">
        <f aca="false">IF($M701="","",IF(T701="Overdue",IF(Settings!$B$8="Yes",Settings!$B$7,""),IF(ISNUMBER(R701),DATE(YEAR(R701),MONTH(R701),1),"")))</f>
        <v/>
      </c>
      <c r="X701" s="38" t="n">
        <f aca="false">IF(AND(OR(T701="Backlog",T701="Pipeline",T701="Overdue"),ISNUMBER(W701)),IF(W701&lt;=Settings!$B$6,V701,0),0)</f>
        <v>0</v>
      </c>
      <c r="Y701" s="38" t="n">
        <f aca="false">IF(AND(OR(T701="Backlog",T701="Pipeline",T701="Overdue"),ISNUMBER(W701)),IF(W701&lt;=Settings!$B$6,Q701,0),0)</f>
        <v>0</v>
      </c>
      <c r="Z701" s="38" t="n">
        <f aca="false">IF(Y701=0,0,IF(T701="Backlog",Q701,Q701*Dashboard!$C$10))</f>
        <v>0</v>
      </c>
      <c r="AA701" s="37" t="n">
        <f aca="false">IF($N701="",0,IF(COUNTIF(Dashboard!$C$13:$C$22,$N701)&gt;0,1,0))</f>
        <v>0</v>
      </c>
      <c r="AB701" s="37" t="str">
        <f aca="false">IF($N701="","",IF(COUNTIF($N$8:$N701,$N701)=1,MAX($AB$7:$AB700)+1,""))</f>
        <v/>
      </c>
    </row>
    <row r="702" customFormat="false" ht="15" hidden="false" customHeight="false" outlineLevel="0" collapsed="false">
      <c r="L702" s="37" t="str">
        <f aca="false">IF(INDEX($A702:$J702,$L$6)&lt;&gt;"",TRIM(LEFT(INDEX($A702:$J702,$L$6),FIND("(",INDEX($A702:$J702,$L$6)&amp;"(")-1)),L701)</f>
        <v>Building Value Proposition</v>
      </c>
      <c r="M702" s="37" t="str">
        <f aca="false">IF(INDEX($A702:$J702,$M$6)="","",INDEX($A702:$J702,$M$6)&amp;"")</f>
        <v/>
      </c>
      <c r="N702" s="37" t="str">
        <f aca="false">IF($M702="","",TRIM(INDEX($A702:$J702,$N$6)&amp;""))</f>
        <v/>
      </c>
      <c r="O702" s="37" t="str">
        <f aca="false">IF($M702="","",TRIM(INDEX($A702:$J702,$O$6)&amp;""))</f>
        <v/>
      </c>
      <c r="P702" s="37" t="str">
        <f aca="false">IF($M702="","",IFERROR(IF(INDEX(Settings!$B$41:$B$50,MATCH(O702,Settings!$A$41:$A$50,0))&amp;""="","UNMAPPED",INDEX(Settings!$B$41:$B$50,MATCH(O702,Settings!$A$41:$A$50,0))&amp;""),"UNMAPPED"))</f>
        <v/>
      </c>
      <c r="Q702" s="38" t="n">
        <f aca="false">IF($M702="",0,N(INDEX($A702:$J702,$Q$6)))</f>
        <v>0</v>
      </c>
      <c r="R702" s="39" t="str">
        <f aca="false">IF($M702="","",INDEX($A702:$J702,$R$6))</f>
        <v/>
      </c>
      <c r="S702" s="37" t="str">
        <f aca="false">IF($M702="","",IFERROR(INDEX(Settings!$B$27:$B$36,MATCH(L702,Settings!$A$27:$A$36,0))&amp;"","UNMAPPED"))</f>
        <v/>
      </c>
      <c r="T702" s="37" t="str">
        <f aca="false">IF($M702="","",IF(NOT(ISNUMBER(R702)),"NO DATE",IF(S702="Won",IF(R702&gt;Settings!$B$5,"Backlog","Delivered"),IF(S702="Open",IF(R702&gt;Settings!$B$5,"Pipeline","Overdue"),IF(S702="Lost","Lost","UNMAPPED")))))</f>
        <v/>
      </c>
      <c r="U702" s="40" t="n">
        <f aca="false">IF(T702="Backlog",1,IF(OR(T702="Pipeline",T702="Overdue"),N(INDEX(Settings!$C$27:$C$36,MATCH(L702,Settings!$A$27:$A$36,0))),0))</f>
        <v>0</v>
      </c>
      <c r="V702" s="38" t="n">
        <f aca="false">Q702*U702</f>
        <v>0</v>
      </c>
      <c r="W702" s="41" t="str">
        <f aca="false">IF($M702="","",IF(T702="Overdue",IF(Settings!$B$8="Yes",Settings!$B$7,""),IF(ISNUMBER(R702),DATE(YEAR(R702),MONTH(R702),1),"")))</f>
        <v/>
      </c>
      <c r="X702" s="38" t="n">
        <f aca="false">IF(AND(OR(T702="Backlog",T702="Pipeline",T702="Overdue"),ISNUMBER(W702)),IF(W702&lt;=Settings!$B$6,V702,0),0)</f>
        <v>0</v>
      </c>
      <c r="Y702" s="38" t="n">
        <f aca="false">IF(AND(OR(T702="Backlog",T702="Pipeline",T702="Overdue"),ISNUMBER(W702)),IF(W702&lt;=Settings!$B$6,Q702,0),0)</f>
        <v>0</v>
      </c>
      <c r="Z702" s="38" t="n">
        <f aca="false">IF(Y702=0,0,IF(T702="Backlog",Q702,Q702*Dashboard!$C$10))</f>
        <v>0</v>
      </c>
      <c r="AA702" s="37" t="n">
        <f aca="false">IF($N702="",0,IF(COUNTIF(Dashboard!$C$13:$C$22,$N702)&gt;0,1,0))</f>
        <v>0</v>
      </c>
      <c r="AB702" s="37" t="str">
        <f aca="false">IF($N702="","",IF(COUNTIF($N$8:$N702,$N702)=1,MAX($AB$7:$AB701)+1,""))</f>
        <v/>
      </c>
    </row>
    <row r="703" customFormat="false" ht="15" hidden="false" customHeight="false" outlineLevel="0" collapsed="false">
      <c r="L703" s="37" t="str">
        <f aca="false">IF(INDEX($A703:$J703,$L$6)&lt;&gt;"",TRIM(LEFT(INDEX($A703:$J703,$L$6),FIND("(",INDEX($A703:$J703,$L$6)&amp;"(")-1)),L702)</f>
        <v>Building Value Proposition</v>
      </c>
      <c r="M703" s="37" t="str">
        <f aca="false">IF(INDEX($A703:$J703,$M$6)="","",INDEX($A703:$J703,$M$6)&amp;"")</f>
        <v/>
      </c>
      <c r="N703" s="37" t="str">
        <f aca="false">IF($M703="","",TRIM(INDEX($A703:$J703,$N$6)&amp;""))</f>
        <v/>
      </c>
      <c r="O703" s="37" t="str">
        <f aca="false">IF($M703="","",TRIM(INDEX($A703:$J703,$O$6)&amp;""))</f>
        <v/>
      </c>
      <c r="P703" s="37" t="str">
        <f aca="false">IF($M703="","",IFERROR(IF(INDEX(Settings!$B$41:$B$50,MATCH(O703,Settings!$A$41:$A$50,0))&amp;""="","UNMAPPED",INDEX(Settings!$B$41:$B$50,MATCH(O703,Settings!$A$41:$A$50,0))&amp;""),"UNMAPPED"))</f>
        <v/>
      </c>
      <c r="Q703" s="38" t="n">
        <f aca="false">IF($M703="",0,N(INDEX($A703:$J703,$Q$6)))</f>
        <v>0</v>
      </c>
      <c r="R703" s="39" t="str">
        <f aca="false">IF($M703="","",INDEX($A703:$J703,$R$6))</f>
        <v/>
      </c>
      <c r="S703" s="37" t="str">
        <f aca="false">IF($M703="","",IFERROR(INDEX(Settings!$B$27:$B$36,MATCH(L703,Settings!$A$27:$A$36,0))&amp;"","UNMAPPED"))</f>
        <v/>
      </c>
      <c r="T703" s="37" t="str">
        <f aca="false">IF($M703="","",IF(NOT(ISNUMBER(R703)),"NO DATE",IF(S703="Won",IF(R703&gt;Settings!$B$5,"Backlog","Delivered"),IF(S703="Open",IF(R703&gt;Settings!$B$5,"Pipeline","Overdue"),IF(S703="Lost","Lost","UNMAPPED")))))</f>
        <v/>
      </c>
      <c r="U703" s="40" t="n">
        <f aca="false">IF(T703="Backlog",1,IF(OR(T703="Pipeline",T703="Overdue"),N(INDEX(Settings!$C$27:$C$36,MATCH(L703,Settings!$A$27:$A$36,0))),0))</f>
        <v>0</v>
      </c>
      <c r="V703" s="38" t="n">
        <f aca="false">Q703*U703</f>
        <v>0</v>
      </c>
      <c r="W703" s="41" t="str">
        <f aca="false">IF($M703="","",IF(T703="Overdue",IF(Settings!$B$8="Yes",Settings!$B$7,""),IF(ISNUMBER(R703),DATE(YEAR(R703),MONTH(R703),1),"")))</f>
        <v/>
      </c>
      <c r="X703" s="38" t="n">
        <f aca="false">IF(AND(OR(T703="Backlog",T703="Pipeline",T703="Overdue"),ISNUMBER(W703)),IF(W703&lt;=Settings!$B$6,V703,0),0)</f>
        <v>0</v>
      </c>
      <c r="Y703" s="38" t="n">
        <f aca="false">IF(AND(OR(T703="Backlog",T703="Pipeline",T703="Overdue"),ISNUMBER(W703)),IF(W703&lt;=Settings!$B$6,Q703,0),0)</f>
        <v>0</v>
      </c>
      <c r="Z703" s="38" t="n">
        <f aca="false">IF(Y703=0,0,IF(T703="Backlog",Q703,Q703*Dashboard!$C$10))</f>
        <v>0</v>
      </c>
      <c r="AA703" s="37" t="n">
        <f aca="false">IF($N703="",0,IF(COUNTIF(Dashboard!$C$13:$C$22,$N703)&gt;0,1,0))</f>
        <v>0</v>
      </c>
      <c r="AB703" s="37" t="str">
        <f aca="false">IF($N703="","",IF(COUNTIF($N$8:$N703,$N703)=1,MAX($AB$7:$AB702)+1,""))</f>
        <v/>
      </c>
    </row>
    <row r="704" customFormat="false" ht="15" hidden="false" customHeight="false" outlineLevel="0" collapsed="false">
      <c r="L704" s="37" t="str">
        <f aca="false">IF(INDEX($A704:$J704,$L$6)&lt;&gt;"",TRIM(LEFT(INDEX($A704:$J704,$L$6),FIND("(",INDEX($A704:$J704,$L$6)&amp;"(")-1)),L703)</f>
        <v>Building Value Proposition</v>
      </c>
      <c r="M704" s="37" t="str">
        <f aca="false">IF(INDEX($A704:$J704,$M$6)="","",INDEX($A704:$J704,$M$6)&amp;"")</f>
        <v/>
      </c>
      <c r="N704" s="37" t="str">
        <f aca="false">IF($M704="","",TRIM(INDEX($A704:$J704,$N$6)&amp;""))</f>
        <v/>
      </c>
      <c r="O704" s="37" t="str">
        <f aca="false">IF($M704="","",TRIM(INDEX($A704:$J704,$O$6)&amp;""))</f>
        <v/>
      </c>
      <c r="P704" s="37" t="str">
        <f aca="false">IF($M704="","",IFERROR(IF(INDEX(Settings!$B$41:$B$50,MATCH(O704,Settings!$A$41:$A$50,0))&amp;""="","UNMAPPED",INDEX(Settings!$B$41:$B$50,MATCH(O704,Settings!$A$41:$A$50,0))&amp;""),"UNMAPPED"))</f>
        <v/>
      </c>
      <c r="Q704" s="38" t="n">
        <f aca="false">IF($M704="",0,N(INDEX($A704:$J704,$Q$6)))</f>
        <v>0</v>
      </c>
      <c r="R704" s="39" t="str">
        <f aca="false">IF($M704="","",INDEX($A704:$J704,$R$6))</f>
        <v/>
      </c>
      <c r="S704" s="37" t="str">
        <f aca="false">IF($M704="","",IFERROR(INDEX(Settings!$B$27:$B$36,MATCH(L704,Settings!$A$27:$A$36,0))&amp;"","UNMAPPED"))</f>
        <v/>
      </c>
      <c r="T704" s="37" t="str">
        <f aca="false">IF($M704="","",IF(NOT(ISNUMBER(R704)),"NO DATE",IF(S704="Won",IF(R704&gt;Settings!$B$5,"Backlog","Delivered"),IF(S704="Open",IF(R704&gt;Settings!$B$5,"Pipeline","Overdue"),IF(S704="Lost","Lost","UNMAPPED")))))</f>
        <v/>
      </c>
      <c r="U704" s="40" t="n">
        <f aca="false">IF(T704="Backlog",1,IF(OR(T704="Pipeline",T704="Overdue"),N(INDEX(Settings!$C$27:$C$36,MATCH(L704,Settings!$A$27:$A$36,0))),0))</f>
        <v>0</v>
      </c>
      <c r="V704" s="38" t="n">
        <f aca="false">Q704*U704</f>
        <v>0</v>
      </c>
      <c r="W704" s="41" t="str">
        <f aca="false">IF($M704="","",IF(T704="Overdue",IF(Settings!$B$8="Yes",Settings!$B$7,""),IF(ISNUMBER(R704),DATE(YEAR(R704),MONTH(R704),1),"")))</f>
        <v/>
      </c>
      <c r="X704" s="38" t="n">
        <f aca="false">IF(AND(OR(T704="Backlog",T704="Pipeline",T704="Overdue"),ISNUMBER(W704)),IF(W704&lt;=Settings!$B$6,V704,0),0)</f>
        <v>0</v>
      </c>
      <c r="Y704" s="38" t="n">
        <f aca="false">IF(AND(OR(T704="Backlog",T704="Pipeline",T704="Overdue"),ISNUMBER(W704)),IF(W704&lt;=Settings!$B$6,Q704,0),0)</f>
        <v>0</v>
      </c>
      <c r="Z704" s="38" t="n">
        <f aca="false">IF(Y704=0,0,IF(T704="Backlog",Q704,Q704*Dashboard!$C$10))</f>
        <v>0</v>
      </c>
      <c r="AA704" s="37" t="n">
        <f aca="false">IF($N704="",0,IF(COUNTIF(Dashboard!$C$13:$C$22,$N704)&gt;0,1,0))</f>
        <v>0</v>
      </c>
      <c r="AB704" s="37" t="str">
        <f aca="false">IF($N704="","",IF(COUNTIF($N$8:$N704,$N704)=1,MAX($AB$7:$AB703)+1,""))</f>
        <v/>
      </c>
    </row>
    <row r="705" customFormat="false" ht="15" hidden="false" customHeight="false" outlineLevel="0" collapsed="false">
      <c r="L705" s="37" t="str">
        <f aca="false">IF(INDEX($A705:$J705,$L$6)&lt;&gt;"",TRIM(LEFT(INDEX($A705:$J705,$L$6),FIND("(",INDEX($A705:$J705,$L$6)&amp;"(")-1)),L704)</f>
        <v>Building Value Proposition</v>
      </c>
      <c r="M705" s="37" t="str">
        <f aca="false">IF(INDEX($A705:$J705,$M$6)="","",INDEX($A705:$J705,$M$6)&amp;"")</f>
        <v/>
      </c>
      <c r="N705" s="37" t="str">
        <f aca="false">IF($M705="","",TRIM(INDEX($A705:$J705,$N$6)&amp;""))</f>
        <v/>
      </c>
      <c r="O705" s="37" t="str">
        <f aca="false">IF($M705="","",TRIM(INDEX($A705:$J705,$O$6)&amp;""))</f>
        <v/>
      </c>
      <c r="P705" s="37" t="str">
        <f aca="false">IF($M705="","",IFERROR(IF(INDEX(Settings!$B$41:$B$50,MATCH(O705,Settings!$A$41:$A$50,0))&amp;""="","UNMAPPED",INDEX(Settings!$B$41:$B$50,MATCH(O705,Settings!$A$41:$A$50,0))&amp;""),"UNMAPPED"))</f>
        <v/>
      </c>
      <c r="Q705" s="38" t="n">
        <f aca="false">IF($M705="",0,N(INDEX($A705:$J705,$Q$6)))</f>
        <v>0</v>
      </c>
      <c r="R705" s="39" t="str">
        <f aca="false">IF($M705="","",INDEX($A705:$J705,$R$6))</f>
        <v/>
      </c>
      <c r="S705" s="37" t="str">
        <f aca="false">IF($M705="","",IFERROR(INDEX(Settings!$B$27:$B$36,MATCH(L705,Settings!$A$27:$A$36,0))&amp;"","UNMAPPED"))</f>
        <v/>
      </c>
      <c r="T705" s="37" t="str">
        <f aca="false">IF($M705="","",IF(NOT(ISNUMBER(R705)),"NO DATE",IF(S705="Won",IF(R705&gt;Settings!$B$5,"Backlog","Delivered"),IF(S705="Open",IF(R705&gt;Settings!$B$5,"Pipeline","Overdue"),IF(S705="Lost","Lost","UNMAPPED")))))</f>
        <v/>
      </c>
      <c r="U705" s="40" t="n">
        <f aca="false">IF(T705="Backlog",1,IF(OR(T705="Pipeline",T705="Overdue"),N(INDEX(Settings!$C$27:$C$36,MATCH(L705,Settings!$A$27:$A$36,0))),0))</f>
        <v>0</v>
      </c>
      <c r="V705" s="38" t="n">
        <f aca="false">Q705*U705</f>
        <v>0</v>
      </c>
      <c r="W705" s="41" t="str">
        <f aca="false">IF($M705="","",IF(T705="Overdue",IF(Settings!$B$8="Yes",Settings!$B$7,""),IF(ISNUMBER(R705),DATE(YEAR(R705),MONTH(R705),1),"")))</f>
        <v/>
      </c>
      <c r="X705" s="38" t="n">
        <f aca="false">IF(AND(OR(T705="Backlog",T705="Pipeline",T705="Overdue"),ISNUMBER(W705)),IF(W705&lt;=Settings!$B$6,V705,0),0)</f>
        <v>0</v>
      </c>
      <c r="Y705" s="38" t="n">
        <f aca="false">IF(AND(OR(T705="Backlog",T705="Pipeline",T705="Overdue"),ISNUMBER(W705)),IF(W705&lt;=Settings!$B$6,Q705,0),0)</f>
        <v>0</v>
      </c>
      <c r="Z705" s="38" t="n">
        <f aca="false">IF(Y705=0,0,IF(T705="Backlog",Q705,Q705*Dashboard!$C$10))</f>
        <v>0</v>
      </c>
      <c r="AA705" s="37" t="n">
        <f aca="false">IF($N705="",0,IF(COUNTIF(Dashboard!$C$13:$C$22,$N705)&gt;0,1,0))</f>
        <v>0</v>
      </c>
      <c r="AB705" s="37" t="str">
        <f aca="false">IF($N705="","",IF(COUNTIF($N$8:$N705,$N705)=1,MAX($AB$7:$AB704)+1,""))</f>
        <v/>
      </c>
    </row>
    <row r="706" customFormat="false" ht="15" hidden="false" customHeight="false" outlineLevel="0" collapsed="false">
      <c r="L706" s="37" t="str">
        <f aca="false">IF(INDEX($A706:$J706,$L$6)&lt;&gt;"",TRIM(LEFT(INDEX($A706:$J706,$L$6),FIND("(",INDEX($A706:$J706,$L$6)&amp;"(")-1)),L705)</f>
        <v>Building Value Proposition</v>
      </c>
      <c r="M706" s="37" t="str">
        <f aca="false">IF(INDEX($A706:$J706,$M$6)="","",INDEX($A706:$J706,$M$6)&amp;"")</f>
        <v/>
      </c>
      <c r="N706" s="37" t="str">
        <f aca="false">IF($M706="","",TRIM(INDEX($A706:$J706,$N$6)&amp;""))</f>
        <v/>
      </c>
      <c r="O706" s="37" t="str">
        <f aca="false">IF($M706="","",TRIM(INDEX($A706:$J706,$O$6)&amp;""))</f>
        <v/>
      </c>
      <c r="P706" s="37" t="str">
        <f aca="false">IF($M706="","",IFERROR(IF(INDEX(Settings!$B$41:$B$50,MATCH(O706,Settings!$A$41:$A$50,0))&amp;""="","UNMAPPED",INDEX(Settings!$B$41:$B$50,MATCH(O706,Settings!$A$41:$A$50,0))&amp;""),"UNMAPPED"))</f>
        <v/>
      </c>
      <c r="Q706" s="38" t="n">
        <f aca="false">IF($M706="",0,N(INDEX($A706:$J706,$Q$6)))</f>
        <v>0</v>
      </c>
      <c r="R706" s="39" t="str">
        <f aca="false">IF($M706="","",INDEX($A706:$J706,$R$6))</f>
        <v/>
      </c>
      <c r="S706" s="37" t="str">
        <f aca="false">IF($M706="","",IFERROR(INDEX(Settings!$B$27:$B$36,MATCH(L706,Settings!$A$27:$A$36,0))&amp;"","UNMAPPED"))</f>
        <v/>
      </c>
      <c r="T706" s="37" t="str">
        <f aca="false">IF($M706="","",IF(NOT(ISNUMBER(R706)),"NO DATE",IF(S706="Won",IF(R706&gt;Settings!$B$5,"Backlog","Delivered"),IF(S706="Open",IF(R706&gt;Settings!$B$5,"Pipeline","Overdue"),IF(S706="Lost","Lost","UNMAPPED")))))</f>
        <v/>
      </c>
      <c r="U706" s="40" t="n">
        <f aca="false">IF(T706="Backlog",1,IF(OR(T706="Pipeline",T706="Overdue"),N(INDEX(Settings!$C$27:$C$36,MATCH(L706,Settings!$A$27:$A$36,0))),0))</f>
        <v>0</v>
      </c>
      <c r="V706" s="38" t="n">
        <f aca="false">Q706*U706</f>
        <v>0</v>
      </c>
      <c r="W706" s="41" t="str">
        <f aca="false">IF($M706="","",IF(T706="Overdue",IF(Settings!$B$8="Yes",Settings!$B$7,""),IF(ISNUMBER(R706),DATE(YEAR(R706),MONTH(R706),1),"")))</f>
        <v/>
      </c>
      <c r="X706" s="38" t="n">
        <f aca="false">IF(AND(OR(T706="Backlog",T706="Pipeline",T706="Overdue"),ISNUMBER(W706)),IF(W706&lt;=Settings!$B$6,V706,0),0)</f>
        <v>0</v>
      </c>
      <c r="Y706" s="38" t="n">
        <f aca="false">IF(AND(OR(T706="Backlog",T706="Pipeline",T706="Overdue"),ISNUMBER(W706)),IF(W706&lt;=Settings!$B$6,Q706,0),0)</f>
        <v>0</v>
      </c>
      <c r="Z706" s="38" t="n">
        <f aca="false">IF(Y706=0,0,IF(T706="Backlog",Q706,Q706*Dashboard!$C$10))</f>
        <v>0</v>
      </c>
      <c r="AA706" s="37" t="n">
        <f aca="false">IF($N706="",0,IF(COUNTIF(Dashboard!$C$13:$C$22,$N706)&gt;0,1,0))</f>
        <v>0</v>
      </c>
      <c r="AB706" s="37" t="str">
        <f aca="false">IF($N706="","",IF(COUNTIF($N$8:$N706,$N706)=1,MAX($AB$7:$AB705)+1,""))</f>
        <v/>
      </c>
    </row>
    <row r="707" customFormat="false" ht="15" hidden="false" customHeight="false" outlineLevel="0" collapsed="false">
      <c r="L707" s="37" t="str">
        <f aca="false">IF(INDEX($A707:$J707,$L$6)&lt;&gt;"",TRIM(LEFT(INDEX($A707:$J707,$L$6),FIND("(",INDEX($A707:$J707,$L$6)&amp;"(")-1)),L706)</f>
        <v>Building Value Proposition</v>
      </c>
      <c r="M707" s="37" t="str">
        <f aca="false">IF(INDEX($A707:$J707,$M$6)="","",INDEX($A707:$J707,$M$6)&amp;"")</f>
        <v/>
      </c>
      <c r="N707" s="37" t="str">
        <f aca="false">IF($M707="","",TRIM(INDEX($A707:$J707,$N$6)&amp;""))</f>
        <v/>
      </c>
      <c r="O707" s="37" t="str">
        <f aca="false">IF($M707="","",TRIM(INDEX($A707:$J707,$O$6)&amp;""))</f>
        <v/>
      </c>
      <c r="P707" s="37" t="str">
        <f aca="false">IF($M707="","",IFERROR(IF(INDEX(Settings!$B$41:$B$50,MATCH(O707,Settings!$A$41:$A$50,0))&amp;""="","UNMAPPED",INDEX(Settings!$B$41:$B$50,MATCH(O707,Settings!$A$41:$A$50,0))&amp;""),"UNMAPPED"))</f>
        <v/>
      </c>
      <c r="Q707" s="38" t="n">
        <f aca="false">IF($M707="",0,N(INDEX($A707:$J707,$Q$6)))</f>
        <v>0</v>
      </c>
      <c r="R707" s="39" t="str">
        <f aca="false">IF($M707="","",INDEX($A707:$J707,$R$6))</f>
        <v/>
      </c>
      <c r="S707" s="37" t="str">
        <f aca="false">IF($M707="","",IFERROR(INDEX(Settings!$B$27:$B$36,MATCH(L707,Settings!$A$27:$A$36,0))&amp;"","UNMAPPED"))</f>
        <v/>
      </c>
      <c r="T707" s="37" t="str">
        <f aca="false">IF($M707="","",IF(NOT(ISNUMBER(R707)),"NO DATE",IF(S707="Won",IF(R707&gt;Settings!$B$5,"Backlog","Delivered"),IF(S707="Open",IF(R707&gt;Settings!$B$5,"Pipeline","Overdue"),IF(S707="Lost","Lost","UNMAPPED")))))</f>
        <v/>
      </c>
      <c r="U707" s="40" t="n">
        <f aca="false">IF(T707="Backlog",1,IF(OR(T707="Pipeline",T707="Overdue"),N(INDEX(Settings!$C$27:$C$36,MATCH(L707,Settings!$A$27:$A$36,0))),0))</f>
        <v>0</v>
      </c>
      <c r="V707" s="38" t="n">
        <f aca="false">Q707*U707</f>
        <v>0</v>
      </c>
      <c r="W707" s="41" t="str">
        <f aca="false">IF($M707="","",IF(T707="Overdue",IF(Settings!$B$8="Yes",Settings!$B$7,""),IF(ISNUMBER(R707),DATE(YEAR(R707),MONTH(R707),1),"")))</f>
        <v/>
      </c>
      <c r="X707" s="38" t="n">
        <f aca="false">IF(AND(OR(T707="Backlog",T707="Pipeline",T707="Overdue"),ISNUMBER(W707)),IF(W707&lt;=Settings!$B$6,V707,0),0)</f>
        <v>0</v>
      </c>
      <c r="Y707" s="38" t="n">
        <f aca="false">IF(AND(OR(T707="Backlog",T707="Pipeline",T707="Overdue"),ISNUMBER(W707)),IF(W707&lt;=Settings!$B$6,Q707,0),0)</f>
        <v>0</v>
      </c>
      <c r="Z707" s="38" t="n">
        <f aca="false">IF(Y707=0,0,IF(T707="Backlog",Q707,Q707*Dashboard!$C$10))</f>
        <v>0</v>
      </c>
      <c r="AA707" s="37" t="n">
        <f aca="false">IF($N707="",0,IF(COUNTIF(Dashboard!$C$13:$C$22,$N707)&gt;0,1,0))</f>
        <v>0</v>
      </c>
      <c r="AB707" s="37" t="str">
        <f aca="false">IF($N707="","",IF(COUNTIF($N$8:$N707,$N707)=1,MAX($AB$7:$AB706)+1,""))</f>
        <v/>
      </c>
    </row>
    <row r="708" customFormat="false" ht="15" hidden="false" customHeight="false" outlineLevel="0" collapsed="false">
      <c r="L708" s="37" t="str">
        <f aca="false">IF(INDEX($A708:$J708,$L$6)&lt;&gt;"",TRIM(LEFT(INDEX($A708:$J708,$L$6),FIND("(",INDEX($A708:$J708,$L$6)&amp;"(")-1)),L707)</f>
        <v>Building Value Proposition</v>
      </c>
      <c r="M708" s="37" t="str">
        <f aca="false">IF(INDEX($A708:$J708,$M$6)="","",INDEX($A708:$J708,$M$6)&amp;"")</f>
        <v/>
      </c>
      <c r="N708" s="37" t="str">
        <f aca="false">IF($M708="","",TRIM(INDEX($A708:$J708,$N$6)&amp;""))</f>
        <v/>
      </c>
      <c r="O708" s="37" t="str">
        <f aca="false">IF($M708="","",TRIM(INDEX($A708:$J708,$O$6)&amp;""))</f>
        <v/>
      </c>
      <c r="P708" s="37" t="str">
        <f aca="false">IF($M708="","",IFERROR(IF(INDEX(Settings!$B$41:$B$50,MATCH(O708,Settings!$A$41:$A$50,0))&amp;""="","UNMAPPED",INDEX(Settings!$B$41:$B$50,MATCH(O708,Settings!$A$41:$A$50,0))&amp;""),"UNMAPPED"))</f>
        <v/>
      </c>
      <c r="Q708" s="38" t="n">
        <f aca="false">IF($M708="",0,N(INDEX($A708:$J708,$Q$6)))</f>
        <v>0</v>
      </c>
      <c r="R708" s="39" t="str">
        <f aca="false">IF($M708="","",INDEX($A708:$J708,$R$6))</f>
        <v/>
      </c>
      <c r="S708" s="37" t="str">
        <f aca="false">IF($M708="","",IFERROR(INDEX(Settings!$B$27:$B$36,MATCH(L708,Settings!$A$27:$A$36,0))&amp;"","UNMAPPED"))</f>
        <v/>
      </c>
      <c r="T708" s="37" t="str">
        <f aca="false">IF($M708="","",IF(NOT(ISNUMBER(R708)),"NO DATE",IF(S708="Won",IF(R708&gt;Settings!$B$5,"Backlog","Delivered"),IF(S708="Open",IF(R708&gt;Settings!$B$5,"Pipeline","Overdue"),IF(S708="Lost","Lost","UNMAPPED")))))</f>
        <v/>
      </c>
      <c r="U708" s="40" t="n">
        <f aca="false">IF(T708="Backlog",1,IF(OR(T708="Pipeline",T708="Overdue"),N(INDEX(Settings!$C$27:$C$36,MATCH(L708,Settings!$A$27:$A$36,0))),0))</f>
        <v>0</v>
      </c>
      <c r="V708" s="38" t="n">
        <f aca="false">Q708*U708</f>
        <v>0</v>
      </c>
      <c r="W708" s="41" t="str">
        <f aca="false">IF($M708="","",IF(T708="Overdue",IF(Settings!$B$8="Yes",Settings!$B$7,""),IF(ISNUMBER(R708),DATE(YEAR(R708),MONTH(R708),1),"")))</f>
        <v/>
      </c>
      <c r="X708" s="38" t="n">
        <f aca="false">IF(AND(OR(T708="Backlog",T708="Pipeline",T708="Overdue"),ISNUMBER(W708)),IF(W708&lt;=Settings!$B$6,V708,0),0)</f>
        <v>0</v>
      </c>
      <c r="Y708" s="38" t="n">
        <f aca="false">IF(AND(OR(T708="Backlog",T708="Pipeline",T708="Overdue"),ISNUMBER(W708)),IF(W708&lt;=Settings!$B$6,Q708,0),0)</f>
        <v>0</v>
      </c>
      <c r="Z708" s="38" t="n">
        <f aca="false">IF(Y708=0,0,IF(T708="Backlog",Q708,Q708*Dashboard!$C$10))</f>
        <v>0</v>
      </c>
      <c r="AA708" s="37" t="n">
        <f aca="false">IF($N708="",0,IF(COUNTIF(Dashboard!$C$13:$C$22,$N708)&gt;0,1,0))</f>
        <v>0</v>
      </c>
      <c r="AB708" s="37" t="str">
        <f aca="false">IF($N708="","",IF(COUNTIF($N$8:$N708,$N708)=1,MAX($AB$7:$AB707)+1,""))</f>
        <v/>
      </c>
    </row>
    <row r="709" customFormat="false" ht="15" hidden="false" customHeight="false" outlineLevel="0" collapsed="false">
      <c r="L709" s="37" t="str">
        <f aca="false">IF(INDEX($A709:$J709,$L$6)&lt;&gt;"",TRIM(LEFT(INDEX($A709:$J709,$L$6),FIND("(",INDEX($A709:$J709,$L$6)&amp;"(")-1)),L708)</f>
        <v>Building Value Proposition</v>
      </c>
      <c r="M709" s="37" t="str">
        <f aca="false">IF(INDEX($A709:$J709,$M$6)="","",INDEX($A709:$J709,$M$6)&amp;"")</f>
        <v/>
      </c>
      <c r="N709" s="37" t="str">
        <f aca="false">IF($M709="","",TRIM(INDEX($A709:$J709,$N$6)&amp;""))</f>
        <v/>
      </c>
      <c r="O709" s="37" t="str">
        <f aca="false">IF($M709="","",TRIM(INDEX($A709:$J709,$O$6)&amp;""))</f>
        <v/>
      </c>
      <c r="P709" s="37" t="str">
        <f aca="false">IF($M709="","",IFERROR(IF(INDEX(Settings!$B$41:$B$50,MATCH(O709,Settings!$A$41:$A$50,0))&amp;""="","UNMAPPED",INDEX(Settings!$B$41:$B$50,MATCH(O709,Settings!$A$41:$A$50,0))&amp;""),"UNMAPPED"))</f>
        <v/>
      </c>
      <c r="Q709" s="38" t="n">
        <f aca="false">IF($M709="",0,N(INDEX($A709:$J709,$Q$6)))</f>
        <v>0</v>
      </c>
      <c r="R709" s="39" t="str">
        <f aca="false">IF($M709="","",INDEX($A709:$J709,$R$6))</f>
        <v/>
      </c>
      <c r="S709" s="37" t="str">
        <f aca="false">IF($M709="","",IFERROR(INDEX(Settings!$B$27:$B$36,MATCH(L709,Settings!$A$27:$A$36,0))&amp;"","UNMAPPED"))</f>
        <v/>
      </c>
      <c r="T709" s="37" t="str">
        <f aca="false">IF($M709="","",IF(NOT(ISNUMBER(R709)),"NO DATE",IF(S709="Won",IF(R709&gt;Settings!$B$5,"Backlog","Delivered"),IF(S709="Open",IF(R709&gt;Settings!$B$5,"Pipeline","Overdue"),IF(S709="Lost","Lost","UNMAPPED")))))</f>
        <v/>
      </c>
      <c r="U709" s="40" t="n">
        <f aca="false">IF(T709="Backlog",1,IF(OR(T709="Pipeline",T709="Overdue"),N(INDEX(Settings!$C$27:$C$36,MATCH(L709,Settings!$A$27:$A$36,0))),0))</f>
        <v>0</v>
      </c>
      <c r="V709" s="38" t="n">
        <f aca="false">Q709*U709</f>
        <v>0</v>
      </c>
      <c r="W709" s="41" t="str">
        <f aca="false">IF($M709="","",IF(T709="Overdue",IF(Settings!$B$8="Yes",Settings!$B$7,""),IF(ISNUMBER(R709),DATE(YEAR(R709),MONTH(R709),1),"")))</f>
        <v/>
      </c>
      <c r="X709" s="38" t="n">
        <f aca="false">IF(AND(OR(T709="Backlog",T709="Pipeline",T709="Overdue"),ISNUMBER(W709)),IF(W709&lt;=Settings!$B$6,V709,0),0)</f>
        <v>0</v>
      </c>
      <c r="Y709" s="38" t="n">
        <f aca="false">IF(AND(OR(T709="Backlog",T709="Pipeline",T709="Overdue"),ISNUMBER(W709)),IF(W709&lt;=Settings!$B$6,Q709,0),0)</f>
        <v>0</v>
      </c>
      <c r="Z709" s="38" t="n">
        <f aca="false">IF(Y709=0,0,IF(T709="Backlog",Q709,Q709*Dashboard!$C$10))</f>
        <v>0</v>
      </c>
      <c r="AA709" s="37" t="n">
        <f aca="false">IF($N709="",0,IF(COUNTIF(Dashboard!$C$13:$C$22,$N709)&gt;0,1,0))</f>
        <v>0</v>
      </c>
      <c r="AB709" s="37" t="str">
        <f aca="false">IF($N709="","",IF(COUNTIF($N$8:$N709,$N709)=1,MAX($AB$7:$AB708)+1,""))</f>
        <v/>
      </c>
    </row>
    <row r="710" customFormat="false" ht="15" hidden="false" customHeight="false" outlineLevel="0" collapsed="false">
      <c r="L710" s="37" t="str">
        <f aca="false">IF(INDEX($A710:$J710,$L$6)&lt;&gt;"",TRIM(LEFT(INDEX($A710:$J710,$L$6),FIND("(",INDEX($A710:$J710,$L$6)&amp;"(")-1)),L709)</f>
        <v>Building Value Proposition</v>
      </c>
      <c r="M710" s="37" t="str">
        <f aca="false">IF(INDEX($A710:$J710,$M$6)="","",INDEX($A710:$J710,$M$6)&amp;"")</f>
        <v/>
      </c>
      <c r="N710" s="37" t="str">
        <f aca="false">IF($M710="","",TRIM(INDEX($A710:$J710,$N$6)&amp;""))</f>
        <v/>
      </c>
      <c r="O710" s="37" t="str">
        <f aca="false">IF($M710="","",TRIM(INDEX($A710:$J710,$O$6)&amp;""))</f>
        <v/>
      </c>
      <c r="P710" s="37" t="str">
        <f aca="false">IF($M710="","",IFERROR(IF(INDEX(Settings!$B$41:$B$50,MATCH(O710,Settings!$A$41:$A$50,0))&amp;""="","UNMAPPED",INDEX(Settings!$B$41:$B$50,MATCH(O710,Settings!$A$41:$A$50,0))&amp;""),"UNMAPPED"))</f>
        <v/>
      </c>
      <c r="Q710" s="38" t="n">
        <f aca="false">IF($M710="",0,N(INDEX($A710:$J710,$Q$6)))</f>
        <v>0</v>
      </c>
      <c r="R710" s="39" t="str">
        <f aca="false">IF($M710="","",INDEX($A710:$J710,$R$6))</f>
        <v/>
      </c>
      <c r="S710" s="37" t="str">
        <f aca="false">IF($M710="","",IFERROR(INDEX(Settings!$B$27:$B$36,MATCH(L710,Settings!$A$27:$A$36,0))&amp;"","UNMAPPED"))</f>
        <v/>
      </c>
      <c r="T710" s="37" t="str">
        <f aca="false">IF($M710="","",IF(NOT(ISNUMBER(R710)),"NO DATE",IF(S710="Won",IF(R710&gt;Settings!$B$5,"Backlog","Delivered"),IF(S710="Open",IF(R710&gt;Settings!$B$5,"Pipeline","Overdue"),IF(S710="Lost","Lost","UNMAPPED")))))</f>
        <v/>
      </c>
      <c r="U710" s="40" t="n">
        <f aca="false">IF(T710="Backlog",1,IF(OR(T710="Pipeline",T710="Overdue"),N(INDEX(Settings!$C$27:$C$36,MATCH(L710,Settings!$A$27:$A$36,0))),0))</f>
        <v>0</v>
      </c>
      <c r="V710" s="38" t="n">
        <f aca="false">Q710*U710</f>
        <v>0</v>
      </c>
      <c r="W710" s="41" t="str">
        <f aca="false">IF($M710="","",IF(T710="Overdue",IF(Settings!$B$8="Yes",Settings!$B$7,""),IF(ISNUMBER(R710),DATE(YEAR(R710),MONTH(R710),1),"")))</f>
        <v/>
      </c>
      <c r="X710" s="38" t="n">
        <f aca="false">IF(AND(OR(T710="Backlog",T710="Pipeline",T710="Overdue"),ISNUMBER(W710)),IF(W710&lt;=Settings!$B$6,V710,0),0)</f>
        <v>0</v>
      </c>
      <c r="Y710" s="38" t="n">
        <f aca="false">IF(AND(OR(T710="Backlog",T710="Pipeline",T710="Overdue"),ISNUMBER(W710)),IF(W710&lt;=Settings!$B$6,Q710,0),0)</f>
        <v>0</v>
      </c>
      <c r="Z710" s="38" t="n">
        <f aca="false">IF(Y710=0,0,IF(T710="Backlog",Q710,Q710*Dashboard!$C$10))</f>
        <v>0</v>
      </c>
      <c r="AA710" s="37" t="n">
        <f aca="false">IF($N710="",0,IF(COUNTIF(Dashboard!$C$13:$C$22,$N710)&gt;0,1,0))</f>
        <v>0</v>
      </c>
      <c r="AB710" s="37" t="str">
        <f aca="false">IF($N710="","",IF(COUNTIF($N$8:$N710,$N710)=1,MAX($AB$7:$AB709)+1,""))</f>
        <v/>
      </c>
    </row>
    <row r="711" customFormat="false" ht="15" hidden="false" customHeight="false" outlineLevel="0" collapsed="false">
      <c r="L711" s="37" t="str">
        <f aca="false">IF(INDEX($A711:$J711,$L$6)&lt;&gt;"",TRIM(LEFT(INDEX($A711:$J711,$L$6),FIND("(",INDEX($A711:$J711,$L$6)&amp;"(")-1)),L710)</f>
        <v>Building Value Proposition</v>
      </c>
      <c r="M711" s="37" t="str">
        <f aca="false">IF(INDEX($A711:$J711,$M$6)="","",INDEX($A711:$J711,$M$6)&amp;"")</f>
        <v/>
      </c>
      <c r="N711" s="37" t="str">
        <f aca="false">IF($M711="","",TRIM(INDEX($A711:$J711,$N$6)&amp;""))</f>
        <v/>
      </c>
      <c r="O711" s="37" t="str">
        <f aca="false">IF($M711="","",TRIM(INDEX($A711:$J711,$O$6)&amp;""))</f>
        <v/>
      </c>
      <c r="P711" s="37" t="str">
        <f aca="false">IF($M711="","",IFERROR(IF(INDEX(Settings!$B$41:$B$50,MATCH(O711,Settings!$A$41:$A$50,0))&amp;""="","UNMAPPED",INDEX(Settings!$B$41:$B$50,MATCH(O711,Settings!$A$41:$A$50,0))&amp;""),"UNMAPPED"))</f>
        <v/>
      </c>
      <c r="Q711" s="38" t="n">
        <f aca="false">IF($M711="",0,N(INDEX($A711:$J711,$Q$6)))</f>
        <v>0</v>
      </c>
      <c r="R711" s="39" t="str">
        <f aca="false">IF($M711="","",INDEX($A711:$J711,$R$6))</f>
        <v/>
      </c>
      <c r="S711" s="37" t="str">
        <f aca="false">IF($M711="","",IFERROR(INDEX(Settings!$B$27:$B$36,MATCH(L711,Settings!$A$27:$A$36,0))&amp;"","UNMAPPED"))</f>
        <v/>
      </c>
      <c r="T711" s="37" t="str">
        <f aca="false">IF($M711="","",IF(NOT(ISNUMBER(R711)),"NO DATE",IF(S711="Won",IF(R711&gt;Settings!$B$5,"Backlog","Delivered"),IF(S711="Open",IF(R711&gt;Settings!$B$5,"Pipeline","Overdue"),IF(S711="Lost","Lost","UNMAPPED")))))</f>
        <v/>
      </c>
      <c r="U711" s="40" t="n">
        <f aca="false">IF(T711="Backlog",1,IF(OR(T711="Pipeline",T711="Overdue"),N(INDEX(Settings!$C$27:$C$36,MATCH(L711,Settings!$A$27:$A$36,0))),0))</f>
        <v>0</v>
      </c>
      <c r="V711" s="38" t="n">
        <f aca="false">Q711*U711</f>
        <v>0</v>
      </c>
      <c r="W711" s="41" t="str">
        <f aca="false">IF($M711="","",IF(T711="Overdue",IF(Settings!$B$8="Yes",Settings!$B$7,""),IF(ISNUMBER(R711),DATE(YEAR(R711),MONTH(R711),1),"")))</f>
        <v/>
      </c>
      <c r="X711" s="38" t="n">
        <f aca="false">IF(AND(OR(T711="Backlog",T711="Pipeline",T711="Overdue"),ISNUMBER(W711)),IF(W711&lt;=Settings!$B$6,V711,0),0)</f>
        <v>0</v>
      </c>
      <c r="Y711" s="38" t="n">
        <f aca="false">IF(AND(OR(T711="Backlog",T711="Pipeline",T711="Overdue"),ISNUMBER(W711)),IF(W711&lt;=Settings!$B$6,Q711,0),0)</f>
        <v>0</v>
      </c>
      <c r="Z711" s="38" t="n">
        <f aca="false">IF(Y711=0,0,IF(T711="Backlog",Q711,Q711*Dashboard!$C$10))</f>
        <v>0</v>
      </c>
      <c r="AA711" s="37" t="n">
        <f aca="false">IF($N711="",0,IF(COUNTIF(Dashboard!$C$13:$C$22,$N711)&gt;0,1,0))</f>
        <v>0</v>
      </c>
      <c r="AB711" s="37" t="str">
        <f aca="false">IF($N711="","",IF(COUNTIF($N$8:$N711,$N711)=1,MAX($AB$7:$AB710)+1,""))</f>
        <v/>
      </c>
    </row>
    <row r="712" customFormat="false" ht="15" hidden="false" customHeight="false" outlineLevel="0" collapsed="false">
      <c r="L712" s="37" t="str">
        <f aca="false">IF(INDEX($A712:$J712,$L$6)&lt;&gt;"",TRIM(LEFT(INDEX($A712:$J712,$L$6),FIND("(",INDEX($A712:$J712,$L$6)&amp;"(")-1)),L711)</f>
        <v>Building Value Proposition</v>
      </c>
      <c r="M712" s="37" t="str">
        <f aca="false">IF(INDEX($A712:$J712,$M$6)="","",INDEX($A712:$J712,$M$6)&amp;"")</f>
        <v/>
      </c>
      <c r="N712" s="37" t="str">
        <f aca="false">IF($M712="","",TRIM(INDEX($A712:$J712,$N$6)&amp;""))</f>
        <v/>
      </c>
      <c r="O712" s="37" t="str">
        <f aca="false">IF($M712="","",TRIM(INDEX($A712:$J712,$O$6)&amp;""))</f>
        <v/>
      </c>
      <c r="P712" s="37" t="str">
        <f aca="false">IF($M712="","",IFERROR(IF(INDEX(Settings!$B$41:$B$50,MATCH(O712,Settings!$A$41:$A$50,0))&amp;""="","UNMAPPED",INDEX(Settings!$B$41:$B$50,MATCH(O712,Settings!$A$41:$A$50,0))&amp;""),"UNMAPPED"))</f>
        <v/>
      </c>
      <c r="Q712" s="38" t="n">
        <f aca="false">IF($M712="",0,N(INDEX($A712:$J712,$Q$6)))</f>
        <v>0</v>
      </c>
      <c r="R712" s="39" t="str">
        <f aca="false">IF($M712="","",INDEX($A712:$J712,$R$6))</f>
        <v/>
      </c>
      <c r="S712" s="37" t="str">
        <f aca="false">IF($M712="","",IFERROR(INDEX(Settings!$B$27:$B$36,MATCH(L712,Settings!$A$27:$A$36,0))&amp;"","UNMAPPED"))</f>
        <v/>
      </c>
      <c r="T712" s="37" t="str">
        <f aca="false">IF($M712="","",IF(NOT(ISNUMBER(R712)),"NO DATE",IF(S712="Won",IF(R712&gt;Settings!$B$5,"Backlog","Delivered"),IF(S712="Open",IF(R712&gt;Settings!$B$5,"Pipeline","Overdue"),IF(S712="Lost","Lost","UNMAPPED")))))</f>
        <v/>
      </c>
      <c r="U712" s="40" t="n">
        <f aca="false">IF(T712="Backlog",1,IF(OR(T712="Pipeline",T712="Overdue"),N(INDEX(Settings!$C$27:$C$36,MATCH(L712,Settings!$A$27:$A$36,0))),0))</f>
        <v>0</v>
      </c>
      <c r="V712" s="38" t="n">
        <f aca="false">Q712*U712</f>
        <v>0</v>
      </c>
      <c r="W712" s="41" t="str">
        <f aca="false">IF($M712="","",IF(T712="Overdue",IF(Settings!$B$8="Yes",Settings!$B$7,""),IF(ISNUMBER(R712),DATE(YEAR(R712),MONTH(R712),1),"")))</f>
        <v/>
      </c>
      <c r="X712" s="38" t="n">
        <f aca="false">IF(AND(OR(T712="Backlog",T712="Pipeline",T712="Overdue"),ISNUMBER(W712)),IF(W712&lt;=Settings!$B$6,V712,0),0)</f>
        <v>0</v>
      </c>
      <c r="Y712" s="38" t="n">
        <f aca="false">IF(AND(OR(T712="Backlog",T712="Pipeline",T712="Overdue"),ISNUMBER(W712)),IF(W712&lt;=Settings!$B$6,Q712,0),0)</f>
        <v>0</v>
      </c>
      <c r="Z712" s="38" t="n">
        <f aca="false">IF(Y712=0,0,IF(T712="Backlog",Q712,Q712*Dashboard!$C$10))</f>
        <v>0</v>
      </c>
      <c r="AA712" s="37" t="n">
        <f aca="false">IF($N712="",0,IF(COUNTIF(Dashboard!$C$13:$C$22,$N712)&gt;0,1,0))</f>
        <v>0</v>
      </c>
      <c r="AB712" s="37" t="str">
        <f aca="false">IF($N712="","",IF(COUNTIF($N$8:$N712,$N712)=1,MAX($AB$7:$AB711)+1,""))</f>
        <v/>
      </c>
    </row>
    <row r="713" customFormat="false" ht="15" hidden="false" customHeight="false" outlineLevel="0" collapsed="false">
      <c r="L713" s="37" t="str">
        <f aca="false">IF(INDEX($A713:$J713,$L$6)&lt;&gt;"",TRIM(LEFT(INDEX($A713:$J713,$L$6),FIND("(",INDEX($A713:$J713,$L$6)&amp;"(")-1)),L712)</f>
        <v>Building Value Proposition</v>
      </c>
      <c r="M713" s="37" t="str">
        <f aca="false">IF(INDEX($A713:$J713,$M$6)="","",INDEX($A713:$J713,$M$6)&amp;"")</f>
        <v/>
      </c>
      <c r="N713" s="37" t="str">
        <f aca="false">IF($M713="","",TRIM(INDEX($A713:$J713,$N$6)&amp;""))</f>
        <v/>
      </c>
      <c r="O713" s="37" t="str">
        <f aca="false">IF($M713="","",TRIM(INDEX($A713:$J713,$O$6)&amp;""))</f>
        <v/>
      </c>
      <c r="P713" s="37" t="str">
        <f aca="false">IF($M713="","",IFERROR(IF(INDEX(Settings!$B$41:$B$50,MATCH(O713,Settings!$A$41:$A$50,0))&amp;""="","UNMAPPED",INDEX(Settings!$B$41:$B$50,MATCH(O713,Settings!$A$41:$A$50,0))&amp;""),"UNMAPPED"))</f>
        <v/>
      </c>
      <c r="Q713" s="38" t="n">
        <f aca="false">IF($M713="",0,N(INDEX($A713:$J713,$Q$6)))</f>
        <v>0</v>
      </c>
      <c r="R713" s="39" t="str">
        <f aca="false">IF($M713="","",INDEX($A713:$J713,$R$6))</f>
        <v/>
      </c>
      <c r="S713" s="37" t="str">
        <f aca="false">IF($M713="","",IFERROR(INDEX(Settings!$B$27:$B$36,MATCH(L713,Settings!$A$27:$A$36,0))&amp;"","UNMAPPED"))</f>
        <v/>
      </c>
      <c r="T713" s="37" t="str">
        <f aca="false">IF($M713="","",IF(NOT(ISNUMBER(R713)),"NO DATE",IF(S713="Won",IF(R713&gt;Settings!$B$5,"Backlog","Delivered"),IF(S713="Open",IF(R713&gt;Settings!$B$5,"Pipeline","Overdue"),IF(S713="Lost","Lost","UNMAPPED")))))</f>
        <v/>
      </c>
      <c r="U713" s="40" t="n">
        <f aca="false">IF(T713="Backlog",1,IF(OR(T713="Pipeline",T713="Overdue"),N(INDEX(Settings!$C$27:$C$36,MATCH(L713,Settings!$A$27:$A$36,0))),0))</f>
        <v>0</v>
      </c>
      <c r="V713" s="38" t="n">
        <f aca="false">Q713*U713</f>
        <v>0</v>
      </c>
      <c r="W713" s="41" t="str">
        <f aca="false">IF($M713="","",IF(T713="Overdue",IF(Settings!$B$8="Yes",Settings!$B$7,""),IF(ISNUMBER(R713),DATE(YEAR(R713),MONTH(R713),1),"")))</f>
        <v/>
      </c>
      <c r="X713" s="38" t="n">
        <f aca="false">IF(AND(OR(T713="Backlog",T713="Pipeline",T713="Overdue"),ISNUMBER(W713)),IF(W713&lt;=Settings!$B$6,V713,0),0)</f>
        <v>0</v>
      </c>
      <c r="Y713" s="38" t="n">
        <f aca="false">IF(AND(OR(T713="Backlog",T713="Pipeline",T713="Overdue"),ISNUMBER(W713)),IF(W713&lt;=Settings!$B$6,Q713,0),0)</f>
        <v>0</v>
      </c>
      <c r="Z713" s="38" t="n">
        <f aca="false">IF(Y713=0,0,IF(T713="Backlog",Q713,Q713*Dashboard!$C$10))</f>
        <v>0</v>
      </c>
      <c r="AA713" s="37" t="n">
        <f aca="false">IF($N713="",0,IF(COUNTIF(Dashboard!$C$13:$C$22,$N713)&gt;0,1,0))</f>
        <v>0</v>
      </c>
      <c r="AB713" s="37" t="str">
        <f aca="false">IF($N713="","",IF(COUNTIF($N$8:$N713,$N713)=1,MAX($AB$7:$AB712)+1,""))</f>
        <v/>
      </c>
    </row>
    <row r="714" customFormat="false" ht="15" hidden="false" customHeight="false" outlineLevel="0" collapsed="false">
      <c r="L714" s="37" t="str">
        <f aca="false">IF(INDEX($A714:$J714,$L$6)&lt;&gt;"",TRIM(LEFT(INDEX($A714:$J714,$L$6),FIND("(",INDEX($A714:$J714,$L$6)&amp;"(")-1)),L713)</f>
        <v>Building Value Proposition</v>
      </c>
      <c r="M714" s="37" t="str">
        <f aca="false">IF(INDEX($A714:$J714,$M$6)="","",INDEX($A714:$J714,$M$6)&amp;"")</f>
        <v/>
      </c>
      <c r="N714" s="37" t="str">
        <f aca="false">IF($M714="","",TRIM(INDEX($A714:$J714,$N$6)&amp;""))</f>
        <v/>
      </c>
      <c r="O714" s="37" t="str">
        <f aca="false">IF($M714="","",TRIM(INDEX($A714:$J714,$O$6)&amp;""))</f>
        <v/>
      </c>
      <c r="P714" s="37" t="str">
        <f aca="false">IF($M714="","",IFERROR(IF(INDEX(Settings!$B$41:$B$50,MATCH(O714,Settings!$A$41:$A$50,0))&amp;""="","UNMAPPED",INDEX(Settings!$B$41:$B$50,MATCH(O714,Settings!$A$41:$A$50,0))&amp;""),"UNMAPPED"))</f>
        <v/>
      </c>
      <c r="Q714" s="38" t="n">
        <f aca="false">IF($M714="",0,N(INDEX($A714:$J714,$Q$6)))</f>
        <v>0</v>
      </c>
      <c r="R714" s="39" t="str">
        <f aca="false">IF($M714="","",INDEX($A714:$J714,$R$6))</f>
        <v/>
      </c>
      <c r="S714" s="37" t="str">
        <f aca="false">IF($M714="","",IFERROR(INDEX(Settings!$B$27:$B$36,MATCH(L714,Settings!$A$27:$A$36,0))&amp;"","UNMAPPED"))</f>
        <v/>
      </c>
      <c r="T714" s="37" t="str">
        <f aca="false">IF($M714="","",IF(NOT(ISNUMBER(R714)),"NO DATE",IF(S714="Won",IF(R714&gt;Settings!$B$5,"Backlog","Delivered"),IF(S714="Open",IF(R714&gt;Settings!$B$5,"Pipeline","Overdue"),IF(S714="Lost","Lost","UNMAPPED")))))</f>
        <v/>
      </c>
      <c r="U714" s="40" t="n">
        <f aca="false">IF(T714="Backlog",1,IF(OR(T714="Pipeline",T714="Overdue"),N(INDEX(Settings!$C$27:$C$36,MATCH(L714,Settings!$A$27:$A$36,0))),0))</f>
        <v>0</v>
      </c>
      <c r="V714" s="38" t="n">
        <f aca="false">Q714*U714</f>
        <v>0</v>
      </c>
      <c r="W714" s="41" t="str">
        <f aca="false">IF($M714="","",IF(T714="Overdue",IF(Settings!$B$8="Yes",Settings!$B$7,""),IF(ISNUMBER(R714),DATE(YEAR(R714),MONTH(R714),1),"")))</f>
        <v/>
      </c>
      <c r="X714" s="38" t="n">
        <f aca="false">IF(AND(OR(T714="Backlog",T714="Pipeline",T714="Overdue"),ISNUMBER(W714)),IF(W714&lt;=Settings!$B$6,V714,0),0)</f>
        <v>0</v>
      </c>
      <c r="Y714" s="38" t="n">
        <f aca="false">IF(AND(OR(T714="Backlog",T714="Pipeline",T714="Overdue"),ISNUMBER(W714)),IF(W714&lt;=Settings!$B$6,Q714,0),0)</f>
        <v>0</v>
      </c>
      <c r="Z714" s="38" t="n">
        <f aca="false">IF(Y714=0,0,IF(T714="Backlog",Q714,Q714*Dashboard!$C$10))</f>
        <v>0</v>
      </c>
      <c r="AA714" s="37" t="n">
        <f aca="false">IF($N714="",0,IF(COUNTIF(Dashboard!$C$13:$C$22,$N714)&gt;0,1,0))</f>
        <v>0</v>
      </c>
      <c r="AB714" s="37" t="str">
        <f aca="false">IF($N714="","",IF(COUNTIF($N$8:$N714,$N714)=1,MAX($AB$7:$AB713)+1,""))</f>
        <v/>
      </c>
    </row>
    <row r="715" customFormat="false" ht="15" hidden="false" customHeight="false" outlineLevel="0" collapsed="false">
      <c r="L715" s="37" t="str">
        <f aca="false">IF(INDEX($A715:$J715,$L$6)&lt;&gt;"",TRIM(LEFT(INDEX($A715:$J715,$L$6),FIND("(",INDEX($A715:$J715,$L$6)&amp;"(")-1)),L714)</f>
        <v>Building Value Proposition</v>
      </c>
      <c r="M715" s="37" t="str">
        <f aca="false">IF(INDEX($A715:$J715,$M$6)="","",INDEX($A715:$J715,$M$6)&amp;"")</f>
        <v/>
      </c>
      <c r="N715" s="37" t="str">
        <f aca="false">IF($M715="","",TRIM(INDEX($A715:$J715,$N$6)&amp;""))</f>
        <v/>
      </c>
      <c r="O715" s="37" t="str">
        <f aca="false">IF($M715="","",TRIM(INDEX($A715:$J715,$O$6)&amp;""))</f>
        <v/>
      </c>
      <c r="P715" s="37" t="str">
        <f aca="false">IF($M715="","",IFERROR(IF(INDEX(Settings!$B$41:$B$50,MATCH(O715,Settings!$A$41:$A$50,0))&amp;""="","UNMAPPED",INDEX(Settings!$B$41:$B$50,MATCH(O715,Settings!$A$41:$A$50,0))&amp;""),"UNMAPPED"))</f>
        <v/>
      </c>
      <c r="Q715" s="38" t="n">
        <f aca="false">IF($M715="",0,N(INDEX($A715:$J715,$Q$6)))</f>
        <v>0</v>
      </c>
      <c r="R715" s="39" t="str">
        <f aca="false">IF($M715="","",INDEX($A715:$J715,$R$6))</f>
        <v/>
      </c>
      <c r="S715" s="37" t="str">
        <f aca="false">IF($M715="","",IFERROR(INDEX(Settings!$B$27:$B$36,MATCH(L715,Settings!$A$27:$A$36,0))&amp;"","UNMAPPED"))</f>
        <v/>
      </c>
      <c r="T715" s="37" t="str">
        <f aca="false">IF($M715="","",IF(NOT(ISNUMBER(R715)),"NO DATE",IF(S715="Won",IF(R715&gt;Settings!$B$5,"Backlog","Delivered"),IF(S715="Open",IF(R715&gt;Settings!$B$5,"Pipeline","Overdue"),IF(S715="Lost","Lost","UNMAPPED")))))</f>
        <v/>
      </c>
      <c r="U715" s="40" t="n">
        <f aca="false">IF(T715="Backlog",1,IF(OR(T715="Pipeline",T715="Overdue"),N(INDEX(Settings!$C$27:$C$36,MATCH(L715,Settings!$A$27:$A$36,0))),0))</f>
        <v>0</v>
      </c>
      <c r="V715" s="38" t="n">
        <f aca="false">Q715*U715</f>
        <v>0</v>
      </c>
      <c r="W715" s="41" t="str">
        <f aca="false">IF($M715="","",IF(T715="Overdue",IF(Settings!$B$8="Yes",Settings!$B$7,""),IF(ISNUMBER(R715),DATE(YEAR(R715),MONTH(R715),1),"")))</f>
        <v/>
      </c>
      <c r="X715" s="38" t="n">
        <f aca="false">IF(AND(OR(T715="Backlog",T715="Pipeline",T715="Overdue"),ISNUMBER(W715)),IF(W715&lt;=Settings!$B$6,V715,0),0)</f>
        <v>0</v>
      </c>
      <c r="Y715" s="38" t="n">
        <f aca="false">IF(AND(OR(T715="Backlog",T715="Pipeline",T715="Overdue"),ISNUMBER(W715)),IF(W715&lt;=Settings!$B$6,Q715,0),0)</f>
        <v>0</v>
      </c>
      <c r="Z715" s="38" t="n">
        <f aca="false">IF(Y715=0,0,IF(T715="Backlog",Q715,Q715*Dashboard!$C$10))</f>
        <v>0</v>
      </c>
      <c r="AA715" s="37" t="n">
        <f aca="false">IF($N715="",0,IF(COUNTIF(Dashboard!$C$13:$C$22,$N715)&gt;0,1,0))</f>
        <v>0</v>
      </c>
      <c r="AB715" s="37" t="str">
        <f aca="false">IF($N715="","",IF(COUNTIF($N$8:$N715,$N715)=1,MAX($AB$7:$AB714)+1,""))</f>
        <v/>
      </c>
    </row>
    <row r="716" customFormat="false" ht="15" hidden="false" customHeight="false" outlineLevel="0" collapsed="false">
      <c r="L716" s="37" t="str">
        <f aca="false">IF(INDEX($A716:$J716,$L$6)&lt;&gt;"",TRIM(LEFT(INDEX($A716:$J716,$L$6),FIND("(",INDEX($A716:$J716,$L$6)&amp;"(")-1)),L715)</f>
        <v>Building Value Proposition</v>
      </c>
      <c r="M716" s="37" t="str">
        <f aca="false">IF(INDEX($A716:$J716,$M$6)="","",INDEX($A716:$J716,$M$6)&amp;"")</f>
        <v/>
      </c>
      <c r="N716" s="37" t="str">
        <f aca="false">IF($M716="","",TRIM(INDEX($A716:$J716,$N$6)&amp;""))</f>
        <v/>
      </c>
      <c r="O716" s="37" t="str">
        <f aca="false">IF($M716="","",TRIM(INDEX($A716:$J716,$O$6)&amp;""))</f>
        <v/>
      </c>
      <c r="P716" s="37" t="str">
        <f aca="false">IF($M716="","",IFERROR(IF(INDEX(Settings!$B$41:$B$50,MATCH(O716,Settings!$A$41:$A$50,0))&amp;""="","UNMAPPED",INDEX(Settings!$B$41:$B$50,MATCH(O716,Settings!$A$41:$A$50,0))&amp;""),"UNMAPPED"))</f>
        <v/>
      </c>
      <c r="Q716" s="38" t="n">
        <f aca="false">IF($M716="",0,N(INDEX($A716:$J716,$Q$6)))</f>
        <v>0</v>
      </c>
      <c r="R716" s="39" t="str">
        <f aca="false">IF($M716="","",INDEX($A716:$J716,$R$6))</f>
        <v/>
      </c>
      <c r="S716" s="37" t="str">
        <f aca="false">IF($M716="","",IFERROR(INDEX(Settings!$B$27:$B$36,MATCH(L716,Settings!$A$27:$A$36,0))&amp;"","UNMAPPED"))</f>
        <v/>
      </c>
      <c r="T716" s="37" t="str">
        <f aca="false">IF($M716="","",IF(NOT(ISNUMBER(R716)),"NO DATE",IF(S716="Won",IF(R716&gt;Settings!$B$5,"Backlog","Delivered"),IF(S716="Open",IF(R716&gt;Settings!$B$5,"Pipeline","Overdue"),IF(S716="Lost","Lost","UNMAPPED")))))</f>
        <v/>
      </c>
      <c r="U716" s="40" t="n">
        <f aca="false">IF(T716="Backlog",1,IF(OR(T716="Pipeline",T716="Overdue"),N(INDEX(Settings!$C$27:$C$36,MATCH(L716,Settings!$A$27:$A$36,0))),0))</f>
        <v>0</v>
      </c>
      <c r="V716" s="38" t="n">
        <f aca="false">Q716*U716</f>
        <v>0</v>
      </c>
      <c r="W716" s="41" t="str">
        <f aca="false">IF($M716="","",IF(T716="Overdue",IF(Settings!$B$8="Yes",Settings!$B$7,""),IF(ISNUMBER(R716),DATE(YEAR(R716),MONTH(R716),1),"")))</f>
        <v/>
      </c>
      <c r="X716" s="38" t="n">
        <f aca="false">IF(AND(OR(T716="Backlog",T716="Pipeline",T716="Overdue"),ISNUMBER(W716)),IF(W716&lt;=Settings!$B$6,V716,0),0)</f>
        <v>0</v>
      </c>
      <c r="Y716" s="38" t="n">
        <f aca="false">IF(AND(OR(T716="Backlog",T716="Pipeline",T716="Overdue"),ISNUMBER(W716)),IF(W716&lt;=Settings!$B$6,Q716,0),0)</f>
        <v>0</v>
      </c>
      <c r="Z716" s="38" t="n">
        <f aca="false">IF(Y716=0,0,IF(T716="Backlog",Q716,Q716*Dashboard!$C$10))</f>
        <v>0</v>
      </c>
      <c r="AA716" s="37" t="n">
        <f aca="false">IF($N716="",0,IF(COUNTIF(Dashboard!$C$13:$C$22,$N716)&gt;0,1,0))</f>
        <v>0</v>
      </c>
      <c r="AB716" s="37" t="str">
        <f aca="false">IF($N716="","",IF(COUNTIF($N$8:$N716,$N716)=1,MAX($AB$7:$AB715)+1,""))</f>
        <v/>
      </c>
    </row>
    <row r="717" customFormat="false" ht="15" hidden="false" customHeight="false" outlineLevel="0" collapsed="false">
      <c r="L717" s="37" t="str">
        <f aca="false">IF(INDEX($A717:$J717,$L$6)&lt;&gt;"",TRIM(LEFT(INDEX($A717:$J717,$L$6),FIND("(",INDEX($A717:$J717,$L$6)&amp;"(")-1)),L716)</f>
        <v>Building Value Proposition</v>
      </c>
      <c r="M717" s="37" t="str">
        <f aca="false">IF(INDEX($A717:$J717,$M$6)="","",INDEX($A717:$J717,$M$6)&amp;"")</f>
        <v/>
      </c>
      <c r="N717" s="37" t="str">
        <f aca="false">IF($M717="","",TRIM(INDEX($A717:$J717,$N$6)&amp;""))</f>
        <v/>
      </c>
      <c r="O717" s="37" t="str">
        <f aca="false">IF($M717="","",TRIM(INDEX($A717:$J717,$O$6)&amp;""))</f>
        <v/>
      </c>
      <c r="P717" s="37" t="str">
        <f aca="false">IF($M717="","",IFERROR(IF(INDEX(Settings!$B$41:$B$50,MATCH(O717,Settings!$A$41:$A$50,0))&amp;""="","UNMAPPED",INDEX(Settings!$B$41:$B$50,MATCH(O717,Settings!$A$41:$A$50,0))&amp;""),"UNMAPPED"))</f>
        <v/>
      </c>
      <c r="Q717" s="38" t="n">
        <f aca="false">IF($M717="",0,N(INDEX($A717:$J717,$Q$6)))</f>
        <v>0</v>
      </c>
      <c r="R717" s="39" t="str">
        <f aca="false">IF($M717="","",INDEX($A717:$J717,$R$6))</f>
        <v/>
      </c>
      <c r="S717" s="37" t="str">
        <f aca="false">IF($M717="","",IFERROR(INDEX(Settings!$B$27:$B$36,MATCH(L717,Settings!$A$27:$A$36,0))&amp;"","UNMAPPED"))</f>
        <v/>
      </c>
      <c r="T717" s="37" t="str">
        <f aca="false">IF($M717="","",IF(NOT(ISNUMBER(R717)),"NO DATE",IF(S717="Won",IF(R717&gt;Settings!$B$5,"Backlog","Delivered"),IF(S717="Open",IF(R717&gt;Settings!$B$5,"Pipeline","Overdue"),IF(S717="Lost","Lost","UNMAPPED")))))</f>
        <v/>
      </c>
      <c r="U717" s="40" t="n">
        <f aca="false">IF(T717="Backlog",1,IF(OR(T717="Pipeline",T717="Overdue"),N(INDEX(Settings!$C$27:$C$36,MATCH(L717,Settings!$A$27:$A$36,0))),0))</f>
        <v>0</v>
      </c>
      <c r="V717" s="38" t="n">
        <f aca="false">Q717*U717</f>
        <v>0</v>
      </c>
      <c r="W717" s="41" t="str">
        <f aca="false">IF($M717="","",IF(T717="Overdue",IF(Settings!$B$8="Yes",Settings!$B$7,""),IF(ISNUMBER(R717),DATE(YEAR(R717),MONTH(R717),1),"")))</f>
        <v/>
      </c>
      <c r="X717" s="38" t="n">
        <f aca="false">IF(AND(OR(T717="Backlog",T717="Pipeline",T717="Overdue"),ISNUMBER(W717)),IF(W717&lt;=Settings!$B$6,V717,0),0)</f>
        <v>0</v>
      </c>
      <c r="Y717" s="38" t="n">
        <f aca="false">IF(AND(OR(T717="Backlog",T717="Pipeline",T717="Overdue"),ISNUMBER(W717)),IF(W717&lt;=Settings!$B$6,Q717,0),0)</f>
        <v>0</v>
      </c>
      <c r="Z717" s="38" t="n">
        <f aca="false">IF(Y717=0,0,IF(T717="Backlog",Q717,Q717*Dashboard!$C$10))</f>
        <v>0</v>
      </c>
      <c r="AA717" s="37" t="n">
        <f aca="false">IF($N717="",0,IF(COUNTIF(Dashboard!$C$13:$C$22,$N717)&gt;0,1,0))</f>
        <v>0</v>
      </c>
      <c r="AB717" s="37" t="str">
        <f aca="false">IF($N717="","",IF(COUNTIF($N$8:$N717,$N717)=1,MAX($AB$7:$AB716)+1,""))</f>
        <v/>
      </c>
    </row>
    <row r="718" customFormat="false" ht="15" hidden="false" customHeight="false" outlineLevel="0" collapsed="false">
      <c r="L718" s="37" t="str">
        <f aca="false">IF(INDEX($A718:$J718,$L$6)&lt;&gt;"",TRIM(LEFT(INDEX($A718:$J718,$L$6),FIND("(",INDEX($A718:$J718,$L$6)&amp;"(")-1)),L717)</f>
        <v>Building Value Proposition</v>
      </c>
      <c r="M718" s="37" t="str">
        <f aca="false">IF(INDEX($A718:$J718,$M$6)="","",INDEX($A718:$J718,$M$6)&amp;"")</f>
        <v/>
      </c>
      <c r="N718" s="37" t="str">
        <f aca="false">IF($M718="","",TRIM(INDEX($A718:$J718,$N$6)&amp;""))</f>
        <v/>
      </c>
      <c r="O718" s="37" t="str">
        <f aca="false">IF($M718="","",TRIM(INDEX($A718:$J718,$O$6)&amp;""))</f>
        <v/>
      </c>
      <c r="P718" s="37" t="str">
        <f aca="false">IF($M718="","",IFERROR(IF(INDEX(Settings!$B$41:$B$50,MATCH(O718,Settings!$A$41:$A$50,0))&amp;""="","UNMAPPED",INDEX(Settings!$B$41:$B$50,MATCH(O718,Settings!$A$41:$A$50,0))&amp;""),"UNMAPPED"))</f>
        <v/>
      </c>
      <c r="Q718" s="38" t="n">
        <f aca="false">IF($M718="",0,N(INDEX($A718:$J718,$Q$6)))</f>
        <v>0</v>
      </c>
      <c r="R718" s="39" t="str">
        <f aca="false">IF($M718="","",INDEX($A718:$J718,$R$6))</f>
        <v/>
      </c>
      <c r="S718" s="37" t="str">
        <f aca="false">IF($M718="","",IFERROR(INDEX(Settings!$B$27:$B$36,MATCH(L718,Settings!$A$27:$A$36,0))&amp;"","UNMAPPED"))</f>
        <v/>
      </c>
      <c r="T718" s="37" t="str">
        <f aca="false">IF($M718="","",IF(NOT(ISNUMBER(R718)),"NO DATE",IF(S718="Won",IF(R718&gt;Settings!$B$5,"Backlog","Delivered"),IF(S718="Open",IF(R718&gt;Settings!$B$5,"Pipeline","Overdue"),IF(S718="Lost","Lost","UNMAPPED")))))</f>
        <v/>
      </c>
      <c r="U718" s="40" t="n">
        <f aca="false">IF(T718="Backlog",1,IF(OR(T718="Pipeline",T718="Overdue"),N(INDEX(Settings!$C$27:$C$36,MATCH(L718,Settings!$A$27:$A$36,0))),0))</f>
        <v>0</v>
      </c>
      <c r="V718" s="38" t="n">
        <f aca="false">Q718*U718</f>
        <v>0</v>
      </c>
      <c r="W718" s="41" t="str">
        <f aca="false">IF($M718="","",IF(T718="Overdue",IF(Settings!$B$8="Yes",Settings!$B$7,""),IF(ISNUMBER(R718),DATE(YEAR(R718),MONTH(R718),1),"")))</f>
        <v/>
      </c>
      <c r="X718" s="38" t="n">
        <f aca="false">IF(AND(OR(T718="Backlog",T718="Pipeline",T718="Overdue"),ISNUMBER(W718)),IF(W718&lt;=Settings!$B$6,V718,0),0)</f>
        <v>0</v>
      </c>
      <c r="Y718" s="38" t="n">
        <f aca="false">IF(AND(OR(T718="Backlog",T718="Pipeline",T718="Overdue"),ISNUMBER(W718)),IF(W718&lt;=Settings!$B$6,Q718,0),0)</f>
        <v>0</v>
      </c>
      <c r="Z718" s="38" t="n">
        <f aca="false">IF(Y718=0,0,IF(T718="Backlog",Q718,Q718*Dashboard!$C$10))</f>
        <v>0</v>
      </c>
      <c r="AA718" s="37" t="n">
        <f aca="false">IF($N718="",0,IF(COUNTIF(Dashboard!$C$13:$C$22,$N718)&gt;0,1,0))</f>
        <v>0</v>
      </c>
      <c r="AB718" s="37" t="str">
        <f aca="false">IF($N718="","",IF(COUNTIF($N$8:$N718,$N718)=1,MAX($AB$7:$AB717)+1,""))</f>
        <v/>
      </c>
    </row>
    <row r="719" customFormat="false" ht="15" hidden="false" customHeight="false" outlineLevel="0" collapsed="false">
      <c r="L719" s="37" t="str">
        <f aca="false">IF(INDEX($A719:$J719,$L$6)&lt;&gt;"",TRIM(LEFT(INDEX($A719:$J719,$L$6),FIND("(",INDEX($A719:$J719,$L$6)&amp;"(")-1)),L718)</f>
        <v>Building Value Proposition</v>
      </c>
      <c r="M719" s="37" t="str">
        <f aca="false">IF(INDEX($A719:$J719,$M$6)="","",INDEX($A719:$J719,$M$6)&amp;"")</f>
        <v/>
      </c>
      <c r="N719" s="37" t="str">
        <f aca="false">IF($M719="","",TRIM(INDEX($A719:$J719,$N$6)&amp;""))</f>
        <v/>
      </c>
      <c r="O719" s="37" t="str">
        <f aca="false">IF($M719="","",TRIM(INDEX($A719:$J719,$O$6)&amp;""))</f>
        <v/>
      </c>
      <c r="P719" s="37" t="str">
        <f aca="false">IF($M719="","",IFERROR(IF(INDEX(Settings!$B$41:$B$50,MATCH(O719,Settings!$A$41:$A$50,0))&amp;""="","UNMAPPED",INDEX(Settings!$B$41:$B$50,MATCH(O719,Settings!$A$41:$A$50,0))&amp;""),"UNMAPPED"))</f>
        <v/>
      </c>
      <c r="Q719" s="38" t="n">
        <f aca="false">IF($M719="",0,N(INDEX($A719:$J719,$Q$6)))</f>
        <v>0</v>
      </c>
      <c r="R719" s="39" t="str">
        <f aca="false">IF($M719="","",INDEX($A719:$J719,$R$6))</f>
        <v/>
      </c>
      <c r="S719" s="37" t="str">
        <f aca="false">IF($M719="","",IFERROR(INDEX(Settings!$B$27:$B$36,MATCH(L719,Settings!$A$27:$A$36,0))&amp;"","UNMAPPED"))</f>
        <v/>
      </c>
      <c r="T719" s="37" t="str">
        <f aca="false">IF($M719="","",IF(NOT(ISNUMBER(R719)),"NO DATE",IF(S719="Won",IF(R719&gt;Settings!$B$5,"Backlog","Delivered"),IF(S719="Open",IF(R719&gt;Settings!$B$5,"Pipeline","Overdue"),IF(S719="Lost","Lost","UNMAPPED")))))</f>
        <v/>
      </c>
      <c r="U719" s="40" t="n">
        <f aca="false">IF(T719="Backlog",1,IF(OR(T719="Pipeline",T719="Overdue"),N(INDEX(Settings!$C$27:$C$36,MATCH(L719,Settings!$A$27:$A$36,0))),0))</f>
        <v>0</v>
      </c>
      <c r="V719" s="38" t="n">
        <f aca="false">Q719*U719</f>
        <v>0</v>
      </c>
      <c r="W719" s="41" t="str">
        <f aca="false">IF($M719="","",IF(T719="Overdue",IF(Settings!$B$8="Yes",Settings!$B$7,""),IF(ISNUMBER(R719),DATE(YEAR(R719),MONTH(R719),1),"")))</f>
        <v/>
      </c>
      <c r="X719" s="38" t="n">
        <f aca="false">IF(AND(OR(T719="Backlog",T719="Pipeline",T719="Overdue"),ISNUMBER(W719)),IF(W719&lt;=Settings!$B$6,V719,0),0)</f>
        <v>0</v>
      </c>
      <c r="Y719" s="38" t="n">
        <f aca="false">IF(AND(OR(T719="Backlog",T719="Pipeline",T719="Overdue"),ISNUMBER(W719)),IF(W719&lt;=Settings!$B$6,Q719,0),0)</f>
        <v>0</v>
      </c>
      <c r="Z719" s="38" t="n">
        <f aca="false">IF(Y719=0,0,IF(T719="Backlog",Q719,Q719*Dashboard!$C$10))</f>
        <v>0</v>
      </c>
      <c r="AA719" s="37" t="n">
        <f aca="false">IF($N719="",0,IF(COUNTIF(Dashboard!$C$13:$C$22,$N719)&gt;0,1,0))</f>
        <v>0</v>
      </c>
      <c r="AB719" s="37" t="str">
        <f aca="false">IF($N719="","",IF(COUNTIF($N$8:$N719,$N719)=1,MAX($AB$7:$AB718)+1,""))</f>
        <v/>
      </c>
    </row>
    <row r="720" customFormat="false" ht="15" hidden="false" customHeight="false" outlineLevel="0" collapsed="false">
      <c r="L720" s="37" t="str">
        <f aca="false">IF(INDEX($A720:$J720,$L$6)&lt;&gt;"",TRIM(LEFT(INDEX($A720:$J720,$L$6),FIND("(",INDEX($A720:$J720,$L$6)&amp;"(")-1)),L719)</f>
        <v>Building Value Proposition</v>
      </c>
      <c r="M720" s="37" t="str">
        <f aca="false">IF(INDEX($A720:$J720,$M$6)="","",INDEX($A720:$J720,$M$6)&amp;"")</f>
        <v/>
      </c>
      <c r="N720" s="37" t="str">
        <f aca="false">IF($M720="","",TRIM(INDEX($A720:$J720,$N$6)&amp;""))</f>
        <v/>
      </c>
      <c r="O720" s="37" t="str">
        <f aca="false">IF($M720="","",TRIM(INDEX($A720:$J720,$O$6)&amp;""))</f>
        <v/>
      </c>
      <c r="P720" s="37" t="str">
        <f aca="false">IF($M720="","",IFERROR(IF(INDEX(Settings!$B$41:$B$50,MATCH(O720,Settings!$A$41:$A$50,0))&amp;""="","UNMAPPED",INDEX(Settings!$B$41:$B$50,MATCH(O720,Settings!$A$41:$A$50,0))&amp;""),"UNMAPPED"))</f>
        <v/>
      </c>
      <c r="Q720" s="38" t="n">
        <f aca="false">IF($M720="",0,N(INDEX($A720:$J720,$Q$6)))</f>
        <v>0</v>
      </c>
      <c r="R720" s="39" t="str">
        <f aca="false">IF($M720="","",INDEX($A720:$J720,$R$6))</f>
        <v/>
      </c>
      <c r="S720" s="37" t="str">
        <f aca="false">IF($M720="","",IFERROR(INDEX(Settings!$B$27:$B$36,MATCH(L720,Settings!$A$27:$A$36,0))&amp;"","UNMAPPED"))</f>
        <v/>
      </c>
      <c r="T720" s="37" t="str">
        <f aca="false">IF($M720="","",IF(NOT(ISNUMBER(R720)),"NO DATE",IF(S720="Won",IF(R720&gt;Settings!$B$5,"Backlog","Delivered"),IF(S720="Open",IF(R720&gt;Settings!$B$5,"Pipeline","Overdue"),IF(S720="Lost","Lost","UNMAPPED")))))</f>
        <v/>
      </c>
      <c r="U720" s="40" t="n">
        <f aca="false">IF(T720="Backlog",1,IF(OR(T720="Pipeline",T720="Overdue"),N(INDEX(Settings!$C$27:$C$36,MATCH(L720,Settings!$A$27:$A$36,0))),0))</f>
        <v>0</v>
      </c>
      <c r="V720" s="38" t="n">
        <f aca="false">Q720*U720</f>
        <v>0</v>
      </c>
      <c r="W720" s="41" t="str">
        <f aca="false">IF($M720="","",IF(T720="Overdue",IF(Settings!$B$8="Yes",Settings!$B$7,""),IF(ISNUMBER(R720),DATE(YEAR(R720),MONTH(R720),1),"")))</f>
        <v/>
      </c>
      <c r="X720" s="38" t="n">
        <f aca="false">IF(AND(OR(T720="Backlog",T720="Pipeline",T720="Overdue"),ISNUMBER(W720)),IF(W720&lt;=Settings!$B$6,V720,0),0)</f>
        <v>0</v>
      </c>
      <c r="Y720" s="38" t="n">
        <f aca="false">IF(AND(OR(T720="Backlog",T720="Pipeline",T720="Overdue"),ISNUMBER(W720)),IF(W720&lt;=Settings!$B$6,Q720,0),0)</f>
        <v>0</v>
      </c>
      <c r="Z720" s="38" t="n">
        <f aca="false">IF(Y720=0,0,IF(T720="Backlog",Q720,Q720*Dashboard!$C$10))</f>
        <v>0</v>
      </c>
      <c r="AA720" s="37" t="n">
        <f aca="false">IF($N720="",0,IF(COUNTIF(Dashboard!$C$13:$C$22,$N720)&gt;0,1,0))</f>
        <v>0</v>
      </c>
      <c r="AB720" s="37" t="str">
        <f aca="false">IF($N720="","",IF(COUNTIF($N$8:$N720,$N720)=1,MAX($AB$7:$AB719)+1,""))</f>
        <v/>
      </c>
    </row>
    <row r="721" customFormat="false" ht="15" hidden="false" customHeight="false" outlineLevel="0" collapsed="false">
      <c r="L721" s="37" t="str">
        <f aca="false">IF(INDEX($A721:$J721,$L$6)&lt;&gt;"",TRIM(LEFT(INDEX($A721:$J721,$L$6),FIND("(",INDEX($A721:$J721,$L$6)&amp;"(")-1)),L720)</f>
        <v>Building Value Proposition</v>
      </c>
      <c r="M721" s="37" t="str">
        <f aca="false">IF(INDEX($A721:$J721,$M$6)="","",INDEX($A721:$J721,$M$6)&amp;"")</f>
        <v/>
      </c>
      <c r="N721" s="37" t="str">
        <f aca="false">IF($M721="","",TRIM(INDEX($A721:$J721,$N$6)&amp;""))</f>
        <v/>
      </c>
      <c r="O721" s="37" t="str">
        <f aca="false">IF($M721="","",TRIM(INDEX($A721:$J721,$O$6)&amp;""))</f>
        <v/>
      </c>
      <c r="P721" s="37" t="str">
        <f aca="false">IF($M721="","",IFERROR(IF(INDEX(Settings!$B$41:$B$50,MATCH(O721,Settings!$A$41:$A$50,0))&amp;""="","UNMAPPED",INDEX(Settings!$B$41:$B$50,MATCH(O721,Settings!$A$41:$A$50,0))&amp;""),"UNMAPPED"))</f>
        <v/>
      </c>
      <c r="Q721" s="38" t="n">
        <f aca="false">IF($M721="",0,N(INDEX($A721:$J721,$Q$6)))</f>
        <v>0</v>
      </c>
      <c r="R721" s="39" t="str">
        <f aca="false">IF($M721="","",INDEX($A721:$J721,$R$6))</f>
        <v/>
      </c>
      <c r="S721" s="37" t="str">
        <f aca="false">IF($M721="","",IFERROR(INDEX(Settings!$B$27:$B$36,MATCH(L721,Settings!$A$27:$A$36,0))&amp;"","UNMAPPED"))</f>
        <v/>
      </c>
      <c r="T721" s="37" t="str">
        <f aca="false">IF($M721="","",IF(NOT(ISNUMBER(R721)),"NO DATE",IF(S721="Won",IF(R721&gt;Settings!$B$5,"Backlog","Delivered"),IF(S721="Open",IF(R721&gt;Settings!$B$5,"Pipeline","Overdue"),IF(S721="Lost","Lost","UNMAPPED")))))</f>
        <v/>
      </c>
      <c r="U721" s="40" t="n">
        <f aca="false">IF(T721="Backlog",1,IF(OR(T721="Pipeline",T721="Overdue"),N(INDEX(Settings!$C$27:$C$36,MATCH(L721,Settings!$A$27:$A$36,0))),0))</f>
        <v>0</v>
      </c>
      <c r="V721" s="38" t="n">
        <f aca="false">Q721*U721</f>
        <v>0</v>
      </c>
      <c r="W721" s="41" t="str">
        <f aca="false">IF($M721="","",IF(T721="Overdue",IF(Settings!$B$8="Yes",Settings!$B$7,""),IF(ISNUMBER(R721),DATE(YEAR(R721),MONTH(R721),1),"")))</f>
        <v/>
      </c>
      <c r="X721" s="38" t="n">
        <f aca="false">IF(AND(OR(T721="Backlog",T721="Pipeline",T721="Overdue"),ISNUMBER(W721)),IF(W721&lt;=Settings!$B$6,V721,0),0)</f>
        <v>0</v>
      </c>
      <c r="Y721" s="38" t="n">
        <f aca="false">IF(AND(OR(T721="Backlog",T721="Pipeline",T721="Overdue"),ISNUMBER(W721)),IF(W721&lt;=Settings!$B$6,Q721,0),0)</f>
        <v>0</v>
      </c>
      <c r="Z721" s="38" t="n">
        <f aca="false">IF(Y721=0,0,IF(T721="Backlog",Q721,Q721*Dashboard!$C$10))</f>
        <v>0</v>
      </c>
      <c r="AA721" s="37" t="n">
        <f aca="false">IF($N721="",0,IF(COUNTIF(Dashboard!$C$13:$C$22,$N721)&gt;0,1,0))</f>
        <v>0</v>
      </c>
      <c r="AB721" s="37" t="str">
        <f aca="false">IF($N721="","",IF(COUNTIF($N$8:$N721,$N721)=1,MAX($AB$7:$AB720)+1,""))</f>
        <v/>
      </c>
    </row>
    <row r="722" customFormat="false" ht="15" hidden="false" customHeight="false" outlineLevel="0" collapsed="false">
      <c r="L722" s="37" t="str">
        <f aca="false">IF(INDEX($A722:$J722,$L$6)&lt;&gt;"",TRIM(LEFT(INDEX($A722:$J722,$L$6),FIND("(",INDEX($A722:$J722,$L$6)&amp;"(")-1)),L721)</f>
        <v>Building Value Proposition</v>
      </c>
      <c r="M722" s="37" t="str">
        <f aca="false">IF(INDEX($A722:$J722,$M$6)="","",INDEX($A722:$J722,$M$6)&amp;"")</f>
        <v/>
      </c>
      <c r="N722" s="37" t="str">
        <f aca="false">IF($M722="","",TRIM(INDEX($A722:$J722,$N$6)&amp;""))</f>
        <v/>
      </c>
      <c r="O722" s="37" t="str">
        <f aca="false">IF($M722="","",TRIM(INDEX($A722:$J722,$O$6)&amp;""))</f>
        <v/>
      </c>
      <c r="P722" s="37" t="str">
        <f aca="false">IF($M722="","",IFERROR(IF(INDEX(Settings!$B$41:$B$50,MATCH(O722,Settings!$A$41:$A$50,0))&amp;""="","UNMAPPED",INDEX(Settings!$B$41:$B$50,MATCH(O722,Settings!$A$41:$A$50,0))&amp;""),"UNMAPPED"))</f>
        <v/>
      </c>
      <c r="Q722" s="38" t="n">
        <f aca="false">IF($M722="",0,N(INDEX($A722:$J722,$Q$6)))</f>
        <v>0</v>
      </c>
      <c r="R722" s="39" t="str">
        <f aca="false">IF($M722="","",INDEX($A722:$J722,$R$6))</f>
        <v/>
      </c>
      <c r="S722" s="37" t="str">
        <f aca="false">IF($M722="","",IFERROR(INDEX(Settings!$B$27:$B$36,MATCH(L722,Settings!$A$27:$A$36,0))&amp;"","UNMAPPED"))</f>
        <v/>
      </c>
      <c r="T722" s="37" t="str">
        <f aca="false">IF($M722="","",IF(NOT(ISNUMBER(R722)),"NO DATE",IF(S722="Won",IF(R722&gt;Settings!$B$5,"Backlog","Delivered"),IF(S722="Open",IF(R722&gt;Settings!$B$5,"Pipeline","Overdue"),IF(S722="Lost","Lost","UNMAPPED")))))</f>
        <v/>
      </c>
      <c r="U722" s="40" t="n">
        <f aca="false">IF(T722="Backlog",1,IF(OR(T722="Pipeline",T722="Overdue"),N(INDEX(Settings!$C$27:$C$36,MATCH(L722,Settings!$A$27:$A$36,0))),0))</f>
        <v>0</v>
      </c>
      <c r="V722" s="38" t="n">
        <f aca="false">Q722*U722</f>
        <v>0</v>
      </c>
      <c r="W722" s="41" t="str">
        <f aca="false">IF($M722="","",IF(T722="Overdue",IF(Settings!$B$8="Yes",Settings!$B$7,""),IF(ISNUMBER(R722),DATE(YEAR(R722),MONTH(R722),1),"")))</f>
        <v/>
      </c>
      <c r="X722" s="38" t="n">
        <f aca="false">IF(AND(OR(T722="Backlog",T722="Pipeline",T722="Overdue"),ISNUMBER(W722)),IF(W722&lt;=Settings!$B$6,V722,0),0)</f>
        <v>0</v>
      </c>
      <c r="Y722" s="38" t="n">
        <f aca="false">IF(AND(OR(T722="Backlog",T722="Pipeline",T722="Overdue"),ISNUMBER(W722)),IF(W722&lt;=Settings!$B$6,Q722,0),0)</f>
        <v>0</v>
      </c>
      <c r="Z722" s="38" t="n">
        <f aca="false">IF(Y722=0,0,IF(T722="Backlog",Q722,Q722*Dashboard!$C$10))</f>
        <v>0</v>
      </c>
      <c r="AA722" s="37" t="n">
        <f aca="false">IF($N722="",0,IF(COUNTIF(Dashboard!$C$13:$C$22,$N722)&gt;0,1,0))</f>
        <v>0</v>
      </c>
      <c r="AB722" s="37" t="str">
        <f aca="false">IF($N722="","",IF(COUNTIF($N$8:$N722,$N722)=1,MAX($AB$7:$AB721)+1,""))</f>
        <v/>
      </c>
    </row>
    <row r="723" customFormat="false" ht="15" hidden="false" customHeight="false" outlineLevel="0" collapsed="false">
      <c r="L723" s="37" t="str">
        <f aca="false">IF(INDEX($A723:$J723,$L$6)&lt;&gt;"",TRIM(LEFT(INDEX($A723:$J723,$L$6),FIND("(",INDEX($A723:$J723,$L$6)&amp;"(")-1)),L722)</f>
        <v>Building Value Proposition</v>
      </c>
      <c r="M723" s="37" t="str">
        <f aca="false">IF(INDEX($A723:$J723,$M$6)="","",INDEX($A723:$J723,$M$6)&amp;"")</f>
        <v/>
      </c>
      <c r="N723" s="37" t="str">
        <f aca="false">IF($M723="","",TRIM(INDEX($A723:$J723,$N$6)&amp;""))</f>
        <v/>
      </c>
      <c r="O723" s="37" t="str">
        <f aca="false">IF($M723="","",TRIM(INDEX($A723:$J723,$O$6)&amp;""))</f>
        <v/>
      </c>
      <c r="P723" s="37" t="str">
        <f aca="false">IF($M723="","",IFERROR(IF(INDEX(Settings!$B$41:$B$50,MATCH(O723,Settings!$A$41:$A$50,0))&amp;""="","UNMAPPED",INDEX(Settings!$B$41:$B$50,MATCH(O723,Settings!$A$41:$A$50,0))&amp;""),"UNMAPPED"))</f>
        <v/>
      </c>
      <c r="Q723" s="38" t="n">
        <f aca="false">IF($M723="",0,N(INDEX($A723:$J723,$Q$6)))</f>
        <v>0</v>
      </c>
      <c r="R723" s="39" t="str">
        <f aca="false">IF($M723="","",INDEX($A723:$J723,$R$6))</f>
        <v/>
      </c>
      <c r="S723" s="37" t="str">
        <f aca="false">IF($M723="","",IFERROR(INDEX(Settings!$B$27:$B$36,MATCH(L723,Settings!$A$27:$A$36,0))&amp;"","UNMAPPED"))</f>
        <v/>
      </c>
      <c r="T723" s="37" t="str">
        <f aca="false">IF($M723="","",IF(NOT(ISNUMBER(R723)),"NO DATE",IF(S723="Won",IF(R723&gt;Settings!$B$5,"Backlog","Delivered"),IF(S723="Open",IF(R723&gt;Settings!$B$5,"Pipeline","Overdue"),IF(S723="Lost","Lost","UNMAPPED")))))</f>
        <v/>
      </c>
      <c r="U723" s="40" t="n">
        <f aca="false">IF(T723="Backlog",1,IF(OR(T723="Pipeline",T723="Overdue"),N(INDEX(Settings!$C$27:$C$36,MATCH(L723,Settings!$A$27:$A$36,0))),0))</f>
        <v>0</v>
      </c>
      <c r="V723" s="38" t="n">
        <f aca="false">Q723*U723</f>
        <v>0</v>
      </c>
      <c r="W723" s="41" t="str">
        <f aca="false">IF($M723="","",IF(T723="Overdue",IF(Settings!$B$8="Yes",Settings!$B$7,""),IF(ISNUMBER(R723),DATE(YEAR(R723),MONTH(R723),1),"")))</f>
        <v/>
      </c>
      <c r="X723" s="38" t="n">
        <f aca="false">IF(AND(OR(T723="Backlog",T723="Pipeline",T723="Overdue"),ISNUMBER(W723)),IF(W723&lt;=Settings!$B$6,V723,0),0)</f>
        <v>0</v>
      </c>
      <c r="Y723" s="38" t="n">
        <f aca="false">IF(AND(OR(T723="Backlog",T723="Pipeline",T723="Overdue"),ISNUMBER(W723)),IF(W723&lt;=Settings!$B$6,Q723,0),0)</f>
        <v>0</v>
      </c>
      <c r="Z723" s="38" t="n">
        <f aca="false">IF(Y723=0,0,IF(T723="Backlog",Q723,Q723*Dashboard!$C$10))</f>
        <v>0</v>
      </c>
      <c r="AA723" s="37" t="n">
        <f aca="false">IF($N723="",0,IF(COUNTIF(Dashboard!$C$13:$C$22,$N723)&gt;0,1,0))</f>
        <v>0</v>
      </c>
      <c r="AB723" s="37" t="str">
        <f aca="false">IF($N723="","",IF(COUNTIF($N$8:$N723,$N723)=1,MAX($AB$7:$AB722)+1,""))</f>
        <v/>
      </c>
    </row>
    <row r="724" customFormat="false" ht="15" hidden="false" customHeight="false" outlineLevel="0" collapsed="false">
      <c r="L724" s="37" t="str">
        <f aca="false">IF(INDEX($A724:$J724,$L$6)&lt;&gt;"",TRIM(LEFT(INDEX($A724:$J724,$L$6),FIND("(",INDEX($A724:$J724,$L$6)&amp;"(")-1)),L723)</f>
        <v>Building Value Proposition</v>
      </c>
      <c r="M724" s="37" t="str">
        <f aca="false">IF(INDEX($A724:$J724,$M$6)="","",INDEX($A724:$J724,$M$6)&amp;"")</f>
        <v/>
      </c>
      <c r="N724" s="37" t="str">
        <f aca="false">IF($M724="","",TRIM(INDEX($A724:$J724,$N$6)&amp;""))</f>
        <v/>
      </c>
      <c r="O724" s="37" t="str">
        <f aca="false">IF($M724="","",TRIM(INDEX($A724:$J724,$O$6)&amp;""))</f>
        <v/>
      </c>
      <c r="P724" s="37" t="str">
        <f aca="false">IF($M724="","",IFERROR(IF(INDEX(Settings!$B$41:$B$50,MATCH(O724,Settings!$A$41:$A$50,0))&amp;""="","UNMAPPED",INDEX(Settings!$B$41:$B$50,MATCH(O724,Settings!$A$41:$A$50,0))&amp;""),"UNMAPPED"))</f>
        <v/>
      </c>
      <c r="Q724" s="38" t="n">
        <f aca="false">IF($M724="",0,N(INDEX($A724:$J724,$Q$6)))</f>
        <v>0</v>
      </c>
      <c r="R724" s="39" t="str">
        <f aca="false">IF($M724="","",INDEX($A724:$J724,$R$6))</f>
        <v/>
      </c>
      <c r="S724" s="37" t="str">
        <f aca="false">IF($M724="","",IFERROR(INDEX(Settings!$B$27:$B$36,MATCH(L724,Settings!$A$27:$A$36,0))&amp;"","UNMAPPED"))</f>
        <v/>
      </c>
      <c r="T724" s="37" t="str">
        <f aca="false">IF($M724="","",IF(NOT(ISNUMBER(R724)),"NO DATE",IF(S724="Won",IF(R724&gt;Settings!$B$5,"Backlog","Delivered"),IF(S724="Open",IF(R724&gt;Settings!$B$5,"Pipeline","Overdue"),IF(S724="Lost","Lost","UNMAPPED")))))</f>
        <v/>
      </c>
      <c r="U724" s="40" t="n">
        <f aca="false">IF(T724="Backlog",1,IF(OR(T724="Pipeline",T724="Overdue"),N(INDEX(Settings!$C$27:$C$36,MATCH(L724,Settings!$A$27:$A$36,0))),0))</f>
        <v>0</v>
      </c>
      <c r="V724" s="38" t="n">
        <f aca="false">Q724*U724</f>
        <v>0</v>
      </c>
      <c r="W724" s="41" t="str">
        <f aca="false">IF($M724="","",IF(T724="Overdue",IF(Settings!$B$8="Yes",Settings!$B$7,""),IF(ISNUMBER(R724),DATE(YEAR(R724),MONTH(R724),1),"")))</f>
        <v/>
      </c>
      <c r="X724" s="38" t="n">
        <f aca="false">IF(AND(OR(T724="Backlog",T724="Pipeline",T724="Overdue"),ISNUMBER(W724)),IF(W724&lt;=Settings!$B$6,V724,0),0)</f>
        <v>0</v>
      </c>
      <c r="Y724" s="38" t="n">
        <f aca="false">IF(AND(OR(T724="Backlog",T724="Pipeline",T724="Overdue"),ISNUMBER(W724)),IF(W724&lt;=Settings!$B$6,Q724,0),0)</f>
        <v>0</v>
      </c>
      <c r="Z724" s="38" t="n">
        <f aca="false">IF(Y724=0,0,IF(T724="Backlog",Q724,Q724*Dashboard!$C$10))</f>
        <v>0</v>
      </c>
      <c r="AA724" s="37" t="n">
        <f aca="false">IF($N724="",0,IF(COUNTIF(Dashboard!$C$13:$C$22,$N724)&gt;0,1,0))</f>
        <v>0</v>
      </c>
      <c r="AB724" s="37" t="str">
        <f aca="false">IF($N724="","",IF(COUNTIF($N$8:$N724,$N724)=1,MAX($AB$7:$AB723)+1,""))</f>
        <v/>
      </c>
    </row>
    <row r="725" customFormat="false" ht="15" hidden="false" customHeight="false" outlineLevel="0" collapsed="false">
      <c r="L725" s="37" t="str">
        <f aca="false">IF(INDEX($A725:$J725,$L$6)&lt;&gt;"",TRIM(LEFT(INDEX($A725:$J725,$L$6),FIND("(",INDEX($A725:$J725,$L$6)&amp;"(")-1)),L724)</f>
        <v>Building Value Proposition</v>
      </c>
      <c r="M725" s="37" t="str">
        <f aca="false">IF(INDEX($A725:$J725,$M$6)="","",INDEX($A725:$J725,$M$6)&amp;"")</f>
        <v/>
      </c>
      <c r="N725" s="37" t="str">
        <f aca="false">IF($M725="","",TRIM(INDEX($A725:$J725,$N$6)&amp;""))</f>
        <v/>
      </c>
      <c r="O725" s="37" t="str">
        <f aca="false">IF($M725="","",TRIM(INDEX($A725:$J725,$O$6)&amp;""))</f>
        <v/>
      </c>
      <c r="P725" s="37" t="str">
        <f aca="false">IF($M725="","",IFERROR(IF(INDEX(Settings!$B$41:$B$50,MATCH(O725,Settings!$A$41:$A$50,0))&amp;""="","UNMAPPED",INDEX(Settings!$B$41:$B$50,MATCH(O725,Settings!$A$41:$A$50,0))&amp;""),"UNMAPPED"))</f>
        <v/>
      </c>
      <c r="Q725" s="38" t="n">
        <f aca="false">IF($M725="",0,N(INDEX($A725:$J725,$Q$6)))</f>
        <v>0</v>
      </c>
      <c r="R725" s="39" t="str">
        <f aca="false">IF($M725="","",INDEX($A725:$J725,$R$6))</f>
        <v/>
      </c>
      <c r="S725" s="37" t="str">
        <f aca="false">IF($M725="","",IFERROR(INDEX(Settings!$B$27:$B$36,MATCH(L725,Settings!$A$27:$A$36,0))&amp;"","UNMAPPED"))</f>
        <v/>
      </c>
      <c r="T725" s="37" t="str">
        <f aca="false">IF($M725="","",IF(NOT(ISNUMBER(R725)),"NO DATE",IF(S725="Won",IF(R725&gt;Settings!$B$5,"Backlog","Delivered"),IF(S725="Open",IF(R725&gt;Settings!$B$5,"Pipeline","Overdue"),IF(S725="Lost","Lost","UNMAPPED")))))</f>
        <v/>
      </c>
      <c r="U725" s="40" t="n">
        <f aca="false">IF(T725="Backlog",1,IF(OR(T725="Pipeline",T725="Overdue"),N(INDEX(Settings!$C$27:$C$36,MATCH(L725,Settings!$A$27:$A$36,0))),0))</f>
        <v>0</v>
      </c>
      <c r="V725" s="38" t="n">
        <f aca="false">Q725*U725</f>
        <v>0</v>
      </c>
      <c r="W725" s="41" t="str">
        <f aca="false">IF($M725="","",IF(T725="Overdue",IF(Settings!$B$8="Yes",Settings!$B$7,""),IF(ISNUMBER(R725),DATE(YEAR(R725),MONTH(R725),1),"")))</f>
        <v/>
      </c>
      <c r="X725" s="38" t="n">
        <f aca="false">IF(AND(OR(T725="Backlog",T725="Pipeline",T725="Overdue"),ISNUMBER(W725)),IF(W725&lt;=Settings!$B$6,V725,0),0)</f>
        <v>0</v>
      </c>
      <c r="Y725" s="38" t="n">
        <f aca="false">IF(AND(OR(T725="Backlog",T725="Pipeline",T725="Overdue"),ISNUMBER(W725)),IF(W725&lt;=Settings!$B$6,Q725,0),0)</f>
        <v>0</v>
      </c>
      <c r="Z725" s="38" t="n">
        <f aca="false">IF(Y725=0,0,IF(T725="Backlog",Q725,Q725*Dashboard!$C$10))</f>
        <v>0</v>
      </c>
      <c r="AA725" s="37" t="n">
        <f aca="false">IF($N725="",0,IF(COUNTIF(Dashboard!$C$13:$C$22,$N725)&gt;0,1,0))</f>
        <v>0</v>
      </c>
      <c r="AB725" s="37" t="str">
        <f aca="false">IF($N725="","",IF(COUNTIF($N$8:$N725,$N725)=1,MAX($AB$7:$AB724)+1,""))</f>
        <v/>
      </c>
    </row>
    <row r="726" customFormat="false" ht="15" hidden="false" customHeight="false" outlineLevel="0" collapsed="false">
      <c r="L726" s="37" t="str">
        <f aca="false">IF(INDEX($A726:$J726,$L$6)&lt;&gt;"",TRIM(LEFT(INDEX($A726:$J726,$L$6),FIND("(",INDEX($A726:$J726,$L$6)&amp;"(")-1)),L725)</f>
        <v>Building Value Proposition</v>
      </c>
      <c r="M726" s="37" t="str">
        <f aca="false">IF(INDEX($A726:$J726,$M$6)="","",INDEX($A726:$J726,$M$6)&amp;"")</f>
        <v/>
      </c>
      <c r="N726" s="37" t="str">
        <f aca="false">IF($M726="","",TRIM(INDEX($A726:$J726,$N$6)&amp;""))</f>
        <v/>
      </c>
      <c r="O726" s="37" t="str">
        <f aca="false">IF($M726="","",TRIM(INDEX($A726:$J726,$O$6)&amp;""))</f>
        <v/>
      </c>
      <c r="P726" s="37" t="str">
        <f aca="false">IF($M726="","",IFERROR(IF(INDEX(Settings!$B$41:$B$50,MATCH(O726,Settings!$A$41:$A$50,0))&amp;""="","UNMAPPED",INDEX(Settings!$B$41:$B$50,MATCH(O726,Settings!$A$41:$A$50,0))&amp;""),"UNMAPPED"))</f>
        <v/>
      </c>
      <c r="Q726" s="38" t="n">
        <f aca="false">IF($M726="",0,N(INDEX($A726:$J726,$Q$6)))</f>
        <v>0</v>
      </c>
      <c r="R726" s="39" t="str">
        <f aca="false">IF($M726="","",INDEX($A726:$J726,$R$6))</f>
        <v/>
      </c>
      <c r="S726" s="37" t="str">
        <f aca="false">IF($M726="","",IFERROR(INDEX(Settings!$B$27:$B$36,MATCH(L726,Settings!$A$27:$A$36,0))&amp;"","UNMAPPED"))</f>
        <v/>
      </c>
      <c r="T726" s="37" t="str">
        <f aca="false">IF($M726="","",IF(NOT(ISNUMBER(R726)),"NO DATE",IF(S726="Won",IF(R726&gt;Settings!$B$5,"Backlog","Delivered"),IF(S726="Open",IF(R726&gt;Settings!$B$5,"Pipeline","Overdue"),IF(S726="Lost","Lost","UNMAPPED")))))</f>
        <v/>
      </c>
      <c r="U726" s="40" t="n">
        <f aca="false">IF(T726="Backlog",1,IF(OR(T726="Pipeline",T726="Overdue"),N(INDEX(Settings!$C$27:$C$36,MATCH(L726,Settings!$A$27:$A$36,0))),0))</f>
        <v>0</v>
      </c>
      <c r="V726" s="38" t="n">
        <f aca="false">Q726*U726</f>
        <v>0</v>
      </c>
      <c r="W726" s="41" t="str">
        <f aca="false">IF($M726="","",IF(T726="Overdue",IF(Settings!$B$8="Yes",Settings!$B$7,""),IF(ISNUMBER(R726),DATE(YEAR(R726),MONTH(R726),1),"")))</f>
        <v/>
      </c>
      <c r="X726" s="38" t="n">
        <f aca="false">IF(AND(OR(T726="Backlog",T726="Pipeline",T726="Overdue"),ISNUMBER(W726)),IF(W726&lt;=Settings!$B$6,V726,0),0)</f>
        <v>0</v>
      </c>
      <c r="Y726" s="38" t="n">
        <f aca="false">IF(AND(OR(T726="Backlog",T726="Pipeline",T726="Overdue"),ISNUMBER(W726)),IF(W726&lt;=Settings!$B$6,Q726,0),0)</f>
        <v>0</v>
      </c>
      <c r="Z726" s="38" t="n">
        <f aca="false">IF(Y726=0,0,IF(T726="Backlog",Q726,Q726*Dashboard!$C$10))</f>
        <v>0</v>
      </c>
      <c r="AA726" s="37" t="n">
        <f aca="false">IF($N726="",0,IF(COUNTIF(Dashboard!$C$13:$C$22,$N726)&gt;0,1,0))</f>
        <v>0</v>
      </c>
      <c r="AB726" s="37" t="str">
        <f aca="false">IF($N726="","",IF(COUNTIF($N$8:$N726,$N726)=1,MAX($AB$7:$AB725)+1,""))</f>
        <v/>
      </c>
    </row>
    <row r="727" customFormat="false" ht="15" hidden="false" customHeight="false" outlineLevel="0" collapsed="false">
      <c r="L727" s="37" t="str">
        <f aca="false">IF(INDEX($A727:$J727,$L$6)&lt;&gt;"",TRIM(LEFT(INDEX($A727:$J727,$L$6),FIND("(",INDEX($A727:$J727,$L$6)&amp;"(")-1)),L726)</f>
        <v>Building Value Proposition</v>
      </c>
      <c r="M727" s="37" t="str">
        <f aca="false">IF(INDEX($A727:$J727,$M$6)="","",INDEX($A727:$J727,$M$6)&amp;"")</f>
        <v/>
      </c>
      <c r="N727" s="37" t="str">
        <f aca="false">IF($M727="","",TRIM(INDEX($A727:$J727,$N$6)&amp;""))</f>
        <v/>
      </c>
      <c r="O727" s="37" t="str">
        <f aca="false">IF($M727="","",TRIM(INDEX($A727:$J727,$O$6)&amp;""))</f>
        <v/>
      </c>
      <c r="P727" s="37" t="str">
        <f aca="false">IF($M727="","",IFERROR(IF(INDEX(Settings!$B$41:$B$50,MATCH(O727,Settings!$A$41:$A$50,0))&amp;""="","UNMAPPED",INDEX(Settings!$B$41:$B$50,MATCH(O727,Settings!$A$41:$A$50,0))&amp;""),"UNMAPPED"))</f>
        <v/>
      </c>
      <c r="Q727" s="38" t="n">
        <f aca="false">IF($M727="",0,N(INDEX($A727:$J727,$Q$6)))</f>
        <v>0</v>
      </c>
      <c r="R727" s="39" t="str">
        <f aca="false">IF($M727="","",INDEX($A727:$J727,$R$6))</f>
        <v/>
      </c>
      <c r="S727" s="37" t="str">
        <f aca="false">IF($M727="","",IFERROR(INDEX(Settings!$B$27:$B$36,MATCH(L727,Settings!$A$27:$A$36,0))&amp;"","UNMAPPED"))</f>
        <v/>
      </c>
      <c r="T727" s="37" t="str">
        <f aca="false">IF($M727="","",IF(NOT(ISNUMBER(R727)),"NO DATE",IF(S727="Won",IF(R727&gt;Settings!$B$5,"Backlog","Delivered"),IF(S727="Open",IF(R727&gt;Settings!$B$5,"Pipeline","Overdue"),IF(S727="Lost","Lost","UNMAPPED")))))</f>
        <v/>
      </c>
      <c r="U727" s="40" t="n">
        <f aca="false">IF(T727="Backlog",1,IF(OR(T727="Pipeline",T727="Overdue"),N(INDEX(Settings!$C$27:$C$36,MATCH(L727,Settings!$A$27:$A$36,0))),0))</f>
        <v>0</v>
      </c>
      <c r="V727" s="38" t="n">
        <f aca="false">Q727*U727</f>
        <v>0</v>
      </c>
      <c r="W727" s="41" t="str">
        <f aca="false">IF($M727="","",IF(T727="Overdue",IF(Settings!$B$8="Yes",Settings!$B$7,""),IF(ISNUMBER(R727),DATE(YEAR(R727),MONTH(R727),1),"")))</f>
        <v/>
      </c>
      <c r="X727" s="38" t="n">
        <f aca="false">IF(AND(OR(T727="Backlog",T727="Pipeline",T727="Overdue"),ISNUMBER(W727)),IF(W727&lt;=Settings!$B$6,V727,0),0)</f>
        <v>0</v>
      </c>
      <c r="Y727" s="38" t="n">
        <f aca="false">IF(AND(OR(T727="Backlog",T727="Pipeline",T727="Overdue"),ISNUMBER(W727)),IF(W727&lt;=Settings!$B$6,Q727,0),0)</f>
        <v>0</v>
      </c>
      <c r="Z727" s="38" t="n">
        <f aca="false">IF(Y727=0,0,IF(T727="Backlog",Q727,Q727*Dashboard!$C$10))</f>
        <v>0</v>
      </c>
      <c r="AA727" s="37" t="n">
        <f aca="false">IF($N727="",0,IF(COUNTIF(Dashboard!$C$13:$C$22,$N727)&gt;0,1,0))</f>
        <v>0</v>
      </c>
      <c r="AB727" s="37" t="str">
        <f aca="false">IF($N727="","",IF(COUNTIF($N$8:$N727,$N727)=1,MAX($AB$7:$AB726)+1,""))</f>
        <v/>
      </c>
    </row>
    <row r="728" customFormat="false" ht="15" hidden="false" customHeight="false" outlineLevel="0" collapsed="false">
      <c r="L728" s="37" t="str">
        <f aca="false">IF(INDEX($A728:$J728,$L$6)&lt;&gt;"",TRIM(LEFT(INDEX($A728:$J728,$L$6),FIND("(",INDEX($A728:$J728,$L$6)&amp;"(")-1)),L727)</f>
        <v>Building Value Proposition</v>
      </c>
      <c r="M728" s="37" t="str">
        <f aca="false">IF(INDEX($A728:$J728,$M$6)="","",INDEX($A728:$J728,$M$6)&amp;"")</f>
        <v/>
      </c>
      <c r="N728" s="37" t="str">
        <f aca="false">IF($M728="","",TRIM(INDEX($A728:$J728,$N$6)&amp;""))</f>
        <v/>
      </c>
      <c r="O728" s="37" t="str">
        <f aca="false">IF($M728="","",TRIM(INDEX($A728:$J728,$O$6)&amp;""))</f>
        <v/>
      </c>
      <c r="P728" s="37" t="str">
        <f aca="false">IF($M728="","",IFERROR(IF(INDEX(Settings!$B$41:$B$50,MATCH(O728,Settings!$A$41:$A$50,0))&amp;""="","UNMAPPED",INDEX(Settings!$B$41:$B$50,MATCH(O728,Settings!$A$41:$A$50,0))&amp;""),"UNMAPPED"))</f>
        <v/>
      </c>
      <c r="Q728" s="38" t="n">
        <f aca="false">IF($M728="",0,N(INDEX($A728:$J728,$Q$6)))</f>
        <v>0</v>
      </c>
      <c r="R728" s="39" t="str">
        <f aca="false">IF($M728="","",INDEX($A728:$J728,$R$6))</f>
        <v/>
      </c>
      <c r="S728" s="37" t="str">
        <f aca="false">IF($M728="","",IFERROR(INDEX(Settings!$B$27:$B$36,MATCH(L728,Settings!$A$27:$A$36,0))&amp;"","UNMAPPED"))</f>
        <v/>
      </c>
      <c r="T728" s="37" t="str">
        <f aca="false">IF($M728="","",IF(NOT(ISNUMBER(R728)),"NO DATE",IF(S728="Won",IF(R728&gt;Settings!$B$5,"Backlog","Delivered"),IF(S728="Open",IF(R728&gt;Settings!$B$5,"Pipeline","Overdue"),IF(S728="Lost","Lost","UNMAPPED")))))</f>
        <v/>
      </c>
      <c r="U728" s="40" t="n">
        <f aca="false">IF(T728="Backlog",1,IF(OR(T728="Pipeline",T728="Overdue"),N(INDEX(Settings!$C$27:$C$36,MATCH(L728,Settings!$A$27:$A$36,0))),0))</f>
        <v>0</v>
      </c>
      <c r="V728" s="38" t="n">
        <f aca="false">Q728*U728</f>
        <v>0</v>
      </c>
      <c r="W728" s="41" t="str">
        <f aca="false">IF($M728="","",IF(T728="Overdue",IF(Settings!$B$8="Yes",Settings!$B$7,""),IF(ISNUMBER(R728),DATE(YEAR(R728),MONTH(R728),1),"")))</f>
        <v/>
      </c>
      <c r="X728" s="38" t="n">
        <f aca="false">IF(AND(OR(T728="Backlog",T728="Pipeline",T728="Overdue"),ISNUMBER(W728)),IF(W728&lt;=Settings!$B$6,V728,0),0)</f>
        <v>0</v>
      </c>
      <c r="Y728" s="38" t="n">
        <f aca="false">IF(AND(OR(T728="Backlog",T728="Pipeline",T728="Overdue"),ISNUMBER(W728)),IF(W728&lt;=Settings!$B$6,Q728,0),0)</f>
        <v>0</v>
      </c>
      <c r="Z728" s="38" t="n">
        <f aca="false">IF(Y728=0,0,IF(T728="Backlog",Q728,Q728*Dashboard!$C$10))</f>
        <v>0</v>
      </c>
      <c r="AA728" s="37" t="n">
        <f aca="false">IF($N728="",0,IF(COUNTIF(Dashboard!$C$13:$C$22,$N728)&gt;0,1,0))</f>
        <v>0</v>
      </c>
      <c r="AB728" s="37" t="str">
        <f aca="false">IF($N728="","",IF(COUNTIF($N$8:$N728,$N728)=1,MAX($AB$7:$AB727)+1,""))</f>
        <v/>
      </c>
    </row>
    <row r="729" customFormat="false" ht="15" hidden="false" customHeight="false" outlineLevel="0" collapsed="false">
      <c r="L729" s="37" t="str">
        <f aca="false">IF(INDEX($A729:$J729,$L$6)&lt;&gt;"",TRIM(LEFT(INDEX($A729:$J729,$L$6),FIND("(",INDEX($A729:$J729,$L$6)&amp;"(")-1)),L728)</f>
        <v>Building Value Proposition</v>
      </c>
      <c r="M729" s="37" t="str">
        <f aca="false">IF(INDEX($A729:$J729,$M$6)="","",INDEX($A729:$J729,$M$6)&amp;"")</f>
        <v/>
      </c>
      <c r="N729" s="37" t="str">
        <f aca="false">IF($M729="","",TRIM(INDEX($A729:$J729,$N$6)&amp;""))</f>
        <v/>
      </c>
      <c r="O729" s="37" t="str">
        <f aca="false">IF($M729="","",TRIM(INDEX($A729:$J729,$O$6)&amp;""))</f>
        <v/>
      </c>
      <c r="P729" s="37" t="str">
        <f aca="false">IF($M729="","",IFERROR(IF(INDEX(Settings!$B$41:$B$50,MATCH(O729,Settings!$A$41:$A$50,0))&amp;""="","UNMAPPED",INDEX(Settings!$B$41:$B$50,MATCH(O729,Settings!$A$41:$A$50,0))&amp;""),"UNMAPPED"))</f>
        <v/>
      </c>
      <c r="Q729" s="38" t="n">
        <f aca="false">IF($M729="",0,N(INDEX($A729:$J729,$Q$6)))</f>
        <v>0</v>
      </c>
      <c r="R729" s="39" t="str">
        <f aca="false">IF($M729="","",INDEX($A729:$J729,$R$6))</f>
        <v/>
      </c>
      <c r="S729" s="37" t="str">
        <f aca="false">IF($M729="","",IFERROR(INDEX(Settings!$B$27:$B$36,MATCH(L729,Settings!$A$27:$A$36,0))&amp;"","UNMAPPED"))</f>
        <v/>
      </c>
      <c r="T729" s="37" t="str">
        <f aca="false">IF($M729="","",IF(NOT(ISNUMBER(R729)),"NO DATE",IF(S729="Won",IF(R729&gt;Settings!$B$5,"Backlog","Delivered"),IF(S729="Open",IF(R729&gt;Settings!$B$5,"Pipeline","Overdue"),IF(S729="Lost","Lost","UNMAPPED")))))</f>
        <v/>
      </c>
      <c r="U729" s="40" t="n">
        <f aca="false">IF(T729="Backlog",1,IF(OR(T729="Pipeline",T729="Overdue"),N(INDEX(Settings!$C$27:$C$36,MATCH(L729,Settings!$A$27:$A$36,0))),0))</f>
        <v>0</v>
      </c>
      <c r="V729" s="38" t="n">
        <f aca="false">Q729*U729</f>
        <v>0</v>
      </c>
      <c r="W729" s="41" t="str">
        <f aca="false">IF($M729="","",IF(T729="Overdue",IF(Settings!$B$8="Yes",Settings!$B$7,""),IF(ISNUMBER(R729),DATE(YEAR(R729),MONTH(R729),1),"")))</f>
        <v/>
      </c>
      <c r="X729" s="38" t="n">
        <f aca="false">IF(AND(OR(T729="Backlog",T729="Pipeline",T729="Overdue"),ISNUMBER(W729)),IF(W729&lt;=Settings!$B$6,V729,0),0)</f>
        <v>0</v>
      </c>
      <c r="Y729" s="38" t="n">
        <f aca="false">IF(AND(OR(T729="Backlog",T729="Pipeline",T729="Overdue"),ISNUMBER(W729)),IF(W729&lt;=Settings!$B$6,Q729,0),0)</f>
        <v>0</v>
      </c>
      <c r="Z729" s="38" t="n">
        <f aca="false">IF(Y729=0,0,IF(T729="Backlog",Q729,Q729*Dashboard!$C$10))</f>
        <v>0</v>
      </c>
      <c r="AA729" s="37" t="n">
        <f aca="false">IF($N729="",0,IF(COUNTIF(Dashboard!$C$13:$C$22,$N729)&gt;0,1,0))</f>
        <v>0</v>
      </c>
      <c r="AB729" s="37" t="str">
        <f aca="false">IF($N729="","",IF(COUNTIF($N$8:$N729,$N729)=1,MAX($AB$7:$AB728)+1,""))</f>
        <v/>
      </c>
    </row>
    <row r="730" customFormat="false" ht="15" hidden="false" customHeight="false" outlineLevel="0" collapsed="false">
      <c r="L730" s="37" t="str">
        <f aca="false">IF(INDEX($A730:$J730,$L$6)&lt;&gt;"",TRIM(LEFT(INDEX($A730:$J730,$L$6),FIND("(",INDEX($A730:$J730,$L$6)&amp;"(")-1)),L729)</f>
        <v>Building Value Proposition</v>
      </c>
      <c r="M730" s="37" t="str">
        <f aca="false">IF(INDEX($A730:$J730,$M$6)="","",INDEX($A730:$J730,$M$6)&amp;"")</f>
        <v/>
      </c>
      <c r="N730" s="37" t="str">
        <f aca="false">IF($M730="","",TRIM(INDEX($A730:$J730,$N$6)&amp;""))</f>
        <v/>
      </c>
      <c r="O730" s="37" t="str">
        <f aca="false">IF($M730="","",TRIM(INDEX($A730:$J730,$O$6)&amp;""))</f>
        <v/>
      </c>
      <c r="P730" s="37" t="str">
        <f aca="false">IF($M730="","",IFERROR(IF(INDEX(Settings!$B$41:$B$50,MATCH(O730,Settings!$A$41:$A$50,0))&amp;""="","UNMAPPED",INDEX(Settings!$B$41:$B$50,MATCH(O730,Settings!$A$41:$A$50,0))&amp;""),"UNMAPPED"))</f>
        <v/>
      </c>
      <c r="Q730" s="38" t="n">
        <f aca="false">IF($M730="",0,N(INDEX($A730:$J730,$Q$6)))</f>
        <v>0</v>
      </c>
      <c r="R730" s="39" t="str">
        <f aca="false">IF($M730="","",INDEX($A730:$J730,$R$6))</f>
        <v/>
      </c>
      <c r="S730" s="37" t="str">
        <f aca="false">IF($M730="","",IFERROR(INDEX(Settings!$B$27:$B$36,MATCH(L730,Settings!$A$27:$A$36,0))&amp;"","UNMAPPED"))</f>
        <v/>
      </c>
      <c r="T730" s="37" t="str">
        <f aca="false">IF($M730="","",IF(NOT(ISNUMBER(R730)),"NO DATE",IF(S730="Won",IF(R730&gt;Settings!$B$5,"Backlog","Delivered"),IF(S730="Open",IF(R730&gt;Settings!$B$5,"Pipeline","Overdue"),IF(S730="Lost","Lost","UNMAPPED")))))</f>
        <v/>
      </c>
      <c r="U730" s="40" t="n">
        <f aca="false">IF(T730="Backlog",1,IF(OR(T730="Pipeline",T730="Overdue"),N(INDEX(Settings!$C$27:$C$36,MATCH(L730,Settings!$A$27:$A$36,0))),0))</f>
        <v>0</v>
      </c>
      <c r="V730" s="38" t="n">
        <f aca="false">Q730*U730</f>
        <v>0</v>
      </c>
      <c r="W730" s="41" t="str">
        <f aca="false">IF($M730="","",IF(T730="Overdue",IF(Settings!$B$8="Yes",Settings!$B$7,""),IF(ISNUMBER(R730),DATE(YEAR(R730),MONTH(R730),1),"")))</f>
        <v/>
      </c>
      <c r="X730" s="38" t="n">
        <f aca="false">IF(AND(OR(T730="Backlog",T730="Pipeline",T730="Overdue"),ISNUMBER(W730)),IF(W730&lt;=Settings!$B$6,V730,0),0)</f>
        <v>0</v>
      </c>
      <c r="Y730" s="38" t="n">
        <f aca="false">IF(AND(OR(T730="Backlog",T730="Pipeline",T730="Overdue"),ISNUMBER(W730)),IF(W730&lt;=Settings!$B$6,Q730,0),0)</f>
        <v>0</v>
      </c>
      <c r="Z730" s="38" t="n">
        <f aca="false">IF(Y730=0,0,IF(T730="Backlog",Q730,Q730*Dashboard!$C$10))</f>
        <v>0</v>
      </c>
      <c r="AA730" s="37" t="n">
        <f aca="false">IF($N730="",0,IF(COUNTIF(Dashboard!$C$13:$C$22,$N730)&gt;0,1,0))</f>
        <v>0</v>
      </c>
      <c r="AB730" s="37" t="str">
        <f aca="false">IF($N730="","",IF(COUNTIF($N$8:$N730,$N730)=1,MAX($AB$7:$AB729)+1,""))</f>
        <v/>
      </c>
    </row>
    <row r="731" customFormat="false" ht="15" hidden="false" customHeight="false" outlineLevel="0" collapsed="false">
      <c r="L731" s="37" t="str">
        <f aca="false">IF(INDEX($A731:$J731,$L$6)&lt;&gt;"",TRIM(LEFT(INDEX($A731:$J731,$L$6),FIND("(",INDEX($A731:$J731,$L$6)&amp;"(")-1)),L730)</f>
        <v>Building Value Proposition</v>
      </c>
      <c r="M731" s="37" t="str">
        <f aca="false">IF(INDEX($A731:$J731,$M$6)="","",INDEX($A731:$J731,$M$6)&amp;"")</f>
        <v/>
      </c>
      <c r="N731" s="37" t="str">
        <f aca="false">IF($M731="","",TRIM(INDEX($A731:$J731,$N$6)&amp;""))</f>
        <v/>
      </c>
      <c r="O731" s="37" t="str">
        <f aca="false">IF($M731="","",TRIM(INDEX($A731:$J731,$O$6)&amp;""))</f>
        <v/>
      </c>
      <c r="P731" s="37" t="str">
        <f aca="false">IF($M731="","",IFERROR(IF(INDEX(Settings!$B$41:$B$50,MATCH(O731,Settings!$A$41:$A$50,0))&amp;""="","UNMAPPED",INDEX(Settings!$B$41:$B$50,MATCH(O731,Settings!$A$41:$A$50,0))&amp;""),"UNMAPPED"))</f>
        <v/>
      </c>
      <c r="Q731" s="38" t="n">
        <f aca="false">IF($M731="",0,N(INDEX($A731:$J731,$Q$6)))</f>
        <v>0</v>
      </c>
      <c r="R731" s="39" t="str">
        <f aca="false">IF($M731="","",INDEX($A731:$J731,$R$6))</f>
        <v/>
      </c>
      <c r="S731" s="37" t="str">
        <f aca="false">IF($M731="","",IFERROR(INDEX(Settings!$B$27:$B$36,MATCH(L731,Settings!$A$27:$A$36,0))&amp;"","UNMAPPED"))</f>
        <v/>
      </c>
      <c r="T731" s="37" t="str">
        <f aca="false">IF($M731="","",IF(NOT(ISNUMBER(R731)),"NO DATE",IF(S731="Won",IF(R731&gt;Settings!$B$5,"Backlog","Delivered"),IF(S731="Open",IF(R731&gt;Settings!$B$5,"Pipeline","Overdue"),IF(S731="Lost","Lost","UNMAPPED")))))</f>
        <v/>
      </c>
      <c r="U731" s="40" t="n">
        <f aca="false">IF(T731="Backlog",1,IF(OR(T731="Pipeline",T731="Overdue"),N(INDEX(Settings!$C$27:$C$36,MATCH(L731,Settings!$A$27:$A$36,0))),0))</f>
        <v>0</v>
      </c>
      <c r="V731" s="38" t="n">
        <f aca="false">Q731*U731</f>
        <v>0</v>
      </c>
      <c r="W731" s="41" t="str">
        <f aca="false">IF($M731="","",IF(T731="Overdue",IF(Settings!$B$8="Yes",Settings!$B$7,""),IF(ISNUMBER(R731),DATE(YEAR(R731),MONTH(R731),1),"")))</f>
        <v/>
      </c>
      <c r="X731" s="38" t="n">
        <f aca="false">IF(AND(OR(T731="Backlog",T731="Pipeline",T731="Overdue"),ISNUMBER(W731)),IF(W731&lt;=Settings!$B$6,V731,0),0)</f>
        <v>0</v>
      </c>
      <c r="Y731" s="38" t="n">
        <f aca="false">IF(AND(OR(T731="Backlog",T731="Pipeline",T731="Overdue"),ISNUMBER(W731)),IF(W731&lt;=Settings!$B$6,Q731,0),0)</f>
        <v>0</v>
      </c>
      <c r="Z731" s="38" t="n">
        <f aca="false">IF(Y731=0,0,IF(T731="Backlog",Q731,Q731*Dashboard!$C$10))</f>
        <v>0</v>
      </c>
      <c r="AA731" s="37" t="n">
        <f aca="false">IF($N731="",0,IF(COUNTIF(Dashboard!$C$13:$C$22,$N731)&gt;0,1,0))</f>
        <v>0</v>
      </c>
      <c r="AB731" s="37" t="str">
        <f aca="false">IF($N731="","",IF(COUNTIF($N$8:$N731,$N731)=1,MAX($AB$7:$AB730)+1,""))</f>
        <v/>
      </c>
    </row>
    <row r="732" customFormat="false" ht="15" hidden="false" customHeight="false" outlineLevel="0" collapsed="false">
      <c r="L732" s="37" t="str">
        <f aca="false">IF(INDEX($A732:$J732,$L$6)&lt;&gt;"",TRIM(LEFT(INDEX($A732:$J732,$L$6),FIND("(",INDEX($A732:$J732,$L$6)&amp;"(")-1)),L731)</f>
        <v>Building Value Proposition</v>
      </c>
      <c r="M732" s="37" t="str">
        <f aca="false">IF(INDEX($A732:$J732,$M$6)="","",INDEX($A732:$J732,$M$6)&amp;"")</f>
        <v/>
      </c>
      <c r="N732" s="37" t="str">
        <f aca="false">IF($M732="","",TRIM(INDEX($A732:$J732,$N$6)&amp;""))</f>
        <v/>
      </c>
      <c r="O732" s="37" t="str">
        <f aca="false">IF($M732="","",TRIM(INDEX($A732:$J732,$O$6)&amp;""))</f>
        <v/>
      </c>
      <c r="P732" s="37" t="str">
        <f aca="false">IF($M732="","",IFERROR(IF(INDEX(Settings!$B$41:$B$50,MATCH(O732,Settings!$A$41:$A$50,0))&amp;""="","UNMAPPED",INDEX(Settings!$B$41:$B$50,MATCH(O732,Settings!$A$41:$A$50,0))&amp;""),"UNMAPPED"))</f>
        <v/>
      </c>
      <c r="Q732" s="38" t="n">
        <f aca="false">IF($M732="",0,N(INDEX($A732:$J732,$Q$6)))</f>
        <v>0</v>
      </c>
      <c r="R732" s="39" t="str">
        <f aca="false">IF($M732="","",INDEX($A732:$J732,$R$6))</f>
        <v/>
      </c>
      <c r="S732" s="37" t="str">
        <f aca="false">IF($M732="","",IFERROR(INDEX(Settings!$B$27:$B$36,MATCH(L732,Settings!$A$27:$A$36,0))&amp;"","UNMAPPED"))</f>
        <v/>
      </c>
      <c r="T732" s="37" t="str">
        <f aca="false">IF($M732="","",IF(NOT(ISNUMBER(R732)),"NO DATE",IF(S732="Won",IF(R732&gt;Settings!$B$5,"Backlog","Delivered"),IF(S732="Open",IF(R732&gt;Settings!$B$5,"Pipeline","Overdue"),IF(S732="Lost","Lost","UNMAPPED")))))</f>
        <v/>
      </c>
      <c r="U732" s="40" t="n">
        <f aca="false">IF(T732="Backlog",1,IF(OR(T732="Pipeline",T732="Overdue"),N(INDEX(Settings!$C$27:$C$36,MATCH(L732,Settings!$A$27:$A$36,0))),0))</f>
        <v>0</v>
      </c>
      <c r="V732" s="38" t="n">
        <f aca="false">Q732*U732</f>
        <v>0</v>
      </c>
      <c r="W732" s="41" t="str">
        <f aca="false">IF($M732="","",IF(T732="Overdue",IF(Settings!$B$8="Yes",Settings!$B$7,""),IF(ISNUMBER(R732),DATE(YEAR(R732),MONTH(R732),1),"")))</f>
        <v/>
      </c>
      <c r="X732" s="38" t="n">
        <f aca="false">IF(AND(OR(T732="Backlog",T732="Pipeline",T732="Overdue"),ISNUMBER(W732)),IF(W732&lt;=Settings!$B$6,V732,0),0)</f>
        <v>0</v>
      </c>
      <c r="Y732" s="38" t="n">
        <f aca="false">IF(AND(OR(T732="Backlog",T732="Pipeline",T732="Overdue"),ISNUMBER(W732)),IF(W732&lt;=Settings!$B$6,Q732,0),0)</f>
        <v>0</v>
      </c>
      <c r="Z732" s="38" t="n">
        <f aca="false">IF(Y732=0,0,IF(T732="Backlog",Q732,Q732*Dashboard!$C$10))</f>
        <v>0</v>
      </c>
      <c r="AA732" s="37" t="n">
        <f aca="false">IF($N732="",0,IF(COUNTIF(Dashboard!$C$13:$C$22,$N732)&gt;0,1,0))</f>
        <v>0</v>
      </c>
      <c r="AB732" s="37" t="str">
        <f aca="false">IF($N732="","",IF(COUNTIF($N$8:$N732,$N732)=1,MAX($AB$7:$AB731)+1,""))</f>
        <v/>
      </c>
    </row>
    <row r="733" customFormat="false" ht="15" hidden="false" customHeight="false" outlineLevel="0" collapsed="false">
      <c r="L733" s="37" t="str">
        <f aca="false">IF(INDEX($A733:$J733,$L$6)&lt;&gt;"",TRIM(LEFT(INDEX($A733:$J733,$L$6),FIND("(",INDEX($A733:$J733,$L$6)&amp;"(")-1)),L732)</f>
        <v>Building Value Proposition</v>
      </c>
      <c r="M733" s="37" t="str">
        <f aca="false">IF(INDEX($A733:$J733,$M$6)="","",INDEX($A733:$J733,$M$6)&amp;"")</f>
        <v/>
      </c>
      <c r="N733" s="37" t="str">
        <f aca="false">IF($M733="","",TRIM(INDEX($A733:$J733,$N$6)&amp;""))</f>
        <v/>
      </c>
      <c r="O733" s="37" t="str">
        <f aca="false">IF($M733="","",TRIM(INDEX($A733:$J733,$O$6)&amp;""))</f>
        <v/>
      </c>
      <c r="P733" s="37" t="str">
        <f aca="false">IF($M733="","",IFERROR(IF(INDEX(Settings!$B$41:$B$50,MATCH(O733,Settings!$A$41:$A$50,0))&amp;""="","UNMAPPED",INDEX(Settings!$B$41:$B$50,MATCH(O733,Settings!$A$41:$A$50,0))&amp;""),"UNMAPPED"))</f>
        <v/>
      </c>
      <c r="Q733" s="38" t="n">
        <f aca="false">IF($M733="",0,N(INDEX($A733:$J733,$Q$6)))</f>
        <v>0</v>
      </c>
      <c r="R733" s="39" t="str">
        <f aca="false">IF($M733="","",INDEX($A733:$J733,$R$6))</f>
        <v/>
      </c>
      <c r="S733" s="37" t="str">
        <f aca="false">IF($M733="","",IFERROR(INDEX(Settings!$B$27:$B$36,MATCH(L733,Settings!$A$27:$A$36,0))&amp;"","UNMAPPED"))</f>
        <v/>
      </c>
      <c r="T733" s="37" t="str">
        <f aca="false">IF($M733="","",IF(NOT(ISNUMBER(R733)),"NO DATE",IF(S733="Won",IF(R733&gt;Settings!$B$5,"Backlog","Delivered"),IF(S733="Open",IF(R733&gt;Settings!$B$5,"Pipeline","Overdue"),IF(S733="Lost","Lost","UNMAPPED")))))</f>
        <v/>
      </c>
      <c r="U733" s="40" t="n">
        <f aca="false">IF(T733="Backlog",1,IF(OR(T733="Pipeline",T733="Overdue"),N(INDEX(Settings!$C$27:$C$36,MATCH(L733,Settings!$A$27:$A$36,0))),0))</f>
        <v>0</v>
      </c>
      <c r="V733" s="38" t="n">
        <f aca="false">Q733*U733</f>
        <v>0</v>
      </c>
      <c r="W733" s="41" t="str">
        <f aca="false">IF($M733="","",IF(T733="Overdue",IF(Settings!$B$8="Yes",Settings!$B$7,""),IF(ISNUMBER(R733),DATE(YEAR(R733),MONTH(R733),1),"")))</f>
        <v/>
      </c>
      <c r="X733" s="38" t="n">
        <f aca="false">IF(AND(OR(T733="Backlog",T733="Pipeline",T733="Overdue"),ISNUMBER(W733)),IF(W733&lt;=Settings!$B$6,V733,0),0)</f>
        <v>0</v>
      </c>
      <c r="Y733" s="38" t="n">
        <f aca="false">IF(AND(OR(T733="Backlog",T733="Pipeline",T733="Overdue"),ISNUMBER(W733)),IF(W733&lt;=Settings!$B$6,Q733,0),0)</f>
        <v>0</v>
      </c>
      <c r="Z733" s="38" t="n">
        <f aca="false">IF(Y733=0,0,IF(T733="Backlog",Q733,Q733*Dashboard!$C$10))</f>
        <v>0</v>
      </c>
      <c r="AA733" s="37" t="n">
        <f aca="false">IF($N733="",0,IF(COUNTIF(Dashboard!$C$13:$C$22,$N733)&gt;0,1,0))</f>
        <v>0</v>
      </c>
      <c r="AB733" s="37" t="str">
        <f aca="false">IF($N733="","",IF(COUNTIF($N$8:$N733,$N733)=1,MAX($AB$7:$AB732)+1,""))</f>
        <v/>
      </c>
    </row>
    <row r="734" customFormat="false" ht="15" hidden="false" customHeight="false" outlineLevel="0" collapsed="false">
      <c r="L734" s="37" t="str">
        <f aca="false">IF(INDEX($A734:$J734,$L$6)&lt;&gt;"",TRIM(LEFT(INDEX($A734:$J734,$L$6),FIND("(",INDEX($A734:$J734,$L$6)&amp;"(")-1)),L733)</f>
        <v>Building Value Proposition</v>
      </c>
      <c r="M734" s="37" t="str">
        <f aca="false">IF(INDEX($A734:$J734,$M$6)="","",INDEX($A734:$J734,$M$6)&amp;"")</f>
        <v/>
      </c>
      <c r="N734" s="37" t="str">
        <f aca="false">IF($M734="","",TRIM(INDEX($A734:$J734,$N$6)&amp;""))</f>
        <v/>
      </c>
      <c r="O734" s="37" t="str">
        <f aca="false">IF($M734="","",TRIM(INDEX($A734:$J734,$O$6)&amp;""))</f>
        <v/>
      </c>
      <c r="P734" s="37" t="str">
        <f aca="false">IF($M734="","",IFERROR(IF(INDEX(Settings!$B$41:$B$50,MATCH(O734,Settings!$A$41:$A$50,0))&amp;""="","UNMAPPED",INDEX(Settings!$B$41:$B$50,MATCH(O734,Settings!$A$41:$A$50,0))&amp;""),"UNMAPPED"))</f>
        <v/>
      </c>
      <c r="Q734" s="38" t="n">
        <f aca="false">IF($M734="",0,N(INDEX($A734:$J734,$Q$6)))</f>
        <v>0</v>
      </c>
      <c r="R734" s="39" t="str">
        <f aca="false">IF($M734="","",INDEX($A734:$J734,$R$6))</f>
        <v/>
      </c>
      <c r="S734" s="37" t="str">
        <f aca="false">IF($M734="","",IFERROR(INDEX(Settings!$B$27:$B$36,MATCH(L734,Settings!$A$27:$A$36,0))&amp;"","UNMAPPED"))</f>
        <v/>
      </c>
      <c r="T734" s="37" t="str">
        <f aca="false">IF($M734="","",IF(NOT(ISNUMBER(R734)),"NO DATE",IF(S734="Won",IF(R734&gt;Settings!$B$5,"Backlog","Delivered"),IF(S734="Open",IF(R734&gt;Settings!$B$5,"Pipeline","Overdue"),IF(S734="Lost","Lost","UNMAPPED")))))</f>
        <v/>
      </c>
      <c r="U734" s="40" t="n">
        <f aca="false">IF(T734="Backlog",1,IF(OR(T734="Pipeline",T734="Overdue"),N(INDEX(Settings!$C$27:$C$36,MATCH(L734,Settings!$A$27:$A$36,0))),0))</f>
        <v>0</v>
      </c>
      <c r="V734" s="38" t="n">
        <f aca="false">Q734*U734</f>
        <v>0</v>
      </c>
      <c r="W734" s="41" t="str">
        <f aca="false">IF($M734="","",IF(T734="Overdue",IF(Settings!$B$8="Yes",Settings!$B$7,""),IF(ISNUMBER(R734),DATE(YEAR(R734),MONTH(R734),1),"")))</f>
        <v/>
      </c>
      <c r="X734" s="38" t="n">
        <f aca="false">IF(AND(OR(T734="Backlog",T734="Pipeline",T734="Overdue"),ISNUMBER(W734)),IF(W734&lt;=Settings!$B$6,V734,0),0)</f>
        <v>0</v>
      </c>
      <c r="Y734" s="38" t="n">
        <f aca="false">IF(AND(OR(T734="Backlog",T734="Pipeline",T734="Overdue"),ISNUMBER(W734)),IF(W734&lt;=Settings!$B$6,Q734,0),0)</f>
        <v>0</v>
      </c>
      <c r="Z734" s="38" t="n">
        <f aca="false">IF(Y734=0,0,IF(T734="Backlog",Q734,Q734*Dashboard!$C$10))</f>
        <v>0</v>
      </c>
      <c r="AA734" s="37" t="n">
        <f aca="false">IF($N734="",0,IF(COUNTIF(Dashboard!$C$13:$C$22,$N734)&gt;0,1,0))</f>
        <v>0</v>
      </c>
      <c r="AB734" s="37" t="str">
        <f aca="false">IF($N734="","",IF(COUNTIF($N$8:$N734,$N734)=1,MAX($AB$7:$AB733)+1,""))</f>
        <v/>
      </c>
    </row>
    <row r="735" customFormat="false" ht="15" hidden="false" customHeight="false" outlineLevel="0" collapsed="false">
      <c r="L735" s="37" t="str">
        <f aca="false">IF(INDEX($A735:$J735,$L$6)&lt;&gt;"",TRIM(LEFT(INDEX($A735:$J735,$L$6),FIND("(",INDEX($A735:$J735,$L$6)&amp;"(")-1)),L734)</f>
        <v>Building Value Proposition</v>
      </c>
      <c r="M735" s="37" t="str">
        <f aca="false">IF(INDEX($A735:$J735,$M$6)="","",INDEX($A735:$J735,$M$6)&amp;"")</f>
        <v/>
      </c>
      <c r="N735" s="37" t="str">
        <f aca="false">IF($M735="","",TRIM(INDEX($A735:$J735,$N$6)&amp;""))</f>
        <v/>
      </c>
      <c r="O735" s="37" t="str">
        <f aca="false">IF($M735="","",TRIM(INDEX($A735:$J735,$O$6)&amp;""))</f>
        <v/>
      </c>
      <c r="P735" s="37" t="str">
        <f aca="false">IF($M735="","",IFERROR(IF(INDEX(Settings!$B$41:$B$50,MATCH(O735,Settings!$A$41:$A$50,0))&amp;""="","UNMAPPED",INDEX(Settings!$B$41:$B$50,MATCH(O735,Settings!$A$41:$A$50,0))&amp;""),"UNMAPPED"))</f>
        <v/>
      </c>
      <c r="Q735" s="38" t="n">
        <f aca="false">IF($M735="",0,N(INDEX($A735:$J735,$Q$6)))</f>
        <v>0</v>
      </c>
      <c r="R735" s="39" t="str">
        <f aca="false">IF($M735="","",INDEX($A735:$J735,$R$6))</f>
        <v/>
      </c>
      <c r="S735" s="37" t="str">
        <f aca="false">IF($M735="","",IFERROR(INDEX(Settings!$B$27:$B$36,MATCH(L735,Settings!$A$27:$A$36,0))&amp;"","UNMAPPED"))</f>
        <v/>
      </c>
      <c r="T735" s="37" t="str">
        <f aca="false">IF($M735="","",IF(NOT(ISNUMBER(R735)),"NO DATE",IF(S735="Won",IF(R735&gt;Settings!$B$5,"Backlog","Delivered"),IF(S735="Open",IF(R735&gt;Settings!$B$5,"Pipeline","Overdue"),IF(S735="Lost","Lost","UNMAPPED")))))</f>
        <v/>
      </c>
      <c r="U735" s="40" t="n">
        <f aca="false">IF(T735="Backlog",1,IF(OR(T735="Pipeline",T735="Overdue"),N(INDEX(Settings!$C$27:$C$36,MATCH(L735,Settings!$A$27:$A$36,0))),0))</f>
        <v>0</v>
      </c>
      <c r="V735" s="38" t="n">
        <f aca="false">Q735*U735</f>
        <v>0</v>
      </c>
      <c r="W735" s="41" t="str">
        <f aca="false">IF($M735="","",IF(T735="Overdue",IF(Settings!$B$8="Yes",Settings!$B$7,""),IF(ISNUMBER(R735),DATE(YEAR(R735),MONTH(R735),1),"")))</f>
        <v/>
      </c>
      <c r="X735" s="38" t="n">
        <f aca="false">IF(AND(OR(T735="Backlog",T735="Pipeline",T735="Overdue"),ISNUMBER(W735)),IF(W735&lt;=Settings!$B$6,V735,0),0)</f>
        <v>0</v>
      </c>
      <c r="Y735" s="38" t="n">
        <f aca="false">IF(AND(OR(T735="Backlog",T735="Pipeline",T735="Overdue"),ISNUMBER(W735)),IF(W735&lt;=Settings!$B$6,Q735,0),0)</f>
        <v>0</v>
      </c>
      <c r="Z735" s="38" t="n">
        <f aca="false">IF(Y735=0,0,IF(T735="Backlog",Q735,Q735*Dashboard!$C$10))</f>
        <v>0</v>
      </c>
      <c r="AA735" s="37" t="n">
        <f aca="false">IF($N735="",0,IF(COUNTIF(Dashboard!$C$13:$C$22,$N735)&gt;0,1,0))</f>
        <v>0</v>
      </c>
      <c r="AB735" s="37" t="str">
        <f aca="false">IF($N735="","",IF(COUNTIF($N$8:$N735,$N735)=1,MAX($AB$7:$AB734)+1,""))</f>
        <v/>
      </c>
    </row>
    <row r="736" customFormat="false" ht="15" hidden="false" customHeight="false" outlineLevel="0" collapsed="false">
      <c r="L736" s="37" t="str">
        <f aca="false">IF(INDEX($A736:$J736,$L$6)&lt;&gt;"",TRIM(LEFT(INDEX($A736:$J736,$L$6),FIND("(",INDEX($A736:$J736,$L$6)&amp;"(")-1)),L735)</f>
        <v>Building Value Proposition</v>
      </c>
      <c r="M736" s="37" t="str">
        <f aca="false">IF(INDEX($A736:$J736,$M$6)="","",INDEX($A736:$J736,$M$6)&amp;"")</f>
        <v/>
      </c>
      <c r="N736" s="37" t="str">
        <f aca="false">IF($M736="","",TRIM(INDEX($A736:$J736,$N$6)&amp;""))</f>
        <v/>
      </c>
      <c r="O736" s="37" t="str">
        <f aca="false">IF($M736="","",TRIM(INDEX($A736:$J736,$O$6)&amp;""))</f>
        <v/>
      </c>
      <c r="P736" s="37" t="str">
        <f aca="false">IF($M736="","",IFERROR(IF(INDEX(Settings!$B$41:$B$50,MATCH(O736,Settings!$A$41:$A$50,0))&amp;""="","UNMAPPED",INDEX(Settings!$B$41:$B$50,MATCH(O736,Settings!$A$41:$A$50,0))&amp;""),"UNMAPPED"))</f>
        <v/>
      </c>
      <c r="Q736" s="38" t="n">
        <f aca="false">IF($M736="",0,N(INDEX($A736:$J736,$Q$6)))</f>
        <v>0</v>
      </c>
      <c r="R736" s="39" t="str">
        <f aca="false">IF($M736="","",INDEX($A736:$J736,$R$6))</f>
        <v/>
      </c>
      <c r="S736" s="37" t="str">
        <f aca="false">IF($M736="","",IFERROR(INDEX(Settings!$B$27:$B$36,MATCH(L736,Settings!$A$27:$A$36,0))&amp;"","UNMAPPED"))</f>
        <v/>
      </c>
      <c r="T736" s="37" t="str">
        <f aca="false">IF($M736="","",IF(NOT(ISNUMBER(R736)),"NO DATE",IF(S736="Won",IF(R736&gt;Settings!$B$5,"Backlog","Delivered"),IF(S736="Open",IF(R736&gt;Settings!$B$5,"Pipeline","Overdue"),IF(S736="Lost","Lost","UNMAPPED")))))</f>
        <v/>
      </c>
      <c r="U736" s="40" t="n">
        <f aca="false">IF(T736="Backlog",1,IF(OR(T736="Pipeline",T736="Overdue"),N(INDEX(Settings!$C$27:$C$36,MATCH(L736,Settings!$A$27:$A$36,0))),0))</f>
        <v>0</v>
      </c>
      <c r="V736" s="38" t="n">
        <f aca="false">Q736*U736</f>
        <v>0</v>
      </c>
      <c r="W736" s="41" t="str">
        <f aca="false">IF($M736="","",IF(T736="Overdue",IF(Settings!$B$8="Yes",Settings!$B$7,""),IF(ISNUMBER(R736),DATE(YEAR(R736),MONTH(R736),1),"")))</f>
        <v/>
      </c>
      <c r="X736" s="38" t="n">
        <f aca="false">IF(AND(OR(T736="Backlog",T736="Pipeline",T736="Overdue"),ISNUMBER(W736)),IF(W736&lt;=Settings!$B$6,V736,0),0)</f>
        <v>0</v>
      </c>
      <c r="Y736" s="38" t="n">
        <f aca="false">IF(AND(OR(T736="Backlog",T736="Pipeline",T736="Overdue"),ISNUMBER(W736)),IF(W736&lt;=Settings!$B$6,Q736,0),0)</f>
        <v>0</v>
      </c>
      <c r="Z736" s="38" t="n">
        <f aca="false">IF(Y736=0,0,IF(T736="Backlog",Q736,Q736*Dashboard!$C$10))</f>
        <v>0</v>
      </c>
      <c r="AA736" s="37" t="n">
        <f aca="false">IF($N736="",0,IF(COUNTIF(Dashboard!$C$13:$C$22,$N736)&gt;0,1,0))</f>
        <v>0</v>
      </c>
      <c r="AB736" s="37" t="str">
        <f aca="false">IF($N736="","",IF(COUNTIF($N$8:$N736,$N736)=1,MAX($AB$7:$AB735)+1,""))</f>
        <v/>
      </c>
    </row>
    <row r="737" customFormat="false" ht="15" hidden="false" customHeight="false" outlineLevel="0" collapsed="false">
      <c r="L737" s="37" t="str">
        <f aca="false">IF(INDEX($A737:$J737,$L$6)&lt;&gt;"",TRIM(LEFT(INDEX($A737:$J737,$L$6),FIND("(",INDEX($A737:$J737,$L$6)&amp;"(")-1)),L736)</f>
        <v>Building Value Proposition</v>
      </c>
      <c r="M737" s="37" t="str">
        <f aca="false">IF(INDEX($A737:$J737,$M$6)="","",INDEX($A737:$J737,$M$6)&amp;"")</f>
        <v/>
      </c>
      <c r="N737" s="37" t="str">
        <f aca="false">IF($M737="","",TRIM(INDEX($A737:$J737,$N$6)&amp;""))</f>
        <v/>
      </c>
      <c r="O737" s="37" t="str">
        <f aca="false">IF($M737="","",TRIM(INDEX($A737:$J737,$O$6)&amp;""))</f>
        <v/>
      </c>
      <c r="P737" s="37" t="str">
        <f aca="false">IF($M737="","",IFERROR(IF(INDEX(Settings!$B$41:$B$50,MATCH(O737,Settings!$A$41:$A$50,0))&amp;""="","UNMAPPED",INDEX(Settings!$B$41:$B$50,MATCH(O737,Settings!$A$41:$A$50,0))&amp;""),"UNMAPPED"))</f>
        <v/>
      </c>
      <c r="Q737" s="38" t="n">
        <f aca="false">IF($M737="",0,N(INDEX($A737:$J737,$Q$6)))</f>
        <v>0</v>
      </c>
      <c r="R737" s="39" t="str">
        <f aca="false">IF($M737="","",INDEX($A737:$J737,$R$6))</f>
        <v/>
      </c>
      <c r="S737" s="37" t="str">
        <f aca="false">IF($M737="","",IFERROR(INDEX(Settings!$B$27:$B$36,MATCH(L737,Settings!$A$27:$A$36,0))&amp;"","UNMAPPED"))</f>
        <v/>
      </c>
      <c r="T737" s="37" t="str">
        <f aca="false">IF($M737="","",IF(NOT(ISNUMBER(R737)),"NO DATE",IF(S737="Won",IF(R737&gt;Settings!$B$5,"Backlog","Delivered"),IF(S737="Open",IF(R737&gt;Settings!$B$5,"Pipeline","Overdue"),IF(S737="Lost","Lost","UNMAPPED")))))</f>
        <v/>
      </c>
      <c r="U737" s="40" t="n">
        <f aca="false">IF(T737="Backlog",1,IF(OR(T737="Pipeline",T737="Overdue"),N(INDEX(Settings!$C$27:$C$36,MATCH(L737,Settings!$A$27:$A$36,0))),0))</f>
        <v>0</v>
      </c>
      <c r="V737" s="38" t="n">
        <f aca="false">Q737*U737</f>
        <v>0</v>
      </c>
      <c r="W737" s="41" t="str">
        <f aca="false">IF($M737="","",IF(T737="Overdue",IF(Settings!$B$8="Yes",Settings!$B$7,""),IF(ISNUMBER(R737),DATE(YEAR(R737),MONTH(R737),1),"")))</f>
        <v/>
      </c>
      <c r="X737" s="38" t="n">
        <f aca="false">IF(AND(OR(T737="Backlog",T737="Pipeline",T737="Overdue"),ISNUMBER(W737)),IF(W737&lt;=Settings!$B$6,V737,0),0)</f>
        <v>0</v>
      </c>
      <c r="Y737" s="38" t="n">
        <f aca="false">IF(AND(OR(T737="Backlog",T737="Pipeline",T737="Overdue"),ISNUMBER(W737)),IF(W737&lt;=Settings!$B$6,Q737,0),0)</f>
        <v>0</v>
      </c>
      <c r="Z737" s="38" t="n">
        <f aca="false">IF(Y737=0,0,IF(T737="Backlog",Q737,Q737*Dashboard!$C$10))</f>
        <v>0</v>
      </c>
      <c r="AA737" s="37" t="n">
        <f aca="false">IF($N737="",0,IF(COUNTIF(Dashboard!$C$13:$C$22,$N737)&gt;0,1,0))</f>
        <v>0</v>
      </c>
      <c r="AB737" s="37" t="str">
        <f aca="false">IF($N737="","",IF(COUNTIF($N$8:$N737,$N737)=1,MAX($AB$7:$AB736)+1,""))</f>
        <v/>
      </c>
    </row>
    <row r="738" customFormat="false" ht="15" hidden="false" customHeight="false" outlineLevel="0" collapsed="false">
      <c r="L738" s="37" t="str">
        <f aca="false">IF(INDEX($A738:$J738,$L$6)&lt;&gt;"",TRIM(LEFT(INDEX($A738:$J738,$L$6),FIND("(",INDEX($A738:$J738,$L$6)&amp;"(")-1)),L737)</f>
        <v>Building Value Proposition</v>
      </c>
      <c r="M738" s="37" t="str">
        <f aca="false">IF(INDEX($A738:$J738,$M$6)="","",INDEX($A738:$J738,$M$6)&amp;"")</f>
        <v/>
      </c>
      <c r="N738" s="37" t="str">
        <f aca="false">IF($M738="","",TRIM(INDEX($A738:$J738,$N$6)&amp;""))</f>
        <v/>
      </c>
      <c r="O738" s="37" t="str">
        <f aca="false">IF($M738="","",TRIM(INDEX($A738:$J738,$O$6)&amp;""))</f>
        <v/>
      </c>
      <c r="P738" s="37" t="str">
        <f aca="false">IF($M738="","",IFERROR(IF(INDEX(Settings!$B$41:$B$50,MATCH(O738,Settings!$A$41:$A$50,0))&amp;""="","UNMAPPED",INDEX(Settings!$B$41:$B$50,MATCH(O738,Settings!$A$41:$A$50,0))&amp;""),"UNMAPPED"))</f>
        <v/>
      </c>
      <c r="Q738" s="38" t="n">
        <f aca="false">IF($M738="",0,N(INDEX($A738:$J738,$Q$6)))</f>
        <v>0</v>
      </c>
      <c r="R738" s="39" t="str">
        <f aca="false">IF($M738="","",INDEX($A738:$J738,$R$6))</f>
        <v/>
      </c>
      <c r="S738" s="37" t="str">
        <f aca="false">IF($M738="","",IFERROR(INDEX(Settings!$B$27:$B$36,MATCH(L738,Settings!$A$27:$A$36,0))&amp;"","UNMAPPED"))</f>
        <v/>
      </c>
      <c r="T738" s="37" t="str">
        <f aca="false">IF($M738="","",IF(NOT(ISNUMBER(R738)),"NO DATE",IF(S738="Won",IF(R738&gt;Settings!$B$5,"Backlog","Delivered"),IF(S738="Open",IF(R738&gt;Settings!$B$5,"Pipeline","Overdue"),IF(S738="Lost","Lost","UNMAPPED")))))</f>
        <v/>
      </c>
      <c r="U738" s="40" t="n">
        <f aca="false">IF(T738="Backlog",1,IF(OR(T738="Pipeline",T738="Overdue"),N(INDEX(Settings!$C$27:$C$36,MATCH(L738,Settings!$A$27:$A$36,0))),0))</f>
        <v>0</v>
      </c>
      <c r="V738" s="38" t="n">
        <f aca="false">Q738*U738</f>
        <v>0</v>
      </c>
      <c r="W738" s="41" t="str">
        <f aca="false">IF($M738="","",IF(T738="Overdue",IF(Settings!$B$8="Yes",Settings!$B$7,""),IF(ISNUMBER(R738),DATE(YEAR(R738),MONTH(R738),1),"")))</f>
        <v/>
      </c>
      <c r="X738" s="38" t="n">
        <f aca="false">IF(AND(OR(T738="Backlog",T738="Pipeline",T738="Overdue"),ISNUMBER(W738)),IF(W738&lt;=Settings!$B$6,V738,0),0)</f>
        <v>0</v>
      </c>
      <c r="Y738" s="38" t="n">
        <f aca="false">IF(AND(OR(T738="Backlog",T738="Pipeline",T738="Overdue"),ISNUMBER(W738)),IF(W738&lt;=Settings!$B$6,Q738,0),0)</f>
        <v>0</v>
      </c>
      <c r="Z738" s="38" t="n">
        <f aca="false">IF(Y738=0,0,IF(T738="Backlog",Q738,Q738*Dashboard!$C$10))</f>
        <v>0</v>
      </c>
      <c r="AA738" s="37" t="n">
        <f aca="false">IF($N738="",0,IF(COUNTIF(Dashboard!$C$13:$C$22,$N738)&gt;0,1,0))</f>
        <v>0</v>
      </c>
      <c r="AB738" s="37" t="str">
        <f aca="false">IF($N738="","",IF(COUNTIF($N$8:$N738,$N738)=1,MAX($AB$7:$AB737)+1,""))</f>
        <v/>
      </c>
    </row>
    <row r="739" customFormat="false" ht="15" hidden="false" customHeight="false" outlineLevel="0" collapsed="false">
      <c r="L739" s="37" t="str">
        <f aca="false">IF(INDEX($A739:$J739,$L$6)&lt;&gt;"",TRIM(LEFT(INDEX($A739:$J739,$L$6),FIND("(",INDEX($A739:$J739,$L$6)&amp;"(")-1)),L738)</f>
        <v>Building Value Proposition</v>
      </c>
      <c r="M739" s="37" t="str">
        <f aca="false">IF(INDEX($A739:$J739,$M$6)="","",INDEX($A739:$J739,$M$6)&amp;"")</f>
        <v/>
      </c>
      <c r="N739" s="37" t="str">
        <f aca="false">IF($M739="","",TRIM(INDEX($A739:$J739,$N$6)&amp;""))</f>
        <v/>
      </c>
      <c r="O739" s="37" t="str">
        <f aca="false">IF($M739="","",TRIM(INDEX($A739:$J739,$O$6)&amp;""))</f>
        <v/>
      </c>
      <c r="P739" s="37" t="str">
        <f aca="false">IF($M739="","",IFERROR(IF(INDEX(Settings!$B$41:$B$50,MATCH(O739,Settings!$A$41:$A$50,0))&amp;""="","UNMAPPED",INDEX(Settings!$B$41:$B$50,MATCH(O739,Settings!$A$41:$A$50,0))&amp;""),"UNMAPPED"))</f>
        <v/>
      </c>
      <c r="Q739" s="38" t="n">
        <f aca="false">IF($M739="",0,N(INDEX($A739:$J739,$Q$6)))</f>
        <v>0</v>
      </c>
      <c r="R739" s="39" t="str">
        <f aca="false">IF($M739="","",INDEX($A739:$J739,$R$6))</f>
        <v/>
      </c>
      <c r="S739" s="37" t="str">
        <f aca="false">IF($M739="","",IFERROR(INDEX(Settings!$B$27:$B$36,MATCH(L739,Settings!$A$27:$A$36,0))&amp;"","UNMAPPED"))</f>
        <v/>
      </c>
      <c r="T739" s="37" t="str">
        <f aca="false">IF($M739="","",IF(NOT(ISNUMBER(R739)),"NO DATE",IF(S739="Won",IF(R739&gt;Settings!$B$5,"Backlog","Delivered"),IF(S739="Open",IF(R739&gt;Settings!$B$5,"Pipeline","Overdue"),IF(S739="Lost","Lost","UNMAPPED")))))</f>
        <v/>
      </c>
      <c r="U739" s="40" t="n">
        <f aca="false">IF(T739="Backlog",1,IF(OR(T739="Pipeline",T739="Overdue"),N(INDEX(Settings!$C$27:$C$36,MATCH(L739,Settings!$A$27:$A$36,0))),0))</f>
        <v>0</v>
      </c>
      <c r="V739" s="38" t="n">
        <f aca="false">Q739*U739</f>
        <v>0</v>
      </c>
      <c r="W739" s="41" t="str">
        <f aca="false">IF($M739="","",IF(T739="Overdue",IF(Settings!$B$8="Yes",Settings!$B$7,""),IF(ISNUMBER(R739),DATE(YEAR(R739),MONTH(R739),1),"")))</f>
        <v/>
      </c>
      <c r="X739" s="38" t="n">
        <f aca="false">IF(AND(OR(T739="Backlog",T739="Pipeline",T739="Overdue"),ISNUMBER(W739)),IF(W739&lt;=Settings!$B$6,V739,0),0)</f>
        <v>0</v>
      </c>
      <c r="Y739" s="38" t="n">
        <f aca="false">IF(AND(OR(T739="Backlog",T739="Pipeline",T739="Overdue"),ISNUMBER(W739)),IF(W739&lt;=Settings!$B$6,Q739,0),0)</f>
        <v>0</v>
      </c>
      <c r="Z739" s="38" t="n">
        <f aca="false">IF(Y739=0,0,IF(T739="Backlog",Q739,Q739*Dashboard!$C$10))</f>
        <v>0</v>
      </c>
      <c r="AA739" s="37" t="n">
        <f aca="false">IF($N739="",0,IF(COUNTIF(Dashboard!$C$13:$C$22,$N739)&gt;0,1,0))</f>
        <v>0</v>
      </c>
      <c r="AB739" s="37" t="str">
        <f aca="false">IF($N739="","",IF(COUNTIF($N$8:$N739,$N739)=1,MAX($AB$7:$AB738)+1,""))</f>
        <v/>
      </c>
    </row>
    <row r="740" customFormat="false" ht="15" hidden="false" customHeight="false" outlineLevel="0" collapsed="false">
      <c r="L740" s="37" t="str">
        <f aca="false">IF(INDEX($A740:$J740,$L$6)&lt;&gt;"",TRIM(LEFT(INDEX($A740:$J740,$L$6),FIND("(",INDEX($A740:$J740,$L$6)&amp;"(")-1)),L739)</f>
        <v>Building Value Proposition</v>
      </c>
      <c r="M740" s="37" t="str">
        <f aca="false">IF(INDEX($A740:$J740,$M$6)="","",INDEX($A740:$J740,$M$6)&amp;"")</f>
        <v/>
      </c>
      <c r="N740" s="37" t="str">
        <f aca="false">IF($M740="","",TRIM(INDEX($A740:$J740,$N$6)&amp;""))</f>
        <v/>
      </c>
      <c r="O740" s="37" t="str">
        <f aca="false">IF($M740="","",TRIM(INDEX($A740:$J740,$O$6)&amp;""))</f>
        <v/>
      </c>
      <c r="P740" s="37" t="str">
        <f aca="false">IF($M740="","",IFERROR(IF(INDEX(Settings!$B$41:$B$50,MATCH(O740,Settings!$A$41:$A$50,0))&amp;""="","UNMAPPED",INDEX(Settings!$B$41:$B$50,MATCH(O740,Settings!$A$41:$A$50,0))&amp;""),"UNMAPPED"))</f>
        <v/>
      </c>
      <c r="Q740" s="38" t="n">
        <f aca="false">IF($M740="",0,N(INDEX($A740:$J740,$Q$6)))</f>
        <v>0</v>
      </c>
      <c r="R740" s="39" t="str">
        <f aca="false">IF($M740="","",INDEX($A740:$J740,$R$6))</f>
        <v/>
      </c>
      <c r="S740" s="37" t="str">
        <f aca="false">IF($M740="","",IFERROR(INDEX(Settings!$B$27:$B$36,MATCH(L740,Settings!$A$27:$A$36,0))&amp;"","UNMAPPED"))</f>
        <v/>
      </c>
      <c r="T740" s="37" t="str">
        <f aca="false">IF($M740="","",IF(NOT(ISNUMBER(R740)),"NO DATE",IF(S740="Won",IF(R740&gt;Settings!$B$5,"Backlog","Delivered"),IF(S740="Open",IF(R740&gt;Settings!$B$5,"Pipeline","Overdue"),IF(S740="Lost","Lost","UNMAPPED")))))</f>
        <v/>
      </c>
      <c r="U740" s="40" t="n">
        <f aca="false">IF(T740="Backlog",1,IF(OR(T740="Pipeline",T740="Overdue"),N(INDEX(Settings!$C$27:$C$36,MATCH(L740,Settings!$A$27:$A$36,0))),0))</f>
        <v>0</v>
      </c>
      <c r="V740" s="38" t="n">
        <f aca="false">Q740*U740</f>
        <v>0</v>
      </c>
      <c r="W740" s="41" t="str">
        <f aca="false">IF($M740="","",IF(T740="Overdue",IF(Settings!$B$8="Yes",Settings!$B$7,""),IF(ISNUMBER(R740),DATE(YEAR(R740),MONTH(R740),1),"")))</f>
        <v/>
      </c>
      <c r="X740" s="38" t="n">
        <f aca="false">IF(AND(OR(T740="Backlog",T740="Pipeline",T740="Overdue"),ISNUMBER(W740)),IF(W740&lt;=Settings!$B$6,V740,0),0)</f>
        <v>0</v>
      </c>
      <c r="Y740" s="38" t="n">
        <f aca="false">IF(AND(OR(T740="Backlog",T740="Pipeline",T740="Overdue"),ISNUMBER(W740)),IF(W740&lt;=Settings!$B$6,Q740,0),0)</f>
        <v>0</v>
      </c>
      <c r="Z740" s="38" t="n">
        <f aca="false">IF(Y740=0,0,IF(T740="Backlog",Q740,Q740*Dashboard!$C$10))</f>
        <v>0</v>
      </c>
      <c r="AA740" s="37" t="n">
        <f aca="false">IF($N740="",0,IF(COUNTIF(Dashboard!$C$13:$C$22,$N740)&gt;0,1,0))</f>
        <v>0</v>
      </c>
      <c r="AB740" s="37" t="str">
        <f aca="false">IF($N740="","",IF(COUNTIF($N$8:$N740,$N740)=1,MAX($AB$7:$AB739)+1,""))</f>
        <v/>
      </c>
    </row>
    <row r="741" customFormat="false" ht="15" hidden="false" customHeight="false" outlineLevel="0" collapsed="false">
      <c r="L741" s="37" t="str">
        <f aca="false">IF(INDEX($A741:$J741,$L$6)&lt;&gt;"",TRIM(LEFT(INDEX($A741:$J741,$L$6),FIND("(",INDEX($A741:$J741,$L$6)&amp;"(")-1)),L740)</f>
        <v>Building Value Proposition</v>
      </c>
      <c r="M741" s="37" t="str">
        <f aca="false">IF(INDEX($A741:$J741,$M$6)="","",INDEX($A741:$J741,$M$6)&amp;"")</f>
        <v/>
      </c>
      <c r="N741" s="37" t="str">
        <f aca="false">IF($M741="","",TRIM(INDEX($A741:$J741,$N$6)&amp;""))</f>
        <v/>
      </c>
      <c r="O741" s="37" t="str">
        <f aca="false">IF($M741="","",TRIM(INDEX($A741:$J741,$O$6)&amp;""))</f>
        <v/>
      </c>
      <c r="P741" s="37" t="str">
        <f aca="false">IF($M741="","",IFERROR(IF(INDEX(Settings!$B$41:$B$50,MATCH(O741,Settings!$A$41:$A$50,0))&amp;""="","UNMAPPED",INDEX(Settings!$B$41:$B$50,MATCH(O741,Settings!$A$41:$A$50,0))&amp;""),"UNMAPPED"))</f>
        <v/>
      </c>
      <c r="Q741" s="38" t="n">
        <f aca="false">IF($M741="",0,N(INDEX($A741:$J741,$Q$6)))</f>
        <v>0</v>
      </c>
      <c r="R741" s="39" t="str">
        <f aca="false">IF($M741="","",INDEX($A741:$J741,$R$6))</f>
        <v/>
      </c>
      <c r="S741" s="37" t="str">
        <f aca="false">IF($M741="","",IFERROR(INDEX(Settings!$B$27:$B$36,MATCH(L741,Settings!$A$27:$A$36,0))&amp;"","UNMAPPED"))</f>
        <v/>
      </c>
      <c r="T741" s="37" t="str">
        <f aca="false">IF($M741="","",IF(NOT(ISNUMBER(R741)),"NO DATE",IF(S741="Won",IF(R741&gt;Settings!$B$5,"Backlog","Delivered"),IF(S741="Open",IF(R741&gt;Settings!$B$5,"Pipeline","Overdue"),IF(S741="Lost","Lost","UNMAPPED")))))</f>
        <v/>
      </c>
      <c r="U741" s="40" t="n">
        <f aca="false">IF(T741="Backlog",1,IF(OR(T741="Pipeline",T741="Overdue"),N(INDEX(Settings!$C$27:$C$36,MATCH(L741,Settings!$A$27:$A$36,0))),0))</f>
        <v>0</v>
      </c>
      <c r="V741" s="38" t="n">
        <f aca="false">Q741*U741</f>
        <v>0</v>
      </c>
      <c r="W741" s="41" t="str">
        <f aca="false">IF($M741="","",IF(T741="Overdue",IF(Settings!$B$8="Yes",Settings!$B$7,""),IF(ISNUMBER(R741),DATE(YEAR(R741),MONTH(R741),1),"")))</f>
        <v/>
      </c>
      <c r="X741" s="38" t="n">
        <f aca="false">IF(AND(OR(T741="Backlog",T741="Pipeline",T741="Overdue"),ISNUMBER(W741)),IF(W741&lt;=Settings!$B$6,V741,0),0)</f>
        <v>0</v>
      </c>
      <c r="Y741" s="38" t="n">
        <f aca="false">IF(AND(OR(T741="Backlog",T741="Pipeline",T741="Overdue"),ISNUMBER(W741)),IF(W741&lt;=Settings!$B$6,Q741,0),0)</f>
        <v>0</v>
      </c>
      <c r="Z741" s="38" t="n">
        <f aca="false">IF(Y741=0,0,IF(T741="Backlog",Q741,Q741*Dashboard!$C$10))</f>
        <v>0</v>
      </c>
      <c r="AA741" s="37" t="n">
        <f aca="false">IF($N741="",0,IF(COUNTIF(Dashboard!$C$13:$C$22,$N741)&gt;0,1,0))</f>
        <v>0</v>
      </c>
      <c r="AB741" s="37" t="str">
        <f aca="false">IF($N741="","",IF(COUNTIF($N$8:$N741,$N741)=1,MAX($AB$7:$AB740)+1,""))</f>
        <v/>
      </c>
    </row>
    <row r="742" customFormat="false" ht="15" hidden="false" customHeight="false" outlineLevel="0" collapsed="false">
      <c r="L742" s="37" t="str">
        <f aca="false">IF(INDEX($A742:$J742,$L$6)&lt;&gt;"",TRIM(LEFT(INDEX($A742:$J742,$L$6),FIND("(",INDEX($A742:$J742,$L$6)&amp;"(")-1)),L741)</f>
        <v>Building Value Proposition</v>
      </c>
      <c r="M742" s="37" t="str">
        <f aca="false">IF(INDEX($A742:$J742,$M$6)="","",INDEX($A742:$J742,$M$6)&amp;"")</f>
        <v/>
      </c>
      <c r="N742" s="37" t="str">
        <f aca="false">IF($M742="","",TRIM(INDEX($A742:$J742,$N$6)&amp;""))</f>
        <v/>
      </c>
      <c r="O742" s="37" t="str">
        <f aca="false">IF($M742="","",TRIM(INDEX($A742:$J742,$O$6)&amp;""))</f>
        <v/>
      </c>
      <c r="P742" s="37" t="str">
        <f aca="false">IF($M742="","",IFERROR(IF(INDEX(Settings!$B$41:$B$50,MATCH(O742,Settings!$A$41:$A$50,0))&amp;""="","UNMAPPED",INDEX(Settings!$B$41:$B$50,MATCH(O742,Settings!$A$41:$A$50,0))&amp;""),"UNMAPPED"))</f>
        <v/>
      </c>
      <c r="Q742" s="38" t="n">
        <f aca="false">IF($M742="",0,N(INDEX($A742:$J742,$Q$6)))</f>
        <v>0</v>
      </c>
      <c r="R742" s="39" t="str">
        <f aca="false">IF($M742="","",INDEX($A742:$J742,$R$6))</f>
        <v/>
      </c>
      <c r="S742" s="37" t="str">
        <f aca="false">IF($M742="","",IFERROR(INDEX(Settings!$B$27:$B$36,MATCH(L742,Settings!$A$27:$A$36,0))&amp;"","UNMAPPED"))</f>
        <v/>
      </c>
      <c r="T742" s="37" t="str">
        <f aca="false">IF($M742="","",IF(NOT(ISNUMBER(R742)),"NO DATE",IF(S742="Won",IF(R742&gt;Settings!$B$5,"Backlog","Delivered"),IF(S742="Open",IF(R742&gt;Settings!$B$5,"Pipeline","Overdue"),IF(S742="Lost","Lost","UNMAPPED")))))</f>
        <v/>
      </c>
      <c r="U742" s="40" t="n">
        <f aca="false">IF(T742="Backlog",1,IF(OR(T742="Pipeline",T742="Overdue"),N(INDEX(Settings!$C$27:$C$36,MATCH(L742,Settings!$A$27:$A$36,0))),0))</f>
        <v>0</v>
      </c>
      <c r="V742" s="38" t="n">
        <f aca="false">Q742*U742</f>
        <v>0</v>
      </c>
      <c r="W742" s="41" t="str">
        <f aca="false">IF($M742="","",IF(T742="Overdue",IF(Settings!$B$8="Yes",Settings!$B$7,""),IF(ISNUMBER(R742),DATE(YEAR(R742),MONTH(R742),1),"")))</f>
        <v/>
      </c>
      <c r="X742" s="38" t="n">
        <f aca="false">IF(AND(OR(T742="Backlog",T742="Pipeline",T742="Overdue"),ISNUMBER(W742)),IF(W742&lt;=Settings!$B$6,V742,0),0)</f>
        <v>0</v>
      </c>
      <c r="Y742" s="38" t="n">
        <f aca="false">IF(AND(OR(T742="Backlog",T742="Pipeline",T742="Overdue"),ISNUMBER(W742)),IF(W742&lt;=Settings!$B$6,Q742,0),0)</f>
        <v>0</v>
      </c>
      <c r="Z742" s="38" t="n">
        <f aca="false">IF(Y742=0,0,IF(T742="Backlog",Q742,Q742*Dashboard!$C$10))</f>
        <v>0</v>
      </c>
      <c r="AA742" s="37" t="n">
        <f aca="false">IF($N742="",0,IF(COUNTIF(Dashboard!$C$13:$C$22,$N742)&gt;0,1,0))</f>
        <v>0</v>
      </c>
      <c r="AB742" s="37" t="str">
        <f aca="false">IF($N742="","",IF(COUNTIF($N$8:$N742,$N742)=1,MAX($AB$7:$AB741)+1,""))</f>
        <v/>
      </c>
    </row>
    <row r="743" customFormat="false" ht="15" hidden="false" customHeight="false" outlineLevel="0" collapsed="false">
      <c r="L743" s="37" t="str">
        <f aca="false">IF(INDEX($A743:$J743,$L$6)&lt;&gt;"",TRIM(LEFT(INDEX($A743:$J743,$L$6),FIND("(",INDEX($A743:$J743,$L$6)&amp;"(")-1)),L742)</f>
        <v>Building Value Proposition</v>
      </c>
      <c r="M743" s="37" t="str">
        <f aca="false">IF(INDEX($A743:$J743,$M$6)="","",INDEX($A743:$J743,$M$6)&amp;"")</f>
        <v/>
      </c>
      <c r="N743" s="37" t="str">
        <f aca="false">IF($M743="","",TRIM(INDEX($A743:$J743,$N$6)&amp;""))</f>
        <v/>
      </c>
      <c r="O743" s="37" t="str">
        <f aca="false">IF($M743="","",TRIM(INDEX($A743:$J743,$O$6)&amp;""))</f>
        <v/>
      </c>
      <c r="P743" s="37" t="str">
        <f aca="false">IF($M743="","",IFERROR(IF(INDEX(Settings!$B$41:$B$50,MATCH(O743,Settings!$A$41:$A$50,0))&amp;""="","UNMAPPED",INDEX(Settings!$B$41:$B$50,MATCH(O743,Settings!$A$41:$A$50,0))&amp;""),"UNMAPPED"))</f>
        <v/>
      </c>
      <c r="Q743" s="38" t="n">
        <f aca="false">IF($M743="",0,N(INDEX($A743:$J743,$Q$6)))</f>
        <v>0</v>
      </c>
      <c r="R743" s="39" t="str">
        <f aca="false">IF($M743="","",INDEX($A743:$J743,$R$6))</f>
        <v/>
      </c>
      <c r="S743" s="37" t="str">
        <f aca="false">IF($M743="","",IFERROR(INDEX(Settings!$B$27:$B$36,MATCH(L743,Settings!$A$27:$A$36,0))&amp;"","UNMAPPED"))</f>
        <v/>
      </c>
      <c r="T743" s="37" t="str">
        <f aca="false">IF($M743="","",IF(NOT(ISNUMBER(R743)),"NO DATE",IF(S743="Won",IF(R743&gt;Settings!$B$5,"Backlog","Delivered"),IF(S743="Open",IF(R743&gt;Settings!$B$5,"Pipeline","Overdue"),IF(S743="Lost","Lost","UNMAPPED")))))</f>
        <v/>
      </c>
      <c r="U743" s="40" t="n">
        <f aca="false">IF(T743="Backlog",1,IF(OR(T743="Pipeline",T743="Overdue"),N(INDEX(Settings!$C$27:$C$36,MATCH(L743,Settings!$A$27:$A$36,0))),0))</f>
        <v>0</v>
      </c>
      <c r="V743" s="38" t="n">
        <f aca="false">Q743*U743</f>
        <v>0</v>
      </c>
      <c r="W743" s="41" t="str">
        <f aca="false">IF($M743="","",IF(T743="Overdue",IF(Settings!$B$8="Yes",Settings!$B$7,""),IF(ISNUMBER(R743),DATE(YEAR(R743),MONTH(R743),1),"")))</f>
        <v/>
      </c>
      <c r="X743" s="38" t="n">
        <f aca="false">IF(AND(OR(T743="Backlog",T743="Pipeline",T743="Overdue"),ISNUMBER(W743)),IF(W743&lt;=Settings!$B$6,V743,0),0)</f>
        <v>0</v>
      </c>
      <c r="Y743" s="38" t="n">
        <f aca="false">IF(AND(OR(T743="Backlog",T743="Pipeline",T743="Overdue"),ISNUMBER(W743)),IF(W743&lt;=Settings!$B$6,Q743,0),0)</f>
        <v>0</v>
      </c>
      <c r="Z743" s="38" t="n">
        <f aca="false">IF(Y743=0,0,IF(T743="Backlog",Q743,Q743*Dashboard!$C$10))</f>
        <v>0</v>
      </c>
      <c r="AA743" s="37" t="n">
        <f aca="false">IF($N743="",0,IF(COUNTIF(Dashboard!$C$13:$C$22,$N743)&gt;0,1,0))</f>
        <v>0</v>
      </c>
      <c r="AB743" s="37" t="str">
        <f aca="false">IF($N743="","",IF(COUNTIF($N$8:$N743,$N743)=1,MAX($AB$7:$AB742)+1,""))</f>
        <v/>
      </c>
    </row>
    <row r="744" customFormat="false" ht="15" hidden="false" customHeight="false" outlineLevel="0" collapsed="false">
      <c r="L744" s="37" t="str">
        <f aca="false">IF(INDEX($A744:$J744,$L$6)&lt;&gt;"",TRIM(LEFT(INDEX($A744:$J744,$L$6),FIND("(",INDEX($A744:$J744,$L$6)&amp;"(")-1)),L743)</f>
        <v>Building Value Proposition</v>
      </c>
      <c r="M744" s="37" t="str">
        <f aca="false">IF(INDEX($A744:$J744,$M$6)="","",INDEX($A744:$J744,$M$6)&amp;"")</f>
        <v/>
      </c>
      <c r="N744" s="37" t="str">
        <f aca="false">IF($M744="","",TRIM(INDEX($A744:$J744,$N$6)&amp;""))</f>
        <v/>
      </c>
      <c r="O744" s="37" t="str">
        <f aca="false">IF($M744="","",TRIM(INDEX($A744:$J744,$O$6)&amp;""))</f>
        <v/>
      </c>
      <c r="P744" s="37" t="str">
        <f aca="false">IF($M744="","",IFERROR(IF(INDEX(Settings!$B$41:$B$50,MATCH(O744,Settings!$A$41:$A$50,0))&amp;""="","UNMAPPED",INDEX(Settings!$B$41:$B$50,MATCH(O744,Settings!$A$41:$A$50,0))&amp;""),"UNMAPPED"))</f>
        <v/>
      </c>
      <c r="Q744" s="38" t="n">
        <f aca="false">IF($M744="",0,N(INDEX($A744:$J744,$Q$6)))</f>
        <v>0</v>
      </c>
      <c r="R744" s="39" t="str">
        <f aca="false">IF($M744="","",INDEX($A744:$J744,$R$6))</f>
        <v/>
      </c>
      <c r="S744" s="37" t="str">
        <f aca="false">IF($M744="","",IFERROR(INDEX(Settings!$B$27:$B$36,MATCH(L744,Settings!$A$27:$A$36,0))&amp;"","UNMAPPED"))</f>
        <v/>
      </c>
      <c r="T744" s="37" t="str">
        <f aca="false">IF($M744="","",IF(NOT(ISNUMBER(R744)),"NO DATE",IF(S744="Won",IF(R744&gt;Settings!$B$5,"Backlog","Delivered"),IF(S744="Open",IF(R744&gt;Settings!$B$5,"Pipeline","Overdue"),IF(S744="Lost","Lost","UNMAPPED")))))</f>
        <v/>
      </c>
      <c r="U744" s="40" t="n">
        <f aca="false">IF(T744="Backlog",1,IF(OR(T744="Pipeline",T744="Overdue"),N(INDEX(Settings!$C$27:$C$36,MATCH(L744,Settings!$A$27:$A$36,0))),0))</f>
        <v>0</v>
      </c>
      <c r="V744" s="38" t="n">
        <f aca="false">Q744*U744</f>
        <v>0</v>
      </c>
      <c r="W744" s="41" t="str">
        <f aca="false">IF($M744="","",IF(T744="Overdue",IF(Settings!$B$8="Yes",Settings!$B$7,""),IF(ISNUMBER(R744),DATE(YEAR(R744),MONTH(R744),1),"")))</f>
        <v/>
      </c>
      <c r="X744" s="38" t="n">
        <f aca="false">IF(AND(OR(T744="Backlog",T744="Pipeline",T744="Overdue"),ISNUMBER(W744)),IF(W744&lt;=Settings!$B$6,V744,0),0)</f>
        <v>0</v>
      </c>
      <c r="Y744" s="38" t="n">
        <f aca="false">IF(AND(OR(T744="Backlog",T744="Pipeline",T744="Overdue"),ISNUMBER(W744)),IF(W744&lt;=Settings!$B$6,Q744,0),0)</f>
        <v>0</v>
      </c>
      <c r="Z744" s="38" t="n">
        <f aca="false">IF(Y744=0,0,IF(T744="Backlog",Q744,Q744*Dashboard!$C$10))</f>
        <v>0</v>
      </c>
      <c r="AA744" s="37" t="n">
        <f aca="false">IF($N744="",0,IF(COUNTIF(Dashboard!$C$13:$C$22,$N744)&gt;0,1,0))</f>
        <v>0</v>
      </c>
      <c r="AB744" s="37" t="str">
        <f aca="false">IF($N744="","",IF(COUNTIF($N$8:$N744,$N744)=1,MAX($AB$7:$AB743)+1,""))</f>
        <v/>
      </c>
    </row>
    <row r="745" customFormat="false" ht="15" hidden="false" customHeight="false" outlineLevel="0" collapsed="false">
      <c r="L745" s="37" t="str">
        <f aca="false">IF(INDEX($A745:$J745,$L$6)&lt;&gt;"",TRIM(LEFT(INDEX($A745:$J745,$L$6),FIND("(",INDEX($A745:$J745,$L$6)&amp;"(")-1)),L744)</f>
        <v>Building Value Proposition</v>
      </c>
      <c r="M745" s="37" t="str">
        <f aca="false">IF(INDEX($A745:$J745,$M$6)="","",INDEX($A745:$J745,$M$6)&amp;"")</f>
        <v/>
      </c>
      <c r="N745" s="37" t="str">
        <f aca="false">IF($M745="","",TRIM(INDEX($A745:$J745,$N$6)&amp;""))</f>
        <v/>
      </c>
      <c r="O745" s="37" t="str">
        <f aca="false">IF($M745="","",TRIM(INDEX($A745:$J745,$O$6)&amp;""))</f>
        <v/>
      </c>
      <c r="P745" s="37" t="str">
        <f aca="false">IF($M745="","",IFERROR(IF(INDEX(Settings!$B$41:$B$50,MATCH(O745,Settings!$A$41:$A$50,0))&amp;""="","UNMAPPED",INDEX(Settings!$B$41:$B$50,MATCH(O745,Settings!$A$41:$A$50,0))&amp;""),"UNMAPPED"))</f>
        <v/>
      </c>
      <c r="Q745" s="38" t="n">
        <f aca="false">IF($M745="",0,N(INDEX($A745:$J745,$Q$6)))</f>
        <v>0</v>
      </c>
      <c r="R745" s="39" t="str">
        <f aca="false">IF($M745="","",INDEX($A745:$J745,$R$6))</f>
        <v/>
      </c>
      <c r="S745" s="37" t="str">
        <f aca="false">IF($M745="","",IFERROR(INDEX(Settings!$B$27:$B$36,MATCH(L745,Settings!$A$27:$A$36,0))&amp;"","UNMAPPED"))</f>
        <v/>
      </c>
      <c r="T745" s="37" t="str">
        <f aca="false">IF($M745="","",IF(NOT(ISNUMBER(R745)),"NO DATE",IF(S745="Won",IF(R745&gt;Settings!$B$5,"Backlog","Delivered"),IF(S745="Open",IF(R745&gt;Settings!$B$5,"Pipeline","Overdue"),IF(S745="Lost","Lost","UNMAPPED")))))</f>
        <v/>
      </c>
      <c r="U745" s="40" t="n">
        <f aca="false">IF(T745="Backlog",1,IF(OR(T745="Pipeline",T745="Overdue"),N(INDEX(Settings!$C$27:$C$36,MATCH(L745,Settings!$A$27:$A$36,0))),0))</f>
        <v>0</v>
      </c>
      <c r="V745" s="38" t="n">
        <f aca="false">Q745*U745</f>
        <v>0</v>
      </c>
      <c r="W745" s="41" t="str">
        <f aca="false">IF($M745="","",IF(T745="Overdue",IF(Settings!$B$8="Yes",Settings!$B$7,""),IF(ISNUMBER(R745),DATE(YEAR(R745),MONTH(R745),1),"")))</f>
        <v/>
      </c>
      <c r="X745" s="38" t="n">
        <f aca="false">IF(AND(OR(T745="Backlog",T745="Pipeline",T745="Overdue"),ISNUMBER(W745)),IF(W745&lt;=Settings!$B$6,V745,0),0)</f>
        <v>0</v>
      </c>
      <c r="Y745" s="38" t="n">
        <f aca="false">IF(AND(OR(T745="Backlog",T745="Pipeline",T745="Overdue"),ISNUMBER(W745)),IF(W745&lt;=Settings!$B$6,Q745,0),0)</f>
        <v>0</v>
      </c>
      <c r="Z745" s="38" t="n">
        <f aca="false">IF(Y745=0,0,IF(T745="Backlog",Q745,Q745*Dashboard!$C$10))</f>
        <v>0</v>
      </c>
      <c r="AA745" s="37" t="n">
        <f aca="false">IF($N745="",0,IF(COUNTIF(Dashboard!$C$13:$C$22,$N745)&gt;0,1,0))</f>
        <v>0</v>
      </c>
      <c r="AB745" s="37" t="str">
        <f aca="false">IF($N745="","",IF(COUNTIF($N$8:$N745,$N745)=1,MAX($AB$7:$AB744)+1,""))</f>
        <v/>
      </c>
    </row>
    <row r="746" customFormat="false" ht="15" hidden="false" customHeight="false" outlineLevel="0" collapsed="false">
      <c r="L746" s="37" t="str">
        <f aca="false">IF(INDEX($A746:$J746,$L$6)&lt;&gt;"",TRIM(LEFT(INDEX($A746:$J746,$L$6),FIND("(",INDEX($A746:$J746,$L$6)&amp;"(")-1)),L745)</f>
        <v>Building Value Proposition</v>
      </c>
      <c r="M746" s="37" t="str">
        <f aca="false">IF(INDEX($A746:$J746,$M$6)="","",INDEX($A746:$J746,$M$6)&amp;"")</f>
        <v/>
      </c>
      <c r="N746" s="37" t="str">
        <f aca="false">IF($M746="","",TRIM(INDEX($A746:$J746,$N$6)&amp;""))</f>
        <v/>
      </c>
      <c r="O746" s="37" t="str">
        <f aca="false">IF($M746="","",TRIM(INDEX($A746:$J746,$O$6)&amp;""))</f>
        <v/>
      </c>
      <c r="P746" s="37" t="str">
        <f aca="false">IF($M746="","",IFERROR(IF(INDEX(Settings!$B$41:$B$50,MATCH(O746,Settings!$A$41:$A$50,0))&amp;""="","UNMAPPED",INDEX(Settings!$B$41:$B$50,MATCH(O746,Settings!$A$41:$A$50,0))&amp;""),"UNMAPPED"))</f>
        <v/>
      </c>
      <c r="Q746" s="38" t="n">
        <f aca="false">IF($M746="",0,N(INDEX($A746:$J746,$Q$6)))</f>
        <v>0</v>
      </c>
      <c r="R746" s="39" t="str">
        <f aca="false">IF($M746="","",INDEX($A746:$J746,$R$6))</f>
        <v/>
      </c>
      <c r="S746" s="37" t="str">
        <f aca="false">IF($M746="","",IFERROR(INDEX(Settings!$B$27:$B$36,MATCH(L746,Settings!$A$27:$A$36,0))&amp;"","UNMAPPED"))</f>
        <v/>
      </c>
      <c r="T746" s="37" t="str">
        <f aca="false">IF($M746="","",IF(NOT(ISNUMBER(R746)),"NO DATE",IF(S746="Won",IF(R746&gt;Settings!$B$5,"Backlog","Delivered"),IF(S746="Open",IF(R746&gt;Settings!$B$5,"Pipeline","Overdue"),IF(S746="Lost","Lost","UNMAPPED")))))</f>
        <v/>
      </c>
      <c r="U746" s="40" t="n">
        <f aca="false">IF(T746="Backlog",1,IF(OR(T746="Pipeline",T746="Overdue"),N(INDEX(Settings!$C$27:$C$36,MATCH(L746,Settings!$A$27:$A$36,0))),0))</f>
        <v>0</v>
      </c>
      <c r="V746" s="38" t="n">
        <f aca="false">Q746*U746</f>
        <v>0</v>
      </c>
      <c r="W746" s="41" t="str">
        <f aca="false">IF($M746="","",IF(T746="Overdue",IF(Settings!$B$8="Yes",Settings!$B$7,""),IF(ISNUMBER(R746),DATE(YEAR(R746),MONTH(R746),1),"")))</f>
        <v/>
      </c>
      <c r="X746" s="38" t="n">
        <f aca="false">IF(AND(OR(T746="Backlog",T746="Pipeline",T746="Overdue"),ISNUMBER(W746)),IF(W746&lt;=Settings!$B$6,V746,0),0)</f>
        <v>0</v>
      </c>
      <c r="Y746" s="38" t="n">
        <f aca="false">IF(AND(OR(T746="Backlog",T746="Pipeline",T746="Overdue"),ISNUMBER(W746)),IF(W746&lt;=Settings!$B$6,Q746,0),0)</f>
        <v>0</v>
      </c>
      <c r="Z746" s="38" t="n">
        <f aca="false">IF(Y746=0,0,IF(T746="Backlog",Q746,Q746*Dashboard!$C$10))</f>
        <v>0</v>
      </c>
      <c r="AA746" s="37" t="n">
        <f aca="false">IF($N746="",0,IF(COUNTIF(Dashboard!$C$13:$C$22,$N746)&gt;0,1,0))</f>
        <v>0</v>
      </c>
      <c r="AB746" s="37" t="str">
        <f aca="false">IF($N746="","",IF(COUNTIF($N$8:$N746,$N746)=1,MAX($AB$7:$AB745)+1,""))</f>
        <v/>
      </c>
    </row>
    <row r="747" customFormat="false" ht="15" hidden="false" customHeight="false" outlineLevel="0" collapsed="false">
      <c r="L747" s="37" t="str">
        <f aca="false">IF(INDEX($A747:$J747,$L$6)&lt;&gt;"",TRIM(LEFT(INDEX($A747:$J747,$L$6),FIND("(",INDEX($A747:$J747,$L$6)&amp;"(")-1)),L746)</f>
        <v>Building Value Proposition</v>
      </c>
      <c r="M747" s="37" t="str">
        <f aca="false">IF(INDEX($A747:$J747,$M$6)="","",INDEX($A747:$J747,$M$6)&amp;"")</f>
        <v/>
      </c>
      <c r="N747" s="37" t="str">
        <f aca="false">IF($M747="","",TRIM(INDEX($A747:$J747,$N$6)&amp;""))</f>
        <v/>
      </c>
      <c r="O747" s="37" t="str">
        <f aca="false">IF($M747="","",TRIM(INDEX($A747:$J747,$O$6)&amp;""))</f>
        <v/>
      </c>
      <c r="P747" s="37" t="str">
        <f aca="false">IF($M747="","",IFERROR(IF(INDEX(Settings!$B$41:$B$50,MATCH(O747,Settings!$A$41:$A$50,0))&amp;""="","UNMAPPED",INDEX(Settings!$B$41:$B$50,MATCH(O747,Settings!$A$41:$A$50,0))&amp;""),"UNMAPPED"))</f>
        <v/>
      </c>
      <c r="Q747" s="38" t="n">
        <f aca="false">IF($M747="",0,N(INDEX($A747:$J747,$Q$6)))</f>
        <v>0</v>
      </c>
      <c r="R747" s="39" t="str">
        <f aca="false">IF($M747="","",INDEX($A747:$J747,$R$6))</f>
        <v/>
      </c>
      <c r="S747" s="37" t="str">
        <f aca="false">IF($M747="","",IFERROR(INDEX(Settings!$B$27:$B$36,MATCH(L747,Settings!$A$27:$A$36,0))&amp;"","UNMAPPED"))</f>
        <v/>
      </c>
      <c r="T747" s="37" t="str">
        <f aca="false">IF($M747="","",IF(NOT(ISNUMBER(R747)),"NO DATE",IF(S747="Won",IF(R747&gt;Settings!$B$5,"Backlog","Delivered"),IF(S747="Open",IF(R747&gt;Settings!$B$5,"Pipeline","Overdue"),IF(S747="Lost","Lost","UNMAPPED")))))</f>
        <v/>
      </c>
      <c r="U747" s="40" t="n">
        <f aca="false">IF(T747="Backlog",1,IF(OR(T747="Pipeline",T747="Overdue"),N(INDEX(Settings!$C$27:$C$36,MATCH(L747,Settings!$A$27:$A$36,0))),0))</f>
        <v>0</v>
      </c>
      <c r="V747" s="38" t="n">
        <f aca="false">Q747*U747</f>
        <v>0</v>
      </c>
      <c r="W747" s="41" t="str">
        <f aca="false">IF($M747="","",IF(T747="Overdue",IF(Settings!$B$8="Yes",Settings!$B$7,""),IF(ISNUMBER(R747),DATE(YEAR(R747),MONTH(R747),1),"")))</f>
        <v/>
      </c>
      <c r="X747" s="38" t="n">
        <f aca="false">IF(AND(OR(T747="Backlog",T747="Pipeline",T747="Overdue"),ISNUMBER(W747)),IF(W747&lt;=Settings!$B$6,V747,0),0)</f>
        <v>0</v>
      </c>
      <c r="Y747" s="38" t="n">
        <f aca="false">IF(AND(OR(T747="Backlog",T747="Pipeline",T747="Overdue"),ISNUMBER(W747)),IF(W747&lt;=Settings!$B$6,Q747,0),0)</f>
        <v>0</v>
      </c>
      <c r="Z747" s="38" t="n">
        <f aca="false">IF(Y747=0,0,IF(T747="Backlog",Q747,Q747*Dashboard!$C$10))</f>
        <v>0</v>
      </c>
      <c r="AA747" s="37" t="n">
        <f aca="false">IF($N747="",0,IF(COUNTIF(Dashboard!$C$13:$C$22,$N747)&gt;0,1,0))</f>
        <v>0</v>
      </c>
      <c r="AB747" s="37" t="str">
        <f aca="false">IF($N747="","",IF(COUNTIF($N$8:$N747,$N747)=1,MAX($AB$7:$AB746)+1,""))</f>
        <v/>
      </c>
    </row>
    <row r="748" customFormat="false" ht="15" hidden="false" customHeight="false" outlineLevel="0" collapsed="false">
      <c r="L748" s="37" t="str">
        <f aca="false">IF(INDEX($A748:$J748,$L$6)&lt;&gt;"",TRIM(LEFT(INDEX($A748:$J748,$L$6),FIND("(",INDEX($A748:$J748,$L$6)&amp;"(")-1)),L747)</f>
        <v>Building Value Proposition</v>
      </c>
      <c r="M748" s="37" t="str">
        <f aca="false">IF(INDEX($A748:$J748,$M$6)="","",INDEX($A748:$J748,$M$6)&amp;"")</f>
        <v/>
      </c>
      <c r="N748" s="37" t="str">
        <f aca="false">IF($M748="","",TRIM(INDEX($A748:$J748,$N$6)&amp;""))</f>
        <v/>
      </c>
      <c r="O748" s="37" t="str">
        <f aca="false">IF($M748="","",TRIM(INDEX($A748:$J748,$O$6)&amp;""))</f>
        <v/>
      </c>
      <c r="P748" s="37" t="str">
        <f aca="false">IF($M748="","",IFERROR(IF(INDEX(Settings!$B$41:$B$50,MATCH(O748,Settings!$A$41:$A$50,0))&amp;""="","UNMAPPED",INDEX(Settings!$B$41:$B$50,MATCH(O748,Settings!$A$41:$A$50,0))&amp;""),"UNMAPPED"))</f>
        <v/>
      </c>
      <c r="Q748" s="38" t="n">
        <f aca="false">IF($M748="",0,N(INDEX($A748:$J748,$Q$6)))</f>
        <v>0</v>
      </c>
      <c r="R748" s="39" t="str">
        <f aca="false">IF($M748="","",INDEX($A748:$J748,$R$6))</f>
        <v/>
      </c>
      <c r="S748" s="37" t="str">
        <f aca="false">IF($M748="","",IFERROR(INDEX(Settings!$B$27:$B$36,MATCH(L748,Settings!$A$27:$A$36,0))&amp;"","UNMAPPED"))</f>
        <v/>
      </c>
      <c r="T748" s="37" t="str">
        <f aca="false">IF($M748="","",IF(NOT(ISNUMBER(R748)),"NO DATE",IF(S748="Won",IF(R748&gt;Settings!$B$5,"Backlog","Delivered"),IF(S748="Open",IF(R748&gt;Settings!$B$5,"Pipeline","Overdue"),IF(S748="Lost","Lost","UNMAPPED")))))</f>
        <v/>
      </c>
      <c r="U748" s="40" t="n">
        <f aca="false">IF(T748="Backlog",1,IF(OR(T748="Pipeline",T748="Overdue"),N(INDEX(Settings!$C$27:$C$36,MATCH(L748,Settings!$A$27:$A$36,0))),0))</f>
        <v>0</v>
      </c>
      <c r="V748" s="38" t="n">
        <f aca="false">Q748*U748</f>
        <v>0</v>
      </c>
      <c r="W748" s="41" t="str">
        <f aca="false">IF($M748="","",IF(T748="Overdue",IF(Settings!$B$8="Yes",Settings!$B$7,""),IF(ISNUMBER(R748),DATE(YEAR(R748),MONTH(R748),1),"")))</f>
        <v/>
      </c>
      <c r="X748" s="38" t="n">
        <f aca="false">IF(AND(OR(T748="Backlog",T748="Pipeline",T748="Overdue"),ISNUMBER(W748)),IF(W748&lt;=Settings!$B$6,V748,0),0)</f>
        <v>0</v>
      </c>
      <c r="Y748" s="38" t="n">
        <f aca="false">IF(AND(OR(T748="Backlog",T748="Pipeline",T748="Overdue"),ISNUMBER(W748)),IF(W748&lt;=Settings!$B$6,Q748,0),0)</f>
        <v>0</v>
      </c>
      <c r="Z748" s="38" t="n">
        <f aca="false">IF(Y748=0,0,IF(T748="Backlog",Q748,Q748*Dashboard!$C$10))</f>
        <v>0</v>
      </c>
      <c r="AA748" s="37" t="n">
        <f aca="false">IF($N748="",0,IF(COUNTIF(Dashboard!$C$13:$C$22,$N748)&gt;0,1,0))</f>
        <v>0</v>
      </c>
      <c r="AB748" s="37" t="str">
        <f aca="false">IF($N748="","",IF(COUNTIF($N$8:$N748,$N748)=1,MAX($AB$7:$AB747)+1,""))</f>
        <v/>
      </c>
    </row>
    <row r="749" customFormat="false" ht="15" hidden="false" customHeight="false" outlineLevel="0" collapsed="false">
      <c r="L749" s="37" t="str">
        <f aca="false">IF(INDEX($A749:$J749,$L$6)&lt;&gt;"",TRIM(LEFT(INDEX($A749:$J749,$L$6),FIND("(",INDEX($A749:$J749,$L$6)&amp;"(")-1)),L748)</f>
        <v>Building Value Proposition</v>
      </c>
      <c r="M749" s="37" t="str">
        <f aca="false">IF(INDEX($A749:$J749,$M$6)="","",INDEX($A749:$J749,$M$6)&amp;"")</f>
        <v/>
      </c>
      <c r="N749" s="37" t="str">
        <f aca="false">IF($M749="","",TRIM(INDEX($A749:$J749,$N$6)&amp;""))</f>
        <v/>
      </c>
      <c r="O749" s="37" t="str">
        <f aca="false">IF($M749="","",TRIM(INDEX($A749:$J749,$O$6)&amp;""))</f>
        <v/>
      </c>
      <c r="P749" s="37" t="str">
        <f aca="false">IF($M749="","",IFERROR(IF(INDEX(Settings!$B$41:$B$50,MATCH(O749,Settings!$A$41:$A$50,0))&amp;""="","UNMAPPED",INDEX(Settings!$B$41:$B$50,MATCH(O749,Settings!$A$41:$A$50,0))&amp;""),"UNMAPPED"))</f>
        <v/>
      </c>
      <c r="Q749" s="38" t="n">
        <f aca="false">IF($M749="",0,N(INDEX($A749:$J749,$Q$6)))</f>
        <v>0</v>
      </c>
      <c r="R749" s="39" t="str">
        <f aca="false">IF($M749="","",INDEX($A749:$J749,$R$6))</f>
        <v/>
      </c>
      <c r="S749" s="37" t="str">
        <f aca="false">IF($M749="","",IFERROR(INDEX(Settings!$B$27:$B$36,MATCH(L749,Settings!$A$27:$A$36,0))&amp;"","UNMAPPED"))</f>
        <v/>
      </c>
      <c r="T749" s="37" t="str">
        <f aca="false">IF($M749="","",IF(NOT(ISNUMBER(R749)),"NO DATE",IF(S749="Won",IF(R749&gt;Settings!$B$5,"Backlog","Delivered"),IF(S749="Open",IF(R749&gt;Settings!$B$5,"Pipeline","Overdue"),IF(S749="Lost","Lost","UNMAPPED")))))</f>
        <v/>
      </c>
      <c r="U749" s="40" t="n">
        <f aca="false">IF(T749="Backlog",1,IF(OR(T749="Pipeline",T749="Overdue"),N(INDEX(Settings!$C$27:$C$36,MATCH(L749,Settings!$A$27:$A$36,0))),0))</f>
        <v>0</v>
      </c>
      <c r="V749" s="38" t="n">
        <f aca="false">Q749*U749</f>
        <v>0</v>
      </c>
      <c r="W749" s="41" t="str">
        <f aca="false">IF($M749="","",IF(T749="Overdue",IF(Settings!$B$8="Yes",Settings!$B$7,""),IF(ISNUMBER(R749),DATE(YEAR(R749),MONTH(R749),1),"")))</f>
        <v/>
      </c>
      <c r="X749" s="38" t="n">
        <f aca="false">IF(AND(OR(T749="Backlog",T749="Pipeline",T749="Overdue"),ISNUMBER(W749)),IF(W749&lt;=Settings!$B$6,V749,0),0)</f>
        <v>0</v>
      </c>
      <c r="Y749" s="38" t="n">
        <f aca="false">IF(AND(OR(T749="Backlog",T749="Pipeline",T749="Overdue"),ISNUMBER(W749)),IF(W749&lt;=Settings!$B$6,Q749,0),0)</f>
        <v>0</v>
      </c>
      <c r="Z749" s="38" t="n">
        <f aca="false">IF(Y749=0,0,IF(T749="Backlog",Q749,Q749*Dashboard!$C$10))</f>
        <v>0</v>
      </c>
      <c r="AA749" s="37" t="n">
        <f aca="false">IF($N749="",0,IF(COUNTIF(Dashboard!$C$13:$C$22,$N749)&gt;0,1,0))</f>
        <v>0</v>
      </c>
      <c r="AB749" s="37" t="str">
        <f aca="false">IF($N749="","",IF(COUNTIF($N$8:$N749,$N749)=1,MAX($AB$7:$AB748)+1,""))</f>
        <v/>
      </c>
    </row>
    <row r="750" customFormat="false" ht="15" hidden="false" customHeight="false" outlineLevel="0" collapsed="false">
      <c r="L750" s="37" t="str">
        <f aca="false">IF(INDEX($A750:$J750,$L$6)&lt;&gt;"",TRIM(LEFT(INDEX($A750:$J750,$L$6),FIND("(",INDEX($A750:$J750,$L$6)&amp;"(")-1)),L749)</f>
        <v>Building Value Proposition</v>
      </c>
      <c r="M750" s="37" t="str">
        <f aca="false">IF(INDEX($A750:$J750,$M$6)="","",INDEX($A750:$J750,$M$6)&amp;"")</f>
        <v/>
      </c>
      <c r="N750" s="37" t="str">
        <f aca="false">IF($M750="","",TRIM(INDEX($A750:$J750,$N$6)&amp;""))</f>
        <v/>
      </c>
      <c r="O750" s="37" t="str">
        <f aca="false">IF($M750="","",TRIM(INDEX($A750:$J750,$O$6)&amp;""))</f>
        <v/>
      </c>
      <c r="P750" s="37" t="str">
        <f aca="false">IF($M750="","",IFERROR(IF(INDEX(Settings!$B$41:$B$50,MATCH(O750,Settings!$A$41:$A$50,0))&amp;""="","UNMAPPED",INDEX(Settings!$B$41:$B$50,MATCH(O750,Settings!$A$41:$A$50,0))&amp;""),"UNMAPPED"))</f>
        <v/>
      </c>
      <c r="Q750" s="38" t="n">
        <f aca="false">IF($M750="",0,N(INDEX($A750:$J750,$Q$6)))</f>
        <v>0</v>
      </c>
      <c r="R750" s="39" t="str">
        <f aca="false">IF($M750="","",INDEX($A750:$J750,$R$6))</f>
        <v/>
      </c>
      <c r="S750" s="37" t="str">
        <f aca="false">IF($M750="","",IFERROR(INDEX(Settings!$B$27:$B$36,MATCH(L750,Settings!$A$27:$A$36,0))&amp;"","UNMAPPED"))</f>
        <v/>
      </c>
      <c r="T750" s="37" t="str">
        <f aca="false">IF($M750="","",IF(NOT(ISNUMBER(R750)),"NO DATE",IF(S750="Won",IF(R750&gt;Settings!$B$5,"Backlog","Delivered"),IF(S750="Open",IF(R750&gt;Settings!$B$5,"Pipeline","Overdue"),IF(S750="Lost","Lost","UNMAPPED")))))</f>
        <v/>
      </c>
      <c r="U750" s="40" t="n">
        <f aca="false">IF(T750="Backlog",1,IF(OR(T750="Pipeline",T750="Overdue"),N(INDEX(Settings!$C$27:$C$36,MATCH(L750,Settings!$A$27:$A$36,0))),0))</f>
        <v>0</v>
      </c>
      <c r="V750" s="38" t="n">
        <f aca="false">Q750*U750</f>
        <v>0</v>
      </c>
      <c r="W750" s="41" t="str">
        <f aca="false">IF($M750="","",IF(T750="Overdue",IF(Settings!$B$8="Yes",Settings!$B$7,""),IF(ISNUMBER(R750),DATE(YEAR(R750),MONTH(R750),1),"")))</f>
        <v/>
      </c>
      <c r="X750" s="38" t="n">
        <f aca="false">IF(AND(OR(T750="Backlog",T750="Pipeline",T750="Overdue"),ISNUMBER(W750)),IF(W750&lt;=Settings!$B$6,V750,0),0)</f>
        <v>0</v>
      </c>
      <c r="Y750" s="38" t="n">
        <f aca="false">IF(AND(OR(T750="Backlog",T750="Pipeline",T750="Overdue"),ISNUMBER(W750)),IF(W750&lt;=Settings!$B$6,Q750,0),0)</f>
        <v>0</v>
      </c>
      <c r="Z750" s="38" t="n">
        <f aca="false">IF(Y750=0,0,IF(T750="Backlog",Q750,Q750*Dashboard!$C$10))</f>
        <v>0</v>
      </c>
      <c r="AA750" s="37" t="n">
        <f aca="false">IF($N750="",0,IF(COUNTIF(Dashboard!$C$13:$C$22,$N750)&gt;0,1,0))</f>
        <v>0</v>
      </c>
      <c r="AB750" s="37" t="str">
        <f aca="false">IF($N750="","",IF(COUNTIF($N$8:$N750,$N750)=1,MAX($AB$7:$AB749)+1,""))</f>
        <v/>
      </c>
    </row>
    <row r="751" customFormat="false" ht="15" hidden="false" customHeight="false" outlineLevel="0" collapsed="false">
      <c r="L751" s="37" t="str">
        <f aca="false">IF(INDEX($A751:$J751,$L$6)&lt;&gt;"",TRIM(LEFT(INDEX($A751:$J751,$L$6),FIND("(",INDEX($A751:$J751,$L$6)&amp;"(")-1)),L750)</f>
        <v>Building Value Proposition</v>
      </c>
      <c r="M751" s="37" t="str">
        <f aca="false">IF(INDEX($A751:$J751,$M$6)="","",INDEX($A751:$J751,$M$6)&amp;"")</f>
        <v/>
      </c>
      <c r="N751" s="37" t="str">
        <f aca="false">IF($M751="","",TRIM(INDEX($A751:$J751,$N$6)&amp;""))</f>
        <v/>
      </c>
      <c r="O751" s="37" t="str">
        <f aca="false">IF($M751="","",TRIM(INDEX($A751:$J751,$O$6)&amp;""))</f>
        <v/>
      </c>
      <c r="P751" s="37" t="str">
        <f aca="false">IF($M751="","",IFERROR(IF(INDEX(Settings!$B$41:$B$50,MATCH(O751,Settings!$A$41:$A$50,0))&amp;""="","UNMAPPED",INDEX(Settings!$B$41:$B$50,MATCH(O751,Settings!$A$41:$A$50,0))&amp;""),"UNMAPPED"))</f>
        <v/>
      </c>
      <c r="Q751" s="38" t="n">
        <f aca="false">IF($M751="",0,N(INDEX($A751:$J751,$Q$6)))</f>
        <v>0</v>
      </c>
      <c r="R751" s="39" t="str">
        <f aca="false">IF($M751="","",INDEX($A751:$J751,$R$6))</f>
        <v/>
      </c>
      <c r="S751" s="37" t="str">
        <f aca="false">IF($M751="","",IFERROR(INDEX(Settings!$B$27:$B$36,MATCH(L751,Settings!$A$27:$A$36,0))&amp;"","UNMAPPED"))</f>
        <v/>
      </c>
      <c r="T751" s="37" t="str">
        <f aca="false">IF($M751="","",IF(NOT(ISNUMBER(R751)),"NO DATE",IF(S751="Won",IF(R751&gt;Settings!$B$5,"Backlog","Delivered"),IF(S751="Open",IF(R751&gt;Settings!$B$5,"Pipeline","Overdue"),IF(S751="Lost","Lost","UNMAPPED")))))</f>
        <v/>
      </c>
      <c r="U751" s="40" t="n">
        <f aca="false">IF(T751="Backlog",1,IF(OR(T751="Pipeline",T751="Overdue"),N(INDEX(Settings!$C$27:$C$36,MATCH(L751,Settings!$A$27:$A$36,0))),0))</f>
        <v>0</v>
      </c>
      <c r="V751" s="38" t="n">
        <f aca="false">Q751*U751</f>
        <v>0</v>
      </c>
      <c r="W751" s="41" t="str">
        <f aca="false">IF($M751="","",IF(T751="Overdue",IF(Settings!$B$8="Yes",Settings!$B$7,""),IF(ISNUMBER(R751),DATE(YEAR(R751),MONTH(R751),1),"")))</f>
        <v/>
      </c>
      <c r="X751" s="38" t="n">
        <f aca="false">IF(AND(OR(T751="Backlog",T751="Pipeline",T751="Overdue"),ISNUMBER(W751)),IF(W751&lt;=Settings!$B$6,V751,0),0)</f>
        <v>0</v>
      </c>
      <c r="Y751" s="38" t="n">
        <f aca="false">IF(AND(OR(T751="Backlog",T751="Pipeline",T751="Overdue"),ISNUMBER(W751)),IF(W751&lt;=Settings!$B$6,Q751,0),0)</f>
        <v>0</v>
      </c>
      <c r="Z751" s="38" t="n">
        <f aca="false">IF(Y751=0,0,IF(T751="Backlog",Q751,Q751*Dashboard!$C$10))</f>
        <v>0</v>
      </c>
      <c r="AA751" s="37" t="n">
        <f aca="false">IF($N751="",0,IF(COUNTIF(Dashboard!$C$13:$C$22,$N751)&gt;0,1,0))</f>
        <v>0</v>
      </c>
      <c r="AB751" s="37" t="str">
        <f aca="false">IF($N751="","",IF(COUNTIF($N$8:$N751,$N751)=1,MAX($AB$7:$AB750)+1,""))</f>
        <v/>
      </c>
    </row>
    <row r="752" customFormat="false" ht="15" hidden="false" customHeight="false" outlineLevel="0" collapsed="false">
      <c r="L752" s="37" t="str">
        <f aca="false">IF(INDEX($A752:$J752,$L$6)&lt;&gt;"",TRIM(LEFT(INDEX($A752:$J752,$L$6),FIND("(",INDEX($A752:$J752,$L$6)&amp;"(")-1)),L751)</f>
        <v>Building Value Proposition</v>
      </c>
      <c r="M752" s="37" t="str">
        <f aca="false">IF(INDEX($A752:$J752,$M$6)="","",INDEX($A752:$J752,$M$6)&amp;"")</f>
        <v/>
      </c>
      <c r="N752" s="37" t="str">
        <f aca="false">IF($M752="","",TRIM(INDEX($A752:$J752,$N$6)&amp;""))</f>
        <v/>
      </c>
      <c r="O752" s="37" t="str">
        <f aca="false">IF($M752="","",TRIM(INDEX($A752:$J752,$O$6)&amp;""))</f>
        <v/>
      </c>
      <c r="P752" s="37" t="str">
        <f aca="false">IF($M752="","",IFERROR(IF(INDEX(Settings!$B$41:$B$50,MATCH(O752,Settings!$A$41:$A$50,0))&amp;""="","UNMAPPED",INDEX(Settings!$B$41:$B$50,MATCH(O752,Settings!$A$41:$A$50,0))&amp;""),"UNMAPPED"))</f>
        <v/>
      </c>
      <c r="Q752" s="38" t="n">
        <f aca="false">IF($M752="",0,N(INDEX($A752:$J752,$Q$6)))</f>
        <v>0</v>
      </c>
      <c r="R752" s="39" t="str">
        <f aca="false">IF($M752="","",INDEX($A752:$J752,$R$6))</f>
        <v/>
      </c>
      <c r="S752" s="37" t="str">
        <f aca="false">IF($M752="","",IFERROR(INDEX(Settings!$B$27:$B$36,MATCH(L752,Settings!$A$27:$A$36,0))&amp;"","UNMAPPED"))</f>
        <v/>
      </c>
      <c r="T752" s="37" t="str">
        <f aca="false">IF($M752="","",IF(NOT(ISNUMBER(R752)),"NO DATE",IF(S752="Won",IF(R752&gt;Settings!$B$5,"Backlog","Delivered"),IF(S752="Open",IF(R752&gt;Settings!$B$5,"Pipeline","Overdue"),IF(S752="Lost","Lost","UNMAPPED")))))</f>
        <v/>
      </c>
      <c r="U752" s="40" t="n">
        <f aca="false">IF(T752="Backlog",1,IF(OR(T752="Pipeline",T752="Overdue"),N(INDEX(Settings!$C$27:$C$36,MATCH(L752,Settings!$A$27:$A$36,0))),0))</f>
        <v>0</v>
      </c>
      <c r="V752" s="38" t="n">
        <f aca="false">Q752*U752</f>
        <v>0</v>
      </c>
      <c r="W752" s="41" t="str">
        <f aca="false">IF($M752="","",IF(T752="Overdue",IF(Settings!$B$8="Yes",Settings!$B$7,""),IF(ISNUMBER(R752),DATE(YEAR(R752),MONTH(R752),1),"")))</f>
        <v/>
      </c>
      <c r="X752" s="38" t="n">
        <f aca="false">IF(AND(OR(T752="Backlog",T752="Pipeline",T752="Overdue"),ISNUMBER(W752)),IF(W752&lt;=Settings!$B$6,V752,0),0)</f>
        <v>0</v>
      </c>
      <c r="Y752" s="38" t="n">
        <f aca="false">IF(AND(OR(T752="Backlog",T752="Pipeline",T752="Overdue"),ISNUMBER(W752)),IF(W752&lt;=Settings!$B$6,Q752,0),0)</f>
        <v>0</v>
      </c>
      <c r="Z752" s="38" t="n">
        <f aca="false">IF(Y752=0,0,IF(T752="Backlog",Q752,Q752*Dashboard!$C$10))</f>
        <v>0</v>
      </c>
      <c r="AA752" s="37" t="n">
        <f aca="false">IF($N752="",0,IF(COUNTIF(Dashboard!$C$13:$C$22,$N752)&gt;0,1,0))</f>
        <v>0</v>
      </c>
      <c r="AB752" s="37" t="str">
        <f aca="false">IF($N752="","",IF(COUNTIF($N$8:$N752,$N752)=1,MAX($AB$7:$AB751)+1,""))</f>
        <v/>
      </c>
    </row>
    <row r="753" customFormat="false" ht="15" hidden="false" customHeight="false" outlineLevel="0" collapsed="false">
      <c r="L753" s="37" t="str">
        <f aca="false">IF(INDEX($A753:$J753,$L$6)&lt;&gt;"",TRIM(LEFT(INDEX($A753:$J753,$L$6),FIND("(",INDEX($A753:$J753,$L$6)&amp;"(")-1)),L752)</f>
        <v>Building Value Proposition</v>
      </c>
      <c r="M753" s="37" t="str">
        <f aca="false">IF(INDEX($A753:$J753,$M$6)="","",INDEX($A753:$J753,$M$6)&amp;"")</f>
        <v/>
      </c>
      <c r="N753" s="37" t="str">
        <f aca="false">IF($M753="","",TRIM(INDEX($A753:$J753,$N$6)&amp;""))</f>
        <v/>
      </c>
      <c r="O753" s="37" t="str">
        <f aca="false">IF($M753="","",TRIM(INDEX($A753:$J753,$O$6)&amp;""))</f>
        <v/>
      </c>
      <c r="P753" s="37" t="str">
        <f aca="false">IF($M753="","",IFERROR(IF(INDEX(Settings!$B$41:$B$50,MATCH(O753,Settings!$A$41:$A$50,0))&amp;""="","UNMAPPED",INDEX(Settings!$B$41:$B$50,MATCH(O753,Settings!$A$41:$A$50,0))&amp;""),"UNMAPPED"))</f>
        <v/>
      </c>
      <c r="Q753" s="38" t="n">
        <f aca="false">IF($M753="",0,N(INDEX($A753:$J753,$Q$6)))</f>
        <v>0</v>
      </c>
      <c r="R753" s="39" t="str">
        <f aca="false">IF($M753="","",INDEX($A753:$J753,$R$6))</f>
        <v/>
      </c>
      <c r="S753" s="37" t="str">
        <f aca="false">IF($M753="","",IFERROR(INDEX(Settings!$B$27:$B$36,MATCH(L753,Settings!$A$27:$A$36,0))&amp;"","UNMAPPED"))</f>
        <v/>
      </c>
      <c r="T753" s="37" t="str">
        <f aca="false">IF($M753="","",IF(NOT(ISNUMBER(R753)),"NO DATE",IF(S753="Won",IF(R753&gt;Settings!$B$5,"Backlog","Delivered"),IF(S753="Open",IF(R753&gt;Settings!$B$5,"Pipeline","Overdue"),IF(S753="Lost","Lost","UNMAPPED")))))</f>
        <v/>
      </c>
      <c r="U753" s="40" t="n">
        <f aca="false">IF(T753="Backlog",1,IF(OR(T753="Pipeline",T753="Overdue"),N(INDEX(Settings!$C$27:$C$36,MATCH(L753,Settings!$A$27:$A$36,0))),0))</f>
        <v>0</v>
      </c>
      <c r="V753" s="38" t="n">
        <f aca="false">Q753*U753</f>
        <v>0</v>
      </c>
      <c r="W753" s="41" t="str">
        <f aca="false">IF($M753="","",IF(T753="Overdue",IF(Settings!$B$8="Yes",Settings!$B$7,""),IF(ISNUMBER(R753),DATE(YEAR(R753),MONTH(R753),1),"")))</f>
        <v/>
      </c>
      <c r="X753" s="38" t="n">
        <f aca="false">IF(AND(OR(T753="Backlog",T753="Pipeline",T753="Overdue"),ISNUMBER(W753)),IF(W753&lt;=Settings!$B$6,V753,0),0)</f>
        <v>0</v>
      </c>
      <c r="Y753" s="38" t="n">
        <f aca="false">IF(AND(OR(T753="Backlog",T753="Pipeline",T753="Overdue"),ISNUMBER(W753)),IF(W753&lt;=Settings!$B$6,Q753,0),0)</f>
        <v>0</v>
      </c>
      <c r="Z753" s="38" t="n">
        <f aca="false">IF(Y753=0,0,IF(T753="Backlog",Q753,Q753*Dashboard!$C$10))</f>
        <v>0</v>
      </c>
      <c r="AA753" s="37" t="n">
        <f aca="false">IF($N753="",0,IF(COUNTIF(Dashboard!$C$13:$C$22,$N753)&gt;0,1,0))</f>
        <v>0</v>
      </c>
      <c r="AB753" s="37" t="str">
        <f aca="false">IF($N753="","",IF(COUNTIF($N$8:$N753,$N753)=1,MAX($AB$7:$AB752)+1,""))</f>
        <v/>
      </c>
    </row>
    <row r="754" customFormat="false" ht="15" hidden="false" customHeight="false" outlineLevel="0" collapsed="false">
      <c r="L754" s="37" t="str">
        <f aca="false">IF(INDEX($A754:$J754,$L$6)&lt;&gt;"",TRIM(LEFT(INDEX($A754:$J754,$L$6),FIND("(",INDEX($A754:$J754,$L$6)&amp;"(")-1)),L753)</f>
        <v>Building Value Proposition</v>
      </c>
      <c r="M754" s="37" t="str">
        <f aca="false">IF(INDEX($A754:$J754,$M$6)="","",INDEX($A754:$J754,$M$6)&amp;"")</f>
        <v/>
      </c>
      <c r="N754" s="37" t="str">
        <f aca="false">IF($M754="","",TRIM(INDEX($A754:$J754,$N$6)&amp;""))</f>
        <v/>
      </c>
      <c r="O754" s="37" t="str">
        <f aca="false">IF($M754="","",TRIM(INDEX($A754:$J754,$O$6)&amp;""))</f>
        <v/>
      </c>
      <c r="P754" s="37" t="str">
        <f aca="false">IF($M754="","",IFERROR(IF(INDEX(Settings!$B$41:$B$50,MATCH(O754,Settings!$A$41:$A$50,0))&amp;""="","UNMAPPED",INDEX(Settings!$B$41:$B$50,MATCH(O754,Settings!$A$41:$A$50,0))&amp;""),"UNMAPPED"))</f>
        <v/>
      </c>
      <c r="Q754" s="38" t="n">
        <f aca="false">IF($M754="",0,N(INDEX($A754:$J754,$Q$6)))</f>
        <v>0</v>
      </c>
      <c r="R754" s="39" t="str">
        <f aca="false">IF($M754="","",INDEX($A754:$J754,$R$6))</f>
        <v/>
      </c>
      <c r="S754" s="37" t="str">
        <f aca="false">IF($M754="","",IFERROR(INDEX(Settings!$B$27:$B$36,MATCH(L754,Settings!$A$27:$A$36,0))&amp;"","UNMAPPED"))</f>
        <v/>
      </c>
      <c r="T754" s="37" t="str">
        <f aca="false">IF($M754="","",IF(NOT(ISNUMBER(R754)),"NO DATE",IF(S754="Won",IF(R754&gt;Settings!$B$5,"Backlog","Delivered"),IF(S754="Open",IF(R754&gt;Settings!$B$5,"Pipeline","Overdue"),IF(S754="Lost","Lost","UNMAPPED")))))</f>
        <v/>
      </c>
      <c r="U754" s="40" t="n">
        <f aca="false">IF(T754="Backlog",1,IF(OR(T754="Pipeline",T754="Overdue"),N(INDEX(Settings!$C$27:$C$36,MATCH(L754,Settings!$A$27:$A$36,0))),0))</f>
        <v>0</v>
      </c>
      <c r="V754" s="38" t="n">
        <f aca="false">Q754*U754</f>
        <v>0</v>
      </c>
      <c r="W754" s="41" t="str">
        <f aca="false">IF($M754="","",IF(T754="Overdue",IF(Settings!$B$8="Yes",Settings!$B$7,""),IF(ISNUMBER(R754),DATE(YEAR(R754),MONTH(R754),1),"")))</f>
        <v/>
      </c>
      <c r="X754" s="38" t="n">
        <f aca="false">IF(AND(OR(T754="Backlog",T754="Pipeline",T754="Overdue"),ISNUMBER(W754)),IF(W754&lt;=Settings!$B$6,V754,0),0)</f>
        <v>0</v>
      </c>
      <c r="Y754" s="38" t="n">
        <f aca="false">IF(AND(OR(T754="Backlog",T754="Pipeline",T754="Overdue"),ISNUMBER(W754)),IF(W754&lt;=Settings!$B$6,Q754,0),0)</f>
        <v>0</v>
      </c>
      <c r="Z754" s="38" t="n">
        <f aca="false">IF(Y754=0,0,IF(T754="Backlog",Q754,Q754*Dashboard!$C$10))</f>
        <v>0</v>
      </c>
      <c r="AA754" s="37" t="n">
        <f aca="false">IF($N754="",0,IF(COUNTIF(Dashboard!$C$13:$C$22,$N754)&gt;0,1,0))</f>
        <v>0</v>
      </c>
      <c r="AB754" s="37" t="str">
        <f aca="false">IF($N754="","",IF(COUNTIF($N$8:$N754,$N754)=1,MAX($AB$7:$AB753)+1,""))</f>
        <v/>
      </c>
    </row>
    <row r="755" customFormat="false" ht="15" hidden="false" customHeight="false" outlineLevel="0" collapsed="false">
      <c r="L755" s="37" t="str">
        <f aca="false">IF(INDEX($A755:$J755,$L$6)&lt;&gt;"",TRIM(LEFT(INDEX($A755:$J755,$L$6),FIND("(",INDEX($A755:$J755,$L$6)&amp;"(")-1)),L754)</f>
        <v>Building Value Proposition</v>
      </c>
      <c r="M755" s="37" t="str">
        <f aca="false">IF(INDEX($A755:$J755,$M$6)="","",INDEX($A755:$J755,$M$6)&amp;"")</f>
        <v/>
      </c>
      <c r="N755" s="37" t="str">
        <f aca="false">IF($M755="","",TRIM(INDEX($A755:$J755,$N$6)&amp;""))</f>
        <v/>
      </c>
      <c r="O755" s="37" t="str">
        <f aca="false">IF($M755="","",TRIM(INDEX($A755:$J755,$O$6)&amp;""))</f>
        <v/>
      </c>
      <c r="P755" s="37" t="str">
        <f aca="false">IF($M755="","",IFERROR(IF(INDEX(Settings!$B$41:$B$50,MATCH(O755,Settings!$A$41:$A$50,0))&amp;""="","UNMAPPED",INDEX(Settings!$B$41:$B$50,MATCH(O755,Settings!$A$41:$A$50,0))&amp;""),"UNMAPPED"))</f>
        <v/>
      </c>
      <c r="Q755" s="38" t="n">
        <f aca="false">IF($M755="",0,N(INDEX($A755:$J755,$Q$6)))</f>
        <v>0</v>
      </c>
      <c r="R755" s="39" t="str">
        <f aca="false">IF($M755="","",INDEX($A755:$J755,$R$6))</f>
        <v/>
      </c>
      <c r="S755" s="37" t="str">
        <f aca="false">IF($M755="","",IFERROR(INDEX(Settings!$B$27:$B$36,MATCH(L755,Settings!$A$27:$A$36,0))&amp;"","UNMAPPED"))</f>
        <v/>
      </c>
      <c r="T755" s="37" t="str">
        <f aca="false">IF($M755="","",IF(NOT(ISNUMBER(R755)),"NO DATE",IF(S755="Won",IF(R755&gt;Settings!$B$5,"Backlog","Delivered"),IF(S755="Open",IF(R755&gt;Settings!$B$5,"Pipeline","Overdue"),IF(S755="Lost","Lost","UNMAPPED")))))</f>
        <v/>
      </c>
      <c r="U755" s="40" t="n">
        <f aca="false">IF(T755="Backlog",1,IF(OR(T755="Pipeline",T755="Overdue"),N(INDEX(Settings!$C$27:$C$36,MATCH(L755,Settings!$A$27:$A$36,0))),0))</f>
        <v>0</v>
      </c>
      <c r="V755" s="38" t="n">
        <f aca="false">Q755*U755</f>
        <v>0</v>
      </c>
      <c r="W755" s="41" t="str">
        <f aca="false">IF($M755="","",IF(T755="Overdue",IF(Settings!$B$8="Yes",Settings!$B$7,""),IF(ISNUMBER(R755),DATE(YEAR(R755),MONTH(R755),1),"")))</f>
        <v/>
      </c>
      <c r="X755" s="38" t="n">
        <f aca="false">IF(AND(OR(T755="Backlog",T755="Pipeline",T755="Overdue"),ISNUMBER(W755)),IF(W755&lt;=Settings!$B$6,V755,0),0)</f>
        <v>0</v>
      </c>
      <c r="Y755" s="38" t="n">
        <f aca="false">IF(AND(OR(T755="Backlog",T755="Pipeline",T755="Overdue"),ISNUMBER(W755)),IF(W755&lt;=Settings!$B$6,Q755,0),0)</f>
        <v>0</v>
      </c>
      <c r="Z755" s="38" t="n">
        <f aca="false">IF(Y755=0,0,IF(T755="Backlog",Q755,Q755*Dashboard!$C$10))</f>
        <v>0</v>
      </c>
      <c r="AA755" s="37" t="n">
        <f aca="false">IF($N755="",0,IF(COUNTIF(Dashboard!$C$13:$C$22,$N755)&gt;0,1,0))</f>
        <v>0</v>
      </c>
      <c r="AB755" s="37" t="str">
        <f aca="false">IF($N755="","",IF(COUNTIF($N$8:$N755,$N755)=1,MAX($AB$7:$AB754)+1,""))</f>
        <v/>
      </c>
    </row>
    <row r="756" customFormat="false" ht="15" hidden="false" customHeight="false" outlineLevel="0" collapsed="false">
      <c r="L756" s="37" t="str">
        <f aca="false">IF(INDEX($A756:$J756,$L$6)&lt;&gt;"",TRIM(LEFT(INDEX($A756:$J756,$L$6),FIND("(",INDEX($A756:$J756,$L$6)&amp;"(")-1)),L755)</f>
        <v>Building Value Proposition</v>
      </c>
      <c r="M756" s="37" t="str">
        <f aca="false">IF(INDEX($A756:$J756,$M$6)="","",INDEX($A756:$J756,$M$6)&amp;"")</f>
        <v/>
      </c>
      <c r="N756" s="37" t="str">
        <f aca="false">IF($M756="","",TRIM(INDEX($A756:$J756,$N$6)&amp;""))</f>
        <v/>
      </c>
      <c r="O756" s="37" t="str">
        <f aca="false">IF($M756="","",TRIM(INDEX($A756:$J756,$O$6)&amp;""))</f>
        <v/>
      </c>
      <c r="P756" s="37" t="str">
        <f aca="false">IF($M756="","",IFERROR(IF(INDEX(Settings!$B$41:$B$50,MATCH(O756,Settings!$A$41:$A$50,0))&amp;""="","UNMAPPED",INDEX(Settings!$B$41:$B$50,MATCH(O756,Settings!$A$41:$A$50,0))&amp;""),"UNMAPPED"))</f>
        <v/>
      </c>
      <c r="Q756" s="38" t="n">
        <f aca="false">IF($M756="",0,N(INDEX($A756:$J756,$Q$6)))</f>
        <v>0</v>
      </c>
      <c r="R756" s="39" t="str">
        <f aca="false">IF($M756="","",INDEX($A756:$J756,$R$6))</f>
        <v/>
      </c>
      <c r="S756" s="37" t="str">
        <f aca="false">IF($M756="","",IFERROR(INDEX(Settings!$B$27:$B$36,MATCH(L756,Settings!$A$27:$A$36,0))&amp;"","UNMAPPED"))</f>
        <v/>
      </c>
      <c r="T756" s="37" t="str">
        <f aca="false">IF($M756="","",IF(NOT(ISNUMBER(R756)),"NO DATE",IF(S756="Won",IF(R756&gt;Settings!$B$5,"Backlog","Delivered"),IF(S756="Open",IF(R756&gt;Settings!$B$5,"Pipeline","Overdue"),IF(S756="Lost","Lost","UNMAPPED")))))</f>
        <v/>
      </c>
      <c r="U756" s="40" t="n">
        <f aca="false">IF(T756="Backlog",1,IF(OR(T756="Pipeline",T756="Overdue"),N(INDEX(Settings!$C$27:$C$36,MATCH(L756,Settings!$A$27:$A$36,0))),0))</f>
        <v>0</v>
      </c>
      <c r="V756" s="38" t="n">
        <f aca="false">Q756*U756</f>
        <v>0</v>
      </c>
      <c r="W756" s="41" t="str">
        <f aca="false">IF($M756="","",IF(T756="Overdue",IF(Settings!$B$8="Yes",Settings!$B$7,""),IF(ISNUMBER(R756),DATE(YEAR(R756),MONTH(R756),1),"")))</f>
        <v/>
      </c>
      <c r="X756" s="38" t="n">
        <f aca="false">IF(AND(OR(T756="Backlog",T756="Pipeline",T756="Overdue"),ISNUMBER(W756)),IF(W756&lt;=Settings!$B$6,V756,0),0)</f>
        <v>0</v>
      </c>
      <c r="Y756" s="38" t="n">
        <f aca="false">IF(AND(OR(T756="Backlog",T756="Pipeline",T756="Overdue"),ISNUMBER(W756)),IF(W756&lt;=Settings!$B$6,Q756,0),0)</f>
        <v>0</v>
      </c>
      <c r="Z756" s="38" t="n">
        <f aca="false">IF(Y756=0,0,IF(T756="Backlog",Q756,Q756*Dashboard!$C$10))</f>
        <v>0</v>
      </c>
      <c r="AA756" s="37" t="n">
        <f aca="false">IF($N756="",0,IF(COUNTIF(Dashboard!$C$13:$C$22,$N756)&gt;0,1,0))</f>
        <v>0</v>
      </c>
      <c r="AB756" s="37" t="str">
        <f aca="false">IF($N756="","",IF(COUNTIF($N$8:$N756,$N756)=1,MAX($AB$7:$AB755)+1,""))</f>
        <v/>
      </c>
    </row>
    <row r="757" customFormat="false" ht="15" hidden="false" customHeight="false" outlineLevel="0" collapsed="false">
      <c r="L757" s="37" t="str">
        <f aca="false">IF(INDEX($A757:$J757,$L$6)&lt;&gt;"",TRIM(LEFT(INDEX($A757:$J757,$L$6),FIND("(",INDEX($A757:$J757,$L$6)&amp;"(")-1)),L756)</f>
        <v>Building Value Proposition</v>
      </c>
      <c r="M757" s="37" t="str">
        <f aca="false">IF(INDEX($A757:$J757,$M$6)="","",INDEX($A757:$J757,$M$6)&amp;"")</f>
        <v/>
      </c>
      <c r="N757" s="37" t="str">
        <f aca="false">IF($M757="","",TRIM(INDEX($A757:$J757,$N$6)&amp;""))</f>
        <v/>
      </c>
      <c r="O757" s="37" t="str">
        <f aca="false">IF($M757="","",TRIM(INDEX($A757:$J757,$O$6)&amp;""))</f>
        <v/>
      </c>
      <c r="P757" s="37" t="str">
        <f aca="false">IF($M757="","",IFERROR(IF(INDEX(Settings!$B$41:$B$50,MATCH(O757,Settings!$A$41:$A$50,0))&amp;""="","UNMAPPED",INDEX(Settings!$B$41:$B$50,MATCH(O757,Settings!$A$41:$A$50,0))&amp;""),"UNMAPPED"))</f>
        <v/>
      </c>
      <c r="Q757" s="38" t="n">
        <f aca="false">IF($M757="",0,N(INDEX($A757:$J757,$Q$6)))</f>
        <v>0</v>
      </c>
      <c r="R757" s="39" t="str">
        <f aca="false">IF($M757="","",INDEX($A757:$J757,$R$6))</f>
        <v/>
      </c>
      <c r="S757" s="37" t="str">
        <f aca="false">IF($M757="","",IFERROR(INDEX(Settings!$B$27:$B$36,MATCH(L757,Settings!$A$27:$A$36,0))&amp;"","UNMAPPED"))</f>
        <v/>
      </c>
      <c r="T757" s="37" t="str">
        <f aca="false">IF($M757="","",IF(NOT(ISNUMBER(R757)),"NO DATE",IF(S757="Won",IF(R757&gt;Settings!$B$5,"Backlog","Delivered"),IF(S757="Open",IF(R757&gt;Settings!$B$5,"Pipeline","Overdue"),IF(S757="Lost","Lost","UNMAPPED")))))</f>
        <v/>
      </c>
      <c r="U757" s="40" t="n">
        <f aca="false">IF(T757="Backlog",1,IF(OR(T757="Pipeline",T757="Overdue"),N(INDEX(Settings!$C$27:$C$36,MATCH(L757,Settings!$A$27:$A$36,0))),0))</f>
        <v>0</v>
      </c>
      <c r="V757" s="38" t="n">
        <f aca="false">Q757*U757</f>
        <v>0</v>
      </c>
      <c r="W757" s="41" t="str">
        <f aca="false">IF($M757="","",IF(T757="Overdue",IF(Settings!$B$8="Yes",Settings!$B$7,""),IF(ISNUMBER(R757),DATE(YEAR(R757),MONTH(R757),1),"")))</f>
        <v/>
      </c>
      <c r="X757" s="38" t="n">
        <f aca="false">IF(AND(OR(T757="Backlog",T757="Pipeline",T757="Overdue"),ISNUMBER(W757)),IF(W757&lt;=Settings!$B$6,V757,0),0)</f>
        <v>0</v>
      </c>
      <c r="Y757" s="38" t="n">
        <f aca="false">IF(AND(OR(T757="Backlog",T757="Pipeline",T757="Overdue"),ISNUMBER(W757)),IF(W757&lt;=Settings!$B$6,Q757,0),0)</f>
        <v>0</v>
      </c>
      <c r="Z757" s="38" t="n">
        <f aca="false">IF(Y757=0,0,IF(T757="Backlog",Q757,Q757*Dashboard!$C$10))</f>
        <v>0</v>
      </c>
      <c r="AA757" s="37" t="n">
        <f aca="false">IF($N757="",0,IF(COUNTIF(Dashboard!$C$13:$C$22,$N757)&gt;0,1,0))</f>
        <v>0</v>
      </c>
      <c r="AB757" s="37" t="str">
        <f aca="false">IF($N757="","",IF(COUNTIF($N$8:$N757,$N757)=1,MAX($AB$7:$AB756)+1,""))</f>
        <v/>
      </c>
    </row>
    <row r="758" customFormat="false" ht="15" hidden="false" customHeight="false" outlineLevel="0" collapsed="false">
      <c r="L758" s="37" t="str">
        <f aca="false">IF(INDEX($A758:$J758,$L$6)&lt;&gt;"",TRIM(LEFT(INDEX($A758:$J758,$L$6),FIND("(",INDEX($A758:$J758,$L$6)&amp;"(")-1)),L757)</f>
        <v>Building Value Proposition</v>
      </c>
      <c r="M758" s="37" t="str">
        <f aca="false">IF(INDEX($A758:$J758,$M$6)="","",INDEX($A758:$J758,$M$6)&amp;"")</f>
        <v/>
      </c>
      <c r="N758" s="37" t="str">
        <f aca="false">IF($M758="","",TRIM(INDEX($A758:$J758,$N$6)&amp;""))</f>
        <v/>
      </c>
      <c r="O758" s="37" t="str">
        <f aca="false">IF($M758="","",TRIM(INDEX($A758:$J758,$O$6)&amp;""))</f>
        <v/>
      </c>
      <c r="P758" s="37" t="str">
        <f aca="false">IF($M758="","",IFERROR(IF(INDEX(Settings!$B$41:$B$50,MATCH(O758,Settings!$A$41:$A$50,0))&amp;""="","UNMAPPED",INDEX(Settings!$B$41:$B$50,MATCH(O758,Settings!$A$41:$A$50,0))&amp;""),"UNMAPPED"))</f>
        <v/>
      </c>
      <c r="Q758" s="38" t="n">
        <f aca="false">IF($M758="",0,N(INDEX($A758:$J758,$Q$6)))</f>
        <v>0</v>
      </c>
      <c r="R758" s="39" t="str">
        <f aca="false">IF($M758="","",INDEX($A758:$J758,$R$6))</f>
        <v/>
      </c>
      <c r="S758" s="37" t="str">
        <f aca="false">IF($M758="","",IFERROR(INDEX(Settings!$B$27:$B$36,MATCH(L758,Settings!$A$27:$A$36,0))&amp;"","UNMAPPED"))</f>
        <v/>
      </c>
      <c r="T758" s="37" t="str">
        <f aca="false">IF($M758="","",IF(NOT(ISNUMBER(R758)),"NO DATE",IF(S758="Won",IF(R758&gt;Settings!$B$5,"Backlog","Delivered"),IF(S758="Open",IF(R758&gt;Settings!$B$5,"Pipeline","Overdue"),IF(S758="Lost","Lost","UNMAPPED")))))</f>
        <v/>
      </c>
      <c r="U758" s="40" t="n">
        <f aca="false">IF(T758="Backlog",1,IF(OR(T758="Pipeline",T758="Overdue"),N(INDEX(Settings!$C$27:$C$36,MATCH(L758,Settings!$A$27:$A$36,0))),0))</f>
        <v>0</v>
      </c>
      <c r="V758" s="38" t="n">
        <f aca="false">Q758*U758</f>
        <v>0</v>
      </c>
      <c r="W758" s="41" t="str">
        <f aca="false">IF($M758="","",IF(T758="Overdue",IF(Settings!$B$8="Yes",Settings!$B$7,""),IF(ISNUMBER(R758),DATE(YEAR(R758),MONTH(R758),1),"")))</f>
        <v/>
      </c>
      <c r="X758" s="38" t="n">
        <f aca="false">IF(AND(OR(T758="Backlog",T758="Pipeline",T758="Overdue"),ISNUMBER(W758)),IF(W758&lt;=Settings!$B$6,V758,0),0)</f>
        <v>0</v>
      </c>
      <c r="Y758" s="38" t="n">
        <f aca="false">IF(AND(OR(T758="Backlog",T758="Pipeline",T758="Overdue"),ISNUMBER(W758)),IF(W758&lt;=Settings!$B$6,Q758,0),0)</f>
        <v>0</v>
      </c>
      <c r="Z758" s="38" t="n">
        <f aca="false">IF(Y758=0,0,IF(T758="Backlog",Q758,Q758*Dashboard!$C$10))</f>
        <v>0</v>
      </c>
      <c r="AA758" s="37" t="n">
        <f aca="false">IF($N758="",0,IF(COUNTIF(Dashboard!$C$13:$C$22,$N758)&gt;0,1,0))</f>
        <v>0</v>
      </c>
      <c r="AB758" s="37" t="str">
        <f aca="false">IF($N758="","",IF(COUNTIF($N$8:$N758,$N758)=1,MAX($AB$7:$AB757)+1,""))</f>
        <v/>
      </c>
    </row>
    <row r="759" customFormat="false" ht="15" hidden="false" customHeight="false" outlineLevel="0" collapsed="false">
      <c r="L759" s="37" t="str">
        <f aca="false">IF(INDEX($A759:$J759,$L$6)&lt;&gt;"",TRIM(LEFT(INDEX($A759:$J759,$L$6),FIND("(",INDEX($A759:$J759,$L$6)&amp;"(")-1)),L758)</f>
        <v>Building Value Proposition</v>
      </c>
      <c r="M759" s="37" t="str">
        <f aca="false">IF(INDEX($A759:$J759,$M$6)="","",INDEX($A759:$J759,$M$6)&amp;"")</f>
        <v/>
      </c>
      <c r="N759" s="37" t="str">
        <f aca="false">IF($M759="","",TRIM(INDEX($A759:$J759,$N$6)&amp;""))</f>
        <v/>
      </c>
      <c r="O759" s="37" t="str">
        <f aca="false">IF($M759="","",TRIM(INDEX($A759:$J759,$O$6)&amp;""))</f>
        <v/>
      </c>
      <c r="P759" s="37" t="str">
        <f aca="false">IF($M759="","",IFERROR(IF(INDEX(Settings!$B$41:$B$50,MATCH(O759,Settings!$A$41:$A$50,0))&amp;""="","UNMAPPED",INDEX(Settings!$B$41:$B$50,MATCH(O759,Settings!$A$41:$A$50,0))&amp;""),"UNMAPPED"))</f>
        <v/>
      </c>
      <c r="Q759" s="38" t="n">
        <f aca="false">IF($M759="",0,N(INDEX($A759:$J759,$Q$6)))</f>
        <v>0</v>
      </c>
      <c r="R759" s="39" t="str">
        <f aca="false">IF($M759="","",INDEX($A759:$J759,$R$6))</f>
        <v/>
      </c>
      <c r="S759" s="37" t="str">
        <f aca="false">IF($M759="","",IFERROR(INDEX(Settings!$B$27:$B$36,MATCH(L759,Settings!$A$27:$A$36,0))&amp;"","UNMAPPED"))</f>
        <v/>
      </c>
      <c r="T759" s="37" t="str">
        <f aca="false">IF($M759="","",IF(NOT(ISNUMBER(R759)),"NO DATE",IF(S759="Won",IF(R759&gt;Settings!$B$5,"Backlog","Delivered"),IF(S759="Open",IF(R759&gt;Settings!$B$5,"Pipeline","Overdue"),IF(S759="Lost","Lost","UNMAPPED")))))</f>
        <v/>
      </c>
      <c r="U759" s="40" t="n">
        <f aca="false">IF(T759="Backlog",1,IF(OR(T759="Pipeline",T759="Overdue"),N(INDEX(Settings!$C$27:$C$36,MATCH(L759,Settings!$A$27:$A$36,0))),0))</f>
        <v>0</v>
      </c>
      <c r="V759" s="38" t="n">
        <f aca="false">Q759*U759</f>
        <v>0</v>
      </c>
      <c r="W759" s="41" t="str">
        <f aca="false">IF($M759="","",IF(T759="Overdue",IF(Settings!$B$8="Yes",Settings!$B$7,""),IF(ISNUMBER(R759),DATE(YEAR(R759),MONTH(R759),1),"")))</f>
        <v/>
      </c>
      <c r="X759" s="38" t="n">
        <f aca="false">IF(AND(OR(T759="Backlog",T759="Pipeline",T759="Overdue"),ISNUMBER(W759)),IF(W759&lt;=Settings!$B$6,V759,0),0)</f>
        <v>0</v>
      </c>
      <c r="Y759" s="38" t="n">
        <f aca="false">IF(AND(OR(T759="Backlog",T759="Pipeline",T759="Overdue"),ISNUMBER(W759)),IF(W759&lt;=Settings!$B$6,Q759,0),0)</f>
        <v>0</v>
      </c>
      <c r="Z759" s="38" t="n">
        <f aca="false">IF(Y759=0,0,IF(T759="Backlog",Q759,Q759*Dashboard!$C$10))</f>
        <v>0</v>
      </c>
      <c r="AA759" s="37" t="n">
        <f aca="false">IF($N759="",0,IF(COUNTIF(Dashboard!$C$13:$C$22,$N759)&gt;0,1,0))</f>
        <v>0</v>
      </c>
      <c r="AB759" s="37" t="str">
        <f aca="false">IF($N759="","",IF(COUNTIF($N$8:$N759,$N759)=1,MAX($AB$7:$AB758)+1,""))</f>
        <v/>
      </c>
    </row>
    <row r="760" customFormat="false" ht="15" hidden="false" customHeight="false" outlineLevel="0" collapsed="false">
      <c r="L760" s="37" t="str">
        <f aca="false">IF(INDEX($A760:$J760,$L$6)&lt;&gt;"",TRIM(LEFT(INDEX($A760:$J760,$L$6),FIND("(",INDEX($A760:$J760,$L$6)&amp;"(")-1)),L759)</f>
        <v>Building Value Proposition</v>
      </c>
      <c r="M760" s="37" t="str">
        <f aca="false">IF(INDEX($A760:$J760,$M$6)="","",INDEX($A760:$J760,$M$6)&amp;"")</f>
        <v/>
      </c>
      <c r="N760" s="37" t="str">
        <f aca="false">IF($M760="","",TRIM(INDEX($A760:$J760,$N$6)&amp;""))</f>
        <v/>
      </c>
      <c r="O760" s="37" t="str">
        <f aca="false">IF($M760="","",TRIM(INDEX($A760:$J760,$O$6)&amp;""))</f>
        <v/>
      </c>
      <c r="P760" s="37" t="str">
        <f aca="false">IF($M760="","",IFERROR(IF(INDEX(Settings!$B$41:$B$50,MATCH(O760,Settings!$A$41:$A$50,0))&amp;""="","UNMAPPED",INDEX(Settings!$B$41:$B$50,MATCH(O760,Settings!$A$41:$A$50,0))&amp;""),"UNMAPPED"))</f>
        <v/>
      </c>
      <c r="Q760" s="38" t="n">
        <f aca="false">IF($M760="",0,N(INDEX($A760:$J760,$Q$6)))</f>
        <v>0</v>
      </c>
      <c r="R760" s="39" t="str">
        <f aca="false">IF($M760="","",INDEX($A760:$J760,$R$6))</f>
        <v/>
      </c>
      <c r="S760" s="37" t="str">
        <f aca="false">IF($M760="","",IFERROR(INDEX(Settings!$B$27:$B$36,MATCH(L760,Settings!$A$27:$A$36,0))&amp;"","UNMAPPED"))</f>
        <v/>
      </c>
      <c r="T760" s="37" t="str">
        <f aca="false">IF($M760="","",IF(NOT(ISNUMBER(R760)),"NO DATE",IF(S760="Won",IF(R760&gt;Settings!$B$5,"Backlog","Delivered"),IF(S760="Open",IF(R760&gt;Settings!$B$5,"Pipeline","Overdue"),IF(S760="Lost","Lost","UNMAPPED")))))</f>
        <v/>
      </c>
      <c r="U760" s="40" t="n">
        <f aca="false">IF(T760="Backlog",1,IF(OR(T760="Pipeline",T760="Overdue"),N(INDEX(Settings!$C$27:$C$36,MATCH(L760,Settings!$A$27:$A$36,0))),0))</f>
        <v>0</v>
      </c>
      <c r="V760" s="38" t="n">
        <f aca="false">Q760*U760</f>
        <v>0</v>
      </c>
      <c r="W760" s="41" t="str">
        <f aca="false">IF($M760="","",IF(T760="Overdue",IF(Settings!$B$8="Yes",Settings!$B$7,""),IF(ISNUMBER(R760),DATE(YEAR(R760),MONTH(R760),1),"")))</f>
        <v/>
      </c>
      <c r="X760" s="38" t="n">
        <f aca="false">IF(AND(OR(T760="Backlog",T760="Pipeline",T760="Overdue"),ISNUMBER(W760)),IF(W760&lt;=Settings!$B$6,V760,0),0)</f>
        <v>0</v>
      </c>
      <c r="Y760" s="38" t="n">
        <f aca="false">IF(AND(OR(T760="Backlog",T760="Pipeline",T760="Overdue"),ISNUMBER(W760)),IF(W760&lt;=Settings!$B$6,Q760,0),0)</f>
        <v>0</v>
      </c>
      <c r="Z760" s="38" t="n">
        <f aca="false">IF(Y760=0,0,IF(T760="Backlog",Q760,Q760*Dashboard!$C$10))</f>
        <v>0</v>
      </c>
      <c r="AA760" s="37" t="n">
        <f aca="false">IF($N760="",0,IF(COUNTIF(Dashboard!$C$13:$C$22,$N760)&gt;0,1,0))</f>
        <v>0</v>
      </c>
      <c r="AB760" s="37" t="str">
        <f aca="false">IF($N760="","",IF(COUNTIF($N$8:$N760,$N760)=1,MAX($AB$7:$AB759)+1,""))</f>
        <v/>
      </c>
    </row>
    <row r="761" customFormat="false" ht="15" hidden="false" customHeight="false" outlineLevel="0" collapsed="false">
      <c r="L761" s="37" t="str">
        <f aca="false">IF(INDEX($A761:$J761,$L$6)&lt;&gt;"",TRIM(LEFT(INDEX($A761:$J761,$L$6),FIND("(",INDEX($A761:$J761,$L$6)&amp;"(")-1)),L760)</f>
        <v>Building Value Proposition</v>
      </c>
      <c r="M761" s="37" t="str">
        <f aca="false">IF(INDEX($A761:$J761,$M$6)="","",INDEX($A761:$J761,$M$6)&amp;"")</f>
        <v/>
      </c>
      <c r="N761" s="37" t="str">
        <f aca="false">IF($M761="","",TRIM(INDEX($A761:$J761,$N$6)&amp;""))</f>
        <v/>
      </c>
      <c r="O761" s="37" t="str">
        <f aca="false">IF($M761="","",TRIM(INDEX($A761:$J761,$O$6)&amp;""))</f>
        <v/>
      </c>
      <c r="P761" s="37" t="str">
        <f aca="false">IF($M761="","",IFERROR(IF(INDEX(Settings!$B$41:$B$50,MATCH(O761,Settings!$A$41:$A$50,0))&amp;""="","UNMAPPED",INDEX(Settings!$B$41:$B$50,MATCH(O761,Settings!$A$41:$A$50,0))&amp;""),"UNMAPPED"))</f>
        <v/>
      </c>
      <c r="Q761" s="38" t="n">
        <f aca="false">IF($M761="",0,N(INDEX($A761:$J761,$Q$6)))</f>
        <v>0</v>
      </c>
      <c r="R761" s="39" t="str">
        <f aca="false">IF($M761="","",INDEX($A761:$J761,$R$6))</f>
        <v/>
      </c>
      <c r="S761" s="37" t="str">
        <f aca="false">IF($M761="","",IFERROR(INDEX(Settings!$B$27:$B$36,MATCH(L761,Settings!$A$27:$A$36,0))&amp;"","UNMAPPED"))</f>
        <v/>
      </c>
      <c r="T761" s="37" t="str">
        <f aca="false">IF($M761="","",IF(NOT(ISNUMBER(R761)),"NO DATE",IF(S761="Won",IF(R761&gt;Settings!$B$5,"Backlog","Delivered"),IF(S761="Open",IF(R761&gt;Settings!$B$5,"Pipeline","Overdue"),IF(S761="Lost","Lost","UNMAPPED")))))</f>
        <v/>
      </c>
      <c r="U761" s="40" t="n">
        <f aca="false">IF(T761="Backlog",1,IF(OR(T761="Pipeline",T761="Overdue"),N(INDEX(Settings!$C$27:$C$36,MATCH(L761,Settings!$A$27:$A$36,0))),0))</f>
        <v>0</v>
      </c>
      <c r="V761" s="38" t="n">
        <f aca="false">Q761*U761</f>
        <v>0</v>
      </c>
      <c r="W761" s="41" t="str">
        <f aca="false">IF($M761="","",IF(T761="Overdue",IF(Settings!$B$8="Yes",Settings!$B$7,""),IF(ISNUMBER(R761),DATE(YEAR(R761),MONTH(R761),1),"")))</f>
        <v/>
      </c>
      <c r="X761" s="38" t="n">
        <f aca="false">IF(AND(OR(T761="Backlog",T761="Pipeline",T761="Overdue"),ISNUMBER(W761)),IF(W761&lt;=Settings!$B$6,V761,0),0)</f>
        <v>0</v>
      </c>
      <c r="Y761" s="38" t="n">
        <f aca="false">IF(AND(OR(T761="Backlog",T761="Pipeline",T761="Overdue"),ISNUMBER(W761)),IF(W761&lt;=Settings!$B$6,Q761,0),0)</f>
        <v>0</v>
      </c>
      <c r="Z761" s="38" t="n">
        <f aca="false">IF(Y761=0,0,IF(T761="Backlog",Q761,Q761*Dashboard!$C$10))</f>
        <v>0</v>
      </c>
      <c r="AA761" s="37" t="n">
        <f aca="false">IF($N761="",0,IF(COUNTIF(Dashboard!$C$13:$C$22,$N761)&gt;0,1,0))</f>
        <v>0</v>
      </c>
      <c r="AB761" s="37" t="str">
        <f aca="false">IF($N761="","",IF(COUNTIF($N$8:$N761,$N761)=1,MAX($AB$7:$AB760)+1,""))</f>
        <v/>
      </c>
    </row>
    <row r="762" customFormat="false" ht="15" hidden="false" customHeight="false" outlineLevel="0" collapsed="false">
      <c r="L762" s="37" t="str">
        <f aca="false">IF(INDEX($A762:$J762,$L$6)&lt;&gt;"",TRIM(LEFT(INDEX($A762:$J762,$L$6),FIND("(",INDEX($A762:$J762,$L$6)&amp;"(")-1)),L761)</f>
        <v>Building Value Proposition</v>
      </c>
      <c r="M762" s="37" t="str">
        <f aca="false">IF(INDEX($A762:$J762,$M$6)="","",INDEX($A762:$J762,$M$6)&amp;"")</f>
        <v/>
      </c>
      <c r="N762" s="37" t="str">
        <f aca="false">IF($M762="","",TRIM(INDEX($A762:$J762,$N$6)&amp;""))</f>
        <v/>
      </c>
      <c r="O762" s="37" t="str">
        <f aca="false">IF($M762="","",TRIM(INDEX($A762:$J762,$O$6)&amp;""))</f>
        <v/>
      </c>
      <c r="P762" s="37" t="str">
        <f aca="false">IF($M762="","",IFERROR(IF(INDEX(Settings!$B$41:$B$50,MATCH(O762,Settings!$A$41:$A$50,0))&amp;""="","UNMAPPED",INDEX(Settings!$B$41:$B$50,MATCH(O762,Settings!$A$41:$A$50,0))&amp;""),"UNMAPPED"))</f>
        <v/>
      </c>
      <c r="Q762" s="38" t="n">
        <f aca="false">IF($M762="",0,N(INDEX($A762:$J762,$Q$6)))</f>
        <v>0</v>
      </c>
      <c r="R762" s="39" t="str">
        <f aca="false">IF($M762="","",INDEX($A762:$J762,$R$6))</f>
        <v/>
      </c>
      <c r="S762" s="37" t="str">
        <f aca="false">IF($M762="","",IFERROR(INDEX(Settings!$B$27:$B$36,MATCH(L762,Settings!$A$27:$A$36,0))&amp;"","UNMAPPED"))</f>
        <v/>
      </c>
      <c r="T762" s="37" t="str">
        <f aca="false">IF($M762="","",IF(NOT(ISNUMBER(R762)),"NO DATE",IF(S762="Won",IF(R762&gt;Settings!$B$5,"Backlog","Delivered"),IF(S762="Open",IF(R762&gt;Settings!$B$5,"Pipeline","Overdue"),IF(S762="Lost","Lost","UNMAPPED")))))</f>
        <v/>
      </c>
      <c r="U762" s="40" t="n">
        <f aca="false">IF(T762="Backlog",1,IF(OR(T762="Pipeline",T762="Overdue"),N(INDEX(Settings!$C$27:$C$36,MATCH(L762,Settings!$A$27:$A$36,0))),0))</f>
        <v>0</v>
      </c>
      <c r="V762" s="38" t="n">
        <f aca="false">Q762*U762</f>
        <v>0</v>
      </c>
      <c r="W762" s="41" t="str">
        <f aca="false">IF($M762="","",IF(T762="Overdue",IF(Settings!$B$8="Yes",Settings!$B$7,""),IF(ISNUMBER(R762),DATE(YEAR(R762),MONTH(R762),1),"")))</f>
        <v/>
      </c>
      <c r="X762" s="38" t="n">
        <f aca="false">IF(AND(OR(T762="Backlog",T762="Pipeline",T762="Overdue"),ISNUMBER(W762)),IF(W762&lt;=Settings!$B$6,V762,0),0)</f>
        <v>0</v>
      </c>
      <c r="Y762" s="38" t="n">
        <f aca="false">IF(AND(OR(T762="Backlog",T762="Pipeline",T762="Overdue"),ISNUMBER(W762)),IF(W762&lt;=Settings!$B$6,Q762,0),0)</f>
        <v>0</v>
      </c>
      <c r="Z762" s="38" t="n">
        <f aca="false">IF(Y762=0,0,IF(T762="Backlog",Q762,Q762*Dashboard!$C$10))</f>
        <v>0</v>
      </c>
      <c r="AA762" s="37" t="n">
        <f aca="false">IF($N762="",0,IF(COUNTIF(Dashboard!$C$13:$C$22,$N762)&gt;0,1,0))</f>
        <v>0</v>
      </c>
      <c r="AB762" s="37" t="str">
        <f aca="false">IF($N762="","",IF(COUNTIF($N$8:$N762,$N762)=1,MAX($AB$7:$AB761)+1,""))</f>
        <v/>
      </c>
    </row>
    <row r="763" customFormat="false" ht="15" hidden="false" customHeight="false" outlineLevel="0" collapsed="false">
      <c r="L763" s="37" t="str">
        <f aca="false">IF(INDEX($A763:$J763,$L$6)&lt;&gt;"",TRIM(LEFT(INDEX($A763:$J763,$L$6),FIND("(",INDEX($A763:$J763,$L$6)&amp;"(")-1)),L762)</f>
        <v>Building Value Proposition</v>
      </c>
      <c r="M763" s="37" t="str">
        <f aca="false">IF(INDEX($A763:$J763,$M$6)="","",INDEX($A763:$J763,$M$6)&amp;"")</f>
        <v/>
      </c>
      <c r="N763" s="37" t="str">
        <f aca="false">IF($M763="","",TRIM(INDEX($A763:$J763,$N$6)&amp;""))</f>
        <v/>
      </c>
      <c r="O763" s="37" t="str">
        <f aca="false">IF($M763="","",TRIM(INDEX($A763:$J763,$O$6)&amp;""))</f>
        <v/>
      </c>
      <c r="P763" s="37" t="str">
        <f aca="false">IF($M763="","",IFERROR(IF(INDEX(Settings!$B$41:$B$50,MATCH(O763,Settings!$A$41:$A$50,0))&amp;""="","UNMAPPED",INDEX(Settings!$B$41:$B$50,MATCH(O763,Settings!$A$41:$A$50,0))&amp;""),"UNMAPPED"))</f>
        <v/>
      </c>
      <c r="Q763" s="38" t="n">
        <f aca="false">IF($M763="",0,N(INDEX($A763:$J763,$Q$6)))</f>
        <v>0</v>
      </c>
      <c r="R763" s="39" t="str">
        <f aca="false">IF($M763="","",INDEX($A763:$J763,$R$6))</f>
        <v/>
      </c>
      <c r="S763" s="37" t="str">
        <f aca="false">IF($M763="","",IFERROR(INDEX(Settings!$B$27:$B$36,MATCH(L763,Settings!$A$27:$A$36,0))&amp;"","UNMAPPED"))</f>
        <v/>
      </c>
      <c r="T763" s="37" t="str">
        <f aca="false">IF($M763="","",IF(NOT(ISNUMBER(R763)),"NO DATE",IF(S763="Won",IF(R763&gt;Settings!$B$5,"Backlog","Delivered"),IF(S763="Open",IF(R763&gt;Settings!$B$5,"Pipeline","Overdue"),IF(S763="Lost","Lost","UNMAPPED")))))</f>
        <v/>
      </c>
      <c r="U763" s="40" t="n">
        <f aca="false">IF(T763="Backlog",1,IF(OR(T763="Pipeline",T763="Overdue"),N(INDEX(Settings!$C$27:$C$36,MATCH(L763,Settings!$A$27:$A$36,0))),0))</f>
        <v>0</v>
      </c>
      <c r="V763" s="38" t="n">
        <f aca="false">Q763*U763</f>
        <v>0</v>
      </c>
      <c r="W763" s="41" t="str">
        <f aca="false">IF($M763="","",IF(T763="Overdue",IF(Settings!$B$8="Yes",Settings!$B$7,""),IF(ISNUMBER(R763),DATE(YEAR(R763),MONTH(R763),1),"")))</f>
        <v/>
      </c>
      <c r="X763" s="38" t="n">
        <f aca="false">IF(AND(OR(T763="Backlog",T763="Pipeline",T763="Overdue"),ISNUMBER(W763)),IF(W763&lt;=Settings!$B$6,V763,0),0)</f>
        <v>0</v>
      </c>
      <c r="Y763" s="38" t="n">
        <f aca="false">IF(AND(OR(T763="Backlog",T763="Pipeline",T763="Overdue"),ISNUMBER(W763)),IF(W763&lt;=Settings!$B$6,Q763,0),0)</f>
        <v>0</v>
      </c>
      <c r="Z763" s="38" t="n">
        <f aca="false">IF(Y763=0,0,IF(T763="Backlog",Q763,Q763*Dashboard!$C$10))</f>
        <v>0</v>
      </c>
      <c r="AA763" s="37" t="n">
        <f aca="false">IF($N763="",0,IF(COUNTIF(Dashboard!$C$13:$C$22,$N763)&gt;0,1,0))</f>
        <v>0</v>
      </c>
      <c r="AB763" s="37" t="str">
        <f aca="false">IF($N763="","",IF(COUNTIF($N$8:$N763,$N763)=1,MAX($AB$7:$AB762)+1,""))</f>
        <v/>
      </c>
    </row>
    <row r="764" customFormat="false" ht="15" hidden="false" customHeight="false" outlineLevel="0" collapsed="false">
      <c r="L764" s="37" t="str">
        <f aca="false">IF(INDEX($A764:$J764,$L$6)&lt;&gt;"",TRIM(LEFT(INDEX($A764:$J764,$L$6),FIND("(",INDEX($A764:$J764,$L$6)&amp;"(")-1)),L763)</f>
        <v>Building Value Proposition</v>
      </c>
      <c r="M764" s="37" t="str">
        <f aca="false">IF(INDEX($A764:$J764,$M$6)="","",INDEX($A764:$J764,$M$6)&amp;"")</f>
        <v/>
      </c>
      <c r="N764" s="37" t="str">
        <f aca="false">IF($M764="","",TRIM(INDEX($A764:$J764,$N$6)&amp;""))</f>
        <v/>
      </c>
      <c r="O764" s="37" t="str">
        <f aca="false">IF($M764="","",TRIM(INDEX($A764:$J764,$O$6)&amp;""))</f>
        <v/>
      </c>
      <c r="P764" s="37" t="str">
        <f aca="false">IF($M764="","",IFERROR(IF(INDEX(Settings!$B$41:$B$50,MATCH(O764,Settings!$A$41:$A$50,0))&amp;""="","UNMAPPED",INDEX(Settings!$B$41:$B$50,MATCH(O764,Settings!$A$41:$A$50,0))&amp;""),"UNMAPPED"))</f>
        <v/>
      </c>
      <c r="Q764" s="38" t="n">
        <f aca="false">IF($M764="",0,N(INDEX($A764:$J764,$Q$6)))</f>
        <v>0</v>
      </c>
      <c r="R764" s="39" t="str">
        <f aca="false">IF($M764="","",INDEX($A764:$J764,$R$6))</f>
        <v/>
      </c>
      <c r="S764" s="37" t="str">
        <f aca="false">IF($M764="","",IFERROR(INDEX(Settings!$B$27:$B$36,MATCH(L764,Settings!$A$27:$A$36,0))&amp;"","UNMAPPED"))</f>
        <v/>
      </c>
      <c r="T764" s="37" t="str">
        <f aca="false">IF($M764="","",IF(NOT(ISNUMBER(R764)),"NO DATE",IF(S764="Won",IF(R764&gt;Settings!$B$5,"Backlog","Delivered"),IF(S764="Open",IF(R764&gt;Settings!$B$5,"Pipeline","Overdue"),IF(S764="Lost","Lost","UNMAPPED")))))</f>
        <v/>
      </c>
      <c r="U764" s="40" t="n">
        <f aca="false">IF(T764="Backlog",1,IF(OR(T764="Pipeline",T764="Overdue"),N(INDEX(Settings!$C$27:$C$36,MATCH(L764,Settings!$A$27:$A$36,0))),0))</f>
        <v>0</v>
      </c>
      <c r="V764" s="38" t="n">
        <f aca="false">Q764*U764</f>
        <v>0</v>
      </c>
      <c r="W764" s="41" t="str">
        <f aca="false">IF($M764="","",IF(T764="Overdue",IF(Settings!$B$8="Yes",Settings!$B$7,""),IF(ISNUMBER(R764),DATE(YEAR(R764),MONTH(R764),1),"")))</f>
        <v/>
      </c>
      <c r="X764" s="38" t="n">
        <f aca="false">IF(AND(OR(T764="Backlog",T764="Pipeline",T764="Overdue"),ISNUMBER(W764)),IF(W764&lt;=Settings!$B$6,V764,0),0)</f>
        <v>0</v>
      </c>
      <c r="Y764" s="38" t="n">
        <f aca="false">IF(AND(OR(T764="Backlog",T764="Pipeline",T764="Overdue"),ISNUMBER(W764)),IF(W764&lt;=Settings!$B$6,Q764,0),0)</f>
        <v>0</v>
      </c>
      <c r="Z764" s="38" t="n">
        <f aca="false">IF(Y764=0,0,IF(T764="Backlog",Q764,Q764*Dashboard!$C$10))</f>
        <v>0</v>
      </c>
      <c r="AA764" s="37" t="n">
        <f aca="false">IF($N764="",0,IF(COUNTIF(Dashboard!$C$13:$C$22,$N764)&gt;0,1,0))</f>
        <v>0</v>
      </c>
      <c r="AB764" s="37" t="str">
        <f aca="false">IF($N764="","",IF(COUNTIF($N$8:$N764,$N764)=1,MAX($AB$7:$AB763)+1,""))</f>
        <v/>
      </c>
    </row>
    <row r="765" customFormat="false" ht="15" hidden="false" customHeight="false" outlineLevel="0" collapsed="false">
      <c r="L765" s="37" t="str">
        <f aca="false">IF(INDEX($A765:$J765,$L$6)&lt;&gt;"",TRIM(LEFT(INDEX($A765:$J765,$L$6),FIND("(",INDEX($A765:$J765,$L$6)&amp;"(")-1)),L764)</f>
        <v>Building Value Proposition</v>
      </c>
      <c r="M765" s="37" t="str">
        <f aca="false">IF(INDEX($A765:$J765,$M$6)="","",INDEX($A765:$J765,$M$6)&amp;"")</f>
        <v/>
      </c>
      <c r="N765" s="37" t="str">
        <f aca="false">IF($M765="","",TRIM(INDEX($A765:$J765,$N$6)&amp;""))</f>
        <v/>
      </c>
      <c r="O765" s="37" t="str">
        <f aca="false">IF($M765="","",TRIM(INDEX($A765:$J765,$O$6)&amp;""))</f>
        <v/>
      </c>
      <c r="P765" s="37" t="str">
        <f aca="false">IF($M765="","",IFERROR(IF(INDEX(Settings!$B$41:$B$50,MATCH(O765,Settings!$A$41:$A$50,0))&amp;""="","UNMAPPED",INDEX(Settings!$B$41:$B$50,MATCH(O765,Settings!$A$41:$A$50,0))&amp;""),"UNMAPPED"))</f>
        <v/>
      </c>
      <c r="Q765" s="38" t="n">
        <f aca="false">IF($M765="",0,N(INDEX($A765:$J765,$Q$6)))</f>
        <v>0</v>
      </c>
      <c r="R765" s="39" t="str">
        <f aca="false">IF($M765="","",INDEX($A765:$J765,$R$6))</f>
        <v/>
      </c>
      <c r="S765" s="37" t="str">
        <f aca="false">IF($M765="","",IFERROR(INDEX(Settings!$B$27:$B$36,MATCH(L765,Settings!$A$27:$A$36,0))&amp;"","UNMAPPED"))</f>
        <v/>
      </c>
      <c r="T765" s="37" t="str">
        <f aca="false">IF($M765="","",IF(NOT(ISNUMBER(R765)),"NO DATE",IF(S765="Won",IF(R765&gt;Settings!$B$5,"Backlog","Delivered"),IF(S765="Open",IF(R765&gt;Settings!$B$5,"Pipeline","Overdue"),IF(S765="Lost","Lost","UNMAPPED")))))</f>
        <v/>
      </c>
      <c r="U765" s="40" t="n">
        <f aca="false">IF(T765="Backlog",1,IF(OR(T765="Pipeline",T765="Overdue"),N(INDEX(Settings!$C$27:$C$36,MATCH(L765,Settings!$A$27:$A$36,0))),0))</f>
        <v>0</v>
      </c>
      <c r="V765" s="38" t="n">
        <f aca="false">Q765*U765</f>
        <v>0</v>
      </c>
      <c r="W765" s="41" t="str">
        <f aca="false">IF($M765="","",IF(T765="Overdue",IF(Settings!$B$8="Yes",Settings!$B$7,""),IF(ISNUMBER(R765),DATE(YEAR(R765),MONTH(R765),1),"")))</f>
        <v/>
      </c>
      <c r="X765" s="38" t="n">
        <f aca="false">IF(AND(OR(T765="Backlog",T765="Pipeline",T765="Overdue"),ISNUMBER(W765)),IF(W765&lt;=Settings!$B$6,V765,0),0)</f>
        <v>0</v>
      </c>
      <c r="Y765" s="38" t="n">
        <f aca="false">IF(AND(OR(T765="Backlog",T765="Pipeline",T765="Overdue"),ISNUMBER(W765)),IF(W765&lt;=Settings!$B$6,Q765,0),0)</f>
        <v>0</v>
      </c>
      <c r="Z765" s="38" t="n">
        <f aca="false">IF(Y765=0,0,IF(T765="Backlog",Q765,Q765*Dashboard!$C$10))</f>
        <v>0</v>
      </c>
      <c r="AA765" s="37" t="n">
        <f aca="false">IF($N765="",0,IF(COUNTIF(Dashboard!$C$13:$C$22,$N765)&gt;0,1,0))</f>
        <v>0</v>
      </c>
      <c r="AB765" s="37" t="str">
        <f aca="false">IF($N765="","",IF(COUNTIF($N$8:$N765,$N765)=1,MAX($AB$7:$AB764)+1,""))</f>
        <v/>
      </c>
    </row>
    <row r="766" customFormat="false" ht="15" hidden="false" customHeight="false" outlineLevel="0" collapsed="false">
      <c r="L766" s="37" t="str">
        <f aca="false">IF(INDEX($A766:$J766,$L$6)&lt;&gt;"",TRIM(LEFT(INDEX($A766:$J766,$L$6),FIND("(",INDEX($A766:$J766,$L$6)&amp;"(")-1)),L765)</f>
        <v>Building Value Proposition</v>
      </c>
      <c r="M766" s="37" t="str">
        <f aca="false">IF(INDEX($A766:$J766,$M$6)="","",INDEX($A766:$J766,$M$6)&amp;"")</f>
        <v/>
      </c>
      <c r="N766" s="37" t="str">
        <f aca="false">IF($M766="","",TRIM(INDEX($A766:$J766,$N$6)&amp;""))</f>
        <v/>
      </c>
      <c r="O766" s="37" t="str">
        <f aca="false">IF($M766="","",TRIM(INDEX($A766:$J766,$O$6)&amp;""))</f>
        <v/>
      </c>
      <c r="P766" s="37" t="str">
        <f aca="false">IF($M766="","",IFERROR(IF(INDEX(Settings!$B$41:$B$50,MATCH(O766,Settings!$A$41:$A$50,0))&amp;""="","UNMAPPED",INDEX(Settings!$B$41:$B$50,MATCH(O766,Settings!$A$41:$A$50,0))&amp;""),"UNMAPPED"))</f>
        <v/>
      </c>
      <c r="Q766" s="38" t="n">
        <f aca="false">IF($M766="",0,N(INDEX($A766:$J766,$Q$6)))</f>
        <v>0</v>
      </c>
      <c r="R766" s="39" t="str">
        <f aca="false">IF($M766="","",INDEX($A766:$J766,$R$6))</f>
        <v/>
      </c>
      <c r="S766" s="37" t="str">
        <f aca="false">IF($M766="","",IFERROR(INDEX(Settings!$B$27:$B$36,MATCH(L766,Settings!$A$27:$A$36,0))&amp;"","UNMAPPED"))</f>
        <v/>
      </c>
      <c r="T766" s="37" t="str">
        <f aca="false">IF($M766="","",IF(NOT(ISNUMBER(R766)),"NO DATE",IF(S766="Won",IF(R766&gt;Settings!$B$5,"Backlog","Delivered"),IF(S766="Open",IF(R766&gt;Settings!$B$5,"Pipeline","Overdue"),IF(S766="Lost","Lost","UNMAPPED")))))</f>
        <v/>
      </c>
      <c r="U766" s="40" t="n">
        <f aca="false">IF(T766="Backlog",1,IF(OR(T766="Pipeline",T766="Overdue"),N(INDEX(Settings!$C$27:$C$36,MATCH(L766,Settings!$A$27:$A$36,0))),0))</f>
        <v>0</v>
      </c>
      <c r="V766" s="38" t="n">
        <f aca="false">Q766*U766</f>
        <v>0</v>
      </c>
      <c r="W766" s="41" t="str">
        <f aca="false">IF($M766="","",IF(T766="Overdue",IF(Settings!$B$8="Yes",Settings!$B$7,""),IF(ISNUMBER(R766),DATE(YEAR(R766),MONTH(R766),1),"")))</f>
        <v/>
      </c>
      <c r="X766" s="38" t="n">
        <f aca="false">IF(AND(OR(T766="Backlog",T766="Pipeline",T766="Overdue"),ISNUMBER(W766)),IF(W766&lt;=Settings!$B$6,V766,0),0)</f>
        <v>0</v>
      </c>
      <c r="Y766" s="38" t="n">
        <f aca="false">IF(AND(OR(T766="Backlog",T766="Pipeline",T766="Overdue"),ISNUMBER(W766)),IF(W766&lt;=Settings!$B$6,Q766,0),0)</f>
        <v>0</v>
      </c>
      <c r="Z766" s="38" t="n">
        <f aca="false">IF(Y766=0,0,IF(T766="Backlog",Q766,Q766*Dashboard!$C$10))</f>
        <v>0</v>
      </c>
      <c r="AA766" s="37" t="n">
        <f aca="false">IF($N766="",0,IF(COUNTIF(Dashboard!$C$13:$C$22,$N766)&gt;0,1,0))</f>
        <v>0</v>
      </c>
      <c r="AB766" s="37" t="str">
        <f aca="false">IF($N766="","",IF(COUNTIF($N$8:$N766,$N766)=1,MAX($AB$7:$AB765)+1,""))</f>
        <v/>
      </c>
    </row>
    <row r="767" customFormat="false" ht="15" hidden="false" customHeight="false" outlineLevel="0" collapsed="false">
      <c r="L767" s="37" t="str">
        <f aca="false">IF(INDEX($A767:$J767,$L$6)&lt;&gt;"",TRIM(LEFT(INDEX($A767:$J767,$L$6),FIND("(",INDEX($A767:$J767,$L$6)&amp;"(")-1)),L766)</f>
        <v>Building Value Proposition</v>
      </c>
      <c r="M767" s="37" t="str">
        <f aca="false">IF(INDEX($A767:$J767,$M$6)="","",INDEX($A767:$J767,$M$6)&amp;"")</f>
        <v/>
      </c>
      <c r="N767" s="37" t="str">
        <f aca="false">IF($M767="","",TRIM(INDEX($A767:$J767,$N$6)&amp;""))</f>
        <v/>
      </c>
      <c r="O767" s="37" t="str">
        <f aca="false">IF($M767="","",TRIM(INDEX($A767:$J767,$O$6)&amp;""))</f>
        <v/>
      </c>
      <c r="P767" s="37" t="str">
        <f aca="false">IF($M767="","",IFERROR(IF(INDEX(Settings!$B$41:$B$50,MATCH(O767,Settings!$A$41:$A$50,0))&amp;""="","UNMAPPED",INDEX(Settings!$B$41:$B$50,MATCH(O767,Settings!$A$41:$A$50,0))&amp;""),"UNMAPPED"))</f>
        <v/>
      </c>
      <c r="Q767" s="38" t="n">
        <f aca="false">IF($M767="",0,N(INDEX($A767:$J767,$Q$6)))</f>
        <v>0</v>
      </c>
      <c r="R767" s="39" t="str">
        <f aca="false">IF($M767="","",INDEX($A767:$J767,$R$6))</f>
        <v/>
      </c>
      <c r="S767" s="37" t="str">
        <f aca="false">IF($M767="","",IFERROR(INDEX(Settings!$B$27:$B$36,MATCH(L767,Settings!$A$27:$A$36,0))&amp;"","UNMAPPED"))</f>
        <v/>
      </c>
      <c r="T767" s="37" t="str">
        <f aca="false">IF($M767="","",IF(NOT(ISNUMBER(R767)),"NO DATE",IF(S767="Won",IF(R767&gt;Settings!$B$5,"Backlog","Delivered"),IF(S767="Open",IF(R767&gt;Settings!$B$5,"Pipeline","Overdue"),IF(S767="Lost","Lost","UNMAPPED")))))</f>
        <v/>
      </c>
      <c r="U767" s="40" t="n">
        <f aca="false">IF(T767="Backlog",1,IF(OR(T767="Pipeline",T767="Overdue"),N(INDEX(Settings!$C$27:$C$36,MATCH(L767,Settings!$A$27:$A$36,0))),0))</f>
        <v>0</v>
      </c>
      <c r="V767" s="38" t="n">
        <f aca="false">Q767*U767</f>
        <v>0</v>
      </c>
      <c r="W767" s="41" t="str">
        <f aca="false">IF($M767="","",IF(T767="Overdue",IF(Settings!$B$8="Yes",Settings!$B$7,""),IF(ISNUMBER(R767),DATE(YEAR(R767),MONTH(R767),1),"")))</f>
        <v/>
      </c>
      <c r="X767" s="38" t="n">
        <f aca="false">IF(AND(OR(T767="Backlog",T767="Pipeline",T767="Overdue"),ISNUMBER(W767)),IF(W767&lt;=Settings!$B$6,V767,0),0)</f>
        <v>0</v>
      </c>
      <c r="Y767" s="38" t="n">
        <f aca="false">IF(AND(OR(T767="Backlog",T767="Pipeline",T767="Overdue"),ISNUMBER(W767)),IF(W767&lt;=Settings!$B$6,Q767,0),0)</f>
        <v>0</v>
      </c>
      <c r="Z767" s="38" t="n">
        <f aca="false">IF(Y767=0,0,IF(T767="Backlog",Q767,Q767*Dashboard!$C$10))</f>
        <v>0</v>
      </c>
      <c r="AA767" s="37" t="n">
        <f aca="false">IF($N767="",0,IF(COUNTIF(Dashboard!$C$13:$C$22,$N767)&gt;0,1,0))</f>
        <v>0</v>
      </c>
      <c r="AB767" s="37" t="str">
        <f aca="false">IF($N767="","",IF(COUNTIF($N$8:$N767,$N767)=1,MAX($AB$7:$AB766)+1,""))</f>
        <v/>
      </c>
    </row>
    <row r="768" customFormat="false" ht="15" hidden="false" customHeight="false" outlineLevel="0" collapsed="false">
      <c r="L768" s="37" t="str">
        <f aca="false">IF(INDEX($A768:$J768,$L$6)&lt;&gt;"",TRIM(LEFT(INDEX($A768:$J768,$L$6),FIND("(",INDEX($A768:$J768,$L$6)&amp;"(")-1)),L767)</f>
        <v>Building Value Proposition</v>
      </c>
      <c r="M768" s="37" t="str">
        <f aca="false">IF(INDEX($A768:$J768,$M$6)="","",INDEX($A768:$J768,$M$6)&amp;"")</f>
        <v/>
      </c>
      <c r="N768" s="37" t="str">
        <f aca="false">IF($M768="","",TRIM(INDEX($A768:$J768,$N$6)&amp;""))</f>
        <v/>
      </c>
      <c r="O768" s="37" t="str">
        <f aca="false">IF($M768="","",TRIM(INDEX($A768:$J768,$O$6)&amp;""))</f>
        <v/>
      </c>
      <c r="P768" s="37" t="str">
        <f aca="false">IF($M768="","",IFERROR(IF(INDEX(Settings!$B$41:$B$50,MATCH(O768,Settings!$A$41:$A$50,0))&amp;""="","UNMAPPED",INDEX(Settings!$B$41:$B$50,MATCH(O768,Settings!$A$41:$A$50,0))&amp;""),"UNMAPPED"))</f>
        <v/>
      </c>
      <c r="Q768" s="38" t="n">
        <f aca="false">IF($M768="",0,N(INDEX($A768:$J768,$Q$6)))</f>
        <v>0</v>
      </c>
      <c r="R768" s="39" t="str">
        <f aca="false">IF($M768="","",INDEX($A768:$J768,$R$6))</f>
        <v/>
      </c>
      <c r="S768" s="37" t="str">
        <f aca="false">IF($M768="","",IFERROR(INDEX(Settings!$B$27:$B$36,MATCH(L768,Settings!$A$27:$A$36,0))&amp;"","UNMAPPED"))</f>
        <v/>
      </c>
      <c r="T768" s="37" t="str">
        <f aca="false">IF($M768="","",IF(NOT(ISNUMBER(R768)),"NO DATE",IF(S768="Won",IF(R768&gt;Settings!$B$5,"Backlog","Delivered"),IF(S768="Open",IF(R768&gt;Settings!$B$5,"Pipeline","Overdue"),IF(S768="Lost","Lost","UNMAPPED")))))</f>
        <v/>
      </c>
      <c r="U768" s="40" t="n">
        <f aca="false">IF(T768="Backlog",1,IF(OR(T768="Pipeline",T768="Overdue"),N(INDEX(Settings!$C$27:$C$36,MATCH(L768,Settings!$A$27:$A$36,0))),0))</f>
        <v>0</v>
      </c>
      <c r="V768" s="38" t="n">
        <f aca="false">Q768*U768</f>
        <v>0</v>
      </c>
      <c r="W768" s="41" t="str">
        <f aca="false">IF($M768="","",IF(T768="Overdue",IF(Settings!$B$8="Yes",Settings!$B$7,""),IF(ISNUMBER(R768),DATE(YEAR(R768),MONTH(R768),1),"")))</f>
        <v/>
      </c>
      <c r="X768" s="38" t="n">
        <f aca="false">IF(AND(OR(T768="Backlog",T768="Pipeline",T768="Overdue"),ISNUMBER(W768)),IF(W768&lt;=Settings!$B$6,V768,0),0)</f>
        <v>0</v>
      </c>
      <c r="Y768" s="38" t="n">
        <f aca="false">IF(AND(OR(T768="Backlog",T768="Pipeline",T768="Overdue"),ISNUMBER(W768)),IF(W768&lt;=Settings!$B$6,Q768,0),0)</f>
        <v>0</v>
      </c>
      <c r="Z768" s="38" t="n">
        <f aca="false">IF(Y768=0,0,IF(T768="Backlog",Q768,Q768*Dashboard!$C$10))</f>
        <v>0</v>
      </c>
      <c r="AA768" s="37" t="n">
        <f aca="false">IF($N768="",0,IF(COUNTIF(Dashboard!$C$13:$C$22,$N768)&gt;0,1,0))</f>
        <v>0</v>
      </c>
      <c r="AB768" s="37" t="str">
        <f aca="false">IF($N768="","",IF(COUNTIF($N$8:$N768,$N768)=1,MAX($AB$7:$AB767)+1,""))</f>
        <v/>
      </c>
    </row>
    <row r="769" customFormat="false" ht="15" hidden="false" customHeight="false" outlineLevel="0" collapsed="false">
      <c r="L769" s="37" t="str">
        <f aca="false">IF(INDEX($A769:$J769,$L$6)&lt;&gt;"",TRIM(LEFT(INDEX($A769:$J769,$L$6),FIND("(",INDEX($A769:$J769,$L$6)&amp;"(")-1)),L768)</f>
        <v>Building Value Proposition</v>
      </c>
      <c r="M769" s="37" t="str">
        <f aca="false">IF(INDEX($A769:$J769,$M$6)="","",INDEX($A769:$J769,$M$6)&amp;"")</f>
        <v/>
      </c>
      <c r="N769" s="37" t="str">
        <f aca="false">IF($M769="","",TRIM(INDEX($A769:$J769,$N$6)&amp;""))</f>
        <v/>
      </c>
      <c r="O769" s="37" t="str">
        <f aca="false">IF($M769="","",TRIM(INDEX($A769:$J769,$O$6)&amp;""))</f>
        <v/>
      </c>
      <c r="P769" s="37" t="str">
        <f aca="false">IF($M769="","",IFERROR(IF(INDEX(Settings!$B$41:$B$50,MATCH(O769,Settings!$A$41:$A$50,0))&amp;""="","UNMAPPED",INDEX(Settings!$B$41:$B$50,MATCH(O769,Settings!$A$41:$A$50,0))&amp;""),"UNMAPPED"))</f>
        <v/>
      </c>
      <c r="Q769" s="38" t="n">
        <f aca="false">IF($M769="",0,N(INDEX($A769:$J769,$Q$6)))</f>
        <v>0</v>
      </c>
      <c r="R769" s="39" t="str">
        <f aca="false">IF($M769="","",INDEX($A769:$J769,$R$6))</f>
        <v/>
      </c>
      <c r="S769" s="37" t="str">
        <f aca="false">IF($M769="","",IFERROR(INDEX(Settings!$B$27:$B$36,MATCH(L769,Settings!$A$27:$A$36,0))&amp;"","UNMAPPED"))</f>
        <v/>
      </c>
      <c r="T769" s="37" t="str">
        <f aca="false">IF($M769="","",IF(NOT(ISNUMBER(R769)),"NO DATE",IF(S769="Won",IF(R769&gt;Settings!$B$5,"Backlog","Delivered"),IF(S769="Open",IF(R769&gt;Settings!$B$5,"Pipeline","Overdue"),IF(S769="Lost","Lost","UNMAPPED")))))</f>
        <v/>
      </c>
      <c r="U769" s="40" t="n">
        <f aca="false">IF(T769="Backlog",1,IF(OR(T769="Pipeline",T769="Overdue"),N(INDEX(Settings!$C$27:$C$36,MATCH(L769,Settings!$A$27:$A$36,0))),0))</f>
        <v>0</v>
      </c>
      <c r="V769" s="38" t="n">
        <f aca="false">Q769*U769</f>
        <v>0</v>
      </c>
      <c r="W769" s="41" t="str">
        <f aca="false">IF($M769="","",IF(T769="Overdue",IF(Settings!$B$8="Yes",Settings!$B$7,""),IF(ISNUMBER(R769),DATE(YEAR(R769),MONTH(R769),1),"")))</f>
        <v/>
      </c>
      <c r="X769" s="38" t="n">
        <f aca="false">IF(AND(OR(T769="Backlog",T769="Pipeline",T769="Overdue"),ISNUMBER(W769)),IF(W769&lt;=Settings!$B$6,V769,0),0)</f>
        <v>0</v>
      </c>
      <c r="Y769" s="38" t="n">
        <f aca="false">IF(AND(OR(T769="Backlog",T769="Pipeline",T769="Overdue"),ISNUMBER(W769)),IF(W769&lt;=Settings!$B$6,Q769,0),0)</f>
        <v>0</v>
      </c>
      <c r="Z769" s="38" t="n">
        <f aca="false">IF(Y769=0,0,IF(T769="Backlog",Q769,Q769*Dashboard!$C$10))</f>
        <v>0</v>
      </c>
      <c r="AA769" s="37" t="n">
        <f aca="false">IF($N769="",0,IF(COUNTIF(Dashboard!$C$13:$C$22,$N769)&gt;0,1,0))</f>
        <v>0</v>
      </c>
      <c r="AB769" s="37" t="str">
        <f aca="false">IF($N769="","",IF(COUNTIF($N$8:$N769,$N769)=1,MAX($AB$7:$AB768)+1,""))</f>
        <v/>
      </c>
    </row>
    <row r="770" customFormat="false" ht="15" hidden="false" customHeight="false" outlineLevel="0" collapsed="false">
      <c r="L770" s="37" t="str">
        <f aca="false">IF(INDEX($A770:$J770,$L$6)&lt;&gt;"",TRIM(LEFT(INDEX($A770:$J770,$L$6),FIND("(",INDEX($A770:$J770,$L$6)&amp;"(")-1)),L769)</f>
        <v>Building Value Proposition</v>
      </c>
      <c r="M770" s="37" t="str">
        <f aca="false">IF(INDEX($A770:$J770,$M$6)="","",INDEX($A770:$J770,$M$6)&amp;"")</f>
        <v/>
      </c>
      <c r="N770" s="37" t="str">
        <f aca="false">IF($M770="","",TRIM(INDEX($A770:$J770,$N$6)&amp;""))</f>
        <v/>
      </c>
      <c r="O770" s="37" t="str">
        <f aca="false">IF($M770="","",TRIM(INDEX($A770:$J770,$O$6)&amp;""))</f>
        <v/>
      </c>
      <c r="P770" s="37" t="str">
        <f aca="false">IF($M770="","",IFERROR(IF(INDEX(Settings!$B$41:$B$50,MATCH(O770,Settings!$A$41:$A$50,0))&amp;""="","UNMAPPED",INDEX(Settings!$B$41:$B$50,MATCH(O770,Settings!$A$41:$A$50,0))&amp;""),"UNMAPPED"))</f>
        <v/>
      </c>
      <c r="Q770" s="38" t="n">
        <f aca="false">IF($M770="",0,N(INDEX($A770:$J770,$Q$6)))</f>
        <v>0</v>
      </c>
      <c r="R770" s="39" t="str">
        <f aca="false">IF($M770="","",INDEX($A770:$J770,$R$6))</f>
        <v/>
      </c>
      <c r="S770" s="37" t="str">
        <f aca="false">IF($M770="","",IFERROR(INDEX(Settings!$B$27:$B$36,MATCH(L770,Settings!$A$27:$A$36,0))&amp;"","UNMAPPED"))</f>
        <v/>
      </c>
      <c r="T770" s="37" t="str">
        <f aca="false">IF($M770="","",IF(NOT(ISNUMBER(R770)),"NO DATE",IF(S770="Won",IF(R770&gt;Settings!$B$5,"Backlog","Delivered"),IF(S770="Open",IF(R770&gt;Settings!$B$5,"Pipeline","Overdue"),IF(S770="Lost","Lost","UNMAPPED")))))</f>
        <v/>
      </c>
      <c r="U770" s="40" t="n">
        <f aca="false">IF(T770="Backlog",1,IF(OR(T770="Pipeline",T770="Overdue"),N(INDEX(Settings!$C$27:$C$36,MATCH(L770,Settings!$A$27:$A$36,0))),0))</f>
        <v>0</v>
      </c>
      <c r="V770" s="38" t="n">
        <f aca="false">Q770*U770</f>
        <v>0</v>
      </c>
      <c r="W770" s="41" t="str">
        <f aca="false">IF($M770="","",IF(T770="Overdue",IF(Settings!$B$8="Yes",Settings!$B$7,""),IF(ISNUMBER(R770),DATE(YEAR(R770),MONTH(R770),1),"")))</f>
        <v/>
      </c>
      <c r="X770" s="38" t="n">
        <f aca="false">IF(AND(OR(T770="Backlog",T770="Pipeline",T770="Overdue"),ISNUMBER(W770)),IF(W770&lt;=Settings!$B$6,V770,0),0)</f>
        <v>0</v>
      </c>
      <c r="Y770" s="38" t="n">
        <f aca="false">IF(AND(OR(T770="Backlog",T770="Pipeline",T770="Overdue"),ISNUMBER(W770)),IF(W770&lt;=Settings!$B$6,Q770,0),0)</f>
        <v>0</v>
      </c>
      <c r="Z770" s="38" t="n">
        <f aca="false">IF(Y770=0,0,IF(T770="Backlog",Q770,Q770*Dashboard!$C$10))</f>
        <v>0</v>
      </c>
      <c r="AA770" s="37" t="n">
        <f aca="false">IF($N770="",0,IF(COUNTIF(Dashboard!$C$13:$C$22,$N770)&gt;0,1,0))</f>
        <v>0</v>
      </c>
      <c r="AB770" s="37" t="str">
        <f aca="false">IF($N770="","",IF(COUNTIF($N$8:$N770,$N770)=1,MAX($AB$7:$AB769)+1,""))</f>
        <v/>
      </c>
    </row>
    <row r="771" customFormat="false" ht="15" hidden="false" customHeight="false" outlineLevel="0" collapsed="false">
      <c r="L771" s="37" t="str">
        <f aca="false">IF(INDEX($A771:$J771,$L$6)&lt;&gt;"",TRIM(LEFT(INDEX($A771:$J771,$L$6),FIND("(",INDEX($A771:$J771,$L$6)&amp;"(")-1)),L770)</f>
        <v>Building Value Proposition</v>
      </c>
      <c r="M771" s="37" t="str">
        <f aca="false">IF(INDEX($A771:$J771,$M$6)="","",INDEX($A771:$J771,$M$6)&amp;"")</f>
        <v/>
      </c>
      <c r="N771" s="37" t="str">
        <f aca="false">IF($M771="","",TRIM(INDEX($A771:$J771,$N$6)&amp;""))</f>
        <v/>
      </c>
      <c r="O771" s="37" t="str">
        <f aca="false">IF($M771="","",TRIM(INDEX($A771:$J771,$O$6)&amp;""))</f>
        <v/>
      </c>
      <c r="P771" s="37" t="str">
        <f aca="false">IF($M771="","",IFERROR(IF(INDEX(Settings!$B$41:$B$50,MATCH(O771,Settings!$A$41:$A$50,0))&amp;""="","UNMAPPED",INDEX(Settings!$B$41:$B$50,MATCH(O771,Settings!$A$41:$A$50,0))&amp;""),"UNMAPPED"))</f>
        <v/>
      </c>
      <c r="Q771" s="38" t="n">
        <f aca="false">IF($M771="",0,N(INDEX($A771:$J771,$Q$6)))</f>
        <v>0</v>
      </c>
      <c r="R771" s="39" t="str">
        <f aca="false">IF($M771="","",INDEX($A771:$J771,$R$6))</f>
        <v/>
      </c>
      <c r="S771" s="37" t="str">
        <f aca="false">IF($M771="","",IFERROR(INDEX(Settings!$B$27:$B$36,MATCH(L771,Settings!$A$27:$A$36,0))&amp;"","UNMAPPED"))</f>
        <v/>
      </c>
      <c r="T771" s="37" t="str">
        <f aca="false">IF($M771="","",IF(NOT(ISNUMBER(R771)),"NO DATE",IF(S771="Won",IF(R771&gt;Settings!$B$5,"Backlog","Delivered"),IF(S771="Open",IF(R771&gt;Settings!$B$5,"Pipeline","Overdue"),IF(S771="Lost","Lost","UNMAPPED")))))</f>
        <v/>
      </c>
      <c r="U771" s="40" t="n">
        <f aca="false">IF(T771="Backlog",1,IF(OR(T771="Pipeline",T771="Overdue"),N(INDEX(Settings!$C$27:$C$36,MATCH(L771,Settings!$A$27:$A$36,0))),0))</f>
        <v>0</v>
      </c>
      <c r="V771" s="38" t="n">
        <f aca="false">Q771*U771</f>
        <v>0</v>
      </c>
      <c r="W771" s="41" t="str">
        <f aca="false">IF($M771="","",IF(T771="Overdue",IF(Settings!$B$8="Yes",Settings!$B$7,""),IF(ISNUMBER(R771),DATE(YEAR(R771),MONTH(R771),1),"")))</f>
        <v/>
      </c>
      <c r="X771" s="38" t="n">
        <f aca="false">IF(AND(OR(T771="Backlog",T771="Pipeline",T771="Overdue"),ISNUMBER(W771)),IF(W771&lt;=Settings!$B$6,V771,0),0)</f>
        <v>0</v>
      </c>
      <c r="Y771" s="38" t="n">
        <f aca="false">IF(AND(OR(T771="Backlog",T771="Pipeline",T771="Overdue"),ISNUMBER(W771)),IF(W771&lt;=Settings!$B$6,Q771,0),0)</f>
        <v>0</v>
      </c>
      <c r="Z771" s="38" t="n">
        <f aca="false">IF(Y771=0,0,IF(T771="Backlog",Q771,Q771*Dashboard!$C$10))</f>
        <v>0</v>
      </c>
      <c r="AA771" s="37" t="n">
        <f aca="false">IF($N771="",0,IF(COUNTIF(Dashboard!$C$13:$C$22,$N771)&gt;0,1,0))</f>
        <v>0</v>
      </c>
      <c r="AB771" s="37" t="str">
        <f aca="false">IF($N771="","",IF(COUNTIF($N$8:$N771,$N771)=1,MAX($AB$7:$AB770)+1,""))</f>
        <v/>
      </c>
    </row>
    <row r="772" customFormat="false" ht="15" hidden="false" customHeight="false" outlineLevel="0" collapsed="false">
      <c r="L772" s="37" t="str">
        <f aca="false">IF(INDEX($A772:$J772,$L$6)&lt;&gt;"",TRIM(LEFT(INDEX($A772:$J772,$L$6),FIND("(",INDEX($A772:$J772,$L$6)&amp;"(")-1)),L771)</f>
        <v>Building Value Proposition</v>
      </c>
      <c r="M772" s="37" t="str">
        <f aca="false">IF(INDEX($A772:$J772,$M$6)="","",INDEX($A772:$J772,$M$6)&amp;"")</f>
        <v/>
      </c>
      <c r="N772" s="37" t="str">
        <f aca="false">IF($M772="","",TRIM(INDEX($A772:$J772,$N$6)&amp;""))</f>
        <v/>
      </c>
      <c r="O772" s="37" t="str">
        <f aca="false">IF($M772="","",TRIM(INDEX($A772:$J772,$O$6)&amp;""))</f>
        <v/>
      </c>
      <c r="P772" s="37" t="str">
        <f aca="false">IF($M772="","",IFERROR(IF(INDEX(Settings!$B$41:$B$50,MATCH(O772,Settings!$A$41:$A$50,0))&amp;""="","UNMAPPED",INDEX(Settings!$B$41:$B$50,MATCH(O772,Settings!$A$41:$A$50,0))&amp;""),"UNMAPPED"))</f>
        <v/>
      </c>
      <c r="Q772" s="38" t="n">
        <f aca="false">IF($M772="",0,N(INDEX($A772:$J772,$Q$6)))</f>
        <v>0</v>
      </c>
      <c r="R772" s="39" t="str">
        <f aca="false">IF($M772="","",INDEX($A772:$J772,$R$6))</f>
        <v/>
      </c>
      <c r="S772" s="37" t="str">
        <f aca="false">IF($M772="","",IFERROR(INDEX(Settings!$B$27:$B$36,MATCH(L772,Settings!$A$27:$A$36,0))&amp;"","UNMAPPED"))</f>
        <v/>
      </c>
      <c r="T772" s="37" t="str">
        <f aca="false">IF($M772="","",IF(NOT(ISNUMBER(R772)),"NO DATE",IF(S772="Won",IF(R772&gt;Settings!$B$5,"Backlog","Delivered"),IF(S772="Open",IF(R772&gt;Settings!$B$5,"Pipeline","Overdue"),IF(S772="Lost","Lost","UNMAPPED")))))</f>
        <v/>
      </c>
      <c r="U772" s="40" t="n">
        <f aca="false">IF(T772="Backlog",1,IF(OR(T772="Pipeline",T772="Overdue"),N(INDEX(Settings!$C$27:$C$36,MATCH(L772,Settings!$A$27:$A$36,0))),0))</f>
        <v>0</v>
      </c>
      <c r="V772" s="38" t="n">
        <f aca="false">Q772*U772</f>
        <v>0</v>
      </c>
      <c r="W772" s="41" t="str">
        <f aca="false">IF($M772="","",IF(T772="Overdue",IF(Settings!$B$8="Yes",Settings!$B$7,""),IF(ISNUMBER(R772),DATE(YEAR(R772),MONTH(R772),1),"")))</f>
        <v/>
      </c>
      <c r="X772" s="38" t="n">
        <f aca="false">IF(AND(OR(T772="Backlog",T772="Pipeline",T772="Overdue"),ISNUMBER(W772)),IF(W772&lt;=Settings!$B$6,V772,0),0)</f>
        <v>0</v>
      </c>
      <c r="Y772" s="38" t="n">
        <f aca="false">IF(AND(OR(T772="Backlog",T772="Pipeline",T772="Overdue"),ISNUMBER(W772)),IF(W772&lt;=Settings!$B$6,Q772,0),0)</f>
        <v>0</v>
      </c>
      <c r="Z772" s="38" t="n">
        <f aca="false">IF(Y772=0,0,IF(T772="Backlog",Q772,Q772*Dashboard!$C$10))</f>
        <v>0</v>
      </c>
      <c r="AA772" s="37" t="n">
        <f aca="false">IF($N772="",0,IF(COUNTIF(Dashboard!$C$13:$C$22,$N772)&gt;0,1,0))</f>
        <v>0</v>
      </c>
      <c r="AB772" s="37" t="str">
        <f aca="false">IF($N772="","",IF(COUNTIF($N$8:$N772,$N772)=1,MAX($AB$7:$AB771)+1,""))</f>
        <v/>
      </c>
    </row>
    <row r="773" customFormat="false" ht="15" hidden="false" customHeight="false" outlineLevel="0" collapsed="false">
      <c r="L773" s="37" t="str">
        <f aca="false">IF(INDEX($A773:$J773,$L$6)&lt;&gt;"",TRIM(LEFT(INDEX($A773:$J773,$L$6),FIND("(",INDEX($A773:$J773,$L$6)&amp;"(")-1)),L772)</f>
        <v>Building Value Proposition</v>
      </c>
      <c r="M773" s="37" t="str">
        <f aca="false">IF(INDEX($A773:$J773,$M$6)="","",INDEX($A773:$J773,$M$6)&amp;"")</f>
        <v/>
      </c>
      <c r="N773" s="37" t="str">
        <f aca="false">IF($M773="","",TRIM(INDEX($A773:$J773,$N$6)&amp;""))</f>
        <v/>
      </c>
      <c r="O773" s="37" t="str">
        <f aca="false">IF($M773="","",TRIM(INDEX($A773:$J773,$O$6)&amp;""))</f>
        <v/>
      </c>
      <c r="P773" s="37" t="str">
        <f aca="false">IF($M773="","",IFERROR(IF(INDEX(Settings!$B$41:$B$50,MATCH(O773,Settings!$A$41:$A$50,0))&amp;""="","UNMAPPED",INDEX(Settings!$B$41:$B$50,MATCH(O773,Settings!$A$41:$A$50,0))&amp;""),"UNMAPPED"))</f>
        <v/>
      </c>
      <c r="Q773" s="38" t="n">
        <f aca="false">IF($M773="",0,N(INDEX($A773:$J773,$Q$6)))</f>
        <v>0</v>
      </c>
      <c r="R773" s="39" t="str">
        <f aca="false">IF($M773="","",INDEX($A773:$J773,$R$6))</f>
        <v/>
      </c>
      <c r="S773" s="37" t="str">
        <f aca="false">IF($M773="","",IFERROR(INDEX(Settings!$B$27:$B$36,MATCH(L773,Settings!$A$27:$A$36,0))&amp;"","UNMAPPED"))</f>
        <v/>
      </c>
      <c r="T773" s="37" t="str">
        <f aca="false">IF($M773="","",IF(NOT(ISNUMBER(R773)),"NO DATE",IF(S773="Won",IF(R773&gt;Settings!$B$5,"Backlog","Delivered"),IF(S773="Open",IF(R773&gt;Settings!$B$5,"Pipeline","Overdue"),IF(S773="Lost","Lost","UNMAPPED")))))</f>
        <v/>
      </c>
      <c r="U773" s="40" t="n">
        <f aca="false">IF(T773="Backlog",1,IF(OR(T773="Pipeline",T773="Overdue"),N(INDEX(Settings!$C$27:$C$36,MATCH(L773,Settings!$A$27:$A$36,0))),0))</f>
        <v>0</v>
      </c>
      <c r="V773" s="38" t="n">
        <f aca="false">Q773*U773</f>
        <v>0</v>
      </c>
      <c r="W773" s="41" t="str">
        <f aca="false">IF($M773="","",IF(T773="Overdue",IF(Settings!$B$8="Yes",Settings!$B$7,""),IF(ISNUMBER(R773),DATE(YEAR(R773),MONTH(R773),1),"")))</f>
        <v/>
      </c>
      <c r="X773" s="38" t="n">
        <f aca="false">IF(AND(OR(T773="Backlog",T773="Pipeline",T773="Overdue"),ISNUMBER(W773)),IF(W773&lt;=Settings!$B$6,V773,0),0)</f>
        <v>0</v>
      </c>
      <c r="Y773" s="38" t="n">
        <f aca="false">IF(AND(OR(T773="Backlog",T773="Pipeline",T773="Overdue"),ISNUMBER(W773)),IF(W773&lt;=Settings!$B$6,Q773,0),0)</f>
        <v>0</v>
      </c>
      <c r="Z773" s="38" t="n">
        <f aca="false">IF(Y773=0,0,IF(T773="Backlog",Q773,Q773*Dashboard!$C$10))</f>
        <v>0</v>
      </c>
      <c r="AA773" s="37" t="n">
        <f aca="false">IF($N773="",0,IF(COUNTIF(Dashboard!$C$13:$C$22,$N773)&gt;0,1,0))</f>
        <v>0</v>
      </c>
      <c r="AB773" s="37" t="str">
        <f aca="false">IF($N773="","",IF(COUNTIF($N$8:$N773,$N773)=1,MAX($AB$7:$AB772)+1,""))</f>
        <v/>
      </c>
    </row>
    <row r="774" customFormat="false" ht="15" hidden="false" customHeight="false" outlineLevel="0" collapsed="false">
      <c r="L774" s="37" t="str">
        <f aca="false">IF(INDEX($A774:$J774,$L$6)&lt;&gt;"",TRIM(LEFT(INDEX($A774:$J774,$L$6),FIND("(",INDEX($A774:$J774,$L$6)&amp;"(")-1)),L773)</f>
        <v>Building Value Proposition</v>
      </c>
      <c r="M774" s="37" t="str">
        <f aca="false">IF(INDEX($A774:$J774,$M$6)="","",INDEX($A774:$J774,$M$6)&amp;"")</f>
        <v/>
      </c>
      <c r="N774" s="37" t="str">
        <f aca="false">IF($M774="","",TRIM(INDEX($A774:$J774,$N$6)&amp;""))</f>
        <v/>
      </c>
      <c r="O774" s="37" t="str">
        <f aca="false">IF($M774="","",TRIM(INDEX($A774:$J774,$O$6)&amp;""))</f>
        <v/>
      </c>
      <c r="P774" s="37" t="str">
        <f aca="false">IF($M774="","",IFERROR(IF(INDEX(Settings!$B$41:$B$50,MATCH(O774,Settings!$A$41:$A$50,0))&amp;""="","UNMAPPED",INDEX(Settings!$B$41:$B$50,MATCH(O774,Settings!$A$41:$A$50,0))&amp;""),"UNMAPPED"))</f>
        <v/>
      </c>
      <c r="Q774" s="38" t="n">
        <f aca="false">IF($M774="",0,N(INDEX($A774:$J774,$Q$6)))</f>
        <v>0</v>
      </c>
      <c r="R774" s="39" t="str">
        <f aca="false">IF($M774="","",INDEX($A774:$J774,$R$6))</f>
        <v/>
      </c>
      <c r="S774" s="37" t="str">
        <f aca="false">IF($M774="","",IFERROR(INDEX(Settings!$B$27:$B$36,MATCH(L774,Settings!$A$27:$A$36,0))&amp;"","UNMAPPED"))</f>
        <v/>
      </c>
      <c r="T774" s="37" t="str">
        <f aca="false">IF($M774="","",IF(NOT(ISNUMBER(R774)),"NO DATE",IF(S774="Won",IF(R774&gt;Settings!$B$5,"Backlog","Delivered"),IF(S774="Open",IF(R774&gt;Settings!$B$5,"Pipeline","Overdue"),IF(S774="Lost","Lost","UNMAPPED")))))</f>
        <v/>
      </c>
      <c r="U774" s="40" t="n">
        <f aca="false">IF(T774="Backlog",1,IF(OR(T774="Pipeline",T774="Overdue"),N(INDEX(Settings!$C$27:$C$36,MATCH(L774,Settings!$A$27:$A$36,0))),0))</f>
        <v>0</v>
      </c>
      <c r="V774" s="38" t="n">
        <f aca="false">Q774*U774</f>
        <v>0</v>
      </c>
      <c r="W774" s="41" t="str">
        <f aca="false">IF($M774="","",IF(T774="Overdue",IF(Settings!$B$8="Yes",Settings!$B$7,""),IF(ISNUMBER(R774),DATE(YEAR(R774),MONTH(R774),1),"")))</f>
        <v/>
      </c>
      <c r="X774" s="38" t="n">
        <f aca="false">IF(AND(OR(T774="Backlog",T774="Pipeline",T774="Overdue"),ISNUMBER(W774)),IF(W774&lt;=Settings!$B$6,V774,0),0)</f>
        <v>0</v>
      </c>
      <c r="Y774" s="38" t="n">
        <f aca="false">IF(AND(OR(T774="Backlog",T774="Pipeline",T774="Overdue"),ISNUMBER(W774)),IF(W774&lt;=Settings!$B$6,Q774,0),0)</f>
        <v>0</v>
      </c>
      <c r="Z774" s="38" t="n">
        <f aca="false">IF(Y774=0,0,IF(T774="Backlog",Q774,Q774*Dashboard!$C$10))</f>
        <v>0</v>
      </c>
      <c r="AA774" s="37" t="n">
        <f aca="false">IF($N774="",0,IF(COUNTIF(Dashboard!$C$13:$C$22,$N774)&gt;0,1,0))</f>
        <v>0</v>
      </c>
      <c r="AB774" s="37" t="str">
        <f aca="false">IF($N774="","",IF(COUNTIF($N$8:$N774,$N774)=1,MAX($AB$7:$AB773)+1,""))</f>
        <v/>
      </c>
    </row>
    <row r="775" customFormat="false" ht="15" hidden="false" customHeight="false" outlineLevel="0" collapsed="false">
      <c r="L775" s="37" t="str">
        <f aca="false">IF(INDEX($A775:$J775,$L$6)&lt;&gt;"",TRIM(LEFT(INDEX($A775:$J775,$L$6),FIND("(",INDEX($A775:$J775,$L$6)&amp;"(")-1)),L774)</f>
        <v>Building Value Proposition</v>
      </c>
      <c r="M775" s="37" t="str">
        <f aca="false">IF(INDEX($A775:$J775,$M$6)="","",INDEX($A775:$J775,$M$6)&amp;"")</f>
        <v/>
      </c>
      <c r="N775" s="37" t="str">
        <f aca="false">IF($M775="","",TRIM(INDEX($A775:$J775,$N$6)&amp;""))</f>
        <v/>
      </c>
      <c r="O775" s="37" t="str">
        <f aca="false">IF($M775="","",TRIM(INDEX($A775:$J775,$O$6)&amp;""))</f>
        <v/>
      </c>
      <c r="P775" s="37" t="str">
        <f aca="false">IF($M775="","",IFERROR(IF(INDEX(Settings!$B$41:$B$50,MATCH(O775,Settings!$A$41:$A$50,0))&amp;""="","UNMAPPED",INDEX(Settings!$B$41:$B$50,MATCH(O775,Settings!$A$41:$A$50,0))&amp;""),"UNMAPPED"))</f>
        <v/>
      </c>
      <c r="Q775" s="38" t="n">
        <f aca="false">IF($M775="",0,N(INDEX($A775:$J775,$Q$6)))</f>
        <v>0</v>
      </c>
      <c r="R775" s="39" t="str">
        <f aca="false">IF($M775="","",INDEX($A775:$J775,$R$6))</f>
        <v/>
      </c>
      <c r="S775" s="37" t="str">
        <f aca="false">IF($M775="","",IFERROR(INDEX(Settings!$B$27:$B$36,MATCH(L775,Settings!$A$27:$A$36,0))&amp;"","UNMAPPED"))</f>
        <v/>
      </c>
      <c r="T775" s="37" t="str">
        <f aca="false">IF($M775="","",IF(NOT(ISNUMBER(R775)),"NO DATE",IF(S775="Won",IF(R775&gt;Settings!$B$5,"Backlog","Delivered"),IF(S775="Open",IF(R775&gt;Settings!$B$5,"Pipeline","Overdue"),IF(S775="Lost","Lost","UNMAPPED")))))</f>
        <v/>
      </c>
      <c r="U775" s="40" t="n">
        <f aca="false">IF(T775="Backlog",1,IF(OR(T775="Pipeline",T775="Overdue"),N(INDEX(Settings!$C$27:$C$36,MATCH(L775,Settings!$A$27:$A$36,0))),0))</f>
        <v>0</v>
      </c>
      <c r="V775" s="38" t="n">
        <f aca="false">Q775*U775</f>
        <v>0</v>
      </c>
      <c r="W775" s="41" t="str">
        <f aca="false">IF($M775="","",IF(T775="Overdue",IF(Settings!$B$8="Yes",Settings!$B$7,""),IF(ISNUMBER(R775),DATE(YEAR(R775),MONTH(R775),1),"")))</f>
        <v/>
      </c>
      <c r="X775" s="38" t="n">
        <f aca="false">IF(AND(OR(T775="Backlog",T775="Pipeline",T775="Overdue"),ISNUMBER(W775)),IF(W775&lt;=Settings!$B$6,V775,0),0)</f>
        <v>0</v>
      </c>
      <c r="Y775" s="38" t="n">
        <f aca="false">IF(AND(OR(T775="Backlog",T775="Pipeline",T775="Overdue"),ISNUMBER(W775)),IF(W775&lt;=Settings!$B$6,Q775,0),0)</f>
        <v>0</v>
      </c>
      <c r="Z775" s="38" t="n">
        <f aca="false">IF(Y775=0,0,IF(T775="Backlog",Q775,Q775*Dashboard!$C$10))</f>
        <v>0</v>
      </c>
      <c r="AA775" s="37" t="n">
        <f aca="false">IF($N775="",0,IF(COUNTIF(Dashboard!$C$13:$C$22,$N775)&gt;0,1,0))</f>
        <v>0</v>
      </c>
      <c r="AB775" s="37" t="str">
        <f aca="false">IF($N775="","",IF(COUNTIF($N$8:$N775,$N775)=1,MAX($AB$7:$AB774)+1,""))</f>
        <v/>
      </c>
    </row>
    <row r="776" customFormat="false" ht="15" hidden="false" customHeight="false" outlineLevel="0" collapsed="false">
      <c r="L776" s="37" t="str">
        <f aca="false">IF(INDEX($A776:$J776,$L$6)&lt;&gt;"",TRIM(LEFT(INDEX($A776:$J776,$L$6),FIND("(",INDEX($A776:$J776,$L$6)&amp;"(")-1)),L775)</f>
        <v>Building Value Proposition</v>
      </c>
      <c r="M776" s="37" t="str">
        <f aca="false">IF(INDEX($A776:$J776,$M$6)="","",INDEX($A776:$J776,$M$6)&amp;"")</f>
        <v/>
      </c>
      <c r="N776" s="37" t="str">
        <f aca="false">IF($M776="","",TRIM(INDEX($A776:$J776,$N$6)&amp;""))</f>
        <v/>
      </c>
      <c r="O776" s="37" t="str">
        <f aca="false">IF($M776="","",TRIM(INDEX($A776:$J776,$O$6)&amp;""))</f>
        <v/>
      </c>
      <c r="P776" s="37" t="str">
        <f aca="false">IF($M776="","",IFERROR(IF(INDEX(Settings!$B$41:$B$50,MATCH(O776,Settings!$A$41:$A$50,0))&amp;""="","UNMAPPED",INDEX(Settings!$B$41:$B$50,MATCH(O776,Settings!$A$41:$A$50,0))&amp;""),"UNMAPPED"))</f>
        <v/>
      </c>
      <c r="Q776" s="38" t="n">
        <f aca="false">IF($M776="",0,N(INDEX($A776:$J776,$Q$6)))</f>
        <v>0</v>
      </c>
      <c r="R776" s="39" t="str">
        <f aca="false">IF($M776="","",INDEX($A776:$J776,$R$6))</f>
        <v/>
      </c>
      <c r="S776" s="37" t="str">
        <f aca="false">IF($M776="","",IFERROR(INDEX(Settings!$B$27:$B$36,MATCH(L776,Settings!$A$27:$A$36,0))&amp;"","UNMAPPED"))</f>
        <v/>
      </c>
      <c r="T776" s="37" t="str">
        <f aca="false">IF($M776="","",IF(NOT(ISNUMBER(R776)),"NO DATE",IF(S776="Won",IF(R776&gt;Settings!$B$5,"Backlog","Delivered"),IF(S776="Open",IF(R776&gt;Settings!$B$5,"Pipeline","Overdue"),IF(S776="Lost","Lost","UNMAPPED")))))</f>
        <v/>
      </c>
      <c r="U776" s="40" t="n">
        <f aca="false">IF(T776="Backlog",1,IF(OR(T776="Pipeline",T776="Overdue"),N(INDEX(Settings!$C$27:$C$36,MATCH(L776,Settings!$A$27:$A$36,0))),0))</f>
        <v>0</v>
      </c>
      <c r="V776" s="38" t="n">
        <f aca="false">Q776*U776</f>
        <v>0</v>
      </c>
      <c r="W776" s="41" t="str">
        <f aca="false">IF($M776="","",IF(T776="Overdue",IF(Settings!$B$8="Yes",Settings!$B$7,""),IF(ISNUMBER(R776),DATE(YEAR(R776),MONTH(R776),1),"")))</f>
        <v/>
      </c>
      <c r="X776" s="38" t="n">
        <f aca="false">IF(AND(OR(T776="Backlog",T776="Pipeline",T776="Overdue"),ISNUMBER(W776)),IF(W776&lt;=Settings!$B$6,V776,0),0)</f>
        <v>0</v>
      </c>
      <c r="Y776" s="38" t="n">
        <f aca="false">IF(AND(OR(T776="Backlog",T776="Pipeline",T776="Overdue"),ISNUMBER(W776)),IF(W776&lt;=Settings!$B$6,Q776,0),0)</f>
        <v>0</v>
      </c>
      <c r="Z776" s="38" t="n">
        <f aca="false">IF(Y776=0,0,IF(T776="Backlog",Q776,Q776*Dashboard!$C$10))</f>
        <v>0</v>
      </c>
      <c r="AA776" s="37" t="n">
        <f aca="false">IF($N776="",0,IF(COUNTIF(Dashboard!$C$13:$C$22,$N776)&gt;0,1,0))</f>
        <v>0</v>
      </c>
      <c r="AB776" s="37" t="str">
        <f aca="false">IF($N776="","",IF(COUNTIF($N$8:$N776,$N776)=1,MAX($AB$7:$AB775)+1,""))</f>
        <v/>
      </c>
    </row>
    <row r="777" customFormat="false" ht="15" hidden="false" customHeight="false" outlineLevel="0" collapsed="false">
      <c r="L777" s="37" t="str">
        <f aca="false">IF(INDEX($A777:$J777,$L$6)&lt;&gt;"",TRIM(LEFT(INDEX($A777:$J777,$L$6),FIND("(",INDEX($A777:$J777,$L$6)&amp;"(")-1)),L776)</f>
        <v>Building Value Proposition</v>
      </c>
      <c r="M777" s="37" t="str">
        <f aca="false">IF(INDEX($A777:$J777,$M$6)="","",INDEX($A777:$J777,$M$6)&amp;"")</f>
        <v/>
      </c>
      <c r="N777" s="37" t="str">
        <f aca="false">IF($M777="","",TRIM(INDEX($A777:$J777,$N$6)&amp;""))</f>
        <v/>
      </c>
      <c r="O777" s="37" t="str">
        <f aca="false">IF($M777="","",TRIM(INDEX($A777:$J777,$O$6)&amp;""))</f>
        <v/>
      </c>
      <c r="P777" s="37" t="str">
        <f aca="false">IF($M777="","",IFERROR(IF(INDEX(Settings!$B$41:$B$50,MATCH(O777,Settings!$A$41:$A$50,0))&amp;""="","UNMAPPED",INDEX(Settings!$B$41:$B$50,MATCH(O777,Settings!$A$41:$A$50,0))&amp;""),"UNMAPPED"))</f>
        <v/>
      </c>
      <c r="Q777" s="38" t="n">
        <f aca="false">IF($M777="",0,N(INDEX($A777:$J777,$Q$6)))</f>
        <v>0</v>
      </c>
      <c r="R777" s="39" t="str">
        <f aca="false">IF($M777="","",INDEX($A777:$J777,$R$6))</f>
        <v/>
      </c>
      <c r="S777" s="37" t="str">
        <f aca="false">IF($M777="","",IFERROR(INDEX(Settings!$B$27:$B$36,MATCH(L777,Settings!$A$27:$A$36,0))&amp;"","UNMAPPED"))</f>
        <v/>
      </c>
      <c r="T777" s="37" t="str">
        <f aca="false">IF($M777="","",IF(NOT(ISNUMBER(R777)),"NO DATE",IF(S777="Won",IF(R777&gt;Settings!$B$5,"Backlog","Delivered"),IF(S777="Open",IF(R777&gt;Settings!$B$5,"Pipeline","Overdue"),IF(S777="Lost","Lost","UNMAPPED")))))</f>
        <v/>
      </c>
      <c r="U777" s="40" t="n">
        <f aca="false">IF(T777="Backlog",1,IF(OR(T777="Pipeline",T777="Overdue"),N(INDEX(Settings!$C$27:$C$36,MATCH(L777,Settings!$A$27:$A$36,0))),0))</f>
        <v>0</v>
      </c>
      <c r="V777" s="38" t="n">
        <f aca="false">Q777*U777</f>
        <v>0</v>
      </c>
      <c r="W777" s="41" t="str">
        <f aca="false">IF($M777="","",IF(T777="Overdue",IF(Settings!$B$8="Yes",Settings!$B$7,""),IF(ISNUMBER(R777),DATE(YEAR(R777),MONTH(R777),1),"")))</f>
        <v/>
      </c>
      <c r="X777" s="38" t="n">
        <f aca="false">IF(AND(OR(T777="Backlog",T777="Pipeline",T777="Overdue"),ISNUMBER(W777)),IF(W777&lt;=Settings!$B$6,V777,0),0)</f>
        <v>0</v>
      </c>
      <c r="Y777" s="38" t="n">
        <f aca="false">IF(AND(OR(T777="Backlog",T777="Pipeline",T777="Overdue"),ISNUMBER(W777)),IF(W777&lt;=Settings!$B$6,Q777,0),0)</f>
        <v>0</v>
      </c>
      <c r="Z777" s="38" t="n">
        <f aca="false">IF(Y777=0,0,IF(T777="Backlog",Q777,Q777*Dashboard!$C$10))</f>
        <v>0</v>
      </c>
      <c r="AA777" s="37" t="n">
        <f aca="false">IF($N777="",0,IF(COUNTIF(Dashboard!$C$13:$C$22,$N777)&gt;0,1,0))</f>
        <v>0</v>
      </c>
      <c r="AB777" s="37" t="str">
        <f aca="false">IF($N777="","",IF(COUNTIF($N$8:$N777,$N777)=1,MAX($AB$7:$AB776)+1,""))</f>
        <v/>
      </c>
    </row>
    <row r="778" customFormat="false" ht="15" hidden="false" customHeight="false" outlineLevel="0" collapsed="false">
      <c r="L778" s="37" t="str">
        <f aca="false">IF(INDEX($A778:$J778,$L$6)&lt;&gt;"",TRIM(LEFT(INDEX($A778:$J778,$L$6),FIND("(",INDEX($A778:$J778,$L$6)&amp;"(")-1)),L777)</f>
        <v>Building Value Proposition</v>
      </c>
      <c r="M778" s="37" t="str">
        <f aca="false">IF(INDEX($A778:$J778,$M$6)="","",INDEX($A778:$J778,$M$6)&amp;"")</f>
        <v/>
      </c>
      <c r="N778" s="37" t="str">
        <f aca="false">IF($M778="","",TRIM(INDEX($A778:$J778,$N$6)&amp;""))</f>
        <v/>
      </c>
      <c r="O778" s="37" t="str">
        <f aca="false">IF($M778="","",TRIM(INDEX($A778:$J778,$O$6)&amp;""))</f>
        <v/>
      </c>
      <c r="P778" s="37" t="str">
        <f aca="false">IF($M778="","",IFERROR(IF(INDEX(Settings!$B$41:$B$50,MATCH(O778,Settings!$A$41:$A$50,0))&amp;""="","UNMAPPED",INDEX(Settings!$B$41:$B$50,MATCH(O778,Settings!$A$41:$A$50,0))&amp;""),"UNMAPPED"))</f>
        <v/>
      </c>
      <c r="Q778" s="38" t="n">
        <f aca="false">IF($M778="",0,N(INDEX($A778:$J778,$Q$6)))</f>
        <v>0</v>
      </c>
      <c r="R778" s="39" t="str">
        <f aca="false">IF($M778="","",INDEX($A778:$J778,$R$6))</f>
        <v/>
      </c>
      <c r="S778" s="37" t="str">
        <f aca="false">IF($M778="","",IFERROR(INDEX(Settings!$B$27:$B$36,MATCH(L778,Settings!$A$27:$A$36,0))&amp;"","UNMAPPED"))</f>
        <v/>
      </c>
      <c r="T778" s="37" t="str">
        <f aca="false">IF($M778="","",IF(NOT(ISNUMBER(R778)),"NO DATE",IF(S778="Won",IF(R778&gt;Settings!$B$5,"Backlog","Delivered"),IF(S778="Open",IF(R778&gt;Settings!$B$5,"Pipeline","Overdue"),IF(S778="Lost","Lost","UNMAPPED")))))</f>
        <v/>
      </c>
      <c r="U778" s="40" t="n">
        <f aca="false">IF(T778="Backlog",1,IF(OR(T778="Pipeline",T778="Overdue"),N(INDEX(Settings!$C$27:$C$36,MATCH(L778,Settings!$A$27:$A$36,0))),0))</f>
        <v>0</v>
      </c>
      <c r="V778" s="38" t="n">
        <f aca="false">Q778*U778</f>
        <v>0</v>
      </c>
      <c r="W778" s="41" t="str">
        <f aca="false">IF($M778="","",IF(T778="Overdue",IF(Settings!$B$8="Yes",Settings!$B$7,""),IF(ISNUMBER(R778),DATE(YEAR(R778),MONTH(R778),1),"")))</f>
        <v/>
      </c>
      <c r="X778" s="38" t="n">
        <f aca="false">IF(AND(OR(T778="Backlog",T778="Pipeline",T778="Overdue"),ISNUMBER(W778)),IF(W778&lt;=Settings!$B$6,V778,0),0)</f>
        <v>0</v>
      </c>
      <c r="Y778" s="38" t="n">
        <f aca="false">IF(AND(OR(T778="Backlog",T778="Pipeline",T778="Overdue"),ISNUMBER(W778)),IF(W778&lt;=Settings!$B$6,Q778,0),0)</f>
        <v>0</v>
      </c>
      <c r="Z778" s="38" t="n">
        <f aca="false">IF(Y778=0,0,IF(T778="Backlog",Q778,Q778*Dashboard!$C$10))</f>
        <v>0</v>
      </c>
      <c r="AA778" s="37" t="n">
        <f aca="false">IF($N778="",0,IF(COUNTIF(Dashboard!$C$13:$C$22,$N778)&gt;0,1,0))</f>
        <v>0</v>
      </c>
      <c r="AB778" s="37" t="str">
        <f aca="false">IF($N778="","",IF(COUNTIF($N$8:$N778,$N778)=1,MAX($AB$7:$AB777)+1,""))</f>
        <v/>
      </c>
    </row>
    <row r="779" customFormat="false" ht="15" hidden="false" customHeight="false" outlineLevel="0" collapsed="false">
      <c r="L779" s="37" t="str">
        <f aca="false">IF(INDEX($A779:$J779,$L$6)&lt;&gt;"",TRIM(LEFT(INDEX($A779:$J779,$L$6),FIND("(",INDEX($A779:$J779,$L$6)&amp;"(")-1)),L778)</f>
        <v>Building Value Proposition</v>
      </c>
      <c r="M779" s="37" t="str">
        <f aca="false">IF(INDEX($A779:$J779,$M$6)="","",INDEX($A779:$J779,$M$6)&amp;"")</f>
        <v/>
      </c>
      <c r="N779" s="37" t="str">
        <f aca="false">IF($M779="","",TRIM(INDEX($A779:$J779,$N$6)&amp;""))</f>
        <v/>
      </c>
      <c r="O779" s="37" t="str">
        <f aca="false">IF($M779="","",TRIM(INDEX($A779:$J779,$O$6)&amp;""))</f>
        <v/>
      </c>
      <c r="P779" s="37" t="str">
        <f aca="false">IF($M779="","",IFERROR(IF(INDEX(Settings!$B$41:$B$50,MATCH(O779,Settings!$A$41:$A$50,0))&amp;""="","UNMAPPED",INDEX(Settings!$B$41:$B$50,MATCH(O779,Settings!$A$41:$A$50,0))&amp;""),"UNMAPPED"))</f>
        <v/>
      </c>
      <c r="Q779" s="38" t="n">
        <f aca="false">IF($M779="",0,N(INDEX($A779:$J779,$Q$6)))</f>
        <v>0</v>
      </c>
      <c r="R779" s="39" t="str">
        <f aca="false">IF($M779="","",INDEX($A779:$J779,$R$6))</f>
        <v/>
      </c>
      <c r="S779" s="37" t="str">
        <f aca="false">IF($M779="","",IFERROR(INDEX(Settings!$B$27:$B$36,MATCH(L779,Settings!$A$27:$A$36,0))&amp;"","UNMAPPED"))</f>
        <v/>
      </c>
      <c r="T779" s="37" t="str">
        <f aca="false">IF($M779="","",IF(NOT(ISNUMBER(R779)),"NO DATE",IF(S779="Won",IF(R779&gt;Settings!$B$5,"Backlog","Delivered"),IF(S779="Open",IF(R779&gt;Settings!$B$5,"Pipeline","Overdue"),IF(S779="Lost","Lost","UNMAPPED")))))</f>
        <v/>
      </c>
      <c r="U779" s="40" t="n">
        <f aca="false">IF(T779="Backlog",1,IF(OR(T779="Pipeline",T779="Overdue"),N(INDEX(Settings!$C$27:$C$36,MATCH(L779,Settings!$A$27:$A$36,0))),0))</f>
        <v>0</v>
      </c>
      <c r="V779" s="38" t="n">
        <f aca="false">Q779*U779</f>
        <v>0</v>
      </c>
      <c r="W779" s="41" t="str">
        <f aca="false">IF($M779="","",IF(T779="Overdue",IF(Settings!$B$8="Yes",Settings!$B$7,""),IF(ISNUMBER(R779),DATE(YEAR(R779),MONTH(R779),1),"")))</f>
        <v/>
      </c>
      <c r="X779" s="38" t="n">
        <f aca="false">IF(AND(OR(T779="Backlog",T779="Pipeline",T779="Overdue"),ISNUMBER(W779)),IF(W779&lt;=Settings!$B$6,V779,0),0)</f>
        <v>0</v>
      </c>
      <c r="Y779" s="38" t="n">
        <f aca="false">IF(AND(OR(T779="Backlog",T779="Pipeline",T779="Overdue"),ISNUMBER(W779)),IF(W779&lt;=Settings!$B$6,Q779,0),0)</f>
        <v>0</v>
      </c>
      <c r="Z779" s="38" t="n">
        <f aca="false">IF(Y779=0,0,IF(T779="Backlog",Q779,Q779*Dashboard!$C$10))</f>
        <v>0</v>
      </c>
      <c r="AA779" s="37" t="n">
        <f aca="false">IF($N779="",0,IF(COUNTIF(Dashboard!$C$13:$C$22,$N779)&gt;0,1,0))</f>
        <v>0</v>
      </c>
      <c r="AB779" s="37" t="str">
        <f aca="false">IF($N779="","",IF(COUNTIF($N$8:$N779,$N779)=1,MAX($AB$7:$AB778)+1,""))</f>
        <v/>
      </c>
    </row>
    <row r="780" customFormat="false" ht="15" hidden="false" customHeight="false" outlineLevel="0" collapsed="false">
      <c r="L780" s="37" t="str">
        <f aca="false">IF(INDEX($A780:$J780,$L$6)&lt;&gt;"",TRIM(LEFT(INDEX($A780:$J780,$L$6),FIND("(",INDEX($A780:$J780,$L$6)&amp;"(")-1)),L779)</f>
        <v>Building Value Proposition</v>
      </c>
      <c r="M780" s="37" t="str">
        <f aca="false">IF(INDEX($A780:$J780,$M$6)="","",INDEX($A780:$J780,$M$6)&amp;"")</f>
        <v/>
      </c>
      <c r="N780" s="37" t="str">
        <f aca="false">IF($M780="","",TRIM(INDEX($A780:$J780,$N$6)&amp;""))</f>
        <v/>
      </c>
      <c r="O780" s="37" t="str">
        <f aca="false">IF($M780="","",TRIM(INDEX($A780:$J780,$O$6)&amp;""))</f>
        <v/>
      </c>
      <c r="P780" s="37" t="str">
        <f aca="false">IF($M780="","",IFERROR(IF(INDEX(Settings!$B$41:$B$50,MATCH(O780,Settings!$A$41:$A$50,0))&amp;""="","UNMAPPED",INDEX(Settings!$B$41:$B$50,MATCH(O780,Settings!$A$41:$A$50,0))&amp;""),"UNMAPPED"))</f>
        <v/>
      </c>
      <c r="Q780" s="38" t="n">
        <f aca="false">IF($M780="",0,N(INDEX($A780:$J780,$Q$6)))</f>
        <v>0</v>
      </c>
      <c r="R780" s="39" t="str">
        <f aca="false">IF($M780="","",INDEX($A780:$J780,$R$6))</f>
        <v/>
      </c>
      <c r="S780" s="37" t="str">
        <f aca="false">IF($M780="","",IFERROR(INDEX(Settings!$B$27:$B$36,MATCH(L780,Settings!$A$27:$A$36,0))&amp;"","UNMAPPED"))</f>
        <v/>
      </c>
      <c r="T780" s="37" t="str">
        <f aca="false">IF($M780="","",IF(NOT(ISNUMBER(R780)),"NO DATE",IF(S780="Won",IF(R780&gt;Settings!$B$5,"Backlog","Delivered"),IF(S780="Open",IF(R780&gt;Settings!$B$5,"Pipeline","Overdue"),IF(S780="Lost","Lost","UNMAPPED")))))</f>
        <v/>
      </c>
      <c r="U780" s="40" t="n">
        <f aca="false">IF(T780="Backlog",1,IF(OR(T780="Pipeline",T780="Overdue"),N(INDEX(Settings!$C$27:$C$36,MATCH(L780,Settings!$A$27:$A$36,0))),0))</f>
        <v>0</v>
      </c>
      <c r="V780" s="38" t="n">
        <f aca="false">Q780*U780</f>
        <v>0</v>
      </c>
      <c r="W780" s="41" t="str">
        <f aca="false">IF($M780="","",IF(T780="Overdue",IF(Settings!$B$8="Yes",Settings!$B$7,""),IF(ISNUMBER(R780),DATE(YEAR(R780),MONTH(R780),1),"")))</f>
        <v/>
      </c>
      <c r="X780" s="38" t="n">
        <f aca="false">IF(AND(OR(T780="Backlog",T780="Pipeline",T780="Overdue"),ISNUMBER(W780)),IF(W780&lt;=Settings!$B$6,V780,0),0)</f>
        <v>0</v>
      </c>
      <c r="Y780" s="38" t="n">
        <f aca="false">IF(AND(OR(T780="Backlog",T780="Pipeline",T780="Overdue"),ISNUMBER(W780)),IF(W780&lt;=Settings!$B$6,Q780,0),0)</f>
        <v>0</v>
      </c>
      <c r="Z780" s="38" t="n">
        <f aca="false">IF(Y780=0,0,IF(T780="Backlog",Q780,Q780*Dashboard!$C$10))</f>
        <v>0</v>
      </c>
      <c r="AA780" s="37" t="n">
        <f aca="false">IF($N780="",0,IF(COUNTIF(Dashboard!$C$13:$C$22,$N780)&gt;0,1,0))</f>
        <v>0</v>
      </c>
      <c r="AB780" s="37" t="str">
        <f aca="false">IF($N780="","",IF(COUNTIF($N$8:$N780,$N780)=1,MAX($AB$7:$AB779)+1,""))</f>
        <v/>
      </c>
    </row>
    <row r="781" customFormat="false" ht="15" hidden="false" customHeight="false" outlineLevel="0" collapsed="false">
      <c r="L781" s="37" t="str">
        <f aca="false">IF(INDEX($A781:$J781,$L$6)&lt;&gt;"",TRIM(LEFT(INDEX($A781:$J781,$L$6),FIND("(",INDEX($A781:$J781,$L$6)&amp;"(")-1)),L780)</f>
        <v>Building Value Proposition</v>
      </c>
      <c r="M781" s="37" t="str">
        <f aca="false">IF(INDEX($A781:$J781,$M$6)="","",INDEX($A781:$J781,$M$6)&amp;"")</f>
        <v/>
      </c>
      <c r="N781" s="37" t="str">
        <f aca="false">IF($M781="","",TRIM(INDEX($A781:$J781,$N$6)&amp;""))</f>
        <v/>
      </c>
      <c r="O781" s="37" t="str">
        <f aca="false">IF($M781="","",TRIM(INDEX($A781:$J781,$O$6)&amp;""))</f>
        <v/>
      </c>
      <c r="P781" s="37" t="str">
        <f aca="false">IF($M781="","",IFERROR(IF(INDEX(Settings!$B$41:$B$50,MATCH(O781,Settings!$A$41:$A$50,0))&amp;""="","UNMAPPED",INDEX(Settings!$B$41:$B$50,MATCH(O781,Settings!$A$41:$A$50,0))&amp;""),"UNMAPPED"))</f>
        <v/>
      </c>
      <c r="Q781" s="38" t="n">
        <f aca="false">IF($M781="",0,N(INDEX($A781:$J781,$Q$6)))</f>
        <v>0</v>
      </c>
      <c r="R781" s="39" t="str">
        <f aca="false">IF($M781="","",INDEX($A781:$J781,$R$6))</f>
        <v/>
      </c>
      <c r="S781" s="37" t="str">
        <f aca="false">IF($M781="","",IFERROR(INDEX(Settings!$B$27:$B$36,MATCH(L781,Settings!$A$27:$A$36,0))&amp;"","UNMAPPED"))</f>
        <v/>
      </c>
      <c r="T781" s="37" t="str">
        <f aca="false">IF($M781="","",IF(NOT(ISNUMBER(R781)),"NO DATE",IF(S781="Won",IF(R781&gt;Settings!$B$5,"Backlog","Delivered"),IF(S781="Open",IF(R781&gt;Settings!$B$5,"Pipeline","Overdue"),IF(S781="Lost","Lost","UNMAPPED")))))</f>
        <v/>
      </c>
      <c r="U781" s="40" t="n">
        <f aca="false">IF(T781="Backlog",1,IF(OR(T781="Pipeline",T781="Overdue"),N(INDEX(Settings!$C$27:$C$36,MATCH(L781,Settings!$A$27:$A$36,0))),0))</f>
        <v>0</v>
      </c>
      <c r="V781" s="38" t="n">
        <f aca="false">Q781*U781</f>
        <v>0</v>
      </c>
      <c r="W781" s="41" t="str">
        <f aca="false">IF($M781="","",IF(T781="Overdue",IF(Settings!$B$8="Yes",Settings!$B$7,""),IF(ISNUMBER(R781),DATE(YEAR(R781),MONTH(R781),1),"")))</f>
        <v/>
      </c>
      <c r="X781" s="38" t="n">
        <f aca="false">IF(AND(OR(T781="Backlog",T781="Pipeline",T781="Overdue"),ISNUMBER(W781)),IF(W781&lt;=Settings!$B$6,V781,0),0)</f>
        <v>0</v>
      </c>
      <c r="Y781" s="38" t="n">
        <f aca="false">IF(AND(OR(T781="Backlog",T781="Pipeline",T781="Overdue"),ISNUMBER(W781)),IF(W781&lt;=Settings!$B$6,Q781,0),0)</f>
        <v>0</v>
      </c>
      <c r="Z781" s="38" t="n">
        <f aca="false">IF(Y781=0,0,IF(T781="Backlog",Q781,Q781*Dashboard!$C$10))</f>
        <v>0</v>
      </c>
      <c r="AA781" s="37" t="n">
        <f aca="false">IF($N781="",0,IF(COUNTIF(Dashboard!$C$13:$C$22,$N781)&gt;0,1,0))</f>
        <v>0</v>
      </c>
      <c r="AB781" s="37" t="str">
        <f aca="false">IF($N781="","",IF(COUNTIF($N$8:$N781,$N781)=1,MAX($AB$7:$AB780)+1,""))</f>
        <v/>
      </c>
    </row>
    <row r="782" customFormat="false" ht="15" hidden="false" customHeight="false" outlineLevel="0" collapsed="false">
      <c r="L782" s="37" t="str">
        <f aca="false">IF(INDEX($A782:$J782,$L$6)&lt;&gt;"",TRIM(LEFT(INDEX($A782:$J782,$L$6),FIND("(",INDEX($A782:$J782,$L$6)&amp;"(")-1)),L781)</f>
        <v>Building Value Proposition</v>
      </c>
      <c r="M782" s="37" t="str">
        <f aca="false">IF(INDEX($A782:$J782,$M$6)="","",INDEX($A782:$J782,$M$6)&amp;"")</f>
        <v/>
      </c>
      <c r="N782" s="37" t="str">
        <f aca="false">IF($M782="","",TRIM(INDEX($A782:$J782,$N$6)&amp;""))</f>
        <v/>
      </c>
      <c r="O782" s="37" t="str">
        <f aca="false">IF($M782="","",TRIM(INDEX($A782:$J782,$O$6)&amp;""))</f>
        <v/>
      </c>
      <c r="P782" s="37" t="str">
        <f aca="false">IF($M782="","",IFERROR(IF(INDEX(Settings!$B$41:$B$50,MATCH(O782,Settings!$A$41:$A$50,0))&amp;""="","UNMAPPED",INDEX(Settings!$B$41:$B$50,MATCH(O782,Settings!$A$41:$A$50,0))&amp;""),"UNMAPPED"))</f>
        <v/>
      </c>
      <c r="Q782" s="38" t="n">
        <f aca="false">IF($M782="",0,N(INDEX($A782:$J782,$Q$6)))</f>
        <v>0</v>
      </c>
      <c r="R782" s="39" t="str">
        <f aca="false">IF($M782="","",INDEX($A782:$J782,$R$6))</f>
        <v/>
      </c>
      <c r="S782" s="37" t="str">
        <f aca="false">IF($M782="","",IFERROR(INDEX(Settings!$B$27:$B$36,MATCH(L782,Settings!$A$27:$A$36,0))&amp;"","UNMAPPED"))</f>
        <v/>
      </c>
      <c r="T782" s="37" t="str">
        <f aca="false">IF($M782="","",IF(NOT(ISNUMBER(R782)),"NO DATE",IF(S782="Won",IF(R782&gt;Settings!$B$5,"Backlog","Delivered"),IF(S782="Open",IF(R782&gt;Settings!$B$5,"Pipeline","Overdue"),IF(S782="Lost","Lost","UNMAPPED")))))</f>
        <v/>
      </c>
      <c r="U782" s="40" t="n">
        <f aca="false">IF(T782="Backlog",1,IF(OR(T782="Pipeline",T782="Overdue"),N(INDEX(Settings!$C$27:$C$36,MATCH(L782,Settings!$A$27:$A$36,0))),0))</f>
        <v>0</v>
      </c>
      <c r="V782" s="38" t="n">
        <f aca="false">Q782*U782</f>
        <v>0</v>
      </c>
      <c r="W782" s="41" t="str">
        <f aca="false">IF($M782="","",IF(T782="Overdue",IF(Settings!$B$8="Yes",Settings!$B$7,""),IF(ISNUMBER(R782),DATE(YEAR(R782),MONTH(R782),1),"")))</f>
        <v/>
      </c>
      <c r="X782" s="38" t="n">
        <f aca="false">IF(AND(OR(T782="Backlog",T782="Pipeline",T782="Overdue"),ISNUMBER(W782)),IF(W782&lt;=Settings!$B$6,V782,0),0)</f>
        <v>0</v>
      </c>
      <c r="Y782" s="38" t="n">
        <f aca="false">IF(AND(OR(T782="Backlog",T782="Pipeline",T782="Overdue"),ISNUMBER(W782)),IF(W782&lt;=Settings!$B$6,Q782,0),0)</f>
        <v>0</v>
      </c>
      <c r="Z782" s="38" t="n">
        <f aca="false">IF(Y782=0,0,IF(T782="Backlog",Q782,Q782*Dashboard!$C$10))</f>
        <v>0</v>
      </c>
      <c r="AA782" s="37" t="n">
        <f aca="false">IF($N782="",0,IF(COUNTIF(Dashboard!$C$13:$C$22,$N782)&gt;0,1,0))</f>
        <v>0</v>
      </c>
      <c r="AB782" s="37" t="str">
        <f aca="false">IF($N782="","",IF(COUNTIF($N$8:$N782,$N782)=1,MAX($AB$7:$AB781)+1,""))</f>
        <v/>
      </c>
    </row>
    <row r="783" customFormat="false" ht="15" hidden="false" customHeight="false" outlineLevel="0" collapsed="false">
      <c r="L783" s="37" t="str">
        <f aca="false">IF(INDEX($A783:$J783,$L$6)&lt;&gt;"",TRIM(LEFT(INDEX($A783:$J783,$L$6),FIND("(",INDEX($A783:$J783,$L$6)&amp;"(")-1)),L782)</f>
        <v>Building Value Proposition</v>
      </c>
      <c r="M783" s="37" t="str">
        <f aca="false">IF(INDEX($A783:$J783,$M$6)="","",INDEX($A783:$J783,$M$6)&amp;"")</f>
        <v/>
      </c>
      <c r="N783" s="37" t="str">
        <f aca="false">IF($M783="","",TRIM(INDEX($A783:$J783,$N$6)&amp;""))</f>
        <v/>
      </c>
      <c r="O783" s="37" t="str">
        <f aca="false">IF($M783="","",TRIM(INDEX($A783:$J783,$O$6)&amp;""))</f>
        <v/>
      </c>
      <c r="P783" s="37" t="str">
        <f aca="false">IF($M783="","",IFERROR(IF(INDEX(Settings!$B$41:$B$50,MATCH(O783,Settings!$A$41:$A$50,0))&amp;""="","UNMAPPED",INDEX(Settings!$B$41:$B$50,MATCH(O783,Settings!$A$41:$A$50,0))&amp;""),"UNMAPPED"))</f>
        <v/>
      </c>
      <c r="Q783" s="38" t="n">
        <f aca="false">IF($M783="",0,N(INDEX($A783:$J783,$Q$6)))</f>
        <v>0</v>
      </c>
      <c r="R783" s="39" t="str">
        <f aca="false">IF($M783="","",INDEX($A783:$J783,$R$6))</f>
        <v/>
      </c>
      <c r="S783" s="37" t="str">
        <f aca="false">IF($M783="","",IFERROR(INDEX(Settings!$B$27:$B$36,MATCH(L783,Settings!$A$27:$A$36,0))&amp;"","UNMAPPED"))</f>
        <v/>
      </c>
      <c r="T783" s="37" t="str">
        <f aca="false">IF($M783="","",IF(NOT(ISNUMBER(R783)),"NO DATE",IF(S783="Won",IF(R783&gt;Settings!$B$5,"Backlog","Delivered"),IF(S783="Open",IF(R783&gt;Settings!$B$5,"Pipeline","Overdue"),IF(S783="Lost","Lost","UNMAPPED")))))</f>
        <v/>
      </c>
      <c r="U783" s="40" t="n">
        <f aca="false">IF(T783="Backlog",1,IF(OR(T783="Pipeline",T783="Overdue"),N(INDEX(Settings!$C$27:$C$36,MATCH(L783,Settings!$A$27:$A$36,0))),0))</f>
        <v>0</v>
      </c>
      <c r="V783" s="38" t="n">
        <f aca="false">Q783*U783</f>
        <v>0</v>
      </c>
      <c r="W783" s="41" t="str">
        <f aca="false">IF($M783="","",IF(T783="Overdue",IF(Settings!$B$8="Yes",Settings!$B$7,""),IF(ISNUMBER(R783),DATE(YEAR(R783),MONTH(R783),1),"")))</f>
        <v/>
      </c>
      <c r="X783" s="38" t="n">
        <f aca="false">IF(AND(OR(T783="Backlog",T783="Pipeline",T783="Overdue"),ISNUMBER(W783)),IF(W783&lt;=Settings!$B$6,V783,0),0)</f>
        <v>0</v>
      </c>
      <c r="Y783" s="38" t="n">
        <f aca="false">IF(AND(OR(T783="Backlog",T783="Pipeline",T783="Overdue"),ISNUMBER(W783)),IF(W783&lt;=Settings!$B$6,Q783,0),0)</f>
        <v>0</v>
      </c>
      <c r="Z783" s="38" t="n">
        <f aca="false">IF(Y783=0,0,IF(T783="Backlog",Q783,Q783*Dashboard!$C$10))</f>
        <v>0</v>
      </c>
      <c r="AA783" s="37" t="n">
        <f aca="false">IF($N783="",0,IF(COUNTIF(Dashboard!$C$13:$C$22,$N783)&gt;0,1,0))</f>
        <v>0</v>
      </c>
      <c r="AB783" s="37" t="str">
        <f aca="false">IF($N783="","",IF(COUNTIF($N$8:$N783,$N783)=1,MAX($AB$7:$AB782)+1,""))</f>
        <v/>
      </c>
    </row>
    <row r="784" customFormat="false" ht="15" hidden="false" customHeight="false" outlineLevel="0" collapsed="false">
      <c r="L784" s="37" t="str">
        <f aca="false">IF(INDEX($A784:$J784,$L$6)&lt;&gt;"",TRIM(LEFT(INDEX($A784:$J784,$L$6),FIND("(",INDEX($A784:$J784,$L$6)&amp;"(")-1)),L783)</f>
        <v>Building Value Proposition</v>
      </c>
      <c r="M784" s="37" t="str">
        <f aca="false">IF(INDEX($A784:$J784,$M$6)="","",INDEX($A784:$J784,$M$6)&amp;"")</f>
        <v/>
      </c>
      <c r="N784" s="37" t="str">
        <f aca="false">IF($M784="","",TRIM(INDEX($A784:$J784,$N$6)&amp;""))</f>
        <v/>
      </c>
      <c r="O784" s="37" t="str">
        <f aca="false">IF($M784="","",TRIM(INDEX($A784:$J784,$O$6)&amp;""))</f>
        <v/>
      </c>
      <c r="P784" s="37" t="str">
        <f aca="false">IF($M784="","",IFERROR(IF(INDEX(Settings!$B$41:$B$50,MATCH(O784,Settings!$A$41:$A$50,0))&amp;""="","UNMAPPED",INDEX(Settings!$B$41:$B$50,MATCH(O784,Settings!$A$41:$A$50,0))&amp;""),"UNMAPPED"))</f>
        <v/>
      </c>
      <c r="Q784" s="38" t="n">
        <f aca="false">IF($M784="",0,N(INDEX($A784:$J784,$Q$6)))</f>
        <v>0</v>
      </c>
      <c r="R784" s="39" t="str">
        <f aca="false">IF($M784="","",INDEX($A784:$J784,$R$6))</f>
        <v/>
      </c>
      <c r="S784" s="37" t="str">
        <f aca="false">IF($M784="","",IFERROR(INDEX(Settings!$B$27:$B$36,MATCH(L784,Settings!$A$27:$A$36,0))&amp;"","UNMAPPED"))</f>
        <v/>
      </c>
      <c r="T784" s="37" t="str">
        <f aca="false">IF($M784="","",IF(NOT(ISNUMBER(R784)),"NO DATE",IF(S784="Won",IF(R784&gt;Settings!$B$5,"Backlog","Delivered"),IF(S784="Open",IF(R784&gt;Settings!$B$5,"Pipeline","Overdue"),IF(S784="Lost","Lost","UNMAPPED")))))</f>
        <v/>
      </c>
      <c r="U784" s="40" t="n">
        <f aca="false">IF(T784="Backlog",1,IF(OR(T784="Pipeline",T784="Overdue"),N(INDEX(Settings!$C$27:$C$36,MATCH(L784,Settings!$A$27:$A$36,0))),0))</f>
        <v>0</v>
      </c>
      <c r="V784" s="38" t="n">
        <f aca="false">Q784*U784</f>
        <v>0</v>
      </c>
      <c r="W784" s="41" t="str">
        <f aca="false">IF($M784="","",IF(T784="Overdue",IF(Settings!$B$8="Yes",Settings!$B$7,""),IF(ISNUMBER(R784),DATE(YEAR(R784),MONTH(R784),1),"")))</f>
        <v/>
      </c>
      <c r="X784" s="38" t="n">
        <f aca="false">IF(AND(OR(T784="Backlog",T784="Pipeline",T784="Overdue"),ISNUMBER(W784)),IF(W784&lt;=Settings!$B$6,V784,0),0)</f>
        <v>0</v>
      </c>
      <c r="Y784" s="38" t="n">
        <f aca="false">IF(AND(OR(T784="Backlog",T784="Pipeline",T784="Overdue"),ISNUMBER(W784)),IF(W784&lt;=Settings!$B$6,Q784,0),0)</f>
        <v>0</v>
      </c>
      <c r="Z784" s="38" t="n">
        <f aca="false">IF(Y784=0,0,IF(T784="Backlog",Q784,Q784*Dashboard!$C$10))</f>
        <v>0</v>
      </c>
      <c r="AA784" s="37" t="n">
        <f aca="false">IF($N784="",0,IF(COUNTIF(Dashboard!$C$13:$C$22,$N784)&gt;0,1,0))</f>
        <v>0</v>
      </c>
      <c r="AB784" s="37" t="str">
        <f aca="false">IF($N784="","",IF(COUNTIF($N$8:$N784,$N784)=1,MAX($AB$7:$AB783)+1,""))</f>
        <v/>
      </c>
    </row>
    <row r="785" customFormat="false" ht="15" hidden="false" customHeight="false" outlineLevel="0" collapsed="false">
      <c r="L785" s="37" t="str">
        <f aca="false">IF(INDEX($A785:$J785,$L$6)&lt;&gt;"",TRIM(LEFT(INDEX($A785:$J785,$L$6),FIND("(",INDEX($A785:$J785,$L$6)&amp;"(")-1)),L784)</f>
        <v>Building Value Proposition</v>
      </c>
      <c r="M785" s="37" t="str">
        <f aca="false">IF(INDEX($A785:$J785,$M$6)="","",INDEX($A785:$J785,$M$6)&amp;"")</f>
        <v/>
      </c>
      <c r="N785" s="37" t="str">
        <f aca="false">IF($M785="","",TRIM(INDEX($A785:$J785,$N$6)&amp;""))</f>
        <v/>
      </c>
      <c r="O785" s="37" t="str">
        <f aca="false">IF($M785="","",TRIM(INDEX($A785:$J785,$O$6)&amp;""))</f>
        <v/>
      </c>
      <c r="P785" s="37" t="str">
        <f aca="false">IF($M785="","",IFERROR(IF(INDEX(Settings!$B$41:$B$50,MATCH(O785,Settings!$A$41:$A$50,0))&amp;""="","UNMAPPED",INDEX(Settings!$B$41:$B$50,MATCH(O785,Settings!$A$41:$A$50,0))&amp;""),"UNMAPPED"))</f>
        <v/>
      </c>
      <c r="Q785" s="38" t="n">
        <f aca="false">IF($M785="",0,N(INDEX($A785:$J785,$Q$6)))</f>
        <v>0</v>
      </c>
      <c r="R785" s="39" t="str">
        <f aca="false">IF($M785="","",INDEX($A785:$J785,$R$6))</f>
        <v/>
      </c>
      <c r="S785" s="37" t="str">
        <f aca="false">IF($M785="","",IFERROR(INDEX(Settings!$B$27:$B$36,MATCH(L785,Settings!$A$27:$A$36,0))&amp;"","UNMAPPED"))</f>
        <v/>
      </c>
      <c r="T785" s="37" t="str">
        <f aca="false">IF($M785="","",IF(NOT(ISNUMBER(R785)),"NO DATE",IF(S785="Won",IF(R785&gt;Settings!$B$5,"Backlog","Delivered"),IF(S785="Open",IF(R785&gt;Settings!$B$5,"Pipeline","Overdue"),IF(S785="Lost","Lost","UNMAPPED")))))</f>
        <v/>
      </c>
      <c r="U785" s="40" t="n">
        <f aca="false">IF(T785="Backlog",1,IF(OR(T785="Pipeline",T785="Overdue"),N(INDEX(Settings!$C$27:$C$36,MATCH(L785,Settings!$A$27:$A$36,0))),0))</f>
        <v>0</v>
      </c>
      <c r="V785" s="38" t="n">
        <f aca="false">Q785*U785</f>
        <v>0</v>
      </c>
      <c r="W785" s="41" t="str">
        <f aca="false">IF($M785="","",IF(T785="Overdue",IF(Settings!$B$8="Yes",Settings!$B$7,""),IF(ISNUMBER(R785),DATE(YEAR(R785),MONTH(R785),1),"")))</f>
        <v/>
      </c>
      <c r="X785" s="38" t="n">
        <f aca="false">IF(AND(OR(T785="Backlog",T785="Pipeline",T785="Overdue"),ISNUMBER(W785)),IF(W785&lt;=Settings!$B$6,V785,0),0)</f>
        <v>0</v>
      </c>
      <c r="Y785" s="38" t="n">
        <f aca="false">IF(AND(OR(T785="Backlog",T785="Pipeline",T785="Overdue"),ISNUMBER(W785)),IF(W785&lt;=Settings!$B$6,Q785,0),0)</f>
        <v>0</v>
      </c>
      <c r="Z785" s="38" t="n">
        <f aca="false">IF(Y785=0,0,IF(T785="Backlog",Q785,Q785*Dashboard!$C$10))</f>
        <v>0</v>
      </c>
      <c r="AA785" s="37" t="n">
        <f aca="false">IF($N785="",0,IF(COUNTIF(Dashboard!$C$13:$C$22,$N785)&gt;0,1,0))</f>
        <v>0</v>
      </c>
      <c r="AB785" s="37" t="str">
        <f aca="false">IF($N785="","",IF(COUNTIF($N$8:$N785,$N785)=1,MAX($AB$7:$AB784)+1,""))</f>
        <v/>
      </c>
    </row>
    <row r="786" customFormat="false" ht="15" hidden="false" customHeight="false" outlineLevel="0" collapsed="false">
      <c r="L786" s="37" t="str">
        <f aca="false">IF(INDEX($A786:$J786,$L$6)&lt;&gt;"",TRIM(LEFT(INDEX($A786:$J786,$L$6),FIND("(",INDEX($A786:$J786,$L$6)&amp;"(")-1)),L785)</f>
        <v>Building Value Proposition</v>
      </c>
      <c r="M786" s="37" t="str">
        <f aca="false">IF(INDEX($A786:$J786,$M$6)="","",INDEX($A786:$J786,$M$6)&amp;"")</f>
        <v/>
      </c>
      <c r="N786" s="37" t="str">
        <f aca="false">IF($M786="","",TRIM(INDEX($A786:$J786,$N$6)&amp;""))</f>
        <v/>
      </c>
      <c r="O786" s="37" t="str">
        <f aca="false">IF($M786="","",TRIM(INDEX($A786:$J786,$O$6)&amp;""))</f>
        <v/>
      </c>
      <c r="P786" s="37" t="str">
        <f aca="false">IF($M786="","",IFERROR(IF(INDEX(Settings!$B$41:$B$50,MATCH(O786,Settings!$A$41:$A$50,0))&amp;""="","UNMAPPED",INDEX(Settings!$B$41:$B$50,MATCH(O786,Settings!$A$41:$A$50,0))&amp;""),"UNMAPPED"))</f>
        <v/>
      </c>
      <c r="Q786" s="38" t="n">
        <f aca="false">IF($M786="",0,N(INDEX($A786:$J786,$Q$6)))</f>
        <v>0</v>
      </c>
      <c r="R786" s="39" t="str">
        <f aca="false">IF($M786="","",INDEX($A786:$J786,$R$6))</f>
        <v/>
      </c>
      <c r="S786" s="37" t="str">
        <f aca="false">IF($M786="","",IFERROR(INDEX(Settings!$B$27:$B$36,MATCH(L786,Settings!$A$27:$A$36,0))&amp;"","UNMAPPED"))</f>
        <v/>
      </c>
      <c r="T786" s="37" t="str">
        <f aca="false">IF($M786="","",IF(NOT(ISNUMBER(R786)),"NO DATE",IF(S786="Won",IF(R786&gt;Settings!$B$5,"Backlog","Delivered"),IF(S786="Open",IF(R786&gt;Settings!$B$5,"Pipeline","Overdue"),IF(S786="Lost","Lost","UNMAPPED")))))</f>
        <v/>
      </c>
      <c r="U786" s="40" t="n">
        <f aca="false">IF(T786="Backlog",1,IF(OR(T786="Pipeline",T786="Overdue"),N(INDEX(Settings!$C$27:$C$36,MATCH(L786,Settings!$A$27:$A$36,0))),0))</f>
        <v>0</v>
      </c>
      <c r="V786" s="38" t="n">
        <f aca="false">Q786*U786</f>
        <v>0</v>
      </c>
      <c r="W786" s="41" t="str">
        <f aca="false">IF($M786="","",IF(T786="Overdue",IF(Settings!$B$8="Yes",Settings!$B$7,""),IF(ISNUMBER(R786),DATE(YEAR(R786),MONTH(R786),1),"")))</f>
        <v/>
      </c>
      <c r="X786" s="38" t="n">
        <f aca="false">IF(AND(OR(T786="Backlog",T786="Pipeline",T786="Overdue"),ISNUMBER(W786)),IF(W786&lt;=Settings!$B$6,V786,0),0)</f>
        <v>0</v>
      </c>
      <c r="Y786" s="38" t="n">
        <f aca="false">IF(AND(OR(T786="Backlog",T786="Pipeline",T786="Overdue"),ISNUMBER(W786)),IF(W786&lt;=Settings!$B$6,Q786,0),0)</f>
        <v>0</v>
      </c>
      <c r="Z786" s="38" t="n">
        <f aca="false">IF(Y786=0,0,IF(T786="Backlog",Q786,Q786*Dashboard!$C$10))</f>
        <v>0</v>
      </c>
      <c r="AA786" s="37" t="n">
        <f aca="false">IF($N786="",0,IF(COUNTIF(Dashboard!$C$13:$C$22,$N786)&gt;0,1,0))</f>
        <v>0</v>
      </c>
      <c r="AB786" s="37" t="str">
        <f aca="false">IF($N786="","",IF(COUNTIF($N$8:$N786,$N786)=1,MAX($AB$7:$AB785)+1,""))</f>
        <v/>
      </c>
    </row>
    <row r="787" customFormat="false" ht="15" hidden="false" customHeight="false" outlineLevel="0" collapsed="false">
      <c r="L787" s="37" t="str">
        <f aca="false">IF(INDEX($A787:$J787,$L$6)&lt;&gt;"",TRIM(LEFT(INDEX($A787:$J787,$L$6),FIND("(",INDEX($A787:$J787,$L$6)&amp;"(")-1)),L786)</f>
        <v>Building Value Proposition</v>
      </c>
      <c r="M787" s="37" t="str">
        <f aca="false">IF(INDEX($A787:$J787,$M$6)="","",INDEX($A787:$J787,$M$6)&amp;"")</f>
        <v/>
      </c>
      <c r="N787" s="37" t="str">
        <f aca="false">IF($M787="","",TRIM(INDEX($A787:$J787,$N$6)&amp;""))</f>
        <v/>
      </c>
      <c r="O787" s="37" t="str">
        <f aca="false">IF($M787="","",TRIM(INDEX($A787:$J787,$O$6)&amp;""))</f>
        <v/>
      </c>
      <c r="P787" s="37" t="str">
        <f aca="false">IF($M787="","",IFERROR(IF(INDEX(Settings!$B$41:$B$50,MATCH(O787,Settings!$A$41:$A$50,0))&amp;""="","UNMAPPED",INDEX(Settings!$B$41:$B$50,MATCH(O787,Settings!$A$41:$A$50,0))&amp;""),"UNMAPPED"))</f>
        <v/>
      </c>
      <c r="Q787" s="38" t="n">
        <f aca="false">IF($M787="",0,N(INDEX($A787:$J787,$Q$6)))</f>
        <v>0</v>
      </c>
      <c r="R787" s="39" t="str">
        <f aca="false">IF($M787="","",INDEX($A787:$J787,$R$6))</f>
        <v/>
      </c>
      <c r="S787" s="37" t="str">
        <f aca="false">IF($M787="","",IFERROR(INDEX(Settings!$B$27:$B$36,MATCH(L787,Settings!$A$27:$A$36,0))&amp;"","UNMAPPED"))</f>
        <v/>
      </c>
      <c r="T787" s="37" t="str">
        <f aca="false">IF($M787="","",IF(NOT(ISNUMBER(R787)),"NO DATE",IF(S787="Won",IF(R787&gt;Settings!$B$5,"Backlog","Delivered"),IF(S787="Open",IF(R787&gt;Settings!$B$5,"Pipeline","Overdue"),IF(S787="Lost","Lost","UNMAPPED")))))</f>
        <v/>
      </c>
      <c r="U787" s="40" t="n">
        <f aca="false">IF(T787="Backlog",1,IF(OR(T787="Pipeline",T787="Overdue"),N(INDEX(Settings!$C$27:$C$36,MATCH(L787,Settings!$A$27:$A$36,0))),0))</f>
        <v>0</v>
      </c>
      <c r="V787" s="38" t="n">
        <f aca="false">Q787*U787</f>
        <v>0</v>
      </c>
      <c r="W787" s="41" t="str">
        <f aca="false">IF($M787="","",IF(T787="Overdue",IF(Settings!$B$8="Yes",Settings!$B$7,""),IF(ISNUMBER(R787),DATE(YEAR(R787),MONTH(R787),1),"")))</f>
        <v/>
      </c>
      <c r="X787" s="38" t="n">
        <f aca="false">IF(AND(OR(T787="Backlog",T787="Pipeline",T787="Overdue"),ISNUMBER(W787)),IF(W787&lt;=Settings!$B$6,V787,0),0)</f>
        <v>0</v>
      </c>
      <c r="Y787" s="38" t="n">
        <f aca="false">IF(AND(OR(T787="Backlog",T787="Pipeline",T787="Overdue"),ISNUMBER(W787)),IF(W787&lt;=Settings!$B$6,Q787,0),0)</f>
        <v>0</v>
      </c>
      <c r="Z787" s="38" t="n">
        <f aca="false">IF(Y787=0,0,IF(T787="Backlog",Q787,Q787*Dashboard!$C$10))</f>
        <v>0</v>
      </c>
      <c r="AA787" s="37" t="n">
        <f aca="false">IF($N787="",0,IF(COUNTIF(Dashboard!$C$13:$C$22,$N787)&gt;0,1,0))</f>
        <v>0</v>
      </c>
      <c r="AB787" s="37" t="str">
        <f aca="false">IF($N787="","",IF(COUNTIF($N$8:$N787,$N787)=1,MAX($AB$7:$AB786)+1,""))</f>
        <v/>
      </c>
    </row>
    <row r="788" customFormat="false" ht="15" hidden="false" customHeight="false" outlineLevel="0" collapsed="false">
      <c r="L788" s="37" t="str">
        <f aca="false">IF(INDEX($A788:$J788,$L$6)&lt;&gt;"",TRIM(LEFT(INDEX($A788:$J788,$L$6),FIND("(",INDEX($A788:$J788,$L$6)&amp;"(")-1)),L787)</f>
        <v>Building Value Proposition</v>
      </c>
      <c r="M788" s="37" t="str">
        <f aca="false">IF(INDEX($A788:$J788,$M$6)="","",INDEX($A788:$J788,$M$6)&amp;"")</f>
        <v/>
      </c>
      <c r="N788" s="37" t="str">
        <f aca="false">IF($M788="","",TRIM(INDEX($A788:$J788,$N$6)&amp;""))</f>
        <v/>
      </c>
      <c r="O788" s="37" t="str">
        <f aca="false">IF($M788="","",TRIM(INDEX($A788:$J788,$O$6)&amp;""))</f>
        <v/>
      </c>
      <c r="P788" s="37" t="str">
        <f aca="false">IF($M788="","",IFERROR(IF(INDEX(Settings!$B$41:$B$50,MATCH(O788,Settings!$A$41:$A$50,0))&amp;""="","UNMAPPED",INDEX(Settings!$B$41:$B$50,MATCH(O788,Settings!$A$41:$A$50,0))&amp;""),"UNMAPPED"))</f>
        <v/>
      </c>
      <c r="Q788" s="38" t="n">
        <f aca="false">IF($M788="",0,N(INDEX($A788:$J788,$Q$6)))</f>
        <v>0</v>
      </c>
      <c r="R788" s="39" t="str">
        <f aca="false">IF($M788="","",INDEX($A788:$J788,$R$6))</f>
        <v/>
      </c>
      <c r="S788" s="37" t="str">
        <f aca="false">IF($M788="","",IFERROR(INDEX(Settings!$B$27:$B$36,MATCH(L788,Settings!$A$27:$A$36,0))&amp;"","UNMAPPED"))</f>
        <v/>
      </c>
      <c r="T788" s="37" t="str">
        <f aca="false">IF($M788="","",IF(NOT(ISNUMBER(R788)),"NO DATE",IF(S788="Won",IF(R788&gt;Settings!$B$5,"Backlog","Delivered"),IF(S788="Open",IF(R788&gt;Settings!$B$5,"Pipeline","Overdue"),IF(S788="Lost","Lost","UNMAPPED")))))</f>
        <v/>
      </c>
      <c r="U788" s="40" t="n">
        <f aca="false">IF(T788="Backlog",1,IF(OR(T788="Pipeline",T788="Overdue"),N(INDEX(Settings!$C$27:$C$36,MATCH(L788,Settings!$A$27:$A$36,0))),0))</f>
        <v>0</v>
      </c>
      <c r="V788" s="38" t="n">
        <f aca="false">Q788*U788</f>
        <v>0</v>
      </c>
      <c r="W788" s="41" t="str">
        <f aca="false">IF($M788="","",IF(T788="Overdue",IF(Settings!$B$8="Yes",Settings!$B$7,""),IF(ISNUMBER(R788),DATE(YEAR(R788),MONTH(R788),1),"")))</f>
        <v/>
      </c>
      <c r="X788" s="38" t="n">
        <f aca="false">IF(AND(OR(T788="Backlog",T788="Pipeline",T788="Overdue"),ISNUMBER(W788)),IF(W788&lt;=Settings!$B$6,V788,0),0)</f>
        <v>0</v>
      </c>
      <c r="Y788" s="38" t="n">
        <f aca="false">IF(AND(OR(T788="Backlog",T788="Pipeline",T788="Overdue"),ISNUMBER(W788)),IF(W788&lt;=Settings!$B$6,Q788,0),0)</f>
        <v>0</v>
      </c>
      <c r="Z788" s="38" t="n">
        <f aca="false">IF(Y788=0,0,IF(T788="Backlog",Q788,Q788*Dashboard!$C$10))</f>
        <v>0</v>
      </c>
      <c r="AA788" s="37" t="n">
        <f aca="false">IF($N788="",0,IF(COUNTIF(Dashboard!$C$13:$C$22,$N788)&gt;0,1,0))</f>
        <v>0</v>
      </c>
      <c r="AB788" s="37" t="str">
        <f aca="false">IF($N788="","",IF(COUNTIF($N$8:$N788,$N788)=1,MAX($AB$7:$AB787)+1,""))</f>
        <v/>
      </c>
    </row>
    <row r="789" customFormat="false" ht="15" hidden="false" customHeight="false" outlineLevel="0" collapsed="false">
      <c r="L789" s="37" t="str">
        <f aca="false">IF(INDEX($A789:$J789,$L$6)&lt;&gt;"",TRIM(LEFT(INDEX($A789:$J789,$L$6),FIND("(",INDEX($A789:$J789,$L$6)&amp;"(")-1)),L788)</f>
        <v>Building Value Proposition</v>
      </c>
      <c r="M789" s="37" t="str">
        <f aca="false">IF(INDEX($A789:$J789,$M$6)="","",INDEX($A789:$J789,$M$6)&amp;"")</f>
        <v/>
      </c>
      <c r="N789" s="37" t="str">
        <f aca="false">IF($M789="","",TRIM(INDEX($A789:$J789,$N$6)&amp;""))</f>
        <v/>
      </c>
      <c r="O789" s="37" t="str">
        <f aca="false">IF($M789="","",TRIM(INDEX($A789:$J789,$O$6)&amp;""))</f>
        <v/>
      </c>
      <c r="P789" s="37" t="str">
        <f aca="false">IF($M789="","",IFERROR(IF(INDEX(Settings!$B$41:$B$50,MATCH(O789,Settings!$A$41:$A$50,0))&amp;""="","UNMAPPED",INDEX(Settings!$B$41:$B$50,MATCH(O789,Settings!$A$41:$A$50,0))&amp;""),"UNMAPPED"))</f>
        <v/>
      </c>
      <c r="Q789" s="38" t="n">
        <f aca="false">IF($M789="",0,N(INDEX($A789:$J789,$Q$6)))</f>
        <v>0</v>
      </c>
      <c r="R789" s="39" t="str">
        <f aca="false">IF($M789="","",INDEX($A789:$J789,$R$6))</f>
        <v/>
      </c>
      <c r="S789" s="37" t="str">
        <f aca="false">IF($M789="","",IFERROR(INDEX(Settings!$B$27:$B$36,MATCH(L789,Settings!$A$27:$A$36,0))&amp;"","UNMAPPED"))</f>
        <v/>
      </c>
      <c r="T789" s="37" t="str">
        <f aca="false">IF($M789="","",IF(NOT(ISNUMBER(R789)),"NO DATE",IF(S789="Won",IF(R789&gt;Settings!$B$5,"Backlog","Delivered"),IF(S789="Open",IF(R789&gt;Settings!$B$5,"Pipeline","Overdue"),IF(S789="Lost","Lost","UNMAPPED")))))</f>
        <v/>
      </c>
      <c r="U789" s="40" t="n">
        <f aca="false">IF(T789="Backlog",1,IF(OR(T789="Pipeline",T789="Overdue"),N(INDEX(Settings!$C$27:$C$36,MATCH(L789,Settings!$A$27:$A$36,0))),0))</f>
        <v>0</v>
      </c>
      <c r="V789" s="38" t="n">
        <f aca="false">Q789*U789</f>
        <v>0</v>
      </c>
      <c r="W789" s="41" t="str">
        <f aca="false">IF($M789="","",IF(T789="Overdue",IF(Settings!$B$8="Yes",Settings!$B$7,""),IF(ISNUMBER(R789),DATE(YEAR(R789),MONTH(R789),1),"")))</f>
        <v/>
      </c>
      <c r="X789" s="38" t="n">
        <f aca="false">IF(AND(OR(T789="Backlog",T789="Pipeline",T789="Overdue"),ISNUMBER(W789)),IF(W789&lt;=Settings!$B$6,V789,0),0)</f>
        <v>0</v>
      </c>
      <c r="Y789" s="38" t="n">
        <f aca="false">IF(AND(OR(T789="Backlog",T789="Pipeline",T789="Overdue"),ISNUMBER(W789)),IF(W789&lt;=Settings!$B$6,Q789,0),0)</f>
        <v>0</v>
      </c>
      <c r="Z789" s="38" t="n">
        <f aca="false">IF(Y789=0,0,IF(T789="Backlog",Q789,Q789*Dashboard!$C$10))</f>
        <v>0</v>
      </c>
      <c r="AA789" s="37" t="n">
        <f aca="false">IF($N789="",0,IF(COUNTIF(Dashboard!$C$13:$C$22,$N789)&gt;0,1,0))</f>
        <v>0</v>
      </c>
      <c r="AB789" s="37" t="str">
        <f aca="false">IF($N789="","",IF(COUNTIF($N$8:$N789,$N789)=1,MAX($AB$7:$AB788)+1,""))</f>
        <v/>
      </c>
    </row>
    <row r="790" customFormat="false" ht="15" hidden="false" customHeight="false" outlineLevel="0" collapsed="false">
      <c r="L790" s="37" t="str">
        <f aca="false">IF(INDEX($A790:$J790,$L$6)&lt;&gt;"",TRIM(LEFT(INDEX($A790:$J790,$L$6),FIND("(",INDEX($A790:$J790,$L$6)&amp;"(")-1)),L789)</f>
        <v>Building Value Proposition</v>
      </c>
      <c r="M790" s="37" t="str">
        <f aca="false">IF(INDEX($A790:$J790,$M$6)="","",INDEX($A790:$J790,$M$6)&amp;"")</f>
        <v/>
      </c>
      <c r="N790" s="37" t="str">
        <f aca="false">IF($M790="","",TRIM(INDEX($A790:$J790,$N$6)&amp;""))</f>
        <v/>
      </c>
      <c r="O790" s="37" t="str">
        <f aca="false">IF($M790="","",TRIM(INDEX($A790:$J790,$O$6)&amp;""))</f>
        <v/>
      </c>
      <c r="P790" s="37" t="str">
        <f aca="false">IF($M790="","",IFERROR(IF(INDEX(Settings!$B$41:$B$50,MATCH(O790,Settings!$A$41:$A$50,0))&amp;""="","UNMAPPED",INDEX(Settings!$B$41:$B$50,MATCH(O790,Settings!$A$41:$A$50,0))&amp;""),"UNMAPPED"))</f>
        <v/>
      </c>
      <c r="Q790" s="38" t="n">
        <f aca="false">IF($M790="",0,N(INDEX($A790:$J790,$Q$6)))</f>
        <v>0</v>
      </c>
      <c r="R790" s="39" t="str">
        <f aca="false">IF($M790="","",INDEX($A790:$J790,$R$6))</f>
        <v/>
      </c>
      <c r="S790" s="37" t="str">
        <f aca="false">IF($M790="","",IFERROR(INDEX(Settings!$B$27:$B$36,MATCH(L790,Settings!$A$27:$A$36,0))&amp;"","UNMAPPED"))</f>
        <v/>
      </c>
      <c r="T790" s="37" t="str">
        <f aca="false">IF($M790="","",IF(NOT(ISNUMBER(R790)),"NO DATE",IF(S790="Won",IF(R790&gt;Settings!$B$5,"Backlog","Delivered"),IF(S790="Open",IF(R790&gt;Settings!$B$5,"Pipeline","Overdue"),IF(S790="Lost","Lost","UNMAPPED")))))</f>
        <v/>
      </c>
      <c r="U790" s="40" t="n">
        <f aca="false">IF(T790="Backlog",1,IF(OR(T790="Pipeline",T790="Overdue"),N(INDEX(Settings!$C$27:$C$36,MATCH(L790,Settings!$A$27:$A$36,0))),0))</f>
        <v>0</v>
      </c>
      <c r="V790" s="38" t="n">
        <f aca="false">Q790*U790</f>
        <v>0</v>
      </c>
      <c r="W790" s="41" t="str">
        <f aca="false">IF($M790="","",IF(T790="Overdue",IF(Settings!$B$8="Yes",Settings!$B$7,""),IF(ISNUMBER(R790),DATE(YEAR(R790),MONTH(R790),1),"")))</f>
        <v/>
      </c>
      <c r="X790" s="38" t="n">
        <f aca="false">IF(AND(OR(T790="Backlog",T790="Pipeline",T790="Overdue"),ISNUMBER(W790)),IF(W790&lt;=Settings!$B$6,V790,0),0)</f>
        <v>0</v>
      </c>
      <c r="Y790" s="38" t="n">
        <f aca="false">IF(AND(OR(T790="Backlog",T790="Pipeline",T790="Overdue"),ISNUMBER(W790)),IF(W790&lt;=Settings!$B$6,Q790,0),0)</f>
        <v>0</v>
      </c>
      <c r="Z790" s="38" t="n">
        <f aca="false">IF(Y790=0,0,IF(T790="Backlog",Q790,Q790*Dashboard!$C$10))</f>
        <v>0</v>
      </c>
      <c r="AA790" s="37" t="n">
        <f aca="false">IF($N790="",0,IF(COUNTIF(Dashboard!$C$13:$C$22,$N790)&gt;0,1,0))</f>
        <v>0</v>
      </c>
      <c r="AB790" s="37" t="str">
        <f aca="false">IF($N790="","",IF(COUNTIF($N$8:$N790,$N790)=1,MAX($AB$7:$AB789)+1,""))</f>
        <v/>
      </c>
    </row>
    <row r="791" customFormat="false" ht="15" hidden="false" customHeight="false" outlineLevel="0" collapsed="false">
      <c r="L791" s="37" t="str">
        <f aca="false">IF(INDEX($A791:$J791,$L$6)&lt;&gt;"",TRIM(LEFT(INDEX($A791:$J791,$L$6),FIND("(",INDEX($A791:$J791,$L$6)&amp;"(")-1)),L790)</f>
        <v>Building Value Proposition</v>
      </c>
      <c r="M791" s="37" t="str">
        <f aca="false">IF(INDEX($A791:$J791,$M$6)="","",INDEX($A791:$J791,$M$6)&amp;"")</f>
        <v/>
      </c>
      <c r="N791" s="37" t="str">
        <f aca="false">IF($M791="","",TRIM(INDEX($A791:$J791,$N$6)&amp;""))</f>
        <v/>
      </c>
      <c r="O791" s="37" t="str">
        <f aca="false">IF($M791="","",TRIM(INDEX($A791:$J791,$O$6)&amp;""))</f>
        <v/>
      </c>
      <c r="P791" s="37" t="str">
        <f aca="false">IF($M791="","",IFERROR(IF(INDEX(Settings!$B$41:$B$50,MATCH(O791,Settings!$A$41:$A$50,0))&amp;""="","UNMAPPED",INDEX(Settings!$B$41:$B$50,MATCH(O791,Settings!$A$41:$A$50,0))&amp;""),"UNMAPPED"))</f>
        <v/>
      </c>
      <c r="Q791" s="38" t="n">
        <f aca="false">IF($M791="",0,N(INDEX($A791:$J791,$Q$6)))</f>
        <v>0</v>
      </c>
      <c r="R791" s="39" t="str">
        <f aca="false">IF($M791="","",INDEX($A791:$J791,$R$6))</f>
        <v/>
      </c>
      <c r="S791" s="37" t="str">
        <f aca="false">IF($M791="","",IFERROR(INDEX(Settings!$B$27:$B$36,MATCH(L791,Settings!$A$27:$A$36,0))&amp;"","UNMAPPED"))</f>
        <v/>
      </c>
      <c r="T791" s="37" t="str">
        <f aca="false">IF($M791="","",IF(NOT(ISNUMBER(R791)),"NO DATE",IF(S791="Won",IF(R791&gt;Settings!$B$5,"Backlog","Delivered"),IF(S791="Open",IF(R791&gt;Settings!$B$5,"Pipeline","Overdue"),IF(S791="Lost","Lost","UNMAPPED")))))</f>
        <v/>
      </c>
      <c r="U791" s="40" t="n">
        <f aca="false">IF(T791="Backlog",1,IF(OR(T791="Pipeline",T791="Overdue"),N(INDEX(Settings!$C$27:$C$36,MATCH(L791,Settings!$A$27:$A$36,0))),0))</f>
        <v>0</v>
      </c>
      <c r="V791" s="38" t="n">
        <f aca="false">Q791*U791</f>
        <v>0</v>
      </c>
      <c r="W791" s="41" t="str">
        <f aca="false">IF($M791="","",IF(T791="Overdue",IF(Settings!$B$8="Yes",Settings!$B$7,""),IF(ISNUMBER(R791),DATE(YEAR(R791),MONTH(R791),1),"")))</f>
        <v/>
      </c>
      <c r="X791" s="38" t="n">
        <f aca="false">IF(AND(OR(T791="Backlog",T791="Pipeline",T791="Overdue"),ISNUMBER(W791)),IF(W791&lt;=Settings!$B$6,V791,0),0)</f>
        <v>0</v>
      </c>
      <c r="Y791" s="38" t="n">
        <f aca="false">IF(AND(OR(T791="Backlog",T791="Pipeline",T791="Overdue"),ISNUMBER(W791)),IF(W791&lt;=Settings!$B$6,Q791,0),0)</f>
        <v>0</v>
      </c>
      <c r="Z791" s="38" t="n">
        <f aca="false">IF(Y791=0,0,IF(T791="Backlog",Q791,Q791*Dashboard!$C$10))</f>
        <v>0</v>
      </c>
      <c r="AA791" s="37" t="n">
        <f aca="false">IF($N791="",0,IF(COUNTIF(Dashboard!$C$13:$C$22,$N791)&gt;0,1,0))</f>
        <v>0</v>
      </c>
      <c r="AB791" s="37" t="str">
        <f aca="false">IF($N791="","",IF(COUNTIF($N$8:$N791,$N791)=1,MAX($AB$7:$AB790)+1,""))</f>
        <v/>
      </c>
    </row>
    <row r="792" customFormat="false" ht="15" hidden="false" customHeight="false" outlineLevel="0" collapsed="false">
      <c r="L792" s="37" t="str">
        <f aca="false">IF(INDEX($A792:$J792,$L$6)&lt;&gt;"",TRIM(LEFT(INDEX($A792:$J792,$L$6),FIND("(",INDEX($A792:$J792,$L$6)&amp;"(")-1)),L791)</f>
        <v>Building Value Proposition</v>
      </c>
      <c r="M792" s="37" t="str">
        <f aca="false">IF(INDEX($A792:$J792,$M$6)="","",INDEX($A792:$J792,$M$6)&amp;"")</f>
        <v/>
      </c>
      <c r="N792" s="37" t="str">
        <f aca="false">IF($M792="","",TRIM(INDEX($A792:$J792,$N$6)&amp;""))</f>
        <v/>
      </c>
      <c r="O792" s="37" t="str">
        <f aca="false">IF($M792="","",TRIM(INDEX($A792:$J792,$O$6)&amp;""))</f>
        <v/>
      </c>
      <c r="P792" s="37" t="str">
        <f aca="false">IF($M792="","",IFERROR(IF(INDEX(Settings!$B$41:$B$50,MATCH(O792,Settings!$A$41:$A$50,0))&amp;""="","UNMAPPED",INDEX(Settings!$B$41:$B$50,MATCH(O792,Settings!$A$41:$A$50,0))&amp;""),"UNMAPPED"))</f>
        <v/>
      </c>
      <c r="Q792" s="38" t="n">
        <f aca="false">IF($M792="",0,N(INDEX($A792:$J792,$Q$6)))</f>
        <v>0</v>
      </c>
      <c r="R792" s="39" t="str">
        <f aca="false">IF($M792="","",INDEX($A792:$J792,$R$6))</f>
        <v/>
      </c>
      <c r="S792" s="37" t="str">
        <f aca="false">IF($M792="","",IFERROR(INDEX(Settings!$B$27:$B$36,MATCH(L792,Settings!$A$27:$A$36,0))&amp;"","UNMAPPED"))</f>
        <v/>
      </c>
      <c r="T792" s="37" t="str">
        <f aca="false">IF($M792="","",IF(NOT(ISNUMBER(R792)),"NO DATE",IF(S792="Won",IF(R792&gt;Settings!$B$5,"Backlog","Delivered"),IF(S792="Open",IF(R792&gt;Settings!$B$5,"Pipeline","Overdue"),IF(S792="Lost","Lost","UNMAPPED")))))</f>
        <v/>
      </c>
      <c r="U792" s="40" t="n">
        <f aca="false">IF(T792="Backlog",1,IF(OR(T792="Pipeline",T792="Overdue"),N(INDEX(Settings!$C$27:$C$36,MATCH(L792,Settings!$A$27:$A$36,0))),0))</f>
        <v>0</v>
      </c>
      <c r="V792" s="38" t="n">
        <f aca="false">Q792*U792</f>
        <v>0</v>
      </c>
      <c r="W792" s="41" t="str">
        <f aca="false">IF($M792="","",IF(T792="Overdue",IF(Settings!$B$8="Yes",Settings!$B$7,""),IF(ISNUMBER(R792),DATE(YEAR(R792),MONTH(R792),1),"")))</f>
        <v/>
      </c>
      <c r="X792" s="38" t="n">
        <f aca="false">IF(AND(OR(T792="Backlog",T792="Pipeline",T792="Overdue"),ISNUMBER(W792)),IF(W792&lt;=Settings!$B$6,V792,0),0)</f>
        <v>0</v>
      </c>
      <c r="Y792" s="38" t="n">
        <f aca="false">IF(AND(OR(T792="Backlog",T792="Pipeline",T792="Overdue"),ISNUMBER(W792)),IF(W792&lt;=Settings!$B$6,Q792,0),0)</f>
        <v>0</v>
      </c>
      <c r="Z792" s="38" t="n">
        <f aca="false">IF(Y792=0,0,IF(T792="Backlog",Q792,Q792*Dashboard!$C$10))</f>
        <v>0</v>
      </c>
      <c r="AA792" s="37" t="n">
        <f aca="false">IF($N792="",0,IF(COUNTIF(Dashboard!$C$13:$C$22,$N792)&gt;0,1,0))</f>
        <v>0</v>
      </c>
      <c r="AB792" s="37" t="str">
        <f aca="false">IF($N792="","",IF(COUNTIF($N$8:$N792,$N792)=1,MAX($AB$7:$AB791)+1,""))</f>
        <v/>
      </c>
    </row>
    <row r="793" customFormat="false" ht="15" hidden="false" customHeight="false" outlineLevel="0" collapsed="false">
      <c r="L793" s="37" t="str">
        <f aca="false">IF(INDEX($A793:$J793,$L$6)&lt;&gt;"",TRIM(LEFT(INDEX($A793:$J793,$L$6),FIND("(",INDEX($A793:$J793,$L$6)&amp;"(")-1)),L792)</f>
        <v>Building Value Proposition</v>
      </c>
      <c r="M793" s="37" t="str">
        <f aca="false">IF(INDEX($A793:$J793,$M$6)="","",INDEX($A793:$J793,$M$6)&amp;"")</f>
        <v/>
      </c>
      <c r="N793" s="37" t="str">
        <f aca="false">IF($M793="","",TRIM(INDEX($A793:$J793,$N$6)&amp;""))</f>
        <v/>
      </c>
      <c r="O793" s="37" t="str">
        <f aca="false">IF($M793="","",TRIM(INDEX($A793:$J793,$O$6)&amp;""))</f>
        <v/>
      </c>
      <c r="P793" s="37" t="str">
        <f aca="false">IF($M793="","",IFERROR(IF(INDEX(Settings!$B$41:$B$50,MATCH(O793,Settings!$A$41:$A$50,0))&amp;""="","UNMAPPED",INDEX(Settings!$B$41:$B$50,MATCH(O793,Settings!$A$41:$A$50,0))&amp;""),"UNMAPPED"))</f>
        <v/>
      </c>
      <c r="Q793" s="38" t="n">
        <f aca="false">IF($M793="",0,N(INDEX($A793:$J793,$Q$6)))</f>
        <v>0</v>
      </c>
      <c r="R793" s="39" t="str">
        <f aca="false">IF($M793="","",INDEX($A793:$J793,$R$6))</f>
        <v/>
      </c>
      <c r="S793" s="37" t="str">
        <f aca="false">IF($M793="","",IFERROR(INDEX(Settings!$B$27:$B$36,MATCH(L793,Settings!$A$27:$A$36,0))&amp;"","UNMAPPED"))</f>
        <v/>
      </c>
      <c r="T793" s="37" t="str">
        <f aca="false">IF($M793="","",IF(NOT(ISNUMBER(R793)),"NO DATE",IF(S793="Won",IF(R793&gt;Settings!$B$5,"Backlog","Delivered"),IF(S793="Open",IF(R793&gt;Settings!$B$5,"Pipeline","Overdue"),IF(S793="Lost","Lost","UNMAPPED")))))</f>
        <v/>
      </c>
      <c r="U793" s="40" t="n">
        <f aca="false">IF(T793="Backlog",1,IF(OR(T793="Pipeline",T793="Overdue"),N(INDEX(Settings!$C$27:$C$36,MATCH(L793,Settings!$A$27:$A$36,0))),0))</f>
        <v>0</v>
      </c>
      <c r="V793" s="38" t="n">
        <f aca="false">Q793*U793</f>
        <v>0</v>
      </c>
      <c r="W793" s="41" t="str">
        <f aca="false">IF($M793="","",IF(T793="Overdue",IF(Settings!$B$8="Yes",Settings!$B$7,""),IF(ISNUMBER(R793),DATE(YEAR(R793),MONTH(R793),1),"")))</f>
        <v/>
      </c>
      <c r="X793" s="38" t="n">
        <f aca="false">IF(AND(OR(T793="Backlog",T793="Pipeline",T793="Overdue"),ISNUMBER(W793)),IF(W793&lt;=Settings!$B$6,V793,0),0)</f>
        <v>0</v>
      </c>
      <c r="Y793" s="38" t="n">
        <f aca="false">IF(AND(OR(T793="Backlog",T793="Pipeline",T793="Overdue"),ISNUMBER(W793)),IF(W793&lt;=Settings!$B$6,Q793,0),0)</f>
        <v>0</v>
      </c>
      <c r="Z793" s="38" t="n">
        <f aca="false">IF(Y793=0,0,IF(T793="Backlog",Q793,Q793*Dashboard!$C$10))</f>
        <v>0</v>
      </c>
      <c r="AA793" s="37" t="n">
        <f aca="false">IF($N793="",0,IF(COUNTIF(Dashboard!$C$13:$C$22,$N793)&gt;0,1,0))</f>
        <v>0</v>
      </c>
      <c r="AB793" s="37" t="str">
        <f aca="false">IF($N793="","",IF(COUNTIF($N$8:$N793,$N793)=1,MAX($AB$7:$AB792)+1,""))</f>
        <v/>
      </c>
    </row>
    <row r="794" customFormat="false" ht="15" hidden="false" customHeight="false" outlineLevel="0" collapsed="false">
      <c r="L794" s="37" t="str">
        <f aca="false">IF(INDEX($A794:$J794,$L$6)&lt;&gt;"",TRIM(LEFT(INDEX($A794:$J794,$L$6),FIND("(",INDEX($A794:$J794,$L$6)&amp;"(")-1)),L793)</f>
        <v>Building Value Proposition</v>
      </c>
      <c r="M794" s="37" t="str">
        <f aca="false">IF(INDEX($A794:$J794,$M$6)="","",INDEX($A794:$J794,$M$6)&amp;"")</f>
        <v/>
      </c>
      <c r="N794" s="37" t="str">
        <f aca="false">IF($M794="","",TRIM(INDEX($A794:$J794,$N$6)&amp;""))</f>
        <v/>
      </c>
      <c r="O794" s="37" t="str">
        <f aca="false">IF($M794="","",TRIM(INDEX($A794:$J794,$O$6)&amp;""))</f>
        <v/>
      </c>
      <c r="P794" s="37" t="str">
        <f aca="false">IF($M794="","",IFERROR(IF(INDEX(Settings!$B$41:$B$50,MATCH(O794,Settings!$A$41:$A$50,0))&amp;""="","UNMAPPED",INDEX(Settings!$B$41:$B$50,MATCH(O794,Settings!$A$41:$A$50,0))&amp;""),"UNMAPPED"))</f>
        <v/>
      </c>
      <c r="Q794" s="38" t="n">
        <f aca="false">IF($M794="",0,N(INDEX($A794:$J794,$Q$6)))</f>
        <v>0</v>
      </c>
      <c r="R794" s="39" t="str">
        <f aca="false">IF($M794="","",INDEX($A794:$J794,$R$6))</f>
        <v/>
      </c>
      <c r="S794" s="37" t="str">
        <f aca="false">IF($M794="","",IFERROR(INDEX(Settings!$B$27:$B$36,MATCH(L794,Settings!$A$27:$A$36,0))&amp;"","UNMAPPED"))</f>
        <v/>
      </c>
      <c r="T794" s="37" t="str">
        <f aca="false">IF($M794="","",IF(NOT(ISNUMBER(R794)),"NO DATE",IF(S794="Won",IF(R794&gt;Settings!$B$5,"Backlog","Delivered"),IF(S794="Open",IF(R794&gt;Settings!$B$5,"Pipeline","Overdue"),IF(S794="Lost","Lost","UNMAPPED")))))</f>
        <v/>
      </c>
      <c r="U794" s="40" t="n">
        <f aca="false">IF(T794="Backlog",1,IF(OR(T794="Pipeline",T794="Overdue"),N(INDEX(Settings!$C$27:$C$36,MATCH(L794,Settings!$A$27:$A$36,0))),0))</f>
        <v>0</v>
      </c>
      <c r="V794" s="38" t="n">
        <f aca="false">Q794*U794</f>
        <v>0</v>
      </c>
      <c r="W794" s="41" t="str">
        <f aca="false">IF($M794="","",IF(T794="Overdue",IF(Settings!$B$8="Yes",Settings!$B$7,""),IF(ISNUMBER(R794),DATE(YEAR(R794),MONTH(R794),1),"")))</f>
        <v/>
      </c>
      <c r="X794" s="38" t="n">
        <f aca="false">IF(AND(OR(T794="Backlog",T794="Pipeline",T794="Overdue"),ISNUMBER(W794)),IF(W794&lt;=Settings!$B$6,V794,0),0)</f>
        <v>0</v>
      </c>
      <c r="Y794" s="38" t="n">
        <f aca="false">IF(AND(OR(T794="Backlog",T794="Pipeline",T794="Overdue"),ISNUMBER(W794)),IF(W794&lt;=Settings!$B$6,Q794,0),0)</f>
        <v>0</v>
      </c>
      <c r="Z794" s="38" t="n">
        <f aca="false">IF(Y794=0,0,IF(T794="Backlog",Q794,Q794*Dashboard!$C$10))</f>
        <v>0</v>
      </c>
      <c r="AA794" s="37" t="n">
        <f aca="false">IF($N794="",0,IF(COUNTIF(Dashboard!$C$13:$C$22,$N794)&gt;0,1,0))</f>
        <v>0</v>
      </c>
      <c r="AB794" s="37" t="str">
        <f aca="false">IF($N794="","",IF(COUNTIF($N$8:$N794,$N794)=1,MAX($AB$7:$AB793)+1,""))</f>
        <v/>
      </c>
    </row>
    <row r="795" customFormat="false" ht="15" hidden="false" customHeight="false" outlineLevel="0" collapsed="false">
      <c r="L795" s="37" t="str">
        <f aca="false">IF(INDEX($A795:$J795,$L$6)&lt;&gt;"",TRIM(LEFT(INDEX($A795:$J795,$L$6),FIND("(",INDEX($A795:$J795,$L$6)&amp;"(")-1)),L794)</f>
        <v>Building Value Proposition</v>
      </c>
      <c r="M795" s="37" t="str">
        <f aca="false">IF(INDEX($A795:$J795,$M$6)="","",INDEX($A795:$J795,$M$6)&amp;"")</f>
        <v/>
      </c>
      <c r="N795" s="37" t="str">
        <f aca="false">IF($M795="","",TRIM(INDEX($A795:$J795,$N$6)&amp;""))</f>
        <v/>
      </c>
      <c r="O795" s="37" t="str">
        <f aca="false">IF($M795="","",TRIM(INDEX($A795:$J795,$O$6)&amp;""))</f>
        <v/>
      </c>
      <c r="P795" s="37" t="str">
        <f aca="false">IF($M795="","",IFERROR(IF(INDEX(Settings!$B$41:$B$50,MATCH(O795,Settings!$A$41:$A$50,0))&amp;""="","UNMAPPED",INDEX(Settings!$B$41:$B$50,MATCH(O795,Settings!$A$41:$A$50,0))&amp;""),"UNMAPPED"))</f>
        <v/>
      </c>
      <c r="Q795" s="38" t="n">
        <f aca="false">IF($M795="",0,N(INDEX($A795:$J795,$Q$6)))</f>
        <v>0</v>
      </c>
      <c r="R795" s="39" t="str">
        <f aca="false">IF($M795="","",INDEX($A795:$J795,$R$6))</f>
        <v/>
      </c>
      <c r="S795" s="37" t="str">
        <f aca="false">IF($M795="","",IFERROR(INDEX(Settings!$B$27:$B$36,MATCH(L795,Settings!$A$27:$A$36,0))&amp;"","UNMAPPED"))</f>
        <v/>
      </c>
      <c r="T795" s="37" t="str">
        <f aca="false">IF($M795="","",IF(NOT(ISNUMBER(R795)),"NO DATE",IF(S795="Won",IF(R795&gt;Settings!$B$5,"Backlog","Delivered"),IF(S795="Open",IF(R795&gt;Settings!$B$5,"Pipeline","Overdue"),IF(S795="Lost","Lost","UNMAPPED")))))</f>
        <v/>
      </c>
      <c r="U795" s="40" t="n">
        <f aca="false">IF(T795="Backlog",1,IF(OR(T795="Pipeline",T795="Overdue"),N(INDEX(Settings!$C$27:$C$36,MATCH(L795,Settings!$A$27:$A$36,0))),0))</f>
        <v>0</v>
      </c>
      <c r="V795" s="38" t="n">
        <f aca="false">Q795*U795</f>
        <v>0</v>
      </c>
      <c r="W795" s="41" t="str">
        <f aca="false">IF($M795="","",IF(T795="Overdue",IF(Settings!$B$8="Yes",Settings!$B$7,""),IF(ISNUMBER(R795),DATE(YEAR(R795),MONTH(R795),1),"")))</f>
        <v/>
      </c>
      <c r="X795" s="38" t="n">
        <f aca="false">IF(AND(OR(T795="Backlog",T795="Pipeline",T795="Overdue"),ISNUMBER(W795)),IF(W795&lt;=Settings!$B$6,V795,0),0)</f>
        <v>0</v>
      </c>
      <c r="Y795" s="38" t="n">
        <f aca="false">IF(AND(OR(T795="Backlog",T795="Pipeline",T795="Overdue"),ISNUMBER(W795)),IF(W795&lt;=Settings!$B$6,Q795,0),0)</f>
        <v>0</v>
      </c>
      <c r="Z795" s="38" t="n">
        <f aca="false">IF(Y795=0,0,IF(T795="Backlog",Q795,Q795*Dashboard!$C$10))</f>
        <v>0</v>
      </c>
      <c r="AA795" s="37" t="n">
        <f aca="false">IF($N795="",0,IF(COUNTIF(Dashboard!$C$13:$C$22,$N795)&gt;0,1,0))</f>
        <v>0</v>
      </c>
      <c r="AB795" s="37" t="str">
        <f aca="false">IF($N795="","",IF(COUNTIF($N$8:$N795,$N795)=1,MAX($AB$7:$AB794)+1,""))</f>
        <v/>
      </c>
    </row>
    <row r="796" customFormat="false" ht="15" hidden="false" customHeight="false" outlineLevel="0" collapsed="false">
      <c r="L796" s="37" t="str">
        <f aca="false">IF(INDEX($A796:$J796,$L$6)&lt;&gt;"",TRIM(LEFT(INDEX($A796:$J796,$L$6),FIND("(",INDEX($A796:$J796,$L$6)&amp;"(")-1)),L795)</f>
        <v>Building Value Proposition</v>
      </c>
      <c r="M796" s="37" t="str">
        <f aca="false">IF(INDEX($A796:$J796,$M$6)="","",INDEX($A796:$J796,$M$6)&amp;"")</f>
        <v/>
      </c>
      <c r="N796" s="37" t="str">
        <f aca="false">IF($M796="","",TRIM(INDEX($A796:$J796,$N$6)&amp;""))</f>
        <v/>
      </c>
      <c r="O796" s="37" t="str">
        <f aca="false">IF($M796="","",TRIM(INDEX($A796:$J796,$O$6)&amp;""))</f>
        <v/>
      </c>
      <c r="P796" s="37" t="str">
        <f aca="false">IF($M796="","",IFERROR(IF(INDEX(Settings!$B$41:$B$50,MATCH(O796,Settings!$A$41:$A$50,0))&amp;""="","UNMAPPED",INDEX(Settings!$B$41:$B$50,MATCH(O796,Settings!$A$41:$A$50,0))&amp;""),"UNMAPPED"))</f>
        <v/>
      </c>
      <c r="Q796" s="38" t="n">
        <f aca="false">IF($M796="",0,N(INDEX($A796:$J796,$Q$6)))</f>
        <v>0</v>
      </c>
      <c r="R796" s="39" t="str">
        <f aca="false">IF($M796="","",INDEX($A796:$J796,$R$6))</f>
        <v/>
      </c>
      <c r="S796" s="37" t="str">
        <f aca="false">IF($M796="","",IFERROR(INDEX(Settings!$B$27:$B$36,MATCH(L796,Settings!$A$27:$A$36,0))&amp;"","UNMAPPED"))</f>
        <v/>
      </c>
      <c r="T796" s="37" t="str">
        <f aca="false">IF($M796="","",IF(NOT(ISNUMBER(R796)),"NO DATE",IF(S796="Won",IF(R796&gt;Settings!$B$5,"Backlog","Delivered"),IF(S796="Open",IF(R796&gt;Settings!$B$5,"Pipeline","Overdue"),IF(S796="Lost","Lost","UNMAPPED")))))</f>
        <v/>
      </c>
      <c r="U796" s="40" t="n">
        <f aca="false">IF(T796="Backlog",1,IF(OR(T796="Pipeline",T796="Overdue"),N(INDEX(Settings!$C$27:$C$36,MATCH(L796,Settings!$A$27:$A$36,0))),0))</f>
        <v>0</v>
      </c>
      <c r="V796" s="38" t="n">
        <f aca="false">Q796*U796</f>
        <v>0</v>
      </c>
      <c r="W796" s="41" t="str">
        <f aca="false">IF($M796="","",IF(T796="Overdue",IF(Settings!$B$8="Yes",Settings!$B$7,""),IF(ISNUMBER(R796),DATE(YEAR(R796),MONTH(R796),1),"")))</f>
        <v/>
      </c>
      <c r="X796" s="38" t="n">
        <f aca="false">IF(AND(OR(T796="Backlog",T796="Pipeline",T796="Overdue"),ISNUMBER(W796)),IF(W796&lt;=Settings!$B$6,V796,0),0)</f>
        <v>0</v>
      </c>
      <c r="Y796" s="38" t="n">
        <f aca="false">IF(AND(OR(T796="Backlog",T796="Pipeline",T796="Overdue"),ISNUMBER(W796)),IF(W796&lt;=Settings!$B$6,Q796,0),0)</f>
        <v>0</v>
      </c>
      <c r="Z796" s="38" t="n">
        <f aca="false">IF(Y796=0,0,IF(T796="Backlog",Q796,Q796*Dashboard!$C$10))</f>
        <v>0</v>
      </c>
      <c r="AA796" s="37" t="n">
        <f aca="false">IF($N796="",0,IF(COUNTIF(Dashboard!$C$13:$C$22,$N796)&gt;0,1,0))</f>
        <v>0</v>
      </c>
      <c r="AB796" s="37" t="str">
        <f aca="false">IF($N796="","",IF(COUNTIF($N$8:$N796,$N796)=1,MAX($AB$7:$AB795)+1,""))</f>
        <v/>
      </c>
    </row>
    <row r="797" customFormat="false" ht="15" hidden="false" customHeight="false" outlineLevel="0" collapsed="false">
      <c r="L797" s="37" t="str">
        <f aca="false">IF(INDEX($A797:$J797,$L$6)&lt;&gt;"",TRIM(LEFT(INDEX($A797:$J797,$L$6),FIND("(",INDEX($A797:$J797,$L$6)&amp;"(")-1)),L796)</f>
        <v>Building Value Proposition</v>
      </c>
      <c r="M797" s="37" t="str">
        <f aca="false">IF(INDEX($A797:$J797,$M$6)="","",INDEX($A797:$J797,$M$6)&amp;"")</f>
        <v/>
      </c>
      <c r="N797" s="37" t="str">
        <f aca="false">IF($M797="","",TRIM(INDEX($A797:$J797,$N$6)&amp;""))</f>
        <v/>
      </c>
      <c r="O797" s="37" t="str">
        <f aca="false">IF($M797="","",TRIM(INDEX($A797:$J797,$O$6)&amp;""))</f>
        <v/>
      </c>
      <c r="P797" s="37" t="str">
        <f aca="false">IF($M797="","",IFERROR(IF(INDEX(Settings!$B$41:$B$50,MATCH(O797,Settings!$A$41:$A$50,0))&amp;""="","UNMAPPED",INDEX(Settings!$B$41:$B$50,MATCH(O797,Settings!$A$41:$A$50,0))&amp;""),"UNMAPPED"))</f>
        <v/>
      </c>
      <c r="Q797" s="38" t="n">
        <f aca="false">IF($M797="",0,N(INDEX($A797:$J797,$Q$6)))</f>
        <v>0</v>
      </c>
      <c r="R797" s="39" t="str">
        <f aca="false">IF($M797="","",INDEX($A797:$J797,$R$6))</f>
        <v/>
      </c>
      <c r="S797" s="37" t="str">
        <f aca="false">IF($M797="","",IFERROR(INDEX(Settings!$B$27:$B$36,MATCH(L797,Settings!$A$27:$A$36,0))&amp;"","UNMAPPED"))</f>
        <v/>
      </c>
      <c r="T797" s="37" t="str">
        <f aca="false">IF($M797="","",IF(NOT(ISNUMBER(R797)),"NO DATE",IF(S797="Won",IF(R797&gt;Settings!$B$5,"Backlog","Delivered"),IF(S797="Open",IF(R797&gt;Settings!$B$5,"Pipeline","Overdue"),IF(S797="Lost","Lost","UNMAPPED")))))</f>
        <v/>
      </c>
      <c r="U797" s="40" t="n">
        <f aca="false">IF(T797="Backlog",1,IF(OR(T797="Pipeline",T797="Overdue"),N(INDEX(Settings!$C$27:$C$36,MATCH(L797,Settings!$A$27:$A$36,0))),0))</f>
        <v>0</v>
      </c>
      <c r="V797" s="38" t="n">
        <f aca="false">Q797*U797</f>
        <v>0</v>
      </c>
      <c r="W797" s="41" t="str">
        <f aca="false">IF($M797="","",IF(T797="Overdue",IF(Settings!$B$8="Yes",Settings!$B$7,""),IF(ISNUMBER(R797),DATE(YEAR(R797),MONTH(R797),1),"")))</f>
        <v/>
      </c>
      <c r="X797" s="38" t="n">
        <f aca="false">IF(AND(OR(T797="Backlog",T797="Pipeline",T797="Overdue"),ISNUMBER(W797)),IF(W797&lt;=Settings!$B$6,V797,0),0)</f>
        <v>0</v>
      </c>
      <c r="Y797" s="38" t="n">
        <f aca="false">IF(AND(OR(T797="Backlog",T797="Pipeline",T797="Overdue"),ISNUMBER(W797)),IF(W797&lt;=Settings!$B$6,Q797,0),0)</f>
        <v>0</v>
      </c>
      <c r="Z797" s="38" t="n">
        <f aca="false">IF(Y797=0,0,IF(T797="Backlog",Q797,Q797*Dashboard!$C$10))</f>
        <v>0</v>
      </c>
      <c r="AA797" s="37" t="n">
        <f aca="false">IF($N797="",0,IF(COUNTIF(Dashboard!$C$13:$C$22,$N797)&gt;0,1,0))</f>
        <v>0</v>
      </c>
      <c r="AB797" s="37" t="str">
        <f aca="false">IF($N797="","",IF(COUNTIF($N$8:$N797,$N797)=1,MAX($AB$7:$AB796)+1,""))</f>
        <v/>
      </c>
    </row>
    <row r="798" customFormat="false" ht="15" hidden="false" customHeight="false" outlineLevel="0" collapsed="false">
      <c r="L798" s="37" t="str">
        <f aca="false">IF(INDEX($A798:$J798,$L$6)&lt;&gt;"",TRIM(LEFT(INDEX($A798:$J798,$L$6),FIND("(",INDEX($A798:$J798,$L$6)&amp;"(")-1)),L797)</f>
        <v>Building Value Proposition</v>
      </c>
      <c r="M798" s="37" t="str">
        <f aca="false">IF(INDEX($A798:$J798,$M$6)="","",INDEX($A798:$J798,$M$6)&amp;"")</f>
        <v/>
      </c>
      <c r="N798" s="37" t="str">
        <f aca="false">IF($M798="","",TRIM(INDEX($A798:$J798,$N$6)&amp;""))</f>
        <v/>
      </c>
      <c r="O798" s="37" t="str">
        <f aca="false">IF($M798="","",TRIM(INDEX($A798:$J798,$O$6)&amp;""))</f>
        <v/>
      </c>
      <c r="P798" s="37" t="str">
        <f aca="false">IF($M798="","",IFERROR(IF(INDEX(Settings!$B$41:$B$50,MATCH(O798,Settings!$A$41:$A$50,0))&amp;""="","UNMAPPED",INDEX(Settings!$B$41:$B$50,MATCH(O798,Settings!$A$41:$A$50,0))&amp;""),"UNMAPPED"))</f>
        <v/>
      </c>
      <c r="Q798" s="38" t="n">
        <f aca="false">IF($M798="",0,N(INDEX($A798:$J798,$Q$6)))</f>
        <v>0</v>
      </c>
      <c r="R798" s="39" t="str">
        <f aca="false">IF($M798="","",INDEX($A798:$J798,$R$6))</f>
        <v/>
      </c>
      <c r="S798" s="37" t="str">
        <f aca="false">IF($M798="","",IFERROR(INDEX(Settings!$B$27:$B$36,MATCH(L798,Settings!$A$27:$A$36,0))&amp;"","UNMAPPED"))</f>
        <v/>
      </c>
      <c r="T798" s="37" t="str">
        <f aca="false">IF($M798="","",IF(NOT(ISNUMBER(R798)),"NO DATE",IF(S798="Won",IF(R798&gt;Settings!$B$5,"Backlog","Delivered"),IF(S798="Open",IF(R798&gt;Settings!$B$5,"Pipeline","Overdue"),IF(S798="Lost","Lost","UNMAPPED")))))</f>
        <v/>
      </c>
      <c r="U798" s="40" t="n">
        <f aca="false">IF(T798="Backlog",1,IF(OR(T798="Pipeline",T798="Overdue"),N(INDEX(Settings!$C$27:$C$36,MATCH(L798,Settings!$A$27:$A$36,0))),0))</f>
        <v>0</v>
      </c>
      <c r="V798" s="38" t="n">
        <f aca="false">Q798*U798</f>
        <v>0</v>
      </c>
      <c r="W798" s="41" t="str">
        <f aca="false">IF($M798="","",IF(T798="Overdue",IF(Settings!$B$8="Yes",Settings!$B$7,""),IF(ISNUMBER(R798),DATE(YEAR(R798),MONTH(R798),1),"")))</f>
        <v/>
      </c>
      <c r="X798" s="38" t="n">
        <f aca="false">IF(AND(OR(T798="Backlog",T798="Pipeline",T798="Overdue"),ISNUMBER(W798)),IF(W798&lt;=Settings!$B$6,V798,0),0)</f>
        <v>0</v>
      </c>
      <c r="Y798" s="38" t="n">
        <f aca="false">IF(AND(OR(T798="Backlog",T798="Pipeline",T798="Overdue"),ISNUMBER(W798)),IF(W798&lt;=Settings!$B$6,Q798,0),0)</f>
        <v>0</v>
      </c>
      <c r="Z798" s="38" t="n">
        <f aca="false">IF(Y798=0,0,IF(T798="Backlog",Q798,Q798*Dashboard!$C$10))</f>
        <v>0</v>
      </c>
      <c r="AA798" s="37" t="n">
        <f aca="false">IF($N798="",0,IF(COUNTIF(Dashboard!$C$13:$C$22,$N798)&gt;0,1,0))</f>
        <v>0</v>
      </c>
      <c r="AB798" s="37" t="str">
        <f aca="false">IF($N798="","",IF(COUNTIF($N$8:$N798,$N798)=1,MAX($AB$7:$AB797)+1,""))</f>
        <v/>
      </c>
    </row>
    <row r="799" customFormat="false" ht="15" hidden="false" customHeight="false" outlineLevel="0" collapsed="false">
      <c r="L799" s="37" t="str">
        <f aca="false">IF(INDEX($A799:$J799,$L$6)&lt;&gt;"",TRIM(LEFT(INDEX($A799:$J799,$L$6),FIND("(",INDEX($A799:$J799,$L$6)&amp;"(")-1)),L798)</f>
        <v>Building Value Proposition</v>
      </c>
      <c r="M799" s="37" t="str">
        <f aca="false">IF(INDEX($A799:$J799,$M$6)="","",INDEX($A799:$J799,$M$6)&amp;"")</f>
        <v/>
      </c>
      <c r="N799" s="37" t="str">
        <f aca="false">IF($M799="","",TRIM(INDEX($A799:$J799,$N$6)&amp;""))</f>
        <v/>
      </c>
      <c r="O799" s="37" t="str">
        <f aca="false">IF($M799="","",TRIM(INDEX($A799:$J799,$O$6)&amp;""))</f>
        <v/>
      </c>
      <c r="P799" s="37" t="str">
        <f aca="false">IF($M799="","",IFERROR(IF(INDEX(Settings!$B$41:$B$50,MATCH(O799,Settings!$A$41:$A$50,0))&amp;""="","UNMAPPED",INDEX(Settings!$B$41:$B$50,MATCH(O799,Settings!$A$41:$A$50,0))&amp;""),"UNMAPPED"))</f>
        <v/>
      </c>
      <c r="Q799" s="38" t="n">
        <f aca="false">IF($M799="",0,N(INDEX($A799:$J799,$Q$6)))</f>
        <v>0</v>
      </c>
      <c r="R799" s="39" t="str">
        <f aca="false">IF($M799="","",INDEX($A799:$J799,$R$6))</f>
        <v/>
      </c>
      <c r="S799" s="37" t="str">
        <f aca="false">IF($M799="","",IFERROR(INDEX(Settings!$B$27:$B$36,MATCH(L799,Settings!$A$27:$A$36,0))&amp;"","UNMAPPED"))</f>
        <v/>
      </c>
      <c r="T799" s="37" t="str">
        <f aca="false">IF($M799="","",IF(NOT(ISNUMBER(R799)),"NO DATE",IF(S799="Won",IF(R799&gt;Settings!$B$5,"Backlog","Delivered"),IF(S799="Open",IF(R799&gt;Settings!$B$5,"Pipeline","Overdue"),IF(S799="Lost","Lost","UNMAPPED")))))</f>
        <v/>
      </c>
      <c r="U799" s="40" t="n">
        <f aca="false">IF(T799="Backlog",1,IF(OR(T799="Pipeline",T799="Overdue"),N(INDEX(Settings!$C$27:$C$36,MATCH(L799,Settings!$A$27:$A$36,0))),0))</f>
        <v>0</v>
      </c>
      <c r="V799" s="38" t="n">
        <f aca="false">Q799*U799</f>
        <v>0</v>
      </c>
      <c r="W799" s="41" t="str">
        <f aca="false">IF($M799="","",IF(T799="Overdue",IF(Settings!$B$8="Yes",Settings!$B$7,""),IF(ISNUMBER(R799),DATE(YEAR(R799),MONTH(R799),1),"")))</f>
        <v/>
      </c>
      <c r="X799" s="38" t="n">
        <f aca="false">IF(AND(OR(T799="Backlog",T799="Pipeline",T799="Overdue"),ISNUMBER(W799)),IF(W799&lt;=Settings!$B$6,V799,0),0)</f>
        <v>0</v>
      </c>
      <c r="Y799" s="38" t="n">
        <f aca="false">IF(AND(OR(T799="Backlog",T799="Pipeline",T799="Overdue"),ISNUMBER(W799)),IF(W799&lt;=Settings!$B$6,Q799,0),0)</f>
        <v>0</v>
      </c>
      <c r="Z799" s="38" t="n">
        <f aca="false">IF(Y799=0,0,IF(T799="Backlog",Q799,Q799*Dashboard!$C$10))</f>
        <v>0</v>
      </c>
      <c r="AA799" s="37" t="n">
        <f aca="false">IF($N799="",0,IF(COUNTIF(Dashboard!$C$13:$C$22,$N799)&gt;0,1,0))</f>
        <v>0</v>
      </c>
      <c r="AB799" s="37" t="str">
        <f aca="false">IF($N799="","",IF(COUNTIF($N$8:$N799,$N799)=1,MAX($AB$7:$AB798)+1,""))</f>
        <v/>
      </c>
    </row>
    <row r="800" customFormat="false" ht="15" hidden="false" customHeight="false" outlineLevel="0" collapsed="false">
      <c r="L800" s="37" t="str">
        <f aca="false">IF(INDEX($A800:$J800,$L$6)&lt;&gt;"",TRIM(LEFT(INDEX($A800:$J800,$L$6),FIND("(",INDEX($A800:$J800,$L$6)&amp;"(")-1)),L799)</f>
        <v>Building Value Proposition</v>
      </c>
      <c r="M800" s="37" t="str">
        <f aca="false">IF(INDEX($A800:$J800,$M$6)="","",INDEX($A800:$J800,$M$6)&amp;"")</f>
        <v/>
      </c>
      <c r="N800" s="37" t="str">
        <f aca="false">IF($M800="","",TRIM(INDEX($A800:$J800,$N$6)&amp;""))</f>
        <v/>
      </c>
      <c r="O800" s="37" t="str">
        <f aca="false">IF($M800="","",TRIM(INDEX($A800:$J800,$O$6)&amp;""))</f>
        <v/>
      </c>
      <c r="P800" s="37" t="str">
        <f aca="false">IF($M800="","",IFERROR(IF(INDEX(Settings!$B$41:$B$50,MATCH(O800,Settings!$A$41:$A$50,0))&amp;""="","UNMAPPED",INDEX(Settings!$B$41:$B$50,MATCH(O800,Settings!$A$41:$A$50,0))&amp;""),"UNMAPPED"))</f>
        <v/>
      </c>
      <c r="Q800" s="38" t="n">
        <f aca="false">IF($M800="",0,N(INDEX($A800:$J800,$Q$6)))</f>
        <v>0</v>
      </c>
      <c r="R800" s="39" t="str">
        <f aca="false">IF($M800="","",INDEX($A800:$J800,$R$6))</f>
        <v/>
      </c>
      <c r="S800" s="37" t="str">
        <f aca="false">IF($M800="","",IFERROR(INDEX(Settings!$B$27:$B$36,MATCH(L800,Settings!$A$27:$A$36,0))&amp;"","UNMAPPED"))</f>
        <v/>
      </c>
      <c r="T800" s="37" t="str">
        <f aca="false">IF($M800="","",IF(NOT(ISNUMBER(R800)),"NO DATE",IF(S800="Won",IF(R800&gt;Settings!$B$5,"Backlog","Delivered"),IF(S800="Open",IF(R800&gt;Settings!$B$5,"Pipeline","Overdue"),IF(S800="Lost","Lost","UNMAPPED")))))</f>
        <v/>
      </c>
      <c r="U800" s="40" t="n">
        <f aca="false">IF(T800="Backlog",1,IF(OR(T800="Pipeline",T800="Overdue"),N(INDEX(Settings!$C$27:$C$36,MATCH(L800,Settings!$A$27:$A$36,0))),0))</f>
        <v>0</v>
      </c>
      <c r="V800" s="38" t="n">
        <f aca="false">Q800*U800</f>
        <v>0</v>
      </c>
      <c r="W800" s="41" t="str">
        <f aca="false">IF($M800="","",IF(T800="Overdue",IF(Settings!$B$8="Yes",Settings!$B$7,""),IF(ISNUMBER(R800),DATE(YEAR(R800),MONTH(R800),1),"")))</f>
        <v/>
      </c>
      <c r="X800" s="38" t="n">
        <f aca="false">IF(AND(OR(T800="Backlog",T800="Pipeline",T800="Overdue"),ISNUMBER(W800)),IF(W800&lt;=Settings!$B$6,V800,0),0)</f>
        <v>0</v>
      </c>
      <c r="Y800" s="38" t="n">
        <f aca="false">IF(AND(OR(T800="Backlog",T800="Pipeline",T800="Overdue"),ISNUMBER(W800)),IF(W800&lt;=Settings!$B$6,Q800,0),0)</f>
        <v>0</v>
      </c>
      <c r="Z800" s="38" t="n">
        <f aca="false">IF(Y800=0,0,IF(T800="Backlog",Q800,Q800*Dashboard!$C$10))</f>
        <v>0</v>
      </c>
      <c r="AA800" s="37" t="n">
        <f aca="false">IF($N800="",0,IF(COUNTIF(Dashboard!$C$13:$C$22,$N800)&gt;0,1,0))</f>
        <v>0</v>
      </c>
      <c r="AB800" s="37" t="str">
        <f aca="false">IF($N800="","",IF(COUNTIF($N$8:$N800,$N800)=1,MAX($AB$7:$AB799)+1,""))</f>
        <v/>
      </c>
    </row>
    <row r="801" customFormat="false" ht="15" hidden="false" customHeight="false" outlineLevel="0" collapsed="false">
      <c r="L801" s="37" t="str">
        <f aca="false">IF(INDEX($A801:$J801,$L$6)&lt;&gt;"",TRIM(LEFT(INDEX($A801:$J801,$L$6),FIND("(",INDEX($A801:$J801,$L$6)&amp;"(")-1)),L800)</f>
        <v>Building Value Proposition</v>
      </c>
      <c r="M801" s="37" t="str">
        <f aca="false">IF(INDEX($A801:$J801,$M$6)="","",INDEX($A801:$J801,$M$6)&amp;"")</f>
        <v/>
      </c>
      <c r="N801" s="37" t="str">
        <f aca="false">IF($M801="","",TRIM(INDEX($A801:$J801,$N$6)&amp;""))</f>
        <v/>
      </c>
      <c r="O801" s="37" t="str">
        <f aca="false">IF($M801="","",TRIM(INDEX($A801:$J801,$O$6)&amp;""))</f>
        <v/>
      </c>
      <c r="P801" s="37" t="str">
        <f aca="false">IF($M801="","",IFERROR(IF(INDEX(Settings!$B$41:$B$50,MATCH(O801,Settings!$A$41:$A$50,0))&amp;""="","UNMAPPED",INDEX(Settings!$B$41:$B$50,MATCH(O801,Settings!$A$41:$A$50,0))&amp;""),"UNMAPPED"))</f>
        <v/>
      </c>
      <c r="Q801" s="38" t="n">
        <f aca="false">IF($M801="",0,N(INDEX($A801:$J801,$Q$6)))</f>
        <v>0</v>
      </c>
      <c r="R801" s="39" t="str">
        <f aca="false">IF($M801="","",INDEX($A801:$J801,$R$6))</f>
        <v/>
      </c>
      <c r="S801" s="37" t="str">
        <f aca="false">IF($M801="","",IFERROR(INDEX(Settings!$B$27:$B$36,MATCH(L801,Settings!$A$27:$A$36,0))&amp;"","UNMAPPED"))</f>
        <v/>
      </c>
      <c r="T801" s="37" t="str">
        <f aca="false">IF($M801="","",IF(NOT(ISNUMBER(R801)),"NO DATE",IF(S801="Won",IF(R801&gt;Settings!$B$5,"Backlog","Delivered"),IF(S801="Open",IF(R801&gt;Settings!$B$5,"Pipeline","Overdue"),IF(S801="Lost","Lost","UNMAPPED")))))</f>
        <v/>
      </c>
      <c r="U801" s="40" t="n">
        <f aca="false">IF(T801="Backlog",1,IF(OR(T801="Pipeline",T801="Overdue"),N(INDEX(Settings!$C$27:$C$36,MATCH(L801,Settings!$A$27:$A$36,0))),0))</f>
        <v>0</v>
      </c>
      <c r="V801" s="38" t="n">
        <f aca="false">Q801*U801</f>
        <v>0</v>
      </c>
      <c r="W801" s="41" t="str">
        <f aca="false">IF($M801="","",IF(T801="Overdue",IF(Settings!$B$8="Yes",Settings!$B$7,""),IF(ISNUMBER(R801),DATE(YEAR(R801),MONTH(R801),1),"")))</f>
        <v/>
      </c>
      <c r="X801" s="38" t="n">
        <f aca="false">IF(AND(OR(T801="Backlog",T801="Pipeline",T801="Overdue"),ISNUMBER(W801)),IF(W801&lt;=Settings!$B$6,V801,0),0)</f>
        <v>0</v>
      </c>
      <c r="Y801" s="38" t="n">
        <f aca="false">IF(AND(OR(T801="Backlog",T801="Pipeline",T801="Overdue"),ISNUMBER(W801)),IF(W801&lt;=Settings!$B$6,Q801,0),0)</f>
        <v>0</v>
      </c>
      <c r="Z801" s="38" t="n">
        <f aca="false">IF(Y801=0,0,IF(T801="Backlog",Q801,Q801*Dashboard!$C$10))</f>
        <v>0</v>
      </c>
      <c r="AA801" s="37" t="n">
        <f aca="false">IF($N801="",0,IF(COUNTIF(Dashboard!$C$13:$C$22,$N801)&gt;0,1,0))</f>
        <v>0</v>
      </c>
      <c r="AB801" s="37" t="str">
        <f aca="false">IF($N801="","",IF(COUNTIF($N$8:$N801,$N801)=1,MAX($AB$7:$AB800)+1,""))</f>
        <v/>
      </c>
    </row>
    <row r="802" customFormat="false" ht="15" hidden="false" customHeight="false" outlineLevel="0" collapsed="false">
      <c r="L802" s="37" t="str">
        <f aca="false">IF(INDEX($A802:$J802,$L$6)&lt;&gt;"",TRIM(LEFT(INDEX($A802:$J802,$L$6),FIND("(",INDEX($A802:$J802,$L$6)&amp;"(")-1)),L801)</f>
        <v>Building Value Proposition</v>
      </c>
      <c r="M802" s="37" t="str">
        <f aca="false">IF(INDEX($A802:$J802,$M$6)="","",INDEX($A802:$J802,$M$6)&amp;"")</f>
        <v/>
      </c>
      <c r="N802" s="37" t="str">
        <f aca="false">IF($M802="","",TRIM(INDEX($A802:$J802,$N$6)&amp;""))</f>
        <v/>
      </c>
      <c r="O802" s="37" t="str">
        <f aca="false">IF($M802="","",TRIM(INDEX($A802:$J802,$O$6)&amp;""))</f>
        <v/>
      </c>
      <c r="P802" s="37" t="str">
        <f aca="false">IF($M802="","",IFERROR(IF(INDEX(Settings!$B$41:$B$50,MATCH(O802,Settings!$A$41:$A$50,0))&amp;""="","UNMAPPED",INDEX(Settings!$B$41:$B$50,MATCH(O802,Settings!$A$41:$A$50,0))&amp;""),"UNMAPPED"))</f>
        <v/>
      </c>
      <c r="Q802" s="38" t="n">
        <f aca="false">IF($M802="",0,N(INDEX($A802:$J802,$Q$6)))</f>
        <v>0</v>
      </c>
      <c r="R802" s="39" t="str">
        <f aca="false">IF($M802="","",INDEX($A802:$J802,$R$6))</f>
        <v/>
      </c>
      <c r="S802" s="37" t="str">
        <f aca="false">IF($M802="","",IFERROR(INDEX(Settings!$B$27:$B$36,MATCH(L802,Settings!$A$27:$A$36,0))&amp;"","UNMAPPED"))</f>
        <v/>
      </c>
      <c r="T802" s="37" t="str">
        <f aca="false">IF($M802="","",IF(NOT(ISNUMBER(R802)),"NO DATE",IF(S802="Won",IF(R802&gt;Settings!$B$5,"Backlog","Delivered"),IF(S802="Open",IF(R802&gt;Settings!$B$5,"Pipeline","Overdue"),IF(S802="Lost","Lost","UNMAPPED")))))</f>
        <v/>
      </c>
      <c r="U802" s="40" t="n">
        <f aca="false">IF(T802="Backlog",1,IF(OR(T802="Pipeline",T802="Overdue"),N(INDEX(Settings!$C$27:$C$36,MATCH(L802,Settings!$A$27:$A$36,0))),0))</f>
        <v>0</v>
      </c>
      <c r="V802" s="38" t="n">
        <f aca="false">Q802*U802</f>
        <v>0</v>
      </c>
      <c r="W802" s="41" t="str">
        <f aca="false">IF($M802="","",IF(T802="Overdue",IF(Settings!$B$8="Yes",Settings!$B$7,""),IF(ISNUMBER(R802),DATE(YEAR(R802),MONTH(R802),1),"")))</f>
        <v/>
      </c>
      <c r="X802" s="38" t="n">
        <f aca="false">IF(AND(OR(T802="Backlog",T802="Pipeline",T802="Overdue"),ISNUMBER(W802)),IF(W802&lt;=Settings!$B$6,V802,0),0)</f>
        <v>0</v>
      </c>
      <c r="Y802" s="38" t="n">
        <f aca="false">IF(AND(OR(T802="Backlog",T802="Pipeline",T802="Overdue"),ISNUMBER(W802)),IF(W802&lt;=Settings!$B$6,Q802,0),0)</f>
        <v>0</v>
      </c>
      <c r="Z802" s="38" t="n">
        <f aca="false">IF(Y802=0,0,IF(T802="Backlog",Q802,Q802*Dashboard!$C$10))</f>
        <v>0</v>
      </c>
      <c r="AA802" s="37" t="n">
        <f aca="false">IF($N802="",0,IF(COUNTIF(Dashboard!$C$13:$C$22,$N802)&gt;0,1,0))</f>
        <v>0</v>
      </c>
      <c r="AB802" s="37" t="str">
        <f aca="false">IF($N802="","",IF(COUNTIF($N$8:$N802,$N802)=1,MAX($AB$7:$AB801)+1,""))</f>
        <v/>
      </c>
    </row>
    <row r="803" customFormat="false" ht="15" hidden="false" customHeight="false" outlineLevel="0" collapsed="false">
      <c r="L803" s="37" t="str">
        <f aca="false">IF(INDEX($A803:$J803,$L$6)&lt;&gt;"",TRIM(LEFT(INDEX($A803:$J803,$L$6),FIND("(",INDEX($A803:$J803,$L$6)&amp;"(")-1)),L802)</f>
        <v>Building Value Proposition</v>
      </c>
      <c r="M803" s="37" t="str">
        <f aca="false">IF(INDEX($A803:$J803,$M$6)="","",INDEX($A803:$J803,$M$6)&amp;"")</f>
        <v/>
      </c>
      <c r="N803" s="37" t="str">
        <f aca="false">IF($M803="","",TRIM(INDEX($A803:$J803,$N$6)&amp;""))</f>
        <v/>
      </c>
      <c r="O803" s="37" t="str">
        <f aca="false">IF($M803="","",TRIM(INDEX($A803:$J803,$O$6)&amp;""))</f>
        <v/>
      </c>
      <c r="P803" s="37" t="str">
        <f aca="false">IF($M803="","",IFERROR(IF(INDEX(Settings!$B$41:$B$50,MATCH(O803,Settings!$A$41:$A$50,0))&amp;""="","UNMAPPED",INDEX(Settings!$B$41:$B$50,MATCH(O803,Settings!$A$41:$A$50,0))&amp;""),"UNMAPPED"))</f>
        <v/>
      </c>
      <c r="Q803" s="38" t="n">
        <f aca="false">IF($M803="",0,N(INDEX($A803:$J803,$Q$6)))</f>
        <v>0</v>
      </c>
      <c r="R803" s="39" t="str">
        <f aca="false">IF($M803="","",INDEX($A803:$J803,$R$6))</f>
        <v/>
      </c>
      <c r="S803" s="37" t="str">
        <f aca="false">IF($M803="","",IFERROR(INDEX(Settings!$B$27:$B$36,MATCH(L803,Settings!$A$27:$A$36,0))&amp;"","UNMAPPED"))</f>
        <v/>
      </c>
      <c r="T803" s="37" t="str">
        <f aca="false">IF($M803="","",IF(NOT(ISNUMBER(R803)),"NO DATE",IF(S803="Won",IF(R803&gt;Settings!$B$5,"Backlog","Delivered"),IF(S803="Open",IF(R803&gt;Settings!$B$5,"Pipeline","Overdue"),IF(S803="Lost","Lost","UNMAPPED")))))</f>
        <v/>
      </c>
      <c r="U803" s="40" t="n">
        <f aca="false">IF(T803="Backlog",1,IF(OR(T803="Pipeline",T803="Overdue"),N(INDEX(Settings!$C$27:$C$36,MATCH(L803,Settings!$A$27:$A$36,0))),0))</f>
        <v>0</v>
      </c>
      <c r="V803" s="38" t="n">
        <f aca="false">Q803*U803</f>
        <v>0</v>
      </c>
      <c r="W803" s="41" t="str">
        <f aca="false">IF($M803="","",IF(T803="Overdue",IF(Settings!$B$8="Yes",Settings!$B$7,""),IF(ISNUMBER(R803),DATE(YEAR(R803),MONTH(R803),1),"")))</f>
        <v/>
      </c>
      <c r="X803" s="38" t="n">
        <f aca="false">IF(AND(OR(T803="Backlog",T803="Pipeline",T803="Overdue"),ISNUMBER(W803)),IF(W803&lt;=Settings!$B$6,V803,0),0)</f>
        <v>0</v>
      </c>
      <c r="Y803" s="38" t="n">
        <f aca="false">IF(AND(OR(T803="Backlog",T803="Pipeline",T803="Overdue"),ISNUMBER(W803)),IF(W803&lt;=Settings!$B$6,Q803,0),0)</f>
        <v>0</v>
      </c>
      <c r="Z803" s="38" t="n">
        <f aca="false">IF(Y803=0,0,IF(T803="Backlog",Q803,Q803*Dashboard!$C$10))</f>
        <v>0</v>
      </c>
      <c r="AA803" s="37" t="n">
        <f aca="false">IF($N803="",0,IF(COUNTIF(Dashboard!$C$13:$C$22,$N803)&gt;0,1,0))</f>
        <v>0</v>
      </c>
      <c r="AB803" s="37" t="str">
        <f aca="false">IF($N803="","",IF(COUNTIF($N$8:$N803,$N803)=1,MAX($AB$7:$AB802)+1,""))</f>
        <v/>
      </c>
    </row>
    <row r="804" customFormat="false" ht="15" hidden="false" customHeight="false" outlineLevel="0" collapsed="false">
      <c r="L804" s="37" t="str">
        <f aca="false">IF(INDEX($A804:$J804,$L$6)&lt;&gt;"",TRIM(LEFT(INDEX($A804:$J804,$L$6),FIND("(",INDEX($A804:$J804,$L$6)&amp;"(")-1)),L803)</f>
        <v>Building Value Proposition</v>
      </c>
      <c r="M804" s="37" t="str">
        <f aca="false">IF(INDEX($A804:$J804,$M$6)="","",INDEX($A804:$J804,$M$6)&amp;"")</f>
        <v/>
      </c>
      <c r="N804" s="37" t="str">
        <f aca="false">IF($M804="","",TRIM(INDEX($A804:$J804,$N$6)&amp;""))</f>
        <v/>
      </c>
      <c r="O804" s="37" t="str">
        <f aca="false">IF($M804="","",TRIM(INDEX($A804:$J804,$O$6)&amp;""))</f>
        <v/>
      </c>
      <c r="P804" s="37" t="str">
        <f aca="false">IF($M804="","",IFERROR(IF(INDEX(Settings!$B$41:$B$50,MATCH(O804,Settings!$A$41:$A$50,0))&amp;""="","UNMAPPED",INDEX(Settings!$B$41:$B$50,MATCH(O804,Settings!$A$41:$A$50,0))&amp;""),"UNMAPPED"))</f>
        <v/>
      </c>
      <c r="Q804" s="38" t="n">
        <f aca="false">IF($M804="",0,N(INDEX($A804:$J804,$Q$6)))</f>
        <v>0</v>
      </c>
      <c r="R804" s="39" t="str">
        <f aca="false">IF($M804="","",INDEX($A804:$J804,$R$6))</f>
        <v/>
      </c>
      <c r="S804" s="37" t="str">
        <f aca="false">IF($M804="","",IFERROR(INDEX(Settings!$B$27:$B$36,MATCH(L804,Settings!$A$27:$A$36,0))&amp;"","UNMAPPED"))</f>
        <v/>
      </c>
      <c r="T804" s="37" t="str">
        <f aca="false">IF($M804="","",IF(NOT(ISNUMBER(R804)),"NO DATE",IF(S804="Won",IF(R804&gt;Settings!$B$5,"Backlog","Delivered"),IF(S804="Open",IF(R804&gt;Settings!$B$5,"Pipeline","Overdue"),IF(S804="Lost","Lost","UNMAPPED")))))</f>
        <v/>
      </c>
      <c r="U804" s="40" t="n">
        <f aca="false">IF(T804="Backlog",1,IF(OR(T804="Pipeline",T804="Overdue"),N(INDEX(Settings!$C$27:$C$36,MATCH(L804,Settings!$A$27:$A$36,0))),0))</f>
        <v>0</v>
      </c>
      <c r="V804" s="38" t="n">
        <f aca="false">Q804*U804</f>
        <v>0</v>
      </c>
      <c r="W804" s="41" t="str">
        <f aca="false">IF($M804="","",IF(T804="Overdue",IF(Settings!$B$8="Yes",Settings!$B$7,""),IF(ISNUMBER(R804),DATE(YEAR(R804),MONTH(R804),1),"")))</f>
        <v/>
      </c>
      <c r="X804" s="38" t="n">
        <f aca="false">IF(AND(OR(T804="Backlog",T804="Pipeline",T804="Overdue"),ISNUMBER(W804)),IF(W804&lt;=Settings!$B$6,V804,0),0)</f>
        <v>0</v>
      </c>
      <c r="Y804" s="38" t="n">
        <f aca="false">IF(AND(OR(T804="Backlog",T804="Pipeline",T804="Overdue"),ISNUMBER(W804)),IF(W804&lt;=Settings!$B$6,Q804,0),0)</f>
        <v>0</v>
      </c>
      <c r="Z804" s="38" t="n">
        <f aca="false">IF(Y804=0,0,IF(T804="Backlog",Q804,Q804*Dashboard!$C$10))</f>
        <v>0</v>
      </c>
      <c r="AA804" s="37" t="n">
        <f aca="false">IF($N804="",0,IF(COUNTIF(Dashboard!$C$13:$C$22,$N804)&gt;0,1,0))</f>
        <v>0</v>
      </c>
      <c r="AB804" s="37" t="str">
        <f aca="false">IF($N804="","",IF(COUNTIF($N$8:$N804,$N804)=1,MAX($AB$7:$AB803)+1,""))</f>
        <v/>
      </c>
    </row>
    <row r="805" customFormat="false" ht="15" hidden="false" customHeight="false" outlineLevel="0" collapsed="false">
      <c r="L805" s="37" t="str">
        <f aca="false">IF(INDEX($A805:$J805,$L$6)&lt;&gt;"",TRIM(LEFT(INDEX($A805:$J805,$L$6),FIND("(",INDEX($A805:$J805,$L$6)&amp;"(")-1)),L804)</f>
        <v>Building Value Proposition</v>
      </c>
      <c r="M805" s="37" t="str">
        <f aca="false">IF(INDEX($A805:$J805,$M$6)="","",INDEX($A805:$J805,$M$6)&amp;"")</f>
        <v/>
      </c>
      <c r="N805" s="37" t="str">
        <f aca="false">IF($M805="","",TRIM(INDEX($A805:$J805,$N$6)&amp;""))</f>
        <v/>
      </c>
      <c r="O805" s="37" t="str">
        <f aca="false">IF($M805="","",TRIM(INDEX($A805:$J805,$O$6)&amp;""))</f>
        <v/>
      </c>
      <c r="P805" s="37" t="str">
        <f aca="false">IF($M805="","",IFERROR(IF(INDEX(Settings!$B$41:$B$50,MATCH(O805,Settings!$A$41:$A$50,0))&amp;""="","UNMAPPED",INDEX(Settings!$B$41:$B$50,MATCH(O805,Settings!$A$41:$A$50,0))&amp;""),"UNMAPPED"))</f>
        <v/>
      </c>
      <c r="Q805" s="38" t="n">
        <f aca="false">IF($M805="",0,N(INDEX($A805:$J805,$Q$6)))</f>
        <v>0</v>
      </c>
      <c r="R805" s="39" t="str">
        <f aca="false">IF($M805="","",INDEX($A805:$J805,$R$6))</f>
        <v/>
      </c>
      <c r="S805" s="37" t="str">
        <f aca="false">IF($M805="","",IFERROR(INDEX(Settings!$B$27:$B$36,MATCH(L805,Settings!$A$27:$A$36,0))&amp;"","UNMAPPED"))</f>
        <v/>
      </c>
      <c r="T805" s="37" t="str">
        <f aca="false">IF($M805="","",IF(NOT(ISNUMBER(R805)),"NO DATE",IF(S805="Won",IF(R805&gt;Settings!$B$5,"Backlog","Delivered"),IF(S805="Open",IF(R805&gt;Settings!$B$5,"Pipeline","Overdue"),IF(S805="Lost","Lost","UNMAPPED")))))</f>
        <v/>
      </c>
      <c r="U805" s="40" t="n">
        <f aca="false">IF(T805="Backlog",1,IF(OR(T805="Pipeline",T805="Overdue"),N(INDEX(Settings!$C$27:$C$36,MATCH(L805,Settings!$A$27:$A$36,0))),0))</f>
        <v>0</v>
      </c>
      <c r="V805" s="38" t="n">
        <f aca="false">Q805*U805</f>
        <v>0</v>
      </c>
      <c r="W805" s="41" t="str">
        <f aca="false">IF($M805="","",IF(T805="Overdue",IF(Settings!$B$8="Yes",Settings!$B$7,""),IF(ISNUMBER(R805),DATE(YEAR(R805),MONTH(R805),1),"")))</f>
        <v/>
      </c>
      <c r="X805" s="38" t="n">
        <f aca="false">IF(AND(OR(T805="Backlog",T805="Pipeline",T805="Overdue"),ISNUMBER(W805)),IF(W805&lt;=Settings!$B$6,V805,0),0)</f>
        <v>0</v>
      </c>
      <c r="Y805" s="38" t="n">
        <f aca="false">IF(AND(OR(T805="Backlog",T805="Pipeline",T805="Overdue"),ISNUMBER(W805)),IF(W805&lt;=Settings!$B$6,Q805,0),0)</f>
        <v>0</v>
      </c>
      <c r="Z805" s="38" t="n">
        <f aca="false">IF(Y805=0,0,IF(T805="Backlog",Q805,Q805*Dashboard!$C$10))</f>
        <v>0</v>
      </c>
      <c r="AA805" s="37" t="n">
        <f aca="false">IF($N805="",0,IF(COUNTIF(Dashboard!$C$13:$C$22,$N805)&gt;0,1,0))</f>
        <v>0</v>
      </c>
      <c r="AB805" s="37" t="str">
        <f aca="false">IF($N805="","",IF(COUNTIF($N$8:$N805,$N805)=1,MAX($AB$7:$AB804)+1,""))</f>
        <v/>
      </c>
    </row>
    <row r="806" customFormat="false" ht="15" hidden="false" customHeight="false" outlineLevel="0" collapsed="false">
      <c r="L806" s="37" t="str">
        <f aca="false">IF(INDEX($A806:$J806,$L$6)&lt;&gt;"",TRIM(LEFT(INDEX($A806:$J806,$L$6),FIND("(",INDEX($A806:$J806,$L$6)&amp;"(")-1)),L805)</f>
        <v>Building Value Proposition</v>
      </c>
      <c r="M806" s="37" t="str">
        <f aca="false">IF(INDEX($A806:$J806,$M$6)="","",INDEX($A806:$J806,$M$6)&amp;"")</f>
        <v/>
      </c>
      <c r="N806" s="37" t="str">
        <f aca="false">IF($M806="","",TRIM(INDEX($A806:$J806,$N$6)&amp;""))</f>
        <v/>
      </c>
      <c r="O806" s="37" t="str">
        <f aca="false">IF($M806="","",TRIM(INDEX($A806:$J806,$O$6)&amp;""))</f>
        <v/>
      </c>
      <c r="P806" s="37" t="str">
        <f aca="false">IF($M806="","",IFERROR(IF(INDEX(Settings!$B$41:$B$50,MATCH(O806,Settings!$A$41:$A$50,0))&amp;""="","UNMAPPED",INDEX(Settings!$B$41:$B$50,MATCH(O806,Settings!$A$41:$A$50,0))&amp;""),"UNMAPPED"))</f>
        <v/>
      </c>
      <c r="Q806" s="38" t="n">
        <f aca="false">IF($M806="",0,N(INDEX($A806:$J806,$Q$6)))</f>
        <v>0</v>
      </c>
      <c r="R806" s="39" t="str">
        <f aca="false">IF($M806="","",INDEX($A806:$J806,$R$6))</f>
        <v/>
      </c>
      <c r="S806" s="37" t="str">
        <f aca="false">IF($M806="","",IFERROR(INDEX(Settings!$B$27:$B$36,MATCH(L806,Settings!$A$27:$A$36,0))&amp;"","UNMAPPED"))</f>
        <v/>
      </c>
      <c r="T806" s="37" t="str">
        <f aca="false">IF($M806="","",IF(NOT(ISNUMBER(R806)),"NO DATE",IF(S806="Won",IF(R806&gt;Settings!$B$5,"Backlog","Delivered"),IF(S806="Open",IF(R806&gt;Settings!$B$5,"Pipeline","Overdue"),IF(S806="Lost","Lost","UNMAPPED")))))</f>
        <v/>
      </c>
      <c r="U806" s="40" t="n">
        <f aca="false">IF(T806="Backlog",1,IF(OR(T806="Pipeline",T806="Overdue"),N(INDEX(Settings!$C$27:$C$36,MATCH(L806,Settings!$A$27:$A$36,0))),0))</f>
        <v>0</v>
      </c>
      <c r="V806" s="38" t="n">
        <f aca="false">Q806*U806</f>
        <v>0</v>
      </c>
      <c r="W806" s="41" t="str">
        <f aca="false">IF($M806="","",IF(T806="Overdue",IF(Settings!$B$8="Yes",Settings!$B$7,""),IF(ISNUMBER(R806),DATE(YEAR(R806),MONTH(R806),1),"")))</f>
        <v/>
      </c>
      <c r="X806" s="38" t="n">
        <f aca="false">IF(AND(OR(T806="Backlog",T806="Pipeline",T806="Overdue"),ISNUMBER(W806)),IF(W806&lt;=Settings!$B$6,V806,0),0)</f>
        <v>0</v>
      </c>
      <c r="Y806" s="38" t="n">
        <f aca="false">IF(AND(OR(T806="Backlog",T806="Pipeline",T806="Overdue"),ISNUMBER(W806)),IF(W806&lt;=Settings!$B$6,Q806,0),0)</f>
        <v>0</v>
      </c>
      <c r="Z806" s="38" t="n">
        <f aca="false">IF(Y806=0,0,IF(T806="Backlog",Q806,Q806*Dashboard!$C$10))</f>
        <v>0</v>
      </c>
      <c r="AA806" s="37" t="n">
        <f aca="false">IF($N806="",0,IF(COUNTIF(Dashboard!$C$13:$C$22,$N806)&gt;0,1,0))</f>
        <v>0</v>
      </c>
      <c r="AB806" s="37" t="str">
        <f aca="false">IF($N806="","",IF(COUNTIF($N$8:$N806,$N806)=1,MAX($AB$7:$AB805)+1,""))</f>
        <v/>
      </c>
    </row>
    <row r="807" customFormat="false" ht="15" hidden="false" customHeight="false" outlineLevel="0" collapsed="false">
      <c r="L807" s="37" t="str">
        <f aca="false">IF(INDEX($A807:$J807,$L$6)&lt;&gt;"",TRIM(LEFT(INDEX($A807:$J807,$L$6),FIND("(",INDEX($A807:$J807,$L$6)&amp;"(")-1)),L806)</f>
        <v>Building Value Proposition</v>
      </c>
      <c r="M807" s="37" t="str">
        <f aca="false">IF(INDEX($A807:$J807,$M$6)="","",INDEX($A807:$J807,$M$6)&amp;"")</f>
        <v/>
      </c>
      <c r="N807" s="37" t="str">
        <f aca="false">IF($M807="","",TRIM(INDEX($A807:$J807,$N$6)&amp;""))</f>
        <v/>
      </c>
      <c r="O807" s="37" t="str">
        <f aca="false">IF($M807="","",TRIM(INDEX($A807:$J807,$O$6)&amp;""))</f>
        <v/>
      </c>
      <c r="P807" s="37" t="str">
        <f aca="false">IF($M807="","",IFERROR(IF(INDEX(Settings!$B$41:$B$50,MATCH(O807,Settings!$A$41:$A$50,0))&amp;""="","UNMAPPED",INDEX(Settings!$B$41:$B$50,MATCH(O807,Settings!$A$41:$A$50,0))&amp;""),"UNMAPPED"))</f>
        <v/>
      </c>
      <c r="Q807" s="38" t="n">
        <f aca="false">IF($M807="",0,N(INDEX($A807:$J807,$Q$6)))</f>
        <v>0</v>
      </c>
      <c r="R807" s="39" t="str">
        <f aca="false">IF($M807="","",INDEX($A807:$J807,$R$6))</f>
        <v/>
      </c>
      <c r="S807" s="37" t="str">
        <f aca="false">IF($M807="","",IFERROR(INDEX(Settings!$B$27:$B$36,MATCH(L807,Settings!$A$27:$A$36,0))&amp;"","UNMAPPED"))</f>
        <v/>
      </c>
      <c r="T807" s="37" t="str">
        <f aca="false">IF($M807="","",IF(NOT(ISNUMBER(R807)),"NO DATE",IF(S807="Won",IF(R807&gt;Settings!$B$5,"Backlog","Delivered"),IF(S807="Open",IF(R807&gt;Settings!$B$5,"Pipeline","Overdue"),IF(S807="Lost","Lost","UNMAPPED")))))</f>
        <v/>
      </c>
      <c r="U807" s="40" t="n">
        <f aca="false">IF(T807="Backlog",1,IF(OR(T807="Pipeline",T807="Overdue"),N(INDEX(Settings!$C$27:$C$36,MATCH(L807,Settings!$A$27:$A$36,0))),0))</f>
        <v>0</v>
      </c>
      <c r="V807" s="38" t="n">
        <f aca="false">Q807*U807</f>
        <v>0</v>
      </c>
      <c r="W807" s="41" t="str">
        <f aca="false">IF($M807="","",IF(T807="Overdue",IF(Settings!$B$8="Yes",Settings!$B$7,""),IF(ISNUMBER(R807),DATE(YEAR(R807),MONTH(R807),1),"")))</f>
        <v/>
      </c>
      <c r="X807" s="38" t="n">
        <f aca="false">IF(AND(OR(T807="Backlog",T807="Pipeline",T807="Overdue"),ISNUMBER(W807)),IF(W807&lt;=Settings!$B$6,V807,0),0)</f>
        <v>0</v>
      </c>
      <c r="Y807" s="38" t="n">
        <f aca="false">IF(AND(OR(T807="Backlog",T807="Pipeline",T807="Overdue"),ISNUMBER(W807)),IF(W807&lt;=Settings!$B$6,Q807,0),0)</f>
        <v>0</v>
      </c>
      <c r="Z807" s="38" t="n">
        <f aca="false">IF(Y807=0,0,IF(T807="Backlog",Q807,Q807*Dashboard!$C$10))</f>
        <v>0</v>
      </c>
      <c r="AA807" s="37" t="n">
        <f aca="false">IF($N807="",0,IF(COUNTIF(Dashboard!$C$13:$C$22,$N807)&gt;0,1,0))</f>
        <v>0</v>
      </c>
      <c r="AB807" s="37" t="str">
        <f aca="false">IF($N807="","",IF(COUNTIF($N$8:$N807,$N807)=1,MAX($AB$7:$AB806)+1,""))</f>
        <v/>
      </c>
    </row>
    <row r="808" customFormat="false" ht="15" hidden="false" customHeight="false" outlineLevel="0" collapsed="false">
      <c r="L808" s="37" t="str">
        <f aca="false">IF(INDEX($A808:$J808,$L$6)&lt;&gt;"",TRIM(LEFT(INDEX($A808:$J808,$L$6),FIND("(",INDEX($A808:$J808,$L$6)&amp;"(")-1)),L807)</f>
        <v>Building Value Proposition</v>
      </c>
      <c r="M808" s="37" t="str">
        <f aca="false">IF(INDEX($A808:$J808,$M$6)="","",INDEX($A808:$J808,$M$6)&amp;"")</f>
        <v/>
      </c>
      <c r="N808" s="37" t="str">
        <f aca="false">IF($M808="","",TRIM(INDEX($A808:$J808,$N$6)&amp;""))</f>
        <v/>
      </c>
      <c r="O808" s="37" t="str">
        <f aca="false">IF($M808="","",TRIM(INDEX($A808:$J808,$O$6)&amp;""))</f>
        <v/>
      </c>
      <c r="P808" s="37" t="str">
        <f aca="false">IF($M808="","",IFERROR(IF(INDEX(Settings!$B$41:$B$50,MATCH(O808,Settings!$A$41:$A$50,0))&amp;""="","UNMAPPED",INDEX(Settings!$B$41:$B$50,MATCH(O808,Settings!$A$41:$A$50,0))&amp;""),"UNMAPPED"))</f>
        <v/>
      </c>
      <c r="Q808" s="38" t="n">
        <f aca="false">IF($M808="",0,N(INDEX($A808:$J808,$Q$6)))</f>
        <v>0</v>
      </c>
      <c r="R808" s="39" t="str">
        <f aca="false">IF($M808="","",INDEX($A808:$J808,$R$6))</f>
        <v/>
      </c>
      <c r="S808" s="37" t="str">
        <f aca="false">IF($M808="","",IFERROR(INDEX(Settings!$B$27:$B$36,MATCH(L808,Settings!$A$27:$A$36,0))&amp;"","UNMAPPED"))</f>
        <v/>
      </c>
      <c r="T808" s="37" t="str">
        <f aca="false">IF($M808="","",IF(NOT(ISNUMBER(R808)),"NO DATE",IF(S808="Won",IF(R808&gt;Settings!$B$5,"Backlog","Delivered"),IF(S808="Open",IF(R808&gt;Settings!$B$5,"Pipeline","Overdue"),IF(S808="Lost","Lost","UNMAPPED")))))</f>
        <v/>
      </c>
      <c r="U808" s="40" t="n">
        <f aca="false">IF(T808="Backlog",1,IF(OR(T808="Pipeline",T808="Overdue"),N(INDEX(Settings!$C$27:$C$36,MATCH(L808,Settings!$A$27:$A$36,0))),0))</f>
        <v>0</v>
      </c>
      <c r="V808" s="38" t="n">
        <f aca="false">Q808*U808</f>
        <v>0</v>
      </c>
      <c r="W808" s="41" t="str">
        <f aca="false">IF($M808="","",IF(T808="Overdue",IF(Settings!$B$8="Yes",Settings!$B$7,""),IF(ISNUMBER(R808),DATE(YEAR(R808),MONTH(R808),1),"")))</f>
        <v/>
      </c>
      <c r="X808" s="38" t="n">
        <f aca="false">IF(AND(OR(T808="Backlog",T808="Pipeline",T808="Overdue"),ISNUMBER(W808)),IF(W808&lt;=Settings!$B$6,V808,0),0)</f>
        <v>0</v>
      </c>
      <c r="Y808" s="38" t="n">
        <f aca="false">IF(AND(OR(T808="Backlog",T808="Pipeline",T808="Overdue"),ISNUMBER(W808)),IF(W808&lt;=Settings!$B$6,Q808,0),0)</f>
        <v>0</v>
      </c>
      <c r="Z808" s="38" t="n">
        <f aca="false">IF(Y808=0,0,IF(T808="Backlog",Q808,Q808*Dashboard!$C$10))</f>
        <v>0</v>
      </c>
      <c r="AA808" s="37" t="n">
        <f aca="false">IF($N808="",0,IF(COUNTIF(Dashboard!$C$13:$C$22,$N808)&gt;0,1,0))</f>
        <v>0</v>
      </c>
      <c r="AB808" s="37" t="str">
        <f aca="false">IF($N808="","",IF(COUNTIF($N$8:$N808,$N808)=1,MAX($AB$7:$AB807)+1,""))</f>
        <v/>
      </c>
    </row>
    <row r="809" customFormat="false" ht="15" hidden="false" customHeight="false" outlineLevel="0" collapsed="false">
      <c r="L809" s="37" t="str">
        <f aca="false">IF(INDEX($A809:$J809,$L$6)&lt;&gt;"",TRIM(LEFT(INDEX($A809:$J809,$L$6),FIND("(",INDEX($A809:$J809,$L$6)&amp;"(")-1)),L808)</f>
        <v>Building Value Proposition</v>
      </c>
      <c r="M809" s="37" t="str">
        <f aca="false">IF(INDEX($A809:$J809,$M$6)="","",INDEX($A809:$J809,$M$6)&amp;"")</f>
        <v/>
      </c>
      <c r="N809" s="37" t="str">
        <f aca="false">IF($M809="","",TRIM(INDEX($A809:$J809,$N$6)&amp;""))</f>
        <v/>
      </c>
      <c r="O809" s="37" t="str">
        <f aca="false">IF($M809="","",TRIM(INDEX($A809:$J809,$O$6)&amp;""))</f>
        <v/>
      </c>
      <c r="P809" s="37" t="str">
        <f aca="false">IF($M809="","",IFERROR(IF(INDEX(Settings!$B$41:$B$50,MATCH(O809,Settings!$A$41:$A$50,0))&amp;""="","UNMAPPED",INDEX(Settings!$B$41:$B$50,MATCH(O809,Settings!$A$41:$A$50,0))&amp;""),"UNMAPPED"))</f>
        <v/>
      </c>
      <c r="Q809" s="38" t="n">
        <f aca="false">IF($M809="",0,N(INDEX($A809:$J809,$Q$6)))</f>
        <v>0</v>
      </c>
      <c r="R809" s="39" t="str">
        <f aca="false">IF($M809="","",INDEX($A809:$J809,$R$6))</f>
        <v/>
      </c>
      <c r="S809" s="37" t="str">
        <f aca="false">IF($M809="","",IFERROR(INDEX(Settings!$B$27:$B$36,MATCH(L809,Settings!$A$27:$A$36,0))&amp;"","UNMAPPED"))</f>
        <v/>
      </c>
      <c r="T809" s="37" t="str">
        <f aca="false">IF($M809="","",IF(NOT(ISNUMBER(R809)),"NO DATE",IF(S809="Won",IF(R809&gt;Settings!$B$5,"Backlog","Delivered"),IF(S809="Open",IF(R809&gt;Settings!$B$5,"Pipeline","Overdue"),IF(S809="Lost","Lost","UNMAPPED")))))</f>
        <v/>
      </c>
      <c r="U809" s="40" t="n">
        <f aca="false">IF(T809="Backlog",1,IF(OR(T809="Pipeline",T809="Overdue"),N(INDEX(Settings!$C$27:$C$36,MATCH(L809,Settings!$A$27:$A$36,0))),0))</f>
        <v>0</v>
      </c>
      <c r="V809" s="38" t="n">
        <f aca="false">Q809*U809</f>
        <v>0</v>
      </c>
      <c r="W809" s="41" t="str">
        <f aca="false">IF($M809="","",IF(T809="Overdue",IF(Settings!$B$8="Yes",Settings!$B$7,""),IF(ISNUMBER(R809),DATE(YEAR(R809),MONTH(R809),1),"")))</f>
        <v/>
      </c>
      <c r="X809" s="38" t="n">
        <f aca="false">IF(AND(OR(T809="Backlog",T809="Pipeline",T809="Overdue"),ISNUMBER(W809)),IF(W809&lt;=Settings!$B$6,V809,0),0)</f>
        <v>0</v>
      </c>
      <c r="Y809" s="38" t="n">
        <f aca="false">IF(AND(OR(T809="Backlog",T809="Pipeline",T809="Overdue"),ISNUMBER(W809)),IF(W809&lt;=Settings!$B$6,Q809,0),0)</f>
        <v>0</v>
      </c>
      <c r="Z809" s="38" t="n">
        <f aca="false">IF(Y809=0,0,IF(T809="Backlog",Q809,Q809*Dashboard!$C$10))</f>
        <v>0</v>
      </c>
      <c r="AA809" s="37" t="n">
        <f aca="false">IF($N809="",0,IF(COUNTIF(Dashboard!$C$13:$C$22,$N809)&gt;0,1,0))</f>
        <v>0</v>
      </c>
      <c r="AB809" s="37" t="str">
        <f aca="false">IF($N809="","",IF(COUNTIF($N$8:$N809,$N809)=1,MAX($AB$7:$AB808)+1,""))</f>
        <v/>
      </c>
    </row>
    <row r="810" customFormat="false" ht="15" hidden="false" customHeight="false" outlineLevel="0" collapsed="false">
      <c r="L810" s="37" t="str">
        <f aca="false">IF(INDEX($A810:$J810,$L$6)&lt;&gt;"",TRIM(LEFT(INDEX($A810:$J810,$L$6),FIND("(",INDEX($A810:$J810,$L$6)&amp;"(")-1)),L809)</f>
        <v>Building Value Proposition</v>
      </c>
      <c r="M810" s="37" t="str">
        <f aca="false">IF(INDEX($A810:$J810,$M$6)="","",INDEX($A810:$J810,$M$6)&amp;"")</f>
        <v/>
      </c>
      <c r="N810" s="37" t="str">
        <f aca="false">IF($M810="","",TRIM(INDEX($A810:$J810,$N$6)&amp;""))</f>
        <v/>
      </c>
      <c r="O810" s="37" t="str">
        <f aca="false">IF($M810="","",TRIM(INDEX($A810:$J810,$O$6)&amp;""))</f>
        <v/>
      </c>
      <c r="P810" s="37" t="str">
        <f aca="false">IF($M810="","",IFERROR(IF(INDEX(Settings!$B$41:$B$50,MATCH(O810,Settings!$A$41:$A$50,0))&amp;""="","UNMAPPED",INDEX(Settings!$B$41:$B$50,MATCH(O810,Settings!$A$41:$A$50,0))&amp;""),"UNMAPPED"))</f>
        <v/>
      </c>
      <c r="Q810" s="38" t="n">
        <f aca="false">IF($M810="",0,N(INDEX($A810:$J810,$Q$6)))</f>
        <v>0</v>
      </c>
      <c r="R810" s="39" t="str">
        <f aca="false">IF($M810="","",INDEX($A810:$J810,$R$6))</f>
        <v/>
      </c>
      <c r="S810" s="37" t="str">
        <f aca="false">IF($M810="","",IFERROR(INDEX(Settings!$B$27:$B$36,MATCH(L810,Settings!$A$27:$A$36,0))&amp;"","UNMAPPED"))</f>
        <v/>
      </c>
      <c r="T810" s="37" t="str">
        <f aca="false">IF($M810="","",IF(NOT(ISNUMBER(R810)),"NO DATE",IF(S810="Won",IF(R810&gt;Settings!$B$5,"Backlog","Delivered"),IF(S810="Open",IF(R810&gt;Settings!$B$5,"Pipeline","Overdue"),IF(S810="Lost","Lost","UNMAPPED")))))</f>
        <v/>
      </c>
      <c r="U810" s="40" t="n">
        <f aca="false">IF(T810="Backlog",1,IF(OR(T810="Pipeline",T810="Overdue"),N(INDEX(Settings!$C$27:$C$36,MATCH(L810,Settings!$A$27:$A$36,0))),0))</f>
        <v>0</v>
      </c>
      <c r="V810" s="38" t="n">
        <f aca="false">Q810*U810</f>
        <v>0</v>
      </c>
      <c r="W810" s="41" t="str">
        <f aca="false">IF($M810="","",IF(T810="Overdue",IF(Settings!$B$8="Yes",Settings!$B$7,""),IF(ISNUMBER(R810),DATE(YEAR(R810),MONTH(R810),1),"")))</f>
        <v/>
      </c>
      <c r="X810" s="38" t="n">
        <f aca="false">IF(AND(OR(T810="Backlog",T810="Pipeline",T810="Overdue"),ISNUMBER(W810)),IF(W810&lt;=Settings!$B$6,V810,0),0)</f>
        <v>0</v>
      </c>
      <c r="Y810" s="38" t="n">
        <f aca="false">IF(AND(OR(T810="Backlog",T810="Pipeline",T810="Overdue"),ISNUMBER(W810)),IF(W810&lt;=Settings!$B$6,Q810,0),0)</f>
        <v>0</v>
      </c>
      <c r="Z810" s="38" t="n">
        <f aca="false">IF(Y810=0,0,IF(T810="Backlog",Q810,Q810*Dashboard!$C$10))</f>
        <v>0</v>
      </c>
      <c r="AA810" s="37" t="n">
        <f aca="false">IF($N810="",0,IF(COUNTIF(Dashboard!$C$13:$C$22,$N810)&gt;0,1,0))</f>
        <v>0</v>
      </c>
      <c r="AB810" s="37" t="str">
        <f aca="false">IF($N810="","",IF(COUNTIF($N$8:$N810,$N810)=1,MAX($AB$7:$AB809)+1,""))</f>
        <v/>
      </c>
    </row>
    <row r="811" customFormat="false" ht="15" hidden="false" customHeight="false" outlineLevel="0" collapsed="false">
      <c r="L811" s="37" t="str">
        <f aca="false">IF(INDEX($A811:$J811,$L$6)&lt;&gt;"",TRIM(LEFT(INDEX($A811:$J811,$L$6),FIND("(",INDEX($A811:$J811,$L$6)&amp;"(")-1)),L810)</f>
        <v>Building Value Proposition</v>
      </c>
      <c r="M811" s="37" t="str">
        <f aca="false">IF(INDEX($A811:$J811,$M$6)="","",INDEX($A811:$J811,$M$6)&amp;"")</f>
        <v/>
      </c>
      <c r="N811" s="37" t="str">
        <f aca="false">IF($M811="","",TRIM(INDEX($A811:$J811,$N$6)&amp;""))</f>
        <v/>
      </c>
      <c r="O811" s="37" t="str">
        <f aca="false">IF($M811="","",TRIM(INDEX($A811:$J811,$O$6)&amp;""))</f>
        <v/>
      </c>
      <c r="P811" s="37" t="str">
        <f aca="false">IF($M811="","",IFERROR(IF(INDEX(Settings!$B$41:$B$50,MATCH(O811,Settings!$A$41:$A$50,0))&amp;""="","UNMAPPED",INDEX(Settings!$B$41:$B$50,MATCH(O811,Settings!$A$41:$A$50,0))&amp;""),"UNMAPPED"))</f>
        <v/>
      </c>
      <c r="Q811" s="38" t="n">
        <f aca="false">IF($M811="",0,N(INDEX($A811:$J811,$Q$6)))</f>
        <v>0</v>
      </c>
      <c r="R811" s="39" t="str">
        <f aca="false">IF($M811="","",INDEX($A811:$J811,$R$6))</f>
        <v/>
      </c>
      <c r="S811" s="37" t="str">
        <f aca="false">IF($M811="","",IFERROR(INDEX(Settings!$B$27:$B$36,MATCH(L811,Settings!$A$27:$A$36,0))&amp;"","UNMAPPED"))</f>
        <v/>
      </c>
      <c r="T811" s="37" t="str">
        <f aca="false">IF($M811="","",IF(NOT(ISNUMBER(R811)),"NO DATE",IF(S811="Won",IF(R811&gt;Settings!$B$5,"Backlog","Delivered"),IF(S811="Open",IF(R811&gt;Settings!$B$5,"Pipeline","Overdue"),IF(S811="Lost","Lost","UNMAPPED")))))</f>
        <v/>
      </c>
      <c r="U811" s="40" t="n">
        <f aca="false">IF(T811="Backlog",1,IF(OR(T811="Pipeline",T811="Overdue"),N(INDEX(Settings!$C$27:$C$36,MATCH(L811,Settings!$A$27:$A$36,0))),0))</f>
        <v>0</v>
      </c>
      <c r="V811" s="38" t="n">
        <f aca="false">Q811*U811</f>
        <v>0</v>
      </c>
      <c r="W811" s="41" t="str">
        <f aca="false">IF($M811="","",IF(T811="Overdue",IF(Settings!$B$8="Yes",Settings!$B$7,""),IF(ISNUMBER(R811),DATE(YEAR(R811),MONTH(R811),1),"")))</f>
        <v/>
      </c>
      <c r="X811" s="38" t="n">
        <f aca="false">IF(AND(OR(T811="Backlog",T811="Pipeline",T811="Overdue"),ISNUMBER(W811)),IF(W811&lt;=Settings!$B$6,V811,0),0)</f>
        <v>0</v>
      </c>
      <c r="Y811" s="38" t="n">
        <f aca="false">IF(AND(OR(T811="Backlog",T811="Pipeline",T811="Overdue"),ISNUMBER(W811)),IF(W811&lt;=Settings!$B$6,Q811,0),0)</f>
        <v>0</v>
      </c>
      <c r="Z811" s="38" t="n">
        <f aca="false">IF(Y811=0,0,IF(T811="Backlog",Q811,Q811*Dashboard!$C$10))</f>
        <v>0</v>
      </c>
      <c r="AA811" s="37" t="n">
        <f aca="false">IF($N811="",0,IF(COUNTIF(Dashboard!$C$13:$C$22,$N811)&gt;0,1,0))</f>
        <v>0</v>
      </c>
      <c r="AB811" s="37" t="str">
        <f aca="false">IF($N811="","",IF(COUNTIF($N$8:$N811,$N811)=1,MAX($AB$7:$AB810)+1,""))</f>
        <v/>
      </c>
    </row>
    <row r="812" customFormat="false" ht="15" hidden="false" customHeight="false" outlineLevel="0" collapsed="false">
      <c r="L812" s="37" t="str">
        <f aca="false">IF(INDEX($A812:$J812,$L$6)&lt;&gt;"",TRIM(LEFT(INDEX($A812:$J812,$L$6),FIND("(",INDEX($A812:$J812,$L$6)&amp;"(")-1)),L811)</f>
        <v>Building Value Proposition</v>
      </c>
      <c r="M812" s="37" t="str">
        <f aca="false">IF(INDEX($A812:$J812,$M$6)="","",INDEX($A812:$J812,$M$6)&amp;"")</f>
        <v/>
      </c>
      <c r="N812" s="37" t="str">
        <f aca="false">IF($M812="","",TRIM(INDEX($A812:$J812,$N$6)&amp;""))</f>
        <v/>
      </c>
      <c r="O812" s="37" t="str">
        <f aca="false">IF($M812="","",TRIM(INDEX($A812:$J812,$O$6)&amp;""))</f>
        <v/>
      </c>
      <c r="P812" s="37" t="str">
        <f aca="false">IF($M812="","",IFERROR(IF(INDEX(Settings!$B$41:$B$50,MATCH(O812,Settings!$A$41:$A$50,0))&amp;""="","UNMAPPED",INDEX(Settings!$B$41:$B$50,MATCH(O812,Settings!$A$41:$A$50,0))&amp;""),"UNMAPPED"))</f>
        <v/>
      </c>
      <c r="Q812" s="38" t="n">
        <f aca="false">IF($M812="",0,N(INDEX($A812:$J812,$Q$6)))</f>
        <v>0</v>
      </c>
      <c r="R812" s="39" t="str">
        <f aca="false">IF($M812="","",INDEX($A812:$J812,$R$6))</f>
        <v/>
      </c>
      <c r="S812" s="37" t="str">
        <f aca="false">IF($M812="","",IFERROR(INDEX(Settings!$B$27:$B$36,MATCH(L812,Settings!$A$27:$A$36,0))&amp;"","UNMAPPED"))</f>
        <v/>
      </c>
      <c r="T812" s="37" t="str">
        <f aca="false">IF($M812="","",IF(NOT(ISNUMBER(R812)),"NO DATE",IF(S812="Won",IF(R812&gt;Settings!$B$5,"Backlog","Delivered"),IF(S812="Open",IF(R812&gt;Settings!$B$5,"Pipeline","Overdue"),IF(S812="Lost","Lost","UNMAPPED")))))</f>
        <v/>
      </c>
      <c r="U812" s="40" t="n">
        <f aca="false">IF(T812="Backlog",1,IF(OR(T812="Pipeline",T812="Overdue"),N(INDEX(Settings!$C$27:$C$36,MATCH(L812,Settings!$A$27:$A$36,0))),0))</f>
        <v>0</v>
      </c>
      <c r="V812" s="38" t="n">
        <f aca="false">Q812*U812</f>
        <v>0</v>
      </c>
      <c r="W812" s="41" t="str">
        <f aca="false">IF($M812="","",IF(T812="Overdue",IF(Settings!$B$8="Yes",Settings!$B$7,""),IF(ISNUMBER(R812),DATE(YEAR(R812),MONTH(R812),1),"")))</f>
        <v/>
      </c>
      <c r="X812" s="38" t="n">
        <f aca="false">IF(AND(OR(T812="Backlog",T812="Pipeline",T812="Overdue"),ISNUMBER(W812)),IF(W812&lt;=Settings!$B$6,V812,0),0)</f>
        <v>0</v>
      </c>
      <c r="Y812" s="38" t="n">
        <f aca="false">IF(AND(OR(T812="Backlog",T812="Pipeline",T812="Overdue"),ISNUMBER(W812)),IF(W812&lt;=Settings!$B$6,Q812,0),0)</f>
        <v>0</v>
      </c>
      <c r="Z812" s="38" t="n">
        <f aca="false">IF(Y812=0,0,IF(T812="Backlog",Q812,Q812*Dashboard!$C$10))</f>
        <v>0</v>
      </c>
      <c r="AA812" s="37" t="n">
        <f aca="false">IF($N812="",0,IF(COUNTIF(Dashboard!$C$13:$C$22,$N812)&gt;0,1,0))</f>
        <v>0</v>
      </c>
      <c r="AB812" s="37" t="str">
        <f aca="false">IF($N812="","",IF(COUNTIF($N$8:$N812,$N812)=1,MAX($AB$7:$AB811)+1,""))</f>
        <v/>
      </c>
    </row>
    <row r="813" customFormat="false" ht="15" hidden="false" customHeight="false" outlineLevel="0" collapsed="false">
      <c r="L813" s="37" t="str">
        <f aca="false">IF(INDEX($A813:$J813,$L$6)&lt;&gt;"",TRIM(LEFT(INDEX($A813:$J813,$L$6),FIND("(",INDEX($A813:$J813,$L$6)&amp;"(")-1)),L812)</f>
        <v>Building Value Proposition</v>
      </c>
      <c r="M813" s="37" t="str">
        <f aca="false">IF(INDEX($A813:$J813,$M$6)="","",INDEX($A813:$J813,$M$6)&amp;"")</f>
        <v/>
      </c>
      <c r="N813" s="37" t="str">
        <f aca="false">IF($M813="","",TRIM(INDEX($A813:$J813,$N$6)&amp;""))</f>
        <v/>
      </c>
      <c r="O813" s="37" t="str">
        <f aca="false">IF($M813="","",TRIM(INDEX($A813:$J813,$O$6)&amp;""))</f>
        <v/>
      </c>
      <c r="P813" s="37" t="str">
        <f aca="false">IF($M813="","",IFERROR(IF(INDEX(Settings!$B$41:$B$50,MATCH(O813,Settings!$A$41:$A$50,0))&amp;""="","UNMAPPED",INDEX(Settings!$B$41:$B$50,MATCH(O813,Settings!$A$41:$A$50,0))&amp;""),"UNMAPPED"))</f>
        <v/>
      </c>
      <c r="Q813" s="38" t="n">
        <f aca="false">IF($M813="",0,N(INDEX($A813:$J813,$Q$6)))</f>
        <v>0</v>
      </c>
      <c r="R813" s="39" t="str">
        <f aca="false">IF($M813="","",INDEX($A813:$J813,$R$6))</f>
        <v/>
      </c>
      <c r="S813" s="37" t="str">
        <f aca="false">IF($M813="","",IFERROR(INDEX(Settings!$B$27:$B$36,MATCH(L813,Settings!$A$27:$A$36,0))&amp;"","UNMAPPED"))</f>
        <v/>
      </c>
      <c r="T813" s="37" t="str">
        <f aca="false">IF($M813="","",IF(NOT(ISNUMBER(R813)),"NO DATE",IF(S813="Won",IF(R813&gt;Settings!$B$5,"Backlog","Delivered"),IF(S813="Open",IF(R813&gt;Settings!$B$5,"Pipeline","Overdue"),IF(S813="Lost","Lost","UNMAPPED")))))</f>
        <v/>
      </c>
      <c r="U813" s="40" t="n">
        <f aca="false">IF(T813="Backlog",1,IF(OR(T813="Pipeline",T813="Overdue"),N(INDEX(Settings!$C$27:$C$36,MATCH(L813,Settings!$A$27:$A$36,0))),0))</f>
        <v>0</v>
      </c>
      <c r="V813" s="38" t="n">
        <f aca="false">Q813*U813</f>
        <v>0</v>
      </c>
      <c r="W813" s="41" t="str">
        <f aca="false">IF($M813="","",IF(T813="Overdue",IF(Settings!$B$8="Yes",Settings!$B$7,""),IF(ISNUMBER(R813),DATE(YEAR(R813),MONTH(R813),1),"")))</f>
        <v/>
      </c>
      <c r="X813" s="38" t="n">
        <f aca="false">IF(AND(OR(T813="Backlog",T813="Pipeline",T813="Overdue"),ISNUMBER(W813)),IF(W813&lt;=Settings!$B$6,V813,0),0)</f>
        <v>0</v>
      </c>
      <c r="Y813" s="38" t="n">
        <f aca="false">IF(AND(OR(T813="Backlog",T813="Pipeline",T813="Overdue"),ISNUMBER(W813)),IF(W813&lt;=Settings!$B$6,Q813,0),0)</f>
        <v>0</v>
      </c>
      <c r="Z813" s="38" t="n">
        <f aca="false">IF(Y813=0,0,IF(T813="Backlog",Q813,Q813*Dashboard!$C$10))</f>
        <v>0</v>
      </c>
      <c r="AA813" s="37" t="n">
        <f aca="false">IF($N813="",0,IF(COUNTIF(Dashboard!$C$13:$C$22,$N813)&gt;0,1,0))</f>
        <v>0</v>
      </c>
      <c r="AB813" s="37" t="str">
        <f aca="false">IF($N813="","",IF(COUNTIF($N$8:$N813,$N813)=1,MAX($AB$7:$AB812)+1,""))</f>
        <v/>
      </c>
    </row>
    <row r="814" customFormat="false" ht="15" hidden="false" customHeight="false" outlineLevel="0" collapsed="false">
      <c r="L814" s="37" t="str">
        <f aca="false">IF(INDEX($A814:$J814,$L$6)&lt;&gt;"",TRIM(LEFT(INDEX($A814:$J814,$L$6),FIND("(",INDEX($A814:$J814,$L$6)&amp;"(")-1)),L813)</f>
        <v>Building Value Proposition</v>
      </c>
      <c r="M814" s="37" t="str">
        <f aca="false">IF(INDEX($A814:$J814,$M$6)="","",INDEX($A814:$J814,$M$6)&amp;"")</f>
        <v/>
      </c>
      <c r="N814" s="37" t="str">
        <f aca="false">IF($M814="","",TRIM(INDEX($A814:$J814,$N$6)&amp;""))</f>
        <v/>
      </c>
      <c r="O814" s="37" t="str">
        <f aca="false">IF($M814="","",TRIM(INDEX($A814:$J814,$O$6)&amp;""))</f>
        <v/>
      </c>
      <c r="P814" s="37" t="str">
        <f aca="false">IF($M814="","",IFERROR(IF(INDEX(Settings!$B$41:$B$50,MATCH(O814,Settings!$A$41:$A$50,0))&amp;""="","UNMAPPED",INDEX(Settings!$B$41:$B$50,MATCH(O814,Settings!$A$41:$A$50,0))&amp;""),"UNMAPPED"))</f>
        <v/>
      </c>
      <c r="Q814" s="38" t="n">
        <f aca="false">IF($M814="",0,N(INDEX($A814:$J814,$Q$6)))</f>
        <v>0</v>
      </c>
      <c r="R814" s="39" t="str">
        <f aca="false">IF($M814="","",INDEX($A814:$J814,$R$6))</f>
        <v/>
      </c>
      <c r="S814" s="37" t="str">
        <f aca="false">IF($M814="","",IFERROR(INDEX(Settings!$B$27:$B$36,MATCH(L814,Settings!$A$27:$A$36,0))&amp;"","UNMAPPED"))</f>
        <v/>
      </c>
      <c r="T814" s="37" t="str">
        <f aca="false">IF($M814="","",IF(NOT(ISNUMBER(R814)),"NO DATE",IF(S814="Won",IF(R814&gt;Settings!$B$5,"Backlog","Delivered"),IF(S814="Open",IF(R814&gt;Settings!$B$5,"Pipeline","Overdue"),IF(S814="Lost","Lost","UNMAPPED")))))</f>
        <v/>
      </c>
      <c r="U814" s="40" t="n">
        <f aca="false">IF(T814="Backlog",1,IF(OR(T814="Pipeline",T814="Overdue"),N(INDEX(Settings!$C$27:$C$36,MATCH(L814,Settings!$A$27:$A$36,0))),0))</f>
        <v>0</v>
      </c>
      <c r="V814" s="38" t="n">
        <f aca="false">Q814*U814</f>
        <v>0</v>
      </c>
      <c r="W814" s="41" t="str">
        <f aca="false">IF($M814="","",IF(T814="Overdue",IF(Settings!$B$8="Yes",Settings!$B$7,""),IF(ISNUMBER(R814),DATE(YEAR(R814),MONTH(R814),1),"")))</f>
        <v/>
      </c>
      <c r="X814" s="38" t="n">
        <f aca="false">IF(AND(OR(T814="Backlog",T814="Pipeline",T814="Overdue"),ISNUMBER(W814)),IF(W814&lt;=Settings!$B$6,V814,0),0)</f>
        <v>0</v>
      </c>
      <c r="Y814" s="38" t="n">
        <f aca="false">IF(AND(OR(T814="Backlog",T814="Pipeline",T814="Overdue"),ISNUMBER(W814)),IF(W814&lt;=Settings!$B$6,Q814,0),0)</f>
        <v>0</v>
      </c>
      <c r="Z814" s="38" t="n">
        <f aca="false">IF(Y814=0,0,IF(T814="Backlog",Q814,Q814*Dashboard!$C$10))</f>
        <v>0</v>
      </c>
      <c r="AA814" s="37" t="n">
        <f aca="false">IF($N814="",0,IF(COUNTIF(Dashboard!$C$13:$C$22,$N814)&gt;0,1,0))</f>
        <v>0</v>
      </c>
      <c r="AB814" s="37" t="str">
        <f aca="false">IF($N814="","",IF(COUNTIF($N$8:$N814,$N814)=1,MAX($AB$7:$AB813)+1,""))</f>
        <v/>
      </c>
    </row>
    <row r="815" customFormat="false" ht="15" hidden="false" customHeight="false" outlineLevel="0" collapsed="false">
      <c r="L815" s="37" t="str">
        <f aca="false">IF(INDEX($A815:$J815,$L$6)&lt;&gt;"",TRIM(LEFT(INDEX($A815:$J815,$L$6),FIND("(",INDEX($A815:$J815,$L$6)&amp;"(")-1)),L814)</f>
        <v>Building Value Proposition</v>
      </c>
      <c r="M815" s="37" t="str">
        <f aca="false">IF(INDEX($A815:$J815,$M$6)="","",INDEX($A815:$J815,$M$6)&amp;"")</f>
        <v/>
      </c>
      <c r="N815" s="37" t="str">
        <f aca="false">IF($M815="","",TRIM(INDEX($A815:$J815,$N$6)&amp;""))</f>
        <v/>
      </c>
      <c r="O815" s="37" t="str">
        <f aca="false">IF($M815="","",TRIM(INDEX($A815:$J815,$O$6)&amp;""))</f>
        <v/>
      </c>
      <c r="P815" s="37" t="str">
        <f aca="false">IF($M815="","",IFERROR(IF(INDEX(Settings!$B$41:$B$50,MATCH(O815,Settings!$A$41:$A$50,0))&amp;""="","UNMAPPED",INDEX(Settings!$B$41:$B$50,MATCH(O815,Settings!$A$41:$A$50,0))&amp;""),"UNMAPPED"))</f>
        <v/>
      </c>
      <c r="Q815" s="38" t="n">
        <f aca="false">IF($M815="",0,N(INDEX($A815:$J815,$Q$6)))</f>
        <v>0</v>
      </c>
      <c r="R815" s="39" t="str">
        <f aca="false">IF($M815="","",INDEX($A815:$J815,$R$6))</f>
        <v/>
      </c>
      <c r="S815" s="37" t="str">
        <f aca="false">IF($M815="","",IFERROR(INDEX(Settings!$B$27:$B$36,MATCH(L815,Settings!$A$27:$A$36,0))&amp;"","UNMAPPED"))</f>
        <v/>
      </c>
      <c r="T815" s="37" t="str">
        <f aca="false">IF($M815="","",IF(NOT(ISNUMBER(R815)),"NO DATE",IF(S815="Won",IF(R815&gt;Settings!$B$5,"Backlog","Delivered"),IF(S815="Open",IF(R815&gt;Settings!$B$5,"Pipeline","Overdue"),IF(S815="Lost","Lost","UNMAPPED")))))</f>
        <v/>
      </c>
      <c r="U815" s="40" t="n">
        <f aca="false">IF(T815="Backlog",1,IF(OR(T815="Pipeline",T815="Overdue"),N(INDEX(Settings!$C$27:$C$36,MATCH(L815,Settings!$A$27:$A$36,0))),0))</f>
        <v>0</v>
      </c>
      <c r="V815" s="38" t="n">
        <f aca="false">Q815*U815</f>
        <v>0</v>
      </c>
      <c r="W815" s="41" t="str">
        <f aca="false">IF($M815="","",IF(T815="Overdue",IF(Settings!$B$8="Yes",Settings!$B$7,""),IF(ISNUMBER(R815),DATE(YEAR(R815),MONTH(R815),1),"")))</f>
        <v/>
      </c>
      <c r="X815" s="38" t="n">
        <f aca="false">IF(AND(OR(T815="Backlog",T815="Pipeline",T815="Overdue"),ISNUMBER(W815)),IF(W815&lt;=Settings!$B$6,V815,0),0)</f>
        <v>0</v>
      </c>
      <c r="Y815" s="38" t="n">
        <f aca="false">IF(AND(OR(T815="Backlog",T815="Pipeline",T815="Overdue"),ISNUMBER(W815)),IF(W815&lt;=Settings!$B$6,Q815,0),0)</f>
        <v>0</v>
      </c>
      <c r="Z815" s="38" t="n">
        <f aca="false">IF(Y815=0,0,IF(T815="Backlog",Q815,Q815*Dashboard!$C$10))</f>
        <v>0</v>
      </c>
      <c r="AA815" s="37" t="n">
        <f aca="false">IF($N815="",0,IF(COUNTIF(Dashboard!$C$13:$C$22,$N815)&gt;0,1,0))</f>
        <v>0</v>
      </c>
      <c r="AB815" s="37" t="str">
        <f aca="false">IF($N815="","",IF(COUNTIF($N$8:$N815,$N815)=1,MAX($AB$7:$AB814)+1,""))</f>
        <v/>
      </c>
    </row>
    <row r="816" customFormat="false" ht="15" hidden="false" customHeight="false" outlineLevel="0" collapsed="false">
      <c r="L816" s="37" t="str">
        <f aca="false">IF(INDEX($A816:$J816,$L$6)&lt;&gt;"",TRIM(LEFT(INDEX($A816:$J816,$L$6),FIND("(",INDEX($A816:$J816,$L$6)&amp;"(")-1)),L815)</f>
        <v>Building Value Proposition</v>
      </c>
      <c r="M816" s="37" t="str">
        <f aca="false">IF(INDEX($A816:$J816,$M$6)="","",INDEX($A816:$J816,$M$6)&amp;"")</f>
        <v/>
      </c>
      <c r="N816" s="37" t="str">
        <f aca="false">IF($M816="","",TRIM(INDEX($A816:$J816,$N$6)&amp;""))</f>
        <v/>
      </c>
      <c r="O816" s="37" t="str">
        <f aca="false">IF($M816="","",TRIM(INDEX($A816:$J816,$O$6)&amp;""))</f>
        <v/>
      </c>
      <c r="P816" s="37" t="str">
        <f aca="false">IF($M816="","",IFERROR(IF(INDEX(Settings!$B$41:$B$50,MATCH(O816,Settings!$A$41:$A$50,0))&amp;""="","UNMAPPED",INDEX(Settings!$B$41:$B$50,MATCH(O816,Settings!$A$41:$A$50,0))&amp;""),"UNMAPPED"))</f>
        <v/>
      </c>
      <c r="Q816" s="38" t="n">
        <f aca="false">IF($M816="",0,N(INDEX($A816:$J816,$Q$6)))</f>
        <v>0</v>
      </c>
      <c r="R816" s="39" t="str">
        <f aca="false">IF($M816="","",INDEX($A816:$J816,$R$6))</f>
        <v/>
      </c>
      <c r="S816" s="37" t="str">
        <f aca="false">IF($M816="","",IFERROR(INDEX(Settings!$B$27:$B$36,MATCH(L816,Settings!$A$27:$A$36,0))&amp;"","UNMAPPED"))</f>
        <v/>
      </c>
      <c r="T816" s="37" t="str">
        <f aca="false">IF($M816="","",IF(NOT(ISNUMBER(R816)),"NO DATE",IF(S816="Won",IF(R816&gt;Settings!$B$5,"Backlog","Delivered"),IF(S816="Open",IF(R816&gt;Settings!$B$5,"Pipeline","Overdue"),IF(S816="Lost","Lost","UNMAPPED")))))</f>
        <v/>
      </c>
      <c r="U816" s="40" t="n">
        <f aca="false">IF(T816="Backlog",1,IF(OR(T816="Pipeline",T816="Overdue"),N(INDEX(Settings!$C$27:$C$36,MATCH(L816,Settings!$A$27:$A$36,0))),0))</f>
        <v>0</v>
      </c>
      <c r="V816" s="38" t="n">
        <f aca="false">Q816*U816</f>
        <v>0</v>
      </c>
      <c r="W816" s="41" t="str">
        <f aca="false">IF($M816="","",IF(T816="Overdue",IF(Settings!$B$8="Yes",Settings!$B$7,""),IF(ISNUMBER(R816),DATE(YEAR(R816),MONTH(R816),1),"")))</f>
        <v/>
      </c>
      <c r="X816" s="38" t="n">
        <f aca="false">IF(AND(OR(T816="Backlog",T816="Pipeline",T816="Overdue"),ISNUMBER(W816)),IF(W816&lt;=Settings!$B$6,V816,0),0)</f>
        <v>0</v>
      </c>
      <c r="Y816" s="38" t="n">
        <f aca="false">IF(AND(OR(T816="Backlog",T816="Pipeline",T816="Overdue"),ISNUMBER(W816)),IF(W816&lt;=Settings!$B$6,Q816,0),0)</f>
        <v>0</v>
      </c>
      <c r="Z816" s="38" t="n">
        <f aca="false">IF(Y816=0,0,IF(T816="Backlog",Q816,Q816*Dashboard!$C$10))</f>
        <v>0</v>
      </c>
      <c r="AA816" s="37" t="n">
        <f aca="false">IF($N816="",0,IF(COUNTIF(Dashboard!$C$13:$C$22,$N816)&gt;0,1,0))</f>
        <v>0</v>
      </c>
      <c r="AB816" s="37" t="str">
        <f aca="false">IF($N816="","",IF(COUNTIF($N$8:$N816,$N816)=1,MAX($AB$7:$AB815)+1,""))</f>
        <v/>
      </c>
    </row>
    <row r="817" customFormat="false" ht="15" hidden="false" customHeight="false" outlineLevel="0" collapsed="false">
      <c r="L817" s="37" t="str">
        <f aca="false">IF(INDEX($A817:$J817,$L$6)&lt;&gt;"",TRIM(LEFT(INDEX($A817:$J817,$L$6),FIND("(",INDEX($A817:$J817,$L$6)&amp;"(")-1)),L816)</f>
        <v>Building Value Proposition</v>
      </c>
      <c r="M817" s="37" t="str">
        <f aca="false">IF(INDEX($A817:$J817,$M$6)="","",INDEX($A817:$J817,$M$6)&amp;"")</f>
        <v/>
      </c>
      <c r="N817" s="37" t="str">
        <f aca="false">IF($M817="","",TRIM(INDEX($A817:$J817,$N$6)&amp;""))</f>
        <v/>
      </c>
      <c r="O817" s="37" t="str">
        <f aca="false">IF($M817="","",TRIM(INDEX($A817:$J817,$O$6)&amp;""))</f>
        <v/>
      </c>
      <c r="P817" s="37" t="str">
        <f aca="false">IF($M817="","",IFERROR(IF(INDEX(Settings!$B$41:$B$50,MATCH(O817,Settings!$A$41:$A$50,0))&amp;""="","UNMAPPED",INDEX(Settings!$B$41:$B$50,MATCH(O817,Settings!$A$41:$A$50,0))&amp;""),"UNMAPPED"))</f>
        <v/>
      </c>
      <c r="Q817" s="38" t="n">
        <f aca="false">IF($M817="",0,N(INDEX($A817:$J817,$Q$6)))</f>
        <v>0</v>
      </c>
      <c r="R817" s="39" t="str">
        <f aca="false">IF($M817="","",INDEX($A817:$J817,$R$6))</f>
        <v/>
      </c>
      <c r="S817" s="37" t="str">
        <f aca="false">IF($M817="","",IFERROR(INDEX(Settings!$B$27:$B$36,MATCH(L817,Settings!$A$27:$A$36,0))&amp;"","UNMAPPED"))</f>
        <v/>
      </c>
      <c r="T817" s="37" t="str">
        <f aca="false">IF($M817="","",IF(NOT(ISNUMBER(R817)),"NO DATE",IF(S817="Won",IF(R817&gt;Settings!$B$5,"Backlog","Delivered"),IF(S817="Open",IF(R817&gt;Settings!$B$5,"Pipeline","Overdue"),IF(S817="Lost","Lost","UNMAPPED")))))</f>
        <v/>
      </c>
      <c r="U817" s="40" t="n">
        <f aca="false">IF(T817="Backlog",1,IF(OR(T817="Pipeline",T817="Overdue"),N(INDEX(Settings!$C$27:$C$36,MATCH(L817,Settings!$A$27:$A$36,0))),0))</f>
        <v>0</v>
      </c>
      <c r="V817" s="38" t="n">
        <f aca="false">Q817*U817</f>
        <v>0</v>
      </c>
      <c r="W817" s="41" t="str">
        <f aca="false">IF($M817="","",IF(T817="Overdue",IF(Settings!$B$8="Yes",Settings!$B$7,""),IF(ISNUMBER(R817),DATE(YEAR(R817),MONTH(R817),1),"")))</f>
        <v/>
      </c>
      <c r="X817" s="38" t="n">
        <f aca="false">IF(AND(OR(T817="Backlog",T817="Pipeline",T817="Overdue"),ISNUMBER(W817)),IF(W817&lt;=Settings!$B$6,V817,0),0)</f>
        <v>0</v>
      </c>
      <c r="Y817" s="38" t="n">
        <f aca="false">IF(AND(OR(T817="Backlog",T817="Pipeline",T817="Overdue"),ISNUMBER(W817)),IF(W817&lt;=Settings!$B$6,Q817,0),0)</f>
        <v>0</v>
      </c>
      <c r="Z817" s="38" t="n">
        <f aca="false">IF(Y817=0,0,IF(T817="Backlog",Q817,Q817*Dashboard!$C$10))</f>
        <v>0</v>
      </c>
      <c r="AA817" s="37" t="n">
        <f aca="false">IF($N817="",0,IF(COUNTIF(Dashboard!$C$13:$C$22,$N817)&gt;0,1,0))</f>
        <v>0</v>
      </c>
      <c r="AB817" s="37" t="str">
        <f aca="false">IF($N817="","",IF(COUNTIF($N$8:$N817,$N817)=1,MAX($AB$7:$AB816)+1,""))</f>
        <v/>
      </c>
    </row>
    <row r="818" customFormat="false" ht="15" hidden="false" customHeight="false" outlineLevel="0" collapsed="false">
      <c r="L818" s="37" t="str">
        <f aca="false">IF(INDEX($A818:$J818,$L$6)&lt;&gt;"",TRIM(LEFT(INDEX($A818:$J818,$L$6),FIND("(",INDEX($A818:$J818,$L$6)&amp;"(")-1)),L817)</f>
        <v>Building Value Proposition</v>
      </c>
      <c r="M818" s="37" t="str">
        <f aca="false">IF(INDEX($A818:$J818,$M$6)="","",INDEX($A818:$J818,$M$6)&amp;"")</f>
        <v/>
      </c>
      <c r="N818" s="37" t="str">
        <f aca="false">IF($M818="","",TRIM(INDEX($A818:$J818,$N$6)&amp;""))</f>
        <v/>
      </c>
      <c r="O818" s="37" t="str">
        <f aca="false">IF($M818="","",TRIM(INDEX($A818:$J818,$O$6)&amp;""))</f>
        <v/>
      </c>
      <c r="P818" s="37" t="str">
        <f aca="false">IF($M818="","",IFERROR(IF(INDEX(Settings!$B$41:$B$50,MATCH(O818,Settings!$A$41:$A$50,0))&amp;""="","UNMAPPED",INDEX(Settings!$B$41:$B$50,MATCH(O818,Settings!$A$41:$A$50,0))&amp;""),"UNMAPPED"))</f>
        <v/>
      </c>
      <c r="Q818" s="38" t="n">
        <f aca="false">IF($M818="",0,N(INDEX($A818:$J818,$Q$6)))</f>
        <v>0</v>
      </c>
      <c r="R818" s="39" t="str">
        <f aca="false">IF($M818="","",INDEX($A818:$J818,$R$6))</f>
        <v/>
      </c>
      <c r="S818" s="37" t="str">
        <f aca="false">IF($M818="","",IFERROR(INDEX(Settings!$B$27:$B$36,MATCH(L818,Settings!$A$27:$A$36,0))&amp;"","UNMAPPED"))</f>
        <v/>
      </c>
      <c r="T818" s="37" t="str">
        <f aca="false">IF($M818="","",IF(NOT(ISNUMBER(R818)),"NO DATE",IF(S818="Won",IF(R818&gt;Settings!$B$5,"Backlog","Delivered"),IF(S818="Open",IF(R818&gt;Settings!$B$5,"Pipeline","Overdue"),IF(S818="Lost","Lost","UNMAPPED")))))</f>
        <v/>
      </c>
      <c r="U818" s="40" t="n">
        <f aca="false">IF(T818="Backlog",1,IF(OR(T818="Pipeline",T818="Overdue"),N(INDEX(Settings!$C$27:$C$36,MATCH(L818,Settings!$A$27:$A$36,0))),0))</f>
        <v>0</v>
      </c>
      <c r="V818" s="38" t="n">
        <f aca="false">Q818*U818</f>
        <v>0</v>
      </c>
      <c r="W818" s="41" t="str">
        <f aca="false">IF($M818="","",IF(T818="Overdue",IF(Settings!$B$8="Yes",Settings!$B$7,""),IF(ISNUMBER(R818),DATE(YEAR(R818),MONTH(R818),1),"")))</f>
        <v/>
      </c>
      <c r="X818" s="38" t="n">
        <f aca="false">IF(AND(OR(T818="Backlog",T818="Pipeline",T818="Overdue"),ISNUMBER(W818)),IF(W818&lt;=Settings!$B$6,V818,0),0)</f>
        <v>0</v>
      </c>
      <c r="Y818" s="38" t="n">
        <f aca="false">IF(AND(OR(T818="Backlog",T818="Pipeline",T818="Overdue"),ISNUMBER(W818)),IF(W818&lt;=Settings!$B$6,Q818,0),0)</f>
        <v>0</v>
      </c>
      <c r="Z818" s="38" t="n">
        <f aca="false">IF(Y818=0,0,IF(T818="Backlog",Q818,Q818*Dashboard!$C$10))</f>
        <v>0</v>
      </c>
      <c r="AA818" s="37" t="n">
        <f aca="false">IF($N818="",0,IF(COUNTIF(Dashboard!$C$13:$C$22,$N818)&gt;0,1,0))</f>
        <v>0</v>
      </c>
      <c r="AB818" s="37" t="str">
        <f aca="false">IF($N818="","",IF(COUNTIF($N$8:$N818,$N818)=1,MAX($AB$7:$AB817)+1,""))</f>
        <v/>
      </c>
    </row>
    <row r="819" customFormat="false" ht="15" hidden="false" customHeight="false" outlineLevel="0" collapsed="false">
      <c r="L819" s="37" t="str">
        <f aca="false">IF(INDEX($A819:$J819,$L$6)&lt;&gt;"",TRIM(LEFT(INDEX($A819:$J819,$L$6),FIND("(",INDEX($A819:$J819,$L$6)&amp;"(")-1)),L818)</f>
        <v>Building Value Proposition</v>
      </c>
      <c r="M819" s="37" t="str">
        <f aca="false">IF(INDEX($A819:$J819,$M$6)="","",INDEX($A819:$J819,$M$6)&amp;"")</f>
        <v/>
      </c>
      <c r="N819" s="37" t="str">
        <f aca="false">IF($M819="","",TRIM(INDEX($A819:$J819,$N$6)&amp;""))</f>
        <v/>
      </c>
      <c r="O819" s="37" t="str">
        <f aca="false">IF($M819="","",TRIM(INDEX($A819:$J819,$O$6)&amp;""))</f>
        <v/>
      </c>
      <c r="P819" s="37" t="str">
        <f aca="false">IF($M819="","",IFERROR(IF(INDEX(Settings!$B$41:$B$50,MATCH(O819,Settings!$A$41:$A$50,0))&amp;""="","UNMAPPED",INDEX(Settings!$B$41:$B$50,MATCH(O819,Settings!$A$41:$A$50,0))&amp;""),"UNMAPPED"))</f>
        <v/>
      </c>
      <c r="Q819" s="38" t="n">
        <f aca="false">IF($M819="",0,N(INDEX($A819:$J819,$Q$6)))</f>
        <v>0</v>
      </c>
      <c r="R819" s="39" t="str">
        <f aca="false">IF($M819="","",INDEX($A819:$J819,$R$6))</f>
        <v/>
      </c>
      <c r="S819" s="37" t="str">
        <f aca="false">IF($M819="","",IFERROR(INDEX(Settings!$B$27:$B$36,MATCH(L819,Settings!$A$27:$A$36,0))&amp;"","UNMAPPED"))</f>
        <v/>
      </c>
      <c r="T819" s="37" t="str">
        <f aca="false">IF($M819="","",IF(NOT(ISNUMBER(R819)),"NO DATE",IF(S819="Won",IF(R819&gt;Settings!$B$5,"Backlog","Delivered"),IF(S819="Open",IF(R819&gt;Settings!$B$5,"Pipeline","Overdue"),IF(S819="Lost","Lost","UNMAPPED")))))</f>
        <v/>
      </c>
      <c r="U819" s="40" t="n">
        <f aca="false">IF(T819="Backlog",1,IF(OR(T819="Pipeline",T819="Overdue"),N(INDEX(Settings!$C$27:$C$36,MATCH(L819,Settings!$A$27:$A$36,0))),0))</f>
        <v>0</v>
      </c>
      <c r="V819" s="38" t="n">
        <f aca="false">Q819*U819</f>
        <v>0</v>
      </c>
      <c r="W819" s="41" t="str">
        <f aca="false">IF($M819="","",IF(T819="Overdue",IF(Settings!$B$8="Yes",Settings!$B$7,""),IF(ISNUMBER(R819),DATE(YEAR(R819),MONTH(R819),1),"")))</f>
        <v/>
      </c>
      <c r="X819" s="38" t="n">
        <f aca="false">IF(AND(OR(T819="Backlog",T819="Pipeline",T819="Overdue"),ISNUMBER(W819)),IF(W819&lt;=Settings!$B$6,V819,0),0)</f>
        <v>0</v>
      </c>
      <c r="Y819" s="38" t="n">
        <f aca="false">IF(AND(OR(T819="Backlog",T819="Pipeline",T819="Overdue"),ISNUMBER(W819)),IF(W819&lt;=Settings!$B$6,Q819,0),0)</f>
        <v>0</v>
      </c>
      <c r="Z819" s="38" t="n">
        <f aca="false">IF(Y819=0,0,IF(T819="Backlog",Q819,Q819*Dashboard!$C$10))</f>
        <v>0</v>
      </c>
      <c r="AA819" s="37" t="n">
        <f aca="false">IF($N819="",0,IF(COUNTIF(Dashboard!$C$13:$C$22,$N819)&gt;0,1,0))</f>
        <v>0</v>
      </c>
      <c r="AB819" s="37" t="str">
        <f aca="false">IF($N819="","",IF(COUNTIF($N$8:$N819,$N819)=1,MAX($AB$7:$AB818)+1,""))</f>
        <v/>
      </c>
    </row>
    <row r="820" customFormat="false" ht="15" hidden="false" customHeight="false" outlineLevel="0" collapsed="false">
      <c r="L820" s="37" t="str">
        <f aca="false">IF(INDEX($A820:$J820,$L$6)&lt;&gt;"",TRIM(LEFT(INDEX($A820:$J820,$L$6),FIND("(",INDEX($A820:$J820,$L$6)&amp;"(")-1)),L819)</f>
        <v>Building Value Proposition</v>
      </c>
      <c r="M820" s="37" t="str">
        <f aca="false">IF(INDEX($A820:$J820,$M$6)="","",INDEX($A820:$J820,$M$6)&amp;"")</f>
        <v/>
      </c>
      <c r="N820" s="37" t="str">
        <f aca="false">IF($M820="","",TRIM(INDEX($A820:$J820,$N$6)&amp;""))</f>
        <v/>
      </c>
      <c r="O820" s="37" t="str">
        <f aca="false">IF($M820="","",TRIM(INDEX($A820:$J820,$O$6)&amp;""))</f>
        <v/>
      </c>
      <c r="P820" s="37" t="str">
        <f aca="false">IF($M820="","",IFERROR(IF(INDEX(Settings!$B$41:$B$50,MATCH(O820,Settings!$A$41:$A$50,0))&amp;""="","UNMAPPED",INDEX(Settings!$B$41:$B$50,MATCH(O820,Settings!$A$41:$A$50,0))&amp;""),"UNMAPPED"))</f>
        <v/>
      </c>
      <c r="Q820" s="38" t="n">
        <f aca="false">IF($M820="",0,N(INDEX($A820:$J820,$Q$6)))</f>
        <v>0</v>
      </c>
      <c r="R820" s="39" t="str">
        <f aca="false">IF($M820="","",INDEX($A820:$J820,$R$6))</f>
        <v/>
      </c>
      <c r="S820" s="37" t="str">
        <f aca="false">IF($M820="","",IFERROR(INDEX(Settings!$B$27:$B$36,MATCH(L820,Settings!$A$27:$A$36,0))&amp;"","UNMAPPED"))</f>
        <v/>
      </c>
      <c r="T820" s="37" t="str">
        <f aca="false">IF($M820="","",IF(NOT(ISNUMBER(R820)),"NO DATE",IF(S820="Won",IF(R820&gt;Settings!$B$5,"Backlog","Delivered"),IF(S820="Open",IF(R820&gt;Settings!$B$5,"Pipeline","Overdue"),IF(S820="Lost","Lost","UNMAPPED")))))</f>
        <v/>
      </c>
      <c r="U820" s="40" t="n">
        <f aca="false">IF(T820="Backlog",1,IF(OR(T820="Pipeline",T820="Overdue"),N(INDEX(Settings!$C$27:$C$36,MATCH(L820,Settings!$A$27:$A$36,0))),0))</f>
        <v>0</v>
      </c>
      <c r="V820" s="38" t="n">
        <f aca="false">Q820*U820</f>
        <v>0</v>
      </c>
      <c r="W820" s="41" t="str">
        <f aca="false">IF($M820="","",IF(T820="Overdue",IF(Settings!$B$8="Yes",Settings!$B$7,""),IF(ISNUMBER(R820),DATE(YEAR(R820),MONTH(R820),1),"")))</f>
        <v/>
      </c>
      <c r="X820" s="38" t="n">
        <f aca="false">IF(AND(OR(T820="Backlog",T820="Pipeline",T820="Overdue"),ISNUMBER(W820)),IF(W820&lt;=Settings!$B$6,V820,0),0)</f>
        <v>0</v>
      </c>
      <c r="Y820" s="38" t="n">
        <f aca="false">IF(AND(OR(T820="Backlog",T820="Pipeline",T820="Overdue"),ISNUMBER(W820)),IF(W820&lt;=Settings!$B$6,Q820,0),0)</f>
        <v>0</v>
      </c>
      <c r="Z820" s="38" t="n">
        <f aca="false">IF(Y820=0,0,IF(T820="Backlog",Q820,Q820*Dashboard!$C$10))</f>
        <v>0</v>
      </c>
      <c r="AA820" s="37" t="n">
        <f aca="false">IF($N820="",0,IF(COUNTIF(Dashboard!$C$13:$C$22,$N820)&gt;0,1,0))</f>
        <v>0</v>
      </c>
      <c r="AB820" s="37" t="str">
        <f aca="false">IF($N820="","",IF(COUNTIF($N$8:$N820,$N820)=1,MAX($AB$7:$AB819)+1,""))</f>
        <v/>
      </c>
    </row>
    <row r="821" customFormat="false" ht="15" hidden="false" customHeight="false" outlineLevel="0" collapsed="false">
      <c r="L821" s="37" t="str">
        <f aca="false">IF(INDEX($A821:$J821,$L$6)&lt;&gt;"",TRIM(LEFT(INDEX($A821:$J821,$L$6),FIND("(",INDEX($A821:$J821,$L$6)&amp;"(")-1)),L820)</f>
        <v>Building Value Proposition</v>
      </c>
      <c r="M821" s="37" t="str">
        <f aca="false">IF(INDEX($A821:$J821,$M$6)="","",INDEX($A821:$J821,$M$6)&amp;"")</f>
        <v/>
      </c>
      <c r="N821" s="37" t="str">
        <f aca="false">IF($M821="","",TRIM(INDEX($A821:$J821,$N$6)&amp;""))</f>
        <v/>
      </c>
      <c r="O821" s="37" t="str">
        <f aca="false">IF($M821="","",TRIM(INDEX($A821:$J821,$O$6)&amp;""))</f>
        <v/>
      </c>
      <c r="P821" s="37" t="str">
        <f aca="false">IF($M821="","",IFERROR(IF(INDEX(Settings!$B$41:$B$50,MATCH(O821,Settings!$A$41:$A$50,0))&amp;""="","UNMAPPED",INDEX(Settings!$B$41:$B$50,MATCH(O821,Settings!$A$41:$A$50,0))&amp;""),"UNMAPPED"))</f>
        <v/>
      </c>
      <c r="Q821" s="38" t="n">
        <f aca="false">IF($M821="",0,N(INDEX($A821:$J821,$Q$6)))</f>
        <v>0</v>
      </c>
      <c r="R821" s="39" t="str">
        <f aca="false">IF($M821="","",INDEX($A821:$J821,$R$6))</f>
        <v/>
      </c>
      <c r="S821" s="37" t="str">
        <f aca="false">IF($M821="","",IFERROR(INDEX(Settings!$B$27:$B$36,MATCH(L821,Settings!$A$27:$A$36,0))&amp;"","UNMAPPED"))</f>
        <v/>
      </c>
      <c r="T821" s="37" t="str">
        <f aca="false">IF($M821="","",IF(NOT(ISNUMBER(R821)),"NO DATE",IF(S821="Won",IF(R821&gt;Settings!$B$5,"Backlog","Delivered"),IF(S821="Open",IF(R821&gt;Settings!$B$5,"Pipeline","Overdue"),IF(S821="Lost","Lost","UNMAPPED")))))</f>
        <v/>
      </c>
      <c r="U821" s="40" t="n">
        <f aca="false">IF(T821="Backlog",1,IF(OR(T821="Pipeline",T821="Overdue"),N(INDEX(Settings!$C$27:$C$36,MATCH(L821,Settings!$A$27:$A$36,0))),0))</f>
        <v>0</v>
      </c>
      <c r="V821" s="38" t="n">
        <f aca="false">Q821*U821</f>
        <v>0</v>
      </c>
      <c r="W821" s="41" t="str">
        <f aca="false">IF($M821="","",IF(T821="Overdue",IF(Settings!$B$8="Yes",Settings!$B$7,""),IF(ISNUMBER(R821),DATE(YEAR(R821),MONTH(R821),1),"")))</f>
        <v/>
      </c>
      <c r="X821" s="38" t="n">
        <f aca="false">IF(AND(OR(T821="Backlog",T821="Pipeline",T821="Overdue"),ISNUMBER(W821)),IF(W821&lt;=Settings!$B$6,V821,0),0)</f>
        <v>0</v>
      </c>
      <c r="Y821" s="38" t="n">
        <f aca="false">IF(AND(OR(T821="Backlog",T821="Pipeline",T821="Overdue"),ISNUMBER(W821)),IF(W821&lt;=Settings!$B$6,Q821,0),0)</f>
        <v>0</v>
      </c>
      <c r="Z821" s="38" t="n">
        <f aca="false">IF(Y821=0,0,IF(T821="Backlog",Q821,Q821*Dashboard!$C$10))</f>
        <v>0</v>
      </c>
      <c r="AA821" s="37" t="n">
        <f aca="false">IF($N821="",0,IF(COUNTIF(Dashboard!$C$13:$C$22,$N821)&gt;0,1,0))</f>
        <v>0</v>
      </c>
      <c r="AB821" s="37" t="str">
        <f aca="false">IF($N821="","",IF(COUNTIF($N$8:$N821,$N821)=1,MAX($AB$7:$AB820)+1,""))</f>
        <v/>
      </c>
    </row>
    <row r="822" customFormat="false" ht="15" hidden="false" customHeight="false" outlineLevel="0" collapsed="false">
      <c r="L822" s="37" t="str">
        <f aca="false">IF(INDEX($A822:$J822,$L$6)&lt;&gt;"",TRIM(LEFT(INDEX($A822:$J822,$L$6),FIND("(",INDEX($A822:$J822,$L$6)&amp;"(")-1)),L821)</f>
        <v>Building Value Proposition</v>
      </c>
      <c r="M822" s="37" t="str">
        <f aca="false">IF(INDEX($A822:$J822,$M$6)="","",INDEX($A822:$J822,$M$6)&amp;"")</f>
        <v/>
      </c>
      <c r="N822" s="37" t="str">
        <f aca="false">IF($M822="","",TRIM(INDEX($A822:$J822,$N$6)&amp;""))</f>
        <v/>
      </c>
      <c r="O822" s="37" t="str">
        <f aca="false">IF($M822="","",TRIM(INDEX($A822:$J822,$O$6)&amp;""))</f>
        <v/>
      </c>
      <c r="P822" s="37" t="str">
        <f aca="false">IF($M822="","",IFERROR(IF(INDEX(Settings!$B$41:$B$50,MATCH(O822,Settings!$A$41:$A$50,0))&amp;""="","UNMAPPED",INDEX(Settings!$B$41:$B$50,MATCH(O822,Settings!$A$41:$A$50,0))&amp;""),"UNMAPPED"))</f>
        <v/>
      </c>
      <c r="Q822" s="38" t="n">
        <f aca="false">IF($M822="",0,N(INDEX($A822:$J822,$Q$6)))</f>
        <v>0</v>
      </c>
      <c r="R822" s="39" t="str">
        <f aca="false">IF($M822="","",INDEX($A822:$J822,$R$6))</f>
        <v/>
      </c>
      <c r="S822" s="37" t="str">
        <f aca="false">IF($M822="","",IFERROR(INDEX(Settings!$B$27:$B$36,MATCH(L822,Settings!$A$27:$A$36,0))&amp;"","UNMAPPED"))</f>
        <v/>
      </c>
      <c r="T822" s="37" t="str">
        <f aca="false">IF($M822="","",IF(NOT(ISNUMBER(R822)),"NO DATE",IF(S822="Won",IF(R822&gt;Settings!$B$5,"Backlog","Delivered"),IF(S822="Open",IF(R822&gt;Settings!$B$5,"Pipeline","Overdue"),IF(S822="Lost","Lost","UNMAPPED")))))</f>
        <v/>
      </c>
      <c r="U822" s="40" t="n">
        <f aca="false">IF(T822="Backlog",1,IF(OR(T822="Pipeline",T822="Overdue"),N(INDEX(Settings!$C$27:$C$36,MATCH(L822,Settings!$A$27:$A$36,0))),0))</f>
        <v>0</v>
      </c>
      <c r="V822" s="38" t="n">
        <f aca="false">Q822*U822</f>
        <v>0</v>
      </c>
      <c r="W822" s="41" t="str">
        <f aca="false">IF($M822="","",IF(T822="Overdue",IF(Settings!$B$8="Yes",Settings!$B$7,""),IF(ISNUMBER(R822),DATE(YEAR(R822),MONTH(R822),1),"")))</f>
        <v/>
      </c>
      <c r="X822" s="38" t="n">
        <f aca="false">IF(AND(OR(T822="Backlog",T822="Pipeline",T822="Overdue"),ISNUMBER(W822)),IF(W822&lt;=Settings!$B$6,V822,0),0)</f>
        <v>0</v>
      </c>
      <c r="Y822" s="38" t="n">
        <f aca="false">IF(AND(OR(T822="Backlog",T822="Pipeline",T822="Overdue"),ISNUMBER(W822)),IF(W822&lt;=Settings!$B$6,Q822,0),0)</f>
        <v>0</v>
      </c>
      <c r="Z822" s="38" t="n">
        <f aca="false">IF(Y822=0,0,IF(T822="Backlog",Q822,Q822*Dashboard!$C$10))</f>
        <v>0</v>
      </c>
      <c r="AA822" s="37" t="n">
        <f aca="false">IF($N822="",0,IF(COUNTIF(Dashboard!$C$13:$C$22,$N822)&gt;0,1,0))</f>
        <v>0</v>
      </c>
      <c r="AB822" s="37" t="str">
        <f aca="false">IF($N822="","",IF(COUNTIF($N$8:$N822,$N822)=1,MAX($AB$7:$AB821)+1,""))</f>
        <v/>
      </c>
    </row>
    <row r="823" customFormat="false" ht="15" hidden="false" customHeight="false" outlineLevel="0" collapsed="false">
      <c r="L823" s="37" t="str">
        <f aca="false">IF(INDEX($A823:$J823,$L$6)&lt;&gt;"",TRIM(LEFT(INDEX($A823:$J823,$L$6),FIND("(",INDEX($A823:$J823,$L$6)&amp;"(")-1)),L822)</f>
        <v>Building Value Proposition</v>
      </c>
      <c r="M823" s="37" t="str">
        <f aca="false">IF(INDEX($A823:$J823,$M$6)="","",INDEX($A823:$J823,$M$6)&amp;"")</f>
        <v/>
      </c>
      <c r="N823" s="37" t="str">
        <f aca="false">IF($M823="","",TRIM(INDEX($A823:$J823,$N$6)&amp;""))</f>
        <v/>
      </c>
      <c r="O823" s="37" t="str">
        <f aca="false">IF($M823="","",TRIM(INDEX($A823:$J823,$O$6)&amp;""))</f>
        <v/>
      </c>
      <c r="P823" s="37" t="str">
        <f aca="false">IF($M823="","",IFERROR(IF(INDEX(Settings!$B$41:$B$50,MATCH(O823,Settings!$A$41:$A$50,0))&amp;""="","UNMAPPED",INDEX(Settings!$B$41:$B$50,MATCH(O823,Settings!$A$41:$A$50,0))&amp;""),"UNMAPPED"))</f>
        <v/>
      </c>
      <c r="Q823" s="38" t="n">
        <f aca="false">IF($M823="",0,N(INDEX($A823:$J823,$Q$6)))</f>
        <v>0</v>
      </c>
      <c r="R823" s="39" t="str">
        <f aca="false">IF($M823="","",INDEX($A823:$J823,$R$6))</f>
        <v/>
      </c>
      <c r="S823" s="37" t="str">
        <f aca="false">IF($M823="","",IFERROR(INDEX(Settings!$B$27:$B$36,MATCH(L823,Settings!$A$27:$A$36,0))&amp;"","UNMAPPED"))</f>
        <v/>
      </c>
      <c r="T823" s="37" t="str">
        <f aca="false">IF($M823="","",IF(NOT(ISNUMBER(R823)),"NO DATE",IF(S823="Won",IF(R823&gt;Settings!$B$5,"Backlog","Delivered"),IF(S823="Open",IF(R823&gt;Settings!$B$5,"Pipeline","Overdue"),IF(S823="Lost","Lost","UNMAPPED")))))</f>
        <v/>
      </c>
      <c r="U823" s="40" t="n">
        <f aca="false">IF(T823="Backlog",1,IF(OR(T823="Pipeline",T823="Overdue"),N(INDEX(Settings!$C$27:$C$36,MATCH(L823,Settings!$A$27:$A$36,0))),0))</f>
        <v>0</v>
      </c>
      <c r="V823" s="38" t="n">
        <f aca="false">Q823*U823</f>
        <v>0</v>
      </c>
      <c r="W823" s="41" t="str">
        <f aca="false">IF($M823="","",IF(T823="Overdue",IF(Settings!$B$8="Yes",Settings!$B$7,""),IF(ISNUMBER(R823),DATE(YEAR(R823),MONTH(R823),1),"")))</f>
        <v/>
      </c>
      <c r="X823" s="38" t="n">
        <f aca="false">IF(AND(OR(T823="Backlog",T823="Pipeline",T823="Overdue"),ISNUMBER(W823)),IF(W823&lt;=Settings!$B$6,V823,0),0)</f>
        <v>0</v>
      </c>
      <c r="Y823" s="38" t="n">
        <f aca="false">IF(AND(OR(T823="Backlog",T823="Pipeline",T823="Overdue"),ISNUMBER(W823)),IF(W823&lt;=Settings!$B$6,Q823,0),0)</f>
        <v>0</v>
      </c>
      <c r="Z823" s="38" t="n">
        <f aca="false">IF(Y823=0,0,IF(T823="Backlog",Q823,Q823*Dashboard!$C$10))</f>
        <v>0</v>
      </c>
      <c r="AA823" s="37" t="n">
        <f aca="false">IF($N823="",0,IF(COUNTIF(Dashboard!$C$13:$C$22,$N823)&gt;0,1,0))</f>
        <v>0</v>
      </c>
      <c r="AB823" s="37" t="str">
        <f aca="false">IF($N823="","",IF(COUNTIF($N$8:$N823,$N823)=1,MAX($AB$7:$AB822)+1,""))</f>
        <v/>
      </c>
    </row>
    <row r="824" customFormat="false" ht="15" hidden="false" customHeight="false" outlineLevel="0" collapsed="false">
      <c r="L824" s="37" t="str">
        <f aca="false">IF(INDEX($A824:$J824,$L$6)&lt;&gt;"",TRIM(LEFT(INDEX($A824:$J824,$L$6),FIND("(",INDEX($A824:$J824,$L$6)&amp;"(")-1)),L823)</f>
        <v>Building Value Proposition</v>
      </c>
      <c r="M824" s="37" t="str">
        <f aca="false">IF(INDEX($A824:$J824,$M$6)="","",INDEX($A824:$J824,$M$6)&amp;"")</f>
        <v/>
      </c>
      <c r="N824" s="37" t="str">
        <f aca="false">IF($M824="","",TRIM(INDEX($A824:$J824,$N$6)&amp;""))</f>
        <v/>
      </c>
      <c r="O824" s="37" t="str">
        <f aca="false">IF($M824="","",TRIM(INDEX($A824:$J824,$O$6)&amp;""))</f>
        <v/>
      </c>
      <c r="P824" s="37" t="str">
        <f aca="false">IF($M824="","",IFERROR(IF(INDEX(Settings!$B$41:$B$50,MATCH(O824,Settings!$A$41:$A$50,0))&amp;""="","UNMAPPED",INDEX(Settings!$B$41:$B$50,MATCH(O824,Settings!$A$41:$A$50,0))&amp;""),"UNMAPPED"))</f>
        <v/>
      </c>
      <c r="Q824" s="38" t="n">
        <f aca="false">IF($M824="",0,N(INDEX($A824:$J824,$Q$6)))</f>
        <v>0</v>
      </c>
      <c r="R824" s="39" t="str">
        <f aca="false">IF($M824="","",INDEX($A824:$J824,$R$6))</f>
        <v/>
      </c>
      <c r="S824" s="37" t="str">
        <f aca="false">IF($M824="","",IFERROR(INDEX(Settings!$B$27:$B$36,MATCH(L824,Settings!$A$27:$A$36,0))&amp;"","UNMAPPED"))</f>
        <v/>
      </c>
      <c r="T824" s="37" t="str">
        <f aca="false">IF($M824="","",IF(NOT(ISNUMBER(R824)),"NO DATE",IF(S824="Won",IF(R824&gt;Settings!$B$5,"Backlog","Delivered"),IF(S824="Open",IF(R824&gt;Settings!$B$5,"Pipeline","Overdue"),IF(S824="Lost","Lost","UNMAPPED")))))</f>
        <v/>
      </c>
      <c r="U824" s="40" t="n">
        <f aca="false">IF(T824="Backlog",1,IF(OR(T824="Pipeline",T824="Overdue"),N(INDEX(Settings!$C$27:$C$36,MATCH(L824,Settings!$A$27:$A$36,0))),0))</f>
        <v>0</v>
      </c>
      <c r="V824" s="38" t="n">
        <f aca="false">Q824*U824</f>
        <v>0</v>
      </c>
      <c r="W824" s="41" t="str">
        <f aca="false">IF($M824="","",IF(T824="Overdue",IF(Settings!$B$8="Yes",Settings!$B$7,""),IF(ISNUMBER(R824),DATE(YEAR(R824),MONTH(R824),1),"")))</f>
        <v/>
      </c>
      <c r="X824" s="38" t="n">
        <f aca="false">IF(AND(OR(T824="Backlog",T824="Pipeline",T824="Overdue"),ISNUMBER(W824)),IF(W824&lt;=Settings!$B$6,V824,0),0)</f>
        <v>0</v>
      </c>
      <c r="Y824" s="38" t="n">
        <f aca="false">IF(AND(OR(T824="Backlog",T824="Pipeline",T824="Overdue"),ISNUMBER(W824)),IF(W824&lt;=Settings!$B$6,Q824,0),0)</f>
        <v>0</v>
      </c>
      <c r="Z824" s="38" t="n">
        <f aca="false">IF(Y824=0,0,IF(T824="Backlog",Q824,Q824*Dashboard!$C$10))</f>
        <v>0</v>
      </c>
      <c r="AA824" s="37" t="n">
        <f aca="false">IF($N824="",0,IF(COUNTIF(Dashboard!$C$13:$C$22,$N824)&gt;0,1,0))</f>
        <v>0</v>
      </c>
      <c r="AB824" s="37" t="str">
        <f aca="false">IF($N824="","",IF(COUNTIF($N$8:$N824,$N824)=1,MAX($AB$7:$AB823)+1,""))</f>
        <v/>
      </c>
    </row>
    <row r="825" customFormat="false" ht="15" hidden="false" customHeight="false" outlineLevel="0" collapsed="false">
      <c r="L825" s="37" t="str">
        <f aca="false">IF(INDEX($A825:$J825,$L$6)&lt;&gt;"",TRIM(LEFT(INDEX($A825:$J825,$L$6),FIND("(",INDEX($A825:$J825,$L$6)&amp;"(")-1)),L824)</f>
        <v>Building Value Proposition</v>
      </c>
      <c r="M825" s="37" t="str">
        <f aca="false">IF(INDEX($A825:$J825,$M$6)="","",INDEX($A825:$J825,$M$6)&amp;"")</f>
        <v/>
      </c>
      <c r="N825" s="37" t="str">
        <f aca="false">IF($M825="","",TRIM(INDEX($A825:$J825,$N$6)&amp;""))</f>
        <v/>
      </c>
      <c r="O825" s="37" t="str">
        <f aca="false">IF($M825="","",TRIM(INDEX($A825:$J825,$O$6)&amp;""))</f>
        <v/>
      </c>
      <c r="P825" s="37" t="str">
        <f aca="false">IF($M825="","",IFERROR(IF(INDEX(Settings!$B$41:$B$50,MATCH(O825,Settings!$A$41:$A$50,0))&amp;""="","UNMAPPED",INDEX(Settings!$B$41:$B$50,MATCH(O825,Settings!$A$41:$A$50,0))&amp;""),"UNMAPPED"))</f>
        <v/>
      </c>
      <c r="Q825" s="38" t="n">
        <f aca="false">IF($M825="",0,N(INDEX($A825:$J825,$Q$6)))</f>
        <v>0</v>
      </c>
      <c r="R825" s="39" t="str">
        <f aca="false">IF($M825="","",INDEX($A825:$J825,$R$6))</f>
        <v/>
      </c>
      <c r="S825" s="37" t="str">
        <f aca="false">IF($M825="","",IFERROR(INDEX(Settings!$B$27:$B$36,MATCH(L825,Settings!$A$27:$A$36,0))&amp;"","UNMAPPED"))</f>
        <v/>
      </c>
      <c r="T825" s="37" t="str">
        <f aca="false">IF($M825="","",IF(NOT(ISNUMBER(R825)),"NO DATE",IF(S825="Won",IF(R825&gt;Settings!$B$5,"Backlog","Delivered"),IF(S825="Open",IF(R825&gt;Settings!$B$5,"Pipeline","Overdue"),IF(S825="Lost","Lost","UNMAPPED")))))</f>
        <v/>
      </c>
      <c r="U825" s="40" t="n">
        <f aca="false">IF(T825="Backlog",1,IF(OR(T825="Pipeline",T825="Overdue"),N(INDEX(Settings!$C$27:$C$36,MATCH(L825,Settings!$A$27:$A$36,0))),0))</f>
        <v>0</v>
      </c>
      <c r="V825" s="38" t="n">
        <f aca="false">Q825*U825</f>
        <v>0</v>
      </c>
      <c r="W825" s="41" t="str">
        <f aca="false">IF($M825="","",IF(T825="Overdue",IF(Settings!$B$8="Yes",Settings!$B$7,""),IF(ISNUMBER(R825),DATE(YEAR(R825),MONTH(R825),1),"")))</f>
        <v/>
      </c>
      <c r="X825" s="38" t="n">
        <f aca="false">IF(AND(OR(T825="Backlog",T825="Pipeline",T825="Overdue"),ISNUMBER(W825)),IF(W825&lt;=Settings!$B$6,V825,0),0)</f>
        <v>0</v>
      </c>
      <c r="Y825" s="38" t="n">
        <f aca="false">IF(AND(OR(T825="Backlog",T825="Pipeline",T825="Overdue"),ISNUMBER(W825)),IF(W825&lt;=Settings!$B$6,Q825,0),0)</f>
        <v>0</v>
      </c>
      <c r="Z825" s="38" t="n">
        <f aca="false">IF(Y825=0,0,IF(T825="Backlog",Q825,Q825*Dashboard!$C$10))</f>
        <v>0</v>
      </c>
      <c r="AA825" s="37" t="n">
        <f aca="false">IF($N825="",0,IF(COUNTIF(Dashboard!$C$13:$C$22,$N825)&gt;0,1,0))</f>
        <v>0</v>
      </c>
      <c r="AB825" s="37" t="str">
        <f aca="false">IF($N825="","",IF(COUNTIF($N$8:$N825,$N825)=1,MAX($AB$7:$AB824)+1,""))</f>
        <v/>
      </c>
    </row>
    <row r="826" customFormat="false" ht="15" hidden="false" customHeight="false" outlineLevel="0" collapsed="false">
      <c r="L826" s="37" t="str">
        <f aca="false">IF(INDEX($A826:$J826,$L$6)&lt;&gt;"",TRIM(LEFT(INDEX($A826:$J826,$L$6),FIND("(",INDEX($A826:$J826,$L$6)&amp;"(")-1)),L825)</f>
        <v>Building Value Proposition</v>
      </c>
      <c r="M826" s="37" t="str">
        <f aca="false">IF(INDEX($A826:$J826,$M$6)="","",INDEX($A826:$J826,$M$6)&amp;"")</f>
        <v/>
      </c>
      <c r="N826" s="37" t="str">
        <f aca="false">IF($M826="","",TRIM(INDEX($A826:$J826,$N$6)&amp;""))</f>
        <v/>
      </c>
      <c r="O826" s="37" t="str">
        <f aca="false">IF($M826="","",TRIM(INDEX($A826:$J826,$O$6)&amp;""))</f>
        <v/>
      </c>
      <c r="P826" s="37" t="str">
        <f aca="false">IF($M826="","",IFERROR(IF(INDEX(Settings!$B$41:$B$50,MATCH(O826,Settings!$A$41:$A$50,0))&amp;""="","UNMAPPED",INDEX(Settings!$B$41:$B$50,MATCH(O826,Settings!$A$41:$A$50,0))&amp;""),"UNMAPPED"))</f>
        <v/>
      </c>
      <c r="Q826" s="38" t="n">
        <f aca="false">IF($M826="",0,N(INDEX($A826:$J826,$Q$6)))</f>
        <v>0</v>
      </c>
      <c r="R826" s="39" t="str">
        <f aca="false">IF($M826="","",INDEX($A826:$J826,$R$6))</f>
        <v/>
      </c>
      <c r="S826" s="37" t="str">
        <f aca="false">IF($M826="","",IFERROR(INDEX(Settings!$B$27:$B$36,MATCH(L826,Settings!$A$27:$A$36,0))&amp;"","UNMAPPED"))</f>
        <v/>
      </c>
      <c r="T826" s="37" t="str">
        <f aca="false">IF($M826="","",IF(NOT(ISNUMBER(R826)),"NO DATE",IF(S826="Won",IF(R826&gt;Settings!$B$5,"Backlog","Delivered"),IF(S826="Open",IF(R826&gt;Settings!$B$5,"Pipeline","Overdue"),IF(S826="Lost","Lost","UNMAPPED")))))</f>
        <v/>
      </c>
      <c r="U826" s="40" t="n">
        <f aca="false">IF(T826="Backlog",1,IF(OR(T826="Pipeline",T826="Overdue"),N(INDEX(Settings!$C$27:$C$36,MATCH(L826,Settings!$A$27:$A$36,0))),0))</f>
        <v>0</v>
      </c>
      <c r="V826" s="38" t="n">
        <f aca="false">Q826*U826</f>
        <v>0</v>
      </c>
      <c r="W826" s="41" t="str">
        <f aca="false">IF($M826="","",IF(T826="Overdue",IF(Settings!$B$8="Yes",Settings!$B$7,""),IF(ISNUMBER(R826),DATE(YEAR(R826),MONTH(R826),1),"")))</f>
        <v/>
      </c>
      <c r="X826" s="38" t="n">
        <f aca="false">IF(AND(OR(T826="Backlog",T826="Pipeline",T826="Overdue"),ISNUMBER(W826)),IF(W826&lt;=Settings!$B$6,V826,0),0)</f>
        <v>0</v>
      </c>
      <c r="Y826" s="38" t="n">
        <f aca="false">IF(AND(OR(T826="Backlog",T826="Pipeline",T826="Overdue"),ISNUMBER(W826)),IF(W826&lt;=Settings!$B$6,Q826,0),0)</f>
        <v>0</v>
      </c>
      <c r="Z826" s="38" t="n">
        <f aca="false">IF(Y826=0,0,IF(T826="Backlog",Q826,Q826*Dashboard!$C$10))</f>
        <v>0</v>
      </c>
      <c r="AA826" s="37" t="n">
        <f aca="false">IF($N826="",0,IF(COUNTIF(Dashboard!$C$13:$C$22,$N826)&gt;0,1,0))</f>
        <v>0</v>
      </c>
      <c r="AB826" s="37" t="str">
        <f aca="false">IF($N826="","",IF(COUNTIF($N$8:$N826,$N826)=1,MAX($AB$7:$AB825)+1,""))</f>
        <v/>
      </c>
    </row>
    <row r="827" customFormat="false" ht="15" hidden="false" customHeight="false" outlineLevel="0" collapsed="false">
      <c r="L827" s="37" t="str">
        <f aca="false">IF(INDEX($A827:$J827,$L$6)&lt;&gt;"",TRIM(LEFT(INDEX($A827:$J827,$L$6),FIND("(",INDEX($A827:$J827,$L$6)&amp;"(")-1)),L826)</f>
        <v>Building Value Proposition</v>
      </c>
      <c r="M827" s="37" t="str">
        <f aca="false">IF(INDEX($A827:$J827,$M$6)="","",INDEX($A827:$J827,$M$6)&amp;"")</f>
        <v/>
      </c>
      <c r="N827" s="37" t="str">
        <f aca="false">IF($M827="","",TRIM(INDEX($A827:$J827,$N$6)&amp;""))</f>
        <v/>
      </c>
      <c r="O827" s="37" t="str">
        <f aca="false">IF($M827="","",TRIM(INDEX($A827:$J827,$O$6)&amp;""))</f>
        <v/>
      </c>
      <c r="P827" s="37" t="str">
        <f aca="false">IF($M827="","",IFERROR(IF(INDEX(Settings!$B$41:$B$50,MATCH(O827,Settings!$A$41:$A$50,0))&amp;""="","UNMAPPED",INDEX(Settings!$B$41:$B$50,MATCH(O827,Settings!$A$41:$A$50,0))&amp;""),"UNMAPPED"))</f>
        <v/>
      </c>
      <c r="Q827" s="38" t="n">
        <f aca="false">IF($M827="",0,N(INDEX($A827:$J827,$Q$6)))</f>
        <v>0</v>
      </c>
      <c r="R827" s="39" t="str">
        <f aca="false">IF($M827="","",INDEX($A827:$J827,$R$6))</f>
        <v/>
      </c>
      <c r="S827" s="37" t="str">
        <f aca="false">IF($M827="","",IFERROR(INDEX(Settings!$B$27:$B$36,MATCH(L827,Settings!$A$27:$A$36,0))&amp;"","UNMAPPED"))</f>
        <v/>
      </c>
      <c r="T827" s="37" t="str">
        <f aca="false">IF($M827="","",IF(NOT(ISNUMBER(R827)),"NO DATE",IF(S827="Won",IF(R827&gt;Settings!$B$5,"Backlog","Delivered"),IF(S827="Open",IF(R827&gt;Settings!$B$5,"Pipeline","Overdue"),IF(S827="Lost","Lost","UNMAPPED")))))</f>
        <v/>
      </c>
      <c r="U827" s="40" t="n">
        <f aca="false">IF(T827="Backlog",1,IF(OR(T827="Pipeline",T827="Overdue"),N(INDEX(Settings!$C$27:$C$36,MATCH(L827,Settings!$A$27:$A$36,0))),0))</f>
        <v>0</v>
      </c>
      <c r="V827" s="38" t="n">
        <f aca="false">Q827*U827</f>
        <v>0</v>
      </c>
      <c r="W827" s="41" t="str">
        <f aca="false">IF($M827="","",IF(T827="Overdue",IF(Settings!$B$8="Yes",Settings!$B$7,""),IF(ISNUMBER(R827),DATE(YEAR(R827),MONTH(R827),1),"")))</f>
        <v/>
      </c>
      <c r="X827" s="38" t="n">
        <f aca="false">IF(AND(OR(T827="Backlog",T827="Pipeline",T827="Overdue"),ISNUMBER(W827)),IF(W827&lt;=Settings!$B$6,V827,0),0)</f>
        <v>0</v>
      </c>
      <c r="Y827" s="38" t="n">
        <f aca="false">IF(AND(OR(T827="Backlog",T827="Pipeline",T827="Overdue"),ISNUMBER(W827)),IF(W827&lt;=Settings!$B$6,Q827,0),0)</f>
        <v>0</v>
      </c>
      <c r="Z827" s="38" t="n">
        <f aca="false">IF(Y827=0,0,IF(T827="Backlog",Q827,Q827*Dashboard!$C$10))</f>
        <v>0</v>
      </c>
      <c r="AA827" s="37" t="n">
        <f aca="false">IF($N827="",0,IF(COUNTIF(Dashboard!$C$13:$C$22,$N827)&gt;0,1,0))</f>
        <v>0</v>
      </c>
      <c r="AB827" s="37" t="str">
        <f aca="false">IF($N827="","",IF(COUNTIF($N$8:$N827,$N827)=1,MAX($AB$7:$AB826)+1,""))</f>
        <v/>
      </c>
    </row>
    <row r="828" customFormat="false" ht="15" hidden="false" customHeight="false" outlineLevel="0" collapsed="false">
      <c r="L828" s="37" t="str">
        <f aca="false">IF(INDEX($A828:$J828,$L$6)&lt;&gt;"",TRIM(LEFT(INDEX($A828:$J828,$L$6),FIND("(",INDEX($A828:$J828,$L$6)&amp;"(")-1)),L827)</f>
        <v>Building Value Proposition</v>
      </c>
      <c r="M828" s="37" t="str">
        <f aca="false">IF(INDEX($A828:$J828,$M$6)="","",INDEX($A828:$J828,$M$6)&amp;"")</f>
        <v/>
      </c>
      <c r="N828" s="37" t="str">
        <f aca="false">IF($M828="","",TRIM(INDEX($A828:$J828,$N$6)&amp;""))</f>
        <v/>
      </c>
      <c r="O828" s="37" t="str">
        <f aca="false">IF($M828="","",TRIM(INDEX($A828:$J828,$O$6)&amp;""))</f>
        <v/>
      </c>
      <c r="P828" s="37" t="str">
        <f aca="false">IF($M828="","",IFERROR(IF(INDEX(Settings!$B$41:$B$50,MATCH(O828,Settings!$A$41:$A$50,0))&amp;""="","UNMAPPED",INDEX(Settings!$B$41:$B$50,MATCH(O828,Settings!$A$41:$A$50,0))&amp;""),"UNMAPPED"))</f>
        <v/>
      </c>
      <c r="Q828" s="38" t="n">
        <f aca="false">IF($M828="",0,N(INDEX($A828:$J828,$Q$6)))</f>
        <v>0</v>
      </c>
      <c r="R828" s="39" t="str">
        <f aca="false">IF($M828="","",INDEX($A828:$J828,$R$6))</f>
        <v/>
      </c>
      <c r="S828" s="37" t="str">
        <f aca="false">IF($M828="","",IFERROR(INDEX(Settings!$B$27:$B$36,MATCH(L828,Settings!$A$27:$A$36,0))&amp;"","UNMAPPED"))</f>
        <v/>
      </c>
      <c r="T828" s="37" t="str">
        <f aca="false">IF($M828="","",IF(NOT(ISNUMBER(R828)),"NO DATE",IF(S828="Won",IF(R828&gt;Settings!$B$5,"Backlog","Delivered"),IF(S828="Open",IF(R828&gt;Settings!$B$5,"Pipeline","Overdue"),IF(S828="Lost","Lost","UNMAPPED")))))</f>
        <v/>
      </c>
      <c r="U828" s="40" t="n">
        <f aca="false">IF(T828="Backlog",1,IF(OR(T828="Pipeline",T828="Overdue"),N(INDEX(Settings!$C$27:$C$36,MATCH(L828,Settings!$A$27:$A$36,0))),0))</f>
        <v>0</v>
      </c>
      <c r="V828" s="38" t="n">
        <f aca="false">Q828*U828</f>
        <v>0</v>
      </c>
      <c r="W828" s="41" t="str">
        <f aca="false">IF($M828="","",IF(T828="Overdue",IF(Settings!$B$8="Yes",Settings!$B$7,""),IF(ISNUMBER(R828),DATE(YEAR(R828),MONTH(R828),1),"")))</f>
        <v/>
      </c>
      <c r="X828" s="38" t="n">
        <f aca="false">IF(AND(OR(T828="Backlog",T828="Pipeline",T828="Overdue"),ISNUMBER(W828)),IF(W828&lt;=Settings!$B$6,V828,0),0)</f>
        <v>0</v>
      </c>
      <c r="Y828" s="38" t="n">
        <f aca="false">IF(AND(OR(T828="Backlog",T828="Pipeline",T828="Overdue"),ISNUMBER(W828)),IF(W828&lt;=Settings!$B$6,Q828,0),0)</f>
        <v>0</v>
      </c>
      <c r="Z828" s="38" t="n">
        <f aca="false">IF(Y828=0,0,IF(T828="Backlog",Q828,Q828*Dashboard!$C$10))</f>
        <v>0</v>
      </c>
      <c r="AA828" s="37" t="n">
        <f aca="false">IF($N828="",0,IF(COUNTIF(Dashboard!$C$13:$C$22,$N828)&gt;0,1,0))</f>
        <v>0</v>
      </c>
      <c r="AB828" s="37" t="str">
        <f aca="false">IF($N828="","",IF(COUNTIF($N$8:$N828,$N828)=1,MAX($AB$7:$AB827)+1,""))</f>
        <v/>
      </c>
    </row>
    <row r="829" customFormat="false" ht="15" hidden="false" customHeight="false" outlineLevel="0" collapsed="false">
      <c r="L829" s="37" t="str">
        <f aca="false">IF(INDEX($A829:$J829,$L$6)&lt;&gt;"",TRIM(LEFT(INDEX($A829:$J829,$L$6),FIND("(",INDEX($A829:$J829,$L$6)&amp;"(")-1)),L828)</f>
        <v>Building Value Proposition</v>
      </c>
      <c r="M829" s="37" t="str">
        <f aca="false">IF(INDEX($A829:$J829,$M$6)="","",INDEX($A829:$J829,$M$6)&amp;"")</f>
        <v/>
      </c>
      <c r="N829" s="37" t="str">
        <f aca="false">IF($M829="","",TRIM(INDEX($A829:$J829,$N$6)&amp;""))</f>
        <v/>
      </c>
      <c r="O829" s="37" t="str">
        <f aca="false">IF($M829="","",TRIM(INDEX($A829:$J829,$O$6)&amp;""))</f>
        <v/>
      </c>
      <c r="P829" s="37" t="str">
        <f aca="false">IF($M829="","",IFERROR(IF(INDEX(Settings!$B$41:$B$50,MATCH(O829,Settings!$A$41:$A$50,0))&amp;""="","UNMAPPED",INDEX(Settings!$B$41:$B$50,MATCH(O829,Settings!$A$41:$A$50,0))&amp;""),"UNMAPPED"))</f>
        <v/>
      </c>
      <c r="Q829" s="38" t="n">
        <f aca="false">IF($M829="",0,N(INDEX($A829:$J829,$Q$6)))</f>
        <v>0</v>
      </c>
      <c r="R829" s="39" t="str">
        <f aca="false">IF($M829="","",INDEX($A829:$J829,$R$6))</f>
        <v/>
      </c>
      <c r="S829" s="37" t="str">
        <f aca="false">IF($M829="","",IFERROR(INDEX(Settings!$B$27:$B$36,MATCH(L829,Settings!$A$27:$A$36,0))&amp;"","UNMAPPED"))</f>
        <v/>
      </c>
      <c r="T829" s="37" t="str">
        <f aca="false">IF($M829="","",IF(NOT(ISNUMBER(R829)),"NO DATE",IF(S829="Won",IF(R829&gt;Settings!$B$5,"Backlog","Delivered"),IF(S829="Open",IF(R829&gt;Settings!$B$5,"Pipeline","Overdue"),IF(S829="Lost","Lost","UNMAPPED")))))</f>
        <v/>
      </c>
      <c r="U829" s="40" t="n">
        <f aca="false">IF(T829="Backlog",1,IF(OR(T829="Pipeline",T829="Overdue"),N(INDEX(Settings!$C$27:$C$36,MATCH(L829,Settings!$A$27:$A$36,0))),0))</f>
        <v>0</v>
      </c>
      <c r="V829" s="38" t="n">
        <f aca="false">Q829*U829</f>
        <v>0</v>
      </c>
      <c r="W829" s="41" t="str">
        <f aca="false">IF($M829="","",IF(T829="Overdue",IF(Settings!$B$8="Yes",Settings!$B$7,""),IF(ISNUMBER(R829),DATE(YEAR(R829),MONTH(R829),1),"")))</f>
        <v/>
      </c>
      <c r="X829" s="38" t="n">
        <f aca="false">IF(AND(OR(T829="Backlog",T829="Pipeline",T829="Overdue"),ISNUMBER(W829)),IF(W829&lt;=Settings!$B$6,V829,0),0)</f>
        <v>0</v>
      </c>
      <c r="Y829" s="38" t="n">
        <f aca="false">IF(AND(OR(T829="Backlog",T829="Pipeline",T829="Overdue"),ISNUMBER(W829)),IF(W829&lt;=Settings!$B$6,Q829,0),0)</f>
        <v>0</v>
      </c>
      <c r="Z829" s="38" t="n">
        <f aca="false">IF(Y829=0,0,IF(T829="Backlog",Q829,Q829*Dashboard!$C$10))</f>
        <v>0</v>
      </c>
      <c r="AA829" s="37" t="n">
        <f aca="false">IF($N829="",0,IF(COUNTIF(Dashboard!$C$13:$C$22,$N829)&gt;0,1,0))</f>
        <v>0</v>
      </c>
      <c r="AB829" s="37" t="str">
        <f aca="false">IF($N829="","",IF(COUNTIF($N$8:$N829,$N829)=1,MAX($AB$7:$AB828)+1,""))</f>
        <v/>
      </c>
    </row>
    <row r="830" customFormat="false" ht="15" hidden="false" customHeight="false" outlineLevel="0" collapsed="false">
      <c r="L830" s="37" t="str">
        <f aca="false">IF(INDEX($A830:$J830,$L$6)&lt;&gt;"",TRIM(LEFT(INDEX($A830:$J830,$L$6),FIND("(",INDEX($A830:$J830,$L$6)&amp;"(")-1)),L829)</f>
        <v>Building Value Proposition</v>
      </c>
      <c r="M830" s="37" t="str">
        <f aca="false">IF(INDEX($A830:$J830,$M$6)="","",INDEX($A830:$J830,$M$6)&amp;"")</f>
        <v/>
      </c>
      <c r="N830" s="37" t="str">
        <f aca="false">IF($M830="","",TRIM(INDEX($A830:$J830,$N$6)&amp;""))</f>
        <v/>
      </c>
      <c r="O830" s="37" t="str">
        <f aca="false">IF($M830="","",TRIM(INDEX($A830:$J830,$O$6)&amp;""))</f>
        <v/>
      </c>
      <c r="P830" s="37" t="str">
        <f aca="false">IF($M830="","",IFERROR(IF(INDEX(Settings!$B$41:$B$50,MATCH(O830,Settings!$A$41:$A$50,0))&amp;""="","UNMAPPED",INDEX(Settings!$B$41:$B$50,MATCH(O830,Settings!$A$41:$A$50,0))&amp;""),"UNMAPPED"))</f>
        <v/>
      </c>
      <c r="Q830" s="38" t="n">
        <f aca="false">IF($M830="",0,N(INDEX($A830:$J830,$Q$6)))</f>
        <v>0</v>
      </c>
      <c r="R830" s="39" t="str">
        <f aca="false">IF($M830="","",INDEX($A830:$J830,$R$6))</f>
        <v/>
      </c>
      <c r="S830" s="37" t="str">
        <f aca="false">IF($M830="","",IFERROR(INDEX(Settings!$B$27:$B$36,MATCH(L830,Settings!$A$27:$A$36,0))&amp;"","UNMAPPED"))</f>
        <v/>
      </c>
      <c r="T830" s="37" t="str">
        <f aca="false">IF($M830="","",IF(NOT(ISNUMBER(R830)),"NO DATE",IF(S830="Won",IF(R830&gt;Settings!$B$5,"Backlog","Delivered"),IF(S830="Open",IF(R830&gt;Settings!$B$5,"Pipeline","Overdue"),IF(S830="Lost","Lost","UNMAPPED")))))</f>
        <v/>
      </c>
      <c r="U830" s="40" t="n">
        <f aca="false">IF(T830="Backlog",1,IF(OR(T830="Pipeline",T830="Overdue"),N(INDEX(Settings!$C$27:$C$36,MATCH(L830,Settings!$A$27:$A$36,0))),0))</f>
        <v>0</v>
      </c>
      <c r="V830" s="38" t="n">
        <f aca="false">Q830*U830</f>
        <v>0</v>
      </c>
      <c r="W830" s="41" t="str">
        <f aca="false">IF($M830="","",IF(T830="Overdue",IF(Settings!$B$8="Yes",Settings!$B$7,""),IF(ISNUMBER(R830),DATE(YEAR(R830),MONTH(R830),1),"")))</f>
        <v/>
      </c>
      <c r="X830" s="38" t="n">
        <f aca="false">IF(AND(OR(T830="Backlog",T830="Pipeline",T830="Overdue"),ISNUMBER(W830)),IF(W830&lt;=Settings!$B$6,V830,0),0)</f>
        <v>0</v>
      </c>
      <c r="Y830" s="38" t="n">
        <f aca="false">IF(AND(OR(T830="Backlog",T830="Pipeline",T830="Overdue"),ISNUMBER(W830)),IF(W830&lt;=Settings!$B$6,Q830,0),0)</f>
        <v>0</v>
      </c>
      <c r="Z830" s="38" t="n">
        <f aca="false">IF(Y830=0,0,IF(T830="Backlog",Q830,Q830*Dashboard!$C$10))</f>
        <v>0</v>
      </c>
      <c r="AA830" s="37" t="n">
        <f aca="false">IF($N830="",0,IF(COUNTIF(Dashboard!$C$13:$C$22,$N830)&gt;0,1,0))</f>
        <v>0</v>
      </c>
      <c r="AB830" s="37" t="str">
        <f aca="false">IF($N830="","",IF(COUNTIF($N$8:$N830,$N830)=1,MAX($AB$7:$AB829)+1,""))</f>
        <v/>
      </c>
    </row>
    <row r="831" customFormat="false" ht="15" hidden="false" customHeight="false" outlineLevel="0" collapsed="false">
      <c r="L831" s="37" t="str">
        <f aca="false">IF(INDEX($A831:$J831,$L$6)&lt;&gt;"",TRIM(LEFT(INDEX($A831:$J831,$L$6),FIND("(",INDEX($A831:$J831,$L$6)&amp;"(")-1)),L830)</f>
        <v>Building Value Proposition</v>
      </c>
      <c r="M831" s="37" t="str">
        <f aca="false">IF(INDEX($A831:$J831,$M$6)="","",INDEX($A831:$J831,$M$6)&amp;"")</f>
        <v/>
      </c>
      <c r="N831" s="37" t="str">
        <f aca="false">IF($M831="","",TRIM(INDEX($A831:$J831,$N$6)&amp;""))</f>
        <v/>
      </c>
      <c r="O831" s="37" t="str">
        <f aca="false">IF($M831="","",TRIM(INDEX($A831:$J831,$O$6)&amp;""))</f>
        <v/>
      </c>
      <c r="P831" s="37" t="str">
        <f aca="false">IF($M831="","",IFERROR(IF(INDEX(Settings!$B$41:$B$50,MATCH(O831,Settings!$A$41:$A$50,0))&amp;""="","UNMAPPED",INDEX(Settings!$B$41:$B$50,MATCH(O831,Settings!$A$41:$A$50,0))&amp;""),"UNMAPPED"))</f>
        <v/>
      </c>
      <c r="Q831" s="38" t="n">
        <f aca="false">IF($M831="",0,N(INDEX($A831:$J831,$Q$6)))</f>
        <v>0</v>
      </c>
      <c r="R831" s="39" t="str">
        <f aca="false">IF($M831="","",INDEX($A831:$J831,$R$6))</f>
        <v/>
      </c>
      <c r="S831" s="37" t="str">
        <f aca="false">IF($M831="","",IFERROR(INDEX(Settings!$B$27:$B$36,MATCH(L831,Settings!$A$27:$A$36,0))&amp;"","UNMAPPED"))</f>
        <v/>
      </c>
      <c r="T831" s="37" t="str">
        <f aca="false">IF($M831="","",IF(NOT(ISNUMBER(R831)),"NO DATE",IF(S831="Won",IF(R831&gt;Settings!$B$5,"Backlog","Delivered"),IF(S831="Open",IF(R831&gt;Settings!$B$5,"Pipeline","Overdue"),IF(S831="Lost","Lost","UNMAPPED")))))</f>
        <v/>
      </c>
      <c r="U831" s="40" t="n">
        <f aca="false">IF(T831="Backlog",1,IF(OR(T831="Pipeline",T831="Overdue"),N(INDEX(Settings!$C$27:$C$36,MATCH(L831,Settings!$A$27:$A$36,0))),0))</f>
        <v>0</v>
      </c>
      <c r="V831" s="38" t="n">
        <f aca="false">Q831*U831</f>
        <v>0</v>
      </c>
      <c r="W831" s="41" t="str">
        <f aca="false">IF($M831="","",IF(T831="Overdue",IF(Settings!$B$8="Yes",Settings!$B$7,""),IF(ISNUMBER(R831),DATE(YEAR(R831),MONTH(R831),1),"")))</f>
        <v/>
      </c>
      <c r="X831" s="38" t="n">
        <f aca="false">IF(AND(OR(T831="Backlog",T831="Pipeline",T831="Overdue"),ISNUMBER(W831)),IF(W831&lt;=Settings!$B$6,V831,0),0)</f>
        <v>0</v>
      </c>
      <c r="Y831" s="38" t="n">
        <f aca="false">IF(AND(OR(T831="Backlog",T831="Pipeline",T831="Overdue"),ISNUMBER(W831)),IF(W831&lt;=Settings!$B$6,Q831,0),0)</f>
        <v>0</v>
      </c>
      <c r="Z831" s="38" t="n">
        <f aca="false">IF(Y831=0,0,IF(T831="Backlog",Q831,Q831*Dashboard!$C$10))</f>
        <v>0</v>
      </c>
      <c r="AA831" s="37" t="n">
        <f aca="false">IF($N831="",0,IF(COUNTIF(Dashboard!$C$13:$C$22,$N831)&gt;0,1,0))</f>
        <v>0</v>
      </c>
      <c r="AB831" s="37" t="str">
        <f aca="false">IF($N831="","",IF(COUNTIF($N$8:$N831,$N831)=1,MAX($AB$7:$AB830)+1,""))</f>
        <v/>
      </c>
    </row>
    <row r="832" customFormat="false" ht="15" hidden="false" customHeight="false" outlineLevel="0" collapsed="false">
      <c r="L832" s="37" t="str">
        <f aca="false">IF(INDEX($A832:$J832,$L$6)&lt;&gt;"",TRIM(LEFT(INDEX($A832:$J832,$L$6),FIND("(",INDEX($A832:$J832,$L$6)&amp;"(")-1)),L831)</f>
        <v>Building Value Proposition</v>
      </c>
      <c r="M832" s="37" t="str">
        <f aca="false">IF(INDEX($A832:$J832,$M$6)="","",INDEX($A832:$J832,$M$6)&amp;"")</f>
        <v/>
      </c>
      <c r="N832" s="37" t="str">
        <f aca="false">IF($M832="","",TRIM(INDEX($A832:$J832,$N$6)&amp;""))</f>
        <v/>
      </c>
      <c r="O832" s="37" t="str">
        <f aca="false">IF($M832="","",TRIM(INDEX($A832:$J832,$O$6)&amp;""))</f>
        <v/>
      </c>
      <c r="P832" s="37" t="str">
        <f aca="false">IF($M832="","",IFERROR(IF(INDEX(Settings!$B$41:$B$50,MATCH(O832,Settings!$A$41:$A$50,0))&amp;""="","UNMAPPED",INDEX(Settings!$B$41:$B$50,MATCH(O832,Settings!$A$41:$A$50,0))&amp;""),"UNMAPPED"))</f>
        <v/>
      </c>
      <c r="Q832" s="38" t="n">
        <f aca="false">IF($M832="",0,N(INDEX($A832:$J832,$Q$6)))</f>
        <v>0</v>
      </c>
      <c r="R832" s="39" t="str">
        <f aca="false">IF($M832="","",INDEX($A832:$J832,$R$6))</f>
        <v/>
      </c>
      <c r="S832" s="37" t="str">
        <f aca="false">IF($M832="","",IFERROR(INDEX(Settings!$B$27:$B$36,MATCH(L832,Settings!$A$27:$A$36,0))&amp;"","UNMAPPED"))</f>
        <v/>
      </c>
      <c r="T832" s="37" t="str">
        <f aca="false">IF($M832="","",IF(NOT(ISNUMBER(R832)),"NO DATE",IF(S832="Won",IF(R832&gt;Settings!$B$5,"Backlog","Delivered"),IF(S832="Open",IF(R832&gt;Settings!$B$5,"Pipeline","Overdue"),IF(S832="Lost","Lost","UNMAPPED")))))</f>
        <v/>
      </c>
      <c r="U832" s="40" t="n">
        <f aca="false">IF(T832="Backlog",1,IF(OR(T832="Pipeline",T832="Overdue"),N(INDEX(Settings!$C$27:$C$36,MATCH(L832,Settings!$A$27:$A$36,0))),0))</f>
        <v>0</v>
      </c>
      <c r="V832" s="38" t="n">
        <f aca="false">Q832*U832</f>
        <v>0</v>
      </c>
      <c r="W832" s="41" t="str">
        <f aca="false">IF($M832="","",IF(T832="Overdue",IF(Settings!$B$8="Yes",Settings!$B$7,""),IF(ISNUMBER(R832),DATE(YEAR(R832),MONTH(R832),1),"")))</f>
        <v/>
      </c>
      <c r="X832" s="38" t="n">
        <f aca="false">IF(AND(OR(T832="Backlog",T832="Pipeline",T832="Overdue"),ISNUMBER(W832)),IF(W832&lt;=Settings!$B$6,V832,0),0)</f>
        <v>0</v>
      </c>
      <c r="Y832" s="38" t="n">
        <f aca="false">IF(AND(OR(T832="Backlog",T832="Pipeline",T832="Overdue"),ISNUMBER(W832)),IF(W832&lt;=Settings!$B$6,Q832,0),0)</f>
        <v>0</v>
      </c>
      <c r="Z832" s="38" t="n">
        <f aca="false">IF(Y832=0,0,IF(T832="Backlog",Q832,Q832*Dashboard!$C$10))</f>
        <v>0</v>
      </c>
      <c r="AA832" s="37" t="n">
        <f aca="false">IF($N832="",0,IF(COUNTIF(Dashboard!$C$13:$C$22,$N832)&gt;0,1,0))</f>
        <v>0</v>
      </c>
      <c r="AB832" s="37" t="str">
        <f aca="false">IF($N832="","",IF(COUNTIF($N$8:$N832,$N832)=1,MAX($AB$7:$AB831)+1,""))</f>
        <v/>
      </c>
    </row>
    <row r="833" customFormat="false" ht="15" hidden="false" customHeight="false" outlineLevel="0" collapsed="false">
      <c r="L833" s="37" t="str">
        <f aca="false">IF(INDEX($A833:$J833,$L$6)&lt;&gt;"",TRIM(LEFT(INDEX($A833:$J833,$L$6),FIND("(",INDEX($A833:$J833,$L$6)&amp;"(")-1)),L832)</f>
        <v>Building Value Proposition</v>
      </c>
      <c r="M833" s="37" t="str">
        <f aca="false">IF(INDEX($A833:$J833,$M$6)="","",INDEX($A833:$J833,$M$6)&amp;"")</f>
        <v/>
      </c>
      <c r="N833" s="37" t="str">
        <f aca="false">IF($M833="","",TRIM(INDEX($A833:$J833,$N$6)&amp;""))</f>
        <v/>
      </c>
      <c r="O833" s="37" t="str">
        <f aca="false">IF($M833="","",TRIM(INDEX($A833:$J833,$O$6)&amp;""))</f>
        <v/>
      </c>
      <c r="P833" s="37" t="str">
        <f aca="false">IF($M833="","",IFERROR(IF(INDEX(Settings!$B$41:$B$50,MATCH(O833,Settings!$A$41:$A$50,0))&amp;""="","UNMAPPED",INDEX(Settings!$B$41:$B$50,MATCH(O833,Settings!$A$41:$A$50,0))&amp;""),"UNMAPPED"))</f>
        <v/>
      </c>
      <c r="Q833" s="38" t="n">
        <f aca="false">IF($M833="",0,N(INDEX($A833:$J833,$Q$6)))</f>
        <v>0</v>
      </c>
      <c r="R833" s="39" t="str">
        <f aca="false">IF($M833="","",INDEX($A833:$J833,$R$6))</f>
        <v/>
      </c>
      <c r="S833" s="37" t="str">
        <f aca="false">IF($M833="","",IFERROR(INDEX(Settings!$B$27:$B$36,MATCH(L833,Settings!$A$27:$A$36,0))&amp;"","UNMAPPED"))</f>
        <v/>
      </c>
      <c r="T833" s="37" t="str">
        <f aca="false">IF($M833="","",IF(NOT(ISNUMBER(R833)),"NO DATE",IF(S833="Won",IF(R833&gt;Settings!$B$5,"Backlog","Delivered"),IF(S833="Open",IF(R833&gt;Settings!$B$5,"Pipeline","Overdue"),IF(S833="Lost","Lost","UNMAPPED")))))</f>
        <v/>
      </c>
      <c r="U833" s="40" t="n">
        <f aca="false">IF(T833="Backlog",1,IF(OR(T833="Pipeline",T833="Overdue"),N(INDEX(Settings!$C$27:$C$36,MATCH(L833,Settings!$A$27:$A$36,0))),0))</f>
        <v>0</v>
      </c>
      <c r="V833" s="38" t="n">
        <f aca="false">Q833*U833</f>
        <v>0</v>
      </c>
      <c r="W833" s="41" t="str">
        <f aca="false">IF($M833="","",IF(T833="Overdue",IF(Settings!$B$8="Yes",Settings!$B$7,""),IF(ISNUMBER(R833),DATE(YEAR(R833),MONTH(R833),1),"")))</f>
        <v/>
      </c>
      <c r="X833" s="38" t="n">
        <f aca="false">IF(AND(OR(T833="Backlog",T833="Pipeline",T833="Overdue"),ISNUMBER(W833)),IF(W833&lt;=Settings!$B$6,V833,0),0)</f>
        <v>0</v>
      </c>
      <c r="Y833" s="38" t="n">
        <f aca="false">IF(AND(OR(T833="Backlog",T833="Pipeline",T833="Overdue"),ISNUMBER(W833)),IF(W833&lt;=Settings!$B$6,Q833,0),0)</f>
        <v>0</v>
      </c>
      <c r="Z833" s="38" t="n">
        <f aca="false">IF(Y833=0,0,IF(T833="Backlog",Q833,Q833*Dashboard!$C$10))</f>
        <v>0</v>
      </c>
      <c r="AA833" s="37" t="n">
        <f aca="false">IF($N833="",0,IF(COUNTIF(Dashboard!$C$13:$C$22,$N833)&gt;0,1,0))</f>
        <v>0</v>
      </c>
      <c r="AB833" s="37" t="str">
        <f aca="false">IF($N833="","",IF(COUNTIF($N$8:$N833,$N833)=1,MAX($AB$7:$AB832)+1,""))</f>
        <v/>
      </c>
    </row>
    <row r="834" customFormat="false" ht="15" hidden="false" customHeight="false" outlineLevel="0" collapsed="false">
      <c r="L834" s="37" t="str">
        <f aca="false">IF(INDEX($A834:$J834,$L$6)&lt;&gt;"",TRIM(LEFT(INDEX($A834:$J834,$L$6),FIND("(",INDEX($A834:$J834,$L$6)&amp;"(")-1)),L833)</f>
        <v>Building Value Proposition</v>
      </c>
      <c r="M834" s="37" t="str">
        <f aca="false">IF(INDEX($A834:$J834,$M$6)="","",INDEX($A834:$J834,$M$6)&amp;"")</f>
        <v/>
      </c>
      <c r="N834" s="37" t="str">
        <f aca="false">IF($M834="","",TRIM(INDEX($A834:$J834,$N$6)&amp;""))</f>
        <v/>
      </c>
      <c r="O834" s="37" t="str">
        <f aca="false">IF($M834="","",TRIM(INDEX($A834:$J834,$O$6)&amp;""))</f>
        <v/>
      </c>
      <c r="P834" s="37" t="str">
        <f aca="false">IF($M834="","",IFERROR(IF(INDEX(Settings!$B$41:$B$50,MATCH(O834,Settings!$A$41:$A$50,0))&amp;""="","UNMAPPED",INDEX(Settings!$B$41:$B$50,MATCH(O834,Settings!$A$41:$A$50,0))&amp;""),"UNMAPPED"))</f>
        <v/>
      </c>
      <c r="Q834" s="38" t="n">
        <f aca="false">IF($M834="",0,N(INDEX($A834:$J834,$Q$6)))</f>
        <v>0</v>
      </c>
      <c r="R834" s="39" t="str">
        <f aca="false">IF($M834="","",INDEX($A834:$J834,$R$6))</f>
        <v/>
      </c>
      <c r="S834" s="37" t="str">
        <f aca="false">IF($M834="","",IFERROR(INDEX(Settings!$B$27:$B$36,MATCH(L834,Settings!$A$27:$A$36,0))&amp;"","UNMAPPED"))</f>
        <v/>
      </c>
      <c r="T834" s="37" t="str">
        <f aca="false">IF($M834="","",IF(NOT(ISNUMBER(R834)),"NO DATE",IF(S834="Won",IF(R834&gt;Settings!$B$5,"Backlog","Delivered"),IF(S834="Open",IF(R834&gt;Settings!$B$5,"Pipeline","Overdue"),IF(S834="Lost","Lost","UNMAPPED")))))</f>
        <v/>
      </c>
      <c r="U834" s="40" t="n">
        <f aca="false">IF(T834="Backlog",1,IF(OR(T834="Pipeline",T834="Overdue"),N(INDEX(Settings!$C$27:$C$36,MATCH(L834,Settings!$A$27:$A$36,0))),0))</f>
        <v>0</v>
      </c>
      <c r="V834" s="38" t="n">
        <f aca="false">Q834*U834</f>
        <v>0</v>
      </c>
      <c r="W834" s="41" t="str">
        <f aca="false">IF($M834="","",IF(T834="Overdue",IF(Settings!$B$8="Yes",Settings!$B$7,""),IF(ISNUMBER(R834),DATE(YEAR(R834),MONTH(R834),1),"")))</f>
        <v/>
      </c>
      <c r="X834" s="38" t="n">
        <f aca="false">IF(AND(OR(T834="Backlog",T834="Pipeline",T834="Overdue"),ISNUMBER(W834)),IF(W834&lt;=Settings!$B$6,V834,0),0)</f>
        <v>0</v>
      </c>
      <c r="Y834" s="38" t="n">
        <f aca="false">IF(AND(OR(T834="Backlog",T834="Pipeline",T834="Overdue"),ISNUMBER(W834)),IF(W834&lt;=Settings!$B$6,Q834,0),0)</f>
        <v>0</v>
      </c>
      <c r="Z834" s="38" t="n">
        <f aca="false">IF(Y834=0,0,IF(T834="Backlog",Q834,Q834*Dashboard!$C$10))</f>
        <v>0</v>
      </c>
      <c r="AA834" s="37" t="n">
        <f aca="false">IF($N834="",0,IF(COUNTIF(Dashboard!$C$13:$C$22,$N834)&gt;0,1,0))</f>
        <v>0</v>
      </c>
      <c r="AB834" s="37" t="str">
        <f aca="false">IF($N834="","",IF(COUNTIF($N$8:$N834,$N834)=1,MAX($AB$7:$AB833)+1,""))</f>
        <v/>
      </c>
    </row>
    <row r="835" customFormat="false" ht="15" hidden="false" customHeight="false" outlineLevel="0" collapsed="false">
      <c r="L835" s="37" t="str">
        <f aca="false">IF(INDEX($A835:$J835,$L$6)&lt;&gt;"",TRIM(LEFT(INDEX($A835:$J835,$L$6),FIND("(",INDEX($A835:$J835,$L$6)&amp;"(")-1)),L834)</f>
        <v>Building Value Proposition</v>
      </c>
      <c r="M835" s="37" t="str">
        <f aca="false">IF(INDEX($A835:$J835,$M$6)="","",INDEX($A835:$J835,$M$6)&amp;"")</f>
        <v/>
      </c>
      <c r="N835" s="37" t="str">
        <f aca="false">IF($M835="","",TRIM(INDEX($A835:$J835,$N$6)&amp;""))</f>
        <v/>
      </c>
      <c r="O835" s="37" t="str">
        <f aca="false">IF($M835="","",TRIM(INDEX($A835:$J835,$O$6)&amp;""))</f>
        <v/>
      </c>
      <c r="P835" s="37" t="str">
        <f aca="false">IF($M835="","",IFERROR(IF(INDEX(Settings!$B$41:$B$50,MATCH(O835,Settings!$A$41:$A$50,0))&amp;""="","UNMAPPED",INDEX(Settings!$B$41:$B$50,MATCH(O835,Settings!$A$41:$A$50,0))&amp;""),"UNMAPPED"))</f>
        <v/>
      </c>
      <c r="Q835" s="38" t="n">
        <f aca="false">IF($M835="",0,N(INDEX($A835:$J835,$Q$6)))</f>
        <v>0</v>
      </c>
      <c r="R835" s="39" t="str">
        <f aca="false">IF($M835="","",INDEX($A835:$J835,$R$6))</f>
        <v/>
      </c>
      <c r="S835" s="37" t="str">
        <f aca="false">IF($M835="","",IFERROR(INDEX(Settings!$B$27:$B$36,MATCH(L835,Settings!$A$27:$A$36,0))&amp;"","UNMAPPED"))</f>
        <v/>
      </c>
      <c r="T835" s="37" t="str">
        <f aca="false">IF($M835="","",IF(NOT(ISNUMBER(R835)),"NO DATE",IF(S835="Won",IF(R835&gt;Settings!$B$5,"Backlog","Delivered"),IF(S835="Open",IF(R835&gt;Settings!$B$5,"Pipeline","Overdue"),IF(S835="Lost","Lost","UNMAPPED")))))</f>
        <v/>
      </c>
      <c r="U835" s="40" t="n">
        <f aca="false">IF(T835="Backlog",1,IF(OR(T835="Pipeline",T835="Overdue"),N(INDEX(Settings!$C$27:$C$36,MATCH(L835,Settings!$A$27:$A$36,0))),0))</f>
        <v>0</v>
      </c>
      <c r="V835" s="38" t="n">
        <f aca="false">Q835*U835</f>
        <v>0</v>
      </c>
      <c r="W835" s="41" t="str">
        <f aca="false">IF($M835="","",IF(T835="Overdue",IF(Settings!$B$8="Yes",Settings!$B$7,""),IF(ISNUMBER(R835),DATE(YEAR(R835),MONTH(R835),1),"")))</f>
        <v/>
      </c>
      <c r="X835" s="38" t="n">
        <f aca="false">IF(AND(OR(T835="Backlog",T835="Pipeline",T835="Overdue"),ISNUMBER(W835)),IF(W835&lt;=Settings!$B$6,V835,0),0)</f>
        <v>0</v>
      </c>
      <c r="Y835" s="38" t="n">
        <f aca="false">IF(AND(OR(T835="Backlog",T835="Pipeline",T835="Overdue"),ISNUMBER(W835)),IF(W835&lt;=Settings!$B$6,Q835,0),0)</f>
        <v>0</v>
      </c>
      <c r="Z835" s="38" t="n">
        <f aca="false">IF(Y835=0,0,IF(T835="Backlog",Q835,Q835*Dashboard!$C$10))</f>
        <v>0</v>
      </c>
      <c r="AA835" s="37" t="n">
        <f aca="false">IF($N835="",0,IF(COUNTIF(Dashboard!$C$13:$C$22,$N835)&gt;0,1,0))</f>
        <v>0</v>
      </c>
      <c r="AB835" s="37" t="str">
        <f aca="false">IF($N835="","",IF(COUNTIF($N$8:$N835,$N835)=1,MAX($AB$7:$AB834)+1,""))</f>
        <v/>
      </c>
    </row>
    <row r="836" customFormat="false" ht="15" hidden="false" customHeight="false" outlineLevel="0" collapsed="false">
      <c r="L836" s="37" t="str">
        <f aca="false">IF(INDEX($A836:$J836,$L$6)&lt;&gt;"",TRIM(LEFT(INDEX($A836:$J836,$L$6),FIND("(",INDEX($A836:$J836,$L$6)&amp;"(")-1)),L835)</f>
        <v>Building Value Proposition</v>
      </c>
      <c r="M836" s="37" t="str">
        <f aca="false">IF(INDEX($A836:$J836,$M$6)="","",INDEX($A836:$J836,$M$6)&amp;"")</f>
        <v/>
      </c>
      <c r="N836" s="37" t="str">
        <f aca="false">IF($M836="","",TRIM(INDEX($A836:$J836,$N$6)&amp;""))</f>
        <v/>
      </c>
      <c r="O836" s="37" t="str">
        <f aca="false">IF($M836="","",TRIM(INDEX($A836:$J836,$O$6)&amp;""))</f>
        <v/>
      </c>
      <c r="P836" s="37" t="str">
        <f aca="false">IF($M836="","",IFERROR(IF(INDEX(Settings!$B$41:$B$50,MATCH(O836,Settings!$A$41:$A$50,0))&amp;""="","UNMAPPED",INDEX(Settings!$B$41:$B$50,MATCH(O836,Settings!$A$41:$A$50,0))&amp;""),"UNMAPPED"))</f>
        <v/>
      </c>
      <c r="Q836" s="38" t="n">
        <f aca="false">IF($M836="",0,N(INDEX($A836:$J836,$Q$6)))</f>
        <v>0</v>
      </c>
      <c r="R836" s="39" t="str">
        <f aca="false">IF($M836="","",INDEX($A836:$J836,$R$6))</f>
        <v/>
      </c>
      <c r="S836" s="37" t="str">
        <f aca="false">IF($M836="","",IFERROR(INDEX(Settings!$B$27:$B$36,MATCH(L836,Settings!$A$27:$A$36,0))&amp;"","UNMAPPED"))</f>
        <v/>
      </c>
      <c r="T836" s="37" t="str">
        <f aca="false">IF($M836="","",IF(NOT(ISNUMBER(R836)),"NO DATE",IF(S836="Won",IF(R836&gt;Settings!$B$5,"Backlog","Delivered"),IF(S836="Open",IF(R836&gt;Settings!$B$5,"Pipeline","Overdue"),IF(S836="Lost","Lost","UNMAPPED")))))</f>
        <v/>
      </c>
      <c r="U836" s="40" t="n">
        <f aca="false">IF(T836="Backlog",1,IF(OR(T836="Pipeline",T836="Overdue"),N(INDEX(Settings!$C$27:$C$36,MATCH(L836,Settings!$A$27:$A$36,0))),0))</f>
        <v>0</v>
      </c>
      <c r="V836" s="38" t="n">
        <f aca="false">Q836*U836</f>
        <v>0</v>
      </c>
      <c r="W836" s="41" t="str">
        <f aca="false">IF($M836="","",IF(T836="Overdue",IF(Settings!$B$8="Yes",Settings!$B$7,""),IF(ISNUMBER(R836),DATE(YEAR(R836),MONTH(R836),1),"")))</f>
        <v/>
      </c>
      <c r="X836" s="38" t="n">
        <f aca="false">IF(AND(OR(T836="Backlog",T836="Pipeline",T836="Overdue"),ISNUMBER(W836)),IF(W836&lt;=Settings!$B$6,V836,0),0)</f>
        <v>0</v>
      </c>
      <c r="Y836" s="38" t="n">
        <f aca="false">IF(AND(OR(T836="Backlog",T836="Pipeline",T836="Overdue"),ISNUMBER(W836)),IF(W836&lt;=Settings!$B$6,Q836,0),0)</f>
        <v>0</v>
      </c>
      <c r="Z836" s="38" t="n">
        <f aca="false">IF(Y836=0,0,IF(T836="Backlog",Q836,Q836*Dashboard!$C$10))</f>
        <v>0</v>
      </c>
      <c r="AA836" s="37" t="n">
        <f aca="false">IF($N836="",0,IF(COUNTIF(Dashboard!$C$13:$C$22,$N836)&gt;0,1,0))</f>
        <v>0</v>
      </c>
      <c r="AB836" s="37" t="str">
        <f aca="false">IF($N836="","",IF(COUNTIF($N$8:$N836,$N836)=1,MAX($AB$7:$AB835)+1,""))</f>
        <v/>
      </c>
    </row>
    <row r="837" customFormat="false" ht="15" hidden="false" customHeight="false" outlineLevel="0" collapsed="false">
      <c r="L837" s="37" t="str">
        <f aca="false">IF(INDEX($A837:$J837,$L$6)&lt;&gt;"",TRIM(LEFT(INDEX($A837:$J837,$L$6),FIND("(",INDEX($A837:$J837,$L$6)&amp;"(")-1)),L836)</f>
        <v>Building Value Proposition</v>
      </c>
      <c r="M837" s="37" t="str">
        <f aca="false">IF(INDEX($A837:$J837,$M$6)="","",INDEX($A837:$J837,$M$6)&amp;"")</f>
        <v/>
      </c>
      <c r="N837" s="37" t="str">
        <f aca="false">IF($M837="","",TRIM(INDEX($A837:$J837,$N$6)&amp;""))</f>
        <v/>
      </c>
      <c r="O837" s="37" t="str">
        <f aca="false">IF($M837="","",TRIM(INDEX($A837:$J837,$O$6)&amp;""))</f>
        <v/>
      </c>
      <c r="P837" s="37" t="str">
        <f aca="false">IF($M837="","",IFERROR(IF(INDEX(Settings!$B$41:$B$50,MATCH(O837,Settings!$A$41:$A$50,0))&amp;""="","UNMAPPED",INDEX(Settings!$B$41:$B$50,MATCH(O837,Settings!$A$41:$A$50,0))&amp;""),"UNMAPPED"))</f>
        <v/>
      </c>
      <c r="Q837" s="38" t="n">
        <f aca="false">IF($M837="",0,N(INDEX($A837:$J837,$Q$6)))</f>
        <v>0</v>
      </c>
      <c r="R837" s="39" t="str">
        <f aca="false">IF($M837="","",INDEX($A837:$J837,$R$6))</f>
        <v/>
      </c>
      <c r="S837" s="37" t="str">
        <f aca="false">IF($M837="","",IFERROR(INDEX(Settings!$B$27:$B$36,MATCH(L837,Settings!$A$27:$A$36,0))&amp;"","UNMAPPED"))</f>
        <v/>
      </c>
      <c r="T837" s="37" t="str">
        <f aca="false">IF($M837="","",IF(NOT(ISNUMBER(R837)),"NO DATE",IF(S837="Won",IF(R837&gt;Settings!$B$5,"Backlog","Delivered"),IF(S837="Open",IF(R837&gt;Settings!$B$5,"Pipeline","Overdue"),IF(S837="Lost","Lost","UNMAPPED")))))</f>
        <v/>
      </c>
      <c r="U837" s="40" t="n">
        <f aca="false">IF(T837="Backlog",1,IF(OR(T837="Pipeline",T837="Overdue"),N(INDEX(Settings!$C$27:$C$36,MATCH(L837,Settings!$A$27:$A$36,0))),0))</f>
        <v>0</v>
      </c>
      <c r="V837" s="38" t="n">
        <f aca="false">Q837*U837</f>
        <v>0</v>
      </c>
      <c r="W837" s="41" t="str">
        <f aca="false">IF($M837="","",IF(T837="Overdue",IF(Settings!$B$8="Yes",Settings!$B$7,""),IF(ISNUMBER(R837),DATE(YEAR(R837),MONTH(R837),1),"")))</f>
        <v/>
      </c>
      <c r="X837" s="38" t="n">
        <f aca="false">IF(AND(OR(T837="Backlog",T837="Pipeline",T837="Overdue"),ISNUMBER(W837)),IF(W837&lt;=Settings!$B$6,V837,0),0)</f>
        <v>0</v>
      </c>
      <c r="Y837" s="38" t="n">
        <f aca="false">IF(AND(OR(T837="Backlog",T837="Pipeline",T837="Overdue"),ISNUMBER(W837)),IF(W837&lt;=Settings!$B$6,Q837,0),0)</f>
        <v>0</v>
      </c>
      <c r="Z837" s="38" t="n">
        <f aca="false">IF(Y837=0,0,IF(T837="Backlog",Q837,Q837*Dashboard!$C$10))</f>
        <v>0</v>
      </c>
      <c r="AA837" s="37" t="n">
        <f aca="false">IF($N837="",0,IF(COUNTIF(Dashboard!$C$13:$C$22,$N837)&gt;0,1,0))</f>
        <v>0</v>
      </c>
      <c r="AB837" s="37" t="str">
        <f aca="false">IF($N837="","",IF(COUNTIF($N$8:$N837,$N837)=1,MAX($AB$7:$AB836)+1,""))</f>
        <v/>
      </c>
    </row>
    <row r="838" customFormat="false" ht="15" hidden="false" customHeight="false" outlineLevel="0" collapsed="false">
      <c r="L838" s="37" t="str">
        <f aca="false">IF(INDEX($A838:$J838,$L$6)&lt;&gt;"",TRIM(LEFT(INDEX($A838:$J838,$L$6),FIND("(",INDEX($A838:$J838,$L$6)&amp;"(")-1)),L837)</f>
        <v>Building Value Proposition</v>
      </c>
      <c r="M838" s="37" t="str">
        <f aca="false">IF(INDEX($A838:$J838,$M$6)="","",INDEX($A838:$J838,$M$6)&amp;"")</f>
        <v/>
      </c>
      <c r="N838" s="37" t="str">
        <f aca="false">IF($M838="","",TRIM(INDEX($A838:$J838,$N$6)&amp;""))</f>
        <v/>
      </c>
      <c r="O838" s="37" t="str">
        <f aca="false">IF($M838="","",TRIM(INDEX($A838:$J838,$O$6)&amp;""))</f>
        <v/>
      </c>
      <c r="P838" s="37" t="str">
        <f aca="false">IF($M838="","",IFERROR(IF(INDEX(Settings!$B$41:$B$50,MATCH(O838,Settings!$A$41:$A$50,0))&amp;""="","UNMAPPED",INDEX(Settings!$B$41:$B$50,MATCH(O838,Settings!$A$41:$A$50,0))&amp;""),"UNMAPPED"))</f>
        <v/>
      </c>
      <c r="Q838" s="38" t="n">
        <f aca="false">IF($M838="",0,N(INDEX($A838:$J838,$Q$6)))</f>
        <v>0</v>
      </c>
      <c r="R838" s="39" t="str">
        <f aca="false">IF($M838="","",INDEX($A838:$J838,$R$6))</f>
        <v/>
      </c>
      <c r="S838" s="37" t="str">
        <f aca="false">IF($M838="","",IFERROR(INDEX(Settings!$B$27:$B$36,MATCH(L838,Settings!$A$27:$A$36,0))&amp;"","UNMAPPED"))</f>
        <v/>
      </c>
      <c r="T838" s="37" t="str">
        <f aca="false">IF($M838="","",IF(NOT(ISNUMBER(R838)),"NO DATE",IF(S838="Won",IF(R838&gt;Settings!$B$5,"Backlog","Delivered"),IF(S838="Open",IF(R838&gt;Settings!$B$5,"Pipeline","Overdue"),IF(S838="Lost","Lost","UNMAPPED")))))</f>
        <v/>
      </c>
      <c r="U838" s="40" t="n">
        <f aca="false">IF(T838="Backlog",1,IF(OR(T838="Pipeline",T838="Overdue"),N(INDEX(Settings!$C$27:$C$36,MATCH(L838,Settings!$A$27:$A$36,0))),0))</f>
        <v>0</v>
      </c>
      <c r="V838" s="38" t="n">
        <f aca="false">Q838*U838</f>
        <v>0</v>
      </c>
      <c r="W838" s="41" t="str">
        <f aca="false">IF($M838="","",IF(T838="Overdue",IF(Settings!$B$8="Yes",Settings!$B$7,""),IF(ISNUMBER(R838),DATE(YEAR(R838),MONTH(R838),1),"")))</f>
        <v/>
      </c>
      <c r="X838" s="38" t="n">
        <f aca="false">IF(AND(OR(T838="Backlog",T838="Pipeline",T838="Overdue"),ISNUMBER(W838)),IF(W838&lt;=Settings!$B$6,V838,0),0)</f>
        <v>0</v>
      </c>
      <c r="Y838" s="38" t="n">
        <f aca="false">IF(AND(OR(T838="Backlog",T838="Pipeline",T838="Overdue"),ISNUMBER(W838)),IF(W838&lt;=Settings!$B$6,Q838,0),0)</f>
        <v>0</v>
      </c>
      <c r="Z838" s="38" t="n">
        <f aca="false">IF(Y838=0,0,IF(T838="Backlog",Q838,Q838*Dashboard!$C$10))</f>
        <v>0</v>
      </c>
      <c r="AA838" s="37" t="n">
        <f aca="false">IF($N838="",0,IF(COUNTIF(Dashboard!$C$13:$C$22,$N838)&gt;0,1,0))</f>
        <v>0</v>
      </c>
      <c r="AB838" s="37" t="str">
        <f aca="false">IF($N838="","",IF(COUNTIF($N$8:$N838,$N838)=1,MAX($AB$7:$AB837)+1,""))</f>
        <v/>
      </c>
    </row>
    <row r="839" customFormat="false" ht="15" hidden="false" customHeight="false" outlineLevel="0" collapsed="false">
      <c r="L839" s="37" t="str">
        <f aca="false">IF(INDEX($A839:$J839,$L$6)&lt;&gt;"",TRIM(LEFT(INDEX($A839:$J839,$L$6),FIND("(",INDEX($A839:$J839,$L$6)&amp;"(")-1)),L838)</f>
        <v>Building Value Proposition</v>
      </c>
      <c r="M839" s="37" t="str">
        <f aca="false">IF(INDEX($A839:$J839,$M$6)="","",INDEX($A839:$J839,$M$6)&amp;"")</f>
        <v/>
      </c>
      <c r="N839" s="37" t="str">
        <f aca="false">IF($M839="","",TRIM(INDEX($A839:$J839,$N$6)&amp;""))</f>
        <v/>
      </c>
      <c r="O839" s="37" t="str">
        <f aca="false">IF($M839="","",TRIM(INDEX($A839:$J839,$O$6)&amp;""))</f>
        <v/>
      </c>
      <c r="P839" s="37" t="str">
        <f aca="false">IF($M839="","",IFERROR(IF(INDEX(Settings!$B$41:$B$50,MATCH(O839,Settings!$A$41:$A$50,0))&amp;""="","UNMAPPED",INDEX(Settings!$B$41:$B$50,MATCH(O839,Settings!$A$41:$A$50,0))&amp;""),"UNMAPPED"))</f>
        <v/>
      </c>
      <c r="Q839" s="38" t="n">
        <f aca="false">IF($M839="",0,N(INDEX($A839:$J839,$Q$6)))</f>
        <v>0</v>
      </c>
      <c r="R839" s="39" t="str">
        <f aca="false">IF($M839="","",INDEX($A839:$J839,$R$6))</f>
        <v/>
      </c>
      <c r="S839" s="37" t="str">
        <f aca="false">IF($M839="","",IFERROR(INDEX(Settings!$B$27:$B$36,MATCH(L839,Settings!$A$27:$A$36,0))&amp;"","UNMAPPED"))</f>
        <v/>
      </c>
      <c r="T839" s="37" t="str">
        <f aca="false">IF($M839="","",IF(NOT(ISNUMBER(R839)),"NO DATE",IF(S839="Won",IF(R839&gt;Settings!$B$5,"Backlog","Delivered"),IF(S839="Open",IF(R839&gt;Settings!$B$5,"Pipeline","Overdue"),IF(S839="Lost","Lost","UNMAPPED")))))</f>
        <v/>
      </c>
      <c r="U839" s="40" t="n">
        <f aca="false">IF(T839="Backlog",1,IF(OR(T839="Pipeline",T839="Overdue"),N(INDEX(Settings!$C$27:$C$36,MATCH(L839,Settings!$A$27:$A$36,0))),0))</f>
        <v>0</v>
      </c>
      <c r="V839" s="38" t="n">
        <f aca="false">Q839*U839</f>
        <v>0</v>
      </c>
      <c r="W839" s="41" t="str">
        <f aca="false">IF($M839="","",IF(T839="Overdue",IF(Settings!$B$8="Yes",Settings!$B$7,""),IF(ISNUMBER(R839),DATE(YEAR(R839),MONTH(R839),1),"")))</f>
        <v/>
      </c>
      <c r="X839" s="38" t="n">
        <f aca="false">IF(AND(OR(T839="Backlog",T839="Pipeline",T839="Overdue"),ISNUMBER(W839)),IF(W839&lt;=Settings!$B$6,V839,0),0)</f>
        <v>0</v>
      </c>
      <c r="Y839" s="38" t="n">
        <f aca="false">IF(AND(OR(T839="Backlog",T839="Pipeline",T839="Overdue"),ISNUMBER(W839)),IF(W839&lt;=Settings!$B$6,Q839,0),0)</f>
        <v>0</v>
      </c>
      <c r="Z839" s="38" t="n">
        <f aca="false">IF(Y839=0,0,IF(T839="Backlog",Q839,Q839*Dashboard!$C$10))</f>
        <v>0</v>
      </c>
      <c r="AA839" s="37" t="n">
        <f aca="false">IF($N839="",0,IF(COUNTIF(Dashboard!$C$13:$C$22,$N839)&gt;0,1,0))</f>
        <v>0</v>
      </c>
      <c r="AB839" s="37" t="str">
        <f aca="false">IF($N839="","",IF(COUNTIF($N$8:$N839,$N839)=1,MAX($AB$7:$AB838)+1,""))</f>
        <v/>
      </c>
    </row>
    <row r="840" customFormat="false" ht="15" hidden="false" customHeight="false" outlineLevel="0" collapsed="false">
      <c r="L840" s="37" t="str">
        <f aca="false">IF(INDEX($A840:$J840,$L$6)&lt;&gt;"",TRIM(LEFT(INDEX($A840:$J840,$L$6),FIND("(",INDEX($A840:$J840,$L$6)&amp;"(")-1)),L839)</f>
        <v>Building Value Proposition</v>
      </c>
      <c r="M840" s="37" t="str">
        <f aca="false">IF(INDEX($A840:$J840,$M$6)="","",INDEX($A840:$J840,$M$6)&amp;"")</f>
        <v/>
      </c>
      <c r="N840" s="37" t="str">
        <f aca="false">IF($M840="","",TRIM(INDEX($A840:$J840,$N$6)&amp;""))</f>
        <v/>
      </c>
      <c r="O840" s="37" t="str">
        <f aca="false">IF($M840="","",TRIM(INDEX($A840:$J840,$O$6)&amp;""))</f>
        <v/>
      </c>
      <c r="P840" s="37" t="str">
        <f aca="false">IF($M840="","",IFERROR(IF(INDEX(Settings!$B$41:$B$50,MATCH(O840,Settings!$A$41:$A$50,0))&amp;""="","UNMAPPED",INDEX(Settings!$B$41:$B$50,MATCH(O840,Settings!$A$41:$A$50,0))&amp;""),"UNMAPPED"))</f>
        <v/>
      </c>
      <c r="Q840" s="38" t="n">
        <f aca="false">IF($M840="",0,N(INDEX($A840:$J840,$Q$6)))</f>
        <v>0</v>
      </c>
      <c r="R840" s="39" t="str">
        <f aca="false">IF($M840="","",INDEX($A840:$J840,$R$6))</f>
        <v/>
      </c>
      <c r="S840" s="37" t="str">
        <f aca="false">IF($M840="","",IFERROR(INDEX(Settings!$B$27:$B$36,MATCH(L840,Settings!$A$27:$A$36,0))&amp;"","UNMAPPED"))</f>
        <v/>
      </c>
      <c r="T840" s="37" t="str">
        <f aca="false">IF($M840="","",IF(NOT(ISNUMBER(R840)),"NO DATE",IF(S840="Won",IF(R840&gt;Settings!$B$5,"Backlog","Delivered"),IF(S840="Open",IF(R840&gt;Settings!$B$5,"Pipeline","Overdue"),IF(S840="Lost","Lost","UNMAPPED")))))</f>
        <v/>
      </c>
      <c r="U840" s="40" t="n">
        <f aca="false">IF(T840="Backlog",1,IF(OR(T840="Pipeline",T840="Overdue"),N(INDEX(Settings!$C$27:$C$36,MATCH(L840,Settings!$A$27:$A$36,0))),0))</f>
        <v>0</v>
      </c>
      <c r="V840" s="38" t="n">
        <f aca="false">Q840*U840</f>
        <v>0</v>
      </c>
      <c r="W840" s="41" t="str">
        <f aca="false">IF($M840="","",IF(T840="Overdue",IF(Settings!$B$8="Yes",Settings!$B$7,""),IF(ISNUMBER(R840),DATE(YEAR(R840),MONTH(R840),1),"")))</f>
        <v/>
      </c>
      <c r="X840" s="38" t="n">
        <f aca="false">IF(AND(OR(T840="Backlog",T840="Pipeline",T840="Overdue"),ISNUMBER(W840)),IF(W840&lt;=Settings!$B$6,V840,0),0)</f>
        <v>0</v>
      </c>
      <c r="Y840" s="38" t="n">
        <f aca="false">IF(AND(OR(T840="Backlog",T840="Pipeline",T840="Overdue"),ISNUMBER(W840)),IF(W840&lt;=Settings!$B$6,Q840,0),0)</f>
        <v>0</v>
      </c>
      <c r="Z840" s="38" t="n">
        <f aca="false">IF(Y840=0,0,IF(T840="Backlog",Q840,Q840*Dashboard!$C$10))</f>
        <v>0</v>
      </c>
      <c r="AA840" s="37" t="n">
        <f aca="false">IF($N840="",0,IF(COUNTIF(Dashboard!$C$13:$C$22,$N840)&gt;0,1,0))</f>
        <v>0</v>
      </c>
      <c r="AB840" s="37" t="str">
        <f aca="false">IF($N840="","",IF(COUNTIF($N$8:$N840,$N840)=1,MAX($AB$7:$AB839)+1,""))</f>
        <v/>
      </c>
    </row>
    <row r="841" customFormat="false" ht="15" hidden="false" customHeight="false" outlineLevel="0" collapsed="false">
      <c r="L841" s="37" t="str">
        <f aca="false">IF(INDEX($A841:$J841,$L$6)&lt;&gt;"",TRIM(LEFT(INDEX($A841:$J841,$L$6),FIND("(",INDEX($A841:$J841,$L$6)&amp;"(")-1)),L840)</f>
        <v>Building Value Proposition</v>
      </c>
      <c r="M841" s="37" t="str">
        <f aca="false">IF(INDEX($A841:$J841,$M$6)="","",INDEX($A841:$J841,$M$6)&amp;"")</f>
        <v/>
      </c>
      <c r="N841" s="37" t="str">
        <f aca="false">IF($M841="","",TRIM(INDEX($A841:$J841,$N$6)&amp;""))</f>
        <v/>
      </c>
      <c r="O841" s="37" t="str">
        <f aca="false">IF($M841="","",TRIM(INDEX($A841:$J841,$O$6)&amp;""))</f>
        <v/>
      </c>
      <c r="P841" s="37" t="str">
        <f aca="false">IF($M841="","",IFERROR(IF(INDEX(Settings!$B$41:$B$50,MATCH(O841,Settings!$A$41:$A$50,0))&amp;""="","UNMAPPED",INDEX(Settings!$B$41:$B$50,MATCH(O841,Settings!$A$41:$A$50,0))&amp;""),"UNMAPPED"))</f>
        <v/>
      </c>
      <c r="Q841" s="38" t="n">
        <f aca="false">IF($M841="",0,N(INDEX($A841:$J841,$Q$6)))</f>
        <v>0</v>
      </c>
      <c r="R841" s="39" t="str">
        <f aca="false">IF($M841="","",INDEX($A841:$J841,$R$6))</f>
        <v/>
      </c>
      <c r="S841" s="37" t="str">
        <f aca="false">IF($M841="","",IFERROR(INDEX(Settings!$B$27:$B$36,MATCH(L841,Settings!$A$27:$A$36,0))&amp;"","UNMAPPED"))</f>
        <v/>
      </c>
      <c r="T841" s="37" t="str">
        <f aca="false">IF($M841="","",IF(NOT(ISNUMBER(R841)),"NO DATE",IF(S841="Won",IF(R841&gt;Settings!$B$5,"Backlog","Delivered"),IF(S841="Open",IF(R841&gt;Settings!$B$5,"Pipeline","Overdue"),IF(S841="Lost","Lost","UNMAPPED")))))</f>
        <v/>
      </c>
      <c r="U841" s="40" t="n">
        <f aca="false">IF(T841="Backlog",1,IF(OR(T841="Pipeline",T841="Overdue"),N(INDEX(Settings!$C$27:$C$36,MATCH(L841,Settings!$A$27:$A$36,0))),0))</f>
        <v>0</v>
      </c>
      <c r="V841" s="38" t="n">
        <f aca="false">Q841*U841</f>
        <v>0</v>
      </c>
      <c r="W841" s="41" t="str">
        <f aca="false">IF($M841="","",IF(T841="Overdue",IF(Settings!$B$8="Yes",Settings!$B$7,""),IF(ISNUMBER(R841),DATE(YEAR(R841),MONTH(R841),1),"")))</f>
        <v/>
      </c>
      <c r="X841" s="38" t="n">
        <f aca="false">IF(AND(OR(T841="Backlog",T841="Pipeline",T841="Overdue"),ISNUMBER(W841)),IF(W841&lt;=Settings!$B$6,V841,0),0)</f>
        <v>0</v>
      </c>
      <c r="Y841" s="38" t="n">
        <f aca="false">IF(AND(OR(T841="Backlog",T841="Pipeline",T841="Overdue"),ISNUMBER(W841)),IF(W841&lt;=Settings!$B$6,Q841,0),0)</f>
        <v>0</v>
      </c>
      <c r="Z841" s="38" t="n">
        <f aca="false">IF(Y841=0,0,IF(T841="Backlog",Q841,Q841*Dashboard!$C$10))</f>
        <v>0</v>
      </c>
      <c r="AA841" s="37" t="n">
        <f aca="false">IF($N841="",0,IF(COUNTIF(Dashboard!$C$13:$C$22,$N841)&gt;0,1,0))</f>
        <v>0</v>
      </c>
      <c r="AB841" s="37" t="str">
        <f aca="false">IF($N841="","",IF(COUNTIF($N$8:$N841,$N841)=1,MAX($AB$7:$AB840)+1,""))</f>
        <v/>
      </c>
    </row>
    <row r="842" customFormat="false" ht="15" hidden="false" customHeight="false" outlineLevel="0" collapsed="false">
      <c r="L842" s="37" t="str">
        <f aca="false">IF(INDEX($A842:$J842,$L$6)&lt;&gt;"",TRIM(LEFT(INDEX($A842:$J842,$L$6),FIND("(",INDEX($A842:$J842,$L$6)&amp;"(")-1)),L841)</f>
        <v>Building Value Proposition</v>
      </c>
      <c r="M842" s="37" t="str">
        <f aca="false">IF(INDEX($A842:$J842,$M$6)="","",INDEX($A842:$J842,$M$6)&amp;"")</f>
        <v/>
      </c>
      <c r="N842" s="37" t="str">
        <f aca="false">IF($M842="","",TRIM(INDEX($A842:$J842,$N$6)&amp;""))</f>
        <v/>
      </c>
      <c r="O842" s="37" t="str">
        <f aca="false">IF($M842="","",TRIM(INDEX($A842:$J842,$O$6)&amp;""))</f>
        <v/>
      </c>
      <c r="P842" s="37" t="str">
        <f aca="false">IF($M842="","",IFERROR(IF(INDEX(Settings!$B$41:$B$50,MATCH(O842,Settings!$A$41:$A$50,0))&amp;""="","UNMAPPED",INDEX(Settings!$B$41:$B$50,MATCH(O842,Settings!$A$41:$A$50,0))&amp;""),"UNMAPPED"))</f>
        <v/>
      </c>
      <c r="Q842" s="38" t="n">
        <f aca="false">IF($M842="",0,N(INDEX($A842:$J842,$Q$6)))</f>
        <v>0</v>
      </c>
      <c r="R842" s="39" t="str">
        <f aca="false">IF($M842="","",INDEX($A842:$J842,$R$6))</f>
        <v/>
      </c>
      <c r="S842" s="37" t="str">
        <f aca="false">IF($M842="","",IFERROR(INDEX(Settings!$B$27:$B$36,MATCH(L842,Settings!$A$27:$A$36,0))&amp;"","UNMAPPED"))</f>
        <v/>
      </c>
      <c r="T842" s="37" t="str">
        <f aca="false">IF($M842="","",IF(NOT(ISNUMBER(R842)),"NO DATE",IF(S842="Won",IF(R842&gt;Settings!$B$5,"Backlog","Delivered"),IF(S842="Open",IF(R842&gt;Settings!$B$5,"Pipeline","Overdue"),IF(S842="Lost","Lost","UNMAPPED")))))</f>
        <v/>
      </c>
      <c r="U842" s="40" t="n">
        <f aca="false">IF(T842="Backlog",1,IF(OR(T842="Pipeline",T842="Overdue"),N(INDEX(Settings!$C$27:$C$36,MATCH(L842,Settings!$A$27:$A$36,0))),0))</f>
        <v>0</v>
      </c>
      <c r="V842" s="38" t="n">
        <f aca="false">Q842*U842</f>
        <v>0</v>
      </c>
      <c r="W842" s="41" t="str">
        <f aca="false">IF($M842="","",IF(T842="Overdue",IF(Settings!$B$8="Yes",Settings!$B$7,""),IF(ISNUMBER(R842),DATE(YEAR(R842),MONTH(R842),1),"")))</f>
        <v/>
      </c>
      <c r="X842" s="38" t="n">
        <f aca="false">IF(AND(OR(T842="Backlog",T842="Pipeline",T842="Overdue"),ISNUMBER(W842)),IF(W842&lt;=Settings!$B$6,V842,0),0)</f>
        <v>0</v>
      </c>
      <c r="Y842" s="38" t="n">
        <f aca="false">IF(AND(OR(T842="Backlog",T842="Pipeline",T842="Overdue"),ISNUMBER(W842)),IF(W842&lt;=Settings!$B$6,Q842,0),0)</f>
        <v>0</v>
      </c>
      <c r="Z842" s="38" t="n">
        <f aca="false">IF(Y842=0,0,IF(T842="Backlog",Q842,Q842*Dashboard!$C$10))</f>
        <v>0</v>
      </c>
      <c r="AA842" s="37" t="n">
        <f aca="false">IF($N842="",0,IF(COUNTIF(Dashboard!$C$13:$C$22,$N842)&gt;0,1,0))</f>
        <v>0</v>
      </c>
      <c r="AB842" s="37" t="str">
        <f aca="false">IF($N842="","",IF(COUNTIF($N$8:$N842,$N842)=1,MAX($AB$7:$AB841)+1,""))</f>
        <v/>
      </c>
    </row>
    <row r="843" customFormat="false" ht="15" hidden="false" customHeight="false" outlineLevel="0" collapsed="false">
      <c r="L843" s="37" t="str">
        <f aca="false">IF(INDEX($A843:$J843,$L$6)&lt;&gt;"",TRIM(LEFT(INDEX($A843:$J843,$L$6),FIND("(",INDEX($A843:$J843,$L$6)&amp;"(")-1)),L842)</f>
        <v>Building Value Proposition</v>
      </c>
      <c r="M843" s="37" t="str">
        <f aca="false">IF(INDEX($A843:$J843,$M$6)="","",INDEX($A843:$J843,$M$6)&amp;"")</f>
        <v/>
      </c>
      <c r="N843" s="37" t="str">
        <f aca="false">IF($M843="","",TRIM(INDEX($A843:$J843,$N$6)&amp;""))</f>
        <v/>
      </c>
      <c r="O843" s="37" t="str">
        <f aca="false">IF($M843="","",TRIM(INDEX($A843:$J843,$O$6)&amp;""))</f>
        <v/>
      </c>
      <c r="P843" s="37" t="str">
        <f aca="false">IF($M843="","",IFERROR(IF(INDEX(Settings!$B$41:$B$50,MATCH(O843,Settings!$A$41:$A$50,0))&amp;""="","UNMAPPED",INDEX(Settings!$B$41:$B$50,MATCH(O843,Settings!$A$41:$A$50,0))&amp;""),"UNMAPPED"))</f>
        <v/>
      </c>
      <c r="Q843" s="38" t="n">
        <f aca="false">IF($M843="",0,N(INDEX($A843:$J843,$Q$6)))</f>
        <v>0</v>
      </c>
      <c r="R843" s="39" t="str">
        <f aca="false">IF($M843="","",INDEX($A843:$J843,$R$6))</f>
        <v/>
      </c>
      <c r="S843" s="37" t="str">
        <f aca="false">IF($M843="","",IFERROR(INDEX(Settings!$B$27:$B$36,MATCH(L843,Settings!$A$27:$A$36,0))&amp;"","UNMAPPED"))</f>
        <v/>
      </c>
      <c r="T843" s="37" t="str">
        <f aca="false">IF($M843="","",IF(NOT(ISNUMBER(R843)),"NO DATE",IF(S843="Won",IF(R843&gt;Settings!$B$5,"Backlog","Delivered"),IF(S843="Open",IF(R843&gt;Settings!$B$5,"Pipeline","Overdue"),IF(S843="Lost","Lost","UNMAPPED")))))</f>
        <v/>
      </c>
      <c r="U843" s="40" t="n">
        <f aca="false">IF(T843="Backlog",1,IF(OR(T843="Pipeline",T843="Overdue"),N(INDEX(Settings!$C$27:$C$36,MATCH(L843,Settings!$A$27:$A$36,0))),0))</f>
        <v>0</v>
      </c>
      <c r="V843" s="38" t="n">
        <f aca="false">Q843*U843</f>
        <v>0</v>
      </c>
      <c r="W843" s="41" t="str">
        <f aca="false">IF($M843="","",IF(T843="Overdue",IF(Settings!$B$8="Yes",Settings!$B$7,""),IF(ISNUMBER(R843),DATE(YEAR(R843),MONTH(R843),1),"")))</f>
        <v/>
      </c>
      <c r="X843" s="38" t="n">
        <f aca="false">IF(AND(OR(T843="Backlog",T843="Pipeline",T843="Overdue"),ISNUMBER(W843)),IF(W843&lt;=Settings!$B$6,V843,0),0)</f>
        <v>0</v>
      </c>
      <c r="Y843" s="38" t="n">
        <f aca="false">IF(AND(OR(T843="Backlog",T843="Pipeline",T843="Overdue"),ISNUMBER(W843)),IF(W843&lt;=Settings!$B$6,Q843,0),0)</f>
        <v>0</v>
      </c>
      <c r="Z843" s="38" t="n">
        <f aca="false">IF(Y843=0,0,IF(T843="Backlog",Q843,Q843*Dashboard!$C$10))</f>
        <v>0</v>
      </c>
      <c r="AA843" s="37" t="n">
        <f aca="false">IF($N843="",0,IF(COUNTIF(Dashboard!$C$13:$C$22,$N843)&gt;0,1,0))</f>
        <v>0</v>
      </c>
      <c r="AB843" s="37" t="str">
        <f aca="false">IF($N843="","",IF(COUNTIF($N$8:$N843,$N843)=1,MAX($AB$7:$AB842)+1,""))</f>
        <v/>
      </c>
    </row>
    <row r="844" customFormat="false" ht="15" hidden="false" customHeight="false" outlineLevel="0" collapsed="false">
      <c r="L844" s="37" t="str">
        <f aca="false">IF(INDEX($A844:$J844,$L$6)&lt;&gt;"",TRIM(LEFT(INDEX($A844:$J844,$L$6),FIND("(",INDEX($A844:$J844,$L$6)&amp;"(")-1)),L843)</f>
        <v>Building Value Proposition</v>
      </c>
      <c r="M844" s="37" t="str">
        <f aca="false">IF(INDEX($A844:$J844,$M$6)="","",INDEX($A844:$J844,$M$6)&amp;"")</f>
        <v/>
      </c>
      <c r="N844" s="37" t="str">
        <f aca="false">IF($M844="","",TRIM(INDEX($A844:$J844,$N$6)&amp;""))</f>
        <v/>
      </c>
      <c r="O844" s="37" t="str">
        <f aca="false">IF($M844="","",TRIM(INDEX($A844:$J844,$O$6)&amp;""))</f>
        <v/>
      </c>
      <c r="P844" s="37" t="str">
        <f aca="false">IF($M844="","",IFERROR(IF(INDEX(Settings!$B$41:$B$50,MATCH(O844,Settings!$A$41:$A$50,0))&amp;""="","UNMAPPED",INDEX(Settings!$B$41:$B$50,MATCH(O844,Settings!$A$41:$A$50,0))&amp;""),"UNMAPPED"))</f>
        <v/>
      </c>
      <c r="Q844" s="38" t="n">
        <f aca="false">IF($M844="",0,N(INDEX($A844:$J844,$Q$6)))</f>
        <v>0</v>
      </c>
      <c r="R844" s="39" t="str">
        <f aca="false">IF($M844="","",INDEX($A844:$J844,$R$6))</f>
        <v/>
      </c>
      <c r="S844" s="37" t="str">
        <f aca="false">IF($M844="","",IFERROR(INDEX(Settings!$B$27:$B$36,MATCH(L844,Settings!$A$27:$A$36,0))&amp;"","UNMAPPED"))</f>
        <v/>
      </c>
      <c r="T844" s="37" t="str">
        <f aca="false">IF($M844="","",IF(NOT(ISNUMBER(R844)),"NO DATE",IF(S844="Won",IF(R844&gt;Settings!$B$5,"Backlog","Delivered"),IF(S844="Open",IF(R844&gt;Settings!$B$5,"Pipeline","Overdue"),IF(S844="Lost","Lost","UNMAPPED")))))</f>
        <v/>
      </c>
      <c r="U844" s="40" t="n">
        <f aca="false">IF(T844="Backlog",1,IF(OR(T844="Pipeline",T844="Overdue"),N(INDEX(Settings!$C$27:$C$36,MATCH(L844,Settings!$A$27:$A$36,0))),0))</f>
        <v>0</v>
      </c>
      <c r="V844" s="38" t="n">
        <f aca="false">Q844*U844</f>
        <v>0</v>
      </c>
      <c r="W844" s="41" t="str">
        <f aca="false">IF($M844="","",IF(T844="Overdue",IF(Settings!$B$8="Yes",Settings!$B$7,""),IF(ISNUMBER(R844),DATE(YEAR(R844),MONTH(R844),1),"")))</f>
        <v/>
      </c>
      <c r="X844" s="38" t="n">
        <f aca="false">IF(AND(OR(T844="Backlog",T844="Pipeline",T844="Overdue"),ISNUMBER(W844)),IF(W844&lt;=Settings!$B$6,V844,0),0)</f>
        <v>0</v>
      </c>
      <c r="Y844" s="38" t="n">
        <f aca="false">IF(AND(OR(T844="Backlog",T844="Pipeline",T844="Overdue"),ISNUMBER(W844)),IF(W844&lt;=Settings!$B$6,Q844,0),0)</f>
        <v>0</v>
      </c>
      <c r="Z844" s="38" t="n">
        <f aca="false">IF(Y844=0,0,IF(T844="Backlog",Q844,Q844*Dashboard!$C$10))</f>
        <v>0</v>
      </c>
      <c r="AA844" s="37" t="n">
        <f aca="false">IF($N844="",0,IF(COUNTIF(Dashboard!$C$13:$C$22,$N844)&gt;0,1,0))</f>
        <v>0</v>
      </c>
      <c r="AB844" s="37" t="str">
        <f aca="false">IF($N844="","",IF(COUNTIF($N$8:$N844,$N844)=1,MAX($AB$7:$AB843)+1,""))</f>
        <v/>
      </c>
    </row>
    <row r="845" customFormat="false" ht="15" hidden="false" customHeight="false" outlineLevel="0" collapsed="false">
      <c r="L845" s="37" t="str">
        <f aca="false">IF(INDEX($A845:$J845,$L$6)&lt;&gt;"",TRIM(LEFT(INDEX($A845:$J845,$L$6),FIND("(",INDEX($A845:$J845,$L$6)&amp;"(")-1)),L844)</f>
        <v>Building Value Proposition</v>
      </c>
      <c r="M845" s="37" t="str">
        <f aca="false">IF(INDEX($A845:$J845,$M$6)="","",INDEX($A845:$J845,$M$6)&amp;"")</f>
        <v/>
      </c>
      <c r="N845" s="37" t="str">
        <f aca="false">IF($M845="","",TRIM(INDEX($A845:$J845,$N$6)&amp;""))</f>
        <v/>
      </c>
      <c r="O845" s="37" t="str">
        <f aca="false">IF($M845="","",TRIM(INDEX($A845:$J845,$O$6)&amp;""))</f>
        <v/>
      </c>
      <c r="P845" s="37" t="str">
        <f aca="false">IF($M845="","",IFERROR(IF(INDEX(Settings!$B$41:$B$50,MATCH(O845,Settings!$A$41:$A$50,0))&amp;""="","UNMAPPED",INDEX(Settings!$B$41:$B$50,MATCH(O845,Settings!$A$41:$A$50,0))&amp;""),"UNMAPPED"))</f>
        <v/>
      </c>
      <c r="Q845" s="38" t="n">
        <f aca="false">IF($M845="",0,N(INDEX($A845:$J845,$Q$6)))</f>
        <v>0</v>
      </c>
      <c r="R845" s="39" t="str">
        <f aca="false">IF($M845="","",INDEX($A845:$J845,$R$6))</f>
        <v/>
      </c>
      <c r="S845" s="37" t="str">
        <f aca="false">IF($M845="","",IFERROR(INDEX(Settings!$B$27:$B$36,MATCH(L845,Settings!$A$27:$A$36,0))&amp;"","UNMAPPED"))</f>
        <v/>
      </c>
      <c r="T845" s="37" t="str">
        <f aca="false">IF($M845="","",IF(NOT(ISNUMBER(R845)),"NO DATE",IF(S845="Won",IF(R845&gt;Settings!$B$5,"Backlog","Delivered"),IF(S845="Open",IF(R845&gt;Settings!$B$5,"Pipeline","Overdue"),IF(S845="Lost","Lost","UNMAPPED")))))</f>
        <v/>
      </c>
      <c r="U845" s="40" t="n">
        <f aca="false">IF(T845="Backlog",1,IF(OR(T845="Pipeline",T845="Overdue"),N(INDEX(Settings!$C$27:$C$36,MATCH(L845,Settings!$A$27:$A$36,0))),0))</f>
        <v>0</v>
      </c>
      <c r="V845" s="38" t="n">
        <f aca="false">Q845*U845</f>
        <v>0</v>
      </c>
      <c r="W845" s="41" t="str">
        <f aca="false">IF($M845="","",IF(T845="Overdue",IF(Settings!$B$8="Yes",Settings!$B$7,""),IF(ISNUMBER(R845),DATE(YEAR(R845),MONTH(R845),1),"")))</f>
        <v/>
      </c>
      <c r="X845" s="38" t="n">
        <f aca="false">IF(AND(OR(T845="Backlog",T845="Pipeline",T845="Overdue"),ISNUMBER(W845)),IF(W845&lt;=Settings!$B$6,V845,0),0)</f>
        <v>0</v>
      </c>
      <c r="Y845" s="38" t="n">
        <f aca="false">IF(AND(OR(T845="Backlog",T845="Pipeline",T845="Overdue"),ISNUMBER(W845)),IF(W845&lt;=Settings!$B$6,Q845,0),0)</f>
        <v>0</v>
      </c>
      <c r="Z845" s="38" t="n">
        <f aca="false">IF(Y845=0,0,IF(T845="Backlog",Q845,Q845*Dashboard!$C$10))</f>
        <v>0</v>
      </c>
      <c r="AA845" s="37" t="n">
        <f aca="false">IF($N845="",0,IF(COUNTIF(Dashboard!$C$13:$C$22,$N845)&gt;0,1,0))</f>
        <v>0</v>
      </c>
      <c r="AB845" s="37" t="str">
        <f aca="false">IF($N845="","",IF(COUNTIF($N$8:$N845,$N845)=1,MAX($AB$7:$AB844)+1,""))</f>
        <v/>
      </c>
    </row>
    <row r="846" customFormat="false" ht="15" hidden="false" customHeight="false" outlineLevel="0" collapsed="false">
      <c r="L846" s="37" t="str">
        <f aca="false">IF(INDEX($A846:$J846,$L$6)&lt;&gt;"",TRIM(LEFT(INDEX($A846:$J846,$L$6),FIND("(",INDEX($A846:$J846,$L$6)&amp;"(")-1)),L845)</f>
        <v>Building Value Proposition</v>
      </c>
      <c r="M846" s="37" t="str">
        <f aca="false">IF(INDEX($A846:$J846,$M$6)="","",INDEX($A846:$J846,$M$6)&amp;"")</f>
        <v/>
      </c>
      <c r="N846" s="37" t="str">
        <f aca="false">IF($M846="","",TRIM(INDEX($A846:$J846,$N$6)&amp;""))</f>
        <v/>
      </c>
      <c r="O846" s="37" t="str">
        <f aca="false">IF($M846="","",TRIM(INDEX($A846:$J846,$O$6)&amp;""))</f>
        <v/>
      </c>
      <c r="P846" s="37" t="str">
        <f aca="false">IF($M846="","",IFERROR(IF(INDEX(Settings!$B$41:$B$50,MATCH(O846,Settings!$A$41:$A$50,0))&amp;""="","UNMAPPED",INDEX(Settings!$B$41:$B$50,MATCH(O846,Settings!$A$41:$A$50,0))&amp;""),"UNMAPPED"))</f>
        <v/>
      </c>
      <c r="Q846" s="38" t="n">
        <f aca="false">IF($M846="",0,N(INDEX($A846:$J846,$Q$6)))</f>
        <v>0</v>
      </c>
      <c r="R846" s="39" t="str">
        <f aca="false">IF($M846="","",INDEX($A846:$J846,$R$6))</f>
        <v/>
      </c>
      <c r="S846" s="37" t="str">
        <f aca="false">IF($M846="","",IFERROR(INDEX(Settings!$B$27:$B$36,MATCH(L846,Settings!$A$27:$A$36,0))&amp;"","UNMAPPED"))</f>
        <v/>
      </c>
      <c r="T846" s="37" t="str">
        <f aca="false">IF($M846="","",IF(NOT(ISNUMBER(R846)),"NO DATE",IF(S846="Won",IF(R846&gt;Settings!$B$5,"Backlog","Delivered"),IF(S846="Open",IF(R846&gt;Settings!$B$5,"Pipeline","Overdue"),IF(S846="Lost","Lost","UNMAPPED")))))</f>
        <v/>
      </c>
      <c r="U846" s="40" t="n">
        <f aca="false">IF(T846="Backlog",1,IF(OR(T846="Pipeline",T846="Overdue"),N(INDEX(Settings!$C$27:$C$36,MATCH(L846,Settings!$A$27:$A$36,0))),0))</f>
        <v>0</v>
      </c>
      <c r="V846" s="38" t="n">
        <f aca="false">Q846*U846</f>
        <v>0</v>
      </c>
      <c r="W846" s="41" t="str">
        <f aca="false">IF($M846="","",IF(T846="Overdue",IF(Settings!$B$8="Yes",Settings!$B$7,""),IF(ISNUMBER(R846),DATE(YEAR(R846),MONTH(R846),1),"")))</f>
        <v/>
      </c>
      <c r="X846" s="38" t="n">
        <f aca="false">IF(AND(OR(T846="Backlog",T846="Pipeline",T846="Overdue"),ISNUMBER(W846)),IF(W846&lt;=Settings!$B$6,V846,0),0)</f>
        <v>0</v>
      </c>
      <c r="Y846" s="38" t="n">
        <f aca="false">IF(AND(OR(T846="Backlog",T846="Pipeline",T846="Overdue"),ISNUMBER(W846)),IF(W846&lt;=Settings!$B$6,Q846,0),0)</f>
        <v>0</v>
      </c>
      <c r="Z846" s="38" t="n">
        <f aca="false">IF(Y846=0,0,IF(T846="Backlog",Q846,Q846*Dashboard!$C$10))</f>
        <v>0</v>
      </c>
      <c r="AA846" s="37" t="n">
        <f aca="false">IF($N846="",0,IF(COUNTIF(Dashboard!$C$13:$C$22,$N846)&gt;0,1,0))</f>
        <v>0</v>
      </c>
      <c r="AB846" s="37" t="str">
        <f aca="false">IF($N846="","",IF(COUNTIF($N$8:$N846,$N846)=1,MAX($AB$7:$AB845)+1,""))</f>
        <v/>
      </c>
    </row>
    <row r="847" customFormat="false" ht="15" hidden="false" customHeight="false" outlineLevel="0" collapsed="false">
      <c r="L847" s="37" t="str">
        <f aca="false">IF(INDEX($A847:$J847,$L$6)&lt;&gt;"",TRIM(LEFT(INDEX($A847:$J847,$L$6),FIND("(",INDEX($A847:$J847,$L$6)&amp;"(")-1)),L846)</f>
        <v>Building Value Proposition</v>
      </c>
      <c r="M847" s="37" t="str">
        <f aca="false">IF(INDEX($A847:$J847,$M$6)="","",INDEX($A847:$J847,$M$6)&amp;"")</f>
        <v/>
      </c>
      <c r="N847" s="37" t="str">
        <f aca="false">IF($M847="","",TRIM(INDEX($A847:$J847,$N$6)&amp;""))</f>
        <v/>
      </c>
      <c r="O847" s="37" t="str">
        <f aca="false">IF($M847="","",TRIM(INDEX($A847:$J847,$O$6)&amp;""))</f>
        <v/>
      </c>
      <c r="P847" s="37" t="str">
        <f aca="false">IF($M847="","",IFERROR(IF(INDEX(Settings!$B$41:$B$50,MATCH(O847,Settings!$A$41:$A$50,0))&amp;""="","UNMAPPED",INDEX(Settings!$B$41:$B$50,MATCH(O847,Settings!$A$41:$A$50,0))&amp;""),"UNMAPPED"))</f>
        <v/>
      </c>
      <c r="Q847" s="38" t="n">
        <f aca="false">IF($M847="",0,N(INDEX($A847:$J847,$Q$6)))</f>
        <v>0</v>
      </c>
      <c r="R847" s="39" t="str">
        <f aca="false">IF($M847="","",INDEX($A847:$J847,$R$6))</f>
        <v/>
      </c>
      <c r="S847" s="37" t="str">
        <f aca="false">IF($M847="","",IFERROR(INDEX(Settings!$B$27:$B$36,MATCH(L847,Settings!$A$27:$A$36,0))&amp;"","UNMAPPED"))</f>
        <v/>
      </c>
      <c r="T847" s="37" t="str">
        <f aca="false">IF($M847="","",IF(NOT(ISNUMBER(R847)),"NO DATE",IF(S847="Won",IF(R847&gt;Settings!$B$5,"Backlog","Delivered"),IF(S847="Open",IF(R847&gt;Settings!$B$5,"Pipeline","Overdue"),IF(S847="Lost","Lost","UNMAPPED")))))</f>
        <v/>
      </c>
      <c r="U847" s="40" t="n">
        <f aca="false">IF(T847="Backlog",1,IF(OR(T847="Pipeline",T847="Overdue"),N(INDEX(Settings!$C$27:$C$36,MATCH(L847,Settings!$A$27:$A$36,0))),0))</f>
        <v>0</v>
      </c>
      <c r="V847" s="38" t="n">
        <f aca="false">Q847*U847</f>
        <v>0</v>
      </c>
      <c r="W847" s="41" t="str">
        <f aca="false">IF($M847="","",IF(T847="Overdue",IF(Settings!$B$8="Yes",Settings!$B$7,""),IF(ISNUMBER(R847),DATE(YEAR(R847),MONTH(R847),1),"")))</f>
        <v/>
      </c>
      <c r="X847" s="38" t="n">
        <f aca="false">IF(AND(OR(T847="Backlog",T847="Pipeline",T847="Overdue"),ISNUMBER(W847)),IF(W847&lt;=Settings!$B$6,V847,0),0)</f>
        <v>0</v>
      </c>
      <c r="Y847" s="38" t="n">
        <f aca="false">IF(AND(OR(T847="Backlog",T847="Pipeline",T847="Overdue"),ISNUMBER(W847)),IF(W847&lt;=Settings!$B$6,Q847,0),0)</f>
        <v>0</v>
      </c>
      <c r="Z847" s="38" t="n">
        <f aca="false">IF(Y847=0,0,IF(T847="Backlog",Q847,Q847*Dashboard!$C$10))</f>
        <v>0</v>
      </c>
      <c r="AA847" s="37" t="n">
        <f aca="false">IF($N847="",0,IF(COUNTIF(Dashboard!$C$13:$C$22,$N847)&gt;0,1,0))</f>
        <v>0</v>
      </c>
      <c r="AB847" s="37" t="str">
        <f aca="false">IF($N847="","",IF(COUNTIF($N$8:$N847,$N847)=1,MAX($AB$7:$AB846)+1,""))</f>
        <v/>
      </c>
    </row>
    <row r="848" customFormat="false" ht="15" hidden="false" customHeight="false" outlineLevel="0" collapsed="false">
      <c r="L848" s="37" t="str">
        <f aca="false">IF(INDEX($A848:$J848,$L$6)&lt;&gt;"",TRIM(LEFT(INDEX($A848:$J848,$L$6),FIND("(",INDEX($A848:$J848,$L$6)&amp;"(")-1)),L847)</f>
        <v>Building Value Proposition</v>
      </c>
      <c r="M848" s="37" t="str">
        <f aca="false">IF(INDEX($A848:$J848,$M$6)="","",INDEX($A848:$J848,$M$6)&amp;"")</f>
        <v/>
      </c>
      <c r="N848" s="37" t="str">
        <f aca="false">IF($M848="","",TRIM(INDEX($A848:$J848,$N$6)&amp;""))</f>
        <v/>
      </c>
      <c r="O848" s="37" t="str">
        <f aca="false">IF($M848="","",TRIM(INDEX($A848:$J848,$O$6)&amp;""))</f>
        <v/>
      </c>
      <c r="P848" s="37" t="str">
        <f aca="false">IF($M848="","",IFERROR(IF(INDEX(Settings!$B$41:$B$50,MATCH(O848,Settings!$A$41:$A$50,0))&amp;""="","UNMAPPED",INDEX(Settings!$B$41:$B$50,MATCH(O848,Settings!$A$41:$A$50,0))&amp;""),"UNMAPPED"))</f>
        <v/>
      </c>
      <c r="Q848" s="38" t="n">
        <f aca="false">IF($M848="",0,N(INDEX($A848:$J848,$Q$6)))</f>
        <v>0</v>
      </c>
      <c r="R848" s="39" t="str">
        <f aca="false">IF($M848="","",INDEX($A848:$J848,$R$6))</f>
        <v/>
      </c>
      <c r="S848" s="37" t="str">
        <f aca="false">IF($M848="","",IFERROR(INDEX(Settings!$B$27:$B$36,MATCH(L848,Settings!$A$27:$A$36,0))&amp;"","UNMAPPED"))</f>
        <v/>
      </c>
      <c r="T848" s="37" t="str">
        <f aca="false">IF($M848="","",IF(NOT(ISNUMBER(R848)),"NO DATE",IF(S848="Won",IF(R848&gt;Settings!$B$5,"Backlog","Delivered"),IF(S848="Open",IF(R848&gt;Settings!$B$5,"Pipeline","Overdue"),IF(S848="Lost","Lost","UNMAPPED")))))</f>
        <v/>
      </c>
      <c r="U848" s="40" t="n">
        <f aca="false">IF(T848="Backlog",1,IF(OR(T848="Pipeline",T848="Overdue"),N(INDEX(Settings!$C$27:$C$36,MATCH(L848,Settings!$A$27:$A$36,0))),0))</f>
        <v>0</v>
      </c>
      <c r="V848" s="38" t="n">
        <f aca="false">Q848*U848</f>
        <v>0</v>
      </c>
      <c r="W848" s="41" t="str">
        <f aca="false">IF($M848="","",IF(T848="Overdue",IF(Settings!$B$8="Yes",Settings!$B$7,""),IF(ISNUMBER(R848),DATE(YEAR(R848),MONTH(R848),1),"")))</f>
        <v/>
      </c>
      <c r="X848" s="38" t="n">
        <f aca="false">IF(AND(OR(T848="Backlog",T848="Pipeline",T848="Overdue"),ISNUMBER(W848)),IF(W848&lt;=Settings!$B$6,V848,0),0)</f>
        <v>0</v>
      </c>
      <c r="Y848" s="38" t="n">
        <f aca="false">IF(AND(OR(T848="Backlog",T848="Pipeline",T848="Overdue"),ISNUMBER(W848)),IF(W848&lt;=Settings!$B$6,Q848,0),0)</f>
        <v>0</v>
      </c>
      <c r="Z848" s="38" t="n">
        <f aca="false">IF(Y848=0,0,IF(T848="Backlog",Q848,Q848*Dashboard!$C$10))</f>
        <v>0</v>
      </c>
      <c r="AA848" s="37" t="n">
        <f aca="false">IF($N848="",0,IF(COUNTIF(Dashboard!$C$13:$C$22,$N848)&gt;0,1,0))</f>
        <v>0</v>
      </c>
      <c r="AB848" s="37" t="str">
        <f aca="false">IF($N848="","",IF(COUNTIF($N$8:$N848,$N848)=1,MAX($AB$7:$AB847)+1,""))</f>
        <v/>
      </c>
    </row>
    <row r="849" customFormat="false" ht="15" hidden="false" customHeight="false" outlineLevel="0" collapsed="false">
      <c r="L849" s="37" t="str">
        <f aca="false">IF(INDEX($A849:$J849,$L$6)&lt;&gt;"",TRIM(LEFT(INDEX($A849:$J849,$L$6),FIND("(",INDEX($A849:$J849,$L$6)&amp;"(")-1)),L848)</f>
        <v>Building Value Proposition</v>
      </c>
      <c r="M849" s="37" t="str">
        <f aca="false">IF(INDEX($A849:$J849,$M$6)="","",INDEX($A849:$J849,$M$6)&amp;"")</f>
        <v/>
      </c>
      <c r="N849" s="37" t="str">
        <f aca="false">IF($M849="","",TRIM(INDEX($A849:$J849,$N$6)&amp;""))</f>
        <v/>
      </c>
      <c r="O849" s="37" t="str">
        <f aca="false">IF($M849="","",TRIM(INDEX($A849:$J849,$O$6)&amp;""))</f>
        <v/>
      </c>
      <c r="P849" s="37" t="str">
        <f aca="false">IF($M849="","",IFERROR(IF(INDEX(Settings!$B$41:$B$50,MATCH(O849,Settings!$A$41:$A$50,0))&amp;""="","UNMAPPED",INDEX(Settings!$B$41:$B$50,MATCH(O849,Settings!$A$41:$A$50,0))&amp;""),"UNMAPPED"))</f>
        <v/>
      </c>
      <c r="Q849" s="38" t="n">
        <f aca="false">IF($M849="",0,N(INDEX($A849:$J849,$Q$6)))</f>
        <v>0</v>
      </c>
      <c r="R849" s="39" t="str">
        <f aca="false">IF($M849="","",INDEX($A849:$J849,$R$6))</f>
        <v/>
      </c>
      <c r="S849" s="37" t="str">
        <f aca="false">IF($M849="","",IFERROR(INDEX(Settings!$B$27:$B$36,MATCH(L849,Settings!$A$27:$A$36,0))&amp;"","UNMAPPED"))</f>
        <v/>
      </c>
      <c r="T849" s="37" t="str">
        <f aca="false">IF($M849="","",IF(NOT(ISNUMBER(R849)),"NO DATE",IF(S849="Won",IF(R849&gt;Settings!$B$5,"Backlog","Delivered"),IF(S849="Open",IF(R849&gt;Settings!$B$5,"Pipeline","Overdue"),IF(S849="Lost","Lost","UNMAPPED")))))</f>
        <v/>
      </c>
      <c r="U849" s="40" t="n">
        <f aca="false">IF(T849="Backlog",1,IF(OR(T849="Pipeline",T849="Overdue"),N(INDEX(Settings!$C$27:$C$36,MATCH(L849,Settings!$A$27:$A$36,0))),0))</f>
        <v>0</v>
      </c>
      <c r="V849" s="38" t="n">
        <f aca="false">Q849*U849</f>
        <v>0</v>
      </c>
      <c r="W849" s="41" t="str">
        <f aca="false">IF($M849="","",IF(T849="Overdue",IF(Settings!$B$8="Yes",Settings!$B$7,""),IF(ISNUMBER(R849),DATE(YEAR(R849),MONTH(R849),1),"")))</f>
        <v/>
      </c>
      <c r="X849" s="38" t="n">
        <f aca="false">IF(AND(OR(T849="Backlog",T849="Pipeline",T849="Overdue"),ISNUMBER(W849)),IF(W849&lt;=Settings!$B$6,V849,0),0)</f>
        <v>0</v>
      </c>
      <c r="Y849" s="38" t="n">
        <f aca="false">IF(AND(OR(T849="Backlog",T849="Pipeline",T849="Overdue"),ISNUMBER(W849)),IF(W849&lt;=Settings!$B$6,Q849,0),0)</f>
        <v>0</v>
      </c>
      <c r="Z849" s="38" t="n">
        <f aca="false">IF(Y849=0,0,IF(T849="Backlog",Q849,Q849*Dashboard!$C$10))</f>
        <v>0</v>
      </c>
      <c r="AA849" s="37" t="n">
        <f aca="false">IF($N849="",0,IF(COUNTIF(Dashboard!$C$13:$C$22,$N849)&gt;0,1,0))</f>
        <v>0</v>
      </c>
      <c r="AB849" s="37" t="str">
        <f aca="false">IF($N849="","",IF(COUNTIF($N$8:$N849,$N849)=1,MAX($AB$7:$AB848)+1,""))</f>
        <v/>
      </c>
    </row>
    <row r="850" customFormat="false" ht="15" hidden="false" customHeight="false" outlineLevel="0" collapsed="false">
      <c r="L850" s="37" t="str">
        <f aca="false">IF(INDEX($A850:$J850,$L$6)&lt;&gt;"",TRIM(LEFT(INDEX($A850:$J850,$L$6),FIND("(",INDEX($A850:$J850,$L$6)&amp;"(")-1)),L849)</f>
        <v>Building Value Proposition</v>
      </c>
      <c r="M850" s="37" t="str">
        <f aca="false">IF(INDEX($A850:$J850,$M$6)="","",INDEX($A850:$J850,$M$6)&amp;"")</f>
        <v/>
      </c>
      <c r="N850" s="37" t="str">
        <f aca="false">IF($M850="","",TRIM(INDEX($A850:$J850,$N$6)&amp;""))</f>
        <v/>
      </c>
      <c r="O850" s="37" t="str">
        <f aca="false">IF($M850="","",TRIM(INDEX($A850:$J850,$O$6)&amp;""))</f>
        <v/>
      </c>
      <c r="P850" s="37" t="str">
        <f aca="false">IF($M850="","",IFERROR(IF(INDEX(Settings!$B$41:$B$50,MATCH(O850,Settings!$A$41:$A$50,0))&amp;""="","UNMAPPED",INDEX(Settings!$B$41:$B$50,MATCH(O850,Settings!$A$41:$A$50,0))&amp;""),"UNMAPPED"))</f>
        <v/>
      </c>
      <c r="Q850" s="38" t="n">
        <f aca="false">IF($M850="",0,N(INDEX($A850:$J850,$Q$6)))</f>
        <v>0</v>
      </c>
      <c r="R850" s="39" t="str">
        <f aca="false">IF($M850="","",INDEX($A850:$J850,$R$6))</f>
        <v/>
      </c>
      <c r="S850" s="37" t="str">
        <f aca="false">IF($M850="","",IFERROR(INDEX(Settings!$B$27:$B$36,MATCH(L850,Settings!$A$27:$A$36,0))&amp;"","UNMAPPED"))</f>
        <v/>
      </c>
      <c r="T850" s="37" t="str">
        <f aca="false">IF($M850="","",IF(NOT(ISNUMBER(R850)),"NO DATE",IF(S850="Won",IF(R850&gt;Settings!$B$5,"Backlog","Delivered"),IF(S850="Open",IF(R850&gt;Settings!$B$5,"Pipeline","Overdue"),IF(S850="Lost","Lost","UNMAPPED")))))</f>
        <v/>
      </c>
      <c r="U850" s="40" t="n">
        <f aca="false">IF(T850="Backlog",1,IF(OR(T850="Pipeline",T850="Overdue"),N(INDEX(Settings!$C$27:$C$36,MATCH(L850,Settings!$A$27:$A$36,0))),0))</f>
        <v>0</v>
      </c>
      <c r="V850" s="38" t="n">
        <f aca="false">Q850*U850</f>
        <v>0</v>
      </c>
      <c r="W850" s="41" t="str">
        <f aca="false">IF($M850="","",IF(T850="Overdue",IF(Settings!$B$8="Yes",Settings!$B$7,""),IF(ISNUMBER(R850),DATE(YEAR(R850),MONTH(R850),1),"")))</f>
        <v/>
      </c>
      <c r="X850" s="38" t="n">
        <f aca="false">IF(AND(OR(T850="Backlog",T850="Pipeline",T850="Overdue"),ISNUMBER(W850)),IF(W850&lt;=Settings!$B$6,V850,0),0)</f>
        <v>0</v>
      </c>
      <c r="Y850" s="38" t="n">
        <f aca="false">IF(AND(OR(T850="Backlog",T850="Pipeline",T850="Overdue"),ISNUMBER(W850)),IF(W850&lt;=Settings!$B$6,Q850,0),0)</f>
        <v>0</v>
      </c>
      <c r="Z850" s="38" t="n">
        <f aca="false">IF(Y850=0,0,IF(T850="Backlog",Q850,Q850*Dashboard!$C$10))</f>
        <v>0</v>
      </c>
      <c r="AA850" s="37" t="n">
        <f aca="false">IF($N850="",0,IF(COUNTIF(Dashboard!$C$13:$C$22,$N850)&gt;0,1,0))</f>
        <v>0</v>
      </c>
      <c r="AB850" s="37" t="str">
        <f aca="false">IF($N850="","",IF(COUNTIF($N$8:$N850,$N850)=1,MAX($AB$7:$AB849)+1,""))</f>
        <v/>
      </c>
    </row>
    <row r="851" customFormat="false" ht="15" hidden="false" customHeight="false" outlineLevel="0" collapsed="false">
      <c r="L851" s="37" t="str">
        <f aca="false">IF(INDEX($A851:$J851,$L$6)&lt;&gt;"",TRIM(LEFT(INDEX($A851:$J851,$L$6),FIND("(",INDEX($A851:$J851,$L$6)&amp;"(")-1)),L850)</f>
        <v>Building Value Proposition</v>
      </c>
      <c r="M851" s="37" t="str">
        <f aca="false">IF(INDEX($A851:$J851,$M$6)="","",INDEX($A851:$J851,$M$6)&amp;"")</f>
        <v/>
      </c>
      <c r="N851" s="37" t="str">
        <f aca="false">IF($M851="","",TRIM(INDEX($A851:$J851,$N$6)&amp;""))</f>
        <v/>
      </c>
      <c r="O851" s="37" t="str">
        <f aca="false">IF($M851="","",TRIM(INDEX($A851:$J851,$O$6)&amp;""))</f>
        <v/>
      </c>
      <c r="P851" s="37" t="str">
        <f aca="false">IF($M851="","",IFERROR(IF(INDEX(Settings!$B$41:$B$50,MATCH(O851,Settings!$A$41:$A$50,0))&amp;""="","UNMAPPED",INDEX(Settings!$B$41:$B$50,MATCH(O851,Settings!$A$41:$A$50,0))&amp;""),"UNMAPPED"))</f>
        <v/>
      </c>
      <c r="Q851" s="38" t="n">
        <f aca="false">IF($M851="",0,N(INDEX($A851:$J851,$Q$6)))</f>
        <v>0</v>
      </c>
      <c r="R851" s="39" t="str">
        <f aca="false">IF($M851="","",INDEX($A851:$J851,$R$6))</f>
        <v/>
      </c>
      <c r="S851" s="37" t="str">
        <f aca="false">IF($M851="","",IFERROR(INDEX(Settings!$B$27:$B$36,MATCH(L851,Settings!$A$27:$A$36,0))&amp;"","UNMAPPED"))</f>
        <v/>
      </c>
      <c r="T851" s="37" t="str">
        <f aca="false">IF($M851="","",IF(NOT(ISNUMBER(R851)),"NO DATE",IF(S851="Won",IF(R851&gt;Settings!$B$5,"Backlog","Delivered"),IF(S851="Open",IF(R851&gt;Settings!$B$5,"Pipeline","Overdue"),IF(S851="Lost","Lost","UNMAPPED")))))</f>
        <v/>
      </c>
      <c r="U851" s="40" t="n">
        <f aca="false">IF(T851="Backlog",1,IF(OR(T851="Pipeline",T851="Overdue"),N(INDEX(Settings!$C$27:$C$36,MATCH(L851,Settings!$A$27:$A$36,0))),0))</f>
        <v>0</v>
      </c>
      <c r="V851" s="38" t="n">
        <f aca="false">Q851*U851</f>
        <v>0</v>
      </c>
      <c r="W851" s="41" t="str">
        <f aca="false">IF($M851="","",IF(T851="Overdue",IF(Settings!$B$8="Yes",Settings!$B$7,""),IF(ISNUMBER(R851),DATE(YEAR(R851),MONTH(R851),1),"")))</f>
        <v/>
      </c>
      <c r="X851" s="38" t="n">
        <f aca="false">IF(AND(OR(T851="Backlog",T851="Pipeline",T851="Overdue"),ISNUMBER(W851)),IF(W851&lt;=Settings!$B$6,V851,0),0)</f>
        <v>0</v>
      </c>
      <c r="Y851" s="38" t="n">
        <f aca="false">IF(AND(OR(T851="Backlog",T851="Pipeline",T851="Overdue"),ISNUMBER(W851)),IF(W851&lt;=Settings!$B$6,Q851,0),0)</f>
        <v>0</v>
      </c>
      <c r="Z851" s="38" t="n">
        <f aca="false">IF(Y851=0,0,IF(T851="Backlog",Q851,Q851*Dashboard!$C$10))</f>
        <v>0</v>
      </c>
      <c r="AA851" s="37" t="n">
        <f aca="false">IF($N851="",0,IF(COUNTIF(Dashboard!$C$13:$C$22,$N851)&gt;0,1,0))</f>
        <v>0</v>
      </c>
      <c r="AB851" s="37" t="str">
        <f aca="false">IF($N851="","",IF(COUNTIF($N$8:$N851,$N851)=1,MAX($AB$7:$AB850)+1,""))</f>
        <v/>
      </c>
    </row>
    <row r="852" customFormat="false" ht="15" hidden="false" customHeight="false" outlineLevel="0" collapsed="false">
      <c r="L852" s="37" t="str">
        <f aca="false">IF(INDEX($A852:$J852,$L$6)&lt;&gt;"",TRIM(LEFT(INDEX($A852:$J852,$L$6),FIND("(",INDEX($A852:$J852,$L$6)&amp;"(")-1)),L851)</f>
        <v>Building Value Proposition</v>
      </c>
      <c r="M852" s="37" t="str">
        <f aca="false">IF(INDEX($A852:$J852,$M$6)="","",INDEX($A852:$J852,$M$6)&amp;"")</f>
        <v/>
      </c>
      <c r="N852" s="37" t="str">
        <f aca="false">IF($M852="","",TRIM(INDEX($A852:$J852,$N$6)&amp;""))</f>
        <v/>
      </c>
      <c r="O852" s="37" t="str">
        <f aca="false">IF($M852="","",TRIM(INDEX($A852:$J852,$O$6)&amp;""))</f>
        <v/>
      </c>
      <c r="P852" s="37" t="str">
        <f aca="false">IF($M852="","",IFERROR(IF(INDEX(Settings!$B$41:$B$50,MATCH(O852,Settings!$A$41:$A$50,0))&amp;""="","UNMAPPED",INDEX(Settings!$B$41:$B$50,MATCH(O852,Settings!$A$41:$A$50,0))&amp;""),"UNMAPPED"))</f>
        <v/>
      </c>
      <c r="Q852" s="38" t="n">
        <f aca="false">IF($M852="",0,N(INDEX($A852:$J852,$Q$6)))</f>
        <v>0</v>
      </c>
      <c r="R852" s="39" t="str">
        <f aca="false">IF($M852="","",INDEX($A852:$J852,$R$6))</f>
        <v/>
      </c>
      <c r="S852" s="37" t="str">
        <f aca="false">IF($M852="","",IFERROR(INDEX(Settings!$B$27:$B$36,MATCH(L852,Settings!$A$27:$A$36,0))&amp;"","UNMAPPED"))</f>
        <v/>
      </c>
      <c r="T852" s="37" t="str">
        <f aca="false">IF($M852="","",IF(NOT(ISNUMBER(R852)),"NO DATE",IF(S852="Won",IF(R852&gt;Settings!$B$5,"Backlog","Delivered"),IF(S852="Open",IF(R852&gt;Settings!$B$5,"Pipeline","Overdue"),IF(S852="Lost","Lost","UNMAPPED")))))</f>
        <v/>
      </c>
      <c r="U852" s="40" t="n">
        <f aca="false">IF(T852="Backlog",1,IF(OR(T852="Pipeline",T852="Overdue"),N(INDEX(Settings!$C$27:$C$36,MATCH(L852,Settings!$A$27:$A$36,0))),0))</f>
        <v>0</v>
      </c>
      <c r="V852" s="38" t="n">
        <f aca="false">Q852*U852</f>
        <v>0</v>
      </c>
      <c r="W852" s="41" t="str">
        <f aca="false">IF($M852="","",IF(T852="Overdue",IF(Settings!$B$8="Yes",Settings!$B$7,""),IF(ISNUMBER(R852),DATE(YEAR(R852),MONTH(R852),1),"")))</f>
        <v/>
      </c>
      <c r="X852" s="38" t="n">
        <f aca="false">IF(AND(OR(T852="Backlog",T852="Pipeline",T852="Overdue"),ISNUMBER(W852)),IF(W852&lt;=Settings!$B$6,V852,0),0)</f>
        <v>0</v>
      </c>
      <c r="Y852" s="38" t="n">
        <f aca="false">IF(AND(OR(T852="Backlog",T852="Pipeline",T852="Overdue"),ISNUMBER(W852)),IF(W852&lt;=Settings!$B$6,Q852,0),0)</f>
        <v>0</v>
      </c>
      <c r="Z852" s="38" t="n">
        <f aca="false">IF(Y852=0,0,IF(T852="Backlog",Q852,Q852*Dashboard!$C$10))</f>
        <v>0</v>
      </c>
      <c r="AA852" s="37" t="n">
        <f aca="false">IF($N852="",0,IF(COUNTIF(Dashboard!$C$13:$C$22,$N852)&gt;0,1,0))</f>
        <v>0</v>
      </c>
      <c r="AB852" s="37" t="str">
        <f aca="false">IF($N852="","",IF(COUNTIF($N$8:$N852,$N852)=1,MAX($AB$7:$AB851)+1,""))</f>
        <v/>
      </c>
    </row>
    <row r="853" customFormat="false" ht="15" hidden="false" customHeight="false" outlineLevel="0" collapsed="false">
      <c r="L853" s="37" t="str">
        <f aca="false">IF(INDEX($A853:$J853,$L$6)&lt;&gt;"",TRIM(LEFT(INDEX($A853:$J853,$L$6),FIND("(",INDEX($A853:$J853,$L$6)&amp;"(")-1)),L852)</f>
        <v>Building Value Proposition</v>
      </c>
      <c r="M853" s="37" t="str">
        <f aca="false">IF(INDEX($A853:$J853,$M$6)="","",INDEX($A853:$J853,$M$6)&amp;"")</f>
        <v/>
      </c>
      <c r="N853" s="37" t="str">
        <f aca="false">IF($M853="","",TRIM(INDEX($A853:$J853,$N$6)&amp;""))</f>
        <v/>
      </c>
      <c r="O853" s="37" t="str">
        <f aca="false">IF($M853="","",TRIM(INDEX($A853:$J853,$O$6)&amp;""))</f>
        <v/>
      </c>
      <c r="P853" s="37" t="str">
        <f aca="false">IF($M853="","",IFERROR(IF(INDEX(Settings!$B$41:$B$50,MATCH(O853,Settings!$A$41:$A$50,0))&amp;""="","UNMAPPED",INDEX(Settings!$B$41:$B$50,MATCH(O853,Settings!$A$41:$A$50,0))&amp;""),"UNMAPPED"))</f>
        <v/>
      </c>
      <c r="Q853" s="38" t="n">
        <f aca="false">IF($M853="",0,N(INDEX($A853:$J853,$Q$6)))</f>
        <v>0</v>
      </c>
      <c r="R853" s="39" t="str">
        <f aca="false">IF($M853="","",INDEX($A853:$J853,$R$6))</f>
        <v/>
      </c>
      <c r="S853" s="37" t="str">
        <f aca="false">IF($M853="","",IFERROR(INDEX(Settings!$B$27:$B$36,MATCH(L853,Settings!$A$27:$A$36,0))&amp;"","UNMAPPED"))</f>
        <v/>
      </c>
      <c r="T853" s="37" t="str">
        <f aca="false">IF($M853="","",IF(NOT(ISNUMBER(R853)),"NO DATE",IF(S853="Won",IF(R853&gt;Settings!$B$5,"Backlog","Delivered"),IF(S853="Open",IF(R853&gt;Settings!$B$5,"Pipeline","Overdue"),IF(S853="Lost","Lost","UNMAPPED")))))</f>
        <v/>
      </c>
      <c r="U853" s="40" t="n">
        <f aca="false">IF(T853="Backlog",1,IF(OR(T853="Pipeline",T853="Overdue"),N(INDEX(Settings!$C$27:$C$36,MATCH(L853,Settings!$A$27:$A$36,0))),0))</f>
        <v>0</v>
      </c>
      <c r="V853" s="38" t="n">
        <f aca="false">Q853*U853</f>
        <v>0</v>
      </c>
      <c r="W853" s="41" t="str">
        <f aca="false">IF($M853="","",IF(T853="Overdue",IF(Settings!$B$8="Yes",Settings!$B$7,""),IF(ISNUMBER(R853),DATE(YEAR(R853),MONTH(R853),1),"")))</f>
        <v/>
      </c>
      <c r="X853" s="38" t="n">
        <f aca="false">IF(AND(OR(T853="Backlog",T853="Pipeline",T853="Overdue"),ISNUMBER(W853)),IF(W853&lt;=Settings!$B$6,V853,0),0)</f>
        <v>0</v>
      </c>
      <c r="Y853" s="38" t="n">
        <f aca="false">IF(AND(OR(T853="Backlog",T853="Pipeline",T853="Overdue"),ISNUMBER(W853)),IF(W853&lt;=Settings!$B$6,Q853,0),0)</f>
        <v>0</v>
      </c>
      <c r="Z853" s="38" t="n">
        <f aca="false">IF(Y853=0,0,IF(T853="Backlog",Q853,Q853*Dashboard!$C$10))</f>
        <v>0</v>
      </c>
      <c r="AA853" s="37" t="n">
        <f aca="false">IF($N853="",0,IF(COUNTIF(Dashboard!$C$13:$C$22,$N853)&gt;0,1,0))</f>
        <v>0</v>
      </c>
      <c r="AB853" s="37" t="str">
        <f aca="false">IF($N853="","",IF(COUNTIF($N$8:$N853,$N853)=1,MAX($AB$7:$AB852)+1,""))</f>
        <v/>
      </c>
    </row>
    <row r="854" customFormat="false" ht="15" hidden="false" customHeight="false" outlineLevel="0" collapsed="false">
      <c r="L854" s="37" t="str">
        <f aca="false">IF(INDEX($A854:$J854,$L$6)&lt;&gt;"",TRIM(LEFT(INDEX($A854:$J854,$L$6),FIND("(",INDEX($A854:$J854,$L$6)&amp;"(")-1)),L853)</f>
        <v>Building Value Proposition</v>
      </c>
      <c r="M854" s="37" t="str">
        <f aca="false">IF(INDEX($A854:$J854,$M$6)="","",INDEX($A854:$J854,$M$6)&amp;"")</f>
        <v/>
      </c>
      <c r="N854" s="37" t="str">
        <f aca="false">IF($M854="","",TRIM(INDEX($A854:$J854,$N$6)&amp;""))</f>
        <v/>
      </c>
      <c r="O854" s="37" t="str">
        <f aca="false">IF($M854="","",TRIM(INDEX($A854:$J854,$O$6)&amp;""))</f>
        <v/>
      </c>
      <c r="P854" s="37" t="str">
        <f aca="false">IF($M854="","",IFERROR(IF(INDEX(Settings!$B$41:$B$50,MATCH(O854,Settings!$A$41:$A$50,0))&amp;""="","UNMAPPED",INDEX(Settings!$B$41:$B$50,MATCH(O854,Settings!$A$41:$A$50,0))&amp;""),"UNMAPPED"))</f>
        <v/>
      </c>
      <c r="Q854" s="38" t="n">
        <f aca="false">IF($M854="",0,N(INDEX($A854:$J854,$Q$6)))</f>
        <v>0</v>
      </c>
      <c r="R854" s="39" t="str">
        <f aca="false">IF($M854="","",INDEX($A854:$J854,$R$6))</f>
        <v/>
      </c>
      <c r="S854" s="37" t="str">
        <f aca="false">IF($M854="","",IFERROR(INDEX(Settings!$B$27:$B$36,MATCH(L854,Settings!$A$27:$A$36,0))&amp;"","UNMAPPED"))</f>
        <v/>
      </c>
      <c r="T854" s="37" t="str">
        <f aca="false">IF($M854="","",IF(NOT(ISNUMBER(R854)),"NO DATE",IF(S854="Won",IF(R854&gt;Settings!$B$5,"Backlog","Delivered"),IF(S854="Open",IF(R854&gt;Settings!$B$5,"Pipeline","Overdue"),IF(S854="Lost","Lost","UNMAPPED")))))</f>
        <v/>
      </c>
      <c r="U854" s="40" t="n">
        <f aca="false">IF(T854="Backlog",1,IF(OR(T854="Pipeline",T854="Overdue"),N(INDEX(Settings!$C$27:$C$36,MATCH(L854,Settings!$A$27:$A$36,0))),0))</f>
        <v>0</v>
      </c>
      <c r="V854" s="38" t="n">
        <f aca="false">Q854*U854</f>
        <v>0</v>
      </c>
      <c r="W854" s="41" t="str">
        <f aca="false">IF($M854="","",IF(T854="Overdue",IF(Settings!$B$8="Yes",Settings!$B$7,""),IF(ISNUMBER(R854),DATE(YEAR(R854),MONTH(R854),1),"")))</f>
        <v/>
      </c>
      <c r="X854" s="38" t="n">
        <f aca="false">IF(AND(OR(T854="Backlog",T854="Pipeline",T854="Overdue"),ISNUMBER(W854)),IF(W854&lt;=Settings!$B$6,V854,0),0)</f>
        <v>0</v>
      </c>
      <c r="Y854" s="38" t="n">
        <f aca="false">IF(AND(OR(T854="Backlog",T854="Pipeline",T854="Overdue"),ISNUMBER(W854)),IF(W854&lt;=Settings!$B$6,Q854,0),0)</f>
        <v>0</v>
      </c>
      <c r="Z854" s="38" t="n">
        <f aca="false">IF(Y854=0,0,IF(T854="Backlog",Q854,Q854*Dashboard!$C$10))</f>
        <v>0</v>
      </c>
      <c r="AA854" s="37" t="n">
        <f aca="false">IF($N854="",0,IF(COUNTIF(Dashboard!$C$13:$C$22,$N854)&gt;0,1,0))</f>
        <v>0</v>
      </c>
      <c r="AB854" s="37" t="str">
        <f aca="false">IF($N854="","",IF(COUNTIF($N$8:$N854,$N854)=1,MAX($AB$7:$AB853)+1,""))</f>
        <v/>
      </c>
    </row>
    <row r="855" customFormat="false" ht="15" hidden="false" customHeight="false" outlineLevel="0" collapsed="false">
      <c r="L855" s="37" t="str">
        <f aca="false">IF(INDEX($A855:$J855,$L$6)&lt;&gt;"",TRIM(LEFT(INDEX($A855:$J855,$L$6),FIND("(",INDEX($A855:$J855,$L$6)&amp;"(")-1)),L854)</f>
        <v>Building Value Proposition</v>
      </c>
      <c r="M855" s="37" t="str">
        <f aca="false">IF(INDEX($A855:$J855,$M$6)="","",INDEX($A855:$J855,$M$6)&amp;"")</f>
        <v/>
      </c>
      <c r="N855" s="37" t="str">
        <f aca="false">IF($M855="","",TRIM(INDEX($A855:$J855,$N$6)&amp;""))</f>
        <v/>
      </c>
      <c r="O855" s="37" t="str">
        <f aca="false">IF($M855="","",TRIM(INDEX($A855:$J855,$O$6)&amp;""))</f>
        <v/>
      </c>
      <c r="P855" s="37" t="str">
        <f aca="false">IF($M855="","",IFERROR(IF(INDEX(Settings!$B$41:$B$50,MATCH(O855,Settings!$A$41:$A$50,0))&amp;""="","UNMAPPED",INDEX(Settings!$B$41:$B$50,MATCH(O855,Settings!$A$41:$A$50,0))&amp;""),"UNMAPPED"))</f>
        <v/>
      </c>
      <c r="Q855" s="38" t="n">
        <f aca="false">IF($M855="",0,N(INDEX($A855:$J855,$Q$6)))</f>
        <v>0</v>
      </c>
      <c r="R855" s="39" t="str">
        <f aca="false">IF($M855="","",INDEX($A855:$J855,$R$6))</f>
        <v/>
      </c>
      <c r="S855" s="37" t="str">
        <f aca="false">IF($M855="","",IFERROR(INDEX(Settings!$B$27:$B$36,MATCH(L855,Settings!$A$27:$A$36,0))&amp;"","UNMAPPED"))</f>
        <v/>
      </c>
      <c r="T855" s="37" t="str">
        <f aca="false">IF($M855="","",IF(NOT(ISNUMBER(R855)),"NO DATE",IF(S855="Won",IF(R855&gt;Settings!$B$5,"Backlog","Delivered"),IF(S855="Open",IF(R855&gt;Settings!$B$5,"Pipeline","Overdue"),IF(S855="Lost","Lost","UNMAPPED")))))</f>
        <v/>
      </c>
      <c r="U855" s="40" t="n">
        <f aca="false">IF(T855="Backlog",1,IF(OR(T855="Pipeline",T855="Overdue"),N(INDEX(Settings!$C$27:$C$36,MATCH(L855,Settings!$A$27:$A$36,0))),0))</f>
        <v>0</v>
      </c>
      <c r="V855" s="38" t="n">
        <f aca="false">Q855*U855</f>
        <v>0</v>
      </c>
      <c r="W855" s="41" t="str">
        <f aca="false">IF($M855="","",IF(T855="Overdue",IF(Settings!$B$8="Yes",Settings!$B$7,""),IF(ISNUMBER(R855),DATE(YEAR(R855),MONTH(R855),1),"")))</f>
        <v/>
      </c>
      <c r="X855" s="38" t="n">
        <f aca="false">IF(AND(OR(T855="Backlog",T855="Pipeline",T855="Overdue"),ISNUMBER(W855)),IF(W855&lt;=Settings!$B$6,V855,0),0)</f>
        <v>0</v>
      </c>
      <c r="Y855" s="38" t="n">
        <f aca="false">IF(AND(OR(T855="Backlog",T855="Pipeline",T855="Overdue"),ISNUMBER(W855)),IF(W855&lt;=Settings!$B$6,Q855,0),0)</f>
        <v>0</v>
      </c>
      <c r="Z855" s="38" t="n">
        <f aca="false">IF(Y855=0,0,IF(T855="Backlog",Q855,Q855*Dashboard!$C$10))</f>
        <v>0</v>
      </c>
      <c r="AA855" s="37" t="n">
        <f aca="false">IF($N855="",0,IF(COUNTIF(Dashboard!$C$13:$C$22,$N855)&gt;0,1,0))</f>
        <v>0</v>
      </c>
      <c r="AB855" s="37" t="str">
        <f aca="false">IF($N855="","",IF(COUNTIF($N$8:$N855,$N855)=1,MAX($AB$7:$AB854)+1,""))</f>
        <v/>
      </c>
    </row>
    <row r="856" customFormat="false" ht="15" hidden="false" customHeight="false" outlineLevel="0" collapsed="false">
      <c r="L856" s="37" t="str">
        <f aca="false">IF(INDEX($A856:$J856,$L$6)&lt;&gt;"",TRIM(LEFT(INDEX($A856:$J856,$L$6),FIND("(",INDEX($A856:$J856,$L$6)&amp;"(")-1)),L855)</f>
        <v>Building Value Proposition</v>
      </c>
      <c r="M856" s="37" t="str">
        <f aca="false">IF(INDEX($A856:$J856,$M$6)="","",INDEX($A856:$J856,$M$6)&amp;"")</f>
        <v/>
      </c>
      <c r="N856" s="37" t="str">
        <f aca="false">IF($M856="","",TRIM(INDEX($A856:$J856,$N$6)&amp;""))</f>
        <v/>
      </c>
      <c r="O856" s="37" t="str">
        <f aca="false">IF($M856="","",TRIM(INDEX($A856:$J856,$O$6)&amp;""))</f>
        <v/>
      </c>
      <c r="P856" s="37" t="str">
        <f aca="false">IF($M856="","",IFERROR(IF(INDEX(Settings!$B$41:$B$50,MATCH(O856,Settings!$A$41:$A$50,0))&amp;""="","UNMAPPED",INDEX(Settings!$B$41:$B$50,MATCH(O856,Settings!$A$41:$A$50,0))&amp;""),"UNMAPPED"))</f>
        <v/>
      </c>
      <c r="Q856" s="38" t="n">
        <f aca="false">IF($M856="",0,N(INDEX($A856:$J856,$Q$6)))</f>
        <v>0</v>
      </c>
      <c r="R856" s="39" t="str">
        <f aca="false">IF($M856="","",INDEX($A856:$J856,$R$6))</f>
        <v/>
      </c>
      <c r="S856" s="37" t="str">
        <f aca="false">IF($M856="","",IFERROR(INDEX(Settings!$B$27:$B$36,MATCH(L856,Settings!$A$27:$A$36,0))&amp;"","UNMAPPED"))</f>
        <v/>
      </c>
      <c r="T856" s="37" t="str">
        <f aca="false">IF($M856="","",IF(NOT(ISNUMBER(R856)),"NO DATE",IF(S856="Won",IF(R856&gt;Settings!$B$5,"Backlog","Delivered"),IF(S856="Open",IF(R856&gt;Settings!$B$5,"Pipeline","Overdue"),IF(S856="Lost","Lost","UNMAPPED")))))</f>
        <v/>
      </c>
      <c r="U856" s="40" t="n">
        <f aca="false">IF(T856="Backlog",1,IF(OR(T856="Pipeline",T856="Overdue"),N(INDEX(Settings!$C$27:$C$36,MATCH(L856,Settings!$A$27:$A$36,0))),0))</f>
        <v>0</v>
      </c>
      <c r="V856" s="38" t="n">
        <f aca="false">Q856*U856</f>
        <v>0</v>
      </c>
      <c r="W856" s="41" t="str">
        <f aca="false">IF($M856="","",IF(T856="Overdue",IF(Settings!$B$8="Yes",Settings!$B$7,""),IF(ISNUMBER(R856),DATE(YEAR(R856),MONTH(R856),1),"")))</f>
        <v/>
      </c>
      <c r="X856" s="38" t="n">
        <f aca="false">IF(AND(OR(T856="Backlog",T856="Pipeline",T856="Overdue"),ISNUMBER(W856)),IF(W856&lt;=Settings!$B$6,V856,0),0)</f>
        <v>0</v>
      </c>
      <c r="Y856" s="38" t="n">
        <f aca="false">IF(AND(OR(T856="Backlog",T856="Pipeline",T856="Overdue"),ISNUMBER(W856)),IF(W856&lt;=Settings!$B$6,Q856,0),0)</f>
        <v>0</v>
      </c>
      <c r="Z856" s="38" t="n">
        <f aca="false">IF(Y856=0,0,IF(T856="Backlog",Q856,Q856*Dashboard!$C$10))</f>
        <v>0</v>
      </c>
      <c r="AA856" s="37" t="n">
        <f aca="false">IF($N856="",0,IF(COUNTIF(Dashboard!$C$13:$C$22,$N856)&gt;0,1,0))</f>
        <v>0</v>
      </c>
      <c r="AB856" s="37" t="str">
        <f aca="false">IF($N856="","",IF(COUNTIF($N$8:$N856,$N856)=1,MAX($AB$7:$AB855)+1,""))</f>
        <v/>
      </c>
    </row>
    <row r="857" customFormat="false" ht="15" hidden="false" customHeight="false" outlineLevel="0" collapsed="false">
      <c r="L857" s="37" t="str">
        <f aca="false">IF(INDEX($A857:$J857,$L$6)&lt;&gt;"",TRIM(LEFT(INDEX($A857:$J857,$L$6),FIND("(",INDEX($A857:$J857,$L$6)&amp;"(")-1)),L856)</f>
        <v>Building Value Proposition</v>
      </c>
      <c r="M857" s="37" t="str">
        <f aca="false">IF(INDEX($A857:$J857,$M$6)="","",INDEX($A857:$J857,$M$6)&amp;"")</f>
        <v/>
      </c>
      <c r="N857" s="37" t="str">
        <f aca="false">IF($M857="","",TRIM(INDEX($A857:$J857,$N$6)&amp;""))</f>
        <v/>
      </c>
      <c r="O857" s="37" t="str">
        <f aca="false">IF($M857="","",TRIM(INDEX($A857:$J857,$O$6)&amp;""))</f>
        <v/>
      </c>
      <c r="P857" s="37" t="str">
        <f aca="false">IF($M857="","",IFERROR(IF(INDEX(Settings!$B$41:$B$50,MATCH(O857,Settings!$A$41:$A$50,0))&amp;""="","UNMAPPED",INDEX(Settings!$B$41:$B$50,MATCH(O857,Settings!$A$41:$A$50,0))&amp;""),"UNMAPPED"))</f>
        <v/>
      </c>
      <c r="Q857" s="38" t="n">
        <f aca="false">IF($M857="",0,N(INDEX($A857:$J857,$Q$6)))</f>
        <v>0</v>
      </c>
      <c r="R857" s="39" t="str">
        <f aca="false">IF($M857="","",INDEX($A857:$J857,$R$6))</f>
        <v/>
      </c>
      <c r="S857" s="37" t="str">
        <f aca="false">IF($M857="","",IFERROR(INDEX(Settings!$B$27:$B$36,MATCH(L857,Settings!$A$27:$A$36,0))&amp;"","UNMAPPED"))</f>
        <v/>
      </c>
      <c r="T857" s="37" t="str">
        <f aca="false">IF($M857="","",IF(NOT(ISNUMBER(R857)),"NO DATE",IF(S857="Won",IF(R857&gt;Settings!$B$5,"Backlog","Delivered"),IF(S857="Open",IF(R857&gt;Settings!$B$5,"Pipeline","Overdue"),IF(S857="Lost","Lost","UNMAPPED")))))</f>
        <v/>
      </c>
      <c r="U857" s="40" t="n">
        <f aca="false">IF(T857="Backlog",1,IF(OR(T857="Pipeline",T857="Overdue"),N(INDEX(Settings!$C$27:$C$36,MATCH(L857,Settings!$A$27:$A$36,0))),0))</f>
        <v>0</v>
      </c>
      <c r="V857" s="38" t="n">
        <f aca="false">Q857*U857</f>
        <v>0</v>
      </c>
      <c r="W857" s="41" t="str">
        <f aca="false">IF($M857="","",IF(T857="Overdue",IF(Settings!$B$8="Yes",Settings!$B$7,""),IF(ISNUMBER(R857),DATE(YEAR(R857),MONTH(R857),1),"")))</f>
        <v/>
      </c>
      <c r="X857" s="38" t="n">
        <f aca="false">IF(AND(OR(T857="Backlog",T857="Pipeline",T857="Overdue"),ISNUMBER(W857)),IF(W857&lt;=Settings!$B$6,V857,0),0)</f>
        <v>0</v>
      </c>
      <c r="Y857" s="38" t="n">
        <f aca="false">IF(AND(OR(T857="Backlog",T857="Pipeline",T857="Overdue"),ISNUMBER(W857)),IF(W857&lt;=Settings!$B$6,Q857,0),0)</f>
        <v>0</v>
      </c>
      <c r="Z857" s="38" t="n">
        <f aca="false">IF(Y857=0,0,IF(T857="Backlog",Q857,Q857*Dashboard!$C$10))</f>
        <v>0</v>
      </c>
      <c r="AA857" s="37" t="n">
        <f aca="false">IF($N857="",0,IF(COUNTIF(Dashboard!$C$13:$C$22,$N857)&gt;0,1,0))</f>
        <v>0</v>
      </c>
      <c r="AB857" s="37" t="str">
        <f aca="false">IF($N857="","",IF(COUNTIF($N$8:$N857,$N857)=1,MAX($AB$7:$AB856)+1,""))</f>
        <v/>
      </c>
    </row>
    <row r="858" customFormat="false" ht="15" hidden="false" customHeight="false" outlineLevel="0" collapsed="false">
      <c r="L858" s="37" t="str">
        <f aca="false">IF(INDEX($A858:$J858,$L$6)&lt;&gt;"",TRIM(LEFT(INDEX($A858:$J858,$L$6),FIND("(",INDEX($A858:$J858,$L$6)&amp;"(")-1)),L857)</f>
        <v>Building Value Proposition</v>
      </c>
      <c r="M858" s="37" t="str">
        <f aca="false">IF(INDEX($A858:$J858,$M$6)="","",INDEX($A858:$J858,$M$6)&amp;"")</f>
        <v/>
      </c>
      <c r="N858" s="37" t="str">
        <f aca="false">IF($M858="","",TRIM(INDEX($A858:$J858,$N$6)&amp;""))</f>
        <v/>
      </c>
      <c r="O858" s="37" t="str">
        <f aca="false">IF($M858="","",TRIM(INDEX($A858:$J858,$O$6)&amp;""))</f>
        <v/>
      </c>
      <c r="P858" s="37" t="str">
        <f aca="false">IF($M858="","",IFERROR(IF(INDEX(Settings!$B$41:$B$50,MATCH(O858,Settings!$A$41:$A$50,0))&amp;""="","UNMAPPED",INDEX(Settings!$B$41:$B$50,MATCH(O858,Settings!$A$41:$A$50,0))&amp;""),"UNMAPPED"))</f>
        <v/>
      </c>
      <c r="Q858" s="38" t="n">
        <f aca="false">IF($M858="",0,N(INDEX($A858:$J858,$Q$6)))</f>
        <v>0</v>
      </c>
      <c r="R858" s="39" t="str">
        <f aca="false">IF($M858="","",INDEX($A858:$J858,$R$6))</f>
        <v/>
      </c>
      <c r="S858" s="37" t="str">
        <f aca="false">IF($M858="","",IFERROR(INDEX(Settings!$B$27:$B$36,MATCH(L858,Settings!$A$27:$A$36,0))&amp;"","UNMAPPED"))</f>
        <v/>
      </c>
      <c r="T858" s="37" t="str">
        <f aca="false">IF($M858="","",IF(NOT(ISNUMBER(R858)),"NO DATE",IF(S858="Won",IF(R858&gt;Settings!$B$5,"Backlog","Delivered"),IF(S858="Open",IF(R858&gt;Settings!$B$5,"Pipeline","Overdue"),IF(S858="Lost","Lost","UNMAPPED")))))</f>
        <v/>
      </c>
      <c r="U858" s="40" t="n">
        <f aca="false">IF(T858="Backlog",1,IF(OR(T858="Pipeline",T858="Overdue"),N(INDEX(Settings!$C$27:$C$36,MATCH(L858,Settings!$A$27:$A$36,0))),0))</f>
        <v>0</v>
      </c>
      <c r="V858" s="38" t="n">
        <f aca="false">Q858*U858</f>
        <v>0</v>
      </c>
      <c r="W858" s="41" t="str">
        <f aca="false">IF($M858="","",IF(T858="Overdue",IF(Settings!$B$8="Yes",Settings!$B$7,""),IF(ISNUMBER(R858),DATE(YEAR(R858),MONTH(R858),1),"")))</f>
        <v/>
      </c>
      <c r="X858" s="38" t="n">
        <f aca="false">IF(AND(OR(T858="Backlog",T858="Pipeline",T858="Overdue"),ISNUMBER(W858)),IF(W858&lt;=Settings!$B$6,V858,0),0)</f>
        <v>0</v>
      </c>
      <c r="Y858" s="38" t="n">
        <f aca="false">IF(AND(OR(T858="Backlog",T858="Pipeline",T858="Overdue"),ISNUMBER(W858)),IF(W858&lt;=Settings!$B$6,Q858,0),0)</f>
        <v>0</v>
      </c>
      <c r="Z858" s="38" t="n">
        <f aca="false">IF(Y858=0,0,IF(T858="Backlog",Q858,Q858*Dashboard!$C$10))</f>
        <v>0</v>
      </c>
      <c r="AA858" s="37" t="n">
        <f aca="false">IF($N858="",0,IF(COUNTIF(Dashboard!$C$13:$C$22,$N858)&gt;0,1,0))</f>
        <v>0</v>
      </c>
      <c r="AB858" s="37" t="str">
        <f aca="false">IF($N858="","",IF(COUNTIF($N$8:$N858,$N858)=1,MAX($AB$7:$AB857)+1,""))</f>
        <v/>
      </c>
    </row>
    <row r="859" customFormat="false" ht="15" hidden="false" customHeight="false" outlineLevel="0" collapsed="false">
      <c r="L859" s="37" t="str">
        <f aca="false">IF(INDEX($A859:$J859,$L$6)&lt;&gt;"",TRIM(LEFT(INDEX($A859:$J859,$L$6),FIND("(",INDEX($A859:$J859,$L$6)&amp;"(")-1)),L858)</f>
        <v>Building Value Proposition</v>
      </c>
      <c r="M859" s="37" t="str">
        <f aca="false">IF(INDEX($A859:$J859,$M$6)="","",INDEX($A859:$J859,$M$6)&amp;"")</f>
        <v/>
      </c>
      <c r="N859" s="37" t="str">
        <f aca="false">IF($M859="","",TRIM(INDEX($A859:$J859,$N$6)&amp;""))</f>
        <v/>
      </c>
      <c r="O859" s="37" t="str">
        <f aca="false">IF($M859="","",TRIM(INDEX($A859:$J859,$O$6)&amp;""))</f>
        <v/>
      </c>
      <c r="P859" s="37" t="str">
        <f aca="false">IF($M859="","",IFERROR(IF(INDEX(Settings!$B$41:$B$50,MATCH(O859,Settings!$A$41:$A$50,0))&amp;""="","UNMAPPED",INDEX(Settings!$B$41:$B$50,MATCH(O859,Settings!$A$41:$A$50,0))&amp;""),"UNMAPPED"))</f>
        <v/>
      </c>
      <c r="Q859" s="38" t="n">
        <f aca="false">IF($M859="",0,N(INDEX($A859:$J859,$Q$6)))</f>
        <v>0</v>
      </c>
      <c r="R859" s="39" t="str">
        <f aca="false">IF($M859="","",INDEX($A859:$J859,$R$6))</f>
        <v/>
      </c>
      <c r="S859" s="37" t="str">
        <f aca="false">IF($M859="","",IFERROR(INDEX(Settings!$B$27:$B$36,MATCH(L859,Settings!$A$27:$A$36,0))&amp;"","UNMAPPED"))</f>
        <v/>
      </c>
      <c r="T859" s="37" t="str">
        <f aca="false">IF($M859="","",IF(NOT(ISNUMBER(R859)),"NO DATE",IF(S859="Won",IF(R859&gt;Settings!$B$5,"Backlog","Delivered"),IF(S859="Open",IF(R859&gt;Settings!$B$5,"Pipeline","Overdue"),IF(S859="Lost","Lost","UNMAPPED")))))</f>
        <v/>
      </c>
      <c r="U859" s="40" t="n">
        <f aca="false">IF(T859="Backlog",1,IF(OR(T859="Pipeline",T859="Overdue"),N(INDEX(Settings!$C$27:$C$36,MATCH(L859,Settings!$A$27:$A$36,0))),0))</f>
        <v>0</v>
      </c>
      <c r="V859" s="38" t="n">
        <f aca="false">Q859*U859</f>
        <v>0</v>
      </c>
      <c r="W859" s="41" t="str">
        <f aca="false">IF($M859="","",IF(T859="Overdue",IF(Settings!$B$8="Yes",Settings!$B$7,""),IF(ISNUMBER(R859),DATE(YEAR(R859),MONTH(R859),1),"")))</f>
        <v/>
      </c>
      <c r="X859" s="38" t="n">
        <f aca="false">IF(AND(OR(T859="Backlog",T859="Pipeline",T859="Overdue"),ISNUMBER(W859)),IF(W859&lt;=Settings!$B$6,V859,0),0)</f>
        <v>0</v>
      </c>
      <c r="Y859" s="38" t="n">
        <f aca="false">IF(AND(OR(T859="Backlog",T859="Pipeline",T859="Overdue"),ISNUMBER(W859)),IF(W859&lt;=Settings!$B$6,Q859,0),0)</f>
        <v>0</v>
      </c>
      <c r="Z859" s="38" t="n">
        <f aca="false">IF(Y859=0,0,IF(T859="Backlog",Q859,Q859*Dashboard!$C$10))</f>
        <v>0</v>
      </c>
      <c r="AA859" s="37" t="n">
        <f aca="false">IF($N859="",0,IF(COUNTIF(Dashboard!$C$13:$C$22,$N859)&gt;0,1,0))</f>
        <v>0</v>
      </c>
      <c r="AB859" s="37" t="str">
        <f aca="false">IF($N859="","",IF(COUNTIF($N$8:$N859,$N859)=1,MAX($AB$7:$AB858)+1,""))</f>
        <v/>
      </c>
    </row>
    <row r="860" customFormat="false" ht="15" hidden="false" customHeight="false" outlineLevel="0" collapsed="false">
      <c r="L860" s="37" t="str">
        <f aca="false">IF(INDEX($A860:$J860,$L$6)&lt;&gt;"",TRIM(LEFT(INDEX($A860:$J860,$L$6),FIND("(",INDEX($A860:$J860,$L$6)&amp;"(")-1)),L859)</f>
        <v>Building Value Proposition</v>
      </c>
      <c r="M860" s="37" t="str">
        <f aca="false">IF(INDEX($A860:$J860,$M$6)="","",INDEX($A860:$J860,$M$6)&amp;"")</f>
        <v/>
      </c>
      <c r="N860" s="37" t="str">
        <f aca="false">IF($M860="","",TRIM(INDEX($A860:$J860,$N$6)&amp;""))</f>
        <v/>
      </c>
      <c r="O860" s="37" t="str">
        <f aca="false">IF($M860="","",TRIM(INDEX($A860:$J860,$O$6)&amp;""))</f>
        <v/>
      </c>
      <c r="P860" s="37" t="str">
        <f aca="false">IF($M860="","",IFERROR(IF(INDEX(Settings!$B$41:$B$50,MATCH(O860,Settings!$A$41:$A$50,0))&amp;""="","UNMAPPED",INDEX(Settings!$B$41:$B$50,MATCH(O860,Settings!$A$41:$A$50,0))&amp;""),"UNMAPPED"))</f>
        <v/>
      </c>
      <c r="Q860" s="38" t="n">
        <f aca="false">IF($M860="",0,N(INDEX($A860:$J860,$Q$6)))</f>
        <v>0</v>
      </c>
      <c r="R860" s="39" t="str">
        <f aca="false">IF($M860="","",INDEX($A860:$J860,$R$6))</f>
        <v/>
      </c>
      <c r="S860" s="37" t="str">
        <f aca="false">IF($M860="","",IFERROR(INDEX(Settings!$B$27:$B$36,MATCH(L860,Settings!$A$27:$A$36,0))&amp;"","UNMAPPED"))</f>
        <v/>
      </c>
      <c r="T860" s="37" t="str">
        <f aca="false">IF($M860="","",IF(NOT(ISNUMBER(R860)),"NO DATE",IF(S860="Won",IF(R860&gt;Settings!$B$5,"Backlog","Delivered"),IF(S860="Open",IF(R860&gt;Settings!$B$5,"Pipeline","Overdue"),IF(S860="Lost","Lost","UNMAPPED")))))</f>
        <v/>
      </c>
      <c r="U860" s="40" t="n">
        <f aca="false">IF(T860="Backlog",1,IF(OR(T860="Pipeline",T860="Overdue"),N(INDEX(Settings!$C$27:$C$36,MATCH(L860,Settings!$A$27:$A$36,0))),0))</f>
        <v>0</v>
      </c>
      <c r="V860" s="38" t="n">
        <f aca="false">Q860*U860</f>
        <v>0</v>
      </c>
      <c r="W860" s="41" t="str">
        <f aca="false">IF($M860="","",IF(T860="Overdue",IF(Settings!$B$8="Yes",Settings!$B$7,""),IF(ISNUMBER(R860),DATE(YEAR(R860),MONTH(R860),1),"")))</f>
        <v/>
      </c>
      <c r="X860" s="38" t="n">
        <f aca="false">IF(AND(OR(T860="Backlog",T860="Pipeline",T860="Overdue"),ISNUMBER(W860)),IF(W860&lt;=Settings!$B$6,V860,0),0)</f>
        <v>0</v>
      </c>
      <c r="Y860" s="38" t="n">
        <f aca="false">IF(AND(OR(T860="Backlog",T860="Pipeline",T860="Overdue"),ISNUMBER(W860)),IF(W860&lt;=Settings!$B$6,Q860,0),0)</f>
        <v>0</v>
      </c>
      <c r="Z860" s="38" t="n">
        <f aca="false">IF(Y860=0,0,IF(T860="Backlog",Q860,Q860*Dashboard!$C$10))</f>
        <v>0</v>
      </c>
      <c r="AA860" s="37" t="n">
        <f aca="false">IF($N860="",0,IF(COUNTIF(Dashboard!$C$13:$C$22,$N860)&gt;0,1,0))</f>
        <v>0</v>
      </c>
      <c r="AB860" s="37" t="str">
        <f aca="false">IF($N860="","",IF(COUNTIF($N$8:$N860,$N860)=1,MAX($AB$7:$AB859)+1,""))</f>
        <v/>
      </c>
    </row>
    <row r="861" customFormat="false" ht="15" hidden="false" customHeight="false" outlineLevel="0" collapsed="false">
      <c r="L861" s="37" t="str">
        <f aca="false">IF(INDEX($A861:$J861,$L$6)&lt;&gt;"",TRIM(LEFT(INDEX($A861:$J861,$L$6),FIND("(",INDEX($A861:$J861,$L$6)&amp;"(")-1)),L860)</f>
        <v>Building Value Proposition</v>
      </c>
      <c r="M861" s="37" t="str">
        <f aca="false">IF(INDEX($A861:$J861,$M$6)="","",INDEX($A861:$J861,$M$6)&amp;"")</f>
        <v/>
      </c>
      <c r="N861" s="37" t="str">
        <f aca="false">IF($M861="","",TRIM(INDEX($A861:$J861,$N$6)&amp;""))</f>
        <v/>
      </c>
      <c r="O861" s="37" t="str">
        <f aca="false">IF($M861="","",TRIM(INDEX($A861:$J861,$O$6)&amp;""))</f>
        <v/>
      </c>
      <c r="P861" s="37" t="str">
        <f aca="false">IF($M861="","",IFERROR(IF(INDEX(Settings!$B$41:$B$50,MATCH(O861,Settings!$A$41:$A$50,0))&amp;""="","UNMAPPED",INDEX(Settings!$B$41:$B$50,MATCH(O861,Settings!$A$41:$A$50,0))&amp;""),"UNMAPPED"))</f>
        <v/>
      </c>
      <c r="Q861" s="38" t="n">
        <f aca="false">IF($M861="",0,N(INDEX($A861:$J861,$Q$6)))</f>
        <v>0</v>
      </c>
      <c r="R861" s="39" t="str">
        <f aca="false">IF($M861="","",INDEX($A861:$J861,$R$6))</f>
        <v/>
      </c>
      <c r="S861" s="37" t="str">
        <f aca="false">IF($M861="","",IFERROR(INDEX(Settings!$B$27:$B$36,MATCH(L861,Settings!$A$27:$A$36,0))&amp;"","UNMAPPED"))</f>
        <v/>
      </c>
      <c r="T861" s="37" t="str">
        <f aca="false">IF($M861="","",IF(NOT(ISNUMBER(R861)),"NO DATE",IF(S861="Won",IF(R861&gt;Settings!$B$5,"Backlog","Delivered"),IF(S861="Open",IF(R861&gt;Settings!$B$5,"Pipeline","Overdue"),IF(S861="Lost","Lost","UNMAPPED")))))</f>
        <v/>
      </c>
      <c r="U861" s="40" t="n">
        <f aca="false">IF(T861="Backlog",1,IF(OR(T861="Pipeline",T861="Overdue"),N(INDEX(Settings!$C$27:$C$36,MATCH(L861,Settings!$A$27:$A$36,0))),0))</f>
        <v>0</v>
      </c>
      <c r="V861" s="38" t="n">
        <f aca="false">Q861*U861</f>
        <v>0</v>
      </c>
      <c r="W861" s="41" t="str">
        <f aca="false">IF($M861="","",IF(T861="Overdue",IF(Settings!$B$8="Yes",Settings!$B$7,""),IF(ISNUMBER(R861),DATE(YEAR(R861),MONTH(R861),1),"")))</f>
        <v/>
      </c>
      <c r="X861" s="38" t="n">
        <f aca="false">IF(AND(OR(T861="Backlog",T861="Pipeline",T861="Overdue"),ISNUMBER(W861)),IF(W861&lt;=Settings!$B$6,V861,0),0)</f>
        <v>0</v>
      </c>
      <c r="Y861" s="38" t="n">
        <f aca="false">IF(AND(OR(T861="Backlog",T861="Pipeline",T861="Overdue"),ISNUMBER(W861)),IF(W861&lt;=Settings!$B$6,Q861,0),0)</f>
        <v>0</v>
      </c>
      <c r="Z861" s="38" t="n">
        <f aca="false">IF(Y861=0,0,IF(T861="Backlog",Q861,Q861*Dashboard!$C$10))</f>
        <v>0</v>
      </c>
      <c r="AA861" s="37" t="n">
        <f aca="false">IF($N861="",0,IF(COUNTIF(Dashboard!$C$13:$C$22,$N861)&gt;0,1,0))</f>
        <v>0</v>
      </c>
      <c r="AB861" s="37" t="str">
        <f aca="false">IF($N861="","",IF(COUNTIF($N$8:$N861,$N861)=1,MAX($AB$7:$AB860)+1,""))</f>
        <v/>
      </c>
    </row>
    <row r="862" customFormat="false" ht="15" hidden="false" customHeight="false" outlineLevel="0" collapsed="false">
      <c r="L862" s="37" t="str">
        <f aca="false">IF(INDEX($A862:$J862,$L$6)&lt;&gt;"",TRIM(LEFT(INDEX($A862:$J862,$L$6),FIND("(",INDEX($A862:$J862,$L$6)&amp;"(")-1)),L861)</f>
        <v>Building Value Proposition</v>
      </c>
      <c r="M862" s="37" t="str">
        <f aca="false">IF(INDEX($A862:$J862,$M$6)="","",INDEX($A862:$J862,$M$6)&amp;"")</f>
        <v/>
      </c>
      <c r="N862" s="37" t="str">
        <f aca="false">IF($M862="","",TRIM(INDEX($A862:$J862,$N$6)&amp;""))</f>
        <v/>
      </c>
      <c r="O862" s="37" t="str">
        <f aca="false">IF($M862="","",TRIM(INDEX($A862:$J862,$O$6)&amp;""))</f>
        <v/>
      </c>
      <c r="P862" s="37" t="str">
        <f aca="false">IF($M862="","",IFERROR(IF(INDEX(Settings!$B$41:$B$50,MATCH(O862,Settings!$A$41:$A$50,0))&amp;""="","UNMAPPED",INDEX(Settings!$B$41:$B$50,MATCH(O862,Settings!$A$41:$A$50,0))&amp;""),"UNMAPPED"))</f>
        <v/>
      </c>
      <c r="Q862" s="38" t="n">
        <f aca="false">IF($M862="",0,N(INDEX($A862:$J862,$Q$6)))</f>
        <v>0</v>
      </c>
      <c r="R862" s="39" t="str">
        <f aca="false">IF($M862="","",INDEX($A862:$J862,$R$6))</f>
        <v/>
      </c>
      <c r="S862" s="37" t="str">
        <f aca="false">IF($M862="","",IFERROR(INDEX(Settings!$B$27:$B$36,MATCH(L862,Settings!$A$27:$A$36,0))&amp;"","UNMAPPED"))</f>
        <v/>
      </c>
      <c r="T862" s="37" t="str">
        <f aca="false">IF($M862="","",IF(NOT(ISNUMBER(R862)),"NO DATE",IF(S862="Won",IF(R862&gt;Settings!$B$5,"Backlog","Delivered"),IF(S862="Open",IF(R862&gt;Settings!$B$5,"Pipeline","Overdue"),IF(S862="Lost","Lost","UNMAPPED")))))</f>
        <v/>
      </c>
      <c r="U862" s="40" t="n">
        <f aca="false">IF(T862="Backlog",1,IF(OR(T862="Pipeline",T862="Overdue"),N(INDEX(Settings!$C$27:$C$36,MATCH(L862,Settings!$A$27:$A$36,0))),0))</f>
        <v>0</v>
      </c>
      <c r="V862" s="38" t="n">
        <f aca="false">Q862*U862</f>
        <v>0</v>
      </c>
      <c r="W862" s="41" t="str">
        <f aca="false">IF($M862="","",IF(T862="Overdue",IF(Settings!$B$8="Yes",Settings!$B$7,""),IF(ISNUMBER(R862),DATE(YEAR(R862),MONTH(R862),1),"")))</f>
        <v/>
      </c>
      <c r="X862" s="38" t="n">
        <f aca="false">IF(AND(OR(T862="Backlog",T862="Pipeline",T862="Overdue"),ISNUMBER(W862)),IF(W862&lt;=Settings!$B$6,V862,0),0)</f>
        <v>0</v>
      </c>
      <c r="Y862" s="38" t="n">
        <f aca="false">IF(AND(OR(T862="Backlog",T862="Pipeline",T862="Overdue"),ISNUMBER(W862)),IF(W862&lt;=Settings!$B$6,Q862,0),0)</f>
        <v>0</v>
      </c>
      <c r="Z862" s="38" t="n">
        <f aca="false">IF(Y862=0,0,IF(T862="Backlog",Q862,Q862*Dashboard!$C$10))</f>
        <v>0</v>
      </c>
      <c r="AA862" s="37" t="n">
        <f aca="false">IF($N862="",0,IF(COUNTIF(Dashboard!$C$13:$C$22,$N862)&gt;0,1,0))</f>
        <v>0</v>
      </c>
      <c r="AB862" s="37" t="str">
        <f aca="false">IF($N862="","",IF(COUNTIF($N$8:$N862,$N862)=1,MAX($AB$7:$AB861)+1,""))</f>
        <v/>
      </c>
    </row>
    <row r="863" customFormat="false" ht="15" hidden="false" customHeight="false" outlineLevel="0" collapsed="false">
      <c r="L863" s="37" t="str">
        <f aca="false">IF(INDEX($A863:$J863,$L$6)&lt;&gt;"",TRIM(LEFT(INDEX($A863:$J863,$L$6),FIND("(",INDEX($A863:$J863,$L$6)&amp;"(")-1)),L862)</f>
        <v>Building Value Proposition</v>
      </c>
      <c r="M863" s="37" t="str">
        <f aca="false">IF(INDEX($A863:$J863,$M$6)="","",INDEX($A863:$J863,$M$6)&amp;"")</f>
        <v/>
      </c>
      <c r="N863" s="37" t="str">
        <f aca="false">IF($M863="","",TRIM(INDEX($A863:$J863,$N$6)&amp;""))</f>
        <v/>
      </c>
      <c r="O863" s="37" t="str">
        <f aca="false">IF($M863="","",TRIM(INDEX($A863:$J863,$O$6)&amp;""))</f>
        <v/>
      </c>
      <c r="P863" s="37" t="str">
        <f aca="false">IF($M863="","",IFERROR(IF(INDEX(Settings!$B$41:$B$50,MATCH(O863,Settings!$A$41:$A$50,0))&amp;""="","UNMAPPED",INDEX(Settings!$B$41:$B$50,MATCH(O863,Settings!$A$41:$A$50,0))&amp;""),"UNMAPPED"))</f>
        <v/>
      </c>
      <c r="Q863" s="38" t="n">
        <f aca="false">IF($M863="",0,N(INDEX($A863:$J863,$Q$6)))</f>
        <v>0</v>
      </c>
      <c r="R863" s="39" t="str">
        <f aca="false">IF($M863="","",INDEX($A863:$J863,$R$6))</f>
        <v/>
      </c>
      <c r="S863" s="37" t="str">
        <f aca="false">IF($M863="","",IFERROR(INDEX(Settings!$B$27:$B$36,MATCH(L863,Settings!$A$27:$A$36,0))&amp;"","UNMAPPED"))</f>
        <v/>
      </c>
      <c r="T863" s="37" t="str">
        <f aca="false">IF($M863="","",IF(NOT(ISNUMBER(R863)),"NO DATE",IF(S863="Won",IF(R863&gt;Settings!$B$5,"Backlog","Delivered"),IF(S863="Open",IF(R863&gt;Settings!$B$5,"Pipeline","Overdue"),IF(S863="Lost","Lost","UNMAPPED")))))</f>
        <v/>
      </c>
      <c r="U863" s="40" t="n">
        <f aca="false">IF(T863="Backlog",1,IF(OR(T863="Pipeline",T863="Overdue"),N(INDEX(Settings!$C$27:$C$36,MATCH(L863,Settings!$A$27:$A$36,0))),0))</f>
        <v>0</v>
      </c>
      <c r="V863" s="38" t="n">
        <f aca="false">Q863*U863</f>
        <v>0</v>
      </c>
      <c r="W863" s="41" t="str">
        <f aca="false">IF($M863="","",IF(T863="Overdue",IF(Settings!$B$8="Yes",Settings!$B$7,""),IF(ISNUMBER(R863),DATE(YEAR(R863),MONTH(R863),1),"")))</f>
        <v/>
      </c>
      <c r="X863" s="38" t="n">
        <f aca="false">IF(AND(OR(T863="Backlog",T863="Pipeline",T863="Overdue"),ISNUMBER(W863)),IF(W863&lt;=Settings!$B$6,V863,0),0)</f>
        <v>0</v>
      </c>
      <c r="Y863" s="38" t="n">
        <f aca="false">IF(AND(OR(T863="Backlog",T863="Pipeline",T863="Overdue"),ISNUMBER(W863)),IF(W863&lt;=Settings!$B$6,Q863,0),0)</f>
        <v>0</v>
      </c>
      <c r="Z863" s="38" t="n">
        <f aca="false">IF(Y863=0,0,IF(T863="Backlog",Q863,Q863*Dashboard!$C$10))</f>
        <v>0</v>
      </c>
      <c r="AA863" s="37" t="n">
        <f aca="false">IF($N863="",0,IF(COUNTIF(Dashboard!$C$13:$C$22,$N863)&gt;0,1,0))</f>
        <v>0</v>
      </c>
      <c r="AB863" s="37" t="str">
        <f aca="false">IF($N863="","",IF(COUNTIF($N$8:$N863,$N863)=1,MAX($AB$7:$AB862)+1,""))</f>
        <v/>
      </c>
    </row>
    <row r="864" customFormat="false" ht="15" hidden="false" customHeight="false" outlineLevel="0" collapsed="false">
      <c r="L864" s="37" t="str">
        <f aca="false">IF(INDEX($A864:$J864,$L$6)&lt;&gt;"",TRIM(LEFT(INDEX($A864:$J864,$L$6),FIND("(",INDEX($A864:$J864,$L$6)&amp;"(")-1)),L863)</f>
        <v>Building Value Proposition</v>
      </c>
      <c r="M864" s="37" t="str">
        <f aca="false">IF(INDEX($A864:$J864,$M$6)="","",INDEX($A864:$J864,$M$6)&amp;"")</f>
        <v/>
      </c>
      <c r="N864" s="37" t="str">
        <f aca="false">IF($M864="","",TRIM(INDEX($A864:$J864,$N$6)&amp;""))</f>
        <v/>
      </c>
      <c r="O864" s="37" t="str">
        <f aca="false">IF($M864="","",TRIM(INDEX($A864:$J864,$O$6)&amp;""))</f>
        <v/>
      </c>
      <c r="P864" s="37" t="str">
        <f aca="false">IF($M864="","",IFERROR(IF(INDEX(Settings!$B$41:$B$50,MATCH(O864,Settings!$A$41:$A$50,0))&amp;""="","UNMAPPED",INDEX(Settings!$B$41:$B$50,MATCH(O864,Settings!$A$41:$A$50,0))&amp;""),"UNMAPPED"))</f>
        <v/>
      </c>
      <c r="Q864" s="38" t="n">
        <f aca="false">IF($M864="",0,N(INDEX($A864:$J864,$Q$6)))</f>
        <v>0</v>
      </c>
      <c r="R864" s="39" t="str">
        <f aca="false">IF($M864="","",INDEX($A864:$J864,$R$6))</f>
        <v/>
      </c>
      <c r="S864" s="37" t="str">
        <f aca="false">IF($M864="","",IFERROR(INDEX(Settings!$B$27:$B$36,MATCH(L864,Settings!$A$27:$A$36,0))&amp;"","UNMAPPED"))</f>
        <v/>
      </c>
      <c r="T864" s="37" t="str">
        <f aca="false">IF($M864="","",IF(NOT(ISNUMBER(R864)),"NO DATE",IF(S864="Won",IF(R864&gt;Settings!$B$5,"Backlog","Delivered"),IF(S864="Open",IF(R864&gt;Settings!$B$5,"Pipeline","Overdue"),IF(S864="Lost","Lost","UNMAPPED")))))</f>
        <v/>
      </c>
      <c r="U864" s="40" t="n">
        <f aca="false">IF(T864="Backlog",1,IF(OR(T864="Pipeline",T864="Overdue"),N(INDEX(Settings!$C$27:$C$36,MATCH(L864,Settings!$A$27:$A$36,0))),0))</f>
        <v>0</v>
      </c>
      <c r="V864" s="38" t="n">
        <f aca="false">Q864*U864</f>
        <v>0</v>
      </c>
      <c r="W864" s="41" t="str">
        <f aca="false">IF($M864="","",IF(T864="Overdue",IF(Settings!$B$8="Yes",Settings!$B$7,""),IF(ISNUMBER(R864),DATE(YEAR(R864),MONTH(R864),1),"")))</f>
        <v/>
      </c>
      <c r="X864" s="38" t="n">
        <f aca="false">IF(AND(OR(T864="Backlog",T864="Pipeline",T864="Overdue"),ISNUMBER(W864)),IF(W864&lt;=Settings!$B$6,V864,0),0)</f>
        <v>0</v>
      </c>
      <c r="Y864" s="38" t="n">
        <f aca="false">IF(AND(OR(T864="Backlog",T864="Pipeline",T864="Overdue"),ISNUMBER(W864)),IF(W864&lt;=Settings!$B$6,Q864,0),0)</f>
        <v>0</v>
      </c>
      <c r="Z864" s="38" t="n">
        <f aca="false">IF(Y864=0,0,IF(T864="Backlog",Q864,Q864*Dashboard!$C$10))</f>
        <v>0</v>
      </c>
      <c r="AA864" s="37" t="n">
        <f aca="false">IF($N864="",0,IF(COUNTIF(Dashboard!$C$13:$C$22,$N864)&gt;0,1,0))</f>
        <v>0</v>
      </c>
      <c r="AB864" s="37" t="str">
        <f aca="false">IF($N864="","",IF(COUNTIF($N$8:$N864,$N864)=1,MAX($AB$7:$AB863)+1,""))</f>
        <v/>
      </c>
    </row>
    <row r="865" customFormat="false" ht="15" hidden="false" customHeight="false" outlineLevel="0" collapsed="false">
      <c r="L865" s="37" t="str">
        <f aca="false">IF(INDEX($A865:$J865,$L$6)&lt;&gt;"",TRIM(LEFT(INDEX($A865:$J865,$L$6),FIND("(",INDEX($A865:$J865,$L$6)&amp;"(")-1)),L864)</f>
        <v>Building Value Proposition</v>
      </c>
      <c r="M865" s="37" t="str">
        <f aca="false">IF(INDEX($A865:$J865,$M$6)="","",INDEX($A865:$J865,$M$6)&amp;"")</f>
        <v/>
      </c>
      <c r="N865" s="37" t="str">
        <f aca="false">IF($M865="","",TRIM(INDEX($A865:$J865,$N$6)&amp;""))</f>
        <v/>
      </c>
      <c r="O865" s="37" t="str">
        <f aca="false">IF($M865="","",TRIM(INDEX($A865:$J865,$O$6)&amp;""))</f>
        <v/>
      </c>
      <c r="P865" s="37" t="str">
        <f aca="false">IF($M865="","",IFERROR(IF(INDEX(Settings!$B$41:$B$50,MATCH(O865,Settings!$A$41:$A$50,0))&amp;""="","UNMAPPED",INDEX(Settings!$B$41:$B$50,MATCH(O865,Settings!$A$41:$A$50,0))&amp;""),"UNMAPPED"))</f>
        <v/>
      </c>
      <c r="Q865" s="38" t="n">
        <f aca="false">IF($M865="",0,N(INDEX($A865:$J865,$Q$6)))</f>
        <v>0</v>
      </c>
      <c r="R865" s="39" t="str">
        <f aca="false">IF($M865="","",INDEX($A865:$J865,$R$6))</f>
        <v/>
      </c>
      <c r="S865" s="37" t="str">
        <f aca="false">IF($M865="","",IFERROR(INDEX(Settings!$B$27:$B$36,MATCH(L865,Settings!$A$27:$A$36,0))&amp;"","UNMAPPED"))</f>
        <v/>
      </c>
      <c r="T865" s="37" t="str">
        <f aca="false">IF($M865="","",IF(NOT(ISNUMBER(R865)),"NO DATE",IF(S865="Won",IF(R865&gt;Settings!$B$5,"Backlog","Delivered"),IF(S865="Open",IF(R865&gt;Settings!$B$5,"Pipeline","Overdue"),IF(S865="Lost","Lost","UNMAPPED")))))</f>
        <v/>
      </c>
      <c r="U865" s="40" t="n">
        <f aca="false">IF(T865="Backlog",1,IF(OR(T865="Pipeline",T865="Overdue"),N(INDEX(Settings!$C$27:$C$36,MATCH(L865,Settings!$A$27:$A$36,0))),0))</f>
        <v>0</v>
      </c>
      <c r="V865" s="38" t="n">
        <f aca="false">Q865*U865</f>
        <v>0</v>
      </c>
      <c r="W865" s="41" t="str">
        <f aca="false">IF($M865="","",IF(T865="Overdue",IF(Settings!$B$8="Yes",Settings!$B$7,""),IF(ISNUMBER(R865),DATE(YEAR(R865),MONTH(R865),1),"")))</f>
        <v/>
      </c>
      <c r="X865" s="38" t="n">
        <f aca="false">IF(AND(OR(T865="Backlog",T865="Pipeline",T865="Overdue"),ISNUMBER(W865)),IF(W865&lt;=Settings!$B$6,V865,0),0)</f>
        <v>0</v>
      </c>
      <c r="Y865" s="38" t="n">
        <f aca="false">IF(AND(OR(T865="Backlog",T865="Pipeline",T865="Overdue"),ISNUMBER(W865)),IF(W865&lt;=Settings!$B$6,Q865,0),0)</f>
        <v>0</v>
      </c>
      <c r="Z865" s="38" t="n">
        <f aca="false">IF(Y865=0,0,IF(T865="Backlog",Q865,Q865*Dashboard!$C$10))</f>
        <v>0</v>
      </c>
      <c r="AA865" s="37" t="n">
        <f aca="false">IF($N865="",0,IF(COUNTIF(Dashboard!$C$13:$C$22,$N865)&gt;0,1,0))</f>
        <v>0</v>
      </c>
      <c r="AB865" s="37" t="str">
        <f aca="false">IF($N865="","",IF(COUNTIF($N$8:$N865,$N865)=1,MAX($AB$7:$AB864)+1,""))</f>
        <v/>
      </c>
    </row>
    <row r="866" customFormat="false" ht="15" hidden="false" customHeight="false" outlineLevel="0" collapsed="false">
      <c r="L866" s="37" t="str">
        <f aca="false">IF(INDEX($A866:$J866,$L$6)&lt;&gt;"",TRIM(LEFT(INDEX($A866:$J866,$L$6),FIND("(",INDEX($A866:$J866,$L$6)&amp;"(")-1)),L865)</f>
        <v>Building Value Proposition</v>
      </c>
      <c r="M866" s="37" t="str">
        <f aca="false">IF(INDEX($A866:$J866,$M$6)="","",INDEX($A866:$J866,$M$6)&amp;"")</f>
        <v/>
      </c>
      <c r="N866" s="37" t="str">
        <f aca="false">IF($M866="","",TRIM(INDEX($A866:$J866,$N$6)&amp;""))</f>
        <v/>
      </c>
      <c r="O866" s="37" t="str">
        <f aca="false">IF($M866="","",TRIM(INDEX($A866:$J866,$O$6)&amp;""))</f>
        <v/>
      </c>
      <c r="P866" s="37" t="str">
        <f aca="false">IF($M866="","",IFERROR(IF(INDEX(Settings!$B$41:$B$50,MATCH(O866,Settings!$A$41:$A$50,0))&amp;""="","UNMAPPED",INDEX(Settings!$B$41:$B$50,MATCH(O866,Settings!$A$41:$A$50,0))&amp;""),"UNMAPPED"))</f>
        <v/>
      </c>
      <c r="Q866" s="38" t="n">
        <f aca="false">IF($M866="",0,N(INDEX($A866:$J866,$Q$6)))</f>
        <v>0</v>
      </c>
      <c r="R866" s="39" t="str">
        <f aca="false">IF($M866="","",INDEX($A866:$J866,$R$6))</f>
        <v/>
      </c>
      <c r="S866" s="37" t="str">
        <f aca="false">IF($M866="","",IFERROR(INDEX(Settings!$B$27:$B$36,MATCH(L866,Settings!$A$27:$A$36,0))&amp;"","UNMAPPED"))</f>
        <v/>
      </c>
      <c r="T866" s="37" t="str">
        <f aca="false">IF($M866="","",IF(NOT(ISNUMBER(R866)),"NO DATE",IF(S866="Won",IF(R866&gt;Settings!$B$5,"Backlog","Delivered"),IF(S866="Open",IF(R866&gt;Settings!$B$5,"Pipeline","Overdue"),IF(S866="Lost","Lost","UNMAPPED")))))</f>
        <v/>
      </c>
      <c r="U866" s="40" t="n">
        <f aca="false">IF(T866="Backlog",1,IF(OR(T866="Pipeline",T866="Overdue"),N(INDEX(Settings!$C$27:$C$36,MATCH(L866,Settings!$A$27:$A$36,0))),0))</f>
        <v>0</v>
      </c>
      <c r="V866" s="38" t="n">
        <f aca="false">Q866*U866</f>
        <v>0</v>
      </c>
      <c r="W866" s="41" t="str">
        <f aca="false">IF($M866="","",IF(T866="Overdue",IF(Settings!$B$8="Yes",Settings!$B$7,""),IF(ISNUMBER(R866),DATE(YEAR(R866),MONTH(R866),1),"")))</f>
        <v/>
      </c>
      <c r="X866" s="38" t="n">
        <f aca="false">IF(AND(OR(T866="Backlog",T866="Pipeline",T866="Overdue"),ISNUMBER(W866)),IF(W866&lt;=Settings!$B$6,V866,0),0)</f>
        <v>0</v>
      </c>
      <c r="Y866" s="38" t="n">
        <f aca="false">IF(AND(OR(T866="Backlog",T866="Pipeline",T866="Overdue"),ISNUMBER(W866)),IF(W866&lt;=Settings!$B$6,Q866,0),0)</f>
        <v>0</v>
      </c>
      <c r="Z866" s="38" t="n">
        <f aca="false">IF(Y866=0,0,IF(T866="Backlog",Q866,Q866*Dashboard!$C$10))</f>
        <v>0</v>
      </c>
      <c r="AA866" s="37" t="n">
        <f aca="false">IF($N866="",0,IF(COUNTIF(Dashboard!$C$13:$C$22,$N866)&gt;0,1,0))</f>
        <v>0</v>
      </c>
      <c r="AB866" s="37" t="str">
        <f aca="false">IF($N866="","",IF(COUNTIF($N$8:$N866,$N866)=1,MAX($AB$7:$AB865)+1,""))</f>
        <v/>
      </c>
    </row>
    <row r="867" customFormat="false" ht="15" hidden="false" customHeight="false" outlineLevel="0" collapsed="false">
      <c r="L867" s="37" t="str">
        <f aca="false">IF(INDEX($A867:$J867,$L$6)&lt;&gt;"",TRIM(LEFT(INDEX($A867:$J867,$L$6),FIND("(",INDEX($A867:$J867,$L$6)&amp;"(")-1)),L866)</f>
        <v>Building Value Proposition</v>
      </c>
      <c r="M867" s="37" t="str">
        <f aca="false">IF(INDEX($A867:$J867,$M$6)="","",INDEX($A867:$J867,$M$6)&amp;"")</f>
        <v/>
      </c>
      <c r="N867" s="37" t="str">
        <f aca="false">IF($M867="","",TRIM(INDEX($A867:$J867,$N$6)&amp;""))</f>
        <v/>
      </c>
      <c r="O867" s="37" t="str">
        <f aca="false">IF($M867="","",TRIM(INDEX($A867:$J867,$O$6)&amp;""))</f>
        <v/>
      </c>
      <c r="P867" s="37" t="str">
        <f aca="false">IF($M867="","",IFERROR(IF(INDEX(Settings!$B$41:$B$50,MATCH(O867,Settings!$A$41:$A$50,0))&amp;""="","UNMAPPED",INDEX(Settings!$B$41:$B$50,MATCH(O867,Settings!$A$41:$A$50,0))&amp;""),"UNMAPPED"))</f>
        <v/>
      </c>
      <c r="Q867" s="38" t="n">
        <f aca="false">IF($M867="",0,N(INDEX($A867:$J867,$Q$6)))</f>
        <v>0</v>
      </c>
      <c r="R867" s="39" t="str">
        <f aca="false">IF($M867="","",INDEX($A867:$J867,$R$6))</f>
        <v/>
      </c>
      <c r="S867" s="37" t="str">
        <f aca="false">IF($M867="","",IFERROR(INDEX(Settings!$B$27:$B$36,MATCH(L867,Settings!$A$27:$A$36,0))&amp;"","UNMAPPED"))</f>
        <v/>
      </c>
      <c r="T867" s="37" t="str">
        <f aca="false">IF($M867="","",IF(NOT(ISNUMBER(R867)),"NO DATE",IF(S867="Won",IF(R867&gt;Settings!$B$5,"Backlog","Delivered"),IF(S867="Open",IF(R867&gt;Settings!$B$5,"Pipeline","Overdue"),IF(S867="Lost","Lost","UNMAPPED")))))</f>
        <v/>
      </c>
      <c r="U867" s="40" t="n">
        <f aca="false">IF(T867="Backlog",1,IF(OR(T867="Pipeline",T867="Overdue"),N(INDEX(Settings!$C$27:$C$36,MATCH(L867,Settings!$A$27:$A$36,0))),0))</f>
        <v>0</v>
      </c>
      <c r="V867" s="38" t="n">
        <f aca="false">Q867*U867</f>
        <v>0</v>
      </c>
      <c r="W867" s="41" t="str">
        <f aca="false">IF($M867="","",IF(T867="Overdue",IF(Settings!$B$8="Yes",Settings!$B$7,""),IF(ISNUMBER(R867),DATE(YEAR(R867),MONTH(R867),1),"")))</f>
        <v/>
      </c>
      <c r="X867" s="38" t="n">
        <f aca="false">IF(AND(OR(T867="Backlog",T867="Pipeline",T867="Overdue"),ISNUMBER(W867)),IF(W867&lt;=Settings!$B$6,V867,0),0)</f>
        <v>0</v>
      </c>
      <c r="Y867" s="38" t="n">
        <f aca="false">IF(AND(OR(T867="Backlog",T867="Pipeline",T867="Overdue"),ISNUMBER(W867)),IF(W867&lt;=Settings!$B$6,Q867,0),0)</f>
        <v>0</v>
      </c>
      <c r="Z867" s="38" t="n">
        <f aca="false">IF(Y867=0,0,IF(T867="Backlog",Q867,Q867*Dashboard!$C$10))</f>
        <v>0</v>
      </c>
      <c r="AA867" s="37" t="n">
        <f aca="false">IF($N867="",0,IF(COUNTIF(Dashboard!$C$13:$C$22,$N867)&gt;0,1,0))</f>
        <v>0</v>
      </c>
      <c r="AB867" s="37" t="str">
        <f aca="false">IF($N867="","",IF(COUNTIF($N$8:$N867,$N867)=1,MAX($AB$7:$AB866)+1,""))</f>
        <v/>
      </c>
    </row>
    <row r="868" customFormat="false" ht="15" hidden="false" customHeight="false" outlineLevel="0" collapsed="false">
      <c r="L868" s="37" t="str">
        <f aca="false">IF(INDEX($A868:$J868,$L$6)&lt;&gt;"",TRIM(LEFT(INDEX($A868:$J868,$L$6),FIND("(",INDEX($A868:$J868,$L$6)&amp;"(")-1)),L867)</f>
        <v>Building Value Proposition</v>
      </c>
      <c r="M868" s="37" t="str">
        <f aca="false">IF(INDEX($A868:$J868,$M$6)="","",INDEX($A868:$J868,$M$6)&amp;"")</f>
        <v/>
      </c>
      <c r="N868" s="37" t="str">
        <f aca="false">IF($M868="","",TRIM(INDEX($A868:$J868,$N$6)&amp;""))</f>
        <v/>
      </c>
      <c r="O868" s="37" t="str">
        <f aca="false">IF($M868="","",TRIM(INDEX($A868:$J868,$O$6)&amp;""))</f>
        <v/>
      </c>
      <c r="P868" s="37" t="str">
        <f aca="false">IF($M868="","",IFERROR(IF(INDEX(Settings!$B$41:$B$50,MATCH(O868,Settings!$A$41:$A$50,0))&amp;""="","UNMAPPED",INDEX(Settings!$B$41:$B$50,MATCH(O868,Settings!$A$41:$A$50,0))&amp;""),"UNMAPPED"))</f>
        <v/>
      </c>
      <c r="Q868" s="38" t="n">
        <f aca="false">IF($M868="",0,N(INDEX($A868:$J868,$Q$6)))</f>
        <v>0</v>
      </c>
      <c r="R868" s="39" t="str">
        <f aca="false">IF($M868="","",INDEX($A868:$J868,$R$6))</f>
        <v/>
      </c>
      <c r="S868" s="37" t="str">
        <f aca="false">IF($M868="","",IFERROR(INDEX(Settings!$B$27:$B$36,MATCH(L868,Settings!$A$27:$A$36,0))&amp;"","UNMAPPED"))</f>
        <v/>
      </c>
      <c r="T868" s="37" t="str">
        <f aca="false">IF($M868="","",IF(NOT(ISNUMBER(R868)),"NO DATE",IF(S868="Won",IF(R868&gt;Settings!$B$5,"Backlog","Delivered"),IF(S868="Open",IF(R868&gt;Settings!$B$5,"Pipeline","Overdue"),IF(S868="Lost","Lost","UNMAPPED")))))</f>
        <v/>
      </c>
      <c r="U868" s="40" t="n">
        <f aca="false">IF(T868="Backlog",1,IF(OR(T868="Pipeline",T868="Overdue"),N(INDEX(Settings!$C$27:$C$36,MATCH(L868,Settings!$A$27:$A$36,0))),0))</f>
        <v>0</v>
      </c>
      <c r="V868" s="38" t="n">
        <f aca="false">Q868*U868</f>
        <v>0</v>
      </c>
      <c r="W868" s="41" t="str">
        <f aca="false">IF($M868="","",IF(T868="Overdue",IF(Settings!$B$8="Yes",Settings!$B$7,""),IF(ISNUMBER(R868),DATE(YEAR(R868),MONTH(R868),1),"")))</f>
        <v/>
      </c>
      <c r="X868" s="38" t="n">
        <f aca="false">IF(AND(OR(T868="Backlog",T868="Pipeline",T868="Overdue"),ISNUMBER(W868)),IF(W868&lt;=Settings!$B$6,V868,0),0)</f>
        <v>0</v>
      </c>
      <c r="Y868" s="38" t="n">
        <f aca="false">IF(AND(OR(T868="Backlog",T868="Pipeline",T868="Overdue"),ISNUMBER(W868)),IF(W868&lt;=Settings!$B$6,Q868,0),0)</f>
        <v>0</v>
      </c>
      <c r="Z868" s="38" t="n">
        <f aca="false">IF(Y868=0,0,IF(T868="Backlog",Q868,Q868*Dashboard!$C$10))</f>
        <v>0</v>
      </c>
      <c r="AA868" s="37" t="n">
        <f aca="false">IF($N868="",0,IF(COUNTIF(Dashboard!$C$13:$C$22,$N868)&gt;0,1,0))</f>
        <v>0</v>
      </c>
      <c r="AB868" s="37" t="str">
        <f aca="false">IF($N868="","",IF(COUNTIF($N$8:$N868,$N868)=1,MAX($AB$7:$AB867)+1,""))</f>
        <v/>
      </c>
    </row>
    <row r="869" customFormat="false" ht="15" hidden="false" customHeight="false" outlineLevel="0" collapsed="false">
      <c r="L869" s="37" t="str">
        <f aca="false">IF(INDEX($A869:$J869,$L$6)&lt;&gt;"",TRIM(LEFT(INDEX($A869:$J869,$L$6),FIND("(",INDEX($A869:$J869,$L$6)&amp;"(")-1)),L868)</f>
        <v>Building Value Proposition</v>
      </c>
      <c r="M869" s="37" t="str">
        <f aca="false">IF(INDEX($A869:$J869,$M$6)="","",INDEX($A869:$J869,$M$6)&amp;"")</f>
        <v/>
      </c>
      <c r="N869" s="37" t="str">
        <f aca="false">IF($M869="","",TRIM(INDEX($A869:$J869,$N$6)&amp;""))</f>
        <v/>
      </c>
      <c r="O869" s="37" t="str">
        <f aca="false">IF($M869="","",TRIM(INDEX($A869:$J869,$O$6)&amp;""))</f>
        <v/>
      </c>
      <c r="P869" s="37" t="str">
        <f aca="false">IF($M869="","",IFERROR(IF(INDEX(Settings!$B$41:$B$50,MATCH(O869,Settings!$A$41:$A$50,0))&amp;""="","UNMAPPED",INDEX(Settings!$B$41:$B$50,MATCH(O869,Settings!$A$41:$A$50,0))&amp;""),"UNMAPPED"))</f>
        <v/>
      </c>
      <c r="Q869" s="38" t="n">
        <f aca="false">IF($M869="",0,N(INDEX($A869:$J869,$Q$6)))</f>
        <v>0</v>
      </c>
      <c r="R869" s="39" t="str">
        <f aca="false">IF($M869="","",INDEX($A869:$J869,$R$6))</f>
        <v/>
      </c>
      <c r="S869" s="37" t="str">
        <f aca="false">IF($M869="","",IFERROR(INDEX(Settings!$B$27:$B$36,MATCH(L869,Settings!$A$27:$A$36,0))&amp;"","UNMAPPED"))</f>
        <v/>
      </c>
      <c r="T869" s="37" t="str">
        <f aca="false">IF($M869="","",IF(NOT(ISNUMBER(R869)),"NO DATE",IF(S869="Won",IF(R869&gt;Settings!$B$5,"Backlog","Delivered"),IF(S869="Open",IF(R869&gt;Settings!$B$5,"Pipeline","Overdue"),IF(S869="Lost","Lost","UNMAPPED")))))</f>
        <v/>
      </c>
      <c r="U869" s="40" t="n">
        <f aca="false">IF(T869="Backlog",1,IF(OR(T869="Pipeline",T869="Overdue"),N(INDEX(Settings!$C$27:$C$36,MATCH(L869,Settings!$A$27:$A$36,0))),0))</f>
        <v>0</v>
      </c>
      <c r="V869" s="38" t="n">
        <f aca="false">Q869*U869</f>
        <v>0</v>
      </c>
      <c r="W869" s="41" t="str">
        <f aca="false">IF($M869="","",IF(T869="Overdue",IF(Settings!$B$8="Yes",Settings!$B$7,""),IF(ISNUMBER(R869),DATE(YEAR(R869),MONTH(R869),1),"")))</f>
        <v/>
      </c>
      <c r="X869" s="38" t="n">
        <f aca="false">IF(AND(OR(T869="Backlog",T869="Pipeline",T869="Overdue"),ISNUMBER(W869)),IF(W869&lt;=Settings!$B$6,V869,0),0)</f>
        <v>0</v>
      </c>
      <c r="Y869" s="38" t="n">
        <f aca="false">IF(AND(OR(T869="Backlog",T869="Pipeline",T869="Overdue"),ISNUMBER(W869)),IF(W869&lt;=Settings!$B$6,Q869,0),0)</f>
        <v>0</v>
      </c>
      <c r="Z869" s="38" t="n">
        <f aca="false">IF(Y869=0,0,IF(T869="Backlog",Q869,Q869*Dashboard!$C$10))</f>
        <v>0</v>
      </c>
      <c r="AA869" s="37" t="n">
        <f aca="false">IF($N869="",0,IF(COUNTIF(Dashboard!$C$13:$C$22,$N869)&gt;0,1,0))</f>
        <v>0</v>
      </c>
      <c r="AB869" s="37" t="str">
        <f aca="false">IF($N869="","",IF(COUNTIF($N$8:$N869,$N869)=1,MAX($AB$7:$AB868)+1,""))</f>
        <v/>
      </c>
    </row>
    <row r="870" customFormat="false" ht="15" hidden="false" customHeight="false" outlineLevel="0" collapsed="false">
      <c r="L870" s="37" t="str">
        <f aca="false">IF(INDEX($A870:$J870,$L$6)&lt;&gt;"",TRIM(LEFT(INDEX($A870:$J870,$L$6),FIND("(",INDEX($A870:$J870,$L$6)&amp;"(")-1)),L869)</f>
        <v>Building Value Proposition</v>
      </c>
      <c r="M870" s="37" t="str">
        <f aca="false">IF(INDEX($A870:$J870,$M$6)="","",INDEX($A870:$J870,$M$6)&amp;"")</f>
        <v/>
      </c>
      <c r="N870" s="37" t="str">
        <f aca="false">IF($M870="","",TRIM(INDEX($A870:$J870,$N$6)&amp;""))</f>
        <v/>
      </c>
      <c r="O870" s="37" t="str">
        <f aca="false">IF($M870="","",TRIM(INDEX($A870:$J870,$O$6)&amp;""))</f>
        <v/>
      </c>
      <c r="P870" s="37" t="str">
        <f aca="false">IF($M870="","",IFERROR(IF(INDEX(Settings!$B$41:$B$50,MATCH(O870,Settings!$A$41:$A$50,0))&amp;""="","UNMAPPED",INDEX(Settings!$B$41:$B$50,MATCH(O870,Settings!$A$41:$A$50,0))&amp;""),"UNMAPPED"))</f>
        <v/>
      </c>
      <c r="Q870" s="38" t="n">
        <f aca="false">IF($M870="",0,N(INDEX($A870:$J870,$Q$6)))</f>
        <v>0</v>
      </c>
      <c r="R870" s="39" t="str">
        <f aca="false">IF($M870="","",INDEX($A870:$J870,$R$6))</f>
        <v/>
      </c>
      <c r="S870" s="37" t="str">
        <f aca="false">IF($M870="","",IFERROR(INDEX(Settings!$B$27:$B$36,MATCH(L870,Settings!$A$27:$A$36,0))&amp;"","UNMAPPED"))</f>
        <v/>
      </c>
      <c r="T870" s="37" t="str">
        <f aca="false">IF($M870="","",IF(NOT(ISNUMBER(R870)),"NO DATE",IF(S870="Won",IF(R870&gt;Settings!$B$5,"Backlog","Delivered"),IF(S870="Open",IF(R870&gt;Settings!$B$5,"Pipeline","Overdue"),IF(S870="Lost","Lost","UNMAPPED")))))</f>
        <v/>
      </c>
      <c r="U870" s="40" t="n">
        <f aca="false">IF(T870="Backlog",1,IF(OR(T870="Pipeline",T870="Overdue"),N(INDEX(Settings!$C$27:$C$36,MATCH(L870,Settings!$A$27:$A$36,0))),0))</f>
        <v>0</v>
      </c>
      <c r="V870" s="38" t="n">
        <f aca="false">Q870*U870</f>
        <v>0</v>
      </c>
      <c r="W870" s="41" t="str">
        <f aca="false">IF($M870="","",IF(T870="Overdue",IF(Settings!$B$8="Yes",Settings!$B$7,""),IF(ISNUMBER(R870),DATE(YEAR(R870),MONTH(R870),1),"")))</f>
        <v/>
      </c>
      <c r="X870" s="38" t="n">
        <f aca="false">IF(AND(OR(T870="Backlog",T870="Pipeline",T870="Overdue"),ISNUMBER(W870)),IF(W870&lt;=Settings!$B$6,V870,0),0)</f>
        <v>0</v>
      </c>
      <c r="Y870" s="38" t="n">
        <f aca="false">IF(AND(OR(T870="Backlog",T870="Pipeline",T870="Overdue"),ISNUMBER(W870)),IF(W870&lt;=Settings!$B$6,Q870,0),0)</f>
        <v>0</v>
      </c>
      <c r="Z870" s="38" t="n">
        <f aca="false">IF(Y870=0,0,IF(T870="Backlog",Q870,Q870*Dashboard!$C$10))</f>
        <v>0</v>
      </c>
      <c r="AA870" s="37" t="n">
        <f aca="false">IF($N870="",0,IF(COUNTIF(Dashboard!$C$13:$C$22,$N870)&gt;0,1,0))</f>
        <v>0</v>
      </c>
      <c r="AB870" s="37" t="str">
        <f aca="false">IF($N870="","",IF(COUNTIF($N$8:$N870,$N870)=1,MAX($AB$7:$AB869)+1,""))</f>
        <v/>
      </c>
    </row>
    <row r="871" customFormat="false" ht="15" hidden="false" customHeight="false" outlineLevel="0" collapsed="false">
      <c r="L871" s="37" t="str">
        <f aca="false">IF(INDEX($A871:$J871,$L$6)&lt;&gt;"",TRIM(LEFT(INDEX($A871:$J871,$L$6),FIND("(",INDEX($A871:$J871,$L$6)&amp;"(")-1)),L870)</f>
        <v>Building Value Proposition</v>
      </c>
      <c r="M871" s="37" t="str">
        <f aca="false">IF(INDEX($A871:$J871,$M$6)="","",INDEX($A871:$J871,$M$6)&amp;"")</f>
        <v/>
      </c>
      <c r="N871" s="37" t="str">
        <f aca="false">IF($M871="","",TRIM(INDEX($A871:$J871,$N$6)&amp;""))</f>
        <v/>
      </c>
      <c r="O871" s="37" t="str">
        <f aca="false">IF($M871="","",TRIM(INDEX($A871:$J871,$O$6)&amp;""))</f>
        <v/>
      </c>
      <c r="P871" s="37" t="str">
        <f aca="false">IF($M871="","",IFERROR(IF(INDEX(Settings!$B$41:$B$50,MATCH(O871,Settings!$A$41:$A$50,0))&amp;""="","UNMAPPED",INDEX(Settings!$B$41:$B$50,MATCH(O871,Settings!$A$41:$A$50,0))&amp;""),"UNMAPPED"))</f>
        <v/>
      </c>
      <c r="Q871" s="38" t="n">
        <f aca="false">IF($M871="",0,N(INDEX($A871:$J871,$Q$6)))</f>
        <v>0</v>
      </c>
      <c r="R871" s="39" t="str">
        <f aca="false">IF($M871="","",INDEX($A871:$J871,$R$6))</f>
        <v/>
      </c>
      <c r="S871" s="37" t="str">
        <f aca="false">IF($M871="","",IFERROR(INDEX(Settings!$B$27:$B$36,MATCH(L871,Settings!$A$27:$A$36,0))&amp;"","UNMAPPED"))</f>
        <v/>
      </c>
      <c r="T871" s="37" t="str">
        <f aca="false">IF($M871="","",IF(NOT(ISNUMBER(R871)),"NO DATE",IF(S871="Won",IF(R871&gt;Settings!$B$5,"Backlog","Delivered"),IF(S871="Open",IF(R871&gt;Settings!$B$5,"Pipeline","Overdue"),IF(S871="Lost","Lost","UNMAPPED")))))</f>
        <v/>
      </c>
      <c r="U871" s="40" t="n">
        <f aca="false">IF(T871="Backlog",1,IF(OR(T871="Pipeline",T871="Overdue"),N(INDEX(Settings!$C$27:$C$36,MATCH(L871,Settings!$A$27:$A$36,0))),0))</f>
        <v>0</v>
      </c>
      <c r="V871" s="38" t="n">
        <f aca="false">Q871*U871</f>
        <v>0</v>
      </c>
      <c r="W871" s="41" t="str">
        <f aca="false">IF($M871="","",IF(T871="Overdue",IF(Settings!$B$8="Yes",Settings!$B$7,""),IF(ISNUMBER(R871),DATE(YEAR(R871),MONTH(R871),1),"")))</f>
        <v/>
      </c>
      <c r="X871" s="38" t="n">
        <f aca="false">IF(AND(OR(T871="Backlog",T871="Pipeline",T871="Overdue"),ISNUMBER(W871)),IF(W871&lt;=Settings!$B$6,V871,0),0)</f>
        <v>0</v>
      </c>
      <c r="Y871" s="38" t="n">
        <f aca="false">IF(AND(OR(T871="Backlog",T871="Pipeline",T871="Overdue"),ISNUMBER(W871)),IF(W871&lt;=Settings!$B$6,Q871,0),0)</f>
        <v>0</v>
      </c>
      <c r="Z871" s="38" t="n">
        <f aca="false">IF(Y871=0,0,IF(T871="Backlog",Q871,Q871*Dashboard!$C$10))</f>
        <v>0</v>
      </c>
      <c r="AA871" s="37" t="n">
        <f aca="false">IF($N871="",0,IF(COUNTIF(Dashboard!$C$13:$C$22,$N871)&gt;0,1,0))</f>
        <v>0</v>
      </c>
      <c r="AB871" s="37" t="str">
        <f aca="false">IF($N871="","",IF(COUNTIF($N$8:$N871,$N871)=1,MAX($AB$7:$AB870)+1,""))</f>
        <v/>
      </c>
    </row>
    <row r="872" customFormat="false" ht="15" hidden="false" customHeight="false" outlineLevel="0" collapsed="false">
      <c r="L872" s="37" t="str">
        <f aca="false">IF(INDEX($A872:$J872,$L$6)&lt;&gt;"",TRIM(LEFT(INDEX($A872:$J872,$L$6),FIND("(",INDEX($A872:$J872,$L$6)&amp;"(")-1)),L871)</f>
        <v>Building Value Proposition</v>
      </c>
      <c r="M872" s="37" t="str">
        <f aca="false">IF(INDEX($A872:$J872,$M$6)="","",INDEX($A872:$J872,$M$6)&amp;"")</f>
        <v/>
      </c>
      <c r="N872" s="37" t="str">
        <f aca="false">IF($M872="","",TRIM(INDEX($A872:$J872,$N$6)&amp;""))</f>
        <v/>
      </c>
      <c r="O872" s="37" t="str">
        <f aca="false">IF($M872="","",TRIM(INDEX($A872:$J872,$O$6)&amp;""))</f>
        <v/>
      </c>
      <c r="P872" s="37" t="str">
        <f aca="false">IF($M872="","",IFERROR(IF(INDEX(Settings!$B$41:$B$50,MATCH(O872,Settings!$A$41:$A$50,0))&amp;""="","UNMAPPED",INDEX(Settings!$B$41:$B$50,MATCH(O872,Settings!$A$41:$A$50,0))&amp;""),"UNMAPPED"))</f>
        <v/>
      </c>
      <c r="Q872" s="38" t="n">
        <f aca="false">IF($M872="",0,N(INDEX($A872:$J872,$Q$6)))</f>
        <v>0</v>
      </c>
      <c r="R872" s="39" t="str">
        <f aca="false">IF($M872="","",INDEX($A872:$J872,$R$6))</f>
        <v/>
      </c>
      <c r="S872" s="37" t="str">
        <f aca="false">IF($M872="","",IFERROR(INDEX(Settings!$B$27:$B$36,MATCH(L872,Settings!$A$27:$A$36,0))&amp;"","UNMAPPED"))</f>
        <v/>
      </c>
      <c r="T872" s="37" t="str">
        <f aca="false">IF($M872="","",IF(NOT(ISNUMBER(R872)),"NO DATE",IF(S872="Won",IF(R872&gt;Settings!$B$5,"Backlog","Delivered"),IF(S872="Open",IF(R872&gt;Settings!$B$5,"Pipeline","Overdue"),IF(S872="Lost","Lost","UNMAPPED")))))</f>
        <v/>
      </c>
      <c r="U872" s="40" t="n">
        <f aca="false">IF(T872="Backlog",1,IF(OR(T872="Pipeline",T872="Overdue"),N(INDEX(Settings!$C$27:$C$36,MATCH(L872,Settings!$A$27:$A$36,0))),0))</f>
        <v>0</v>
      </c>
      <c r="V872" s="38" t="n">
        <f aca="false">Q872*U872</f>
        <v>0</v>
      </c>
      <c r="W872" s="41" t="str">
        <f aca="false">IF($M872="","",IF(T872="Overdue",IF(Settings!$B$8="Yes",Settings!$B$7,""),IF(ISNUMBER(R872),DATE(YEAR(R872),MONTH(R872),1),"")))</f>
        <v/>
      </c>
      <c r="X872" s="38" t="n">
        <f aca="false">IF(AND(OR(T872="Backlog",T872="Pipeline",T872="Overdue"),ISNUMBER(W872)),IF(W872&lt;=Settings!$B$6,V872,0),0)</f>
        <v>0</v>
      </c>
      <c r="Y872" s="38" t="n">
        <f aca="false">IF(AND(OR(T872="Backlog",T872="Pipeline",T872="Overdue"),ISNUMBER(W872)),IF(W872&lt;=Settings!$B$6,Q872,0),0)</f>
        <v>0</v>
      </c>
      <c r="Z872" s="38" t="n">
        <f aca="false">IF(Y872=0,0,IF(T872="Backlog",Q872,Q872*Dashboard!$C$10))</f>
        <v>0</v>
      </c>
      <c r="AA872" s="37" t="n">
        <f aca="false">IF($N872="",0,IF(COUNTIF(Dashboard!$C$13:$C$22,$N872)&gt;0,1,0))</f>
        <v>0</v>
      </c>
      <c r="AB872" s="37" t="str">
        <f aca="false">IF($N872="","",IF(COUNTIF($N$8:$N872,$N872)=1,MAX($AB$7:$AB871)+1,""))</f>
        <v/>
      </c>
    </row>
    <row r="873" customFormat="false" ht="15" hidden="false" customHeight="false" outlineLevel="0" collapsed="false">
      <c r="L873" s="37" t="str">
        <f aca="false">IF(INDEX($A873:$J873,$L$6)&lt;&gt;"",TRIM(LEFT(INDEX($A873:$J873,$L$6),FIND("(",INDEX($A873:$J873,$L$6)&amp;"(")-1)),L872)</f>
        <v>Building Value Proposition</v>
      </c>
      <c r="M873" s="37" t="str">
        <f aca="false">IF(INDEX($A873:$J873,$M$6)="","",INDEX($A873:$J873,$M$6)&amp;"")</f>
        <v/>
      </c>
      <c r="N873" s="37" t="str">
        <f aca="false">IF($M873="","",TRIM(INDEX($A873:$J873,$N$6)&amp;""))</f>
        <v/>
      </c>
      <c r="O873" s="37" t="str">
        <f aca="false">IF($M873="","",TRIM(INDEX($A873:$J873,$O$6)&amp;""))</f>
        <v/>
      </c>
      <c r="P873" s="37" t="str">
        <f aca="false">IF($M873="","",IFERROR(IF(INDEX(Settings!$B$41:$B$50,MATCH(O873,Settings!$A$41:$A$50,0))&amp;""="","UNMAPPED",INDEX(Settings!$B$41:$B$50,MATCH(O873,Settings!$A$41:$A$50,0))&amp;""),"UNMAPPED"))</f>
        <v/>
      </c>
      <c r="Q873" s="38" t="n">
        <f aca="false">IF($M873="",0,N(INDEX($A873:$J873,$Q$6)))</f>
        <v>0</v>
      </c>
      <c r="R873" s="39" t="str">
        <f aca="false">IF($M873="","",INDEX($A873:$J873,$R$6))</f>
        <v/>
      </c>
      <c r="S873" s="37" t="str">
        <f aca="false">IF($M873="","",IFERROR(INDEX(Settings!$B$27:$B$36,MATCH(L873,Settings!$A$27:$A$36,0))&amp;"","UNMAPPED"))</f>
        <v/>
      </c>
      <c r="T873" s="37" t="str">
        <f aca="false">IF($M873="","",IF(NOT(ISNUMBER(R873)),"NO DATE",IF(S873="Won",IF(R873&gt;Settings!$B$5,"Backlog","Delivered"),IF(S873="Open",IF(R873&gt;Settings!$B$5,"Pipeline","Overdue"),IF(S873="Lost","Lost","UNMAPPED")))))</f>
        <v/>
      </c>
      <c r="U873" s="40" t="n">
        <f aca="false">IF(T873="Backlog",1,IF(OR(T873="Pipeline",T873="Overdue"),N(INDEX(Settings!$C$27:$C$36,MATCH(L873,Settings!$A$27:$A$36,0))),0))</f>
        <v>0</v>
      </c>
      <c r="V873" s="38" t="n">
        <f aca="false">Q873*U873</f>
        <v>0</v>
      </c>
      <c r="W873" s="41" t="str">
        <f aca="false">IF($M873="","",IF(T873="Overdue",IF(Settings!$B$8="Yes",Settings!$B$7,""),IF(ISNUMBER(R873),DATE(YEAR(R873),MONTH(R873),1),"")))</f>
        <v/>
      </c>
      <c r="X873" s="38" t="n">
        <f aca="false">IF(AND(OR(T873="Backlog",T873="Pipeline",T873="Overdue"),ISNUMBER(W873)),IF(W873&lt;=Settings!$B$6,V873,0),0)</f>
        <v>0</v>
      </c>
      <c r="Y873" s="38" t="n">
        <f aca="false">IF(AND(OR(T873="Backlog",T873="Pipeline",T873="Overdue"),ISNUMBER(W873)),IF(W873&lt;=Settings!$B$6,Q873,0),0)</f>
        <v>0</v>
      </c>
      <c r="Z873" s="38" t="n">
        <f aca="false">IF(Y873=0,0,IF(T873="Backlog",Q873,Q873*Dashboard!$C$10))</f>
        <v>0</v>
      </c>
      <c r="AA873" s="37" t="n">
        <f aca="false">IF($N873="",0,IF(COUNTIF(Dashboard!$C$13:$C$22,$N873)&gt;0,1,0))</f>
        <v>0</v>
      </c>
      <c r="AB873" s="37" t="str">
        <f aca="false">IF($N873="","",IF(COUNTIF($N$8:$N873,$N873)=1,MAX($AB$7:$AB872)+1,""))</f>
        <v/>
      </c>
    </row>
    <row r="874" customFormat="false" ht="15" hidden="false" customHeight="false" outlineLevel="0" collapsed="false">
      <c r="L874" s="37" t="str">
        <f aca="false">IF(INDEX($A874:$J874,$L$6)&lt;&gt;"",TRIM(LEFT(INDEX($A874:$J874,$L$6),FIND("(",INDEX($A874:$J874,$L$6)&amp;"(")-1)),L873)</f>
        <v>Building Value Proposition</v>
      </c>
      <c r="M874" s="37" t="str">
        <f aca="false">IF(INDEX($A874:$J874,$M$6)="","",INDEX($A874:$J874,$M$6)&amp;"")</f>
        <v/>
      </c>
      <c r="N874" s="37" t="str">
        <f aca="false">IF($M874="","",TRIM(INDEX($A874:$J874,$N$6)&amp;""))</f>
        <v/>
      </c>
      <c r="O874" s="37" t="str">
        <f aca="false">IF($M874="","",TRIM(INDEX($A874:$J874,$O$6)&amp;""))</f>
        <v/>
      </c>
      <c r="P874" s="37" t="str">
        <f aca="false">IF($M874="","",IFERROR(IF(INDEX(Settings!$B$41:$B$50,MATCH(O874,Settings!$A$41:$A$50,0))&amp;""="","UNMAPPED",INDEX(Settings!$B$41:$B$50,MATCH(O874,Settings!$A$41:$A$50,0))&amp;""),"UNMAPPED"))</f>
        <v/>
      </c>
      <c r="Q874" s="38" t="n">
        <f aca="false">IF($M874="",0,N(INDEX($A874:$J874,$Q$6)))</f>
        <v>0</v>
      </c>
      <c r="R874" s="39" t="str">
        <f aca="false">IF($M874="","",INDEX($A874:$J874,$R$6))</f>
        <v/>
      </c>
      <c r="S874" s="37" t="str">
        <f aca="false">IF($M874="","",IFERROR(INDEX(Settings!$B$27:$B$36,MATCH(L874,Settings!$A$27:$A$36,0))&amp;"","UNMAPPED"))</f>
        <v/>
      </c>
      <c r="T874" s="37" t="str">
        <f aca="false">IF($M874="","",IF(NOT(ISNUMBER(R874)),"NO DATE",IF(S874="Won",IF(R874&gt;Settings!$B$5,"Backlog","Delivered"),IF(S874="Open",IF(R874&gt;Settings!$B$5,"Pipeline","Overdue"),IF(S874="Lost","Lost","UNMAPPED")))))</f>
        <v/>
      </c>
      <c r="U874" s="40" t="n">
        <f aca="false">IF(T874="Backlog",1,IF(OR(T874="Pipeline",T874="Overdue"),N(INDEX(Settings!$C$27:$C$36,MATCH(L874,Settings!$A$27:$A$36,0))),0))</f>
        <v>0</v>
      </c>
      <c r="V874" s="38" t="n">
        <f aca="false">Q874*U874</f>
        <v>0</v>
      </c>
      <c r="W874" s="41" t="str">
        <f aca="false">IF($M874="","",IF(T874="Overdue",IF(Settings!$B$8="Yes",Settings!$B$7,""),IF(ISNUMBER(R874),DATE(YEAR(R874),MONTH(R874),1),"")))</f>
        <v/>
      </c>
      <c r="X874" s="38" t="n">
        <f aca="false">IF(AND(OR(T874="Backlog",T874="Pipeline",T874="Overdue"),ISNUMBER(W874)),IF(W874&lt;=Settings!$B$6,V874,0),0)</f>
        <v>0</v>
      </c>
      <c r="Y874" s="38" t="n">
        <f aca="false">IF(AND(OR(T874="Backlog",T874="Pipeline",T874="Overdue"),ISNUMBER(W874)),IF(W874&lt;=Settings!$B$6,Q874,0),0)</f>
        <v>0</v>
      </c>
      <c r="Z874" s="38" t="n">
        <f aca="false">IF(Y874=0,0,IF(T874="Backlog",Q874,Q874*Dashboard!$C$10))</f>
        <v>0</v>
      </c>
      <c r="AA874" s="37" t="n">
        <f aca="false">IF($N874="",0,IF(COUNTIF(Dashboard!$C$13:$C$22,$N874)&gt;0,1,0))</f>
        <v>0</v>
      </c>
      <c r="AB874" s="37" t="str">
        <f aca="false">IF($N874="","",IF(COUNTIF($N$8:$N874,$N874)=1,MAX($AB$7:$AB873)+1,""))</f>
        <v/>
      </c>
    </row>
    <row r="875" customFormat="false" ht="15" hidden="false" customHeight="false" outlineLevel="0" collapsed="false">
      <c r="L875" s="37" t="str">
        <f aca="false">IF(INDEX($A875:$J875,$L$6)&lt;&gt;"",TRIM(LEFT(INDEX($A875:$J875,$L$6),FIND("(",INDEX($A875:$J875,$L$6)&amp;"(")-1)),L874)</f>
        <v>Building Value Proposition</v>
      </c>
      <c r="M875" s="37" t="str">
        <f aca="false">IF(INDEX($A875:$J875,$M$6)="","",INDEX($A875:$J875,$M$6)&amp;"")</f>
        <v/>
      </c>
      <c r="N875" s="37" t="str">
        <f aca="false">IF($M875="","",TRIM(INDEX($A875:$J875,$N$6)&amp;""))</f>
        <v/>
      </c>
      <c r="O875" s="37" t="str">
        <f aca="false">IF($M875="","",TRIM(INDEX($A875:$J875,$O$6)&amp;""))</f>
        <v/>
      </c>
      <c r="P875" s="37" t="str">
        <f aca="false">IF($M875="","",IFERROR(IF(INDEX(Settings!$B$41:$B$50,MATCH(O875,Settings!$A$41:$A$50,0))&amp;""="","UNMAPPED",INDEX(Settings!$B$41:$B$50,MATCH(O875,Settings!$A$41:$A$50,0))&amp;""),"UNMAPPED"))</f>
        <v/>
      </c>
      <c r="Q875" s="38" t="n">
        <f aca="false">IF($M875="",0,N(INDEX($A875:$J875,$Q$6)))</f>
        <v>0</v>
      </c>
      <c r="R875" s="39" t="str">
        <f aca="false">IF($M875="","",INDEX($A875:$J875,$R$6))</f>
        <v/>
      </c>
      <c r="S875" s="37" t="str">
        <f aca="false">IF($M875="","",IFERROR(INDEX(Settings!$B$27:$B$36,MATCH(L875,Settings!$A$27:$A$36,0))&amp;"","UNMAPPED"))</f>
        <v/>
      </c>
      <c r="T875" s="37" t="str">
        <f aca="false">IF($M875="","",IF(NOT(ISNUMBER(R875)),"NO DATE",IF(S875="Won",IF(R875&gt;Settings!$B$5,"Backlog","Delivered"),IF(S875="Open",IF(R875&gt;Settings!$B$5,"Pipeline","Overdue"),IF(S875="Lost","Lost","UNMAPPED")))))</f>
        <v/>
      </c>
      <c r="U875" s="40" t="n">
        <f aca="false">IF(T875="Backlog",1,IF(OR(T875="Pipeline",T875="Overdue"),N(INDEX(Settings!$C$27:$C$36,MATCH(L875,Settings!$A$27:$A$36,0))),0))</f>
        <v>0</v>
      </c>
      <c r="V875" s="38" t="n">
        <f aca="false">Q875*U875</f>
        <v>0</v>
      </c>
      <c r="W875" s="41" t="str">
        <f aca="false">IF($M875="","",IF(T875="Overdue",IF(Settings!$B$8="Yes",Settings!$B$7,""),IF(ISNUMBER(R875),DATE(YEAR(R875),MONTH(R875),1),"")))</f>
        <v/>
      </c>
      <c r="X875" s="38" t="n">
        <f aca="false">IF(AND(OR(T875="Backlog",T875="Pipeline",T875="Overdue"),ISNUMBER(W875)),IF(W875&lt;=Settings!$B$6,V875,0),0)</f>
        <v>0</v>
      </c>
      <c r="Y875" s="38" t="n">
        <f aca="false">IF(AND(OR(T875="Backlog",T875="Pipeline",T875="Overdue"),ISNUMBER(W875)),IF(W875&lt;=Settings!$B$6,Q875,0),0)</f>
        <v>0</v>
      </c>
      <c r="Z875" s="38" t="n">
        <f aca="false">IF(Y875=0,0,IF(T875="Backlog",Q875,Q875*Dashboard!$C$10))</f>
        <v>0</v>
      </c>
      <c r="AA875" s="37" t="n">
        <f aca="false">IF($N875="",0,IF(COUNTIF(Dashboard!$C$13:$C$22,$N875)&gt;0,1,0))</f>
        <v>0</v>
      </c>
      <c r="AB875" s="37" t="str">
        <f aca="false">IF($N875="","",IF(COUNTIF($N$8:$N875,$N875)=1,MAX($AB$7:$AB874)+1,""))</f>
        <v/>
      </c>
    </row>
    <row r="876" customFormat="false" ht="15" hidden="false" customHeight="false" outlineLevel="0" collapsed="false">
      <c r="L876" s="37" t="str">
        <f aca="false">IF(INDEX($A876:$J876,$L$6)&lt;&gt;"",TRIM(LEFT(INDEX($A876:$J876,$L$6),FIND("(",INDEX($A876:$J876,$L$6)&amp;"(")-1)),L875)</f>
        <v>Building Value Proposition</v>
      </c>
      <c r="M876" s="37" t="str">
        <f aca="false">IF(INDEX($A876:$J876,$M$6)="","",INDEX($A876:$J876,$M$6)&amp;"")</f>
        <v/>
      </c>
      <c r="N876" s="37" t="str">
        <f aca="false">IF($M876="","",TRIM(INDEX($A876:$J876,$N$6)&amp;""))</f>
        <v/>
      </c>
      <c r="O876" s="37" t="str">
        <f aca="false">IF($M876="","",TRIM(INDEX($A876:$J876,$O$6)&amp;""))</f>
        <v/>
      </c>
      <c r="P876" s="37" t="str">
        <f aca="false">IF($M876="","",IFERROR(IF(INDEX(Settings!$B$41:$B$50,MATCH(O876,Settings!$A$41:$A$50,0))&amp;""="","UNMAPPED",INDEX(Settings!$B$41:$B$50,MATCH(O876,Settings!$A$41:$A$50,0))&amp;""),"UNMAPPED"))</f>
        <v/>
      </c>
      <c r="Q876" s="38" t="n">
        <f aca="false">IF($M876="",0,N(INDEX($A876:$J876,$Q$6)))</f>
        <v>0</v>
      </c>
      <c r="R876" s="39" t="str">
        <f aca="false">IF($M876="","",INDEX($A876:$J876,$R$6))</f>
        <v/>
      </c>
      <c r="S876" s="37" t="str">
        <f aca="false">IF($M876="","",IFERROR(INDEX(Settings!$B$27:$B$36,MATCH(L876,Settings!$A$27:$A$36,0))&amp;"","UNMAPPED"))</f>
        <v/>
      </c>
      <c r="T876" s="37" t="str">
        <f aca="false">IF($M876="","",IF(NOT(ISNUMBER(R876)),"NO DATE",IF(S876="Won",IF(R876&gt;Settings!$B$5,"Backlog","Delivered"),IF(S876="Open",IF(R876&gt;Settings!$B$5,"Pipeline","Overdue"),IF(S876="Lost","Lost","UNMAPPED")))))</f>
        <v/>
      </c>
      <c r="U876" s="40" t="n">
        <f aca="false">IF(T876="Backlog",1,IF(OR(T876="Pipeline",T876="Overdue"),N(INDEX(Settings!$C$27:$C$36,MATCH(L876,Settings!$A$27:$A$36,0))),0))</f>
        <v>0</v>
      </c>
      <c r="V876" s="38" t="n">
        <f aca="false">Q876*U876</f>
        <v>0</v>
      </c>
      <c r="W876" s="41" t="str">
        <f aca="false">IF($M876="","",IF(T876="Overdue",IF(Settings!$B$8="Yes",Settings!$B$7,""),IF(ISNUMBER(R876),DATE(YEAR(R876),MONTH(R876),1),"")))</f>
        <v/>
      </c>
      <c r="X876" s="38" t="n">
        <f aca="false">IF(AND(OR(T876="Backlog",T876="Pipeline",T876="Overdue"),ISNUMBER(W876)),IF(W876&lt;=Settings!$B$6,V876,0),0)</f>
        <v>0</v>
      </c>
      <c r="Y876" s="38" t="n">
        <f aca="false">IF(AND(OR(T876="Backlog",T876="Pipeline",T876="Overdue"),ISNUMBER(W876)),IF(W876&lt;=Settings!$B$6,Q876,0),0)</f>
        <v>0</v>
      </c>
      <c r="Z876" s="38" t="n">
        <f aca="false">IF(Y876=0,0,IF(T876="Backlog",Q876,Q876*Dashboard!$C$10))</f>
        <v>0</v>
      </c>
      <c r="AA876" s="37" t="n">
        <f aca="false">IF($N876="",0,IF(COUNTIF(Dashboard!$C$13:$C$22,$N876)&gt;0,1,0))</f>
        <v>0</v>
      </c>
      <c r="AB876" s="37" t="str">
        <f aca="false">IF($N876="","",IF(COUNTIF($N$8:$N876,$N876)=1,MAX($AB$7:$AB875)+1,""))</f>
        <v/>
      </c>
    </row>
    <row r="877" customFormat="false" ht="15" hidden="false" customHeight="false" outlineLevel="0" collapsed="false">
      <c r="L877" s="37" t="str">
        <f aca="false">IF(INDEX($A877:$J877,$L$6)&lt;&gt;"",TRIM(LEFT(INDEX($A877:$J877,$L$6),FIND("(",INDEX($A877:$J877,$L$6)&amp;"(")-1)),L876)</f>
        <v>Building Value Proposition</v>
      </c>
      <c r="M877" s="37" t="str">
        <f aca="false">IF(INDEX($A877:$J877,$M$6)="","",INDEX($A877:$J877,$M$6)&amp;"")</f>
        <v/>
      </c>
      <c r="N877" s="37" t="str">
        <f aca="false">IF($M877="","",TRIM(INDEX($A877:$J877,$N$6)&amp;""))</f>
        <v/>
      </c>
      <c r="O877" s="37" t="str">
        <f aca="false">IF($M877="","",TRIM(INDEX($A877:$J877,$O$6)&amp;""))</f>
        <v/>
      </c>
      <c r="P877" s="37" t="str">
        <f aca="false">IF($M877="","",IFERROR(IF(INDEX(Settings!$B$41:$B$50,MATCH(O877,Settings!$A$41:$A$50,0))&amp;""="","UNMAPPED",INDEX(Settings!$B$41:$B$50,MATCH(O877,Settings!$A$41:$A$50,0))&amp;""),"UNMAPPED"))</f>
        <v/>
      </c>
      <c r="Q877" s="38" t="n">
        <f aca="false">IF($M877="",0,N(INDEX($A877:$J877,$Q$6)))</f>
        <v>0</v>
      </c>
      <c r="R877" s="39" t="str">
        <f aca="false">IF($M877="","",INDEX($A877:$J877,$R$6))</f>
        <v/>
      </c>
      <c r="S877" s="37" t="str">
        <f aca="false">IF($M877="","",IFERROR(INDEX(Settings!$B$27:$B$36,MATCH(L877,Settings!$A$27:$A$36,0))&amp;"","UNMAPPED"))</f>
        <v/>
      </c>
      <c r="T877" s="37" t="str">
        <f aca="false">IF($M877="","",IF(NOT(ISNUMBER(R877)),"NO DATE",IF(S877="Won",IF(R877&gt;Settings!$B$5,"Backlog","Delivered"),IF(S877="Open",IF(R877&gt;Settings!$B$5,"Pipeline","Overdue"),IF(S877="Lost","Lost","UNMAPPED")))))</f>
        <v/>
      </c>
      <c r="U877" s="40" t="n">
        <f aca="false">IF(T877="Backlog",1,IF(OR(T877="Pipeline",T877="Overdue"),N(INDEX(Settings!$C$27:$C$36,MATCH(L877,Settings!$A$27:$A$36,0))),0))</f>
        <v>0</v>
      </c>
      <c r="V877" s="38" t="n">
        <f aca="false">Q877*U877</f>
        <v>0</v>
      </c>
      <c r="W877" s="41" t="str">
        <f aca="false">IF($M877="","",IF(T877="Overdue",IF(Settings!$B$8="Yes",Settings!$B$7,""),IF(ISNUMBER(R877),DATE(YEAR(R877),MONTH(R877),1),"")))</f>
        <v/>
      </c>
      <c r="X877" s="38" t="n">
        <f aca="false">IF(AND(OR(T877="Backlog",T877="Pipeline",T877="Overdue"),ISNUMBER(W877)),IF(W877&lt;=Settings!$B$6,V877,0),0)</f>
        <v>0</v>
      </c>
      <c r="Y877" s="38" t="n">
        <f aca="false">IF(AND(OR(T877="Backlog",T877="Pipeline",T877="Overdue"),ISNUMBER(W877)),IF(W877&lt;=Settings!$B$6,Q877,0),0)</f>
        <v>0</v>
      </c>
      <c r="Z877" s="38" t="n">
        <f aca="false">IF(Y877=0,0,IF(T877="Backlog",Q877,Q877*Dashboard!$C$10))</f>
        <v>0</v>
      </c>
      <c r="AA877" s="37" t="n">
        <f aca="false">IF($N877="",0,IF(COUNTIF(Dashboard!$C$13:$C$22,$N877)&gt;0,1,0))</f>
        <v>0</v>
      </c>
      <c r="AB877" s="37" t="str">
        <f aca="false">IF($N877="","",IF(COUNTIF($N$8:$N877,$N877)=1,MAX($AB$7:$AB876)+1,""))</f>
        <v/>
      </c>
    </row>
    <row r="878" customFormat="false" ht="15" hidden="false" customHeight="false" outlineLevel="0" collapsed="false">
      <c r="L878" s="37" t="str">
        <f aca="false">IF(INDEX($A878:$J878,$L$6)&lt;&gt;"",TRIM(LEFT(INDEX($A878:$J878,$L$6),FIND("(",INDEX($A878:$J878,$L$6)&amp;"(")-1)),L877)</f>
        <v>Building Value Proposition</v>
      </c>
      <c r="M878" s="37" t="str">
        <f aca="false">IF(INDEX($A878:$J878,$M$6)="","",INDEX($A878:$J878,$M$6)&amp;"")</f>
        <v/>
      </c>
      <c r="N878" s="37" t="str">
        <f aca="false">IF($M878="","",TRIM(INDEX($A878:$J878,$N$6)&amp;""))</f>
        <v/>
      </c>
      <c r="O878" s="37" t="str">
        <f aca="false">IF($M878="","",TRIM(INDEX($A878:$J878,$O$6)&amp;""))</f>
        <v/>
      </c>
      <c r="P878" s="37" t="str">
        <f aca="false">IF($M878="","",IFERROR(IF(INDEX(Settings!$B$41:$B$50,MATCH(O878,Settings!$A$41:$A$50,0))&amp;""="","UNMAPPED",INDEX(Settings!$B$41:$B$50,MATCH(O878,Settings!$A$41:$A$50,0))&amp;""),"UNMAPPED"))</f>
        <v/>
      </c>
      <c r="Q878" s="38" t="n">
        <f aca="false">IF($M878="",0,N(INDEX($A878:$J878,$Q$6)))</f>
        <v>0</v>
      </c>
      <c r="R878" s="39" t="str">
        <f aca="false">IF($M878="","",INDEX($A878:$J878,$R$6))</f>
        <v/>
      </c>
      <c r="S878" s="37" t="str">
        <f aca="false">IF($M878="","",IFERROR(INDEX(Settings!$B$27:$B$36,MATCH(L878,Settings!$A$27:$A$36,0))&amp;"","UNMAPPED"))</f>
        <v/>
      </c>
      <c r="T878" s="37" t="str">
        <f aca="false">IF($M878="","",IF(NOT(ISNUMBER(R878)),"NO DATE",IF(S878="Won",IF(R878&gt;Settings!$B$5,"Backlog","Delivered"),IF(S878="Open",IF(R878&gt;Settings!$B$5,"Pipeline","Overdue"),IF(S878="Lost","Lost","UNMAPPED")))))</f>
        <v/>
      </c>
      <c r="U878" s="40" t="n">
        <f aca="false">IF(T878="Backlog",1,IF(OR(T878="Pipeline",T878="Overdue"),N(INDEX(Settings!$C$27:$C$36,MATCH(L878,Settings!$A$27:$A$36,0))),0))</f>
        <v>0</v>
      </c>
      <c r="V878" s="38" t="n">
        <f aca="false">Q878*U878</f>
        <v>0</v>
      </c>
      <c r="W878" s="41" t="str">
        <f aca="false">IF($M878="","",IF(T878="Overdue",IF(Settings!$B$8="Yes",Settings!$B$7,""),IF(ISNUMBER(R878),DATE(YEAR(R878),MONTH(R878),1),"")))</f>
        <v/>
      </c>
      <c r="X878" s="38" t="n">
        <f aca="false">IF(AND(OR(T878="Backlog",T878="Pipeline",T878="Overdue"),ISNUMBER(W878)),IF(W878&lt;=Settings!$B$6,V878,0),0)</f>
        <v>0</v>
      </c>
      <c r="Y878" s="38" t="n">
        <f aca="false">IF(AND(OR(T878="Backlog",T878="Pipeline",T878="Overdue"),ISNUMBER(W878)),IF(W878&lt;=Settings!$B$6,Q878,0),0)</f>
        <v>0</v>
      </c>
      <c r="Z878" s="38" t="n">
        <f aca="false">IF(Y878=0,0,IF(T878="Backlog",Q878,Q878*Dashboard!$C$10))</f>
        <v>0</v>
      </c>
      <c r="AA878" s="37" t="n">
        <f aca="false">IF($N878="",0,IF(COUNTIF(Dashboard!$C$13:$C$22,$N878)&gt;0,1,0))</f>
        <v>0</v>
      </c>
      <c r="AB878" s="37" t="str">
        <f aca="false">IF($N878="","",IF(COUNTIF($N$8:$N878,$N878)=1,MAX($AB$7:$AB877)+1,""))</f>
        <v/>
      </c>
    </row>
    <row r="879" customFormat="false" ht="15" hidden="false" customHeight="false" outlineLevel="0" collapsed="false">
      <c r="L879" s="37" t="str">
        <f aca="false">IF(INDEX($A879:$J879,$L$6)&lt;&gt;"",TRIM(LEFT(INDEX($A879:$J879,$L$6),FIND("(",INDEX($A879:$J879,$L$6)&amp;"(")-1)),L878)</f>
        <v>Building Value Proposition</v>
      </c>
      <c r="M879" s="37" t="str">
        <f aca="false">IF(INDEX($A879:$J879,$M$6)="","",INDEX($A879:$J879,$M$6)&amp;"")</f>
        <v/>
      </c>
      <c r="N879" s="37" t="str">
        <f aca="false">IF($M879="","",TRIM(INDEX($A879:$J879,$N$6)&amp;""))</f>
        <v/>
      </c>
      <c r="O879" s="37" t="str">
        <f aca="false">IF($M879="","",TRIM(INDEX($A879:$J879,$O$6)&amp;""))</f>
        <v/>
      </c>
      <c r="P879" s="37" t="str">
        <f aca="false">IF($M879="","",IFERROR(IF(INDEX(Settings!$B$41:$B$50,MATCH(O879,Settings!$A$41:$A$50,0))&amp;""="","UNMAPPED",INDEX(Settings!$B$41:$B$50,MATCH(O879,Settings!$A$41:$A$50,0))&amp;""),"UNMAPPED"))</f>
        <v/>
      </c>
      <c r="Q879" s="38" t="n">
        <f aca="false">IF($M879="",0,N(INDEX($A879:$J879,$Q$6)))</f>
        <v>0</v>
      </c>
      <c r="R879" s="39" t="str">
        <f aca="false">IF($M879="","",INDEX($A879:$J879,$R$6))</f>
        <v/>
      </c>
      <c r="S879" s="37" t="str">
        <f aca="false">IF($M879="","",IFERROR(INDEX(Settings!$B$27:$B$36,MATCH(L879,Settings!$A$27:$A$36,0))&amp;"","UNMAPPED"))</f>
        <v/>
      </c>
      <c r="T879" s="37" t="str">
        <f aca="false">IF($M879="","",IF(NOT(ISNUMBER(R879)),"NO DATE",IF(S879="Won",IF(R879&gt;Settings!$B$5,"Backlog","Delivered"),IF(S879="Open",IF(R879&gt;Settings!$B$5,"Pipeline","Overdue"),IF(S879="Lost","Lost","UNMAPPED")))))</f>
        <v/>
      </c>
      <c r="U879" s="40" t="n">
        <f aca="false">IF(T879="Backlog",1,IF(OR(T879="Pipeline",T879="Overdue"),N(INDEX(Settings!$C$27:$C$36,MATCH(L879,Settings!$A$27:$A$36,0))),0))</f>
        <v>0</v>
      </c>
      <c r="V879" s="38" t="n">
        <f aca="false">Q879*U879</f>
        <v>0</v>
      </c>
      <c r="W879" s="41" t="str">
        <f aca="false">IF($M879="","",IF(T879="Overdue",IF(Settings!$B$8="Yes",Settings!$B$7,""),IF(ISNUMBER(R879),DATE(YEAR(R879),MONTH(R879),1),"")))</f>
        <v/>
      </c>
      <c r="X879" s="38" t="n">
        <f aca="false">IF(AND(OR(T879="Backlog",T879="Pipeline",T879="Overdue"),ISNUMBER(W879)),IF(W879&lt;=Settings!$B$6,V879,0),0)</f>
        <v>0</v>
      </c>
      <c r="Y879" s="38" t="n">
        <f aca="false">IF(AND(OR(T879="Backlog",T879="Pipeline",T879="Overdue"),ISNUMBER(W879)),IF(W879&lt;=Settings!$B$6,Q879,0),0)</f>
        <v>0</v>
      </c>
      <c r="Z879" s="38" t="n">
        <f aca="false">IF(Y879=0,0,IF(T879="Backlog",Q879,Q879*Dashboard!$C$10))</f>
        <v>0</v>
      </c>
      <c r="AA879" s="37" t="n">
        <f aca="false">IF($N879="",0,IF(COUNTIF(Dashboard!$C$13:$C$22,$N879)&gt;0,1,0))</f>
        <v>0</v>
      </c>
      <c r="AB879" s="37" t="str">
        <f aca="false">IF($N879="","",IF(COUNTIF($N$8:$N879,$N879)=1,MAX($AB$7:$AB878)+1,""))</f>
        <v/>
      </c>
    </row>
    <row r="880" customFormat="false" ht="15" hidden="false" customHeight="false" outlineLevel="0" collapsed="false">
      <c r="L880" s="37" t="str">
        <f aca="false">IF(INDEX($A880:$J880,$L$6)&lt;&gt;"",TRIM(LEFT(INDEX($A880:$J880,$L$6),FIND("(",INDEX($A880:$J880,$L$6)&amp;"(")-1)),L879)</f>
        <v>Building Value Proposition</v>
      </c>
      <c r="M880" s="37" t="str">
        <f aca="false">IF(INDEX($A880:$J880,$M$6)="","",INDEX($A880:$J880,$M$6)&amp;"")</f>
        <v/>
      </c>
      <c r="N880" s="37" t="str">
        <f aca="false">IF($M880="","",TRIM(INDEX($A880:$J880,$N$6)&amp;""))</f>
        <v/>
      </c>
      <c r="O880" s="37" t="str">
        <f aca="false">IF($M880="","",TRIM(INDEX($A880:$J880,$O$6)&amp;""))</f>
        <v/>
      </c>
      <c r="P880" s="37" t="str">
        <f aca="false">IF($M880="","",IFERROR(IF(INDEX(Settings!$B$41:$B$50,MATCH(O880,Settings!$A$41:$A$50,0))&amp;""="","UNMAPPED",INDEX(Settings!$B$41:$B$50,MATCH(O880,Settings!$A$41:$A$50,0))&amp;""),"UNMAPPED"))</f>
        <v/>
      </c>
      <c r="Q880" s="38" t="n">
        <f aca="false">IF($M880="",0,N(INDEX($A880:$J880,$Q$6)))</f>
        <v>0</v>
      </c>
      <c r="R880" s="39" t="str">
        <f aca="false">IF($M880="","",INDEX($A880:$J880,$R$6))</f>
        <v/>
      </c>
      <c r="S880" s="37" t="str">
        <f aca="false">IF($M880="","",IFERROR(INDEX(Settings!$B$27:$B$36,MATCH(L880,Settings!$A$27:$A$36,0))&amp;"","UNMAPPED"))</f>
        <v/>
      </c>
      <c r="T880" s="37" t="str">
        <f aca="false">IF($M880="","",IF(NOT(ISNUMBER(R880)),"NO DATE",IF(S880="Won",IF(R880&gt;Settings!$B$5,"Backlog","Delivered"),IF(S880="Open",IF(R880&gt;Settings!$B$5,"Pipeline","Overdue"),IF(S880="Lost","Lost","UNMAPPED")))))</f>
        <v/>
      </c>
      <c r="U880" s="40" t="n">
        <f aca="false">IF(T880="Backlog",1,IF(OR(T880="Pipeline",T880="Overdue"),N(INDEX(Settings!$C$27:$C$36,MATCH(L880,Settings!$A$27:$A$36,0))),0))</f>
        <v>0</v>
      </c>
      <c r="V880" s="38" t="n">
        <f aca="false">Q880*U880</f>
        <v>0</v>
      </c>
      <c r="W880" s="41" t="str">
        <f aca="false">IF($M880="","",IF(T880="Overdue",IF(Settings!$B$8="Yes",Settings!$B$7,""),IF(ISNUMBER(R880),DATE(YEAR(R880),MONTH(R880),1),"")))</f>
        <v/>
      </c>
      <c r="X880" s="38" t="n">
        <f aca="false">IF(AND(OR(T880="Backlog",T880="Pipeline",T880="Overdue"),ISNUMBER(W880)),IF(W880&lt;=Settings!$B$6,V880,0),0)</f>
        <v>0</v>
      </c>
      <c r="Y880" s="38" t="n">
        <f aca="false">IF(AND(OR(T880="Backlog",T880="Pipeline",T880="Overdue"),ISNUMBER(W880)),IF(W880&lt;=Settings!$B$6,Q880,0),0)</f>
        <v>0</v>
      </c>
      <c r="Z880" s="38" t="n">
        <f aca="false">IF(Y880=0,0,IF(T880="Backlog",Q880,Q880*Dashboard!$C$10))</f>
        <v>0</v>
      </c>
      <c r="AA880" s="37" t="n">
        <f aca="false">IF($N880="",0,IF(COUNTIF(Dashboard!$C$13:$C$22,$N880)&gt;0,1,0))</f>
        <v>0</v>
      </c>
      <c r="AB880" s="37" t="str">
        <f aca="false">IF($N880="","",IF(COUNTIF($N$8:$N880,$N880)=1,MAX($AB$7:$AB879)+1,""))</f>
        <v/>
      </c>
    </row>
    <row r="881" customFormat="false" ht="15" hidden="false" customHeight="false" outlineLevel="0" collapsed="false">
      <c r="L881" s="37" t="str">
        <f aca="false">IF(INDEX($A881:$J881,$L$6)&lt;&gt;"",TRIM(LEFT(INDEX($A881:$J881,$L$6),FIND("(",INDEX($A881:$J881,$L$6)&amp;"(")-1)),L880)</f>
        <v>Building Value Proposition</v>
      </c>
      <c r="M881" s="37" t="str">
        <f aca="false">IF(INDEX($A881:$J881,$M$6)="","",INDEX($A881:$J881,$M$6)&amp;"")</f>
        <v/>
      </c>
      <c r="N881" s="37" t="str">
        <f aca="false">IF($M881="","",TRIM(INDEX($A881:$J881,$N$6)&amp;""))</f>
        <v/>
      </c>
      <c r="O881" s="37" t="str">
        <f aca="false">IF($M881="","",TRIM(INDEX($A881:$J881,$O$6)&amp;""))</f>
        <v/>
      </c>
      <c r="P881" s="37" t="str">
        <f aca="false">IF($M881="","",IFERROR(IF(INDEX(Settings!$B$41:$B$50,MATCH(O881,Settings!$A$41:$A$50,0))&amp;""="","UNMAPPED",INDEX(Settings!$B$41:$B$50,MATCH(O881,Settings!$A$41:$A$50,0))&amp;""),"UNMAPPED"))</f>
        <v/>
      </c>
      <c r="Q881" s="38" t="n">
        <f aca="false">IF($M881="",0,N(INDEX($A881:$J881,$Q$6)))</f>
        <v>0</v>
      </c>
      <c r="R881" s="39" t="str">
        <f aca="false">IF($M881="","",INDEX($A881:$J881,$R$6))</f>
        <v/>
      </c>
      <c r="S881" s="37" t="str">
        <f aca="false">IF($M881="","",IFERROR(INDEX(Settings!$B$27:$B$36,MATCH(L881,Settings!$A$27:$A$36,0))&amp;"","UNMAPPED"))</f>
        <v/>
      </c>
      <c r="T881" s="37" t="str">
        <f aca="false">IF($M881="","",IF(NOT(ISNUMBER(R881)),"NO DATE",IF(S881="Won",IF(R881&gt;Settings!$B$5,"Backlog","Delivered"),IF(S881="Open",IF(R881&gt;Settings!$B$5,"Pipeline","Overdue"),IF(S881="Lost","Lost","UNMAPPED")))))</f>
        <v/>
      </c>
      <c r="U881" s="40" t="n">
        <f aca="false">IF(T881="Backlog",1,IF(OR(T881="Pipeline",T881="Overdue"),N(INDEX(Settings!$C$27:$C$36,MATCH(L881,Settings!$A$27:$A$36,0))),0))</f>
        <v>0</v>
      </c>
      <c r="V881" s="38" t="n">
        <f aca="false">Q881*U881</f>
        <v>0</v>
      </c>
      <c r="W881" s="41" t="str">
        <f aca="false">IF($M881="","",IF(T881="Overdue",IF(Settings!$B$8="Yes",Settings!$B$7,""),IF(ISNUMBER(R881),DATE(YEAR(R881),MONTH(R881),1),"")))</f>
        <v/>
      </c>
      <c r="X881" s="38" t="n">
        <f aca="false">IF(AND(OR(T881="Backlog",T881="Pipeline",T881="Overdue"),ISNUMBER(W881)),IF(W881&lt;=Settings!$B$6,V881,0),0)</f>
        <v>0</v>
      </c>
      <c r="Y881" s="38" t="n">
        <f aca="false">IF(AND(OR(T881="Backlog",T881="Pipeline",T881="Overdue"),ISNUMBER(W881)),IF(W881&lt;=Settings!$B$6,Q881,0),0)</f>
        <v>0</v>
      </c>
      <c r="Z881" s="38" t="n">
        <f aca="false">IF(Y881=0,0,IF(T881="Backlog",Q881,Q881*Dashboard!$C$10))</f>
        <v>0</v>
      </c>
      <c r="AA881" s="37" t="n">
        <f aca="false">IF($N881="",0,IF(COUNTIF(Dashboard!$C$13:$C$22,$N881)&gt;0,1,0))</f>
        <v>0</v>
      </c>
      <c r="AB881" s="37" t="str">
        <f aca="false">IF($N881="","",IF(COUNTIF($N$8:$N881,$N881)=1,MAX($AB$7:$AB880)+1,""))</f>
        <v/>
      </c>
    </row>
    <row r="882" customFormat="false" ht="15" hidden="false" customHeight="false" outlineLevel="0" collapsed="false">
      <c r="L882" s="37" t="str">
        <f aca="false">IF(INDEX($A882:$J882,$L$6)&lt;&gt;"",TRIM(LEFT(INDEX($A882:$J882,$L$6),FIND("(",INDEX($A882:$J882,$L$6)&amp;"(")-1)),L881)</f>
        <v>Building Value Proposition</v>
      </c>
      <c r="M882" s="37" t="str">
        <f aca="false">IF(INDEX($A882:$J882,$M$6)="","",INDEX($A882:$J882,$M$6)&amp;"")</f>
        <v/>
      </c>
      <c r="N882" s="37" t="str">
        <f aca="false">IF($M882="","",TRIM(INDEX($A882:$J882,$N$6)&amp;""))</f>
        <v/>
      </c>
      <c r="O882" s="37" t="str">
        <f aca="false">IF($M882="","",TRIM(INDEX($A882:$J882,$O$6)&amp;""))</f>
        <v/>
      </c>
      <c r="P882" s="37" t="str">
        <f aca="false">IF($M882="","",IFERROR(IF(INDEX(Settings!$B$41:$B$50,MATCH(O882,Settings!$A$41:$A$50,0))&amp;""="","UNMAPPED",INDEX(Settings!$B$41:$B$50,MATCH(O882,Settings!$A$41:$A$50,0))&amp;""),"UNMAPPED"))</f>
        <v/>
      </c>
      <c r="Q882" s="38" t="n">
        <f aca="false">IF($M882="",0,N(INDEX($A882:$J882,$Q$6)))</f>
        <v>0</v>
      </c>
      <c r="R882" s="39" t="str">
        <f aca="false">IF($M882="","",INDEX($A882:$J882,$R$6))</f>
        <v/>
      </c>
      <c r="S882" s="37" t="str">
        <f aca="false">IF($M882="","",IFERROR(INDEX(Settings!$B$27:$B$36,MATCH(L882,Settings!$A$27:$A$36,0))&amp;"","UNMAPPED"))</f>
        <v/>
      </c>
      <c r="T882" s="37" t="str">
        <f aca="false">IF($M882="","",IF(NOT(ISNUMBER(R882)),"NO DATE",IF(S882="Won",IF(R882&gt;Settings!$B$5,"Backlog","Delivered"),IF(S882="Open",IF(R882&gt;Settings!$B$5,"Pipeline","Overdue"),IF(S882="Lost","Lost","UNMAPPED")))))</f>
        <v/>
      </c>
      <c r="U882" s="40" t="n">
        <f aca="false">IF(T882="Backlog",1,IF(OR(T882="Pipeline",T882="Overdue"),N(INDEX(Settings!$C$27:$C$36,MATCH(L882,Settings!$A$27:$A$36,0))),0))</f>
        <v>0</v>
      </c>
      <c r="V882" s="38" t="n">
        <f aca="false">Q882*U882</f>
        <v>0</v>
      </c>
      <c r="W882" s="41" t="str">
        <f aca="false">IF($M882="","",IF(T882="Overdue",IF(Settings!$B$8="Yes",Settings!$B$7,""),IF(ISNUMBER(R882),DATE(YEAR(R882),MONTH(R882),1),"")))</f>
        <v/>
      </c>
      <c r="X882" s="38" t="n">
        <f aca="false">IF(AND(OR(T882="Backlog",T882="Pipeline",T882="Overdue"),ISNUMBER(W882)),IF(W882&lt;=Settings!$B$6,V882,0),0)</f>
        <v>0</v>
      </c>
      <c r="Y882" s="38" t="n">
        <f aca="false">IF(AND(OR(T882="Backlog",T882="Pipeline",T882="Overdue"),ISNUMBER(W882)),IF(W882&lt;=Settings!$B$6,Q882,0),0)</f>
        <v>0</v>
      </c>
      <c r="Z882" s="38" t="n">
        <f aca="false">IF(Y882=0,0,IF(T882="Backlog",Q882,Q882*Dashboard!$C$10))</f>
        <v>0</v>
      </c>
      <c r="AA882" s="37" t="n">
        <f aca="false">IF($N882="",0,IF(COUNTIF(Dashboard!$C$13:$C$22,$N882)&gt;0,1,0))</f>
        <v>0</v>
      </c>
      <c r="AB882" s="37" t="str">
        <f aca="false">IF($N882="","",IF(COUNTIF($N$8:$N882,$N882)=1,MAX($AB$7:$AB881)+1,""))</f>
        <v/>
      </c>
    </row>
    <row r="883" customFormat="false" ht="15" hidden="false" customHeight="false" outlineLevel="0" collapsed="false">
      <c r="L883" s="37" t="str">
        <f aca="false">IF(INDEX($A883:$J883,$L$6)&lt;&gt;"",TRIM(LEFT(INDEX($A883:$J883,$L$6),FIND("(",INDEX($A883:$J883,$L$6)&amp;"(")-1)),L882)</f>
        <v>Building Value Proposition</v>
      </c>
      <c r="M883" s="37" t="str">
        <f aca="false">IF(INDEX($A883:$J883,$M$6)="","",INDEX($A883:$J883,$M$6)&amp;"")</f>
        <v/>
      </c>
      <c r="N883" s="37" t="str">
        <f aca="false">IF($M883="","",TRIM(INDEX($A883:$J883,$N$6)&amp;""))</f>
        <v/>
      </c>
      <c r="O883" s="37" t="str">
        <f aca="false">IF($M883="","",TRIM(INDEX($A883:$J883,$O$6)&amp;""))</f>
        <v/>
      </c>
      <c r="P883" s="37" t="str">
        <f aca="false">IF($M883="","",IFERROR(IF(INDEX(Settings!$B$41:$B$50,MATCH(O883,Settings!$A$41:$A$50,0))&amp;""="","UNMAPPED",INDEX(Settings!$B$41:$B$50,MATCH(O883,Settings!$A$41:$A$50,0))&amp;""),"UNMAPPED"))</f>
        <v/>
      </c>
      <c r="Q883" s="38" t="n">
        <f aca="false">IF($M883="",0,N(INDEX($A883:$J883,$Q$6)))</f>
        <v>0</v>
      </c>
      <c r="R883" s="39" t="str">
        <f aca="false">IF($M883="","",INDEX($A883:$J883,$R$6))</f>
        <v/>
      </c>
      <c r="S883" s="37" t="str">
        <f aca="false">IF($M883="","",IFERROR(INDEX(Settings!$B$27:$B$36,MATCH(L883,Settings!$A$27:$A$36,0))&amp;"","UNMAPPED"))</f>
        <v/>
      </c>
      <c r="T883" s="37" t="str">
        <f aca="false">IF($M883="","",IF(NOT(ISNUMBER(R883)),"NO DATE",IF(S883="Won",IF(R883&gt;Settings!$B$5,"Backlog","Delivered"),IF(S883="Open",IF(R883&gt;Settings!$B$5,"Pipeline","Overdue"),IF(S883="Lost","Lost","UNMAPPED")))))</f>
        <v/>
      </c>
      <c r="U883" s="40" t="n">
        <f aca="false">IF(T883="Backlog",1,IF(OR(T883="Pipeline",T883="Overdue"),N(INDEX(Settings!$C$27:$C$36,MATCH(L883,Settings!$A$27:$A$36,0))),0))</f>
        <v>0</v>
      </c>
      <c r="V883" s="38" t="n">
        <f aca="false">Q883*U883</f>
        <v>0</v>
      </c>
      <c r="W883" s="41" t="str">
        <f aca="false">IF($M883="","",IF(T883="Overdue",IF(Settings!$B$8="Yes",Settings!$B$7,""),IF(ISNUMBER(R883),DATE(YEAR(R883),MONTH(R883),1),"")))</f>
        <v/>
      </c>
      <c r="X883" s="38" t="n">
        <f aca="false">IF(AND(OR(T883="Backlog",T883="Pipeline",T883="Overdue"),ISNUMBER(W883)),IF(W883&lt;=Settings!$B$6,V883,0),0)</f>
        <v>0</v>
      </c>
      <c r="Y883" s="38" t="n">
        <f aca="false">IF(AND(OR(T883="Backlog",T883="Pipeline",T883="Overdue"),ISNUMBER(W883)),IF(W883&lt;=Settings!$B$6,Q883,0),0)</f>
        <v>0</v>
      </c>
      <c r="Z883" s="38" t="n">
        <f aca="false">IF(Y883=0,0,IF(T883="Backlog",Q883,Q883*Dashboard!$C$10))</f>
        <v>0</v>
      </c>
      <c r="AA883" s="37" t="n">
        <f aca="false">IF($N883="",0,IF(COUNTIF(Dashboard!$C$13:$C$22,$N883)&gt;0,1,0))</f>
        <v>0</v>
      </c>
      <c r="AB883" s="37" t="str">
        <f aca="false">IF($N883="","",IF(COUNTIF($N$8:$N883,$N883)=1,MAX($AB$7:$AB882)+1,""))</f>
        <v/>
      </c>
    </row>
    <row r="884" customFormat="false" ht="15" hidden="false" customHeight="false" outlineLevel="0" collapsed="false">
      <c r="L884" s="37" t="str">
        <f aca="false">IF(INDEX($A884:$J884,$L$6)&lt;&gt;"",TRIM(LEFT(INDEX($A884:$J884,$L$6),FIND("(",INDEX($A884:$J884,$L$6)&amp;"(")-1)),L883)</f>
        <v>Building Value Proposition</v>
      </c>
      <c r="M884" s="37" t="str">
        <f aca="false">IF(INDEX($A884:$J884,$M$6)="","",INDEX($A884:$J884,$M$6)&amp;"")</f>
        <v/>
      </c>
      <c r="N884" s="37" t="str">
        <f aca="false">IF($M884="","",TRIM(INDEX($A884:$J884,$N$6)&amp;""))</f>
        <v/>
      </c>
      <c r="O884" s="37" t="str">
        <f aca="false">IF($M884="","",TRIM(INDEX($A884:$J884,$O$6)&amp;""))</f>
        <v/>
      </c>
      <c r="P884" s="37" t="str">
        <f aca="false">IF($M884="","",IFERROR(IF(INDEX(Settings!$B$41:$B$50,MATCH(O884,Settings!$A$41:$A$50,0))&amp;""="","UNMAPPED",INDEX(Settings!$B$41:$B$50,MATCH(O884,Settings!$A$41:$A$50,0))&amp;""),"UNMAPPED"))</f>
        <v/>
      </c>
      <c r="Q884" s="38" t="n">
        <f aca="false">IF($M884="",0,N(INDEX($A884:$J884,$Q$6)))</f>
        <v>0</v>
      </c>
      <c r="R884" s="39" t="str">
        <f aca="false">IF($M884="","",INDEX($A884:$J884,$R$6))</f>
        <v/>
      </c>
      <c r="S884" s="37" t="str">
        <f aca="false">IF($M884="","",IFERROR(INDEX(Settings!$B$27:$B$36,MATCH(L884,Settings!$A$27:$A$36,0))&amp;"","UNMAPPED"))</f>
        <v/>
      </c>
      <c r="T884" s="37" t="str">
        <f aca="false">IF($M884="","",IF(NOT(ISNUMBER(R884)),"NO DATE",IF(S884="Won",IF(R884&gt;Settings!$B$5,"Backlog","Delivered"),IF(S884="Open",IF(R884&gt;Settings!$B$5,"Pipeline","Overdue"),IF(S884="Lost","Lost","UNMAPPED")))))</f>
        <v/>
      </c>
      <c r="U884" s="40" t="n">
        <f aca="false">IF(T884="Backlog",1,IF(OR(T884="Pipeline",T884="Overdue"),N(INDEX(Settings!$C$27:$C$36,MATCH(L884,Settings!$A$27:$A$36,0))),0))</f>
        <v>0</v>
      </c>
      <c r="V884" s="38" t="n">
        <f aca="false">Q884*U884</f>
        <v>0</v>
      </c>
      <c r="W884" s="41" t="str">
        <f aca="false">IF($M884="","",IF(T884="Overdue",IF(Settings!$B$8="Yes",Settings!$B$7,""),IF(ISNUMBER(R884),DATE(YEAR(R884),MONTH(R884),1),"")))</f>
        <v/>
      </c>
      <c r="X884" s="38" t="n">
        <f aca="false">IF(AND(OR(T884="Backlog",T884="Pipeline",T884="Overdue"),ISNUMBER(W884)),IF(W884&lt;=Settings!$B$6,V884,0),0)</f>
        <v>0</v>
      </c>
      <c r="Y884" s="38" t="n">
        <f aca="false">IF(AND(OR(T884="Backlog",T884="Pipeline",T884="Overdue"),ISNUMBER(W884)),IF(W884&lt;=Settings!$B$6,Q884,0),0)</f>
        <v>0</v>
      </c>
      <c r="Z884" s="38" t="n">
        <f aca="false">IF(Y884=0,0,IF(T884="Backlog",Q884,Q884*Dashboard!$C$10))</f>
        <v>0</v>
      </c>
      <c r="AA884" s="37" t="n">
        <f aca="false">IF($N884="",0,IF(COUNTIF(Dashboard!$C$13:$C$22,$N884)&gt;0,1,0))</f>
        <v>0</v>
      </c>
      <c r="AB884" s="37" t="str">
        <f aca="false">IF($N884="","",IF(COUNTIF($N$8:$N884,$N884)=1,MAX($AB$7:$AB883)+1,""))</f>
        <v/>
      </c>
    </row>
    <row r="885" customFormat="false" ht="15" hidden="false" customHeight="false" outlineLevel="0" collapsed="false">
      <c r="L885" s="37" t="str">
        <f aca="false">IF(INDEX($A885:$J885,$L$6)&lt;&gt;"",TRIM(LEFT(INDEX($A885:$J885,$L$6),FIND("(",INDEX($A885:$J885,$L$6)&amp;"(")-1)),L884)</f>
        <v>Building Value Proposition</v>
      </c>
      <c r="M885" s="37" t="str">
        <f aca="false">IF(INDEX($A885:$J885,$M$6)="","",INDEX($A885:$J885,$M$6)&amp;"")</f>
        <v/>
      </c>
      <c r="N885" s="37" t="str">
        <f aca="false">IF($M885="","",TRIM(INDEX($A885:$J885,$N$6)&amp;""))</f>
        <v/>
      </c>
      <c r="O885" s="37" t="str">
        <f aca="false">IF($M885="","",TRIM(INDEX($A885:$J885,$O$6)&amp;""))</f>
        <v/>
      </c>
      <c r="P885" s="37" t="str">
        <f aca="false">IF($M885="","",IFERROR(IF(INDEX(Settings!$B$41:$B$50,MATCH(O885,Settings!$A$41:$A$50,0))&amp;""="","UNMAPPED",INDEX(Settings!$B$41:$B$50,MATCH(O885,Settings!$A$41:$A$50,0))&amp;""),"UNMAPPED"))</f>
        <v/>
      </c>
      <c r="Q885" s="38" t="n">
        <f aca="false">IF($M885="",0,N(INDEX($A885:$J885,$Q$6)))</f>
        <v>0</v>
      </c>
      <c r="R885" s="39" t="str">
        <f aca="false">IF($M885="","",INDEX($A885:$J885,$R$6))</f>
        <v/>
      </c>
      <c r="S885" s="37" t="str">
        <f aca="false">IF($M885="","",IFERROR(INDEX(Settings!$B$27:$B$36,MATCH(L885,Settings!$A$27:$A$36,0))&amp;"","UNMAPPED"))</f>
        <v/>
      </c>
      <c r="T885" s="37" t="str">
        <f aca="false">IF($M885="","",IF(NOT(ISNUMBER(R885)),"NO DATE",IF(S885="Won",IF(R885&gt;Settings!$B$5,"Backlog","Delivered"),IF(S885="Open",IF(R885&gt;Settings!$B$5,"Pipeline","Overdue"),IF(S885="Lost","Lost","UNMAPPED")))))</f>
        <v/>
      </c>
      <c r="U885" s="40" t="n">
        <f aca="false">IF(T885="Backlog",1,IF(OR(T885="Pipeline",T885="Overdue"),N(INDEX(Settings!$C$27:$C$36,MATCH(L885,Settings!$A$27:$A$36,0))),0))</f>
        <v>0</v>
      </c>
      <c r="V885" s="38" t="n">
        <f aca="false">Q885*U885</f>
        <v>0</v>
      </c>
      <c r="W885" s="41" t="str">
        <f aca="false">IF($M885="","",IF(T885="Overdue",IF(Settings!$B$8="Yes",Settings!$B$7,""),IF(ISNUMBER(R885),DATE(YEAR(R885),MONTH(R885),1),"")))</f>
        <v/>
      </c>
      <c r="X885" s="38" t="n">
        <f aca="false">IF(AND(OR(T885="Backlog",T885="Pipeline",T885="Overdue"),ISNUMBER(W885)),IF(W885&lt;=Settings!$B$6,V885,0),0)</f>
        <v>0</v>
      </c>
      <c r="Y885" s="38" t="n">
        <f aca="false">IF(AND(OR(T885="Backlog",T885="Pipeline",T885="Overdue"),ISNUMBER(W885)),IF(W885&lt;=Settings!$B$6,Q885,0),0)</f>
        <v>0</v>
      </c>
      <c r="Z885" s="38" t="n">
        <f aca="false">IF(Y885=0,0,IF(T885="Backlog",Q885,Q885*Dashboard!$C$10))</f>
        <v>0</v>
      </c>
      <c r="AA885" s="37" t="n">
        <f aca="false">IF($N885="",0,IF(COUNTIF(Dashboard!$C$13:$C$22,$N885)&gt;0,1,0))</f>
        <v>0</v>
      </c>
      <c r="AB885" s="37" t="str">
        <f aca="false">IF($N885="","",IF(COUNTIF($N$8:$N885,$N885)=1,MAX($AB$7:$AB884)+1,""))</f>
        <v/>
      </c>
    </row>
    <row r="886" customFormat="false" ht="15" hidden="false" customHeight="false" outlineLevel="0" collapsed="false">
      <c r="L886" s="37" t="str">
        <f aca="false">IF(INDEX($A886:$J886,$L$6)&lt;&gt;"",TRIM(LEFT(INDEX($A886:$J886,$L$6),FIND("(",INDEX($A886:$J886,$L$6)&amp;"(")-1)),L885)</f>
        <v>Building Value Proposition</v>
      </c>
      <c r="M886" s="37" t="str">
        <f aca="false">IF(INDEX($A886:$J886,$M$6)="","",INDEX($A886:$J886,$M$6)&amp;"")</f>
        <v/>
      </c>
      <c r="N886" s="37" t="str">
        <f aca="false">IF($M886="","",TRIM(INDEX($A886:$J886,$N$6)&amp;""))</f>
        <v/>
      </c>
      <c r="O886" s="37" t="str">
        <f aca="false">IF($M886="","",TRIM(INDEX($A886:$J886,$O$6)&amp;""))</f>
        <v/>
      </c>
      <c r="P886" s="37" t="str">
        <f aca="false">IF($M886="","",IFERROR(IF(INDEX(Settings!$B$41:$B$50,MATCH(O886,Settings!$A$41:$A$50,0))&amp;""="","UNMAPPED",INDEX(Settings!$B$41:$B$50,MATCH(O886,Settings!$A$41:$A$50,0))&amp;""),"UNMAPPED"))</f>
        <v/>
      </c>
      <c r="Q886" s="38" t="n">
        <f aca="false">IF($M886="",0,N(INDEX($A886:$J886,$Q$6)))</f>
        <v>0</v>
      </c>
      <c r="R886" s="39" t="str">
        <f aca="false">IF($M886="","",INDEX($A886:$J886,$R$6))</f>
        <v/>
      </c>
      <c r="S886" s="37" t="str">
        <f aca="false">IF($M886="","",IFERROR(INDEX(Settings!$B$27:$B$36,MATCH(L886,Settings!$A$27:$A$36,0))&amp;"","UNMAPPED"))</f>
        <v/>
      </c>
      <c r="T886" s="37" t="str">
        <f aca="false">IF($M886="","",IF(NOT(ISNUMBER(R886)),"NO DATE",IF(S886="Won",IF(R886&gt;Settings!$B$5,"Backlog","Delivered"),IF(S886="Open",IF(R886&gt;Settings!$B$5,"Pipeline","Overdue"),IF(S886="Lost","Lost","UNMAPPED")))))</f>
        <v/>
      </c>
      <c r="U886" s="40" t="n">
        <f aca="false">IF(T886="Backlog",1,IF(OR(T886="Pipeline",T886="Overdue"),N(INDEX(Settings!$C$27:$C$36,MATCH(L886,Settings!$A$27:$A$36,0))),0))</f>
        <v>0</v>
      </c>
      <c r="V886" s="38" t="n">
        <f aca="false">Q886*U886</f>
        <v>0</v>
      </c>
      <c r="W886" s="41" t="str">
        <f aca="false">IF($M886="","",IF(T886="Overdue",IF(Settings!$B$8="Yes",Settings!$B$7,""),IF(ISNUMBER(R886),DATE(YEAR(R886),MONTH(R886),1),"")))</f>
        <v/>
      </c>
      <c r="X886" s="38" t="n">
        <f aca="false">IF(AND(OR(T886="Backlog",T886="Pipeline",T886="Overdue"),ISNUMBER(W886)),IF(W886&lt;=Settings!$B$6,V886,0),0)</f>
        <v>0</v>
      </c>
      <c r="Y886" s="38" t="n">
        <f aca="false">IF(AND(OR(T886="Backlog",T886="Pipeline",T886="Overdue"),ISNUMBER(W886)),IF(W886&lt;=Settings!$B$6,Q886,0),0)</f>
        <v>0</v>
      </c>
      <c r="Z886" s="38" t="n">
        <f aca="false">IF(Y886=0,0,IF(T886="Backlog",Q886,Q886*Dashboard!$C$10))</f>
        <v>0</v>
      </c>
      <c r="AA886" s="37" t="n">
        <f aca="false">IF($N886="",0,IF(COUNTIF(Dashboard!$C$13:$C$22,$N886)&gt;0,1,0))</f>
        <v>0</v>
      </c>
      <c r="AB886" s="37" t="str">
        <f aca="false">IF($N886="","",IF(COUNTIF($N$8:$N886,$N886)=1,MAX($AB$7:$AB885)+1,""))</f>
        <v/>
      </c>
    </row>
    <row r="887" customFormat="false" ht="15" hidden="false" customHeight="false" outlineLevel="0" collapsed="false">
      <c r="L887" s="37" t="str">
        <f aca="false">IF(INDEX($A887:$J887,$L$6)&lt;&gt;"",TRIM(LEFT(INDEX($A887:$J887,$L$6),FIND("(",INDEX($A887:$J887,$L$6)&amp;"(")-1)),L886)</f>
        <v>Building Value Proposition</v>
      </c>
      <c r="M887" s="37" t="str">
        <f aca="false">IF(INDEX($A887:$J887,$M$6)="","",INDEX($A887:$J887,$M$6)&amp;"")</f>
        <v/>
      </c>
      <c r="N887" s="37" t="str">
        <f aca="false">IF($M887="","",TRIM(INDEX($A887:$J887,$N$6)&amp;""))</f>
        <v/>
      </c>
      <c r="O887" s="37" t="str">
        <f aca="false">IF($M887="","",TRIM(INDEX($A887:$J887,$O$6)&amp;""))</f>
        <v/>
      </c>
      <c r="P887" s="37" t="str">
        <f aca="false">IF($M887="","",IFERROR(IF(INDEX(Settings!$B$41:$B$50,MATCH(O887,Settings!$A$41:$A$50,0))&amp;""="","UNMAPPED",INDEX(Settings!$B$41:$B$50,MATCH(O887,Settings!$A$41:$A$50,0))&amp;""),"UNMAPPED"))</f>
        <v/>
      </c>
      <c r="Q887" s="38" t="n">
        <f aca="false">IF($M887="",0,N(INDEX($A887:$J887,$Q$6)))</f>
        <v>0</v>
      </c>
      <c r="R887" s="39" t="str">
        <f aca="false">IF($M887="","",INDEX($A887:$J887,$R$6))</f>
        <v/>
      </c>
      <c r="S887" s="37" t="str">
        <f aca="false">IF($M887="","",IFERROR(INDEX(Settings!$B$27:$B$36,MATCH(L887,Settings!$A$27:$A$36,0))&amp;"","UNMAPPED"))</f>
        <v/>
      </c>
      <c r="T887" s="37" t="str">
        <f aca="false">IF($M887="","",IF(NOT(ISNUMBER(R887)),"NO DATE",IF(S887="Won",IF(R887&gt;Settings!$B$5,"Backlog","Delivered"),IF(S887="Open",IF(R887&gt;Settings!$B$5,"Pipeline","Overdue"),IF(S887="Lost","Lost","UNMAPPED")))))</f>
        <v/>
      </c>
      <c r="U887" s="40" t="n">
        <f aca="false">IF(T887="Backlog",1,IF(OR(T887="Pipeline",T887="Overdue"),N(INDEX(Settings!$C$27:$C$36,MATCH(L887,Settings!$A$27:$A$36,0))),0))</f>
        <v>0</v>
      </c>
      <c r="V887" s="38" t="n">
        <f aca="false">Q887*U887</f>
        <v>0</v>
      </c>
      <c r="W887" s="41" t="str">
        <f aca="false">IF($M887="","",IF(T887="Overdue",IF(Settings!$B$8="Yes",Settings!$B$7,""),IF(ISNUMBER(R887),DATE(YEAR(R887),MONTH(R887),1),"")))</f>
        <v/>
      </c>
      <c r="X887" s="38" t="n">
        <f aca="false">IF(AND(OR(T887="Backlog",T887="Pipeline",T887="Overdue"),ISNUMBER(W887)),IF(W887&lt;=Settings!$B$6,V887,0),0)</f>
        <v>0</v>
      </c>
      <c r="Y887" s="38" t="n">
        <f aca="false">IF(AND(OR(T887="Backlog",T887="Pipeline",T887="Overdue"),ISNUMBER(W887)),IF(W887&lt;=Settings!$B$6,Q887,0),0)</f>
        <v>0</v>
      </c>
      <c r="Z887" s="38" t="n">
        <f aca="false">IF(Y887=0,0,IF(T887="Backlog",Q887,Q887*Dashboard!$C$10))</f>
        <v>0</v>
      </c>
      <c r="AA887" s="37" t="n">
        <f aca="false">IF($N887="",0,IF(COUNTIF(Dashboard!$C$13:$C$22,$N887)&gt;0,1,0))</f>
        <v>0</v>
      </c>
      <c r="AB887" s="37" t="str">
        <f aca="false">IF($N887="","",IF(COUNTIF($N$8:$N887,$N887)=1,MAX($AB$7:$AB886)+1,""))</f>
        <v/>
      </c>
    </row>
    <row r="888" customFormat="false" ht="15" hidden="false" customHeight="false" outlineLevel="0" collapsed="false">
      <c r="L888" s="37" t="str">
        <f aca="false">IF(INDEX($A888:$J888,$L$6)&lt;&gt;"",TRIM(LEFT(INDEX($A888:$J888,$L$6),FIND("(",INDEX($A888:$J888,$L$6)&amp;"(")-1)),L887)</f>
        <v>Building Value Proposition</v>
      </c>
      <c r="M888" s="37" t="str">
        <f aca="false">IF(INDEX($A888:$J888,$M$6)="","",INDEX($A888:$J888,$M$6)&amp;"")</f>
        <v/>
      </c>
      <c r="N888" s="37" t="str">
        <f aca="false">IF($M888="","",TRIM(INDEX($A888:$J888,$N$6)&amp;""))</f>
        <v/>
      </c>
      <c r="O888" s="37" t="str">
        <f aca="false">IF($M888="","",TRIM(INDEX($A888:$J888,$O$6)&amp;""))</f>
        <v/>
      </c>
      <c r="P888" s="37" t="str">
        <f aca="false">IF($M888="","",IFERROR(IF(INDEX(Settings!$B$41:$B$50,MATCH(O888,Settings!$A$41:$A$50,0))&amp;""="","UNMAPPED",INDEX(Settings!$B$41:$B$50,MATCH(O888,Settings!$A$41:$A$50,0))&amp;""),"UNMAPPED"))</f>
        <v/>
      </c>
      <c r="Q888" s="38" t="n">
        <f aca="false">IF($M888="",0,N(INDEX($A888:$J888,$Q$6)))</f>
        <v>0</v>
      </c>
      <c r="R888" s="39" t="str">
        <f aca="false">IF($M888="","",INDEX($A888:$J888,$R$6))</f>
        <v/>
      </c>
      <c r="S888" s="37" t="str">
        <f aca="false">IF($M888="","",IFERROR(INDEX(Settings!$B$27:$B$36,MATCH(L888,Settings!$A$27:$A$36,0))&amp;"","UNMAPPED"))</f>
        <v/>
      </c>
      <c r="T888" s="37" t="str">
        <f aca="false">IF($M888="","",IF(NOT(ISNUMBER(R888)),"NO DATE",IF(S888="Won",IF(R888&gt;Settings!$B$5,"Backlog","Delivered"),IF(S888="Open",IF(R888&gt;Settings!$B$5,"Pipeline","Overdue"),IF(S888="Lost","Lost","UNMAPPED")))))</f>
        <v/>
      </c>
      <c r="U888" s="40" t="n">
        <f aca="false">IF(T888="Backlog",1,IF(OR(T888="Pipeline",T888="Overdue"),N(INDEX(Settings!$C$27:$C$36,MATCH(L888,Settings!$A$27:$A$36,0))),0))</f>
        <v>0</v>
      </c>
      <c r="V888" s="38" t="n">
        <f aca="false">Q888*U888</f>
        <v>0</v>
      </c>
      <c r="W888" s="41" t="str">
        <f aca="false">IF($M888="","",IF(T888="Overdue",IF(Settings!$B$8="Yes",Settings!$B$7,""),IF(ISNUMBER(R888),DATE(YEAR(R888),MONTH(R888),1),"")))</f>
        <v/>
      </c>
      <c r="X888" s="38" t="n">
        <f aca="false">IF(AND(OR(T888="Backlog",T888="Pipeline",T888="Overdue"),ISNUMBER(W888)),IF(W888&lt;=Settings!$B$6,V888,0),0)</f>
        <v>0</v>
      </c>
      <c r="Y888" s="38" t="n">
        <f aca="false">IF(AND(OR(T888="Backlog",T888="Pipeline",T888="Overdue"),ISNUMBER(W888)),IF(W888&lt;=Settings!$B$6,Q888,0),0)</f>
        <v>0</v>
      </c>
      <c r="Z888" s="38" t="n">
        <f aca="false">IF(Y888=0,0,IF(T888="Backlog",Q888,Q888*Dashboard!$C$10))</f>
        <v>0</v>
      </c>
      <c r="AA888" s="37" t="n">
        <f aca="false">IF($N888="",0,IF(COUNTIF(Dashboard!$C$13:$C$22,$N888)&gt;0,1,0))</f>
        <v>0</v>
      </c>
      <c r="AB888" s="37" t="str">
        <f aca="false">IF($N888="","",IF(COUNTIF($N$8:$N888,$N888)=1,MAX($AB$7:$AB887)+1,""))</f>
        <v/>
      </c>
    </row>
    <row r="889" customFormat="false" ht="15" hidden="false" customHeight="false" outlineLevel="0" collapsed="false">
      <c r="L889" s="37" t="str">
        <f aca="false">IF(INDEX($A889:$J889,$L$6)&lt;&gt;"",TRIM(LEFT(INDEX($A889:$J889,$L$6),FIND("(",INDEX($A889:$J889,$L$6)&amp;"(")-1)),L888)</f>
        <v>Building Value Proposition</v>
      </c>
      <c r="M889" s="37" t="str">
        <f aca="false">IF(INDEX($A889:$J889,$M$6)="","",INDEX($A889:$J889,$M$6)&amp;"")</f>
        <v/>
      </c>
      <c r="N889" s="37" t="str">
        <f aca="false">IF($M889="","",TRIM(INDEX($A889:$J889,$N$6)&amp;""))</f>
        <v/>
      </c>
      <c r="O889" s="37" t="str">
        <f aca="false">IF($M889="","",TRIM(INDEX($A889:$J889,$O$6)&amp;""))</f>
        <v/>
      </c>
      <c r="P889" s="37" t="str">
        <f aca="false">IF($M889="","",IFERROR(IF(INDEX(Settings!$B$41:$B$50,MATCH(O889,Settings!$A$41:$A$50,0))&amp;""="","UNMAPPED",INDEX(Settings!$B$41:$B$50,MATCH(O889,Settings!$A$41:$A$50,0))&amp;""),"UNMAPPED"))</f>
        <v/>
      </c>
      <c r="Q889" s="38" t="n">
        <f aca="false">IF($M889="",0,N(INDEX($A889:$J889,$Q$6)))</f>
        <v>0</v>
      </c>
      <c r="R889" s="39" t="str">
        <f aca="false">IF($M889="","",INDEX($A889:$J889,$R$6))</f>
        <v/>
      </c>
      <c r="S889" s="37" t="str">
        <f aca="false">IF($M889="","",IFERROR(INDEX(Settings!$B$27:$B$36,MATCH(L889,Settings!$A$27:$A$36,0))&amp;"","UNMAPPED"))</f>
        <v/>
      </c>
      <c r="T889" s="37" t="str">
        <f aca="false">IF($M889="","",IF(NOT(ISNUMBER(R889)),"NO DATE",IF(S889="Won",IF(R889&gt;Settings!$B$5,"Backlog","Delivered"),IF(S889="Open",IF(R889&gt;Settings!$B$5,"Pipeline","Overdue"),IF(S889="Lost","Lost","UNMAPPED")))))</f>
        <v/>
      </c>
      <c r="U889" s="40" t="n">
        <f aca="false">IF(T889="Backlog",1,IF(OR(T889="Pipeline",T889="Overdue"),N(INDEX(Settings!$C$27:$C$36,MATCH(L889,Settings!$A$27:$A$36,0))),0))</f>
        <v>0</v>
      </c>
      <c r="V889" s="38" t="n">
        <f aca="false">Q889*U889</f>
        <v>0</v>
      </c>
      <c r="W889" s="41" t="str">
        <f aca="false">IF($M889="","",IF(T889="Overdue",IF(Settings!$B$8="Yes",Settings!$B$7,""),IF(ISNUMBER(R889),DATE(YEAR(R889),MONTH(R889),1),"")))</f>
        <v/>
      </c>
      <c r="X889" s="38" t="n">
        <f aca="false">IF(AND(OR(T889="Backlog",T889="Pipeline",T889="Overdue"),ISNUMBER(W889)),IF(W889&lt;=Settings!$B$6,V889,0),0)</f>
        <v>0</v>
      </c>
      <c r="Y889" s="38" t="n">
        <f aca="false">IF(AND(OR(T889="Backlog",T889="Pipeline",T889="Overdue"),ISNUMBER(W889)),IF(W889&lt;=Settings!$B$6,Q889,0),0)</f>
        <v>0</v>
      </c>
      <c r="Z889" s="38" t="n">
        <f aca="false">IF(Y889=0,0,IF(T889="Backlog",Q889,Q889*Dashboard!$C$10))</f>
        <v>0</v>
      </c>
      <c r="AA889" s="37" t="n">
        <f aca="false">IF($N889="",0,IF(COUNTIF(Dashboard!$C$13:$C$22,$N889)&gt;0,1,0))</f>
        <v>0</v>
      </c>
      <c r="AB889" s="37" t="str">
        <f aca="false">IF($N889="","",IF(COUNTIF($N$8:$N889,$N889)=1,MAX($AB$7:$AB888)+1,""))</f>
        <v/>
      </c>
    </row>
    <row r="890" customFormat="false" ht="15" hidden="false" customHeight="false" outlineLevel="0" collapsed="false">
      <c r="L890" s="37" t="str">
        <f aca="false">IF(INDEX($A890:$J890,$L$6)&lt;&gt;"",TRIM(LEFT(INDEX($A890:$J890,$L$6),FIND("(",INDEX($A890:$J890,$L$6)&amp;"(")-1)),L889)</f>
        <v>Building Value Proposition</v>
      </c>
      <c r="M890" s="37" t="str">
        <f aca="false">IF(INDEX($A890:$J890,$M$6)="","",INDEX($A890:$J890,$M$6)&amp;"")</f>
        <v/>
      </c>
      <c r="N890" s="37" t="str">
        <f aca="false">IF($M890="","",TRIM(INDEX($A890:$J890,$N$6)&amp;""))</f>
        <v/>
      </c>
      <c r="O890" s="37" t="str">
        <f aca="false">IF($M890="","",TRIM(INDEX($A890:$J890,$O$6)&amp;""))</f>
        <v/>
      </c>
      <c r="P890" s="37" t="str">
        <f aca="false">IF($M890="","",IFERROR(IF(INDEX(Settings!$B$41:$B$50,MATCH(O890,Settings!$A$41:$A$50,0))&amp;""="","UNMAPPED",INDEX(Settings!$B$41:$B$50,MATCH(O890,Settings!$A$41:$A$50,0))&amp;""),"UNMAPPED"))</f>
        <v/>
      </c>
      <c r="Q890" s="38" t="n">
        <f aca="false">IF($M890="",0,N(INDEX($A890:$J890,$Q$6)))</f>
        <v>0</v>
      </c>
      <c r="R890" s="39" t="str">
        <f aca="false">IF($M890="","",INDEX($A890:$J890,$R$6))</f>
        <v/>
      </c>
      <c r="S890" s="37" t="str">
        <f aca="false">IF($M890="","",IFERROR(INDEX(Settings!$B$27:$B$36,MATCH(L890,Settings!$A$27:$A$36,0))&amp;"","UNMAPPED"))</f>
        <v/>
      </c>
      <c r="T890" s="37" t="str">
        <f aca="false">IF($M890="","",IF(NOT(ISNUMBER(R890)),"NO DATE",IF(S890="Won",IF(R890&gt;Settings!$B$5,"Backlog","Delivered"),IF(S890="Open",IF(R890&gt;Settings!$B$5,"Pipeline","Overdue"),IF(S890="Lost","Lost","UNMAPPED")))))</f>
        <v/>
      </c>
      <c r="U890" s="40" t="n">
        <f aca="false">IF(T890="Backlog",1,IF(OR(T890="Pipeline",T890="Overdue"),N(INDEX(Settings!$C$27:$C$36,MATCH(L890,Settings!$A$27:$A$36,0))),0))</f>
        <v>0</v>
      </c>
      <c r="V890" s="38" t="n">
        <f aca="false">Q890*U890</f>
        <v>0</v>
      </c>
      <c r="W890" s="41" t="str">
        <f aca="false">IF($M890="","",IF(T890="Overdue",IF(Settings!$B$8="Yes",Settings!$B$7,""),IF(ISNUMBER(R890),DATE(YEAR(R890),MONTH(R890),1),"")))</f>
        <v/>
      </c>
      <c r="X890" s="38" t="n">
        <f aca="false">IF(AND(OR(T890="Backlog",T890="Pipeline",T890="Overdue"),ISNUMBER(W890)),IF(W890&lt;=Settings!$B$6,V890,0),0)</f>
        <v>0</v>
      </c>
      <c r="Y890" s="38" t="n">
        <f aca="false">IF(AND(OR(T890="Backlog",T890="Pipeline",T890="Overdue"),ISNUMBER(W890)),IF(W890&lt;=Settings!$B$6,Q890,0),0)</f>
        <v>0</v>
      </c>
      <c r="Z890" s="38" t="n">
        <f aca="false">IF(Y890=0,0,IF(T890="Backlog",Q890,Q890*Dashboard!$C$10))</f>
        <v>0</v>
      </c>
      <c r="AA890" s="37" t="n">
        <f aca="false">IF($N890="",0,IF(COUNTIF(Dashboard!$C$13:$C$22,$N890)&gt;0,1,0))</f>
        <v>0</v>
      </c>
      <c r="AB890" s="37" t="str">
        <f aca="false">IF($N890="","",IF(COUNTIF($N$8:$N890,$N890)=1,MAX($AB$7:$AB889)+1,""))</f>
        <v/>
      </c>
    </row>
    <row r="891" customFormat="false" ht="15" hidden="false" customHeight="false" outlineLevel="0" collapsed="false">
      <c r="L891" s="37" t="str">
        <f aca="false">IF(INDEX($A891:$J891,$L$6)&lt;&gt;"",TRIM(LEFT(INDEX($A891:$J891,$L$6),FIND("(",INDEX($A891:$J891,$L$6)&amp;"(")-1)),L890)</f>
        <v>Building Value Proposition</v>
      </c>
      <c r="M891" s="37" t="str">
        <f aca="false">IF(INDEX($A891:$J891,$M$6)="","",INDEX($A891:$J891,$M$6)&amp;"")</f>
        <v/>
      </c>
      <c r="N891" s="37" t="str">
        <f aca="false">IF($M891="","",TRIM(INDEX($A891:$J891,$N$6)&amp;""))</f>
        <v/>
      </c>
      <c r="O891" s="37" t="str">
        <f aca="false">IF($M891="","",TRIM(INDEX($A891:$J891,$O$6)&amp;""))</f>
        <v/>
      </c>
      <c r="P891" s="37" t="str">
        <f aca="false">IF($M891="","",IFERROR(IF(INDEX(Settings!$B$41:$B$50,MATCH(O891,Settings!$A$41:$A$50,0))&amp;""="","UNMAPPED",INDEX(Settings!$B$41:$B$50,MATCH(O891,Settings!$A$41:$A$50,0))&amp;""),"UNMAPPED"))</f>
        <v/>
      </c>
      <c r="Q891" s="38" t="n">
        <f aca="false">IF($M891="",0,N(INDEX($A891:$J891,$Q$6)))</f>
        <v>0</v>
      </c>
      <c r="R891" s="39" t="str">
        <f aca="false">IF($M891="","",INDEX($A891:$J891,$R$6))</f>
        <v/>
      </c>
      <c r="S891" s="37" t="str">
        <f aca="false">IF($M891="","",IFERROR(INDEX(Settings!$B$27:$B$36,MATCH(L891,Settings!$A$27:$A$36,0))&amp;"","UNMAPPED"))</f>
        <v/>
      </c>
      <c r="T891" s="37" t="str">
        <f aca="false">IF($M891="","",IF(NOT(ISNUMBER(R891)),"NO DATE",IF(S891="Won",IF(R891&gt;Settings!$B$5,"Backlog","Delivered"),IF(S891="Open",IF(R891&gt;Settings!$B$5,"Pipeline","Overdue"),IF(S891="Lost","Lost","UNMAPPED")))))</f>
        <v/>
      </c>
      <c r="U891" s="40" t="n">
        <f aca="false">IF(T891="Backlog",1,IF(OR(T891="Pipeline",T891="Overdue"),N(INDEX(Settings!$C$27:$C$36,MATCH(L891,Settings!$A$27:$A$36,0))),0))</f>
        <v>0</v>
      </c>
      <c r="V891" s="38" t="n">
        <f aca="false">Q891*U891</f>
        <v>0</v>
      </c>
      <c r="W891" s="41" t="str">
        <f aca="false">IF($M891="","",IF(T891="Overdue",IF(Settings!$B$8="Yes",Settings!$B$7,""),IF(ISNUMBER(R891),DATE(YEAR(R891),MONTH(R891),1),"")))</f>
        <v/>
      </c>
      <c r="X891" s="38" t="n">
        <f aca="false">IF(AND(OR(T891="Backlog",T891="Pipeline",T891="Overdue"),ISNUMBER(W891)),IF(W891&lt;=Settings!$B$6,V891,0),0)</f>
        <v>0</v>
      </c>
      <c r="Y891" s="38" t="n">
        <f aca="false">IF(AND(OR(T891="Backlog",T891="Pipeline",T891="Overdue"),ISNUMBER(W891)),IF(W891&lt;=Settings!$B$6,Q891,0),0)</f>
        <v>0</v>
      </c>
      <c r="Z891" s="38" t="n">
        <f aca="false">IF(Y891=0,0,IF(T891="Backlog",Q891,Q891*Dashboard!$C$10))</f>
        <v>0</v>
      </c>
      <c r="AA891" s="37" t="n">
        <f aca="false">IF($N891="",0,IF(COUNTIF(Dashboard!$C$13:$C$22,$N891)&gt;0,1,0))</f>
        <v>0</v>
      </c>
      <c r="AB891" s="37" t="str">
        <f aca="false">IF($N891="","",IF(COUNTIF($N$8:$N891,$N891)=1,MAX($AB$7:$AB890)+1,""))</f>
        <v/>
      </c>
    </row>
    <row r="892" customFormat="false" ht="15" hidden="false" customHeight="false" outlineLevel="0" collapsed="false">
      <c r="L892" s="37" t="str">
        <f aca="false">IF(INDEX($A892:$J892,$L$6)&lt;&gt;"",TRIM(LEFT(INDEX($A892:$J892,$L$6),FIND("(",INDEX($A892:$J892,$L$6)&amp;"(")-1)),L891)</f>
        <v>Building Value Proposition</v>
      </c>
      <c r="M892" s="37" t="str">
        <f aca="false">IF(INDEX($A892:$J892,$M$6)="","",INDEX($A892:$J892,$M$6)&amp;"")</f>
        <v/>
      </c>
      <c r="N892" s="37" t="str">
        <f aca="false">IF($M892="","",TRIM(INDEX($A892:$J892,$N$6)&amp;""))</f>
        <v/>
      </c>
      <c r="O892" s="37" t="str">
        <f aca="false">IF($M892="","",TRIM(INDEX($A892:$J892,$O$6)&amp;""))</f>
        <v/>
      </c>
      <c r="P892" s="37" t="str">
        <f aca="false">IF($M892="","",IFERROR(IF(INDEX(Settings!$B$41:$B$50,MATCH(O892,Settings!$A$41:$A$50,0))&amp;""="","UNMAPPED",INDEX(Settings!$B$41:$B$50,MATCH(O892,Settings!$A$41:$A$50,0))&amp;""),"UNMAPPED"))</f>
        <v/>
      </c>
      <c r="Q892" s="38" t="n">
        <f aca="false">IF($M892="",0,N(INDEX($A892:$J892,$Q$6)))</f>
        <v>0</v>
      </c>
      <c r="R892" s="39" t="str">
        <f aca="false">IF($M892="","",INDEX($A892:$J892,$R$6))</f>
        <v/>
      </c>
      <c r="S892" s="37" t="str">
        <f aca="false">IF($M892="","",IFERROR(INDEX(Settings!$B$27:$B$36,MATCH(L892,Settings!$A$27:$A$36,0))&amp;"","UNMAPPED"))</f>
        <v/>
      </c>
      <c r="T892" s="37" t="str">
        <f aca="false">IF($M892="","",IF(NOT(ISNUMBER(R892)),"NO DATE",IF(S892="Won",IF(R892&gt;Settings!$B$5,"Backlog","Delivered"),IF(S892="Open",IF(R892&gt;Settings!$B$5,"Pipeline","Overdue"),IF(S892="Lost","Lost","UNMAPPED")))))</f>
        <v/>
      </c>
      <c r="U892" s="40" t="n">
        <f aca="false">IF(T892="Backlog",1,IF(OR(T892="Pipeline",T892="Overdue"),N(INDEX(Settings!$C$27:$C$36,MATCH(L892,Settings!$A$27:$A$36,0))),0))</f>
        <v>0</v>
      </c>
      <c r="V892" s="38" t="n">
        <f aca="false">Q892*U892</f>
        <v>0</v>
      </c>
      <c r="W892" s="41" t="str">
        <f aca="false">IF($M892="","",IF(T892="Overdue",IF(Settings!$B$8="Yes",Settings!$B$7,""),IF(ISNUMBER(R892),DATE(YEAR(R892),MONTH(R892),1),"")))</f>
        <v/>
      </c>
      <c r="X892" s="38" t="n">
        <f aca="false">IF(AND(OR(T892="Backlog",T892="Pipeline",T892="Overdue"),ISNUMBER(W892)),IF(W892&lt;=Settings!$B$6,V892,0),0)</f>
        <v>0</v>
      </c>
      <c r="Y892" s="38" t="n">
        <f aca="false">IF(AND(OR(T892="Backlog",T892="Pipeline",T892="Overdue"),ISNUMBER(W892)),IF(W892&lt;=Settings!$B$6,Q892,0),0)</f>
        <v>0</v>
      </c>
      <c r="Z892" s="38" t="n">
        <f aca="false">IF(Y892=0,0,IF(T892="Backlog",Q892,Q892*Dashboard!$C$10))</f>
        <v>0</v>
      </c>
      <c r="AA892" s="37" t="n">
        <f aca="false">IF($N892="",0,IF(COUNTIF(Dashboard!$C$13:$C$22,$N892)&gt;0,1,0))</f>
        <v>0</v>
      </c>
      <c r="AB892" s="37" t="str">
        <f aca="false">IF($N892="","",IF(COUNTIF($N$8:$N892,$N892)=1,MAX($AB$7:$AB891)+1,""))</f>
        <v/>
      </c>
    </row>
    <row r="893" customFormat="false" ht="15" hidden="false" customHeight="false" outlineLevel="0" collapsed="false">
      <c r="L893" s="37" t="str">
        <f aca="false">IF(INDEX($A893:$J893,$L$6)&lt;&gt;"",TRIM(LEFT(INDEX($A893:$J893,$L$6),FIND("(",INDEX($A893:$J893,$L$6)&amp;"(")-1)),L892)</f>
        <v>Building Value Proposition</v>
      </c>
      <c r="M893" s="37" t="str">
        <f aca="false">IF(INDEX($A893:$J893,$M$6)="","",INDEX($A893:$J893,$M$6)&amp;"")</f>
        <v/>
      </c>
      <c r="N893" s="37" t="str">
        <f aca="false">IF($M893="","",TRIM(INDEX($A893:$J893,$N$6)&amp;""))</f>
        <v/>
      </c>
      <c r="O893" s="37" t="str">
        <f aca="false">IF($M893="","",TRIM(INDEX($A893:$J893,$O$6)&amp;""))</f>
        <v/>
      </c>
      <c r="P893" s="37" t="str">
        <f aca="false">IF($M893="","",IFERROR(IF(INDEX(Settings!$B$41:$B$50,MATCH(O893,Settings!$A$41:$A$50,0))&amp;""="","UNMAPPED",INDEX(Settings!$B$41:$B$50,MATCH(O893,Settings!$A$41:$A$50,0))&amp;""),"UNMAPPED"))</f>
        <v/>
      </c>
      <c r="Q893" s="38" t="n">
        <f aca="false">IF($M893="",0,N(INDEX($A893:$J893,$Q$6)))</f>
        <v>0</v>
      </c>
      <c r="R893" s="39" t="str">
        <f aca="false">IF($M893="","",INDEX($A893:$J893,$R$6))</f>
        <v/>
      </c>
      <c r="S893" s="37" t="str">
        <f aca="false">IF($M893="","",IFERROR(INDEX(Settings!$B$27:$B$36,MATCH(L893,Settings!$A$27:$A$36,0))&amp;"","UNMAPPED"))</f>
        <v/>
      </c>
      <c r="T893" s="37" t="str">
        <f aca="false">IF($M893="","",IF(NOT(ISNUMBER(R893)),"NO DATE",IF(S893="Won",IF(R893&gt;Settings!$B$5,"Backlog","Delivered"),IF(S893="Open",IF(R893&gt;Settings!$B$5,"Pipeline","Overdue"),IF(S893="Lost","Lost","UNMAPPED")))))</f>
        <v/>
      </c>
      <c r="U893" s="40" t="n">
        <f aca="false">IF(T893="Backlog",1,IF(OR(T893="Pipeline",T893="Overdue"),N(INDEX(Settings!$C$27:$C$36,MATCH(L893,Settings!$A$27:$A$36,0))),0))</f>
        <v>0</v>
      </c>
      <c r="V893" s="38" t="n">
        <f aca="false">Q893*U893</f>
        <v>0</v>
      </c>
      <c r="W893" s="41" t="str">
        <f aca="false">IF($M893="","",IF(T893="Overdue",IF(Settings!$B$8="Yes",Settings!$B$7,""),IF(ISNUMBER(R893),DATE(YEAR(R893),MONTH(R893),1),"")))</f>
        <v/>
      </c>
      <c r="X893" s="38" t="n">
        <f aca="false">IF(AND(OR(T893="Backlog",T893="Pipeline",T893="Overdue"),ISNUMBER(W893)),IF(W893&lt;=Settings!$B$6,V893,0),0)</f>
        <v>0</v>
      </c>
      <c r="Y893" s="38" t="n">
        <f aca="false">IF(AND(OR(T893="Backlog",T893="Pipeline",T893="Overdue"),ISNUMBER(W893)),IF(W893&lt;=Settings!$B$6,Q893,0),0)</f>
        <v>0</v>
      </c>
      <c r="Z893" s="38" t="n">
        <f aca="false">IF(Y893=0,0,IF(T893="Backlog",Q893,Q893*Dashboard!$C$10))</f>
        <v>0</v>
      </c>
      <c r="AA893" s="37" t="n">
        <f aca="false">IF($N893="",0,IF(COUNTIF(Dashboard!$C$13:$C$22,$N893)&gt;0,1,0))</f>
        <v>0</v>
      </c>
      <c r="AB893" s="37" t="str">
        <f aca="false">IF($N893="","",IF(COUNTIF($N$8:$N893,$N893)=1,MAX($AB$7:$AB892)+1,""))</f>
        <v/>
      </c>
    </row>
    <row r="894" customFormat="false" ht="15" hidden="false" customHeight="false" outlineLevel="0" collapsed="false">
      <c r="L894" s="37" t="str">
        <f aca="false">IF(INDEX($A894:$J894,$L$6)&lt;&gt;"",TRIM(LEFT(INDEX($A894:$J894,$L$6),FIND("(",INDEX($A894:$J894,$L$6)&amp;"(")-1)),L893)</f>
        <v>Building Value Proposition</v>
      </c>
      <c r="M894" s="37" t="str">
        <f aca="false">IF(INDEX($A894:$J894,$M$6)="","",INDEX($A894:$J894,$M$6)&amp;"")</f>
        <v/>
      </c>
      <c r="N894" s="37" t="str">
        <f aca="false">IF($M894="","",TRIM(INDEX($A894:$J894,$N$6)&amp;""))</f>
        <v/>
      </c>
      <c r="O894" s="37" t="str">
        <f aca="false">IF($M894="","",TRIM(INDEX($A894:$J894,$O$6)&amp;""))</f>
        <v/>
      </c>
      <c r="P894" s="37" t="str">
        <f aca="false">IF($M894="","",IFERROR(IF(INDEX(Settings!$B$41:$B$50,MATCH(O894,Settings!$A$41:$A$50,0))&amp;""="","UNMAPPED",INDEX(Settings!$B$41:$B$50,MATCH(O894,Settings!$A$41:$A$50,0))&amp;""),"UNMAPPED"))</f>
        <v/>
      </c>
      <c r="Q894" s="38" t="n">
        <f aca="false">IF($M894="",0,N(INDEX($A894:$J894,$Q$6)))</f>
        <v>0</v>
      </c>
      <c r="R894" s="39" t="str">
        <f aca="false">IF($M894="","",INDEX($A894:$J894,$R$6))</f>
        <v/>
      </c>
      <c r="S894" s="37" t="str">
        <f aca="false">IF($M894="","",IFERROR(INDEX(Settings!$B$27:$B$36,MATCH(L894,Settings!$A$27:$A$36,0))&amp;"","UNMAPPED"))</f>
        <v/>
      </c>
      <c r="T894" s="37" t="str">
        <f aca="false">IF($M894="","",IF(NOT(ISNUMBER(R894)),"NO DATE",IF(S894="Won",IF(R894&gt;Settings!$B$5,"Backlog","Delivered"),IF(S894="Open",IF(R894&gt;Settings!$B$5,"Pipeline","Overdue"),IF(S894="Lost","Lost","UNMAPPED")))))</f>
        <v/>
      </c>
      <c r="U894" s="40" t="n">
        <f aca="false">IF(T894="Backlog",1,IF(OR(T894="Pipeline",T894="Overdue"),N(INDEX(Settings!$C$27:$C$36,MATCH(L894,Settings!$A$27:$A$36,0))),0))</f>
        <v>0</v>
      </c>
      <c r="V894" s="38" t="n">
        <f aca="false">Q894*U894</f>
        <v>0</v>
      </c>
      <c r="W894" s="41" t="str">
        <f aca="false">IF($M894="","",IF(T894="Overdue",IF(Settings!$B$8="Yes",Settings!$B$7,""),IF(ISNUMBER(R894),DATE(YEAR(R894),MONTH(R894),1),"")))</f>
        <v/>
      </c>
      <c r="X894" s="38" t="n">
        <f aca="false">IF(AND(OR(T894="Backlog",T894="Pipeline",T894="Overdue"),ISNUMBER(W894)),IF(W894&lt;=Settings!$B$6,V894,0),0)</f>
        <v>0</v>
      </c>
      <c r="Y894" s="38" t="n">
        <f aca="false">IF(AND(OR(T894="Backlog",T894="Pipeline",T894="Overdue"),ISNUMBER(W894)),IF(W894&lt;=Settings!$B$6,Q894,0),0)</f>
        <v>0</v>
      </c>
      <c r="Z894" s="38" t="n">
        <f aca="false">IF(Y894=0,0,IF(T894="Backlog",Q894,Q894*Dashboard!$C$10))</f>
        <v>0</v>
      </c>
      <c r="AA894" s="37" t="n">
        <f aca="false">IF($N894="",0,IF(COUNTIF(Dashboard!$C$13:$C$22,$N894)&gt;0,1,0))</f>
        <v>0</v>
      </c>
      <c r="AB894" s="37" t="str">
        <f aca="false">IF($N894="","",IF(COUNTIF($N$8:$N894,$N894)=1,MAX($AB$7:$AB893)+1,""))</f>
        <v/>
      </c>
    </row>
    <row r="895" customFormat="false" ht="15" hidden="false" customHeight="false" outlineLevel="0" collapsed="false">
      <c r="L895" s="37" t="str">
        <f aca="false">IF(INDEX($A895:$J895,$L$6)&lt;&gt;"",TRIM(LEFT(INDEX($A895:$J895,$L$6),FIND("(",INDEX($A895:$J895,$L$6)&amp;"(")-1)),L894)</f>
        <v>Building Value Proposition</v>
      </c>
      <c r="M895" s="37" t="str">
        <f aca="false">IF(INDEX($A895:$J895,$M$6)="","",INDEX($A895:$J895,$M$6)&amp;"")</f>
        <v/>
      </c>
      <c r="N895" s="37" t="str">
        <f aca="false">IF($M895="","",TRIM(INDEX($A895:$J895,$N$6)&amp;""))</f>
        <v/>
      </c>
      <c r="O895" s="37" t="str">
        <f aca="false">IF($M895="","",TRIM(INDEX($A895:$J895,$O$6)&amp;""))</f>
        <v/>
      </c>
      <c r="P895" s="37" t="str">
        <f aca="false">IF($M895="","",IFERROR(IF(INDEX(Settings!$B$41:$B$50,MATCH(O895,Settings!$A$41:$A$50,0))&amp;""="","UNMAPPED",INDEX(Settings!$B$41:$B$50,MATCH(O895,Settings!$A$41:$A$50,0))&amp;""),"UNMAPPED"))</f>
        <v/>
      </c>
      <c r="Q895" s="38" t="n">
        <f aca="false">IF($M895="",0,N(INDEX($A895:$J895,$Q$6)))</f>
        <v>0</v>
      </c>
      <c r="R895" s="39" t="str">
        <f aca="false">IF($M895="","",INDEX($A895:$J895,$R$6))</f>
        <v/>
      </c>
      <c r="S895" s="37" t="str">
        <f aca="false">IF($M895="","",IFERROR(INDEX(Settings!$B$27:$B$36,MATCH(L895,Settings!$A$27:$A$36,0))&amp;"","UNMAPPED"))</f>
        <v/>
      </c>
      <c r="T895" s="37" t="str">
        <f aca="false">IF($M895="","",IF(NOT(ISNUMBER(R895)),"NO DATE",IF(S895="Won",IF(R895&gt;Settings!$B$5,"Backlog","Delivered"),IF(S895="Open",IF(R895&gt;Settings!$B$5,"Pipeline","Overdue"),IF(S895="Lost","Lost","UNMAPPED")))))</f>
        <v/>
      </c>
      <c r="U895" s="40" t="n">
        <f aca="false">IF(T895="Backlog",1,IF(OR(T895="Pipeline",T895="Overdue"),N(INDEX(Settings!$C$27:$C$36,MATCH(L895,Settings!$A$27:$A$36,0))),0))</f>
        <v>0</v>
      </c>
      <c r="V895" s="38" t="n">
        <f aca="false">Q895*U895</f>
        <v>0</v>
      </c>
      <c r="W895" s="41" t="str">
        <f aca="false">IF($M895="","",IF(T895="Overdue",IF(Settings!$B$8="Yes",Settings!$B$7,""),IF(ISNUMBER(R895),DATE(YEAR(R895),MONTH(R895),1),"")))</f>
        <v/>
      </c>
      <c r="X895" s="38" t="n">
        <f aca="false">IF(AND(OR(T895="Backlog",T895="Pipeline",T895="Overdue"),ISNUMBER(W895)),IF(W895&lt;=Settings!$B$6,V895,0),0)</f>
        <v>0</v>
      </c>
      <c r="Y895" s="38" t="n">
        <f aca="false">IF(AND(OR(T895="Backlog",T895="Pipeline",T895="Overdue"),ISNUMBER(W895)),IF(W895&lt;=Settings!$B$6,Q895,0),0)</f>
        <v>0</v>
      </c>
      <c r="Z895" s="38" t="n">
        <f aca="false">IF(Y895=0,0,IF(T895="Backlog",Q895,Q895*Dashboard!$C$10))</f>
        <v>0</v>
      </c>
      <c r="AA895" s="37" t="n">
        <f aca="false">IF($N895="",0,IF(COUNTIF(Dashboard!$C$13:$C$22,$N895)&gt;0,1,0))</f>
        <v>0</v>
      </c>
      <c r="AB895" s="37" t="str">
        <f aca="false">IF($N895="","",IF(COUNTIF($N$8:$N895,$N895)=1,MAX($AB$7:$AB894)+1,""))</f>
        <v/>
      </c>
    </row>
    <row r="896" customFormat="false" ht="15" hidden="false" customHeight="false" outlineLevel="0" collapsed="false">
      <c r="L896" s="37" t="str">
        <f aca="false">IF(INDEX($A896:$J896,$L$6)&lt;&gt;"",TRIM(LEFT(INDEX($A896:$J896,$L$6),FIND("(",INDEX($A896:$J896,$L$6)&amp;"(")-1)),L895)</f>
        <v>Building Value Proposition</v>
      </c>
      <c r="M896" s="37" t="str">
        <f aca="false">IF(INDEX($A896:$J896,$M$6)="","",INDEX($A896:$J896,$M$6)&amp;"")</f>
        <v/>
      </c>
      <c r="N896" s="37" t="str">
        <f aca="false">IF($M896="","",TRIM(INDEX($A896:$J896,$N$6)&amp;""))</f>
        <v/>
      </c>
      <c r="O896" s="37" t="str">
        <f aca="false">IF($M896="","",TRIM(INDEX($A896:$J896,$O$6)&amp;""))</f>
        <v/>
      </c>
      <c r="P896" s="37" t="str">
        <f aca="false">IF($M896="","",IFERROR(IF(INDEX(Settings!$B$41:$B$50,MATCH(O896,Settings!$A$41:$A$50,0))&amp;""="","UNMAPPED",INDEX(Settings!$B$41:$B$50,MATCH(O896,Settings!$A$41:$A$50,0))&amp;""),"UNMAPPED"))</f>
        <v/>
      </c>
      <c r="Q896" s="38" t="n">
        <f aca="false">IF($M896="",0,N(INDEX($A896:$J896,$Q$6)))</f>
        <v>0</v>
      </c>
      <c r="R896" s="39" t="str">
        <f aca="false">IF($M896="","",INDEX($A896:$J896,$R$6))</f>
        <v/>
      </c>
      <c r="S896" s="37" t="str">
        <f aca="false">IF($M896="","",IFERROR(INDEX(Settings!$B$27:$B$36,MATCH(L896,Settings!$A$27:$A$36,0))&amp;"","UNMAPPED"))</f>
        <v/>
      </c>
      <c r="T896" s="37" t="str">
        <f aca="false">IF($M896="","",IF(NOT(ISNUMBER(R896)),"NO DATE",IF(S896="Won",IF(R896&gt;Settings!$B$5,"Backlog","Delivered"),IF(S896="Open",IF(R896&gt;Settings!$B$5,"Pipeline","Overdue"),IF(S896="Lost","Lost","UNMAPPED")))))</f>
        <v/>
      </c>
      <c r="U896" s="40" t="n">
        <f aca="false">IF(T896="Backlog",1,IF(OR(T896="Pipeline",T896="Overdue"),N(INDEX(Settings!$C$27:$C$36,MATCH(L896,Settings!$A$27:$A$36,0))),0))</f>
        <v>0</v>
      </c>
      <c r="V896" s="38" t="n">
        <f aca="false">Q896*U896</f>
        <v>0</v>
      </c>
      <c r="W896" s="41" t="str">
        <f aca="false">IF($M896="","",IF(T896="Overdue",IF(Settings!$B$8="Yes",Settings!$B$7,""),IF(ISNUMBER(R896),DATE(YEAR(R896),MONTH(R896),1),"")))</f>
        <v/>
      </c>
      <c r="X896" s="38" t="n">
        <f aca="false">IF(AND(OR(T896="Backlog",T896="Pipeline",T896="Overdue"),ISNUMBER(W896)),IF(W896&lt;=Settings!$B$6,V896,0),0)</f>
        <v>0</v>
      </c>
      <c r="Y896" s="38" t="n">
        <f aca="false">IF(AND(OR(T896="Backlog",T896="Pipeline",T896="Overdue"),ISNUMBER(W896)),IF(W896&lt;=Settings!$B$6,Q896,0),0)</f>
        <v>0</v>
      </c>
      <c r="Z896" s="38" t="n">
        <f aca="false">IF(Y896=0,0,IF(T896="Backlog",Q896,Q896*Dashboard!$C$10))</f>
        <v>0</v>
      </c>
      <c r="AA896" s="37" t="n">
        <f aca="false">IF($N896="",0,IF(COUNTIF(Dashboard!$C$13:$C$22,$N896)&gt;0,1,0))</f>
        <v>0</v>
      </c>
      <c r="AB896" s="37" t="str">
        <f aca="false">IF($N896="","",IF(COUNTIF($N$8:$N896,$N896)=1,MAX($AB$7:$AB895)+1,""))</f>
        <v/>
      </c>
    </row>
    <row r="897" customFormat="false" ht="15" hidden="false" customHeight="false" outlineLevel="0" collapsed="false">
      <c r="L897" s="37" t="str">
        <f aca="false">IF(INDEX($A897:$J897,$L$6)&lt;&gt;"",TRIM(LEFT(INDEX($A897:$J897,$L$6),FIND("(",INDEX($A897:$J897,$L$6)&amp;"(")-1)),L896)</f>
        <v>Building Value Proposition</v>
      </c>
      <c r="M897" s="37" t="str">
        <f aca="false">IF(INDEX($A897:$J897,$M$6)="","",INDEX($A897:$J897,$M$6)&amp;"")</f>
        <v/>
      </c>
      <c r="N897" s="37" t="str">
        <f aca="false">IF($M897="","",TRIM(INDEX($A897:$J897,$N$6)&amp;""))</f>
        <v/>
      </c>
      <c r="O897" s="37" t="str">
        <f aca="false">IF($M897="","",TRIM(INDEX($A897:$J897,$O$6)&amp;""))</f>
        <v/>
      </c>
      <c r="P897" s="37" t="str">
        <f aca="false">IF($M897="","",IFERROR(IF(INDEX(Settings!$B$41:$B$50,MATCH(O897,Settings!$A$41:$A$50,0))&amp;""="","UNMAPPED",INDEX(Settings!$B$41:$B$50,MATCH(O897,Settings!$A$41:$A$50,0))&amp;""),"UNMAPPED"))</f>
        <v/>
      </c>
      <c r="Q897" s="38" t="n">
        <f aca="false">IF($M897="",0,N(INDEX($A897:$J897,$Q$6)))</f>
        <v>0</v>
      </c>
      <c r="R897" s="39" t="str">
        <f aca="false">IF($M897="","",INDEX($A897:$J897,$R$6))</f>
        <v/>
      </c>
      <c r="S897" s="37" t="str">
        <f aca="false">IF($M897="","",IFERROR(INDEX(Settings!$B$27:$B$36,MATCH(L897,Settings!$A$27:$A$36,0))&amp;"","UNMAPPED"))</f>
        <v/>
      </c>
      <c r="T897" s="37" t="str">
        <f aca="false">IF($M897="","",IF(NOT(ISNUMBER(R897)),"NO DATE",IF(S897="Won",IF(R897&gt;Settings!$B$5,"Backlog","Delivered"),IF(S897="Open",IF(R897&gt;Settings!$B$5,"Pipeline","Overdue"),IF(S897="Lost","Lost","UNMAPPED")))))</f>
        <v/>
      </c>
      <c r="U897" s="40" t="n">
        <f aca="false">IF(T897="Backlog",1,IF(OR(T897="Pipeline",T897="Overdue"),N(INDEX(Settings!$C$27:$C$36,MATCH(L897,Settings!$A$27:$A$36,0))),0))</f>
        <v>0</v>
      </c>
      <c r="V897" s="38" t="n">
        <f aca="false">Q897*U897</f>
        <v>0</v>
      </c>
      <c r="W897" s="41" t="str">
        <f aca="false">IF($M897="","",IF(T897="Overdue",IF(Settings!$B$8="Yes",Settings!$B$7,""),IF(ISNUMBER(R897),DATE(YEAR(R897),MONTH(R897),1),"")))</f>
        <v/>
      </c>
      <c r="X897" s="38" t="n">
        <f aca="false">IF(AND(OR(T897="Backlog",T897="Pipeline",T897="Overdue"),ISNUMBER(W897)),IF(W897&lt;=Settings!$B$6,V897,0),0)</f>
        <v>0</v>
      </c>
      <c r="Y897" s="38" t="n">
        <f aca="false">IF(AND(OR(T897="Backlog",T897="Pipeline",T897="Overdue"),ISNUMBER(W897)),IF(W897&lt;=Settings!$B$6,Q897,0),0)</f>
        <v>0</v>
      </c>
      <c r="Z897" s="38" t="n">
        <f aca="false">IF(Y897=0,0,IF(T897="Backlog",Q897,Q897*Dashboard!$C$10))</f>
        <v>0</v>
      </c>
      <c r="AA897" s="37" t="n">
        <f aca="false">IF($N897="",0,IF(COUNTIF(Dashboard!$C$13:$C$22,$N897)&gt;0,1,0))</f>
        <v>0</v>
      </c>
      <c r="AB897" s="37" t="str">
        <f aca="false">IF($N897="","",IF(COUNTIF($N$8:$N897,$N897)=1,MAX($AB$7:$AB896)+1,""))</f>
        <v/>
      </c>
    </row>
    <row r="898" customFormat="false" ht="15" hidden="false" customHeight="false" outlineLevel="0" collapsed="false">
      <c r="L898" s="37" t="str">
        <f aca="false">IF(INDEX($A898:$J898,$L$6)&lt;&gt;"",TRIM(LEFT(INDEX($A898:$J898,$L$6),FIND("(",INDEX($A898:$J898,$L$6)&amp;"(")-1)),L897)</f>
        <v>Building Value Proposition</v>
      </c>
      <c r="M898" s="37" t="str">
        <f aca="false">IF(INDEX($A898:$J898,$M$6)="","",INDEX($A898:$J898,$M$6)&amp;"")</f>
        <v/>
      </c>
      <c r="N898" s="37" t="str">
        <f aca="false">IF($M898="","",TRIM(INDEX($A898:$J898,$N$6)&amp;""))</f>
        <v/>
      </c>
      <c r="O898" s="37" t="str">
        <f aca="false">IF($M898="","",TRIM(INDEX($A898:$J898,$O$6)&amp;""))</f>
        <v/>
      </c>
      <c r="P898" s="37" t="str">
        <f aca="false">IF($M898="","",IFERROR(IF(INDEX(Settings!$B$41:$B$50,MATCH(O898,Settings!$A$41:$A$50,0))&amp;""="","UNMAPPED",INDEX(Settings!$B$41:$B$50,MATCH(O898,Settings!$A$41:$A$50,0))&amp;""),"UNMAPPED"))</f>
        <v/>
      </c>
      <c r="Q898" s="38" t="n">
        <f aca="false">IF($M898="",0,N(INDEX($A898:$J898,$Q$6)))</f>
        <v>0</v>
      </c>
      <c r="R898" s="39" t="str">
        <f aca="false">IF($M898="","",INDEX($A898:$J898,$R$6))</f>
        <v/>
      </c>
      <c r="S898" s="37" t="str">
        <f aca="false">IF($M898="","",IFERROR(INDEX(Settings!$B$27:$B$36,MATCH(L898,Settings!$A$27:$A$36,0))&amp;"","UNMAPPED"))</f>
        <v/>
      </c>
      <c r="T898" s="37" t="str">
        <f aca="false">IF($M898="","",IF(NOT(ISNUMBER(R898)),"NO DATE",IF(S898="Won",IF(R898&gt;Settings!$B$5,"Backlog","Delivered"),IF(S898="Open",IF(R898&gt;Settings!$B$5,"Pipeline","Overdue"),IF(S898="Lost","Lost","UNMAPPED")))))</f>
        <v/>
      </c>
      <c r="U898" s="40" t="n">
        <f aca="false">IF(T898="Backlog",1,IF(OR(T898="Pipeline",T898="Overdue"),N(INDEX(Settings!$C$27:$C$36,MATCH(L898,Settings!$A$27:$A$36,0))),0))</f>
        <v>0</v>
      </c>
      <c r="V898" s="38" t="n">
        <f aca="false">Q898*U898</f>
        <v>0</v>
      </c>
      <c r="W898" s="41" t="str">
        <f aca="false">IF($M898="","",IF(T898="Overdue",IF(Settings!$B$8="Yes",Settings!$B$7,""),IF(ISNUMBER(R898),DATE(YEAR(R898),MONTH(R898),1),"")))</f>
        <v/>
      </c>
      <c r="X898" s="38" t="n">
        <f aca="false">IF(AND(OR(T898="Backlog",T898="Pipeline",T898="Overdue"),ISNUMBER(W898)),IF(W898&lt;=Settings!$B$6,V898,0),0)</f>
        <v>0</v>
      </c>
      <c r="Y898" s="38" t="n">
        <f aca="false">IF(AND(OR(T898="Backlog",T898="Pipeline",T898="Overdue"),ISNUMBER(W898)),IF(W898&lt;=Settings!$B$6,Q898,0),0)</f>
        <v>0</v>
      </c>
      <c r="Z898" s="38" t="n">
        <f aca="false">IF(Y898=0,0,IF(T898="Backlog",Q898,Q898*Dashboard!$C$10))</f>
        <v>0</v>
      </c>
      <c r="AA898" s="37" t="n">
        <f aca="false">IF($N898="",0,IF(COUNTIF(Dashboard!$C$13:$C$22,$N898)&gt;0,1,0))</f>
        <v>0</v>
      </c>
      <c r="AB898" s="37" t="str">
        <f aca="false">IF($N898="","",IF(COUNTIF($N$8:$N898,$N898)=1,MAX($AB$7:$AB897)+1,""))</f>
        <v/>
      </c>
    </row>
    <row r="899" customFormat="false" ht="15" hidden="false" customHeight="false" outlineLevel="0" collapsed="false">
      <c r="L899" s="37" t="str">
        <f aca="false">IF(INDEX($A899:$J899,$L$6)&lt;&gt;"",TRIM(LEFT(INDEX($A899:$J899,$L$6),FIND("(",INDEX($A899:$J899,$L$6)&amp;"(")-1)),L898)</f>
        <v>Building Value Proposition</v>
      </c>
      <c r="M899" s="37" t="str">
        <f aca="false">IF(INDEX($A899:$J899,$M$6)="","",INDEX($A899:$J899,$M$6)&amp;"")</f>
        <v/>
      </c>
      <c r="N899" s="37" t="str">
        <f aca="false">IF($M899="","",TRIM(INDEX($A899:$J899,$N$6)&amp;""))</f>
        <v/>
      </c>
      <c r="O899" s="37" t="str">
        <f aca="false">IF($M899="","",TRIM(INDEX($A899:$J899,$O$6)&amp;""))</f>
        <v/>
      </c>
      <c r="P899" s="37" t="str">
        <f aca="false">IF($M899="","",IFERROR(IF(INDEX(Settings!$B$41:$B$50,MATCH(O899,Settings!$A$41:$A$50,0))&amp;""="","UNMAPPED",INDEX(Settings!$B$41:$B$50,MATCH(O899,Settings!$A$41:$A$50,0))&amp;""),"UNMAPPED"))</f>
        <v/>
      </c>
      <c r="Q899" s="38" t="n">
        <f aca="false">IF($M899="",0,N(INDEX($A899:$J899,$Q$6)))</f>
        <v>0</v>
      </c>
      <c r="R899" s="39" t="str">
        <f aca="false">IF($M899="","",INDEX($A899:$J899,$R$6))</f>
        <v/>
      </c>
      <c r="S899" s="37" t="str">
        <f aca="false">IF($M899="","",IFERROR(INDEX(Settings!$B$27:$B$36,MATCH(L899,Settings!$A$27:$A$36,0))&amp;"","UNMAPPED"))</f>
        <v/>
      </c>
      <c r="T899" s="37" t="str">
        <f aca="false">IF($M899="","",IF(NOT(ISNUMBER(R899)),"NO DATE",IF(S899="Won",IF(R899&gt;Settings!$B$5,"Backlog","Delivered"),IF(S899="Open",IF(R899&gt;Settings!$B$5,"Pipeline","Overdue"),IF(S899="Lost","Lost","UNMAPPED")))))</f>
        <v/>
      </c>
      <c r="U899" s="40" t="n">
        <f aca="false">IF(T899="Backlog",1,IF(OR(T899="Pipeline",T899="Overdue"),N(INDEX(Settings!$C$27:$C$36,MATCH(L899,Settings!$A$27:$A$36,0))),0))</f>
        <v>0</v>
      </c>
      <c r="V899" s="38" t="n">
        <f aca="false">Q899*U899</f>
        <v>0</v>
      </c>
      <c r="W899" s="41" t="str">
        <f aca="false">IF($M899="","",IF(T899="Overdue",IF(Settings!$B$8="Yes",Settings!$B$7,""),IF(ISNUMBER(R899),DATE(YEAR(R899),MONTH(R899),1),"")))</f>
        <v/>
      </c>
      <c r="X899" s="38" t="n">
        <f aca="false">IF(AND(OR(T899="Backlog",T899="Pipeline",T899="Overdue"),ISNUMBER(W899)),IF(W899&lt;=Settings!$B$6,V899,0),0)</f>
        <v>0</v>
      </c>
      <c r="Y899" s="38" t="n">
        <f aca="false">IF(AND(OR(T899="Backlog",T899="Pipeline",T899="Overdue"),ISNUMBER(W899)),IF(W899&lt;=Settings!$B$6,Q899,0),0)</f>
        <v>0</v>
      </c>
      <c r="Z899" s="38" t="n">
        <f aca="false">IF(Y899=0,0,IF(T899="Backlog",Q899,Q899*Dashboard!$C$10))</f>
        <v>0</v>
      </c>
      <c r="AA899" s="37" t="n">
        <f aca="false">IF($N899="",0,IF(COUNTIF(Dashboard!$C$13:$C$22,$N899)&gt;0,1,0))</f>
        <v>0</v>
      </c>
      <c r="AB899" s="37" t="str">
        <f aca="false">IF($N899="","",IF(COUNTIF($N$8:$N899,$N899)=1,MAX($AB$7:$AB898)+1,""))</f>
        <v/>
      </c>
    </row>
    <row r="900" customFormat="false" ht="15" hidden="false" customHeight="false" outlineLevel="0" collapsed="false">
      <c r="L900" s="37" t="str">
        <f aca="false">IF(INDEX($A900:$J900,$L$6)&lt;&gt;"",TRIM(LEFT(INDEX($A900:$J900,$L$6),FIND("(",INDEX($A900:$J900,$L$6)&amp;"(")-1)),L899)</f>
        <v>Building Value Proposition</v>
      </c>
      <c r="M900" s="37" t="str">
        <f aca="false">IF(INDEX($A900:$J900,$M$6)="","",INDEX($A900:$J900,$M$6)&amp;"")</f>
        <v/>
      </c>
      <c r="N900" s="37" t="str">
        <f aca="false">IF($M900="","",TRIM(INDEX($A900:$J900,$N$6)&amp;""))</f>
        <v/>
      </c>
      <c r="O900" s="37" t="str">
        <f aca="false">IF($M900="","",TRIM(INDEX($A900:$J900,$O$6)&amp;""))</f>
        <v/>
      </c>
      <c r="P900" s="37" t="str">
        <f aca="false">IF($M900="","",IFERROR(IF(INDEX(Settings!$B$41:$B$50,MATCH(O900,Settings!$A$41:$A$50,0))&amp;""="","UNMAPPED",INDEX(Settings!$B$41:$B$50,MATCH(O900,Settings!$A$41:$A$50,0))&amp;""),"UNMAPPED"))</f>
        <v/>
      </c>
      <c r="Q900" s="38" t="n">
        <f aca="false">IF($M900="",0,N(INDEX($A900:$J900,$Q$6)))</f>
        <v>0</v>
      </c>
      <c r="R900" s="39" t="str">
        <f aca="false">IF($M900="","",INDEX($A900:$J900,$R$6))</f>
        <v/>
      </c>
      <c r="S900" s="37" t="str">
        <f aca="false">IF($M900="","",IFERROR(INDEX(Settings!$B$27:$B$36,MATCH(L900,Settings!$A$27:$A$36,0))&amp;"","UNMAPPED"))</f>
        <v/>
      </c>
      <c r="T900" s="37" t="str">
        <f aca="false">IF($M900="","",IF(NOT(ISNUMBER(R900)),"NO DATE",IF(S900="Won",IF(R900&gt;Settings!$B$5,"Backlog","Delivered"),IF(S900="Open",IF(R900&gt;Settings!$B$5,"Pipeline","Overdue"),IF(S900="Lost","Lost","UNMAPPED")))))</f>
        <v/>
      </c>
      <c r="U900" s="40" t="n">
        <f aca="false">IF(T900="Backlog",1,IF(OR(T900="Pipeline",T900="Overdue"),N(INDEX(Settings!$C$27:$C$36,MATCH(L900,Settings!$A$27:$A$36,0))),0))</f>
        <v>0</v>
      </c>
      <c r="V900" s="38" t="n">
        <f aca="false">Q900*U900</f>
        <v>0</v>
      </c>
      <c r="W900" s="41" t="str">
        <f aca="false">IF($M900="","",IF(T900="Overdue",IF(Settings!$B$8="Yes",Settings!$B$7,""),IF(ISNUMBER(R900),DATE(YEAR(R900),MONTH(R900),1),"")))</f>
        <v/>
      </c>
      <c r="X900" s="38" t="n">
        <f aca="false">IF(AND(OR(T900="Backlog",T900="Pipeline",T900="Overdue"),ISNUMBER(W900)),IF(W900&lt;=Settings!$B$6,V900,0),0)</f>
        <v>0</v>
      </c>
      <c r="Y900" s="38" t="n">
        <f aca="false">IF(AND(OR(T900="Backlog",T900="Pipeline",T900="Overdue"),ISNUMBER(W900)),IF(W900&lt;=Settings!$B$6,Q900,0),0)</f>
        <v>0</v>
      </c>
      <c r="Z900" s="38" t="n">
        <f aca="false">IF(Y900=0,0,IF(T900="Backlog",Q900,Q900*Dashboard!$C$10))</f>
        <v>0</v>
      </c>
      <c r="AA900" s="37" t="n">
        <f aca="false">IF($N900="",0,IF(COUNTIF(Dashboard!$C$13:$C$22,$N900)&gt;0,1,0))</f>
        <v>0</v>
      </c>
      <c r="AB900" s="37" t="str">
        <f aca="false">IF($N900="","",IF(COUNTIF($N$8:$N900,$N900)=1,MAX($AB$7:$AB899)+1,""))</f>
        <v/>
      </c>
    </row>
    <row r="901" customFormat="false" ht="15" hidden="false" customHeight="false" outlineLevel="0" collapsed="false">
      <c r="L901" s="37" t="str">
        <f aca="false">IF(INDEX($A901:$J901,$L$6)&lt;&gt;"",TRIM(LEFT(INDEX($A901:$J901,$L$6),FIND("(",INDEX($A901:$J901,$L$6)&amp;"(")-1)),L900)</f>
        <v>Building Value Proposition</v>
      </c>
      <c r="M901" s="37" t="str">
        <f aca="false">IF(INDEX($A901:$J901,$M$6)="","",INDEX($A901:$J901,$M$6)&amp;"")</f>
        <v/>
      </c>
      <c r="N901" s="37" t="str">
        <f aca="false">IF($M901="","",TRIM(INDEX($A901:$J901,$N$6)&amp;""))</f>
        <v/>
      </c>
      <c r="O901" s="37" t="str">
        <f aca="false">IF($M901="","",TRIM(INDEX($A901:$J901,$O$6)&amp;""))</f>
        <v/>
      </c>
      <c r="P901" s="37" t="str">
        <f aca="false">IF($M901="","",IFERROR(IF(INDEX(Settings!$B$41:$B$50,MATCH(O901,Settings!$A$41:$A$50,0))&amp;""="","UNMAPPED",INDEX(Settings!$B$41:$B$50,MATCH(O901,Settings!$A$41:$A$50,0))&amp;""),"UNMAPPED"))</f>
        <v/>
      </c>
      <c r="Q901" s="38" t="n">
        <f aca="false">IF($M901="",0,N(INDEX($A901:$J901,$Q$6)))</f>
        <v>0</v>
      </c>
      <c r="R901" s="39" t="str">
        <f aca="false">IF($M901="","",INDEX($A901:$J901,$R$6))</f>
        <v/>
      </c>
      <c r="S901" s="37" t="str">
        <f aca="false">IF($M901="","",IFERROR(INDEX(Settings!$B$27:$B$36,MATCH(L901,Settings!$A$27:$A$36,0))&amp;"","UNMAPPED"))</f>
        <v/>
      </c>
      <c r="T901" s="37" t="str">
        <f aca="false">IF($M901="","",IF(NOT(ISNUMBER(R901)),"NO DATE",IF(S901="Won",IF(R901&gt;Settings!$B$5,"Backlog","Delivered"),IF(S901="Open",IF(R901&gt;Settings!$B$5,"Pipeline","Overdue"),IF(S901="Lost","Lost","UNMAPPED")))))</f>
        <v/>
      </c>
      <c r="U901" s="40" t="n">
        <f aca="false">IF(T901="Backlog",1,IF(OR(T901="Pipeline",T901="Overdue"),N(INDEX(Settings!$C$27:$C$36,MATCH(L901,Settings!$A$27:$A$36,0))),0))</f>
        <v>0</v>
      </c>
      <c r="V901" s="38" t="n">
        <f aca="false">Q901*U901</f>
        <v>0</v>
      </c>
      <c r="W901" s="41" t="str">
        <f aca="false">IF($M901="","",IF(T901="Overdue",IF(Settings!$B$8="Yes",Settings!$B$7,""),IF(ISNUMBER(R901),DATE(YEAR(R901),MONTH(R901),1),"")))</f>
        <v/>
      </c>
      <c r="X901" s="38" t="n">
        <f aca="false">IF(AND(OR(T901="Backlog",T901="Pipeline",T901="Overdue"),ISNUMBER(W901)),IF(W901&lt;=Settings!$B$6,V901,0),0)</f>
        <v>0</v>
      </c>
      <c r="Y901" s="38" t="n">
        <f aca="false">IF(AND(OR(T901="Backlog",T901="Pipeline",T901="Overdue"),ISNUMBER(W901)),IF(W901&lt;=Settings!$B$6,Q901,0),0)</f>
        <v>0</v>
      </c>
      <c r="Z901" s="38" t="n">
        <f aca="false">IF(Y901=0,0,IF(T901="Backlog",Q901,Q901*Dashboard!$C$10))</f>
        <v>0</v>
      </c>
      <c r="AA901" s="37" t="n">
        <f aca="false">IF($N901="",0,IF(COUNTIF(Dashboard!$C$13:$C$22,$N901)&gt;0,1,0))</f>
        <v>0</v>
      </c>
      <c r="AB901" s="37" t="str">
        <f aca="false">IF($N901="","",IF(COUNTIF($N$8:$N901,$N901)=1,MAX($AB$7:$AB900)+1,""))</f>
        <v/>
      </c>
    </row>
    <row r="902" customFormat="false" ht="15" hidden="false" customHeight="false" outlineLevel="0" collapsed="false">
      <c r="L902" s="37" t="str">
        <f aca="false">IF(INDEX($A902:$J902,$L$6)&lt;&gt;"",TRIM(LEFT(INDEX($A902:$J902,$L$6),FIND("(",INDEX($A902:$J902,$L$6)&amp;"(")-1)),L901)</f>
        <v>Building Value Proposition</v>
      </c>
      <c r="M902" s="37" t="str">
        <f aca="false">IF(INDEX($A902:$J902,$M$6)="","",INDEX($A902:$J902,$M$6)&amp;"")</f>
        <v/>
      </c>
      <c r="N902" s="37" t="str">
        <f aca="false">IF($M902="","",TRIM(INDEX($A902:$J902,$N$6)&amp;""))</f>
        <v/>
      </c>
      <c r="O902" s="37" t="str">
        <f aca="false">IF($M902="","",TRIM(INDEX($A902:$J902,$O$6)&amp;""))</f>
        <v/>
      </c>
      <c r="P902" s="37" t="str">
        <f aca="false">IF($M902="","",IFERROR(IF(INDEX(Settings!$B$41:$B$50,MATCH(O902,Settings!$A$41:$A$50,0))&amp;""="","UNMAPPED",INDEX(Settings!$B$41:$B$50,MATCH(O902,Settings!$A$41:$A$50,0))&amp;""),"UNMAPPED"))</f>
        <v/>
      </c>
      <c r="Q902" s="38" t="n">
        <f aca="false">IF($M902="",0,N(INDEX($A902:$J902,$Q$6)))</f>
        <v>0</v>
      </c>
      <c r="R902" s="39" t="str">
        <f aca="false">IF($M902="","",INDEX($A902:$J902,$R$6))</f>
        <v/>
      </c>
      <c r="S902" s="37" t="str">
        <f aca="false">IF($M902="","",IFERROR(INDEX(Settings!$B$27:$B$36,MATCH(L902,Settings!$A$27:$A$36,0))&amp;"","UNMAPPED"))</f>
        <v/>
      </c>
      <c r="T902" s="37" t="str">
        <f aca="false">IF($M902="","",IF(NOT(ISNUMBER(R902)),"NO DATE",IF(S902="Won",IF(R902&gt;Settings!$B$5,"Backlog","Delivered"),IF(S902="Open",IF(R902&gt;Settings!$B$5,"Pipeline","Overdue"),IF(S902="Lost","Lost","UNMAPPED")))))</f>
        <v/>
      </c>
      <c r="U902" s="40" t="n">
        <f aca="false">IF(T902="Backlog",1,IF(OR(T902="Pipeline",T902="Overdue"),N(INDEX(Settings!$C$27:$C$36,MATCH(L902,Settings!$A$27:$A$36,0))),0))</f>
        <v>0</v>
      </c>
      <c r="V902" s="38" t="n">
        <f aca="false">Q902*U902</f>
        <v>0</v>
      </c>
      <c r="W902" s="41" t="str">
        <f aca="false">IF($M902="","",IF(T902="Overdue",IF(Settings!$B$8="Yes",Settings!$B$7,""),IF(ISNUMBER(R902),DATE(YEAR(R902),MONTH(R902),1),"")))</f>
        <v/>
      </c>
      <c r="X902" s="38" t="n">
        <f aca="false">IF(AND(OR(T902="Backlog",T902="Pipeline",T902="Overdue"),ISNUMBER(W902)),IF(W902&lt;=Settings!$B$6,V902,0),0)</f>
        <v>0</v>
      </c>
      <c r="Y902" s="38" t="n">
        <f aca="false">IF(AND(OR(T902="Backlog",T902="Pipeline",T902="Overdue"),ISNUMBER(W902)),IF(W902&lt;=Settings!$B$6,Q902,0),0)</f>
        <v>0</v>
      </c>
      <c r="Z902" s="38" t="n">
        <f aca="false">IF(Y902=0,0,IF(T902="Backlog",Q902,Q902*Dashboard!$C$10))</f>
        <v>0</v>
      </c>
      <c r="AA902" s="37" t="n">
        <f aca="false">IF($N902="",0,IF(COUNTIF(Dashboard!$C$13:$C$22,$N902)&gt;0,1,0))</f>
        <v>0</v>
      </c>
      <c r="AB902" s="37" t="str">
        <f aca="false">IF($N902="","",IF(COUNTIF($N$8:$N902,$N902)=1,MAX($AB$7:$AB901)+1,""))</f>
        <v/>
      </c>
    </row>
    <row r="903" customFormat="false" ht="15" hidden="false" customHeight="false" outlineLevel="0" collapsed="false">
      <c r="L903" s="37" t="str">
        <f aca="false">IF(INDEX($A903:$J903,$L$6)&lt;&gt;"",TRIM(LEFT(INDEX($A903:$J903,$L$6),FIND("(",INDEX($A903:$J903,$L$6)&amp;"(")-1)),L902)</f>
        <v>Building Value Proposition</v>
      </c>
      <c r="M903" s="37" t="str">
        <f aca="false">IF(INDEX($A903:$J903,$M$6)="","",INDEX($A903:$J903,$M$6)&amp;"")</f>
        <v/>
      </c>
      <c r="N903" s="37" t="str">
        <f aca="false">IF($M903="","",TRIM(INDEX($A903:$J903,$N$6)&amp;""))</f>
        <v/>
      </c>
      <c r="O903" s="37" t="str">
        <f aca="false">IF($M903="","",TRIM(INDEX($A903:$J903,$O$6)&amp;""))</f>
        <v/>
      </c>
      <c r="P903" s="37" t="str">
        <f aca="false">IF($M903="","",IFERROR(IF(INDEX(Settings!$B$41:$B$50,MATCH(O903,Settings!$A$41:$A$50,0))&amp;""="","UNMAPPED",INDEX(Settings!$B$41:$B$50,MATCH(O903,Settings!$A$41:$A$50,0))&amp;""),"UNMAPPED"))</f>
        <v/>
      </c>
      <c r="Q903" s="38" t="n">
        <f aca="false">IF($M903="",0,N(INDEX($A903:$J903,$Q$6)))</f>
        <v>0</v>
      </c>
      <c r="R903" s="39" t="str">
        <f aca="false">IF($M903="","",INDEX($A903:$J903,$R$6))</f>
        <v/>
      </c>
      <c r="S903" s="37" t="str">
        <f aca="false">IF($M903="","",IFERROR(INDEX(Settings!$B$27:$B$36,MATCH(L903,Settings!$A$27:$A$36,0))&amp;"","UNMAPPED"))</f>
        <v/>
      </c>
      <c r="T903" s="37" t="str">
        <f aca="false">IF($M903="","",IF(NOT(ISNUMBER(R903)),"NO DATE",IF(S903="Won",IF(R903&gt;Settings!$B$5,"Backlog","Delivered"),IF(S903="Open",IF(R903&gt;Settings!$B$5,"Pipeline","Overdue"),IF(S903="Lost","Lost","UNMAPPED")))))</f>
        <v/>
      </c>
      <c r="U903" s="40" t="n">
        <f aca="false">IF(T903="Backlog",1,IF(OR(T903="Pipeline",T903="Overdue"),N(INDEX(Settings!$C$27:$C$36,MATCH(L903,Settings!$A$27:$A$36,0))),0))</f>
        <v>0</v>
      </c>
      <c r="V903" s="38" t="n">
        <f aca="false">Q903*U903</f>
        <v>0</v>
      </c>
      <c r="W903" s="41" t="str">
        <f aca="false">IF($M903="","",IF(T903="Overdue",IF(Settings!$B$8="Yes",Settings!$B$7,""),IF(ISNUMBER(R903),DATE(YEAR(R903),MONTH(R903),1),"")))</f>
        <v/>
      </c>
      <c r="X903" s="38" t="n">
        <f aca="false">IF(AND(OR(T903="Backlog",T903="Pipeline",T903="Overdue"),ISNUMBER(W903)),IF(W903&lt;=Settings!$B$6,V903,0),0)</f>
        <v>0</v>
      </c>
      <c r="Y903" s="38" t="n">
        <f aca="false">IF(AND(OR(T903="Backlog",T903="Pipeline",T903="Overdue"),ISNUMBER(W903)),IF(W903&lt;=Settings!$B$6,Q903,0),0)</f>
        <v>0</v>
      </c>
      <c r="Z903" s="38" t="n">
        <f aca="false">IF(Y903=0,0,IF(T903="Backlog",Q903,Q903*Dashboard!$C$10))</f>
        <v>0</v>
      </c>
      <c r="AA903" s="37" t="n">
        <f aca="false">IF($N903="",0,IF(COUNTIF(Dashboard!$C$13:$C$22,$N903)&gt;0,1,0))</f>
        <v>0</v>
      </c>
      <c r="AB903" s="37" t="str">
        <f aca="false">IF($N903="","",IF(COUNTIF($N$8:$N903,$N903)=1,MAX($AB$7:$AB902)+1,""))</f>
        <v/>
      </c>
    </row>
    <row r="904" customFormat="false" ht="15" hidden="false" customHeight="false" outlineLevel="0" collapsed="false">
      <c r="L904" s="37" t="str">
        <f aca="false">IF(INDEX($A904:$J904,$L$6)&lt;&gt;"",TRIM(LEFT(INDEX($A904:$J904,$L$6),FIND("(",INDEX($A904:$J904,$L$6)&amp;"(")-1)),L903)</f>
        <v>Building Value Proposition</v>
      </c>
      <c r="M904" s="37" t="str">
        <f aca="false">IF(INDEX($A904:$J904,$M$6)="","",INDEX($A904:$J904,$M$6)&amp;"")</f>
        <v/>
      </c>
      <c r="N904" s="37" t="str">
        <f aca="false">IF($M904="","",TRIM(INDEX($A904:$J904,$N$6)&amp;""))</f>
        <v/>
      </c>
      <c r="O904" s="37" t="str">
        <f aca="false">IF($M904="","",TRIM(INDEX($A904:$J904,$O$6)&amp;""))</f>
        <v/>
      </c>
      <c r="P904" s="37" t="str">
        <f aca="false">IF($M904="","",IFERROR(IF(INDEX(Settings!$B$41:$B$50,MATCH(O904,Settings!$A$41:$A$50,0))&amp;""="","UNMAPPED",INDEX(Settings!$B$41:$B$50,MATCH(O904,Settings!$A$41:$A$50,0))&amp;""),"UNMAPPED"))</f>
        <v/>
      </c>
      <c r="Q904" s="38" t="n">
        <f aca="false">IF($M904="",0,N(INDEX($A904:$J904,$Q$6)))</f>
        <v>0</v>
      </c>
      <c r="R904" s="39" t="str">
        <f aca="false">IF($M904="","",INDEX($A904:$J904,$R$6))</f>
        <v/>
      </c>
      <c r="S904" s="37" t="str">
        <f aca="false">IF($M904="","",IFERROR(INDEX(Settings!$B$27:$B$36,MATCH(L904,Settings!$A$27:$A$36,0))&amp;"","UNMAPPED"))</f>
        <v/>
      </c>
      <c r="T904" s="37" t="str">
        <f aca="false">IF($M904="","",IF(NOT(ISNUMBER(R904)),"NO DATE",IF(S904="Won",IF(R904&gt;Settings!$B$5,"Backlog","Delivered"),IF(S904="Open",IF(R904&gt;Settings!$B$5,"Pipeline","Overdue"),IF(S904="Lost","Lost","UNMAPPED")))))</f>
        <v/>
      </c>
      <c r="U904" s="40" t="n">
        <f aca="false">IF(T904="Backlog",1,IF(OR(T904="Pipeline",T904="Overdue"),N(INDEX(Settings!$C$27:$C$36,MATCH(L904,Settings!$A$27:$A$36,0))),0))</f>
        <v>0</v>
      </c>
      <c r="V904" s="38" t="n">
        <f aca="false">Q904*U904</f>
        <v>0</v>
      </c>
      <c r="W904" s="41" t="str">
        <f aca="false">IF($M904="","",IF(T904="Overdue",IF(Settings!$B$8="Yes",Settings!$B$7,""),IF(ISNUMBER(R904),DATE(YEAR(R904),MONTH(R904),1),"")))</f>
        <v/>
      </c>
      <c r="X904" s="38" t="n">
        <f aca="false">IF(AND(OR(T904="Backlog",T904="Pipeline",T904="Overdue"),ISNUMBER(W904)),IF(W904&lt;=Settings!$B$6,V904,0),0)</f>
        <v>0</v>
      </c>
      <c r="Y904" s="38" t="n">
        <f aca="false">IF(AND(OR(T904="Backlog",T904="Pipeline",T904="Overdue"),ISNUMBER(W904)),IF(W904&lt;=Settings!$B$6,Q904,0),0)</f>
        <v>0</v>
      </c>
      <c r="Z904" s="38" t="n">
        <f aca="false">IF(Y904=0,0,IF(T904="Backlog",Q904,Q904*Dashboard!$C$10))</f>
        <v>0</v>
      </c>
      <c r="AA904" s="37" t="n">
        <f aca="false">IF($N904="",0,IF(COUNTIF(Dashboard!$C$13:$C$22,$N904)&gt;0,1,0))</f>
        <v>0</v>
      </c>
      <c r="AB904" s="37" t="str">
        <f aca="false">IF($N904="","",IF(COUNTIF($N$8:$N904,$N904)=1,MAX($AB$7:$AB903)+1,""))</f>
        <v/>
      </c>
    </row>
    <row r="905" customFormat="false" ht="15" hidden="false" customHeight="false" outlineLevel="0" collapsed="false">
      <c r="L905" s="37" t="str">
        <f aca="false">IF(INDEX($A905:$J905,$L$6)&lt;&gt;"",TRIM(LEFT(INDEX($A905:$J905,$L$6),FIND("(",INDEX($A905:$J905,$L$6)&amp;"(")-1)),L904)</f>
        <v>Building Value Proposition</v>
      </c>
      <c r="M905" s="37" t="str">
        <f aca="false">IF(INDEX($A905:$J905,$M$6)="","",INDEX($A905:$J905,$M$6)&amp;"")</f>
        <v/>
      </c>
      <c r="N905" s="37" t="str">
        <f aca="false">IF($M905="","",TRIM(INDEX($A905:$J905,$N$6)&amp;""))</f>
        <v/>
      </c>
      <c r="O905" s="37" t="str">
        <f aca="false">IF($M905="","",TRIM(INDEX($A905:$J905,$O$6)&amp;""))</f>
        <v/>
      </c>
      <c r="P905" s="37" t="str">
        <f aca="false">IF($M905="","",IFERROR(IF(INDEX(Settings!$B$41:$B$50,MATCH(O905,Settings!$A$41:$A$50,0))&amp;""="","UNMAPPED",INDEX(Settings!$B$41:$B$50,MATCH(O905,Settings!$A$41:$A$50,0))&amp;""),"UNMAPPED"))</f>
        <v/>
      </c>
      <c r="Q905" s="38" t="n">
        <f aca="false">IF($M905="",0,N(INDEX($A905:$J905,$Q$6)))</f>
        <v>0</v>
      </c>
      <c r="R905" s="39" t="str">
        <f aca="false">IF($M905="","",INDEX($A905:$J905,$R$6))</f>
        <v/>
      </c>
      <c r="S905" s="37" t="str">
        <f aca="false">IF($M905="","",IFERROR(INDEX(Settings!$B$27:$B$36,MATCH(L905,Settings!$A$27:$A$36,0))&amp;"","UNMAPPED"))</f>
        <v/>
      </c>
      <c r="T905" s="37" t="str">
        <f aca="false">IF($M905="","",IF(NOT(ISNUMBER(R905)),"NO DATE",IF(S905="Won",IF(R905&gt;Settings!$B$5,"Backlog","Delivered"),IF(S905="Open",IF(R905&gt;Settings!$B$5,"Pipeline","Overdue"),IF(S905="Lost","Lost","UNMAPPED")))))</f>
        <v/>
      </c>
      <c r="U905" s="40" t="n">
        <f aca="false">IF(T905="Backlog",1,IF(OR(T905="Pipeline",T905="Overdue"),N(INDEX(Settings!$C$27:$C$36,MATCH(L905,Settings!$A$27:$A$36,0))),0))</f>
        <v>0</v>
      </c>
      <c r="V905" s="38" t="n">
        <f aca="false">Q905*U905</f>
        <v>0</v>
      </c>
      <c r="W905" s="41" t="str">
        <f aca="false">IF($M905="","",IF(T905="Overdue",IF(Settings!$B$8="Yes",Settings!$B$7,""),IF(ISNUMBER(R905),DATE(YEAR(R905),MONTH(R905),1),"")))</f>
        <v/>
      </c>
      <c r="X905" s="38" t="n">
        <f aca="false">IF(AND(OR(T905="Backlog",T905="Pipeline",T905="Overdue"),ISNUMBER(W905)),IF(W905&lt;=Settings!$B$6,V905,0),0)</f>
        <v>0</v>
      </c>
      <c r="Y905" s="38" t="n">
        <f aca="false">IF(AND(OR(T905="Backlog",T905="Pipeline",T905="Overdue"),ISNUMBER(W905)),IF(W905&lt;=Settings!$B$6,Q905,0),0)</f>
        <v>0</v>
      </c>
      <c r="Z905" s="38" t="n">
        <f aca="false">IF(Y905=0,0,IF(T905="Backlog",Q905,Q905*Dashboard!$C$10))</f>
        <v>0</v>
      </c>
      <c r="AA905" s="37" t="n">
        <f aca="false">IF($N905="",0,IF(COUNTIF(Dashboard!$C$13:$C$22,$N905)&gt;0,1,0))</f>
        <v>0</v>
      </c>
      <c r="AB905" s="37" t="str">
        <f aca="false">IF($N905="","",IF(COUNTIF($N$8:$N905,$N905)=1,MAX($AB$7:$AB904)+1,""))</f>
        <v/>
      </c>
    </row>
    <row r="906" customFormat="false" ht="15" hidden="false" customHeight="false" outlineLevel="0" collapsed="false">
      <c r="L906" s="37" t="str">
        <f aca="false">IF(INDEX($A906:$J906,$L$6)&lt;&gt;"",TRIM(LEFT(INDEX($A906:$J906,$L$6),FIND("(",INDEX($A906:$J906,$L$6)&amp;"(")-1)),L905)</f>
        <v>Building Value Proposition</v>
      </c>
      <c r="M906" s="37" t="str">
        <f aca="false">IF(INDEX($A906:$J906,$M$6)="","",INDEX($A906:$J906,$M$6)&amp;"")</f>
        <v/>
      </c>
      <c r="N906" s="37" t="str">
        <f aca="false">IF($M906="","",TRIM(INDEX($A906:$J906,$N$6)&amp;""))</f>
        <v/>
      </c>
      <c r="O906" s="37" t="str">
        <f aca="false">IF($M906="","",TRIM(INDEX($A906:$J906,$O$6)&amp;""))</f>
        <v/>
      </c>
      <c r="P906" s="37" t="str">
        <f aca="false">IF($M906="","",IFERROR(IF(INDEX(Settings!$B$41:$B$50,MATCH(O906,Settings!$A$41:$A$50,0))&amp;""="","UNMAPPED",INDEX(Settings!$B$41:$B$50,MATCH(O906,Settings!$A$41:$A$50,0))&amp;""),"UNMAPPED"))</f>
        <v/>
      </c>
      <c r="Q906" s="38" t="n">
        <f aca="false">IF($M906="",0,N(INDEX($A906:$J906,$Q$6)))</f>
        <v>0</v>
      </c>
      <c r="R906" s="39" t="str">
        <f aca="false">IF($M906="","",INDEX($A906:$J906,$R$6))</f>
        <v/>
      </c>
      <c r="S906" s="37" t="str">
        <f aca="false">IF($M906="","",IFERROR(INDEX(Settings!$B$27:$B$36,MATCH(L906,Settings!$A$27:$A$36,0))&amp;"","UNMAPPED"))</f>
        <v/>
      </c>
      <c r="T906" s="37" t="str">
        <f aca="false">IF($M906="","",IF(NOT(ISNUMBER(R906)),"NO DATE",IF(S906="Won",IF(R906&gt;Settings!$B$5,"Backlog","Delivered"),IF(S906="Open",IF(R906&gt;Settings!$B$5,"Pipeline","Overdue"),IF(S906="Lost","Lost","UNMAPPED")))))</f>
        <v/>
      </c>
      <c r="U906" s="40" t="n">
        <f aca="false">IF(T906="Backlog",1,IF(OR(T906="Pipeline",T906="Overdue"),N(INDEX(Settings!$C$27:$C$36,MATCH(L906,Settings!$A$27:$A$36,0))),0))</f>
        <v>0</v>
      </c>
      <c r="V906" s="38" t="n">
        <f aca="false">Q906*U906</f>
        <v>0</v>
      </c>
      <c r="W906" s="41" t="str">
        <f aca="false">IF($M906="","",IF(T906="Overdue",IF(Settings!$B$8="Yes",Settings!$B$7,""),IF(ISNUMBER(R906),DATE(YEAR(R906),MONTH(R906),1),"")))</f>
        <v/>
      </c>
      <c r="X906" s="38" t="n">
        <f aca="false">IF(AND(OR(T906="Backlog",T906="Pipeline",T906="Overdue"),ISNUMBER(W906)),IF(W906&lt;=Settings!$B$6,V906,0),0)</f>
        <v>0</v>
      </c>
      <c r="Y906" s="38" t="n">
        <f aca="false">IF(AND(OR(T906="Backlog",T906="Pipeline",T906="Overdue"),ISNUMBER(W906)),IF(W906&lt;=Settings!$B$6,Q906,0),0)</f>
        <v>0</v>
      </c>
      <c r="Z906" s="38" t="n">
        <f aca="false">IF(Y906=0,0,IF(T906="Backlog",Q906,Q906*Dashboard!$C$10))</f>
        <v>0</v>
      </c>
      <c r="AA906" s="37" t="n">
        <f aca="false">IF($N906="",0,IF(COUNTIF(Dashboard!$C$13:$C$22,$N906)&gt;0,1,0))</f>
        <v>0</v>
      </c>
      <c r="AB906" s="37" t="str">
        <f aca="false">IF($N906="","",IF(COUNTIF($N$8:$N906,$N906)=1,MAX($AB$7:$AB905)+1,""))</f>
        <v/>
      </c>
    </row>
    <row r="907" customFormat="false" ht="15" hidden="false" customHeight="false" outlineLevel="0" collapsed="false">
      <c r="L907" s="37" t="str">
        <f aca="false">IF(INDEX($A907:$J907,$L$6)&lt;&gt;"",TRIM(LEFT(INDEX($A907:$J907,$L$6),FIND("(",INDEX($A907:$J907,$L$6)&amp;"(")-1)),L906)</f>
        <v>Building Value Proposition</v>
      </c>
      <c r="M907" s="37" t="str">
        <f aca="false">IF(INDEX($A907:$J907,$M$6)="","",INDEX($A907:$J907,$M$6)&amp;"")</f>
        <v/>
      </c>
      <c r="N907" s="37" t="str">
        <f aca="false">IF($M907="","",TRIM(INDEX($A907:$J907,$N$6)&amp;""))</f>
        <v/>
      </c>
      <c r="O907" s="37" t="str">
        <f aca="false">IF($M907="","",TRIM(INDEX($A907:$J907,$O$6)&amp;""))</f>
        <v/>
      </c>
      <c r="P907" s="37" t="str">
        <f aca="false">IF($M907="","",IFERROR(IF(INDEX(Settings!$B$41:$B$50,MATCH(O907,Settings!$A$41:$A$50,0))&amp;""="","UNMAPPED",INDEX(Settings!$B$41:$B$50,MATCH(O907,Settings!$A$41:$A$50,0))&amp;""),"UNMAPPED"))</f>
        <v/>
      </c>
      <c r="Q907" s="38" t="n">
        <f aca="false">IF($M907="",0,N(INDEX($A907:$J907,$Q$6)))</f>
        <v>0</v>
      </c>
      <c r="R907" s="39" t="str">
        <f aca="false">IF($M907="","",INDEX($A907:$J907,$R$6))</f>
        <v/>
      </c>
      <c r="S907" s="37" t="str">
        <f aca="false">IF($M907="","",IFERROR(INDEX(Settings!$B$27:$B$36,MATCH(L907,Settings!$A$27:$A$36,0))&amp;"","UNMAPPED"))</f>
        <v/>
      </c>
      <c r="T907" s="37" t="str">
        <f aca="false">IF($M907="","",IF(NOT(ISNUMBER(R907)),"NO DATE",IF(S907="Won",IF(R907&gt;Settings!$B$5,"Backlog","Delivered"),IF(S907="Open",IF(R907&gt;Settings!$B$5,"Pipeline","Overdue"),IF(S907="Lost","Lost","UNMAPPED")))))</f>
        <v/>
      </c>
      <c r="U907" s="40" t="n">
        <f aca="false">IF(T907="Backlog",1,IF(OR(T907="Pipeline",T907="Overdue"),N(INDEX(Settings!$C$27:$C$36,MATCH(L907,Settings!$A$27:$A$36,0))),0))</f>
        <v>0</v>
      </c>
      <c r="V907" s="38" t="n">
        <f aca="false">Q907*U907</f>
        <v>0</v>
      </c>
      <c r="W907" s="41" t="str">
        <f aca="false">IF($M907="","",IF(T907="Overdue",IF(Settings!$B$8="Yes",Settings!$B$7,""),IF(ISNUMBER(R907),DATE(YEAR(R907),MONTH(R907),1),"")))</f>
        <v/>
      </c>
      <c r="X907" s="38" t="n">
        <f aca="false">IF(AND(OR(T907="Backlog",T907="Pipeline",T907="Overdue"),ISNUMBER(W907)),IF(W907&lt;=Settings!$B$6,V907,0),0)</f>
        <v>0</v>
      </c>
      <c r="Y907" s="38" t="n">
        <f aca="false">IF(AND(OR(T907="Backlog",T907="Pipeline",T907="Overdue"),ISNUMBER(W907)),IF(W907&lt;=Settings!$B$6,Q907,0),0)</f>
        <v>0</v>
      </c>
      <c r="Z907" s="38" t="n">
        <f aca="false">IF(Y907=0,0,IF(T907="Backlog",Q907,Q907*Dashboard!$C$10))</f>
        <v>0</v>
      </c>
      <c r="AA907" s="37" t="n">
        <f aca="false">IF($N907="",0,IF(COUNTIF(Dashboard!$C$13:$C$22,$N907)&gt;0,1,0))</f>
        <v>0</v>
      </c>
      <c r="AB907" s="37" t="str">
        <f aca="false">IF($N907="","",IF(COUNTIF($N$8:$N907,$N907)=1,MAX($AB$7:$AB906)+1,""))</f>
        <v/>
      </c>
    </row>
    <row r="908" customFormat="false" ht="15" hidden="false" customHeight="false" outlineLevel="0" collapsed="false">
      <c r="L908" s="37" t="str">
        <f aca="false">IF(INDEX($A908:$J908,$L$6)&lt;&gt;"",TRIM(LEFT(INDEX($A908:$J908,$L$6),FIND("(",INDEX($A908:$J908,$L$6)&amp;"(")-1)),L907)</f>
        <v>Building Value Proposition</v>
      </c>
      <c r="M908" s="37" t="str">
        <f aca="false">IF(INDEX($A908:$J908,$M$6)="","",INDEX($A908:$J908,$M$6)&amp;"")</f>
        <v/>
      </c>
      <c r="N908" s="37" t="str">
        <f aca="false">IF($M908="","",TRIM(INDEX($A908:$J908,$N$6)&amp;""))</f>
        <v/>
      </c>
      <c r="O908" s="37" t="str">
        <f aca="false">IF($M908="","",TRIM(INDEX($A908:$J908,$O$6)&amp;""))</f>
        <v/>
      </c>
      <c r="P908" s="37" t="str">
        <f aca="false">IF($M908="","",IFERROR(IF(INDEX(Settings!$B$41:$B$50,MATCH(O908,Settings!$A$41:$A$50,0))&amp;""="","UNMAPPED",INDEX(Settings!$B$41:$B$50,MATCH(O908,Settings!$A$41:$A$50,0))&amp;""),"UNMAPPED"))</f>
        <v/>
      </c>
      <c r="Q908" s="38" t="n">
        <f aca="false">IF($M908="",0,N(INDEX($A908:$J908,$Q$6)))</f>
        <v>0</v>
      </c>
      <c r="R908" s="39" t="str">
        <f aca="false">IF($M908="","",INDEX($A908:$J908,$R$6))</f>
        <v/>
      </c>
      <c r="S908" s="37" t="str">
        <f aca="false">IF($M908="","",IFERROR(INDEX(Settings!$B$27:$B$36,MATCH(L908,Settings!$A$27:$A$36,0))&amp;"","UNMAPPED"))</f>
        <v/>
      </c>
      <c r="T908" s="37" t="str">
        <f aca="false">IF($M908="","",IF(NOT(ISNUMBER(R908)),"NO DATE",IF(S908="Won",IF(R908&gt;Settings!$B$5,"Backlog","Delivered"),IF(S908="Open",IF(R908&gt;Settings!$B$5,"Pipeline","Overdue"),IF(S908="Lost","Lost","UNMAPPED")))))</f>
        <v/>
      </c>
      <c r="U908" s="40" t="n">
        <f aca="false">IF(T908="Backlog",1,IF(OR(T908="Pipeline",T908="Overdue"),N(INDEX(Settings!$C$27:$C$36,MATCH(L908,Settings!$A$27:$A$36,0))),0))</f>
        <v>0</v>
      </c>
      <c r="V908" s="38" t="n">
        <f aca="false">Q908*U908</f>
        <v>0</v>
      </c>
      <c r="W908" s="41" t="str">
        <f aca="false">IF($M908="","",IF(T908="Overdue",IF(Settings!$B$8="Yes",Settings!$B$7,""),IF(ISNUMBER(R908),DATE(YEAR(R908),MONTH(R908),1),"")))</f>
        <v/>
      </c>
      <c r="X908" s="38" t="n">
        <f aca="false">IF(AND(OR(T908="Backlog",T908="Pipeline",T908="Overdue"),ISNUMBER(W908)),IF(W908&lt;=Settings!$B$6,V908,0),0)</f>
        <v>0</v>
      </c>
      <c r="Y908" s="38" t="n">
        <f aca="false">IF(AND(OR(T908="Backlog",T908="Pipeline",T908="Overdue"),ISNUMBER(W908)),IF(W908&lt;=Settings!$B$6,Q908,0),0)</f>
        <v>0</v>
      </c>
      <c r="Z908" s="38" t="n">
        <f aca="false">IF(Y908=0,0,IF(T908="Backlog",Q908,Q908*Dashboard!$C$10))</f>
        <v>0</v>
      </c>
      <c r="AA908" s="37" t="n">
        <f aca="false">IF($N908="",0,IF(COUNTIF(Dashboard!$C$13:$C$22,$N908)&gt;0,1,0))</f>
        <v>0</v>
      </c>
      <c r="AB908" s="37" t="str">
        <f aca="false">IF($N908="","",IF(COUNTIF($N$8:$N908,$N908)=1,MAX($AB$7:$AB907)+1,""))</f>
        <v/>
      </c>
    </row>
    <row r="909" customFormat="false" ht="15" hidden="false" customHeight="false" outlineLevel="0" collapsed="false">
      <c r="L909" s="37" t="str">
        <f aca="false">IF(INDEX($A909:$J909,$L$6)&lt;&gt;"",TRIM(LEFT(INDEX($A909:$J909,$L$6),FIND("(",INDEX($A909:$J909,$L$6)&amp;"(")-1)),L908)</f>
        <v>Building Value Proposition</v>
      </c>
      <c r="M909" s="37" t="str">
        <f aca="false">IF(INDEX($A909:$J909,$M$6)="","",INDEX($A909:$J909,$M$6)&amp;"")</f>
        <v/>
      </c>
      <c r="N909" s="37" t="str">
        <f aca="false">IF($M909="","",TRIM(INDEX($A909:$J909,$N$6)&amp;""))</f>
        <v/>
      </c>
      <c r="O909" s="37" t="str">
        <f aca="false">IF($M909="","",TRIM(INDEX($A909:$J909,$O$6)&amp;""))</f>
        <v/>
      </c>
      <c r="P909" s="37" t="str">
        <f aca="false">IF($M909="","",IFERROR(IF(INDEX(Settings!$B$41:$B$50,MATCH(O909,Settings!$A$41:$A$50,0))&amp;""="","UNMAPPED",INDEX(Settings!$B$41:$B$50,MATCH(O909,Settings!$A$41:$A$50,0))&amp;""),"UNMAPPED"))</f>
        <v/>
      </c>
      <c r="Q909" s="38" t="n">
        <f aca="false">IF($M909="",0,N(INDEX($A909:$J909,$Q$6)))</f>
        <v>0</v>
      </c>
      <c r="R909" s="39" t="str">
        <f aca="false">IF($M909="","",INDEX($A909:$J909,$R$6))</f>
        <v/>
      </c>
      <c r="S909" s="37" t="str">
        <f aca="false">IF($M909="","",IFERROR(INDEX(Settings!$B$27:$B$36,MATCH(L909,Settings!$A$27:$A$36,0))&amp;"","UNMAPPED"))</f>
        <v/>
      </c>
      <c r="T909" s="37" t="str">
        <f aca="false">IF($M909="","",IF(NOT(ISNUMBER(R909)),"NO DATE",IF(S909="Won",IF(R909&gt;Settings!$B$5,"Backlog","Delivered"),IF(S909="Open",IF(R909&gt;Settings!$B$5,"Pipeline","Overdue"),IF(S909="Lost","Lost","UNMAPPED")))))</f>
        <v/>
      </c>
      <c r="U909" s="40" t="n">
        <f aca="false">IF(T909="Backlog",1,IF(OR(T909="Pipeline",T909="Overdue"),N(INDEX(Settings!$C$27:$C$36,MATCH(L909,Settings!$A$27:$A$36,0))),0))</f>
        <v>0</v>
      </c>
      <c r="V909" s="38" t="n">
        <f aca="false">Q909*U909</f>
        <v>0</v>
      </c>
      <c r="W909" s="41" t="str">
        <f aca="false">IF($M909="","",IF(T909="Overdue",IF(Settings!$B$8="Yes",Settings!$B$7,""),IF(ISNUMBER(R909),DATE(YEAR(R909),MONTH(R909),1),"")))</f>
        <v/>
      </c>
      <c r="X909" s="38" t="n">
        <f aca="false">IF(AND(OR(T909="Backlog",T909="Pipeline",T909="Overdue"),ISNUMBER(W909)),IF(W909&lt;=Settings!$B$6,V909,0),0)</f>
        <v>0</v>
      </c>
      <c r="Y909" s="38" t="n">
        <f aca="false">IF(AND(OR(T909="Backlog",T909="Pipeline",T909="Overdue"),ISNUMBER(W909)),IF(W909&lt;=Settings!$B$6,Q909,0),0)</f>
        <v>0</v>
      </c>
      <c r="Z909" s="38" t="n">
        <f aca="false">IF(Y909=0,0,IF(T909="Backlog",Q909,Q909*Dashboard!$C$10))</f>
        <v>0</v>
      </c>
      <c r="AA909" s="37" t="n">
        <f aca="false">IF($N909="",0,IF(COUNTIF(Dashboard!$C$13:$C$22,$N909)&gt;0,1,0))</f>
        <v>0</v>
      </c>
      <c r="AB909" s="37" t="str">
        <f aca="false">IF($N909="","",IF(COUNTIF($N$8:$N909,$N909)=1,MAX($AB$7:$AB908)+1,""))</f>
        <v/>
      </c>
    </row>
    <row r="910" customFormat="false" ht="15" hidden="false" customHeight="false" outlineLevel="0" collapsed="false">
      <c r="L910" s="37" t="str">
        <f aca="false">IF(INDEX($A910:$J910,$L$6)&lt;&gt;"",TRIM(LEFT(INDEX($A910:$J910,$L$6),FIND("(",INDEX($A910:$J910,$L$6)&amp;"(")-1)),L909)</f>
        <v>Building Value Proposition</v>
      </c>
      <c r="M910" s="37" t="str">
        <f aca="false">IF(INDEX($A910:$J910,$M$6)="","",INDEX($A910:$J910,$M$6)&amp;"")</f>
        <v/>
      </c>
      <c r="N910" s="37" t="str">
        <f aca="false">IF($M910="","",TRIM(INDEX($A910:$J910,$N$6)&amp;""))</f>
        <v/>
      </c>
      <c r="O910" s="37" t="str">
        <f aca="false">IF($M910="","",TRIM(INDEX($A910:$J910,$O$6)&amp;""))</f>
        <v/>
      </c>
      <c r="P910" s="37" t="str">
        <f aca="false">IF($M910="","",IFERROR(IF(INDEX(Settings!$B$41:$B$50,MATCH(O910,Settings!$A$41:$A$50,0))&amp;""="","UNMAPPED",INDEX(Settings!$B$41:$B$50,MATCH(O910,Settings!$A$41:$A$50,0))&amp;""),"UNMAPPED"))</f>
        <v/>
      </c>
      <c r="Q910" s="38" t="n">
        <f aca="false">IF($M910="",0,N(INDEX($A910:$J910,$Q$6)))</f>
        <v>0</v>
      </c>
      <c r="R910" s="39" t="str">
        <f aca="false">IF($M910="","",INDEX($A910:$J910,$R$6))</f>
        <v/>
      </c>
      <c r="S910" s="37" t="str">
        <f aca="false">IF($M910="","",IFERROR(INDEX(Settings!$B$27:$B$36,MATCH(L910,Settings!$A$27:$A$36,0))&amp;"","UNMAPPED"))</f>
        <v/>
      </c>
      <c r="T910" s="37" t="str">
        <f aca="false">IF($M910="","",IF(NOT(ISNUMBER(R910)),"NO DATE",IF(S910="Won",IF(R910&gt;Settings!$B$5,"Backlog","Delivered"),IF(S910="Open",IF(R910&gt;Settings!$B$5,"Pipeline","Overdue"),IF(S910="Lost","Lost","UNMAPPED")))))</f>
        <v/>
      </c>
      <c r="U910" s="40" t="n">
        <f aca="false">IF(T910="Backlog",1,IF(OR(T910="Pipeline",T910="Overdue"),N(INDEX(Settings!$C$27:$C$36,MATCH(L910,Settings!$A$27:$A$36,0))),0))</f>
        <v>0</v>
      </c>
      <c r="V910" s="38" t="n">
        <f aca="false">Q910*U910</f>
        <v>0</v>
      </c>
      <c r="W910" s="41" t="str">
        <f aca="false">IF($M910="","",IF(T910="Overdue",IF(Settings!$B$8="Yes",Settings!$B$7,""),IF(ISNUMBER(R910),DATE(YEAR(R910),MONTH(R910),1),"")))</f>
        <v/>
      </c>
      <c r="X910" s="38" t="n">
        <f aca="false">IF(AND(OR(T910="Backlog",T910="Pipeline",T910="Overdue"),ISNUMBER(W910)),IF(W910&lt;=Settings!$B$6,V910,0),0)</f>
        <v>0</v>
      </c>
      <c r="Y910" s="38" t="n">
        <f aca="false">IF(AND(OR(T910="Backlog",T910="Pipeline",T910="Overdue"),ISNUMBER(W910)),IF(W910&lt;=Settings!$B$6,Q910,0),0)</f>
        <v>0</v>
      </c>
      <c r="Z910" s="38" t="n">
        <f aca="false">IF(Y910=0,0,IF(T910="Backlog",Q910,Q910*Dashboard!$C$10))</f>
        <v>0</v>
      </c>
      <c r="AA910" s="37" t="n">
        <f aca="false">IF($N910="",0,IF(COUNTIF(Dashboard!$C$13:$C$22,$N910)&gt;0,1,0))</f>
        <v>0</v>
      </c>
      <c r="AB910" s="37" t="str">
        <f aca="false">IF($N910="","",IF(COUNTIF($N$8:$N910,$N910)=1,MAX($AB$7:$AB909)+1,""))</f>
        <v/>
      </c>
    </row>
    <row r="911" customFormat="false" ht="15" hidden="false" customHeight="false" outlineLevel="0" collapsed="false">
      <c r="L911" s="37" t="str">
        <f aca="false">IF(INDEX($A911:$J911,$L$6)&lt;&gt;"",TRIM(LEFT(INDEX($A911:$J911,$L$6),FIND("(",INDEX($A911:$J911,$L$6)&amp;"(")-1)),L910)</f>
        <v>Building Value Proposition</v>
      </c>
      <c r="M911" s="37" t="str">
        <f aca="false">IF(INDEX($A911:$J911,$M$6)="","",INDEX($A911:$J911,$M$6)&amp;"")</f>
        <v/>
      </c>
      <c r="N911" s="37" t="str">
        <f aca="false">IF($M911="","",TRIM(INDEX($A911:$J911,$N$6)&amp;""))</f>
        <v/>
      </c>
      <c r="O911" s="37" t="str">
        <f aca="false">IF($M911="","",TRIM(INDEX($A911:$J911,$O$6)&amp;""))</f>
        <v/>
      </c>
      <c r="P911" s="37" t="str">
        <f aca="false">IF($M911="","",IFERROR(IF(INDEX(Settings!$B$41:$B$50,MATCH(O911,Settings!$A$41:$A$50,0))&amp;""="","UNMAPPED",INDEX(Settings!$B$41:$B$50,MATCH(O911,Settings!$A$41:$A$50,0))&amp;""),"UNMAPPED"))</f>
        <v/>
      </c>
      <c r="Q911" s="38" t="n">
        <f aca="false">IF($M911="",0,N(INDEX($A911:$J911,$Q$6)))</f>
        <v>0</v>
      </c>
      <c r="R911" s="39" t="str">
        <f aca="false">IF($M911="","",INDEX($A911:$J911,$R$6))</f>
        <v/>
      </c>
      <c r="S911" s="37" t="str">
        <f aca="false">IF($M911="","",IFERROR(INDEX(Settings!$B$27:$B$36,MATCH(L911,Settings!$A$27:$A$36,0))&amp;"","UNMAPPED"))</f>
        <v/>
      </c>
      <c r="T911" s="37" t="str">
        <f aca="false">IF($M911="","",IF(NOT(ISNUMBER(R911)),"NO DATE",IF(S911="Won",IF(R911&gt;Settings!$B$5,"Backlog","Delivered"),IF(S911="Open",IF(R911&gt;Settings!$B$5,"Pipeline","Overdue"),IF(S911="Lost","Lost","UNMAPPED")))))</f>
        <v/>
      </c>
      <c r="U911" s="40" t="n">
        <f aca="false">IF(T911="Backlog",1,IF(OR(T911="Pipeline",T911="Overdue"),N(INDEX(Settings!$C$27:$C$36,MATCH(L911,Settings!$A$27:$A$36,0))),0))</f>
        <v>0</v>
      </c>
      <c r="V911" s="38" t="n">
        <f aca="false">Q911*U911</f>
        <v>0</v>
      </c>
      <c r="W911" s="41" t="str">
        <f aca="false">IF($M911="","",IF(T911="Overdue",IF(Settings!$B$8="Yes",Settings!$B$7,""),IF(ISNUMBER(R911),DATE(YEAR(R911),MONTH(R911),1),"")))</f>
        <v/>
      </c>
      <c r="X911" s="38" t="n">
        <f aca="false">IF(AND(OR(T911="Backlog",T911="Pipeline",T911="Overdue"),ISNUMBER(W911)),IF(W911&lt;=Settings!$B$6,V911,0),0)</f>
        <v>0</v>
      </c>
      <c r="Y911" s="38" t="n">
        <f aca="false">IF(AND(OR(T911="Backlog",T911="Pipeline",T911="Overdue"),ISNUMBER(W911)),IF(W911&lt;=Settings!$B$6,Q911,0),0)</f>
        <v>0</v>
      </c>
      <c r="Z911" s="38" t="n">
        <f aca="false">IF(Y911=0,0,IF(T911="Backlog",Q911,Q911*Dashboard!$C$10))</f>
        <v>0</v>
      </c>
      <c r="AA911" s="37" t="n">
        <f aca="false">IF($N911="",0,IF(COUNTIF(Dashboard!$C$13:$C$22,$N911)&gt;0,1,0))</f>
        <v>0</v>
      </c>
      <c r="AB911" s="37" t="str">
        <f aca="false">IF($N911="","",IF(COUNTIF($N$8:$N911,$N911)=1,MAX($AB$7:$AB910)+1,""))</f>
        <v/>
      </c>
    </row>
    <row r="912" customFormat="false" ht="15" hidden="false" customHeight="false" outlineLevel="0" collapsed="false">
      <c r="L912" s="37" t="str">
        <f aca="false">IF(INDEX($A912:$J912,$L$6)&lt;&gt;"",TRIM(LEFT(INDEX($A912:$J912,$L$6),FIND("(",INDEX($A912:$J912,$L$6)&amp;"(")-1)),L911)</f>
        <v>Building Value Proposition</v>
      </c>
      <c r="M912" s="37" t="str">
        <f aca="false">IF(INDEX($A912:$J912,$M$6)="","",INDEX($A912:$J912,$M$6)&amp;"")</f>
        <v/>
      </c>
      <c r="N912" s="37" t="str">
        <f aca="false">IF($M912="","",TRIM(INDEX($A912:$J912,$N$6)&amp;""))</f>
        <v/>
      </c>
      <c r="O912" s="37" t="str">
        <f aca="false">IF($M912="","",TRIM(INDEX($A912:$J912,$O$6)&amp;""))</f>
        <v/>
      </c>
      <c r="P912" s="37" t="str">
        <f aca="false">IF($M912="","",IFERROR(IF(INDEX(Settings!$B$41:$B$50,MATCH(O912,Settings!$A$41:$A$50,0))&amp;""="","UNMAPPED",INDEX(Settings!$B$41:$B$50,MATCH(O912,Settings!$A$41:$A$50,0))&amp;""),"UNMAPPED"))</f>
        <v/>
      </c>
      <c r="Q912" s="38" t="n">
        <f aca="false">IF($M912="",0,N(INDEX($A912:$J912,$Q$6)))</f>
        <v>0</v>
      </c>
      <c r="R912" s="39" t="str">
        <f aca="false">IF($M912="","",INDEX($A912:$J912,$R$6))</f>
        <v/>
      </c>
      <c r="S912" s="37" t="str">
        <f aca="false">IF($M912="","",IFERROR(INDEX(Settings!$B$27:$B$36,MATCH(L912,Settings!$A$27:$A$36,0))&amp;"","UNMAPPED"))</f>
        <v/>
      </c>
      <c r="T912" s="37" t="str">
        <f aca="false">IF($M912="","",IF(NOT(ISNUMBER(R912)),"NO DATE",IF(S912="Won",IF(R912&gt;Settings!$B$5,"Backlog","Delivered"),IF(S912="Open",IF(R912&gt;Settings!$B$5,"Pipeline","Overdue"),IF(S912="Lost","Lost","UNMAPPED")))))</f>
        <v/>
      </c>
      <c r="U912" s="40" t="n">
        <f aca="false">IF(T912="Backlog",1,IF(OR(T912="Pipeline",T912="Overdue"),N(INDEX(Settings!$C$27:$C$36,MATCH(L912,Settings!$A$27:$A$36,0))),0))</f>
        <v>0</v>
      </c>
      <c r="V912" s="38" t="n">
        <f aca="false">Q912*U912</f>
        <v>0</v>
      </c>
      <c r="W912" s="41" t="str">
        <f aca="false">IF($M912="","",IF(T912="Overdue",IF(Settings!$B$8="Yes",Settings!$B$7,""),IF(ISNUMBER(R912),DATE(YEAR(R912),MONTH(R912),1),"")))</f>
        <v/>
      </c>
      <c r="X912" s="38" t="n">
        <f aca="false">IF(AND(OR(T912="Backlog",T912="Pipeline",T912="Overdue"),ISNUMBER(W912)),IF(W912&lt;=Settings!$B$6,V912,0),0)</f>
        <v>0</v>
      </c>
      <c r="Y912" s="38" t="n">
        <f aca="false">IF(AND(OR(T912="Backlog",T912="Pipeline",T912="Overdue"),ISNUMBER(W912)),IF(W912&lt;=Settings!$B$6,Q912,0),0)</f>
        <v>0</v>
      </c>
      <c r="Z912" s="38" t="n">
        <f aca="false">IF(Y912=0,0,IF(T912="Backlog",Q912,Q912*Dashboard!$C$10))</f>
        <v>0</v>
      </c>
      <c r="AA912" s="37" t="n">
        <f aca="false">IF($N912="",0,IF(COUNTIF(Dashboard!$C$13:$C$22,$N912)&gt;0,1,0))</f>
        <v>0</v>
      </c>
      <c r="AB912" s="37" t="str">
        <f aca="false">IF($N912="","",IF(COUNTIF($N$8:$N912,$N912)=1,MAX($AB$7:$AB911)+1,""))</f>
        <v/>
      </c>
    </row>
    <row r="913" customFormat="false" ht="15" hidden="false" customHeight="false" outlineLevel="0" collapsed="false">
      <c r="L913" s="37" t="str">
        <f aca="false">IF(INDEX($A913:$J913,$L$6)&lt;&gt;"",TRIM(LEFT(INDEX($A913:$J913,$L$6),FIND("(",INDEX($A913:$J913,$L$6)&amp;"(")-1)),L912)</f>
        <v>Building Value Proposition</v>
      </c>
      <c r="M913" s="37" t="str">
        <f aca="false">IF(INDEX($A913:$J913,$M$6)="","",INDEX($A913:$J913,$M$6)&amp;"")</f>
        <v/>
      </c>
      <c r="N913" s="37" t="str">
        <f aca="false">IF($M913="","",TRIM(INDEX($A913:$J913,$N$6)&amp;""))</f>
        <v/>
      </c>
      <c r="O913" s="37" t="str">
        <f aca="false">IF($M913="","",TRIM(INDEX($A913:$J913,$O$6)&amp;""))</f>
        <v/>
      </c>
      <c r="P913" s="37" t="str">
        <f aca="false">IF($M913="","",IFERROR(IF(INDEX(Settings!$B$41:$B$50,MATCH(O913,Settings!$A$41:$A$50,0))&amp;""="","UNMAPPED",INDEX(Settings!$B$41:$B$50,MATCH(O913,Settings!$A$41:$A$50,0))&amp;""),"UNMAPPED"))</f>
        <v/>
      </c>
      <c r="Q913" s="38" t="n">
        <f aca="false">IF($M913="",0,N(INDEX($A913:$J913,$Q$6)))</f>
        <v>0</v>
      </c>
      <c r="R913" s="39" t="str">
        <f aca="false">IF($M913="","",INDEX($A913:$J913,$R$6))</f>
        <v/>
      </c>
      <c r="S913" s="37" t="str">
        <f aca="false">IF($M913="","",IFERROR(INDEX(Settings!$B$27:$B$36,MATCH(L913,Settings!$A$27:$A$36,0))&amp;"","UNMAPPED"))</f>
        <v/>
      </c>
      <c r="T913" s="37" t="str">
        <f aca="false">IF($M913="","",IF(NOT(ISNUMBER(R913)),"NO DATE",IF(S913="Won",IF(R913&gt;Settings!$B$5,"Backlog","Delivered"),IF(S913="Open",IF(R913&gt;Settings!$B$5,"Pipeline","Overdue"),IF(S913="Lost","Lost","UNMAPPED")))))</f>
        <v/>
      </c>
      <c r="U913" s="40" t="n">
        <f aca="false">IF(T913="Backlog",1,IF(OR(T913="Pipeline",T913="Overdue"),N(INDEX(Settings!$C$27:$C$36,MATCH(L913,Settings!$A$27:$A$36,0))),0))</f>
        <v>0</v>
      </c>
      <c r="V913" s="38" t="n">
        <f aca="false">Q913*U913</f>
        <v>0</v>
      </c>
      <c r="W913" s="41" t="str">
        <f aca="false">IF($M913="","",IF(T913="Overdue",IF(Settings!$B$8="Yes",Settings!$B$7,""),IF(ISNUMBER(R913),DATE(YEAR(R913),MONTH(R913),1),"")))</f>
        <v/>
      </c>
      <c r="X913" s="38" t="n">
        <f aca="false">IF(AND(OR(T913="Backlog",T913="Pipeline",T913="Overdue"),ISNUMBER(W913)),IF(W913&lt;=Settings!$B$6,V913,0),0)</f>
        <v>0</v>
      </c>
      <c r="Y913" s="38" t="n">
        <f aca="false">IF(AND(OR(T913="Backlog",T913="Pipeline",T913="Overdue"),ISNUMBER(W913)),IF(W913&lt;=Settings!$B$6,Q913,0),0)</f>
        <v>0</v>
      </c>
      <c r="Z913" s="38" t="n">
        <f aca="false">IF(Y913=0,0,IF(T913="Backlog",Q913,Q913*Dashboard!$C$10))</f>
        <v>0</v>
      </c>
      <c r="AA913" s="37" t="n">
        <f aca="false">IF($N913="",0,IF(COUNTIF(Dashboard!$C$13:$C$22,$N913)&gt;0,1,0))</f>
        <v>0</v>
      </c>
      <c r="AB913" s="37" t="str">
        <f aca="false">IF($N913="","",IF(COUNTIF($N$8:$N913,$N913)=1,MAX($AB$7:$AB912)+1,""))</f>
        <v/>
      </c>
    </row>
    <row r="914" customFormat="false" ht="15" hidden="false" customHeight="false" outlineLevel="0" collapsed="false">
      <c r="L914" s="37" t="str">
        <f aca="false">IF(INDEX($A914:$J914,$L$6)&lt;&gt;"",TRIM(LEFT(INDEX($A914:$J914,$L$6),FIND("(",INDEX($A914:$J914,$L$6)&amp;"(")-1)),L913)</f>
        <v>Building Value Proposition</v>
      </c>
      <c r="M914" s="37" t="str">
        <f aca="false">IF(INDEX($A914:$J914,$M$6)="","",INDEX($A914:$J914,$M$6)&amp;"")</f>
        <v/>
      </c>
      <c r="N914" s="37" t="str">
        <f aca="false">IF($M914="","",TRIM(INDEX($A914:$J914,$N$6)&amp;""))</f>
        <v/>
      </c>
      <c r="O914" s="37" t="str">
        <f aca="false">IF($M914="","",TRIM(INDEX($A914:$J914,$O$6)&amp;""))</f>
        <v/>
      </c>
      <c r="P914" s="37" t="str">
        <f aca="false">IF($M914="","",IFERROR(IF(INDEX(Settings!$B$41:$B$50,MATCH(O914,Settings!$A$41:$A$50,0))&amp;""="","UNMAPPED",INDEX(Settings!$B$41:$B$50,MATCH(O914,Settings!$A$41:$A$50,0))&amp;""),"UNMAPPED"))</f>
        <v/>
      </c>
      <c r="Q914" s="38" t="n">
        <f aca="false">IF($M914="",0,N(INDEX($A914:$J914,$Q$6)))</f>
        <v>0</v>
      </c>
      <c r="R914" s="39" t="str">
        <f aca="false">IF($M914="","",INDEX($A914:$J914,$R$6))</f>
        <v/>
      </c>
      <c r="S914" s="37" t="str">
        <f aca="false">IF($M914="","",IFERROR(INDEX(Settings!$B$27:$B$36,MATCH(L914,Settings!$A$27:$A$36,0))&amp;"","UNMAPPED"))</f>
        <v/>
      </c>
      <c r="T914" s="37" t="str">
        <f aca="false">IF($M914="","",IF(NOT(ISNUMBER(R914)),"NO DATE",IF(S914="Won",IF(R914&gt;Settings!$B$5,"Backlog","Delivered"),IF(S914="Open",IF(R914&gt;Settings!$B$5,"Pipeline","Overdue"),IF(S914="Lost","Lost","UNMAPPED")))))</f>
        <v/>
      </c>
      <c r="U914" s="40" t="n">
        <f aca="false">IF(T914="Backlog",1,IF(OR(T914="Pipeline",T914="Overdue"),N(INDEX(Settings!$C$27:$C$36,MATCH(L914,Settings!$A$27:$A$36,0))),0))</f>
        <v>0</v>
      </c>
      <c r="V914" s="38" t="n">
        <f aca="false">Q914*U914</f>
        <v>0</v>
      </c>
      <c r="W914" s="41" t="str">
        <f aca="false">IF($M914="","",IF(T914="Overdue",IF(Settings!$B$8="Yes",Settings!$B$7,""),IF(ISNUMBER(R914),DATE(YEAR(R914),MONTH(R914),1),"")))</f>
        <v/>
      </c>
      <c r="X914" s="38" t="n">
        <f aca="false">IF(AND(OR(T914="Backlog",T914="Pipeline",T914="Overdue"),ISNUMBER(W914)),IF(W914&lt;=Settings!$B$6,V914,0),0)</f>
        <v>0</v>
      </c>
      <c r="Y914" s="38" t="n">
        <f aca="false">IF(AND(OR(T914="Backlog",T914="Pipeline",T914="Overdue"),ISNUMBER(W914)),IF(W914&lt;=Settings!$B$6,Q914,0),0)</f>
        <v>0</v>
      </c>
      <c r="Z914" s="38" t="n">
        <f aca="false">IF(Y914=0,0,IF(T914="Backlog",Q914,Q914*Dashboard!$C$10))</f>
        <v>0</v>
      </c>
      <c r="AA914" s="37" t="n">
        <f aca="false">IF($N914="",0,IF(COUNTIF(Dashboard!$C$13:$C$22,$N914)&gt;0,1,0))</f>
        <v>0</v>
      </c>
      <c r="AB914" s="37" t="str">
        <f aca="false">IF($N914="","",IF(COUNTIF($N$8:$N914,$N914)=1,MAX($AB$7:$AB913)+1,""))</f>
        <v/>
      </c>
    </row>
    <row r="915" customFormat="false" ht="15" hidden="false" customHeight="false" outlineLevel="0" collapsed="false">
      <c r="L915" s="37" t="str">
        <f aca="false">IF(INDEX($A915:$J915,$L$6)&lt;&gt;"",TRIM(LEFT(INDEX($A915:$J915,$L$6),FIND("(",INDEX($A915:$J915,$L$6)&amp;"(")-1)),L914)</f>
        <v>Building Value Proposition</v>
      </c>
      <c r="M915" s="37" t="str">
        <f aca="false">IF(INDEX($A915:$J915,$M$6)="","",INDEX($A915:$J915,$M$6)&amp;"")</f>
        <v/>
      </c>
      <c r="N915" s="37" t="str">
        <f aca="false">IF($M915="","",TRIM(INDEX($A915:$J915,$N$6)&amp;""))</f>
        <v/>
      </c>
      <c r="O915" s="37" t="str">
        <f aca="false">IF($M915="","",TRIM(INDEX($A915:$J915,$O$6)&amp;""))</f>
        <v/>
      </c>
      <c r="P915" s="37" t="str">
        <f aca="false">IF($M915="","",IFERROR(IF(INDEX(Settings!$B$41:$B$50,MATCH(O915,Settings!$A$41:$A$50,0))&amp;""="","UNMAPPED",INDEX(Settings!$B$41:$B$50,MATCH(O915,Settings!$A$41:$A$50,0))&amp;""),"UNMAPPED"))</f>
        <v/>
      </c>
      <c r="Q915" s="38" t="n">
        <f aca="false">IF($M915="",0,N(INDEX($A915:$J915,$Q$6)))</f>
        <v>0</v>
      </c>
      <c r="R915" s="39" t="str">
        <f aca="false">IF($M915="","",INDEX($A915:$J915,$R$6))</f>
        <v/>
      </c>
      <c r="S915" s="37" t="str">
        <f aca="false">IF($M915="","",IFERROR(INDEX(Settings!$B$27:$B$36,MATCH(L915,Settings!$A$27:$A$36,0))&amp;"","UNMAPPED"))</f>
        <v/>
      </c>
      <c r="T915" s="37" t="str">
        <f aca="false">IF($M915="","",IF(NOT(ISNUMBER(R915)),"NO DATE",IF(S915="Won",IF(R915&gt;Settings!$B$5,"Backlog","Delivered"),IF(S915="Open",IF(R915&gt;Settings!$B$5,"Pipeline","Overdue"),IF(S915="Lost","Lost","UNMAPPED")))))</f>
        <v/>
      </c>
      <c r="U915" s="40" t="n">
        <f aca="false">IF(T915="Backlog",1,IF(OR(T915="Pipeline",T915="Overdue"),N(INDEX(Settings!$C$27:$C$36,MATCH(L915,Settings!$A$27:$A$36,0))),0))</f>
        <v>0</v>
      </c>
      <c r="V915" s="38" t="n">
        <f aca="false">Q915*U915</f>
        <v>0</v>
      </c>
      <c r="W915" s="41" t="str">
        <f aca="false">IF($M915="","",IF(T915="Overdue",IF(Settings!$B$8="Yes",Settings!$B$7,""),IF(ISNUMBER(R915),DATE(YEAR(R915),MONTH(R915),1),"")))</f>
        <v/>
      </c>
      <c r="X915" s="38" t="n">
        <f aca="false">IF(AND(OR(T915="Backlog",T915="Pipeline",T915="Overdue"),ISNUMBER(W915)),IF(W915&lt;=Settings!$B$6,V915,0),0)</f>
        <v>0</v>
      </c>
      <c r="Y915" s="38" t="n">
        <f aca="false">IF(AND(OR(T915="Backlog",T915="Pipeline",T915="Overdue"),ISNUMBER(W915)),IF(W915&lt;=Settings!$B$6,Q915,0),0)</f>
        <v>0</v>
      </c>
      <c r="Z915" s="38" t="n">
        <f aca="false">IF(Y915=0,0,IF(T915="Backlog",Q915,Q915*Dashboard!$C$10))</f>
        <v>0</v>
      </c>
      <c r="AA915" s="37" t="n">
        <f aca="false">IF($N915="",0,IF(COUNTIF(Dashboard!$C$13:$C$22,$N915)&gt;0,1,0))</f>
        <v>0</v>
      </c>
      <c r="AB915" s="37" t="str">
        <f aca="false">IF($N915="","",IF(COUNTIF($N$8:$N915,$N915)=1,MAX($AB$7:$AB914)+1,""))</f>
        <v/>
      </c>
    </row>
    <row r="916" customFormat="false" ht="15" hidden="false" customHeight="false" outlineLevel="0" collapsed="false">
      <c r="L916" s="37" t="str">
        <f aca="false">IF(INDEX($A916:$J916,$L$6)&lt;&gt;"",TRIM(LEFT(INDEX($A916:$J916,$L$6),FIND("(",INDEX($A916:$J916,$L$6)&amp;"(")-1)),L915)</f>
        <v>Building Value Proposition</v>
      </c>
      <c r="M916" s="37" t="str">
        <f aca="false">IF(INDEX($A916:$J916,$M$6)="","",INDEX($A916:$J916,$M$6)&amp;"")</f>
        <v/>
      </c>
      <c r="N916" s="37" t="str">
        <f aca="false">IF($M916="","",TRIM(INDEX($A916:$J916,$N$6)&amp;""))</f>
        <v/>
      </c>
      <c r="O916" s="37" t="str">
        <f aca="false">IF($M916="","",TRIM(INDEX($A916:$J916,$O$6)&amp;""))</f>
        <v/>
      </c>
      <c r="P916" s="37" t="str">
        <f aca="false">IF($M916="","",IFERROR(IF(INDEX(Settings!$B$41:$B$50,MATCH(O916,Settings!$A$41:$A$50,0))&amp;""="","UNMAPPED",INDEX(Settings!$B$41:$B$50,MATCH(O916,Settings!$A$41:$A$50,0))&amp;""),"UNMAPPED"))</f>
        <v/>
      </c>
      <c r="Q916" s="38" t="n">
        <f aca="false">IF($M916="",0,N(INDEX($A916:$J916,$Q$6)))</f>
        <v>0</v>
      </c>
      <c r="R916" s="39" t="str">
        <f aca="false">IF($M916="","",INDEX($A916:$J916,$R$6))</f>
        <v/>
      </c>
      <c r="S916" s="37" t="str">
        <f aca="false">IF($M916="","",IFERROR(INDEX(Settings!$B$27:$B$36,MATCH(L916,Settings!$A$27:$A$36,0))&amp;"","UNMAPPED"))</f>
        <v/>
      </c>
      <c r="T916" s="37" t="str">
        <f aca="false">IF($M916="","",IF(NOT(ISNUMBER(R916)),"NO DATE",IF(S916="Won",IF(R916&gt;Settings!$B$5,"Backlog","Delivered"),IF(S916="Open",IF(R916&gt;Settings!$B$5,"Pipeline","Overdue"),IF(S916="Lost","Lost","UNMAPPED")))))</f>
        <v/>
      </c>
      <c r="U916" s="40" t="n">
        <f aca="false">IF(T916="Backlog",1,IF(OR(T916="Pipeline",T916="Overdue"),N(INDEX(Settings!$C$27:$C$36,MATCH(L916,Settings!$A$27:$A$36,0))),0))</f>
        <v>0</v>
      </c>
      <c r="V916" s="38" t="n">
        <f aca="false">Q916*U916</f>
        <v>0</v>
      </c>
      <c r="W916" s="41" t="str">
        <f aca="false">IF($M916="","",IF(T916="Overdue",IF(Settings!$B$8="Yes",Settings!$B$7,""),IF(ISNUMBER(R916),DATE(YEAR(R916),MONTH(R916),1),"")))</f>
        <v/>
      </c>
      <c r="X916" s="38" t="n">
        <f aca="false">IF(AND(OR(T916="Backlog",T916="Pipeline",T916="Overdue"),ISNUMBER(W916)),IF(W916&lt;=Settings!$B$6,V916,0),0)</f>
        <v>0</v>
      </c>
      <c r="Y916" s="38" t="n">
        <f aca="false">IF(AND(OR(T916="Backlog",T916="Pipeline",T916="Overdue"),ISNUMBER(W916)),IF(W916&lt;=Settings!$B$6,Q916,0),0)</f>
        <v>0</v>
      </c>
      <c r="Z916" s="38" t="n">
        <f aca="false">IF(Y916=0,0,IF(T916="Backlog",Q916,Q916*Dashboard!$C$10))</f>
        <v>0</v>
      </c>
      <c r="AA916" s="37" t="n">
        <f aca="false">IF($N916="",0,IF(COUNTIF(Dashboard!$C$13:$C$22,$N916)&gt;0,1,0))</f>
        <v>0</v>
      </c>
      <c r="AB916" s="37" t="str">
        <f aca="false">IF($N916="","",IF(COUNTIF($N$8:$N916,$N916)=1,MAX($AB$7:$AB915)+1,""))</f>
        <v/>
      </c>
    </row>
    <row r="917" customFormat="false" ht="15" hidden="false" customHeight="false" outlineLevel="0" collapsed="false">
      <c r="L917" s="37" t="str">
        <f aca="false">IF(INDEX($A917:$J917,$L$6)&lt;&gt;"",TRIM(LEFT(INDEX($A917:$J917,$L$6),FIND("(",INDEX($A917:$J917,$L$6)&amp;"(")-1)),L916)</f>
        <v>Building Value Proposition</v>
      </c>
      <c r="M917" s="37" t="str">
        <f aca="false">IF(INDEX($A917:$J917,$M$6)="","",INDEX($A917:$J917,$M$6)&amp;"")</f>
        <v/>
      </c>
      <c r="N917" s="37" t="str">
        <f aca="false">IF($M917="","",TRIM(INDEX($A917:$J917,$N$6)&amp;""))</f>
        <v/>
      </c>
      <c r="O917" s="37" t="str">
        <f aca="false">IF($M917="","",TRIM(INDEX($A917:$J917,$O$6)&amp;""))</f>
        <v/>
      </c>
      <c r="P917" s="37" t="str">
        <f aca="false">IF($M917="","",IFERROR(IF(INDEX(Settings!$B$41:$B$50,MATCH(O917,Settings!$A$41:$A$50,0))&amp;""="","UNMAPPED",INDEX(Settings!$B$41:$B$50,MATCH(O917,Settings!$A$41:$A$50,0))&amp;""),"UNMAPPED"))</f>
        <v/>
      </c>
      <c r="Q917" s="38" t="n">
        <f aca="false">IF($M917="",0,N(INDEX($A917:$J917,$Q$6)))</f>
        <v>0</v>
      </c>
      <c r="R917" s="39" t="str">
        <f aca="false">IF($M917="","",INDEX($A917:$J917,$R$6))</f>
        <v/>
      </c>
      <c r="S917" s="37" t="str">
        <f aca="false">IF($M917="","",IFERROR(INDEX(Settings!$B$27:$B$36,MATCH(L917,Settings!$A$27:$A$36,0))&amp;"","UNMAPPED"))</f>
        <v/>
      </c>
      <c r="T917" s="37" t="str">
        <f aca="false">IF($M917="","",IF(NOT(ISNUMBER(R917)),"NO DATE",IF(S917="Won",IF(R917&gt;Settings!$B$5,"Backlog","Delivered"),IF(S917="Open",IF(R917&gt;Settings!$B$5,"Pipeline","Overdue"),IF(S917="Lost","Lost","UNMAPPED")))))</f>
        <v/>
      </c>
      <c r="U917" s="40" t="n">
        <f aca="false">IF(T917="Backlog",1,IF(OR(T917="Pipeline",T917="Overdue"),N(INDEX(Settings!$C$27:$C$36,MATCH(L917,Settings!$A$27:$A$36,0))),0))</f>
        <v>0</v>
      </c>
      <c r="V917" s="38" t="n">
        <f aca="false">Q917*U917</f>
        <v>0</v>
      </c>
      <c r="W917" s="41" t="str">
        <f aca="false">IF($M917="","",IF(T917="Overdue",IF(Settings!$B$8="Yes",Settings!$B$7,""),IF(ISNUMBER(R917),DATE(YEAR(R917),MONTH(R917),1),"")))</f>
        <v/>
      </c>
      <c r="X917" s="38" t="n">
        <f aca="false">IF(AND(OR(T917="Backlog",T917="Pipeline",T917="Overdue"),ISNUMBER(W917)),IF(W917&lt;=Settings!$B$6,V917,0),0)</f>
        <v>0</v>
      </c>
      <c r="Y917" s="38" t="n">
        <f aca="false">IF(AND(OR(T917="Backlog",T917="Pipeline",T917="Overdue"),ISNUMBER(W917)),IF(W917&lt;=Settings!$B$6,Q917,0),0)</f>
        <v>0</v>
      </c>
      <c r="Z917" s="38" t="n">
        <f aca="false">IF(Y917=0,0,IF(T917="Backlog",Q917,Q917*Dashboard!$C$10))</f>
        <v>0</v>
      </c>
      <c r="AA917" s="37" t="n">
        <f aca="false">IF($N917="",0,IF(COUNTIF(Dashboard!$C$13:$C$22,$N917)&gt;0,1,0))</f>
        <v>0</v>
      </c>
      <c r="AB917" s="37" t="str">
        <f aca="false">IF($N917="","",IF(COUNTIF($N$8:$N917,$N917)=1,MAX($AB$7:$AB916)+1,""))</f>
        <v/>
      </c>
    </row>
    <row r="918" customFormat="false" ht="15" hidden="false" customHeight="false" outlineLevel="0" collapsed="false">
      <c r="L918" s="37" t="str">
        <f aca="false">IF(INDEX($A918:$J918,$L$6)&lt;&gt;"",TRIM(LEFT(INDEX($A918:$J918,$L$6),FIND("(",INDEX($A918:$J918,$L$6)&amp;"(")-1)),L917)</f>
        <v>Building Value Proposition</v>
      </c>
      <c r="M918" s="37" t="str">
        <f aca="false">IF(INDEX($A918:$J918,$M$6)="","",INDEX($A918:$J918,$M$6)&amp;"")</f>
        <v/>
      </c>
      <c r="N918" s="37" t="str">
        <f aca="false">IF($M918="","",TRIM(INDEX($A918:$J918,$N$6)&amp;""))</f>
        <v/>
      </c>
      <c r="O918" s="37" t="str">
        <f aca="false">IF($M918="","",TRIM(INDEX($A918:$J918,$O$6)&amp;""))</f>
        <v/>
      </c>
      <c r="P918" s="37" t="str">
        <f aca="false">IF($M918="","",IFERROR(IF(INDEX(Settings!$B$41:$B$50,MATCH(O918,Settings!$A$41:$A$50,0))&amp;""="","UNMAPPED",INDEX(Settings!$B$41:$B$50,MATCH(O918,Settings!$A$41:$A$50,0))&amp;""),"UNMAPPED"))</f>
        <v/>
      </c>
      <c r="Q918" s="38" t="n">
        <f aca="false">IF($M918="",0,N(INDEX($A918:$J918,$Q$6)))</f>
        <v>0</v>
      </c>
      <c r="R918" s="39" t="str">
        <f aca="false">IF($M918="","",INDEX($A918:$J918,$R$6))</f>
        <v/>
      </c>
      <c r="S918" s="37" t="str">
        <f aca="false">IF($M918="","",IFERROR(INDEX(Settings!$B$27:$B$36,MATCH(L918,Settings!$A$27:$A$36,0))&amp;"","UNMAPPED"))</f>
        <v/>
      </c>
      <c r="T918" s="37" t="str">
        <f aca="false">IF($M918="","",IF(NOT(ISNUMBER(R918)),"NO DATE",IF(S918="Won",IF(R918&gt;Settings!$B$5,"Backlog","Delivered"),IF(S918="Open",IF(R918&gt;Settings!$B$5,"Pipeline","Overdue"),IF(S918="Lost","Lost","UNMAPPED")))))</f>
        <v/>
      </c>
      <c r="U918" s="40" t="n">
        <f aca="false">IF(T918="Backlog",1,IF(OR(T918="Pipeline",T918="Overdue"),N(INDEX(Settings!$C$27:$C$36,MATCH(L918,Settings!$A$27:$A$36,0))),0))</f>
        <v>0</v>
      </c>
      <c r="V918" s="38" t="n">
        <f aca="false">Q918*U918</f>
        <v>0</v>
      </c>
      <c r="W918" s="41" t="str">
        <f aca="false">IF($M918="","",IF(T918="Overdue",IF(Settings!$B$8="Yes",Settings!$B$7,""),IF(ISNUMBER(R918),DATE(YEAR(R918),MONTH(R918),1),"")))</f>
        <v/>
      </c>
      <c r="X918" s="38" t="n">
        <f aca="false">IF(AND(OR(T918="Backlog",T918="Pipeline",T918="Overdue"),ISNUMBER(W918)),IF(W918&lt;=Settings!$B$6,V918,0),0)</f>
        <v>0</v>
      </c>
      <c r="Y918" s="38" t="n">
        <f aca="false">IF(AND(OR(T918="Backlog",T918="Pipeline",T918="Overdue"),ISNUMBER(W918)),IF(W918&lt;=Settings!$B$6,Q918,0),0)</f>
        <v>0</v>
      </c>
      <c r="Z918" s="38" t="n">
        <f aca="false">IF(Y918=0,0,IF(T918="Backlog",Q918,Q918*Dashboard!$C$10))</f>
        <v>0</v>
      </c>
      <c r="AA918" s="37" t="n">
        <f aca="false">IF($N918="",0,IF(COUNTIF(Dashboard!$C$13:$C$22,$N918)&gt;0,1,0))</f>
        <v>0</v>
      </c>
      <c r="AB918" s="37" t="str">
        <f aca="false">IF($N918="","",IF(COUNTIF($N$8:$N918,$N918)=1,MAX($AB$7:$AB917)+1,""))</f>
        <v/>
      </c>
    </row>
    <row r="919" customFormat="false" ht="15" hidden="false" customHeight="false" outlineLevel="0" collapsed="false">
      <c r="L919" s="37" t="str">
        <f aca="false">IF(INDEX($A919:$J919,$L$6)&lt;&gt;"",TRIM(LEFT(INDEX($A919:$J919,$L$6),FIND("(",INDEX($A919:$J919,$L$6)&amp;"(")-1)),L918)</f>
        <v>Building Value Proposition</v>
      </c>
      <c r="M919" s="37" t="str">
        <f aca="false">IF(INDEX($A919:$J919,$M$6)="","",INDEX($A919:$J919,$M$6)&amp;"")</f>
        <v/>
      </c>
      <c r="N919" s="37" t="str">
        <f aca="false">IF($M919="","",TRIM(INDEX($A919:$J919,$N$6)&amp;""))</f>
        <v/>
      </c>
      <c r="O919" s="37" t="str">
        <f aca="false">IF($M919="","",TRIM(INDEX($A919:$J919,$O$6)&amp;""))</f>
        <v/>
      </c>
      <c r="P919" s="37" t="str">
        <f aca="false">IF($M919="","",IFERROR(IF(INDEX(Settings!$B$41:$B$50,MATCH(O919,Settings!$A$41:$A$50,0))&amp;""="","UNMAPPED",INDEX(Settings!$B$41:$B$50,MATCH(O919,Settings!$A$41:$A$50,0))&amp;""),"UNMAPPED"))</f>
        <v/>
      </c>
      <c r="Q919" s="38" t="n">
        <f aca="false">IF($M919="",0,N(INDEX($A919:$J919,$Q$6)))</f>
        <v>0</v>
      </c>
      <c r="R919" s="39" t="str">
        <f aca="false">IF($M919="","",INDEX($A919:$J919,$R$6))</f>
        <v/>
      </c>
      <c r="S919" s="37" t="str">
        <f aca="false">IF($M919="","",IFERROR(INDEX(Settings!$B$27:$B$36,MATCH(L919,Settings!$A$27:$A$36,0))&amp;"","UNMAPPED"))</f>
        <v/>
      </c>
      <c r="T919" s="37" t="str">
        <f aca="false">IF($M919="","",IF(NOT(ISNUMBER(R919)),"NO DATE",IF(S919="Won",IF(R919&gt;Settings!$B$5,"Backlog","Delivered"),IF(S919="Open",IF(R919&gt;Settings!$B$5,"Pipeline","Overdue"),IF(S919="Lost","Lost","UNMAPPED")))))</f>
        <v/>
      </c>
      <c r="U919" s="40" t="n">
        <f aca="false">IF(T919="Backlog",1,IF(OR(T919="Pipeline",T919="Overdue"),N(INDEX(Settings!$C$27:$C$36,MATCH(L919,Settings!$A$27:$A$36,0))),0))</f>
        <v>0</v>
      </c>
      <c r="V919" s="38" t="n">
        <f aca="false">Q919*U919</f>
        <v>0</v>
      </c>
      <c r="W919" s="41" t="str">
        <f aca="false">IF($M919="","",IF(T919="Overdue",IF(Settings!$B$8="Yes",Settings!$B$7,""),IF(ISNUMBER(R919),DATE(YEAR(R919),MONTH(R919),1),"")))</f>
        <v/>
      </c>
      <c r="X919" s="38" t="n">
        <f aca="false">IF(AND(OR(T919="Backlog",T919="Pipeline",T919="Overdue"),ISNUMBER(W919)),IF(W919&lt;=Settings!$B$6,V919,0),0)</f>
        <v>0</v>
      </c>
      <c r="Y919" s="38" t="n">
        <f aca="false">IF(AND(OR(T919="Backlog",T919="Pipeline",T919="Overdue"),ISNUMBER(W919)),IF(W919&lt;=Settings!$B$6,Q919,0),0)</f>
        <v>0</v>
      </c>
      <c r="Z919" s="38" t="n">
        <f aca="false">IF(Y919=0,0,IF(T919="Backlog",Q919,Q919*Dashboard!$C$10))</f>
        <v>0</v>
      </c>
      <c r="AA919" s="37" t="n">
        <f aca="false">IF($N919="",0,IF(COUNTIF(Dashboard!$C$13:$C$22,$N919)&gt;0,1,0))</f>
        <v>0</v>
      </c>
      <c r="AB919" s="37" t="str">
        <f aca="false">IF($N919="","",IF(COUNTIF($N$8:$N919,$N919)=1,MAX($AB$7:$AB918)+1,""))</f>
        <v/>
      </c>
    </row>
    <row r="920" customFormat="false" ht="15" hidden="false" customHeight="false" outlineLevel="0" collapsed="false">
      <c r="L920" s="37" t="str">
        <f aca="false">IF(INDEX($A920:$J920,$L$6)&lt;&gt;"",TRIM(LEFT(INDEX($A920:$J920,$L$6),FIND("(",INDEX($A920:$J920,$L$6)&amp;"(")-1)),L919)</f>
        <v>Building Value Proposition</v>
      </c>
      <c r="M920" s="37" t="str">
        <f aca="false">IF(INDEX($A920:$J920,$M$6)="","",INDEX($A920:$J920,$M$6)&amp;"")</f>
        <v/>
      </c>
      <c r="N920" s="37" t="str">
        <f aca="false">IF($M920="","",TRIM(INDEX($A920:$J920,$N$6)&amp;""))</f>
        <v/>
      </c>
      <c r="O920" s="37" t="str">
        <f aca="false">IF($M920="","",TRIM(INDEX($A920:$J920,$O$6)&amp;""))</f>
        <v/>
      </c>
      <c r="P920" s="37" t="str">
        <f aca="false">IF($M920="","",IFERROR(IF(INDEX(Settings!$B$41:$B$50,MATCH(O920,Settings!$A$41:$A$50,0))&amp;""="","UNMAPPED",INDEX(Settings!$B$41:$B$50,MATCH(O920,Settings!$A$41:$A$50,0))&amp;""),"UNMAPPED"))</f>
        <v/>
      </c>
      <c r="Q920" s="38" t="n">
        <f aca="false">IF($M920="",0,N(INDEX($A920:$J920,$Q$6)))</f>
        <v>0</v>
      </c>
      <c r="R920" s="39" t="str">
        <f aca="false">IF($M920="","",INDEX($A920:$J920,$R$6))</f>
        <v/>
      </c>
      <c r="S920" s="37" t="str">
        <f aca="false">IF($M920="","",IFERROR(INDEX(Settings!$B$27:$B$36,MATCH(L920,Settings!$A$27:$A$36,0))&amp;"","UNMAPPED"))</f>
        <v/>
      </c>
      <c r="T920" s="37" t="str">
        <f aca="false">IF($M920="","",IF(NOT(ISNUMBER(R920)),"NO DATE",IF(S920="Won",IF(R920&gt;Settings!$B$5,"Backlog","Delivered"),IF(S920="Open",IF(R920&gt;Settings!$B$5,"Pipeline","Overdue"),IF(S920="Lost","Lost","UNMAPPED")))))</f>
        <v/>
      </c>
      <c r="U920" s="40" t="n">
        <f aca="false">IF(T920="Backlog",1,IF(OR(T920="Pipeline",T920="Overdue"),N(INDEX(Settings!$C$27:$C$36,MATCH(L920,Settings!$A$27:$A$36,0))),0))</f>
        <v>0</v>
      </c>
      <c r="V920" s="38" t="n">
        <f aca="false">Q920*U920</f>
        <v>0</v>
      </c>
      <c r="W920" s="41" t="str">
        <f aca="false">IF($M920="","",IF(T920="Overdue",IF(Settings!$B$8="Yes",Settings!$B$7,""),IF(ISNUMBER(R920),DATE(YEAR(R920),MONTH(R920),1),"")))</f>
        <v/>
      </c>
      <c r="X920" s="38" t="n">
        <f aca="false">IF(AND(OR(T920="Backlog",T920="Pipeline",T920="Overdue"),ISNUMBER(W920)),IF(W920&lt;=Settings!$B$6,V920,0),0)</f>
        <v>0</v>
      </c>
      <c r="Y920" s="38" t="n">
        <f aca="false">IF(AND(OR(T920="Backlog",T920="Pipeline",T920="Overdue"),ISNUMBER(W920)),IF(W920&lt;=Settings!$B$6,Q920,0),0)</f>
        <v>0</v>
      </c>
      <c r="Z920" s="38" t="n">
        <f aca="false">IF(Y920=0,0,IF(T920="Backlog",Q920,Q920*Dashboard!$C$10))</f>
        <v>0</v>
      </c>
      <c r="AA920" s="37" t="n">
        <f aca="false">IF($N920="",0,IF(COUNTIF(Dashboard!$C$13:$C$22,$N920)&gt;0,1,0))</f>
        <v>0</v>
      </c>
      <c r="AB920" s="37" t="str">
        <f aca="false">IF($N920="","",IF(COUNTIF($N$8:$N920,$N920)=1,MAX($AB$7:$AB919)+1,""))</f>
        <v/>
      </c>
    </row>
    <row r="921" customFormat="false" ht="15" hidden="false" customHeight="false" outlineLevel="0" collapsed="false">
      <c r="L921" s="37" t="str">
        <f aca="false">IF(INDEX($A921:$J921,$L$6)&lt;&gt;"",TRIM(LEFT(INDEX($A921:$J921,$L$6),FIND("(",INDEX($A921:$J921,$L$6)&amp;"(")-1)),L920)</f>
        <v>Building Value Proposition</v>
      </c>
      <c r="M921" s="37" t="str">
        <f aca="false">IF(INDEX($A921:$J921,$M$6)="","",INDEX($A921:$J921,$M$6)&amp;"")</f>
        <v/>
      </c>
      <c r="N921" s="37" t="str">
        <f aca="false">IF($M921="","",TRIM(INDEX($A921:$J921,$N$6)&amp;""))</f>
        <v/>
      </c>
      <c r="O921" s="37" t="str">
        <f aca="false">IF($M921="","",TRIM(INDEX($A921:$J921,$O$6)&amp;""))</f>
        <v/>
      </c>
      <c r="P921" s="37" t="str">
        <f aca="false">IF($M921="","",IFERROR(IF(INDEX(Settings!$B$41:$B$50,MATCH(O921,Settings!$A$41:$A$50,0))&amp;""="","UNMAPPED",INDEX(Settings!$B$41:$B$50,MATCH(O921,Settings!$A$41:$A$50,0))&amp;""),"UNMAPPED"))</f>
        <v/>
      </c>
      <c r="Q921" s="38" t="n">
        <f aca="false">IF($M921="",0,N(INDEX($A921:$J921,$Q$6)))</f>
        <v>0</v>
      </c>
      <c r="R921" s="39" t="str">
        <f aca="false">IF($M921="","",INDEX($A921:$J921,$R$6))</f>
        <v/>
      </c>
      <c r="S921" s="37" t="str">
        <f aca="false">IF($M921="","",IFERROR(INDEX(Settings!$B$27:$B$36,MATCH(L921,Settings!$A$27:$A$36,0))&amp;"","UNMAPPED"))</f>
        <v/>
      </c>
      <c r="T921" s="37" t="str">
        <f aca="false">IF($M921="","",IF(NOT(ISNUMBER(R921)),"NO DATE",IF(S921="Won",IF(R921&gt;Settings!$B$5,"Backlog","Delivered"),IF(S921="Open",IF(R921&gt;Settings!$B$5,"Pipeline","Overdue"),IF(S921="Lost","Lost","UNMAPPED")))))</f>
        <v/>
      </c>
      <c r="U921" s="40" t="n">
        <f aca="false">IF(T921="Backlog",1,IF(OR(T921="Pipeline",T921="Overdue"),N(INDEX(Settings!$C$27:$C$36,MATCH(L921,Settings!$A$27:$A$36,0))),0))</f>
        <v>0</v>
      </c>
      <c r="V921" s="38" t="n">
        <f aca="false">Q921*U921</f>
        <v>0</v>
      </c>
      <c r="W921" s="41" t="str">
        <f aca="false">IF($M921="","",IF(T921="Overdue",IF(Settings!$B$8="Yes",Settings!$B$7,""),IF(ISNUMBER(R921),DATE(YEAR(R921),MONTH(R921),1),"")))</f>
        <v/>
      </c>
      <c r="X921" s="38" t="n">
        <f aca="false">IF(AND(OR(T921="Backlog",T921="Pipeline",T921="Overdue"),ISNUMBER(W921)),IF(W921&lt;=Settings!$B$6,V921,0),0)</f>
        <v>0</v>
      </c>
      <c r="Y921" s="38" t="n">
        <f aca="false">IF(AND(OR(T921="Backlog",T921="Pipeline",T921="Overdue"),ISNUMBER(W921)),IF(W921&lt;=Settings!$B$6,Q921,0),0)</f>
        <v>0</v>
      </c>
      <c r="Z921" s="38" t="n">
        <f aca="false">IF(Y921=0,0,IF(T921="Backlog",Q921,Q921*Dashboard!$C$10))</f>
        <v>0</v>
      </c>
      <c r="AA921" s="37" t="n">
        <f aca="false">IF($N921="",0,IF(COUNTIF(Dashboard!$C$13:$C$22,$N921)&gt;0,1,0))</f>
        <v>0</v>
      </c>
      <c r="AB921" s="37" t="str">
        <f aca="false">IF($N921="","",IF(COUNTIF($N$8:$N921,$N921)=1,MAX($AB$7:$AB920)+1,""))</f>
        <v/>
      </c>
    </row>
    <row r="922" customFormat="false" ht="15" hidden="false" customHeight="false" outlineLevel="0" collapsed="false">
      <c r="L922" s="37" t="str">
        <f aca="false">IF(INDEX($A922:$J922,$L$6)&lt;&gt;"",TRIM(LEFT(INDEX($A922:$J922,$L$6),FIND("(",INDEX($A922:$J922,$L$6)&amp;"(")-1)),L921)</f>
        <v>Building Value Proposition</v>
      </c>
      <c r="M922" s="37" t="str">
        <f aca="false">IF(INDEX($A922:$J922,$M$6)="","",INDEX($A922:$J922,$M$6)&amp;"")</f>
        <v/>
      </c>
      <c r="N922" s="37" t="str">
        <f aca="false">IF($M922="","",TRIM(INDEX($A922:$J922,$N$6)&amp;""))</f>
        <v/>
      </c>
      <c r="O922" s="37" t="str">
        <f aca="false">IF($M922="","",TRIM(INDEX($A922:$J922,$O$6)&amp;""))</f>
        <v/>
      </c>
      <c r="P922" s="37" t="str">
        <f aca="false">IF($M922="","",IFERROR(IF(INDEX(Settings!$B$41:$B$50,MATCH(O922,Settings!$A$41:$A$50,0))&amp;""="","UNMAPPED",INDEX(Settings!$B$41:$B$50,MATCH(O922,Settings!$A$41:$A$50,0))&amp;""),"UNMAPPED"))</f>
        <v/>
      </c>
      <c r="Q922" s="38" t="n">
        <f aca="false">IF($M922="",0,N(INDEX($A922:$J922,$Q$6)))</f>
        <v>0</v>
      </c>
      <c r="R922" s="39" t="str">
        <f aca="false">IF($M922="","",INDEX($A922:$J922,$R$6))</f>
        <v/>
      </c>
      <c r="S922" s="37" t="str">
        <f aca="false">IF($M922="","",IFERROR(INDEX(Settings!$B$27:$B$36,MATCH(L922,Settings!$A$27:$A$36,0))&amp;"","UNMAPPED"))</f>
        <v/>
      </c>
      <c r="T922" s="37" t="str">
        <f aca="false">IF($M922="","",IF(NOT(ISNUMBER(R922)),"NO DATE",IF(S922="Won",IF(R922&gt;Settings!$B$5,"Backlog","Delivered"),IF(S922="Open",IF(R922&gt;Settings!$B$5,"Pipeline","Overdue"),IF(S922="Lost","Lost","UNMAPPED")))))</f>
        <v/>
      </c>
      <c r="U922" s="40" t="n">
        <f aca="false">IF(T922="Backlog",1,IF(OR(T922="Pipeline",T922="Overdue"),N(INDEX(Settings!$C$27:$C$36,MATCH(L922,Settings!$A$27:$A$36,0))),0))</f>
        <v>0</v>
      </c>
      <c r="V922" s="38" t="n">
        <f aca="false">Q922*U922</f>
        <v>0</v>
      </c>
      <c r="W922" s="41" t="str">
        <f aca="false">IF($M922="","",IF(T922="Overdue",IF(Settings!$B$8="Yes",Settings!$B$7,""),IF(ISNUMBER(R922),DATE(YEAR(R922),MONTH(R922),1),"")))</f>
        <v/>
      </c>
      <c r="X922" s="38" t="n">
        <f aca="false">IF(AND(OR(T922="Backlog",T922="Pipeline",T922="Overdue"),ISNUMBER(W922)),IF(W922&lt;=Settings!$B$6,V922,0),0)</f>
        <v>0</v>
      </c>
      <c r="Y922" s="38" t="n">
        <f aca="false">IF(AND(OR(T922="Backlog",T922="Pipeline",T922="Overdue"),ISNUMBER(W922)),IF(W922&lt;=Settings!$B$6,Q922,0),0)</f>
        <v>0</v>
      </c>
      <c r="Z922" s="38" t="n">
        <f aca="false">IF(Y922=0,0,IF(T922="Backlog",Q922,Q922*Dashboard!$C$10))</f>
        <v>0</v>
      </c>
      <c r="AA922" s="37" t="n">
        <f aca="false">IF($N922="",0,IF(COUNTIF(Dashboard!$C$13:$C$22,$N922)&gt;0,1,0))</f>
        <v>0</v>
      </c>
      <c r="AB922" s="37" t="str">
        <f aca="false">IF($N922="","",IF(COUNTIF($N$8:$N922,$N922)=1,MAX($AB$7:$AB921)+1,""))</f>
        <v/>
      </c>
    </row>
    <row r="923" customFormat="false" ht="15" hidden="false" customHeight="false" outlineLevel="0" collapsed="false">
      <c r="L923" s="37" t="str">
        <f aca="false">IF(INDEX($A923:$J923,$L$6)&lt;&gt;"",TRIM(LEFT(INDEX($A923:$J923,$L$6),FIND("(",INDEX($A923:$J923,$L$6)&amp;"(")-1)),L922)</f>
        <v>Building Value Proposition</v>
      </c>
      <c r="M923" s="37" t="str">
        <f aca="false">IF(INDEX($A923:$J923,$M$6)="","",INDEX($A923:$J923,$M$6)&amp;"")</f>
        <v/>
      </c>
      <c r="N923" s="37" t="str">
        <f aca="false">IF($M923="","",TRIM(INDEX($A923:$J923,$N$6)&amp;""))</f>
        <v/>
      </c>
      <c r="O923" s="37" t="str">
        <f aca="false">IF($M923="","",TRIM(INDEX($A923:$J923,$O$6)&amp;""))</f>
        <v/>
      </c>
      <c r="P923" s="37" t="str">
        <f aca="false">IF($M923="","",IFERROR(IF(INDEX(Settings!$B$41:$B$50,MATCH(O923,Settings!$A$41:$A$50,0))&amp;""="","UNMAPPED",INDEX(Settings!$B$41:$B$50,MATCH(O923,Settings!$A$41:$A$50,0))&amp;""),"UNMAPPED"))</f>
        <v/>
      </c>
      <c r="Q923" s="38" t="n">
        <f aca="false">IF($M923="",0,N(INDEX($A923:$J923,$Q$6)))</f>
        <v>0</v>
      </c>
      <c r="R923" s="39" t="str">
        <f aca="false">IF($M923="","",INDEX($A923:$J923,$R$6))</f>
        <v/>
      </c>
      <c r="S923" s="37" t="str">
        <f aca="false">IF($M923="","",IFERROR(INDEX(Settings!$B$27:$B$36,MATCH(L923,Settings!$A$27:$A$36,0))&amp;"","UNMAPPED"))</f>
        <v/>
      </c>
      <c r="T923" s="37" t="str">
        <f aca="false">IF($M923="","",IF(NOT(ISNUMBER(R923)),"NO DATE",IF(S923="Won",IF(R923&gt;Settings!$B$5,"Backlog","Delivered"),IF(S923="Open",IF(R923&gt;Settings!$B$5,"Pipeline","Overdue"),IF(S923="Lost","Lost","UNMAPPED")))))</f>
        <v/>
      </c>
      <c r="U923" s="40" t="n">
        <f aca="false">IF(T923="Backlog",1,IF(OR(T923="Pipeline",T923="Overdue"),N(INDEX(Settings!$C$27:$C$36,MATCH(L923,Settings!$A$27:$A$36,0))),0))</f>
        <v>0</v>
      </c>
      <c r="V923" s="38" t="n">
        <f aca="false">Q923*U923</f>
        <v>0</v>
      </c>
      <c r="W923" s="41" t="str">
        <f aca="false">IF($M923="","",IF(T923="Overdue",IF(Settings!$B$8="Yes",Settings!$B$7,""),IF(ISNUMBER(R923),DATE(YEAR(R923),MONTH(R923),1),"")))</f>
        <v/>
      </c>
      <c r="X923" s="38" t="n">
        <f aca="false">IF(AND(OR(T923="Backlog",T923="Pipeline",T923="Overdue"),ISNUMBER(W923)),IF(W923&lt;=Settings!$B$6,V923,0),0)</f>
        <v>0</v>
      </c>
      <c r="Y923" s="38" t="n">
        <f aca="false">IF(AND(OR(T923="Backlog",T923="Pipeline",T923="Overdue"),ISNUMBER(W923)),IF(W923&lt;=Settings!$B$6,Q923,0),0)</f>
        <v>0</v>
      </c>
      <c r="Z923" s="38" t="n">
        <f aca="false">IF(Y923=0,0,IF(T923="Backlog",Q923,Q923*Dashboard!$C$10))</f>
        <v>0</v>
      </c>
      <c r="AA923" s="37" t="n">
        <f aca="false">IF($N923="",0,IF(COUNTIF(Dashboard!$C$13:$C$22,$N923)&gt;0,1,0))</f>
        <v>0</v>
      </c>
      <c r="AB923" s="37" t="str">
        <f aca="false">IF($N923="","",IF(COUNTIF($N$8:$N923,$N923)=1,MAX($AB$7:$AB922)+1,""))</f>
        <v/>
      </c>
    </row>
    <row r="924" customFormat="false" ht="15" hidden="false" customHeight="false" outlineLevel="0" collapsed="false">
      <c r="L924" s="37" t="str">
        <f aca="false">IF(INDEX($A924:$J924,$L$6)&lt;&gt;"",TRIM(LEFT(INDEX($A924:$J924,$L$6),FIND("(",INDEX($A924:$J924,$L$6)&amp;"(")-1)),L923)</f>
        <v>Building Value Proposition</v>
      </c>
      <c r="M924" s="37" t="str">
        <f aca="false">IF(INDEX($A924:$J924,$M$6)="","",INDEX($A924:$J924,$M$6)&amp;"")</f>
        <v/>
      </c>
      <c r="N924" s="37" t="str">
        <f aca="false">IF($M924="","",TRIM(INDEX($A924:$J924,$N$6)&amp;""))</f>
        <v/>
      </c>
      <c r="O924" s="37" t="str">
        <f aca="false">IF($M924="","",TRIM(INDEX($A924:$J924,$O$6)&amp;""))</f>
        <v/>
      </c>
      <c r="P924" s="37" t="str">
        <f aca="false">IF($M924="","",IFERROR(IF(INDEX(Settings!$B$41:$B$50,MATCH(O924,Settings!$A$41:$A$50,0))&amp;""="","UNMAPPED",INDEX(Settings!$B$41:$B$50,MATCH(O924,Settings!$A$41:$A$50,0))&amp;""),"UNMAPPED"))</f>
        <v/>
      </c>
      <c r="Q924" s="38" t="n">
        <f aca="false">IF($M924="",0,N(INDEX($A924:$J924,$Q$6)))</f>
        <v>0</v>
      </c>
      <c r="R924" s="39" t="str">
        <f aca="false">IF($M924="","",INDEX($A924:$J924,$R$6))</f>
        <v/>
      </c>
      <c r="S924" s="37" t="str">
        <f aca="false">IF($M924="","",IFERROR(INDEX(Settings!$B$27:$B$36,MATCH(L924,Settings!$A$27:$A$36,0))&amp;"","UNMAPPED"))</f>
        <v/>
      </c>
      <c r="T924" s="37" t="str">
        <f aca="false">IF($M924="","",IF(NOT(ISNUMBER(R924)),"NO DATE",IF(S924="Won",IF(R924&gt;Settings!$B$5,"Backlog","Delivered"),IF(S924="Open",IF(R924&gt;Settings!$B$5,"Pipeline","Overdue"),IF(S924="Lost","Lost","UNMAPPED")))))</f>
        <v/>
      </c>
      <c r="U924" s="40" t="n">
        <f aca="false">IF(T924="Backlog",1,IF(OR(T924="Pipeline",T924="Overdue"),N(INDEX(Settings!$C$27:$C$36,MATCH(L924,Settings!$A$27:$A$36,0))),0))</f>
        <v>0</v>
      </c>
      <c r="V924" s="38" t="n">
        <f aca="false">Q924*U924</f>
        <v>0</v>
      </c>
      <c r="W924" s="41" t="str">
        <f aca="false">IF($M924="","",IF(T924="Overdue",IF(Settings!$B$8="Yes",Settings!$B$7,""),IF(ISNUMBER(R924),DATE(YEAR(R924),MONTH(R924),1),"")))</f>
        <v/>
      </c>
      <c r="X924" s="38" t="n">
        <f aca="false">IF(AND(OR(T924="Backlog",T924="Pipeline",T924="Overdue"),ISNUMBER(W924)),IF(W924&lt;=Settings!$B$6,V924,0),0)</f>
        <v>0</v>
      </c>
      <c r="Y924" s="38" t="n">
        <f aca="false">IF(AND(OR(T924="Backlog",T924="Pipeline",T924="Overdue"),ISNUMBER(W924)),IF(W924&lt;=Settings!$B$6,Q924,0),0)</f>
        <v>0</v>
      </c>
      <c r="Z924" s="38" t="n">
        <f aca="false">IF(Y924=0,0,IF(T924="Backlog",Q924,Q924*Dashboard!$C$10))</f>
        <v>0</v>
      </c>
      <c r="AA924" s="37" t="n">
        <f aca="false">IF($N924="",0,IF(COUNTIF(Dashboard!$C$13:$C$22,$N924)&gt;0,1,0))</f>
        <v>0</v>
      </c>
      <c r="AB924" s="37" t="str">
        <f aca="false">IF($N924="","",IF(COUNTIF($N$8:$N924,$N924)=1,MAX($AB$7:$AB923)+1,""))</f>
        <v/>
      </c>
    </row>
    <row r="925" customFormat="false" ht="15" hidden="false" customHeight="false" outlineLevel="0" collapsed="false">
      <c r="L925" s="37" t="str">
        <f aca="false">IF(INDEX($A925:$J925,$L$6)&lt;&gt;"",TRIM(LEFT(INDEX($A925:$J925,$L$6),FIND("(",INDEX($A925:$J925,$L$6)&amp;"(")-1)),L924)</f>
        <v>Building Value Proposition</v>
      </c>
      <c r="M925" s="37" t="str">
        <f aca="false">IF(INDEX($A925:$J925,$M$6)="","",INDEX($A925:$J925,$M$6)&amp;"")</f>
        <v/>
      </c>
      <c r="N925" s="37" t="str">
        <f aca="false">IF($M925="","",TRIM(INDEX($A925:$J925,$N$6)&amp;""))</f>
        <v/>
      </c>
      <c r="O925" s="37" t="str">
        <f aca="false">IF($M925="","",TRIM(INDEX($A925:$J925,$O$6)&amp;""))</f>
        <v/>
      </c>
      <c r="P925" s="37" t="str">
        <f aca="false">IF($M925="","",IFERROR(IF(INDEX(Settings!$B$41:$B$50,MATCH(O925,Settings!$A$41:$A$50,0))&amp;""="","UNMAPPED",INDEX(Settings!$B$41:$B$50,MATCH(O925,Settings!$A$41:$A$50,0))&amp;""),"UNMAPPED"))</f>
        <v/>
      </c>
      <c r="Q925" s="38" t="n">
        <f aca="false">IF($M925="",0,N(INDEX($A925:$J925,$Q$6)))</f>
        <v>0</v>
      </c>
      <c r="R925" s="39" t="str">
        <f aca="false">IF($M925="","",INDEX($A925:$J925,$R$6))</f>
        <v/>
      </c>
      <c r="S925" s="37" t="str">
        <f aca="false">IF($M925="","",IFERROR(INDEX(Settings!$B$27:$B$36,MATCH(L925,Settings!$A$27:$A$36,0))&amp;"","UNMAPPED"))</f>
        <v/>
      </c>
      <c r="T925" s="37" t="str">
        <f aca="false">IF($M925="","",IF(NOT(ISNUMBER(R925)),"NO DATE",IF(S925="Won",IF(R925&gt;Settings!$B$5,"Backlog","Delivered"),IF(S925="Open",IF(R925&gt;Settings!$B$5,"Pipeline","Overdue"),IF(S925="Lost","Lost","UNMAPPED")))))</f>
        <v/>
      </c>
      <c r="U925" s="40" t="n">
        <f aca="false">IF(T925="Backlog",1,IF(OR(T925="Pipeline",T925="Overdue"),N(INDEX(Settings!$C$27:$C$36,MATCH(L925,Settings!$A$27:$A$36,0))),0))</f>
        <v>0</v>
      </c>
      <c r="V925" s="38" t="n">
        <f aca="false">Q925*U925</f>
        <v>0</v>
      </c>
      <c r="W925" s="41" t="str">
        <f aca="false">IF($M925="","",IF(T925="Overdue",IF(Settings!$B$8="Yes",Settings!$B$7,""),IF(ISNUMBER(R925),DATE(YEAR(R925),MONTH(R925),1),"")))</f>
        <v/>
      </c>
      <c r="X925" s="38" t="n">
        <f aca="false">IF(AND(OR(T925="Backlog",T925="Pipeline",T925="Overdue"),ISNUMBER(W925)),IF(W925&lt;=Settings!$B$6,V925,0),0)</f>
        <v>0</v>
      </c>
      <c r="Y925" s="38" t="n">
        <f aca="false">IF(AND(OR(T925="Backlog",T925="Pipeline",T925="Overdue"),ISNUMBER(W925)),IF(W925&lt;=Settings!$B$6,Q925,0),0)</f>
        <v>0</v>
      </c>
      <c r="Z925" s="38" t="n">
        <f aca="false">IF(Y925=0,0,IF(T925="Backlog",Q925,Q925*Dashboard!$C$10))</f>
        <v>0</v>
      </c>
      <c r="AA925" s="37" t="n">
        <f aca="false">IF($N925="",0,IF(COUNTIF(Dashboard!$C$13:$C$22,$N925)&gt;0,1,0))</f>
        <v>0</v>
      </c>
      <c r="AB925" s="37" t="str">
        <f aca="false">IF($N925="","",IF(COUNTIF($N$8:$N925,$N925)=1,MAX($AB$7:$AB924)+1,""))</f>
        <v/>
      </c>
    </row>
    <row r="926" customFormat="false" ht="15" hidden="false" customHeight="false" outlineLevel="0" collapsed="false">
      <c r="L926" s="37" t="str">
        <f aca="false">IF(INDEX($A926:$J926,$L$6)&lt;&gt;"",TRIM(LEFT(INDEX($A926:$J926,$L$6),FIND("(",INDEX($A926:$J926,$L$6)&amp;"(")-1)),L925)</f>
        <v>Building Value Proposition</v>
      </c>
      <c r="M926" s="37" t="str">
        <f aca="false">IF(INDEX($A926:$J926,$M$6)="","",INDEX($A926:$J926,$M$6)&amp;"")</f>
        <v/>
      </c>
      <c r="N926" s="37" t="str">
        <f aca="false">IF($M926="","",TRIM(INDEX($A926:$J926,$N$6)&amp;""))</f>
        <v/>
      </c>
      <c r="O926" s="37" t="str">
        <f aca="false">IF($M926="","",TRIM(INDEX($A926:$J926,$O$6)&amp;""))</f>
        <v/>
      </c>
      <c r="P926" s="37" t="str">
        <f aca="false">IF($M926="","",IFERROR(IF(INDEX(Settings!$B$41:$B$50,MATCH(O926,Settings!$A$41:$A$50,0))&amp;""="","UNMAPPED",INDEX(Settings!$B$41:$B$50,MATCH(O926,Settings!$A$41:$A$50,0))&amp;""),"UNMAPPED"))</f>
        <v/>
      </c>
      <c r="Q926" s="38" t="n">
        <f aca="false">IF($M926="",0,N(INDEX($A926:$J926,$Q$6)))</f>
        <v>0</v>
      </c>
      <c r="R926" s="39" t="str">
        <f aca="false">IF($M926="","",INDEX($A926:$J926,$R$6))</f>
        <v/>
      </c>
      <c r="S926" s="37" t="str">
        <f aca="false">IF($M926="","",IFERROR(INDEX(Settings!$B$27:$B$36,MATCH(L926,Settings!$A$27:$A$36,0))&amp;"","UNMAPPED"))</f>
        <v/>
      </c>
      <c r="T926" s="37" t="str">
        <f aca="false">IF($M926="","",IF(NOT(ISNUMBER(R926)),"NO DATE",IF(S926="Won",IF(R926&gt;Settings!$B$5,"Backlog","Delivered"),IF(S926="Open",IF(R926&gt;Settings!$B$5,"Pipeline","Overdue"),IF(S926="Lost","Lost","UNMAPPED")))))</f>
        <v/>
      </c>
      <c r="U926" s="40" t="n">
        <f aca="false">IF(T926="Backlog",1,IF(OR(T926="Pipeline",T926="Overdue"),N(INDEX(Settings!$C$27:$C$36,MATCH(L926,Settings!$A$27:$A$36,0))),0))</f>
        <v>0</v>
      </c>
      <c r="V926" s="38" t="n">
        <f aca="false">Q926*U926</f>
        <v>0</v>
      </c>
      <c r="W926" s="41" t="str">
        <f aca="false">IF($M926="","",IF(T926="Overdue",IF(Settings!$B$8="Yes",Settings!$B$7,""),IF(ISNUMBER(R926),DATE(YEAR(R926),MONTH(R926),1),"")))</f>
        <v/>
      </c>
      <c r="X926" s="38" t="n">
        <f aca="false">IF(AND(OR(T926="Backlog",T926="Pipeline",T926="Overdue"),ISNUMBER(W926)),IF(W926&lt;=Settings!$B$6,V926,0),0)</f>
        <v>0</v>
      </c>
      <c r="Y926" s="38" t="n">
        <f aca="false">IF(AND(OR(T926="Backlog",T926="Pipeline",T926="Overdue"),ISNUMBER(W926)),IF(W926&lt;=Settings!$B$6,Q926,0),0)</f>
        <v>0</v>
      </c>
      <c r="Z926" s="38" t="n">
        <f aca="false">IF(Y926=0,0,IF(T926="Backlog",Q926,Q926*Dashboard!$C$10))</f>
        <v>0</v>
      </c>
      <c r="AA926" s="37" t="n">
        <f aca="false">IF($N926="",0,IF(COUNTIF(Dashboard!$C$13:$C$22,$N926)&gt;0,1,0))</f>
        <v>0</v>
      </c>
      <c r="AB926" s="37" t="str">
        <f aca="false">IF($N926="","",IF(COUNTIF($N$8:$N926,$N926)=1,MAX($AB$7:$AB925)+1,""))</f>
        <v/>
      </c>
    </row>
    <row r="927" customFormat="false" ht="15" hidden="false" customHeight="false" outlineLevel="0" collapsed="false">
      <c r="L927" s="37" t="str">
        <f aca="false">IF(INDEX($A927:$J927,$L$6)&lt;&gt;"",TRIM(LEFT(INDEX($A927:$J927,$L$6),FIND("(",INDEX($A927:$J927,$L$6)&amp;"(")-1)),L926)</f>
        <v>Building Value Proposition</v>
      </c>
      <c r="M927" s="37" t="str">
        <f aca="false">IF(INDEX($A927:$J927,$M$6)="","",INDEX($A927:$J927,$M$6)&amp;"")</f>
        <v/>
      </c>
      <c r="N927" s="37" t="str">
        <f aca="false">IF($M927="","",TRIM(INDEX($A927:$J927,$N$6)&amp;""))</f>
        <v/>
      </c>
      <c r="O927" s="37" t="str">
        <f aca="false">IF($M927="","",TRIM(INDEX($A927:$J927,$O$6)&amp;""))</f>
        <v/>
      </c>
      <c r="P927" s="37" t="str">
        <f aca="false">IF($M927="","",IFERROR(IF(INDEX(Settings!$B$41:$B$50,MATCH(O927,Settings!$A$41:$A$50,0))&amp;""="","UNMAPPED",INDEX(Settings!$B$41:$B$50,MATCH(O927,Settings!$A$41:$A$50,0))&amp;""),"UNMAPPED"))</f>
        <v/>
      </c>
      <c r="Q927" s="38" t="n">
        <f aca="false">IF($M927="",0,N(INDEX($A927:$J927,$Q$6)))</f>
        <v>0</v>
      </c>
      <c r="R927" s="39" t="str">
        <f aca="false">IF($M927="","",INDEX($A927:$J927,$R$6))</f>
        <v/>
      </c>
      <c r="S927" s="37" t="str">
        <f aca="false">IF($M927="","",IFERROR(INDEX(Settings!$B$27:$B$36,MATCH(L927,Settings!$A$27:$A$36,0))&amp;"","UNMAPPED"))</f>
        <v/>
      </c>
      <c r="T927" s="37" t="str">
        <f aca="false">IF($M927="","",IF(NOT(ISNUMBER(R927)),"NO DATE",IF(S927="Won",IF(R927&gt;Settings!$B$5,"Backlog","Delivered"),IF(S927="Open",IF(R927&gt;Settings!$B$5,"Pipeline","Overdue"),IF(S927="Lost","Lost","UNMAPPED")))))</f>
        <v/>
      </c>
      <c r="U927" s="40" t="n">
        <f aca="false">IF(T927="Backlog",1,IF(OR(T927="Pipeline",T927="Overdue"),N(INDEX(Settings!$C$27:$C$36,MATCH(L927,Settings!$A$27:$A$36,0))),0))</f>
        <v>0</v>
      </c>
      <c r="V927" s="38" t="n">
        <f aca="false">Q927*U927</f>
        <v>0</v>
      </c>
      <c r="W927" s="41" t="str">
        <f aca="false">IF($M927="","",IF(T927="Overdue",IF(Settings!$B$8="Yes",Settings!$B$7,""),IF(ISNUMBER(R927),DATE(YEAR(R927),MONTH(R927),1),"")))</f>
        <v/>
      </c>
      <c r="X927" s="38" t="n">
        <f aca="false">IF(AND(OR(T927="Backlog",T927="Pipeline",T927="Overdue"),ISNUMBER(W927)),IF(W927&lt;=Settings!$B$6,V927,0),0)</f>
        <v>0</v>
      </c>
      <c r="Y927" s="38" t="n">
        <f aca="false">IF(AND(OR(T927="Backlog",T927="Pipeline",T927="Overdue"),ISNUMBER(W927)),IF(W927&lt;=Settings!$B$6,Q927,0),0)</f>
        <v>0</v>
      </c>
      <c r="Z927" s="38" t="n">
        <f aca="false">IF(Y927=0,0,IF(T927="Backlog",Q927,Q927*Dashboard!$C$10))</f>
        <v>0</v>
      </c>
      <c r="AA927" s="37" t="n">
        <f aca="false">IF($N927="",0,IF(COUNTIF(Dashboard!$C$13:$C$22,$N927)&gt;0,1,0))</f>
        <v>0</v>
      </c>
      <c r="AB927" s="37" t="str">
        <f aca="false">IF($N927="","",IF(COUNTIF($N$8:$N927,$N927)=1,MAX($AB$7:$AB926)+1,""))</f>
        <v/>
      </c>
    </row>
    <row r="928" customFormat="false" ht="15" hidden="false" customHeight="false" outlineLevel="0" collapsed="false">
      <c r="L928" s="37" t="str">
        <f aca="false">IF(INDEX($A928:$J928,$L$6)&lt;&gt;"",TRIM(LEFT(INDEX($A928:$J928,$L$6),FIND("(",INDEX($A928:$J928,$L$6)&amp;"(")-1)),L927)</f>
        <v>Building Value Proposition</v>
      </c>
      <c r="M928" s="37" t="str">
        <f aca="false">IF(INDEX($A928:$J928,$M$6)="","",INDEX($A928:$J928,$M$6)&amp;"")</f>
        <v/>
      </c>
      <c r="N928" s="37" t="str">
        <f aca="false">IF($M928="","",TRIM(INDEX($A928:$J928,$N$6)&amp;""))</f>
        <v/>
      </c>
      <c r="O928" s="37" t="str">
        <f aca="false">IF($M928="","",TRIM(INDEX($A928:$J928,$O$6)&amp;""))</f>
        <v/>
      </c>
      <c r="P928" s="37" t="str">
        <f aca="false">IF($M928="","",IFERROR(IF(INDEX(Settings!$B$41:$B$50,MATCH(O928,Settings!$A$41:$A$50,0))&amp;""="","UNMAPPED",INDEX(Settings!$B$41:$B$50,MATCH(O928,Settings!$A$41:$A$50,0))&amp;""),"UNMAPPED"))</f>
        <v/>
      </c>
      <c r="Q928" s="38" t="n">
        <f aca="false">IF($M928="",0,N(INDEX($A928:$J928,$Q$6)))</f>
        <v>0</v>
      </c>
      <c r="R928" s="39" t="str">
        <f aca="false">IF($M928="","",INDEX($A928:$J928,$R$6))</f>
        <v/>
      </c>
      <c r="S928" s="37" t="str">
        <f aca="false">IF($M928="","",IFERROR(INDEX(Settings!$B$27:$B$36,MATCH(L928,Settings!$A$27:$A$36,0))&amp;"","UNMAPPED"))</f>
        <v/>
      </c>
      <c r="T928" s="37" t="str">
        <f aca="false">IF($M928="","",IF(NOT(ISNUMBER(R928)),"NO DATE",IF(S928="Won",IF(R928&gt;Settings!$B$5,"Backlog","Delivered"),IF(S928="Open",IF(R928&gt;Settings!$B$5,"Pipeline","Overdue"),IF(S928="Lost","Lost","UNMAPPED")))))</f>
        <v/>
      </c>
      <c r="U928" s="40" t="n">
        <f aca="false">IF(T928="Backlog",1,IF(OR(T928="Pipeline",T928="Overdue"),N(INDEX(Settings!$C$27:$C$36,MATCH(L928,Settings!$A$27:$A$36,0))),0))</f>
        <v>0</v>
      </c>
      <c r="V928" s="38" t="n">
        <f aca="false">Q928*U928</f>
        <v>0</v>
      </c>
      <c r="W928" s="41" t="str">
        <f aca="false">IF($M928="","",IF(T928="Overdue",IF(Settings!$B$8="Yes",Settings!$B$7,""),IF(ISNUMBER(R928),DATE(YEAR(R928),MONTH(R928),1),"")))</f>
        <v/>
      </c>
      <c r="X928" s="38" t="n">
        <f aca="false">IF(AND(OR(T928="Backlog",T928="Pipeline",T928="Overdue"),ISNUMBER(W928)),IF(W928&lt;=Settings!$B$6,V928,0),0)</f>
        <v>0</v>
      </c>
      <c r="Y928" s="38" t="n">
        <f aca="false">IF(AND(OR(T928="Backlog",T928="Pipeline",T928="Overdue"),ISNUMBER(W928)),IF(W928&lt;=Settings!$B$6,Q928,0),0)</f>
        <v>0</v>
      </c>
      <c r="Z928" s="38" t="n">
        <f aca="false">IF(Y928=0,0,IF(T928="Backlog",Q928,Q928*Dashboard!$C$10))</f>
        <v>0</v>
      </c>
      <c r="AA928" s="37" t="n">
        <f aca="false">IF($N928="",0,IF(COUNTIF(Dashboard!$C$13:$C$22,$N928)&gt;0,1,0))</f>
        <v>0</v>
      </c>
      <c r="AB928" s="37" t="str">
        <f aca="false">IF($N928="","",IF(COUNTIF($N$8:$N928,$N928)=1,MAX($AB$7:$AB927)+1,""))</f>
        <v/>
      </c>
    </row>
    <row r="929" customFormat="false" ht="15" hidden="false" customHeight="false" outlineLevel="0" collapsed="false">
      <c r="L929" s="37" t="str">
        <f aca="false">IF(INDEX($A929:$J929,$L$6)&lt;&gt;"",TRIM(LEFT(INDEX($A929:$J929,$L$6),FIND("(",INDEX($A929:$J929,$L$6)&amp;"(")-1)),L928)</f>
        <v>Building Value Proposition</v>
      </c>
      <c r="M929" s="37" t="str">
        <f aca="false">IF(INDEX($A929:$J929,$M$6)="","",INDEX($A929:$J929,$M$6)&amp;"")</f>
        <v/>
      </c>
      <c r="N929" s="37" t="str">
        <f aca="false">IF($M929="","",TRIM(INDEX($A929:$J929,$N$6)&amp;""))</f>
        <v/>
      </c>
      <c r="O929" s="37" t="str">
        <f aca="false">IF($M929="","",TRIM(INDEX($A929:$J929,$O$6)&amp;""))</f>
        <v/>
      </c>
      <c r="P929" s="37" t="str">
        <f aca="false">IF($M929="","",IFERROR(IF(INDEX(Settings!$B$41:$B$50,MATCH(O929,Settings!$A$41:$A$50,0))&amp;""="","UNMAPPED",INDEX(Settings!$B$41:$B$50,MATCH(O929,Settings!$A$41:$A$50,0))&amp;""),"UNMAPPED"))</f>
        <v/>
      </c>
      <c r="Q929" s="38" t="n">
        <f aca="false">IF($M929="",0,N(INDEX($A929:$J929,$Q$6)))</f>
        <v>0</v>
      </c>
      <c r="R929" s="39" t="str">
        <f aca="false">IF($M929="","",INDEX($A929:$J929,$R$6))</f>
        <v/>
      </c>
      <c r="S929" s="37" t="str">
        <f aca="false">IF($M929="","",IFERROR(INDEX(Settings!$B$27:$B$36,MATCH(L929,Settings!$A$27:$A$36,0))&amp;"","UNMAPPED"))</f>
        <v/>
      </c>
      <c r="T929" s="37" t="str">
        <f aca="false">IF($M929="","",IF(NOT(ISNUMBER(R929)),"NO DATE",IF(S929="Won",IF(R929&gt;Settings!$B$5,"Backlog","Delivered"),IF(S929="Open",IF(R929&gt;Settings!$B$5,"Pipeline","Overdue"),IF(S929="Lost","Lost","UNMAPPED")))))</f>
        <v/>
      </c>
      <c r="U929" s="40" t="n">
        <f aca="false">IF(T929="Backlog",1,IF(OR(T929="Pipeline",T929="Overdue"),N(INDEX(Settings!$C$27:$C$36,MATCH(L929,Settings!$A$27:$A$36,0))),0))</f>
        <v>0</v>
      </c>
      <c r="V929" s="38" t="n">
        <f aca="false">Q929*U929</f>
        <v>0</v>
      </c>
      <c r="W929" s="41" t="str">
        <f aca="false">IF($M929="","",IF(T929="Overdue",IF(Settings!$B$8="Yes",Settings!$B$7,""),IF(ISNUMBER(R929),DATE(YEAR(R929),MONTH(R929),1),"")))</f>
        <v/>
      </c>
      <c r="X929" s="38" t="n">
        <f aca="false">IF(AND(OR(T929="Backlog",T929="Pipeline",T929="Overdue"),ISNUMBER(W929)),IF(W929&lt;=Settings!$B$6,V929,0),0)</f>
        <v>0</v>
      </c>
      <c r="Y929" s="38" t="n">
        <f aca="false">IF(AND(OR(T929="Backlog",T929="Pipeline",T929="Overdue"),ISNUMBER(W929)),IF(W929&lt;=Settings!$B$6,Q929,0),0)</f>
        <v>0</v>
      </c>
      <c r="Z929" s="38" t="n">
        <f aca="false">IF(Y929=0,0,IF(T929="Backlog",Q929,Q929*Dashboard!$C$10))</f>
        <v>0</v>
      </c>
      <c r="AA929" s="37" t="n">
        <f aca="false">IF($N929="",0,IF(COUNTIF(Dashboard!$C$13:$C$22,$N929)&gt;0,1,0))</f>
        <v>0</v>
      </c>
      <c r="AB929" s="37" t="str">
        <f aca="false">IF($N929="","",IF(COUNTIF($N$8:$N929,$N929)=1,MAX($AB$7:$AB928)+1,""))</f>
        <v/>
      </c>
    </row>
    <row r="930" customFormat="false" ht="15" hidden="false" customHeight="false" outlineLevel="0" collapsed="false">
      <c r="L930" s="37" t="str">
        <f aca="false">IF(INDEX($A930:$J930,$L$6)&lt;&gt;"",TRIM(LEFT(INDEX($A930:$J930,$L$6),FIND("(",INDEX($A930:$J930,$L$6)&amp;"(")-1)),L929)</f>
        <v>Building Value Proposition</v>
      </c>
      <c r="M930" s="37" t="str">
        <f aca="false">IF(INDEX($A930:$J930,$M$6)="","",INDEX($A930:$J930,$M$6)&amp;"")</f>
        <v/>
      </c>
      <c r="N930" s="37" t="str">
        <f aca="false">IF($M930="","",TRIM(INDEX($A930:$J930,$N$6)&amp;""))</f>
        <v/>
      </c>
      <c r="O930" s="37" t="str">
        <f aca="false">IF($M930="","",TRIM(INDEX($A930:$J930,$O$6)&amp;""))</f>
        <v/>
      </c>
      <c r="P930" s="37" t="str">
        <f aca="false">IF($M930="","",IFERROR(IF(INDEX(Settings!$B$41:$B$50,MATCH(O930,Settings!$A$41:$A$50,0))&amp;""="","UNMAPPED",INDEX(Settings!$B$41:$B$50,MATCH(O930,Settings!$A$41:$A$50,0))&amp;""),"UNMAPPED"))</f>
        <v/>
      </c>
      <c r="Q930" s="38" t="n">
        <f aca="false">IF($M930="",0,N(INDEX($A930:$J930,$Q$6)))</f>
        <v>0</v>
      </c>
      <c r="R930" s="39" t="str">
        <f aca="false">IF($M930="","",INDEX($A930:$J930,$R$6))</f>
        <v/>
      </c>
      <c r="S930" s="37" t="str">
        <f aca="false">IF($M930="","",IFERROR(INDEX(Settings!$B$27:$B$36,MATCH(L930,Settings!$A$27:$A$36,0))&amp;"","UNMAPPED"))</f>
        <v/>
      </c>
      <c r="T930" s="37" t="str">
        <f aca="false">IF($M930="","",IF(NOT(ISNUMBER(R930)),"NO DATE",IF(S930="Won",IF(R930&gt;Settings!$B$5,"Backlog","Delivered"),IF(S930="Open",IF(R930&gt;Settings!$B$5,"Pipeline","Overdue"),IF(S930="Lost","Lost","UNMAPPED")))))</f>
        <v/>
      </c>
      <c r="U930" s="40" t="n">
        <f aca="false">IF(T930="Backlog",1,IF(OR(T930="Pipeline",T930="Overdue"),N(INDEX(Settings!$C$27:$C$36,MATCH(L930,Settings!$A$27:$A$36,0))),0))</f>
        <v>0</v>
      </c>
      <c r="V930" s="38" t="n">
        <f aca="false">Q930*U930</f>
        <v>0</v>
      </c>
      <c r="W930" s="41" t="str">
        <f aca="false">IF($M930="","",IF(T930="Overdue",IF(Settings!$B$8="Yes",Settings!$B$7,""),IF(ISNUMBER(R930),DATE(YEAR(R930),MONTH(R930),1),"")))</f>
        <v/>
      </c>
      <c r="X930" s="38" t="n">
        <f aca="false">IF(AND(OR(T930="Backlog",T930="Pipeline",T930="Overdue"),ISNUMBER(W930)),IF(W930&lt;=Settings!$B$6,V930,0),0)</f>
        <v>0</v>
      </c>
      <c r="Y930" s="38" t="n">
        <f aca="false">IF(AND(OR(T930="Backlog",T930="Pipeline",T930="Overdue"),ISNUMBER(W930)),IF(W930&lt;=Settings!$B$6,Q930,0),0)</f>
        <v>0</v>
      </c>
      <c r="Z930" s="38" t="n">
        <f aca="false">IF(Y930=0,0,IF(T930="Backlog",Q930,Q930*Dashboard!$C$10))</f>
        <v>0</v>
      </c>
      <c r="AA930" s="37" t="n">
        <f aca="false">IF($N930="",0,IF(COUNTIF(Dashboard!$C$13:$C$22,$N930)&gt;0,1,0))</f>
        <v>0</v>
      </c>
      <c r="AB930" s="37" t="str">
        <f aca="false">IF($N930="","",IF(COUNTIF($N$8:$N930,$N930)=1,MAX($AB$7:$AB929)+1,""))</f>
        <v/>
      </c>
    </row>
    <row r="931" customFormat="false" ht="15" hidden="false" customHeight="false" outlineLevel="0" collapsed="false">
      <c r="L931" s="37" t="str">
        <f aca="false">IF(INDEX($A931:$J931,$L$6)&lt;&gt;"",TRIM(LEFT(INDEX($A931:$J931,$L$6),FIND("(",INDEX($A931:$J931,$L$6)&amp;"(")-1)),L930)</f>
        <v>Building Value Proposition</v>
      </c>
      <c r="M931" s="37" t="str">
        <f aca="false">IF(INDEX($A931:$J931,$M$6)="","",INDEX($A931:$J931,$M$6)&amp;"")</f>
        <v/>
      </c>
      <c r="N931" s="37" t="str">
        <f aca="false">IF($M931="","",TRIM(INDEX($A931:$J931,$N$6)&amp;""))</f>
        <v/>
      </c>
      <c r="O931" s="37" t="str">
        <f aca="false">IF($M931="","",TRIM(INDEX($A931:$J931,$O$6)&amp;""))</f>
        <v/>
      </c>
      <c r="P931" s="37" t="str">
        <f aca="false">IF($M931="","",IFERROR(IF(INDEX(Settings!$B$41:$B$50,MATCH(O931,Settings!$A$41:$A$50,0))&amp;""="","UNMAPPED",INDEX(Settings!$B$41:$B$50,MATCH(O931,Settings!$A$41:$A$50,0))&amp;""),"UNMAPPED"))</f>
        <v/>
      </c>
      <c r="Q931" s="38" t="n">
        <f aca="false">IF($M931="",0,N(INDEX($A931:$J931,$Q$6)))</f>
        <v>0</v>
      </c>
      <c r="R931" s="39" t="str">
        <f aca="false">IF($M931="","",INDEX($A931:$J931,$R$6))</f>
        <v/>
      </c>
      <c r="S931" s="37" t="str">
        <f aca="false">IF($M931="","",IFERROR(INDEX(Settings!$B$27:$B$36,MATCH(L931,Settings!$A$27:$A$36,0))&amp;"","UNMAPPED"))</f>
        <v/>
      </c>
      <c r="T931" s="37" t="str">
        <f aca="false">IF($M931="","",IF(NOT(ISNUMBER(R931)),"NO DATE",IF(S931="Won",IF(R931&gt;Settings!$B$5,"Backlog","Delivered"),IF(S931="Open",IF(R931&gt;Settings!$B$5,"Pipeline","Overdue"),IF(S931="Lost","Lost","UNMAPPED")))))</f>
        <v/>
      </c>
      <c r="U931" s="40" t="n">
        <f aca="false">IF(T931="Backlog",1,IF(OR(T931="Pipeline",T931="Overdue"),N(INDEX(Settings!$C$27:$C$36,MATCH(L931,Settings!$A$27:$A$36,0))),0))</f>
        <v>0</v>
      </c>
      <c r="V931" s="38" t="n">
        <f aca="false">Q931*U931</f>
        <v>0</v>
      </c>
      <c r="W931" s="41" t="str">
        <f aca="false">IF($M931="","",IF(T931="Overdue",IF(Settings!$B$8="Yes",Settings!$B$7,""),IF(ISNUMBER(R931),DATE(YEAR(R931),MONTH(R931),1),"")))</f>
        <v/>
      </c>
      <c r="X931" s="38" t="n">
        <f aca="false">IF(AND(OR(T931="Backlog",T931="Pipeline",T931="Overdue"),ISNUMBER(W931)),IF(W931&lt;=Settings!$B$6,V931,0),0)</f>
        <v>0</v>
      </c>
      <c r="Y931" s="38" t="n">
        <f aca="false">IF(AND(OR(T931="Backlog",T931="Pipeline",T931="Overdue"),ISNUMBER(W931)),IF(W931&lt;=Settings!$B$6,Q931,0),0)</f>
        <v>0</v>
      </c>
      <c r="Z931" s="38" t="n">
        <f aca="false">IF(Y931=0,0,IF(T931="Backlog",Q931,Q931*Dashboard!$C$10))</f>
        <v>0</v>
      </c>
      <c r="AA931" s="37" t="n">
        <f aca="false">IF($N931="",0,IF(COUNTIF(Dashboard!$C$13:$C$22,$N931)&gt;0,1,0))</f>
        <v>0</v>
      </c>
      <c r="AB931" s="37" t="str">
        <f aca="false">IF($N931="","",IF(COUNTIF($N$8:$N931,$N931)=1,MAX($AB$7:$AB930)+1,""))</f>
        <v/>
      </c>
    </row>
    <row r="932" customFormat="false" ht="15" hidden="false" customHeight="false" outlineLevel="0" collapsed="false">
      <c r="L932" s="37" t="str">
        <f aca="false">IF(INDEX($A932:$J932,$L$6)&lt;&gt;"",TRIM(LEFT(INDEX($A932:$J932,$L$6),FIND("(",INDEX($A932:$J932,$L$6)&amp;"(")-1)),L931)</f>
        <v>Building Value Proposition</v>
      </c>
      <c r="M932" s="37" t="str">
        <f aca="false">IF(INDEX($A932:$J932,$M$6)="","",INDEX($A932:$J932,$M$6)&amp;"")</f>
        <v/>
      </c>
      <c r="N932" s="37" t="str">
        <f aca="false">IF($M932="","",TRIM(INDEX($A932:$J932,$N$6)&amp;""))</f>
        <v/>
      </c>
      <c r="O932" s="37" t="str">
        <f aca="false">IF($M932="","",TRIM(INDEX($A932:$J932,$O$6)&amp;""))</f>
        <v/>
      </c>
      <c r="P932" s="37" t="str">
        <f aca="false">IF($M932="","",IFERROR(IF(INDEX(Settings!$B$41:$B$50,MATCH(O932,Settings!$A$41:$A$50,0))&amp;""="","UNMAPPED",INDEX(Settings!$B$41:$B$50,MATCH(O932,Settings!$A$41:$A$50,0))&amp;""),"UNMAPPED"))</f>
        <v/>
      </c>
      <c r="Q932" s="38" t="n">
        <f aca="false">IF($M932="",0,N(INDEX($A932:$J932,$Q$6)))</f>
        <v>0</v>
      </c>
      <c r="R932" s="39" t="str">
        <f aca="false">IF($M932="","",INDEX($A932:$J932,$R$6))</f>
        <v/>
      </c>
      <c r="S932" s="37" t="str">
        <f aca="false">IF($M932="","",IFERROR(INDEX(Settings!$B$27:$B$36,MATCH(L932,Settings!$A$27:$A$36,0))&amp;"","UNMAPPED"))</f>
        <v/>
      </c>
      <c r="T932" s="37" t="str">
        <f aca="false">IF($M932="","",IF(NOT(ISNUMBER(R932)),"NO DATE",IF(S932="Won",IF(R932&gt;Settings!$B$5,"Backlog","Delivered"),IF(S932="Open",IF(R932&gt;Settings!$B$5,"Pipeline","Overdue"),IF(S932="Lost","Lost","UNMAPPED")))))</f>
        <v/>
      </c>
      <c r="U932" s="40" t="n">
        <f aca="false">IF(T932="Backlog",1,IF(OR(T932="Pipeline",T932="Overdue"),N(INDEX(Settings!$C$27:$C$36,MATCH(L932,Settings!$A$27:$A$36,0))),0))</f>
        <v>0</v>
      </c>
      <c r="V932" s="38" t="n">
        <f aca="false">Q932*U932</f>
        <v>0</v>
      </c>
      <c r="W932" s="41" t="str">
        <f aca="false">IF($M932="","",IF(T932="Overdue",IF(Settings!$B$8="Yes",Settings!$B$7,""),IF(ISNUMBER(R932),DATE(YEAR(R932),MONTH(R932),1),"")))</f>
        <v/>
      </c>
      <c r="X932" s="38" t="n">
        <f aca="false">IF(AND(OR(T932="Backlog",T932="Pipeline",T932="Overdue"),ISNUMBER(W932)),IF(W932&lt;=Settings!$B$6,V932,0),0)</f>
        <v>0</v>
      </c>
      <c r="Y932" s="38" t="n">
        <f aca="false">IF(AND(OR(T932="Backlog",T932="Pipeline",T932="Overdue"),ISNUMBER(W932)),IF(W932&lt;=Settings!$B$6,Q932,0),0)</f>
        <v>0</v>
      </c>
      <c r="Z932" s="38" t="n">
        <f aca="false">IF(Y932=0,0,IF(T932="Backlog",Q932,Q932*Dashboard!$C$10))</f>
        <v>0</v>
      </c>
      <c r="AA932" s="37" t="n">
        <f aca="false">IF($N932="",0,IF(COUNTIF(Dashboard!$C$13:$C$22,$N932)&gt;0,1,0))</f>
        <v>0</v>
      </c>
      <c r="AB932" s="37" t="str">
        <f aca="false">IF($N932="","",IF(COUNTIF($N$8:$N932,$N932)=1,MAX($AB$7:$AB931)+1,""))</f>
        <v/>
      </c>
    </row>
    <row r="933" customFormat="false" ht="15" hidden="false" customHeight="false" outlineLevel="0" collapsed="false">
      <c r="L933" s="37" t="str">
        <f aca="false">IF(INDEX($A933:$J933,$L$6)&lt;&gt;"",TRIM(LEFT(INDEX($A933:$J933,$L$6),FIND("(",INDEX($A933:$J933,$L$6)&amp;"(")-1)),L932)</f>
        <v>Building Value Proposition</v>
      </c>
      <c r="M933" s="37" t="str">
        <f aca="false">IF(INDEX($A933:$J933,$M$6)="","",INDEX($A933:$J933,$M$6)&amp;"")</f>
        <v/>
      </c>
      <c r="N933" s="37" t="str">
        <f aca="false">IF($M933="","",TRIM(INDEX($A933:$J933,$N$6)&amp;""))</f>
        <v/>
      </c>
      <c r="O933" s="37" t="str">
        <f aca="false">IF($M933="","",TRIM(INDEX($A933:$J933,$O$6)&amp;""))</f>
        <v/>
      </c>
      <c r="P933" s="37" t="str">
        <f aca="false">IF($M933="","",IFERROR(IF(INDEX(Settings!$B$41:$B$50,MATCH(O933,Settings!$A$41:$A$50,0))&amp;""="","UNMAPPED",INDEX(Settings!$B$41:$B$50,MATCH(O933,Settings!$A$41:$A$50,0))&amp;""),"UNMAPPED"))</f>
        <v/>
      </c>
      <c r="Q933" s="38" t="n">
        <f aca="false">IF($M933="",0,N(INDEX($A933:$J933,$Q$6)))</f>
        <v>0</v>
      </c>
      <c r="R933" s="39" t="str">
        <f aca="false">IF($M933="","",INDEX($A933:$J933,$R$6))</f>
        <v/>
      </c>
      <c r="S933" s="37" t="str">
        <f aca="false">IF($M933="","",IFERROR(INDEX(Settings!$B$27:$B$36,MATCH(L933,Settings!$A$27:$A$36,0))&amp;"","UNMAPPED"))</f>
        <v/>
      </c>
      <c r="T933" s="37" t="str">
        <f aca="false">IF($M933="","",IF(NOT(ISNUMBER(R933)),"NO DATE",IF(S933="Won",IF(R933&gt;Settings!$B$5,"Backlog","Delivered"),IF(S933="Open",IF(R933&gt;Settings!$B$5,"Pipeline","Overdue"),IF(S933="Lost","Lost","UNMAPPED")))))</f>
        <v/>
      </c>
      <c r="U933" s="40" t="n">
        <f aca="false">IF(T933="Backlog",1,IF(OR(T933="Pipeline",T933="Overdue"),N(INDEX(Settings!$C$27:$C$36,MATCH(L933,Settings!$A$27:$A$36,0))),0))</f>
        <v>0</v>
      </c>
      <c r="V933" s="38" t="n">
        <f aca="false">Q933*U933</f>
        <v>0</v>
      </c>
      <c r="W933" s="41" t="str">
        <f aca="false">IF($M933="","",IF(T933="Overdue",IF(Settings!$B$8="Yes",Settings!$B$7,""),IF(ISNUMBER(R933),DATE(YEAR(R933),MONTH(R933),1),"")))</f>
        <v/>
      </c>
      <c r="X933" s="38" t="n">
        <f aca="false">IF(AND(OR(T933="Backlog",T933="Pipeline",T933="Overdue"),ISNUMBER(W933)),IF(W933&lt;=Settings!$B$6,V933,0),0)</f>
        <v>0</v>
      </c>
      <c r="Y933" s="38" t="n">
        <f aca="false">IF(AND(OR(T933="Backlog",T933="Pipeline",T933="Overdue"),ISNUMBER(W933)),IF(W933&lt;=Settings!$B$6,Q933,0),0)</f>
        <v>0</v>
      </c>
      <c r="Z933" s="38" t="n">
        <f aca="false">IF(Y933=0,0,IF(T933="Backlog",Q933,Q933*Dashboard!$C$10))</f>
        <v>0</v>
      </c>
      <c r="AA933" s="37" t="n">
        <f aca="false">IF($N933="",0,IF(COUNTIF(Dashboard!$C$13:$C$22,$N933)&gt;0,1,0))</f>
        <v>0</v>
      </c>
      <c r="AB933" s="37" t="str">
        <f aca="false">IF($N933="","",IF(COUNTIF($N$8:$N933,$N933)=1,MAX($AB$7:$AB932)+1,""))</f>
        <v/>
      </c>
    </row>
    <row r="934" customFormat="false" ht="15" hidden="false" customHeight="false" outlineLevel="0" collapsed="false">
      <c r="L934" s="37" t="str">
        <f aca="false">IF(INDEX($A934:$J934,$L$6)&lt;&gt;"",TRIM(LEFT(INDEX($A934:$J934,$L$6),FIND("(",INDEX($A934:$J934,$L$6)&amp;"(")-1)),L933)</f>
        <v>Building Value Proposition</v>
      </c>
      <c r="M934" s="37" t="str">
        <f aca="false">IF(INDEX($A934:$J934,$M$6)="","",INDEX($A934:$J934,$M$6)&amp;"")</f>
        <v/>
      </c>
      <c r="N934" s="37" t="str">
        <f aca="false">IF($M934="","",TRIM(INDEX($A934:$J934,$N$6)&amp;""))</f>
        <v/>
      </c>
      <c r="O934" s="37" t="str">
        <f aca="false">IF($M934="","",TRIM(INDEX($A934:$J934,$O$6)&amp;""))</f>
        <v/>
      </c>
      <c r="P934" s="37" t="str">
        <f aca="false">IF($M934="","",IFERROR(IF(INDEX(Settings!$B$41:$B$50,MATCH(O934,Settings!$A$41:$A$50,0))&amp;""="","UNMAPPED",INDEX(Settings!$B$41:$B$50,MATCH(O934,Settings!$A$41:$A$50,0))&amp;""),"UNMAPPED"))</f>
        <v/>
      </c>
      <c r="Q934" s="38" t="n">
        <f aca="false">IF($M934="",0,N(INDEX($A934:$J934,$Q$6)))</f>
        <v>0</v>
      </c>
      <c r="R934" s="39" t="str">
        <f aca="false">IF($M934="","",INDEX($A934:$J934,$R$6))</f>
        <v/>
      </c>
      <c r="S934" s="37" t="str">
        <f aca="false">IF($M934="","",IFERROR(INDEX(Settings!$B$27:$B$36,MATCH(L934,Settings!$A$27:$A$36,0))&amp;"","UNMAPPED"))</f>
        <v/>
      </c>
      <c r="T934" s="37" t="str">
        <f aca="false">IF($M934="","",IF(NOT(ISNUMBER(R934)),"NO DATE",IF(S934="Won",IF(R934&gt;Settings!$B$5,"Backlog","Delivered"),IF(S934="Open",IF(R934&gt;Settings!$B$5,"Pipeline","Overdue"),IF(S934="Lost","Lost","UNMAPPED")))))</f>
        <v/>
      </c>
      <c r="U934" s="40" t="n">
        <f aca="false">IF(T934="Backlog",1,IF(OR(T934="Pipeline",T934="Overdue"),N(INDEX(Settings!$C$27:$C$36,MATCH(L934,Settings!$A$27:$A$36,0))),0))</f>
        <v>0</v>
      </c>
      <c r="V934" s="38" t="n">
        <f aca="false">Q934*U934</f>
        <v>0</v>
      </c>
      <c r="W934" s="41" t="str">
        <f aca="false">IF($M934="","",IF(T934="Overdue",IF(Settings!$B$8="Yes",Settings!$B$7,""),IF(ISNUMBER(R934),DATE(YEAR(R934),MONTH(R934),1),"")))</f>
        <v/>
      </c>
      <c r="X934" s="38" t="n">
        <f aca="false">IF(AND(OR(T934="Backlog",T934="Pipeline",T934="Overdue"),ISNUMBER(W934)),IF(W934&lt;=Settings!$B$6,V934,0),0)</f>
        <v>0</v>
      </c>
      <c r="Y934" s="38" t="n">
        <f aca="false">IF(AND(OR(T934="Backlog",T934="Pipeline",T934="Overdue"),ISNUMBER(W934)),IF(W934&lt;=Settings!$B$6,Q934,0),0)</f>
        <v>0</v>
      </c>
      <c r="Z934" s="38" t="n">
        <f aca="false">IF(Y934=0,0,IF(T934="Backlog",Q934,Q934*Dashboard!$C$10))</f>
        <v>0</v>
      </c>
      <c r="AA934" s="37" t="n">
        <f aca="false">IF($N934="",0,IF(COUNTIF(Dashboard!$C$13:$C$22,$N934)&gt;0,1,0))</f>
        <v>0</v>
      </c>
      <c r="AB934" s="37" t="str">
        <f aca="false">IF($N934="","",IF(COUNTIF($N$8:$N934,$N934)=1,MAX($AB$7:$AB933)+1,""))</f>
        <v/>
      </c>
    </row>
    <row r="935" customFormat="false" ht="15" hidden="false" customHeight="false" outlineLevel="0" collapsed="false">
      <c r="L935" s="37" t="str">
        <f aca="false">IF(INDEX($A935:$J935,$L$6)&lt;&gt;"",TRIM(LEFT(INDEX($A935:$J935,$L$6),FIND("(",INDEX($A935:$J935,$L$6)&amp;"(")-1)),L934)</f>
        <v>Building Value Proposition</v>
      </c>
      <c r="M935" s="37" t="str">
        <f aca="false">IF(INDEX($A935:$J935,$M$6)="","",INDEX($A935:$J935,$M$6)&amp;"")</f>
        <v/>
      </c>
      <c r="N935" s="37" t="str">
        <f aca="false">IF($M935="","",TRIM(INDEX($A935:$J935,$N$6)&amp;""))</f>
        <v/>
      </c>
      <c r="O935" s="37" t="str">
        <f aca="false">IF($M935="","",TRIM(INDEX($A935:$J935,$O$6)&amp;""))</f>
        <v/>
      </c>
      <c r="P935" s="37" t="str">
        <f aca="false">IF($M935="","",IFERROR(IF(INDEX(Settings!$B$41:$B$50,MATCH(O935,Settings!$A$41:$A$50,0))&amp;""="","UNMAPPED",INDEX(Settings!$B$41:$B$50,MATCH(O935,Settings!$A$41:$A$50,0))&amp;""),"UNMAPPED"))</f>
        <v/>
      </c>
      <c r="Q935" s="38" t="n">
        <f aca="false">IF($M935="",0,N(INDEX($A935:$J935,$Q$6)))</f>
        <v>0</v>
      </c>
      <c r="R935" s="39" t="str">
        <f aca="false">IF($M935="","",INDEX($A935:$J935,$R$6))</f>
        <v/>
      </c>
      <c r="S935" s="37" t="str">
        <f aca="false">IF($M935="","",IFERROR(INDEX(Settings!$B$27:$B$36,MATCH(L935,Settings!$A$27:$A$36,0))&amp;"","UNMAPPED"))</f>
        <v/>
      </c>
      <c r="T935" s="37" t="str">
        <f aca="false">IF($M935="","",IF(NOT(ISNUMBER(R935)),"NO DATE",IF(S935="Won",IF(R935&gt;Settings!$B$5,"Backlog","Delivered"),IF(S935="Open",IF(R935&gt;Settings!$B$5,"Pipeline","Overdue"),IF(S935="Lost","Lost","UNMAPPED")))))</f>
        <v/>
      </c>
      <c r="U935" s="40" t="n">
        <f aca="false">IF(T935="Backlog",1,IF(OR(T935="Pipeline",T935="Overdue"),N(INDEX(Settings!$C$27:$C$36,MATCH(L935,Settings!$A$27:$A$36,0))),0))</f>
        <v>0</v>
      </c>
      <c r="V935" s="38" t="n">
        <f aca="false">Q935*U935</f>
        <v>0</v>
      </c>
      <c r="W935" s="41" t="str">
        <f aca="false">IF($M935="","",IF(T935="Overdue",IF(Settings!$B$8="Yes",Settings!$B$7,""),IF(ISNUMBER(R935),DATE(YEAR(R935),MONTH(R935),1),"")))</f>
        <v/>
      </c>
      <c r="X935" s="38" t="n">
        <f aca="false">IF(AND(OR(T935="Backlog",T935="Pipeline",T935="Overdue"),ISNUMBER(W935)),IF(W935&lt;=Settings!$B$6,V935,0),0)</f>
        <v>0</v>
      </c>
      <c r="Y935" s="38" t="n">
        <f aca="false">IF(AND(OR(T935="Backlog",T935="Pipeline",T935="Overdue"),ISNUMBER(W935)),IF(W935&lt;=Settings!$B$6,Q935,0),0)</f>
        <v>0</v>
      </c>
      <c r="Z935" s="38" t="n">
        <f aca="false">IF(Y935=0,0,IF(T935="Backlog",Q935,Q935*Dashboard!$C$10))</f>
        <v>0</v>
      </c>
      <c r="AA935" s="37" t="n">
        <f aca="false">IF($N935="",0,IF(COUNTIF(Dashboard!$C$13:$C$22,$N935)&gt;0,1,0))</f>
        <v>0</v>
      </c>
      <c r="AB935" s="37" t="str">
        <f aca="false">IF($N935="","",IF(COUNTIF($N$8:$N935,$N935)=1,MAX($AB$7:$AB934)+1,""))</f>
        <v/>
      </c>
    </row>
    <row r="936" customFormat="false" ht="15" hidden="false" customHeight="false" outlineLevel="0" collapsed="false">
      <c r="L936" s="37" t="str">
        <f aca="false">IF(INDEX($A936:$J936,$L$6)&lt;&gt;"",TRIM(LEFT(INDEX($A936:$J936,$L$6),FIND("(",INDEX($A936:$J936,$L$6)&amp;"(")-1)),L935)</f>
        <v>Building Value Proposition</v>
      </c>
      <c r="M936" s="37" t="str">
        <f aca="false">IF(INDEX($A936:$J936,$M$6)="","",INDEX($A936:$J936,$M$6)&amp;"")</f>
        <v/>
      </c>
      <c r="N936" s="37" t="str">
        <f aca="false">IF($M936="","",TRIM(INDEX($A936:$J936,$N$6)&amp;""))</f>
        <v/>
      </c>
      <c r="O936" s="37" t="str">
        <f aca="false">IF($M936="","",TRIM(INDEX($A936:$J936,$O$6)&amp;""))</f>
        <v/>
      </c>
      <c r="P936" s="37" t="str">
        <f aca="false">IF($M936="","",IFERROR(IF(INDEX(Settings!$B$41:$B$50,MATCH(O936,Settings!$A$41:$A$50,0))&amp;""="","UNMAPPED",INDEX(Settings!$B$41:$B$50,MATCH(O936,Settings!$A$41:$A$50,0))&amp;""),"UNMAPPED"))</f>
        <v/>
      </c>
      <c r="Q936" s="38" t="n">
        <f aca="false">IF($M936="",0,N(INDEX($A936:$J936,$Q$6)))</f>
        <v>0</v>
      </c>
      <c r="R936" s="39" t="str">
        <f aca="false">IF($M936="","",INDEX($A936:$J936,$R$6))</f>
        <v/>
      </c>
      <c r="S936" s="37" t="str">
        <f aca="false">IF($M936="","",IFERROR(INDEX(Settings!$B$27:$B$36,MATCH(L936,Settings!$A$27:$A$36,0))&amp;"","UNMAPPED"))</f>
        <v/>
      </c>
      <c r="T936" s="37" t="str">
        <f aca="false">IF($M936="","",IF(NOT(ISNUMBER(R936)),"NO DATE",IF(S936="Won",IF(R936&gt;Settings!$B$5,"Backlog","Delivered"),IF(S936="Open",IF(R936&gt;Settings!$B$5,"Pipeline","Overdue"),IF(S936="Lost","Lost","UNMAPPED")))))</f>
        <v/>
      </c>
      <c r="U936" s="40" t="n">
        <f aca="false">IF(T936="Backlog",1,IF(OR(T936="Pipeline",T936="Overdue"),N(INDEX(Settings!$C$27:$C$36,MATCH(L936,Settings!$A$27:$A$36,0))),0))</f>
        <v>0</v>
      </c>
      <c r="V936" s="38" t="n">
        <f aca="false">Q936*U936</f>
        <v>0</v>
      </c>
      <c r="W936" s="41" t="str">
        <f aca="false">IF($M936="","",IF(T936="Overdue",IF(Settings!$B$8="Yes",Settings!$B$7,""),IF(ISNUMBER(R936),DATE(YEAR(R936),MONTH(R936),1),"")))</f>
        <v/>
      </c>
      <c r="X936" s="38" t="n">
        <f aca="false">IF(AND(OR(T936="Backlog",T936="Pipeline",T936="Overdue"),ISNUMBER(W936)),IF(W936&lt;=Settings!$B$6,V936,0),0)</f>
        <v>0</v>
      </c>
      <c r="Y936" s="38" t="n">
        <f aca="false">IF(AND(OR(T936="Backlog",T936="Pipeline",T936="Overdue"),ISNUMBER(W936)),IF(W936&lt;=Settings!$B$6,Q936,0),0)</f>
        <v>0</v>
      </c>
      <c r="Z936" s="38" t="n">
        <f aca="false">IF(Y936=0,0,IF(T936="Backlog",Q936,Q936*Dashboard!$C$10))</f>
        <v>0</v>
      </c>
      <c r="AA936" s="37" t="n">
        <f aca="false">IF($N936="",0,IF(COUNTIF(Dashboard!$C$13:$C$22,$N936)&gt;0,1,0))</f>
        <v>0</v>
      </c>
      <c r="AB936" s="37" t="str">
        <f aca="false">IF($N936="","",IF(COUNTIF($N$8:$N936,$N936)=1,MAX($AB$7:$AB935)+1,""))</f>
        <v/>
      </c>
    </row>
    <row r="937" customFormat="false" ht="15" hidden="false" customHeight="false" outlineLevel="0" collapsed="false">
      <c r="L937" s="37" t="str">
        <f aca="false">IF(INDEX($A937:$J937,$L$6)&lt;&gt;"",TRIM(LEFT(INDEX($A937:$J937,$L$6),FIND("(",INDEX($A937:$J937,$L$6)&amp;"(")-1)),L936)</f>
        <v>Building Value Proposition</v>
      </c>
      <c r="M937" s="37" t="str">
        <f aca="false">IF(INDEX($A937:$J937,$M$6)="","",INDEX($A937:$J937,$M$6)&amp;"")</f>
        <v/>
      </c>
      <c r="N937" s="37" t="str">
        <f aca="false">IF($M937="","",TRIM(INDEX($A937:$J937,$N$6)&amp;""))</f>
        <v/>
      </c>
      <c r="O937" s="37" t="str">
        <f aca="false">IF($M937="","",TRIM(INDEX($A937:$J937,$O$6)&amp;""))</f>
        <v/>
      </c>
      <c r="P937" s="37" t="str">
        <f aca="false">IF($M937="","",IFERROR(IF(INDEX(Settings!$B$41:$B$50,MATCH(O937,Settings!$A$41:$A$50,0))&amp;""="","UNMAPPED",INDEX(Settings!$B$41:$B$50,MATCH(O937,Settings!$A$41:$A$50,0))&amp;""),"UNMAPPED"))</f>
        <v/>
      </c>
      <c r="Q937" s="38" t="n">
        <f aca="false">IF($M937="",0,N(INDEX($A937:$J937,$Q$6)))</f>
        <v>0</v>
      </c>
      <c r="R937" s="39" t="str">
        <f aca="false">IF($M937="","",INDEX($A937:$J937,$R$6))</f>
        <v/>
      </c>
      <c r="S937" s="37" t="str">
        <f aca="false">IF($M937="","",IFERROR(INDEX(Settings!$B$27:$B$36,MATCH(L937,Settings!$A$27:$A$36,0))&amp;"","UNMAPPED"))</f>
        <v/>
      </c>
      <c r="T937" s="37" t="str">
        <f aca="false">IF($M937="","",IF(NOT(ISNUMBER(R937)),"NO DATE",IF(S937="Won",IF(R937&gt;Settings!$B$5,"Backlog","Delivered"),IF(S937="Open",IF(R937&gt;Settings!$B$5,"Pipeline","Overdue"),IF(S937="Lost","Lost","UNMAPPED")))))</f>
        <v/>
      </c>
      <c r="U937" s="40" t="n">
        <f aca="false">IF(T937="Backlog",1,IF(OR(T937="Pipeline",T937="Overdue"),N(INDEX(Settings!$C$27:$C$36,MATCH(L937,Settings!$A$27:$A$36,0))),0))</f>
        <v>0</v>
      </c>
      <c r="V937" s="38" t="n">
        <f aca="false">Q937*U937</f>
        <v>0</v>
      </c>
      <c r="W937" s="41" t="str">
        <f aca="false">IF($M937="","",IF(T937="Overdue",IF(Settings!$B$8="Yes",Settings!$B$7,""),IF(ISNUMBER(R937),DATE(YEAR(R937),MONTH(R937),1),"")))</f>
        <v/>
      </c>
      <c r="X937" s="38" t="n">
        <f aca="false">IF(AND(OR(T937="Backlog",T937="Pipeline",T937="Overdue"),ISNUMBER(W937)),IF(W937&lt;=Settings!$B$6,V937,0),0)</f>
        <v>0</v>
      </c>
      <c r="Y937" s="38" t="n">
        <f aca="false">IF(AND(OR(T937="Backlog",T937="Pipeline",T937="Overdue"),ISNUMBER(W937)),IF(W937&lt;=Settings!$B$6,Q937,0),0)</f>
        <v>0</v>
      </c>
      <c r="Z937" s="38" t="n">
        <f aca="false">IF(Y937=0,0,IF(T937="Backlog",Q937,Q937*Dashboard!$C$10))</f>
        <v>0</v>
      </c>
      <c r="AA937" s="37" t="n">
        <f aca="false">IF($N937="",0,IF(COUNTIF(Dashboard!$C$13:$C$22,$N937)&gt;0,1,0))</f>
        <v>0</v>
      </c>
      <c r="AB937" s="37" t="str">
        <f aca="false">IF($N937="","",IF(COUNTIF($N$8:$N937,$N937)=1,MAX($AB$7:$AB936)+1,""))</f>
        <v/>
      </c>
    </row>
    <row r="938" customFormat="false" ht="15" hidden="false" customHeight="false" outlineLevel="0" collapsed="false">
      <c r="L938" s="37" t="str">
        <f aca="false">IF(INDEX($A938:$J938,$L$6)&lt;&gt;"",TRIM(LEFT(INDEX($A938:$J938,$L$6),FIND("(",INDEX($A938:$J938,$L$6)&amp;"(")-1)),L937)</f>
        <v>Building Value Proposition</v>
      </c>
      <c r="M938" s="37" t="str">
        <f aca="false">IF(INDEX($A938:$J938,$M$6)="","",INDEX($A938:$J938,$M$6)&amp;"")</f>
        <v/>
      </c>
      <c r="N938" s="37" t="str">
        <f aca="false">IF($M938="","",TRIM(INDEX($A938:$J938,$N$6)&amp;""))</f>
        <v/>
      </c>
      <c r="O938" s="37" t="str">
        <f aca="false">IF($M938="","",TRIM(INDEX($A938:$J938,$O$6)&amp;""))</f>
        <v/>
      </c>
      <c r="P938" s="37" t="str">
        <f aca="false">IF($M938="","",IFERROR(IF(INDEX(Settings!$B$41:$B$50,MATCH(O938,Settings!$A$41:$A$50,0))&amp;""="","UNMAPPED",INDEX(Settings!$B$41:$B$50,MATCH(O938,Settings!$A$41:$A$50,0))&amp;""),"UNMAPPED"))</f>
        <v/>
      </c>
      <c r="Q938" s="38" t="n">
        <f aca="false">IF($M938="",0,N(INDEX($A938:$J938,$Q$6)))</f>
        <v>0</v>
      </c>
      <c r="R938" s="39" t="str">
        <f aca="false">IF($M938="","",INDEX($A938:$J938,$R$6))</f>
        <v/>
      </c>
      <c r="S938" s="37" t="str">
        <f aca="false">IF($M938="","",IFERROR(INDEX(Settings!$B$27:$B$36,MATCH(L938,Settings!$A$27:$A$36,0))&amp;"","UNMAPPED"))</f>
        <v/>
      </c>
      <c r="T938" s="37" t="str">
        <f aca="false">IF($M938="","",IF(NOT(ISNUMBER(R938)),"NO DATE",IF(S938="Won",IF(R938&gt;Settings!$B$5,"Backlog","Delivered"),IF(S938="Open",IF(R938&gt;Settings!$B$5,"Pipeline","Overdue"),IF(S938="Lost","Lost","UNMAPPED")))))</f>
        <v/>
      </c>
      <c r="U938" s="40" t="n">
        <f aca="false">IF(T938="Backlog",1,IF(OR(T938="Pipeline",T938="Overdue"),N(INDEX(Settings!$C$27:$C$36,MATCH(L938,Settings!$A$27:$A$36,0))),0))</f>
        <v>0</v>
      </c>
      <c r="V938" s="38" t="n">
        <f aca="false">Q938*U938</f>
        <v>0</v>
      </c>
      <c r="W938" s="41" t="str">
        <f aca="false">IF($M938="","",IF(T938="Overdue",IF(Settings!$B$8="Yes",Settings!$B$7,""),IF(ISNUMBER(R938),DATE(YEAR(R938),MONTH(R938),1),"")))</f>
        <v/>
      </c>
      <c r="X938" s="38" t="n">
        <f aca="false">IF(AND(OR(T938="Backlog",T938="Pipeline",T938="Overdue"),ISNUMBER(W938)),IF(W938&lt;=Settings!$B$6,V938,0),0)</f>
        <v>0</v>
      </c>
      <c r="Y938" s="38" t="n">
        <f aca="false">IF(AND(OR(T938="Backlog",T938="Pipeline",T938="Overdue"),ISNUMBER(W938)),IF(W938&lt;=Settings!$B$6,Q938,0),0)</f>
        <v>0</v>
      </c>
      <c r="Z938" s="38" t="n">
        <f aca="false">IF(Y938=0,0,IF(T938="Backlog",Q938,Q938*Dashboard!$C$10))</f>
        <v>0</v>
      </c>
      <c r="AA938" s="37" t="n">
        <f aca="false">IF($N938="",0,IF(COUNTIF(Dashboard!$C$13:$C$22,$N938)&gt;0,1,0))</f>
        <v>0</v>
      </c>
      <c r="AB938" s="37" t="str">
        <f aca="false">IF($N938="","",IF(COUNTIF($N$8:$N938,$N938)=1,MAX($AB$7:$AB937)+1,""))</f>
        <v/>
      </c>
    </row>
    <row r="939" customFormat="false" ht="15" hidden="false" customHeight="false" outlineLevel="0" collapsed="false">
      <c r="L939" s="37" t="str">
        <f aca="false">IF(INDEX($A939:$J939,$L$6)&lt;&gt;"",TRIM(LEFT(INDEX($A939:$J939,$L$6),FIND("(",INDEX($A939:$J939,$L$6)&amp;"(")-1)),L938)</f>
        <v>Building Value Proposition</v>
      </c>
      <c r="M939" s="37" t="str">
        <f aca="false">IF(INDEX($A939:$J939,$M$6)="","",INDEX($A939:$J939,$M$6)&amp;"")</f>
        <v/>
      </c>
      <c r="N939" s="37" t="str">
        <f aca="false">IF($M939="","",TRIM(INDEX($A939:$J939,$N$6)&amp;""))</f>
        <v/>
      </c>
      <c r="O939" s="37" t="str">
        <f aca="false">IF($M939="","",TRIM(INDEX($A939:$J939,$O$6)&amp;""))</f>
        <v/>
      </c>
      <c r="P939" s="37" t="str">
        <f aca="false">IF($M939="","",IFERROR(IF(INDEX(Settings!$B$41:$B$50,MATCH(O939,Settings!$A$41:$A$50,0))&amp;""="","UNMAPPED",INDEX(Settings!$B$41:$B$50,MATCH(O939,Settings!$A$41:$A$50,0))&amp;""),"UNMAPPED"))</f>
        <v/>
      </c>
      <c r="Q939" s="38" t="n">
        <f aca="false">IF($M939="",0,N(INDEX($A939:$J939,$Q$6)))</f>
        <v>0</v>
      </c>
      <c r="R939" s="39" t="str">
        <f aca="false">IF($M939="","",INDEX($A939:$J939,$R$6))</f>
        <v/>
      </c>
      <c r="S939" s="37" t="str">
        <f aca="false">IF($M939="","",IFERROR(INDEX(Settings!$B$27:$B$36,MATCH(L939,Settings!$A$27:$A$36,0))&amp;"","UNMAPPED"))</f>
        <v/>
      </c>
      <c r="T939" s="37" t="str">
        <f aca="false">IF($M939="","",IF(NOT(ISNUMBER(R939)),"NO DATE",IF(S939="Won",IF(R939&gt;Settings!$B$5,"Backlog","Delivered"),IF(S939="Open",IF(R939&gt;Settings!$B$5,"Pipeline","Overdue"),IF(S939="Lost","Lost","UNMAPPED")))))</f>
        <v/>
      </c>
      <c r="U939" s="40" t="n">
        <f aca="false">IF(T939="Backlog",1,IF(OR(T939="Pipeline",T939="Overdue"),N(INDEX(Settings!$C$27:$C$36,MATCH(L939,Settings!$A$27:$A$36,0))),0))</f>
        <v>0</v>
      </c>
      <c r="V939" s="38" t="n">
        <f aca="false">Q939*U939</f>
        <v>0</v>
      </c>
      <c r="W939" s="41" t="str">
        <f aca="false">IF($M939="","",IF(T939="Overdue",IF(Settings!$B$8="Yes",Settings!$B$7,""),IF(ISNUMBER(R939),DATE(YEAR(R939),MONTH(R939),1),"")))</f>
        <v/>
      </c>
      <c r="X939" s="38" t="n">
        <f aca="false">IF(AND(OR(T939="Backlog",T939="Pipeline",T939="Overdue"),ISNUMBER(W939)),IF(W939&lt;=Settings!$B$6,V939,0),0)</f>
        <v>0</v>
      </c>
      <c r="Y939" s="38" t="n">
        <f aca="false">IF(AND(OR(T939="Backlog",T939="Pipeline",T939="Overdue"),ISNUMBER(W939)),IF(W939&lt;=Settings!$B$6,Q939,0),0)</f>
        <v>0</v>
      </c>
      <c r="Z939" s="38" t="n">
        <f aca="false">IF(Y939=0,0,IF(T939="Backlog",Q939,Q939*Dashboard!$C$10))</f>
        <v>0</v>
      </c>
      <c r="AA939" s="37" t="n">
        <f aca="false">IF($N939="",0,IF(COUNTIF(Dashboard!$C$13:$C$22,$N939)&gt;0,1,0))</f>
        <v>0</v>
      </c>
      <c r="AB939" s="37" t="str">
        <f aca="false">IF($N939="","",IF(COUNTIF($N$8:$N939,$N939)=1,MAX($AB$7:$AB938)+1,""))</f>
        <v/>
      </c>
    </row>
    <row r="940" customFormat="false" ht="15" hidden="false" customHeight="false" outlineLevel="0" collapsed="false">
      <c r="L940" s="37" t="str">
        <f aca="false">IF(INDEX($A940:$J940,$L$6)&lt;&gt;"",TRIM(LEFT(INDEX($A940:$J940,$L$6),FIND("(",INDEX($A940:$J940,$L$6)&amp;"(")-1)),L939)</f>
        <v>Building Value Proposition</v>
      </c>
      <c r="M940" s="37" t="str">
        <f aca="false">IF(INDEX($A940:$J940,$M$6)="","",INDEX($A940:$J940,$M$6)&amp;"")</f>
        <v/>
      </c>
      <c r="N940" s="37" t="str">
        <f aca="false">IF($M940="","",TRIM(INDEX($A940:$J940,$N$6)&amp;""))</f>
        <v/>
      </c>
      <c r="O940" s="37" t="str">
        <f aca="false">IF($M940="","",TRIM(INDEX($A940:$J940,$O$6)&amp;""))</f>
        <v/>
      </c>
      <c r="P940" s="37" t="str">
        <f aca="false">IF($M940="","",IFERROR(IF(INDEX(Settings!$B$41:$B$50,MATCH(O940,Settings!$A$41:$A$50,0))&amp;""="","UNMAPPED",INDEX(Settings!$B$41:$B$50,MATCH(O940,Settings!$A$41:$A$50,0))&amp;""),"UNMAPPED"))</f>
        <v/>
      </c>
      <c r="Q940" s="38" t="n">
        <f aca="false">IF($M940="",0,N(INDEX($A940:$J940,$Q$6)))</f>
        <v>0</v>
      </c>
      <c r="R940" s="39" t="str">
        <f aca="false">IF($M940="","",INDEX($A940:$J940,$R$6))</f>
        <v/>
      </c>
      <c r="S940" s="37" t="str">
        <f aca="false">IF($M940="","",IFERROR(INDEX(Settings!$B$27:$B$36,MATCH(L940,Settings!$A$27:$A$36,0))&amp;"","UNMAPPED"))</f>
        <v/>
      </c>
      <c r="T940" s="37" t="str">
        <f aca="false">IF($M940="","",IF(NOT(ISNUMBER(R940)),"NO DATE",IF(S940="Won",IF(R940&gt;Settings!$B$5,"Backlog","Delivered"),IF(S940="Open",IF(R940&gt;Settings!$B$5,"Pipeline","Overdue"),IF(S940="Lost","Lost","UNMAPPED")))))</f>
        <v/>
      </c>
      <c r="U940" s="40" t="n">
        <f aca="false">IF(T940="Backlog",1,IF(OR(T940="Pipeline",T940="Overdue"),N(INDEX(Settings!$C$27:$C$36,MATCH(L940,Settings!$A$27:$A$36,0))),0))</f>
        <v>0</v>
      </c>
      <c r="V940" s="38" t="n">
        <f aca="false">Q940*U940</f>
        <v>0</v>
      </c>
      <c r="W940" s="41" t="str">
        <f aca="false">IF($M940="","",IF(T940="Overdue",IF(Settings!$B$8="Yes",Settings!$B$7,""),IF(ISNUMBER(R940),DATE(YEAR(R940),MONTH(R940),1),"")))</f>
        <v/>
      </c>
      <c r="X940" s="38" t="n">
        <f aca="false">IF(AND(OR(T940="Backlog",T940="Pipeline",T940="Overdue"),ISNUMBER(W940)),IF(W940&lt;=Settings!$B$6,V940,0),0)</f>
        <v>0</v>
      </c>
      <c r="Y940" s="38" t="n">
        <f aca="false">IF(AND(OR(T940="Backlog",T940="Pipeline",T940="Overdue"),ISNUMBER(W940)),IF(W940&lt;=Settings!$B$6,Q940,0),0)</f>
        <v>0</v>
      </c>
      <c r="Z940" s="38" t="n">
        <f aca="false">IF(Y940=0,0,IF(T940="Backlog",Q940,Q940*Dashboard!$C$10))</f>
        <v>0</v>
      </c>
      <c r="AA940" s="37" t="n">
        <f aca="false">IF($N940="",0,IF(COUNTIF(Dashboard!$C$13:$C$22,$N940)&gt;0,1,0))</f>
        <v>0</v>
      </c>
      <c r="AB940" s="37" t="str">
        <f aca="false">IF($N940="","",IF(COUNTIF($N$8:$N940,$N940)=1,MAX($AB$7:$AB939)+1,""))</f>
        <v/>
      </c>
    </row>
    <row r="941" customFormat="false" ht="15" hidden="false" customHeight="false" outlineLevel="0" collapsed="false">
      <c r="L941" s="37" t="str">
        <f aca="false">IF(INDEX($A941:$J941,$L$6)&lt;&gt;"",TRIM(LEFT(INDEX($A941:$J941,$L$6),FIND("(",INDEX($A941:$J941,$L$6)&amp;"(")-1)),L940)</f>
        <v>Building Value Proposition</v>
      </c>
      <c r="M941" s="37" t="str">
        <f aca="false">IF(INDEX($A941:$J941,$M$6)="","",INDEX($A941:$J941,$M$6)&amp;"")</f>
        <v/>
      </c>
      <c r="N941" s="37" t="str">
        <f aca="false">IF($M941="","",TRIM(INDEX($A941:$J941,$N$6)&amp;""))</f>
        <v/>
      </c>
      <c r="O941" s="37" t="str">
        <f aca="false">IF($M941="","",TRIM(INDEX($A941:$J941,$O$6)&amp;""))</f>
        <v/>
      </c>
      <c r="P941" s="37" t="str">
        <f aca="false">IF($M941="","",IFERROR(IF(INDEX(Settings!$B$41:$B$50,MATCH(O941,Settings!$A$41:$A$50,0))&amp;""="","UNMAPPED",INDEX(Settings!$B$41:$B$50,MATCH(O941,Settings!$A$41:$A$50,0))&amp;""),"UNMAPPED"))</f>
        <v/>
      </c>
      <c r="Q941" s="38" t="n">
        <f aca="false">IF($M941="",0,N(INDEX($A941:$J941,$Q$6)))</f>
        <v>0</v>
      </c>
      <c r="R941" s="39" t="str">
        <f aca="false">IF($M941="","",INDEX($A941:$J941,$R$6))</f>
        <v/>
      </c>
      <c r="S941" s="37" t="str">
        <f aca="false">IF($M941="","",IFERROR(INDEX(Settings!$B$27:$B$36,MATCH(L941,Settings!$A$27:$A$36,0))&amp;"","UNMAPPED"))</f>
        <v/>
      </c>
      <c r="T941" s="37" t="str">
        <f aca="false">IF($M941="","",IF(NOT(ISNUMBER(R941)),"NO DATE",IF(S941="Won",IF(R941&gt;Settings!$B$5,"Backlog","Delivered"),IF(S941="Open",IF(R941&gt;Settings!$B$5,"Pipeline","Overdue"),IF(S941="Lost","Lost","UNMAPPED")))))</f>
        <v/>
      </c>
      <c r="U941" s="40" t="n">
        <f aca="false">IF(T941="Backlog",1,IF(OR(T941="Pipeline",T941="Overdue"),N(INDEX(Settings!$C$27:$C$36,MATCH(L941,Settings!$A$27:$A$36,0))),0))</f>
        <v>0</v>
      </c>
      <c r="V941" s="38" t="n">
        <f aca="false">Q941*U941</f>
        <v>0</v>
      </c>
      <c r="W941" s="41" t="str">
        <f aca="false">IF($M941="","",IF(T941="Overdue",IF(Settings!$B$8="Yes",Settings!$B$7,""),IF(ISNUMBER(R941),DATE(YEAR(R941),MONTH(R941),1),"")))</f>
        <v/>
      </c>
      <c r="X941" s="38" t="n">
        <f aca="false">IF(AND(OR(T941="Backlog",T941="Pipeline",T941="Overdue"),ISNUMBER(W941)),IF(W941&lt;=Settings!$B$6,V941,0),0)</f>
        <v>0</v>
      </c>
      <c r="Y941" s="38" t="n">
        <f aca="false">IF(AND(OR(T941="Backlog",T941="Pipeline",T941="Overdue"),ISNUMBER(W941)),IF(W941&lt;=Settings!$B$6,Q941,0),0)</f>
        <v>0</v>
      </c>
      <c r="Z941" s="38" t="n">
        <f aca="false">IF(Y941=0,0,IF(T941="Backlog",Q941,Q941*Dashboard!$C$10))</f>
        <v>0</v>
      </c>
      <c r="AA941" s="37" t="n">
        <f aca="false">IF($N941="",0,IF(COUNTIF(Dashboard!$C$13:$C$22,$N941)&gt;0,1,0))</f>
        <v>0</v>
      </c>
      <c r="AB941" s="37" t="str">
        <f aca="false">IF($N941="","",IF(COUNTIF($N$8:$N941,$N941)=1,MAX($AB$7:$AB940)+1,""))</f>
        <v/>
      </c>
    </row>
    <row r="942" customFormat="false" ht="15" hidden="false" customHeight="false" outlineLevel="0" collapsed="false">
      <c r="L942" s="37" t="str">
        <f aca="false">IF(INDEX($A942:$J942,$L$6)&lt;&gt;"",TRIM(LEFT(INDEX($A942:$J942,$L$6),FIND("(",INDEX($A942:$J942,$L$6)&amp;"(")-1)),L941)</f>
        <v>Building Value Proposition</v>
      </c>
      <c r="M942" s="37" t="str">
        <f aca="false">IF(INDEX($A942:$J942,$M$6)="","",INDEX($A942:$J942,$M$6)&amp;"")</f>
        <v/>
      </c>
      <c r="N942" s="37" t="str">
        <f aca="false">IF($M942="","",TRIM(INDEX($A942:$J942,$N$6)&amp;""))</f>
        <v/>
      </c>
      <c r="O942" s="37" t="str">
        <f aca="false">IF($M942="","",TRIM(INDEX($A942:$J942,$O$6)&amp;""))</f>
        <v/>
      </c>
      <c r="P942" s="37" t="str">
        <f aca="false">IF($M942="","",IFERROR(IF(INDEX(Settings!$B$41:$B$50,MATCH(O942,Settings!$A$41:$A$50,0))&amp;""="","UNMAPPED",INDEX(Settings!$B$41:$B$50,MATCH(O942,Settings!$A$41:$A$50,0))&amp;""),"UNMAPPED"))</f>
        <v/>
      </c>
      <c r="Q942" s="38" t="n">
        <f aca="false">IF($M942="",0,N(INDEX($A942:$J942,$Q$6)))</f>
        <v>0</v>
      </c>
      <c r="R942" s="39" t="str">
        <f aca="false">IF($M942="","",INDEX($A942:$J942,$R$6))</f>
        <v/>
      </c>
      <c r="S942" s="37" t="str">
        <f aca="false">IF($M942="","",IFERROR(INDEX(Settings!$B$27:$B$36,MATCH(L942,Settings!$A$27:$A$36,0))&amp;"","UNMAPPED"))</f>
        <v/>
      </c>
      <c r="T942" s="37" t="str">
        <f aca="false">IF($M942="","",IF(NOT(ISNUMBER(R942)),"NO DATE",IF(S942="Won",IF(R942&gt;Settings!$B$5,"Backlog","Delivered"),IF(S942="Open",IF(R942&gt;Settings!$B$5,"Pipeline","Overdue"),IF(S942="Lost","Lost","UNMAPPED")))))</f>
        <v/>
      </c>
      <c r="U942" s="40" t="n">
        <f aca="false">IF(T942="Backlog",1,IF(OR(T942="Pipeline",T942="Overdue"),N(INDEX(Settings!$C$27:$C$36,MATCH(L942,Settings!$A$27:$A$36,0))),0))</f>
        <v>0</v>
      </c>
      <c r="V942" s="38" t="n">
        <f aca="false">Q942*U942</f>
        <v>0</v>
      </c>
      <c r="W942" s="41" t="str">
        <f aca="false">IF($M942="","",IF(T942="Overdue",IF(Settings!$B$8="Yes",Settings!$B$7,""),IF(ISNUMBER(R942),DATE(YEAR(R942),MONTH(R942),1),"")))</f>
        <v/>
      </c>
      <c r="X942" s="38" t="n">
        <f aca="false">IF(AND(OR(T942="Backlog",T942="Pipeline",T942="Overdue"),ISNUMBER(W942)),IF(W942&lt;=Settings!$B$6,V942,0),0)</f>
        <v>0</v>
      </c>
      <c r="Y942" s="38" t="n">
        <f aca="false">IF(AND(OR(T942="Backlog",T942="Pipeline",T942="Overdue"),ISNUMBER(W942)),IF(W942&lt;=Settings!$B$6,Q942,0),0)</f>
        <v>0</v>
      </c>
      <c r="Z942" s="38" t="n">
        <f aca="false">IF(Y942=0,0,IF(T942="Backlog",Q942,Q942*Dashboard!$C$10))</f>
        <v>0</v>
      </c>
      <c r="AA942" s="37" t="n">
        <f aca="false">IF($N942="",0,IF(COUNTIF(Dashboard!$C$13:$C$22,$N942)&gt;0,1,0))</f>
        <v>0</v>
      </c>
      <c r="AB942" s="37" t="str">
        <f aca="false">IF($N942="","",IF(COUNTIF($N$8:$N942,$N942)=1,MAX($AB$7:$AB941)+1,""))</f>
        <v/>
      </c>
    </row>
    <row r="943" customFormat="false" ht="15" hidden="false" customHeight="false" outlineLevel="0" collapsed="false">
      <c r="L943" s="37" t="str">
        <f aca="false">IF(INDEX($A943:$J943,$L$6)&lt;&gt;"",TRIM(LEFT(INDEX($A943:$J943,$L$6),FIND("(",INDEX($A943:$J943,$L$6)&amp;"(")-1)),L942)</f>
        <v>Building Value Proposition</v>
      </c>
      <c r="M943" s="37" t="str">
        <f aca="false">IF(INDEX($A943:$J943,$M$6)="","",INDEX($A943:$J943,$M$6)&amp;"")</f>
        <v/>
      </c>
      <c r="N943" s="37" t="str">
        <f aca="false">IF($M943="","",TRIM(INDEX($A943:$J943,$N$6)&amp;""))</f>
        <v/>
      </c>
      <c r="O943" s="37" t="str">
        <f aca="false">IF($M943="","",TRIM(INDEX($A943:$J943,$O$6)&amp;""))</f>
        <v/>
      </c>
      <c r="P943" s="37" t="str">
        <f aca="false">IF($M943="","",IFERROR(IF(INDEX(Settings!$B$41:$B$50,MATCH(O943,Settings!$A$41:$A$50,0))&amp;""="","UNMAPPED",INDEX(Settings!$B$41:$B$50,MATCH(O943,Settings!$A$41:$A$50,0))&amp;""),"UNMAPPED"))</f>
        <v/>
      </c>
      <c r="Q943" s="38" t="n">
        <f aca="false">IF($M943="",0,N(INDEX($A943:$J943,$Q$6)))</f>
        <v>0</v>
      </c>
      <c r="R943" s="39" t="str">
        <f aca="false">IF($M943="","",INDEX($A943:$J943,$R$6))</f>
        <v/>
      </c>
      <c r="S943" s="37" t="str">
        <f aca="false">IF($M943="","",IFERROR(INDEX(Settings!$B$27:$B$36,MATCH(L943,Settings!$A$27:$A$36,0))&amp;"","UNMAPPED"))</f>
        <v/>
      </c>
      <c r="T943" s="37" t="str">
        <f aca="false">IF($M943="","",IF(NOT(ISNUMBER(R943)),"NO DATE",IF(S943="Won",IF(R943&gt;Settings!$B$5,"Backlog","Delivered"),IF(S943="Open",IF(R943&gt;Settings!$B$5,"Pipeline","Overdue"),IF(S943="Lost","Lost","UNMAPPED")))))</f>
        <v/>
      </c>
      <c r="U943" s="40" t="n">
        <f aca="false">IF(T943="Backlog",1,IF(OR(T943="Pipeline",T943="Overdue"),N(INDEX(Settings!$C$27:$C$36,MATCH(L943,Settings!$A$27:$A$36,0))),0))</f>
        <v>0</v>
      </c>
      <c r="V943" s="38" t="n">
        <f aca="false">Q943*U943</f>
        <v>0</v>
      </c>
      <c r="W943" s="41" t="str">
        <f aca="false">IF($M943="","",IF(T943="Overdue",IF(Settings!$B$8="Yes",Settings!$B$7,""),IF(ISNUMBER(R943),DATE(YEAR(R943),MONTH(R943),1),"")))</f>
        <v/>
      </c>
      <c r="X943" s="38" t="n">
        <f aca="false">IF(AND(OR(T943="Backlog",T943="Pipeline",T943="Overdue"),ISNUMBER(W943)),IF(W943&lt;=Settings!$B$6,V943,0),0)</f>
        <v>0</v>
      </c>
      <c r="Y943" s="38" t="n">
        <f aca="false">IF(AND(OR(T943="Backlog",T943="Pipeline",T943="Overdue"),ISNUMBER(W943)),IF(W943&lt;=Settings!$B$6,Q943,0),0)</f>
        <v>0</v>
      </c>
      <c r="Z943" s="38" t="n">
        <f aca="false">IF(Y943=0,0,IF(T943="Backlog",Q943,Q943*Dashboard!$C$10))</f>
        <v>0</v>
      </c>
      <c r="AA943" s="37" t="n">
        <f aca="false">IF($N943="",0,IF(COUNTIF(Dashboard!$C$13:$C$22,$N943)&gt;0,1,0))</f>
        <v>0</v>
      </c>
      <c r="AB943" s="37" t="str">
        <f aca="false">IF($N943="","",IF(COUNTIF($N$8:$N943,$N943)=1,MAX($AB$7:$AB942)+1,""))</f>
        <v/>
      </c>
    </row>
    <row r="944" customFormat="false" ht="15" hidden="false" customHeight="false" outlineLevel="0" collapsed="false">
      <c r="L944" s="37" t="str">
        <f aca="false">IF(INDEX($A944:$J944,$L$6)&lt;&gt;"",TRIM(LEFT(INDEX($A944:$J944,$L$6),FIND("(",INDEX($A944:$J944,$L$6)&amp;"(")-1)),L943)</f>
        <v>Building Value Proposition</v>
      </c>
      <c r="M944" s="37" t="str">
        <f aca="false">IF(INDEX($A944:$J944,$M$6)="","",INDEX($A944:$J944,$M$6)&amp;"")</f>
        <v/>
      </c>
      <c r="N944" s="37" t="str">
        <f aca="false">IF($M944="","",TRIM(INDEX($A944:$J944,$N$6)&amp;""))</f>
        <v/>
      </c>
      <c r="O944" s="37" t="str">
        <f aca="false">IF($M944="","",TRIM(INDEX($A944:$J944,$O$6)&amp;""))</f>
        <v/>
      </c>
      <c r="P944" s="37" t="str">
        <f aca="false">IF($M944="","",IFERROR(IF(INDEX(Settings!$B$41:$B$50,MATCH(O944,Settings!$A$41:$A$50,0))&amp;""="","UNMAPPED",INDEX(Settings!$B$41:$B$50,MATCH(O944,Settings!$A$41:$A$50,0))&amp;""),"UNMAPPED"))</f>
        <v/>
      </c>
      <c r="Q944" s="38" t="n">
        <f aca="false">IF($M944="",0,N(INDEX($A944:$J944,$Q$6)))</f>
        <v>0</v>
      </c>
      <c r="R944" s="39" t="str">
        <f aca="false">IF($M944="","",INDEX($A944:$J944,$R$6))</f>
        <v/>
      </c>
      <c r="S944" s="37" t="str">
        <f aca="false">IF($M944="","",IFERROR(INDEX(Settings!$B$27:$B$36,MATCH(L944,Settings!$A$27:$A$36,0))&amp;"","UNMAPPED"))</f>
        <v/>
      </c>
      <c r="T944" s="37" t="str">
        <f aca="false">IF($M944="","",IF(NOT(ISNUMBER(R944)),"NO DATE",IF(S944="Won",IF(R944&gt;Settings!$B$5,"Backlog","Delivered"),IF(S944="Open",IF(R944&gt;Settings!$B$5,"Pipeline","Overdue"),IF(S944="Lost","Lost","UNMAPPED")))))</f>
        <v/>
      </c>
      <c r="U944" s="40" t="n">
        <f aca="false">IF(T944="Backlog",1,IF(OR(T944="Pipeline",T944="Overdue"),N(INDEX(Settings!$C$27:$C$36,MATCH(L944,Settings!$A$27:$A$36,0))),0))</f>
        <v>0</v>
      </c>
      <c r="V944" s="38" t="n">
        <f aca="false">Q944*U944</f>
        <v>0</v>
      </c>
      <c r="W944" s="41" t="str">
        <f aca="false">IF($M944="","",IF(T944="Overdue",IF(Settings!$B$8="Yes",Settings!$B$7,""),IF(ISNUMBER(R944),DATE(YEAR(R944),MONTH(R944),1),"")))</f>
        <v/>
      </c>
      <c r="X944" s="38" t="n">
        <f aca="false">IF(AND(OR(T944="Backlog",T944="Pipeline",T944="Overdue"),ISNUMBER(W944)),IF(W944&lt;=Settings!$B$6,V944,0),0)</f>
        <v>0</v>
      </c>
      <c r="Y944" s="38" t="n">
        <f aca="false">IF(AND(OR(T944="Backlog",T944="Pipeline",T944="Overdue"),ISNUMBER(W944)),IF(W944&lt;=Settings!$B$6,Q944,0),0)</f>
        <v>0</v>
      </c>
      <c r="Z944" s="38" t="n">
        <f aca="false">IF(Y944=0,0,IF(T944="Backlog",Q944,Q944*Dashboard!$C$10))</f>
        <v>0</v>
      </c>
      <c r="AA944" s="37" t="n">
        <f aca="false">IF($N944="",0,IF(COUNTIF(Dashboard!$C$13:$C$22,$N944)&gt;0,1,0))</f>
        <v>0</v>
      </c>
      <c r="AB944" s="37" t="str">
        <f aca="false">IF($N944="","",IF(COUNTIF($N$8:$N944,$N944)=1,MAX($AB$7:$AB943)+1,""))</f>
        <v/>
      </c>
    </row>
    <row r="945" customFormat="false" ht="15" hidden="false" customHeight="false" outlineLevel="0" collapsed="false">
      <c r="L945" s="37" t="str">
        <f aca="false">IF(INDEX($A945:$J945,$L$6)&lt;&gt;"",TRIM(LEFT(INDEX($A945:$J945,$L$6),FIND("(",INDEX($A945:$J945,$L$6)&amp;"(")-1)),L944)</f>
        <v>Building Value Proposition</v>
      </c>
      <c r="M945" s="37" t="str">
        <f aca="false">IF(INDEX($A945:$J945,$M$6)="","",INDEX($A945:$J945,$M$6)&amp;"")</f>
        <v/>
      </c>
      <c r="N945" s="37" t="str">
        <f aca="false">IF($M945="","",TRIM(INDEX($A945:$J945,$N$6)&amp;""))</f>
        <v/>
      </c>
      <c r="O945" s="37" t="str">
        <f aca="false">IF($M945="","",TRIM(INDEX($A945:$J945,$O$6)&amp;""))</f>
        <v/>
      </c>
      <c r="P945" s="37" t="str">
        <f aca="false">IF($M945="","",IFERROR(IF(INDEX(Settings!$B$41:$B$50,MATCH(O945,Settings!$A$41:$A$50,0))&amp;""="","UNMAPPED",INDEX(Settings!$B$41:$B$50,MATCH(O945,Settings!$A$41:$A$50,0))&amp;""),"UNMAPPED"))</f>
        <v/>
      </c>
      <c r="Q945" s="38" t="n">
        <f aca="false">IF($M945="",0,N(INDEX($A945:$J945,$Q$6)))</f>
        <v>0</v>
      </c>
      <c r="R945" s="39" t="str">
        <f aca="false">IF($M945="","",INDEX($A945:$J945,$R$6))</f>
        <v/>
      </c>
      <c r="S945" s="37" t="str">
        <f aca="false">IF($M945="","",IFERROR(INDEX(Settings!$B$27:$B$36,MATCH(L945,Settings!$A$27:$A$36,0))&amp;"","UNMAPPED"))</f>
        <v/>
      </c>
      <c r="T945" s="37" t="str">
        <f aca="false">IF($M945="","",IF(NOT(ISNUMBER(R945)),"NO DATE",IF(S945="Won",IF(R945&gt;Settings!$B$5,"Backlog","Delivered"),IF(S945="Open",IF(R945&gt;Settings!$B$5,"Pipeline","Overdue"),IF(S945="Lost","Lost","UNMAPPED")))))</f>
        <v/>
      </c>
      <c r="U945" s="40" t="n">
        <f aca="false">IF(T945="Backlog",1,IF(OR(T945="Pipeline",T945="Overdue"),N(INDEX(Settings!$C$27:$C$36,MATCH(L945,Settings!$A$27:$A$36,0))),0))</f>
        <v>0</v>
      </c>
      <c r="V945" s="38" t="n">
        <f aca="false">Q945*U945</f>
        <v>0</v>
      </c>
      <c r="W945" s="41" t="str">
        <f aca="false">IF($M945="","",IF(T945="Overdue",IF(Settings!$B$8="Yes",Settings!$B$7,""),IF(ISNUMBER(R945),DATE(YEAR(R945),MONTH(R945),1),"")))</f>
        <v/>
      </c>
      <c r="X945" s="38" t="n">
        <f aca="false">IF(AND(OR(T945="Backlog",T945="Pipeline",T945="Overdue"),ISNUMBER(W945)),IF(W945&lt;=Settings!$B$6,V945,0),0)</f>
        <v>0</v>
      </c>
      <c r="Y945" s="38" t="n">
        <f aca="false">IF(AND(OR(T945="Backlog",T945="Pipeline",T945="Overdue"),ISNUMBER(W945)),IF(W945&lt;=Settings!$B$6,Q945,0),0)</f>
        <v>0</v>
      </c>
      <c r="Z945" s="38" t="n">
        <f aca="false">IF(Y945=0,0,IF(T945="Backlog",Q945,Q945*Dashboard!$C$10))</f>
        <v>0</v>
      </c>
      <c r="AA945" s="37" t="n">
        <f aca="false">IF($N945="",0,IF(COUNTIF(Dashboard!$C$13:$C$22,$N945)&gt;0,1,0))</f>
        <v>0</v>
      </c>
      <c r="AB945" s="37" t="str">
        <f aca="false">IF($N945="","",IF(COUNTIF($N$8:$N945,$N945)=1,MAX($AB$7:$AB944)+1,""))</f>
        <v/>
      </c>
    </row>
    <row r="946" customFormat="false" ht="15" hidden="false" customHeight="false" outlineLevel="0" collapsed="false">
      <c r="L946" s="37" t="str">
        <f aca="false">IF(INDEX($A946:$J946,$L$6)&lt;&gt;"",TRIM(LEFT(INDEX($A946:$J946,$L$6),FIND("(",INDEX($A946:$J946,$L$6)&amp;"(")-1)),L945)</f>
        <v>Building Value Proposition</v>
      </c>
      <c r="M946" s="37" t="str">
        <f aca="false">IF(INDEX($A946:$J946,$M$6)="","",INDEX($A946:$J946,$M$6)&amp;"")</f>
        <v/>
      </c>
      <c r="N946" s="37" t="str">
        <f aca="false">IF($M946="","",TRIM(INDEX($A946:$J946,$N$6)&amp;""))</f>
        <v/>
      </c>
      <c r="O946" s="37" t="str">
        <f aca="false">IF($M946="","",TRIM(INDEX($A946:$J946,$O$6)&amp;""))</f>
        <v/>
      </c>
      <c r="P946" s="37" t="str">
        <f aca="false">IF($M946="","",IFERROR(IF(INDEX(Settings!$B$41:$B$50,MATCH(O946,Settings!$A$41:$A$50,0))&amp;""="","UNMAPPED",INDEX(Settings!$B$41:$B$50,MATCH(O946,Settings!$A$41:$A$50,0))&amp;""),"UNMAPPED"))</f>
        <v/>
      </c>
      <c r="Q946" s="38" t="n">
        <f aca="false">IF($M946="",0,N(INDEX($A946:$J946,$Q$6)))</f>
        <v>0</v>
      </c>
      <c r="R946" s="39" t="str">
        <f aca="false">IF($M946="","",INDEX($A946:$J946,$R$6))</f>
        <v/>
      </c>
      <c r="S946" s="37" t="str">
        <f aca="false">IF($M946="","",IFERROR(INDEX(Settings!$B$27:$B$36,MATCH(L946,Settings!$A$27:$A$36,0))&amp;"","UNMAPPED"))</f>
        <v/>
      </c>
      <c r="T946" s="37" t="str">
        <f aca="false">IF($M946="","",IF(NOT(ISNUMBER(R946)),"NO DATE",IF(S946="Won",IF(R946&gt;Settings!$B$5,"Backlog","Delivered"),IF(S946="Open",IF(R946&gt;Settings!$B$5,"Pipeline","Overdue"),IF(S946="Lost","Lost","UNMAPPED")))))</f>
        <v/>
      </c>
      <c r="U946" s="40" t="n">
        <f aca="false">IF(T946="Backlog",1,IF(OR(T946="Pipeline",T946="Overdue"),N(INDEX(Settings!$C$27:$C$36,MATCH(L946,Settings!$A$27:$A$36,0))),0))</f>
        <v>0</v>
      </c>
      <c r="V946" s="38" t="n">
        <f aca="false">Q946*U946</f>
        <v>0</v>
      </c>
      <c r="W946" s="41" t="str">
        <f aca="false">IF($M946="","",IF(T946="Overdue",IF(Settings!$B$8="Yes",Settings!$B$7,""),IF(ISNUMBER(R946),DATE(YEAR(R946),MONTH(R946),1),"")))</f>
        <v/>
      </c>
      <c r="X946" s="38" t="n">
        <f aca="false">IF(AND(OR(T946="Backlog",T946="Pipeline",T946="Overdue"),ISNUMBER(W946)),IF(W946&lt;=Settings!$B$6,V946,0),0)</f>
        <v>0</v>
      </c>
      <c r="Y946" s="38" t="n">
        <f aca="false">IF(AND(OR(T946="Backlog",T946="Pipeline",T946="Overdue"),ISNUMBER(W946)),IF(W946&lt;=Settings!$B$6,Q946,0),0)</f>
        <v>0</v>
      </c>
      <c r="Z946" s="38" t="n">
        <f aca="false">IF(Y946=0,0,IF(T946="Backlog",Q946,Q946*Dashboard!$C$10))</f>
        <v>0</v>
      </c>
      <c r="AA946" s="37" t="n">
        <f aca="false">IF($N946="",0,IF(COUNTIF(Dashboard!$C$13:$C$22,$N946)&gt;0,1,0))</f>
        <v>0</v>
      </c>
      <c r="AB946" s="37" t="str">
        <f aca="false">IF($N946="","",IF(COUNTIF($N$8:$N946,$N946)=1,MAX($AB$7:$AB945)+1,""))</f>
        <v/>
      </c>
    </row>
    <row r="947" customFormat="false" ht="15" hidden="false" customHeight="false" outlineLevel="0" collapsed="false">
      <c r="L947" s="37" t="str">
        <f aca="false">IF(INDEX($A947:$J947,$L$6)&lt;&gt;"",TRIM(LEFT(INDEX($A947:$J947,$L$6),FIND("(",INDEX($A947:$J947,$L$6)&amp;"(")-1)),L946)</f>
        <v>Building Value Proposition</v>
      </c>
      <c r="M947" s="37" t="str">
        <f aca="false">IF(INDEX($A947:$J947,$M$6)="","",INDEX($A947:$J947,$M$6)&amp;"")</f>
        <v/>
      </c>
      <c r="N947" s="37" t="str">
        <f aca="false">IF($M947="","",TRIM(INDEX($A947:$J947,$N$6)&amp;""))</f>
        <v/>
      </c>
      <c r="O947" s="37" t="str">
        <f aca="false">IF($M947="","",TRIM(INDEX($A947:$J947,$O$6)&amp;""))</f>
        <v/>
      </c>
      <c r="P947" s="37" t="str">
        <f aca="false">IF($M947="","",IFERROR(IF(INDEX(Settings!$B$41:$B$50,MATCH(O947,Settings!$A$41:$A$50,0))&amp;""="","UNMAPPED",INDEX(Settings!$B$41:$B$50,MATCH(O947,Settings!$A$41:$A$50,0))&amp;""),"UNMAPPED"))</f>
        <v/>
      </c>
      <c r="Q947" s="38" t="n">
        <f aca="false">IF($M947="",0,N(INDEX($A947:$J947,$Q$6)))</f>
        <v>0</v>
      </c>
      <c r="R947" s="39" t="str">
        <f aca="false">IF($M947="","",INDEX($A947:$J947,$R$6))</f>
        <v/>
      </c>
      <c r="S947" s="37" t="str">
        <f aca="false">IF($M947="","",IFERROR(INDEX(Settings!$B$27:$B$36,MATCH(L947,Settings!$A$27:$A$36,0))&amp;"","UNMAPPED"))</f>
        <v/>
      </c>
      <c r="T947" s="37" t="str">
        <f aca="false">IF($M947="","",IF(NOT(ISNUMBER(R947)),"NO DATE",IF(S947="Won",IF(R947&gt;Settings!$B$5,"Backlog","Delivered"),IF(S947="Open",IF(R947&gt;Settings!$B$5,"Pipeline","Overdue"),IF(S947="Lost","Lost","UNMAPPED")))))</f>
        <v/>
      </c>
      <c r="U947" s="40" t="n">
        <f aca="false">IF(T947="Backlog",1,IF(OR(T947="Pipeline",T947="Overdue"),N(INDEX(Settings!$C$27:$C$36,MATCH(L947,Settings!$A$27:$A$36,0))),0))</f>
        <v>0</v>
      </c>
      <c r="V947" s="38" t="n">
        <f aca="false">Q947*U947</f>
        <v>0</v>
      </c>
      <c r="W947" s="41" t="str">
        <f aca="false">IF($M947="","",IF(T947="Overdue",IF(Settings!$B$8="Yes",Settings!$B$7,""),IF(ISNUMBER(R947),DATE(YEAR(R947),MONTH(R947),1),"")))</f>
        <v/>
      </c>
      <c r="X947" s="38" t="n">
        <f aca="false">IF(AND(OR(T947="Backlog",T947="Pipeline",T947="Overdue"),ISNUMBER(W947)),IF(W947&lt;=Settings!$B$6,V947,0),0)</f>
        <v>0</v>
      </c>
      <c r="Y947" s="38" t="n">
        <f aca="false">IF(AND(OR(T947="Backlog",T947="Pipeline",T947="Overdue"),ISNUMBER(W947)),IF(W947&lt;=Settings!$B$6,Q947,0),0)</f>
        <v>0</v>
      </c>
      <c r="Z947" s="38" t="n">
        <f aca="false">IF(Y947=0,0,IF(T947="Backlog",Q947,Q947*Dashboard!$C$10))</f>
        <v>0</v>
      </c>
      <c r="AA947" s="37" t="n">
        <f aca="false">IF($N947="",0,IF(COUNTIF(Dashboard!$C$13:$C$22,$N947)&gt;0,1,0))</f>
        <v>0</v>
      </c>
      <c r="AB947" s="37" t="str">
        <f aca="false">IF($N947="","",IF(COUNTIF($N$8:$N947,$N947)=1,MAX($AB$7:$AB946)+1,""))</f>
        <v/>
      </c>
    </row>
    <row r="948" customFormat="false" ht="15" hidden="false" customHeight="false" outlineLevel="0" collapsed="false">
      <c r="L948" s="37" t="str">
        <f aca="false">IF(INDEX($A948:$J948,$L$6)&lt;&gt;"",TRIM(LEFT(INDEX($A948:$J948,$L$6),FIND("(",INDEX($A948:$J948,$L$6)&amp;"(")-1)),L947)</f>
        <v>Building Value Proposition</v>
      </c>
      <c r="M948" s="37" t="str">
        <f aca="false">IF(INDEX($A948:$J948,$M$6)="","",INDEX($A948:$J948,$M$6)&amp;"")</f>
        <v/>
      </c>
      <c r="N948" s="37" t="str">
        <f aca="false">IF($M948="","",TRIM(INDEX($A948:$J948,$N$6)&amp;""))</f>
        <v/>
      </c>
      <c r="O948" s="37" t="str">
        <f aca="false">IF($M948="","",TRIM(INDEX($A948:$J948,$O$6)&amp;""))</f>
        <v/>
      </c>
      <c r="P948" s="37" t="str">
        <f aca="false">IF($M948="","",IFERROR(IF(INDEX(Settings!$B$41:$B$50,MATCH(O948,Settings!$A$41:$A$50,0))&amp;""="","UNMAPPED",INDEX(Settings!$B$41:$B$50,MATCH(O948,Settings!$A$41:$A$50,0))&amp;""),"UNMAPPED"))</f>
        <v/>
      </c>
      <c r="Q948" s="38" t="n">
        <f aca="false">IF($M948="",0,N(INDEX($A948:$J948,$Q$6)))</f>
        <v>0</v>
      </c>
      <c r="R948" s="39" t="str">
        <f aca="false">IF($M948="","",INDEX($A948:$J948,$R$6))</f>
        <v/>
      </c>
      <c r="S948" s="37" t="str">
        <f aca="false">IF($M948="","",IFERROR(INDEX(Settings!$B$27:$B$36,MATCH(L948,Settings!$A$27:$A$36,0))&amp;"","UNMAPPED"))</f>
        <v/>
      </c>
      <c r="T948" s="37" t="str">
        <f aca="false">IF($M948="","",IF(NOT(ISNUMBER(R948)),"NO DATE",IF(S948="Won",IF(R948&gt;Settings!$B$5,"Backlog","Delivered"),IF(S948="Open",IF(R948&gt;Settings!$B$5,"Pipeline","Overdue"),IF(S948="Lost","Lost","UNMAPPED")))))</f>
        <v/>
      </c>
      <c r="U948" s="40" t="n">
        <f aca="false">IF(T948="Backlog",1,IF(OR(T948="Pipeline",T948="Overdue"),N(INDEX(Settings!$C$27:$C$36,MATCH(L948,Settings!$A$27:$A$36,0))),0))</f>
        <v>0</v>
      </c>
      <c r="V948" s="38" t="n">
        <f aca="false">Q948*U948</f>
        <v>0</v>
      </c>
      <c r="W948" s="41" t="str">
        <f aca="false">IF($M948="","",IF(T948="Overdue",IF(Settings!$B$8="Yes",Settings!$B$7,""),IF(ISNUMBER(R948),DATE(YEAR(R948),MONTH(R948),1),"")))</f>
        <v/>
      </c>
      <c r="X948" s="38" t="n">
        <f aca="false">IF(AND(OR(T948="Backlog",T948="Pipeline",T948="Overdue"),ISNUMBER(W948)),IF(W948&lt;=Settings!$B$6,V948,0),0)</f>
        <v>0</v>
      </c>
      <c r="Y948" s="38" t="n">
        <f aca="false">IF(AND(OR(T948="Backlog",T948="Pipeline",T948="Overdue"),ISNUMBER(W948)),IF(W948&lt;=Settings!$B$6,Q948,0),0)</f>
        <v>0</v>
      </c>
      <c r="Z948" s="38" t="n">
        <f aca="false">IF(Y948=0,0,IF(T948="Backlog",Q948,Q948*Dashboard!$C$10))</f>
        <v>0</v>
      </c>
      <c r="AA948" s="37" t="n">
        <f aca="false">IF($N948="",0,IF(COUNTIF(Dashboard!$C$13:$C$22,$N948)&gt;0,1,0))</f>
        <v>0</v>
      </c>
      <c r="AB948" s="37" t="str">
        <f aca="false">IF($N948="","",IF(COUNTIF($N$8:$N948,$N948)=1,MAX($AB$7:$AB947)+1,""))</f>
        <v/>
      </c>
    </row>
    <row r="949" customFormat="false" ht="15" hidden="false" customHeight="false" outlineLevel="0" collapsed="false">
      <c r="L949" s="37" t="str">
        <f aca="false">IF(INDEX($A949:$J949,$L$6)&lt;&gt;"",TRIM(LEFT(INDEX($A949:$J949,$L$6),FIND("(",INDEX($A949:$J949,$L$6)&amp;"(")-1)),L948)</f>
        <v>Building Value Proposition</v>
      </c>
      <c r="M949" s="37" t="str">
        <f aca="false">IF(INDEX($A949:$J949,$M$6)="","",INDEX($A949:$J949,$M$6)&amp;"")</f>
        <v/>
      </c>
      <c r="N949" s="37" t="str">
        <f aca="false">IF($M949="","",TRIM(INDEX($A949:$J949,$N$6)&amp;""))</f>
        <v/>
      </c>
      <c r="O949" s="37" t="str">
        <f aca="false">IF($M949="","",TRIM(INDEX($A949:$J949,$O$6)&amp;""))</f>
        <v/>
      </c>
      <c r="P949" s="37" t="str">
        <f aca="false">IF($M949="","",IFERROR(IF(INDEX(Settings!$B$41:$B$50,MATCH(O949,Settings!$A$41:$A$50,0))&amp;""="","UNMAPPED",INDEX(Settings!$B$41:$B$50,MATCH(O949,Settings!$A$41:$A$50,0))&amp;""),"UNMAPPED"))</f>
        <v/>
      </c>
      <c r="Q949" s="38" t="n">
        <f aca="false">IF($M949="",0,N(INDEX($A949:$J949,$Q$6)))</f>
        <v>0</v>
      </c>
      <c r="R949" s="39" t="str">
        <f aca="false">IF($M949="","",INDEX($A949:$J949,$R$6))</f>
        <v/>
      </c>
      <c r="S949" s="37" t="str">
        <f aca="false">IF($M949="","",IFERROR(INDEX(Settings!$B$27:$B$36,MATCH(L949,Settings!$A$27:$A$36,0))&amp;"","UNMAPPED"))</f>
        <v/>
      </c>
      <c r="T949" s="37" t="str">
        <f aca="false">IF($M949="","",IF(NOT(ISNUMBER(R949)),"NO DATE",IF(S949="Won",IF(R949&gt;Settings!$B$5,"Backlog","Delivered"),IF(S949="Open",IF(R949&gt;Settings!$B$5,"Pipeline","Overdue"),IF(S949="Lost","Lost","UNMAPPED")))))</f>
        <v/>
      </c>
      <c r="U949" s="40" t="n">
        <f aca="false">IF(T949="Backlog",1,IF(OR(T949="Pipeline",T949="Overdue"),N(INDEX(Settings!$C$27:$C$36,MATCH(L949,Settings!$A$27:$A$36,0))),0))</f>
        <v>0</v>
      </c>
      <c r="V949" s="38" t="n">
        <f aca="false">Q949*U949</f>
        <v>0</v>
      </c>
      <c r="W949" s="41" t="str">
        <f aca="false">IF($M949="","",IF(T949="Overdue",IF(Settings!$B$8="Yes",Settings!$B$7,""),IF(ISNUMBER(R949),DATE(YEAR(R949),MONTH(R949),1),"")))</f>
        <v/>
      </c>
      <c r="X949" s="38" t="n">
        <f aca="false">IF(AND(OR(T949="Backlog",T949="Pipeline",T949="Overdue"),ISNUMBER(W949)),IF(W949&lt;=Settings!$B$6,V949,0),0)</f>
        <v>0</v>
      </c>
      <c r="Y949" s="38" t="n">
        <f aca="false">IF(AND(OR(T949="Backlog",T949="Pipeline",T949="Overdue"),ISNUMBER(W949)),IF(W949&lt;=Settings!$B$6,Q949,0),0)</f>
        <v>0</v>
      </c>
      <c r="Z949" s="38" t="n">
        <f aca="false">IF(Y949=0,0,IF(T949="Backlog",Q949,Q949*Dashboard!$C$10))</f>
        <v>0</v>
      </c>
      <c r="AA949" s="37" t="n">
        <f aca="false">IF($N949="",0,IF(COUNTIF(Dashboard!$C$13:$C$22,$N949)&gt;0,1,0))</f>
        <v>0</v>
      </c>
      <c r="AB949" s="37" t="str">
        <f aca="false">IF($N949="","",IF(COUNTIF($N$8:$N949,$N949)=1,MAX($AB$7:$AB948)+1,""))</f>
        <v/>
      </c>
    </row>
    <row r="950" customFormat="false" ht="15" hidden="false" customHeight="false" outlineLevel="0" collapsed="false">
      <c r="L950" s="37" t="str">
        <f aca="false">IF(INDEX($A950:$J950,$L$6)&lt;&gt;"",TRIM(LEFT(INDEX($A950:$J950,$L$6),FIND("(",INDEX($A950:$J950,$L$6)&amp;"(")-1)),L949)</f>
        <v>Building Value Proposition</v>
      </c>
      <c r="M950" s="37" t="str">
        <f aca="false">IF(INDEX($A950:$J950,$M$6)="","",INDEX($A950:$J950,$M$6)&amp;"")</f>
        <v/>
      </c>
      <c r="N950" s="37" t="str">
        <f aca="false">IF($M950="","",TRIM(INDEX($A950:$J950,$N$6)&amp;""))</f>
        <v/>
      </c>
      <c r="O950" s="37" t="str">
        <f aca="false">IF($M950="","",TRIM(INDEX($A950:$J950,$O$6)&amp;""))</f>
        <v/>
      </c>
      <c r="P950" s="37" t="str">
        <f aca="false">IF($M950="","",IFERROR(IF(INDEX(Settings!$B$41:$B$50,MATCH(O950,Settings!$A$41:$A$50,0))&amp;""="","UNMAPPED",INDEX(Settings!$B$41:$B$50,MATCH(O950,Settings!$A$41:$A$50,0))&amp;""),"UNMAPPED"))</f>
        <v/>
      </c>
      <c r="Q950" s="38" t="n">
        <f aca="false">IF($M950="",0,N(INDEX($A950:$J950,$Q$6)))</f>
        <v>0</v>
      </c>
      <c r="R950" s="39" t="str">
        <f aca="false">IF($M950="","",INDEX($A950:$J950,$R$6))</f>
        <v/>
      </c>
      <c r="S950" s="37" t="str">
        <f aca="false">IF($M950="","",IFERROR(INDEX(Settings!$B$27:$B$36,MATCH(L950,Settings!$A$27:$A$36,0))&amp;"","UNMAPPED"))</f>
        <v/>
      </c>
      <c r="T950" s="37" t="str">
        <f aca="false">IF($M950="","",IF(NOT(ISNUMBER(R950)),"NO DATE",IF(S950="Won",IF(R950&gt;Settings!$B$5,"Backlog","Delivered"),IF(S950="Open",IF(R950&gt;Settings!$B$5,"Pipeline","Overdue"),IF(S950="Lost","Lost","UNMAPPED")))))</f>
        <v/>
      </c>
      <c r="U950" s="40" t="n">
        <f aca="false">IF(T950="Backlog",1,IF(OR(T950="Pipeline",T950="Overdue"),N(INDEX(Settings!$C$27:$C$36,MATCH(L950,Settings!$A$27:$A$36,0))),0))</f>
        <v>0</v>
      </c>
      <c r="V950" s="38" t="n">
        <f aca="false">Q950*U950</f>
        <v>0</v>
      </c>
      <c r="W950" s="41" t="str">
        <f aca="false">IF($M950="","",IF(T950="Overdue",IF(Settings!$B$8="Yes",Settings!$B$7,""),IF(ISNUMBER(R950),DATE(YEAR(R950),MONTH(R950),1),"")))</f>
        <v/>
      </c>
      <c r="X950" s="38" t="n">
        <f aca="false">IF(AND(OR(T950="Backlog",T950="Pipeline",T950="Overdue"),ISNUMBER(W950)),IF(W950&lt;=Settings!$B$6,V950,0),0)</f>
        <v>0</v>
      </c>
      <c r="Y950" s="38" t="n">
        <f aca="false">IF(AND(OR(T950="Backlog",T950="Pipeline",T950="Overdue"),ISNUMBER(W950)),IF(W950&lt;=Settings!$B$6,Q950,0),0)</f>
        <v>0</v>
      </c>
      <c r="Z950" s="38" t="n">
        <f aca="false">IF(Y950=0,0,IF(T950="Backlog",Q950,Q950*Dashboard!$C$10))</f>
        <v>0</v>
      </c>
      <c r="AA950" s="37" t="n">
        <f aca="false">IF($N950="",0,IF(COUNTIF(Dashboard!$C$13:$C$22,$N950)&gt;0,1,0))</f>
        <v>0</v>
      </c>
      <c r="AB950" s="37" t="str">
        <f aca="false">IF($N950="","",IF(COUNTIF($N$8:$N950,$N950)=1,MAX($AB$7:$AB949)+1,""))</f>
        <v/>
      </c>
    </row>
    <row r="951" customFormat="false" ht="15" hidden="false" customHeight="false" outlineLevel="0" collapsed="false">
      <c r="L951" s="37" t="str">
        <f aca="false">IF(INDEX($A951:$J951,$L$6)&lt;&gt;"",TRIM(LEFT(INDEX($A951:$J951,$L$6),FIND("(",INDEX($A951:$J951,$L$6)&amp;"(")-1)),L950)</f>
        <v>Building Value Proposition</v>
      </c>
      <c r="M951" s="37" t="str">
        <f aca="false">IF(INDEX($A951:$J951,$M$6)="","",INDEX($A951:$J951,$M$6)&amp;"")</f>
        <v/>
      </c>
      <c r="N951" s="37" t="str">
        <f aca="false">IF($M951="","",TRIM(INDEX($A951:$J951,$N$6)&amp;""))</f>
        <v/>
      </c>
      <c r="O951" s="37" t="str">
        <f aca="false">IF($M951="","",TRIM(INDEX($A951:$J951,$O$6)&amp;""))</f>
        <v/>
      </c>
      <c r="P951" s="37" t="str">
        <f aca="false">IF($M951="","",IFERROR(IF(INDEX(Settings!$B$41:$B$50,MATCH(O951,Settings!$A$41:$A$50,0))&amp;""="","UNMAPPED",INDEX(Settings!$B$41:$B$50,MATCH(O951,Settings!$A$41:$A$50,0))&amp;""),"UNMAPPED"))</f>
        <v/>
      </c>
      <c r="Q951" s="38" t="n">
        <f aca="false">IF($M951="",0,N(INDEX($A951:$J951,$Q$6)))</f>
        <v>0</v>
      </c>
      <c r="R951" s="39" t="str">
        <f aca="false">IF($M951="","",INDEX($A951:$J951,$R$6))</f>
        <v/>
      </c>
      <c r="S951" s="37" t="str">
        <f aca="false">IF($M951="","",IFERROR(INDEX(Settings!$B$27:$B$36,MATCH(L951,Settings!$A$27:$A$36,0))&amp;"","UNMAPPED"))</f>
        <v/>
      </c>
      <c r="T951" s="37" t="str">
        <f aca="false">IF($M951="","",IF(NOT(ISNUMBER(R951)),"NO DATE",IF(S951="Won",IF(R951&gt;Settings!$B$5,"Backlog","Delivered"),IF(S951="Open",IF(R951&gt;Settings!$B$5,"Pipeline","Overdue"),IF(S951="Lost","Lost","UNMAPPED")))))</f>
        <v/>
      </c>
      <c r="U951" s="40" t="n">
        <f aca="false">IF(T951="Backlog",1,IF(OR(T951="Pipeline",T951="Overdue"),N(INDEX(Settings!$C$27:$C$36,MATCH(L951,Settings!$A$27:$A$36,0))),0))</f>
        <v>0</v>
      </c>
      <c r="V951" s="38" t="n">
        <f aca="false">Q951*U951</f>
        <v>0</v>
      </c>
      <c r="W951" s="41" t="str">
        <f aca="false">IF($M951="","",IF(T951="Overdue",IF(Settings!$B$8="Yes",Settings!$B$7,""),IF(ISNUMBER(R951),DATE(YEAR(R951),MONTH(R951),1),"")))</f>
        <v/>
      </c>
      <c r="X951" s="38" t="n">
        <f aca="false">IF(AND(OR(T951="Backlog",T951="Pipeline",T951="Overdue"),ISNUMBER(W951)),IF(W951&lt;=Settings!$B$6,V951,0),0)</f>
        <v>0</v>
      </c>
      <c r="Y951" s="38" t="n">
        <f aca="false">IF(AND(OR(T951="Backlog",T951="Pipeline",T951="Overdue"),ISNUMBER(W951)),IF(W951&lt;=Settings!$B$6,Q951,0),0)</f>
        <v>0</v>
      </c>
      <c r="Z951" s="38" t="n">
        <f aca="false">IF(Y951=0,0,IF(T951="Backlog",Q951,Q951*Dashboard!$C$10))</f>
        <v>0</v>
      </c>
      <c r="AA951" s="37" t="n">
        <f aca="false">IF($N951="",0,IF(COUNTIF(Dashboard!$C$13:$C$22,$N951)&gt;0,1,0))</f>
        <v>0</v>
      </c>
      <c r="AB951" s="37" t="str">
        <f aca="false">IF($N951="","",IF(COUNTIF($N$8:$N951,$N951)=1,MAX($AB$7:$AB950)+1,""))</f>
        <v/>
      </c>
    </row>
    <row r="952" customFormat="false" ht="15" hidden="false" customHeight="false" outlineLevel="0" collapsed="false">
      <c r="L952" s="37" t="str">
        <f aca="false">IF(INDEX($A952:$J952,$L$6)&lt;&gt;"",TRIM(LEFT(INDEX($A952:$J952,$L$6),FIND("(",INDEX($A952:$J952,$L$6)&amp;"(")-1)),L951)</f>
        <v>Building Value Proposition</v>
      </c>
      <c r="M952" s="37" t="str">
        <f aca="false">IF(INDEX($A952:$J952,$M$6)="","",INDEX($A952:$J952,$M$6)&amp;"")</f>
        <v/>
      </c>
      <c r="N952" s="37" t="str">
        <f aca="false">IF($M952="","",TRIM(INDEX($A952:$J952,$N$6)&amp;""))</f>
        <v/>
      </c>
      <c r="O952" s="37" t="str">
        <f aca="false">IF($M952="","",TRIM(INDEX($A952:$J952,$O$6)&amp;""))</f>
        <v/>
      </c>
      <c r="P952" s="37" t="str">
        <f aca="false">IF($M952="","",IFERROR(IF(INDEX(Settings!$B$41:$B$50,MATCH(O952,Settings!$A$41:$A$50,0))&amp;""="","UNMAPPED",INDEX(Settings!$B$41:$B$50,MATCH(O952,Settings!$A$41:$A$50,0))&amp;""),"UNMAPPED"))</f>
        <v/>
      </c>
      <c r="Q952" s="38" t="n">
        <f aca="false">IF($M952="",0,N(INDEX($A952:$J952,$Q$6)))</f>
        <v>0</v>
      </c>
      <c r="R952" s="39" t="str">
        <f aca="false">IF($M952="","",INDEX($A952:$J952,$R$6))</f>
        <v/>
      </c>
      <c r="S952" s="37" t="str">
        <f aca="false">IF($M952="","",IFERROR(INDEX(Settings!$B$27:$B$36,MATCH(L952,Settings!$A$27:$A$36,0))&amp;"","UNMAPPED"))</f>
        <v/>
      </c>
      <c r="T952" s="37" t="str">
        <f aca="false">IF($M952="","",IF(NOT(ISNUMBER(R952)),"NO DATE",IF(S952="Won",IF(R952&gt;Settings!$B$5,"Backlog","Delivered"),IF(S952="Open",IF(R952&gt;Settings!$B$5,"Pipeline","Overdue"),IF(S952="Lost","Lost","UNMAPPED")))))</f>
        <v/>
      </c>
      <c r="U952" s="40" t="n">
        <f aca="false">IF(T952="Backlog",1,IF(OR(T952="Pipeline",T952="Overdue"),N(INDEX(Settings!$C$27:$C$36,MATCH(L952,Settings!$A$27:$A$36,0))),0))</f>
        <v>0</v>
      </c>
      <c r="V952" s="38" t="n">
        <f aca="false">Q952*U952</f>
        <v>0</v>
      </c>
      <c r="W952" s="41" t="str">
        <f aca="false">IF($M952="","",IF(T952="Overdue",IF(Settings!$B$8="Yes",Settings!$B$7,""),IF(ISNUMBER(R952),DATE(YEAR(R952),MONTH(R952),1),"")))</f>
        <v/>
      </c>
      <c r="X952" s="38" t="n">
        <f aca="false">IF(AND(OR(T952="Backlog",T952="Pipeline",T952="Overdue"),ISNUMBER(W952)),IF(W952&lt;=Settings!$B$6,V952,0),0)</f>
        <v>0</v>
      </c>
      <c r="Y952" s="38" t="n">
        <f aca="false">IF(AND(OR(T952="Backlog",T952="Pipeline",T952="Overdue"),ISNUMBER(W952)),IF(W952&lt;=Settings!$B$6,Q952,0),0)</f>
        <v>0</v>
      </c>
      <c r="Z952" s="38" t="n">
        <f aca="false">IF(Y952=0,0,IF(T952="Backlog",Q952,Q952*Dashboard!$C$10))</f>
        <v>0</v>
      </c>
      <c r="AA952" s="37" t="n">
        <f aca="false">IF($N952="",0,IF(COUNTIF(Dashboard!$C$13:$C$22,$N952)&gt;0,1,0))</f>
        <v>0</v>
      </c>
      <c r="AB952" s="37" t="str">
        <f aca="false">IF($N952="","",IF(COUNTIF($N$8:$N952,$N952)=1,MAX($AB$7:$AB951)+1,""))</f>
        <v/>
      </c>
    </row>
    <row r="953" customFormat="false" ht="15" hidden="false" customHeight="false" outlineLevel="0" collapsed="false">
      <c r="L953" s="37" t="str">
        <f aca="false">IF(INDEX($A953:$J953,$L$6)&lt;&gt;"",TRIM(LEFT(INDEX($A953:$J953,$L$6),FIND("(",INDEX($A953:$J953,$L$6)&amp;"(")-1)),L952)</f>
        <v>Building Value Proposition</v>
      </c>
      <c r="M953" s="37" t="str">
        <f aca="false">IF(INDEX($A953:$J953,$M$6)="","",INDEX($A953:$J953,$M$6)&amp;"")</f>
        <v/>
      </c>
      <c r="N953" s="37" t="str">
        <f aca="false">IF($M953="","",TRIM(INDEX($A953:$J953,$N$6)&amp;""))</f>
        <v/>
      </c>
      <c r="O953" s="37" t="str">
        <f aca="false">IF($M953="","",TRIM(INDEX($A953:$J953,$O$6)&amp;""))</f>
        <v/>
      </c>
      <c r="P953" s="37" t="str">
        <f aca="false">IF($M953="","",IFERROR(IF(INDEX(Settings!$B$41:$B$50,MATCH(O953,Settings!$A$41:$A$50,0))&amp;""="","UNMAPPED",INDEX(Settings!$B$41:$B$50,MATCH(O953,Settings!$A$41:$A$50,0))&amp;""),"UNMAPPED"))</f>
        <v/>
      </c>
      <c r="Q953" s="38" t="n">
        <f aca="false">IF($M953="",0,N(INDEX($A953:$J953,$Q$6)))</f>
        <v>0</v>
      </c>
      <c r="R953" s="39" t="str">
        <f aca="false">IF($M953="","",INDEX($A953:$J953,$R$6))</f>
        <v/>
      </c>
      <c r="S953" s="37" t="str">
        <f aca="false">IF($M953="","",IFERROR(INDEX(Settings!$B$27:$B$36,MATCH(L953,Settings!$A$27:$A$36,0))&amp;"","UNMAPPED"))</f>
        <v/>
      </c>
      <c r="T953" s="37" t="str">
        <f aca="false">IF($M953="","",IF(NOT(ISNUMBER(R953)),"NO DATE",IF(S953="Won",IF(R953&gt;Settings!$B$5,"Backlog","Delivered"),IF(S953="Open",IF(R953&gt;Settings!$B$5,"Pipeline","Overdue"),IF(S953="Lost","Lost","UNMAPPED")))))</f>
        <v/>
      </c>
      <c r="U953" s="40" t="n">
        <f aca="false">IF(T953="Backlog",1,IF(OR(T953="Pipeline",T953="Overdue"),N(INDEX(Settings!$C$27:$C$36,MATCH(L953,Settings!$A$27:$A$36,0))),0))</f>
        <v>0</v>
      </c>
      <c r="V953" s="38" t="n">
        <f aca="false">Q953*U953</f>
        <v>0</v>
      </c>
      <c r="W953" s="41" t="str">
        <f aca="false">IF($M953="","",IF(T953="Overdue",IF(Settings!$B$8="Yes",Settings!$B$7,""),IF(ISNUMBER(R953),DATE(YEAR(R953),MONTH(R953),1),"")))</f>
        <v/>
      </c>
      <c r="X953" s="38" t="n">
        <f aca="false">IF(AND(OR(T953="Backlog",T953="Pipeline",T953="Overdue"),ISNUMBER(W953)),IF(W953&lt;=Settings!$B$6,V953,0),0)</f>
        <v>0</v>
      </c>
      <c r="Y953" s="38" t="n">
        <f aca="false">IF(AND(OR(T953="Backlog",T953="Pipeline",T953="Overdue"),ISNUMBER(W953)),IF(W953&lt;=Settings!$B$6,Q953,0),0)</f>
        <v>0</v>
      </c>
      <c r="Z953" s="38" t="n">
        <f aca="false">IF(Y953=0,0,IF(T953="Backlog",Q953,Q953*Dashboard!$C$10))</f>
        <v>0</v>
      </c>
      <c r="AA953" s="37" t="n">
        <f aca="false">IF($N953="",0,IF(COUNTIF(Dashboard!$C$13:$C$22,$N953)&gt;0,1,0))</f>
        <v>0</v>
      </c>
      <c r="AB953" s="37" t="str">
        <f aca="false">IF($N953="","",IF(COUNTIF($N$8:$N953,$N953)=1,MAX($AB$7:$AB952)+1,""))</f>
        <v/>
      </c>
    </row>
    <row r="954" customFormat="false" ht="15" hidden="false" customHeight="false" outlineLevel="0" collapsed="false">
      <c r="L954" s="37" t="str">
        <f aca="false">IF(INDEX($A954:$J954,$L$6)&lt;&gt;"",TRIM(LEFT(INDEX($A954:$J954,$L$6),FIND("(",INDEX($A954:$J954,$L$6)&amp;"(")-1)),L953)</f>
        <v>Building Value Proposition</v>
      </c>
      <c r="M954" s="37" t="str">
        <f aca="false">IF(INDEX($A954:$J954,$M$6)="","",INDEX($A954:$J954,$M$6)&amp;"")</f>
        <v/>
      </c>
      <c r="N954" s="37" t="str">
        <f aca="false">IF($M954="","",TRIM(INDEX($A954:$J954,$N$6)&amp;""))</f>
        <v/>
      </c>
      <c r="O954" s="37" t="str">
        <f aca="false">IF($M954="","",TRIM(INDEX($A954:$J954,$O$6)&amp;""))</f>
        <v/>
      </c>
      <c r="P954" s="37" t="str">
        <f aca="false">IF($M954="","",IFERROR(IF(INDEX(Settings!$B$41:$B$50,MATCH(O954,Settings!$A$41:$A$50,0))&amp;""="","UNMAPPED",INDEX(Settings!$B$41:$B$50,MATCH(O954,Settings!$A$41:$A$50,0))&amp;""),"UNMAPPED"))</f>
        <v/>
      </c>
      <c r="Q954" s="38" t="n">
        <f aca="false">IF($M954="",0,N(INDEX($A954:$J954,$Q$6)))</f>
        <v>0</v>
      </c>
      <c r="R954" s="39" t="str">
        <f aca="false">IF($M954="","",INDEX($A954:$J954,$R$6))</f>
        <v/>
      </c>
      <c r="S954" s="37" t="str">
        <f aca="false">IF($M954="","",IFERROR(INDEX(Settings!$B$27:$B$36,MATCH(L954,Settings!$A$27:$A$36,0))&amp;"","UNMAPPED"))</f>
        <v/>
      </c>
      <c r="T954" s="37" t="str">
        <f aca="false">IF($M954="","",IF(NOT(ISNUMBER(R954)),"NO DATE",IF(S954="Won",IF(R954&gt;Settings!$B$5,"Backlog","Delivered"),IF(S954="Open",IF(R954&gt;Settings!$B$5,"Pipeline","Overdue"),IF(S954="Lost","Lost","UNMAPPED")))))</f>
        <v/>
      </c>
      <c r="U954" s="40" t="n">
        <f aca="false">IF(T954="Backlog",1,IF(OR(T954="Pipeline",T954="Overdue"),N(INDEX(Settings!$C$27:$C$36,MATCH(L954,Settings!$A$27:$A$36,0))),0))</f>
        <v>0</v>
      </c>
      <c r="V954" s="38" t="n">
        <f aca="false">Q954*U954</f>
        <v>0</v>
      </c>
      <c r="W954" s="41" t="str">
        <f aca="false">IF($M954="","",IF(T954="Overdue",IF(Settings!$B$8="Yes",Settings!$B$7,""),IF(ISNUMBER(R954),DATE(YEAR(R954),MONTH(R954),1),"")))</f>
        <v/>
      </c>
      <c r="X954" s="38" t="n">
        <f aca="false">IF(AND(OR(T954="Backlog",T954="Pipeline",T954="Overdue"),ISNUMBER(W954)),IF(W954&lt;=Settings!$B$6,V954,0),0)</f>
        <v>0</v>
      </c>
      <c r="Y954" s="38" t="n">
        <f aca="false">IF(AND(OR(T954="Backlog",T954="Pipeline",T954="Overdue"),ISNUMBER(W954)),IF(W954&lt;=Settings!$B$6,Q954,0),0)</f>
        <v>0</v>
      </c>
      <c r="Z954" s="38" t="n">
        <f aca="false">IF(Y954=0,0,IF(T954="Backlog",Q954,Q954*Dashboard!$C$10))</f>
        <v>0</v>
      </c>
      <c r="AA954" s="37" t="n">
        <f aca="false">IF($N954="",0,IF(COUNTIF(Dashboard!$C$13:$C$22,$N954)&gt;0,1,0))</f>
        <v>0</v>
      </c>
      <c r="AB954" s="37" t="str">
        <f aca="false">IF($N954="","",IF(COUNTIF($N$8:$N954,$N954)=1,MAX($AB$7:$AB953)+1,""))</f>
        <v/>
      </c>
    </row>
    <row r="955" customFormat="false" ht="15" hidden="false" customHeight="false" outlineLevel="0" collapsed="false">
      <c r="L955" s="37" t="str">
        <f aca="false">IF(INDEX($A955:$J955,$L$6)&lt;&gt;"",TRIM(LEFT(INDEX($A955:$J955,$L$6),FIND("(",INDEX($A955:$J955,$L$6)&amp;"(")-1)),L954)</f>
        <v>Building Value Proposition</v>
      </c>
      <c r="M955" s="37" t="str">
        <f aca="false">IF(INDEX($A955:$J955,$M$6)="","",INDEX($A955:$J955,$M$6)&amp;"")</f>
        <v/>
      </c>
      <c r="N955" s="37" t="str">
        <f aca="false">IF($M955="","",TRIM(INDEX($A955:$J955,$N$6)&amp;""))</f>
        <v/>
      </c>
      <c r="O955" s="37" t="str">
        <f aca="false">IF($M955="","",TRIM(INDEX($A955:$J955,$O$6)&amp;""))</f>
        <v/>
      </c>
      <c r="P955" s="37" t="str">
        <f aca="false">IF($M955="","",IFERROR(IF(INDEX(Settings!$B$41:$B$50,MATCH(O955,Settings!$A$41:$A$50,0))&amp;""="","UNMAPPED",INDEX(Settings!$B$41:$B$50,MATCH(O955,Settings!$A$41:$A$50,0))&amp;""),"UNMAPPED"))</f>
        <v/>
      </c>
      <c r="Q955" s="38" t="n">
        <f aca="false">IF($M955="",0,N(INDEX($A955:$J955,$Q$6)))</f>
        <v>0</v>
      </c>
      <c r="R955" s="39" t="str">
        <f aca="false">IF($M955="","",INDEX($A955:$J955,$R$6))</f>
        <v/>
      </c>
      <c r="S955" s="37" t="str">
        <f aca="false">IF($M955="","",IFERROR(INDEX(Settings!$B$27:$B$36,MATCH(L955,Settings!$A$27:$A$36,0))&amp;"","UNMAPPED"))</f>
        <v/>
      </c>
      <c r="T955" s="37" t="str">
        <f aca="false">IF($M955="","",IF(NOT(ISNUMBER(R955)),"NO DATE",IF(S955="Won",IF(R955&gt;Settings!$B$5,"Backlog","Delivered"),IF(S955="Open",IF(R955&gt;Settings!$B$5,"Pipeline","Overdue"),IF(S955="Lost","Lost","UNMAPPED")))))</f>
        <v/>
      </c>
      <c r="U955" s="40" t="n">
        <f aca="false">IF(T955="Backlog",1,IF(OR(T955="Pipeline",T955="Overdue"),N(INDEX(Settings!$C$27:$C$36,MATCH(L955,Settings!$A$27:$A$36,0))),0))</f>
        <v>0</v>
      </c>
      <c r="V955" s="38" t="n">
        <f aca="false">Q955*U955</f>
        <v>0</v>
      </c>
      <c r="W955" s="41" t="str">
        <f aca="false">IF($M955="","",IF(T955="Overdue",IF(Settings!$B$8="Yes",Settings!$B$7,""),IF(ISNUMBER(R955),DATE(YEAR(R955),MONTH(R955),1),"")))</f>
        <v/>
      </c>
      <c r="X955" s="38" t="n">
        <f aca="false">IF(AND(OR(T955="Backlog",T955="Pipeline",T955="Overdue"),ISNUMBER(W955)),IF(W955&lt;=Settings!$B$6,V955,0),0)</f>
        <v>0</v>
      </c>
      <c r="Y955" s="38" t="n">
        <f aca="false">IF(AND(OR(T955="Backlog",T955="Pipeline",T955="Overdue"),ISNUMBER(W955)),IF(W955&lt;=Settings!$B$6,Q955,0),0)</f>
        <v>0</v>
      </c>
      <c r="Z955" s="38" t="n">
        <f aca="false">IF(Y955=0,0,IF(T955="Backlog",Q955,Q955*Dashboard!$C$10))</f>
        <v>0</v>
      </c>
      <c r="AA955" s="37" t="n">
        <f aca="false">IF($N955="",0,IF(COUNTIF(Dashboard!$C$13:$C$22,$N955)&gt;0,1,0))</f>
        <v>0</v>
      </c>
      <c r="AB955" s="37" t="str">
        <f aca="false">IF($N955="","",IF(COUNTIF($N$8:$N955,$N955)=1,MAX($AB$7:$AB954)+1,""))</f>
        <v/>
      </c>
    </row>
    <row r="956" customFormat="false" ht="15" hidden="false" customHeight="false" outlineLevel="0" collapsed="false">
      <c r="L956" s="37" t="str">
        <f aca="false">IF(INDEX($A956:$J956,$L$6)&lt;&gt;"",TRIM(LEFT(INDEX($A956:$J956,$L$6),FIND("(",INDEX($A956:$J956,$L$6)&amp;"(")-1)),L955)</f>
        <v>Building Value Proposition</v>
      </c>
      <c r="M956" s="37" t="str">
        <f aca="false">IF(INDEX($A956:$J956,$M$6)="","",INDEX($A956:$J956,$M$6)&amp;"")</f>
        <v/>
      </c>
      <c r="N956" s="37" t="str">
        <f aca="false">IF($M956="","",TRIM(INDEX($A956:$J956,$N$6)&amp;""))</f>
        <v/>
      </c>
      <c r="O956" s="37" t="str">
        <f aca="false">IF($M956="","",TRIM(INDEX($A956:$J956,$O$6)&amp;""))</f>
        <v/>
      </c>
      <c r="P956" s="37" t="str">
        <f aca="false">IF($M956="","",IFERROR(IF(INDEX(Settings!$B$41:$B$50,MATCH(O956,Settings!$A$41:$A$50,0))&amp;""="","UNMAPPED",INDEX(Settings!$B$41:$B$50,MATCH(O956,Settings!$A$41:$A$50,0))&amp;""),"UNMAPPED"))</f>
        <v/>
      </c>
      <c r="Q956" s="38" t="n">
        <f aca="false">IF($M956="",0,N(INDEX($A956:$J956,$Q$6)))</f>
        <v>0</v>
      </c>
      <c r="R956" s="39" t="str">
        <f aca="false">IF($M956="","",INDEX($A956:$J956,$R$6))</f>
        <v/>
      </c>
      <c r="S956" s="37" t="str">
        <f aca="false">IF($M956="","",IFERROR(INDEX(Settings!$B$27:$B$36,MATCH(L956,Settings!$A$27:$A$36,0))&amp;"","UNMAPPED"))</f>
        <v/>
      </c>
      <c r="T956" s="37" t="str">
        <f aca="false">IF($M956="","",IF(NOT(ISNUMBER(R956)),"NO DATE",IF(S956="Won",IF(R956&gt;Settings!$B$5,"Backlog","Delivered"),IF(S956="Open",IF(R956&gt;Settings!$B$5,"Pipeline","Overdue"),IF(S956="Lost","Lost","UNMAPPED")))))</f>
        <v/>
      </c>
      <c r="U956" s="40" t="n">
        <f aca="false">IF(T956="Backlog",1,IF(OR(T956="Pipeline",T956="Overdue"),N(INDEX(Settings!$C$27:$C$36,MATCH(L956,Settings!$A$27:$A$36,0))),0))</f>
        <v>0</v>
      </c>
      <c r="V956" s="38" t="n">
        <f aca="false">Q956*U956</f>
        <v>0</v>
      </c>
      <c r="W956" s="41" t="str">
        <f aca="false">IF($M956="","",IF(T956="Overdue",IF(Settings!$B$8="Yes",Settings!$B$7,""),IF(ISNUMBER(R956),DATE(YEAR(R956),MONTH(R956),1),"")))</f>
        <v/>
      </c>
      <c r="X956" s="38" t="n">
        <f aca="false">IF(AND(OR(T956="Backlog",T956="Pipeline",T956="Overdue"),ISNUMBER(W956)),IF(W956&lt;=Settings!$B$6,V956,0),0)</f>
        <v>0</v>
      </c>
      <c r="Y956" s="38" t="n">
        <f aca="false">IF(AND(OR(T956="Backlog",T956="Pipeline",T956="Overdue"),ISNUMBER(W956)),IF(W956&lt;=Settings!$B$6,Q956,0),0)</f>
        <v>0</v>
      </c>
      <c r="Z956" s="38" t="n">
        <f aca="false">IF(Y956=0,0,IF(T956="Backlog",Q956,Q956*Dashboard!$C$10))</f>
        <v>0</v>
      </c>
      <c r="AA956" s="37" t="n">
        <f aca="false">IF($N956="",0,IF(COUNTIF(Dashboard!$C$13:$C$22,$N956)&gt;0,1,0))</f>
        <v>0</v>
      </c>
      <c r="AB956" s="37" t="str">
        <f aca="false">IF($N956="","",IF(COUNTIF($N$8:$N956,$N956)=1,MAX($AB$7:$AB955)+1,""))</f>
        <v/>
      </c>
    </row>
    <row r="957" customFormat="false" ht="15" hidden="false" customHeight="false" outlineLevel="0" collapsed="false">
      <c r="L957" s="37" t="str">
        <f aca="false">IF(INDEX($A957:$J957,$L$6)&lt;&gt;"",TRIM(LEFT(INDEX($A957:$J957,$L$6),FIND("(",INDEX($A957:$J957,$L$6)&amp;"(")-1)),L956)</f>
        <v>Building Value Proposition</v>
      </c>
      <c r="M957" s="37" t="str">
        <f aca="false">IF(INDEX($A957:$J957,$M$6)="","",INDEX($A957:$J957,$M$6)&amp;"")</f>
        <v/>
      </c>
      <c r="N957" s="37" t="str">
        <f aca="false">IF($M957="","",TRIM(INDEX($A957:$J957,$N$6)&amp;""))</f>
        <v/>
      </c>
      <c r="O957" s="37" t="str">
        <f aca="false">IF($M957="","",TRIM(INDEX($A957:$J957,$O$6)&amp;""))</f>
        <v/>
      </c>
      <c r="P957" s="37" t="str">
        <f aca="false">IF($M957="","",IFERROR(IF(INDEX(Settings!$B$41:$B$50,MATCH(O957,Settings!$A$41:$A$50,0))&amp;""="","UNMAPPED",INDEX(Settings!$B$41:$B$50,MATCH(O957,Settings!$A$41:$A$50,0))&amp;""),"UNMAPPED"))</f>
        <v/>
      </c>
      <c r="Q957" s="38" t="n">
        <f aca="false">IF($M957="",0,N(INDEX($A957:$J957,$Q$6)))</f>
        <v>0</v>
      </c>
      <c r="R957" s="39" t="str">
        <f aca="false">IF($M957="","",INDEX($A957:$J957,$R$6))</f>
        <v/>
      </c>
      <c r="S957" s="37" t="str">
        <f aca="false">IF($M957="","",IFERROR(INDEX(Settings!$B$27:$B$36,MATCH(L957,Settings!$A$27:$A$36,0))&amp;"","UNMAPPED"))</f>
        <v/>
      </c>
      <c r="T957" s="37" t="str">
        <f aca="false">IF($M957="","",IF(NOT(ISNUMBER(R957)),"NO DATE",IF(S957="Won",IF(R957&gt;Settings!$B$5,"Backlog","Delivered"),IF(S957="Open",IF(R957&gt;Settings!$B$5,"Pipeline","Overdue"),IF(S957="Lost","Lost","UNMAPPED")))))</f>
        <v/>
      </c>
      <c r="U957" s="40" t="n">
        <f aca="false">IF(T957="Backlog",1,IF(OR(T957="Pipeline",T957="Overdue"),N(INDEX(Settings!$C$27:$C$36,MATCH(L957,Settings!$A$27:$A$36,0))),0))</f>
        <v>0</v>
      </c>
      <c r="V957" s="38" t="n">
        <f aca="false">Q957*U957</f>
        <v>0</v>
      </c>
      <c r="W957" s="41" t="str">
        <f aca="false">IF($M957="","",IF(T957="Overdue",IF(Settings!$B$8="Yes",Settings!$B$7,""),IF(ISNUMBER(R957),DATE(YEAR(R957),MONTH(R957),1),"")))</f>
        <v/>
      </c>
      <c r="X957" s="38" t="n">
        <f aca="false">IF(AND(OR(T957="Backlog",T957="Pipeline",T957="Overdue"),ISNUMBER(W957)),IF(W957&lt;=Settings!$B$6,V957,0),0)</f>
        <v>0</v>
      </c>
      <c r="Y957" s="38" t="n">
        <f aca="false">IF(AND(OR(T957="Backlog",T957="Pipeline",T957="Overdue"),ISNUMBER(W957)),IF(W957&lt;=Settings!$B$6,Q957,0),0)</f>
        <v>0</v>
      </c>
      <c r="Z957" s="38" t="n">
        <f aca="false">IF(Y957=0,0,IF(T957="Backlog",Q957,Q957*Dashboard!$C$10))</f>
        <v>0</v>
      </c>
      <c r="AA957" s="37" t="n">
        <f aca="false">IF($N957="",0,IF(COUNTIF(Dashboard!$C$13:$C$22,$N957)&gt;0,1,0))</f>
        <v>0</v>
      </c>
      <c r="AB957" s="37" t="str">
        <f aca="false">IF($N957="","",IF(COUNTIF($N$8:$N957,$N957)=1,MAX($AB$7:$AB956)+1,""))</f>
        <v/>
      </c>
    </row>
    <row r="958" customFormat="false" ht="15" hidden="false" customHeight="false" outlineLevel="0" collapsed="false">
      <c r="L958" s="37" t="str">
        <f aca="false">IF(INDEX($A958:$J958,$L$6)&lt;&gt;"",TRIM(LEFT(INDEX($A958:$J958,$L$6),FIND("(",INDEX($A958:$J958,$L$6)&amp;"(")-1)),L957)</f>
        <v>Building Value Proposition</v>
      </c>
      <c r="M958" s="37" t="str">
        <f aca="false">IF(INDEX($A958:$J958,$M$6)="","",INDEX($A958:$J958,$M$6)&amp;"")</f>
        <v/>
      </c>
      <c r="N958" s="37" t="str">
        <f aca="false">IF($M958="","",TRIM(INDEX($A958:$J958,$N$6)&amp;""))</f>
        <v/>
      </c>
      <c r="O958" s="37" t="str">
        <f aca="false">IF($M958="","",TRIM(INDEX($A958:$J958,$O$6)&amp;""))</f>
        <v/>
      </c>
      <c r="P958" s="37" t="str">
        <f aca="false">IF($M958="","",IFERROR(IF(INDEX(Settings!$B$41:$B$50,MATCH(O958,Settings!$A$41:$A$50,0))&amp;""="","UNMAPPED",INDEX(Settings!$B$41:$B$50,MATCH(O958,Settings!$A$41:$A$50,0))&amp;""),"UNMAPPED"))</f>
        <v/>
      </c>
      <c r="Q958" s="38" t="n">
        <f aca="false">IF($M958="",0,N(INDEX($A958:$J958,$Q$6)))</f>
        <v>0</v>
      </c>
      <c r="R958" s="39" t="str">
        <f aca="false">IF($M958="","",INDEX($A958:$J958,$R$6))</f>
        <v/>
      </c>
      <c r="S958" s="37" t="str">
        <f aca="false">IF($M958="","",IFERROR(INDEX(Settings!$B$27:$B$36,MATCH(L958,Settings!$A$27:$A$36,0))&amp;"","UNMAPPED"))</f>
        <v/>
      </c>
      <c r="T958" s="37" t="str">
        <f aca="false">IF($M958="","",IF(NOT(ISNUMBER(R958)),"NO DATE",IF(S958="Won",IF(R958&gt;Settings!$B$5,"Backlog","Delivered"),IF(S958="Open",IF(R958&gt;Settings!$B$5,"Pipeline","Overdue"),IF(S958="Lost","Lost","UNMAPPED")))))</f>
        <v/>
      </c>
      <c r="U958" s="40" t="n">
        <f aca="false">IF(T958="Backlog",1,IF(OR(T958="Pipeline",T958="Overdue"),N(INDEX(Settings!$C$27:$C$36,MATCH(L958,Settings!$A$27:$A$36,0))),0))</f>
        <v>0</v>
      </c>
      <c r="V958" s="38" t="n">
        <f aca="false">Q958*U958</f>
        <v>0</v>
      </c>
      <c r="W958" s="41" t="str">
        <f aca="false">IF($M958="","",IF(T958="Overdue",IF(Settings!$B$8="Yes",Settings!$B$7,""),IF(ISNUMBER(R958),DATE(YEAR(R958),MONTH(R958),1),"")))</f>
        <v/>
      </c>
      <c r="X958" s="38" t="n">
        <f aca="false">IF(AND(OR(T958="Backlog",T958="Pipeline",T958="Overdue"),ISNUMBER(W958)),IF(W958&lt;=Settings!$B$6,V958,0),0)</f>
        <v>0</v>
      </c>
      <c r="Y958" s="38" t="n">
        <f aca="false">IF(AND(OR(T958="Backlog",T958="Pipeline",T958="Overdue"),ISNUMBER(W958)),IF(W958&lt;=Settings!$B$6,Q958,0),0)</f>
        <v>0</v>
      </c>
      <c r="Z958" s="38" t="n">
        <f aca="false">IF(Y958=0,0,IF(T958="Backlog",Q958,Q958*Dashboard!$C$10))</f>
        <v>0</v>
      </c>
      <c r="AA958" s="37" t="n">
        <f aca="false">IF($N958="",0,IF(COUNTIF(Dashboard!$C$13:$C$22,$N958)&gt;0,1,0))</f>
        <v>0</v>
      </c>
      <c r="AB958" s="37" t="str">
        <f aca="false">IF($N958="","",IF(COUNTIF($N$8:$N958,$N958)=1,MAX($AB$7:$AB957)+1,""))</f>
        <v/>
      </c>
    </row>
    <row r="959" customFormat="false" ht="15" hidden="false" customHeight="false" outlineLevel="0" collapsed="false">
      <c r="L959" s="37" t="str">
        <f aca="false">IF(INDEX($A959:$J959,$L$6)&lt;&gt;"",TRIM(LEFT(INDEX($A959:$J959,$L$6),FIND("(",INDEX($A959:$J959,$L$6)&amp;"(")-1)),L958)</f>
        <v>Building Value Proposition</v>
      </c>
      <c r="M959" s="37" t="str">
        <f aca="false">IF(INDEX($A959:$J959,$M$6)="","",INDEX($A959:$J959,$M$6)&amp;"")</f>
        <v/>
      </c>
      <c r="N959" s="37" t="str">
        <f aca="false">IF($M959="","",TRIM(INDEX($A959:$J959,$N$6)&amp;""))</f>
        <v/>
      </c>
      <c r="O959" s="37" t="str">
        <f aca="false">IF($M959="","",TRIM(INDEX($A959:$J959,$O$6)&amp;""))</f>
        <v/>
      </c>
      <c r="P959" s="37" t="str">
        <f aca="false">IF($M959="","",IFERROR(IF(INDEX(Settings!$B$41:$B$50,MATCH(O959,Settings!$A$41:$A$50,0))&amp;""="","UNMAPPED",INDEX(Settings!$B$41:$B$50,MATCH(O959,Settings!$A$41:$A$50,0))&amp;""),"UNMAPPED"))</f>
        <v/>
      </c>
      <c r="Q959" s="38" t="n">
        <f aca="false">IF($M959="",0,N(INDEX($A959:$J959,$Q$6)))</f>
        <v>0</v>
      </c>
      <c r="R959" s="39" t="str">
        <f aca="false">IF($M959="","",INDEX($A959:$J959,$R$6))</f>
        <v/>
      </c>
      <c r="S959" s="37" t="str">
        <f aca="false">IF($M959="","",IFERROR(INDEX(Settings!$B$27:$B$36,MATCH(L959,Settings!$A$27:$A$36,0))&amp;"","UNMAPPED"))</f>
        <v/>
      </c>
      <c r="T959" s="37" t="str">
        <f aca="false">IF($M959="","",IF(NOT(ISNUMBER(R959)),"NO DATE",IF(S959="Won",IF(R959&gt;Settings!$B$5,"Backlog","Delivered"),IF(S959="Open",IF(R959&gt;Settings!$B$5,"Pipeline","Overdue"),IF(S959="Lost","Lost","UNMAPPED")))))</f>
        <v/>
      </c>
      <c r="U959" s="40" t="n">
        <f aca="false">IF(T959="Backlog",1,IF(OR(T959="Pipeline",T959="Overdue"),N(INDEX(Settings!$C$27:$C$36,MATCH(L959,Settings!$A$27:$A$36,0))),0))</f>
        <v>0</v>
      </c>
      <c r="V959" s="38" t="n">
        <f aca="false">Q959*U959</f>
        <v>0</v>
      </c>
      <c r="W959" s="41" t="str">
        <f aca="false">IF($M959="","",IF(T959="Overdue",IF(Settings!$B$8="Yes",Settings!$B$7,""),IF(ISNUMBER(R959),DATE(YEAR(R959),MONTH(R959),1),"")))</f>
        <v/>
      </c>
      <c r="X959" s="38" t="n">
        <f aca="false">IF(AND(OR(T959="Backlog",T959="Pipeline",T959="Overdue"),ISNUMBER(W959)),IF(W959&lt;=Settings!$B$6,V959,0),0)</f>
        <v>0</v>
      </c>
      <c r="Y959" s="38" t="n">
        <f aca="false">IF(AND(OR(T959="Backlog",T959="Pipeline",T959="Overdue"),ISNUMBER(W959)),IF(W959&lt;=Settings!$B$6,Q959,0),0)</f>
        <v>0</v>
      </c>
      <c r="Z959" s="38" t="n">
        <f aca="false">IF(Y959=0,0,IF(T959="Backlog",Q959,Q959*Dashboard!$C$10))</f>
        <v>0</v>
      </c>
      <c r="AA959" s="37" t="n">
        <f aca="false">IF($N959="",0,IF(COUNTIF(Dashboard!$C$13:$C$22,$N959)&gt;0,1,0))</f>
        <v>0</v>
      </c>
      <c r="AB959" s="37" t="str">
        <f aca="false">IF($N959="","",IF(COUNTIF($N$8:$N959,$N959)=1,MAX($AB$7:$AB958)+1,""))</f>
        <v/>
      </c>
    </row>
    <row r="960" customFormat="false" ht="15" hidden="false" customHeight="false" outlineLevel="0" collapsed="false">
      <c r="L960" s="37" t="str">
        <f aca="false">IF(INDEX($A960:$J960,$L$6)&lt;&gt;"",TRIM(LEFT(INDEX($A960:$J960,$L$6),FIND("(",INDEX($A960:$J960,$L$6)&amp;"(")-1)),L959)</f>
        <v>Building Value Proposition</v>
      </c>
      <c r="M960" s="37" t="str">
        <f aca="false">IF(INDEX($A960:$J960,$M$6)="","",INDEX($A960:$J960,$M$6)&amp;"")</f>
        <v/>
      </c>
      <c r="N960" s="37" t="str">
        <f aca="false">IF($M960="","",TRIM(INDEX($A960:$J960,$N$6)&amp;""))</f>
        <v/>
      </c>
      <c r="O960" s="37" t="str">
        <f aca="false">IF($M960="","",TRIM(INDEX($A960:$J960,$O$6)&amp;""))</f>
        <v/>
      </c>
      <c r="P960" s="37" t="str">
        <f aca="false">IF($M960="","",IFERROR(IF(INDEX(Settings!$B$41:$B$50,MATCH(O960,Settings!$A$41:$A$50,0))&amp;""="","UNMAPPED",INDEX(Settings!$B$41:$B$50,MATCH(O960,Settings!$A$41:$A$50,0))&amp;""),"UNMAPPED"))</f>
        <v/>
      </c>
      <c r="Q960" s="38" t="n">
        <f aca="false">IF($M960="",0,N(INDEX($A960:$J960,$Q$6)))</f>
        <v>0</v>
      </c>
      <c r="R960" s="39" t="str">
        <f aca="false">IF($M960="","",INDEX($A960:$J960,$R$6))</f>
        <v/>
      </c>
      <c r="S960" s="37" t="str">
        <f aca="false">IF($M960="","",IFERROR(INDEX(Settings!$B$27:$B$36,MATCH(L960,Settings!$A$27:$A$36,0))&amp;"","UNMAPPED"))</f>
        <v/>
      </c>
      <c r="T960" s="37" t="str">
        <f aca="false">IF($M960="","",IF(NOT(ISNUMBER(R960)),"NO DATE",IF(S960="Won",IF(R960&gt;Settings!$B$5,"Backlog","Delivered"),IF(S960="Open",IF(R960&gt;Settings!$B$5,"Pipeline","Overdue"),IF(S960="Lost","Lost","UNMAPPED")))))</f>
        <v/>
      </c>
      <c r="U960" s="40" t="n">
        <f aca="false">IF(T960="Backlog",1,IF(OR(T960="Pipeline",T960="Overdue"),N(INDEX(Settings!$C$27:$C$36,MATCH(L960,Settings!$A$27:$A$36,0))),0))</f>
        <v>0</v>
      </c>
      <c r="V960" s="38" t="n">
        <f aca="false">Q960*U960</f>
        <v>0</v>
      </c>
      <c r="W960" s="41" t="str">
        <f aca="false">IF($M960="","",IF(T960="Overdue",IF(Settings!$B$8="Yes",Settings!$B$7,""),IF(ISNUMBER(R960),DATE(YEAR(R960),MONTH(R960),1),"")))</f>
        <v/>
      </c>
      <c r="X960" s="38" t="n">
        <f aca="false">IF(AND(OR(T960="Backlog",T960="Pipeline",T960="Overdue"),ISNUMBER(W960)),IF(W960&lt;=Settings!$B$6,V960,0),0)</f>
        <v>0</v>
      </c>
      <c r="Y960" s="38" t="n">
        <f aca="false">IF(AND(OR(T960="Backlog",T960="Pipeline",T960="Overdue"),ISNUMBER(W960)),IF(W960&lt;=Settings!$B$6,Q960,0),0)</f>
        <v>0</v>
      </c>
      <c r="Z960" s="38" t="n">
        <f aca="false">IF(Y960=0,0,IF(T960="Backlog",Q960,Q960*Dashboard!$C$10))</f>
        <v>0</v>
      </c>
      <c r="AA960" s="37" t="n">
        <f aca="false">IF($N960="",0,IF(COUNTIF(Dashboard!$C$13:$C$22,$N960)&gt;0,1,0))</f>
        <v>0</v>
      </c>
      <c r="AB960" s="37" t="str">
        <f aca="false">IF($N960="","",IF(COUNTIF($N$8:$N960,$N960)=1,MAX($AB$7:$AB959)+1,""))</f>
        <v/>
      </c>
    </row>
    <row r="961" customFormat="false" ht="15" hidden="false" customHeight="false" outlineLevel="0" collapsed="false">
      <c r="L961" s="37" t="str">
        <f aca="false">IF(INDEX($A961:$J961,$L$6)&lt;&gt;"",TRIM(LEFT(INDEX($A961:$J961,$L$6),FIND("(",INDEX($A961:$J961,$L$6)&amp;"(")-1)),L960)</f>
        <v>Building Value Proposition</v>
      </c>
      <c r="M961" s="37" t="str">
        <f aca="false">IF(INDEX($A961:$J961,$M$6)="","",INDEX($A961:$J961,$M$6)&amp;"")</f>
        <v/>
      </c>
      <c r="N961" s="37" t="str">
        <f aca="false">IF($M961="","",TRIM(INDEX($A961:$J961,$N$6)&amp;""))</f>
        <v/>
      </c>
      <c r="O961" s="37" t="str">
        <f aca="false">IF($M961="","",TRIM(INDEX($A961:$J961,$O$6)&amp;""))</f>
        <v/>
      </c>
      <c r="P961" s="37" t="str">
        <f aca="false">IF($M961="","",IFERROR(IF(INDEX(Settings!$B$41:$B$50,MATCH(O961,Settings!$A$41:$A$50,0))&amp;""="","UNMAPPED",INDEX(Settings!$B$41:$B$50,MATCH(O961,Settings!$A$41:$A$50,0))&amp;""),"UNMAPPED"))</f>
        <v/>
      </c>
      <c r="Q961" s="38" t="n">
        <f aca="false">IF($M961="",0,N(INDEX($A961:$J961,$Q$6)))</f>
        <v>0</v>
      </c>
      <c r="R961" s="39" t="str">
        <f aca="false">IF($M961="","",INDEX($A961:$J961,$R$6))</f>
        <v/>
      </c>
      <c r="S961" s="37" t="str">
        <f aca="false">IF($M961="","",IFERROR(INDEX(Settings!$B$27:$B$36,MATCH(L961,Settings!$A$27:$A$36,0))&amp;"","UNMAPPED"))</f>
        <v/>
      </c>
      <c r="T961" s="37" t="str">
        <f aca="false">IF($M961="","",IF(NOT(ISNUMBER(R961)),"NO DATE",IF(S961="Won",IF(R961&gt;Settings!$B$5,"Backlog","Delivered"),IF(S961="Open",IF(R961&gt;Settings!$B$5,"Pipeline","Overdue"),IF(S961="Lost","Lost","UNMAPPED")))))</f>
        <v/>
      </c>
      <c r="U961" s="40" t="n">
        <f aca="false">IF(T961="Backlog",1,IF(OR(T961="Pipeline",T961="Overdue"),N(INDEX(Settings!$C$27:$C$36,MATCH(L961,Settings!$A$27:$A$36,0))),0))</f>
        <v>0</v>
      </c>
      <c r="V961" s="38" t="n">
        <f aca="false">Q961*U961</f>
        <v>0</v>
      </c>
      <c r="W961" s="41" t="str">
        <f aca="false">IF($M961="","",IF(T961="Overdue",IF(Settings!$B$8="Yes",Settings!$B$7,""),IF(ISNUMBER(R961),DATE(YEAR(R961),MONTH(R961),1),"")))</f>
        <v/>
      </c>
      <c r="X961" s="38" t="n">
        <f aca="false">IF(AND(OR(T961="Backlog",T961="Pipeline",T961="Overdue"),ISNUMBER(W961)),IF(W961&lt;=Settings!$B$6,V961,0),0)</f>
        <v>0</v>
      </c>
      <c r="Y961" s="38" t="n">
        <f aca="false">IF(AND(OR(T961="Backlog",T961="Pipeline",T961="Overdue"),ISNUMBER(W961)),IF(W961&lt;=Settings!$B$6,Q961,0),0)</f>
        <v>0</v>
      </c>
      <c r="Z961" s="38" t="n">
        <f aca="false">IF(Y961=0,0,IF(T961="Backlog",Q961,Q961*Dashboard!$C$10))</f>
        <v>0</v>
      </c>
      <c r="AA961" s="37" t="n">
        <f aca="false">IF($N961="",0,IF(COUNTIF(Dashboard!$C$13:$C$22,$N961)&gt;0,1,0))</f>
        <v>0</v>
      </c>
      <c r="AB961" s="37" t="str">
        <f aca="false">IF($N961="","",IF(COUNTIF($N$8:$N961,$N961)=1,MAX($AB$7:$AB960)+1,""))</f>
        <v/>
      </c>
    </row>
    <row r="962" customFormat="false" ht="15" hidden="false" customHeight="false" outlineLevel="0" collapsed="false">
      <c r="L962" s="37" t="str">
        <f aca="false">IF(INDEX($A962:$J962,$L$6)&lt;&gt;"",TRIM(LEFT(INDEX($A962:$J962,$L$6),FIND("(",INDEX($A962:$J962,$L$6)&amp;"(")-1)),L961)</f>
        <v>Building Value Proposition</v>
      </c>
      <c r="M962" s="37" t="str">
        <f aca="false">IF(INDEX($A962:$J962,$M$6)="","",INDEX($A962:$J962,$M$6)&amp;"")</f>
        <v/>
      </c>
      <c r="N962" s="37" t="str">
        <f aca="false">IF($M962="","",TRIM(INDEX($A962:$J962,$N$6)&amp;""))</f>
        <v/>
      </c>
      <c r="O962" s="37" t="str">
        <f aca="false">IF($M962="","",TRIM(INDEX($A962:$J962,$O$6)&amp;""))</f>
        <v/>
      </c>
      <c r="P962" s="37" t="str">
        <f aca="false">IF($M962="","",IFERROR(IF(INDEX(Settings!$B$41:$B$50,MATCH(O962,Settings!$A$41:$A$50,0))&amp;""="","UNMAPPED",INDEX(Settings!$B$41:$B$50,MATCH(O962,Settings!$A$41:$A$50,0))&amp;""),"UNMAPPED"))</f>
        <v/>
      </c>
      <c r="Q962" s="38" t="n">
        <f aca="false">IF($M962="",0,N(INDEX($A962:$J962,$Q$6)))</f>
        <v>0</v>
      </c>
      <c r="R962" s="39" t="str">
        <f aca="false">IF($M962="","",INDEX($A962:$J962,$R$6))</f>
        <v/>
      </c>
      <c r="S962" s="37" t="str">
        <f aca="false">IF($M962="","",IFERROR(INDEX(Settings!$B$27:$B$36,MATCH(L962,Settings!$A$27:$A$36,0))&amp;"","UNMAPPED"))</f>
        <v/>
      </c>
      <c r="T962" s="37" t="str">
        <f aca="false">IF($M962="","",IF(NOT(ISNUMBER(R962)),"NO DATE",IF(S962="Won",IF(R962&gt;Settings!$B$5,"Backlog","Delivered"),IF(S962="Open",IF(R962&gt;Settings!$B$5,"Pipeline","Overdue"),IF(S962="Lost","Lost","UNMAPPED")))))</f>
        <v/>
      </c>
      <c r="U962" s="40" t="n">
        <f aca="false">IF(T962="Backlog",1,IF(OR(T962="Pipeline",T962="Overdue"),N(INDEX(Settings!$C$27:$C$36,MATCH(L962,Settings!$A$27:$A$36,0))),0))</f>
        <v>0</v>
      </c>
      <c r="V962" s="38" t="n">
        <f aca="false">Q962*U962</f>
        <v>0</v>
      </c>
      <c r="W962" s="41" t="str">
        <f aca="false">IF($M962="","",IF(T962="Overdue",IF(Settings!$B$8="Yes",Settings!$B$7,""),IF(ISNUMBER(R962),DATE(YEAR(R962),MONTH(R962),1),"")))</f>
        <v/>
      </c>
      <c r="X962" s="38" t="n">
        <f aca="false">IF(AND(OR(T962="Backlog",T962="Pipeline",T962="Overdue"),ISNUMBER(W962)),IF(W962&lt;=Settings!$B$6,V962,0),0)</f>
        <v>0</v>
      </c>
      <c r="Y962" s="38" t="n">
        <f aca="false">IF(AND(OR(T962="Backlog",T962="Pipeline",T962="Overdue"),ISNUMBER(W962)),IF(W962&lt;=Settings!$B$6,Q962,0),0)</f>
        <v>0</v>
      </c>
      <c r="Z962" s="38" t="n">
        <f aca="false">IF(Y962=0,0,IF(T962="Backlog",Q962,Q962*Dashboard!$C$10))</f>
        <v>0</v>
      </c>
      <c r="AA962" s="37" t="n">
        <f aca="false">IF($N962="",0,IF(COUNTIF(Dashboard!$C$13:$C$22,$N962)&gt;0,1,0))</f>
        <v>0</v>
      </c>
      <c r="AB962" s="37" t="str">
        <f aca="false">IF($N962="","",IF(COUNTIF($N$8:$N962,$N962)=1,MAX($AB$7:$AB961)+1,""))</f>
        <v/>
      </c>
    </row>
    <row r="963" customFormat="false" ht="15" hidden="false" customHeight="false" outlineLevel="0" collapsed="false">
      <c r="L963" s="37" t="str">
        <f aca="false">IF(INDEX($A963:$J963,$L$6)&lt;&gt;"",TRIM(LEFT(INDEX($A963:$J963,$L$6),FIND("(",INDEX($A963:$J963,$L$6)&amp;"(")-1)),L962)</f>
        <v>Building Value Proposition</v>
      </c>
      <c r="M963" s="37" t="str">
        <f aca="false">IF(INDEX($A963:$J963,$M$6)="","",INDEX($A963:$J963,$M$6)&amp;"")</f>
        <v/>
      </c>
      <c r="N963" s="37" t="str">
        <f aca="false">IF($M963="","",TRIM(INDEX($A963:$J963,$N$6)&amp;""))</f>
        <v/>
      </c>
      <c r="O963" s="37" t="str">
        <f aca="false">IF($M963="","",TRIM(INDEX($A963:$J963,$O$6)&amp;""))</f>
        <v/>
      </c>
      <c r="P963" s="37" t="str">
        <f aca="false">IF($M963="","",IFERROR(IF(INDEX(Settings!$B$41:$B$50,MATCH(O963,Settings!$A$41:$A$50,0))&amp;""="","UNMAPPED",INDEX(Settings!$B$41:$B$50,MATCH(O963,Settings!$A$41:$A$50,0))&amp;""),"UNMAPPED"))</f>
        <v/>
      </c>
      <c r="Q963" s="38" t="n">
        <f aca="false">IF($M963="",0,N(INDEX($A963:$J963,$Q$6)))</f>
        <v>0</v>
      </c>
      <c r="R963" s="39" t="str">
        <f aca="false">IF($M963="","",INDEX($A963:$J963,$R$6))</f>
        <v/>
      </c>
      <c r="S963" s="37" t="str">
        <f aca="false">IF($M963="","",IFERROR(INDEX(Settings!$B$27:$B$36,MATCH(L963,Settings!$A$27:$A$36,0))&amp;"","UNMAPPED"))</f>
        <v/>
      </c>
      <c r="T963" s="37" t="str">
        <f aca="false">IF($M963="","",IF(NOT(ISNUMBER(R963)),"NO DATE",IF(S963="Won",IF(R963&gt;Settings!$B$5,"Backlog","Delivered"),IF(S963="Open",IF(R963&gt;Settings!$B$5,"Pipeline","Overdue"),IF(S963="Lost","Lost","UNMAPPED")))))</f>
        <v/>
      </c>
      <c r="U963" s="40" t="n">
        <f aca="false">IF(T963="Backlog",1,IF(OR(T963="Pipeline",T963="Overdue"),N(INDEX(Settings!$C$27:$C$36,MATCH(L963,Settings!$A$27:$A$36,0))),0))</f>
        <v>0</v>
      </c>
      <c r="V963" s="38" t="n">
        <f aca="false">Q963*U963</f>
        <v>0</v>
      </c>
      <c r="W963" s="41" t="str">
        <f aca="false">IF($M963="","",IF(T963="Overdue",IF(Settings!$B$8="Yes",Settings!$B$7,""),IF(ISNUMBER(R963),DATE(YEAR(R963),MONTH(R963),1),"")))</f>
        <v/>
      </c>
      <c r="X963" s="38" t="n">
        <f aca="false">IF(AND(OR(T963="Backlog",T963="Pipeline",T963="Overdue"),ISNUMBER(W963)),IF(W963&lt;=Settings!$B$6,V963,0),0)</f>
        <v>0</v>
      </c>
      <c r="Y963" s="38" t="n">
        <f aca="false">IF(AND(OR(T963="Backlog",T963="Pipeline",T963="Overdue"),ISNUMBER(W963)),IF(W963&lt;=Settings!$B$6,Q963,0),0)</f>
        <v>0</v>
      </c>
      <c r="Z963" s="38" t="n">
        <f aca="false">IF(Y963=0,0,IF(T963="Backlog",Q963,Q963*Dashboard!$C$10))</f>
        <v>0</v>
      </c>
      <c r="AA963" s="37" t="n">
        <f aca="false">IF($N963="",0,IF(COUNTIF(Dashboard!$C$13:$C$22,$N963)&gt;0,1,0))</f>
        <v>0</v>
      </c>
      <c r="AB963" s="37" t="str">
        <f aca="false">IF($N963="","",IF(COUNTIF($N$8:$N963,$N963)=1,MAX($AB$7:$AB962)+1,""))</f>
        <v/>
      </c>
    </row>
    <row r="964" customFormat="false" ht="15" hidden="false" customHeight="false" outlineLevel="0" collapsed="false">
      <c r="L964" s="37" t="str">
        <f aca="false">IF(INDEX($A964:$J964,$L$6)&lt;&gt;"",TRIM(LEFT(INDEX($A964:$J964,$L$6),FIND("(",INDEX($A964:$J964,$L$6)&amp;"(")-1)),L963)</f>
        <v>Building Value Proposition</v>
      </c>
      <c r="M964" s="37" t="str">
        <f aca="false">IF(INDEX($A964:$J964,$M$6)="","",INDEX($A964:$J964,$M$6)&amp;"")</f>
        <v/>
      </c>
      <c r="N964" s="37" t="str">
        <f aca="false">IF($M964="","",TRIM(INDEX($A964:$J964,$N$6)&amp;""))</f>
        <v/>
      </c>
      <c r="O964" s="37" t="str">
        <f aca="false">IF($M964="","",TRIM(INDEX($A964:$J964,$O$6)&amp;""))</f>
        <v/>
      </c>
      <c r="P964" s="37" t="str">
        <f aca="false">IF($M964="","",IFERROR(IF(INDEX(Settings!$B$41:$B$50,MATCH(O964,Settings!$A$41:$A$50,0))&amp;""="","UNMAPPED",INDEX(Settings!$B$41:$B$50,MATCH(O964,Settings!$A$41:$A$50,0))&amp;""),"UNMAPPED"))</f>
        <v/>
      </c>
      <c r="Q964" s="38" t="n">
        <f aca="false">IF($M964="",0,N(INDEX($A964:$J964,$Q$6)))</f>
        <v>0</v>
      </c>
      <c r="R964" s="39" t="str">
        <f aca="false">IF($M964="","",INDEX($A964:$J964,$R$6))</f>
        <v/>
      </c>
      <c r="S964" s="37" t="str">
        <f aca="false">IF($M964="","",IFERROR(INDEX(Settings!$B$27:$B$36,MATCH(L964,Settings!$A$27:$A$36,0))&amp;"","UNMAPPED"))</f>
        <v/>
      </c>
      <c r="T964" s="37" t="str">
        <f aca="false">IF($M964="","",IF(NOT(ISNUMBER(R964)),"NO DATE",IF(S964="Won",IF(R964&gt;Settings!$B$5,"Backlog","Delivered"),IF(S964="Open",IF(R964&gt;Settings!$B$5,"Pipeline","Overdue"),IF(S964="Lost","Lost","UNMAPPED")))))</f>
        <v/>
      </c>
      <c r="U964" s="40" t="n">
        <f aca="false">IF(T964="Backlog",1,IF(OR(T964="Pipeline",T964="Overdue"),N(INDEX(Settings!$C$27:$C$36,MATCH(L964,Settings!$A$27:$A$36,0))),0))</f>
        <v>0</v>
      </c>
      <c r="V964" s="38" t="n">
        <f aca="false">Q964*U964</f>
        <v>0</v>
      </c>
      <c r="W964" s="41" t="str">
        <f aca="false">IF($M964="","",IF(T964="Overdue",IF(Settings!$B$8="Yes",Settings!$B$7,""),IF(ISNUMBER(R964),DATE(YEAR(R964),MONTH(R964),1),"")))</f>
        <v/>
      </c>
      <c r="X964" s="38" t="n">
        <f aca="false">IF(AND(OR(T964="Backlog",T964="Pipeline",T964="Overdue"),ISNUMBER(W964)),IF(W964&lt;=Settings!$B$6,V964,0),0)</f>
        <v>0</v>
      </c>
      <c r="Y964" s="38" t="n">
        <f aca="false">IF(AND(OR(T964="Backlog",T964="Pipeline",T964="Overdue"),ISNUMBER(W964)),IF(W964&lt;=Settings!$B$6,Q964,0),0)</f>
        <v>0</v>
      </c>
      <c r="Z964" s="38" t="n">
        <f aca="false">IF(Y964=0,0,IF(T964="Backlog",Q964,Q964*Dashboard!$C$10))</f>
        <v>0</v>
      </c>
      <c r="AA964" s="37" t="n">
        <f aca="false">IF($N964="",0,IF(COUNTIF(Dashboard!$C$13:$C$22,$N964)&gt;0,1,0))</f>
        <v>0</v>
      </c>
      <c r="AB964" s="37" t="str">
        <f aca="false">IF($N964="","",IF(COUNTIF($N$8:$N964,$N964)=1,MAX($AB$7:$AB963)+1,""))</f>
        <v/>
      </c>
    </row>
    <row r="965" customFormat="false" ht="15" hidden="false" customHeight="false" outlineLevel="0" collapsed="false">
      <c r="L965" s="37" t="str">
        <f aca="false">IF(INDEX($A965:$J965,$L$6)&lt;&gt;"",TRIM(LEFT(INDEX($A965:$J965,$L$6),FIND("(",INDEX($A965:$J965,$L$6)&amp;"(")-1)),L964)</f>
        <v>Building Value Proposition</v>
      </c>
      <c r="M965" s="37" t="str">
        <f aca="false">IF(INDEX($A965:$J965,$M$6)="","",INDEX($A965:$J965,$M$6)&amp;"")</f>
        <v/>
      </c>
      <c r="N965" s="37" t="str">
        <f aca="false">IF($M965="","",TRIM(INDEX($A965:$J965,$N$6)&amp;""))</f>
        <v/>
      </c>
      <c r="O965" s="37" t="str">
        <f aca="false">IF($M965="","",TRIM(INDEX($A965:$J965,$O$6)&amp;""))</f>
        <v/>
      </c>
      <c r="P965" s="37" t="str">
        <f aca="false">IF($M965="","",IFERROR(IF(INDEX(Settings!$B$41:$B$50,MATCH(O965,Settings!$A$41:$A$50,0))&amp;""="","UNMAPPED",INDEX(Settings!$B$41:$B$50,MATCH(O965,Settings!$A$41:$A$50,0))&amp;""),"UNMAPPED"))</f>
        <v/>
      </c>
      <c r="Q965" s="38" t="n">
        <f aca="false">IF($M965="",0,N(INDEX($A965:$J965,$Q$6)))</f>
        <v>0</v>
      </c>
      <c r="R965" s="39" t="str">
        <f aca="false">IF($M965="","",INDEX($A965:$J965,$R$6))</f>
        <v/>
      </c>
      <c r="S965" s="37" t="str">
        <f aca="false">IF($M965="","",IFERROR(INDEX(Settings!$B$27:$B$36,MATCH(L965,Settings!$A$27:$A$36,0))&amp;"","UNMAPPED"))</f>
        <v/>
      </c>
      <c r="T965" s="37" t="str">
        <f aca="false">IF($M965="","",IF(NOT(ISNUMBER(R965)),"NO DATE",IF(S965="Won",IF(R965&gt;Settings!$B$5,"Backlog","Delivered"),IF(S965="Open",IF(R965&gt;Settings!$B$5,"Pipeline","Overdue"),IF(S965="Lost","Lost","UNMAPPED")))))</f>
        <v/>
      </c>
      <c r="U965" s="40" t="n">
        <f aca="false">IF(T965="Backlog",1,IF(OR(T965="Pipeline",T965="Overdue"),N(INDEX(Settings!$C$27:$C$36,MATCH(L965,Settings!$A$27:$A$36,0))),0))</f>
        <v>0</v>
      </c>
      <c r="V965" s="38" t="n">
        <f aca="false">Q965*U965</f>
        <v>0</v>
      </c>
      <c r="W965" s="41" t="str">
        <f aca="false">IF($M965="","",IF(T965="Overdue",IF(Settings!$B$8="Yes",Settings!$B$7,""),IF(ISNUMBER(R965),DATE(YEAR(R965),MONTH(R965),1),"")))</f>
        <v/>
      </c>
      <c r="X965" s="38" t="n">
        <f aca="false">IF(AND(OR(T965="Backlog",T965="Pipeline",T965="Overdue"),ISNUMBER(W965)),IF(W965&lt;=Settings!$B$6,V965,0),0)</f>
        <v>0</v>
      </c>
      <c r="Y965" s="38" t="n">
        <f aca="false">IF(AND(OR(T965="Backlog",T965="Pipeline",T965="Overdue"),ISNUMBER(W965)),IF(W965&lt;=Settings!$B$6,Q965,0),0)</f>
        <v>0</v>
      </c>
      <c r="Z965" s="38" t="n">
        <f aca="false">IF(Y965=0,0,IF(T965="Backlog",Q965,Q965*Dashboard!$C$10))</f>
        <v>0</v>
      </c>
      <c r="AA965" s="37" t="n">
        <f aca="false">IF($N965="",0,IF(COUNTIF(Dashboard!$C$13:$C$22,$N965)&gt;0,1,0))</f>
        <v>0</v>
      </c>
      <c r="AB965" s="37" t="str">
        <f aca="false">IF($N965="","",IF(COUNTIF($N$8:$N965,$N965)=1,MAX($AB$7:$AB964)+1,""))</f>
        <v/>
      </c>
    </row>
    <row r="966" customFormat="false" ht="15" hidden="false" customHeight="false" outlineLevel="0" collapsed="false">
      <c r="L966" s="37" t="str">
        <f aca="false">IF(INDEX($A966:$J966,$L$6)&lt;&gt;"",TRIM(LEFT(INDEX($A966:$J966,$L$6),FIND("(",INDEX($A966:$J966,$L$6)&amp;"(")-1)),L965)</f>
        <v>Building Value Proposition</v>
      </c>
      <c r="M966" s="37" t="str">
        <f aca="false">IF(INDEX($A966:$J966,$M$6)="","",INDEX($A966:$J966,$M$6)&amp;"")</f>
        <v/>
      </c>
      <c r="N966" s="37" t="str">
        <f aca="false">IF($M966="","",TRIM(INDEX($A966:$J966,$N$6)&amp;""))</f>
        <v/>
      </c>
      <c r="O966" s="37" t="str">
        <f aca="false">IF($M966="","",TRIM(INDEX($A966:$J966,$O$6)&amp;""))</f>
        <v/>
      </c>
      <c r="P966" s="37" t="str">
        <f aca="false">IF($M966="","",IFERROR(IF(INDEX(Settings!$B$41:$B$50,MATCH(O966,Settings!$A$41:$A$50,0))&amp;""="","UNMAPPED",INDEX(Settings!$B$41:$B$50,MATCH(O966,Settings!$A$41:$A$50,0))&amp;""),"UNMAPPED"))</f>
        <v/>
      </c>
      <c r="Q966" s="38" t="n">
        <f aca="false">IF($M966="",0,N(INDEX($A966:$J966,$Q$6)))</f>
        <v>0</v>
      </c>
      <c r="R966" s="39" t="str">
        <f aca="false">IF($M966="","",INDEX($A966:$J966,$R$6))</f>
        <v/>
      </c>
      <c r="S966" s="37" t="str">
        <f aca="false">IF($M966="","",IFERROR(INDEX(Settings!$B$27:$B$36,MATCH(L966,Settings!$A$27:$A$36,0))&amp;"","UNMAPPED"))</f>
        <v/>
      </c>
      <c r="T966" s="37" t="str">
        <f aca="false">IF($M966="","",IF(NOT(ISNUMBER(R966)),"NO DATE",IF(S966="Won",IF(R966&gt;Settings!$B$5,"Backlog","Delivered"),IF(S966="Open",IF(R966&gt;Settings!$B$5,"Pipeline","Overdue"),IF(S966="Lost","Lost","UNMAPPED")))))</f>
        <v/>
      </c>
      <c r="U966" s="40" t="n">
        <f aca="false">IF(T966="Backlog",1,IF(OR(T966="Pipeline",T966="Overdue"),N(INDEX(Settings!$C$27:$C$36,MATCH(L966,Settings!$A$27:$A$36,0))),0))</f>
        <v>0</v>
      </c>
      <c r="V966" s="38" t="n">
        <f aca="false">Q966*U966</f>
        <v>0</v>
      </c>
      <c r="W966" s="41" t="str">
        <f aca="false">IF($M966="","",IF(T966="Overdue",IF(Settings!$B$8="Yes",Settings!$B$7,""),IF(ISNUMBER(R966),DATE(YEAR(R966),MONTH(R966),1),"")))</f>
        <v/>
      </c>
      <c r="X966" s="38" t="n">
        <f aca="false">IF(AND(OR(T966="Backlog",T966="Pipeline",T966="Overdue"),ISNUMBER(W966)),IF(W966&lt;=Settings!$B$6,V966,0),0)</f>
        <v>0</v>
      </c>
      <c r="Y966" s="38" t="n">
        <f aca="false">IF(AND(OR(T966="Backlog",T966="Pipeline",T966="Overdue"),ISNUMBER(W966)),IF(W966&lt;=Settings!$B$6,Q966,0),0)</f>
        <v>0</v>
      </c>
      <c r="Z966" s="38" t="n">
        <f aca="false">IF(Y966=0,0,IF(T966="Backlog",Q966,Q966*Dashboard!$C$10))</f>
        <v>0</v>
      </c>
      <c r="AA966" s="37" t="n">
        <f aca="false">IF($N966="",0,IF(COUNTIF(Dashboard!$C$13:$C$22,$N966)&gt;0,1,0))</f>
        <v>0</v>
      </c>
      <c r="AB966" s="37" t="str">
        <f aca="false">IF($N966="","",IF(COUNTIF($N$8:$N966,$N966)=1,MAX($AB$7:$AB965)+1,""))</f>
        <v/>
      </c>
    </row>
    <row r="967" customFormat="false" ht="15" hidden="false" customHeight="false" outlineLevel="0" collapsed="false">
      <c r="L967" s="37" t="str">
        <f aca="false">IF(INDEX($A967:$J967,$L$6)&lt;&gt;"",TRIM(LEFT(INDEX($A967:$J967,$L$6),FIND("(",INDEX($A967:$J967,$L$6)&amp;"(")-1)),L966)</f>
        <v>Building Value Proposition</v>
      </c>
      <c r="M967" s="37" t="str">
        <f aca="false">IF(INDEX($A967:$J967,$M$6)="","",INDEX($A967:$J967,$M$6)&amp;"")</f>
        <v/>
      </c>
      <c r="N967" s="37" t="str">
        <f aca="false">IF($M967="","",TRIM(INDEX($A967:$J967,$N$6)&amp;""))</f>
        <v/>
      </c>
      <c r="O967" s="37" t="str">
        <f aca="false">IF($M967="","",TRIM(INDEX($A967:$J967,$O$6)&amp;""))</f>
        <v/>
      </c>
      <c r="P967" s="37" t="str">
        <f aca="false">IF($M967="","",IFERROR(IF(INDEX(Settings!$B$41:$B$50,MATCH(O967,Settings!$A$41:$A$50,0))&amp;""="","UNMAPPED",INDEX(Settings!$B$41:$B$50,MATCH(O967,Settings!$A$41:$A$50,0))&amp;""),"UNMAPPED"))</f>
        <v/>
      </c>
      <c r="Q967" s="38" t="n">
        <f aca="false">IF($M967="",0,N(INDEX($A967:$J967,$Q$6)))</f>
        <v>0</v>
      </c>
      <c r="R967" s="39" t="str">
        <f aca="false">IF($M967="","",INDEX($A967:$J967,$R$6))</f>
        <v/>
      </c>
      <c r="S967" s="37" t="str">
        <f aca="false">IF($M967="","",IFERROR(INDEX(Settings!$B$27:$B$36,MATCH(L967,Settings!$A$27:$A$36,0))&amp;"","UNMAPPED"))</f>
        <v/>
      </c>
      <c r="T967" s="37" t="str">
        <f aca="false">IF($M967="","",IF(NOT(ISNUMBER(R967)),"NO DATE",IF(S967="Won",IF(R967&gt;Settings!$B$5,"Backlog","Delivered"),IF(S967="Open",IF(R967&gt;Settings!$B$5,"Pipeline","Overdue"),IF(S967="Lost","Lost","UNMAPPED")))))</f>
        <v/>
      </c>
      <c r="U967" s="40" t="n">
        <f aca="false">IF(T967="Backlog",1,IF(OR(T967="Pipeline",T967="Overdue"),N(INDEX(Settings!$C$27:$C$36,MATCH(L967,Settings!$A$27:$A$36,0))),0))</f>
        <v>0</v>
      </c>
      <c r="V967" s="38" t="n">
        <f aca="false">Q967*U967</f>
        <v>0</v>
      </c>
      <c r="W967" s="41" t="str">
        <f aca="false">IF($M967="","",IF(T967="Overdue",IF(Settings!$B$8="Yes",Settings!$B$7,""),IF(ISNUMBER(R967),DATE(YEAR(R967),MONTH(R967),1),"")))</f>
        <v/>
      </c>
      <c r="X967" s="38" t="n">
        <f aca="false">IF(AND(OR(T967="Backlog",T967="Pipeline",T967="Overdue"),ISNUMBER(W967)),IF(W967&lt;=Settings!$B$6,V967,0),0)</f>
        <v>0</v>
      </c>
      <c r="Y967" s="38" t="n">
        <f aca="false">IF(AND(OR(T967="Backlog",T967="Pipeline",T967="Overdue"),ISNUMBER(W967)),IF(W967&lt;=Settings!$B$6,Q967,0),0)</f>
        <v>0</v>
      </c>
      <c r="Z967" s="38" t="n">
        <f aca="false">IF(Y967=0,0,IF(T967="Backlog",Q967,Q967*Dashboard!$C$10))</f>
        <v>0</v>
      </c>
      <c r="AA967" s="37" t="n">
        <f aca="false">IF($N967="",0,IF(COUNTIF(Dashboard!$C$13:$C$22,$N967)&gt;0,1,0))</f>
        <v>0</v>
      </c>
      <c r="AB967" s="37" t="str">
        <f aca="false">IF($N967="","",IF(COUNTIF($N$8:$N967,$N967)=1,MAX($AB$7:$AB966)+1,""))</f>
        <v/>
      </c>
    </row>
    <row r="968" customFormat="false" ht="15" hidden="false" customHeight="false" outlineLevel="0" collapsed="false">
      <c r="L968" s="37" t="str">
        <f aca="false">IF(INDEX($A968:$J968,$L$6)&lt;&gt;"",TRIM(LEFT(INDEX($A968:$J968,$L$6),FIND("(",INDEX($A968:$J968,$L$6)&amp;"(")-1)),L967)</f>
        <v>Building Value Proposition</v>
      </c>
      <c r="M968" s="37" t="str">
        <f aca="false">IF(INDEX($A968:$J968,$M$6)="","",INDEX($A968:$J968,$M$6)&amp;"")</f>
        <v/>
      </c>
      <c r="N968" s="37" t="str">
        <f aca="false">IF($M968="","",TRIM(INDEX($A968:$J968,$N$6)&amp;""))</f>
        <v/>
      </c>
      <c r="O968" s="37" t="str">
        <f aca="false">IF($M968="","",TRIM(INDEX($A968:$J968,$O$6)&amp;""))</f>
        <v/>
      </c>
      <c r="P968" s="37" t="str">
        <f aca="false">IF($M968="","",IFERROR(IF(INDEX(Settings!$B$41:$B$50,MATCH(O968,Settings!$A$41:$A$50,0))&amp;""="","UNMAPPED",INDEX(Settings!$B$41:$B$50,MATCH(O968,Settings!$A$41:$A$50,0))&amp;""),"UNMAPPED"))</f>
        <v/>
      </c>
      <c r="Q968" s="38" t="n">
        <f aca="false">IF($M968="",0,N(INDEX($A968:$J968,$Q$6)))</f>
        <v>0</v>
      </c>
      <c r="R968" s="39" t="str">
        <f aca="false">IF($M968="","",INDEX($A968:$J968,$R$6))</f>
        <v/>
      </c>
      <c r="S968" s="37" t="str">
        <f aca="false">IF($M968="","",IFERROR(INDEX(Settings!$B$27:$B$36,MATCH(L968,Settings!$A$27:$A$36,0))&amp;"","UNMAPPED"))</f>
        <v/>
      </c>
      <c r="T968" s="37" t="str">
        <f aca="false">IF($M968="","",IF(NOT(ISNUMBER(R968)),"NO DATE",IF(S968="Won",IF(R968&gt;Settings!$B$5,"Backlog","Delivered"),IF(S968="Open",IF(R968&gt;Settings!$B$5,"Pipeline","Overdue"),IF(S968="Lost","Lost","UNMAPPED")))))</f>
        <v/>
      </c>
      <c r="U968" s="40" t="n">
        <f aca="false">IF(T968="Backlog",1,IF(OR(T968="Pipeline",T968="Overdue"),N(INDEX(Settings!$C$27:$C$36,MATCH(L968,Settings!$A$27:$A$36,0))),0))</f>
        <v>0</v>
      </c>
      <c r="V968" s="38" t="n">
        <f aca="false">Q968*U968</f>
        <v>0</v>
      </c>
      <c r="W968" s="41" t="str">
        <f aca="false">IF($M968="","",IF(T968="Overdue",IF(Settings!$B$8="Yes",Settings!$B$7,""),IF(ISNUMBER(R968),DATE(YEAR(R968),MONTH(R968),1),"")))</f>
        <v/>
      </c>
      <c r="X968" s="38" t="n">
        <f aca="false">IF(AND(OR(T968="Backlog",T968="Pipeline",T968="Overdue"),ISNUMBER(W968)),IF(W968&lt;=Settings!$B$6,V968,0),0)</f>
        <v>0</v>
      </c>
      <c r="Y968" s="38" t="n">
        <f aca="false">IF(AND(OR(T968="Backlog",T968="Pipeline",T968="Overdue"),ISNUMBER(W968)),IF(W968&lt;=Settings!$B$6,Q968,0),0)</f>
        <v>0</v>
      </c>
      <c r="Z968" s="38" t="n">
        <f aca="false">IF(Y968=0,0,IF(T968="Backlog",Q968,Q968*Dashboard!$C$10))</f>
        <v>0</v>
      </c>
      <c r="AA968" s="37" t="n">
        <f aca="false">IF($N968="",0,IF(COUNTIF(Dashboard!$C$13:$C$22,$N968)&gt;0,1,0))</f>
        <v>0</v>
      </c>
      <c r="AB968" s="37" t="str">
        <f aca="false">IF($N968="","",IF(COUNTIF($N$8:$N968,$N968)=1,MAX($AB$7:$AB967)+1,""))</f>
        <v/>
      </c>
    </row>
    <row r="969" customFormat="false" ht="15" hidden="false" customHeight="false" outlineLevel="0" collapsed="false">
      <c r="L969" s="37" t="str">
        <f aca="false">IF(INDEX($A969:$J969,$L$6)&lt;&gt;"",TRIM(LEFT(INDEX($A969:$J969,$L$6),FIND("(",INDEX($A969:$J969,$L$6)&amp;"(")-1)),L968)</f>
        <v>Building Value Proposition</v>
      </c>
      <c r="M969" s="37" t="str">
        <f aca="false">IF(INDEX($A969:$J969,$M$6)="","",INDEX($A969:$J969,$M$6)&amp;"")</f>
        <v/>
      </c>
      <c r="N969" s="37" t="str">
        <f aca="false">IF($M969="","",TRIM(INDEX($A969:$J969,$N$6)&amp;""))</f>
        <v/>
      </c>
      <c r="O969" s="37" t="str">
        <f aca="false">IF($M969="","",TRIM(INDEX($A969:$J969,$O$6)&amp;""))</f>
        <v/>
      </c>
      <c r="P969" s="37" t="str">
        <f aca="false">IF($M969="","",IFERROR(IF(INDEX(Settings!$B$41:$B$50,MATCH(O969,Settings!$A$41:$A$50,0))&amp;""="","UNMAPPED",INDEX(Settings!$B$41:$B$50,MATCH(O969,Settings!$A$41:$A$50,0))&amp;""),"UNMAPPED"))</f>
        <v/>
      </c>
      <c r="Q969" s="38" t="n">
        <f aca="false">IF($M969="",0,N(INDEX($A969:$J969,$Q$6)))</f>
        <v>0</v>
      </c>
      <c r="R969" s="39" t="str">
        <f aca="false">IF($M969="","",INDEX($A969:$J969,$R$6))</f>
        <v/>
      </c>
      <c r="S969" s="37" t="str">
        <f aca="false">IF($M969="","",IFERROR(INDEX(Settings!$B$27:$B$36,MATCH(L969,Settings!$A$27:$A$36,0))&amp;"","UNMAPPED"))</f>
        <v/>
      </c>
      <c r="T969" s="37" t="str">
        <f aca="false">IF($M969="","",IF(NOT(ISNUMBER(R969)),"NO DATE",IF(S969="Won",IF(R969&gt;Settings!$B$5,"Backlog","Delivered"),IF(S969="Open",IF(R969&gt;Settings!$B$5,"Pipeline","Overdue"),IF(S969="Lost","Lost","UNMAPPED")))))</f>
        <v/>
      </c>
      <c r="U969" s="40" t="n">
        <f aca="false">IF(T969="Backlog",1,IF(OR(T969="Pipeline",T969="Overdue"),N(INDEX(Settings!$C$27:$C$36,MATCH(L969,Settings!$A$27:$A$36,0))),0))</f>
        <v>0</v>
      </c>
      <c r="V969" s="38" t="n">
        <f aca="false">Q969*U969</f>
        <v>0</v>
      </c>
      <c r="W969" s="41" t="str">
        <f aca="false">IF($M969="","",IF(T969="Overdue",IF(Settings!$B$8="Yes",Settings!$B$7,""),IF(ISNUMBER(R969),DATE(YEAR(R969),MONTH(R969),1),"")))</f>
        <v/>
      </c>
      <c r="X969" s="38" t="n">
        <f aca="false">IF(AND(OR(T969="Backlog",T969="Pipeline",T969="Overdue"),ISNUMBER(W969)),IF(W969&lt;=Settings!$B$6,V969,0),0)</f>
        <v>0</v>
      </c>
      <c r="Y969" s="38" t="n">
        <f aca="false">IF(AND(OR(T969="Backlog",T969="Pipeline",T969="Overdue"),ISNUMBER(W969)),IF(W969&lt;=Settings!$B$6,Q969,0),0)</f>
        <v>0</v>
      </c>
      <c r="Z969" s="38" t="n">
        <f aca="false">IF(Y969=0,0,IF(T969="Backlog",Q969,Q969*Dashboard!$C$10))</f>
        <v>0</v>
      </c>
      <c r="AA969" s="37" t="n">
        <f aca="false">IF($N969="",0,IF(COUNTIF(Dashboard!$C$13:$C$22,$N969)&gt;0,1,0))</f>
        <v>0</v>
      </c>
      <c r="AB969" s="37" t="str">
        <f aca="false">IF($N969="","",IF(COUNTIF($N$8:$N969,$N969)=1,MAX($AB$7:$AB968)+1,""))</f>
        <v/>
      </c>
    </row>
    <row r="970" customFormat="false" ht="15" hidden="false" customHeight="false" outlineLevel="0" collapsed="false">
      <c r="L970" s="37" t="str">
        <f aca="false">IF(INDEX($A970:$J970,$L$6)&lt;&gt;"",TRIM(LEFT(INDEX($A970:$J970,$L$6),FIND("(",INDEX($A970:$J970,$L$6)&amp;"(")-1)),L969)</f>
        <v>Building Value Proposition</v>
      </c>
      <c r="M970" s="37" t="str">
        <f aca="false">IF(INDEX($A970:$J970,$M$6)="","",INDEX($A970:$J970,$M$6)&amp;"")</f>
        <v/>
      </c>
      <c r="N970" s="37" t="str">
        <f aca="false">IF($M970="","",TRIM(INDEX($A970:$J970,$N$6)&amp;""))</f>
        <v/>
      </c>
      <c r="O970" s="37" t="str">
        <f aca="false">IF($M970="","",TRIM(INDEX($A970:$J970,$O$6)&amp;""))</f>
        <v/>
      </c>
      <c r="P970" s="37" t="str">
        <f aca="false">IF($M970="","",IFERROR(IF(INDEX(Settings!$B$41:$B$50,MATCH(O970,Settings!$A$41:$A$50,0))&amp;""="","UNMAPPED",INDEX(Settings!$B$41:$B$50,MATCH(O970,Settings!$A$41:$A$50,0))&amp;""),"UNMAPPED"))</f>
        <v/>
      </c>
      <c r="Q970" s="38" t="n">
        <f aca="false">IF($M970="",0,N(INDEX($A970:$J970,$Q$6)))</f>
        <v>0</v>
      </c>
      <c r="R970" s="39" t="str">
        <f aca="false">IF($M970="","",INDEX($A970:$J970,$R$6))</f>
        <v/>
      </c>
      <c r="S970" s="37" t="str">
        <f aca="false">IF($M970="","",IFERROR(INDEX(Settings!$B$27:$B$36,MATCH(L970,Settings!$A$27:$A$36,0))&amp;"","UNMAPPED"))</f>
        <v/>
      </c>
      <c r="T970" s="37" t="str">
        <f aca="false">IF($M970="","",IF(NOT(ISNUMBER(R970)),"NO DATE",IF(S970="Won",IF(R970&gt;Settings!$B$5,"Backlog","Delivered"),IF(S970="Open",IF(R970&gt;Settings!$B$5,"Pipeline","Overdue"),IF(S970="Lost","Lost","UNMAPPED")))))</f>
        <v/>
      </c>
      <c r="U970" s="40" t="n">
        <f aca="false">IF(T970="Backlog",1,IF(OR(T970="Pipeline",T970="Overdue"),N(INDEX(Settings!$C$27:$C$36,MATCH(L970,Settings!$A$27:$A$36,0))),0))</f>
        <v>0</v>
      </c>
      <c r="V970" s="38" t="n">
        <f aca="false">Q970*U970</f>
        <v>0</v>
      </c>
      <c r="W970" s="41" t="str">
        <f aca="false">IF($M970="","",IF(T970="Overdue",IF(Settings!$B$8="Yes",Settings!$B$7,""),IF(ISNUMBER(R970),DATE(YEAR(R970),MONTH(R970),1),"")))</f>
        <v/>
      </c>
      <c r="X970" s="38" t="n">
        <f aca="false">IF(AND(OR(T970="Backlog",T970="Pipeline",T970="Overdue"),ISNUMBER(W970)),IF(W970&lt;=Settings!$B$6,V970,0),0)</f>
        <v>0</v>
      </c>
      <c r="Y970" s="38" t="n">
        <f aca="false">IF(AND(OR(T970="Backlog",T970="Pipeline",T970="Overdue"),ISNUMBER(W970)),IF(W970&lt;=Settings!$B$6,Q970,0),0)</f>
        <v>0</v>
      </c>
      <c r="Z970" s="38" t="n">
        <f aca="false">IF(Y970=0,0,IF(T970="Backlog",Q970,Q970*Dashboard!$C$10))</f>
        <v>0</v>
      </c>
      <c r="AA970" s="37" t="n">
        <f aca="false">IF($N970="",0,IF(COUNTIF(Dashboard!$C$13:$C$22,$N970)&gt;0,1,0))</f>
        <v>0</v>
      </c>
      <c r="AB970" s="37" t="str">
        <f aca="false">IF($N970="","",IF(COUNTIF($N$8:$N970,$N970)=1,MAX($AB$7:$AB969)+1,""))</f>
        <v/>
      </c>
    </row>
    <row r="971" customFormat="false" ht="15" hidden="false" customHeight="false" outlineLevel="0" collapsed="false">
      <c r="L971" s="37" t="str">
        <f aca="false">IF(INDEX($A971:$J971,$L$6)&lt;&gt;"",TRIM(LEFT(INDEX($A971:$J971,$L$6),FIND("(",INDEX($A971:$J971,$L$6)&amp;"(")-1)),L970)</f>
        <v>Building Value Proposition</v>
      </c>
      <c r="M971" s="37" t="str">
        <f aca="false">IF(INDEX($A971:$J971,$M$6)="","",INDEX($A971:$J971,$M$6)&amp;"")</f>
        <v/>
      </c>
      <c r="N971" s="37" t="str">
        <f aca="false">IF($M971="","",TRIM(INDEX($A971:$J971,$N$6)&amp;""))</f>
        <v/>
      </c>
      <c r="O971" s="37" t="str">
        <f aca="false">IF($M971="","",TRIM(INDEX($A971:$J971,$O$6)&amp;""))</f>
        <v/>
      </c>
      <c r="P971" s="37" t="str">
        <f aca="false">IF($M971="","",IFERROR(IF(INDEX(Settings!$B$41:$B$50,MATCH(O971,Settings!$A$41:$A$50,0))&amp;""="","UNMAPPED",INDEX(Settings!$B$41:$B$50,MATCH(O971,Settings!$A$41:$A$50,0))&amp;""),"UNMAPPED"))</f>
        <v/>
      </c>
      <c r="Q971" s="38" t="n">
        <f aca="false">IF($M971="",0,N(INDEX($A971:$J971,$Q$6)))</f>
        <v>0</v>
      </c>
      <c r="R971" s="39" t="str">
        <f aca="false">IF($M971="","",INDEX($A971:$J971,$R$6))</f>
        <v/>
      </c>
      <c r="S971" s="37" t="str">
        <f aca="false">IF($M971="","",IFERROR(INDEX(Settings!$B$27:$B$36,MATCH(L971,Settings!$A$27:$A$36,0))&amp;"","UNMAPPED"))</f>
        <v/>
      </c>
      <c r="T971" s="37" t="str">
        <f aca="false">IF($M971="","",IF(NOT(ISNUMBER(R971)),"NO DATE",IF(S971="Won",IF(R971&gt;Settings!$B$5,"Backlog","Delivered"),IF(S971="Open",IF(R971&gt;Settings!$B$5,"Pipeline","Overdue"),IF(S971="Lost","Lost","UNMAPPED")))))</f>
        <v/>
      </c>
      <c r="U971" s="40" t="n">
        <f aca="false">IF(T971="Backlog",1,IF(OR(T971="Pipeline",T971="Overdue"),N(INDEX(Settings!$C$27:$C$36,MATCH(L971,Settings!$A$27:$A$36,0))),0))</f>
        <v>0</v>
      </c>
      <c r="V971" s="38" t="n">
        <f aca="false">Q971*U971</f>
        <v>0</v>
      </c>
      <c r="W971" s="41" t="str">
        <f aca="false">IF($M971="","",IF(T971="Overdue",IF(Settings!$B$8="Yes",Settings!$B$7,""),IF(ISNUMBER(R971),DATE(YEAR(R971),MONTH(R971),1),"")))</f>
        <v/>
      </c>
      <c r="X971" s="38" t="n">
        <f aca="false">IF(AND(OR(T971="Backlog",T971="Pipeline",T971="Overdue"),ISNUMBER(W971)),IF(W971&lt;=Settings!$B$6,V971,0),0)</f>
        <v>0</v>
      </c>
      <c r="Y971" s="38" t="n">
        <f aca="false">IF(AND(OR(T971="Backlog",T971="Pipeline",T971="Overdue"),ISNUMBER(W971)),IF(W971&lt;=Settings!$B$6,Q971,0),0)</f>
        <v>0</v>
      </c>
      <c r="Z971" s="38" t="n">
        <f aca="false">IF(Y971=0,0,IF(T971="Backlog",Q971,Q971*Dashboard!$C$10))</f>
        <v>0</v>
      </c>
      <c r="AA971" s="37" t="n">
        <f aca="false">IF($N971="",0,IF(COUNTIF(Dashboard!$C$13:$C$22,$N971)&gt;0,1,0))</f>
        <v>0</v>
      </c>
      <c r="AB971" s="37" t="str">
        <f aca="false">IF($N971="","",IF(COUNTIF($N$8:$N971,$N971)=1,MAX($AB$7:$AB970)+1,""))</f>
        <v/>
      </c>
    </row>
    <row r="972" customFormat="false" ht="15" hidden="false" customHeight="false" outlineLevel="0" collapsed="false">
      <c r="L972" s="37" t="str">
        <f aca="false">IF(INDEX($A972:$J972,$L$6)&lt;&gt;"",TRIM(LEFT(INDEX($A972:$J972,$L$6),FIND("(",INDEX($A972:$J972,$L$6)&amp;"(")-1)),L971)</f>
        <v>Building Value Proposition</v>
      </c>
      <c r="M972" s="37" t="str">
        <f aca="false">IF(INDEX($A972:$J972,$M$6)="","",INDEX($A972:$J972,$M$6)&amp;"")</f>
        <v/>
      </c>
      <c r="N972" s="37" t="str">
        <f aca="false">IF($M972="","",TRIM(INDEX($A972:$J972,$N$6)&amp;""))</f>
        <v/>
      </c>
      <c r="O972" s="37" t="str">
        <f aca="false">IF($M972="","",TRIM(INDEX($A972:$J972,$O$6)&amp;""))</f>
        <v/>
      </c>
      <c r="P972" s="37" t="str">
        <f aca="false">IF($M972="","",IFERROR(IF(INDEX(Settings!$B$41:$B$50,MATCH(O972,Settings!$A$41:$A$50,0))&amp;""="","UNMAPPED",INDEX(Settings!$B$41:$B$50,MATCH(O972,Settings!$A$41:$A$50,0))&amp;""),"UNMAPPED"))</f>
        <v/>
      </c>
      <c r="Q972" s="38" t="n">
        <f aca="false">IF($M972="",0,N(INDEX($A972:$J972,$Q$6)))</f>
        <v>0</v>
      </c>
      <c r="R972" s="39" t="str">
        <f aca="false">IF($M972="","",INDEX($A972:$J972,$R$6))</f>
        <v/>
      </c>
      <c r="S972" s="37" t="str">
        <f aca="false">IF($M972="","",IFERROR(INDEX(Settings!$B$27:$B$36,MATCH(L972,Settings!$A$27:$A$36,0))&amp;"","UNMAPPED"))</f>
        <v/>
      </c>
      <c r="T972" s="37" t="str">
        <f aca="false">IF($M972="","",IF(NOT(ISNUMBER(R972)),"NO DATE",IF(S972="Won",IF(R972&gt;Settings!$B$5,"Backlog","Delivered"),IF(S972="Open",IF(R972&gt;Settings!$B$5,"Pipeline","Overdue"),IF(S972="Lost","Lost","UNMAPPED")))))</f>
        <v/>
      </c>
      <c r="U972" s="40" t="n">
        <f aca="false">IF(T972="Backlog",1,IF(OR(T972="Pipeline",T972="Overdue"),N(INDEX(Settings!$C$27:$C$36,MATCH(L972,Settings!$A$27:$A$36,0))),0))</f>
        <v>0</v>
      </c>
      <c r="V972" s="38" t="n">
        <f aca="false">Q972*U972</f>
        <v>0</v>
      </c>
      <c r="W972" s="41" t="str">
        <f aca="false">IF($M972="","",IF(T972="Overdue",IF(Settings!$B$8="Yes",Settings!$B$7,""),IF(ISNUMBER(R972),DATE(YEAR(R972),MONTH(R972),1),"")))</f>
        <v/>
      </c>
      <c r="X972" s="38" t="n">
        <f aca="false">IF(AND(OR(T972="Backlog",T972="Pipeline",T972="Overdue"),ISNUMBER(W972)),IF(W972&lt;=Settings!$B$6,V972,0),0)</f>
        <v>0</v>
      </c>
      <c r="Y972" s="38" t="n">
        <f aca="false">IF(AND(OR(T972="Backlog",T972="Pipeline",T972="Overdue"),ISNUMBER(W972)),IF(W972&lt;=Settings!$B$6,Q972,0),0)</f>
        <v>0</v>
      </c>
      <c r="Z972" s="38" t="n">
        <f aca="false">IF(Y972=0,0,IF(T972="Backlog",Q972,Q972*Dashboard!$C$10))</f>
        <v>0</v>
      </c>
      <c r="AA972" s="37" t="n">
        <f aca="false">IF($N972="",0,IF(COUNTIF(Dashboard!$C$13:$C$22,$N972)&gt;0,1,0))</f>
        <v>0</v>
      </c>
      <c r="AB972" s="37" t="str">
        <f aca="false">IF($N972="","",IF(COUNTIF($N$8:$N972,$N972)=1,MAX($AB$7:$AB971)+1,""))</f>
        <v/>
      </c>
    </row>
    <row r="973" customFormat="false" ht="15" hidden="false" customHeight="false" outlineLevel="0" collapsed="false">
      <c r="L973" s="37" t="str">
        <f aca="false">IF(INDEX($A973:$J973,$L$6)&lt;&gt;"",TRIM(LEFT(INDEX($A973:$J973,$L$6),FIND("(",INDEX($A973:$J973,$L$6)&amp;"(")-1)),L972)</f>
        <v>Building Value Proposition</v>
      </c>
      <c r="M973" s="37" t="str">
        <f aca="false">IF(INDEX($A973:$J973,$M$6)="","",INDEX($A973:$J973,$M$6)&amp;"")</f>
        <v/>
      </c>
      <c r="N973" s="37" t="str">
        <f aca="false">IF($M973="","",TRIM(INDEX($A973:$J973,$N$6)&amp;""))</f>
        <v/>
      </c>
      <c r="O973" s="37" t="str">
        <f aca="false">IF($M973="","",TRIM(INDEX($A973:$J973,$O$6)&amp;""))</f>
        <v/>
      </c>
      <c r="P973" s="37" t="str">
        <f aca="false">IF($M973="","",IFERROR(IF(INDEX(Settings!$B$41:$B$50,MATCH(O973,Settings!$A$41:$A$50,0))&amp;""="","UNMAPPED",INDEX(Settings!$B$41:$B$50,MATCH(O973,Settings!$A$41:$A$50,0))&amp;""),"UNMAPPED"))</f>
        <v/>
      </c>
      <c r="Q973" s="38" t="n">
        <f aca="false">IF($M973="",0,N(INDEX($A973:$J973,$Q$6)))</f>
        <v>0</v>
      </c>
      <c r="R973" s="39" t="str">
        <f aca="false">IF($M973="","",INDEX($A973:$J973,$R$6))</f>
        <v/>
      </c>
      <c r="S973" s="37" t="str">
        <f aca="false">IF($M973="","",IFERROR(INDEX(Settings!$B$27:$B$36,MATCH(L973,Settings!$A$27:$A$36,0))&amp;"","UNMAPPED"))</f>
        <v/>
      </c>
      <c r="T973" s="37" t="str">
        <f aca="false">IF($M973="","",IF(NOT(ISNUMBER(R973)),"NO DATE",IF(S973="Won",IF(R973&gt;Settings!$B$5,"Backlog","Delivered"),IF(S973="Open",IF(R973&gt;Settings!$B$5,"Pipeline","Overdue"),IF(S973="Lost","Lost","UNMAPPED")))))</f>
        <v/>
      </c>
      <c r="U973" s="40" t="n">
        <f aca="false">IF(T973="Backlog",1,IF(OR(T973="Pipeline",T973="Overdue"),N(INDEX(Settings!$C$27:$C$36,MATCH(L973,Settings!$A$27:$A$36,0))),0))</f>
        <v>0</v>
      </c>
      <c r="V973" s="38" t="n">
        <f aca="false">Q973*U973</f>
        <v>0</v>
      </c>
      <c r="W973" s="41" t="str">
        <f aca="false">IF($M973="","",IF(T973="Overdue",IF(Settings!$B$8="Yes",Settings!$B$7,""),IF(ISNUMBER(R973),DATE(YEAR(R973),MONTH(R973),1),"")))</f>
        <v/>
      </c>
      <c r="X973" s="38" t="n">
        <f aca="false">IF(AND(OR(T973="Backlog",T973="Pipeline",T973="Overdue"),ISNUMBER(W973)),IF(W973&lt;=Settings!$B$6,V973,0),0)</f>
        <v>0</v>
      </c>
      <c r="Y973" s="38" t="n">
        <f aca="false">IF(AND(OR(T973="Backlog",T973="Pipeline",T973="Overdue"),ISNUMBER(W973)),IF(W973&lt;=Settings!$B$6,Q973,0),0)</f>
        <v>0</v>
      </c>
      <c r="Z973" s="38" t="n">
        <f aca="false">IF(Y973=0,0,IF(T973="Backlog",Q973,Q973*Dashboard!$C$10))</f>
        <v>0</v>
      </c>
      <c r="AA973" s="37" t="n">
        <f aca="false">IF($N973="",0,IF(COUNTIF(Dashboard!$C$13:$C$22,$N973)&gt;0,1,0))</f>
        <v>0</v>
      </c>
      <c r="AB973" s="37" t="str">
        <f aca="false">IF($N973="","",IF(COUNTIF($N$8:$N973,$N973)=1,MAX($AB$7:$AB972)+1,""))</f>
        <v/>
      </c>
    </row>
    <row r="974" customFormat="false" ht="15" hidden="false" customHeight="false" outlineLevel="0" collapsed="false">
      <c r="L974" s="37" t="str">
        <f aca="false">IF(INDEX($A974:$J974,$L$6)&lt;&gt;"",TRIM(LEFT(INDEX($A974:$J974,$L$6),FIND("(",INDEX($A974:$J974,$L$6)&amp;"(")-1)),L973)</f>
        <v>Building Value Proposition</v>
      </c>
      <c r="M974" s="37" t="str">
        <f aca="false">IF(INDEX($A974:$J974,$M$6)="","",INDEX($A974:$J974,$M$6)&amp;"")</f>
        <v/>
      </c>
      <c r="N974" s="37" t="str">
        <f aca="false">IF($M974="","",TRIM(INDEX($A974:$J974,$N$6)&amp;""))</f>
        <v/>
      </c>
      <c r="O974" s="37" t="str">
        <f aca="false">IF($M974="","",TRIM(INDEX($A974:$J974,$O$6)&amp;""))</f>
        <v/>
      </c>
      <c r="P974" s="37" t="str">
        <f aca="false">IF($M974="","",IFERROR(IF(INDEX(Settings!$B$41:$B$50,MATCH(O974,Settings!$A$41:$A$50,0))&amp;""="","UNMAPPED",INDEX(Settings!$B$41:$B$50,MATCH(O974,Settings!$A$41:$A$50,0))&amp;""),"UNMAPPED"))</f>
        <v/>
      </c>
      <c r="Q974" s="38" t="n">
        <f aca="false">IF($M974="",0,N(INDEX($A974:$J974,$Q$6)))</f>
        <v>0</v>
      </c>
      <c r="R974" s="39" t="str">
        <f aca="false">IF($M974="","",INDEX($A974:$J974,$R$6))</f>
        <v/>
      </c>
      <c r="S974" s="37" t="str">
        <f aca="false">IF($M974="","",IFERROR(INDEX(Settings!$B$27:$B$36,MATCH(L974,Settings!$A$27:$A$36,0))&amp;"","UNMAPPED"))</f>
        <v/>
      </c>
      <c r="T974" s="37" t="str">
        <f aca="false">IF($M974="","",IF(NOT(ISNUMBER(R974)),"NO DATE",IF(S974="Won",IF(R974&gt;Settings!$B$5,"Backlog","Delivered"),IF(S974="Open",IF(R974&gt;Settings!$B$5,"Pipeline","Overdue"),IF(S974="Lost","Lost","UNMAPPED")))))</f>
        <v/>
      </c>
      <c r="U974" s="40" t="n">
        <f aca="false">IF(T974="Backlog",1,IF(OR(T974="Pipeline",T974="Overdue"),N(INDEX(Settings!$C$27:$C$36,MATCH(L974,Settings!$A$27:$A$36,0))),0))</f>
        <v>0</v>
      </c>
      <c r="V974" s="38" t="n">
        <f aca="false">Q974*U974</f>
        <v>0</v>
      </c>
      <c r="W974" s="41" t="str">
        <f aca="false">IF($M974="","",IF(T974="Overdue",IF(Settings!$B$8="Yes",Settings!$B$7,""),IF(ISNUMBER(R974),DATE(YEAR(R974),MONTH(R974),1),"")))</f>
        <v/>
      </c>
      <c r="X974" s="38" t="n">
        <f aca="false">IF(AND(OR(T974="Backlog",T974="Pipeline",T974="Overdue"),ISNUMBER(W974)),IF(W974&lt;=Settings!$B$6,V974,0),0)</f>
        <v>0</v>
      </c>
      <c r="Y974" s="38" t="n">
        <f aca="false">IF(AND(OR(T974="Backlog",T974="Pipeline",T974="Overdue"),ISNUMBER(W974)),IF(W974&lt;=Settings!$B$6,Q974,0),0)</f>
        <v>0</v>
      </c>
      <c r="Z974" s="38" t="n">
        <f aca="false">IF(Y974=0,0,IF(T974="Backlog",Q974,Q974*Dashboard!$C$10))</f>
        <v>0</v>
      </c>
      <c r="AA974" s="37" t="n">
        <f aca="false">IF($N974="",0,IF(COUNTIF(Dashboard!$C$13:$C$22,$N974)&gt;0,1,0))</f>
        <v>0</v>
      </c>
      <c r="AB974" s="37" t="str">
        <f aca="false">IF($N974="","",IF(COUNTIF($N$8:$N974,$N974)=1,MAX($AB$7:$AB973)+1,""))</f>
        <v/>
      </c>
    </row>
    <row r="975" customFormat="false" ht="15" hidden="false" customHeight="false" outlineLevel="0" collapsed="false">
      <c r="L975" s="37" t="str">
        <f aca="false">IF(INDEX($A975:$J975,$L$6)&lt;&gt;"",TRIM(LEFT(INDEX($A975:$J975,$L$6),FIND("(",INDEX($A975:$J975,$L$6)&amp;"(")-1)),L974)</f>
        <v>Building Value Proposition</v>
      </c>
      <c r="M975" s="37" t="str">
        <f aca="false">IF(INDEX($A975:$J975,$M$6)="","",INDEX($A975:$J975,$M$6)&amp;"")</f>
        <v/>
      </c>
      <c r="N975" s="37" t="str">
        <f aca="false">IF($M975="","",TRIM(INDEX($A975:$J975,$N$6)&amp;""))</f>
        <v/>
      </c>
      <c r="O975" s="37" t="str">
        <f aca="false">IF($M975="","",TRIM(INDEX($A975:$J975,$O$6)&amp;""))</f>
        <v/>
      </c>
      <c r="P975" s="37" t="str">
        <f aca="false">IF($M975="","",IFERROR(IF(INDEX(Settings!$B$41:$B$50,MATCH(O975,Settings!$A$41:$A$50,0))&amp;""="","UNMAPPED",INDEX(Settings!$B$41:$B$50,MATCH(O975,Settings!$A$41:$A$50,0))&amp;""),"UNMAPPED"))</f>
        <v/>
      </c>
      <c r="Q975" s="38" t="n">
        <f aca="false">IF($M975="",0,N(INDEX($A975:$J975,$Q$6)))</f>
        <v>0</v>
      </c>
      <c r="R975" s="39" t="str">
        <f aca="false">IF($M975="","",INDEX($A975:$J975,$R$6))</f>
        <v/>
      </c>
      <c r="S975" s="37" t="str">
        <f aca="false">IF($M975="","",IFERROR(INDEX(Settings!$B$27:$B$36,MATCH(L975,Settings!$A$27:$A$36,0))&amp;"","UNMAPPED"))</f>
        <v/>
      </c>
      <c r="T975" s="37" t="str">
        <f aca="false">IF($M975="","",IF(NOT(ISNUMBER(R975)),"NO DATE",IF(S975="Won",IF(R975&gt;Settings!$B$5,"Backlog","Delivered"),IF(S975="Open",IF(R975&gt;Settings!$B$5,"Pipeline","Overdue"),IF(S975="Lost","Lost","UNMAPPED")))))</f>
        <v/>
      </c>
      <c r="U975" s="40" t="n">
        <f aca="false">IF(T975="Backlog",1,IF(OR(T975="Pipeline",T975="Overdue"),N(INDEX(Settings!$C$27:$C$36,MATCH(L975,Settings!$A$27:$A$36,0))),0))</f>
        <v>0</v>
      </c>
      <c r="V975" s="38" t="n">
        <f aca="false">Q975*U975</f>
        <v>0</v>
      </c>
      <c r="W975" s="41" t="str">
        <f aca="false">IF($M975="","",IF(T975="Overdue",IF(Settings!$B$8="Yes",Settings!$B$7,""),IF(ISNUMBER(R975),DATE(YEAR(R975),MONTH(R975),1),"")))</f>
        <v/>
      </c>
      <c r="X975" s="38" t="n">
        <f aca="false">IF(AND(OR(T975="Backlog",T975="Pipeline",T975="Overdue"),ISNUMBER(W975)),IF(W975&lt;=Settings!$B$6,V975,0),0)</f>
        <v>0</v>
      </c>
      <c r="Y975" s="38" t="n">
        <f aca="false">IF(AND(OR(T975="Backlog",T975="Pipeline",T975="Overdue"),ISNUMBER(W975)),IF(W975&lt;=Settings!$B$6,Q975,0),0)</f>
        <v>0</v>
      </c>
      <c r="Z975" s="38" t="n">
        <f aca="false">IF(Y975=0,0,IF(T975="Backlog",Q975,Q975*Dashboard!$C$10))</f>
        <v>0</v>
      </c>
      <c r="AA975" s="37" t="n">
        <f aca="false">IF($N975="",0,IF(COUNTIF(Dashboard!$C$13:$C$22,$N975)&gt;0,1,0))</f>
        <v>0</v>
      </c>
      <c r="AB975" s="37" t="str">
        <f aca="false">IF($N975="","",IF(COUNTIF($N$8:$N975,$N975)=1,MAX($AB$7:$AB974)+1,""))</f>
        <v/>
      </c>
    </row>
    <row r="976" customFormat="false" ht="15" hidden="false" customHeight="false" outlineLevel="0" collapsed="false">
      <c r="L976" s="37" t="str">
        <f aca="false">IF(INDEX($A976:$J976,$L$6)&lt;&gt;"",TRIM(LEFT(INDEX($A976:$J976,$L$6),FIND("(",INDEX($A976:$J976,$L$6)&amp;"(")-1)),L975)</f>
        <v>Building Value Proposition</v>
      </c>
      <c r="M976" s="37" t="str">
        <f aca="false">IF(INDEX($A976:$J976,$M$6)="","",INDEX($A976:$J976,$M$6)&amp;"")</f>
        <v/>
      </c>
      <c r="N976" s="37" t="str">
        <f aca="false">IF($M976="","",TRIM(INDEX($A976:$J976,$N$6)&amp;""))</f>
        <v/>
      </c>
      <c r="O976" s="37" t="str">
        <f aca="false">IF($M976="","",TRIM(INDEX($A976:$J976,$O$6)&amp;""))</f>
        <v/>
      </c>
      <c r="P976" s="37" t="str">
        <f aca="false">IF($M976="","",IFERROR(IF(INDEX(Settings!$B$41:$B$50,MATCH(O976,Settings!$A$41:$A$50,0))&amp;""="","UNMAPPED",INDEX(Settings!$B$41:$B$50,MATCH(O976,Settings!$A$41:$A$50,0))&amp;""),"UNMAPPED"))</f>
        <v/>
      </c>
      <c r="Q976" s="38" t="n">
        <f aca="false">IF($M976="",0,N(INDEX($A976:$J976,$Q$6)))</f>
        <v>0</v>
      </c>
      <c r="R976" s="39" t="str">
        <f aca="false">IF($M976="","",INDEX($A976:$J976,$R$6))</f>
        <v/>
      </c>
      <c r="S976" s="37" t="str">
        <f aca="false">IF($M976="","",IFERROR(INDEX(Settings!$B$27:$B$36,MATCH(L976,Settings!$A$27:$A$36,0))&amp;"","UNMAPPED"))</f>
        <v/>
      </c>
      <c r="T976" s="37" t="str">
        <f aca="false">IF($M976="","",IF(NOT(ISNUMBER(R976)),"NO DATE",IF(S976="Won",IF(R976&gt;Settings!$B$5,"Backlog","Delivered"),IF(S976="Open",IF(R976&gt;Settings!$B$5,"Pipeline","Overdue"),IF(S976="Lost","Lost","UNMAPPED")))))</f>
        <v/>
      </c>
      <c r="U976" s="40" t="n">
        <f aca="false">IF(T976="Backlog",1,IF(OR(T976="Pipeline",T976="Overdue"),N(INDEX(Settings!$C$27:$C$36,MATCH(L976,Settings!$A$27:$A$36,0))),0))</f>
        <v>0</v>
      </c>
      <c r="V976" s="38" t="n">
        <f aca="false">Q976*U976</f>
        <v>0</v>
      </c>
      <c r="W976" s="41" t="str">
        <f aca="false">IF($M976="","",IF(T976="Overdue",IF(Settings!$B$8="Yes",Settings!$B$7,""),IF(ISNUMBER(R976),DATE(YEAR(R976),MONTH(R976),1),"")))</f>
        <v/>
      </c>
      <c r="X976" s="38" t="n">
        <f aca="false">IF(AND(OR(T976="Backlog",T976="Pipeline",T976="Overdue"),ISNUMBER(W976)),IF(W976&lt;=Settings!$B$6,V976,0),0)</f>
        <v>0</v>
      </c>
      <c r="Y976" s="38" t="n">
        <f aca="false">IF(AND(OR(T976="Backlog",T976="Pipeline",T976="Overdue"),ISNUMBER(W976)),IF(W976&lt;=Settings!$B$6,Q976,0),0)</f>
        <v>0</v>
      </c>
      <c r="Z976" s="38" t="n">
        <f aca="false">IF(Y976=0,0,IF(T976="Backlog",Q976,Q976*Dashboard!$C$10))</f>
        <v>0</v>
      </c>
      <c r="AA976" s="37" t="n">
        <f aca="false">IF($N976="",0,IF(COUNTIF(Dashboard!$C$13:$C$22,$N976)&gt;0,1,0))</f>
        <v>0</v>
      </c>
      <c r="AB976" s="37" t="str">
        <f aca="false">IF($N976="","",IF(COUNTIF($N$8:$N976,$N976)=1,MAX($AB$7:$AB975)+1,""))</f>
        <v/>
      </c>
    </row>
    <row r="977" customFormat="false" ht="15" hidden="false" customHeight="false" outlineLevel="0" collapsed="false">
      <c r="L977" s="37" t="str">
        <f aca="false">IF(INDEX($A977:$J977,$L$6)&lt;&gt;"",TRIM(LEFT(INDEX($A977:$J977,$L$6),FIND("(",INDEX($A977:$J977,$L$6)&amp;"(")-1)),L976)</f>
        <v>Building Value Proposition</v>
      </c>
      <c r="M977" s="37" t="str">
        <f aca="false">IF(INDEX($A977:$J977,$M$6)="","",INDEX($A977:$J977,$M$6)&amp;"")</f>
        <v/>
      </c>
      <c r="N977" s="37" t="str">
        <f aca="false">IF($M977="","",TRIM(INDEX($A977:$J977,$N$6)&amp;""))</f>
        <v/>
      </c>
      <c r="O977" s="37" t="str">
        <f aca="false">IF($M977="","",TRIM(INDEX($A977:$J977,$O$6)&amp;""))</f>
        <v/>
      </c>
      <c r="P977" s="37" t="str">
        <f aca="false">IF($M977="","",IFERROR(IF(INDEX(Settings!$B$41:$B$50,MATCH(O977,Settings!$A$41:$A$50,0))&amp;""="","UNMAPPED",INDEX(Settings!$B$41:$B$50,MATCH(O977,Settings!$A$41:$A$50,0))&amp;""),"UNMAPPED"))</f>
        <v/>
      </c>
      <c r="Q977" s="38" t="n">
        <f aca="false">IF($M977="",0,N(INDEX($A977:$J977,$Q$6)))</f>
        <v>0</v>
      </c>
      <c r="R977" s="39" t="str">
        <f aca="false">IF($M977="","",INDEX($A977:$J977,$R$6))</f>
        <v/>
      </c>
      <c r="S977" s="37" t="str">
        <f aca="false">IF($M977="","",IFERROR(INDEX(Settings!$B$27:$B$36,MATCH(L977,Settings!$A$27:$A$36,0))&amp;"","UNMAPPED"))</f>
        <v/>
      </c>
      <c r="T977" s="37" t="str">
        <f aca="false">IF($M977="","",IF(NOT(ISNUMBER(R977)),"NO DATE",IF(S977="Won",IF(R977&gt;Settings!$B$5,"Backlog","Delivered"),IF(S977="Open",IF(R977&gt;Settings!$B$5,"Pipeline","Overdue"),IF(S977="Lost","Lost","UNMAPPED")))))</f>
        <v/>
      </c>
      <c r="U977" s="40" t="n">
        <f aca="false">IF(T977="Backlog",1,IF(OR(T977="Pipeline",T977="Overdue"),N(INDEX(Settings!$C$27:$C$36,MATCH(L977,Settings!$A$27:$A$36,0))),0))</f>
        <v>0</v>
      </c>
      <c r="V977" s="38" t="n">
        <f aca="false">Q977*U977</f>
        <v>0</v>
      </c>
      <c r="W977" s="41" t="str">
        <f aca="false">IF($M977="","",IF(T977="Overdue",IF(Settings!$B$8="Yes",Settings!$B$7,""),IF(ISNUMBER(R977),DATE(YEAR(R977),MONTH(R977),1),"")))</f>
        <v/>
      </c>
      <c r="X977" s="38" t="n">
        <f aca="false">IF(AND(OR(T977="Backlog",T977="Pipeline",T977="Overdue"),ISNUMBER(W977)),IF(W977&lt;=Settings!$B$6,V977,0),0)</f>
        <v>0</v>
      </c>
      <c r="Y977" s="38" t="n">
        <f aca="false">IF(AND(OR(T977="Backlog",T977="Pipeline",T977="Overdue"),ISNUMBER(W977)),IF(W977&lt;=Settings!$B$6,Q977,0),0)</f>
        <v>0</v>
      </c>
      <c r="Z977" s="38" t="n">
        <f aca="false">IF(Y977=0,0,IF(T977="Backlog",Q977,Q977*Dashboard!$C$10))</f>
        <v>0</v>
      </c>
      <c r="AA977" s="37" t="n">
        <f aca="false">IF($N977="",0,IF(COUNTIF(Dashboard!$C$13:$C$22,$N977)&gt;0,1,0))</f>
        <v>0</v>
      </c>
      <c r="AB977" s="37" t="str">
        <f aca="false">IF($N977="","",IF(COUNTIF($N$8:$N977,$N977)=1,MAX($AB$7:$AB976)+1,""))</f>
        <v/>
      </c>
    </row>
    <row r="978" customFormat="false" ht="15" hidden="false" customHeight="false" outlineLevel="0" collapsed="false">
      <c r="L978" s="37" t="str">
        <f aca="false">IF(INDEX($A978:$J978,$L$6)&lt;&gt;"",TRIM(LEFT(INDEX($A978:$J978,$L$6),FIND("(",INDEX($A978:$J978,$L$6)&amp;"(")-1)),L977)</f>
        <v>Building Value Proposition</v>
      </c>
      <c r="M978" s="37" t="str">
        <f aca="false">IF(INDEX($A978:$J978,$M$6)="","",INDEX($A978:$J978,$M$6)&amp;"")</f>
        <v/>
      </c>
      <c r="N978" s="37" t="str">
        <f aca="false">IF($M978="","",TRIM(INDEX($A978:$J978,$N$6)&amp;""))</f>
        <v/>
      </c>
      <c r="O978" s="37" t="str">
        <f aca="false">IF($M978="","",TRIM(INDEX($A978:$J978,$O$6)&amp;""))</f>
        <v/>
      </c>
      <c r="P978" s="37" t="str">
        <f aca="false">IF($M978="","",IFERROR(IF(INDEX(Settings!$B$41:$B$50,MATCH(O978,Settings!$A$41:$A$50,0))&amp;""="","UNMAPPED",INDEX(Settings!$B$41:$B$50,MATCH(O978,Settings!$A$41:$A$50,0))&amp;""),"UNMAPPED"))</f>
        <v/>
      </c>
      <c r="Q978" s="38" t="n">
        <f aca="false">IF($M978="",0,N(INDEX($A978:$J978,$Q$6)))</f>
        <v>0</v>
      </c>
      <c r="R978" s="39" t="str">
        <f aca="false">IF($M978="","",INDEX($A978:$J978,$R$6))</f>
        <v/>
      </c>
      <c r="S978" s="37" t="str">
        <f aca="false">IF($M978="","",IFERROR(INDEX(Settings!$B$27:$B$36,MATCH(L978,Settings!$A$27:$A$36,0))&amp;"","UNMAPPED"))</f>
        <v/>
      </c>
      <c r="T978" s="37" t="str">
        <f aca="false">IF($M978="","",IF(NOT(ISNUMBER(R978)),"NO DATE",IF(S978="Won",IF(R978&gt;Settings!$B$5,"Backlog","Delivered"),IF(S978="Open",IF(R978&gt;Settings!$B$5,"Pipeline","Overdue"),IF(S978="Lost","Lost","UNMAPPED")))))</f>
        <v/>
      </c>
      <c r="U978" s="40" t="n">
        <f aca="false">IF(T978="Backlog",1,IF(OR(T978="Pipeline",T978="Overdue"),N(INDEX(Settings!$C$27:$C$36,MATCH(L978,Settings!$A$27:$A$36,0))),0))</f>
        <v>0</v>
      </c>
      <c r="V978" s="38" t="n">
        <f aca="false">Q978*U978</f>
        <v>0</v>
      </c>
      <c r="W978" s="41" t="str">
        <f aca="false">IF($M978="","",IF(T978="Overdue",IF(Settings!$B$8="Yes",Settings!$B$7,""),IF(ISNUMBER(R978),DATE(YEAR(R978),MONTH(R978),1),"")))</f>
        <v/>
      </c>
      <c r="X978" s="38" t="n">
        <f aca="false">IF(AND(OR(T978="Backlog",T978="Pipeline",T978="Overdue"),ISNUMBER(W978)),IF(W978&lt;=Settings!$B$6,V978,0),0)</f>
        <v>0</v>
      </c>
      <c r="Y978" s="38" t="n">
        <f aca="false">IF(AND(OR(T978="Backlog",T978="Pipeline",T978="Overdue"),ISNUMBER(W978)),IF(W978&lt;=Settings!$B$6,Q978,0),0)</f>
        <v>0</v>
      </c>
      <c r="Z978" s="38" t="n">
        <f aca="false">IF(Y978=0,0,IF(T978="Backlog",Q978,Q978*Dashboard!$C$10))</f>
        <v>0</v>
      </c>
      <c r="AA978" s="37" t="n">
        <f aca="false">IF($N978="",0,IF(COUNTIF(Dashboard!$C$13:$C$22,$N978)&gt;0,1,0))</f>
        <v>0</v>
      </c>
      <c r="AB978" s="37" t="str">
        <f aca="false">IF($N978="","",IF(COUNTIF($N$8:$N978,$N978)=1,MAX($AB$7:$AB977)+1,""))</f>
        <v/>
      </c>
    </row>
    <row r="979" customFormat="false" ht="15" hidden="false" customHeight="false" outlineLevel="0" collapsed="false">
      <c r="L979" s="37" t="str">
        <f aca="false">IF(INDEX($A979:$J979,$L$6)&lt;&gt;"",TRIM(LEFT(INDEX($A979:$J979,$L$6),FIND("(",INDEX($A979:$J979,$L$6)&amp;"(")-1)),L978)</f>
        <v>Building Value Proposition</v>
      </c>
      <c r="M979" s="37" t="str">
        <f aca="false">IF(INDEX($A979:$J979,$M$6)="","",INDEX($A979:$J979,$M$6)&amp;"")</f>
        <v/>
      </c>
      <c r="N979" s="37" t="str">
        <f aca="false">IF($M979="","",TRIM(INDEX($A979:$J979,$N$6)&amp;""))</f>
        <v/>
      </c>
      <c r="O979" s="37" t="str">
        <f aca="false">IF($M979="","",TRIM(INDEX($A979:$J979,$O$6)&amp;""))</f>
        <v/>
      </c>
      <c r="P979" s="37" t="str">
        <f aca="false">IF($M979="","",IFERROR(IF(INDEX(Settings!$B$41:$B$50,MATCH(O979,Settings!$A$41:$A$50,0))&amp;""="","UNMAPPED",INDEX(Settings!$B$41:$B$50,MATCH(O979,Settings!$A$41:$A$50,0))&amp;""),"UNMAPPED"))</f>
        <v/>
      </c>
      <c r="Q979" s="38" t="n">
        <f aca="false">IF($M979="",0,N(INDEX($A979:$J979,$Q$6)))</f>
        <v>0</v>
      </c>
      <c r="R979" s="39" t="str">
        <f aca="false">IF($M979="","",INDEX($A979:$J979,$R$6))</f>
        <v/>
      </c>
      <c r="S979" s="37" t="str">
        <f aca="false">IF($M979="","",IFERROR(INDEX(Settings!$B$27:$B$36,MATCH(L979,Settings!$A$27:$A$36,0))&amp;"","UNMAPPED"))</f>
        <v/>
      </c>
      <c r="T979" s="37" t="str">
        <f aca="false">IF($M979="","",IF(NOT(ISNUMBER(R979)),"NO DATE",IF(S979="Won",IF(R979&gt;Settings!$B$5,"Backlog","Delivered"),IF(S979="Open",IF(R979&gt;Settings!$B$5,"Pipeline","Overdue"),IF(S979="Lost","Lost","UNMAPPED")))))</f>
        <v/>
      </c>
      <c r="U979" s="40" t="n">
        <f aca="false">IF(T979="Backlog",1,IF(OR(T979="Pipeline",T979="Overdue"),N(INDEX(Settings!$C$27:$C$36,MATCH(L979,Settings!$A$27:$A$36,0))),0))</f>
        <v>0</v>
      </c>
      <c r="V979" s="38" t="n">
        <f aca="false">Q979*U979</f>
        <v>0</v>
      </c>
      <c r="W979" s="41" t="str">
        <f aca="false">IF($M979="","",IF(T979="Overdue",IF(Settings!$B$8="Yes",Settings!$B$7,""),IF(ISNUMBER(R979),DATE(YEAR(R979),MONTH(R979),1),"")))</f>
        <v/>
      </c>
      <c r="X979" s="38" t="n">
        <f aca="false">IF(AND(OR(T979="Backlog",T979="Pipeline",T979="Overdue"),ISNUMBER(W979)),IF(W979&lt;=Settings!$B$6,V979,0),0)</f>
        <v>0</v>
      </c>
      <c r="Y979" s="38" t="n">
        <f aca="false">IF(AND(OR(T979="Backlog",T979="Pipeline",T979="Overdue"),ISNUMBER(W979)),IF(W979&lt;=Settings!$B$6,Q979,0),0)</f>
        <v>0</v>
      </c>
      <c r="Z979" s="38" t="n">
        <f aca="false">IF(Y979=0,0,IF(T979="Backlog",Q979,Q979*Dashboard!$C$10))</f>
        <v>0</v>
      </c>
      <c r="AA979" s="37" t="n">
        <f aca="false">IF($N979="",0,IF(COUNTIF(Dashboard!$C$13:$C$22,$N979)&gt;0,1,0))</f>
        <v>0</v>
      </c>
      <c r="AB979" s="37" t="str">
        <f aca="false">IF($N979="","",IF(COUNTIF($N$8:$N979,$N979)=1,MAX($AB$7:$AB978)+1,""))</f>
        <v/>
      </c>
    </row>
    <row r="980" customFormat="false" ht="15" hidden="false" customHeight="false" outlineLevel="0" collapsed="false">
      <c r="L980" s="37" t="str">
        <f aca="false">IF(INDEX($A980:$J980,$L$6)&lt;&gt;"",TRIM(LEFT(INDEX($A980:$J980,$L$6),FIND("(",INDEX($A980:$J980,$L$6)&amp;"(")-1)),L979)</f>
        <v>Building Value Proposition</v>
      </c>
      <c r="M980" s="37" t="str">
        <f aca="false">IF(INDEX($A980:$J980,$M$6)="","",INDEX($A980:$J980,$M$6)&amp;"")</f>
        <v/>
      </c>
      <c r="N980" s="37" t="str">
        <f aca="false">IF($M980="","",TRIM(INDEX($A980:$J980,$N$6)&amp;""))</f>
        <v/>
      </c>
      <c r="O980" s="37" t="str">
        <f aca="false">IF($M980="","",TRIM(INDEX($A980:$J980,$O$6)&amp;""))</f>
        <v/>
      </c>
      <c r="P980" s="37" t="str">
        <f aca="false">IF($M980="","",IFERROR(IF(INDEX(Settings!$B$41:$B$50,MATCH(O980,Settings!$A$41:$A$50,0))&amp;""="","UNMAPPED",INDEX(Settings!$B$41:$B$50,MATCH(O980,Settings!$A$41:$A$50,0))&amp;""),"UNMAPPED"))</f>
        <v/>
      </c>
      <c r="Q980" s="38" t="n">
        <f aca="false">IF($M980="",0,N(INDEX($A980:$J980,$Q$6)))</f>
        <v>0</v>
      </c>
      <c r="R980" s="39" t="str">
        <f aca="false">IF($M980="","",INDEX($A980:$J980,$R$6))</f>
        <v/>
      </c>
      <c r="S980" s="37" t="str">
        <f aca="false">IF($M980="","",IFERROR(INDEX(Settings!$B$27:$B$36,MATCH(L980,Settings!$A$27:$A$36,0))&amp;"","UNMAPPED"))</f>
        <v/>
      </c>
      <c r="T980" s="37" t="str">
        <f aca="false">IF($M980="","",IF(NOT(ISNUMBER(R980)),"NO DATE",IF(S980="Won",IF(R980&gt;Settings!$B$5,"Backlog","Delivered"),IF(S980="Open",IF(R980&gt;Settings!$B$5,"Pipeline","Overdue"),IF(S980="Lost","Lost","UNMAPPED")))))</f>
        <v/>
      </c>
      <c r="U980" s="40" t="n">
        <f aca="false">IF(T980="Backlog",1,IF(OR(T980="Pipeline",T980="Overdue"),N(INDEX(Settings!$C$27:$C$36,MATCH(L980,Settings!$A$27:$A$36,0))),0))</f>
        <v>0</v>
      </c>
      <c r="V980" s="38" t="n">
        <f aca="false">Q980*U980</f>
        <v>0</v>
      </c>
      <c r="W980" s="41" t="str">
        <f aca="false">IF($M980="","",IF(T980="Overdue",IF(Settings!$B$8="Yes",Settings!$B$7,""),IF(ISNUMBER(R980),DATE(YEAR(R980),MONTH(R980),1),"")))</f>
        <v/>
      </c>
      <c r="X980" s="38" t="n">
        <f aca="false">IF(AND(OR(T980="Backlog",T980="Pipeline",T980="Overdue"),ISNUMBER(W980)),IF(W980&lt;=Settings!$B$6,V980,0),0)</f>
        <v>0</v>
      </c>
      <c r="Y980" s="38" t="n">
        <f aca="false">IF(AND(OR(T980="Backlog",T980="Pipeline",T980="Overdue"),ISNUMBER(W980)),IF(W980&lt;=Settings!$B$6,Q980,0),0)</f>
        <v>0</v>
      </c>
      <c r="Z980" s="38" t="n">
        <f aca="false">IF(Y980=0,0,IF(T980="Backlog",Q980,Q980*Dashboard!$C$10))</f>
        <v>0</v>
      </c>
      <c r="AA980" s="37" t="n">
        <f aca="false">IF($N980="",0,IF(COUNTIF(Dashboard!$C$13:$C$22,$N980)&gt;0,1,0))</f>
        <v>0</v>
      </c>
      <c r="AB980" s="37" t="str">
        <f aca="false">IF($N980="","",IF(COUNTIF($N$8:$N980,$N980)=1,MAX($AB$7:$AB979)+1,""))</f>
        <v/>
      </c>
    </row>
    <row r="981" customFormat="false" ht="15" hidden="false" customHeight="false" outlineLevel="0" collapsed="false">
      <c r="L981" s="37" t="str">
        <f aca="false">IF(INDEX($A981:$J981,$L$6)&lt;&gt;"",TRIM(LEFT(INDEX($A981:$J981,$L$6),FIND("(",INDEX($A981:$J981,$L$6)&amp;"(")-1)),L980)</f>
        <v>Building Value Proposition</v>
      </c>
      <c r="M981" s="37" t="str">
        <f aca="false">IF(INDEX($A981:$J981,$M$6)="","",INDEX($A981:$J981,$M$6)&amp;"")</f>
        <v/>
      </c>
      <c r="N981" s="37" t="str">
        <f aca="false">IF($M981="","",TRIM(INDEX($A981:$J981,$N$6)&amp;""))</f>
        <v/>
      </c>
      <c r="O981" s="37" t="str">
        <f aca="false">IF($M981="","",TRIM(INDEX($A981:$J981,$O$6)&amp;""))</f>
        <v/>
      </c>
      <c r="P981" s="37" t="str">
        <f aca="false">IF($M981="","",IFERROR(IF(INDEX(Settings!$B$41:$B$50,MATCH(O981,Settings!$A$41:$A$50,0))&amp;""="","UNMAPPED",INDEX(Settings!$B$41:$B$50,MATCH(O981,Settings!$A$41:$A$50,0))&amp;""),"UNMAPPED"))</f>
        <v/>
      </c>
      <c r="Q981" s="38" t="n">
        <f aca="false">IF($M981="",0,N(INDEX($A981:$J981,$Q$6)))</f>
        <v>0</v>
      </c>
      <c r="R981" s="39" t="str">
        <f aca="false">IF($M981="","",INDEX($A981:$J981,$R$6))</f>
        <v/>
      </c>
      <c r="S981" s="37" t="str">
        <f aca="false">IF($M981="","",IFERROR(INDEX(Settings!$B$27:$B$36,MATCH(L981,Settings!$A$27:$A$36,0))&amp;"","UNMAPPED"))</f>
        <v/>
      </c>
      <c r="T981" s="37" t="str">
        <f aca="false">IF($M981="","",IF(NOT(ISNUMBER(R981)),"NO DATE",IF(S981="Won",IF(R981&gt;Settings!$B$5,"Backlog","Delivered"),IF(S981="Open",IF(R981&gt;Settings!$B$5,"Pipeline","Overdue"),IF(S981="Lost","Lost","UNMAPPED")))))</f>
        <v/>
      </c>
      <c r="U981" s="40" t="n">
        <f aca="false">IF(T981="Backlog",1,IF(OR(T981="Pipeline",T981="Overdue"),N(INDEX(Settings!$C$27:$C$36,MATCH(L981,Settings!$A$27:$A$36,0))),0))</f>
        <v>0</v>
      </c>
      <c r="V981" s="38" t="n">
        <f aca="false">Q981*U981</f>
        <v>0</v>
      </c>
      <c r="W981" s="41" t="str">
        <f aca="false">IF($M981="","",IF(T981="Overdue",IF(Settings!$B$8="Yes",Settings!$B$7,""),IF(ISNUMBER(R981),DATE(YEAR(R981),MONTH(R981),1),"")))</f>
        <v/>
      </c>
      <c r="X981" s="38" t="n">
        <f aca="false">IF(AND(OR(T981="Backlog",T981="Pipeline",T981="Overdue"),ISNUMBER(W981)),IF(W981&lt;=Settings!$B$6,V981,0),0)</f>
        <v>0</v>
      </c>
      <c r="Y981" s="38" t="n">
        <f aca="false">IF(AND(OR(T981="Backlog",T981="Pipeline",T981="Overdue"),ISNUMBER(W981)),IF(W981&lt;=Settings!$B$6,Q981,0),0)</f>
        <v>0</v>
      </c>
      <c r="Z981" s="38" t="n">
        <f aca="false">IF(Y981=0,0,IF(T981="Backlog",Q981,Q981*Dashboard!$C$10))</f>
        <v>0</v>
      </c>
      <c r="AA981" s="37" t="n">
        <f aca="false">IF($N981="",0,IF(COUNTIF(Dashboard!$C$13:$C$22,$N981)&gt;0,1,0))</f>
        <v>0</v>
      </c>
      <c r="AB981" s="37" t="str">
        <f aca="false">IF($N981="","",IF(COUNTIF($N$8:$N981,$N981)=1,MAX($AB$7:$AB980)+1,""))</f>
        <v/>
      </c>
    </row>
    <row r="982" customFormat="false" ht="15" hidden="false" customHeight="false" outlineLevel="0" collapsed="false">
      <c r="L982" s="37" t="str">
        <f aca="false">IF(INDEX($A982:$J982,$L$6)&lt;&gt;"",TRIM(LEFT(INDEX($A982:$J982,$L$6),FIND("(",INDEX($A982:$J982,$L$6)&amp;"(")-1)),L981)</f>
        <v>Building Value Proposition</v>
      </c>
      <c r="M982" s="37" t="str">
        <f aca="false">IF(INDEX($A982:$J982,$M$6)="","",INDEX($A982:$J982,$M$6)&amp;"")</f>
        <v/>
      </c>
      <c r="N982" s="37" t="str">
        <f aca="false">IF($M982="","",TRIM(INDEX($A982:$J982,$N$6)&amp;""))</f>
        <v/>
      </c>
      <c r="O982" s="37" t="str">
        <f aca="false">IF($M982="","",TRIM(INDEX($A982:$J982,$O$6)&amp;""))</f>
        <v/>
      </c>
      <c r="P982" s="37" t="str">
        <f aca="false">IF($M982="","",IFERROR(IF(INDEX(Settings!$B$41:$B$50,MATCH(O982,Settings!$A$41:$A$50,0))&amp;""="","UNMAPPED",INDEX(Settings!$B$41:$B$50,MATCH(O982,Settings!$A$41:$A$50,0))&amp;""),"UNMAPPED"))</f>
        <v/>
      </c>
      <c r="Q982" s="38" t="n">
        <f aca="false">IF($M982="",0,N(INDEX($A982:$J982,$Q$6)))</f>
        <v>0</v>
      </c>
      <c r="R982" s="39" t="str">
        <f aca="false">IF($M982="","",INDEX($A982:$J982,$R$6))</f>
        <v/>
      </c>
      <c r="S982" s="37" t="str">
        <f aca="false">IF($M982="","",IFERROR(INDEX(Settings!$B$27:$B$36,MATCH(L982,Settings!$A$27:$A$36,0))&amp;"","UNMAPPED"))</f>
        <v/>
      </c>
      <c r="T982" s="37" t="str">
        <f aca="false">IF($M982="","",IF(NOT(ISNUMBER(R982)),"NO DATE",IF(S982="Won",IF(R982&gt;Settings!$B$5,"Backlog","Delivered"),IF(S982="Open",IF(R982&gt;Settings!$B$5,"Pipeline","Overdue"),IF(S982="Lost","Lost","UNMAPPED")))))</f>
        <v/>
      </c>
      <c r="U982" s="40" t="n">
        <f aca="false">IF(T982="Backlog",1,IF(OR(T982="Pipeline",T982="Overdue"),N(INDEX(Settings!$C$27:$C$36,MATCH(L982,Settings!$A$27:$A$36,0))),0))</f>
        <v>0</v>
      </c>
      <c r="V982" s="38" t="n">
        <f aca="false">Q982*U982</f>
        <v>0</v>
      </c>
      <c r="W982" s="41" t="str">
        <f aca="false">IF($M982="","",IF(T982="Overdue",IF(Settings!$B$8="Yes",Settings!$B$7,""),IF(ISNUMBER(R982),DATE(YEAR(R982),MONTH(R982),1),"")))</f>
        <v/>
      </c>
      <c r="X982" s="38" t="n">
        <f aca="false">IF(AND(OR(T982="Backlog",T982="Pipeline",T982="Overdue"),ISNUMBER(W982)),IF(W982&lt;=Settings!$B$6,V982,0),0)</f>
        <v>0</v>
      </c>
      <c r="Y982" s="38" t="n">
        <f aca="false">IF(AND(OR(T982="Backlog",T982="Pipeline",T982="Overdue"),ISNUMBER(W982)),IF(W982&lt;=Settings!$B$6,Q982,0),0)</f>
        <v>0</v>
      </c>
      <c r="Z982" s="38" t="n">
        <f aca="false">IF(Y982=0,0,IF(T982="Backlog",Q982,Q982*Dashboard!$C$10))</f>
        <v>0</v>
      </c>
      <c r="AA982" s="37" t="n">
        <f aca="false">IF($N982="",0,IF(COUNTIF(Dashboard!$C$13:$C$22,$N982)&gt;0,1,0))</f>
        <v>0</v>
      </c>
      <c r="AB982" s="37" t="str">
        <f aca="false">IF($N982="","",IF(COUNTIF($N$8:$N982,$N982)=1,MAX($AB$7:$AB981)+1,""))</f>
        <v/>
      </c>
    </row>
    <row r="983" customFormat="false" ht="15" hidden="false" customHeight="false" outlineLevel="0" collapsed="false">
      <c r="L983" s="37" t="str">
        <f aca="false">IF(INDEX($A983:$J983,$L$6)&lt;&gt;"",TRIM(LEFT(INDEX($A983:$J983,$L$6),FIND("(",INDEX($A983:$J983,$L$6)&amp;"(")-1)),L982)</f>
        <v>Building Value Proposition</v>
      </c>
      <c r="M983" s="37" t="str">
        <f aca="false">IF(INDEX($A983:$J983,$M$6)="","",INDEX($A983:$J983,$M$6)&amp;"")</f>
        <v/>
      </c>
      <c r="N983" s="37" t="str">
        <f aca="false">IF($M983="","",TRIM(INDEX($A983:$J983,$N$6)&amp;""))</f>
        <v/>
      </c>
      <c r="O983" s="37" t="str">
        <f aca="false">IF($M983="","",TRIM(INDEX($A983:$J983,$O$6)&amp;""))</f>
        <v/>
      </c>
      <c r="P983" s="37" t="str">
        <f aca="false">IF($M983="","",IFERROR(IF(INDEX(Settings!$B$41:$B$50,MATCH(O983,Settings!$A$41:$A$50,0))&amp;""="","UNMAPPED",INDEX(Settings!$B$41:$B$50,MATCH(O983,Settings!$A$41:$A$50,0))&amp;""),"UNMAPPED"))</f>
        <v/>
      </c>
      <c r="Q983" s="38" t="n">
        <f aca="false">IF($M983="",0,N(INDEX($A983:$J983,$Q$6)))</f>
        <v>0</v>
      </c>
      <c r="R983" s="39" t="str">
        <f aca="false">IF($M983="","",INDEX($A983:$J983,$R$6))</f>
        <v/>
      </c>
      <c r="S983" s="37" t="str">
        <f aca="false">IF($M983="","",IFERROR(INDEX(Settings!$B$27:$B$36,MATCH(L983,Settings!$A$27:$A$36,0))&amp;"","UNMAPPED"))</f>
        <v/>
      </c>
      <c r="T983" s="37" t="str">
        <f aca="false">IF($M983="","",IF(NOT(ISNUMBER(R983)),"NO DATE",IF(S983="Won",IF(R983&gt;Settings!$B$5,"Backlog","Delivered"),IF(S983="Open",IF(R983&gt;Settings!$B$5,"Pipeline","Overdue"),IF(S983="Lost","Lost","UNMAPPED")))))</f>
        <v/>
      </c>
      <c r="U983" s="40" t="n">
        <f aca="false">IF(T983="Backlog",1,IF(OR(T983="Pipeline",T983="Overdue"),N(INDEX(Settings!$C$27:$C$36,MATCH(L983,Settings!$A$27:$A$36,0))),0))</f>
        <v>0</v>
      </c>
      <c r="V983" s="38" t="n">
        <f aca="false">Q983*U983</f>
        <v>0</v>
      </c>
      <c r="W983" s="41" t="str">
        <f aca="false">IF($M983="","",IF(T983="Overdue",IF(Settings!$B$8="Yes",Settings!$B$7,""),IF(ISNUMBER(R983),DATE(YEAR(R983),MONTH(R983),1),"")))</f>
        <v/>
      </c>
      <c r="X983" s="38" t="n">
        <f aca="false">IF(AND(OR(T983="Backlog",T983="Pipeline",T983="Overdue"),ISNUMBER(W983)),IF(W983&lt;=Settings!$B$6,V983,0),0)</f>
        <v>0</v>
      </c>
      <c r="Y983" s="38" t="n">
        <f aca="false">IF(AND(OR(T983="Backlog",T983="Pipeline",T983="Overdue"),ISNUMBER(W983)),IF(W983&lt;=Settings!$B$6,Q983,0),0)</f>
        <v>0</v>
      </c>
      <c r="Z983" s="38" t="n">
        <f aca="false">IF(Y983=0,0,IF(T983="Backlog",Q983,Q983*Dashboard!$C$10))</f>
        <v>0</v>
      </c>
      <c r="AA983" s="37" t="n">
        <f aca="false">IF($N983="",0,IF(COUNTIF(Dashboard!$C$13:$C$22,$N983)&gt;0,1,0))</f>
        <v>0</v>
      </c>
      <c r="AB983" s="37" t="str">
        <f aca="false">IF($N983="","",IF(COUNTIF($N$8:$N983,$N983)=1,MAX($AB$7:$AB982)+1,""))</f>
        <v/>
      </c>
    </row>
    <row r="984" customFormat="false" ht="15" hidden="false" customHeight="false" outlineLevel="0" collapsed="false">
      <c r="L984" s="37" t="str">
        <f aca="false">IF(INDEX($A984:$J984,$L$6)&lt;&gt;"",TRIM(LEFT(INDEX($A984:$J984,$L$6),FIND("(",INDEX($A984:$J984,$L$6)&amp;"(")-1)),L983)</f>
        <v>Building Value Proposition</v>
      </c>
      <c r="M984" s="37" t="str">
        <f aca="false">IF(INDEX($A984:$J984,$M$6)="","",INDEX($A984:$J984,$M$6)&amp;"")</f>
        <v/>
      </c>
      <c r="N984" s="37" t="str">
        <f aca="false">IF($M984="","",TRIM(INDEX($A984:$J984,$N$6)&amp;""))</f>
        <v/>
      </c>
      <c r="O984" s="37" t="str">
        <f aca="false">IF($M984="","",TRIM(INDEX($A984:$J984,$O$6)&amp;""))</f>
        <v/>
      </c>
      <c r="P984" s="37" t="str">
        <f aca="false">IF($M984="","",IFERROR(IF(INDEX(Settings!$B$41:$B$50,MATCH(O984,Settings!$A$41:$A$50,0))&amp;""="","UNMAPPED",INDEX(Settings!$B$41:$B$50,MATCH(O984,Settings!$A$41:$A$50,0))&amp;""),"UNMAPPED"))</f>
        <v/>
      </c>
      <c r="Q984" s="38" t="n">
        <f aca="false">IF($M984="",0,N(INDEX($A984:$J984,$Q$6)))</f>
        <v>0</v>
      </c>
      <c r="R984" s="39" t="str">
        <f aca="false">IF($M984="","",INDEX($A984:$J984,$R$6))</f>
        <v/>
      </c>
      <c r="S984" s="37" t="str">
        <f aca="false">IF($M984="","",IFERROR(INDEX(Settings!$B$27:$B$36,MATCH(L984,Settings!$A$27:$A$36,0))&amp;"","UNMAPPED"))</f>
        <v/>
      </c>
      <c r="T984" s="37" t="str">
        <f aca="false">IF($M984="","",IF(NOT(ISNUMBER(R984)),"NO DATE",IF(S984="Won",IF(R984&gt;Settings!$B$5,"Backlog","Delivered"),IF(S984="Open",IF(R984&gt;Settings!$B$5,"Pipeline","Overdue"),IF(S984="Lost","Lost","UNMAPPED")))))</f>
        <v/>
      </c>
      <c r="U984" s="40" t="n">
        <f aca="false">IF(T984="Backlog",1,IF(OR(T984="Pipeline",T984="Overdue"),N(INDEX(Settings!$C$27:$C$36,MATCH(L984,Settings!$A$27:$A$36,0))),0))</f>
        <v>0</v>
      </c>
      <c r="V984" s="38" t="n">
        <f aca="false">Q984*U984</f>
        <v>0</v>
      </c>
      <c r="W984" s="41" t="str">
        <f aca="false">IF($M984="","",IF(T984="Overdue",IF(Settings!$B$8="Yes",Settings!$B$7,""),IF(ISNUMBER(R984),DATE(YEAR(R984),MONTH(R984),1),"")))</f>
        <v/>
      </c>
      <c r="X984" s="38" t="n">
        <f aca="false">IF(AND(OR(T984="Backlog",T984="Pipeline",T984="Overdue"),ISNUMBER(W984)),IF(W984&lt;=Settings!$B$6,V984,0),0)</f>
        <v>0</v>
      </c>
      <c r="Y984" s="38" t="n">
        <f aca="false">IF(AND(OR(T984="Backlog",T984="Pipeline",T984="Overdue"),ISNUMBER(W984)),IF(W984&lt;=Settings!$B$6,Q984,0),0)</f>
        <v>0</v>
      </c>
      <c r="Z984" s="38" t="n">
        <f aca="false">IF(Y984=0,0,IF(T984="Backlog",Q984,Q984*Dashboard!$C$10))</f>
        <v>0</v>
      </c>
      <c r="AA984" s="37" t="n">
        <f aca="false">IF($N984="",0,IF(COUNTIF(Dashboard!$C$13:$C$22,$N984)&gt;0,1,0))</f>
        <v>0</v>
      </c>
      <c r="AB984" s="37" t="str">
        <f aca="false">IF($N984="","",IF(COUNTIF($N$8:$N984,$N984)=1,MAX($AB$7:$AB983)+1,""))</f>
        <v/>
      </c>
    </row>
    <row r="985" customFormat="false" ht="15" hidden="false" customHeight="false" outlineLevel="0" collapsed="false">
      <c r="L985" s="37" t="str">
        <f aca="false">IF(INDEX($A985:$J985,$L$6)&lt;&gt;"",TRIM(LEFT(INDEX($A985:$J985,$L$6),FIND("(",INDEX($A985:$J985,$L$6)&amp;"(")-1)),L984)</f>
        <v>Building Value Proposition</v>
      </c>
      <c r="M985" s="37" t="str">
        <f aca="false">IF(INDEX($A985:$J985,$M$6)="","",INDEX($A985:$J985,$M$6)&amp;"")</f>
        <v/>
      </c>
      <c r="N985" s="37" t="str">
        <f aca="false">IF($M985="","",TRIM(INDEX($A985:$J985,$N$6)&amp;""))</f>
        <v/>
      </c>
      <c r="O985" s="37" t="str">
        <f aca="false">IF($M985="","",TRIM(INDEX($A985:$J985,$O$6)&amp;""))</f>
        <v/>
      </c>
      <c r="P985" s="37" t="str">
        <f aca="false">IF($M985="","",IFERROR(IF(INDEX(Settings!$B$41:$B$50,MATCH(O985,Settings!$A$41:$A$50,0))&amp;""="","UNMAPPED",INDEX(Settings!$B$41:$B$50,MATCH(O985,Settings!$A$41:$A$50,0))&amp;""),"UNMAPPED"))</f>
        <v/>
      </c>
      <c r="Q985" s="38" t="n">
        <f aca="false">IF($M985="",0,N(INDEX($A985:$J985,$Q$6)))</f>
        <v>0</v>
      </c>
      <c r="R985" s="39" t="str">
        <f aca="false">IF($M985="","",INDEX($A985:$J985,$R$6))</f>
        <v/>
      </c>
      <c r="S985" s="37" t="str">
        <f aca="false">IF($M985="","",IFERROR(INDEX(Settings!$B$27:$B$36,MATCH(L985,Settings!$A$27:$A$36,0))&amp;"","UNMAPPED"))</f>
        <v/>
      </c>
      <c r="T985" s="37" t="str">
        <f aca="false">IF($M985="","",IF(NOT(ISNUMBER(R985)),"NO DATE",IF(S985="Won",IF(R985&gt;Settings!$B$5,"Backlog","Delivered"),IF(S985="Open",IF(R985&gt;Settings!$B$5,"Pipeline","Overdue"),IF(S985="Lost","Lost","UNMAPPED")))))</f>
        <v/>
      </c>
      <c r="U985" s="40" t="n">
        <f aca="false">IF(T985="Backlog",1,IF(OR(T985="Pipeline",T985="Overdue"),N(INDEX(Settings!$C$27:$C$36,MATCH(L985,Settings!$A$27:$A$36,0))),0))</f>
        <v>0</v>
      </c>
      <c r="V985" s="38" t="n">
        <f aca="false">Q985*U985</f>
        <v>0</v>
      </c>
      <c r="W985" s="41" t="str">
        <f aca="false">IF($M985="","",IF(T985="Overdue",IF(Settings!$B$8="Yes",Settings!$B$7,""),IF(ISNUMBER(R985),DATE(YEAR(R985),MONTH(R985),1),"")))</f>
        <v/>
      </c>
      <c r="X985" s="38" t="n">
        <f aca="false">IF(AND(OR(T985="Backlog",T985="Pipeline",T985="Overdue"),ISNUMBER(W985)),IF(W985&lt;=Settings!$B$6,V985,0),0)</f>
        <v>0</v>
      </c>
      <c r="Y985" s="38" t="n">
        <f aca="false">IF(AND(OR(T985="Backlog",T985="Pipeline",T985="Overdue"),ISNUMBER(W985)),IF(W985&lt;=Settings!$B$6,Q985,0),0)</f>
        <v>0</v>
      </c>
      <c r="Z985" s="38" t="n">
        <f aca="false">IF(Y985=0,0,IF(T985="Backlog",Q985,Q985*Dashboard!$C$10))</f>
        <v>0</v>
      </c>
      <c r="AA985" s="37" t="n">
        <f aca="false">IF($N985="",0,IF(COUNTIF(Dashboard!$C$13:$C$22,$N985)&gt;0,1,0))</f>
        <v>0</v>
      </c>
      <c r="AB985" s="37" t="str">
        <f aca="false">IF($N985="","",IF(COUNTIF($N$8:$N985,$N985)=1,MAX($AB$7:$AB984)+1,""))</f>
        <v/>
      </c>
    </row>
    <row r="986" customFormat="false" ht="15" hidden="false" customHeight="false" outlineLevel="0" collapsed="false">
      <c r="L986" s="37" t="str">
        <f aca="false">IF(INDEX($A986:$J986,$L$6)&lt;&gt;"",TRIM(LEFT(INDEX($A986:$J986,$L$6),FIND("(",INDEX($A986:$J986,$L$6)&amp;"(")-1)),L985)</f>
        <v>Building Value Proposition</v>
      </c>
      <c r="M986" s="37" t="str">
        <f aca="false">IF(INDEX($A986:$J986,$M$6)="","",INDEX($A986:$J986,$M$6)&amp;"")</f>
        <v/>
      </c>
      <c r="N986" s="37" t="str">
        <f aca="false">IF($M986="","",TRIM(INDEX($A986:$J986,$N$6)&amp;""))</f>
        <v/>
      </c>
      <c r="O986" s="37" t="str">
        <f aca="false">IF($M986="","",TRIM(INDEX($A986:$J986,$O$6)&amp;""))</f>
        <v/>
      </c>
      <c r="P986" s="37" t="str">
        <f aca="false">IF($M986="","",IFERROR(IF(INDEX(Settings!$B$41:$B$50,MATCH(O986,Settings!$A$41:$A$50,0))&amp;""="","UNMAPPED",INDEX(Settings!$B$41:$B$50,MATCH(O986,Settings!$A$41:$A$50,0))&amp;""),"UNMAPPED"))</f>
        <v/>
      </c>
      <c r="Q986" s="38" t="n">
        <f aca="false">IF($M986="",0,N(INDEX($A986:$J986,$Q$6)))</f>
        <v>0</v>
      </c>
      <c r="R986" s="39" t="str">
        <f aca="false">IF($M986="","",INDEX($A986:$J986,$R$6))</f>
        <v/>
      </c>
      <c r="S986" s="37" t="str">
        <f aca="false">IF($M986="","",IFERROR(INDEX(Settings!$B$27:$B$36,MATCH(L986,Settings!$A$27:$A$36,0))&amp;"","UNMAPPED"))</f>
        <v/>
      </c>
      <c r="T986" s="37" t="str">
        <f aca="false">IF($M986="","",IF(NOT(ISNUMBER(R986)),"NO DATE",IF(S986="Won",IF(R986&gt;Settings!$B$5,"Backlog","Delivered"),IF(S986="Open",IF(R986&gt;Settings!$B$5,"Pipeline","Overdue"),IF(S986="Lost","Lost","UNMAPPED")))))</f>
        <v/>
      </c>
      <c r="U986" s="40" t="n">
        <f aca="false">IF(T986="Backlog",1,IF(OR(T986="Pipeline",T986="Overdue"),N(INDEX(Settings!$C$27:$C$36,MATCH(L986,Settings!$A$27:$A$36,0))),0))</f>
        <v>0</v>
      </c>
      <c r="V986" s="38" t="n">
        <f aca="false">Q986*U986</f>
        <v>0</v>
      </c>
      <c r="W986" s="41" t="str">
        <f aca="false">IF($M986="","",IF(T986="Overdue",IF(Settings!$B$8="Yes",Settings!$B$7,""),IF(ISNUMBER(R986),DATE(YEAR(R986),MONTH(R986),1),"")))</f>
        <v/>
      </c>
      <c r="X986" s="38" t="n">
        <f aca="false">IF(AND(OR(T986="Backlog",T986="Pipeline",T986="Overdue"),ISNUMBER(W986)),IF(W986&lt;=Settings!$B$6,V986,0),0)</f>
        <v>0</v>
      </c>
      <c r="Y986" s="38" t="n">
        <f aca="false">IF(AND(OR(T986="Backlog",T986="Pipeline",T986="Overdue"),ISNUMBER(W986)),IF(W986&lt;=Settings!$B$6,Q986,0),0)</f>
        <v>0</v>
      </c>
      <c r="Z986" s="38" t="n">
        <f aca="false">IF(Y986=0,0,IF(T986="Backlog",Q986,Q986*Dashboard!$C$10))</f>
        <v>0</v>
      </c>
      <c r="AA986" s="37" t="n">
        <f aca="false">IF($N986="",0,IF(COUNTIF(Dashboard!$C$13:$C$22,$N986)&gt;0,1,0))</f>
        <v>0</v>
      </c>
      <c r="AB986" s="37" t="str">
        <f aca="false">IF($N986="","",IF(COUNTIF($N$8:$N986,$N986)=1,MAX($AB$7:$AB985)+1,""))</f>
        <v/>
      </c>
    </row>
    <row r="987" customFormat="false" ht="15" hidden="false" customHeight="false" outlineLevel="0" collapsed="false">
      <c r="L987" s="37" t="str">
        <f aca="false">IF(INDEX($A987:$J987,$L$6)&lt;&gt;"",TRIM(LEFT(INDEX($A987:$J987,$L$6),FIND("(",INDEX($A987:$J987,$L$6)&amp;"(")-1)),L986)</f>
        <v>Building Value Proposition</v>
      </c>
      <c r="M987" s="37" t="str">
        <f aca="false">IF(INDEX($A987:$J987,$M$6)="","",INDEX($A987:$J987,$M$6)&amp;"")</f>
        <v/>
      </c>
      <c r="N987" s="37" t="str">
        <f aca="false">IF($M987="","",TRIM(INDEX($A987:$J987,$N$6)&amp;""))</f>
        <v/>
      </c>
      <c r="O987" s="37" t="str">
        <f aca="false">IF($M987="","",TRIM(INDEX($A987:$J987,$O$6)&amp;""))</f>
        <v/>
      </c>
      <c r="P987" s="37" t="str">
        <f aca="false">IF($M987="","",IFERROR(IF(INDEX(Settings!$B$41:$B$50,MATCH(O987,Settings!$A$41:$A$50,0))&amp;""="","UNMAPPED",INDEX(Settings!$B$41:$B$50,MATCH(O987,Settings!$A$41:$A$50,0))&amp;""),"UNMAPPED"))</f>
        <v/>
      </c>
      <c r="Q987" s="38" t="n">
        <f aca="false">IF($M987="",0,N(INDEX($A987:$J987,$Q$6)))</f>
        <v>0</v>
      </c>
      <c r="R987" s="39" t="str">
        <f aca="false">IF($M987="","",INDEX($A987:$J987,$R$6))</f>
        <v/>
      </c>
      <c r="S987" s="37" t="str">
        <f aca="false">IF($M987="","",IFERROR(INDEX(Settings!$B$27:$B$36,MATCH(L987,Settings!$A$27:$A$36,0))&amp;"","UNMAPPED"))</f>
        <v/>
      </c>
      <c r="T987" s="37" t="str">
        <f aca="false">IF($M987="","",IF(NOT(ISNUMBER(R987)),"NO DATE",IF(S987="Won",IF(R987&gt;Settings!$B$5,"Backlog","Delivered"),IF(S987="Open",IF(R987&gt;Settings!$B$5,"Pipeline","Overdue"),IF(S987="Lost","Lost","UNMAPPED")))))</f>
        <v/>
      </c>
      <c r="U987" s="40" t="n">
        <f aca="false">IF(T987="Backlog",1,IF(OR(T987="Pipeline",T987="Overdue"),N(INDEX(Settings!$C$27:$C$36,MATCH(L987,Settings!$A$27:$A$36,0))),0))</f>
        <v>0</v>
      </c>
      <c r="V987" s="38" t="n">
        <f aca="false">Q987*U987</f>
        <v>0</v>
      </c>
      <c r="W987" s="41" t="str">
        <f aca="false">IF($M987="","",IF(T987="Overdue",IF(Settings!$B$8="Yes",Settings!$B$7,""),IF(ISNUMBER(R987),DATE(YEAR(R987),MONTH(R987),1),"")))</f>
        <v/>
      </c>
      <c r="X987" s="38" t="n">
        <f aca="false">IF(AND(OR(T987="Backlog",T987="Pipeline",T987="Overdue"),ISNUMBER(W987)),IF(W987&lt;=Settings!$B$6,V987,0),0)</f>
        <v>0</v>
      </c>
      <c r="Y987" s="38" t="n">
        <f aca="false">IF(AND(OR(T987="Backlog",T987="Pipeline",T987="Overdue"),ISNUMBER(W987)),IF(W987&lt;=Settings!$B$6,Q987,0),0)</f>
        <v>0</v>
      </c>
      <c r="Z987" s="38" t="n">
        <f aca="false">IF(Y987=0,0,IF(T987="Backlog",Q987,Q987*Dashboard!$C$10))</f>
        <v>0</v>
      </c>
      <c r="AA987" s="37" t="n">
        <f aca="false">IF($N987="",0,IF(COUNTIF(Dashboard!$C$13:$C$22,$N987)&gt;0,1,0))</f>
        <v>0</v>
      </c>
      <c r="AB987" s="37" t="str">
        <f aca="false">IF($N987="","",IF(COUNTIF($N$8:$N987,$N987)=1,MAX($AB$7:$AB986)+1,""))</f>
        <v/>
      </c>
    </row>
    <row r="988" customFormat="false" ht="15" hidden="false" customHeight="false" outlineLevel="0" collapsed="false">
      <c r="L988" s="37" t="str">
        <f aca="false">IF(INDEX($A988:$J988,$L$6)&lt;&gt;"",TRIM(LEFT(INDEX($A988:$J988,$L$6),FIND("(",INDEX($A988:$J988,$L$6)&amp;"(")-1)),L987)</f>
        <v>Building Value Proposition</v>
      </c>
      <c r="M988" s="37" t="str">
        <f aca="false">IF(INDEX($A988:$J988,$M$6)="","",INDEX($A988:$J988,$M$6)&amp;"")</f>
        <v/>
      </c>
      <c r="N988" s="37" t="str">
        <f aca="false">IF($M988="","",TRIM(INDEX($A988:$J988,$N$6)&amp;""))</f>
        <v/>
      </c>
      <c r="O988" s="37" t="str">
        <f aca="false">IF($M988="","",TRIM(INDEX($A988:$J988,$O$6)&amp;""))</f>
        <v/>
      </c>
      <c r="P988" s="37" t="str">
        <f aca="false">IF($M988="","",IFERROR(IF(INDEX(Settings!$B$41:$B$50,MATCH(O988,Settings!$A$41:$A$50,0))&amp;""="","UNMAPPED",INDEX(Settings!$B$41:$B$50,MATCH(O988,Settings!$A$41:$A$50,0))&amp;""),"UNMAPPED"))</f>
        <v/>
      </c>
      <c r="Q988" s="38" t="n">
        <f aca="false">IF($M988="",0,N(INDEX($A988:$J988,$Q$6)))</f>
        <v>0</v>
      </c>
      <c r="R988" s="39" t="str">
        <f aca="false">IF($M988="","",INDEX($A988:$J988,$R$6))</f>
        <v/>
      </c>
      <c r="S988" s="37" t="str">
        <f aca="false">IF($M988="","",IFERROR(INDEX(Settings!$B$27:$B$36,MATCH(L988,Settings!$A$27:$A$36,0))&amp;"","UNMAPPED"))</f>
        <v/>
      </c>
      <c r="T988" s="37" t="str">
        <f aca="false">IF($M988="","",IF(NOT(ISNUMBER(R988)),"NO DATE",IF(S988="Won",IF(R988&gt;Settings!$B$5,"Backlog","Delivered"),IF(S988="Open",IF(R988&gt;Settings!$B$5,"Pipeline","Overdue"),IF(S988="Lost","Lost","UNMAPPED")))))</f>
        <v/>
      </c>
      <c r="U988" s="40" t="n">
        <f aca="false">IF(T988="Backlog",1,IF(OR(T988="Pipeline",T988="Overdue"),N(INDEX(Settings!$C$27:$C$36,MATCH(L988,Settings!$A$27:$A$36,0))),0))</f>
        <v>0</v>
      </c>
      <c r="V988" s="38" t="n">
        <f aca="false">Q988*U988</f>
        <v>0</v>
      </c>
      <c r="W988" s="41" t="str">
        <f aca="false">IF($M988="","",IF(T988="Overdue",IF(Settings!$B$8="Yes",Settings!$B$7,""),IF(ISNUMBER(R988),DATE(YEAR(R988),MONTH(R988),1),"")))</f>
        <v/>
      </c>
      <c r="X988" s="38" t="n">
        <f aca="false">IF(AND(OR(T988="Backlog",T988="Pipeline",T988="Overdue"),ISNUMBER(W988)),IF(W988&lt;=Settings!$B$6,V988,0),0)</f>
        <v>0</v>
      </c>
      <c r="Y988" s="38" t="n">
        <f aca="false">IF(AND(OR(T988="Backlog",T988="Pipeline",T988="Overdue"),ISNUMBER(W988)),IF(W988&lt;=Settings!$B$6,Q988,0),0)</f>
        <v>0</v>
      </c>
      <c r="Z988" s="38" t="n">
        <f aca="false">IF(Y988=0,0,IF(T988="Backlog",Q988,Q988*Dashboard!$C$10))</f>
        <v>0</v>
      </c>
      <c r="AA988" s="37" t="n">
        <f aca="false">IF($N988="",0,IF(COUNTIF(Dashboard!$C$13:$C$22,$N988)&gt;0,1,0))</f>
        <v>0</v>
      </c>
      <c r="AB988" s="37" t="str">
        <f aca="false">IF($N988="","",IF(COUNTIF($N$8:$N988,$N988)=1,MAX($AB$7:$AB987)+1,""))</f>
        <v/>
      </c>
    </row>
    <row r="989" customFormat="false" ht="15" hidden="false" customHeight="false" outlineLevel="0" collapsed="false">
      <c r="L989" s="37" t="str">
        <f aca="false">IF(INDEX($A989:$J989,$L$6)&lt;&gt;"",TRIM(LEFT(INDEX($A989:$J989,$L$6),FIND("(",INDEX($A989:$J989,$L$6)&amp;"(")-1)),L988)</f>
        <v>Building Value Proposition</v>
      </c>
      <c r="M989" s="37" t="str">
        <f aca="false">IF(INDEX($A989:$J989,$M$6)="","",INDEX($A989:$J989,$M$6)&amp;"")</f>
        <v/>
      </c>
      <c r="N989" s="37" t="str">
        <f aca="false">IF($M989="","",TRIM(INDEX($A989:$J989,$N$6)&amp;""))</f>
        <v/>
      </c>
      <c r="O989" s="37" t="str">
        <f aca="false">IF($M989="","",TRIM(INDEX($A989:$J989,$O$6)&amp;""))</f>
        <v/>
      </c>
      <c r="P989" s="37" t="str">
        <f aca="false">IF($M989="","",IFERROR(IF(INDEX(Settings!$B$41:$B$50,MATCH(O989,Settings!$A$41:$A$50,0))&amp;""="","UNMAPPED",INDEX(Settings!$B$41:$B$50,MATCH(O989,Settings!$A$41:$A$50,0))&amp;""),"UNMAPPED"))</f>
        <v/>
      </c>
      <c r="Q989" s="38" t="n">
        <f aca="false">IF($M989="",0,N(INDEX($A989:$J989,$Q$6)))</f>
        <v>0</v>
      </c>
      <c r="R989" s="39" t="str">
        <f aca="false">IF($M989="","",INDEX($A989:$J989,$R$6))</f>
        <v/>
      </c>
      <c r="S989" s="37" t="str">
        <f aca="false">IF($M989="","",IFERROR(INDEX(Settings!$B$27:$B$36,MATCH(L989,Settings!$A$27:$A$36,0))&amp;"","UNMAPPED"))</f>
        <v/>
      </c>
      <c r="T989" s="37" t="str">
        <f aca="false">IF($M989="","",IF(NOT(ISNUMBER(R989)),"NO DATE",IF(S989="Won",IF(R989&gt;Settings!$B$5,"Backlog","Delivered"),IF(S989="Open",IF(R989&gt;Settings!$B$5,"Pipeline","Overdue"),IF(S989="Lost","Lost","UNMAPPED")))))</f>
        <v/>
      </c>
      <c r="U989" s="40" t="n">
        <f aca="false">IF(T989="Backlog",1,IF(OR(T989="Pipeline",T989="Overdue"),N(INDEX(Settings!$C$27:$C$36,MATCH(L989,Settings!$A$27:$A$36,0))),0))</f>
        <v>0</v>
      </c>
      <c r="V989" s="38" t="n">
        <f aca="false">Q989*U989</f>
        <v>0</v>
      </c>
      <c r="W989" s="41" t="str">
        <f aca="false">IF($M989="","",IF(T989="Overdue",IF(Settings!$B$8="Yes",Settings!$B$7,""),IF(ISNUMBER(R989),DATE(YEAR(R989),MONTH(R989),1),"")))</f>
        <v/>
      </c>
      <c r="X989" s="38" t="n">
        <f aca="false">IF(AND(OR(T989="Backlog",T989="Pipeline",T989="Overdue"),ISNUMBER(W989)),IF(W989&lt;=Settings!$B$6,V989,0),0)</f>
        <v>0</v>
      </c>
      <c r="Y989" s="38" t="n">
        <f aca="false">IF(AND(OR(T989="Backlog",T989="Pipeline",T989="Overdue"),ISNUMBER(W989)),IF(W989&lt;=Settings!$B$6,Q989,0),0)</f>
        <v>0</v>
      </c>
      <c r="Z989" s="38" t="n">
        <f aca="false">IF(Y989=0,0,IF(T989="Backlog",Q989,Q989*Dashboard!$C$10))</f>
        <v>0</v>
      </c>
      <c r="AA989" s="37" t="n">
        <f aca="false">IF($N989="",0,IF(COUNTIF(Dashboard!$C$13:$C$22,$N989)&gt;0,1,0))</f>
        <v>0</v>
      </c>
      <c r="AB989" s="37" t="str">
        <f aca="false">IF($N989="","",IF(COUNTIF($N$8:$N989,$N989)=1,MAX($AB$7:$AB988)+1,""))</f>
        <v/>
      </c>
    </row>
    <row r="990" customFormat="false" ht="15" hidden="false" customHeight="false" outlineLevel="0" collapsed="false">
      <c r="L990" s="37" t="str">
        <f aca="false">IF(INDEX($A990:$J990,$L$6)&lt;&gt;"",TRIM(LEFT(INDEX($A990:$J990,$L$6),FIND("(",INDEX($A990:$J990,$L$6)&amp;"(")-1)),L989)</f>
        <v>Building Value Proposition</v>
      </c>
      <c r="M990" s="37" t="str">
        <f aca="false">IF(INDEX($A990:$J990,$M$6)="","",INDEX($A990:$J990,$M$6)&amp;"")</f>
        <v/>
      </c>
      <c r="N990" s="37" t="str">
        <f aca="false">IF($M990="","",TRIM(INDEX($A990:$J990,$N$6)&amp;""))</f>
        <v/>
      </c>
      <c r="O990" s="37" t="str">
        <f aca="false">IF($M990="","",TRIM(INDEX($A990:$J990,$O$6)&amp;""))</f>
        <v/>
      </c>
      <c r="P990" s="37" t="str">
        <f aca="false">IF($M990="","",IFERROR(IF(INDEX(Settings!$B$41:$B$50,MATCH(O990,Settings!$A$41:$A$50,0))&amp;""="","UNMAPPED",INDEX(Settings!$B$41:$B$50,MATCH(O990,Settings!$A$41:$A$50,0))&amp;""),"UNMAPPED"))</f>
        <v/>
      </c>
      <c r="Q990" s="38" t="n">
        <f aca="false">IF($M990="",0,N(INDEX($A990:$J990,$Q$6)))</f>
        <v>0</v>
      </c>
      <c r="R990" s="39" t="str">
        <f aca="false">IF($M990="","",INDEX($A990:$J990,$R$6))</f>
        <v/>
      </c>
      <c r="S990" s="37" t="str">
        <f aca="false">IF($M990="","",IFERROR(INDEX(Settings!$B$27:$B$36,MATCH(L990,Settings!$A$27:$A$36,0))&amp;"","UNMAPPED"))</f>
        <v/>
      </c>
      <c r="T990" s="37" t="str">
        <f aca="false">IF($M990="","",IF(NOT(ISNUMBER(R990)),"NO DATE",IF(S990="Won",IF(R990&gt;Settings!$B$5,"Backlog","Delivered"),IF(S990="Open",IF(R990&gt;Settings!$B$5,"Pipeline","Overdue"),IF(S990="Lost","Lost","UNMAPPED")))))</f>
        <v/>
      </c>
      <c r="U990" s="40" t="n">
        <f aca="false">IF(T990="Backlog",1,IF(OR(T990="Pipeline",T990="Overdue"),N(INDEX(Settings!$C$27:$C$36,MATCH(L990,Settings!$A$27:$A$36,0))),0))</f>
        <v>0</v>
      </c>
      <c r="V990" s="38" t="n">
        <f aca="false">Q990*U990</f>
        <v>0</v>
      </c>
      <c r="W990" s="41" t="str">
        <f aca="false">IF($M990="","",IF(T990="Overdue",IF(Settings!$B$8="Yes",Settings!$B$7,""),IF(ISNUMBER(R990),DATE(YEAR(R990),MONTH(R990),1),"")))</f>
        <v/>
      </c>
      <c r="X990" s="38" t="n">
        <f aca="false">IF(AND(OR(T990="Backlog",T990="Pipeline",T990="Overdue"),ISNUMBER(W990)),IF(W990&lt;=Settings!$B$6,V990,0),0)</f>
        <v>0</v>
      </c>
      <c r="Y990" s="38" t="n">
        <f aca="false">IF(AND(OR(T990="Backlog",T990="Pipeline",T990="Overdue"),ISNUMBER(W990)),IF(W990&lt;=Settings!$B$6,Q990,0),0)</f>
        <v>0</v>
      </c>
      <c r="Z990" s="38" t="n">
        <f aca="false">IF(Y990=0,0,IF(T990="Backlog",Q990,Q990*Dashboard!$C$10))</f>
        <v>0</v>
      </c>
      <c r="AA990" s="37" t="n">
        <f aca="false">IF($N990="",0,IF(COUNTIF(Dashboard!$C$13:$C$22,$N990)&gt;0,1,0))</f>
        <v>0</v>
      </c>
      <c r="AB990" s="37" t="str">
        <f aca="false">IF($N990="","",IF(COUNTIF($N$8:$N990,$N990)=1,MAX($AB$7:$AB989)+1,""))</f>
        <v/>
      </c>
    </row>
    <row r="991" customFormat="false" ht="15" hidden="false" customHeight="false" outlineLevel="0" collapsed="false">
      <c r="L991" s="37" t="str">
        <f aca="false">IF(INDEX($A991:$J991,$L$6)&lt;&gt;"",TRIM(LEFT(INDEX($A991:$J991,$L$6),FIND("(",INDEX($A991:$J991,$L$6)&amp;"(")-1)),L990)</f>
        <v>Building Value Proposition</v>
      </c>
      <c r="M991" s="37" t="str">
        <f aca="false">IF(INDEX($A991:$J991,$M$6)="","",INDEX($A991:$J991,$M$6)&amp;"")</f>
        <v/>
      </c>
      <c r="N991" s="37" t="str">
        <f aca="false">IF($M991="","",TRIM(INDEX($A991:$J991,$N$6)&amp;""))</f>
        <v/>
      </c>
      <c r="O991" s="37" t="str">
        <f aca="false">IF($M991="","",TRIM(INDEX($A991:$J991,$O$6)&amp;""))</f>
        <v/>
      </c>
      <c r="P991" s="37" t="str">
        <f aca="false">IF($M991="","",IFERROR(IF(INDEX(Settings!$B$41:$B$50,MATCH(O991,Settings!$A$41:$A$50,0))&amp;""="","UNMAPPED",INDEX(Settings!$B$41:$B$50,MATCH(O991,Settings!$A$41:$A$50,0))&amp;""),"UNMAPPED"))</f>
        <v/>
      </c>
      <c r="Q991" s="38" t="n">
        <f aca="false">IF($M991="",0,N(INDEX($A991:$J991,$Q$6)))</f>
        <v>0</v>
      </c>
      <c r="R991" s="39" t="str">
        <f aca="false">IF($M991="","",INDEX($A991:$J991,$R$6))</f>
        <v/>
      </c>
      <c r="S991" s="37" t="str">
        <f aca="false">IF($M991="","",IFERROR(INDEX(Settings!$B$27:$B$36,MATCH(L991,Settings!$A$27:$A$36,0))&amp;"","UNMAPPED"))</f>
        <v/>
      </c>
      <c r="T991" s="37" t="str">
        <f aca="false">IF($M991="","",IF(NOT(ISNUMBER(R991)),"NO DATE",IF(S991="Won",IF(R991&gt;Settings!$B$5,"Backlog","Delivered"),IF(S991="Open",IF(R991&gt;Settings!$B$5,"Pipeline","Overdue"),IF(S991="Lost","Lost","UNMAPPED")))))</f>
        <v/>
      </c>
      <c r="U991" s="40" t="n">
        <f aca="false">IF(T991="Backlog",1,IF(OR(T991="Pipeline",T991="Overdue"),N(INDEX(Settings!$C$27:$C$36,MATCH(L991,Settings!$A$27:$A$36,0))),0))</f>
        <v>0</v>
      </c>
      <c r="V991" s="38" t="n">
        <f aca="false">Q991*U991</f>
        <v>0</v>
      </c>
      <c r="W991" s="41" t="str">
        <f aca="false">IF($M991="","",IF(T991="Overdue",IF(Settings!$B$8="Yes",Settings!$B$7,""),IF(ISNUMBER(R991),DATE(YEAR(R991),MONTH(R991),1),"")))</f>
        <v/>
      </c>
      <c r="X991" s="38" t="n">
        <f aca="false">IF(AND(OR(T991="Backlog",T991="Pipeline",T991="Overdue"),ISNUMBER(W991)),IF(W991&lt;=Settings!$B$6,V991,0),0)</f>
        <v>0</v>
      </c>
      <c r="Y991" s="38" t="n">
        <f aca="false">IF(AND(OR(T991="Backlog",T991="Pipeline",T991="Overdue"),ISNUMBER(W991)),IF(W991&lt;=Settings!$B$6,Q991,0),0)</f>
        <v>0</v>
      </c>
      <c r="Z991" s="38" t="n">
        <f aca="false">IF(Y991=0,0,IF(T991="Backlog",Q991,Q991*Dashboard!$C$10))</f>
        <v>0</v>
      </c>
      <c r="AA991" s="37" t="n">
        <f aca="false">IF($N991="",0,IF(COUNTIF(Dashboard!$C$13:$C$22,$N991)&gt;0,1,0))</f>
        <v>0</v>
      </c>
      <c r="AB991" s="37" t="str">
        <f aca="false">IF($N991="","",IF(COUNTIF($N$8:$N991,$N991)=1,MAX($AB$7:$AB990)+1,""))</f>
        <v/>
      </c>
    </row>
    <row r="992" customFormat="false" ht="15" hidden="false" customHeight="false" outlineLevel="0" collapsed="false">
      <c r="L992" s="37" t="str">
        <f aca="false">IF(INDEX($A992:$J992,$L$6)&lt;&gt;"",TRIM(LEFT(INDEX($A992:$J992,$L$6),FIND("(",INDEX($A992:$J992,$L$6)&amp;"(")-1)),L991)</f>
        <v>Building Value Proposition</v>
      </c>
      <c r="M992" s="37" t="str">
        <f aca="false">IF(INDEX($A992:$J992,$M$6)="","",INDEX($A992:$J992,$M$6)&amp;"")</f>
        <v/>
      </c>
      <c r="N992" s="37" t="str">
        <f aca="false">IF($M992="","",TRIM(INDEX($A992:$J992,$N$6)&amp;""))</f>
        <v/>
      </c>
      <c r="O992" s="37" t="str">
        <f aca="false">IF($M992="","",TRIM(INDEX($A992:$J992,$O$6)&amp;""))</f>
        <v/>
      </c>
      <c r="P992" s="37" t="str">
        <f aca="false">IF($M992="","",IFERROR(IF(INDEX(Settings!$B$41:$B$50,MATCH(O992,Settings!$A$41:$A$50,0))&amp;""="","UNMAPPED",INDEX(Settings!$B$41:$B$50,MATCH(O992,Settings!$A$41:$A$50,0))&amp;""),"UNMAPPED"))</f>
        <v/>
      </c>
      <c r="Q992" s="38" t="n">
        <f aca="false">IF($M992="",0,N(INDEX($A992:$J992,$Q$6)))</f>
        <v>0</v>
      </c>
      <c r="R992" s="39" t="str">
        <f aca="false">IF($M992="","",INDEX($A992:$J992,$R$6))</f>
        <v/>
      </c>
      <c r="S992" s="37" t="str">
        <f aca="false">IF($M992="","",IFERROR(INDEX(Settings!$B$27:$B$36,MATCH(L992,Settings!$A$27:$A$36,0))&amp;"","UNMAPPED"))</f>
        <v/>
      </c>
      <c r="T992" s="37" t="str">
        <f aca="false">IF($M992="","",IF(NOT(ISNUMBER(R992)),"NO DATE",IF(S992="Won",IF(R992&gt;Settings!$B$5,"Backlog","Delivered"),IF(S992="Open",IF(R992&gt;Settings!$B$5,"Pipeline","Overdue"),IF(S992="Lost","Lost","UNMAPPED")))))</f>
        <v/>
      </c>
      <c r="U992" s="40" t="n">
        <f aca="false">IF(T992="Backlog",1,IF(OR(T992="Pipeline",T992="Overdue"),N(INDEX(Settings!$C$27:$C$36,MATCH(L992,Settings!$A$27:$A$36,0))),0))</f>
        <v>0</v>
      </c>
      <c r="V992" s="38" t="n">
        <f aca="false">Q992*U992</f>
        <v>0</v>
      </c>
      <c r="W992" s="41" t="str">
        <f aca="false">IF($M992="","",IF(T992="Overdue",IF(Settings!$B$8="Yes",Settings!$B$7,""),IF(ISNUMBER(R992),DATE(YEAR(R992),MONTH(R992),1),"")))</f>
        <v/>
      </c>
      <c r="X992" s="38" t="n">
        <f aca="false">IF(AND(OR(T992="Backlog",T992="Pipeline",T992="Overdue"),ISNUMBER(W992)),IF(W992&lt;=Settings!$B$6,V992,0),0)</f>
        <v>0</v>
      </c>
      <c r="Y992" s="38" t="n">
        <f aca="false">IF(AND(OR(T992="Backlog",T992="Pipeline",T992="Overdue"),ISNUMBER(W992)),IF(W992&lt;=Settings!$B$6,Q992,0),0)</f>
        <v>0</v>
      </c>
      <c r="Z992" s="38" t="n">
        <f aca="false">IF(Y992=0,0,IF(T992="Backlog",Q992,Q992*Dashboard!$C$10))</f>
        <v>0</v>
      </c>
      <c r="AA992" s="37" t="n">
        <f aca="false">IF($N992="",0,IF(COUNTIF(Dashboard!$C$13:$C$22,$N992)&gt;0,1,0))</f>
        <v>0</v>
      </c>
      <c r="AB992" s="37" t="str">
        <f aca="false">IF($N992="","",IF(COUNTIF($N$8:$N992,$N992)=1,MAX($AB$7:$AB991)+1,""))</f>
        <v/>
      </c>
    </row>
    <row r="993" customFormat="false" ht="15" hidden="false" customHeight="false" outlineLevel="0" collapsed="false">
      <c r="L993" s="37" t="str">
        <f aca="false">IF(INDEX($A993:$J993,$L$6)&lt;&gt;"",TRIM(LEFT(INDEX($A993:$J993,$L$6),FIND("(",INDEX($A993:$J993,$L$6)&amp;"(")-1)),L992)</f>
        <v>Building Value Proposition</v>
      </c>
      <c r="M993" s="37" t="str">
        <f aca="false">IF(INDEX($A993:$J993,$M$6)="","",INDEX($A993:$J993,$M$6)&amp;"")</f>
        <v/>
      </c>
      <c r="N993" s="37" t="str">
        <f aca="false">IF($M993="","",TRIM(INDEX($A993:$J993,$N$6)&amp;""))</f>
        <v/>
      </c>
      <c r="O993" s="37" t="str">
        <f aca="false">IF($M993="","",TRIM(INDEX($A993:$J993,$O$6)&amp;""))</f>
        <v/>
      </c>
      <c r="P993" s="37" t="str">
        <f aca="false">IF($M993="","",IFERROR(IF(INDEX(Settings!$B$41:$B$50,MATCH(O993,Settings!$A$41:$A$50,0))&amp;""="","UNMAPPED",INDEX(Settings!$B$41:$B$50,MATCH(O993,Settings!$A$41:$A$50,0))&amp;""),"UNMAPPED"))</f>
        <v/>
      </c>
      <c r="Q993" s="38" t="n">
        <f aca="false">IF($M993="",0,N(INDEX($A993:$J993,$Q$6)))</f>
        <v>0</v>
      </c>
      <c r="R993" s="39" t="str">
        <f aca="false">IF($M993="","",INDEX($A993:$J993,$R$6))</f>
        <v/>
      </c>
      <c r="S993" s="37" t="str">
        <f aca="false">IF($M993="","",IFERROR(INDEX(Settings!$B$27:$B$36,MATCH(L993,Settings!$A$27:$A$36,0))&amp;"","UNMAPPED"))</f>
        <v/>
      </c>
      <c r="T993" s="37" t="str">
        <f aca="false">IF($M993="","",IF(NOT(ISNUMBER(R993)),"NO DATE",IF(S993="Won",IF(R993&gt;Settings!$B$5,"Backlog","Delivered"),IF(S993="Open",IF(R993&gt;Settings!$B$5,"Pipeline","Overdue"),IF(S993="Lost","Lost","UNMAPPED")))))</f>
        <v/>
      </c>
      <c r="U993" s="40" t="n">
        <f aca="false">IF(T993="Backlog",1,IF(OR(T993="Pipeline",T993="Overdue"),N(INDEX(Settings!$C$27:$C$36,MATCH(L993,Settings!$A$27:$A$36,0))),0))</f>
        <v>0</v>
      </c>
      <c r="V993" s="38" t="n">
        <f aca="false">Q993*U993</f>
        <v>0</v>
      </c>
      <c r="W993" s="41" t="str">
        <f aca="false">IF($M993="","",IF(T993="Overdue",IF(Settings!$B$8="Yes",Settings!$B$7,""),IF(ISNUMBER(R993),DATE(YEAR(R993),MONTH(R993),1),"")))</f>
        <v/>
      </c>
      <c r="X993" s="38" t="n">
        <f aca="false">IF(AND(OR(T993="Backlog",T993="Pipeline",T993="Overdue"),ISNUMBER(W993)),IF(W993&lt;=Settings!$B$6,V993,0),0)</f>
        <v>0</v>
      </c>
      <c r="Y993" s="38" t="n">
        <f aca="false">IF(AND(OR(T993="Backlog",T993="Pipeline",T993="Overdue"),ISNUMBER(W993)),IF(W993&lt;=Settings!$B$6,Q993,0),0)</f>
        <v>0</v>
      </c>
      <c r="Z993" s="38" t="n">
        <f aca="false">IF(Y993=0,0,IF(T993="Backlog",Q993,Q993*Dashboard!$C$10))</f>
        <v>0</v>
      </c>
      <c r="AA993" s="37" t="n">
        <f aca="false">IF($N993="",0,IF(COUNTIF(Dashboard!$C$13:$C$22,$N993)&gt;0,1,0))</f>
        <v>0</v>
      </c>
      <c r="AB993" s="37" t="str">
        <f aca="false">IF($N993="","",IF(COUNTIF($N$8:$N993,$N993)=1,MAX($AB$7:$AB992)+1,""))</f>
        <v/>
      </c>
    </row>
    <row r="994" customFormat="false" ht="15" hidden="false" customHeight="false" outlineLevel="0" collapsed="false">
      <c r="L994" s="37" t="str">
        <f aca="false">IF(INDEX($A994:$J994,$L$6)&lt;&gt;"",TRIM(LEFT(INDEX($A994:$J994,$L$6),FIND("(",INDEX($A994:$J994,$L$6)&amp;"(")-1)),L993)</f>
        <v>Building Value Proposition</v>
      </c>
      <c r="M994" s="37" t="str">
        <f aca="false">IF(INDEX($A994:$J994,$M$6)="","",INDEX($A994:$J994,$M$6)&amp;"")</f>
        <v/>
      </c>
      <c r="N994" s="37" t="str">
        <f aca="false">IF($M994="","",TRIM(INDEX($A994:$J994,$N$6)&amp;""))</f>
        <v/>
      </c>
      <c r="O994" s="37" t="str">
        <f aca="false">IF($M994="","",TRIM(INDEX($A994:$J994,$O$6)&amp;""))</f>
        <v/>
      </c>
      <c r="P994" s="37" t="str">
        <f aca="false">IF($M994="","",IFERROR(IF(INDEX(Settings!$B$41:$B$50,MATCH(O994,Settings!$A$41:$A$50,0))&amp;""="","UNMAPPED",INDEX(Settings!$B$41:$B$50,MATCH(O994,Settings!$A$41:$A$50,0))&amp;""),"UNMAPPED"))</f>
        <v/>
      </c>
      <c r="Q994" s="38" t="n">
        <f aca="false">IF($M994="",0,N(INDEX($A994:$J994,$Q$6)))</f>
        <v>0</v>
      </c>
      <c r="R994" s="39" t="str">
        <f aca="false">IF($M994="","",INDEX($A994:$J994,$R$6))</f>
        <v/>
      </c>
      <c r="S994" s="37" t="str">
        <f aca="false">IF($M994="","",IFERROR(INDEX(Settings!$B$27:$B$36,MATCH(L994,Settings!$A$27:$A$36,0))&amp;"","UNMAPPED"))</f>
        <v/>
      </c>
      <c r="T994" s="37" t="str">
        <f aca="false">IF($M994="","",IF(NOT(ISNUMBER(R994)),"NO DATE",IF(S994="Won",IF(R994&gt;Settings!$B$5,"Backlog","Delivered"),IF(S994="Open",IF(R994&gt;Settings!$B$5,"Pipeline","Overdue"),IF(S994="Lost","Lost","UNMAPPED")))))</f>
        <v/>
      </c>
      <c r="U994" s="40" t="n">
        <f aca="false">IF(T994="Backlog",1,IF(OR(T994="Pipeline",T994="Overdue"),N(INDEX(Settings!$C$27:$C$36,MATCH(L994,Settings!$A$27:$A$36,0))),0))</f>
        <v>0</v>
      </c>
      <c r="V994" s="38" t="n">
        <f aca="false">Q994*U994</f>
        <v>0</v>
      </c>
      <c r="W994" s="41" t="str">
        <f aca="false">IF($M994="","",IF(T994="Overdue",IF(Settings!$B$8="Yes",Settings!$B$7,""),IF(ISNUMBER(R994),DATE(YEAR(R994),MONTH(R994),1),"")))</f>
        <v/>
      </c>
      <c r="X994" s="38" t="n">
        <f aca="false">IF(AND(OR(T994="Backlog",T994="Pipeline",T994="Overdue"),ISNUMBER(W994)),IF(W994&lt;=Settings!$B$6,V994,0),0)</f>
        <v>0</v>
      </c>
      <c r="Y994" s="38" t="n">
        <f aca="false">IF(AND(OR(T994="Backlog",T994="Pipeline",T994="Overdue"),ISNUMBER(W994)),IF(W994&lt;=Settings!$B$6,Q994,0),0)</f>
        <v>0</v>
      </c>
      <c r="Z994" s="38" t="n">
        <f aca="false">IF(Y994=0,0,IF(T994="Backlog",Q994,Q994*Dashboard!$C$10))</f>
        <v>0</v>
      </c>
      <c r="AA994" s="37" t="n">
        <f aca="false">IF($N994="",0,IF(COUNTIF(Dashboard!$C$13:$C$22,$N994)&gt;0,1,0))</f>
        <v>0</v>
      </c>
      <c r="AB994" s="37" t="str">
        <f aca="false">IF($N994="","",IF(COUNTIF($N$8:$N994,$N994)=1,MAX($AB$7:$AB993)+1,""))</f>
        <v/>
      </c>
    </row>
    <row r="995" customFormat="false" ht="15" hidden="false" customHeight="false" outlineLevel="0" collapsed="false">
      <c r="L995" s="37" t="str">
        <f aca="false">IF(INDEX($A995:$J995,$L$6)&lt;&gt;"",TRIM(LEFT(INDEX($A995:$J995,$L$6),FIND("(",INDEX($A995:$J995,$L$6)&amp;"(")-1)),L994)</f>
        <v>Building Value Proposition</v>
      </c>
      <c r="M995" s="37" t="str">
        <f aca="false">IF(INDEX($A995:$J995,$M$6)="","",INDEX($A995:$J995,$M$6)&amp;"")</f>
        <v/>
      </c>
      <c r="N995" s="37" t="str">
        <f aca="false">IF($M995="","",TRIM(INDEX($A995:$J995,$N$6)&amp;""))</f>
        <v/>
      </c>
      <c r="O995" s="37" t="str">
        <f aca="false">IF($M995="","",TRIM(INDEX($A995:$J995,$O$6)&amp;""))</f>
        <v/>
      </c>
      <c r="P995" s="37" t="str">
        <f aca="false">IF($M995="","",IFERROR(IF(INDEX(Settings!$B$41:$B$50,MATCH(O995,Settings!$A$41:$A$50,0))&amp;""="","UNMAPPED",INDEX(Settings!$B$41:$B$50,MATCH(O995,Settings!$A$41:$A$50,0))&amp;""),"UNMAPPED"))</f>
        <v/>
      </c>
      <c r="Q995" s="38" t="n">
        <f aca="false">IF($M995="",0,N(INDEX($A995:$J995,$Q$6)))</f>
        <v>0</v>
      </c>
      <c r="R995" s="39" t="str">
        <f aca="false">IF($M995="","",INDEX($A995:$J995,$R$6))</f>
        <v/>
      </c>
      <c r="S995" s="37" t="str">
        <f aca="false">IF($M995="","",IFERROR(INDEX(Settings!$B$27:$B$36,MATCH(L995,Settings!$A$27:$A$36,0))&amp;"","UNMAPPED"))</f>
        <v/>
      </c>
      <c r="T995" s="37" t="str">
        <f aca="false">IF($M995="","",IF(NOT(ISNUMBER(R995)),"NO DATE",IF(S995="Won",IF(R995&gt;Settings!$B$5,"Backlog","Delivered"),IF(S995="Open",IF(R995&gt;Settings!$B$5,"Pipeline","Overdue"),IF(S995="Lost","Lost","UNMAPPED")))))</f>
        <v/>
      </c>
      <c r="U995" s="40" t="n">
        <f aca="false">IF(T995="Backlog",1,IF(OR(T995="Pipeline",T995="Overdue"),N(INDEX(Settings!$C$27:$C$36,MATCH(L995,Settings!$A$27:$A$36,0))),0))</f>
        <v>0</v>
      </c>
      <c r="V995" s="38" t="n">
        <f aca="false">Q995*U995</f>
        <v>0</v>
      </c>
      <c r="W995" s="41" t="str">
        <f aca="false">IF($M995="","",IF(T995="Overdue",IF(Settings!$B$8="Yes",Settings!$B$7,""),IF(ISNUMBER(R995),DATE(YEAR(R995),MONTH(R995),1),"")))</f>
        <v/>
      </c>
      <c r="X995" s="38" t="n">
        <f aca="false">IF(AND(OR(T995="Backlog",T995="Pipeline",T995="Overdue"),ISNUMBER(W995)),IF(W995&lt;=Settings!$B$6,V995,0),0)</f>
        <v>0</v>
      </c>
      <c r="Y995" s="38" t="n">
        <f aca="false">IF(AND(OR(T995="Backlog",T995="Pipeline",T995="Overdue"),ISNUMBER(W995)),IF(W995&lt;=Settings!$B$6,Q995,0),0)</f>
        <v>0</v>
      </c>
      <c r="Z995" s="38" t="n">
        <f aca="false">IF(Y995=0,0,IF(T995="Backlog",Q995,Q995*Dashboard!$C$10))</f>
        <v>0</v>
      </c>
      <c r="AA995" s="37" t="n">
        <f aca="false">IF($N995="",0,IF(COUNTIF(Dashboard!$C$13:$C$22,$N995)&gt;0,1,0))</f>
        <v>0</v>
      </c>
      <c r="AB995" s="37" t="str">
        <f aca="false">IF($N995="","",IF(COUNTIF($N$8:$N995,$N995)=1,MAX($AB$7:$AB994)+1,""))</f>
        <v/>
      </c>
    </row>
    <row r="996" customFormat="false" ht="15" hidden="false" customHeight="false" outlineLevel="0" collapsed="false">
      <c r="L996" s="37" t="str">
        <f aca="false">IF(INDEX($A996:$J996,$L$6)&lt;&gt;"",TRIM(LEFT(INDEX($A996:$J996,$L$6),FIND("(",INDEX($A996:$J996,$L$6)&amp;"(")-1)),L995)</f>
        <v>Building Value Proposition</v>
      </c>
      <c r="M996" s="37" t="str">
        <f aca="false">IF(INDEX($A996:$J996,$M$6)="","",INDEX($A996:$J996,$M$6)&amp;"")</f>
        <v/>
      </c>
      <c r="N996" s="37" t="str">
        <f aca="false">IF($M996="","",TRIM(INDEX($A996:$J996,$N$6)&amp;""))</f>
        <v/>
      </c>
      <c r="O996" s="37" t="str">
        <f aca="false">IF($M996="","",TRIM(INDEX($A996:$J996,$O$6)&amp;""))</f>
        <v/>
      </c>
      <c r="P996" s="37" t="str">
        <f aca="false">IF($M996="","",IFERROR(IF(INDEX(Settings!$B$41:$B$50,MATCH(O996,Settings!$A$41:$A$50,0))&amp;""="","UNMAPPED",INDEX(Settings!$B$41:$B$50,MATCH(O996,Settings!$A$41:$A$50,0))&amp;""),"UNMAPPED"))</f>
        <v/>
      </c>
      <c r="Q996" s="38" t="n">
        <f aca="false">IF($M996="",0,N(INDEX($A996:$J996,$Q$6)))</f>
        <v>0</v>
      </c>
      <c r="R996" s="39" t="str">
        <f aca="false">IF($M996="","",INDEX($A996:$J996,$R$6))</f>
        <v/>
      </c>
      <c r="S996" s="37" t="str">
        <f aca="false">IF($M996="","",IFERROR(INDEX(Settings!$B$27:$B$36,MATCH(L996,Settings!$A$27:$A$36,0))&amp;"","UNMAPPED"))</f>
        <v/>
      </c>
      <c r="T996" s="37" t="str">
        <f aca="false">IF($M996="","",IF(NOT(ISNUMBER(R996)),"NO DATE",IF(S996="Won",IF(R996&gt;Settings!$B$5,"Backlog","Delivered"),IF(S996="Open",IF(R996&gt;Settings!$B$5,"Pipeline","Overdue"),IF(S996="Lost","Lost","UNMAPPED")))))</f>
        <v/>
      </c>
      <c r="U996" s="40" t="n">
        <f aca="false">IF(T996="Backlog",1,IF(OR(T996="Pipeline",T996="Overdue"),N(INDEX(Settings!$C$27:$C$36,MATCH(L996,Settings!$A$27:$A$36,0))),0))</f>
        <v>0</v>
      </c>
      <c r="V996" s="38" t="n">
        <f aca="false">Q996*U996</f>
        <v>0</v>
      </c>
      <c r="W996" s="41" t="str">
        <f aca="false">IF($M996="","",IF(T996="Overdue",IF(Settings!$B$8="Yes",Settings!$B$7,""),IF(ISNUMBER(R996),DATE(YEAR(R996),MONTH(R996),1),"")))</f>
        <v/>
      </c>
      <c r="X996" s="38" t="n">
        <f aca="false">IF(AND(OR(T996="Backlog",T996="Pipeline",T996="Overdue"),ISNUMBER(W996)),IF(W996&lt;=Settings!$B$6,V996,0),0)</f>
        <v>0</v>
      </c>
      <c r="Y996" s="38" t="n">
        <f aca="false">IF(AND(OR(T996="Backlog",T996="Pipeline",T996="Overdue"),ISNUMBER(W996)),IF(W996&lt;=Settings!$B$6,Q996,0),0)</f>
        <v>0</v>
      </c>
      <c r="Z996" s="38" t="n">
        <f aca="false">IF(Y996=0,0,IF(T996="Backlog",Q996,Q996*Dashboard!$C$10))</f>
        <v>0</v>
      </c>
      <c r="AA996" s="37" t="n">
        <f aca="false">IF($N996="",0,IF(COUNTIF(Dashboard!$C$13:$C$22,$N996)&gt;0,1,0))</f>
        <v>0</v>
      </c>
      <c r="AB996" s="37" t="str">
        <f aca="false">IF($N996="","",IF(COUNTIF($N$8:$N996,$N996)=1,MAX($AB$7:$AB995)+1,""))</f>
        <v/>
      </c>
    </row>
    <row r="997" customFormat="false" ht="15" hidden="false" customHeight="false" outlineLevel="0" collapsed="false">
      <c r="L997" s="37" t="str">
        <f aca="false">IF(INDEX($A997:$J997,$L$6)&lt;&gt;"",TRIM(LEFT(INDEX($A997:$J997,$L$6),FIND("(",INDEX($A997:$J997,$L$6)&amp;"(")-1)),L996)</f>
        <v>Building Value Proposition</v>
      </c>
      <c r="M997" s="37" t="str">
        <f aca="false">IF(INDEX($A997:$J997,$M$6)="","",INDEX($A997:$J997,$M$6)&amp;"")</f>
        <v/>
      </c>
      <c r="N997" s="37" t="str">
        <f aca="false">IF($M997="","",TRIM(INDEX($A997:$J997,$N$6)&amp;""))</f>
        <v/>
      </c>
      <c r="O997" s="37" t="str">
        <f aca="false">IF($M997="","",TRIM(INDEX($A997:$J997,$O$6)&amp;""))</f>
        <v/>
      </c>
      <c r="P997" s="37" t="str">
        <f aca="false">IF($M997="","",IFERROR(IF(INDEX(Settings!$B$41:$B$50,MATCH(O997,Settings!$A$41:$A$50,0))&amp;""="","UNMAPPED",INDEX(Settings!$B$41:$B$50,MATCH(O997,Settings!$A$41:$A$50,0))&amp;""),"UNMAPPED"))</f>
        <v/>
      </c>
      <c r="Q997" s="38" t="n">
        <f aca="false">IF($M997="",0,N(INDEX($A997:$J997,$Q$6)))</f>
        <v>0</v>
      </c>
      <c r="R997" s="39" t="str">
        <f aca="false">IF($M997="","",INDEX($A997:$J997,$R$6))</f>
        <v/>
      </c>
      <c r="S997" s="37" t="str">
        <f aca="false">IF($M997="","",IFERROR(INDEX(Settings!$B$27:$B$36,MATCH(L997,Settings!$A$27:$A$36,0))&amp;"","UNMAPPED"))</f>
        <v/>
      </c>
      <c r="T997" s="37" t="str">
        <f aca="false">IF($M997="","",IF(NOT(ISNUMBER(R997)),"NO DATE",IF(S997="Won",IF(R997&gt;Settings!$B$5,"Backlog","Delivered"),IF(S997="Open",IF(R997&gt;Settings!$B$5,"Pipeline","Overdue"),IF(S997="Lost","Lost","UNMAPPED")))))</f>
        <v/>
      </c>
      <c r="U997" s="40" t="n">
        <f aca="false">IF(T997="Backlog",1,IF(OR(T997="Pipeline",T997="Overdue"),N(INDEX(Settings!$C$27:$C$36,MATCH(L997,Settings!$A$27:$A$36,0))),0))</f>
        <v>0</v>
      </c>
      <c r="V997" s="38" t="n">
        <f aca="false">Q997*U997</f>
        <v>0</v>
      </c>
      <c r="W997" s="41" t="str">
        <f aca="false">IF($M997="","",IF(T997="Overdue",IF(Settings!$B$8="Yes",Settings!$B$7,""),IF(ISNUMBER(R997),DATE(YEAR(R997),MONTH(R997),1),"")))</f>
        <v/>
      </c>
      <c r="X997" s="38" t="n">
        <f aca="false">IF(AND(OR(T997="Backlog",T997="Pipeline",T997="Overdue"),ISNUMBER(W997)),IF(W997&lt;=Settings!$B$6,V997,0),0)</f>
        <v>0</v>
      </c>
      <c r="Y997" s="38" t="n">
        <f aca="false">IF(AND(OR(T997="Backlog",T997="Pipeline",T997="Overdue"),ISNUMBER(W997)),IF(W997&lt;=Settings!$B$6,Q997,0),0)</f>
        <v>0</v>
      </c>
      <c r="Z997" s="38" t="n">
        <f aca="false">IF(Y997=0,0,IF(T997="Backlog",Q997,Q997*Dashboard!$C$10))</f>
        <v>0</v>
      </c>
      <c r="AA997" s="37" t="n">
        <f aca="false">IF($N997="",0,IF(COUNTIF(Dashboard!$C$13:$C$22,$N997)&gt;0,1,0))</f>
        <v>0</v>
      </c>
      <c r="AB997" s="37" t="str">
        <f aca="false">IF($N997="","",IF(COUNTIF($N$8:$N997,$N997)=1,MAX($AB$7:$AB996)+1,""))</f>
        <v/>
      </c>
    </row>
    <row r="998" customFormat="false" ht="15" hidden="false" customHeight="false" outlineLevel="0" collapsed="false">
      <c r="L998" s="37" t="str">
        <f aca="false">IF(INDEX($A998:$J998,$L$6)&lt;&gt;"",TRIM(LEFT(INDEX($A998:$J998,$L$6),FIND("(",INDEX($A998:$J998,$L$6)&amp;"(")-1)),L997)</f>
        <v>Building Value Proposition</v>
      </c>
      <c r="M998" s="37" t="str">
        <f aca="false">IF(INDEX($A998:$J998,$M$6)="","",INDEX($A998:$J998,$M$6)&amp;"")</f>
        <v/>
      </c>
      <c r="N998" s="37" t="str">
        <f aca="false">IF($M998="","",TRIM(INDEX($A998:$J998,$N$6)&amp;""))</f>
        <v/>
      </c>
      <c r="O998" s="37" t="str">
        <f aca="false">IF($M998="","",TRIM(INDEX($A998:$J998,$O$6)&amp;""))</f>
        <v/>
      </c>
      <c r="P998" s="37" t="str">
        <f aca="false">IF($M998="","",IFERROR(IF(INDEX(Settings!$B$41:$B$50,MATCH(O998,Settings!$A$41:$A$50,0))&amp;""="","UNMAPPED",INDEX(Settings!$B$41:$B$50,MATCH(O998,Settings!$A$41:$A$50,0))&amp;""),"UNMAPPED"))</f>
        <v/>
      </c>
      <c r="Q998" s="38" t="n">
        <f aca="false">IF($M998="",0,N(INDEX($A998:$J998,$Q$6)))</f>
        <v>0</v>
      </c>
      <c r="R998" s="39" t="str">
        <f aca="false">IF($M998="","",INDEX($A998:$J998,$R$6))</f>
        <v/>
      </c>
      <c r="S998" s="37" t="str">
        <f aca="false">IF($M998="","",IFERROR(INDEX(Settings!$B$27:$B$36,MATCH(L998,Settings!$A$27:$A$36,0))&amp;"","UNMAPPED"))</f>
        <v/>
      </c>
      <c r="T998" s="37" t="str">
        <f aca="false">IF($M998="","",IF(NOT(ISNUMBER(R998)),"NO DATE",IF(S998="Won",IF(R998&gt;Settings!$B$5,"Backlog","Delivered"),IF(S998="Open",IF(R998&gt;Settings!$B$5,"Pipeline","Overdue"),IF(S998="Lost","Lost","UNMAPPED")))))</f>
        <v/>
      </c>
      <c r="U998" s="40" t="n">
        <f aca="false">IF(T998="Backlog",1,IF(OR(T998="Pipeline",T998="Overdue"),N(INDEX(Settings!$C$27:$C$36,MATCH(L998,Settings!$A$27:$A$36,0))),0))</f>
        <v>0</v>
      </c>
      <c r="V998" s="38" t="n">
        <f aca="false">Q998*U998</f>
        <v>0</v>
      </c>
      <c r="W998" s="41" t="str">
        <f aca="false">IF($M998="","",IF(T998="Overdue",IF(Settings!$B$8="Yes",Settings!$B$7,""),IF(ISNUMBER(R998),DATE(YEAR(R998),MONTH(R998),1),"")))</f>
        <v/>
      </c>
      <c r="X998" s="38" t="n">
        <f aca="false">IF(AND(OR(T998="Backlog",T998="Pipeline",T998="Overdue"),ISNUMBER(W998)),IF(W998&lt;=Settings!$B$6,V998,0),0)</f>
        <v>0</v>
      </c>
      <c r="Y998" s="38" t="n">
        <f aca="false">IF(AND(OR(T998="Backlog",T998="Pipeline",T998="Overdue"),ISNUMBER(W998)),IF(W998&lt;=Settings!$B$6,Q998,0),0)</f>
        <v>0</v>
      </c>
      <c r="Z998" s="38" t="n">
        <f aca="false">IF(Y998=0,0,IF(T998="Backlog",Q998,Q998*Dashboard!$C$10))</f>
        <v>0</v>
      </c>
      <c r="AA998" s="37" t="n">
        <f aca="false">IF($N998="",0,IF(COUNTIF(Dashboard!$C$13:$C$22,$N998)&gt;0,1,0))</f>
        <v>0</v>
      </c>
      <c r="AB998" s="37" t="str">
        <f aca="false">IF($N998="","",IF(COUNTIF($N$8:$N998,$N998)=1,MAX($AB$7:$AB997)+1,""))</f>
        <v/>
      </c>
    </row>
    <row r="999" customFormat="false" ht="15" hidden="false" customHeight="false" outlineLevel="0" collapsed="false">
      <c r="L999" s="37" t="str">
        <f aca="false">IF(INDEX($A999:$J999,$L$6)&lt;&gt;"",TRIM(LEFT(INDEX($A999:$J999,$L$6),FIND("(",INDEX($A999:$J999,$L$6)&amp;"(")-1)),L998)</f>
        <v>Building Value Proposition</v>
      </c>
      <c r="M999" s="37" t="str">
        <f aca="false">IF(INDEX($A999:$J999,$M$6)="","",INDEX($A999:$J999,$M$6)&amp;"")</f>
        <v/>
      </c>
      <c r="N999" s="37" t="str">
        <f aca="false">IF($M999="","",TRIM(INDEX($A999:$J999,$N$6)&amp;""))</f>
        <v/>
      </c>
      <c r="O999" s="37" t="str">
        <f aca="false">IF($M999="","",TRIM(INDEX($A999:$J999,$O$6)&amp;""))</f>
        <v/>
      </c>
      <c r="P999" s="37" t="str">
        <f aca="false">IF($M999="","",IFERROR(IF(INDEX(Settings!$B$41:$B$50,MATCH(O999,Settings!$A$41:$A$50,0))&amp;""="","UNMAPPED",INDEX(Settings!$B$41:$B$50,MATCH(O999,Settings!$A$41:$A$50,0))&amp;""),"UNMAPPED"))</f>
        <v/>
      </c>
      <c r="Q999" s="38" t="n">
        <f aca="false">IF($M999="",0,N(INDEX($A999:$J999,$Q$6)))</f>
        <v>0</v>
      </c>
      <c r="R999" s="39" t="str">
        <f aca="false">IF($M999="","",INDEX($A999:$J999,$R$6))</f>
        <v/>
      </c>
      <c r="S999" s="37" t="str">
        <f aca="false">IF($M999="","",IFERROR(INDEX(Settings!$B$27:$B$36,MATCH(L999,Settings!$A$27:$A$36,0))&amp;"","UNMAPPED"))</f>
        <v/>
      </c>
      <c r="T999" s="37" t="str">
        <f aca="false">IF($M999="","",IF(NOT(ISNUMBER(R999)),"NO DATE",IF(S999="Won",IF(R999&gt;Settings!$B$5,"Backlog","Delivered"),IF(S999="Open",IF(R999&gt;Settings!$B$5,"Pipeline","Overdue"),IF(S999="Lost","Lost","UNMAPPED")))))</f>
        <v/>
      </c>
      <c r="U999" s="40" t="n">
        <f aca="false">IF(T999="Backlog",1,IF(OR(T999="Pipeline",T999="Overdue"),N(INDEX(Settings!$C$27:$C$36,MATCH(L999,Settings!$A$27:$A$36,0))),0))</f>
        <v>0</v>
      </c>
      <c r="V999" s="38" t="n">
        <f aca="false">Q999*U999</f>
        <v>0</v>
      </c>
      <c r="W999" s="41" t="str">
        <f aca="false">IF($M999="","",IF(T999="Overdue",IF(Settings!$B$8="Yes",Settings!$B$7,""),IF(ISNUMBER(R999),DATE(YEAR(R999),MONTH(R999),1),"")))</f>
        <v/>
      </c>
      <c r="X999" s="38" t="n">
        <f aca="false">IF(AND(OR(T999="Backlog",T999="Pipeline",T999="Overdue"),ISNUMBER(W999)),IF(W999&lt;=Settings!$B$6,V999,0),0)</f>
        <v>0</v>
      </c>
      <c r="Y999" s="38" t="n">
        <f aca="false">IF(AND(OR(T999="Backlog",T999="Pipeline",T999="Overdue"),ISNUMBER(W999)),IF(W999&lt;=Settings!$B$6,Q999,0),0)</f>
        <v>0</v>
      </c>
      <c r="Z999" s="38" t="n">
        <f aca="false">IF(Y999=0,0,IF(T999="Backlog",Q999,Q999*Dashboard!$C$10))</f>
        <v>0</v>
      </c>
      <c r="AA999" s="37" t="n">
        <f aca="false">IF($N999="",0,IF(COUNTIF(Dashboard!$C$13:$C$22,$N999)&gt;0,1,0))</f>
        <v>0</v>
      </c>
      <c r="AB999" s="37" t="str">
        <f aca="false">IF($N999="","",IF(COUNTIF($N$8:$N999,$N999)=1,MAX($AB$7:$AB998)+1,""))</f>
        <v/>
      </c>
    </row>
    <row r="1000" customFormat="false" ht="15" hidden="false" customHeight="false" outlineLevel="0" collapsed="false">
      <c r="L1000" s="37" t="str">
        <f aca="false">IF(INDEX($A1000:$J1000,$L$6)&lt;&gt;"",TRIM(LEFT(INDEX($A1000:$J1000,$L$6),FIND("(",INDEX($A1000:$J1000,$L$6)&amp;"(")-1)),L999)</f>
        <v>Building Value Proposition</v>
      </c>
      <c r="M1000" s="37" t="str">
        <f aca="false">IF(INDEX($A1000:$J1000,$M$6)="","",INDEX($A1000:$J1000,$M$6)&amp;"")</f>
        <v/>
      </c>
      <c r="N1000" s="37" t="str">
        <f aca="false">IF($M1000="","",TRIM(INDEX($A1000:$J1000,$N$6)&amp;""))</f>
        <v/>
      </c>
      <c r="O1000" s="37" t="str">
        <f aca="false">IF($M1000="","",TRIM(INDEX($A1000:$J1000,$O$6)&amp;""))</f>
        <v/>
      </c>
      <c r="P1000" s="37" t="str">
        <f aca="false">IF($M1000="","",IFERROR(IF(INDEX(Settings!$B$41:$B$50,MATCH(O1000,Settings!$A$41:$A$50,0))&amp;""="","UNMAPPED",INDEX(Settings!$B$41:$B$50,MATCH(O1000,Settings!$A$41:$A$50,0))&amp;""),"UNMAPPED"))</f>
        <v/>
      </c>
      <c r="Q1000" s="38" t="n">
        <f aca="false">IF($M1000="",0,N(INDEX($A1000:$J1000,$Q$6)))</f>
        <v>0</v>
      </c>
      <c r="R1000" s="39" t="str">
        <f aca="false">IF($M1000="","",INDEX($A1000:$J1000,$R$6))</f>
        <v/>
      </c>
      <c r="S1000" s="37" t="str">
        <f aca="false">IF($M1000="","",IFERROR(INDEX(Settings!$B$27:$B$36,MATCH(L1000,Settings!$A$27:$A$36,0))&amp;"","UNMAPPED"))</f>
        <v/>
      </c>
      <c r="T1000" s="37" t="str">
        <f aca="false">IF($M1000="","",IF(NOT(ISNUMBER(R1000)),"NO DATE",IF(S1000="Won",IF(R1000&gt;Settings!$B$5,"Backlog","Delivered"),IF(S1000="Open",IF(R1000&gt;Settings!$B$5,"Pipeline","Overdue"),IF(S1000="Lost","Lost","UNMAPPED")))))</f>
        <v/>
      </c>
      <c r="U1000" s="40" t="n">
        <f aca="false">IF(T1000="Backlog",1,IF(OR(T1000="Pipeline",T1000="Overdue"),N(INDEX(Settings!$C$27:$C$36,MATCH(L1000,Settings!$A$27:$A$36,0))),0))</f>
        <v>0</v>
      </c>
      <c r="V1000" s="38" t="n">
        <f aca="false">Q1000*U1000</f>
        <v>0</v>
      </c>
      <c r="W1000" s="41" t="str">
        <f aca="false">IF($M1000="","",IF(T1000="Overdue",IF(Settings!$B$8="Yes",Settings!$B$7,""),IF(ISNUMBER(R1000),DATE(YEAR(R1000),MONTH(R1000),1),"")))</f>
        <v/>
      </c>
      <c r="X1000" s="38" t="n">
        <f aca="false">IF(AND(OR(T1000="Backlog",T1000="Pipeline",T1000="Overdue"),ISNUMBER(W1000)),IF(W1000&lt;=Settings!$B$6,V1000,0),0)</f>
        <v>0</v>
      </c>
      <c r="Y1000" s="38" t="n">
        <f aca="false">IF(AND(OR(T1000="Backlog",T1000="Pipeline",T1000="Overdue"),ISNUMBER(W1000)),IF(W1000&lt;=Settings!$B$6,Q1000,0),0)</f>
        <v>0</v>
      </c>
      <c r="Z1000" s="38" t="n">
        <f aca="false">IF(Y1000=0,0,IF(T1000="Backlog",Q1000,Q1000*Dashboard!$C$10))</f>
        <v>0</v>
      </c>
      <c r="AA1000" s="37" t="n">
        <f aca="false">IF($N1000="",0,IF(COUNTIF(Dashboard!$C$13:$C$22,$N1000)&gt;0,1,0))</f>
        <v>0</v>
      </c>
      <c r="AB1000" s="37" t="str">
        <f aca="false">IF($N1000="","",IF(COUNTIF($N$8:$N1000,$N1000)=1,MAX($AB$7:$AB999)+1,""))</f>
        <v/>
      </c>
    </row>
    <row r="1001" customFormat="false" ht="15" hidden="false" customHeight="false" outlineLevel="0" collapsed="false">
      <c r="L1001" s="37" t="str">
        <f aca="false">IF(INDEX($A1001:$J1001,$L$6)&lt;&gt;"",TRIM(LEFT(INDEX($A1001:$J1001,$L$6),FIND("(",INDEX($A1001:$J1001,$L$6)&amp;"(")-1)),L1000)</f>
        <v>Building Value Proposition</v>
      </c>
      <c r="M1001" s="37" t="str">
        <f aca="false">IF(INDEX($A1001:$J1001,$M$6)="","",INDEX($A1001:$J1001,$M$6)&amp;"")</f>
        <v/>
      </c>
      <c r="N1001" s="37" t="str">
        <f aca="false">IF($M1001="","",TRIM(INDEX($A1001:$J1001,$N$6)&amp;""))</f>
        <v/>
      </c>
      <c r="O1001" s="37" t="str">
        <f aca="false">IF($M1001="","",TRIM(INDEX($A1001:$J1001,$O$6)&amp;""))</f>
        <v/>
      </c>
      <c r="P1001" s="37" t="str">
        <f aca="false">IF($M1001="","",IFERROR(IF(INDEX(Settings!$B$41:$B$50,MATCH(O1001,Settings!$A$41:$A$50,0))&amp;""="","UNMAPPED",INDEX(Settings!$B$41:$B$50,MATCH(O1001,Settings!$A$41:$A$50,0))&amp;""),"UNMAPPED"))</f>
        <v/>
      </c>
      <c r="Q1001" s="38" t="n">
        <f aca="false">IF($M1001="",0,N(INDEX($A1001:$J1001,$Q$6)))</f>
        <v>0</v>
      </c>
      <c r="R1001" s="39" t="str">
        <f aca="false">IF($M1001="","",INDEX($A1001:$J1001,$R$6))</f>
        <v/>
      </c>
      <c r="S1001" s="37" t="str">
        <f aca="false">IF($M1001="","",IFERROR(INDEX(Settings!$B$27:$B$36,MATCH(L1001,Settings!$A$27:$A$36,0))&amp;"","UNMAPPED"))</f>
        <v/>
      </c>
      <c r="T1001" s="37" t="str">
        <f aca="false">IF($M1001="","",IF(NOT(ISNUMBER(R1001)),"NO DATE",IF(S1001="Won",IF(R1001&gt;Settings!$B$5,"Backlog","Delivered"),IF(S1001="Open",IF(R1001&gt;Settings!$B$5,"Pipeline","Overdue"),IF(S1001="Lost","Lost","UNMAPPED")))))</f>
        <v/>
      </c>
      <c r="U1001" s="40" t="n">
        <f aca="false">IF(T1001="Backlog",1,IF(OR(T1001="Pipeline",T1001="Overdue"),N(INDEX(Settings!$C$27:$C$36,MATCH(L1001,Settings!$A$27:$A$36,0))),0))</f>
        <v>0</v>
      </c>
      <c r="V1001" s="38" t="n">
        <f aca="false">Q1001*U1001</f>
        <v>0</v>
      </c>
      <c r="W1001" s="41" t="str">
        <f aca="false">IF($M1001="","",IF(T1001="Overdue",IF(Settings!$B$8="Yes",Settings!$B$7,""),IF(ISNUMBER(R1001),DATE(YEAR(R1001),MONTH(R1001),1),"")))</f>
        <v/>
      </c>
      <c r="X1001" s="38" t="n">
        <f aca="false">IF(AND(OR(T1001="Backlog",T1001="Pipeline",T1001="Overdue"),ISNUMBER(W1001)),IF(W1001&lt;=Settings!$B$6,V1001,0),0)</f>
        <v>0</v>
      </c>
      <c r="Y1001" s="38" t="n">
        <f aca="false">IF(AND(OR(T1001="Backlog",T1001="Pipeline",T1001="Overdue"),ISNUMBER(W1001)),IF(W1001&lt;=Settings!$B$6,Q1001,0),0)</f>
        <v>0</v>
      </c>
      <c r="Z1001" s="38" t="n">
        <f aca="false">IF(Y1001=0,0,IF(T1001="Backlog",Q1001,Q1001*Dashboard!$C$10))</f>
        <v>0</v>
      </c>
      <c r="AA1001" s="37" t="n">
        <f aca="false">IF($N1001="",0,IF(COUNTIF(Dashboard!$C$13:$C$22,$N1001)&gt;0,1,0))</f>
        <v>0</v>
      </c>
      <c r="AB1001" s="37" t="str">
        <f aca="false">IF($N1001="","",IF(COUNTIF($N$8:$N1001,$N1001)=1,MAX($AB$7:$AB1000)+1,""))</f>
        <v/>
      </c>
    </row>
    <row r="1002" customFormat="false" ht="15" hidden="false" customHeight="false" outlineLevel="0" collapsed="false">
      <c r="L1002" s="37" t="str">
        <f aca="false">IF(INDEX($A1002:$J1002,$L$6)&lt;&gt;"",TRIM(LEFT(INDEX($A1002:$J1002,$L$6),FIND("(",INDEX($A1002:$J1002,$L$6)&amp;"(")-1)),L1001)</f>
        <v>Building Value Proposition</v>
      </c>
      <c r="M1002" s="37" t="str">
        <f aca="false">IF(INDEX($A1002:$J1002,$M$6)="","",INDEX($A1002:$J1002,$M$6)&amp;"")</f>
        <v/>
      </c>
      <c r="N1002" s="37" t="str">
        <f aca="false">IF($M1002="","",TRIM(INDEX($A1002:$J1002,$N$6)&amp;""))</f>
        <v/>
      </c>
      <c r="O1002" s="37" t="str">
        <f aca="false">IF($M1002="","",TRIM(INDEX($A1002:$J1002,$O$6)&amp;""))</f>
        <v/>
      </c>
      <c r="P1002" s="37" t="str">
        <f aca="false">IF($M1002="","",IFERROR(IF(INDEX(Settings!$B$41:$B$50,MATCH(O1002,Settings!$A$41:$A$50,0))&amp;""="","UNMAPPED",INDEX(Settings!$B$41:$B$50,MATCH(O1002,Settings!$A$41:$A$50,0))&amp;""),"UNMAPPED"))</f>
        <v/>
      </c>
      <c r="Q1002" s="38" t="n">
        <f aca="false">IF($M1002="",0,N(INDEX($A1002:$J1002,$Q$6)))</f>
        <v>0</v>
      </c>
      <c r="R1002" s="39" t="str">
        <f aca="false">IF($M1002="","",INDEX($A1002:$J1002,$R$6))</f>
        <v/>
      </c>
      <c r="S1002" s="37" t="str">
        <f aca="false">IF($M1002="","",IFERROR(INDEX(Settings!$B$27:$B$36,MATCH(L1002,Settings!$A$27:$A$36,0))&amp;"","UNMAPPED"))</f>
        <v/>
      </c>
      <c r="T1002" s="37" t="str">
        <f aca="false">IF($M1002="","",IF(NOT(ISNUMBER(R1002)),"NO DATE",IF(S1002="Won",IF(R1002&gt;Settings!$B$5,"Backlog","Delivered"),IF(S1002="Open",IF(R1002&gt;Settings!$B$5,"Pipeline","Overdue"),IF(S1002="Lost","Lost","UNMAPPED")))))</f>
        <v/>
      </c>
      <c r="U1002" s="40" t="n">
        <f aca="false">IF(T1002="Backlog",1,IF(OR(T1002="Pipeline",T1002="Overdue"),N(INDEX(Settings!$C$27:$C$36,MATCH(L1002,Settings!$A$27:$A$36,0))),0))</f>
        <v>0</v>
      </c>
      <c r="V1002" s="38" t="n">
        <f aca="false">Q1002*U1002</f>
        <v>0</v>
      </c>
      <c r="W1002" s="41" t="str">
        <f aca="false">IF($M1002="","",IF(T1002="Overdue",IF(Settings!$B$8="Yes",Settings!$B$7,""),IF(ISNUMBER(R1002),DATE(YEAR(R1002),MONTH(R1002),1),"")))</f>
        <v/>
      </c>
      <c r="X1002" s="38" t="n">
        <f aca="false">IF(AND(OR(T1002="Backlog",T1002="Pipeline",T1002="Overdue"),ISNUMBER(W1002)),IF(W1002&lt;=Settings!$B$6,V1002,0),0)</f>
        <v>0</v>
      </c>
      <c r="Y1002" s="38" t="n">
        <f aca="false">IF(AND(OR(T1002="Backlog",T1002="Pipeline",T1002="Overdue"),ISNUMBER(W1002)),IF(W1002&lt;=Settings!$B$6,Q1002,0),0)</f>
        <v>0</v>
      </c>
      <c r="Z1002" s="38" t="n">
        <f aca="false">IF(Y1002=0,0,IF(T1002="Backlog",Q1002,Q1002*Dashboard!$C$10))</f>
        <v>0</v>
      </c>
      <c r="AA1002" s="37" t="n">
        <f aca="false">IF($N1002="",0,IF(COUNTIF(Dashboard!$C$13:$C$22,$N1002)&gt;0,1,0))</f>
        <v>0</v>
      </c>
      <c r="AB1002" s="37" t="str">
        <f aca="false">IF($N1002="","",IF(COUNTIF($N$8:$N1002,$N1002)=1,MAX($AB$7:$AB1001)+1,""))</f>
        <v/>
      </c>
    </row>
    <row r="1003" customFormat="false" ht="15" hidden="false" customHeight="false" outlineLevel="0" collapsed="false">
      <c r="L1003" s="37" t="str">
        <f aca="false">IF(INDEX($A1003:$J1003,$L$6)&lt;&gt;"",TRIM(LEFT(INDEX($A1003:$J1003,$L$6),FIND("(",INDEX($A1003:$J1003,$L$6)&amp;"(")-1)),L1002)</f>
        <v>Building Value Proposition</v>
      </c>
      <c r="M1003" s="37" t="str">
        <f aca="false">IF(INDEX($A1003:$J1003,$M$6)="","",INDEX($A1003:$J1003,$M$6)&amp;"")</f>
        <v/>
      </c>
      <c r="N1003" s="37" t="str">
        <f aca="false">IF($M1003="","",TRIM(INDEX($A1003:$J1003,$N$6)&amp;""))</f>
        <v/>
      </c>
      <c r="O1003" s="37" t="str">
        <f aca="false">IF($M1003="","",TRIM(INDEX($A1003:$J1003,$O$6)&amp;""))</f>
        <v/>
      </c>
      <c r="P1003" s="37" t="str">
        <f aca="false">IF($M1003="","",IFERROR(IF(INDEX(Settings!$B$41:$B$50,MATCH(O1003,Settings!$A$41:$A$50,0))&amp;""="","UNMAPPED",INDEX(Settings!$B$41:$B$50,MATCH(O1003,Settings!$A$41:$A$50,0))&amp;""),"UNMAPPED"))</f>
        <v/>
      </c>
      <c r="Q1003" s="38" t="n">
        <f aca="false">IF($M1003="",0,N(INDEX($A1003:$J1003,$Q$6)))</f>
        <v>0</v>
      </c>
      <c r="R1003" s="39" t="str">
        <f aca="false">IF($M1003="","",INDEX($A1003:$J1003,$R$6))</f>
        <v/>
      </c>
      <c r="S1003" s="37" t="str">
        <f aca="false">IF($M1003="","",IFERROR(INDEX(Settings!$B$27:$B$36,MATCH(L1003,Settings!$A$27:$A$36,0))&amp;"","UNMAPPED"))</f>
        <v/>
      </c>
      <c r="T1003" s="37" t="str">
        <f aca="false">IF($M1003="","",IF(NOT(ISNUMBER(R1003)),"NO DATE",IF(S1003="Won",IF(R1003&gt;Settings!$B$5,"Backlog","Delivered"),IF(S1003="Open",IF(R1003&gt;Settings!$B$5,"Pipeline","Overdue"),IF(S1003="Lost","Lost","UNMAPPED")))))</f>
        <v/>
      </c>
      <c r="U1003" s="40" t="n">
        <f aca="false">IF(T1003="Backlog",1,IF(OR(T1003="Pipeline",T1003="Overdue"),N(INDEX(Settings!$C$27:$C$36,MATCH(L1003,Settings!$A$27:$A$36,0))),0))</f>
        <v>0</v>
      </c>
      <c r="V1003" s="38" t="n">
        <f aca="false">Q1003*U1003</f>
        <v>0</v>
      </c>
      <c r="W1003" s="41" t="str">
        <f aca="false">IF($M1003="","",IF(T1003="Overdue",IF(Settings!$B$8="Yes",Settings!$B$7,""),IF(ISNUMBER(R1003),DATE(YEAR(R1003),MONTH(R1003),1),"")))</f>
        <v/>
      </c>
      <c r="X1003" s="38" t="n">
        <f aca="false">IF(AND(OR(T1003="Backlog",T1003="Pipeline",T1003="Overdue"),ISNUMBER(W1003)),IF(W1003&lt;=Settings!$B$6,V1003,0),0)</f>
        <v>0</v>
      </c>
      <c r="Y1003" s="38" t="n">
        <f aca="false">IF(AND(OR(T1003="Backlog",T1003="Pipeline",T1003="Overdue"),ISNUMBER(W1003)),IF(W1003&lt;=Settings!$B$6,Q1003,0),0)</f>
        <v>0</v>
      </c>
      <c r="Z1003" s="38" t="n">
        <f aca="false">IF(Y1003=0,0,IF(T1003="Backlog",Q1003,Q1003*Dashboard!$C$10))</f>
        <v>0</v>
      </c>
      <c r="AA1003" s="37" t="n">
        <f aca="false">IF($N1003="",0,IF(COUNTIF(Dashboard!$C$13:$C$22,$N1003)&gt;0,1,0))</f>
        <v>0</v>
      </c>
      <c r="AB1003" s="37" t="str">
        <f aca="false">IF($N1003="","",IF(COUNTIF($N$8:$N1003,$N1003)=1,MAX($AB$7:$AB1002)+1,""))</f>
        <v/>
      </c>
    </row>
    <row r="1004" customFormat="false" ht="15" hidden="false" customHeight="false" outlineLevel="0" collapsed="false">
      <c r="L1004" s="37" t="str">
        <f aca="false">IF(INDEX($A1004:$J1004,$L$6)&lt;&gt;"",TRIM(LEFT(INDEX($A1004:$J1004,$L$6),FIND("(",INDEX($A1004:$J1004,$L$6)&amp;"(")-1)),L1003)</f>
        <v>Building Value Proposition</v>
      </c>
      <c r="M1004" s="37" t="str">
        <f aca="false">IF(INDEX($A1004:$J1004,$M$6)="","",INDEX($A1004:$J1004,$M$6)&amp;"")</f>
        <v/>
      </c>
      <c r="N1004" s="37" t="str">
        <f aca="false">IF($M1004="","",TRIM(INDEX($A1004:$J1004,$N$6)&amp;""))</f>
        <v/>
      </c>
      <c r="O1004" s="37" t="str">
        <f aca="false">IF($M1004="","",TRIM(INDEX($A1004:$J1004,$O$6)&amp;""))</f>
        <v/>
      </c>
      <c r="P1004" s="37" t="str">
        <f aca="false">IF($M1004="","",IFERROR(IF(INDEX(Settings!$B$41:$B$50,MATCH(O1004,Settings!$A$41:$A$50,0))&amp;""="","UNMAPPED",INDEX(Settings!$B$41:$B$50,MATCH(O1004,Settings!$A$41:$A$50,0))&amp;""),"UNMAPPED"))</f>
        <v/>
      </c>
      <c r="Q1004" s="38" t="n">
        <f aca="false">IF($M1004="",0,N(INDEX($A1004:$J1004,$Q$6)))</f>
        <v>0</v>
      </c>
      <c r="R1004" s="39" t="str">
        <f aca="false">IF($M1004="","",INDEX($A1004:$J1004,$R$6))</f>
        <v/>
      </c>
      <c r="S1004" s="37" t="str">
        <f aca="false">IF($M1004="","",IFERROR(INDEX(Settings!$B$27:$B$36,MATCH(L1004,Settings!$A$27:$A$36,0))&amp;"","UNMAPPED"))</f>
        <v/>
      </c>
      <c r="T1004" s="37" t="str">
        <f aca="false">IF($M1004="","",IF(NOT(ISNUMBER(R1004)),"NO DATE",IF(S1004="Won",IF(R1004&gt;Settings!$B$5,"Backlog","Delivered"),IF(S1004="Open",IF(R1004&gt;Settings!$B$5,"Pipeline","Overdue"),IF(S1004="Lost","Lost","UNMAPPED")))))</f>
        <v/>
      </c>
      <c r="U1004" s="40" t="n">
        <f aca="false">IF(T1004="Backlog",1,IF(OR(T1004="Pipeline",T1004="Overdue"),N(INDEX(Settings!$C$27:$C$36,MATCH(L1004,Settings!$A$27:$A$36,0))),0))</f>
        <v>0</v>
      </c>
      <c r="V1004" s="38" t="n">
        <f aca="false">Q1004*U1004</f>
        <v>0</v>
      </c>
      <c r="W1004" s="41" t="str">
        <f aca="false">IF($M1004="","",IF(T1004="Overdue",IF(Settings!$B$8="Yes",Settings!$B$7,""),IF(ISNUMBER(R1004),DATE(YEAR(R1004),MONTH(R1004),1),"")))</f>
        <v/>
      </c>
      <c r="X1004" s="38" t="n">
        <f aca="false">IF(AND(OR(T1004="Backlog",T1004="Pipeline",T1004="Overdue"),ISNUMBER(W1004)),IF(W1004&lt;=Settings!$B$6,V1004,0),0)</f>
        <v>0</v>
      </c>
      <c r="Y1004" s="38" t="n">
        <f aca="false">IF(AND(OR(T1004="Backlog",T1004="Pipeline",T1004="Overdue"),ISNUMBER(W1004)),IF(W1004&lt;=Settings!$B$6,Q1004,0),0)</f>
        <v>0</v>
      </c>
      <c r="Z1004" s="38" t="n">
        <f aca="false">IF(Y1004=0,0,IF(T1004="Backlog",Q1004,Q1004*Dashboard!$C$10))</f>
        <v>0</v>
      </c>
      <c r="AA1004" s="37" t="n">
        <f aca="false">IF($N1004="",0,IF(COUNTIF(Dashboard!$C$13:$C$22,$N1004)&gt;0,1,0))</f>
        <v>0</v>
      </c>
      <c r="AB1004" s="37" t="str">
        <f aca="false">IF($N1004="","",IF(COUNTIF($N$8:$N1004,$N1004)=1,MAX($AB$7:$AB1003)+1,""))</f>
        <v/>
      </c>
    </row>
    <row r="1005" customFormat="false" ht="15" hidden="false" customHeight="false" outlineLevel="0" collapsed="false">
      <c r="L1005" s="37" t="str">
        <f aca="false">IF(INDEX($A1005:$J1005,$L$6)&lt;&gt;"",TRIM(LEFT(INDEX($A1005:$J1005,$L$6),FIND("(",INDEX($A1005:$J1005,$L$6)&amp;"(")-1)),L1004)</f>
        <v>Building Value Proposition</v>
      </c>
      <c r="M1005" s="37" t="str">
        <f aca="false">IF(INDEX($A1005:$J1005,$M$6)="","",INDEX($A1005:$J1005,$M$6)&amp;"")</f>
        <v/>
      </c>
      <c r="N1005" s="37" t="str">
        <f aca="false">IF($M1005="","",TRIM(INDEX($A1005:$J1005,$N$6)&amp;""))</f>
        <v/>
      </c>
      <c r="O1005" s="37" t="str">
        <f aca="false">IF($M1005="","",TRIM(INDEX($A1005:$J1005,$O$6)&amp;""))</f>
        <v/>
      </c>
      <c r="P1005" s="37" t="str">
        <f aca="false">IF($M1005="","",IFERROR(IF(INDEX(Settings!$B$41:$B$50,MATCH(O1005,Settings!$A$41:$A$50,0))&amp;""="","UNMAPPED",INDEX(Settings!$B$41:$B$50,MATCH(O1005,Settings!$A$41:$A$50,0))&amp;""),"UNMAPPED"))</f>
        <v/>
      </c>
      <c r="Q1005" s="38" t="n">
        <f aca="false">IF($M1005="",0,N(INDEX($A1005:$J1005,$Q$6)))</f>
        <v>0</v>
      </c>
      <c r="R1005" s="39" t="str">
        <f aca="false">IF($M1005="","",INDEX($A1005:$J1005,$R$6))</f>
        <v/>
      </c>
      <c r="S1005" s="37" t="str">
        <f aca="false">IF($M1005="","",IFERROR(INDEX(Settings!$B$27:$B$36,MATCH(L1005,Settings!$A$27:$A$36,0))&amp;"","UNMAPPED"))</f>
        <v/>
      </c>
      <c r="T1005" s="37" t="str">
        <f aca="false">IF($M1005="","",IF(NOT(ISNUMBER(R1005)),"NO DATE",IF(S1005="Won",IF(R1005&gt;Settings!$B$5,"Backlog","Delivered"),IF(S1005="Open",IF(R1005&gt;Settings!$B$5,"Pipeline","Overdue"),IF(S1005="Lost","Lost","UNMAPPED")))))</f>
        <v/>
      </c>
      <c r="U1005" s="40" t="n">
        <f aca="false">IF(T1005="Backlog",1,IF(OR(T1005="Pipeline",T1005="Overdue"),N(INDEX(Settings!$C$27:$C$36,MATCH(L1005,Settings!$A$27:$A$36,0))),0))</f>
        <v>0</v>
      </c>
      <c r="V1005" s="38" t="n">
        <f aca="false">Q1005*U1005</f>
        <v>0</v>
      </c>
      <c r="W1005" s="41" t="str">
        <f aca="false">IF($M1005="","",IF(T1005="Overdue",IF(Settings!$B$8="Yes",Settings!$B$7,""),IF(ISNUMBER(R1005),DATE(YEAR(R1005),MONTH(R1005),1),"")))</f>
        <v/>
      </c>
      <c r="X1005" s="38" t="n">
        <f aca="false">IF(AND(OR(T1005="Backlog",T1005="Pipeline",T1005="Overdue"),ISNUMBER(W1005)),IF(W1005&lt;=Settings!$B$6,V1005,0),0)</f>
        <v>0</v>
      </c>
      <c r="Y1005" s="38" t="n">
        <f aca="false">IF(AND(OR(T1005="Backlog",T1005="Pipeline",T1005="Overdue"),ISNUMBER(W1005)),IF(W1005&lt;=Settings!$B$6,Q1005,0),0)</f>
        <v>0</v>
      </c>
      <c r="Z1005" s="38" t="n">
        <f aca="false">IF(Y1005=0,0,IF(T1005="Backlog",Q1005,Q1005*Dashboard!$C$10))</f>
        <v>0</v>
      </c>
      <c r="AA1005" s="37" t="n">
        <f aca="false">IF($N1005="",0,IF(COUNTIF(Dashboard!$C$13:$C$22,$N1005)&gt;0,1,0))</f>
        <v>0</v>
      </c>
      <c r="AB1005" s="37" t="str">
        <f aca="false">IF($N1005="","",IF(COUNTIF($N$8:$N1005,$N1005)=1,MAX($AB$7:$AB1004)+1,""))</f>
        <v/>
      </c>
    </row>
    <row r="1006" customFormat="false" ht="15" hidden="false" customHeight="false" outlineLevel="0" collapsed="false">
      <c r="L1006" s="37" t="str">
        <f aca="false">IF(INDEX($A1006:$J1006,$L$6)&lt;&gt;"",TRIM(LEFT(INDEX($A1006:$J1006,$L$6),FIND("(",INDEX($A1006:$J1006,$L$6)&amp;"(")-1)),L1005)</f>
        <v>Building Value Proposition</v>
      </c>
      <c r="M1006" s="37" t="str">
        <f aca="false">IF(INDEX($A1006:$J1006,$M$6)="","",INDEX($A1006:$J1006,$M$6)&amp;"")</f>
        <v/>
      </c>
      <c r="N1006" s="37" t="str">
        <f aca="false">IF($M1006="","",TRIM(INDEX($A1006:$J1006,$N$6)&amp;""))</f>
        <v/>
      </c>
      <c r="O1006" s="37" t="str">
        <f aca="false">IF($M1006="","",TRIM(INDEX($A1006:$J1006,$O$6)&amp;""))</f>
        <v/>
      </c>
      <c r="P1006" s="37" t="str">
        <f aca="false">IF($M1006="","",IFERROR(IF(INDEX(Settings!$B$41:$B$50,MATCH(O1006,Settings!$A$41:$A$50,0))&amp;""="","UNMAPPED",INDEX(Settings!$B$41:$B$50,MATCH(O1006,Settings!$A$41:$A$50,0))&amp;""),"UNMAPPED"))</f>
        <v/>
      </c>
      <c r="Q1006" s="38" t="n">
        <f aca="false">IF($M1006="",0,N(INDEX($A1006:$J1006,$Q$6)))</f>
        <v>0</v>
      </c>
      <c r="R1006" s="39" t="str">
        <f aca="false">IF($M1006="","",INDEX($A1006:$J1006,$R$6))</f>
        <v/>
      </c>
      <c r="S1006" s="37" t="str">
        <f aca="false">IF($M1006="","",IFERROR(INDEX(Settings!$B$27:$B$36,MATCH(L1006,Settings!$A$27:$A$36,0))&amp;"","UNMAPPED"))</f>
        <v/>
      </c>
      <c r="T1006" s="37" t="str">
        <f aca="false">IF($M1006="","",IF(NOT(ISNUMBER(R1006)),"NO DATE",IF(S1006="Won",IF(R1006&gt;Settings!$B$5,"Backlog","Delivered"),IF(S1006="Open",IF(R1006&gt;Settings!$B$5,"Pipeline","Overdue"),IF(S1006="Lost","Lost","UNMAPPED")))))</f>
        <v/>
      </c>
      <c r="U1006" s="40" t="n">
        <f aca="false">IF(T1006="Backlog",1,IF(OR(T1006="Pipeline",T1006="Overdue"),N(INDEX(Settings!$C$27:$C$36,MATCH(L1006,Settings!$A$27:$A$36,0))),0))</f>
        <v>0</v>
      </c>
      <c r="V1006" s="38" t="n">
        <f aca="false">Q1006*U1006</f>
        <v>0</v>
      </c>
      <c r="W1006" s="41" t="str">
        <f aca="false">IF($M1006="","",IF(T1006="Overdue",IF(Settings!$B$8="Yes",Settings!$B$7,""),IF(ISNUMBER(R1006),DATE(YEAR(R1006),MONTH(R1006),1),"")))</f>
        <v/>
      </c>
      <c r="X1006" s="38" t="n">
        <f aca="false">IF(AND(OR(T1006="Backlog",T1006="Pipeline",T1006="Overdue"),ISNUMBER(W1006)),IF(W1006&lt;=Settings!$B$6,V1006,0),0)</f>
        <v>0</v>
      </c>
      <c r="Y1006" s="38" t="n">
        <f aca="false">IF(AND(OR(T1006="Backlog",T1006="Pipeline",T1006="Overdue"),ISNUMBER(W1006)),IF(W1006&lt;=Settings!$B$6,Q1006,0),0)</f>
        <v>0</v>
      </c>
      <c r="Z1006" s="38" t="n">
        <f aca="false">IF(Y1006=0,0,IF(T1006="Backlog",Q1006,Q1006*Dashboard!$C$10))</f>
        <v>0</v>
      </c>
      <c r="AA1006" s="37" t="n">
        <f aca="false">IF($N1006="",0,IF(COUNTIF(Dashboard!$C$13:$C$22,$N1006)&gt;0,1,0))</f>
        <v>0</v>
      </c>
      <c r="AB1006" s="37" t="str">
        <f aca="false">IF($N1006="","",IF(COUNTIF($N$8:$N1006,$N1006)=1,MAX($AB$7:$AB1005)+1,""))</f>
        <v/>
      </c>
    </row>
    <row r="1007" customFormat="false" ht="15" hidden="false" customHeight="false" outlineLevel="0" collapsed="false">
      <c r="L1007" s="37" t="str">
        <f aca="false">IF(INDEX($A1007:$J1007,$L$6)&lt;&gt;"",TRIM(LEFT(INDEX($A1007:$J1007,$L$6),FIND("(",INDEX($A1007:$J1007,$L$6)&amp;"(")-1)),L1006)</f>
        <v>Building Value Proposition</v>
      </c>
      <c r="M1007" s="37" t="str">
        <f aca="false">IF(INDEX($A1007:$J1007,$M$6)="","",INDEX($A1007:$J1007,$M$6)&amp;"")</f>
        <v/>
      </c>
      <c r="N1007" s="37" t="str">
        <f aca="false">IF($M1007="","",TRIM(INDEX($A1007:$J1007,$N$6)&amp;""))</f>
        <v/>
      </c>
      <c r="O1007" s="37" t="str">
        <f aca="false">IF($M1007="","",TRIM(INDEX($A1007:$J1007,$O$6)&amp;""))</f>
        <v/>
      </c>
      <c r="P1007" s="37" t="str">
        <f aca="false">IF($M1007="","",IFERROR(IF(INDEX(Settings!$B$41:$B$50,MATCH(O1007,Settings!$A$41:$A$50,0))&amp;""="","UNMAPPED",INDEX(Settings!$B$41:$B$50,MATCH(O1007,Settings!$A$41:$A$50,0))&amp;""),"UNMAPPED"))</f>
        <v/>
      </c>
      <c r="Q1007" s="38" t="n">
        <f aca="false">IF($M1007="",0,N(INDEX($A1007:$J1007,$Q$6)))</f>
        <v>0</v>
      </c>
      <c r="R1007" s="39" t="str">
        <f aca="false">IF($M1007="","",INDEX($A1007:$J1007,$R$6))</f>
        <v/>
      </c>
      <c r="S1007" s="37" t="str">
        <f aca="false">IF($M1007="","",IFERROR(INDEX(Settings!$B$27:$B$36,MATCH(L1007,Settings!$A$27:$A$36,0))&amp;"","UNMAPPED"))</f>
        <v/>
      </c>
      <c r="T1007" s="37" t="str">
        <f aca="false">IF($M1007="","",IF(NOT(ISNUMBER(R1007)),"NO DATE",IF(S1007="Won",IF(R1007&gt;Settings!$B$5,"Backlog","Delivered"),IF(S1007="Open",IF(R1007&gt;Settings!$B$5,"Pipeline","Overdue"),IF(S1007="Lost","Lost","UNMAPPED")))))</f>
        <v/>
      </c>
      <c r="U1007" s="40" t="n">
        <f aca="false">IF(T1007="Backlog",1,IF(OR(T1007="Pipeline",T1007="Overdue"),N(INDEX(Settings!$C$27:$C$36,MATCH(L1007,Settings!$A$27:$A$36,0))),0))</f>
        <v>0</v>
      </c>
      <c r="V1007" s="38" t="n">
        <f aca="false">Q1007*U1007</f>
        <v>0</v>
      </c>
      <c r="W1007" s="41" t="str">
        <f aca="false">IF($M1007="","",IF(T1007="Overdue",IF(Settings!$B$8="Yes",Settings!$B$7,""),IF(ISNUMBER(R1007),DATE(YEAR(R1007),MONTH(R1007),1),"")))</f>
        <v/>
      </c>
      <c r="X1007" s="38" t="n">
        <f aca="false">IF(AND(OR(T1007="Backlog",T1007="Pipeline",T1007="Overdue"),ISNUMBER(W1007)),IF(W1007&lt;=Settings!$B$6,V1007,0),0)</f>
        <v>0</v>
      </c>
      <c r="Y1007" s="38" t="n">
        <f aca="false">IF(AND(OR(T1007="Backlog",T1007="Pipeline",T1007="Overdue"),ISNUMBER(W1007)),IF(W1007&lt;=Settings!$B$6,Q1007,0),0)</f>
        <v>0</v>
      </c>
      <c r="Z1007" s="38" t="n">
        <f aca="false">IF(Y1007=0,0,IF(T1007="Backlog",Q1007,Q1007*Dashboard!$C$10))</f>
        <v>0</v>
      </c>
      <c r="AA1007" s="37" t="n">
        <f aca="false">IF($N1007="",0,IF(COUNTIF(Dashboard!$C$13:$C$22,$N1007)&gt;0,1,0))</f>
        <v>0</v>
      </c>
      <c r="AB1007" s="37" t="str">
        <f aca="false">IF($N1007="","",IF(COUNTIF($N$8:$N1007,$N1007)=1,MAX($AB$7:$AB1006)+1,""))</f>
        <v/>
      </c>
    </row>
    <row r="1008" customFormat="false" ht="15" hidden="false" customHeight="false" outlineLevel="0" collapsed="false">
      <c r="L1008" s="37" t="str">
        <f aca="false">IF(INDEX($A1008:$J1008,$L$6)&lt;&gt;"",TRIM(LEFT(INDEX($A1008:$J1008,$L$6),FIND("(",INDEX($A1008:$J1008,$L$6)&amp;"(")-1)),L1007)</f>
        <v>Building Value Proposition</v>
      </c>
      <c r="M1008" s="37" t="str">
        <f aca="false">IF(INDEX($A1008:$J1008,$M$6)="","",INDEX($A1008:$J1008,$M$6)&amp;"")</f>
        <v/>
      </c>
      <c r="N1008" s="37" t="str">
        <f aca="false">IF($M1008="","",TRIM(INDEX($A1008:$J1008,$N$6)&amp;""))</f>
        <v/>
      </c>
      <c r="O1008" s="37" t="str">
        <f aca="false">IF($M1008="","",TRIM(INDEX($A1008:$J1008,$O$6)&amp;""))</f>
        <v/>
      </c>
      <c r="P1008" s="37" t="str">
        <f aca="false">IF($M1008="","",IFERROR(IF(INDEX(Settings!$B$41:$B$50,MATCH(O1008,Settings!$A$41:$A$50,0))&amp;""="","UNMAPPED",INDEX(Settings!$B$41:$B$50,MATCH(O1008,Settings!$A$41:$A$50,0))&amp;""),"UNMAPPED"))</f>
        <v/>
      </c>
      <c r="Q1008" s="38" t="n">
        <f aca="false">IF($M1008="",0,N(INDEX($A1008:$J1008,$Q$6)))</f>
        <v>0</v>
      </c>
      <c r="R1008" s="39" t="str">
        <f aca="false">IF($M1008="","",INDEX($A1008:$J1008,$R$6))</f>
        <v/>
      </c>
      <c r="S1008" s="37" t="str">
        <f aca="false">IF($M1008="","",IFERROR(INDEX(Settings!$B$27:$B$36,MATCH(L1008,Settings!$A$27:$A$36,0))&amp;"","UNMAPPED"))</f>
        <v/>
      </c>
      <c r="T1008" s="37" t="str">
        <f aca="false">IF($M1008="","",IF(NOT(ISNUMBER(R1008)),"NO DATE",IF(S1008="Won",IF(R1008&gt;Settings!$B$5,"Backlog","Delivered"),IF(S1008="Open",IF(R1008&gt;Settings!$B$5,"Pipeline","Overdue"),IF(S1008="Lost","Lost","UNMAPPED")))))</f>
        <v/>
      </c>
      <c r="U1008" s="40" t="n">
        <f aca="false">IF(T1008="Backlog",1,IF(OR(T1008="Pipeline",T1008="Overdue"),N(INDEX(Settings!$C$27:$C$36,MATCH(L1008,Settings!$A$27:$A$36,0))),0))</f>
        <v>0</v>
      </c>
      <c r="V1008" s="38" t="n">
        <f aca="false">Q1008*U1008</f>
        <v>0</v>
      </c>
      <c r="W1008" s="41" t="str">
        <f aca="false">IF($M1008="","",IF(T1008="Overdue",IF(Settings!$B$8="Yes",Settings!$B$7,""),IF(ISNUMBER(R1008),DATE(YEAR(R1008),MONTH(R1008),1),"")))</f>
        <v/>
      </c>
      <c r="X1008" s="38" t="n">
        <f aca="false">IF(AND(OR(T1008="Backlog",T1008="Pipeline",T1008="Overdue"),ISNUMBER(W1008)),IF(W1008&lt;=Settings!$B$6,V1008,0),0)</f>
        <v>0</v>
      </c>
      <c r="Y1008" s="38" t="n">
        <f aca="false">IF(AND(OR(T1008="Backlog",T1008="Pipeline",T1008="Overdue"),ISNUMBER(W1008)),IF(W1008&lt;=Settings!$B$6,Q1008,0),0)</f>
        <v>0</v>
      </c>
      <c r="Z1008" s="38" t="n">
        <f aca="false">IF(Y1008=0,0,IF(T1008="Backlog",Q1008,Q1008*Dashboard!$C$10))</f>
        <v>0</v>
      </c>
      <c r="AA1008" s="37" t="n">
        <f aca="false">IF($N1008="",0,IF(COUNTIF(Dashboard!$C$13:$C$22,$N1008)&gt;0,1,0))</f>
        <v>0</v>
      </c>
      <c r="AB1008" s="37" t="str">
        <f aca="false">IF($N1008="","",IF(COUNTIF($N$8:$N1008,$N1008)=1,MAX($AB$7:$AB1007)+1,""))</f>
        <v/>
      </c>
    </row>
    <row r="1009" customFormat="false" ht="15" hidden="false" customHeight="false" outlineLevel="0" collapsed="false">
      <c r="L1009" s="37" t="str">
        <f aca="false">IF(INDEX($A1009:$J1009,$L$6)&lt;&gt;"",TRIM(LEFT(INDEX($A1009:$J1009,$L$6),FIND("(",INDEX($A1009:$J1009,$L$6)&amp;"(")-1)),L1008)</f>
        <v>Building Value Proposition</v>
      </c>
      <c r="M1009" s="37" t="str">
        <f aca="false">IF(INDEX($A1009:$J1009,$M$6)="","",INDEX($A1009:$J1009,$M$6)&amp;"")</f>
        <v/>
      </c>
      <c r="N1009" s="37" t="str">
        <f aca="false">IF($M1009="","",TRIM(INDEX($A1009:$J1009,$N$6)&amp;""))</f>
        <v/>
      </c>
      <c r="O1009" s="37" t="str">
        <f aca="false">IF($M1009="","",TRIM(INDEX($A1009:$J1009,$O$6)&amp;""))</f>
        <v/>
      </c>
      <c r="P1009" s="37" t="str">
        <f aca="false">IF($M1009="","",IFERROR(IF(INDEX(Settings!$B$41:$B$50,MATCH(O1009,Settings!$A$41:$A$50,0))&amp;""="","UNMAPPED",INDEX(Settings!$B$41:$B$50,MATCH(O1009,Settings!$A$41:$A$50,0))&amp;""),"UNMAPPED"))</f>
        <v/>
      </c>
      <c r="Q1009" s="38" t="n">
        <f aca="false">IF($M1009="",0,N(INDEX($A1009:$J1009,$Q$6)))</f>
        <v>0</v>
      </c>
      <c r="R1009" s="39" t="str">
        <f aca="false">IF($M1009="","",INDEX($A1009:$J1009,$R$6))</f>
        <v/>
      </c>
      <c r="S1009" s="37" t="str">
        <f aca="false">IF($M1009="","",IFERROR(INDEX(Settings!$B$27:$B$36,MATCH(L1009,Settings!$A$27:$A$36,0))&amp;"","UNMAPPED"))</f>
        <v/>
      </c>
      <c r="T1009" s="37" t="str">
        <f aca="false">IF($M1009="","",IF(NOT(ISNUMBER(R1009)),"NO DATE",IF(S1009="Won",IF(R1009&gt;Settings!$B$5,"Backlog","Delivered"),IF(S1009="Open",IF(R1009&gt;Settings!$B$5,"Pipeline","Overdue"),IF(S1009="Lost","Lost","UNMAPPED")))))</f>
        <v/>
      </c>
      <c r="U1009" s="40" t="n">
        <f aca="false">IF(T1009="Backlog",1,IF(OR(T1009="Pipeline",T1009="Overdue"),N(INDEX(Settings!$C$27:$C$36,MATCH(L1009,Settings!$A$27:$A$36,0))),0))</f>
        <v>0</v>
      </c>
      <c r="V1009" s="38" t="n">
        <f aca="false">Q1009*U1009</f>
        <v>0</v>
      </c>
      <c r="W1009" s="41" t="str">
        <f aca="false">IF($M1009="","",IF(T1009="Overdue",IF(Settings!$B$8="Yes",Settings!$B$7,""),IF(ISNUMBER(R1009),DATE(YEAR(R1009),MONTH(R1009),1),"")))</f>
        <v/>
      </c>
      <c r="X1009" s="38" t="n">
        <f aca="false">IF(AND(OR(T1009="Backlog",T1009="Pipeline",T1009="Overdue"),ISNUMBER(W1009)),IF(W1009&lt;=Settings!$B$6,V1009,0),0)</f>
        <v>0</v>
      </c>
      <c r="Y1009" s="38" t="n">
        <f aca="false">IF(AND(OR(T1009="Backlog",T1009="Pipeline",T1009="Overdue"),ISNUMBER(W1009)),IF(W1009&lt;=Settings!$B$6,Q1009,0),0)</f>
        <v>0</v>
      </c>
      <c r="Z1009" s="38" t="n">
        <f aca="false">IF(Y1009=0,0,IF(T1009="Backlog",Q1009,Q1009*Dashboard!$C$10))</f>
        <v>0</v>
      </c>
      <c r="AA1009" s="37" t="n">
        <f aca="false">IF($N1009="",0,IF(COUNTIF(Dashboard!$C$13:$C$22,$N1009)&gt;0,1,0))</f>
        <v>0</v>
      </c>
      <c r="AB1009" s="37" t="str">
        <f aca="false">IF($N1009="","",IF(COUNTIF($N$8:$N1009,$N1009)=1,MAX($AB$7:$AB1008)+1,""))</f>
        <v/>
      </c>
    </row>
    <row r="1010" customFormat="false" ht="15" hidden="false" customHeight="false" outlineLevel="0" collapsed="false">
      <c r="L1010" s="37" t="str">
        <f aca="false">IF(INDEX($A1010:$J1010,$L$6)&lt;&gt;"",TRIM(LEFT(INDEX($A1010:$J1010,$L$6),FIND("(",INDEX($A1010:$J1010,$L$6)&amp;"(")-1)),L1009)</f>
        <v>Building Value Proposition</v>
      </c>
      <c r="M1010" s="37" t="str">
        <f aca="false">IF(INDEX($A1010:$J1010,$M$6)="","",INDEX($A1010:$J1010,$M$6)&amp;"")</f>
        <v/>
      </c>
      <c r="N1010" s="37" t="str">
        <f aca="false">IF($M1010="","",TRIM(INDEX($A1010:$J1010,$N$6)&amp;""))</f>
        <v/>
      </c>
      <c r="O1010" s="37" t="str">
        <f aca="false">IF($M1010="","",TRIM(INDEX($A1010:$J1010,$O$6)&amp;""))</f>
        <v/>
      </c>
      <c r="P1010" s="37" t="str">
        <f aca="false">IF($M1010="","",IFERROR(IF(INDEX(Settings!$B$41:$B$50,MATCH(O1010,Settings!$A$41:$A$50,0))&amp;""="","UNMAPPED",INDEX(Settings!$B$41:$B$50,MATCH(O1010,Settings!$A$41:$A$50,0))&amp;""),"UNMAPPED"))</f>
        <v/>
      </c>
      <c r="Q1010" s="38" t="n">
        <f aca="false">IF($M1010="",0,N(INDEX($A1010:$J1010,$Q$6)))</f>
        <v>0</v>
      </c>
      <c r="R1010" s="39" t="str">
        <f aca="false">IF($M1010="","",INDEX($A1010:$J1010,$R$6))</f>
        <v/>
      </c>
      <c r="S1010" s="37" t="str">
        <f aca="false">IF($M1010="","",IFERROR(INDEX(Settings!$B$27:$B$36,MATCH(L1010,Settings!$A$27:$A$36,0))&amp;"","UNMAPPED"))</f>
        <v/>
      </c>
      <c r="T1010" s="37" t="str">
        <f aca="false">IF($M1010="","",IF(NOT(ISNUMBER(R1010)),"NO DATE",IF(S1010="Won",IF(R1010&gt;Settings!$B$5,"Backlog","Delivered"),IF(S1010="Open",IF(R1010&gt;Settings!$B$5,"Pipeline","Overdue"),IF(S1010="Lost","Lost","UNMAPPED")))))</f>
        <v/>
      </c>
      <c r="U1010" s="40" t="n">
        <f aca="false">IF(T1010="Backlog",1,IF(OR(T1010="Pipeline",T1010="Overdue"),N(INDEX(Settings!$C$27:$C$36,MATCH(L1010,Settings!$A$27:$A$36,0))),0))</f>
        <v>0</v>
      </c>
      <c r="V1010" s="38" t="n">
        <f aca="false">Q1010*U1010</f>
        <v>0</v>
      </c>
      <c r="W1010" s="41" t="str">
        <f aca="false">IF($M1010="","",IF(T1010="Overdue",IF(Settings!$B$8="Yes",Settings!$B$7,""),IF(ISNUMBER(R1010),DATE(YEAR(R1010),MONTH(R1010),1),"")))</f>
        <v/>
      </c>
      <c r="X1010" s="38" t="n">
        <f aca="false">IF(AND(OR(T1010="Backlog",T1010="Pipeline",T1010="Overdue"),ISNUMBER(W1010)),IF(W1010&lt;=Settings!$B$6,V1010,0),0)</f>
        <v>0</v>
      </c>
      <c r="Y1010" s="38" t="n">
        <f aca="false">IF(AND(OR(T1010="Backlog",T1010="Pipeline",T1010="Overdue"),ISNUMBER(W1010)),IF(W1010&lt;=Settings!$B$6,Q1010,0),0)</f>
        <v>0</v>
      </c>
      <c r="Z1010" s="38" t="n">
        <f aca="false">IF(Y1010=0,0,IF(T1010="Backlog",Q1010,Q1010*Dashboard!$C$10))</f>
        <v>0</v>
      </c>
      <c r="AA1010" s="37" t="n">
        <f aca="false">IF($N1010="",0,IF(COUNTIF(Dashboard!$C$13:$C$22,$N1010)&gt;0,1,0))</f>
        <v>0</v>
      </c>
      <c r="AB1010" s="37" t="str">
        <f aca="false">IF($N1010="","",IF(COUNTIF($N$8:$N1010,$N1010)=1,MAX($AB$7:$AB1009)+1,""))</f>
        <v/>
      </c>
    </row>
    <row r="1011" customFormat="false" ht="15" hidden="false" customHeight="false" outlineLevel="0" collapsed="false">
      <c r="L1011" s="37" t="str">
        <f aca="false">IF(INDEX($A1011:$J1011,$L$6)&lt;&gt;"",TRIM(LEFT(INDEX($A1011:$J1011,$L$6),FIND("(",INDEX($A1011:$J1011,$L$6)&amp;"(")-1)),L1010)</f>
        <v>Building Value Proposition</v>
      </c>
      <c r="M1011" s="37" t="str">
        <f aca="false">IF(INDEX($A1011:$J1011,$M$6)="","",INDEX($A1011:$J1011,$M$6)&amp;"")</f>
        <v/>
      </c>
      <c r="N1011" s="37" t="str">
        <f aca="false">IF($M1011="","",TRIM(INDEX($A1011:$J1011,$N$6)&amp;""))</f>
        <v/>
      </c>
      <c r="O1011" s="37" t="str">
        <f aca="false">IF($M1011="","",TRIM(INDEX($A1011:$J1011,$O$6)&amp;""))</f>
        <v/>
      </c>
      <c r="P1011" s="37" t="str">
        <f aca="false">IF($M1011="","",IFERROR(IF(INDEX(Settings!$B$41:$B$50,MATCH(O1011,Settings!$A$41:$A$50,0))&amp;""="","UNMAPPED",INDEX(Settings!$B$41:$B$50,MATCH(O1011,Settings!$A$41:$A$50,0))&amp;""),"UNMAPPED"))</f>
        <v/>
      </c>
      <c r="Q1011" s="38" t="n">
        <f aca="false">IF($M1011="",0,N(INDEX($A1011:$J1011,$Q$6)))</f>
        <v>0</v>
      </c>
      <c r="R1011" s="39" t="str">
        <f aca="false">IF($M1011="","",INDEX($A1011:$J1011,$R$6))</f>
        <v/>
      </c>
      <c r="S1011" s="37" t="str">
        <f aca="false">IF($M1011="","",IFERROR(INDEX(Settings!$B$27:$B$36,MATCH(L1011,Settings!$A$27:$A$36,0))&amp;"","UNMAPPED"))</f>
        <v/>
      </c>
      <c r="T1011" s="37" t="str">
        <f aca="false">IF($M1011="","",IF(NOT(ISNUMBER(R1011)),"NO DATE",IF(S1011="Won",IF(R1011&gt;Settings!$B$5,"Backlog","Delivered"),IF(S1011="Open",IF(R1011&gt;Settings!$B$5,"Pipeline","Overdue"),IF(S1011="Lost","Lost","UNMAPPED")))))</f>
        <v/>
      </c>
      <c r="U1011" s="40" t="n">
        <f aca="false">IF(T1011="Backlog",1,IF(OR(T1011="Pipeline",T1011="Overdue"),N(INDEX(Settings!$C$27:$C$36,MATCH(L1011,Settings!$A$27:$A$36,0))),0))</f>
        <v>0</v>
      </c>
      <c r="V1011" s="38" t="n">
        <f aca="false">Q1011*U1011</f>
        <v>0</v>
      </c>
      <c r="W1011" s="41" t="str">
        <f aca="false">IF($M1011="","",IF(T1011="Overdue",IF(Settings!$B$8="Yes",Settings!$B$7,""),IF(ISNUMBER(R1011),DATE(YEAR(R1011),MONTH(R1011),1),"")))</f>
        <v/>
      </c>
      <c r="X1011" s="38" t="n">
        <f aca="false">IF(AND(OR(T1011="Backlog",T1011="Pipeline",T1011="Overdue"),ISNUMBER(W1011)),IF(W1011&lt;=Settings!$B$6,V1011,0),0)</f>
        <v>0</v>
      </c>
      <c r="Y1011" s="38" t="n">
        <f aca="false">IF(AND(OR(T1011="Backlog",T1011="Pipeline",T1011="Overdue"),ISNUMBER(W1011)),IF(W1011&lt;=Settings!$B$6,Q1011,0),0)</f>
        <v>0</v>
      </c>
      <c r="Z1011" s="38" t="n">
        <f aca="false">IF(Y1011=0,0,IF(T1011="Backlog",Q1011,Q1011*Dashboard!$C$10))</f>
        <v>0</v>
      </c>
      <c r="AA1011" s="37" t="n">
        <f aca="false">IF($N1011="",0,IF(COUNTIF(Dashboard!$C$13:$C$22,$N1011)&gt;0,1,0))</f>
        <v>0</v>
      </c>
      <c r="AB1011" s="37" t="str">
        <f aca="false">IF($N1011="","",IF(COUNTIF($N$8:$N1011,$N1011)=1,MAX($AB$7:$AB1010)+1,""))</f>
        <v/>
      </c>
    </row>
    <row r="1012" customFormat="false" ht="15" hidden="false" customHeight="false" outlineLevel="0" collapsed="false">
      <c r="L1012" s="37" t="str">
        <f aca="false">IF(INDEX($A1012:$J1012,$L$6)&lt;&gt;"",TRIM(LEFT(INDEX($A1012:$J1012,$L$6),FIND("(",INDEX($A1012:$J1012,$L$6)&amp;"(")-1)),L1011)</f>
        <v>Building Value Proposition</v>
      </c>
      <c r="M1012" s="37" t="str">
        <f aca="false">IF(INDEX($A1012:$J1012,$M$6)="","",INDEX($A1012:$J1012,$M$6)&amp;"")</f>
        <v/>
      </c>
      <c r="N1012" s="37" t="str">
        <f aca="false">IF($M1012="","",TRIM(INDEX($A1012:$J1012,$N$6)&amp;""))</f>
        <v/>
      </c>
      <c r="O1012" s="37" t="str">
        <f aca="false">IF($M1012="","",TRIM(INDEX($A1012:$J1012,$O$6)&amp;""))</f>
        <v/>
      </c>
      <c r="P1012" s="37" t="str">
        <f aca="false">IF($M1012="","",IFERROR(IF(INDEX(Settings!$B$41:$B$50,MATCH(O1012,Settings!$A$41:$A$50,0))&amp;""="","UNMAPPED",INDEX(Settings!$B$41:$B$50,MATCH(O1012,Settings!$A$41:$A$50,0))&amp;""),"UNMAPPED"))</f>
        <v/>
      </c>
      <c r="Q1012" s="38" t="n">
        <f aca="false">IF($M1012="",0,N(INDEX($A1012:$J1012,$Q$6)))</f>
        <v>0</v>
      </c>
      <c r="R1012" s="39" t="str">
        <f aca="false">IF($M1012="","",INDEX($A1012:$J1012,$R$6))</f>
        <v/>
      </c>
      <c r="S1012" s="37" t="str">
        <f aca="false">IF($M1012="","",IFERROR(INDEX(Settings!$B$27:$B$36,MATCH(L1012,Settings!$A$27:$A$36,0))&amp;"","UNMAPPED"))</f>
        <v/>
      </c>
      <c r="T1012" s="37" t="str">
        <f aca="false">IF($M1012="","",IF(NOT(ISNUMBER(R1012)),"NO DATE",IF(S1012="Won",IF(R1012&gt;Settings!$B$5,"Backlog","Delivered"),IF(S1012="Open",IF(R1012&gt;Settings!$B$5,"Pipeline","Overdue"),IF(S1012="Lost","Lost","UNMAPPED")))))</f>
        <v/>
      </c>
      <c r="U1012" s="40" t="n">
        <f aca="false">IF(T1012="Backlog",1,IF(OR(T1012="Pipeline",T1012="Overdue"),N(INDEX(Settings!$C$27:$C$36,MATCH(L1012,Settings!$A$27:$A$36,0))),0))</f>
        <v>0</v>
      </c>
      <c r="V1012" s="38" t="n">
        <f aca="false">Q1012*U1012</f>
        <v>0</v>
      </c>
      <c r="W1012" s="41" t="str">
        <f aca="false">IF($M1012="","",IF(T1012="Overdue",IF(Settings!$B$8="Yes",Settings!$B$7,""),IF(ISNUMBER(R1012),DATE(YEAR(R1012),MONTH(R1012),1),"")))</f>
        <v/>
      </c>
      <c r="X1012" s="38" t="n">
        <f aca="false">IF(AND(OR(T1012="Backlog",T1012="Pipeline",T1012="Overdue"),ISNUMBER(W1012)),IF(W1012&lt;=Settings!$B$6,V1012,0),0)</f>
        <v>0</v>
      </c>
      <c r="Y1012" s="38" t="n">
        <f aca="false">IF(AND(OR(T1012="Backlog",T1012="Pipeline",T1012="Overdue"),ISNUMBER(W1012)),IF(W1012&lt;=Settings!$B$6,Q1012,0),0)</f>
        <v>0</v>
      </c>
      <c r="Z1012" s="38" t="n">
        <f aca="false">IF(Y1012=0,0,IF(T1012="Backlog",Q1012,Q1012*Dashboard!$C$10))</f>
        <v>0</v>
      </c>
      <c r="AA1012" s="37" t="n">
        <f aca="false">IF($N1012="",0,IF(COUNTIF(Dashboard!$C$13:$C$22,$N1012)&gt;0,1,0))</f>
        <v>0</v>
      </c>
      <c r="AB1012" s="37" t="str">
        <f aca="false">IF($N1012="","",IF(COUNTIF($N$8:$N1012,$N1012)=1,MAX($AB$7:$AB1011)+1,""))</f>
        <v/>
      </c>
    </row>
    <row r="1013" customFormat="false" ht="15" hidden="false" customHeight="false" outlineLevel="0" collapsed="false">
      <c r="L1013" s="37" t="str">
        <f aca="false">IF(INDEX($A1013:$J1013,$L$6)&lt;&gt;"",TRIM(LEFT(INDEX($A1013:$J1013,$L$6),FIND("(",INDEX($A1013:$J1013,$L$6)&amp;"(")-1)),L1012)</f>
        <v>Building Value Proposition</v>
      </c>
      <c r="M1013" s="37" t="str">
        <f aca="false">IF(INDEX($A1013:$J1013,$M$6)="","",INDEX($A1013:$J1013,$M$6)&amp;"")</f>
        <v/>
      </c>
      <c r="N1013" s="37" t="str">
        <f aca="false">IF($M1013="","",TRIM(INDEX($A1013:$J1013,$N$6)&amp;""))</f>
        <v/>
      </c>
      <c r="O1013" s="37" t="str">
        <f aca="false">IF($M1013="","",TRIM(INDEX($A1013:$J1013,$O$6)&amp;""))</f>
        <v/>
      </c>
      <c r="P1013" s="37" t="str">
        <f aca="false">IF($M1013="","",IFERROR(IF(INDEX(Settings!$B$41:$B$50,MATCH(O1013,Settings!$A$41:$A$50,0))&amp;""="","UNMAPPED",INDEX(Settings!$B$41:$B$50,MATCH(O1013,Settings!$A$41:$A$50,0))&amp;""),"UNMAPPED"))</f>
        <v/>
      </c>
      <c r="Q1013" s="38" t="n">
        <f aca="false">IF($M1013="",0,N(INDEX($A1013:$J1013,$Q$6)))</f>
        <v>0</v>
      </c>
      <c r="R1013" s="39" t="str">
        <f aca="false">IF($M1013="","",INDEX($A1013:$J1013,$R$6))</f>
        <v/>
      </c>
      <c r="S1013" s="37" t="str">
        <f aca="false">IF($M1013="","",IFERROR(INDEX(Settings!$B$27:$B$36,MATCH(L1013,Settings!$A$27:$A$36,0))&amp;"","UNMAPPED"))</f>
        <v/>
      </c>
      <c r="T1013" s="37" t="str">
        <f aca="false">IF($M1013="","",IF(NOT(ISNUMBER(R1013)),"NO DATE",IF(S1013="Won",IF(R1013&gt;Settings!$B$5,"Backlog","Delivered"),IF(S1013="Open",IF(R1013&gt;Settings!$B$5,"Pipeline","Overdue"),IF(S1013="Lost","Lost","UNMAPPED")))))</f>
        <v/>
      </c>
      <c r="U1013" s="40" t="n">
        <f aca="false">IF(T1013="Backlog",1,IF(OR(T1013="Pipeline",T1013="Overdue"),N(INDEX(Settings!$C$27:$C$36,MATCH(L1013,Settings!$A$27:$A$36,0))),0))</f>
        <v>0</v>
      </c>
      <c r="V1013" s="38" t="n">
        <f aca="false">Q1013*U1013</f>
        <v>0</v>
      </c>
      <c r="W1013" s="41" t="str">
        <f aca="false">IF($M1013="","",IF(T1013="Overdue",IF(Settings!$B$8="Yes",Settings!$B$7,""),IF(ISNUMBER(R1013),DATE(YEAR(R1013),MONTH(R1013),1),"")))</f>
        <v/>
      </c>
      <c r="X1013" s="38" t="n">
        <f aca="false">IF(AND(OR(T1013="Backlog",T1013="Pipeline",T1013="Overdue"),ISNUMBER(W1013)),IF(W1013&lt;=Settings!$B$6,V1013,0),0)</f>
        <v>0</v>
      </c>
      <c r="Y1013" s="38" t="n">
        <f aca="false">IF(AND(OR(T1013="Backlog",T1013="Pipeline",T1013="Overdue"),ISNUMBER(W1013)),IF(W1013&lt;=Settings!$B$6,Q1013,0),0)</f>
        <v>0</v>
      </c>
      <c r="Z1013" s="38" t="n">
        <f aca="false">IF(Y1013=0,0,IF(T1013="Backlog",Q1013,Q1013*Dashboard!$C$10))</f>
        <v>0</v>
      </c>
      <c r="AA1013" s="37" t="n">
        <f aca="false">IF($N1013="",0,IF(COUNTIF(Dashboard!$C$13:$C$22,$N1013)&gt;0,1,0))</f>
        <v>0</v>
      </c>
      <c r="AB1013" s="37" t="str">
        <f aca="false">IF($N1013="","",IF(COUNTIF($N$8:$N1013,$N1013)=1,MAX($AB$7:$AB1012)+1,""))</f>
        <v/>
      </c>
    </row>
    <row r="1014" customFormat="false" ht="15" hidden="false" customHeight="false" outlineLevel="0" collapsed="false">
      <c r="L1014" s="37" t="str">
        <f aca="false">IF(INDEX($A1014:$J1014,$L$6)&lt;&gt;"",TRIM(LEFT(INDEX($A1014:$J1014,$L$6),FIND("(",INDEX($A1014:$J1014,$L$6)&amp;"(")-1)),L1013)</f>
        <v>Building Value Proposition</v>
      </c>
      <c r="M1014" s="37" t="str">
        <f aca="false">IF(INDEX($A1014:$J1014,$M$6)="","",INDEX($A1014:$J1014,$M$6)&amp;"")</f>
        <v/>
      </c>
      <c r="N1014" s="37" t="str">
        <f aca="false">IF($M1014="","",TRIM(INDEX($A1014:$J1014,$N$6)&amp;""))</f>
        <v/>
      </c>
      <c r="O1014" s="37" t="str">
        <f aca="false">IF($M1014="","",TRIM(INDEX($A1014:$J1014,$O$6)&amp;""))</f>
        <v/>
      </c>
      <c r="P1014" s="37" t="str">
        <f aca="false">IF($M1014="","",IFERROR(IF(INDEX(Settings!$B$41:$B$50,MATCH(O1014,Settings!$A$41:$A$50,0))&amp;""="","UNMAPPED",INDEX(Settings!$B$41:$B$50,MATCH(O1014,Settings!$A$41:$A$50,0))&amp;""),"UNMAPPED"))</f>
        <v/>
      </c>
      <c r="Q1014" s="38" t="n">
        <f aca="false">IF($M1014="",0,N(INDEX($A1014:$J1014,$Q$6)))</f>
        <v>0</v>
      </c>
      <c r="R1014" s="39" t="str">
        <f aca="false">IF($M1014="","",INDEX($A1014:$J1014,$R$6))</f>
        <v/>
      </c>
      <c r="S1014" s="37" t="str">
        <f aca="false">IF($M1014="","",IFERROR(INDEX(Settings!$B$27:$B$36,MATCH(L1014,Settings!$A$27:$A$36,0))&amp;"","UNMAPPED"))</f>
        <v/>
      </c>
      <c r="T1014" s="37" t="str">
        <f aca="false">IF($M1014="","",IF(NOT(ISNUMBER(R1014)),"NO DATE",IF(S1014="Won",IF(R1014&gt;Settings!$B$5,"Backlog","Delivered"),IF(S1014="Open",IF(R1014&gt;Settings!$B$5,"Pipeline","Overdue"),IF(S1014="Lost","Lost","UNMAPPED")))))</f>
        <v/>
      </c>
      <c r="U1014" s="40" t="n">
        <f aca="false">IF(T1014="Backlog",1,IF(OR(T1014="Pipeline",T1014="Overdue"),N(INDEX(Settings!$C$27:$C$36,MATCH(L1014,Settings!$A$27:$A$36,0))),0))</f>
        <v>0</v>
      </c>
      <c r="V1014" s="38" t="n">
        <f aca="false">Q1014*U1014</f>
        <v>0</v>
      </c>
      <c r="W1014" s="41" t="str">
        <f aca="false">IF($M1014="","",IF(T1014="Overdue",IF(Settings!$B$8="Yes",Settings!$B$7,""),IF(ISNUMBER(R1014),DATE(YEAR(R1014),MONTH(R1014),1),"")))</f>
        <v/>
      </c>
      <c r="X1014" s="38" t="n">
        <f aca="false">IF(AND(OR(T1014="Backlog",T1014="Pipeline",T1014="Overdue"),ISNUMBER(W1014)),IF(W1014&lt;=Settings!$B$6,V1014,0),0)</f>
        <v>0</v>
      </c>
      <c r="Y1014" s="38" t="n">
        <f aca="false">IF(AND(OR(T1014="Backlog",T1014="Pipeline",T1014="Overdue"),ISNUMBER(W1014)),IF(W1014&lt;=Settings!$B$6,Q1014,0),0)</f>
        <v>0</v>
      </c>
      <c r="Z1014" s="38" t="n">
        <f aca="false">IF(Y1014=0,0,IF(T1014="Backlog",Q1014,Q1014*Dashboard!$C$10))</f>
        <v>0</v>
      </c>
      <c r="AA1014" s="37" t="n">
        <f aca="false">IF($N1014="",0,IF(COUNTIF(Dashboard!$C$13:$C$22,$N1014)&gt;0,1,0))</f>
        <v>0</v>
      </c>
      <c r="AB1014" s="37" t="str">
        <f aca="false">IF($N1014="","",IF(COUNTIF($N$8:$N1014,$N1014)=1,MAX($AB$7:$AB1013)+1,""))</f>
        <v/>
      </c>
    </row>
    <row r="1015" customFormat="false" ht="15" hidden="false" customHeight="false" outlineLevel="0" collapsed="false">
      <c r="L1015" s="37" t="str">
        <f aca="false">IF(INDEX($A1015:$J1015,$L$6)&lt;&gt;"",TRIM(LEFT(INDEX($A1015:$J1015,$L$6),FIND("(",INDEX($A1015:$J1015,$L$6)&amp;"(")-1)),L1014)</f>
        <v>Building Value Proposition</v>
      </c>
      <c r="M1015" s="37" t="str">
        <f aca="false">IF(INDEX($A1015:$J1015,$M$6)="","",INDEX($A1015:$J1015,$M$6)&amp;"")</f>
        <v/>
      </c>
      <c r="N1015" s="37" t="str">
        <f aca="false">IF($M1015="","",TRIM(INDEX($A1015:$J1015,$N$6)&amp;""))</f>
        <v/>
      </c>
      <c r="O1015" s="37" t="str">
        <f aca="false">IF($M1015="","",TRIM(INDEX($A1015:$J1015,$O$6)&amp;""))</f>
        <v/>
      </c>
      <c r="P1015" s="37" t="str">
        <f aca="false">IF($M1015="","",IFERROR(IF(INDEX(Settings!$B$41:$B$50,MATCH(O1015,Settings!$A$41:$A$50,0))&amp;""="","UNMAPPED",INDEX(Settings!$B$41:$B$50,MATCH(O1015,Settings!$A$41:$A$50,0))&amp;""),"UNMAPPED"))</f>
        <v/>
      </c>
      <c r="Q1015" s="38" t="n">
        <f aca="false">IF($M1015="",0,N(INDEX($A1015:$J1015,$Q$6)))</f>
        <v>0</v>
      </c>
      <c r="R1015" s="39" t="str">
        <f aca="false">IF($M1015="","",INDEX($A1015:$J1015,$R$6))</f>
        <v/>
      </c>
      <c r="S1015" s="37" t="str">
        <f aca="false">IF($M1015="","",IFERROR(INDEX(Settings!$B$27:$B$36,MATCH(L1015,Settings!$A$27:$A$36,0))&amp;"","UNMAPPED"))</f>
        <v/>
      </c>
      <c r="T1015" s="37" t="str">
        <f aca="false">IF($M1015="","",IF(NOT(ISNUMBER(R1015)),"NO DATE",IF(S1015="Won",IF(R1015&gt;Settings!$B$5,"Backlog","Delivered"),IF(S1015="Open",IF(R1015&gt;Settings!$B$5,"Pipeline","Overdue"),IF(S1015="Lost","Lost","UNMAPPED")))))</f>
        <v/>
      </c>
      <c r="U1015" s="40" t="n">
        <f aca="false">IF(T1015="Backlog",1,IF(OR(T1015="Pipeline",T1015="Overdue"),N(INDEX(Settings!$C$27:$C$36,MATCH(L1015,Settings!$A$27:$A$36,0))),0))</f>
        <v>0</v>
      </c>
      <c r="V1015" s="38" t="n">
        <f aca="false">Q1015*U1015</f>
        <v>0</v>
      </c>
      <c r="W1015" s="41" t="str">
        <f aca="false">IF($M1015="","",IF(T1015="Overdue",IF(Settings!$B$8="Yes",Settings!$B$7,""),IF(ISNUMBER(R1015),DATE(YEAR(R1015),MONTH(R1015),1),"")))</f>
        <v/>
      </c>
      <c r="X1015" s="38" t="n">
        <f aca="false">IF(AND(OR(T1015="Backlog",T1015="Pipeline",T1015="Overdue"),ISNUMBER(W1015)),IF(W1015&lt;=Settings!$B$6,V1015,0),0)</f>
        <v>0</v>
      </c>
      <c r="Y1015" s="38" t="n">
        <f aca="false">IF(AND(OR(T1015="Backlog",T1015="Pipeline",T1015="Overdue"),ISNUMBER(W1015)),IF(W1015&lt;=Settings!$B$6,Q1015,0),0)</f>
        <v>0</v>
      </c>
      <c r="Z1015" s="38" t="n">
        <f aca="false">IF(Y1015=0,0,IF(T1015="Backlog",Q1015,Q1015*Dashboard!$C$10))</f>
        <v>0</v>
      </c>
      <c r="AA1015" s="37" t="n">
        <f aca="false">IF($N1015="",0,IF(COUNTIF(Dashboard!$C$13:$C$22,$N1015)&gt;0,1,0))</f>
        <v>0</v>
      </c>
      <c r="AB1015" s="37" t="str">
        <f aca="false">IF($N1015="","",IF(COUNTIF($N$8:$N1015,$N1015)=1,MAX($AB$7:$AB1014)+1,""))</f>
        <v/>
      </c>
    </row>
    <row r="1016" customFormat="false" ht="15" hidden="false" customHeight="false" outlineLevel="0" collapsed="false">
      <c r="L1016" s="37" t="str">
        <f aca="false">IF(INDEX($A1016:$J1016,$L$6)&lt;&gt;"",TRIM(LEFT(INDEX($A1016:$J1016,$L$6),FIND("(",INDEX($A1016:$J1016,$L$6)&amp;"(")-1)),L1015)</f>
        <v>Building Value Proposition</v>
      </c>
      <c r="M1016" s="37" t="str">
        <f aca="false">IF(INDEX($A1016:$J1016,$M$6)="","",INDEX($A1016:$J1016,$M$6)&amp;"")</f>
        <v/>
      </c>
      <c r="N1016" s="37" t="str">
        <f aca="false">IF($M1016="","",TRIM(INDEX($A1016:$J1016,$N$6)&amp;""))</f>
        <v/>
      </c>
      <c r="O1016" s="37" t="str">
        <f aca="false">IF($M1016="","",TRIM(INDEX($A1016:$J1016,$O$6)&amp;""))</f>
        <v/>
      </c>
      <c r="P1016" s="37" t="str">
        <f aca="false">IF($M1016="","",IFERROR(IF(INDEX(Settings!$B$41:$B$50,MATCH(O1016,Settings!$A$41:$A$50,0))&amp;""="","UNMAPPED",INDEX(Settings!$B$41:$B$50,MATCH(O1016,Settings!$A$41:$A$50,0))&amp;""),"UNMAPPED"))</f>
        <v/>
      </c>
      <c r="Q1016" s="38" t="n">
        <f aca="false">IF($M1016="",0,N(INDEX($A1016:$J1016,$Q$6)))</f>
        <v>0</v>
      </c>
      <c r="R1016" s="39" t="str">
        <f aca="false">IF($M1016="","",INDEX($A1016:$J1016,$R$6))</f>
        <v/>
      </c>
      <c r="S1016" s="37" t="str">
        <f aca="false">IF($M1016="","",IFERROR(INDEX(Settings!$B$27:$B$36,MATCH(L1016,Settings!$A$27:$A$36,0))&amp;"","UNMAPPED"))</f>
        <v/>
      </c>
      <c r="T1016" s="37" t="str">
        <f aca="false">IF($M1016="","",IF(NOT(ISNUMBER(R1016)),"NO DATE",IF(S1016="Won",IF(R1016&gt;Settings!$B$5,"Backlog","Delivered"),IF(S1016="Open",IF(R1016&gt;Settings!$B$5,"Pipeline","Overdue"),IF(S1016="Lost","Lost","UNMAPPED")))))</f>
        <v/>
      </c>
      <c r="U1016" s="40" t="n">
        <f aca="false">IF(T1016="Backlog",1,IF(OR(T1016="Pipeline",T1016="Overdue"),N(INDEX(Settings!$C$27:$C$36,MATCH(L1016,Settings!$A$27:$A$36,0))),0))</f>
        <v>0</v>
      </c>
      <c r="V1016" s="38" t="n">
        <f aca="false">Q1016*U1016</f>
        <v>0</v>
      </c>
      <c r="W1016" s="41" t="str">
        <f aca="false">IF($M1016="","",IF(T1016="Overdue",IF(Settings!$B$8="Yes",Settings!$B$7,""),IF(ISNUMBER(R1016),DATE(YEAR(R1016),MONTH(R1016),1),"")))</f>
        <v/>
      </c>
      <c r="X1016" s="38" t="n">
        <f aca="false">IF(AND(OR(T1016="Backlog",T1016="Pipeline",T1016="Overdue"),ISNUMBER(W1016)),IF(W1016&lt;=Settings!$B$6,V1016,0),0)</f>
        <v>0</v>
      </c>
      <c r="Y1016" s="38" t="n">
        <f aca="false">IF(AND(OR(T1016="Backlog",T1016="Pipeline",T1016="Overdue"),ISNUMBER(W1016)),IF(W1016&lt;=Settings!$B$6,Q1016,0),0)</f>
        <v>0</v>
      </c>
      <c r="Z1016" s="38" t="n">
        <f aca="false">IF(Y1016=0,0,IF(T1016="Backlog",Q1016,Q1016*Dashboard!$C$10))</f>
        <v>0</v>
      </c>
      <c r="AA1016" s="37" t="n">
        <f aca="false">IF($N1016="",0,IF(COUNTIF(Dashboard!$C$13:$C$22,$N1016)&gt;0,1,0))</f>
        <v>0</v>
      </c>
      <c r="AB1016" s="37" t="str">
        <f aca="false">IF($N1016="","",IF(COUNTIF($N$8:$N1016,$N1016)=1,MAX($AB$7:$AB1015)+1,""))</f>
        <v/>
      </c>
    </row>
    <row r="1017" customFormat="false" ht="15" hidden="false" customHeight="false" outlineLevel="0" collapsed="false">
      <c r="L1017" s="37" t="str">
        <f aca="false">IF(INDEX($A1017:$J1017,$L$6)&lt;&gt;"",TRIM(LEFT(INDEX($A1017:$J1017,$L$6),FIND("(",INDEX($A1017:$J1017,$L$6)&amp;"(")-1)),L1016)</f>
        <v>Building Value Proposition</v>
      </c>
      <c r="M1017" s="37" t="str">
        <f aca="false">IF(INDEX($A1017:$J1017,$M$6)="","",INDEX($A1017:$J1017,$M$6)&amp;"")</f>
        <v/>
      </c>
      <c r="N1017" s="37" t="str">
        <f aca="false">IF($M1017="","",TRIM(INDEX($A1017:$J1017,$N$6)&amp;""))</f>
        <v/>
      </c>
      <c r="O1017" s="37" t="str">
        <f aca="false">IF($M1017="","",TRIM(INDEX($A1017:$J1017,$O$6)&amp;""))</f>
        <v/>
      </c>
      <c r="P1017" s="37" t="str">
        <f aca="false">IF($M1017="","",IFERROR(IF(INDEX(Settings!$B$41:$B$50,MATCH(O1017,Settings!$A$41:$A$50,0))&amp;""="","UNMAPPED",INDEX(Settings!$B$41:$B$50,MATCH(O1017,Settings!$A$41:$A$50,0))&amp;""),"UNMAPPED"))</f>
        <v/>
      </c>
      <c r="Q1017" s="38" t="n">
        <f aca="false">IF($M1017="",0,N(INDEX($A1017:$J1017,$Q$6)))</f>
        <v>0</v>
      </c>
      <c r="R1017" s="39" t="str">
        <f aca="false">IF($M1017="","",INDEX($A1017:$J1017,$R$6))</f>
        <v/>
      </c>
      <c r="S1017" s="37" t="str">
        <f aca="false">IF($M1017="","",IFERROR(INDEX(Settings!$B$27:$B$36,MATCH(L1017,Settings!$A$27:$A$36,0))&amp;"","UNMAPPED"))</f>
        <v/>
      </c>
      <c r="T1017" s="37" t="str">
        <f aca="false">IF($M1017="","",IF(NOT(ISNUMBER(R1017)),"NO DATE",IF(S1017="Won",IF(R1017&gt;Settings!$B$5,"Backlog","Delivered"),IF(S1017="Open",IF(R1017&gt;Settings!$B$5,"Pipeline","Overdue"),IF(S1017="Lost","Lost","UNMAPPED")))))</f>
        <v/>
      </c>
      <c r="U1017" s="40" t="n">
        <f aca="false">IF(T1017="Backlog",1,IF(OR(T1017="Pipeline",T1017="Overdue"),N(INDEX(Settings!$C$27:$C$36,MATCH(L1017,Settings!$A$27:$A$36,0))),0))</f>
        <v>0</v>
      </c>
      <c r="V1017" s="38" t="n">
        <f aca="false">Q1017*U1017</f>
        <v>0</v>
      </c>
      <c r="W1017" s="41" t="str">
        <f aca="false">IF($M1017="","",IF(T1017="Overdue",IF(Settings!$B$8="Yes",Settings!$B$7,""),IF(ISNUMBER(R1017),DATE(YEAR(R1017),MONTH(R1017),1),"")))</f>
        <v/>
      </c>
      <c r="X1017" s="38" t="n">
        <f aca="false">IF(AND(OR(T1017="Backlog",T1017="Pipeline",T1017="Overdue"),ISNUMBER(W1017)),IF(W1017&lt;=Settings!$B$6,V1017,0),0)</f>
        <v>0</v>
      </c>
      <c r="Y1017" s="38" t="n">
        <f aca="false">IF(AND(OR(T1017="Backlog",T1017="Pipeline",T1017="Overdue"),ISNUMBER(W1017)),IF(W1017&lt;=Settings!$B$6,Q1017,0),0)</f>
        <v>0</v>
      </c>
      <c r="Z1017" s="38" t="n">
        <f aca="false">IF(Y1017=0,0,IF(T1017="Backlog",Q1017,Q1017*Dashboard!$C$10))</f>
        <v>0</v>
      </c>
      <c r="AA1017" s="37" t="n">
        <f aca="false">IF($N1017="",0,IF(COUNTIF(Dashboard!$C$13:$C$22,$N1017)&gt;0,1,0))</f>
        <v>0</v>
      </c>
      <c r="AB1017" s="37" t="str">
        <f aca="false">IF($N1017="","",IF(COUNTIF($N$8:$N1017,$N1017)=1,MAX($AB$7:$AB1016)+1,""))</f>
        <v/>
      </c>
    </row>
    <row r="1018" customFormat="false" ht="15" hidden="false" customHeight="false" outlineLevel="0" collapsed="false">
      <c r="L1018" s="37" t="str">
        <f aca="false">IF(INDEX($A1018:$J1018,$L$6)&lt;&gt;"",TRIM(LEFT(INDEX($A1018:$J1018,$L$6),FIND("(",INDEX($A1018:$J1018,$L$6)&amp;"(")-1)),L1017)</f>
        <v>Building Value Proposition</v>
      </c>
      <c r="M1018" s="37" t="str">
        <f aca="false">IF(INDEX($A1018:$J1018,$M$6)="","",INDEX($A1018:$J1018,$M$6)&amp;"")</f>
        <v/>
      </c>
      <c r="N1018" s="37" t="str">
        <f aca="false">IF($M1018="","",TRIM(INDEX($A1018:$J1018,$N$6)&amp;""))</f>
        <v/>
      </c>
      <c r="O1018" s="37" t="str">
        <f aca="false">IF($M1018="","",TRIM(INDEX($A1018:$J1018,$O$6)&amp;""))</f>
        <v/>
      </c>
      <c r="P1018" s="37" t="str">
        <f aca="false">IF($M1018="","",IFERROR(IF(INDEX(Settings!$B$41:$B$50,MATCH(O1018,Settings!$A$41:$A$50,0))&amp;""="","UNMAPPED",INDEX(Settings!$B$41:$B$50,MATCH(O1018,Settings!$A$41:$A$50,0))&amp;""),"UNMAPPED"))</f>
        <v/>
      </c>
      <c r="Q1018" s="38" t="n">
        <f aca="false">IF($M1018="",0,N(INDEX($A1018:$J1018,$Q$6)))</f>
        <v>0</v>
      </c>
      <c r="R1018" s="39" t="str">
        <f aca="false">IF($M1018="","",INDEX($A1018:$J1018,$R$6))</f>
        <v/>
      </c>
      <c r="S1018" s="37" t="str">
        <f aca="false">IF($M1018="","",IFERROR(INDEX(Settings!$B$27:$B$36,MATCH(L1018,Settings!$A$27:$A$36,0))&amp;"","UNMAPPED"))</f>
        <v/>
      </c>
      <c r="T1018" s="37" t="str">
        <f aca="false">IF($M1018="","",IF(NOT(ISNUMBER(R1018)),"NO DATE",IF(S1018="Won",IF(R1018&gt;Settings!$B$5,"Backlog","Delivered"),IF(S1018="Open",IF(R1018&gt;Settings!$B$5,"Pipeline","Overdue"),IF(S1018="Lost","Lost","UNMAPPED")))))</f>
        <v/>
      </c>
      <c r="U1018" s="40" t="n">
        <f aca="false">IF(T1018="Backlog",1,IF(OR(T1018="Pipeline",T1018="Overdue"),N(INDEX(Settings!$C$27:$C$36,MATCH(L1018,Settings!$A$27:$A$36,0))),0))</f>
        <v>0</v>
      </c>
      <c r="V1018" s="38" t="n">
        <f aca="false">Q1018*U1018</f>
        <v>0</v>
      </c>
      <c r="W1018" s="41" t="str">
        <f aca="false">IF($M1018="","",IF(T1018="Overdue",IF(Settings!$B$8="Yes",Settings!$B$7,""),IF(ISNUMBER(R1018),DATE(YEAR(R1018),MONTH(R1018),1),"")))</f>
        <v/>
      </c>
      <c r="X1018" s="38" t="n">
        <f aca="false">IF(AND(OR(T1018="Backlog",T1018="Pipeline",T1018="Overdue"),ISNUMBER(W1018)),IF(W1018&lt;=Settings!$B$6,V1018,0),0)</f>
        <v>0</v>
      </c>
      <c r="Y1018" s="38" t="n">
        <f aca="false">IF(AND(OR(T1018="Backlog",T1018="Pipeline",T1018="Overdue"),ISNUMBER(W1018)),IF(W1018&lt;=Settings!$B$6,Q1018,0),0)</f>
        <v>0</v>
      </c>
      <c r="Z1018" s="38" t="n">
        <f aca="false">IF(Y1018=0,0,IF(T1018="Backlog",Q1018,Q1018*Dashboard!$C$10))</f>
        <v>0</v>
      </c>
      <c r="AA1018" s="37" t="n">
        <f aca="false">IF($N1018="",0,IF(COUNTIF(Dashboard!$C$13:$C$22,$N1018)&gt;0,1,0))</f>
        <v>0</v>
      </c>
      <c r="AB1018" s="37" t="str">
        <f aca="false">IF($N1018="","",IF(COUNTIF($N$8:$N1018,$N1018)=1,MAX($AB$7:$AB1017)+1,""))</f>
        <v/>
      </c>
    </row>
    <row r="1019" customFormat="false" ht="15" hidden="false" customHeight="false" outlineLevel="0" collapsed="false">
      <c r="L1019" s="37" t="str">
        <f aca="false">IF(INDEX($A1019:$J1019,$L$6)&lt;&gt;"",TRIM(LEFT(INDEX($A1019:$J1019,$L$6),FIND("(",INDEX($A1019:$J1019,$L$6)&amp;"(")-1)),L1018)</f>
        <v>Building Value Proposition</v>
      </c>
      <c r="M1019" s="37" t="str">
        <f aca="false">IF(INDEX($A1019:$J1019,$M$6)="","",INDEX($A1019:$J1019,$M$6)&amp;"")</f>
        <v/>
      </c>
      <c r="N1019" s="37" t="str">
        <f aca="false">IF($M1019="","",TRIM(INDEX($A1019:$J1019,$N$6)&amp;""))</f>
        <v/>
      </c>
      <c r="O1019" s="37" t="str">
        <f aca="false">IF($M1019="","",TRIM(INDEX($A1019:$J1019,$O$6)&amp;""))</f>
        <v/>
      </c>
      <c r="P1019" s="37" t="str">
        <f aca="false">IF($M1019="","",IFERROR(IF(INDEX(Settings!$B$41:$B$50,MATCH(O1019,Settings!$A$41:$A$50,0))&amp;""="","UNMAPPED",INDEX(Settings!$B$41:$B$50,MATCH(O1019,Settings!$A$41:$A$50,0))&amp;""),"UNMAPPED"))</f>
        <v/>
      </c>
      <c r="Q1019" s="38" t="n">
        <f aca="false">IF($M1019="",0,N(INDEX($A1019:$J1019,$Q$6)))</f>
        <v>0</v>
      </c>
      <c r="R1019" s="39" t="str">
        <f aca="false">IF($M1019="","",INDEX($A1019:$J1019,$R$6))</f>
        <v/>
      </c>
      <c r="S1019" s="37" t="str">
        <f aca="false">IF($M1019="","",IFERROR(INDEX(Settings!$B$27:$B$36,MATCH(L1019,Settings!$A$27:$A$36,0))&amp;"","UNMAPPED"))</f>
        <v/>
      </c>
      <c r="T1019" s="37" t="str">
        <f aca="false">IF($M1019="","",IF(NOT(ISNUMBER(R1019)),"NO DATE",IF(S1019="Won",IF(R1019&gt;Settings!$B$5,"Backlog","Delivered"),IF(S1019="Open",IF(R1019&gt;Settings!$B$5,"Pipeline","Overdue"),IF(S1019="Lost","Lost","UNMAPPED")))))</f>
        <v/>
      </c>
      <c r="U1019" s="40" t="n">
        <f aca="false">IF(T1019="Backlog",1,IF(OR(T1019="Pipeline",T1019="Overdue"),N(INDEX(Settings!$C$27:$C$36,MATCH(L1019,Settings!$A$27:$A$36,0))),0))</f>
        <v>0</v>
      </c>
      <c r="V1019" s="38" t="n">
        <f aca="false">Q1019*U1019</f>
        <v>0</v>
      </c>
      <c r="W1019" s="41" t="str">
        <f aca="false">IF($M1019="","",IF(T1019="Overdue",IF(Settings!$B$8="Yes",Settings!$B$7,""),IF(ISNUMBER(R1019),DATE(YEAR(R1019),MONTH(R1019),1),"")))</f>
        <v/>
      </c>
      <c r="X1019" s="38" t="n">
        <f aca="false">IF(AND(OR(T1019="Backlog",T1019="Pipeline",T1019="Overdue"),ISNUMBER(W1019)),IF(W1019&lt;=Settings!$B$6,V1019,0),0)</f>
        <v>0</v>
      </c>
      <c r="Y1019" s="38" t="n">
        <f aca="false">IF(AND(OR(T1019="Backlog",T1019="Pipeline",T1019="Overdue"),ISNUMBER(W1019)),IF(W1019&lt;=Settings!$B$6,Q1019,0),0)</f>
        <v>0</v>
      </c>
      <c r="Z1019" s="38" t="n">
        <f aca="false">IF(Y1019=0,0,IF(T1019="Backlog",Q1019,Q1019*Dashboard!$C$10))</f>
        <v>0</v>
      </c>
      <c r="AA1019" s="37" t="n">
        <f aca="false">IF($N1019="",0,IF(COUNTIF(Dashboard!$C$13:$C$22,$N1019)&gt;0,1,0))</f>
        <v>0</v>
      </c>
      <c r="AB1019" s="37" t="str">
        <f aca="false">IF($N1019="","",IF(COUNTIF($N$8:$N1019,$N1019)=1,MAX($AB$7:$AB1018)+1,""))</f>
        <v/>
      </c>
    </row>
    <row r="1020" customFormat="false" ht="15" hidden="false" customHeight="false" outlineLevel="0" collapsed="false">
      <c r="L1020" s="37" t="str">
        <f aca="false">IF(INDEX($A1020:$J1020,$L$6)&lt;&gt;"",TRIM(LEFT(INDEX($A1020:$J1020,$L$6),FIND("(",INDEX($A1020:$J1020,$L$6)&amp;"(")-1)),L1019)</f>
        <v>Building Value Proposition</v>
      </c>
      <c r="M1020" s="37" t="str">
        <f aca="false">IF(INDEX($A1020:$J1020,$M$6)="","",INDEX($A1020:$J1020,$M$6)&amp;"")</f>
        <v/>
      </c>
      <c r="N1020" s="37" t="str">
        <f aca="false">IF($M1020="","",TRIM(INDEX($A1020:$J1020,$N$6)&amp;""))</f>
        <v/>
      </c>
      <c r="O1020" s="37" t="str">
        <f aca="false">IF($M1020="","",TRIM(INDEX($A1020:$J1020,$O$6)&amp;""))</f>
        <v/>
      </c>
      <c r="P1020" s="37" t="str">
        <f aca="false">IF($M1020="","",IFERROR(IF(INDEX(Settings!$B$41:$B$50,MATCH(O1020,Settings!$A$41:$A$50,0))&amp;""="","UNMAPPED",INDEX(Settings!$B$41:$B$50,MATCH(O1020,Settings!$A$41:$A$50,0))&amp;""),"UNMAPPED"))</f>
        <v/>
      </c>
      <c r="Q1020" s="38" t="n">
        <f aca="false">IF($M1020="",0,N(INDEX($A1020:$J1020,$Q$6)))</f>
        <v>0</v>
      </c>
      <c r="R1020" s="39" t="str">
        <f aca="false">IF($M1020="","",INDEX($A1020:$J1020,$R$6))</f>
        <v/>
      </c>
      <c r="S1020" s="37" t="str">
        <f aca="false">IF($M1020="","",IFERROR(INDEX(Settings!$B$27:$B$36,MATCH(L1020,Settings!$A$27:$A$36,0))&amp;"","UNMAPPED"))</f>
        <v/>
      </c>
      <c r="T1020" s="37" t="str">
        <f aca="false">IF($M1020="","",IF(NOT(ISNUMBER(R1020)),"NO DATE",IF(S1020="Won",IF(R1020&gt;Settings!$B$5,"Backlog","Delivered"),IF(S1020="Open",IF(R1020&gt;Settings!$B$5,"Pipeline","Overdue"),IF(S1020="Lost","Lost","UNMAPPED")))))</f>
        <v/>
      </c>
      <c r="U1020" s="40" t="n">
        <f aca="false">IF(T1020="Backlog",1,IF(OR(T1020="Pipeline",T1020="Overdue"),N(INDEX(Settings!$C$27:$C$36,MATCH(L1020,Settings!$A$27:$A$36,0))),0))</f>
        <v>0</v>
      </c>
      <c r="V1020" s="38" t="n">
        <f aca="false">Q1020*U1020</f>
        <v>0</v>
      </c>
      <c r="W1020" s="41" t="str">
        <f aca="false">IF($M1020="","",IF(T1020="Overdue",IF(Settings!$B$8="Yes",Settings!$B$7,""),IF(ISNUMBER(R1020),DATE(YEAR(R1020),MONTH(R1020),1),"")))</f>
        <v/>
      </c>
      <c r="X1020" s="38" t="n">
        <f aca="false">IF(AND(OR(T1020="Backlog",T1020="Pipeline",T1020="Overdue"),ISNUMBER(W1020)),IF(W1020&lt;=Settings!$B$6,V1020,0),0)</f>
        <v>0</v>
      </c>
      <c r="Y1020" s="38" t="n">
        <f aca="false">IF(AND(OR(T1020="Backlog",T1020="Pipeline",T1020="Overdue"),ISNUMBER(W1020)),IF(W1020&lt;=Settings!$B$6,Q1020,0),0)</f>
        <v>0</v>
      </c>
      <c r="Z1020" s="38" t="n">
        <f aca="false">IF(Y1020=0,0,IF(T1020="Backlog",Q1020,Q1020*Dashboard!$C$10))</f>
        <v>0</v>
      </c>
      <c r="AA1020" s="37" t="n">
        <f aca="false">IF($N1020="",0,IF(COUNTIF(Dashboard!$C$13:$C$22,$N1020)&gt;0,1,0))</f>
        <v>0</v>
      </c>
      <c r="AB1020" s="37" t="str">
        <f aca="false">IF($N1020="","",IF(COUNTIF($N$8:$N1020,$N1020)=1,MAX($AB$7:$AB1019)+1,""))</f>
        <v/>
      </c>
    </row>
    <row r="1021" customFormat="false" ht="15" hidden="false" customHeight="false" outlineLevel="0" collapsed="false">
      <c r="L1021" s="37" t="str">
        <f aca="false">IF(INDEX($A1021:$J1021,$L$6)&lt;&gt;"",TRIM(LEFT(INDEX($A1021:$J1021,$L$6),FIND("(",INDEX($A1021:$J1021,$L$6)&amp;"(")-1)),L1020)</f>
        <v>Building Value Proposition</v>
      </c>
      <c r="M1021" s="37" t="str">
        <f aca="false">IF(INDEX($A1021:$J1021,$M$6)="","",INDEX($A1021:$J1021,$M$6)&amp;"")</f>
        <v/>
      </c>
      <c r="N1021" s="37" t="str">
        <f aca="false">IF($M1021="","",TRIM(INDEX($A1021:$J1021,$N$6)&amp;""))</f>
        <v/>
      </c>
      <c r="O1021" s="37" t="str">
        <f aca="false">IF($M1021="","",TRIM(INDEX($A1021:$J1021,$O$6)&amp;""))</f>
        <v/>
      </c>
      <c r="P1021" s="37" t="str">
        <f aca="false">IF($M1021="","",IFERROR(IF(INDEX(Settings!$B$41:$B$50,MATCH(O1021,Settings!$A$41:$A$50,0))&amp;""="","UNMAPPED",INDEX(Settings!$B$41:$B$50,MATCH(O1021,Settings!$A$41:$A$50,0))&amp;""),"UNMAPPED"))</f>
        <v/>
      </c>
      <c r="Q1021" s="38" t="n">
        <f aca="false">IF($M1021="",0,N(INDEX($A1021:$J1021,$Q$6)))</f>
        <v>0</v>
      </c>
      <c r="R1021" s="39" t="str">
        <f aca="false">IF($M1021="","",INDEX($A1021:$J1021,$R$6))</f>
        <v/>
      </c>
      <c r="S1021" s="37" t="str">
        <f aca="false">IF($M1021="","",IFERROR(INDEX(Settings!$B$27:$B$36,MATCH(L1021,Settings!$A$27:$A$36,0))&amp;"","UNMAPPED"))</f>
        <v/>
      </c>
      <c r="T1021" s="37" t="str">
        <f aca="false">IF($M1021="","",IF(NOT(ISNUMBER(R1021)),"NO DATE",IF(S1021="Won",IF(R1021&gt;Settings!$B$5,"Backlog","Delivered"),IF(S1021="Open",IF(R1021&gt;Settings!$B$5,"Pipeline","Overdue"),IF(S1021="Lost","Lost","UNMAPPED")))))</f>
        <v/>
      </c>
      <c r="U1021" s="40" t="n">
        <f aca="false">IF(T1021="Backlog",1,IF(OR(T1021="Pipeline",T1021="Overdue"),N(INDEX(Settings!$C$27:$C$36,MATCH(L1021,Settings!$A$27:$A$36,0))),0))</f>
        <v>0</v>
      </c>
      <c r="V1021" s="38" t="n">
        <f aca="false">Q1021*U1021</f>
        <v>0</v>
      </c>
      <c r="W1021" s="41" t="str">
        <f aca="false">IF($M1021="","",IF(T1021="Overdue",IF(Settings!$B$8="Yes",Settings!$B$7,""),IF(ISNUMBER(R1021),DATE(YEAR(R1021),MONTH(R1021),1),"")))</f>
        <v/>
      </c>
      <c r="X1021" s="38" t="n">
        <f aca="false">IF(AND(OR(T1021="Backlog",T1021="Pipeline",T1021="Overdue"),ISNUMBER(W1021)),IF(W1021&lt;=Settings!$B$6,V1021,0),0)</f>
        <v>0</v>
      </c>
      <c r="Y1021" s="38" t="n">
        <f aca="false">IF(AND(OR(T1021="Backlog",T1021="Pipeline",T1021="Overdue"),ISNUMBER(W1021)),IF(W1021&lt;=Settings!$B$6,Q1021,0),0)</f>
        <v>0</v>
      </c>
      <c r="Z1021" s="38" t="n">
        <f aca="false">IF(Y1021=0,0,IF(T1021="Backlog",Q1021,Q1021*Dashboard!$C$10))</f>
        <v>0</v>
      </c>
      <c r="AA1021" s="37" t="n">
        <f aca="false">IF($N1021="",0,IF(COUNTIF(Dashboard!$C$13:$C$22,$N1021)&gt;0,1,0))</f>
        <v>0</v>
      </c>
      <c r="AB1021" s="37" t="str">
        <f aca="false">IF($N1021="","",IF(COUNTIF($N$8:$N1021,$N1021)=1,MAX($AB$7:$AB1020)+1,""))</f>
        <v/>
      </c>
    </row>
    <row r="1022" customFormat="false" ht="15" hidden="false" customHeight="false" outlineLevel="0" collapsed="false">
      <c r="L1022" s="37" t="str">
        <f aca="false">IF(INDEX($A1022:$J1022,$L$6)&lt;&gt;"",TRIM(LEFT(INDEX($A1022:$J1022,$L$6),FIND("(",INDEX($A1022:$J1022,$L$6)&amp;"(")-1)),L1021)</f>
        <v>Building Value Proposition</v>
      </c>
      <c r="M1022" s="37" t="str">
        <f aca="false">IF(INDEX($A1022:$J1022,$M$6)="","",INDEX($A1022:$J1022,$M$6)&amp;"")</f>
        <v/>
      </c>
      <c r="N1022" s="37" t="str">
        <f aca="false">IF($M1022="","",TRIM(INDEX($A1022:$J1022,$N$6)&amp;""))</f>
        <v/>
      </c>
      <c r="O1022" s="37" t="str">
        <f aca="false">IF($M1022="","",TRIM(INDEX($A1022:$J1022,$O$6)&amp;""))</f>
        <v/>
      </c>
      <c r="P1022" s="37" t="str">
        <f aca="false">IF($M1022="","",IFERROR(IF(INDEX(Settings!$B$41:$B$50,MATCH(O1022,Settings!$A$41:$A$50,0))&amp;""="","UNMAPPED",INDEX(Settings!$B$41:$B$50,MATCH(O1022,Settings!$A$41:$A$50,0))&amp;""),"UNMAPPED"))</f>
        <v/>
      </c>
      <c r="Q1022" s="38" t="n">
        <f aca="false">IF($M1022="",0,N(INDEX($A1022:$J1022,$Q$6)))</f>
        <v>0</v>
      </c>
      <c r="R1022" s="39" t="str">
        <f aca="false">IF($M1022="","",INDEX($A1022:$J1022,$R$6))</f>
        <v/>
      </c>
      <c r="S1022" s="37" t="str">
        <f aca="false">IF($M1022="","",IFERROR(INDEX(Settings!$B$27:$B$36,MATCH(L1022,Settings!$A$27:$A$36,0))&amp;"","UNMAPPED"))</f>
        <v/>
      </c>
      <c r="T1022" s="37" t="str">
        <f aca="false">IF($M1022="","",IF(NOT(ISNUMBER(R1022)),"NO DATE",IF(S1022="Won",IF(R1022&gt;Settings!$B$5,"Backlog","Delivered"),IF(S1022="Open",IF(R1022&gt;Settings!$B$5,"Pipeline","Overdue"),IF(S1022="Lost","Lost","UNMAPPED")))))</f>
        <v/>
      </c>
      <c r="U1022" s="40" t="n">
        <f aca="false">IF(T1022="Backlog",1,IF(OR(T1022="Pipeline",T1022="Overdue"),N(INDEX(Settings!$C$27:$C$36,MATCH(L1022,Settings!$A$27:$A$36,0))),0))</f>
        <v>0</v>
      </c>
      <c r="V1022" s="38" t="n">
        <f aca="false">Q1022*U1022</f>
        <v>0</v>
      </c>
      <c r="W1022" s="41" t="str">
        <f aca="false">IF($M1022="","",IF(T1022="Overdue",IF(Settings!$B$8="Yes",Settings!$B$7,""),IF(ISNUMBER(R1022),DATE(YEAR(R1022),MONTH(R1022),1),"")))</f>
        <v/>
      </c>
      <c r="X1022" s="38" t="n">
        <f aca="false">IF(AND(OR(T1022="Backlog",T1022="Pipeline",T1022="Overdue"),ISNUMBER(W1022)),IF(W1022&lt;=Settings!$B$6,V1022,0),0)</f>
        <v>0</v>
      </c>
      <c r="Y1022" s="38" t="n">
        <f aca="false">IF(AND(OR(T1022="Backlog",T1022="Pipeline",T1022="Overdue"),ISNUMBER(W1022)),IF(W1022&lt;=Settings!$B$6,Q1022,0),0)</f>
        <v>0</v>
      </c>
      <c r="Z1022" s="38" t="n">
        <f aca="false">IF(Y1022=0,0,IF(T1022="Backlog",Q1022,Q1022*Dashboard!$C$10))</f>
        <v>0</v>
      </c>
      <c r="AA1022" s="37" t="n">
        <f aca="false">IF($N1022="",0,IF(COUNTIF(Dashboard!$C$13:$C$22,$N1022)&gt;0,1,0))</f>
        <v>0</v>
      </c>
      <c r="AB1022" s="37" t="str">
        <f aca="false">IF($N1022="","",IF(COUNTIF($N$8:$N1022,$N1022)=1,MAX($AB$7:$AB1021)+1,""))</f>
        <v/>
      </c>
    </row>
    <row r="1023" customFormat="false" ht="15" hidden="false" customHeight="false" outlineLevel="0" collapsed="false">
      <c r="L1023" s="37" t="str">
        <f aca="false">IF(INDEX($A1023:$J1023,$L$6)&lt;&gt;"",TRIM(LEFT(INDEX($A1023:$J1023,$L$6),FIND("(",INDEX($A1023:$J1023,$L$6)&amp;"(")-1)),L1022)</f>
        <v>Building Value Proposition</v>
      </c>
      <c r="M1023" s="37" t="str">
        <f aca="false">IF(INDEX($A1023:$J1023,$M$6)="","",INDEX($A1023:$J1023,$M$6)&amp;"")</f>
        <v/>
      </c>
      <c r="N1023" s="37" t="str">
        <f aca="false">IF($M1023="","",TRIM(INDEX($A1023:$J1023,$N$6)&amp;""))</f>
        <v/>
      </c>
      <c r="O1023" s="37" t="str">
        <f aca="false">IF($M1023="","",TRIM(INDEX($A1023:$J1023,$O$6)&amp;""))</f>
        <v/>
      </c>
      <c r="P1023" s="37" t="str">
        <f aca="false">IF($M1023="","",IFERROR(IF(INDEX(Settings!$B$41:$B$50,MATCH(O1023,Settings!$A$41:$A$50,0))&amp;""="","UNMAPPED",INDEX(Settings!$B$41:$B$50,MATCH(O1023,Settings!$A$41:$A$50,0))&amp;""),"UNMAPPED"))</f>
        <v/>
      </c>
      <c r="Q1023" s="38" t="n">
        <f aca="false">IF($M1023="",0,N(INDEX($A1023:$J1023,$Q$6)))</f>
        <v>0</v>
      </c>
      <c r="R1023" s="39" t="str">
        <f aca="false">IF($M1023="","",INDEX($A1023:$J1023,$R$6))</f>
        <v/>
      </c>
      <c r="S1023" s="37" t="str">
        <f aca="false">IF($M1023="","",IFERROR(INDEX(Settings!$B$27:$B$36,MATCH(L1023,Settings!$A$27:$A$36,0))&amp;"","UNMAPPED"))</f>
        <v/>
      </c>
      <c r="T1023" s="37" t="str">
        <f aca="false">IF($M1023="","",IF(NOT(ISNUMBER(R1023)),"NO DATE",IF(S1023="Won",IF(R1023&gt;Settings!$B$5,"Backlog","Delivered"),IF(S1023="Open",IF(R1023&gt;Settings!$B$5,"Pipeline","Overdue"),IF(S1023="Lost","Lost","UNMAPPED")))))</f>
        <v/>
      </c>
      <c r="U1023" s="40" t="n">
        <f aca="false">IF(T1023="Backlog",1,IF(OR(T1023="Pipeline",T1023="Overdue"),N(INDEX(Settings!$C$27:$C$36,MATCH(L1023,Settings!$A$27:$A$36,0))),0))</f>
        <v>0</v>
      </c>
      <c r="V1023" s="38" t="n">
        <f aca="false">Q1023*U1023</f>
        <v>0</v>
      </c>
      <c r="W1023" s="41" t="str">
        <f aca="false">IF($M1023="","",IF(T1023="Overdue",IF(Settings!$B$8="Yes",Settings!$B$7,""),IF(ISNUMBER(R1023),DATE(YEAR(R1023),MONTH(R1023),1),"")))</f>
        <v/>
      </c>
      <c r="X1023" s="38" t="n">
        <f aca="false">IF(AND(OR(T1023="Backlog",T1023="Pipeline",T1023="Overdue"),ISNUMBER(W1023)),IF(W1023&lt;=Settings!$B$6,V1023,0),0)</f>
        <v>0</v>
      </c>
      <c r="Y1023" s="38" t="n">
        <f aca="false">IF(AND(OR(T1023="Backlog",T1023="Pipeline",T1023="Overdue"),ISNUMBER(W1023)),IF(W1023&lt;=Settings!$B$6,Q1023,0),0)</f>
        <v>0</v>
      </c>
      <c r="Z1023" s="38" t="n">
        <f aca="false">IF(Y1023=0,0,IF(T1023="Backlog",Q1023,Q1023*Dashboard!$C$10))</f>
        <v>0</v>
      </c>
      <c r="AA1023" s="37" t="n">
        <f aca="false">IF($N1023="",0,IF(COUNTIF(Dashboard!$C$13:$C$22,$N1023)&gt;0,1,0))</f>
        <v>0</v>
      </c>
      <c r="AB1023" s="37" t="str">
        <f aca="false">IF($N1023="","",IF(COUNTIF($N$8:$N1023,$N1023)=1,MAX($AB$7:$AB1022)+1,""))</f>
        <v/>
      </c>
    </row>
    <row r="1024" customFormat="false" ht="15" hidden="false" customHeight="false" outlineLevel="0" collapsed="false">
      <c r="L1024" s="37" t="str">
        <f aca="false">IF(INDEX($A1024:$J1024,$L$6)&lt;&gt;"",TRIM(LEFT(INDEX($A1024:$J1024,$L$6),FIND("(",INDEX($A1024:$J1024,$L$6)&amp;"(")-1)),L1023)</f>
        <v>Building Value Proposition</v>
      </c>
      <c r="M1024" s="37" t="str">
        <f aca="false">IF(INDEX($A1024:$J1024,$M$6)="","",INDEX($A1024:$J1024,$M$6)&amp;"")</f>
        <v/>
      </c>
      <c r="N1024" s="37" t="str">
        <f aca="false">IF($M1024="","",TRIM(INDEX($A1024:$J1024,$N$6)&amp;""))</f>
        <v/>
      </c>
      <c r="O1024" s="37" t="str">
        <f aca="false">IF($M1024="","",TRIM(INDEX($A1024:$J1024,$O$6)&amp;""))</f>
        <v/>
      </c>
      <c r="P1024" s="37" t="str">
        <f aca="false">IF($M1024="","",IFERROR(IF(INDEX(Settings!$B$41:$B$50,MATCH(O1024,Settings!$A$41:$A$50,0))&amp;""="","UNMAPPED",INDEX(Settings!$B$41:$B$50,MATCH(O1024,Settings!$A$41:$A$50,0))&amp;""),"UNMAPPED"))</f>
        <v/>
      </c>
      <c r="Q1024" s="38" t="n">
        <f aca="false">IF($M1024="",0,N(INDEX($A1024:$J1024,$Q$6)))</f>
        <v>0</v>
      </c>
      <c r="R1024" s="39" t="str">
        <f aca="false">IF($M1024="","",INDEX($A1024:$J1024,$R$6))</f>
        <v/>
      </c>
      <c r="S1024" s="37" t="str">
        <f aca="false">IF($M1024="","",IFERROR(INDEX(Settings!$B$27:$B$36,MATCH(L1024,Settings!$A$27:$A$36,0))&amp;"","UNMAPPED"))</f>
        <v/>
      </c>
      <c r="T1024" s="37" t="str">
        <f aca="false">IF($M1024="","",IF(NOT(ISNUMBER(R1024)),"NO DATE",IF(S1024="Won",IF(R1024&gt;Settings!$B$5,"Backlog","Delivered"),IF(S1024="Open",IF(R1024&gt;Settings!$B$5,"Pipeline","Overdue"),IF(S1024="Lost","Lost","UNMAPPED")))))</f>
        <v/>
      </c>
      <c r="U1024" s="40" t="n">
        <f aca="false">IF(T1024="Backlog",1,IF(OR(T1024="Pipeline",T1024="Overdue"),N(INDEX(Settings!$C$27:$C$36,MATCH(L1024,Settings!$A$27:$A$36,0))),0))</f>
        <v>0</v>
      </c>
      <c r="V1024" s="38" t="n">
        <f aca="false">Q1024*U1024</f>
        <v>0</v>
      </c>
      <c r="W1024" s="41" t="str">
        <f aca="false">IF($M1024="","",IF(T1024="Overdue",IF(Settings!$B$8="Yes",Settings!$B$7,""),IF(ISNUMBER(R1024),DATE(YEAR(R1024),MONTH(R1024),1),"")))</f>
        <v/>
      </c>
      <c r="X1024" s="38" t="n">
        <f aca="false">IF(AND(OR(T1024="Backlog",T1024="Pipeline",T1024="Overdue"),ISNUMBER(W1024)),IF(W1024&lt;=Settings!$B$6,V1024,0),0)</f>
        <v>0</v>
      </c>
      <c r="Y1024" s="38" t="n">
        <f aca="false">IF(AND(OR(T1024="Backlog",T1024="Pipeline",T1024="Overdue"),ISNUMBER(W1024)),IF(W1024&lt;=Settings!$B$6,Q1024,0),0)</f>
        <v>0</v>
      </c>
      <c r="Z1024" s="38" t="n">
        <f aca="false">IF(Y1024=0,0,IF(T1024="Backlog",Q1024,Q1024*Dashboard!$C$10))</f>
        <v>0</v>
      </c>
      <c r="AA1024" s="37" t="n">
        <f aca="false">IF($N1024="",0,IF(COUNTIF(Dashboard!$C$13:$C$22,$N1024)&gt;0,1,0))</f>
        <v>0</v>
      </c>
      <c r="AB1024" s="37" t="str">
        <f aca="false">IF($N1024="","",IF(COUNTIF($N$8:$N1024,$N1024)=1,MAX($AB$7:$AB1023)+1,""))</f>
        <v/>
      </c>
    </row>
    <row r="1025" customFormat="false" ht="15" hidden="false" customHeight="false" outlineLevel="0" collapsed="false">
      <c r="L1025" s="37" t="str">
        <f aca="false">IF(INDEX($A1025:$J1025,$L$6)&lt;&gt;"",TRIM(LEFT(INDEX($A1025:$J1025,$L$6),FIND("(",INDEX($A1025:$J1025,$L$6)&amp;"(")-1)),L1024)</f>
        <v>Building Value Proposition</v>
      </c>
      <c r="M1025" s="37" t="str">
        <f aca="false">IF(INDEX($A1025:$J1025,$M$6)="","",INDEX($A1025:$J1025,$M$6)&amp;"")</f>
        <v/>
      </c>
      <c r="N1025" s="37" t="str">
        <f aca="false">IF($M1025="","",TRIM(INDEX($A1025:$J1025,$N$6)&amp;""))</f>
        <v/>
      </c>
      <c r="O1025" s="37" t="str">
        <f aca="false">IF($M1025="","",TRIM(INDEX($A1025:$J1025,$O$6)&amp;""))</f>
        <v/>
      </c>
      <c r="P1025" s="37" t="str">
        <f aca="false">IF($M1025="","",IFERROR(IF(INDEX(Settings!$B$41:$B$50,MATCH(O1025,Settings!$A$41:$A$50,0))&amp;""="","UNMAPPED",INDEX(Settings!$B$41:$B$50,MATCH(O1025,Settings!$A$41:$A$50,0))&amp;""),"UNMAPPED"))</f>
        <v/>
      </c>
      <c r="Q1025" s="38" t="n">
        <f aca="false">IF($M1025="",0,N(INDEX($A1025:$J1025,$Q$6)))</f>
        <v>0</v>
      </c>
      <c r="R1025" s="39" t="str">
        <f aca="false">IF($M1025="","",INDEX($A1025:$J1025,$R$6))</f>
        <v/>
      </c>
      <c r="S1025" s="37" t="str">
        <f aca="false">IF($M1025="","",IFERROR(INDEX(Settings!$B$27:$B$36,MATCH(L1025,Settings!$A$27:$A$36,0))&amp;"","UNMAPPED"))</f>
        <v/>
      </c>
      <c r="T1025" s="37" t="str">
        <f aca="false">IF($M1025="","",IF(NOT(ISNUMBER(R1025)),"NO DATE",IF(S1025="Won",IF(R1025&gt;Settings!$B$5,"Backlog","Delivered"),IF(S1025="Open",IF(R1025&gt;Settings!$B$5,"Pipeline","Overdue"),IF(S1025="Lost","Lost","UNMAPPED")))))</f>
        <v/>
      </c>
      <c r="U1025" s="40" t="n">
        <f aca="false">IF(T1025="Backlog",1,IF(OR(T1025="Pipeline",T1025="Overdue"),N(INDEX(Settings!$C$27:$C$36,MATCH(L1025,Settings!$A$27:$A$36,0))),0))</f>
        <v>0</v>
      </c>
      <c r="V1025" s="38" t="n">
        <f aca="false">Q1025*U1025</f>
        <v>0</v>
      </c>
      <c r="W1025" s="41" t="str">
        <f aca="false">IF($M1025="","",IF(T1025="Overdue",IF(Settings!$B$8="Yes",Settings!$B$7,""),IF(ISNUMBER(R1025),DATE(YEAR(R1025),MONTH(R1025),1),"")))</f>
        <v/>
      </c>
      <c r="X1025" s="38" t="n">
        <f aca="false">IF(AND(OR(T1025="Backlog",T1025="Pipeline",T1025="Overdue"),ISNUMBER(W1025)),IF(W1025&lt;=Settings!$B$6,V1025,0),0)</f>
        <v>0</v>
      </c>
      <c r="Y1025" s="38" t="n">
        <f aca="false">IF(AND(OR(T1025="Backlog",T1025="Pipeline",T1025="Overdue"),ISNUMBER(W1025)),IF(W1025&lt;=Settings!$B$6,Q1025,0),0)</f>
        <v>0</v>
      </c>
      <c r="Z1025" s="38" t="n">
        <f aca="false">IF(Y1025=0,0,IF(T1025="Backlog",Q1025,Q1025*Dashboard!$C$10))</f>
        <v>0</v>
      </c>
      <c r="AA1025" s="37" t="n">
        <f aca="false">IF($N1025="",0,IF(COUNTIF(Dashboard!$C$13:$C$22,$N1025)&gt;0,1,0))</f>
        <v>0</v>
      </c>
      <c r="AB1025" s="37" t="str">
        <f aca="false">IF($N1025="","",IF(COUNTIF($N$8:$N1025,$N1025)=1,MAX($AB$7:$AB1024)+1,""))</f>
        <v/>
      </c>
    </row>
    <row r="1026" customFormat="false" ht="15" hidden="false" customHeight="false" outlineLevel="0" collapsed="false">
      <c r="L1026" s="37" t="str">
        <f aca="false">IF(INDEX($A1026:$J1026,$L$6)&lt;&gt;"",TRIM(LEFT(INDEX($A1026:$J1026,$L$6),FIND("(",INDEX($A1026:$J1026,$L$6)&amp;"(")-1)),L1025)</f>
        <v>Building Value Proposition</v>
      </c>
      <c r="M1026" s="37" t="str">
        <f aca="false">IF(INDEX($A1026:$J1026,$M$6)="","",INDEX($A1026:$J1026,$M$6)&amp;"")</f>
        <v/>
      </c>
      <c r="N1026" s="37" t="str">
        <f aca="false">IF($M1026="","",TRIM(INDEX($A1026:$J1026,$N$6)&amp;""))</f>
        <v/>
      </c>
      <c r="O1026" s="37" t="str">
        <f aca="false">IF($M1026="","",TRIM(INDEX($A1026:$J1026,$O$6)&amp;""))</f>
        <v/>
      </c>
      <c r="P1026" s="37" t="str">
        <f aca="false">IF($M1026="","",IFERROR(IF(INDEX(Settings!$B$41:$B$50,MATCH(O1026,Settings!$A$41:$A$50,0))&amp;""="","UNMAPPED",INDEX(Settings!$B$41:$B$50,MATCH(O1026,Settings!$A$41:$A$50,0))&amp;""),"UNMAPPED"))</f>
        <v/>
      </c>
      <c r="Q1026" s="38" t="n">
        <f aca="false">IF($M1026="",0,N(INDEX($A1026:$J1026,$Q$6)))</f>
        <v>0</v>
      </c>
      <c r="R1026" s="39" t="str">
        <f aca="false">IF($M1026="","",INDEX($A1026:$J1026,$R$6))</f>
        <v/>
      </c>
      <c r="S1026" s="37" t="str">
        <f aca="false">IF($M1026="","",IFERROR(INDEX(Settings!$B$27:$B$36,MATCH(L1026,Settings!$A$27:$A$36,0))&amp;"","UNMAPPED"))</f>
        <v/>
      </c>
      <c r="T1026" s="37" t="str">
        <f aca="false">IF($M1026="","",IF(NOT(ISNUMBER(R1026)),"NO DATE",IF(S1026="Won",IF(R1026&gt;Settings!$B$5,"Backlog","Delivered"),IF(S1026="Open",IF(R1026&gt;Settings!$B$5,"Pipeline","Overdue"),IF(S1026="Lost","Lost","UNMAPPED")))))</f>
        <v/>
      </c>
      <c r="U1026" s="40" t="n">
        <f aca="false">IF(T1026="Backlog",1,IF(OR(T1026="Pipeline",T1026="Overdue"),N(INDEX(Settings!$C$27:$C$36,MATCH(L1026,Settings!$A$27:$A$36,0))),0))</f>
        <v>0</v>
      </c>
      <c r="V1026" s="38" t="n">
        <f aca="false">Q1026*U1026</f>
        <v>0</v>
      </c>
      <c r="W1026" s="41" t="str">
        <f aca="false">IF($M1026="","",IF(T1026="Overdue",IF(Settings!$B$8="Yes",Settings!$B$7,""),IF(ISNUMBER(R1026),DATE(YEAR(R1026),MONTH(R1026),1),"")))</f>
        <v/>
      </c>
      <c r="X1026" s="38" t="n">
        <f aca="false">IF(AND(OR(T1026="Backlog",T1026="Pipeline",T1026="Overdue"),ISNUMBER(W1026)),IF(W1026&lt;=Settings!$B$6,V1026,0),0)</f>
        <v>0</v>
      </c>
      <c r="Y1026" s="38" t="n">
        <f aca="false">IF(AND(OR(T1026="Backlog",T1026="Pipeline",T1026="Overdue"),ISNUMBER(W1026)),IF(W1026&lt;=Settings!$B$6,Q1026,0),0)</f>
        <v>0</v>
      </c>
      <c r="Z1026" s="38" t="n">
        <f aca="false">IF(Y1026=0,0,IF(T1026="Backlog",Q1026,Q1026*Dashboard!$C$10))</f>
        <v>0</v>
      </c>
      <c r="AA1026" s="37" t="n">
        <f aca="false">IF($N1026="",0,IF(COUNTIF(Dashboard!$C$13:$C$22,$N1026)&gt;0,1,0))</f>
        <v>0</v>
      </c>
      <c r="AB1026" s="37" t="str">
        <f aca="false">IF($N1026="","",IF(COUNTIF($N$8:$N1026,$N1026)=1,MAX($AB$7:$AB1025)+1,""))</f>
        <v/>
      </c>
    </row>
    <row r="1027" customFormat="false" ht="15" hidden="false" customHeight="false" outlineLevel="0" collapsed="false">
      <c r="L1027" s="37" t="str">
        <f aca="false">IF(INDEX($A1027:$J1027,$L$6)&lt;&gt;"",TRIM(LEFT(INDEX($A1027:$J1027,$L$6),FIND("(",INDEX($A1027:$J1027,$L$6)&amp;"(")-1)),L1026)</f>
        <v>Building Value Proposition</v>
      </c>
      <c r="M1027" s="37" t="str">
        <f aca="false">IF(INDEX($A1027:$J1027,$M$6)="","",INDEX($A1027:$J1027,$M$6)&amp;"")</f>
        <v/>
      </c>
      <c r="N1027" s="37" t="str">
        <f aca="false">IF($M1027="","",TRIM(INDEX($A1027:$J1027,$N$6)&amp;""))</f>
        <v/>
      </c>
      <c r="O1027" s="37" t="str">
        <f aca="false">IF($M1027="","",TRIM(INDEX($A1027:$J1027,$O$6)&amp;""))</f>
        <v/>
      </c>
      <c r="P1027" s="37" t="str">
        <f aca="false">IF($M1027="","",IFERROR(IF(INDEX(Settings!$B$41:$B$50,MATCH(O1027,Settings!$A$41:$A$50,0))&amp;""="","UNMAPPED",INDEX(Settings!$B$41:$B$50,MATCH(O1027,Settings!$A$41:$A$50,0))&amp;""),"UNMAPPED"))</f>
        <v/>
      </c>
      <c r="Q1027" s="38" t="n">
        <f aca="false">IF($M1027="",0,N(INDEX($A1027:$J1027,$Q$6)))</f>
        <v>0</v>
      </c>
      <c r="R1027" s="39" t="str">
        <f aca="false">IF($M1027="","",INDEX($A1027:$J1027,$R$6))</f>
        <v/>
      </c>
      <c r="S1027" s="37" t="str">
        <f aca="false">IF($M1027="","",IFERROR(INDEX(Settings!$B$27:$B$36,MATCH(L1027,Settings!$A$27:$A$36,0))&amp;"","UNMAPPED"))</f>
        <v/>
      </c>
      <c r="T1027" s="37" t="str">
        <f aca="false">IF($M1027="","",IF(NOT(ISNUMBER(R1027)),"NO DATE",IF(S1027="Won",IF(R1027&gt;Settings!$B$5,"Backlog","Delivered"),IF(S1027="Open",IF(R1027&gt;Settings!$B$5,"Pipeline","Overdue"),IF(S1027="Lost","Lost","UNMAPPED")))))</f>
        <v/>
      </c>
      <c r="U1027" s="40" t="n">
        <f aca="false">IF(T1027="Backlog",1,IF(OR(T1027="Pipeline",T1027="Overdue"),N(INDEX(Settings!$C$27:$C$36,MATCH(L1027,Settings!$A$27:$A$36,0))),0))</f>
        <v>0</v>
      </c>
      <c r="V1027" s="38" t="n">
        <f aca="false">Q1027*U1027</f>
        <v>0</v>
      </c>
      <c r="W1027" s="41" t="str">
        <f aca="false">IF($M1027="","",IF(T1027="Overdue",IF(Settings!$B$8="Yes",Settings!$B$7,""),IF(ISNUMBER(R1027),DATE(YEAR(R1027),MONTH(R1027),1),"")))</f>
        <v/>
      </c>
      <c r="X1027" s="38" t="n">
        <f aca="false">IF(AND(OR(T1027="Backlog",T1027="Pipeline",T1027="Overdue"),ISNUMBER(W1027)),IF(W1027&lt;=Settings!$B$6,V1027,0),0)</f>
        <v>0</v>
      </c>
      <c r="Y1027" s="38" t="n">
        <f aca="false">IF(AND(OR(T1027="Backlog",T1027="Pipeline",T1027="Overdue"),ISNUMBER(W1027)),IF(W1027&lt;=Settings!$B$6,Q1027,0),0)</f>
        <v>0</v>
      </c>
      <c r="Z1027" s="38" t="n">
        <f aca="false">IF(Y1027=0,0,IF(T1027="Backlog",Q1027,Q1027*Dashboard!$C$10))</f>
        <v>0</v>
      </c>
      <c r="AA1027" s="37" t="n">
        <f aca="false">IF($N1027="",0,IF(COUNTIF(Dashboard!$C$13:$C$22,$N1027)&gt;0,1,0))</f>
        <v>0</v>
      </c>
      <c r="AB1027" s="37" t="str">
        <f aca="false">IF($N1027="","",IF(COUNTIF($N$8:$N1027,$N1027)=1,MAX($AB$7:$AB1026)+1,""))</f>
        <v/>
      </c>
    </row>
    <row r="1028" customFormat="false" ht="15" hidden="false" customHeight="false" outlineLevel="0" collapsed="false">
      <c r="L1028" s="37" t="str">
        <f aca="false">IF(INDEX($A1028:$J1028,$L$6)&lt;&gt;"",TRIM(LEFT(INDEX($A1028:$J1028,$L$6),FIND("(",INDEX($A1028:$J1028,$L$6)&amp;"(")-1)),L1027)</f>
        <v>Building Value Proposition</v>
      </c>
      <c r="M1028" s="37" t="str">
        <f aca="false">IF(INDEX($A1028:$J1028,$M$6)="","",INDEX($A1028:$J1028,$M$6)&amp;"")</f>
        <v/>
      </c>
      <c r="N1028" s="37" t="str">
        <f aca="false">IF($M1028="","",TRIM(INDEX($A1028:$J1028,$N$6)&amp;""))</f>
        <v/>
      </c>
      <c r="O1028" s="37" t="str">
        <f aca="false">IF($M1028="","",TRIM(INDEX($A1028:$J1028,$O$6)&amp;""))</f>
        <v/>
      </c>
      <c r="P1028" s="37" t="str">
        <f aca="false">IF($M1028="","",IFERROR(IF(INDEX(Settings!$B$41:$B$50,MATCH(O1028,Settings!$A$41:$A$50,0))&amp;""="","UNMAPPED",INDEX(Settings!$B$41:$B$50,MATCH(O1028,Settings!$A$41:$A$50,0))&amp;""),"UNMAPPED"))</f>
        <v/>
      </c>
      <c r="Q1028" s="38" t="n">
        <f aca="false">IF($M1028="",0,N(INDEX($A1028:$J1028,$Q$6)))</f>
        <v>0</v>
      </c>
      <c r="R1028" s="39" t="str">
        <f aca="false">IF($M1028="","",INDEX($A1028:$J1028,$R$6))</f>
        <v/>
      </c>
      <c r="S1028" s="37" t="str">
        <f aca="false">IF($M1028="","",IFERROR(INDEX(Settings!$B$27:$B$36,MATCH(L1028,Settings!$A$27:$A$36,0))&amp;"","UNMAPPED"))</f>
        <v/>
      </c>
      <c r="T1028" s="37" t="str">
        <f aca="false">IF($M1028="","",IF(NOT(ISNUMBER(R1028)),"NO DATE",IF(S1028="Won",IF(R1028&gt;Settings!$B$5,"Backlog","Delivered"),IF(S1028="Open",IF(R1028&gt;Settings!$B$5,"Pipeline","Overdue"),IF(S1028="Lost","Lost","UNMAPPED")))))</f>
        <v/>
      </c>
      <c r="U1028" s="40" t="n">
        <f aca="false">IF(T1028="Backlog",1,IF(OR(T1028="Pipeline",T1028="Overdue"),N(INDEX(Settings!$C$27:$C$36,MATCH(L1028,Settings!$A$27:$A$36,0))),0))</f>
        <v>0</v>
      </c>
      <c r="V1028" s="38" t="n">
        <f aca="false">Q1028*U1028</f>
        <v>0</v>
      </c>
      <c r="W1028" s="41" t="str">
        <f aca="false">IF($M1028="","",IF(T1028="Overdue",IF(Settings!$B$8="Yes",Settings!$B$7,""),IF(ISNUMBER(R1028),DATE(YEAR(R1028),MONTH(R1028),1),"")))</f>
        <v/>
      </c>
      <c r="X1028" s="38" t="n">
        <f aca="false">IF(AND(OR(T1028="Backlog",T1028="Pipeline",T1028="Overdue"),ISNUMBER(W1028)),IF(W1028&lt;=Settings!$B$6,V1028,0),0)</f>
        <v>0</v>
      </c>
      <c r="Y1028" s="38" t="n">
        <f aca="false">IF(AND(OR(T1028="Backlog",T1028="Pipeline",T1028="Overdue"),ISNUMBER(W1028)),IF(W1028&lt;=Settings!$B$6,Q1028,0),0)</f>
        <v>0</v>
      </c>
      <c r="Z1028" s="38" t="n">
        <f aca="false">IF(Y1028=0,0,IF(T1028="Backlog",Q1028,Q1028*Dashboard!$C$10))</f>
        <v>0</v>
      </c>
      <c r="AA1028" s="37" t="n">
        <f aca="false">IF($N1028="",0,IF(COUNTIF(Dashboard!$C$13:$C$22,$N1028)&gt;0,1,0))</f>
        <v>0</v>
      </c>
      <c r="AB1028" s="37" t="str">
        <f aca="false">IF($N1028="","",IF(COUNTIF($N$8:$N1028,$N1028)=1,MAX($AB$7:$AB1027)+1,""))</f>
        <v/>
      </c>
    </row>
    <row r="1029" customFormat="false" ht="15" hidden="false" customHeight="false" outlineLevel="0" collapsed="false">
      <c r="L1029" s="37" t="str">
        <f aca="false">IF(INDEX($A1029:$J1029,$L$6)&lt;&gt;"",TRIM(LEFT(INDEX($A1029:$J1029,$L$6),FIND("(",INDEX($A1029:$J1029,$L$6)&amp;"(")-1)),L1028)</f>
        <v>Building Value Proposition</v>
      </c>
      <c r="M1029" s="37" t="str">
        <f aca="false">IF(INDEX($A1029:$J1029,$M$6)="","",INDEX($A1029:$J1029,$M$6)&amp;"")</f>
        <v/>
      </c>
      <c r="N1029" s="37" t="str">
        <f aca="false">IF($M1029="","",TRIM(INDEX($A1029:$J1029,$N$6)&amp;""))</f>
        <v/>
      </c>
      <c r="O1029" s="37" t="str">
        <f aca="false">IF($M1029="","",TRIM(INDEX($A1029:$J1029,$O$6)&amp;""))</f>
        <v/>
      </c>
      <c r="P1029" s="37" t="str">
        <f aca="false">IF($M1029="","",IFERROR(IF(INDEX(Settings!$B$41:$B$50,MATCH(O1029,Settings!$A$41:$A$50,0))&amp;""="","UNMAPPED",INDEX(Settings!$B$41:$B$50,MATCH(O1029,Settings!$A$41:$A$50,0))&amp;""),"UNMAPPED"))</f>
        <v/>
      </c>
      <c r="Q1029" s="38" t="n">
        <f aca="false">IF($M1029="",0,N(INDEX($A1029:$J1029,$Q$6)))</f>
        <v>0</v>
      </c>
      <c r="R1029" s="39" t="str">
        <f aca="false">IF($M1029="","",INDEX($A1029:$J1029,$R$6))</f>
        <v/>
      </c>
      <c r="S1029" s="37" t="str">
        <f aca="false">IF($M1029="","",IFERROR(INDEX(Settings!$B$27:$B$36,MATCH(L1029,Settings!$A$27:$A$36,0))&amp;"","UNMAPPED"))</f>
        <v/>
      </c>
      <c r="T1029" s="37" t="str">
        <f aca="false">IF($M1029="","",IF(NOT(ISNUMBER(R1029)),"NO DATE",IF(S1029="Won",IF(R1029&gt;Settings!$B$5,"Backlog","Delivered"),IF(S1029="Open",IF(R1029&gt;Settings!$B$5,"Pipeline","Overdue"),IF(S1029="Lost","Lost","UNMAPPED")))))</f>
        <v/>
      </c>
      <c r="U1029" s="40" t="n">
        <f aca="false">IF(T1029="Backlog",1,IF(OR(T1029="Pipeline",T1029="Overdue"),N(INDEX(Settings!$C$27:$C$36,MATCH(L1029,Settings!$A$27:$A$36,0))),0))</f>
        <v>0</v>
      </c>
      <c r="V1029" s="38" t="n">
        <f aca="false">Q1029*U1029</f>
        <v>0</v>
      </c>
      <c r="W1029" s="41" t="str">
        <f aca="false">IF($M1029="","",IF(T1029="Overdue",IF(Settings!$B$8="Yes",Settings!$B$7,""),IF(ISNUMBER(R1029),DATE(YEAR(R1029),MONTH(R1029),1),"")))</f>
        <v/>
      </c>
      <c r="X1029" s="38" t="n">
        <f aca="false">IF(AND(OR(T1029="Backlog",T1029="Pipeline",T1029="Overdue"),ISNUMBER(W1029)),IF(W1029&lt;=Settings!$B$6,V1029,0),0)</f>
        <v>0</v>
      </c>
      <c r="Y1029" s="38" t="n">
        <f aca="false">IF(AND(OR(T1029="Backlog",T1029="Pipeline",T1029="Overdue"),ISNUMBER(W1029)),IF(W1029&lt;=Settings!$B$6,Q1029,0),0)</f>
        <v>0</v>
      </c>
      <c r="Z1029" s="38" t="n">
        <f aca="false">IF(Y1029=0,0,IF(T1029="Backlog",Q1029,Q1029*Dashboard!$C$10))</f>
        <v>0</v>
      </c>
      <c r="AA1029" s="37" t="n">
        <f aca="false">IF($N1029="",0,IF(COUNTIF(Dashboard!$C$13:$C$22,$N1029)&gt;0,1,0))</f>
        <v>0</v>
      </c>
      <c r="AB1029" s="37" t="str">
        <f aca="false">IF($N1029="","",IF(COUNTIF($N$8:$N1029,$N1029)=1,MAX($AB$7:$AB1028)+1,""))</f>
        <v/>
      </c>
    </row>
    <row r="1030" customFormat="false" ht="15" hidden="false" customHeight="false" outlineLevel="0" collapsed="false">
      <c r="L1030" s="37" t="str">
        <f aca="false">IF(INDEX($A1030:$J1030,$L$6)&lt;&gt;"",TRIM(LEFT(INDEX($A1030:$J1030,$L$6),FIND("(",INDEX($A1030:$J1030,$L$6)&amp;"(")-1)),L1029)</f>
        <v>Building Value Proposition</v>
      </c>
      <c r="M1030" s="37" t="str">
        <f aca="false">IF(INDEX($A1030:$J1030,$M$6)="","",INDEX($A1030:$J1030,$M$6)&amp;"")</f>
        <v/>
      </c>
      <c r="N1030" s="37" t="str">
        <f aca="false">IF($M1030="","",TRIM(INDEX($A1030:$J1030,$N$6)&amp;""))</f>
        <v/>
      </c>
      <c r="O1030" s="37" t="str">
        <f aca="false">IF($M1030="","",TRIM(INDEX($A1030:$J1030,$O$6)&amp;""))</f>
        <v/>
      </c>
      <c r="P1030" s="37" t="str">
        <f aca="false">IF($M1030="","",IFERROR(IF(INDEX(Settings!$B$41:$B$50,MATCH(O1030,Settings!$A$41:$A$50,0))&amp;""="","UNMAPPED",INDEX(Settings!$B$41:$B$50,MATCH(O1030,Settings!$A$41:$A$50,0))&amp;""),"UNMAPPED"))</f>
        <v/>
      </c>
      <c r="Q1030" s="38" t="n">
        <f aca="false">IF($M1030="",0,N(INDEX($A1030:$J1030,$Q$6)))</f>
        <v>0</v>
      </c>
      <c r="R1030" s="39" t="str">
        <f aca="false">IF($M1030="","",INDEX($A1030:$J1030,$R$6))</f>
        <v/>
      </c>
      <c r="S1030" s="37" t="str">
        <f aca="false">IF($M1030="","",IFERROR(INDEX(Settings!$B$27:$B$36,MATCH(L1030,Settings!$A$27:$A$36,0))&amp;"","UNMAPPED"))</f>
        <v/>
      </c>
      <c r="T1030" s="37" t="str">
        <f aca="false">IF($M1030="","",IF(NOT(ISNUMBER(R1030)),"NO DATE",IF(S1030="Won",IF(R1030&gt;Settings!$B$5,"Backlog","Delivered"),IF(S1030="Open",IF(R1030&gt;Settings!$B$5,"Pipeline","Overdue"),IF(S1030="Lost","Lost","UNMAPPED")))))</f>
        <v/>
      </c>
      <c r="U1030" s="40" t="n">
        <f aca="false">IF(T1030="Backlog",1,IF(OR(T1030="Pipeline",T1030="Overdue"),N(INDEX(Settings!$C$27:$C$36,MATCH(L1030,Settings!$A$27:$A$36,0))),0))</f>
        <v>0</v>
      </c>
      <c r="V1030" s="38" t="n">
        <f aca="false">Q1030*U1030</f>
        <v>0</v>
      </c>
      <c r="W1030" s="41" t="str">
        <f aca="false">IF($M1030="","",IF(T1030="Overdue",IF(Settings!$B$8="Yes",Settings!$B$7,""),IF(ISNUMBER(R1030),DATE(YEAR(R1030),MONTH(R1030),1),"")))</f>
        <v/>
      </c>
      <c r="X1030" s="38" t="n">
        <f aca="false">IF(AND(OR(T1030="Backlog",T1030="Pipeline",T1030="Overdue"),ISNUMBER(W1030)),IF(W1030&lt;=Settings!$B$6,V1030,0),0)</f>
        <v>0</v>
      </c>
      <c r="Y1030" s="38" t="n">
        <f aca="false">IF(AND(OR(T1030="Backlog",T1030="Pipeline",T1030="Overdue"),ISNUMBER(W1030)),IF(W1030&lt;=Settings!$B$6,Q1030,0),0)</f>
        <v>0</v>
      </c>
      <c r="Z1030" s="38" t="n">
        <f aca="false">IF(Y1030=0,0,IF(T1030="Backlog",Q1030,Q1030*Dashboard!$C$10))</f>
        <v>0</v>
      </c>
      <c r="AA1030" s="37" t="n">
        <f aca="false">IF($N1030="",0,IF(COUNTIF(Dashboard!$C$13:$C$22,$N1030)&gt;0,1,0))</f>
        <v>0</v>
      </c>
      <c r="AB1030" s="37" t="str">
        <f aca="false">IF($N1030="","",IF(COUNTIF($N$8:$N1030,$N1030)=1,MAX($AB$7:$AB1029)+1,""))</f>
        <v/>
      </c>
    </row>
    <row r="1031" customFormat="false" ht="15" hidden="false" customHeight="false" outlineLevel="0" collapsed="false">
      <c r="L1031" s="37" t="str">
        <f aca="false">IF(INDEX($A1031:$J1031,$L$6)&lt;&gt;"",TRIM(LEFT(INDEX($A1031:$J1031,$L$6),FIND("(",INDEX($A1031:$J1031,$L$6)&amp;"(")-1)),L1030)</f>
        <v>Building Value Proposition</v>
      </c>
      <c r="M1031" s="37" t="str">
        <f aca="false">IF(INDEX($A1031:$J1031,$M$6)="","",INDEX($A1031:$J1031,$M$6)&amp;"")</f>
        <v/>
      </c>
      <c r="N1031" s="37" t="str">
        <f aca="false">IF($M1031="","",TRIM(INDEX($A1031:$J1031,$N$6)&amp;""))</f>
        <v/>
      </c>
      <c r="O1031" s="37" t="str">
        <f aca="false">IF($M1031="","",TRIM(INDEX($A1031:$J1031,$O$6)&amp;""))</f>
        <v/>
      </c>
      <c r="P1031" s="37" t="str">
        <f aca="false">IF($M1031="","",IFERROR(IF(INDEX(Settings!$B$41:$B$50,MATCH(O1031,Settings!$A$41:$A$50,0))&amp;""="","UNMAPPED",INDEX(Settings!$B$41:$B$50,MATCH(O1031,Settings!$A$41:$A$50,0))&amp;""),"UNMAPPED"))</f>
        <v/>
      </c>
      <c r="Q1031" s="38" t="n">
        <f aca="false">IF($M1031="",0,N(INDEX($A1031:$J1031,$Q$6)))</f>
        <v>0</v>
      </c>
      <c r="R1031" s="39" t="str">
        <f aca="false">IF($M1031="","",INDEX($A1031:$J1031,$R$6))</f>
        <v/>
      </c>
      <c r="S1031" s="37" t="str">
        <f aca="false">IF($M1031="","",IFERROR(INDEX(Settings!$B$27:$B$36,MATCH(L1031,Settings!$A$27:$A$36,0))&amp;"","UNMAPPED"))</f>
        <v/>
      </c>
      <c r="T1031" s="37" t="str">
        <f aca="false">IF($M1031="","",IF(NOT(ISNUMBER(R1031)),"NO DATE",IF(S1031="Won",IF(R1031&gt;Settings!$B$5,"Backlog","Delivered"),IF(S1031="Open",IF(R1031&gt;Settings!$B$5,"Pipeline","Overdue"),IF(S1031="Lost","Lost","UNMAPPED")))))</f>
        <v/>
      </c>
      <c r="U1031" s="40" t="n">
        <f aca="false">IF(T1031="Backlog",1,IF(OR(T1031="Pipeline",T1031="Overdue"),N(INDEX(Settings!$C$27:$C$36,MATCH(L1031,Settings!$A$27:$A$36,0))),0))</f>
        <v>0</v>
      </c>
      <c r="V1031" s="38" t="n">
        <f aca="false">Q1031*U1031</f>
        <v>0</v>
      </c>
      <c r="W1031" s="41" t="str">
        <f aca="false">IF($M1031="","",IF(T1031="Overdue",IF(Settings!$B$8="Yes",Settings!$B$7,""),IF(ISNUMBER(R1031),DATE(YEAR(R1031),MONTH(R1031),1),"")))</f>
        <v/>
      </c>
      <c r="X1031" s="38" t="n">
        <f aca="false">IF(AND(OR(T1031="Backlog",T1031="Pipeline",T1031="Overdue"),ISNUMBER(W1031)),IF(W1031&lt;=Settings!$B$6,V1031,0),0)</f>
        <v>0</v>
      </c>
      <c r="Y1031" s="38" t="n">
        <f aca="false">IF(AND(OR(T1031="Backlog",T1031="Pipeline",T1031="Overdue"),ISNUMBER(W1031)),IF(W1031&lt;=Settings!$B$6,Q1031,0),0)</f>
        <v>0</v>
      </c>
      <c r="Z1031" s="38" t="n">
        <f aca="false">IF(Y1031=0,0,IF(T1031="Backlog",Q1031,Q1031*Dashboard!$C$10))</f>
        <v>0</v>
      </c>
      <c r="AA1031" s="37" t="n">
        <f aca="false">IF($N1031="",0,IF(COUNTIF(Dashboard!$C$13:$C$22,$N1031)&gt;0,1,0))</f>
        <v>0</v>
      </c>
      <c r="AB1031" s="37" t="str">
        <f aca="false">IF($N1031="","",IF(COUNTIF($N$8:$N1031,$N1031)=1,MAX($AB$7:$AB1030)+1,""))</f>
        <v/>
      </c>
    </row>
    <row r="1032" customFormat="false" ht="15" hidden="false" customHeight="false" outlineLevel="0" collapsed="false">
      <c r="L1032" s="37" t="str">
        <f aca="false">IF(INDEX($A1032:$J1032,$L$6)&lt;&gt;"",TRIM(LEFT(INDEX($A1032:$J1032,$L$6),FIND("(",INDEX($A1032:$J1032,$L$6)&amp;"(")-1)),L1031)</f>
        <v>Building Value Proposition</v>
      </c>
      <c r="M1032" s="37" t="str">
        <f aca="false">IF(INDEX($A1032:$J1032,$M$6)="","",INDEX($A1032:$J1032,$M$6)&amp;"")</f>
        <v/>
      </c>
      <c r="N1032" s="37" t="str">
        <f aca="false">IF($M1032="","",TRIM(INDEX($A1032:$J1032,$N$6)&amp;""))</f>
        <v/>
      </c>
      <c r="O1032" s="37" t="str">
        <f aca="false">IF($M1032="","",TRIM(INDEX($A1032:$J1032,$O$6)&amp;""))</f>
        <v/>
      </c>
      <c r="P1032" s="37" t="str">
        <f aca="false">IF($M1032="","",IFERROR(IF(INDEX(Settings!$B$41:$B$50,MATCH(O1032,Settings!$A$41:$A$50,0))&amp;""="","UNMAPPED",INDEX(Settings!$B$41:$B$50,MATCH(O1032,Settings!$A$41:$A$50,0))&amp;""),"UNMAPPED"))</f>
        <v/>
      </c>
      <c r="Q1032" s="38" t="n">
        <f aca="false">IF($M1032="",0,N(INDEX($A1032:$J1032,$Q$6)))</f>
        <v>0</v>
      </c>
      <c r="R1032" s="39" t="str">
        <f aca="false">IF($M1032="","",INDEX($A1032:$J1032,$R$6))</f>
        <v/>
      </c>
      <c r="S1032" s="37" t="str">
        <f aca="false">IF($M1032="","",IFERROR(INDEX(Settings!$B$27:$B$36,MATCH(L1032,Settings!$A$27:$A$36,0))&amp;"","UNMAPPED"))</f>
        <v/>
      </c>
      <c r="T1032" s="37" t="str">
        <f aca="false">IF($M1032="","",IF(NOT(ISNUMBER(R1032)),"NO DATE",IF(S1032="Won",IF(R1032&gt;Settings!$B$5,"Backlog","Delivered"),IF(S1032="Open",IF(R1032&gt;Settings!$B$5,"Pipeline","Overdue"),IF(S1032="Lost","Lost","UNMAPPED")))))</f>
        <v/>
      </c>
      <c r="U1032" s="40" t="n">
        <f aca="false">IF(T1032="Backlog",1,IF(OR(T1032="Pipeline",T1032="Overdue"),N(INDEX(Settings!$C$27:$C$36,MATCH(L1032,Settings!$A$27:$A$36,0))),0))</f>
        <v>0</v>
      </c>
      <c r="V1032" s="38" t="n">
        <f aca="false">Q1032*U1032</f>
        <v>0</v>
      </c>
      <c r="W1032" s="41" t="str">
        <f aca="false">IF($M1032="","",IF(T1032="Overdue",IF(Settings!$B$8="Yes",Settings!$B$7,""),IF(ISNUMBER(R1032),DATE(YEAR(R1032),MONTH(R1032),1),"")))</f>
        <v/>
      </c>
      <c r="X1032" s="38" t="n">
        <f aca="false">IF(AND(OR(T1032="Backlog",T1032="Pipeline",T1032="Overdue"),ISNUMBER(W1032)),IF(W1032&lt;=Settings!$B$6,V1032,0),0)</f>
        <v>0</v>
      </c>
      <c r="Y1032" s="38" t="n">
        <f aca="false">IF(AND(OR(T1032="Backlog",T1032="Pipeline",T1032="Overdue"),ISNUMBER(W1032)),IF(W1032&lt;=Settings!$B$6,Q1032,0),0)</f>
        <v>0</v>
      </c>
      <c r="Z1032" s="38" t="n">
        <f aca="false">IF(Y1032=0,0,IF(T1032="Backlog",Q1032,Q1032*Dashboard!$C$10))</f>
        <v>0</v>
      </c>
      <c r="AA1032" s="37" t="n">
        <f aca="false">IF($N1032="",0,IF(COUNTIF(Dashboard!$C$13:$C$22,$N1032)&gt;0,1,0))</f>
        <v>0</v>
      </c>
      <c r="AB1032" s="37" t="str">
        <f aca="false">IF($N1032="","",IF(COUNTIF($N$8:$N1032,$N1032)=1,MAX($AB$7:$AB1031)+1,""))</f>
        <v/>
      </c>
    </row>
    <row r="1033" customFormat="false" ht="15" hidden="false" customHeight="false" outlineLevel="0" collapsed="false">
      <c r="L1033" s="37" t="str">
        <f aca="false">IF(INDEX($A1033:$J1033,$L$6)&lt;&gt;"",TRIM(LEFT(INDEX($A1033:$J1033,$L$6),FIND("(",INDEX($A1033:$J1033,$L$6)&amp;"(")-1)),L1032)</f>
        <v>Building Value Proposition</v>
      </c>
      <c r="M1033" s="37" t="str">
        <f aca="false">IF(INDEX($A1033:$J1033,$M$6)="","",INDEX($A1033:$J1033,$M$6)&amp;"")</f>
        <v/>
      </c>
      <c r="N1033" s="37" t="str">
        <f aca="false">IF($M1033="","",TRIM(INDEX($A1033:$J1033,$N$6)&amp;""))</f>
        <v/>
      </c>
      <c r="O1033" s="37" t="str">
        <f aca="false">IF($M1033="","",TRIM(INDEX($A1033:$J1033,$O$6)&amp;""))</f>
        <v/>
      </c>
      <c r="P1033" s="37" t="str">
        <f aca="false">IF($M1033="","",IFERROR(IF(INDEX(Settings!$B$41:$B$50,MATCH(O1033,Settings!$A$41:$A$50,0))&amp;""="","UNMAPPED",INDEX(Settings!$B$41:$B$50,MATCH(O1033,Settings!$A$41:$A$50,0))&amp;""),"UNMAPPED"))</f>
        <v/>
      </c>
      <c r="Q1033" s="38" t="n">
        <f aca="false">IF($M1033="",0,N(INDEX($A1033:$J1033,$Q$6)))</f>
        <v>0</v>
      </c>
      <c r="R1033" s="39" t="str">
        <f aca="false">IF($M1033="","",INDEX($A1033:$J1033,$R$6))</f>
        <v/>
      </c>
      <c r="S1033" s="37" t="str">
        <f aca="false">IF($M1033="","",IFERROR(INDEX(Settings!$B$27:$B$36,MATCH(L1033,Settings!$A$27:$A$36,0))&amp;"","UNMAPPED"))</f>
        <v/>
      </c>
      <c r="T1033" s="37" t="str">
        <f aca="false">IF($M1033="","",IF(NOT(ISNUMBER(R1033)),"NO DATE",IF(S1033="Won",IF(R1033&gt;Settings!$B$5,"Backlog","Delivered"),IF(S1033="Open",IF(R1033&gt;Settings!$B$5,"Pipeline","Overdue"),IF(S1033="Lost","Lost","UNMAPPED")))))</f>
        <v/>
      </c>
      <c r="U1033" s="40" t="n">
        <f aca="false">IF(T1033="Backlog",1,IF(OR(T1033="Pipeline",T1033="Overdue"),N(INDEX(Settings!$C$27:$C$36,MATCH(L1033,Settings!$A$27:$A$36,0))),0))</f>
        <v>0</v>
      </c>
      <c r="V1033" s="38" t="n">
        <f aca="false">Q1033*U1033</f>
        <v>0</v>
      </c>
      <c r="W1033" s="41" t="str">
        <f aca="false">IF($M1033="","",IF(T1033="Overdue",IF(Settings!$B$8="Yes",Settings!$B$7,""),IF(ISNUMBER(R1033),DATE(YEAR(R1033),MONTH(R1033),1),"")))</f>
        <v/>
      </c>
      <c r="X1033" s="38" t="n">
        <f aca="false">IF(AND(OR(T1033="Backlog",T1033="Pipeline",T1033="Overdue"),ISNUMBER(W1033)),IF(W1033&lt;=Settings!$B$6,V1033,0),0)</f>
        <v>0</v>
      </c>
      <c r="Y1033" s="38" t="n">
        <f aca="false">IF(AND(OR(T1033="Backlog",T1033="Pipeline",T1033="Overdue"),ISNUMBER(W1033)),IF(W1033&lt;=Settings!$B$6,Q1033,0),0)</f>
        <v>0</v>
      </c>
      <c r="Z1033" s="38" t="n">
        <f aca="false">IF(Y1033=0,0,IF(T1033="Backlog",Q1033,Q1033*Dashboard!$C$10))</f>
        <v>0</v>
      </c>
      <c r="AA1033" s="37" t="n">
        <f aca="false">IF($N1033="",0,IF(COUNTIF(Dashboard!$C$13:$C$22,$N1033)&gt;0,1,0))</f>
        <v>0</v>
      </c>
      <c r="AB1033" s="37" t="str">
        <f aca="false">IF($N1033="","",IF(COUNTIF($N$8:$N1033,$N1033)=1,MAX($AB$7:$AB1032)+1,""))</f>
        <v/>
      </c>
    </row>
    <row r="1034" customFormat="false" ht="15" hidden="false" customHeight="false" outlineLevel="0" collapsed="false">
      <c r="L1034" s="37" t="str">
        <f aca="false">IF(INDEX($A1034:$J1034,$L$6)&lt;&gt;"",TRIM(LEFT(INDEX($A1034:$J1034,$L$6),FIND("(",INDEX($A1034:$J1034,$L$6)&amp;"(")-1)),L1033)</f>
        <v>Building Value Proposition</v>
      </c>
      <c r="M1034" s="37" t="str">
        <f aca="false">IF(INDEX($A1034:$J1034,$M$6)="","",INDEX($A1034:$J1034,$M$6)&amp;"")</f>
        <v/>
      </c>
      <c r="N1034" s="37" t="str">
        <f aca="false">IF($M1034="","",TRIM(INDEX($A1034:$J1034,$N$6)&amp;""))</f>
        <v/>
      </c>
      <c r="O1034" s="37" t="str">
        <f aca="false">IF($M1034="","",TRIM(INDEX($A1034:$J1034,$O$6)&amp;""))</f>
        <v/>
      </c>
      <c r="P1034" s="37" t="str">
        <f aca="false">IF($M1034="","",IFERROR(IF(INDEX(Settings!$B$41:$B$50,MATCH(O1034,Settings!$A$41:$A$50,0))&amp;""="","UNMAPPED",INDEX(Settings!$B$41:$B$50,MATCH(O1034,Settings!$A$41:$A$50,0))&amp;""),"UNMAPPED"))</f>
        <v/>
      </c>
      <c r="Q1034" s="38" t="n">
        <f aca="false">IF($M1034="",0,N(INDEX($A1034:$J1034,$Q$6)))</f>
        <v>0</v>
      </c>
      <c r="R1034" s="39" t="str">
        <f aca="false">IF($M1034="","",INDEX($A1034:$J1034,$R$6))</f>
        <v/>
      </c>
      <c r="S1034" s="37" t="str">
        <f aca="false">IF($M1034="","",IFERROR(INDEX(Settings!$B$27:$B$36,MATCH(L1034,Settings!$A$27:$A$36,0))&amp;"","UNMAPPED"))</f>
        <v/>
      </c>
      <c r="T1034" s="37" t="str">
        <f aca="false">IF($M1034="","",IF(NOT(ISNUMBER(R1034)),"NO DATE",IF(S1034="Won",IF(R1034&gt;Settings!$B$5,"Backlog","Delivered"),IF(S1034="Open",IF(R1034&gt;Settings!$B$5,"Pipeline","Overdue"),IF(S1034="Lost","Lost","UNMAPPED")))))</f>
        <v/>
      </c>
      <c r="U1034" s="40" t="n">
        <f aca="false">IF(T1034="Backlog",1,IF(OR(T1034="Pipeline",T1034="Overdue"),N(INDEX(Settings!$C$27:$C$36,MATCH(L1034,Settings!$A$27:$A$36,0))),0))</f>
        <v>0</v>
      </c>
      <c r="V1034" s="38" t="n">
        <f aca="false">Q1034*U1034</f>
        <v>0</v>
      </c>
      <c r="W1034" s="41" t="str">
        <f aca="false">IF($M1034="","",IF(T1034="Overdue",IF(Settings!$B$8="Yes",Settings!$B$7,""),IF(ISNUMBER(R1034),DATE(YEAR(R1034),MONTH(R1034),1),"")))</f>
        <v/>
      </c>
      <c r="X1034" s="38" t="n">
        <f aca="false">IF(AND(OR(T1034="Backlog",T1034="Pipeline",T1034="Overdue"),ISNUMBER(W1034)),IF(W1034&lt;=Settings!$B$6,V1034,0),0)</f>
        <v>0</v>
      </c>
      <c r="Y1034" s="38" t="n">
        <f aca="false">IF(AND(OR(T1034="Backlog",T1034="Pipeline",T1034="Overdue"),ISNUMBER(W1034)),IF(W1034&lt;=Settings!$B$6,Q1034,0),0)</f>
        <v>0</v>
      </c>
      <c r="Z1034" s="38" t="n">
        <f aca="false">IF(Y1034=0,0,IF(T1034="Backlog",Q1034,Q1034*Dashboard!$C$10))</f>
        <v>0</v>
      </c>
      <c r="AA1034" s="37" t="n">
        <f aca="false">IF($N1034="",0,IF(COUNTIF(Dashboard!$C$13:$C$22,$N1034)&gt;0,1,0))</f>
        <v>0</v>
      </c>
      <c r="AB1034" s="37" t="str">
        <f aca="false">IF($N1034="","",IF(COUNTIF($N$8:$N1034,$N1034)=1,MAX($AB$7:$AB1033)+1,""))</f>
        <v/>
      </c>
    </row>
    <row r="1035" customFormat="false" ht="15" hidden="false" customHeight="false" outlineLevel="0" collapsed="false">
      <c r="L1035" s="37" t="str">
        <f aca="false">IF(INDEX($A1035:$J1035,$L$6)&lt;&gt;"",TRIM(LEFT(INDEX($A1035:$J1035,$L$6),FIND("(",INDEX($A1035:$J1035,$L$6)&amp;"(")-1)),L1034)</f>
        <v>Building Value Proposition</v>
      </c>
      <c r="M1035" s="37" t="str">
        <f aca="false">IF(INDEX($A1035:$J1035,$M$6)="","",INDEX($A1035:$J1035,$M$6)&amp;"")</f>
        <v/>
      </c>
      <c r="N1035" s="37" t="str">
        <f aca="false">IF($M1035="","",TRIM(INDEX($A1035:$J1035,$N$6)&amp;""))</f>
        <v/>
      </c>
      <c r="O1035" s="37" t="str">
        <f aca="false">IF($M1035="","",TRIM(INDEX($A1035:$J1035,$O$6)&amp;""))</f>
        <v/>
      </c>
      <c r="P1035" s="37" t="str">
        <f aca="false">IF($M1035="","",IFERROR(IF(INDEX(Settings!$B$41:$B$50,MATCH(O1035,Settings!$A$41:$A$50,0))&amp;""="","UNMAPPED",INDEX(Settings!$B$41:$B$50,MATCH(O1035,Settings!$A$41:$A$50,0))&amp;""),"UNMAPPED"))</f>
        <v/>
      </c>
      <c r="Q1035" s="38" t="n">
        <f aca="false">IF($M1035="",0,N(INDEX($A1035:$J1035,$Q$6)))</f>
        <v>0</v>
      </c>
      <c r="R1035" s="39" t="str">
        <f aca="false">IF($M1035="","",INDEX($A1035:$J1035,$R$6))</f>
        <v/>
      </c>
      <c r="S1035" s="37" t="str">
        <f aca="false">IF($M1035="","",IFERROR(INDEX(Settings!$B$27:$B$36,MATCH(L1035,Settings!$A$27:$A$36,0))&amp;"","UNMAPPED"))</f>
        <v/>
      </c>
      <c r="T1035" s="37" t="str">
        <f aca="false">IF($M1035="","",IF(NOT(ISNUMBER(R1035)),"NO DATE",IF(S1035="Won",IF(R1035&gt;Settings!$B$5,"Backlog","Delivered"),IF(S1035="Open",IF(R1035&gt;Settings!$B$5,"Pipeline","Overdue"),IF(S1035="Lost","Lost","UNMAPPED")))))</f>
        <v/>
      </c>
      <c r="U1035" s="40" t="n">
        <f aca="false">IF(T1035="Backlog",1,IF(OR(T1035="Pipeline",T1035="Overdue"),N(INDEX(Settings!$C$27:$C$36,MATCH(L1035,Settings!$A$27:$A$36,0))),0))</f>
        <v>0</v>
      </c>
      <c r="V1035" s="38" t="n">
        <f aca="false">Q1035*U1035</f>
        <v>0</v>
      </c>
      <c r="W1035" s="41" t="str">
        <f aca="false">IF($M1035="","",IF(T1035="Overdue",IF(Settings!$B$8="Yes",Settings!$B$7,""),IF(ISNUMBER(R1035),DATE(YEAR(R1035),MONTH(R1035),1),"")))</f>
        <v/>
      </c>
      <c r="X1035" s="38" t="n">
        <f aca="false">IF(AND(OR(T1035="Backlog",T1035="Pipeline",T1035="Overdue"),ISNUMBER(W1035)),IF(W1035&lt;=Settings!$B$6,V1035,0),0)</f>
        <v>0</v>
      </c>
      <c r="Y1035" s="38" t="n">
        <f aca="false">IF(AND(OR(T1035="Backlog",T1035="Pipeline",T1035="Overdue"),ISNUMBER(W1035)),IF(W1035&lt;=Settings!$B$6,Q1035,0),0)</f>
        <v>0</v>
      </c>
      <c r="Z1035" s="38" t="n">
        <f aca="false">IF(Y1035=0,0,IF(T1035="Backlog",Q1035,Q1035*Dashboard!$C$10))</f>
        <v>0</v>
      </c>
      <c r="AA1035" s="37" t="n">
        <f aca="false">IF($N1035="",0,IF(COUNTIF(Dashboard!$C$13:$C$22,$N1035)&gt;0,1,0))</f>
        <v>0</v>
      </c>
      <c r="AB1035" s="37" t="str">
        <f aca="false">IF($N1035="","",IF(COUNTIF($N$8:$N1035,$N1035)=1,MAX($AB$7:$AB1034)+1,""))</f>
        <v/>
      </c>
    </row>
    <row r="1036" customFormat="false" ht="15" hidden="false" customHeight="false" outlineLevel="0" collapsed="false">
      <c r="L1036" s="37" t="str">
        <f aca="false">IF(INDEX($A1036:$J1036,$L$6)&lt;&gt;"",TRIM(LEFT(INDEX($A1036:$J1036,$L$6),FIND("(",INDEX($A1036:$J1036,$L$6)&amp;"(")-1)),L1035)</f>
        <v>Building Value Proposition</v>
      </c>
      <c r="M1036" s="37" t="str">
        <f aca="false">IF(INDEX($A1036:$J1036,$M$6)="","",INDEX($A1036:$J1036,$M$6)&amp;"")</f>
        <v/>
      </c>
      <c r="N1036" s="37" t="str">
        <f aca="false">IF($M1036="","",TRIM(INDEX($A1036:$J1036,$N$6)&amp;""))</f>
        <v/>
      </c>
      <c r="O1036" s="37" t="str">
        <f aca="false">IF($M1036="","",TRIM(INDEX($A1036:$J1036,$O$6)&amp;""))</f>
        <v/>
      </c>
      <c r="P1036" s="37" t="str">
        <f aca="false">IF($M1036="","",IFERROR(IF(INDEX(Settings!$B$41:$B$50,MATCH(O1036,Settings!$A$41:$A$50,0))&amp;""="","UNMAPPED",INDEX(Settings!$B$41:$B$50,MATCH(O1036,Settings!$A$41:$A$50,0))&amp;""),"UNMAPPED"))</f>
        <v/>
      </c>
      <c r="Q1036" s="38" t="n">
        <f aca="false">IF($M1036="",0,N(INDEX($A1036:$J1036,$Q$6)))</f>
        <v>0</v>
      </c>
      <c r="R1036" s="39" t="str">
        <f aca="false">IF($M1036="","",INDEX($A1036:$J1036,$R$6))</f>
        <v/>
      </c>
      <c r="S1036" s="37" t="str">
        <f aca="false">IF($M1036="","",IFERROR(INDEX(Settings!$B$27:$B$36,MATCH(L1036,Settings!$A$27:$A$36,0))&amp;"","UNMAPPED"))</f>
        <v/>
      </c>
      <c r="T1036" s="37" t="str">
        <f aca="false">IF($M1036="","",IF(NOT(ISNUMBER(R1036)),"NO DATE",IF(S1036="Won",IF(R1036&gt;Settings!$B$5,"Backlog","Delivered"),IF(S1036="Open",IF(R1036&gt;Settings!$B$5,"Pipeline","Overdue"),IF(S1036="Lost","Lost","UNMAPPED")))))</f>
        <v/>
      </c>
      <c r="U1036" s="40" t="n">
        <f aca="false">IF(T1036="Backlog",1,IF(OR(T1036="Pipeline",T1036="Overdue"),N(INDEX(Settings!$C$27:$C$36,MATCH(L1036,Settings!$A$27:$A$36,0))),0))</f>
        <v>0</v>
      </c>
      <c r="V1036" s="38" t="n">
        <f aca="false">Q1036*U1036</f>
        <v>0</v>
      </c>
      <c r="W1036" s="41" t="str">
        <f aca="false">IF($M1036="","",IF(T1036="Overdue",IF(Settings!$B$8="Yes",Settings!$B$7,""),IF(ISNUMBER(R1036),DATE(YEAR(R1036),MONTH(R1036),1),"")))</f>
        <v/>
      </c>
      <c r="X1036" s="38" t="n">
        <f aca="false">IF(AND(OR(T1036="Backlog",T1036="Pipeline",T1036="Overdue"),ISNUMBER(W1036)),IF(W1036&lt;=Settings!$B$6,V1036,0),0)</f>
        <v>0</v>
      </c>
      <c r="Y1036" s="38" t="n">
        <f aca="false">IF(AND(OR(T1036="Backlog",T1036="Pipeline",T1036="Overdue"),ISNUMBER(W1036)),IF(W1036&lt;=Settings!$B$6,Q1036,0),0)</f>
        <v>0</v>
      </c>
      <c r="Z1036" s="38" t="n">
        <f aca="false">IF(Y1036=0,0,IF(T1036="Backlog",Q1036,Q1036*Dashboard!$C$10))</f>
        <v>0</v>
      </c>
      <c r="AA1036" s="37" t="n">
        <f aca="false">IF($N1036="",0,IF(COUNTIF(Dashboard!$C$13:$C$22,$N1036)&gt;0,1,0))</f>
        <v>0</v>
      </c>
      <c r="AB1036" s="37" t="str">
        <f aca="false">IF($N1036="","",IF(COUNTIF($N$8:$N1036,$N1036)=1,MAX($AB$7:$AB1035)+1,""))</f>
        <v/>
      </c>
    </row>
    <row r="1037" customFormat="false" ht="15" hidden="false" customHeight="false" outlineLevel="0" collapsed="false">
      <c r="L1037" s="37" t="str">
        <f aca="false">IF(INDEX($A1037:$J1037,$L$6)&lt;&gt;"",TRIM(LEFT(INDEX($A1037:$J1037,$L$6),FIND("(",INDEX($A1037:$J1037,$L$6)&amp;"(")-1)),L1036)</f>
        <v>Building Value Proposition</v>
      </c>
      <c r="M1037" s="37" t="str">
        <f aca="false">IF(INDEX($A1037:$J1037,$M$6)="","",INDEX($A1037:$J1037,$M$6)&amp;"")</f>
        <v/>
      </c>
      <c r="N1037" s="37" t="str">
        <f aca="false">IF($M1037="","",TRIM(INDEX($A1037:$J1037,$N$6)&amp;""))</f>
        <v/>
      </c>
      <c r="O1037" s="37" t="str">
        <f aca="false">IF($M1037="","",TRIM(INDEX($A1037:$J1037,$O$6)&amp;""))</f>
        <v/>
      </c>
      <c r="P1037" s="37" t="str">
        <f aca="false">IF($M1037="","",IFERROR(IF(INDEX(Settings!$B$41:$B$50,MATCH(O1037,Settings!$A$41:$A$50,0))&amp;""="","UNMAPPED",INDEX(Settings!$B$41:$B$50,MATCH(O1037,Settings!$A$41:$A$50,0))&amp;""),"UNMAPPED"))</f>
        <v/>
      </c>
      <c r="Q1037" s="38" t="n">
        <f aca="false">IF($M1037="",0,N(INDEX($A1037:$J1037,$Q$6)))</f>
        <v>0</v>
      </c>
      <c r="R1037" s="39" t="str">
        <f aca="false">IF($M1037="","",INDEX($A1037:$J1037,$R$6))</f>
        <v/>
      </c>
      <c r="S1037" s="37" t="str">
        <f aca="false">IF($M1037="","",IFERROR(INDEX(Settings!$B$27:$B$36,MATCH(L1037,Settings!$A$27:$A$36,0))&amp;"","UNMAPPED"))</f>
        <v/>
      </c>
      <c r="T1037" s="37" t="str">
        <f aca="false">IF($M1037="","",IF(NOT(ISNUMBER(R1037)),"NO DATE",IF(S1037="Won",IF(R1037&gt;Settings!$B$5,"Backlog","Delivered"),IF(S1037="Open",IF(R1037&gt;Settings!$B$5,"Pipeline","Overdue"),IF(S1037="Lost","Lost","UNMAPPED")))))</f>
        <v/>
      </c>
      <c r="U1037" s="40" t="n">
        <f aca="false">IF(T1037="Backlog",1,IF(OR(T1037="Pipeline",T1037="Overdue"),N(INDEX(Settings!$C$27:$C$36,MATCH(L1037,Settings!$A$27:$A$36,0))),0))</f>
        <v>0</v>
      </c>
      <c r="V1037" s="38" t="n">
        <f aca="false">Q1037*U1037</f>
        <v>0</v>
      </c>
      <c r="W1037" s="41" t="str">
        <f aca="false">IF($M1037="","",IF(T1037="Overdue",IF(Settings!$B$8="Yes",Settings!$B$7,""),IF(ISNUMBER(R1037),DATE(YEAR(R1037),MONTH(R1037),1),"")))</f>
        <v/>
      </c>
      <c r="X1037" s="38" t="n">
        <f aca="false">IF(AND(OR(T1037="Backlog",T1037="Pipeline",T1037="Overdue"),ISNUMBER(W1037)),IF(W1037&lt;=Settings!$B$6,V1037,0),0)</f>
        <v>0</v>
      </c>
      <c r="Y1037" s="38" t="n">
        <f aca="false">IF(AND(OR(T1037="Backlog",T1037="Pipeline",T1037="Overdue"),ISNUMBER(W1037)),IF(W1037&lt;=Settings!$B$6,Q1037,0),0)</f>
        <v>0</v>
      </c>
      <c r="Z1037" s="38" t="n">
        <f aca="false">IF(Y1037=0,0,IF(T1037="Backlog",Q1037,Q1037*Dashboard!$C$10))</f>
        <v>0</v>
      </c>
      <c r="AA1037" s="37" t="n">
        <f aca="false">IF($N1037="",0,IF(COUNTIF(Dashboard!$C$13:$C$22,$N1037)&gt;0,1,0))</f>
        <v>0</v>
      </c>
      <c r="AB1037" s="37" t="str">
        <f aca="false">IF($N1037="","",IF(COUNTIF($N$8:$N1037,$N1037)=1,MAX($AB$7:$AB1036)+1,""))</f>
        <v/>
      </c>
    </row>
    <row r="1038" customFormat="false" ht="15" hidden="false" customHeight="false" outlineLevel="0" collapsed="false">
      <c r="L1038" s="37" t="str">
        <f aca="false">IF(INDEX($A1038:$J1038,$L$6)&lt;&gt;"",TRIM(LEFT(INDEX($A1038:$J1038,$L$6),FIND("(",INDEX($A1038:$J1038,$L$6)&amp;"(")-1)),L1037)</f>
        <v>Building Value Proposition</v>
      </c>
      <c r="M1038" s="37" t="str">
        <f aca="false">IF(INDEX($A1038:$J1038,$M$6)="","",INDEX($A1038:$J1038,$M$6)&amp;"")</f>
        <v/>
      </c>
      <c r="N1038" s="37" t="str">
        <f aca="false">IF($M1038="","",TRIM(INDEX($A1038:$J1038,$N$6)&amp;""))</f>
        <v/>
      </c>
      <c r="O1038" s="37" t="str">
        <f aca="false">IF($M1038="","",TRIM(INDEX($A1038:$J1038,$O$6)&amp;""))</f>
        <v/>
      </c>
      <c r="P1038" s="37" t="str">
        <f aca="false">IF($M1038="","",IFERROR(IF(INDEX(Settings!$B$41:$B$50,MATCH(O1038,Settings!$A$41:$A$50,0))&amp;""="","UNMAPPED",INDEX(Settings!$B$41:$B$50,MATCH(O1038,Settings!$A$41:$A$50,0))&amp;""),"UNMAPPED"))</f>
        <v/>
      </c>
      <c r="Q1038" s="38" t="n">
        <f aca="false">IF($M1038="",0,N(INDEX($A1038:$J1038,$Q$6)))</f>
        <v>0</v>
      </c>
      <c r="R1038" s="39" t="str">
        <f aca="false">IF($M1038="","",INDEX($A1038:$J1038,$R$6))</f>
        <v/>
      </c>
      <c r="S1038" s="37" t="str">
        <f aca="false">IF($M1038="","",IFERROR(INDEX(Settings!$B$27:$B$36,MATCH(L1038,Settings!$A$27:$A$36,0))&amp;"","UNMAPPED"))</f>
        <v/>
      </c>
      <c r="T1038" s="37" t="str">
        <f aca="false">IF($M1038="","",IF(NOT(ISNUMBER(R1038)),"NO DATE",IF(S1038="Won",IF(R1038&gt;Settings!$B$5,"Backlog","Delivered"),IF(S1038="Open",IF(R1038&gt;Settings!$B$5,"Pipeline","Overdue"),IF(S1038="Lost","Lost","UNMAPPED")))))</f>
        <v/>
      </c>
      <c r="U1038" s="40" t="n">
        <f aca="false">IF(T1038="Backlog",1,IF(OR(T1038="Pipeline",T1038="Overdue"),N(INDEX(Settings!$C$27:$C$36,MATCH(L1038,Settings!$A$27:$A$36,0))),0))</f>
        <v>0</v>
      </c>
      <c r="V1038" s="38" t="n">
        <f aca="false">Q1038*U1038</f>
        <v>0</v>
      </c>
      <c r="W1038" s="41" t="str">
        <f aca="false">IF($M1038="","",IF(T1038="Overdue",IF(Settings!$B$8="Yes",Settings!$B$7,""),IF(ISNUMBER(R1038),DATE(YEAR(R1038),MONTH(R1038),1),"")))</f>
        <v/>
      </c>
      <c r="X1038" s="38" t="n">
        <f aca="false">IF(AND(OR(T1038="Backlog",T1038="Pipeline",T1038="Overdue"),ISNUMBER(W1038)),IF(W1038&lt;=Settings!$B$6,V1038,0),0)</f>
        <v>0</v>
      </c>
      <c r="Y1038" s="38" t="n">
        <f aca="false">IF(AND(OR(T1038="Backlog",T1038="Pipeline",T1038="Overdue"),ISNUMBER(W1038)),IF(W1038&lt;=Settings!$B$6,Q1038,0),0)</f>
        <v>0</v>
      </c>
      <c r="Z1038" s="38" t="n">
        <f aca="false">IF(Y1038=0,0,IF(T1038="Backlog",Q1038,Q1038*Dashboard!$C$10))</f>
        <v>0</v>
      </c>
      <c r="AA1038" s="37" t="n">
        <f aca="false">IF($N1038="",0,IF(COUNTIF(Dashboard!$C$13:$C$22,$N1038)&gt;0,1,0))</f>
        <v>0</v>
      </c>
      <c r="AB1038" s="37" t="str">
        <f aca="false">IF($N1038="","",IF(COUNTIF($N$8:$N1038,$N1038)=1,MAX($AB$7:$AB1037)+1,""))</f>
        <v/>
      </c>
    </row>
    <row r="1039" customFormat="false" ht="15" hidden="false" customHeight="false" outlineLevel="0" collapsed="false">
      <c r="L1039" s="37" t="str">
        <f aca="false">IF(INDEX($A1039:$J1039,$L$6)&lt;&gt;"",TRIM(LEFT(INDEX($A1039:$J1039,$L$6),FIND("(",INDEX($A1039:$J1039,$L$6)&amp;"(")-1)),L1038)</f>
        <v>Building Value Proposition</v>
      </c>
      <c r="M1039" s="37" t="str">
        <f aca="false">IF(INDEX($A1039:$J1039,$M$6)="","",INDEX($A1039:$J1039,$M$6)&amp;"")</f>
        <v/>
      </c>
      <c r="N1039" s="37" t="str">
        <f aca="false">IF($M1039="","",TRIM(INDEX($A1039:$J1039,$N$6)&amp;""))</f>
        <v/>
      </c>
      <c r="O1039" s="37" t="str">
        <f aca="false">IF($M1039="","",TRIM(INDEX($A1039:$J1039,$O$6)&amp;""))</f>
        <v/>
      </c>
      <c r="P1039" s="37" t="str">
        <f aca="false">IF($M1039="","",IFERROR(IF(INDEX(Settings!$B$41:$B$50,MATCH(O1039,Settings!$A$41:$A$50,0))&amp;""="","UNMAPPED",INDEX(Settings!$B$41:$B$50,MATCH(O1039,Settings!$A$41:$A$50,0))&amp;""),"UNMAPPED"))</f>
        <v/>
      </c>
      <c r="Q1039" s="38" t="n">
        <f aca="false">IF($M1039="",0,N(INDEX($A1039:$J1039,$Q$6)))</f>
        <v>0</v>
      </c>
      <c r="R1039" s="39" t="str">
        <f aca="false">IF($M1039="","",INDEX($A1039:$J1039,$R$6))</f>
        <v/>
      </c>
      <c r="S1039" s="37" t="str">
        <f aca="false">IF($M1039="","",IFERROR(INDEX(Settings!$B$27:$B$36,MATCH(L1039,Settings!$A$27:$A$36,0))&amp;"","UNMAPPED"))</f>
        <v/>
      </c>
      <c r="T1039" s="37" t="str">
        <f aca="false">IF($M1039="","",IF(NOT(ISNUMBER(R1039)),"NO DATE",IF(S1039="Won",IF(R1039&gt;Settings!$B$5,"Backlog","Delivered"),IF(S1039="Open",IF(R1039&gt;Settings!$B$5,"Pipeline","Overdue"),IF(S1039="Lost","Lost","UNMAPPED")))))</f>
        <v/>
      </c>
      <c r="U1039" s="40" t="n">
        <f aca="false">IF(T1039="Backlog",1,IF(OR(T1039="Pipeline",T1039="Overdue"),N(INDEX(Settings!$C$27:$C$36,MATCH(L1039,Settings!$A$27:$A$36,0))),0))</f>
        <v>0</v>
      </c>
      <c r="V1039" s="38" t="n">
        <f aca="false">Q1039*U1039</f>
        <v>0</v>
      </c>
      <c r="W1039" s="41" t="str">
        <f aca="false">IF($M1039="","",IF(T1039="Overdue",IF(Settings!$B$8="Yes",Settings!$B$7,""),IF(ISNUMBER(R1039),DATE(YEAR(R1039),MONTH(R1039),1),"")))</f>
        <v/>
      </c>
      <c r="X1039" s="38" t="n">
        <f aca="false">IF(AND(OR(T1039="Backlog",T1039="Pipeline",T1039="Overdue"),ISNUMBER(W1039)),IF(W1039&lt;=Settings!$B$6,V1039,0),0)</f>
        <v>0</v>
      </c>
      <c r="Y1039" s="38" t="n">
        <f aca="false">IF(AND(OR(T1039="Backlog",T1039="Pipeline",T1039="Overdue"),ISNUMBER(W1039)),IF(W1039&lt;=Settings!$B$6,Q1039,0),0)</f>
        <v>0</v>
      </c>
      <c r="Z1039" s="38" t="n">
        <f aca="false">IF(Y1039=0,0,IF(T1039="Backlog",Q1039,Q1039*Dashboard!$C$10))</f>
        <v>0</v>
      </c>
      <c r="AA1039" s="37" t="n">
        <f aca="false">IF($N1039="",0,IF(COUNTIF(Dashboard!$C$13:$C$22,$N1039)&gt;0,1,0))</f>
        <v>0</v>
      </c>
      <c r="AB1039" s="37" t="str">
        <f aca="false">IF($N1039="","",IF(COUNTIF($N$8:$N1039,$N1039)=1,MAX($AB$7:$AB1038)+1,""))</f>
        <v/>
      </c>
    </row>
    <row r="1040" customFormat="false" ht="15" hidden="false" customHeight="false" outlineLevel="0" collapsed="false">
      <c r="L1040" s="37" t="str">
        <f aca="false">IF(INDEX($A1040:$J1040,$L$6)&lt;&gt;"",TRIM(LEFT(INDEX($A1040:$J1040,$L$6),FIND("(",INDEX($A1040:$J1040,$L$6)&amp;"(")-1)),L1039)</f>
        <v>Building Value Proposition</v>
      </c>
      <c r="M1040" s="37" t="str">
        <f aca="false">IF(INDEX($A1040:$J1040,$M$6)="","",INDEX($A1040:$J1040,$M$6)&amp;"")</f>
        <v/>
      </c>
      <c r="N1040" s="37" t="str">
        <f aca="false">IF($M1040="","",TRIM(INDEX($A1040:$J1040,$N$6)&amp;""))</f>
        <v/>
      </c>
      <c r="O1040" s="37" t="str">
        <f aca="false">IF($M1040="","",TRIM(INDEX($A1040:$J1040,$O$6)&amp;""))</f>
        <v/>
      </c>
      <c r="P1040" s="37" t="str">
        <f aca="false">IF($M1040="","",IFERROR(IF(INDEX(Settings!$B$41:$B$50,MATCH(O1040,Settings!$A$41:$A$50,0))&amp;""="","UNMAPPED",INDEX(Settings!$B$41:$B$50,MATCH(O1040,Settings!$A$41:$A$50,0))&amp;""),"UNMAPPED"))</f>
        <v/>
      </c>
      <c r="Q1040" s="38" t="n">
        <f aca="false">IF($M1040="",0,N(INDEX($A1040:$J1040,$Q$6)))</f>
        <v>0</v>
      </c>
      <c r="R1040" s="39" t="str">
        <f aca="false">IF($M1040="","",INDEX($A1040:$J1040,$R$6))</f>
        <v/>
      </c>
      <c r="S1040" s="37" t="str">
        <f aca="false">IF($M1040="","",IFERROR(INDEX(Settings!$B$27:$B$36,MATCH(L1040,Settings!$A$27:$A$36,0))&amp;"","UNMAPPED"))</f>
        <v/>
      </c>
      <c r="T1040" s="37" t="str">
        <f aca="false">IF($M1040="","",IF(NOT(ISNUMBER(R1040)),"NO DATE",IF(S1040="Won",IF(R1040&gt;Settings!$B$5,"Backlog","Delivered"),IF(S1040="Open",IF(R1040&gt;Settings!$B$5,"Pipeline","Overdue"),IF(S1040="Lost","Lost","UNMAPPED")))))</f>
        <v/>
      </c>
      <c r="U1040" s="40" t="n">
        <f aca="false">IF(T1040="Backlog",1,IF(OR(T1040="Pipeline",T1040="Overdue"),N(INDEX(Settings!$C$27:$C$36,MATCH(L1040,Settings!$A$27:$A$36,0))),0))</f>
        <v>0</v>
      </c>
      <c r="V1040" s="38" t="n">
        <f aca="false">Q1040*U1040</f>
        <v>0</v>
      </c>
      <c r="W1040" s="41" t="str">
        <f aca="false">IF($M1040="","",IF(T1040="Overdue",IF(Settings!$B$8="Yes",Settings!$B$7,""),IF(ISNUMBER(R1040),DATE(YEAR(R1040),MONTH(R1040),1),"")))</f>
        <v/>
      </c>
      <c r="X1040" s="38" t="n">
        <f aca="false">IF(AND(OR(T1040="Backlog",T1040="Pipeline",T1040="Overdue"),ISNUMBER(W1040)),IF(W1040&lt;=Settings!$B$6,V1040,0),0)</f>
        <v>0</v>
      </c>
      <c r="Y1040" s="38" t="n">
        <f aca="false">IF(AND(OR(T1040="Backlog",T1040="Pipeline",T1040="Overdue"),ISNUMBER(W1040)),IF(W1040&lt;=Settings!$B$6,Q1040,0),0)</f>
        <v>0</v>
      </c>
      <c r="Z1040" s="38" t="n">
        <f aca="false">IF(Y1040=0,0,IF(T1040="Backlog",Q1040,Q1040*Dashboard!$C$10))</f>
        <v>0</v>
      </c>
      <c r="AA1040" s="37" t="n">
        <f aca="false">IF($N1040="",0,IF(COUNTIF(Dashboard!$C$13:$C$22,$N1040)&gt;0,1,0))</f>
        <v>0</v>
      </c>
      <c r="AB1040" s="37" t="str">
        <f aca="false">IF($N1040="","",IF(COUNTIF($N$8:$N1040,$N1040)=1,MAX($AB$7:$AB1039)+1,""))</f>
        <v/>
      </c>
    </row>
    <row r="1041" customFormat="false" ht="15" hidden="false" customHeight="false" outlineLevel="0" collapsed="false">
      <c r="L1041" s="37" t="str">
        <f aca="false">IF(INDEX($A1041:$J1041,$L$6)&lt;&gt;"",TRIM(LEFT(INDEX($A1041:$J1041,$L$6),FIND("(",INDEX($A1041:$J1041,$L$6)&amp;"(")-1)),L1040)</f>
        <v>Building Value Proposition</v>
      </c>
      <c r="M1041" s="37" t="str">
        <f aca="false">IF(INDEX($A1041:$J1041,$M$6)="","",INDEX($A1041:$J1041,$M$6)&amp;"")</f>
        <v/>
      </c>
      <c r="N1041" s="37" t="str">
        <f aca="false">IF($M1041="","",TRIM(INDEX($A1041:$J1041,$N$6)&amp;""))</f>
        <v/>
      </c>
      <c r="O1041" s="37" t="str">
        <f aca="false">IF($M1041="","",TRIM(INDEX($A1041:$J1041,$O$6)&amp;""))</f>
        <v/>
      </c>
      <c r="P1041" s="37" t="str">
        <f aca="false">IF($M1041="","",IFERROR(IF(INDEX(Settings!$B$41:$B$50,MATCH(O1041,Settings!$A$41:$A$50,0))&amp;""="","UNMAPPED",INDEX(Settings!$B$41:$B$50,MATCH(O1041,Settings!$A$41:$A$50,0))&amp;""),"UNMAPPED"))</f>
        <v/>
      </c>
      <c r="Q1041" s="38" t="n">
        <f aca="false">IF($M1041="",0,N(INDEX($A1041:$J1041,$Q$6)))</f>
        <v>0</v>
      </c>
      <c r="R1041" s="39" t="str">
        <f aca="false">IF($M1041="","",INDEX($A1041:$J1041,$R$6))</f>
        <v/>
      </c>
      <c r="S1041" s="37" t="str">
        <f aca="false">IF($M1041="","",IFERROR(INDEX(Settings!$B$27:$B$36,MATCH(L1041,Settings!$A$27:$A$36,0))&amp;"","UNMAPPED"))</f>
        <v/>
      </c>
      <c r="T1041" s="37" t="str">
        <f aca="false">IF($M1041="","",IF(NOT(ISNUMBER(R1041)),"NO DATE",IF(S1041="Won",IF(R1041&gt;Settings!$B$5,"Backlog","Delivered"),IF(S1041="Open",IF(R1041&gt;Settings!$B$5,"Pipeline","Overdue"),IF(S1041="Lost","Lost","UNMAPPED")))))</f>
        <v/>
      </c>
      <c r="U1041" s="40" t="n">
        <f aca="false">IF(T1041="Backlog",1,IF(OR(T1041="Pipeline",T1041="Overdue"),N(INDEX(Settings!$C$27:$C$36,MATCH(L1041,Settings!$A$27:$A$36,0))),0))</f>
        <v>0</v>
      </c>
      <c r="V1041" s="38" t="n">
        <f aca="false">Q1041*U1041</f>
        <v>0</v>
      </c>
      <c r="W1041" s="41" t="str">
        <f aca="false">IF($M1041="","",IF(T1041="Overdue",IF(Settings!$B$8="Yes",Settings!$B$7,""),IF(ISNUMBER(R1041),DATE(YEAR(R1041),MONTH(R1041),1),"")))</f>
        <v/>
      </c>
      <c r="X1041" s="38" t="n">
        <f aca="false">IF(AND(OR(T1041="Backlog",T1041="Pipeline",T1041="Overdue"),ISNUMBER(W1041)),IF(W1041&lt;=Settings!$B$6,V1041,0),0)</f>
        <v>0</v>
      </c>
      <c r="Y1041" s="38" t="n">
        <f aca="false">IF(AND(OR(T1041="Backlog",T1041="Pipeline",T1041="Overdue"),ISNUMBER(W1041)),IF(W1041&lt;=Settings!$B$6,Q1041,0),0)</f>
        <v>0</v>
      </c>
      <c r="Z1041" s="38" t="n">
        <f aca="false">IF(Y1041=0,0,IF(T1041="Backlog",Q1041,Q1041*Dashboard!$C$10))</f>
        <v>0</v>
      </c>
      <c r="AA1041" s="37" t="n">
        <f aca="false">IF($N1041="",0,IF(COUNTIF(Dashboard!$C$13:$C$22,$N1041)&gt;0,1,0))</f>
        <v>0</v>
      </c>
      <c r="AB1041" s="37" t="str">
        <f aca="false">IF($N1041="","",IF(COUNTIF($N$8:$N1041,$N1041)=1,MAX($AB$7:$AB1040)+1,""))</f>
        <v/>
      </c>
    </row>
    <row r="1042" customFormat="false" ht="15" hidden="false" customHeight="false" outlineLevel="0" collapsed="false">
      <c r="L1042" s="37" t="str">
        <f aca="false">IF(INDEX($A1042:$J1042,$L$6)&lt;&gt;"",TRIM(LEFT(INDEX($A1042:$J1042,$L$6),FIND("(",INDEX($A1042:$J1042,$L$6)&amp;"(")-1)),L1041)</f>
        <v>Building Value Proposition</v>
      </c>
      <c r="M1042" s="37" t="str">
        <f aca="false">IF(INDEX($A1042:$J1042,$M$6)="","",INDEX($A1042:$J1042,$M$6)&amp;"")</f>
        <v/>
      </c>
      <c r="N1042" s="37" t="str">
        <f aca="false">IF($M1042="","",TRIM(INDEX($A1042:$J1042,$N$6)&amp;""))</f>
        <v/>
      </c>
      <c r="O1042" s="37" t="str">
        <f aca="false">IF($M1042="","",TRIM(INDEX($A1042:$J1042,$O$6)&amp;""))</f>
        <v/>
      </c>
      <c r="P1042" s="37" t="str">
        <f aca="false">IF($M1042="","",IFERROR(IF(INDEX(Settings!$B$41:$B$50,MATCH(O1042,Settings!$A$41:$A$50,0))&amp;""="","UNMAPPED",INDEX(Settings!$B$41:$B$50,MATCH(O1042,Settings!$A$41:$A$50,0))&amp;""),"UNMAPPED"))</f>
        <v/>
      </c>
      <c r="Q1042" s="38" t="n">
        <f aca="false">IF($M1042="",0,N(INDEX($A1042:$J1042,$Q$6)))</f>
        <v>0</v>
      </c>
      <c r="R1042" s="39" t="str">
        <f aca="false">IF($M1042="","",INDEX($A1042:$J1042,$R$6))</f>
        <v/>
      </c>
      <c r="S1042" s="37" t="str">
        <f aca="false">IF($M1042="","",IFERROR(INDEX(Settings!$B$27:$B$36,MATCH(L1042,Settings!$A$27:$A$36,0))&amp;"","UNMAPPED"))</f>
        <v/>
      </c>
      <c r="T1042" s="37" t="str">
        <f aca="false">IF($M1042="","",IF(NOT(ISNUMBER(R1042)),"NO DATE",IF(S1042="Won",IF(R1042&gt;Settings!$B$5,"Backlog","Delivered"),IF(S1042="Open",IF(R1042&gt;Settings!$B$5,"Pipeline","Overdue"),IF(S1042="Lost","Lost","UNMAPPED")))))</f>
        <v/>
      </c>
      <c r="U1042" s="40" t="n">
        <f aca="false">IF(T1042="Backlog",1,IF(OR(T1042="Pipeline",T1042="Overdue"),N(INDEX(Settings!$C$27:$C$36,MATCH(L1042,Settings!$A$27:$A$36,0))),0))</f>
        <v>0</v>
      </c>
      <c r="V1042" s="38" t="n">
        <f aca="false">Q1042*U1042</f>
        <v>0</v>
      </c>
      <c r="W1042" s="41" t="str">
        <f aca="false">IF($M1042="","",IF(T1042="Overdue",IF(Settings!$B$8="Yes",Settings!$B$7,""),IF(ISNUMBER(R1042),DATE(YEAR(R1042),MONTH(R1042),1),"")))</f>
        <v/>
      </c>
      <c r="X1042" s="38" t="n">
        <f aca="false">IF(AND(OR(T1042="Backlog",T1042="Pipeline",T1042="Overdue"),ISNUMBER(W1042)),IF(W1042&lt;=Settings!$B$6,V1042,0),0)</f>
        <v>0</v>
      </c>
      <c r="Y1042" s="38" t="n">
        <f aca="false">IF(AND(OR(T1042="Backlog",T1042="Pipeline",T1042="Overdue"),ISNUMBER(W1042)),IF(W1042&lt;=Settings!$B$6,Q1042,0),0)</f>
        <v>0</v>
      </c>
      <c r="Z1042" s="38" t="n">
        <f aca="false">IF(Y1042=0,0,IF(T1042="Backlog",Q1042,Q1042*Dashboard!$C$10))</f>
        <v>0</v>
      </c>
      <c r="AA1042" s="37" t="n">
        <f aca="false">IF($N1042="",0,IF(COUNTIF(Dashboard!$C$13:$C$22,$N1042)&gt;0,1,0))</f>
        <v>0</v>
      </c>
      <c r="AB1042" s="37" t="str">
        <f aca="false">IF($N1042="","",IF(COUNTIF($N$8:$N1042,$N1042)=1,MAX($AB$7:$AB1041)+1,""))</f>
        <v/>
      </c>
    </row>
    <row r="1043" customFormat="false" ht="15" hidden="false" customHeight="false" outlineLevel="0" collapsed="false">
      <c r="L1043" s="37" t="str">
        <f aca="false">IF(INDEX($A1043:$J1043,$L$6)&lt;&gt;"",TRIM(LEFT(INDEX($A1043:$J1043,$L$6),FIND("(",INDEX($A1043:$J1043,$L$6)&amp;"(")-1)),L1042)</f>
        <v>Building Value Proposition</v>
      </c>
      <c r="M1043" s="37" t="str">
        <f aca="false">IF(INDEX($A1043:$J1043,$M$6)="","",INDEX($A1043:$J1043,$M$6)&amp;"")</f>
        <v/>
      </c>
      <c r="N1043" s="37" t="str">
        <f aca="false">IF($M1043="","",TRIM(INDEX($A1043:$J1043,$N$6)&amp;""))</f>
        <v/>
      </c>
      <c r="O1043" s="37" t="str">
        <f aca="false">IF($M1043="","",TRIM(INDEX($A1043:$J1043,$O$6)&amp;""))</f>
        <v/>
      </c>
      <c r="P1043" s="37" t="str">
        <f aca="false">IF($M1043="","",IFERROR(IF(INDEX(Settings!$B$41:$B$50,MATCH(O1043,Settings!$A$41:$A$50,0))&amp;""="","UNMAPPED",INDEX(Settings!$B$41:$B$50,MATCH(O1043,Settings!$A$41:$A$50,0))&amp;""),"UNMAPPED"))</f>
        <v/>
      </c>
      <c r="Q1043" s="38" t="n">
        <f aca="false">IF($M1043="",0,N(INDEX($A1043:$J1043,$Q$6)))</f>
        <v>0</v>
      </c>
      <c r="R1043" s="39" t="str">
        <f aca="false">IF($M1043="","",INDEX($A1043:$J1043,$R$6))</f>
        <v/>
      </c>
      <c r="S1043" s="37" t="str">
        <f aca="false">IF($M1043="","",IFERROR(INDEX(Settings!$B$27:$B$36,MATCH(L1043,Settings!$A$27:$A$36,0))&amp;"","UNMAPPED"))</f>
        <v/>
      </c>
      <c r="T1043" s="37" t="str">
        <f aca="false">IF($M1043="","",IF(NOT(ISNUMBER(R1043)),"NO DATE",IF(S1043="Won",IF(R1043&gt;Settings!$B$5,"Backlog","Delivered"),IF(S1043="Open",IF(R1043&gt;Settings!$B$5,"Pipeline","Overdue"),IF(S1043="Lost","Lost","UNMAPPED")))))</f>
        <v/>
      </c>
      <c r="U1043" s="40" t="n">
        <f aca="false">IF(T1043="Backlog",1,IF(OR(T1043="Pipeline",T1043="Overdue"),N(INDEX(Settings!$C$27:$C$36,MATCH(L1043,Settings!$A$27:$A$36,0))),0))</f>
        <v>0</v>
      </c>
      <c r="V1043" s="38" t="n">
        <f aca="false">Q1043*U1043</f>
        <v>0</v>
      </c>
      <c r="W1043" s="41" t="str">
        <f aca="false">IF($M1043="","",IF(T1043="Overdue",IF(Settings!$B$8="Yes",Settings!$B$7,""),IF(ISNUMBER(R1043),DATE(YEAR(R1043),MONTH(R1043),1),"")))</f>
        <v/>
      </c>
      <c r="X1043" s="38" t="n">
        <f aca="false">IF(AND(OR(T1043="Backlog",T1043="Pipeline",T1043="Overdue"),ISNUMBER(W1043)),IF(W1043&lt;=Settings!$B$6,V1043,0),0)</f>
        <v>0</v>
      </c>
      <c r="Y1043" s="38" t="n">
        <f aca="false">IF(AND(OR(T1043="Backlog",T1043="Pipeline",T1043="Overdue"),ISNUMBER(W1043)),IF(W1043&lt;=Settings!$B$6,Q1043,0),0)</f>
        <v>0</v>
      </c>
      <c r="Z1043" s="38" t="n">
        <f aca="false">IF(Y1043=0,0,IF(T1043="Backlog",Q1043,Q1043*Dashboard!$C$10))</f>
        <v>0</v>
      </c>
      <c r="AA1043" s="37" t="n">
        <f aca="false">IF($N1043="",0,IF(COUNTIF(Dashboard!$C$13:$C$22,$N1043)&gt;0,1,0))</f>
        <v>0</v>
      </c>
      <c r="AB1043" s="37" t="str">
        <f aca="false">IF($N1043="","",IF(COUNTIF($N$8:$N1043,$N1043)=1,MAX($AB$7:$AB1042)+1,""))</f>
        <v/>
      </c>
    </row>
    <row r="1044" customFormat="false" ht="15" hidden="false" customHeight="false" outlineLevel="0" collapsed="false">
      <c r="L1044" s="37" t="str">
        <f aca="false">IF(INDEX($A1044:$J1044,$L$6)&lt;&gt;"",TRIM(LEFT(INDEX($A1044:$J1044,$L$6),FIND("(",INDEX($A1044:$J1044,$L$6)&amp;"(")-1)),L1043)</f>
        <v>Building Value Proposition</v>
      </c>
      <c r="M1044" s="37" t="str">
        <f aca="false">IF(INDEX($A1044:$J1044,$M$6)="","",INDEX($A1044:$J1044,$M$6)&amp;"")</f>
        <v/>
      </c>
      <c r="N1044" s="37" t="str">
        <f aca="false">IF($M1044="","",TRIM(INDEX($A1044:$J1044,$N$6)&amp;""))</f>
        <v/>
      </c>
      <c r="O1044" s="37" t="str">
        <f aca="false">IF($M1044="","",TRIM(INDEX($A1044:$J1044,$O$6)&amp;""))</f>
        <v/>
      </c>
      <c r="P1044" s="37" t="str">
        <f aca="false">IF($M1044="","",IFERROR(IF(INDEX(Settings!$B$41:$B$50,MATCH(O1044,Settings!$A$41:$A$50,0))&amp;""="","UNMAPPED",INDEX(Settings!$B$41:$B$50,MATCH(O1044,Settings!$A$41:$A$50,0))&amp;""),"UNMAPPED"))</f>
        <v/>
      </c>
      <c r="Q1044" s="38" t="n">
        <f aca="false">IF($M1044="",0,N(INDEX($A1044:$J1044,$Q$6)))</f>
        <v>0</v>
      </c>
      <c r="R1044" s="39" t="str">
        <f aca="false">IF($M1044="","",INDEX($A1044:$J1044,$R$6))</f>
        <v/>
      </c>
      <c r="S1044" s="37" t="str">
        <f aca="false">IF($M1044="","",IFERROR(INDEX(Settings!$B$27:$B$36,MATCH(L1044,Settings!$A$27:$A$36,0))&amp;"","UNMAPPED"))</f>
        <v/>
      </c>
      <c r="T1044" s="37" t="str">
        <f aca="false">IF($M1044="","",IF(NOT(ISNUMBER(R1044)),"NO DATE",IF(S1044="Won",IF(R1044&gt;Settings!$B$5,"Backlog","Delivered"),IF(S1044="Open",IF(R1044&gt;Settings!$B$5,"Pipeline","Overdue"),IF(S1044="Lost","Lost","UNMAPPED")))))</f>
        <v/>
      </c>
      <c r="U1044" s="40" t="n">
        <f aca="false">IF(T1044="Backlog",1,IF(OR(T1044="Pipeline",T1044="Overdue"),N(INDEX(Settings!$C$27:$C$36,MATCH(L1044,Settings!$A$27:$A$36,0))),0))</f>
        <v>0</v>
      </c>
      <c r="V1044" s="38" t="n">
        <f aca="false">Q1044*U1044</f>
        <v>0</v>
      </c>
      <c r="W1044" s="41" t="str">
        <f aca="false">IF($M1044="","",IF(T1044="Overdue",IF(Settings!$B$8="Yes",Settings!$B$7,""),IF(ISNUMBER(R1044),DATE(YEAR(R1044),MONTH(R1044),1),"")))</f>
        <v/>
      </c>
      <c r="X1044" s="38" t="n">
        <f aca="false">IF(AND(OR(T1044="Backlog",T1044="Pipeline",T1044="Overdue"),ISNUMBER(W1044)),IF(W1044&lt;=Settings!$B$6,V1044,0),0)</f>
        <v>0</v>
      </c>
      <c r="Y1044" s="38" t="n">
        <f aca="false">IF(AND(OR(T1044="Backlog",T1044="Pipeline",T1044="Overdue"),ISNUMBER(W1044)),IF(W1044&lt;=Settings!$B$6,Q1044,0),0)</f>
        <v>0</v>
      </c>
      <c r="Z1044" s="38" t="n">
        <f aca="false">IF(Y1044=0,0,IF(T1044="Backlog",Q1044,Q1044*Dashboard!$C$10))</f>
        <v>0</v>
      </c>
      <c r="AA1044" s="37" t="n">
        <f aca="false">IF($N1044="",0,IF(COUNTIF(Dashboard!$C$13:$C$22,$N1044)&gt;0,1,0))</f>
        <v>0</v>
      </c>
      <c r="AB1044" s="37" t="str">
        <f aca="false">IF($N1044="","",IF(COUNTIF($N$8:$N1044,$N1044)=1,MAX($AB$7:$AB1043)+1,""))</f>
        <v/>
      </c>
    </row>
    <row r="1045" customFormat="false" ht="15" hidden="false" customHeight="false" outlineLevel="0" collapsed="false">
      <c r="L1045" s="37" t="str">
        <f aca="false">IF(INDEX($A1045:$J1045,$L$6)&lt;&gt;"",TRIM(LEFT(INDEX($A1045:$J1045,$L$6),FIND("(",INDEX($A1045:$J1045,$L$6)&amp;"(")-1)),L1044)</f>
        <v>Building Value Proposition</v>
      </c>
      <c r="M1045" s="37" t="str">
        <f aca="false">IF(INDEX($A1045:$J1045,$M$6)="","",INDEX($A1045:$J1045,$M$6)&amp;"")</f>
        <v/>
      </c>
      <c r="N1045" s="37" t="str">
        <f aca="false">IF($M1045="","",TRIM(INDEX($A1045:$J1045,$N$6)&amp;""))</f>
        <v/>
      </c>
      <c r="O1045" s="37" t="str">
        <f aca="false">IF($M1045="","",TRIM(INDEX($A1045:$J1045,$O$6)&amp;""))</f>
        <v/>
      </c>
      <c r="P1045" s="37" t="str">
        <f aca="false">IF($M1045="","",IFERROR(IF(INDEX(Settings!$B$41:$B$50,MATCH(O1045,Settings!$A$41:$A$50,0))&amp;""="","UNMAPPED",INDEX(Settings!$B$41:$B$50,MATCH(O1045,Settings!$A$41:$A$50,0))&amp;""),"UNMAPPED"))</f>
        <v/>
      </c>
      <c r="Q1045" s="38" t="n">
        <f aca="false">IF($M1045="",0,N(INDEX($A1045:$J1045,$Q$6)))</f>
        <v>0</v>
      </c>
      <c r="R1045" s="39" t="str">
        <f aca="false">IF($M1045="","",INDEX($A1045:$J1045,$R$6))</f>
        <v/>
      </c>
      <c r="S1045" s="37" t="str">
        <f aca="false">IF($M1045="","",IFERROR(INDEX(Settings!$B$27:$B$36,MATCH(L1045,Settings!$A$27:$A$36,0))&amp;"","UNMAPPED"))</f>
        <v/>
      </c>
      <c r="T1045" s="37" t="str">
        <f aca="false">IF($M1045="","",IF(NOT(ISNUMBER(R1045)),"NO DATE",IF(S1045="Won",IF(R1045&gt;Settings!$B$5,"Backlog","Delivered"),IF(S1045="Open",IF(R1045&gt;Settings!$B$5,"Pipeline","Overdue"),IF(S1045="Lost","Lost","UNMAPPED")))))</f>
        <v/>
      </c>
      <c r="U1045" s="40" t="n">
        <f aca="false">IF(T1045="Backlog",1,IF(OR(T1045="Pipeline",T1045="Overdue"),N(INDEX(Settings!$C$27:$C$36,MATCH(L1045,Settings!$A$27:$A$36,0))),0))</f>
        <v>0</v>
      </c>
      <c r="V1045" s="38" t="n">
        <f aca="false">Q1045*U1045</f>
        <v>0</v>
      </c>
      <c r="W1045" s="41" t="str">
        <f aca="false">IF($M1045="","",IF(T1045="Overdue",IF(Settings!$B$8="Yes",Settings!$B$7,""),IF(ISNUMBER(R1045),DATE(YEAR(R1045),MONTH(R1045),1),"")))</f>
        <v/>
      </c>
      <c r="X1045" s="38" t="n">
        <f aca="false">IF(AND(OR(T1045="Backlog",T1045="Pipeline",T1045="Overdue"),ISNUMBER(W1045)),IF(W1045&lt;=Settings!$B$6,V1045,0),0)</f>
        <v>0</v>
      </c>
      <c r="Y1045" s="38" t="n">
        <f aca="false">IF(AND(OR(T1045="Backlog",T1045="Pipeline",T1045="Overdue"),ISNUMBER(W1045)),IF(W1045&lt;=Settings!$B$6,Q1045,0),0)</f>
        <v>0</v>
      </c>
      <c r="Z1045" s="38" t="n">
        <f aca="false">IF(Y1045=0,0,IF(T1045="Backlog",Q1045,Q1045*Dashboard!$C$10))</f>
        <v>0</v>
      </c>
      <c r="AA1045" s="37" t="n">
        <f aca="false">IF($N1045="",0,IF(COUNTIF(Dashboard!$C$13:$C$22,$N1045)&gt;0,1,0))</f>
        <v>0</v>
      </c>
      <c r="AB1045" s="37" t="str">
        <f aca="false">IF($N1045="","",IF(COUNTIF($N$8:$N1045,$N1045)=1,MAX($AB$7:$AB1044)+1,""))</f>
        <v/>
      </c>
    </row>
    <row r="1046" customFormat="false" ht="15" hidden="false" customHeight="false" outlineLevel="0" collapsed="false">
      <c r="L1046" s="37" t="str">
        <f aca="false">IF(INDEX($A1046:$J1046,$L$6)&lt;&gt;"",TRIM(LEFT(INDEX($A1046:$J1046,$L$6),FIND("(",INDEX($A1046:$J1046,$L$6)&amp;"(")-1)),L1045)</f>
        <v>Building Value Proposition</v>
      </c>
      <c r="M1046" s="37" t="str">
        <f aca="false">IF(INDEX($A1046:$J1046,$M$6)="","",INDEX($A1046:$J1046,$M$6)&amp;"")</f>
        <v/>
      </c>
      <c r="N1046" s="37" t="str">
        <f aca="false">IF($M1046="","",TRIM(INDEX($A1046:$J1046,$N$6)&amp;""))</f>
        <v/>
      </c>
      <c r="O1046" s="37" t="str">
        <f aca="false">IF($M1046="","",TRIM(INDEX($A1046:$J1046,$O$6)&amp;""))</f>
        <v/>
      </c>
      <c r="P1046" s="37" t="str">
        <f aca="false">IF($M1046="","",IFERROR(IF(INDEX(Settings!$B$41:$B$50,MATCH(O1046,Settings!$A$41:$A$50,0))&amp;""="","UNMAPPED",INDEX(Settings!$B$41:$B$50,MATCH(O1046,Settings!$A$41:$A$50,0))&amp;""),"UNMAPPED"))</f>
        <v/>
      </c>
      <c r="Q1046" s="38" t="n">
        <f aca="false">IF($M1046="",0,N(INDEX($A1046:$J1046,$Q$6)))</f>
        <v>0</v>
      </c>
      <c r="R1046" s="39" t="str">
        <f aca="false">IF($M1046="","",INDEX($A1046:$J1046,$R$6))</f>
        <v/>
      </c>
      <c r="S1046" s="37" t="str">
        <f aca="false">IF($M1046="","",IFERROR(INDEX(Settings!$B$27:$B$36,MATCH(L1046,Settings!$A$27:$A$36,0))&amp;"","UNMAPPED"))</f>
        <v/>
      </c>
      <c r="T1046" s="37" t="str">
        <f aca="false">IF($M1046="","",IF(NOT(ISNUMBER(R1046)),"NO DATE",IF(S1046="Won",IF(R1046&gt;Settings!$B$5,"Backlog","Delivered"),IF(S1046="Open",IF(R1046&gt;Settings!$B$5,"Pipeline","Overdue"),IF(S1046="Lost","Lost","UNMAPPED")))))</f>
        <v/>
      </c>
      <c r="U1046" s="40" t="n">
        <f aca="false">IF(T1046="Backlog",1,IF(OR(T1046="Pipeline",T1046="Overdue"),N(INDEX(Settings!$C$27:$C$36,MATCH(L1046,Settings!$A$27:$A$36,0))),0))</f>
        <v>0</v>
      </c>
      <c r="V1046" s="38" t="n">
        <f aca="false">Q1046*U1046</f>
        <v>0</v>
      </c>
      <c r="W1046" s="41" t="str">
        <f aca="false">IF($M1046="","",IF(T1046="Overdue",IF(Settings!$B$8="Yes",Settings!$B$7,""),IF(ISNUMBER(R1046),DATE(YEAR(R1046),MONTH(R1046),1),"")))</f>
        <v/>
      </c>
      <c r="X1046" s="38" t="n">
        <f aca="false">IF(AND(OR(T1046="Backlog",T1046="Pipeline",T1046="Overdue"),ISNUMBER(W1046)),IF(W1046&lt;=Settings!$B$6,V1046,0),0)</f>
        <v>0</v>
      </c>
      <c r="Y1046" s="38" t="n">
        <f aca="false">IF(AND(OR(T1046="Backlog",T1046="Pipeline",T1046="Overdue"),ISNUMBER(W1046)),IF(W1046&lt;=Settings!$B$6,Q1046,0),0)</f>
        <v>0</v>
      </c>
      <c r="Z1046" s="38" t="n">
        <f aca="false">IF(Y1046=0,0,IF(T1046="Backlog",Q1046,Q1046*Dashboard!$C$10))</f>
        <v>0</v>
      </c>
      <c r="AA1046" s="37" t="n">
        <f aca="false">IF($N1046="",0,IF(COUNTIF(Dashboard!$C$13:$C$22,$N1046)&gt;0,1,0))</f>
        <v>0</v>
      </c>
      <c r="AB1046" s="37" t="str">
        <f aca="false">IF($N1046="","",IF(COUNTIF($N$8:$N1046,$N1046)=1,MAX($AB$7:$AB1045)+1,""))</f>
        <v/>
      </c>
    </row>
    <row r="1047" customFormat="false" ht="15" hidden="false" customHeight="false" outlineLevel="0" collapsed="false">
      <c r="L1047" s="37" t="str">
        <f aca="false">IF(INDEX($A1047:$J1047,$L$6)&lt;&gt;"",TRIM(LEFT(INDEX($A1047:$J1047,$L$6),FIND("(",INDEX($A1047:$J1047,$L$6)&amp;"(")-1)),L1046)</f>
        <v>Building Value Proposition</v>
      </c>
      <c r="M1047" s="37" t="str">
        <f aca="false">IF(INDEX($A1047:$J1047,$M$6)="","",INDEX($A1047:$J1047,$M$6)&amp;"")</f>
        <v/>
      </c>
      <c r="N1047" s="37" t="str">
        <f aca="false">IF($M1047="","",TRIM(INDEX($A1047:$J1047,$N$6)&amp;""))</f>
        <v/>
      </c>
      <c r="O1047" s="37" t="str">
        <f aca="false">IF($M1047="","",TRIM(INDEX($A1047:$J1047,$O$6)&amp;""))</f>
        <v/>
      </c>
      <c r="P1047" s="37" t="str">
        <f aca="false">IF($M1047="","",IFERROR(IF(INDEX(Settings!$B$41:$B$50,MATCH(O1047,Settings!$A$41:$A$50,0))&amp;""="","UNMAPPED",INDEX(Settings!$B$41:$B$50,MATCH(O1047,Settings!$A$41:$A$50,0))&amp;""),"UNMAPPED"))</f>
        <v/>
      </c>
      <c r="Q1047" s="38" t="n">
        <f aca="false">IF($M1047="",0,N(INDEX($A1047:$J1047,$Q$6)))</f>
        <v>0</v>
      </c>
      <c r="R1047" s="39" t="str">
        <f aca="false">IF($M1047="","",INDEX($A1047:$J1047,$R$6))</f>
        <v/>
      </c>
      <c r="S1047" s="37" t="str">
        <f aca="false">IF($M1047="","",IFERROR(INDEX(Settings!$B$27:$B$36,MATCH(L1047,Settings!$A$27:$A$36,0))&amp;"","UNMAPPED"))</f>
        <v/>
      </c>
      <c r="T1047" s="37" t="str">
        <f aca="false">IF($M1047="","",IF(NOT(ISNUMBER(R1047)),"NO DATE",IF(S1047="Won",IF(R1047&gt;Settings!$B$5,"Backlog","Delivered"),IF(S1047="Open",IF(R1047&gt;Settings!$B$5,"Pipeline","Overdue"),IF(S1047="Lost","Lost","UNMAPPED")))))</f>
        <v/>
      </c>
      <c r="U1047" s="40" t="n">
        <f aca="false">IF(T1047="Backlog",1,IF(OR(T1047="Pipeline",T1047="Overdue"),N(INDEX(Settings!$C$27:$C$36,MATCH(L1047,Settings!$A$27:$A$36,0))),0))</f>
        <v>0</v>
      </c>
      <c r="V1047" s="38" t="n">
        <f aca="false">Q1047*U1047</f>
        <v>0</v>
      </c>
      <c r="W1047" s="41" t="str">
        <f aca="false">IF($M1047="","",IF(T1047="Overdue",IF(Settings!$B$8="Yes",Settings!$B$7,""),IF(ISNUMBER(R1047),DATE(YEAR(R1047),MONTH(R1047),1),"")))</f>
        <v/>
      </c>
      <c r="X1047" s="38" t="n">
        <f aca="false">IF(AND(OR(T1047="Backlog",T1047="Pipeline",T1047="Overdue"),ISNUMBER(W1047)),IF(W1047&lt;=Settings!$B$6,V1047,0),0)</f>
        <v>0</v>
      </c>
      <c r="Y1047" s="38" t="n">
        <f aca="false">IF(AND(OR(T1047="Backlog",T1047="Pipeline",T1047="Overdue"),ISNUMBER(W1047)),IF(W1047&lt;=Settings!$B$6,Q1047,0),0)</f>
        <v>0</v>
      </c>
      <c r="Z1047" s="38" t="n">
        <f aca="false">IF(Y1047=0,0,IF(T1047="Backlog",Q1047,Q1047*Dashboard!$C$10))</f>
        <v>0</v>
      </c>
      <c r="AA1047" s="37" t="n">
        <f aca="false">IF($N1047="",0,IF(COUNTIF(Dashboard!$C$13:$C$22,$N1047)&gt;0,1,0))</f>
        <v>0</v>
      </c>
      <c r="AB1047" s="37" t="str">
        <f aca="false">IF($N1047="","",IF(COUNTIF($N$8:$N1047,$N1047)=1,MAX($AB$7:$AB1046)+1,""))</f>
        <v/>
      </c>
    </row>
    <row r="1048" customFormat="false" ht="15" hidden="false" customHeight="false" outlineLevel="0" collapsed="false">
      <c r="L1048" s="37" t="str">
        <f aca="false">IF(INDEX($A1048:$J1048,$L$6)&lt;&gt;"",TRIM(LEFT(INDEX($A1048:$J1048,$L$6),FIND("(",INDEX($A1048:$J1048,$L$6)&amp;"(")-1)),L1047)</f>
        <v>Building Value Proposition</v>
      </c>
      <c r="M1048" s="37" t="str">
        <f aca="false">IF(INDEX($A1048:$J1048,$M$6)="","",INDEX($A1048:$J1048,$M$6)&amp;"")</f>
        <v/>
      </c>
      <c r="N1048" s="37" t="str">
        <f aca="false">IF($M1048="","",TRIM(INDEX($A1048:$J1048,$N$6)&amp;""))</f>
        <v/>
      </c>
      <c r="O1048" s="37" t="str">
        <f aca="false">IF($M1048="","",TRIM(INDEX($A1048:$J1048,$O$6)&amp;""))</f>
        <v/>
      </c>
      <c r="P1048" s="37" t="str">
        <f aca="false">IF($M1048="","",IFERROR(IF(INDEX(Settings!$B$41:$B$50,MATCH(O1048,Settings!$A$41:$A$50,0))&amp;""="","UNMAPPED",INDEX(Settings!$B$41:$B$50,MATCH(O1048,Settings!$A$41:$A$50,0))&amp;""),"UNMAPPED"))</f>
        <v/>
      </c>
      <c r="Q1048" s="38" t="n">
        <f aca="false">IF($M1048="",0,N(INDEX($A1048:$J1048,$Q$6)))</f>
        <v>0</v>
      </c>
      <c r="R1048" s="39" t="str">
        <f aca="false">IF($M1048="","",INDEX($A1048:$J1048,$R$6))</f>
        <v/>
      </c>
      <c r="S1048" s="37" t="str">
        <f aca="false">IF($M1048="","",IFERROR(INDEX(Settings!$B$27:$B$36,MATCH(L1048,Settings!$A$27:$A$36,0))&amp;"","UNMAPPED"))</f>
        <v/>
      </c>
      <c r="T1048" s="37" t="str">
        <f aca="false">IF($M1048="","",IF(NOT(ISNUMBER(R1048)),"NO DATE",IF(S1048="Won",IF(R1048&gt;Settings!$B$5,"Backlog","Delivered"),IF(S1048="Open",IF(R1048&gt;Settings!$B$5,"Pipeline","Overdue"),IF(S1048="Lost","Lost","UNMAPPED")))))</f>
        <v/>
      </c>
      <c r="U1048" s="40" t="n">
        <f aca="false">IF(T1048="Backlog",1,IF(OR(T1048="Pipeline",T1048="Overdue"),N(INDEX(Settings!$C$27:$C$36,MATCH(L1048,Settings!$A$27:$A$36,0))),0))</f>
        <v>0</v>
      </c>
      <c r="V1048" s="38" t="n">
        <f aca="false">Q1048*U1048</f>
        <v>0</v>
      </c>
      <c r="W1048" s="41" t="str">
        <f aca="false">IF($M1048="","",IF(T1048="Overdue",IF(Settings!$B$8="Yes",Settings!$B$7,""),IF(ISNUMBER(R1048),DATE(YEAR(R1048),MONTH(R1048),1),"")))</f>
        <v/>
      </c>
      <c r="X1048" s="38" t="n">
        <f aca="false">IF(AND(OR(T1048="Backlog",T1048="Pipeline",T1048="Overdue"),ISNUMBER(W1048)),IF(W1048&lt;=Settings!$B$6,V1048,0),0)</f>
        <v>0</v>
      </c>
      <c r="Y1048" s="38" t="n">
        <f aca="false">IF(AND(OR(T1048="Backlog",T1048="Pipeline",T1048="Overdue"),ISNUMBER(W1048)),IF(W1048&lt;=Settings!$B$6,Q1048,0),0)</f>
        <v>0</v>
      </c>
      <c r="Z1048" s="38" t="n">
        <f aca="false">IF(Y1048=0,0,IF(T1048="Backlog",Q1048,Q1048*Dashboard!$C$10))</f>
        <v>0</v>
      </c>
      <c r="AA1048" s="37" t="n">
        <f aca="false">IF($N1048="",0,IF(COUNTIF(Dashboard!$C$13:$C$22,$N1048)&gt;0,1,0))</f>
        <v>0</v>
      </c>
      <c r="AB1048" s="37" t="str">
        <f aca="false">IF($N1048="","",IF(COUNTIF($N$8:$N1048,$N1048)=1,MAX($AB$7:$AB1047)+1,""))</f>
        <v/>
      </c>
    </row>
    <row r="1049" customFormat="false" ht="15" hidden="false" customHeight="false" outlineLevel="0" collapsed="false">
      <c r="L1049" s="37" t="str">
        <f aca="false">IF(INDEX($A1049:$J1049,$L$6)&lt;&gt;"",TRIM(LEFT(INDEX($A1049:$J1049,$L$6),FIND("(",INDEX($A1049:$J1049,$L$6)&amp;"(")-1)),L1048)</f>
        <v>Building Value Proposition</v>
      </c>
      <c r="M1049" s="37" t="str">
        <f aca="false">IF(INDEX($A1049:$J1049,$M$6)="","",INDEX($A1049:$J1049,$M$6)&amp;"")</f>
        <v/>
      </c>
      <c r="N1049" s="37" t="str">
        <f aca="false">IF($M1049="","",TRIM(INDEX($A1049:$J1049,$N$6)&amp;""))</f>
        <v/>
      </c>
      <c r="O1049" s="37" t="str">
        <f aca="false">IF($M1049="","",TRIM(INDEX($A1049:$J1049,$O$6)&amp;""))</f>
        <v/>
      </c>
      <c r="P1049" s="37" t="str">
        <f aca="false">IF($M1049="","",IFERROR(IF(INDEX(Settings!$B$41:$B$50,MATCH(O1049,Settings!$A$41:$A$50,0))&amp;""="","UNMAPPED",INDEX(Settings!$B$41:$B$50,MATCH(O1049,Settings!$A$41:$A$50,0))&amp;""),"UNMAPPED"))</f>
        <v/>
      </c>
      <c r="Q1049" s="38" t="n">
        <f aca="false">IF($M1049="",0,N(INDEX($A1049:$J1049,$Q$6)))</f>
        <v>0</v>
      </c>
      <c r="R1049" s="39" t="str">
        <f aca="false">IF($M1049="","",INDEX($A1049:$J1049,$R$6))</f>
        <v/>
      </c>
      <c r="S1049" s="37" t="str">
        <f aca="false">IF($M1049="","",IFERROR(INDEX(Settings!$B$27:$B$36,MATCH(L1049,Settings!$A$27:$A$36,0))&amp;"","UNMAPPED"))</f>
        <v/>
      </c>
      <c r="T1049" s="37" t="str">
        <f aca="false">IF($M1049="","",IF(NOT(ISNUMBER(R1049)),"NO DATE",IF(S1049="Won",IF(R1049&gt;Settings!$B$5,"Backlog","Delivered"),IF(S1049="Open",IF(R1049&gt;Settings!$B$5,"Pipeline","Overdue"),IF(S1049="Lost","Lost","UNMAPPED")))))</f>
        <v/>
      </c>
      <c r="U1049" s="40" t="n">
        <f aca="false">IF(T1049="Backlog",1,IF(OR(T1049="Pipeline",T1049="Overdue"),N(INDEX(Settings!$C$27:$C$36,MATCH(L1049,Settings!$A$27:$A$36,0))),0))</f>
        <v>0</v>
      </c>
      <c r="V1049" s="38" t="n">
        <f aca="false">Q1049*U1049</f>
        <v>0</v>
      </c>
      <c r="W1049" s="41" t="str">
        <f aca="false">IF($M1049="","",IF(T1049="Overdue",IF(Settings!$B$8="Yes",Settings!$B$7,""),IF(ISNUMBER(R1049),DATE(YEAR(R1049),MONTH(R1049),1),"")))</f>
        <v/>
      </c>
      <c r="X1049" s="38" t="n">
        <f aca="false">IF(AND(OR(T1049="Backlog",T1049="Pipeline",T1049="Overdue"),ISNUMBER(W1049)),IF(W1049&lt;=Settings!$B$6,V1049,0),0)</f>
        <v>0</v>
      </c>
      <c r="Y1049" s="38" t="n">
        <f aca="false">IF(AND(OR(T1049="Backlog",T1049="Pipeline",T1049="Overdue"),ISNUMBER(W1049)),IF(W1049&lt;=Settings!$B$6,Q1049,0),0)</f>
        <v>0</v>
      </c>
      <c r="Z1049" s="38" t="n">
        <f aca="false">IF(Y1049=0,0,IF(T1049="Backlog",Q1049,Q1049*Dashboard!$C$10))</f>
        <v>0</v>
      </c>
      <c r="AA1049" s="37" t="n">
        <f aca="false">IF($N1049="",0,IF(COUNTIF(Dashboard!$C$13:$C$22,$N1049)&gt;0,1,0))</f>
        <v>0</v>
      </c>
      <c r="AB1049" s="37" t="str">
        <f aca="false">IF($N1049="","",IF(COUNTIF($N$8:$N1049,$N1049)=1,MAX($AB$7:$AB1048)+1,""))</f>
        <v/>
      </c>
    </row>
    <row r="1050" customFormat="false" ht="15" hidden="false" customHeight="false" outlineLevel="0" collapsed="false">
      <c r="L1050" s="37" t="str">
        <f aca="false">IF(INDEX($A1050:$J1050,$L$6)&lt;&gt;"",TRIM(LEFT(INDEX($A1050:$J1050,$L$6),FIND("(",INDEX($A1050:$J1050,$L$6)&amp;"(")-1)),L1049)</f>
        <v>Building Value Proposition</v>
      </c>
      <c r="M1050" s="37" t="str">
        <f aca="false">IF(INDEX($A1050:$J1050,$M$6)="","",INDEX($A1050:$J1050,$M$6)&amp;"")</f>
        <v/>
      </c>
      <c r="N1050" s="37" t="str">
        <f aca="false">IF($M1050="","",TRIM(INDEX($A1050:$J1050,$N$6)&amp;""))</f>
        <v/>
      </c>
      <c r="O1050" s="37" t="str">
        <f aca="false">IF($M1050="","",TRIM(INDEX($A1050:$J1050,$O$6)&amp;""))</f>
        <v/>
      </c>
      <c r="P1050" s="37" t="str">
        <f aca="false">IF($M1050="","",IFERROR(IF(INDEX(Settings!$B$41:$B$50,MATCH(O1050,Settings!$A$41:$A$50,0))&amp;""="","UNMAPPED",INDEX(Settings!$B$41:$B$50,MATCH(O1050,Settings!$A$41:$A$50,0))&amp;""),"UNMAPPED"))</f>
        <v/>
      </c>
      <c r="Q1050" s="38" t="n">
        <f aca="false">IF($M1050="",0,N(INDEX($A1050:$J1050,$Q$6)))</f>
        <v>0</v>
      </c>
      <c r="R1050" s="39" t="str">
        <f aca="false">IF($M1050="","",INDEX($A1050:$J1050,$R$6))</f>
        <v/>
      </c>
      <c r="S1050" s="37" t="str">
        <f aca="false">IF($M1050="","",IFERROR(INDEX(Settings!$B$27:$B$36,MATCH(L1050,Settings!$A$27:$A$36,0))&amp;"","UNMAPPED"))</f>
        <v/>
      </c>
      <c r="T1050" s="37" t="str">
        <f aca="false">IF($M1050="","",IF(NOT(ISNUMBER(R1050)),"NO DATE",IF(S1050="Won",IF(R1050&gt;Settings!$B$5,"Backlog","Delivered"),IF(S1050="Open",IF(R1050&gt;Settings!$B$5,"Pipeline","Overdue"),IF(S1050="Lost","Lost","UNMAPPED")))))</f>
        <v/>
      </c>
      <c r="U1050" s="40" t="n">
        <f aca="false">IF(T1050="Backlog",1,IF(OR(T1050="Pipeline",T1050="Overdue"),N(INDEX(Settings!$C$27:$C$36,MATCH(L1050,Settings!$A$27:$A$36,0))),0))</f>
        <v>0</v>
      </c>
      <c r="V1050" s="38" t="n">
        <f aca="false">Q1050*U1050</f>
        <v>0</v>
      </c>
      <c r="W1050" s="41" t="str">
        <f aca="false">IF($M1050="","",IF(T1050="Overdue",IF(Settings!$B$8="Yes",Settings!$B$7,""),IF(ISNUMBER(R1050),DATE(YEAR(R1050),MONTH(R1050),1),"")))</f>
        <v/>
      </c>
      <c r="X1050" s="38" t="n">
        <f aca="false">IF(AND(OR(T1050="Backlog",T1050="Pipeline",T1050="Overdue"),ISNUMBER(W1050)),IF(W1050&lt;=Settings!$B$6,V1050,0),0)</f>
        <v>0</v>
      </c>
      <c r="Y1050" s="38" t="n">
        <f aca="false">IF(AND(OR(T1050="Backlog",T1050="Pipeline",T1050="Overdue"),ISNUMBER(W1050)),IF(W1050&lt;=Settings!$B$6,Q1050,0),0)</f>
        <v>0</v>
      </c>
      <c r="Z1050" s="38" t="n">
        <f aca="false">IF(Y1050=0,0,IF(T1050="Backlog",Q1050,Q1050*Dashboard!$C$10))</f>
        <v>0</v>
      </c>
      <c r="AA1050" s="37" t="n">
        <f aca="false">IF($N1050="",0,IF(COUNTIF(Dashboard!$C$13:$C$22,$N1050)&gt;0,1,0))</f>
        <v>0</v>
      </c>
      <c r="AB1050" s="37" t="str">
        <f aca="false">IF($N1050="","",IF(COUNTIF($N$8:$N1050,$N1050)=1,MAX($AB$7:$AB1049)+1,""))</f>
        <v/>
      </c>
    </row>
    <row r="1051" customFormat="false" ht="15" hidden="false" customHeight="false" outlineLevel="0" collapsed="false">
      <c r="L1051" s="37" t="str">
        <f aca="false">IF(INDEX($A1051:$J1051,$L$6)&lt;&gt;"",TRIM(LEFT(INDEX($A1051:$J1051,$L$6),FIND("(",INDEX($A1051:$J1051,$L$6)&amp;"(")-1)),L1050)</f>
        <v>Building Value Proposition</v>
      </c>
      <c r="M1051" s="37" t="str">
        <f aca="false">IF(INDEX($A1051:$J1051,$M$6)="","",INDEX($A1051:$J1051,$M$6)&amp;"")</f>
        <v/>
      </c>
      <c r="N1051" s="37" t="str">
        <f aca="false">IF($M1051="","",TRIM(INDEX($A1051:$J1051,$N$6)&amp;""))</f>
        <v/>
      </c>
      <c r="O1051" s="37" t="str">
        <f aca="false">IF($M1051="","",TRIM(INDEX($A1051:$J1051,$O$6)&amp;""))</f>
        <v/>
      </c>
      <c r="P1051" s="37" t="str">
        <f aca="false">IF($M1051="","",IFERROR(IF(INDEX(Settings!$B$41:$B$50,MATCH(O1051,Settings!$A$41:$A$50,0))&amp;""="","UNMAPPED",INDEX(Settings!$B$41:$B$50,MATCH(O1051,Settings!$A$41:$A$50,0))&amp;""),"UNMAPPED"))</f>
        <v/>
      </c>
      <c r="Q1051" s="38" t="n">
        <f aca="false">IF($M1051="",0,N(INDEX($A1051:$J1051,$Q$6)))</f>
        <v>0</v>
      </c>
      <c r="R1051" s="39" t="str">
        <f aca="false">IF($M1051="","",INDEX($A1051:$J1051,$R$6))</f>
        <v/>
      </c>
      <c r="S1051" s="37" t="str">
        <f aca="false">IF($M1051="","",IFERROR(INDEX(Settings!$B$27:$B$36,MATCH(L1051,Settings!$A$27:$A$36,0))&amp;"","UNMAPPED"))</f>
        <v/>
      </c>
      <c r="T1051" s="37" t="str">
        <f aca="false">IF($M1051="","",IF(NOT(ISNUMBER(R1051)),"NO DATE",IF(S1051="Won",IF(R1051&gt;Settings!$B$5,"Backlog","Delivered"),IF(S1051="Open",IF(R1051&gt;Settings!$B$5,"Pipeline","Overdue"),IF(S1051="Lost","Lost","UNMAPPED")))))</f>
        <v/>
      </c>
      <c r="U1051" s="40" t="n">
        <f aca="false">IF(T1051="Backlog",1,IF(OR(T1051="Pipeline",T1051="Overdue"),N(INDEX(Settings!$C$27:$C$36,MATCH(L1051,Settings!$A$27:$A$36,0))),0))</f>
        <v>0</v>
      </c>
      <c r="V1051" s="38" t="n">
        <f aca="false">Q1051*U1051</f>
        <v>0</v>
      </c>
      <c r="W1051" s="41" t="str">
        <f aca="false">IF($M1051="","",IF(T1051="Overdue",IF(Settings!$B$8="Yes",Settings!$B$7,""),IF(ISNUMBER(R1051),DATE(YEAR(R1051),MONTH(R1051),1),"")))</f>
        <v/>
      </c>
      <c r="X1051" s="38" t="n">
        <f aca="false">IF(AND(OR(T1051="Backlog",T1051="Pipeline",T1051="Overdue"),ISNUMBER(W1051)),IF(W1051&lt;=Settings!$B$6,V1051,0),0)</f>
        <v>0</v>
      </c>
      <c r="Y1051" s="38" t="n">
        <f aca="false">IF(AND(OR(T1051="Backlog",T1051="Pipeline",T1051="Overdue"),ISNUMBER(W1051)),IF(W1051&lt;=Settings!$B$6,Q1051,0),0)</f>
        <v>0</v>
      </c>
      <c r="Z1051" s="38" t="n">
        <f aca="false">IF(Y1051=0,0,IF(T1051="Backlog",Q1051,Q1051*Dashboard!$C$10))</f>
        <v>0</v>
      </c>
      <c r="AA1051" s="37" t="n">
        <f aca="false">IF($N1051="",0,IF(COUNTIF(Dashboard!$C$13:$C$22,$N1051)&gt;0,1,0))</f>
        <v>0</v>
      </c>
      <c r="AB1051" s="37" t="str">
        <f aca="false">IF($N1051="","",IF(COUNTIF($N$8:$N1051,$N1051)=1,MAX($AB$7:$AB1050)+1,""))</f>
        <v/>
      </c>
    </row>
    <row r="1052" customFormat="false" ht="15" hidden="false" customHeight="false" outlineLevel="0" collapsed="false">
      <c r="L1052" s="37" t="str">
        <f aca="false">IF(INDEX($A1052:$J1052,$L$6)&lt;&gt;"",TRIM(LEFT(INDEX($A1052:$J1052,$L$6),FIND("(",INDEX($A1052:$J1052,$L$6)&amp;"(")-1)),L1051)</f>
        <v>Building Value Proposition</v>
      </c>
      <c r="M1052" s="37" t="str">
        <f aca="false">IF(INDEX($A1052:$J1052,$M$6)="","",INDEX($A1052:$J1052,$M$6)&amp;"")</f>
        <v/>
      </c>
      <c r="N1052" s="37" t="str">
        <f aca="false">IF($M1052="","",TRIM(INDEX($A1052:$J1052,$N$6)&amp;""))</f>
        <v/>
      </c>
      <c r="O1052" s="37" t="str">
        <f aca="false">IF($M1052="","",TRIM(INDEX($A1052:$J1052,$O$6)&amp;""))</f>
        <v/>
      </c>
      <c r="P1052" s="37" t="str">
        <f aca="false">IF($M1052="","",IFERROR(IF(INDEX(Settings!$B$41:$B$50,MATCH(O1052,Settings!$A$41:$A$50,0))&amp;""="","UNMAPPED",INDEX(Settings!$B$41:$B$50,MATCH(O1052,Settings!$A$41:$A$50,0))&amp;""),"UNMAPPED"))</f>
        <v/>
      </c>
      <c r="Q1052" s="38" t="n">
        <f aca="false">IF($M1052="",0,N(INDEX($A1052:$J1052,$Q$6)))</f>
        <v>0</v>
      </c>
      <c r="R1052" s="39" t="str">
        <f aca="false">IF($M1052="","",INDEX($A1052:$J1052,$R$6))</f>
        <v/>
      </c>
      <c r="S1052" s="37" t="str">
        <f aca="false">IF($M1052="","",IFERROR(INDEX(Settings!$B$27:$B$36,MATCH(L1052,Settings!$A$27:$A$36,0))&amp;"","UNMAPPED"))</f>
        <v/>
      </c>
      <c r="T1052" s="37" t="str">
        <f aca="false">IF($M1052="","",IF(NOT(ISNUMBER(R1052)),"NO DATE",IF(S1052="Won",IF(R1052&gt;Settings!$B$5,"Backlog","Delivered"),IF(S1052="Open",IF(R1052&gt;Settings!$B$5,"Pipeline","Overdue"),IF(S1052="Lost","Lost","UNMAPPED")))))</f>
        <v/>
      </c>
      <c r="U1052" s="40" t="n">
        <f aca="false">IF(T1052="Backlog",1,IF(OR(T1052="Pipeline",T1052="Overdue"),N(INDEX(Settings!$C$27:$C$36,MATCH(L1052,Settings!$A$27:$A$36,0))),0))</f>
        <v>0</v>
      </c>
      <c r="V1052" s="38" t="n">
        <f aca="false">Q1052*U1052</f>
        <v>0</v>
      </c>
      <c r="W1052" s="41" t="str">
        <f aca="false">IF($M1052="","",IF(T1052="Overdue",IF(Settings!$B$8="Yes",Settings!$B$7,""),IF(ISNUMBER(R1052),DATE(YEAR(R1052),MONTH(R1052),1),"")))</f>
        <v/>
      </c>
      <c r="X1052" s="38" t="n">
        <f aca="false">IF(AND(OR(T1052="Backlog",T1052="Pipeline",T1052="Overdue"),ISNUMBER(W1052)),IF(W1052&lt;=Settings!$B$6,V1052,0),0)</f>
        <v>0</v>
      </c>
      <c r="Y1052" s="38" t="n">
        <f aca="false">IF(AND(OR(T1052="Backlog",T1052="Pipeline",T1052="Overdue"),ISNUMBER(W1052)),IF(W1052&lt;=Settings!$B$6,Q1052,0),0)</f>
        <v>0</v>
      </c>
      <c r="Z1052" s="38" t="n">
        <f aca="false">IF(Y1052=0,0,IF(T1052="Backlog",Q1052,Q1052*Dashboard!$C$10))</f>
        <v>0</v>
      </c>
      <c r="AA1052" s="37" t="n">
        <f aca="false">IF($N1052="",0,IF(COUNTIF(Dashboard!$C$13:$C$22,$N1052)&gt;0,1,0))</f>
        <v>0</v>
      </c>
      <c r="AB1052" s="37" t="str">
        <f aca="false">IF($N1052="","",IF(COUNTIF($N$8:$N1052,$N1052)=1,MAX($AB$7:$AB1051)+1,""))</f>
        <v/>
      </c>
    </row>
    <row r="1053" customFormat="false" ht="15" hidden="false" customHeight="false" outlineLevel="0" collapsed="false">
      <c r="L1053" s="37" t="str">
        <f aca="false">IF(INDEX($A1053:$J1053,$L$6)&lt;&gt;"",TRIM(LEFT(INDEX($A1053:$J1053,$L$6),FIND("(",INDEX($A1053:$J1053,$L$6)&amp;"(")-1)),L1052)</f>
        <v>Building Value Proposition</v>
      </c>
      <c r="M1053" s="37" t="str">
        <f aca="false">IF(INDEX($A1053:$J1053,$M$6)="","",INDEX($A1053:$J1053,$M$6)&amp;"")</f>
        <v/>
      </c>
      <c r="N1053" s="37" t="str">
        <f aca="false">IF($M1053="","",TRIM(INDEX($A1053:$J1053,$N$6)&amp;""))</f>
        <v/>
      </c>
      <c r="O1053" s="37" t="str">
        <f aca="false">IF($M1053="","",TRIM(INDEX($A1053:$J1053,$O$6)&amp;""))</f>
        <v/>
      </c>
      <c r="P1053" s="37" t="str">
        <f aca="false">IF($M1053="","",IFERROR(IF(INDEX(Settings!$B$41:$B$50,MATCH(O1053,Settings!$A$41:$A$50,0))&amp;""="","UNMAPPED",INDEX(Settings!$B$41:$B$50,MATCH(O1053,Settings!$A$41:$A$50,0))&amp;""),"UNMAPPED"))</f>
        <v/>
      </c>
      <c r="Q1053" s="38" t="n">
        <f aca="false">IF($M1053="",0,N(INDEX($A1053:$J1053,$Q$6)))</f>
        <v>0</v>
      </c>
      <c r="R1053" s="39" t="str">
        <f aca="false">IF($M1053="","",INDEX($A1053:$J1053,$R$6))</f>
        <v/>
      </c>
      <c r="S1053" s="37" t="str">
        <f aca="false">IF($M1053="","",IFERROR(INDEX(Settings!$B$27:$B$36,MATCH(L1053,Settings!$A$27:$A$36,0))&amp;"","UNMAPPED"))</f>
        <v/>
      </c>
      <c r="T1053" s="37" t="str">
        <f aca="false">IF($M1053="","",IF(NOT(ISNUMBER(R1053)),"NO DATE",IF(S1053="Won",IF(R1053&gt;Settings!$B$5,"Backlog","Delivered"),IF(S1053="Open",IF(R1053&gt;Settings!$B$5,"Pipeline","Overdue"),IF(S1053="Lost","Lost","UNMAPPED")))))</f>
        <v/>
      </c>
      <c r="U1053" s="40" t="n">
        <f aca="false">IF(T1053="Backlog",1,IF(OR(T1053="Pipeline",T1053="Overdue"),N(INDEX(Settings!$C$27:$C$36,MATCH(L1053,Settings!$A$27:$A$36,0))),0))</f>
        <v>0</v>
      </c>
      <c r="V1053" s="38" t="n">
        <f aca="false">Q1053*U1053</f>
        <v>0</v>
      </c>
      <c r="W1053" s="41" t="str">
        <f aca="false">IF($M1053="","",IF(T1053="Overdue",IF(Settings!$B$8="Yes",Settings!$B$7,""),IF(ISNUMBER(R1053),DATE(YEAR(R1053),MONTH(R1053),1),"")))</f>
        <v/>
      </c>
      <c r="X1053" s="38" t="n">
        <f aca="false">IF(AND(OR(T1053="Backlog",T1053="Pipeline",T1053="Overdue"),ISNUMBER(W1053)),IF(W1053&lt;=Settings!$B$6,V1053,0),0)</f>
        <v>0</v>
      </c>
      <c r="Y1053" s="38" t="n">
        <f aca="false">IF(AND(OR(T1053="Backlog",T1053="Pipeline",T1053="Overdue"),ISNUMBER(W1053)),IF(W1053&lt;=Settings!$B$6,Q1053,0),0)</f>
        <v>0</v>
      </c>
      <c r="Z1053" s="38" t="n">
        <f aca="false">IF(Y1053=0,0,IF(T1053="Backlog",Q1053,Q1053*Dashboard!$C$10))</f>
        <v>0</v>
      </c>
      <c r="AA1053" s="37" t="n">
        <f aca="false">IF($N1053="",0,IF(COUNTIF(Dashboard!$C$13:$C$22,$N1053)&gt;0,1,0))</f>
        <v>0</v>
      </c>
      <c r="AB1053" s="37" t="str">
        <f aca="false">IF($N1053="","",IF(COUNTIF($N$8:$N1053,$N1053)=1,MAX($AB$7:$AB1052)+1,""))</f>
        <v/>
      </c>
    </row>
    <row r="1054" customFormat="false" ht="15" hidden="false" customHeight="false" outlineLevel="0" collapsed="false">
      <c r="L1054" s="37" t="str">
        <f aca="false">IF(INDEX($A1054:$J1054,$L$6)&lt;&gt;"",TRIM(LEFT(INDEX($A1054:$J1054,$L$6),FIND("(",INDEX($A1054:$J1054,$L$6)&amp;"(")-1)),L1053)</f>
        <v>Building Value Proposition</v>
      </c>
      <c r="M1054" s="37" t="str">
        <f aca="false">IF(INDEX($A1054:$J1054,$M$6)="","",INDEX($A1054:$J1054,$M$6)&amp;"")</f>
        <v/>
      </c>
      <c r="N1054" s="37" t="str">
        <f aca="false">IF($M1054="","",TRIM(INDEX($A1054:$J1054,$N$6)&amp;""))</f>
        <v/>
      </c>
      <c r="O1054" s="37" t="str">
        <f aca="false">IF($M1054="","",TRIM(INDEX($A1054:$J1054,$O$6)&amp;""))</f>
        <v/>
      </c>
      <c r="P1054" s="37" t="str">
        <f aca="false">IF($M1054="","",IFERROR(IF(INDEX(Settings!$B$41:$B$50,MATCH(O1054,Settings!$A$41:$A$50,0))&amp;""="","UNMAPPED",INDEX(Settings!$B$41:$B$50,MATCH(O1054,Settings!$A$41:$A$50,0))&amp;""),"UNMAPPED"))</f>
        <v/>
      </c>
      <c r="Q1054" s="38" t="n">
        <f aca="false">IF($M1054="",0,N(INDEX($A1054:$J1054,$Q$6)))</f>
        <v>0</v>
      </c>
      <c r="R1054" s="39" t="str">
        <f aca="false">IF($M1054="","",INDEX($A1054:$J1054,$R$6))</f>
        <v/>
      </c>
      <c r="S1054" s="37" t="str">
        <f aca="false">IF($M1054="","",IFERROR(INDEX(Settings!$B$27:$B$36,MATCH(L1054,Settings!$A$27:$A$36,0))&amp;"","UNMAPPED"))</f>
        <v/>
      </c>
      <c r="T1054" s="37" t="str">
        <f aca="false">IF($M1054="","",IF(NOT(ISNUMBER(R1054)),"NO DATE",IF(S1054="Won",IF(R1054&gt;Settings!$B$5,"Backlog","Delivered"),IF(S1054="Open",IF(R1054&gt;Settings!$B$5,"Pipeline","Overdue"),IF(S1054="Lost","Lost","UNMAPPED")))))</f>
        <v/>
      </c>
      <c r="U1054" s="40" t="n">
        <f aca="false">IF(T1054="Backlog",1,IF(OR(T1054="Pipeline",T1054="Overdue"),N(INDEX(Settings!$C$27:$C$36,MATCH(L1054,Settings!$A$27:$A$36,0))),0))</f>
        <v>0</v>
      </c>
      <c r="V1054" s="38" t="n">
        <f aca="false">Q1054*U1054</f>
        <v>0</v>
      </c>
      <c r="W1054" s="41" t="str">
        <f aca="false">IF($M1054="","",IF(T1054="Overdue",IF(Settings!$B$8="Yes",Settings!$B$7,""),IF(ISNUMBER(R1054),DATE(YEAR(R1054),MONTH(R1054),1),"")))</f>
        <v/>
      </c>
      <c r="X1054" s="38" t="n">
        <f aca="false">IF(AND(OR(T1054="Backlog",T1054="Pipeline",T1054="Overdue"),ISNUMBER(W1054)),IF(W1054&lt;=Settings!$B$6,V1054,0),0)</f>
        <v>0</v>
      </c>
      <c r="Y1054" s="38" t="n">
        <f aca="false">IF(AND(OR(T1054="Backlog",T1054="Pipeline",T1054="Overdue"),ISNUMBER(W1054)),IF(W1054&lt;=Settings!$B$6,Q1054,0),0)</f>
        <v>0</v>
      </c>
      <c r="Z1054" s="38" t="n">
        <f aca="false">IF(Y1054=0,0,IF(T1054="Backlog",Q1054,Q1054*Dashboard!$C$10))</f>
        <v>0</v>
      </c>
      <c r="AA1054" s="37" t="n">
        <f aca="false">IF($N1054="",0,IF(COUNTIF(Dashboard!$C$13:$C$22,$N1054)&gt;0,1,0))</f>
        <v>0</v>
      </c>
      <c r="AB1054" s="37" t="str">
        <f aca="false">IF($N1054="","",IF(COUNTIF($N$8:$N1054,$N1054)=1,MAX($AB$7:$AB1053)+1,""))</f>
        <v/>
      </c>
    </row>
    <row r="1055" customFormat="false" ht="15" hidden="false" customHeight="false" outlineLevel="0" collapsed="false">
      <c r="L1055" s="37" t="str">
        <f aca="false">IF(INDEX($A1055:$J1055,$L$6)&lt;&gt;"",TRIM(LEFT(INDEX($A1055:$J1055,$L$6),FIND("(",INDEX($A1055:$J1055,$L$6)&amp;"(")-1)),L1054)</f>
        <v>Building Value Proposition</v>
      </c>
      <c r="M1055" s="37" t="str">
        <f aca="false">IF(INDEX($A1055:$J1055,$M$6)="","",INDEX($A1055:$J1055,$M$6)&amp;"")</f>
        <v/>
      </c>
      <c r="N1055" s="37" t="str">
        <f aca="false">IF($M1055="","",TRIM(INDEX($A1055:$J1055,$N$6)&amp;""))</f>
        <v/>
      </c>
      <c r="O1055" s="37" t="str">
        <f aca="false">IF($M1055="","",TRIM(INDEX($A1055:$J1055,$O$6)&amp;""))</f>
        <v/>
      </c>
      <c r="P1055" s="37" t="str">
        <f aca="false">IF($M1055="","",IFERROR(IF(INDEX(Settings!$B$41:$B$50,MATCH(O1055,Settings!$A$41:$A$50,0))&amp;""="","UNMAPPED",INDEX(Settings!$B$41:$B$50,MATCH(O1055,Settings!$A$41:$A$50,0))&amp;""),"UNMAPPED"))</f>
        <v/>
      </c>
      <c r="Q1055" s="38" t="n">
        <f aca="false">IF($M1055="",0,N(INDEX($A1055:$J1055,$Q$6)))</f>
        <v>0</v>
      </c>
      <c r="R1055" s="39" t="str">
        <f aca="false">IF($M1055="","",INDEX($A1055:$J1055,$R$6))</f>
        <v/>
      </c>
      <c r="S1055" s="37" t="str">
        <f aca="false">IF($M1055="","",IFERROR(INDEX(Settings!$B$27:$B$36,MATCH(L1055,Settings!$A$27:$A$36,0))&amp;"","UNMAPPED"))</f>
        <v/>
      </c>
      <c r="T1055" s="37" t="str">
        <f aca="false">IF($M1055="","",IF(NOT(ISNUMBER(R1055)),"NO DATE",IF(S1055="Won",IF(R1055&gt;Settings!$B$5,"Backlog","Delivered"),IF(S1055="Open",IF(R1055&gt;Settings!$B$5,"Pipeline","Overdue"),IF(S1055="Lost","Lost","UNMAPPED")))))</f>
        <v/>
      </c>
      <c r="U1055" s="40" t="n">
        <f aca="false">IF(T1055="Backlog",1,IF(OR(T1055="Pipeline",T1055="Overdue"),N(INDEX(Settings!$C$27:$C$36,MATCH(L1055,Settings!$A$27:$A$36,0))),0))</f>
        <v>0</v>
      </c>
      <c r="V1055" s="38" t="n">
        <f aca="false">Q1055*U1055</f>
        <v>0</v>
      </c>
      <c r="W1055" s="41" t="str">
        <f aca="false">IF($M1055="","",IF(T1055="Overdue",IF(Settings!$B$8="Yes",Settings!$B$7,""),IF(ISNUMBER(R1055),DATE(YEAR(R1055),MONTH(R1055),1),"")))</f>
        <v/>
      </c>
      <c r="X1055" s="38" t="n">
        <f aca="false">IF(AND(OR(T1055="Backlog",T1055="Pipeline",T1055="Overdue"),ISNUMBER(W1055)),IF(W1055&lt;=Settings!$B$6,V1055,0),0)</f>
        <v>0</v>
      </c>
      <c r="Y1055" s="38" t="n">
        <f aca="false">IF(AND(OR(T1055="Backlog",T1055="Pipeline",T1055="Overdue"),ISNUMBER(W1055)),IF(W1055&lt;=Settings!$B$6,Q1055,0),0)</f>
        <v>0</v>
      </c>
      <c r="Z1055" s="38" t="n">
        <f aca="false">IF(Y1055=0,0,IF(T1055="Backlog",Q1055,Q1055*Dashboard!$C$10))</f>
        <v>0</v>
      </c>
      <c r="AA1055" s="37" t="n">
        <f aca="false">IF($N1055="",0,IF(COUNTIF(Dashboard!$C$13:$C$22,$N1055)&gt;0,1,0))</f>
        <v>0</v>
      </c>
      <c r="AB1055" s="37" t="str">
        <f aca="false">IF($N1055="","",IF(COUNTIF($N$8:$N1055,$N1055)=1,MAX($AB$7:$AB1054)+1,""))</f>
        <v/>
      </c>
    </row>
    <row r="1056" customFormat="false" ht="15" hidden="false" customHeight="false" outlineLevel="0" collapsed="false">
      <c r="L1056" s="37" t="str">
        <f aca="false">IF(INDEX($A1056:$J1056,$L$6)&lt;&gt;"",TRIM(LEFT(INDEX($A1056:$J1056,$L$6),FIND("(",INDEX($A1056:$J1056,$L$6)&amp;"(")-1)),L1055)</f>
        <v>Building Value Proposition</v>
      </c>
      <c r="M1056" s="37" t="str">
        <f aca="false">IF(INDEX($A1056:$J1056,$M$6)="","",INDEX($A1056:$J1056,$M$6)&amp;"")</f>
        <v/>
      </c>
      <c r="N1056" s="37" t="str">
        <f aca="false">IF($M1056="","",TRIM(INDEX($A1056:$J1056,$N$6)&amp;""))</f>
        <v/>
      </c>
      <c r="O1056" s="37" t="str">
        <f aca="false">IF($M1056="","",TRIM(INDEX($A1056:$J1056,$O$6)&amp;""))</f>
        <v/>
      </c>
      <c r="P1056" s="37" t="str">
        <f aca="false">IF($M1056="","",IFERROR(IF(INDEX(Settings!$B$41:$B$50,MATCH(O1056,Settings!$A$41:$A$50,0))&amp;""="","UNMAPPED",INDEX(Settings!$B$41:$B$50,MATCH(O1056,Settings!$A$41:$A$50,0))&amp;""),"UNMAPPED"))</f>
        <v/>
      </c>
      <c r="Q1056" s="38" t="n">
        <f aca="false">IF($M1056="",0,N(INDEX($A1056:$J1056,$Q$6)))</f>
        <v>0</v>
      </c>
      <c r="R1056" s="39" t="str">
        <f aca="false">IF($M1056="","",INDEX($A1056:$J1056,$R$6))</f>
        <v/>
      </c>
      <c r="S1056" s="37" t="str">
        <f aca="false">IF($M1056="","",IFERROR(INDEX(Settings!$B$27:$B$36,MATCH(L1056,Settings!$A$27:$A$36,0))&amp;"","UNMAPPED"))</f>
        <v/>
      </c>
      <c r="T1056" s="37" t="str">
        <f aca="false">IF($M1056="","",IF(NOT(ISNUMBER(R1056)),"NO DATE",IF(S1056="Won",IF(R1056&gt;Settings!$B$5,"Backlog","Delivered"),IF(S1056="Open",IF(R1056&gt;Settings!$B$5,"Pipeline","Overdue"),IF(S1056="Lost","Lost","UNMAPPED")))))</f>
        <v/>
      </c>
      <c r="U1056" s="40" t="n">
        <f aca="false">IF(T1056="Backlog",1,IF(OR(T1056="Pipeline",T1056="Overdue"),N(INDEX(Settings!$C$27:$C$36,MATCH(L1056,Settings!$A$27:$A$36,0))),0))</f>
        <v>0</v>
      </c>
      <c r="V1056" s="38" t="n">
        <f aca="false">Q1056*U1056</f>
        <v>0</v>
      </c>
      <c r="W1056" s="41" t="str">
        <f aca="false">IF($M1056="","",IF(T1056="Overdue",IF(Settings!$B$8="Yes",Settings!$B$7,""),IF(ISNUMBER(R1056),DATE(YEAR(R1056),MONTH(R1056),1),"")))</f>
        <v/>
      </c>
      <c r="X1056" s="38" t="n">
        <f aca="false">IF(AND(OR(T1056="Backlog",T1056="Pipeline",T1056="Overdue"),ISNUMBER(W1056)),IF(W1056&lt;=Settings!$B$6,V1056,0),0)</f>
        <v>0</v>
      </c>
      <c r="Y1056" s="38" t="n">
        <f aca="false">IF(AND(OR(T1056="Backlog",T1056="Pipeline",T1056="Overdue"),ISNUMBER(W1056)),IF(W1056&lt;=Settings!$B$6,Q1056,0),0)</f>
        <v>0</v>
      </c>
      <c r="Z1056" s="38" t="n">
        <f aca="false">IF(Y1056=0,0,IF(T1056="Backlog",Q1056,Q1056*Dashboard!$C$10))</f>
        <v>0</v>
      </c>
      <c r="AA1056" s="37" t="n">
        <f aca="false">IF($N1056="",0,IF(COUNTIF(Dashboard!$C$13:$C$22,$N1056)&gt;0,1,0))</f>
        <v>0</v>
      </c>
      <c r="AB1056" s="37" t="str">
        <f aca="false">IF($N1056="","",IF(COUNTIF($N$8:$N1056,$N1056)=1,MAX($AB$7:$AB1055)+1,""))</f>
        <v/>
      </c>
    </row>
    <row r="1057" customFormat="false" ht="15" hidden="false" customHeight="false" outlineLevel="0" collapsed="false">
      <c r="L1057" s="37" t="str">
        <f aca="false">IF(INDEX($A1057:$J1057,$L$6)&lt;&gt;"",TRIM(LEFT(INDEX($A1057:$J1057,$L$6),FIND("(",INDEX($A1057:$J1057,$L$6)&amp;"(")-1)),L1056)</f>
        <v>Building Value Proposition</v>
      </c>
      <c r="M1057" s="37" t="str">
        <f aca="false">IF(INDEX($A1057:$J1057,$M$6)="","",INDEX($A1057:$J1057,$M$6)&amp;"")</f>
        <v/>
      </c>
      <c r="N1057" s="37" t="str">
        <f aca="false">IF($M1057="","",TRIM(INDEX($A1057:$J1057,$N$6)&amp;""))</f>
        <v/>
      </c>
      <c r="O1057" s="37" t="str">
        <f aca="false">IF($M1057="","",TRIM(INDEX($A1057:$J1057,$O$6)&amp;""))</f>
        <v/>
      </c>
      <c r="P1057" s="37" t="str">
        <f aca="false">IF($M1057="","",IFERROR(IF(INDEX(Settings!$B$41:$B$50,MATCH(O1057,Settings!$A$41:$A$50,0))&amp;""="","UNMAPPED",INDEX(Settings!$B$41:$B$50,MATCH(O1057,Settings!$A$41:$A$50,0))&amp;""),"UNMAPPED"))</f>
        <v/>
      </c>
      <c r="Q1057" s="38" t="n">
        <f aca="false">IF($M1057="",0,N(INDEX($A1057:$J1057,$Q$6)))</f>
        <v>0</v>
      </c>
      <c r="R1057" s="39" t="str">
        <f aca="false">IF($M1057="","",INDEX($A1057:$J1057,$R$6))</f>
        <v/>
      </c>
      <c r="S1057" s="37" t="str">
        <f aca="false">IF($M1057="","",IFERROR(INDEX(Settings!$B$27:$B$36,MATCH(L1057,Settings!$A$27:$A$36,0))&amp;"","UNMAPPED"))</f>
        <v/>
      </c>
      <c r="T1057" s="37" t="str">
        <f aca="false">IF($M1057="","",IF(NOT(ISNUMBER(R1057)),"NO DATE",IF(S1057="Won",IF(R1057&gt;Settings!$B$5,"Backlog","Delivered"),IF(S1057="Open",IF(R1057&gt;Settings!$B$5,"Pipeline","Overdue"),IF(S1057="Lost","Lost","UNMAPPED")))))</f>
        <v/>
      </c>
      <c r="U1057" s="40" t="n">
        <f aca="false">IF(T1057="Backlog",1,IF(OR(T1057="Pipeline",T1057="Overdue"),N(INDEX(Settings!$C$27:$C$36,MATCH(L1057,Settings!$A$27:$A$36,0))),0))</f>
        <v>0</v>
      </c>
      <c r="V1057" s="38" t="n">
        <f aca="false">Q1057*U1057</f>
        <v>0</v>
      </c>
      <c r="W1057" s="41" t="str">
        <f aca="false">IF($M1057="","",IF(T1057="Overdue",IF(Settings!$B$8="Yes",Settings!$B$7,""),IF(ISNUMBER(R1057),DATE(YEAR(R1057),MONTH(R1057),1),"")))</f>
        <v/>
      </c>
      <c r="X1057" s="38" t="n">
        <f aca="false">IF(AND(OR(T1057="Backlog",T1057="Pipeline",T1057="Overdue"),ISNUMBER(W1057)),IF(W1057&lt;=Settings!$B$6,V1057,0),0)</f>
        <v>0</v>
      </c>
      <c r="Y1057" s="38" t="n">
        <f aca="false">IF(AND(OR(T1057="Backlog",T1057="Pipeline",T1057="Overdue"),ISNUMBER(W1057)),IF(W1057&lt;=Settings!$B$6,Q1057,0),0)</f>
        <v>0</v>
      </c>
      <c r="Z1057" s="38" t="n">
        <f aca="false">IF(Y1057=0,0,IF(T1057="Backlog",Q1057,Q1057*Dashboard!$C$10))</f>
        <v>0</v>
      </c>
      <c r="AA1057" s="37" t="n">
        <f aca="false">IF($N1057="",0,IF(COUNTIF(Dashboard!$C$13:$C$22,$N1057)&gt;0,1,0))</f>
        <v>0</v>
      </c>
      <c r="AB1057" s="37" t="str">
        <f aca="false">IF($N1057="","",IF(COUNTIF($N$8:$N1057,$N1057)=1,MAX($AB$7:$AB1056)+1,""))</f>
        <v/>
      </c>
    </row>
    <row r="1058" customFormat="false" ht="15" hidden="false" customHeight="false" outlineLevel="0" collapsed="false">
      <c r="L1058" s="37" t="str">
        <f aca="false">IF(INDEX($A1058:$J1058,$L$6)&lt;&gt;"",TRIM(LEFT(INDEX($A1058:$J1058,$L$6),FIND("(",INDEX($A1058:$J1058,$L$6)&amp;"(")-1)),L1057)</f>
        <v>Building Value Proposition</v>
      </c>
      <c r="M1058" s="37" t="str">
        <f aca="false">IF(INDEX($A1058:$J1058,$M$6)="","",INDEX($A1058:$J1058,$M$6)&amp;"")</f>
        <v/>
      </c>
      <c r="N1058" s="37" t="str">
        <f aca="false">IF($M1058="","",TRIM(INDEX($A1058:$J1058,$N$6)&amp;""))</f>
        <v/>
      </c>
      <c r="O1058" s="37" t="str">
        <f aca="false">IF($M1058="","",TRIM(INDEX($A1058:$J1058,$O$6)&amp;""))</f>
        <v/>
      </c>
      <c r="P1058" s="37" t="str">
        <f aca="false">IF($M1058="","",IFERROR(IF(INDEX(Settings!$B$41:$B$50,MATCH(O1058,Settings!$A$41:$A$50,0))&amp;""="","UNMAPPED",INDEX(Settings!$B$41:$B$50,MATCH(O1058,Settings!$A$41:$A$50,0))&amp;""),"UNMAPPED"))</f>
        <v/>
      </c>
      <c r="Q1058" s="38" t="n">
        <f aca="false">IF($M1058="",0,N(INDEX($A1058:$J1058,$Q$6)))</f>
        <v>0</v>
      </c>
      <c r="R1058" s="39" t="str">
        <f aca="false">IF($M1058="","",INDEX($A1058:$J1058,$R$6))</f>
        <v/>
      </c>
      <c r="S1058" s="37" t="str">
        <f aca="false">IF($M1058="","",IFERROR(INDEX(Settings!$B$27:$B$36,MATCH(L1058,Settings!$A$27:$A$36,0))&amp;"","UNMAPPED"))</f>
        <v/>
      </c>
      <c r="T1058" s="37" t="str">
        <f aca="false">IF($M1058="","",IF(NOT(ISNUMBER(R1058)),"NO DATE",IF(S1058="Won",IF(R1058&gt;Settings!$B$5,"Backlog","Delivered"),IF(S1058="Open",IF(R1058&gt;Settings!$B$5,"Pipeline","Overdue"),IF(S1058="Lost","Lost","UNMAPPED")))))</f>
        <v/>
      </c>
      <c r="U1058" s="40" t="n">
        <f aca="false">IF(T1058="Backlog",1,IF(OR(T1058="Pipeline",T1058="Overdue"),N(INDEX(Settings!$C$27:$C$36,MATCH(L1058,Settings!$A$27:$A$36,0))),0))</f>
        <v>0</v>
      </c>
      <c r="V1058" s="38" t="n">
        <f aca="false">Q1058*U1058</f>
        <v>0</v>
      </c>
      <c r="W1058" s="41" t="str">
        <f aca="false">IF($M1058="","",IF(T1058="Overdue",IF(Settings!$B$8="Yes",Settings!$B$7,""),IF(ISNUMBER(R1058),DATE(YEAR(R1058),MONTH(R1058),1),"")))</f>
        <v/>
      </c>
      <c r="X1058" s="38" t="n">
        <f aca="false">IF(AND(OR(T1058="Backlog",T1058="Pipeline",T1058="Overdue"),ISNUMBER(W1058)),IF(W1058&lt;=Settings!$B$6,V1058,0),0)</f>
        <v>0</v>
      </c>
      <c r="Y1058" s="38" t="n">
        <f aca="false">IF(AND(OR(T1058="Backlog",T1058="Pipeline",T1058="Overdue"),ISNUMBER(W1058)),IF(W1058&lt;=Settings!$B$6,Q1058,0),0)</f>
        <v>0</v>
      </c>
      <c r="Z1058" s="38" t="n">
        <f aca="false">IF(Y1058=0,0,IF(T1058="Backlog",Q1058,Q1058*Dashboard!$C$10))</f>
        <v>0</v>
      </c>
      <c r="AA1058" s="37" t="n">
        <f aca="false">IF($N1058="",0,IF(COUNTIF(Dashboard!$C$13:$C$22,$N1058)&gt;0,1,0))</f>
        <v>0</v>
      </c>
      <c r="AB1058" s="37" t="str">
        <f aca="false">IF($N1058="","",IF(COUNTIF($N$8:$N1058,$N1058)=1,MAX($AB$7:$AB1057)+1,""))</f>
        <v/>
      </c>
    </row>
    <row r="1059" customFormat="false" ht="15" hidden="false" customHeight="false" outlineLevel="0" collapsed="false">
      <c r="L1059" s="37" t="str">
        <f aca="false">IF(INDEX($A1059:$J1059,$L$6)&lt;&gt;"",TRIM(LEFT(INDEX($A1059:$J1059,$L$6),FIND("(",INDEX($A1059:$J1059,$L$6)&amp;"(")-1)),L1058)</f>
        <v>Building Value Proposition</v>
      </c>
      <c r="M1059" s="37" t="str">
        <f aca="false">IF(INDEX($A1059:$J1059,$M$6)="","",INDEX($A1059:$J1059,$M$6)&amp;"")</f>
        <v/>
      </c>
      <c r="N1059" s="37" t="str">
        <f aca="false">IF($M1059="","",TRIM(INDEX($A1059:$J1059,$N$6)&amp;""))</f>
        <v/>
      </c>
      <c r="O1059" s="37" t="str">
        <f aca="false">IF($M1059="","",TRIM(INDEX($A1059:$J1059,$O$6)&amp;""))</f>
        <v/>
      </c>
      <c r="P1059" s="37" t="str">
        <f aca="false">IF($M1059="","",IFERROR(IF(INDEX(Settings!$B$41:$B$50,MATCH(O1059,Settings!$A$41:$A$50,0))&amp;""="","UNMAPPED",INDEX(Settings!$B$41:$B$50,MATCH(O1059,Settings!$A$41:$A$50,0))&amp;""),"UNMAPPED"))</f>
        <v/>
      </c>
      <c r="Q1059" s="38" t="n">
        <f aca="false">IF($M1059="",0,N(INDEX($A1059:$J1059,$Q$6)))</f>
        <v>0</v>
      </c>
      <c r="R1059" s="39" t="str">
        <f aca="false">IF($M1059="","",INDEX($A1059:$J1059,$R$6))</f>
        <v/>
      </c>
      <c r="S1059" s="37" t="str">
        <f aca="false">IF($M1059="","",IFERROR(INDEX(Settings!$B$27:$B$36,MATCH(L1059,Settings!$A$27:$A$36,0))&amp;"","UNMAPPED"))</f>
        <v/>
      </c>
      <c r="T1059" s="37" t="str">
        <f aca="false">IF($M1059="","",IF(NOT(ISNUMBER(R1059)),"NO DATE",IF(S1059="Won",IF(R1059&gt;Settings!$B$5,"Backlog","Delivered"),IF(S1059="Open",IF(R1059&gt;Settings!$B$5,"Pipeline","Overdue"),IF(S1059="Lost","Lost","UNMAPPED")))))</f>
        <v/>
      </c>
      <c r="U1059" s="40" t="n">
        <f aca="false">IF(T1059="Backlog",1,IF(OR(T1059="Pipeline",T1059="Overdue"),N(INDEX(Settings!$C$27:$C$36,MATCH(L1059,Settings!$A$27:$A$36,0))),0))</f>
        <v>0</v>
      </c>
      <c r="V1059" s="38" t="n">
        <f aca="false">Q1059*U1059</f>
        <v>0</v>
      </c>
      <c r="W1059" s="41" t="str">
        <f aca="false">IF($M1059="","",IF(T1059="Overdue",IF(Settings!$B$8="Yes",Settings!$B$7,""),IF(ISNUMBER(R1059),DATE(YEAR(R1059),MONTH(R1059),1),"")))</f>
        <v/>
      </c>
      <c r="X1059" s="38" t="n">
        <f aca="false">IF(AND(OR(T1059="Backlog",T1059="Pipeline",T1059="Overdue"),ISNUMBER(W1059)),IF(W1059&lt;=Settings!$B$6,V1059,0),0)</f>
        <v>0</v>
      </c>
      <c r="Y1059" s="38" t="n">
        <f aca="false">IF(AND(OR(T1059="Backlog",T1059="Pipeline",T1059="Overdue"),ISNUMBER(W1059)),IF(W1059&lt;=Settings!$B$6,Q1059,0),0)</f>
        <v>0</v>
      </c>
      <c r="Z1059" s="38" t="n">
        <f aca="false">IF(Y1059=0,0,IF(T1059="Backlog",Q1059,Q1059*Dashboard!$C$10))</f>
        <v>0</v>
      </c>
      <c r="AA1059" s="37" t="n">
        <f aca="false">IF($N1059="",0,IF(COUNTIF(Dashboard!$C$13:$C$22,$N1059)&gt;0,1,0))</f>
        <v>0</v>
      </c>
      <c r="AB1059" s="37" t="str">
        <f aca="false">IF($N1059="","",IF(COUNTIF($N$8:$N1059,$N1059)=1,MAX($AB$7:$AB1058)+1,""))</f>
        <v/>
      </c>
    </row>
    <row r="1060" customFormat="false" ht="15" hidden="false" customHeight="false" outlineLevel="0" collapsed="false">
      <c r="L1060" s="37" t="str">
        <f aca="false">IF(INDEX($A1060:$J1060,$L$6)&lt;&gt;"",TRIM(LEFT(INDEX($A1060:$J1060,$L$6),FIND("(",INDEX($A1060:$J1060,$L$6)&amp;"(")-1)),L1059)</f>
        <v>Building Value Proposition</v>
      </c>
      <c r="M1060" s="37" t="str">
        <f aca="false">IF(INDEX($A1060:$J1060,$M$6)="","",INDEX($A1060:$J1060,$M$6)&amp;"")</f>
        <v/>
      </c>
      <c r="N1060" s="37" t="str">
        <f aca="false">IF($M1060="","",TRIM(INDEX($A1060:$J1060,$N$6)&amp;""))</f>
        <v/>
      </c>
      <c r="O1060" s="37" t="str">
        <f aca="false">IF($M1060="","",TRIM(INDEX($A1060:$J1060,$O$6)&amp;""))</f>
        <v/>
      </c>
      <c r="P1060" s="37" t="str">
        <f aca="false">IF($M1060="","",IFERROR(IF(INDEX(Settings!$B$41:$B$50,MATCH(O1060,Settings!$A$41:$A$50,0))&amp;""="","UNMAPPED",INDEX(Settings!$B$41:$B$50,MATCH(O1060,Settings!$A$41:$A$50,0))&amp;""),"UNMAPPED"))</f>
        <v/>
      </c>
      <c r="Q1060" s="38" t="n">
        <f aca="false">IF($M1060="",0,N(INDEX($A1060:$J1060,$Q$6)))</f>
        <v>0</v>
      </c>
      <c r="R1060" s="39" t="str">
        <f aca="false">IF($M1060="","",INDEX($A1060:$J1060,$R$6))</f>
        <v/>
      </c>
      <c r="S1060" s="37" t="str">
        <f aca="false">IF($M1060="","",IFERROR(INDEX(Settings!$B$27:$B$36,MATCH(L1060,Settings!$A$27:$A$36,0))&amp;"","UNMAPPED"))</f>
        <v/>
      </c>
      <c r="T1060" s="37" t="str">
        <f aca="false">IF($M1060="","",IF(NOT(ISNUMBER(R1060)),"NO DATE",IF(S1060="Won",IF(R1060&gt;Settings!$B$5,"Backlog","Delivered"),IF(S1060="Open",IF(R1060&gt;Settings!$B$5,"Pipeline","Overdue"),IF(S1060="Lost","Lost","UNMAPPED")))))</f>
        <v/>
      </c>
      <c r="U1060" s="40" t="n">
        <f aca="false">IF(T1060="Backlog",1,IF(OR(T1060="Pipeline",T1060="Overdue"),N(INDEX(Settings!$C$27:$C$36,MATCH(L1060,Settings!$A$27:$A$36,0))),0))</f>
        <v>0</v>
      </c>
      <c r="V1060" s="38" t="n">
        <f aca="false">Q1060*U1060</f>
        <v>0</v>
      </c>
      <c r="W1060" s="41" t="str">
        <f aca="false">IF($M1060="","",IF(T1060="Overdue",IF(Settings!$B$8="Yes",Settings!$B$7,""),IF(ISNUMBER(R1060),DATE(YEAR(R1060),MONTH(R1060),1),"")))</f>
        <v/>
      </c>
      <c r="X1060" s="38" t="n">
        <f aca="false">IF(AND(OR(T1060="Backlog",T1060="Pipeline",T1060="Overdue"),ISNUMBER(W1060)),IF(W1060&lt;=Settings!$B$6,V1060,0),0)</f>
        <v>0</v>
      </c>
      <c r="Y1060" s="38" t="n">
        <f aca="false">IF(AND(OR(T1060="Backlog",T1060="Pipeline",T1060="Overdue"),ISNUMBER(W1060)),IF(W1060&lt;=Settings!$B$6,Q1060,0),0)</f>
        <v>0</v>
      </c>
      <c r="Z1060" s="38" t="n">
        <f aca="false">IF(Y1060=0,0,IF(T1060="Backlog",Q1060,Q1060*Dashboard!$C$10))</f>
        <v>0</v>
      </c>
      <c r="AA1060" s="37" t="n">
        <f aca="false">IF($N1060="",0,IF(COUNTIF(Dashboard!$C$13:$C$22,$N1060)&gt;0,1,0))</f>
        <v>0</v>
      </c>
      <c r="AB1060" s="37" t="str">
        <f aca="false">IF($N1060="","",IF(COUNTIF($N$8:$N1060,$N1060)=1,MAX($AB$7:$AB1059)+1,""))</f>
        <v/>
      </c>
    </row>
    <row r="1061" customFormat="false" ht="15" hidden="false" customHeight="false" outlineLevel="0" collapsed="false">
      <c r="L1061" s="37" t="str">
        <f aca="false">IF(INDEX($A1061:$J1061,$L$6)&lt;&gt;"",TRIM(LEFT(INDEX($A1061:$J1061,$L$6),FIND("(",INDEX($A1061:$J1061,$L$6)&amp;"(")-1)),L1060)</f>
        <v>Building Value Proposition</v>
      </c>
      <c r="M1061" s="37" t="str">
        <f aca="false">IF(INDEX($A1061:$J1061,$M$6)="","",INDEX($A1061:$J1061,$M$6)&amp;"")</f>
        <v/>
      </c>
      <c r="N1061" s="37" t="str">
        <f aca="false">IF($M1061="","",TRIM(INDEX($A1061:$J1061,$N$6)&amp;""))</f>
        <v/>
      </c>
      <c r="O1061" s="37" t="str">
        <f aca="false">IF($M1061="","",TRIM(INDEX($A1061:$J1061,$O$6)&amp;""))</f>
        <v/>
      </c>
      <c r="P1061" s="37" t="str">
        <f aca="false">IF($M1061="","",IFERROR(IF(INDEX(Settings!$B$41:$B$50,MATCH(O1061,Settings!$A$41:$A$50,0))&amp;""="","UNMAPPED",INDEX(Settings!$B$41:$B$50,MATCH(O1061,Settings!$A$41:$A$50,0))&amp;""),"UNMAPPED"))</f>
        <v/>
      </c>
      <c r="Q1061" s="38" t="n">
        <f aca="false">IF($M1061="",0,N(INDEX($A1061:$J1061,$Q$6)))</f>
        <v>0</v>
      </c>
      <c r="R1061" s="39" t="str">
        <f aca="false">IF($M1061="","",INDEX($A1061:$J1061,$R$6))</f>
        <v/>
      </c>
      <c r="S1061" s="37" t="str">
        <f aca="false">IF($M1061="","",IFERROR(INDEX(Settings!$B$27:$B$36,MATCH(L1061,Settings!$A$27:$A$36,0))&amp;"","UNMAPPED"))</f>
        <v/>
      </c>
      <c r="T1061" s="37" t="str">
        <f aca="false">IF($M1061="","",IF(NOT(ISNUMBER(R1061)),"NO DATE",IF(S1061="Won",IF(R1061&gt;Settings!$B$5,"Backlog","Delivered"),IF(S1061="Open",IF(R1061&gt;Settings!$B$5,"Pipeline","Overdue"),IF(S1061="Lost","Lost","UNMAPPED")))))</f>
        <v/>
      </c>
      <c r="U1061" s="40" t="n">
        <f aca="false">IF(T1061="Backlog",1,IF(OR(T1061="Pipeline",T1061="Overdue"),N(INDEX(Settings!$C$27:$C$36,MATCH(L1061,Settings!$A$27:$A$36,0))),0))</f>
        <v>0</v>
      </c>
      <c r="V1061" s="38" t="n">
        <f aca="false">Q1061*U1061</f>
        <v>0</v>
      </c>
      <c r="W1061" s="41" t="str">
        <f aca="false">IF($M1061="","",IF(T1061="Overdue",IF(Settings!$B$8="Yes",Settings!$B$7,""),IF(ISNUMBER(R1061),DATE(YEAR(R1061),MONTH(R1061),1),"")))</f>
        <v/>
      </c>
      <c r="X1061" s="38" t="n">
        <f aca="false">IF(AND(OR(T1061="Backlog",T1061="Pipeline",T1061="Overdue"),ISNUMBER(W1061)),IF(W1061&lt;=Settings!$B$6,V1061,0),0)</f>
        <v>0</v>
      </c>
      <c r="Y1061" s="38" t="n">
        <f aca="false">IF(AND(OR(T1061="Backlog",T1061="Pipeline",T1061="Overdue"),ISNUMBER(W1061)),IF(W1061&lt;=Settings!$B$6,Q1061,0),0)</f>
        <v>0</v>
      </c>
      <c r="Z1061" s="38" t="n">
        <f aca="false">IF(Y1061=0,0,IF(T1061="Backlog",Q1061,Q1061*Dashboard!$C$10))</f>
        <v>0</v>
      </c>
      <c r="AA1061" s="37" t="n">
        <f aca="false">IF($N1061="",0,IF(COUNTIF(Dashboard!$C$13:$C$22,$N1061)&gt;0,1,0))</f>
        <v>0</v>
      </c>
      <c r="AB1061" s="37" t="str">
        <f aca="false">IF($N1061="","",IF(COUNTIF($N$8:$N1061,$N1061)=1,MAX($AB$7:$AB1060)+1,""))</f>
        <v/>
      </c>
    </row>
    <row r="1062" customFormat="false" ht="15" hidden="false" customHeight="false" outlineLevel="0" collapsed="false">
      <c r="L1062" s="37" t="str">
        <f aca="false">IF(INDEX($A1062:$J1062,$L$6)&lt;&gt;"",TRIM(LEFT(INDEX($A1062:$J1062,$L$6),FIND("(",INDEX($A1062:$J1062,$L$6)&amp;"(")-1)),L1061)</f>
        <v>Building Value Proposition</v>
      </c>
      <c r="M1062" s="37" t="str">
        <f aca="false">IF(INDEX($A1062:$J1062,$M$6)="","",INDEX($A1062:$J1062,$M$6)&amp;"")</f>
        <v/>
      </c>
      <c r="N1062" s="37" t="str">
        <f aca="false">IF($M1062="","",TRIM(INDEX($A1062:$J1062,$N$6)&amp;""))</f>
        <v/>
      </c>
      <c r="O1062" s="37" t="str">
        <f aca="false">IF($M1062="","",TRIM(INDEX($A1062:$J1062,$O$6)&amp;""))</f>
        <v/>
      </c>
      <c r="P1062" s="37" t="str">
        <f aca="false">IF($M1062="","",IFERROR(IF(INDEX(Settings!$B$41:$B$50,MATCH(O1062,Settings!$A$41:$A$50,0))&amp;""="","UNMAPPED",INDEX(Settings!$B$41:$B$50,MATCH(O1062,Settings!$A$41:$A$50,0))&amp;""),"UNMAPPED"))</f>
        <v/>
      </c>
      <c r="Q1062" s="38" t="n">
        <f aca="false">IF($M1062="",0,N(INDEX($A1062:$J1062,$Q$6)))</f>
        <v>0</v>
      </c>
      <c r="R1062" s="39" t="str">
        <f aca="false">IF($M1062="","",INDEX($A1062:$J1062,$R$6))</f>
        <v/>
      </c>
      <c r="S1062" s="37" t="str">
        <f aca="false">IF($M1062="","",IFERROR(INDEX(Settings!$B$27:$B$36,MATCH(L1062,Settings!$A$27:$A$36,0))&amp;"","UNMAPPED"))</f>
        <v/>
      </c>
      <c r="T1062" s="37" t="str">
        <f aca="false">IF($M1062="","",IF(NOT(ISNUMBER(R1062)),"NO DATE",IF(S1062="Won",IF(R1062&gt;Settings!$B$5,"Backlog","Delivered"),IF(S1062="Open",IF(R1062&gt;Settings!$B$5,"Pipeline","Overdue"),IF(S1062="Lost","Lost","UNMAPPED")))))</f>
        <v/>
      </c>
      <c r="U1062" s="40" t="n">
        <f aca="false">IF(T1062="Backlog",1,IF(OR(T1062="Pipeline",T1062="Overdue"),N(INDEX(Settings!$C$27:$C$36,MATCH(L1062,Settings!$A$27:$A$36,0))),0))</f>
        <v>0</v>
      </c>
      <c r="V1062" s="38" t="n">
        <f aca="false">Q1062*U1062</f>
        <v>0</v>
      </c>
      <c r="W1062" s="41" t="str">
        <f aca="false">IF($M1062="","",IF(T1062="Overdue",IF(Settings!$B$8="Yes",Settings!$B$7,""),IF(ISNUMBER(R1062),DATE(YEAR(R1062),MONTH(R1062),1),"")))</f>
        <v/>
      </c>
      <c r="X1062" s="38" t="n">
        <f aca="false">IF(AND(OR(T1062="Backlog",T1062="Pipeline",T1062="Overdue"),ISNUMBER(W1062)),IF(W1062&lt;=Settings!$B$6,V1062,0),0)</f>
        <v>0</v>
      </c>
      <c r="Y1062" s="38" t="n">
        <f aca="false">IF(AND(OR(T1062="Backlog",T1062="Pipeline",T1062="Overdue"),ISNUMBER(W1062)),IF(W1062&lt;=Settings!$B$6,Q1062,0),0)</f>
        <v>0</v>
      </c>
      <c r="Z1062" s="38" t="n">
        <f aca="false">IF(Y1062=0,0,IF(T1062="Backlog",Q1062,Q1062*Dashboard!$C$10))</f>
        <v>0</v>
      </c>
      <c r="AA1062" s="37" t="n">
        <f aca="false">IF($N1062="",0,IF(COUNTIF(Dashboard!$C$13:$C$22,$N1062)&gt;0,1,0))</f>
        <v>0</v>
      </c>
      <c r="AB1062" s="37" t="str">
        <f aca="false">IF($N1062="","",IF(COUNTIF($N$8:$N1062,$N1062)=1,MAX($AB$7:$AB1061)+1,""))</f>
        <v/>
      </c>
    </row>
    <row r="1063" customFormat="false" ht="15" hidden="false" customHeight="false" outlineLevel="0" collapsed="false">
      <c r="L1063" s="37" t="str">
        <f aca="false">IF(INDEX($A1063:$J1063,$L$6)&lt;&gt;"",TRIM(LEFT(INDEX($A1063:$J1063,$L$6),FIND("(",INDEX($A1063:$J1063,$L$6)&amp;"(")-1)),L1062)</f>
        <v>Building Value Proposition</v>
      </c>
      <c r="M1063" s="37" t="str">
        <f aca="false">IF(INDEX($A1063:$J1063,$M$6)="","",INDEX($A1063:$J1063,$M$6)&amp;"")</f>
        <v/>
      </c>
      <c r="N1063" s="37" t="str">
        <f aca="false">IF($M1063="","",TRIM(INDEX($A1063:$J1063,$N$6)&amp;""))</f>
        <v/>
      </c>
      <c r="O1063" s="37" t="str">
        <f aca="false">IF($M1063="","",TRIM(INDEX($A1063:$J1063,$O$6)&amp;""))</f>
        <v/>
      </c>
      <c r="P1063" s="37" t="str">
        <f aca="false">IF($M1063="","",IFERROR(IF(INDEX(Settings!$B$41:$B$50,MATCH(O1063,Settings!$A$41:$A$50,0))&amp;""="","UNMAPPED",INDEX(Settings!$B$41:$B$50,MATCH(O1063,Settings!$A$41:$A$50,0))&amp;""),"UNMAPPED"))</f>
        <v/>
      </c>
      <c r="Q1063" s="38" t="n">
        <f aca="false">IF($M1063="",0,N(INDEX($A1063:$J1063,$Q$6)))</f>
        <v>0</v>
      </c>
      <c r="R1063" s="39" t="str">
        <f aca="false">IF($M1063="","",INDEX($A1063:$J1063,$R$6))</f>
        <v/>
      </c>
      <c r="S1063" s="37" t="str">
        <f aca="false">IF($M1063="","",IFERROR(INDEX(Settings!$B$27:$B$36,MATCH(L1063,Settings!$A$27:$A$36,0))&amp;"","UNMAPPED"))</f>
        <v/>
      </c>
      <c r="T1063" s="37" t="str">
        <f aca="false">IF($M1063="","",IF(NOT(ISNUMBER(R1063)),"NO DATE",IF(S1063="Won",IF(R1063&gt;Settings!$B$5,"Backlog","Delivered"),IF(S1063="Open",IF(R1063&gt;Settings!$B$5,"Pipeline","Overdue"),IF(S1063="Lost","Lost","UNMAPPED")))))</f>
        <v/>
      </c>
      <c r="U1063" s="40" t="n">
        <f aca="false">IF(T1063="Backlog",1,IF(OR(T1063="Pipeline",T1063="Overdue"),N(INDEX(Settings!$C$27:$C$36,MATCH(L1063,Settings!$A$27:$A$36,0))),0))</f>
        <v>0</v>
      </c>
      <c r="V1063" s="38" t="n">
        <f aca="false">Q1063*U1063</f>
        <v>0</v>
      </c>
      <c r="W1063" s="41" t="str">
        <f aca="false">IF($M1063="","",IF(T1063="Overdue",IF(Settings!$B$8="Yes",Settings!$B$7,""),IF(ISNUMBER(R1063),DATE(YEAR(R1063),MONTH(R1063),1),"")))</f>
        <v/>
      </c>
      <c r="X1063" s="38" t="n">
        <f aca="false">IF(AND(OR(T1063="Backlog",T1063="Pipeline",T1063="Overdue"),ISNUMBER(W1063)),IF(W1063&lt;=Settings!$B$6,V1063,0),0)</f>
        <v>0</v>
      </c>
      <c r="Y1063" s="38" t="n">
        <f aca="false">IF(AND(OR(T1063="Backlog",T1063="Pipeline",T1063="Overdue"),ISNUMBER(W1063)),IF(W1063&lt;=Settings!$B$6,Q1063,0),0)</f>
        <v>0</v>
      </c>
      <c r="Z1063" s="38" t="n">
        <f aca="false">IF(Y1063=0,0,IF(T1063="Backlog",Q1063,Q1063*Dashboard!$C$10))</f>
        <v>0</v>
      </c>
      <c r="AA1063" s="37" t="n">
        <f aca="false">IF($N1063="",0,IF(COUNTIF(Dashboard!$C$13:$C$22,$N1063)&gt;0,1,0))</f>
        <v>0</v>
      </c>
      <c r="AB1063" s="37" t="str">
        <f aca="false">IF($N1063="","",IF(COUNTIF($N$8:$N1063,$N1063)=1,MAX($AB$7:$AB1062)+1,""))</f>
        <v/>
      </c>
    </row>
    <row r="1064" customFormat="false" ht="15" hidden="false" customHeight="false" outlineLevel="0" collapsed="false">
      <c r="L1064" s="37" t="str">
        <f aca="false">IF(INDEX($A1064:$J1064,$L$6)&lt;&gt;"",TRIM(LEFT(INDEX($A1064:$J1064,$L$6),FIND("(",INDEX($A1064:$J1064,$L$6)&amp;"(")-1)),L1063)</f>
        <v>Building Value Proposition</v>
      </c>
      <c r="M1064" s="37" t="str">
        <f aca="false">IF(INDEX($A1064:$J1064,$M$6)="","",INDEX($A1064:$J1064,$M$6)&amp;"")</f>
        <v/>
      </c>
      <c r="N1064" s="37" t="str">
        <f aca="false">IF($M1064="","",TRIM(INDEX($A1064:$J1064,$N$6)&amp;""))</f>
        <v/>
      </c>
      <c r="O1064" s="37" t="str">
        <f aca="false">IF($M1064="","",TRIM(INDEX($A1064:$J1064,$O$6)&amp;""))</f>
        <v/>
      </c>
      <c r="P1064" s="37" t="str">
        <f aca="false">IF($M1064="","",IFERROR(IF(INDEX(Settings!$B$41:$B$50,MATCH(O1064,Settings!$A$41:$A$50,0))&amp;""="","UNMAPPED",INDEX(Settings!$B$41:$B$50,MATCH(O1064,Settings!$A$41:$A$50,0))&amp;""),"UNMAPPED"))</f>
        <v/>
      </c>
      <c r="Q1064" s="38" t="n">
        <f aca="false">IF($M1064="",0,N(INDEX($A1064:$J1064,$Q$6)))</f>
        <v>0</v>
      </c>
      <c r="R1064" s="39" t="str">
        <f aca="false">IF($M1064="","",INDEX($A1064:$J1064,$R$6))</f>
        <v/>
      </c>
      <c r="S1064" s="37" t="str">
        <f aca="false">IF($M1064="","",IFERROR(INDEX(Settings!$B$27:$B$36,MATCH(L1064,Settings!$A$27:$A$36,0))&amp;"","UNMAPPED"))</f>
        <v/>
      </c>
      <c r="T1064" s="37" t="str">
        <f aca="false">IF($M1064="","",IF(NOT(ISNUMBER(R1064)),"NO DATE",IF(S1064="Won",IF(R1064&gt;Settings!$B$5,"Backlog","Delivered"),IF(S1064="Open",IF(R1064&gt;Settings!$B$5,"Pipeline","Overdue"),IF(S1064="Lost","Lost","UNMAPPED")))))</f>
        <v/>
      </c>
      <c r="U1064" s="40" t="n">
        <f aca="false">IF(T1064="Backlog",1,IF(OR(T1064="Pipeline",T1064="Overdue"),N(INDEX(Settings!$C$27:$C$36,MATCH(L1064,Settings!$A$27:$A$36,0))),0))</f>
        <v>0</v>
      </c>
      <c r="V1064" s="38" t="n">
        <f aca="false">Q1064*U1064</f>
        <v>0</v>
      </c>
      <c r="W1064" s="41" t="str">
        <f aca="false">IF($M1064="","",IF(T1064="Overdue",IF(Settings!$B$8="Yes",Settings!$B$7,""),IF(ISNUMBER(R1064),DATE(YEAR(R1064),MONTH(R1064),1),"")))</f>
        <v/>
      </c>
      <c r="X1064" s="38" t="n">
        <f aca="false">IF(AND(OR(T1064="Backlog",T1064="Pipeline",T1064="Overdue"),ISNUMBER(W1064)),IF(W1064&lt;=Settings!$B$6,V1064,0),0)</f>
        <v>0</v>
      </c>
      <c r="Y1064" s="38" t="n">
        <f aca="false">IF(AND(OR(T1064="Backlog",T1064="Pipeline",T1064="Overdue"),ISNUMBER(W1064)),IF(W1064&lt;=Settings!$B$6,Q1064,0),0)</f>
        <v>0</v>
      </c>
      <c r="Z1064" s="38" t="n">
        <f aca="false">IF(Y1064=0,0,IF(T1064="Backlog",Q1064,Q1064*Dashboard!$C$10))</f>
        <v>0</v>
      </c>
      <c r="AA1064" s="37" t="n">
        <f aca="false">IF($N1064="",0,IF(COUNTIF(Dashboard!$C$13:$C$22,$N1064)&gt;0,1,0))</f>
        <v>0</v>
      </c>
      <c r="AB1064" s="37" t="str">
        <f aca="false">IF($N1064="","",IF(COUNTIF($N$8:$N1064,$N1064)=1,MAX($AB$7:$AB1063)+1,""))</f>
        <v/>
      </c>
    </row>
    <row r="1065" customFormat="false" ht="15" hidden="false" customHeight="false" outlineLevel="0" collapsed="false">
      <c r="L1065" s="37" t="str">
        <f aca="false">IF(INDEX($A1065:$J1065,$L$6)&lt;&gt;"",TRIM(LEFT(INDEX($A1065:$J1065,$L$6),FIND("(",INDEX($A1065:$J1065,$L$6)&amp;"(")-1)),L1064)</f>
        <v>Building Value Proposition</v>
      </c>
      <c r="M1065" s="37" t="str">
        <f aca="false">IF(INDEX($A1065:$J1065,$M$6)="","",INDEX($A1065:$J1065,$M$6)&amp;"")</f>
        <v/>
      </c>
      <c r="N1065" s="37" t="str">
        <f aca="false">IF($M1065="","",TRIM(INDEX($A1065:$J1065,$N$6)&amp;""))</f>
        <v/>
      </c>
      <c r="O1065" s="37" t="str">
        <f aca="false">IF($M1065="","",TRIM(INDEX($A1065:$J1065,$O$6)&amp;""))</f>
        <v/>
      </c>
      <c r="P1065" s="37" t="str">
        <f aca="false">IF($M1065="","",IFERROR(IF(INDEX(Settings!$B$41:$B$50,MATCH(O1065,Settings!$A$41:$A$50,0))&amp;""="","UNMAPPED",INDEX(Settings!$B$41:$B$50,MATCH(O1065,Settings!$A$41:$A$50,0))&amp;""),"UNMAPPED"))</f>
        <v/>
      </c>
      <c r="Q1065" s="38" t="n">
        <f aca="false">IF($M1065="",0,N(INDEX($A1065:$J1065,$Q$6)))</f>
        <v>0</v>
      </c>
      <c r="R1065" s="39" t="str">
        <f aca="false">IF($M1065="","",INDEX($A1065:$J1065,$R$6))</f>
        <v/>
      </c>
      <c r="S1065" s="37" t="str">
        <f aca="false">IF($M1065="","",IFERROR(INDEX(Settings!$B$27:$B$36,MATCH(L1065,Settings!$A$27:$A$36,0))&amp;"","UNMAPPED"))</f>
        <v/>
      </c>
      <c r="T1065" s="37" t="str">
        <f aca="false">IF($M1065="","",IF(NOT(ISNUMBER(R1065)),"NO DATE",IF(S1065="Won",IF(R1065&gt;Settings!$B$5,"Backlog","Delivered"),IF(S1065="Open",IF(R1065&gt;Settings!$B$5,"Pipeline","Overdue"),IF(S1065="Lost","Lost","UNMAPPED")))))</f>
        <v/>
      </c>
      <c r="U1065" s="40" t="n">
        <f aca="false">IF(T1065="Backlog",1,IF(OR(T1065="Pipeline",T1065="Overdue"),N(INDEX(Settings!$C$27:$C$36,MATCH(L1065,Settings!$A$27:$A$36,0))),0))</f>
        <v>0</v>
      </c>
      <c r="V1065" s="38" t="n">
        <f aca="false">Q1065*U1065</f>
        <v>0</v>
      </c>
      <c r="W1065" s="41" t="str">
        <f aca="false">IF($M1065="","",IF(T1065="Overdue",IF(Settings!$B$8="Yes",Settings!$B$7,""),IF(ISNUMBER(R1065),DATE(YEAR(R1065),MONTH(R1065),1),"")))</f>
        <v/>
      </c>
      <c r="X1065" s="38" t="n">
        <f aca="false">IF(AND(OR(T1065="Backlog",T1065="Pipeline",T1065="Overdue"),ISNUMBER(W1065)),IF(W1065&lt;=Settings!$B$6,V1065,0),0)</f>
        <v>0</v>
      </c>
      <c r="Y1065" s="38" t="n">
        <f aca="false">IF(AND(OR(T1065="Backlog",T1065="Pipeline",T1065="Overdue"),ISNUMBER(W1065)),IF(W1065&lt;=Settings!$B$6,Q1065,0),0)</f>
        <v>0</v>
      </c>
      <c r="Z1065" s="38" t="n">
        <f aca="false">IF(Y1065=0,0,IF(T1065="Backlog",Q1065,Q1065*Dashboard!$C$10))</f>
        <v>0</v>
      </c>
      <c r="AA1065" s="37" t="n">
        <f aca="false">IF($N1065="",0,IF(COUNTIF(Dashboard!$C$13:$C$22,$N1065)&gt;0,1,0))</f>
        <v>0</v>
      </c>
      <c r="AB1065" s="37" t="str">
        <f aca="false">IF($N1065="","",IF(COUNTIF($N$8:$N1065,$N1065)=1,MAX($AB$7:$AB1064)+1,""))</f>
        <v/>
      </c>
    </row>
    <row r="1066" customFormat="false" ht="15" hidden="false" customHeight="false" outlineLevel="0" collapsed="false">
      <c r="L1066" s="37" t="str">
        <f aca="false">IF(INDEX($A1066:$J1066,$L$6)&lt;&gt;"",TRIM(LEFT(INDEX($A1066:$J1066,$L$6),FIND("(",INDEX($A1066:$J1066,$L$6)&amp;"(")-1)),L1065)</f>
        <v>Building Value Proposition</v>
      </c>
      <c r="M1066" s="37" t="str">
        <f aca="false">IF(INDEX($A1066:$J1066,$M$6)="","",INDEX($A1066:$J1066,$M$6)&amp;"")</f>
        <v/>
      </c>
      <c r="N1066" s="37" t="str">
        <f aca="false">IF($M1066="","",TRIM(INDEX($A1066:$J1066,$N$6)&amp;""))</f>
        <v/>
      </c>
      <c r="O1066" s="37" t="str">
        <f aca="false">IF($M1066="","",TRIM(INDEX($A1066:$J1066,$O$6)&amp;""))</f>
        <v/>
      </c>
      <c r="P1066" s="37" t="str">
        <f aca="false">IF($M1066="","",IFERROR(IF(INDEX(Settings!$B$41:$B$50,MATCH(O1066,Settings!$A$41:$A$50,0))&amp;""="","UNMAPPED",INDEX(Settings!$B$41:$B$50,MATCH(O1066,Settings!$A$41:$A$50,0))&amp;""),"UNMAPPED"))</f>
        <v/>
      </c>
      <c r="Q1066" s="38" t="n">
        <f aca="false">IF($M1066="",0,N(INDEX($A1066:$J1066,$Q$6)))</f>
        <v>0</v>
      </c>
      <c r="R1066" s="39" t="str">
        <f aca="false">IF($M1066="","",INDEX($A1066:$J1066,$R$6))</f>
        <v/>
      </c>
      <c r="S1066" s="37" t="str">
        <f aca="false">IF($M1066="","",IFERROR(INDEX(Settings!$B$27:$B$36,MATCH(L1066,Settings!$A$27:$A$36,0))&amp;"","UNMAPPED"))</f>
        <v/>
      </c>
      <c r="T1066" s="37" t="str">
        <f aca="false">IF($M1066="","",IF(NOT(ISNUMBER(R1066)),"NO DATE",IF(S1066="Won",IF(R1066&gt;Settings!$B$5,"Backlog","Delivered"),IF(S1066="Open",IF(R1066&gt;Settings!$B$5,"Pipeline","Overdue"),IF(S1066="Lost","Lost","UNMAPPED")))))</f>
        <v/>
      </c>
      <c r="U1066" s="40" t="n">
        <f aca="false">IF(T1066="Backlog",1,IF(OR(T1066="Pipeline",T1066="Overdue"),N(INDEX(Settings!$C$27:$C$36,MATCH(L1066,Settings!$A$27:$A$36,0))),0))</f>
        <v>0</v>
      </c>
      <c r="V1066" s="38" t="n">
        <f aca="false">Q1066*U1066</f>
        <v>0</v>
      </c>
      <c r="W1066" s="41" t="str">
        <f aca="false">IF($M1066="","",IF(T1066="Overdue",IF(Settings!$B$8="Yes",Settings!$B$7,""),IF(ISNUMBER(R1066),DATE(YEAR(R1066),MONTH(R1066),1),"")))</f>
        <v/>
      </c>
      <c r="X1066" s="38" t="n">
        <f aca="false">IF(AND(OR(T1066="Backlog",T1066="Pipeline",T1066="Overdue"),ISNUMBER(W1066)),IF(W1066&lt;=Settings!$B$6,V1066,0),0)</f>
        <v>0</v>
      </c>
      <c r="Y1066" s="38" t="n">
        <f aca="false">IF(AND(OR(T1066="Backlog",T1066="Pipeline",T1066="Overdue"),ISNUMBER(W1066)),IF(W1066&lt;=Settings!$B$6,Q1066,0),0)</f>
        <v>0</v>
      </c>
      <c r="Z1066" s="38" t="n">
        <f aca="false">IF(Y1066=0,0,IF(T1066="Backlog",Q1066,Q1066*Dashboard!$C$10))</f>
        <v>0</v>
      </c>
      <c r="AA1066" s="37" t="n">
        <f aca="false">IF($N1066="",0,IF(COUNTIF(Dashboard!$C$13:$C$22,$N1066)&gt;0,1,0))</f>
        <v>0</v>
      </c>
      <c r="AB1066" s="37" t="str">
        <f aca="false">IF($N1066="","",IF(COUNTIF($N$8:$N1066,$N1066)=1,MAX($AB$7:$AB1065)+1,""))</f>
        <v/>
      </c>
    </row>
    <row r="1067" customFormat="false" ht="15" hidden="false" customHeight="false" outlineLevel="0" collapsed="false">
      <c r="L1067" s="37" t="str">
        <f aca="false">IF(INDEX($A1067:$J1067,$L$6)&lt;&gt;"",TRIM(LEFT(INDEX($A1067:$J1067,$L$6),FIND("(",INDEX($A1067:$J1067,$L$6)&amp;"(")-1)),L1066)</f>
        <v>Building Value Proposition</v>
      </c>
      <c r="M1067" s="37" t="str">
        <f aca="false">IF(INDEX($A1067:$J1067,$M$6)="","",INDEX($A1067:$J1067,$M$6)&amp;"")</f>
        <v/>
      </c>
      <c r="N1067" s="37" t="str">
        <f aca="false">IF($M1067="","",TRIM(INDEX($A1067:$J1067,$N$6)&amp;""))</f>
        <v/>
      </c>
      <c r="O1067" s="37" t="str">
        <f aca="false">IF($M1067="","",TRIM(INDEX($A1067:$J1067,$O$6)&amp;""))</f>
        <v/>
      </c>
      <c r="P1067" s="37" t="str">
        <f aca="false">IF($M1067="","",IFERROR(IF(INDEX(Settings!$B$41:$B$50,MATCH(O1067,Settings!$A$41:$A$50,0))&amp;""="","UNMAPPED",INDEX(Settings!$B$41:$B$50,MATCH(O1067,Settings!$A$41:$A$50,0))&amp;""),"UNMAPPED"))</f>
        <v/>
      </c>
      <c r="Q1067" s="38" t="n">
        <f aca="false">IF($M1067="",0,N(INDEX($A1067:$J1067,$Q$6)))</f>
        <v>0</v>
      </c>
      <c r="R1067" s="39" t="str">
        <f aca="false">IF($M1067="","",INDEX($A1067:$J1067,$R$6))</f>
        <v/>
      </c>
      <c r="S1067" s="37" t="str">
        <f aca="false">IF($M1067="","",IFERROR(INDEX(Settings!$B$27:$B$36,MATCH(L1067,Settings!$A$27:$A$36,0))&amp;"","UNMAPPED"))</f>
        <v/>
      </c>
      <c r="T1067" s="37" t="str">
        <f aca="false">IF($M1067="","",IF(NOT(ISNUMBER(R1067)),"NO DATE",IF(S1067="Won",IF(R1067&gt;Settings!$B$5,"Backlog","Delivered"),IF(S1067="Open",IF(R1067&gt;Settings!$B$5,"Pipeline","Overdue"),IF(S1067="Lost","Lost","UNMAPPED")))))</f>
        <v/>
      </c>
      <c r="U1067" s="40" t="n">
        <f aca="false">IF(T1067="Backlog",1,IF(OR(T1067="Pipeline",T1067="Overdue"),N(INDEX(Settings!$C$27:$C$36,MATCH(L1067,Settings!$A$27:$A$36,0))),0))</f>
        <v>0</v>
      </c>
      <c r="V1067" s="38" t="n">
        <f aca="false">Q1067*U1067</f>
        <v>0</v>
      </c>
      <c r="W1067" s="41" t="str">
        <f aca="false">IF($M1067="","",IF(T1067="Overdue",IF(Settings!$B$8="Yes",Settings!$B$7,""),IF(ISNUMBER(R1067),DATE(YEAR(R1067),MONTH(R1067),1),"")))</f>
        <v/>
      </c>
      <c r="X1067" s="38" t="n">
        <f aca="false">IF(AND(OR(T1067="Backlog",T1067="Pipeline",T1067="Overdue"),ISNUMBER(W1067)),IF(W1067&lt;=Settings!$B$6,V1067,0),0)</f>
        <v>0</v>
      </c>
      <c r="Y1067" s="38" t="n">
        <f aca="false">IF(AND(OR(T1067="Backlog",T1067="Pipeline",T1067="Overdue"),ISNUMBER(W1067)),IF(W1067&lt;=Settings!$B$6,Q1067,0),0)</f>
        <v>0</v>
      </c>
      <c r="Z1067" s="38" t="n">
        <f aca="false">IF(Y1067=0,0,IF(T1067="Backlog",Q1067,Q1067*Dashboard!$C$10))</f>
        <v>0</v>
      </c>
      <c r="AA1067" s="37" t="n">
        <f aca="false">IF($N1067="",0,IF(COUNTIF(Dashboard!$C$13:$C$22,$N1067)&gt;0,1,0))</f>
        <v>0</v>
      </c>
      <c r="AB1067" s="37" t="str">
        <f aca="false">IF($N1067="","",IF(COUNTIF($N$8:$N1067,$N1067)=1,MAX($AB$7:$AB1066)+1,""))</f>
        <v/>
      </c>
    </row>
    <row r="1068" customFormat="false" ht="15" hidden="false" customHeight="false" outlineLevel="0" collapsed="false">
      <c r="L1068" s="37" t="str">
        <f aca="false">IF(INDEX($A1068:$J1068,$L$6)&lt;&gt;"",TRIM(LEFT(INDEX($A1068:$J1068,$L$6),FIND("(",INDEX($A1068:$J1068,$L$6)&amp;"(")-1)),L1067)</f>
        <v>Building Value Proposition</v>
      </c>
      <c r="M1068" s="37" t="str">
        <f aca="false">IF(INDEX($A1068:$J1068,$M$6)="","",INDEX($A1068:$J1068,$M$6)&amp;"")</f>
        <v/>
      </c>
      <c r="N1068" s="37" t="str">
        <f aca="false">IF($M1068="","",TRIM(INDEX($A1068:$J1068,$N$6)&amp;""))</f>
        <v/>
      </c>
      <c r="O1068" s="37" t="str">
        <f aca="false">IF($M1068="","",TRIM(INDEX($A1068:$J1068,$O$6)&amp;""))</f>
        <v/>
      </c>
      <c r="P1068" s="37" t="str">
        <f aca="false">IF($M1068="","",IFERROR(IF(INDEX(Settings!$B$41:$B$50,MATCH(O1068,Settings!$A$41:$A$50,0))&amp;""="","UNMAPPED",INDEX(Settings!$B$41:$B$50,MATCH(O1068,Settings!$A$41:$A$50,0))&amp;""),"UNMAPPED"))</f>
        <v/>
      </c>
      <c r="Q1068" s="38" t="n">
        <f aca="false">IF($M1068="",0,N(INDEX($A1068:$J1068,$Q$6)))</f>
        <v>0</v>
      </c>
      <c r="R1068" s="39" t="str">
        <f aca="false">IF($M1068="","",INDEX($A1068:$J1068,$R$6))</f>
        <v/>
      </c>
      <c r="S1068" s="37" t="str">
        <f aca="false">IF($M1068="","",IFERROR(INDEX(Settings!$B$27:$B$36,MATCH(L1068,Settings!$A$27:$A$36,0))&amp;"","UNMAPPED"))</f>
        <v/>
      </c>
      <c r="T1068" s="37" t="str">
        <f aca="false">IF($M1068="","",IF(NOT(ISNUMBER(R1068)),"NO DATE",IF(S1068="Won",IF(R1068&gt;Settings!$B$5,"Backlog","Delivered"),IF(S1068="Open",IF(R1068&gt;Settings!$B$5,"Pipeline","Overdue"),IF(S1068="Lost","Lost","UNMAPPED")))))</f>
        <v/>
      </c>
      <c r="U1068" s="40" t="n">
        <f aca="false">IF(T1068="Backlog",1,IF(OR(T1068="Pipeline",T1068="Overdue"),N(INDEX(Settings!$C$27:$C$36,MATCH(L1068,Settings!$A$27:$A$36,0))),0))</f>
        <v>0</v>
      </c>
      <c r="V1068" s="38" t="n">
        <f aca="false">Q1068*U1068</f>
        <v>0</v>
      </c>
      <c r="W1068" s="41" t="str">
        <f aca="false">IF($M1068="","",IF(T1068="Overdue",IF(Settings!$B$8="Yes",Settings!$B$7,""),IF(ISNUMBER(R1068),DATE(YEAR(R1068),MONTH(R1068),1),"")))</f>
        <v/>
      </c>
      <c r="X1068" s="38" t="n">
        <f aca="false">IF(AND(OR(T1068="Backlog",T1068="Pipeline",T1068="Overdue"),ISNUMBER(W1068)),IF(W1068&lt;=Settings!$B$6,V1068,0),0)</f>
        <v>0</v>
      </c>
      <c r="Y1068" s="38" t="n">
        <f aca="false">IF(AND(OR(T1068="Backlog",T1068="Pipeline",T1068="Overdue"),ISNUMBER(W1068)),IF(W1068&lt;=Settings!$B$6,Q1068,0),0)</f>
        <v>0</v>
      </c>
      <c r="Z1068" s="38" t="n">
        <f aca="false">IF(Y1068=0,0,IF(T1068="Backlog",Q1068,Q1068*Dashboard!$C$10))</f>
        <v>0</v>
      </c>
      <c r="AA1068" s="37" t="n">
        <f aca="false">IF($N1068="",0,IF(COUNTIF(Dashboard!$C$13:$C$22,$N1068)&gt;0,1,0))</f>
        <v>0</v>
      </c>
      <c r="AB1068" s="37" t="str">
        <f aca="false">IF($N1068="","",IF(COUNTIF($N$8:$N1068,$N1068)=1,MAX($AB$7:$AB1067)+1,""))</f>
        <v/>
      </c>
    </row>
    <row r="1069" customFormat="false" ht="15" hidden="false" customHeight="false" outlineLevel="0" collapsed="false">
      <c r="L1069" s="37" t="str">
        <f aca="false">IF(INDEX($A1069:$J1069,$L$6)&lt;&gt;"",TRIM(LEFT(INDEX($A1069:$J1069,$L$6),FIND("(",INDEX($A1069:$J1069,$L$6)&amp;"(")-1)),L1068)</f>
        <v>Building Value Proposition</v>
      </c>
      <c r="M1069" s="37" t="str">
        <f aca="false">IF(INDEX($A1069:$J1069,$M$6)="","",INDEX($A1069:$J1069,$M$6)&amp;"")</f>
        <v/>
      </c>
      <c r="N1069" s="37" t="str">
        <f aca="false">IF($M1069="","",TRIM(INDEX($A1069:$J1069,$N$6)&amp;""))</f>
        <v/>
      </c>
      <c r="O1069" s="37" t="str">
        <f aca="false">IF($M1069="","",TRIM(INDEX($A1069:$J1069,$O$6)&amp;""))</f>
        <v/>
      </c>
      <c r="P1069" s="37" t="str">
        <f aca="false">IF($M1069="","",IFERROR(IF(INDEX(Settings!$B$41:$B$50,MATCH(O1069,Settings!$A$41:$A$50,0))&amp;""="","UNMAPPED",INDEX(Settings!$B$41:$B$50,MATCH(O1069,Settings!$A$41:$A$50,0))&amp;""),"UNMAPPED"))</f>
        <v/>
      </c>
      <c r="Q1069" s="38" t="n">
        <f aca="false">IF($M1069="",0,N(INDEX($A1069:$J1069,$Q$6)))</f>
        <v>0</v>
      </c>
      <c r="R1069" s="39" t="str">
        <f aca="false">IF($M1069="","",INDEX($A1069:$J1069,$R$6))</f>
        <v/>
      </c>
      <c r="S1069" s="37" t="str">
        <f aca="false">IF($M1069="","",IFERROR(INDEX(Settings!$B$27:$B$36,MATCH(L1069,Settings!$A$27:$A$36,0))&amp;"","UNMAPPED"))</f>
        <v/>
      </c>
      <c r="T1069" s="37" t="str">
        <f aca="false">IF($M1069="","",IF(NOT(ISNUMBER(R1069)),"NO DATE",IF(S1069="Won",IF(R1069&gt;Settings!$B$5,"Backlog","Delivered"),IF(S1069="Open",IF(R1069&gt;Settings!$B$5,"Pipeline","Overdue"),IF(S1069="Lost","Lost","UNMAPPED")))))</f>
        <v/>
      </c>
      <c r="U1069" s="40" t="n">
        <f aca="false">IF(T1069="Backlog",1,IF(OR(T1069="Pipeline",T1069="Overdue"),N(INDEX(Settings!$C$27:$C$36,MATCH(L1069,Settings!$A$27:$A$36,0))),0))</f>
        <v>0</v>
      </c>
      <c r="V1069" s="38" t="n">
        <f aca="false">Q1069*U1069</f>
        <v>0</v>
      </c>
      <c r="W1069" s="41" t="str">
        <f aca="false">IF($M1069="","",IF(T1069="Overdue",IF(Settings!$B$8="Yes",Settings!$B$7,""),IF(ISNUMBER(R1069),DATE(YEAR(R1069),MONTH(R1069),1),"")))</f>
        <v/>
      </c>
      <c r="X1069" s="38" t="n">
        <f aca="false">IF(AND(OR(T1069="Backlog",T1069="Pipeline",T1069="Overdue"),ISNUMBER(W1069)),IF(W1069&lt;=Settings!$B$6,V1069,0),0)</f>
        <v>0</v>
      </c>
      <c r="Y1069" s="38" t="n">
        <f aca="false">IF(AND(OR(T1069="Backlog",T1069="Pipeline",T1069="Overdue"),ISNUMBER(W1069)),IF(W1069&lt;=Settings!$B$6,Q1069,0),0)</f>
        <v>0</v>
      </c>
      <c r="Z1069" s="38" t="n">
        <f aca="false">IF(Y1069=0,0,IF(T1069="Backlog",Q1069,Q1069*Dashboard!$C$10))</f>
        <v>0</v>
      </c>
      <c r="AA1069" s="37" t="n">
        <f aca="false">IF($N1069="",0,IF(COUNTIF(Dashboard!$C$13:$C$22,$N1069)&gt;0,1,0))</f>
        <v>0</v>
      </c>
      <c r="AB1069" s="37" t="str">
        <f aca="false">IF($N1069="","",IF(COUNTIF($N$8:$N1069,$N1069)=1,MAX($AB$7:$AB1068)+1,""))</f>
        <v/>
      </c>
    </row>
    <row r="1070" customFormat="false" ht="15" hidden="false" customHeight="false" outlineLevel="0" collapsed="false">
      <c r="L1070" s="37" t="str">
        <f aca="false">IF(INDEX($A1070:$J1070,$L$6)&lt;&gt;"",TRIM(LEFT(INDEX($A1070:$J1070,$L$6),FIND("(",INDEX($A1070:$J1070,$L$6)&amp;"(")-1)),L1069)</f>
        <v>Building Value Proposition</v>
      </c>
      <c r="M1070" s="37" t="str">
        <f aca="false">IF(INDEX($A1070:$J1070,$M$6)="","",INDEX($A1070:$J1070,$M$6)&amp;"")</f>
        <v/>
      </c>
      <c r="N1070" s="37" t="str">
        <f aca="false">IF($M1070="","",TRIM(INDEX($A1070:$J1070,$N$6)&amp;""))</f>
        <v/>
      </c>
      <c r="O1070" s="37" t="str">
        <f aca="false">IF($M1070="","",TRIM(INDEX($A1070:$J1070,$O$6)&amp;""))</f>
        <v/>
      </c>
      <c r="P1070" s="37" t="str">
        <f aca="false">IF($M1070="","",IFERROR(IF(INDEX(Settings!$B$41:$B$50,MATCH(O1070,Settings!$A$41:$A$50,0))&amp;""="","UNMAPPED",INDEX(Settings!$B$41:$B$50,MATCH(O1070,Settings!$A$41:$A$50,0))&amp;""),"UNMAPPED"))</f>
        <v/>
      </c>
      <c r="Q1070" s="38" t="n">
        <f aca="false">IF($M1070="",0,N(INDEX($A1070:$J1070,$Q$6)))</f>
        <v>0</v>
      </c>
      <c r="R1070" s="39" t="str">
        <f aca="false">IF($M1070="","",INDEX($A1070:$J1070,$R$6))</f>
        <v/>
      </c>
      <c r="S1070" s="37" t="str">
        <f aca="false">IF($M1070="","",IFERROR(INDEX(Settings!$B$27:$B$36,MATCH(L1070,Settings!$A$27:$A$36,0))&amp;"","UNMAPPED"))</f>
        <v/>
      </c>
      <c r="T1070" s="37" t="str">
        <f aca="false">IF($M1070="","",IF(NOT(ISNUMBER(R1070)),"NO DATE",IF(S1070="Won",IF(R1070&gt;Settings!$B$5,"Backlog","Delivered"),IF(S1070="Open",IF(R1070&gt;Settings!$B$5,"Pipeline","Overdue"),IF(S1070="Lost","Lost","UNMAPPED")))))</f>
        <v/>
      </c>
      <c r="U1070" s="40" t="n">
        <f aca="false">IF(T1070="Backlog",1,IF(OR(T1070="Pipeline",T1070="Overdue"),N(INDEX(Settings!$C$27:$C$36,MATCH(L1070,Settings!$A$27:$A$36,0))),0))</f>
        <v>0</v>
      </c>
      <c r="V1070" s="38" t="n">
        <f aca="false">Q1070*U1070</f>
        <v>0</v>
      </c>
      <c r="W1070" s="41" t="str">
        <f aca="false">IF($M1070="","",IF(T1070="Overdue",IF(Settings!$B$8="Yes",Settings!$B$7,""),IF(ISNUMBER(R1070),DATE(YEAR(R1070),MONTH(R1070),1),"")))</f>
        <v/>
      </c>
      <c r="X1070" s="38" t="n">
        <f aca="false">IF(AND(OR(T1070="Backlog",T1070="Pipeline",T1070="Overdue"),ISNUMBER(W1070)),IF(W1070&lt;=Settings!$B$6,V1070,0),0)</f>
        <v>0</v>
      </c>
      <c r="Y1070" s="38" t="n">
        <f aca="false">IF(AND(OR(T1070="Backlog",T1070="Pipeline",T1070="Overdue"),ISNUMBER(W1070)),IF(W1070&lt;=Settings!$B$6,Q1070,0),0)</f>
        <v>0</v>
      </c>
      <c r="Z1070" s="38" t="n">
        <f aca="false">IF(Y1070=0,0,IF(T1070="Backlog",Q1070,Q1070*Dashboard!$C$10))</f>
        <v>0</v>
      </c>
      <c r="AA1070" s="37" t="n">
        <f aca="false">IF($N1070="",0,IF(COUNTIF(Dashboard!$C$13:$C$22,$N1070)&gt;0,1,0))</f>
        <v>0</v>
      </c>
      <c r="AB1070" s="37" t="str">
        <f aca="false">IF($N1070="","",IF(COUNTIF($N$8:$N1070,$N1070)=1,MAX($AB$7:$AB1069)+1,""))</f>
        <v/>
      </c>
    </row>
    <row r="1071" customFormat="false" ht="15" hidden="false" customHeight="false" outlineLevel="0" collapsed="false">
      <c r="L1071" s="37" t="str">
        <f aca="false">IF(INDEX($A1071:$J1071,$L$6)&lt;&gt;"",TRIM(LEFT(INDEX($A1071:$J1071,$L$6),FIND("(",INDEX($A1071:$J1071,$L$6)&amp;"(")-1)),L1070)</f>
        <v>Building Value Proposition</v>
      </c>
      <c r="M1071" s="37" t="str">
        <f aca="false">IF(INDEX($A1071:$J1071,$M$6)="","",INDEX($A1071:$J1071,$M$6)&amp;"")</f>
        <v/>
      </c>
      <c r="N1071" s="37" t="str">
        <f aca="false">IF($M1071="","",TRIM(INDEX($A1071:$J1071,$N$6)&amp;""))</f>
        <v/>
      </c>
      <c r="O1071" s="37" t="str">
        <f aca="false">IF($M1071="","",TRIM(INDEX($A1071:$J1071,$O$6)&amp;""))</f>
        <v/>
      </c>
      <c r="P1071" s="37" t="str">
        <f aca="false">IF($M1071="","",IFERROR(IF(INDEX(Settings!$B$41:$B$50,MATCH(O1071,Settings!$A$41:$A$50,0))&amp;""="","UNMAPPED",INDEX(Settings!$B$41:$B$50,MATCH(O1071,Settings!$A$41:$A$50,0))&amp;""),"UNMAPPED"))</f>
        <v/>
      </c>
      <c r="Q1071" s="38" t="n">
        <f aca="false">IF($M1071="",0,N(INDEX($A1071:$J1071,$Q$6)))</f>
        <v>0</v>
      </c>
      <c r="R1071" s="39" t="str">
        <f aca="false">IF($M1071="","",INDEX($A1071:$J1071,$R$6))</f>
        <v/>
      </c>
      <c r="S1071" s="37" t="str">
        <f aca="false">IF($M1071="","",IFERROR(INDEX(Settings!$B$27:$B$36,MATCH(L1071,Settings!$A$27:$A$36,0))&amp;"","UNMAPPED"))</f>
        <v/>
      </c>
      <c r="T1071" s="37" t="str">
        <f aca="false">IF($M1071="","",IF(NOT(ISNUMBER(R1071)),"NO DATE",IF(S1071="Won",IF(R1071&gt;Settings!$B$5,"Backlog","Delivered"),IF(S1071="Open",IF(R1071&gt;Settings!$B$5,"Pipeline","Overdue"),IF(S1071="Lost","Lost","UNMAPPED")))))</f>
        <v/>
      </c>
      <c r="U1071" s="40" t="n">
        <f aca="false">IF(T1071="Backlog",1,IF(OR(T1071="Pipeline",T1071="Overdue"),N(INDEX(Settings!$C$27:$C$36,MATCH(L1071,Settings!$A$27:$A$36,0))),0))</f>
        <v>0</v>
      </c>
      <c r="V1071" s="38" t="n">
        <f aca="false">Q1071*U1071</f>
        <v>0</v>
      </c>
      <c r="W1071" s="41" t="str">
        <f aca="false">IF($M1071="","",IF(T1071="Overdue",IF(Settings!$B$8="Yes",Settings!$B$7,""),IF(ISNUMBER(R1071),DATE(YEAR(R1071),MONTH(R1071),1),"")))</f>
        <v/>
      </c>
      <c r="X1071" s="38" t="n">
        <f aca="false">IF(AND(OR(T1071="Backlog",T1071="Pipeline",T1071="Overdue"),ISNUMBER(W1071)),IF(W1071&lt;=Settings!$B$6,V1071,0),0)</f>
        <v>0</v>
      </c>
      <c r="Y1071" s="38" t="n">
        <f aca="false">IF(AND(OR(T1071="Backlog",T1071="Pipeline",T1071="Overdue"),ISNUMBER(W1071)),IF(W1071&lt;=Settings!$B$6,Q1071,0),0)</f>
        <v>0</v>
      </c>
      <c r="Z1071" s="38" t="n">
        <f aca="false">IF(Y1071=0,0,IF(T1071="Backlog",Q1071,Q1071*Dashboard!$C$10))</f>
        <v>0</v>
      </c>
      <c r="AA1071" s="37" t="n">
        <f aca="false">IF($N1071="",0,IF(COUNTIF(Dashboard!$C$13:$C$22,$N1071)&gt;0,1,0))</f>
        <v>0</v>
      </c>
      <c r="AB1071" s="37" t="str">
        <f aca="false">IF($N1071="","",IF(COUNTIF($N$8:$N1071,$N1071)=1,MAX($AB$7:$AB1070)+1,""))</f>
        <v/>
      </c>
    </row>
    <row r="1072" customFormat="false" ht="15" hidden="false" customHeight="false" outlineLevel="0" collapsed="false">
      <c r="L1072" s="37" t="str">
        <f aca="false">IF(INDEX($A1072:$J1072,$L$6)&lt;&gt;"",TRIM(LEFT(INDEX($A1072:$J1072,$L$6),FIND("(",INDEX($A1072:$J1072,$L$6)&amp;"(")-1)),L1071)</f>
        <v>Building Value Proposition</v>
      </c>
      <c r="M1072" s="37" t="str">
        <f aca="false">IF(INDEX($A1072:$J1072,$M$6)="","",INDEX($A1072:$J1072,$M$6)&amp;"")</f>
        <v/>
      </c>
      <c r="N1072" s="37" t="str">
        <f aca="false">IF($M1072="","",TRIM(INDEX($A1072:$J1072,$N$6)&amp;""))</f>
        <v/>
      </c>
      <c r="O1072" s="37" t="str">
        <f aca="false">IF($M1072="","",TRIM(INDEX($A1072:$J1072,$O$6)&amp;""))</f>
        <v/>
      </c>
      <c r="P1072" s="37" t="str">
        <f aca="false">IF($M1072="","",IFERROR(IF(INDEX(Settings!$B$41:$B$50,MATCH(O1072,Settings!$A$41:$A$50,0))&amp;""="","UNMAPPED",INDEX(Settings!$B$41:$B$50,MATCH(O1072,Settings!$A$41:$A$50,0))&amp;""),"UNMAPPED"))</f>
        <v/>
      </c>
      <c r="Q1072" s="38" t="n">
        <f aca="false">IF($M1072="",0,N(INDEX($A1072:$J1072,$Q$6)))</f>
        <v>0</v>
      </c>
      <c r="R1072" s="39" t="str">
        <f aca="false">IF($M1072="","",INDEX($A1072:$J1072,$R$6))</f>
        <v/>
      </c>
      <c r="S1072" s="37" t="str">
        <f aca="false">IF($M1072="","",IFERROR(INDEX(Settings!$B$27:$B$36,MATCH(L1072,Settings!$A$27:$A$36,0))&amp;"","UNMAPPED"))</f>
        <v/>
      </c>
      <c r="T1072" s="37" t="str">
        <f aca="false">IF($M1072="","",IF(NOT(ISNUMBER(R1072)),"NO DATE",IF(S1072="Won",IF(R1072&gt;Settings!$B$5,"Backlog","Delivered"),IF(S1072="Open",IF(R1072&gt;Settings!$B$5,"Pipeline","Overdue"),IF(S1072="Lost","Lost","UNMAPPED")))))</f>
        <v/>
      </c>
      <c r="U1072" s="40" t="n">
        <f aca="false">IF(T1072="Backlog",1,IF(OR(T1072="Pipeline",T1072="Overdue"),N(INDEX(Settings!$C$27:$C$36,MATCH(L1072,Settings!$A$27:$A$36,0))),0))</f>
        <v>0</v>
      </c>
      <c r="V1072" s="38" t="n">
        <f aca="false">Q1072*U1072</f>
        <v>0</v>
      </c>
      <c r="W1072" s="41" t="str">
        <f aca="false">IF($M1072="","",IF(T1072="Overdue",IF(Settings!$B$8="Yes",Settings!$B$7,""),IF(ISNUMBER(R1072),DATE(YEAR(R1072),MONTH(R1072),1),"")))</f>
        <v/>
      </c>
      <c r="X1072" s="38" t="n">
        <f aca="false">IF(AND(OR(T1072="Backlog",T1072="Pipeline",T1072="Overdue"),ISNUMBER(W1072)),IF(W1072&lt;=Settings!$B$6,V1072,0),0)</f>
        <v>0</v>
      </c>
      <c r="Y1072" s="38" t="n">
        <f aca="false">IF(AND(OR(T1072="Backlog",T1072="Pipeline",T1072="Overdue"),ISNUMBER(W1072)),IF(W1072&lt;=Settings!$B$6,Q1072,0),0)</f>
        <v>0</v>
      </c>
      <c r="Z1072" s="38" t="n">
        <f aca="false">IF(Y1072=0,0,IF(T1072="Backlog",Q1072,Q1072*Dashboard!$C$10))</f>
        <v>0</v>
      </c>
      <c r="AA1072" s="37" t="n">
        <f aca="false">IF($N1072="",0,IF(COUNTIF(Dashboard!$C$13:$C$22,$N1072)&gt;0,1,0))</f>
        <v>0</v>
      </c>
      <c r="AB1072" s="37" t="str">
        <f aca="false">IF($N1072="","",IF(COUNTIF($N$8:$N1072,$N1072)=1,MAX($AB$7:$AB1071)+1,""))</f>
        <v/>
      </c>
    </row>
    <row r="1073" customFormat="false" ht="15" hidden="false" customHeight="false" outlineLevel="0" collapsed="false">
      <c r="L1073" s="37" t="str">
        <f aca="false">IF(INDEX($A1073:$J1073,$L$6)&lt;&gt;"",TRIM(LEFT(INDEX($A1073:$J1073,$L$6),FIND("(",INDEX($A1073:$J1073,$L$6)&amp;"(")-1)),L1072)</f>
        <v>Building Value Proposition</v>
      </c>
      <c r="M1073" s="37" t="str">
        <f aca="false">IF(INDEX($A1073:$J1073,$M$6)="","",INDEX($A1073:$J1073,$M$6)&amp;"")</f>
        <v/>
      </c>
      <c r="N1073" s="37" t="str">
        <f aca="false">IF($M1073="","",TRIM(INDEX($A1073:$J1073,$N$6)&amp;""))</f>
        <v/>
      </c>
      <c r="O1073" s="37" t="str">
        <f aca="false">IF($M1073="","",TRIM(INDEX($A1073:$J1073,$O$6)&amp;""))</f>
        <v/>
      </c>
      <c r="P1073" s="37" t="str">
        <f aca="false">IF($M1073="","",IFERROR(IF(INDEX(Settings!$B$41:$B$50,MATCH(O1073,Settings!$A$41:$A$50,0))&amp;""="","UNMAPPED",INDEX(Settings!$B$41:$B$50,MATCH(O1073,Settings!$A$41:$A$50,0))&amp;""),"UNMAPPED"))</f>
        <v/>
      </c>
      <c r="Q1073" s="38" t="n">
        <f aca="false">IF($M1073="",0,N(INDEX($A1073:$J1073,$Q$6)))</f>
        <v>0</v>
      </c>
      <c r="R1073" s="39" t="str">
        <f aca="false">IF($M1073="","",INDEX($A1073:$J1073,$R$6))</f>
        <v/>
      </c>
      <c r="S1073" s="37" t="str">
        <f aca="false">IF($M1073="","",IFERROR(INDEX(Settings!$B$27:$B$36,MATCH(L1073,Settings!$A$27:$A$36,0))&amp;"","UNMAPPED"))</f>
        <v/>
      </c>
      <c r="T1073" s="37" t="str">
        <f aca="false">IF($M1073="","",IF(NOT(ISNUMBER(R1073)),"NO DATE",IF(S1073="Won",IF(R1073&gt;Settings!$B$5,"Backlog","Delivered"),IF(S1073="Open",IF(R1073&gt;Settings!$B$5,"Pipeline","Overdue"),IF(S1073="Lost","Lost","UNMAPPED")))))</f>
        <v/>
      </c>
      <c r="U1073" s="40" t="n">
        <f aca="false">IF(T1073="Backlog",1,IF(OR(T1073="Pipeline",T1073="Overdue"),N(INDEX(Settings!$C$27:$C$36,MATCH(L1073,Settings!$A$27:$A$36,0))),0))</f>
        <v>0</v>
      </c>
      <c r="V1073" s="38" t="n">
        <f aca="false">Q1073*U1073</f>
        <v>0</v>
      </c>
      <c r="W1073" s="41" t="str">
        <f aca="false">IF($M1073="","",IF(T1073="Overdue",IF(Settings!$B$8="Yes",Settings!$B$7,""),IF(ISNUMBER(R1073),DATE(YEAR(R1073),MONTH(R1073),1),"")))</f>
        <v/>
      </c>
      <c r="X1073" s="38" t="n">
        <f aca="false">IF(AND(OR(T1073="Backlog",T1073="Pipeline",T1073="Overdue"),ISNUMBER(W1073)),IF(W1073&lt;=Settings!$B$6,V1073,0),0)</f>
        <v>0</v>
      </c>
      <c r="Y1073" s="38" t="n">
        <f aca="false">IF(AND(OR(T1073="Backlog",T1073="Pipeline",T1073="Overdue"),ISNUMBER(W1073)),IF(W1073&lt;=Settings!$B$6,Q1073,0),0)</f>
        <v>0</v>
      </c>
      <c r="Z1073" s="38" t="n">
        <f aca="false">IF(Y1073=0,0,IF(T1073="Backlog",Q1073,Q1073*Dashboard!$C$10))</f>
        <v>0</v>
      </c>
      <c r="AA1073" s="37" t="n">
        <f aca="false">IF($N1073="",0,IF(COUNTIF(Dashboard!$C$13:$C$22,$N1073)&gt;0,1,0))</f>
        <v>0</v>
      </c>
      <c r="AB1073" s="37" t="str">
        <f aca="false">IF($N1073="","",IF(COUNTIF($N$8:$N1073,$N1073)=1,MAX($AB$7:$AB1072)+1,""))</f>
        <v/>
      </c>
    </row>
    <row r="1074" customFormat="false" ht="15" hidden="false" customHeight="false" outlineLevel="0" collapsed="false">
      <c r="L1074" s="37" t="str">
        <f aca="false">IF(INDEX($A1074:$J1074,$L$6)&lt;&gt;"",TRIM(LEFT(INDEX($A1074:$J1074,$L$6),FIND("(",INDEX($A1074:$J1074,$L$6)&amp;"(")-1)),L1073)</f>
        <v>Building Value Proposition</v>
      </c>
      <c r="M1074" s="37" t="str">
        <f aca="false">IF(INDEX($A1074:$J1074,$M$6)="","",INDEX($A1074:$J1074,$M$6)&amp;"")</f>
        <v/>
      </c>
      <c r="N1074" s="37" t="str">
        <f aca="false">IF($M1074="","",TRIM(INDEX($A1074:$J1074,$N$6)&amp;""))</f>
        <v/>
      </c>
      <c r="O1074" s="37" t="str">
        <f aca="false">IF($M1074="","",TRIM(INDEX($A1074:$J1074,$O$6)&amp;""))</f>
        <v/>
      </c>
      <c r="P1074" s="37" t="str">
        <f aca="false">IF($M1074="","",IFERROR(IF(INDEX(Settings!$B$41:$B$50,MATCH(O1074,Settings!$A$41:$A$50,0))&amp;""="","UNMAPPED",INDEX(Settings!$B$41:$B$50,MATCH(O1074,Settings!$A$41:$A$50,0))&amp;""),"UNMAPPED"))</f>
        <v/>
      </c>
      <c r="Q1074" s="38" t="n">
        <f aca="false">IF($M1074="",0,N(INDEX($A1074:$J1074,$Q$6)))</f>
        <v>0</v>
      </c>
      <c r="R1074" s="39" t="str">
        <f aca="false">IF($M1074="","",INDEX($A1074:$J1074,$R$6))</f>
        <v/>
      </c>
      <c r="S1074" s="37" t="str">
        <f aca="false">IF($M1074="","",IFERROR(INDEX(Settings!$B$27:$B$36,MATCH(L1074,Settings!$A$27:$A$36,0))&amp;"","UNMAPPED"))</f>
        <v/>
      </c>
      <c r="T1074" s="37" t="str">
        <f aca="false">IF($M1074="","",IF(NOT(ISNUMBER(R1074)),"NO DATE",IF(S1074="Won",IF(R1074&gt;Settings!$B$5,"Backlog","Delivered"),IF(S1074="Open",IF(R1074&gt;Settings!$B$5,"Pipeline","Overdue"),IF(S1074="Lost","Lost","UNMAPPED")))))</f>
        <v/>
      </c>
      <c r="U1074" s="40" t="n">
        <f aca="false">IF(T1074="Backlog",1,IF(OR(T1074="Pipeline",T1074="Overdue"),N(INDEX(Settings!$C$27:$C$36,MATCH(L1074,Settings!$A$27:$A$36,0))),0))</f>
        <v>0</v>
      </c>
      <c r="V1074" s="38" t="n">
        <f aca="false">Q1074*U1074</f>
        <v>0</v>
      </c>
      <c r="W1074" s="41" t="str">
        <f aca="false">IF($M1074="","",IF(T1074="Overdue",IF(Settings!$B$8="Yes",Settings!$B$7,""),IF(ISNUMBER(R1074),DATE(YEAR(R1074),MONTH(R1074),1),"")))</f>
        <v/>
      </c>
      <c r="X1074" s="38" t="n">
        <f aca="false">IF(AND(OR(T1074="Backlog",T1074="Pipeline",T1074="Overdue"),ISNUMBER(W1074)),IF(W1074&lt;=Settings!$B$6,V1074,0),0)</f>
        <v>0</v>
      </c>
      <c r="Y1074" s="38" t="n">
        <f aca="false">IF(AND(OR(T1074="Backlog",T1074="Pipeline",T1074="Overdue"),ISNUMBER(W1074)),IF(W1074&lt;=Settings!$B$6,Q1074,0),0)</f>
        <v>0</v>
      </c>
      <c r="Z1074" s="38" t="n">
        <f aca="false">IF(Y1074=0,0,IF(T1074="Backlog",Q1074,Q1074*Dashboard!$C$10))</f>
        <v>0</v>
      </c>
      <c r="AA1074" s="37" t="n">
        <f aca="false">IF($N1074="",0,IF(COUNTIF(Dashboard!$C$13:$C$22,$N1074)&gt;0,1,0))</f>
        <v>0</v>
      </c>
      <c r="AB1074" s="37" t="str">
        <f aca="false">IF($N1074="","",IF(COUNTIF($N$8:$N1074,$N1074)=1,MAX($AB$7:$AB1073)+1,""))</f>
        <v/>
      </c>
    </row>
    <row r="1075" customFormat="false" ht="15" hidden="false" customHeight="false" outlineLevel="0" collapsed="false">
      <c r="L1075" s="37" t="str">
        <f aca="false">IF(INDEX($A1075:$J1075,$L$6)&lt;&gt;"",TRIM(LEFT(INDEX($A1075:$J1075,$L$6),FIND("(",INDEX($A1075:$J1075,$L$6)&amp;"(")-1)),L1074)</f>
        <v>Building Value Proposition</v>
      </c>
      <c r="M1075" s="37" t="str">
        <f aca="false">IF(INDEX($A1075:$J1075,$M$6)="","",INDEX($A1075:$J1075,$M$6)&amp;"")</f>
        <v/>
      </c>
      <c r="N1075" s="37" t="str">
        <f aca="false">IF($M1075="","",TRIM(INDEX($A1075:$J1075,$N$6)&amp;""))</f>
        <v/>
      </c>
      <c r="O1075" s="37" t="str">
        <f aca="false">IF($M1075="","",TRIM(INDEX($A1075:$J1075,$O$6)&amp;""))</f>
        <v/>
      </c>
      <c r="P1075" s="37" t="str">
        <f aca="false">IF($M1075="","",IFERROR(IF(INDEX(Settings!$B$41:$B$50,MATCH(O1075,Settings!$A$41:$A$50,0))&amp;""="","UNMAPPED",INDEX(Settings!$B$41:$B$50,MATCH(O1075,Settings!$A$41:$A$50,0))&amp;""),"UNMAPPED"))</f>
        <v/>
      </c>
      <c r="Q1075" s="38" t="n">
        <f aca="false">IF($M1075="",0,N(INDEX($A1075:$J1075,$Q$6)))</f>
        <v>0</v>
      </c>
      <c r="R1075" s="39" t="str">
        <f aca="false">IF($M1075="","",INDEX($A1075:$J1075,$R$6))</f>
        <v/>
      </c>
      <c r="S1075" s="37" t="str">
        <f aca="false">IF($M1075="","",IFERROR(INDEX(Settings!$B$27:$B$36,MATCH(L1075,Settings!$A$27:$A$36,0))&amp;"","UNMAPPED"))</f>
        <v/>
      </c>
      <c r="T1075" s="37" t="str">
        <f aca="false">IF($M1075="","",IF(NOT(ISNUMBER(R1075)),"NO DATE",IF(S1075="Won",IF(R1075&gt;Settings!$B$5,"Backlog","Delivered"),IF(S1075="Open",IF(R1075&gt;Settings!$B$5,"Pipeline","Overdue"),IF(S1075="Lost","Lost","UNMAPPED")))))</f>
        <v/>
      </c>
      <c r="U1075" s="40" t="n">
        <f aca="false">IF(T1075="Backlog",1,IF(OR(T1075="Pipeline",T1075="Overdue"),N(INDEX(Settings!$C$27:$C$36,MATCH(L1075,Settings!$A$27:$A$36,0))),0))</f>
        <v>0</v>
      </c>
      <c r="V1075" s="38" t="n">
        <f aca="false">Q1075*U1075</f>
        <v>0</v>
      </c>
      <c r="W1075" s="41" t="str">
        <f aca="false">IF($M1075="","",IF(T1075="Overdue",IF(Settings!$B$8="Yes",Settings!$B$7,""),IF(ISNUMBER(R1075),DATE(YEAR(R1075),MONTH(R1075),1),"")))</f>
        <v/>
      </c>
      <c r="X1075" s="38" t="n">
        <f aca="false">IF(AND(OR(T1075="Backlog",T1075="Pipeline",T1075="Overdue"),ISNUMBER(W1075)),IF(W1075&lt;=Settings!$B$6,V1075,0),0)</f>
        <v>0</v>
      </c>
      <c r="Y1075" s="38" t="n">
        <f aca="false">IF(AND(OR(T1075="Backlog",T1075="Pipeline",T1075="Overdue"),ISNUMBER(W1075)),IF(W1075&lt;=Settings!$B$6,Q1075,0),0)</f>
        <v>0</v>
      </c>
      <c r="Z1075" s="38" t="n">
        <f aca="false">IF(Y1075=0,0,IF(T1075="Backlog",Q1075,Q1075*Dashboard!$C$10))</f>
        <v>0</v>
      </c>
      <c r="AA1075" s="37" t="n">
        <f aca="false">IF($N1075="",0,IF(COUNTIF(Dashboard!$C$13:$C$22,$N1075)&gt;0,1,0))</f>
        <v>0</v>
      </c>
      <c r="AB1075" s="37" t="str">
        <f aca="false">IF($N1075="","",IF(COUNTIF($N$8:$N1075,$N1075)=1,MAX($AB$7:$AB1074)+1,""))</f>
        <v/>
      </c>
    </row>
    <row r="1076" customFormat="false" ht="15" hidden="false" customHeight="false" outlineLevel="0" collapsed="false">
      <c r="L1076" s="37" t="str">
        <f aca="false">IF(INDEX($A1076:$J1076,$L$6)&lt;&gt;"",TRIM(LEFT(INDEX($A1076:$J1076,$L$6),FIND("(",INDEX($A1076:$J1076,$L$6)&amp;"(")-1)),L1075)</f>
        <v>Building Value Proposition</v>
      </c>
      <c r="M1076" s="37" t="str">
        <f aca="false">IF(INDEX($A1076:$J1076,$M$6)="","",INDEX($A1076:$J1076,$M$6)&amp;"")</f>
        <v/>
      </c>
      <c r="N1076" s="37" t="str">
        <f aca="false">IF($M1076="","",TRIM(INDEX($A1076:$J1076,$N$6)&amp;""))</f>
        <v/>
      </c>
      <c r="O1076" s="37" t="str">
        <f aca="false">IF($M1076="","",TRIM(INDEX($A1076:$J1076,$O$6)&amp;""))</f>
        <v/>
      </c>
      <c r="P1076" s="37" t="str">
        <f aca="false">IF($M1076="","",IFERROR(IF(INDEX(Settings!$B$41:$B$50,MATCH(O1076,Settings!$A$41:$A$50,0))&amp;""="","UNMAPPED",INDEX(Settings!$B$41:$B$50,MATCH(O1076,Settings!$A$41:$A$50,0))&amp;""),"UNMAPPED"))</f>
        <v/>
      </c>
      <c r="Q1076" s="38" t="n">
        <f aca="false">IF($M1076="",0,N(INDEX($A1076:$J1076,$Q$6)))</f>
        <v>0</v>
      </c>
      <c r="R1076" s="39" t="str">
        <f aca="false">IF($M1076="","",INDEX($A1076:$J1076,$R$6))</f>
        <v/>
      </c>
      <c r="S1076" s="37" t="str">
        <f aca="false">IF($M1076="","",IFERROR(INDEX(Settings!$B$27:$B$36,MATCH(L1076,Settings!$A$27:$A$36,0))&amp;"","UNMAPPED"))</f>
        <v/>
      </c>
      <c r="T1076" s="37" t="str">
        <f aca="false">IF($M1076="","",IF(NOT(ISNUMBER(R1076)),"NO DATE",IF(S1076="Won",IF(R1076&gt;Settings!$B$5,"Backlog","Delivered"),IF(S1076="Open",IF(R1076&gt;Settings!$B$5,"Pipeline","Overdue"),IF(S1076="Lost","Lost","UNMAPPED")))))</f>
        <v/>
      </c>
      <c r="U1076" s="40" t="n">
        <f aca="false">IF(T1076="Backlog",1,IF(OR(T1076="Pipeline",T1076="Overdue"),N(INDEX(Settings!$C$27:$C$36,MATCH(L1076,Settings!$A$27:$A$36,0))),0))</f>
        <v>0</v>
      </c>
      <c r="V1076" s="38" t="n">
        <f aca="false">Q1076*U1076</f>
        <v>0</v>
      </c>
      <c r="W1076" s="41" t="str">
        <f aca="false">IF($M1076="","",IF(T1076="Overdue",IF(Settings!$B$8="Yes",Settings!$B$7,""),IF(ISNUMBER(R1076),DATE(YEAR(R1076),MONTH(R1076),1),"")))</f>
        <v/>
      </c>
      <c r="X1076" s="38" t="n">
        <f aca="false">IF(AND(OR(T1076="Backlog",T1076="Pipeline",T1076="Overdue"),ISNUMBER(W1076)),IF(W1076&lt;=Settings!$B$6,V1076,0),0)</f>
        <v>0</v>
      </c>
      <c r="Y1076" s="38" t="n">
        <f aca="false">IF(AND(OR(T1076="Backlog",T1076="Pipeline",T1076="Overdue"),ISNUMBER(W1076)),IF(W1076&lt;=Settings!$B$6,Q1076,0),0)</f>
        <v>0</v>
      </c>
      <c r="Z1076" s="38" t="n">
        <f aca="false">IF(Y1076=0,0,IF(T1076="Backlog",Q1076,Q1076*Dashboard!$C$10))</f>
        <v>0</v>
      </c>
      <c r="AA1076" s="37" t="n">
        <f aca="false">IF($N1076="",0,IF(COUNTIF(Dashboard!$C$13:$C$22,$N1076)&gt;0,1,0))</f>
        <v>0</v>
      </c>
      <c r="AB1076" s="37" t="str">
        <f aca="false">IF($N1076="","",IF(COUNTIF($N$8:$N1076,$N1076)=1,MAX($AB$7:$AB1075)+1,""))</f>
        <v/>
      </c>
    </row>
    <row r="1077" customFormat="false" ht="15" hidden="false" customHeight="false" outlineLevel="0" collapsed="false">
      <c r="L1077" s="37" t="str">
        <f aca="false">IF(INDEX($A1077:$J1077,$L$6)&lt;&gt;"",TRIM(LEFT(INDEX($A1077:$J1077,$L$6),FIND("(",INDEX($A1077:$J1077,$L$6)&amp;"(")-1)),L1076)</f>
        <v>Building Value Proposition</v>
      </c>
      <c r="M1077" s="37" t="str">
        <f aca="false">IF(INDEX($A1077:$J1077,$M$6)="","",INDEX($A1077:$J1077,$M$6)&amp;"")</f>
        <v/>
      </c>
      <c r="N1077" s="37" t="str">
        <f aca="false">IF($M1077="","",TRIM(INDEX($A1077:$J1077,$N$6)&amp;""))</f>
        <v/>
      </c>
      <c r="O1077" s="37" t="str">
        <f aca="false">IF($M1077="","",TRIM(INDEX($A1077:$J1077,$O$6)&amp;""))</f>
        <v/>
      </c>
      <c r="P1077" s="37" t="str">
        <f aca="false">IF($M1077="","",IFERROR(IF(INDEX(Settings!$B$41:$B$50,MATCH(O1077,Settings!$A$41:$A$50,0))&amp;""="","UNMAPPED",INDEX(Settings!$B$41:$B$50,MATCH(O1077,Settings!$A$41:$A$50,0))&amp;""),"UNMAPPED"))</f>
        <v/>
      </c>
      <c r="Q1077" s="38" t="n">
        <f aca="false">IF($M1077="",0,N(INDEX($A1077:$J1077,$Q$6)))</f>
        <v>0</v>
      </c>
      <c r="R1077" s="39" t="str">
        <f aca="false">IF($M1077="","",INDEX($A1077:$J1077,$R$6))</f>
        <v/>
      </c>
      <c r="S1077" s="37" t="str">
        <f aca="false">IF($M1077="","",IFERROR(INDEX(Settings!$B$27:$B$36,MATCH(L1077,Settings!$A$27:$A$36,0))&amp;"","UNMAPPED"))</f>
        <v/>
      </c>
      <c r="T1077" s="37" t="str">
        <f aca="false">IF($M1077="","",IF(NOT(ISNUMBER(R1077)),"NO DATE",IF(S1077="Won",IF(R1077&gt;Settings!$B$5,"Backlog","Delivered"),IF(S1077="Open",IF(R1077&gt;Settings!$B$5,"Pipeline","Overdue"),IF(S1077="Lost","Lost","UNMAPPED")))))</f>
        <v/>
      </c>
      <c r="U1077" s="40" t="n">
        <f aca="false">IF(T1077="Backlog",1,IF(OR(T1077="Pipeline",T1077="Overdue"),N(INDEX(Settings!$C$27:$C$36,MATCH(L1077,Settings!$A$27:$A$36,0))),0))</f>
        <v>0</v>
      </c>
      <c r="V1077" s="38" t="n">
        <f aca="false">Q1077*U1077</f>
        <v>0</v>
      </c>
      <c r="W1077" s="41" t="str">
        <f aca="false">IF($M1077="","",IF(T1077="Overdue",IF(Settings!$B$8="Yes",Settings!$B$7,""),IF(ISNUMBER(R1077),DATE(YEAR(R1077),MONTH(R1077),1),"")))</f>
        <v/>
      </c>
      <c r="X1077" s="38" t="n">
        <f aca="false">IF(AND(OR(T1077="Backlog",T1077="Pipeline",T1077="Overdue"),ISNUMBER(W1077)),IF(W1077&lt;=Settings!$B$6,V1077,0),0)</f>
        <v>0</v>
      </c>
      <c r="Y1077" s="38" t="n">
        <f aca="false">IF(AND(OR(T1077="Backlog",T1077="Pipeline",T1077="Overdue"),ISNUMBER(W1077)),IF(W1077&lt;=Settings!$B$6,Q1077,0),0)</f>
        <v>0</v>
      </c>
      <c r="Z1077" s="38" t="n">
        <f aca="false">IF(Y1077=0,0,IF(T1077="Backlog",Q1077,Q1077*Dashboard!$C$10))</f>
        <v>0</v>
      </c>
      <c r="AA1077" s="37" t="n">
        <f aca="false">IF($N1077="",0,IF(COUNTIF(Dashboard!$C$13:$C$22,$N1077)&gt;0,1,0))</f>
        <v>0</v>
      </c>
      <c r="AB1077" s="37" t="str">
        <f aca="false">IF($N1077="","",IF(COUNTIF($N$8:$N1077,$N1077)=1,MAX($AB$7:$AB1076)+1,""))</f>
        <v/>
      </c>
    </row>
    <row r="1078" customFormat="false" ht="15" hidden="false" customHeight="false" outlineLevel="0" collapsed="false">
      <c r="L1078" s="37" t="str">
        <f aca="false">IF(INDEX($A1078:$J1078,$L$6)&lt;&gt;"",TRIM(LEFT(INDEX($A1078:$J1078,$L$6),FIND("(",INDEX($A1078:$J1078,$L$6)&amp;"(")-1)),L1077)</f>
        <v>Building Value Proposition</v>
      </c>
      <c r="M1078" s="37" t="str">
        <f aca="false">IF(INDEX($A1078:$J1078,$M$6)="","",INDEX($A1078:$J1078,$M$6)&amp;"")</f>
        <v/>
      </c>
      <c r="N1078" s="37" t="str">
        <f aca="false">IF($M1078="","",TRIM(INDEX($A1078:$J1078,$N$6)&amp;""))</f>
        <v/>
      </c>
      <c r="O1078" s="37" t="str">
        <f aca="false">IF($M1078="","",TRIM(INDEX($A1078:$J1078,$O$6)&amp;""))</f>
        <v/>
      </c>
      <c r="P1078" s="37" t="str">
        <f aca="false">IF($M1078="","",IFERROR(IF(INDEX(Settings!$B$41:$B$50,MATCH(O1078,Settings!$A$41:$A$50,0))&amp;""="","UNMAPPED",INDEX(Settings!$B$41:$B$50,MATCH(O1078,Settings!$A$41:$A$50,0))&amp;""),"UNMAPPED"))</f>
        <v/>
      </c>
      <c r="Q1078" s="38" t="n">
        <f aca="false">IF($M1078="",0,N(INDEX($A1078:$J1078,$Q$6)))</f>
        <v>0</v>
      </c>
      <c r="R1078" s="39" t="str">
        <f aca="false">IF($M1078="","",INDEX($A1078:$J1078,$R$6))</f>
        <v/>
      </c>
      <c r="S1078" s="37" t="str">
        <f aca="false">IF($M1078="","",IFERROR(INDEX(Settings!$B$27:$B$36,MATCH(L1078,Settings!$A$27:$A$36,0))&amp;"","UNMAPPED"))</f>
        <v/>
      </c>
      <c r="T1078" s="37" t="str">
        <f aca="false">IF($M1078="","",IF(NOT(ISNUMBER(R1078)),"NO DATE",IF(S1078="Won",IF(R1078&gt;Settings!$B$5,"Backlog","Delivered"),IF(S1078="Open",IF(R1078&gt;Settings!$B$5,"Pipeline","Overdue"),IF(S1078="Lost","Lost","UNMAPPED")))))</f>
        <v/>
      </c>
      <c r="U1078" s="40" t="n">
        <f aca="false">IF(T1078="Backlog",1,IF(OR(T1078="Pipeline",T1078="Overdue"),N(INDEX(Settings!$C$27:$C$36,MATCH(L1078,Settings!$A$27:$A$36,0))),0))</f>
        <v>0</v>
      </c>
      <c r="V1078" s="38" t="n">
        <f aca="false">Q1078*U1078</f>
        <v>0</v>
      </c>
      <c r="W1078" s="41" t="str">
        <f aca="false">IF($M1078="","",IF(T1078="Overdue",IF(Settings!$B$8="Yes",Settings!$B$7,""),IF(ISNUMBER(R1078),DATE(YEAR(R1078),MONTH(R1078),1),"")))</f>
        <v/>
      </c>
      <c r="X1078" s="38" t="n">
        <f aca="false">IF(AND(OR(T1078="Backlog",T1078="Pipeline",T1078="Overdue"),ISNUMBER(W1078)),IF(W1078&lt;=Settings!$B$6,V1078,0),0)</f>
        <v>0</v>
      </c>
      <c r="Y1078" s="38" t="n">
        <f aca="false">IF(AND(OR(T1078="Backlog",T1078="Pipeline",T1078="Overdue"),ISNUMBER(W1078)),IF(W1078&lt;=Settings!$B$6,Q1078,0),0)</f>
        <v>0</v>
      </c>
      <c r="Z1078" s="38" t="n">
        <f aca="false">IF(Y1078=0,0,IF(T1078="Backlog",Q1078,Q1078*Dashboard!$C$10))</f>
        <v>0</v>
      </c>
      <c r="AA1078" s="37" t="n">
        <f aca="false">IF($N1078="",0,IF(COUNTIF(Dashboard!$C$13:$C$22,$N1078)&gt;0,1,0))</f>
        <v>0</v>
      </c>
      <c r="AB1078" s="37" t="str">
        <f aca="false">IF($N1078="","",IF(COUNTIF($N$8:$N1078,$N1078)=1,MAX($AB$7:$AB1077)+1,""))</f>
        <v/>
      </c>
    </row>
    <row r="1079" customFormat="false" ht="15" hidden="false" customHeight="false" outlineLevel="0" collapsed="false">
      <c r="L1079" s="37" t="str">
        <f aca="false">IF(INDEX($A1079:$J1079,$L$6)&lt;&gt;"",TRIM(LEFT(INDEX($A1079:$J1079,$L$6),FIND("(",INDEX($A1079:$J1079,$L$6)&amp;"(")-1)),L1078)</f>
        <v>Building Value Proposition</v>
      </c>
      <c r="M1079" s="37" t="str">
        <f aca="false">IF(INDEX($A1079:$J1079,$M$6)="","",INDEX($A1079:$J1079,$M$6)&amp;"")</f>
        <v/>
      </c>
      <c r="N1079" s="37" t="str">
        <f aca="false">IF($M1079="","",TRIM(INDEX($A1079:$J1079,$N$6)&amp;""))</f>
        <v/>
      </c>
      <c r="O1079" s="37" t="str">
        <f aca="false">IF($M1079="","",TRIM(INDEX($A1079:$J1079,$O$6)&amp;""))</f>
        <v/>
      </c>
      <c r="P1079" s="37" t="str">
        <f aca="false">IF($M1079="","",IFERROR(IF(INDEX(Settings!$B$41:$B$50,MATCH(O1079,Settings!$A$41:$A$50,0))&amp;""="","UNMAPPED",INDEX(Settings!$B$41:$B$50,MATCH(O1079,Settings!$A$41:$A$50,0))&amp;""),"UNMAPPED"))</f>
        <v/>
      </c>
      <c r="Q1079" s="38" t="n">
        <f aca="false">IF($M1079="",0,N(INDEX($A1079:$J1079,$Q$6)))</f>
        <v>0</v>
      </c>
      <c r="R1079" s="39" t="str">
        <f aca="false">IF($M1079="","",INDEX($A1079:$J1079,$R$6))</f>
        <v/>
      </c>
      <c r="S1079" s="37" t="str">
        <f aca="false">IF($M1079="","",IFERROR(INDEX(Settings!$B$27:$B$36,MATCH(L1079,Settings!$A$27:$A$36,0))&amp;"","UNMAPPED"))</f>
        <v/>
      </c>
      <c r="T1079" s="37" t="str">
        <f aca="false">IF($M1079="","",IF(NOT(ISNUMBER(R1079)),"NO DATE",IF(S1079="Won",IF(R1079&gt;Settings!$B$5,"Backlog","Delivered"),IF(S1079="Open",IF(R1079&gt;Settings!$B$5,"Pipeline","Overdue"),IF(S1079="Lost","Lost","UNMAPPED")))))</f>
        <v/>
      </c>
      <c r="U1079" s="40" t="n">
        <f aca="false">IF(T1079="Backlog",1,IF(OR(T1079="Pipeline",T1079="Overdue"),N(INDEX(Settings!$C$27:$C$36,MATCH(L1079,Settings!$A$27:$A$36,0))),0))</f>
        <v>0</v>
      </c>
      <c r="V1079" s="38" t="n">
        <f aca="false">Q1079*U1079</f>
        <v>0</v>
      </c>
      <c r="W1079" s="41" t="str">
        <f aca="false">IF($M1079="","",IF(T1079="Overdue",IF(Settings!$B$8="Yes",Settings!$B$7,""),IF(ISNUMBER(R1079),DATE(YEAR(R1079),MONTH(R1079),1),"")))</f>
        <v/>
      </c>
      <c r="X1079" s="38" t="n">
        <f aca="false">IF(AND(OR(T1079="Backlog",T1079="Pipeline",T1079="Overdue"),ISNUMBER(W1079)),IF(W1079&lt;=Settings!$B$6,V1079,0),0)</f>
        <v>0</v>
      </c>
      <c r="Y1079" s="38" t="n">
        <f aca="false">IF(AND(OR(T1079="Backlog",T1079="Pipeline",T1079="Overdue"),ISNUMBER(W1079)),IF(W1079&lt;=Settings!$B$6,Q1079,0),0)</f>
        <v>0</v>
      </c>
      <c r="Z1079" s="38" t="n">
        <f aca="false">IF(Y1079=0,0,IF(T1079="Backlog",Q1079,Q1079*Dashboard!$C$10))</f>
        <v>0</v>
      </c>
      <c r="AA1079" s="37" t="n">
        <f aca="false">IF($N1079="",0,IF(COUNTIF(Dashboard!$C$13:$C$22,$N1079)&gt;0,1,0))</f>
        <v>0</v>
      </c>
      <c r="AB1079" s="37" t="str">
        <f aca="false">IF($N1079="","",IF(COUNTIF($N$8:$N1079,$N1079)=1,MAX($AB$7:$AB1078)+1,""))</f>
        <v/>
      </c>
    </row>
    <row r="1080" customFormat="false" ht="15" hidden="false" customHeight="false" outlineLevel="0" collapsed="false">
      <c r="L1080" s="37" t="str">
        <f aca="false">IF(INDEX($A1080:$J1080,$L$6)&lt;&gt;"",TRIM(LEFT(INDEX($A1080:$J1080,$L$6),FIND("(",INDEX($A1080:$J1080,$L$6)&amp;"(")-1)),L1079)</f>
        <v>Building Value Proposition</v>
      </c>
      <c r="M1080" s="37" t="str">
        <f aca="false">IF(INDEX($A1080:$J1080,$M$6)="","",INDEX($A1080:$J1080,$M$6)&amp;"")</f>
        <v/>
      </c>
      <c r="N1080" s="37" t="str">
        <f aca="false">IF($M1080="","",TRIM(INDEX($A1080:$J1080,$N$6)&amp;""))</f>
        <v/>
      </c>
      <c r="O1080" s="37" t="str">
        <f aca="false">IF($M1080="","",TRIM(INDEX($A1080:$J1080,$O$6)&amp;""))</f>
        <v/>
      </c>
      <c r="P1080" s="37" t="str">
        <f aca="false">IF($M1080="","",IFERROR(IF(INDEX(Settings!$B$41:$B$50,MATCH(O1080,Settings!$A$41:$A$50,0))&amp;""="","UNMAPPED",INDEX(Settings!$B$41:$B$50,MATCH(O1080,Settings!$A$41:$A$50,0))&amp;""),"UNMAPPED"))</f>
        <v/>
      </c>
      <c r="Q1080" s="38" t="n">
        <f aca="false">IF($M1080="",0,N(INDEX($A1080:$J1080,$Q$6)))</f>
        <v>0</v>
      </c>
      <c r="R1080" s="39" t="str">
        <f aca="false">IF($M1080="","",INDEX($A1080:$J1080,$R$6))</f>
        <v/>
      </c>
      <c r="S1080" s="37" t="str">
        <f aca="false">IF($M1080="","",IFERROR(INDEX(Settings!$B$27:$B$36,MATCH(L1080,Settings!$A$27:$A$36,0))&amp;"","UNMAPPED"))</f>
        <v/>
      </c>
      <c r="T1080" s="37" t="str">
        <f aca="false">IF($M1080="","",IF(NOT(ISNUMBER(R1080)),"NO DATE",IF(S1080="Won",IF(R1080&gt;Settings!$B$5,"Backlog","Delivered"),IF(S1080="Open",IF(R1080&gt;Settings!$B$5,"Pipeline","Overdue"),IF(S1080="Lost","Lost","UNMAPPED")))))</f>
        <v/>
      </c>
      <c r="U1080" s="40" t="n">
        <f aca="false">IF(T1080="Backlog",1,IF(OR(T1080="Pipeline",T1080="Overdue"),N(INDEX(Settings!$C$27:$C$36,MATCH(L1080,Settings!$A$27:$A$36,0))),0))</f>
        <v>0</v>
      </c>
      <c r="V1080" s="38" t="n">
        <f aca="false">Q1080*U1080</f>
        <v>0</v>
      </c>
      <c r="W1080" s="41" t="str">
        <f aca="false">IF($M1080="","",IF(T1080="Overdue",IF(Settings!$B$8="Yes",Settings!$B$7,""),IF(ISNUMBER(R1080),DATE(YEAR(R1080),MONTH(R1080),1),"")))</f>
        <v/>
      </c>
      <c r="X1080" s="38" t="n">
        <f aca="false">IF(AND(OR(T1080="Backlog",T1080="Pipeline",T1080="Overdue"),ISNUMBER(W1080)),IF(W1080&lt;=Settings!$B$6,V1080,0),0)</f>
        <v>0</v>
      </c>
      <c r="Y1080" s="38" t="n">
        <f aca="false">IF(AND(OR(T1080="Backlog",T1080="Pipeline",T1080="Overdue"),ISNUMBER(W1080)),IF(W1080&lt;=Settings!$B$6,Q1080,0),0)</f>
        <v>0</v>
      </c>
      <c r="Z1080" s="38" t="n">
        <f aca="false">IF(Y1080=0,0,IF(T1080="Backlog",Q1080,Q1080*Dashboard!$C$10))</f>
        <v>0</v>
      </c>
      <c r="AA1080" s="37" t="n">
        <f aca="false">IF($N1080="",0,IF(COUNTIF(Dashboard!$C$13:$C$22,$N1080)&gt;0,1,0))</f>
        <v>0</v>
      </c>
      <c r="AB1080" s="37" t="str">
        <f aca="false">IF($N1080="","",IF(COUNTIF($N$8:$N1080,$N1080)=1,MAX($AB$7:$AB1079)+1,""))</f>
        <v/>
      </c>
    </row>
    <row r="1081" customFormat="false" ht="15" hidden="false" customHeight="false" outlineLevel="0" collapsed="false">
      <c r="L1081" s="37" t="str">
        <f aca="false">IF(INDEX($A1081:$J1081,$L$6)&lt;&gt;"",TRIM(LEFT(INDEX($A1081:$J1081,$L$6),FIND("(",INDEX($A1081:$J1081,$L$6)&amp;"(")-1)),L1080)</f>
        <v>Building Value Proposition</v>
      </c>
      <c r="M1081" s="37" t="str">
        <f aca="false">IF(INDEX($A1081:$J1081,$M$6)="","",INDEX($A1081:$J1081,$M$6)&amp;"")</f>
        <v/>
      </c>
      <c r="N1081" s="37" t="str">
        <f aca="false">IF($M1081="","",TRIM(INDEX($A1081:$J1081,$N$6)&amp;""))</f>
        <v/>
      </c>
      <c r="O1081" s="37" t="str">
        <f aca="false">IF($M1081="","",TRIM(INDEX($A1081:$J1081,$O$6)&amp;""))</f>
        <v/>
      </c>
      <c r="P1081" s="37" t="str">
        <f aca="false">IF($M1081="","",IFERROR(IF(INDEX(Settings!$B$41:$B$50,MATCH(O1081,Settings!$A$41:$A$50,0))&amp;""="","UNMAPPED",INDEX(Settings!$B$41:$B$50,MATCH(O1081,Settings!$A$41:$A$50,0))&amp;""),"UNMAPPED"))</f>
        <v/>
      </c>
      <c r="Q1081" s="38" t="n">
        <f aca="false">IF($M1081="",0,N(INDEX($A1081:$J1081,$Q$6)))</f>
        <v>0</v>
      </c>
      <c r="R1081" s="39" t="str">
        <f aca="false">IF($M1081="","",INDEX($A1081:$J1081,$R$6))</f>
        <v/>
      </c>
      <c r="S1081" s="37" t="str">
        <f aca="false">IF($M1081="","",IFERROR(INDEX(Settings!$B$27:$B$36,MATCH(L1081,Settings!$A$27:$A$36,0))&amp;"","UNMAPPED"))</f>
        <v/>
      </c>
      <c r="T1081" s="37" t="str">
        <f aca="false">IF($M1081="","",IF(NOT(ISNUMBER(R1081)),"NO DATE",IF(S1081="Won",IF(R1081&gt;Settings!$B$5,"Backlog","Delivered"),IF(S1081="Open",IF(R1081&gt;Settings!$B$5,"Pipeline","Overdue"),IF(S1081="Lost","Lost","UNMAPPED")))))</f>
        <v/>
      </c>
      <c r="U1081" s="40" t="n">
        <f aca="false">IF(T1081="Backlog",1,IF(OR(T1081="Pipeline",T1081="Overdue"),N(INDEX(Settings!$C$27:$C$36,MATCH(L1081,Settings!$A$27:$A$36,0))),0))</f>
        <v>0</v>
      </c>
      <c r="V1081" s="38" t="n">
        <f aca="false">Q1081*U1081</f>
        <v>0</v>
      </c>
      <c r="W1081" s="41" t="str">
        <f aca="false">IF($M1081="","",IF(T1081="Overdue",IF(Settings!$B$8="Yes",Settings!$B$7,""),IF(ISNUMBER(R1081),DATE(YEAR(R1081),MONTH(R1081),1),"")))</f>
        <v/>
      </c>
      <c r="X1081" s="38" t="n">
        <f aca="false">IF(AND(OR(T1081="Backlog",T1081="Pipeline",T1081="Overdue"),ISNUMBER(W1081)),IF(W1081&lt;=Settings!$B$6,V1081,0),0)</f>
        <v>0</v>
      </c>
      <c r="Y1081" s="38" t="n">
        <f aca="false">IF(AND(OR(T1081="Backlog",T1081="Pipeline",T1081="Overdue"),ISNUMBER(W1081)),IF(W1081&lt;=Settings!$B$6,Q1081,0),0)</f>
        <v>0</v>
      </c>
      <c r="Z1081" s="38" t="n">
        <f aca="false">IF(Y1081=0,0,IF(T1081="Backlog",Q1081,Q1081*Dashboard!$C$10))</f>
        <v>0</v>
      </c>
      <c r="AA1081" s="37" t="n">
        <f aca="false">IF($N1081="",0,IF(COUNTIF(Dashboard!$C$13:$C$22,$N1081)&gt;0,1,0))</f>
        <v>0</v>
      </c>
      <c r="AB1081" s="37" t="str">
        <f aca="false">IF($N1081="","",IF(COUNTIF($N$8:$N1081,$N1081)=1,MAX($AB$7:$AB1080)+1,""))</f>
        <v/>
      </c>
    </row>
    <row r="1082" customFormat="false" ht="15" hidden="false" customHeight="false" outlineLevel="0" collapsed="false">
      <c r="L1082" s="37" t="str">
        <f aca="false">IF(INDEX($A1082:$J1082,$L$6)&lt;&gt;"",TRIM(LEFT(INDEX($A1082:$J1082,$L$6),FIND("(",INDEX($A1082:$J1082,$L$6)&amp;"(")-1)),L1081)</f>
        <v>Building Value Proposition</v>
      </c>
      <c r="M1082" s="37" t="str">
        <f aca="false">IF(INDEX($A1082:$J1082,$M$6)="","",INDEX($A1082:$J1082,$M$6)&amp;"")</f>
        <v/>
      </c>
      <c r="N1082" s="37" t="str">
        <f aca="false">IF($M1082="","",TRIM(INDEX($A1082:$J1082,$N$6)&amp;""))</f>
        <v/>
      </c>
      <c r="O1082" s="37" t="str">
        <f aca="false">IF($M1082="","",TRIM(INDEX($A1082:$J1082,$O$6)&amp;""))</f>
        <v/>
      </c>
      <c r="P1082" s="37" t="str">
        <f aca="false">IF($M1082="","",IFERROR(IF(INDEX(Settings!$B$41:$B$50,MATCH(O1082,Settings!$A$41:$A$50,0))&amp;""="","UNMAPPED",INDEX(Settings!$B$41:$B$50,MATCH(O1082,Settings!$A$41:$A$50,0))&amp;""),"UNMAPPED"))</f>
        <v/>
      </c>
      <c r="Q1082" s="38" t="n">
        <f aca="false">IF($M1082="",0,N(INDEX($A1082:$J1082,$Q$6)))</f>
        <v>0</v>
      </c>
      <c r="R1082" s="39" t="str">
        <f aca="false">IF($M1082="","",INDEX($A1082:$J1082,$R$6))</f>
        <v/>
      </c>
      <c r="S1082" s="37" t="str">
        <f aca="false">IF($M1082="","",IFERROR(INDEX(Settings!$B$27:$B$36,MATCH(L1082,Settings!$A$27:$A$36,0))&amp;"","UNMAPPED"))</f>
        <v/>
      </c>
      <c r="T1082" s="37" t="str">
        <f aca="false">IF($M1082="","",IF(NOT(ISNUMBER(R1082)),"NO DATE",IF(S1082="Won",IF(R1082&gt;Settings!$B$5,"Backlog","Delivered"),IF(S1082="Open",IF(R1082&gt;Settings!$B$5,"Pipeline","Overdue"),IF(S1082="Lost","Lost","UNMAPPED")))))</f>
        <v/>
      </c>
      <c r="U1082" s="40" t="n">
        <f aca="false">IF(T1082="Backlog",1,IF(OR(T1082="Pipeline",T1082="Overdue"),N(INDEX(Settings!$C$27:$C$36,MATCH(L1082,Settings!$A$27:$A$36,0))),0))</f>
        <v>0</v>
      </c>
      <c r="V1082" s="38" t="n">
        <f aca="false">Q1082*U1082</f>
        <v>0</v>
      </c>
      <c r="W1082" s="41" t="str">
        <f aca="false">IF($M1082="","",IF(T1082="Overdue",IF(Settings!$B$8="Yes",Settings!$B$7,""),IF(ISNUMBER(R1082),DATE(YEAR(R1082),MONTH(R1082),1),"")))</f>
        <v/>
      </c>
      <c r="X1082" s="38" t="n">
        <f aca="false">IF(AND(OR(T1082="Backlog",T1082="Pipeline",T1082="Overdue"),ISNUMBER(W1082)),IF(W1082&lt;=Settings!$B$6,V1082,0),0)</f>
        <v>0</v>
      </c>
      <c r="Y1082" s="38" t="n">
        <f aca="false">IF(AND(OR(T1082="Backlog",T1082="Pipeline",T1082="Overdue"),ISNUMBER(W1082)),IF(W1082&lt;=Settings!$B$6,Q1082,0),0)</f>
        <v>0</v>
      </c>
      <c r="Z1082" s="38" t="n">
        <f aca="false">IF(Y1082=0,0,IF(T1082="Backlog",Q1082,Q1082*Dashboard!$C$10))</f>
        <v>0</v>
      </c>
      <c r="AA1082" s="37" t="n">
        <f aca="false">IF($N1082="",0,IF(COUNTIF(Dashboard!$C$13:$C$22,$N1082)&gt;0,1,0))</f>
        <v>0</v>
      </c>
      <c r="AB1082" s="37" t="str">
        <f aca="false">IF($N1082="","",IF(COUNTIF($N$8:$N1082,$N1082)=1,MAX($AB$7:$AB1081)+1,""))</f>
        <v/>
      </c>
    </row>
    <row r="1083" customFormat="false" ht="15" hidden="false" customHeight="false" outlineLevel="0" collapsed="false">
      <c r="L1083" s="37" t="str">
        <f aca="false">IF(INDEX($A1083:$J1083,$L$6)&lt;&gt;"",TRIM(LEFT(INDEX($A1083:$J1083,$L$6),FIND("(",INDEX($A1083:$J1083,$L$6)&amp;"(")-1)),L1082)</f>
        <v>Building Value Proposition</v>
      </c>
      <c r="M1083" s="37" t="str">
        <f aca="false">IF(INDEX($A1083:$J1083,$M$6)="","",INDEX($A1083:$J1083,$M$6)&amp;"")</f>
        <v/>
      </c>
      <c r="N1083" s="37" t="str">
        <f aca="false">IF($M1083="","",TRIM(INDEX($A1083:$J1083,$N$6)&amp;""))</f>
        <v/>
      </c>
      <c r="O1083" s="37" t="str">
        <f aca="false">IF($M1083="","",TRIM(INDEX($A1083:$J1083,$O$6)&amp;""))</f>
        <v/>
      </c>
      <c r="P1083" s="37" t="str">
        <f aca="false">IF($M1083="","",IFERROR(IF(INDEX(Settings!$B$41:$B$50,MATCH(O1083,Settings!$A$41:$A$50,0))&amp;""="","UNMAPPED",INDEX(Settings!$B$41:$B$50,MATCH(O1083,Settings!$A$41:$A$50,0))&amp;""),"UNMAPPED"))</f>
        <v/>
      </c>
      <c r="Q1083" s="38" t="n">
        <f aca="false">IF($M1083="",0,N(INDEX($A1083:$J1083,$Q$6)))</f>
        <v>0</v>
      </c>
      <c r="R1083" s="39" t="str">
        <f aca="false">IF($M1083="","",INDEX($A1083:$J1083,$R$6))</f>
        <v/>
      </c>
      <c r="S1083" s="37" t="str">
        <f aca="false">IF($M1083="","",IFERROR(INDEX(Settings!$B$27:$B$36,MATCH(L1083,Settings!$A$27:$A$36,0))&amp;"","UNMAPPED"))</f>
        <v/>
      </c>
      <c r="T1083" s="37" t="str">
        <f aca="false">IF($M1083="","",IF(NOT(ISNUMBER(R1083)),"NO DATE",IF(S1083="Won",IF(R1083&gt;Settings!$B$5,"Backlog","Delivered"),IF(S1083="Open",IF(R1083&gt;Settings!$B$5,"Pipeline","Overdue"),IF(S1083="Lost","Lost","UNMAPPED")))))</f>
        <v/>
      </c>
      <c r="U1083" s="40" t="n">
        <f aca="false">IF(T1083="Backlog",1,IF(OR(T1083="Pipeline",T1083="Overdue"),N(INDEX(Settings!$C$27:$C$36,MATCH(L1083,Settings!$A$27:$A$36,0))),0))</f>
        <v>0</v>
      </c>
      <c r="V1083" s="38" t="n">
        <f aca="false">Q1083*U1083</f>
        <v>0</v>
      </c>
      <c r="W1083" s="41" t="str">
        <f aca="false">IF($M1083="","",IF(T1083="Overdue",IF(Settings!$B$8="Yes",Settings!$B$7,""),IF(ISNUMBER(R1083),DATE(YEAR(R1083),MONTH(R1083),1),"")))</f>
        <v/>
      </c>
      <c r="X1083" s="38" t="n">
        <f aca="false">IF(AND(OR(T1083="Backlog",T1083="Pipeline",T1083="Overdue"),ISNUMBER(W1083)),IF(W1083&lt;=Settings!$B$6,V1083,0),0)</f>
        <v>0</v>
      </c>
      <c r="Y1083" s="38" t="n">
        <f aca="false">IF(AND(OR(T1083="Backlog",T1083="Pipeline",T1083="Overdue"),ISNUMBER(W1083)),IF(W1083&lt;=Settings!$B$6,Q1083,0),0)</f>
        <v>0</v>
      </c>
      <c r="Z1083" s="38" t="n">
        <f aca="false">IF(Y1083=0,0,IF(T1083="Backlog",Q1083,Q1083*Dashboard!$C$10))</f>
        <v>0</v>
      </c>
      <c r="AA1083" s="37" t="n">
        <f aca="false">IF($N1083="",0,IF(COUNTIF(Dashboard!$C$13:$C$22,$N1083)&gt;0,1,0))</f>
        <v>0</v>
      </c>
      <c r="AB1083" s="37" t="str">
        <f aca="false">IF($N1083="","",IF(COUNTIF($N$8:$N1083,$N1083)=1,MAX($AB$7:$AB1082)+1,""))</f>
        <v/>
      </c>
    </row>
    <row r="1084" customFormat="false" ht="15" hidden="false" customHeight="false" outlineLevel="0" collapsed="false">
      <c r="L1084" s="37" t="str">
        <f aca="false">IF(INDEX($A1084:$J1084,$L$6)&lt;&gt;"",TRIM(LEFT(INDEX($A1084:$J1084,$L$6),FIND("(",INDEX($A1084:$J1084,$L$6)&amp;"(")-1)),L1083)</f>
        <v>Building Value Proposition</v>
      </c>
      <c r="M1084" s="37" t="str">
        <f aca="false">IF(INDEX($A1084:$J1084,$M$6)="","",INDEX($A1084:$J1084,$M$6)&amp;"")</f>
        <v/>
      </c>
      <c r="N1084" s="37" t="str">
        <f aca="false">IF($M1084="","",TRIM(INDEX($A1084:$J1084,$N$6)&amp;""))</f>
        <v/>
      </c>
      <c r="O1084" s="37" t="str">
        <f aca="false">IF($M1084="","",TRIM(INDEX($A1084:$J1084,$O$6)&amp;""))</f>
        <v/>
      </c>
      <c r="P1084" s="37" t="str">
        <f aca="false">IF($M1084="","",IFERROR(IF(INDEX(Settings!$B$41:$B$50,MATCH(O1084,Settings!$A$41:$A$50,0))&amp;""="","UNMAPPED",INDEX(Settings!$B$41:$B$50,MATCH(O1084,Settings!$A$41:$A$50,0))&amp;""),"UNMAPPED"))</f>
        <v/>
      </c>
      <c r="Q1084" s="38" t="n">
        <f aca="false">IF($M1084="",0,N(INDEX($A1084:$J1084,$Q$6)))</f>
        <v>0</v>
      </c>
      <c r="R1084" s="39" t="str">
        <f aca="false">IF($M1084="","",INDEX($A1084:$J1084,$R$6))</f>
        <v/>
      </c>
      <c r="S1084" s="37" t="str">
        <f aca="false">IF($M1084="","",IFERROR(INDEX(Settings!$B$27:$B$36,MATCH(L1084,Settings!$A$27:$A$36,0))&amp;"","UNMAPPED"))</f>
        <v/>
      </c>
      <c r="T1084" s="37" t="str">
        <f aca="false">IF($M1084="","",IF(NOT(ISNUMBER(R1084)),"NO DATE",IF(S1084="Won",IF(R1084&gt;Settings!$B$5,"Backlog","Delivered"),IF(S1084="Open",IF(R1084&gt;Settings!$B$5,"Pipeline","Overdue"),IF(S1084="Lost","Lost","UNMAPPED")))))</f>
        <v/>
      </c>
      <c r="U1084" s="40" t="n">
        <f aca="false">IF(T1084="Backlog",1,IF(OR(T1084="Pipeline",T1084="Overdue"),N(INDEX(Settings!$C$27:$C$36,MATCH(L1084,Settings!$A$27:$A$36,0))),0))</f>
        <v>0</v>
      </c>
      <c r="V1084" s="38" t="n">
        <f aca="false">Q1084*U1084</f>
        <v>0</v>
      </c>
      <c r="W1084" s="41" t="str">
        <f aca="false">IF($M1084="","",IF(T1084="Overdue",IF(Settings!$B$8="Yes",Settings!$B$7,""),IF(ISNUMBER(R1084),DATE(YEAR(R1084),MONTH(R1084),1),"")))</f>
        <v/>
      </c>
      <c r="X1084" s="38" t="n">
        <f aca="false">IF(AND(OR(T1084="Backlog",T1084="Pipeline",T1084="Overdue"),ISNUMBER(W1084)),IF(W1084&lt;=Settings!$B$6,V1084,0),0)</f>
        <v>0</v>
      </c>
      <c r="Y1084" s="38" t="n">
        <f aca="false">IF(AND(OR(T1084="Backlog",T1084="Pipeline",T1084="Overdue"),ISNUMBER(W1084)),IF(W1084&lt;=Settings!$B$6,Q1084,0),0)</f>
        <v>0</v>
      </c>
      <c r="Z1084" s="38" t="n">
        <f aca="false">IF(Y1084=0,0,IF(T1084="Backlog",Q1084,Q1084*Dashboard!$C$10))</f>
        <v>0</v>
      </c>
      <c r="AA1084" s="37" t="n">
        <f aca="false">IF($N1084="",0,IF(COUNTIF(Dashboard!$C$13:$C$22,$N1084)&gt;0,1,0))</f>
        <v>0</v>
      </c>
      <c r="AB1084" s="37" t="str">
        <f aca="false">IF($N1084="","",IF(COUNTIF($N$8:$N1084,$N1084)=1,MAX($AB$7:$AB1083)+1,""))</f>
        <v/>
      </c>
    </row>
    <row r="1085" customFormat="false" ht="15" hidden="false" customHeight="false" outlineLevel="0" collapsed="false">
      <c r="L1085" s="37" t="str">
        <f aca="false">IF(INDEX($A1085:$J1085,$L$6)&lt;&gt;"",TRIM(LEFT(INDEX($A1085:$J1085,$L$6),FIND("(",INDEX($A1085:$J1085,$L$6)&amp;"(")-1)),L1084)</f>
        <v>Building Value Proposition</v>
      </c>
      <c r="M1085" s="37" t="str">
        <f aca="false">IF(INDEX($A1085:$J1085,$M$6)="","",INDEX($A1085:$J1085,$M$6)&amp;"")</f>
        <v/>
      </c>
      <c r="N1085" s="37" t="str">
        <f aca="false">IF($M1085="","",TRIM(INDEX($A1085:$J1085,$N$6)&amp;""))</f>
        <v/>
      </c>
      <c r="O1085" s="37" t="str">
        <f aca="false">IF($M1085="","",TRIM(INDEX($A1085:$J1085,$O$6)&amp;""))</f>
        <v/>
      </c>
      <c r="P1085" s="37" t="str">
        <f aca="false">IF($M1085="","",IFERROR(IF(INDEX(Settings!$B$41:$B$50,MATCH(O1085,Settings!$A$41:$A$50,0))&amp;""="","UNMAPPED",INDEX(Settings!$B$41:$B$50,MATCH(O1085,Settings!$A$41:$A$50,0))&amp;""),"UNMAPPED"))</f>
        <v/>
      </c>
      <c r="Q1085" s="38" t="n">
        <f aca="false">IF($M1085="",0,N(INDEX($A1085:$J1085,$Q$6)))</f>
        <v>0</v>
      </c>
      <c r="R1085" s="39" t="str">
        <f aca="false">IF($M1085="","",INDEX($A1085:$J1085,$R$6))</f>
        <v/>
      </c>
      <c r="S1085" s="37" t="str">
        <f aca="false">IF($M1085="","",IFERROR(INDEX(Settings!$B$27:$B$36,MATCH(L1085,Settings!$A$27:$A$36,0))&amp;"","UNMAPPED"))</f>
        <v/>
      </c>
      <c r="T1085" s="37" t="str">
        <f aca="false">IF($M1085="","",IF(NOT(ISNUMBER(R1085)),"NO DATE",IF(S1085="Won",IF(R1085&gt;Settings!$B$5,"Backlog","Delivered"),IF(S1085="Open",IF(R1085&gt;Settings!$B$5,"Pipeline","Overdue"),IF(S1085="Lost","Lost","UNMAPPED")))))</f>
        <v/>
      </c>
      <c r="U1085" s="40" t="n">
        <f aca="false">IF(T1085="Backlog",1,IF(OR(T1085="Pipeline",T1085="Overdue"),N(INDEX(Settings!$C$27:$C$36,MATCH(L1085,Settings!$A$27:$A$36,0))),0))</f>
        <v>0</v>
      </c>
      <c r="V1085" s="38" t="n">
        <f aca="false">Q1085*U1085</f>
        <v>0</v>
      </c>
      <c r="W1085" s="41" t="str">
        <f aca="false">IF($M1085="","",IF(T1085="Overdue",IF(Settings!$B$8="Yes",Settings!$B$7,""),IF(ISNUMBER(R1085),DATE(YEAR(R1085),MONTH(R1085),1),"")))</f>
        <v/>
      </c>
      <c r="X1085" s="38" t="n">
        <f aca="false">IF(AND(OR(T1085="Backlog",T1085="Pipeline",T1085="Overdue"),ISNUMBER(W1085)),IF(W1085&lt;=Settings!$B$6,V1085,0),0)</f>
        <v>0</v>
      </c>
      <c r="Y1085" s="38" t="n">
        <f aca="false">IF(AND(OR(T1085="Backlog",T1085="Pipeline",T1085="Overdue"),ISNUMBER(W1085)),IF(W1085&lt;=Settings!$B$6,Q1085,0),0)</f>
        <v>0</v>
      </c>
      <c r="Z1085" s="38" t="n">
        <f aca="false">IF(Y1085=0,0,IF(T1085="Backlog",Q1085,Q1085*Dashboard!$C$10))</f>
        <v>0</v>
      </c>
      <c r="AA1085" s="37" t="n">
        <f aca="false">IF($N1085="",0,IF(COUNTIF(Dashboard!$C$13:$C$22,$N1085)&gt;0,1,0))</f>
        <v>0</v>
      </c>
      <c r="AB1085" s="37" t="str">
        <f aca="false">IF($N1085="","",IF(COUNTIF($N$8:$N1085,$N1085)=1,MAX($AB$7:$AB1084)+1,""))</f>
        <v/>
      </c>
    </row>
    <row r="1086" customFormat="false" ht="15" hidden="false" customHeight="false" outlineLevel="0" collapsed="false">
      <c r="L1086" s="37" t="str">
        <f aca="false">IF(INDEX($A1086:$J1086,$L$6)&lt;&gt;"",TRIM(LEFT(INDEX($A1086:$J1086,$L$6),FIND("(",INDEX($A1086:$J1086,$L$6)&amp;"(")-1)),L1085)</f>
        <v>Building Value Proposition</v>
      </c>
      <c r="M1086" s="37" t="str">
        <f aca="false">IF(INDEX($A1086:$J1086,$M$6)="","",INDEX($A1086:$J1086,$M$6)&amp;"")</f>
        <v/>
      </c>
      <c r="N1086" s="37" t="str">
        <f aca="false">IF($M1086="","",TRIM(INDEX($A1086:$J1086,$N$6)&amp;""))</f>
        <v/>
      </c>
      <c r="O1086" s="37" t="str">
        <f aca="false">IF($M1086="","",TRIM(INDEX($A1086:$J1086,$O$6)&amp;""))</f>
        <v/>
      </c>
      <c r="P1086" s="37" t="str">
        <f aca="false">IF($M1086="","",IFERROR(IF(INDEX(Settings!$B$41:$B$50,MATCH(O1086,Settings!$A$41:$A$50,0))&amp;""="","UNMAPPED",INDEX(Settings!$B$41:$B$50,MATCH(O1086,Settings!$A$41:$A$50,0))&amp;""),"UNMAPPED"))</f>
        <v/>
      </c>
      <c r="Q1086" s="38" t="n">
        <f aca="false">IF($M1086="",0,N(INDEX($A1086:$J1086,$Q$6)))</f>
        <v>0</v>
      </c>
      <c r="R1086" s="39" t="str">
        <f aca="false">IF($M1086="","",INDEX($A1086:$J1086,$R$6))</f>
        <v/>
      </c>
      <c r="S1086" s="37" t="str">
        <f aca="false">IF($M1086="","",IFERROR(INDEX(Settings!$B$27:$B$36,MATCH(L1086,Settings!$A$27:$A$36,0))&amp;"","UNMAPPED"))</f>
        <v/>
      </c>
      <c r="T1086" s="37" t="str">
        <f aca="false">IF($M1086="","",IF(NOT(ISNUMBER(R1086)),"NO DATE",IF(S1086="Won",IF(R1086&gt;Settings!$B$5,"Backlog","Delivered"),IF(S1086="Open",IF(R1086&gt;Settings!$B$5,"Pipeline","Overdue"),IF(S1086="Lost","Lost","UNMAPPED")))))</f>
        <v/>
      </c>
      <c r="U1086" s="40" t="n">
        <f aca="false">IF(T1086="Backlog",1,IF(OR(T1086="Pipeline",T1086="Overdue"),N(INDEX(Settings!$C$27:$C$36,MATCH(L1086,Settings!$A$27:$A$36,0))),0))</f>
        <v>0</v>
      </c>
      <c r="V1086" s="38" t="n">
        <f aca="false">Q1086*U1086</f>
        <v>0</v>
      </c>
      <c r="W1086" s="41" t="str">
        <f aca="false">IF($M1086="","",IF(T1086="Overdue",IF(Settings!$B$8="Yes",Settings!$B$7,""),IF(ISNUMBER(R1086),DATE(YEAR(R1086),MONTH(R1086),1),"")))</f>
        <v/>
      </c>
      <c r="X1086" s="38" t="n">
        <f aca="false">IF(AND(OR(T1086="Backlog",T1086="Pipeline",T1086="Overdue"),ISNUMBER(W1086)),IF(W1086&lt;=Settings!$B$6,V1086,0),0)</f>
        <v>0</v>
      </c>
      <c r="Y1086" s="38" t="n">
        <f aca="false">IF(AND(OR(T1086="Backlog",T1086="Pipeline",T1086="Overdue"),ISNUMBER(W1086)),IF(W1086&lt;=Settings!$B$6,Q1086,0),0)</f>
        <v>0</v>
      </c>
      <c r="Z1086" s="38" t="n">
        <f aca="false">IF(Y1086=0,0,IF(T1086="Backlog",Q1086,Q1086*Dashboard!$C$10))</f>
        <v>0</v>
      </c>
      <c r="AA1086" s="37" t="n">
        <f aca="false">IF($N1086="",0,IF(COUNTIF(Dashboard!$C$13:$C$22,$N1086)&gt;0,1,0))</f>
        <v>0</v>
      </c>
      <c r="AB1086" s="37" t="str">
        <f aca="false">IF($N1086="","",IF(COUNTIF($N$8:$N1086,$N1086)=1,MAX($AB$7:$AB1085)+1,""))</f>
        <v/>
      </c>
    </row>
    <row r="1087" customFormat="false" ht="15" hidden="false" customHeight="false" outlineLevel="0" collapsed="false">
      <c r="L1087" s="37" t="str">
        <f aca="false">IF(INDEX($A1087:$J1087,$L$6)&lt;&gt;"",TRIM(LEFT(INDEX($A1087:$J1087,$L$6),FIND("(",INDEX($A1087:$J1087,$L$6)&amp;"(")-1)),L1086)</f>
        <v>Building Value Proposition</v>
      </c>
      <c r="M1087" s="37" t="str">
        <f aca="false">IF(INDEX($A1087:$J1087,$M$6)="","",INDEX($A1087:$J1087,$M$6)&amp;"")</f>
        <v/>
      </c>
      <c r="N1087" s="37" t="str">
        <f aca="false">IF($M1087="","",TRIM(INDEX($A1087:$J1087,$N$6)&amp;""))</f>
        <v/>
      </c>
      <c r="O1087" s="37" t="str">
        <f aca="false">IF($M1087="","",TRIM(INDEX($A1087:$J1087,$O$6)&amp;""))</f>
        <v/>
      </c>
      <c r="P1087" s="37" t="str">
        <f aca="false">IF($M1087="","",IFERROR(IF(INDEX(Settings!$B$41:$B$50,MATCH(O1087,Settings!$A$41:$A$50,0))&amp;""="","UNMAPPED",INDEX(Settings!$B$41:$B$50,MATCH(O1087,Settings!$A$41:$A$50,0))&amp;""),"UNMAPPED"))</f>
        <v/>
      </c>
      <c r="Q1087" s="38" t="n">
        <f aca="false">IF($M1087="",0,N(INDEX($A1087:$J1087,$Q$6)))</f>
        <v>0</v>
      </c>
      <c r="R1087" s="39" t="str">
        <f aca="false">IF($M1087="","",INDEX($A1087:$J1087,$R$6))</f>
        <v/>
      </c>
      <c r="S1087" s="37" t="str">
        <f aca="false">IF($M1087="","",IFERROR(INDEX(Settings!$B$27:$B$36,MATCH(L1087,Settings!$A$27:$A$36,0))&amp;"","UNMAPPED"))</f>
        <v/>
      </c>
      <c r="T1087" s="37" t="str">
        <f aca="false">IF($M1087="","",IF(NOT(ISNUMBER(R1087)),"NO DATE",IF(S1087="Won",IF(R1087&gt;Settings!$B$5,"Backlog","Delivered"),IF(S1087="Open",IF(R1087&gt;Settings!$B$5,"Pipeline","Overdue"),IF(S1087="Lost","Lost","UNMAPPED")))))</f>
        <v/>
      </c>
      <c r="U1087" s="40" t="n">
        <f aca="false">IF(T1087="Backlog",1,IF(OR(T1087="Pipeline",T1087="Overdue"),N(INDEX(Settings!$C$27:$C$36,MATCH(L1087,Settings!$A$27:$A$36,0))),0))</f>
        <v>0</v>
      </c>
      <c r="V1087" s="38" t="n">
        <f aca="false">Q1087*U1087</f>
        <v>0</v>
      </c>
      <c r="W1087" s="41" t="str">
        <f aca="false">IF($M1087="","",IF(T1087="Overdue",IF(Settings!$B$8="Yes",Settings!$B$7,""),IF(ISNUMBER(R1087),DATE(YEAR(R1087),MONTH(R1087),1),"")))</f>
        <v/>
      </c>
      <c r="X1087" s="38" t="n">
        <f aca="false">IF(AND(OR(T1087="Backlog",T1087="Pipeline",T1087="Overdue"),ISNUMBER(W1087)),IF(W1087&lt;=Settings!$B$6,V1087,0),0)</f>
        <v>0</v>
      </c>
      <c r="Y1087" s="38" t="n">
        <f aca="false">IF(AND(OR(T1087="Backlog",T1087="Pipeline",T1087="Overdue"),ISNUMBER(W1087)),IF(W1087&lt;=Settings!$B$6,Q1087,0),0)</f>
        <v>0</v>
      </c>
      <c r="Z1087" s="38" t="n">
        <f aca="false">IF(Y1087=0,0,IF(T1087="Backlog",Q1087,Q1087*Dashboard!$C$10))</f>
        <v>0</v>
      </c>
      <c r="AA1087" s="37" t="n">
        <f aca="false">IF($N1087="",0,IF(COUNTIF(Dashboard!$C$13:$C$22,$N1087)&gt;0,1,0))</f>
        <v>0</v>
      </c>
      <c r="AB1087" s="37" t="str">
        <f aca="false">IF($N1087="","",IF(COUNTIF($N$8:$N1087,$N1087)=1,MAX($AB$7:$AB1086)+1,""))</f>
        <v/>
      </c>
    </row>
    <row r="1088" customFormat="false" ht="15" hidden="false" customHeight="false" outlineLevel="0" collapsed="false">
      <c r="L1088" s="37" t="str">
        <f aca="false">IF(INDEX($A1088:$J1088,$L$6)&lt;&gt;"",TRIM(LEFT(INDEX($A1088:$J1088,$L$6),FIND("(",INDEX($A1088:$J1088,$L$6)&amp;"(")-1)),L1087)</f>
        <v>Building Value Proposition</v>
      </c>
      <c r="M1088" s="37" t="str">
        <f aca="false">IF(INDEX($A1088:$J1088,$M$6)="","",INDEX($A1088:$J1088,$M$6)&amp;"")</f>
        <v/>
      </c>
      <c r="N1088" s="37" t="str">
        <f aca="false">IF($M1088="","",TRIM(INDEX($A1088:$J1088,$N$6)&amp;""))</f>
        <v/>
      </c>
      <c r="O1088" s="37" t="str">
        <f aca="false">IF($M1088="","",TRIM(INDEX($A1088:$J1088,$O$6)&amp;""))</f>
        <v/>
      </c>
      <c r="P1088" s="37" t="str">
        <f aca="false">IF($M1088="","",IFERROR(IF(INDEX(Settings!$B$41:$B$50,MATCH(O1088,Settings!$A$41:$A$50,0))&amp;""="","UNMAPPED",INDEX(Settings!$B$41:$B$50,MATCH(O1088,Settings!$A$41:$A$50,0))&amp;""),"UNMAPPED"))</f>
        <v/>
      </c>
      <c r="Q1088" s="38" t="n">
        <f aca="false">IF($M1088="",0,N(INDEX($A1088:$J1088,$Q$6)))</f>
        <v>0</v>
      </c>
      <c r="R1088" s="39" t="str">
        <f aca="false">IF($M1088="","",INDEX($A1088:$J1088,$R$6))</f>
        <v/>
      </c>
      <c r="S1088" s="37" t="str">
        <f aca="false">IF($M1088="","",IFERROR(INDEX(Settings!$B$27:$B$36,MATCH(L1088,Settings!$A$27:$A$36,0))&amp;"","UNMAPPED"))</f>
        <v/>
      </c>
      <c r="T1088" s="37" t="str">
        <f aca="false">IF($M1088="","",IF(NOT(ISNUMBER(R1088)),"NO DATE",IF(S1088="Won",IF(R1088&gt;Settings!$B$5,"Backlog","Delivered"),IF(S1088="Open",IF(R1088&gt;Settings!$B$5,"Pipeline","Overdue"),IF(S1088="Lost","Lost","UNMAPPED")))))</f>
        <v/>
      </c>
      <c r="U1088" s="40" t="n">
        <f aca="false">IF(T1088="Backlog",1,IF(OR(T1088="Pipeline",T1088="Overdue"),N(INDEX(Settings!$C$27:$C$36,MATCH(L1088,Settings!$A$27:$A$36,0))),0))</f>
        <v>0</v>
      </c>
      <c r="V1088" s="38" t="n">
        <f aca="false">Q1088*U1088</f>
        <v>0</v>
      </c>
      <c r="W1088" s="41" t="str">
        <f aca="false">IF($M1088="","",IF(T1088="Overdue",IF(Settings!$B$8="Yes",Settings!$B$7,""),IF(ISNUMBER(R1088),DATE(YEAR(R1088),MONTH(R1088),1),"")))</f>
        <v/>
      </c>
      <c r="X1088" s="38" t="n">
        <f aca="false">IF(AND(OR(T1088="Backlog",T1088="Pipeline",T1088="Overdue"),ISNUMBER(W1088)),IF(W1088&lt;=Settings!$B$6,V1088,0),0)</f>
        <v>0</v>
      </c>
      <c r="Y1088" s="38" t="n">
        <f aca="false">IF(AND(OR(T1088="Backlog",T1088="Pipeline",T1088="Overdue"),ISNUMBER(W1088)),IF(W1088&lt;=Settings!$B$6,Q1088,0),0)</f>
        <v>0</v>
      </c>
      <c r="Z1088" s="38" t="n">
        <f aca="false">IF(Y1088=0,0,IF(T1088="Backlog",Q1088,Q1088*Dashboard!$C$10))</f>
        <v>0</v>
      </c>
      <c r="AA1088" s="37" t="n">
        <f aca="false">IF($N1088="",0,IF(COUNTIF(Dashboard!$C$13:$C$22,$N1088)&gt;0,1,0))</f>
        <v>0</v>
      </c>
      <c r="AB1088" s="37" t="str">
        <f aca="false">IF($N1088="","",IF(COUNTIF($N$8:$N1088,$N1088)=1,MAX($AB$7:$AB1087)+1,""))</f>
        <v/>
      </c>
    </row>
    <row r="1089" customFormat="false" ht="15" hidden="false" customHeight="false" outlineLevel="0" collapsed="false">
      <c r="L1089" s="37" t="str">
        <f aca="false">IF(INDEX($A1089:$J1089,$L$6)&lt;&gt;"",TRIM(LEFT(INDEX($A1089:$J1089,$L$6),FIND("(",INDEX($A1089:$J1089,$L$6)&amp;"(")-1)),L1088)</f>
        <v>Building Value Proposition</v>
      </c>
      <c r="M1089" s="37" t="str">
        <f aca="false">IF(INDEX($A1089:$J1089,$M$6)="","",INDEX($A1089:$J1089,$M$6)&amp;"")</f>
        <v/>
      </c>
      <c r="N1089" s="37" t="str">
        <f aca="false">IF($M1089="","",TRIM(INDEX($A1089:$J1089,$N$6)&amp;""))</f>
        <v/>
      </c>
      <c r="O1089" s="37" t="str">
        <f aca="false">IF($M1089="","",TRIM(INDEX($A1089:$J1089,$O$6)&amp;""))</f>
        <v/>
      </c>
      <c r="P1089" s="37" t="str">
        <f aca="false">IF($M1089="","",IFERROR(IF(INDEX(Settings!$B$41:$B$50,MATCH(O1089,Settings!$A$41:$A$50,0))&amp;""="","UNMAPPED",INDEX(Settings!$B$41:$B$50,MATCH(O1089,Settings!$A$41:$A$50,0))&amp;""),"UNMAPPED"))</f>
        <v/>
      </c>
      <c r="Q1089" s="38" t="n">
        <f aca="false">IF($M1089="",0,N(INDEX($A1089:$J1089,$Q$6)))</f>
        <v>0</v>
      </c>
      <c r="R1089" s="39" t="str">
        <f aca="false">IF($M1089="","",INDEX($A1089:$J1089,$R$6))</f>
        <v/>
      </c>
      <c r="S1089" s="37" t="str">
        <f aca="false">IF($M1089="","",IFERROR(INDEX(Settings!$B$27:$B$36,MATCH(L1089,Settings!$A$27:$A$36,0))&amp;"","UNMAPPED"))</f>
        <v/>
      </c>
      <c r="T1089" s="37" t="str">
        <f aca="false">IF($M1089="","",IF(NOT(ISNUMBER(R1089)),"NO DATE",IF(S1089="Won",IF(R1089&gt;Settings!$B$5,"Backlog","Delivered"),IF(S1089="Open",IF(R1089&gt;Settings!$B$5,"Pipeline","Overdue"),IF(S1089="Lost","Lost","UNMAPPED")))))</f>
        <v/>
      </c>
      <c r="U1089" s="40" t="n">
        <f aca="false">IF(T1089="Backlog",1,IF(OR(T1089="Pipeline",T1089="Overdue"),N(INDEX(Settings!$C$27:$C$36,MATCH(L1089,Settings!$A$27:$A$36,0))),0))</f>
        <v>0</v>
      </c>
      <c r="V1089" s="38" t="n">
        <f aca="false">Q1089*U1089</f>
        <v>0</v>
      </c>
      <c r="W1089" s="41" t="str">
        <f aca="false">IF($M1089="","",IF(T1089="Overdue",IF(Settings!$B$8="Yes",Settings!$B$7,""),IF(ISNUMBER(R1089),DATE(YEAR(R1089),MONTH(R1089),1),"")))</f>
        <v/>
      </c>
      <c r="X1089" s="38" t="n">
        <f aca="false">IF(AND(OR(T1089="Backlog",T1089="Pipeline",T1089="Overdue"),ISNUMBER(W1089)),IF(W1089&lt;=Settings!$B$6,V1089,0),0)</f>
        <v>0</v>
      </c>
      <c r="Y1089" s="38" t="n">
        <f aca="false">IF(AND(OR(T1089="Backlog",T1089="Pipeline",T1089="Overdue"),ISNUMBER(W1089)),IF(W1089&lt;=Settings!$B$6,Q1089,0),0)</f>
        <v>0</v>
      </c>
      <c r="Z1089" s="38" t="n">
        <f aca="false">IF(Y1089=0,0,IF(T1089="Backlog",Q1089,Q1089*Dashboard!$C$10))</f>
        <v>0</v>
      </c>
      <c r="AA1089" s="37" t="n">
        <f aca="false">IF($N1089="",0,IF(COUNTIF(Dashboard!$C$13:$C$22,$N1089)&gt;0,1,0))</f>
        <v>0</v>
      </c>
      <c r="AB1089" s="37" t="str">
        <f aca="false">IF($N1089="","",IF(COUNTIF($N$8:$N1089,$N1089)=1,MAX($AB$7:$AB1088)+1,""))</f>
        <v/>
      </c>
    </row>
    <row r="1090" customFormat="false" ht="15" hidden="false" customHeight="false" outlineLevel="0" collapsed="false">
      <c r="L1090" s="37" t="str">
        <f aca="false">IF(INDEX($A1090:$J1090,$L$6)&lt;&gt;"",TRIM(LEFT(INDEX($A1090:$J1090,$L$6),FIND("(",INDEX($A1090:$J1090,$L$6)&amp;"(")-1)),L1089)</f>
        <v>Building Value Proposition</v>
      </c>
      <c r="M1090" s="37" t="str">
        <f aca="false">IF(INDEX($A1090:$J1090,$M$6)="","",INDEX($A1090:$J1090,$M$6)&amp;"")</f>
        <v/>
      </c>
      <c r="N1090" s="37" t="str">
        <f aca="false">IF($M1090="","",TRIM(INDEX($A1090:$J1090,$N$6)&amp;""))</f>
        <v/>
      </c>
      <c r="O1090" s="37" t="str">
        <f aca="false">IF($M1090="","",TRIM(INDEX($A1090:$J1090,$O$6)&amp;""))</f>
        <v/>
      </c>
      <c r="P1090" s="37" t="str">
        <f aca="false">IF($M1090="","",IFERROR(IF(INDEX(Settings!$B$41:$B$50,MATCH(O1090,Settings!$A$41:$A$50,0))&amp;""="","UNMAPPED",INDEX(Settings!$B$41:$B$50,MATCH(O1090,Settings!$A$41:$A$50,0))&amp;""),"UNMAPPED"))</f>
        <v/>
      </c>
      <c r="Q1090" s="38" t="n">
        <f aca="false">IF($M1090="",0,N(INDEX($A1090:$J1090,$Q$6)))</f>
        <v>0</v>
      </c>
      <c r="R1090" s="39" t="str">
        <f aca="false">IF($M1090="","",INDEX($A1090:$J1090,$R$6))</f>
        <v/>
      </c>
      <c r="S1090" s="37" t="str">
        <f aca="false">IF($M1090="","",IFERROR(INDEX(Settings!$B$27:$B$36,MATCH(L1090,Settings!$A$27:$A$36,0))&amp;"","UNMAPPED"))</f>
        <v/>
      </c>
      <c r="T1090" s="37" t="str">
        <f aca="false">IF($M1090="","",IF(NOT(ISNUMBER(R1090)),"NO DATE",IF(S1090="Won",IF(R1090&gt;Settings!$B$5,"Backlog","Delivered"),IF(S1090="Open",IF(R1090&gt;Settings!$B$5,"Pipeline","Overdue"),IF(S1090="Lost","Lost","UNMAPPED")))))</f>
        <v/>
      </c>
      <c r="U1090" s="40" t="n">
        <f aca="false">IF(T1090="Backlog",1,IF(OR(T1090="Pipeline",T1090="Overdue"),N(INDEX(Settings!$C$27:$C$36,MATCH(L1090,Settings!$A$27:$A$36,0))),0))</f>
        <v>0</v>
      </c>
      <c r="V1090" s="38" t="n">
        <f aca="false">Q1090*U1090</f>
        <v>0</v>
      </c>
      <c r="W1090" s="41" t="str">
        <f aca="false">IF($M1090="","",IF(T1090="Overdue",IF(Settings!$B$8="Yes",Settings!$B$7,""),IF(ISNUMBER(R1090),DATE(YEAR(R1090),MONTH(R1090),1),"")))</f>
        <v/>
      </c>
      <c r="X1090" s="38" t="n">
        <f aca="false">IF(AND(OR(T1090="Backlog",T1090="Pipeline",T1090="Overdue"),ISNUMBER(W1090)),IF(W1090&lt;=Settings!$B$6,V1090,0),0)</f>
        <v>0</v>
      </c>
      <c r="Y1090" s="38" t="n">
        <f aca="false">IF(AND(OR(T1090="Backlog",T1090="Pipeline",T1090="Overdue"),ISNUMBER(W1090)),IF(W1090&lt;=Settings!$B$6,Q1090,0),0)</f>
        <v>0</v>
      </c>
      <c r="Z1090" s="38" t="n">
        <f aca="false">IF(Y1090=0,0,IF(T1090="Backlog",Q1090,Q1090*Dashboard!$C$10))</f>
        <v>0</v>
      </c>
      <c r="AA1090" s="37" t="n">
        <f aca="false">IF($N1090="",0,IF(COUNTIF(Dashboard!$C$13:$C$22,$N1090)&gt;0,1,0))</f>
        <v>0</v>
      </c>
      <c r="AB1090" s="37" t="str">
        <f aca="false">IF($N1090="","",IF(COUNTIF($N$8:$N1090,$N1090)=1,MAX($AB$7:$AB1089)+1,""))</f>
        <v/>
      </c>
    </row>
    <row r="1091" customFormat="false" ht="15" hidden="false" customHeight="false" outlineLevel="0" collapsed="false">
      <c r="L1091" s="37" t="str">
        <f aca="false">IF(INDEX($A1091:$J1091,$L$6)&lt;&gt;"",TRIM(LEFT(INDEX($A1091:$J1091,$L$6),FIND("(",INDEX($A1091:$J1091,$L$6)&amp;"(")-1)),L1090)</f>
        <v>Building Value Proposition</v>
      </c>
      <c r="M1091" s="37" t="str">
        <f aca="false">IF(INDEX($A1091:$J1091,$M$6)="","",INDEX($A1091:$J1091,$M$6)&amp;"")</f>
        <v/>
      </c>
      <c r="N1091" s="37" t="str">
        <f aca="false">IF($M1091="","",TRIM(INDEX($A1091:$J1091,$N$6)&amp;""))</f>
        <v/>
      </c>
      <c r="O1091" s="37" t="str">
        <f aca="false">IF($M1091="","",TRIM(INDEX($A1091:$J1091,$O$6)&amp;""))</f>
        <v/>
      </c>
      <c r="P1091" s="37" t="str">
        <f aca="false">IF($M1091="","",IFERROR(IF(INDEX(Settings!$B$41:$B$50,MATCH(O1091,Settings!$A$41:$A$50,0))&amp;""="","UNMAPPED",INDEX(Settings!$B$41:$B$50,MATCH(O1091,Settings!$A$41:$A$50,0))&amp;""),"UNMAPPED"))</f>
        <v/>
      </c>
      <c r="Q1091" s="38" t="n">
        <f aca="false">IF($M1091="",0,N(INDEX($A1091:$J1091,$Q$6)))</f>
        <v>0</v>
      </c>
      <c r="R1091" s="39" t="str">
        <f aca="false">IF($M1091="","",INDEX($A1091:$J1091,$R$6))</f>
        <v/>
      </c>
      <c r="S1091" s="37" t="str">
        <f aca="false">IF($M1091="","",IFERROR(INDEX(Settings!$B$27:$B$36,MATCH(L1091,Settings!$A$27:$A$36,0))&amp;"","UNMAPPED"))</f>
        <v/>
      </c>
      <c r="T1091" s="37" t="str">
        <f aca="false">IF($M1091="","",IF(NOT(ISNUMBER(R1091)),"NO DATE",IF(S1091="Won",IF(R1091&gt;Settings!$B$5,"Backlog","Delivered"),IF(S1091="Open",IF(R1091&gt;Settings!$B$5,"Pipeline","Overdue"),IF(S1091="Lost","Lost","UNMAPPED")))))</f>
        <v/>
      </c>
      <c r="U1091" s="40" t="n">
        <f aca="false">IF(T1091="Backlog",1,IF(OR(T1091="Pipeline",T1091="Overdue"),N(INDEX(Settings!$C$27:$C$36,MATCH(L1091,Settings!$A$27:$A$36,0))),0))</f>
        <v>0</v>
      </c>
      <c r="V1091" s="38" t="n">
        <f aca="false">Q1091*U1091</f>
        <v>0</v>
      </c>
      <c r="W1091" s="41" t="str">
        <f aca="false">IF($M1091="","",IF(T1091="Overdue",IF(Settings!$B$8="Yes",Settings!$B$7,""),IF(ISNUMBER(R1091),DATE(YEAR(R1091),MONTH(R1091),1),"")))</f>
        <v/>
      </c>
      <c r="X1091" s="38" t="n">
        <f aca="false">IF(AND(OR(T1091="Backlog",T1091="Pipeline",T1091="Overdue"),ISNUMBER(W1091)),IF(W1091&lt;=Settings!$B$6,V1091,0),0)</f>
        <v>0</v>
      </c>
      <c r="Y1091" s="38" t="n">
        <f aca="false">IF(AND(OR(T1091="Backlog",T1091="Pipeline",T1091="Overdue"),ISNUMBER(W1091)),IF(W1091&lt;=Settings!$B$6,Q1091,0),0)</f>
        <v>0</v>
      </c>
      <c r="Z1091" s="38" t="n">
        <f aca="false">IF(Y1091=0,0,IF(T1091="Backlog",Q1091,Q1091*Dashboard!$C$10))</f>
        <v>0</v>
      </c>
      <c r="AA1091" s="37" t="n">
        <f aca="false">IF($N1091="",0,IF(COUNTIF(Dashboard!$C$13:$C$22,$N1091)&gt;0,1,0))</f>
        <v>0</v>
      </c>
      <c r="AB1091" s="37" t="str">
        <f aca="false">IF($N1091="","",IF(COUNTIF($N$8:$N1091,$N1091)=1,MAX($AB$7:$AB1090)+1,""))</f>
        <v/>
      </c>
    </row>
    <row r="1092" customFormat="false" ht="15" hidden="false" customHeight="false" outlineLevel="0" collapsed="false">
      <c r="L1092" s="37" t="str">
        <f aca="false">IF(INDEX($A1092:$J1092,$L$6)&lt;&gt;"",TRIM(LEFT(INDEX($A1092:$J1092,$L$6),FIND("(",INDEX($A1092:$J1092,$L$6)&amp;"(")-1)),L1091)</f>
        <v>Building Value Proposition</v>
      </c>
      <c r="M1092" s="37" t="str">
        <f aca="false">IF(INDEX($A1092:$J1092,$M$6)="","",INDEX($A1092:$J1092,$M$6)&amp;"")</f>
        <v/>
      </c>
      <c r="N1092" s="37" t="str">
        <f aca="false">IF($M1092="","",TRIM(INDEX($A1092:$J1092,$N$6)&amp;""))</f>
        <v/>
      </c>
      <c r="O1092" s="37" t="str">
        <f aca="false">IF($M1092="","",TRIM(INDEX($A1092:$J1092,$O$6)&amp;""))</f>
        <v/>
      </c>
      <c r="P1092" s="37" t="str">
        <f aca="false">IF($M1092="","",IFERROR(IF(INDEX(Settings!$B$41:$B$50,MATCH(O1092,Settings!$A$41:$A$50,0))&amp;""="","UNMAPPED",INDEX(Settings!$B$41:$B$50,MATCH(O1092,Settings!$A$41:$A$50,0))&amp;""),"UNMAPPED"))</f>
        <v/>
      </c>
      <c r="Q1092" s="38" t="n">
        <f aca="false">IF($M1092="",0,N(INDEX($A1092:$J1092,$Q$6)))</f>
        <v>0</v>
      </c>
      <c r="R1092" s="39" t="str">
        <f aca="false">IF($M1092="","",INDEX($A1092:$J1092,$R$6))</f>
        <v/>
      </c>
      <c r="S1092" s="37" t="str">
        <f aca="false">IF($M1092="","",IFERROR(INDEX(Settings!$B$27:$B$36,MATCH(L1092,Settings!$A$27:$A$36,0))&amp;"","UNMAPPED"))</f>
        <v/>
      </c>
      <c r="T1092" s="37" t="str">
        <f aca="false">IF($M1092="","",IF(NOT(ISNUMBER(R1092)),"NO DATE",IF(S1092="Won",IF(R1092&gt;Settings!$B$5,"Backlog","Delivered"),IF(S1092="Open",IF(R1092&gt;Settings!$B$5,"Pipeline","Overdue"),IF(S1092="Lost","Lost","UNMAPPED")))))</f>
        <v/>
      </c>
      <c r="U1092" s="40" t="n">
        <f aca="false">IF(T1092="Backlog",1,IF(OR(T1092="Pipeline",T1092="Overdue"),N(INDEX(Settings!$C$27:$C$36,MATCH(L1092,Settings!$A$27:$A$36,0))),0))</f>
        <v>0</v>
      </c>
      <c r="V1092" s="38" t="n">
        <f aca="false">Q1092*U1092</f>
        <v>0</v>
      </c>
      <c r="W1092" s="41" t="str">
        <f aca="false">IF($M1092="","",IF(T1092="Overdue",IF(Settings!$B$8="Yes",Settings!$B$7,""),IF(ISNUMBER(R1092),DATE(YEAR(R1092),MONTH(R1092),1),"")))</f>
        <v/>
      </c>
      <c r="X1092" s="38" t="n">
        <f aca="false">IF(AND(OR(T1092="Backlog",T1092="Pipeline",T1092="Overdue"),ISNUMBER(W1092)),IF(W1092&lt;=Settings!$B$6,V1092,0),0)</f>
        <v>0</v>
      </c>
      <c r="Y1092" s="38" t="n">
        <f aca="false">IF(AND(OR(T1092="Backlog",T1092="Pipeline",T1092="Overdue"),ISNUMBER(W1092)),IF(W1092&lt;=Settings!$B$6,Q1092,0),0)</f>
        <v>0</v>
      </c>
      <c r="Z1092" s="38" t="n">
        <f aca="false">IF(Y1092=0,0,IF(T1092="Backlog",Q1092,Q1092*Dashboard!$C$10))</f>
        <v>0</v>
      </c>
      <c r="AA1092" s="37" t="n">
        <f aca="false">IF($N1092="",0,IF(COUNTIF(Dashboard!$C$13:$C$22,$N1092)&gt;0,1,0))</f>
        <v>0</v>
      </c>
      <c r="AB1092" s="37" t="str">
        <f aca="false">IF($N1092="","",IF(COUNTIF($N$8:$N1092,$N1092)=1,MAX($AB$7:$AB1091)+1,""))</f>
        <v/>
      </c>
    </row>
    <row r="1093" customFormat="false" ht="15" hidden="false" customHeight="false" outlineLevel="0" collapsed="false">
      <c r="L1093" s="37" t="str">
        <f aca="false">IF(INDEX($A1093:$J1093,$L$6)&lt;&gt;"",TRIM(LEFT(INDEX($A1093:$J1093,$L$6),FIND("(",INDEX($A1093:$J1093,$L$6)&amp;"(")-1)),L1092)</f>
        <v>Building Value Proposition</v>
      </c>
      <c r="M1093" s="37" t="str">
        <f aca="false">IF(INDEX($A1093:$J1093,$M$6)="","",INDEX($A1093:$J1093,$M$6)&amp;"")</f>
        <v/>
      </c>
      <c r="N1093" s="37" t="str">
        <f aca="false">IF($M1093="","",TRIM(INDEX($A1093:$J1093,$N$6)&amp;""))</f>
        <v/>
      </c>
      <c r="O1093" s="37" t="str">
        <f aca="false">IF($M1093="","",TRIM(INDEX($A1093:$J1093,$O$6)&amp;""))</f>
        <v/>
      </c>
      <c r="P1093" s="37" t="str">
        <f aca="false">IF($M1093="","",IFERROR(IF(INDEX(Settings!$B$41:$B$50,MATCH(O1093,Settings!$A$41:$A$50,0))&amp;""="","UNMAPPED",INDEX(Settings!$B$41:$B$50,MATCH(O1093,Settings!$A$41:$A$50,0))&amp;""),"UNMAPPED"))</f>
        <v/>
      </c>
      <c r="Q1093" s="38" t="n">
        <f aca="false">IF($M1093="",0,N(INDEX($A1093:$J1093,$Q$6)))</f>
        <v>0</v>
      </c>
      <c r="R1093" s="39" t="str">
        <f aca="false">IF($M1093="","",INDEX($A1093:$J1093,$R$6))</f>
        <v/>
      </c>
      <c r="S1093" s="37" t="str">
        <f aca="false">IF($M1093="","",IFERROR(INDEX(Settings!$B$27:$B$36,MATCH(L1093,Settings!$A$27:$A$36,0))&amp;"","UNMAPPED"))</f>
        <v/>
      </c>
      <c r="T1093" s="37" t="str">
        <f aca="false">IF($M1093="","",IF(NOT(ISNUMBER(R1093)),"NO DATE",IF(S1093="Won",IF(R1093&gt;Settings!$B$5,"Backlog","Delivered"),IF(S1093="Open",IF(R1093&gt;Settings!$B$5,"Pipeline","Overdue"),IF(S1093="Lost","Lost","UNMAPPED")))))</f>
        <v/>
      </c>
      <c r="U1093" s="40" t="n">
        <f aca="false">IF(T1093="Backlog",1,IF(OR(T1093="Pipeline",T1093="Overdue"),N(INDEX(Settings!$C$27:$C$36,MATCH(L1093,Settings!$A$27:$A$36,0))),0))</f>
        <v>0</v>
      </c>
      <c r="V1093" s="38" t="n">
        <f aca="false">Q1093*U1093</f>
        <v>0</v>
      </c>
      <c r="W1093" s="41" t="str">
        <f aca="false">IF($M1093="","",IF(T1093="Overdue",IF(Settings!$B$8="Yes",Settings!$B$7,""),IF(ISNUMBER(R1093),DATE(YEAR(R1093),MONTH(R1093),1),"")))</f>
        <v/>
      </c>
      <c r="X1093" s="38" t="n">
        <f aca="false">IF(AND(OR(T1093="Backlog",T1093="Pipeline",T1093="Overdue"),ISNUMBER(W1093)),IF(W1093&lt;=Settings!$B$6,V1093,0),0)</f>
        <v>0</v>
      </c>
      <c r="Y1093" s="38" t="n">
        <f aca="false">IF(AND(OR(T1093="Backlog",T1093="Pipeline",T1093="Overdue"),ISNUMBER(W1093)),IF(W1093&lt;=Settings!$B$6,Q1093,0),0)</f>
        <v>0</v>
      </c>
      <c r="Z1093" s="38" t="n">
        <f aca="false">IF(Y1093=0,0,IF(T1093="Backlog",Q1093,Q1093*Dashboard!$C$10))</f>
        <v>0</v>
      </c>
      <c r="AA1093" s="37" t="n">
        <f aca="false">IF($N1093="",0,IF(COUNTIF(Dashboard!$C$13:$C$22,$N1093)&gt;0,1,0))</f>
        <v>0</v>
      </c>
      <c r="AB1093" s="37" t="str">
        <f aca="false">IF($N1093="","",IF(COUNTIF($N$8:$N1093,$N1093)=1,MAX($AB$7:$AB1092)+1,""))</f>
        <v/>
      </c>
    </row>
    <row r="1094" customFormat="false" ht="15" hidden="false" customHeight="false" outlineLevel="0" collapsed="false">
      <c r="L1094" s="37" t="str">
        <f aca="false">IF(INDEX($A1094:$J1094,$L$6)&lt;&gt;"",TRIM(LEFT(INDEX($A1094:$J1094,$L$6),FIND("(",INDEX($A1094:$J1094,$L$6)&amp;"(")-1)),L1093)</f>
        <v>Building Value Proposition</v>
      </c>
      <c r="M1094" s="37" t="str">
        <f aca="false">IF(INDEX($A1094:$J1094,$M$6)="","",INDEX($A1094:$J1094,$M$6)&amp;"")</f>
        <v/>
      </c>
      <c r="N1094" s="37" t="str">
        <f aca="false">IF($M1094="","",TRIM(INDEX($A1094:$J1094,$N$6)&amp;""))</f>
        <v/>
      </c>
      <c r="O1094" s="37" t="str">
        <f aca="false">IF($M1094="","",TRIM(INDEX($A1094:$J1094,$O$6)&amp;""))</f>
        <v/>
      </c>
      <c r="P1094" s="37" t="str">
        <f aca="false">IF($M1094="","",IFERROR(IF(INDEX(Settings!$B$41:$B$50,MATCH(O1094,Settings!$A$41:$A$50,0))&amp;""="","UNMAPPED",INDEX(Settings!$B$41:$B$50,MATCH(O1094,Settings!$A$41:$A$50,0))&amp;""),"UNMAPPED"))</f>
        <v/>
      </c>
      <c r="Q1094" s="38" t="n">
        <f aca="false">IF($M1094="",0,N(INDEX($A1094:$J1094,$Q$6)))</f>
        <v>0</v>
      </c>
      <c r="R1094" s="39" t="str">
        <f aca="false">IF($M1094="","",INDEX($A1094:$J1094,$R$6))</f>
        <v/>
      </c>
      <c r="S1094" s="37" t="str">
        <f aca="false">IF($M1094="","",IFERROR(INDEX(Settings!$B$27:$B$36,MATCH(L1094,Settings!$A$27:$A$36,0))&amp;"","UNMAPPED"))</f>
        <v/>
      </c>
      <c r="T1094" s="37" t="str">
        <f aca="false">IF($M1094="","",IF(NOT(ISNUMBER(R1094)),"NO DATE",IF(S1094="Won",IF(R1094&gt;Settings!$B$5,"Backlog","Delivered"),IF(S1094="Open",IF(R1094&gt;Settings!$B$5,"Pipeline","Overdue"),IF(S1094="Lost","Lost","UNMAPPED")))))</f>
        <v/>
      </c>
      <c r="U1094" s="40" t="n">
        <f aca="false">IF(T1094="Backlog",1,IF(OR(T1094="Pipeline",T1094="Overdue"),N(INDEX(Settings!$C$27:$C$36,MATCH(L1094,Settings!$A$27:$A$36,0))),0))</f>
        <v>0</v>
      </c>
      <c r="V1094" s="38" t="n">
        <f aca="false">Q1094*U1094</f>
        <v>0</v>
      </c>
      <c r="W1094" s="41" t="str">
        <f aca="false">IF($M1094="","",IF(T1094="Overdue",IF(Settings!$B$8="Yes",Settings!$B$7,""),IF(ISNUMBER(R1094),DATE(YEAR(R1094),MONTH(R1094),1),"")))</f>
        <v/>
      </c>
      <c r="X1094" s="38" t="n">
        <f aca="false">IF(AND(OR(T1094="Backlog",T1094="Pipeline",T1094="Overdue"),ISNUMBER(W1094)),IF(W1094&lt;=Settings!$B$6,V1094,0),0)</f>
        <v>0</v>
      </c>
      <c r="Y1094" s="38" t="n">
        <f aca="false">IF(AND(OR(T1094="Backlog",T1094="Pipeline",T1094="Overdue"),ISNUMBER(W1094)),IF(W1094&lt;=Settings!$B$6,Q1094,0),0)</f>
        <v>0</v>
      </c>
      <c r="Z1094" s="38" t="n">
        <f aca="false">IF(Y1094=0,0,IF(T1094="Backlog",Q1094,Q1094*Dashboard!$C$10))</f>
        <v>0</v>
      </c>
      <c r="AA1094" s="37" t="n">
        <f aca="false">IF($N1094="",0,IF(COUNTIF(Dashboard!$C$13:$C$22,$N1094)&gt;0,1,0))</f>
        <v>0</v>
      </c>
      <c r="AB1094" s="37" t="str">
        <f aca="false">IF($N1094="","",IF(COUNTIF($N$8:$N1094,$N1094)=1,MAX($AB$7:$AB1093)+1,""))</f>
        <v/>
      </c>
    </row>
    <row r="1095" customFormat="false" ht="15" hidden="false" customHeight="false" outlineLevel="0" collapsed="false">
      <c r="L1095" s="37" t="str">
        <f aca="false">IF(INDEX($A1095:$J1095,$L$6)&lt;&gt;"",TRIM(LEFT(INDEX($A1095:$J1095,$L$6),FIND("(",INDEX($A1095:$J1095,$L$6)&amp;"(")-1)),L1094)</f>
        <v>Building Value Proposition</v>
      </c>
      <c r="M1095" s="37" t="str">
        <f aca="false">IF(INDEX($A1095:$J1095,$M$6)="","",INDEX($A1095:$J1095,$M$6)&amp;"")</f>
        <v/>
      </c>
      <c r="N1095" s="37" t="str">
        <f aca="false">IF($M1095="","",TRIM(INDEX($A1095:$J1095,$N$6)&amp;""))</f>
        <v/>
      </c>
      <c r="O1095" s="37" t="str">
        <f aca="false">IF($M1095="","",TRIM(INDEX($A1095:$J1095,$O$6)&amp;""))</f>
        <v/>
      </c>
      <c r="P1095" s="37" t="str">
        <f aca="false">IF($M1095="","",IFERROR(IF(INDEX(Settings!$B$41:$B$50,MATCH(O1095,Settings!$A$41:$A$50,0))&amp;""="","UNMAPPED",INDEX(Settings!$B$41:$B$50,MATCH(O1095,Settings!$A$41:$A$50,0))&amp;""),"UNMAPPED"))</f>
        <v/>
      </c>
      <c r="Q1095" s="38" t="n">
        <f aca="false">IF($M1095="",0,N(INDEX($A1095:$J1095,$Q$6)))</f>
        <v>0</v>
      </c>
      <c r="R1095" s="39" t="str">
        <f aca="false">IF($M1095="","",INDEX($A1095:$J1095,$R$6))</f>
        <v/>
      </c>
      <c r="S1095" s="37" t="str">
        <f aca="false">IF($M1095="","",IFERROR(INDEX(Settings!$B$27:$B$36,MATCH(L1095,Settings!$A$27:$A$36,0))&amp;"","UNMAPPED"))</f>
        <v/>
      </c>
      <c r="T1095" s="37" t="str">
        <f aca="false">IF($M1095="","",IF(NOT(ISNUMBER(R1095)),"NO DATE",IF(S1095="Won",IF(R1095&gt;Settings!$B$5,"Backlog","Delivered"),IF(S1095="Open",IF(R1095&gt;Settings!$B$5,"Pipeline","Overdue"),IF(S1095="Lost","Lost","UNMAPPED")))))</f>
        <v/>
      </c>
      <c r="U1095" s="40" t="n">
        <f aca="false">IF(T1095="Backlog",1,IF(OR(T1095="Pipeline",T1095="Overdue"),N(INDEX(Settings!$C$27:$C$36,MATCH(L1095,Settings!$A$27:$A$36,0))),0))</f>
        <v>0</v>
      </c>
      <c r="V1095" s="38" t="n">
        <f aca="false">Q1095*U1095</f>
        <v>0</v>
      </c>
      <c r="W1095" s="41" t="str">
        <f aca="false">IF($M1095="","",IF(T1095="Overdue",IF(Settings!$B$8="Yes",Settings!$B$7,""),IF(ISNUMBER(R1095),DATE(YEAR(R1095),MONTH(R1095),1),"")))</f>
        <v/>
      </c>
      <c r="X1095" s="38" t="n">
        <f aca="false">IF(AND(OR(T1095="Backlog",T1095="Pipeline",T1095="Overdue"),ISNUMBER(W1095)),IF(W1095&lt;=Settings!$B$6,V1095,0),0)</f>
        <v>0</v>
      </c>
      <c r="Y1095" s="38" t="n">
        <f aca="false">IF(AND(OR(T1095="Backlog",T1095="Pipeline",T1095="Overdue"),ISNUMBER(W1095)),IF(W1095&lt;=Settings!$B$6,Q1095,0),0)</f>
        <v>0</v>
      </c>
      <c r="Z1095" s="38" t="n">
        <f aca="false">IF(Y1095=0,0,IF(T1095="Backlog",Q1095,Q1095*Dashboard!$C$10))</f>
        <v>0</v>
      </c>
      <c r="AA1095" s="37" t="n">
        <f aca="false">IF($N1095="",0,IF(COUNTIF(Dashboard!$C$13:$C$22,$N1095)&gt;0,1,0))</f>
        <v>0</v>
      </c>
      <c r="AB1095" s="37" t="str">
        <f aca="false">IF($N1095="","",IF(COUNTIF($N$8:$N1095,$N1095)=1,MAX($AB$7:$AB1094)+1,""))</f>
        <v/>
      </c>
    </row>
    <row r="1096" customFormat="false" ht="15" hidden="false" customHeight="false" outlineLevel="0" collapsed="false">
      <c r="L1096" s="37" t="str">
        <f aca="false">IF(INDEX($A1096:$J1096,$L$6)&lt;&gt;"",TRIM(LEFT(INDEX($A1096:$J1096,$L$6),FIND("(",INDEX($A1096:$J1096,$L$6)&amp;"(")-1)),L1095)</f>
        <v>Building Value Proposition</v>
      </c>
      <c r="M1096" s="37" t="str">
        <f aca="false">IF(INDEX($A1096:$J1096,$M$6)="","",INDEX($A1096:$J1096,$M$6)&amp;"")</f>
        <v/>
      </c>
      <c r="N1096" s="37" t="str">
        <f aca="false">IF($M1096="","",TRIM(INDEX($A1096:$J1096,$N$6)&amp;""))</f>
        <v/>
      </c>
      <c r="O1096" s="37" t="str">
        <f aca="false">IF($M1096="","",TRIM(INDEX($A1096:$J1096,$O$6)&amp;""))</f>
        <v/>
      </c>
      <c r="P1096" s="37" t="str">
        <f aca="false">IF($M1096="","",IFERROR(IF(INDEX(Settings!$B$41:$B$50,MATCH(O1096,Settings!$A$41:$A$50,0))&amp;""="","UNMAPPED",INDEX(Settings!$B$41:$B$50,MATCH(O1096,Settings!$A$41:$A$50,0))&amp;""),"UNMAPPED"))</f>
        <v/>
      </c>
      <c r="Q1096" s="38" t="n">
        <f aca="false">IF($M1096="",0,N(INDEX($A1096:$J1096,$Q$6)))</f>
        <v>0</v>
      </c>
      <c r="R1096" s="39" t="str">
        <f aca="false">IF($M1096="","",INDEX($A1096:$J1096,$R$6))</f>
        <v/>
      </c>
      <c r="S1096" s="37" t="str">
        <f aca="false">IF($M1096="","",IFERROR(INDEX(Settings!$B$27:$B$36,MATCH(L1096,Settings!$A$27:$A$36,0))&amp;"","UNMAPPED"))</f>
        <v/>
      </c>
      <c r="T1096" s="37" t="str">
        <f aca="false">IF($M1096="","",IF(NOT(ISNUMBER(R1096)),"NO DATE",IF(S1096="Won",IF(R1096&gt;Settings!$B$5,"Backlog","Delivered"),IF(S1096="Open",IF(R1096&gt;Settings!$B$5,"Pipeline","Overdue"),IF(S1096="Lost","Lost","UNMAPPED")))))</f>
        <v/>
      </c>
      <c r="U1096" s="40" t="n">
        <f aca="false">IF(T1096="Backlog",1,IF(OR(T1096="Pipeline",T1096="Overdue"),N(INDEX(Settings!$C$27:$C$36,MATCH(L1096,Settings!$A$27:$A$36,0))),0))</f>
        <v>0</v>
      </c>
      <c r="V1096" s="38" t="n">
        <f aca="false">Q1096*U1096</f>
        <v>0</v>
      </c>
      <c r="W1096" s="41" t="str">
        <f aca="false">IF($M1096="","",IF(T1096="Overdue",IF(Settings!$B$8="Yes",Settings!$B$7,""),IF(ISNUMBER(R1096),DATE(YEAR(R1096),MONTH(R1096),1),"")))</f>
        <v/>
      </c>
      <c r="X1096" s="38" t="n">
        <f aca="false">IF(AND(OR(T1096="Backlog",T1096="Pipeline",T1096="Overdue"),ISNUMBER(W1096)),IF(W1096&lt;=Settings!$B$6,V1096,0),0)</f>
        <v>0</v>
      </c>
      <c r="Y1096" s="38" t="n">
        <f aca="false">IF(AND(OR(T1096="Backlog",T1096="Pipeline",T1096="Overdue"),ISNUMBER(W1096)),IF(W1096&lt;=Settings!$B$6,Q1096,0),0)</f>
        <v>0</v>
      </c>
      <c r="Z1096" s="38" t="n">
        <f aca="false">IF(Y1096=0,0,IF(T1096="Backlog",Q1096,Q1096*Dashboard!$C$10))</f>
        <v>0</v>
      </c>
      <c r="AA1096" s="37" t="n">
        <f aca="false">IF($N1096="",0,IF(COUNTIF(Dashboard!$C$13:$C$22,$N1096)&gt;0,1,0))</f>
        <v>0</v>
      </c>
      <c r="AB1096" s="37" t="str">
        <f aca="false">IF($N1096="","",IF(COUNTIF($N$8:$N1096,$N1096)=1,MAX($AB$7:$AB1095)+1,""))</f>
        <v/>
      </c>
    </row>
    <row r="1097" customFormat="false" ht="15" hidden="false" customHeight="false" outlineLevel="0" collapsed="false">
      <c r="L1097" s="37" t="str">
        <f aca="false">IF(INDEX($A1097:$J1097,$L$6)&lt;&gt;"",TRIM(LEFT(INDEX($A1097:$J1097,$L$6),FIND("(",INDEX($A1097:$J1097,$L$6)&amp;"(")-1)),L1096)</f>
        <v>Building Value Proposition</v>
      </c>
      <c r="M1097" s="37" t="str">
        <f aca="false">IF(INDEX($A1097:$J1097,$M$6)="","",INDEX($A1097:$J1097,$M$6)&amp;"")</f>
        <v/>
      </c>
      <c r="N1097" s="37" t="str">
        <f aca="false">IF($M1097="","",TRIM(INDEX($A1097:$J1097,$N$6)&amp;""))</f>
        <v/>
      </c>
      <c r="O1097" s="37" t="str">
        <f aca="false">IF($M1097="","",TRIM(INDEX($A1097:$J1097,$O$6)&amp;""))</f>
        <v/>
      </c>
      <c r="P1097" s="37" t="str">
        <f aca="false">IF($M1097="","",IFERROR(IF(INDEX(Settings!$B$41:$B$50,MATCH(O1097,Settings!$A$41:$A$50,0))&amp;""="","UNMAPPED",INDEX(Settings!$B$41:$B$50,MATCH(O1097,Settings!$A$41:$A$50,0))&amp;""),"UNMAPPED"))</f>
        <v/>
      </c>
      <c r="Q1097" s="38" t="n">
        <f aca="false">IF($M1097="",0,N(INDEX($A1097:$J1097,$Q$6)))</f>
        <v>0</v>
      </c>
      <c r="R1097" s="39" t="str">
        <f aca="false">IF($M1097="","",INDEX($A1097:$J1097,$R$6))</f>
        <v/>
      </c>
      <c r="S1097" s="37" t="str">
        <f aca="false">IF($M1097="","",IFERROR(INDEX(Settings!$B$27:$B$36,MATCH(L1097,Settings!$A$27:$A$36,0))&amp;"","UNMAPPED"))</f>
        <v/>
      </c>
      <c r="T1097" s="37" t="str">
        <f aca="false">IF($M1097="","",IF(NOT(ISNUMBER(R1097)),"NO DATE",IF(S1097="Won",IF(R1097&gt;Settings!$B$5,"Backlog","Delivered"),IF(S1097="Open",IF(R1097&gt;Settings!$B$5,"Pipeline","Overdue"),IF(S1097="Lost","Lost","UNMAPPED")))))</f>
        <v/>
      </c>
      <c r="U1097" s="40" t="n">
        <f aca="false">IF(T1097="Backlog",1,IF(OR(T1097="Pipeline",T1097="Overdue"),N(INDEX(Settings!$C$27:$C$36,MATCH(L1097,Settings!$A$27:$A$36,0))),0))</f>
        <v>0</v>
      </c>
      <c r="V1097" s="38" t="n">
        <f aca="false">Q1097*U1097</f>
        <v>0</v>
      </c>
      <c r="W1097" s="41" t="str">
        <f aca="false">IF($M1097="","",IF(T1097="Overdue",IF(Settings!$B$8="Yes",Settings!$B$7,""),IF(ISNUMBER(R1097),DATE(YEAR(R1097),MONTH(R1097),1),"")))</f>
        <v/>
      </c>
      <c r="X1097" s="38" t="n">
        <f aca="false">IF(AND(OR(T1097="Backlog",T1097="Pipeline",T1097="Overdue"),ISNUMBER(W1097)),IF(W1097&lt;=Settings!$B$6,V1097,0),0)</f>
        <v>0</v>
      </c>
      <c r="Y1097" s="38" t="n">
        <f aca="false">IF(AND(OR(T1097="Backlog",T1097="Pipeline",T1097="Overdue"),ISNUMBER(W1097)),IF(W1097&lt;=Settings!$B$6,Q1097,0),0)</f>
        <v>0</v>
      </c>
      <c r="Z1097" s="38" t="n">
        <f aca="false">IF(Y1097=0,0,IF(T1097="Backlog",Q1097,Q1097*Dashboard!$C$10))</f>
        <v>0</v>
      </c>
      <c r="AA1097" s="37" t="n">
        <f aca="false">IF($N1097="",0,IF(COUNTIF(Dashboard!$C$13:$C$22,$N1097)&gt;0,1,0))</f>
        <v>0</v>
      </c>
      <c r="AB1097" s="37" t="str">
        <f aca="false">IF($N1097="","",IF(COUNTIF($N$8:$N1097,$N1097)=1,MAX($AB$7:$AB1096)+1,""))</f>
        <v/>
      </c>
    </row>
    <row r="1098" customFormat="false" ht="15" hidden="false" customHeight="false" outlineLevel="0" collapsed="false">
      <c r="L1098" s="37" t="str">
        <f aca="false">IF(INDEX($A1098:$J1098,$L$6)&lt;&gt;"",TRIM(LEFT(INDEX($A1098:$J1098,$L$6),FIND("(",INDEX($A1098:$J1098,$L$6)&amp;"(")-1)),L1097)</f>
        <v>Building Value Proposition</v>
      </c>
      <c r="M1098" s="37" t="str">
        <f aca="false">IF(INDEX($A1098:$J1098,$M$6)="","",INDEX($A1098:$J1098,$M$6)&amp;"")</f>
        <v/>
      </c>
      <c r="N1098" s="37" t="str">
        <f aca="false">IF($M1098="","",TRIM(INDEX($A1098:$J1098,$N$6)&amp;""))</f>
        <v/>
      </c>
      <c r="O1098" s="37" t="str">
        <f aca="false">IF($M1098="","",TRIM(INDEX($A1098:$J1098,$O$6)&amp;""))</f>
        <v/>
      </c>
      <c r="P1098" s="37" t="str">
        <f aca="false">IF($M1098="","",IFERROR(IF(INDEX(Settings!$B$41:$B$50,MATCH(O1098,Settings!$A$41:$A$50,0))&amp;""="","UNMAPPED",INDEX(Settings!$B$41:$B$50,MATCH(O1098,Settings!$A$41:$A$50,0))&amp;""),"UNMAPPED"))</f>
        <v/>
      </c>
      <c r="Q1098" s="38" t="n">
        <f aca="false">IF($M1098="",0,N(INDEX($A1098:$J1098,$Q$6)))</f>
        <v>0</v>
      </c>
      <c r="R1098" s="39" t="str">
        <f aca="false">IF($M1098="","",INDEX($A1098:$J1098,$R$6))</f>
        <v/>
      </c>
      <c r="S1098" s="37" t="str">
        <f aca="false">IF($M1098="","",IFERROR(INDEX(Settings!$B$27:$B$36,MATCH(L1098,Settings!$A$27:$A$36,0))&amp;"","UNMAPPED"))</f>
        <v/>
      </c>
      <c r="T1098" s="37" t="str">
        <f aca="false">IF($M1098="","",IF(NOT(ISNUMBER(R1098)),"NO DATE",IF(S1098="Won",IF(R1098&gt;Settings!$B$5,"Backlog","Delivered"),IF(S1098="Open",IF(R1098&gt;Settings!$B$5,"Pipeline","Overdue"),IF(S1098="Lost","Lost","UNMAPPED")))))</f>
        <v/>
      </c>
      <c r="U1098" s="40" t="n">
        <f aca="false">IF(T1098="Backlog",1,IF(OR(T1098="Pipeline",T1098="Overdue"),N(INDEX(Settings!$C$27:$C$36,MATCH(L1098,Settings!$A$27:$A$36,0))),0))</f>
        <v>0</v>
      </c>
      <c r="V1098" s="38" t="n">
        <f aca="false">Q1098*U1098</f>
        <v>0</v>
      </c>
      <c r="W1098" s="41" t="str">
        <f aca="false">IF($M1098="","",IF(T1098="Overdue",IF(Settings!$B$8="Yes",Settings!$B$7,""),IF(ISNUMBER(R1098),DATE(YEAR(R1098),MONTH(R1098),1),"")))</f>
        <v/>
      </c>
      <c r="X1098" s="38" t="n">
        <f aca="false">IF(AND(OR(T1098="Backlog",T1098="Pipeline",T1098="Overdue"),ISNUMBER(W1098)),IF(W1098&lt;=Settings!$B$6,V1098,0),0)</f>
        <v>0</v>
      </c>
      <c r="Y1098" s="38" t="n">
        <f aca="false">IF(AND(OR(T1098="Backlog",T1098="Pipeline",T1098="Overdue"),ISNUMBER(W1098)),IF(W1098&lt;=Settings!$B$6,Q1098,0),0)</f>
        <v>0</v>
      </c>
      <c r="Z1098" s="38" t="n">
        <f aca="false">IF(Y1098=0,0,IF(T1098="Backlog",Q1098,Q1098*Dashboard!$C$10))</f>
        <v>0</v>
      </c>
      <c r="AA1098" s="37" t="n">
        <f aca="false">IF($N1098="",0,IF(COUNTIF(Dashboard!$C$13:$C$22,$N1098)&gt;0,1,0))</f>
        <v>0</v>
      </c>
      <c r="AB1098" s="37" t="str">
        <f aca="false">IF($N1098="","",IF(COUNTIF($N$8:$N1098,$N1098)=1,MAX($AB$7:$AB1097)+1,""))</f>
        <v/>
      </c>
    </row>
    <row r="1099" customFormat="false" ht="15" hidden="false" customHeight="false" outlineLevel="0" collapsed="false">
      <c r="L1099" s="37" t="str">
        <f aca="false">IF(INDEX($A1099:$J1099,$L$6)&lt;&gt;"",TRIM(LEFT(INDEX($A1099:$J1099,$L$6),FIND("(",INDEX($A1099:$J1099,$L$6)&amp;"(")-1)),L1098)</f>
        <v>Building Value Proposition</v>
      </c>
      <c r="M1099" s="37" t="str">
        <f aca="false">IF(INDEX($A1099:$J1099,$M$6)="","",INDEX($A1099:$J1099,$M$6)&amp;"")</f>
        <v/>
      </c>
      <c r="N1099" s="37" t="str">
        <f aca="false">IF($M1099="","",TRIM(INDEX($A1099:$J1099,$N$6)&amp;""))</f>
        <v/>
      </c>
      <c r="O1099" s="37" t="str">
        <f aca="false">IF($M1099="","",TRIM(INDEX($A1099:$J1099,$O$6)&amp;""))</f>
        <v/>
      </c>
      <c r="P1099" s="37" t="str">
        <f aca="false">IF($M1099="","",IFERROR(IF(INDEX(Settings!$B$41:$B$50,MATCH(O1099,Settings!$A$41:$A$50,0))&amp;""="","UNMAPPED",INDEX(Settings!$B$41:$B$50,MATCH(O1099,Settings!$A$41:$A$50,0))&amp;""),"UNMAPPED"))</f>
        <v/>
      </c>
      <c r="Q1099" s="38" t="n">
        <f aca="false">IF($M1099="",0,N(INDEX($A1099:$J1099,$Q$6)))</f>
        <v>0</v>
      </c>
      <c r="R1099" s="39" t="str">
        <f aca="false">IF($M1099="","",INDEX($A1099:$J1099,$R$6))</f>
        <v/>
      </c>
      <c r="S1099" s="37" t="str">
        <f aca="false">IF($M1099="","",IFERROR(INDEX(Settings!$B$27:$B$36,MATCH(L1099,Settings!$A$27:$A$36,0))&amp;"","UNMAPPED"))</f>
        <v/>
      </c>
      <c r="T1099" s="37" t="str">
        <f aca="false">IF($M1099="","",IF(NOT(ISNUMBER(R1099)),"NO DATE",IF(S1099="Won",IF(R1099&gt;Settings!$B$5,"Backlog","Delivered"),IF(S1099="Open",IF(R1099&gt;Settings!$B$5,"Pipeline","Overdue"),IF(S1099="Lost","Lost","UNMAPPED")))))</f>
        <v/>
      </c>
      <c r="U1099" s="40" t="n">
        <f aca="false">IF(T1099="Backlog",1,IF(OR(T1099="Pipeline",T1099="Overdue"),N(INDEX(Settings!$C$27:$C$36,MATCH(L1099,Settings!$A$27:$A$36,0))),0))</f>
        <v>0</v>
      </c>
      <c r="V1099" s="38" t="n">
        <f aca="false">Q1099*U1099</f>
        <v>0</v>
      </c>
      <c r="W1099" s="41" t="str">
        <f aca="false">IF($M1099="","",IF(T1099="Overdue",IF(Settings!$B$8="Yes",Settings!$B$7,""),IF(ISNUMBER(R1099),DATE(YEAR(R1099),MONTH(R1099),1),"")))</f>
        <v/>
      </c>
      <c r="X1099" s="38" t="n">
        <f aca="false">IF(AND(OR(T1099="Backlog",T1099="Pipeline",T1099="Overdue"),ISNUMBER(W1099)),IF(W1099&lt;=Settings!$B$6,V1099,0),0)</f>
        <v>0</v>
      </c>
      <c r="Y1099" s="38" t="n">
        <f aca="false">IF(AND(OR(T1099="Backlog",T1099="Pipeline",T1099="Overdue"),ISNUMBER(W1099)),IF(W1099&lt;=Settings!$B$6,Q1099,0),0)</f>
        <v>0</v>
      </c>
      <c r="Z1099" s="38" t="n">
        <f aca="false">IF(Y1099=0,0,IF(T1099="Backlog",Q1099,Q1099*Dashboard!$C$10))</f>
        <v>0</v>
      </c>
      <c r="AA1099" s="37" t="n">
        <f aca="false">IF($N1099="",0,IF(COUNTIF(Dashboard!$C$13:$C$22,$N1099)&gt;0,1,0))</f>
        <v>0</v>
      </c>
      <c r="AB1099" s="37" t="str">
        <f aca="false">IF($N1099="","",IF(COUNTIF($N$8:$N1099,$N1099)=1,MAX($AB$7:$AB1098)+1,""))</f>
        <v/>
      </c>
    </row>
    <row r="1100" customFormat="false" ht="15" hidden="false" customHeight="false" outlineLevel="0" collapsed="false">
      <c r="L1100" s="37" t="str">
        <f aca="false">IF(INDEX($A1100:$J1100,$L$6)&lt;&gt;"",TRIM(LEFT(INDEX($A1100:$J1100,$L$6),FIND("(",INDEX($A1100:$J1100,$L$6)&amp;"(")-1)),L1099)</f>
        <v>Building Value Proposition</v>
      </c>
      <c r="M1100" s="37" t="str">
        <f aca="false">IF(INDEX($A1100:$J1100,$M$6)="","",INDEX($A1100:$J1100,$M$6)&amp;"")</f>
        <v/>
      </c>
      <c r="N1100" s="37" t="str">
        <f aca="false">IF($M1100="","",TRIM(INDEX($A1100:$J1100,$N$6)&amp;""))</f>
        <v/>
      </c>
      <c r="O1100" s="37" t="str">
        <f aca="false">IF($M1100="","",TRIM(INDEX($A1100:$J1100,$O$6)&amp;""))</f>
        <v/>
      </c>
      <c r="P1100" s="37" t="str">
        <f aca="false">IF($M1100="","",IFERROR(IF(INDEX(Settings!$B$41:$B$50,MATCH(O1100,Settings!$A$41:$A$50,0))&amp;""="","UNMAPPED",INDEX(Settings!$B$41:$B$50,MATCH(O1100,Settings!$A$41:$A$50,0))&amp;""),"UNMAPPED"))</f>
        <v/>
      </c>
      <c r="Q1100" s="38" t="n">
        <f aca="false">IF($M1100="",0,N(INDEX($A1100:$J1100,$Q$6)))</f>
        <v>0</v>
      </c>
      <c r="R1100" s="39" t="str">
        <f aca="false">IF($M1100="","",INDEX($A1100:$J1100,$R$6))</f>
        <v/>
      </c>
      <c r="S1100" s="37" t="str">
        <f aca="false">IF($M1100="","",IFERROR(INDEX(Settings!$B$27:$B$36,MATCH(L1100,Settings!$A$27:$A$36,0))&amp;"","UNMAPPED"))</f>
        <v/>
      </c>
      <c r="T1100" s="37" t="str">
        <f aca="false">IF($M1100="","",IF(NOT(ISNUMBER(R1100)),"NO DATE",IF(S1100="Won",IF(R1100&gt;Settings!$B$5,"Backlog","Delivered"),IF(S1100="Open",IF(R1100&gt;Settings!$B$5,"Pipeline","Overdue"),IF(S1100="Lost","Lost","UNMAPPED")))))</f>
        <v/>
      </c>
      <c r="U1100" s="40" t="n">
        <f aca="false">IF(T1100="Backlog",1,IF(OR(T1100="Pipeline",T1100="Overdue"),N(INDEX(Settings!$C$27:$C$36,MATCH(L1100,Settings!$A$27:$A$36,0))),0))</f>
        <v>0</v>
      </c>
      <c r="V1100" s="38" t="n">
        <f aca="false">Q1100*U1100</f>
        <v>0</v>
      </c>
      <c r="W1100" s="41" t="str">
        <f aca="false">IF($M1100="","",IF(T1100="Overdue",IF(Settings!$B$8="Yes",Settings!$B$7,""),IF(ISNUMBER(R1100),DATE(YEAR(R1100),MONTH(R1100),1),"")))</f>
        <v/>
      </c>
      <c r="X1100" s="38" t="n">
        <f aca="false">IF(AND(OR(T1100="Backlog",T1100="Pipeline",T1100="Overdue"),ISNUMBER(W1100)),IF(W1100&lt;=Settings!$B$6,V1100,0),0)</f>
        <v>0</v>
      </c>
      <c r="Y1100" s="38" t="n">
        <f aca="false">IF(AND(OR(T1100="Backlog",T1100="Pipeline",T1100="Overdue"),ISNUMBER(W1100)),IF(W1100&lt;=Settings!$B$6,Q1100,0),0)</f>
        <v>0</v>
      </c>
      <c r="Z1100" s="38" t="n">
        <f aca="false">IF(Y1100=0,0,IF(T1100="Backlog",Q1100,Q1100*Dashboard!$C$10))</f>
        <v>0</v>
      </c>
      <c r="AA1100" s="37" t="n">
        <f aca="false">IF($N1100="",0,IF(COUNTIF(Dashboard!$C$13:$C$22,$N1100)&gt;0,1,0))</f>
        <v>0</v>
      </c>
      <c r="AB1100" s="37" t="str">
        <f aca="false">IF($N1100="","",IF(COUNTIF($N$8:$N1100,$N1100)=1,MAX($AB$7:$AB1099)+1,""))</f>
        <v/>
      </c>
    </row>
    <row r="1101" customFormat="false" ht="15" hidden="false" customHeight="false" outlineLevel="0" collapsed="false">
      <c r="L1101" s="37" t="str">
        <f aca="false">IF(INDEX($A1101:$J1101,$L$6)&lt;&gt;"",TRIM(LEFT(INDEX($A1101:$J1101,$L$6),FIND("(",INDEX($A1101:$J1101,$L$6)&amp;"(")-1)),L1100)</f>
        <v>Building Value Proposition</v>
      </c>
      <c r="M1101" s="37" t="str">
        <f aca="false">IF(INDEX($A1101:$J1101,$M$6)="","",INDEX($A1101:$J1101,$M$6)&amp;"")</f>
        <v/>
      </c>
      <c r="N1101" s="37" t="str">
        <f aca="false">IF($M1101="","",TRIM(INDEX($A1101:$J1101,$N$6)&amp;""))</f>
        <v/>
      </c>
      <c r="O1101" s="37" t="str">
        <f aca="false">IF($M1101="","",TRIM(INDEX($A1101:$J1101,$O$6)&amp;""))</f>
        <v/>
      </c>
      <c r="P1101" s="37" t="str">
        <f aca="false">IF($M1101="","",IFERROR(IF(INDEX(Settings!$B$41:$B$50,MATCH(O1101,Settings!$A$41:$A$50,0))&amp;""="","UNMAPPED",INDEX(Settings!$B$41:$B$50,MATCH(O1101,Settings!$A$41:$A$50,0))&amp;""),"UNMAPPED"))</f>
        <v/>
      </c>
      <c r="Q1101" s="38" t="n">
        <f aca="false">IF($M1101="",0,N(INDEX($A1101:$J1101,$Q$6)))</f>
        <v>0</v>
      </c>
      <c r="R1101" s="39" t="str">
        <f aca="false">IF($M1101="","",INDEX($A1101:$J1101,$R$6))</f>
        <v/>
      </c>
      <c r="S1101" s="37" t="str">
        <f aca="false">IF($M1101="","",IFERROR(INDEX(Settings!$B$27:$B$36,MATCH(L1101,Settings!$A$27:$A$36,0))&amp;"","UNMAPPED"))</f>
        <v/>
      </c>
      <c r="T1101" s="37" t="str">
        <f aca="false">IF($M1101="","",IF(NOT(ISNUMBER(R1101)),"NO DATE",IF(S1101="Won",IF(R1101&gt;Settings!$B$5,"Backlog","Delivered"),IF(S1101="Open",IF(R1101&gt;Settings!$B$5,"Pipeline","Overdue"),IF(S1101="Lost","Lost","UNMAPPED")))))</f>
        <v/>
      </c>
      <c r="U1101" s="40" t="n">
        <f aca="false">IF(T1101="Backlog",1,IF(OR(T1101="Pipeline",T1101="Overdue"),N(INDEX(Settings!$C$27:$C$36,MATCH(L1101,Settings!$A$27:$A$36,0))),0))</f>
        <v>0</v>
      </c>
      <c r="V1101" s="38" t="n">
        <f aca="false">Q1101*U1101</f>
        <v>0</v>
      </c>
      <c r="W1101" s="41" t="str">
        <f aca="false">IF($M1101="","",IF(T1101="Overdue",IF(Settings!$B$8="Yes",Settings!$B$7,""),IF(ISNUMBER(R1101),DATE(YEAR(R1101),MONTH(R1101),1),"")))</f>
        <v/>
      </c>
      <c r="X1101" s="38" t="n">
        <f aca="false">IF(AND(OR(T1101="Backlog",T1101="Pipeline",T1101="Overdue"),ISNUMBER(W1101)),IF(W1101&lt;=Settings!$B$6,V1101,0),0)</f>
        <v>0</v>
      </c>
      <c r="Y1101" s="38" t="n">
        <f aca="false">IF(AND(OR(T1101="Backlog",T1101="Pipeline",T1101="Overdue"),ISNUMBER(W1101)),IF(W1101&lt;=Settings!$B$6,Q1101,0),0)</f>
        <v>0</v>
      </c>
      <c r="Z1101" s="38" t="n">
        <f aca="false">IF(Y1101=0,0,IF(T1101="Backlog",Q1101,Q1101*Dashboard!$C$10))</f>
        <v>0</v>
      </c>
      <c r="AA1101" s="37" t="n">
        <f aca="false">IF($N1101="",0,IF(COUNTIF(Dashboard!$C$13:$C$22,$N1101)&gt;0,1,0))</f>
        <v>0</v>
      </c>
      <c r="AB1101" s="37" t="str">
        <f aca="false">IF($N1101="","",IF(COUNTIF($N$8:$N1101,$N1101)=1,MAX($AB$7:$AB1100)+1,""))</f>
        <v/>
      </c>
    </row>
    <row r="1102" customFormat="false" ht="15" hidden="false" customHeight="false" outlineLevel="0" collapsed="false">
      <c r="L1102" s="37" t="str">
        <f aca="false">IF(INDEX($A1102:$J1102,$L$6)&lt;&gt;"",TRIM(LEFT(INDEX($A1102:$J1102,$L$6),FIND("(",INDEX($A1102:$J1102,$L$6)&amp;"(")-1)),L1101)</f>
        <v>Building Value Proposition</v>
      </c>
      <c r="M1102" s="37" t="str">
        <f aca="false">IF(INDEX($A1102:$J1102,$M$6)="","",INDEX($A1102:$J1102,$M$6)&amp;"")</f>
        <v/>
      </c>
      <c r="N1102" s="37" t="str">
        <f aca="false">IF($M1102="","",TRIM(INDEX($A1102:$J1102,$N$6)&amp;""))</f>
        <v/>
      </c>
      <c r="O1102" s="37" t="str">
        <f aca="false">IF($M1102="","",TRIM(INDEX($A1102:$J1102,$O$6)&amp;""))</f>
        <v/>
      </c>
      <c r="P1102" s="37" t="str">
        <f aca="false">IF($M1102="","",IFERROR(IF(INDEX(Settings!$B$41:$B$50,MATCH(O1102,Settings!$A$41:$A$50,0))&amp;""="","UNMAPPED",INDEX(Settings!$B$41:$B$50,MATCH(O1102,Settings!$A$41:$A$50,0))&amp;""),"UNMAPPED"))</f>
        <v/>
      </c>
      <c r="Q1102" s="38" t="n">
        <f aca="false">IF($M1102="",0,N(INDEX($A1102:$J1102,$Q$6)))</f>
        <v>0</v>
      </c>
      <c r="R1102" s="39" t="str">
        <f aca="false">IF($M1102="","",INDEX($A1102:$J1102,$R$6))</f>
        <v/>
      </c>
      <c r="S1102" s="37" t="str">
        <f aca="false">IF($M1102="","",IFERROR(INDEX(Settings!$B$27:$B$36,MATCH(L1102,Settings!$A$27:$A$36,0))&amp;"","UNMAPPED"))</f>
        <v/>
      </c>
      <c r="T1102" s="37" t="str">
        <f aca="false">IF($M1102="","",IF(NOT(ISNUMBER(R1102)),"NO DATE",IF(S1102="Won",IF(R1102&gt;Settings!$B$5,"Backlog","Delivered"),IF(S1102="Open",IF(R1102&gt;Settings!$B$5,"Pipeline","Overdue"),IF(S1102="Lost","Lost","UNMAPPED")))))</f>
        <v/>
      </c>
      <c r="U1102" s="40" t="n">
        <f aca="false">IF(T1102="Backlog",1,IF(OR(T1102="Pipeline",T1102="Overdue"),N(INDEX(Settings!$C$27:$C$36,MATCH(L1102,Settings!$A$27:$A$36,0))),0))</f>
        <v>0</v>
      </c>
      <c r="V1102" s="38" t="n">
        <f aca="false">Q1102*U1102</f>
        <v>0</v>
      </c>
      <c r="W1102" s="41" t="str">
        <f aca="false">IF($M1102="","",IF(T1102="Overdue",IF(Settings!$B$8="Yes",Settings!$B$7,""),IF(ISNUMBER(R1102),DATE(YEAR(R1102),MONTH(R1102),1),"")))</f>
        <v/>
      </c>
      <c r="X1102" s="38" t="n">
        <f aca="false">IF(AND(OR(T1102="Backlog",T1102="Pipeline",T1102="Overdue"),ISNUMBER(W1102)),IF(W1102&lt;=Settings!$B$6,V1102,0),0)</f>
        <v>0</v>
      </c>
      <c r="Y1102" s="38" t="n">
        <f aca="false">IF(AND(OR(T1102="Backlog",T1102="Pipeline",T1102="Overdue"),ISNUMBER(W1102)),IF(W1102&lt;=Settings!$B$6,Q1102,0),0)</f>
        <v>0</v>
      </c>
      <c r="Z1102" s="38" t="n">
        <f aca="false">IF(Y1102=0,0,IF(T1102="Backlog",Q1102,Q1102*Dashboard!$C$10))</f>
        <v>0</v>
      </c>
      <c r="AA1102" s="37" t="n">
        <f aca="false">IF($N1102="",0,IF(COUNTIF(Dashboard!$C$13:$C$22,$N1102)&gt;0,1,0))</f>
        <v>0</v>
      </c>
      <c r="AB1102" s="37" t="str">
        <f aca="false">IF($N1102="","",IF(COUNTIF($N$8:$N1102,$N1102)=1,MAX($AB$7:$AB1101)+1,""))</f>
        <v/>
      </c>
    </row>
    <row r="1103" customFormat="false" ht="15" hidden="false" customHeight="false" outlineLevel="0" collapsed="false">
      <c r="L1103" s="37" t="str">
        <f aca="false">IF(INDEX($A1103:$J1103,$L$6)&lt;&gt;"",TRIM(LEFT(INDEX($A1103:$J1103,$L$6),FIND("(",INDEX($A1103:$J1103,$L$6)&amp;"(")-1)),L1102)</f>
        <v>Building Value Proposition</v>
      </c>
      <c r="M1103" s="37" t="str">
        <f aca="false">IF(INDEX($A1103:$J1103,$M$6)="","",INDEX($A1103:$J1103,$M$6)&amp;"")</f>
        <v/>
      </c>
      <c r="N1103" s="37" t="str">
        <f aca="false">IF($M1103="","",TRIM(INDEX($A1103:$J1103,$N$6)&amp;""))</f>
        <v/>
      </c>
      <c r="O1103" s="37" t="str">
        <f aca="false">IF($M1103="","",TRIM(INDEX($A1103:$J1103,$O$6)&amp;""))</f>
        <v/>
      </c>
      <c r="P1103" s="37" t="str">
        <f aca="false">IF($M1103="","",IFERROR(IF(INDEX(Settings!$B$41:$B$50,MATCH(O1103,Settings!$A$41:$A$50,0))&amp;""="","UNMAPPED",INDEX(Settings!$B$41:$B$50,MATCH(O1103,Settings!$A$41:$A$50,0))&amp;""),"UNMAPPED"))</f>
        <v/>
      </c>
      <c r="Q1103" s="38" t="n">
        <f aca="false">IF($M1103="",0,N(INDEX($A1103:$J1103,$Q$6)))</f>
        <v>0</v>
      </c>
      <c r="R1103" s="39" t="str">
        <f aca="false">IF($M1103="","",INDEX($A1103:$J1103,$R$6))</f>
        <v/>
      </c>
      <c r="S1103" s="37" t="str">
        <f aca="false">IF($M1103="","",IFERROR(INDEX(Settings!$B$27:$B$36,MATCH(L1103,Settings!$A$27:$A$36,0))&amp;"","UNMAPPED"))</f>
        <v/>
      </c>
      <c r="T1103" s="37" t="str">
        <f aca="false">IF($M1103="","",IF(NOT(ISNUMBER(R1103)),"NO DATE",IF(S1103="Won",IF(R1103&gt;Settings!$B$5,"Backlog","Delivered"),IF(S1103="Open",IF(R1103&gt;Settings!$B$5,"Pipeline","Overdue"),IF(S1103="Lost","Lost","UNMAPPED")))))</f>
        <v/>
      </c>
      <c r="U1103" s="40" t="n">
        <f aca="false">IF(T1103="Backlog",1,IF(OR(T1103="Pipeline",T1103="Overdue"),N(INDEX(Settings!$C$27:$C$36,MATCH(L1103,Settings!$A$27:$A$36,0))),0))</f>
        <v>0</v>
      </c>
      <c r="V1103" s="38" t="n">
        <f aca="false">Q1103*U1103</f>
        <v>0</v>
      </c>
      <c r="W1103" s="41" t="str">
        <f aca="false">IF($M1103="","",IF(T1103="Overdue",IF(Settings!$B$8="Yes",Settings!$B$7,""),IF(ISNUMBER(R1103),DATE(YEAR(R1103),MONTH(R1103),1),"")))</f>
        <v/>
      </c>
      <c r="X1103" s="38" t="n">
        <f aca="false">IF(AND(OR(T1103="Backlog",T1103="Pipeline",T1103="Overdue"),ISNUMBER(W1103)),IF(W1103&lt;=Settings!$B$6,V1103,0),0)</f>
        <v>0</v>
      </c>
      <c r="Y1103" s="38" t="n">
        <f aca="false">IF(AND(OR(T1103="Backlog",T1103="Pipeline",T1103="Overdue"),ISNUMBER(W1103)),IF(W1103&lt;=Settings!$B$6,Q1103,0),0)</f>
        <v>0</v>
      </c>
      <c r="Z1103" s="38" t="n">
        <f aca="false">IF(Y1103=0,0,IF(T1103="Backlog",Q1103,Q1103*Dashboard!$C$10))</f>
        <v>0</v>
      </c>
      <c r="AA1103" s="37" t="n">
        <f aca="false">IF($N1103="",0,IF(COUNTIF(Dashboard!$C$13:$C$22,$N1103)&gt;0,1,0))</f>
        <v>0</v>
      </c>
      <c r="AB1103" s="37" t="str">
        <f aca="false">IF($N1103="","",IF(COUNTIF($N$8:$N1103,$N1103)=1,MAX($AB$7:$AB1102)+1,""))</f>
        <v/>
      </c>
    </row>
    <row r="1104" customFormat="false" ht="15" hidden="false" customHeight="false" outlineLevel="0" collapsed="false">
      <c r="L1104" s="37" t="str">
        <f aca="false">IF(INDEX($A1104:$J1104,$L$6)&lt;&gt;"",TRIM(LEFT(INDEX($A1104:$J1104,$L$6),FIND("(",INDEX($A1104:$J1104,$L$6)&amp;"(")-1)),L1103)</f>
        <v>Building Value Proposition</v>
      </c>
      <c r="M1104" s="37" t="str">
        <f aca="false">IF(INDEX($A1104:$J1104,$M$6)="","",INDEX($A1104:$J1104,$M$6)&amp;"")</f>
        <v/>
      </c>
      <c r="N1104" s="37" t="str">
        <f aca="false">IF($M1104="","",TRIM(INDEX($A1104:$J1104,$N$6)&amp;""))</f>
        <v/>
      </c>
      <c r="O1104" s="37" t="str">
        <f aca="false">IF($M1104="","",TRIM(INDEX($A1104:$J1104,$O$6)&amp;""))</f>
        <v/>
      </c>
      <c r="P1104" s="37" t="str">
        <f aca="false">IF($M1104="","",IFERROR(IF(INDEX(Settings!$B$41:$B$50,MATCH(O1104,Settings!$A$41:$A$50,0))&amp;""="","UNMAPPED",INDEX(Settings!$B$41:$B$50,MATCH(O1104,Settings!$A$41:$A$50,0))&amp;""),"UNMAPPED"))</f>
        <v/>
      </c>
      <c r="Q1104" s="38" t="n">
        <f aca="false">IF($M1104="",0,N(INDEX($A1104:$J1104,$Q$6)))</f>
        <v>0</v>
      </c>
      <c r="R1104" s="39" t="str">
        <f aca="false">IF($M1104="","",INDEX($A1104:$J1104,$R$6))</f>
        <v/>
      </c>
      <c r="S1104" s="37" t="str">
        <f aca="false">IF($M1104="","",IFERROR(INDEX(Settings!$B$27:$B$36,MATCH(L1104,Settings!$A$27:$A$36,0))&amp;"","UNMAPPED"))</f>
        <v/>
      </c>
      <c r="T1104" s="37" t="str">
        <f aca="false">IF($M1104="","",IF(NOT(ISNUMBER(R1104)),"NO DATE",IF(S1104="Won",IF(R1104&gt;Settings!$B$5,"Backlog","Delivered"),IF(S1104="Open",IF(R1104&gt;Settings!$B$5,"Pipeline","Overdue"),IF(S1104="Lost","Lost","UNMAPPED")))))</f>
        <v/>
      </c>
      <c r="U1104" s="40" t="n">
        <f aca="false">IF(T1104="Backlog",1,IF(OR(T1104="Pipeline",T1104="Overdue"),N(INDEX(Settings!$C$27:$C$36,MATCH(L1104,Settings!$A$27:$A$36,0))),0))</f>
        <v>0</v>
      </c>
      <c r="V1104" s="38" t="n">
        <f aca="false">Q1104*U1104</f>
        <v>0</v>
      </c>
      <c r="W1104" s="41" t="str">
        <f aca="false">IF($M1104="","",IF(T1104="Overdue",IF(Settings!$B$8="Yes",Settings!$B$7,""),IF(ISNUMBER(R1104),DATE(YEAR(R1104),MONTH(R1104),1),"")))</f>
        <v/>
      </c>
      <c r="X1104" s="38" t="n">
        <f aca="false">IF(AND(OR(T1104="Backlog",T1104="Pipeline",T1104="Overdue"),ISNUMBER(W1104)),IF(W1104&lt;=Settings!$B$6,V1104,0),0)</f>
        <v>0</v>
      </c>
      <c r="Y1104" s="38" t="n">
        <f aca="false">IF(AND(OR(T1104="Backlog",T1104="Pipeline",T1104="Overdue"),ISNUMBER(W1104)),IF(W1104&lt;=Settings!$B$6,Q1104,0),0)</f>
        <v>0</v>
      </c>
      <c r="Z1104" s="38" t="n">
        <f aca="false">IF(Y1104=0,0,IF(T1104="Backlog",Q1104,Q1104*Dashboard!$C$10))</f>
        <v>0</v>
      </c>
      <c r="AA1104" s="37" t="n">
        <f aca="false">IF($N1104="",0,IF(COUNTIF(Dashboard!$C$13:$C$22,$N1104)&gt;0,1,0))</f>
        <v>0</v>
      </c>
      <c r="AB1104" s="37" t="str">
        <f aca="false">IF($N1104="","",IF(COUNTIF($N$8:$N1104,$N1104)=1,MAX($AB$7:$AB1103)+1,""))</f>
        <v/>
      </c>
    </row>
    <row r="1105" customFormat="false" ht="15" hidden="false" customHeight="false" outlineLevel="0" collapsed="false">
      <c r="L1105" s="37" t="str">
        <f aca="false">IF(INDEX($A1105:$J1105,$L$6)&lt;&gt;"",TRIM(LEFT(INDEX($A1105:$J1105,$L$6),FIND("(",INDEX($A1105:$J1105,$L$6)&amp;"(")-1)),L1104)</f>
        <v>Building Value Proposition</v>
      </c>
      <c r="M1105" s="37" t="str">
        <f aca="false">IF(INDEX($A1105:$J1105,$M$6)="","",INDEX($A1105:$J1105,$M$6)&amp;"")</f>
        <v/>
      </c>
      <c r="N1105" s="37" t="str">
        <f aca="false">IF($M1105="","",TRIM(INDEX($A1105:$J1105,$N$6)&amp;""))</f>
        <v/>
      </c>
      <c r="O1105" s="37" t="str">
        <f aca="false">IF($M1105="","",TRIM(INDEX($A1105:$J1105,$O$6)&amp;""))</f>
        <v/>
      </c>
      <c r="P1105" s="37" t="str">
        <f aca="false">IF($M1105="","",IFERROR(IF(INDEX(Settings!$B$41:$B$50,MATCH(O1105,Settings!$A$41:$A$50,0))&amp;""="","UNMAPPED",INDEX(Settings!$B$41:$B$50,MATCH(O1105,Settings!$A$41:$A$50,0))&amp;""),"UNMAPPED"))</f>
        <v/>
      </c>
      <c r="Q1105" s="38" t="n">
        <f aca="false">IF($M1105="",0,N(INDEX($A1105:$J1105,$Q$6)))</f>
        <v>0</v>
      </c>
      <c r="R1105" s="39" t="str">
        <f aca="false">IF($M1105="","",INDEX($A1105:$J1105,$R$6))</f>
        <v/>
      </c>
      <c r="S1105" s="37" t="str">
        <f aca="false">IF($M1105="","",IFERROR(INDEX(Settings!$B$27:$B$36,MATCH(L1105,Settings!$A$27:$A$36,0))&amp;"","UNMAPPED"))</f>
        <v/>
      </c>
      <c r="T1105" s="37" t="str">
        <f aca="false">IF($M1105="","",IF(NOT(ISNUMBER(R1105)),"NO DATE",IF(S1105="Won",IF(R1105&gt;Settings!$B$5,"Backlog","Delivered"),IF(S1105="Open",IF(R1105&gt;Settings!$B$5,"Pipeline","Overdue"),IF(S1105="Lost","Lost","UNMAPPED")))))</f>
        <v/>
      </c>
      <c r="U1105" s="40" t="n">
        <f aca="false">IF(T1105="Backlog",1,IF(OR(T1105="Pipeline",T1105="Overdue"),N(INDEX(Settings!$C$27:$C$36,MATCH(L1105,Settings!$A$27:$A$36,0))),0))</f>
        <v>0</v>
      </c>
      <c r="V1105" s="38" t="n">
        <f aca="false">Q1105*U1105</f>
        <v>0</v>
      </c>
      <c r="W1105" s="41" t="str">
        <f aca="false">IF($M1105="","",IF(T1105="Overdue",IF(Settings!$B$8="Yes",Settings!$B$7,""),IF(ISNUMBER(R1105),DATE(YEAR(R1105),MONTH(R1105),1),"")))</f>
        <v/>
      </c>
      <c r="X1105" s="38" t="n">
        <f aca="false">IF(AND(OR(T1105="Backlog",T1105="Pipeline",T1105="Overdue"),ISNUMBER(W1105)),IF(W1105&lt;=Settings!$B$6,V1105,0),0)</f>
        <v>0</v>
      </c>
      <c r="Y1105" s="38" t="n">
        <f aca="false">IF(AND(OR(T1105="Backlog",T1105="Pipeline",T1105="Overdue"),ISNUMBER(W1105)),IF(W1105&lt;=Settings!$B$6,Q1105,0),0)</f>
        <v>0</v>
      </c>
      <c r="Z1105" s="38" t="n">
        <f aca="false">IF(Y1105=0,0,IF(T1105="Backlog",Q1105,Q1105*Dashboard!$C$10))</f>
        <v>0</v>
      </c>
      <c r="AA1105" s="37" t="n">
        <f aca="false">IF($N1105="",0,IF(COUNTIF(Dashboard!$C$13:$C$22,$N1105)&gt;0,1,0))</f>
        <v>0</v>
      </c>
      <c r="AB1105" s="37" t="str">
        <f aca="false">IF($N1105="","",IF(COUNTIF($N$8:$N1105,$N1105)=1,MAX($AB$7:$AB1104)+1,""))</f>
        <v/>
      </c>
    </row>
    <row r="1106" customFormat="false" ht="15" hidden="false" customHeight="false" outlineLevel="0" collapsed="false">
      <c r="L1106" s="37" t="str">
        <f aca="false">IF(INDEX($A1106:$J1106,$L$6)&lt;&gt;"",TRIM(LEFT(INDEX($A1106:$J1106,$L$6),FIND("(",INDEX($A1106:$J1106,$L$6)&amp;"(")-1)),L1105)</f>
        <v>Building Value Proposition</v>
      </c>
      <c r="M1106" s="37" t="str">
        <f aca="false">IF(INDEX($A1106:$J1106,$M$6)="","",INDEX($A1106:$J1106,$M$6)&amp;"")</f>
        <v/>
      </c>
      <c r="N1106" s="37" t="str">
        <f aca="false">IF($M1106="","",TRIM(INDEX($A1106:$J1106,$N$6)&amp;""))</f>
        <v/>
      </c>
      <c r="O1106" s="37" t="str">
        <f aca="false">IF($M1106="","",TRIM(INDEX($A1106:$J1106,$O$6)&amp;""))</f>
        <v/>
      </c>
      <c r="P1106" s="37" t="str">
        <f aca="false">IF($M1106="","",IFERROR(IF(INDEX(Settings!$B$41:$B$50,MATCH(O1106,Settings!$A$41:$A$50,0))&amp;""="","UNMAPPED",INDEX(Settings!$B$41:$B$50,MATCH(O1106,Settings!$A$41:$A$50,0))&amp;""),"UNMAPPED"))</f>
        <v/>
      </c>
      <c r="Q1106" s="38" t="n">
        <f aca="false">IF($M1106="",0,N(INDEX($A1106:$J1106,$Q$6)))</f>
        <v>0</v>
      </c>
      <c r="R1106" s="39" t="str">
        <f aca="false">IF($M1106="","",INDEX($A1106:$J1106,$R$6))</f>
        <v/>
      </c>
      <c r="S1106" s="37" t="str">
        <f aca="false">IF($M1106="","",IFERROR(INDEX(Settings!$B$27:$B$36,MATCH(L1106,Settings!$A$27:$A$36,0))&amp;"","UNMAPPED"))</f>
        <v/>
      </c>
      <c r="T1106" s="37" t="str">
        <f aca="false">IF($M1106="","",IF(NOT(ISNUMBER(R1106)),"NO DATE",IF(S1106="Won",IF(R1106&gt;Settings!$B$5,"Backlog","Delivered"),IF(S1106="Open",IF(R1106&gt;Settings!$B$5,"Pipeline","Overdue"),IF(S1106="Lost","Lost","UNMAPPED")))))</f>
        <v/>
      </c>
      <c r="U1106" s="40" t="n">
        <f aca="false">IF(T1106="Backlog",1,IF(OR(T1106="Pipeline",T1106="Overdue"),N(INDEX(Settings!$C$27:$C$36,MATCH(L1106,Settings!$A$27:$A$36,0))),0))</f>
        <v>0</v>
      </c>
      <c r="V1106" s="38" t="n">
        <f aca="false">Q1106*U1106</f>
        <v>0</v>
      </c>
      <c r="W1106" s="41" t="str">
        <f aca="false">IF($M1106="","",IF(T1106="Overdue",IF(Settings!$B$8="Yes",Settings!$B$7,""),IF(ISNUMBER(R1106),DATE(YEAR(R1106),MONTH(R1106),1),"")))</f>
        <v/>
      </c>
      <c r="X1106" s="38" t="n">
        <f aca="false">IF(AND(OR(T1106="Backlog",T1106="Pipeline",T1106="Overdue"),ISNUMBER(W1106)),IF(W1106&lt;=Settings!$B$6,V1106,0),0)</f>
        <v>0</v>
      </c>
      <c r="Y1106" s="38" t="n">
        <f aca="false">IF(AND(OR(T1106="Backlog",T1106="Pipeline",T1106="Overdue"),ISNUMBER(W1106)),IF(W1106&lt;=Settings!$B$6,Q1106,0),0)</f>
        <v>0</v>
      </c>
      <c r="Z1106" s="38" t="n">
        <f aca="false">IF(Y1106=0,0,IF(T1106="Backlog",Q1106,Q1106*Dashboard!$C$10))</f>
        <v>0</v>
      </c>
      <c r="AA1106" s="37" t="n">
        <f aca="false">IF($N1106="",0,IF(COUNTIF(Dashboard!$C$13:$C$22,$N1106)&gt;0,1,0))</f>
        <v>0</v>
      </c>
      <c r="AB1106" s="37" t="str">
        <f aca="false">IF($N1106="","",IF(COUNTIF($N$8:$N1106,$N1106)=1,MAX($AB$7:$AB1105)+1,""))</f>
        <v/>
      </c>
    </row>
    <row r="1107" customFormat="false" ht="15" hidden="false" customHeight="false" outlineLevel="0" collapsed="false">
      <c r="L1107" s="37" t="str">
        <f aca="false">IF(INDEX($A1107:$J1107,$L$6)&lt;&gt;"",TRIM(LEFT(INDEX($A1107:$J1107,$L$6),FIND("(",INDEX($A1107:$J1107,$L$6)&amp;"(")-1)),L1106)</f>
        <v>Building Value Proposition</v>
      </c>
      <c r="M1107" s="37" t="str">
        <f aca="false">IF(INDEX($A1107:$J1107,$M$6)="","",INDEX($A1107:$J1107,$M$6)&amp;"")</f>
        <v/>
      </c>
      <c r="N1107" s="37" t="str">
        <f aca="false">IF($M1107="","",TRIM(INDEX($A1107:$J1107,$N$6)&amp;""))</f>
        <v/>
      </c>
      <c r="O1107" s="37" t="str">
        <f aca="false">IF($M1107="","",TRIM(INDEX($A1107:$J1107,$O$6)&amp;""))</f>
        <v/>
      </c>
      <c r="P1107" s="37" t="str">
        <f aca="false">IF($M1107="","",IFERROR(IF(INDEX(Settings!$B$41:$B$50,MATCH(O1107,Settings!$A$41:$A$50,0))&amp;""="","UNMAPPED",INDEX(Settings!$B$41:$B$50,MATCH(O1107,Settings!$A$41:$A$50,0))&amp;""),"UNMAPPED"))</f>
        <v/>
      </c>
      <c r="Q1107" s="38" t="n">
        <f aca="false">IF($M1107="",0,N(INDEX($A1107:$J1107,$Q$6)))</f>
        <v>0</v>
      </c>
      <c r="R1107" s="39" t="str">
        <f aca="false">IF($M1107="","",INDEX($A1107:$J1107,$R$6))</f>
        <v/>
      </c>
      <c r="S1107" s="37" t="str">
        <f aca="false">IF($M1107="","",IFERROR(INDEX(Settings!$B$27:$B$36,MATCH(L1107,Settings!$A$27:$A$36,0))&amp;"","UNMAPPED"))</f>
        <v/>
      </c>
      <c r="T1107" s="37" t="str">
        <f aca="false">IF($M1107="","",IF(NOT(ISNUMBER(R1107)),"NO DATE",IF(S1107="Won",IF(R1107&gt;Settings!$B$5,"Backlog","Delivered"),IF(S1107="Open",IF(R1107&gt;Settings!$B$5,"Pipeline","Overdue"),IF(S1107="Lost","Lost","UNMAPPED")))))</f>
        <v/>
      </c>
      <c r="U1107" s="40" t="n">
        <f aca="false">IF(T1107="Backlog",1,IF(OR(T1107="Pipeline",T1107="Overdue"),N(INDEX(Settings!$C$27:$C$36,MATCH(L1107,Settings!$A$27:$A$36,0))),0))</f>
        <v>0</v>
      </c>
      <c r="V1107" s="38" t="n">
        <f aca="false">Q1107*U1107</f>
        <v>0</v>
      </c>
      <c r="W1107" s="41" t="str">
        <f aca="false">IF($M1107="","",IF(T1107="Overdue",IF(Settings!$B$8="Yes",Settings!$B$7,""),IF(ISNUMBER(R1107),DATE(YEAR(R1107),MONTH(R1107),1),"")))</f>
        <v/>
      </c>
      <c r="X1107" s="38" t="n">
        <f aca="false">IF(AND(OR(T1107="Backlog",T1107="Pipeline",T1107="Overdue"),ISNUMBER(W1107)),IF(W1107&lt;=Settings!$B$6,V1107,0),0)</f>
        <v>0</v>
      </c>
      <c r="Y1107" s="38" t="n">
        <f aca="false">IF(AND(OR(T1107="Backlog",T1107="Pipeline",T1107="Overdue"),ISNUMBER(W1107)),IF(W1107&lt;=Settings!$B$6,Q1107,0),0)</f>
        <v>0</v>
      </c>
      <c r="Z1107" s="38" t="n">
        <f aca="false">IF(Y1107=0,0,IF(T1107="Backlog",Q1107,Q1107*Dashboard!$C$10))</f>
        <v>0</v>
      </c>
      <c r="AA1107" s="37" t="n">
        <f aca="false">IF($N1107="",0,IF(COUNTIF(Dashboard!$C$13:$C$22,$N1107)&gt;0,1,0))</f>
        <v>0</v>
      </c>
      <c r="AB1107" s="37" t="str">
        <f aca="false">IF($N1107="","",IF(COUNTIF($N$8:$N1107,$N1107)=1,MAX($AB$7:$AB1106)+1,""))</f>
        <v/>
      </c>
    </row>
    <row r="1108" customFormat="false" ht="15" hidden="false" customHeight="false" outlineLevel="0" collapsed="false">
      <c r="L1108" s="37" t="str">
        <f aca="false">IF(INDEX($A1108:$J1108,$L$6)&lt;&gt;"",TRIM(LEFT(INDEX($A1108:$J1108,$L$6),FIND("(",INDEX($A1108:$J1108,$L$6)&amp;"(")-1)),L1107)</f>
        <v>Building Value Proposition</v>
      </c>
      <c r="M1108" s="37" t="str">
        <f aca="false">IF(INDEX($A1108:$J1108,$M$6)="","",INDEX($A1108:$J1108,$M$6)&amp;"")</f>
        <v/>
      </c>
      <c r="N1108" s="37" t="str">
        <f aca="false">IF($M1108="","",TRIM(INDEX($A1108:$J1108,$N$6)&amp;""))</f>
        <v/>
      </c>
      <c r="O1108" s="37" t="str">
        <f aca="false">IF($M1108="","",TRIM(INDEX($A1108:$J1108,$O$6)&amp;""))</f>
        <v/>
      </c>
      <c r="P1108" s="37" t="str">
        <f aca="false">IF($M1108="","",IFERROR(IF(INDEX(Settings!$B$41:$B$50,MATCH(O1108,Settings!$A$41:$A$50,0))&amp;""="","UNMAPPED",INDEX(Settings!$B$41:$B$50,MATCH(O1108,Settings!$A$41:$A$50,0))&amp;""),"UNMAPPED"))</f>
        <v/>
      </c>
      <c r="Q1108" s="38" t="n">
        <f aca="false">IF($M1108="",0,N(INDEX($A1108:$J1108,$Q$6)))</f>
        <v>0</v>
      </c>
      <c r="R1108" s="39" t="str">
        <f aca="false">IF($M1108="","",INDEX($A1108:$J1108,$R$6))</f>
        <v/>
      </c>
      <c r="S1108" s="37" t="str">
        <f aca="false">IF($M1108="","",IFERROR(INDEX(Settings!$B$27:$B$36,MATCH(L1108,Settings!$A$27:$A$36,0))&amp;"","UNMAPPED"))</f>
        <v/>
      </c>
      <c r="T1108" s="37" t="str">
        <f aca="false">IF($M1108="","",IF(NOT(ISNUMBER(R1108)),"NO DATE",IF(S1108="Won",IF(R1108&gt;Settings!$B$5,"Backlog","Delivered"),IF(S1108="Open",IF(R1108&gt;Settings!$B$5,"Pipeline","Overdue"),IF(S1108="Lost","Lost","UNMAPPED")))))</f>
        <v/>
      </c>
      <c r="U1108" s="40" t="n">
        <f aca="false">IF(T1108="Backlog",1,IF(OR(T1108="Pipeline",T1108="Overdue"),N(INDEX(Settings!$C$27:$C$36,MATCH(L1108,Settings!$A$27:$A$36,0))),0))</f>
        <v>0</v>
      </c>
      <c r="V1108" s="38" t="n">
        <f aca="false">Q1108*U1108</f>
        <v>0</v>
      </c>
      <c r="W1108" s="41" t="str">
        <f aca="false">IF($M1108="","",IF(T1108="Overdue",IF(Settings!$B$8="Yes",Settings!$B$7,""),IF(ISNUMBER(R1108),DATE(YEAR(R1108),MONTH(R1108),1),"")))</f>
        <v/>
      </c>
      <c r="X1108" s="38" t="n">
        <f aca="false">IF(AND(OR(T1108="Backlog",T1108="Pipeline",T1108="Overdue"),ISNUMBER(W1108)),IF(W1108&lt;=Settings!$B$6,V1108,0),0)</f>
        <v>0</v>
      </c>
      <c r="Y1108" s="38" t="n">
        <f aca="false">IF(AND(OR(T1108="Backlog",T1108="Pipeline",T1108="Overdue"),ISNUMBER(W1108)),IF(W1108&lt;=Settings!$B$6,Q1108,0),0)</f>
        <v>0</v>
      </c>
      <c r="Z1108" s="38" t="n">
        <f aca="false">IF(Y1108=0,0,IF(T1108="Backlog",Q1108,Q1108*Dashboard!$C$10))</f>
        <v>0</v>
      </c>
      <c r="AA1108" s="37" t="n">
        <f aca="false">IF($N1108="",0,IF(COUNTIF(Dashboard!$C$13:$C$22,$N1108)&gt;0,1,0))</f>
        <v>0</v>
      </c>
      <c r="AB1108" s="37" t="str">
        <f aca="false">IF($N1108="","",IF(COUNTIF($N$8:$N1108,$N1108)=1,MAX($AB$7:$AB1107)+1,""))</f>
        <v/>
      </c>
    </row>
    <row r="1109" customFormat="false" ht="15" hidden="false" customHeight="false" outlineLevel="0" collapsed="false">
      <c r="L1109" s="37" t="str">
        <f aca="false">IF(INDEX($A1109:$J1109,$L$6)&lt;&gt;"",TRIM(LEFT(INDEX($A1109:$J1109,$L$6),FIND("(",INDEX($A1109:$J1109,$L$6)&amp;"(")-1)),L1108)</f>
        <v>Building Value Proposition</v>
      </c>
      <c r="M1109" s="37" t="str">
        <f aca="false">IF(INDEX($A1109:$J1109,$M$6)="","",INDEX($A1109:$J1109,$M$6)&amp;"")</f>
        <v/>
      </c>
      <c r="N1109" s="37" t="str">
        <f aca="false">IF($M1109="","",TRIM(INDEX($A1109:$J1109,$N$6)&amp;""))</f>
        <v/>
      </c>
      <c r="O1109" s="37" t="str">
        <f aca="false">IF($M1109="","",TRIM(INDEX($A1109:$J1109,$O$6)&amp;""))</f>
        <v/>
      </c>
      <c r="P1109" s="37" t="str">
        <f aca="false">IF($M1109="","",IFERROR(IF(INDEX(Settings!$B$41:$B$50,MATCH(O1109,Settings!$A$41:$A$50,0))&amp;""="","UNMAPPED",INDEX(Settings!$B$41:$B$50,MATCH(O1109,Settings!$A$41:$A$50,0))&amp;""),"UNMAPPED"))</f>
        <v/>
      </c>
      <c r="Q1109" s="38" t="n">
        <f aca="false">IF($M1109="",0,N(INDEX($A1109:$J1109,$Q$6)))</f>
        <v>0</v>
      </c>
      <c r="R1109" s="39" t="str">
        <f aca="false">IF($M1109="","",INDEX($A1109:$J1109,$R$6))</f>
        <v/>
      </c>
      <c r="S1109" s="37" t="str">
        <f aca="false">IF($M1109="","",IFERROR(INDEX(Settings!$B$27:$B$36,MATCH(L1109,Settings!$A$27:$A$36,0))&amp;"","UNMAPPED"))</f>
        <v/>
      </c>
      <c r="T1109" s="37" t="str">
        <f aca="false">IF($M1109="","",IF(NOT(ISNUMBER(R1109)),"NO DATE",IF(S1109="Won",IF(R1109&gt;Settings!$B$5,"Backlog","Delivered"),IF(S1109="Open",IF(R1109&gt;Settings!$B$5,"Pipeline","Overdue"),IF(S1109="Lost","Lost","UNMAPPED")))))</f>
        <v/>
      </c>
      <c r="U1109" s="40" t="n">
        <f aca="false">IF(T1109="Backlog",1,IF(OR(T1109="Pipeline",T1109="Overdue"),N(INDEX(Settings!$C$27:$C$36,MATCH(L1109,Settings!$A$27:$A$36,0))),0))</f>
        <v>0</v>
      </c>
      <c r="V1109" s="38" t="n">
        <f aca="false">Q1109*U1109</f>
        <v>0</v>
      </c>
      <c r="W1109" s="41" t="str">
        <f aca="false">IF($M1109="","",IF(T1109="Overdue",IF(Settings!$B$8="Yes",Settings!$B$7,""),IF(ISNUMBER(R1109),DATE(YEAR(R1109),MONTH(R1109),1),"")))</f>
        <v/>
      </c>
      <c r="X1109" s="38" t="n">
        <f aca="false">IF(AND(OR(T1109="Backlog",T1109="Pipeline",T1109="Overdue"),ISNUMBER(W1109)),IF(W1109&lt;=Settings!$B$6,V1109,0),0)</f>
        <v>0</v>
      </c>
      <c r="Y1109" s="38" t="n">
        <f aca="false">IF(AND(OR(T1109="Backlog",T1109="Pipeline",T1109="Overdue"),ISNUMBER(W1109)),IF(W1109&lt;=Settings!$B$6,Q1109,0),0)</f>
        <v>0</v>
      </c>
      <c r="Z1109" s="38" t="n">
        <f aca="false">IF(Y1109=0,0,IF(T1109="Backlog",Q1109,Q1109*Dashboard!$C$10))</f>
        <v>0</v>
      </c>
      <c r="AA1109" s="37" t="n">
        <f aca="false">IF($N1109="",0,IF(COUNTIF(Dashboard!$C$13:$C$22,$N1109)&gt;0,1,0))</f>
        <v>0</v>
      </c>
      <c r="AB1109" s="37" t="str">
        <f aca="false">IF($N1109="","",IF(COUNTIF($N$8:$N1109,$N1109)=1,MAX($AB$7:$AB1108)+1,""))</f>
        <v/>
      </c>
    </row>
    <row r="1110" customFormat="false" ht="15" hidden="false" customHeight="false" outlineLevel="0" collapsed="false">
      <c r="L1110" s="37" t="str">
        <f aca="false">IF(INDEX($A1110:$J1110,$L$6)&lt;&gt;"",TRIM(LEFT(INDEX($A1110:$J1110,$L$6),FIND("(",INDEX($A1110:$J1110,$L$6)&amp;"(")-1)),L1109)</f>
        <v>Building Value Proposition</v>
      </c>
      <c r="M1110" s="37" t="str">
        <f aca="false">IF(INDEX($A1110:$J1110,$M$6)="","",INDEX($A1110:$J1110,$M$6)&amp;"")</f>
        <v/>
      </c>
      <c r="N1110" s="37" t="str">
        <f aca="false">IF($M1110="","",TRIM(INDEX($A1110:$J1110,$N$6)&amp;""))</f>
        <v/>
      </c>
      <c r="O1110" s="37" t="str">
        <f aca="false">IF($M1110="","",TRIM(INDEX($A1110:$J1110,$O$6)&amp;""))</f>
        <v/>
      </c>
      <c r="P1110" s="37" t="str">
        <f aca="false">IF($M1110="","",IFERROR(IF(INDEX(Settings!$B$41:$B$50,MATCH(O1110,Settings!$A$41:$A$50,0))&amp;""="","UNMAPPED",INDEX(Settings!$B$41:$B$50,MATCH(O1110,Settings!$A$41:$A$50,0))&amp;""),"UNMAPPED"))</f>
        <v/>
      </c>
      <c r="Q1110" s="38" t="n">
        <f aca="false">IF($M1110="",0,N(INDEX($A1110:$J1110,$Q$6)))</f>
        <v>0</v>
      </c>
      <c r="R1110" s="39" t="str">
        <f aca="false">IF($M1110="","",INDEX($A1110:$J1110,$R$6))</f>
        <v/>
      </c>
      <c r="S1110" s="37" t="str">
        <f aca="false">IF($M1110="","",IFERROR(INDEX(Settings!$B$27:$B$36,MATCH(L1110,Settings!$A$27:$A$36,0))&amp;"","UNMAPPED"))</f>
        <v/>
      </c>
      <c r="T1110" s="37" t="str">
        <f aca="false">IF($M1110="","",IF(NOT(ISNUMBER(R1110)),"NO DATE",IF(S1110="Won",IF(R1110&gt;Settings!$B$5,"Backlog","Delivered"),IF(S1110="Open",IF(R1110&gt;Settings!$B$5,"Pipeline","Overdue"),IF(S1110="Lost","Lost","UNMAPPED")))))</f>
        <v/>
      </c>
      <c r="U1110" s="40" t="n">
        <f aca="false">IF(T1110="Backlog",1,IF(OR(T1110="Pipeline",T1110="Overdue"),N(INDEX(Settings!$C$27:$C$36,MATCH(L1110,Settings!$A$27:$A$36,0))),0))</f>
        <v>0</v>
      </c>
      <c r="V1110" s="38" t="n">
        <f aca="false">Q1110*U1110</f>
        <v>0</v>
      </c>
      <c r="W1110" s="41" t="str">
        <f aca="false">IF($M1110="","",IF(T1110="Overdue",IF(Settings!$B$8="Yes",Settings!$B$7,""),IF(ISNUMBER(R1110),DATE(YEAR(R1110),MONTH(R1110),1),"")))</f>
        <v/>
      </c>
      <c r="X1110" s="38" t="n">
        <f aca="false">IF(AND(OR(T1110="Backlog",T1110="Pipeline",T1110="Overdue"),ISNUMBER(W1110)),IF(W1110&lt;=Settings!$B$6,V1110,0),0)</f>
        <v>0</v>
      </c>
      <c r="Y1110" s="38" t="n">
        <f aca="false">IF(AND(OR(T1110="Backlog",T1110="Pipeline",T1110="Overdue"),ISNUMBER(W1110)),IF(W1110&lt;=Settings!$B$6,Q1110,0),0)</f>
        <v>0</v>
      </c>
      <c r="Z1110" s="38" t="n">
        <f aca="false">IF(Y1110=0,0,IF(T1110="Backlog",Q1110,Q1110*Dashboard!$C$10))</f>
        <v>0</v>
      </c>
      <c r="AA1110" s="37" t="n">
        <f aca="false">IF($N1110="",0,IF(COUNTIF(Dashboard!$C$13:$C$22,$N1110)&gt;0,1,0))</f>
        <v>0</v>
      </c>
      <c r="AB1110" s="37" t="str">
        <f aca="false">IF($N1110="","",IF(COUNTIF($N$8:$N1110,$N1110)=1,MAX($AB$7:$AB1109)+1,""))</f>
        <v/>
      </c>
    </row>
    <row r="1111" customFormat="false" ht="15" hidden="false" customHeight="false" outlineLevel="0" collapsed="false">
      <c r="L1111" s="37" t="str">
        <f aca="false">IF(INDEX($A1111:$J1111,$L$6)&lt;&gt;"",TRIM(LEFT(INDEX($A1111:$J1111,$L$6),FIND("(",INDEX($A1111:$J1111,$L$6)&amp;"(")-1)),L1110)</f>
        <v>Building Value Proposition</v>
      </c>
      <c r="M1111" s="37" t="str">
        <f aca="false">IF(INDEX($A1111:$J1111,$M$6)="","",INDEX($A1111:$J1111,$M$6)&amp;"")</f>
        <v/>
      </c>
      <c r="N1111" s="37" t="str">
        <f aca="false">IF($M1111="","",TRIM(INDEX($A1111:$J1111,$N$6)&amp;""))</f>
        <v/>
      </c>
      <c r="O1111" s="37" t="str">
        <f aca="false">IF($M1111="","",TRIM(INDEX($A1111:$J1111,$O$6)&amp;""))</f>
        <v/>
      </c>
      <c r="P1111" s="37" t="str">
        <f aca="false">IF($M1111="","",IFERROR(IF(INDEX(Settings!$B$41:$B$50,MATCH(O1111,Settings!$A$41:$A$50,0))&amp;""="","UNMAPPED",INDEX(Settings!$B$41:$B$50,MATCH(O1111,Settings!$A$41:$A$50,0))&amp;""),"UNMAPPED"))</f>
        <v/>
      </c>
      <c r="Q1111" s="38" t="n">
        <f aca="false">IF($M1111="",0,N(INDEX($A1111:$J1111,$Q$6)))</f>
        <v>0</v>
      </c>
      <c r="R1111" s="39" t="str">
        <f aca="false">IF($M1111="","",INDEX($A1111:$J1111,$R$6))</f>
        <v/>
      </c>
      <c r="S1111" s="37" t="str">
        <f aca="false">IF($M1111="","",IFERROR(INDEX(Settings!$B$27:$B$36,MATCH(L1111,Settings!$A$27:$A$36,0))&amp;"","UNMAPPED"))</f>
        <v/>
      </c>
      <c r="T1111" s="37" t="str">
        <f aca="false">IF($M1111="","",IF(NOT(ISNUMBER(R1111)),"NO DATE",IF(S1111="Won",IF(R1111&gt;Settings!$B$5,"Backlog","Delivered"),IF(S1111="Open",IF(R1111&gt;Settings!$B$5,"Pipeline","Overdue"),IF(S1111="Lost","Lost","UNMAPPED")))))</f>
        <v/>
      </c>
      <c r="U1111" s="40" t="n">
        <f aca="false">IF(T1111="Backlog",1,IF(OR(T1111="Pipeline",T1111="Overdue"),N(INDEX(Settings!$C$27:$C$36,MATCH(L1111,Settings!$A$27:$A$36,0))),0))</f>
        <v>0</v>
      </c>
      <c r="V1111" s="38" t="n">
        <f aca="false">Q1111*U1111</f>
        <v>0</v>
      </c>
      <c r="W1111" s="41" t="str">
        <f aca="false">IF($M1111="","",IF(T1111="Overdue",IF(Settings!$B$8="Yes",Settings!$B$7,""),IF(ISNUMBER(R1111),DATE(YEAR(R1111),MONTH(R1111),1),"")))</f>
        <v/>
      </c>
      <c r="X1111" s="38" t="n">
        <f aca="false">IF(AND(OR(T1111="Backlog",T1111="Pipeline",T1111="Overdue"),ISNUMBER(W1111)),IF(W1111&lt;=Settings!$B$6,V1111,0),0)</f>
        <v>0</v>
      </c>
      <c r="Y1111" s="38" t="n">
        <f aca="false">IF(AND(OR(T1111="Backlog",T1111="Pipeline",T1111="Overdue"),ISNUMBER(W1111)),IF(W1111&lt;=Settings!$B$6,Q1111,0),0)</f>
        <v>0</v>
      </c>
      <c r="Z1111" s="38" t="n">
        <f aca="false">IF(Y1111=0,0,IF(T1111="Backlog",Q1111,Q1111*Dashboard!$C$10))</f>
        <v>0</v>
      </c>
      <c r="AA1111" s="37" t="n">
        <f aca="false">IF($N1111="",0,IF(COUNTIF(Dashboard!$C$13:$C$22,$N1111)&gt;0,1,0))</f>
        <v>0</v>
      </c>
      <c r="AB1111" s="37" t="str">
        <f aca="false">IF($N1111="","",IF(COUNTIF($N$8:$N1111,$N1111)=1,MAX($AB$7:$AB1110)+1,""))</f>
        <v/>
      </c>
    </row>
    <row r="1112" customFormat="false" ht="15" hidden="false" customHeight="false" outlineLevel="0" collapsed="false">
      <c r="L1112" s="37" t="str">
        <f aca="false">IF(INDEX($A1112:$J1112,$L$6)&lt;&gt;"",TRIM(LEFT(INDEX($A1112:$J1112,$L$6),FIND("(",INDEX($A1112:$J1112,$L$6)&amp;"(")-1)),L1111)</f>
        <v>Building Value Proposition</v>
      </c>
      <c r="M1112" s="37" t="str">
        <f aca="false">IF(INDEX($A1112:$J1112,$M$6)="","",INDEX($A1112:$J1112,$M$6)&amp;"")</f>
        <v/>
      </c>
      <c r="N1112" s="37" t="str">
        <f aca="false">IF($M1112="","",TRIM(INDEX($A1112:$J1112,$N$6)&amp;""))</f>
        <v/>
      </c>
      <c r="O1112" s="37" t="str">
        <f aca="false">IF($M1112="","",TRIM(INDEX($A1112:$J1112,$O$6)&amp;""))</f>
        <v/>
      </c>
      <c r="P1112" s="37" t="str">
        <f aca="false">IF($M1112="","",IFERROR(IF(INDEX(Settings!$B$41:$B$50,MATCH(O1112,Settings!$A$41:$A$50,0))&amp;""="","UNMAPPED",INDEX(Settings!$B$41:$B$50,MATCH(O1112,Settings!$A$41:$A$50,0))&amp;""),"UNMAPPED"))</f>
        <v/>
      </c>
      <c r="Q1112" s="38" t="n">
        <f aca="false">IF($M1112="",0,N(INDEX($A1112:$J1112,$Q$6)))</f>
        <v>0</v>
      </c>
      <c r="R1112" s="39" t="str">
        <f aca="false">IF($M1112="","",INDEX($A1112:$J1112,$R$6))</f>
        <v/>
      </c>
      <c r="S1112" s="37" t="str">
        <f aca="false">IF($M1112="","",IFERROR(INDEX(Settings!$B$27:$B$36,MATCH(L1112,Settings!$A$27:$A$36,0))&amp;"","UNMAPPED"))</f>
        <v/>
      </c>
      <c r="T1112" s="37" t="str">
        <f aca="false">IF($M1112="","",IF(NOT(ISNUMBER(R1112)),"NO DATE",IF(S1112="Won",IF(R1112&gt;Settings!$B$5,"Backlog","Delivered"),IF(S1112="Open",IF(R1112&gt;Settings!$B$5,"Pipeline","Overdue"),IF(S1112="Lost","Lost","UNMAPPED")))))</f>
        <v/>
      </c>
      <c r="U1112" s="40" t="n">
        <f aca="false">IF(T1112="Backlog",1,IF(OR(T1112="Pipeline",T1112="Overdue"),N(INDEX(Settings!$C$27:$C$36,MATCH(L1112,Settings!$A$27:$A$36,0))),0))</f>
        <v>0</v>
      </c>
      <c r="V1112" s="38" t="n">
        <f aca="false">Q1112*U1112</f>
        <v>0</v>
      </c>
      <c r="W1112" s="41" t="str">
        <f aca="false">IF($M1112="","",IF(T1112="Overdue",IF(Settings!$B$8="Yes",Settings!$B$7,""),IF(ISNUMBER(R1112),DATE(YEAR(R1112),MONTH(R1112),1),"")))</f>
        <v/>
      </c>
      <c r="X1112" s="38" t="n">
        <f aca="false">IF(AND(OR(T1112="Backlog",T1112="Pipeline",T1112="Overdue"),ISNUMBER(W1112)),IF(W1112&lt;=Settings!$B$6,V1112,0),0)</f>
        <v>0</v>
      </c>
      <c r="Y1112" s="38" t="n">
        <f aca="false">IF(AND(OR(T1112="Backlog",T1112="Pipeline",T1112="Overdue"),ISNUMBER(W1112)),IF(W1112&lt;=Settings!$B$6,Q1112,0),0)</f>
        <v>0</v>
      </c>
      <c r="Z1112" s="38" t="n">
        <f aca="false">IF(Y1112=0,0,IF(T1112="Backlog",Q1112,Q1112*Dashboard!$C$10))</f>
        <v>0</v>
      </c>
      <c r="AA1112" s="37" t="n">
        <f aca="false">IF($N1112="",0,IF(COUNTIF(Dashboard!$C$13:$C$22,$N1112)&gt;0,1,0))</f>
        <v>0</v>
      </c>
      <c r="AB1112" s="37" t="str">
        <f aca="false">IF($N1112="","",IF(COUNTIF($N$8:$N1112,$N1112)=1,MAX($AB$7:$AB1111)+1,""))</f>
        <v/>
      </c>
    </row>
    <row r="1113" customFormat="false" ht="15" hidden="false" customHeight="false" outlineLevel="0" collapsed="false">
      <c r="L1113" s="37" t="str">
        <f aca="false">IF(INDEX($A1113:$J1113,$L$6)&lt;&gt;"",TRIM(LEFT(INDEX($A1113:$J1113,$L$6),FIND("(",INDEX($A1113:$J1113,$L$6)&amp;"(")-1)),L1112)</f>
        <v>Building Value Proposition</v>
      </c>
      <c r="M1113" s="37" t="str">
        <f aca="false">IF(INDEX($A1113:$J1113,$M$6)="","",INDEX($A1113:$J1113,$M$6)&amp;"")</f>
        <v/>
      </c>
      <c r="N1113" s="37" t="str">
        <f aca="false">IF($M1113="","",TRIM(INDEX($A1113:$J1113,$N$6)&amp;""))</f>
        <v/>
      </c>
      <c r="O1113" s="37" t="str">
        <f aca="false">IF($M1113="","",TRIM(INDEX($A1113:$J1113,$O$6)&amp;""))</f>
        <v/>
      </c>
      <c r="P1113" s="37" t="str">
        <f aca="false">IF($M1113="","",IFERROR(IF(INDEX(Settings!$B$41:$B$50,MATCH(O1113,Settings!$A$41:$A$50,0))&amp;""="","UNMAPPED",INDEX(Settings!$B$41:$B$50,MATCH(O1113,Settings!$A$41:$A$50,0))&amp;""),"UNMAPPED"))</f>
        <v/>
      </c>
      <c r="Q1113" s="38" t="n">
        <f aca="false">IF($M1113="",0,N(INDEX($A1113:$J1113,$Q$6)))</f>
        <v>0</v>
      </c>
      <c r="R1113" s="39" t="str">
        <f aca="false">IF($M1113="","",INDEX($A1113:$J1113,$R$6))</f>
        <v/>
      </c>
      <c r="S1113" s="37" t="str">
        <f aca="false">IF($M1113="","",IFERROR(INDEX(Settings!$B$27:$B$36,MATCH(L1113,Settings!$A$27:$A$36,0))&amp;"","UNMAPPED"))</f>
        <v/>
      </c>
      <c r="T1113" s="37" t="str">
        <f aca="false">IF($M1113="","",IF(NOT(ISNUMBER(R1113)),"NO DATE",IF(S1113="Won",IF(R1113&gt;Settings!$B$5,"Backlog","Delivered"),IF(S1113="Open",IF(R1113&gt;Settings!$B$5,"Pipeline","Overdue"),IF(S1113="Lost","Lost","UNMAPPED")))))</f>
        <v/>
      </c>
      <c r="U1113" s="40" t="n">
        <f aca="false">IF(T1113="Backlog",1,IF(OR(T1113="Pipeline",T1113="Overdue"),N(INDEX(Settings!$C$27:$C$36,MATCH(L1113,Settings!$A$27:$A$36,0))),0))</f>
        <v>0</v>
      </c>
      <c r="V1113" s="38" t="n">
        <f aca="false">Q1113*U1113</f>
        <v>0</v>
      </c>
      <c r="W1113" s="41" t="str">
        <f aca="false">IF($M1113="","",IF(T1113="Overdue",IF(Settings!$B$8="Yes",Settings!$B$7,""),IF(ISNUMBER(R1113),DATE(YEAR(R1113),MONTH(R1113),1),"")))</f>
        <v/>
      </c>
      <c r="X1113" s="38" t="n">
        <f aca="false">IF(AND(OR(T1113="Backlog",T1113="Pipeline",T1113="Overdue"),ISNUMBER(W1113)),IF(W1113&lt;=Settings!$B$6,V1113,0),0)</f>
        <v>0</v>
      </c>
      <c r="Y1113" s="38" t="n">
        <f aca="false">IF(AND(OR(T1113="Backlog",T1113="Pipeline",T1113="Overdue"),ISNUMBER(W1113)),IF(W1113&lt;=Settings!$B$6,Q1113,0),0)</f>
        <v>0</v>
      </c>
      <c r="Z1113" s="38" t="n">
        <f aca="false">IF(Y1113=0,0,IF(T1113="Backlog",Q1113,Q1113*Dashboard!$C$10))</f>
        <v>0</v>
      </c>
      <c r="AA1113" s="37" t="n">
        <f aca="false">IF($N1113="",0,IF(COUNTIF(Dashboard!$C$13:$C$22,$N1113)&gt;0,1,0))</f>
        <v>0</v>
      </c>
      <c r="AB1113" s="37" t="str">
        <f aca="false">IF($N1113="","",IF(COUNTIF($N$8:$N1113,$N1113)=1,MAX($AB$7:$AB1112)+1,""))</f>
        <v/>
      </c>
    </row>
    <row r="1114" customFormat="false" ht="15" hidden="false" customHeight="false" outlineLevel="0" collapsed="false">
      <c r="L1114" s="37" t="str">
        <f aca="false">IF(INDEX($A1114:$J1114,$L$6)&lt;&gt;"",TRIM(LEFT(INDEX($A1114:$J1114,$L$6),FIND("(",INDEX($A1114:$J1114,$L$6)&amp;"(")-1)),L1113)</f>
        <v>Building Value Proposition</v>
      </c>
      <c r="M1114" s="37" t="str">
        <f aca="false">IF(INDEX($A1114:$J1114,$M$6)="","",INDEX($A1114:$J1114,$M$6)&amp;"")</f>
        <v/>
      </c>
      <c r="N1114" s="37" t="str">
        <f aca="false">IF($M1114="","",TRIM(INDEX($A1114:$J1114,$N$6)&amp;""))</f>
        <v/>
      </c>
      <c r="O1114" s="37" t="str">
        <f aca="false">IF($M1114="","",TRIM(INDEX($A1114:$J1114,$O$6)&amp;""))</f>
        <v/>
      </c>
      <c r="P1114" s="37" t="str">
        <f aca="false">IF($M1114="","",IFERROR(IF(INDEX(Settings!$B$41:$B$50,MATCH(O1114,Settings!$A$41:$A$50,0))&amp;""="","UNMAPPED",INDEX(Settings!$B$41:$B$50,MATCH(O1114,Settings!$A$41:$A$50,0))&amp;""),"UNMAPPED"))</f>
        <v/>
      </c>
      <c r="Q1114" s="38" t="n">
        <f aca="false">IF($M1114="",0,N(INDEX($A1114:$J1114,$Q$6)))</f>
        <v>0</v>
      </c>
      <c r="R1114" s="39" t="str">
        <f aca="false">IF($M1114="","",INDEX($A1114:$J1114,$R$6))</f>
        <v/>
      </c>
      <c r="S1114" s="37" t="str">
        <f aca="false">IF($M1114="","",IFERROR(INDEX(Settings!$B$27:$B$36,MATCH(L1114,Settings!$A$27:$A$36,0))&amp;"","UNMAPPED"))</f>
        <v/>
      </c>
      <c r="T1114" s="37" t="str">
        <f aca="false">IF($M1114="","",IF(NOT(ISNUMBER(R1114)),"NO DATE",IF(S1114="Won",IF(R1114&gt;Settings!$B$5,"Backlog","Delivered"),IF(S1114="Open",IF(R1114&gt;Settings!$B$5,"Pipeline","Overdue"),IF(S1114="Lost","Lost","UNMAPPED")))))</f>
        <v/>
      </c>
      <c r="U1114" s="40" t="n">
        <f aca="false">IF(T1114="Backlog",1,IF(OR(T1114="Pipeline",T1114="Overdue"),N(INDEX(Settings!$C$27:$C$36,MATCH(L1114,Settings!$A$27:$A$36,0))),0))</f>
        <v>0</v>
      </c>
      <c r="V1114" s="38" t="n">
        <f aca="false">Q1114*U1114</f>
        <v>0</v>
      </c>
      <c r="W1114" s="41" t="str">
        <f aca="false">IF($M1114="","",IF(T1114="Overdue",IF(Settings!$B$8="Yes",Settings!$B$7,""),IF(ISNUMBER(R1114),DATE(YEAR(R1114),MONTH(R1114),1),"")))</f>
        <v/>
      </c>
      <c r="X1114" s="38" t="n">
        <f aca="false">IF(AND(OR(T1114="Backlog",T1114="Pipeline",T1114="Overdue"),ISNUMBER(W1114)),IF(W1114&lt;=Settings!$B$6,V1114,0),0)</f>
        <v>0</v>
      </c>
      <c r="Y1114" s="38" t="n">
        <f aca="false">IF(AND(OR(T1114="Backlog",T1114="Pipeline",T1114="Overdue"),ISNUMBER(W1114)),IF(W1114&lt;=Settings!$B$6,Q1114,0),0)</f>
        <v>0</v>
      </c>
      <c r="Z1114" s="38" t="n">
        <f aca="false">IF(Y1114=0,0,IF(T1114="Backlog",Q1114,Q1114*Dashboard!$C$10))</f>
        <v>0</v>
      </c>
      <c r="AA1114" s="37" t="n">
        <f aca="false">IF($N1114="",0,IF(COUNTIF(Dashboard!$C$13:$C$22,$N1114)&gt;0,1,0))</f>
        <v>0</v>
      </c>
      <c r="AB1114" s="37" t="str">
        <f aca="false">IF($N1114="","",IF(COUNTIF($N$8:$N1114,$N1114)=1,MAX($AB$7:$AB1113)+1,""))</f>
        <v/>
      </c>
    </row>
    <row r="1115" customFormat="false" ht="15" hidden="false" customHeight="false" outlineLevel="0" collapsed="false">
      <c r="L1115" s="37" t="str">
        <f aca="false">IF(INDEX($A1115:$J1115,$L$6)&lt;&gt;"",TRIM(LEFT(INDEX($A1115:$J1115,$L$6),FIND("(",INDEX($A1115:$J1115,$L$6)&amp;"(")-1)),L1114)</f>
        <v>Building Value Proposition</v>
      </c>
      <c r="M1115" s="37" t="str">
        <f aca="false">IF(INDEX($A1115:$J1115,$M$6)="","",INDEX($A1115:$J1115,$M$6)&amp;"")</f>
        <v/>
      </c>
      <c r="N1115" s="37" t="str">
        <f aca="false">IF($M1115="","",TRIM(INDEX($A1115:$J1115,$N$6)&amp;""))</f>
        <v/>
      </c>
      <c r="O1115" s="37" t="str">
        <f aca="false">IF($M1115="","",TRIM(INDEX($A1115:$J1115,$O$6)&amp;""))</f>
        <v/>
      </c>
      <c r="P1115" s="37" t="str">
        <f aca="false">IF($M1115="","",IFERROR(IF(INDEX(Settings!$B$41:$B$50,MATCH(O1115,Settings!$A$41:$A$50,0))&amp;""="","UNMAPPED",INDEX(Settings!$B$41:$B$50,MATCH(O1115,Settings!$A$41:$A$50,0))&amp;""),"UNMAPPED"))</f>
        <v/>
      </c>
      <c r="Q1115" s="38" t="n">
        <f aca="false">IF($M1115="",0,N(INDEX($A1115:$J1115,$Q$6)))</f>
        <v>0</v>
      </c>
      <c r="R1115" s="39" t="str">
        <f aca="false">IF($M1115="","",INDEX($A1115:$J1115,$R$6))</f>
        <v/>
      </c>
      <c r="S1115" s="37" t="str">
        <f aca="false">IF($M1115="","",IFERROR(INDEX(Settings!$B$27:$B$36,MATCH(L1115,Settings!$A$27:$A$36,0))&amp;"","UNMAPPED"))</f>
        <v/>
      </c>
      <c r="T1115" s="37" t="str">
        <f aca="false">IF($M1115="","",IF(NOT(ISNUMBER(R1115)),"NO DATE",IF(S1115="Won",IF(R1115&gt;Settings!$B$5,"Backlog","Delivered"),IF(S1115="Open",IF(R1115&gt;Settings!$B$5,"Pipeline","Overdue"),IF(S1115="Lost","Lost","UNMAPPED")))))</f>
        <v/>
      </c>
      <c r="U1115" s="40" t="n">
        <f aca="false">IF(T1115="Backlog",1,IF(OR(T1115="Pipeline",T1115="Overdue"),N(INDEX(Settings!$C$27:$C$36,MATCH(L1115,Settings!$A$27:$A$36,0))),0))</f>
        <v>0</v>
      </c>
      <c r="V1115" s="38" t="n">
        <f aca="false">Q1115*U1115</f>
        <v>0</v>
      </c>
      <c r="W1115" s="41" t="str">
        <f aca="false">IF($M1115="","",IF(T1115="Overdue",IF(Settings!$B$8="Yes",Settings!$B$7,""),IF(ISNUMBER(R1115),DATE(YEAR(R1115),MONTH(R1115),1),"")))</f>
        <v/>
      </c>
      <c r="X1115" s="38" t="n">
        <f aca="false">IF(AND(OR(T1115="Backlog",T1115="Pipeline",T1115="Overdue"),ISNUMBER(W1115)),IF(W1115&lt;=Settings!$B$6,V1115,0),0)</f>
        <v>0</v>
      </c>
      <c r="Y1115" s="38" t="n">
        <f aca="false">IF(AND(OR(T1115="Backlog",T1115="Pipeline",T1115="Overdue"),ISNUMBER(W1115)),IF(W1115&lt;=Settings!$B$6,Q1115,0),0)</f>
        <v>0</v>
      </c>
      <c r="Z1115" s="38" t="n">
        <f aca="false">IF(Y1115=0,0,IF(T1115="Backlog",Q1115,Q1115*Dashboard!$C$10))</f>
        <v>0</v>
      </c>
      <c r="AA1115" s="37" t="n">
        <f aca="false">IF($N1115="",0,IF(COUNTIF(Dashboard!$C$13:$C$22,$N1115)&gt;0,1,0))</f>
        <v>0</v>
      </c>
      <c r="AB1115" s="37" t="str">
        <f aca="false">IF($N1115="","",IF(COUNTIF($N$8:$N1115,$N1115)=1,MAX($AB$7:$AB1114)+1,""))</f>
        <v/>
      </c>
    </row>
    <row r="1116" customFormat="false" ht="15" hidden="false" customHeight="false" outlineLevel="0" collapsed="false">
      <c r="L1116" s="37" t="str">
        <f aca="false">IF(INDEX($A1116:$J1116,$L$6)&lt;&gt;"",TRIM(LEFT(INDEX($A1116:$J1116,$L$6),FIND("(",INDEX($A1116:$J1116,$L$6)&amp;"(")-1)),L1115)</f>
        <v>Building Value Proposition</v>
      </c>
      <c r="M1116" s="37" t="str">
        <f aca="false">IF(INDEX($A1116:$J1116,$M$6)="","",INDEX($A1116:$J1116,$M$6)&amp;"")</f>
        <v/>
      </c>
      <c r="N1116" s="37" t="str">
        <f aca="false">IF($M1116="","",TRIM(INDEX($A1116:$J1116,$N$6)&amp;""))</f>
        <v/>
      </c>
      <c r="O1116" s="37" t="str">
        <f aca="false">IF($M1116="","",TRIM(INDEX($A1116:$J1116,$O$6)&amp;""))</f>
        <v/>
      </c>
      <c r="P1116" s="37" t="str">
        <f aca="false">IF($M1116="","",IFERROR(IF(INDEX(Settings!$B$41:$B$50,MATCH(O1116,Settings!$A$41:$A$50,0))&amp;""="","UNMAPPED",INDEX(Settings!$B$41:$B$50,MATCH(O1116,Settings!$A$41:$A$50,0))&amp;""),"UNMAPPED"))</f>
        <v/>
      </c>
      <c r="Q1116" s="38" t="n">
        <f aca="false">IF($M1116="",0,N(INDEX($A1116:$J1116,$Q$6)))</f>
        <v>0</v>
      </c>
      <c r="R1116" s="39" t="str">
        <f aca="false">IF($M1116="","",INDEX($A1116:$J1116,$R$6))</f>
        <v/>
      </c>
      <c r="S1116" s="37" t="str">
        <f aca="false">IF($M1116="","",IFERROR(INDEX(Settings!$B$27:$B$36,MATCH(L1116,Settings!$A$27:$A$36,0))&amp;"","UNMAPPED"))</f>
        <v/>
      </c>
      <c r="T1116" s="37" t="str">
        <f aca="false">IF($M1116="","",IF(NOT(ISNUMBER(R1116)),"NO DATE",IF(S1116="Won",IF(R1116&gt;Settings!$B$5,"Backlog","Delivered"),IF(S1116="Open",IF(R1116&gt;Settings!$B$5,"Pipeline","Overdue"),IF(S1116="Lost","Lost","UNMAPPED")))))</f>
        <v/>
      </c>
      <c r="U1116" s="40" t="n">
        <f aca="false">IF(T1116="Backlog",1,IF(OR(T1116="Pipeline",T1116="Overdue"),N(INDEX(Settings!$C$27:$C$36,MATCH(L1116,Settings!$A$27:$A$36,0))),0))</f>
        <v>0</v>
      </c>
      <c r="V1116" s="38" t="n">
        <f aca="false">Q1116*U1116</f>
        <v>0</v>
      </c>
      <c r="W1116" s="41" t="str">
        <f aca="false">IF($M1116="","",IF(T1116="Overdue",IF(Settings!$B$8="Yes",Settings!$B$7,""),IF(ISNUMBER(R1116),DATE(YEAR(R1116),MONTH(R1116),1),"")))</f>
        <v/>
      </c>
      <c r="X1116" s="38" t="n">
        <f aca="false">IF(AND(OR(T1116="Backlog",T1116="Pipeline",T1116="Overdue"),ISNUMBER(W1116)),IF(W1116&lt;=Settings!$B$6,V1116,0),0)</f>
        <v>0</v>
      </c>
      <c r="Y1116" s="38" t="n">
        <f aca="false">IF(AND(OR(T1116="Backlog",T1116="Pipeline",T1116="Overdue"),ISNUMBER(W1116)),IF(W1116&lt;=Settings!$B$6,Q1116,0),0)</f>
        <v>0</v>
      </c>
      <c r="Z1116" s="38" t="n">
        <f aca="false">IF(Y1116=0,0,IF(T1116="Backlog",Q1116,Q1116*Dashboard!$C$10))</f>
        <v>0</v>
      </c>
      <c r="AA1116" s="37" t="n">
        <f aca="false">IF($N1116="",0,IF(COUNTIF(Dashboard!$C$13:$C$22,$N1116)&gt;0,1,0))</f>
        <v>0</v>
      </c>
      <c r="AB1116" s="37" t="str">
        <f aca="false">IF($N1116="","",IF(COUNTIF($N$8:$N1116,$N1116)=1,MAX($AB$7:$AB1115)+1,""))</f>
        <v/>
      </c>
    </row>
    <row r="1117" customFormat="false" ht="15" hidden="false" customHeight="false" outlineLevel="0" collapsed="false">
      <c r="L1117" s="37" t="str">
        <f aca="false">IF(INDEX($A1117:$J1117,$L$6)&lt;&gt;"",TRIM(LEFT(INDEX($A1117:$J1117,$L$6),FIND("(",INDEX($A1117:$J1117,$L$6)&amp;"(")-1)),L1116)</f>
        <v>Building Value Proposition</v>
      </c>
      <c r="M1117" s="37" t="str">
        <f aca="false">IF(INDEX($A1117:$J1117,$M$6)="","",INDEX($A1117:$J1117,$M$6)&amp;"")</f>
        <v/>
      </c>
      <c r="N1117" s="37" t="str">
        <f aca="false">IF($M1117="","",TRIM(INDEX($A1117:$J1117,$N$6)&amp;""))</f>
        <v/>
      </c>
      <c r="O1117" s="37" t="str">
        <f aca="false">IF($M1117="","",TRIM(INDEX($A1117:$J1117,$O$6)&amp;""))</f>
        <v/>
      </c>
      <c r="P1117" s="37" t="str">
        <f aca="false">IF($M1117="","",IFERROR(IF(INDEX(Settings!$B$41:$B$50,MATCH(O1117,Settings!$A$41:$A$50,0))&amp;""="","UNMAPPED",INDEX(Settings!$B$41:$B$50,MATCH(O1117,Settings!$A$41:$A$50,0))&amp;""),"UNMAPPED"))</f>
        <v/>
      </c>
      <c r="Q1117" s="38" t="n">
        <f aca="false">IF($M1117="",0,N(INDEX($A1117:$J1117,$Q$6)))</f>
        <v>0</v>
      </c>
      <c r="R1117" s="39" t="str">
        <f aca="false">IF($M1117="","",INDEX($A1117:$J1117,$R$6))</f>
        <v/>
      </c>
      <c r="S1117" s="37" t="str">
        <f aca="false">IF($M1117="","",IFERROR(INDEX(Settings!$B$27:$B$36,MATCH(L1117,Settings!$A$27:$A$36,0))&amp;"","UNMAPPED"))</f>
        <v/>
      </c>
      <c r="T1117" s="37" t="str">
        <f aca="false">IF($M1117="","",IF(NOT(ISNUMBER(R1117)),"NO DATE",IF(S1117="Won",IF(R1117&gt;Settings!$B$5,"Backlog","Delivered"),IF(S1117="Open",IF(R1117&gt;Settings!$B$5,"Pipeline","Overdue"),IF(S1117="Lost","Lost","UNMAPPED")))))</f>
        <v/>
      </c>
      <c r="U1117" s="40" t="n">
        <f aca="false">IF(T1117="Backlog",1,IF(OR(T1117="Pipeline",T1117="Overdue"),N(INDEX(Settings!$C$27:$C$36,MATCH(L1117,Settings!$A$27:$A$36,0))),0))</f>
        <v>0</v>
      </c>
      <c r="V1117" s="38" t="n">
        <f aca="false">Q1117*U1117</f>
        <v>0</v>
      </c>
      <c r="W1117" s="41" t="str">
        <f aca="false">IF($M1117="","",IF(T1117="Overdue",IF(Settings!$B$8="Yes",Settings!$B$7,""),IF(ISNUMBER(R1117),DATE(YEAR(R1117),MONTH(R1117),1),"")))</f>
        <v/>
      </c>
      <c r="X1117" s="38" t="n">
        <f aca="false">IF(AND(OR(T1117="Backlog",T1117="Pipeline",T1117="Overdue"),ISNUMBER(W1117)),IF(W1117&lt;=Settings!$B$6,V1117,0),0)</f>
        <v>0</v>
      </c>
      <c r="Y1117" s="38" t="n">
        <f aca="false">IF(AND(OR(T1117="Backlog",T1117="Pipeline",T1117="Overdue"),ISNUMBER(W1117)),IF(W1117&lt;=Settings!$B$6,Q1117,0),0)</f>
        <v>0</v>
      </c>
      <c r="Z1117" s="38" t="n">
        <f aca="false">IF(Y1117=0,0,IF(T1117="Backlog",Q1117,Q1117*Dashboard!$C$10))</f>
        <v>0</v>
      </c>
      <c r="AA1117" s="37" t="n">
        <f aca="false">IF($N1117="",0,IF(COUNTIF(Dashboard!$C$13:$C$22,$N1117)&gt;0,1,0))</f>
        <v>0</v>
      </c>
      <c r="AB1117" s="37" t="str">
        <f aca="false">IF($N1117="","",IF(COUNTIF($N$8:$N1117,$N1117)=1,MAX($AB$7:$AB1116)+1,""))</f>
        <v/>
      </c>
    </row>
    <row r="1118" customFormat="false" ht="15" hidden="false" customHeight="false" outlineLevel="0" collapsed="false">
      <c r="L1118" s="37" t="str">
        <f aca="false">IF(INDEX($A1118:$J1118,$L$6)&lt;&gt;"",TRIM(LEFT(INDEX($A1118:$J1118,$L$6),FIND("(",INDEX($A1118:$J1118,$L$6)&amp;"(")-1)),L1117)</f>
        <v>Building Value Proposition</v>
      </c>
      <c r="M1118" s="37" t="str">
        <f aca="false">IF(INDEX($A1118:$J1118,$M$6)="","",INDEX($A1118:$J1118,$M$6)&amp;"")</f>
        <v/>
      </c>
      <c r="N1118" s="37" t="str">
        <f aca="false">IF($M1118="","",TRIM(INDEX($A1118:$J1118,$N$6)&amp;""))</f>
        <v/>
      </c>
      <c r="O1118" s="37" t="str">
        <f aca="false">IF($M1118="","",TRIM(INDEX($A1118:$J1118,$O$6)&amp;""))</f>
        <v/>
      </c>
      <c r="P1118" s="37" t="str">
        <f aca="false">IF($M1118="","",IFERROR(IF(INDEX(Settings!$B$41:$B$50,MATCH(O1118,Settings!$A$41:$A$50,0))&amp;""="","UNMAPPED",INDEX(Settings!$B$41:$B$50,MATCH(O1118,Settings!$A$41:$A$50,0))&amp;""),"UNMAPPED"))</f>
        <v/>
      </c>
      <c r="Q1118" s="38" t="n">
        <f aca="false">IF($M1118="",0,N(INDEX($A1118:$J1118,$Q$6)))</f>
        <v>0</v>
      </c>
      <c r="R1118" s="39" t="str">
        <f aca="false">IF($M1118="","",INDEX($A1118:$J1118,$R$6))</f>
        <v/>
      </c>
      <c r="S1118" s="37" t="str">
        <f aca="false">IF($M1118="","",IFERROR(INDEX(Settings!$B$27:$B$36,MATCH(L1118,Settings!$A$27:$A$36,0))&amp;"","UNMAPPED"))</f>
        <v/>
      </c>
      <c r="T1118" s="37" t="str">
        <f aca="false">IF($M1118="","",IF(NOT(ISNUMBER(R1118)),"NO DATE",IF(S1118="Won",IF(R1118&gt;Settings!$B$5,"Backlog","Delivered"),IF(S1118="Open",IF(R1118&gt;Settings!$B$5,"Pipeline","Overdue"),IF(S1118="Lost","Lost","UNMAPPED")))))</f>
        <v/>
      </c>
      <c r="U1118" s="40" t="n">
        <f aca="false">IF(T1118="Backlog",1,IF(OR(T1118="Pipeline",T1118="Overdue"),N(INDEX(Settings!$C$27:$C$36,MATCH(L1118,Settings!$A$27:$A$36,0))),0))</f>
        <v>0</v>
      </c>
      <c r="V1118" s="38" t="n">
        <f aca="false">Q1118*U1118</f>
        <v>0</v>
      </c>
      <c r="W1118" s="41" t="str">
        <f aca="false">IF($M1118="","",IF(T1118="Overdue",IF(Settings!$B$8="Yes",Settings!$B$7,""),IF(ISNUMBER(R1118),DATE(YEAR(R1118),MONTH(R1118),1),"")))</f>
        <v/>
      </c>
      <c r="X1118" s="38" t="n">
        <f aca="false">IF(AND(OR(T1118="Backlog",T1118="Pipeline",T1118="Overdue"),ISNUMBER(W1118)),IF(W1118&lt;=Settings!$B$6,V1118,0),0)</f>
        <v>0</v>
      </c>
      <c r="Y1118" s="38" t="n">
        <f aca="false">IF(AND(OR(T1118="Backlog",T1118="Pipeline",T1118="Overdue"),ISNUMBER(W1118)),IF(W1118&lt;=Settings!$B$6,Q1118,0),0)</f>
        <v>0</v>
      </c>
      <c r="Z1118" s="38" t="n">
        <f aca="false">IF(Y1118=0,0,IF(T1118="Backlog",Q1118,Q1118*Dashboard!$C$10))</f>
        <v>0</v>
      </c>
      <c r="AA1118" s="37" t="n">
        <f aca="false">IF($N1118="",0,IF(COUNTIF(Dashboard!$C$13:$C$22,$N1118)&gt;0,1,0))</f>
        <v>0</v>
      </c>
      <c r="AB1118" s="37" t="str">
        <f aca="false">IF($N1118="","",IF(COUNTIF($N$8:$N1118,$N1118)=1,MAX($AB$7:$AB1117)+1,""))</f>
        <v/>
      </c>
    </row>
    <row r="1119" customFormat="false" ht="15" hidden="false" customHeight="false" outlineLevel="0" collapsed="false">
      <c r="L1119" s="37" t="str">
        <f aca="false">IF(INDEX($A1119:$J1119,$L$6)&lt;&gt;"",TRIM(LEFT(INDEX($A1119:$J1119,$L$6),FIND("(",INDEX($A1119:$J1119,$L$6)&amp;"(")-1)),L1118)</f>
        <v>Building Value Proposition</v>
      </c>
      <c r="M1119" s="37" t="str">
        <f aca="false">IF(INDEX($A1119:$J1119,$M$6)="","",INDEX($A1119:$J1119,$M$6)&amp;"")</f>
        <v/>
      </c>
      <c r="N1119" s="37" t="str">
        <f aca="false">IF($M1119="","",TRIM(INDEX($A1119:$J1119,$N$6)&amp;""))</f>
        <v/>
      </c>
      <c r="O1119" s="37" t="str">
        <f aca="false">IF($M1119="","",TRIM(INDEX($A1119:$J1119,$O$6)&amp;""))</f>
        <v/>
      </c>
      <c r="P1119" s="37" t="str">
        <f aca="false">IF($M1119="","",IFERROR(IF(INDEX(Settings!$B$41:$B$50,MATCH(O1119,Settings!$A$41:$A$50,0))&amp;""="","UNMAPPED",INDEX(Settings!$B$41:$B$50,MATCH(O1119,Settings!$A$41:$A$50,0))&amp;""),"UNMAPPED"))</f>
        <v/>
      </c>
      <c r="Q1119" s="38" t="n">
        <f aca="false">IF($M1119="",0,N(INDEX($A1119:$J1119,$Q$6)))</f>
        <v>0</v>
      </c>
      <c r="R1119" s="39" t="str">
        <f aca="false">IF($M1119="","",INDEX($A1119:$J1119,$R$6))</f>
        <v/>
      </c>
      <c r="S1119" s="37" t="str">
        <f aca="false">IF($M1119="","",IFERROR(INDEX(Settings!$B$27:$B$36,MATCH(L1119,Settings!$A$27:$A$36,0))&amp;"","UNMAPPED"))</f>
        <v/>
      </c>
      <c r="T1119" s="37" t="str">
        <f aca="false">IF($M1119="","",IF(NOT(ISNUMBER(R1119)),"NO DATE",IF(S1119="Won",IF(R1119&gt;Settings!$B$5,"Backlog","Delivered"),IF(S1119="Open",IF(R1119&gt;Settings!$B$5,"Pipeline","Overdue"),IF(S1119="Lost","Lost","UNMAPPED")))))</f>
        <v/>
      </c>
      <c r="U1119" s="40" t="n">
        <f aca="false">IF(T1119="Backlog",1,IF(OR(T1119="Pipeline",T1119="Overdue"),N(INDEX(Settings!$C$27:$C$36,MATCH(L1119,Settings!$A$27:$A$36,0))),0))</f>
        <v>0</v>
      </c>
      <c r="V1119" s="38" t="n">
        <f aca="false">Q1119*U1119</f>
        <v>0</v>
      </c>
      <c r="W1119" s="41" t="str">
        <f aca="false">IF($M1119="","",IF(T1119="Overdue",IF(Settings!$B$8="Yes",Settings!$B$7,""),IF(ISNUMBER(R1119),DATE(YEAR(R1119),MONTH(R1119),1),"")))</f>
        <v/>
      </c>
      <c r="X1119" s="38" t="n">
        <f aca="false">IF(AND(OR(T1119="Backlog",T1119="Pipeline",T1119="Overdue"),ISNUMBER(W1119)),IF(W1119&lt;=Settings!$B$6,V1119,0),0)</f>
        <v>0</v>
      </c>
      <c r="Y1119" s="38" t="n">
        <f aca="false">IF(AND(OR(T1119="Backlog",T1119="Pipeline",T1119="Overdue"),ISNUMBER(W1119)),IF(W1119&lt;=Settings!$B$6,Q1119,0),0)</f>
        <v>0</v>
      </c>
      <c r="Z1119" s="38" t="n">
        <f aca="false">IF(Y1119=0,0,IF(T1119="Backlog",Q1119,Q1119*Dashboard!$C$10))</f>
        <v>0</v>
      </c>
      <c r="AA1119" s="37" t="n">
        <f aca="false">IF($N1119="",0,IF(COUNTIF(Dashboard!$C$13:$C$22,$N1119)&gt;0,1,0))</f>
        <v>0</v>
      </c>
      <c r="AB1119" s="37" t="str">
        <f aca="false">IF($N1119="","",IF(COUNTIF($N$8:$N1119,$N1119)=1,MAX($AB$7:$AB1118)+1,""))</f>
        <v/>
      </c>
    </row>
    <row r="1120" customFormat="false" ht="15" hidden="false" customHeight="false" outlineLevel="0" collapsed="false">
      <c r="L1120" s="37" t="str">
        <f aca="false">IF(INDEX($A1120:$J1120,$L$6)&lt;&gt;"",TRIM(LEFT(INDEX($A1120:$J1120,$L$6),FIND("(",INDEX($A1120:$J1120,$L$6)&amp;"(")-1)),L1119)</f>
        <v>Building Value Proposition</v>
      </c>
      <c r="M1120" s="37" t="str">
        <f aca="false">IF(INDEX($A1120:$J1120,$M$6)="","",INDEX($A1120:$J1120,$M$6)&amp;"")</f>
        <v/>
      </c>
      <c r="N1120" s="37" t="str">
        <f aca="false">IF($M1120="","",TRIM(INDEX($A1120:$J1120,$N$6)&amp;""))</f>
        <v/>
      </c>
      <c r="O1120" s="37" t="str">
        <f aca="false">IF($M1120="","",TRIM(INDEX($A1120:$J1120,$O$6)&amp;""))</f>
        <v/>
      </c>
      <c r="P1120" s="37" t="str">
        <f aca="false">IF($M1120="","",IFERROR(IF(INDEX(Settings!$B$41:$B$50,MATCH(O1120,Settings!$A$41:$A$50,0))&amp;""="","UNMAPPED",INDEX(Settings!$B$41:$B$50,MATCH(O1120,Settings!$A$41:$A$50,0))&amp;""),"UNMAPPED"))</f>
        <v/>
      </c>
      <c r="Q1120" s="38" t="n">
        <f aca="false">IF($M1120="",0,N(INDEX($A1120:$J1120,$Q$6)))</f>
        <v>0</v>
      </c>
      <c r="R1120" s="39" t="str">
        <f aca="false">IF($M1120="","",INDEX($A1120:$J1120,$R$6))</f>
        <v/>
      </c>
      <c r="S1120" s="37" t="str">
        <f aca="false">IF($M1120="","",IFERROR(INDEX(Settings!$B$27:$B$36,MATCH(L1120,Settings!$A$27:$A$36,0))&amp;"","UNMAPPED"))</f>
        <v/>
      </c>
      <c r="T1120" s="37" t="str">
        <f aca="false">IF($M1120="","",IF(NOT(ISNUMBER(R1120)),"NO DATE",IF(S1120="Won",IF(R1120&gt;Settings!$B$5,"Backlog","Delivered"),IF(S1120="Open",IF(R1120&gt;Settings!$B$5,"Pipeline","Overdue"),IF(S1120="Lost","Lost","UNMAPPED")))))</f>
        <v/>
      </c>
      <c r="U1120" s="40" t="n">
        <f aca="false">IF(T1120="Backlog",1,IF(OR(T1120="Pipeline",T1120="Overdue"),N(INDEX(Settings!$C$27:$C$36,MATCH(L1120,Settings!$A$27:$A$36,0))),0))</f>
        <v>0</v>
      </c>
      <c r="V1120" s="38" t="n">
        <f aca="false">Q1120*U1120</f>
        <v>0</v>
      </c>
      <c r="W1120" s="41" t="str">
        <f aca="false">IF($M1120="","",IF(T1120="Overdue",IF(Settings!$B$8="Yes",Settings!$B$7,""),IF(ISNUMBER(R1120),DATE(YEAR(R1120),MONTH(R1120),1),"")))</f>
        <v/>
      </c>
      <c r="X1120" s="38" t="n">
        <f aca="false">IF(AND(OR(T1120="Backlog",T1120="Pipeline",T1120="Overdue"),ISNUMBER(W1120)),IF(W1120&lt;=Settings!$B$6,V1120,0),0)</f>
        <v>0</v>
      </c>
      <c r="Y1120" s="38" t="n">
        <f aca="false">IF(AND(OR(T1120="Backlog",T1120="Pipeline",T1120="Overdue"),ISNUMBER(W1120)),IF(W1120&lt;=Settings!$B$6,Q1120,0),0)</f>
        <v>0</v>
      </c>
      <c r="Z1120" s="38" t="n">
        <f aca="false">IF(Y1120=0,0,IF(T1120="Backlog",Q1120,Q1120*Dashboard!$C$10))</f>
        <v>0</v>
      </c>
      <c r="AA1120" s="37" t="n">
        <f aca="false">IF($N1120="",0,IF(COUNTIF(Dashboard!$C$13:$C$22,$N1120)&gt;0,1,0))</f>
        <v>0</v>
      </c>
      <c r="AB1120" s="37" t="str">
        <f aca="false">IF($N1120="","",IF(COUNTIF($N$8:$N1120,$N1120)=1,MAX($AB$7:$AB1119)+1,""))</f>
        <v/>
      </c>
    </row>
    <row r="1121" customFormat="false" ht="15" hidden="false" customHeight="false" outlineLevel="0" collapsed="false">
      <c r="L1121" s="37" t="str">
        <f aca="false">IF(INDEX($A1121:$J1121,$L$6)&lt;&gt;"",TRIM(LEFT(INDEX($A1121:$J1121,$L$6),FIND("(",INDEX($A1121:$J1121,$L$6)&amp;"(")-1)),L1120)</f>
        <v>Building Value Proposition</v>
      </c>
      <c r="M1121" s="37" t="str">
        <f aca="false">IF(INDEX($A1121:$J1121,$M$6)="","",INDEX($A1121:$J1121,$M$6)&amp;"")</f>
        <v/>
      </c>
      <c r="N1121" s="37" t="str">
        <f aca="false">IF($M1121="","",TRIM(INDEX($A1121:$J1121,$N$6)&amp;""))</f>
        <v/>
      </c>
      <c r="O1121" s="37" t="str">
        <f aca="false">IF($M1121="","",TRIM(INDEX($A1121:$J1121,$O$6)&amp;""))</f>
        <v/>
      </c>
      <c r="P1121" s="37" t="str">
        <f aca="false">IF($M1121="","",IFERROR(IF(INDEX(Settings!$B$41:$B$50,MATCH(O1121,Settings!$A$41:$A$50,0))&amp;""="","UNMAPPED",INDEX(Settings!$B$41:$B$50,MATCH(O1121,Settings!$A$41:$A$50,0))&amp;""),"UNMAPPED"))</f>
        <v/>
      </c>
      <c r="Q1121" s="38" t="n">
        <f aca="false">IF($M1121="",0,N(INDEX($A1121:$J1121,$Q$6)))</f>
        <v>0</v>
      </c>
      <c r="R1121" s="39" t="str">
        <f aca="false">IF($M1121="","",INDEX($A1121:$J1121,$R$6))</f>
        <v/>
      </c>
      <c r="S1121" s="37" t="str">
        <f aca="false">IF($M1121="","",IFERROR(INDEX(Settings!$B$27:$B$36,MATCH(L1121,Settings!$A$27:$A$36,0))&amp;"","UNMAPPED"))</f>
        <v/>
      </c>
      <c r="T1121" s="37" t="str">
        <f aca="false">IF($M1121="","",IF(NOT(ISNUMBER(R1121)),"NO DATE",IF(S1121="Won",IF(R1121&gt;Settings!$B$5,"Backlog","Delivered"),IF(S1121="Open",IF(R1121&gt;Settings!$B$5,"Pipeline","Overdue"),IF(S1121="Lost","Lost","UNMAPPED")))))</f>
        <v/>
      </c>
      <c r="U1121" s="40" t="n">
        <f aca="false">IF(T1121="Backlog",1,IF(OR(T1121="Pipeline",T1121="Overdue"),N(INDEX(Settings!$C$27:$C$36,MATCH(L1121,Settings!$A$27:$A$36,0))),0))</f>
        <v>0</v>
      </c>
      <c r="V1121" s="38" t="n">
        <f aca="false">Q1121*U1121</f>
        <v>0</v>
      </c>
      <c r="W1121" s="41" t="str">
        <f aca="false">IF($M1121="","",IF(T1121="Overdue",IF(Settings!$B$8="Yes",Settings!$B$7,""),IF(ISNUMBER(R1121),DATE(YEAR(R1121),MONTH(R1121),1),"")))</f>
        <v/>
      </c>
      <c r="X1121" s="38" t="n">
        <f aca="false">IF(AND(OR(T1121="Backlog",T1121="Pipeline",T1121="Overdue"),ISNUMBER(W1121)),IF(W1121&lt;=Settings!$B$6,V1121,0),0)</f>
        <v>0</v>
      </c>
      <c r="Y1121" s="38" t="n">
        <f aca="false">IF(AND(OR(T1121="Backlog",T1121="Pipeline",T1121="Overdue"),ISNUMBER(W1121)),IF(W1121&lt;=Settings!$B$6,Q1121,0),0)</f>
        <v>0</v>
      </c>
      <c r="Z1121" s="38" t="n">
        <f aca="false">IF(Y1121=0,0,IF(T1121="Backlog",Q1121,Q1121*Dashboard!$C$10))</f>
        <v>0</v>
      </c>
      <c r="AA1121" s="37" t="n">
        <f aca="false">IF($N1121="",0,IF(COUNTIF(Dashboard!$C$13:$C$22,$N1121)&gt;0,1,0))</f>
        <v>0</v>
      </c>
      <c r="AB1121" s="37" t="str">
        <f aca="false">IF($N1121="","",IF(COUNTIF($N$8:$N1121,$N1121)=1,MAX($AB$7:$AB1120)+1,""))</f>
        <v/>
      </c>
    </row>
    <row r="1122" customFormat="false" ht="15" hidden="false" customHeight="false" outlineLevel="0" collapsed="false">
      <c r="L1122" s="37" t="str">
        <f aca="false">IF(INDEX($A1122:$J1122,$L$6)&lt;&gt;"",TRIM(LEFT(INDEX($A1122:$J1122,$L$6),FIND("(",INDEX($A1122:$J1122,$L$6)&amp;"(")-1)),L1121)</f>
        <v>Building Value Proposition</v>
      </c>
      <c r="M1122" s="37" t="str">
        <f aca="false">IF(INDEX($A1122:$J1122,$M$6)="","",INDEX($A1122:$J1122,$M$6)&amp;"")</f>
        <v/>
      </c>
      <c r="N1122" s="37" t="str">
        <f aca="false">IF($M1122="","",TRIM(INDEX($A1122:$J1122,$N$6)&amp;""))</f>
        <v/>
      </c>
      <c r="O1122" s="37" t="str">
        <f aca="false">IF($M1122="","",TRIM(INDEX($A1122:$J1122,$O$6)&amp;""))</f>
        <v/>
      </c>
      <c r="P1122" s="37" t="str">
        <f aca="false">IF($M1122="","",IFERROR(IF(INDEX(Settings!$B$41:$B$50,MATCH(O1122,Settings!$A$41:$A$50,0))&amp;""="","UNMAPPED",INDEX(Settings!$B$41:$B$50,MATCH(O1122,Settings!$A$41:$A$50,0))&amp;""),"UNMAPPED"))</f>
        <v/>
      </c>
      <c r="Q1122" s="38" t="n">
        <f aca="false">IF($M1122="",0,N(INDEX($A1122:$J1122,$Q$6)))</f>
        <v>0</v>
      </c>
      <c r="R1122" s="39" t="str">
        <f aca="false">IF($M1122="","",INDEX($A1122:$J1122,$R$6))</f>
        <v/>
      </c>
      <c r="S1122" s="37" t="str">
        <f aca="false">IF($M1122="","",IFERROR(INDEX(Settings!$B$27:$B$36,MATCH(L1122,Settings!$A$27:$A$36,0))&amp;"","UNMAPPED"))</f>
        <v/>
      </c>
      <c r="T1122" s="37" t="str">
        <f aca="false">IF($M1122="","",IF(NOT(ISNUMBER(R1122)),"NO DATE",IF(S1122="Won",IF(R1122&gt;Settings!$B$5,"Backlog","Delivered"),IF(S1122="Open",IF(R1122&gt;Settings!$B$5,"Pipeline","Overdue"),IF(S1122="Lost","Lost","UNMAPPED")))))</f>
        <v/>
      </c>
      <c r="U1122" s="40" t="n">
        <f aca="false">IF(T1122="Backlog",1,IF(OR(T1122="Pipeline",T1122="Overdue"),N(INDEX(Settings!$C$27:$C$36,MATCH(L1122,Settings!$A$27:$A$36,0))),0))</f>
        <v>0</v>
      </c>
      <c r="V1122" s="38" t="n">
        <f aca="false">Q1122*U1122</f>
        <v>0</v>
      </c>
      <c r="W1122" s="41" t="str">
        <f aca="false">IF($M1122="","",IF(T1122="Overdue",IF(Settings!$B$8="Yes",Settings!$B$7,""),IF(ISNUMBER(R1122),DATE(YEAR(R1122),MONTH(R1122),1),"")))</f>
        <v/>
      </c>
      <c r="X1122" s="38" t="n">
        <f aca="false">IF(AND(OR(T1122="Backlog",T1122="Pipeline",T1122="Overdue"),ISNUMBER(W1122)),IF(W1122&lt;=Settings!$B$6,V1122,0),0)</f>
        <v>0</v>
      </c>
      <c r="Y1122" s="38" t="n">
        <f aca="false">IF(AND(OR(T1122="Backlog",T1122="Pipeline",T1122="Overdue"),ISNUMBER(W1122)),IF(W1122&lt;=Settings!$B$6,Q1122,0),0)</f>
        <v>0</v>
      </c>
      <c r="Z1122" s="38" t="n">
        <f aca="false">IF(Y1122=0,0,IF(T1122="Backlog",Q1122,Q1122*Dashboard!$C$10))</f>
        <v>0</v>
      </c>
      <c r="AA1122" s="37" t="n">
        <f aca="false">IF($N1122="",0,IF(COUNTIF(Dashboard!$C$13:$C$22,$N1122)&gt;0,1,0))</f>
        <v>0</v>
      </c>
      <c r="AB1122" s="37" t="str">
        <f aca="false">IF($N1122="","",IF(COUNTIF($N$8:$N1122,$N1122)=1,MAX($AB$7:$AB1121)+1,""))</f>
        <v/>
      </c>
    </row>
    <row r="1123" customFormat="false" ht="15" hidden="false" customHeight="false" outlineLevel="0" collapsed="false">
      <c r="L1123" s="37" t="str">
        <f aca="false">IF(INDEX($A1123:$J1123,$L$6)&lt;&gt;"",TRIM(LEFT(INDEX($A1123:$J1123,$L$6),FIND("(",INDEX($A1123:$J1123,$L$6)&amp;"(")-1)),L1122)</f>
        <v>Building Value Proposition</v>
      </c>
      <c r="M1123" s="37" t="str">
        <f aca="false">IF(INDEX($A1123:$J1123,$M$6)="","",INDEX($A1123:$J1123,$M$6)&amp;"")</f>
        <v/>
      </c>
      <c r="N1123" s="37" t="str">
        <f aca="false">IF($M1123="","",TRIM(INDEX($A1123:$J1123,$N$6)&amp;""))</f>
        <v/>
      </c>
      <c r="O1123" s="37" t="str">
        <f aca="false">IF($M1123="","",TRIM(INDEX($A1123:$J1123,$O$6)&amp;""))</f>
        <v/>
      </c>
      <c r="P1123" s="37" t="str">
        <f aca="false">IF($M1123="","",IFERROR(IF(INDEX(Settings!$B$41:$B$50,MATCH(O1123,Settings!$A$41:$A$50,0))&amp;""="","UNMAPPED",INDEX(Settings!$B$41:$B$50,MATCH(O1123,Settings!$A$41:$A$50,0))&amp;""),"UNMAPPED"))</f>
        <v/>
      </c>
      <c r="Q1123" s="38" t="n">
        <f aca="false">IF($M1123="",0,N(INDEX($A1123:$J1123,$Q$6)))</f>
        <v>0</v>
      </c>
      <c r="R1123" s="39" t="str">
        <f aca="false">IF($M1123="","",INDEX($A1123:$J1123,$R$6))</f>
        <v/>
      </c>
      <c r="S1123" s="37" t="str">
        <f aca="false">IF($M1123="","",IFERROR(INDEX(Settings!$B$27:$B$36,MATCH(L1123,Settings!$A$27:$A$36,0))&amp;"","UNMAPPED"))</f>
        <v/>
      </c>
      <c r="T1123" s="37" t="str">
        <f aca="false">IF($M1123="","",IF(NOT(ISNUMBER(R1123)),"NO DATE",IF(S1123="Won",IF(R1123&gt;Settings!$B$5,"Backlog","Delivered"),IF(S1123="Open",IF(R1123&gt;Settings!$B$5,"Pipeline","Overdue"),IF(S1123="Lost","Lost","UNMAPPED")))))</f>
        <v/>
      </c>
      <c r="U1123" s="40" t="n">
        <f aca="false">IF(T1123="Backlog",1,IF(OR(T1123="Pipeline",T1123="Overdue"),N(INDEX(Settings!$C$27:$C$36,MATCH(L1123,Settings!$A$27:$A$36,0))),0))</f>
        <v>0</v>
      </c>
      <c r="V1123" s="38" t="n">
        <f aca="false">Q1123*U1123</f>
        <v>0</v>
      </c>
      <c r="W1123" s="41" t="str">
        <f aca="false">IF($M1123="","",IF(T1123="Overdue",IF(Settings!$B$8="Yes",Settings!$B$7,""),IF(ISNUMBER(R1123),DATE(YEAR(R1123),MONTH(R1123),1),"")))</f>
        <v/>
      </c>
      <c r="X1123" s="38" t="n">
        <f aca="false">IF(AND(OR(T1123="Backlog",T1123="Pipeline",T1123="Overdue"),ISNUMBER(W1123)),IF(W1123&lt;=Settings!$B$6,V1123,0),0)</f>
        <v>0</v>
      </c>
      <c r="Y1123" s="38" t="n">
        <f aca="false">IF(AND(OR(T1123="Backlog",T1123="Pipeline",T1123="Overdue"),ISNUMBER(W1123)),IF(W1123&lt;=Settings!$B$6,Q1123,0),0)</f>
        <v>0</v>
      </c>
      <c r="Z1123" s="38" t="n">
        <f aca="false">IF(Y1123=0,0,IF(T1123="Backlog",Q1123,Q1123*Dashboard!$C$10))</f>
        <v>0</v>
      </c>
      <c r="AA1123" s="37" t="n">
        <f aca="false">IF($N1123="",0,IF(COUNTIF(Dashboard!$C$13:$C$22,$N1123)&gt;0,1,0))</f>
        <v>0</v>
      </c>
      <c r="AB1123" s="37" t="str">
        <f aca="false">IF($N1123="","",IF(COUNTIF($N$8:$N1123,$N1123)=1,MAX($AB$7:$AB1122)+1,""))</f>
        <v/>
      </c>
    </row>
    <row r="1124" customFormat="false" ht="15" hidden="false" customHeight="false" outlineLevel="0" collapsed="false">
      <c r="L1124" s="37" t="str">
        <f aca="false">IF(INDEX($A1124:$J1124,$L$6)&lt;&gt;"",TRIM(LEFT(INDEX($A1124:$J1124,$L$6),FIND("(",INDEX($A1124:$J1124,$L$6)&amp;"(")-1)),L1123)</f>
        <v>Building Value Proposition</v>
      </c>
      <c r="M1124" s="37" t="str">
        <f aca="false">IF(INDEX($A1124:$J1124,$M$6)="","",INDEX($A1124:$J1124,$M$6)&amp;"")</f>
        <v/>
      </c>
      <c r="N1124" s="37" t="str">
        <f aca="false">IF($M1124="","",TRIM(INDEX($A1124:$J1124,$N$6)&amp;""))</f>
        <v/>
      </c>
      <c r="O1124" s="37" t="str">
        <f aca="false">IF($M1124="","",TRIM(INDEX($A1124:$J1124,$O$6)&amp;""))</f>
        <v/>
      </c>
      <c r="P1124" s="37" t="str">
        <f aca="false">IF($M1124="","",IFERROR(IF(INDEX(Settings!$B$41:$B$50,MATCH(O1124,Settings!$A$41:$A$50,0))&amp;""="","UNMAPPED",INDEX(Settings!$B$41:$B$50,MATCH(O1124,Settings!$A$41:$A$50,0))&amp;""),"UNMAPPED"))</f>
        <v/>
      </c>
      <c r="Q1124" s="38" t="n">
        <f aca="false">IF($M1124="",0,N(INDEX($A1124:$J1124,$Q$6)))</f>
        <v>0</v>
      </c>
      <c r="R1124" s="39" t="str">
        <f aca="false">IF($M1124="","",INDEX($A1124:$J1124,$R$6))</f>
        <v/>
      </c>
      <c r="S1124" s="37" t="str">
        <f aca="false">IF($M1124="","",IFERROR(INDEX(Settings!$B$27:$B$36,MATCH(L1124,Settings!$A$27:$A$36,0))&amp;"","UNMAPPED"))</f>
        <v/>
      </c>
      <c r="T1124" s="37" t="str">
        <f aca="false">IF($M1124="","",IF(NOT(ISNUMBER(R1124)),"NO DATE",IF(S1124="Won",IF(R1124&gt;Settings!$B$5,"Backlog","Delivered"),IF(S1124="Open",IF(R1124&gt;Settings!$B$5,"Pipeline","Overdue"),IF(S1124="Lost","Lost","UNMAPPED")))))</f>
        <v/>
      </c>
      <c r="U1124" s="40" t="n">
        <f aca="false">IF(T1124="Backlog",1,IF(OR(T1124="Pipeline",T1124="Overdue"),N(INDEX(Settings!$C$27:$C$36,MATCH(L1124,Settings!$A$27:$A$36,0))),0))</f>
        <v>0</v>
      </c>
      <c r="V1124" s="38" t="n">
        <f aca="false">Q1124*U1124</f>
        <v>0</v>
      </c>
      <c r="W1124" s="41" t="str">
        <f aca="false">IF($M1124="","",IF(T1124="Overdue",IF(Settings!$B$8="Yes",Settings!$B$7,""),IF(ISNUMBER(R1124),DATE(YEAR(R1124),MONTH(R1124),1),"")))</f>
        <v/>
      </c>
      <c r="X1124" s="38" t="n">
        <f aca="false">IF(AND(OR(T1124="Backlog",T1124="Pipeline",T1124="Overdue"),ISNUMBER(W1124)),IF(W1124&lt;=Settings!$B$6,V1124,0),0)</f>
        <v>0</v>
      </c>
      <c r="Y1124" s="38" t="n">
        <f aca="false">IF(AND(OR(T1124="Backlog",T1124="Pipeline",T1124="Overdue"),ISNUMBER(W1124)),IF(W1124&lt;=Settings!$B$6,Q1124,0),0)</f>
        <v>0</v>
      </c>
      <c r="Z1124" s="38" t="n">
        <f aca="false">IF(Y1124=0,0,IF(T1124="Backlog",Q1124,Q1124*Dashboard!$C$10))</f>
        <v>0</v>
      </c>
      <c r="AA1124" s="37" t="n">
        <f aca="false">IF($N1124="",0,IF(COUNTIF(Dashboard!$C$13:$C$22,$N1124)&gt;0,1,0))</f>
        <v>0</v>
      </c>
      <c r="AB1124" s="37" t="str">
        <f aca="false">IF($N1124="","",IF(COUNTIF($N$8:$N1124,$N1124)=1,MAX($AB$7:$AB1123)+1,""))</f>
        <v/>
      </c>
    </row>
    <row r="1125" customFormat="false" ht="15" hidden="false" customHeight="false" outlineLevel="0" collapsed="false">
      <c r="L1125" s="37" t="str">
        <f aca="false">IF(INDEX($A1125:$J1125,$L$6)&lt;&gt;"",TRIM(LEFT(INDEX($A1125:$J1125,$L$6),FIND("(",INDEX($A1125:$J1125,$L$6)&amp;"(")-1)),L1124)</f>
        <v>Building Value Proposition</v>
      </c>
      <c r="M1125" s="37" t="str">
        <f aca="false">IF(INDEX($A1125:$J1125,$M$6)="","",INDEX($A1125:$J1125,$M$6)&amp;"")</f>
        <v/>
      </c>
      <c r="N1125" s="37" t="str">
        <f aca="false">IF($M1125="","",TRIM(INDEX($A1125:$J1125,$N$6)&amp;""))</f>
        <v/>
      </c>
      <c r="O1125" s="37" t="str">
        <f aca="false">IF($M1125="","",TRIM(INDEX($A1125:$J1125,$O$6)&amp;""))</f>
        <v/>
      </c>
      <c r="P1125" s="37" t="str">
        <f aca="false">IF($M1125="","",IFERROR(IF(INDEX(Settings!$B$41:$B$50,MATCH(O1125,Settings!$A$41:$A$50,0))&amp;""="","UNMAPPED",INDEX(Settings!$B$41:$B$50,MATCH(O1125,Settings!$A$41:$A$50,0))&amp;""),"UNMAPPED"))</f>
        <v/>
      </c>
      <c r="Q1125" s="38" t="n">
        <f aca="false">IF($M1125="",0,N(INDEX($A1125:$J1125,$Q$6)))</f>
        <v>0</v>
      </c>
      <c r="R1125" s="39" t="str">
        <f aca="false">IF($M1125="","",INDEX($A1125:$J1125,$R$6))</f>
        <v/>
      </c>
      <c r="S1125" s="37" t="str">
        <f aca="false">IF($M1125="","",IFERROR(INDEX(Settings!$B$27:$B$36,MATCH(L1125,Settings!$A$27:$A$36,0))&amp;"","UNMAPPED"))</f>
        <v/>
      </c>
      <c r="T1125" s="37" t="str">
        <f aca="false">IF($M1125="","",IF(NOT(ISNUMBER(R1125)),"NO DATE",IF(S1125="Won",IF(R1125&gt;Settings!$B$5,"Backlog","Delivered"),IF(S1125="Open",IF(R1125&gt;Settings!$B$5,"Pipeline","Overdue"),IF(S1125="Lost","Lost","UNMAPPED")))))</f>
        <v/>
      </c>
      <c r="U1125" s="40" t="n">
        <f aca="false">IF(T1125="Backlog",1,IF(OR(T1125="Pipeline",T1125="Overdue"),N(INDEX(Settings!$C$27:$C$36,MATCH(L1125,Settings!$A$27:$A$36,0))),0))</f>
        <v>0</v>
      </c>
      <c r="V1125" s="38" t="n">
        <f aca="false">Q1125*U1125</f>
        <v>0</v>
      </c>
      <c r="W1125" s="41" t="str">
        <f aca="false">IF($M1125="","",IF(T1125="Overdue",IF(Settings!$B$8="Yes",Settings!$B$7,""),IF(ISNUMBER(R1125),DATE(YEAR(R1125),MONTH(R1125),1),"")))</f>
        <v/>
      </c>
      <c r="X1125" s="38" t="n">
        <f aca="false">IF(AND(OR(T1125="Backlog",T1125="Pipeline",T1125="Overdue"),ISNUMBER(W1125)),IF(W1125&lt;=Settings!$B$6,V1125,0),0)</f>
        <v>0</v>
      </c>
      <c r="Y1125" s="38" t="n">
        <f aca="false">IF(AND(OR(T1125="Backlog",T1125="Pipeline",T1125="Overdue"),ISNUMBER(W1125)),IF(W1125&lt;=Settings!$B$6,Q1125,0),0)</f>
        <v>0</v>
      </c>
      <c r="Z1125" s="38" t="n">
        <f aca="false">IF(Y1125=0,0,IF(T1125="Backlog",Q1125,Q1125*Dashboard!$C$10))</f>
        <v>0</v>
      </c>
      <c r="AA1125" s="37" t="n">
        <f aca="false">IF($N1125="",0,IF(COUNTIF(Dashboard!$C$13:$C$22,$N1125)&gt;0,1,0))</f>
        <v>0</v>
      </c>
      <c r="AB1125" s="37" t="str">
        <f aca="false">IF($N1125="","",IF(COUNTIF($N$8:$N1125,$N1125)=1,MAX($AB$7:$AB1124)+1,""))</f>
        <v/>
      </c>
    </row>
    <row r="1126" customFormat="false" ht="15" hidden="false" customHeight="false" outlineLevel="0" collapsed="false">
      <c r="L1126" s="37" t="str">
        <f aca="false">IF(INDEX($A1126:$J1126,$L$6)&lt;&gt;"",TRIM(LEFT(INDEX($A1126:$J1126,$L$6),FIND("(",INDEX($A1126:$J1126,$L$6)&amp;"(")-1)),L1125)</f>
        <v>Building Value Proposition</v>
      </c>
      <c r="M1126" s="37" t="str">
        <f aca="false">IF(INDEX($A1126:$J1126,$M$6)="","",INDEX($A1126:$J1126,$M$6)&amp;"")</f>
        <v/>
      </c>
      <c r="N1126" s="37" t="str">
        <f aca="false">IF($M1126="","",TRIM(INDEX($A1126:$J1126,$N$6)&amp;""))</f>
        <v/>
      </c>
      <c r="O1126" s="37" t="str">
        <f aca="false">IF($M1126="","",TRIM(INDEX($A1126:$J1126,$O$6)&amp;""))</f>
        <v/>
      </c>
      <c r="P1126" s="37" t="str">
        <f aca="false">IF($M1126="","",IFERROR(IF(INDEX(Settings!$B$41:$B$50,MATCH(O1126,Settings!$A$41:$A$50,0))&amp;""="","UNMAPPED",INDEX(Settings!$B$41:$B$50,MATCH(O1126,Settings!$A$41:$A$50,0))&amp;""),"UNMAPPED"))</f>
        <v/>
      </c>
      <c r="Q1126" s="38" t="n">
        <f aca="false">IF($M1126="",0,N(INDEX($A1126:$J1126,$Q$6)))</f>
        <v>0</v>
      </c>
      <c r="R1126" s="39" t="str">
        <f aca="false">IF($M1126="","",INDEX($A1126:$J1126,$R$6))</f>
        <v/>
      </c>
      <c r="S1126" s="37" t="str">
        <f aca="false">IF($M1126="","",IFERROR(INDEX(Settings!$B$27:$B$36,MATCH(L1126,Settings!$A$27:$A$36,0))&amp;"","UNMAPPED"))</f>
        <v/>
      </c>
      <c r="T1126" s="37" t="str">
        <f aca="false">IF($M1126="","",IF(NOT(ISNUMBER(R1126)),"NO DATE",IF(S1126="Won",IF(R1126&gt;Settings!$B$5,"Backlog","Delivered"),IF(S1126="Open",IF(R1126&gt;Settings!$B$5,"Pipeline","Overdue"),IF(S1126="Lost","Lost","UNMAPPED")))))</f>
        <v/>
      </c>
      <c r="U1126" s="40" t="n">
        <f aca="false">IF(T1126="Backlog",1,IF(OR(T1126="Pipeline",T1126="Overdue"),N(INDEX(Settings!$C$27:$C$36,MATCH(L1126,Settings!$A$27:$A$36,0))),0))</f>
        <v>0</v>
      </c>
      <c r="V1126" s="38" t="n">
        <f aca="false">Q1126*U1126</f>
        <v>0</v>
      </c>
      <c r="W1126" s="41" t="str">
        <f aca="false">IF($M1126="","",IF(T1126="Overdue",IF(Settings!$B$8="Yes",Settings!$B$7,""),IF(ISNUMBER(R1126),DATE(YEAR(R1126),MONTH(R1126),1),"")))</f>
        <v/>
      </c>
      <c r="X1126" s="38" t="n">
        <f aca="false">IF(AND(OR(T1126="Backlog",T1126="Pipeline",T1126="Overdue"),ISNUMBER(W1126)),IF(W1126&lt;=Settings!$B$6,V1126,0),0)</f>
        <v>0</v>
      </c>
      <c r="Y1126" s="38" t="n">
        <f aca="false">IF(AND(OR(T1126="Backlog",T1126="Pipeline",T1126="Overdue"),ISNUMBER(W1126)),IF(W1126&lt;=Settings!$B$6,Q1126,0),0)</f>
        <v>0</v>
      </c>
      <c r="Z1126" s="38" t="n">
        <f aca="false">IF(Y1126=0,0,IF(T1126="Backlog",Q1126,Q1126*Dashboard!$C$10))</f>
        <v>0</v>
      </c>
      <c r="AA1126" s="37" t="n">
        <f aca="false">IF($N1126="",0,IF(COUNTIF(Dashboard!$C$13:$C$22,$N1126)&gt;0,1,0))</f>
        <v>0</v>
      </c>
      <c r="AB1126" s="37" t="str">
        <f aca="false">IF($N1126="","",IF(COUNTIF($N$8:$N1126,$N1126)=1,MAX($AB$7:$AB1125)+1,""))</f>
        <v/>
      </c>
    </row>
    <row r="1127" customFormat="false" ht="15" hidden="false" customHeight="false" outlineLevel="0" collapsed="false">
      <c r="L1127" s="37" t="str">
        <f aca="false">IF(INDEX($A1127:$J1127,$L$6)&lt;&gt;"",TRIM(LEFT(INDEX($A1127:$J1127,$L$6),FIND("(",INDEX($A1127:$J1127,$L$6)&amp;"(")-1)),L1126)</f>
        <v>Building Value Proposition</v>
      </c>
      <c r="M1127" s="37" t="str">
        <f aca="false">IF(INDEX($A1127:$J1127,$M$6)="","",INDEX($A1127:$J1127,$M$6)&amp;"")</f>
        <v/>
      </c>
      <c r="N1127" s="37" t="str">
        <f aca="false">IF($M1127="","",TRIM(INDEX($A1127:$J1127,$N$6)&amp;""))</f>
        <v/>
      </c>
      <c r="O1127" s="37" t="str">
        <f aca="false">IF($M1127="","",TRIM(INDEX($A1127:$J1127,$O$6)&amp;""))</f>
        <v/>
      </c>
      <c r="P1127" s="37" t="str">
        <f aca="false">IF($M1127="","",IFERROR(IF(INDEX(Settings!$B$41:$B$50,MATCH(O1127,Settings!$A$41:$A$50,0))&amp;""="","UNMAPPED",INDEX(Settings!$B$41:$B$50,MATCH(O1127,Settings!$A$41:$A$50,0))&amp;""),"UNMAPPED"))</f>
        <v/>
      </c>
      <c r="Q1127" s="38" t="n">
        <f aca="false">IF($M1127="",0,N(INDEX($A1127:$J1127,$Q$6)))</f>
        <v>0</v>
      </c>
      <c r="R1127" s="39" t="str">
        <f aca="false">IF($M1127="","",INDEX($A1127:$J1127,$R$6))</f>
        <v/>
      </c>
      <c r="S1127" s="37" t="str">
        <f aca="false">IF($M1127="","",IFERROR(INDEX(Settings!$B$27:$B$36,MATCH(L1127,Settings!$A$27:$A$36,0))&amp;"","UNMAPPED"))</f>
        <v/>
      </c>
      <c r="T1127" s="37" t="str">
        <f aca="false">IF($M1127="","",IF(NOT(ISNUMBER(R1127)),"NO DATE",IF(S1127="Won",IF(R1127&gt;Settings!$B$5,"Backlog","Delivered"),IF(S1127="Open",IF(R1127&gt;Settings!$B$5,"Pipeline","Overdue"),IF(S1127="Lost","Lost","UNMAPPED")))))</f>
        <v/>
      </c>
      <c r="U1127" s="40" t="n">
        <f aca="false">IF(T1127="Backlog",1,IF(OR(T1127="Pipeline",T1127="Overdue"),N(INDEX(Settings!$C$27:$C$36,MATCH(L1127,Settings!$A$27:$A$36,0))),0))</f>
        <v>0</v>
      </c>
      <c r="V1127" s="38" t="n">
        <f aca="false">Q1127*U1127</f>
        <v>0</v>
      </c>
      <c r="W1127" s="41" t="str">
        <f aca="false">IF($M1127="","",IF(T1127="Overdue",IF(Settings!$B$8="Yes",Settings!$B$7,""),IF(ISNUMBER(R1127),DATE(YEAR(R1127),MONTH(R1127),1),"")))</f>
        <v/>
      </c>
      <c r="X1127" s="38" t="n">
        <f aca="false">IF(AND(OR(T1127="Backlog",T1127="Pipeline",T1127="Overdue"),ISNUMBER(W1127)),IF(W1127&lt;=Settings!$B$6,V1127,0),0)</f>
        <v>0</v>
      </c>
      <c r="Y1127" s="38" t="n">
        <f aca="false">IF(AND(OR(T1127="Backlog",T1127="Pipeline",T1127="Overdue"),ISNUMBER(W1127)),IF(W1127&lt;=Settings!$B$6,Q1127,0),0)</f>
        <v>0</v>
      </c>
      <c r="Z1127" s="38" t="n">
        <f aca="false">IF(Y1127=0,0,IF(T1127="Backlog",Q1127,Q1127*Dashboard!$C$10))</f>
        <v>0</v>
      </c>
      <c r="AA1127" s="37" t="n">
        <f aca="false">IF($N1127="",0,IF(COUNTIF(Dashboard!$C$13:$C$22,$N1127)&gt;0,1,0))</f>
        <v>0</v>
      </c>
      <c r="AB1127" s="37" t="str">
        <f aca="false">IF($N1127="","",IF(COUNTIF($N$8:$N1127,$N1127)=1,MAX($AB$7:$AB1126)+1,""))</f>
        <v/>
      </c>
    </row>
    <row r="1128" customFormat="false" ht="15" hidden="false" customHeight="false" outlineLevel="0" collapsed="false">
      <c r="L1128" s="37" t="str">
        <f aca="false">IF(INDEX($A1128:$J1128,$L$6)&lt;&gt;"",TRIM(LEFT(INDEX($A1128:$J1128,$L$6),FIND("(",INDEX($A1128:$J1128,$L$6)&amp;"(")-1)),L1127)</f>
        <v>Building Value Proposition</v>
      </c>
      <c r="M1128" s="37" t="str">
        <f aca="false">IF(INDEX($A1128:$J1128,$M$6)="","",INDEX($A1128:$J1128,$M$6)&amp;"")</f>
        <v/>
      </c>
      <c r="N1128" s="37" t="str">
        <f aca="false">IF($M1128="","",TRIM(INDEX($A1128:$J1128,$N$6)&amp;""))</f>
        <v/>
      </c>
      <c r="O1128" s="37" t="str">
        <f aca="false">IF($M1128="","",TRIM(INDEX($A1128:$J1128,$O$6)&amp;""))</f>
        <v/>
      </c>
      <c r="P1128" s="37" t="str">
        <f aca="false">IF($M1128="","",IFERROR(IF(INDEX(Settings!$B$41:$B$50,MATCH(O1128,Settings!$A$41:$A$50,0))&amp;""="","UNMAPPED",INDEX(Settings!$B$41:$B$50,MATCH(O1128,Settings!$A$41:$A$50,0))&amp;""),"UNMAPPED"))</f>
        <v/>
      </c>
      <c r="Q1128" s="38" t="n">
        <f aca="false">IF($M1128="",0,N(INDEX($A1128:$J1128,$Q$6)))</f>
        <v>0</v>
      </c>
      <c r="R1128" s="39" t="str">
        <f aca="false">IF($M1128="","",INDEX($A1128:$J1128,$R$6))</f>
        <v/>
      </c>
      <c r="S1128" s="37" t="str">
        <f aca="false">IF($M1128="","",IFERROR(INDEX(Settings!$B$27:$B$36,MATCH(L1128,Settings!$A$27:$A$36,0))&amp;"","UNMAPPED"))</f>
        <v/>
      </c>
      <c r="T1128" s="37" t="str">
        <f aca="false">IF($M1128="","",IF(NOT(ISNUMBER(R1128)),"NO DATE",IF(S1128="Won",IF(R1128&gt;Settings!$B$5,"Backlog","Delivered"),IF(S1128="Open",IF(R1128&gt;Settings!$B$5,"Pipeline","Overdue"),IF(S1128="Lost","Lost","UNMAPPED")))))</f>
        <v/>
      </c>
      <c r="U1128" s="40" t="n">
        <f aca="false">IF(T1128="Backlog",1,IF(OR(T1128="Pipeline",T1128="Overdue"),N(INDEX(Settings!$C$27:$C$36,MATCH(L1128,Settings!$A$27:$A$36,0))),0))</f>
        <v>0</v>
      </c>
      <c r="V1128" s="38" t="n">
        <f aca="false">Q1128*U1128</f>
        <v>0</v>
      </c>
      <c r="W1128" s="41" t="str">
        <f aca="false">IF($M1128="","",IF(T1128="Overdue",IF(Settings!$B$8="Yes",Settings!$B$7,""),IF(ISNUMBER(R1128),DATE(YEAR(R1128),MONTH(R1128),1),"")))</f>
        <v/>
      </c>
      <c r="X1128" s="38" t="n">
        <f aca="false">IF(AND(OR(T1128="Backlog",T1128="Pipeline",T1128="Overdue"),ISNUMBER(W1128)),IF(W1128&lt;=Settings!$B$6,V1128,0),0)</f>
        <v>0</v>
      </c>
      <c r="Y1128" s="38" t="n">
        <f aca="false">IF(AND(OR(T1128="Backlog",T1128="Pipeline",T1128="Overdue"),ISNUMBER(W1128)),IF(W1128&lt;=Settings!$B$6,Q1128,0),0)</f>
        <v>0</v>
      </c>
      <c r="Z1128" s="38" t="n">
        <f aca="false">IF(Y1128=0,0,IF(T1128="Backlog",Q1128,Q1128*Dashboard!$C$10))</f>
        <v>0</v>
      </c>
      <c r="AA1128" s="37" t="n">
        <f aca="false">IF($N1128="",0,IF(COUNTIF(Dashboard!$C$13:$C$22,$N1128)&gt;0,1,0))</f>
        <v>0</v>
      </c>
      <c r="AB1128" s="37" t="str">
        <f aca="false">IF($N1128="","",IF(COUNTIF($N$8:$N1128,$N1128)=1,MAX($AB$7:$AB1127)+1,""))</f>
        <v/>
      </c>
    </row>
    <row r="1129" customFormat="false" ht="15" hidden="false" customHeight="false" outlineLevel="0" collapsed="false">
      <c r="L1129" s="37" t="str">
        <f aca="false">IF(INDEX($A1129:$J1129,$L$6)&lt;&gt;"",TRIM(LEFT(INDEX($A1129:$J1129,$L$6),FIND("(",INDEX($A1129:$J1129,$L$6)&amp;"(")-1)),L1128)</f>
        <v>Building Value Proposition</v>
      </c>
      <c r="M1129" s="37" t="str">
        <f aca="false">IF(INDEX($A1129:$J1129,$M$6)="","",INDEX($A1129:$J1129,$M$6)&amp;"")</f>
        <v/>
      </c>
      <c r="N1129" s="37" t="str">
        <f aca="false">IF($M1129="","",TRIM(INDEX($A1129:$J1129,$N$6)&amp;""))</f>
        <v/>
      </c>
      <c r="O1129" s="37" t="str">
        <f aca="false">IF($M1129="","",TRIM(INDEX($A1129:$J1129,$O$6)&amp;""))</f>
        <v/>
      </c>
      <c r="P1129" s="37" t="str">
        <f aca="false">IF($M1129="","",IFERROR(IF(INDEX(Settings!$B$41:$B$50,MATCH(O1129,Settings!$A$41:$A$50,0))&amp;""="","UNMAPPED",INDEX(Settings!$B$41:$B$50,MATCH(O1129,Settings!$A$41:$A$50,0))&amp;""),"UNMAPPED"))</f>
        <v/>
      </c>
      <c r="Q1129" s="38" t="n">
        <f aca="false">IF($M1129="",0,N(INDEX($A1129:$J1129,$Q$6)))</f>
        <v>0</v>
      </c>
      <c r="R1129" s="39" t="str">
        <f aca="false">IF($M1129="","",INDEX($A1129:$J1129,$R$6))</f>
        <v/>
      </c>
      <c r="S1129" s="37" t="str">
        <f aca="false">IF($M1129="","",IFERROR(INDEX(Settings!$B$27:$B$36,MATCH(L1129,Settings!$A$27:$A$36,0))&amp;"","UNMAPPED"))</f>
        <v/>
      </c>
      <c r="T1129" s="37" t="str">
        <f aca="false">IF($M1129="","",IF(NOT(ISNUMBER(R1129)),"NO DATE",IF(S1129="Won",IF(R1129&gt;Settings!$B$5,"Backlog","Delivered"),IF(S1129="Open",IF(R1129&gt;Settings!$B$5,"Pipeline","Overdue"),IF(S1129="Lost","Lost","UNMAPPED")))))</f>
        <v/>
      </c>
      <c r="U1129" s="40" t="n">
        <f aca="false">IF(T1129="Backlog",1,IF(OR(T1129="Pipeline",T1129="Overdue"),N(INDEX(Settings!$C$27:$C$36,MATCH(L1129,Settings!$A$27:$A$36,0))),0))</f>
        <v>0</v>
      </c>
      <c r="V1129" s="38" t="n">
        <f aca="false">Q1129*U1129</f>
        <v>0</v>
      </c>
      <c r="W1129" s="41" t="str">
        <f aca="false">IF($M1129="","",IF(T1129="Overdue",IF(Settings!$B$8="Yes",Settings!$B$7,""),IF(ISNUMBER(R1129),DATE(YEAR(R1129),MONTH(R1129),1),"")))</f>
        <v/>
      </c>
      <c r="X1129" s="38" t="n">
        <f aca="false">IF(AND(OR(T1129="Backlog",T1129="Pipeline",T1129="Overdue"),ISNUMBER(W1129)),IF(W1129&lt;=Settings!$B$6,V1129,0),0)</f>
        <v>0</v>
      </c>
      <c r="Y1129" s="38" t="n">
        <f aca="false">IF(AND(OR(T1129="Backlog",T1129="Pipeline",T1129="Overdue"),ISNUMBER(W1129)),IF(W1129&lt;=Settings!$B$6,Q1129,0),0)</f>
        <v>0</v>
      </c>
      <c r="Z1129" s="38" t="n">
        <f aca="false">IF(Y1129=0,0,IF(T1129="Backlog",Q1129,Q1129*Dashboard!$C$10))</f>
        <v>0</v>
      </c>
      <c r="AA1129" s="37" t="n">
        <f aca="false">IF($N1129="",0,IF(COUNTIF(Dashboard!$C$13:$C$22,$N1129)&gt;0,1,0))</f>
        <v>0</v>
      </c>
      <c r="AB1129" s="37" t="str">
        <f aca="false">IF($N1129="","",IF(COUNTIF($N$8:$N1129,$N1129)=1,MAX($AB$7:$AB1128)+1,""))</f>
        <v/>
      </c>
    </row>
    <row r="1130" customFormat="false" ht="15" hidden="false" customHeight="false" outlineLevel="0" collapsed="false">
      <c r="L1130" s="37" t="str">
        <f aca="false">IF(INDEX($A1130:$J1130,$L$6)&lt;&gt;"",TRIM(LEFT(INDEX($A1130:$J1130,$L$6),FIND("(",INDEX($A1130:$J1130,$L$6)&amp;"(")-1)),L1129)</f>
        <v>Building Value Proposition</v>
      </c>
      <c r="M1130" s="37" t="str">
        <f aca="false">IF(INDEX($A1130:$J1130,$M$6)="","",INDEX($A1130:$J1130,$M$6)&amp;"")</f>
        <v/>
      </c>
      <c r="N1130" s="37" t="str">
        <f aca="false">IF($M1130="","",TRIM(INDEX($A1130:$J1130,$N$6)&amp;""))</f>
        <v/>
      </c>
      <c r="O1130" s="37" t="str">
        <f aca="false">IF($M1130="","",TRIM(INDEX($A1130:$J1130,$O$6)&amp;""))</f>
        <v/>
      </c>
      <c r="P1130" s="37" t="str">
        <f aca="false">IF($M1130="","",IFERROR(IF(INDEX(Settings!$B$41:$B$50,MATCH(O1130,Settings!$A$41:$A$50,0))&amp;""="","UNMAPPED",INDEX(Settings!$B$41:$B$50,MATCH(O1130,Settings!$A$41:$A$50,0))&amp;""),"UNMAPPED"))</f>
        <v/>
      </c>
      <c r="Q1130" s="38" t="n">
        <f aca="false">IF($M1130="",0,N(INDEX($A1130:$J1130,$Q$6)))</f>
        <v>0</v>
      </c>
      <c r="R1130" s="39" t="str">
        <f aca="false">IF($M1130="","",INDEX($A1130:$J1130,$R$6))</f>
        <v/>
      </c>
      <c r="S1130" s="37" t="str">
        <f aca="false">IF($M1130="","",IFERROR(INDEX(Settings!$B$27:$B$36,MATCH(L1130,Settings!$A$27:$A$36,0))&amp;"","UNMAPPED"))</f>
        <v/>
      </c>
      <c r="T1130" s="37" t="str">
        <f aca="false">IF($M1130="","",IF(NOT(ISNUMBER(R1130)),"NO DATE",IF(S1130="Won",IF(R1130&gt;Settings!$B$5,"Backlog","Delivered"),IF(S1130="Open",IF(R1130&gt;Settings!$B$5,"Pipeline","Overdue"),IF(S1130="Lost","Lost","UNMAPPED")))))</f>
        <v/>
      </c>
      <c r="U1130" s="40" t="n">
        <f aca="false">IF(T1130="Backlog",1,IF(OR(T1130="Pipeline",T1130="Overdue"),N(INDEX(Settings!$C$27:$C$36,MATCH(L1130,Settings!$A$27:$A$36,0))),0))</f>
        <v>0</v>
      </c>
      <c r="V1130" s="38" t="n">
        <f aca="false">Q1130*U1130</f>
        <v>0</v>
      </c>
      <c r="W1130" s="41" t="str">
        <f aca="false">IF($M1130="","",IF(T1130="Overdue",IF(Settings!$B$8="Yes",Settings!$B$7,""),IF(ISNUMBER(R1130),DATE(YEAR(R1130),MONTH(R1130),1),"")))</f>
        <v/>
      </c>
      <c r="X1130" s="38" t="n">
        <f aca="false">IF(AND(OR(T1130="Backlog",T1130="Pipeline",T1130="Overdue"),ISNUMBER(W1130)),IF(W1130&lt;=Settings!$B$6,V1130,0),0)</f>
        <v>0</v>
      </c>
      <c r="Y1130" s="38" t="n">
        <f aca="false">IF(AND(OR(T1130="Backlog",T1130="Pipeline",T1130="Overdue"),ISNUMBER(W1130)),IF(W1130&lt;=Settings!$B$6,Q1130,0),0)</f>
        <v>0</v>
      </c>
      <c r="Z1130" s="38" t="n">
        <f aca="false">IF(Y1130=0,0,IF(T1130="Backlog",Q1130,Q1130*Dashboard!$C$10))</f>
        <v>0</v>
      </c>
      <c r="AA1130" s="37" t="n">
        <f aca="false">IF($N1130="",0,IF(COUNTIF(Dashboard!$C$13:$C$22,$N1130)&gt;0,1,0))</f>
        <v>0</v>
      </c>
      <c r="AB1130" s="37" t="str">
        <f aca="false">IF($N1130="","",IF(COUNTIF($N$8:$N1130,$N1130)=1,MAX($AB$7:$AB1129)+1,""))</f>
        <v/>
      </c>
    </row>
    <row r="1131" customFormat="false" ht="15" hidden="false" customHeight="false" outlineLevel="0" collapsed="false">
      <c r="L1131" s="37" t="str">
        <f aca="false">IF(INDEX($A1131:$J1131,$L$6)&lt;&gt;"",TRIM(LEFT(INDEX($A1131:$J1131,$L$6),FIND("(",INDEX($A1131:$J1131,$L$6)&amp;"(")-1)),L1130)</f>
        <v>Building Value Proposition</v>
      </c>
      <c r="M1131" s="37" t="str">
        <f aca="false">IF(INDEX($A1131:$J1131,$M$6)="","",INDEX($A1131:$J1131,$M$6)&amp;"")</f>
        <v/>
      </c>
      <c r="N1131" s="37" t="str">
        <f aca="false">IF($M1131="","",TRIM(INDEX($A1131:$J1131,$N$6)&amp;""))</f>
        <v/>
      </c>
      <c r="O1131" s="37" t="str">
        <f aca="false">IF($M1131="","",TRIM(INDEX($A1131:$J1131,$O$6)&amp;""))</f>
        <v/>
      </c>
      <c r="P1131" s="37" t="str">
        <f aca="false">IF($M1131="","",IFERROR(IF(INDEX(Settings!$B$41:$B$50,MATCH(O1131,Settings!$A$41:$A$50,0))&amp;""="","UNMAPPED",INDEX(Settings!$B$41:$B$50,MATCH(O1131,Settings!$A$41:$A$50,0))&amp;""),"UNMAPPED"))</f>
        <v/>
      </c>
      <c r="Q1131" s="38" t="n">
        <f aca="false">IF($M1131="",0,N(INDEX($A1131:$J1131,$Q$6)))</f>
        <v>0</v>
      </c>
      <c r="R1131" s="39" t="str">
        <f aca="false">IF($M1131="","",INDEX($A1131:$J1131,$R$6))</f>
        <v/>
      </c>
      <c r="S1131" s="37" t="str">
        <f aca="false">IF($M1131="","",IFERROR(INDEX(Settings!$B$27:$B$36,MATCH(L1131,Settings!$A$27:$A$36,0))&amp;"","UNMAPPED"))</f>
        <v/>
      </c>
      <c r="T1131" s="37" t="str">
        <f aca="false">IF($M1131="","",IF(NOT(ISNUMBER(R1131)),"NO DATE",IF(S1131="Won",IF(R1131&gt;Settings!$B$5,"Backlog","Delivered"),IF(S1131="Open",IF(R1131&gt;Settings!$B$5,"Pipeline","Overdue"),IF(S1131="Lost","Lost","UNMAPPED")))))</f>
        <v/>
      </c>
      <c r="U1131" s="40" t="n">
        <f aca="false">IF(T1131="Backlog",1,IF(OR(T1131="Pipeline",T1131="Overdue"),N(INDEX(Settings!$C$27:$C$36,MATCH(L1131,Settings!$A$27:$A$36,0))),0))</f>
        <v>0</v>
      </c>
      <c r="V1131" s="38" t="n">
        <f aca="false">Q1131*U1131</f>
        <v>0</v>
      </c>
      <c r="W1131" s="41" t="str">
        <f aca="false">IF($M1131="","",IF(T1131="Overdue",IF(Settings!$B$8="Yes",Settings!$B$7,""),IF(ISNUMBER(R1131),DATE(YEAR(R1131),MONTH(R1131),1),"")))</f>
        <v/>
      </c>
      <c r="X1131" s="38" t="n">
        <f aca="false">IF(AND(OR(T1131="Backlog",T1131="Pipeline",T1131="Overdue"),ISNUMBER(W1131)),IF(W1131&lt;=Settings!$B$6,V1131,0),0)</f>
        <v>0</v>
      </c>
      <c r="Y1131" s="38" t="n">
        <f aca="false">IF(AND(OR(T1131="Backlog",T1131="Pipeline",T1131="Overdue"),ISNUMBER(W1131)),IF(W1131&lt;=Settings!$B$6,Q1131,0),0)</f>
        <v>0</v>
      </c>
      <c r="Z1131" s="38" t="n">
        <f aca="false">IF(Y1131=0,0,IF(T1131="Backlog",Q1131,Q1131*Dashboard!$C$10))</f>
        <v>0</v>
      </c>
      <c r="AA1131" s="37" t="n">
        <f aca="false">IF($N1131="",0,IF(COUNTIF(Dashboard!$C$13:$C$22,$N1131)&gt;0,1,0))</f>
        <v>0</v>
      </c>
      <c r="AB1131" s="37" t="str">
        <f aca="false">IF($N1131="","",IF(COUNTIF($N$8:$N1131,$N1131)=1,MAX($AB$7:$AB1130)+1,""))</f>
        <v/>
      </c>
    </row>
    <row r="1132" customFormat="false" ht="15" hidden="false" customHeight="false" outlineLevel="0" collapsed="false">
      <c r="L1132" s="37" t="str">
        <f aca="false">IF(INDEX($A1132:$J1132,$L$6)&lt;&gt;"",TRIM(LEFT(INDEX($A1132:$J1132,$L$6),FIND("(",INDEX($A1132:$J1132,$L$6)&amp;"(")-1)),L1131)</f>
        <v>Building Value Proposition</v>
      </c>
      <c r="M1132" s="37" t="str">
        <f aca="false">IF(INDEX($A1132:$J1132,$M$6)="","",INDEX($A1132:$J1132,$M$6)&amp;"")</f>
        <v/>
      </c>
      <c r="N1132" s="37" t="str">
        <f aca="false">IF($M1132="","",TRIM(INDEX($A1132:$J1132,$N$6)&amp;""))</f>
        <v/>
      </c>
      <c r="O1132" s="37" t="str">
        <f aca="false">IF($M1132="","",TRIM(INDEX($A1132:$J1132,$O$6)&amp;""))</f>
        <v/>
      </c>
      <c r="P1132" s="37" t="str">
        <f aca="false">IF($M1132="","",IFERROR(IF(INDEX(Settings!$B$41:$B$50,MATCH(O1132,Settings!$A$41:$A$50,0))&amp;""="","UNMAPPED",INDEX(Settings!$B$41:$B$50,MATCH(O1132,Settings!$A$41:$A$50,0))&amp;""),"UNMAPPED"))</f>
        <v/>
      </c>
      <c r="Q1132" s="38" t="n">
        <f aca="false">IF($M1132="",0,N(INDEX($A1132:$J1132,$Q$6)))</f>
        <v>0</v>
      </c>
      <c r="R1132" s="39" t="str">
        <f aca="false">IF($M1132="","",INDEX($A1132:$J1132,$R$6))</f>
        <v/>
      </c>
      <c r="S1132" s="37" t="str">
        <f aca="false">IF($M1132="","",IFERROR(INDEX(Settings!$B$27:$B$36,MATCH(L1132,Settings!$A$27:$A$36,0))&amp;"","UNMAPPED"))</f>
        <v/>
      </c>
      <c r="T1132" s="37" t="str">
        <f aca="false">IF($M1132="","",IF(NOT(ISNUMBER(R1132)),"NO DATE",IF(S1132="Won",IF(R1132&gt;Settings!$B$5,"Backlog","Delivered"),IF(S1132="Open",IF(R1132&gt;Settings!$B$5,"Pipeline","Overdue"),IF(S1132="Lost","Lost","UNMAPPED")))))</f>
        <v/>
      </c>
      <c r="U1132" s="40" t="n">
        <f aca="false">IF(T1132="Backlog",1,IF(OR(T1132="Pipeline",T1132="Overdue"),N(INDEX(Settings!$C$27:$C$36,MATCH(L1132,Settings!$A$27:$A$36,0))),0))</f>
        <v>0</v>
      </c>
      <c r="V1132" s="38" t="n">
        <f aca="false">Q1132*U1132</f>
        <v>0</v>
      </c>
      <c r="W1132" s="41" t="str">
        <f aca="false">IF($M1132="","",IF(T1132="Overdue",IF(Settings!$B$8="Yes",Settings!$B$7,""),IF(ISNUMBER(R1132),DATE(YEAR(R1132),MONTH(R1132),1),"")))</f>
        <v/>
      </c>
      <c r="X1132" s="38" t="n">
        <f aca="false">IF(AND(OR(T1132="Backlog",T1132="Pipeline",T1132="Overdue"),ISNUMBER(W1132)),IF(W1132&lt;=Settings!$B$6,V1132,0),0)</f>
        <v>0</v>
      </c>
      <c r="Y1132" s="38" t="n">
        <f aca="false">IF(AND(OR(T1132="Backlog",T1132="Pipeline",T1132="Overdue"),ISNUMBER(W1132)),IF(W1132&lt;=Settings!$B$6,Q1132,0),0)</f>
        <v>0</v>
      </c>
      <c r="Z1132" s="38" t="n">
        <f aca="false">IF(Y1132=0,0,IF(T1132="Backlog",Q1132,Q1132*Dashboard!$C$10))</f>
        <v>0</v>
      </c>
      <c r="AA1132" s="37" t="n">
        <f aca="false">IF($N1132="",0,IF(COUNTIF(Dashboard!$C$13:$C$22,$N1132)&gt;0,1,0))</f>
        <v>0</v>
      </c>
      <c r="AB1132" s="37" t="str">
        <f aca="false">IF($N1132="","",IF(COUNTIF($N$8:$N1132,$N1132)=1,MAX($AB$7:$AB1131)+1,""))</f>
        <v/>
      </c>
    </row>
    <row r="1133" customFormat="false" ht="15" hidden="false" customHeight="false" outlineLevel="0" collapsed="false">
      <c r="L1133" s="37" t="str">
        <f aca="false">IF(INDEX($A1133:$J1133,$L$6)&lt;&gt;"",TRIM(LEFT(INDEX($A1133:$J1133,$L$6),FIND("(",INDEX($A1133:$J1133,$L$6)&amp;"(")-1)),L1132)</f>
        <v>Building Value Proposition</v>
      </c>
      <c r="M1133" s="37" t="str">
        <f aca="false">IF(INDEX($A1133:$J1133,$M$6)="","",INDEX($A1133:$J1133,$M$6)&amp;"")</f>
        <v/>
      </c>
      <c r="N1133" s="37" t="str">
        <f aca="false">IF($M1133="","",TRIM(INDEX($A1133:$J1133,$N$6)&amp;""))</f>
        <v/>
      </c>
      <c r="O1133" s="37" t="str">
        <f aca="false">IF($M1133="","",TRIM(INDEX($A1133:$J1133,$O$6)&amp;""))</f>
        <v/>
      </c>
      <c r="P1133" s="37" t="str">
        <f aca="false">IF($M1133="","",IFERROR(IF(INDEX(Settings!$B$41:$B$50,MATCH(O1133,Settings!$A$41:$A$50,0))&amp;""="","UNMAPPED",INDEX(Settings!$B$41:$B$50,MATCH(O1133,Settings!$A$41:$A$50,0))&amp;""),"UNMAPPED"))</f>
        <v/>
      </c>
      <c r="Q1133" s="38" t="n">
        <f aca="false">IF($M1133="",0,N(INDEX($A1133:$J1133,$Q$6)))</f>
        <v>0</v>
      </c>
      <c r="R1133" s="39" t="str">
        <f aca="false">IF($M1133="","",INDEX($A1133:$J1133,$R$6))</f>
        <v/>
      </c>
      <c r="S1133" s="37" t="str">
        <f aca="false">IF($M1133="","",IFERROR(INDEX(Settings!$B$27:$B$36,MATCH(L1133,Settings!$A$27:$A$36,0))&amp;"","UNMAPPED"))</f>
        <v/>
      </c>
      <c r="T1133" s="37" t="str">
        <f aca="false">IF($M1133="","",IF(NOT(ISNUMBER(R1133)),"NO DATE",IF(S1133="Won",IF(R1133&gt;Settings!$B$5,"Backlog","Delivered"),IF(S1133="Open",IF(R1133&gt;Settings!$B$5,"Pipeline","Overdue"),IF(S1133="Lost","Lost","UNMAPPED")))))</f>
        <v/>
      </c>
      <c r="U1133" s="40" t="n">
        <f aca="false">IF(T1133="Backlog",1,IF(OR(T1133="Pipeline",T1133="Overdue"),N(INDEX(Settings!$C$27:$C$36,MATCH(L1133,Settings!$A$27:$A$36,0))),0))</f>
        <v>0</v>
      </c>
      <c r="V1133" s="38" t="n">
        <f aca="false">Q1133*U1133</f>
        <v>0</v>
      </c>
      <c r="W1133" s="41" t="str">
        <f aca="false">IF($M1133="","",IF(T1133="Overdue",IF(Settings!$B$8="Yes",Settings!$B$7,""),IF(ISNUMBER(R1133),DATE(YEAR(R1133),MONTH(R1133),1),"")))</f>
        <v/>
      </c>
      <c r="X1133" s="38" t="n">
        <f aca="false">IF(AND(OR(T1133="Backlog",T1133="Pipeline",T1133="Overdue"),ISNUMBER(W1133)),IF(W1133&lt;=Settings!$B$6,V1133,0),0)</f>
        <v>0</v>
      </c>
      <c r="Y1133" s="38" t="n">
        <f aca="false">IF(AND(OR(T1133="Backlog",T1133="Pipeline",T1133="Overdue"),ISNUMBER(W1133)),IF(W1133&lt;=Settings!$B$6,Q1133,0),0)</f>
        <v>0</v>
      </c>
      <c r="Z1133" s="38" t="n">
        <f aca="false">IF(Y1133=0,0,IF(T1133="Backlog",Q1133,Q1133*Dashboard!$C$10))</f>
        <v>0</v>
      </c>
      <c r="AA1133" s="37" t="n">
        <f aca="false">IF($N1133="",0,IF(COUNTIF(Dashboard!$C$13:$C$22,$N1133)&gt;0,1,0))</f>
        <v>0</v>
      </c>
      <c r="AB1133" s="37" t="str">
        <f aca="false">IF($N1133="","",IF(COUNTIF($N$8:$N1133,$N1133)=1,MAX($AB$7:$AB1132)+1,""))</f>
        <v/>
      </c>
    </row>
    <row r="1134" customFormat="false" ht="15" hidden="false" customHeight="false" outlineLevel="0" collapsed="false">
      <c r="L1134" s="37" t="str">
        <f aca="false">IF(INDEX($A1134:$J1134,$L$6)&lt;&gt;"",TRIM(LEFT(INDEX($A1134:$J1134,$L$6),FIND("(",INDEX($A1134:$J1134,$L$6)&amp;"(")-1)),L1133)</f>
        <v>Building Value Proposition</v>
      </c>
      <c r="M1134" s="37" t="str">
        <f aca="false">IF(INDEX($A1134:$J1134,$M$6)="","",INDEX($A1134:$J1134,$M$6)&amp;"")</f>
        <v/>
      </c>
      <c r="N1134" s="37" t="str">
        <f aca="false">IF($M1134="","",TRIM(INDEX($A1134:$J1134,$N$6)&amp;""))</f>
        <v/>
      </c>
      <c r="O1134" s="37" t="str">
        <f aca="false">IF($M1134="","",TRIM(INDEX($A1134:$J1134,$O$6)&amp;""))</f>
        <v/>
      </c>
      <c r="P1134" s="37" t="str">
        <f aca="false">IF($M1134="","",IFERROR(IF(INDEX(Settings!$B$41:$B$50,MATCH(O1134,Settings!$A$41:$A$50,0))&amp;""="","UNMAPPED",INDEX(Settings!$B$41:$B$50,MATCH(O1134,Settings!$A$41:$A$50,0))&amp;""),"UNMAPPED"))</f>
        <v/>
      </c>
      <c r="Q1134" s="38" t="n">
        <f aca="false">IF($M1134="",0,N(INDEX($A1134:$J1134,$Q$6)))</f>
        <v>0</v>
      </c>
      <c r="R1134" s="39" t="str">
        <f aca="false">IF($M1134="","",INDEX($A1134:$J1134,$R$6))</f>
        <v/>
      </c>
      <c r="S1134" s="37" t="str">
        <f aca="false">IF($M1134="","",IFERROR(INDEX(Settings!$B$27:$B$36,MATCH(L1134,Settings!$A$27:$A$36,0))&amp;"","UNMAPPED"))</f>
        <v/>
      </c>
      <c r="T1134" s="37" t="str">
        <f aca="false">IF($M1134="","",IF(NOT(ISNUMBER(R1134)),"NO DATE",IF(S1134="Won",IF(R1134&gt;Settings!$B$5,"Backlog","Delivered"),IF(S1134="Open",IF(R1134&gt;Settings!$B$5,"Pipeline","Overdue"),IF(S1134="Lost","Lost","UNMAPPED")))))</f>
        <v/>
      </c>
      <c r="U1134" s="40" t="n">
        <f aca="false">IF(T1134="Backlog",1,IF(OR(T1134="Pipeline",T1134="Overdue"),N(INDEX(Settings!$C$27:$C$36,MATCH(L1134,Settings!$A$27:$A$36,0))),0))</f>
        <v>0</v>
      </c>
      <c r="V1134" s="38" t="n">
        <f aca="false">Q1134*U1134</f>
        <v>0</v>
      </c>
      <c r="W1134" s="41" t="str">
        <f aca="false">IF($M1134="","",IF(T1134="Overdue",IF(Settings!$B$8="Yes",Settings!$B$7,""),IF(ISNUMBER(R1134),DATE(YEAR(R1134),MONTH(R1134),1),"")))</f>
        <v/>
      </c>
      <c r="X1134" s="38" t="n">
        <f aca="false">IF(AND(OR(T1134="Backlog",T1134="Pipeline",T1134="Overdue"),ISNUMBER(W1134)),IF(W1134&lt;=Settings!$B$6,V1134,0),0)</f>
        <v>0</v>
      </c>
      <c r="Y1134" s="38" t="n">
        <f aca="false">IF(AND(OR(T1134="Backlog",T1134="Pipeline",T1134="Overdue"),ISNUMBER(W1134)),IF(W1134&lt;=Settings!$B$6,Q1134,0),0)</f>
        <v>0</v>
      </c>
      <c r="Z1134" s="38" t="n">
        <f aca="false">IF(Y1134=0,0,IF(T1134="Backlog",Q1134,Q1134*Dashboard!$C$10))</f>
        <v>0</v>
      </c>
      <c r="AA1134" s="37" t="n">
        <f aca="false">IF($N1134="",0,IF(COUNTIF(Dashboard!$C$13:$C$22,$N1134)&gt;0,1,0))</f>
        <v>0</v>
      </c>
      <c r="AB1134" s="37" t="str">
        <f aca="false">IF($N1134="","",IF(COUNTIF($N$8:$N1134,$N1134)=1,MAX($AB$7:$AB1133)+1,""))</f>
        <v/>
      </c>
    </row>
    <row r="1135" customFormat="false" ht="15" hidden="false" customHeight="false" outlineLevel="0" collapsed="false">
      <c r="L1135" s="37" t="str">
        <f aca="false">IF(INDEX($A1135:$J1135,$L$6)&lt;&gt;"",TRIM(LEFT(INDEX($A1135:$J1135,$L$6),FIND("(",INDEX($A1135:$J1135,$L$6)&amp;"(")-1)),L1134)</f>
        <v>Building Value Proposition</v>
      </c>
      <c r="M1135" s="37" t="str">
        <f aca="false">IF(INDEX($A1135:$J1135,$M$6)="","",INDEX($A1135:$J1135,$M$6)&amp;"")</f>
        <v/>
      </c>
      <c r="N1135" s="37" t="str">
        <f aca="false">IF($M1135="","",TRIM(INDEX($A1135:$J1135,$N$6)&amp;""))</f>
        <v/>
      </c>
      <c r="O1135" s="37" t="str">
        <f aca="false">IF($M1135="","",TRIM(INDEX($A1135:$J1135,$O$6)&amp;""))</f>
        <v/>
      </c>
      <c r="P1135" s="37" t="str">
        <f aca="false">IF($M1135="","",IFERROR(IF(INDEX(Settings!$B$41:$B$50,MATCH(O1135,Settings!$A$41:$A$50,0))&amp;""="","UNMAPPED",INDEX(Settings!$B$41:$B$50,MATCH(O1135,Settings!$A$41:$A$50,0))&amp;""),"UNMAPPED"))</f>
        <v/>
      </c>
      <c r="Q1135" s="38" t="n">
        <f aca="false">IF($M1135="",0,N(INDEX($A1135:$J1135,$Q$6)))</f>
        <v>0</v>
      </c>
      <c r="R1135" s="39" t="str">
        <f aca="false">IF($M1135="","",INDEX($A1135:$J1135,$R$6))</f>
        <v/>
      </c>
      <c r="S1135" s="37" t="str">
        <f aca="false">IF($M1135="","",IFERROR(INDEX(Settings!$B$27:$B$36,MATCH(L1135,Settings!$A$27:$A$36,0))&amp;"","UNMAPPED"))</f>
        <v/>
      </c>
      <c r="T1135" s="37" t="str">
        <f aca="false">IF($M1135="","",IF(NOT(ISNUMBER(R1135)),"NO DATE",IF(S1135="Won",IF(R1135&gt;Settings!$B$5,"Backlog","Delivered"),IF(S1135="Open",IF(R1135&gt;Settings!$B$5,"Pipeline","Overdue"),IF(S1135="Lost","Lost","UNMAPPED")))))</f>
        <v/>
      </c>
      <c r="U1135" s="40" t="n">
        <f aca="false">IF(T1135="Backlog",1,IF(OR(T1135="Pipeline",T1135="Overdue"),N(INDEX(Settings!$C$27:$C$36,MATCH(L1135,Settings!$A$27:$A$36,0))),0))</f>
        <v>0</v>
      </c>
      <c r="V1135" s="38" t="n">
        <f aca="false">Q1135*U1135</f>
        <v>0</v>
      </c>
      <c r="W1135" s="41" t="str">
        <f aca="false">IF($M1135="","",IF(T1135="Overdue",IF(Settings!$B$8="Yes",Settings!$B$7,""),IF(ISNUMBER(R1135),DATE(YEAR(R1135),MONTH(R1135),1),"")))</f>
        <v/>
      </c>
      <c r="X1135" s="38" t="n">
        <f aca="false">IF(AND(OR(T1135="Backlog",T1135="Pipeline",T1135="Overdue"),ISNUMBER(W1135)),IF(W1135&lt;=Settings!$B$6,V1135,0),0)</f>
        <v>0</v>
      </c>
      <c r="Y1135" s="38" t="n">
        <f aca="false">IF(AND(OR(T1135="Backlog",T1135="Pipeline",T1135="Overdue"),ISNUMBER(W1135)),IF(W1135&lt;=Settings!$B$6,Q1135,0),0)</f>
        <v>0</v>
      </c>
      <c r="Z1135" s="38" t="n">
        <f aca="false">IF(Y1135=0,0,IF(T1135="Backlog",Q1135,Q1135*Dashboard!$C$10))</f>
        <v>0</v>
      </c>
      <c r="AA1135" s="37" t="n">
        <f aca="false">IF($N1135="",0,IF(COUNTIF(Dashboard!$C$13:$C$22,$N1135)&gt;0,1,0))</f>
        <v>0</v>
      </c>
      <c r="AB1135" s="37" t="str">
        <f aca="false">IF($N1135="","",IF(COUNTIF($N$8:$N1135,$N1135)=1,MAX($AB$7:$AB1134)+1,""))</f>
        <v/>
      </c>
    </row>
    <row r="1136" customFormat="false" ht="15" hidden="false" customHeight="false" outlineLevel="0" collapsed="false">
      <c r="L1136" s="37" t="str">
        <f aca="false">IF(INDEX($A1136:$J1136,$L$6)&lt;&gt;"",TRIM(LEFT(INDEX($A1136:$J1136,$L$6),FIND("(",INDEX($A1136:$J1136,$L$6)&amp;"(")-1)),L1135)</f>
        <v>Building Value Proposition</v>
      </c>
      <c r="M1136" s="37" t="str">
        <f aca="false">IF(INDEX($A1136:$J1136,$M$6)="","",INDEX($A1136:$J1136,$M$6)&amp;"")</f>
        <v/>
      </c>
      <c r="N1136" s="37" t="str">
        <f aca="false">IF($M1136="","",TRIM(INDEX($A1136:$J1136,$N$6)&amp;""))</f>
        <v/>
      </c>
      <c r="O1136" s="37" t="str">
        <f aca="false">IF($M1136="","",TRIM(INDEX($A1136:$J1136,$O$6)&amp;""))</f>
        <v/>
      </c>
      <c r="P1136" s="37" t="str">
        <f aca="false">IF($M1136="","",IFERROR(IF(INDEX(Settings!$B$41:$B$50,MATCH(O1136,Settings!$A$41:$A$50,0))&amp;""="","UNMAPPED",INDEX(Settings!$B$41:$B$50,MATCH(O1136,Settings!$A$41:$A$50,0))&amp;""),"UNMAPPED"))</f>
        <v/>
      </c>
      <c r="Q1136" s="38" t="n">
        <f aca="false">IF($M1136="",0,N(INDEX($A1136:$J1136,$Q$6)))</f>
        <v>0</v>
      </c>
      <c r="R1136" s="39" t="str">
        <f aca="false">IF($M1136="","",INDEX($A1136:$J1136,$R$6))</f>
        <v/>
      </c>
      <c r="S1136" s="37" t="str">
        <f aca="false">IF($M1136="","",IFERROR(INDEX(Settings!$B$27:$B$36,MATCH(L1136,Settings!$A$27:$A$36,0))&amp;"","UNMAPPED"))</f>
        <v/>
      </c>
      <c r="T1136" s="37" t="str">
        <f aca="false">IF($M1136="","",IF(NOT(ISNUMBER(R1136)),"NO DATE",IF(S1136="Won",IF(R1136&gt;Settings!$B$5,"Backlog","Delivered"),IF(S1136="Open",IF(R1136&gt;Settings!$B$5,"Pipeline","Overdue"),IF(S1136="Lost","Lost","UNMAPPED")))))</f>
        <v/>
      </c>
      <c r="U1136" s="40" t="n">
        <f aca="false">IF(T1136="Backlog",1,IF(OR(T1136="Pipeline",T1136="Overdue"),N(INDEX(Settings!$C$27:$C$36,MATCH(L1136,Settings!$A$27:$A$36,0))),0))</f>
        <v>0</v>
      </c>
      <c r="V1136" s="38" t="n">
        <f aca="false">Q1136*U1136</f>
        <v>0</v>
      </c>
      <c r="W1136" s="41" t="str">
        <f aca="false">IF($M1136="","",IF(T1136="Overdue",IF(Settings!$B$8="Yes",Settings!$B$7,""),IF(ISNUMBER(R1136),DATE(YEAR(R1136),MONTH(R1136),1),"")))</f>
        <v/>
      </c>
      <c r="X1136" s="38" t="n">
        <f aca="false">IF(AND(OR(T1136="Backlog",T1136="Pipeline",T1136="Overdue"),ISNUMBER(W1136)),IF(W1136&lt;=Settings!$B$6,V1136,0),0)</f>
        <v>0</v>
      </c>
      <c r="Y1136" s="38" t="n">
        <f aca="false">IF(AND(OR(T1136="Backlog",T1136="Pipeline",T1136="Overdue"),ISNUMBER(W1136)),IF(W1136&lt;=Settings!$B$6,Q1136,0),0)</f>
        <v>0</v>
      </c>
      <c r="Z1136" s="38" t="n">
        <f aca="false">IF(Y1136=0,0,IF(T1136="Backlog",Q1136,Q1136*Dashboard!$C$10))</f>
        <v>0</v>
      </c>
      <c r="AA1136" s="37" t="n">
        <f aca="false">IF($N1136="",0,IF(COUNTIF(Dashboard!$C$13:$C$22,$N1136)&gt;0,1,0))</f>
        <v>0</v>
      </c>
      <c r="AB1136" s="37" t="str">
        <f aca="false">IF($N1136="","",IF(COUNTIF($N$8:$N1136,$N1136)=1,MAX($AB$7:$AB1135)+1,""))</f>
        <v/>
      </c>
    </row>
    <row r="1137" customFormat="false" ht="15" hidden="false" customHeight="false" outlineLevel="0" collapsed="false">
      <c r="L1137" s="37" t="str">
        <f aca="false">IF(INDEX($A1137:$J1137,$L$6)&lt;&gt;"",TRIM(LEFT(INDEX($A1137:$J1137,$L$6),FIND("(",INDEX($A1137:$J1137,$L$6)&amp;"(")-1)),L1136)</f>
        <v>Building Value Proposition</v>
      </c>
      <c r="M1137" s="37" t="str">
        <f aca="false">IF(INDEX($A1137:$J1137,$M$6)="","",INDEX($A1137:$J1137,$M$6)&amp;"")</f>
        <v/>
      </c>
      <c r="N1137" s="37" t="str">
        <f aca="false">IF($M1137="","",TRIM(INDEX($A1137:$J1137,$N$6)&amp;""))</f>
        <v/>
      </c>
      <c r="O1137" s="37" t="str">
        <f aca="false">IF($M1137="","",TRIM(INDEX($A1137:$J1137,$O$6)&amp;""))</f>
        <v/>
      </c>
      <c r="P1137" s="37" t="str">
        <f aca="false">IF($M1137="","",IFERROR(IF(INDEX(Settings!$B$41:$B$50,MATCH(O1137,Settings!$A$41:$A$50,0))&amp;""="","UNMAPPED",INDEX(Settings!$B$41:$B$50,MATCH(O1137,Settings!$A$41:$A$50,0))&amp;""),"UNMAPPED"))</f>
        <v/>
      </c>
      <c r="Q1137" s="38" t="n">
        <f aca="false">IF($M1137="",0,N(INDEX($A1137:$J1137,$Q$6)))</f>
        <v>0</v>
      </c>
      <c r="R1137" s="39" t="str">
        <f aca="false">IF($M1137="","",INDEX($A1137:$J1137,$R$6))</f>
        <v/>
      </c>
      <c r="S1137" s="37" t="str">
        <f aca="false">IF($M1137="","",IFERROR(INDEX(Settings!$B$27:$B$36,MATCH(L1137,Settings!$A$27:$A$36,0))&amp;"","UNMAPPED"))</f>
        <v/>
      </c>
      <c r="T1137" s="37" t="str">
        <f aca="false">IF($M1137="","",IF(NOT(ISNUMBER(R1137)),"NO DATE",IF(S1137="Won",IF(R1137&gt;Settings!$B$5,"Backlog","Delivered"),IF(S1137="Open",IF(R1137&gt;Settings!$B$5,"Pipeline","Overdue"),IF(S1137="Lost","Lost","UNMAPPED")))))</f>
        <v/>
      </c>
      <c r="U1137" s="40" t="n">
        <f aca="false">IF(T1137="Backlog",1,IF(OR(T1137="Pipeline",T1137="Overdue"),N(INDEX(Settings!$C$27:$C$36,MATCH(L1137,Settings!$A$27:$A$36,0))),0))</f>
        <v>0</v>
      </c>
      <c r="V1137" s="38" t="n">
        <f aca="false">Q1137*U1137</f>
        <v>0</v>
      </c>
      <c r="W1137" s="41" t="str">
        <f aca="false">IF($M1137="","",IF(T1137="Overdue",IF(Settings!$B$8="Yes",Settings!$B$7,""),IF(ISNUMBER(R1137),DATE(YEAR(R1137),MONTH(R1137),1),"")))</f>
        <v/>
      </c>
      <c r="X1137" s="38" t="n">
        <f aca="false">IF(AND(OR(T1137="Backlog",T1137="Pipeline",T1137="Overdue"),ISNUMBER(W1137)),IF(W1137&lt;=Settings!$B$6,V1137,0),0)</f>
        <v>0</v>
      </c>
      <c r="Y1137" s="38" t="n">
        <f aca="false">IF(AND(OR(T1137="Backlog",T1137="Pipeline",T1137="Overdue"),ISNUMBER(W1137)),IF(W1137&lt;=Settings!$B$6,Q1137,0),0)</f>
        <v>0</v>
      </c>
      <c r="Z1137" s="38" t="n">
        <f aca="false">IF(Y1137=0,0,IF(T1137="Backlog",Q1137,Q1137*Dashboard!$C$10))</f>
        <v>0</v>
      </c>
      <c r="AA1137" s="37" t="n">
        <f aca="false">IF($N1137="",0,IF(COUNTIF(Dashboard!$C$13:$C$22,$N1137)&gt;0,1,0))</f>
        <v>0</v>
      </c>
      <c r="AB1137" s="37" t="str">
        <f aca="false">IF($N1137="","",IF(COUNTIF($N$8:$N1137,$N1137)=1,MAX($AB$7:$AB1136)+1,""))</f>
        <v/>
      </c>
    </row>
    <row r="1138" customFormat="false" ht="15" hidden="false" customHeight="false" outlineLevel="0" collapsed="false">
      <c r="L1138" s="37" t="str">
        <f aca="false">IF(INDEX($A1138:$J1138,$L$6)&lt;&gt;"",TRIM(LEFT(INDEX($A1138:$J1138,$L$6),FIND("(",INDEX($A1138:$J1138,$L$6)&amp;"(")-1)),L1137)</f>
        <v>Building Value Proposition</v>
      </c>
      <c r="M1138" s="37" t="str">
        <f aca="false">IF(INDEX($A1138:$J1138,$M$6)="","",INDEX($A1138:$J1138,$M$6)&amp;"")</f>
        <v/>
      </c>
      <c r="N1138" s="37" t="str">
        <f aca="false">IF($M1138="","",TRIM(INDEX($A1138:$J1138,$N$6)&amp;""))</f>
        <v/>
      </c>
      <c r="O1138" s="37" t="str">
        <f aca="false">IF($M1138="","",TRIM(INDEX($A1138:$J1138,$O$6)&amp;""))</f>
        <v/>
      </c>
      <c r="P1138" s="37" t="str">
        <f aca="false">IF($M1138="","",IFERROR(IF(INDEX(Settings!$B$41:$B$50,MATCH(O1138,Settings!$A$41:$A$50,0))&amp;""="","UNMAPPED",INDEX(Settings!$B$41:$B$50,MATCH(O1138,Settings!$A$41:$A$50,0))&amp;""),"UNMAPPED"))</f>
        <v/>
      </c>
      <c r="Q1138" s="38" t="n">
        <f aca="false">IF($M1138="",0,N(INDEX($A1138:$J1138,$Q$6)))</f>
        <v>0</v>
      </c>
      <c r="R1138" s="39" t="str">
        <f aca="false">IF($M1138="","",INDEX($A1138:$J1138,$R$6))</f>
        <v/>
      </c>
      <c r="S1138" s="37" t="str">
        <f aca="false">IF($M1138="","",IFERROR(INDEX(Settings!$B$27:$B$36,MATCH(L1138,Settings!$A$27:$A$36,0))&amp;"","UNMAPPED"))</f>
        <v/>
      </c>
      <c r="T1138" s="37" t="str">
        <f aca="false">IF($M1138="","",IF(NOT(ISNUMBER(R1138)),"NO DATE",IF(S1138="Won",IF(R1138&gt;Settings!$B$5,"Backlog","Delivered"),IF(S1138="Open",IF(R1138&gt;Settings!$B$5,"Pipeline","Overdue"),IF(S1138="Lost","Lost","UNMAPPED")))))</f>
        <v/>
      </c>
      <c r="U1138" s="40" t="n">
        <f aca="false">IF(T1138="Backlog",1,IF(OR(T1138="Pipeline",T1138="Overdue"),N(INDEX(Settings!$C$27:$C$36,MATCH(L1138,Settings!$A$27:$A$36,0))),0))</f>
        <v>0</v>
      </c>
      <c r="V1138" s="38" t="n">
        <f aca="false">Q1138*U1138</f>
        <v>0</v>
      </c>
      <c r="W1138" s="41" t="str">
        <f aca="false">IF($M1138="","",IF(T1138="Overdue",IF(Settings!$B$8="Yes",Settings!$B$7,""),IF(ISNUMBER(R1138),DATE(YEAR(R1138),MONTH(R1138),1),"")))</f>
        <v/>
      </c>
      <c r="X1138" s="38" t="n">
        <f aca="false">IF(AND(OR(T1138="Backlog",T1138="Pipeline",T1138="Overdue"),ISNUMBER(W1138)),IF(W1138&lt;=Settings!$B$6,V1138,0),0)</f>
        <v>0</v>
      </c>
      <c r="Y1138" s="38" t="n">
        <f aca="false">IF(AND(OR(T1138="Backlog",T1138="Pipeline",T1138="Overdue"),ISNUMBER(W1138)),IF(W1138&lt;=Settings!$B$6,Q1138,0),0)</f>
        <v>0</v>
      </c>
      <c r="Z1138" s="38" t="n">
        <f aca="false">IF(Y1138=0,0,IF(T1138="Backlog",Q1138,Q1138*Dashboard!$C$10))</f>
        <v>0</v>
      </c>
      <c r="AA1138" s="37" t="n">
        <f aca="false">IF($N1138="",0,IF(COUNTIF(Dashboard!$C$13:$C$22,$N1138)&gt;0,1,0))</f>
        <v>0</v>
      </c>
      <c r="AB1138" s="37" t="str">
        <f aca="false">IF($N1138="","",IF(COUNTIF($N$8:$N1138,$N1138)=1,MAX($AB$7:$AB1137)+1,""))</f>
        <v/>
      </c>
    </row>
    <row r="1139" customFormat="false" ht="15" hidden="false" customHeight="false" outlineLevel="0" collapsed="false">
      <c r="L1139" s="37" t="str">
        <f aca="false">IF(INDEX($A1139:$J1139,$L$6)&lt;&gt;"",TRIM(LEFT(INDEX($A1139:$J1139,$L$6),FIND("(",INDEX($A1139:$J1139,$L$6)&amp;"(")-1)),L1138)</f>
        <v>Building Value Proposition</v>
      </c>
      <c r="M1139" s="37" t="str">
        <f aca="false">IF(INDEX($A1139:$J1139,$M$6)="","",INDEX($A1139:$J1139,$M$6)&amp;"")</f>
        <v/>
      </c>
      <c r="N1139" s="37" t="str">
        <f aca="false">IF($M1139="","",TRIM(INDEX($A1139:$J1139,$N$6)&amp;""))</f>
        <v/>
      </c>
      <c r="O1139" s="37" t="str">
        <f aca="false">IF($M1139="","",TRIM(INDEX($A1139:$J1139,$O$6)&amp;""))</f>
        <v/>
      </c>
      <c r="P1139" s="37" t="str">
        <f aca="false">IF($M1139="","",IFERROR(IF(INDEX(Settings!$B$41:$B$50,MATCH(O1139,Settings!$A$41:$A$50,0))&amp;""="","UNMAPPED",INDEX(Settings!$B$41:$B$50,MATCH(O1139,Settings!$A$41:$A$50,0))&amp;""),"UNMAPPED"))</f>
        <v/>
      </c>
      <c r="Q1139" s="38" t="n">
        <f aca="false">IF($M1139="",0,N(INDEX($A1139:$J1139,$Q$6)))</f>
        <v>0</v>
      </c>
      <c r="R1139" s="39" t="str">
        <f aca="false">IF($M1139="","",INDEX($A1139:$J1139,$R$6))</f>
        <v/>
      </c>
      <c r="S1139" s="37" t="str">
        <f aca="false">IF($M1139="","",IFERROR(INDEX(Settings!$B$27:$B$36,MATCH(L1139,Settings!$A$27:$A$36,0))&amp;"","UNMAPPED"))</f>
        <v/>
      </c>
      <c r="T1139" s="37" t="str">
        <f aca="false">IF($M1139="","",IF(NOT(ISNUMBER(R1139)),"NO DATE",IF(S1139="Won",IF(R1139&gt;Settings!$B$5,"Backlog","Delivered"),IF(S1139="Open",IF(R1139&gt;Settings!$B$5,"Pipeline","Overdue"),IF(S1139="Lost","Lost","UNMAPPED")))))</f>
        <v/>
      </c>
      <c r="U1139" s="40" t="n">
        <f aca="false">IF(T1139="Backlog",1,IF(OR(T1139="Pipeline",T1139="Overdue"),N(INDEX(Settings!$C$27:$C$36,MATCH(L1139,Settings!$A$27:$A$36,0))),0))</f>
        <v>0</v>
      </c>
      <c r="V1139" s="38" t="n">
        <f aca="false">Q1139*U1139</f>
        <v>0</v>
      </c>
      <c r="W1139" s="41" t="str">
        <f aca="false">IF($M1139="","",IF(T1139="Overdue",IF(Settings!$B$8="Yes",Settings!$B$7,""),IF(ISNUMBER(R1139),DATE(YEAR(R1139),MONTH(R1139),1),"")))</f>
        <v/>
      </c>
      <c r="X1139" s="38" t="n">
        <f aca="false">IF(AND(OR(T1139="Backlog",T1139="Pipeline",T1139="Overdue"),ISNUMBER(W1139)),IF(W1139&lt;=Settings!$B$6,V1139,0),0)</f>
        <v>0</v>
      </c>
      <c r="Y1139" s="38" t="n">
        <f aca="false">IF(AND(OR(T1139="Backlog",T1139="Pipeline",T1139="Overdue"),ISNUMBER(W1139)),IF(W1139&lt;=Settings!$B$6,Q1139,0),0)</f>
        <v>0</v>
      </c>
      <c r="Z1139" s="38" t="n">
        <f aca="false">IF(Y1139=0,0,IF(T1139="Backlog",Q1139,Q1139*Dashboard!$C$10))</f>
        <v>0</v>
      </c>
      <c r="AA1139" s="37" t="n">
        <f aca="false">IF($N1139="",0,IF(COUNTIF(Dashboard!$C$13:$C$22,$N1139)&gt;0,1,0))</f>
        <v>0</v>
      </c>
      <c r="AB1139" s="37" t="str">
        <f aca="false">IF($N1139="","",IF(COUNTIF($N$8:$N1139,$N1139)=1,MAX($AB$7:$AB1138)+1,""))</f>
        <v/>
      </c>
    </row>
    <row r="1140" customFormat="false" ht="15" hidden="false" customHeight="false" outlineLevel="0" collapsed="false">
      <c r="L1140" s="37" t="str">
        <f aca="false">IF(INDEX($A1140:$J1140,$L$6)&lt;&gt;"",TRIM(LEFT(INDEX($A1140:$J1140,$L$6),FIND("(",INDEX($A1140:$J1140,$L$6)&amp;"(")-1)),L1139)</f>
        <v>Building Value Proposition</v>
      </c>
      <c r="M1140" s="37" t="str">
        <f aca="false">IF(INDEX($A1140:$J1140,$M$6)="","",INDEX($A1140:$J1140,$M$6)&amp;"")</f>
        <v/>
      </c>
      <c r="N1140" s="37" t="str">
        <f aca="false">IF($M1140="","",TRIM(INDEX($A1140:$J1140,$N$6)&amp;""))</f>
        <v/>
      </c>
      <c r="O1140" s="37" t="str">
        <f aca="false">IF($M1140="","",TRIM(INDEX($A1140:$J1140,$O$6)&amp;""))</f>
        <v/>
      </c>
      <c r="P1140" s="37" t="str">
        <f aca="false">IF($M1140="","",IFERROR(IF(INDEX(Settings!$B$41:$B$50,MATCH(O1140,Settings!$A$41:$A$50,0))&amp;""="","UNMAPPED",INDEX(Settings!$B$41:$B$50,MATCH(O1140,Settings!$A$41:$A$50,0))&amp;""),"UNMAPPED"))</f>
        <v/>
      </c>
      <c r="Q1140" s="38" t="n">
        <f aca="false">IF($M1140="",0,N(INDEX($A1140:$J1140,$Q$6)))</f>
        <v>0</v>
      </c>
      <c r="R1140" s="39" t="str">
        <f aca="false">IF($M1140="","",INDEX($A1140:$J1140,$R$6))</f>
        <v/>
      </c>
      <c r="S1140" s="37" t="str">
        <f aca="false">IF($M1140="","",IFERROR(INDEX(Settings!$B$27:$B$36,MATCH(L1140,Settings!$A$27:$A$36,0))&amp;"","UNMAPPED"))</f>
        <v/>
      </c>
      <c r="T1140" s="37" t="str">
        <f aca="false">IF($M1140="","",IF(NOT(ISNUMBER(R1140)),"NO DATE",IF(S1140="Won",IF(R1140&gt;Settings!$B$5,"Backlog","Delivered"),IF(S1140="Open",IF(R1140&gt;Settings!$B$5,"Pipeline","Overdue"),IF(S1140="Lost","Lost","UNMAPPED")))))</f>
        <v/>
      </c>
      <c r="U1140" s="40" t="n">
        <f aca="false">IF(T1140="Backlog",1,IF(OR(T1140="Pipeline",T1140="Overdue"),N(INDEX(Settings!$C$27:$C$36,MATCH(L1140,Settings!$A$27:$A$36,0))),0))</f>
        <v>0</v>
      </c>
      <c r="V1140" s="38" t="n">
        <f aca="false">Q1140*U1140</f>
        <v>0</v>
      </c>
      <c r="W1140" s="41" t="str">
        <f aca="false">IF($M1140="","",IF(T1140="Overdue",IF(Settings!$B$8="Yes",Settings!$B$7,""),IF(ISNUMBER(R1140),DATE(YEAR(R1140),MONTH(R1140),1),"")))</f>
        <v/>
      </c>
      <c r="X1140" s="38" t="n">
        <f aca="false">IF(AND(OR(T1140="Backlog",T1140="Pipeline",T1140="Overdue"),ISNUMBER(W1140)),IF(W1140&lt;=Settings!$B$6,V1140,0),0)</f>
        <v>0</v>
      </c>
      <c r="Y1140" s="38" t="n">
        <f aca="false">IF(AND(OR(T1140="Backlog",T1140="Pipeline",T1140="Overdue"),ISNUMBER(W1140)),IF(W1140&lt;=Settings!$B$6,Q1140,0),0)</f>
        <v>0</v>
      </c>
      <c r="Z1140" s="38" t="n">
        <f aca="false">IF(Y1140=0,0,IF(T1140="Backlog",Q1140,Q1140*Dashboard!$C$10))</f>
        <v>0</v>
      </c>
      <c r="AA1140" s="37" t="n">
        <f aca="false">IF($N1140="",0,IF(COUNTIF(Dashboard!$C$13:$C$22,$N1140)&gt;0,1,0))</f>
        <v>0</v>
      </c>
      <c r="AB1140" s="37" t="str">
        <f aca="false">IF($N1140="","",IF(COUNTIF($N$8:$N1140,$N1140)=1,MAX($AB$7:$AB1139)+1,""))</f>
        <v/>
      </c>
    </row>
    <row r="1141" customFormat="false" ht="15" hidden="false" customHeight="false" outlineLevel="0" collapsed="false">
      <c r="L1141" s="37" t="str">
        <f aca="false">IF(INDEX($A1141:$J1141,$L$6)&lt;&gt;"",TRIM(LEFT(INDEX($A1141:$J1141,$L$6),FIND("(",INDEX($A1141:$J1141,$L$6)&amp;"(")-1)),L1140)</f>
        <v>Building Value Proposition</v>
      </c>
      <c r="M1141" s="37" t="str">
        <f aca="false">IF(INDEX($A1141:$J1141,$M$6)="","",INDEX($A1141:$J1141,$M$6)&amp;"")</f>
        <v/>
      </c>
      <c r="N1141" s="37" t="str">
        <f aca="false">IF($M1141="","",TRIM(INDEX($A1141:$J1141,$N$6)&amp;""))</f>
        <v/>
      </c>
      <c r="O1141" s="37" t="str">
        <f aca="false">IF($M1141="","",TRIM(INDEX($A1141:$J1141,$O$6)&amp;""))</f>
        <v/>
      </c>
      <c r="P1141" s="37" t="str">
        <f aca="false">IF($M1141="","",IFERROR(IF(INDEX(Settings!$B$41:$B$50,MATCH(O1141,Settings!$A$41:$A$50,0))&amp;""="","UNMAPPED",INDEX(Settings!$B$41:$B$50,MATCH(O1141,Settings!$A$41:$A$50,0))&amp;""),"UNMAPPED"))</f>
        <v/>
      </c>
      <c r="Q1141" s="38" t="n">
        <f aca="false">IF($M1141="",0,N(INDEX($A1141:$J1141,$Q$6)))</f>
        <v>0</v>
      </c>
      <c r="R1141" s="39" t="str">
        <f aca="false">IF($M1141="","",INDEX($A1141:$J1141,$R$6))</f>
        <v/>
      </c>
      <c r="S1141" s="37" t="str">
        <f aca="false">IF($M1141="","",IFERROR(INDEX(Settings!$B$27:$B$36,MATCH(L1141,Settings!$A$27:$A$36,0))&amp;"","UNMAPPED"))</f>
        <v/>
      </c>
      <c r="T1141" s="37" t="str">
        <f aca="false">IF($M1141="","",IF(NOT(ISNUMBER(R1141)),"NO DATE",IF(S1141="Won",IF(R1141&gt;Settings!$B$5,"Backlog","Delivered"),IF(S1141="Open",IF(R1141&gt;Settings!$B$5,"Pipeline","Overdue"),IF(S1141="Lost","Lost","UNMAPPED")))))</f>
        <v/>
      </c>
      <c r="U1141" s="40" t="n">
        <f aca="false">IF(T1141="Backlog",1,IF(OR(T1141="Pipeline",T1141="Overdue"),N(INDEX(Settings!$C$27:$C$36,MATCH(L1141,Settings!$A$27:$A$36,0))),0))</f>
        <v>0</v>
      </c>
      <c r="V1141" s="38" t="n">
        <f aca="false">Q1141*U1141</f>
        <v>0</v>
      </c>
      <c r="W1141" s="41" t="str">
        <f aca="false">IF($M1141="","",IF(T1141="Overdue",IF(Settings!$B$8="Yes",Settings!$B$7,""),IF(ISNUMBER(R1141),DATE(YEAR(R1141),MONTH(R1141),1),"")))</f>
        <v/>
      </c>
      <c r="X1141" s="38" t="n">
        <f aca="false">IF(AND(OR(T1141="Backlog",T1141="Pipeline",T1141="Overdue"),ISNUMBER(W1141)),IF(W1141&lt;=Settings!$B$6,V1141,0),0)</f>
        <v>0</v>
      </c>
      <c r="Y1141" s="38" t="n">
        <f aca="false">IF(AND(OR(T1141="Backlog",T1141="Pipeline",T1141="Overdue"),ISNUMBER(W1141)),IF(W1141&lt;=Settings!$B$6,Q1141,0),0)</f>
        <v>0</v>
      </c>
      <c r="Z1141" s="38" t="n">
        <f aca="false">IF(Y1141=0,0,IF(T1141="Backlog",Q1141,Q1141*Dashboard!$C$10))</f>
        <v>0</v>
      </c>
      <c r="AA1141" s="37" t="n">
        <f aca="false">IF($N1141="",0,IF(COUNTIF(Dashboard!$C$13:$C$22,$N1141)&gt;0,1,0))</f>
        <v>0</v>
      </c>
      <c r="AB1141" s="37" t="str">
        <f aca="false">IF($N1141="","",IF(COUNTIF($N$8:$N1141,$N1141)=1,MAX($AB$7:$AB1140)+1,""))</f>
        <v/>
      </c>
    </row>
    <row r="1142" customFormat="false" ht="15" hidden="false" customHeight="false" outlineLevel="0" collapsed="false">
      <c r="L1142" s="37" t="str">
        <f aca="false">IF(INDEX($A1142:$J1142,$L$6)&lt;&gt;"",TRIM(LEFT(INDEX($A1142:$J1142,$L$6),FIND("(",INDEX($A1142:$J1142,$L$6)&amp;"(")-1)),L1141)</f>
        <v>Building Value Proposition</v>
      </c>
      <c r="M1142" s="37" t="str">
        <f aca="false">IF(INDEX($A1142:$J1142,$M$6)="","",INDEX($A1142:$J1142,$M$6)&amp;"")</f>
        <v/>
      </c>
      <c r="N1142" s="37" t="str">
        <f aca="false">IF($M1142="","",TRIM(INDEX($A1142:$J1142,$N$6)&amp;""))</f>
        <v/>
      </c>
      <c r="O1142" s="37" t="str">
        <f aca="false">IF($M1142="","",TRIM(INDEX($A1142:$J1142,$O$6)&amp;""))</f>
        <v/>
      </c>
      <c r="P1142" s="37" t="str">
        <f aca="false">IF($M1142="","",IFERROR(IF(INDEX(Settings!$B$41:$B$50,MATCH(O1142,Settings!$A$41:$A$50,0))&amp;""="","UNMAPPED",INDEX(Settings!$B$41:$B$50,MATCH(O1142,Settings!$A$41:$A$50,0))&amp;""),"UNMAPPED"))</f>
        <v/>
      </c>
      <c r="Q1142" s="38" t="n">
        <f aca="false">IF($M1142="",0,N(INDEX($A1142:$J1142,$Q$6)))</f>
        <v>0</v>
      </c>
      <c r="R1142" s="39" t="str">
        <f aca="false">IF($M1142="","",INDEX($A1142:$J1142,$R$6))</f>
        <v/>
      </c>
      <c r="S1142" s="37" t="str">
        <f aca="false">IF($M1142="","",IFERROR(INDEX(Settings!$B$27:$B$36,MATCH(L1142,Settings!$A$27:$A$36,0))&amp;"","UNMAPPED"))</f>
        <v/>
      </c>
      <c r="T1142" s="37" t="str">
        <f aca="false">IF($M1142="","",IF(NOT(ISNUMBER(R1142)),"NO DATE",IF(S1142="Won",IF(R1142&gt;Settings!$B$5,"Backlog","Delivered"),IF(S1142="Open",IF(R1142&gt;Settings!$B$5,"Pipeline","Overdue"),IF(S1142="Lost","Lost","UNMAPPED")))))</f>
        <v/>
      </c>
      <c r="U1142" s="40" t="n">
        <f aca="false">IF(T1142="Backlog",1,IF(OR(T1142="Pipeline",T1142="Overdue"),N(INDEX(Settings!$C$27:$C$36,MATCH(L1142,Settings!$A$27:$A$36,0))),0))</f>
        <v>0</v>
      </c>
      <c r="V1142" s="38" t="n">
        <f aca="false">Q1142*U1142</f>
        <v>0</v>
      </c>
      <c r="W1142" s="41" t="str">
        <f aca="false">IF($M1142="","",IF(T1142="Overdue",IF(Settings!$B$8="Yes",Settings!$B$7,""),IF(ISNUMBER(R1142),DATE(YEAR(R1142),MONTH(R1142),1),"")))</f>
        <v/>
      </c>
      <c r="X1142" s="38" t="n">
        <f aca="false">IF(AND(OR(T1142="Backlog",T1142="Pipeline",T1142="Overdue"),ISNUMBER(W1142)),IF(W1142&lt;=Settings!$B$6,V1142,0),0)</f>
        <v>0</v>
      </c>
      <c r="Y1142" s="38" t="n">
        <f aca="false">IF(AND(OR(T1142="Backlog",T1142="Pipeline",T1142="Overdue"),ISNUMBER(W1142)),IF(W1142&lt;=Settings!$B$6,Q1142,0),0)</f>
        <v>0</v>
      </c>
      <c r="Z1142" s="38" t="n">
        <f aca="false">IF(Y1142=0,0,IF(T1142="Backlog",Q1142,Q1142*Dashboard!$C$10))</f>
        <v>0</v>
      </c>
      <c r="AA1142" s="37" t="n">
        <f aca="false">IF($N1142="",0,IF(COUNTIF(Dashboard!$C$13:$C$22,$N1142)&gt;0,1,0))</f>
        <v>0</v>
      </c>
      <c r="AB1142" s="37" t="str">
        <f aca="false">IF($N1142="","",IF(COUNTIF($N$8:$N1142,$N1142)=1,MAX($AB$7:$AB1141)+1,""))</f>
        <v/>
      </c>
    </row>
    <row r="1143" customFormat="false" ht="15" hidden="false" customHeight="false" outlineLevel="0" collapsed="false">
      <c r="L1143" s="37" t="str">
        <f aca="false">IF(INDEX($A1143:$J1143,$L$6)&lt;&gt;"",TRIM(LEFT(INDEX($A1143:$J1143,$L$6),FIND("(",INDEX($A1143:$J1143,$L$6)&amp;"(")-1)),L1142)</f>
        <v>Building Value Proposition</v>
      </c>
      <c r="M1143" s="37" t="str">
        <f aca="false">IF(INDEX($A1143:$J1143,$M$6)="","",INDEX($A1143:$J1143,$M$6)&amp;"")</f>
        <v/>
      </c>
      <c r="N1143" s="37" t="str">
        <f aca="false">IF($M1143="","",TRIM(INDEX($A1143:$J1143,$N$6)&amp;""))</f>
        <v/>
      </c>
      <c r="O1143" s="37" t="str">
        <f aca="false">IF($M1143="","",TRIM(INDEX($A1143:$J1143,$O$6)&amp;""))</f>
        <v/>
      </c>
      <c r="P1143" s="37" t="str">
        <f aca="false">IF($M1143="","",IFERROR(IF(INDEX(Settings!$B$41:$B$50,MATCH(O1143,Settings!$A$41:$A$50,0))&amp;""="","UNMAPPED",INDEX(Settings!$B$41:$B$50,MATCH(O1143,Settings!$A$41:$A$50,0))&amp;""),"UNMAPPED"))</f>
        <v/>
      </c>
      <c r="Q1143" s="38" t="n">
        <f aca="false">IF($M1143="",0,N(INDEX($A1143:$J1143,$Q$6)))</f>
        <v>0</v>
      </c>
      <c r="R1143" s="39" t="str">
        <f aca="false">IF($M1143="","",INDEX($A1143:$J1143,$R$6))</f>
        <v/>
      </c>
      <c r="S1143" s="37" t="str">
        <f aca="false">IF($M1143="","",IFERROR(INDEX(Settings!$B$27:$B$36,MATCH(L1143,Settings!$A$27:$A$36,0))&amp;"","UNMAPPED"))</f>
        <v/>
      </c>
      <c r="T1143" s="37" t="str">
        <f aca="false">IF($M1143="","",IF(NOT(ISNUMBER(R1143)),"NO DATE",IF(S1143="Won",IF(R1143&gt;Settings!$B$5,"Backlog","Delivered"),IF(S1143="Open",IF(R1143&gt;Settings!$B$5,"Pipeline","Overdue"),IF(S1143="Lost","Lost","UNMAPPED")))))</f>
        <v/>
      </c>
      <c r="U1143" s="40" t="n">
        <f aca="false">IF(T1143="Backlog",1,IF(OR(T1143="Pipeline",T1143="Overdue"),N(INDEX(Settings!$C$27:$C$36,MATCH(L1143,Settings!$A$27:$A$36,0))),0))</f>
        <v>0</v>
      </c>
      <c r="V1143" s="38" t="n">
        <f aca="false">Q1143*U1143</f>
        <v>0</v>
      </c>
      <c r="W1143" s="41" t="str">
        <f aca="false">IF($M1143="","",IF(T1143="Overdue",IF(Settings!$B$8="Yes",Settings!$B$7,""),IF(ISNUMBER(R1143),DATE(YEAR(R1143),MONTH(R1143),1),"")))</f>
        <v/>
      </c>
      <c r="X1143" s="38" t="n">
        <f aca="false">IF(AND(OR(T1143="Backlog",T1143="Pipeline",T1143="Overdue"),ISNUMBER(W1143)),IF(W1143&lt;=Settings!$B$6,V1143,0),0)</f>
        <v>0</v>
      </c>
      <c r="Y1143" s="38" t="n">
        <f aca="false">IF(AND(OR(T1143="Backlog",T1143="Pipeline",T1143="Overdue"),ISNUMBER(W1143)),IF(W1143&lt;=Settings!$B$6,Q1143,0),0)</f>
        <v>0</v>
      </c>
      <c r="Z1143" s="38" t="n">
        <f aca="false">IF(Y1143=0,0,IF(T1143="Backlog",Q1143,Q1143*Dashboard!$C$10))</f>
        <v>0</v>
      </c>
      <c r="AA1143" s="37" t="n">
        <f aca="false">IF($N1143="",0,IF(COUNTIF(Dashboard!$C$13:$C$22,$N1143)&gt;0,1,0))</f>
        <v>0</v>
      </c>
      <c r="AB1143" s="37" t="str">
        <f aca="false">IF($N1143="","",IF(COUNTIF($N$8:$N1143,$N1143)=1,MAX($AB$7:$AB1142)+1,""))</f>
        <v/>
      </c>
    </row>
    <row r="1144" customFormat="false" ht="15" hidden="false" customHeight="false" outlineLevel="0" collapsed="false">
      <c r="L1144" s="37" t="str">
        <f aca="false">IF(INDEX($A1144:$J1144,$L$6)&lt;&gt;"",TRIM(LEFT(INDEX($A1144:$J1144,$L$6),FIND("(",INDEX($A1144:$J1144,$L$6)&amp;"(")-1)),L1143)</f>
        <v>Building Value Proposition</v>
      </c>
      <c r="M1144" s="37" t="str">
        <f aca="false">IF(INDEX($A1144:$J1144,$M$6)="","",INDEX($A1144:$J1144,$M$6)&amp;"")</f>
        <v/>
      </c>
      <c r="N1144" s="37" t="str">
        <f aca="false">IF($M1144="","",TRIM(INDEX($A1144:$J1144,$N$6)&amp;""))</f>
        <v/>
      </c>
      <c r="O1144" s="37" t="str">
        <f aca="false">IF($M1144="","",TRIM(INDEX($A1144:$J1144,$O$6)&amp;""))</f>
        <v/>
      </c>
      <c r="P1144" s="37" t="str">
        <f aca="false">IF($M1144="","",IFERROR(IF(INDEX(Settings!$B$41:$B$50,MATCH(O1144,Settings!$A$41:$A$50,0))&amp;""="","UNMAPPED",INDEX(Settings!$B$41:$B$50,MATCH(O1144,Settings!$A$41:$A$50,0))&amp;""),"UNMAPPED"))</f>
        <v/>
      </c>
      <c r="Q1144" s="38" t="n">
        <f aca="false">IF($M1144="",0,N(INDEX($A1144:$J1144,$Q$6)))</f>
        <v>0</v>
      </c>
      <c r="R1144" s="39" t="str">
        <f aca="false">IF($M1144="","",INDEX($A1144:$J1144,$R$6))</f>
        <v/>
      </c>
      <c r="S1144" s="37" t="str">
        <f aca="false">IF($M1144="","",IFERROR(INDEX(Settings!$B$27:$B$36,MATCH(L1144,Settings!$A$27:$A$36,0))&amp;"","UNMAPPED"))</f>
        <v/>
      </c>
      <c r="T1144" s="37" t="str">
        <f aca="false">IF($M1144="","",IF(NOT(ISNUMBER(R1144)),"NO DATE",IF(S1144="Won",IF(R1144&gt;Settings!$B$5,"Backlog","Delivered"),IF(S1144="Open",IF(R1144&gt;Settings!$B$5,"Pipeline","Overdue"),IF(S1144="Lost","Lost","UNMAPPED")))))</f>
        <v/>
      </c>
      <c r="U1144" s="40" t="n">
        <f aca="false">IF(T1144="Backlog",1,IF(OR(T1144="Pipeline",T1144="Overdue"),N(INDEX(Settings!$C$27:$C$36,MATCH(L1144,Settings!$A$27:$A$36,0))),0))</f>
        <v>0</v>
      </c>
      <c r="V1144" s="38" t="n">
        <f aca="false">Q1144*U1144</f>
        <v>0</v>
      </c>
      <c r="W1144" s="41" t="str">
        <f aca="false">IF($M1144="","",IF(T1144="Overdue",IF(Settings!$B$8="Yes",Settings!$B$7,""),IF(ISNUMBER(R1144),DATE(YEAR(R1144),MONTH(R1144),1),"")))</f>
        <v/>
      </c>
      <c r="X1144" s="38" t="n">
        <f aca="false">IF(AND(OR(T1144="Backlog",T1144="Pipeline",T1144="Overdue"),ISNUMBER(W1144)),IF(W1144&lt;=Settings!$B$6,V1144,0),0)</f>
        <v>0</v>
      </c>
      <c r="Y1144" s="38" t="n">
        <f aca="false">IF(AND(OR(T1144="Backlog",T1144="Pipeline",T1144="Overdue"),ISNUMBER(W1144)),IF(W1144&lt;=Settings!$B$6,Q1144,0),0)</f>
        <v>0</v>
      </c>
      <c r="Z1144" s="38" t="n">
        <f aca="false">IF(Y1144=0,0,IF(T1144="Backlog",Q1144,Q1144*Dashboard!$C$10))</f>
        <v>0</v>
      </c>
      <c r="AA1144" s="37" t="n">
        <f aca="false">IF($N1144="",0,IF(COUNTIF(Dashboard!$C$13:$C$22,$N1144)&gt;0,1,0))</f>
        <v>0</v>
      </c>
      <c r="AB1144" s="37" t="str">
        <f aca="false">IF($N1144="","",IF(COUNTIF($N$8:$N1144,$N1144)=1,MAX($AB$7:$AB1143)+1,""))</f>
        <v/>
      </c>
    </row>
    <row r="1145" customFormat="false" ht="15" hidden="false" customHeight="false" outlineLevel="0" collapsed="false">
      <c r="L1145" s="37" t="str">
        <f aca="false">IF(INDEX($A1145:$J1145,$L$6)&lt;&gt;"",TRIM(LEFT(INDEX($A1145:$J1145,$L$6),FIND("(",INDEX($A1145:$J1145,$L$6)&amp;"(")-1)),L1144)</f>
        <v>Building Value Proposition</v>
      </c>
      <c r="M1145" s="37" t="str">
        <f aca="false">IF(INDEX($A1145:$J1145,$M$6)="","",INDEX($A1145:$J1145,$M$6)&amp;"")</f>
        <v/>
      </c>
      <c r="N1145" s="37" t="str">
        <f aca="false">IF($M1145="","",TRIM(INDEX($A1145:$J1145,$N$6)&amp;""))</f>
        <v/>
      </c>
      <c r="O1145" s="37" t="str">
        <f aca="false">IF($M1145="","",TRIM(INDEX($A1145:$J1145,$O$6)&amp;""))</f>
        <v/>
      </c>
      <c r="P1145" s="37" t="str">
        <f aca="false">IF($M1145="","",IFERROR(IF(INDEX(Settings!$B$41:$B$50,MATCH(O1145,Settings!$A$41:$A$50,0))&amp;""="","UNMAPPED",INDEX(Settings!$B$41:$B$50,MATCH(O1145,Settings!$A$41:$A$50,0))&amp;""),"UNMAPPED"))</f>
        <v/>
      </c>
      <c r="Q1145" s="38" t="n">
        <f aca="false">IF($M1145="",0,N(INDEX($A1145:$J1145,$Q$6)))</f>
        <v>0</v>
      </c>
      <c r="R1145" s="39" t="str">
        <f aca="false">IF($M1145="","",INDEX($A1145:$J1145,$R$6))</f>
        <v/>
      </c>
      <c r="S1145" s="37" t="str">
        <f aca="false">IF($M1145="","",IFERROR(INDEX(Settings!$B$27:$B$36,MATCH(L1145,Settings!$A$27:$A$36,0))&amp;"","UNMAPPED"))</f>
        <v/>
      </c>
      <c r="T1145" s="37" t="str">
        <f aca="false">IF($M1145="","",IF(NOT(ISNUMBER(R1145)),"NO DATE",IF(S1145="Won",IF(R1145&gt;Settings!$B$5,"Backlog","Delivered"),IF(S1145="Open",IF(R1145&gt;Settings!$B$5,"Pipeline","Overdue"),IF(S1145="Lost","Lost","UNMAPPED")))))</f>
        <v/>
      </c>
      <c r="U1145" s="40" t="n">
        <f aca="false">IF(T1145="Backlog",1,IF(OR(T1145="Pipeline",T1145="Overdue"),N(INDEX(Settings!$C$27:$C$36,MATCH(L1145,Settings!$A$27:$A$36,0))),0))</f>
        <v>0</v>
      </c>
      <c r="V1145" s="38" t="n">
        <f aca="false">Q1145*U1145</f>
        <v>0</v>
      </c>
      <c r="W1145" s="41" t="str">
        <f aca="false">IF($M1145="","",IF(T1145="Overdue",IF(Settings!$B$8="Yes",Settings!$B$7,""),IF(ISNUMBER(R1145),DATE(YEAR(R1145),MONTH(R1145),1),"")))</f>
        <v/>
      </c>
      <c r="X1145" s="38" t="n">
        <f aca="false">IF(AND(OR(T1145="Backlog",T1145="Pipeline",T1145="Overdue"),ISNUMBER(W1145)),IF(W1145&lt;=Settings!$B$6,V1145,0),0)</f>
        <v>0</v>
      </c>
      <c r="Y1145" s="38" t="n">
        <f aca="false">IF(AND(OR(T1145="Backlog",T1145="Pipeline",T1145="Overdue"),ISNUMBER(W1145)),IF(W1145&lt;=Settings!$B$6,Q1145,0),0)</f>
        <v>0</v>
      </c>
      <c r="Z1145" s="38" t="n">
        <f aca="false">IF(Y1145=0,0,IF(T1145="Backlog",Q1145,Q1145*Dashboard!$C$10))</f>
        <v>0</v>
      </c>
      <c r="AA1145" s="37" t="n">
        <f aca="false">IF($N1145="",0,IF(COUNTIF(Dashboard!$C$13:$C$22,$N1145)&gt;0,1,0))</f>
        <v>0</v>
      </c>
      <c r="AB1145" s="37" t="str">
        <f aca="false">IF($N1145="","",IF(COUNTIF($N$8:$N1145,$N1145)=1,MAX($AB$7:$AB1144)+1,""))</f>
        <v/>
      </c>
    </row>
    <row r="1146" customFormat="false" ht="15" hidden="false" customHeight="false" outlineLevel="0" collapsed="false">
      <c r="L1146" s="37" t="str">
        <f aca="false">IF(INDEX($A1146:$J1146,$L$6)&lt;&gt;"",TRIM(LEFT(INDEX($A1146:$J1146,$L$6),FIND("(",INDEX($A1146:$J1146,$L$6)&amp;"(")-1)),L1145)</f>
        <v>Building Value Proposition</v>
      </c>
      <c r="M1146" s="37" t="str">
        <f aca="false">IF(INDEX($A1146:$J1146,$M$6)="","",INDEX($A1146:$J1146,$M$6)&amp;"")</f>
        <v/>
      </c>
      <c r="N1146" s="37" t="str">
        <f aca="false">IF($M1146="","",TRIM(INDEX($A1146:$J1146,$N$6)&amp;""))</f>
        <v/>
      </c>
      <c r="O1146" s="37" t="str">
        <f aca="false">IF($M1146="","",TRIM(INDEX($A1146:$J1146,$O$6)&amp;""))</f>
        <v/>
      </c>
      <c r="P1146" s="37" t="str">
        <f aca="false">IF($M1146="","",IFERROR(IF(INDEX(Settings!$B$41:$B$50,MATCH(O1146,Settings!$A$41:$A$50,0))&amp;""="","UNMAPPED",INDEX(Settings!$B$41:$B$50,MATCH(O1146,Settings!$A$41:$A$50,0))&amp;""),"UNMAPPED"))</f>
        <v/>
      </c>
      <c r="Q1146" s="38" t="n">
        <f aca="false">IF($M1146="",0,N(INDEX($A1146:$J1146,$Q$6)))</f>
        <v>0</v>
      </c>
      <c r="R1146" s="39" t="str">
        <f aca="false">IF($M1146="","",INDEX($A1146:$J1146,$R$6))</f>
        <v/>
      </c>
      <c r="S1146" s="37" t="str">
        <f aca="false">IF($M1146="","",IFERROR(INDEX(Settings!$B$27:$B$36,MATCH(L1146,Settings!$A$27:$A$36,0))&amp;"","UNMAPPED"))</f>
        <v/>
      </c>
      <c r="T1146" s="37" t="str">
        <f aca="false">IF($M1146="","",IF(NOT(ISNUMBER(R1146)),"NO DATE",IF(S1146="Won",IF(R1146&gt;Settings!$B$5,"Backlog","Delivered"),IF(S1146="Open",IF(R1146&gt;Settings!$B$5,"Pipeline","Overdue"),IF(S1146="Lost","Lost","UNMAPPED")))))</f>
        <v/>
      </c>
      <c r="U1146" s="40" t="n">
        <f aca="false">IF(T1146="Backlog",1,IF(OR(T1146="Pipeline",T1146="Overdue"),N(INDEX(Settings!$C$27:$C$36,MATCH(L1146,Settings!$A$27:$A$36,0))),0))</f>
        <v>0</v>
      </c>
      <c r="V1146" s="38" t="n">
        <f aca="false">Q1146*U1146</f>
        <v>0</v>
      </c>
      <c r="W1146" s="41" t="str">
        <f aca="false">IF($M1146="","",IF(T1146="Overdue",IF(Settings!$B$8="Yes",Settings!$B$7,""),IF(ISNUMBER(R1146),DATE(YEAR(R1146),MONTH(R1146),1),"")))</f>
        <v/>
      </c>
      <c r="X1146" s="38" t="n">
        <f aca="false">IF(AND(OR(T1146="Backlog",T1146="Pipeline",T1146="Overdue"),ISNUMBER(W1146)),IF(W1146&lt;=Settings!$B$6,V1146,0),0)</f>
        <v>0</v>
      </c>
      <c r="Y1146" s="38" t="n">
        <f aca="false">IF(AND(OR(T1146="Backlog",T1146="Pipeline",T1146="Overdue"),ISNUMBER(W1146)),IF(W1146&lt;=Settings!$B$6,Q1146,0),0)</f>
        <v>0</v>
      </c>
      <c r="Z1146" s="38" t="n">
        <f aca="false">IF(Y1146=0,0,IF(T1146="Backlog",Q1146,Q1146*Dashboard!$C$10))</f>
        <v>0</v>
      </c>
      <c r="AA1146" s="37" t="n">
        <f aca="false">IF($N1146="",0,IF(COUNTIF(Dashboard!$C$13:$C$22,$N1146)&gt;0,1,0))</f>
        <v>0</v>
      </c>
      <c r="AB1146" s="37" t="str">
        <f aca="false">IF($N1146="","",IF(COUNTIF($N$8:$N1146,$N1146)=1,MAX($AB$7:$AB1145)+1,""))</f>
        <v/>
      </c>
    </row>
    <row r="1147" customFormat="false" ht="15" hidden="false" customHeight="false" outlineLevel="0" collapsed="false">
      <c r="L1147" s="37" t="str">
        <f aca="false">IF(INDEX($A1147:$J1147,$L$6)&lt;&gt;"",TRIM(LEFT(INDEX($A1147:$J1147,$L$6),FIND("(",INDEX($A1147:$J1147,$L$6)&amp;"(")-1)),L1146)</f>
        <v>Building Value Proposition</v>
      </c>
      <c r="M1147" s="37" t="str">
        <f aca="false">IF(INDEX($A1147:$J1147,$M$6)="","",INDEX($A1147:$J1147,$M$6)&amp;"")</f>
        <v/>
      </c>
      <c r="N1147" s="37" t="str">
        <f aca="false">IF($M1147="","",TRIM(INDEX($A1147:$J1147,$N$6)&amp;""))</f>
        <v/>
      </c>
      <c r="O1147" s="37" t="str">
        <f aca="false">IF($M1147="","",TRIM(INDEX($A1147:$J1147,$O$6)&amp;""))</f>
        <v/>
      </c>
      <c r="P1147" s="37" t="str">
        <f aca="false">IF($M1147="","",IFERROR(IF(INDEX(Settings!$B$41:$B$50,MATCH(O1147,Settings!$A$41:$A$50,0))&amp;""="","UNMAPPED",INDEX(Settings!$B$41:$B$50,MATCH(O1147,Settings!$A$41:$A$50,0))&amp;""),"UNMAPPED"))</f>
        <v/>
      </c>
      <c r="Q1147" s="38" t="n">
        <f aca="false">IF($M1147="",0,N(INDEX($A1147:$J1147,$Q$6)))</f>
        <v>0</v>
      </c>
      <c r="R1147" s="39" t="str">
        <f aca="false">IF($M1147="","",INDEX($A1147:$J1147,$R$6))</f>
        <v/>
      </c>
      <c r="S1147" s="37" t="str">
        <f aca="false">IF($M1147="","",IFERROR(INDEX(Settings!$B$27:$B$36,MATCH(L1147,Settings!$A$27:$A$36,0))&amp;"","UNMAPPED"))</f>
        <v/>
      </c>
      <c r="T1147" s="37" t="str">
        <f aca="false">IF($M1147="","",IF(NOT(ISNUMBER(R1147)),"NO DATE",IF(S1147="Won",IF(R1147&gt;Settings!$B$5,"Backlog","Delivered"),IF(S1147="Open",IF(R1147&gt;Settings!$B$5,"Pipeline","Overdue"),IF(S1147="Lost","Lost","UNMAPPED")))))</f>
        <v/>
      </c>
      <c r="U1147" s="40" t="n">
        <f aca="false">IF(T1147="Backlog",1,IF(OR(T1147="Pipeline",T1147="Overdue"),N(INDEX(Settings!$C$27:$C$36,MATCH(L1147,Settings!$A$27:$A$36,0))),0))</f>
        <v>0</v>
      </c>
      <c r="V1147" s="38" t="n">
        <f aca="false">Q1147*U1147</f>
        <v>0</v>
      </c>
      <c r="W1147" s="41" t="str">
        <f aca="false">IF($M1147="","",IF(T1147="Overdue",IF(Settings!$B$8="Yes",Settings!$B$7,""),IF(ISNUMBER(R1147),DATE(YEAR(R1147),MONTH(R1147),1),"")))</f>
        <v/>
      </c>
      <c r="X1147" s="38" t="n">
        <f aca="false">IF(AND(OR(T1147="Backlog",T1147="Pipeline",T1147="Overdue"),ISNUMBER(W1147)),IF(W1147&lt;=Settings!$B$6,V1147,0),0)</f>
        <v>0</v>
      </c>
      <c r="Y1147" s="38" t="n">
        <f aca="false">IF(AND(OR(T1147="Backlog",T1147="Pipeline",T1147="Overdue"),ISNUMBER(W1147)),IF(W1147&lt;=Settings!$B$6,Q1147,0),0)</f>
        <v>0</v>
      </c>
      <c r="Z1147" s="38" t="n">
        <f aca="false">IF(Y1147=0,0,IF(T1147="Backlog",Q1147,Q1147*Dashboard!$C$10))</f>
        <v>0</v>
      </c>
      <c r="AA1147" s="37" t="n">
        <f aca="false">IF($N1147="",0,IF(COUNTIF(Dashboard!$C$13:$C$22,$N1147)&gt;0,1,0))</f>
        <v>0</v>
      </c>
      <c r="AB1147" s="37" t="str">
        <f aca="false">IF($N1147="","",IF(COUNTIF($N$8:$N1147,$N1147)=1,MAX($AB$7:$AB1146)+1,""))</f>
        <v/>
      </c>
    </row>
    <row r="1148" customFormat="false" ht="15" hidden="false" customHeight="false" outlineLevel="0" collapsed="false">
      <c r="L1148" s="37" t="str">
        <f aca="false">IF(INDEX($A1148:$J1148,$L$6)&lt;&gt;"",TRIM(LEFT(INDEX($A1148:$J1148,$L$6),FIND("(",INDEX($A1148:$J1148,$L$6)&amp;"(")-1)),L1147)</f>
        <v>Building Value Proposition</v>
      </c>
      <c r="M1148" s="37" t="str">
        <f aca="false">IF(INDEX($A1148:$J1148,$M$6)="","",INDEX($A1148:$J1148,$M$6)&amp;"")</f>
        <v/>
      </c>
      <c r="N1148" s="37" t="str">
        <f aca="false">IF($M1148="","",TRIM(INDEX($A1148:$J1148,$N$6)&amp;""))</f>
        <v/>
      </c>
      <c r="O1148" s="37" t="str">
        <f aca="false">IF($M1148="","",TRIM(INDEX($A1148:$J1148,$O$6)&amp;""))</f>
        <v/>
      </c>
      <c r="P1148" s="37" t="str">
        <f aca="false">IF($M1148="","",IFERROR(IF(INDEX(Settings!$B$41:$B$50,MATCH(O1148,Settings!$A$41:$A$50,0))&amp;""="","UNMAPPED",INDEX(Settings!$B$41:$B$50,MATCH(O1148,Settings!$A$41:$A$50,0))&amp;""),"UNMAPPED"))</f>
        <v/>
      </c>
      <c r="Q1148" s="38" t="n">
        <f aca="false">IF($M1148="",0,N(INDEX($A1148:$J1148,$Q$6)))</f>
        <v>0</v>
      </c>
      <c r="R1148" s="39" t="str">
        <f aca="false">IF($M1148="","",INDEX($A1148:$J1148,$R$6))</f>
        <v/>
      </c>
      <c r="S1148" s="37" t="str">
        <f aca="false">IF($M1148="","",IFERROR(INDEX(Settings!$B$27:$B$36,MATCH(L1148,Settings!$A$27:$A$36,0))&amp;"","UNMAPPED"))</f>
        <v/>
      </c>
      <c r="T1148" s="37" t="str">
        <f aca="false">IF($M1148="","",IF(NOT(ISNUMBER(R1148)),"NO DATE",IF(S1148="Won",IF(R1148&gt;Settings!$B$5,"Backlog","Delivered"),IF(S1148="Open",IF(R1148&gt;Settings!$B$5,"Pipeline","Overdue"),IF(S1148="Lost","Lost","UNMAPPED")))))</f>
        <v/>
      </c>
      <c r="U1148" s="40" t="n">
        <f aca="false">IF(T1148="Backlog",1,IF(OR(T1148="Pipeline",T1148="Overdue"),N(INDEX(Settings!$C$27:$C$36,MATCH(L1148,Settings!$A$27:$A$36,0))),0))</f>
        <v>0</v>
      </c>
      <c r="V1148" s="38" t="n">
        <f aca="false">Q1148*U1148</f>
        <v>0</v>
      </c>
      <c r="W1148" s="41" t="str">
        <f aca="false">IF($M1148="","",IF(T1148="Overdue",IF(Settings!$B$8="Yes",Settings!$B$7,""),IF(ISNUMBER(R1148),DATE(YEAR(R1148),MONTH(R1148),1),"")))</f>
        <v/>
      </c>
      <c r="X1148" s="38" t="n">
        <f aca="false">IF(AND(OR(T1148="Backlog",T1148="Pipeline",T1148="Overdue"),ISNUMBER(W1148)),IF(W1148&lt;=Settings!$B$6,V1148,0),0)</f>
        <v>0</v>
      </c>
      <c r="Y1148" s="38" t="n">
        <f aca="false">IF(AND(OR(T1148="Backlog",T1148="Pipeline",T1148="Overdue"),ISNUMBER(W1148)),IF(W1148&lt;=Settings!$B$6,Q1148,0),0)</f>
        <v>0</v>
      </c>
      <c r="Z1148" s="38" t="n">
        <f aca="false">IF(Y1148=0,0,IF(T1148="Backlog",Q1148,Q1148*Dashboard!$C$10))</f>
        <v>0</v>
      </c>
      <c r="AA1148" s="37" t="n">
        <f aca="false">IF($N1148="",0,IF(COUNTIF(Dashboard!$C$13:$C$22,$N1148)&gt;0,1,0))</f>
        <v>0</v>
      </c>
      <c r="AB1148" s="37" t="str">
        <f aca="false">IF($N1148="","",IF(COUNTIF($N$8:$N1148,$N1148)=1,MAX($AB$7:$AB1147)+1,""))</f>
        <v/>
      </c>
    </row>
    <row r="1149" customFormat="false" ht="15" hidden="false" customHeight="false" outlineLevel="0" collapsed="false">
      <c r="L1149" s="37" t="str">
        <f aca="false">IF(INDEX($A1149:$J1149,$L$6)&lt;&gt;"",TRIM(LEFT(INDEX($A1149:$J1149,$L$6),FIND("(",INDEX($A1149:$J1149,$L$6)&amp;"(")-1)),L1148)</f>
        <v>Building Value Proposition</v>
      </c>
      <c r="M1149" s="37" t="str">
        <f aca="false">IF(INDEX($A1149:$J1149,$M$6)="","",INDEX($A1149:$J1149,$M$6)&amp;"")</f>
        <v/>
      </c>
      <c r="N1149" s="37" t="str">
        <f aca="false">IF($M1149="","",TRIM(INDEX($A1149:$J1149,$N$6)&amp;""))</f>
        <v/>
      </c>
      <c r="O1149" s="37" t="str">
        <f aca="false">IF($M1149="","",TRIM(INDEX($A1149:$J1149,$O$6)&amp;""))</f>
        <v/>
      </c>
      <c r="P1149" s="37" t="str">
        <f aca="false">IF($M1149="","",IFERROR(IF(INDEX(Settings!$B$41:$B$50,MATCH(O1149,Settings!$A$41:$A$50,0))&amp;""="","UNMAPPED",INDEX(Settings!$B$41:$B$50,MATCH(O1149,Settings!$A$41:$A$50,0))&amp;""),"UNMAPPED"))</f>
        <v/>
      </c>
      <c r="Q1149" s="38" t="n">
        <f aca="false">IF($M1149="",0,N(INDEX($A1149:$J1149,$Q$6)))</f>
        <v>0</v>
      </c>
      <c r="R1149" s="39" t="str">
        <f aca="false">IF($M1149="","",INDEX($A1149:$J1149,$R$6))</f>
        <v/>
      </c>
      <c r="S1149" s="37" t="str">
        <f aca="false">IF($M1149="","",IFERROR(INDEX(Settings!$B$27:$B$36,MATCH(L1149,Settings!$A$27:$A$36,0))&amp;"","UNMAPPED"))</f>
        <v/>
      </c>
      <c r="T1149" s="37" t="str">
        <f aca="false">IF($M1149="","",IF(NOT(ISNUMBER(R1149)),"NO DATE",IF(S1149="Won",IF(R1149&gt;Settings!$B$5,"Backlog","Delivered"),IF(S1149="Open",IF(R1149&gt;Settings!$B$5,"Pipeline","Overdue"),IF(S1149="Lost","Lost","UNMAPPED")))))</f>
        <v/>
      </c>
      <c r="U1149" s="40" t="n">
        <f aca="false">IF(T1149="Backlog",1,IF(OR(T1149="Pipeline",T1149="Overdue"),N(INDEX(Settings!$C$27:$C$36,MATCH(L1149,Settings!$A$27:$A$36,0))),0))</f>
        <v>0</v>
      </c>
      <c r="V1149" s="38" t="n">
        <f aca="false">Q1149*U1149</f>
        <v>0</v>
      </c>
      <c r="W1149" s="41" t="str">
        <f aca="false">IF($M1149="","",IF(T1149="Overdue",IF(Settings!$B$8="Yes",Settings!$B$7,""),IF(ISNUMBER(R1149),DATE(YEAR(R1149),MONTH(R1149),1),"")))</f>
        <v/>
      </c>
      <c r="X1149" s="38" t="n">
        <f aca="false">IF(AND(OR(T1149="Backlog",T1149="Pipeline",T1149="Overdue"),ISNUMBER(W1149)),IF(W1149&lt;=Settings!$B$6,V1149,0),0)</f>
        <v>0</v>
      </c>
      <c r="Y1149" s="38" t="n">
        <f aca="false">IF(AND(OR(T1149="Backlog",T1149="Pipeline",T1149="Overdue"),ISNUMBER(W1149)),IF(W1149&lt;=Settings!$B$6,Q1149,0),0)</f>
        <v>0</v>
      </c>
      <c r="Z1149" s="38" t="n">
        <f aca="false">IF(Y1149=0,0,IF(T1149="Backlog",Q1149,Q1149*Dashboard!$C$10))</f>
        <v>0</v>
      </c>
      <c r="AA1149" s="37" t="n">
        <f aca="false">IF($N1149="",0,IF(COUNTIF(Dashboard!$C$13:$C$22,$N1149)&gt;0,1,0))</f>
        <v>0</v>
      </c>
      <c r="AB1149" s="37" t="str">
        <f aca="false">IF($N1149="","",IF(COUNTIF($N$8:$N1149,$N1149)=1,MAX($AB$7:$AB1148)+1,""))</f>
        <v/>
      </c>
    </row>
    <row r="1150" customFormat="false" ht="15" hidden="false" customHeight="false" outlineLevel="0" collapsed="false">
      <c r="L1150" s="37" t="str">
        <f aca="false">IF(INDEX($A1150:$J1150,$L$6)&lt;&gt;"",TRIM(LEFT(INDEX($A1150:$J1150,$L$6),FIND("(",INDEX($A1150:$J1150,$L$6)&amp;"(")-1)),L1149)</f>
        <v>Building Value Proposition</v>
      </c>
      <c r="M1150" s="37" t="str">
        <f aca="false">IF(INDEX($A1150:$J1150,$M$6)="","",INDEX($A1150:$J1150,$M$6)&amp;"")</f>
        <v/>
      </c>
      <c r="N1150" s="37" t="str">
        <f aca="false">IF($M1150="","",TRIM(INDEX($A1150:$J1150,$N$6)&amp;""))</f>
        <v/>
      </c>
      <c r="O1150" s="37" t="str">
        <f aca="false">IF($M1150="","",TRIM(INDEX($A1150:$J1150,$O$6)&amp;""))</f>
        <v/>
      </c>
      <c r="P1150" s="37" t="str">
        <f aca="false">IF($M1150="","",IFERROR(IF(INDEX(Settings!$B$41:$B$50,MATCH(O1150,Settings!$A$41:$A$50,0))&amp;""="","UNMAPPED",INDEX(Settings!$B$41:$B$50,MATCH(O1150,Settings!$A$41:$A$50,0))&amp;""),"UNMAPPED"))</f>
        <v/>
      </c>
      <c r="Q1150" s="38" t="n">
        <f aca="false">IF($M1150="",0,N(INDEX($A1150:$J1150,$Q$6)))</f>
        <v>0</v>
      </c>
      <c r="R1150" s="39" t="str">
        <f aca="false">IF($M1150="","",INDEX($A1150:$J1150,$R$6))</f>
        <v/>
      </c>
      <c r="S1150" s="37" t="str">
        <f aca="false">IF($M1150="","",IFERROR(INDEX(Settings!$B$27:$B$36,MATCH(L1150,Settings!$A$27:$A$36,0))&amp;"","UNMAPPED"))</f>
        <v/>
      </c>
      <c r="T1150" s="37" t="str">
        <f aca="false">IF($M1150="","",IF(NOT(ISNUMBER(R1150)),"NO DATE",IF(S1150="Won",IF(R1150&gt;Settings!$B$5,"Backlog","Delivered"),IF(S1150="Open",IF(R1150&gt;Settings!$B$5,"Pipeline","Overdue"),IF(S1150="Lost","Lost","UNMAPPED")))))</f>
        <v/>
      </c>
      <c r="U1150" s="40" t="n">
        <f aca="false">IF(T1150="Backlog",1,IF(OR(T1150="Pipeline",T1150="Overdue"),N(INDEX(Settings!$C$27:$C$36,MATCH(L1150,Settings!$A$27:$A$36,0))),0))</f>
        <v>0</v>
      </c>
      <c r="V1150" s="38" t="n">
        <f aca="false">Q1150*U1150</f>
        <v>0</v>
      </c>
      <c r="W1150" s="41" t="str">
        <f aca="false">IF($M1150="","",IF(T1150="Overdue",IF(Settings!$B$8="Yes",Settings!$B$7,""),IF(ISNUMBER(R1150),DATE(YEAR(R1150),MONTH(R1150),1),"")))</f>
        <v/>
      </c>
      <c r="X1150" s="38" t="n">
        <f aca="false">IF(AND(OR(T1150="Backlog",T1150="Pipeline",T1150="Overdue"),ISNUMBER(W1150)),IF(W1150&lt;=Settings!$B$6,V1150,0),0)</f>
        <v>0</v>
      </c>
      <c r="Y1150" s="38" t="n">
        <f aca="false">IF(AND(OR(T1150="Backlog",T1150="Pipeline",T1150="Overdue"),ISNUMBER(W1150)),IF(W1150&lt;=Settings!$B$6,Q1150,0),0)</f>
        <v>0</v>
      </c>
      <c r="Z1150" s="38" t="n">
        <f aca="false">IF(Y1150=0,0,IF(T1150="Backlog",Q1150,Q1150*Dashboard!$C$10))</f>
        <v>0</v>
      </c>
      <c r="AA1150" s="37" t="n">
        <f aca="false">IF($N1150="",0,IF(COUNTIF(Dashboard!$C$13:$C$22,$N1150)&gt;0,1,0))</f>
        <v>0</v>
      </c>
      <c r="AB1150" s="37" t="str">
        <f aca="false">IF($N1150="","",IF(COUNTIF($N$8:$N1150,$N1150)=1,MAX($AB$7:$AB1149)+1,""))</f>
        <v/>
      </c>
    </row>
    <row r="1151" customFormat="false" ht="15" hidden="false" customHeight="false" outlineLevel="0" collapsed="false">
      <c r="L1151" s="37" t="str">
        <f aca="false">IF(INDEX($A1151:$J1151,$L$6)&lt;&gt;"",TRIM(LEFT(INDEX($A1151:$J1151,$L$6),FIND("(",INDEX($A1151:$J1151,$L$6)&amp;"(")-1)),L1150)</f>
        <v>Building Value Proposition</v>
      </c>
      <c r="M1151" s="37" t="str">
        <f aca="false">IF(INDEX($A1151:$J1151,$M$6)="","",INDEX($A1151:$J1151,$M$6)&amp;"")</f>
        <v/>
      </c>
      <c r="N1151" s="37" t="str">
        <f aca="false">IF($M1151="","",TRIM(INDEX($A1151:$J1151,$N$6)&amp;""))</f>
        <v/>
      </c>
      <c r="O1151" s="37" t="str">
        <f aca="false">IF($M1151="","",TRIM(INDEX($A1151:$J1151,$O$6)&amp;""))</f>
        <v/>
      </c>
      <c r="P1151" s="37" t="str">
        <f aca="false">IF($M1151="","",IFERROR(IF(INDEX(Settings!$B$41:$B$50,MATCH(O1151,Settings!$A$41:$A$50,0))&amp;""="","UNMAPPED",INDEX(Settings!$B$41:$B$50,MATCH(O1151,Settings!$A$41:$A$50,0))&amp;""),"UNMAPPED"))</f>
        <v/>
      </c>
      <c r="Q1151" s="38" t="n">
        <f aca="false">IF($M1151="",0,N(INDEX($A1151:$J1151,$Q$6)))</f>
        <v>0</v>
      </c>
      <c r="R1151" s="39" t="str">
        <f aca="false">IF($M1151="","",INDEX($A1151:$J1151,$R$6))</f>
        <v/>
      </c>
      <c r="S1151" s="37" t="str">
        <f aca="false">IF($M1151="","",IFERROR(INDEX(Settings!$B$27:$B$36,MATCH(L1151,Settings!$A$27:$A$36,0))&amp;"","UNMAPPED"))</f>
        <v/>
      </c>
      <c r="T1151" s="37" t="str">
        <f aca="false">IF($M1151="","",IF(NOT(ISNUMBER(R1151)),"NO DATE",IF(S1151="Won",IF(R1151&gt;Settings!$B$5,"Backlog","Delivered"),IF(S1151="Open",IF(R1151&gt;Settings!$B$5,"Pipeline","Overdue"),IF(S1151="Lost","Lost","UNMAPPED")))))</f>
        <v/>
      </c>
      <c r="U1151" s="40" t="n">
        <f aca="false">IF(T1151="Backlog",1,IF(OR(T1151="Pipeline",T1151="Overdue"),N(INDEX(Settings!$C$27:$C$36,MATCH(L1151,Settings!$A$27:$A$36,0))),0))</f>
        <v>0</v>
      </c>
      <c r="V1151" s="38" t="n">
        <f aca="false">Q1151*U1151</f>
        <v>0</v>
      </c>
      <c r="W1151" s="41" t="str">
        <f aca="false">IF($M1151="","",IF(T1151="Overdue",IF(Settings!$B$8="Yes",Settings!$B$7,""),IF(ISNUMBER(R1151),DATE(YEAR(R1151),MONTH(R1151),1),"")))</f>
        <v/>
      </c>
      <c r="X1151" s="38" t="n">
        <f aca="false">IF(AND(OR(T1151="Backlog",T1151="Pipeline",T1151="Overdue"),ISNUMBER(W1151)),IF(W1151&lt;=Settings!$B$6,V1151,0),0)</f>
        <v>0</v>
      </c>
      <c r="Y1151" s="38" t="n">
        <f aca="false">IF(AND(OR(T1151="Backlog",T1151="Pipeline",T1151="Overdue"),ISNUMBER(W1151)),IF(W1151&lt;=Settings!$B$6,Q1151,0),0)</f>
        <v>0</v>
      </c>
      <c r="Z1151" s="38" t="n">
        <f aca="false">IF(Y1151=0,0,IF(T1151="Backlog",Q1151,Q1151*Dashboard!$C$10))</f>
        <v>0</v>
      </c>
      <c r="AA1151" s="37" t="n">
        <f aca="false">IF($N1151="",0,IF(COUNTIF(Dashboard!$C$13:$C$22,$N1151)&gt;0,1,0))</f>
        <v>0</v>
      </c>
      <c r="AB1151" s="37" t="str">
        <f aca="false">IF($N1151="","",IF(COUNTIF($N$8:$N1151,$N1151)=1,MAX($AB$7:$AB1150)+1,""))</f>
        <v/>
      </c>
    </row>
    <row r="1152" customFormat="false" ht="15" hidden="false" customHeight="false" outlineLevel="0" collapsed="false">
      <c r="L1152" s="37" t="str">
        <f aca="false">IF(INDEX($A1152:$J1152,$L$6)&lt;&gt;"",TRIM(LEFT(INDEX($A1152:$J1152,$L$6),FIND("(",INDEX($A1152:$J1152,$L$6)&amp;"(")-1)),L1151)</f>
        <v>Building Value Proposition</v>
      </c>
      <c r="M1152" s="37" t="str">
        <f aca="false">IF(INDEX($A1152:$J1152,$M$6)="","",INDEX($A1152:$J1152,$M$6)&amp;"")</f>
        <v/>
      </c>
      <c r="N1152" s="37" t="str">
        <f aca="false">IF($M1152="","",TRIM(INDEX($A1152:$J1152,$N$6)&amp;""))</f>
        <v/>
      </c>
      <c r="O1152" s="37" t="str">
        <f aca="false">IF($M1152="","",TRIM(INDEX($A1152:$J1152,$O$6)&amp;""))</f>
        <v/>
      </c>
      <c r="P1152" s="37" t="str">
        <f aca="false">IF($M1152="","",IFERROR(IF(INDEX(Settings!$B$41:$B$50,MATCH(O1152,Settings!$A$41:$A$50,0))&amp;""="","UNMAPPED",INDEX(Settings!$B$41:$B$50,MATCH(O1152,Settings!$A$41:$A$50,0))&amp;""),"UNMAPPED"))</f>
        <v/>
      </c>
      <c r="Q1152" s="38" t="n">
        <f aca="false">IF($M1152="",0,N(INDEX($A1152:$J1152,$Q$6)))</f>
        <v>0</v>
      </c>
      <c r="R1152" s="39" t="str">
        <f aca="false">IF($M1152="","",INDEX($A1152:$J1152,$R$6))</f>
        <v/>
      </c>
      <c r="S1152" s="37" t="str">
        <f aca="false">IF($M1152="","",IFERROR(INDEX(Settings!$B$27:$B$36,MATCH(L1152,Settings!$A$27:$A$36,0))&amp;"","UNMAPPED"))</f>
        <v/>
      </c>
      <c r="T1152" s="37" t="str">
        <f aca="false">IF($M1152="","",IF(NOT(ISNUMBER(R1152)),"NO DATE",IF(S1152="Won",IF(R1152&gt;Settings!$B$5,"Backlog","Delivered"),IF(S1152="Open",IF(R1152&gt;Settings!$B$5,"Pipeline","Overdue"),IF(S1152="Lost","Lost","UNMAPPED")))))</f>
        <v/>
      </c>
      <c r="U1152" s="40" t="n">
        <f aca="false">IF(T1152="Backlog",1,IF(OR(T1152="Pipeline",T1152="Overdue"),N(INDEX(Settings!$C$27:$C$36,MATCH(L1152,Settings!$A$27:$A$36,0))),0))</f>
        <v>0</v>
      </c>
      <c r="V1152" s="38" t="n">
        <f aca="false">Q1152*U1152</f>
        <v>0</v>
      </c>
      <c r="W1152" s="41" t="str">
        <f aca="false">IF($M1152="","",IF(T1152="Overdue",IF(Settings!$B$8="Yes",Settings!$B$7,""),IF(ISNUMBER(R1152),DATE(YEAR(R1152),MONTH(R1152),1),"")))</f>
        <v/>
      </c>
      <c r="X1152" s="38" t="n">
        <f aca="false">IF(AND(OR(T1152="Backlog",T1152="Pipeline",T1152="Overdue"),ISNUMBER(W1152)),IF(W1152&lt;=Settings!$B$6,V1152,0),0)</f>
        <v>0</v>
      </c>
      <c r="Y1152" s="38" t="n">
        <f aca="false">IF(AND(OR(T1152="Backlog",T1152="Pipeline",T1152="Overdue"),ISNUMBER(W1152)),IF(W1152&lt;=Settings!$B$6,Q1152,0),0)</f>
        <v>0</v>
      </c>
      <c r="Z1152" s="38" t="n">
        <f aca="false">IF(Y1152=0,0,IF(T1152="Backlog",Q1152,Q1152*Dashboard!$C$10))</f>
        <v>0</v>
      </c>
      <c r="AA1152" s="37" t="n">
        <f aca="false">IF($N1152="",0,IF(COUNTIF(Dashboard!$C$13:$C$22,$N1152)&gt;0,1,0))</f>
        <v>0</v>
      </c>
      <c r="AB1152" s="37" t="str">
        <f aca="false">IF($N1152="","",IF(COUNTIF($N$8:$N1152,$N1152)=1,MAX($AB$7:$AB1151)+1,""))</f>
        <v/>
      </c>
    </row>
    <row r="1153" customFormat="false" ht="15" hidden="false" customHeight="false" outlineLevel="0" collapsed="false">
      <c r="L1153" s="37" t="str">
        <f aca="false">IF(INDEX($A1153:$J1153,$L$6)&lt;&gt;"",TRIM(LEFT(INDEX($A1153:$J1153,$L$6),FIND("(",INDEX($A1153:$J1153,$L$6)&amp;"(")-1)),L1152)</f>
        <v>Building Value Proposition</v>
      </c>
      <c r="M1153" s="37" t="str">
        <f aca="false">IF(INDEX($A1153:$J1153,$M$6)="","",INDEX($A1153:$J1153,$M$6)&amp;"")</f>
        <v/>
      </c>
      <c r="N1153" s="37" t="str">
        <f aca="false">IF($M1153="","",TRIM(INDEX($A1153:$J1153,$N$6)&amp;""))</f>
        <v/>
      </c>
      <c r="O1153" s="37" t="str">
        <f aca="false">IF($M1153="","",TRIM(INDEX($A1153:$J1153,$O$6)&amp;""))</f>
        <v/>
      </c>
      <c r="P1153" s="37" t="str">
        <f aca="false">IF($M1153="","",IFERROR(IF(INDEX(Settings!$B$41:$B$50,MATCH(O1153,Settings!$A$41:$A$50,0))&amp;""="","UNMAPPED",INDEX(Settings!$B$41:$B$50,MATCH(O1153,Settings!$A$41:$A$50,0))&amp;""),"UNMAPPED"))</f>
        <v/>
      </c>
      <c r="Q1153" s="38" t="n">
        <f aca="false">IF($M1153="",0,N(INDEX($A1153:$J1153,$Q$6)))</f>
        <v>0</v>
      </c>
      <c r="R1153" s="39" t="str">
        <f aca="false">IF($M1153="","",INDEX($A1153:$J1153,$R$6))</f>
        <v/>
      </c>
      <c r="S1153" s="37" t="str">
        <f aca="false">IF($M1153="","",IFERROR(INDEX(Settings!$B$27:$B$36,MATCH(L1153,Settings!$A$27:$A$36,0))&amp;"","UNMAPPED"))</f>
        <v/>
      </c>
      <c r="T1153" s="37" t="str">
        <f aca="false">IF($M1153="","",IF(NOT(ISNUMBER(R1153)),"NO DATE",IF(S1153="Won",IF(R1153&gt;Settings!$B$5,"Backlog","Delivered"),IF(S1153="Open",IF(R1153&gt;Settings!$B$5,"Pipeline","Overdue"),IF(S1153="Lost","Lost","UNMAPPED")))))</f>
        <v/>
      </c>
      <c r="U1153" s="40" t="n">
        <f aca="false">IF(T1153="Backlog",1,IF(OR(T1153="Pipeline",T1153="Overdue"),N(INDEX(Settings!$C$27:$C$36,MATCH(L1153,Settings!$A$27:$A$36,0))),0))</f>
        <v>0</v>
      </c>
      <c r="V1153" s="38" t="n">
        <f aca="false">Q1153*U1153</f>
        <v>0</v>
      </c>
      <c r="W1153" s="41" t="str">
        <f aca="false">IF($M1153="","",IF(T1153="Overdue",IF(Settings!$B$8="Yes",Settings!$B$7,""),IF(ISNUMBER(R1153),DATE(YEAR(R1153),MONTH(R1153),1),"")))</f>
        <v/>
      </c>
      <c r="X1153" s="38" t="n">
        <f aca="false">IF(AND(OR(T1153="Backlog",T1153="Pipeline",T1153="Overdue"),ISNUMBER(W1153)),IF(W1153&lt;=Settings!$B$6,V1153,0),0)</f>
        <v>0</v>
      </c>
      <c r="Y1153" s="38" t="n">
        <f aca="false">IF(AND(OR(T1153="Backlog",T1153="Pipeline",T1153="Overdue"),ISNUMBER(W1153)),IF(W1153&lt;=Settings!$B$6,Q1153,0),0)</f>
        <v>0</v>
      </c>
      <c r="Z1153" s="38" t="n">
        <f aca="false">IF(Y1153=0,0,IF(T1153="Backlog",Q1153,Q1153*Dashboard!$C$10))</f>
        <v>0</v>
      </c>
      <c r="AA1153" s="37" t="n">
        <f aca="false">IF($N1153="",0,IF(COUNTIF(Dashboard!$C$13:$C$22,$N1153)&gt;0,1,0))</f>
        <v>0</v>
      </c>
      <c r="AB1153" s="37" t="str">
        <f aca="false">IF($N1153="","",IF(COUNTIF($N$8:$N1153,$N1153)=1,MAX($AB$7:$AB1152)+1,""))</f>
        <v/>
      </c>
    </row>
    <row r="1154" customFormat="false" ht="15" hidden="false" customHeight="false" outlineLevel="0" collapsed="false">
      <c r="L1154" s="37" t="str">
        <f aca="false">IF(INDEX($A1154:$J1154,$L$6)&lt;&gt;"",TRIM(LEFT(INDEX($A1154:$J1154,$L$6),FIND("(",INDEX($A1154:$J1154,$L$6)&amp;"(")-1)),L1153)</f>
        <v>Building Value Proposition</v>
      </c>
      <c r="M1154" s="37" t="str">
        <f aca="false">IF(INDEX($A1154:$J1154,$M$6)="","",INDEX($A1154:$J1154,$M$6)&amp;"")</f>
        <v/>
      </c>
      <c r="N1154" s="37" t="str">
        <f aca="false">IF($M1154="","",TRIM(INDEX($A1154:$J1154,$N$6)&amp;""))</f>
        <v/>
      </c>
      <c r="O1154" s="37" t="str">
        <f aca="false">IF($M1154="","",TRIM(INDEX($A1154:$J1154,$O$6)&amp;""))</f>
        <v/>
      </c>
      <c r="P1154" s="37" t="str">
        <f aca="false">IF($M1154="","",IFERROR(IF(INDEX(Settings!$B$41:$B$50,MATCH(O1154,Settings!$A$41:$A$50,0))&amp;""="","UNMAPPED",INDEX(Settings!$B$41:$B$50,MATCH(O1154,Settings!$A$41:$A$50,0))&amp;""),"UNMAPPED"))</f>
        <v/>
      </c>
      <c r="Q1154" s="38" t="n">
        <f aca="false">IF($M1154="",0,N(INDEX($A1154:$J1154,$Q$6)))</f>
        <v>0</v>
      </c>
      <c r="R1154" s="39" t="str">
        <f aca="false">IF($M1154="","",INDEX($A1154:$J1154,$R$6))</f>
        <v/>
      </c>
      <c r="S1154" s="37" t="str">
        <f aca="false">IF($M1154="","",IFERROR(INDEX(Settings!$B$27:$B$36,MATCH(L1154,Settings!$A$27:$A$36,0))&amp;"","UNMAPPED"))</f>
        <v/>
      </c>
      <c r="T1154" s="37" t="str">
        <f aca="false">IF($M1154="","",IF(NOT(ISNUMBER(R1154)),"NO DATE",IF(S1154="Won",IF(R1154&gt;Settings!$B$5,"Backlog","Delivered"),IF(S1154="Open",IF(R1154&gt;Settings!$B$5,"Pipeline","Overdue"),IF(S1154="Lost","Lost","UNMAPPED")))))</f>
        <v/>
      </c>
      <c r="U1154" s="40" t="n">
        <f aca="false">IF(T1154="Backlog",1,IF(OR(T1154="Pipeline",T1154="Overdue"),N(INDEX(Settings!$C$27:$C$36,MATCH(L1154,Settings!$A$27:$A$36,0))),0))</f>
        <v>0</v>
      </c>
      <c r="V1154" s="38" t="n">
        <f aca="false">Q1154*U1154</f>
        <v>0</v>
      </c>
      <c r="W1154" s="41" t="str">
        <f aca="false">IF($M1154="","",IF(T1154="Overdue",IF(Settings!$B$8="Yes",Settings!$B$7,""),IF(ISNUMBER(R1154),DATE(YEAR(R1154),MONTH(R1154),1),"")))</f>
        <v/>
      </c>
      <c r="X1154" s="38" t="n">
        <f aca="false">IF(AND(OR(T1154="Backlog",T1154="Pipeline",T1154="Overdue"),ISNUMBER(W1154)),IF(W1154&lt;=Settings!$B$6,V1154,0),0)</f>
        <v>0</v>
      </c>
      <c r="Y1154" s="38" t="n">
        <f aca="false">IF(AND(OR(T1154="Backlog",T1154="Pipeline",T1154="Overdue"),ISNUMBER(W1154)),IF(W1154&lt;=Settings!$B$6,Q1154,0),0)</f>
        <v>0</v>
      </c>
      <c r="Z1154" s="38" t="n">
        <f aca="false">IF(Y1154=0,0,IF(T1154="Backlog",Q1154,Q1154*Dashboard!$C$10))</f>
        <v>0</v>
      </c>
      <c r="AA1154" s="37" t="n">
        <f aca="false">IF($N1154="",0,IF(COUNTIF(Dashboard!$C$13:$C$22,$N1154)&gt;0,1,0))</f>
        <v>0</v>
      </c>
      <c r="AB1154" s="37" t="str">
        <f aca="false">IF($N1154="","",IF(COUNTIF($N$8:$N1154,$N1154)=1,MAX($AB$7:$AB1153)+1,""))</f>
        <v/>
      </c>
    </row>
    <row r="1155" customFormat="false" ht="15" hidden="false" customHeight="false" outlineLevel="0" collapsed="false">
      <c r="L1155" s="37" t="str">
        <f aca="false">IF(INDEX($A1155:$J1155,$L$6)&lt;&gt;"",TRIM(LEFT(INDEX($A1155:$J1155,$L$6),FIND("(",INDEX($A1155:$J1155,$L$6)&amp;"(")-1)),L1154)</f>
        <v>Building Value Proposition</v>
      </c>
      <c r="M1155" s="37" t="str">
        <f aca="false">IF(INDEX($A1155:$J1155,$M$6)="","",INDEX($A1155:$J1155,$M$6)&amp;"")</f>
        <v/>
      </c>
      <c r="N1155" s="37" t="str">
        <f aca="false">IF($M1155="","",TRIM(INDEX($A1155:$J1155,$N$6)&amp;""))</f>
        <v/>
      </c>
      <c r="O1155" s="37" t="str">
        <f aca="false">IF($M1155="","",TRIM(INDEX($A1155:$J1155,$O$6)&amp;""))</f>
        <v/>
      </c>
      <c r="P1155" s="37" t="str">
        <f aca="false">IF($M1155="","",IFERROR(IF(INDEX(Settings!$B$41:$B$50,MATCH(O1155,Settings!$A$41:$A$50,0))&amp;""="","UNMAPPED",INDEX(Settings!$B$41:$B$50,MATCH(O1155,Settings!$A$41:$A$50,0))&amp;""),"UNMAPPED"))</f>
        <v/>
      </c>
      <c r="Q1155" s="38" t="n">
        <f aca="false">IF($M1155="",0,N(INDEX($A1155:$J1155,$Q$6)))</f>
        <v>0</v>
      </c>
      <c r="R1155" s="39" t="str">
        <f aca="false">IF($M1155="","",INDEX($A1155:$J1155,$R$6))</f>
        <v/>
      </c>
      <c r="S1155" s="37" t="str">
        <f aca="false">IF($M1155="","",IFERROR(INDEX(Settings!$B$27:$B$36,MATCH(L1155,Settings!$A$27:$A$36,0))&amp;"","UNMAPPED"))</f>
        <v/>
      </c>
      <c r="T1155" s="37" t="str">
        <f aca="false">IF($M1155="","",IF(NOT(ISNUMBER(R1155)),"NO DATE",IF(S1155="Won",IF(R1155&gt;Settings!$B$5,"Backlog","Delivered"),IF(S1155="Open",IF(R1155&gt;Settings!$B$5,"Pipeline","Overdue"),IF(S1155="Lost","Lost","UNMAPPED")))))</f>
        <v/>
      </c>
      <c r="U1155" s="40" t="n">
        <f aca="false">IF(T1155="Backlog",1,IF(OR(T1155="Pipeline",T1155="Overdue"),N(INDEX(Settings!$C$27:$C$36,MATCH(L1155,Settings!$A$27:$A$36,0))),0))</f>
        <v>0</v>
      </c>
      <c r="V1155" s="38" t="n">
        <f aca="false">Q1155*U1155</f>
        <v>0</v>
      </c>
      <c r="W1155" s="41" t="str">
        <f aca="false">IF($M1155="","",IF(T1155="Overdue",IF(Settings!$B$8="Yes",Settings!$B$7,""),IF(ISNUMBER(R1155),DATE(YEAR(R1155),MONTH(R1155),1),"")))</f>
        <v/>
      </c>
      <c r="X1155" s="38" t="n">
        <f aca="false">IF(AND(OR(T1155="Backlog",T1155="Pipeline",T1155="Overdue"),ISNUMBER(W1155)),IF(W1155&lt;=Settings!$B$6,V1155,0),0)</f>
        <v>0</v>
      </c>
      <c r="Y1155" s="38" t="n">
        <f aca="false">IF(AND(OR(T1155="Backlog",T1155="Pipeline",T1155="Overdue"),ISNUMBER(W1155)),IF(W1155&lt;=Settings!$B$6,Q1155,0),0)</f>
        <v>0</v>
      </c>
      <c r="Z1155" s="38" t="n">
        <f aca="false">IF(Y1155=0,0,IF(T1155="Backlog",Q1155,Q1155*Dashboard!$C$10))</f>
        <v>0</v>
      </c>
      <c r="AA1155" s="37" t="n">
        <f aca="false">IF($N1155="",0,IF(COUNTIF(Dashboard!$C$13:$C$22,$N1155)&gt;0,1,0))</f>
        <v>0</v>
      </c>
      <c r="AB1155" s="37" t="str">
        <f aca="false">IF($N1155="","",IF(COUNTIF($N$8:$N1155,$N1155)=1,MAX($AB$7:$AB1154)+1,""))</f>
        <v/>
      </c>
    </row>
    <row r="1156" customFormat="false" ht="15" hidden="false" customHeight="false" outlineLevel="0" collapsed="false">
      <c r="L1156" s="37" t="str">
        <f aca="false">IF(INDEX($A1156:$J1156,$L$6)&lt;&gt;"",TRIM(LEFT(INDEX($A1156:$J1156,$L$6),FIND("(",INDEX($A1156:$J1156,$L$6)&amp;"(")-1)),L1155)</f>
        <v>Building Value Proposition</v>
      </c>
      <c r="M1156" s="37" t="str">
        <f aca="false">IF(INDEX($A1156:$J1156,$M$6)="","",INDEX($A1156:$J1156,$M$6)&amp;"")</f>
        <v/>
      </c>
      <c r="N1156" s="37" t="str">
        <f aca="false">IF($M1156="","",TRIM(INDEX($A1156:$J1156,$N$6)&amp;""))</f>
        <v/>
      </c>
      <c r="O1156" s="37" t="str">
        <f aca="false">IF($M1156="","",TRIM(INDEX($A1156:$J1156,$O$6)&amp;""))</f>
        <v/>
      </c>
      <c r="P1156" s="37" t="str">
        <f aca="false">IF($M1156="","",IFERROR(IF(INDEX(Settings!$B$41:$B$50,MATCH(O1156,Settings!$A$41:$A$50,0))&amp;""="","UNMAPPED",INDEX(Settings!$B$41:$B$50,MATCH(O1156,Settings!$A$41:$A$50,0))&amp;""),"UNMAPPED"))</f>
        <v/>
      </c>
      <c r="Q1156" s="38" t="n">
        <f aca="false">IF($M1156="",0,N(INDEX($A1156:$J1156,$Q$6)))</f>
        <v>0</v>
      </c>
      <c r="R1156" s="39" t="str">
        <f aca="false">IF($M1156="","",INDEX($A1156:$J1156,$R$6))</f>
        <v/>
      </c>
      <c r="S1156" s="37" t="str">
        <f aca="false">IF($M1156="","",IFERROR(INDEX(Settings!$B$27:$B$36,MATCH(L1156,Settings!$A$27:$A$36,0))&amp;"","UNMAPPED"))</f>
        <v/>
      </c>
      <c r="T1156" s="37" t="str">
        <f aca="false">IF($M1156="","",IF(NOT(ISNUMBER(R1156)),"NO DATE",IF(S1156="Won",IF(R1156&gt;Settings!$B$5,"Backlog","Delivered"),IF(S1156="Open",IF(R1156&gt;Settings!$B$5,"Pipeline","Overdue"),IF(S1156="Lost","Lost","UNMAPPED")))))</f>
        <v/>
      </c>
      <c r="U1156" s="40" t="n">
        <f aca="false">IF(T1156="Backlog",1,IF(OR(T1156="Pipeline",T1156="Overdue"),N(INDEX(Settings!$C$27:$C$36,MATCH(L1156,Settings!$A$27:$A$36,0))),0))</f>
        <v>0</v>
      </c>
      <c r="V1156" s="38" t="n">
        <f aca="false">Q1156*U1156</f>
        <v>0</v>
      </c>
      <c r="W1156" s="41" t="str">
        <f aca="false">IF($M1156="","",IF(T1156="Overdue",IF(Settings!$B$8="Yes",Settings!$B$7,""),IF(ISNUMBER(R1156),DATE(YEAR(R1156),MONTH(R1156),1),"")))</f>
        <v/>
      </c>
      <c r="X1156" s="38" t="n">
        <f aca="false">IF(AND(OR(T1156="Backlog",T1156="Pipeline",T1156="Overdue"),ISNUMBER(W1156)),IF(W1156&lt;=Settings!$B$6,V1156,0),0)</f>
        <v>0</v>
      </c>
      <c r="Y1156" s="38" t="n">
        <f aca="false">IF(AND(OR(T1156="Backlog",T1156="Pipeline",T1156="Overdue"),ISNUMBER(W1156)),IF(W1156&lt;=Settings!$B$6,Q1156,0),0)</f>
        <v>0</v>
      </c>
      <c r="Z1156" s="38" t="n">
        <f aca="false">IF(Y1156=0,0,IF(T1156="Backlog",Q1156,Q1156*Dashboard!$C$10))</f>
        <v>0</v>
      </c>
      <c r="AA1156" s="37" t="n">
        <f aca="false">IF($N1156="",0,IF(COUNTIF(Dashboard!$C$13:$C$22,$N1156)&gt;0,1,0))</f>
        <v>0</v>
      </c>
      <c r="AB1156" s="37" t="str">
        <f aca="false">IF($N1156="","",IF(COUNTIF($N$8:$N1156,$N1156)=1,MAX($AB$7:$AB1155)+1,""))</f>
        <v/>
      </c>
    </row>
    <row r="1157" customFormat="false" ht="15" hidden="false" customHeight="false" outlineLevel="0" collapsed="false">
      <c r="L1157" s="37" t="str">
        <f aca="false">IF(INDEX($A1157:$J1157,$L$6)&lt;&gt;"",TRIM(LEFT(INDEX($A1157:$J1157,$L$6),FIND("(",INDEX($A1157:$J1157,$L$6)&amp;"(")-1)),L1156)</f>
        <v>Building Value Proposition</v>
      </c>
      <c r="M1157" s="37" t="str">
        <f aca="false">IF(INDEX($A1157:$J1157,$M$6)="","",INDEX($A1157:$J1157,$M$6)&amp;"")</f>
        <v/>
      </c>
      <c r="N1157" s="37" t="str">
        <f aca="false">IF($M1157="","",TRIM(INDEX($A1157:$J1157,$N$6)&amp;""))</f>
        <v/>
      </c>
      <c r="O1157" s="37" t="str">
        <f aca="false">IF($M1157="","",TRIM(INDEX($A1157:$J1157,$O$6)&amp;""))</f>
        <v/>
      </c>
      <c r="P1157" s="37" t="str">
        <f aca="false">IF($M1157="","",IFERROR(IF(INDEX(Settings!$B$41:$B$50,MATCH(O1157,Settings!$A$41:$A$50,0))&amp;""="","UNMAPPED",INDEX(Settings!$B$41:$B$50,MATCH(O1157,Settings!$A$41:$A$50,0))&amp;""),"UNMAPPED"))</f>
        <v/>
      </c>
      <c r="Q1157" s="38" t="n">
        <f aca="false">IF($M1157="",0,N(INDEX($A1157:$J1157,$Q$6)))</f>
        <v>0</v>
      </c>
      <c r="R1157" s="39" t="str">
        <f aca="false">IF($M1157="","",INDEX($A1157:$J1157,$R$6))</f>
        <v/>
      </c>
      <c r="S1157" s="37" t="str">
        <f aca="false">IF($M1157="","",IFERROR(INDEX(Settings!$B$27:$B$36,MATCH(L1157,Settings!$A$27:$A$36,0))&amp;"","UNMAPPED"))</f>
        <v/>
      </c>
      <c r="T1157" s="37" t="str">
        <f aca="false">IF($M1157="","",IF(NOT(ISNUMBER(R1157)),"NO DATE",IF(S1157="Won",IF(R1157&gt;Settings!$B$5,"Backlog","Delivered"),IF(S1157="Open",IF(R1157&gt;Settings!$B$5,"Pipeline","Overdue"),IF(S1157="Lost","Lost","UNMAPPED")))))</f>
        <v/>
      </c>
      <c r="U1157" s="40" t="n">
        <f aca="false">IF(T1157="Backlog",1,IF(OR(T1157="Pipeline",T1157="Overdue"),N(INDEX(Settings!$C$27:$C$36,MATCH(L1157,Settings!$A$27:$A$36,0))),0))</f>
        <v>0</v>
      </c>
      <c r="V1157" s="38" t="n">
        <f aca="false">Q1157*U1157</f>
        <v>0</v>
      </c>
      <c r="W1157" s="41" t="str">
        <f aca="false">IF($M1157="","",IF(T1157="Overdue",IF(Settings!$B$8="Yes",Settings!$B$7,""),IF(ISNUMBER(R1157),DATE(YEAR(R1157),MONTH(R1157),1),"")))</f>
        <v/>
      </c>
      <c r="X1157" s="38" t="n">
        <f aca="false">IF(AND(OR(T1157="Backlog",T1157="Pipeline",T1157="Overdue"),ISNUMBER(W1157)),IF(W1157&lt;=Settings!$B$6,V1157,0),0)</f>
        <v>0</v>
      </c>
      <c r="Y1157" s="38" t="n">
        <f aca="false">IF(AND(OR(T1157="Backlog",T1157="Pipeline",T1157="Overdue"),ISNUMBER(W1157)),IF(W1157&lt;=Settings!$B$6,Q1157,0),0)</f>
        <v>0</v>
      </c>
      <c r="Z1157" s="38" t="n">
        <f aca="false">IF(Y1157=0,0,IF(T1157="Backlog",Q1157,Q1157*Dashboard!$C$10))</f>
        <v>0</v>
      </c>
      <c r="AA1157" s="37" t="n">
        <f aca="false">IF($N1157="",0,IF(COUNTIF(Dashboard!$C$13:$C$22,$N1157)&gt;0,1,0))</f>
        <v>0</v>
      </c>
      <c r="AB1157" s="37" t="str">
        <f aca="false">IF($N1157="","",IF(COUNTIF($N$8:$N1157,$N1157)=1,MAX($AB$7:$AB1156)+1,""))</f>
        <v/>
      </c>
    </row>
    <row r="1158" customFormat="false" ht="15" hidden="false" customHeight="false" outlineLevel="0" collapsed="false">
      <c r="L1158" s="37" t="str">
        <f aca="false">IF(INDEX($A1158:$J1158,$L$6)&lt;&gt;"",TRIM(LEFT(INDEX($A1158:$J1158,$L$6),FIND("(",INDEX($A1158:$J1158,$L$6)&amp;"(")-1)),L1157)</f>
        <v>Building Value Proposition</v>
      </c>
      <c r="M1158" s="37" t="str">
        <f aca="false">IF(INDEX($A1158:$J1158,$M$6)="","",INDEX($A1158:$J1158,$M$6)&amp;"")</f>
        <v/>
      </c>
      <c r="N1158" s="37" t="str">
        <f aca="false">IF($M1158="","",TRIM(INDEX($A1158:$J1158,$N$6)&amp;""))</f>
        <v/>
      </c>
      <c r="O1158" s="37" t="str">
        <f aca="false">IF($M1158="","",TRIM(INDEX($A1158:$J1158,$O$6)&amp;""))</f>
        <v/>
      </c>
      <c r="P1158" s="37" t="str">
        <f aca="false">IF($M1158="","",IFERROR(IF(INDEX(Settings!$B$41:$B$50,MATCH(O1158,Settings!$A$41:$A$50,0))&amp;""="","UNMAPPED",INDEX(Settings!$B$41:$B$50,MATCH(O1158,Settings!$A$41:$A$50,0))&amp;""),"UNMAPPED"))</f>
        <v/>
      </c>
      <c r="Q1158" s="38" t="n">
        <f aca="false">IF($M1158="",0,N(INDEX($A1158:$J1158,$Q$6)))</f>
        <v>0</v>
      </c>
      <c r="R1158" s="39" t="str">
        <f aca="false">IF($M1158="","",INDEX($A1158:$J1158,$R$6))</f>
        <v/>
      </c>
      <c r="S1158" s="37" t="str">
        <f aca="false">IF($M1158="","",IFERROR(INDEX(Settings!$B$27:$B$36,MATCH(L1158,Settings!$A$27:$A$36,0))&amp;"","UNMAPPED"))</f>
        <v/>
      </c>
      <c r="T1158" s="37" t="str">
        <f aca="false">IF($M1158="","",IF(NOT(ISNUMBER(R1158)),"NO DATE",IF(S1158="Won",IF(R1158&gt;Settings!$B$5,"Backlog","Delivered"),IF(S1158="Open",IF(R1158&gt;Settings!$B$5,"Pipeline","Overdue"),IF(S1158="Lost","Lost","UNMAPPED")))))</f>
        <v/>
      </c>
      <c r="U1158" s="40" t="n">
        <f aca="false">IF(T1158="Backlog",1,IF(OR(T1158="Pipeline",T1158="Overdue"),N(INDEX(Settings!$C$27:$C$36,MATCH(L1158,Settings!$A$27:$A$36,0))),0))</f>
        <v>0</v>
      </c>
      <c r="V1158" s="38" t="n">
        <f aca="false">Q1158*U1158</f>
        <v>0</v>
      </c>
      <c r="W1158" s="41" t="str">
        <f aca="false">IF($M1158="","",IF(T1158="Overdue",IF(Settings!$B$8="Yes",Settings!$B$7,""),IF(ISNUMBER(R1158),DATE(YEAR(R1158),MONTH(R1158),1),"")))</f>
        <v/>
      </c>
      <c r="X1158" s="38" t="n">
        <f aca="false">IF(AND(OR(T1158="Backlog",T1158="Pipeline",T1158="Overdue"),ISNUMBER(W1158)),IF(W1158&lt;=Settings!$B$6,V1158,0),0)</f>
        <v>0</v>
      </c>
      <c r="Y1158" s="38" t="n">
        <f aca="false">IF(AND(OR(T1158="Backlog",T1158="Pipeline",T1158="Overdue"),ISNUMBER(W1158)),IF(W1158&lt;=Settings!$B$6,Q1158,0),0)</f>
        <v>0</v>
      </c>
      <c r="Z1158" s="38" t="n">
        <f aca="false">IF(Y1158=0,0,IF(T1158="Backlog",Q1158,Q1158*Dashboard!$C$10))</f>
        <v>0</v>
      </c>
      <c r="AA1158" s="37" t="n">
        <f aca="false">IF($N1158="",0,IF(COUNTIF(Dashboard!$C$13:$C$22,$N1158)&gt;0,1,0))</f>
        <v>0</v>
      </c>
      <c r="AB1158" s="37" t="str">
        <f aca="false">IF($N1158="","",IF(COUNTIF($N$8:$N1158,$N1158)=1,MAX($AB$7:$AB1157)+1,""))</f>
        <v/>
      </c>
    </row>
    <row r="1159" customFormat="false" ht="15" hidden="false" customHeight="false" outlineLevel="0" collapsed="false">
      <c r="L1159" s="37" t="str">
        <f aca="false">IF(INDEX($A1159:$J1159,$L$6)&lt;&gt;"",TRIM(LEFT(INDEX($A1159:$J1159,$L$6),FIND("(",INDEX($A1159:$J1159,$L$6)&amp;"(")-1)),L1158)</f>
        <v>Building Value Proposition</v>
      </c>
      <c r="M1159" s="37" t="str">
        <f aca="false">IF(INDEX($A1159:$J1159,$M$6)="","",INDEX($A1159:$J1159,$M$6)&amp;"")</f>
        <v/>
      </c>
      <c r="N1159" s="37" t="str">
        <f aca="false">IF($M1159="","",TRIM(INDEX($A1159:$J1159,$N$6)&amp;""))</f>
        <v/>
      </c>
      <c r="O1159" s="37" t="str">
        <f aca="false">IF($M1159="","",TRIM(INDEX($A1159:$J1159,$O$6)&amp;""))</f>
        <v/>
      </c>
      <c r="P1159" s="37" t="str">
        <f aca="false">IF($M1159="","",IFERROR(IF(INDEX(Settings!$B$41:$B$50,MATCH(O1159,Settings!$A$41:$A$50,0))&amp;""="","UNMAPPED",INDEX(Settings!$B$41:$B$50,MATCH(O1159,Settings!$A$41:$A$50,0))&amp;""),"UNMAPPED"))</f>
        <v/>
      </c>
      <c r="Q1159" s="38" t="n">
        <f aca="false">IF($M1159="",0,N(INDEX($A1159:$J1159,$Q$6)))</f>
        <v>0</v>
      </c>
      <c r="R1159" s="39" t="str">
        <f aca="false">IF($M1159="","",INDEX($A1159:$J1159,$R$6))</f>
        <v/>
      </c>
      <c r="S1159" s="37" t="str">
        <f aca="false">IF($M1159="","",IFERROR(INDEX(Settings!$B$27:$B$36,MATCH(L1159,Settings!$A$27:$A$36,0))&amp;"","UNMAPPED"))</f>
        <v/>
      </c>
      <c r="T1159" s="37" t="str">
        <f aca="false">IF($M1159="","",IF(NOT(ISNUMBER(R1159)),"NO DATE",IF(S1159="Won",IF(R1159&gt;Settings!$B$5,"Backlog","Delivered"),IF(S1159="Open",IF(R1159&gt;Settings!$B$5,"Pipeline","Overdue"),IF(S1159="Lost","Lost","UNMAPPED")))))</f>
        <v/>
      </c>
      <c r="U1159" s="40" t="n">
        <f aca="false">IF(T1159="Backlog",1,IF(OR(T1159="Pipeline",T1159="Overdue"),N(INDEX(Settings!$C$27:$C$36,MATCH(L1159,Settings!$A$27:$A$36,0))),0))</f>
        <v>0</v>
      </c>
      <c r="V1159" s="38" t="n">
        <f aca="false">Q1159*U1159</f>
        <v>0</v>
      </c>
      <c r="W1159" s="41" t="str">
        <f aca="false">IF($M1159="","",IF(T1159="Overdue",IF(Settings!$B$8="Yes",Settings!$B$7,""),IF(ISNUMBER(R1159),DATE(YEAR(R1159),MONTH(R1159),1),"")))</f>
        <v/>
      </c>
      <c r="X1159" s="38" t="n">
        <f aca="false">IF(AND(OR(T1159="Backlog",T1159="Pipeline",T1159="Overdue"),ISNUMBER(W1159)),IF(W1159&lt;=Settings!$B$6,V1159,0),0)</f>
        <v>0</v>
      </c>
      <c r="Y1159" s="38" t="n">
        <f aca="false">IF(AND(OR(T1159="Backlog",T1159="Pipeline",T1159="Overdue"),ISNUMBER(W1159)),IF(W1159&lt;=Settings!$B$6,Q1159,0),0)</f>
        <v>0</v>
      </c>
      <c r="Z1159" s="38" t="n">
        <f aca="false">IF(Y1159=0,0,IF(T1159="Backlog",Q1159,Q1159*Dashboard!$C$10))</f>
        <v>0</v>
      </c>
      <c r="AA1159" s="37" t="n">
        <f aca="false">IF($N1159="",0,IF(COUNTIF(Dashboard!$C$13:$C$22,$N1159)&gt;0,1,0))</f>
        <v>0</v>
      </c>
      <c r="AB1159" s="37" t="str">
        <f aca="false">IF($N1159="","",IF(COUNTIF($N$8:$N1159,$N1159)=1,MAX($AB$7:$AB1158)+1,""))</f>
        <v/>
      </c>
    </row>
    <row r="1160" customFormat="false" ht="15" hidden="false" customHeight="false" outlineLevel="0" collapsed="false">
      <c r="L1160" s="37" t="str">
        <f aca="false">IF(INDEX($A1160:$J1160,$L$6)&lt;&gt;"",TRIM(LEFT(INDEX($A1160:$J1160,$L$6),FIND("(",INDEX($A1160:$J1160,$L$6)&amp;"(")-1)),L1159)</f>
        <v>Building Value Proposition</v>
      </c>
      <c r="M1160" s="37" t="str">
        <f aca="false">IF(INDEX($A1160:$J1160,$M$6)="","",INDEX($A1160:$J1160,$M$6)&amp;"")</f>
        <v/>
      </c>
      <c r="N1160" s="37" t="str">
        <f aca="false">IF($M1160="","",TRIM(INDEX($A1160:$J1160,$N$6)&amp;""))</f>
        <v/>
      </c>
      <c r="O1160" s="37" t="str">
        <f aca="false">IF($M1160="","",TRIM(INDEX($A1160:$J1160,$O$6)&amp;""))</f>
        <v/>
      </c>
      <c r="P1160" s="37" t="str">
        <f aca="false">IF($M1160="","",IFERROR(IF(INDEX(Settings!$B$41:$B$50,MATCH(O1160,Settings!$A$41:$A$50,0))&amp;""="","UNMAPPED",INDEX(Settings!$B$41:$B$50,MATCH(O1160,Settings!$A$41:$A$50,0))&amp;""),"UNMAPPED"))</f>
        <v/>
      </c>
      <c r="Q1160" s="38" t="n">
        <f aca="false">IF($M1160="",0,N(INDEX($A1160:$J1160,$Q$6)))</f>
        <v>0</v>
      </c>
      <c r="R1160" s="39" t="str">
        <f aca="false">IF($M1160="","",INDEX($A1160:$J1160,$R$6))</f>
        <v/>
      </c>
      <c r="S1160" s="37" t="str">
        <f aca="false">IF($M1160="","",IFERROR(INDEX(Settings!$B$27:$B$36,MATCH(L1160,Settings!$A$27:$A$36,0))&amp;"","UNMAPPED"))</f>
        <v/>
      </c>
      <c r="T1160" s="37" t="str">
        <f aca="false">IF($M1160="","",IF(NOT(ISNUMBER(R1160)),"NO DATE",IF(S1160="Won",IF(R1160&gt;Settings!$B$5,"Backlog","Delivered"),IF(S1160="Open",IF(R1160&gt;Settings!$B$5,"Pipeline","Overdue"),IF(S1160="Lost","Lost","UNMAPPED")))))</f>
        <v/>
      </c>
      <c r="U1160" s="40" t="n">
        <f aca="false">IF(T1160="Backlog",1,IF(OR(T1160="Pipeline",T1160="Overdue"),N(INDEX(Settings!$C$27:$C$36,MATCH(L1160,Settings!$A$27:$A$36,0))),0))</f>
        <v>0</v>
      </c>
      <c r="V1160" s="38" t="n">
        <f aca="false">Q1160*U1160</f>
        <v>0</v>
      </c>
      <c r="W1160" s="41" t="str">
        <f aca="false">IF($M1160="","",IF(T1160="Overdue",IF(Settings!$B$8="Yes",Settings!$B$7,""),IF(ISNUMBER(R1160),DATE(YEAR(R1160),MONTH(R1160),1),"")))</f>
        <v/>
      </c>
      <c r="X1160" s="38" t="n">
        <f aca="false">IF(AND(OR(T1160="Backlog",T1160="Pipeline",T1160="Overdue"),ISNUMBER(W1160)),IF(W1160&lt;=Settings!$B$6,V1160,0),0)</f>
        <v>0</v>
      </c>
      <c r="Y1160" s="38" t="n">
        <f aca="false">IF(AND(OR(T1160="Backlog",T1160="Pipeline",T1160="Overdue"),ISNUMBER(W1160)),IF(W1160&lt;=Settings!$B$6,Q1160,0),0)</f>
        <v>0</v>
      </c>
      <c r="Z1160" s="38" t="n">
        <f aca="false">IF(Y1160=0,0,IF(T1160="Backlog",Q1160,Q1160*Dashboard!$C$10))</f>
        <v>0</v>
      </c>
      <c r="AA1160" s="37" t="n">
        <f aca="false">IF($N1160="",0,IF(COUNTIF(Dashboard!$C$13:$C$22,$N1160)&gt;0,1,0))</f>
        <v>0</v>
      </c>
      <c r="AB1160" s="37" t="str">
        <f aca="false">IF($N1160="","",IF(COUNTIF($N$8:$N1160,$N1160)=1,MAX($AB$7:$AB1159)+1,""))</f>
        <v/>
      </c>
    </row>
    <row r="1161" customFormat="false" ht="15" hidden="false" customHeight="false" outlineLevel="0" collapsed="false">
      <c r="L1161" s="37" t="str">
        <f aca="false">IF(INDEX($A1161:$J1161,$L$6)&lt;&gt;"",TRIM(LEFT(INDEX($A1161:$J1161,$L$6),FIND("(",INDEX($A1161:$J1161,$L$6)&amp;"(")-1)),L1160)</f>
        <v>Building Value Proposition</v>
      </c>
      <c r="M1161" s="37" t="str">
        <f aca="false">IF(INDEX($A1161:$J1161,$M$6)="","",INDEX($A1161:$J1161,$M$6)&amp;"")</f>
        <v/>
      </c>
      <c r="N1161" s="37" t="str">
        <f aca="false">IF($M1161="","",TRIM(INDEX($A1161:$J1161,$N$6)&amp;""))</f>
        <v/>
      </c>
      <c r="O1161" s="37" t="str">
        <f aca="false">IF($M1161="","",TRIM(INDEX($A1161:$J1161,$O$6)&amp;""))</f>
        <v/>
      </c>
      <c r="P1161" s="37" t="str">
        <f aca="false">IF($M1161="","",IFERROR(IF(INDEX(Settings!$B$41:$B$50,MATCH(O1161,Settings!$A$41:$A$50,0))&amp;""="","UNMAPPED",INDEX(Settings!$B$41:$B$50,MATCH(O1161,Settings!$A$41:$A$50,0))&amp;""),"UNMAPPED"))</f>
        <v/>
      </c>
      <c r="Q1161" s="38" t="n">
        <f aca="false">IF($M1161="",0,N(INDEX($A1161:$J1161,$Q$6)))</f>
        <v>0</v>
      </c>
      <c r="R1161" s="39" t="str">
        <f aca="false">IF($M1161="","",INDEX($A1161:$J1161,$R$6))</f>
        <v/>
      </c>
      <c r="S1161" s="37" t="str">
        <f aca="false">IF($M1161="","",IFERROR(INDEX(Settings!$B$27:$B$36,MATCH(L1161,Settings!$A$27:$A$36,0))&amp;"","UNMAPPED"))</f>
        <v/>
      </c>
      <c r="T1161" s="37" t="str">
        <f aca="false">IF($M1161="","",IF(NOT(ISNUMBER(R1161)),"NO DATE",IF(S1161="Won",IF(R1161&gt;Settings!$B$5,"Backlog","Delivered"),IF(S1161="Open",IF(R1161&gt;Settings!$B$5,"Pipeline","Overdue"),IF(S1161="Lost","Lost","UNMAPPED")))))</f>
        <v/>
      </c>
      <c r="U1161" s="40" t="n">
        <f aca="false">IF(T1161="Backlog",1,IF(OR(T1161="Pipeline",T1161="Overdue"),N(INDEX(Settings!$C$27:$C$36,MATCH(L1161,Settings!$A$27:$A$36,0))),0))</f>
        <v>0</v>
      </c>
      <c r="V1161" s="38" t="n">
        <f aca="false">Q1161*U1161</f>
        <v>0</v>
      </c>
      <c r="W1161" s="41" t="str">
        <f aca="false">IF($M1161="","",IF(T1161="Overdue",IF(Settings!$B$8="Yes",Settings!$B$7,""),IF(ISNUMBER(R1161),DATE(YEAR(R1161),MONTH(R1161),1),"")))</f>
        <v/>
      </c>
      <c r="X1161" s="38" t="n">
        <f aca="false">IF(AND(OR(T1161="Backlog",T1161="Pipeline",T1161="Overdue"),ISNUMBER(W1161)),IF(W1161&lt;=Settings!$B$6,V1161,0),0)</f>
        <v>0</v>
      </c>
      <c r="Y1161" s="38" t="n">
        <f aca="false">IF(AND(OR(T1161="Backlog",T1161="Pipeline",T1161="Overdue"),ISNUMBER(W1161)),IF(W1161&lt;=Settings!$B$6,Q1161,0),0)</f>
        <v>0</v>
      </c>
      <c r="Z1161" s="38" t="n">
        <f aca="false">IF(Y1161=0,0,IF(T1161="Backlog",Q1161,Q1161*Dashboard!$C$10))</f>
        <v>0</v>
      </c>
      <c r="AA1161" s="37" t="n">
        <f aca="false">IF($N1161="",0,IF(COUNTIF(Dashboard!$C$13:$C$22,$N1161)&gt;0,1,0))</f>
        <v>0</v>
      </c>
      <c r="AB1161" s="37" t="str">
        <f aca="false">IF($N1161="","",IF(COUNTIF($N$8:$N1161,$N1161)=1,MAX($AB$7:$AB1160)+1,""))</f>
        <v/>
      </c>
    </row>
    <row r="1162" customFormat="false" ht="15" hidden="false" customHeight="false" outlineLevel="0" collapsed="false">
      <c r="L1162" s="37" t="str">
        <f aca="false">IF(INDEX($A1162:$J1162,$L$6)&lt;&gt;"",TRIM(LEFT(INDEX($A1162:$J1162,$L$6),FIND("(",INDEX($A1162:$J1162,$L$6)&amp;"(")-1)),L1161)</f>
        <v>Building Value Proposition</v>
      </c>
      <c r="M1162" s="37" t="str">
        <f aca="false">IF(INDEX($A1162:$J1162,$M$6)="","",INDEX($A1162:$J1162,$M$6)&amp;"")</f>
        <v/>
      </c>
      <c r="N1162" s="37" t="str">
        <f aca="false">IF($M1162="","",TRIM(INDEX($A1162:$J1162,$N$6)&amp;""))</f>
        <v/>
      </c>
      <c r="O1162" s="37" t="str">
        <f aca="false">IF($M1162="","",TRIM(INDEX($A1162:$J1162,$O$6)&amp;""))</f>
        <v/>
      </c>
      <c r="P1162" s="37" t="str">
        <f aca="false">IF($M1162="","",IFERROR(IF(INDEX(Settings!$B$41:$B$50,MATCH(O1162,Settings!$A$41:$A$50,0))&amp;""="","UNMAPPED",INDEX(Settings!$B$41:$B$50,MATCH(O1162,Settings!$A$41:$A$50,0))&amp;""),"UNMAPPED"))</f>
        <v/>
      </c>
      <c r="Q1162" s="38" t="n">
        <f aca="false">IF($M1162="",0,N(INDEX($A1162:$J1162,$Q$6)))</f>
        <v>0</v>
      </c>
      <c r="R1162" s="39" t="str">
        <f aca="false">IF($M1162="","",INDEX($A1162:$J1162,$R$6))</f>
        <v/>
      </c>
      <c r="S1162" s="37" t="str">
        <f aca="false">IF($M1162="","",IFERROR(INDEX(Settings!$B$27:$B$36,MATCH(L1162,Settings!$A$27:$A$36,0))&amp;"","UNMAPPED"))</f>
        <v/>
      </c>
      <c r="T1162" s="37" t="str">
        <f aca="false">IF($M1162="","",IF(NOT(ISNUMBER(R1162)),"NO DATE",IF(S1162="Won",IF(R1162&gt;Settings!$B$5,"Backlog","Delivered"),IF(S1162="Open",IF(R1162&gt;Settings!$B$5,"Pipeline","Overdue"),IF(S1162="Lost","Lost","UNMAPPED")))))</f>
        <v/>
      </c>
      <c r="U1162" s="40" t="n">
        <f aca="false">IF(T1162="Backlog",1,IF(OR(T1162="Pipeline",T1162="Overdue"),N(INDEX(Settings!$C$27:$C$36,MATCH(L1162,Settings!$A$27:$A$36,0))),0))</f>
        <v>0</v>
      </c>
      <c r="V1162" s="38" t="n">
        <f aca="false">Q1162*U1162</f>
        <v>0</v>
      </c>
      <c r="W1162" s="41" t="str">
        <f aca="false">IF($M1162="","",IF(T1162="Overdue",IF(Settings!$B$8="Yes",Settings!$B$7,""),IF(ISNUMBER(R1162),DATE(YEAR(R1162),MONTH(R1162),1),"")))</f>
        <v/>
      </c>
      <c r="X1162" s="38" t="n">
        <f aca="false">IF(AND(OR(T1162="Backlog",T1162="Pipeline",T1162="Overdue"),ISNUMBER(W1162)),IF(W1162&lt;=Settings!$B$6,V1162,0),0)</f>
        <v>0</v>
      </c>
      <c r="Y1162" s="38" t="n">
        <f aca="false">IF(AND(OR(T1162="Backlog",T1162="Pipeline",T1162="Overdue"),ISNUMBER(W1162)),IF(W1162&lt;=Settings!$B$6,Q1162,0),0)</f>
        <v>0</v>
      </c>
      <c r="Z1162" s="38" t="n">
        <f aca="false">IF(Y1162=0,0,IF(T1162="Backlog",Q1162,Q1162*Dashboard!$C$10))</f>
        <v>0</v>
      </c>
      <c r="AA1162" s="37" t="n">
        <f aca="false">IF($N1162="",0,IF(COUNTIF(Dashboard!$C$13:$C$22,$N1162)&gt;0,1,0))</f>
        <v>0</v>
      </c>
      <c r="AB1162" s="37" t="str">
        <f aca="false">IF($N1162="","",IF(COUNTIF($N$8:$N1162,$N1162)=1,MAX($AB$7:$AB1161)+1,""))</f>
        <v/>
      </c>
    </row>
    <row r="1163" customFormat="false" ht="15" hidden="false" customHeight="false" outlineLevel="0" collapsed="false">
      <c r="L1163" s="37" t="str">
        <f aca="false">IF(INDEX($A1163:$J1163,$L$6)&lt;&gt;"",TRIM(LEFT(INDEX($A1163:$J1163,$L$6),FIND("(",INDEX($A1163:$J1163,$L$6)&amp;"(")-1)),L1162)</f>
        <v>Building Value Proposition</v>
      </c>
      <c r="M1163" s="37" t="str">
        <f aca="false">IF(INDEX($A1163:$J1163,$M$6)="","",INDEX($A1163:$J1163,$M$6)&amp;"")</f>
        <v/>
      </c>
      <c r="N1163" s="37" t="str">
        <f aca="false">IF($M1163="","",TRIM(INDEX($A1163:$J1163,$N$6)&amp;""))</f>
        <v/>
      </c>
      <c r="O1163" s="37" t="str">
        <f aca="false">IF($M1163="","",TRIM(INDEX($A1163:$J1163,$O$6)&amp;""))</f>
        <v/>
      </c>
      <c r="P1163" s="37" t="str">
        <f aca="false">IF($M1163="","",IFERROR(IF(INDEX(Settings!$B$41:$B$50,MATCH(O1163,Settings!$A$41:$A$50,0))&amp;""="","UNMAPPED",INDEX(Settings!$B$41:$B$50,MATCH(O1163,Settings!$A$41:$A$50,0))&amp;""),"UNMAPPED"))</f>
        <v/>
      </c>
      <c r="Q1163" s="38" t="n">
        <f aca="false">IF($M1163="",0,N(INDEX($A1163:$J1163,$Q$6)))</f>
        <v>0</v>
      </c>
      <c r="R1163" s="39" t="str">
        <f aca="false">IF($M1163="","",INDEX($A1163:$J1163,$R$6))</f>
        <v/>
      </c>
      <c r="S1163" s="37" t="str">
        <f aca="false">IF($M1163="","",IFERROR(INDEX(Settings!$B$27:$B$36,MATCH(L1163,Settings!$A$27:$A$36,0))&amp;"","UNMAPPED"))</f>
        <v/>
      </c>
      <c r="T1163" s="37" t="str">
        <f aca="false">IF($M1163="","",IF(NOT(ISNUMBER(R1163)),"NO DATE",IF(S1163="Won",IF(R1163&gt;Settings!$B$5,"Backlog","Delivered"),IF(S1163="Open",IF(R1163&gt;Settings!$B$5,"Pipeline","Overdue"),IF(S1163="Lost","Lost","UNMAPPED")))))</f>
        <v/>
      </c>
      <c r="U1163" s="40" t="n">
        <f aca="false">IF(T1163="Backlog",1,IF(OR(T1163="Pipeline",T1163="Overdue"),N(INDEX(Settings!$C$27:$C$36,MATCH(L1163,Settings!$A$27:$A$36,0))),0))</f>
        <v>0</v>
      </c>
      <c r="V1163" s="38" t="n">
        <f aca="false">Q1163*U1163</f>
        <v>0</v>
      </c>
      <c r="W1163" s="41" t="str">
        <f aca="false">IF($M1163="","",IF(T1163="Overdue",IF(Settings!$B$8="Yes",Settings!$B$7,""),IF(ISNUMBER(R1163),DATE(YEAR(R1163),MONTH(R1163),1),"")))</f>
        <v/>
      </c>
      <c r="X1163" s="38" t="n">
        <f aca="false">IF(AND(OR(T1163="Backlog",T1163="Pipeline",T1163="Overdue"),ISNUMBER(W1163)),IF(W1163&lt;=Settings!$B$6,V1163,0),0)</f>
        <v>0</v>
      </c>
      <c r="Y1163" s="38" t="n">
        <f aca="false">IF(AND(OR(T1163="Backlog",T1163="Pipeline",T1163="Overdue"),ISNUMBER(W1163)),IF(W1163&lt;=Settings!$B$6,Q1163,0),0)</f>
        <v>0</v>
      </c>
      <c r="Z1163" s="38" t="n">
        <f aca="false">IF(Y1163=0,0,IF(T1163="Backlog",Q1163,Q1163*Dashboard!$C$10))</f>
        <v>0</v>
      </c>
      <c r="AA1163" s="37" t="n">
        <f aca="false">IF($N1163="",0,IF(COUNTIF(Dashboard!$C$13:$C$22,$N1163)&gt;0,1,0))</f>
        <v>0</v>
      </c>
      <c r="AB1163" s="37" t="str">
        <f aca="false">IF($N1163="","",IF(COUNTIF($N$8:$N1163,$N1163)=1,MAX($AB$7:$AB1162)+1,""))</f>
        <v/>
      </c>
    </row>
    <row r="1164" customFormat="false" ht="15" hidden="false" customHeight="false" outlineLevel="0" collapsed="false">
      <c r="L1164" s="37" t="str">
        <f aca="false">IF(INDEX($A1164:$J1164,$L$6)&lt;&gt;"",TRIM(LEFT(INDEX($A1164:$J1164,$L$6),FIND("(",INDEX($A1164:$J1164,$L$6)&amp;"(")-1)),L1163)</f>
        <v>Building Value Proposition</v>
      </c>
      <c r="M1164" s="37" t="str">
        <f aca="false">IF(INDEX($A1164:$J1164,$M$6)="","",INDEX($A1164:$J1164,$M$6)&amp;"")</f>
        <v/>
      </c>
      <c r="N1164" s="37" t="str">
        <f aca="false">IF($M1164="","",TRIM(INDEX($A1164:$J1164,$N$6)&amp;""))</f>
        <v/>
      </c>
      <c r="O1164" s="37" t="str">
        <f aca="false">IF($M1164="","",TRIM(INDEX($A1164:$J1164,$O$6)&amp;""))</f>
        <v/>
      </c>
      <c r="P1164" s="37" t="str">
        <f aca="false">IF($M1164="","",IFERROR(IF(INDEX(Settings!$B$41:$B$50,MATCH(O1164,Settings!$A$41:$A$50,0))&amp;""="","UNMAPPED",INDEX(Settings!$B$41:$B$50,MATCH(O1164,Settings!$A$41:$A$50,0))&amp;""),"UNMAPPED"))</f>
        <v/>
      </c>
      <c r="Q1164" s="38" t="n">
        <f aca="false">IF($M1164="",0,N(INDEX($A1164:$J1164,$Q$6)))</f>
        <v>0</v>
      </c>
      <c r="R1164" s="39" t="str">
        <f aca="false">IF($M1164="","",INDEX($A1164:$J1164,$R$6))</f>
        <v/>
      </c>
      <c r="S1164" s="37" t="str">
        <f aca="false">IF($M1164="","",IFERROR(INDEX(Settings!$B$27:$B$36,MATCH(L1164,Settings!$A$27:$A$36,0))&amp;"","UNMAPPED"))</f>
        <v/>
      </c>
      <c r="T1164" s="37" t="str">
        <f aca="false">IF($M1164="","",IF(NOT(ISNUMBER(R1164)),"NO DATE",IF(S1164="Won",IF(R1164&gt;Settings!$B$5,"Backlog","Delivered"),IF(S1164="Open",IF(R1164&gt;Settings!$B$5,"Pipeline","Overdue"),IF(S1164="Lost","Lost","UNMAPPED")))))</f>
        <v/>
      </c>
      <c r="U1164" s="40" t="n">
        <f aca="false">IF(T1164="Backlog",1,IF(OR(T1164="Pipeline",T1164="Overdue"),N(INDEX(Settings!$C$27:$C$36,MATCH(L1164,Settings!$A$27:$A$36,0))),0))</f>
        <v>0</v>
      </c>
      <c r="V1164" s="38" t="n">
        <f aca="false">Q1164*U1164</f>
        <v>0</v>
      </c>
      <c r="W1164" s="41" t="str">
        <f aca="false">IF($M1164="","",IF(T1164="Overdue",IF(Settings!$B$8="Yes",Settings!$B$7,""),IF(ISNUMBER(R1164),DATE(YEAR(R1164),MONTH(R1164),1),"")))</f>
        <v/>
      </c>
      <c r="X1164" s="38" t="n">
        <f aca="false">IF(AND(OR(T1164="Backlog",T1164="Pipeline",T1164="Overdue"),ISNUMBER(W1164)),IF(W1164&lt;=Settings!$B$6,V1164,0),0)</f>
        <v>0</v>
      </c>
      <c r="Y1164" s="38" t="n">
        <f aca="false">IF(AND(OR(T1164="Backlog",T1164="Pipeline",T1164="Overdue"),ISNUMBER(W1164)),IF(W1164&lt;=Settings!$B$6,Q1164,0),0)</f>
        <v>0</v>
      </c>
      <c r="Z1164" s="38" t="n">
        <f aca="false">IF(Y1164=0,0,IF(T1164="Backlog",Q1164,Q1164*Dashboard!$C$10))</f>
        <v>0</v>
      </c>
      <c r="AA1164" s="37" t="n">
        <f aca="false">IF($N1164="",0,IF(COUNTIF(Dashboard!$C$13:$C$22,$N1164)&gt;0,1,0))</f>
        <v>0</v>
      </c>
      <c r="AB1164" s="37" t="str">
        <f aca="false">IF($N1164="","",IF(COUNTIF($N$8:$N1164,$N1164)=1,MAX($AB$7:$AB1163)+1,""))</f>
        <v/>
      </c>
    </row>
    <row r="1165" customFormat="false" ht="15" hidden="false" customHeight="false" outlineLevel="0" collapsed="false">
      <c r="L1165" s="37" t="str">
        <f aca="false">IF(INDEX($A1165:$J1165,$L$6)&lt;&gt;"",TRIM(LEFT(INDEX($A1165:$J1165,$L$6),FIND("(",INDEX($A1165:$J1165,$L$6)&amp;"(")-1)),L1164)</f>
        <v>Building Value Proposition</v>
      </c>
      <c r="M1165" s="37" t="str">
        <f aca="false">IF(INDEX($A1165:$J1165,$M$6)="","",INDEX($A1165:$J1165,$M$6)&amp;"")</f>
        <v/>
      </c>
      <c r="N1165" s="37" t="str">
        <f aca="false">IF($M1165="","",TRIM(INDEX($A1165:$J1165,$N$6)&amp;""))</f>
        <v/>
      </c>
      <c r="O1165" s="37" t="str">
        <f aca="false">IF($M1165="","",TRIM(INDEX($A1165:$J1165,$O$6)&amp;""))</f>
        <v/>
      </c>
      <c r="P1165" s="37" t="str">
        <f aca="false">IF($M1165="","",IFERROR(IF(INDEX(Settings!$B$41:$B$50,MATCH(O1165,Settings!$A$41:$A$50,0))&amp;""="","UNMAPPED",INDEX(Settings!$B$41:$B$50,MATCH(O1165,Settings!$A$41:$A$50,0))&amp;""),"UNMAPPED"))</f>
        <v/>
      </c>
      <c r="Q1165" s="38" t="n">
        <f aca="false">IF($M1165="",0,N(INDEX($A1165:$J1165,$Q$6)))</f>
        <v>0</v>
      </c>
      <c r="R1165" s="39" t="str">
        <f aca="false">IF($M1165="","",INDEX($A1165:$J1165,$R$6))</f>
        <v/>
      </c>
      <c r="S1165" s="37" t="str">
        <f aca="false">IF($M1165="","",IFERROR(INDEX(Settings!$B$27:$B$36,MATCH(L1165,Settings!$A$27:$A$36,0))&amp;"","UNMAPPED"))</f>
        <v/>
      </c>
      <c r="T1165" s="37" t="str">
        <f aca="false">IF($M1165="","",IF(NOT(ISNUMBER(R1165)),"NO DATE",IF(S1165="Won",IF(R1165&gt;Settings!$B$5,"Backlog","Delivered"),IF(S1165="Open",IF(R1165&gt;Settings!$B$5,"Pipeline","Overdue"),IF(S1165="Lost","Lost","UNMAPPED")))))</f>
        <v/>
      </c>
      <c r="U1165" s="40" t="n">
        <f aca="false">IF(T1165="Backlog",1,IF(OR(T1165="Pipeline",T1165="Overdue"),N(INDEX(Settings!$C$27:$C$36,MATCH(L1165,Settings!$A$27:$A$36,0))),0))</f>
        <v>0</v>
      </c>
      <c r="V1165" s="38" t="n">
        <f aca="false">Q1165*U1165</f>
        <v>0</v>
      </c>
      <c r="W1165" s="41" t="str">
        <f aca="false">IF($M1165="","",IF(T1165="Overdue",IF(Settings!$B$8="Yes",Settings!$B$7,""),IF(ISNUMBER(R1165),DATE(YEAR(R1165),MONTH(R1165),1),"")))</f>
        <v/>
      </c>
      <c r="X1165" s="38" t="n">
        <f aca="false">IF(AND(OR(T1165="Backlog",T1165="Pipeline",T1165="Overdue"),ISNUMBER(W1165)),IF(W1165&lt;=Settings!$B$6,V1165,0),0)</f>
        <v>0</v>
      </c>
      <c r="Y1165" s="38" t="n">
        <f aca="false">IF(AND(OR(T1165="Backlog",T1165="Pipeline",T1165="Overdue"),ISNUMBER(W1165)),IF(W1165&lt;=Settings!$B$6,Q1165,0),0)</f>
        <v>0</v>
      </c>
      <c r="Z1165" s="38" t="n">
        <f aca="false">IF(Y1165=0,0,IF(T1165="Backlog",Q1165,Q1165*Dashboard!$C$10))</f>
        <v>0</v>
      </c>
      <c r="AA1165" s="37" t="n">
        <f aca="false">IF($N1165="",0,IF(COUNTIF(Dashboard!$C$13:$C$22,$N1165)&gt;0,1,0))</f>
        <v>0</v>
      </c>
      <c r="AB1165" s="37" t="str">
        <f aca="false">IF($N1165="","",IF(COUNTIF($N$8:$N1165,$N1165)=1,MAX($AB$7:$AB1164)+1,""))</f>
        <v/>
      </c>
    </row>
    <row r="1166" customFormat="false" ht="15" hidden="false" customHeight="false" outlineLevel="0" collapsed="false">
      <c r="L1166" s="37" t="str">
        <f aca="false">IF(INDEX($A1166:$J1166,$L$6)&lt;&gt;"",TRIM(LEFT(INDEX($A1166:$J1166,$L$6),FIND("(",INDEX($A1166:$J1166,$L$6)&amp;"(")-1)),L1165)</f>
        <v>Building Value Proposition</v>
      </c>
      <c r="M1166" s="37" t="str">
        <f aca="false">IF(INDEX($A1166:$J1166,$M$6)="","",INDEX($A1166:$J1166,$M$6)&amp;"")</f>
        <v/>
      </c>
      <c r="N1166" s="37" t="str">
        <f aca="false">IF($M1166="","",TRIM(INDEX($A1166:$J1166,$N$6)&amp;""))</f>
        <v/>
      </c>
      <c r="O1166" s="37" t="str">
        <f aca="false">IF($M1166="","",TRIM(INDEX($A1166:$J1166,$O$6)&amp;""))</f>
        <v/>
      </c>
      <c r="P1166" s="37" t="str">
        <f aca="false">IF($M1166="","",IFERROR(IF(INDEX(Settings!$B$41:$B$50,MATCH(O1166,Settings!$A$41:$A$50,0))&amp;""="","UNMAPPED",INDEX(Settings!$B$41:$B$50,MATCH(O1166,Settings!$A$41:$A$50,0))&amp;""),"UNMAPPED"))</f>
        <v/>
      </c>
      <c r="Q1166" s="38" t="n">
        <f aca="false">IF($M1166="",0,N(INDEX($A1166:$J1166,$Q$6)))</f>
        <v>0</v>
      </c>
      <c r="R1166" s="39" t="str">
        <f aca="false">IF($M1166="","",INDEX($A1166:$J1166,$R$6))</f>
        <v/>
      </c>
      <c r="S1166" s="37" t="str">
        <f aca="false">IF($M1166="","",IFERROR(INDEX(Settings!$B$27:$B$36,MATCH(L1166,Settings!$A$27:$A$36,0))&amp;"","UNMAPPED"))</f>
        <v/>
      </c>
      <c r="T1166" s="37" t="str">
        <f aca="false">IF($M1166="","",IF(NOT(ISNUMBER(R1166)),"NO DATE",IF(S1166="Won",IF(R1166&gt;Settings!$B$5,"Backlog","Delivered"),IF(S1166="Open",IF(R1166&gt;Settings!$B$5,"Pipeline","Overdue"),IF(S1166="Lost","Lost","UNMAPPED")))))</f>
        <v/>
      </c>
      <c r="U1166" s="40" t="n">
        <f aca="false">IF(T1166="Backlog",1,IF(OR(T1166="Pipeline",T1166="Overdue"),N(INDEX(Settings!$C$27:$C$36,MATCH(L1166,Settings!$A$27:$A$36,0))),0))</f>
        <v>0</v>
      </c>
      <c r="V1166" s="38" t="n">
        <f aca="false">Q1166*U1166</f>
        <v>0</v>
      </c>
      <c r="W1166" s="41" t="str">
        <f aca="false">IF($M1166="","",IF(T1166="Overdue",IF(Settings!$B$8="Yes",Settings!$B$7,""),IF(ISNUMBER(R1166),DATE(YEAR(R1166),MONTH(R1166),1),"")))</f>
        <v/>
      </c>
      <c r="X1166" s="38" t="n">
        <f aca="false">IF(AND(OR(T1166="Backlog",T1166="Pipeline",T1166="Overdue"),ISNUMBER(W1166)),IF(W1166&lt;=Settings!$B$6,V1166,0),0)</f>
        <v>0</v>
      </c>
      <c r="Y1166" s="38" t="n">
        <f aca="false">IF(AND(OR(T1166="Backlog",T1166="Pipeline",T1166="Overdue"),ISNUMBER(W1166)),IF(W1166&lt;=Settings!$B$6,Q1166,0),0)</f>
        <v>0</v>
      </c>
      <c r="Z1166" s="38" t="n">
        <f aca="false">IF(Y1166=0,0,IF(T1166="Backlog",Q1166,Q1166*Dashboard!$C$10))</f>
        <v>0</v>
      </c>
      <c r="AA1166" s="37" t="n">
        <f aca="false">IF($N1166="",0,IF(COUNTIF(Dashboard!$C$13:$C$22,$N1166)&gt;0,1,0))</f>
        <v>0</v>
      </c>
      <c r="AB1166" s="37" t="str">
        <f aca="false">IF($N1166="","",IF(COUNTIF($N$8:$N1166,$N1166)=1,MAX($AB$7:$AB1165)+1,""))</f>
        <v/>
      </c>
    </row>
    <row r="1167" customFormat="false" ht="15" hidden="false" customHeight="false" outlineLevel="0" collapsed="false">
      <c r="L1167" s="37" t="str">
        <f aca="false">IF(INDEX($A1167:$J1167,$L$6)&lt;&gt;"",TRIM(LEFT(INDEX($A1167:$J1167,$L$6),FIND("(",INDEX($A1167:$J1167,$L$6)&amp;"(")-1)),L1166)</f>
        <v>Building Value Proposition</v>
      </c>
      <c r="M1167" s="37" t="str">
        <f aca="false">IF(INDEX($A1167:$J1167,$M$6)="","",INDEX($A1167:$J1167,$M$6)&amp;"")</f>
        <v/>
      </c>
      <c r="N1167" s="37" t="str">
        <f aca="false">IF($M1167="","",TRIM(INDEX($A1167:$J1167,$N$6)&amp;""))</f>
        <v/>
      </c>
      <c r="O1167" s="37" t="str">
        <f aca="false">IF($M1167="","",TRIM(INDEX($A1167:$J1167,$O$6)&amp;""))</f>
        <v/>
      </c>
      <c r="P1167" s="37" t="str">
        <f aca="false">IF($M1167="","",IFERROR(IF(INDEX(Settings!$B$41:$B$50,MATCH(O1167,Settings!$A$41:$A$50,0))&amp;""="","UNMAPPED",INDEX(Settings!$B$41:$B$50,MATCH(O1167,Settings!$A$41:$A$50,0))&amp;""),"UNMAPPED"))</f>
        <v/>
      </c>
      <c r="Q1167" s="38" t="n">
        <f aca="false">IF($M1167="",0,N(INDEX($A1167:$J1167,$Q$6)))</f>
        <v>0</v>
      </c>
      <c r="R1167" s="39" t="str">
        <f aca="false">IF($M1167="","",INDEX($A1167:$J1167,$R$6))</f>
        <v/>
      </c>
      <c r="S1167" s="37" t="str">
        <f aca="false">IF($M1167="","",IFERROR(INDEX(Settings!$B$27:$B$36,MATCH(L1167,Settings!$A$27:$A$36,0))&amp;"","UNMAPPED"))</f>
        <v/>
      </c>
      <c r="T1167" s="37" t="str">
        <f aca="false">IF($M1167="","",IF(NOT(ISNUMBER(R1167)),"NO DATE",IF(S1167="Won",IF(R1167&gt;Settings!$B$5,"Backlog","Delivered"),IF(S1167="Open",IF(R1167&gt;Settings!$B$5,"Pipeline","Overdue"),IF(S1167="Lost","Lost","UNMAPPED")))))</f>
        <v/>
      </c>
      <c r="U1167" s="40" t="n">
        <f aca="false">IF(T1167="Backlog",1,IF(OR(T1167="Pipeline",T1167="Overdue"),N(INDEX(Settings!$C$27:$C$36,MATCH(L1167,Settings!$A$27:$A$36,0))),0))</f>
        <v>0</v>
      </c>
      <c r="V1167" s="38" t="n">
        <f aca="false">Q1167*U1167</f>
        <v>0</v>
      </c>
      <c r="W1167" s="41" t="str">
        <f aca="false">IF($M1167="","",IF(T1167="Overdue",IF(Settings!$B$8="Yes",Settings!$B$7,""),IF(ISNUMBER(R1167),DATE(YEAR(R1167),MONTH(R1167),1),"")))</f>
        <v/>
      </c>
      <c r="X1167" s="38" t="n">
        <f aca="false">IF(AND(OR(T1167="Backlog",T1167="Pipeline",T1167="Overdue"),ISNUMBER(W1167)),IF(W1167&lt;=Settings!$B$6,V1167,0),0)</f>
        <v>0</v>
      </c>
      <c r="Y1167" s="38" t="n">
        <f aca="false">IF(AND(OR(T1167="Backlog",T1167="Pipeline",T1167="Overdue"),ISNUMBER(W1167)),IF(W1167&lt;=Settings!$B$6,Q1167,0),0)</f>
        <v>0</v>
      </c>
      <c r="Z1167" s="38" t="n">
        <f aca="false">IF(Y1167=0,0,IF(T1167="Backlog",Q1167,Q1167*Dashboard!$C$10))</f>
        <v>0</v>
      </c>
      <c r="AA1167" s="37" t="n">
        <f aca="false">IF($N1167="",0,IF(COUNTIF(Dashboard!$C$13:$C$22,$N1167)&gt;0,1,0))</f>
        <v>0</v>
      </c>
      <c r="AB1167" s="37" t="str">
        <f aca="false">IF($N1167="","",IF(COUNTIF($N$8:$N1167,$N1167)=1,MAX($AB$7:$AB1166)+1,""))</f>
        <v/>
      </c>
    </row>
    <row r="1168" customFormat="false" ht="15" hidden="false" customHeight="false" outlineLevel="0" collapsed="false">
      <c r="L1168" s="37" t="str">
        <f aca="false">IF(INDEX($A1168:$J1168,$L$6)&lt;&gt;"",TRIM(LEFT(INDEX($A1168:$J1168,$L$6),FIND("(",INDEX($A1168:$J1168,$L$6)&amp;"(")-1)),L1167)</f>
        <v>Building Value Proposition</v>
      </c>
      <c r="M1168" s="37" t="str">
        <f aca="false">IF(INDEX($A1168:$J1168,$M$6)="","",INDEX($A1168:$J1168,$M$6)&amp;"")</f>
        <v/>
      </c>
      <c r="N1168" s="37" t="str">
        <f aca="false">IF($M1168="","",TRIM(INDEX($A1168:$J1168,$N$6)&amp;""))</f>
        <v/>
      </c>
      <c r="O1168" s="37" t="str">
        <f aca="false">IF($M1168="","",TRIM(INDEX($A1168:$J1168,$O$6)&amp;""))</f>
        <v/>
      </c>
      <c r="P1168" s="37" t="str">
        <f aca="false">IF($M1168="","",IFERROR(IF(INDEX(Settings!$B$41:$B$50,MATCH(O1168,Settings!$A$41:$A$50,0))&amp;""="","UNMAPPED",INDEX(Settings!$B$41:$B$50,MATCH(O1168,Settings!$A$41:$A$50,0))&amp;""),"UNMAPPED"))</f>
        <v/>
      </c>
      <c r="Q1168" s="38" t="n">
        <f aca="false">IF($M1168="",0,N(INDEX($A1168:$J1168,$Q$6)))</f>
        <v>0</v>
      </c>
      <c r="R1168" s="39" t="str">
        <f aca="false">IF($M1168="","",INDEX($A1168:$J1168,$R$6))</f>
        <v/>
      </c>
      <c r="S1168" s="37" t="str">
        <f aca="false">IF($M1168="","",IFERROR(INDEX(Settings!$B$27:$B$36,MATCH(L1168,Settings!$A$27:$A$36,0))&amp;"","UNMAPPED"))</f>
        <v/>
      </c>
      <c r="T1168" s="37" t="str">
        <f aca="false">IF($M1168="","",IF(NOT(ISNUMBER(R1168)),"NO DATE",IF(S1168="Won",IF(R1168&gt;Settings!$B$5,"Backlog","Delivered"),IF(S1168="Open",IF(R1168&gt;Settings!$B$5,"Pipeline","Overdue"),IF(S1168="Lost","Lost","UNMAPPED")))))</f>
        <v/>
      </c>
      <c r="U1168" s="40" t="n">
        <f aca="false">IF(T1168="Backlog",1,IF(OR(T1168="Pipeline",T1168="Overdue"),N(INDEX(Settings!$C$27:$C$36,MATCH(L1168,Settings!$A$27:$A$36,0))),0))</f>
        <v>0</v>
      </c>
      <c r="V1168" s="38" t="n">
        <f aca="false">Q1168*U1168</f>
        <v>0</v>
      </c>
      <c r="W1168" s="41" t="str">
        <f aca="false">IF($M1168="","",IF(T1168="Overdue",IF(Settings!$B$8="Yes",Settings!$B$7,""),IF(ISNUMBER(R1168),DATE(YEAR(R1168),MONTH(R1168),1),"")))</f>
        <v/>
      </c>
      <c r="X1168" s="38" t="n">
        <f aca="false">IF(AND(OR(T1168="Backlog",T1168="Pipeline",T1168="Overdue"),ISNUMBER(W1168)),IF(W1168&lt;=Settings!$B$6,V1168,0),0)</f>
        <v>0</v>
      </c>
      <c r="Y1168" s="38" t="n">
        <f aca="false">IF(AND(OR(T1168="Backlog",T1168="Pipeline",T1168="Overdue"),ISNUMBER(W1168)),IF(W1168&lt;=Settings!$B$6,Q1168,0),0)</f>
        <v>0</v>
      </c>
      <c r="Z1168" s="38" t="n">
        <f aca="false">IF(Y1168=0,0,IF(T1168="Backlog",Q1168,Q1168*Dashboard!$C$10))</f>
        <v>0</v>
      </c>
      <c r="AA1168" s="37" t="n">
        <f aca="false">IF($N1168="",0,IF(COUNTIF(Dashboard!$C$13:$C$22,$N1168)&gt;0,1,0))</f>
        <v>0</v>
      </c>
      <c r="AB1168" s="37" t="str">
        <f aca="false">IF($N1168="","",IF(COUNTIF($N$8:$N1168,$N1168)=1,MAX($AB$7:$AB1167)+1,""))</f>
        <v/>
      </c>
    </row>
    <row r="1169" customFormat="false" ht="15" hidden="false" customHeight="false" outlineLevel="0" collapsed="false">
      <c r="L1169" s="37" t="str">
        <f aca="false">IF(INDEX($A1169:$J1169,$L$6)&lt;&gt;"",TRIM(LEFT(INDEX($A1169:$J1169,$L$6),FIND("(",INDEX($A1169:$J1169,$L$6)&amp;"(")-1)),L1168)</f>
        <v>Building Value Proposition</v>
      </c>
      <c r="M1169" s="37" t="str">
        <f aca="false">IF(INDEX($A1169:$J1169,$M$6)="","",INDEX($A1169:$J1169,$M$6)&amp;"")</f>
        <v/>
      </c>
      <c r="N1169" s="37" t="str">
        <f aca="false">IF($M1169="","",TRIM(INDEX($A1169:$J1169,$N$6)&amp;""))</f>
        <v/>
      </c>
      <c r="O1169" s="37" t="str">
        <f aca="false">IF($M1169="","",TRIM(INDEX($A1169:$J1169,$O$6)&amp;""))</f>
        <v/>
      </c>
      <c r="P1169" s="37" t="str">
        <f aca="false">IF($M1169="","",IFERROR(IF(INDEX(Settings!$B$41:$B$50,MATCH(O1169,Settings!$A$41:$A$50,0))&amp;""="","UNMAPPED",INDEX(Settings!$B$41:$B$50,MATCH(O1169,Settings!$A$41:$A$50,0))&amp;""),"UNMAPPED"))</f>
        <v/>
      </c>
      <c r="Q1169" s="38" t="n">
        <f aca="false">IF($M1169="",0,N(INDEX($A1169:$J1169,$Q$6)))</f>
        <v>0</v>
      </c>
      <c r="R1169" s="39" t="str">
        <f aca="false">IF($M1169="","",INDEX($A1169:$J1169,$R$6))</f>
        <v/>
      </c>
      <c r="S1169" s="37" t="str">
        <f aca="false">IF($M1169="","",IFERROR(INDEX(Settings!$B$27:$B$36,MATCH(L1169,Settings!$A$27:$A$36,0))&amp;"","UNMAPPED"))</f>
        <v/>
      </c>
      <c r="T1169" s="37" t="str">
        <f aca="false">IF($M1169="","",IF(NOT(ISNUMBER(R1169)),"NO DATE",IF(S1169="Won",IF(R1169&gt;Settings!$B$5,"Backlog","Delivered"),IF(S1169="Open",IF(R1169&gt;Settings!$B$5,"Pipeline","Overdue"),IF(S1169="Lost","Lost","UNMAPPED")))))</f>
        <v/>
      </c>
      <c r="U1169" s="40" t="n">
        <f aca="false">IF(T1169="Backlog",1,IF(OR(T1169="Pipeline",T1169="Overdue"),N(INDEX(Settings!$C$27:$C$36,MATCH(L1169,Settings!$A$27:$A$36,0))),0))</f>
        <v>0</v>
      </c>
      <c r="V1169" s="38" t="n">
        <f aca="false">Q1169*U1169</f>
        <v>0</v>
      </c>
      <c r="W1169" s="41" t="str">
        <f aca="false">IF($M1169="","",IF(T1169="Overdue",IF(Settings!$B$8="Yes",Settings!$B$7,""),IF(ISNUMBER(R1169),DATE(YEAR(R1169),MONTH(R1169),1),"")))</f>
        <v/>
      </c>
      <c r="X1169" s="38" t="n">
        <f aca="false">IF(AND(OR(T1169="Backlog",T1169="Pipeline",T1169="Overdue"),ISNUMBER(W1169)),IF(W1169&lt;=Settings!$B$6,V1169,0),0)</f>
        <v>0</v>
      </c>
      <c r="Y1169" s="38" t="n">
        <f aca="false">IF(AND(OR(T1169="Backlog",T1169="Pipeline",T1169="Overdue"),ISNUMBER(W1169)),IF(W1169&lt;=Settings!$B$6,Q1169,0),0)</f>
        <v>0</v>
      </c>
      <c r="Z1169" s="38" t="n">
        <f aca="false">IF(Y1169=0,0,IF(T1169="Backlog",Q1169,Q1169*Dashboard!$C$10))</f>
        <v>0</v>
      </c>
      <c r="AA1169" s="37" t="n">
        <f aca="false">IF($N1169="",0,IF(COUNTIF(Dashboard!$C$13:$C$22,$N1169)&gt;0,1,0))</f>
        <v>0</v>
      </c>
      <c r="AB1169" s="37" t="str">
        <f aca="false">IF($N1169="","",IF(COUNTIF($N$8:$N1169,$N1169)=1,MAX($AB$7:$AB1168)+1,""))</f>
        <v/>
      </c>
    </row>
    <row r="1170" customFormat="false" ht="15" hidden="false" customHeight="false" outlineLevel="0" collapsed="false">
      <c r="L1170" s="37" t="str">
        <f aca="false">IF(INDEX($A1170:$J1170,$L$6)&lt;&gt;"",TRIM(LEFT(INDEX($A1170:$J1170,$L$6),FIND("(",INDEX($A1170:$J1170,$L$6)&amp;"(")-1)),L1169)</f>
        <v>Building Value Proposition</v>
      </c>
      <c r="M1170" s="37" t="str">
        <f aca="false">IF(INDEX($A1170:$J1170,$M$6)="","",INDEX($A1170:$J1170,$M$6)&amp;"")</f>
        <v/>
      </c>
      <c r="N1170" s="37" t="str">
        <f aca="false">IF($M1170="","",TRIM(INDEX($A1170:$J1170,$N$6)&amp;""))</f>
        <v/>
      </c>
      <c r="O1170" s="37" t="str">
        <f aca="false">IF($M1170="","",TRIM(INDEX($A1170:$J1170,$O$6)&amp;""))</f>
        <v/>
      </c>
      <c r="P1170" s="37" t="str">
        <f aca="false">IF($M1170="","",IFERROR(IF(INDEX(Settings!$B$41:$B$50,MATCH(O1170,Settings!$A$41:$A$50,0))&amp;""="","UNMAPPED",INDEX(Settings!$B$41:$B$50,MATCH(O1170,Settings!$A$41:$A$50,0))&amp;""),"UNMAPPED"))</f>
        <v/>
      </c>
      <c r="Q1170" s="38" t="n">
        <f aca="false">IF($M1170="",0,N(INDEX($A1170:$J1170,$Q$6)))</f>
        <v>0</v>
      </c>
      <c r="R1170" s="39" t="str">
        <f aca="false">IF($M1170="","",INDEX($A1170:$J1170,$R$6))</f>
        <v/>
      </c>
      <c r="S1170" s="37" t="str">
        <f aca="false">IF($M1170="","",IFERROR(INDEX(Settings!$B$27:$B$36,MATCH(L1170,Settings!$A$27:$A$36,0))&amp;"","UNMAPPED"))</f>
        <v/>
      </c>
      <c r="T1170" s="37" t="str">
        <f aca="false">IF($M1170="","",IF(NOT(ISNUMBER(R1170)),"NO DATE",IF(S1170="Won",IF(R1170&gt;Settings!$B$5,"Backlog","Delivered"),IF(S1170="Open",IF(R1170&gt;Settings!$B$5,"Pipeline","Overdue"),IF(S1170="Lost","Lost","UNMAPPED")))))</f>
        <v/>
      </c>
      <c r="U1170" s="40" t="n">
        <f aca="false">IF(T1170="Backlog",1,IF(OR(T1170="Pipeline",T1170="Overdue"),N(INDEX(Settings!$C$27:$C$36,MATCH(L1170,Settings!$A$27:$A$36,0))),0))</f>
        <v>0</v>
      </c>
      <c r="V1170" s="38" t="n">
        <f aca="false">Q1170*U1170</f>
        <v>0</v>
      </c>
      <c r="W1170" s="41" t="str">
        <f aca="false">IF($M1170="","",IF(T1170="Overdue",IF(Settings!$B$8="Yes",Settings!$B$7,""),IF(ISNUMBER(R1170),DATE(YEAR(R1170),MONTH(R1170),1),"")))</f>
        <v/>
      </c>
      <c r="X1170" s="38" t="n">
        <f aca="false">IF(AND(OR(T1170="Backlog",T1170="Pipeline",T1170="Overdue"),ISNUMBER(W1170)),IF(W1170&lt;=Settings!$B$6,V1170,0),0)</f>
        <v>0</v>
      </c>
      <c r="Y1170" s="38" t="n">
        <f aca="false">IF(AND(OR(T1170="Backlog",T1170="Pipeline",T1170="Overdue"),ISNUMBER(W1170)),IF(W1170&lt;=Settings!$B$6,Q1170,0),0)</f>
        <v>0</v>
      </c>
      <c r="Z1170" s="38" t="n">
        <f aca="false">IF(Y1170=0,0,IF(T1170="Backlog",Q1170,Q1170*Dashboard!$C$10))</f>
        <v>0</v>
      </c>
      <c r="AA1170" s="37" t="n">
        <f aca="false">IF($N1170="",0,IF(COUNTIF(Dashboard!$C$13:$C$22,$N1170)&gt;0,1,0))</f>
        <v>0</v>
      </c>
      <c r="AB1170" s="37" t="str">
        <f aca="false">IF($N1170="","",IF(COUNTIF($N$8:$N1170,$N1170)=1,MAX($AB$7:$AB1169)+1,""))</f>
        <v/>
      </c>
    </row>
    <row r="1171" customFormat="false" ht="15" hidden="false" customHeight="false" outlineLevel="0" collapsed="false">
      <c r="L1171" s="37" t="str">
        <f aca="false">IF(INDEX($A1171:$J1171,$L$6)&lt;&gt;"",TRIM(LEFT(INDEX($A1171:$J1171,$L$6),FIND("(",INDEX($A1171:$J1171,$L$6)&amp;"(")-1)),L1170)</f>
        <v>Building Value Proposition</v>
      </c>
      <c r="M1171" s="37" t="str">
        <f aca="false">IF(INDEX($A1171:$J1171,$M$6)="","",INDEX($A1171:$J1171,$M$6)&amp;"")</f>
        <v/>
      </c>
      <c r="N1171" s="37" t="str">
        <f aca="false">IF($M1171="","",TRIM(INDEX($A1171:$J1171,$N$6)&amp;""))</f>
        <v/>
      </c>
      <c r="O1171" s="37" t="str">
        <f aca="false">IF($M1171="","",TRIM(INDEX($A1171:$J1171,$O$6)&amp;""))</f>
        <v/>
      </c>
      <c r="P1171" s="37" t="str">
        <f aca="false">IF($M1171="","",IFERROR(IF(INDEX(Settings!$B$41:$B$50,MATCH(O1171,Settings!$A$41:$A$50,0))&amp;""="","UNMAPPED",INDEX(Settings!$B$41:$B$50,MATCH(O1171,Settings!$A$41:$A$50,0))&amp;""),"UNMAPPED"))</f>
        <v/>
      </c>
      <c r="Q1171" s="38" t="n">
        <f aca="false">IF($M1171="",0,N(INDEX($A1171:$J1171,$Q$6)))</f>
        <v>0</v>
      </c>
      <c r="R1171" s="39" t="str">
        <f aca="false">IF($M1171="","",INDEX($A1171:$J1171,$R$6))</f>
        <v/>
      </c>
      <c r="S1171" s="37" t="str">
        <f aca="false">IF($M1171="","",IFERROR(INDEX(Settings!$B$27:$B$36,MATCH(L1171,Settings!$A$27:$A$36,0))&amp;"","UNMAPPED"))</f>
        <v/>
      </c>
      <c r="T1171" s="37" t="str">
        <f aca="false">IF($M1171="","",IF(NOT(ISNUMBER(R1171)),"NO DATE",IF(S1171="Won",IF(R1171&gt;Settings!$B$5,"Backlog","Delivered"),IF(S1171="Open",IF(R1171&gt;Settings!$B$5,"Pipeline","Overdue"),IF(S1171="Lost","Lost","UNMAPPED")))))</f>
        <v/>
      </c>
      <c r="U1171" s="40" t="n">
        <f aca="false">IF(T1171="Backlog",1,IF(OR(T1171="Pipeline",T1171="Overdue"),N(INDEX(Settings!$C$27:$C$36,MATCH(L1171,Settings!$A$27:$A$36,0))),0))</f>
        <v>0</v>
      </c>
      <c r="V1171" s="38" t="n">
        <f aca="false">Q1171*U1171</f>
        <v>0</v>
      </c>
      <c r="W1171" s="41" t="str">
        <f aca="false">IF($M1171="","",IF(T1171="Overdue",IF(Settings!$B$8="Yes",Settings!$B$7,""),IF(ISNUMBER(R1171),DATE(YEAR(R1171),MONTH(R1171),1),"")))</f>
        <v/>
      </c>
      <c r="X1171" s="38" t="n">
        <f aca="false">IF(AND(OR(T1171="Backlog",T1171="Pipeline",T1171="Overdue"),ISNUMBER(W1171)),IF(W1171&lt;=Settings!$B$6,V1171,0),0)</f>
        <v>0</v>
      </c>
      <c r="Y1171" s="38" t="n">
        <f aca="false">IF(AND(OR(T1171="Backlog",T1171="Pipeline",T1171="Overdue"),ISNUMBER(W1171)),IF(W1171&lt;=Settings!$B$6,Q1171,0),0)</f>
        <v>0</v>
      </c>
      <c r="Z1171" s="38" t="n">
        <f aca="false">IF(Y1171=0,0,IF(T1171="Backlog",Q1171,Q1171*Dashboard!$C$10))</f>
        <v>0</v>
      </c>
      <c r="AA1171" s="37" t="n">
        <f aca="false">IF($N1171="",0,IF(COUNTIF(Dashboard!$C$13:$C$22,$N1171)&gt;0,1,0))</f>
        <v>0</v>
      </c>
      <c r="AB1171" s="37" t="str">
        <f aca="false">IF($N1171="","",IF(COUNTIF($N$8:$N1171,$N1171)=1,MAX($AB$7:$AB1170)+1,""))</f>
        <v/>
      </c>
    </row>
    <row r="1172" customFormat="false" ht="15" hidden="false" customHeight="false" outlineLevel="0" collapsed="false">
      <c r="L1172" s="37" t="str">
        <f aca="false">IF(INDEX($A1172:$J1172,$L$6)&lt;&gt;"",TRIM(LEFT(INDEX($A1172:$J1172,$L$6),FIND("(",INDEX($A1172:$J1172,$L$6)&amp;"(")-1)),L1171)</f>
        <v>Building Value Proposition</v>
      </c>
      <c r="M1172" s="37" t="str">
        <f aca="false">IF(INDEX($A1172:$J1172,$M$6)="","",INDEX($A1172:$J1172,$M$6)&amp;"")</f>
        <v/>
      </c>
      <c r="N1172" s="37" t="str">
        <f aca="false">IF($M1172="","",TRIM(INDEX($A1172:$J1172,$N$6)&amp;""))</f>
        <v/>
      </c>
      <c r="O1172" s="37" t="str">
        <f aca="false">IF($M1172="","",TRIM(INDEX($A1172:$J1172,$O$6)&amp;""))</f>
        <v/>
      </c>
      <c r="P1172" s="37" t="str">
        <f aca="false">IF($M1172="","",IFERROR(IF(INDEX(Settings!$B$41:$B$50,MATCH(O1172,Settings!$A$41:$A$50,0))&amp;""="","UNMAPPED",INDEX(Settings!$B$41:$B$50,MATCH(O1172,Settings!$A$41:$A$50,0))&amp;""),"UNMAPPED"))</f>
        <v/>
      </c>
      <c r="Q1172" s="38" t="n">
        <f aca="false">IF($M1172="",0,N(INDEX($A1172:$J1172,$Q$6)))</f>
        <v>0</v>
      </c>
      <c r="R1172" s="39" t="str">
        <f aca="false">IF($M1172="","",INDEX($A1172:$J1172,$R$6))</f>
        <v/>
      </c>
      <c r="S1172" s="37" t="str">
        <f aca="false">IF($M1172="","",IFERROR(INDEX(Settings!$B$27:$B$36,MATCH(L1172,Settings!$A$27:$A$36,0))&amp;"","UNMAPPED"))</f>
        <v/>
      </c>
      <c r="T1172" s="37" t="str">
        <f aca="false">IF($M1172="","",IF(NOT(ISNUMBER(R1172)),"NO DATE",IF(S1172="Won",IF(R1172&gt;Settings!$B$5,"Backlog","Delivered"),IF(S1172="Open",IF(R1172&gt;Settings!$B$5,"Pipeline","Overdue"),IF(S1172="Lost","Lost","UNMAPPED")))))</f>
        <v/>
      </c>
      <c r="U1172" s="40" t="n">
        <f aca="false">IF(T1172="Backlog",1,IF(OR(T1172="Pipeline",T1172="Overdue"),N(INDEX(Settings!$C$27:$C$36,MATCH(L1172,Settings!$A$27:$A$36,0))),0))</f>
        <v>0</v>
      </c>
      <c r="V1172" s="38" t="n">
        <f aca="false">Q1172*U1172</f>
        <v>0</v>
      </c>
      <c r="W1172" s="41" t="str">
        <f aca="false">IF($M1172="","",IF(T1172="Overdue",IF(Settings!$B$8="Yes",Settings!$B$7,""),IF(ISNUMBER(R1172),DATE(YEAR(R1172),MONTH(R1172),1),"")))</f>
        <v/>
      </c>
      <c r="X1172" s="38" t="n">
        <f aca="false">IF(AND(OR(T1172="Backlog",T1172="Pipeline",T1172="Overdue"),ISNUMBER(W1172)),IF(W1172&lt;=Settings!$B$6,V1172,0),0)</f>
        <v>0</v>
      </c>
      <c r="Y1172" s="38" t="n">
        <f aca="false">IF(AND(OR(T1172="Backlog",T1172="Pipeline",T1172="Overdue"),ISNUMBER(W1172)),IF(W1172&lt;=Settings!$B$6,Q1172,0),0)</f>
        <v>0</v>
      </c>
      <c r="Z1172" s="38" t="n">
        <f aca="false">IF(Y1172=0,0,IF(T1172="Backlog",Q1172,Q1172*Dashboard!$C$10))</f>
        <v>0</v>
      </c>
      <c r="AA1172" s="37" t="n">
        <f aca="false">IF($N1172="",0,IF(COUNTIF(Dashboard!$C$13:$C$22,$N1172)&gt;0,1,0))</f>
        <v>0</v>
      </c>
      <c r="AB1172" s="37" t="str">
        <f aca="false">IF($N1172="","",IF(COUNTIF($N$8:$N1172,$N1172)=1,MAX($AB$7:$AB1171)+1,""))</f>
        <v/>
      </c>
    </row>
    <row r="1173" customFormat="false" ht="15" hidden="false" customHeight="false" outlineLevel="0" collapsed="false">
      <c r="L1173" s="37" t="str">
        <f aca="false">IF(INDEX($A1173:$J1173,$L$6)&lt;&gt;"",TRIM(LEFT(INDEX($A1173:$J1173,$L$6),FIND("(",INDEX($A1173:$J1173,$L$6)&amp;"(")-1)),L1172)</f>
        <v>Building Value Proposition</v>
      </c>
      <c r="M1173" s="37" t="str">
        <f aca="false">IF(INDEX($A1173:$J1173,$M$6)="","",INDEX($A1173:$J1173,$M$6)&amp;"")</f>
        <v/>
      </c>
      <c r="N1173" s="37" t="str">
        <f aca="false">IF($M1173="","",TRIM(INDEX($A1173:$J1173,$N$6)&amp;""))</f>
        <v/>
      </c>
      <c r="O1173" s="37" t="str">
        <f aca="false">IF($M1173="","",TRIM(INDEX($A1173:$J1173,$O$6)&amp;""))</f>
        <v/>
      </c>
      <c r="P1173" s="37" t="str">
        <f aca="false">IF($M1173="","",IFERROR(IF(INDEX(Settings!$B$41:$B$50,MATCH(O1173,Settings!$A$41:$A$50,0))&amp;""="","UNMAPPED",INDEX(Settings!$B$41:$B$50,MATCH(O1173,Settings!$A$41:$A$50,0))&amp;""),"UNMAPPED"))</f>
        <v/>
      </c>
      <c r="Q1173" s="38" t="n">
        <f aca="false">IF($M1173="",0,N(INDEX($A1173:$J1173,$Q$6)))</f>
        <v>0</v>
      </c>
      <c r="R1173" s="39" t="str">
        <f aca="false">IF($M1173="","",INDEX($A1173:$J1173,$R$6))</f>
        <v/>
      </c>
      <c r="S1173" s="37" t="str">
        <f aca="false">IF($M1173="","",IFERROR(INDEX(Settings!$B$27:$B$36,MATCH(L1173,Settings!$A$27:$A$36,0))&amp;"","UNMAPPED"))</f>
        <v/>
      </c>
      <c r="T1173" s="37" t="str">
        <f aca="false">IF($M1173="","",IF(NOT(ISNUMBER(R1173)),"NO DATE",IF(S1173="Won",IF(R1173&gt;Settings!$B$5,"Backlog","Delivered"),IF(S1173="Open",IF(R1173&gt;Settings!$B$5,"Pipeline","Overdue"),IF(S1173="Lost","Lost","UNMAPPED")))))</f>
        <v/>
      </c>
      <c r="U1173" s="40" t="n">
        <f aca="false">IF(T1173="Backlog",1,IF(OR(T1173="Pipeline",T1173="Overdue"),N(INDEX(Settings!$C$27:$C$36,MATCH(L1173,Settings!$A$27:$A$36,0))),0))</f>
        <v>0</v>
      </c>
      <c r="V1173" s="38" t="n">
        <f aca="false">Q1173*U1173</f>
        <v>0</v>
      </c>
      <c r="W1173" s="41" t="str">
        <f aca="false">IF($M1173="","",IF(T1173="Overdue",IF(Settings!$B$8="Yes",Settings!$B$7,""),IF(ISNUMBER(R1173),DATE(YEAR(R1173),MONTH(R1173),1),"")))</f>
        <v/>
      </c>
      <c r="X1173" s="38" t="n">
        <f aca="false">IF(AND(OR(T1173="Backlog",T1173="Pipeline",T1173="Overdue"),ISNUMBER(W1173)),IF(W1173&lt;=Settings!$B$6,V1173,0),0)</f>
        <v>0</v>
      </c>
      <c r="Y1173" s="38" t="n">
        <f aca="false">IF(AND(OR(T1173="Backlog",T1173="Pipeline",T1173="Overdue"),ISNUMBER(W1173)),IF(W1173&lt;=Settings!$B$6,Q1173,0),0)</f>
        <v>0</v>
      </c>
      <c r="Z1173" s="38" t="n">
        <f aca="false">IF(Y1173=0,0,IF(T1173="Backlog",Q1173,Q1173*Dashboard!$C$10))</f>
        <v>0</v>
      </c>
      <c r="AA1173" s="37" t="n">
        <f aca="false">IF($N1173="",0,IF(COUNTIF(Dashboard!$C$13:$C$22,$N1173)&gt;0,1,0))</f>
        <v>0</v>
      </c>
      <c r="AB1173" s="37" t="str">
        <f aca="false">IF($N1173="","",IF(COUNTIF($N$8:$N1173,$N1173)=1,MAX($AB$7:$AB1172)+1,""))</f>
        <v/>
      </c>
    </row>
    <row r="1174" customFormat="false" ht="15" hidden="false" customHeight="false" outlineLevel="0" collapsed="false">
      <c r="L1174" s="37" t="str">
        <f aca="false">IF(INDEX($A1174:$J1174,$L$6)&lt;&gt;"",TRIM(LEFT(INDEX($A1174:$J1174,$L$6),FIND("(",INDEX($A1174:$J1174,$L$6)&amp;"(")-1)),L1173)</f>
        <v>Building Value Proposition</v>
      </c>
      <c r="M1174" s="37" t="str">
        <f aca="false">IF(INDEX($A1174:$J1174,$M$6)="","",INDEX($A1174:$J1174,$M$6)&amp;"")</f>
        <v/>
      </c>
      <c r="N1174" s="37" t="str">
        <f aca="false">IF($M1174="","",TRIM(INDEX($A1174:$J1174,$N$6)&amp;""))</f>
        <v/>
      </c>
      <c r="O1174" s="37" t="str">
        <f aca="false">IF($M1174="","",TRIM(INDEX($A1174:$J1174,$O$6)&amp;""))</f>
        <v/>
      </c>
      <c r="P1174" s="37" t="str">
        <f aca="false">IF($M1174="","",IFERROR(IF(INDEX(Settings!$B$41:$B$50,MATCH(O1174,Settings!$A$41:$A$50,0))&amp;""="","UNMAPPED",INDEX(Settings!$B$41:$B$50,MATCH(O1174,Settings!$A$41:$A$50,0))&amp;""),"UNMAPPED"))</f>
        <v/>
      </c>
      <c r="Q1174" s="38" t="n">
        <f aca="false">IF($M1174="",0,N(INDEX($A1174:$J1174,$Q$6)))</f>
        <v>0</v>
      </c>
      <c r="R1174" s="39" t="str">
        <f aca="false">IF($M1174="","",INDEX($A1174:$J1174,$R$6))</f>
        <v/>
      </c>
      <c r="S1174" s="37" t="str">
        <f aca="false">IF($M1174="","",IFERROR(INDEX(Settings!$B$27:$B$36,MATCH(L1174,Settings!$A$27:$A$36,0))&amp;"","UNMAPPED"))</f>
        <v/>
      </c>
      <c r="T1174" s="37" t="str">
        <f aca="false">IF($M1174="","",IF(NOT(ISNUMBER(R1174)),"NO DATE",IF(S1174="Won",IF(R1174&gt;Settings!$B$5,"Backlog","Delivered"),IF(S1174="Open",IF(R1174&gt;Settings!$B$5,"Pipeline","Overdue"),IF(S1174="Lost","Lost","UNMAPPED")))))</f>
        <v/>
      </c>
      <c r="U1174" s="40" t="n">
        <f aca="false">IF(T1174="Backlog",1,IF(OR(T1174="Pipeline",T1174="Overdue"),N(INDEX(Settings!$C$27:$C$36,MATCH(L1174,Settings!$A$27:$A$36,0))),0))</f>
        <v>0</v>
      </c>
      <c r="V1174" s="38" t="n">
        <f aca="false">Q1174*U1174</f>
        <v>0</v>
      </c>
      <c r="W1174" s="41" t="str">
        <f aca="false">IF($M1174="","",IF(T1174="Overdue",IF(Settings!$B$8="Yes",Settings!$B$7,""),IF(ISNUMBER(R1174),DATE(YEAR(R1174),MONTH(R1174),1),"")))</f>
        <v/>
      </c>
      <c r="X1174" s="38" t="n">
        <f aca="false">IF(AND(OR(T1174="Backlog",T1174="Pipeline",T1174="Overdue"),ISNUMBER(W1174)),IF(W1174&lt;=Settings!$B$6,V1174,0),0)</f>
        <v>0</v>
      </c>
      <c r="Y1174" s="38" t="n">
        <f aca="false">IF(AND(OR(T1174="Backlog",T1174="Pipeline",T1174="Overdue"),ISNUMBER(W1174)),IF(W1174&lt;=Settings!$B$6,Q1174,0),0)</f>
        <v>0</v>
      </c>
      <c r="Z1174" s="38" t="n">
        <f aca="false">IF(Y1174=0,0,IF(T1174="Backlog",Q1174,Q1174*Dashboard!$C$10))</f>
        <v>0</v>
      </c>
      <c r="AA1174" s="37" t="n">
        <f aca="false">IF($N1174="",0,IF(COUNTIF(Dashboard!$C$13:$C$22,$N1174)&gt;0,1,0))</f>
        <v>0</v>
      </c>
      <c r="AB1174" s="37" t="str">
        <f aca="false">IF($N1174="","",IF(COUNTIF($N$8:$N1174,$N1174)=1,MAX($AB$7:$AB1173)+1,""))</f>
        <v/>
      </c>
    </row>
    <row r="1175" customFormat="false" ht="15" hidden="false" customHeight="false" outlineLevel="0" collapsed="false">
      <c r="L1175" s="37" t="str">
        <f aca="false">IF(INDEX($A1175:$J1175,$L$6)&lt;&gt;"",TRIM(LEFT(INDEX($A1175:$J1175,$L$6),FIND("(",INDEX($A1175:$J1175,$L$6)&amp;"(")-1)),L1174)</f>
        <v>Building Value Proposition</v>
      </c>
      <c r="M1175" s="37" t="str">
        <f aca="false">IF(INDEX($A1175:$J1175,$M$6)="","",INDEX($A1175:$J1175,$M$6)&amp;"")</f>
        <v/>
      </c>
      <c r="N1175" s="37" t="str">
        <f aca="false">IF($M1175="","",TRIM(INDEX($A1175:$J1175,$N$6)&amp;""))</f>
        <v/>
      </c>
      <c r="O1175" s="37" t="str">
        <f aca="false">IF($M1175="","",TRIM(INDEX($A1175:$J1175,$O$6)&amp;""))</f>
        <v/>
      </c>
      <c r="P1175" s="37" t="str">
        <f aca="false">IF($M1175="","",IFERROR(IF(INDEX(Settings!$B$41:$B$50,MATCH(O1175,Settings!$A$41:$A$50,0))&amp;""="","UNMAPPED",INDEX(Settings!$B$41:$B$50,MATCH(O1175,Settings!$A$41:$A$50,0))&amp;""),"UNMAPPED"))</f>
        <v/>
      </c>
      <c r="Q1175" s="38" t="n">
        <f aca="false">IF($M1175="",0,N(INDEX($A1175:$J1175,$Q$6)))</f>
        <v>0</v>
      </c>
      <c r="R1175" s="39" t="str">
        <f aca="false">IF($M1175="","",INDEX($A1175:$J1175,$R$6))</f>
        <v/>
      </c>
      <c r="S1175" s="37" t="str">
        <f aca="false">IF($M1175="","",IFERROR(INDEX(Settings!$B$27:$B$36,MATCH(L1175,Settings!$A$27:$A$36,0))&amp;"","UNMAPPED"))</f>
        <v/>
      </c>
      <c r="T1175" s="37" t="str">
        <f aca="false">IF($M1175="","",IF(NOT(ISNUMBER(R1175)),"NO DATE",IF(S1175="Won",IF(R1175&gt;Settings!$B$5,"Backlog","Delivered"),IF(S1175="Open",IF(R1175&gt;Settings!$B$5,"Pipeline","Overdue"),IF(S1175="Lost","Lost","UNMAPPED")))))</f>
        <v/>
      </c>
      <c r="U1175" s="40" t="n">
        <f aca="false">IF(T1175="Backlog",1,IF(OR(T1175="Pipeline",T1175="Overdue"),N(INDEX(Settings!$C$27:$C$36,MATCH(L1175,Settings!$A$27:$A$36,0))),0))</f>
        <v>0</v>
      </c>
      <c r="V1175" s="38" t="n">
        <f aca="false">Q1175*U1175</f>
        <v>0</v>
      </c>
      <c r="W1175" s="41" t="str">
        <f aca="false">IF($M1175="","",IF(T1175="Overdue",IF(Settings!$B$8="Yes",Settings!$B$7,""),IF(ISNUMBER(R1175),DATE(YEAR(R1175),MONTH(R1175),1),"")))</f>
        <v/>
      </c>
      <c r="X1175" s="38" t="n">
        <f aca="false">IF(AND(OR(T1175="Backlog",T1175="Pipeline",T1175="Overdue"),ISNUMBER(W1175)),IF(W1175&lt;=Settings!$B$6,V1175,0),0)</f>
        <v>0</v>
      </c>
      <c r="Y1175" s="38" t="n">
        <f aca="false">IF(AND(OR(T1175="Backlog",T1175="Pipeline",T1175="Overdue"),ISNUMBER(W1175)),IF(W1175&lt;=Settings!$B$6,Q1175,0),0)</f>
        <v>0</v>
      </c>
      <c r="Z1175" s="38" t="n">
        <f aca="false">IF(Y1175=0,0,IF(T1175="Backlog",Q1175,Q1175*Dashboard!$C$10))</f>
        <v>0</v>
      </c>
      <c r="AA1175" s="37" t="n">
        <f aca="false">IF($N1175="",0,IF(COUNTIF(Dashboard!$C$13:$C$22,$N1175)&gt;0,1,0))</f>
        <v>0</v>
      </c>
      <c r="AB1175" s="37" t="str">
        <f aca="false">IF($N1175="","",IF(COUNTIF($N$8:$N1175,$N1175)=1,MAX($AB$7:$AB1174)+1,""))</f>
        <v/>
      </c>
    </row>
    <row r="1176" customFormat="false" ht="15" hidden="false" customHeight="false" outlineLevel="0" collapsed="false">
      <c r="L1176" s="37" t="str">
        <f aca="false">IF(INDEX($A1176:$J1176,$L$6)&lt;&gt;"",TRIM(LEFT(INDEX($A1176:$J1176,$L$6),FIND("(",INDEX($A1176:$J1176,$L$6)&amp;"(")-1)),L1175)</f>
        <v>Building Value Proposition</v>
      </c>
      <c r="M1176" s="37" t="str">
        <f aca="false">IF(INDEX($A1176:$J1176,$M$6)="","",INDEX($A1176:$J1176,$M$6)&amp;"")</f>
        <v/>
      </c>
      <c r="N1176" s="37" t="str">
        <f aca="false">IF($M1176="","",TRIM(INDEX($A1176:$J1176,$N$6)&amp;""))</f>
        <v/>
      </c>
      <c r="O1176" s="37" t="str">
        <f aca="false">IF($M1176="","",TRIM(INDEX($A1176:$J1176,$O$6)&amp;""))</f>
        <v/>
      </c>
      <c r="P1176" s="37" t="str">
        <f aca="false">IF($M1176="","",IFERROR(IF(INDEX(Settings!$B$41:$B$50,MATCH(O1176,Settings!$A$41:$A$50,0))&amp;""="","UNMAPPED",INDEX(Settings!$B$41:$B$50,MATCH(O1176,Settings!$A$41:$A$50,0))&amp;""),"UNMAPPED"))</f>
        <v/>
      </c>
      <c r="Q1176" s="38" t="n">
        <f aca="false">IF($M1176="",0,N(INDEX($A1176:$J1176,$Q$6)))</f>
        <v>0</v>
      </c>
      <c r="R1176" s="39" t="str">
        <f aca="false">IF($M1176="","",INDEX($A1176:$J1176,$R$6))</f>
        <v/>
      </c>
      <c r="S1176" s="37" t="str">
        <f aca="false">IF($M1176="","",IFERROR(INDEX(Settings!$B$27:$B$36,MATCH(L1176,Settings!$A$27:$A$36,0))&amp;"","UNMAPPED"))</f>
        <v/>
      </c>
      <c r="T1176" s="37" t="str">
        <f aca="false">IF($M1176="","",IF(NOT(ISNUMBER(R1176)),"NO DATE",IF(S1176="Won",IF(R1176&gt;Settings!$B$5,"Backlog","Delivered"),IF(S1176="Open",IF(R1176&gt;Settings!$B$5,"Pipeline","Overdue"),IF(S1176="Lost","Lost","UNMAPPED")))))</f>
        <v/>
      </c>
      <c r="U1176" s="40" t="n">
        <f aca="false">IF(T1176="Backlog",1,IF(OR(T1176="Pipeline",T1176="Overdue"),N(INDEX(Settings!$C$27:$C$36,MATCH(L1176,Settings!$A$27:$A$36,0))),0))</f>
        <v>0</v>
      </c>
      <c r="V1176" s="38" t="n">
        <f aca="false">Q1176*U1176</f>
        <v>0</v>
      </c>
      <c r="W1176" s="41" t="str">
        <f aca="false">IF($M1176="","",IF(T1176="Overdue",IF(Settings!$B$8="Yes",Settings!$B$7,""),IF(ISNUMBER(R1176),DATE(YEAR(R1176),MONTH(R1176),1),"")))</f>
        <v/>
      </c>
      <c r="X1176" s="38" t="n">
        <f aca="false">IF(AND(OR(T1176="Backlog",T1176="Pipeline",T1176="Overdue"),ISNUMBER(W1176)),IF(W1176&lt;=Settings!$B$6,V1176,0),0)</f>
        <v>0</v>
      </c>
      <c r="Y1176" s="38" t="n">
        <f aca="false">IF(AND(OR(T1176="Backlog",T1176="Pipeline",T1176="Overdue"),ISNUMBER(W1176)),IF(W1176&lt;=Settings!$B$6,Q1176,0),0)</f>
        <v>0</v>
      </c>
      <c r="Z1176" s="38" t="n">
        <f aca="false">IF(Y1176=0,0,IF(T1176="Backlog",Q1176,Q1176*Dashboard!$C$10))</f>
        <v>0</v>
      </c>
      <c r="AA1176" s="37" t="n">
        <f aca="false">IF($N1176="",0,IF(COUNTIF(Dashboard!$C$13:$C$22,$N1176)&gt;0,1,0))</f>
        <v>0</v>
      </c>
      <c r="AB1176" s="37" t="str">
        <f aca="false">IF($N1176="","",IF(COUNTIF($N$8:$N1176,$N1176)=1,MAX($AB$7:$AB1175)+1,""))</f>
        <v/>
      </c>
    </row>
    <row r="1177" customFormat="false" ht="15" hidden="false" customHeight="false" outlineLevel="0" collapsed="false">
      <c r="L1177" s="37" t="str">
        <f aca="false">IF(INDEX($A1177:$J1177,$L$6)&lt;&gt;"",TRIM(LEFT(INDEX($A1177:$J1177,$L$6),FIND("(",INDEX($A1177:$J1177,$L$6)&amp;"(")-1)),L1176)</f>
        <v>Building Value Proposition</v>
      </c>
      <c r="M1177" s="37" t="str">
        <f aca="false">IF(INDEX($A1177:$J1177,$M$6)="","",INDEX($A1177:$J1177,$M$6)&amp;"")</f>
        <v/>
      </c>
      <c r="N1177" s="37" t="str">
        <f aca="false">IF($M1177="","",TRIM(INDEX($A1177:$J1177,$N$6)&amp;""))</f>
        <v/>
      </c>
      <c r="O1177" s="37" t="str">
        <f aca="false">IF($M1177="","",TRIM(INDEX($A1177:$J1177,$O$6)&amp;""))</f>
        <v/>
      </c>
      <c r="P1177" s="37" t="str">
        <f aca="false">IF($M1177="","",IFERROR(IF(INDEX(Settings!$B$41:$B$50,MATCH(O1177,Settings!$A$41:$A$50,0))&amp;""="","UNMAPPED",INDEX(Settings!$B$41:$B$50,MATCH(O1177,Settings!$A$41:$A$50,0))&amp;""),"UNMAPPED"))</f>
        <v/>
      </c>
      <c r="Q1177" s="38" t="n">
        <f aca="false">IF($M1177="",0,N(INDEX($A1177:$J1177,$Q$6)))</f>
        <v>0</v>
      </c>
      <c r="R1177" s="39" t="str">
        <f aca="false">IF($M1177="","",INDEX($A1177:$J1177,$R$6))</f>
        <v/>
      </c>
      <c r="S1177" s="37" t="str">
        <f aca="false">IF($M1177="","",IFERROR(INDEX(Settings!$B$27:$B$36,MATCH(L1177,Settings!$A$27:$A$36,0))&amp;"","UNMAPPED"))</f>
        <v/>
      </c>
      <c r="T1177" s="37" t="str">
        <f aca="false">IF($M1177="","",IF(NOT(ISNUMBER(R1177)),"NO DATE",IF(S1177="Won",IF(R1177&gt;Settings!$B$5,"Backlog","Delivered"),IF(S1177="Open",IF(R1177&gt;Settings!$B$5,"Pipeline","Overdue"),IF(S1177="Lost","Lost","UNMAPPED")))))</f>
        <v/>
      </c>
      <c r="U1177" s="40" t="n">
        <f aca="false">IF(T1177="Backlog",1,IF(OR(T1177="Pipeline",T1177="Overdue"),N(INDEX(Settings!$C$27:$C$36,MATCH(L1177,Settings!$A$27:$A$36,0))),0))</f>
        <v>0</v>
      </c>
      <c r="V1177" s="38" t="n">
        <f aca="false">Q1177*U1177</f>
        <v>0</v>
      </c>
      <c r="W1177" s="41" t="str">
        <f aca="false">IF($M1177="","",IF(T1177="Overdue",IF(Settings!$B$8="Yes",Settings!$B$7,""),IF(ISNUMBER(R1177),DATE(YEAR(R1177),MONTH(R1177),1),"")))</f>
        <v/>
      </c>
      <c r="X1177" s="38" t="n">
        <f aca="false">IF(AND(OR(T1177="Backlog",T1177="Pipeline",T1177="Overdue"),ISNUMBER(W1177)),IF(W1177&lt;=Settings!$B$6,V1177,0),0)</f>
        <v>0</v>
      </c>
      <c r="Y1177" s="38" t="n">
        <f aca="false">IF(AND(OR(T1177="Backlog",T1177="Pipeline",T1177="Overdue"),ISNUMBER(W1177)),IF(W1177&lt;=Settings!$B$6,Q1177,0),0)</f>
        <v>0</v>
      </c>
      <c r="Z1177" s="38" t="n">
        <f aca="false">IF(Y1177=0,0,IF(T1177="Backlog",Q1177,Q1177*Dashboard!$C$10))</f>
        <v>0</v>
      </c>
      <c r="AA1177" s="37" t="n">
        <f aca="false">IF($N1177="",0,IF(COUNTIF(Dashboard!$C$13:$C$22,$N1177)&gt;0,1,0))</f>
        <v>0</v>
      </c>
      <c r="AB1177" s="37" t="str">
        <f aca="false">IF($N1177="","",IF(COUNTIF($N$8:$N1177,$N1177)=1,MAX($AB$7:$AB1176)+1,""))</f>
        <v/>
      </c>
    </row>
    <row r="1178" customFormat="false" ht="15" hidden="false" customHeight="false" outlineLevel="0" collapsed="false">
      <c r="L1178" s="37" t="str">
        <f aca="false">IF(INDEX($A1178:$J1178,$L$6)&lt;&gt;"",TRIM(LEFT(INDEX($A1178:$J1178,$L$6),FIND("(",INDEX($A1178:$J1178,$L$6)&amp;"(")-1)),L1177)</f>
        <v>Building Value Proposition</v>
      </c>
      <c r="M1178" s="37" t="str">
        <f aca="false">IF(INDEX($A1178:$J1178,$M$6)="","",INDEX($A1178:$J1178,$M$6)&amp;"")</f>
        <v/>
      </c>
      <c r="N1178" s="37" t="str">
        <f aca="false">IF($M1178="","",TRIM(INDEX($A1178:$J1178,$N$6)&amp;""))</f>
        <v/>
      </c>
      <c r="O1178" s="37" t="str">
        <f aca="false">IF($M1178="","",TRIM(INDEX($A1178:$J1178,$O$6)&amp;""))</f>
        <v/>
      </c>
      <c r="P1178" s="37" t="str">
        <f aca="false">IF($M1178="","",IFERROR(IF(INDEX(Settings!$B$41:$B$50,MATCH(O1178,Settings!$A$41:$A$50,0))&amp;""="","UNMAPPED",INDEX(Settings!$B$41:$B$50,MATCH(O1178,Settings!$A$41:$A$50,0))&amp;""),"UNMAPPED"))</f>
        <v/>
      </c>
      <c r="Q1178" s="38" t="n">
        <f aca="false">IF($M1178="",0,N(INDEX($A1178:$J1178,$Q$6)))</f>
        <v>0</v>
      </c>
      <c r="R1178" s="39" t="str">
        <f aca="false">IF($M1178="","",INDEX($A1178:$J1178,$R$6))</f>
        <v/>
      </c>
      <c r="S1178" s="37" t="str">
        <f aca="false">IF($M1178="","",IFERROR(INDEX(Settings!$B$27:$B$36,MATCH(L1178,Settings!$A$27:$A$36,0))&amp;"","UNMAPPED"))</f>
        <v/>
      </c>
      <c r="T1178" s="37" t="str">
        <f aca="false">IF($M1178="","",IF(NOT(ISNUMBER(R1178)),"NO DATE",IF(S1178="Won",IF(R1178&gt;Settings!$B$5,"Backlog","Delivered"),IF(S1178="Open",IF(R1178&gt;Settings!$B$5,"Pipeline","Overdue"),IF(S1178="Lost","Lost","UNMAPPED")))))</f>
        <v/>
      </c>
      <c r="U1178" s="40" t="n">
        <f aca="false">IF(T1178="Backlog",1,IF(OR(T1178="Pipeline",T1178="Overdue"),N(INDEX(Settings!$C$27:$C$36,MATCH(L1178,Settings!$A$27:$A$36,0))),0))</f>
        <v>0</v>
      </c>
      <c r="V1178" s="38" t="n">
        <f aca="false">Q1178*U1178</f>
        <v>0</v>
      </c>
      <c r="W1178" s="41" t="str">
        <f aca="false">IF($M1178="","",IF(T1178="Overdue",IF(Settings!$B$8="Yes",Settings!$B$7,""),IF(ISNUMBER(R1178),DATE(YEAR(R1178),MONTH(R1178),1),"")))</f>
        <v/>
      </c>
      <c r="X1178" s="38" t="n">
        <f aca="false">IF(AND(OR(T1178="Backlog",T1178="Pipeline",T1178="Overdue"),ISNUMBER(W1178)),IF(W1178&lt;=Settings!$B$6,V1178,0),0)</f>
        <v>0</v>
      </c>
      <c r="Y1178" s="38" t="n">
        <f aca="false">IF(AND(OR(T1178="Backlog",T1178="Pipeline",T1178="Overdue"),ISNUMBER(W1178)),IF(W1178&lt;=Settings!$B$6,Q1178,0),0)</f>
        <v>0</v>
      </c>
      <c r="Z1178" s="38" t="n">
        <f aca="false">IF(Y1178=0,0,IF(T1178="Backlog",Q1178,Q1178*Dashboard!$C$10))</f>
        <v>0</v>
      </c>
      <c r="AA1178" s="37" t="n">
        <f aca="false">IF($N1178="",0,IF(COUNTIF(Dashboard!$C$13:$C$22,$N1178)&gt;0,1,0))</f>
        <v>0</v>
      </c>
      <c r="AB1178" s="37" t="str">
        <f aca="false">IF($N1178="","",IF(COUNTIF($N$8:$N1178,$N1178)=1,MAX($AB$7:$AB1177)+1,""))</f>
        <v/>
      </c>
    </row>
    <row r="1179" customFormat="false" ht="15" hidden="false" customHeight="false" outlineLevel="0" collapsed="false">
      <c r="L1179" s="37" t="str">
        <f aca="false">IF(INDEX($A1179:$J1179,$L$6)&lt;&gt;"",TRIM(LEFT(INDEX($A1179:$J1179,$L$6),FIND("(",INDEX($A1179:$J1179,$L$6)&amp;"(")-1)),L1178)</f>
        <v>Building Value Proposition</v>
      </c>
      <c r="M1179" s="37" t="str">
        <f aca="false">IF(INDEX($A1179:$J1179,$M$6)="","",INDEX($A1179:$J1179,$M$6)&amp;"")</f>
        <v/>
      </c>
      <c r="N1179" s="37" t="str">
        <f aca="false">IF($M1179="","",TRIM(INDEX($A1179:$J1179,$N$6)&amp;""))</f>
        <v/>
      </c>
      <c r="O1179" s="37" t="str">
        <f aca="false">IF($M1179="","",TRIM(INDEX($A1179:$J1179,$O$6)&amp;""))</f>
        <v/>
      </c>
      <c r="P1179" s="37" t="str">
        <f aca="false">IF($M1179="","",IFERROR(IF(INDEX(Settings!$B$41:$B$50,MATCH(O1179,Settings!$A$41:$A$50,0))&amp;""="","UNMAPPED",INDEX(Settings!$B$41:$B$50,MATCH(O1179,Settings!$A$41:$A$50,0))&amp;""),"UNMAPPED"))</f>
        <v/>
      </c>
      <c r="Q1179" s="38" t="n">
        <f aca="false">IF($M1179="",0,N(INDEX($A1179:$J1179,$Q$6)))</f>
        <v>0</v>
      </c>
      <c r="R1179" s="39" t="str">
        <f aca="false">IF($M1179="","",INDEX($A1179:$J1179,$R$6))</f>
        <v/>
      </c>
      <c r="S1179" s="37" t="str">
        <f aca="false">IF($M1179="","",IFERROR(INDEX(Settings!$B$27:$B$36,MATCH(L1179,Settings!$A$27:$A$36,0))&amp;"","UNMAPPED"))</f>
        <v/>
      </c>
      <c r="T1179" s="37" t="str">
        <f aca="false">IF($M1179="","",IF(NOT(ISNUMBER(R1179)),"NO DATE",IF(S1179="Won",IF(R1179&gt;Settings!$B$5,"Backlog","Delivered"),IF(S1179="Open",IF(R1179&gt;Settings!$B$5,"Pipeline","Overdue"),IF(S1179="Lost","Lost","UNMAPPED")))))</f>
        <v/>
      </c>
      <c r="U1179" s="40" t="n">
        <f aca="false">IF(T1179="Backlog",1,IF(OR(T1179="Pipeline",T1179="Overdue"),N(INDEX(Settings!$C$27:$C$36,MATCH(L1179,Settings!$A$27:$A$36,0))),0))</f>
        <v>0</v>
      </c>
      <c r="V1179" s="38" t="n">
        <f aca="false">Q1179*U1179</f>
        <v>0</v>
      </c>
      <c r="W1179" s="41" t="str">
        <f aca="false">IF($M1179="","",IF(T1179="Overdue",IF(Settings!$B$8="Yes",Settings!$B$7,""),IF(ISNUMBER(R1179),DATE(YEAR(R1179),MONTH(R1179),1),"")))</f>
        <v/>
      </c>
      <c r="X1179" s="38" t="n">
        <f aca="false">IF(AND(OR(T1179="Backlog",T1179="Pipeline",T1179="Overdue"),ISNUMBER(W1179)),IF(W1179&lt;=Settings!$B$6,V1179,0),0)</f>
        <v>0</v>
      </c>
      <c r="Y1179" s="38" t="n">
        <f aca="false">IF(AND(OR(T1179="Backlog",T1179="Pipeline",T1179="Overdue"),ISNUMBER(W1179)),IF(W1179&lt;=Settings!$B$6,Q1179,0),0)</f>
        <v>0</v>
      </c>
      <c r="Z1179" s="38" t="n">
        <f aca="false">IF(Y1179=0,0,IF(T1179="Backlog",Q1179,Q1179*Dashboard!$C$10))</f>
        <v>0</v>
      </c>
      <c r="AA1179" s="37" t="n">
        <f aca="false">IF($N1179="",0,IF(COUNTIF(Dashboard!$C$13:$C$22,$N1179)&gt;0,1,0))</f>
        <v>0</v>
      </c>
      <c r="AB1179" s="37" t="str">
        <f aca="false">IF($N1179="","",IF(COUNTIF($N$8:$N1179,$N1179)=1,MAX($AB$7:$AB1178)+1,""))</f>
        <v/>
      </c>
    </row>
    <row r="1180" customFormat="false" ht="15" hidden="false" customHeight="false" outlineLevel="0" collapsed="false">
      <c r="L1180" s="37" t="str">
        <f aca="false">IF(INDEX($A1180:$J1180,$L$6)&lt;&gt;"",TRIM(LEFT(INDEX($A1180:$J1180,$L$6),FIND("(",INDEX($A1180:$J1180,$L$6)&amp;"(")-1)),L1179)</f>
        <v>Building Value Proposition</v>
      </c>
      <c r="M1180" s="37" t="str">
        <f aca="false">IF(INDEX($A1180:$J1180,$M$6)="","",INDEX($A1180:$J1180,$M$6)&amp;"")</f>
        <v/>
      </c>
      <c r="N1180" s="37" t="str">
        <f aca="false">IF($M1180="","",TRIM(INDEX($A1180:$J1180,$N$6)&amp;""))</f>
        <v/>
      </c>
      <c r="O1180" s="37" t="str">
        <f aca="false">IF($M1180="","",TRIM(INDEX($A1180:$J1180,$O$6)&amp;""))</f>
        <v/>
      </c>
      <c r="P1180" s="37" t="str">
        <f aca="false">IF($M1180="","",IFERROR(IF(INDEX(Settings!$B$41:$B$50,MATCH(O1180,Settings!$A$41:$A$50,0))&amp;""="","UNMAPPED",INDEX(Settings!$B$41:$B$50,MATCH(O1180,Settings!$A$41:$A$50,0))&amp;""),"UNMAPPED"))</f>
        <v/>
      </c>
      <c r="Q1180" s="38" t="n">
        <f aca="false">IF($M1180="",0,N(INDEX($A1180:$J1180,$Q$6)))</f>
        <v>0</v>
      </c>
      <c r="R1180" s="39" t="str">
        <f aca="false">IF($M1180="","",INDEX($A1180:$J1180,$R$6))</f>
        <v/>
      </c>
      <c r="S1180" s="37" t="str">
        <f aca="false">IF($M1180="","",IFERROR(INDEX(Settings!$B$27:$B$36,MATCH(L1180,Settings!$A$27:$A$36,0))&amp;"","UNMAPPED"))</f>
        <v/>
      </c>
      <c r="T1180" s="37" t="str">
        <f aca="false">IF($M1180="","",IF(NOT(ISNUMBER(R1180)),"NO DATE",IF(S1180="Won",IF(R1180&gt;Settings!$B$5,"Backlog","Delivered"),IF(S1180="Open",IF(R1180&gt;Settings!$B$5,"Pipeline","Overdue"),IF(S1180="Lost","Lost","UNMAPPED")))))</f>
        <v/>
      </c>
      <c r="U1180" s="40" t="n">
        <f aca="false">IF(T1180="Backlog",1,IF(OR(T1180="Pipeline",T1180="Overdue"),N(INDEX(Settings!$C$27:$C$36,MATCH(L1180,Settings!$A$27:$A$36,0))),0))</f>
        <v>0</v>
      </c>
      <c r="V1180" s="38" t="n">
        <f aca="false">Q1180*U1180</f>
        <v>0</v>
      </c>
      <c r="W1180" s="41" t="str">
        <f aca="false">IF($M1180="","",IF(T1180="Overdue",IF(Settings!$B$8="Yes",Settings!$B$7,""),IF(ISNUMBER(R1180),DATE(YEAR(R1180),MONTH(R1180),1),"")))</f>
        <v/>
      </c>
      <c r="X1180" s="38" t="n">
        <f aca="false">IF(AND(OR(T1180="Backlog",T1180="Pipeline",T1180="Overdue"),ISNUMBER(W1180)),IF(W1180&lt;=Settings!$B$6,V1180,0),0)</f>
        <v>0</v>
      </c>
      <c r="Y1180" s="38" t="n">
        <f aca="false">IF(AND(OR(T1180="Backlog",T1180="Pipeline",T1180="Overdue"),ISNUMBER(W1180)),IF(W1180&lt;=Settings!$B$6,Q1180,0),0)</f>
        <v>0</v>
      </c>
      <c r="Z1180" s="38" t="n">
        <f aca="false">IF(Y1180=0,0,IF(T1180="Backlog",Q1180,Q1180*Dashboard!$C$10))</f>
        <v>0</v>
      </c>
      <c r="AA1180" s="37" t="n">
        <f aca="false">IF($N1180="",0,IF(COUNTIF(Dashboard!$C$13:$C$22,$N1180)&gt;0,1,0))</f>
        <v>0</v>
      </c>
      <c r="AB1180" s="37" t="str">
        <f aca="false">IF($N1180="","",IF(COUNTIF($N$8:$N1180,$N1180)=1,MAX($AB$7:$AB1179)+1,""))</f>
        <v/>
      </c>
    </row>
    <row r="1181" customFormat="false" ht="15" hidden="false" customHeight="false" outlineLevel="0" collapsed="false">
      <c r="L1181" s="37" t="str">
        <f aca="false">IF(INDEX($A1181:$J1181,$L$6)&lt;&gt;"",TRIM(LEFT(INDEX($A1181:$J1181,$L$6),FIND("(",INDEX($A1181:$J1181,$L$6)&amp;"(")-1)),L1180)</f>
        <v>Building Value Proposition</v>
      </c>
      <c r="M1181" s="37" t="str">
        <f aca="false">IF(INDEX($A1181:$J1181,$M$6)="","",INDEX($A1181:$J1181,$M$6)&amp;"")</f>
        <v/>
      </c>
      <c r="N1181" s="37" t="str">
        <f aca="false">IF($M1181="","",TRIM(INDEX($A1181:$J1181,$N$6)&amp;""))</f>
        <v/>
      </c>
      <c r="O1181" s="37" t="str">
        <f aca="false">IF($M1181="","",TRIM(INDEX($A1181:$J1181,$O$6)&amp;""))</f>
        <v/>
      </c>
      <c r="P1181" s="37" t="str">
        <f aca="false">IF($M1181="","",IFERROR(IF(INDEX(Settings!$B$41:$B$50,MATCH(O1181,Settings!$A$41:$A$50,0))&amp;""="","UNMAPPED",INDEX(Settings!$B$41:$B$50,MATCH(O1181,Settings!$A$41:$A$50,0))&amp;""),"UNMAPPED"))</f>
        <v/>
      </c>
      <c r="Q1181" s="38" t="n">
        <f aca="false">IF($M1181="",0,N(INDEX($A1181:$J1181,$Q$6)))</f>
        <v>0</v>
      </c>
      <c r="R1181" s="39" t="str">
        <f aca="false">IF($M1181="","",INDEX($A1181:$J1181,$R$6))</f>
        <v/>
      </c>
      <c r="S1181" s="37" t="str">
        <f aca="false">IF($M1181="","",IFERROR(INDEX(Settings!$B$27:$B$36,MATCH(L1181,Settings!$A$27:$A$36,0))&amp;"","UNMAPPED"))</f>
        <v/>
      </c>
      <c r="T1181" s="37" t="str">
        <f aca="false">IF($M1181="","",IF(NOT(ISNUMBER(R1181)),"NO DATE",IF(S1181="Won",IF(R1181&gt;Settings!$B$5,"Backlog","Delivered"),IF(S1181="Open",IF(R1181&gt;Settings!$B$5,"Pipeline","Overdue"),IF(S1181="Lost","Lost","UNMAPPED")))))</f>
        <v/>
      </c>
      <c r="U1181" s="40" t="n">
        <f aca="false">IF(T1181="Backlog",1,IF(OR(T1181="Pipeline",T1181="Overdue"),N(INDEX(Settings!$C$27:$C$36,MATCH(L1181,Settings!$A$27:$A$36,0))),0))</f>
        <v>0</v>
      </c>
      <c r="V1181" s="38" t="n">
        <f aca="false">Q1181*U1181</f>
        <v>0</v>
      </c>
      <c r="W1181" s="41" t="str">
        <f aca="false">IF($M1181="","",IF(T1181="Overdue",IF(Settings!$B$8="Yes",Settings!$B$7,""),IF(ISNUMBER(R1181),DATE(YEAR(R1181),MONTH(R1181),1),"")))</f>
        <v/>
      </c>
      <c r="X1181" s="38" t="n">
        <f aca="false">IF(AND(OR(T1181="Backlog",T1181="Pipeline",T1181="Overdue"),ISNUMBER(W1181)),IF(W1181&lt;=Settings!$B$6,V1181,0),0)</f>
        <v>0</v>
      </c>
      <c r="Y1181" s="38" t="n">
        <f aca="false">IF(AND(OR(T1181="Backlog",T1181="Pipeline",T1181="Overdue"),ISNUMBER(W1181)),IF(W1181&lt;=Settings!$B$6,Q1181,0),0)</f>
        <v>0</v>
      </c>
      <c r="Z1181" s="38" t="n">
        <f aca="false">IF(Y1181=0,0,IF(T1181="Backlog",Q1181,Q1181*Dashboard!$C$10))</f>
        <v>0</v>
      </c>
      <c r="AA1181" s="37" t="n">
        <f aca="false">IF($N1181="",0,IF(COUNTIF(Dashboard!$C$13:$C$22,$N1181)&gt;0,1,0))</f>
        <v>0</v>
      </c>
      <c r="AB1181" s="37" t="str">
        <f aca="false">IF($N1181="","",IF(COUNTIF($N$8:$N1181,$N1181)=1,MAX($AB$7:$AB1180)+1,""))</f>
        <v/>
      </c>
    </row>
    <row r="1182" customFormat="false" ht="15" hidden="false" customHeight="false" outlineLevel="0" collapsed="false">
      <c r="L1182" s="37" t="str">
        <f aca="false">IF(INDEX($A1182:$J1182,$L$6)&lt;&gt;"",TRIM(LEFT(INDEX($A1182:$J1182,$L$6),FIND("(",INDEX($A1182:$J1182,$L$6)&amp;"(")-1)),L1181)</f>
        <v>Building Value Proposition</v>
      </c>
      <c r="M1182" s="37" t="str">
        <f aca="false">IF(INDEX($A1182:$J1182,$M$6)="","",INDEX($A1182:$J1182,$M$6)&amp;"")</f>
        <v/>
      </c>
      <c r="N1182" s="37" t="str">
        <f aca="false">IF($M1182="","",TRIM(INDEX($A1182:$J1182,$N$6)&amp;""))</f>
        <v/>
      </c>
      <c r="O1182" s="37" t="str">
        <f aca="false">IF($M1182="","",TRIM(INDEX($A1182:$J1182,$O$6)&amp;""))</f>
        <v/>
      </c>
      <c r="P1182" s="37" t="str">
        <f aca="false">IF($M1182="","",IFERROR(IF(INDEX(Settings!$B$41:$B$50,MATCH(O1182,Settings!$A$41:$A$50,0))&amp;""="","UNMAPPED",INDEX(Settings!$B$41:$B$50,MATCH(O1182,Settings!$A$41:$A$50,0))&amp;""),"UNMAPPED"))</f>
        <v/>
      </c>
      <c r="Q1182" s="38" t="n">
        <f aca="false">IF($M1182="",0,N(INDEX($A1182:$J1182,$Q$6)))</f>
        <v>0</v>
      </c>
      <c r="R1182" s="39" t="str">
        <f aca="false">IF($M1182="","",INDEX($A1182:$J1182,$R$6))</f>
        <v/>
      </c>
      <c r="S1182" s="37" t="str">
        <f aca="false">IF($M1182="","",IFERROR(INDEX(Settings!$B$27:$B$36,MATCH(L1182,Settings!$A$27:$A$36,0))&amp;"","UNMAPPED"))</f>
        <v/>
      </c>
      <c r="T1182" s="37" t="str">
        <f aca="false">IF($M1182="","",IF(NOT(ISNUMBER(R1182)),"NO DATE",IF(S1182="Won",IF(R1182&gt;Settings!$B$5,"Backlog","Delivered"),IF(S1182="Open",IF(R1182&gt;Settings!$B$5,"Pipeline","Overdue"),IF(S1182="Lost","Lost","UNMAPPED")))))</f>
        <v/>
      </c>
      <c r="U1182" s="40" t="n">
        <f aca="false">IF(T1182="Backlog",1,IF(OR(T1182="Pipeline",T1182="Overdue"),N(INDEX(Settings!$C$27:$C$36,MATCH(L1182,Settings!$A$27:$A$36,0))),0))</f>
        <v>0</v>
      </c>
      <c r="V1182" s="38" t="n">
        <f aca="false">Q1182*U1182</f>
        <v>0</v>
      </c>
      <c r="W1182" s="41" t="str">
        <f aca="false">IF($M1182="","",IF(T1182="Overdue",IF(Settings!$B$8="Yes",Settings!$B$7,""),IF(ISNUMBER(R1182),DATE(YEAR(R1182),MONTH(R1182),1),"")))</f>
        <v/>
      </c>
      <c r="X1182" s="38" t="n">
        <f aca="false">IF(AND(OR(T1182="Backlog",T1182="Pipeline",T1182="Overdue"),ISNUMBER(W1182)),IF(W1182&lt;=Settings!$B$6,V1182,0),0)</f>
        <v>0</v>
      </c>
      <c r="Y1182" s="38" t="n">
        <f aca="false">IF(AND(OR(T1182="Backlog",T1182="Pipeline",T1182="Overdue"),ISNUMBER(W1182)),IF(W1182&lt;=Settings!$B$6,Q1182,0),0)</f>
        <v>0</v>
      </c>
      <c r="Z1182" s="38" t="n">
        <f aca="false">IF(Y1182=0,0,IF(T1182="Backlog",Q1182,Q1182*Dashboard!$C$10))</f>
        <v>0</v>
      </c>
      <c r="AA1182" s="37" t="n">
        <f aca="false">IF($N1182="",0,IF(COUNTIF(Dashboard!$C$13:$C$22,$N1182)&gt;0,1,0))</f>
        <v>0</v>
      </c>
      <c r="AB1182" s="37" t="str">
        <f aca="false">IF($N1182="","",IF(COUNTIF($N$8:$N1182,$N1182)=1,MAX($AB$7:$AB1181)+1,""))</f>
        <v/>
      </c>
    </row>
    <row r="1183" customFormat="false" ht="15" hidden="false" customHeight="false" outlineLevel="0" collapsed="false">
      <c r="L1183" s="37" t="str">
        <f aca="false">IF(INDEX($A1183:$J1183,$L$6)&lt;&gt;"",TRIM(LEFT(INDEX($A1183:$J1183,$L$6),FIND("(",INDEX($A1183:$J1183,$L$6)&amp;"(")-1)),L1182)</f>
        <v>Building Value Proposition</v>
      </c>
      <c r="M1183" s="37" t="str">
        <f aca="false">IF(INDEX($A1183:$J1183,$M$6)="","",INDEX($A1183:$J1183,$M$6)&amp;"")</f>
        <v/>
      </c>
      <c r="N1183" s="37" t="str">
        <f aca="false">IF($M1183="","",TRIM(INDEX($A1183:$J1183,$N$6)&amp;""))</f>
        <v/>
      </c>
      <c r="O1183" s="37" t="str">
        <f aca="false">IF($M1183="","",TRIM(INDEX($A1183:$J1183,$O$6)&amp;""))</f>
        <v/>
      </c>
      <c r="P1183" s="37" t="str">
        <f aca="false">IF($M1183="","",IFERROR(IF(INDEX(Settings!$B$41:$B$50,MATCH(O1183,Settings!$A$41:$A$50,0))&amp;""="","UNMAPPED",INDEX(Settings!$B$41:$B$50,MATCH(O1183,Settings!$A$41:$A$50,0))&amp;""),"UNMAPPED"))</f>
        <v/>
      </c>
      <c r="Q1183" s="38" t="n">
        <f aca="false">IF($M1183="",0,N(INDEX($A1183:$J1183,$Q$6)))</f>
        <v>0</v>
      </c>
      <c r="R1183" s="39" t="str">
        <f aca="false">IF($M1183="","",INDEX($A1183:$J1183,$R$6))</f>
        <v/>
      </c>
      <c r="S1183" s="37" t="str">
        <f aca="false">IF($M1183="","",IFERROR(INDEX(Settings!$B$27:$B$36,MATCH(L1183,Settings!$A$27:$A$36,0))&amp;"","UNMAPPED"))</f>
        <v/>
      </c>
      <c r="T1183" s="37" t="str">
        <f aca="false">IF($M1183="","",IF(NOT(ISNUMBER(R1183)),"NO DATE",IF(S1183="Won",IF(R1183&gt;Settings!$B$5,"Backlog","Delivered"),IF(S1183="Open",IF(R1183&gt;Settings!$B$5,"Pipeline","Overdue"),IF(S1183="Lost","Lost","UNMAPPED")))))</f>
        <v/>
      </c>
      <c r="U1183" s="40" t="n">
        <f aca="false">IF(T1183="Backlog",1,IF(OR(T1183="Pipeline",T1183="Overdue"),N(INDEX(Settings!$C$27:$C$36,MATCH(L1183,Settings!$A$27:$A$36,0))),0))</f>
        <v>0</v>
      </c>
      <c r="V1183" s="38" t="n">
        <f aca="false">Q1183*U1183</f>
        <v>0</v>
      </c>
      <c r="W1183" s="41" t="str">
        <f aca="false">IF($M1183="","",IF(T1183="Overdue",IF(Settings!$B$8="Yes",Settings!$B$7,""),IF(ISNUMBER(R1183),DATE(YEAR(R1183),MONTH(R1183),1),"")))</f>
        <v/>
      </c>
      <c r="X1183" s="38" t="n">
        <f aca="false">IF(AND(OR(T1183="Backlog",T1183="Pipeline",T1183="Overdue"),ISNUMBER(W1183)),IF(W1183&lt;=Settings!$B$6,V1183,0),0)</f>
        <v>0</v>
      </c>
      <c r="Y1183" s="38" t="n">
        <f aca="false">IF(AND(OR(T1183="Backlog",T1183="Pipeline",T1183="Overdue"),ISNUMBER(W1183)),IF(W1183&lt;=Settings!$B$6,Q1183,0),0)</f>
        <v>0</v>
      </c>
      <c r="Z1183" s="38" t="n">
        <f aca="false">IF(Y1183=0,0,IF(T1183="Backlog",Q1183,Q1183*Dashboard!$C$10))</f>
        <v>0</v>
      </c>
      <c r="AA1183" s="37" t="n">
        <f aca="false">IF($N1183="",0,IF(COUNTIF(Dashboard!$C$13:$C$22,$N1183)&gt;0,1,0))</f>
        <v>0</v>
      </c>
      <c r="AB1183" s="37" t="str">
        <f aca="false">IF($N1183="","",IF(COUNTIF($N$8:$N1183,$N1183)=1,MAX($AB$7:$AB1182)+1,""))</f>
        <v/>
      </c>
    </row>
    <row r="1184" customFormat="false" ht="15" hidden="false" customHeight="false" outlineLevel="0" collapsed="false">
      <c r="L1184" s="37" t="str">
        <f aca="false">IF(INDEX($A1184:$J1184,$L$6)&lt;&gt;"",TRIM(LEFT(INDEX($A1184:$J1184,$L$6),FIND("(",INDEX($A1184:$J1184,$L$6)&amp;"(")-1)),L1183)</f>
        <v>Building Value Proposition</v>
      </c>
      <c r="M1184" s="37" t="str">
        <f aca="false">IF(INDEX($A1184:$J1184,$M$6)="","",INDEX($A1184:$J1184,$M$6)&amp;"")</f>
        <v/>
      </c>
      <c r="N1184" s="37" t="str">
        <f aca="false">IF($M1184="","",TRIM(INDEX($A1184:$J1184,$N$6)&amp;""))</f>
        <v/>
      </c>
      <c r="O1184" s="37" t="str">
        <f aca="false">IF($M1184="","",TRIM(INDEX($A1184:$J1184,$O$6)&amp;""))</f>
        <v/>
      </c>
      <c r="P1184" s="37" t="str">
        <f aca="false">IF($M1184="","",IFERROR(IF(INDEX(Settings!$B$41:$B$50,MATCH(O1184,Settings!$A$41:$A$50,0))&amp;""="","UNMAPPED",INDEX(Settings!$B$41:$B$50,MATCH(O1184,Settings!$A$41:$A$50,0))&amp;""),"UNMAPPED"))</f>
        <v/>
      </c>
      <c r="Q1184" s="38" t="n">
        <f aca="false">IF($M1184="",0,N(INDEX($A1184:$J1184,$Q$6)))</f>
        <v>0</v>
      </c>
      <c r="R1184" s="39" t="str">
        <f aca="false">IF($M1184="","",INDEX($A1184:$J1184,$R$6))</f>
        <v/>
      </c>
      <c r="S1184" s="37" t="str">
        <f aca="false">IF($M1184="","",IFERROR(INDEX(Settings!$B$27:$B$36,MATCH(L1184,Settings!$A$27:$A$36,0))&amp;"","UNMAPPED"))</f>
        <v/>
      </c>
      <c r="T1184" s="37" t="str">
        <f aca="false">IF($M1184="","",IF(NOT(ISNUMBER(R1184)),"NO DATE",IF(S1184="Won",IF(R1184&gt;Settings!$B$5,"Backlog","Delivered"),IF(S1184="Open",IF(R1184&gt;Settings!$B$5,"Pipeline","Overdue"),IF(S1184="Lost","Lost","UNMAPPED")))))</f>
        <v/>
      </c>
      <c r="U1184" s="40" t="n">
        <f aca="false">IF(T1184="Backlog",1,IF(OR(T1184="Pipeline",T1184="Overdue"),N(INDEX(Settings!$C$27:$C$36,MATCH(L1184,Settings!$A$27:$A$36,0))),0))</f>
        <v>0</v>
      </c>
      <c r="V1184" s="38" t="n">
        <f aca="false">Q1184*U1184</f>
        <v>0</v>
      </c>
      <c r="W1184" s="41" t="str">
        <f aca="false">IF($M1184="","",IF(T1184="Overdue",IF(Settings!$B$8="Yes",Settings!$B$7,""),IF(ISNUMBER(R1184),DATE(YEAR(R1184),MONTH(R1184),1),"")))</f>
        <v/>
      </c>
      <c r="X1184" s="38" t="n">
        <f aca="false">IF(AND(OR(T1184="Backlog",T1184="Pipeline",T1184="Overdue"),ISNUMBER(W1184)),IF(W1184&lt;=Settings!$B$6,V1184,0),0)</f>
        <v>0</v>
      </c>
      <c r="Y1184" s="38" t="n">
        <f aca="false">IF(AND(OR(T1184="Backlog",T1184="Pipeline",T1184="Overdue"),ISNUMBER(W1184)),IF(W1184&lt;=Settings!$B$6,Q1184,0),0)</f>
        <v>0</v>
      </c>
      <c r="Z1184" s="38" t="n">
        <f aca="false">IF(Y1184=0,0,IF(T1184="Backlog",Q1184,Q1184*Dashboard!$C$10))</f>
        <v>0</v>
      </c>
      <c r="AA1184" s="37" t="n">
        <f aca="false">IF($N1184="",0,IF(COUNTIF(Dashboard!$C$13:$C$22,$N1184)&gt;0,1,0))</f>
        <v>0</v>
      </c>
      <c r="AB1184" s="37" t="str">
        <f aca="false">IF($N1184="","",IF(COUNTIF($N$8:$N1184,$N1184)=1,MAX($AB$7:$AB1183)+1,""))</f>
        <v/>
      </c>
    </row>
    <row r="1185" customFormat="false" ht="15" hidden="false" customHeight="false" outlineLevel="0" collapsed="false">
      <c r="L1185" s="37" t="str">
        <f aca="false">IF(INDEX($A1185:$J1185,$L$6)&lt;&gt;"",TRIM(LEFT(INDEX($A1185:$J1185,$L$6),FIND("(",INDEX($A1185:$J1185,$L$6)&amp;"(")-1)),L1184)</f>
        <v>Building Value Proposition</v>
      </c>
      <c r="M1185" s="37" t="str">
        <f aca="false">IF(INDEX($A1185:$J1185,$M$6)="","",INDEX($A1185:$J1185,$M$6)&amp;"")</f>
        <v/>
      </c>
      <c r="N1185" s="37" t="str">
        <f aca="false">IF($M1185="","",TRIM(INDEX($A1185:$J1185,$N$6)&amp;""))</f>
        <v/>
      </c>
      <c r="O1185" s="37" t="str">
        <f aca="false">IF($M1185="","",TRIM(INDEX($A1185:$J1185,$O$6)&amp;""))</f>
        <v/>
      </c>
      <c r="P1185" s="37" t="str">
        <f aca="false">IF($M1185="","",IFERROR(IF(INDEX(Settings!$B$41:$B$50,MATCH(O1185,Settings!$A$41:$A$50,0))&amp;""="","UNMAPPED",INDEX(Settings!$B$41:$B$50,MATCH(O1185,Settings!$A$41:$A$50,0))&amp;""),"UNMAPPED"))</f>
        <v/>
      </c>
      <c r="Q1185" s="38" t="n">
        <f aca="false">IF($M1185="",0,N(INDEX($A1185:$J1185,$Q$6)))</f>
        <v>0</v>
      </c>
      <c r="R1185" s="39" t="str">
        <f aca="false">IF($M1185="","",INDEX($A1185:$J1185,$R$6))</f>
        <v/>
      </c>
      <c r="S1185" s="37" t="str">
        <f aca="false">IF($M1185="","",IFERROR(INDEX(Settings!$B$27:$B$36,MATCH(L1185,Settings!$A$27:$A$36,0))&amp;"","UNMAPPED"))</f>
        <v/>
      </c>
      <c r="T1185" s="37" t="str">
        <f aca="false">IF($M1185="","",IF(NOT(ISNUMBER(R1185)),"NO DATE",IF(S1185="Won",IF(R1185&gt;Settings!$B$5,"Backlog","Delivered"),IF(S1185="Open",IF(R1185&gt;Settings!$B$5,"Pipeline","Overdue"),IF(S1185="Lost","Lost","UNMAPPED")))))</f>
        <v/>
      </c>
      <c r="U1185" s="40" t="n">
        <f aca="false">IF(T1185="Backlog",1,IF(OR(T1185="Pipeline",T1185="Overdue"),N(INDEX(Settings!$C$27:$C$36,MATCH(L1185,Settings!$A$27:$A$36,0))),0))</f>
        <v>0</v>
      </c>
      <c r="V1185" s="38" t="n">
        <f aca="false">Q1185*U1185</f>
        <v>0</v>
      </c>
      <c r="W1185" s="41" t="str">
        <f aca="false">IF($M1185="","",IF(T1185="Overdue",IF(Settings!$B$8="Yes",Settings!$B$7,""),IF(ISNUMBER(R1185),DATE(YEAR(R1185),MONTH(R1185),1),"")))</f>
        <v/>
      </c>
      <c r="X1185" s="38" t="n">
        <f aca="false">IF(AND(OR(T1185="Backlog",T1185="Pipeline",T1185="Overdue"),ISNUMBER(W1185)),IF(W1185&lt;=Settings!$B$6,V1185,0),0)</f>
        <v>0</v>
      </c>
      <c r="Y1185" s="38" t="n">
        <f aca="false">IF(AND(OR(T1185="Backlog",T1185="Pipeline",T1185="Overdue"),ISNUMBER(W1185)),IF(W1185&lt;=Settings!$B$6,Q1185,0),0)</f>
        <v>0</v>
      </c>
      <c r="Z1185" s="38" t="n">
        <f aca="false">IF(Y1185=0,0,IF(T1185="Backlog",Q1185,Q1185*Dashboard!$C$10))</f>
        <v>0</v>
      </c>
      <c r="AA1185" s="37" t="n">
        <f aca="false">IF($N1185="",0,IF(COUNTIF(Dashboard!$C$13:$C$22,$N1185)&gt;0,1,0))</f>
        <v>0</v>
      </c>
      <c r="AB1185" s="37" t="str">
        <f aca="false">IF($N1185="","",IF(COUNTIF($N$8:$N1185,$N1185)=1,MAX($AB$7:$AB1184)+1,""))</f>
        <v/>
      </c>
    </row>
    <row r="1186" customFormat="false" ht="15" hidden="false" customHeight="false" outlineLevel="0" collapsed="false">
      <c r="L1186" s="37" t="str">
        <f aca="false">IF(INDEX($A1186:$J1186,$L$6)&lt;&gt;"",TRIM(LEFT(INDEX($A1186:$J1186,$L$6),FIND("(",INDEX($A1186:$J1186,$L$6)&amp;"(")-1)),L1185)</f>
        <v>Building Value Proposition</v>
      </c>
      <c r="M1186" s="37" t="str">
        <f aca="false">IF(INDEX($A1186:$J1186,$M$6)="","",INDEX($A1186:$J1186,$M$6)&amp;"")</f>
        <v/>
      </c>
      <c r="N1186" s="37" t="str">
        <f aca="false">IF($M1186="","",TRIM(INDEX($A1186:$J1186,$N$6)&amp;""))</f>
        <v/>
      </c>
      <c r="O1186" s="37" t="str">
        <f aca="false">IF($M1186="","",TRIM(INDEX($A1186:$J1186,$O$6)&amp;""))</f>
        <v/>
      </c>
      <c r="P1186" s="37" t="str">
        <f aca="false">IF($M1186="","",IFERROR(IF(INDEX(Settings!$B$41:$B$50,MATCH(O1186,Settings!$A$41:$A$50,0))&amp;""="","UNMAPPED",INDEX(Settings!$B$41:$B$50,MATCH(O1186,Settings!$A$41:$A$50,0))&amp;""),"UNMAPPED"))</f>
        <v/>
      </c>
      <c r="Q1186" s="38" t="n">
        <f aca="false">IF($M1186="",0,N(INDEX($A1186:$J1186,$Q$6)))</f>
        <v>0</v>
      </c>
      <c r="R1186" s="39" t="str">
        <f aca="false">IF($M1186="","",INDEX($A1186:$J1186,$R$6))</f>
        <v/>
      </c>
      <c r="S1186" s="37" t="str">
        <f aca="false">IF($M1186="","",IFERROR(INDEX(Settings!$B$27:$B$36,MATCH(L1186,Settings!$A$27:$A$36,0))&amp;"","UNMAPPED"))</f>
        <v/>
      </c>
      <c r="T1186" s="37" t="str">
        <f aca="false">IF($M1186="","",IF(NOT(ISNUMBER(R1186)),"NO DATE",IF(S1186="Won",IF(R1186&gt;Settings!$B$5,"Backlog","Delivered"),IF(S1186="Open",IF(R1186&gt;Settings!$B$5,"Pipeline","Overdue"),IF(S1186="Lost","Lost","UNMAPPED")))))</f>
        <v/>
      </c>
      <c r="U1186" s="40" t="n">
        <f aca="false">IF(T1186="Backlog",1,IF(OR(T1186="Pipeline",T1186="Overdue"),N(INDEX(Settings!$C$27:$C$36,MATCH(L1186,Settings!$A$27:$A$36,0))),0))</f>
        <v>0</v>
      </c>
      <c r="V1186" s="38" t="n">
        <f aca="false">Q1186*U1186</f>
        <v>0</v>
      </c>
      <c r="W1186" s="41" t="str">
        <f aca="false">IF($M1186="","",IF(T1186="Overdue",IF(Settings!$B$8="Yes",Settings!$B$7,""),IF(ISNUMBER(R1186),DATE(YEAR(R1186),MONTH(R1186),1),"")))</f>
        <v/>
      </c>
      <c r="X1186" s="38" t="n">
        <f aca="false">IF(AND(OR(T1186="Backlog",T1186="Pipeline",T1186="Overdue"),ISNUMBER(W1186)),IF(W1186&lt;=Settings!$B$6,V1186,0),0)</f>
        <v>0</v>
      </c>
      <c r="Y1186" s="38" t="n">
        <f aca="false">IF(AND(OR(T1186="Backlog",T1186="Pipeline",T1186="Overdue"),ISNUMBER(W1186)),IF(W1186&lt;=Settings!$B$6,Q1186,0),0)</f>
        <v>0</v>
      </c>
      <c r="Z1186" s="38" t="n">
        <f aca="false">IF(Y1186=0,0,IF(T1186="Backlog",Q1186,Q1186*Dashboard!$C$10))</f>
        <v>0</v>
      </c>
      <c r="AA1186" s="37" t="n">
        <f aca="false">IF($N1186="",0,IF(COUNTIF(Dashboard!$C$13:$C$22,$N1186)&gt;0,1,0))</f>
        <v>0</v>
      </c>
      <c r="AB1186" s="37" t="str">
        <f aca="false">IF($N1186="","",IF(COUNTIF($N$8:$N1186,$N1186)=1,MAX($AB$7:$AB1185)+1,""))</f>
        <v/>
      </c>
    </row>
    <row r="1187" customFormat="false" ht="15" hidden="false" customHeight="false" outlineLevel="0" collapsed="false">
      <c r="L1187" s="37" t="str">
        <f aca="false">IF(INDEX($A1187:$J1187,$L$6)&lt;&gt;"",TRIM(LEFT(INDEX($A1187:$J1187,$L$6),FIND("(",INDEX($A1187:$J1187,$L$6)&amp;"(")-1)),L1186)</f>
        <v>Building Value Proposition</v>
      </c>
      <c r="M1187" s="37" t="str">
        <f aca="false">IF(INDEX($A1187:$J1187,$M$6)="","",INDEX($A1187:$J1187,$M$6)&amp;"")</f>
        <v/>
      </c>
      <c r="N1187" s="37" t="str">
        <f aca="false">IF($M1187="","",TRIM(INDEX($A1187:$J1187,$N$6)&amp;""))</f>
        <v/>
      </c>
      <c r="O1187" s="37" t="str">
        <f aca="false">IF($M1187="","",TRIM(INDEX($A1187:$J1187,$O$6)&amp;""))</f>
        <v/>
      </c>
      <c r="P1187" s="37" t="str">
        <f aca="false">IF($M1187="","",IFERROR(IF(INDEX(Settings!$B$41:$B$50,MATCH(O1187,Settings!$A$41:$A$50,0))&amp;""="","UNMAPPED",INDEX(Settings!$B$41:$B$50,MATCH(O1187,Settings!$A$41:$A$50,0))&amp;""),"UNMAPPED"))</f>
        <v/>
      </c>
      <c r="Q1187" s="38" t="n">
        <f aca="false">IF($M1187="",0,N(INDEX($A1187:$J1187,$Q$6)))</f>
        <v>0</v>
      </c>
      <c r="R1187" s="39" t="str">
        <f aca="false">IF($M1187="","",INDEX($A1187:$J1187,$R$6))</f>
        <v/>
      </c>
      <c r="S1187" s="37" t="str">
        <f aca="false">IF($M1187="","",IFERROR(INDEX(Settings!$B$27:$B$36,MATCH(L1187,Settings!$A$27:$A$36,0))&amp;"","UNMAPPED"))</f>
        <v/>
      </c>
      <c r="T1187" s="37" t="str">
        <f aca="false">IF($M1187="","",IF(NOT(ISNUMBER(R1187)),"NO DATE",IF(S1187="Won",IF(R1187&gt;Settings!$B$5,"Backlog","Delivered"),IF(S1187="Open",IF(R1187&gt;Settings!$B$5,"Pipeline","Overdue"),IF(S1187="Lost","Lost","UNMAPPED")))))</f>
        <v/>
      </c>
      <c r="U1187" s="40" t="n">
        <f aca="false">IF(T1187="Backlog",1,IF(OR(T1187="Pipeline",T1187="Overdue"),N(INDEX(Settings!$C$27:$C$36,MATCH(L1187,Settings!$A$27:$A$36,0))),0))</f>
        <v>0</v>
      </c>
      <c r="V1187" s="38" t="n">
        <f aca="false">Q1187*U1187</f>
        <v>0</v>
      </c>
      <c r="W1187" s="41" t="str">
        <f aca="false">IF($M1187="","",IF(T1187="Overdue",IF(Settings!$B$8="Yes",Settings!$B$7,""),IF(ISNUMBER(R1187),DATE(YEAR(R1187),MONTH(R1187),1),"")))</f>
        <v/>
      </c>
      <c r="X1187" s="38" t="n">
        <f aca="false">IF(AND(OR(T1187="Backlog",T1187="Pipeline",T1187="Overdue"),ISNUMBER(W1187)),IF(W1187&lt;=Settings!$B$6,V1187,0),0)</f>
        <v>0</v>
      </c>
      <c r="Y1187" s="38" t="n">
        <f aca="false">IF(AND(OR(T1187="Backlog",T1187="Pipeline",T1187="Overdue"),ISNUMBER(W1187)),IF(W1187&lt;=Settings!$B$6,Q1187,0),0)</f>
        <v>0</v>
      </c>
      <c r="Z1187" s="38" t="n">
        <f aca="false">IF(Y1187=0,0,IF(T1187="Backlog",Q1187,Q1187*Dashboard!$C$10))</f>
        <v>0</v>
      </c>
      <c r="AA1187" s="37" t="n">
        <f aca="false">IF($N1187="",0,IF(COUNTIF(Dashboard!$C$13:$C$22,$N1187)&gt;0,1,0))</f>
        <v>0</v>
      </c>
      <c r="AB1187" s="37" t="str">
        <f aca="false">IF($N1187="","",IF(COUNTIF($N$8:$N1187,$N1187)=1,MAX($AB$7:$AB1186)+1,""))</f>
        <v/>
      </c>
    </row>
    <row r="1188" customFormat="false" ht="15" hidden="false" customHeight="false" outlineLevel="0" collapsed="false">
      <c r="L1188" s="37" t="str">
        <f aca="false">IF(INDEX($A1188:$J1188,$L$6)&lt;&gt;"",TRIM(LEFT(INDEX($A1188:$J1188,$L$6),FIND("(",INDEX($A1188:$J1188,$L$6)&amp;"(")-1)),L1187)</f>
        <v>Building Value Proposition</v>
      </c>
      <c r="M1188" s="37" t="str">
        <f aca="false">IF(INDEX($A1188:$J1188,$M$6)="","",INDEX($A1188:$J1188,$M$6)&amp;"")</f>
        <v/>
      </c>
      <c r="N1188" s="37" t="str">
        <f aca="false">IF($M1188="","",TRIM(INDEX($A1188:$J1188,$N$6)&amp;""))</f>
        <v/>
      </c>
      <c r="O1188" s="37" t="str">
        <f aca="false">IF($M1188="","",TRIM(INDEX($A1188:$J1188,$O$6)&amp;""))</f>
        <v/>
      </c>
      <c r="P1188" s="37" t="str">
        <f aca="false">IF($M1188="","",IFERROR(IF(INDEX(Settings!$B$41:$B$50,MATCH(O1188,Settings!$A$41:$A$50,0))&amp;""="","UNMAPPED",INDEX(Settings!$B$41:$B$50,MATCH(O1188,Settings!$A$41:$A$50,0))&amp;""),"UNMAPPED"))</f>
        <v/>
      </c>
      <c r="Q1188" s="38" t="n">
        <f aca="false">IF($M1188="",0,N(INDEX($A1188:$J1188,$Q$6)))</f>
        <v>0</v>
      </c>
      <c r="R1188" s="39" t="str">
        <f aca="false">IF($M1188="","",INDEX($A1188:$J1188,$R$6))</f>
        <v/>
      </c>
      <c r="S1188" s="37" t="str">
        <f aca="false">IF($M1188="","",IFERROR(INDEX(Settings!$B$27:$B$36,MATCH(L1188,Settings!$A$27:$A$36,0))&amp;"","UNMAPPED"))</f>
        <v/>
      </c>
      <c r="T1188" s="37" t="str">
        <f aca="false">IF($M1188="","",IF(NOT(ISNUMBER(R1188)),"NO DATE",IF(S1188="Won",IF(R1188&gt;Settings!$B$5,"Backlog","Delivered"),IF(S1188="Open",IF(R1188&gt;Settings!$B$5,"Pipeline","Overdue"),IF(S1188="Lost","Lost","UNMAPPED")))))</f>
        <v/>
      </c>
      <c r="U1188" s="40" t="n">
        <f aca="false">IF(T1188="Backlog",1,IF(OR(T1188="Pipeline",T1188="Overdue"),N(INDEX(Settings!$C$27:$C$36,MATCH(L1188,Settings!$A$27:$A$36,0))),0))</f>
        <v>0</v>
      </c>
      <c r="V1188" s="38" t="n">
        <f aca="false">Q1188*U1188</f>
        <v>0</v>
      </c>
      <c r="W1188" s="41" t="str">
        <f aca="false">IF($M1188="","",IF(T1188="Overdue",IF(Settings!$B$8="Yes",Settings!$B$7,""),IF(ISNUMBER(R1188),DATE(YEAR(R1188),MONTH(R1188),1),"")))</f>
        <v/>
      </c>
      <c r="X1188" s="38" t="n">
        <f aca="false">IF(AND(OR(T1188="Backlog",T1188="Pipeline",T1188="Overdue"),ISNUMBER(W1188)),IF(W1188&lt;=Settings!$B$6,V1188,0),0)</f>
        <v>0</v>
      </c>
      <c r="Y1188" s="38" t="n">
        <f aca="false">IF(AND(OR(T1188="Backlog",T1188="Pipeline",T1188="Overdue"),ISNUMBER(W1188)),IF(W1188&lt;=Settings!$B$6,Q1188,0),0)</f>
        <v>0</v>
      </c>
      <c r="Z1188" s="38" t="n">
        <f aca="false">IF(Y1188=0,0,IF(T1188="Backlog",Q1188,Q1188*Dashboard!$C$10))</f>
        <v>0</v>
      </c>
      <c r="AA1188" s="37" t="n">
        <f aca="false">IF($N1188="",0,IF(COUNTIF(Dashboard!$C$13:$C$22,$N1188)&gt;0,1,0))</f>
        <v>0</v>
      </c>
      <c r="AB1188" s="37" t="str">
        <f aca="false">IF($N1188="","",IF(COUNTIF($N$8:$N1188,$N1188)=1,MAX($AB$7:$AB1187)+1,""))</f>
        <v/>
      </c>
    </row>
    <row r="1189" customFormat="false" ht="15" hidden="false" customHeight="false" outlineLevel="0" collapsed="false">
      <c r="L1189" s="37" t="str">
        <f aca="false">IF(INDEX($A1189:$J1189,$L$6)&lt;&gt;"",TRIM(LEFT(INDEX($A1189:$J1189,$L$6),FIND("(",INDEX($A1189:$J1189,$L$6)&amp;"(")-1)),L1188)</f>
        <v>Building Value Proposition</v>
      </c>
      <c r="M1189" s="37" t="str">
        <f aca="false">IF(INDEX($A1189:$J1189,$M$6)="","",INDEX($A1189:$J1189,$M$6)&amp;"")</f>
        <v/>
      </c>
      <c r="N1189" s="37" t="str">
        <f aca="false">IF($M1189="","",TRIM(INDEX($A1189:$J1189,$N$6)&amp;""))</f>
        <v/>
      </c>
      <c r="O1189" s="37" t="str">
        <f aca="false">IF($M1189="","",TRIM(INDEX($A1189:$J1189,$O$6)&amp;""))</f>
        <v/>
      </c>
      <c r="P1189" s="37" t="str">
        <f aca="false">IF($M1189="","",IFERROR(IF(INDEX(Settings!$B$41:$B$50,MATCH(O1189,Settings!$A$41:$A$50,0))&amp;""="","UNMAPPED",INDEX(Settings!$B$41:$B$50,MATCH(O1189,Settings!$A$41:$A$50,0))&amp;""),"UNMAPPED"))</f>
        <v/>
      </c>
      <c r="Q1189" s="38" t="n">
        <f aca="false">IF($M1189="",0,N(INDEX($A1189:$J1189,$Q$6)))</f>
        <v>0</v>
      </c>
      <c r="R1189" s="39" t="str">
        <f aca="false">IF($M1189="","",INDEX($A1189:$J1189,$R$6))</f>
        <v/>
      </c>
      <c r="S1189" s="37" t="str">
        <f aca="false">IF($M1189="","",IFERROR(INDEX(Settings!$B$27:$B$36,MATCH(L1189,Settings!$A$27:$A$36,0))&amp;"","UNMAPPED"))</f>
        <v/>
      </c>
      <c r="T1189" s="37" t="str">
        <f aca="false">IF($M1189="","",IF(NOT(ISNUMBER(R1189)),"NO DATE",IF(S1189="Won",IF(R1189&gt;Settings!$B$5,"Backlog","Delivered"),IF(S1189="Open",IF(R1189&gt;Settings!$B$5,"Pipeline","Overdue"),IF(S1189="Lost","Lost","UNMAPPED")))))</f>
        <v/>
      </c>
      <c r="U1189" s="40" t="n">
        <f aca="false">IF(T1189="Backlog",1,IF(OR(T1189="Pipeline",T1189="Overdue"),N(INDEX(Settings!$C$27:$C$36,MATCH(L1189,Settings!$A$27:$A$36,0))),0))</f>
        <v>0</v>
      </c>
      <c r="V1189" s="38" t="n">
        <f aca="false">Q1189*U1189</f>
        <v>0</v>
      </c>
      <c r="W1189" s="41" t="str">
        <f aca="false">IF($M1189="","",IF(T1189="Overdue",IF(Settings!$B$8="Yes",Settings!$B$7,""),IF(ISNUMBER(R1189),DATE(YEAR(R1189),MONTH(R1189),1),"")))</f>
        <v/>
      </c>
      <c r="X1189" s="38" t="n">
        <f aca="false">IF(AND(OR(T1189="Backlog",T1189="Pipeline",T1189="Overdue"),ISNUMBER(W1189)),IF(W1189&lt;=Settings!$B$6,V1189,0),0)</f>
        <v>0</v>
      </c>
      <c r="Y1189" s="38" t="n">
        <f aca="false">IF(AND(OR(T1189="Backlog",T1189="Pipeline",T1189="Overdue"),ISNUMBER(W1189)),IF(W1189&lt;=Settings!$B$6,Q1189,0),0)</f>
        <v>0</v>
      </c>
      <c r="Z1189" s="38" t="n">
        <f aca="false">IF(Y1189=0,0,IF(T1189="Backlog",Q1189,Q1189*Dashboard!$C$10))</f>
        <v>0</v>
      </c>
      <c r="AA1189" s="37" t="n">
        <f aca="false">IF($N1189="",0,IF(COUNTIF(Dashboard!$C$13:$C$22,$N1189)&gt;0,1,0))</f>
        <v>0</v>
      </c>
      <c r="AB1189" s="37" t="str">
        <f aca="false">IF($N1189="","",IF(COUNTIF($N$8:$N1189,$N1189)=1,MAX($AB$7:$AB1188)+1,""))</f>
        <v/>
      </c>
    </row>
    <row r="1190" customFormat="false" ht="15" hidden="false" customHeight="false" outlineLevel="0" collapsed="false">
      <c r="L1190" s="37" t="str">
        <f aca="false">IF(INDEX($A1190:$J1190,$L$6)&lt;&gt;"",TRIM(LEFT(INDEX($A1190:$J1190,$L$6),FIND("(",INDEX($A1190:$J1190,$L$6)&amp;"(")-1)),L1189)</f>
        <v>Building Value Proposition</v>
      </c>
      <c r="M1190" s="37" t="str">
        <f aca="false">IF(INDEX($A1190:$J1190,$M$6)="","",INDEX($A1190:$J1190,$M$6)&amp;"")</f>
        <v/>
      </c>
      <c r="N1190" s="37" t="str">
        <f aca="false">IF($M1190="","",TRIM(INDEX($A1190:$J1190,$N$6)&amp;""))</f>
        <v/>
      </c>
      <c r="O1190" s="37" t="str">
        <f aca="false">IF($M1190="","",TRIM(INDEX($A1190:$J1190,$O$6)&amp;""))</f>
        <v/>
      </c>
      <c r="P1190" s="37" t="str">
        <f aca="false">IF($M1190="","",IFERROR(IF(INDEX(Settings!$B$41:$B$50,MATCH(O1190,Settings!$A$41:$A$50,0))&amp;""="","UNMAPPED",INDEX(Settings!$B$41:$B$50,MATCH(O1190,Settings!$A$41:$A$50,0))&amp;""),"UNMAPPED"))</f>
        <v/>
      </c>
      <c r="Q1190" s="38" t="n">
        <f aca="false">IF($M1190="",0,N(INDEX($A1190:$J1190,$Q$6)))</f>
        <v>0</v>
      </c>
      <c r="R1190" s="39" t="str">
        <f aca="false">IF($M1190="","",INDEX($A1190:$J1190,$R$6))</f>
        <v/>
      </c>
      <c r="S1190" s="37" t="str">
        <f aca="false">IF($M1190="","",IFERROR(INDEX(Settings!$B$27:$B$36,MATCH(L1190,Settings!$A$27:$A$36,0))&amp;"","UNMAPPED"))</f>
        <v/>
      </c>
      <c r="T1190" s="37" t="str">
        <f aca="false">IF($M1190="","",IF(NOT(ISNUMBER(R1190)),"NO DATE",IF(S1190="Won",IF(R1190&gt;Settings!$B$5,"Backlog","Delivered"),IF(S1190="Open",IF(R1190&gt;Settings!$B$5,"Pipeline","Overdue"),IF(S1190="Lost","Lost","UNMAPPED")))))</f>
        <v/>
      </c>
      <c r="U1190" s="40" t="n">
        <f aca="false">IF(T1190="Backlog",1,IF(OR(T1190="Pipeline",T1190="Overdue"),N(INDEX(Settings!$C$27:$C$36,MATCH(L1190,Settings!$A$27:$A$36,0))),0))</f>
        <v>0</v>
      </c>
      <c r="V1190" s="38" t="n">
        <f aca="false">Q1190*U1190</f>
        <v>0</v>
      </c>
      <c r="W1190" s="41" t="str">
        <f aca="false">IF($M1190="","",IF(T1190="Overdue",IF(Settings!$B$8="Yes",Settings!$B$7,""),IF(ISNUMBER(R1190),DATE(YEAR(R1190),MONTH(R1190),1),"")))</f>
        <v/>
      </c>
      <c r="X1190" s="38" t="n">
        <f aca="false">IF(AND(OR(T1190="Backlog",T1190="Pipeline",T1190="Overdue"),ISNUMBER(W1190)),IF(W1190&lt;=Settings!$B$6,V1190,0),0)</f>
        <v>0</v>
      </c>
      <c r="Y1190" s="38" t="n">
        <f aca="false">IF(AND(OR(T1190="Backlog",T1190="Pipeline",T1190="Overdue"),ISNUMBER(W1190)),IF(W1190&lt;=Settings!$B$6,Q1190,0),0)</f>
        <v>0</v>
      </c>
      <c r="Z1190" s="38" t="n">
        <f aca="false">IF(Y1190=0,0,IF(T1190="Backlog",Q1190,Q1190*Dashboard!$C$10))</f>
        <v>0</v>
      </c>
      <c r="AA1190" s="37" t="n">
        <f aca="false">IF($N1190="",0,IF(COUNTIF(Dashboard!$C$13:$C$22,$N1190)&gt;0,1,0))</f>
        <v>0</v>
      </c>
      <c r="AB1190" s="37" t="str">
        <f aca="false">IF($N1190="","",IF(COUNTIF($N$8:$N1190,$N1190)=1,MAX($AB$7:$AB1189)+1,""))</f>
        <v/>
      </c>
    </row>
    <row r="1191" customFormat="false" ht="15" hidden="false" customHeight="false" outlineLevel="0" collapsed="false">
      <c r="L1191" s="37" t="str">
        <f aca="false">IF(INDEX($A1191:$J1191,$L$6)&lt;&gt;"",TRIM(LEFT(INDEX($A1191:$J1191,$L$6),FIND("(",INDEX($A1191:$J1191,$L$6)&amp;"(")-1)),L1190)</f>
        <v>Building Value Proposition</v>
      </c>
      <c r="M1191" s="37" t="str">
        <f aca="false">IF(INDEX($A1191:$J1191,$M$6)="","",INDEX($A1191:$J1191,$M$6)&amp;"")</f>
        <v/>
      </c>
      <c r="N1191" s="37" t="str">
        <f aca="false">IF($M1191="","",TRIM(INDEX($A1191:$J1191,$N$6)&amp;""))</f>
        <v/>
      </c>
      <c r="O1191" s="37" t="str">
        <f aca="false">IF($M1191="","",TRIM(INDEX($A1191:$J1191,$O$6)&amp;""))</f>
        <v/>
      </c>
      <c r="P1191" s="37" t="str">
        <f aca="false">IF($M1191="","",IFERROR(IF(INDEX(Settings!$B$41:$B$50,MATCH(O1191,Settings!$A$41:$A$50,0))&amp;""="","UNMAPPED",INDEX(Settings!$B$41:$B$50,MATCH(O1191,Settings!$A$41:$A$50,0))&amp;""),"UNMAPPED"))</f>
        <v/>
      </c>
      <c r="Q1191" s="38" t="n">
        <f aca="false">IF($M1191="",0,N(INDEX($A1191:$J1191,$Q$6)))</f>
        <v>0</v>
      </c>
      <c r="R1191" s="39" t="str">
        <f aca="false">IF($M1191="","",INDEX($A1191:$J1191,$R$6))</f>
        <v/>
      </c>
      <c r="S1191" s="37" t="str">
        <f aca="false">IF($M1191="","",IFERROR(INDEX(Settings!$B$27:$B$36,MATCH(L1191,Settings!$A$27:$A$36,0))&amp;"","UNMAPPED"))</f>
        <v/>
      </c>
      <c r="T1191" s="37" t="str">
        <f aca="false">IF($M1191="","",IF(NOT(ISNUMBER(R1191)),"NO DATE",IF(S1191="Won",IF(R1191&gt;Settings!$B$5,"Backlog","Delivered"),IF(S1191="Open",IF(R1191&gt;Settings!$B$5,"Pipeline","Overdue"),IF(S1191="Lost","Lost","UNMAPPED")))))</f>
        <v/>
      </c>
      <c r="U1191" s="40" t="n">
        <f aca="false">IF(T1191="Backlog",1,IF(OR(T1191="Pipeline",T1191="Overdue"),N(INDEX(Settings!$C$27:$C$36,MATCH(L1191,Settings!$A$27:$A$36,0))),0))</f>
        <v>0</v>
      </c>
      <c r="V1191" s="38" t="n">
        <f aca="false">Q1191*U1191</f>
        <v>0</v>
      </c>
      <c r="W1191" s="41" t="str">
        <f aca="false">IF($M1191="","",IF(T1191="Overdue",IF(Settings!$B$8="Yes",Settings!$B$7,""),IF(ISNUMBER(R1191),DATE(YEAR(R1191),MONTH(R1191),1),"")))</f>
        <v/>
      </c>
      <c r="X1191" s="38" t="n">
        <f aca="false">IF(AND(OR(T1191="Backlog",T1191="Pipeline",T1191="Overdue"),ISNUMBER(W1191)),IF(W1191&lt;=Settings!$B$6,V1191,0),0)</f>
        <v>0</v>
      </c>
      <c r="Y1191" s="38" t="n">
        <f aca="false">IF(AND(OR(T1191="Backlog",T1191="Pipeline",T1191="Overdue"),ISNUMBER(W1191)),IF(W1191&lt;=Settings!$B$6,Q1191,0),0)</f>
        <v>0</v>
      </c>
      <c r="Z1191" s="38" t="n">
        <f aca="false">IF(Y1191=0,0,IF(T1191="Backlog",Q1191,Q1191*Dashboard!$C$10))</f>
        <v>0</v>
      </c>
      <c r="AA1191" s="37" t="n">
        <f aca="false">IF($N1191="",0,IF(COUNTIF(Dashboard!$C$13:$C$22,$N1191)&gt;0,1,0))</f>
        <v>0</v>
      </c>
      <c r="AB1191" s="37" t="str">
        <f aca="false">IF($N1191="","",IF(COUNTIF($N$8:$N1191,$N1191)=1,MAX($AB$7:$AB1190)+1,""))</f>
        <v/>
      </c>
    </row>
    <row r="1192" customFormat="false" ht="15" hidden="false" customHeight="false" outlineLevel="0" collapsed="false">
      <c r="L1192" s="37" t="str">
        <f aca="false">IF(INDEX($A1192:$J1192,$L$6)&lt;&gt;"",TRIM(LEFT(INDEX($A1192:$J1192,$L$6),FIND("(",INDEX($A1192:$J1192,$L$6)&amp;"(")-1)),L1191)</f>
        <v>Building Value Proposition</v>
      </c>
      <c r="M1192" s="37" t="str">
        <f aca="false">IF(INDEX($A1192:$J1192,$M$6)="","",INDEX($A1192:$J1192,$M$6)&amp;"")</f>
        <v/>
      </c>
      <c r="N1192" s="37" t="str">
        <f aca="false">IF($M1192="","",TRIM(INDEX($A1192:$J1192,$N$6)&amp;""))</f>
        <v/>
      </c>
      <c r="O1192" s="37" t="str">
        <f aca="false">IF($M1192="","",TRIM(INDEX($A1192:$J1192,$O$6)&amp;""))</f>
        <v/>
      </c>
      <c r="P1192" s="37" t="str">
        <f aca="false">IF($M1192="","",IFERROR(IF(INDEX(Settings!$B$41:$B$50,MATCH(O1192,Settings!$A$41:$A$50,0))&amp;""="","UNMAPPED",INDEX(Settings!$B$41:$B$50,MATCH(O1192,Settings!$A$41:$A$50,0))&amp;""),"UNMAPPED"))</f>
        <v/>
      </c>
      <c r="Q1192" s="38" t="n">
        <f aca="false">IF($M1192="",0,N(INDEX($A1192:$J1192,$Q$6)))</f>
        <v>0</v>
      </c>
      <c r="R1192" s="39" t="str">
        <f aca="false">IF($M1192="","",INDEX($A1192:$J1192,$R$6))</f>
        <v/>
      </c>
      <c r="S1192" s="37" t="str">
        <f aca="false">IF($M1192="","",IFERROR(INDEX(Settings!$B$27:$B$36,MATCH(L1192,Settings!$A$27:$A$36,0))&amp;"","UNMAPPED"))</f>
        <v/>
      </c>
      <c r="T1192" s="37" t="str">
        <f aca="false">IF($M1192="","",IF(NOT(ISNUMBER(R1192)),"NO DATE",IF(S1192="Won",IF(R1192&gt;Settings!$B$5,"Backlog","Delivered"),IF(S1192="Open",IF(R1192&gt;Settings!$B$5,"Pipeline","Overdue"),IF(S1192="Lost","Lost","UNMAPPED")))))</f>
        <v/>
      </c>
      <c r="U1192" s="40" t="n">
        <f aca="false">IF(T1192="Backlog",1,IF(OR(T1192="Pipeline",T1192="Overdue"),N(INDEX(Settings!$C$27:$C$36,MATCH(L1192,Settings!$A$27:$A$36,0))),0))</f>
        <v>0</v>
      </c>
      <c r="V1192" s="38" t="n">
        <f aca="false">Q1192*U1192</f>
        <v>0</v>
      </c>
      <c r="W1192" s="41" t="str">
        <f aca="false">IF($M1192="","",IF(T1192="Overdue",IF(Settings!$B$8="Yes",Settings!$B$7,""),IF(ISNUMBER(R1192),DATE(YEAR(R1192),MONTH(R1192),1),"")))</f>
        <v/>
      </c>
      <c r="X1192" s="38" t="n">
        <f aca="false">IF(AND(OR(T1192="Backlog",T1192="Pipeline",T1192="Overdue"),ISNUMBER(W1192)),IF(W1192&lt;=Settings!$B$6,V1192,0),0)</f>
        <v>0</v>
      </c>
      <c r="Y1192" s="38" t="n">
        <f aca="false">IF(AND(OR(T1192="Backlog",T1192="Pipeline",T1192="Overdue"),ISNUMBER(W1192)),IF(W1192&lt;=Settings!$B$6,Q1192,0),0)</f>
        <v>0</v>
      </c>
      <c r="Z1192" s="38" t="n">
        <f aca="false">IF(Y1192=0,0,IF(T1192="Backlog",Q1192,Q1192*Dashboard!$C$10))</f>
        <v>0</v>
      </c>
      <c r="AA1192" s="37" t="n">
        <f aca="false">IF($N1192="",0,IF(COUNTIF(Dashboard!$C$13:$C$22,$N1192)&gt;0,1,0))</f>
        <v>0</v>
      </c>
      <c r="AB1192" s="37" t="str">
        <f aca="false">IF($N1192="","",IF(COUNTIF($N$8:$N1192,$N1192)=1,MAX($AB$7:$AB1191)+1,""))</f>
        <v/>
      </c>
    </row>
    <row r="1193" customFormat="false" ht="15" hidden="false" customHeight="false" outlineLevel="0" collapsed="false">
      <c r="L1193" s="37" t="str">
        <f aca="false">IF(INDEX($A1193:$J1193,$L$6)&lt;&gt;"",TRIM(LEFT(INDEX($A1193:$J1193,$L$6),FIND("(",INDEX($A1193:$J1193,$L$6)&amp;"(")-1)),L1192)</f>
        <v>Building Value Proposition</v>
      </c>
      <c r="M1193" s="37" t="str">
        <f aca="false">IF(INDEX($A1193:$J1193,$M$6)="","",INDEX($A1193:$J1193,$M$6)&amp;"")</f>
        <v/>
      </c>
      <c r="N1193" s="37" t="str">
        <f aca="false">IF($M1193="","",TRIM(INDEX($A1193:$J1193,$N$6)&amp;""))</f>
        <v/>
      </c>
      <c r="O1193" s="37" t="str">
        <f aca="false">IF($M1193="","",TRIM(INDEX($A1193:$J1193,$O$6)&amp;""))</f>
        <v/>
      </c>
      <c r="P1193" s="37" t="str">
        <f aca="false">IF($M1193="","",IFERROR(IF(INDEX(Settings!$B$41:$B$50,MATCH(O1193,Settings!$A$41:$A$50,0))&amp;""="","UNMAPPED",INDEX(Settings!$B$41:$B$50,MATCH(O1193,Settings!$A$41:$A$50,0))&amp;""),"UNMAPPED"))</f>
        <v/>
      </c>
      <c r="Q1193" s="38" t="n">
        <f aca="false">IF($M1193="",0,N(INDEX($A1193:$J1193,$Q$6)))</f>
        <v>0</v>
      </c>
      <c r="R1193" s="39" t="str">
        <f aca="false">IF($M1193="","",INDEX($A1193:$J1193,$R$6))</f>
        <v/>
      </c>
      <c r="S1193" s="37" t="str">
        <f aca="false">IF($M1193="","",IFERROR(INDEX(Settings!$B$27:$B$36,MATCH(L1193,Settings!$A$27:$A$36,0))&amp;"","UNMAPPED"))</f>
        <v/>
      </c>
      <c r="T1193" s="37" t="str">
        <f aca="false">IF($M1193="","",IF(NOT(ISNUMBER(R1193)),"NO DATE",IF(S1193="Won",IF(R1193&gt;Settings!$B$5,"Backlog","Delivered"),IF(S1193="Open",IF(R1193&gt;Settings!$B$5,"Pipeline","Overdue"),IF(S1193="Lost","Lost","UNMAPPED")))))</f>
        <v/>
      </c>
      <c r="U1193" s="40" t="n">
        <f aca="false">IF(T1193="Backlog",1,IF(OR(T1193="Pipeline",T1193="Overdue"),N(INDEX(Settings!$C$27:$C$36,MATCH(L1193,Settings!$A$27:$A$36,0))),0))</f>
        <v>0</v>
      </c>
      <c r="V1193" s="38" t="n">
        <f aca="false">Q1193*U1193</f>
        <v>0</v>
      </c>
      <c r="W1193" s="41" t="str">
        <f aca="false">IF($M1193="","",IF(T1193="Overdue",IF(Settings!$B$8="Yes",Settings!$B$7,""),IF(ISNUMBER(R1193),DATE(YEAR(R1193),MONTH(R1193),1),"")))</f>
        <v/>
      </c>
      <c r="X1193" s="38" t="n">
        <f aca="false">IF(AND(OR(T1193="Backlog",T1193="Pipeline",T1193="Overdue"),ISNUMBER(W1193)),IF(W1193&lt;=Settings!$B$6,V1193,0),0)</f>
        <v>0</v>
      </c>
      <c r="Y1193" s="38" t="n">
        <f aca="false">IF(AND(OR(T1193="Backlog",T1193="Pipeline",T1193="Overdue"),ISNUMBER(W1193)),IF(W1193&lt;=Settings!$B$6,Q1193,0),0)</f>
        <v>0</v>
      </c>
      <c r="Z1193" s="38" t="n">
        <f aca="false">IF(Y1193=0,0,IF(T1193="Backlog",Q1193,Q1193*Dashboard!$C$10))</f>
        <v>0</v>
      </c>
      <c r="AA1193" s="37" t="n">
        <f aca="false">IF($N1193="",0,IF(COUNTIF(Dashboard!$C$13:$C$22,$N1193)&gt;0,1,0))</f>
        <v>0</v>
      </c>
      <c r="AB1193" s="37" t="str">
        <f aca="false">IF($N1193="","",IF(COUNTIF($N$8:$N1193,$N1193)=1,MAX($AB$7:$AB1192)+1,""))</f>
        <v/>
      </c>
    </row>
    <row r="1194" customFormat="false" ht="15" hidden="false" customHeight="false" outlineLevel="0" collapsed="false">
      <c r="L1194" s="37" t="str">
        <f aca="false">IF(INDEX($A1194:$J1194,$L$6)&lt;&gt;"",TRIM(LEFT(INDEX($A1194:$J1194,$L$6),FIND("(",INDEX($A1194:$J1194,$L$6)&amp;"(")-1)),L1193)</f>
        <v>Building Value Proposition</v>
      </c>
      <c r="M1194" s="37" t="str">
        <f aca="false">IF(INDEX($A1194:$J1194,$M$6)="","",INDEX($A1194:$J1194,$M$6)&amp;"")</f>
        <v/>
      </c>
      <c r="N1194" s="37" t="str">
        <f aca="false">IF($M1194="","",TRIM(INDEX($A1194:$J1194,$N$6)&amp;""))</f>
        <v/>
      </c>
      <c r="O1194" s="37" t="str">
        <f aca="false">IF($M1194="","",TRIM(INDEX($A1194:$J1194,$O$6)&amp;""))</f>
        <v/>
      </c>
      <c r="P1194" s="37" t="str">
        <f aca="false">IF($M1194="","",IFERROR(IF(INDEX(Settings!$B$41:$B$50,MATCH(O1194,Settings!$A$41:$A$50,0))&amp;""="","UNMAPPED",INDEX(Settings!$B$41:$B$50,MATCH(O1194,Settings!$A$41:$A$50,0))&amp;""),"UNMAPPED"))</f>
        <v/>
      </c>
      <c r="Q1194" s="38" t="n">
        <f aca="false">IF($M1194="",0,N(INDEX($A1194:$J1194,$Q$6)))</f>
        <v>0</v>
      </c>
      <c r="R1194" s="39" t="str">
        <f aca="false">IF($M1194="","",INDEX($A1194:$J1194,$R$6))</f>
        <v/>
      </c>
      <c r="S1194" s="37" t="str">
        <f aca="false">IF($M1194="","",IFERROR(INDEX(Settings!$B$27:$B$36,MATCH(L1194,Settings!$A$27:$A$36,0))&amp;"","UNMAPPED"))</f>
        <v/>
      </c>
      <c r="T1194" s="37" t="str">
        <f aca="false">IF($M1194="","",IF(NOT(ISNUMBER(R1194)),"NO DATE",IF(S1194="Won",IF(R1194&gt;Settings!$B$5,"Backlog","Delivered"),IF(S1194="Open",IF(R1194&gt;Settings!$B$5,"Pipeline","Overdue"),IF(S1194="Lost","Lost","UNMAPPED")))))</f>
        <v/>
      </c>
      <c r="U1194" s="40" t="n">
        <f aca="false">IF(T1194="Backlog",1,IF(OR(T1194="Pipeline",T1194="Overdue"),N(INDEX(Settings!$C$27:$C$36,MATCH(L1194,Settings!$A$27:$A$36,0))),0))</f>
        <v>0</v>
      </c>
      <c r="V1194" s="38" t="n">
        <f aca="false">Q1194*U1194</f>
        <v>0</v>
      </c>
      <c r="W1194" s="41" t="str">
        <f aca="false">IF($M1194="","",IF(T1194="Overdue",IF(Settings!$B$8="Yes",Settings!$B$7,""),IF(ISNUMBER(R1194),DATE(YEAR(R1194),MONTH(R1194),1),"")))</f>
        <v/>
      </c>
      <c r="X1194" s="38" t="n">
        <f aca="false">IF(AND(OR(T1194="Backlog",T1194="Pipeline",T1194="Overdue"),ISNUMBER(W1194)),IF(W1194&lt;=Settings!$B$6,V1194,0),0)</f>
        <v>0</v>
      </c>
      <c r="Y1194" s="38" t="n">
        <f aca="false">IF(AND(OR(T1194="Backlog",T1194="Pipeline",T1194="Overdue"),ISNUMBER(W1194)),IF(W1194&lt;=Settings!$B$6,Q1194,0),0)</f>
        <v>0</v>
      </c>
      <c r="Z1194" s="38" t="n">
        <f aca="false">IF(Y1194=0,0,IF(T1194="Backlog",Q1194,Q1194*Dashboard!$C$10))</f>
        <v>0</v>
      </c>
      <c r="AA1194" s="37" t="n">
        <f aca="false">IF($N1194="",0,IF(COUNTIF(Dashboard!$C$13:$C$22,$N1194)&gt;0,1,0))</f>
        <v>0</v>
      </c>
      <c r="AB1194" s="37" t="str">
        <f aca="false">IF($N1194="","",IF(COUNTIF($N$8:$N1194,$N1194)=1,MAX($AB$7:$AB1193)+1,""))</f>
        <v/>
      </c>
    </row>
    <row r="1195" customFormat="false" ht="15" hidden="false" customHeight="false" outlineLevel="0" collapsed="false">
      <c r="L1195" s="37" t="str">
        <f aca="false">IF(INDEX($A1195:$J1195,$L$6)&lt;&gt;"",TRIM(LEFT(INDEX($A1195:$J1195,$L$6),FIND("(",INDEX($A1195:$J1195,$L$6)&amp;"(")-1)),L1194)</f>
        <v>Building Value Proposition</v>
      </c>
      <c r="M1195" s="37" t="str">
        <f aca="false">IF(INDEX($A1195:$J1195,$M$6)="","",INDEX($A1195:$J1195,$M$6)&amp;"")</f>
        <v/>
      </c>
      <c r="N1195" s="37" t="str">
        <f aca="false">IF($M1195="","",TRIM(INDEX($A1195:$J1195,$N$6)&amp;""))</f>
        <v/>
      </c>
      <c r="O1195" s="37" t="str">
        <f aca="false">IF($M1195="","",TRIM(INDEX($A1195:$J1195,$O$6)&amp;""))</f>
        <v/>
      </c>
      <c r="P1195" s="37" t="str">
        <f aca="false">IF($M1195="","",IFERROR(IF(INDEX(Settings!$B$41:$B$50,MATCH(O1195,Settings!$A$41:$A$50,0))&amp;""="","UNMAPPED",INDEX(Settings!$B$41:$B$50,MATCH(O1195,Settings!$A$41:$A$50,0))&amp;""),"UNMAPPED"))</f>
        <v/>
      </c>
      <c r="Q1195" s="38" t="n">
        <f aca="false">IF($M1195="",0,N(INDEX($A1195:$J1195,$Q$6)))</f>
        <v>0</v>
      </c>
      <c r="R1195" s="39" t="str">
        <f aca="false">IF($M1195="","",INDEX($A1195:$J1195,$R$6))</f>
        <v/>
      </c>
      <c r="S1195" s="37" t="str">
        <f aca="false">IF($M1195="","",IFERROR(INDEX(Settings!$B$27:$B$36,MATCH(L1195,Settings!$A$27:$A$36,0))&amp;"","UNMAPPED"))</f>
        <v/>
      </c>
      <c r="T1195" s="37" t="str">
        <f aca="false">IF($M1195="","",IF(NOT(ISNUMBER(R1195)),"NO DATE",IF(S1195="Won",IF(R1195&gt;Settings!$B$5,"Backlog","Delivered"),IF(S1195="Open",IF(R1195&gt;Settings!$B$5,"Pipeline","Overdue"),IF(S1195="Lost","Lost","UNMAPPED")))))</f>
        <v/>
      </c>
      <c r="U1195" s="40" t="n">
        <f aca="false">IF(T1195="Backlog",1,IF(OR(T1195="Pipeline",T1195="Overdue"),N(INDEX(Settings!$C$27:$C$36,MATCH(L1195,Settings!$A$27:$A$36,0))),0))</f>
        <v>0</v>
      </c>
      <c r="V1195" s="38" t="n">
        <f aca="false">Q1195*U1195</f>
        <v>0</v>
      </c>
      <c r="W1195" s="41" t="str">
        <f aca="false">IF($M1195="","",IF(T1195="Overdue",IF(Settings!$B$8="Yes",Settings!$B$7,""),IF(ISNUMBER(R1195),DATE(YEAR(R1195),MONTH(R1195),1),"")))</f>
        <v/>
      </c>
      <c r="X1195" s="38" t="n">
        <f aca="false">IF(AND(OR(T1195="Backlog",T1195="Pipeline",T1195="Overdue"),ISNUMBER(W1195)),IF(W1195&lt;=Settings!$B$6,V1195,0),0)</f>
        <v>0</v>
      </c>
      <c r="Y1195" s="38" t="n">
        <f aca="false">IF(AND(OR(T1195="Backlog",T1195="Pipeline",T1195="Overdue"),ISNUMBER(W1195)),IF(W1195&lt;=Settings!$B$6,Q1195,0),0)</f>
        <v>0</v>
      </c>
      <c r="Z1195" s="38" t="n">
        <f aca="false">IF(Y1195=0,0,IF(T1195="Backlog",Q1195,Q1195*Dashboard!$C$10))</f>
        <v>0</v>
      </c>
      <c r="AA1195" s="37" t="n">
        <f aca="false">IF($N1195="",0,IF(COUNTIF(Dashboard!$C$13:$C$22,$N1195)&gt;0,1,0))</f>
        <v>0</v>
      </c>
      <c r="AB1195" s="37" t="str">
        <f aca="false">IF($N1195="","",IF(COUNTIF($N$8:$N1195,$N1195)=1,MAX($AB$7:$AB1194)+1,""))</f>
        <v/>
      </c>
    </row>
    <row r="1196" customFormat="false" ht="15" hidden="false" customHeight="false" outlineLevel="0" collapsed="false">
      <c r="L1196" s="37" t="str">
        <f aca="false">IF(INDEX($A1196:$J1196,$L$6)&lt;&gt;"",TRIM(LEFT(INDEX($A1196:$J1196,$L$6),FIND("(",INDEX($A1196:$J1196,$L$6)&amp;"(")-1)),L1195)</f>
        <v>Building Value Proposition</v>
      </c>
      <c r="M1196" s="37" t="str">
        <f aca="false">IF(INDEX($A1196:$J1196,$M$6)="","",INDEX($A1196:$J1196,$M$6)&amp;"")</f>
        <v/>
      </c>
      <c r="N1196" s="37" t="str">
        <f aca="false">IF($M1196="","",TRIM(INDEX($A1196:$J1196,$N$6)&amp;""))</f>
        <v/>
      </c>
      <c r="O1196" s="37" t="str">
        <f aca="false">IF($M1196="","",TRIM(INDEX($A1196:$J1196,$O$6)&amp;""))</f>
        <v/>
      </c>
      <c r="P1196" s="37" t="str">
        <f aca="false">IF($M1196="","",IFERROR(IF(INDEX(Settings!$B$41:$B$50,MATCH(O1196,Settings!$A$41:$A$50,0))&amp;""="","UNMAPPED",INDEX(Settings!$B$41:$B$50,MATCH(O1196,Settings!$A$41:$A$50,0))&amp;""),"UNMAPPED"))</f>
        <v/>
      </c>
      <c r="Q1196" s="38" t="n">
        <f aca="false">IF($M1196="",0,N(INDEX($A1196:$J1196,$Q$6)))</f>
        <v>0</v>
      </c>
      <c r="R1196" s="39" t="str">
        <f aca="false">IF($M1196="","",INDEX($A1196:$J1196,$R$6))</f>
        <v/>
      </c>
      <c r="S1196" s="37" t="str">
        <f aca="false">IF($M1196="","",IFERROR(INDEX(Settings!$B$27:$B$36,MATCH(L1196,Settings!$A$27:$A$36,0))&amp;"","UNMAPPED"))</f>
        <v/>
      </c>
      <c r="T1196" s="37" t="str">
        <f aca="false">IF($M1196="","",IF(NOT(ISNUMBER(R1196)),"NO DATE",IF(S1196="Won",IF(R1196&gt;Settings!$B$5,"Backlog","Delivered"),IF(S1196="Open",IF(R1196&gt;Settings!$B$5,"Pipeline","Overdue"),IF(S1196="Lost","Lost","UNMAPPED")))))</f>
        <v/>
      </c>
      <c r="U1196" s="40" t="n">
        <f aca="false">IF(T1196="Backlog",1,IF(OR(T1196="Pipeline",T1196="Overdue"),N(INDEX(Settings!$C$27:$C$36,MATCH(L1196,Settings!$A$27:$A$36,0))),0))</f>
        <v>0</v>
      </c>
      <c r="V1196" s="38" t="n">
        <f aca="false">Q1196*U1196</f>
        <v>0</v>
      </c>
      <c r="W1196" s="41" t="str">
        <f aca="false">IF($M1196="","",IF(T1196="Overdue",IF(Settings!$B$8="Yes",Settings!$B$7,""),IF(ISNUMBER(R1196),DATE(YEAR(R1196),MONTH(R1196),1),"")))</f>
        <v/>
      </c>
      <c r="X1196" s="38" t="n">
        <f aca="false">IF(AND(OR(T1196="Backlog",T1196="Pipeline",T1196="Overdue"),ISNUMBER(W1196)),IF(W1196&lt;=Settings!$B$6,V1196,0),0)</f>
        <v>0</v>
      </c>
      <c r="Y1196" s="38" t="n">
        <f aca="false">IF(AND(OR(T1196="Backlog",T1196="Pipeline",T1196="Overdue"),ISNUMBER(W1196)),IF(W1196&lt;=Settings!$B$6,Q1196,0),0)</f>
        <v>0</v>
      </c>
      <c r="Z1196" s="38" t="n">
        <f aca="false">IF(Y1196=0,0,IF(T1196="Backlog",Q1196,Q1196*Dashboard!$C$10))</f>
        <v>0</v>
      </c>
      <c r="AA1196" s="37" t="n">
        <f aca="false">IF($N1196="",0,IF(COUNTIF(Dashboard!$C$13:$C$22,$N1196)&gt;0,1,0))</f>
        <v>0</v>
      </c>
      <c r="AB1196" s="37" t="str">
        <f aca="false">IF($N1196="","",IF(COUNTIF($N$8:$N1196,$N1196)=1,MAX($AB$7:$AB1195)+1,""))</f>
        <v/>
      </c>
    </row>
    <row r="1197" customFormat="false" ht="15" hidden="false" customHeight="false" outlineLevel="0" collapsed="false">
      <c r="L1197" s="37" t="str">
        <f aca="false">IF(INDEX($A1197:$J1197,$L$6)&lt;&gt;"",TRIM(LEFT(INDEX($A1197:$J1197,$L$6),FIND("(",INDEX($A1197:$J1197,$L$6)&amp;"(")-1)),L1196)</f>
        <v>Building Value Proposition</v>
      </c>
      <c r="M1197" s="37" t="str">
        <f aca="false">IF(INDEX($A1197:$J1197,$M$6)="","",INDEX($A1197:$J1197,$M$6)&amp;"")</f>
        <v/>
      </c>
      <c r="N1197" s="37" t="str">
        <f aca="false">IF($M1197="","",TRIM(INDEX($A1197:$J1197,$N$6)&amp;""))</f>
        <v/>
      </c>
      <c r="O1197" s="37" t="str">
        <f aca="false">IF($M1197="","",TRIM(INDEX($A1197:$J1197,$O$6)&amp;""))</f>
        <v/>
      </c>
      <c r="P1197" s="37" t="str">
        <f aca="false">IF($M1197="","",IFERROR(IF(INDEX(Settings!$B$41:$B$50,MATCH(O1197,Settings!$A$41:$A$50,0))&amp;""="","UNMAPPED",INDEX(Settings!$B$41:$B$50,MATCH(O1197,Settings!$A$41:$A$50,0))&amp;""),"UNMAPPED"))</f>
        <v/>
      </c>
      <c r="Q1197" s="38" t="n">
        <f aca="false">IF($M1197="",0,N(INDEX($A1197:$J1197,$Q$6)))</f>
        <v>0</v>
      </c>
      <c r="R1197" s="39" t="str">
        <f aca="false">IF($M1197="","",INDEX($A1197:$J1197,$R$6))</f>
        <v/>
      </c>
      <c r="S1197" s="37" t="str">
        <f aca="false">IF($M1197="","",IFERROR(INDEX(Settings!$B$27:$B$36,MATCH(L1197,Settings!$A$27:$A$36,0))&amp;"","UNMAPPED"))</f>
        <v/>
      </c>
      <c r="T1197" s="37" t="str">
        <f aca="false">IF($M1197="","",IF(NOT(ISNUMBER(R1197)),"NO DATE",IF(S1197="Won",IF(R1197&gt;Settings!$B$5,"Backlog","Delivered"),IF(S1197="Open",IF(R1197&gt;Settings!$B$5,"Pipeline","Overdue"),IF(S1197="Lost","Lost","UNMAPPED")))))</f>
        <v/>
      </c>
      <c r="U1197" s="40" t="n">
        <f aca="false">IF(T1197="Backlog",1,IF(OR(T1197="Pipeline",T1197="Overdue"),N(INDEX(Settings!$C$27:$C$36,MATCH(L1197,Settings!$A$27:$A$36,0))),0))</f>
        <v>0</v>
      </c>
      <c r="V1197" s="38" t="n">
        <f aca="false">Q1197*U1197</f>
        <v>0</v>
      </c>
      <c r="W1197" s="41" t="str">
        <f aca="false">IF($M1197="","",IF(T1197="Overdue",IF(Settings!$B$8="Yes",Settings!$B$7,""),IF(ISNUMBER(R1197),DATE(YEAR(R1197),MONTH(R1197),1),"")))</f>
        <v/>
      </c>
      <c r="X1197" s="38" t="n">
        <f aca="false">IF(AND(OR(T1197="Backlog",T1197="Pipeline",T1197="Overdue"),ISNUMBER(W1197)),IF(W1197&lt;=Settings!$B$6,V1197,0),0)</f>
        <v>0</v>
      </c>
      <c r="Y1197" s="38" t="n">
        <f aca="false">IF(AND(OR(T1197="Backlog",T1197="Pipeline",T1197="Overdue"),ISNUMBER(W1197)),IF(W1197&lt;=Settings!$B$6,Q1197,0),0)</f>
        <v>0</v>
      </c>
      <c r="Z1197" s="38" t="n">
        <f aca="false">IF(Y1197=0,0,IF(T1197="Backlog",Q1197,Q1197*Dashboard!$C$10))</f>
        <v>0</v>
      </c>
      <c r="AA1197" s="37" t="n">
        <f aca="false">IF($N1197="",0,IF(COUNTIF(Dashboard!$C$13:$C$22,$N1197)&gt;0,1,0))</f>
        <v>0</v>
      </c>
      <c r="AB1197" s="37" t="str">
        <f aca="false">IF($N1197="","",IF(COUNTIF($N$8:$N1197,$N1197)=1,MAX($AB$7:$AB1196)+1,""))</f>
        <v/>
      </c>
    </row>
    <row r="1198" customFormat="false" ht="15" hidden="false" customHeight="false" outlineLevel="0" collapsed="false">
      <c r="L1198" s="37" t="str">
        <f aca="false">IF(INDEX($A1198:$J1198,$L$6)&lt;&gt;"",TRIM(LEFT(INDEX($A1198:$J1198,$L$6),FIND("(",INDEX($A1198:$J1198,$L$6)&amp;"(")-1)),L1197)</f>
        <v>Building Value Proposition</v>
      </c>
      <c r="M1198" s="37" t="str">
        <f aca="false">IF(INDEX($A1198:$J1198,$M$6)="","",INDEX($A1198:$J1198,$M$6)&amp;"")</f>
        <v/>
      </c>
      <c r="N1198" s="37" t="str">
        <f aca="false">IF($M1198="","",TRIM(INDEX($A1198:$J1198,$N$6)&amp;""))</f>
        <v/>
      </c>
      <c r="O1198" s="37" t="str">
        <f aca="false">IF($M1198="","",TRIM(INDEX($A1198:$J1198,$O$6)&amp;""))</f>
        <v/>
      </c>
      <c r="P1198" s="37" t="str">
        <f aca="false">IF($M1198="","",IFERROR(IF(INDEX(Settings!$B$41:$B$50,MATCH(O1198,Settings!$A$41:$A$50,0))&amp;""="","UNMAPPED",INDEX(Settings!$B$41:$B$50,MATCH(O1198,Settings!$A$41:$A$50,0))&amp;""),"UNMAPPED"))</f>
        <v/>
      </c>
      <c r="Q1198" s="38" t="n">
        <f aca="false">IF($M1198="",0,N(INDEX($A1198:$J1198,$Q$6)))</f>
        <v>0</v>
      </c>
      <c r="R1198" s="39" t="str">
        <f aca="false">IF($M1198="","",INDEX($A1198:$J1198,$R$6))</f>
        <v/>
      </c>
      <c r="S1198" s="37" t="str">
        <f aca="false">IF($M1198="","",IFERROR(INDEX(Settings!$B$27:$B$36,MATCH(L1198,Settings!$A$27:$A$36,0))&amp;"","UNMAPPED"))</f>
        <v/>
      </c>
      <c r="T1198" s="37" t="str">
        <f aca="false">IF($M1198="","",IF(NOT(ISNUMBER(R1198)),"NO DATE",IF(S1198="Won",IF(R1198&gt;Settings!$B$5,"Backlog","Delivered"),IF(S1198="Open",IF(R1198&gt;Settings!$B$5,"Pipeline","Overdue"),IF(S1198="Lost","Lost","UNMAPPED")))))</f>
        <v/>
      </c>
      <c r="U1198" s="40" t="n">
        <f aca="false">IF(T1198="Backlog",1,IF(OR(T1198="Pipeline",T1198="Overdue"),N(INDEX(Settings!$C$27:$C$36,MATCH(L1198,Settings!$A$27:$A$36,0))),0))</f>
        <v>0</v>
      </c>
      <c r="V1198" s="38" t="n">
        <f aca="false">Q1198*U1198</f>
        <v>0</v>
      </c>
      <c r="W1198" s="41" t="str">
        <f aca="false">IF($M1198="","",IF(T1198="Overdue",IF(Settings!$B$8="Yes",Settings!$B$7,""),IF(ISNUMBER(R1198),DATE(YEAR(R1198),MONTH(R1198),1),"")))</f>
        <v/>
      </c>
      <c r="X1198" s="38" t="n">
        <f aca="false">IF(AND(OR(T1198="Backlog",T1198="Pipeline",T1198="Overdue"),ISNUMBER(W1198)),IF(W1198&lt;=Settings!$B$6,V1198,0),0)</f>
        <v>0</v>
      </c>
      <c r="Y1198" s="38" t="n">
        <f aca="false">IF(AND(OR(T1198="Backlog",T1198="Pipeline",T1198="Overdue"),ISNUMBER(W1198)),IF(W1198&lt;=Settings!$B$6,Q1198,0),0)</f>
        <v>0</v>
      </c>
      <c r="Z1198" s="38" t="n">
        <f aca="false">IF(Y1198=0,0,IF(T1198="Backlog",Q1198,Q1198*Dashboard!$C$10))</f>
        <v>0</v>
      </c>
      <c r="AA1198" s="37" t="n">
        <f aca="false">IF($N1198="",0,IF(COUNTIF(Dashboard!$C$13:$C$22,$N1198)&gt;0,1,0))</f>
        <v>0</v>
      </c>
      <c r="AB1198" s="37" t="str">
        <f aca="false">IF($N1198="","",IF(COUNTIF($N$8:$N1198,$N1198)=1,MAX($AB$7:$AB1197)+1,""))</f>
        <v/>
      </c>
    </row>
    <row r="1199" customFormat="false" ht="15" hidden="false" customHeight="false" outlineLevel="0" collapsed="false">
      <c r="L1199" s="37" t="str">
        <f aca="false">IF(INDEX($A1199:$J1199,$L$6)&lt;&gt;"",TRIM(LEFT(INDEX($A1199:$J1199,$L$6),FIND("(",INDEX($A1199:$J1199,$L$6)&amp;"(")-1)),L1198)</f>
        <v>Building Value Proposition</v>
      </c>
      <c r="M1199" s="37" t="str">
        <f aca="false">IF(INDEX($A1199:$J1199,$M$6)="","",INDEX($A1199:$J1199,$M$6)&amp;"")</f>
        <v/>
      </c>
      <c r="N1199" s="37" t="str">
        <f aca="false">IF($M1199="","",TRIM(INDEX($A1199:$J1199,$N$6)&amp;""))</f>
        <v/>
      </c>
      <c r="O1199" s="37" t="str">
        <f aca="false">IF($M1199="","",TRIM(INDEX($A1199:$J1199,$O$6)&amp;""))</f>
        <v/>
      </c>
      <c r="P1199" s="37" t="str">
        <f aca="false">IF($M1199="","",IFERROR(IF(INDEX(Settings!$B$41:$B$50,MATCH(O1199,Settings!$A$41:$A$50,0))&amp;""="","UNMAPPED",INDEX(Settings!$B$41:$B$50,MATCH(O1199,Settings!$A$41:$A$50,0))&amp;""),"UNMAPPED"))</f>
        <v/>
      </c>
      <c r="Q1199" s="38" t="n">
        <f aca="false">IF($M1199="",0,N(INDEX($A1199:$J1199,$Q$6)))</f>
        <v>0</v>
      </c>
      <c r="R1199" s="39" t="str">
        <f aca="false">IF($M1199="","",INDEX($A1199:$J1199,$R$6))</f>
        <v/>
      </c>
      <c r="S1199" s="37" t="str">
        <f aca="false">IF($M1199="","",IFERROR(INDEX(Settings!$B$27:$B$36,MATCH(L1199,Settings!$A$27:$A$36,0))&amp;"","UNMAPPED"))</f>
        <v/>
      </c>
      <c r="T1199" s="37" t="str">
        <f aca="false">IF($M1199="","",IF(NOT(ISNUMBER(R1199)),"NO DATE",IF(S1199="Won",IF(R1199&gt;Settings!$B$5,"Backlog","Delivered"),IF(S1199="Open",IF(R1199&gt;Settings!$B$5,"Pipeline","Overdue"),IF(S1199="Lost","Lost","UNMAPPED")))))</f>
        <v/>
      </c>
      <c r="U1199" s="40" t="n">
        <f aca="false">IF(T1199="Backlog",1,IF(OR(T1199="Pipeline",T1199="Overdue"),N(INDEX(Settings!$C$27:$C$36,MATCH(L1199,Settings!$A$27:$A$36,0))),0))</f>
        <v>0</v>
      </c>
      <c r="V1199" s="38" t="n">
        <f aca="false">Q1199*U1199</f>
        <v>0</v>
      </c>
      <c r="W1199" s="41" t="str">
        <f aca="false">IF($M1199="","",IF(T1199="Overdue",IF(Settings!$B$8="Yes",Settings!$B$7,""),IF(ISNUMBER(R1199),DATE(YEAR(R1199),MONTH(R1199),1),"")))</f>
        <v/>
      </c>
      <c r="X1199" s="38" t="n">
        <f aca="false">IF(AND(OR(T1199="Backlog",T1199="Pipeline",T1199="Overdue"),ISNUMBER(W1199)),IF(W1199&lt;=Settings!$B$6,V1199,0),0)</f>
        <v>0</v>
      </c>
      <c r="Y1199" s="38" t="n">
        <f aca="false">IF(AND(OR(T1199="Backlog",T1199="Pipeline",T1199="Overdue"),ISNUMBER(W1199)),IF(W1199&lt;=Settings!$B$6,Q1199,0),0)</f>
        <v>0</v>
      </c>
      <c r="Z1199" s="38" t="n">
        <f aca="false">IF(Y1199=0,0,IF(T1199="Backlog",Q1199,Q1199*Dashboard!$C$10))</f>
        <v>0</v>
      </c>
      <c r="AA1199" s="37" t="n">
        <f aca="false">IF($N1199="",0,IF(COUNTIF(Dashboard!$C$13:$C$22,$N1199)&gt;0,1,0))</f>
        <v>0</v>
      </c>
      <c r="AB1199" s="37" t="str">
        <f aca="false">IF($N1199="","",IF(COUNTIF($N$8:$N1199,$N1199)=1,MAX($AB$7:$AB1198)+1,""))</f>
        <v/>
      </c>
    </row>
    <row r="1200" customFormat="false" ht="15" hidden="false" customHeight="false" outlineLevel="0" collapsed="false">
      <c r="L1200" s="37" t="str">
        <f aca="false">IF(INDEX($A1200:$J1200,$L$6)&lt;&gt;"",TRIM(LEFT(INDEX($A1200:$J1200,$L$6),FIND("(",INDEX($A1200:$J1200,$L$6)&amp;"(")-1)),L1199)</f>
        <v>Building Value Proposition</v>
      </c>
      <c r="M1200" s="37" t="str">
        <f aca="false">IF(INDEX($A1200:$J1200,$M$6)="","",INDEX($A1200:$J1200,$M$6)&amp;"")</f>
        <v/>
      </c>
      <c r="N1200" s="37" t="str">
        <f aca="false">IF($M1200="","",TRIM(INDEX($A1200:$J1200,$N$6)&amp;""))</f>
        <v/>
      </c>
      <c r="O1200" s="37" t="str">
        <f aca="false">IF($M1200="","",TRIM(INDEX($A1200:$J1200,$O$6)&amp;""))</f>
        <v/>
      </c>
      <c r="P1200" s="37" t="str">
        <f aca="false">IF($M1200="","",IFERROR(IF(INDEX(Settings!$B$41:$B$50,MATCH(O1200,Settings!$A$41:$A$50,0))&amp;""="","UNMAPPED",INDEX(Settings!$B$41:$B$50,MATCH(O1200,Settings!$A$41:$A$50,0))&amp;""),"UNMAPPED"))</f>
        <v/>
      </c>
      <c r="Q1200" s="38" t="n">
        <f aca="false">IF($M1200="",0,N(INDEX($A1200:$J1200,$Q$6)))</f>
        <v>0</v>
      </c>
      <c r="R1200" s="39" t="str">
        <f aca="false">IF($M1200="","",INDEX($A1200:$J1200,$R$6))</f>
        <v/>
      </c>
      <c r="S1200" s="37" t="str">
        <f aca="false">IF($M1200="","",IFERROR(INDEX(Settings!$B$27:$B$36,MATCH(L1200,Settings!$A$27:$A$36,0))&amp;"","UNMAPPED"))</f>
        <v/>
      </c>
      <c r="T1200" s="37" t="str">
        <f aca="false">IF($M1200="","",IF(NOT(ISNUMBER(R1200)),"NO DATE",IF(S1200="Won",IF(R1200&gt;Settings!$B$5,"Backlog","Delivered"),IF(S1200="Open",IF(R1200&gt;Settings!$B$5,"Pipeline","Overdue"),IF(S1200="Lost","Lost","UNMAPPED")))))</f>
        <v/>
      </c>
      <c r="U1200" s="40" t="n">
        <f aca="false">IF(T1200="Backlog",1,IF(OR(T1200="Pipeline",T1200="Overdue"),N(INDEX(Settings!$C$27:$C$36,MATCH(L1200,Settings!$A$27:$A$36,0))),0))</f>
        <v>0</v>
      </c>
      <c r="V1200" s="38" t="n">
        <f aca="false">Q1200*U1200</f>
        <v>0</v>
      </c>
      <c r="W1200" s="41" t="str">
        <f aca="false">IF($M1200="","",IF(T1200="Overdue",IF(Settings!$B$8="Yes",Settings!$B$7,""),IF(ISNUMBER(R1200),DATE(YEAR(R1200),MONTH(R1200),1),"")))</f>
        <v/>
      </c>
      <c r="X1200" s="38" t="n">
        <f aca="false">IF(AND(OR(T1200="Backlog",T1200="Pipeline",T1200="Overdue"),ISNUMBER(W1200)),IF(W1200&lt;=Settings!$B$6,V1200,0),0)</f>
        <v>0</v>
      </c>
      <c r="Y1200" s="38" t="n">
        <f aca="false">IF(AND(OR(T1200="Backlog",T1200="Pipeline",T1200="Overdue"),ISNUMBER(W1200)),IF(W1200&lt;=Settings!$B$6,Q1200,0),0)</f>
        <v>0</v>
      </c>
      <c r="Z1200" s="38" t="n">
        <f aca="false">IF(Y1200=0,0,IF(T1200="Backlog",Q1200,Q1200*Dashboard!$C$10))</f>
        <v>0</v>
      </c>
      <c r="AA1200" s="37" t="n">
        <f aca="false">IF($N1200="",0,IF(COUNTIF(Dashboard!$C$13:$C$22,$N1200)&gt;0,1,0))</f>
        <v>0</v>
      </c>
      <c r="AB1200" s="37" t="str">
        <f aca="false">IF($N1200="","",IF(COUNTIF($N$8:$N1200,$N1200)=1,MAX($AB$7:$AB1199)+1,""))</f>
        <v/>
      </c>
    </row>
    <row r="1201" customFormat="false" ht="15" hidden="false" customHeight="false" outlineLevel="0" collapsed="false">
      <c r="L1201" s="37" t="str">
        <f aca="false">IF(INDEX($A1201:$J1201,$L$6)&lt;&gt;"",TRIM(LEFT(INDEX($A1201:$J1201,$L$6),FIND("(",INDEX($A1201:$J1201,$L$6)&amp;"(")-1)),L1200)</f>
        <v>Building Value Proposition</v>
      </c>
      <c r="M1201" s="37" t="str">
        <f aca="false">IF(INDEX($A1201:$J1201,$M$6)="","",INDEX($A1201:$J1201,$M$6)&amp;"")</f>
        <v/>
      </c>
      <c r="N1201" s="37" t="str">
        <f aca="false">IF($M1201="","",TRIM(INDEX($A1201:$J1201,$N$6)&amp;""))</f>
        <v/>
      </c>
      <c r="O1201" s="37" t="str">
        <f aca="false">IF($M1201="","",TRIM(INDEX($A1201:$J1201,$O$6)&amp;""))</f>
        <v/>
      </c>
      <c r="P1201" s="37" t="str">
        <f aca="false">IF($M1201="","",IFERROR(IF(INDEX(Settings!$B$41:$B$50,MATCH(O1201,Settings!$A$41:$A$50,0))&amp;""="","UNMAPPED",INDEX(Settings!$B$41:$B$50,MATCH(O1201,Settings!$A$41:$A$50,0))&amp;""),"UNMAPPED"))</f>
        <v/>
      </c>
      <c r="Q1201" s="38" t="n">
        <f aca="false">IF($M1201="",0,N(INDEX($A1201:$J1201,$Q$6)))</f>
        <v>0</v>
      </c>
      <c r="R1201" s="39" t="str">
        <f aca="false">IF($M1201="","",INDEX($A1201:$J1201,$R$6))</f>
        <v/>
      </c>
      <c r="S1201" s="37" t="str">
        <f aca="false">IF($M1201="","",IFERROR(INDEX(Settings!$B$27:$B$36,MATCH(L1201,Settings!$A$27:$A$36,0))&amp;"","UNMAPPED"))</f>
        <v/>
      </c>
      <c r="T1201" s="37" t="str">
        <f aca="false">IF($M1201="","",IF(NOT(ISNUMBER(R1201)),"NO DATE",IF(S1201="Won",IF(R1201&gt;Settings!$B$5,"Backlog","Delivered"),IF(S1201="Open",IF(R1201&gt;Settings!$B$5,"Pipeline","Overdue"),IF(S1201="Lost","Lost","UNMAPPED")))))</f>
        <v/>
      </c>
      <c r="U1201" s="40" t="n">
        <f aca="false">IF(T1201="Backlog",1,IF(OR(T1201="Pipeline",T1201="Overdue"),N(INDEX(Settings!$C$27:$C$36,MATCH(L1201,Settings!$A$27:$A$36,0))),0))</f>
        <v>0</v>
      </c>
      <c r="V1201" s="38" t="n">
        <f aca="false">Q1201*U1201</f>
        <v>0</v>
      </c>
      <c r="W1201" s="41" t="str">
        <f aca="false">IF($M1201="","",IF(T1201="Overdue",IF(Settings!$B$8="Yes",Settings!$B$7,""),IF(ISNUMBER(R1201),DATE(YEAR(R1201),MONTH(R1201),1),"")))</f>
        <v/>
      </c>
      <c r="X1201" s="38" t="n">
        <f aca="false">IF(AND(OR(T1201="Backlog",T1201="Pipeline",T1201="Overdue"),ISNUMBER(W1201)),IF(W1201&lt;=Settings!$B$6,V1201,0),0)</f>
        <v>0</v>
      </c>
      <c r="Y1201" s="38" t="n">
        <f aca="false">IF(AND(OR(T1201="Backlog",T1201="Pipeline",T1201="Overdue"),ISNUMBER(W1201)),IF(W1201&lt;=Settings!$B$6,Q1201,0),0)</f>
        <v>0</v>
      </c>
      <c r="Z1201" s="38" t="n">
        <f aca="false">IF(Y1201=0,0,IF(T1201="Backlog",Q1201,Q1201*Dashboard!$C$10))</f>
        <v>0</v>
      </c>
      <c r="AA1201" s="37" t="n">
        <f aca="false">IF($N1201="",0,IF(COUNTIF(Dashboard!$C$13:$C$22,$N1201)&gt;0,1,0))</f>
        <v>0</v>
      </c>
      <c r="AB1201" s="37" t="str">
        <f aca="false">IF($N1201="","",IF(COUNTIF($N$8:$N1201,$N1201)=1,MAX($AB$7:$AB1200)+1,""))</f>
        <v/>
      </c>
    </row>
    <row r="1202" customFormat="false" ht="15" hidden="false" customHeight="false" outlineLevel="0" collapsed="false">
      <c r="L1202" s="37" t="str">
        <f aca="false">IF(INDEX($A1202:$J1202,$L$6)&lt;&gt;"",TRIM(LEFT(INDEX($A1202:$J1202,$L$6),FIND("(",INDEX($A1202:$J1202,$L$6)&amp;"(")-1)),L1201)</f>
        <v>Building Value Proposition</v>
      </c>
      <c r="M1202" s="37" t="str">
        <f aca="false">IF(INDEX($A1202:$J1202,$M$6)="","",INDEX($A1202:$J1202,$M$6)&amp;"")</f>
        <v/>
      </c>
      <c r="N1202" s="37" t="str">
        <f aca="false">IF($M1202="","",TRIM(INDEX($A1202:$J1202,$N$6)&amp;""))</f>
        <v/>
      </c>
      <c r="O1202" s="37" t="str">
        <f aca="false">IF($M1202="","",TRIM(INDEX($A1202:$J1202,$O$6)&amp;""))</f>
        <v/>
      </c>
      <c r="P1202" s="37" t="str">
        <f aca="false">IF($M1202="","",IFERROR(IF(INDEX(Settings!$B$41:$B$50,MATCH(O1202,Settings!$A$41:$A$50,0))&amp;""="","UNMAPPED",INDEX(Settings!$B$41:$B$50,MATCH(O1202,Settings!$A$41:$A$50,0))&amp;""),"UNMAPPED"))</f>
        <v/>
      </c>
      <c r="Q1202" s="38" t="n">
        <f aca="false">IF($M1202="",0,N(INDEX($A1202:$J1202,$Q$6)))</f>
        <v>0</v>
      </c>
      <c r="R1202" s="39" t="str">
        <f aca="false">IF($M1202="","",INDEX($A1202:$J1202,$R$6))</f>
        <v/>
      </c>
      <c r="S1202" s="37" t="str">
        <f aca="false">IF($M1202="","",IFERROR(INDEX(Settings!$B$27:$B$36,MATCH(L1202,Settings!$A$27:$A$36,0))&amp;"","UNMAPPED"))</f>
        <v/>
      </c>
      <c r="T1202" s="37" t="str">
        <f aca="false">IF($M1202="","",IF(NOT(ISNUMBER(R1202)),"NO DATE",IF(S1202="Won",IF(R1202&gt;Settings!$B$5,"Backlog","Delivered"),IF(S1202="Open",IF(R1202&gt;Settings!$B$5,"Pipeline","Overdue"),IF(S1202="Lost","Lost","UNMAPPED")))))</f>
        <v/>
      </c>
      <c r="U1202" s="40" t="n">
        <f aca="false">IF(T1202="Backlog",1,IF(OR(T1202="Pipeline",T1202="Overdue"),N(INDEX(Settings!$C$27:$C$36,MATCH(L1202,Settings!$A$27:$A$36,0))),0))</f>
        <v>0</v>
      </c>
      <c r="V1202" s="38" t="n">
        <f aca="false">Q1202*U1202</f>
        <v>0</v>
      </c>
      <c r="W1202" s="41" t="str">
        <f aca="false">IF($M1202="","",IF(T1202="Overdue",IF(Settings!$B$8="Yes",Settings!$B$7,""),IF(ISNUMBER(R1202),DATE(YEAR(R1202),MONTH(R1202),1),"")))</f>
        <v/>
      </c>
      <c r="X1202" s="38" t="n">
        <f aca="false">IF(AND(OR(T1202="Backlog",T1202="Pipeline",T1202="Overdue"),ISNUMBER(W1202)),IF(W1202&lt;=Settings!$B$6,V1202,0),0)</f>
        <v>0</v>
      </c>
      <c r="Y1202" s="38" t="n">
        <f aca="false">IF(AND(OR(T1202="Backlog",T1202="Pipeline",T1202="Overdue"),ISNUMBER(W1202)),IF(W1202&lt;=Settings!$B$6,Q1202,0),0)</f>
        <v>0</v>
      </c>
      <c r="Z1202" s="38" t="n">
        <f aca="false">IF(Y1202=0,0,IF(T1202="Backlog",Q1202,Q1202*Dashboard!$C$10))</f>
        <v>0</v>
      </c>
      <c r="AA1202" s="37" t="n">
        <f aca="false">IF($N1202="",0,IF(COUNTIF(Dashboard!$C$13:$C$22,$N1202)&gt;0,1,0))</f>
        <v>0</v>
      </c>
      <c r="AB1202" s="37" t="str">
        <f aca="false">IF($N1202="","",IF(COUNTIF($N$8:$N1202,$N1202)=1,MAX($AB$7:$AB1201)+1,""))</f>
        <v/>
      </c>
    </row>
    <row r="1203" customFormat="false" ht="15" hidden="false" customHeight="false" outlineLevel="0" collapsed="false">
      <c r="L1203" s="37" t="str">
        <f aca="false">IF(INDEX($A1203:$J1203,$L$6)&lt;&gt;"",TRIM(LEFT(INDEX($A1203:$J1203,$L$6),FIND("(",INDEX($A1203:$J1203,$L$6)&amp;"(")-1)),L1202)</f>
        <v>Building Value Proposition</v>
      </c>
      <c r="M1203" s="37" t="str">
        <f aca="false">IF(INDEX($A1203:$J1203,$M$6)="","",INDEX($A1203:$J1203,$M$6)&amp;"")</f>
        <v/>
      </c>
      <c r="N1203" s="37" t="str">
        <f aca="false">IF($M1203="","",TRIM(INDEX($A1203:$J1203,$N$6)&amp;""))</f>
        <v/>
      </c>
      <c r="O1203" s="37" t="str">
        <f aca="false">IF($M1203="","",TRIM(INDEX($A1203:$J1203,$O$6)&amp;""))</f>
        <v/>
      </c>
      <c r="P1203" s="37" t="str">
        <f aca="false">IF($M1203="","",IFERROR(IF(INDEX(Settings!$B$41:$B$50,MATCH(O1203,Settings!$A$41:$A$50,0))&amp;""="","UNMAPPED",INDEX(Settings!$B$41:$B$50,MATCH(O1203,Settings!$A$41:$A$50,0))&amp;""),"UNMAPPED"))</f>
        <v/>
      </c>
      <c r="Q1203" s="38" t="n">
        <f aca="false">IF($M1203="",0,N(INDEX($A1203:$J1203,$Q$6)))</f>
        <v>0</v>
      </c>
      <c r="R1203" s="39" t="str">
        <f aca="false">IF($M1203="","",INDEX($A1203:$J1203,$R$6))</f>
        <v/>
      </c>
      <c r="S1203" s="37" t="str">
        <f aca="false">IF($M1203="","",IFERROR(INDEX(Settings!$B$27:$B$36,MATCH(L1203,Settings!$A$27:$A$36,0))&amp;"","UNMAPPED"))</f>
        <v/>
      </c>
      <c r="T1203" s="37" t="str">
        <f aca="false">IF($M1203="","",IF(NOT(ISNUMBER(R1203)),"NO DATE",IF(S1203="Won",IF(R1203&gt;Settings!$B$5,"Backlog","Delivered"),IF(S1203="Open",IF(R1203&gt;Settings!$B$5,"Pipeline","Overdue"),IF(S1203="Lost","Lost","UNMAPPED")))))</f>
        <v/>
      </c>
      <c r="U1203" s="40" t="n">
        <f aca="false">IF(T1203="Backlog",1,IF(OR(T1203="Pipeline",T1203="Overdue"),N(INDEX(Settings!$C$27:$C$36,MATCH(L1203,Settings!$A$27:$A$36,0))),0))</f>
        <v>0</v>
      </c>
      <c r="V1203" s="38" t="n">
        <f aca="false">Q1203*U1203</f>
        <v>0</v>
      </c>
      <c r="W1203" s="41" t="str">
        <f aca="false">IF($M1203="","",IF(T1203="Overdue",IF(Settings!$B$8="Yes",Settings!$B$7,""),IF(ISNUMBER(R1203),DATE(YEAR(R1203),MONTH(R1203),1),"")))</f>
        <v/>
      </c>
      <c r="X1203" s="38" t="n">
        <f aca="false">IF(AND(OR(T1203="Backlog",T1203="Pipeline",T1203="Overdue"),ISNUMBER(W1203)),IF(W1203&lt;=Settings!$B$6,V1203,0),0)</f>
        <v>0</v>
      </c>
      <c r="Y1203" s="38" t="n">
        <f aca="false">IF(AND(OR(T1203="Backlog",T1203="Pipeline",T1203="Overdue"),ISNUMBER(W1203)),IF(W1203&lt;=Settings!$B$6,Q1203,0),0)</f>
        <v>0</v>
      </c>
      <c r="Z1203" s="38" t="n">
        <f aca="false">IF(Y1203=0,0,IF(T1203="Backlog",Q1203,Q1203*Dashboard!$C$10))</f>
        <v>0</v>
      </c>
      <c r="AA1203" s="37" t="n">
        <f aca="false">IF($N1203="",0,IF(COUNTIF(Dashboard!$C$13:$C$22,$N1203)&gt;0,1,0))</f>
        <v>0</v>
      </c>
      <c r="AB1203" s="37" t="str">
        <f aca="false">IF($N1203="","",IF(COUNTIF($N$8:$N1203,$N1203)=1,MAX($AB$7:$AB1202)+1,""))</f>
        <v/>
      </c>
    </row>
    <row r="1204" customFormat="false" ht="15" hidden="false" customHeight="false" outlineLevel="0" collapsed="false">
      <c r="L1204" s="37" t="str">
        <f aca="false">IF(INDEX($A1204:$J1204,$L$6)&lt;&gt;"",TRIM(LEFT(INDEX($A1204:$J1204,$L$6),FIND("(",INDEX($A1204:$J1204,$L$6)&amp;"(")-1)),L1203)</f>
        <v>Building Value Proposition</v>
      </c>
      <c r="M1204" s="37" t="str">
        <f aca="false">IF(INDEX($A1204:$J1204,$M$6)="","",INDEX($A1204:$J1204,$M$6)&amp;"")</f>
        <v/>
      </c>
      <c r="N1204" s="37" t="str">
        <f aca="false">IF($M1204="","",TRIM(INDEX($A1204:$J1204,$N$6)&amp;""))</f>
        <v/>
      </c>
      <c r="O1204" s="37" t="str">
        <f aca="false">IF($M1204="","",TRIM(INDEX($A1204:$J1204,$O$6)&amp;""))</f>
        <v/>
      </c>
      <c r="P1204" s="37" t="str">
        <f aca="false">IF($M1204="","",IFERROR(IF(INDEX(Settings!$B$41:$B$50,MATCH(O1204,Settings!$A$41:$A$50,0))&amp;""="","UNMAPPED",INDEX(Settings!$B$41:$B$50,MATCH(O1204,Settings!$A$41:$A$50,0))&amp;""),"UNMAPPED"))</f>
        <v/>
      </c>
      <c r="Q1204" s="38" t="n">
        <f aca="false">IF($M1204="",0,N(INDEX($A1204:$J1204,$Q$6)))</f>
        <v>0</v>
      </c>
      <c r="R1204" s="39" t="str">
        <f aca="false">IF($M1204="","",INDEX($A1204:$J1204,$R$6))</f>
        <v/>
      </c>
      <c r="S1204" s="37" t="str">
        <f aca="false">IF($M1204="","",IFERROR(INDEX(Settings!$B$27:$B$36,MATCH(L1204,Settings!$A$27:$A$36,0))&amp;"","UNMAPPED"))</f>
        <v/>
      </c>
      <c r="T1204" s="37" t="str">
        <f aca="false">IF($M1204="","",IF(NOT(ISNUMBER(R1204)),"NO DATE",IF(S1204="Won",IF(R1204&gt;Settings!$B$5,"Backlog","Delivered"),IF(S1204="Open",IF(R1204&gt;Settings!$B$5,"Pipeline","Overdue"),IF(S1204="Lost","Lost","UNMAPPED")))))</f>
        <v/>
      </c>
      <c r="U1204" s="40" t="n">
        <f aca="false">IF(T1204="Backlog",1,IF(OR(T1204="Pipeline",T1204="Overdue"),N(INDEX(Settings!$C$27:$C$36,MATCH(L1204,Settings!$A$27:$A$36,0))),0))</f>
        <v>0</v>
      </c>
      <c r="V1204" s="38" t="n">
        <f aca="false">Q1204*U1204</f>
        <v>0</v>
      </c>
      <c r="W1204" s="41" t="str">
        <f aca="false">IF($M1204="","",IF(T1204="Overdue",IF(Settings!$B$8="Yes",Settings!$B$7,""),IF(ISNUMBER(R1204),DATE(YEAR(R1204),MONTH(R1204),1),"")))</f>
        <v/>
      </c>
      <c r="X1204" s="38" t="n">
        <f aca="false">IF(AND(OR(T1204="Backlog",T1204="Pipeline",T1204="Overdue"),ISNUMBER(W1204)),IF(W1204&lt;=Settings!$B$6,V1204,0),0)</f>
        <v>0</v>
      </c>
      <c r="Y1204" s="38" t="n">
        <f aca="false">IF(AND(OR(T1204="Backlog",T1204="Pipeline",T1204="Overdue"),ISNUMBER(W1204)),IF(W1204&lt;=Settings!$B$6,Q1204,0),0)</f>
        <v>0</v>
      </c>
      <c r="Z1204" s="38" t="n">
        <f aca="false">IF(Y1204=0,0,IF(T1204="Backlog",Q1204,Q1204*Dashboard!$C$10))</f>
        <v>0</v>
      </c>
      <c r="AA1204" s="37" t="n">
        <f aca="false">IF($N1204="",0,IF(COUNTIF(Dashboard!$C$13:$C$22,$N1204)&gt;0,1,0))</f>
        <v>0</v>
      </c>
      <c r="AB1204" s="37" t="str">
        <f aca="false">IF($N1204="","",IF(COUNTIF($N$8:$N1204,$N1204)=1,MAX($AB$7:$AB1203)+1,""))</f>
        <v/>
      </c>
    </row>
    <row r="1205" customFormat="false" ht="15" hidden="false" customHeight="false" outlineLevel="0" collapsed="false">
      <c r="L1205" s="37" t="str">
        <f aca="false">IF(INDEX($A1205:$J1205,$L$6)&lt;&gt;"",TRIM(LEFT(INDEX($A1205:$J1205,$L$6),FIND("(",INDEX($A1205:$J1205,$L$6)&amp;"(")-1)),L1204)</f>
        <v>Building Value Proposition</v>
      </c>
      <c r="M1205" s="37" t="str">
        <f aca="false">IF(INDEX($A1205:$J1205,$M$6)="","",INDEX($A1205:$J1205,$M$6)&amp;"")</f>
        <v/>
      </c>
      <c r="N1205" s="37" t="str">
        <f aca="false">IF($M1205="","",TRIM(INDEX($A1205:$J1205,$N$6)&amp;""))</f>
        <v/>
      </c>
      <c r="O1205" s="37" t="str">
        <f aca="false">IF($M1205="","",TRIM(INDEX($A1205:$J1205,$O$6)&amp;""))</f>
        <v/>
      </c>
      <c r="P1205" s="37" t="str">
        <f aca="false">IF($M1205="","",IFERROR(IF(INDEX(Settings!$B$41:$B$50,MATCH(O1205,Settings!$A$41:$A$50,0))&amp;""="","UNMAPPED",INDEX(Settings!$B$41:$B$50,MATCH(O1205,Settings!$A$41:$A$50,0))&amp;""),"UNMAPPED"))</f>
        <v/>
      </c>
      <c r="Q1205" s="38" t="n">
        <f aca="false">IF($M1205="",0,N(INDEX($A1205:$J1205,$Q$6)))</f>
        <v>0</v>
      </c>
      <c r="R1205" s="39" t="str">
        <f aca="false">IF($M1205="","",INDEX($A1205:$J1205,$R$6))</f>
        <v/>
      </c>
      <c r="S1205" s="37" t="str">
        <f aca="false">IF($M1205="","",IFERROR(INDEX(Settings!$B$27:$B$36,MATCH(L1205,Settings!$A$27:$A$36,0))&amp;"","UNMAPPED"))</f>
        <v/>
      </c>
      <c r="T1205" s="37" t="str">
        <f aca="false">IF($M1205="","",IF(NOT(ISNUMBER(R1205)),"NO DATE",IF(S1205="Won",IF(R1205&gt;Settings!$B$5,"Backlog","Delivered"),IF(S1205="Open",IF(R1205&gt;Settings!$B$5,"Pipeline","Overdue"),IF(S1205="Lost","Lost","UNMAPPED")))))</f>
        <v/>
      </c>
      <c r="U1205" s="40" t="n">
        <f aca="false">IF(T1205="Backlog",1,IF(OR(T1205="Pipeline",T1205="Overdue"),N(INDEX(Settings!$C$27:$C$36,MATCH(L1205,Settings!$A$27:$A$36,0))),0))</f>
        <v>0</v>
      </c>
      <c r="V1205" s="38" t="n">
        <f aca="false">Q1205*U1205</f>
        <v>0</v>
      </c>
      <c r="W1205" s="41" t="str">
        <f aca="false">IF($M1205="","",IF(T1205="Overdue",IF(Settings!$B$8="Yes",Settings!$B$7,""),IF(ISNUMBER(R1205),DATE(YEAR(R1205),MONTH(R1205),1),"")))</f>
        <v/>
      </c>
      <c r="X1205" s="38" t="n">
        <f aca="false">IF(AND(OR(T1205="Backlog",T1205="Pipeline",T1205="Overdue"),ISNUMBER(W1205)),IF(W1205&lt;=Settings!$B$6,V1205,0),0)</f>
        <v>0</v>
      </c>
      <c r="Y1205" s="38" t="n">
        <f aca="false">IF(AND(OR(T1205="Backlog",T1205="Pipeline",T1205="Overdue"),ISNUMBER(W1205)),IF(W1205&lt;=Settings!$B$6,Q1205,0),0)</f>
        <v>0</v>
      </c>
      <c r="Z1205" s="38" t="n">
        <f aca="false">IF(Y1205=0,0,IF(T1205="Backlog",Q1205,Q1205*Dashboard!$C$10))</f>
        <v>0</v>
      </c>
      <c r="AA1205" s="37" t="n">
        <f aca="false">IF($N1205="",0,IF(COUNTIF(Dashboard!$C$13:$C$22,$N1205)&gt;0,1,0))</f>
        <v>0</v>
      </c>
      <c r="AB1205" s="37" t="str">
        <f aca="false">IF($N1205="","",IF(COUNTIF($N$8:$N1205,$N1205)=1,MAX($AB$7:$AB1204)+1,""))</f>
        <v/>
      </c>
    </row>
    <row r="1206" customFormat="false" ht="15" hidden="false" customHeight="false" outlineLevel="0" collapsed="false">
      <c r="L1206" s="37" t="str">
        <f aca="false">IF(INDEX($A1206:$J1206,$L$6)&lt;&gt;"",TRIM(LEFT(INDEX($A1206:$J1206,$L$6),FIND("(",INDEX($A1206:$J1206,$L$6)&amp;"(")-1)),L1205)</f>
        <v>Building Value Proposition</v>
      </c>
      <c r="M1206" s="37" t="str">
        <f aca="false">IF(INDEX($A1206:$J1206,$M$6)="","",INDEX($A1206:$J1206,$M$6)&amp;"")</f>
        <v/>
      </c>
      <c r="N1206" s="37" t="str">
        <f aca="false">IF($M1206="","",TRIM(INDEX($A1206:$J1206,$N$6)&amp;""))</f>
        <v/>
      </c>
      <c r="O1206" s="37" t="str">
        <f aca="false">IF($M1206="","",TRIM(INDEX($A1206:$J1206,$O$6)&amp;""))</f>
        <v/>
      </c>
      <c r="P1206" s="37" t="str">
        <f aca="false">IF($M1206="","",IFERROR(IF(INDEX(Settings!$B$41:$B$50,MATCH(O1206,Settings!$A$41:$A$50,0))&amp;""="","UNMAPPED",INDEX(Settings!$B$41:$B$50,MATCH(O1206,Settings!$A$41:$A$50,0))&amp;""),"UNMAPPED"))</f>
        <v/>
      </c>
      <c r="Q1206" s="38" t="n">
        <f aca="false">IF($M1206="",0,N(INDEX($A1206:$J1206,$Q$6)))</f>
        <v>0</v>
      </c>
      <c r="R1206" s="39" t="str">
        <f aca="false">IF($M1206="","",INDEX($A1206:$J1206,$R$6))</f>
        <v/>
      </c>
      <c r="S1206" s="37" t="str">
        <f aca="false">IF($M1206="","",IFERROR(INDEX(Settings!$B$27:$B$36,MATCH(L1206,Settings!$A$27:$A$36,0))&amp;"","UNMAPPED"))</f>
        <v/>
      </c>
      <c r="T1206" s="37" t="str">
        <f aca="false">IF($M1206="","",IF(NOT(ISNUMBER(R1206)),"NO DATE",IF(S1206="Won",IF(R1206&gt;Settings!$B$5,"Backlog","Delivered"),IF(S1206="Open",IF(R1206&gt;Settings!$B$5,"Pipeline","Overdue"),IF(S1206="Lost","Lost","UNMAPPED")))))</f>
        <v/>
      </c>
      <c r="U1206" s="40" t="n">
        <f aca="false">IF(T1206="Backlog",1,IF(OR(T1206="Pipeline",T1206="Overdue"),N(INDEX(Settings!$C$27:$C$36,MATCH(L1206,Settings!$A$27:$A$36,0))),0))</f>
        <v>0</v>
      </c>
      <c r="V1206" s="38" t="n">
        <f aca="false">Q1206*U1206</f>
        <v>0</v>
      </c>
      <c r="W1206" s="41" t="str">
        <f aca="false">IF($M1206="","",IF(T1206="Overdue",IF(Settings!$B$8="Yes",Settings!$B$7,""),IF(ISNUMBER(R1206),DATE(YEAR(R1206),MONTH(R1206),1),"")))</f>
        <v/>
      </c>
      <c r="X1206" s="38" t="n">
        <f aca="false">IF(AND(OR(T1206="Backlog",T1206="Pipeline",T1206="Overdue"),ISNUMBER(W1206)),IF(W1206&lt;=Settings!$B$6,V1206,0),0)</f>
        <v>0</v>
      </c>
      <c r="Y1206" s="38" t="n">
        <f aca="false">IF(AND(OR(T1206="Backlog",T1206="Pipeline",T1206="Overdue"),ISNUMBER(W1206)),IF(W1206&lt;=Settings!$B$6,Q1206,0),0)</f>
        <v>0</v>
      </c>
      <c r="Z1206" s="38" t="n">
        <f aca="false">IF(Y1206=0,0,IF(T1206="Backlog",Q1206,Q1206*Dashboard!$C$10))</f>
        <v>0</v>
      </c>
      <c r="AA1206" s="37" t="n">
        <f aca="false">IF($N1206="",0,IF(COUNTIF(Dashboard!$C$13:$C$22,$N1206)&gt;0,1,0))</f>
        <v>0</v>
      </c>
      <c r="AB1206" s="37" t="str">
        <f aca="false">IF($N1206="","",IF(COUNTIF($N$8:$N1206,$N1206)=1,MAX($AB$7:$AB1205)+1,""))</f>
        <v/>
      </c>
    </row>
    <row r="1207" customFormat="false" ht="15" hidden="false" customHeight="false" outlineLevel="0" collapsed="false">
      <c r="L1207" s="37" t="str">
        <f aca="false">IF(INDEX($A1207:$J1207,$L$6)&lt;&gt;"",TRIM(LEFT(INDEX($A1207:$J1207,$L$6),FIND("(",INDEX($A1207:$J1207,$L$6)&amp;"(")-1)),L1206)</f>
        <v>Building Value Proposition</v>
      </c>
      <c r="M1207" s="37" t="str">
        <f aca="false">IF(INDEX($A1207:$J1207,$M$6)="","",INDEX($A1207:$J1207,$M$6)&amp;"")</f>
        <v/>
      </c>
      <c r="N1207" s="37" t="str">
        <f aca="false">IF($M1207="","",TRIM(INDEX($A1207:$J1207,$N$6)&amp;""))</f>
        <v/>
      </c>
      <c r="O1207" s="37" t="str">
        <f aca="false">IF($M1207="","",TRIM(INDEX($A1207:$J1207,$O$6)&amp;""))</f>
        <v/>
      </c>
      <c r="P1207" s="37" t="str">
        <f aca="false">IF($M1207="","",IFERROR(IF(INDEX(Settings!$B$41:$B$50,MATCH(O1207,Settings!$A$41:$A$50,0))&amp;""="","UNMAPPED",INDEX(Settings!$B$41:$B$50,MATCH(O1207,Settings!$A$41:$A$50,0))&amp;""),"UNMAPPED"))</f>
        <v/>
      </c>
      <c r="Q1207" s="38" t="n">
        <f aca="false">IF($M1207="",0,N(INDEX($A1207:$J1207,$Q$6)))</f>
        <v>0</v>
      </c>
      <c r="R1207" s="39" t="str">
        <f aca="false">IF($M1207="","",INDEX($A1207:$J1207,$R$6))</f>
        <v/>
      </c>
      <c r="S1207" s="37" t="str">
        <f aca="false">IF($M1207="","",IFERROR(INDEX(Settings!$B$27:$B$36,MATCH(L1207,Settings!$A$27:$A$36,0))&amp;"","UNMAPPED"))</f>
        <v/>
      </c>
      <c r="T1207" s="37" t="str">
        <f aca="false">IF($M1207="","",IF(NOT(ISNUMBER(R1207)),"NO DATE",IF(S1207="Won",IF(R1207&gt;Settings!$B$5,"Backlog","Delivered"),IF(S1207="Open",IF(R1207&gt;Settings!$B$5,"Pipeline","Overdue"),IF(S1207="Lost","Lost","UNMAPPED")))))</f>
        <v/>
      </c>
      <c r="U1207" s="40" t="n">
        <f aca="false">IF(T1207="Backlog",1,IF(OR(T1207="Pipeline",T1207="Overdue"),N(INDEX(Settings!$C$27:$C$36,MATCH(L1207,Settings!$A$27:$A$36,0))),0))</f>
        <v>0</v>
      </c>
      <c r="V1207" s="38" t="n">
        <f aca="false">Q1207*U1207</f>
        <v>0</v>
      </c>
      <c r="W1207" s="41" t="str">
        <f aca="false">IF($M1207="","",IF(T1207="Overdue",IF(Settings!$B$8="Yes",Settings!$B$7,""),IF(ISNUMBER(R1207),DATE(YEAR(R1207),MONTH(R1207),1),"")))</f>
        <v/>
      </c>
      <c r="X1207" s="38" t="n">
        <f aca="false">IF(AND(OR(T1207="Backlog",T1207="Pipeline",T1207="Overdue"),ISNUMBER(W1207)),IF(W1207&lt;=Settings!$B$6,V1207,0),0)</f>
        <v>0</v>
      </c>
      <c r="Y1207" s="38" t="n">
        <f aca="false">IF(AND(OR(T1207="Backlog",T1207="Pipeline",T1207="Overdue"),ISNUMBER(W1207)),IF(W1207&lt;=Settings!$B$6,Q1207,0),0)</f>
        <v>0</v>
      </c>
      <c r="Z1207" s="38" t="n">
        <f aca="false">IF(Y1207=0,0,IF(T1207="Backlog",Q1207,Q1207*Dashboard!$C$10))</f>
        <v>0</v>
      </c>
      <c r="AA1207" s="37" t="n">
        <f aca="false">IF($N1207="",0,IF(COUNTIF(Dashboard!$C$13:$C$22,$N1207)&gt;0,1,0))</f>
        <v>0</v>
      </c>
      <c r="AB1207" s="37" t="str">
        <f aca="false">IF($N1207="","",IF(COUNTIF($N$8:$N1207,$N1207)=1,MAX($AB$7:$AB1206)+1,""))</f>
        <v/>
      </c>
    </row>
    <row r="1208" customFormat="false" ht="15" hidden="false" customHeight="false" outlineLevel="0" collapsed="false">
      <c r="L1208" s="37" t="str">
        <f aca="false">IF(INDEX($A1208:$J1208,$L$6)&lt;&gt;"",TRIM(LEFT(INDEX($A1208:$J1208,$L$6),FIND("(",INDEX($A1208:$J1208,$L$6)&amp;"(")-1)),L1207)</f>
        <v>Building Value Proposition</v>
      </c>
      <c r="M1208" s="37" t="str">
        <f aca="false">IF(INDEX($A1208:$J1208,$M$6)="","",INDEX($A1208:$J1208,$M$6)&amp;"")</f>
        <v/>
      </c>
      <c r="N1208" s="37" t="str">
        <f aca="false">IF($M1208="","",TRIM(INDEX($A1208:$J1208,$N$6)&amp;""))</f>
        <v/>
      </c>
      <c r="O1208" s="37" t="str">
        <f aca="false">IF($M1208="","",TRIM(INDEX($A1208:$J1208,$O$6)&amp;""))</f>
        <v/>
      </c>
      <c r="P1208" s="37" t="str">
        <f aca="false">IF($M1208="","",IFERROR(IF(INDEX(Settings!$B$41:$B$50,MATCH(O1208,Settings!$A$41:$A$50,0))&amp;""="","UNMAPPED",INDEX(Settings!$B$41:$B$50,MATCH(O1208,Settings!$A$41:$A$50,0))&amp;""),"UNMAPPED"))</f>
        <v/>
      </c>
      <c r="Q1208" s="38" t="n">
        <f aca="false">IF($M1208="",0,N(INDEX($A1208:$J1208,$Q$6)))</f>
        <v>0</v>
      </c>
      <c r="R1208" s="39" t="str">
        <f aca="false">IF($M1208="","",INDEX($A1208:$J1208,$R$6))</f>
        <v/>
      </c>
      <c r="S1208" s="37" t="str">
        <f aca="false">IF($M1208="","",IFERROR(INDEX(Settings!$B$27:$B$36,MATCH(L1208,Settings!$A$27:$A$36,0))&amp;"","UNMAPPED"))</f>
        <v/>
      </c>
      <c r="T1208" s="37" t="str">
        <f aca="false">IF($M1208="","",IF(NOT(ISNUMBER(R1208)),"NO DATE",IF(S1208="Won",IF(R1208&gt;Settings!$B$5,"Backlog","Delivered"),IF(S1208="Open",IF(R1208&gt;Settings!$B$5,"Pipeline","Overdue"),IF(S1208="Lost","Lost","UNMAPPED")))))</f>
        <v/>
      </c>
      <c r="U1208" s="40" t="n">
        <f aca="false">IF(T1208="Backlog",1,IF(OR(T1208="Pipeline",T1208="Overdue"),N(INDEX(Settings!$C$27:$C$36,MATCH(L1208,Settings!$A$27:$A$36,0))),0))</f>
        <v>0</v>
      </c>
      <c r="V1208" s="38" t="n">
        <f aca="false">Q1208*U1208</f>
        <v>0</v>
      </c>
      <c r="W1208" s="41" t="str">
        <f aca="false">IF($M1208="","",IF(T1208="Overdue",IF(Settings!$B$8="Yes",Settings!$B$7,""),IF(ISNUMBER(R1208),DATE(YEAR(R1208),MONTH(R1208),1),"")))</f>
        <v/>
      </c>
      <c r="X1208" s="38" t="n">
        <f aca="false">IF(AND(OR(T1208="Backlog",T1208="Pipeline",T1208="Overdue"),ISNUMBER(W1208)),IF(W1208&lt;=Settings!$B$6,V1208,0),0)</f>
        <v>0</v>
      </c>
      <c r="Y1208" s="38" t="n">
        <f aca="false">IF(AND(OR(T1208="Backlog",T1208="Pipeline",T1208="Overdue"),ISNUMBER(W1208)),IF(W1208&lt;=Settings!$B$6,Q1208,0),0)</f>
        <v>0</v>
      </c>
      <c r="Z1208" s="38" t="n">
        <f aca="false">IF(Y1208=0,0,IF(T1208="Backlog",Q1208,Q1208*Dashboard!$C$10))</f>
        <v>0</v>
      </c>
      <c r="AA1208" s="37" t="n">
        <f aca="false">IF($N1208="",0,IF(COUNTIF(Dashboard!$C$13:$C$22,$N1208)&gt;0,1,0))</f>
        <v>0</v>
      </c>
      <c r="AB1208" s="37" t="str">
        <f aca="false">IF($N1208="","",IF(COUNTIF($N$8:$N1208,$N1208)=1,MAX($AB$7:$AB1207)+1,""))</f>
        <v/>
      </c>
    </row>
    <row r="1209" customFormat="false" ht="15" hidden="false" customHeight="false" outlineLevel="0" collapsed="false">
      <c r="L1209" s="37" t="str">
        <f aca="false">IF(INDEX($A1209:$J1209,$L$6)&lt;&gt;"",TRIM(LEFT(INDEX($A1209:$J1209,$L$6),FIND("(",INDEX($A1209:$J1209,$L$6)&amp;"(")-1)),L1208)</f>
        <v>Building Value Proposition</v>
      </c>
      <c r="M1209" s="37" t="str">
        <f aca="false">IF(INDEX($A1209:$J1209,$M$6)="","",INDEX($A1209:$J1209,$M$6)&amp;"")</f>
        <v/>
      </c>
      <c r="N1209" s="37" t="str">
        <f aca="false">IF($M1209="","",TRIM(INDEX($A1209:$J1209,$N$6)&amp;""))</f>
        <v/>
      </c>
      <c r="O1209" s="37" t="str">
        <f aca="false">IF($M1209="","",TRIM(INDEX($A1209:$J1209,$O$6)&amp;""))</f>
        <v/>
      </c>
      <c r="P1209" s="37" t="str">
        <f aca="false">IF($M1209="","",IFERROR(IF(INDEX(Settings!$B$41:$B$50,MATCH(O1209,Settings!$A$41:$A$50,0))&amp;""="","UNMAPPED",INDEX(Settings!$B$41:$B$50,MATCH(O1209,Settings!$A$41:$A$50,0))&amp;""),"UNMAPPED"))</f>
        <v/>
      </c>
      <c r="Q1209" s="38" t="n">
        <f aca="false">IF($M1209="",0,N(INDEX($A1209:$J1209,$Q$6)))</f>
        <v>0</v>
      </c>
      <c r="R1209" s="39" t="str">
        <f aca="false">IF($M1209="","",INDEX($A1209:$J1209,$R$6))</f>
        <v/>
      </c>
      <c r="S1209" s="37" t="str">
        <f aca="false">IF($M1209="","",IFERROR(INDEX(Settings!$B$27:$B$36,MATCH(L1209,Settings!$A$27:$A$36,0))&amp;"","UNMAPPED"))</f>
        <v/>
      </c>
      <c r="T1209" s="37" t="str">
        <f aca="false">IF($M1209="","",IF(NOT(ISNUMBER(R1209)),"NO DATE",IF(S1209="Won",IF(R1209&gt;Settings!$B$5,"Backlog","Delivered"),IF(S1209="Open",IF(R1209&gt;Settings!$B$5,"Pipeline","Overdue"),IF(S1209="Lost","Lost","UNMAPPED")))))</f>
        <v/>
      </c>
      <c r="U1209" s="40" t="n">
        <f aca="false">IF(T1209="Backlog",1,IF(OR(T1209="Pipeline",T1209="Overdue"),N(INDEX(Settings!$C$27:$C$36,MATCH(L1209,Settings!$A$27:$A$36,0))),0))</f>
        <v>0</v>
      </c>
      <c r="V1209" s="38" t="n">
        <f aca="false">Q1209*U1209</f>
        <v>0</v>
      </c>
      <c r="W1209" s="41" t="str">
        <f aca="false">IF($M1209="","",IF(T1209="Overdue",IF(Settings!$B$8="Yes",Settings!$B$7,""),IF(ISNUMBER(R1209),DATE(YEAR(R1209),MONTH(R1209),1),"")))</f>
        <v/>
      </c>
      <c r="X1209" s="38" t="n">
        <f aca="false">IF(AND(OR(T1209="Backlog",T1209="Pipeline",T1209="Overdue"),ISNUMBER(W1209)),IF(W1209&lt;=Settings!$B$6,V1209,0),0)</f>
        <v>0</v>
      </c>
      <c r="Y1209" s="38" t="n">
        <f aca="false">IF(AND(OR(T1209="Backlog",T1209="Pipeline",T1209="Overdue"),ISNUMBER(W1209)),IF(W1209&lt;=Settings!$B$6,Q1209,0),0)</f>
        <v>0</v>
      </c>
      <c r="Z1209" s="38" t="n">
        <f aca="false">IF(Y1209=0,0,IF(T1209="Backlog",Q1209,Q1209*Dashboard!$C$10))</f>
        <v>0</v>
      </c>
      <c r="AA1209" s="37" t="n">
        <f aca="false">IF($N1209="",0,IF(COUNTIF(Dashboard!$C$13:$C$22,$N1209)&gt;0,1,0))</f>
        <v>0</v>
      </c>
      <c r="AB1209" s="37" t="str">
        <f aca="false">IF($N1209="","",IF(COUNTIF($N$8:$N1209,$N1209)=1,MAX($AB$7:$AB1208)+1,""))</f>
        <v/>
      </c>
    </row>
    <row r="1210" customFormat="false" ht="15" hidden="false" customHeight="false" outlineLevel="0" collapsed="false">
      <c r="L1210" s="37" t="str">
        <f aca="false">IF(INDEX($A1210:$J1210,$L$6)&lt;&gt;"",TRIM(LEFT(INDEX($A1210:$J1210,$L$6),FIND("(",INDEX($A1210:$J1210,$L$6)&amp;"(")-1)),L1209)</f>
        <v>Building Value Proposition</v>
      </c>
      <c r="M1210" s="37" t="str">
        <f aca="false">IF(INDEX($A1210:$J1210,$M$6)="","",INDEX($A1210:$J1210,$M$6)&amp;"")</f>
        <v/>
      </c>
      <c r="N1210" s="37" t="str">
        <f aca="false">IF($M1210="","",TRIM(INDEX($A1210:$J1210,$N$6)&amp;""))</f>
        <v/>
      </c>
      <c r="O1210" s="37" t="str">
        <f aca="false">IF($M1210="","",TRIM(INDEX($A1210:$J1210,$O$6)&amp;""))</f>
        <v/>
      </c>
      <c r="P1210" s="37" t="str">
        <f aca="false">IF($M1210="","",IFERROR(IF(INDEX(Settings!$B$41:$B$50,MATCH(O1210,Settings!$A$41:$A$50,0))&amp;""="","UNMAPPED",INDEX(Settings!$B$41:$B$50,MATCH(O1210,Settings!$A$41:$A$50,0))&amp;""),"UNMAPPED"))</f>
        <v/>
      </c>
      <c r="Q1210" s="38" t="n">
        <f aca="false">IF($M1210="",0,N(INDEX($A1210:$J1210,$Q$6)))</f>
        <v>0</v>
      </c>
      <c r="R1210" s="39" t="str">
        <f aca="false">IF($M1210="","",INDEX($A1210:$J1210,$R$6))</f>
        <v/>
      </c>
      <c r="S1210" s="37" t="str">
        <f aca="false">IF($M1210="","",IFERROR(INDEX(Settings!$B$27:$B$36,MATCH(L1210,Settings!$A$27:$A$36,0))&amp;"","UNMAPPED"))</f>
        <v/>
      </c>
      <c r="T1210" s="37" t="str">
        <f aca="false">IF($M1210="","",IF(NOT(ISNUMBER(R1210)),"NO DATE",IF(S1210="Won",IF(R1210&gt;Settings!$B$5,"Backlog","Delivered"),IF(S1210="Open",IF(R1210&gt;Settings!$B$5,"Pipeline","Overdue"),IF(S1210="Lost","Lost","UNMAPPED")))))</f>
        <v/>
      </c>
      <c r="U1210" s="40" t="n">
        <f aca="false">IF(T1210="Backlog",1,IF(OR(T1210="Pipeline",T1210="Overdue"),N(INDEX(Settings!$C$27:$C$36,MATCH(L1210,Settings!$A$27:$A$36,0))),0))</f>
        <v>0</v>
      </c>
      <c r="V1210" s="38" t="n">
        <f aca="false">Q1210*U1210</f>
        <v>0</v>
      </c>
      <c r="W1210" s="41" t="str">
        <f aca="false">IF($M1210="","",IF(T1210="Overdue",IF(Settings!$B$8="Yes",Settings!$B$7,""),IF(ISNUMBER(R1210),DATE(YEAR(R1210),MONTH(R1210),1),"")))</f>
        <v/>
      </c>
      <c r="X1210" s="38" t="n">
        <f aca="false">IF(AND(OR(T1210="Backlog",T1210="Pipeline",T1210="Overdue"),ISNUMBER(W1210)),IF(W1210&lt;=Settings!$B$6,V1210,0),0)</f>
        <v>0</v>
      </c>
      <c r="Y1210" s="38" t="n">
        <f aca="false">IF(AND(OR(T1210="Backlog",T1210="Pipeline",T1210="Overdue"),ISNUMBER(W1210)),IF(W1210&lt;=Settings!$B$6,Q1210,0),0)</f>
        <v>0</v>
      </c>
      <c r="Z1210" s="38" t="n">
        <f aca="false">IF(Y1210=0,0,IF(T1210="Backlog",Q1210,Q1210*Dashboard!$C$10))</f>
        <v>0</v>
      </c>
      <c r="AA1210" s="37" t="n">
        <f aca="false">IF($N1210="",0,IF(COUNTIF(Dashboard!$C$13:$C$22,$N1210)&gt;0,1,0))</f>
        <v>0</v>
      </c>
      <c r="AB1210" s="37" t="str">
        <f aca="false">IF($N1210="","",IF(COUNTIF($N$8:$N1210,$N1210)=1,MAX($AB$7:$AB1209)+1,""))</f>
        <v/>
      </c>
    </row>
    <row r="1211" customFormat="false" ht="15" hidden="false" customHeight="false" outlineLevel="0" collapsed="false">
      <c r="L1211" s="37" t="str">
        <f aca="false">IF(INDEX($A1211:$J1211,$L$6)&lt;&gt;"",TRIM(LEFT(INDEX($A1211:$J1211,$L$6),FIND("(",INDEX($A1211:$J1211,$L$6)&amp;"(")-1)),L1210)</f>
        <v>Building Value Proposition</v>
      </c>
      <c r="M1211" s="37" t="str">
        <f aca="false">IF(INDEX($A1211:$J1211,$M$6)="","",INDEX($A1211:$J1211,$M$6)&amp;"")</f>
        <v/>
      </c>
      <c r="N1211" s="37" t="str">
        <f aca="false">IF($M1211="","",TRIM(INDEX($A1211:$J1211,$N$6)&amp;""))</f>
        <v/>
      </c>
      <c r="O1211" s="37" t="str">
        <f aca="false">IF($M1211="","",TRIM(INDEX($A1211:$J1211,$O$6)&amp;""))</f>
        <v/>
      </c>
      <c r="P1211" s="37" t="str">
        <f aca="false">IF($M1211="","",IFERROR(IF(INDEX(Settings!$B$41:$B$50,MATCH(O1211,Settings!$A$41:$A$50,0))&amp;""="","UNMAPPED",INDEX(Settings!$B$41:$B$50,MATCH(O1211,Settings!$A$41:$A$50,0))&amp;""),"UNMAPPED"))</f>
        <v/>
      </c>
      <c r="Q1211" s="38" t="n">
        <f aca="false">IF($M1211="",0,N(INDEX($A1211:$J1211,$Q$6)))</f>
        <v>0</v>
      </c>
      <c r="R1211" s="39" t="str">
        <f aca="false">IF($M1211="","",INDEX($A1211:$J1211,$R$6))</f>
        <v/>
      </c>
      <c r="S1211" s="37" t="str">
        <f aca="false">IF($M1211="","",IFERROR(INDEX(Settings!$B$27:$B$36,MATCH(L1211,Settings!$A$27:$A$36,0))&amp;"","UNMAPPED"))</f>
        <v/>
      </c>
      <c r="T1211" s="37" t="str">
        <f aca="false">IF($M1211="","",IF(NOT(ISNUMBER(R1211)),"NO DATE",IF(S1211="Won",IF(R1211&gt;Settings!$B$5,"Backlog","Delivered"),IF(S1211="Open",IF(R1211&gt;Settings!$B$5,"Pipeline","Overdue"),IF(S1211="Lost","Lost","UNMAPPED")))))</f>
        <v/>
      </c>
      <c r="U1211" s="40" t="n">
        <f aca="false">IF(T1211="Backlog",1,IF(OR(T1211="Pipeline",T1211="Overdue"),N(INDEX(Settings!$C$27:$C$36,MATCH(L1211,Settings!$A$27:$A$36,0))),0))</f>
        <v>0</v>
      </c>
      <c r="V1211" s="38" t="n">
        <f aca="false">Q1211*U1211</f>
        <v>0</v>
      </c>
      <c r="W1211" s="41" t="str">
        <f aca="false">IF($M1211="","",IF(T1211="Overdue",IF(Settings!$B$8="Yes",Settings!$B$7,""),IF(ISNUMBER(R1211),DATE(YEAR(R1211),MONTH(R1211),1),"")))</f>
        <v/>
      </c>
      <c r="X1211" s="38" t="n">
        <f aca="false">IF(AND(OR(T1211="Backlog",T1211="Pipeline",T1211="Overdue"),ISNUMBER(W1211)),IF(W1211&lt;=Settings!$B$6,V1211,0),0)</f>
        <v>0</v>
      </c>
      <c r="Y1211" s="38" t="n">
        <f aca="false">IF(AND(OR(T1211="Backlog",T1211="Pipeline",T1211="Overdue"),ISNUMBER(W1211)),IF(W1211&lt;=Settings!$B$6,Q1211,0),0)</f>
        <v>0</v>
      </c>
      <c r="Z1211" s="38" t="n">
        <f aca="false">IF(Y1211=0,0,IF(T1211="Backlog",Q1211,Q1211*Dashboard!$C$10))</f>
        <v>0</v>
      </c>
      <c r="AA1211" s="37" t="n">
        <f aca="false">IF($N1211="",0,IF(COUNTIF(Dashboard!$C$13:$C$22,$N1211)&gt;0,1,0))</f>
        <v>0</v>
      </c>
      <c r="AB1211" s="37" t="str">
        <f aca="false">IF($N1211="","",IF(COUNTIF($N$8:$N1211,$N1211)=1,MAX($AB$7:$AB1210)+1,""))</f>
        <v/>
      </c>
    </row>
    <row r="1212" customFormat="false" ht="15" hidden="false" customHeight="false" outlineLevel="0" collapsed="false">
      <c r="L1212" s="37" t="str">
        <f aca="false">IF(INDEX($A1212:$J1212,$L$6)&lt;&gt;"",TRIM(LEFT(INDEX($A1212:$J1212,$L$6),FIND("(",INDEX($A1212:$J1212,$L$6)&amp;"(")-1)),L1211)</f>
        <v>Building Value Proposition</v>
      </c>
      <c r="M1212" s="37" t="str">
        <f aca="false">IF(INDEX($A1212:$J1212,$M$6)="","",INDEX($A1212:$J1212,$M$6)&amp;"")</f>
        <v/>
      </c>
      <c r="N1212" s="37" t="str">
        <f aca="false">IF($M1212="","",TRIM(INDEX($A1212:$J1212,$N$6)&amp;""))</f>
        <v/>
      </c>
      <c r="O1212" s="37" t="str">
        <f aca="false">IF($M1212="","",TRIM(INDEX($A1212:$J1212,$O$6)&amp;""))</f>
        <v/>
      </c>
      <c r="P1212" s="37" t="str">
        <f aca="false">IF($M1212="","",IFERROR(IF(INDEX(Settings!$B$41:$B$50,MATCH(O1212,Settings!$A$41:$A$50,0))&amp;""="","UNMAPPED",INDEX(Settings!$B$41:$B$50,MATCH(O1212,Settings!$A$41:$A$50,0))&amp;""),"UNMAPPED"))</f>
        <v/>
      </c>
      <c r="Q1212" s="38" t="n">
        <f aca="false">IF($M1212="",0,N(INDEX($A1212:$J1212,$Q$6)))</f>
        <v>0</v>
      </c>
      <c r="R1212" s="39" t="str">
        <f aca="false">IF($M1212="","",INDEX($A1212:$J1212,$R$6))</f>
        <v/>
      </c>
      <c r="S1212" s="37" t="str">
        <f aca="false">IF($M1212="","",IFERROR(INDEX(Settings!$B$27:$B$36,MATCH(L1212,Settings!$A$27:$A$36,0))&amp;"","UNMAPPED"))</f>
        <v/>
      </c>
      <c r="T1212" s="37" t="str">
        <f aca="false">IF($M1212="","",IF(NOT(ISNUMBER(R1212)),"NO DATE",IF(S1212="Won",IF(R1212&gt;Settings!$B$5,"Backlog","Delivered"),IF(S1212="Open",IF(R1212&gt;Settings!$B$5,"Pipeline","Overdue"),IF(S1212="Lost","Lost","UNMAPPED")))))</f>
        <v/>
      </c>
      <c r="U1212" s="40" t="n">
        <f aca="false">IF(T1212="Backlog",1,IF(OR(T1212="Pipeline",T1212="Overdue"),N(INDEX(Settings!$C$27:$C$36,MATCH(L1212,Settings!$A$27:$A$36,0))),0))</f>
        <v>0</v>
      </c>
      <c r="V1212" s="38" t="n">
        <f aca="false">Q1212*U1212</f>
        <v>0</v>
      </c>
      <c r="W1212" s="41" t="str">
        <f aca="false">IF($M1212="","",IF(T1212="Overdue",IF(Settings!$B$8="Yes",Settings!$B$7,""),IF(ISNUMBER(R1212),DATE(YEAR(R1212),MONTH(R1212),1),"")))</f>
        <v/>
      </c>
      <c r="X1212" s="38" t="n">
        <f aca="false">IF(AND(OR(T1212="Backlog",T1212="Pipeline",T1212="Overdue"),ISNUMBER(W1212)),IF(W1212&lt;=Settings!$B$6,V1212,0),0)</f>
        <v>0</v>
      </c>
      <c r="Y1212" s="38" t="n">
        <f aca="false">IF(AND(OR(T1212="Backlog",T1212="Pipeline",T1212="Overdue"),ISNUMBER(W1212)),IF(W1212&lt;=Settings!$B$6,Q1212,0),0)</f>
        <v>0</v>
      </c>
      <c r="Z1212" s="38" t="n">
        <f aca="false">IF(Y1212=0,0,IF(T1212="Backlog",Q1212,Q1212*Dashboard!$C$10))</f>
        <v>0</v>
      </c>
      <c r="AA1212" s="37" t="n">
        <f aca="false">IF($N1212="",0,IF(COUNTIF(Dashboard!$C$13:$C$22,$N1212)&gt;0,1,0))</f>
        <v>0</v>
      </c>
      <c r="AB1212" s="37" t="str">
        <f aca="false">IF($N1212="","",IF(COUNTIF($N$8:$N1212,$N1212)=1,MAX($AB$7:$AB1211)+1,""))</f>
        <v/>
      </c>
    </row>
    <row r="1213" customFormat="false" ht="15" hidden="false" customHeight="false" outlineLevel="0" collapsed="false">
      <c r="L1213" s="37" t="str">
        <f aca="false">IF(INDEX($A1213:$J1213,$L$6)&lt;&gt;"",TRIM(LEFT(INDEX($A1213:$J1213,$L$6),FIND("(",INDEX($A1213:$J1213,$L$6)&amp;"(")-1)),L1212)</f>
        <v>Building Value Proposition</v>
      </c>
      <c r="M1213" s="37" t="str">
        <f aca="false">IF(INDEX($A1213:$J1213,$M$6)="","",INDEX($A1213:$J1213,$M$6)&amp;"")</f>
        <v/>
      </c>
      <c r="N1213" s="37" t="str">
        <f aca="false">IF($M1213="","",TRIM(INDEX($A1213:$J1213,$N$6)&amp;""))</f>
        <v/>
      </c>
      <c r="O1213" s="37" t="str">
        <f aca="false">IF($M1213="","",TRIM(INDEX($A1213:$J1213,$O$6)&amp;""))</f>
        <v/>
      </c>
      <c r="P1213" s="37" t="str">
        <f aca="false">IF($M1213="","",IFERROR(IF(INDEX(Settings!$B$41:$B$50,MATCH(O1213,Settings!$A$41:$A$50,0))&amp;""="","UNMAPPED",INDEX(Settings!$B$41:$B$50,MATCH(O1213,Settings!$A$41:$A$50,0))&amp;""),"UNMAPPED"))</f>
        <v/>
      </c>
      <c r="Q1213" s="38" t="n">
        <f aca="false">IF($M1213="",0,N(INDEX($A1213:$J1213,$Q$6)))</f>
        <v>0</v>
      </c>
      <c r="R1213" s="39" t="str">
        <f aca="false">IF($M1213="","",INDEX($A1213:$J1213,$R$6))</f>
        <v/>
      </c>
      <c r="S1213" s="37" t="str">
        <f aca="false">IF($M1213="","",IFERROR(INDEX(Settings!$B$27:$B$36,MATCH(L1213,Settings!$A$27:$A$36,0))&amp;"","UNMAPPED"))</f>
        <v/>
      </c>
      <c r="T1213" s="37" t="str">
        <f aca="false">IF($M1213="","",IF(NOT(ISNUMBER(R1213)),"NO DATE",IF(S1213="Won",IF(R1213&gt;Settings!$B$5,"Backlog","Delivered"),IF(S1213="Open",IF(R1213&gt;Settings!$B$5,"Pipeline","Overdue"),IF(S1213="Lost","Lost","UNMAPPED")))))</f>
        <v/>
      </c>
      <c r="U1213" s="40" t="n">
        <f aca="false">IF(T1213="Backlog",1,IF(OR(T1213="Pipeline",T1213="Overdue"),N(INDEX(Settings!$C$27:$C$36,MATCH(L1213,Settings!$A$27:$A$36,0))),0))</f>
        <v>0</v>
      </c>
      <c r="V1213" s="38" t="n">
        <f aca="false">Q1213*U1213</f>
        <v>0</v>
      </c>
      <c r="W1213" s="41" t="str">
        <f aca="false">IF($M1213="","",IF(T1213="Overdue",IF(Settings!$B$8="Yes",Settings!$B$7,""),IF(ISNUMBER(R1213),DATE(YEAR(R1213),MONTH(R1213),1),"")))</f>
        <v/>
      </c>
      <c r="X1213" s="38" t="n">
        <f aca="false">IF(AND(OR(T1213="Backlog",T1213="Pipeline",T1213="Overdue"),ISNUMBER(W1213)),IF(W1213&lt;=Settings!$B$6,V1213,0),0)</f>
        <v>0</v>
      </c>
      <c r="Y1213" s="38" t="n">
        <f aca="false">IF(AND(OR(T1213="Backlog",T1213="Pipeline",T1213="Overdue"),ISNUMBER(W1213)),IF(W1213&lt;=Settings!$B$6,Q1213,0),0)</f>
        <v>0</v>
      </c>
      <c r="Z1213" s="38" t="n">
        <f aca="false">IF(Y1213=0,0,IF(T1213="Backlog",Q1213,Q1213*Dashboard!$C$10))</f>
        <v>0</v>
      </c>
      <c r="AA1213" s="37" t="n">
        <f aca="false">IF($N1213="",0,IF(COUNTIF(Dashboard!$C$13:$C$22,$N1213)&gt;0,1,0))</f>
        <v>0</v>
      </c>
      <c r="AB1213" s="37" t="str">
        <f aca="false">IF($N1213="","",IF(COUNTIF($N$8:$N1213,$N1213)=1,MAX($AB$7:$AB1212)+1,""))</f>
        <v/>
      </c>
    </row>
    <row r="1214" customFormat="false" ht="15" hidden="false" customHeight="false" outlineLevel="0" collapsed="false">
      <c r="L1214" s="37" t="str">
        <f aca="false">IF(INDEX($A1214:$J1214,$L$6)&lt;&gt;"",TRIM(LEFT(INDEX($A1214:$J1214,$L$6),FIND("(",INDEX($A1214:$J1214,$L$6)&amp;"(")-1)),L1213)</f>
        <v>Building Value Proposition</v>
      </c>
      <c r="M1214" s="37" t="str">
        <f aca="false">IF(INDEX($A1214:$J1214,$M$6)="","",INDEX($A1214:$J1214,$M$6)&amp;"")</f>
        <v/>
      </c>
      <c r="N1214" s="37" t="str">
        <f aca="false">IF($M1214="","",TRIM(INDEX($A1214:$J1214,$N$6)&amp;""))</f>
        <v/>
      </c>
      <c r="O1214" s="37" t="str">
        <f aca="false">IF($M1214="","",TRIM(INDEX($A1214:$J1214,$O$6)&amp;""))</f>
        <v/>
      </c>
      <c r="P1214" s="37" t="str">
        <f aca="false">IF($M1214="","",IFERROR(IF(INDEX(Settings!$B$41:$B$50,MATCH(O1214,Settings!$A$41:$A$50,0))&amp;""="","UNMAPPED",INDEX(Settings!$B$41:$B$50,MATCH(O1214,Settings!$A$41:$A$50,0))&amp;""),"UNMAPPED"))</f>
        <v/>
      </c>
      <c r="Q1214" s="38" t="n">
        <f aca="false">IF($M1214="",0,N(INDEX($A1214:$J1214,$Q$6)))</f>
        <v>0</v>
      </c>
      <c r="R1214" s="39" t="str">
        <f aca="false">IF($M1214="","",INDEX($A1214:$J1214,$R$6))</f>
        <v/>
      </c>
      <c r="S1214" s="37" t="str">
        <f aca="false">IF($M1214="","",IFERROR(INDEX(Settings!$B$27:$B$36,MATCH(L1214,Settings!$A$27:$A$36,0))&amp;"","UNMAPPED"))</f>
        <v/>
      </c>
      <c r="T1214" s="37" t="str">
        <f aca="false">IF($M1214="","",IF(NOT(ISNUMBER(R1214)),"NO DATE",IF(S1214="Won",IF(R1214&gt;Settings!$B$5,"Backlog","Delivered"),IF(S1214="Open",IF(R1214&gt;Settings!$B$5,"Pipeline","Overdue"),IF(S1214="Lost","Lost","UNMAPPED")))))</f>
        <v/>
      </c>
      <c r="U1214" s="40" t="n">
        <f aca="false">IF(T1214="Backlog",1,IF(OR(T1214="Pipeline",T1214="Overdue"),N(INDEX(Settings!$C$27:$C$36,MATCH(L1214,Settings!$A$27:$A$36,0))),0))</f>
        <v>0</v>
      </c>
      <c r="V1214" s="38" t="n">
        <f aca="false">Q1214*U1214</f>
        <v>0</v>
      </c>
      <c r="W1214" s="41" t="str">
        <f aca="false">IF($M1214="","",IF(T1214="Overdue",IF(Settings!$B$8="Yes",Settings!$B$7,""),IF(ISNUMBER(R1214),DATE(YEAR(R1214),MONTH(R1214),1),"")))</f>
        <v/>
      </c>
      <c r="X1214" s="38" t="n">
        <f aca="false">IF(AND(OR(T1214="Backlog",T1214="Pipeline",T1214="Overdue"),ISNUMBER(W1214)),IF(W1214&lt;=Settings!$B$6,V1214,0),0)</f>
        <v>0</v>
      </c>
      <c r="Y1214" s="38" t="n">
        <f aca="false">IF(AND(OR(T1214="Backlog",T1214="Pipeline",T1214="Overdue"),ISNUMBER(W1214)),IF(W1214&lt;=Settings!$B$6,Q1214,0),0)</f>
        <v>0</v>
      </c>
      <c r="Z1214" s="38" t="n">
        <f aca="false">IF(Y1214=0,0,IF(T1214="Backlog",Q1214,Q1214*Dashboard!$C$10))</f>
        <v>0</v>
      </c>
      <c r="AA1214" s="37" t="n">
        <f aca="false">IF($N1214="",0,IF(COUNTIF(Dashboard!$C$13:$C$22,$N1214)&gt;0,1,0))</f>
        <v>0</v>
      </c>
      <c r="AB1214" s="37" t="str">
        <f aca="false">IF($N1214="","",IF(COUNTIF($N$8:$N1214,$N1214)=1,MAX($AB$7:$AB1213)+1,""))</f>
        <v/>
      </c>
    </row>
    <row r="1215" customFormat="false" ht="15" hidden="false" customHeight="false" outlineLevel="0" collapsed="false">
      <c r="L1215" s="37" t="str">
        <f aca="false">IF(INDEX($A1215:$J1215,$L$6)&lt;&gt;"",TRIM(LEFT(INDEX($A1215:$J1215,$L$6),FIND("(",INDEX($A1215:$J1215,$L$6)&amp;"(")-1)),L1214)</f>
        <v>Building Value Proposition</v>
      </c>
      <c r="M1215" s="37" t="str">
        <f aca="false">IF(INDEX($A1215:$J1215,$M$6)="","",INDEX($A1215:$J1215,$M$6)&amp;"")</f>
        <v/>
      </c>
      <c r="N1215" s="37" t="str">
        <f aca="false">IF($M1215="","",TRIM(INDEX($A1215:$J1215,$N$6)&amp;""))</f>
        <v/>
      </c>
      <c r="O1215" s="37" t="str">
        <f aca="false">IF($M1215="","",TRIM(INDEX($A1215:$J1215,$O$6)&amp;""))</f>
        <v/>
      </c>
      <c r="P1215" s="37" t="str">
        <f aca="false">IF($M1215="","",IFERROR(IF(INDEX(Settings!$B$41:$B$50,MATCH(O1215,Settings!$A$41:$A$50,0))&amp;""="","UNMAPPED",INDEX(Settings!$B$41:$B$50,MATCH(O1215,Settings!$A$41:$A$50,0))&amp;""),"UNMAPPED"))</f>
        <v/>
      </c>
      <c r="Q1215" s="38" t="n">
        <f aca="false">IF($M1215="",0,N(INDEX($A1215:$J1215,$Q$6)))</f>
        <v>0</v>
      </c>
      <c r="R1215" s="39" t="str">
        <f aca="false">IF($M1215="","",INDEX($A1215:$J1215,$R$6))</f>
        <v/>
      </c>
      <c r="S1215" s="37" t="str">
        <f aca="false">IF($M1215="","",IFERROR(INDEX(Settings!$B$27:$B$36,MATCH(L1215,Settings!$A$27:$A$36,0))&amp;"","UNMAPPED"))</f>
        <v/>
      </c>
      <c r="T1215" s="37" t="str">
        <f aca="false">IF($M1215="","",IF(NOT(ISNUMBER(R1215)),"NO DATE",IF(S1215="Won",IF(R1215&gt;Settings!$B$5,"Backlog","Delivered"),IF(S1215="Open",IF(R1215&gt;Settings!$B$5,"Pipeline","Overdue"),IF(S1215="Lost","Lost","UNMAPPED")))))</f>
        <v/>
      </c>
      <c r="U1215" s="40" t="n">
        <f aca="false">IF(T1215="Backlog",1,IF(OR(T1215="Pipeline",T1215="Overdue"),N(INDEX(Settings!$C$27:$C$36,MATCH(L1215,Settings!$A$27:$A$36,0))),0))</f>
        <v>0</v>
      </c>
      <c r="V1215" s="38" t="n">
        <f aca="false">Q1215*U1215</f>
        <v>0</v>
      </c>
      <c r="W1215" s="41" t="str">
        <f aca="false">IF($M1215="","",IF(T1215="Overdue",IF(Settings!$B$8="Yes",Settings!$B$7,""),IF(ISNUMBER(R1215),DATE(YEAR(R1215),MONTH(R1215),1),"")))</f>
        <v/>
      </c>
      <c r="X1215" s="38" t="n">
        <f aca="false">IF(AND(OR(T1215="Backlog",T1215="Pipeline",T1215="Overdue"),ISNUMBER(W1215)),IF(W1215&lt;=Settings!$B$6,V1215,0),0)</f>
        <v>0</v>
      </c>
      <c r="Y1215" s="38" t="n">
        <f aca="false">IF(AND(OR(T1215="Backlog",T1215="Pipeline",T1215="Overdue"),ISNUMBER(W1215)),IF(W1215&lt;=Settings!$B$6,Q1215,0),0)</f>
        <v>0</v>
      </c>
      <c r="Z1215" s="38" t="n">
        <f aca="false">IF(Y1215=0,0,IF(T1215="Backlog",Q1215,Q1215*Dashboard!$C$10))</f>
        <v>0</v>
      </c>
      <c r="AA1215" s="37" t="n">
        <f aca="false">IF($N1215="",0,IF(COUNTIF(Dashboard!$C$13:$C$22,$N1215)&gt;0,1,0))</f>
        <v>0</v>
      </c>
      <c r="AB1215" s="37" t="str">
        <f aca="false">IF($N1215="","",IF(COUNTIF($N$8:$N1215,$N1215)=1,MAX($AB$7:$AB1214)+1,""))</f>
        <v/>
      </c>
    </row>
    <row r="1216" customFormat="false" ht="15" hidden="false" customHeight="false" outlineLevel="0" collapsed="false">
      <c r="L1216" s="37" t="str">
        <f aca="false">IF(INDEX($A1216:$J1216,$L$6)&lt;&gt;"",TRIM(LEFT(INDEX($A1216:$J1216,$L$6),FIND("(",INDEX($A1216:$J1216,$L$6)&amp;"(")-1)),L1215)</f>
        <v>Building Value Proposition</v>
      </c>
      <c r="M1216" s="37" t="str">
        <f aca="false">IF(INDEX($A1216:$J1216,$M$6)="","",INDEX($A1216:$J1216,$M$6)&amp;"")</f>
        <v/>
      </c>
      <c r="N1216" s="37" t="str">
        <f aca="false">IF($M1216="","",TRIM(INDEX($A1216:$J1216,$N$6)&amp;""))</f>
        <v/>
      </c>
      <c r="O1216" s="37" t="str">
        <f aca="false">IF($M1216="","",TRIM(INDEX($A1216:$J1216,$O$6)&amp;""))</f>
        <v/>
      </c>
      <c r="P1216" s="37" t="str">
        <f aca="false">IF($M1216="","",IFERROR(IF(INDEX(Settings!$B$41:$B$50,MATCH(O1216,Settings!$A$41:$A$50,0))&amp;""="","UNMAPPED",INDEX(Settings!$B$41:$B$50,MATCH(O1216,Settings!$A$41:$A$50,0))&amp;""),"UNMAPPED"))</f>
        <v/>
      </c>
      <c r="Q1216" s="38" t="n">
        <f aca="false">IF($M1216="",0,N(INDEX($A1216:$J1216,$Q$6)))</f>
        <v>0</v>
      </c>
      <c r="R1216" s="39" t="str">
        <f aca="false">IF($M1216="","",INDEX($A1216:$J1216,$R$6))</f>
        <v/>
      </c>
      <c r="S1216" s="37" t="str">
        <f aca="false">IF($M1216="","",IFERROR(INDEX(Settings!$B$27:$B$36,MATCH(L1216,Settings!$A$27:$A$36,0))&amp;"","UNMAPPED"))</f>
        <v/>
      </c>
      <c r="T1216" s="37" t="str">
        <f aca="false">IF($M1216="","",IF(NOT(ISNUMBER(R1216)),"NO DATE",IF(S1216="Won",IF(R1216&gt;Settings!$B$5,"Backlog","Delivered"),IF(S1216="Open",IF(R1216&gt;Settings!$B$5,"Pipeline","Overdue"),IF(S1216="Lost","Lost","UNMAPPED")))))</f>
        <v/>
      </c>
      <c r="U1216" s="40" t="n">
        <f aca="false">IF(T1216="Backlog",1,IF(OR(T1216="Pipeline",T1216="Overdue"),N(INDEX(Settings!$C$27:$C$36,MATCH(L1216,Settings!$A$27:$A$36,0))),0))</f>
        <v>0</v>
      </c>
      <c r="V1216" s="38" t="n">
        <f aca="false">Q1216*U1216</f>
        <v>0</v>
      </c>
      <c r="W1216" s="41" t="str">
        <f aca="false">IF($M1216="","",IF(T1216="Overdue",IF(Settings!$B$8="Yes",Settings!$B$7,""),IF(ISNUMBER(R1216),DATE(YEAR(R1216),MONTH(R1216),1),"")))</f>
        <v/>
      </c>
      <c r="X1216" s="38" t="n">
        <f aca="false">IF(AND(OR(T1216="Backlog",T1216="Pipeline",T1216="Overdue"),ISNUMBER(W1216)),IF(W1216&lt;=Settings!$B$6,V1216,0),0)</f>
        <v>0</v>
      </c>
      <c r="Y1216" s="38" t="n">
        <f aca="false">IF(AND(OR(T1216="Backlog",T1216="Pipeline",T1216="Overdue"),ISNUMBER(W1216)),IF(W1216&lt;=Settings!$B$6,Q1216,0),0)</f>
        <v>0</v>
      </c>
      <c r="Z1216" s="38" t="n">
        <f aca="false">IF(Y1216=0,0,IF(T1216="Backlog",Q1216,Q1216*Dashboard!$C$10))</f>
        <v>0</v>
      </c>
      <c r="AA1216" s="37" t="n">
        <f aca="false">IF($N1216="",0,IF(COUNTIF(Dashboard!$C$13:$C$22,$N1216)&gt;0,1,0))</f>
        <v>0</v>
      </c>
      <c r="AB1216" s="37" t="str">
        <f aca="false">IF($N1216="","",IF(COUNTIF($N$8:$N1216,$N1216)=1,MAX($AB$7:$AB1215)+1,""))</f>
        <v/>
      </c>
    </row>
    <row r="1217" customFormat="false" ht="15" hidden="false" customHeight="false" outlineLevel="0" collapsed="false">
      <c r="L1217" s="37" t="str">
        <f aca="false">IF(INDEX($A1217:$J1217,$L$6)&lt;&gt;"",TRIM(LEFT(INDEX($A1217:$J1217,$L$6),FIND("(",INDEX($A1217:$J1217,$L$6)&amp;"(")-1)),L1216)</f>
        <v>Building Value Proposition</v>
      </c>
      <c r="M1217" s="37" t="str">
        <f aca="false">IF(INDEX($A1217:$J1217,$M$6)="","",INDEX($A1217:$J1217,$M$6)&amp;"")</f>
        <v/>
      </c>
      <c r="N1217" s="37" t="str">
        <f aca="false">IF($M1217="","",TRIM(INDEX($A1217:$J1217,$N$6)&amp;""))</f>
        <v/>
      </c>
      <c r="O1217" s="37" t="str">
        <f aca="false">IF($M1217="","",TRIM(INDEX($A1217:$J1217,$O$6)&amp;""))</f>
        <v/>
      </c>
      <c r="P1217" s="37" t="str">
        <f aca="false">IF($M1217="","",IFERROR(IF(INDEX(Settings!$B$41:$B$50,MATCH(O1217,Settings!$A$41:$A$50,0))&amp;""="","UNMAPPED",INDEX(Settings!$B$41:$B$50,MATCH(O1217,Settings!$A$41:$A$50,0))&amp;""),"UNMAPPED"))</f>
        <v/>
      </c>
      <c r="Q1217" s="38" t="n">
        <f aca="false">IF($M1217="",0,N(INDEX($A1217:$J1217,$Q$6)))</f>
        <v>0</v>
      </c>
      <c r="R1217" s="39" t="str">
        <f aca="false">IF($M1217="","",INDEX($A1217:$J1217,$R$6))</f>
        <v/>
      </c>
      <c r="S1217" s="37" t="str">
        <f aca="false">IF($M1217="","",IFERROR(INDEX(Settings!$B$27:$B$36,MATCH(L1217,Settings!$A$27:$A$36,0))&amp;"","UNMAPPED"))</f>
        <v/>
      </c>
      <c r="T1217" s="37" t="str">
        <f aca="false">IF($M1217="","",IF(NOT(ISNUMBER(R1217)),"NO DATE",IF(S1217="Won",IF(R1217&gt;Settings!$B$5,"Backlog","Delivered"),IF(S1217="Open",IF(R1217&gt;Settings!$B$5,"Pipeline","Overdue"),IF(S1217="Lost","Lost","UNMAPPED")))))</f>
        <v/>
      </c>
      <c r="U1217" s="40" t="n">
        <f aca="false">IF(T1217="Backlog",1,IF(OR(T1217="Pipeline",T1217="Overdue"),N(INDEX(Settings!$C$27:$C$36,MATCH(L1217,Settings!$A$27:$A$36,0))),0))</f>
        <v>0</v>
      </c>
      <c r="V1217" s="38" t="n">
        <f aca="false">Q1217*U1217</f>
        <v>0</v>
      </c>
      <c r="W1217" s="41" t="str">
        <f aca="false">IF($M1217="","",IF(T1217="Overdue",IF(Settings!$B$8="Yes",Settings!$B$7,""),IF(ISNUMBER(R1217),DATE(YEAR(R1217),MONTH(R1217),1),"")))</f>
        <v/>
      </c>
      <c r="X1217" s="38" t="n">
        <f aca="false">IF(AND(OR(T1217="Backlog",T1217="Pipeline",T1217="Overdue"),ISNUMBER(W1217)),IF(W1217&lt;=Settings!$B$6,V1217,0),0)</f>
        <v>0</v>
      </c>
      <c r="Y1217" s="38" t="n">
        <f aca="false">IF(AND(OR(T1217="Backlog",T1217="Pipeline",T1217="Overdue"),ISNUMBER(W1217)),IF(W1217&lt;=Settings!$B$6,Q1217,0),0)</f>
        <v>0</v>
      </c>
      <c r="Z1217" s="38" t="n">
        <f aca="false">IF(Y1217=0,0,IF(T1217="Backlog",Q1217,Q1217*Dashboard!$C$10))</f>
        <v>0</v>
      </c>
      <c r="AA1217" s="37" t="n">
        <f aca="false">IF($N1217="",0,IF(COUNTIF(Dashboard!$C$13:$C$22,$N1217)&gt;0,1,0))</f>
        <v>0</v>
      </c>
      <c r="AB1217" s="37" t="str">
        <f aca="false">IF($N1217="","",IF(COUNTIF($N$8:$N1217,$N1217)=1,MAX($AB$7:$AB1216)+1,""))</f>
        <v/>
      </c>
    </row>
    <row r="1218" customFormat="false" ht="15" hidden="false" customHeight="false" outlineLevel="0" collapsed="false">
      <c r="L1218" s="37" t="str">
        <f aca="false">IF(INDEX($A1218:$J1218,$L$6)&lt;&gt;"",TRIM(LEFT(INDEX($A1218:$J1218,$L$6),FIND("(",INDEX($A1218:$J1218,$L$6)&amp;"(")-1)),L1217)</f>
        <v>Building Value Proposition</v>
      </c>
      <c r="M1218" s="37" t="str">
        <f aca="false">IF(INDEX($A1218:$J1218,$M$6)="","",INDEX($A1218:$J1218,$M$6)&amp;"")</f>
        <v/>
      </c>
      <c r="N1218" s="37" t="str">
        <f aca="false">IF($M1218="","",TRIM(INDEX($A1218:$J1218,$N$6)&amp;""))</f>
        <v/>
      </c>
      <c r="O1218" s="37" t="str">
        <f aca="false">IF($M1218="","",TRIM(INDEX($A1218:$J1218,$O$6)&amp;""))</f>
        <v/>
      </c>
      <c r="P1218" s="37" t="str">
        <f aca="false">IF($M1218="","",IFERROR(IF(INDEX(Settings!$B$41:$B$50,MATCH(O1218,Settings!$A$41:$A$50,0))&amp;""="","UNMAPPED",INDEX(Settings!$B$41:$B$50,MATCH(O1218,Settings!$A$41:$A$50,0))&amp;""),"UNMAPPED"))</f>
        <v/>
      </c>
      <c r="Q1218" s="38" t="n">
        <f aca="false">IF($M1218="",0,N(INDEX($A1218:$J1218,$Q$6)))</f>
        <v>0</v>
      </c>
      <c r="R1218" s="39" t="str">
        <f aca="false">IF($M1218="","",INDEX($A1218:$J1218,$R$6))</f>
        <v/>
      </c>
      <c r="S1218" s="37" t="str">
        <f aca="false">IF($M1218="","",IFERROR(INDEX(Settings!$B$27:$B$36,MATCH(L1218,Settings!$A$27:$A$36,0))&amp;"","UNMAPPED"))</f>
        <v/>
      </c>
      <c r="T1218" s="37" t="str">
        <f aca="false">IF($M1218="","",IF(NOT(ISNUMBER(R1218)),"NO DATE",IF(S1218="Won",IF(R1218&gt;Settings!$B$5,"Backlog","Delivered"),IF(S1218="Open",IF(R1218&gt;Settings!$B$5,"Pipeline","Overdue"),IF(S1218="Lost","Lost","UNMAPPED")))))</f>
        <v/>
      </c>
      <c r="U1218" s="40" t="n">
        <f aca="false">IF(T1218="Backlog",1,IF(OR(T1218="Pipeline",T1218="Overdue"),N(INDEX(Settings!$C$27:$C$36,MATCH(L1218,Settings!$A$27:$A$36,0))),0))</f>
        <v>0</v>
      </c>
      <c r="V1218" s="38" t="n">
        <f aca="false">Q1218*U1218</f>
        <v>0</v>
      </c>
      <c r="W1218" s="41" t="str">
        <f aca="false">IF($M1218="","",IF(T1218="Overdue",IF(Settings!$B$8="Yes",Settings!$B$7,""),IF(ISNUMBER(R1218),DATE(YEAR(R1218),MONTH(R1218),1),"")))</f>
        <v/>
      </c>
      <c r="X1218" s="38" t="n">
        <f aca="false">IF(AND(OR(T1218="Backlog",T1218="Pipeline",T1218="Overdue"),ISNUMBER(W1218)),IF(W1218&lt;=Settings!$B$6,V1218,0),0)</f>
        <v>0</v>
      </c>
      <c r="Y1218" s="38" t="n">
        <f aca="false">IF(AND(OR(T1218="Backlog",T1218="Pipeline",T1218="Overdue"),ISNUMBER(W1218)),IF(W1218&lt;=Settings!$B$6,Q1218,0),0)</f>
        <v>0</v>
      </c>
      <c r="Z1218" s="38" t="n">
        <f aca="false">IF(Y1218=0,0,IF(T1218="Backlog",Q1218,Q1218*Dashboard!$C$10))</f>
        <v>0</v>
      </c>
      <c r="AA1218" s="37" t="n">
        <f aca="false">IF($N1218="",0,IF(COUNTIF(Dashboard!$C$13:$C$22,$N1218)&gt;0,1,0))</f>
        <v>0</v>
      </c>
      <c r="AB1218" s="37" t="str">
        <f aca="false">IF($N1218="","",IF(COUNTIF($N$8:$N1218,$N1218)=1,MAX($AB$7:$AB1217)+1,""))</f>
        <v/>
      </c>
    </row>
    <row r="1219" customFormat="false" ht="15" hidden="false" customHeight="false" outlineLevel="0" collapsed="false">
      <c r="L1219" s="37" t="str">
        <f aca="false">IF(INDEX($A1219:$J1219,$L$6)&lt;&gt;"",TRIM(LEFT(INDEX($A1219:$J1219,$L$6),FIND("(",INDEX($A1219:$J1219,$L$6)&amp;"(")-1)),L1218)</f>
        <v>Building Value Proposition</v>
      </c>
      <c r="M1219" s="37" t="str">
        <f aca="false">IF(INDEX($A1219:$J1219,$M$6)="","",INDEX($A1219:$J1219,$M$6)&amp;"")</f>
        <v/>
      </c>
      <c r="N1219" s="37" t="str">
        <f aca="false">IF($M1219="","",TRIM(INDEX($A1219:$J1219,$N$6)&amp;""))</f>
        <v/>
      </c>
      <c r="O1219" s="37" t="str">
        <f aca="false">IF($M1219="","",TRIM(INDEX($A1219:$J1219,$O$6)&amp;""))</f>
        <v/>
      </c>
      <c r="P1219" s="37" t="str">
        <f aca="false">IF($M1219="","",IFERROR(IF(INDEX(Settings!$B$41:$B$50,MATCH(O1219,Settings!$A$41:$A$50,0))&amp;""="","UNMAPPED",INDEX(Settings!$B$41:$B$50,MATCH(O1219,Settings!$A$41:$A$50,0))&amp;""),"UNMAPPED"))</f>
        <v/>
      </c>
      <c r="Q1219" s="38" t="n">
        <f aca="false">IF($M1219="",0,N(INDEX($A1219:$J1219,$Q$6)))</f>
        <v>0</v>
      </c>
      <c r="R1219" s="39" t="str">
        <f aca="false">IF($M1219="","",INDEX($A1219:$J1219,$R$6))</f>
        <v/>
      </c>
      <c r="S1219" s="37" t="str">
        <f aca="false">IF($M1219="","",IFERROR(INDEX(Settings!$B$27:$B$36,MATCH(L1219,Settings!$A$27:$A$36,0))&amp;"","UNMAPPED"))</f>
        <v/>
      </c>
      <c r="T1219" s="37" t="str">
        <f aca="false">IF($M1219="","",IF(NOT(ISNUMBER(R1219)),"NO DATE",IF(S1219="Won",IF(R1219&gt;Settings!$B$5,"Backlog","Delivered"),IF(S1219="Open",IF(R1219&gt;Settings!$B$5,"Pipeline","Overdue"),IF(S1219="Lost","Lost","UNMAPPED")))))</f>
        <v/>
      </c>
      <c r="U1219" s="40" t="n">
        <f aca="false">IF(T1219="Backlog",1,IF(OR(T1219="Pipeline",T1219="Overdue"),N(INDEX(Settings!$C$27:$C$36,MATCH(L1219,Settings!$A$27:$A$36,0))),0))</f>
        <v>0</v>
      </c>
      <c r="V1219" s="38" t="n">
        <f aca="false">Q1219*U1219</f>
        <v>0</v>
      </c>
      <c r="W1219" s="41" t="str">
        <f aca="false">IF($M1219="","",IF(T1219="Overdue",IF(Settings!$B$8="Yes",Settings!$B$7,""),IF(ISNUMBER(R1219),DATE(YEAR(R1219),MONTH(R1219),1),"")))</f>
        <v/>
      </c>
      <c r="X1219" s="38" t="n">
        <f aca="false">IF(AND(OR(T1219="Backlog",T1219="Pipeline",T1219="Overdue"),ISNUMBER(W1219)),IF(W1219&lt;=Settings!$B$6,V1219,0),0)</f>
        <v>0</v>
      </c>
      <c r="Y1219" s="38" t="n">
        <f aca="false">IF(AND(OR(T1219="Backlog",T1219="Pipeline",T1219="Overdue"),ISNUMBER(W1219)),IF(W1219&lt;=Settings!$B$6,Q1219,0),0)</f>
        <v>0</v>
      </c>
      <c r="Z1219" s="38" t="n">
        <f aca="false">IF(Y1219=0,0,IF(T1219="Backlog",Q1219,Q1219*Dashboard!$C$10))</f>
        <v>0</v>
      </c>
      <c r="AA1219" s="37" t="n">
        <f aca="false">IF($N1219="",0,IF(COUNTIF(Dashboard!$C$13:$C$22,$N1219)&gt;0,1,0))</f>
        <v>0</v>
      </c>
      <c r="AB1219" s="37" t="str">
        <f aca="false">IF($N1219="","",IF(COUNTIF($N$8:$N1219,$N1219)=1,MAX($AB$7:$AB1218)+1,""))</f>
        <v/>
      </c>
    </row>
    <row r="1220" customFormat="false" ht="15" hidden="false" customHeight="false" outlineLevel="0" collapsed="false">
      <c r="L1220" s="37" t="str">
        <f aca="false">IF(INDEX($A1220:$J1220,$L$6)&lt;&gt;"",TRIM(LEFT(INDEX($A1220:$J1220,$L$6),FIND("(",INDEX($A1220:$J1220,$L$6)&amp;"(")-1)),L1219)</f>
        <v>Building Value Proposition</v>
      </c>
      <c r="M1220" s="37" t="str">
        <f aca="false">IF(INDEX($A1220:$J1220,$M$6)="","",INDEX($A1220:$J1220,$M$6)&amp;"")</f>
        <v/>
      </c>
      <c r="N1220" s="37" t="str">
        <f aca="false">IF($M1220="","",TRIM(INDEX($A1220:$J1220,$N$6)&amp;""))</f>
        <v/>
      </c>
      <c r="O1220" s="37" t="str">
        <f aca="false">IF($M1220="","",TRIM(INDEX($A1220:$J1220,$O$6)&amp;""))</f>
        <v/>
      </c>
      <c r="P1220" s="37" t="str">
        <f aca="false">IF($M1220="","",IFERROR(IF(INDEX(Settings!$B$41:$B$50,MATCH(O1220,Settings!$A$41:$A$50,0))&amp;""="","UNMAPPED",INDEX(Settings!$B$41:$B$50,MATCH(O1220,Settings!$A$41:$A$50,0))&amp;""),"UNMAPPED"))</f>
        <v/>
      </c>
      <c r="Q1220" s="38" t="n">
        <f aca="false">IF($M1220="",0,N(INDEX($A1220:$J1220,$Q$6)))</f>
        <v>0</v>
      </c>
      <c r="R1220" s="39" t="str">
        <f aca="false">IF($M1220="","",INDEX($A1220:$J1220,$R$6))</f>
        <v/>
      </c>
      <c r="S1220" s="37" t="str">
        <f aca="false">IF($M1220="","",IFERROR(INDEX(Settings!$B$27:$B$36,MATCH(L1220,Settings!$A$27:$A$36,0))&amp;"","UNMAPPED"))</f>
        <v/>
      </c>
      <c r="T1220" s="37" t="str">
        <f aca="false">IF($M1220="","",IF(NOT(ISNUMBER(R1220)),"NO DATE",IF(S1220="Won",IF(R1220&gt;Settings!$B$5,"Backlog","Delivered"),IF(S1220="Open",IF(R1220&gt;Settings!$B$5,"Pipeline","Overdue"),IF(S1220="Lost","Lost","UNMAPPED")))))</f>
        <v/>
      </c>
      <c r="U1220" s="40" t="n">
        <f aca="false">IF(T1220="Backlog",1,IF(OR(T1220="Pipeline",T1220="Overdue"),N(INDEX(Settings!$C$27:$C$36,MATCH(L1220,Settings!$A$27:$A$36,0))),0))</f>
        <v>0</v>
      </c>
      <c r="V1220" s="38" t="n">
        <f aca="false">Q1220*U1220</f>
        <v>0</v>
      </c>
      <c r="W1220" s="41" t="str">
        <f aca="false">IF($M1220="","",IF(T1220="Overdue",IF(Settings!$B$8="Yes",Settings!$B$7,""),IF(ISNUMBER(R1220),DATE(YEAR(R1220),MONTH(R1220),1),"")))</f>
        <v/>
      </c>
      <c r="X1220" s="38" t="n">
        <f aca="false">IF(AND(OR(T1220="Backlog",T1220="Pipeline",T1220="Overdue"),ISNUMBER(W1220)),IF(W1220&lt;=Settings!$B$6,V1220,0),0)</f>
        <v>0</v>
      </c>
      <c r="Y1220" s="38" t="n">
        <f aca="false">IF(AND(OR(T1220="Backlog",T1220="Pipeline",T1220="Overdue"),ISNUMBER(W1220)),IF(W1220&lt;=Settings!$B$6,Q1220,0),0)</f>
        <v>0</v>
      </c>
      <c r="Z1220" s="38" t="n">
        <f aca="false">IF(Y1220=0,0,IF(T1220="Backlog",Q1220,Q1220*Dashboard!$C$10))</f>
        <v>0</v>
      </c>
      <c r="AA1220" s="37" t="n">
        <f aca="false">IF($N1220="",0,IF(COUNTIF(Dashboard!$C$13:$C$22,$N1220)&gt;0,1,0))</f>
        <v>0</v>
      </c>
      <c r="AB1220" s="37" t="str">
        <f aca="false">IF($N1220="","",IF(COUNTIF($N$8:$N1220,$N1220)=1,MAX($AB$7:$AB1219)+1,""))</f>
        <v/>
      </c>
    </row>
    <row r="1221" customFormat="false" ht="15" hidden="false" customHeight="false" outlineLevel="0" collapsed="false">
      <c r="L1221" s="37" t="str">
        <f aca="false">IF(INDEX($A1221:$J1221,$L$6)&lt;&gt;"",TRIM(LEFT(INDEX($A1221:$J1221,$L$6),FIND("(",INDEX($A1221:$J1221,$L$6)&amp;"(")-1)),L1220)</f>
        <v>Building Value Proposition</v>
      </c>
      <c r="M1221" s="37" t="str">
        <f aca="false">IF(INDEX($A1221:$J1221,$M$6)="","",INDEX($A1221:$J1221,$M$6)&amp;"")</f>
        <v/>
      </c>
      <c r="N1221" s="37" t="str">
        <f aca="false">IF($M1221="","",TRIM(INDEX($A1221:$J1221,$N$6)&amp;""))</f>
        <v/>
      </c>
      <c r="O1221" s="37" t="str">
        <f aca="false">IF($M1221="","",TRIM(INDEX($A1221:$J1221,$O$6)&amp;""))</f>
        <v/>
      </c>
      <c r="P1221" s="37" t="str">
        <f aca="false">IF($M1221="","",IFERROR(IF(INDEX(Settings!$B$41:$B$50,MATCH(O1221,Settings!$A$41:$A$50,0))&amp;""="","UNMAPPED",INDEX(Settings!$B$41:$B$50,MATCH(O1221,Settings!$A$41:$A$50,0))&amp;""),"UNMAPPED"))</f>
        <v/>
      </c>
      <c r="Q1221" s="38" t="n">
        <f aca="false">IF($M1221="",0,N(INDEX($A1221:$J1221,$Q$6)))</f>
        <v>0</v>
      </c>
      <c r="R1221" s="39" t="str">
        <f aca="false">IF($M1221="","",INDEX($A1221:$J1221,$R$6))</f>
        <v/>
      </c>
      <c r="S1221" s="37" t="str">
        <f aca="false">IF($M1221="","",IFERROR(INDEX(Settings!$B$27:$B$36,MATCH(L1221,Settings!$A$27:$A$36,0))&amp;"","UNMAPPED"))</f>
        <v/>
      </c>
      <c r="T1221" s="37" t="str">
        <f aca="false">IF($M1221="","",IF(NOT(ISNUMBER(R1221)),"NO DATE",IF(S1221="Won",IF(R1221&gt;Settings!$B$5,"Backlog","Delivered"),IF(S1221="Open",IF(R1221&gt;Settings!$B$5,"Pipeline","Overdue"),IF(S1221="Lost","Lost","UNMAPPED")))))</f>
        <v/>
      </c>
      <c r="U1221" s="40" t="n">
        <f aca="false">IF(T1221="Backlog",1,IF(OR(T1221="Pipeline",T1221="Overdue"),N(INDEX(Settings!$C$27:$C$36,MATCH(L1221,Settings!$A$27:$A$36,0))),0))</f>
        <v>0</v>
      </c>
      <c r="V1221" s="38" t="n">
        <f aca="false">Q1221*U1221</f>
        <v>0</v>
      </c>
      <c r="W1221" s="41" t="str">
        <f aca="false">IF($M1221="","",IF(T1221="Overdue",IF(Settings!$B$8="Yes",Settings!$B$7,""),IF(ISNUMBER(R1221),DATE(YEAR(R1221),MONTH(R1221),1),"")))</f>
        <v/>
      </c>
      <c r="X1221" s="38" t="n">
        <f aca="false">IF(AND(OR(T1221="Backlog",T1221="Pipeline",T1221="Overdue"),ISNUMBER(W1221)),IF(W1221&lt;=Settings!$B$6,V1221,0),0)</f>
        <v>0</v>
      </c>
      <c r="Y1221" s="38" t="n">
        <f aca="false">IF(AND(OR(T1221="Backlog",T1221="Pipeline",T1221="Overdue"),ISNUMBER(W1221)),IF(W1221&lt;=Settings!$B$6,Q1221,0),0)</f>
        <v>0</v>
      </c>
      <c r="Z1221" s="38" t="n">
        <f aca="false">IF(Y1221=0,0,IF(T1221="Backlog",Q1221,Q1221*Dashboard!$C$10))</f>
        <v>0</v>
      </c>
      <c r="AA1221" s="37" t="n">
        <f aca="false">IF($N1221="",0,IF(COUNTIF(Dashboard!$C$13:$C$22,$N1221)&gt;0,1,0))</f>
        <v>0</v>
      </c>
      <c r="AB1221" s="37" t="str">
        <f aca="false">IF($N1221="","",IF(COUNTIF($N$8:$N1221,$N1221)=1,MAX($AB$7:$AB1220)+1,""))</f>
        <v/>
      </c>
    </row>
    <row r="1222" customFormat="false" ht="15" hidden="false" customHeight="false" outlineLevel="0" collapsed="false">
      <c r="L1222" s="37" t="str">
        <f aca="false">IF(INDEX($A1222:$J1222,$L$6)&lt;&gt;"",TRIM(LEFT(INDEX($A1222:$J1222,$L$6),FIND("(",INDEX($A1222:$J1222,$L$6)&amp;"(")-1)),L1221)</f>
        <v>Building Value Proposition</v>
      </c>
      <c r="M1222" s="37" t="str">
        <f aca="false">IF(INDEX($A1222:$J1222,$M$6)="","",INDEX($A1222:$J1222,$M$6)&amp;"")</f>
        <v/>
      </c>
      <c r="N1222" s="37" t="str">
        <f aca="false">IF($M1222="","",TRIM(INDEX($A1222:$J1222,$N$6)&amp;""))</f>
        <v/>
      </c>
      <c r="O1222" s="37" t="str">
        <f aca="false">IF($M1222="","",TRIM(INDEX($A1222:$J1222,$O$6)&amp;""))</f>
        <v/>
      </c>
      <c r="P1222" s="37" t="str">
        <f aca="false">IF($M1222="","",IFERROR(IF(INDEX(Settings!$B$41:$B$50,MATCH(O1222,Settings!$A$41:$A$50,0))&amp;""="","UNMAPPED",INDEX(Settings!$B$41:$B$50,MATCH(O1222,Settings!$A$41:$A$50,0))&amp;""),"UNMAPPED"))</f>
        <v/>
      </c>
      <c r="Q1222" s="38" t="n">
        <f aca="false">IF($M1222="",0,N(INDEX($A1222:$J1222,$Q$6)))</f>
        <v>0</v>
      </c>
      <c r="R1222" s="39" t="str">
        <f aca="false">IF($M1222="","",INDEX($A1222:$J1222,$R$6))</f>
        <v/>
      </c>
      <c r="S1222" s="37" t="str">
        <f aca="false">IF($M1222="","",IFERROR(INDEX(Settings!$B$27:$B$36,MATCH(L1222,Settings!$A$27:$A$36,0))&amp;"","UNMAPPED"))</f>
        <v/>
      </c>
      <c r="T1222" s="37" t="str">
        <f aca="false">IF($M1222="","",IF(NOT(ISNUMBER(R1222)),"NO DATE",IF(S1222="Won",IF(R1222&gt;Settings!$B$5,"Backlog","Delivered"),IF(S1222="Open",IF(R1222&gt;Settings!$B$5,"Pipeline","Overdue"),IF(S1222="Lost","Lost","UNMAPPED")))))</f>
        <v/>
      </c>
      <c r="U1222" s="40" t="n">
        <f aca="false">IF(T1222="Backlog",1,IF(OR(T1222="Pipeline",T1222="Overdue"),N(INDEX(Settings!$C$27:$C$36,MATCH(L1222,Settings!$A$27:$A$36,0))),0))</f>
        <v>0</v>
      </c>
      <c r="V1222" s="38" t="n">
        <f aca="false">Q1222*U1222</f>
        <v>0</v>
      </c>
      <c r="W1222" s="41" t="str">
        <f aca="false">IF($M1222="","",IF(T1222="Overdue",IF(Settings!$B$8="Yes",Settings!$B$7,""),IF(ISNUMBER(R1222),DATE(YEAR(R1222),MONTH(R1222),1),"")))</f>
        <v/>
      </c>
      <c r="X1222" s="38" t="n">
        <f aca="false">IF(AND(OR(T1222="Backlog",T1222="Pipeline",T1222="Overdue"),ISNUMBER(W1222)),IF(W1222&lt;=Settings!$B$6,V1222,0),0)</f>
        <v>0</v>
      </c>
      <c r="Y1222" s="38" t="n">
        <f aca="false">IF(AND(OR(T1222="Backlog",T1222="Pipeline",T1222="Overdue"),ISNUMBER(W1222)),IF(W1222&lt;=Settings!$B$6,Q1222,0),0)</f>
        <v>0</v>
      </c>
      <c r="Z1222" s="38" t="n">
        <f aca="false">IF(Y1222=0,0,IF(T1222="Backlog",Q1222,Q1222*Dashboard!$C$10))</f>
        <v>0</v>
      </c>
      <c r="AA1222" s="37" t="n">
        <f aca="false">IF($N1222="",0,IF(COUNTIF(Dashboard!$C$13:$C$22,$N1222)&gt;0,1,0))</f>
        <v>0</v>
      </c>
      <c r="AB1222" s="37" t="str">
        <f aca="false">IF($N1222="","",IF(COUNTIF($N$8:$N1222,$N1222)=1,MAX($AB$7:$AB1221)+1,""))</f>
        <v/>
      </c>
    </row>
    <row r="1223" customFormat="false" ht="15" hidden="false" customHeight="false" outlineLevel="0" collapsed="false">
      <c r="L1223" s="37" t="str">
        <f aca="false">IF(INDEX($A1223:$J1223,$L$6)&lt;&gt;"",TRIM(LEFT(INDEX($A1223:$J1223,$L$6),FIND("(",INDEX($A1223:$J1223,$L$6)&amp;"(")-1)),L1222)</f>
        <v>Building Value Proposition</v>
      </c>
      <c r="M1223" s="37" t="str">
        <f aca="false">IF(INDEX($A1223:$J1223,$M$6)="","",INDEX($A1223:$J1223,$M$6)&amp;"")</f>
        <v/>
      </c>
      <c r="N1223" s="37" t="str">
        <f aca="false">IF($M1223="","",TRIM(INDEX($A1223:$J1223,$N$6)&amp;""))</f>
        <v/>
      </c>
      <c r="O1223" s="37" t="str">
        <f aca="false">IF($M1223="","",TRIM(INDEX($A1223:$J1223,$O$6)&amp;""))</f>
        <v/>
      </c>
      <c r="P1223" s="37" t="str">
        <f aca="false">IF($M1223="","",IFERROR(IF(INDEX(Settings!$B$41:$B$50,MATCH(O1223,Settings!$A$41:$A$50,0))&amp;""="","UNMAPPED",INDEX(Settings!$B$41:$B$50,MATCH(O1223,Settings!$A$41:$A$50,0))&amp;""),"UNMAPPED"))</f>
        <v/>
      </c>
      <c r="Q1223" s="38" t="n">
        <f aca="false">IF($M1223="",0,N(INDEX($A1223:$J1223,$Q$6)))</f>
        <v>0</v>
      </c>
      <c r="R1223" s="39" t="str">
        <f aca="false">IF($M1223="","",INDEX($A1223:$J1223,$R$6))</f>
        <v/>
      </c>
      <c r="S1223" s="37" t="str">
        <f aca="false">IF($M1223="","",IFERROR(INDEX(Settings!$B$27:$B$36,MATCH(L1223,Settings!$A$27:$A$36,0))&amp;"","UNMAPPED"))</f>
        <v/>
      </c>
      <c r="T1223" s="37" t="str">
        <f aca="false">IF($M1223="","",IF(NOT(ISNUMBER(R1223)),"NO DATE",IF(S1223="Won",IF(R1223&gt;Settings!$B$5,"Backlog","Delivered"),IF(S1223="Open",IF(R1223&gt;Settings!$B$5,"Pipeline","Overdue"),IF(S1223="Lost","Lost","UNMAPPED")))))</f>
        <v/>
      </c>
      <c r="U1223" s="40" t="n">
        <f aca="false">IF(T1223="Backlog",1,IF(OR(T1223="Pipeline",T1223="Overdue"),N(INDEX(Settings!$C$27:$C$36,MATCH(L1223,Settings!$A$27:$A$36,0))),0))</f>
        <v>0</v>
      </c>
      <c r="V1223" s="38" t="n">
        <f aca="false">Q1223*U1223</f>
        <v>0</v>
      </c>
      <c r="W1223" s="41" t="str">
        <f aca="false">IF($M1223="","",IF(T1223="Overdue",IF(Settings!$B$8="Yes",Settings!$B$7,""),IF(ISNUMBER(R1223),DATE(YEAR(R1223),MONTH(R1223),1),"")))</f>
        <v/>
      </c>
      <c r="X1223" s="38" t="n">
        <f aca="false">IF(AND(OR(T1223="Backlog",T1223="Pipeline",T1223="Overdue"),ISNUMBER(W1223)),IF(W1223&lt;=Settings!$B$6,V1223,0),0)</f>
        <v>0</v>
      </c>
      <c r="Y1223" s="38" t="n">
        <f aca="false">IF(AND(OR(T1223="Backlog",T1223="Pipeline",T1223="Overdue"),ISNUMBER(W1223)),IF(W1223&lt;=Settings!$B$6,Q1223,0),0)</f>
        <v>0</v>
      </c>
      <c r="Z1223" s="38" t="n">
        <f aca="false">IF(Y1223=0,0,IF(T1223="Backlog",Q1223,Q1223*Dashboard!$C$10))</f>
        <v>0</v>
      </c>
      <c r="AA1223" s="37" t="n">
        <f aca="false">IF($N1223="",0,IF(COUNTIF(Dashboard!$C$13:$C$22,$N1223)&gt;0,1,0))</f>
        <v>0</v>
      </c>
      <c r="AB1223" s="37" t="str">
        <f aca="false">IF($N1223="","",IF(COUNTIF($N$8:$N1223,$N1223)=1,MAX($AB$7:$AB1222)+1,""))</f>
        <v/>
      </c>
    </row>
    <row r="1224" customFormat="false" ht="15" hidden="false" customHeight="false" outlineLevel="0" collapsed="false">
      <c r="L1224" s="37" t="str">
        <f aca="false">IF(INDEX($A1224:$J1224,$L$6)&lt;&gt;"",TRIM(LEFT(INDEX($A1224:$J1224,$L$6),FIND("(",INDEX($A1224:$J1224,$L$6)&amp;"(")-1)),L1223)</f>
        <v>Building Value Proposition</v>
      </c>
      <c r="M1224" s="37" t="str">
        <f aca="false">IF(INDEX($A1224:$J1224,$M$6)="","",INDEX($A1224:$J1224,$M$6)&amp;"")</f>
        <v/>
      </c>
      <c r="N1224" s="37" t="str">
        <f aca="false">IF($M1224="","",TRIM(INDEX($A1224:$J1224,$N$6)&amp;""))</f>
        <v/>
      </c>
      <c r="O1224" s="37" t="str">
        <f aca="false">IF($M1224="","",TRIM(INDEX($A1224:$J1224,$O$6)&amp;""))</f>
        <v/>
      </c>
      <c r="P1224" s="37" t="str">
        <f aca="false">IF($M1224="","",IFERROR(IF(INDEX(Settings!$B$41:$B$50,MATCH(O1224,Settings!$A$41:$A$50,0))&amp;""="","UNMAPPED",INDEX(Settings!$B$41:$B$50,MATCH(O1224,Settings!$A$41:$A$50,0))&amp;""),"UNMAPPED"))</f>
        <v/>
      </c>
      <c r="Q1224" s="38" t="n">
        <f aca="false">IF($M1224="",0,N(INDEX($A1224:$J1224,$Q$6)))</f>
        <v>0</v>
      </c>
      <c r="R1224" s="39" t="str">
        <f aca="false">IF($M1224="","",INDEX($A1224:$J1224,$R$6))</f>
        <v/>
      </c>
      <c r="S1224" s="37" t="str">
        <f aca="false">IF($M1224="","",IFERROR(INDEX(Settings!$B$27:$B$36,MATCH(L1224,Settings!$A$27:$A$36,0))&amp;"","UNMAPPED"))</f>
        <v/>
      </c>
      <c r="T1224" s="37" t="str">
        <f aca="false">IF($M1224="","",IF(NOT(ISNUMBER(R1224)),"NO DATE",IF(S1224="Won",IF(R1224&gt;Settings!$B$5,"Backlog","Delivered"),IF(S1224="Open",IF(R1224&gt;Settings!$B$5,"Pipeline","Overdue"),IF(S1224="Lost","Lost","UNMAPPED")))))</f>
        <v/>
      </c>
      <c r="U1224" s="40" t="n">
        <f aca="false">IF(T1224="Backlog",1,IF(OR(T1224="Pipeline",T1224="Overdue"),N(INDEX(Settings!$C$27:$C$36,MATCH(L1224,Settings!$A$27:$A$36,0))),0))</f>
        <v>0</v>
      </c>
      <c r="V1224" s="38" t="n">
        <f aca="false">Q1224*U1224</f>
        <v>0</v>
      </c>
      <c r="W1224" s="41" t="str">
        <f aca="false">IF($M1224="","",IF(T1224="Overdue",IF(Settings!$B$8="Yes",Settings!$B$7,""),IF(ISNUMBER(R1224),DATE(YEAR(R1224),MONTH(R1224),1),"")))</f>
        <v/>
      </c>
      <c r="X1224" s="38" t="n">
        <f aca="false">IF(AND(OR(T1224="Backlog",T1224="Pipeline",T1224="Overdue"),ISNUMBER(W1224)),IF(W1224&lt;=Settings!$B$6,V1224,0),0)</f>
        <v>0</v>
      </c>
      <c r="Y1224" s="38" t="n">
        <f aca="false">IF(AND(OR(T1224="Backlog",T1224="Pipeline",T1224="Overdue"),ISNUMBER(W1224)),IF(W1224&lt;=Settings!$B$6,Q1224,0),0)</f>
        <v>0</v>
      </c>
      <c r="Z1224" s="38" t="n">
        <f aca="false">IF(Y1224=0,0,IF(T1224="Backlog",Q1224,Q1224*Dashboard!$C$10))</f>
        <v>0</v>
      </c>
      <c r="AA1224" s="37" t="n">
        <f aca="false">IF($N1224="",0,IF(COUNTIF(Dashboard!$C$13:$C$22,$N1224)&gt;0,1,0))</f>
        <v>0</v>
      </c>
      <c r="AB1224" s="37" t="str">
        <f aca="false">IF($N1224="","",IF(COUNTIF($N$8:$N1224,$N1224)=1,MAX($AB$7:$AB1223)+1,""))</f>
        <v/>
      </c>
    </row>
    <row r="1225" customFormat="false" ht="15" hidden="false" customHeight="false" outlineLevel="0" collapsed="false">
      <c r="L1225" s="37" t="str">
        <f aca="false">IF(INDEX($A1225:$J1225,$L$6)&lt;&gt;"",TRIM(LEFT(INDEX($A1225:$J1225,$L$6),FIND("(",INDEX($A1225:$J1225,$L$6)&amp;"(")-1)),L1224)</f>
        <v>Building Value Proposition</v>
      </c>
      <c r="M1225" s="37" t="str">
        <f aca="false">IF(INDEX($A1225:$J1225,$M$6)="","",INDEX($A1225:$J1225,$M$6)&amp;"")</f>
        <v/>
      </c>
      <c r="N1225" s="37" t="str">
        <f aca="false">IF($M1225="","",TRIM(INDEX($A1225:$J1225,$N$6)&amp;""))</f>
        <v/>
      </c>
      <c r="O1225" s="37" t="str">
        <f aca="false">IF($M1225="","",TRIM(INDEX($A1225:$J1225,$O$6)&amp;""))</f>
        <v/>
      </c>
      <c r="P1225" s="37" t="str">
        <f aca="false">IF($M1225="","",IFERROR(IF(INDEX(Settings!$B$41:$B$50,MATCH(O1225,Settings!$A$41:$A$50,0))&amp;""="","UNMAPPED",INDEX(Settings!$B$41:$B$50,MATCH(O1225,Settings!$A$41:$A$50,0))&amp;""),"UNMAPPED"))</f>
        <v/>
      </c>
      <c r="Q1225" s="38" t="n">
        <f aca="false">IF($M1225="",0,N(INDEX($A1225:$J1225,$Q$6)))</f>
        <v>0</v>
      </c>
      <c r="R1225" s="39" t="str">
        <f aca="false">IF($M1225="","",INDEX($A1225:$J1225,$R$6))</f>
        <v/>
      </c>
      <c r="S1225" s="37" t="str">
        <f aca="false">IF($M1225="","",IFERROR(INDEX(Settings!$B$27:$B$36,MATCH(L1225,Settings!$A$27:$A$36,0))&amp;"","UNMAPPED"))</f>
        <v/>
      </c>
      <c r="T1225" s="37" t="str">
        <f aca="false">IF($M1225="","",IF(NOT(ISNUMBER(R1225)),"NO DATE",IF(S1225="Won",IF(R1225&gt;Settings!$B$5,"Backlog","Delivered"),IF(S1225="Open",IF(R1225&gt;Settings!$B$5,"Pipeline","Overdue"),IF(S1225="Lost","Lost","UNMAPPED")))))</f>
        <v/>
      </c>
      <c r="U1225" s="40" t="n">
        <f aca="false">IF(T1225="Backlog",1,IF(OR(T1225="Pipeline",T1225="Overdue"),N(INDEX(Settings!$C$27:$C$36,MATCH(L1225,Settings!$A$27:$A$36,0))),0))</f>
        <v>0</v>
      </c>
      <c r="V1225" s="38" t="n">
        <f aca="false">Q1225*U1225</f>
        <v>0</v>
      </c>
      <c r="W1225" s="41" t="str">
        <f aca="false">IF($M1225="","",IF(T1225="Overdue",IF(Settings!$B$8="Yes",Settings!$B$7,""),IF(ISNUMBER(R1225),DATE(YEAR(R1225),MONTH(R1225),1),"")))</f>
        <v/>
      </c>
      <c r="X1225" s="38" t="n">
        <f aca="false">IF(AND(OR(T1225="Backlog",T1225="Pipeline",T1225="Overdue"),ISNUMBER(W1225)),IF(W1225&lt;=Settings!$B$6,V1225,0),0)</f>
        <v>0</v>
      </c>
      <c r="Y1225" s="38" t="n">
        <f aca="false">IF(AND(OR(T1225="Backlog",T1225="Pipeline",T1225="Overdue"),ISNUMBER(W1225)),IF(W1225&lt;=Settings!$B$6,Q1225,0),0)</f>
        <v>0</v>
      </c>
      <c r="Z1225" s="38" t="n">
        <f aca="false">IF(Y1225=0,0,IF(T1225="Backlog",Q1225,Q1225*Dashboard!$C$10))</f>
        <v>0</v>
      </c>
      <c r="AA1225" s="37" t="n">
        <f aca="false">IF($N1225="",0,IF(COUNTIF(Dashboard!$C$13:$C$22,$N1225)&gt;0,1,0))</f>
        <v>0</v>
      </c>
      <c r="AB1225" s="37" t="str">
        <f aca="false">IF($N1225="","",IF(COUNTIF($N$8:$N1225,$N1225)=1,MAX($AB$7:$AB1224)+1,""))</f>
        <v/>
      </c>
    </row>
    <row r="1226" customFormat="false" ht="15" hidden="false" customHeight="false" outlineLevel="0" collapsed="false">
      <c r="L1226" s="37" t="str">
        <f aca="false">IF(INDEX($A1226:$J1226,$L$6)&lt;&gt;"",TRIM(LEFT(INDEX($A1226:$J1226,$L$6),FIND("(",INDEX($A1226:$J1226,$L$6)&amp;"(")-1)),L1225)</f>
        <v>Building Value Proposition</v>
      </c>
      <c r="M1226" s="37" t="str">
        <f aca="false">IF(INDEX($A1226:$J1226,$M$6)="","",INDEX($A1226:$J1226,$M$6)&amp;"")</f>
        <v/>
      </c>
      <c r="N1226" s="37" t="str">
        <f aca="false">IF($M1226="","",TRIM(INDEX($A1226:$J1226,$N$6)&amp;""))</f>
        <v/>
      </c>
      <c r="O1226" s="37" t="str">
        <f aca="false">IF($M1226="","",TRIM(INDEX($A1226:$J1226,$O$6)&amp;""))</f>
        <v/>
      </c>
      <c r="P1226" s="37" t="str">
        <f aca="false">IF($M1226="","",IFERROR(IF(INDEX(Settings!$B$41:$B$50,MATCH(O1226,Settings!$A$41:$A$50,0))&amp;""="","UNMAPPED",INDEX(Settings!$B$41:$B$50,MATCH(O1226,Settings!$A$41:$A$50,0))&amp;""),"UNMAPPED"))</f>
        <v/>
      </c>
      <c r="Q1226" s="38" t="n">
        <f aca="false">IF($M1226="",0,N(INDEX($A1226:$J1226,$Q$6)))</f>
        <v>0</v>
      </c>
      <c r="R1226" s="39" t="str">
        <f aca="false">IF($M1226="","",INDEX($A1226:$J1226,$R$6))</f>
        <v/>
      </c>
      <c r="S1226" s="37" t="str">
        <f aca="false">IF($M1226="","",IFERROR(INDEX(Settings!$B$27:$B$36,MATCH(L1226,Settings!$A$27:$A$36,0))&amp;"","UNMAPPED"))</f>
        <v/>
      </c>
      <c r="T1226" s="37" t="str">
        <f aca="false">IF($M1226="","",IF(NOT(ISNUMBER(R1226)),"NO DATE",IF(S1226="Won",IF(R1226&gt;Settings!$B$5,"Backlog","Delivered"),IF(S1226="Open",IF(R1226&gt;Settings!$B$5,"Pipeline","Overdue"),IF(S1226="Lost","Lost","UNMAPPED")))))</f>
        <v/>
      </c>
      <c r="U1226" s="40" t="n">
        <f aca="false">IF(T1226="Backlog",1,IF(OR(T1226="Pipeline",T1226="Overdue"),N(INDEX(Settings!$C$27:$C$36,MATCH(L1226,Settings!$A$27:$A$36,0))),0))</f>
        <v>0</v>
      </c>
      <c r="V1226" s="38" t="n">
        <f aca="false">Q1226*U1226</f>
        <v>0</v>
      </c>
      <c r="W1226" s="41" t="str">
        <f aca="false">IF($M1226="","",IF(T1226="Overdue",IF(Settings!$B$8="Yes",Settings!$B$7,""),IF(ISNUMBER(R1226),DATE(YEAR(R1226),MONTH(R1226),1),"")))</f>
        <v/>
      </c>
      <c r="X1226" s="38" t="n">
        <f aca="false">IF(AND(OR(T1226="Backlog",T1226="Pipeline",T1226="Overdue"),ISNUMBER(W1226)),IF(W1226&lt;=Settings!$B$6,V1226,0),0)</f>
        <v>0</v>
      </c>
      <c r="Y1226" s="38" t="n">
        <f aca="false">IF(AND(OR(T1226="Backlog",T1226="Pipeline",T1226="Overdue"),ISNUMBER(W1226)),IF(W1226&lt;=Settings!$B$6,Q1226,0),0)</f>
        <v>0</v>
      </c>
      <c r="Z1226" s="38" t="n">
        <f aca="false">IF(Y1226=0,0,IF(T1226="Backlog",Q1226,Q1226*Dashboard!$C$10))</f>
        <v>0</v>
      </c>
      <c r="AA1226" s="37" t="n">
        <f aca="false">IF($N1226="",0,IF(COUNTIF(Dashboard!$C$13:$C$22,$N1226)&gt;0,1,0))</f>
        <v>0</v>
      </c>
      <c r="AB1226" s="37" t="str">
        <f aca="false">IF($N1226="","",IF(COUNTIF($N$8:$N1226,$N1226)=1,MAX($AB$7:$AB1225)+1,""))</f>
        <v/>
      </c>
    </row>
    <row r="1227" customFormat="false" ht="15" hidden="false" customHeight="false" outlineLevel="0" collapsed="false">
      <c r="L1227" s="37" t="str">
        <f aca="false">IF(INDEX($A1227:$J1227,$L$6)&lt;&gt;"",TRIM(LEFT(INDEX($A1227:$J1227,$L$6),FIND("(",INDEX($A1227:$J1227,$L$6)&amp;"(")-1)),L1226)</f>
        <v>Building Value Proposition</v>
      </c>
      <c r="M1227" s="37" t="str">
        <f aca="false">IF(INDEX($A1227:$J1227,$M$6)="","",INDEX($A1227:$J1227,$M$6)&amp;"")</f>
        <v/>
      </c>
      <c r="N1227" s="37" t="str">
        <f aca="false">IF($M1227="","",TRIM(INDEX($A1227:$J1227,$N$6)&amp;""))</f>
        <v/>
      </c>
      <c r="O1227" s="37" t="str">
        <f aca="false">IF($M1227="","",TRIM(INDEX($A1227:$J1227,$O$6)&amp;""))</f>
        <v/>
      </c>
      <c r="P1227" s="37" t="str">
        <f aca="false">IF($M1227="","",IFERROR(IF(INDEX(Settings!$B$41:$B$50,MATCH(O1227,Settings!$A$41:$A$50,0))&amp;""="","UNMAPPED",INDEX(Settings!$B$41:$B$50,MATCH(O1227,Settings!$A$41:$A$50,0))&amp;""),"UNMAPPED"))</f>
        <v/>
      </c>
      <c r="Q1227" s="38" t="n">
        <f aca="false">IF($M1227="",0,N(INDEX($A1227:$J1227,$Q$6)))</f>
        <v>0</v>
      </c>
      <c r="R1227" s="39" t="str">
        <f aca="false">IF($M1227="","",INDEX($A1227:$J1227,$R$6))</f>
        <v/>
      </c>
      <c r="S1227" s="37" t="str">
        <f aca="false">IF($M1227="","",IFERROR(INDEX(Settings!$B$27:$B$36,MATCH(L1227,Settings!$A$27:$A$36,0))&amp;"","UNMAPPED"))</f>
        <v/>
      </c>
      <c r="T1227" s="37" t="str">
        <f aca="false">IF($M1227="","",IF(NOT(ISNUMBER(R1227)),"NO DATE",IF(S1227="Won",IF(R1227&gt;Settings!$B$5,"Backlog","Delivered"),IF(S1227="Open",IF(R1227&gt;Settings!$B$5,"Pipeline","Overdue"),IF(S1227="Lost","Lost","UNMAPPED")))))</f>
        <v/>
      </c>
      <c r="U1227" s="40" t="n">
        <f aca="false">IF(T1227="Backlog",1,IF(OR(T1227="Pipeline",T1227="Overdue"),N(INDEX(Settings!$C$27:$C$36,MATCH(L1227,Settings!$A$27:$A$36,0))),0))</f>
        <v>0</v>
      </c>
      <c r="V1227" s="38" t="n">
        <f aca="false">Q1227*U1227</f>
        <v>0</v>
      </c>
      <c r="W1227" s="41" t="str">
        <f aca="false">IF($M1227="","",IF(T1227="Overdue",IF(Settings!$B$8="Yes",Settings!$B$7,""),IF(ISNUMBER(R1227),DATE(YEAR(R1227),MONTH(R1227),1),"")))</f>
        <v/>
      </c>
      <c r="X1227" s="38" t="n">
        <f aca="false">IF(AND(OR(T1227="Backlog",T1227="Pipeline",T1227="Overdue"),ISNUMBER(W1227)),IF(W1227&lt;=Settings!$B$6,V1227,0),0)</f>
        <v>0</v>
      </c>
      <c r="Y1227" s="38" t="n">
        <f aca="false">IF(AND(OR(T1227="Backlog",T1227="Pipeline",T1227="Overdue"),ISNUMBER(W1227)),IF(W1227&lt;=Settings!$B$6,Q1227,0),0)</f>
        <v>0</v>
      </c>
      <c r="Z1227" s="38" t="n">
        <f aca="false">IF(Y1227=0,0,IF(T1227="Backlog",Q1227,Q1227*Dashboard!$C$10))</f>
        <v>0</v>
      </c>
      <c r="AA1227" s="37" t="n">
        <f aca="false">IF($N1227="",0,IF(COUNTIF(Dashboard!$C$13:$C$22,$N1227)&gt;0,1,0))</f>
        <v>0</v>
      </c>
      <c r="AB1227" s="37" t="str">
        <f aca="false">IF($N1227="","",IF(COUNTIF($N$8:$N1227,$N1227)=1,MAX($AB$7:$AB1226)+1,""))</f>
        <v/>
      </c>
    </row>
    <row r="1228" customFormat="false" ht="15" hidden="false" customHeight="false" outlineLevel="0" collapsed="false">
      <c r="L1228" s="37" t="str">
        <f aca="false">IF(INDEX($A1228:$J1228,$L$6)&lt;&gt;"",TRIM(LEFT(INDEX($A1228:$J1228,$L$6),FIND("(",INDEX($A1228:$J1228,$L$6)&amp;"(")-1)),L1227)</f>
        <v>Building Value Proposition</v>
      </c>
      <c r="M1228" s="37" t="str">
        <f aca="false">IF(INDEX($A1228:$J1228,$M$6)="","",INDEX($A1228:$J1228,$M$6)&amp;"")</f>
        <v/>
      </c>
      <c r="N1228" s="37" t="str">
        <f aca="false">IF($M1228="","",TRIM(INDEX($A1228:$J1228,$N$6)&amp;""))</f>
        <v/>
      </c>
      <c r="O1228" s="37" t="str">
        <f aca="false">IF($M1228="","",TRIM(INDEX($A1228:$J1228,$O$6)&amp;""))</f>
        <v/>
      </c>
      <c r="P1228" s="37" t="str">
        <f aca="false">IF($M1228="","",IFERROR(IF(INDEX(Settings!$B$41:$B$50,MATCH(O1228,Settings!$A$41:$A$50,0))&amp;""="","UNMAPPED",INDEX(Settings!$B$41:$B$50,MATCH(O1228,Settings!$A$41:$A$50,0))&amp;""),"UNMAPPED"))</f>
        <v/>
      </c>
      <c r="Q1228" s="38" t="n">
        <f aca="false">IF($M1228="",0,N(INDEX($A1228:$J1228,$Q$6)))</f>
        <v>0</v>
      </c>
      <c r="R1228" s="39" t="str">
        <f aca="false">IF($M1228="","",INDEX($A1228:$J1228,$R$6))</f>
        <v/>
      </c>
      <c r="S1228" s="37" t="str">
        <f aca="false">IF($M1228="","",IFERROR(INDEX(Settings!$B$27:$B$36,MATCH(L1228,Settings!$A$27:$A$36,0))&amp;"","UNMAPPED"))</f>
        <v/>
      </c>
      <c r="T1228" s="37" t="str">
        <f aca="false">IF($M1228="","",IF(NOT(ISNUMBER(R1228)),"NO DATE",IF(S1228="Won",IF(R1228&gt;Settings!$B$5,"Backlog","Delivered"),IF(S1228="Open",IF(R1228&gt;Settings!$B$5,"Pipeline","Overdue"),IF(S1228="Lost","Lost","UNMAPPED")))))</f>
        <v/>
      </c>
      <c r="U1228" s="40" t="n">
        <f aca="false">IF(T1228="Backlog",1,IF(OR(T1228="Pipeline",T1228="Overdue"),N(INDEX(Settings!$C$27:$C$36,MATCH(L1228,Settings!$A$27:$A$36,0))),0))</f>
        <v>0</v>
      </c>
      <c r="V1228" s="38" t="n">
        <f aca="false">Q1228*U1228</f>
        <v>0</v>
      </c>
      <c r="W1228" s="41" t="str">
        <f aca="false">IF($M1228="","",IF(T1228="Overdue",IF(Settings!$B$8="Yes",Settings!$B$7,""),IF(ISNUMBER(R1228),DATE(YEAR(R1228),MONTH(R1228),1),"")))</f>
        <v/>
      </c>
      <c r="X1228" s="38" t="n">
        <f aca="false">IF(AND(OR(T1228="Backlog",T1228="Pipeline",T1228="Overdue"),ISNUMBER(W1228)),IF(W1228&lt;=Settings!$B$6,V1228,0),0)</f>
        <v>0</v>
      </c>
      <c r="Y1228" s="38" t="n">
        <f aca="false">IF(AND(OR(T1228="Backlog",T1228="Pipeline",T1228="Overdue"),ISNUMBER(W1228)),IF(W1228&lt;=Settings!$B$6,Q1228,0),0)</f>
        <v>0</v>
      </c>
      <c r="Z1228" s="38" t="n">
        <f aca="false">IF(Y1228=0,0,IF(T1228="Backlog",Q1228,Q1228*Dashboard!$C$10))</f>
        <v>0</v>
      </c>
      <c r="AA1228" s="37" t="n">
        <f aca="false">IF($N1228="",0,IF(COUNTIF(Dashboard!$C$13:$C$22,$N1228)&gt;0,1,0))</f>
        <v>0</v>
      </c>
      <c r="AB1228" s="37" t="str">
        <f aca="false">IF($N1228="","",IF(COUNTIF($N$8:$N1228,$N1228)=1,MAX($AB$7:$AB1227)+1,""))</f>
        <v/>
      </c>
    </row>
    <row r="1229" customFormat="false" ht="15" hidden="false" customHeight="false" outlineLevel="0" collapsed="false">
      <c r="L1229" s="37" t="str">
        <f aca="false">IF(INDEX($A1229:$J1229,$L$6)&lt;&gt;"",TRIM(LEFT(INDEX($A1229:$J1229,$L$6),FIND("(",INDEX($A1229:$J1229,$L$6)&amp;"(")-1)),L1228)</f>
        <v>Building Value Proposition</v>
      </c>
      <c r="M1229" s="37" t="str">
        <f aca="false">IF(INDEX($A1229:$J1229,$M$6)="","",INDEX($A1229:$J1229,$M$6)&amp;"")</f>
        <v/>
      </c>
      <c r="N1229" s="37" t="str">
        <f aca="false">IF($M1229="","",TRIM(INDEX($A1229:$J1229,$N$6)&amp;""))</f>
        <v/>
      </c>
      <c r="O1229" s="37" t="str">
        <f aca="false">IF($M1229="","",TRIM(INDEX($A1229:$J1229,$O$6)&amp;""))</f>
        <v/>
      </c>
      <c r="P1229" s="37" t="str">
        <f aca="false">IF($M1229="","",IFERROR(IF(INDEX(Settings!$B$41:$B$50,MATCH(O1229,Settings!$A$41:$A$50,0))&amp;""="","UNMAPPED",INDEX(Settings!$B$41:$B$50,MATCH(O1229,Settings!$A$41:$A$50,0))&amp;""),"UNMAPPED"))</f>
        <v/>
      </c>
      <c r="Q1229" s="38" t="n">
        <f aca="false">IF($M1229="",0,N(INDEX($A1229:$J1229,$Q$6)))</f>
        <v>0</v>
      </c>
      <c r="R1229" s="39" t="str">
        <f aca="false">IF($M1229="","",INDEX($A1229:$J1229,$R$6))</f>
        <v/>
      </c>
      <c r="S1229" s="37" t="str">
        <f aca="false">IF($M1229="","",IFERROR(INDEX(Settings!$B$27:$B$36,MATCH(L1229,Settings!$A$27:$A$36,0))&amp;"","UNMAPPED"))</f>
        <v/>
      </c>
      <c r="T1229" s="37" t="str">
        <f aca="false">IF($M1229="","",IF(NOT(ISNUMBER(R1229)),"NO DATE",IF(S1229="Won",IF(R1229&gt;Settings!$B$5,"Backlog","Delivered"),IF(S1229="Open",IF(R1229&gt;Settings!$B$5,"Pipeline","Overdue"),IF(S1229="Lost","Lost","UNMAPPED")))))</f>
        <v/>
      </c>
      <c r="U1229" s="40" t="n">
        <f aca="false">IF(T1229="Backlog",1,IF(OR(T1229="Pipeline",T1229="Overdue"),N(INDEX(Settings!$C$27:$C$36,MATCH(L1229,Settings!$A$27:$A$36,0))),0))</f>
        <v>0</v>
      </c>
      <c r="V1229" s="38" t="n">
        <f aca="false">Q1229*U1229</f>
        <v>0</v>
      </c>
      <c r="W1229" s="41" t="str">
        <f aca="false">IF($M1229="","",IF(T1229="Overdue",IF(Settings!$B$8="Yes",Settings!$B$7,""),IF(ISNUMBER(R1229),DATE(YEAR(R1229),MONTH(R1229),1),"")))</f>
        <v/>
      </c>
      <c r="X1229" s="38" t="n">
        <f aca="false">IF(AND(OR(T1229="Backlog",T1229="Pipeline",T1229="Overdue"),ISNUMBER(W1229)),IF(W1229&lt;=Settings!$B$6,V1229,0),0)</f>
        <v>0</v>
      </c>
      <c r="Y1229" s="38" t="n">
        <f aca="false">IF(AND(OR(T1229="Backlog",T1229="Pipeline",T1229="Overdue"),ISNUMBER(W1229)),IF(W1229&lt;=Settings!$B$6,Q1229,0),0)</f>
        <v>0</v>
      </c>
      <c r="Z1229" s="38" t="n">
        <f aca="false">IF(Y1229=0,0,IF(T1229="Backlog",Q1229,Q1229*Dashboard!$C$10))</f>
        <v>0</v>
      </c>
      <c r="AA1229" s="37" t="n">
        <f aca="false">IF($N1229="",0,IF(COUNTIF(Dashboard!$C$13:$C$22,$N1229)&gt;0,1,0))</f>
        <v>0</v>
      </c>
      <c r="AB1229" s="37" t="str">
        <f aca="false">IF($N1229="","",IF(COUNTIF($N$8:$N1229,$N1229)=1,MAX($AB$7:$AB1228)+1,""))</f>
        <v/>
      </c>
    </row>
    <row r="1230" customFormat="false" ht="15" hidden="false" customHeight="false" outlineLevel="0" collapsed="false">
      <c r="L1230" s="37" t="str">
        <f aca="false">IF(INDEX($A1230:$J1230,$L$6)&lt;&gt;"",TRIM(LEFT(INDEX($A1230:$J1230,$L$6),FIND("(",INDEX($A1230:$J1230,$L$6)&amp;"(")-1)),L1229)</f>
        <v>Building Value Proposition</v>
      </c>
      <c r="M1230" s="37" t="str">
        <f aca="false">IF(INDEX($A1230:$J1230,$M$6)="","",INDEX($A1230:$J1230,$M$6)&amp;"")</f>
        <v/>
      </c>
      <c r="N1230" s="37" t="str">
        <f aca="false">IF($M1230="","",TRIM(INDEX($A1230:$J1230,$N$6)&amp;""))</f>
        <v/>
      </c>
      <c r="O1230" s="37" t="str">
        <f aca="false">IF($M1230="","",TRIM(INDEX($A1230:$J1230,$O$6)&amp;""))</f>
        <v/>
      </c>
      <c r="P1230" s="37" t="str">
        <f aca="false">IF($M1230="","",IFERROR(IF(INDEX(Settings!$B$41:$B$50,MATCH(O1230,Settings!$A$41:$A$50,0))&amp;""="","UNMAPPED",INDEX(Settings!$B$41:$B$50,MATCH(O1230,Settings!$A$41:$A$50,0))&amp;""),"UNMAPPED"))</f>
        <v/>
      </c>
      <c r="Q1230" s="38" t="n">
        <f aca="false">IF($M1230="",0,N(INDEX($A1230:$J1230,$Q$6)))</f>
        <v>0</v>
      </c>
      <c r="R1230" s="39" t="str">
        <f aca="false">IF($M1230="","",INDEX($A1230:$J1230,$R$6))</f>
        <v/>
      </c>
      <c r="S1230" s="37" t="str">
        <f aca="false">IF($M1230="","",IFERROR(INDEX(Settings!$B$27:$B$36,MATCH(L1230,Settings!$A$27:$A$36,0))&amp;"","UNMAPPED"))</f>
        <v/>
      </c>
      <c r="T1230" s="37" t="str">
        <f aca="false">IF($M1230="","",IF(NOT(ISNUMBER(R1230)),"NO DATE",IF(S1230="Won",IF(R1230&gt;Settings!$B$5,"Backlog","Delivered"),IF(S1230="Open",IF(R1230&gt;Settings!$B$5,"Pipeline","Overdue"),IF(S1230="Lost","Lost","UNMAPPED")))))</f>
        <v/>
      </c>
      <c r="U1230" s="40" t="n">
        <f aca="false">IF(T1230="Backlog",1,IF(OR(T1230="Pipeline",T1230="Overdue"),N(INDEX(Settings!$C$27:$C$36,MATCH(L1230,Settings!$A$27:$A$36,0))),0))</f>
        <v>0</v>
      </c>
      <c r="V1230" s="38" t="n">
        <f aca="false">Q1230*U1230</f>
        <v>0</v>
      </c>
      <c r="W1230" s="41" t="str">
        <f aca="false">IF($M1230="","",IF(T1230="Overdue",IF(Settings!$B$8="Yes",Settings!$B$7,""),IF(ISNUMBER(R1230),DATE(YEAR(R1230),MONTH(R1230),1),"")))</f>
        <v/>
      </c>
      <c r="X1230" s="38" t="n">
        <f aca="false">IF(AND(OR(T1230="Backlog",T1230="Pipeline",T1230="Overdue"),ISNUMBER(W1230)),IF(W1230&lt;=Settings!$B$6,V1230,0),0)</f>
        <v>0</v>
      </c>
      <c r="Y1230" s="38" t="n">
        <f aca="false">IF(AND(OR(T1230="Backlog",T1230="Pipeline",T1230="Overdue"),ISNUMBER(W1230)),IF(W1230&lt;=Settings!$B$6,Q1230,0),0)</f>
        <v>0</v>
      </c>
      <c r="Z1230" s="38" t="n">
        <f aca="false">IF(Y1230=0,0,IF(T1230="Backlog",Q1230,Q1230*Dashboard!$C$10))</f>
        <v>0</v>
      </c>
      <c r="AA1230" s="37" t="n">
        <f aca="false">IF($N1230="",0,IF(COUNTIF(Dashboard!$C$13:$C$22,$N1230)&gt;0,1,0))</f>
        <v>0</v>
      </c>
      <c r="AB1230" s="37" t="str">
        <f aca="false">IF($N1230="","",IF(COUNTIF($N$8:$N1230,$N1230)=1,MAX($AB$7:$AB1229)+1,""))</f>
        <v/>
      </c>
    </row>
    <row r="1231" customFormat="false" ht="15" hidden="false" customHeight="false" outlineLevel="0" collapsed="false">
      <c r="L1231" s="37" t="str">
        <f aca="false">IF(INDEX($A1231:$J1231,$L$6)&lt;&gt;"",TRIM(LEFT(INDEX($A1231:$J1231,$L$6),FIND("(",INDEX($A1231:$J1231,$L$6)&amp;"(")-1)),L1230)</f>
        <v>Building Value Proposition</v>
      </c>
      <c r="M1231" s="37" t="str">
        <f aca="false">IF(INDEX($A1231:$J1231,$M$6)="","",INDEX($A1231:$J1231,$M$6)&amp;"")</f>
        <v/>
      </c>
      <c r="N1231" s="37" t="str">
        <f aca="false">IF($M1231="","",TRIM(INDEX($A1231:$J1231,$N$6)&amp;""))</f>
        <v/>
      </c>
      <c r="O1231" s="37" t="str">
        <f aca="false">IF($M1231="","",TRIM(INDEX($A1231:$J1231,$O$6)&amp;""))</f>
        <v/>
      </c>
      <c r="P1231" s="37" t="str">
        <f aca="false">IF($M1231="","",IFERROR(IF(INDEX(Settings!$B$41:$B$50,MATCH(O1231,Settings!$A$41:$A$50,0))&amp;""="","UNMAPPED",INDEX(Settings!$B$41:$B$50,MATCH(O1231,Settings!$A$41:$A$50,0))&amp;""),"UNMAPPED"))</f>
        <v/>
      </c>
      <c r="Q1231" s="38" t="n">
        <f aca="false">IF($M1231="",0,N(INDEX($A1231:$J1231,$Q$6)))</f>
        <v>0</v>
      </c>
      <c r="R1231" s="39" t="str">
        <f aca="false">IF($M1231="","",INDEX($A1231:$J1231,$R$6))</f>
        <v/>
      </c>
      <c r="S1231" s="37" t="str">
        <f aca="false">IF($M1231="","",IFERROR(INDEX(Settings!$B$27:$B$36,MATCH(L1231,Settings!$A$27:$A$36,0))&amp;"","UNMAPPED"))</f>
        <v/>
      </c>
      <c r="T1231" s="37" t="str">
        <f aca="false">IF($M1231="","",IF(NOT(ISNUMBER(R1231)),"NO DATE",IF(S1231="Won",IF(R1231&gt;Settings!$B$5,"Backlog","Delivered"),IF(S1231="Open",IF(R1231&gt;Settings!$B$5,"Pipeline","Overdue"),IF(S1231="Lost","Lost","UNMAPPED")))))</f>
        <v/>
      </c>
      <c r="U1231" s="40" t="n">
        <f aca="false">IF(T1231="Backlog",1,IF(OR(T1231="Pipeline",T1231="Overdue"),N(INDEX(Settings!$C$27:$C$36,MATCH(L1231,Settings!$A$27:$A$36,0))),0))</f>
        <v>0</v>
      </c>
      <c r="V1231" s="38" t="n">
        <f aca="false">Q1231*U1231</f>
        <v>0</v>
      </c>
      <c r="W1231" s="41" t="str">
        <f aca="false">IF($M1231="","",IF(T1231="Overdue",IF(Settings!$B$8="Yes",Settings!$B$7,""),IF(ISNUMBER(R1231),DATE(YEAR(R1231),MONTH(R1231),1),"")))</f>
        <v/>
      </c>
      <c r="X1231" s="38" t="n">
        <f aca="false">IF(AND(OR(T1231="Backlog",T1231="Pipeline",T1231="Overdue"),ISNUMBER(W1231)),IF(W1231&lt;=Settings!$B$6,V1231,0),0)</f>
        <v>0</v>
      </c>
      <c r="Y1231" s="38" t="n">
        <f aca="false">IF(AND(OR(T1231="Backlog",T1231="Pipeline",T1231="Overdue"),ISNUMBER(W1231)),IF(W1231&lt;=Settings!$B$6,Q1231,0),0)</f>
        <v>0</v>
      </c>
      <c r="Z1231" s="38" t="n">
        <f aca="false">IF(Y1231=0,0,IF(T1231="Backlog",Q1231,Q1231*Dashboard!$C$10))</f>
        <v>0</v>
      </c>
      <c r="AA1231" s="37" t="n">
        <f aca="false">IF($N1231="",0,IF(COUNTIF(Dashboard!$C$13:$C$22,$N1231)&gt;0,1,0))</f>
        <v>0</v>
      </c>
      <c r="AB1231" s="37" t="str">
        <f aca="false">IF($N1231="","",IF(COUNTIF($N$8:$N1231,$N1231)=1,MAX($AB$7:$AB1230)+1,""))</f>
        <v/>
      </c>
    </row>
    <row r="1232" customFormat="false" ht="15" hidden="false" customHeight="false" outlineLevel="0" collapsed="false">
      <c r="L1232" s="37" t="str">
        <f aca="false">IF(INDEX($A1232:$J1232,$L$6)&lt;&gt;"",TRIM(LEFT(INDEX($A1232:$J1232,$L$6),FIND("(",INDEX($A1232:$J1232,$L$6)&amp;"(")-1)),L1231)</f>
        <v>Building Value Proposition</v>
      </c>
      <c r="M1232" s="37" t="str">
        <f aca="false">IF(INDEX($A1232:$J1232,$M$6)="","",INDEX($A1232:$J1232,$M$6)&amp;"")</f>
        <v/>
      </c>
      <c r="N1232" s="37" t="str">
        <f aca="false">IF($M1232="","",TRIM(INDEX($A1232:$J1232,$N$6)&amp;""))</f>
        <v/>
      </c>
      <c r="O1232" s="37" t="str">
        <f aca="false">IF($M1232="","",TRIM(INDEX($A1232:$J1232,$O$6)&amp;""))</f>
        <v/>
      </c>
      <c r="P1232" s="37" t="str">
        <f aca="false">IF($M1232="","",IFERROR(IF(INDEX(Settings!$B$41:$B$50,MATCH(O1232,Settings!$A$41:$A$50,0))&amp;""="","UNMAPPED",INDEX(Settings!$B$41:$B$50,MATCH(O1232,Settings!$A$41:$A$50,0))&amp;""),"UNMAPPED"))</f>
        <v/>
      </c>
      <c r="Q1232" s="38" t="n">
        <f aca="false">IF($M1232="",0,N(INDEX($A1232:$J1232,$Q$6)))</f>
        <v>0</v>
      </c>
      <c r="R1232" s="39" t="str">
        <f aca="false">IF($M1232="","",INDEX($A1232:$J1232,$R$6))</f>
        <v/>
      </c>
      <c r="S1232" s="37" t="str">
        <f aca="false">IF($M1232="","",IFERROR(INDEX(Settings!$B$27:$B$36,MATCH(L1232,Settings!$A$27:$A$36,0))&amp;"","UNMAPPED"))</f>
        <v/>
      </c>
      <c r="T1232" s="37" t="str">
        <f aca="false">IF($M1232="","",IF(NOT(ISNUMBER(R1232)),"NO DATE",IF(S1232="Won",IF(R1232&gt;Settings!$B$5,"Backlog","Delivered"),IF(S1232="Open",IF(R1232&gt;Settings!$B$5,"Pipeline","Overdue"),IF(S1232="Lost","Lost","UNMAPPED")))))</f>
        <v/>
      </c>
      <c r="U1232" s="40" t="n">
        <f aca="false">IF(T1232="Backlog",1,IF(OR(T1232="Pipeline",T1232="Overdue"),N(INDEX(Settings!$C$27:$C$36,MATCH(L1232,Settings!$A$27:$A$36,0))),0))</f>
        <v>0</v>
      </c>
      <c r="V1232" s="38" t="n">
        <f aca="false">Q1232*U1232</f>
        <v>0</v>
      </c>
      <c r="W1232" s="41" t="str">
        <f aca="false">IF($M1232="","",IF(T1232="Overdue",IF(Settings!$B$8="Yes",Settings!$B$7,""),IF(ISNUMBER(R1232),DATE(YEAR(R1232),MONTH(R1232),1),"")))</f>
        <v/>
      </c>
      <c r="X1232" s="38" t="n">
        <f aca="false">IF(AND(OR(T1232="Backlog",T1232="Pipeline",T1232="Overdue"),ISNUMBER(W1232)),IF(W1232&lt;=Settings!$B$6,V1232,0),0)</f>
        <v>0</v>
      </c>
      <c r="Y1232" s="38" t="n">
        <f aca="false">IF(AND(OR(T1232="Backlog",T1232="Pipeline",T1232="Overdue"),ISNUMBER(W1232)),IF(W1232&lt;=Settings!$B$6,Q1232,0),0)</f>
        <v>0</v>
      </c>
      <c r="Z1232" s="38" t="n">
        <f aca="false">IF(Y1232=0,0,IF(T1232="Backlog",Q1232,Q1232*Dashboard!$C$10))</f>
        <v>0</v>
      </c>
      <c r="AA1232" s="37" t="n">
        <f aca="false">IF($N1232="",0,IF(COUNTIF(Dashboard!$C$13:$C$22,$N1232)&gt;0,1,0))</f>
        <v>0</v>
      </c>
      <c r="AB1232" s="37" t="str">
        <f aca="false">IF($N1232="","",IF(COUNTIF($N$8:$N1232,$N1232)=1,MAX($AB$7:$AB1231)+1,""))</f>
        <v/>
      </c>
    </row>
    <row r="1233" customFormat="false" ht="15" hidden="false" customHeight="false" outlineLevel="0" collapsed="false">
      <c r="L1233" s="37" t="str">
        <f aca="false">IF(INDEX($A1233:$J1233,$L$6)&lt;&gt;"",TRIM(LEFT(INDEX($A1233:$J1233,$L$6),FIND("(",INDEX($A1233:$J1233,$L$6)&amp;"(")-1)),L1232)</f>
        <v>Building Value Proposition</v>
      </c>
      <c r="M1233" s="37" t="str">
        <f aca="false">IF(INDEX($A1233:$J1233,$M$6)="","",INDEX($A1233:$J1233,$M$6)&amp;"")</f>
        <v/>
      </c>
      <c r="N1233" s="37" t="str">
        <f aca="false">IF($M1233="","",TRIM(INDEX($A1233:$J1233,$N$6)&amp;""))</f>
        <v/>
      </c>
      <c r="O1233" s="37" t="str">
        <f aca="false">IF($M1233="","",TRIM(INDEX($A1233:$J1233,$O$6)&amp;""))</f>
        <v/>
      </c>
      <c r="P1233" s="37" t="str">
        <f aca="false">IF($M1233="","",IFERROR(IF(INDEX(Settings!$B$41:$B$50,MATCH(O1233,Settings!$A$41:$A$50,0))&amp;""="","UNMAPPED",INDEX(Settings!$B$41:$B$50,MATCH(O1233,Settings!$A$41:$A$50,0))&amp;""),"UNMAPPED"))</f>
        <v/>
      </c>
      <c r="Q1233" s="38" t="n">
        <f aca="false">IF($M1233="",0,N(INDEX($A1233:$J1233,$Q$6)))</f>
        <v>0</v>
      </c>
      <c r="R1233" s="39" t="str">
        <f aca="false">IF($M1233="","",INDEX($A1233:$J1233,$R$6))</f>
        <v/>
      </c>
      <c r="S1233" s="37" t="str">
        <f aca="false">IF($M1233="","",IFERROR(INDEX(Settings!$B$27:$B$36,MATCH(L1233,Settings!$A$27:$A$36,0))&amp;"","UNMAPPED"))</f>
        <v/>
      </c>
      <c r="T1233" s="37" t="str">
        <f aca="false">IF($M1233="","",IF(NOT(ISNUMBER(R1233)),"NO DATE",IF(S1233="Won",IF(R1233&gt;Settings!$B$5,"Backlog","Delivered"),IF(S1233="Open",IF(R1233&gt;Settings!$B$5,"Pipeline","Overdue"),IF(S1233="Lost","Lost","UNMAPPED")))))</f>
        <v/>
      </c>
      <c r="U1233" s="40" t="n">
        <f aca="false">IF(T1233="Backlog",1,IF(OR(T1233="Pipeline",T1233="Overdue"),N(INDEX(Settings!$C$27:$C$36,MATCH(L1233,Settings!$A$27:$A$36,0))),0))</f>
        <v>0</v>
      </c>
      <c r="V1233" s="38" t="n">
        <f aca="false">Q1233*U1233</f>
        <v>0</v>
      </c>
      <c r="W1233" s="41" t="str">
        <f aca="false">IF($M1233="","",IF(T1233="Overdue",IF(Settings!$B$8="Yes",Settings!$B$7,""),IF(ISNUMBER(R1233),DATE(YEAR(R1233),MONTH(R1233),1),"")))</f>
        <v/>
      </c>
      <c r="X1233" s="38" t="n">
        <f aca="false">IF(AND(OR(T1233="Backlog",T1233="Pipeline",T1233="Overdue"),ISNUMBER(W1233)),IF(W1233&lt;=Settings!$B$6,V1233,0),0)</f>
        <v>0</v>
      </c>
      <c r="Y1233" s="38" t="n">
        <f aca="false">IF(AND(OR(T1233="Backlog",T1233="Pipeline",T1233="Overdue"),ISNUMBER(W1233)),IF(W1233&lt;=Settings!$B$6,Q1233,0),0)</f>
        <v>0</v>
      </c>
      <c r="Z1233" s="38" t="n">
        <f aca="false">IF(Y1233=0,0,IF(T1233="Backlog",Q1233,Q1233*Dashboard!$C$10))</f>
        <v>0</v>
      </c>
      <c r="AA1233" s="37" t="n">
        <f aca="false">IF($N1233="",0,IF(COUNTIF(Dashboard!$C$13:$C$22,$N1233)&gt;0,1,0))</f>
        <v>0</v>
      </c>
      <c r="AB1233" s="37" t="str">
        <f aca="false">IF($N1233="","",IF(COUNTIF($N$8:$N1233,$N1233)=1,MAX($AB$7:$AB1232)+1,""))</f>
        <v/>
      </c>
    </row>
    <row r="1234" customFormat="false" ht="15" hidden="false" customHeight="false" outlineLevel="0" collapsed="false">
      <c r="L1234" s="37" t="str">
        <f aca="false">IF(INDEX($A1234:$J1234,$L$6)&lt;&gt;"",TRIM(LEFT(INDEX($A1234:$J1234,$L$6),FIND("(",INDEX($A1234:$J1234,$L$6)&amp;"(")-1)),L1233)</f>
        <v>Building Value Proposition</v>
      </c>
      <c r="M1234" s="37" t="str">
        <f aca="false">IF(INDEX($A1234:$J1234,$M$6)="","",INDEX($A1234:$J1234,$M$6)&amp;"")</f>
        <v/>
      </c>
      <c r="N1234" s="37" t="str">
        <f aca="false">IF($M1234="","",TRIM(INDEX($A1234:$J1234,$N$6)&amp;""))</f>
        <v/>
      </c>
      <c r="O1234" s="37" t="str">
        <f aca="false">IF($M1234="","",TRIM(INDEX($A1234:$J1234,$O$6)&amp;""))</f>
        <v/>
      </c>
      <c r="P1234" s="37" t="str">
        <f aca="false">IF($M1234="","",IFERROR(IF(INDEX(Settings!$B$41:$B$50,MATCH(O1234,Settings!$A$41:$A$50,0))&amp;""="","UNMAPPED",INDEX(Settings!$B$41:$B$50,MATCH(O1234,Settings!$A$41:$A$50,0))&amp;""),"UNMAPPED"))</f>
        <v/>
      </c>
      <c r="Q1234" s="38" t="n">
        <f aca="false">IF($M1234="",0,N(INDEX($A1234:$J1234,$Q$6)))</f>
        <v>0</v>
      </c>
      <c r="R1234" s="39" t="str">
        <f aca="false">IF($M1234="","",INDEX($A1234:$J1234,$R$6))</f>
        <v/>
      </c>
      <c r="S1234" s="37" t="str">
        <f aca="false">IF($M1234="","",IFERROR(INDEX(Settings!$B$27:$B$36,MATCH(L1234,Settings!$A$27:$A$36,0))&amp;"","UNMAPPED"))</f>
        <v/>
      </c>
      <c r="T1234" s="37" t="str">
        <f aca="false">IF($M1234="","",IF(NOT(ISNUMBER(R1234)),"NO DATE",IF(S1234="Won",IF(R1234&gt;Settings!$B$5,"Backlog","Delivered"),IF(S1234="Open",IF(R1234&gt;Settings!$B$5,"Pipeline","Overdue"),IF(S1234="Lost","Lost","UNMAPPED")))))</f>
        <v/>
      </c>
      <c r="U1234" s="40" t="n">
        <f aca="false">IF(T1234="Backlog",1,IF(OR(T1234="Pipeline",T1234="Overdue"),N(INDEX(Settings!$C$27:$C$36,MATCH(L1234,Settings!$A$27:$A$36,0))),0))</f>
        <v>0</v>
      </c>
      <c r="V1234" s="38" t="n">
        <f aca="false">Q1234*U1234</f>
        <v>0</v>
      </c>
      <c r="W1234" s="41" t="str">
        <f aca="false">IF($M1234="","",IF(T1234="Overdue",IF(Settings!$B$8="Yes",Settings!$B$7,""),IF(ISNUMBER(R1234),DATE(YEAR(R1234),MONTH(R1234),1),"")))</f>
        <v/>
      </c>
      <c r="X1234" s="38" t="n">
        <f aca="false">IF(AND(OR(T1234="Backlog",T1234="Pipeline",T1234="Overdue"),ISNUMBER(W1234)),IF(W1234&lt;=Settings!$B$6,V1234,0),0)</f>
        <v>0</v>
      </c>
      <c r="Y1234" s="38" t="n">
        <f aca="false">IF(AND(OR(T1234="Backlog",T1234="Pipeline",T1234="Overdue"),ISNUMBER(W1234)),IF(W1234&lt;=Settings!$B$6,Q1234,0),0)</f>
        <v>0</v>
      </c>
      <c r="Z1234" s="38" t="n">
        <f aca="false">IF(Y1234=0,0,IF(T1234="Backlog",Q1234,Q1234*Dashboard!$C$10))</f>
        <v>0</v>
      </c>
      <c r="AA1234" s="37" t="n">
        <f aca="false">IF($N1234="",0,IF(COUNTIF(Dashboard!$C$13:$C$22,$N1234)&gt;0,1,0))</f>
        <v>0</v>
      </c>
      <c r="AB1234" s="37" t="str">
        <f aca="false">IF($N1234="","",IF(COUNTIF($N$8:$N1234,$N1234)=1,MAX($AB$7:$AB1233)+1,""))</f>
        <v/>
      </c>
    </row>
    <row r="1235" customFormat="false" ht="15" hidden="false" customHeight="false" outlineLevel="0" collapsed="false">
      <c r="L1235" s="37" t="str">
        <f aca="false">IF(INDEX($A1235:$J1235,$L$6)&lt;&gt;"",TRIM(LEFT(INDEX($A1235:$J1235,$L$6),FIND("(",INDEX($A1235:$J1235,$L$6)&amp;"(")-1)),L1234)</f>
        <v>Building Value Proposition</v>
      </c>
      <c r="M1235" s="37" t="str">
        <f aca="false">IF(INDEX($A1235:$J1235,$M$6)="","",INDEX($A1235:$J1235,$M$6)&amp;"")</f>
        <v/>
      </c>
      <c r="N1235" s="37" t="str">
        <f aca="false">IF($M1235="","",TRIM(INDEX($A1235:$J1235,$N$6)&amp;""))</f>
        <v/>
      </c>
      <c r="O1235" s="37" t="str">
        <f aca="false">IF($M1235="","",TRIM(INDEX($A1235:$J1235,$O$6)&amp;""))</f>
        <v/>
      </c>
      <c r="P1235" s="37" t="str">
        <f aca="false">IF($M1235="","",IFERROR(IF(INDEX(Settings!$B$41:$B$50,MATCH(O1235,Settings!$A$41:$A$50,0))&amp;""="","UNMAPPED",INDEX(Settings!$B$41:$B$50,MATCH(O1235,Settings!$A$41:$A$50,0))&amp;""),"UNMAPPED"))</f>
        <v/>
      </c>
      <c r="Q1235" s="38" t="n">
        <f aca="false">IF($M1235="",0,N(INDEX($A1235:$J1235,$Q$6)))</f>
        <v>0</v>
      </c>
      <c r="R1235" s="39" t="str">
        <f aca="false">IF($M1235="","",INDEX($A1235:$J1235,$R$6))</f>
        <v/>
      </c>
      <c r="S1235" s="37" t="str">
        <f aca="false">IF($M1235="","",IFERROR(INDEX(Settings!$B$27:$B$36,MATCH(L1235,Settings!$A$27:$A$36,0))&amp;"","UNMAPPED"))</f>
        <v/>
      </c>
      <c r="T1235" s="37" t="str">
        <f aca="false">IF($M1235="","",IF(NOT(ISNUMBER(R1235)),"NO DATE",IF(S1235="Won",IF(R1235&gt;Settings!$B$5,"Backlog","Delivered"),IF(S1235="Open",IF(R1235&gt;Settings!$B$5,"Pipeline","Overdue"),IF(S1235="Lost","Lost","UNMAPPED")))))</f>
        <v/>
      </c>
      <c r="U1235" s="40" t="n">
        <f aca="false">IF(T1235="Backlog",1,IF(OR(T1235="Pipeline",T1235="Overdue"),N(INDEX(Settings!$C$27:$C$36,MATCH(L1235,Settings!$A$27:$A$36,0))),0))</f>
        <v>0</v>
      </c>
      <c r="V1235" s="38" t="n">
        <f aca="false">Q1235*U1235</f>
        <v>0</v>
      </c>
      <c r="W1235" s="41" t="str">
        <f aca="false">IF($M1235="","",IF(T1235="Overdue",IF(Settings!$B$8="Yes",Settings!$B$7,""),IF(ISNUMBER(R1235),DATE(YEAR(R1235),MONTH(R1235),1),"")))</f>
        <v/>
      </c>
      <c r="X1235" s="38" t="n">
        <f aca="false">IF(AND(OR(T1235="Backlog",T1235="Pipeline",T1235="Overdue"),ISNUMBER(W1235)),IF(W1235&lt;=Settings!$B$6,V1235,0),0)</f>
        <v>0</v>
      </c>
      <c r="Y1235" s="38" t="n">
        <f aca="false">IF(AND(OR(T1235="Backlog",T1235="Pipeline",T1235="Overdue"),ISNUMBER(W1235)),IF(W1235&lt;=Settings!$B$6,Q1235,0),0)</f>
        <v>0</v>
      </c>
      <c r="Z1235" s="38" t="n">
        <f aca="false">IF(Y1235=0,0,IF(T1235="Backlog",Q1235,Q1235*Dashboard!$C$10))</f>
        <v>0</v>
      </c>
      <c r="AA1235" s="37" t="n">
        <f aca="false">IF($N1235="",0,IF(COUNTIF(Dashboard!$C$13:$C$22,$N1235)&gt;0,1,0))</f>
        <v>0</v>
      </c>
      <c r="AB1235" s="37" t="str">
        <f aca="false">IF($N1235="","",IF(COUNTIF($N$8:$N1235,$N1235)=1,MAX($AB$7:$AB1234)+1,""))</f>
        <v/>
      </c>
    </row>
    <row r="1236" customFormat="false" ht="15" hidden="false" customHeight="false" outlineLevel="0" collapsed="false">
      <c r="L1236" s="37" t="str">
        <f aca="false">IF(INDEX($A1236:$J1236,$L$6)&lt;&gt;"",TRIM(LEFT(INDEX($A1236:$J1236,$L$6),FIND("(",INDEX($A1236:$J1236,$L$6)&amp;"(")-1)),L1235)</f>
        <v>Building Value Proposition</v>
      </c>
      <c r="M1236" s="37" t="str">
        <f aca="false">IF(INDEX($A1236:$J1236,$M$6)="","",INDEX($A1236:$J1236,$M$6)&amp;"")</f>
        <v/>
      </c>
      <c r="N1236" s="37" t="str">
        <f aca="false">IF($M1236="","",TRIM(INDEX($A1236:$J1236,$N$6)&amp;""))</f>
        <v/>
      </c>
      <c r="O1236" s="37" t="str">
        <f aca="false">IF($M1236="","",TRIM(INDEX($A1236:$J1236,$O$6)&amp;""))</f>
        <v/>
      </c>
      <c r="P1236" s="37" t="str">
        <f aca="false">IF($M1236="","",IFERROR(IF(INDEX(Settings!$B$41:$B$50,MATCH(O1236,Settings!$A$41:$A$50,0))&amp;""="","UNMAPPED",INDEX(Settings!$B$41:$B$50,MATCH(O1236,Settings!$A$41:$A$50,0))&amp;""),"UNMAPPED"))</f>
        <v/>
      </c>
      <c r="Q1236" s="38" t="n">
        <f aca="false">IF($M1236="",0,N(INDEX($A1236:$J1236,$Q$6)))</f>
        <v>0</v>
      </c>
      <c r="R1236" s="39" t="str">
        <f aca="false">IF($M1236="","",INDEX($A1236:$J1236,$R$6))</f>
        <v/>
      </c>
      <c r="S1236" s="37" t="str">
        <f aca="false">IF($M1236="","",IFERROR(INDEX(Settings!$B$27:$B$36,MATCH(L1236,Settings!$A$27:$A$36,0))&amp;"","UNMAPPED"))</f>
        <v/>
      </c>
      <c r="T1236" s="37" t="str">
        <f aca="false">IF($M1236="","",IF(NOT(ISNUMBER(R1236)),"NO DATE",IF(S1236="Won",IF(R1236&gt;Settings!$B$5,"Backlog","Delivered"),IF(S1236="Open",IF(R1236&gt;Settings!$B$5,"Pipeline","Overdue"),IF(S1236="Lost","Lost","UNMAPPED")))))</f>
        <v/>
      </c>
      <c r="U1236" s="40" t="n">
        <f aca="false">IF(T1236="Backlog",1,IF(OR(T1236="Pipeline",T1236="Overdue"),N(INDEX(Settings!$C$27:$C$36,MATCH(L1236,Settings!$A$27:$A$36,0))),0))</f>
        <v>0</v>
      </c>
      <c r="V1236" s="38" t="n">
        <f aca="false">Q1236*U1236</f>
        <v>0</v>
      </c>
      <c r="W1236" s="41" t="str">
        <f aca="false">IF($M1236="","",IF(T1236="Overdue",IF(Settings!$B$8="Yes",Settings!$B$7,""),IF(ISNUMBER(R1236),DATE(YEAR(R1236),MONTH(R1236),1),"")))</f>
        <v/>
      </c>
      <c r="X1236" s="38" t="n">
        <f aca="false">IF(AND(OR(T1236="Backlog",T1236="Pipeline",T1236="Overdue"),ISNUMBER(W1236)),IF(W1236&lt;=Settings!$B$6,V1236,0),0)</f>
        <v>0</v>
      </c>
      <c r="Y1236" s="38" t="n">
        <f aca="false">IF(AND(OR(T1236="Backlog",T1236="Pipeline",T1236="Overdue"),ISNUMBER(W1236)),IF(W1236&lt;=Settings!$B$6,Q1236,0),0)</f>
        <v>0</v>
      </c>
      <c r="Z1236" s="38" t="n">
        <f aca="false">IF(Y1236=0,0,IF(T1236="Backlog",Q1236,Q1236*Dashboard!$C$10))</f>
        <v>0</v>
      </c>
      <c r="AA1236" s="37" t="n">
        <f aca="false">IF($N1236="",0,IF(COUNTIF(Dashboard!$C$13:$C$22,$N1236)&gt;0,1,0))</f>
        <v>0</v>
      </c>
      <c r="AB1236" s="37" t="str">
        <f aca="false">IF($N1236="","",IF(COUNTIF($N$8:$N1236,$N1236)=1,MAX($AB$7:$AB1235)+1,""))</f>
        <v/>
      </c>
    </row>
    <row r="1237" customFormat="false" ht="15" hidden="false" customHeight="false" outlineLevel="0" collapsed="false">
      <c r="L1237" s="37" t="str">
        <f aca="false">IF(INDEX($A1237:$J1237,$L$6)&lt;&gt;"",TRIM(LEFT(INDEX($A1237:$J1237,$L$6),FIND("(",INDEX($A1237:$J1237,$L$6)&amp;"(")-1)),L1236)</f>
        <v>Building Value Proposition</v>
      </c>
      <c r="M1237" s="37" t="str">
        <f aca="false">IF(INDEX($A1237:$J1237,$M$6)="","",INDEX($A1237:$J1237,$M$6)&amp;"")</f>
        <v/>
      </c>
      <c r="N1237" s="37" t="str">
        <f aca="false">IF($M1237="","",TRIM(INDEX($A1237:$J1237,$N$6)&amp;""))</f>
        <v/>
      </c>
      <c r="O1237" s="37" t="str">
        <f aca="false">IF($M1237="","",TRIM(INDEX($A1237:$J1237,$O$6)&amp;""))</f>
        <v/>
      </c>
      <c r="P1237" s="37" t="str">
        <f aca="false">IF($M1237="","",IFERROR(IF(INDEX(Settings!$B$41:$B$50,MATCH(O1237,Settings!$A$41:$A$50,0))&amp;""="","UNMAPPED",INDEX(Settings!$B$41:$B$50,MATCH(O1237,Settings!$A$41:$A$50,0))&amp;""),"UNMAPPED"))</f>
        <v/>
      </c>
      <c r="Q1237" s="38" t="n">
        <f aca="false">IF($M1237="",0,N(INDEX($A1237:$J1237,$Q$6)))</f>
        <v>0</v>
      </c>
      <c r="R1237" s="39" t="str">
        <f aca="false">IF($M1237="","",INDEX($A1237:$J1237,$R$6))</f>
        <v/>
      </c>
      <c r="S1237" s="37" t="str">
        <f aca="false">IF($M1237="","",IFERROR(INDEX(Settings!$B$27:$B$36,MATCH(L1237,Settings!$A$27:$A$36,0))&amp;"","UNMAPPED"))</f>
        <v/>
      </c>
      <c r="T1237" s="37" t="str">
        <f aca="false">IF($M1237="","",IF(NOT(ISNUMBER(R1237)),"NO DATE",IF(S1237="Won",IF(R1237&gt;Settings!$B$5,"Backlog","Delivered"),IF(S1237="Open",IF(R1237&gt;Settings!$B$5,"Pipeline","Overdue"),IF(S1237="Lost","Lost","UNMAPPED")))))</f>
        <v/>
      </c>
      <c r="U1237" s="40" t="n">
        <f aca="false">IF(T1237="Backlog",1,IF(OR(T1237="Pipeline",T1237="Overdue"),N(INDEX(Settings!$C$27:$C$36,MATCH(L1237,Settings!$A$27:$A$36,0))),0))</f>
        <v>0</v>
      </c>
      <c r="V1237" s="38" t="n">
        <f aca="false">Q1237*U1237</f>
        <v>0</v>
      </c>
      <c r="W1237" s="41" t="str">
        <f aca="false">IF($M1237="","",IF(T1237="Overdue",IF(Settings!$B$8="Yes",Settings!$B$7,""),IF(ISNUMBER(R1237),DATE(YEAR(R1237),MONTH(R1237),1),"")))</f>
        <v/>
      </c>
      <c r="X1237" s="38" t="n">
        <f aca="false">IF(AND(OR(T1237="Backlog",T1237="Pipeline",T1237="Overdue"),ISNUMBER(W1237)),IF(W1237&lt;=Settings!$B$6,V1237,0),0)</f>
        <v>0</v>
      </c>
      <c r="Y1237" s="38" t="n">
        <f aca="false">IF(AND(OR(T1237="Backlog",T1237="Pipeline",T1237="Overdue"),ISNUMBER(W1237)),IF(W1237&lt;=Settings!$B$6,Q1237,0),0)</f>
        <v>0</v>
      </c>
      <c r="Z1237" s="38" t="n">
        <f aca="false">IF(Y1237=0,0,IF(T1237="Backlog",Q1237,Q1237*Dashboard!$C$10))</f>
        <v>0</v>
      </c>
      <c r="AA1237" s="37" t="n">
        <f aca="false">IF($N1237="",0,IF(COUNTIF(Dashboard!$C$13:$C$22,$N1237)&gt;0,1,0))</f>
        <v>0</v>
      </c>
      <c r="AB1237" s="37" t="str">
        <f aca="false">IF($N1237="","",IF(COUNTIF($N$8:$N1237,$N1237)=1,MAX($AB$7:$AB1236)+1,""))</f>
        <v/>
      </c>
    </row>
    <row r="1238" customFormat="false" ht="15" hidden="false" customHeight="false" outlineLevel="0" collapsed="false">
      <c r="L1238" s="37" t="str">
        <f aca="false">IF(INDEX($A1238:$J1238,$L$6)&lt;&gt;"",TRIM(LEFT(INDEX($A1238:$J1238,$L$6),FIND("(",INDEX($A1238:$J1238,$L$6)&amp;"(")-1)),L1237)</f>
        <v>Building Value Proposition</v>
      </c>
      <c r="M1238" s="37" t="str">
        <f aca="false">IF(INDEX($A1238:$J1238,$M$6)="","",INDEX($A1238:$J1238,$M$6)&amp;"")</f>
        <v/>
      </c>
      <c r="N1238" s="37" t="str">
        <f aca="false">IF($M1238="","",TRIM(INDEX($A1238:$J1238,$N$6)&amp;""))</f>
        <v/>
      </c>
      <c r="O1238" s="37" t="str">
        <f aca="false">IF($M1238="","",TRIM(INDEX($A1238:$J1238,$O$6)&amp;""))</f>
        <v/>
      </c>
      <c r="P1238" s="37" t="str">
        <f aca="false">IF($M1238="","",IFERROR(IF(INDEX(Settings!$B$41:$B$50,MATCH(O1238,Settings!$A$41:$A$50,0))&amp;""="","UNMAPPED",INDEX(Settings!$B$41:$B$50,MATCH(O1238,Settings!$A$41:$A$50,0))&amp;""),"UNMAPPED"))</f>
        <v/>
      </c>
      <c r="Q1238" s="38" t="n">
        <f aca="false">IF($M1238="",0,N(INDEX($A1238:$J1238,$Q$6)))</f>
        <v>0</v>
      </c>
      <c r="R1238" s="39" t="str">
        <f aca="false">IF($M1238="","",INDEX($A1238:$J1238,$R$6))</f>
        <v/>
      </c>
      <c r="S1238" s="37" t="str">
        <f aca="false">IF($M1238="","",IFERROR(INDEX(Settings!$B$27:$B$36,MATCH(L1238,Settings!$A$27:$A$36,0))&amp;"","UNMAPPED"))</f>
        <v/>
      </c>
      <c r="T1238" s="37" t="str">
        <f aca="false">IF($M1238="","",IF(NOT(ISNUMBER(R1238)),"NO DATE",IF(S1238="Won",IF(R1238&gt;Settings!$B$5,"Backlog","Delivered"),IF(S1238="Open",IF(R1238&gt;Settings!$B$5,"Pipeline","Overdue"),IF(S1238="Lost","Lost","UNMAPPED")))))</f>
        <v/>
      </c>
      <c r="U1238" s="40" t="n">
        <f aca="false">IF(T1238="Backlog",1,IF(OR(T1238="Pipeline",T1238="Overdue"),N(INDEX(Settings!$C$27:$C$36,MATCH(L1238,Settings!$A$27:$A$36,0))),0))</f>
        <v>0</v>
      </c>
      <c r="V1238" s="38" t="n">
        <f aca="false">Q1238*U1238</f>
        <v>0</v>
      </c>
      <c r="W1238" s="41" t="str">
        <f aca="false">IF($M1238="","",IF(T1238="Overdue",IF(Settings!$B$8="Yes",Settings!$B$7,""),IF(ISNUMBER(R1238),DATE(YEAR(R1238),MONTH(R1238),1),"")))</f>
        <v/>
      </c>
      <c r="X1238" s="38" t="n">
        <f aca="false">IF(AND(OR(T1238="Backlog",T1238="Pipeline",T1238="Overdue"),ISNUMBER(W1238)),IF(W1238&lt;=Settings!$B$6,V1238,0),0)</f>
        <v>0</v>
      </c>
      <c r="Y1238" s="38" t="n">
        <f aca="false">IF(AND(OR(T1238="Backlog",T1238="Pipeline",T1238="Overdue"),ISNUMBER(W1238)),IF(W1238&lt;=Settings!$B$6,Q1238,0),0)</f>
        <v>0</v>
      </c>
      <c r="Z1238" s="38" t="n">
        <f aca="false">IF(Y1238=0,0,IF(T1238="Backlog",Q1238,Q1238*Dashboard!$C$10))</f>
        <v>0</v>
      </c>
      <c r="AA1238" s="37" t="n">
        <f aca="false">IF($N1238="",0,IF(COUNTIF(Dashboard!$C$13:$C$22,$N1238)&gt;0,1,0))</f>
        <v>0</v>
      </c>
      <c r="AB1238" s="37" t="str">
        <f aca="false">IF($N1238="","",IF(COUNTIF($N$8:$N1238,$N1238)=1,MAX($AB$7:$AB1237)+1,""))</f>
        <v/>
      </c>
    </row>
    <row r="1239" customFormat="false" ht="15" hidden="false" customHeight="false" outlineLevel="0" collapsed="false">
      <c r="L1239" s="37" t="str">
        <f aca="false">IF(INDEX($A1239:$J1239,$L$6)&lt;&gt;"",TRIM(LEFT(INDEX($A1239:$J1239,$L$6),FIND("(",INDEX($A1239:$J1239,$L$6)&amp;"(")-1)),L1238)</f>
        <v>Building Value Proposition</v>
      </c>
      <c r="M1239" s="37" t="str">
        <f aca="false">IF(INDEX($A1239:$J1239,$M$6)="","",INDEX($A1239:$J1239,$M$6)&amp;"")</f>
        <v/>
      </c>
      <c r="N1239" s="37" t="str">
        <f aca="false">IF($M1239="","",TRIM(INDEX($A1239:$J1239,$N$6)&amp;""))</f>
        <v/>
      </c>
      <c r="O1239" s="37" t="str">
        <f aca="false">IF($M1239="","",TRIM(INDEX($A1239:$J1239,$O$6)&amp;""))</f>
        <v/>
      </c>
      <c r="P1239" s="37" t="str">
        <f aca="false">IF($M1239="","",IFERROR(IF(INDEX(Settings!$B$41:$B$50,MATCH(O1239,Settings!$A$41:$A$50,0))&amp;""="","UNMAPPED",INDEX(Settings!$B$41:$B$50,MATCH(O1239,Settings!$A$41:$A$50,0))&amp;""),"UNMAPPED"))</f>
        <v/>
      </c>
      <c r="Q1239" s="38" t="n">
        <f aca="false">IF($M1239="",0,N(INDEX($A1239:$J1239,$Q$6)))</f>
        <v>0</v>
      </c>
      <c r="R1239" s="39" t="str">
        <f aca="false">IF($M1239="","",INDEX($A1239:$J1239,$R$6))</f>
        <v/>
      </c>
      <c r="S1239" s="37" t="str">
        <f aca="false">IF($M1239="","",IFERROR(INDEX(Settings!$B$27:$B$36,MATCH(L1239,Settings!$A$27:$A$36,0))&amp;"","UNMAPPED"))</f>
        <v/>
      </c>
      <c r="T1239" s="37" t="str">
        <f aca="false">IF($M1239="","",IF(NOT(ISNUMBER(R1239)),"NO DATE",IF(S1239="Won",IF(R1239&gt;Settings!$B$5,"Backlog","Delivered"),IF(S1239="Open",IF(R1239&gt;Settings!$B$5,"Pipeline","Overdue"),IF(S1239="Lost","Lost","UNMAPPED")))))</f>
        <v/>
      </c>
      <c r="U1239" s="40" t="n">
        <f aca="false">IF(T1239="Backlog",1,IF(OR(T1239="Pipeline",T1239="Overdue"),N(INDEX(Settings!$C$27:$C$36,MATCH(L1239,Settings!$A$27:$A$36,0))),0))</f>
        <v>0</v>
      </c>
      <c r="V1239" s="38" t="n">
        <f aca="false">Q1239*U1239</f>
        <v>0</v>
      </c>
      <c r="W1239" s="41" t="str">
        <f aca="false">IF($M1239="","",IF(T1239="Overdue",IF(Settings!$B$8="Yes",Settings!$B$7,""),IF(ISNUMBER(R1239),DATE(YEAR(R1239),MONTH(R1239),1),"")))</f>
        <v/>
      </c>
      <c r="X1239" s="38" t="n">
        <f aca="false">IF(AND(OR(T1239="Backlog",T1239="Pipeline",T1239="Overdue"),ISNUMBER(W1239)),IF(W1239&lt;=Settings!$B$6,V1239,0),0)</f>
        <v>0</v>
      </c>
      <c r="Y1239" s="38" t="n">
        <f aca="false">IF(AND(OR(T1239="Backlog",T1239="Pipeline",T1239="Overdue"),ISNUMBER(W1239)),IF(W1239&lt;=Settings!$B$6,Q1239,0),0)</f>
        <v>0</v>
      </c>
      <c r="Z1239" s="38" t="n">
        <f aca="false">IF(Y1239=0,0,IF(T1239="Backlog",Q1239,Q1239*Dashboard!$C$10))</f>
        <v>0</v>
      </c>
      <c r="AA1239" s="37" t="n">
        <f aca="false">IF($N1239="",0,IF(COUNTIF(Dashboard!$C$13:$C$22,$N1239)&gt;0,1,0))</f>
        <v>0</v>
      </c>
      <c r="AB1239" s="37" t="str">
        <f aca="false">IF($N1239="","",IF(COUNTIF($N$8:$N1239,$N1239)=1,MAX($AB$7:$AB1238)+1,""))</f>
        <v/>
      </c>
    </row>
    <row r="1240" customFormat="false" ht="15" hidden="false" customHeight="false" outlineLevel="0" collapsed="false">
      <c r="L1240" s="37" t="str">
        <f aca="false">IF(INDEX($A1240:$J1240,$L$6)&lt;&gt;"",TRIM(LEFT(INDEX($A1240:$J1240,$L$6),FIND("(",INDEX($A1240:$J1240,$L$6)&amp;"(")-1)),L1239)</f>
        <v>Building Value Proposition</v>
      </c>
      <c r="M1240" s="37" t="str">
        <f aca="false">IF(INDEX($A1240:$J1240,$M$6)="","",INDEX($A1240:$J1240,$M$6)&amp;"")</f>
        <v/>
      </c>
      <c r="N1240" s="37" t="str">
        <f aca="false">IF($M1240="","",TRIM(INDEX($A1240:$J1240,$N$6)&amp;""))</f>
        <v/>
      </c>
      <c r="O1240" s="37" t="str">
        <f aca="false">IF($M1240="","",TRIM(INDEX($A1240:$J1240,$O$6)&amp;""))</f>
        <v/>
      </c>
      <c r="P1240" s="37" t="str">
        <f aca="false">IF($M1240="","",IFERROR(IF(INDEX(Settings!$B$41:$B$50,MATCH(O1240,Settings!$A$41:$A$50,0))&amp;""="","UNMAPPED",INDEX(Settings!$B$41:$B$50,MATCH(O1240,Settings!$A$41:$A$50,0))&amp;""),"UNMAPPED"))</f>
        <v/>
      </c>
      <c r="Q1240" s="38" t="n">
        <f aca="false">IF($M1240="",0,N(INDEX($A1240:$J1240,$Q$6)))</f>
        <v>0</v>
      </c>
      <c r="R1240" s="39" t="str">
        <f aca="false">IF($M1240="","",INDEX($A1240:$J1240,$R$6))</f>
        <v/>
      </c>
      <c r="S1240" s="37" t="str">
        <f aca="false">IF($M1240="","",IFERROR(INDEX(Settings!$B$27:$B$36,MATCH(L1240,Settings!$A$27:$A$36,0))&amp;"","UNMAPPED"))</f>
        <v/>
      </c>
      <c r="T1240" s="37" t="str">
        <f aca="false">IF($M1240="","",IF(NOT(ISNUMBER(R1240)),"NO DATE",IF(S1240="Won",IF(R1240&gt;Settings!$B$5,"Backlog","Delivered"),IF(S1240="Open",IF(R1240&gt;Settings!$B$5,"Pipeline","Overdue"),IF(S1240="Lost","Lost","UNMAPPED")))))</f>
        <v/>
      </c>
      <c r="U1240" s="40" t="n">
        <f aca="false">IF(T1240="Backlog",1,IF(OR(T1240="Pipeline",T1240="Overdue"),N(INDEX(Settings!$C$27:$C$36,MATCH(L1240,Settings!$A$27:$A$36,0))),0))</f>
        <v>0</v>
      </c>
      <c r="V1240" s="38" t="n">
        <f aca="false">Q1240*U1240</f>
        <v>0</v>
      </c>
      <c r="W1240" s="41" t="str">
        <f aca="false">IF($M1240="","",IF(T1240="Overdue",IF(Settings!$B$8="Yes",Settings!$B$7,""),IF(ISNUMBER(R1240),DATE(YEAR(R1240),MONTH(R1240),1),"")))</f>
        <v/>
      </c>
      <c r="X1240" s="38" t="n">
        <f aca="false">IF(AND(OR(T1240="Backlog",T1240="Pipeline",T1240="Overdue"),ISNUMBER(W1240)),IF(W1240&lt;=Settings!$B$6,V1240,0),0)</f>
        <v>0</v>
      </c>
      <c r="Y1240" s="38" t="n">
        <f aca="false">IF(AND(OR(T1240="Backlog",T1240="Pipeline",T1240="Overdue"),ISNUMBER(W1240)),IF(W1240&lt;=Settings!$B$6,Q1240,0),0)</f>
        <v>0</v>
      </c>
      <c r="Z1240" s="38" t="n">
        <f aca="false">IF(Y1240=0,0,IF(T1240="Backlog",Q1240,Q1240*Dashboard!$C$10))</f>
        <v>0</v>
      </c>
      <c r="AA1240" s="37" t="n">
        <f aca="false">IF($N1240="",0,IF(COUNTIF(Dashboard!$C$13:$C$22,$N1240)&gt;0,1,0))</f>
        <v>0</v>
      </c>
      <c r="AB1240" s="37" t="str">
        <f aca="false">IF($N1240="","",IF(COUNTIF($N$8:$N1240,$N1240)=1,MAX($AB$7:$AB1239)+1,""))</f>
        <v/>
      </c>
    </row>
    <row r="1241" customFormat="false" ht="15" hidden="false" customHeight="false" outlineLevel="0" collapsed="false">
      <c r="L1241" s="37" t="str">
        <f aca="false">IF(INDEX($A1241:$J1241,$L$6)&lt;&gt;"",TRIM(LEFT(INDEX($A1241:$J1241,$L$6),FIND("(",INDEX($A1241:$J1241,$L$6)&amp;"(")-1)),L1240)</f>
        <v>Building Value Proposition</v>
      </c>
      <c r="M1241" s="37" t="str">
        <f aca="false">IF(INDEX($A1241:$J1241,$M$6)="","",INDEX($A1241:$J1241,$M$6)&amp;"")</f>
        <v/>
      </c>
      <c r="N1241" s="37" t="str">
        <f aca="false">IF($M1241="","",TRIM(INDEX($A1241:$J1241,$N$6)&amp;""))</f>
        <v/>
      </c>
      <c r="O1241" s="37" t="str">
        <f aca="false">IF($M1241="","",TRIM(INDEX($A1241:$J1241,$O$6)&amp;""))</f>
        <v/>
      </c>
      <c r="P1241" s="37" t="str">
        <f aca="false">IF($M1241="","",IFERROR(IF(INDEX(Settings!$B$41:$B$50,MATCH(O1241,Settings!$A$41:$A$50,0))&amp;""="","UNMAPPED",INDEX(Settings!$B$41:$B$50,MATCH(O1241,Settings!$A$41:$A$50,0))&amp;""),"UNMAPPED"))</f>
        <v/>
      </c>
      <c r="Q1241" s="38" t="n">
        <f aca="false">IF($M1241="",0,N(INDEX($A1241:$J1241,$Q$6)))</f>
        <v>0</v>
      </c>
      <c r="R1241" s="39" t="str">
        <f aca="false">IF($M1241="","",INDEX($A1241:$J1241,$R$6))</f>
        <v/>
      </c>
      <c r="S1241" s="37" t="str">
        <f aca="false">IF($M1241="","",IFERROR(INDEX(Settings!$B$27:$B$36,MATCH(L1241,Settings!$A$27:$A$36,0))&amp;"","UNMAPPED"))</f>
        <v/>
      </c>
      <c r="T1241" s="37" t="str">
        <f aca="false">IF($M1241="","",IF(NOT(ISNUMBER(R1241)),"NO DATE",IF(S1241="Won",IF(R1241&gt;Settings!$B$5,"Backlog","Delivered"),IF(S1241="Open",IF(R1241&gt;Settings!$B$5,"Pipeline","Overdue"),IF(S1241="Lost","Lost","UNMAPPED")))))</f>
        <v/>
      </c>
      <c r="U1241" s="40" t="n">
        <f aca="false">IF(T1241="Backlog",1,IF(OR(T1241="Pipeline",T1241="Overdue"),N(INDEX(Settings!$C$27:$C$36,MATCH(L1241,Settings!$A$27:$A$36,0))),0))</f>
        <v>0</v>
      </c>
      <c r="V1241" s="38" t="n">
        <f aca="false">Q1241*U1241</f>
        <v>0</v>
      </c>
      <c r="W1241" s="41" t="str">
        <f aca="false">IF($M1241="","",IF(T1241="Overdue",IF(Settings!$B$8="Yes",Settings!$B$7,""),IF(ISNUMBER(R1241),DATE(YEAR(R1241),MONTH(R1241),1),"")))</f>
        <v/>
      </c>
      <c r="X1241" s="38" t="n">
        <f aca="false">IF(AND(OR(T1241="Backlog",T1241="Pipeline",T1241="Overdue"),ISNUMBER(W1241)),IF(W1241&lt;=Settings!$B$6,V1241,0),0)</f>
        <v>0</v>
      </c>
      <c r="Y1241" s="38" t="n">
        <f aca="false">IF(AND(OR(T1241="Backlog",T1241="Pipeline",T1241="Overdue"),ISNUMBER(W1241)),IF(W1241&lt;=Settings!$B$6,Q1241,0),0)</f>
        <v>0</v>
      </c>
      <c r="Z1241" s="38" t="n">
        <f aca="false">IF(Y1241=0,0,IF(T1241="Backlog",Q1241,Q1241*Dashboard!$C$10))</f>
        <v>0</v>
      </c>
      <c r="AA1241" s="37" t="n">
        <f aca="false">IF($N1241="",0,IF(COUNTIF(Dashboard!$C$13:$C$22,$N1241)&gt;0,1,0))</f>
        <v>0</v>
      </c>
      <c r="AB1241" s="37" t="str">
        <f aca="false">IF($N1241="","",IF(COUNTIF($N$8:$N1241,$N1241)=1,MAX($AB$7:$AB1240)+1,""))</f>
        <v/>
      </c>
    </row>
    <row r="1242" customFormat="false" ht="15" hidden="false" customHeight="false" outlineLevel="0" collapsed="false">
      <c r="L1242" s="37" t="str">
        <f aca="false">IF(INDEX($A1242:$J1242,$L$6)&lt;&gt;"",TRIM(LEFT(INDEX($A1242:$J1242,$L$6),FIND("(",INDEX($A1242:$J1242,$L$6)&amp;"(")-1)),L1241)</f>
        <v>Building Value Proposition</v>
      </c>
      <c r="M1242" s="37" t="str">
        <f aca="false">IF(INDEX($A1242:$J1242,$M$6)="","",INDEX($A1242:$J1242,$M$6)&amp;"")</f>
        <v/>
      </c>
      <c r="N1242" s="37" t="str">
        <f aca="false">IF($M1242="","",TRIM(INDEX($A1242:$J1242,$N$6)&amp;""))</f>
        <v/>
      </c>
      <c r="O1242" s="37" t="str">
        <f aca="false">IF($M1242="","",TRIM(INDEX($A1242:$J1242,$O$6)&amp;""))</f>
        <v/>
      </c>
      <c r="P1242" s="37" t="str">
        <f aca="false">IF($M1242="","",IFERROR(IF(INDEX(Settings!$B$41:$B$50,MATCH(O1242,Settings!$A$41:$A$50,0))&amp;""="","UNMAPPED",INDEX(Settings!$B$41:$B$50,MATCH(O1242,Settings!$A$41:$A$50,0))&amp;""),"UNMAPPED"))</f>
        <v/>
      </c>
      <c r="Q1242" s="38" t="n">
        <f aca="false">IF($M1242="",0,N(INDEX($A1242:$J1242,$Q$6)))</f>
        <v>0</v>
      </c>
      <c r="R1242" s="39" t="str">
        <f aca="false">IF($M1242="","",INDEX($A1242:$J1242,$R$6))</f>
        <v/>
      </c>
      <c r="S1242" s="37" t="str">
        <f aca="false">IF($M1242="","",IFERROR(INDEX(Settings!$B$27:$B$36,MATCH(L1242,Settings!$A$27:$A$36,0))&amp;"","UNMAPPED"))</f>
        <v/>
      </c>
      <c r="T1242" s="37" t="str">
        <f aca="false">IF($M1242="","",IF(NOT(ISNUMBER(R1242)),"NO DATE",IF(S1242="Won",IF(R1242&gt;Settings!$B$5,"Backlog","Delivered"),IF(S1242="Open",IF(R1242&gt;Settings!$B$5,"Pipeline","Overdue"),IF(S1242="Lost","Lost","UNMAPPED")))))</f>
        <v/>
      </c>
      <c r="U1242" s="40" t="n">
        <f aca="false">IF(T1242="Backlog",1,IF(OR(T1242="Pipeline",T1242="Overdue"),N(INDEX(Settings!$C$27:$C$36,MATCH(L1242,Settings!$A$27:$A$36,0))),0))</f>
        <v>0</v>
      </c>
      <c r="V1242" s="38" t="n">
        <f aca="false">Q1242*U1242</f>
        <v>0</v>
      </c>
      <c r="W1242" s="41" t="str">
        <f aca="false">IF($M1242="","",IF(T1242="Overdue",IF(Settings!$B$8="Yes",Settings!$B$7,""),IF(ISNUMBER(R1242),DATE(YEAR(R1242),MONTH(R1242),1),"")))</f>
        <v/>
      </c>
      <c r="X1242" s="38" t="n">
        <f aca="false">IF(AND(OR(T1242="Backlog",T1242="Pipeline",T1242="Overdue"),ISNUMBER(W1242)),IF(W1242&lt;=Settings!$B$6,V1242,0),0)</f>
        <v>0</v>
      </c>
      <c r="Y1242" s="38" t="n">
        <f aca="false">IF(AND(OR(T1242="Backlog",T1242="Pipeline",T1242="Overdue"),ISNUMBER(W1242)),IF(W1242&lt;=Settings!$B$6,Q1242,0),0)</f>
        <v>0</v>
      </c>
      <c r="Z1242" s="38" t="n">
        <f aca="false">IF(Y1242=0,0,IF(T1242="Backlog",Q1242,Q1242*Dashboard!$C$10))</f>
        <v>0</v>
      </c>
      <c r="AA1242" s="37" t="n">
        <f aca="false">IF($N1242="",0,IF(COUNTIF(Dashboard!$C$13:$C$22,$N1242)&gt;0,1,0))</f>
        <v>0</v>
      </c>
      <c r="AB1242" s="37" t="str">
        <f aca="false">IF($N1242="","",IF(COUNTIF($N$8:$N1242,$N1242)=1,MAX($AB$7:$AB1241)+1,""))</f>
        <v/>
      </c>
    </row>
    <row r="1243" customFormat="false" ht="15" hidden="false" customHeight="false" outlineLevel="0" collapsed="false">
      <c r="L1243" s="37" t="str">
        <f aca="false">IF(INDEX($A1243:$J1243,$L$6)&lt;&gt;"",TRIM(LEFT(INDEX($A1243:$J1243,$L$6),FIND("(",INDEX($A1243:$J1243,$L$6)&amp;"(")-1)),L1242)</f>
        <v>Building Value Proposition</v>
      </c>
      <c r="M1243" s="37" t="str">
        <f aca="false">IF(INDEX($A1243:$J1243,$M$6)="","",INDEX($A1243:$J1243,$M$6)&amp;"")</f>
        <v/>
      </c>
      <c r="N1243" s="37" t="str">
        <f aca="false">IF($M1243="","",TRIM(INDEX($A1243:$J1243,$N$6)&amp;""))</f>
        <v/>
      </c>
      <c r="O1243" s="37" t="str">
        <f aca="false">IF($M1243="","",TRIM(INDEX($A1243:$J1243,$O$6)&amp;""))</f>
        <v/>
      </c>
      <c r="P1243" s="37" t="str">
        <f aca="false">IF($M1243="","",IFERROR(IF(INDEX(Settings!$B$41:$B$50,MATCH(O1243,Settings!$A$41:$A$50,0))&amp;""="","UNMAPPED",INDEX(Settings!$B$41:$B$50,MATCH(O1243,Settings!$A$41:$A$50,0))&amp;""),"UNMAPPED"))</f>
        <v/>
      </c>
      <c r="Q1243" s="38" t="n">
        <f aca="false">IF($M1243="",0,N(INDEX($A1243:$J1243,$Q$6)))</f>
        <v>0</v>
      </c>
      <c r="R1243" s="39" t="str">
        <f aca="false">IF($M1243="","",INDEX($A1243:$J1243,$R$6))</f>
        <v/>
      </c>
      <c r="S1243" s="37" t="str">
        <f aca="false">IF($M1243="","",IFERROR(INDEX(Settings!$B$27:$B$36,MATCH(L1243,Settings!$A$27:$A$36,0))&amp;"","UNMAPPED"))</f>
        <v/>
      </c>
      <c r="T1243" s="37" t="str">
        <f aca="false">IF($M1243="","",IF(NOT(ISNUMBER(R1243)),"NO DATE",IF(S1243="Won",IF(R1243&gt;Settings!$B$5,"Backlog","Delivered"),IF(S1243="Open",IF(R1243&gt;Settings!$B$5,"Pipeline","Overdue"),IF(S1243="Lost","Lost","UNMAPPED")))))</f>
        <v/>
      </c>
      <c r="U1243" s="40" t="n">
        <f aca="false">IF(T1243="Backlog",1,IF(OR(T1243="Pipeline",T1243="Overdue"),N(INDEX(Settings!$C$27:$C$36,MATCH(L1243,Settings!$A$27:$A$36,0))),0))</f>
        <v>0</v>
      </c>
      <c r="V1243" s="38" t="n">
        <f aca="false">Q1243*U1243</f>
        <v>0</v>
      </c>
      <c r="W1243" s="41" t="str">
        <f aca="false">IF($M1243="","",IF(T1243="Overdue",IF(Settings!$B$8="Yes",Settings!$B$7,""),IF(ISNUMBER(R1243),DATE(YEAR(R1243),MONTH(R1243),1),"")))</f>
        <v/>
      </c>
      <c r="X1243" s="38" t="n">
        <f aca="false">IF(AND(OR(T1243="Backlog",T1243="Pipeline",T1243="Overdue"),ISNUMBER(W1243)),IF(W1243&lt;=Settings!$B$6,V1243,0),0)</f>
        <v>0</v>
      </c>
      <c r="Y1243" s="38" t="n">
        <f aca="false">IF(AND(OR(T1243="Backlog",T1243="Pipeline",T1243="Overdue"),ISNUMBER(W1243)),IF(W1243&lt;=Settings!$B$6,Q1243,0),0)</f>
        <v>0</v>
      </c>
      <c r="Z1243" s="38" t="n">
        <f aca="false">IF(Y1243=0,0,IF(T1243="Backlog",Q1243,Q1243*Dashboard!$C$10))</f>
        <v>0</v>
      </c>
      <c r="AA1243" s="37" t="n">
        <f aca="false">IF($N1243="",0,IF(COUNTIF(Dashboard!$C$13:$C$22,$N1243)&gt;0,1,0))</f>
        <v>0</v>
      </c>
      <c r="AB1243" s="37" t="str">
        <f aca="false">IF($N1243="","",IF(COUNTIF($N$8:$N1243,$N1243)=1,MAX($AB$7:$AB1242)+1,""))</f>
        <v/>
      </c>
    </row>
    <row r="1244" customFormat="false" ht="15" hidden="false" customHeight="false" outlineLevel="0" collapsed="false">
      <c r="L1244" s="37" t="str">
        <f aca="false">IF(INDEX($A1244:$J1244,$L$6)&lt;&gt;"",TRIM(LEFT(INDEX($A1244:$J1244,$L$6),FIND("(",INDEX($A1244:$J1244,$L$6)&amp;"(")-1)),L1243)</f>
        <v>Building Value Proposition</v>
      </c>
      <c r="M1244" s="37" t="str">
        <f aca="false">IF(INDEX($A1244:$J1244,$M$6)="","",INDEX($A1244:$J1244,$M$6)&amp;"")</f>
        <v/>
      </c>
      <c r="N1244" s="37" t="str">
        <f aca="false">IF($M1244="","",TRIM(INDEX($A1244:$J1244,$N$6)&amp;""))</f>
        <v/>
      </c>
      <c r="O1244" s="37" t="str">
        <f aca="false">IF($M1244="","",TRIM(INDEX($A1244:$J1244,$O$6)&amp;""))</f>
        <v/>
      </c>
      <c r="P1244" s="37" t="str">
        <f aca="false">IF($M1244="","",IFERROR(IF(INDEX(Settings!$B$41:$B$50,MATCH(O1244,Settings!$A$41:$A$50,0))&amp;""="","UNMAPPED",INDEX(Settings!$B$41:$B$50,MATCH(O1244,Settings!$A$41:$A$50,0))&amp;""),"UNMAPPED"))</f>
        <v/>
      </c>
      <c r="Q1244" s="38" t="n">
        <f aca="false">IF($M1244="",0,N(INDEX($A1244:$J1244,$Q$6)))</f>
        <v>0</v>
      </c>
      <c r="R1244" s="39" t="str">
        <f aca="false">IF($M1244="","",INDEX($A1244:$J1244,$R$6))</f>
        <v/>
      </c>
      <c r="S1244" s="37" t="str">
        <f aca="false">IF($M1244="","",IFERROR(INDEX(Settings!$B$27:$B$36,MATCH(L1244,Settings!$A$27:$A$36,0))&amp;"","UNMAPPED"))</f>
        <v/>
      </c>
      <c r="T1244" s="37" t="str">
        <f aca="false">IF($M1244="","",IF(NOT(ISNUMBER(R1244)),"NO DATE",IF(S1244="Won",IF(R1244&gt;Settings!$B$5,"Backlog","Delivered"),IF(S1244="Open",IF(R1244&gt;Settings!$B$5,"Pipeline","Overdue"),IF(S1244="Lost","Lost","UNMAPPED")))))</f>
        <v/>
      </c>
      <c r="U1244" s="40" t="n">
        <f aca="false">IF(T1244="Backlog",1,IF(OR(T1244="Pipeline",T1244="Overdue"),N(INDEX(Settings!$C$27:$C$36,MATCH(L1244,Settings!$A$27:$A$36,0))),0))</f>
        <v>0</v>
      </c>
      <c r="V1244" s="38" t="n">
        <f aca="false">Q1244*U1244</f>
        <v>0</v>
      </c>
      <c r="W1244" s="41" t="str">
        <f aca="false">IF($M1244="","",IF(T1244="Overdue",IF(Settings!$B$8="Yes",Settings!$B$7,""),IF(ISNUMBER(R1244),DATE(YEAR(R1244),MONTH(R1244),1),"")))</f>
        <v/>
      </c>
      <c r="X1244" s="38" t="n">
        <f aca="false">IF(AND(OR(T1244="Backlog",T1244="Pipeline",T1244="Overdue"),ISNUMBER(W1244)),IF(W1244&lt;=Settings!$B$6,V1244,0),0)</f>
        <v>0</v>
      </c>
      <c r="Y1244" s="38" t="n">
        <f aca="false">IF(AND(OR(T1244="Backlog",T1244="Pipeline",T1244="Overdue"),ISNUMBER(W1244)),IF(W1244&lt;=Settings!$B$6,Q1244,0),0)</f>
        <v>0</v>
      </c>
      <c r="Z1244" s="38" t="n">
        <f aca="false">IF(Y1244=0,0,IF(T1244="Backlog",Q1244,Q1244*Dashboard!$C$10))</f>
        <v>0</v>
      </c>
      <c r="AA1244" s="37" t="n">
        <f aca="false">IF($N1244="",0,IF(COUNTIF(Dashboard!$C$13:$C$22,$N1244)&gt;0,1,0))</f>
        <v>0</v>
      </c>
      <c r="AB1244" s="37" t="str">
        <f aca="false">IF($N1244="","",IF(COUNTIF($N$8:$N1244,$N1244)=1,MAX($AB$7:$AB1243)+1,""))</f>
        <v/>
      </c>
    </row>
    <row r="1245" customFormat="false" ht="15" hidden="false" customHeight="false" outlineLevel="0" collapsed="false">
      <c r="L1245" s="37" t="str">
        <f aca="false">IF(INDEX($A1245:$J1245,$L$6)&lt;&gt;"",TRIM(LEFT(INDEX($A1245:$J1245,$L$6),FIND("(",INDEX($A1245:$J1245,$L$6)&amp;"(")-1)),L1244)</f>
        <v>Building Value Proposition</v>
      </c>
      <c r="M1245" s="37" t="str">
        <f aca="false">IF(INDEX($A1245:$J1245,$M$6)="","",INDEX($A1245:$J1245,$M$6)&amp;"")</f>
        <v/>
      </c>
      <c r="N1245" s="37" t="str">
        <f aca="false">IF($M1245="","",TRIM(INDEX($A1245:$J1245,$N$6)&amp;""))</f>
        <v/>
      </c>
      <c r="O1245" s="37" t="str">
        <f aca="false">IF($M1245="","",TRIM(INDEX($A1245:$J1245,$O$6)&amp;""))</f>
        <v/>
      </c>
      <c r="P1245" s="37" t="str">
        <f aca="false">IF($M1245="","",IFERROR(IF(INDEX(Settings!$B$41:$B$50,MATCH(O1245,Settings!$A$41:$A$50,0))&amp;""="","UNMAPPED",INDEX(Settings!$B$41:$B$50,MATCH(O1245,Settings!$A$41:$A$50,0))&amp;""),"UNMAPPED"))</f>
        <v/>
      </c>
      <c r="Q1245" s="38" t="n">
        <f aca="false">IF($M1245="",0,N(INDEX($A1245:$J1245,$Q$6)))</f>
        <v>0</v>
      </c>
      <c r="R1245" s="39" t="str">
        <f aca="false">IF($M1245="","",INDEX($A1245:$J1245,$R$6))</f>
        <v/>
      </c>
      <c r="S1245" s="37" t="str">
        <f aca="false">IF($M1245="","",IFERROR(INDEX(Settings!$B$27:$B$36,MATCH(L1245,Settings!$A$27:$A$36,0))&amp;"","UNMAPPED"))</f>
        <v/>
      </c>
      <c r="T1245" s="37" t="str">
        <f aca="false">IF($M1245="","",IF(NOT(ISNUMBER(R1245)),"NO DATE",IF(S1245="Won",IF(R1245&gt;Settings!$B$5,"Backlog","Delivered"),IF(S1245="Open",IF(R1245&gt;Settings!$B$5,"Pipeline","Overdue"),IF(S1245="Lost","Lost","UNMAPPED")))))</f>
        <v/>
      </c>
      <c r="U1245" s="40" t="n">
        <f aca="false">IF(T1245="Backlog",1,IF(OR(T1245="Pipeline",T1245="Overdue"),N(INDEX(Settings!$C$27:$C$36,MATCH(L1245,Settings!$A$27:$A$36,0))),0))</f>
        <v>0</v>
      </c>
      <c r="V1245" s="38" t="n">
        <f aca="false">Q1245*U1245</f>
        <v>0</v>
      </c>
      <c r="W1245" s="41" t="str">
        <f aca="false">IF($M1245="","",IF(T1245="Overdue",IF(Settings!$B$8="Yes",Settings!$B$7,""),IF(ISNUMBER(R1245),DATE(YEAR(R1245),MONTH(R1245),1),"")))</f>
        <v/>
      </c>
      <c r="X1245" s="38" t="n">
        <f aca="false">IF(AND(OR(T1245="Backlog",T1245="Pipeline",T1245="Overdue"),ISNUMBER(W1245)),IF(W1245&lt;=Settings!$B$6,V1245,0),0)</f>
        <v>0</v>
      </c>
      <c r="Y1245" s="38" t="n">
        <f aca="false">IF(AND(OR(T1245="Backlog",T1245="Pipeline",T1245="Overdue"),ISNUMBER(W1245)),IF(W1245&lt;=Settings!$B$6,Q1245,0),0)</f>
        <v>0</v>
      </c>
      <c r="Z1245" s="38" t="n">
        <f aca="false">IF(Y1245=0,0,IF(T1245="Backlog",Q1245,Q1245*Dashboard!$C$10))</f>
        <v>0</v>
      </c>
      <c r="AA1245" s="37" t="n">
        <f aca="false">IF($N1245="",0,IF(COUNTIF(Dashboard!$C$13:$C$22,$N1245)&gt;0,1,0))</f>
        <v>0</v>
      </c>
      <c r="AB1245" s="37" t="str">
        <f aca="false">IF($N1245="","",IF(COUNTIF($N$8:$N1245,$N1245)=1,MAX($AB$7:$AB1244)+1,""))</f>
        <v/>
      </c>
    </row>
    <row r="1246" customFormat="false" ht="15" hidden="false" customHeight="false" outlineLevel="0" collapsed="false">
      <c r="L1246" s="37" t="str">
        <f aca="false">IF(INDEX($A1246:$J1246,$L$6)&lt;&gt;"",TRIM(LEFT(INDEX($A1246:$J1246,$L$6),FIND("(",INDEX($A1246:$J1246,$L$6)&amp;"(")-1)),L1245)</f>
        <v>Building Value Proposition</v>
      </c>
      <c r="M1246" s="37" t="str">
        <f aca="false">IF(INDEX($A1246:$J1246,$M$6)="","",INDEX($A1246:$J1246,$M$6)&amp;"")</f>
        <v/>
      </c>
      <c r="N1246" s="37" t="str">
        <f aca="false">IF($M1246="","",TRIM(INDEX($A1246:$J1246,$N$6)&amp;""))</f>
        <v/>
      </c>
      <c r="O1246" s="37" t="str">
        <f aca="false">IF($M1246="","",TRIM(INDEX($A1246:$J1246,$O$6)&amp;""))</f>
        <v/>
      </c>
      <c r="P1246" s="37" t="str">
        <f aca="false">IF($M1246="","",IFERROR(IF(INDEX(Settings!$B$41:$B$50,MATCH(O1246,Settings!$A$41:$A$50,0))&amp;""="","UNMAPPED",INDEX(Settings!$B$41:$B$50,MATCH(O1246,Settings!$A$41:$A$50,0))&amp;""),"UNMAPPED"))</f>
        <v/>
      </c>
      <c r="Q1246" s="38" t="n">
        <f aca="false">IF($M1246="",0,N(INDEX($A1246:$J1246,$Q$6)))</f>
        <v>0</v>
      </c>
      <c r="R1246" s="39" t="str">
        <f aca="false">IF($M1246="","",INDEX($A1246:$J1246,$R$6))</f>
        <v/>
      </c>
      <c r="S1246" s="37" t="str">
        <f aca="false">IF($M1246="","",IFERROR(INDEX(Settings!$B$27:$B$36,MATCH(L1246,Settings!$A$27:$A$36,0))&amp;"","UNMAPPED"))</f>
        <v/>
      </c>
      <c r="T1246" s="37" t="str">
        <f aca="false">IF($M1246="","",IF(NOT(ISNUMBER(R1246)),"NO DATE",IF(S1246="Won",IF(R1246&gt;Settings!$B$5,"Backlog","Delivered"),IF(S1246="Open",IF(R1246&gt;Settings!$B$5,"Pipeline","Overdue"),IF(S1246="Lost","Lost","UNMAPPED")))))</f>
        <v/>
      </c>
      <c r="U1246" s="40" t="n">
        <f aca="false">IF(T1246="Backlog",1,IF(OR(T1246="Pipeline",T1246="Overdue"),N(INDEX(Settings!$C$27:$C$36,MATCH(L1246,Settings!$A$27:$A$36,0))),0))</f>
        <v>0</v>
      </c>
      <c r="V1246" s="38" t="n">
        <f aca="false">Q1246*U1246</f>
        <v>0</v>
      </c>
      <c r="W1246" s="41" t="str">
        <f aca="false">IF($M1246="","",IF(T1246="Overdue",IF(Settings!$B$8="Yes",Settings!$B$7,""),IF(ISNUMBER(R1246),DATE(YEAR(R1246),MONTH(R1246),1),"")))</f>
        <v/>
      </c>
      <c r="X1246" s="38" t="n">
        <f aca="false">IF(AND(OR(T1246="Backlog",T1246="Pipeline",T1246="Overdue"),ISNUMBER(W1246)),IF(W1246&lt;=Settings!$B$6,V1246,0),0)</f>
        <v>0</v>
      </c>
      <c r="Y1246" s="38" t="n">
        <f aca="false">IF(AND(OR(T1246="Backlog",T1246="Pipeline",T1246="Overdue"),ISNUMBER(W1246)),IF(W1246&lt;=Settings!$B$6,Q1246,0),0)</f>
        <v>0</v>
      </c>
      <c r="Z1246" s="38" t="n">
        <f aca="false">IF(Y1246=0,0,IF(T1246="Backlog",Q1246,Q1246*Dashboard!$C$10))</f>
        <v>0</v>
      </c>
      <c r="AA1246" s="37" t="n">
        <f aca="false">IF($N1246="",0,IF(COUNTIF(Dashboard!$C$13:$C$22,$N1246)&gt;0,1,0))</f>
        <v>0</v>
      </c>
      <c r="AB1246" s="37" t="str">
        <f aca="false">IF($N1246="","",IF(COUNTIF($N$8:$N1246,$N1246)=1,MAX($AB$7:$AB1245)+1,""))</f>
        <v/>
      </c>
    </row>
    <row r="1247" customFormat="false" ht="15" hidden="false" customHeight="false" outlineLevel="0" collapsed="false">
      <c r="L1247" s="37" t="str">
        <f aca="false">IF(INDEX($A1247:$J1247,$L$6)&lt;&gt;"",TRIM(LEFT(INDEX($A1247:$J1247,$L$6),FIND("(",INDEX($A1247:$J1247,$L$6)&amp;"(")-1)),L1246)</f>
        <v>Building Value Proposition</v>
      </c>
      <c r="M1247" s="37" t="str">
        <f aca="false">IF(INDEX($A1247:$J1247,$M$6)="","",INDEX($A1247:$J1247,$M$6)&amp;"")</f>
        <v/>
      </c>
      <c r="N1247" s="37" t="str">
        <f aca="false">IF($M1247="","",TRIM(INDEX($A1247:$J1247,$N$6)&amp;""))</f>
        <v/>
      </c>
      <c r="O1247" s="37" t="str">
        <f aca="false">IF($M1247="","",TRIM(INDEX($A1247:$J1247,$O$6)&amp;""))</f>
        <v/>
      </c>
      <c r="P1247" s="37" t="str">
        <f aca="false">IF($M1247="","",IFERROR(IF(INDEX(Settings!$B$41:$B$50,MATCH(O1247,Settings!$A$41:$A$50,0))&amp;""="","UNMAPPED",INDEX(Settings!$B$41:$B$50,MATCH(O1247,Settings!$A$41:$A$50,0))&amp;""),"UNMAPPED"))</f>
        <v/>
      </c>
      <c r="Q1247" s="38" t="n">
        <f aca="false">IF($M1247="",0,N(INDEX($A1247:$J1247,$Q$6)))</f>
        <v>0</v>
      </c>
      <c r="R1247" s="39" t="str">
        <f aca="false">IF($M1247="","",INDEX($A1247:$J1247,$R$6))</f>
        <v/>
      </c>
      <c r="S1247" s="37" t="str">
        <f aca="false">IF($M1247="","",IFERROR(INDEX(Settings!$B$27:$B$36,MATCH(L1247,Settings!$A$27:$A$36,0))&amp;"","UNMAPPED"))</f>
        <v/>
      </c>
      <c r="T1247" s="37" t="str">
        <f aca="false">IF($M1247="","",IF(NOT(ISNUMBER(R1247)),"NO DATE",IF(S1247="Won",IF(R1247&gt;Settings!$B$5,"Backlog","Delivered"),IF(S1247="Open",IF(R1247&gt;Settings!$B$5,"Pipeline","Overdue"),IF(S1247="Lost","Lost","UNMAPPED")))))</f>
        <v/>
      </c>
      <c r="U1247" s="40" t="n">
        <f aca="false">IF(T1247="Backlog",1,IF(OR(T1247="Pipeline",T1247="Overdue"),N(INDEX(Settings!$C$27:$C$36,MATCH(L1247,Settings!$A$27:$A$36,0))),0))</f>
        <v>0</v>
      </c>
      <c r="V1247" s="38" t="n">
        <f aca="false">Q1247*U1247</f>
        <v>0</v>
      </c>
      <c r="W1247" s="41" t="str">
        <f aca="false">IF($M1247="","",IF(T1247="Overdue",IF(Settings!$B$8="Yes",Settings!$B$7,""),IF(ISNUMBER(R1247),DATE(YEAR(R1247),MONTH(R1247),1),"")))</f>
        <v/>
      </c>
      <c r="X1247" s="38" t="n">
        <f aca="false">IF(AND(OR(T1247="Backlog",T1247="Pipeline",T1247="Overdue"),ISNUMBER(W1247)),IF(W1247&lt;=Settings!$B$6,V1247,0),0)</f>
        <v>0</v>
      </c>
      <c r="Y1247" s="38" t="n">
        <f aca="false">IF(AND(OR(T1247="Backlog",T1247="Pipeline",T1247="Overdue"),ISNUMBER(W1247)),IF(W1247&lt;=Settings!$B$6,Q1247,0),0)</f>
        <v>0</v>
      </c>
      <c r="Z1247" s="38" t="n">
        <f aca="false">IF(Y1247=0,0,IF(T1247="Backlog",Q1247,Q1247*Dashboard!$C$10))</f>
        <v>0</v>
      </c>
      <c r="AA1247" s="37" t="n">
        <f aca="false">IF($N1247="",0,IF(COUNTIF(Dashboard!$C$13:$C$22,$N1247)&gt;0,1,0))</f>
        <v>0</v>
      </c>
      <c r="AB1247" s="37" t="str">
        <f aca="false">IF($N1247="","",IF(COUNTIF($N$8:$N1247,$N1247)=1,MAX($AB$7:$AB1246)+1,""))</f>
        <v/>
      </c>
    </row>
    <row r="1248" customFormat="false" ht="15" hidden="false" customHeight="false" outlineLevel="0" collapsed="false">
      <c r="L1248" s="37" t="str">
        <f aca="false">IF(INDEX($A1248:$J1248,$L$6)&lt;&gt;"",TRIM(LEFT(INDEX($A1248:$J1248,$L$6),FIND("(",INDEX($A1248:$J1248,$L$6)&amp;"(")-1)),L1247)</f>
        <v>Building Value Proposition</v>
      </c>
      <c r="M1248" s="37" t="str">
        <f aca="false">IF(INDEX($A1248:$J1248,$M$6)="","",INDEX($A1248:$J1248,$M$6)&amp;"")</f>
        <v/>
      </c>
      <c r="N1248" s="37" t="str">
        <f aca="false">IF($M1248="","",TRIM(INDEX($A1248:$J1248,$N$6)&amp;""))</f>
        <v/>
      </c>
      <c r="O1248" s="37" t="str">
        <f aca="false">IF($M1248="","",TRIM(INDEX($A1248:$J1248,$O$6)&amp;""))</f>
        <v/>
      </c>
      <c r="P1248" s="37" t="str">
        <f aca="false">IF($M1248="","",IFERROR(IF(INDEX(Settings!$B$41:$B$50,MATCH(O1248,Settings!$A$41:$A$50,0))&amp;""="","UNMAPPED",INDEX(Settings!$B$41:$B$50,MATCH(O1248,Settings!$A$41:$A$50,0))&amp;""),"UNMAPPED"))</f>
        <v/>
      </c>
      <c r="Q1248" s="38" t="n">
        <f aca="false">IF($M1248="",0,N(INDEX($A1248:$J1248,$Q$6)))</f>
        <v>0</v>
      </c>
      <c r="R1248" s="39" t="str">
        <f aca="false">IF($M1248="","",INDEX($A1248:$J1248,$R$6))</f>
        <v/>
      </c>
      <c r="S1248" s="37" t="str">
        <f aca="false">IF($M1248="","",IFERROR(INDEX(Settings!$B$27:$B$36,MATCH(L1248,Settings!$A$27:$A$36,0))&amp;"","UNMAPPED"))</f>
        <v/>
      </c>
      <c r="T1248" s="37" t="str">
        <f aca="false">IF($M1248="","",IF(NOT(ISNUMBER(R1248)),"NO DATE",IF(S1248="Won",IF(R1248&gt;Settings!$B$5,"Backlog","Delivered"),IF(S1248="Open",IF(R1248&gt;Settings!$B$5,"Pipeline","Overdue"),IF(S1248="Lost","Lost","UNMAPPED")))))</f>
        <v/>
      </c>
      <c r="U1248" s="40" t="n">
        <f aca="false">IF(T1248="Backlog",1,IF(OR(T1248="Pipeline",T1248="Overdue"),N(INDEX(Settings!$C$27:$C$36,MATCH(L1248,Settings!$A$27:$A$36,0))),0))</f>
        <v>0</v>
      </c>
      <c r="V1248" s="38" t="n">
        <f aca="false">Q1248*U1248</f>
        <v>0</v>
      </c>
      <c r="W1248" s="41" t="str">
        <f aca="false">IF($M1248="","",IF(T1248="Overdue",IF(Settings!$B$8="Yes",Settings!$B$7,""),IF(ISNUMBER(R1248),DATE(YEAR(R1248),MONTH(R1248),1),"")))</f>
        <v/>
      </c>
      <c r="X1248" s="38" t="n">
        <f aca="false">IF(AND(OR(T1248="Backlog",T1248="Pipeline",T1248="Overdue"),ISNUMBER(W1248)),IF(W1248&lt;=Settings!$B$6,V1248,0),0)</f>
        <v>0</v>
      </c>
      <c r="Y1248" s="38" t="n">
        <f aca="false">IF(AND(OR(T1248="Backlog",T1248="Pipeline",T1248="Overdue"),ISNUMBER(W1248)),IF(W1248&lt;=Settings!$B$6,Q1248,0),0)</f>
        <v>0</v>
      </c>
      <c r="Z1248" s="38" t="n">
        <f aca="false">IF(Y1248=0,0,IF(T1248="Backlog",Q1248,Q1248*Dashboard!$C$10))</f>
        <v>0</v>
      </c>
      <c r="AA1248" s="37" t="n">
        <f aca="false">IF($N1248="",0,IF(COUNTIF(Dashboard!$C$13:$C$22,$N1248)&gt;0,1,0))</f>
        <v>0</v>
      </c>
      <c r="AB1248" s="37" t="str">
        <f aca="false">IF($N1248="","",IF(COUNTIF($N$8:$N1248,$N1248)=1,MAX($AB$7:$AB1247)+1,""))</f>
        <v/>
      </c>
    </row>
    <row r="1249" customFormat="false" ht="15" hidden="false" customHeight="false" outlineLevel="0" collapsed="false">
      <c r="L1249" s="37" t="str">
        <f aca="false">IF(INDEX($A1249:$J1249,$L$6)&lt;&gt;"",TRIM(LEFT(INDEX($A1249:$J1249,$L$6),FIND("(",INDEX($A1249:$J1249,$L$6)&amp;"(")-1)),L1248)</f>
        <v>Building Value Proposition</v>
      </c>
      <c r="M1249" s="37" t="str">
        <f aca="false">IF(INDEX($A1249:$J1249,$M$6)="","",INDEX($A1249:$J1249,$M$6)&amp;"")</f>
        <v/>
      </c>
      <c r="N1249" s="37" t="str">
        <f aca="false">IF($M1249="","",TRIM(INDEX($A1249:$J1249,$N$6)&amp;""))</f>
        <v/>
      </c>
      <c r="O1249" s="37" t="str">
        <f aca="false">IF($M1249="","",TRIM(INDEX($A1249:$J1249,$O$6)&amp;""))</f>
        <v/>
      </c>
      <c r="P1249" s="37" t="str">
        <f aca="false">IF($M1249="","",IFERROR(IF(INDEX(Settings!$B$41:$B$50,MATCH(O1249,Settings!$A$41:$A$50,0))&amp;""="","UNMAPPED",INDEX(Settings!$B$41:$B$50,MATCH(O1249,Settings!$A$41:$A$50,0))&amp;""),"UNMAPPED"))</f>
        <v/>
      </c>
      <c r="Q1249" s="38" t="n">
        <f aca="false">IF($M1249="",0,N(INDEX($A1249:$J1249,$Q$6)))</f>
        <v>0</v>
      </c>
      <c r="R1249" s="39" t="str">
        <f aca="false">IF($M1249="","",INDEX($A1249:$J1249,$R$6))</f>
        <v/>
      </c>
      <c r="S1249" s="37" t="str">
        <f aca="false">IF($M1249="","",IFERROR(INDEX(Settings!$B$27:$B$36,MATCH(L1249,Settings!$A$27:$A$36,0))&amp;"","UNMAPPED"))</f>
        <v/>
      </c>
      <c r="T1249" s="37" t="str">
        <f aca="false">IF($M1249="","",IF(NOT(ISNUMBER(R1249)),"NO DATE",IF(S1249="Won",IF(R1249&gt;Settings!$B$5,"Backlog","Delivered"),IF(S1249="Open",IF(R1249&gt;Settings!$B$5,"Pipeline","Overdue"),IF(S1249="Lost","Lost","UNMAPPED")))))</f>
        <v/>
      </c>
      <c r="U1249" s="40" t="n">
        <f aca="false">IF(T1249="Backlog",1,IF(OR(T1249="Pipeline",T1249="Overdue"),N(INDEX(Settings!$C$27:$C$36,MATCH(L1249,Settings!$A$27:$A$36,0))),0))</f>
        <v>0</v>
      </c>
      <c r="V1249" s="38" t="n">
        <f aca="false">Q1249*U1249</f>
        <v>0</v>
      </c>
      <c r="W1249" s="41" t="str">
        <f aca="false">IF($M1249="","",IF(T1249="Overdue",IF(Settings!$B$8="Yes",Settings!$B$7,""),IF(ISNUMBER(R1249),DATE(YEAR(R1249),MONTH(R1249),1),"")))</f>
        <v/>
      </c>
      <c r="X1249" s="38" t="n">
        <f aca="false">IF(AND(OR(T1249="Backlog",T1249="Pipeline",T1249="Overdue"),ISNUMBER(W1249)),IF(W1249&lt;=Settings!$B$6,V1249,0),0)</f>
        <v>0</v>
      </c>
      <c r="Y1249" s="38" t="n">
        <f aca="false">IF(AND(OR(T1249="Backlog",T1249="Pipeline",T1249="Overdue"),ISNUMBER(W1249)),IF(W1249&lt;=Settings!$B$6,Q1249,0),0)</f>
        <v>0</v>
      </c>
      <c r="Z1249" s="38" t="n">
        <f aca="false">IF(Y1249=0,0,IF(T1249="Backlog",Q1249,Q1249*Dashboard!$C$10))</f>
        <v>0</v>
      </c>
      <c r="AA1249" s="37" t="n">
        <f aca="false">IF($N1249="",0,IF(COUNTIF(Dashboard!$C$13:$C$22,$N1249)&gt;0,1,0))</f>
        <v>0</v>
      </c>
      <c r="AB1249" s="37" t="str">
        <f aca="false">IF($N1249="","",IF(COUNTIF($N$8:$N1249,$N1249)=1,MAX($AB$7:$AB1248)+1,""))</f>
        <v/>
      </c>
    </row>
    <row r="1250" customFormat="false" ht="15" hidden="false" customHeight="false" outlineLevel="0" collapsed="false">
      <c r="L1250" s="37" t="str">
        <f aca="false">IF(INDEX($A1250:$J1250,$L$6)&lt;&gt;"",TRIM(LEFT(INDEX($A1250:$J1250,$L$6),FIND("(",INDEX($A1250:$J1250,$L$6)&amp;"(")-1)),L1249)</f>
        <v>Building Value Proposition</v>
      </c>
      <c r="M1250" s="37" t="str">
        <f aca="false">IF(INDEX($A1250:$J1250,$M$6)="","",INDEX($A1250:$J1250,$M$6)&amp;"")</f>
        <v/>
      </c>
      <c r="N1250" s="37" t="str">
        <f aca="false">IF($M1250="","",TRIM(INDEX($A1250:$J1250,$N$6)&amp;""))</f>
        <v/>
      </c>
      <c r="O1250" s="37" t="str">
        <f aca="false">IF($M1250="","",TRIM(INDEX($A1250:$J1250,$O$6)&amp;""))</f>
        <v/>
      </c>
      <c r="P1250" s="37" t="str">
        <f aca="false">IF($M1250="","",IFERROR(IF(INDEX(Settings!$B$41:$B$50,MATCH(O1250,Settings!$A$41:$A$50,0))&amp;""="","UNMAPPED",INDEX(Settings!$B$41:$B$50,MATCH(O1250,Settings!$A$41:$A$50,0))&amp;""),"UNMAPPED"))</f>
        <v/>
      </c>
      <c r="Q1250" s="38" t="n">
        <f aca="false">IF($M1250="",0,N(INDEX($A1250:$J1250,$Q$6)))</f>
        <v>0</v>
      </c>
      <c r="R1250" s="39" t="str">
        <f aca="false">IF($M1250="","",INDEX($A1250:$J1250,$R$6))</f>
        <v/>
      </c>
      <c r="S1250" s="37" t="str">
        <f aca="false">IF($M1250="","",IFERROR(INDEX(Settings!$B$27:$B$36,MATCH(L1250,Settings!$A$27:$A$36,0))&amp;"","UNMAPPED"))</f>
        <v/>
      </c>
      <c r="T1250" s="37" t="str">
        <f aca="false">IF($M1250="","",IF(NOT(ISNUMBER(R1250)),"NO DATE",IF(S1250="Won",IF(R1250&gt;Settings!$B$5,"Backlog","Delivered"),IF(S1250="Open",IF(R1250&gt;Settings!$B$5,"Pipeline","Overdue"),IF(S1250="Lost","Lost","UNMAPPED")))))</f>
        <v/>
      </c>
      <c r="U1250" s="40" t="n">
        <f aca="false">IF(T1250="Backlog",1,IF(OR(T1250="Pipeline",T1250="Overdue"),N(INDEX(Settings!$C$27:$C$36,MATCH(L1250,Settings!$A$27:$A$36,0))),0))</f>
        <v>0</v>
      </c>
      <c r="V1250" s="38" t="n">
        <f aca="false">Q1250*U1250</f>
        <v>0</v>
      </c>
      <c r="W1250" s="41" t="str">
        <f aca="false">IF($M1250="","",IF(T1250="Overdue",IF(Settings!$B$8="Yes",Settings!$B$7,""),IF(ISNUMBER(R1250),DATE(YEAR(R1250),MONTH(R1250),1),"")))</f>
        <v/>
      </c>
      <c r="X1250" s="38" t="n">
        <f aca="false">IF(AND(OR(T1250="Backlog",T1250="Pipeline",T1250="Overdue"),ISNUMBER(W1250)),IF(W1250&lt;=Settings!$B$6,V1250,0),0)</f>
        <v>0</v>
      </c>
      <c r="Y1250" s="38" t="n">
        <f aca="false">IF(AND(OR(T1250="Backlog",T1250="Pipeline",T1250="Overdue"),ISNUMBER(W1250)),IF(W1250&lt;=Settings!$B$6,Q1250,0),0)</f>
        <v>0</v>
      </c>
      <c r="Z1250" s="38" t="n">
        <f aca="false">IF(Y1250=0,0,IF(T1250="Backlog",Q1250,Q1250*Dashboard!$C$10))</f>
        <v>0</v>
      </c>
      <c r="AA1250" s="37" t="n">
        <f aca="false">IF($N1250="",0,IF(COUNTIF(Dashboard!$C$13:$C$22,$N1250)&gt;0,1,0))</f>
        <v>0</v>
      </c>
      <c r="AB1250" s="37" t="str">
        <f aca="false">IF($N1250="","",IF(COUNTIF($N$8:$N1250,$N1250)=1,MAX($AB$7:$AB1249)+1,""))</f>
        <v/>
      </c>
    </row>
    <row r="1251" customFormat="false" ht="15" hidden="false" customHeight="false" outlineLevel="0" collapsed="false">
      <c r="L1251" s="37" t="str">
        <f aca="false">IF(INDEX($A1251:$J1251,$L$6)&lt;&gt;"",TRIM(LEFT(INDEX($A1251:$J1251,$L$6),FIND("(",INDEX($A1251:$J1251,$L$6)&amp;"(")-1)),L1250)</f>
        <v>Building Value Proposition</v>
      </c>
      <c r="M1251" s="37" t="str">
        <f aca="false">IF(INDEX($A1251:$J1251,$M$6)="","",INDEX($A1251:$J1251,$M$6)&amp;"")</f>
        <v/>
      </c>
      <c r="N1251" s="37" t="str">
        <f aca="false">IF($M1251="","",TRIM(INDEX($A1251:$J1251,$N$6)&amp;""))</f>
        <v/>
      </c>
      <c r="O1251" s="37" t="str">
        <f aca="false">IF($M1251="","",TRIM(INDEX($A1251:$J1251,$O$6)&amp;""))</f>
        <v/>
      </c>
      <c r="P1251" s="37" t="str">
        <f aca="false">IF($M1251="","",IFERROR(IF(INDEX(Settings!$B$41:$B$50,MATCH(O1251,Settings!$A$41:$A$50,0))&amp;""="","UNMAPPED",INDEX(Settings!$B$41:$B$50,MATCH(O1251,Settings!$A$41:$A$50,0))&amp;""),"UNMAPPED"))</f>
        <v/>
      </c>
      <c r="Q1251" s="38" t="n">
        <f aca="false">IF($M1251="",0,N(INDEX($A1251:$J1251,$Q$6)))</f>
        <v>0</v>
      </c>
      <c r="R1251" s="39" t="str">
        <f aca="false">IF($M1251="","",INDEX($A1251:$J1251,$R$6))</f>
        <v/>
      </c>
      <c r="S1251" s="37" t="str">
        <f aca="false">IF($M1251="","",IFERROR(INDEX(Settings!$B$27:$B$36,MATCH(L1251,Settings!$A$27:$A$36,0))&amp;"","UNMAPPED"))</f>
        <v/>
      </c>
      <c r="T1251" s="37" t="str">
        <f aca="false">IF($M1251="","",IF(NOT(ISNUMBER(R1251)),"NO DATE",IF(S1251="Won",IF(R1251&gt;Settings!$B$5,"Backlog","Delivered"),IF(S1251="Open",IF(R1251&gt;Settings!$B$5,"Pipeline","Overdue"),IF(S1251="Lost","Lost","UNMAPPED")))))</f>
        <v/>
      </c>
      <c r="U1251" s="40" t="n">
        <f aca="false">IF(T1251="Backlog",1,IF(OR(T1251="Pipeline",T1251="Overdue"),N(INDEX(Settings!$C$27:$C$36,MATCH(L1251,Settings!$A$27:$A$36,0))),0))</f>
        <v>0</v>
      </c>
      <c r="V1251" s="38" t="n">
        <f aca="false">Q1251*U1251</f>
        <v>0</v>
      </c>
      <c r="W1251" s="41" t="str">
        <f aca="false">IF($M1251="","",IF(T1251="Overdue",IF(Settings!$B$8="Yes",Settings!$B$7,""),IF(ISNUMBER(R1251),DATE(YEAR(R1251),MONTH(R1251),1),"")))</f>
        <v/>
      </c>
      <c r="X1251" s="38" t="n">
        <f aca="false">IF(AND(OR(T1251="Backlog",T1251="Pipeline",T1251="Overdue"),ISNUMBER(W1251)),IF(W1251&lt;=Settings!$B$6,V1251,0),0)</f>
        <v>0</v>
      </c>
      <c r="Y1251" s="38" t="n">
        <f aca="false">IF(AND(OR(T1251="Backlog",T1251="Pipeline",T1251="Overdue"),ISNUMBER(W1251)),IF(W1251&lt;=Settings!$B$6,Q1251,0),0)</f>
        <v>0</v>
      </c>
      <c r="Z1251" s="38" t="n">
        <f aca="false">IF(Y1251=0,0,IF(T1251="Backlog",Q1251,Q1251*Dashboard!$C$10))</f>
        <v>0</v>
      </c>
      <c r="AA1251" s="37" t="n">
        <f aca="false">IF($N1251="",0,IF(COUNTIF(Dashboard!$C$13:$C$22,$N1251)&gt;0,1,0))</f>
        <v>0</v>
      </c>
      <c r="AB1251" s="37" t="str">
        <f aca="false">IF($N1251="","",IF(COUNTIF($N$8:$N1251,$N1251)=1,MAX($AB$7:$AB1250)+1,""))</f>
        <v/>
      </c>
    </row>
    <row r="1252" customFormat="false" ht="15" hidden="false" customHeight="false" outlineLevel="0" collapsed="false">
      <c r="L1252" s="37" t="str">
        <f aca="false">IF(INDEX($A1252:$J1252,$L$6)&lt;&gt;"",TRIM(LEFT(INDEX($A1252:$J1252,$L$6),FIND("(",INDEX($A1252:$J1252,$L$6)&amp;"(")-1)),L1251)</f>
        <v>Building Value Proposition</v>
      </c>
      <c r="M1252" s="37" t="str">
        <f aca="false">IF(INDEX($A1252:$J1252,$M$6)="","",INDEX($A1252:$J1252,$M$6)&amp;"")</f>
        <v/>
      </c>
      <c r="N1252" s="37" t="str">
        <f aca="false">IF($M1252="","",TRIM(INDEX($A1252:$J1252,$N$6)&amp;""))</f>
        <v/>
      </c>
      <c r="O1252" s="37" t="str">
        <f aca="false">IF($M1252="","",TRIM(INDEX($A1252:$J1252,$O$6)&amp;""))</f>
        <v/>
      </c>
      <c r="P1252" s="37" t="str">
        <f aca="false">IF($M1252="","",IFERROR(IF(INDEX(Settings!$B$41:$B$50,MATCH(O1252,Settings!$A$41:$A$50,0))&amp;""="","UNMAPPED",INDEX(Settings!$B$41:$B$50,MATCH(O1252,Settings!$A$41:$A$50,0))&amp;""),"UNMAPPED"))</f>
        <v/>
      </c>
      <c r="Q1252" s="38" t="n">
        <f aca="false">IF($M1252="",0,N(INDEX($A1252:$J1252,$Q$6)))</f>
        <v>0</v>
      </c>
      <c r="R1252" s="39" t="str">
        <f aca="false">IF($M1252="","",INDEX($A1252:$J1252,$R$6))</f>
        <v/>
      </c>
      <c r="S1252" s="37" t="str">
        <f aca="false">IF($M1252="","",IFERROR(INDEX(Settings!$B$27:$B$36,MATCH(L1252,Settings!$A$27:$A$36,0))&amp;"","UNMAPPED"))</f>
        <v/>
      </c>
      <c r="T1252" s="37" t="str">
        <f aca="false">IF($M1252="","",IF(NOT(ISNUMBER(R1252)),"NO DATE",IF(S1252="Won",IF(R1252&gt;Settings!$B$5,"Backlog","Delivered"),IF(S1252="Open",IF(R1252&gt;Settings!$B$5,"Pipeline","Overdue"),IF(S1252="Lost","Lost","UNMAPPED")))))</f>
        <v/>
      </c>
      <c r="U1252" s="40" t="n">
        <f aca="false">IF(T1252="Backlog",1,IF(OR(T1252="Pipeline",T1252="Overdue"),N(INDEX(Settings!$C$27:$C$36,MATCH(L1252,Settings!$A$27:$A$36,0))),0))</f>
        <v>0</v>
      </c>
      <c r="V1252" s="38" t="n">
        <f aca="false">Q1252*U1252</f>
        <v>0</v>
      </c>
      <c r="W1252" s="41" t="str">
        <f aca="false">IF($M1252="","",IF(T1252="Overdue",IF(Settings!$B$8="Yes",Settings!$B$7,""),IF(ISNUMBER(R1252),DATE(YEAR(R1252),MONTH(R1252),1),"")))</f>
        <v/>
      </c>
      <c r="X1252" s="38" t="n">
        <f aca="false">IF(AND(OR(T1252="Backlog",T1252="Pipeline",T1252="Overdue"),ISNUMBER(W1252)),IF(W1252&lt;=Settings!$B$6,V1252,0),0)</f>
        <v>0</v>
      </c>
      <c r="Y1252" s="38" t="n">
        <f aca="false">IF(AND(OR(T1252="Backlog",T1252="Pipeline",T1252="Overdue"),ISNUMBER(W1252)),IF(W1252&lt;=Settings!$B$6,Q1252,0),0)</f>
        <v>0</v>
      </c>
      <c r="Z1252" s="38" t="n">
        <f aca="false">IF(Y1252=0,0,IF(T1252="Backlog",Q1252,Q1252*Dashboard!$C$10))</f>
        <v>0</v>
      </c>
      <c r="AA1252" s="37" t="n">
        <f aca="false">IF($N1252="",0,IF(COUNTIF(Dashboard!$C$13:$C$22,$N1252)&gt;0,1,0))</f>
        <v>0</v>
      </c>
      <c r="AB1252" s="37" t="str">
        <f aca="false">IF($N1252="","",IF(COUNTIF($N$8:$N1252,$N1252)=1,MAX($AB$7:$AB1251)+1,""))</f>
        <v/>
      </c>
    </row>
    <row r="1253" customFormat="false" ht="15" hidden="false" customHeight="false" outlineLevel="0" collapsed="false">
      <c r="L1253" s="37" t="str">
        <f aca="false">IF(INDEX($A1253:$J1253,$L$6)&lt;&gt;"",TRIM(LEFT(INDEX($A1253:$J1253,$L$6),FIND("(",INDEX($A1253:$J1253,$L$6)&amp;"(")-1)),L1252)</f>
        <v>Building Value Proposition</v>
      </c>
      <c r="M1253" s="37" t="str">
        <f aca="false">IF(INDEX($A1253:$J1253,$M$6)="","",INDEX($A1253:$J1253,$M$6)&amp;"")</f>
        <v/>
      </c>
      <c r="N1253" s="37" t="str">
        <f aca="false">IF($M1253="","",TRIM(INDEX($A1253:$J1253,$N$6)&amp;""))</f>
        <v/>
      </c>
      <c r="O1253" s="37" t="str">
        <f aca="false">IF($M1253="","",TRIM(INDEX($A1253:$J1253,$O$6)&amp;""))</f>
        <v/>
      </c>
      <c r="P1253" s="37" t="str">
        <f aca="false">IF($M1253="","",IFERROR(IF(INDEX(Settings!$B$41:$B$50,MATCH(O1253,Settings!$A$41:$A$50,0))&amp;""="","UNMAPPED",INDEX(Settings!$B$41:$B$50,MATCH(O1253,Settings!$A$41:$A$50,0))&amp;""),"UNMAPPED"))</f>
        <v/>
      </c>
      <c r="Q1253" s="38" t="n">
        <f aca="false">IF($M1253="",0,N(INDEX($A1253:$J1253,$Q$6)))</f>
        <v>0</v>
      </c>
      <c r="R1253" s="39" t="str">
        <f aca="false">IF($M1253="","",INDEX($A1253:$J1253,$R$6))</f>
        <v/>
      </c>
      <c r="S1253" s="37" t="str">
        <f aca="false">IF($M1253="","",IFERROR(INDEX(Settings!$B$27:$B$36,MATCH(L1253,Settings!$A$27:$A$36,0))&amp;"","UNMAPPED"))</f>
        <v/>
      </c>
      <c r="T1253" s="37" t="str">
        <f aca="false">IF($M1253="","",IF(NOT(ISNUMBER(R1253)),"NO DATE",IF(S1253="Won",IF(R1253&gt;Settings!$B$5,"Backlog","Delivered"),IF(S1253="Open",IF(R1253&gt;Settings!$B$5,"Pipeline","Overdue"),IF(S1253="Lost","Lost","UNMAPPED")))))</f>
        <v/>
      </c>
      <c r="U1253" s="40" t="n">
        <f aca="false">IF(T1253="Backlog",1,IF(OR(T1253="Pipeline",T1253="Overdue"),N(INDEX(Settings!$C$27:$C$36,MATCH(L1253,Settings!$A$27:$A$36,0))),0))</f>
        <v>0</v>
      </c>
      <c r="V1253" s="38" t="n">
        <f aca="false">Q1253*U1253</f>
        <v>0</v>
      </c>
      <c r="W1253" s="41" t="str">
        <f aca="false">IF($M1253="","",IF(T1253="Overdue",IF(Settings!$B$8="Yes",Settings!$B$7,""),IF(ISNUMBER(R1253),DATE(YEAR(R1253),MONTH(R1253),1),"")))</f>
        <v/>
      </c>
      <c r="X1253" s="38" t="n">
        <f aca="false">IF(AND(OR(T1253="Backlog",T1253="Pipeline",T1253="Overdue"),ISNUMBER(W1253)),IF(W1253&lt;=Settings!$B$6,V1253,0),0)</f>
        <v>0</v>
      </c>
      <c r="Y1253" s="38" t="n">
        <f aca="false">IF(AND(OR(T1253="Backlog",T1253="Pipeline",T1253="Overdue"),ISNUMBER(W1253)),IF(W1253&lt;=Settings!$B$6,Q1253,0),0)</f>
        <v>0</v>
      </c>
      <c r="Z1253" s="38" t="n">
        <f aca="false">IF(Y1253=0,0,IF(T1253="Backlog",Q1253,Q1253*Dashboard!$C$10))</f>
        <v>0</v>
      </c>
      <c r="AA1253" s="37" t="n">
        <f aca="false">IF($N1253="",0,IF(COUNTIF(Dashboard!$C$13:$C$22,$N1253)&gt;0,1,0))</f>
        <v>0</v>
      </c>
      <c r="AB1253" s="37" t="str">
        <f aca="false">IF($N1253="","",IF(COUNTIF($N$8:$N1253,$N1253)=1,MAX($AB$7:$AB1252)+1,""))</f>
        <v/>
      </c>
    </row>
    <row r="1254" customFormat="false" ht="15" hidden="false" customHeight="false" outlineLevel="0" collapsed="false">
      <c r="L1254" s="37" t="str">
        <f aca="false">IF(INDEX($A1254:$J1254,$L$6)&lt;&gt;"",TRIM(LEFT(INDEX($A1254:$J1254,$L$6),FIND("(",INDEX($A1254:$J1254,$L$6)&amp;"(")-1)),L1253)</f>
        <v>Building Value Proposition</v>
      </c>
      <c r="M1254" s="37" t="str">
        <f aca="false">IF(INDEX($A1254:$J1254,$M$6)="","",INDEX($A1254:$J1254,$M$6)&amp;"")</f>
        <v/>
      </c>
      <c r="N1254" s="37" t="str">
        <f aca="false">IF($M1254="","",TRIM(INDEX($A1254:$J1254,$N$6)&amp;""))</f>
        <v/>
      </c>
      <c r="O1254" s="37" t="str">
        <f aca="false">IF($M1254="","",TRIM(INDEX($A1254:$J1254,$O$6)&amp;""))</f>
        <v/>
      </c>
      <c r="P1254" s="37" t="str">
        <f aca="false">IF($M1254="","",IFERROR(IF(INDEX(Settings!$B$41:$B$50,MATCH(O1254,Settings!$A$41:$A$50,0))&amp;""="","UNMAPPED",INDEX(Settings!$B$41:$B$50,MATCH(O1254,Settings!$A$41:$A$50,0))&amp;""),"UNMAPPED"))</f>
        <v/>
      </c>
      <c r="Q1254" s="38" t="n">
        <f aca="false">IF($M1254="",0,N(INDEX($A1254:$J1254,$Q$6)))</f>
        <v>0</v>
      </c>
      <c r="R1254" s="39" t="str">
        <f aca="false">IF($M1254="","",INDEX($A1254:$J1254,$R$6))</f>
        <v/>
      </c>
      <c r="S1254" s="37" t="str">
        <f aca="false">IF($M1254="","",IFERROR(INDEX(Settings!$B$27:$B$36,MATCH(L1254,Settings!$A$27:$A$36,0))&amp;"","UNMAPPED"))</f>
        <v/>
      </c>
      <c r="T1254" s="37" t="str">
        <f aca="false">IF($M1254="","",IF(NOT(ISNUMBER(R1254)),"NO DATE",IF(S1254="Won",IF(R1254&gt;Settings!$B$5,"Backlog","Delivered"),IF(S1254="Open",IF(R1254&gt;Settings!$B$5,"Pipeline","Overdue"),IF(S1254="Lost","Lost","UNMAPPED")))))</f>
        <v/>
      </c>
      <c r="U1254" s="40" t="n">
        <f aca="false">IF(T1254="Backlog",1,IF(OR(T1254="Pipeline",T1254="Overdue"),N(INDEX(Settings!$C$27:$C$36,MATCH(L1254,Settings!$A$27:$A$36,0))),0))</f>
        <v>0</v>
      </c>
      <c r="V1254" s="38" t="n">
        <f aca="false">Q1254*U1254</f>
        <v>0</v>
      </c>
      <c r="W1254" s="41" t="str">
        <f aca="false">IF($M1254="","",IF(T1254="Overdue",IF(Settings!$B$8="Yes",Settings!$B$7,""),IF(ISNUMBER(R1254),DATE(YEAR(R1254),MONTH(R1254),1),"")))</f>
        <v/>
      </c>
      <c r="X1254" s="38" t="n">
        <f aca="false">IF(AND(OR(T1254="Backlog",T1254="Pipeline",T1254="Overdue"),ISNUMBER(W1254)),IF(W1254&lt;=Settings!$B$6,V1254,0),0)</f>
        <v>0</v>
      </c>
      <c r="Y1254" s="38" t="n">
        <f aca="false">IF(AND(OR(T1254="Backlog",T1254="Pipeline",T1254="Overdue"),ISNUMBER(W1254)),IF(W1254&lt;=Settings!$B$6,Q1254,0),0)</f>
        <v>0</v>
      </c>
      <c r="Z1254" s="38" t="n">
        <f aca="false">IF(Y1254=0,0,IF(T1254="Backlog",Q1254,Q1254*Dashboard!$C$10))</f>
        <v>0</v>
      </c>
      <c r="AA1254" s="37" t="n">
        <f aca="false">IF($N1254="",0,IF(COUNTIF(Dashboard!$C$13:$C$22,$N1254)&gt;0,1,0))</f>
        <v>0</v>
      </c>
      <c r="AB1254" s="37" t="str">
        <f aca="false">IF($N1254="","",IF(COUNTIF($N$8:$N1254,$N1254)=1,MAX($AB$7:$AB1253)+1,""))</f>
        <v/>
      </c>
    </row>
    <row r="1255" customFormat="false" ht="15" hidden="false" customHeight="false" outlineLevel="0" collapsed="false">
      <c r="L1255" s="37" t="str">
        <f aca="false">IF(INDEX($A1255:$J1255,$L$6)&lt;&gt;"",TRIM(LEFT(INDEX($A1255:$J1255,$L$6),FIND("(",INDEX($A1255:$J1255,$L$6)&amp;"(")-1)),L1254)</f>
        <v>Building Value Proposition</v>
      </c>
      <c r="M1255" s="37" t="str">
        <f aca="false">IF(INDEX($A1255:$J1255,$M$6)="","",INDEX($A1255:$J1255,$M$6)&amp;"")</f>
        <v/>
      </c>
      <c r="N1255" s="37" t="str">
        <f aca="false">IF($M1255="","",TRIM(INDEX($A1255:$J1255,$N$6)&amp;""))</f>
        <v/>
      </c>
      <c r="O1255" s="37" t="str">
        <f aca="false">IF($M1255="","",TRIM(INDEX($A1255:$J1255,$O$6)&amp;""))</f>
        <v/>
      </c>
      <c r="P1255" s="37" t="str">
        <f aca="false">IF($M1255="","",IFERROR(IF(INDEX(Settings!$B$41:$B$50,MATCH(O1255,Settings!$A$41:$A$50,0))&amp;""="","UNMAPPED",INDEX(Settings!$B$41:$B$50,MATCH(O1255,Settings!$A$41:$A$50,0))&amp;""),"UNMAPPED"))</f>
        <v/>
      </c>
      <c r="Q1255" s="38" t="n">
        <f aca="false">IF($M1255="",0,N(INDEX($A1255:$J1255,$Q$6)))</f>
        <v>0</v>
      </c>
      <c r="R1255" s="39" t="str">
        <f aca="false">IF($M1255="","",INDEX($A1255:$J1255,$R$6))</f>
        <v/>
      </c>
      <c r="S1255" s="37" t="str">
        <f aca="false">IF($M1255="","",IFERROR(INDEX(Settings!$B$27:$B$36,MATCH(L1255,Settings!$A$27:$A$36,0))&amp;"","UNMAPPED"))</f>
        <v/>
      </c>
      <c r="T1255" s="37" t="str">
        <f aca="false">IF($M1255="","",IF(NOT(ISNUMBER(R1255)),"NO DATE",IF(S1255="Won",IF(R1255&gt;Settings!$B$5,"Backlog","Delivered"),IF(S1255="Open",IF(R1255&gt;Settings!$B$5,"Pipeline","Overdue"),IF(S1255="Lost","Lost","UNMAPPED")))))</f>
        <v/>
      </c>
      <c r="U1255" s="40" t="n">
        <f aca="false">IF(T1255="Backlog",1,IF(OR(T1255="Pipeline",T1255="Overdue"),N(INDEX(Settings!$C$27:$C$36,MATCH(L1255,Settings!$A$27:$A$36,0))),0))</f>
        <v>0</v>
      </c>
      <c r="V1255" s="38" t="n">
        <f aca="false">Q1255*U1255</f>
        <v>0</v>
      </c>
      <c r="W1255" s="41" t="str">
        <f aca="false">IF($M1255="","",IF(T1255="Overdue",IF(Settings!$B$8="Yes",Settings!$B$7,""),IF(ISNUMBER(R1255),DATE(YEAR(R1255),MONTH(R1255),1),"")))</f>
        <v/>
      </c>
      <c r="X1255" s="38" t="n">
        <f aca="false">IF(AND(OR(T1255="Backlog",T1255="Pipeline",T1255="Overdue"),ISNUMBER(W1255)),IF(W1255&lt;=Settings!$B$6,V1255,0),0)</f>
        <v>0</v>
      </c>
      <c r="Y1255" s="38" t="n">
        <f aca="false">IF(AND(OR(T1255="Backlog",T1255="Pipeline",T1255="Overdue"),ISNUMBER(W1255)),IF(W1255&lt;=Settings!$B$6,Q1255,0),0)</f>
        <v>0</v>
      </c>
      <c r="Z1255" s="38" t="n">
        <f aca="false">IF(Y1255=0,0,IF(T1255="Backlog",Q1255,Q1255*Dashboard!$C$10))</f>
        <v>0</v>
      </c>
      <c r="AA1255" s="37" t="n">
        <f aca="false">IF($N1255="",0,IF(COUNTIF(Dashboard!$C$13:$C$22,$N1255)&gt;0,1,0))</f>
        <v>0</v>
      </c>
      <c r="AB1255" s="37" t="str">
        <f aca="false">IF($N1255="","",IF(COUNTIF($N$8:$N1255,$N1255)=1,MAX($AB$7:$AB1254)+1,""))</f>
        <v/>
      </c>
    </row>
    <row r="1256" customFormat="false" ht="15" hidden="false" customHeight="false" outlineLevel="0" collapsed="false">
      <c r="L1256" s="37" t="str">
        <f aca="false">IF(INDEX($A1256:$J1256,$L$6)&lt;&gt;"",TRIM(LEFT(INDEX($A1256:$J1256,$L$6),FIND("(",INDEX($A1256:$J1256,$L$6)&amp;"(")-1)),L1255)</f>
        <v>Building Value Proposition</v>
      </c>
      <c r="M1256" s="37" t="str">
        <f aca="false">IF(INDEX($A1256:$J1256,$M$6)="","",INDEX($A1256:$J1256,$M$6)&amp;"")</f>
        <v/>
      </c>
      <c r="N1256" s="37" t="str">
        <f aca="false">IF($M1256="","",TRIM(INDEX($A1256:$J1256,$N$6)&amp;""))</f>
        <v/>
      </c>
      <c r="O1256" s="37" t="str">
        <f aca="false">IF($M1256="","",TRIM(INDEX($A1256:$J1256,$O$6)&amp;""))</f>
        <v/>
      </c>
      <c r="P1256" s="37" t="str">
        <f aca="false">IF($M1256="","",IFERROR(IF(INDEX(Settings!$B$41:$B$50,MATCH(O1256,Settings!$A$41:$A$50,0))&amp;""="","UNMAPPED",INDEX(Settings!$B$41:$B$50,MATCH(O1256,Settings!$A$41:$A$50,0))&amp;""),"UNMAPPED"))</f>
        <v/>
      </c>
      <c r="Q1256" s="38" t="n">
        <f aca="false">IF($M1256="",0,N(INDEX($A1256:$J1256,$Q$6)))</f>
        <v>0</v>
      </c>
      <c r="R1256" s="39" t="str">
        <f aca="false">IF($M1256="","",INDEX($A1256:$J1256,$R$6))</f>
        <v/>
      </c>
      <c r="S1256" s="37" t="str">
        <f aca="false">IF($M1256="","",IFERROR(INDEX(Settings!$B$27:$B$36,MATCH(L1256,Settings!$A$27:$A$36,0))&amp;"","UNMAPPED"))</f>
        <v/>
      </c>
      <c r="T1256" s="37" t="str">
        <f aca="false">IF($M1256="","",IF(NOT(ISNUMBER(R1256)),"NO DATE",IF(S1256="Won",IF(R1256&gt;Settings!$B$5,"Backlog","Delivered"),IF(S1256="Open",IF(R1256&gt;Settings!$B$5,"Pipeline","Overdue"),IF(S1256="Lost","Lost","UNMAPPED")))))</f>
        <v/>
      </c>
      <c r="U1256" s="40" t="n">
        <f aca="false">IF(T1256="Backlog",1,IF(OR(T1256="Pipeline",T1256="Overdue"),N(INDEX(Settings!$C$27:$C$36,MATCH(L1256,Settings!$A$27:$A$36,0))),0))</f>
        <v>0</v>
      </c>
      <c r="V1256" s="38" t="n">
        <f aca="false">Q1256*U1256</f>
        <v>0</v>
      </c>
      <c r="W1256" s="41" t="str">
        <f aca="false">IF($M1256="","",IF(T1256="Overdue",IF(Settings!$B$8="Yes",Settings!$B$7,""),IF(ISNUMBER(R1256),DATE(YEAR(R1256),MONTH(R1256),1),"")))</f>
        <v/>
      </c>
      <c r="X1256" s="38" t="n">
        <f aca="false">IF(AND(OR(T1256="Backlog",T1256="Pipeline",T1256="Overdue"),ISNUMBER(W1256)),IF(W1256&lt;=Settings!$B$6,V1256,0),0)</f>
        <v>0</v>
      </c>
      <c r="Y1256" s="38" t="n">
        <f aca="false">IF(AND(OR(T1256="Backlog",T1256="Pipeline",T1256="Overdue"),ISNUMBER(W1256)),IF(W1256&lt;=Settings!$B$6,Q1256,0),0)</f>
        <v>0</v>
      </c>
      <c r="Z1256" s="38" t="n">
        <f aca="false">IF(Y1256=0,0,IF(T1256="Backlog",Q1256,Q1256*Dashboard!$C$10))</f>
        <v>0</v>
      </c>
      <c r="AA1256" s="37" t="n">
        <f aca="false">IF($N1256="",0,IF(COUNTIF(Dashboard!$C$13:$C$22,$N1256)&gt;0,1,0))</f>
        <v>0</v>
      </c>
      <c r="AB1256" s="37" t="str">
        <f aca="false">IF($N1256="","",IF(COUNTIF($N$8:$N1256,$N1256)=1,MAX($AB$7:$AB1255)+1,""))</f>
        <v/>
      </c>
    </row>
    <row r="1257" customFormat="false" ht="15" hidden="false" customHeight="false" outlineLevel="0" collapsed="false">
      <c r="L1257" s="37" t="str">
        <f aca="false">IF(INDEX($A1257:$J1257,$L$6)&lt;&gt;"",TRIM(LEFT(INDEX($A1257:$J1257,$L$6),FIND("(",INDEX($A1257:$J1257,$L$6)&amp;"(")-1)),L1256)</f>
        <v>Building Value Proposition</v>
      </c>
      <c r="M1257" s="37" t="str">
        <f aca="false">IF(INDEX($A1257:$J1257,$M$6)="","",INDEX($A1257:$J1257,$M$6)&amp;"")</f>
        <v/>
      </c>
      <c r="N1257" s="37" t="str">
        <f aca="false">IF($M1257="","",TRIM(INDEX($A1257:$J1257,$N$6)&amp;""))</f>
        <v/>
      </c>
      <c r="O1257" s="37" t="str">
        <f aca="false">IF($M1257="","",TRIM(INDEX($A1257:$J1257,$O$6)&amp;""))</f>
        <v/>
      </c>
      <c r="P1257" s="37" t="str">
        <f aca="false">IF($M1257="","",IFERROR(IF(INDEX(Settings!$B$41:$B$50,MATCH(O1257,Settings!$A$41:$A$50,0))&amp;""="","UNMAPPED",INDEX(Settings!$B$41:$B$50,MATCH(O1257,Settings!$A$41:$A$50,0))&amp;""),"UNMAPPED"))</f>
        <v/>
      </c>
      <c r="Q1257" s="38" t="n">
        <f aca="false">IF($M1257="",0,N(INDEX($A1257:$J1257,$Q$6)))</f>
        <v>0</v>
      </c>
      <c r="R1257" s="39" t="str">
        <f aca="false">IF($M1257="","",INDEX($A1257:$J1257,$R$6))</f>
        <v/>
      </c>
      <c r="S1257" s="37" t="str">
        <f aca="false">IF($M1257="","",IFERROR(INDEX(Settings!$B$27:$B$36,MATCH(L1257,Settings!$A$27:$A$36,0))&amp;"","UNMAPPED"))</f>
        <v/>
      </c>
      <c r="T1257" s="37" t="str">
        <f aca="false">IF($M1257="","",IF(NOT(ISNUMBER(R1257)),"NO DATE",IF(S1257="Won",IF(R1257&gt;Settings!$B$5,"Backlog","Delivered"),IF(S1257="Open",IF(R1257&gt;Settings!$B$5,"Pipeline","Overdue"),IF(S1257="Lost","Lost","UNMAPPED")))))</f>
        <v/>
      </c>
      <c r="U1257" s="40" t="n">
        <f aca="false">IF(T1257="Backlog",1,IF(OR(T1257="Pipeline",T1257="Overdue"),N(INDEX(Settings!$C$27:$C$36,MATCH(L1257,Settings!$A$27:$A$36,0))),0))</f>
        <v>0</v>
      </c>
      <c r="V1257" s="38" t="n">
        <f aca="false">Q1257*U1257</f>
        <v>0</v>
      </c>
      <c r="W1257" s="41" t="str">
        <f aca="false">IF($M1257="","",IF(T1257="Overdue",IF(Settings!$B$8="Yes",Settings!$B$7,""),IF(ISNUMBER(R1257),DATE(YEAR(R1257),MONTH(R1257),1),"")))</f>
        <v/>
      </c>
      <c r="X1257" s="38" t="n">
        <f aca="false">IF(AND(OR(T1257="Backlog",T1257="Pipeline",T1257="Overdue"),ISNUMBER(W1257)),IF(W1257&lt;=Settings!$B$6,V1257,0),0)</f>
        <v>0</v>
      </c>
      <c r="Y1257" s="38" t="n">
        <f aca="false">IF(AND(OR(T1257="Backlog",T1257="Pipeline",T1257="Overdue"),ISNUMBER(W1257)),IF(W1257&lt;=Settings!$B$6,Q1257,0),0)</f>
        <v>0</v>
      </c>
      <c r="Z1257" s="38" t="n">
        <f aca="false">IF(Y1257=0,0,IF(T1257="Backlog",Q1257,Q1257*Dashboard!$C$10))</f>
        <v>0</v>
      </c>
      <c r="AA1257" s="37" t="n">
        <f aca="false">IF($N1257="",0,IF(COUNTIF(Dashboard!$C$13:$C$22,$N1257)&gt;0,1,0))</f>
        <v>0</v>
      </c>
      <c r="AB1257" s="37" t="str">
        <f aca="false">IF($N1257="","",IF(COUNTIF($N$8:$N1257,$N1257)=1,MAX($AB$7:$AB1256)+1,""))</f>
        <v/>
      </c>
    </row>
    <row r="1258" customFormat="false" ht="15" hidden="false" customHeight="false" outlineLevel="0" collapsed="false">
      <c r="L1258" s="37" t="str">
        <f aca="false">IF(INDEX($A1258:$J1258,$L$6)&lt;&gt;"",TRIM(LEFT(INDEX($A1258:$J1258,$L$6),FIND("(",INDEX($A1258:$J1258,$L$6)&amp;"(")-1)),L1257)</f>
        <v>Building Value Proposition</v>
      </c>
      <c r="M1258" s="37" t="str">
        <f aca="false">IF(INDEX($A1258:$J1258,$M$6)="","",INDEX($A1258:$J1258,$M$6)&amp;"")</f>
        <v/>
      </c>
      <c r="N1258" s="37" t="str">
        <f aca="false">IF($M1258="","",TRIM(INDEX($A1258:$J1258,$N$6)&amp;""))</f>
        <v/>
      </c>
      <c r="O1258" s="37" t="str">
        <f aca="false">IF($M1258="","",TRIM(INDEX($A1258:$J1258,$O$6)&amp;""))</f>
        <v/>
      </c>
      <c r="P1258" s="37" t="str">
        <f aca="false">IF($M1258="","",IFERROR(IF(INDEX(Settings!$B$41:$B$50,MATCH(O1258,Settings!$A$41:$A$50,0))&amp;""="","UNMAPPED",INDEX(Settings!$B$41:$B$50,MATCH(O1258,Settings!$A$41:$A$50,0))&amp;""),"UNMAPPED"))</f>
        <v/>
      </c>
      <c r="Q1258" s="38" t="n">
        <f aca="false">IF($M1258="",0,N(INDEX($A1258:$J1258,$Q$6)))</f>
        <v>0</v>
      </c>
      <c r="R1258" s="39" t="str">
        <f aca="false">IF($M1258="","",INDEX($A1258:$J1258,$R$6))</f>
        <v/>
      </c>
      <c r="S1258" s="37" t="str">
        <f aca="false">IF($M1258="","",IFERROR(INDEX(Settings!$B$27:$B$36,MATCH(L1258,Settings!$A$27:$A$36,0))&amp;"","UNMAPPED"))</f>
        <v/>
      </c>
      <c r="T1258" s="37" t="str">
        <f aca="false">IF($M1258="","",IF(NOT(ISNUMBER(R1258)),"NO DATE",IF(S1258="Won",IF(R1258&gt;Settings!$B$5,"Backlog","Delivered"),IF(S1258="Open",IF(R1258&gt;Settings!$B$5,"Pipeline","Overdue"),IF(S1258="Lost","Lost","UNMAPPED")))))</f>
        <v/>
      </c>
      <c r="U1258" s="40" t="n">
        <f aca="false">IF(T1258="Backlog",1,IF(OR(T1258="Pipeline",T1258="Overdue"),N(INDEX(Settings!$C$27:$C$36,MATCH(L1258,Settings!$A$27:$A$36,0))),0))</f>
        <v>0</v>
      </c>
      <c r="V1258" s="38" t="n">
        <f aca="false">Q1258*U1258</f>
        <v>0</v>
      </c>
      <c r="W1258" s="41" t="str">
        <f aca="false">IF($M1258="","",IF(T1258="Overdue",IF(Settings!$B$8="Yes",Settings!$B$7,""),IF(ISNUMBER(R1258),DATE(YEAR(R1258),MONTH(R1258),1),"")))</f>
        <v/>
      </c>
      <c r="X1258" s="38" t="n">
        <f aca="false">IF(AND(OR(T1258="Backlog",T1258="Pipeline",T1258="Overdue"),ISNUMBER(W1258)),IF(W1258&lt;=Settings!$B$6,V1258,0),0)</f>
        <v>0</v>
      </c>
      <c r="Y1258" s="38" t="n">
        <f aca="false">IF(AND(OR(T1258="Backlog",T1258="Pipeline",T1258="Overdue"),ISNUMBER(W1258)),IF(W1258&lt;=Settings!$B$6,Q1258,0),0)</f>
        <v>0</v>
      </c>
      <c r="Z1258" s="38" t="n">
        <f aca="false">IF(Y1258=0,0,IF(T1258="Backlog",Q1258,Q1258*Dashboard!$C$10))</f>
        <v>0</v>
      </c>
      <c r="AA1258" s="37" t="n">
        <f aca="false">IF($N1258="",0,IF(COUNTIF(Dashboard!$C$13:$C$22,$N1258)&gt;0,1,0))</f>
        <v>0</v>
      </c>
      <c r="AB1258" s="37" t="str">
        <f aca="false">IF($N1258="","",IF(COUNTIF($N$8:$N1258,$N1258)=1,MAX($AB$7:$AB1257)+1,""))</f>
        <v/>
      </c>
    </row>
    <row r="1259" customFormat="false" ht="15" hidden="false" customHeight="false" outlineLevel="0" collapsed="false">
      <c r="L1259" s="37" t="str">
        <f aca="false">IF(INDEX($A1259:$J1259,$L$6)&lt;&gt;"",TRIM(LEFT(INDEX($A1259:$J1259,$L$6),FIND("(",INDEX($A1259:$J1259,$L$6)&amp;"(")-1)),L1258)</f>
        <v>Building Value Proposition</v>
      </c>
      <c r="M1259" s="37" t="str">
        <f aca="false">IF(INDEX($A1259:$J1259,$M$6)="","",INDEX($A1259:$J1259,$M$6)&amp;"")</f>
        <v/>
      </c>
      <c r="N1259" s="37" t="str">
        <f aca="false">IF($M1259="","",TRIM(INDEX($A1259:$J1259,$N$6)&amp;""))</f>
        <v/>
      </c>
      <c r="O1259" s="37" t="str">
        <f aca="false">IF($M1259="","",TRIM(INDEX($A1259:$J1259,$O$6)&amp;""))</f>
        <v/>
      </c>
      <c r="P1259" s="37" t="str">
        <f aca="false">IF($M1259="","",IFERROR(IF(INDEX(Settings!$B$41:$B$50,MATCH(O1259,Settings!$A$41:$A$50,0))&amp;""="","UNMAPPED",INDEX(Settings!$B$41:$B$50,MATCH(O1259,Settings!$A$41:$A$50,0))&amp;""),"UNMAPPED"))</f>
        <v/>
      </c>
      <c r="Q1259" s="38" t="n">
        <f aca="false">IF($M1259="",0,N(INDEX($A1259:$J1259,$Q$6)))</f>
        <v>0</v>
      </c>
      <c r="R1259" s="39" t="str">
        <f aca="false">IF($M1259="","",INDEX($A1259:$J1259,$R$6))</f>
        <v/>
      </c>
      <c r="S1259" s="37" t="str">
        <f aca="false">IF($M1259="","",IFERROR(INDEX(Settings!$B$27:$B$36,MATCH(L1259,Settings!$A$27:$A$36,0))&amp;"","UNMAPPED"))</f>
        <v/>
      </c>
      <c r="T1259" s="37" t="str">
        <f aca="false">IF($M1259="","",IF(NOT(ISNUMBER(R1259)),"NO DATE",IF(S1259="Won",IF(R1259&gt;Settings!$B$5,"Backlog","Delivered"),IF(S1259="Open",IF(R1259&gt;Settings!$B$5,"Pipeline","Overdue"),IF(S1259="Lost","Lost","UNMAPPED")))))</f>
        <v/>
      </c>
      <c r="U1259" s="40" t="n">
        <f aca="false">IF(T1259="Backlog",1,IF(OR(T1259="Pipeline",T1259="Overdue"),N(INDEX(Settings!$C$27:$C$36,MATCH(L1259,Settings!$A$27:$A$36,0))),0))</f>
        <v>0</v>
      </c>
      <c r="V1259" s="38" t="n">
        <f aca="false">Q1259*U1259</f>
        <v>0</v>
      </c>
      <c r="W1259" s="41" t="str">
        <f aca="false">IF($M1259="","",IF(T1259="Overdue",IF(Settings!$B$8="Yes",Settings!$B$7,""),IF(ISNUMBER(R1259),DATE(YEAR(R1259),MONTH(R1259),1),"")))</f>
        <v/>
      </c>
      <c r="X1259" s="38" t="n">
        <f aca="false">IF(AND(OR(T1259="Backlog",T1259="Pipeline",T1259="Overdue"),ISNUMBER(W1259)),IF(W1259&lt;=Settings!$B$6,V1259,0),0)</f>
        <v>0</v>
      </c>
      <c r="Y1259" s="38" t="n">
        <f aca="false">IF(AND(OR(T1259="Backlog",T1259="Pipeline",T1259="Overdue"),ISNUMBER(W1259)),IF(W1259&lt;=Settings!$B$6,Q1259,0),0)</f>
        <v>0</v>
      </c>
      <c r="Z1259" s="38" t="n">
        <f aca="false">IF(Y1259=0,0,IF(T1259="Backlog",Q1259,Q1259*Dashboard!$C$10))</f>
        <v>0</v>
      </c>
      <c r="AA1259" s="37" t="n">
        <f aca="false">IF($N1259="",0,IF(COUNTIF(Dashboard!$C$13:$C$22,$N1259)&gt;0,1,0))</f>
        <v>0</v>
      </c>
      <c r="AB1259" s="37" t="str">
        <f aca="false">IF($N1259="","",IF(COUNTIF($N$8:$N1259,$N1259)=1,MAX($AB$7:$AB1258)+1,""))</f>
        <v/>
      </c>
    </row>
    <row r="1260" customFormat="false" ht="15" hidden="false" customHeight="false" outlineLevel="0" collapsed="false">
      <c r="L1260" s="37" t="str">
        <f aca="false">IF(INDEX($A1260:$J1260,$L$6)&lt;&gt;"",TRIM(LEFT(INDEX($A1260:$J1260,$L$6),FIND("(",INDEX($A1260:$J1260,$L$6)&amp;"(")-1)),L1259)</f>
        <v>Building Value Proposition</v>
      </c>
      <c r="M1260" s="37" t="str">
        <f aca="false">IF(INDEX($A1260:$J1260,$M$6)="","",INDEX($A1260:$J1260,$M$6)&amp;"")</f>
        <v/>
      </c>
      <c r="N1260" s="37" t="str">
        <f aca="false">IF($M1260="","",TRIM(INDEX($A1260:$J1260,$N$6)&amp;""))</f>
        <v/>
      </c>
      <c r="O1260" s="37" t="str">
        <f aca="false">IF($M1260="","",TRIM(INDEX($A1260:$J1260,$O$6)&amp;""))</f>
        <v/>
      </c>
      <c r="P1260" s="37" t="str">
        <f aca="false">IF($M1260="","",IFERROR(IF(INDEX(Settings!$B$41:$B$50,MATCH(O1260,Settings!$A$41:$A$50,0))&amp;""="","UNMAPPED",INDEX(Settings!$B$41:$B$50,MATCH(O1260,Settings!$A$41:$A$50,0))&amp;""),"UNMAPPED"))</f>
        <v/>
      </c>
      <c r="Q1260" s="38" t="n">
        <f aca="false">IF($M1260="",0,N(INDEX($A1260:$J1260,$Q$6)))</f>
        <v>0</v>
      </c>
      <c r="R1260" s="39" t="str">
        <f aca="false">IF($M1260="","",INDEX($A1260:$J1260,$R$6))</f>
        <v/>
      </c>
      <c r="S1260" s="37" t="str">
        <f aca="false">IF($M1260="","",IFERROR(INDEX(Settings!$B$27:$B$36,MATCH(L1260,Settings!$A$27:$A$36,0))&amp;"","UNMAPPED"))</f>
        <v/>
      </c>
      <c r="T1260" s="37" t="str">
        <f aca="false">IF($M1260="","",IF(NOT(ISNUMBER(R1260)),"NO DATE",IF(S1260="Won",IF(R1260&gt;Settings!$B$5,"Backlog","Delivered"),IF(S1260="Open",IF(R1260&gt;Settings!$B$5,"Pipeline","Overdue"),IF(S1260="Lost","Lost","UNMAPPED")))))</f>
        <v/>
      </c>
      <c r="U1260" s="40" t="n">
        <f aca="false">IF(T1260="Backlog",1,IF(OR(T1260="Pipeline",T1260="Overdue"),N(INDEX(Settings!$C$27:$C$36,MATCH(L1260,Settings!$A$27:$A$36,0))),0))</f>
        <v>0</v>
      </c>
      <c r="V1260" s="38" t="n">
        <f aca="false">Q1260*U1260</f>
        <v>0</v>
      </c>
      <c r="W1260" s="41" t="str">
        <f aca="false">IF($M1260="","",IF(T1260="Overdue",IF(Settings!$B$8="Yes",Settings!$B$7,""),IF(ISNUMBER(R1260),DATE(YEAR(R1260),MONTH(R1260),1),"")))</f>
        <v/>
      </c>
      <c r="X1260" s="38" t="n">
        <f aca="false">IF(AND(OR(T1260="Backlog",T1260="Pipeline",T1260="Overdue"),ISNUMBER(W1260)),IF(W1260&lt;=Settings!$B$6,V1260,0),0)</f>
        <v>0</v>
      </c>
      <c r="Y1260" s="38" t="n">
        <f aca="false">IF(AND(OR(T1260="Backlog",T1260="Pipeline",T1260="Overdue"),ISNUMBER(W1260)),IF(W1260&lt;=Settings!$B$6,Q1260,0),0)</f>
        <v>0</v>
      </c>
      <c r="Z1260" s="38" t="n">
        <f aca="false">IF(Y1260=0,0,IF(T1260="Backlog",Q1260,Q1260*Dashboard!$C$10))</f>
        <v>0</v>
      </c>
      <c r="AA1260" s="37" t="n">
        <f aca="false">IF($N1260="",0,IF(COUNTIF(Dashboard!$C$13:$C$22,$N1260)&gt;0,1,0))</f>
        <v>0</v>
      </c>
      <c r="AB1260" s="37" t="str">
        <f aca="false">IF($N1260="","",IF(COUNTIF($N$8:$N1260,$N1260)=1,MAX($AB$7:$AB1259)+1,""))</f>
        <v/>
      </c>
    </row>
    <row r="1261" customFormat="false" ht="15" hidden="false" customHeight="false" outlineLevel="0" collapsed="false">
      <c r="L1261" s="37" t="str">
        <f aca="false">IF(INDEX($A1261:$J1261,$L$6)&lt;&gt;"",TRIM(LEFT(INDEX($A1261:$J1261,$L$6),FIND("(",INDEX($A1261:$J1261,$L$6)&amp;"(")-1)),L1260)</f>
        <v>Building Value Proposition</v>
      </c>
      <c r="M1261" s="37" t="str">
        <f aca="false">IF(INDEX($A1261:$J1261,$M$6)="","",INDEX($A1261:$J1261,$M$6)&amp;"")</f>
        <v/>
      </c>
      <c r="N1261" s="37" t="str">
        <f aca="false">IF($M1261="","",TRIM(INDEX($A1261:$J1261,$N$6)&amp;""))</f>
        <v/>
      </c>
      <c r="O1261" s="37" t="str">
        <f aca="false">IF($M1261="","",TRIM(INDEX($A1261:$J1261,$O$6)&amp;""))</f>
        <v/>
      </c>
      <c r="P1261" s="37" t="str">
        <f aca="false">IF($M1261="","",IFERROR(IF(INDEX(Settings!$B$41:$B$50,MATCH(O1261,Settings!$A$41:$A$50,0))&amp;""="","UNMAPPED",INDEX(Settings!$B$41:$B$50,MATCH(O1261,Settings!$A$41:$A$50,0))&amp;""),"UNMAPPED"))</f>
        <v/>
      </c>
      <c r="Q1261" s="38" t="n">
        <f aca="false">IF($M1261="",0,N(INDEX($A1261:$J1261,$Q$6)))</f>
        <v>0</v>
      </c>
      <c r="R1261" s="39" t="str">
        <f aca="false">IF($M1261="","",INDEX($A1261:$J1261,$R$6))</f>
        <v/>
      </c>
      <c r="S1261" s="37" t="str">
        <f aca="false">IF($M1261="","",IFERROR(INDEX(Settings!$B$27:$B$36,MATCH(L1261,Settings!$A$27:$A$36,0))&amp;"","UNMAPPED"))</f>
        <v/>
      </c>
      <c r="T1261" s="37" t="str">
        <f aca="false">IF($M1261="","",IF(NOT(ISNUMBER(R1261)),"NO DATE",IF(S1261="Won",IF(R1261&gt;Settings!$B$5,"Backlog","Delivered"),IF(S1261="Open",IF(R1261&gt;Settings!$B$5,"Pipeline","Overdue"),IF(S1261="Lost","Lost","UNMAPPED")))))</f>
        <v/>
      </c>
      <c r="U1261" s="40" t="n">
        <f aca="false">IF(T1261="Backlog",1,IF(OR(T1261="Pipeline",T1261="Overdue"),N(INDEX(Settings!$C$27:$C$36,MATCH(L1261,Settings!$A$27:$A$36,0))),0))</f>
        <v>0</v>
      </c>
      <c r="V1261" s="38" t="n">
        <f aca="false">Q1261*U1261</f>
        <v>0</v>
      </c>
      <c r="W1261" s="41" t="str">
        <f aca="false">IF($M1261="","",IF(T1261="Overdue",IF(Settings!$B$8="Yes",Settings!$B$7,""),IF(ISNUMBER(R1261),DATE(YEAR(R1261),MONTH(R1261),1),"")))</f>
        <v/>
      </c>
      <c r="X1261" s="38" t="n">
        <f aca="false">IF(AND(OR(T1261="Backlog",T1261="Pipeline",T1261="Overdue"),ISNUMBER(W1261)),IF(W1261&lt;=Settings!$B$6,V1261,0),0)</f>
        <v>0</v>
      </c>
      <c r="Y1261" s="38" t="n">
        <f aca="false">IF(AND(OR(T1261="Backlog",T1261="Pipeline",T1261="Overdue"),ISNUMBER(W1261)),IF(W1261&lt;=Settings!$B$6,Q1261,0),0)</f>
        <v>0</v>
      </c>
      <c r="Z1261" s="38" t="n">
        <f aca="false">IF(Y1261=0,0,IF(T1261="Backlog",Q1261,Q1261*Dashboard!$C$10))</f>
        <v>0</v>
      </c>
      <c r="AA1261" s="37" t="n">
        <f aca="false">IF($N1261="",0,IF(COUNTIF(Dashboard!$C$13:$C$22,$N1261)&gt;0,1,0))</f>
        <v>0</v>
      </c>
      <c r="AB1261" s="37" t="str">
        <f aca="false">IF($N1261="","",IF(COUNTIF($N$8:$N1261,$N1261)=1,MAX($AB$7:$AB1260)+1,""))</f>
        <v/>
      </c>
    </row>
    <row r="1262" customFormat="false" ht="15" hidden="false" customHeight="false" outlineLevel="0" collapsed="false">
      <c r="L1262" s="37" t="str">
        <f aca="false">IF(INDEX($A1262:$J1262,$L$6)&lt;&gt;"",TRIM(LEFT(INDEX($A1262:$J1262,$L$6),FIND("(",INDEX($A1262:$J1262,$L$6)&amp;"(")-1)),L1261)</f>
        <v>Building Value Proposition</v>
      </c>
      <c r="M1262" s="37" t="str">
        <f aca="false">IF(INDEX($A1262:$J1262,$M$6)="","",INDEX($A1262:$J1262,$M$6)&amp;"")</f>
        <v/>
      </c>
      <c r="N1262" s="37" t="str">
        <f aca="false">IF($M1262="","",TRIM(INDEX($A1262:$J1262,$N$6)&amp;""))</f>
        <v/>
      </c>
      <c r="O1262" s="37" t="str">
        <f aca="false">IF($M1262="","",TRIM(INDEX($A1262:$J1262,$O$6)&amp;""))</f>
        <v/>
      </c>
      <c r="P1262" s="37" t="str">
        <f aca="false">IF($M1262="","",IFERROR(IF(INDEX(Settings!$B$41:$B$50,MATCH(O1262,Settings!$A$41:$A$50,0))&amp;""="","UNMAPPED",INDEX(Settings!$B$41:$B$50,MATCH(O1262,Settings!$A$41:$A$50,0))&amp;""),"UNMAPPED"))</f>
        <v/>
      </c>
      <c r="Q1262" s="38" t="n">
        <f aca="false">IF($M1262="",0,N(INDEX($A1262:$J1262,$Q$6)))</f>
        <v>0</v>
      </c>
      <c r="R1262" s="39" t="str">
        <f aca="false">IF($M1262="","",INDEX($A1262:$J1262,$R$6))</f>
        <v/>
      </c>
      <c r="S1262" s="37" t="str">
        <f aca="false">IF($M1262="","",IFERROR(INDEX(Settings!$B$27:$B$36,MATCH(L1262,Settings!$A$27:$A$36,0))&amp;"","UNMAPPED"))</f>
        <v/>
      </c>
      <c r="T1262" s="37" t="str">
        <f aca="false">IF($M1262="","",IF(NOT(ISNUMBER(R1262)),"NO DATE",IF(S1262="Won",IF(R1262&gt;Settings!$B$5,"Backlog","Delivered"),IF(S1262="Open",IF(R1262&gt;Settings!$B$5,"Pipeline","Overdue"),IF(S1262="Lost","Lost","UNMAPPED")))))</f>
        <v/>
      </c>
      <c r="U1262" s="40" t="n">
        <f aca="false">IF(T1262="Backlog",1,IF(OR(T1262="Pipeline",T1262="Overdue"),N(INDEX(Settings!$C$27:$C$36,MATCH(L1262,Settings!$A$27:$A$36,0))),0))</f>
        <v>0</v>
      </c>
      <c r="V1262" s="38" t="n">
        <f aca="false">Q1262*U1262</f>
        <v>0</v>
      </c>
      <c r="W1262" s="41" t="str">
        <f aca="false">IF($M1262="","",IF(T1262="Overdue",IF(Settings!$B$8="Yes",Settings!$B$7,""),IF(ISNUMBER(R1262),DATE(YEAR(R1262),MONTH(R1262),1),"")))</f>
        <v/>
      </c>
      <c r="X1262" s="38" t="n">
        <f aca="false">IF(AND(OR(T1262="Backlog",T1262="Pipeline",T1262="Overdue"),ISNUMBER(W1262)),IF(W1262&lt;=Settings!$B$6,V1262,0),0)</f>
        <v>0</v>
      </c>
      <c r="Y1262" s="38" t="n">
        <f aca="false">IF(AND(OR(T1262="Backlog",T1262="Pipeline",T1262="Overdue"),ISNUMBER(W1262)),IF(W1262&lt;=Settings!$B$6,Q1262,0),0)</f>
        <v>0</v>
      </c>
      <c r="Z1262" s="38" t="n">
        <f aca="false">IF(Y1262=0,0,IF(T1262="Backlog",Q1262,Q1262*Dashboard!$C$10))</f>
        <v>0</v>
      </c>
      <c r="AA1262" s="37" t="n">
        <f aca="false">IF($N1262="",0,IF(COUNTIF(Dashboard!$C$13:$C$22,$N1262)&gt;0,1,0))</f>
        <v>0</v>
      </c>
      <c r="AB1262" s="37" t="str">
        <f aca="false">IF($N1262="","",IF(COUNTIF($N$8:$N1262,$N1262)=1,MAX($AB$7:$AB1261)+1,""))</f>
        <v/>
      </c>
    </row>
    <row r="1263" customFormat="false" ht="15" hidden="false" customHeight="false" outlineLevel="0" collapsed="false">
      <c r="L1263" s="37" t="str">
        <f aca="false">IF(INDEX($A1263:$J1263,$L$6)&lt;&gt;"",TRIM(LEFT(INDEX($A1263:$J1263,$L$6),FIND("(",INDEX($A1263:$J1263,$L$6)&amp;"(")-1)),L1262)</f>
        <v>Building Value Proposition</v>
      </c>
      <c r="M1263" s="37" t="str">
        <f aca="false">IF(INDEX($A1263:$J1263,$M$6)="","",INDEX($A1263:$J1263,$M$6)&amp;"")</f>
        <v/>
      </c>
      <c r="N1263" s="37" t="str">
        <f aca="false">IF($M1263="","",TRIM(INDEX($A1263:$J1263,$N$6)&amp;""))</f>
        <v/>
      </c>
      <c r="O1263" s="37" t="str">
        <f aca="false">IF($M1263="","",TRIM(INDEX($A1263:$J1263,$O$6)&amp;""))</f>
        <v/>
      </c>
      <c r="P1263" s="37" t="str">
        <f aca="false">IF($M1263="","",IFERROR(IF(INDEX(Settings!$B$41:$B$50,MATCH(O1263,Settings!$A$41:$A$50,0))&amp;""="","UNMAPPED",INDEX(Settings!$B$41:$B$50,MATCH(O1263,Settings!$A$41:$A$50,0))&amp;""),"UNMAPPED"))</f>
        <v/>
      </c>
      <c r="Q1263" s="38" t="n">
        <f aca="false">IF($M1263="",0,N(INDEX($A1263:$J1263,$Q$6)))</f>
        <v>0</v>
      </c>
      <c r="R1263" s="39" t="str">
        <f aca="false">IF($M1263="","",INDEX($A1263:$J1263,$R$6))</f>
        <v/>
      </c>
      <c r="S1263" s="37" t="str">
        <f aca="false">IF($M1263="","",IFERROR(INDEX(Settings!$B$27:$B$36,MATCH(L1263,Settings!$A$27:$A$36,0))&amp;"","UNMAPPED"))</f>
        <v/>
      </c>
      <c r="T1263" s="37" t="str">
        <f aca="false">IF($M1263="","",IF(NOT(ISNUMBER(R1263)),"NO DATE",IF(S1263="Won",IF(R1263&gt;Settings!$B$5,"Backlog","Delivered"),IF(S1263="Open",IF(R1263&gt;Settings!$B$5,"Pipeline","Overdue"),IF(S1263="Lost","Lost","UNMAPPED")))))</f>
        <v/>
      </c>
      <c r="U1263" s="40" t="n">
        <f aca="false">IF(T1263="Backlog",1,IF(OR(T1263="Pipeline",T1263="Overdue"),N(INDEX(Settings!$C$27:$C$36,MATCH(L1263,Settings!$A$27:$A$36,0))),0))</f>
        <v>0</v>
      </c>
      <c r="V1263" s="38" t="n">
        <f aca="false">Q1263*U1263</f>
        <v>0</v>
      </c>
      <c r="W1263" s="41" t="str">
        <f aca="false">IF($M1263="","",IF(T1263="Overdue",IF(Settings!$B$8="Yes",Settings!$B$7,""),IF(ISNUMBER(R1263),DATE(YEAR(R1263),MONTH(R1263),1),"")))</f>
        <v/>
      </c>
      <c r="X1263" s="38" t="n">
        <f aca="false">IF(AND(OR(T1263="Backlog",T1263="Pipeline",T1263="Overdue"),ISNUMBER(W1263)),IF(W1263&lt;=Settings!$B$6,V1263,0),0)</f>
        <v>0</v>
      </c>
      <c r="Y1263" s="38" t="n">
        <f aca="false">IF(AND(OR(T1263="Backlog",T1263="Pipeline",T1263="Overdue"),ISNUMBER(W1263)),IF(W1263&lt;=Settings!$B$6,Q1263,0),0)</f>
        <v>0</v>
      </c>
      <c r="Z1263" s="38" t="n">
        <f aca="false">IF(Y1263=0,0,IF(T1263="Backlog",Q1263,Q1263*Dashboard!$C$10))</f>
        <v>0</v>
      </c>
      <c r="AA1263" s="37" t="n">
        <f aca="false">IF($N1263="",0,IF(COUNTIF(Dashboard!$C$13:$C$22,$N1263)&gt;0,1,0))</f>
        <v>0</v>
      </c>
      <c r="AB1263" s="37" t="str">
        <f aca="false">IF($N1263="","",IF(COUNTIF($N$8:$N1263,$N1263)=1,MAX($AB$7:$AB1262)+1,""))</f>
        <v/>
      </c>
    </row>
    <row r="1264" customFormat="false" ht="15" hidden="false" customHeight="false" outlineLevel="0" collapsed="false">
      <c r="L1264" s="37" t="str">
        <f aca="false">IF(INDEX($A1264:$J1264,$L$6)&lt;&gt;"",TRIM(LEFT(INDEX($A1264:$J1264,$L$6),FIND("(",INDEX($A1264:$J1264,$L$6)&amp;"(")-1)),L1263)</f>
        <v>Building Value Proposition</v>
      </c>
      <c r="M1264" s="37" t="str">
        <f aca="false">IF(INDEX($A1264:$J1264,$M$6)="","",INDEX($A1264:$J1264,$M$6)&amp;"")</f>
        <v/>
      </c>
      <c r="N1264" s="37" t="str">
        <f aca="false">IF($M1264="","",TRIM(INDEX($A1264:$J1264,$N$6)&amp;""))</f>
        <v/>
      </c>
      <c r="O1264" s="37" t="str">
        <f aca="false">IF($M1264="","",TRIM(INDEX($A1264:$J1264,$O$6)&amp;""))</f>
        <v/>
      </c>
      <c r="P1264" s="37" t="str">
        <f aca="false">IF($M1264="","",IFERROR(IF(INDEX(Settings!$B$41:$B$50,MATCH(O1264,Settings!$A$41:$A$50,0))&amp;""="","UNMAPPED",INDEX(Settings!$B$41:$B$50,MATCH(O1264,Settings!$A$41:$A$50,0))&amp;""),"UNMAPPED"))</f>
        <v/>
      </c>
      <c r="Q1264" s="38" t="n">
        <f aca="false">IF($M1264="",0,N(INDEX($A1264:$J1264,$Q$6)))</f>
        <v>0</v>
      </c>
      <c r="R1264" s="39" t="str">
        <f aca="false">IF($M1264="","",INDEX($A1264:$J1264,$R$6))</f>
        <v/>
      </c>
      <c r="S1264" s="37" t="str">
        <f aca="false">IF($M1264="","",IFERROR(INDEX(Settings!$B$27:$B$36,MATCH(L1264,Settings!$A$27:$A$36,0))&amp;"","UNMAPPED"))</f>
        <v/>
      </c>
      <c r="T1264" s="37" t="str">
        <f aca="false">IF($M1264="","",IF(NOT(ISNUMBER(R1264)),"NO DATE",IF(S1264="Won",IF(R1264&gt;Settings!$B$5,"Backlog","Delivered"),IF(S1264="Open",IF(R1264&gt;Settings!$B$5,"Pipeline","Overdue"),IF(S1264="Lost","Lost","UNMAPPED")))))</f>
        <v/>
      </c>
      <c r="U1264" s="40" t="n">
        <f aca="false">IF(T1264="Backlog",1,IF(OR(T1264="Pipeline",T1264="Overdue"),N(INDEX(Settings!$C$27:$C$36,MATCH(L1264,Settings!$A$27:$A$36,0))),0))</f>
        <v>0</v>
      </c>
      <c r="V1264" s="38" t="n">
        <f aca="false">Q1264*U1264</f>
        <v>0</v>
      </c>
      <c r="W1264" s="41" t="str">
        <f aca="false">IF($M1264="","",IF(T1264="Overdue",IF(Settings!$B$8="Yes",Settings!$B$7,""),IF(ISNUMBER(R1264),DATE(YEAR(R1264),MONTH(R1264),1),"")))</f>
        <v/>
      </c>
      <c r="X1264" s="38" t="n">
        <f aca="false">IF(AND(OR(T1264="Backlog",T1264="Pipeline",T1264="Overdue"),ISNUMBER(W1264)),IF(W1264&lt;=Settings!$B$6,V1264,0),0)</f>
        <v>0</v>
      </c>
      <c r="Y1264" s="38" t="n">
        <f aca="false">IF(AND(OR(T1264="Backlog",T1264="Pipeline",T1264="Overdue"),ISNUMBER(W1264)),IF(W1264&lt;=Settings!$B$6,Q1264,0),0)</f>
        <v>0</v>
      </c>
      <c r="Z1264" s="38" t="n">
        <f aca="false">IF(Y1264=0,0,IF(T1264="Backlog",Q1264,Q1264*Dashboard!$C$10))</f>
        <v>0</v>
      </c>
      <c r="AA1264" s="37" t="n">
        <f aca="false">IF($N1264="",0,IF(COUNTIF(Dashboard!$C$13:$C$22,$N1264)&gt;0,1,0))</f>
        <v>0</v>
      </c>
      <c r="AB1264" s="37" t="str">
        <f aca="false">IF($N1264="","",IF(COUNTIF($N$8:$N1264,$N1264)=1,MAX($AB$7:$AB1263)+1,""))</f>
        <v/>
      </c>
    </row>
    <row r="1265" customFormat="false" ht="15" hidden="false" customHeight="false" outlineLevel="0" collapsed="false">
      <c r="L1265" s="37" t="str">
        <f aca="false">IF(INDEX($A1265:$J1265,$L$6)&lt;&gt;"",TRIM(LEFT(INDEX($A1265:$J1265,$L$6),FIND("(",INDEX($A1265:$J1265,$L$6)&amp;"(")-1)),L1264)</f>
        <v>Building Value Proposition</v>
      </c>
      <c r="M1265" s="37" t="str">
        <f aca="false">IF(INDEX($A1265:$J1265,$M$6)="","",INDEX($A1265:$J1265,$M$6)&amp;"")</f>
        <v/>
      </c>
      <c r="N1265" s="37" t="str">
        <f aca="false">IF($M1265="","",TRIM(INDEX($A1265:$J1265,$N$6)&amp;""))</f>
        <v/>
      </c>
      <c r="O1265" s="37" t="str">
        <f aca="false">IF($M1265="","",TRIM(INDEX($A1265:$J1265,$O$6)&amp;""))</f>
        <v/>
      </c>
      <c r="P1265" s="37" t="str">
        <f aca="false">IF($M1265="","",IFERROR(IF(INDEX(Settings!$B$41:$B$50,MATCH(O1265,Settings!$A$41:$A$50,0))&amp;""="","UNMAPPED",INDEX(Settings!$B$41:$B$50,MATCH(O1265,Settings!$A$41:$A$50,0))&amp;""),"UNMAPPED"))</f>
        <v/>
      </c>
      <c r="Q1265" s="38" t="n">
        <f aca="false">IF($M1265="",0,N(INDEX($A1265:$J1265,$Q$6)))</f>
        <v>0</v>
      </c>
      <c r="R1265" s="39" t="str">
        <f aca="false">IF($M1265="","",INDEX($A1265:$J1265,$R$6))</f>
        <v/>
      </c>
      <c r="S1265" s="37" t="str">
        <f aca="false">IF($M1265="","",IFERROR(INDEX(Settings!$B$27:$B$36,MATCH(L1265,Settings!$A$27:$A$36,0))&amp;"","UNMAPPED"))</f>
        <v/>
      </c>
      <c r="T1265" s="37" t="str">
        <f aca="false">IF($M1265="","",IF(NOT(ISNUMBER(R1265)),"NO DATE",IF(S1265="Won",IF(R1265&gt;Settings!$B$5,"Backlog","Delivered"),IF(S1265="Open",IF(R1265&gt;Settings!$B$5,"Pipeline","Overdue"),IF(S1265="Lost","Lost","UNMAPPED")))))</f>
        <v/>
      </c>
      <c r="U1265" s="40" t="n">
        <f aca="false">IF(T1265="Backlog",1,IF(OR(T1265="Pipeline",T1265="Overdue"),N(INDEX(Settings!$C$27:$C$36,MATCH(L1265,Settings!$A$27:$A$36,0))),0))</f>
        <v>0</v>
      </c>
      <c r="V1265" s="38" t="n">
        <f aca="false">Q1265*U1265</f>
        <v>0</v>
      </c>
      <c r="W1265" s="41" t="str">
        <f aca="false">IF($M1265="","",IF(T1265="Overdue",IF(Settings!$B$8="Yes",Settings!$B$7,""),IF(ISNUMBER(R1265),DATE(YEAR(R1265),MONTH(R1265),1),"")))</f>
        <v/>
      </c>
      <c r="X1265" s="38" t="n">
        <f aca="false">IF(AND(OR(T1265="Backlog",T1265="Pipeline",T1265="Overdue"),ISNUMBER(W1265)),IF(W1265&lt;=Settings!$B$6,V1265,0),0)</f>
        <v>0</v>
      </c>
      <c r="Y1265" s="38" t="n">
        <f aca="false">IF(AND(OR(T1265="Backlog",T1265="Pipeline",T1265="Overdue"),ISNUMBER(W1265)),IF(W1265&lt;=Settings!$B$6,Q1265,0),0)</f>
        <v>0</v>
      </c>
      <c r="Z1265" s="38" t="n">
        <f aca="false">IF(Y1265=0,0,IF(T1265="Backlog",Q1265,Q1265*Dashboard!$C$10))</f>
        <v>0</v>
      </c>
      <c r="AA1265" s="37" t="n">
        <f aca="false">IF($N1265="",0,IF(COUNTIF(Dashboard!$C$13:$C$22,$N1265)&gt;0,1,0))</f>
        <v>0</v>
      </c>
      <c r="AB1265" s="37" t="str">
        <f aca="false">IF($N1265="","",IF(COUNTIF($N$8:$N1265,$N1265)=1,MAX($AB$7:$AB1264)+1,""))</f>
        <v/>
      </c>
    </row>
    <row r="1266" customFormat="false" ht="15" hidden="false" customHeight="false" outlineLevel="0" collapsed="false">
      <c r="L1266" s="37" t="str">
        <f aca="false">IF(INDEX($A1266:$J1266,$L$6)&lt;&gt;"",TRIM(LEFT(INDEX($A1266:$J1266,$L$6),FIND("(",INDEX($A1266:$J1266,$L$6)&amp;"(")-1)),L1265)</f>
        <v>Building Value Proposition</v>
      </c>
      <c r="M1266" s="37" t="str">
        <f aca="false">IF(INDEX($A1266:$J1266,$M$6)="","",INDEX($A1266:$J1266,$M$6)&amp;"")</f>
        <v/>
      </c>
      <c r="N1266" s="37" t="str">
        <f aca="false">IF($M1266="","",TRIM(INDEX($A1266:$J1266,$N$6)&amp;""))</f>
        <v/>
      </c>
      <c r="O1266" s="37" t="str">
        <f aca="false">IF($M1266="","",TRIM(INDEX($A1266:$J1266,$O$6)&amp;""))</f>
        <v/>
      </c>
      <c r="P1266" s="37" t="str">
        <f aca="false">IF($M1266="","",IFERROR(IF(INDEX(Settings!$B$41:$B$50,MATCH(O1266,Settings!$A$41:$A$50,0))&amp;""="","UNMAPPED",INDEX(Settings!$B$41:$B$50,MATCH(O1266,Settings!$A$41:$A$50,0))&amp;""),"UNMAPPED"))</f>
        <v/>
      </c>
      <c r="Q1266" s="38" t="n">
        <f aca="false">IF($M1266="",0,N(INDEX($A1266:$J1266,$Q$6)))</f>
        <v>0</v>
      </c>
      <c r="R1266" s="39" t="str">
        <f aca="false">IF($M1266="","",INDEX($A1266:$J1266,$R$6))</f>
        <v/>
      </c>
      <c r="S1266" s="37" t="str">
        <f aca="false">IF($M1266="","",IFERROR(INDEX(Settings!$B$27:$B$36,MATCH(L1266,Settings!$A$27:$A$36,0))&amp;"","UNMAPPED"))</f>
        <v/>
      </c>
      <c r="T1266" s="37" t="str">
        <f aca="false">IF($M1266="","",IF(NOT(ISNUMBER(R1266)),"NO DATE",IF(S1266="Won",IF(R1266&gt;Settings!$B$5,"Backlog","Delivered"),IF(S1266="Open",IF(R1266&gt;Settings!$B$5,"Pipeline","Overdue"),IF(S1266="Lost","Lost","UNMAPPED")))))</f>
        <v/>
      </c>
      <c r="U1266" s="40" t="n">
        <f aca="false">IF(T1266="Backlog",1,IF(OR(T1266="Pipeline",T1266="Overdue"),N(INDEX(Settings!$C$27:$C$36,MATCH(L1266,Settings!$A$27:$A$36,0))),0))</f>
        <v>0</v>
      </c>
      <c r="V1266" s="38" t="n">
        <f aca="false">Q1266*U1266</f>
        <v>0</v>
      </c>
      <c r="W1266" s="41" t="str">
        <f aca="false">IF($M1266="","",IF(T1266="Overdue",IF(Settings!$B$8="Yes",Settings!$B$7,""),IF(ISNUMBER(R1266),DATE(YEAR(R1266),MONTH(R1266),1),"")))</f>
        <v/>
      </c>
      <c r="X1266" s="38" t="n">
        <f aca="false">IF(AND(OR(T1266="Backlog",T1266="Pipeline",T1266="Overdue"),ISNUMBER(W1266)),IF(W1266&lt;=Settings!$B$6,V1266,0),0)</f>
        <v>0</v>
      </c>
      <c r="Y1266" s="38" t="n">
        <f aca="false">IF(AND(OR(T1266="Backlog",T1266="Pipeline",T1266="Overdue"),ISNUMBER(W1266)),IF(W1266&lt;=Settings!$B$6,Q1266,0),0)</f>
        <v>0</v>
      </c>
      <c r="Z1266" s="38" t="n">
        <f aca="false">IF(Y1266=0,0,IF(T1266="Backlog",Q1266,Q1266*Dashboard!$C$10))</f>
        <v>0</v>
      </c>
      <c r="AA1266" s="37" t="n">
        <f aca="false">IF($N1266="",0,IF(COUNTIF(Dashboard!$C$13:$C$22,$N1266)&gt;0,1,0))</f>
        <v>0</v>
      </c>
      <c r="AB1266" s="37" t="str">
        <f aca="false">IF($N1266="","",IF(COUNTIF($N$8:$N1266,$N1266)=1,MAX($AB$7:$AB1265)+1,""))</f>
        <v/>
      </c>
    </row>
    <row r="1267" customFormat="false" ht="15" hidden="false" customHeight="false" outlineLevel="0" collapsed="false">
      <c r="L1267" s="37" t="str">
        <f aca="false">IF(INDEX($A1267:$J1267,$L$6)&lt;&gt;"",TRIM(LEFT(INDEX($A1267:$J1267,$L$6),FIND("(",INDEX($A1267:$J1267,$L$6)&amp;"(")-1)),L1266)</f>
        <v>Building Value Proposition</v>
      </c>
      <c r="M1267" s="37" t="str">
        <f aca="false">IF(INDEX($A1267:$J1267,$M$6)="","",INDEX($A1267:$J1267,$M$6)&amp;"")</f>
        <v/>
      </c>
      <c r="N1267" s="37" t="str">
        <f aca="false">IF($M1267="","",TRIM(INDEX($A1267:$J1267,$N$6)&amp;""))</f>
        <v/>
      </c>
      <c r="O1267" s="37" t="str">
        <f aca="false">IF($M1267="","",TRIM(INDEX($A1267:$J1267,$O$6)&amp;""))</f>
        <v/>
      </c>
      <c r="P1267" s="37" t="str">
        <f aca="false">IF($M1267="","",IFERROR(IF(INDEX(Settings!$B$41:$B$50,MATCH(O1267,Settings!$A$41:$A$50,0))&amp;""="","UNMAPPED",INDEX(Settings!$B$41:$B$50,MATCH(O1267,Settings!$A$41:$A$50,0))&amp;""),"UNMAPPED"))</f>
        <v/>
      </c>
      <c r="Q1267" s="38" t="n">
        <f aca="false">IF($M1267="",0,N(INDEX($A1267:$J1267,$Q$6)))</f>
        <v>0</v>
      </c>
      <c r="R1267" s="39" t="str">
        <f aca="false">IF($M1267="","",INDEX($A1267:$J1267,$R$6))</f>
        <v/>
      </c>
      <c r="S1267" s="37" t="str">
        <f aca="false">IF($M1267="","",IFERROR(INDEX(Settings!$B$27:$B$36,MATCH(L1267,Settings!$A$27:$A$36,0))&amp;"","UNMAPPED"))</f>
        <v/>
      </c>
      <c r="T1267" s="37" t="str">
        <f aca="false">IF($M1267="","",IF(NOT(ISNUMBER(R1267)),"NO DATE",IF(S1267="Won",IF(R1267&gt;Settings!$B$5,"Backlog","Delivered"),IF(S1267="Open",IF(R1267&gt;Settings!$B$5,"Pipeline","Overdue"),IF(S1267="Lost","Lost","UNMAPPED")))))</f>
        <v/>
      </c>
      <c r="U1267" s="40" t="n">
        <f aca="false">IF(T1267="Backlog",1,IF(OR(T1267="Pipeline",T1267="Overdue"),N(INDEX(Settings!$C$27:$C$36,MATCH(L1267,Settings!$A$27:$A$36,0))),0))</f>
        <v>0</v>
      </c>
      <c r="V1267" s="38" t="n">
        <f aca="false">Q1267*U1267</f>
        <v>0</v>
      </c>
      <c r="W1267" s="41" t="str">
        <f aca="false">IF($M1267="","",IF(T1267="Overdue",IF(Settings!$B$8="Yes",Settings!$B$7,""),IF(ISNUMBER(R1267),DATE(YEAR(R1267),MONTH(R1267),1),"")))</f>
        <v/>
      </c>
      <c r="X1267" s="38" t="n">
        <f aca="false">IF(AND(OR(T1267="Backlog",T1267="Pipeline",T1267="Overdue"),ISNUMBER(W1267)),IF(W1267&lt;=Settings!$B$6,V1267,0),0)</f>
        <v>0</v>
      </c>
      <c r="Y1267" s="38" t="n">
        <f aca="false">IF(AND(OR(T1267="Backlog",T1267="Pipeline",T1267="Overdue"),ISNUMBER(W1267)),IF(W1267&lt;=Settings!$B$6,Q1267,0),0)</f>
        <v>0</v>
      </c>
      <c r="Z1267" s="38" t="n">
        <f aca="false">IF(Y1267=0,0,IF(T1267="Backlog",Q1267,Q1267*Dashboard!$C$10))</f>
        <v>0</v>
      </c>
      <c r="AA1267" s="37" t="n">
        <f aca="false">IF($N1267="",0,IF(COUNTIF(Dashboard!$C$13:$C$22,$N1267)&gt;0,1,0))</f>
        <v>0</v>
      </c>
      <c r="AB1267" s="37" t="str">
        <f aca="false">IF($N1267="","",IF(COUNTIF($N$8:$N1267,$N1267)=1,MAX($AB$7:$AB1266)+1,""))</f>
        <v/>
      </c>
    </row>
    <row r="1268" customFormat="false" ht="15" hidden="false" customHeight="false" outlineLevel="0" collapsed="false">
      <c r="L1268" s="37" t="str">
        <f aca="false">IF(INDEX($A1268:$J1268,$L$6)&lt;&gt;"",TRIM(LEFT(INDEX($A1268:$J1268,$L$6),FIND("(",INDEX($A1268:$J1268,$L$6)&amp;"(")-1)),L1267)</f>
        <v>Building Value Proposition</v>
      </c>
      <c r="M1268" s="37" t="str">
        <f aca="false">IF(INDEX($A1268:$J1268,$M$6)="","",INDEX($A1268:$J1268,$M$6)&amp;"")</f>
        <v/>
      </c>
      <c r="N1268" s="37" t="str">
        <f aca="false">IF($M1268="","",TRIM(INDEX($A1268:$J1268,$N$6)&amp;""))</f>
        <v/>
      </c>
      <c r="O1268" s="37" t="str">
        <f aca="false">IF($M1268="","",TRIM(INDEX($A1268:$J1268,$O$6)&amp;""))</f>
        <v/>
      </c>
      <c r="P1268" s="37" t="str">
        <f aca="false">IF($M1268="","",IFERROR(IF(INDEX(Settings!$B$41:$B$50,MATCH(O1268,Settings!$A$41:$A$50,0))&amp;""="","UNMAPPED",INDEX(Settings!$B$41:$B$50,MATCH(O1268,Settings!$A$41:$A$50,0))&amp;""),"UNMAPPED"))</f>
        <v/>
      </c>
      <c r="Q1268" s="38" t="n">
        <f aca="false">IF($M1268="",0,N(INDEX($A1268:$J1268,$Q$6)))</f>
        <v>0</v>
      </c>
      <c r="R1268" s="39" t="str">
        <f aca="false">IF($M1268="","",INDEX($A1268:$J1268,$R$6))</f>
        <v/>
      </c>
      <c r="S1268" s="37" t="str">
        <f aca="false">IF($M1268="","",IFERROR(INDEX(Settings!$B$27:$B$36,MATCH(L1268,Settings!$A$27:$A$36,0))&amp;"","UNMAPPED"))</f>
        <v/>
      </c>
      <c r="T1268" s="37" t="str">
        <f aca="false">IF($M1268="","",IF(NOT(ISNUMBER(R1268)),"NO DATE",IF(S1268="Won",IF(R1268&gt;Settings!$B$5,"Backlog","Delivered"),IF(S1268="Open",IF(R1268&gt;Settings!$B$5,"Pipeline","Overdue"),IF(S1268="Lost","Lost","UNMAPPED")))))</f>
        <v/>
      </c>
      <c r="U1268" s="40" t="n">
        <f aca="false">IF(T1268="Backlog",1,IF(OR(T1268="Pipeline",T1268="Overdue"),N(INDEX(Settings!$C$27:$C$36,MATCH(L1268,Settings!$A$27:$A$36,0))),0))</f>
        <v>0</v>
      </c>
      <c r="V1268" s="38" t="n">
        <f aca="false">Q1268*U1268</f>
        <v>0</v>
      </c>
      <c r="W1268" s="41" t="str">
        <f aca="false">IF($M1268="","",IF(T1268="Overdue",IF(Settings!$B$8="Yes",Settings!$B$7,""),IF(ISNUMBER(R1268),DATE(YEAR(R1268),MONTH(R1268),1),"")))</f>
        <v/>
      </c>
      <c r="X1268" s="38" t="n">
        <f aca="false">IF(AND(OR(T1268="Backlog",T1268="Pipeline",T1268="Overdue"),ISNUMBER(W1268)),IF(W1268&lt;=Settings!$B$6,V1268,0),0)</f>
        <v>0</v>
      </c>
      <c r="Y1268" s="38" t="n">
        <f aca="false">IF(AND(OR(T1268="Backlog",T1268="Pipeline",T1268="Overdue"),ISNUMBER(W1268)),IF(W1268&lt;=Settings!$B$6,Q1268,0),0)</f>
        <v>0</v>
      </c>
      <c r="Z1268" s="38" t="n">
        <f aca="false">IF(Y1268=0,0,IF(T1268="Backlog",Q1268,Q1268*Dashboard!$C$10))</f>
        <v>0</v>
      </c>
      <c r="AA1268" s="37" t="n">
        <f aca="false">IF($N1268="",0,IF(COUNTIF(Dashboard!$C$13:$C$22,$N1268)&gt;0,1,0))</f>
        <v>0</v>
      </c>
      <c r="AB1268" s="37" t="str">
        <f aca="false">IF($N1268="","",IF(COUNTIF($N$8:$N1268,$N1268)=1,MAX($AB$7:$AB1267)+1,""))</f>
        <v/>
      </c>
    </row>
    <row r="1269" customFormat="false" ht="15" hidden="false" customHeight="false" outlineLevel="0" collapsed="false">
      <c r="L1269" s="37" t="str">
        <f aca="false">IF(INDEX($A1269:$J1269,$L$6)&lt;&gt;"",TRIM(LEFT(INDEX($A1269:$J1269,$L$6),FIND("(",INDEX($A1269:$J1269,$L$6)&amp;"(")-1)),L1268)</f>
        <v>Building Value Proposition</v>
      </c>
      <c r="M1269" s="37" t="str">
        <f aca="false">IF(INDEX($A1269:$J1269,$M$6)="","",INDEX($A1269:$J1269,$M$6)&amp;"")</f>
        <v/>
      </c>
      <c r="N1269" s="37" t="str">
        <f aca="false">IF($M1269="","",TRIM(INDEX($A1269:$J1269,$N$6)&amp;""))</f>
        <v/>
      </c>
      <c r="O1269" s="37" t="str">
        <f aca="false">IF($M1269="","",TRIM(INDEX($A1269:$J1269,$O$6)&amp;""))</f>
        <v/>
      </c>
      <c r="P1269" s="37" t="str">
        <f aca="false">IF($M1269="","",IFERROR(IF(INDEX(Settings!$B$41:$B$50,MATCH(O1269,Settings!$A$41:$A$50,0))&amp;""="","UNMAPPED",INDEX(Settings!$B$41:$B$50,MATCH(O1269,Settings!$A$41:$A$50,0))&amp;""),"UNMAPPED"))</f>
        <v/>
      </c>
      <c r="Q1269" s="38" t="n">
        <f aca="false">IF($M1269="",0,N(INDEX($A1269:$J1269,$Q$6)))</f>
        <v>0</v>
      </c>
      <c r="R1269" s="39" t="str">
        <f aca="false">IF($M1269="","",INDEX($A1269:$J1269,$R$6))</f>
        <v/>
      </c>
      <c r="S1269" s="37" t="str">
        <f aca="false">IF($M1269="","",IFERROR(INDEX(Settings!$B$27:$B$36,MATCH(L1269,Settings!$A$27:$A$36,0))&amp;"","UNMAPPED"))</f>
        <v/>
      </c>
      <c r="T1269" s="37" t="str">
        <f aca="false">IF($M1269="","",IF(NOT(ISNUMBER(R1269)),"NO DATE",IF(S1269="Won",IF(R1269&gt;Settings!$B$5,"Backlog","Delivered"),IF(S1269="Open",IF(R1269&gt;Settings!$B$5,"Pipeline","Overdue"),IF(S1269="Lost","Lost","UNMAPPED")))))</f>
        <v/>
      </c>
      <c r="U1269" s="40" t="n">
        <f aca="false">IF(T1269="Backlog",1,IF(OR(T1269="Pipeline",T1269="Overdue"),N(INDEX(Settings!$C$27:$C$36,MATCH(L1269,Settings!$A$27:$A$36,0))),0))</f>
        <v>0</v>
      </c>
      <c r="V1269" s="38" t="n">
        <f aca="false">Q1269*U1269</f>
        <v>0</v>
      </c>
      <c r="W1269" s="41" t="str">
        <f aca="false">IF($M1269="","",IF(T1269="Overdue",IF(Settings!$B$8="Yes",Settings!$B$7,""),IF(ISNUMBER(R1269),DATE(YEAR(R1269),MONTH(R1269),1),"")))</f>
        <v/>
      </c>
      <c r="X1269" s="38" t="n">
        <f aca="false">IF(AND(OR(T1269="Backlog",T1269="Pipeline",T1269="Overdue"),ISNUMBER(W1269)),IF(W1269&lt;=Settings!$B$6,V1269,0),0)</f>
        <v>0</v>
      </c>
      <c r="Y1269" s="38" t="n">
        <f aca="false">IF(AND(OR(T1269="Backlog",T1269="Pipeline",T1269="Overdue"),ISNUMBER(W1269)),IF(W1269&lt;=Settings!$B$6,Q1269,0),0)</f>
        <v>0</v>
      </c>
      <c r="Z1269" s="38" t="n">
        <f aca="false">IF(Y1269=0,0,IF(T1269="Backlog",Q1269,Q1269*Dashboard!$C$10))</f>
        <v>0</v>
      </c>
      <c r="AA1269" s="37" t="n">
        <f aca="false">IF($N1269="",0,IF(COUNTIF(Dashboard!$C$13:$C$22,$N1269)&gt;0,1,0))</f>
        <v>0</v>
      </c>
      <c r="AB1269" s="37" t="str">
        <f aca="false">IF($N1269="","",IF(COUNTIF($N$8:$N1269,$N1269)=1,MAX($AB$7:$AB1268)+1,""))</f>
        <v/>
      </c>
    </row>
    <row r="1270" customFormat="false" ht="15" hidden="false" customHeight="false" outlineLevel="0" collapsed="false">
      <c r="L1270" s="37" t="str">
        <f aca="false">IF(INDEX($A1270:$J1270,$L$6)&lt;&gt;"",TRIM(LEFT(INDEX($A1270:$J1270,$L$6),FIND("(",INDEX($A1270:$J1270,$L$6)&amp;"(")-1)),L1269)</f>
        <v>Building Value Proposition</v>
      </c>
      <c r="M1270" s="37" t="str">
        <f aca="false">IF(INDEX($A1270:$J1270,$M$6)="","",INDEX($A1270:$J1270,$M$6)&amp;"")</f>
        <v/>
      </c>
      <c r="N1270" s="37" t="str">
        <f aca="false">IF($M1270="","",TRIM(INDEX($A1270:$J1270,$N$6)&amp;""))</f>
        <v/>
      </c>
      <c r="O1270" s="37" t="str">
        <f aca="false">IF($M1270="","",TRIM(INDEX($A1270:$J1270,$O$6)&amp;""))</f>
        <v/>
      </c>
      <c r="P1270" s="37" t="str">
        <f aca="false">IF($M1270="","",IFERROR(IF(INDEX(Settings!$B$41:$B$50,MATCH(O1270,Settings!$A$41:$A$50,0))&amp;""="","UNMAPPED",INDEX(Settings!$B$41:$B$50,MATCH(O1270,Settings!$A$41:$A$50,0))&amp;""),"UNMAPPED"))</f>
        <v/>
      </c>
      <c r="Q1270" s="38" t="n">
        <f aca="false">IF($M1270="",0,N(INDEX($A1270:$J1270,$Q$6)))</f>
        <v>0</v>
      </c>
      <c r="R1270" s="39" t="str">
        <f aca="false">IF($M1270="","",INDEX($A1270:$J1270,$R$6))</f>
        <v/>
      </c>
      <c r="S1270" s="37" t="str">
        <f aca="false">IF($M1270="","",IFERROR(INDEX(Settings!$B$27:$B$36,MATCH(L1270,Settings!$A$27:$A$36,0))&amp;"","UNMAPPED"))</f>
        <v/>
      </c>
      <c r="T1270" s="37" t="str">
        <f aca="false">IF($M1270="","",IF(NOT(ISNUMBER(R1270)),"NO DATE",IF(S1270="Won",IF(R1270&gt;Settings!$B$5,"Backlog","Delivered"),IF(S1270="Open",IF(R1270&gt;Settings!$B$5,"Pipeline","Overdue"),IF(S1270="Lost","Lost","UNMAPPED")))))</f>
        <v/>
      </c>
      <c r="U1270" s="40" t="n">
        <f aca="false">IF(T1270="Backlog",1,IF(OR(T1270="Pipeline",T1270="Overdue"),N(INDEX(Settings!$C$27:$C$36,MATCH(L1270,Settings!$A$27:$A$36,0))),0))</f>
        <v>0</v>
      </c>
      <c r="V1270" s="38" t="n">
        <f aca="false">Q1270*U1270</f>
        <v>0</v>
      </c>
      <c r="W1270" s="41" t="str">
        <f aca="false">IF($M1270="","",IF(T1270="Overdue",IF(Settings!$B$8="Yes",Settings!$B$7,""),IF(ISNUMBER(R1270),DATE(YEAR(R1270),MONTH(R1270),1),"")))</f>
        <v/>
      </c>
      <c r="X1270" s="38" t="n">
        <f aca="false">IF(AND(OR(T1270="Backlog",T1270="Pipeline",T1270="Overdue"),ISNUMBER(W1270)),IF(W1270&lt;=Settings!$B$6,V1270,0),0)</f>
        <v>0</v>
      </c>
      <c r="Y1270" s="38" t="n">
        <f aca="false">IF(AND(OR(T1270="Backlog",T1270="Pipeline",T1270="Overdue"),ISNUMBER(W1270)),IF(W1270&lt;=Settings!$B$6,Q1270,0),0)</f>
        <v>0</v>
      </c>
      <c r="Z1270" s="38" t="n">
        <f aca="false">IF(Y1270=0,0,IF(T1270="Backlog",Q1270,Q1270*Dashboard!$C$10))</f>
        <v>0</v>
      </c>
      <c r="AA1270" s="37" t="n">
        <f aca="false">IF($N1270="",0,IF(COUNTIF(Dashboard!$C$13:$C$22,$N1270)&gt;0,1,0))</f>
        <v>0</v>
      </c>
      <c r="AB1270" s="37" t="str">
        <f aca="false">IF($N1270="","",IF(COUNTIF($N$8:$N1270,$N1270)=1,MAX($AB$7:$AB1269)+1,""))</f>
        <v/>
      </c>
    </row>
    <row r="1271" customFormat="false" ht="15" hidden="false" customHeight="false" outlineLevel="0" collapsed="false">
      <c r="L1271" s="37" t="str">
        <f aca="false">IF(INDEX($A1271:$J1271,$L$6)&lt;&gt;"",TRIM(LEFT(INDEX($A1271:$J1271,$L$6),FIND("(",INDEX($A1271:$J1271,$L$6)&amp;"(")-1)),L1270)</f>
        <v>Building Value Proposition</v>
      </c>
      <c r="M1271" s="37" t="str">
        <f aca="false">IF(INDEX($A1271:$J1271,$M$6)="","",INDEX($A1271:$J1271,$M$6)&amp;"")</f>
        <v/>
      </c>
      <c r="N1271" s="37" t="str">
        <f aca="false">IF($M1271="","",TRIM(INDEX($A1271:$J1271,$N$6)&amp;""))</f>
        <v/>
      </c>
      <c r="O1271" s="37" t="str">
        <f aca="false">IF($M1271="","",TRIM(INDEX($A1271:$J1271,$O$6)&amp;""))</f>
        <v/>
      </c>
      <c r="P1271" s="37" t="str">
        <f aca="false">IF($M1271="","",IFERROR(IF(INDEX(Settings!$B$41:$B$50,MATCH(O1271,Settings!$A$41:$A$50,0))&amp;""="","UNMAPPED",INDEX(Settings!$B$41:$B$50,MATCH(O1271,Settings!$A$41:$A$50,0))&amp;""),"UNMAPPED"))</f>
        <v/>
      </c>
      <c r="Q1271" s="38" t="n">
        <f aca="false">IF($M1271="",0,N(INDEX($A1271:$J1271,$Q$6)))</f>
        <v>0</v>
      </c>
      <c r="R1271" s="39" t="str">
        <f aca="false">IF($M1271="","",INDEX($A1271:$J1271,$R$6))</f>
        <v/>
      </c>
      <c r="S1271" s="37" t="str">
        <f aca="false">IF($M1271="","",IFERROR(INDEX(Settings!$B$27:$B$36,MATCH(L1271,Settings!$A$27:$A$36,0))&amp;"","UNMAPPED"))</f>
        <v/>
      </c>
      <c r="T1271" s="37" t="str">
        <f aca="false">IF($M1271="","",IF(NOT(ISNUMBER(R1271)),"NO DATE",IF(S1271="Won",IF(R1271&gt;Settings!$B$5,"Backlog","Delivered"),IF(S1271="Open",IF(R1271&gt;Settings!$B$5,"Pipeline","Overdue"),IF(S1271="Lost","Lost","UNMAPPED")))))</f>
        <v/>
      </c>
      <c r="U1271" s="40" t="n">
        <f aca="false">IF(T1271="Backlog",1,IF(OR(T1271="Pipeline",T1271="Overdue"),N(INDEX(Settings!$C$27:$C$36,MATCH(L1271,Settings!$A$27:$A$36,0))),0))</f>
        <v>0</v>
      </c>
      <c r="V1271" s="38" t="n">
        <f aca="false">Q1271*U1271</f>
        <v>0</v>
      </c>
      <c r="W1271" s="41" t="str">
        <f aca="false">IF($M1271="","",IF(T1271="Overdue",IF(Settings!$B$8="Yes",Settings!$B$7,""),IF(ISNUMBER(R1271),DATE(YEAR(R1271),MONTH(R1271),1),"")))</f>
        <v/>
      </c>
      <c r="X1271" s="38" t="n">
        <f aca="false">IF(AND(OR(T1271="Backlog",T1271="Pipeline",T1271="Overdue"),ISNUMBER(W1271)),IF(W1271&lt;=Settings!$B$6,V1271,0),0)</f>
        <v>0</v>
      </c>
      <c r="Y1271" s="38" t="n">
        <f aca="false">IF(AND(OR(T1271="Backlog",T1271="Pipeline",T1271="Overdue"),ISNUMBER(W1271)),IF(W1271&lt;=Settings!$B$6,Q1271,0),0)</f>
        <v>0</v>
      </c>
      <c r="Z1271" s="38" t="n">
        <f aca="false">IF(Y1271=0,0,IF(T1271="Backlog",Q1271,Q1271*Dashboard!$C$10))</f>
        <v>0</v>
      </c>
      <c r="AA1271" s="37" t="n">
        <f aca="false">IF($N1271="",0,IF(COUNTIF(Dashboard!$C$13:$C$22,$N1271)&gt;0,1,0))</f>
        <v>0</v>
      </c>
      <c r="AB1271" s="37" t="str">
        <f aca="false">IF($N1271="","",IF(COUNTIF($N$8:$N1271,$N1271)=1,MAX($AB$7:$AB1270)+1,""))</f>
        <v/>
      </c>
    </row>
    <row r="1272" customFormat="false" ht="15" hidden="false" customHeight="false" outlineLevel="0" collapsed="false">
      <c r="L1272" s="37" t="str">
        <f aca="false">IF(INDEX($A1272:$J1272,$L$6)&lt;&gt;"",TRIM(LEFT(INDEX($A1272:$J1272,$L$6),FIND("(",INDEX($A1272:$J1272,$L$6)&amp;"(")-1)),L1271)</f>
        <v>Building Value Proposition</v>
      </c>
      <c r="M1272" s="37" t="str">
        <f aca="false">IF(INDEX($A1272:$J1272,$M$6)="","",INDEX($A1272:$J1272,$M$6)&amp;"")</f>
        <v/>
      </c>
      <c r="N1272" s="37" t="str">
        <f aca="false">IF($M1272="","",TRIM(INDEX($A1272:$J1272,$N$6)&amp;""))</f>
        <v/>
      </c>
      <c r="O1272" s="37" t="str">
        <f aca="false">IF($M1272="","",TRIM(INDEX($A1272:$J1272,$O$6)&amp;""))</f>
        <v/>
      </c>
      <c r="P1272" s="37" t="str">
        <f aca="false">IF($M1272="","",IFERROR(IF(INDEX(Settings!$B$41:$B$50,MATCH(O1272,Settings!$A$41:$A$50,0))&amp;""="","UNMAPPED",INDEX(Settings!$B$41:$B$50,MATCH(O1272,Settings!$A$41:$A$50,0))&amp;""),"UNMAPPED"))</f>
        <v/>
      </c>
      <c r="Q1272" s="38" t="n">
        <f aca="false">IF($M1272="",0,N(INDEX($A1272:$J1272,$Q$6)))</f>
        <v>0</v>
      </c>
      <c r="R1272" s="39" t="str">
        <f aca="false">IF($M1272="","",INDEX($A1272:$J1272,$R$6))</f>
        <v/>
      </c>
      <c r="S1272" s="37" t="str">
        <f aca="false">IF($M1272="","",IFERROR(INDEX(Settings!$B$27:$B$36,MATCH(L1272,Settings!$A$27:$A$36,0))&amp;"","UNMAPPED"))</f>
        <v/>
      </c>
      <c r="T1272" s="37" t="str">
        <f aca="false">IF($M1272="","",IF(NOT(ISNUMBER(R1272)),"NO DATE",IF(S1272="Won",IF(R1272&gt;Settings!$B$5,"Backlog","Delivered"),IF(S1272="Open",IF(R1272&gt;Settings!$B$5,"Pipeline","Overdue"),IF(S1272="Lost","Lost","UNMAPPED")))))</f>
        <v/>
      </c>
      <c r="U1272" s="40" t="n">
        <f aca="false">IF(T1272="Backlog",1,IF(OR(T1272="Pipeline",T1272="Overdue"),N(INDEX(Settings!$C$27:$C$36,MATCH(L1272,Settings!$A$27:$A$36,0))),0))</f>
        <v>0</v>
      </c>
      <c r="V1272" s="38" t="n">
        <f aca="false">Q1272*U1272</f>
        <v>0</v>
      </c>
      <c r="W1272" s="41" t="str">
        <f aca="false">IF($M1272="","",IF(T1272="Overdue",IF(Settings!$B$8="Yes",Settings!$B$7,""),IF(ISNUMBER(R1272),DATE(YEAR(R1272),MONTH(R1272),1),"")))</f>
        <v/>
      </c>
      <c r="X1272" s="38" t="n">
        <f aca="false">IF(AND(OR(T1272="Backlog",T1272="Pipeline",T1272="Overdue"),ISNUMBER(W1272)),IF(W1272&lt;=Settings!$B$6,V1272,0),0)</f>
        <v>0</v>
      </c>
      <c r="Y1272" s="38" t="n">
        <f aca="false">IF(AND(OR(T1272="Backlog",T1272="Pipeline",T1272="Overdue"),ISNUMBER(W1272)),IF(W1272&lt;=Settings!$B$6,Q1272,0),0)</f>
        <v>0</v>
      </c>
      <c r="Z1272" s="38" t="n">
        <f aca="false">IF(Y1272=0,0,IF(T1272="Backlog",Q1272,Q1272*Dashboard!$C$10))</f>
        <v>0</v>
      </c>
      <c r="AA1272" s="37" t="n">
        <f aca="false">IF($N1272="",0,IF(COUNTIF(Dashboard!$C$13:$C$22,$N1272)&gt;0,1,0))</f>
        <v>0</v>
      </c>
      <c r="AB1272" s="37" t="str">
        <f aca="false">IF($N1272="","",IF(COUNTIF($N$8:$N1272,$N1272)=1,MAX($AB$7:$AB1271)+1,""))</f>
        <v/>
      </c>
    </row>
    <row r="1273" customFormat="false" ht="15" hidden="false" customHeight="false" outlineLevel="0" collapsed="false">
      <c r="L1273" s="37" t="str">
        <f aca="false">IF(INDEX($A1273:$J1273,$L$6)&lt;&gt;"",TRIM(LEFT(INDEX($A1273:$J1273,$L$6),FIND("(",INDEX($A1273:$J1273,$L$6)&amp;"(")-1)),L1272)</f>
        <v>Building Value Proposition</v>
      </c>
      <c r="M1273" s="37" t="str">
        <f aca="false">IF(INDEX($A1273:$J1273,$M$6)="","",INDEX($A1273:$J1273,$M$6)&amp;"")</f>
        <v/>
      </c>
      <c r="N1273" s="37" t="str">
        <f aca="false">IF($M1273="","",TRIM(INDEX($A1273:$J1273,$N$6)&amp;""))</f>
        <v/>
      </c>
      <c r="O1273" s="37" t="str">
        <f aca="false">IF($M1273="","",TRIM(INDEX($A1273:$J1273,$O$6)&amp;""))</f>
        <v/>
      </c>
      <c r="P1273" s="37" t="str">
        <f aca="false">IF($M1273="","",IFERROR(IF(INDEX(Settings!$B$41:$B$50,MATCH(O1273,Settings!$A$41:$A$50,0))&amp;""="","UNMAPPED",INDEX(Settings!$B$41:$B$50,MATCH(O1273,Settings!$A$41:$A$50,0))&amp;""),"UNMAPPED"))</f>
        <v/>
      </c>
      <c r="Q1273" s="38" t="n">
        <f aca="false">IF($M1273="",0,N(INDEX($A1273:$J1273,$Q$6)))</f>
        <v>0</v>
      </c>
      <c r="R1273" s="39" t="str">
        <f aca="false">IF($M1273="","",INDEX($A1273:$J1273,$R$6))</f>
        <v/>
      </c>
      <c r="S1273" s="37" t="str">
        <f aca="false">IF($M1273="","",IFERROR(INDEX(Settings!$B$27:$B$36,MATCH(L1273,Settings!$A$27:$A$36,0))&amp;"","UNMAPPED"))</f>
        <v/>
      </c>
      <c r="T1273" s="37" t="str">
        <f aca="false">IF($M1273="","",IF(NOT(ISNUMBER(R1273)),"NO DATE",IF(S1273="Won",IF(R1273&gt;Settings!$B$5,"Backlog","Delivered"),IF(S1273="Open",IF(R1273&gt;Settings!$B$5,"Pipeline","Overdue"),IF(S1273="Lost","Lost","UNMAPPED")))))</f>
        <v/>
      </c>
      <c r="U1273" s="40" t="n">
        <f aca="false">IF(T1273="Backlog",1,IF(OR(T1273="Pipeline",T1273="Overdue"),N(INDEX(Settings!$C$27:$C$36,MATCH(L1273,Settings!$A$27:$A$36,0))),0))</f>
        <v>0</v>
      </c>
      <c r="V1273" s="38" t="n">
        <f aca="false">Q1273*U1273</f>
        <v>0</v>
      </c>
      <c r="W1273" s="41" t="str">
        <f aca="false">IF($M1273="","",IF(T1273="Overdue",IF(Settings!$B$8="Yes",Settings!$B$7,""),IF(ISNUMBER(R1273),DATE(YEAR(R1273),MONTH(R1273),1),"")))</f>
        <v/>
      </c>
      <c r="X1273" s="38" t="n">
        <f aca="false">IF(AND(OR(T1273="Backlog",T1273="Pipeline",T1273="Overdue"),ISNUMBER(W1273)),IF(W1273&lt;=Settings!$B$6,V1273,0),0)</f>
        <v>0</v>
      </c>
      <c r="Y1273" s="38" t="n">
        <f aca="false">IF(AND(OR(T1273="Backlog",T1273="Pipeline",T1273="Overdue"),ISNUMBER(W1273)),IF(W1273&lt;=Settings!$B$6,Q1273,0),0)</f>
        <v>0</v>
      </c>
      <c r="Z1273" s="38" t="n">
        <f aca="false">IF(Y1273=0,0,IF(T1273="Backlog",Q1273,Q1273*Dashboard!$C$10))</f>
        <v>0</v>
      </c>
      <c r="AA1273" s="37" t="n">
        <f aca="false">IF($N1273="",0,IF(COUNTIF(Dashboard!$C$13:$C$22,$N1273)&gt;0,1,0))</f>
        <v>0</v>
      </c>
      <c r="AB1273" s="37" t="str">
        <f aca="false">IF($N1273="","",IF(COUNTIF($N$8:$N1273,$N1273)=1,MAX($AB$7:$AB1272)+1,""))</f>
        <v/>
      </c>
    </row>
    <row r="1274" customFormat="false" ht="15" hidden="false" customHeight="false" outlineLevel="0" collapsed="false">
      <c r="L1274" s="37" t="str">
        <f aca="false">IF(INDEX($A1274:$J1274,$L$6)&lt;&gt;"",TRIM(LEFT(INDEX($A1274:$J1274,$L$6),FIND("(",INDEX($A1274:$J1274,$L$6)&amp;"(")-1)),L1273)</f>
        <v>Building Value Proposition</v>
      </c>
      <c r="M1274" s="37" t="str">
        <f aca="false">IF(INDEX($A1274:$J1274,$M$6)="","",INDEX($A1274:$J1274,$M$6)&amp;"")</f>
        <v/>
      </c>
      <c r="N1274" s="37" t="str">
        <f aca="false">IF($M1274="","",TRIM(INDEX($A1274:$J1274,$N$6)&amp;""))</f>
        <v/>
      </c>
      <c r="O1274" s="37" t="str">
        <f aca="false">IF($M1274="","",TRIM(INDEX($A1274:$J1274,$O$6)&amp;""))</f>
        <v/>
      </c>
      <c r="P1274" s="37" t="str">
        <f aca="false">IF($M1274="","",IFERROR(IF(INDEX(Settings!$B$41:$B$50,MATCH(O1274,Settings!$A$41:$A$50,0))&amp;""="","UNMAPPED",INDEX(Settings!$B$41:$B$50,MATCH(O1274,Settings!$A$41:$A$50,0))&amp;""),"UNMAPPED"))</f>
        <v/>
      </c>
      <c r="Q1274" s="38" t="n">
        <f aca="false">IF($M1274="",0,N(INDEX($A1274:$J1274,$Q$6)))</f>
        <v>0</v>
      </c>
      <c r="R1274" s="39" t="str">
        <f aca="false">IF($M1274="","",INDEX($A1274:$J1274,$R$6))</f>
        <v/>
      </c>
      <c r="S1274" s="37" t="str">
        <f aca="false">IF($M1274="","",IFERROR(INDEX(Settings!$B$27:$B$36,MATCH(L1274,Settings!$A$27:$A$36,0))&amp;"","UNMAPPED"))</f>
        <v/>
      </c>
      <c r="T1274" s="37" t="str">
        <f aca="false">IF($M1274="","",IF(NOT(ISNUMBER(R1274)),"NO DATE",IF(S1274="Won",IF(R1274&gt;Settings!$B$5,"Backlog","Delivered"),IF(S1274="Open",IF(R1274&gt;Settings!$B$5,"Pipeline","Overdue"),IF(S1274="Lost","Lost","UNMAPPED")))))</f>
        <v/>
      </c>
      <c r="U1274" s="40" t="n">
        <f aca="false">IF(T1274="Backlog",1,IF(OR(T1274="Pipeline",T1274="Overdue"),N(INDEX(Settings!$C$27:$C$36,MATCH(L1274,Settings!$A$27:$A$36,0))),0))</f>
        <v>0</v>
      </c>
      <c r="V1274" s="38" t="n">
        <f aca="false">Q1274*U1274</f>
        <v>0</v>
      </c>
      <c r="W1274" s="41" t="str">
        <f aca="false">IF($M1274="","",IF(T1274="Overdue",IF(Settings!$B$8="Yes",Settings!$B$7,""),IF(ISNUMBER(R1274),DATE(YEAR(R1274),MONTH(R1274),1),"")))</f>
        <v/>
      </c>
      <c r="X1274" s="38" t="n">
        <f aca="false">IF(AND(OR(T1274="Backlog",T1274="Pipeline",T1274="Overdue"),ISNUMBER(W1274)),IF(W1274&lt;=Settings!$B$6,V1274,0),0)</f>
        <v>0</v>
      </c>
      <c r="Y1274" s="38" t="n">
        <f aca="false">IF(AND(OR(T1274="Backlog",T1274="Pipeline",T1274="Overdue"),ISNUMBER(W1274)),IF(W1274&lt;=Settings!$B$6,Q1274,0),0)</f>
        <v>0</v>
      </c>
      <c r="Z1274" s="38" t="n">
        <f aca="false">IF(Y1274=0,0,IF(T1274="Backlog",Q1274,Q1274*Dashboard!$C$10))</f>
        <v>0</v>
      </c>
      <c r="AA1274" s="37" t="n">
        <f aca="false">IF($N1274="",0,IF(COUNTIF(Dashboard!$C$13:$C$22,$N1274)&gt;0,1,0))</f>
        <v>0</v>
      </c>
      <c r="AB1274" s="37" t="str">
        <f aca="false">IF($N1274="","",IF(COUNTIF($N$8:$N1274,$N1274)=1,MAX($AB$7:$AB1273)+1,""))</f>
        <v/>
      </c>
    </row>
    <row r="1275" customFormat="false" ht="15" hidden="false" customHeight="false" outlineLevel="0" collapsed="false">
      <c r="L1275" s="37" t="str">
        <f aca="false">IF(INDEX($A1275:$J1275,$L$6)&lt;&gt;"",TRIM(LEFT(INDEX($A1275:$J1275,$L$6),FIND("(",INDEX($A1275:$J1275,$L$6)&amp;"(")-1)),L1274)</f>
        <v>Building Value Proposition</v>
      </c>
      <c r="M1275" s="37" t="str">
        <f aca="false">IF(INDEX($A1275:$J1275,$M$6)="","",INDEX($A1275:$J1275,$M$6)&amp;"")</f>
        <v/>
      </c>
      <c r="N1275" s="37" t="str">
        <f aca="false">IF($M1275="","",TRIM(INDEX($A1275:$J1275,$N$6)&amp;""))</f>
        <v/>
      </c>
      <c r="O1275" s="37" t="str">
        <f aca="false">IF($M1275="","",TRIM(INDEX($A1275:$J1275,$O$6)&amp;""))</f>
        <v/>
      </c>
      <c r="P1275" s="37" t="str">
        <f aca="false">IF($M1275="","",IFERROR(IF(INDEX(Settings!$B$41:$B$50,MATCH(O1275,Settings!$A$41:$A$50,0))&amp;""="","UNMAPPED",INDEX(Settings!$B$41:$B$50,MATCH(O1275,Settings!$A$41:$A$50,0))&amp;""),"UNMAPPED"))</f>
        <v/>
      </c>
      <c r="Q1275" s="38" t="n">
        <f aca="false">IF($M1275="",0,N(INDEX($A1275:$J1275,$Q$6)))</f>
        <v>0</v>
      </c>
      <c r="R1275" s="39" t="str">
        <f aca="false">IF($M1275="","",INDEX($A1275:$J1275,$R$6))</f>
        <v/>
      </c>
      <c r="S1275" s="37" t="str">
        <f aca="false">IF($M1275="","",IFERROR(INDEX(Settings!$B$27:$B$36,MATCH(L1275,Settings!$A$27:$A$36,0))&amp;"","UNMAPPED"))</f>
        <v/>
      </c>
      <c r="T1275" s="37" t="str">
        <f aca="false">IF($M1275="","",IF(NOT(ISNUMBER(R1275)),"NO DATE",IF(S1275="Won",IF(R1275&gt;Settings!$B$5,"Backlog","Delivered"),IF(S1275="Open",IF(R1275&gt;Settings!$B$5,"Pipeline","Overdue"),IF(S1275="Lost","Lost","UNMAPPED")))))</f>
        <v/>
      </c>
      <c r="U1275" s="40" t="n">
        <f aca="false">IF(T1275="Backlog",1,IF(OR(T1275="Pipeline",T1275="Overdue"),N(INDEX(Settings!$C$27:$C$36,MATCH(L1275,Settings!$A$27:$A$36,0))),0))</f>
        <v>0</v>
      </c>
      <c r="V1275" s="38" t="n">
        <f aca="false">Q1275*U1275</f>
        <v>0</v>
      </c>
      <c r="W1275" s="41" t="str">
        <f aca="false">IF($M1275="","",IF(T1275="Overdue",IF(Settings!$B$8="Yes",Settings!$B$7,""),IF(ISNUMBER(R1275),DATE(YEAR(R1275),MONTH(R1275),1),"")))</f>
        <v/>
      </c>
      <c r="X1275" s="38" t="n">
        <f aca="false">IF(AND(OR(T1275="Backlog",T1275="Pipeline",T1275="Overdue"),ISNUMBER(W1275)),IF(W1275&lt;=Settings!$B$6,V1275,0),0)</f>
        <v>0</v>
      </c>
      <c r="Y1275" s="38" t="n">
        <f aca="false">IF(AND(OR(T1275="Backlog",T1275="Pipeline",T1275="Overdue"),ISNUMBER(W1275)),IF(W1275&lt;=Settings!$B$6,Q1275,0),0)</f>
        <v>0</v>
      </c>
      <c r="Z1275" s="38" t="n">
        <f aca="false">IF(Y1275=0,0,IF(T1275="Backlog",Q1275,Q1275*Dashboard!$C$10))</f>
        <v>0</v>
      </c>
      <c r="AA1275" s="37" t="n">
        <f aca="false">IF($N1275="",0,IF(COUNTIF(Dashboard!$C$13:$C$22,$N1275)&gt;0,1,0))</f>
        <v>0</v>
      </c>
      <c r="AB1275" s="37" t="str">
        <f aca="false">IF($N1275="","",IF(COUNTIF($N$8:$N1275,$N1275)=1,MAX($AB$7:$AB1274)+1,""))</f>
        <v/>
      </c>
    </row>
    <row r="1276" customFormat="false" ht="15" hidden="false" customHeight="false" outlineLevel="0" collapsed="false">
      <c r="L1276" s="37" t="str">
        <f aca="false">IF(INDEX($A1276:$J1276,$L$6)&lt;&gt;"",TRIM(LEFT(INDEX($A1276:$J1276,$L$6),FIND("(",INDEX($A1276:$J1276,$L$6)&amp;"(")-1)),L1275)</f>
        <v>Building Value Proposition</v>
      </c>
      <c r="M1276" s="37" t="str">
        <f aca="false">IF(INDEX($A1276:$J1276,$M$6)="","",INDEX($A1276:$J1276,$M$6)&amp;"")</f>
        <v/>
      </c>
      <c r="N1276" s="37" t="str">
        <f aca="false">IF($M1276="","",TRIM(INDEX($A1276:$J1276,$N$6)&amp;""))</f>
        <v/>
      </c>
      <c r="O1276" s="37" t="str">
        <f aca="false">IF($M1276="","",TRIM(INDEX($A1276:$J1276,$O$6)&amp;""))</f>
        <v/>
      </c>
      <c r="P1276" s="37" t="str">
        <f aca="false">IF($M1276="","",IFERROR(IF(INDEX(Settings!$B$41:$B$50,MATCH(O1276,Settings!$A$41:$A$50,0))&amp;""="","UNMAPPED",INDEX(Settings!$B$41:$B$50,MATCH(O1276,Settings!$A$41:$A$50,0))&amp;""),"UNMAPPED"))</f>
        <v/>
      </c>
      <c r="Q1276" s="38" t="n">
        <f aca="false">IF($M1276="",0,N(INDEX($A1276:$J1276,$Q$6)))</f>
        <v>0</v>
      </c>
      <c r="R1276" s="39" t="str">
        <f aca="false">IF($M1276="","",INDEX($A1276:$J1276,$R$6))</f>
        <v/>
      </c>
      <c r="S1276" s="37" t="str">
        <f aca="false">IF($M1276="","",IFERROR(INDEX(Settings!$B$27:$B$36,MATCH(L1276,Settings!$A$27:$A$36,0))&amp;"","UNMAPPED"))</f>
        <v/>
      </c>
      <c r="T1276" s="37" t="str">
        <f aca="false">IF($M1276="","",IF(NOT(ISNUMBER(R1276)),"NO DATE",IF(S1276="Won",IF(R1276&gt;Settings!$B$5,"Backlog","Delivered"),IF(S1276="Open",IF(R1276&gt;Settings!$B$5,"Pipeline","Overdue"),IF(S1276="Lost","Lost","UNMAPPED")))))</f>
        <v/>
      </c>
      <c r="U1276" s="40" t="n">
        <f aca="false">IF(T1276="Backlog",1,IF(OR(T1276="Pipeline",T1276="Overdue"),N(INDEX(Settings!$C$27:$C$36,MATCH(L1276,Settings!$A$27:$A$36,0))),0))</f>
        <v>0</v>
      </c>
      <c r="V1276" s="38" t="n">
        <f aca="false">Q1276*U1276</f>
        <v>0</v>
      </c>
      <c r="W1276" s="41" t="str">
        <f aca="false">IF($M1276="","",IF(T1276="Overdue",IF(Settings!$B$8="Yes",Settings!$B$7,""),IF(ISNUMBER(R1276),DATE(YEAR(R1276),MONTH(R1276),1),"")))</f>
        <v/>
      </c>
      <c r="X1276" s="38" t="n">
        <f aca="false">IF(AND(OR(T1276="Backlog",T1276="Pipeline",T1276="Overdue"),ISNUMBER(W1276)),IF(W1276&lt;=Settings!$B$6,V1276,0),0)</f>
        <v>0</v>
      </c>
      <c r="Y1276" s="38" t="n">
        <f aca="false">IF(AND(OR(T1276="Backlog",T1276="Pipeline",T1276="Overdue"),ISNUMBER(W1276)),IF(W1276&lt;=Settings!$B$6,Q1276,0),0)</f>
        <v>0</v>
      </c>
      <c r="Z1276" s="38" t="n">
        <f aca="false">IF(Y1276=0,0,IF(T1276="Backlog",Q1276,Q1276*Dashboard!$C$10))</f>
        <v>0</v>
      </c>
      <c r="AA1276" s="37" t="n">
        <f aca="false">IF($N1276="",0,IF(COUNTIF(Dashboard!$C$13:$C$22,$N1276)&gt;0,1,0))</f>
        <v>0</v>
      </c>
      <c r="AB1276" s="37" t="str">
        <f aca="false">IF($N1276="","",IF(COUNTIF($N$8:$N1276,$N1276)=1,MAX($AB$7:$AB1275)+1,""))</f>
        <v/>
      </c>
    </row>
    <row r="1277" customFormat="false" ht="15" hidden="false" customHeight="false" outlineLevel="0" collapsed="false">
      <c r="L1277" s="37" t="str">
        <f aca="false">IF(INDEX($A1277:$J1277,$L$6)&lt;&gt;"",TRIM(LEFT(INDEX($A1277:$J1277,$L$6),FIND("(",INDEX($A1277:$J1277,$L$6)&amp;"(")-1)),L1276)</f>
        <v>Building Value Proposition</v>
      </c>
      <c r="M1277" s="37" t="str">
        <f aca="false">IF(INDEX($A1277:$J1277,$M$6)="","",INDEX($A1277:$J1277,$M$6)&amp;"")</f>
        <v/>
      </c>
      <c r="N1277" s="37" t="str">
        <f aca="false">IF($M1277="","",TRIM(INDEX($A1277:$J1277,$N$6)&amp;""))</f>
        <v/>
      </c>
      <c r="O1277" s="37" t="str">
        <f aca="false">IF($M1277="","",TRIM(INDEX($A1277:$J1277,$O$6)&amp;""))</f>
        <v/>
      </c>
      <c r="P1277" s="37" t="str">
        <f aca="false">IF($M1277="","",IFERROR(IF(INDEX(Settings!$B$41:$B$50,MATCH(O1277,Settings!$A$41:$A$50,0))&amp;""="","UNMAPPED",INDEX(Settings!$B$41:$B$50,MATCH(O1277,Settings!$A$41:$A$50,0))&amp;""),"UNMAPPED"))</f>
        <v/>
      </c>
      <c r="Q1277" s="38" t="n">
        <f aca="false">IF($M1277="",0,N(INDEX($A1277:$J1277,$Q$6)))</f>
        <v>0</v>
      </c>
      <c r="R1277" s="39" t="str">
        <f aca="false">IF($M1277="","",INDEX($A1277:$J1277,$R$6))</f>
        <v/>
      </c>
      <c r="S1277" s="37" t="str">
        <f aca="false">IF($M1277="","",IFERROR(INDEX(Settings!$B$27:$B$36,MATCH(L1277,Settings!$A$27:$A$36,0))&amp;"","UNMAPPED"))</f>
        <v/>
      </c>
      <c r="T1277" s="37" t="str">
        <f aca="false">IF($M1277="","",IF(NOT(ISNUMBER(R1277)),"NO DATE",IF(S1277="Won",IF(R1277&gt;Settings!$B$5,"Backlog","Delivered"),IF(S1277="Open",IF(R1277&gt;Settings!$B$5,"Pipeline","Overdue"),IF(S1277="Lost","Lost","UNMAPPED")))))</f>
        <v/>
      </c>
      <c r="U1277" s="40" t="n">
        <f aca="false">IF(T1277="Backlog",1,IF(OR(T1277="Pipeline",T1277="Overdue"),N(INDEX(Settings!$C$27:$C$36,MATCH(L1277,Settings!$A$27:$A$36,0))),0))</f>
        <v>0</v>
      </c>
      <c r="V1277" s="38" t="n">
        <f aca="false">Q1277*U1277</f>
        <v>0</v>
      </c>
      <c r="W1277" s="41" t="str">
        <f aca="false">IF($M1277="","",IF(T1277="Overdue",IF(Settings!$B$8="Yes",Settings!$B$7,""),IF(ISNUMBER(R1277),DATE(YEAR(R1277),MONTH(R1277),1),"")))</f>
        <v/>
      </c>
      <c r="X1277" s="38" t="n">
        <f aca="false">IF(AND(OR(T1277="Backlog",T1277="Pipeline",T1277="Overdue"),ISNUMBER(W1277)),IF(W1277&lt;=Settings!$B$6,V1277,0),0)</f>
        <v>0</v>
      </c>
      <c r="Y1277" s="38" t="n">
        <f aca="false">IF(AND(OR(T1277="Backlog",T1277="Pipeline",T1277="Overdue"),ISNUMBER(W1277)),IF(W1277&lt;=Settings!$B$6,Q1277,0),0)</f>
        <v>0</v>
      </c>
      <c r="Z1277" s="38" t="n">
        <f aca="false">IF(Y1277=0,0,IF(T1277="Backlog",Q1277,Q1277*Dashboard!$C$10))</f>
        <v>0</v>
      </c>
      <c r="AA1277" s="37" t="n">
        <f aca="false">IF($N1277="",0,IF(COUNTIF(Dashboard!$C$13:$C$22,$N1277)&gt;0,1,0))</f>
        <v>0</v>
      </c>
      <c r="AB1277" s="37" t="str">
        <f aca="false">IF($N1277="","",IF(COUNTIF($N$8:$N1277,$N1277)=1,MAX($AB$7:$AB1276)+1,""))</f>
        <v/>
      </c>
    </row>
    <row r="1278" customFormat="false" ht="15" hidden="false" customHeight="false" outlineLevel="0" collapsed="false">
      <c r="L1278" s="37" t="str">
        <f aca="false">IF(INDEX($A1278:$J1278,$L$6)&lt;&gt;"",TRIM(LEFT(INDEX($A1278:$J1278,$L$6),FIND("(",INDEX($A1278:$J1278,$L$6)&amp;"(")-1)),L1277)</f>
        <v>Building Value Proposition</v>
      </c>
      <c r="M1278" s="37" t="str">
        <f aca="false">IF(INDEX($A1278:$J1278,$M$6)="","",INDEX($A1278:$J1278,$M$6)&amp;"")</f>
        <v/>
      </c>
      <c r="N1278" s="37" t="str">
        <f aca="false">IF($M1278="","",TRIM(INDEX($A1278:$J1278,$N$6)&amp;""))</f>
        <v/>
      </c>
      <c r="O1278" s="37" t="str">
        <f aca="false">IF($M1278="","",TRIM(INDEX($A1278:$J1278,$O$6)&amp;""))</f>
        <v/>
      </c>
      <c r="P1278" s="37" t="str">
        <f aca="false">IF($M1278="","",IFERROR(IF(INDEX(Settings!$B$41:$B$50,MATCH(O1278,Settings!$A$41:$A$50,0))&amp;""="","UNMAPPED",INDEX(Settings!$B$41:$B$50,MATCH(O1278,Settings!$A$41:$A$50,0))&amp;""),"UNMAPPED"))</f>
        <v/>
      </c>
      <c r="Q1278" s="38" t="n">
        <f aca="false">IF($M1278="",0,N(INDEX($A1278:$J1278,$Q$6)))</f>
        <v>0</v>
      </c>
      <c r="R1278" s="39" t="str">
        <f aca="false">IF($M1278="","",INDEX($A1278:$J1278,$R$6))</f>
        <v/>
      </c>
      <c r="S1278" s="37" t="str">
        <f aca="false">IF($M1278="","",IFERROR(INDEX(Settings!$B$27:$B$36,MATCH(L1278,Settings!$A$27:$A$36,0))&amp;"","UNMAPPED"))</f>
        <v/>
      </c>
      <c r="T1278" s="37" t="str">
        <f aca="false">IF($M1278="","",IF(NOT(ISNUMBER(R1278)),"NO DATE",IF(S1278="Won",IF(R1278&gt;Settings!$B$5,"Backlog","Delivered"),IF(S1278="Open",IF(R1278&gt;Settings!$B$5,"Pipeline","Overdue"),IF(S1278="Lost","Lost","UNMAPPED")))))</f>
        <v/>
      </c>
      <c r="U1278" s="40" t="n">
        <f aca="false">IF(T1278="Backlog",1,IF(OR(T1278="Pipeline",T1278="Overdue"),N(INDEX(Settings!$C$27:$C$36,MATCH(L1278,Settings!$A$27:$A$36,0))),0))</f>
        <v>0</v>
      </c>
      <c r="V1278" s="38" t="n">
        <f aca="false">Q1278*U1278</f>
        <v>0</v>
      </c>
      <c r="W1278" s="41" t="str">
        <f aca="false">IF($M1278="","",IF(T1278="Overdue",IF(Settings!$B$8="Yes",Settings!$B$7,""),IF(ISNUMBER(R1278),DATE(YEAR(R1278),MONTH(R1278),1),"")))</f>
        <v/>
      </c>
      <c r="X1278" s="38" t="n">
        <f aca="false">IF(AND(OR(T1278="Backlog",T1278="Pipeline",T1278="Overdue"),ISNUMBER(W1278)),IF(W1278&lt;=Settings!$B$6,V1278,0),0)</f>
        <v>0</v>
      </c>
      <c r="Y1278" s="38" t="n">
        <f aca="false">IF(AND(OR(T1278="Backlog",T1278="Pipeline",T1278="Overdue"),ISNUMBER(W1278)),IF(W1278&lt;=Settings!$B$6,Q1278,0),0)</f>
        <v>0</v>
      </c>
      <c r="Z1278" s="38" t="n">
        <f aca="false">IF(Y1278=0,0,IF(T1278="Backlog",Q1278,Q1278*Dashboard!$C$10))</f>
        <v>0</v>
      </c>
      <c r="AA1278" s="37" t="n">
        <f aca="false">IF($N1278="",0,IF(COUNTIF(Dashboard!$C$13:$C$22,$N1278)&gt;0,1,0))</f>
        <v>0</v>
      </c>
      <c r="AB1278" s="37" t="str">
        <f aca="false">IF($N1278="","",IF(COUNTIF($N$8:$N1278,$N1278)=1,MAX($AB$7:$AB1277)+1,""))</f>
        <v/>
      </c>
    </row>
    <row r="1279" customFormat="false" ht="15" hidden="false" customHeight="false" outlineLevel="0" collapsed="false">
      <c r="L1279" s="37" t="str">
        <f aca="false">IF(INDEX($A1279:$J1279,$L$6)&lt;&gt;"",TRIM(LEFT(INDEX($A1279:$J1279,$L$6),FIND("(",INDEX($A1279:$J1279,$L$6)&amp;"(")-1)),L1278)</f>
        <v>Building Value Proposition</v>
      </c>
      <c r="M1279" s="37" t="str">
        <f aca="false">IF(INDEX($A1279:$J1279,$M$6)="","",INDEX($A1279:$J1279,$M$6)&amp;"")</f>
        <v/>
      </c>
      <c r="N1279" s="37" t="str">
        <f aca="false">IF($M1279="","",TRIM(INDEX($A1279:$J1279,$N$6)&amp;""))</f>
        <v/>
      </c>
      <c r="O1279" s="37" t="str">
        <f aca="false">IF($M1279="","",TRIM(INDEX($A1279:$J1279,$O$6)&amp;""))</f>
        <v/>
      </c>
      <c r="P1279" s="37" t="str">
        <f aca="false">IF($M1279="","",IFERROR(IF(INDEX(Settings!$B$41:$B$50,MATCH(O1279,Settings!$A$41:$A$50,0))&amp;""="","UNMAPPED",INDEX(Settings!$B$41:$B$50,MATCH(O1279,Settings!$A$41:$A$50,0))&amp;""),"UNMAPPED"))</f>
        <v/>
      </c>
      <c r="Q1279" s="38" t="n">
        <f aca="false">IF($M1279="",0,N(INDEX($A1279:$J1279,$Q$6)))</f>
        <v>0</v>
      </c>
      <c r="R1279" s="39" t="str">
        <f aca="false">IF($M1279="","",INDEX($A1279:$J1279,$R$6))</f>
        <v/>
      </c>
      <c r="S1279" s="37" t="str">
        <f aca="false">IF($M1279="","",IFERROR(INDEX(Settings!$B$27:$B$36,MATCH(L1279,Settings!$A$27:$A$36,0))&amp;"","UNMAPPED"))</f>
        <v/>
      </c>
      <c r="T1279" s="37" t="str">
        <f aca="false">IF($M1279="","",IF(NOT(ISNUMBER(R1279)),"NO DATE",IF(S1279="Won",IF(R1279&gt;Settings!$B$5,"Backlog","Delivered"),IF(S1279="Open",IF(R1279&gt;Settings!$B$5,"Pipeline","Overdue"),IF(S1279="Lost","Lost","UNMAPPED")))))</f>
        <v/>
      </c>
      <c r="U1279" s="40" t="n">
        <f aca="false">IF(T1279="Backlog",1,IF(OR(T1279="Pipeline",T1279="Overdue"),N(INDEX(Settings!$C$27:$C$36,MATCH(L1279,Settings!$A$27:$A$36,0))),0))</f>
        <v>0</v>
      </c>
      <c r="V1279" s="38" t="n">
        <f aca="false">Q1279*U1279</f>
        <v>0</v>
      </c>
      <c r="W1279" s="41" t="str">
        <f aca="false">IF($M1279="","",IF(T1279="Overdue",IF(Settings!$B$8="Yes",Settings!$B$7,""),IF(ISNUMBER(R1279),DATE(YEAR(R1279),MONTH(R1279),1),"")))</f>
        <v/>
      </c>
      <c r="X1279" s="38" t="n">
        <f aca="false">IF(AND(OR(T1279="Backlog",T1279="Pipeline",T1279="Overdue"),ISNUMBER(W1279)),IF(W1279&lt;=Settings!$B$6,V1279,0),0)</f>
        <v>0</v>
      </c>
      <c r="Y1279" s="38" t="n">
        <f aca="false">IF(AND(OR(T1279="Backlog",T1279="Pipeline",T1279="Overdue"),ISNUMBER(W1279)),IF(W1279&lt;=Settings!$B$6,Q1279,0),0)</f>
        <v>0</v>
      </c>
      <c r="Z1279" s="38" t="n">
        <f aca="false">IF(Y1279=0,0,IF(T1279="Backlog",Q1279,Q1279*Dashboard!$C$10))</f>
        <v>0</v>
      </c>
      <c r="AA1279" s="37" t="n">
        <f aca="false">IF($N1279="",0,IF(COUNTIF(Dashboard!$C$13:$C$22,$N1279)&gt;0,1,0))</f>
        <v>0</v>
      </c>
      <c r="AB1279" s="37" t="str">
        <f aca="false">IF($N1279="","",IF(COUNTIF($N$8:$N1279,$N1279)=1,MAX($AB$7:$AB1278)+1,""))</f>
        <v/>
      </c>
    </row>
    <row r="1280" customFormat="false" ht="15" hidden="false" customHeight="false" outlineLevel="0" collapsed="false">
      <c r="L1280" s="37" t="str">
        <f aca="false">IF(INDEX($A1280:$J1280,$L$6)&lt;&gt;"",TRIM(LEFT(INDEX($A1280:$J1280,$L$6),FIND("(",INDEX($A1280:$J1280,$L$6)&amp;"(")-1)),L1279)</f>
        <v>Building Value Proposition</v>
      </c>
      <c r="M1280" s="37" t="str">
        <f aca="false">IF(INDEX($A1280:$J1280,$M$6)="","",INDEX($A1280:$J1280,$M$6)&amp;"")</f>
        <v/>
      </c>
      <c r="N1280" s="37" t="str">
        <f aca="false">IF($M1280="","",TRIM(INDEX($A1280:$J1280,$N$6)&amp;""))</f>
        <v/>
      </c>
      <c r="O1280" s="37" t="str">
        <f aca="false">IF($M1280="","",TRIM(INDEX($A1280:$J1280,$O$6)&amp;""))</f>
        <v/>
      </c>
      <c r="P1280" s="37" t="str">
        <f aca="false">IF($M1280="","",IFERROR(IF(INDEX(Settings!$B$41:$B$50,MATCH(O1280,Settings!$A$41:$A$50,0))&amp;""="","UNMAPPED",INDEX(Settings!$B$41:$B$50,MATCH(O1280,Settings!$A$41:$A$50,0))&amp;""),"UNMAPPED"))</f>
        <v/>
      </c>
      <c r="Q1280" s="38" t="n">
        <f aca="false">IF($M1280="",0,N(INDEX($A1280:$J1280,$Q$6)))</f>
        <v>0</v>
      </c>
      <c r="R1280" s="39" t="str">
        <f aca="false">IF($M1280="","",INDEX($A1280:$J1280,$R$6))</f>
        <v/>
      </c>
      <c r="S1280" s="37" t="str">
        <f aca="false">IF($M1280="","",IFERROR(INDEX(Settings!$B$27:$B$36,MATCH(L1280,Settings!$A$27:$A$36,0))&amp;"","UNMAPPED"))</f>
        <v/>
      </c>
      <c r="T1280" s="37" t="str">
        <f aca="false">IF($M1280="","",IF(NOT(ISNUMBER(R1280)),"NO DATE",IF(S1280="Won",IF(R1280&gt;Settings!$B$5,"Backlog","Delivered"),IF(S1280="Open",IF(R1280&gt;Settings!$B$5,"Pipeline","Overdue"),IF(S1280="Lost","Lost","UNMAPPED")))))</f>
        <v/>
      </c>
      <c r="U1280" s="40" t="n">
        <f aca="false">IF(T1280="Backlog",1,IF(OR(T1280="Pipeline",T1280="Overdue"),N(INDEX(Settings!$C$27:$C$36,MATCH(L1280,Settings!$A$27:$A$36,0))),0))</f>
        <v>0</v>
      </c>
      <c r="V1280" s="38" t="n">
        <f aca="false">Q1280*U1280</f>
        <v>0</v>
      </c>
      <c r="W1280" s="41" t="str">
        <f aca="false">IF($M1280="","",IF(T1280="Overdue",IF(Settings!$B$8="Yes",Settings!$B$7,""),IF(ISNUMBER(R1280),DATE(YEAR(R1280),MONTH(R1280),1),"")))</f>
        <v/>
      </c>
      <c r="X1280" s="38" t="n">
        <f aca="false">IF(AND(OR(T1280="Backlog",T1280="Pipeline",T1280="Overdue"),ISNUMBER(W1280)),IF(W1280&lt;=Settings!$B$6,V1280,0),0)</f>
        <v>0</v>
      </c>
      <c r="Y1280" s="38" t="n">
        <f aca="false">IF(AND(OR(T1280="Backlog",T1280="Pipeline",T1280="Overdue"),ISNUMBER(W1280)),IF(W1280&lt;=Settings!$B$6,Q1280,0),0)</f>
        <v>0</v>
      </c>
      <c r="Z1280" s="38" t="n">
        <f aca="false">IF(Y1280=0,0,IF(T1280="Backlog",Q1280,Q1280*Dashboard!$C$10))</f>
        <v>0</v>
      </c>
      <c r="AA1280" s="37" t="n">
        <f aca="false">IF($N1280="",0,IF(COUNTIF(Dashboard!$C$13:$C$22,$N1280)&gt;0,1,0))</f>
        <v>0</v>
      </c>
      <c r="AB1280" s="37" t="str">
        <f aca="false">IF($N1280="","",IF(COUNTIF($N$8:$N1280,$N1280)=1,MAX($AB$7:$AB1279)+1,""))</f>
        <v/>
      </c>
    </row>
    <row r="1281" customFormat="false" ht="15" hidden="false" customHeight="false" outlineLevel="0" collapsed="false">
      <c r="L1281" s="37" t="str">
        <f aca="false">IF(INDEX($A1281:$J1281,$L$6)&lt;&gt;"",TRIM(LEFT(INDEX($A1281:$J1281,$L$6),FIND("(",INDEX($A1281:$J1281,$L$6)&amp;"(")-1)),L1280)</f>
        <v>Building Value Proposition</v>
      </c>
      <c r="M1281" s="37" t="str">
        <f aca="false">IF(INDEX($A1281:$J1281,$M$6)="","",INDEX($A1281:$J1281,$M$6)&amp;"")</f>
        <v/>
      </c>
      <c r="N1281" s="37" t="str">
        <f aca="false">IF($M1281="","",TRIM(INDEX($A1281:$J1281,$N$6)&amp;""))</f>
        <v/>
      </c>
      <c r="O1281" s="37" t="str">
        <f aca="false">IF($M1281="","",TRIM(INDEX($A1281:$J1281,$O$6)&amp;""))</f>
        <v/>
      </c>
      <c r="P1281" s="37" t="str">
        <f aca="false">IF($M1281="","",IFERROR(IF(INDEX(Settings!$B$41:$B$50,MATCH(O1281,Settings!$A$41:$A$50,0))&amp;""="","UNMAPPED",INDEX(Settings!$B$41:$B$50,MATCH(O1281,Settings!$A$41:$A$50,0))&amp;""),"UNMAPPED"))</f>
        <v/>
      </c>
      <c r="Q1281" s="38" t="n">
        <f aca="false">IF($M1281="",0,N(INDEX($A1281:$J1281,$Q$6)))</f>
        <v>0</v>
      </c>
      <c r="R1281" s="39" t="str">
        <f aca="false">IF($M1281="","",INDEX($A1281:$J1281,$R$6))</f>
        <v/>
      </c>
      <c r="S1281" s="37" t="str">
        <f aca="false">IF($M1281="","",IFERROR(INDEX(Settings!$B$27:$B$36,MATCH(L1281,Settings!$A$27:$A$36,0))&amp;"","UNMAPPED"))</f>
        <v/>
      </c>
      <c r="T1281" s="37" t="str">
        <f aca="false">IF($M1281="","",IF(NOT(ISNUMBER(R1281)),"NO DATE",IF(S1281="Won",IF(R1281&gt;Settings!$B$5,"Backlog","Delivered"),IF(S1281="Open",IF(R1281&gt;Settings!$B$5,"Pipeline","Overdue"),IF(S1281="Lost","Lost","UNMAPPED")))))</f>
        <v/>
      </c>
      <c r="U1281" s="40" t="n">
        <f aca="false">IF(T1281="Backlog",1,IF(OR(T1281="Pipeline",T1281="Overdue"),N(INDEX(Settings!$C$27:$C$36,MATCH(L1281,Settings!$A$27:$A$36,0))),0))</f>
        <v>0</v>
      </c>
      <c r="V1281" s="38" t="n">
        <f aca="false">Q1281*U1281</f>
        <v>0</v>
      </c>
      <c r="W1281" s="41" t="str">
        <f aca="false">IF($M1281="","",IF(T1281="Overdue",IF(Settings!$B$8="Yes",Settings!$B$7,""),IF(ISNUMBER(R1281),DATE(YEAR(R1281),MONTH(R1281),1),"")))</f>
        <v/>
      </c>
      <c r="X1281" s="38" t="n">
        <f aca="false">IF(AND(OR(T1281="Backlog",T1281="Pipeline",T1281="Overdue"),ISNUMBER(W1281)),IF(W1281&lt;=Settings!$B$6,V1281,0),0)</f>
        <v>0</v>
      </c>
      <c r="Y1281" s="38" t="n">
        <f aca="false">IF(AND(OR(T1281="Backlog",T1281="Pipeline",T1281="Overdue"),ISNUMBER(W1281)),IF(W1281&lt;=Settings!$B$6,Q1281,0),0)</f>
        <v>0</v>
      </c>
      <c r="Z1281" s="38" t="n">
        <f aca="false">IF(Y1281=0,0,IF(T1281="Backlog",Q1281,Q1281*Dashboard!$C$10))</f>
        <v>0</v>
      </c>
      <c r="AA1281" s="37" t="n">
        <f aca="false">IF($N1281="",0,IF(COUNTIF(Dashboard!$C$13:$C$22,$N1281)&gt;0,1,0))</f>
        <v>0</v>
      </c>
      <c r="AB1281" s="37" t="str">
        <f aca="false">IF($N1281="","",IF(COUNTIF($N$8:$N1281,$N1281)=1,MAX($AB$7:$AB1280)+1,""))</f>
        <v/>
      </c>
    </row>
    <row r="1282" customFormat="false" ht="15" hidden="false" customHeight="false" outlineLevel="0" collapsed="false">
      <c r="L1282" s="37" t="str">
        <f aca="false">IF(INDEX($A1282:$J1282,$L$6)&lt;&gt;"",TRIM(LEFT(INDEX($A1282:$J1282,$L$6),FIND("(",INDEX($A1282:$J1282,$L$6)&amp;"(")-1)),L1281)</f>
        <v>Building Value Proposition</v>
      </c>
      <c r="M1282" s="37" t="str">
        <f aca="false">IF(INDEX($A1282:$J1282,$M$6)="","",INDEX($A1282:$J1282,$M$6)&amp;"")</f>
        <v/>
      </c>
      <c r="N1282" s="37" t="str">
        <f aca="false">IF($M1282="","",TRIM(INDEX($A1282:$J1282,$N$6)&amp;""))</f>
        <v/>
      </c>
      <c r="O1282" s="37" t="str">
        <f aca="false">IF($M1282="","",TRIM(INDEX($A1282:$J1282,$O$6)&amp;""))</f>
        <v/>
      </c>
      <c r="P1282" s="37" t="str">
        <f aca="false">IF($M1282="","",IFERROR(IF(INDEX(Settings!$B$41:$B$50,MATCH(O1282,Settings!$A$41:$A$50,0))&amp;""="","UNMAPPED",INDEX(Settings!$B$41:$B$50,MATCH(O1282,Settings!$A$41:$A$50,0))&amp;""),"UNMAPPED"))</f>
        <v/>
      </c>
      <c r="Q1282" s="38" t="n">
        <f aca="false">IF($M1282="",0,N(INDEX($A1282:$J1282,$Q$6)))</f>
        <v>0</v>
      </c>
      <c r="R1282" s="39" t="str">
        <f aca="false">IF($M1282="","",INDEX($A1282:$J1282,$R$6))</f>
        <v/>
      </c>
      <c r="S1282" s="37" t="str">
        <f aca="false">IF($M1282="","",IFERROR(INDEX(Settings!$B$27:$B$36,MATCH(L1282,Settings!$A$27:$A$36,0))&amp;"","UNMAPPED"))</f>
        <v/>
      </c>
      <c r="T1282" s="37" t="str">
        <f aca="false">IF($M1282="","",IF(NOT(ISNUMBER(R1282)),"NO DATE",IF(S1282="Won",IF(R1282&gt;Settings!$B$5,"Backlog","Delivered"),IF(S1282="Open",IF(R1282&gt;Settings!$B$5,"Pipeline","Overdue"),IF(S1282="Lost","Lost","UNMAPPED")))))</f>
        <v/>
      </c>
      <c r="U1282" s="40" t="n">
        <f aca="false">IF(T1282="Backlog",1,IF(OR(T1282="Pipeline",T1282="Overdue"),N(INDEX(Settings!$C$27:$C$36,MATCH(L1282,Settings!$A$27:$A$36,0))),0))</f>
        <v>0</v>
      </c>
      <c r="V1282" s="38" t="n">
        <f aca="false">Q1282*U1282</f>
        <v>0</v>
      </c>
      <c r="W1282" s="41" t="str">
        <f aca="false">IF($M1282="","",IF(T1282="Overdue",IF(Settings!$B$8="Yes",Settings!$B$7,""),IF(ISNUMBER(R1282),DATE(YEAR(R1282),MONTH(R1282),1),"")))</f>
        <v/>
      </c>
      <c r="X1282" s="38" t="n">
        <f aca="false">IF(AND(OR(T1282="Backlog",T1282="Pipeline",T1282="Overdue"),ISNUMBER(W1282)),IF(W1282&lt;=Settings!$B$6,V1282,0),0)</f>
        <v>0</v>
      </c>
      <c r="Y1282" s="38" t="n">
        <f aca="false">IF(AND(OR(T1282="Backlog",T1282="Pipeline",T1282="Overdue"),ISNUMBER(W1282)),IF(W1282&lt;=Settings!$B$6,Q1282,0),0)</f>
        <v>0</v>
      </c>
      <c r="Z1282" s="38" t="n">
        <f aca="false">IF(Y1282=0,0,IF(T1282="Backlog",Q1282,Q1282*Dashboard!$C$10))</f>
        <v>0</v>
      </c>
      <c r="AA1282" s="37" t="n">
        <f aca="false">IF($N1282="",0,IF(COUNTIF(Dashboard!$C$13:$C$22,$N1282)&gt;0,1,0))</f>
        <v>0</v>
      </c>
      <c r="AB1282" s="37" t="str">
        <f aca="false">IF($N1282="","",IF(COUNTIF($N$8:$N1282,$N1282)=1,MAX($AB$7:$AB1281)+1,""))</f>
        <v/>
      </c>
    </row>
    <row r="1283" customFormat="false" ht="15" hidden="false" customHeight="false" outlineLevel="0" collapsed="false">
      <c r="L1283" s="37" t="str">
        <f aca="false">IF(INDEX($A1283:$J1283,$L$6)&lt;&gt;"",TRIM(LEFT(INDEX($A1283:$J1283,$L$6),FIND("(",INDEX($A1283:$J1283,$L$6)&amp;"(")-1)),L1282)</f>
        <v>Building Value Proposition</v>
      </c>
      <c r="M1283" s="37" t="str">
        <f aca="false">IF(INDEX($A1283:$J1283,$M$6)="","",INDEX($A1283:$J1283,$M$6)&amp;"")</f>
        <v/>
      </c>
      <c r="N1283" s="37" t="str">
        <f aca="false">IF($M1283="","",TRIM(INDEX($A1283:$J1283,$N$6)&amp;""))</f>
        <v/>
      </c>
      <c r="O1283" s="37" t="str">
        <f aca="false">IF($M1283="","",TRIM(INDEX($A1283:$J1283,$O$6)&amp;""))</f>
        <v/>
      </c>
      <c r="P1283" s="37" t="str">
        <f aca="false">IF($M1283="","",IFERROR(IF(INDEX(Settings!$B$41:$B$50,MATCH(O1283,Settings!$A$41:$A$50,0))&amp;""="","UNMAPPED",INDEX(Settings!$B$41:$B$50,MATCH(O1283,Settings!$A$41:$A$50,0))&amp;""),"UNMAPPED"))</f>
        <v/>
      </c>
      <c r="Q1283" s="38" t="n">
        <f aca="false">IF($M1283="",0,N(INDEX($A1283:$J1283,$Q$6)))</f>
        <v>0</v>
      </c>
      <c r="R1283" s="39" t="str">
        <f aca="false">IF($M1283="","",INDEX($A1283:$J1283,$R$6))</f>
        <v/>
      </c>
      <c r="S1283" s="37" t="str">
        <f aca="false">IF($M1283="","",IFERROR(INDEX(Settings!$B$27:$B$36,MATCH(L1283,Settings!$A$27:$A$36,0))&amp;"","UNMAPPED"))</f>
        <v/>
      </c>
      <c r="T1283" s="37" t="str">
        <f aca="false">IF($M1283="","",IF(NOT(ISNUMBER(R1283)),"NO DATE",IF(S1283="Won",IF(R1283&gt;Settings!$B$5,"Backlog","Delivered"),IF(S1283="Open",IF(R1283&gt;Settings!$B$5,"Pipeline","Overdue"),IF(S1283="Lost","Lost","UNMAPPED")))))</f>
        <v/>
      </c>
      <c r="U1283" s="40" t="n">
        <f aca="false">IF(T1283="Backlog",1,IF(OR(T1283="Pipeline",T1283="Overdue"),N(INDEX(Settings!$C$27:$C$36,MATCH(L1283,Settings!$A$27:$A$36,0))),0))</f>
        <v>0</v>
      </c>
      <c r="V1283" s="38" t="n">
        <f aca="false">Q1283*U1283</f>
        <v>0</v>
      </c>
      <c r="W1283" s="41" t="str">
        <f aca="false">IF($M1283="","",IF(T1283="Overdue",IF(Settings!$B$8="Yes",Settings!$B$7,""),IF(ISNUMBER(R1283),DATE(YEAR(R1283),MONTH(R1283),1),"")))</f>
        <v/>
      </c>
      <c r="X1283" s="38" t="n">
        <f aca="false">IF(AND(OR(T1283="Backlog",T1283="Pipeline",T1283="Overdue"),ISNUMBER(W1283)),IF(W1283&lt;=Settings!$B$6,V1283,0),0)</f>
        <v>0</v>
      </c>
      <c r="Y1283" s="38" t="n">
        <f aca="false">IF(AND(OR(T1283="Backlog",T1283="Pipeline",T1283="Overdue"),ISNUMBER(W1283)),IF(W1283&lt;=Settings!$B$6,Q1283,0),0)</f>
        <v>0</v>
      </c>
      <c r="Z1283" s="38" t="n">
        <f aca="false">IF(Y1283=0,0,IF(T1283="Backlog",Q1283,Q1283*Dashboard!$C$10))</f>
        <v>0</v>
      </c>
      <c r="AA1283" s="37" t="n">
        <f aca="false">IF($N1283="",0,IF(COUNTIF(Dashboard!$C$13:$C$22,$N1283)&gt;0,1,0))</f>
        <v>0</v>
      </c>
      <c r="AB1283" s="37" t="str">
        <f aca="false">IF($N1283="","",IF(COUNTIF($N$8:$N1283,$N1283)=1,MAX($AB$7:$AB1282)+1,""))</f>
        <v/>
      </c>
    </row>
    <row r="1284" customFormat="false" ht="15" hidden="false" customHeight="false" outlineLevel="0" collapsed="false">
      <c r="L1284" s="37" t="str">
        <f aca="false">IF(INDEX($A1284:$J1284,$L$6)&lt;&gt;"",TRIM(LEFT(INDEX($A1284:$J1284,$L$6),FIND("(",INDEX($A1284:$J1284,$L$6)&amp;"(")-1)),L1283)</f>
        <v>Building Value Proposition</v>
      </c>
      <c r="M1284" s="37" t="str">
        <f aca="false">IF(INDEX($A1284:$J1284,$M$6)="","",INDEX($A1284:$J1284,$M$6)&amp;"")</f>
        <v/>
      </c>
      <c r="N1284" s="37" t="str">
        <f aca="false">IF($M1284="","",TRIM(INDEX($A1284:$J1284,$N$6)&amp;""))</f>
        <v/>
      </c>
      <c r="O1284" s="37" t="str">
        <f aca="false">IF($M1284="","",TRIM(INDEX($A1284:$J1284,$O$6)&amp;""))</f>
        <v/>
      </c>
      <c r="P1284" s="37" t="str">
        <f aca="false">IF($M1284="","",IFERROR(IF(INDEX(Settings!$B$41:$B$50,MATCH(O1284,Settings!$A$41:$A$50,0))&amp;""="","UNMAPPED",INDEX(Settings!$B$41:$B$50,MATCH(O1284,Settings!$A$41:$A$50,0))&amp;""),"UNMAPPED"))</f>
        <v/>
      </c>
      <c r="Q1284" s="38" t="n">
        <f aca="false">IF($M1284="",0,N(INDEX($A1284:$J1284,$Q$6)))</f>
        <v>0</v>
      </c>
      <c r="R1284" s="39" t="str">
        <f aca="false">IF($M1284="","",INDEX($A1284:$J1284,$R$6))</f>
        <v/>
      </c>
      <c r="S1284" s="37" t="str">
        <f aca="false">IF($M1284="","",IFERROR(INDEX(Settings!$B$27:$B$36,MATCH(L1284,Settings!$A$27:$A$36,0))&amp;"","UNMAPPED"))</f>
        <v/>
      </c>
      <c r="T1284" s="37" t="str">
        <f aca="false">IF($M1284="","",IF(NOT(ISNUMBER(R1284)),"NO DATE",IF(S1284="Won",IF(R1284&gt;Settings!$B$5,"Backlog","Delivered"),IF(S1284="Open",IF(R1284&gt;Settings!$B$5,"Pipeline","Overdue"),IF(S1284="Lost","Lost","UNMAPPED")))))</f>
        <v/>
      </c>
      <c r="U1284" s="40" t="n">
        <f aca="false">IF(T1284="Backlog",1,IF(OR(T1284="Pipeline",T1284="Overdue"),N(INDEX(Settings!$C$27:$C$36,MATCH(L1284,Settings!$A$27:$A$36,0))),0))</f>
        <v>0</v>
      </c>
      <c r="V1284" s="38" t="n">
        <f aca="false">Q1284*U1284</f>
        <v>0</v>
      </c>
      <c r="W1284" s="41" t="str">
        <f aca="false">IF($M1284="","",IF(T1284="Overdue",IF(Settings!$B$8="Yes",Settings!$B$7,""),IF(ISNUMBER(R1284),DATE(YEAR(R1284),MONTH(R1284),1),"")))</f>
        <v/>
      </c>
      <c r="X1284" s="38" t="n">
        <f aca="false">IF(AND(OR(T1284="Backlog",T1284="Pipeline",T1284="Overdue"),ISNUMBER(W1284)),IF(W1284&lt;=Settings!$B$6,V1284,0),0)</f>
        <v>0</v>
      </c>
      <c r="Y1284" s="38" t="n">
        <f aca="false">IF(AND(OR(T1284="Backlog",T1284="Pipeline",T1284="Overdue"),ISNUMBER(W1284)),IF(W1284&lt;=Settings!$B$6,Q1284,0),0)</f>
        <v>0</v>
      </c>
      <c r="Z1284" s="38" t="n">
        <f aca="false">IF(Y1284=0,0,IF(T1284="Backlog",Q1284,Q1284*Dashboard!$C$10))</f>
        <v>0</v>
      </c>
      <c r="AA1284" s="37" t="n">
        <f aca="false">IF($N1284="",0,IF(COUNTIF(Dashboard!$C$13:$C$22,$N1284)&gt;0,1,0))</f>
        <v>0</v>
      </c>
      <c r="AB1284" s="37" t="str">
        <f aca="false">IF($N1284="","",IF(COUNTIF($N$8:$N1284,$N1284)=1,MAX($AB$7:$AB1283)+1,""))</f>
        <v/>
      </c>
    </row>
    <row r="1285" customFormat="false" ht="15" hidden="false" customHeight="false" outlineLevel="0" collapsed="false">
      <c r="L1285" s="37" t="str">
        <f aca="false">IF(INDEX($A1285:$J1285,$L$6)&lt;&gt;"",TRIM(LEFT(INDEX($A1285:$J1285,$L$6),FIND("(",INDEX($A1285:$J1285,$L$6)&amp;"(")-1)),L1284)</f>
        <v>Building Value Proposition</v>
      </c>
      <c r="M1285" s="37" t="str">
        <f aca="false">IF(INDEX($A1285:$J1285,$M$6)="","",INDEX($A1285:$J1285,$M$6)&amp;"")</f>
        <v/>
      </c>
      <c r="N1285" s="37" t="str">
        <f aca="false">IF($M1285="","",TRIM(INDEX($A1285:$J1285,$N$6)&amp;""))</f>
        <v/>
      </c>
      <c r="O1285" s="37" t="str">
        <f aca="false">IF($M1285="","",TRIM(INDEX($A1285:$J1285,$O$6)&amp;""))</f>
        <v/>
      </c>
      <c r="P1285" s="37" t="str">
        <f aca="false">IF($M1285="","",IFERROR(IF(INDEX(Settings!$B$41:$B$50,MATCH(O1285,Settings!$A$41:$A$50,0))&amp;""="","UNMAPPED",INDEX(Settings!$B$41:$B$50,MATCH(O1285,Settings!$A$41:$A$50,0))&amp;""),"UNMAPPED"))</f>
        <v/>
      </c>
      <c r="Q1285" s="38" t="n">
        <f aca="false">IF($M1285="",0,N(INDEX($A1285:$J1285,$Q$6)))</f>
        <v>0</v>
      </c>
      <c r="R1285" s="39" t="str">
        <f aca="false">IF($M1285="","",INDEX($A1285:$J1285,$R$6))</f>
        <v/>
      </c>
      <c r="S1285" s="37" t="str">
        <f aca="false">IF($M1285="","",IFERROR(INDEX(Settings!$B$27:$B$36,MATCH(L1285,Settings!$A$27:$A$36,0))&amp;"","UNMAPPED"))</f>
        <v/>
      </c>
      <c r="T1285" s="37" t="str">
        <f aca="false">IF($M1285="","",IF(NOT(ISNUMBER(R1285)),"NO DATE",IF(S1285="Won",IF(R1285&gt;Settings!$B$5,"Backlog","Delivered"),IF(S1285="Open",IF(R1285&gt;Settings!$B$5,"Pipeline","Overdue"),IF(S1285="Lost","Lost","UNMAPPED")))))</f>
        <v/>
      </c>
      <c r="U1285" s="40" t="n">
        <f aca="false">IF(T1285="Backlog",1,IF(OR(T1285="Pipeline",T1285="Overdue"),N(INDEX(Settings!$C$27:$C$36,MATCH(L1285,Settings!$A$27:$A$36,0))),0))</f>
        <v>0</v>
      </c>
      <c r="V1285" s="38" t="n">
        <f aca="false">Q1285*U1285</f>
        <v>0</v>
      </c>
      <c r="W1285" s="41" t="str">
        <f aca="false">IF($M1285="","",IF(T1285="Overdue",IF(Settings!$B$8="Yes",Settings!$B$7,""),IF(ISNUMBER(R1285),DATE(YEAR(R1285),MONTH(R1285),1),"")))</f>
        <v/>
      </c>
      <c r="X1285" s="38" t="n">
        <f aca="false">IF(AND(OR(T1285="Backlog",T1285="Pipeline",T1285="Overdue"),ISNUMBER(W1285)),IF(W1285&lt;=Settings!$B$6,V1285,0),0)</f>
        <v>0</v>
      </c>
      <c r="Y1285" s="38" t="n">
        <f aca="false">IF(AND(OR(T1285="Backlog",T1285="Pipeline",T1285="Overdue"),ISNUMBER(W1285)),IF(W1285&lt;=Settings!$B$6,Q1285,0),0)</f>
        <v>0</v>
      </c>
      <c r="Z1285" s="38" t="n">
        <f aca="false">IF(Y1285=0,0,IF(T1285="Backlog",Q1285,Q1285*Dashboard!$C$10))</f>
        <v>0</v>
      </c>
      <c r="AA1285" s="37" t="n">
        <f aca="false">IF($N1285="",0,IF(COUNTIF(Dashboard!$C$13:$C$22,$N1285)&gt;0,1,0))</f>
        <v>0</v>
      </c>
      <c r="AB1285" s="37" t="str">
        <f aca="false">IF($N1285="","",IF(COUNTIF($N$8:$N1285,$N1285)=1,MAX($AB$7:$AB1284)+1,""))</f>
        <v/>
      </c>
    </row>
    <row r="1286" customFormat="false" ht="15" hidden="false" customHeight="false" outlineLevel="0" collapsed="false">
      <c r="L1286" s="37" t="str">
        <f aca="false">IF(INDEX($A1286:$J1286,$L$6)&lt;&gt;"",TRIM(LEFT(INDEX($A1286:$J1286,$L$6),FIND("(",INDEX($A1286:$J1286,$L$6)&amp;"(")-1)),L1285)</f>
        <v>Building Value Proposition</v>
      </c>
      <c r="M1286" s="37" t="str">
        <f aca="false">IF(INDEX($A1286:$J1286,$M$6)="","",INDEX($A1286:$J1286,$M$6)&amp;"")</f>
        <v/>
      </c>
      <c r="N1286" s="37" t="str">
        <f aca="false">IF($M1286="","",TRIM(INDEX($A1286:$J1286,$N$6)&amp;""))</f>
        <v/>
      </c>
      <c r="O1286" s="37" t="str">
        <f aca="false">IF($M1286="","",TRIM(INDEX($A1286:$J1286,$O$6)&amp;""))</f>
        <v/>
      </c>
      <c r="P1286" s="37" t="str">
        <f aca="false">IF($M1286="","",IFERROR(IF(INDEX(Settings!$B$41:$B$50,MATCH(O1286,Settings!$A$41:$A$50,0))&amp;""="","UNMAPPED",INDEX(Settings!$B$41:$B$50,MATCH(O1286,Settings!$A$41:$A$50,0))&amp;""),"UNMAPPED"))</f>
        <v/>
      </c>
      <c r="Q1286" s="38" t="n">
        <f aca="false">IF($M1286="",0,N(INDEX($A1286:$J1286,$Q$6)))</f>
        <v>0</v>
      </c>
      <c r="R1286" s="39" t="str">
        <f aca="false">IF($M1286="","",INDEX($A1286:$J1286,$R$6))</f>
        <v/>
      </c>
      <c r="S1286" s="37" t="str">
        <f aca="false">IF($M1286="","",IFERROR(INDEX(Settings!$B$27:$B$36,MATCH(L1286,Settings!$A$27:$A$36,0))&amp;"","UNMAPPED"))</f>
        <v/>
      </c>
      <c r="T1286" s="37" t="str">
        <f aca="false">IF($M1286="","",IF(NOT(ISNUMBER(R1286)),"NO DATE",IF(S1286="Won",IF(R1286&gt;Settings!$B$5,"Backlog","Delivered"),IF(S1286="Open",IF(R1286&gt;Settings!$B$5,"Pipeline","Overdue"),IF(S1286="Lost","Lost","UNMAPPED")))))</f>
        <v/>
      </c>
      <c r="U1286" s="40" t="n">
        <f aca="false">IF(T1286="Backlog",1,IF(OR(T1286="Pipeline",T1286="Overdue"),N(INDEX(Settings!$C$27:$C$36,MATCH(L1286,Settings!$A$27:$A$36,0))),0))</f>
        <v>0</v>
      </c>
      <c r="V1286" s="38" t="n">
        <f aca="false">Q1286*U1286</f>
        <v>0</v>
      </c>
      <c r="W1286" s="41" t="str">
        <f aca="false">IF($M1286="","",IF(T1286="Overdue",IF(Settings!$B$8="Yes",Settings!$B$7,""),IF(ISNUMBER(R1286),DATE(YEAR(R1286),MONTH(R1286),1),"")))</f>
        <v/>
      </c>
      <c r="X1286" s="38" t="n">
        <f aca="false">IF(AND(OR(T1286="Backlog",T1286="Pipeline",T1286="Overdue"),ISNUMBER(W1286)),IF(W1286&lt;=Settings!$B$6,V1286,0),0)</f>
        <v>0</v>
      </c>
      <c r="Y1286" s="38" t="n">
        <f aca="false">IF(AND(OR(T1286="Backlog",T1286="Pipeline",T1286="Overdue"),ISNUMBER(W1286)),IF(W1286&lt;=Settings!$B$6,Q1286,0),0)</f>
        <v>0</v>
      </c>
      <c r="Z1286" s="38" t="n">
        <f aca="false">IF(Y1286=0,0,IF(T1286="Backlog",Q1286,Q1286*Dashboard!$C$10))</f>
        <v>0</v>
      </c>
      <c r="AA1286" s="37" t="n">
        <f aca="false">IF($N1286="",0,IF(COUNTIF(Dashboard!$C$13:$C$22,$N1286)&gt;0,1,0))</f>
        <v>0</v>
      </c>
      <c r="AB1286" s="37" t="str">
        <f aca="false">IF($N1286="","",IF(COUNTIF($N$8:$N1286,$N1286)=1,MAX($AB$7:$AB1285)+1,""))</f>
        <v/>
      </c>
    </row>
    <row r="1287" customFormat="false" ht="15" hidden="false" customHeight="false" outlineLevel="0" collapsed="false">
      <c r="L1287" s="37" t="str">
        <f aca="false">IF(INDEX($A1287:$J1287,$L$6)&lt;&gt;"",TRIM(LEFT(INDEX($A1287:$J1287,$L$6),FIND("(",INDEX($A1287:$J1287,$L$6)&amp;"(")-1)),L1286)</f>
        <v>Building Value Proposition</v>
      </c>
      <c r="M1287" s="37" t="str">
        <f aca="false">IF(INDEX($A1287:$J1287,$M$6)="","",INDEX($A1287:$J1287,$M$6)&amp;"")</f>
        <v/>
      </c>
      <c r="N1287" s="37" t="str">
        <f aca="false">IF($M1287="","",TRIM(INDEX($A1287:$J1287,$N$6)&amp;""))</f>
        <v/>
      </c>
      <c r="O1287" s="37" t="str">
        <f aca="false">IF($M1287="","",TRIM(INDEX($A1287:$J1287,$O$6)&amp;""))</f>
        <v/>
      </c>
      <c r="P1287" s="37" t="str">
        <f aca="false">IF($M1287="","",IFERROR(IF(INDEX(Settings!$B$41:$B$50,MATCH(O1287,Settings!$A$41:$A$50,0))&amp;""="","UNMAPPED",INDEX(Settings!$B$41:$B$50,MATCH(O1287,Settings!$A$41:$A$50,0))&amp;""),"UNMAPPED"))</f>
        <v/>
      </c>
      <c r="Q1287" s="38" t="n">
        <f aca="false">IF($M1287="",0,N(INDEX($A1287:$J1287,$Q$6)))</f>
        <v>0</v>
      </c>
      <c r="R1287" s="39" t="str">
        <f aca="false">IF($M1287="","",INDEX($A1287:$J1287,$R$6))</f>
        <v/>
      </c>
      <c r="S1287" s="37" t="str">
        <f aca="false">IF($M1287="","",IFERROR(INDEX(Settings!$B$27:$B$36,MATCH(L1287,Settings!$A$27:$A$36,0))&amp;"","UNMAPPED"))</f>
        <v/>
      </c>
      <c r="T1287" s="37" t="str">
        <f aca="false">IF($M1287="","",IF(NOT(ISNUMBER(R1287)),"NO DATE",IF(S1287="Won",IF(R1287&gt;Settings!$B$5,"Backlog","Delivered"),IF(S1287="Open",IF(R1287&gt;Settings!$B$5,"Pipeline","Overdue"),IF(S1287="Lost","Lost","UNMAPPED")))))</f>
        <v/>
      </c>
      <c r="U1287" s="40" t="n">
        <f aca="false">IF(T1287="Backlog",1,IF(OR(T1287="Pipeline",T1287="Overdue"),N(INDEX(Settings!$C$27:$C$36,MATCH(L1287,Settings!$A$27:$A$36,0))),0))</f>
        <v>0</v>
      </c>
      <c r="V1287" s="38" t="n">
        <f aca="false">Q1287*U1287</f>
        <v>0</v>
      </c>
      <c r="W1287" s="41" t="str">
        <f aca="false">IF($M1287="","",IF(T1287="Overdue",IF(Settings!$B$8="Yes",Settings!$B$7,""),IF(ISNUMBER(R1287),DATE(YEAR(R1287),MONTH(R1287),1),"")))</f>
        <v/>
      </c>
      <c r="X1287" s="38" t="n">
        <f aca="false">IF(AND(OR(T1287="Backlog",T1287="Pipeline",T1287="Overdue"),ISNUMBER(W1287)),IF(W1287&lt;=Settings!$B$6,V1287,0),0)</f>
        <v>0</v>
      </c>
      <c r="Y1287" s="38" t="n">
        <f aca="false">IF(AND(OR(T1287="Backlog",T1287="Pipeline",T1287="Overdue"),ISNUMBER(W1287)),IF(W1287&lt;=Settings!$B$6,Q1287,0),0)</f>
        <v>0</v>
      </c>
      <c r="Z1287" s="38" t="n">
        <f aca="false">IF(Y1287=0,0,IF(T1287="Backlog",Q1287,Q1287*Dashboard!$C$10))</f>
        <v>0</v>
      </c>
      <c r="AA1287" s="37" t="n">
        <f aca="false">IF($N1287="",0,IF(COUNTIF(Dashboard!$C$13:$C$22,$N1287)&gt;0,1,0))</f>
        <v>0</v>
      </c>
      <c r="AB1287" s="37" t="str">
        <f aca="false">IF($N1287="","",IF(COUNTIF($N$8:$N1287,$N1287)=1,MAX($AB$7:$AB1286)+1,""))</f>
        <v/>
      </c>
    </row>
    <row r="1288" customFormat="false" ht="15" hidden="false" customHeight="false" outlineLevel="0" collapsed="false">
      <c r="L1288" s="37" t="str">
        <f aca="false">IF(INDEX($A1288:$J1288,$L$6)&lt;&gt;"",TRIM(LEFT(INDEX($A1288:$J1288,$L$6),FIND("(",INDEX($A1288:$J1288,$L$6)&amp;"(")-1)),L1287)</f>
        <v>Building Value Proposition</v>
      </c>
      <c r="M1288" s="37" t="str">
        <f aca="false">IF(INDEX($A1288:$J1288,$M$6)="","",INDEX($A1288:$J1288,$M$6)&amp;"")</f>
        <v/>
      </c>
      <c r="N1288" s="37" t="str">
        <f aca="false">IF($M1288="","",TRIM(INDEX($A1288:$J1288,$N$6)&amp;""))</f>
        <v/>
      </c>
      <c r="O1288" s="37" t="str">
        <f aca="false">IF($M1288="","",TRIM(INDEX($A1288:$J1288,$O$6)&amp;""))</f>
        <v/>
      </c>
      <c r="P1288" s="37" t="str">
        <f aca="false">IF($M1288="","",IFERROR(IF(INDEX(Settings!$B$41:$B$50,MATCH(O1288,Settings!$A$41:$A$50,0))&amp;""="","UNMAPPED",INDEX(Settings!$B$41:$B$50,MATCH(O1288,Settings!$A$41:$A$50,0))&amp;""),"UNMAPPED"))</f>
        <v/>
      </c>
      <c r="Q1288" s="38" t="n">
        <f aca="false">IF($M1288="",0,N(INDEX($A1288:$J1288,$Q$6)))</f>
        <v>0</v>
      </c>
      <c r="R1288" s="39" t="str">
        <f aca="false">IF($M1288="","",INDEX($A1288:$J1288,$R$6))</f>
        <v/>
      </c>
      <c r="S1288" s="37" t="str">
        <f aca="false">IF($M1288="","",IFERROR(INDEX(Settings!$B$27:$B$36,MATCH(L1288,Settings!$A$27:$A$36,0))&amp;"","UNMAPPED"))</f>
        <v/>
      </c>
      <c r="T1288" s="37" t="str">
        <f aca="false">IF($M1288="","",IF(NOT(ISNUMBER(R1288)),"NO DATE",IF(S1288="Won",IF(R1288&gt;Settings!$B$5,"Backlog","Delivered"),IF(S1288="Open",IF(R1288&gt;Settings!$B$5,"Pipeline","Overdue"),IF(S1288="Lost","Lost","UNMAPPED")))))</f>
        <v/>
      </c>
      <c r="U1288" s="40" t="n">
        <f aca="false">IF(T1288="Backlog",1,IF(OR(T1288="Pipeline",T1288="Overdue"),N(INDEX(Settings!$C$27:$C$36,MATCH(L1288,Settings!$A$27:$A$36,0))),0))</f>
        <v>0</v>
      </c>
      <c r="V1288" s="38" t="n">
        <f aca="false">Q1288*U1288</f>
        <v>0</v>
      </c>
      <c r="W1288" s="41" t="str">
        <f aca="false">IF($M1288="","",IF(T1288="Overdue",IF(Settings!$B$8="Yes",Settings!$B$7,""),IF(ISNUMBER(R1288),DATE(YEAR(R1288),MONTH(R1288),1),"")))</f>
        <v/>
      </c>
      <c r="X1288" s="38" t="n">
        <f aca="false">IF(AND(OR(T1288="Backlog",T1288="Pipeline",T1288="Overdue"),ISNUMBER(W1288)),IF(W1288&lt;=Settings!$B$6,V1288,0),0)</f>
        <v>0</v>
      </c>
      <c r="Y1288" s="38" t="n">
        <f aca="false">IF(AND(OR(T1288="Backlog",T1288="Pipeline",T1288="Overdue"),ISNUMBER(W1288)),IF(W1288&lt;=Settings!$B$6,Q1288,0),0)</f>
        <v>0</v>
      </c>
      <c r="Z1288" s="38" t="n">
        <f aca="false">IF(Y1288=0,0,IF(T1288="Backlog",Q1288,Q1288*Dashboard!$C$10))</f>
        <v>0</v>
      </c>
      <c r="AA1288" s="37" t="n">
        <f aca="false">IF($N1288="",0,IF(COUNTIF(Dashboard!$C$13:$C$22,$N1288)&gt;0,1,0))</f>
        <v>0</v>
      </c>
      <c r="AB1288" s="37" t="str">
        <f aca="false">IF($N1288="","",IF(COUNTIF($N$8:$N1288,$N1288)=1,MAX($AB$7:$AB1287)+1,""))</f>
        <v/>
      </c>
    </row>
    <row r="1289" customFormat="false" ht="15" hidden="false" customHeight="false" outlineLevel="0" collapsed="false">
      <c r="L1289" s="37" t="str">
        <f aca="false">IF(INDEX($A1289:$J1289,$L$6)&lt;&gt;"",TRIM(LEFT(INDEX($A1289:$J1289,$L$6),FIND("(",INDEX($A1289:$J1289,$L$6)&amp;"(")-1)),L1288)</f>
        <v>Building Value Proposition</v>
      </c>
      <c r="M1289" s="37" t="str">
        <f aca="false">IF(INDEX($A1289:$J1289,$M$6)="","",INDEX($A1289:$J1289,$M$6)&amp;"")</f>
        <v/>
      </c>
      <c r="N1289" s="37" t="str">
        <f aca="false">IF($M1289="","",TRIM(INDEX($A1289:$J1289,$N$6)&amp;""))</f>
        <v/>
      </c>
      <c r="O1289" s="37" t="str">
        <f aca="false">IF($M1289="","",TRIM(INDEX($A1289:$J1289,$O$6)&amp;""))</f>
        <v/>
      </c>
      <c r="P1289" s="37" t="str">
        <f aca="false">IF($M1289="","",IFERROR(IF(INDEX(Settings!$B$41:$B$50,MATCH(O1289,Settings!$A$41:$A$50,0))&amp;""="","UNMAPPED",INDEX(Settings!$B$41:$B$50,MATCH(O1289,Settings!$A$41:$A$50,0))&amp;""),"UNMAPPED"))</f>
        <v/>
      </c>
      <c r="Q1289" s="38" t="n">
        <f aca="false">IF($M1289="",0,N(INDEX($A1289:$J1289,$Q$6)))</f>
        <v>0</v>
      </c>
      <c r="R1289" s="39" t="str">
        <f aca="false">IF($M1289="","",INDEX($A1289:$J1289,$R$6))</f>
        <v/>
      </c>
      <c r="S1289" s="37" t="str">
        <f aca="false">IF($M1289="","",IFERROR(INDEX(Settings!$B$27:$B$36,MATCH(L1289,Settings!$A$27:$A$36,0))&amp;"","UNMAPPED"))</f>
        <v/>
      </c>
      <c r="T1289" s="37" t="str">
        <f aca="false">IF($M1289="","",IF(NOT(ISNUMBER(R1289)),"NO DATE",IF(S1289="Won",IF(R1289&gt;Settings!$B$5,"Backlog","Delivered"),IF(S1289="Open",IF(R1289&gt;Settings!$B$5,"Pipeline","Overdue"),IF(S1289="Lost","Lost","UNMAPPED")))))</f>
        <v/>
      </c>
      <c r="U1289" s="40" t="n">
        <f aca="false">IF(T1289="Backlog",1,IF(OR(T1289="Pipeline",T1289="Overdue"),N(INDEX(Settings!$C$27:$C$36,MATCH(L1289,Settings!$A$27:$A$36,0))),0))</f>
        <v>0</v>
      </c>
      <c r="V1289" s="38" t="n">
        <f aca="false">Q1289*U1289</f>
        <v>0</v>
      </c>
      <c r="W1289" s="41" t="str">
        <f aca="false">IF($M1289="","",IF(T1289="Overdue",IF(Settings!$B$8="Yes",Settings!$B$7,""),IF(ISNUMBER(R1289),DATE(YEAR(R1289),MONTH(R1289),1),"")))</f>
        <v/>
      </c>
      <c r="X1289" s="38" t="n">
        <f aca="false">IF(AND(OR(T1289="Backlog",T1289="Pipeline",T1289="Overdue"),ISNUMBER(W1289)),IF(W1289&lt;=Settings!$B$6,V1289,0),0)</f>
        <v>0</v>
      </c>
      <c r="Y1289" s="38" t="n">
        <f aca="false">IF(AND(OR(T1289="Backlog",T1289="Pipeline",T1289="Overdue"),ISNUMBER(W1289)),IF(W1289&lt;=Settings!$B$6,Q1289,0),0)</f>
        <v>0</v>
      </c>
      <c r="Z1289" s="38" t="n">
        <f aca="false">IF(Y1289=0,0,IF(T1289="Backlog",Q1289,Q1289*Dashboard!$C$10))</f>
        <v>0</v>
      </c>
      <c r="AA1289" s="37" t="n">
        <f aca="false">IF($N1289="",0,IF(COUNTIF(Dashboard!$C$13:$C$22,$N1289)&gt;0,1,0))</f>
        <v>0</v>
      </c>
      <c r="AB1289" s="37" t="str">
        <f aca="false">IF($N1289="","",IF(COUNTIF($N$8:$N1289,$N1289)=1,MAX($AB$7:$AB1288)+1,""))</f>
        <v/>
      </c>
    </row>
    <row r="1290" customFormat="false" ht="15" hidden="false" customHeight="false" outlineLevel="0" collapsed="false">
      <c r="L1290" s="37" t="str">
        <f aca="false">IF(INDEX($A1290:$J1290,$L$6)&lt;&gt;"",TRIM(LEFT(INDEX($A1290:$J1290,$L$6),FIND("(",INDEX($A1290:$J1290,$L$6)&amp;"(")-1)),L1289)</f>
        <v>Building Value Proposition</v>
      </c>
      <c r="M1290" s="37" t="str">
        <f aca="false">IF(INDEX($A1290:$J1290,$M$6)="","",INDEX($A1290:$J1290,$M$6)&amp;"")</f>
        <v/>
      </c>
      <c r="N1290" s="37" t="str">
        <f aca="false">IF($M1290="","",TRIM(INDEX($A1290:$J1290,$N$6)&amp;""))</f>
        <v/>
      </c>
      <c r="O1290" s="37" t="str">
        <f aca="false">IF($M1290="","",TRIM(INDEX($A1290:$J1290,$O$6)&amp;""))</f>
        <v/>
      </c>
      <c r="P1290" s="37" t="str">
        <f aca="false">IF($M1290="","",IFERROR(IF(INDEX(Settings!$B$41:$B$50,MATCH(O1290,Settings!$A$41:$A$50,0))&amp;""="","UNMAPPED",INDEX(Settings!$B$41:$B$50,MATCH(O1290,Settings!$A$41:$A$50,0))&amp;""),"UNMAPPED"))</f>
        <v/>
      </c>
      <c r="Q1290" s="38" t="n">
        <f aca="false">IF($M1290="",0,N(INDEX($A1290:$J1290,$Q$6)))</f>
        <v>0</v>
      </c>
      <c r="R1290" s="39" t="str">
        <f aca="false">IF($M1290="","",INDEX($A1290:$J1290,$R$6))</f>
        <v/>
      </c>
      <c r="S1290" s="37" t="str">
        <f aca="false">IF($M1290="","",IFERROR(INDEX(Settings!$B$27:$B$36,MATCH(L1290,Settings!$A$27:$A$36,0))&amp;"","UNMAPPED"))</f>
        <v/>
      </c>
      <c r="T1290" s="37" t="str">
        <f aca="false">IF($M1290="","",IF(NOT(ISNUMBER(R1290)),"NO DATE",IF(S1290="Won",IF(R1290&gt;Settings!$B$5,"Backlog","Delivered"),IF(S1290="Open",IF(R1290&gt;Settings!$B$5,"Pipeline","Overdue"),IF(S1290="Lost","Lost","UNMAPPED")))))</f>
        <v/>
      </c>
      <c r="U1290" s="40" t="n">
        <f aca="false">IF(T1290="Backlog",1,IF(OR(T1290="Pipeline",T1290="Overdue"),N(INDEX(Settings!$C$27:$C$36,MATCH(L1290,Settings!$A$27:$A$36,0))),0))</f>
        <v>0</v>
      </c>
      <c r="V1290" s="38" t="n">
        <f aca="false">Q1290*U1290</f>
        <v>0</v>
      </c>
      <c r="W1290" s="41" t="str">
        <f aca="false">IF($M1290="","",IF(T1290="Overdue",IF(Settings!$B$8="Yes",Settings!$B$7,""),IF(ISNUMBER(R1290),DATE(YEAR(R1290),MONTH(R1290),1),"")))</f>
        <v/>
      </c>
      <c r="X1290" s="38" t="n">
        <f aca="false">IF(AND(OR(T1290="Backlog",T1290="Pipeline",T1290="Overdue"),ISNUMBER(W1290)),IF(W1290&lt;=Settings!$B$6,V1290,0),0)</f>
        <v>0</v>
      </c>
      <c r="Y1290" s="38" t="n">
        <f aca="false">IF(AND(OR(T1290="Backlog",T1290="Pipeline",T1290="Overdue"),ISNUMBER(W1290)),IF(W1290&lt;=Settings!$B$6,Q1290,0),0)</f>
        <v>0</v>
      </c>
      <c r="Z1290" s="38" t="n">
        <f aca="false">IF(Y1290=0,0,IF(T1290="Backlog",Q1290,Q1290*Dashboard!$C$10))</f>
        <v>0</v>
      </c>
      <c r="AA1290" s="37" t="n">
        <f aca="false">IF($N1290="",0,IF(COUNTIF(Dashboard!$C$13:$C$22,$N1290)&gt;0,1,0))</f>
        <v>0</v>
      </c>
      <c r="AB1290" s="37" t="str">
        <f aca="false">IF($N1290="","",IF(COUNTIF($N$8:$N1290,$N1290)=1,MAX($AB$7:$AB1289)+1,""))</f>
        <v/>
      </c>
    </row>
    <row r="1291" customFormat="false" ht="15" hidden="false" customHeight="false" outlineLevel="0" collapsed="false">
      <c r="L1291" s="37" t="str">
        <f aca="false">IF(INDEX($A1291:$J1291,$L$6)&lt;&gt;"",TRIM(LEFT(INDEX($A1291:$J1291,$L$6),FIND("(",INDEX($A1291:$J1291,$L$6)&amp;"(")-1)),L1290)</f>
        <v>Building Value Proposition</v>
      </c>
      <c r="M1291" s="37" t="str">
        <f aca="false">IF(INDEX($A1291:$J1291,$M$6)="","",INDEX($A1291:$J1291,$M$6)&amp;"")</f>
        <v/>
      </c>
      <c r="N1291" s="37" t="str">
        <f aca="false">IF($M1291="","",TRIM(INDEX($A1291:$J1291,$N$6)&amp;""))</f>
        <v/>
      </c>
      <c r="O1291" s="37" t="str">
        <f aca="false">IF($M1291="","",TRIM(INDEX($A1291:$J1291,$O$6)&amp;""))</f>
        <v/>
      </c>
      <c r="P1291" s="37" t="str">
        <f aca="false">IF($M1291="","",IFERROR(IF(INDEX(Settings!$B$41:$B$50,MATCH(O1291,Settings!$A$41:$A$50,0))&amp;""="","UNMAPPED",INDEX(Settings!$B$41:$B$50,MATCH(O1291,Settings!$A$41:$A$50,0))&amp;""),"UNMAPPED"))</f>
        <v/>
      </c>
      <c r="Q1291" s="38" t="n">
        <f aca="false">IF($M1291="",0,N(INDEX($A1291:$J1291,$Q$6)))</f>
        <v>0</v>
      </c>
      <c r="R1291" s="39" t="str">
        <f aca="false">IF($M1291="","",INDEX($A1291:$J1291,$R$6))</f>
        <v/>
      </c>
      <c r="S1291" s="37" t="str">
        <f aca="false">IF($M1291="","",IFERROR(INDEX(Settings!$B$27:$B$36,MATCH(L1291,Settings!$A$27:$A$36,0))&amp;"","UNMAPPED"))</f>
        <v/>
      </c>
      <c r="T1291" s="37" t="str">
        <f aca="false">IF($M1291="","",IF(NOT(ISNUMBER(R1291)),"NO DATE",IF(S1291="Won",IF(R1291&gt;Settings!$B$5,"Backlog","Delivered"),IF(S1291="Open",IF(R1291&gt;Settings!$B$5,"Pipeline","Overdue"),IF(S1291="Lost","Lost","UNMAPPED")))))</f>
        <v/>
      </c>
      <c r="U1291" s="40" t="n">
        <f aca="false">IF(T1291="Backlog",1,IF(OR(T1291="Pipeline",T1291="Overdue"),N(INDEX(Settings!$C$27:$C$36,MATCH(L1291,Settings!$A$27:$A$36,0))),0))</f>
        <v>0</v>
      </c>
      <c r="V1291" s="38" t="n">
        <f aca="false">Q1291*U1291</f>
        <v>0</v>
      </c>
      <c r="W1291" s="41" t="str">
        <f aca="false">IF($M1291="","",IF(T1291="Overdue",IF(Settings!$B$8="Yes",Settings!$B$7,""),IF(ISNUMBER(R1291),DATE(YEAR(R1291),MONTH(R1291),1),"")))</f>
        <v/>
      </c>
      <c r="X1291" s="38" t="n">
        <f aca="false">IF(AND(OR(T1291="Backlog",T1291="Pipeline",T1291="Overdue"),ISNUMBER(W1291)),IF(W1291&lt;=Settings!$B$6,V1291,0),0)</f>
        <v>0</v>
      </c>
      <c r="Y1291" s="38" t="n">
        <f aca="false">IF(AND(OR(T1291="Backlog",T1291="Pipeline",T1291="Overdue"),ISNUMBER(W1291)),IF(W1291&lt;=Settings!$B$6,Q1291,0),0)</f>
        <v>0</v>
      </c>
      <c r="Z1291" s="38" t="n">
        <f aca="false">IF(Y1291=0,0,IF(T1291="Backlog",Q1291,Q1291*Dashboard!$C$10))</f>
        <v>0</v>
      </c>
      <c r="AA1291" s="37" t="n">
        <f aca="false">IF($N1291="",0,IF(COUNTIF(Dashboard!$C$13:$C$22,$N1291)&gt;0,1,0))</f>
        <v>0</v>
      </c>
      <c r="AB1291" s="37" t="str">
        <f aca="false">IF($N1291="","",IF(COUNTIF($N$8:$N1291,$N1291)=1,MAX($AB$7:$AB1290)+1,""))</f>
        <v/>
      </c>
    </row>
    <row r="1292" customFormat="false" ht="15" hidden="false" customHeight="false" outlineLevel="0" collapsed="false">
      <c r="L1292" s="37" t="str">
        <f aca="false">IF(INDEX($A1292:$J1292,$L$6)&lt;&gt;"",TRIM(LEFT(INDEX($A1292:$J1292,$L$6),FIND("(",INDEX($A1292:$J1292,$L$6)&amp;"(")-1)),L1291)</f>
        <v>Building Value Proposition</v>
      </c>
      <c r="M1292" s="37" t="str">
        <f aca="false">IF(INDEX($A1292:$J1292,$M$6)="","",INDEX($A1292:$J1292,$M$6)&amp;"")</f>
        <v/>
      </c>
      <c r="N1292" s="37" t="str">
        <f aca="false">IF($M1292="","",TRIM(INDEX($A1292:$J1292,$N$6)&amp;""))</f>
        <v/>
      </c>
      <c r="O1292" s="37" t="str">
        <f aca="false">IF($M1292="","",TRIM(INDEX($A1292:$J1292,$O$6)&amp;""))</f>
        <v/>
      </c>
      <c r="P1292" s="37" t="str">
        <f aca="false">IF($M1292="","",IFERROR(IF(INDEX(Settings!$B$41:$B$50,MATCH(O1292,Settings!$A$41:$A$50,0))&amp;""="","UNMAPPED",INDEX(Settings!$B$41:$B$50,MATCH(O1292,Settings!$A$41:$A$50,0))&amp;""),"UNMAPPED"))</f>
        <v/>
      </c>
      <c r="Q1292" s="38" t="n">
        <f aca="false">IF($M1292="",0,N(INDEX($A1292:$J1292,$Q$6)))</f>
        <v>0</v>
      </c>
      <c r="R1292" s="39" t="str">
        <f aca="false">IF($M1292="","",INDEX($A1292:$J1292,$R$6))</f>
        <v/>
      </c>
      <c r="S1292" s="37" t="str">
        <f aca="false">IF($M1292="","",IFERROR(INDEX(Settings!$B$27:$B$36,MATCH(L1292,Settings!$A$27:$A$36,0))&amp;"","UNMAPPED"))</f>
        <v/>
      </c>
      <c r="T1292" s="37" t="str">
        <f aca="false">IF($M1292="","",IF(NOT(ISNUMBER(R1292)),"NO DATE",IF(S1292="Won",IF(R1292&gt;Settings!$B$5,"Backlog","Delivered"),IF(S1292="Open",IF(R1292&gt;Settings!$B$5,"Pipeline","Overdue"),IF(S1292="Lost","Lost","UNMAPPED")))))</f>
        <v/>
      </c>
      <c r="U1292" s="40" t="n">
        <f aca="false">IF(T1292="Backlog",1,IF(OR(T1292="Pipeline",T1292="Overdue"),N(INDEX(Settings!$C$27:$C$36,MATCH(L1292,Settings!$A$27:$A$36,0))),0))</f>
        <v>0</v>
      </c>
      <c r="V1292" s="38" t="n">
        <f aca="false">Q1292*U1292</f>
        <v>0</v>
      </c>
      <c r="W1292" s="41" t="str">
        <f aca="false">IF($M1292="","",IF(T1292="Overdue",IF(Settings!$B$8="Yes",Settings!$B$7,""),IF(ISNUMBER(R1292),DATE(YEAR(R1292),MONTH(R1292),1),"")))</f>
        <v/>
      </c>
      <c r="X1292" s="38" t="n">
        <f aca="false">IF(AND(OR(T1292="Backlog",T1292="Pipeline",T1292="Overdue"),ISNUMBER(W1292)),IF(W1292&lt;=Settings!$B$6,V1292,0),0)</f>
        <v>0</v>
      </c>
      <c r="Y1292" s="38" t="n">
        <f aca="false">IF(AND(OR(T1292="Backlog",T1292="Pipeline",T1292="Overdue"),ISNUMBER(W1292)),IF(W1292&lt;=Settings!$B$6,Q1292,0),0)</f>
        <v>0</v>
      </c>
      <c r="Z1292" s="38" t="n">
        <f aca="false">IF(Y1292=0,0,IF(T1292="Backlog",Q1292,Q1292*Dashboard!$C$10))</f>
        <v>0</v>
      </c>
      <c r="AA1292" s="37" t="n">
        <f aca="false">IF($N1292="",0,IF(COUNTIF(Dashboard!$C$13:$C$22,$N1292)&gt;0,1,0))</f>
        <v>0</v>
      </c>
      <c r="AB1292" s="37" t="str">
        <f aca="false">IF($N1292="","",IF(COUNTIF($N$8:$N1292,$N1292)=1,MAX($AB$7:$AB1291)+1,""))</f>
        <v/>
      </c>
    </row>
    <row r="1293" customFormat="false" ht="15" hidden="false" customHeight="false" outlineLevel="0" collapsed="false">
      <c r="L1293" s="37" t="str">
        <f aca="false">IF(INDEX($A1293:$J1293,$L$6)&lt;&gt;"",TRIM(LEFT(INDEX($A1293:$J1293,$L$6),FIND("(",INDEX($A1293:$J1293,$L$6)&amp;"(")-1)),L1292)</f>
        <v>Building Value Proposition</v>
      </c>
      <c r="M1293" s="37" t="str">
        <f aca="false">IF(INDEX($A1293:$J1293,$M$6)="","",INDEX($A1293:$J1293,$M$6)&amp;"")</f>
        <v/>
      </c>
      <c r="N1293" s="37" t="str">
        <f aca="false">IF($M1293="","",TRIM(INDEX($A1293:$J1293,$N$6)&amp;""))</f>
        <v/>
      </c>
      <c r="O1293" s="37" t="str">
        <f aca="false">IF($M1293="","",TRIM(INDEX($A1293:$J1293,$O$6)&amp;""))</f>
        <v/>
      </c>
      <c r="P1293" s="37" t="str">
        <f aca="false">IF($M1293="","",IFERROR(IF(INDEX(Settings!$B$41:$B$50,MATCH(O1293,Settings!$A$41:$A$50,0))&amp;""="","UNMAPPED",INDEX(Settings!$B$41:$B$50,MATCH(O1293,Settings!$A$41:$A$50,0))&amp;""),"UNMAPPED"))</f>
        <v/>
      </c>
      <c r="Q1293" s="38" t="n">
        <f aca="false">IF($M1293="",0,N(INDEX($A1293:$J1293,$Q$6)))</f>
        <v>0</v>
      </c>
      <c r="R1293" s="39" t="str">
        <f aca="false">IF($M1293="","",INDEX($A1293:$J1293,$R$6))</f>
        <v/>
      </c>
      <c r="S1293" s="37" t="str">
        <f aca="false">IF($M1293="","",IFERROR(INDEX(Settings!$B$27:$B$36,MATCH(L1293,Settings!$A$27:$A$36,0))&amp;"","UNMAPPED"))</f>
        <v/>
      </c>
      <c r="T1293" s="37" t="str">
        <f aca="false">IF($M1293="","",IF(NOT(ISNUMBER(R1293)),"NO DATE",IF(S1293="Won",IF(R1293&gt;Settings!$B$5,"Backlog","Delivered"),IF(S1293="Open",IF(R1293&gt;Settings!$B$5,"Pipeline","Overdue"),IF(S1293="Lost","Lost","UNMAPPED")))))</f>
        <v/>
      </c>
      <c r="U1293" s="40" t="n">
        <f aca="false">IF(T1293="Backlog",1,IF(OR(T1293="Pipeline",T1293="Overdue"),N(INDEX(Settings!$C$27:$C$36,MATCH(L1293,Settings!$A$27:$A$36,0))),0))</f>
        <v>0</v>
      </c>
      <c r="V1293" s="38" t="n">
        <f aca="false">Q1293*U1293</f>
        <v>0</v>
      </c>
      <c r="W1293" s="41" t="str">
        <f aca="false">IF($M1293="","",IF(T1293="Overdue",IF(Settings!$B$8="Yes",Settings!$B$7,""),IF(ISNUMBER(R1293),DATE(YEAR(R1293),MONTH(R1293),1),"")))</f>
        <v/>
      </c>
      <c r="X1293" s="38" t="n">
        <f aca="false">IF(AND(OR(T1293="Backlog",T1293="Pipeline",T1293="Overdue"),ISNUMBER(W1293)),IF(W1293&lt;=Settings!$B$6,V1293,0),0)</f>
        <v>0</v>
      </c>
      <c r="Y1293" s="38" t="n">
        <f aca="false">IF(AND(OR(T1293="Backlog",T1293="Pipeline",T1293="Overdue"),ISNUMBER(W1293)),IF(W1293&lt;=Settings!$B$6,Q1293,0),0)</f>
        <v>0</v>
      </c>
      <c r="Z1293" s="38" t="n">
        <f aca="false">IF(Y1293=0,0,IF(T1293="Backlog",Q1293,Q1293*Dashboard!$C$10))</f>
        <v>0</v>
      </c>
      <c r="AA1293" s="37" t="n">
        <f aca="false">IF($N1293="",0,IF(COUNTIF(Dashboard!$C$13:$C$22,$N1293)&gt;0,1,0))</f>
        <v>0</v>
      </c>
      <c r="AB1293" s="37" t="str">
        <f aca="false">IF($N1293="","",IF(COUNTIF($N$8:$N1293,$N1293)=1,MAX($AB$7:$AB1292)+1,""))</f>
        <v/>
      </c>
    </row>
    <row r="1294" customFormat="false" ht="15" hidden="false" customHeight="false" outlineLevel="0" collapsed="false">
      <c r="L1294" s="37" t="str">
        <f aca="false">IF(INDEX($A1294:$J1294,$L$6)&lt;&gt;"",TRIM(LEFT(INDEX($A1294:$J1294,$L$6),FIND("(",INDEX($A1294:$J1294,$L$6)&amp;"(")-1)),L1293)</f>
        <v>Building Value Proposition</v>
      </c>
      <c r="M1294" s="37" t="str">
        <f aca="false">IF(INDEX($A1294:$J1294,$M$6)="","",INDEX($A1294:$J1294,$M$6)&amp;"")</f>
        <v/>
      </c>
      <c r="N1294" s="37" t="str">
        <f aca="false">IF($M1294="","",TRIM(INDEX($A1294:$J1294,$N$6)&amp;""))</f>
        <v/>
      </c>
      <c r="O1294" s="37" t="str">
        <f aca="false">IF($M1294="","",TRIM(INDEX($A1294:$J1294,$O$6)&amp;""))</f>
        <v/>
      </c>
      <c r="P1294" s="37" t="str">
        <f aca="false">IF($M1294="","",IFERROR(IF(INDEX(Settings!$B$41:$B$50,MATCH(O1294,Settings!$A$41:$A$50,0))&amp;""="","UNMAPPED",INDEX(Settings!$B$41:$B$50,MATCH(O1294,Settings!$A$41:$A$50,0))&amp;""),"UNMAPPED"))</f>
        <v/>
      </c>
      <c r="Q1294" s="38" t="n">
        <f aca="false">IF($M1294="",0,N(INDEX($A1294:$J1294,$Q$6)))</f>
        <v>0</v>
      </c>
      <c r="R1294" s="39" t="str">
        <f aca="false">IF($M1294="","",INDEX($A1294:$J1294,$R$6))</f>
        <v/>
      </c>
      <c r="S1294" s="37" t="str">
        <f aca="false">IF($M1294="","",IFERROR(INDEX(Settings!$B$27:$B$36,MATCH(L1294,Settings!$A$27:$A$36,0))&amp;"","UNMAPPED"))</f>
        <v/>
      </c>
      <c r="T1294" s="37" t="str">
        <f aca="false">IF($M1294="","",IF(NOT(ISNUMBER(R1294)),"NO DATE",IF(S1294="Won",IF(R1294&gt;Settings!$B$5,"Backlog","Delivered"),IF(S1294="Open",IF(R1294&gt;Settings!$B$5,"Pipeline","Overdue"),IF(S1294="Lost","Lost","UNMAPPED")))))</f>
        <v/>
      </c>
      <c r="U1294" s="40" t="n">
        <f aca="false">IF(T1294="Backlog",1,IF(OR(T1294="Pipeline",T1294="Overdue"),N(INDEX(Settings!$C$27:$C$36,MATCH(L1294,Settings!$A$27:$A$36,0))),0))</f>
        <v>0</v>
      </c>
      <c r="V1294" s="38" t="n">
        <f aca="false">Q1294*U1294</f>
        <v>0</v>
      </c>
      <c r="W1294" s="41" t="str">
        <f aca="false">IF($M1294="","",IF(T1294="Overdue",IF(Settings!$B$8="Yes",Settings!$B$7,""),IF(ISNUMBER(R1294),DATE(YEAR(R1294),MONTH(R1294),1),"")))</f>
        <v/>
      </c>
      <c r="X1294" s="38" t="n">
        <f aca="false">IF(AND(OR(T1294="Backlog",T1294="Pipeline",T1294="Overdue"),ISNUMBER(W1294)),IF(W1294&lt;=Settings!$B$6,V1294,0),0)</f>
        <v>0</v>
      </c>
      <c r="Y1294" s="38" t="n">
        <f aca="false">IF(AND(OR(T1294="Backlog",T1294="Pipeline",T1294="Overdue"),ISNUMBER(W1294)),IF(W1294&lt;=Settings!$B$6,Q1294,0),0)</f>
        <v>0</v>
      </c>
      <c r="Z1294" s="38" t="n">
        <f aca="false">IF(Y1294=0,0,IF(T1294="Backlog",Q1294,Q1294*Dashboard!$C$10))</f>
        <v>0</v>
      </c>
      <c r="AA1294" s="37" t="n">
        <f aca="false">IF($N1294="",0,IF(COUNTIF(Dashboard!$C$13:$C$22,$N1294)&gt;0,1,0))</f>
        <v>0</v>
      </c>
      <c r="AB1294" s="37" t="str">
        <f aca="false">IF($N1294="","",IF(COUNTIF($N$8:$N1294,$N1294)=1,MAX($AB$7:$AB1293)+1,""))</f>
        <v/>
      </c>
    </row>
    <row r="1295" customFormat="false" ht="15" hidden="false" customHeight="false" outlineLevel="0" collapsed="false">
      <c r="L1295" s="37" t="str">
        <f aca="false">IF(INDEX($A1295:$J1295,$L$6)&lt;&gt;"",TRIM(LEFT(INDEX($A1295:$J1295,$L$6),FIND("(",INDEX($A1295:$J1295,$L$6)&amp;"(")-1)),L1294)</f>
        <v>Building Value Proposition</v>
      </c>
      <c r="M1295" s="37" t="str">
        <f aca="false">IF(INDEX($A1295:$J1295,$M$6)="","",INDEX($A1295:$J1295,$M$6)&amp;"")</f>
        <v/>
      </c>
      <c r="N1295" s="37" t="str">
        <f aca="false">IF($M1295="","",TRIM(INDEX($A1295:$J1295,$N$6)&amp;""))</f>
        <v/>
      </c>
      <c r="O1295" s="37" t="str">
        <f aca="false">IF($M1295="","",TRIM(INDEX($A1295:$J1295,$O$6)&amp;""))</f>
        <v/>
      </c>
      <c r="P1295" s="37" t="str">
        <f aca="false">IF($M1295="","",IFERROR(IF(INDEX(Settings!$B$41:$B$50,MATCH(O1295,Settings!$A$41:$A$50,0))&amp;""="","UNMAPPED",INDEX(Settings!$B$41:$B$50,MATCH(O1295,Settings!$A$41:$A$50,0))&amp;""),"UNMAPPED"))</f>
        <v/>
      </c>
      <c r="Q1295" s="38" t="n">
        <f aca="false">IF($M1295="",0,N(INDEX($A1295:$J1295,$Q$6)))</f>
        <v>0</v>
      </c>
      <c r="R1295" s="39" t="str">
        <f aca="false">IF($M1295="","",INDEX($A1295:$J1295,$R$6))</f>
        <v/>
      </c>
      <c r="S1295" s="37" t="str">
        <f aca="false">IF($M1295="","",IFERROR(INDEX(Settings!$B$27:$B$36,MATCH(L1295,Settings!$A$27:$A$36,0))&amp;"","UNMAPPED"))</f>
        <v/>
      </c>
      <c r="T1295" s="37" t="str">
        <f aca="false">IF($M1295="","",IF(NOT(ISNUMBER(R1295)),"NO DATE",IF(S1295="Won",IF(R1295&gt;Settings!$B$5,"Backlog","Delivered"),IF(S1295="Open",IF(R1295&gt;Settings!$B$5,"Pipeline","Overdue"),IF(S1295="Lost","Lost","UNMAPPED")))))</f>
        <v/>
      </c>
      <c r="U1295" s="40" t="n">
        <f aca="false">IF(T1295="Backlog",1,IF(OR(T1295="Pipeline",T1295="Overdue"),N(INDEX(Settings!$C$27:$C$36,MATCH(L1295,Settings!$A$27:$A$36,0))),0))</f>
        <v>0</v>
      </c>
      <c r="V1295" s="38" t="n">
        <f aca="false">Q1295*U1295</f>
        <v>0</v>
      </c>
      <c r="W1295" s="41" t="str">
        <f aca="false">IF($M1295="","",IF(T1295="Overdue",IF(Settings!$B$8="Yes",Settings!$B$7,""),IF(ISNUMBER(R1295),DATE(YEAR(R1295),MONTH(R1295),1),"")))</f>
        <v/>
      </c>
      <c r="X1295" s="38" t="n">
        <f aca="false">IF(AND(OR(T1295="Backlog",T1295="Pipeline",T1295="Overdue"),ISNUMBER(W1295)),IF(W1295&lt;=Settings!$B$6,V1295,0),0)</f>
        <v>0</v>
      </c>
      <c r="Y1295" s="38" t="n">
        <f aca="false">IF(AND(OR(T1295="Backlog",T1295="Pipeline",T1295="Overdue"),ISNUMBER(W1295)),IF(W1295&lt;=Settings!$B$6,Q1295,0),0)</f>
        <v>0</v>
      </c>
      <c r="Z1295" s="38" t="n">
        <f aca="false">IF(Y1295=0,0,IF(T1295="Backlog",Q1295,Q1295*Dashboard!$C$10))</f>
        <v>0</v>
      </c>
      <c r="AA1295" s="37" t="n">
        <f aca="false">IF($N1295="",0,IF(COUNTIF(Dashboard!$C$13:$C$22,$N1295)&gt;0,1,0))</f>
        <v>0</v>
      </c>
      <c r="AB1295" s="37" t="str">
        <f aca="false">IF($N1295="","",IF(COUNTIF($N$8:$N1295,$N1295)=1,MAX($AB$7:$AB1294)+1,""))</f>
        <v/>
      </c>
    </row>
    <row r="1296" customFormat="false" ht="15" hidden="false" customHeight="false" outlineLevel="0" collapsed="false">
      <c r="L1296" s="37" t="str">
        <f aca="false">IF(INDEX($A1296:$J1296,$L$6)&lt;&gt;"",TRIM(LEFT(INDEX($A1296:$J1296,$L$6),FIND("(",INDEX($A1296:$J1296,$L$6)&amp;"(")-1)),L1295)</f>
        <v>Building Value Proposition</v>
      </c>
      <c r="M1296" s="37" t="str">
        <f aca="false">IF(INDEX($A1296:$J1296,$M$6)="","",INDEX($A1296:$J1296,$M$6)&amp;"")</f>
        <v/>
      </c>
      <c r="N1296" s="37" t="str">
        <f aca="false">IF($M1296="","",TRIM(INDEX($A1296:$J1296,$N$6)&amp;""))</f>
        <v/>
      </c>
      <c r="O1296" s="37" t="str">
        <f aca="false">IF($M1296="","",TRIM(INDEX($A1296:$J1296,$O$6)&amp;""))</f>
        <v/>
      </c>
      <c r="P1296" s="37" t="str">
        <f aca="false">IF($M1296="","",IFERROR(IF(INDEX(Settings!$B$41:$B$50,MATCH(O1296,Settings!$A$41:$A$50,0))&amp;""="","UNMAPPED",INDEX(Settings!$B$41:$B$50,MATCH(O1296,Settings!$A$41:$A$50,0))&amp;""),"UNMAPPED"))</f>
        <v/>
      </c>
      <c r="Q1296" s="38" t="n">
        <f aca="false">IF($M1296="",0,N(INDEX($A1296:$J1296,$Q$6)))</f>
        <v>0</v>
      </c>
      <c r="R1296" s="39" t="str">
        <f aca="false">IF($M1296="","",INDEX($A1296:$J1296,$R$6))</f>
        <v/>
      </c>
      <c r="S1296" s="37" t="str">
        <f aca="false">IF($M1296="","",IFERROR(INDEX(Settings!$B$27:$B$36,MATCH(L1296,Settings!$A$27:$A$36,0))&amp;"","UNMAPPED"))</f>
        <v/>
      </c>
      <c r="T1296" s="37" t="str">
        <f aca="false">IF($M1296="","",IF(NOT(ISNUMBER(R1296)),"NO DATE",IF(S1296="Won",IF(R1296&gt;Settings!$B$5,"Backlog","Delivered"),IF(S1296="Open",IF(R1296&gt;Settings!$B$5,"Pipeline","Overdue"),IF(S1296="Lost","Lost","UNMAPPED")))))</f>
        <v/>
      </c>
      <c r="U1296" s="40" t="n">
        <f aca="false">IF(T1296="Backlog",1,IF(OR(T1296="Pipeline",T1296="Overdue"),N(INDEX(Settings!$C$27:$C$36,MATCH(L1296,Settings!$A$27:$A$36,0))),0))</f>
        <v>0</v>
      </c>
      <c r="V1296" s="38" t="n">
        <f aca="false">Q1296*U1296</f>
        <v>0</v>
      </c>
      <c r="W1296" s="41" t="str">
        <f aca="false">IF($M1296="","",IF(T1296="Overdue",IF(Settings!$B$8="Yes",Settings!$B$7,""),IF(ISNUMBER(R1296),DATE(YEAR(R1296),MONTH(R1296),1),"")))</f>
        <v/>
      </c>
      <c r="X1296" s="38" t="n">
        <f aca="false">IF(AND(OR(T1296="Backlog",T1296="Pipeline",T1296="Overdue"),ISNUMBER(W1296)),IF(W1296&lt;=Settings!$B$6,V1296,0),0)</f>
        <v>0</v>
      </c>
      <c r="Y1296" s="38" t="n">
        <f aca="false">IF(AND(OR(T1296="Backlog",T1296="Pipeline",T1296="Overdue"),ISNUMBER(W1296)),IF(W1296&lt;=Settings!$B$6,Q1296,0),0)</f>
        <v>0</v>
      </c>
      <c r="Z1296" s="38" t="n">
        <f aca="false">IF(Y1296=0,0,IF(T1296="Backlog",Q1296,Q1296*Dashboard!$C$10))</f>
        <v>0</v>
      </c>
      <c r="AA1296" s="37" t="n">
        <f aca="false">IF($N1296="",0,IF(COUNTIF(Dashboard!$C$13:$C$22,$N1296)&gt;0,1,0))</f>
        <v>0</v>
      </c>
      <c r="AB1296" s="37" t="str">
        <f aca="false">IF($N1296="","",IF(COUNTIF($N$8:$N1296,$N1296)=1,MAX($AB$7:$AB1295)+1,""))</f>
        <v/>
      </c>
    </row>
    <row r="1297" customFormat="false" ht="15" hidden="false" customHeight="false" outlineLevel="0" collapsed="false">
      <c r="L1297" s="37" t="str">
        <f aca="false">IF(INDEX($A1297:$J1297,$L$6)&lt;&gt;"",TRIM(LEFT(INDEX($A1297:$J1297,$L$6),FIND("(",INDEX($A1297:$J1297,$L$6)&amp;"(")-1)),L1296)</f>
        <v>Building Value Proposition</v>
      </c>
      <c r="M1297" s="37" t="str">
        <f aca="false">IF(INDEX($A1297:$J1297,$M$6)="","",INDEX($A1297:$J1297,$M$6)&amp;"")</f>
        <v/>
      </c>
      <c r="N1297" s="37" t="str">
        <f aca="false">IF($M1297="","",TRIM(INDEX($A1297:$J1297,$N$6)&amp;""))</f>
        <v/>
      </c>
      <c r="O1297" s="37" t="str">
        <f aca="false">IF($M1297="","",TRIM(INDEX($A1297:$J1297,$O$6)&amp;""))</f>
        <v/>
      </c>
      <c r="P1297" s="37" t="str">
        <f aca="false">IF($M1297="","",IFERROR(IF(INDEX(Settings!$B$41:$B$50,MATCH(O1297,Settings!$A$41:$A$50,0))&amp;""="","UNMAPPED",INDEX(Settings!$B$41:$B$50,MATCH(O1297,Settings!$A$41:$A$50,0))&amp;""),"UNMAPPED"))</f>
        <v/>
      </c>
      <c r="Q1297" s="38" t="n">
        <f aca="false">IF($M1297="",0,N(INDEX($A1297:$J1297,$Q$6)))</f>
        <v>0</v>
      </c>
      <c r="R1297" s="39" t="str">
        <f aca="false">IF($M1297="","",INDEX($A1297:$J1297,$R$6))</f>
        <v/>
      </c>
      <c r="S1297" s="37" t="str">
        <f aca="false">IF($M1297="","",IFERROR(INDEX(Settings!$B$27:$B$36,MATCH(L1297,Settings!$A$27:$A$36,0))&amp;"","UNMAPPED"))</f>
        <v/>
      </c>
      <c r="T1297" s="37" t="str">
        <f aca="false">IF($M1297="","",IF(NOT(ISNUMBER(R1297)),"NO DATE",IF(S1297="Won",IF(R1297&gt;Settings!$B$5,"Backlog","Delivered"),IF(S1297="Open",IF(R1297&gt;Settings!$B$5,"Pipeline","Overdue"),IF(S1297="Lost","Lost","UNMAPPED")))))</f>
        <v/>
      </c>
      <c r="U1297" s="40" t="n">
        <f aca="false">IF(T1297="Backlog",1,IF(OR(T1297="Pipeline",T1297="Overdue"),N(INDEX(Settings!$C$27:$C$36,MATCH(L1297,Settings!$A$27:$A$36,0))),0))</f>
        <v>0</v>
      </c>
      <c r="V1297" s="38" t="n">
        <f aca="false">Q1297*U1297</f>
        <v>0</v>
      </c>
      <c r="W1297" s="41" t="str">
        <f aca="false">IF($M1297="","",IF(T1297="Overdue",IF(Settings!$B$8="Yes",Settings!$B$7,""),IF(ISNUMBER(R1297),DATE(YEAR(R1297),MONTH(R1297),1),"")))</f>
        <v/>
      </c>
      <c r="X1297" s="38" t="n">
        <f aca="false">IF(AND(OR(T1297="Backlog",T1297="Pipeline",T1297="Overdue"),ISNUMBER(W1297)),IF(W1297&lt;=Settings!$B$6,V1297,0),0)</f>
        <v>0</v>
      </c>
      <c r="Y1297" s="38" t="n">
        <f aca="false">IF(AND(OR(T1297="Backlog",T1297="Pipeline",T1297="Overdue"),ISNUMBER(W1297)),IF(W1297&lt;=Settings!$B$6,Q1297,0),0)</f>
        <v>0</v>
      </c>
      <c r="Z1297" s="38" t="n">
        <f aca="false">IF(Y1297=0,0,IF(T1297="Backlog",Q1297,Q1297*Dashboard!$C$10))</f>
        <v>0</v>
      </c>
      <c r="AA1297" s="37" t="n">
        <f aca="false">IF($N1297="",0,IF(COUNTIF(Dashboard!$C$13:$C$22,$N1297)&gt;0,1,0))</f>
        <v>0</v>
      </c>
      <c r="AB1297" s="37" t="str">
        <f aca="false">IF($N1297="","",IF(COUNTIF($N$8:$N1297,$N1297)=1,MAX($AB$7:$AB1296)+1,""))</f>
        <v/>
      </c>
    </row>
    <row r="1298" customFormat="false" ht="15" hidden="false" customHeight="false" outlineLevel="0" collapsed="false">
      <c r="L1298" s="37" t="str">
        <f aca="false">IF(INDEX($A1298:$J1298,$L$6)&lt;&gt;"",TRIM(LEFT(INDEX($A1298:$J1298,$L$6),FIND("(",INDEX($A1298:$J1298,$L$6)&amp;"(")-1)),L1297)</f>
        <v>Building Value Proposition</v>
      </c>
      <c r="M1298" s="37" t="str">
        <f aca="false">IF(INDEX($A1298:$J1298,$M$6)="","",INDEX($A1298:$J1298,$M$6)&amp;"")</f>
        <v/>
      </c>
      <c r="N1298" s="37" t="str">
        <f aca="false">IF($M1298="","",TRIM(INDEX($A1298:$J1298,$N$6)&amp;""))</f>
        <v/>
      </c>
      <c r="O1298" s="37" t="str">
        <f aca="false">IF($M1298="","",TRIM(INDEX($A1298:$J1298,$O$6)&amp;""))</f>
        <v/>
      </c>
      <c r="P1298" s="37" t="str">
        <f aca="false">IF($M1298="","",IFERROR(IF(INDEX(Settings!$B$41:$B$50,MATCH(O1298,Settings!$A$41:$A$50,0))&amp;""="","UNMAPPED",INDEX(Settings!$B$41:$B$50,MATCH(O1298,Settings!$A$41:$A$50,0))&amp;""),"UNMAPPED"))</f>
        <v/>
      </c>
      <c r="Q1298" s="38" t="n">
        <f aca="false">IF($M1298="",0,N(INDEX($A1298:$J1298,$Q$6)))</f>
        <v>0</v>
      </c>
      <c r="R1298" s="39" t="str">
        <f aca="false">IF($M1298="","",INDEX($A1298:$J1298,$R$6))</f>
        <v/>
      </c>
      <c r="S1298" s="37" t="str">
        <f aca="false">IF($M1298="","",IFERROR(INDEX(Settings!$B$27:$B$36,MATCH(L1298,Settings!$A$27:$A$36,0))&amp;"","UNMAPPED"))</f>
        <v/>
      </c>
      <c r="T1298" s="37" t="str">
        <f aca="false">IF($M1298="","",IF(NOT(ISNUMBER(R1298)),"NO DATE",IF(S1298="Won",IF(R1298&gt;Settings!$B$5,"Backlog","Delivered"),IF(S1298="Open",IF(R1298&gt;Settings!$B$5,"Pipeline","Overdue"),IF(S1298="Lost","Lost","UNMAPPED")))))</f>
        <v/>
      </c>
      <c r="U1298" s="40" t="n">
        <f aca="false">IF(T1298="Backlog",1,IF(OR(T1298="Pipeline",T1298="Overdue"),N(INDEX(Settings!$C$27:$C$36,MATCH(L1298,Settings!$A$27:$A$36,0))),0))</f>
        <v>0</v>
      </c>
      <c r="V1298" s="38" t="n">
        <f aca="false">Q1298*U1298</f>
        <v>0</v>
      </c>
      <c r="W1298" s="41" t="str">
        <f aca="false">IF($M1298="","",IF(T1298="Overdue",IF(Settings!$B$8="Yes",Settings!$B$7,""),IF(ISNUMBER(R1298),DATE(YEAR(R1298),MONTH(R1298),1),"")))</f>
        <v/>
      </c>
      <c r="X1298" s="38" t="n">
        <f aca="false">IF(AND(OR(T1298="Backlog",T1298="Pipeline",T1298="Overdue"),ISNUMBER(W1298)),IF(W1298&lt;=Settings!$B$6,V1298,0),0)</f>
        <v>0</v>
      </c>
      <c r="Y1298" s="38" t="n">
        <f aca="false">IF(AND(OR(T1298="Backlog",T1298="Pipeline",T1298="Overdue"),ISNUMBER(W1298)),IF(W1298&lt;=Settings!$B$6,Q1298,0),0)</f>
        <v>0</v>
      </c>
      <c r="Z1298" s="38" t="n">
        <f aca="false">IF(Y1298=0,0,IF(T1298="Backlog",Q1298,Q1298*Dashboard!$C$10))</f>
        <v>0</v>
      </c>
      <c r="AA1298" s="37" t="n">
        <f aca="false">IF($N1298="",0,IF(COUNTIF(Dashboard!$C$13:$C$22,$N1298)&gt;0,1,0))</f>
        <v>0</v>
      </c>
      <c r="AB1298" s="37" t="str">
        <f aca="false">IF($N1298="","",IF(COUNTIF($N$8:$N1298,$N1298)=1,MAX($AB$7:$AB1297)+1,""))</f>
        <v/>
      </c>
    </row>
    <row r="1299" customFormat="false" ht="15" hidden="false" customHeight="false" outlineLevel="0" collapsed="false">
      <c r="L1299" s="37" t="str">
        <f aca="false">IF(INDEX($A1299:$J1299,$L$6)&lt;&gt;"",TRIM(LEFT(INDEX($A1299:$J1299,$L$6),FIND("(",INDEX($A1299:$J1299,$L$6)&amp;"(")-1)),L1298)</f>
        <v>Building Value Proposition</v>
      </c>
      <c r="M1299" s="37" t="str">
        <f aca="false">IF(INDEX($A1299:$J1299,$M$6)="","",INDEX($A1299:$J1299,$M$6)&amp;"")</f>
        <v/>
      </c>
      <c r="N1299" s="37" t="str">
        <f aca="false">IF($M1299="","",TRIM(INDEX($A1299:$J1299,$N$6)&amp;""))</f>
        <v/>
      </c>
      <c r="O1299" s="37" t="str">
        <f aca="false">IF($M1299="","",TRIM(INDEX($A1299:$J1299,$O$6)&amp;""))</f>
        <v/>
      </c>
      <c r="P1299" s="37" t="str">
        <f aca="false">IF($M1299="","",IFERROR(IF(INDEX(Settings!$B$41:$B$50,MATCH(O1299,Settings!$A$41:$A$50,0))&amp;""="","UNMAPPED",INDEX(Settings!$B$41:$B$50,MATCH(O1299,Settings!$A$41:$A$50,0))&amp;""),"UNMAPPED"))</f>
        <v/>
      </c>
      <c r="Q1299" s="38" t="n">
        <f aca="false">IF($M1299="",0,N(INDEX($A1299:$J1299,$Q$6)))</f>
        <v>0</v>
      </c>
      <c r="R1299" s="39" t="str">
        <f aca="false">IF($M1299="","",INDEX($A1299:$J1299,$R$6))</f>
        <v/>
      </c>
      <c r="S1299" s="37" t="str">
        <f aca="false">IF($M1299="","",IFERROR(INDEX(Settings!$B$27:$B$36,MATCH(L1299,Settings!$A$27:$A$36,0))&amp;"","UNMAPPED"))</f>
        <v/>
      </c>
      <c r="T1299" s="37" t="str">
        <f aca="false">IF($M1299="","",IF(NOT(ISNUMBER(R1299)),"NO DATE",IF(S1299="Won",IF(R1299&gt;Settings!$B$5,"Backlog","Delivered"),IF(S1299="Open",IF(R1299&gt;Settings!$B$5,"Pipeline","Overdue"),IF(S1299="Lost","Lost","UNMAPPED")))))</f>
        <v/>
      </c>
      <c r="U1299" s="40" t="n">
        <f aca="false">IF(T1299="Backlog",1,IF(OR(T1299="Pipeline",T1299="Overdue"),N(INDEX(Settings!$C$27:$C$36,MATCH(L1299,Settings!$A$27:$A$36,0))),0))</f>
        <v>0</v>
      </c>
      <c r="V1299" s="38" t="n">
        <f aca="false">Q1299*U1299</f>
        <v>0</v>
      </c>
      <c r="W1299" s="41" t="str">
        <f aca="false">IF($M1299="","",IF(T1299="Overdue",IF(Settings!$B$8="Yes",Settings!$B$7,""),IF(ISNUMBER(R1299),DATE(YEAR(R1299),MONTH(R1299),1),"")))</f>
        <v/>
      </c>
      <c r="X1299" s="38" t="n">
        <f aca="false">IF(AND(OR(T1299="Backlog",T1299="Pipeline",T1299="Overdue"),ISNUMBER(W1299)),IF(W1299&lt;=Settings!$B$6,V1299,0),0)</f>
        <v>0</v>
      </c>
      <c r="Y1299" s="38" t="n">
        <f aca="false">IF(AND(OR(T1299="Backlog",T1299="Pipeline",T1299="Overdue"),ISNUMBER(W1299)),IF(W1299&lt;=Settings!$B$6,Q1299,0),0)</f>
        <v>0</v>
      </c>
      <c r="Z1299" s="38" t="n">
        <f aca="false">IF(Y1299=0,0,IF(T1299="Backlog",Q1299,Q1299*Dashboard!$C$10))</f>
        <v>0</v>
      </c>
      <c r="AA1299" s="37" t="n">
        <f aca="false">IF($N1299="",0,IF(COUNTIF(Dashboard!$C$13:$C$22,$N1299)&gt;0,1,0))</f>
        <v>0</v>
      </c>
      <c r="AB1299" s="37" t="str">
        <f aca="false">IF($N1299="","",IF(COUNTIF($N$8:$N1299,$N1299)=1,MAX($AB$7:$AB1298)+1,""))</f>
        <v/>
      </c>
    </row>
    <row r="1300" customFormat="false" ht="15" hidden="false" customHeight="false" outlineLevel="0" collapsed="false">
      <c r="L1300" s="37" t="str">
        <f aca="false">IF(INDEX($A1300:$J1300,$L$6)&lt;&gt;"",TRIM(LEFT(INDEX($A1300:$J1300,$L$6),FIND("(",INDEX($A1300:$J1300,$L$6)&amp;"(")-1)),L1299)</f>
        <v>Building Value Proposition</v>
      </c>
      <c r="M1300" s="37" t="str">
        <f aca="false">IF(INDEX($A1300:$J1300,$M$6)="","",INDEX($A1300:$J1300,$M$6)&amp;"")</f>
        <v/>
      </c>
      <c r="N1300" s="37" t="str">
        <f aca="false">IF($M1300="","",TRIM(INDEX($A1300:$J1300,$N$6)&amp;""))</f>
        <v/>
      </c>
      <c r="O1300" s="37" t="str">
        <f aca="false">IF($M1300="","",TRIM(INDEX($A1300:$J1300,$O$6)&amp;""))</f>
        <v/>
      </c>
      <c r="P1300" s="37" t="str">
        <f aca="false">IF($M1300="","",IFERROR(IF(INDEX(Settings!$B$41:$B$50,MATCH(O1300,Settings!$A$41:$A$50,0))&amp;""="","UNMAPPED",INDEX(Settings!$B$41:$B$50,MATCH(O1300,Settings!$A$41:$A$50,0))&amp;""),"UNMAPPED"))</f>
        <v/>
      </c>
      <c r="Q1300" s="38" t="n">
        <f aca="false">IF($M1300="",0,N(INDEX($A1300:$J1300,$Q$6)))</f>
        <v>0</v>
      </c>
      <c r="R1300" s="39" t="str">
        <f aca="false">IF($M1300="","",INDEX($A1300:$J1300,$R$6))</f>
        <v/>
      </c>
      <c r="S1300" s="37" t="str">
        <f aca="false">IF($M1300="","",IFERROR(INDEX(Settings!$B$27:$B$36,MATCH(L1300,Settings!$A$27:$A$36,0))&amp;"","UNMAPPED"))</f>
        <v/>
      </c>
      <c r="T1300" s="37" t="str">
        <f aca="false">IF($M1300="","",IF(NOT(ISNUMBER(R1300)),"NO DATE",IF(S1300="Won",IF(R1300&gt;Settings!$B$5,"Backlog","Delivered"),IF(S1300="Open",IF(R1300&gt;Settings!$B$5,"Pipeline","Overdue"),IF(S1300="Lost","Lost","UNMAPPED")))))</f>
        <v/>
      </c>
      <c r="U1300" s="40" t="n">
        <f aca="false">IF(T1300="Backlog",1,IF(OR(T1300="Pipeline",T1300="Overdue"),N(INDEX(Settings!$C$27:$C$36,MATCH(L1300,Settings!$A$27:$A$36,0))),0))</f>
        <v>0</v>
      </c>
      <c r="V1300" s="38" t="n">
        <f aca="false">Q1300*U1300</f>
        <v>0</v>
      </c>
      <c r="W1300" s="41" t="str">
        <f aca="false">IF($M1300="","",IF(T1300="Overdue",IF(Settings!$B$8="Yes",Settings!$B$7,""),IF(ISNUMBER(R1300),DATE(YEAR(R1300),MONTH(R1300),1),"")))</f>
        <v/>
      </c>
      <c r="X1300" s="38" t="n">
        <f aca="false">IF(AND(OR(T1300="Backlog",T1300="Pipeline",T1300="Overdue"),ISNUMBER(W1300)),IF(W1300&lt;=Settings!$B$6,V1300,0),0)</f>
        <v>0</v>
      </c>
      <c r="Y1300" s="38" t="n">
        <f aca="false">IF(AND(OR(T1300="Backlog",T1300="Pipeline",T1300="Overdue"),ISNUMBER(W1300)),IF(W1300&lt;=Settings!$B$6,Q1300,0),0)</f>
        <v>0</v>
      </c>
      <c r="Z1300" s="38" t="n">
        <f aca="false">IF(Y1300=0,0,IF(T1300="Backlog",Q1300,Q1300*Dashboard!$C$10))</f>
        <v>0</v>
      </c>
      <c r="AA1300" s="37" t="n">
        <f aca="false">IF($N1300="",0,IF(COUNTIF(Dashboard!$C$13:$C$22,$N1300)&gt;0,1,0))</f>
        <v>0</v>
      </c>
      <c r="AB1300" s="37" t="str">
        <f aca="false">IF($N1300="","",IF(COUNTIF($N$8:$N1300,$N1300)=1,MAX($AB$7:$AB1299)+1,""))</f>
        <v/>
      </c>
    </row>
    <row r="1301" customFormat="false" ht="15" hidden="false" customHeight="false" outlineLevel="0" collapsed="false">
      <c r="L1301" s="37" t="str">
        <f aca="false">IF(INDEX($A1301:$J1301,$L$6)&lt;&gt;"",TRIM(LEFT(INDEX($A1301:$J1301,$L$6),FIND("(",INDEX($A1301:$J1301,$L$6)&amp;"(")-1)),L1300)</f>
        <v>Building Value Proposition</v>
      </c>
      <c r="M1301" s="37" t="str">
        <f aca="false">IF(INDEX($A1301:$J1301,$M$6)="","",INDEX($A1301:$J1301,$M$6)&amp;"")</f>
        <v/>
      </c>
      <c r="N1301" s="37" t="str">
        <f aca="false">IF($M1301="","",TRIM(INDEX($A1301:$J1301,$N$6)&amp;""))</f>
        <v/>
      </c>
      <c r="O1301" s="37" t="str">
        <f aca="false">IF($M1301="","",TRIM(INDEX($A1301:$J1301,$O$6)&amp;""))</f>
        <v/>
      </c>
      <c r="P1301" s="37" t="str">
        <f aca="false">IF($M1301="","",IFERROR(IF(INDEX(Settings!$B$41:$B$50,MATCH(O1301,Settings!$A$41:$A$50,0))&amp;""="","UNMAPPED",INDEX(Settings!$B$41:$B$50,MATCH(O1301,Settings!$A$41:$A$50,0))&amp;""),"UNMAPPED"))</f>
        <v/>
      </c>
      <c r="Q1301" s="38" t="n">
        <f aca="false">IF($M1301="",0,N(INDEX($A1301:$J1301,$Q$6)))</f>
        <v>0</v>
      </c>
      <c r="R1301" s="39" t="str">
        <f aca="false">IF($M1301="","",INDEX($A1301:$J1301,$R$6))</f>
        <v/>
      </c>
      <c r="S1301" s="37" t="str">
        <f aca="false">IF($M1301="","",IFERROR(INDEX(Settings!$B$27:$B$36,MATCH(L1301,Settings!$A$27:$A$36,0))&amp;"","UNMAPPED"))</f>
        <v/>
      </c>
      <c r="T1301" s="37" t="str">
        <f aca="false">IF($M1301="","",IF(NOT(ISNUMBER(R1301)),"NO DATE",IF(S1301="Won",IF(R1301&gt;Settings!$B$5,"Backlog","Delivered"),IF(S1301="Open",IF(R1301&gt;Settings!$B$5,"Pipeline","Overdue"),IF(S1301="Lost","Lost","UNMAPPED")))))</f>
        <v/>
      </c>
      <c r="U1301" s="40" t="n">
        <f aca="false">IF(T1301="Backlog",1,IF(OR(T1301="Pipeline",T1301="Overdue"),N(INDEX(Settings!$C$27:$C$36,MATCH(L1301,Settings!$A$27:$A$36,0))),0))</f>
        <v>0</v>
      </c>
      <c r="V1301" s="38" t="n">
        <f aca="false">Q1301*U1301</f>
        <v>0</v>
      </c>
      <c r="W1301" s="41" t="str">
        <f aca="false">IF($M1301="","",IF(T1301="Overdue",IF(Settings!$B$8="Yes",Settings!$B$7,""),IF(ISNUMBER(R1301),DATE(YEAR(R1301),MONTH(R1301),1),"")))</f>
        <v/>
      </c>
      <c r="X1301" s="38" t="n">
        <f aca="false">IF(AND(OR(T1301="Backlog",T1301="Pipeline",T1301="Overdue"),ISNUMBER(W1301)),IF(W1301&lt;=Settings!$B$6,V1301,0),0)</f>
        <v>0</v>
      </c>
      <c r="Y1301" s="38" t="n">
        <f aca="false">IF(AND(OR(T1301="Backlog",T1301="Pipeline",T1301="Overdue"),ISNUMBER(W1301)),IF(W1301&lt;=Settings!$B$6,Q1301,0),0)</f>
        <v>0</v>
      </c>
      <c r="Z1301" s="38" t="n">
        <f aca="false">IF(Y1301=0,0,IF(T1301="Backlog",Q1301,Q1301*Dashboard!$C$10))</f>
        <v>0</v>
      </c>
      <c r="AA1301" s="37" t="n">
        <f aca="false">IF($N1301="",0,IF(COUNTIF(Dashboard!$C$13:$C$22,$N1301)&gt;0,1,0))</f>
        <v>0</v>
      </c>
      <c r="AB1301" s="37" t="str">
        <f aca="false">IF($N1301="","",IF(COUNTIF($N$8:$N1301,$N1301)=1,MAX($AB$7:$AB1300)+1,""))</f>
        <v/>
      </c>
    </row>
    <row r="1302" customFormat="false" ht="15" hidden="false" customHeight="false" outlineLevel="0" collapsed="false">
      <c r="L1302" s="37" t="str">
        <f aca="false">IF(INDEX($A1302:$J1302,$L$6)&lt;&gt;"",TRIM(LEFT(INDEX($A1302:$J1302,$L$6),FIND("(",INDEX($A1302:$J1302,$L$6)&amp;"(")-1)),L1301)</f>
        <v>Building Value Proposition</v>
      </c>
      <c r="M1302" s="37" t="str">
        <f aca="false">IF(INDEX($A1302:$J1302,$M$6)="","",INDEX($A1302:$J1302,$M$6)&amp;"")</f>
        <v/>
      </c>
      <c r="N1302" s="37" t="str">
        <f aca="false">IF($M1302="","",TRIM(INDEX($A1302:$J1302,$N$6)&amp;""))</f>
        <v/>
      </c>
      <c r="O1302" s="37" t="str">
        <f aca="false">IF($M1302="","",TRIM(INDEX($A1302:$J1302,$O$6)&amp;""))</f>
        <v/>
      </c>
      <c r="P1302" s="37" t="str">
        <f aca="false">IF($M1302="","",IFERROR(IF(INDEX(Settings!$B$41:$B$50,MATCH(O1302,Settings!$A$41:$A$50,0))&amp;""="","UNMAPPED",INDEX(Settings!$B$41:$B$50,MATCH(O1302,Settings!$A$41:$A$50,0))&amp;""),"UNMAPPED"))</f>
        <v/>
      </c>
      <c r="Q1302" s="38" t="n">
        <f aca="false">IF($M1302="",0,N(INDEX($A1302:$J1302,$Q$6)))</f>
        <v>0</v>
      </c>
      <c r="R1302" s="39" t="str">
        <f aca="false">IF($M1302="","",INDEX($A1302:$J1302,$R$6))</f>
        <v/>
      </c>
      <c r="S1302" s="37" t="str">
        <f aca="false">IF($M1302="","",IFERROR(INDEX(Settings!$B$27:$B$36,MATCH(L1302,Settings!$A$27:$A$36,0))&amp;"","UNMAPPED"))</f>
        <v/>
      </c>
      <c r="T1302" s="37" t="str">
        <f aca="false">IF($M1302="","",IF(NOT(ISNUMBER(R1302)),"NO DATE",IF(S1302="Won",IF(R1302&gt;Settings!$B$5,"Backlog","Delivered"),IF(S1302="Open",IF(R1302&gt;Settings!$B$5,"Pipeline","Overdue"),IF(S1302="Lost","Lost","UNMAPPED")))))</f>
        <v/>
      </c>
      <c r="U1302" s="40" t="n">
        <f aca="false">IF(T1302="Backlog",1,IF(OR(T1302="Pipeline",T1302="Overdue"),N(INDEX(Settings!$C$27:$C$36,MATCH(L1302,Settings!$A$27:$A$36,0))),0))</f>
        <v>0</v>
      </c>
      <c r="V1302" s="38" t="n">
        <f aca="false">Q1302*U1302</f>
        <v>0</v>
      </c>
      <c r="W1302" s="41" t="str">
        <f aca="false">IF($M1302="","",IF(T1302="Overdue",IF(Settings!$B$8="Yes",Settings!$B$7,""),IF(ISNUMBER(R1302),DATE(YEAR(R1302),MONTH(R1302),1),"")))</f>
        <v/>
      </c>
      <c r="X1302" s="38" t="n">
        <f aca="false">IF(AND(OR(T1302="Backlog",T1302="Pipeline",T1302="Overdue"),ISNUMBER(W1302)),IF(W1302&lt;=Settings!$B$6,V1302,0),0)</f>
        <v>0</v>
      </c>
      <c r="Y1302" s="38" t="n">
        <f aca="false">IF(AND(OR(T1302="Backlog",T1302="Pipeline",T1302="Overdue"),ISNUMBER(W1302)),IF(W1302&lt;=Settings!$B$6,Q1302,0),0)</f>
        <v>0</v>
      </c>
      <c r="Z1302" s="38" t="n">
        <f aca="false">IF(Y1302=0,0,IF(T1302="Backlog",Q1302,Q1302*Dashboard!$C$10))</f>
        <v>0</v>
      </c>
      <c r="AA1302" s="37" t="n">
        <f aca="false">IF($N1302="",0,IF(COUNTIF(Dashboard!$C$13:$C$22,$N1302)&gt;0,1,0))</f>
        <v>0</v>
      </c>
      <c r="AB1302" s="37" t="str">
        <f aca="false">IF($N1302="","",IF(COUNTIF($N$8:$N1302,$N1302)=1,MAX($AB$7:$AB1301)+1,""))</f>
        <v/>
      </c>
    </row>
    <row r="1303" customFormat="false" ht="15" hidden="false" customHeight="false" outlineLevel="0" collapsed="false">
      <c r="L1303" s="37" t="str">
        <f aca="false">IF(INDEX($A1303:$J1303,$L$6)&lt;&gt;"",TRIM(LEFT(INDEX($A1303:$J1303,$L$6),FIND("(",INDEX($A1303:$J1303,$L$6)&amp;"(")-1)),L1302)</f>
        <v>Building Value Proposition</v>
      </c>
      <c r="M1303" s="37" t="str">
        <f aca="false">IF(INDEX($A1303:$J1303,$M$6)="","",INDEX($A1303:$J1303,$M$6)&amp;"")</f>
        <v/>
      </c>
      <c r="N1303" s="37" t="str">
        <f aca="false">IF($M1303="","",TRIM(INDEX($A1303:$J1303,$N$6)&amp;""))</f>
        <v/>
      </c>
      <c r="O1303" s="37" t="str">
        <f aca="false">IF($M1303="","",TRIM(INDEX($A1303:$J1303,$O$6)&amp;""))</f>
        <v/>
      </c>
      <c r="P1303" s="37" t="str">
        <f aca="false">IF($M1303="","",IFERROR(IF(INDEX(Settings!$B$41:$B$50,MATCH(O1303,Settings!$A$41:$A$50,0))&amp;""="","UNMAPPED",INDEX(Settings!$B$41:$B$50,MATCH(O1303,Settings!$A$41:$A$50,0))&amp;""),"UNMAPPED"))</f>
        <v/>
      </c>
      <c r="Q1303" s="38" t="n">
        <f aca="false">IF($M1303="",0,N(INDEX($A1303:$J1303,$Q$6)))</f>
        <v>0</v>
      </c>
      <c r="R1303" s="39" t="str">
        <f aca="false">IF($M1303="","",INDEX($A1303:$J1303,$R$6))</f>
        <v/>
      </c>
      <c r="S1303" s="37" t="str">
        <f aca="false">IF($M1303="","",IFERROR(INDEX(Settings!$B$27:$B$36,MATCH(L1303,Settings!$A$27:$A$36,0))&amp;"","UNMAPPED"))</f>
        <v/>
      </c>
      <c r="T1303" s="37" t="str">
        <f aca="false">IF($M1303="","",IF(NOT(ISNUMBER(R1303)),"NO DATE",IF(S1303="Won",IF(R1303&gt;Settings!$B$5,"Backlog","Delivered"),IF(S1303="Open",IF(R1303&gt;Settings!$B$5,"Pipeline","Overdue"),IF(S1303="Lost","Lost","UNMAPPED")))))</f>
        <v/>
      </c>
      <c r="U1303" s="40" t="n">
        <f aca="false">IF(T1303="Backlog",1,IF(OR(T1303="Pipeline",T1303="Overdue"),N(INDEX(Settings!$C$27:$C$36,MATCH(L1303,Settings!$A$27:$A$36,0))),0))</f>
        <v>0</v>
      </c>
      <c r="V1303" s="38" t="n">
        <f aca="false">Q1303*U1303</f>
        <v>0</v>
      </c>
      <c r="W1303" s="41" t="str">
        <f aca="false">IF($M1303="","",IF(T1303="Overdue",IF(Settings!$B$8="Yes",Settings!$B$7,""),IF(ISNUMBER(R1303),DATE(YEAR(R1303),MONTH(R1303),1),"")))</f>
        <v/>
      </c>
      <c r="X1303" s="38" t="n">
        <f aca="false">IF(AND(OR(T1303="Backlog",T1303="Pipeline",T1303="Overdue"),ISNUMBER(W1303)),IF(W1303&lt;=Settings!$B$6,V1303,0),0)</f>
        <v>0</v>
      </c>
      <c r="Y1303" s="38" t="n">
        <f aca="false">IF(AND(OR(T1303="Backlog",T1303="Pipeline",T1303="Overdue"),ISNUMBER(W1303)),IF(W1303&lt;=Settings!$B$6,Q1303,0),0)</f>
        <v>0</v>
      </c>
      <c r="Z1303" s="38" t="n">
        <f aca="false">IF(Y1303=0,0,IF(T1303="Backlog",Q1303,Q1303*Dashboard!$C$10))</f>
        <v>0</v>
      </c>
      <c r="AA1303" s="37" t="n">
        <f aca="false">IF($N1303="",0,IF(COUNTIF(Dashboard!$C$13:$C$22,$N1303)&gt;0,1,0))</f>
        <v>0</v>
      </c>
      <c r="AB1303" s="37" t="str">
        <f aca="false">IF($N1303="","",IF(COUNTIF($N$8:$N1303,$N1303)=1,MAX($AB$7:$AB1302)+1,""))</f>
        <v/>
      </c>
    </row>
    <row r="1304" customFormat="false" ht="15" hidden="false" customHeight="false" outlineLevel="0" collapsed="false">
      <c r="L1304" s="37" t="str">
        <f aca="false">IF(INDEX($A1304:$J1304,$L$6)&lt;&gt;"",TRIM(LEFT(INDEX($A1304:$J1304,$L$6),FIND("(",INDEX($A1304:$J1304,$L$6)&amp;"(")-1)),L1303)</f>
        <v>Building Value Proposition</v>
      </c>
      <c r="M1304" s="37" t="str">
        <f aca="false">IF(INDEX($A1304:$J1304,$M$6)="","",INDEX($A1304:$J1304,$M$6)&amp;"")</f>
        <v/>
      </c>
      <c r="N1304" s="37" t="str">
        <f aca="false">IF($M1304="","",TRIM(INDEX($A1304:$J1304,$N$6)&amp;""))</f>
        <v/>
      </c>
      <c r="O1304" s="37" t="str">
        <f aca="false">IF($M1304="","",TRIM(INDEX($A1304:$J1304,$O$6)&amp;""))</f>
        <v/>
      </c>
      <c r="P1304" s="37" t="str">
        <f aca="false">IF($M1304="","",IFERROR(IF(INDEX(Settings!$B$41:$B$50,MATCH(O1304,Settings!$A$41:$A$50,0))&amp;""="","UNMAPPED",INDEX(Settings!$B$41:$B$50,MATCH(O1304,Settings!$A$41:$A$50,0))&amp;""),"UNMAPPED"))</f>
        <v/>
      </c>
      <c r="Q1304" s="38" t="n">
        <f aca="false">IF($M1304="",0,N(INDEX($A1304:$J1304,$Q$6)))</f>
        <v>0</v>
      </c>
      <c r="R1304" s="39" t="str">
        <f aca="false">IF($M1304="","",INDEX($A1304:$J1304,$R$6))</f>
        <v/>
      </c>
      <c r="S1304" s="37" t="str">
        <f aca="false">IF($M1304="","",IFERROR(INDEX(Settings!$B$27:$B$36,MATCH(L1304,Settings!$A$27:$A$36,0))&amp;"","UNMAPPED"))</f>
        <v/>
      </c>
      <c r="T1304" s="37" t="str">
        <f aca="false">IF($M1304="","",IF(NOT(ISNUMBER(R1304)),"NO DATE",IF(S1304="Won",IF(R1304&gt;Settings!$B$5,"Backlog","Delivered"),IF(S1304="Open",IF(R1304&gt;Settings!$B$5,"Pipeline","Overdue"),IF(S1304="Lost","Lost","UNMAPPED")))))</f>
        <v/>
      </c>
      <c r="U1304" s="40" t="n">
        <f aca="false">IF(T1304="Backlog",1,IF(OR(T1304="Pipeline",T1304="Overdue"),N(INDEX(Settings!$C$27:$C$36,MATCH(L1304,Settings!$A$27:$A$36,0))),0))</f>
        <v>0</v>
      </c>
      <c r="V1304" s="38" t="n">
        <f aca="false">Q1304*U1304</f>
        <v>0</v>
      </c>
      <c r="W1304" s="41" t="str">
        <f aca="false">IF($M1304="","",IF(T1304="Overdue",IF(Settings!$B$8="Yes",Settings!$B$7,""),IF(ISNUMBER(R1304),DATE(YEAR(R1304),MONTH(R1304),1),"")))</f>
        <v/>
      </c>
      <c r="X1304" s="38" t="n">
        <f aca="false">IF(AND(OR(T1304="Backlog",T1304="Pipeline",T1304="Overdue"),ISNUMBER(W1304)),IF(W1304&lt;=Settings!$B$6,V1304,0),0)</f>
        <v>0</v>
      </c>
      <c r="Y1304" s="38" t="n">
        <f aca="false">IF(AND(OR(T1304="Backlog",T1304="Pipeline",T1304="Overdue"),ISNUMBER(W1304)),IF(W1304&lt;=Settings!$B$6,Q1304,0),0)</f>
        <v>0</v>
      </c>
      <c r="Z1304" s="38" t="n">
        <f aca="false">IF(Y1304=0,0,IF(T1304="Backlog",Q1304,Q1304*Dashboard!$C$10))</f>
        <v>0</v>
      </c>
      <c r="AA1304" s="37" t="n">
        <f aca="false">IF($N1304="",0,IF(COUNTIF(Dashboard!$C$13:$C$22,$N1304)&gt;0,1,0))</f>
        <v>0</v>
      </c>
      <c r="AB1304" s="37" t="str">
        <f aca="false">IF($N1304="","",IF(COUNTIF($N$8:$N1304,$N1304)=1,MAX($AB$7:$AB1303)+1,""))</f>
        <v/>
      </c>
    </row>
    <row r="1305" customFormat="false" ht="15" hidden="false" customHeight="false" outlineLevel="0" collapsed="false">
      <c r="L1305" s="37" t="str">
        <f aca="false">IF(INDEX($A1305:$J1305,$L$6)&lt;&gt;"",TRIM(LEFT(INDEX($A1305:$J1305,$L$6),FIND("(",INDEX($A1305:$J1305,$L$6)&amp;"(")-1)),L1304)</f>
        <v>Building Value Proposition</v>
      </c>
      <c r="M1305" s="37" t="str">
        <f aca="false">IF(INDEX($A1305:$J1305,$M$6)="","",INDEX($A1305:$J1305,$M$6)&amp;"")</f>
        <v/>
      </c>
      <c r="N1305" s="37" t="str">
        <f aca="false">IF($M1305="","",TRIM(INDEX($A1305:$J1305,$N$6)&amp;""))</f>
        <v/>
      </c>
      <c r="O1305" s="37" t="str">
        <f aca="false">IF($M1305="","",TRIM(INDEX($A1305:$J1305,$O$6)&amp;""))</f>
        <v/>
      </c>
      <c r="P1305" s="37" t="str">
        <f aca="false">IF($M1305="","",IFERROR(IF(INDEX(Settings!$B$41:$B$50,MATCH(O1305,Settings!$A$41:$A$50,0))&amp;""="","UNMAPPED",INDEX(Settings!$B$41:$B$50,MATCH(O1305,Settings!$A$41:$A$50,0))&amp;""),"UNMAPPED"))</f>
        <v/>
      </c>
      <c r="Q1305" s="38" t="n">
        <f aca="false">IF($M1305="",0,N(INDEX($A1305:$J1305,$Q$6)))</f>
        <v>0</v>
      </c>
      <c r="R1305" s="39" t="str">
        <f aca="false">IF($M1305="","",INDEX($A1305:$J1305,$R$6))</f>
        <v/>
      </c>
      <c r="S1305" s="37" t="str">
        <f aca="false">IF($M1305="","",IFERROR(INDEX(Settings!$B$27:$B$36,MATCH(L1305,Settings!$A$27:$A$36,0))&amp;"","UNMAPPED"))</f>
        <v/>
      </c>
      <c r="T1305" s="37" t="str">
        <f aca="false">IF($M1305="","",IF(NOT(ISNUMBER(R1305)),"NO DATE",IF(S1305="Won",IF(R1305&gt;Settings!$B$5,"Backlog","Delivered"),IF(S1305="Open",IF(R1305&gt;Settings!$B$5,"Pipeline","Overdue"),IF(S1305="Lost","Lost","UNMAPPED")))))</f>
        <v/>
      </c>
      <c r="U1305" s="40" t="n">
        <f aca="false">IF(T1305="Backlog",1,IF(OR(T1305="Pipeline",T1305="Overdue"),N(INDEX(Settings!$C$27:$C$36,MATCH(L1305,Settings!$A$27:$A$36,0))),0))</f>
        <v>0</v>
      </c>
      <c r="V1305" s="38" t="n">
        <f aca="false">Q1305*U1305</f>
        <v>0</v>
      </c>
      <c r="W1305" s="41" t="str">
        <f aca="false">IF($M1305="","",IF(T1305="Overdue",IF(Settings!$B$8="Yes",Settings!$B$7,""),IF(ISNUMBER(R1305),DATE(YEAR(R1305),MONTH(R1305),1),"")))</f>
        <v/>
      </c>
      <c r="X1305" s="38" t="n">
        <f aca="false">IF(AND(OR(T1305="Backlog",T1305="Pipeline",T1305="Overdue"),ISNUMBER(W1305)),IF(W1305&lt;=Settings!$B$6,V1305,0),0)</f>
        <v>0</v>
      </c>
      <c r="Y1305" s="38" t="n">
        <f aca="false">IF(AND(OR(T1305="Backlog",T1305="Pipeline",T1305="Overdue"),ISNUMBER(W1305)),IF(W1305&lt;=Settings!$B$6,Q1305,0),0)</f>
        <v>0</v>
      </c>
      <c r="Z1305" s="38" t="n">
        <f aca="false">IF(Y1305=0,0,IF(T1305="Backlog",Q1305,Q1305*Dashboard!$C$10))</f>
        <v>0</v>
      </c>
      <c r="AA1305" s="37" t="n">
        <f aca="false">IF($N1305="",0,IF(COUNTIF(Dashboard!$C$13:$C$22,$N1305)&gt;0,1,0))</f>
        <v>0</v>
      </c>
      <c r="AB1305" s="37" t="str">
        <f aca="false">IF($N1305="","",IF(COUNTIF($N$8:$N1305,$N1305)=1,MAX($AB$7:$AB1304)+1,""))</f>
        <v/>
      </c>
    </row>
    <row r="1306" customFormat="false" ht="15" hidden="false" customHeight="false" outlineLevel="0" collapsed="false">
      <c r="L1306" s="37" t="str">
        <f aca="false">IF(INDEX($A1306:$J1306,$L$6)&lt;&gt;"",TRIM(LEFT(INDEX($A1306:$J1306,$L$6),FIND("(",INDEX($A1306:$J1306,$L$6)&amp;"(")-1)),L1305)</f>
        <v>Building Value Proposition</v>
      </c>
      <c r="M1306" s="37" t="str">
        <f aca="false">IF(INDEX($A1306:$J1306,$M$6)="","",INDEX($A1306:$J1306,$M$6)&amp;"")</f>
        <v/>
      </c>
      <c r="N1306" s="37" t="str">
        <f aca="false">IF($M1306="","",TRIM(INDEX($A1306:$J1306,$N$6)&amp;""))</f>
        <v/>
      </c>
      <c r="O1306" s="37" t="str">
        <f aca="false">IF($M1306="","",TRIM(INDEX($A1306:$J1306,$O$6)&amp;""))</f>
        <v/>
      </c>
      <c r="P1306" s="37" t="str">
        <f aca="false">IF($M1306="","",IFERROR(IF(INDEX(Settings!$B$41:$B$50,MATCH(O1306,Settings!$A$41:$A$50,0))&amp;""="","UNMAPPED",INDEX(Settings!$B$41:$B$50,MATCH(O1306,Settings!$A$41:$A$50,0))&amp;""),"UNMAPPED"))</f>
        <v/>
      </c>
      <c r="Q1306" s="38" t="n">
        <f aca="false">IF($M1306="",0,N(INDEX($A1306:$J1306,$Q$6)))</f>
        <v>0</v>
      </c>
      <c r="R1306" s="39" t="str">
        <f aca="false">IF($M1306="","",INDEX($A1306:$J1306,$R$6))</f>
        <v/>
      </c>
      <c r="S1306" s="37" t="str">
        <f aca="false">IF($M1306="","",IFERROR(INDEX(Settings!$B$27:$B$36,MATCH(L1306,Settings!$A$27:$A$36,0))&amp;"","UNMAPPED"))</f>
        <v/>
      </c>
      <c r="T1306" s="37" t="str">
        <f aca="false">IF($M1306="","",IF(NOT(ISNUMBER(R1306)),"NO DATE",IF(S1306="Won",IF(R1306&gt;Settings!$B$5,"Backlog","Delivered"),IF(S1306="Open",IF(R1306&gt;Settings!$B$5,"Pipeline","Overdue"),IF(S1306="Lost","Lost","UNMAPPED")))))</f>
        <v/>
      </c>
      <c r="U1306" s="40" t="n">
        <f aca="false">IF(T1306="Backlog",1,IF(OR(T1306="Pipeline",T1306="Overdue"),N(INDEX(Settings!$C$27:$C$36,MATCH(L1306,Settings!$A$27:$A$36,0))),0))</f>
        <v>0</v>
      </c>
      <c r="V1306" s="38" t="n">
        <f aca="false">Q1306*U1306</f>
        <v>0</v>
      </c>
      <c r="W1306" s="41" t="str">
        <f aca="false">IF($M1306="","",IF(T1306="Overdue",IF(Settings!$B$8="Yes",Settings!$B$7,""),IF(ISNUMBER(R1306),DATE(YEAR(R1306),MONTH(R1306),1),"")))</f>
        <v/>
      </c>
      <c r="X1306" s="38" t="n">
        <f aca="false">IF(AND(OR(T1306="Backlog",T1306="Pipeline",T1306="Overdue"),ISNUMBER(W1306)),IF(W1306&lt;=Settings!$B$6,V1306,0),0)</f>
        <v>0</v>
      </c>
      <c r="Y1306" s="38" t="n">
        <f aca="false">IF(AND(OR(T1306="Backlog",T1306="Pipeline",T1306="Overdue"),ISNUMBER(W1306)),IF(W1306&lt;=Settings!$B$6,Q1306,0),0)</f>
        <v>0</v>
      </c>
      <c r="Z1306" s="38" t="n">
        <f aca="false">IF(Y1306=0,0,IF(T1306="Backlog",Q1306,Q1306*Dashboard!$C$10))</f>
        <v>0</v>
      </c>
      <c r="AA1306" s="37" t="n">
        <f aca="false">IF($N1306="",0,IF(COUNTIF(Dashboard!$C$13:$C$22,$N1306)&gt;0,1,0))</f>
        <v>0</v>
      </c>
      <c r="AB1306" s="37" t="str">
        <f aca="false">IF($N1306="","",IF(COUNTIF($N$8:$N1306,$N1306)=1,MAX($AB$7:$AB1305)+1,""))</f>
        <v/>
      </c>
    </row>
    <row r="1307" customFormat="false" ht="15" hidden="false" customHeight="false" outlineLevel="0" collapsed="false">
      <c r="L1307" s="37" t="str">
        <f aca="false">IF(INDEX($A1307:$J1307,$L$6)&lt;&gt;"",TRIM(LEFT(INDEX($A1307:$J1307,$L$6),FIND("(",INDEX($A1307:$J1307,$L$6)&amp;"(")-1)),L1306)</f>
        <v>Building Value Proposition</v>
      </c>
      <c r="M1307" s="37" t="str">
        <f aca="false">IF(INDEX($A1307:$J1307,$M$6)="","",INDEX($A1307:$J1307,$M$6)&amp;"")</f>
        <v/>
      </c>
      <c r="N1307" s="37" t="str">
        <f aca="false">IF($M1307="","",TRIM(INDEX($A1307:$J1307,$N$6)&amp;""))</f>
        <v/>
      </c>
      <c r="O1307" s="37" t="str">
        <f aca="false">IF($M1307="","",TRIM(INDEX($A1307:$J1307,$O$6)&amp;""))</f>
        <v/>
      </c>
      <c r="P1307" s="37" t="str">
        <f aca="false">IF($M1307="","",IFERROR(IF(INDEX(Settings!$B$41:$B$50,MATCH(O1307,Settings!$A$41:$A$50,0))&amp;""="","UNMAPPED",INDEX(Settings!$B$41:$B$50,MATCH(O1307,Settings!$A$41:$A$50,0))&amp;""),"UNMAPPED"))</f>
        <v/>
      </c>
      <c r="Q1307" s="38" t="n">
        <f aca="false">IF($M1307="",0,N(INDEX($A1307:$J1307,$Q$6)))</f>
        <v>0</v>
      </c>
      <c r="R1307" s="39" t="str">
        <f aca="false">IF($M1307="","",INDEX($A1307:$J1307,$R$6))</f>
        <v/>
      </c>
      <c r="S1307" s="37" t="str">
        <f aca="false">IF($M1307="","",IFERROR(INDEX(Settings!$B$27:$B$36,MATCH(L1307,Settings!$A$27:$A$36,0))&amp;"","UNMAPPED"))</f>
        <v/>
      </c>
      <c r="T1307" s="37" t="str">
        <f aca="false">IF($M1307="","",IF(NOT(ISNUMBER(R1307)),"NO DATE",IF(S1307="Won",IF(R1307&gt;Settings!$B$5,"Backlog","Delivered"),IF(S1307="Open",IF(R1307&gt;Settings!$B$5,"Pipeline","Overdue"),IF(S1307="Lost","Lost","UNMAPPED")))))</f>
        <v/>
      </c>
      <c r="U1307" s="40" t="n">
        <f aca="false">IF(T1307="Backlog",1,IF(OR(T1307="Pipeline",T1307="Overdue"),N(INDEX(Settings!$C$27:$C$36,MATCH(L1307,Settings!$A$27:$A$36,0))),0))</f>
        <v>0</v>
      </c>
      <c r="V1307" s="38" t="n">
        <f aca="false">Q1307*U1307</f>
        <v>0</v>
      </c>
      <c r="W1307" s="41" t="str">
        <f aca="false">IF($M1307="","",IF(T1307="Overdue",IF(Settings!$B$8="Yes",Settings!$B$7,""),IF(ISNUMBER(R1307),DATE(YEAR(R1307),MONTH(R1307),1),"")))</f>
        <v/>
      </c>
      <c r="X1307" s="38" t="n">
        <f aca="false">IF(AND(OR(T1307="Backlog",T1307="Pipeline",T1307="Overdue"),ISNUMBER(W1307)),IF(W1307&lt;=Settings!$B$6,V1307,0),0)</f>
        <v>0</v>
      </c>
      <c r="Y1307" s="38" t="n">
        <f aca="false">IF(AND(OR(T1307="Backlog",T1307="Pipeline",T1307="Overdue"),ISNUMBER(W1307)),IF(W1307&lt;=Settings!$B$6,Q1307,0),0)</f>
        <v>0</v>
      </c>
      <c r="Z1307" s="38" t="n">
        <f aca="false">IF(Y1307=0,0,IF(T1307="Backlog",Q1307,Q1307*Dashboard!$C$10))</f>
        <v>0</v>
      </c>
      <c r="AA1307" s="37" t="n">
        <f aca="false">IF($N1307="",0,IF(COUNTIF(Dashboard!$C$13:$C$22,$N1307)&gt;0,1,0))</f>
        <v>0</v>
      </c>
      <c r="AB1307" s="37" t="str">
        <f aca="false">IF($N1307="","",IF(COUNTIF($N$8:$N1307,$N1307)=1,MAX($AB$7:$AB1306)+1,""))</f>
        <v/>
      </c>
    </row>
    <row r="1308" customFormat="false" ht="15" hidden="false" customHeight="false" outlineLevel="0" collapsed="false">
      <c r="L1308" s="37" t="str">
        <f aca="false">IF(INDEX($A1308:$J1308,$L$6)&lt;&gt;"",TRIM(LEFT(INDEX($A1308:$J1308,$L$6),FIND("(",INDEX($A1308:$J1308,$L$6)&amp;"(")-1)),L1307)</f>
        <v>Building Value Proposition</v>
      </c>
      <c r="M1308" s="37" t="str">
        <f aca="false">IF(INDEX($A1308:$J1308,$M$6)="","",INDEX($A1308:$J1308,$M$6)&amp;"")</f>
        <v/>
      </c>
      <c r="N1308" s="37" t="str">
        <f aca="false">IF($M1308="","",TRIM(INDEX($A1308:$J1308,$N$6)&amp;""))</f>
        <v/>
      </c>
      <c r="O1308" s="37" t="str">
        <f aca="false">IF($M1308="","",TRIM(INDEX($A1308:$J1308,$O$6)&amp;""))</f>
        <v/>
      </c>
      <c r="P1308" s="37" t="str">
        <f aca="false">IF($M1308="","",IFERROR(IF(INDEX(Settings!$B$41:$B$50,MATCH(O1308,Settings!$A$41:$A$50,0))&amp;""="","UNMAPPED",INDEX(Settings!$B$41:$B$50,MATCH(O1308,Settings!$A$41:$A$50,0))&amp;""),"UNMAPPED"))</f>
        <v/>
      </c>
      <c r="Q1308" s="38" t="n">
        <f aca="false">IF($M1308="",0,N(INDEX($A1308:$J1308,$Q$6)))</f>
        <v>0</v>
      </c>
      <c r="R1308" s="39" t="str">
        <f aca="false">IF($M1308="","",INDEX($A1308:$J1308,$R$6))</f>
        <v/>
      </c>
      <c r="S1308" s="37" t="str">
        <f aca="false">IF($M1308="","",IFERROR(INDEX(Settings!$B$27:$B$36,MATCH(L1308,Settings!$A$27:$A$36,0))&amp;"","UNMAPPED"))</f>
        <v/>
      </c>
      <c r="T1308" s="37" t="str">
        <f aca="false">IF($M1308="","",IF(NOT(ISNUMBER(R1308)),"NO DATE",IF(S1308="Won",IF(R1308&gt;Settings!$B$5,"Backlog","Delivered"),IF(S1308="Open",IF(R1308&gt;Settings!$B$5,"Pipeline","Overdue"),IF(S1308="Lost","Lost","UNMAPPED")))))</f>
        <v/>
      </c>
      <c r="U1308" s="40" t="n">
        <f aca="false">IF(T1308="Backlog",1,IF(OR(T1308="Pipeline",T1308="Overdue"),N(INDEX(Settings!$C$27:$C$36,MATCH(L1308,Settings!$A$27:$A$36,0))),0))</f>
        <v>0</v>
      </c>
      <c r="V1308" s="38" t="n">
        <f aca="false">Q1308*U1308</f>
        <v>0</v>
      </c>
      <c r="W1308" s="41" t="str">
        <f aca="false">IF($M1308="","",IF(T1308="Overdue",IF(Settings!$B$8="Yes",Settings!$B$7,""),IF(ISNUMBER(R1308),DATE(YEAR(R1308),MONTH(R1308),1),"")))</f>
        <v/>
      </c>
      <c r="X1308" s="38" t="n">
        <f aca="false">IF(AND(OR(T1308="Backlog",T1308="Pipeline",T1308="Overdue"),ISNUMBER(W1308)),IF(W1308&lt;=Settings!$B$6,V1308,0),0)</f>
        <v>0</v>
      </c>
      <c r="Y1308" s="38" t="n">
        <f aca="false">IF(AND(OR(T1308="Backlog",T1308="Pipeline",T1308="Overdue"),ISNUMBER(W1308)),IF(W1308&lt;=Settings!$B$6,Q1308,0),0)</f>
        <v>0</v>
      </c>
      <c r="Z1308" s="38" t="n">
        <f aca="false">IF(Y1308=0,0,IF(T1308="Backlog",Q1308,Q1308*Dashboard!$C$10))</f>
        <v>0</v>
      </c>
      <c r="AA1308" s="37" t="n">
        <f aca="false">IF($N1308="",0,IF(COUNTIF(Dashboard!$C$13:$C$22,$N1308)&gt;0,1,0))</f>
        <v>0</v>
      </c>
      <c r="AB1308" s="37" t="str">
        <f aca="false">IF($N1308="","",IF(COUNTIF($N$8:$N1308,$N1308)=1,MAX($AB$7:$AB1307)+1,""))</f>
        <v/>
      </c>
    </row>
    <row r="1309" customFormat="false" ht="15" hidden="false" customHeight="false" outlineLevel="0" collapsed="false">
      <c r="L1309" s="37" t="str">
        <f aca="false">IF(INDEX($A1309:$J1309,$L$6)&lt;&gt;"",TRIM(LEFT(INDEX($A1309:$J1309,$L$6),FIND("(",INDEX($A1309:$J1309,$L$6)&amp;"(")-1)),L1308)</f>
        <v>Building Value Proposition</v>
      </c>
      <c r="M1309" s="37" t="str">
        <f aca="false">IF(INDEX($A1309:$J1309,$M$6)="","",INDEX($A1309:$J1309,$M$6)&amp;"")</f>
        <v/>
      </c>
      <c r="N1309" s="37" t="str">
        <f aca="false">IF($M1309="","",TRIM(INDEX($A1309:$J1309,$N$6)&amp;""))</f>
        <v/>
      </c>
      <c r="O1309" s="37" t="str">
        <f aca="false">IF($M1309="","",TRIM(INDEX($A1309:$J1309,$O$6)&amp;""))</f>
        <v/>
      </c>
      <c r="P1309" s="37" t="str">
        <f aca="false">IF($M1309="","",IFERROR(IF(INDEX(Settings!$B$41:$B$50,MATCH(O1309,Settings!$A$41:$A$50,0))&amp;""="","UNMAPPED",INDEX(Settings!$B$41:$B$50,MATCH(O1309,Settings!$A$41:$A$50,0))&amp;""),"UNMAPPED"))</f>
        <v/>
      </c>
      <c r="Q1309" s="38" t="n">
        <f aca="false">IF($M1309="",0,N(INDEX($A1309:$J1309,$Q$6)))</f>
        <v>0</v>
      </c>
      <c r="R1309" s="39" t="str">
        <f aca="false">IF($M1309="","",INDEX($A1309:$J1309,$R$6))</f>
        <v/>
      </c>
      <c r="S1309" s="37" t="str">
        <f aca="false">IF($M1309="","",IFERROR(INDEX(Settings!$B$27:$B$36,MATCH(L1309,Settings!$A$27:$A$36,0))&amp;"","UNMAPPED"))</f>
        <v/>
      </c>
      <c r="T1309" s="37" t="str">
        <f aca="false">IF($M1309="","",IF(NOT(ISNUMBER(R1309)),"NO DATE",IF(S1309="Won",IF(R1309&gt;Settings!$B$5,"Backlog","Delivered"),IF(S1309="Open",IF(R1309&gt;Settings!$B$5,"Pipeline","Overdue"),IF(S1309="Lost","Lost","UNMAPPED")))))</f>
        <v/>
      </c>
      <c r="U1309" s="40" t="n">
        <f aca="false">IF(T1309="Backlog",1,IF(OR(T1309="Pipeline",T1309="Overdue"),N(INDEX(Settings!$C$27:$C$36,MATCH(L1309,Settings!$A$27:$A$36,0))),0))</f>
        <v>0</v>
      </c>
      <c r="V1309" s="38" t="n">
        <f aca="false">Q1309*U1309</f>
        <v>0</v>
      </c>
      <c r="W1309" s="41" t="str">
        <f aca="false">IF($M1309="","",IF(T1309="Overdue",IF(Settings!$B$8="Yes",Settings!$B$7,""),IF(ISNUMBER(R1309),DATE(YEAR(R1309),MONTH(R1309),1),"")))</f>
        <v/>
      </c>
      <c r="X1309" s="38" t="n">
        <f aca="false">IF(AND(OR(T1309="Backlog",T1309="Pipeline",T1309="Overdue"),ISNUMBER(W1309)),IF(W1309&lt;=Settings!$B$6,V1309,0),0)</f>
        <v>0</v>
      </c>
      <c r="Y1309" s="38" t="n">
        <f aca="false">IF(AND(OR(T1309="Backlog",T1309="Pipeline",T1309="Overdue"),ISNUMBER(W1309)),IF(W1309&lt;=Settings!$B$6,Q1309,0),0)</f>
        <v>0</v>
      </c>
      <c r="Z1309" s="38" t="n">
        <f aca="false">IF(Y1309=0,0,IF(T1309="Backlog",Q1309,Q1309*Dashboard!$C$10))</f>
        <v>0</v>
      </c>
      <c r="AA1309" s="37" t="n">
        <f aca="false">IF($N1309="",0,IF(COUNTIF(Dashboard!$C$13:$C$22,$N1309)&gt;0,1,0))</f>
        <v>0</v>
      </c>
      <c r="AB1309" s="37" t="str">
        <f aca="false">IF($N1309="","",IF(COUNTIF($N$8:$N1309,$N1309)=1,MAX($AB$7:$AB1308)+1,""))</f>
        <v/>
      </c>
    </row>
    <row r="1310" customFormat="false" ht="15" hidden="false" customHeight="false" outlineLevel="0" collapsed="false">
      <c r="L1310" s="37" t="str">
        <f aca="false">IF(INDEX($A1310:$J1310,$L$6)&lt;&gt;"",TRIM(LEFT(INDEX($A1310:$J1310,$L$6),FIND("(",INDEX($A1310:$J1310,$L$6)&amp;"(")-1)),L1309)</f>
        <v>Building Value Proposition</v>
      </c>
      <c r="M1310" s="37" t="str">
        <f aca="false">IF(INDEX($A1310:$J1310,$M$6)="","",INDEX($A1310:$J1310,$M$6)&amp;"")</f>
        <v/>
      </c>
      <c r="N1310" s="37" t="str">
        <f aca="false">IF($M1310="","",TRIM(INDEX($A1310:$J1310,$N$6)&amp;""))</f>
        <v/>
      </c>
      <c r="O1310" s="37" t="str">
        <f aca="false">IF($M1310="","",TRIM(INDEX($A1310:$J1310,$O$6)&amp;""))</f>
        <v/>
      </c>
      <c r="P1310" s="37" t="str">
        <f aca="false">IF($M1310="","",IFERROR(IF(INDEX(Settings!$B$41:$B$50,MATCH(O1310,Settings!$A$41:$A$50,0))&amp;""="","UNMAPPED",INDEX(Settings!$B$41:$B$50,MATCH(O1310,Settings!$A$41:$A$50,0))&amp;""),"UNMAPPED"))</f>
        <v/>
      </c>
      <c r="Q1310" s="38" t="n">
        <f aca="false">IF($M1310="",0,N(INDEX($A1310:$J1310,$Q$6)))</f>
        <v>0</v>
      </c>
      <c r="R1310" s="39" t="str">
        <f aca="false">IF($M1310="","",INDEX($A1310:$J1310,$R$6))</f>
        <v/>
      </c>
      <c r="S1310" s="37" t="str">
        <f aca="false">IF($M1310="","",IFERROR(INDEX(Settings!$B$27:$B$36,MATCH(L1310,Settings!$A$27:$A$36,0))&amp;"","UNMAPPED"))</f>
        <v/>
      </c>
      <c r="T1310" s="37" t="str">
        <f aca="false">IF($M1310="","",IF(NOT(ISNUMBER(R1310)),"NO DATE",IF(S1310="Won",IF(R1310&gt;Settings!$B$5,"Backlog","Delivered"),IF(S1310="Open",IF(R1310&gt;Settings!$B$5,"Pipeline","Overdue"),IF(S1310="Lost","Lost","UNMAPPED")))))</f>
        <v/>
      </c>
      <c r="U1310" s="40" t="n">
        <f aca="false">IF(T1310="Backlog",1,IF(OR(T1310="Pipeline",T1310="Overdue"),N(INDEX(Settings!$C$27:$C$36,MATCH(L1310,Settings!$A$27:$A$36,0))),0))</f>
        <v>0</v>
      </c>
      <c r="V1310" s="38" t="n">
        <f aca="false">Q1310*U1310</f>
        <v>0</v>
      </c>
      <c r="W1310" s="41" t="str">
        <f aca="false">IF($M1310="","",IF(T1310="Overdue",IF(Settings!$B$8="Yes",Settings!$B$7,""),IF(ISNUMBER(R1310),DATE(YEAR(R1310),MONTH(R1310),1),"")))</f>
        <v/>
      </c>
      <c r="X1310" s="38" t="n">
        <f aca="false">IF(AND(OR(T1310="Backlog",T1310="Pipeline",T1310="Overdue"),ISNUMBER(W1310)),IF(W1310&lt;=Settings!$B$6,V1310,0),0)</f>
        <v>0</v>
      </c>
      <c r="Y1310" s="38" t="n">
        <f aca="false">IF(AND(OR(T1310="Backlog",T1310="Pipeline",T1310="Overdue"),ISNUMBER(W1310)),IF(W1310&lt;=Settings!$B$6,Q1310,0),0)</f>
        <v>0</v>
      </c>
      <c r="Z1310" s="38" t="n">
        <f aca="false">IF(Y1310=0,0,IF(T1310="Backlog",Q1310,Q1310*Dashboard!$C$10))</f>
        <v>0</v>
      </c>
      <c r="AA1310" s="37" t="n">
        <f aca="false">IF($N1310="",0,IF(COUNTIF(Dashboard!$C$13:$C$22,$N1310)&gt;0,1,0))</f>
        <v>0</v>
      </c>
      <c r="AB1310" s="37" t="str">
        <f aca="false">IF($N1310="","",IF(COUNTIF($N$8:$N1310,$N1310)=1,MAX($AB$7:$AB1309)+1,""))</f>
        <v/>
      </c>
    </row>
    <row r="1311" customFormat="false" ht="15" hidden="false" customHeight="false" outlineLevel="0" collapsed="false">
      <c r="L1311" s="37" t="str">
        <f aca="false">IF(INDEX($A1311:$J1311,$L$6)&lt;&gt;"",TRIM(LEFT(INDEX($A1311:$J1311,$L$6),FIND("(",INDEX($A1311:$J1311,$L$6)&amp;"(")-1)),L1310)</f>
        <v>Building Value Proposition</v>
      </c>
      <c r="M1311" s="37" t="str">
        <f aca="false">IF(INDEX($A1311:$J1311,$M$6)="","",INDEX($A1311:$J1311,$M$6)&amp;"")</f>
        <v/>
      </c>
      <c r="N1311" s="37" t="str">
        <f aca="false">IF($M1311="","",TRIM(INDEX($A1311:$J1311,$N$6)&amp;""))</f>
        <v/>
      </c>
      <c r="O1311" s="37" t="str">
        <f aca="false">IF($M1311="","",TRIM(INDEX($A1311:$J1311,$O$6)&amp;""))</f>
        <v/>
      </c>
      <c r="P1311" s="37" t="str">
        <f aca="false">IF($M1311="","",IFERROR(IF(INDEX(Settings!$B$41:$B$50,MATCH(O1311,Settings!$A$41:$A$50,0))&amp;""="","UNMAPPED",INDEX(Settings!$B$41:$B$50,MATCH(O1311,Settings!$A$41:$A$50,0))&amp;""),"UNMAPPED"))</f>
        <v/>
      </c>
      <c r="Q1311" s="38" t="n">
        <f aca="false">IF($M1311="",0,N(INDEX($A1311:$J1311,$Q$6)))</f>
        <v>0</v>
      </c>
      <c r="R1311" s="39" t="str">
        <f aca="false">IF($M1311="","",INDEX($A1311:$J1311,$R$6))</f>
        <v/>
      </c>
      <c r="S1311" s="37" t="str">
        <f aca="false">IF($M1311="","",IFERROR(INDEX(Settings!$B$27:$B$36,MATCH(L1311,Settings!$A$27:$A$36,0))&amp;"","UNMAPPED"))</f>
        <v/>
      </c>
      <c r="T1311" s="37" t="str">
        <f aca="false">IF($M1311="","",IF(NOT(ISNUMBER(R1311)),"NO DATE",IF(S1311="Won",IF(R1311&gt;Settings!$B$5,"Backlog","Delivered"),IF(S1311="Open",IF(R1311&gt;Settings!$B$5,"Pipeline","Overdue"),IF(S1311="Lost","Lost","UNMAPPED")))))</f>
        <v/>
      </c>
      <c r="U1311" s="40" t="n">
        <f aca="false">IF(T1311="Backlog",1,IF(OR(T1311="Pipeline",T1311="Overdue"),N(INDEX(Settings!$C$27:$C$36,MATCH(L1311,Settings!$A$27:$A$36,0))),0))</f>
        <v>0</v>
      </c>
      <c r="V1311" s="38" t="n">
        <f aca="false">Q1311*U1311</f>
        <v>0</v>
      </c>
      <c r="W1311" s="41" t="str">
        <f aca="false">IF($M1311="","",IF(T1311="Overdue",IF(Settings!$B$8="Yes",Settings!$B$7,""),IF(ISNUMBER(R1311),DATE(YEAR(R1311),MONTH(R1311),1),"")))</f>
        <v/>
      </c>
      <c r="X1311" s="38" t="n">
        <f aca="false">IF(AND(OR(T1311="Backlog",T1311="Pipeline",T1311="Overdue"),ISNUMBER(W1311)),IF(W1311&lt;=Settings!$B$6,V1311,0),0)</f>
        <v>0</v>
      </c>
      <c r="Y1311" s="38" t="n">
        <f aca="false">IF(AND(OR(T1311="Backlog",T1311="Pipeline",T1311="Overdue"),ISNUMBER(W1311)),IF(W1311&lt;=Settings!$B$6,Q1311,0),0)</f>
        <v>0</v>
      </c>
      <c r="Z1311" s="38" t="n">
        <f aca="false">IF(Y1311=0,0,IF(T1311="Backlog",Q1311,Q1311*Dashboard!$C$10))</f>
        <v>0</v>
      </c>
      <c r="AA1311" s="37" t="n">
        <f aca="false">IF($N1311="",0,IF(COUNTIF(Dashboard!$C$13:$C$22,$N1311)&gt;0,1,0))</f>
        <v>0</v>
      </c>
      <c r="AB1311" s="37" t="str">
        <f aca="false">IF($N1311="","",IF(COUNTIF($N$8:$N1311,$N1311)=1,MAX($AB$7:$AB1310)+1,""))</f>
        <v/>
      </c>
    </row>
    <row r="1312" customFormat="false" ht="15" hidden="false" customHeight="false" outlineLevel="0" collapsed="false">
      <c r="L1312" s="37" t="str">
        <f aca="false">IF(INDEX($A1312:$J1312,$L$6)&lt;&gt;"",TRIM(LEFT(INDEX($A1312:$J1312,$L$6),FIND("(",INDEX($A1312:$J1312,$L$6)&amp;"(")-1)),L1311)</f>
        <v>Building Value Proposition</v>
      </c>
      <c r="M1312" s="37" t="str">
        <f aca="false">IF(INDEX($A1312:$J1312,$M$6)="","",INDEX($A1312:$J1312,$M$6)&amp;"")</f>
        <v/>
      </c>
      <c r="N1312" s="37" t="str">
        <f aca="false">IF($M1312="","",TRIM(INDEX($A1312:$J1312,$N$6)&amp;""))</f>
        <v/>
      </c>
      <c r="O1312" s="37" t="str">
        <f aca="false">IF($M1312="","",TRIM(INDEX($A1312:$J1312,$O$6)&amp;""))</f>
        <v/>
      </c>
      <c r="P1312" s="37" t="str">
        <f aca="false">IF($M1312="","",IFERROR(IF(INDEX(Settings!$B$41:$B$50,MATCH(O1312,Settings!$A$41:$A$50,0))&amp;""="","UNMAPPED",INDEX(Settings!$B$41:$B$50,MATCH(O1312,Settings!$A$41:$A$50,0))&amp;""),"UNMAPPED"))</f>
        <v/>
      </c>
      <c r="Q1312" s="38" t="n">
        <f aca="false">IF($M1312="",0,N(INDEX($A1312:$J1312,$Q$6)))</f>
        <v>0</v>
      </c>
      <c r="R1312" s="39" t="str">
        <f aca="false">IF($M1312="","",INDEX($A1312:$J1312,$R$6))</f>
        <v/>
      </c>
      <c r="S1312" s="37" t="str">
        <f aca="false">IF($M1312="","",IFERROR(INDEX(Settings!$B$27:$B$36,MATCH(L1312,Settings!$A$27:$A$36,0))&amp;"","UNMAPPED"))</f>
        <v/>
      </c>
      <c r="T1312" s="37" t="str">
        <f aca="false">IF($M1312="","",IF(NOT(ISNUMBER(R1312)),"NO DATE",IF(S1312="Won",IF(R1312&gt;Settings!$B$5,"Backlog","Delivered"),IF(S1312="Open",IF(R1312&gt;Settings!$B$5,"Pipeline","Overdue"),IF(S1312="Lost","Lost","UNMAPPED")))))</f>
        <v/>
      </c>
      <c r="U1312" s="40" t="n">
        <f aca="false">IF(T1312="Backlog",1,IF(OR(T1312="Pipeline",T1312="Overdue"),N(INDEX(Settings!$C$27:$C$36,MATCH(L1312,Settings!$A$27:$A$36,0))),0))</f>
        <v>0</v>
      </c>
      <c r="V1312" s="38" t="n">
        <f aca="false">Q1312*U1312</f>
        <v>0</v>
      </c>
      <c r="W1312" s="41" t="str">
        <f aca="false">IF($M1312="","",IF(T1312="Overdue",IF(Settings!$B$8="Yes",Settings!$B$7,""),IF(ISNUMBER(R1312),DATE(YEAR(R1312),MONTH(R1312),1),"")))</f>
        <v/>
      </c>
      <c r="X1312" s="38" t="n">
        <f aca="false">IF(AND(OR(T1312="Backlog",T1312="Pipeline",T1312="Overdue"),ISNUMBER(W1312)),IF(W1312&lt;=Settings!$B$6,V1312,0),0)</f>
        <v>0</v>
      </c>
      <c r="Y1312" s="38" t="n">
        <f aca="false">IF(AND(OR(T1312="Backlog",T1312="Pipeline",T1312="Overdue"),ISNUMBER(W1312)),IF(W1312&lt;=Settings!$B$6,Q1312,0),0)</f>
        <v>0</v>
      </c>
      <c r="Z1312" s="38" t="n">
        <f aca="false">IF(Y1312=0,0,IF(T1312="Backlog",Q1312,Q1312*Dashboard!$C$10))</f>
        <v>0</v>
      </c>
      <c r="AA1312" s="37" t="n">
        <f aca="false">IF($N1312="",0,IF(COUNTIF(Dashboard!$C$13:$C$22,$N1312)&gt;0,1,0))</f>
        <v>0</v>
      </c>
      <c r="AB1312" s="37" t="str">
        <f aca="false">IF($N1312="","",IF(COUNTIF($N$8:$N1312,$N1312)=1,MAX($AB$7:$AB1311)+1,""))</f>
        <v/>
      </c>
    </row>
    <row r="1313" customFormat="false" ht="15" hidden="false" customHeight="false" outlineLevel="0" collapsed="false">
      <c r="L1313" s="37" t="str">
        <f aca="false">IF(INDEX($A1313:$J1313,$L$6)&lt;&gt;"",TRIM(LEFT(INDEX($A1313:$J1313,$L$6),FIND("(",INDEX($A1313:$J1313,$L$6)&amp;"(")-1)),L1312)</f>
        <v>Building Value Proposition</v>
      </c>
      <c r="M1313" s="37" t="str">
        <f aca="false">IF(INDEX($A1313:$J1313,$M$6)="","",INDEX($A1313:$J1313,$M$6)&amp;"")</f>
        <v/>
      </c>
      <c r="N1313" s="37" t="str">
        <f aca="false">IF($M1313="","",TRIM(INDEX($A1313:$J1313,$N$6)&amp;""))</f>
        <v/>
      </c>
      <c r="O1313" s="37" t="str">
        <f aca="false">IF($M1313="","",TRIM(INDEX($A1313:$J1313,$O$6)&amp;""))</f>
        <v/>
      </c>
      <c r="P1313" s="37" t="str">
        <f aca="false">IF($M1313="","",IFERROR(IF(INDEX(Settings!$B$41:$B$50,MATCH(O1313,Settings!$A$41:$A$50,0))&amp;""="","UNMAPPED",INDEX(Settings!$B$41:$B$50,MATCH(O1313,Settings!$A$41:$A$50,0))&amp;""),"UNMAPPED"))</f>
        <v/>
      </c>
      <c r="Q1313" s="38" t="n">
        <f aca="false">IF($M1313="",0,N(INDEX($A1313:$J1313,$Q$6)))</f>
        <v>0</v>
      </c>
      <c r="R1313" s="39" t="str">
        <f aca="false">IF($M1313="","",INDEX($A1313:$J1313,$R$6))</f>
        <v/>
      </c>
      <c r="S1313" s="37" t="str">
        <f aca="false">IF($M1313="","",IFERROR(INDEX(Settings!$B$27:$B$36,MATCH(L1313,Settings!$A$27:$A$36,0))&amp;"","UNMAPPED"))</f>
        <v/>
      </c>
      <c r="T1313" s="37" t="str">
        <f aca="false">IF($M1313="","",IF(NOT(ISNUMBER(R1313)),"NO DATE",IF(S1313="Won",IF(R1313&gt;Settings!$B$5,"Backlog","Delivered"),IF(S1313="Open",IF(R1313&gt;Settings!$B$5,"Pipeline","Overdue"),IF(S1313="Lost","Lost","UNMAPPED")))))</f>
        <v/>
      </c>
      <c r="U1313" s="40" t="n">
        <f aca="false">IF(T1313="Backlog",1,IF(OR(T1313="Pipeline",T1313="Overdue"),N(INDEX(Settings!$C$27:$C$36,MATCH(L1313,Settings!$A$27:$A$36,0))),0))</f>
        <v>0</v>
      </c>
      <c r="V1313" s="38" t="n">
        <f aca="false">Q1313*U1313</f>
        <v>0</v>
      </c>
      <c r="W1313" s="41" t="str">
        <f aca="false">IF($M1313="","",IF(T1313="Overdue",IF(Settings!$B$8="Yes",Settings!$B$7,""),IF(ISNUMBER(R1313),DATE(YEAR(R1313),MONTH(R1313),1),"")))</f>
        <v/>
      </c>
      <c r="X1313" s="38" t="n">
        <f aca="false">IF(AND(OR(T1313="Backlog",T1313="Pipeline",T1313="Overdue"),ISNUMBER(W1313)),IF(W1313&lt;=Settings!$B$6,V1313,0),0)</f>
        <v>0</v>
      </c>
      <c r="Y1313" s="38" t="n">
        <f aca="false">IF(AND(OR(T1313="Backlog",T1313="Pipeline",T1313="Overdue"),ISNUMBER(W1313)),IF(W1313&lt;=Settings!$B$6,Q1313,0),0)</f>
        <v>0</v>
      </c>
      <c r="Z1313" s="38" t="n">
        <f aca="false">IF(Y1313=0,0,IF(T1313="Backlog",Q1313,Q1313*Dashboard!$C$10))</f>
        <v>0</v>
      </c>
      <c r="AA1313" s="37" t="n">
        <f aca="false">IF($N1313="",0,IF(COUNTIF(Dashboard!$C$13:$C$22,$N1313)&gt;0,1,0))</f>
        <v>0</v>
      </c>
      <c r="AB1313" s="37" t="str">
        <f aca="false">IF($N1313="","",IF(COUNTIF($N$8:$N1313,$N1313)=1,MAX($AB$7:$AB1312)+1,""))</f>
        <v/>
      </c>
    </row>
    <row r="1314" customFormat="false" ht="15" hidden="false" customHeight="false" outlineLevel="0" collapsed="false">
      <c r="L1314" s="37" t="str">
        <f aca="false">IF(INDEX($A1314:$J1314,$L$6)&lt;&gt;"",TRIM(LEFT(INDEX($A1314:$J1314,$L$6),FIND("(",INDEX($A1314:$J1314,$L$6)&amp;"(")-1)),L1313)</f>
        <v>Building Value Proposition</v>
      </c>
      <c r="M1314" s="37" t="str">
        <f aca="false">IF(INDEX($A1314:$J1314,$M$6)="","",INDEX($A1314:$J1314,$M$6)&amp;"")</f>
        <v/>
      </c>
      <c r="N1314" s="37" t="str">
        <f aca="false">IF($M1314="","",TRIM(INDEX($A1314:$J1314,$N$6)&amp;""))</f>
        <v/>
      </c>
      <c r="O1314" s="37" t="str">
        <f aca="false">IF($M1314="","",TRIM(INDEX($A1314:$J1314,$O$6)&amp;""))</f>
        <v/>
      </c>
      <c r="P1314" s="37" t="str">
        <f aca="false">IF($M1314="","",IFERROR(IF(INDEX(Settings!$B$41:$B$50,MATCH(O1314,Settings!$A$41:$A$50,0))&amp;""="","UNMAPPED",INDEX(Settings!$B$41:$B$50,MATCH(O1314,Settings!$A$41:$A$50,0))&amp;""),"UNMAPPED"))</f>
        <v/>
      </c>
      <c r="Q1314" s="38" t="n">
        <f aca="false">IF($M1314="",0,N(INDEX($A1314:$J1314,$Q$6)))</f>
        <v>0</v>
      </c>
      <c r="R1314" s="39" t="str">
        <f aca="false">IF($M1314="","",INDEX($A1314:$J1314,$R$6))</f>
        <v/>
      </c>
      <c r="S1314" s="37" t="str">
        <f aca="false">IF($M1314="","",IFERROR(INDEX(Settings!$B$27:$B$36,MATCH(L1314,Settings!$A$27:$A$36,0))&amp;"","UNMAPPED"))</f>
        <v/>
      </c>
      <c r="T1314" s="37" t="str">
        <f aca="false">IF($M1314="","",IF(NOT(ISNUMBER(R1314)),"NO DATE",IF(S1314="Won",IF(R1314&gt;Settings!$B$5,"Backlog","Delivered"),IF(S1314="Open",IF(R1314&gt;Settings!$B$5,"Pipeline","Overdue"),IF(S1314="Lost","Lost","UNMAPPED")))))</f>
        <v/>
      </c>
      <c r="U1314" s="40" t="n">
        <f aca="false">IF(T1314="Backlog",1,IF(OR(T1314="Pipeline",T1314="Overdue"),N(INDEX(Settings!$C$27:$C$36,MATCH(L1314,Settings!$A$27:$A$36,0))),0))</f>
        <v>0</v>
      </c>
      <c r="V1314" s="38" t="n">
        <f aca="false">Q1314*U1314</f>
        <v>0</v>
      </c>
      <c r="W1314" s="41" t="str">
        <f aca="false">IF($M1314="","",IF(T1314="Overdue",IF(Settings!$B$8="Yes",Settings!$B$7,""),IF(ISNUMBER(R1314),DATE(YEAR(R1314),MONTH(R1314),1),"")))</f>
        <v/>
      </c>
      <c r="X1314" s="38" t="n">
        <f aca="false">IF(AND(OR(T1314="Backlog",T1314="Pipeline",T1314="Overdue"),ISNUMBER(W1314)),IF(W1314&lt;=Settings!$B$6,V1314,0),0)</f>
        <v>0</v>
      </c>
      <c r="Y1314" s="38" t="n">
        <f aca="false">IF(AND(OR(T1314="Backlog",T1314="Pipeline",T1314="Overdue"),ISNUMBER(W1314)),IF(W1314&lt;=Settings!$B$6,Q1314,0),0)</f>
        <v>0</v>
      </c>
      <c r="Z1314" s="38" t="n">
        <f aca="false">IF(Y1314=0,0,IF(T1314="Backlog",Q1314,Q1314*Dashboard!$C$10))</f>
        <v>0</v>
      </c>
      <c r="AA1314" s="37" t="n">
        <f aca="false">IF($N1314="",0,IF(COUNTIF(Dashboard!$C$13:$C$22,$N1314)&gt;0,1,0))</f>
        <v>0</v>
      </c>
      <c r="AB1314" s="37" t="str">
        <f aca="false">IF($N1314="","",IF(COUNTIF($N$8:$N1314,$N1314)=1,MAX($AB$7:$AB1313)+1,""))</f>
        <v/>
      </c>
    </row>
    <row r="1315" customFormat="false" ht="15" hidden="false" customHeight="false" outlineLevel="0" collapsed="false">
      <c r="L1315" s="37" t="str">
        <f aca="false">IF(INDEX($A1315:$J1315,$L$6)&lt;&gt;"",TRIM(LEFT(INDEX($A1315:$J1315,$L$6),FIND("(",INDEX($A1315:$J1315,$L$6)&amp;"(")-1)),L1314)</f>
        <v>Building Value Proposition</v>
      </c>
      <c r="M1315" s="37" t="str">
        <f aca="false">IF(INDEX($A1315:$J1315,$M$6)="","",INDEX($A1315:$J1315,$M$6)&amp;"")</f>
        <v/>
      </c>
      <c r="N1315" s="37" t="str">
        <f aca="false">IF($M1315="","",TRIM(INDEX($A1315:$J1315,$N$6)&amp;""))</f>
        <v/>
      </c>
      <c r="O1315" s="37" t="str">
        <f aca="false">IF($M1315="","",TRIM(INDEX($A1315:$J1315,$O$6)&amp;""))</f>
        <v/>
      </c>
      <c r="P1315" s="37" t="str">
        <f aca="false">IF($M1315="","",IFERROR(IF(INDEX(Settings!$B$41:$B$50,MATCH(O1315,Settings!$A$41:$A$50,0))&amp;""="","UNMAPPED",INDEX(Settings!$B$41:$B$50,MATCH(O1315,Settings!$A$41:$A$50,0))&amp;""),"UNMAPPED"))</f>
        <v/>
      </c>
      <c r="Q1315" s="38" t="n">
        <f aca="false">IF($M1315="",0,N(INDEX($A1315:$J1315,$Q$6)))</f>
        <v>0</v>
      </c>
      <c r="R1315" s="39" t="str">
        <f aca="false">IF($M1315="","",INDEX($A1315:$J1315,$R$6))</f>
        <v/>
      </c>
      <c r="S1315" s="37" t="str">
        <f aca="false">IF($M1315="","",IFERROR(INDEX(Settings!$B$27:$B$36,MATCH(L1315,Settings!$A$27:$A$36,0))&amp;"","UNMAPPED"))</f>
        <v/>
      </c>
      <c r="T1315" s="37" t="str">
        <f aca="false">IF($M1315="","",IF(NOT(ISNUMBER(R1315)),"NO DATE",IF(S1315="Won",IF(R1315&gt;Settings!$B$5,"Backlog","Delivered"),IF(S1315="Open",IF(R1315&gt;Settings!$B$5,"Pipeline","Overdue"),IF(S1315="Lost","Lost","UNMAPPED")))))</f>
        <v/>
      </c>
      <c r="U1315" s="40" t="n">
        <f aca="false">IF(T1315="Backlog",1,IF(OR(T1315="Pipeline",T1315="Overdue"),N(INDEX(Settings!$C$27:$C$36,MATCH(L1315,Settings!$A$27:$A$36,0))),0))</f>
        <v>0</v>
      </c>
      <c r="V1315" s="38" t="n">
        <f aca="false">Q1315*U1315</f>
        <v>0</v>
      </c>
      <c r="W1315" s="41" t="str">
        <f aca="false">IF($M1315="","",IF(T1315="Overdue",IF(Settings!$B$8="Yes",Settings!$B$7,""),IF(ISNUMBER(R1315),DATE(YEAR(R1315),MONTH(R1315),1),"")))</f>
        <v/>
      </c>
      <c r="X1315" s="38" t="n">
        <f aca="false">IF(AND(OR(T1315="Backlog",T1315="Pipeline",T1315="Overdue"),ISNUMBER(W1315)),IF(W1315&lt;=Settings!$B$6,V1315,0),0)</f>
        <v>0</v>
      </c>
      <c r="Y1315" s="38" t="n">
        <f aca="false">IF(AND(OR(T1315="Backlog",T1315="Pipeline",T1315="Overdue"),ISNUMBER(W1315)),IF(W1315&lt;=Settings!$B$6,Q1315,0),0)</f>
        <v>0</v>
      </c>
      <c r="Z1315" s="38" t="n">
        <f aca="false">IF(Y1315=0,0,IF(T1315="Backlog",Q1315,Q1315*Dashboard!$C$10))</f>
        <v>0</v>
      </c>
      <c r="AA1315" s="37" t="n">
        <f aca="false">IF($N1315="",0,IF(COUNTIF(Dashboard!$C$13:$C$22,$N1315)&gt;0,1,0))</f>
        <v>0</v>
      </c>
      <c r="AB1315" s="37" t="str">
        <f aca="false">IF($N1315="","",IF(COUNTIF($N$8:$N1315,$N1315)=1,MAX($AB$7:$AB1314)+1,""))</f>
        <v/>
      </c>
    </row>
    <row r="1316" customFormat="false" ht="15" hidden="false" customHeight="false" outlineLevel="0" collapsed="false">
      <c r="L1316" s="37" t="str">
        <f aca="false">IF(INDEX($A1316:$J1316,$L$6)&lt;&gt;"",TRIM(LEFT(INDEX($A1316:$J1316,$L$6),FIND("(",INDEX($A1316:$J1316,$L$6)&amp;"(")-1)),L1315)</f>
        <v>Building Value Proposition</v>
      </c>
      <c r="M1316" s="37" t="str">
        <f aca="false">IF(INDEX($A1316:$J1316,$M$6)="","",INDEX($A1316:$J1316,$M$6)&amp;"")</f>
        <v/>
      </c>
      <c r="N1316" s="37" t="str">
        <f aca="false">IF($M1316="","",TRIM(INDEX($A1316:$J1316,$N$6)&amp;""))</f>
        <v/>
      </c>
      <c r="O1316" s="37" t="str">
        <f aca="false">IF($M1316="","",TRIM(INDEX($A1316:$J1316,$O$6)&amp;""))</f>
        <v/>
      </c>
      <c r="P1316" s="37" t="str">
        <f aca="false">IF($M1316="","",IFERROR(IF(INDEX(Settings!$B$41:$B$50,MATCH(O1316,Settings!$A$41:$A$50,0))&amp;""="","UNMAPPED",INDEX(Settings!$B$41:$B$50,MATCH(O1316,Settings!$A$41:$A$50,0))&amp;""),"UNMAPPED"))</f>
        <v/>
      </c>
      <c r="Q1316" s="38" t="n">
        <f aca="false">IF($M1316="",0,N(INDEX($A1316:$J1316,$Q$6)))</f>
        <v>0</v>
      </c>
      <c r="R1316" s="39" t="str">
        <f aca="false">IF($M1316="","",INDEX($A1316:$J1316,$R$6))</f>
        <v/>
      </c>
      <c r="S1316" s="37" t="str">
        <f aca="false">IF($M1316="","",IFERROR(INDEX(Settings!$B$27:$B$36,MATCH(L1316,Settings!$A$27:$A$36,0))&amp;"","UNMAPPED"))</f>
        <v/>
      </c>
      <c r="T1316" s="37" t="str">
        <f aca="false">IF($M1316="","",IF(NOT(ISNUMBER(R1316)),"NO DATE",IF(S1316="Won",IF(R1316&gt;Settings!$B$5,"Backlog","Delivered"),IF(S1316="Open",IF(R1316&gt;Settings!$B$5,"Pipeline","Overdue"),IF(S1316="Lost","Lost","UNMAPPED")))))</f>
        <v/>
      </c>
      <c r="U1316" s="40" t="n">
        <f aca="false">IF(T1316="Backlog",1,IF(OR(T1316="Pipeline",T1316="Overdue"),N(INDEX(Settings!$C$27:$C$36,MATCH(L1316,Settings!$A$27:$A$36,0))),0))</f>
        <v>0</v>
      </c>
      <c r="V1316" s="38" t="n">
        <f aca="false">Q1316*U1316</f>
        <v>0</v>
      </c>
      <c r="W1316" s="41" t="str">
        <f aca="false">IF($M1316="","",IF(T1316="Overdue",IF(Settings!$B$8="Yes",Settings!$B$7,""),IF(ISNUMBER(R1316),DATE(YEAR(R1316),MONTH(R1316),1),"")))</f>
        <v/>
      </c>
      <c r="X1316" s="38" t="n">
        <f aca="false">IF(AND(OR(T1316="Backlog",T1316="Pipeline",T1316="Overdue"),ISNUMBER(W1316)),IF(W1316&lt;=Settings!$B$6,V1316,0),0)</f>
        <v>0</v>
      </c>
      <c r="Y1316" s="38" t="n">
        <f aca="false">IF(AND(OR(T1316="Backlog",T1316="Pipeline",T1316="Overdue"),ISNUMBER(W1316)),IF(W1316&lt;=Settings!$B$6,Q1316,0),0)</f>
        <v>0</v>
      </c>
      <c r="Z1316" s="38" t="n">
        <f aca="false">IF(Y1316=0,0,IF(T1316="Backlog",Q1316,Q1316*Dashboard!$C$10))</f>
        <v>0</v>
      </c>
      <c r="AA1316" s="37" t="n">
        <f aca="false">IF($N1316="",0,IF(COUNTIF(Dashboard!$C$13:$C$22,$N1316)&gt;0,1,0))</f>
        <v>0</v>
      </c>
      <c r="AB1316" s="37" t="str">
        <f aca="false">IF($N1316="","",IF(COUNTIF($N$8:$N1316,$N1316)=1,MAX($AB$7:$AB1315)+1,""))</f>
        <v/>
      </c>
    </row>
    <row r="1317" customFormat="false" ht="15" hidden="false" customHeight="false" outlineLevel="0" collapsed="false">
      <c r="L1317" s="37" t="str">
        <f aca="false">IF(INDEX($A1317:$J1317,$L$6)&lt;&gt;"",TRIM(LEFT(INDEX($A1317:$J1317,$L$6),FIND("(",INDEX($A1317:$J1317,$L$6)&amp;"(")-1)),L1316)</f>
        <v>Building Value Proposition</v>
      </c>
      <c r="M1317" s="37" t="str">
        <f aca="false">IF(INDEX($A1317:$J1317,$M$6)="","",INDEX($A1317:$J1317,$M$6)&amp;"")</f>
        <v/>
      </c>
      <c r="N1317" s="37" t="str">
        <f aca="false">IF($M1317="","",TRIM(INDEX($A1317:$J1317,$N$6)&amp;""))</f>
        <v/>
      </c>
      <c r="O1317" s="37" t="str">
        <f aca="false">IF($M1317="","",TRIM(INDEX($A1317:$J1317,$O$6)&amp;""))</f>
        <v/>
      </c>
      <c r="P1317" s="37" t="str">
        <f aca="false">IF($M1317="","",IFERROR(IF(INDEX(Settings!$B$41:$B$50,MATCH(O1317,Settings!$A$41:$A$50,0))&amp;""="","UNMAPPED",INDEX(Settings!$B$41:$B$50,MATCH(O1317,Settings!$A$41:$A$50,0))&amp;""),"UNMAPPED"))</f>
        <v/>
      </c>
      <c r="Q1317" s="38" t="n">
        <f aca="false">IF($M1317="",0,N(INDEX($A1317:$J1317,$Q$6)))</f>
        <v>0</v>
      </c>
      <c r="R1317" s="39" t="str">
        <f aca="false">IF($M1317="","",INDEX($A1317:$J1317,$R$6))</f>
        <v/>
      </c>
      <c r="S1317" s="37" t="str">
        <f aca="false">IF($M1317="","",IFERROR(INDEX(Settings!$B$27:$B$36,MATCH(L1317,Settings!$A$27:$A$36,0))&amp;"","UNMAPPED"))</f>
        <v/>
      </c>
      <c r="T1317" s="37" t="str">
        <f aca="false">IF($M1317="","",IF(NOT(ISNUMBER(R1317)),"NO DATE",IF(S1317="Won",IF(R1317&gt;Settings!$B$5,"Backlog","Delivered"),IF(S1317="Open",IF(R1317&gt;Settings!$B$5,"Pipeline","Overdue"),IF(S1317="Lost","Lost","UNMAPPED")))))</f>
        <v/>
      </c>
      <c r="U1317" s="40" t="n">
        <f aca="false">IF(T1317="Backlog",1,IF(OR(T1317="Pipeline",T1317="Overdue"),N(INDEX(Settings!$C$27:$C$36,MATCH(L1317,Settings!$A$27:$A$36,0))),0))</f>
        <v>0</v>
      </c>
      <c r="V1317" s="38" t="n">
        <f aca="false">Q1317*U1317</f>
        <v>0</v>
      </c>
      <c r="W1317" s="41" t="str">
        <f aca="false">IF($M1317="","",IF(T1317="Overdue",IF(Settings!$B$8="Yes",Settings!$B$7,""),IF(ISNUMBER(R1317),DATE(YEAR(R1317),MONTH(R1317),1),"")))</f>
        <v/>
      </c>
      <c r="X1317" s="38" t="n">
        <f aca="false">IF(AND(OR(T1317="Backlog",T1317="Pipeline",T1317="Overdue"),ISNUMBER(W1317)),IF(W1317&lt;=Settings!$B$6,V1317,0),0)</f>
        <v>0</v>
      </c>
      <c r="Y1317" s="38" t="n">
        <f aca="false">IF(AND(OR(T1317="Backlog",T1317="Pipeline",T1317="Overdue"),ISNUMBER(W1317)),IF(W1317&lt;=Settings!$B$6,Q1317,0),0)</f>
        <v>0</v>
      </c>
      <c r="Z1317" s="38" t="n">
        <f aca="false">IF(Y1317=0,0,IF(T1317="Backlog",Q1317,Q1317*Dashboard!$C$10))</f>
        <v>0</v>
      </c>
      <c r="AA1317" s="37" t="n">
        <f aca="false">IF($N1317="",0,IF(COUNTIF(Dashboard!$C$13:$C$22,$N1317)&gt;0,1,0))</f>
        <v>0</v>
      </c>
      <c r="AB1317" s="37" t="str">
        <f aca="false">IF($N1317="","",IF(COUNTIF($N$8:$N1317,$N1317)=1,MAX($AB$7:$AB1316)+1,""))</f>
        <v/>
      </c>
    </row>
    <row r="1318" customFormat="false" ht="15" hidden="false" customHeight="false" outlineLevel="0" collapsed="false">
      <c r="L1318" s="37" t="str">
        <f aca="false">IF(INDEX($A1318:$J1318,$L$6)&lt;&gt;"",TRIM(LEFT(INDEX($A1318:$J1318,$L$6),FIND("(",INDEX($A1318:$J1318,$L$6)&amp;"(")-1)),L1317)</f>
        <v>Building Value Proposition</v>
      </c>
      <c r="M1318" s="37" t="str">
        <f aca="false">IF(INDEX($A1318:$J1318,$M$6)="","",INDEX($A1318:$J1318,$M$6)&amp;"")</f>
        <v/>
      </c>
      <c r="N1318" s="37" t="str">
        <f aca="false">IF($M1318="","",TRIM(INDEX($A1318:$J1318,$N$6)&amp;""))</f>
        <v/>
      </c>
      <c r="O1318" s="37" t="str">
        <f aca="false">IF($M1318="","",TRIM(INDEX($A1318:$J1318,$O$6)&amp;""))</f>
        <v/>
      </c>
      <c r="P1318" s="37" t="str">
        <f aca="false">IF($M1318="","",IFERROR(IF(INDEX(Settings!$B$41:$B$50,MATCH(O1318,Settings!$A$41:$A$50,0))&amp;""="","UNMAPPED",INDEX(Settings!$B$41:$B$50,MATCH(O1318,Settings!$A$41:$A$50,0))&amp;""),"UNMAPPED"))</f>
        <v/>
      </c>
      <c r="Q1318" s="38" t="n">
        <f aca="false">IF($M1318="",0,N(INDEX($A1318:$J1318,$Q$6)))</f>
        <v>0</v>
      </c>
      <c r="R1318" s="39" t="str">
        <f aca="false">IF($M1318="","",INDEX($A1318:$J1318,$R$6))</f>
        <v/>
      </c>
      <c r="S1318" s="37" t="str">
        <f aca="false">IF($M1318="","",IFERROR(INDEX(Settings!$B$27:$B$36,MATCH(L1318,Settings!$A$27:$A$36,0))&amp;"","UNMAPPED"))</f>
        <v/>
      </c>
      <c r="T1318" s="37" t="str">
        <f aca="false">IF($M1318="","",IF(NOT(ISNUMBER(R1318)),"NO DATE",IF(S1318="Won",IF(R1318&gt;Settings!$B$5,"Backlog","Delivered"),IF(S1318="Open",IF(R1318&gt;Settings!$B$5,"Pipeline","Overdue"),IF(S1318="Lost","Lost","UNMAPPED")))))</f>
        <v/>
      </c>
      <c r="U1318" s="40" t="n">
        <f aca="false">IF(T1318="Backlog",1,IF(OR(T1318="Pipeline",T1318="Overdue"),N(INDEX(Settings!$C$27:$C$36,MATCH(L1318,Settings!$A$27:$A$36,0))),0))</f>
        <v>0</v>
      </c>
      <c r="V1318" s="38" t="n">
        <f aca="false">Q1318*U1318</f>
        <v>0</v>
      </c>
      <c r="W1318" s="41" t="str">
        <f aca="false">IF($M1318="","",IF(T1318="Overdue",IF(Settings!$B$8="Yes",Settings!$B$7,""),IF(ISNUMBER(R1318),DATE(YEAR(R1318),MONTH(R1318),1),"")))</f>
        <v/>
      </c>
      <c r="X1318" s="38" t="n">
        <f aca="false">IF(AND(OR(T1318="Backlog",T1318="Pipeline",T1318="Overdue"),ISNUMBER(W1318)),IF(W1318&lt;=Settings!$B$6,V1318,0),0)</f>
        <v>0</v>
      </c>
      <c r="Y1318" s="38" t="n">
        <f aca="false">IF(AND(OR(T1318="Backlog",T1318="Pipeline",T1318="Overdue"),ISNUMBER(W1318)),IF(W1318&lt;=Settings!$B$6,Q1318,0),0)</f>
        <v>0</v>
      </c>
      <c r="Z1318" s="38" t="n">
        <f aca="false">IF(Y1318=0,0,IF(T1318="Backlog",Q1318,Q1318*Dashboard!$C$10))</f>
        <v>0</v>
      </c>
      <c r="AA1318" s="37" t="n">
        <f aca="false">IF($N1318="",0,IF(COUNTIF(Dashboard!$C$13:$C$22,$N1318)&gt;0,1,0))</f>
        <v>0</v>
      </c>
      <c r="AB1318" s="37" t="str">
        <f aca="false">IF($N1318="","",IF(COUNTIF($N$8:$N1318,$N1318)=1,MAX($AB$7:$AB1317)+1,""))</f>
        <v/>
      </c>
    </row>
    <row r="1319" customFormat="false" ht="15" hidden="false" customHeight="false" outlineLevel="0" collapsed="false">
      <c r="L1319" s="37" t="str">
        <f aca="false">IF(INDEX($A1319:$J1319,$L$6)&lt;&gt;"",TRIM(LEFT(INDEX($A1319:$J1319,$L$6),FIND("(",INDEX($A1319:$J1319,$L$6)&amp;"(")-1)),L1318)</f>
        <v>Building Value Proposition</v>
      </c>
      <c r="M1319" s="37" t="str">
        <f aca="false">IF(INDEX($A1319:$J1319,$M$6)="","",INDEX($A1319:$J1319,$M$6)&amp;"")</f>
        <v/>
      </c>
      <c r="N1319" s="37" t="str">
        <f aca="false">IF($M1319="","",TRIM(INDEX($A1319:$J1319,$N$6)&amp;""))</f>
        <v/>
      </c>
      <c r="O1319" s="37" t="str">
        <f aca="false">IF($M1319="","",TRIM(INDEX($A1319:$J1319,$O$6)&amp;""))</f>
        <v/>
      </c>
      <c r="P1319" s="37" t="str">
        <f aca="false">IF($M1319="","",IFERROR(IF(INDEX(Settings!$B$41:$B$50,MATCH(O1319,Settings!$A$41:$A$50,0))&amp;""="","UNMAPPED",INDEX(Settings!$B$41:$B$50,MATCH(O1319,Settings!$A$41:$A$50,0))&amp;""),"UNMAPPED"))</f>
        <v/>
      </c>
      <c r="Q1319" s="38" t="n">
        <f aca="false">IF($M1319="",0,N(INDEX($A1319:$J1319,$Q$6)))</f>
        <v>0</v>
      </c>
      <c r="R1319" s="39" t="str">
        <f aca="false">IF($M1319="","",INDEX($A1319:$J1319,$R$6))</f>
        <v/>
      </c>
      <c r="S1319" s="37" t="str">
        <f aca="false">IF($M1319="","",IFERROR(INDEX(Settings!$B$27:$B$36,MATCH(L1319,Settings!$A$27:$A$36,0))&amp;"","UNMAPPED"))</f>
        <v/>
      </c>
      <c r="T1319" s="37" t="str">
        <f aca="false">IF($M1319="","",IF(NOT(ISNUMBER(R1319)),"NO DATE",IF(S1319="Won",IF(R1319&gt;Settings!$B$5,"Backlog","Delivered"),IF(S1319="Open",IF(R1319&gt;Settings!$B$5,"Pipeline","Overdue"),IF(S1319="Lost","Lost","UNMAPPED")))))</f>
        <v/>
      </c>
      <c r="U1319" s="40" t="n">
        <f aca="false">IF(T1319="Backlog",1,IF(OR(T1319="Pipeline",T1319="Overdue"),N(INDEX(Settings!$C$27:$C$36,MATCH(L1319,Settings!$A$27:$A$36,0))),0))</f>
        <v>0</v>
      </c>
      <c r="V1319" s="38" t="n">
        <f aca="false">Q1319*U1319</f>
        <v>0</v>
      </c>
      <c r="W1319" s="41" t="str">
        <f aca="false">IF($M1319="","",IF(T1319="Overdue",IF(Settings!$B$8="Yes",Settings!$B$7,""),IF(ISNUMBER(R1319),DATE(YEAR(R1319),MONTH(R1319),1),"")))</f>
        <v/>
      </c>
      <c r="X1319" s="38" t="n">
        <f aca="false">IF(AND(OR(T1319="Backlog",T1319="Pipeline",T1319="Overdue"),ISNUMBER(W1319)),IF(W1319&lt;=Settings!$B$6,V1319,0),0)</f>
        <v>0</v>
      </c>
      <c r="Y1319" s="38" t="n">
        <f aca="false">IF(AND(OR(T1319="Backlog",T1319="Pipeline",T1319="Overdue"),ISNUMBER(W1319)),IF(W1319&lt;=Settings!$B$6,Q1319,0),0)</f>
        <v>0</v>
      </c>
      <c r="Z1319" s="38" t="n">
        <f aca="false">IF(Y1319=0,0,IF(T1319="Backlog",Q1319,Q1319*Dashboard!$C$10))</f>
        <v>0</v>
      </c>
      <c r="AA1319" s="37" t="n">
        <f aca="false">IF($N1319="",0,IF(COUNTIF(Dashboard!$C$13:$C$22,$N1319)&gt;0,1,0))</f>
        <v>0</v>
      </c>
      <c r="AB1319" s="37" t="str">
        <f aca="false">IF($N1319="","",IF(COUNTIF($N$8:$N1319,$N1319)=1,MAX($AB$7:$AB1318)+1,""))</f>
        <v/>
      </c>
    </row>
    <row r="1320" customFormat="false" ht="15" hidden="false" customHeight="false" outlineLevel="0" collapsed="false">
      <c r="L1320" s="37" t="str">
        <f aca="false">IF(INDEX($A1320:$J1320,$L$6)&lt;&gt;"",TRIM(LEFT(INDEX($A1320:$J1320,$L$6),FIND("(",INDEX($A1320:$J1320,$L$6)&amp;"(")-1)),L1319)</f>
        <v>Building Value Proposition</v>
      </c>
      <c r="M1320" s="37" t="str">
        <f aca="false">IF(INDEX($A1320:$J1320,$M$6)="","",INDEX($A1320:$J1320,$M$6)&amp;"")</f>
        <v/>
      </c>
      <c r="N1320" s="37" t="str">
        <f aca="false">IF($M1320="","",TRIM(INDEX($A1320:$J1320,$N$6)&amp;""))</f>
        <v/>
      </c>
      <c r="O1320" s="37" t="str">
        <f aca="false">IF($M1320="","",TRIM(INDEX($A1320:$J1320,$O$6)&amp;""))</f>
        <v/>
      </c>
      <c r="P1320" s="37" t="str">
        <f aca="false">IF($M1320="","",IFERROR(IF(INDEX(Settings!$B$41:$B$50,MATCH(O1320,Settings!$A$41:$A$50,0))&amp;""="","UNMAPPED",INDEX(Settings!$B$41:$B$50,MATCH(O1320,Settings!$A$41:$A$50,0))&amp;""),"UNMAPPED"))</f>
        <v/>
      </c>
      <c r="Q1320" s="38" t="n">
        <f aca="false">IF($M1320="",0,N(INDEX($A1320:$J1320,$Q$6)))</f>
        <v>0</v>
      </c>
      <c r="R1320" s="39" t="str">
        <f aca="false">IF($M1320="","",INDEX($A1320:$J1320,$R$6))</f>
        <v/>
      </c>
      <c r="S1320" s="37" t="str">
        <f aca="false">IF($M1320="","",IFERROR(INDEX(Settings!$B$27:$B$36,MATCH(L1320,Settings!$A$27:$A$36,0))&amp;"","UNMAPPED"))</f>
        <v/>
      </c>
      <c r="T1320" s="37" t="str">
        <f aca="false">IF($M1320="","",IF(NOT(ISNUMBER(R1320)),"NO DATE",IF(S1320="Won",IF(R1320&gt;Settings!$B$5,"Backlog","Delivered"),IF(S1320="Open",IF(R1320&gt;Settings!$B$5,"Pipeline","Overdue"),IF(S1320="Lost","Lost","UNMAPPED")))))</f>
        <v/>
      </c>
      <c r="U1320" s="40" t="n">
        <f aca="false">IF(T1320="Backlog",1,IF(OR(T1320="Pipeline",T1320="Overdue"),N(INDEX(Settings!$C$27:$C$36,MATCH(L1320,Settings!$A$27:$A$36,0))),0))</f>
        <v>0</v>
      </c>
      <c r="V1320" s="38" t="n">
        <f aca="false">Q1320*U1320</f>
        <v>0</v>
      </c>
      <c r="W1320" s="41" t="str">
        <f aca="false">IF($M1320="","",IF(T1320="Overdue",IF(Settings!$B$8="Yes",Settings!$B$7,""),IF(ISNUMBER(R1320),DATE(YEAR(R1320),MONTH(R1320),1),"")))</f>
        <v/>
      </c>
      <c r="X1320" s="38" t="n">
        <f aca="false">IF(AND(OR(T1320="Backlog",T1320="Pipeline",T1320="Overdue"),ISNUMBER(W1320)),IF(W1320&lt;=Settings!$B$6,V1320,0),0)</f>
        <v>0</v>
      </c>
      <c r="Y1320" s="38" t="n">
        <f aca="false">IF(AND(OR(T1320="Backlog",T1320="Pipeline",T1320="Overdue"),ISNUMBER(W1320)),IF(W1320&lt;=Settings!$B$6,Q1320,0),0)</f>
        <v>0</v>
      </c>
      <c r="Z1320" s="38" t="n">
        <f aca="false">IF(Y1320=0,0,IF(T1320="Backlog",Q1320,Q1320*Dashboard!$C$10))</f>
        <v>0</v>
      </c>
      <c r="AA1320" s="37" t="n">
        <f aca="false">IF($N1320="",0,IF(COUNTIF(Dashboard!$C$13:$C$22,$N1320)&gt;0,1,0))</f>
        <v>0</v>
      </c>
      <c r="AB1320" s="37" t="str">
        <f aca="false">IF($N1320="","",IF(COUNTIF($N$8:$N1320,$N1320)=1,MAX($AB$7:$AB1319)+1,""))</f>
        <v/>
      </c>
    </row>
    <row r="1321" customFormat="false" ht="15" hidden="false" customHeight="false" outlineLevel="0" collapsed="false">
      <c r="L1321" s="37" t="str">
        <f aca="false">IF(INDEX($A1321:$J1321,$L$6)&lt;&gt;"",TRIM(LEFT(INDEX($A1321:$J1321,$L$6),FIND("(",INDEX($A1321:$J1321,$L$6)&amp;"(")-1)),L1320)</f>
        <v>Building Value Proposition</v>
      </c>
      <c r="M1321" s="37" t="str">
        <f aca="false">IF(INDEX($A1321:$J1321,$M$6)="","",INDEX($A1321:$J1321,$M$6)&amp;"")</f>
        <v/>
      </c>
      <c r="N1321" s="37" t="str">
        <f aca="false">IF($M1321="","",TRIM(INDEX($A1321:$J1321,$N$6)&amp;""))</f>
        <v/>
      </c>
      <c r="O1321" s="37" t="str">
        <f aca="false">IF($M1321="","",TRIM(INDEX($A1321:$J1321,$O$6)&amp;""))</f>
        <v/>
      </c>
      <c r="P1321" s="37" t="str">
        <f aca="false">IF($M1321="","",IFERROR(IF(INDEX(Settings!$B$41:$B$50,MATCH(O1321,Settings!$A$41:$A$50,0))&amp;""="","UNMAPPED",INDEX(Settings!$B$41:$B$50,MATCH(O1321,Settings!$A$41:$A$50,0))&amp;""),"UNMAPPED"))</f>
        <v/>
      </c>
      <c r="Q1321" s="38" t="n">
        <f aca="false">IF($M1321="",0,N(INDEX($A1321:$J1321,$Q$6)))</f>
        <v>0</v>
      </c>
      <c r="R1321" s="39" t="str">
        <f aca="false">IF($M1321="","",INDEX($A1321:$J1321,$R$6))</f>
        <v/>
      </c>
      <c r="S1321" s="37" t="str">
        <f aca="false">IF($M1321="","",IFERROR(INDEX(Settings!$B$27:$B$36,MATCH(L1321,Settings!$A$27:$A$36,0))&amp;"","UNMAPPED"))</f>
        <v/>
      </c>
      <c r="T1321" s="37" t="str">
        <f aca="false">IF($M1321="","",IF(NOT(ISNUMBER(R1321)),"NO DATE",IF(S1321="Won",IF(R1321&gt;Settings!$B$5,"Backlog","Delivered"),IF(S1321="Open",IF(R1321&gt;Settings!$B$5,"Pipeline","Overdue"),IF(S1321="Lost","Lost","UNMAPPED")))))</f>
        <v/>
      </c>
      <c r="U1321" s="40" t="n">
        <f aca="false">IF(T1321="Backlog",1,IF(OR(T1321="Pipeline",T1321="Overdue"),N(INDEX(Settings!$C$27:$C$36,MATCH(L1321,Settings!$A$27:$A$36,0))),0))</f>
        <v>0</v>
      </c>
      <c r="V1321" s="38" t="n">
        <f aca="false">Q1321*U1321</f>
        <v>0</v>
      </c>
      <c r="W1321" s="41" t="str">
        <f aca="false">IF($M1321="","",IF(T1321="Overdue",IF(Settings!$B$8="Yes",Settings!$B$7,""),IF(ISNUMBER(R1321),DATE(YEAR(R1321),MONTH(R1321),1),"")))</f>
        <v/>
      </c>
      <c r="X1321" s="38" t="n">
        <f aca="false">IF(AND(OR(T1321="Backlog",T1321="Pipeline",T1321="Overdue"),ISNUMBER(W1321)),IF(W1321&lt;=Settings!$B$6,V1321,0),0)</f>
        <v>0</v>
      </c>
      <c r="Y1321" s="38" t="n">
        <f aca="false">IF(AND(OR(T1321="Backlog",T1321="Pipeline",T1321="Overdue"),ISNUMBER(W1321)),IF(W1321&lt;=Settings!$B$6,Q1321,0),0)</f>
        <v>0</v>
      </c>
      <c r="Z1321" s="38" t="n">
        <f aca="false">IF(Y1321=0,0,IF(T1321="Backlog",Q1321,Q1321*Dashboard!$C$10))</f>
        <v>0</v>
      </c>
      <c r="AA1321" s="37" t="n">
        <f aca="false">IF($N1321="",0,IF(COUNTIF(Dashboard!$C$13:$C$22,$N1321)&gt;0,1,0))</f>
        <v>0</v>
      </c>
      <c r="AB1321" s="37" t="str">
        <f aca="false">IF($N1321="","",IF(COUNTIF($N$8:$N1321,$N1321)=1,MAX($AB$7:$AB1320)+1,""))</f>
        <v/>
      </c>
    </row>
    <row r="1322" customFormat="false" ht="15" hidden="false" customHeight="false" outlineLevel="0" collapsed="false">
      <c r="L1322" s="37" t="str">
        <f aca="false">IF(INDEX($A1322:$J1322,$L$6)&lt;&gt;"",TRIM(LEFT(INDEX($A1322:$J1322,$L$6),FIND("(",INDEX($A1322:$J1322,$L$6)&amp;"(")-1)),L1321)</f>
        <v>Building Value Proposition</v>
      </c>
      <c r="M1322" s="37" t="str">
        <f aca="false">IF(INDEX($A1322:$J1322,$M$6)="","",INDEX($A1322:$J1322,$M$6)&amp;"")</f>
        <v/>
      </c>
      <c r="N1322" s="37" t="str">
        <f aca="false">IF($M1322="","",TRIM(INDEX($A1322:$J1322,$N$6)&amp;""))</f>
        <v/>
      </c>
      <c r="O1322" s="37" t="str">
        <f aca="false">IF($M1322="","",TRIM(INDEX($A1322:$J1322,$O$6)&amp;""))</f>
        <v/>
      </c>
      <c r="P1322" s="37" t="str">
        <f aca="false">IF($M1322="","",IFERROR(IF(INDEX(Settings!$B$41:$B$50,MATCH(O1322,Settings!$A$41:$A$50,0))&amp;""="","UNMAPPED",INDEX(Settings!$B$41:$B$50,MATCH(O1322,Settings!$A$41:$A$50,0))&amp;""),"UNMAPPED"))</f>
        <v/>
      </c>
      <c r="Q1322" s="38" t="n">
        <f aca="false">IF($M1322="",0,N(INDEX($A1322:$J1322,$Q$6)))</f>
        <v>0</v>
      </c>
      <c r="R1322" s="39" t="str">
        <f aca="false">IF($M1322="","",INDEX($A1322:$J1322,$R$6))</f>
        <v/>
      </c>
      <c r="S1322" s="37" t="str">
        <f aca="false">IF($M1322="","",IFERROR(INDEX(Settings!$B$27:$B$36,MATCH(L1322,Settings!$A$27:$A$36,0))&amp;"","UNMAPPED"))</f>
        <v/>
      </c>
      <c r="T1322" s="37" t="str">
        <f aca="false">IF($M1322="","",IF(NOT(ISNUMBER(R1322)),"NO DATE",IF(S1322="Won",IF(R1322&gt;Settings!$B$5,"Backlog","Delivered"),IF(S1322="Open",IF(R1322&gt;Settings!$B$5,"Pipeline","Overdue"),IF(S1322="Lost","Lost","UNMAPPED")))))</f>
        <v/>
      </c>
      <c r="U1322" s="40" t="n">
        <f aca="false">IF(T1322="Backlog",1,IF(OR(T1322="Pipeline",T1322="Overdue"),N(INDEX(Settings!$C$27:$C$36,MATCH(L1322,Settings!$A$27:$A$36,0))),0))</f>
        <v>0</v>
      </c>
      <c r="V1322" s="38" t="n">
        <f aca="false">Q1322*U1322</f>
        <v>0</v>
      </c>
      <c r="W1322" s="41" t="str">
        <f aca="false">IF($M1322="","",IF(T1322="Overdue",IF(Settings!$B$8="Yes",Settings!$B$7,""),IF(ISNUMBER(R1322),DATE(YEAR(R1322),MONTH(R1322),1),"")))</f>
        <v/>
      </c>
      <c r="X1322" s="38" t="n">
        <f aca="false">IF(AND(OR(T1322="Backlog",T1322="Pipeline",T1322="Overdue"),ISNUMBER(W1322)),IF(W1322&lt;=Settings!$B$6,V1322,0),0)</f>
        <v>0</v>
      </c>
      <c r="Y1322" s="38" t="n">
        <f aca="false">IF(AND(OR(T1322="Backlog",T1322="Pipeline",T1322="Overdue"),ISNUMBER(W1322)),IF(W1322&lt;=Settings!$B$6,Q1322,0),0)</f>
        <v>0</v>
      </c>
      <c r="Z1322" s="38" t="n">
        <f aca="false">IF(Y1322=0,0,IF(T1322="Backlog",Q1322,Q1322*Dashboard!$C$10))</f>
        <v>0</v>
      </c>
      <c r="AA1322" s="37" t="n">
        <f aca="false">IF($N1322="",0,IF(COUNTIF(Dashboard!$C$13:$C$22,$N1322)&gt;0,1,0))</f>
        <v>0</v>
      </c>
      <c r="AB1322" s="37" t="str">
        <f aca="false">IF($N1322="","",IF(COUNTIF($N$8:$N1322,$N1322)=1,MAX($AB$7:$AB1321)+1,""))</f>
        <v/>
      </c>
    </row>
    <row r="1323" customFormat="false" ht="15" hidden="false" customHeight="false" outlineLevel="0" collapsed="false">
      <c r="L1323" s="37" t="str">
        <f aca="false">IF(INDEX($A1323:$J1323,$L$6)&lt;&gt;"",TRIM(LEFT(INDEX($A1323:$J1323,$L$6),FIND("(",INDEX($A1323:$J1323,$L$6)&amp;"(")-1)),L1322)</f>
        <v>Building Value Proposition</v>
      </c>
      <c r="M1323" s="37" t="str">
        <f aca="false">IF(INDEX($A1323:$J1323,$M$6)="","",INDEX($A1323:$J1323,$M$6)&amp;"")</f>
        <v/>
      </c>
      <c r="N1323" s="37" t="str">
        <f aca="false">IF($M1323="","",TRIM(INDEX($A1323:$J1323,$N$6)&amp;""))</f>
        <v/>
      </c>
      <c r="O1323" s="37" t="str">
        <f aca="false">IF($M1323="","",TRIM(INDEX($A1323:$J1323,$O$6)&amp;""))</f>
        <v/>
      </c>
      <c r="P1323" s="37" t="str">
        <f aca="false">IF($M1323="","",IFERROR(IF(INDEX(Settings!$B$41:$B$50,MATCH(O1323,Settings!$A$41:$A$50,0))&amp;""="","UNMAPPED",INDEX(Settings!$B$41:$B$50,MATCH(O1323,Settings!$A$41:$A$50,0))&amp;""),"UNMAPPED"))</f>
        <v/>
      </c>
      <c r="Q1323" s="38" t="n">
        <f aca="false">IF($M1323="",0,N(INDEX($A1323:$J1323,$Q$6)))</f>
        <v>0</v>
      </c>
      <c r="R1323" s="39" t="str">
        <f aca="false">IF($M1323="","",INDEX($A1323:$J1323,$R$6))</f>
        <v/>
      </c>
      <c r="S1323" s="37" t="str">
        <f aca="false">IF($M1323="","",IFERROR(INDEX(Settings!$B$27:$B$36,MATCH(L1323,Settings!$A$27:$A$36,0))&amp;"","UNMAPPED"))</f>
        <v/>
      </c>
      <c r="T1323" s="37" t="str">
        <f aca="false">IF($M1323="","",IF(NOT(ISNUMBER(R1323)),"NO DATE",IF(S1323="Won",IF(R1323&gt;Settings!$B$5,"Backlog","Delivered"),IF(S1323="Open",IF(R1323&gt;Settings!$B$5,"Pipeline","Overdue"),IF(S1323="Lost","Lost","UNMAPPED")))))</f>
        <v/>
      </c>
      <c r="U1323" s="40" t="n">
        <f aca="false">IF(T1323="Backlog",1,IF(OR(T1323="Pipeline",T1323="Overdue"),N(INDEX(Settings!$C$27:$C$36,MATCH(L1323,Settings!$A$27:$A$36,0))),0))</f>
        <v>0</v>
      </c>
      <c r="V1323" s="38" t="n">
        <f aca="false">Q1323*U1323</f>
        <v>0</v>
      </c>
      <c r="W1323" s="41" t="str">
        <f aca="false">IF($M1323="","",IF(T1323="Overdue",IF(Settings!$B$8="Yes",Settings!$B$7,""),IF(ISNUMBER(R1323),DATE(YEAR(R1323),MONTH(R1323),1),"")))</f>
        <v/>
      </c>
      <c r="X1323" s="38" t="n">
        <f aca="false">IF(AND(OR(T1323="Backlog",T1323="Pipeline",T1323="Overdue"),ISNUMBER(W1323)),IF(W1323&lt;=Settings!$B$6,V1323,0),0)</f>
        <v>0</v>
      </c>
      <c r="Y1323" s="38" t="n">
        <f aca="false">IF(AND(OR(T1323="Backlog",T1323="Pipeline",T1323="Overdue"),ISNUMBER(W1323)),IF(W1323&lt;=Settings!$B$6,Q1323,0),0)</f>
        <v>0</v>
      </c>
      <c r="Z1323" s="38" t="n">
        <f aca="false">IF(Y1323=0,0,IF(T1323="Backlog",Q1323,Q1323*Dashboard!$C$10))</f>
        <v>0</v>
      </c>
      <c r="AA1323" s="37" t="n">
        <f aca="false">IF($N1323="",0,IF(COUNTIF(Dashboard!$C$13:$C$22,$N1323)&gt;0,1,0))</f>
        <v>0</v>
      </c>
      <c r="AB1323" s="37" t="str">
        <f aca="false">IF($N1323="","",IF(COUNTIF($N$8:$N1323,$N1323)=1,MAX($AB$7:$AB1322)+1,""))</f>
        <v/>
      </c>
    </row>
    <row r="1324" customFormat="false" ht="15" hidden="false" customHeight="false" outlineLevel="0" collapsed="false">
      <c r="L1324" s="37" t="str">
        <f aca="false">IF(INDEX($A1324:$J1324,$L$6)&lt;&gt;"",TRIM(LEFT(INDEX($A1324:$J1324,$L$6),FIND("(",INDEX($A1324:$J1324,$L$6)&amp;"(")-1)),L1323)</f>
        <v>Building Value Proposition</v>
      </c>
      <c r="M1324" s="37" t="str">
        <f aca="false">IF(INDEX($A1324:$J1324,$M$6)="","",INDEX($A1324:$J1324,$M$6)&amp;"")</f>
        <v/>
      </c>
      <c r="N1324" s="37" t="str">
        <f aca="false">IF($M1324="","",TRIM(INDEX($A1324:$J1324,$N$6)&amp;""))</f>
        <v/>
      </c>
      <c r="O1324" s="37" t="str">
        <f aca="false">IF($M1324="","",TRIM(INDEX($A1324:$J1324,$O$6)&amp;""))</f>
        <v/>
      </c>
      <c r="P1324" s="37" t="str">
        <f aca="false">IF($M1324="","",IFERROR(IF(INDEX(Settings!$B$41:$B$50,MATCH(O1324,Settings!$A$41:$A$50,0))&amp;""="","UNMAPPED",INDEX(Settings!$B$41:$B$50,MATCH(O1324,Settings!$A$41:$A$50,0))&amp;""),"UNMAPPED"))</f>
        <v/>
      </c>
      <c r="Q1324" s="38" t="n">
        <f aca="false">IF($M1324="",0,N(INDEX($A1324:$J1324,$Q$6)))</f>
        <v>0</v>
      </c>
      <c r="R1324" s="39" t="str">
        <f aca="false">IF($M1324="","",INDEX($A1324:$J1324,$R$6))</f>
        <v/>
      </c>
      <c r="S1324" s="37" t="str">
        <f aca="false">IF($M1324="","",IFERROR(INDEX(Settings!$B$27:$B$36,MATCH(L1324,Settings!$A$27:$A$36,0))&amp;"","UNMAPPED"))</f>
        <v/>
      </c>
      <c r="T1324" s="37" t="str">
        <f aca="false">IF($M1324="","",IF(NOT(ISNUMBER(R1324)),"NO DATE",IF(S1324="Won",IF(R1324&gt;Settings!$B$5,"Backlog","Delivered"),IF(S1324="Open",IF(R1324&gt;Settings!$B$5,"Pipeline","Overdue"),IF(S1324="Lost","Lost","UNMAPPED")))))</f>
        <v/>
      </c>
      <c r="U1324" s="40" t="n">
        <f aca="false">IF(T1324="Backlog",1,IF(OR(T1324="Pipeline",T1324="Overdue"),N(INDEX(Settings!$C$27:$C$36,MATCH(L1324,Settings!$A$27:$A$36,0))),0))</f>
        <v>0</v>
      </c>
      <c r="V1324" s="38" t="n">
        <f aca="false">Q1324*U1324</f>
        <v>0</v>
      </c>
      <c r="W1324" s="41" t="str">
        <f aca="false">IF($M1324="","",IF(T1324="Overdue",IF(Settings!$B$8="Yes",Settings!$B$7,""),IF(ISNUMBER(R1324),DATE(YEAR(R1324),MONTH(R1324),1),"")))</f>
        <v/>
      </c>
      <c r="X1324" s="38" t="n">
        <f aca="false">IF(AND(OR(T1324="Backlog",T1324="Pipeline",T1324="Overdue"),ISNUMBER(W1324)),IF(W1324&lt;=Settings!$B$6,V1324,0),0)</f>
        <v>0</v>
      </c>
      <c r="Y1324" s="38" t="n">
        <f aca="false">IF(AND(OR(T1324="Backlog",T1324="Pipeline",T1324="Overdue"),ISNUMBER(W1324)),IF(W1324&lt;=Settings!$B$6,Q1324,0),0)</f>
        <v>0</v>
      </c>
      <c r="Z1324" s="38" t="n">
        <f aca="false">IF(Y1324=0,0,IF(T1324="Backlog",Q1324,Q1324*Dashboard!$C$10))</f>
        <v>0</v>
      </c>
      <c r="AA1324" s="37" t="n">
        <f aca="false">IF($N1324="",0,IF(COUNTIF(Dashboard!$C$13:$C$22,$N1324)&gt;0,1,0))</f>
        <v>0</v>
      </c>
      <c r="AB1324" s="37" t="str">
        <f aca="false">IF($N1324="","",IF(COUNTIF($N$8:$N1324,$N1324)=1,MAX($AB$7:$AB1323)+1,""))</f>
        <v/>
      </c>
    </row>
    <row r="1325" customFormat="false" ht="15" hidden="false" customHeight="false" outlineLevel="0" collapsed="false">
      <c r="L1325" s="37" t="str">
        <f aca="false">IF(INDEX($A1325:$J1325,$L$6)&lt;&gt;"",TRIM(LEFT(INDEX($A1325:$J1325,$L$6),FIND("(",INDEX($A1325:$J1325,$L$6)&amp;"(")-1)),L1324)</f>
        <v>Building Value Proposition</v>
      </c>
      <c r="M1325" s="37" t="str">
        <f aca="false">IF(INDEX($A1325:$J1325,$M$6)="","",INDEX($A1325:$J1325,$M$6)&amp;"")</f>
        <v/>
      </c>
      <c r="N1325" s="37" t="str">
        <f aca="false">IF($M1325="","",TRIM(INDEX($A1325:$J1325,$N$6)&amp;""))</f>
        <v/>
      </c>
      <c r="O1325" s="37" t="str">
        <f aca="false">IF($M1325="","",TRIM(INDEX($A1325:$J1325,$O$6)&amp;""))</f>
        <v/>
      </c>
      <c r="P1325" s="37" t="str">
        <f aca="false">IF($M1325="","",IFERROR(IF(INDEX(Settings!$B$41:$B$50,MATCH(O1325,Settings!$A$41:$A$50,0))&amp;""="","UNMAPPED",INDEX(Settings!$B$41:$B$50,MATCH(O1325,Settings!$A$41:$A$50,0))&amp;""),"UNMAPPED"))</f>
        <v/>
      </c>
      <c r="Q1325" s="38" t="n">
        <f aca="false">IF($M1325="",0,N(INDEX($A1325:$J1325,$Q$6)))</f>
        <v>0</v>
      </c>
      <c r="R1325" s="39" t="str">
        <f aca="false">IF($M1325="","",INDEX($A1325:$J1325,$R$6))</f>
        <v/>
      </c>
      <c r="S1325" s="37" t="str">
        <f aca="false">IF($M1325="","",IFERROR(INDEX(Settings!$B$27:$B$36,MATCH(L1325,Settings!$A$27:$A$36,0))&amp;"","UNMAPPED"))</f>
        <v/>
      </c>
      <c r="T1325" s="37" t="str">
        <f aca="false">IF($M1325="","",IF(NOT(ISNUMBER(R1325)),"NO DATE",IF(S1325="Won",IF(R1325&gt;Settings!$B$5,"Backlog","Delivered"),IF(S1325="Open",IF(R1325&gt;Settings!$B$5,"Pipeline","Overdue"),IF(S1325="Lost","Lost","UNMAPPED")))))</f>
        <v/>
      </c>
      <c r="U1325" s="40" t="n">
        <f aca="false">IF(T1325="Backlog",1,IF(OR(T1325="Pipeline",T1325="Overdue"),N(INDEX(Settings!$C$27:$C$36,MATCH(L1325,Settings!$A$27:$A$36,0))),0))</f>
        <v>0</v>
      </c>
      <c r="V1325" s="38" t="n">
        <f aca="false">Q1325*U1325</f>
        <v>0</v>
      </c>
      <c r="W1325" s="41" t="str">
        <f aca="false">IF($M1325="","",IF(T1325="Overdue",IF(Settings!$B$8="Yes",Settings!$B$7,""),IF(ISNUMBER(R1325),DATE(YEAR(R1325),MONTH(R1325),1),"")))</f>
        <v/>
      </c>
      <c r="X1325" s="38" t="n">
        <f aca="false">IF(AND(OR(T1325="Backlog",T1325="Pipeline",T1325="Overdue"),ISNUMBER(W1325)),IF(W1325&lt;=Settings!$B$6,V1325,0),0)</f>
        <v>0</v>
      </c>
      <c r="Y1325" s="38" t="n">
        <f aca="false">IF(AND(OR(T1325="Backlog",T1325="Pipeline",T1325="Overdue"),ISNUMBER(W1325)),IF(W1325&lt;=Settings!$B$6,Q1325,0),0)</f>
        <v>0</v>
      </c>
      <c r="Z1325" s="38" t="n">
        <f aca="false">IF(Y1325=0,0,IF(T1325="Backlog",Q1325,Q1325*Dashboard!$C$10))</f>
        <v>0</v>
      </c>
      <c r="AA1325" s="37" t="n">
        <f aca="false">IF($N1325="",0,IF(COUNTIF(Dashboard!$C$13:$C$22,$N1325)&gt;0,1,0))</f>
        <v>0</v>
      </c>
      <c r="AB1325" s="37" t="str">
        <f aca="false">IF($N1325="","",IF(COUNTIF($N$8:$N1325,$N1325)=1,MAX($AB$7:$AB1324)+1,""))</f>
        <v/>
      </c>
    </row>
    <row r="1326" customFormat="false" ht="15" hidden="false" customHeight="false" outlineLevel="0" collapsed="false">
      <c r="L1326" s="37" t="str">
        <f aca="false">IF(INDEX($A1326:$J1326,$L$6)&lt;&gt;"",TRIM(LEFT(INDEX($A1326:$J1326,$L$6),FIND("(",INDEX($A1326:$J1326,$L$6)&amp;"(")-1)),L1325)</f>
        <v>Building Value Proposition</v>
      </c>
      <c r="M1326" s="37" t="str">
        <f aca="false">IF(INDEX($A1326:$J1326,$M$6)="","",INDEX($A1326:$J1326,$M$6)&amp;"")</f>
        <v/>
      </c>
      <c r="N1326" s="37" t="str">
        <f aca="false">IF($M1326="","",TRIM(INDEX($A1326:$J1326,$N$6)&amp;""))</f>
        <v/>
      </c>
      <c r="O1326" s="37" t="str">
        <f aca="false">IF($M1326="","",TRIM(INDEX($A1326:$J1326,$O$6)&amp;""))</f>
        <v/>
      </c>
      <c r="P1326" s="37" t="str">
        <f aca="false">IF($M1326="","",IFERROR(IF(INDEX(Settings!$B$41:$B$50,MATCH(O1326,Settings!$A$41:$A$50,0))&amp;""="","UNMAPPED",INDEX(Settings!$B$41:$B$50,MATCH(O1326,Settings!$A$41:$A$50,0))&amp;""),"UNMAPPED"))</f>
        <v/>
      </c>
      <c r="Q1326" s="38" t="n">
        <f aca="false">IF($M1326="",0,N(INDEX($A1326:$J1326,$Q$6)))</f>
        <v>0</v>
      </c>
      <c r="R1326" s="39" t="str">
        <f aca="false">IF($M1326="","",INDEX($A1326:$J1326,$R$6))</f>
        <v/>
      </c>
      <c r="S1326" s="37" t="str">
        <f aca="false">IF($M1326="","",IFERROR(INDEX(Settings!$B$27:$B$36,MATCH(L1326,Settings!$A$27:$A$36,0))&amp;"","UNMAPPED"))</f>
        <v/>
      </c>
      <c r="T1326" s="37" t="str">
        <f aca="false">IF($M1326="","",IF(NOT(ISNUMBER(R1326)),"NO DATE",IF(S1326="Won",IF(R1326&gt;Settings!$B$5,"Backlog","Delivered"),IF(S1326="Open",IF(R1326&gt;Settings!$B$5,"Pipeline","Overdue"),IF(S1326="Lost","Lost","UNMAPPED")))))</f>
        <v/>
      </c>
      <c r="U1326" s="40" t="n">
        <f aca="false">IF(T1326="Backlog",1,IF(OR(T1326="Pipeline",T1326="Overdue"),N(INDEX(Settings!$C$27:$C$36,MATCH(L1326,Settings!$A$27:$A$36,0))),0))</f>
        <v>0</v>
      </c>
      <c r="V1326" s="38" t="n">
        <f aca="false">Q1326*U1326</f>
        <v>0</v>
      </c>
      <c r="W1326" s="41" t="str">
        <f aca="false">IF($M1326="","",IF(T1326="Overdue",IF(Settings!$B$8="Yes",Settings!$B$7,""),IF(ISNUMBER(R1326),DATE(YEAR(R1326),MONTH(R1326),1),"")))</f>
        <v/>
      </c>
      <c r="X1326" s="38" t="n">
        <f aca="false">IF(AND(OR(T1326="Backlog",T1326="Pipeline",T1326="Overdue"),ISNUMBER(W1326)),IF(W1326&lt;=Settings!$B$6,V1326,0),0)</f>
        <v>0</v>
      </c>
      <c r="Y1326" s="38" t="n">
        <f aca="false">IF(AND(OR(T1326="Backlog",T1326="Pipeline",T1326="Overdue"),ISNUMBER(W1326)),IF(W1326&lt;=Settings!$B$6,Q1326,0),0)</f>
        <v>0</v>
      </c>
      <c r="Z1326" s="38" t="n">
        <f aca="false">IF(Y1326=0,0,IF(T1326="Backlog",Q1326,Q1326*Dashboard!$C$10))</f>
        <v>0</v>
      </c>
      <c r="AA1326" s="37" t="n">
        <f aca="false">IF($N1326="",0,IF(COUNTIF(Dashboard!$C$13:$C$22,$N1326)&gt;0,1,0))</f>
        <v>0</v>
      </c>
      <c r="AB1326" s="37" t="str">
        <f aca="false">IF($N1326="","",IF(COUNTIF($N$8:$N1326,$N1326)=1,MAX($AB$7:$AB1325)+1,""))</f>
        <v/>
      </c>
    </row>
    <row r="1327" customFormat="false" ht="15" hidden="false" customHeight="false" outlineLevel="0" collapsed="false">
      <c r="L1327" s="37" t="str">
        <f aca="false">IF(INDEX($A1327:$J1327,$L$6)&lt;&gt;"",TRIM(LEFT(INDEX($A1327:$J1327,$L$6),FIND("(",INDEX($A1327:$J1327,$L$6)&amp;"(")-1)),L1326)</f>
        <v>Building Value Proposition</v>
      </c>
      <c r="M1327" s="37" t="str">
        <f aca="false">IF(INDEX($A1327:$J1327,$M$6)="","",INDEX($A1327:$J1327,$M$6)&amp;"")</f>
        <v/>
      </c>
      <c r="N1327" s="37" t="str">
        <f aca="false">IF($M1327="","",TRIM(INDEX($A1327:$J1327,$N$6)&amp;""))</f>
        <v/>
      </c>
      <c r="O1327" s="37" t="str">
        <f aca="false">IF($M1327="","",TRIM(INDEX($A1327:$J1327,$O$6)&amp;""))</f>
        <v/>
      </c>
      <c r="P1327" s="37" t="str">
        <f aca="false">IF($M1327="","",IFERROR(IF(INDEX(Settings!$B$41:$B$50,MATCH(O1327,Settings!$A$41:$A$50,0))&amp;""="","UNMAPPED",INDEX(Settings!$B$41:$B$50,MATCH(O1327,Settings!$A$41:$A$50,0))&amp;""),"UNMAPPED"))</f>
        <v/>
      </c>
      <c r="Q1327" s="38" t="n">
        <f aca="false">IF($M1327="",0,N(INDEX($A1327:$J1327,$Q$6)))</f>
        <v>0</v>
      </c>
      <c r="R1327" s="39" t="str">
        <f aca="false">IF($M1327="","",INDEX($A1327:$J1327,$R$6))</f>
        <v/>
      </c>
      <c r="S1327" s="37" t="str">
        <f aca="false">IF($M1327="","",IFERROR(INDEX(Settings!$B$27:$B$36,MATCH(L1327,Settings!$A$27:$A$36,0))&amp;"","UNMAPPED"))</f>
        <v/>
      </c>
      <c r="T1327" s="37" t="str">
        <f aca="false">IF($M1327="","",IF(NOT(ISNUMBER(R1327)),"NO DATE",IF(S1327="Won",IF(R1327&gt;Settings!$B$5,"Backlog","Delivered"),IF(S1327="Open",IF(R1327&gt;Settings!$B$5,"Pipeline","Overdue"),IF(S1327="Lost","Lost","UNMAPPED")))))</f>
        <v/>
      </c>
      <c r="U1327" s="40" t="n">
        <f aca="false">IF(T1327="Backlog",1,IF(OR(T1327="Pipeline",T1327="Overdue"),N(INDEX(Settings!$C$27:$C$36,MATCH(L1327,Settings!$A$27:$A$36,0))),0))</f>
        <v>0</v>
      </c>
      <c r="V1327" s="38" t="n">
        <f aca="false">Q1327*U1327</f>
        <v>0</v>
      </c>
      <c r="W1327" s="41" t="str">
        <f aca="false">IF($M1327="","",IF(T1327="Overdue",IF(Settings!$B$8="Yes",Settings!$B$7,""),IF(ISNUMBER(R1327),DATE(YEAR(R1327),MONTH(R1327),1),"")))</f>
        <v/>
      </c>
      <c r="X1327" s="38" t="n">
        <f aca="false">IF(AND(OR(T1327="Backlog",T1327="Pipeline",T1327="Overdue"),ISNUMBER(W1327)),IF(W1327&lt;=Settings!$B$6,V1327,0),0)</f>
        <v>0</v>
      </c>
      <c r="Y1327" s="38" t="n">
        <f aca="false">IF(AND(OR(T1327="Backlog",T1327="Pipeline",T1327="Overdue"),ISNUMBER(W1327)),IF(W1327&lt;=Settings!$B$6,Q1327,0),0)</f>
        <v>0</v>
      </c>
      <c r="Z1327" s="38" t="n">
        <f aca="false">IF(Y1327=0,0,IF(T1327="Backlog",Q1327,Q1327*Dashboard!$C$10))</f>
        <v>0</v>
      </c>
      <c r="AA1327" s="37" t="n">
        <f aca="false">IF($N1327="",0,IF(COUNTIF(Dashboard!$C$13:$C$22,$N1327)&gt;0,1,0))</f>
        <v>0</v>
      </c>
      <c r="AB1327" s="37" t="str">
        <f aca="false">IF($N1327="","",IF(COUNTIF($N$8:$N1327,$N1327)=1,MAX($AB$7:$AB1326)+1,""))</f>
        <v/>
      </c>
    </row>
    <row r="1328" customFormat="false" ht="15" hidden="false" customHeight="false" outlineLevel="0" collapsed="false">
      <c r="L1328" s="37" t="str">
        <f aca="false">IF(INDEX($A1328:$J1328,$L$6)&lt;&gt;"",TRIM(LEFT(INDEX($A1328:$J1328,$L$6),FIND("(",INDEX($A1328:$J1328,$L$6)&amp;"(")-1)),L1327)</f>
        <v>Building Value Proposition</v>
      </c>
      <c r="M1328" s="37" t="str">
        <f aca="false">IF(INDEX($A1328:$J1328,$M$6)="","",INDEX($A1328:$J1328,$M$6)&amp;"")</f>
        <v/>
      </c>
      <c r="N1328" s="37" t="str">
        <f aca="false">IF($M1328="","",TRIM(INDEX($A1328:$J1328,$N$6)&amp;""))</f>
        <v/>
      </c>
      <c r="O1328" s="37" t="str">
        <f aca="false">IF($M1328="","",TRIM(INDEX($A1328:$J1328,$O$6)&amp;""))</f>
        <v/>
      </c>
      <c r="P1328" s="37" t="str">
        <f aca="false">IF($M1328="","",IFERROR(IF(INDEX(Settings!$B$41:$B$50,MATCH(O1328,Settings!$A$41:$A$50,0))&amp;""="","UNMAPPED",INDEX(Settings!$B$41:$B$50,MATCH(O1328,Settings!$A$41:$A$50,0))&amp;""),"UNMAPPED"))</f>
        <v/>
      </c>
      <c r="Q1328" s="38" t="n">
        <f aca="false">IF($M1328="",0,N(INDEX($A1328:$J1328,$Q$6)))</f>
        <v>0</v>
      </c>
      <c r="R1328" s="39" t="str">
        <f aca="false">IF($M1328="","",INDEX($A1328:$J1328,$R$6))</f>
        <v/>
      </c>
      <c r="S1328" s="37" t="str">
        <f aca="false">IF($M1328="","",IFERROR(INDEX(Settings!$B$27:$B$36,MATCH(L1328,Settings!$A$27:$A$36,0))&amp;"","UNMAPPED"))</f>
        <v/>
      </c>
      <c r="T1328" s="37" t="str">
        <f aca="false">IF($M1328="","",IF(NOT(ISNUMBER(R1328)),"NO DATE",IF(S1328="Won",IF(R1328&gt;Settings!$B$5,"Backlog","Delivered"),IF(S1328="Open",IF(R1328&gt;Settings!$B$5,"Pipeline","Overdue"),IF(S1328="Lost","Lost","UNMAPPED")))))</f>
        <v/>
      </c>
      <c r="U1328" s="40" t="n">
        <f aca="false">IF(T1328="Backlog",1,IF(OR(T1328="Pipeline",T1328="Overdue"),N(INDEX(Settings!$C$27:$C$36,MATCH(L1328,Settings!$A$27:$A$36,0))),0))</f>
        <v>0</v>
      </c>
      <c r="V1328" s="38" t="n">
        <f aca="false">Q1328*U1328</f>
        <v>0</v>
      </c>
      <c r="W1328" s="41" t="str">
        <f aca="false">IF($M1328="","",IF(T1328="Overdue",IF(Settings!$B$8="Yes",Settings!$B$7,""),IF(ISNUMBER(R1328),DATE(YEAR(R1328),MONTH(R1328),1),"")))</f>
        <v/>
      </c>
      <c r="X1328" s="38" t="n">
        <f aca="false">IF(AND(OR(T1328="Backlog",T1328="Pipeline",T1328="Overdue"),ISNUMBER(W1328)),IF(W1328&lt;=Settings!$B$6,V1328,0),0)</f>
        <v>0</v>
      </c>
      <c r="Y1328" s="38" t="n">
        <f aca="false">IF(AND(OR(T1328="Backlog",T1328="Pipeline",T1328="Overdue"),ISNUMBER(W1328)),IF(W1328&lt;=Settings!$B$6,Q1328,0),0)</f>
        <v>0</v>
      </c>
      <c r="Z1328" s="38" t="n">
        <f aca="false">IF(Y1328=0,0,IF(T1328="Backlog",Q1328,Q1328*Dashboard!$C$10))</f>
        <v>0</v>
      </c>
      <c r="AA1328" s="37" t="n">
        <f aca="false">IF($N1328="",0,IF(COUNTIF(Dashboard!$C$13:$C$22,$N1328)&gt;0,1,0))</f>
        <v>0</v>
      </c>
      <c r="AB1328" s="37" t="str">
        <f aca="false">IF($N1328="","",IF(COUNTIF($N$8:$N1328,$N1328)=1,MAX($AB$7:$AB1327)+1,""))</f>
        <v/>
      </c>
    </row>
    <row r="1329" customFormat="false" ht="15" hidden="false" customHeight="false" outlineLevel="0" collapsed="false">
      <c r="L1329" s="37" t="str">
        <f aca="false">IF(INDEX($A1329:$J1329,$L$6)&lt;&gt;"",TRIM(LEFT(INDEX($A1329:$J1329,$L$6),FIND("(",INDEX($A1329:$J1329,$L$6)&amp;"(")-1)),L1328)</f>
        <v>Building Value Proposition</v>
      </c>
      <c r="M1329" s="37" t="str">
        <f aca="false">IF(INDEX($A1329:$J1329,$M$6)="","",INDEX($A1329:$J1329,$M$6)&amp;"")</f>
        <v/>
      </c>
      <c r="N1329" s="37" t="str">
        <f aca="false">IF($M1329="","",TRIM(INDEX($A1329:$J1329,$N$6)&amp;""))</f>
        <v/>
      </c>
      <c r="O1329" s="37" t="str">
        <f aca="false">IF($M1329="","",TRIM(INDEX($A1329:$J1329,$O$6)&amp;""))</f>
        <v/>
      </c>
      <c r="P1329" s="37" t="str">
        <f aca="false">IF($M1329="","",IFERROR(IF(INDEX(Settings!$B$41:$B$50,MATCH(O1329,Settings!$A$41:$A$50,0))&amp;""="","UNMAPPED",INDEX(Settings!$B$41:$B$50,MATCH(O1329,Settings!$A$41:$A$50,0))&amp;""),"UNMAPPED"))</f>
        <v/>
      </c>
      <c r="Q1329" s="38" t="n">
        <f aca="false">IF($M1329="",0,N(INDEX($A1329:$J1329,$Q$6)))</f>
        <v>0</v>
      </c>
      <c r="R1329" s="39" t="str">
        <f aca="false">IF($M1329="","",INDEX($A1329:$J1329,$R$6))</f>
        <v/>
      </c>
      <c r="S1329" s="37" t="str">
        <f aca="false">IF($M1329="","",IFERROR(INDEX(Settings!$B$27:$B$36,MATCH(L1329,Settings!$A$27:$A$36,0))&amp;"","UNMAPPED"))</f>
        <v/>
      </c>
      <c r="T1329" s="37" t="str">
        <f aca="false">IF($M1329="","",IF(NOT(ISNUMBER(R1329)),"NO DATE",IF(S1329="Won",IF(R1329&gt;Settings!$B$5,"Backlog","Delivered"),IF(S1329="Open",IF(R1329&gt;Settings!$B$5,"Pipeline","Overdue"),IF(S1329="Lost","Lost","UNMAPPED")))))</f>
        <v/>
      </c>
      <c r="U1329" s="40" t="n">
        <f aca="false">IF(T1329="Backlog",1,IF(OR(T1329="Pipeline",T1329="Overdue"),N(INDEX(Settings!$C$27:$C$36,MATCH(L1329,Settings!$A$27:$A$36,0))),0))</f>
        <v>0</v>
      </c>
      <c r="V1329" s="38" t="n">
        <f aca="false">Q1329*U1329</f>
        <v>0</v>
      </c>
      <c r="W1329" s="41" t="str">
        <f aca="false">IF($M1329="","",IF(T1329="Overdue",IF(Settings!$B$8="Yes",Settings!$B$7,""),IF(ISNUMBER(R1329),DATE(YEAR(R1329),MONTH(R1329),1),"")))</f>
        <v/>
      </c>
      <c r="X1329" s="38" t="n">
        <f aca="false">IF(AND(OR(T1329="Backlog",T1329="Pipeline",T1329="Overdue"),ISNUMBER(W1329)),IF(W1329&lt;=Settings!$B$6,V1329,0),0)</f>
        <v>0</v>
      </c>
      <c r="Y1329" s="38" t="n">
        <f aca="false">IF(AND(OR(T1329="Backlog",T1329="Pipeline",T1329="Overdue"),ISNUMBER(W1329)),IF(W1329&lt;=Settings!$B$6,Q1329,0),0)</f>
        <v>0</v>
      </c>
      <c r="Z1329" s="38" t="n">
        <f aca="false">IF(Y1329=0,0,IF(T1329="Backlog",Q1329,Q1329*Dashboard!$C$10))</f>
        <v>0</v>
      </c>
      <c r="AA1329" s="37" t="n">
        <f aca="false">IF($N1329="",0,IF(COUNTIF(Dashboard!$C$13:$C$22,$N1329)&gt;0,1,0))</f>
        <v>0</v>
      </c>
      <c r="AB1329" s="37" t="str">
        <f aca="false">IF($N1329="","",IF(COUNTIF($N$8:$N1329,$N1329)=1,MAX($AB$7:$AB1328)+1,""))</f>
        <v/>
      </c>
    </row>
    <row r="1330" customFormat="false" ht="15" hidden="false" customHeight="false" outlineLevel="0" collapsed="false">
      <c r="L1330" s="37" t="str">
        <f aca="false">IF(INDEX($A1330:$J1330,$L$6)&lt;&gt;"",TRIM(LEFT(INDEX($A1330:$J1330,$L$6),FIND("(",INDEX($A1330:$J1330,$L$6)&amp;"(")-1)),L1329)</f>
        <v>Building Value Proposition</v>
      </c>
      <c r="M1330" s="37" t="str">
        <f aca="false">IF(INDEX($A1330:$J1330,$M$6)="","",INDEX($A1330:$J1330,$M$6)&amp;"")</f>
        <v/>
      </c>
      <c r="N1330" s="37" t="str">
        <f aca="false">IF($M1330="","",TRIM(INDEX($A1330:$J1330,$N$6)&amp;""))</f>
        <v/>
      </c>
      <c r="O1330" s="37" t="str">
        <f aca="false">IF($M1330="","",TRIM(INDEX($A1330:$J1330,$O$6)&amp;""))</f>
        <v/>
      </c>
      <c r="P1330" s="37" t="str">
        <f aca="false">IF($M1330="","",IFERROR(IF(INDEX(Settings!$B$41:$B$50,MATCH(O1330,Settings!$A$41:$A$50,0))&amp;""="","UNMAPPED",INDEX(Settings!$B$41:$B$50,MATCH(O1330,Settings!$A$41:$A$50,0))&amp;""),"UNMAPPED"))</f>
        <v/>
      </c>
      <c r="Q1330" s="38" t="n">
        <f aca="false">IF($M1330="",0,N(INDEX($A1330:$J1330,$Q$6)))</f>
        <v>0</v>
      </c>
      <c r="R1330" s="39" t="str">
        <f aca="false">IF($M1330="","",INDEX($A1330:$J1330,$R$6))</f>
        <v/>
      </c>
      <c r="S1330" s="37" t="str">
        <f aca="false">IF($M1330="","",IFERROR(INDEX(Settings!$B$27:$B$36,MATCH(L1330,Settings!$A$27:$A$36,0))&amp;"","UNMAPPED"))</f>
        <v/>
      </c>
      <c r="T1330" s="37" t="str">
        <f aca="false">IF($M1330="","",IF(NOT(ISNUMBER(R1330)),"NO DATE",IF(S1330="Won",IF(R1330&gt;Settings!$B$5,"Backlog","Delivered"),IF(S1330="Open",IF(R1330&gt;Settings!$B$5,"Pipeline","Overdue"),IF(S1330="Lost","Lost","UNMAPPED")))))</f>
        <v/>
      </c>
      <c r="U1330" s="40" t="n">
        <f aca="false">IF(T1330="Backlog",1,IF(OR(T1330="Pipeline",T1330="Overdue"),N(INDEX(Settings!$C$27:$C$36,MATCH(L1330,Settings!$A$27:$A$36,0))),0))</f>
        <v>0</v>
      </c>
      <c r="V1330" s="38" t="n">
        <f aca="false">Q1330*U1330</f>
        <v>0</v>
      </c>
      <c r="W1330" s="41" t="str">
        <f aca="false">IF($M1330="","",IF(T1330="Overdue",IF(Settings!$B$8="Yes",Settings!$B$7,""),IF(ISNUMBER(R1330),DATE(YEAR(R1330),MONTH(R1330),1),"")))</f>
        <v/>
      </c>
      <c r="X1330" s="38" t="n">
        <f aca="false">IF(AND(OR(T1330="Backlog",T1330="Pipeline",T1330="Overdue"),ISNUMBER(W1330)),IF(W1330&lt;=Settings!$B$6,V1330,0),0)</f>
        <v>0</v>
      </c>
      <c r="Y1330" s="38" t="n">
        <f aca="false">IF(AND(OR(T1330="Backlog",T1330="Pipeline",T1330="Overdue"),ISNUMBER(W1330)),IF(W1330&lt;=Settings!$B$6,Q1330,0),0)</f>
        <v>0</v>
      </c>
      <c r="Z1330" s="38" t="n">
        <f aca="false">IF(Y1330=0,0,IF(T1330="Backlog",Q1330,Q1330*Dashboard!$C$10))</f>
        <v>0</v>
      </c>
      <c r="AA1330" s="37" t="n">
        <f aca="false">IF($N1330="",0,IF(COUNTIF(Dashboard!$C$13:$C$22,$N1330)&gt;0,1,0))</f>
        <v>0</v>
      </c>
      <c r="AB1330" s="37" t="str">
        <f aca="false">IF($N1330="","",IF(COUNTIF($N$8:$N1330,$N1330)=1,MAX($AB$7:$AB1329)+1,""))</f>
        <v/>
      </c>
    </row>
    <row r="1331" customFormat="false" ht="15" hidden="false" customHeight="false" outlineLevel="0" collapsed="false">
      <c r="L1331" s="37" t="str">
        <f aca="false">IF(INDEX($A1331:$J1331,$L$6)&lt;&gt;"",TRIM(LEFT(INDEX($A1331:$J1331,$L$6),FIND("(",INDEX($A1331:$J1331,$L$6)&amp;"(")-1)),L1330)</f>
        <v>Building Value Proposition</v>
      </c>
      <c r="M1331" s="37" t="str">
        <f aca="false">IF(INDEX($A1331:$J1331,$M$6)="","",INDEX($A1331:$J1331,$M$6)&amp;"")</f>
        <v/>
      </c>
      <c r="N1331" s="37" t="str">
        <f aca="false">IF($M1331="","",TRIM(INDEX($A1331:$J1331,$N$6)&amp;""))</f>
        <v/>
      </c>
      <c r="O1331" s="37" t="str">
        <f aca="false">IF($M1331="","",TRIM(INDEX($A1331:$J1331,$O$6)&amp;""))</f>
        <v/>
      </c>
      <c r="P1331" s="37" t="str">
        <f aca="false">IF($M1331="","",IFERROR(IF(INDEX(Settings!$B$41:$B$50,MATCH(O1331,Settings!$A$41:$A$50,0))&amp;""="","UNMAPPED",INDEX(Settings!$B$41:$B$50,MATCH(O1331,Settings!$A$41:$A$50,0))&amp;""),"UNMAPPED"))</f>
        <v/>
      </c>
      <c r="Q1331" s="38" t="n">
        <f aca="false">IF($M1331="",0,N(INDEX($A1331:$J1331,$Q$6)))</f>
        <v>0</v>
      </c>
      <c r="R1331" s="39" t="str">
        <f aca="false">IF($M1331="","",INDEX($A1331:$J1331,$R$6))</f>
        <v/>
      </c>
      <c r="S1331" s="37" t="str">
        <f aca="false">IF($M1331="","",IFERROR(INDEX(Settings!$B$27:$B$36,MATCH(L1331,Settings!$A$27:$A$36,0))&amp;"","UNMAPPED"))</f>
        <v/>
      </c>
      <c r="T1331" s="37" t="str">
        <f aca="false">IF($M1331="","",IF(NOT(ISNUMBER(R1331)),"NO DATE",IF(S1331="Won",IF(R1331&gt;Settings!$B$5,"Backlog","Delivered"),IF(S1331="Open",IF(R1331&gt;Settings!$B$5,"Pipeline","Overdue"),IF(S1331="Lost","Lost","UNMAPPED")))))</f>
        <v/>
      </c>
      <c r="U1331" s="40" t="n">
        <f aca="false">IF(T1331="Backlog",1,IF(OR(T1331="Pipeline",T1331="Overdue"),N(INDEX(Settings!$C$27:$C$36,MATCH(L1331,Settings!$A$27:$A$36,0))),0))</f>
        <v>0</v>
      </c>
      <c r="V1331" s="38" t="n">
        <f aca="false">Q1331*U1331</f>
        <v>0</v>
      </c>
      <c r="W1331" s="41" t="str">
        <f aca="false">IF($M1331="","",IF(T1331="Overdue",IF(Settings!$B$8="Yes",Settings!$B$7,""),IF(ISNUMBER(R1331),DATE(YEAR(R1331),MONTH(R1331),1),"")))</f>
        <v/>
      </c>
      <c r="X1331" s="38" t="n">
        <f aca="false">IF(AND(OR(T1331="Backlog",T1331="Pipeline",T1331="Overdue"),ISNUMBER(W1331)),IF(W1331&lt;=Settings!$B$6,V1331,0),0)</f>
        <v>0</v>
      </c>
      <c r="Y1331" s="38" t="n">
        <f aca="false">IF(AND(OR(T1331="Backlog",T1331="Pipeline",T1331="Overdue"),ISNUMBER(W1331)),IF(W1331&lt;=Settings!$B$6,Q1331,0),0)</f>
        <v>0</v>
      </c>
      <c r="Z1331" s="38" t="n">
        <f aca="false">IF(Y1331=0,0,IF(T1331="Backlog",Q1331,Q1331*Dashboard!$C$10))</f>
        <v>0</v>
      </c>
      <c r="AA1331" s="37" t="n">
        <f aca="false">IF($N1331="",0,IF(COUNTIF(Dashboard!$C$13:$C$22,$N1331)&gt;0,1,0))</f>
        <v>0</v>
      </c>
      <c r="AB1331" s="37" t="str">
        <f aca="false">IF($N1331="","",IF(COUNTIF($N$8:$N1331,$N1331)=1,MAX($AB$7:$AB1330)+1,""))</f>
        <v/>
      </c>
    </row>
    <row r="1332" customFormat="false" ht="15" hidden="false" customHeight="false" outlineLevel="0" collapsed="false">
      <c r="L1332" s="37" t="str">
        <f aca="false">IF(INDEX($A1332:$J1332,$L$6)&lt;&gt;"",TRIM(LEFT(INDEX($A1332:$J1332,$L$6),FIND("(",INDEX($A1332:$J1332,$L$6)&amp;"(")-1)),L1331)</f>
        <v>Building Value Proposition</v>
      </c>
      <c r="M1332" s="37" t="str">
        <f aca="false">IF(INDEX($A1332:$J1332,$M$6)="","",INDEX($A1332:$J1332,$M$6)&amp;"")</f>
        <v/>
      </c>
      <c r="N1332" s="37" t="str">
        <f aca="false">IF($M1332="","",TRIM(INDEX($A1332:$J1332,$N$6)&amp;""))</f>
        <v/>
      </c>
      <c r="O1332" s="37" t="str">
        <f aca="false">IF($M1332="","",TRIM(INDEX($A1332:$J1332,$O$6)&amp;""))</f>
        <v/>
      </c>
      <c r="P1332" s="37" t="str">
        <f aca="false">IF($M1332="","",IFERROR(IF(INDEX(Settings!$B$41:$B$50,MATCH(O1332,Settings!$A$41:$A$50,0))&amp;""="","UNMAPPED",INDEX(Settings!$B$41:$B$50,MATCH(O1332,Settings!$A$41:$A$50,0))&amp;""),"UNMAPPED"))</f>
        <v/>
      </c>
      <c r="Q1332" s="38" t="n">
        <f aca="false">IF($M1332="",0,N(INDEX($A1332:$J1332,$Q$6)))</f>
        <v>0</v>
      </c>
      <c r="R1332" s="39" t="str">
        <f aca="false">IF($M1332="","",INDEX($A1332:$J1332,$R$6))</f>
        <v/>
      </c>
      <c r="S1332" s="37" t="str">
        <f aca="false">IF($M1332="","",IFERROR(INDEX(Settings!$B$27:$B$36,MATCH(L1332,Settings!$A$27:$A$36,0))&amp;"","UNMAPPED"))</f>
        <v/>
      </c>
      <c r="T1332" s="37" t="str">
        <f aca="false">IF($M1332="","",IF(NOT(ISNUMBER(R1332)),"NO DATE",IF(S1332="Won",IF(R1332&gt;Settings!$B$5,"Backlog","Delivered"),IF(S1332="Open",IF(R1332&gt;Settings!$B$5,"Pipeline","Overdue"),IF(S1332="Lost","Lost","UNMAPPED")))))</f>
        <v/>
      </c>
      <c r="U1332" s="40" t="n">
        <f aca="false">IF(T1332="Backlog",1,IF(OR(T1332="Pipeline",T1332="Overdue"),N(INDEX(Settings!$C$27:$C$36,MATCH(L1332,Settings!$A$27:$A$36,0))),0))</f>
        <v>0</v>
      </c>
      <c r="V1332" s="38" t="n">
        <f aca="false">Q1332*U1332</f>
        <v>0</v>
      </c>
      <c r="W1332" s="41" t="str">
        <f aca="false">IF($M1332="","",IF(T1332="Overdue",IF(Settings!$B$8="Yes",Settings!$B$7,""),IF(ISNUMBER(R1332),DATE(YEAR(R1332),MONTH(R1332),1),"")))</f>
        <v/>
      </c>
      <c r="X1332" s="38" t="n">
        <f aca="false">IF(AND(OR(T1332="Backlog",T1332="Pipeline",T1332="Overdue"),ISNUMBER(W1332)),IF(W1332&lt;=Settings!$B$6,V1332,0),0)</f>
        <v>0</v>
      </c>
      <c r="Y1332" s="38" t="n">
        <f aca="false">IF(AND(OR(T1332="Backlog",T1332="Pipeline",T1332="Overdue"),ISNUMBER(W1332)),IF(W1332&lt;=Settings!$B$6,Q1332,0),0)</f>
        <v>0</v>
      </c>
      <c r="Z1332" s="38" t="n">
        <f aca="false">IF(Y1332=0,0,IF(T1332="Backlog",Q1332,Q1332*Dashboard!$C$10))</f>
        <v>0</v>
      </c>
      <c r="AA1332" s="37" t="n">
        <f aca="false">IF($N1332="",0,IF(COUNTIF(Dashboard!$C$13:$C$22,$N1332)&gt;0,1,0))</f>
        <v>0</v>
      </c>
      <c r="AB1332" s="37" t="str">
        <f aca="false">IF($N1332="","",IF(COUNTIF($N$8:$N1332,$N1332)=1,MAX($AB$7:$AB1331)+1,""))</f>
        <v/>
      </c>
    </row>
    <row r="1333" customFormat="false" ht="15" hidden="false" customHeight="false" outlineLevel="0" collapsed="false">
      <c r="L1333" s="37" t="str">
        <f aca="false">IF(INDEX($A1333:$J1333,$L$6)&lt;&gt;"",TRIM(LEFT(INDEX($A1333:$J1333,$L$6),FIND("(",INDEX($A1333:$J1333,$L$6)&amp;"(")-1)),L1332)</f>
        <v>Building Value Proposition</v>
      </c>
      <c r="M1333" s="37" t="str">
        <f aca="false">IF(INDEX($A1333:$J1333,$M$6)="","",INDEX($A1333:$J1333,$M$6)&amp;"")</f>
        <v/>
      </c>
      <c r="N1333" s="37" t="str">
        <f aca="false">IF($M1333="","",TRIM(INDEX($A1333:$J1333,$N$6)&amp;""))</f>
        <v/>
      </c>
      <c r="O1333" s="37" t="str">
        <f aca="false">IF($M1333="","",TRIM(INDEX($A1333:$J1333,$O$6)&amp;""))</f>
        <v/>
      </c>
      <c r="P1333" s="37" t="str">
        <f aca="false">IF($M1333="","",IFERROR(IF(INDEX(Settings!$B$41:$B$50,MATCH(O1333,Settings!$A$41:$A$50,0))&amp;""="","UNMAPPED",INDEX(Settings!$B$41:$B$50,MATCH(O1333,Settings!$A$41:$A$50,0))&amp;""),"UNMAPPED"))</f>
        <v/>
      </c>
      <c r="Q1333" s="38" t="n">
        <f aca="false">IF($M1333="",0,N(INDEX($A1333:$J1333,$Q$6)))</f>
        <v>0</v>
      </c>
      <c r="R1333" s="39" t="str">
        <f aca="false">IF($M1333="","",INDEX($A1333:$J1333,$R$6))</f>
        <v/>
      </c>
      <c r="S1333" s="37" t="str">
        <f aca="false">IF($M1333="","",IFERROR(INDEX(Settings!$B$27:$B$36,MATCH(L1333,Settings!$A$27:$A$36,0))&amp;"","UNMAPPED"))</f>
        <v/>
      </c>
      <c r="T1333" s="37" t="str">
        <f aca="false">IF($M1333="","",IF(NOT(ISNUMBER(R1333)),"NO DATE",IF(S1333="Won",IF(R1333&gt;Settings!$B$5,"Backlog","Delivered"),IF(S1333="Open",IF(R1333&gt;Settings!$B$5,"Pipeline","Overdue"),IF(S1333="Lost","Lost","UNMAPPED")))))</f>
        <v/>
      </c>
      <c r="U1333" s="40" t="n">
        <f aca="false">IF(T1333="Backlog",1,IF(OR(T1333="Pipeline",T1333="Overdue"),N(INDEX(Settings!$C$27:$C$36,MATCH(L1333,Settings!$A$27:$A$36,0))),0))</f>
        <v>0</v>
      </c>
      <c r="V1333" s="38" t="n">
        <f aca="false">Q1333*U1333</f>
        <v>0</v>
      </c>
      <c r="W1333" s="41" t="str">
        <f aca="false">IF($M1333="","",IF(T1333="Overdue",IF(Settings!$B$8="Yes",Settings!$B$7,""),IF(ISNUMBER(R1333),DATE(YEAR(R1333),MONTH(R1333),1),"")))</f>
        <v/>
      </c>
      <c r="X1333" s="38" t="n">
        <f aca="false">IF(AND(OR(T1333="Backlog",T1333="Pipeline",T1333="Overdue"),ISNUMBER(W1333)),IF(W1333&lt;=Settings!$B$6,V1333,0),0)</f>
        <v>0</v>
      </c>
      <c r="Y1333" s="38" t="n">
        <f aca="false">IF(AND(OR(T1333="Backlog",T1333="Pipeline",T1333="Overdue"),ISNUMBER(W1333)),IF(W1333&lt;=Settings!$B$6,Q1333,0),0)</f>
        <v>0</v>
      </c>
      <c r="Z1333" s="38" t="n">
        <f aca="false">IF(Y1333=0,0,IF(T1333="Backlog",Q1333,Q1333*Dashboard!$C$10))</f>
        <v>0</v>
      </c>
      <c r="AA1333" s="37" t="n">
        <f aca="false">IF($N1333="",0,IF(COUNTIF(Dashboard!$C$13:$C$22,$N1333)&gt;0,1,0))</f>
        <v>0</v>
      </c>
      <c r="AB1333" s="37" t="str">
        <f aca="false">IF($N1333="","",IF(COUNTIF($N$8:$N1333,$N1333)=1,MAX($AB$7:$AB1332)+1,""))</f>
        <v/>
      </c>
    </row>
    <row r="1334" customFormat="false" ht="15" hidden="false" customHeight="false" outlineLevel="0" collapsed="false">
      <c r="L1334" s="37" t="str">
        <f aca="false">IF(INDEX($A1334:$J1334,$L$6)&lt;&gt;"",TRIM(LEFT(INDEX($A1334:$J1334,$L$6),FIND("(",INDEX($A1334:$J1334,$L$6)&amp;"(")-1)),L1333)</f>
        <v>Building Value Proposition</v>
      </c>
      <c r="M1334" s="37" t="str">
        <f aca="false">IF(INDEX($A1334:$J1334,$M$6)="","",INDEX($A1334:$J1334,$M$6)&amp;"")</f>
        <v/>
      </c>
      <c r="N1334" s="37" t="str">
        <f aca="false">IF($M1334="","",TRIM(INDEX($A1334:$J1334,$N$6)&amp;""))</f>
        <v/>
      </c>
      <c r="O1334" s="37" t="str">
        <f aca="false">IF($M1334="","",TRIM(INDEX($A1334:$J1334,$O$6)&amp;""))</f>
        <v/>
      </c>
      <c r="P1334" s="37" t="str">
        <f aca="false">IF($M1334="","",IFERROR(IF(INDEX(Settings!$B$41:$B$50,MATCH(O1334,Settings!$A$41:$A$50,0))&amp;""="","UNMAPPED",INDEX(Settings!$B$41:$B$50,MATCH(O1334,Settings!$A$41:$A$50,0))&amp;""),"UNMAPPED"))</f>
        <v/>
      </c>
      <c r="Q1334" s="38" t="n">
        <f aca="false">IF($M1334="",0,N(INDEX($A1334:$J1334,$Q$6)))</f>
        <v>0</v>
      </c>
      <c r="R1334" s="39" t="str">
        <f aca="false">IF($M1334="","",INDEX($A1334:$J1334,$R$6))</f>
        <v/>
      </c>
      <c r="S1334" s="37" t="str">
        <f aca="false">IF($M1334="","",IFERROR(INDEX(Settings!$B$27:$B$36,MATCH(L1334,Settings!$A$27:$A$36,0))&amp;"","UNMAPPED"))</f>
        <v/>
      </c>
      <c r="T1334" s="37" t="str">
        <f aca="false">IF($M1334="","",IF(NOT(ISNUMBER(R1334)),"NO DATE",IF(S1334="Won",IF(R1334&gt;Settings!$B$5,"Backlog","Delivered"),IF(S1334="Open",IF(R1334&gt;Settings!$B$5,"Pipeline","Overdue"),IF(S1334="Lost","Lost","UNMAPPED")))))</f>
        <v/>
      </c>
      <c r="U1334" s="40" t="n">
        <f aca="false">IF(T1334="Backlog",1,IF(OR(T1334="Pipeline",T1334="Overdue"),N(INDEX(Settings!$C$27:$C$36,MATCH(L1334,Settings!$A$27:$A$36,0))),0))</f>
        <v>0</v>
      </c>
      <c r="V1334" s="38" t="n">
        <f aca="false">Q1334*U1334</f>
        <v>0</v>
      </c>
      <c r="W1334" s="41" t="str">
        <f aca="false">IF($M1334="","",IF(T1334="Overdue",IF(Settings!$B$8="Yes",Settings!$B$7,""),IF(ISNUMBER(R1334),DATE(YEAR(R1334),MONTH(R1334),1),"")))</f>
        <v/>
      </c>
      <c r="X1334" s="38" t="n">
        <f aca="false">IF(AND(OR(T1334="Backlog",T1334="Pipeline",T1334="Overdue"),ISNUMBER(W1334)),IF(W1334&lt;=Settings!$B$6,V1334,0),0)</f>
        <v>0</v>
      </c>
      <c r="Y1334" s="38" t="n">
        <f aca="false">IF(AND(OR(T1334="Backlog",T1334="Pipeline",T1334="Overdue"),ISNUMBER(W1334)),IF(W1334&lt;=Settings!$B$6,Q1334,0),0)</f>
        <v>0</v>
      </c>
      <c r="Z1334" s="38" t="n">
        <f aca="false">IF(Y1334=0,0,IF(T1334="Backlog",Q1334,Q1334*Dashboard!$C$10))</f>
        <v>0</v>
      </c>
      <c r="AA1334" s="37" t="n">
        <f aca="false">IF($N1334="",0,IF(COUNTIF(Dashboard!$C$13:$C$22,$N1334)&gt;0,1,0))</f>
        <v>0</v>
      </c>
      <c r="AB1334" s="37" t="str">
        <f aca="false">IF($N1334="","",IF(COUNTIF($N$8:$N1334,$N1334)=1,MAX($AB$7:$AB1333)+1,""))</f>
        <v/>
      </c>
    </row>
    <row r="1335" customFormat="false" ht="15" hidden="false" customHeight="false" outlineLevel="0" collapsed="false">
      <c r="L1335" s="37" t="str">
        <f aca="false">IF(INDEX($A1335:$J1335,$L$6)&lt;&gt;"",TRIM(LEFT(INDEX($A1335:$J1335,$L$6),FIND("(",INDEX($A1335:$J1335,$L$6)&amp;"(")-1)),L1334)</f>
        <v>Building Value Proposition</v>
      </c>
      <c r="M1335" s="37" t="str">
        <f aca="false">IF(INDEX($A1335:$J1335,$M$6)="","",INDEX($A1335:$J1335,$M$6)&amp;"")</f>
        <v/>
      </c>
      <c r="N1335" s="37" t="str">
        <f aca="false">IF($M1335="","",TRIM(INDEX($A1335:$J1335,$N$6)&amp;""))</f>
        <v/>
      </c>
      <c r="O1335" s="37" t="str">
        <f aca="false">IF($M1335="","",TRIM(INDEX($A1335:$J1335,$O$6)&amp;""))</f>
        <v/>
      </c>
      <c r="P1335" s="37" t="str">
        <f aca="false">IF($M1335="","",IFERROR(IF(INDEX(Settings!$B$41:$B$50,MATCH(O1335,Settings!$A$41:$A$50,0))&amp;""="","UNMAPPED",INDEX(Settings!$B$41:$B$50,MATCH(O1335,Settings!$A$41:$A$50,0))&amp;""),"UNMAPPED"))</f>
        <v/>
      </c>
      <c r="Q1335" s="38" t="n">
        <f aca="false">IF($M1335="",0,N(INDEX($A1335:$J1335,$Q$6)))</f>
        <v>0</v>
      </c>
      <c r="R1335" s="39" t="str">
        <f aca="false">IF($M1335="","",INDEX($A1335:$J1335,$R$6))</f>
        <v/>
      </c>
      <c r="S1335" s="37" t="str">
        <f aca="false">IF($M1335="","",IFERROR(INDEX(Settings!$B$27:$B$36,MATCH(L1335,Settings!$A$27:$A$36,0))&amp;"","UNMAPPED"))</f>
        <v/>
      </c>
      <c r="T1335" s="37" t="str">
        <f aca="false">IF($M1335="","",IF(NOT(ISNUMBER(R1335)),"NO DATE",IF(S1335="Won",IF(R1335&gt;Settings!$B$5,"Backlog","Delivered"),IF(S1335="Open",IF(R1335&gt;Settings!$B$5,"Pipeline","Overdue"),IF(S1335="Lost","Lost","UNMAPPED")))))</f>
        <v/>
      </c>
      <c r="U1335" s="40" t="n">
        <f aca="false">IF(T1335="Backlog",1,IF(OR(T1335="Pipeline",T1335="Overdue"),N(INDEX(Settings!$C$27:$C$36,MATCH(L1335,Settings!$A$27:$A$36,0))),0))</f>
        <v>0</v>
      </c>
      <c r="V1335" s="38" t="n">
        <f aca="false">Q1335*U1335</f>
        <v>0</v>
      </c>
      <c r="W1335" s="41" t="str">
        <f aca="false">IF($M1335="","",IF(T1335="Overdue",IF(Settings!$B$8="Yes",Settings!$B$7,""),IF(ISNUMBER(R1335),DATE(YEAR(R1335),MONTH(R1335),1),"")))</f>
        <v/>
      </c>
      <c r="X1335" s="38" t="n">
        <f aca="false">IF(AND(OR(T1335="Backlog",T1335="Pipeline",T1335="Overdue"),ISNUMBER(W1335)),IF(W1335&lt;=Settings!$B$6,V1335,0),0)</f>
        <v>0</v>
      </c>
      <c r="Y1335" s="38" t="n">
        <f aca="false">IF(AND(OR(T1335="Backlog",T1335="Pipeline",T1335="Overdue"),ISNUMBER(W1335)),IF(W1335&lt;=Settings!$B$6,Q1335,0),0)</f>
        <v>0</v>
      </c>
      <c r="Z1335" s="38" t="n">
        <f aca="false">IF(Y1335=0,0,IF(T1335="Backlog",Q1335,Q1335*Dashboard!$C$10))</f>
        <v>0</v>
      </c>
      <c r="AA1335" s="37" t="n">
        <f aca="false">IF($N1335="",0,IF(COUNTIF(Dashboard!$C$13:$C$22,$N1335)&gt;0,1,0))</f>
        <v>0</v>
      </c>
      <c r="AB1335" s="37" t="str">
        <f aca="false">IF($N1335="","",IF(COUNTIF($N$8:$N1335,$N1335)=1,MAX($AB$7:$AB1334)+1,""))</f>
        <v/>
      </c>
    </row>
    <row r="1336" customFormat="false" ht="15" hidden="false" customHeight="false" outlineLevel="0" collapsed="false">
      <c r="L1336" s="37" t="str">
        <f aca="false">IF(INDEX($A1336:$J1336,$L$6)&lt;&gt;"",TRIM(LEFT(INDEX($A1336:$J1336,$L$6),FIND("(",INDEX($A1336:$J1336,$L$6)&amp;"(")-1)),L1335)</f>
        <v>Building Value Proposition</v>
      </c>
      <c r="M1336" s="37" t="str">
        <f aca="false">IF(INDEX($A1336:$J1336,$M$6)="","",INDEX($A1336:$J1336,$M$6)&amp;"")</f>
        <v/>
      </c>
      <c r="N1336" s="37" t="str">
        <f aca="false">IF($M1336="","",TRIM(INDEX($A1336:$J1336,$N$6)&amp;""))</f>
        <v/>
      </c>
      <c r="O1336" s="37" t="str">
        <f aca="false">IF($M1336="","",TRIM(INDEX($A1336:$J1336,$O$6)&amp;""))</f>
        <v/>
      </c>
      <c r="P1336" s="37" t="str">
        <f aca="false">IF($M1336="","",IFERROR(IF(INDEX(Settings!$B$41:$B$50,MATCH(O1336,Settings!$A$41:$A$50,0))&amp;""="","UNMAPPED",INDEX(Settings!$B$41:$B$50,MATCH(O1336,Settings!$A$41:$A$50,0))&amp;""),"UNMAPPED"))</f>
        <v/>
      </c>
      <c r="Q1336" s="38" t="n">
        <f aca="false">IF($M1336="",0,N(INDEX($A1336:$J1336,$Q$6)))</f>
        <v>0</v>
      </c>
      <c r="R1336" s="39" t="str">
        <f aca="false">IF($M1336="","",INDEX($A1336:$J1336,$R$6))</f>
        <v/>
      </c>
      <c r="S1336" s="37" t="str">
        <f aca="false">IF($M1336="","",IFERROR(INDEX(Settings!$B$27:$B$36,MATCH(L1336,Settings!$A$27:$A$36,0))&amp;"","UNMAPPED"))</f>
        <v/>
      </c>
      <c r="T1336" s="37" t="str">
        <f aca="false">IF($M1336="","",IF(NOT(ISNUMBER(R1336)),"NO DATE",IF(S1336="Won",IF(R1336&gt;Settings!$B$5,"Backlog","Delivered"),IF(S1336="Open",IF(R1336&gt;Settings!$B$5,"Pipeline","Overdue"),IF(S1336="Lost","Lost","UNMAPPED")))))</f>
        <v/>
      </c>
      <c r="U1336" s="40" t="n">
        <f aca="false">IF(T1336="Backlog",1,IF(OR(T1336="Pipeline",T1336="Overdue"),N(INDEX(Settings!$C$27:$C$36,MATCH(L1336,Settings!$A$27:$A$36,0))),0))</f>
        <v>0</v>
      </c>
      <c r="V1336" s="38" t="n">
        <f aca="false">Q1336*U1336</f>
        <v>0</v>
      </c>
      <c r="W1336" s="41" t="str">
        <f aca="false">IF($M1336="","",IF(T1336="Overdue",IF(Settings!$B$8="Yes",Settings!$B$7,""),IF(ISNUMBER(R1336),DATE(YEAR(R1336),MONTH(R1336),1),"")))</f>
        <v/>
      </c>
      <c r="X1336" s="38" t="n">
        <f aca="false">IF(AND(OR(T1336="Backlog",T1336="Pipeline",T1336="Overdue"),ISNUMBER(W1336)),IF(W1336&lt;=Settings!$B$6,V1336,0),0)</f>
        <v>0</v>
      </c>
      <c r="Y1336" s="38" t="n">
        <f aca="false">IF(AND(OR(T1336="Backlog",T1336="Pipeline",T1336="Overdue"),ISNUMBER(W1336)),IF(W1336&lt;=Settings!$B$6,Q1336,0),0)</f>
        <v>0</v>
      </c>
      <c r="Z1336" s="38" t="n">
        <f aca="false">IF(Y1336=0,0,IF(T1336="Backlog",Q1336,Q1336*Dashboard!$C$10))</f>
        <v>0</v>
      </c>
      <c r="AA1336" s="37" t="n">
        <f aca="false">IF($N1336="",0,IF(COUNTIF(Dashboard!$C$13:$C$22,$N1336)&gt;0,1,0))</f>
        <v>0</v>
      </c>
      <c r="AB1336" s="37" t="str">
        <f aca="false">IF($N1336="","",IF(COUNTIF($N$8:$N1336,$N1336)=1,MAX($AB$7:$AB1335)+1,""))</f>
        <v/>
      </c>
    </row>
    <row r="1337" customFormat="false" ht="15" hidden="false" customHeight="false" outlineLevel="0" collapsed="false">
      <c r="L1337" s="37" t="str">
        <f aca="false">IF(INDEX($A1337:$J1337,$L$6)&lt;&gt;"",TRIM(LEFT(INDEX($A1337:$J1337,$L$6),FIND("(",INDEX($A1337:$J1337,$L$6)&amp;"(")-1)),L1336)</f>
        <v>Building Value Proposition</v>
      </c>
      <c r="M1337" s="37" t="str">
        <f aca="false">IF(INDEX($A1337:$J1337,$M$6)="","",INDEX($A1337:$J1337,$M$6)&amp;"")</f>
        <v/>
      </c>
      <c r="N1337" s="37" t="str">
        <f aca="false">IF($M1337="","",TRIM(INDEX($A1337:$J1337,$N$6)&amp;""))</f>
        <v/>
      </c>
      <c r="O1337" s="37" t="str">
        <f aca="false">IF($M1337="","",TRIM(INDEX($A1337:$J1337,$O$6)&amp;""))</f>
        <v/>
      </c>
      <c r="P1337" s="37" t="str">
        <f aca="false">IF($M1337="","",IFERROR(IF(INDEX(Settings!$B$41:$B$50,MATCH(O1337,Settings!$A$41:$A$50,0))&amp;""="","UNMAPPED",INDEX(Settings!$B$41:$B$50,MATCH(O1337,Settings!$A$41:$A$50,0))&amp;""),"UNMAPPED"))</f>
        <v/>
      </c>
      <c r="Q1337" s="38" t="n">
        <f aca="false">IF($M1337="",0,N(INDEX($A1337:$J1337,$Q$6)))</f>
        <v>0</v>
      </c>
      <c r="R1337" s="39" t="str">
        <f aca="false">IF($M1337="","",INDEX($A1337:$J1337,$R$6))</f>
        <v/>
      </c>
      <c r="S1337" s="37" t="str">
        <f aca="false">IF($M1337="","",IFERROR(INDEX(Settings!$B$27:$B$36,MATCH(L1337,Settings!$A$27:$A$36,0))&amp;"","UNMAPPED"))</f>
        <v/>
      </c>
      <c r="T1337" s="37" t="str">
        <f aca="false">IF($M1337="","",IF(NOT(ISNUMBER(R1337)),"NO DATE",IF(S1337="Won",IF(R1337&gt;Settings!$B$5,"Backlog","Delivered"),IF(S1337="Open",IF(R1337&gt;Settings!$B$5,"Pipeline","Overdue"),IF(S1337="Lost","Lost","UNMAPPED")))))</f>
        <v/>
      </c>
      <c r="U1337" s="40" t="n">
        <f aca="false">IF(T1337="Backlog",1,IF(OR(T1337="Pipeline",T1337="Overdue"),N(INDEX(Settings!$C$27:$C$36,MATCH(L1337,Settings!$A$27:$A$36,0))),0))</f>
        <v>0</v>
      </c>
      <c r="V1337" s="38" t="n">
        <f aca="false">Q1337*U1337</f>
        <v>0</v>
      </c>
      <c r="W1337" s="41" t="str">
        <f aca="false">IF($M1337="","",IF(T1337="Overdue",IF(Settings!$B$8="Yes",Settings!$B$7,""),IF(ISNUMBER(R1337),DATE(YEAR(R1337),MONTH(R1337),1),"")))</f>
        <v/>
      </c>
      <c r="X1337" s="38" t="n">
        <f aca="false">IF(AND(OR(T1337="Backlog",T1337="Pipeline",T1337="Overdue"),ISNUMBER(W1337)),IF(W1337&lt;=Settings!$B$6,V1337,0),0)</f>
        <v>0</v>
      </c>
      <c r="Y1337" s="38" t="n">
        <f aca="false">IF(AND(OR(T1337="Backlog",T1337="Pipeline",T1337="Overdue"),ISNUMBER(W1337)),IF(W1337&lt;=Settings!$B$6,Q1337,0),0)</f>
        <v>0</v>
      </c>
      <c r="Z1337" s="38" t="n">
        <f aca="false">IF(Y1337=0,0,IF(T1337="Backlog",Q1337,Q1337*Dashboard!$C$10))</f>
        <v>0</v>
      </c>
      <c r="AA1337" s="37" t="n">
        <f aca="false">IF($N1337="",0,IF(COUNTIF(Dashboard!$C$13:$C$22,$N1337)&gt;0,1,0))</f>
        <v>0</v>
      </c>
      <c r="AB1337" s="37" t="str">
        <f aca="false">IF($N1337="","",IF(COUNTIF($N$8:$N1337,$N1337)=1,MAX($AB$7:$AB1336)+1,""))</f>
        <v/>
      </c>
    </row>
    <row r="1338" customFormat="false" ht="15" hidden="false" customHeight="false" outlineLevel="0" collapsed="false">
      <c r="L1338" s="37" t="str">
        <f aca="false">IF(INDEX($A1338:$J1338,$L$6)&lt;&gt;"",TRIM(LEFT(INDEX($A1338:$J1338,$L$6),FIND("(",INDEX($A1338:$J1338,$L$6)&amp;"(")-1)),L1337)</f>
        <v>Building Value Proposition</v>
      </c>
      <c r="M1338" s="37" t="str">
        <f aca="false">IF(INDEX($A1338:$J1338,$M$6)="","",INDEX($A1338:$J1338,$M$6)&amp;"")</f>
        <v/>
      </c>
      <c r="N1338" s="37" t="str">
        <f aca="false">IF($M1338="","",TRIM(INDEX($A1338:$J1338,$N$6)&amp;""))</f>
        <v/>
      </c>
      <c r="O1338" s="37" t="str">
        <f aca="false">IF($M1338="","",TRIM(INDEX($A1338:$J1338,$O$6)&amp;""))</f>
        <v/>
      </c>
      <c r="P1338" s="37" t="str">
        <f aca="false">IF($M1338="","",IFERROR(IF(INDEX(Settings!$B$41:$B$50,MATCH(O1338,Settings!$A$41:$A$50,0))&amp;""="","UNMAPPED",INDEX(Settings!$B$41:$B$50,MATCH(O1338,Settings!$A$41:$A$50,0))&amp;""),"UNMAPPED"))</f>
        <v/>
      </c>
      <c r="Q1338" s="38" t="n">
        <f aca="false">IF($M1338="",0,N(INDEX($A1338:$J1338,$Q$6)))</f>
        <v>0</v>
      </c>
      <c r="R1338" s="39" t="str">
        <f aca="false">IF($M1338="","",INDEX($A1338:$J1338,$R$6))</f>
        <v/>
      </c>
      <c r="S1338" s="37" t="str">
        <f aca="false">IF($M1338="","",IFERROR(INDEX(Settings!$B$27:$B$36,MATCH(L1338,Settings!$A$27:$A$36,0))&amp;"","UNMAPPED"))</f>
        <v/>
      </c>
      <c r="T1338" s="37" t="str">
        <f aca="false">IF($M1338="","",IF(NOT(ISNUMBER(R1338)),"NO DATE",IF(S1338="Won",IF(R1338&gt;Settings!$B$5,"Backlog","Delivered"),IF(S1338="Open",IF(R1338&gt;Settings!$B$5,"Pipeline","Overdue"),IF(S1338="Lost","Lost","UNMAPPED")))))</f>
        <v/>
      </c>
      <c r="U1338" s="40" t="n">
        <f aca="false">IF(T1338="Backlog",1,IF(OR(T1338="Pipeline",T1338="Overdue"),N(INDEX(Settings!$C$27:$C$36,MATCH(L1338,Settings!$A$27:$A$36,0))),0))</f>
        <v>0</v>
      </c>
      <c r="V1338" s="38" t="n">
        <f aca="false">Q1338*U1338</f>
        <v>0</v>
      </c>
      <c r="W1338" s="41" t="str">
        <f aca="false">IF($M1338="","",IF(T1338="Overdue",IF(Settings!$B$8="Yes",Settings!$B$7,""),IF(ISNUMBER(R1338),DATE(YEAR(R1338),MONTH(R1338),1),"")))</f>
        <v/>
      </c>
      <c r="X1338" s="38" t="n">
        <f aca="false">IF(AND(OR(T1338="Backlog",T1338="Pipeline",T1338="Overdue"),ISNUMBER(W1338)),IF(W1338&lt;=Settings!$B$6,V1338,0),0)</f>
        <v>0</v>
      </c>
      <c r="Y1338" s="38" t="n">
        <f aca="false">IF(AND(OR(T1338="Backlog",T1338="Pipeline",T1338="Overdue"),ISNUMBER(W1338)),IF(W1338&lt;=Settings!$B$6,Q1338,0),0)</f>
        <v>0</v>
      </c>
      <c r="Z1338" s="38" t="n">
        <f aca="false">IF(Y1338=0,0,IF(T1338="Backlog",Q1338,Q1338*Dashboard!$C$10))</f>
        <v>0</v>
      </c>
      <c r="AA1338" s="37" t="n">
        <f aca="false">IF($N1338="",0,IF(COUNTIF(Dashboard!$C$13:$C$22,$N1338)&gt;0,1,0))</f>
        <v>0</v>
      </c>
      <c r="AB1338" s="37" t="str">
        <f aca="false">IF($N1338="","",IF(COUNTIF($N$8:$N1338,$N1338)=1,MAX($AB$7:$AB1337)+1,""))</f>
        <v/>
      </c>
    </row>
    <row r="1339" customFormat="false" ht="15" hidden="false" customHeight="false" outlineLevel="0" collapsed="false">
      <c r="L1339" s="37" t="str">
        <f aca="false">IF(INDEX($A1339:$J1339,$L$6)&lt;&gt;"",TRIM(LEFT(INDEX($A1339:$J1339,$L$6),FIND("(",INDEX($A1339:$J1339,$L$6)&amp;"(")-1)),L1338)</f>
        <v>Building Value Proposition</v>
      </c>
      <c r="M1339" s="37" t="str">
        <f aca="false">IF(INDEX($A1339:$J1339,$M$6)="","",INDEX($A1339:$J1339,$M$6)&amp;"")</f>
        <v/>
      </c>
      <c r="N1339" s="37" t="str">
        <f aca="false">IF($M1339="","",TRIM(INDEX($A1339:$J1339,$N$6)&amp;""))</f>
        <v/>
      </c>
      <c r="O1339" s="37" t="str">
        <f aca="false">IF($M1339="","",TRIM(INDEX($A1339:$J1339,$O$6)&amp;""))</f>
        <v/>
      </c>
      <c r="P1339" s="37" t="str">
        <f aca="false">IF($M1339="","",IFERROR(IF(INDEX(Settings!$B$41:$B$50,MATCH(O1339,Settings!$A$41:$A$50,0))&amp;""="","UNMAPPED",INDEX(Settings!$B$41:$B$50,MATCH(O1339,Settings!$A$41:$A$50,0))&amp;""),"UNMAPPED"))</f>
        <v/>
      </c>
      <c r="Q1339" s="38" t="n">
        <f aca="false">IF($M1339="",0,N(INDEX($A1339:$J1339,$Q$6)))</f>
        <v>0</v>
      </c>
      <c r="R1339" s="39" t="str">
        <f aca="false">IF($M1339="","",INDEX($A1339:$J1339,$R$6))</f>
        <v/>
      </c>
      <c r="S1339" s="37" t="str">
        <f aca="false">IF($M1339="","",IFERROR(INDEX(Settings!$B$27:$B$36,MATCH(L1339,Settings!$A$27:$A$36,0))&amp;"","UNMAPPED"))</f>
        <v/>
      </c>
      <c r="T1339" s="37" t="str">
        <f aca="false">IF($M1339="","",IF(NOT(ISNUMBER(R1339)),"NO DATE",IF(S1339="Won",IF(R1339&gt;Settings!$B$5,"Backlog","Delivered"),IF(S1339="Open",IF(R1339&gt;Settings!$B$5,"Pipeline","Overdue"),IF(S1339="Lost","Lost","UNMAPPED")))))</f>
        <v/>
      </c>
      <c r="U1339" s="40" t="n">
        <f aca="false">IF(T1339="Backlog",1,IF(OR(T1339="Pipeline",T1339="Overdue"),N(INDEX(Settings!$C$27:$C$36,MATCH(L1339,Settings!$A$27:$A$36,0))),0))</f>
        <v>0</v>
      </c>
      <c r="V1339" s="38" t="n">
        <f aca="false">Q1339*U1339</f>
        <v>0</v>
      </c>
      <c r="W1339" s="41" t="str">
        <f aca="false">IF($M1339="","",IF(T1339="Overdue",IF(Settings!$B$8="Yes",Settings!$B$7,""),IF(ISNUMBER(R1339),DATE(YEAR(R1339),MONTH(R1339),1),"")))</f>
        <v/>
      </c>
      <c r="X1339" s="38" t="n">
        <f aca="false">IF(AND(OR(T1339="Backlog",T1339="Pipeline",T1339="Overdue"),ISNUMBER(W1339)),IF(W1339&lt;=Settings!$B$6,V1339,0),0)</f>
        <v>0</v>
      </c>
      <c r="Y1339" s="38" t="n">
        <f aca="false">IF(AND(OR(T1339="Backlog",T1339="Pipeline",T1339="Overdue"),ISNUMBER(W1339)),IF(W1339&lt;=Settings!$B$6,Q1339,0),0)</f>
        <v>0</v>
      </c>
      <c r="Z1339" s="38" t="n">
        <f aca="false">IF(Y1339=0,0,IF(T1339="Backlog",Q1339,Q1339*Dashboard!$C$10))</f>
        <v>0</v>
      </c>
      <c r="AA1339" s="37" t="n">
        <f aca="false">IF($N1339="",0,IF(COUNTIF(Dashboard!$C$13:$C$22,$N1339)&gt;0,1,0))</f>
        <v>0</v>
      </c>
      <c r="AB1339" s="37" t="str">
        <f aca="false">IF($N1339="","",IF(COUNTIF($N$8:$N1339,$N1339)=1,MAX($AB$7:$AB1338)+1,""))</f>
        <v/>
      </c>
    </row>
    <row r="1340" customFormat="false" ht="15" hidden="false" customHeight="false" outlineLevel="0" collapsed="false">
      <c r="L1340" s="37" t="str">
        <f aca="false">IF(INDEX($A1340:$J1340,$L$6)&lt;&gt;"",TRIM(LEFT(INDEX($A1340:$J1340,$L$6),FIND("(",INDEX($A1340:$J1340,$L$6)&amp;"(")-1)),L1339)</f>
        <v>Building Value Proposition</v>
      </c>
      <c r="M1340" s="37" t="str">
        <f aca="false">IF(INDEX($A1340:$J1340,$M$6)="","",INDEX($A1340:$J1340,$M$6)&amp;"")</f>
        <v/>
      </c>
      <c r="N1340" s="37" t="str">
        <f aca="false">IF($M1340="","",TRIM(INDEX($A1340:$J1340,$N$6)&amp;""))</f>
        <v/>
      </c>
      <c r="O1340" s="37" t="str">
        <f aca="false">IF($M1340="","",TRIM(INDEX($A1340:$J1340,$O$6)&amp;""))</f>
        <v/>
      </c>
      <c r="P1340" s="37" t="str">
        <f aca="false">IF($M1340="","",IFERROR(IF(INDEX(Settings!$B$41:$B$50,MATCH(O1340,Settings!$A$41:$A$50,0))&amp;""="","UNMAPPED",INDEX(Settings!$B$41:$B$50,MATCH(O1340,Settings!$A$41:$A$50,0))&amp;""),"UNMAPPED"))</f>
        <v/>
      </c>
      <c r="Q1340" s="38" t="n">
        <f aca="false">IF($M1340="",0,N(INDEX($A1340:$J1340,$Q$6)))</f>
        <v>0</v>
      </c>
      <c r="R1340" s="39" t="str">
        <f aca="false">IF($M1340="","",INDEX($A1340:$J1340,$R$6))</f>
        <v/>
      </c>
      <c r="S1340" s="37" t="str">
        <f aca="false">IF($M1340="","",IFERROR(INDEX(Settings!$B$27:$B$36,MATCH(L1340,Settings!$A$27:$A$36,0))&amp;"","UNMAPPED"))</f>
        <v/>
      </c>
      <c r="T1340" s="37" t="str">
        <f aca="false">IF($M1340="","",IF(NOT(ISNUMBER(R1340)),"NO DATE",IF(S1340="Won",IF(R1340&gt;Settings!$B$5,"Backlog","Delivered"),IF(S1340="Open",IF(R1340&gt;Settings!$B$5,"Pipeline","Overdue"),IF(S1340="Lost","Lost","UNMAPPED")))))</f>
        <v/>
      </c>
      <c r="U1340" s="40" t="n">
        <f aca="false">IF(T1340="Backlog",1,IF(OR(T1340="Pipeline",T1340="Overdue"),N(INDEX(Settings!$C$27:$C$36,MATCH(L1340,Settings!$A$27:$A$36,0))),0))</f>
        <v>0</v>
      </c>
      <c r="V1340" s="38" t="n">
        <f aca="false">Q1340*U1340</f>
        <v>0</v>
      </c>
      <c r="W1340" s="41" t="str">
        <f aca="false">IF($M1340="","",IF(T1340="Overdue",IF(Settings!$B$8="Yes",Settings!$B$7,""),IF(ISNUMBER(R1340),DATE(YEAR(R1340),MONTH(R1340),1),"")))</f>
        <v/>
      </c>
      <c r="X1340" s="38" t="n">
        <f aca="false">IF(AND(OR(T1340="Backlog",T1340="Pipeline",T1340="Overdue"),ISNUMBER(W1340)),IF(W1340&lt;=Settings!$B$6,V1340,0),0)</f>
        <v>0</v>
      </c>
      <c r="Y1340" s="38" t="n">
        <f aca="false">IF(AND(OR(T1340="Backlog",T1340="Pipeline",T1340="Overdue"),ISNUMBER(W1340)),IF(W1340&lt;=Settings!$B$6,Q1340,0),0)</f>
        <v>0</v>
      </c>
      <c r="Z1340" s="38" t="n">
        <f aca="false">IF(Y1340=0,0,IF(T1340="Backlog",Q1340,Q1340*Dashboard!$C$10))</f>
        <v>0</v>
      </c>
      <c r="AA1340" s="37" t="n">
        <f aca="false">IF($N1340="",0,IF(COUNTIF(Dashboard!$C$13:$C$22,$N1340)&gt;0,1,0))</f>
        <v>0</v>
      </c>
      <c r="AB1340" s="37" t="str">
        <f aca="false">IF($N1340="","",IF(COUNTIF($N$8:$N1340,$N1340)=1,MAX($AB$7:$AB1339)+1,""))</f>
        <v/>
      </c>
    </row>
    <row r="1341" customFormat="false" ht="15" hidden="false" customHeight="false" outlineLevel="0" collapsed="false">
      <c r="L1341" s="37" t="str">
        <f aca="false">IF(INDEX($A1341:$J1341,$L$6)&lt;&gt;"",TRIM(LEFT(INDEX($A1341:$J1341,$L$6),FIND("(",INDEX($A1341:$J1341,$L$6)&amp;"(")-1)),L1340)</f>
        <v>Building Value Proposition</v>
      </c>
      <c r="M1341" s="37" t="str">
        <f aca="false">IF(INDEX($A1341:$J1341,$M$6)="","",INDEX($A1341:$J1341,$M$6)&amp;"")</f>
        <v/>
      </c>
      <c r="N1341" s="37" t="str">
        <f aca="false">IF($M1341="","",TRIM(INDEX($A1341:$J1341,$N$6)&amp;""))</f>
        <v/>
      </c>
      <c r="O1341" s="37" t="str">
        <f aca="false">IF($M1341="","",TRIM(INDEX($A1341:$J1341,$O$6)&amp;""))</f>
        <v/>
      </c>
      <c r="P1341" s="37" t="str">
        <f aca="false">IF($M1341="","",IFERROR(IF(INDEX(Settings!$B$41:$B$50,MATCH(O1341,Settings!$A$41:$A$50,0))&amp;""="","UNMAPPED",INDEX(Settings!$B$41:$B$50,MATCH(O1341,Settings!$A$41:$A$50,0))&amp;""),"UNMAPPED"))</f>
        <v/>
      </c>
      <c r="Q1341" s="38" t="n">
        <f aca="false">IF($M1341="",0,N(INDEX($A1341:$J1341,$Q$6)))</f>
        <v>0</v>
      </c>
      <c r="R1341" s="39" t="str">
        <f aca="false">IF($M1341="","",INDEX($A1341:$J1341,$R$6))</f>
        <v/>
      </c>
      <c r="S1341" s="37" t="str">
        <f aca="false">IF($M1341="","",IFERROR(INDEX(Settings!$B$27:$B$36,MATCH(L1341,Settings!$A$27:$A$36,0))&amp;"","UNMAPPED"))</f>
        <v/>
      </c>
      <c r="T1341" s="37" t="str">
        <f aca="false">IF($M1341="","",IF(NOT(ISNUMBER(R1341)),"NO DATE",IF(S1341="Won",IF(R1341&gt;Settings!$B$5,"Backlog","Delivered"),IF(S1341="Open",IF(R1341&gt;Settings!$B$5,"Pipeline","Overdue"),IF(S1341="Lost","Lost","UNMAPPED")))))</f>
        <v/>
      </c>
      <c r="U1341" s="40" t="n">
        <f aca="false">IF(T1341="Backlog",1,IF(OR(T1341="Pipeline",T1341="Overdue"),N(INDEX(Settings!$C$27:$C$36,MATCH(L1341,Settings!$A$27:$A$36,0))),0))</f>
        <v>0</v>
      </c>
      <c r="V1341" s="38" t="n">
        <f aca="false">Q1341*U1341</f>
        <v>0</v>
      </c>
      <c r="W1341" s="41" t="str">
        <f aca="false">IF($M1341="","",IF(T1341="Overdue",IF(Settings!$B$8="Yes",Settings!$B$7,""),IF(ISNUMBER(R1341),DATE(YEAR(R1341),MONTH(R1341),1),"")))</f>
        <v/>
      </c>
      <c r="X1341" s="38" t="n">
        <f aca="false">IF(AND(OR(T1341="Backlog",T1341="Pipeline",T1341="Overdue"),ISNUMBER(W1341)),IF(W1341&lt;=Settings!$B$6,V1341,0),0)</f>
        <v>0</v>
      </c>
      <c r="Y1341" s="38" t="n">
        <f aca="false">IF(AND(OR(T1341="Backlog",T1341="Pipeline",T1341="Overdue"),ISNUMBER(W1341)),IF(W1341&lt;=Settings!$B$6,Q1341,0),0)</f>
        <v>0</v>
      </c>
      <c r="Z1341" s="38" t="n">
        <f aca="false">IF(Y1341=0,0,IF(T1341="Backlog",Q1341,Q1341*Dashboard!$C$10))</f>
        <v>0</v>
      </c>
      <c r="AA1341" s="37" t="n">
        <f aca="false">IF($N1341="",0,IF(COUNTIF(Dashboard!$C$13:$C$22,$N1341)&gt;0,1,0))</f>
        <v>0</v>
      </c>
      <c r="AB1341" s="37" t="str">
        <f aca="false">IF($N1341="","",IF(COUNTIF($N$8:$N1341,$N1341)=1,MAX($AB$7:$AB1340)+1,""))</f>
        <v/>
      </c>
    </row>
    <row r="1342" customFormat="false" ht="15" hidden="false" customHeight="false" outlineLevel="0" collapsed="false">
      <c r="L1342" s="37" t="str">
        <f aca="false">IF(INDEX($A1342:$J1342,$L$6)&lt;&gt;"",TRIM(LEFT(INDEX($A1342:$J1342,$L$6),FIND("(",INDEX($A1342:$J1342,$L$6)&amp;"(")-1)),L1341)</f>
        <v>Building Value Proposition</v>
      </c>
      <c r="M1342" s="37" t="str">
        <f aca="false">IF(INDEX($A1342:$J1342,$M$6)="","",INDEX($A1342:$J1342,$M$6)&amp;"")</f>
        <v/>
      </c>
      <c r="N1342" s="37" t="str">
        <f aca="false">IF($M1342="","",TRIM(INDEX($A1342:$J1342,$N$6)&amp;""))</f>
        <v/>
      </c>
      <c r="O1342" s="37" t="str">
        <f aca="false">IF($M1342="","",TRIM(INDEX($A1342:$J1342,$O$6)&amp;""))</f>
        <v/>
      </c>
      <c r="P1342" s="37" t="str">
        <f aca="false">IF($M1342="","",IFERROR(IF(INDEX(Settings!$B$41:$B$50,MATCH(O1342,Settings!$A$41:$A$50,0))&amp;""="","UNMAPPED",INDEX(Settings!$B$41:$B$50,MATCH(O1342,Settings!$A$41:$A$50,0))&amp;""),"UNMAPPED"))</f>
        <v/>
      </c>
      <c r="Q1342" s="38" t="n">
        <f aca="false">IF($M1342="",0,N(INDEX($A1342:$J1342,$Q$6)))</f>
        <v>0</v>
      </c>
      <c r="R1342" s="39" t="str">
        <f aca="false">IF($M1342="","",INDEX($A1342:$J1342,$R$6))</f>
        <v/>
      </c>
      <c r="S1342" s="37" t="str">
        <f aca="false">IF($M1342="","",IFERROR(INDEX(Settings!$B$27:$B$36,MATCH(L1342,Settings!$A$27:$A$36,0))&amp;"","UNMAPPED"))</f>
        <v/>
      </c>
      <c r="T1342" s="37" t="str">
        <f aca="false">IF($M1342="","",IF(NOT(ISNUMBER(R1342)),"NO DATE",IF(S1342="Won",IF(R1342&gt;Settings!$B$5,"Backlog","Delivered"),IF(S1342="Open",IF(R1342&gt;Settings!$B$5,"Pipeline","Overdue"),IF(S1342="Lost","Lost","UNMAPPED")))))</f>
        <v/>
      </c>
      <c r="U1342" s="40" t="n">
        <f aca="false">IF(T1342="Backlog",1,IF(OR(T1342="Pipeline",T1342="Overdue"),N(INDEX(Settings!$C$27:$C$36,MATCH(L1342,Settings!$A$27:$A$36,0))),0))</f>
        <v>0</v>
      </c>
      <c r="V1342" s="38" t="n">
        <f aca="false">Q1342*U1342</f>
        <v>0</v>
      </c>
      <c r="W1342" s="41" t="str">
        <f aca="false">IF($M1342="","",IF(T1342="Overdue",IF(Settings!$B$8="Yes",Settings!$B$7,""),IF(ISNUMBER(R1342),DATE(YEAR(R1342),MONTH(R1342),1),"")))</f>
        <v/>
      </c>
      <c r="X1342" s="38" t="n">
        <f aca="false">IF(AND(OR(T1342="Backlog",T1342="Pipeline",T1342="Overdue"),ISNUMBER(W1342)),IF(W1342&lt;=Settings!$B$6,V1342,0),0)</f>
        <v>0</v>
      </c>
      <c r="Y1342" s="38" t="n">
        <f aca="false">IF(AND(OR(T1342="Backlog",T1342="Pipeline",T1342="Overdue"),ISNUMBER(W1342)),IF(W1342&lt;=Settings!$B$6,Q1342,0),0)</f>
        <v>0</v>
      </c>
      <c r="Z1342" s="38" t="n">
        <f aca="false">IF(Y1342=0,0,IF(T1342="Backlog",Q1342,Q1342*Dashboard!$C$10))</f>
        <v>0</v>
      </c>
      <c r="AA1342" s="37" t="n">
        <f aca="false">IF($N1342="",0,IF(COUNTIF(Dashboard!$C$13:$C$22,$N1342)&gt;0,1,0))</f>
        <v>0</v>
      </c>
      <c r="AB1342" s="37" t="str">
        <f aca="false">IF($N1342="","",IF(COUNTIF($N$8:$N1342,$N1342)=1,MAX($AB$7:$AB1341)+1,""))</f>
        <v/>
      </c>
    </row>
    <row r="1343" customFormat="false" ht="15" hidden="false" customHeight="false" outlineLevel="0" collapsed="false">
      <c r="L1343" s="37" t="str">
        <f aca="false">IF(INDEX($A1343:$J1343,$L$6)&lt;&gt;"",TRIM(LEFT(INDEX($A1343:$J1343,$L$6),FIND("(",INDEX($A1343:$J1343,$L$6)&amp;"(")-1)),L1342)</f>
        <v>Building Value Proposition</v>
      </c>
      <c r="M1343" s="37" t="str">
        <f aca="false">IF(INDEX($A1343:$J1343,$M$6)="","",INDEX($A1343:$J1343,$M$6)&amp;"")</f>
        <v/>
      </c>
      <c r="N1343" s="37" t="str">
        <f aca="false">IF($M1343="","",TRIM(INDEX($A1343:$J1343,$N$6)&amp;""))</f>
        <v/>
      </c>
      <c r="O1343" s="37" t="str">
        <f aca="false">IF($M1343="","",TRIM(INDEX($A1343:$J1343,$O$6)&amp;""))</f>
        <v/>
      </c>
      <c r="P1343" s="37" t="str">
        <f aca="false">IF($M1343="","",IFERROR(IF(INDEX(Settings!$B$41:$B$50,MATCH(O1343,Settings!$A$41:$A$50,0))&amp;""="","UNMAPPED",INDEX(Settings!$B$41:$B$50,MATCH(O1343,Settings!$A$41:$A$50,0))&amp;""),"UNMAPPED"))</f>
        <v/>
      </c>
      <c r="Q1343" s="38" t="n">
        <f aca="false">IF($M1343="",0,N(INDEX($A1343:$J1343,$Q$6)))</f>
        <v>0</v>
      </c>
      <c r="R1343" s="39" t="str">
        <f aca="false">IF($M1343="","",INDEX($A1343:$J1343,$R$6))</f>
        <v/>
      </c>
      <c r="S1343" s="37" t="str">
        <f aca="false">IF($M1343="","",IFERROR(INDEX(Settings!$B$27:$B$36,MATCH(L1343,Settings!$A$27:$A$36,0))&amp;"","UNMAPPED"))</f>
        <v/>
      </c>
      <c r="T1343" s="37" t="str">
        <f aca="false">IF($M1343="","",IF(NOT(ISNUMBER(R1343)),"NO DATE",IF(S1343="Won",IF(R1343&gt;Settings!$B$5,"Backlog","Delivered"),IF(S1343="Open",IF(R1343&gt;Settings!$B$5,"Pipeline","Overdue"),IF(S1343="Lost","Lost","UNMAPPED")))))</f>
        <v/>
      </c>
      <c r="U1343" s="40" t="n">
        <f aca="false">IF(T1343="Backlog",1,IF(OR(T1343="Pipeline",T1343="Overdue"),N(INDEX(Settings!$C$27:$C$36,MATCH(L1343,Settings!$A$27:$A$36,0))),0))</f>
        <v>0</v>
      </c>
      <c r="V1343" s="38" t="n">
        <f aca="false">Q1343*U1343</f>
        <v>0</v>
      </c>
      <c r="W1343" s="41" t="str">
        <f aca="false">IF($M1343="","",IF(T1343="Overdue",IF(Settings!$B$8="Yes",Settings!$B$7,""),IF(ISNUMBER(R1343),DATE(YEAR(R1343),MONTH(R1343),1),"")))</f>
        <v/>
      </c>
      <c r="X1343" s="38" t="n">
        <f aca="false">IF(AND(OR(T1343="Backlog",T1343="Pipeline",T1343="Overdue"),ISNUMBER(W1343)),IF(W1343&lt;=Settings!$B$6,V1343,0),0)</f>
        <v>0</v>
      </c>
      <c r="Y1343" s="38" t="n">
        <f aca="false">IF(AND(OR(T1343="Backlog",T1343="Pipeline",T1343="Overdue"),ISNUMBER(W1343)),IF(W1343&lt;=Settings!$B$6,Q1343,0),0)</f>
        <v>0</v>
      </c>
      <c r="Z1343" s="38" t="n">
        <f aca="false">IF(Y1343=0,0,IF(T1343="Backlog",Q1343,Q1343*Dashboard!$C$10))</f>
        <v>0</v>
      </c>
      <c r="AA1343" s="37" t="n">
        <f aca="false">IF($N1343="",0,IF(COUNTIF(Dashboard!$C$13:$C$22,$N1343)&gt;0,1,0))</f>
        <v>0</v>
      </c>
      <c r="AB1343" s="37" t="str">
        <f aca="false">IF($N1343="","",IF(COUNTIF($N$8:$N1343,$N1343)=1,MAX($AB$7:$AB1342)+1,""))</f>
        <v/>
      </c>
    </row>
    <row r="1344" customFormat="false" ht="15" hidden="false" customHeight="false" outlineLevel="0" collapsed="false">
      <c r="L1344" s="37" t="str">
        <f aca="false">IF(INDEX($A1344:$J1344,$L$6)&lt;&gt;"",TRIM(LEFT(INDEX($A1344:$J1344,$L$6),FIND("(",INDEX($A1344:$J1344,$L$6)&amp;"(")-1)),L1343)</f>
        <v>Building Value Proposition</v>
      </c>
      <c r="M1344" s="37" t="str">
        <f aca="false">IF(INDEX($A1344:$J1344,$M$6)="","",INDEX($A1344:$J1344,$M$6)&amp;"")</f>
        <v/>
      </c>
      <c r="N1344" s="37" t="str">
        <f aca="false">IF($M1344="","",TRIM(INDEX($A1344:$J1344,$N$6)&amp;""))</f>
        <v/>
      </c>
      <c r="O1344" s="37" t="str">
        <f aca="false">IF($M1344="","",TRIM(INDEX($A1344:$J1344,$O$6)&amp;""))</f>
        <v/>
      </c>
      <c r="P1344" s="37" t="str">
        <f aca="false">IF($M1344="","",IFERROR(IF(INDEX(Settings!$B$41:$B$50,MATCH(O1344,Settings!$A$41:$A$50,0))&amp;""="","UNMAPPED",INDEX(Settings!$B$41:$B$50,MATCH(O1344,Settings!$A$41:$A$50,0))&amp;""),"UNMAPPED"))</f>
        <v/>
      </c>
      <c r="Q1344" s="38" t="n">
        <f aca="false">IF($M1344="",0,N(INDEX($A1344:$J1344,$Q$6)))</f>
        <v>0</v>
      </c>
      <c r="R1344" s="39" t="str">
        <f aca="false">IF($M1344="","",INDEX($A1344:$J1344,$R$6))</f>
        <v/>
      </c>
      <c r="S1344" s="37" t="str">
        <f aca="false">IF($M1344="","",IFERROR(INDEX(Settings!$B$27:$B$36,MATCH(L1344,Settings!$A$27:$A$36,0))&amp;"","UNMAPPED"))</f>
        <v/>
      </c>
      <c r="T1344" s="37" t="str">
        <f aca="false">IF($M1344="","",IF(NOT(ISNUMBER(R1344)),"NO DATE",IF(S1344="Won",IF(R1344&gt;Settings!$B$5,"Backlog","Delivered"),IF(S1344="Open",IF(R1344&gt;Settings!$B$5,"Pipeline","Overdue"),IF(S1344="Lost","Lost","UNMAPPED")))))</f>
        <v/>
      </c>
      <c r="U1344" s="40" t="n">
        <f aca="false">IF(T1344="Backlog",1,IF(OR(T1344="Pipeline",T1344="Overdue"),N(INDEX(Settings!$C$27:$C$36,MATCH(L1344,Settings!$A$27:$A$36,0))),0))</f>
        <v>0</v>
      </c>
      <c r="V1344" s="38" t="n">
        <f aca="false">Q1344*U1344</f>
        <v>0</v>
      </c>
      <c r="W1344" s="41" t="str">
        <f aca="false">IF($M1344="","",IF(T1344="Overdue",IF(Settings!$B$8="Yes",Settings!$B$7,""),IF(ISNUMBER(R1344),DATE(YEAR(R1344),MONTH(R1344),1),"")))</f>
        <v/>
      </c>
      <c r="X1344" s="38" t="n">
        <f aca="false">IF(AND(OR(T1344="Backlog",T1344="Pipeline",T1344="Overdue"),ISNUMBER(W1344)),IF(W1344&lt;=Settings!$B$6,V1344,0),0)</f>
        <v>0</v>
      </c>
      <c r="Y1344" s="38" t="n">
        <f aca="false">IF(AND(OR(T1344="Backlog",T1344="Pipeline",T1344="Overdue"),ISNUMBER(W1344)),IF(W1344&lt;=Settings!$B$6,Q1344,0),0)</f>
        <v>0</v>
      </c>
      <c r="Z1344" s="38" t="n">
        <f aca="false">IF(Y1344=0,0,IF(T1344="Backlog",Q1344,Q1344*Dashboard!$C$10))</f>
        <v>0</v>
      </c>
      <c r="AA1344" s="37" t="n">
        <f aca="false">IF($N1344="",0,IF(COUNTIF(Dashboard!$C$13:$C$22,$N1344)&gt;0,1,0))</f>
        <v>0</v>
      </c>
      <c r="AB1344" s="37" t="str">
        <f aca="false">IF($N1344="","",IF(COUNTIF($N$8:$N1344,$N1344)=1,MAX($AB$7:$AB1343)+1,""))</f>
        <v/>
      </c>
    </row>
    <row r="1345" customFormat="false" ht="15" hidden="false" customHeight="false" outlineLevel="0" collapsed="false">
      <c r="L1345" s="37" t="str">
        <f aca="false">IF(INDEX($A1345:$J1345,$L$6)&lt;&gt;"",TRIM(LEFT(INDEX($A1345:$J1345,$L$6),FIND("(",INDEX($A1345:$J1345,$L$6)&amp;"(")-1)),L1344)</f>
        <v>Building Value Proposition</v>
      </c>
      <c r="M1345" s="37" t="str">
        <f aca="false">IF(INDEX($A1345:$J1345,$M$6)="","",INDEX($A1345:$J1345,$M$6)&amp;"")</f>
        <v/>
      </c>
      <c r="N1345" s="37" t="str">
        <f aca="false">IF($M1345="","",TRIM(INDEX($A1345:$J1345,$N$6)&amp;""))</f>
        <v/>
      </c>
      <c r="O1345" s="37" t="str">
        <f aca="false">IF($M1345="","",TRIM(INDEX($A1345:$J1345,$O$6)&amp;""))</f>
        <v/>
      </c>
      <c r="P1345" s="37" t="str">
        <f aca="false">IF($M1345="","",IFERROR(IF(INDEX(Settings!$B$41:$B$50,MATCH(O1345,Settings!$A$41:$A$50,0))&amp;""="","UNMAPPED",INDEX(Settings!$B$41:$B$50,MATCH(O1345,Settings!$A$41:$A$50,0))&amp;""),"UNMAPPED"))</f>
        <v/>
      </c>
      <c r="Q1345" s="38" t="n">
        <f aca="false">IF($M1345="",0,N(INDEX($A1345:$J1345,$Q$6)))</f>
        <v>0</v>
      </c>
      <c r="R1345" s="39" t="str">
        <f aca="false">IF($M1345="","",INDEX($A1345:$J1345,$R$6))</f>
        <v/>
      </c>
      <c r="S1345" s="37" t="str">
        <f aca="false">IF($M1345="","",IFERROR(INDEX(Settings!$B$27:$B$36,MATCH(L1345,Settings!$A$27:$A$36,0))&amp;"","UNMAPPED"))</f>
        <v/>
      </c>
      <c r="T1345" s="37" t="str">
        <f aca="false">IF($M1345="","",IF(NOT(ISNUMBER(R1345)),"NO DATE",IF(S1345="Won",IF(R1345&gt;Settings!$B$5,"Backlog","Delivered"),IF(S1345="Open",IF(R1345&gt;Settings!$B$5,"Pipeline","Overdue"),IF(S1345="Lost","Lost","UNMAPPED")))))</f>
        <v/>
      </c>
      <c r="U1345" s="40" t="n">
        <f aca="false">IF(T1345="Backlog",1,IF(OR(T1345="Pipeline",T1345="Overdue"),N(INDEX(Settings!$C$27:$C$36,MATCH(L1345,Settings!$A$27:$A$36,0))),0))</f>
        <v>0</v>
      </c>
      <c r="V1345" s="38" t="n">
        <f aca="false">Q1345*U1345</f>
        <v>0</v>
      </c>
      <c r="W1345" s="41" t="str">
        <f aca="false">IF($M1345="","",IF(T1345="Overdue",IF(Settings!$B$8="Yes",Settings!$B$7,""),IF(ISNUMBER(R1345),DATE(YEAR(R1345),MONTH(R1345),1),"")))</f>
        <v/>
      </c>
      <c r="X1345" s="38" t="n">
        <f aca="false">IF(AND(OR(T1345="Backlog",T1345="Pipeline",T1345="Overdue"),ISNUMBER(W1345)),IF(W1345&lt;=Settings!$B$6,V1345,0),0)</f>
        <v>0</v>
      </c>
      <c r="Y1345" s="38" t="n">
        <f aca="false">IF(AND(OR(T1345="Backlog",T1345="Pipeline",T1345="Overdue"),ISNUMBER(W1345)),IF(W1345&lt;=Settings!$B$6,Q1345,0),0)</f>
        <v>0</v>
      </c>
      <c r="Z1345" s="38" t="n">
        <f aca="false">IF(Y1345=0,0,IF(T1345="Backlog",Q1345,Q1345*Dashboard!$C$10))</f>
        <v>0</v>
      </c>
      <c r="AA1345" s="37" t="n">
        <f aca="false">IF($N1345="",0,IF(COUNTIF(Dashboard!$C$13:$C$22,$N1345)&gt;0,1,0))</f>
        <v>0</v>
      </c>
      <c r="AB1345" s="37" t="str">
        <f aca="false">IF($N1345="","",IF(COUNTIF($N$8:$N1345,$N1345)=1,MAX($AB$7:$AB1344)+1,""))</f>
        <v/>
      </c>
    </row>
    <row r="1346" customFormat="false" ht="15" hidden="false" customHeight="false" outlineLevel="0" collapsed="false">
      <c r="L1346" s="37" t="str">
        <f aca="false">IF(INDEX($A1346:$J1346,$L$6)&lt;&gt;"",TRIM(LEFT(INDEX($A1346:$J1346,$L$6),FIND("(",INDEX($A1346:$J1346,$L$6)&amp;"(")-1)),L1345)</f>
        <v>Building Value Proposition</v>
      </c>
      <c r="M1346" s="37" t="str">
        <f aca="false">IF(INDEX($A1346:$J1346,$M$6)="","",INDEX($A1346:$J1346,$M$6)&amp;"")</f>
        <v/>
      </c>
      <c r="N1346" s="37" t="str">
        <f aca="false">IF($M1346="","",TRIM(INDEX($A1346:$J1346,$N$6)&amp;""))</f>
        <v/>
      </c>
      <c r="O1346" s="37" t="str">
        <f aca="false">IF($M1346="","",TRIM(INDEX($A1346:$J1346,$O$6)&amp;""))</f>
        <v/>
      </c>
      <c r="P1346" s="37" t="str">
        <f aca="false">IF($M1346="","",IFERROR(IF(INDEX(Settings!$B$41:$B$50,MATCH(O1346,Settings!$A$41:$A$50,0))&amp;""="","UNMAPPED",INDEX(Settings!$B$41:$B$50,MATCH(O1346,Settings!$A$41:$A$50,0))&amp;""),"UNMAPPED"))</f>
        <v/>
      </c>
      <c r="Q1346" s="38" t="n">
        <f aca="false">IF($M1346="",0,N(INDEX($A1346:$J1346,$Q$6)))</f>
        <v>0</v>
      </c>
      <c r="R1346" s="39" t="str">
        <f aca="false">IF($M1346="","",INDEX($A1346:$J1346,$R$6))</f>
        <v/>
      </c>
      <c r="S1346" s="37" t="str">
        <f aca="false">IF($M1346="","",IFERROR(INDEX(Settings!$B$27:$B$36,MATCH(L1346,Settings!$A$27:$A$36,0))&amp;"","UNMAPPED"))</f>
        <v/>
      </c>
      <c r="T1346" s="37" t="str">
        <f aca="false">IF($M1346="","",IF(NOT(ISNUMBER(R1346)),"NO DATE",IF(S1346="Won",IF(R1346&gt;Settings!$B$5,"Backlog","Delivered"),IF(S1346="Open",IF(R1346&gt;Settings!$B$5,"Pipeline","Overdue"),IF(S1346="Lost","Lost","UNMAPPED")))))</f>
        <v/>
      </c>
      <c r="U1346" s="40" t="n">
        <f aca="false">IF(T1346="Backlog",1,IF(OR(T1346="Pipeline",T1346="Overdue"),N(INDEX(Settings!$C$27:$C$36,MATCH(L1346,Settings!$A$27:$A$36,0))),0))</f>
        <v>0</v>
      </c>
      <c r="V1346" s="38" t="n">
        <f aca="false">Q1346*U1346</f>
        <v>0</v>
      </c>
      <c r="W1346" s="41" t="str">
        <f aca="false">IF($M1346="","",IF(T1346="Overdue",IF(Settings!$B$8="Yes",Settings!$B$7,""),IF(ISNUMBER(R1346),DATE(YEAR(R1346),MONTH(R1346),1),"")))</f>
        <v/>
      </c>
      <c r="X1346" s="38" t="n">
        <f aca="false">IF(AND(OR(T1346="Backlog",T1346="Pipeline",T1346="Overdue"),ISNUMBER(W1346)),IF(W1346&lt;=Settings!$B$6,V1346,0),0)</f>
        <v>0</v>
      </c>
      <c r="Y1346" s="38" t="n">
        <f aca="false">IF(AND(OR(T1346="Backlog",T1346="Pipeline",T1346="Overdue"),ISNUMBER(W1346)),IF(W1346&lt;=Settings!$B$6,Q1346,0),0)</f>
        <v>0</v>
      </c>
      <c r="Z1346" s="38" t="n">
        <f aca="false">IF(Y1346=0,0,IF(T1346="Backlog",Q1346,Q1346*Dashboard!$C$10))</f>
        <v>0</v>
      </c>
      <c r="AA1346" s="37" t="n">
        <f aca="false">IF($N1346="",0,IF(COUNTIF(Dashboard!$C$13:$C$22,$N1346)&gt;0,1,0))</f>
        <v>0</v>
      </c>
      <c r="AB1346" s="37" t="str">
        <f aca="false">IF($N1346="","",IF(COUNTIF($N$8:$N1346,$N1346)=1,MAX($AB$7:$AB1345)+1,""))</f>
        <v/>
      </c>
    </row>
    <row r="1347" customFormat="false" ht="15" hidden="false" customHeight="false" outlineLevel="0" collapsed="false">
      <c r="L1347" s="37" t="str">
        <f aca="false">IF(INDEX($A1347:$J1347,$L$6)&lt;&gt;"",TRIM(LEFT(INDEX($A1347:$J1347,$L$6),FIND("(",INDEX($A1347:$J1347,$L$6)&amp;"(")-1)),L1346)</f>
        <v>Building Value Proposition</v>
      </c>
      <c r="M1347" s="37" t="str">
        <f aca="false">IF(INDEX($A1347:$J1347,$M$6)="","",INDEX($A1347:$J1347,$M$6)&amp;"")</f>
        <v/>
      </c>
      <c r="N1347" s="37" t="str">
        <f aca="false">IF($M1347="","",TRIM(INDEX($A1347:$J1347,$N$6)&amp;""))</f>
        <v/>
      </c>
      <c r="O1347" s="37" t="str">
        <f aca="false">IF($M1347="","",TRIM(INDEX($A1347:$J1347,$O$6)&amp;""))</f>
        <v/>
      </c>
      <c r="P1347" s="37" t="str">
        <f aca="false">IF($M1347="","",IFERROR(IF(INDEX(Settings!$B$41:$B$50,MATCH(O1347,Settings!$A$41:$A$50,0))&amp;""="","UNMAPPED",INDEX(Settings!$B$41:$B$50,MATCH(O1347,Settings!$A$41:$A$50,0))&amp;""),"UNMAPPED"))</f>
        <v/>
      </c>
      <c r="Q1347" s="38" t="n">
        <f aca="false">IF($M1347="",0,N(INDEX($A1347:$J1347,$Q$6)))</f>
        <v>0</v>
      </c>
      <c r="R1347" s="39" t="str">
        <f aca="false">IF($M1347="","",INDEX($A1347:$J1347,$R$6))</f>
        <v/>
      </c>
      <c r="S1347" s="37" t="str">
        <f aca="false">IF($M1347="","",IFERROR(INDEX(Settings!$B$27:$B$36,MATCH(L1347,Settings!$A$27:$A$36,0))&amp;"","UNMAPPED"))</f>
        <v/>
      </c>
      <c r="T1347" s="37" t="str">
        <f aca="false">IF($M1347="","",IF(NOT(ISNUMBER(R1347)),"NO DATE",IF(S1347="Won",IF(R1347&gt;Settings!$B$5,"Backlog","Delivered"),IF(S1347="Open",IF(R1347&gt;Settings!$B$5,"Pipeline","Overdue"),IF(S1347="Lost","Lost","UNMAPPED")))))</f>
        <v/>
      </c>
      <c r="U1347" s="40" t="n">
        <f aca="false">IF(T1347="Backlog",1,IF(OR(T1347="Pipeline",T1347="Overdue"),N(INDEX(Settings!$C$27:$C$36,MATCH(L1347,Settings!$A$27:$A$36,0))),0))</f>
        <v>0</v>
      </c>
      <c r="V1347" s="38" t="n">
        <f aca="false">Q1347*U1347</f>
        <v>0</v>
      </c>
      <c r="W1347" s="41" t="str">
        <f aca="false">IF($M1347="","",IF(T1347="Overdue",IF(Settings!$B$8="Yes",Settings!$B$7,""),IF(ISNUMBER(R1347),DATE(YEAR(R1347),MONTH(R1347),1),"")))</f>
        <v/>
      </c>
      <c r="X1347" s="38" t="n">
        <f aca="false">IF(AND(OR(T1347="Backlog",T1347="Pipeline",T1347="Overdue"),ISNUMBER(W1347)),IF(W1347&lt;=Settings!$B$6,V1347,0),0)</f>
        <v>0</v>
      </c>
      <c r="Y1347" s="38" t="n">
        <f aca="false">IF(AND(OR(T1347="Backlog",T1347="Pipeline",T1347="Overdue"),ISNUMBER(W1347)),IF(W1347&lt;=Settings!$B$6,Q1347,0),0)</f>
        <v>0</v>
      </c>
      <c r="Z1347" s="38" t="n">
        <f aca="false">IF(Y1347=0,0,IF(T1347="Backlog",Q1347,Q1347*Dashboard!$C$10))</f>
        <v>0</v>
      </c>
      <c r="AA1347" s="37" t="n">
        <f aca="false">IF($N1347="",0,IF(COUNTIF(Dashboard!$C$13:$C$22,$N1347)&gt;0,1,0))</f>
        <v>0</v>
      </c>
      <c r="AB1347" s="37" t="str">
        <f aca="false">IF($N1347="","",IF(COUNTIF($N$8:$N1347,$N1347)=1,MAX($AB$7:$AB1346)+1,""))</f>
        <v/>
      </c>
    </row>
    <row r="1348" customFormat="false" ht="15" hidden="false" customHeight="false" outlineLevel="0" collapsed="false">
      <c r="L1348" s="37" t="str">
        <f aca="false">IF(INDEX($A1348:$J1348,$L$6)&lt;&gt;"",TRIM(LEFT(INDEX($A1348:$J1348,$L$6),FIND("(",INDEX($A1348:$J1348,$L$6)&amp;"(")-1)),L1347)</f>
        <v>Building Value Proposition</v>
      </c>
      <c r="M1348" s="37" t="str">
        <f aca="false">IF(INDEX($A1348:$J1348,$M$6)="","",INDEX($A1348:$J1348,$M$6)&amp;"")</f>
        <v/>
      </c>
      <c r="N1348" s="37" t="str">
        <f aca="false">IF($M1348="","",TRIM(INDEX($A1348:$J1348,$N$6)&amp;""))</f>
        <v/>
      </c>
      <c r="O1348" s="37" t="str">
        <f aca="false">IF($M1348="","",TRIM(INDEX($A1348:$J1348,$O$6)&amp;""))</f>
        <v/>
      </c>
      <c r="P1348" s="37" t="str">
        <f aca="false">IF($M1348="","",IFERROR(IF(INDEX(Settings!$B$41:$B$50,MATCH(O1348,Settings!$A$41:$A$50,0))&amp;""="","UNMAPPED",INDEX(Settings!$B$41:$B$50,MATCH(O1348,Settings!$A$41:$A$50,0))&amp;""),"UNMAPPED"))</f>
        <v/>
      </c>
      <c r="Q1348" s="38" t="n">
        <f aca="false">IF($M1348="",0,N(INDEX($A1348:$J1348,$Q$6)))</f>
        <v>0</v>
      </c>
      <c r="R1348" s="39" t="str">
        <f aca="false">IF($M1348="","",INDEX($A1348:$J1348,$R$6))</f>
        <v/>
      </c>
      <c r="S1348" s="37" t="str">
        <f aca="false">IF($M1348="","",IFERROR(INDEX(Settings!$B$27:$B$36,MATCH(L1348,Settings!$A$27:$A$36,0))&amp;"","UNMAPPED"))</f>
        <v/>
      </c>
      <c r="T1348" s="37" t="str">
        <f aca="false">IF($M1348="","",IF(NOT(ISNUMBER(R1348)),"NO DATE",IF(S1348="Won",IF(R1348&gt;Settings!$B$5,"Backlog","Delivered"),IF(S1348="Open",IF(R1348&gt;Settings!$B$5,"Pipeline","Overdue"),IF(S1348="Lost","Lost","UNMAPPED")))))</f>
        <v/>
      </c>
      <c r="U1348" s="40" t="n">
        <f aca="false">IF(T1348="Backlog",1,IF(OR(T1348="Pipeline",T1348="Overdue"),N(INDEX(Settings!$C$27:$C$36,MATCH(L1348,Settings!$A$27:$A$36,0))),0))</f>
        <v>0</v>
      </c>
      <c r="V1348" s="38" t="n">
        <f aca="false">Q1348*U1348</f>
        <v>0</v>
      </c>
      <c r="W1348" s="41" t="str">
        <f aca="false">IF($M1348="","",IF(T1348="Overdue",IF(Settings!$B$8="Yes",Settings!$B$7,""),IF(ISNUMBER(R1348),DATE(YEAR(R1348),MONTH(R1348),1),"")))</f>
        <v/>
      </c>
      <c r="X1348" s="38" t="n">
        <f aca="false">IF(AND(OR(T1348="Backlog",T1348="Pipeline",T1348="Overdue"),ISNUMBER(W1348)),IF(W1348&lt;=Settings!$B$6,V1348,0),0)</f>
        <v>0</v>
      </c>
      <c r="Y1348" s="38" t="n">
        <f aca="false">IF(AND(OR(T1348="Backlog",T1348="Pipeline",T1348="Overdue"),ISNUMBER(W1348)),IF(W1348&lt;=Settings!$B$6,Q1348,0),0)</f>
        <v>0</v>
      </c>
      <c r="Z1348" s="38" t="n">
        <f aca="false">IF(Y1348=0,0,IF(T1348="Backlog",Q1348,Q1348*Dashboard!$C$10))</f>
        <v>0</v>
      </c>
      <c r="AA1348" s="37" t="n">
        <f aca="false">IF($N1348="",0,IF(COUNTIF(Dashboard!$C$13:$C$22,$N1348)&gt;0,1,0))</f>
        <v>0</v>
      </c>
      <c r="AB1348" s="37" t="str">
        <f aca="false">IF($N1348="","",IF(COUNTIF($N$8:$N1348,$N1348)=1,MAX($AB$7:$AB1347)+1,""))</f>
        <v/>
      </c>
    </row>
    <row r="1349" customFormat="false" ht="15" hidden="false" customHeight="false" outlineLevel="0" collapsed="false">
      <c r="L1349" s="37" t="str">
        <f aca="false">IF(INDEX($A1349:$J1349,$L$6)&lt;&gt;"",TRIM(LEFT(INDEX($A1349:$J1349,$L$6),FIND("(",INDEX($A1349:$J1349,$L$6)&amp;"(")-1)),L1348)</f>
        <v>Building Value Proposition</v>
      </c>
      <c r="M1349" s="37" t="str">
        <f aca="false">IF(INDEX($A1349:$J1349,$M$6)="","",INDEX($A1349:$J1349,$M$6)&amp;"")</f>
        <v/>
      </c>
      <c r="N1349" s="37" t="str">
        <f aca="false">IF($M1349="","",TRIM(INDEX($A1349:$J1349,$N$6)&amp;""))</f>
        <v/>
      </c>
      <c r="O1349" s="37" t="str">
        <f aca="false">IF($M1349="","",TRIM(INDEX($A1349:$J1349,$O$6)&amp;""))</f>
        <v/>
      </c>
      <c r="P1349" s="37" t="str">
        <f aca="false">IF($M1349="","",IFERROR(IF(INDEX(Settings!$B$41:$B$50,MATCH(O1349,Settings!$A$41:$A$50,0))&amp;""="","UNMAPPED",INDEX(Settings!$B$41:$B$50,MATCH(O1349,Settings!$A$41:$A$50,0))&amp;""),"UNMAPPED"))</f>
        <v/>
      </c>
      <c r="Q1349" s="38" t="n">
        <f aca="false">IF($M1349="",0,N(INDEX($A1349:$J1349,$Q$6)))</f>
        <v>0</v>
      </c>
      <c r="R1349" s="39" t="str">
        <f aca="false">IF($M1349="","",INDEX($A1349:$J1349,$R$6))</f>
        <v/>
      </c>
      <c r="S1349" s="37" t="str">
        <f aca="false">IF($M1349="","",IFERROR(INDEX(Settings!$B$27:$B$36,MATCH(L1349,Settings!$A$27:$A$36,0))&amp;"","UNMAPPED"))</f>
        <v/>
      </c>
      <c r="T1349" s="37" t="str">
        <f aca="false">IF($M1349="","",IF(NOT(ISNUMBER(R1349)),"NO DATE",IF(S1349="Won",IF(R1349&gt;Settings!$B$5,"Backlog","Delivered"),IF(S1349="Open",IF(R1349&gt;Settings!$B$5,"Pipeline","Overdue"),IF(S1349="Lost","Lost","UNMAPPED")))))</f>
        <v/>
      </c>
      <c r="U1349" s="40" t="n">
        <f aca="false">IF(T1349="Backlog",1,IF(OR(T1349="Pipeline",T1349="Overdue"),N(INDEX(Settings!$C$27:$C$36,MATCH(L1349,Settings!$A$27:$A$36,0))),0))</f>
        <v>0</v>
      </c>
      <c r="V1349" s="38" t="n">
        <f aca="false">Q1349*U1349</f>
        <v>0</v>
      </c>
      <c r="W1349" s="41" t="str">
        <f aca="false">IF($M1349="","",IF(T1349="Overdue",IF(Settings!$B$8="Yes",Settings!$B$7,""),IF(ISNUMBER(R1349),DATE(YEAR(R1349),MONTH(R1349),1),"")))</f>
        <v/>
      </c>
      <c r="X1349" s="38" t="n">
        <f aca="false">IF(AND(OR(T1349="Backlog",T1349="Pipeline",T1349="Overdue"),ISNUMBER(W1349)),IF(W1349&lt;=Settings!$B$6,V1349,0),0)</f>
        <v>0</v>
      </c>
      <c r="Y1349" s="38" t="n">
        <f aca="false">IF(AND(OR(T1349="Backlog",T1349="Pipeline",T1349="Overdue"),ISNUMBER(W1349)),IF(W1349&lt;=Settings!$B$6,Q1349,0),0)</f>
        <v>0</v>
      </c>
      <c r="Z1349" s="38" t="n">
        <f aca="false">IF(Y1349=0,0,IF(T1349="Backlog",Q1349,Q1349*Dashboard!$C$10))</f>
        <v>0</v>
      </c>
      <c r="AA1349" s="37" t="n">
        <f aca="false">IF($N1349="",0,IF(COUNTIF(Dashboard!$C$13:$C$22,$N1349)&gt;0,1,0))</f>
        <v>0</v>
      </c>
      <c r="AB1349" s="37" t="str">
        <f aca="false">IF($N1349="","",IF(COUNTIF($N$8:$N1349,$N1349)=1,MAX($AB$7:$AB1348)+1,""))</f>
        <v/>
      </c>
    </row>
    <row r="1350" customFormat="false" ht="15" hidden="false" customHeight="false" outlineLevel="0" collapsed="false">
      <c r="L1350" s="37" t="str">
        <f aca="false">IF(INDEX($A1350:$J1350,$L$6)&lt;&gt;"",TRIM(LEFT(INDEX($A1350:$J1350,$L$6),FIND("(",INDEX($A1350:$J1350,$L$6)&amp;"(")-1)),L1349)</f>
        <v>Building Value Proposition</v>
      </c>
      <c r="M1350" s="37" t="str">
        <f aca="false">IF(INDEX($A1350:$J1350,$M$6)="","",INDEX($A1350:$J1350,$M$6)&amp;"")</f>
        <v/>
      </c>
      <c r="N1350" s="37" t="str">
        <f aca="false">IF($M1350="","",TRIM(INDEX($A1350:$J1350,$N$6)&amp;""))</f>
        <v/>
      </c>
      <c r="O1350" s="37" t="str">
        <f aca="false">IF($M1350="","",TRIM(INDEX($A1350:$J1350,$O$6)&amp;""))</f>
        <v/>
      </c>
      <c r="P1350" s="37" t="str">
        <f aca="false">IF($M1350="","",IFERROR(IF(INDEX(Settings!$B$41:$B$50,MATCH(O1350,Settings!$A$41:$A$50,0))&amp;""="","UNMAPPED",INDEX(Settings!$B$41:$B$50,MATCH(O1350,Settings!$A$41:$A$50,0))&amp;""),"UNMAPPED"))</f>
        <v/>
      </c>
      <c r="Q1350" s="38" t="n">
        <f aca="false">IF($M1350="",0,N(INDEX($A1350:$J1350,$Q$6)))</f>
        <v>0</v>
      </c>
      <c r="R1350" s="39" t="str">
        <f aca="false">IF($M1350="","",INDEX($A1350:$J1350,$R$6))</f>
        <v/>
      </c>
      <c r="S1350" s="37" t="str">
        <f aca="false">IF($M1350="","",IFERROR(INDEX(Settings!$B$27:$B$36,MATCH(L1350,Settings!$A$27:$A$36,0))&amp;"","UNMAPPED"))</f>
        <v/>
      </c>
      <c r="T1350" s="37" t="str">
        <f aca="false">IF($M1350="","",IF(NOT(ISNUMBER(R1350)),"NO DATE",IF(S1350="Won",IF(R1350&gt;Settings!$B$5,"Backlog","Delivered"),IF(S1350="Open",IF(R1350&gt;Settings!$B$5,"Pipeline","Overdue"),IF(S1350="Lost","Lost","UNMAPPED")))))</f>
        <v/>
      </c>
      <c r="U1350" s="40" t="n">
        <f aca="false">IF(T1350="Backlog",1,IF(OR(T1350="Pipeline",T1350="Overdue"),N(INDEX(Settings!$C$27:$C$36,MATCH(L1350,Settings!$A$27:$A$36,0))),0))</f>
        <v>0</v>
      </c>
      <c r="V1350" s="38" t="n">
        <f aca="false">Q1350*U1350</f>
        <v>0</v>
      </c>
      <c r="W1350" s="41" t="str">
        <f aca="false">IF($M1350="","",IF(T1350="Overdue",IF(Settings!$B$8="Yes",Settings!$B$7,""),IF(ISNUMBER(R1350),DATE(YEAR(R1350),MONTH(R1350),1),"")))</f>
        <v/>
      </c>
      <c r="X1350" s="38" t="n">
        <f aca="false">IF(AND(OR(T1350="Backlog",T1350="Pipeline",T1350="Overdue"),ISNUMBER(W1350)),IF(W1350&lt;=Settings!$B$6,V1350,0),0)</f>
        <v>0</v>
      </c>
      <c r="Y1350" s="38" t="n">
        <f aca="false">IF(AND(OR(T1350="Backlog",T1350="Pipeline",T1350="Overdue"),ISNUMBER(W1350)),IF(W1350&lt;=Settings!$B$6,Q1350,0),0)</f>
        <v>0</v>
      </c>
      <c r="Z1350" s="38" t="n">
        <f aca="false">IF(Y1350=0,0,IF(T1350="Backlog",Q1350,Q1350*Dashboard!$C$10))</f>
        <v>0</v>
      </c>
      <c r="AA1350" s="37" t="n">
        <f aca="false">IF($N1350="",0,IF(COUNTIF(Dashboard!$C$13:$C$22,$N1350)&gt;0,1,0))</f>
        <v>0</v>
      </c>
      <c r="AB1350" s="37" t="str">
        <f aca="false">IF($N1350="","",IF(COUNTIF($N$8:$N1350,$N1350)=1,MAX($AB$7:$AB1349)+1,""))</f>
        <v/>
      </c>
    </row>
    <row r="1351" customFormat="false" ht="15" hidden="false" customHeight="false" outlineLevel="0" collapsed="false">
      <c r="L1351" s="37" t="str">
        <f aca="false">IF(INDEX($A1351:$J1351,$L$6)&lt;&gt;"",TRIM(LEFT(INDEX($A1351:$J1351,$L$6),FIND("(",INDEX($A1351:$J1351,$L$6)&amp;"(")-1)),L1350)</f>
        <v>Building Value Proposition</v>
      </c>
      <c r="M1351" s="37" t="str">
        <f aca="false">IF(INDEX($A1351:$J1351,$M$6)="","",INDEX($A1351:$J1351,$M$6)&amp;"")</f>
        <v/>
      </c>
      <c r="N1351" s="37" t="str">
        <f aca="false">IF($M1351="","",TRIM(INDEX($A1351:$J1351,$N$6)&amp;""))</f>
        <v/>
      </c>
      <c r="O1351" s="37" t="str">
        <f aca="false">IF($M1351="","",TRIM(INDEX($A1351:$J1351,$O$6)&amp;""))</f>
        <v/>
      </c>
      <c r="P1351" s="37" t="str">
        <f aca="false">IF($M1351="","",IFERROR(IF(INDEX(Settings!$B$41:$B$50,MATCH(O1351,Settings!$A$41:$A$50,0))&amp;""="","UNMAPPED",INDEX(Settings!$B$41:$B$50,MATCH(O1351,Settings!$A$41:$A$50,0))&amp;""),"UNMAPPED"))</f>
        <v/>
      </c>
      <c r="Q1351" s="38" t="n">
        <f aca="false">IF($M1351="",0,N(INDEX($A1351:$J1351,$Q$6)))</f>
        <v>0</v>
      </c>
      <c r="R1351" s="39" t="str">
        <f aca="false">IF($M1351="","",INDEX($A1351:$J1351,$R$6))</f>
        <v/>
      </c>
      <c r="S1351" s="37" t="str">
        <f aca="false">IF($M1351="","",IFERROR(INDEX(Settings!$B$27:$B$36,MATCH(L1351,Settings!$A$27:$A$36,0))&amp;"","UNMAPPED"))</f>
        <v/>
      </c>
      <c r="T1351" s="37" t="str">
        <f aca="false">IF($M1351="","",IF(NOT(ISNUMBER(R1351)),"NO DATE",IF(S1351="Won",IF(R1351&gt;Settings!$B$5,"Backlog","Delivered"),IF(S1351="Open",IF(R1351&gt;Settings!$B$5,"Pipeline","Overdue"),IF(S1351="Lost","Lost","UNMAPPED")))))</f>
        <v/>
      </c>
      <c r="U1351" s="40" t="n">
        <f aca="false">IF(T1351="Backlog",1,IF(OR(T1351="Pipeline",T1351="Overdue"),N(INDEX(Settings!$C$27:$C$36,MATCH(L1351,Settings!$A$27:$A$36,0))),0))</f>
        <v>0</v>
      </c>
      <c r="V1351" s="38" t="n">
        <f aca="false">Q1351*U1351</f>
        <v>0</v>
      </c>
      <c r="W1351" s="41" t="str">
        <f aca="false">IF($M1351="","",IF(T1351="Overdue",IF(Settings!$B$8="Yes",Settings!$B$7,""),IF(ISNUMBER(R1351),DATE(YEAR(R1351),MONTH(R1351),1),"")))</f>
        <v/>
      </c>
      <c r="X1351" s="38" t="n">
        <f aca="false">IF(AND(OR(T1351="Backlog",T1351="Pipeline",T1351="Overdue"),ISNUMBER(W1351)),IF(W1351&lt;=Settings!$B$6,V1351,0),0)</f>
        <v>0</v>
      </c>
      <c r="Y1351" s="38" t="n">
        <f aca="false">IF(AND(OR(T1351="Backlog",T1351="Pipeline",T1351="Overdue"),ISNUMBER(W1351)),IF(W1351&lt;=Settings!$B$6,Q1351,0),0)</f>
        <v>0</v>
      </c>
      <c r="Z1351" s="38" t="n">
        <f aca="false">IF(Y1351=0,0,IF(T1351="Backlog",Q1351,Q1351*Dashboard!$C$10))</f>
        <v>0</v>
      </c>
      <c r="AA1351" s="37" t="n">
        <f aca="false">IF($N1351="",0,IF(COUNTIF(Dashboard!$C$13:$C$22,$N1351)&gt;0,1,0))</f>
        <v>0</v>
      </c>
      <c r="AB1351" s="37" t="str">
        <f aca="false">IF($N1351="","",IF(COUNTIF($N$8:$N1351,$N1351)=1,MAX($AB$7:$AB1350)+1,""))</f>
        <v/>
      </c>
    </row>
    <row r="1352" customFormat="false" ht="15" hidden="false" customHeight="false" outlineLevel="0" collapsed="false">
      <c r="L1352" s="37" t="str">
        <f aca="false">IF(INDEX($A1352:$J1352,$L$6)&lt;&gt;"",TRIM(LEFT(INDEX($A1352:$J1352,$L$6),FIND("(",INDEX($A1352:$J1352,$L$6)&amp;"(")-1)),L1351)</f>
        <v>Building Value Proposition</v>
      </c>
      <c r="M1352" s="37" t="str">
        <f aca="false">IF(INDEX($A1352:$J1352,$M$6)="","",INDEX($A1352:$J1352,$M$6)&amp;"")</f>
        <v/>
      </c>
      <c r="N1352" s="37" t="str">
        <f aca="false">IF($M1352="","",TRIM(INDEX($A1352:$J1352,$N$6)&amp;""))</f>
        <v/>
      </c>
      <c r="O1352" s="37" t="str">
        <f aca="false">IF($M1352="","",TRIM(INDEX($A1352:$J1352,$O$6)&amp;""))</f>
        <v/>
      </c>
      <c r="P1352" s="37" t="str">
        <f aca="false">IF($M1352="","",IFERROR(IF(INDEX(Settings!$B$41:$B$50,MATCH(O1352,Settings!$A$41:$A$50,0))&amp;""="","UNMAPPED",INDEX(Settings!$B$41:$B$50,MATCH(O1352,Settings!$A$41:$A$50,0))&amp;""),"UNMAPPED"))</f>
        <v/>
      </c>
      <c r="Q1352" s="38" t="n">
        <f aca="false">IF($M1352="",0,N(INDEX($A1352:$J1352,$Q$6)))</f>
        <v>0</v>
      </c>
      <c r="R1352" s="39" t="str">
        <f aca="false">IF($M1352="","",INDEX($A1352:$J1352,$R$6))</f>
        <v/>
      </c>
      <c r="S1352" s="37" t="str">
        <f aca="false">IF($M1352="","",IFERROR(INDEX(Settings!$B$27:$B$36,MATCH(L1352,Settings!$A$27:$A$36,0))&amp;"","UNMAPPED"))</f>
        <v/>
      </c>
      <c r="T1352" s="37" t="str">
        <f aca="false">IF($M1352="","",IF(NOT(ISNUMBER(R1352)),"NO DATE",IF(S1352="Won",IF(R1352&gt;Settings!$B$5,"Backlog","Delivered"),IF(S1352="Open",IF(R1352&gt;Settings!$B$5,"Pipeline","Overdue"),IF(S1352="Lost","Lost","UNMAPPED")))))</f>
        <v/>
      </c>
      <c r="U1352" s="40" t="n">
        <f aca="false">IF(T1352="Backlog",1,IF(OR(T1352="Pipeline",T1352="Overdue"),N(INDEX(Settings!$C$27:$C$36,MATCH(L1352,Settings!$A$27:$A$36,0))),0))</f>
        <v>0</v>
      </c>
      <c r="V1352" s="38" t="n">
        <f aca="false">Q1352*U1352</f>
        <v>0</v>
      </c>
      <c r="W1352" s="41" t="str">
        <f aca="false">IF($M1352="","",IF(T1352="Overdue",IF(Settings!$B$8="Yes",Settings!$B$7,""),IF(ISNUMBER(R1352),DATE(YEAR(R1352),MONTH(R1352),1),"")))</f>
        <v/>
      </c>
      <c r="X1352" s="38" t="n">
        <f aca="false">IF(AND(OR(T1352="Backlog",T1352="Pipeline",T1352="Overdue"),ISNUMBER(W1352)),IF(W1352&lt;=Settings!$B$6,V1352,0),0)</f>
        <v>0</v>
      </c>
      <c r="Y1352" s="38" t="n">
        <f aca="false">IF(AND(OR(T1352="Backlog",T1352="Pipeline",T1352="Overdue"),ISNUMBER(W1352)),IF(W1352&lt;=Settings!$B$6,Q1352,0),0)</f>
        <v>0</v>
      </c>
      <c r="Z1352" s="38" t="n">
        <f aca="false">IF(Y1352=0,0,IF(T1352="Backlog",Q1352,Q1352*Dashboard!$C$10))</f>
        <v>0</v>
      </c>
      <c r="AA1352" s="37" t="n">
        <f aca="false">IF($N1352="",0,IF(COUNTIF(Dashboard!$C$13:$C$22,$N1352)&gt;0,1,0))</f>
        <v>0</v>
      </c>
      <c r="AB1352" s="37" t="str">
        <f aca="false">IF($N1352="","",IF(COUNTIF($N$8:$N1352,$N1352)=1,MAX($AB$7:$AB1351)+1,""))</f>
        <v/>
      </c>
    </row>
    <row r="1353" customFormat="false" ht="15" hidden="false" customHeight="false" outlineLevel="0" collapsed="false">
      <c r="L1353" s="37" t="str">
        <f aca="false">IF(INDEX($A1353:$J1353,$L$6)&lt;&gt;"",TRIM(LEFT(INDEX($A1353:$J1353,$L$6),FIND("(",INDEX($A1353:$J1353,$L$6)&amp;"(")-1)),L1352)</f>
        <v>Building Value Proposition</v>
      </c>
      <c r="M1353" s="37" t="str">
        <f aca="false">IF(INDEX($A1353:$J1353,$M$6)="","",INDEX($A1353:$J1353,$M$6)&amp;"")</f>
        <v/>
      </c>
      <c r="N1353" s="37" t="str">
        <f aca="false">IF($M1353="","",TRIM(INDEX($A1353:$J1353,$N$6)&amp;""))</f>
        <v/>
      </c>
      <c r="O1353" s="37" t="str">
        <f aca="false">IF($M1353="","",TRIM(INDEX($A1353:$J1353,$O$6)&amp;""))</f>
        <v/>
      </c>
      <c r="P1353" s="37" t="str">
        <f aca="false">IF($M1353="","",IFERROR(IF(INDEX(Settings!$B$41:$B$50,MATCH(O1353,Settings!$A$41:$A$50,0))&amp;""="","UNMAPPED",INDEX(Settings!$B$41:$B$50,MATCH(O1353,Settings!$A$41:$A$50,0))&amp;""),"UNMAPPED"))</f>
        <v/>
      </c>
      <c r="Q1353" s="38" t="n">
        <f aca="false">IF($M1353="",0,N(INDEX($A1353:$J1353,$Q$6)))</f>
        <v>0</v>
      </c>
      <c r="R1353" s="39" t="str">
        <f aca="false">IF($M1353="","",INDEX($A1353:$J1353,$R$6))</f>
        <v/>
      </c>
      <c r="S1353" s="37" t="str">
        <f aca="false">IF($M1353="","",IFERROR(INDEX(Settings!$B$27:$B$36,MATCH(L1353,Settings!$A$27:$A$36,0))&amp;"","UNMAPPED"))</f>
        <v/>
      </c>
      <c r="T1353" s="37" t="str">
        <f aca="false">IF($M1353="","",IF(NOT(ISNUMBER(R1353)),"NO DATE",IF(S1353="Won",IF(R1353&gt;Settings!$B$5,"Backlog","Delivered"),IF(S1353="Open",IF(R1353&gt;Settings!$B$5,"Pipeline","Overdue"),IF(S1353="Lost","Lost","UNMAPPED")))))</f>
        <v/>
      </c>
      <c r="U1353" s="40" t="n">
        <f aca="false">IF(T1353="Backlog",1,IF(OR(T1353="Pipeline",T1353="Overdue"),N(INDEX(Settings!$C$27:$C$36,MATCH(L1353,Settings!$A$27:$A$36,0))),0))</f>
        <v>0</v>
      </c>
      <c r="V1353" s="38" t="n">
        <f aca="false">Q1353*U1353</f>
        <v>0</v>
      </c>
      <c r="W1353" s="41" t="str">
        <f aca="false">IF($M1353="","",IF(T1353="Overdue",IF(Settings!$B$8="Yes",Settings!$B$7,""),IF(ISNUMBER(R1353),DATE(YEAR(R1353),MONTH(R1353),1),"")))</f>
        <v/>
      </c>
      <c r="X1353" s="38" t="n">
        <f aca="false">IF(AND(OR(T1353="Backlog",T1353="Pipeline",T1353="Overdue"),ISNUMBER(W1353)),IF(W1353&lt;=Settings!$B$6,V1353,0),0)</f>
        <v>0</v>
      </c>
      <c r="Y1353" s="38" t="n">
        <f aca="false">IF(AND(OR(T1353="Backlog",T1353="Pipeline",T1353="Overdue"),ISNUMBER(W1353)),IF(W1353&lt;=Settings!$B$6,Q1353,0),0)</f>
        <v>0</v>
      </c>
      <c r="Z1353" s="38" t="n">
        <f aca="false">IF(Y1353=0,0,IF(T1353="Backlog",Q1353,Q1353*Dashboard!$C$10))</f>
        <v>0</v>
      </c>
      <c r="AA1353" s="37" t="n">
        <f aca="false">IF($N1353="",0,IF(COUNTIF(Dashboard!$C$13:$C$22,$N1353)&gt;0,1,0))</f>
        <v>0</v>
      </c>
      <c r="AB1353" s="37" t="str">
        <f aca="false">IF($N1353="","",IF(COUNTIF($N$8:$N1353,$N1353)=1,MAX($AB$7:$AB1352)+1,""))</f>
        <v/>
      </c>
    </row>
    <row r="1354" customFormat="false" ht="15" hidden="false" customHeight="false" outlineLevel="0" collapsed="false">
      <c r="L1354" s="37" t="str">
        <f aca="false">IF(INDEX($A1354:$J1354,$L$6)&lt;&gt;"",TRIM(LEFT(INDEX($A1354:$J1354,$L$6),FIND("(",INDEX($A1354:$J1354,$L$6)&amp;"(")-1)),L1353)</f>
        <v>Building Value Proposition</v>
      </c>
      <c r="M1354" s="37" t="str">
        <f aca="false">IF(INDEX($A1354:$J1354,$M$6)="","",INDEX($A1354:$J1354,$M$6)&amp;"")</f>
        <v/>
      </c>
      <c r="N1354" s="37" t="str">
        <f aca="false">IF($M1354="","",TRIM(INDEX($A1354:$J1354,$N$6)&amp;""))</f>
        <v/>
      </c>
      <c r="O1354" s="37" t="str">
        <f aca="false">IF($M1354="","",TRIM(INDEX($A1354:$J1354,$O$6)&amp;""))</f>
        <v/>
      </c>
      <c r="P1354" s="37" t="str">
        <f aca="false">IF($M1354="","",IFERROR(IF(INDEX(Settings!$B$41:$B$50,MATCH(O1354,Settings!$A$41:$A$50,0))&amp;""="","UNMAPPED",INDEX(Settings!$B$41:$B$50,MATCH(O1354,Settings!$A$41:$A$50,0))&amp;""),"UNMAPPED"))</f>
        <v/>
      </c>
      <c r="Q1354" s="38" t="n">
        <f aca="false">IF($M1354="",0,N(INDEX($A1354:$J1354,$Q$6)))</f>
        <v>0</v>
      </c>
      <c r="R1354" s="39" t="str">
        <f aca="false">IF($M1354="","",INDEX($A1354:$J1354,$R$6))</f>
        <v/>
      </c>
      <c r="S1354" s="37" t="str">
        <f aca="false">IF($M1354="","",IFERROR(INDEX(Settings!$B$27:$B$36,MATCH(L1354,Settings!$A$27:$A$36,0))&amp;"","UNMAPPED"))</f>
        <v/>
      </c>
      <c r="T1354" s="37" t="str">
        <f aca="false">IF($M1354="","",IF(NOT(ISNUMBER(R1354)),"NO DATE",IF(S1354="Won",IF(R1354&gt;Settings!$B$5,"Backlog","Delivered"),IF(S1354="Open",IF(R1354&gt;Settings!$B$5,"Pipeline","Overdue"),IF(S1354="Lost","Lost","UNMAPPED")))))</f>
        <v/>
      </c>
      <c r="U1354" s="40" t="n">
        <f aca="false">IF(T1354="Backlog",1,IF(OR(T1354="Pipeline",T1354="Overdue"),N(INDEX(Settings!$C$27:$C$36,MATCH(L1354,Settings!$A$27:$A$36,0))),0))</f>
        <v>0</v>
      </c>
      <c r="V1354" s="38" t="n">
        <f aca="false">Q1354*U1354</f>
        <v>0</v>
      </c>
      <c r="W1354" s="41" t="str">
        <f aca="false">IF($M1354="","",IF(T1354="Overdue",IF(Settings!$B$8="Yes",Settings!$B$7,""),IF(ISNUMBER(R1354),DATE(YEAR(R1354),MONTH(R1354),1),"")))</f>
        <v/>
      </c>
      <c r="X1354" s="38" t="n">
        <f aca="false">IF(AND(OR(T1354="Backlog",T1354="Pipeline",T1354="Overdue"),ISNUMBER(W1354)),IF(W1354&lt;=Settings!$B$6,V1354,0),0)</f>
        <v>0</v>
      </c>
      <c r="Y1354" s="38" t="n">
        <f aca="false">IF(AND(OR(T1354="Backlog",T1354="Pipeline",T1354="Overdue"),ISNUMBER(W1354)),IF(W1354&lt;=Settings!$B$6,Q1354,0),0)</f>
        <v>0</v>
      </c>
      <c r="Z1354" s="38" t="n">
        <f aca="false">IF(Y1354=0,0,IF(T1354="Backlog",Q1354,Q1354*Dashboard!$C$10))</f>
        <v>0</v>
      </c>
      <c r="AA1354" s="37" t="n">
        <f aca="false">IF($N1354="",0,IF(COUNTIF(Dashboard!$C$13:$C$22,$N1354)&gt;0,1,0))</f>
        <v>0</v>
      </c>
      <c r="AB1354" s="37" t="str">
        <f aca="false">IF($N1354="","",IF(COUNTIF($N$8:$N1354,$N1354)=1,MAX($AB$7:$AB1353)+1,""))</f>
        <v/>
      </c>
    </row>
    <row r="1355" customFormat="false" ht="15" hidden="false" customHeight="false" outlineLevel="0" collapsed="false">
      <c r="L1355" s="37" t="str">
        <f aca="false">IF(INDEX($A1355:$J1355,$L$6)&lt;&gt;"",TRIM(LEFT(INDEX($A1355:$J1355,$L$6),FIND("(",INDEX($A1355:$J1355,$L$6)&amp;"(")-1)),L1354)</f>
        <v>Building Value Proposition</v>
      </c>
      <c r="M1355" s="37" t="str">
        <f aca="false">IF(INDEX($A1355:$J1355,$M$6)="","",INDEX($A1355:$J1355,$M$6)&amp;"")</f>
        <v/>
      </c>
      <c r="N1355" s="37" t="str">
        <f aca="false">IF($M1355="","",TRIM(INDEX($A1355:$J1355,$N$6)&amp;""))</f>
        <v/>
      </c>
      <c r="O1355" s="37" t="str">
        <f aca="false">IF($M1355="","",TRIM(INDEX($A1355:$J1355,$O$6)&amp;""))</f>
        <v/>
      </c>
      <c r="P1355" s="37" t="str">
        <f aca="false">IF($M1355="","",IFERROR(IF(INDEX(Settings!$B$41:$B$50,MATCH(O1355,Settings!$A$41:$A$50,0))&amp;""="","UNMAPPED",INDEX(Settings!$B$41:$B$50,MATCH(O1355,Settings!$A$41:$A$50,0))&amp;""),"UNMAPPED"))</f>
        <v/>
      </c>
      <c r="Q1355" s="38" t="n">
        <f aca="false">IF($M1355="",0,N(INDEX($A1355:$J1355,$Q$6)))</f>
        <v>0</v>
      </c>
      <c r="R1355" s="39" t="str">
        <f aca="false">IF($M1355="","",INDEX($A1355:$J1355,$R$6))</f>
        <v/>
      </c>
      <c r="S1355" s="37" t="str">
        <f aca="false">IF($M1355="","",IFERROR(INDEX(Settings!$B$27:$B$36,MATCH(L1355,Settings!$A$27:$A$36,0))&amp;"","UNMAPPED"))</f>
        <v/>
      </c>
      <c r="T1355" s="37" t="str">
        <f aca="false">IF($M1355="","",IF(NOT(ISNUMBER(R1355)),"NO DATE",IF(S1355="Won",IF(R1355&gt;Settings!$B$5,"Backlog","Delivered"),IF(S1355="Open",IF(R1355&gt;Settings!$B$5,"Pipeline","Overdue"),IF(S1355="Lost","Lost","UNMAPPED")))))</f>
        <v/>
      </c>
      <c r="U1355" s="40" t="n">
        <f aca="false">IF(T1355="Backlog",1,IF(OR(T1355="Pipeline",T1355="Overdue"),N(INDEX(Settings!$C$27:$C$36,MATCH(L1355,Settings!$A$27:$A$36,0))),0))</f>
        <v>0</v>
      </c>
      <c r="V1355" s="38" t="n">
        <f aca="false">Q1355*U1355</f>
        <v>0</v>
      </c>
      <c r="W1355" s="41" t="str">
        <f aca="false">IF($M1355="","",IF(T1355="Overdue",IF(Settings!$B$8="Yes",Settings!$B$7,""),IF(ISNUMBER(R1355),DATE(YEAR(R1355),MONTH(R1355),1),"")))</f>
        <v/>
      </c>
      <c r="X1355" s="38" t="n">
        <f aca="false">IF(AND(OR(T1355="Backlog",T1355="Pipeline",T1355="Overdue"),ISNUMBER(W1355)),IF(W1355&lt;=Settings!$B$6,V1355,0),0)</f>
        <v>0</v>
      </c>
      <c r="Y1355" s="38" t="n">
        <f aca="false">IF(AND(OR(T1355="Backlog",T1355="Pipeline",T1355="Overdue"),ISNUMBER(W1355)),IF(W1355&lt;=Settings!$B$6,Q1355,0),0)</f>
        <v>0</v>
      </c>
      <c r="Z1355" s="38" t="n">
        <f aca="false">IF(Y1355=0,0,IF(T1355="Backlog",Q1355,Q1355*Dashboard!$C$10))</f>
        <v>0</v>
      </c>
      <c r="AA1355" s="37" t="n">
        <f aca="false">IF($N1355="",0,IF(COUNTIF(Dashboard!$C$13:$C$22,$N1355)&gt;0,1,0))</f>
        <v>0</v>
      </c>
      <c r="AB1355" s="37" t="str">
        <f aca="false">IF($N1355="","",IF(COUNTIF($N$8:$N1355,$N1355)=1,MAX($AB$7:$AB1354)+1,""))</f>
        <v/>
      </c>
    </row>
    <row r="1356" customFormat="false" ht="15" hidden="false" customHeight="false" outlineLevel="0" collapsed="false">
      <c r="L1356" s="37" t="str">
        <f aca="false">IF(INDEX($A1356:$J1356,$L$6)&lt;&gt;"",TRIM(LEFT(INDEX($A1356:$J1356,$L$6),FIND("(",INDEX($A1356:$J1356,$L$6)&amp;"(")-1)),L1355)</f>
        <v>Building Value Proposition</v>
      </c>
      <c r="M1356" s="37" t="str">
        <f aca="false">IF(INDEX($A1356:$J1356,$M$6)="","",INDEX($A1356:$J1356,$M$6)&amp;"")</f>
        <v/>
      </c>
      <c r="N1356" s="37" t="str">
        <f aca="false">IF($M1356="","",TRIM(INDEX($A1356:$J1356,$N$6)&amp;""))</f>
        <v/>
      </c>
      <c r="O1356" s="37" t="str">
        <f aca="false">IF($M1356="","",TRIM(INDEX($A1356:$J1356,$O$6)&amp;""))</f>
        <v/>
      </c>
      <c r="P1356" s="37" t="str">
        <f aca="false">IF($M1356="","",IFERROR(IF(INDEX(Settings!$B$41:$B$50,MATCH(O1356,Settings!$A$41:$A$50,0))&amp;""="","UNMAPPED",INDEX(Settings!$B$41:$B$50,MATCH(O1356,Settings!$A$41:$A$50,0))&amp;""),"UNMAPPED"))</f>
        <v/>
      </c>
      <c r="Q1356" s="38" t="n">
        <f aca="false">IF($M1356="",0,N(INDEX($A1356:$J1356,$Q$6)))</f>
        <v>0</v>
      </c>
      <c r="R1356" s="39" t="str">
        <f aca="false">IF($M1356="","",INDEX($A1356:$J1356,$R$6))</f>
        <v/>
      </c>
      <c r="S1356" s="37" t="str">
        <f aca="false">IF($M1356="","",IFERROR(INDEX(Settings!$B$27:$B$36,MATCH(L1356,Settings!$A$27:$A$36,0))&amp;"","UNMAPPED"))</f>
        <v/>
      </c>
      <c r="T1356" s="37" t="str">
        <f aca="false">IF($M1356="","",IF(NOT(ISNUMBER(R1356)),"NO DATE",IF(S1356="Won",IF(R1356&gt;Settings!$B$5,"Backlog","Delivered"),IF(S1356="Open",IF(R1356&gt;Settings!$B$5,"Pipeline","Overdue"),IF(S1356="Lost","Lost","UNMAPPED")))))</f>
        <v/>
      </c>
      <c r="U1356" s="40" t="n">
        <f aca="false">IF(T1356="Backlog",1,IF(OR(T1356="Pipeline",T1356="Overdue"),N(INDEX(Settings!$C$27:$C$36,MATCH(L1356,Settings!$A$27:$A$36,0))),0))</f>
        <v>0</v>
      </c>
      <c r="V1356" s="38" t="n">
        <f aca="false">Q1356*U1356</f>
        <v>0</v>
      </c>
      <c r="W1356" s="41" t="str">
        <f aca="false">IF($M1356="","",IF(T1356="Overdue",IF(Settings!$B$8="Yes",Settings!$B$7,""),IF(ISNUMBER(R1356),DATE(YEAR(R1356),MONTH(R1356),1),"")))</f>
        <v/>
      </c>
      <c r="X1356" s="38" t="n">
        <f aca="false">IF(AND(OR(T1356="Backlog",T1356="Pipeline",T1356="Overdue"),ISNUMBER(W1356)),IF(W1356&lt;=Settings!$B$6,V1356,0),0)</f>
        <v>0</v>
      </c>
      <c r="Y1356" s="38" t="n">
        <f aca="false">IF(AND(OR(T1356="Backlog",T1356="Pipeline",T1356="Overdue"),ISNUMBER(W1356)),IF(W1356&lt;=Settings!$B$6,Q1356,0),0)</f>
        <v>0</v>
      </c>
      <c r="Z1356" s="38" t="n">
        <f aca="false">IF(Y1356=0,0,IF(T1356="Backlog",Q1356,Q1356*Dashboard!$C$10))</f>
        <v>0</v>
      </c>
      <c r="AA1356" s="37" t="n">
        <f aca="false">IF($N1356="",0,IF(COUNTIF(Dashboard!$C$13:$C$22,$N1356)&gt;0,1,0))</f>
        <v>0</v>
      </c>
      <c r="AB1356" s="37" t="str">
        <f aca="false">IF($N1356="","",IF(COUNTIF($N$8:$N1356,$N1356)=1,MAX($AB$7:$AB1355)+1,""))</f>
        <v/>
      </c>
    </row>
    <row r="1357" customFormat="false" ht="15" hidden="false" customHeight="false" outlineLevel="0" collapsed="false">
      <c r="L1357" s="37" t="str">
        <f aca="false">IF(INDEX($A1357:$J1357,$L$6)&lt;&gt;"",TRIM(LEFT(INDEX($A1357:$J1357,$L$6),FIND("(",INDEX($A1357:$J1357,$L$6)&amp;"(")-1)),L1356)</f>
        <v>Building Value Proposition</v>
      </c>
      <c r="M1357" s="37" t="str">
        <f aca="false">IF(INDEX($A1357:$J1357,$M$6)="","",INDEX($A1357:$J1357,$M$6)&amp;"")</f>
        <v/>
      </c>
      <c r="N1357" s="37" t="str">
        <f aca="false">IF($M1357="","",TRIM(INDEX($A1357:$J1357,$N$6)&amp;""))</f>
        <v/>
      </c>
      <c r="O1357" s="37" t="str">
        <f aca="false">IF($M1357="","",TRIM(INDEX($A1357:$J1357,$O$6)&amp;""))</f>
        <v/>
      </c>
      <c r="P1357" s="37" t="str">
        <f aca="false">IF($M1357="","",IFERROR(IF(INDEX(Settings!$B$41:$B$50,MATCH(O1357,Settings!$A$41:$A$50,0))&amp;""="","UNMAPPED",INDEX(Settings!$B$41:$B$50,MATCH(O1357,Settings!$A$41:$A$50,0))&amp;""),"UNMAPPED"))</f>
        <v/>
      </c>
      <c r="Q1357" s="38" t="n">
        <f aca="false">IF($M1357="",0,N(INDEX($A1357:$J1357,$Q$6)))</f>
        <v>0</v>
      </c>
      <c r="R1357" s="39" t="str">
        <f aca="false">IF($M1357="","",INDEX($A1357:$J1357,$R$6))</f>
        <v/>
      </c>
      <c r="S1357" s="37" t="str">
        <f aca="false">IF($M1357="","",IFERROR(INDEX(Settings!$B$27:$B$36,MATCH(L1357,Settings!$A$27:$A$36,0))&amp;"","UNMAPPED"))</f>
        <v/>
      </c>
      <c r="T1357" s="37" t="str">
        <f aca="false">IF($M1357="","",IF(NOT(ISNUMBER(R1357)),"NO DATE",IF(S1357="Won",IF(R1357&gt;Settings!$B$5,"Backlog","Delivered"),IF(S1357="Open",IF(R1357&gt;Settings!$B$5,"Pipeline","Overdue"),IF(S1357="Lost","Lost","UNMAPPED")))))</f>
        <v/>
      </c>
      <c r="U1357" s="40" t="n">
        <f aca="false">IF(T1357="Backlog",1,IF(OR(T1357="Pipeline",T1357="Overdue"),N(INDEX(Settings!$C$27:$C$36,MATCH(L1357,Settings!$A$27:$A$36,0))),0))</f>
        <v>0</v>
      </c>
      <c r="V1357" s="38" t="n">
        <f aca="false">Q1357*U1357</f>
        <v>0</v>
      </c>
      <c r="W1357" s="41" t="str">
        <f aca="false">IF($M1357="","",IF(T1357="Overdue",IF(Settings!$B$8="Yes",Settings!$B$7,""),IF(ISNUMBER(R1357),DATE(YEAR(R1357),MONTH(R1357),1),"")))</f>
        <v/>
      </c>
      <c r="X1357" s="38" t="n">
        <f aca="false">IF(AND(OR(T1357="Backlog",T1357="Pipeline",T1357="Overdue"),ISNUMBER(W1357)),IF(W1357&lt;=Settings!$B$6,V1357,0),0)</f>
        <v>0</v>
      </c>
      <c r="Y1357" s="38" t="n">
        <f aca="false">IF(AND(OR(T1357="Backlog",T1357="Pipeline",T1357="Overdue"),ISNUMBER(W1357)),IF(W1357&lt;=Settings!$B$6,Q1357,0),0)</f>
        <v>0</v>
      </c>
      <c r="Z1357" s="38" t="n">
        <f aca="false">IF(Y1357=0,0,IF(T1357="Backlog",Q1357,Q1357*Dashboard!$C$10))</f>
        <v>0</v>
      </c>
      <c r="AA1357" s="37" t="n">
        <f aca="false">IF($N1357="",0,IF(COUNTIF(Dashboard!$C$13:$C$22,$N1357)&gt;0,1,0))</f>
        <v>0</v>
      </c>
      <c r="AB1357" s="37" t="str">
        <f aca="false">IF($N1357="","",IF(COUNTIF($N$8:$N1357,$N1357)=1,MAX($AB$7:$AB1356)+1,""))</f>
        <v/>
      </c>
    </row>
    <row r="1358" customFormat="false" ht="15" hidden="false" customHeight="false" outlineLevel="0" collapsed="false">
      <c r="L1358" s="37" t="str">
        <f aca="false">IF(INDEX($A1358:$J1358,$L$6)&lt;&gt;"",TRIM(LEFT(INDEX($A1358:$J1358,$L$6),FIND("(",INDEX($A1358:$J1358,$L$6)&amp;"(")-1)),L1357)</f>
        <v>Building Value Proposition</v>
      </c>
      <c r="M1358" s="37" t="str">
        <f aca="false">IF(INDEX($A1358:$J1358,$M$6)="","",INDEX($A1358:$J1358,$M$6)&amp;"")</f>
        <v/>
      </c>
      <c r="N1358" s="37" t="str">
        <f aca="false">IF($M1358="","",TRIM(INDEX($A1358:$J1358,$N$6)&amp;""))</f>
        <v/>
      </c>
      <c r="O1358" s="37" t="str">
        <f aca="false">IF($M1358="","",TRIM(INDEX($A1358:$J1358,$O$6)&amp;""))</f>
        <v/>
      </c>
      <c r="P1358" s="37" t="str">
        <f aca="false">IF($M1358="","",IFERROR(IF(INDEX(Settings!$B$41:$B$50,MATCH(O1358,Settings!$A$41:$A$50,0))&amp;""="","UNMAPPED",INDEX(Settings!$B$41:$B$50,MATCH(O1358,Settings!$A$41:$A$50,0))&amp;""),"UNMAPPED"))</f>
        <v/>
      </c>
      <c r="Q1358" s="38" t="n">
        <f aca="false">IF($M1358="",0,N(INDEX($A1358:$J1358,$Q$6)))</f>
        <v>0</v>
      </c>
      <c r="R1358" s="39" t="str">
        <f aca="false">IF($M1358="","",INDEX($A1358:$J1358,$R$6))</f>
        <v/>
      </c>
      <c r="S1358" s="37" t="str">
        <f aca="false">IF($M1358="","",IFERROR(INDEX(Settings!$B$27:$B$36,MATCH(L1358,Settings!$A$27:$A$36,0))&amp;"","UNMAPPED"))</f>
        <v/>
      </c>
      <c r="T1358" s="37" t="str">
        <f aca="false">IF($M1358="","",IF(NOT(ISNUMBER(R1358)),"NO DATE",IF(S1358="Won",IF(R1358&gt;Settings!$B$5,"Backlog","Delivered"),IF(S1358="Open",IF(R1358&gt;Settings!$B$5,"Pipeline","Overdue"),IF(S1358="Lost","Lost","UNMAPPED")))))</f>
        <v/>
      </c>
      <c r="U1358" s="40" t="n">
        <f aca="false">IF(T1358="Backlog",1,IF(OR(T1358="Pipeline",T1358="Overdue"),N(INDEX(Settings!$C$27:$C$36,MATCH(L1358,Settings!$A$27:$A$36,0))),0))</f>
        <v>0</v>
      </c>
      <c r="V1358" s="38" t="n">
        <f aca="false">Q1358*U1358</f>
        <v>0</v>
      </c>
      <c r="W1358" s="41" t="str">
        <f aca="false">IF($M1358="","",IF(T1358="Overdue",IF(Settings!$B$8="Yes",Settings!$B$7,""),IF(ISNUMBER(R1358),DATE(YEAR(R1358),MONTH(R1358),1),"")))</f>
        <v/>
      </c>
      <c r="X1358" s="38" t="n">
        <f aca="false">IF(AND(OR(T1358="Backlog",T1358="Pipeline",T1358="Overdue"),ISNUMBER(W1358)),IF(W1358&lt;=Settings!$B$6,V1358,0),0)</f>
        <v>0</v>
      </c>
      <c r="Y1358" s="38" t="n">
        <f aca="false">IF(AND(OR(T1358="Backlog",T1358="Pipeline",T1358="Overdue"),ISNUMBER(W1358)),IF(W1358&lt;=Settings!$B$6,Q1358,0),0)</f>
        <v>0</v>
      </c>
      <c r="Z1358" s="38" t="n">
        <f aca="false">IF(Y1358=0,0,IF(T1358="Backlog",Q1358,Q1358*Dashboard!$C$10))</f>
        <v>0</v>
      </c>
      <c r="AA1358" s="37" t="n">
        <f aca="false">IF($N1358="",0,IF(COUNTIF(Dashboard!$C$13:$C$22,$N1358)&gt;0,1,0))</f>
        <v>0</v>
      </c>
      <c r="AB1358" s="37" t="str">
        <f aca="false">IF($N1358="","",IF(COUNTIF($N$8:$N1358,$N1358)=1,MAX($AB$7:$AB1357)+1,""))</f>
        <v/>
      </c>
    </row>
    <row r="1359" customFormat="false" ht="15" hidden="false" customHeight="false" outlineLevel="0" collapsed="false">
      <c r="L1359" s="37" t="str">
        <f aca="false">IF(INDEX($A1359:$J1359,$L$6)&lt;&gt;"",TRIM(LEFT(INDEX($A1359:$J1359,$L$6),FIND("(",INDEX($A1359:$J1359,$L$6)&amp;"(")-1)),L1358)</f>
        <v>Building Value Proposition</v>
      </c>
      <c r="M1359" s="37" t="str">
        <f aca="false">IF(INDEX($A1359:$J1359,$M$6)="","",INDEX($A1359:$J1359,$M$6)&amp;"")</f>
        <v/>
      </c>
      <c r="N1359" s="37" t="str">
        <f aca="false">IF($M1359="","",TRIM(INDEX($A1359:$J1359,$N$6)&amp;""))</f>
        <v/>
      </c>
      <c r="O1359" s="37" t="str">
        <f aca="false">IF($M1359="","",TRIM(INDEX($A1359:$J1359,$O$6)&amp;""))</f>
        <v/>
      </c>
      <c r="P1359" s="37" t="str">
        <f aca="false">IF($M1359="","",IFERROR(IF(INDEX(Settings!$B$41:$B$50,MATCH(O1359,Settings!$A$41:$A$50,0))&amp;""="","UNMAPPED",INDEX(Settings!$B$41:$B$50,MATCH(O1359,Settings!$A$41:$A$50,0))&amp;""),"UNMAPPED"))</f>
        <v/>
      </c>
      <c r="Q1359" s="38" t="n">
        <f aca="false">IF($M1359="",0,N(INDEX($A1359:$J1359,$Q$6)))</f>
        <v>0</v>
      </c>
      <c r="R1359" s="39" t="str">
        <f aca="false">IF($M1359="","",INDEX($A1359:$J1359,$R$6))</f>
        <v/>
      </c>
      <c r="S1359" s="37" t="str">
        <f aca="false">IF($M1359="","",IFERROR(INDEX(Settings!$B$27:$B$36,MATCH(L1359,Settings!$A$27:$A$36,0))&amp;"","UNMAPPED"))</f>
        <v/>
      </c>
      <c r="T1359" s="37" t="str">
        <f aca="false">IF($M1359="","",IF(NOT(ISNUMBER(R1359)),"NO DATE",IF(S1359="Won",IF(R1359&gt;Settings!$B$5,"Backlog","Delivered"),IF(S1359="Open",IF(R1359&gt;Settings!$B$5,"Pipeline","Overdue"),IF(S1359="Lost","Lost","UNMAPPED")))))</f>
        <v/>
      </c>
      <c r="U1359" s="40" t="n">
        <f aca="false">IF(T1359="Backlog",1,IF(OR(T1359="Pipeline",T1359="Overdue"),N(INDEX(Settings!$C$27:$C$36,MATCH(L1359,Settings!$A$27:$A$36,0))),0))</f>
        <v>0</v>
      </c>
      <c r="V1359" s="38" t="n">
        <f aca="false">Q1359*U1359</f>
        <v>0</v>
      </c>
      <c r="W1359" s="41" t="str">
        <f aca="false">IF($M1359="","",IF(T1359="Overdue",IF(Settings!$B$8="Yes",Settings!$B$7,""),IF(ISNUMBER(R1359),DATE(YEAR(R1359),MONTH(R1359),1),"")))</f>
        <v/>
      </c>
      <c r="X1359" s="38" t="n">
        <f aca="false">IF(AND(OR(T1359="Backlog",T1359="Pipeline",T1359="Overdue"),ISNUMBER(W1359)),IF(W1359&lt;=Settings!$B$6,V1359,0),0)</f>
        <v>0</v>
      </c>
      <c r="Y1359" s="38" t="n">
        <f aca="false">IF(AND(OR(T1359="Backlog",T1359="Pipeline",T1359="Overdue"),ISNUMBER(W1359)),IF(W1359&lt;=Settings!$B$6,Q1359,0),0)</f>
        <v>0</v>
      </c>
      <c r="Z1359" s="38" t="n">
        <f aca="false">IF(Y1359=0,0,IF(T1359="Backlog",Q1359,Q1359*Dashboard!$C$10))</f>
        <v>0</v>
      </c>
      <c r="AA1359" s="37" t="n">
        <f aca="false">IF($N1359="",0,IF(COUNTIF(Dashboard!$C$13:$C$22,$N1359)&gt;0,1,0))</f>
        <v>0</v>
      </c>
      <c r="AB1359" s="37" t="str">
        <f aca="false">IF($N1359="","",IF(COUNTIF($N$8:$N1359,$N1359)=1,MAX($AB$7:$AB1358)+1,""))</f>
        <v/>
      </c>
    </row>
    <row r="1360" customFormat="false" ht="15" hidden="false" customHeight="false" outlineLevel="0" collapsed="false">
      <c r="L1360" s="37" t="str">
        <f aca="false">IF(INDEX($A1360:$J1360,$L$6)&lt;&gt;"",TRIM(LEFT(INDEX($A1360:$J1360,$L$6),FIND("(",INDEX($A1360:$J1360,$L$6)&amp;"(")-1)),L1359)</f>
        <v>Building Value Proposition</v>
      </c>
      <c r="M1360" s="37" t="str">
        <f aca="false">IF(INDEX($A1360:$J1360,$M$6)="","",INDEX($A1360:$J1360,$M$6)&amp;"")</f>
        <v/>
      </c>
      <c r="N1360" s="37" t="str">
        <f aca="false">IF($M1360="","",TRIM(INDEX($A1360:$J1360,$N$6)&amp;""))</f>
        <v/>
      </c>
      <c r="O1360" s="37" t="str">
        <f aca="false">IF($M1360="","",TRIM(INDEX($A1360:$J1360,$O$6)&amp;""))</f>
        <v/>
      </c>
      <c r="P1360" s="37" t="str">
        <f aca="false">IF($M1360="","",IFERROR(IF(INDEX(Settings!$B$41:$B$50,MATCH(O1360,Settings!$A$41:$A$50,0))&amp;""="","UNMAPPED",INDEX(Settings!$B$41:$B$50,MATCH(O1360,Settings!$A$41:$A$50,0))&amp;""),"UNMAPPED"))</f>
        <v/>
      </c>
      <c r="Q1360" s="38" t="n">
        <f aca="false">IF($M1360="",0,N(INDEX($A1360:$J1360,$Q$6)))</f>
        <v>0</v>
      </c>
      <c r="R1360" s="39" t="str">
        <f aca="false">IF($M1360="","",INDEX($A1360:$J1360,$R$6))</f>
        <v/>
      </c>
      <c r="S1360" s="37" t="str">
        <f aca="false">IF($M1360="","",IFERROR(INDEX(Settings!$B$27:$B$36,MATCH(L1360,Settings!$A$27:$A$36,0))&amp;"","UNMAPPED"))</f>
        <v/>
      </c>
      <c r="T1360" s="37" t="str">
        <f aca="false">IF($M1360="","",IF(NOT(ISNUMBER(R1360)),"NO DATE",IF(S1360="Won",IF(R1360&gt;Settings!$B$5,"Backlog","Delivered"),IF(S1360="Open",IF(R1360&gt;Settings!$B$5,"Pipeline","Overdue"),IF(S1360="Lost","Lost","UNMAPPED")))))</f>
        <v/>
      </c>
      <c r="U1360" s="40" t="n">
        <f aca="false">IF(T1360="Backlog",1,IF(OR(T1360="Pipeline",T1360="Overdue"),N(INDEX(Settings!$C$27:$C$36,MATCH(L1360,Settings!$A$27:$A$36,0))),0))</f>
        <v>0</v>
      </c>
      <c r="V1360" s="38" t="n">
        <f aca="false">Q1360*U1360</f>
        <v>0</v>
      </c>
      <c r="W1360" s="41" t="str">
        <f aca="false">IF($M1360="","",IF(T1360="Overdue",IF(Settings!$B$8="Yes",Settings!$B$7,""),IF(ISNUMBER(R1360),DATE(YEAR(R1360),MONTH(R1360),1),"")))</f>
        <v/>
      </c>
      <c r="X1360" s="38" t="n">
        <f aca="false">IF(AND(OR(T1360="Backlog",T1360="Pipeline",T1360="Overdue"),ISNUMBER(W1360)),IF(W1360&lt;=Settings!$B$6,V1360,0),0)</f>
        <v>0</v>
      </c>
      <c r="Y1360" s="38" t="n">
        <f aca="false">IF(AND(OR(T1360="Backlog",T1360="Pipeline",T1360="Overdue"),ISNUMBER(W1360)),IF(W1360&lt;=Settings!$B$6,Q1360,0),0)</f>
        <v>0</v>
      </c>
      <c r="Z1360" s="38" t="n">
        <f aca="false">IF(Y1360=0,0,IF(T1360="Backlog",Q1360,Q1360*Dashboard!$C$10))</f>
        <v>0</v>
      </c>
      <c r="AA1360" s="37" t="n">
        <f aca="false">IF($N1360="",0,IF(COUNTIF(Dashboard!$C$13:$C$22,$N1360)&gt;0,1,0))</f>
        <v>0</v>
      </c>
      <c r="AB1360" s="37" t="str">
        <f aca="false">IF($N1360="","",IF(COUNTIF($N$8:$N1360,$N1360)=1,MAX($AB$7:$AB1359)+1,""))</f>
        <v/>
      </c>
    </row>
    <row r="1361" customFormat="false" ht="15" hidden="false" customHeight="false" outlineLevel="0" collapsed="false">
      <c r="L1361" s="37" t="str">
        <f aca="false">IF(INDEX($A1361:$J1361,$L$6)&lt;&gt;"",TRIM(LEFT(INDEX($A1361:$J1361,$L$6),FIND("(",INDEX($A1361:$J1361,$L$6)&amp;"(")-1)),L1360)</f>
        <v>Building Value Proposition</v>
      </c>
      <c r="M1361" s="37" t="str">
        <f aca="false">IF(INDEX($A1361:$J1361,$M$6)="","",INDEX($A1361:$J1361,$M$6)&amp;"")</f>
        <v/>
      </c>
      <c r="N1361" s="37" t="str">
        <f aca="false">IF($M1361="","",TRIM(INDEX($A1361:$J1361,$N$6)&amp;""))</f>
        <v/>
      </c>
      <c r="O1361" s="37" t="str">
        <f aca="false">IF($M1361="","",TRIM(INDEX($A1361:$J1361,$O$6)&amp;""))</f>
        <v/>
      </c>
      <c r="P1361" s="37" t="str">
        <f aca="false">IF($M1361="","",IFERROR(IF(INDEX(Settings!$B$41:$B$50,MATCH(O1361,Settings!$A$41:$A$50,0))&amp;""="","UNMAPPED",INDEX(Settings!$B$41:$B$50,MATCH(O1361,Settings!$A$41:$A$50,0))&amp;""),"UNMAPPED"))</f>
        <v/>
      </c>
      <c r="Q1361" s="38" t="n">
        <f aca="false">IF($M1361="",0,N(INDEX($A1361:$J1361,$Q$6)))</f>
        <v>0</v>
      </c>
      <c r="R1361" s="39" t="str">
        <f aca="false">IF($M1361="","",INDEX($A1361:$J1361,$R$6))</f>
        <v/>
      </c>
      <c r="S1361" s="37" t="str">
        <f aca="false">IF($M1361="","",IFERROR(INDEX(Settings!$B$27:$B$36,MATCH(L1361,Settings!$A$27:$A$36,0))&amp;"","UNMAPPED"))</f>
        <v/>
      </c>
      <c r="T1361" s="37" t="str">
        <f aca="false">IF($M1361="","",IF(NOT(ISNUMBER(R1361)),"NO DATE",IF(S1361="Won",IF(R1361&gt;Settings!$B$5,"Backlog","Delivered"),IF(S1361="Open",IF(R1361&gt;Settings!$B$5,"Pipeline","Overdue"),IF(S1361="Lost","Lost","UNMAPPED")))))</f>
        <v/>
      </c>
      <c r="U1361" s="40" t="n">
        <f aca="false">IF(T1361="Backlog",1,IF(OR(T1361="Pipeline",T1361="Overdue"),N(INDEX(Settings!$C$27:$C$36,MATCH(L1361,Settings!$A$27:$A$36,0))),0))</f>
        <v>0</v>
      </c>
      <c r="V1361" s="38" t="n">
        <f aca="false">Q1361*U1361</f>
        <v>0</v>
      </c>
      <c r="W1361" s="41" t="str">
        <f aca="false">IF($M1361="","",IF(T1361="Overdue",IF(Settings!$B$8="Yes",Settings!$B$7,""),IF(ISNUMBER(R1361),DATE(YEAR(R1361),MONTH(R1361),1),"")))</f>
        <v/>
      </c>
      <c r="X1361" s="38" t="n">
        <f aca="false">IF(AND(OR(T1361="Backlog",T1361="Pipeline",T1361="Overdue"),ISNUMBER(W1361)),IF(W1361&lt;=Settings!$B$6,V1361,0),0)</f>
        <v>0</v>
      </c>
      <c r="Y1361" s="38" t="n">
        <f aca="false">IF(AND(OR(T1361="Backlog",T1361="Pipeline",T1361="Overdue"),ISNUMBER(W1361)),IF(W1361&lt;=Settings!$B$6,Q1361,0),0)</f>
        <v>0</v>
      </c>
      <c r="Z1361" s="38" t="n">
        <f aca="false">IF(Y1361=0,0,IF(T1361="Backlog",Q1361,Q1361*Dashboard!$C$10))</f>
        <v>0</v>
      </c>
      <c r="AA1361" s="37" t="n">
        <f aca="false">IF($N1361="",0,IF(COUNTIF(Dashboard!$C$13:$C$22,$N1361)&gt;0,1,0))</f>
        <v>0</v>
      </c>
      <c r="AB1361" s="37" t="str">
        <f aca="false">IF($N1361="","",IF(COUNTIF($N$8:$N1361,$N1361)=1,MAX($AB$7:$AB1360)+1,""))</f>
        <v/>
      </c>
    </row>
    <row r="1362" customFormat="false" ht="15" hidden="false" customHeight="false" outlineLevel="0" collapsed="false">
      <c r="L1362" s="37" t="str">
        <f aca="false">IF(INDEX($A1362:$J1362,$L$6)&lt;&gt;"",TRIM(LEFT(INDEX($A1362:$J1362,$L$6),FIND("(",INDEX($A1362:$J1362,$L$6)&amp;"(")-1)),L1361)</f>
        <v>Building Value Proposition</v>
      </c>
      <c r="M1362" s="37" t="str">
        <f aca="false">IF(INDEX($A1362:$J1362,$M$6)="","",INDEX($A1362:$J1362,$M$6)&amp;"")</f>
        <v/>
      </c>
      <c r="N1362" s="37" t="str">
        <f aca="false">IF($M1362="","",TRIM(INDEX($A1362:$J1362,$N$6)&amp;""))</f>
        <v/>
      </c>
      <c r="O1362" s="37" t="str">
        <f aca="false">IF($M1362="","",TRIM(INDEX($A1362:$J1362,$O$6)&amp;""))</f>
        <v/>
      </c>
      <c r="P1362" s="37" t="str">
        <f aca="false">IF($M1362="","",IFERROR(IF(INDEX(Settings!$B$41:$B$50,MATCH(O1362,Settings!$A$41:$A$50,0))&amp;""="","UNMAPPED",INDEX(Settings!$B$41:$B$50,MATCH(O1362,Settings!$A$41:$A$50,0))&amp;""),"UNMAPPED"))</f>
        <v/>
      </c>
      <c r="Q1362" s="38" t="n">
        <f aca="false">IF($M1362="",0,N(INDEX($A1362:$J1362,$Q$6)))</f>
        <v>0</v>
      </c>
      <c r="R1362" s="39" t="str">
        <f aca="false">IF($M1362="","",INDEX($A1362:$J1362,$R$6))</f>
        <v/>
      </c>
      <c r="S1362" s="37" t="str">
        <f aca="false">IF($M1362="","",IFERROR(INDEX(Settings!$B$27:$B$36,MATCH(L1362,Settings!$A$27:$A$36,0))&amp;"","UNMAPPED"))</f>
        <v/>
      </c>
      <c r="T1362" s="37" t="str">
        <f aca="false">IF($M1362="","",IF(NOT(ISNUMBER(R1362)),"NO DATE",IF(S1362="Won",IF(R1362&gt;Settings!$B$5,"Backlog","Delivered"),IF(S1362="Open",IF(R1362&gt;Settings!$B$5,"Pipeline","Overdue"),IF(S1362="Lost","Lost","UNMAPPED")))))</f>
        <v/>
      </c>
      <c r="U1362" s="40" t="n">
        <f aca="false">IF(T1362="Backlog",1,IF(OR(T1362="Pipeline",T1362="Overdue"),N(INDEX(Settings!$C$27:$C$36,MATCH(L1362,Settings!$A$27:$A$36,0))),0))</f>
        <v>0</v>
      </c>
      <c r="V1362" s="38" t="n">
        <f aca="false">Q1362*U1362</f>
        <v>0</v>
      </c>
      <c r="W1362" s="41" t="str">
        <f aca="false">IF($M1362="","",IF(T1362="Overdue",IF(Settings!$B$8="Yes",Settings!$B$7,""),IF(ISNUMBER(R1362),DATE(YEAR(R1362),MONTH(R1362),1),"")))</f>
        <v/>
      </c>
      <c r="X1362" s="38" t="n">
        <f aca="false">IF(AND(OR(T1362="Backlog",T1362="Pipeline",T1362="Overdue"),ISNUMBER(W1362)),IF(W1362&lt;=Settings!$B$6,V1362,0),0)</f>
        <v>0</v>
      </c>
      <c r="Y1362" s="38" t="n">
        <f aca="false">IF(AND(OR(T1362="Backlog",T1362="Pipeline",T1362="Overdue"),ISNUMBER(W1362)),IF(W1362&lt;=Settings!$B$6,Q1362,0),0)</f>
        <v>0</v>
      </c>
      <c r="Z1362" s="38" t="n">
        <f aca="false">IF(Y1362=0,0,IF(T1362="Backlog",Q1362,Q1362*Dashboard!$C$10))</f>
        <v>0</v>
      </c>
      <c r="AA1362" s="37" t="n">
        <f aca="false">IF($N1362="",0,IF(COUNTIF(Dashboard!$C$13:$C$22,$N1362)&gt;0,1,0))</f>
        <v>0</v>
      </c>
      <c r="AB1362" s="37" t="str">
        <f aca="false">IF($N1362="","",IF(COUNTIF($N$8:$N1362,$N1362)=1,MAX($AB$7:$AB1361)+1,""))</f>
        <v/>
      </c>
    </row>
    <row r="1363" customFormat="false" ht="15" hidden="false" customHeight="false" outlineLevel="0" collapsed="false">
      <c r="L1363" s="37" t="str">
        <f aca="false">IF(INDEX($A1363:$J1363,$L$6)&lt;&gt;"",TRIM(LEFT(INDEX($A1363:$J1363,$L$6),FIND("(",INDEX($A1363:$J1363,$L$6)&amp;"(")-1)),L1362)</f>
        <v>Building Value Proposition</v>
      </c>
      <c r="M1363" s="37" t="str">
        <f aca="false">IF(INDEX($A1363:$J1363,$M$6)="","",INDEX($A1363:$J1363,$M$6)&amp;"")</f>
        <v/>
      </c>
      <c r="N1363" s="37" t="str">
        <f aca="false">IF($M1363="","",TRIM(INDEX($A1363:$J1363,$N$6)&amp;""))</f>
        <v/>
      </c>
      <c r="O1363" s="37" t="str">
        <f aca="false">IF($M1363="","",TRIM(INDEX($A1363:$J1363,$O$6)&amp;""))</f>
        <v/>
      </c>
      <c r="P1363" s="37" t="str">
        <f aca="false">IF($M1363="","",IFERROR(IF(INDEX(Settings!$B$41:$B$50,MATCH(O1363,Settings!$A$41:$A$50,0))&amp;""="","UNMAPPED",INDEX(Settings!$B$41:$B$50,MATCH(O1363,Settings!$A$41:$A$50,0))&amp;""),"UNMAPPED"))</f>
        <v/>
      </c>
      <c r="Q1363" s="38" t="n">
        <f aca="false">IF($M1363="",0,N(INDEX($A1363:$J1363,$Q$6)))</f>
        <v>0</v>
      </c>
      <c r="R1363" s="39" t="str">
        <f aca="false">IF($M1363="","",INDEX($A1363:$J1363,$R$6))</f>
        <v/>
      </c>
      <c r="S1363" s="37" t="str">
        <f aca="false">IF($M1363="","",IFERROR(INDEX(Settings!$B$27:$B$36,MATCH(L1363,Settings!$A$27:$A$36,0))&amp;"","UNMAPPED"))</f>
        <v/>
      </c>
      <c r="T1363" s="37" t="str">
        <f aca="false">IF($M1363="","",IF(NOT(ISNUMBER(R1363)),"NO DATE",IF(S1363="Won",IF(R1363&gt;Settings!$B$5,"Backlog","Delivered"),IF(S1363="Open",IF(R1363&gt;Settings!$B$5,"Pipeline","Overdue"),IF(S1363="Lost","Lost","UNMAPPED")))))</f>
        <v/>
      </c>
      <c r="U1363" s="40" t="n">
        <f aca="false">IF(T1363="Backlog",1,IF(OR(T1363="Pipeline",T1363="Overdue"),N(INDEX(Settings!$C$27:$C$36,MATCH(L1363,Settings!$A$27:$A$36,0))),0))</f>
        <v>0</v>
      </c>
      <c r="V1363" s="38" t="n">
        <f aca="false">Q1363*U1363</f>
        <v>0</v>
      </c>
      <c r="W1363" s="41" t="str">
        <f aca="false">IF($M1363="","",IF(T1363="Overdue",IF(Settings!$B$8="Yes",Settings!$B$7,""),IF(ISNUMBER(R1363),DATE(YEAR(R1363),MONTH(R1363),1),"")))</f>
        <v/>
      </c>
      <c r="X1363" s="38" t="n">
        <f aca="false">IF(AND(OR(T1363="Backlog",T1363="Pipeline",T1363="Overdue"),ISNUMBER(W1363)),IF(W1363&lt;=Settings!$B$6,V1363,0),0)</f>
        <v>0</v>
      </c>
      <c r="Y1363" s="38" t="n">
        <f aca="false">IF(AND(OR(T1363="Backlog",T1363="Pipeline",T1363="Overdue"),ISNUMBER(W1363)),IF(W1363&lt;=Settings!$B$6,Q1363,0),0)</f>
        <v>0</v>
      </c>
      <c r="Z1363" s="38" t="n">
        <f aca="false">IF(Y1363=0,0,IF(T1363="Backlog",Q1363,Q1363*Dashboard!$C$10))</f>
        <v>0</v>
      </c>
      <c r="AA1363" s="37" t="n">
        <f aca="false">IF($N1363="",0,IF(COUNTIF(Dashboard!$C$13:$C$22,$N1363)&gt;0,1,0))</f>
        <v>0</v>
      </c>
      <c r="AB1363" s="37" t="str">
        <f aca="false">IF($N1363="","",IF(COUNTIF($N$8:$N1363,$N1363)=1,MAX($AB$7:$AB1362)+1,""))</f>
        <v/>
      </c>
    </row>
    <row r="1364" customFormat="false" ht="15" hidden="false" customHeight="false" outlineLevel="0" collapsed="false">
      <c r="L1364" s="37" t="str">
        <f aca="false">IF(INDEX($A1364:$J1364,$L$6)&lt;&gt;"",TRIM(LEFT(INDEX($A1364:$J1364,$L$6),FIND("(",INDEX($A1364:$J1364,$L$6)&amp;"(")-1)),L1363)</f>
        <v>Building Value Proposition</v>
      </c>
      <c r="M1364" s="37" t="str">
        <f aca="false">IF(INDEX($A1364:$J1364,$M$6)="","",INDEX($A1364:$J1364,$M$6)&amp;"")</f>
        <v/>
      </c>
      <c r="N1364" s="37" t="str">
        <f aca="false">IF($M1364="","",TRIM(INDEX($A1364:$J1364,$N$6)&amp;""))</f>
        <v/>
      </c>
      <c r="O1364" s="37" t="str">
        <f aca="false">IF($M1364="","",TRIM(INDEX($A1364:$J1364,$O$6)&amp;""))</f>
        <v/>
      </c>
      <c r="P1364" s="37" t="str">
        <f aca="false">IF($M1364="","",IFERROR(IF(INDEX(Settings!$B$41:$B$50,MATCH(O1364,Settings!$A$41:$A$50,0))&amp;""="","UNMAPPED",INDEX(Settings!$B$41:$B$50,MATCH(O1364,Settings!$A$41:$A$50,0))&amp;""),"UNMAPPED"))</f>
        <v/>
      </c>
      <c r="Q1364" s="38" t="n">
        <f aca="false">IF($M1364="",0,N(INDEX($A1364:$J1364,$Q$6)))</f>
        <v>0</v>
      </c>
      <c r="R1364" s="39" t="str">
        <f aca="false">IF($M1364="","",INDEX($A1364:$J1364,$R$6))</f>
        <v/>
      </c>
      <c r="S1364" s="37" t="str">
        <f aca="false">IF($M1364="","",IFERROR(INDEX(Settings!$B$27:$B$36,MATCH(L1364,Settings!$A$27:$A$36,0))&amp;"","UNMAPPED"))</f>
        <v/>
      </c>
      <c r="T1364" s="37" t="str">
        <f aca="false">IF($M1364="","",IF(NOT(ISNUMBER(R1364)),"NO DATE",IF(S1364="Won",IF(R1364&gt;Settings!$B$5,"Backlog","Delivered"),IF(S1364="Open",IF(R1364&gt;Settings!$B$5,"Pipeline","Overdue"),IF(S1364="Lost","Lost","UNMAPPED")))))</f>
        <v/>
      </c>
      <c r="U1364" s="40" t="n">
        <f aca="false">IF(T1364="Backlog",1,IF(OR(T1364="Pipeline",T1364="Overdue"),N(INDEX(Settings!$C$27:$C$36,MATCH(L1364,Settings!$A$27:$A$36,0))),0))</f>
        <v>0</v>
      </c>
      <c r="V1364" s="38" t="n">
        <f aca="false">Q1364*U1364</f>
        <v>0</v>
      </c>
      <c r="W1364" s="41" t="str">
        <f aca="false">IF($M1364="","",IF(T1364="Overdue",IF(Settings!$B$8="Yes",Settings!$B$7,""),IF(ISNUMBER(R1364),DATE(YEAR(R1364),MONTH(R1364),1),"")))</f>
        <v/>
      </c>
      <c r="X1364" s="38" t="n">
        <f aca="false">IF(AND(OR(T1364="Backlog",T1364="Pipeline",T1364="Overdue"),ISNUMBER(W1364)),IF(W1364&lt;=Settings!$B$6,V1364,0),0)</f>
        <v>0</v>
      </c>
      <c r="Y1364" s="38" t="n">
        <f aca="false">IF(AND(OR(T1364="Backlog",T1364="Pipeline",T1364="Overdue"),ISNUMBER(W1364)),IF(W1364&lt;=Settings!$B$6,Q1364,0),0)</f>
        <v>0</v>
      </c>
      <c r="Z1364" s="38" t="n">
        <f aca="false">IF(Y1364=0,0,IF(T1364="Backlog",Q1364,Q1364*Dashboard!$C$10))</f>
        <v>0</v>
      </c>
      <c r="AA1364" s="37" t="n">
        <f aca="false">IF($N1364="",0,IF(COUNTIF(Dashboard!$C$13:$C$22,$N1364)&gt;0,1,0))</f>
        <v>0</v>
      </c>
      <c r="AB1364" s="37" t="str">
        <f aca="false">IF($N1364="","",IF(COUNTIF($N$8:$N1364,$N1364)=1,MAX($AB$7:$AB1363)+1,""))</f>
        <v/>
      </c>
    </row>
    <row r="1365" customFormat="false" ht="15" hidden="false" customHeight="false" outlineLevel="0" collapsed="false">
      <c r="L1365" s="37" t="str">
        <f aca="false">IF(INDEX($A1365:$J1365,$L$6)&lt;&gt;"",TRIM(LEFT(INDEX($A1365:$J1365,$L$6),FIND("(",INDEX($A1365:$J1365,$L$6)&amp;"(")-1)),L1364)</f>
        <v>Building Value Proposition</v>
      </c>
      <c r="M1365" s="37" t="str">
        <f aca="false">IF(INDEX($A1365:$J1365,$M$6)="","",INDEX($A1365:$J1365,$M$6)&amp;"")</f>
        <v/>
      </c>
      <c r="N1365" s="37" t="str">
        <f aca="false">IF($M1365="","",TRIM(INDEX($A1365:$J1365,$N$6)&amp;""))</f>
        <v/>
      </c>
      <c r="O1365" s="37" t="str">
        <f aca="false">IF($M1365="","",TRIM(INDEX($A1365:$J1365,$O$6)&amp;""))</f>
        <v/>
      </c>
      <c r="P1365" s="37" t="str">
        <f aca="false">IF($M1365="","",IFERROR(IF(INDEX(Settings!$B$41:$B$50,MATCH(O1365,Settings!$A$41:$A$50,0))&amp;""="","UNMAPPED",INDEX(Settings!$B$41:$B$50,MATCH(O1365,Settings!$A$41:$A$50,0))&amp;""),"UNMAPPED"))</f>
        <v/>
      </c>
      <c r="Q1365" s="38" t="n">
        <f aca="false">IF($M1365="",0,N(INDEX($A1365:$J1365,$Q$6)))</f>
        <v>0</v>
      </c>
      <c r="R1365" s="39" t="str">
        <f aca="false">IF($M1365="","",INDEX($A1365:$J1365,$R$6))</f>
        <v/>
      </c>
      <c r="S1365" s="37" t="str">
        <f aca="false">IF($M1365="","",IFERROR(INDEX(Settings!$B$27:$B$36,MATCH(L1365,Settings!$A$27:$A$36,0))&amp;"","UNMAPPED"))</f>
        <v/>
      </c>
      <c r="T1365" s="37" t="str">
        <f aca="false">IF($M1365="","",IF(NOT(ISNUMBER(R1365)),"NO DATE",IF(S1365="Won",IF(R1365&gt;Settings!$B$5,"Backlog","Delivered"),IF(S1365="Open",IF(R1365&gt;Settings!$B$5,"Pipeline","Overdue"),IF(S1365="Lost","Lost","UNMAPPED")))))</f>
        <v/>
      </c>
      <c r="U1365" s="40" t="n">
        <f aca="false">IF(T1365="Backlog",1,IF(OR(T1365="Pipeline",T1365="Overdue"),N(INDEX(Settings!$C$27:$C$36,MATCH(L1365,Settings!$A$27:$A$36,0))),0))</f>
        <v>0</v>
      </c>
      <c r="V1365" s="38" t="n">
        <f aca="false">Q1365*U1365</f>
        <v>0</v>
      </c>
      <c r="W1365" s="41" t="str">
        <f aca="false">IF($M1365="","",IF(T1365="Overdue",IF(Settings!$B$8="Yes",Settings!$B$7,""),IF(ISNUMBER(R1365),DATE(YEAR(R1365),MONTH(R1365),1),"")))</f>
        <v/>
      </c>
      <c r="X1365" s="38" t="n">
        <f aca="false">IF(AND(OR(T1365="Backlog",T1365="Pipeline",T1365="Overdue"),ISNUMBER(W1365)),IF(W1365&lt;=Settings!$B$6,V1365,0),0)</f>
        <v>0</v>
      </c>
      <c r="Y1365" s="38" t="n">
        <f aca="false">IF(AND(OR(T1365="Backlog",T1365="Pipeline",T1365="Overdue"),ISNUMBER(W1365)),IF(W1365&lt;=Settings!$B$6,Q1365,0),0)</f>
        <v>0</v>
      </c>
      <c r="Z1365" s="38" t="n">
        <f aca="false">IF(Y1365=0,0,IF(T1365="Backlog",Q1365,Q1365*Dashboard!$C$10))</f>
        <v>0</v>
      </c>
      <c r="AA1365" s="37" t="n">
        <f aca="false">IF($N1365="",0,IF(COUNTIF(Dashboard!$C$13:$C$22,$N1365)&gt;0,1,0))</f>
        <v>0</v>
      </c>
      <c r="AB1365" s="37" t="str">
        <f aca="false">IF($N1365="","",IF(COUNTIF($N$8:$N1365,$N1365)=1,MAX($AB$7:$AB1364)+1,""))</f>
        <v/>
      </c>
    </row>
    <row r="1366" customFormat="false" ht="15" hidden="false" customHeight="false" outlineLevel="0" collapsed="false">
      <c r="L1366" s="37" t="str">
        <f aca="false">IF(INDEX($A1366:$J1366,$L$6)&lt;&gt;"",TRIM(LEFT(INDEX($A1366:$J1366,$L$6),FIND("(",INDEX($A1366:$J1366,$L$6)&amp;"(")-1)),L1365)</f>
        <v>Building Value Proposition</v>
      </c>
      <c r="M1366" s="37" t="str">
        <f aca="false">IF(INDEX($A1366:$J1366,$M$6)="","",INDEX($A1366:$J1366,$M$6)&amp;"")</f>
        <v/>
      </c>
      <c r="N1366" s="37" t="str">
        <f aca="false">IF($M1366="","",TRIM(INDEX($A1366:$J1366,$N$6)&amp;""))</f>
        <v/>
      </c>
      <c r="O1366" s="37" t="str">
        <f aca="false">IF($M1366="","",TRIM(INDEX($A1366:$J1366,$O$6)&amp;""))</f>
        <v/>
      </c>
      <c r="P1366" s="37" t="str">
        <f aca="false">IF($M1366="","",IFERROR(IF(INDEX(Settings!$B$41:$B$50,MATCH(O1366,Settings!$A$41:$A$50,0))&amp;""="","UNMAPPED",INDEX(Settings!$B$41:$B$50,MATCH(O1366,Settings!$A$41:$A$50,0))&amp;""),"UNMAPPED"))</f>
        <v/>
      </c>
      <c r="Q1366" s="38" t="n">
        <f aca="false">IF($M1366="",0,N(INDEX($A1366:$J1366,$Q$6)))</f>
        <v>0</v>
      </c>
      <c r="R1366" s="39" t="str">
        <f aca="false">IF($M1366="","",INDEX($A1366:$J1366,$R$6))</f>
        <v/>
      </c>
      <c r="S1366" s="37" t="str">
        <f aca="false">IF($M1366="","",IFERROR(INDEX(Settings!$B$27:$B$36,MATCH(L1366,Settings!$A$27:$A$36,0))&amp;"","UNMAPPED"))</f>
        <v/>
      </c>
      <c r="T1366" s="37" t="str">
        <f aca="false">IF($M1366="","",IF(NOT(ISNUMBER(R1366)),"NO DATE",IF(S1366="Won",IF(R1366&gt;Settings!$B$5,"Backlog","Delivered"),IF(S1366="Open",IF(R1366&gt;Settings!$B$5,"Pipeline","Overdue"),IF(S1366="Lost","Lost","UNMAPPED")))))</f>
        <v/>
      </c>
      <c r="U1366" s="40" t="n">
        <f aca="false">IF(T1366="Backlog",1,IF(OR(T1366="Pipeline",T1366="Overdue"),N(INDEX(Settings!$C$27:$C$36,MATCH(L1366,Settings!$A$27:$A$36,0))),0))</f>
        <v>0</v>
      </c>
      <c r="V1366" s="38" t="n">
        <f aca="false">Q1366*U1366</f>
        <v>0</v>
      </c>
      <c r="W1366" s="41" t="str">
        <f aca="false">IF($M1366="","",IF(T1366="Overdue",IF(Settings!$B$8="Yes",Settings!$B$7,""),IF(ISNUMBER(R1366),DATE(YEAR(R1366),MONTH(R1366),1),"")))</f>
        <v/>
      </c>
      <c r="X1366" s="38" t="n">
        <f aca="false">IF(AND(OR(T1366="Backlog",T1366="Pipeline",T1366="Overdue"),ISNUMBER(W1366)),IF(W1366&lt;=Settings!$B$6,V1366,0),0)</f>
        <v>0</v>
      </c>
      <c r="Y1366" s="38" t="n">
        <f aca="false">IF(AND(OR(T1366="Backlog",T1366="Pipeline",T1366="Overdue"),ISNUMBER(W1366)),IF(W1366&lt;=Settings!$B$6,Q1366,0),0)</f>
        <v>0</v>
      </c>
      <c r="Z1366" s="38" t="n">
        <f aca="false">IF(Y1366=0,0,IF(T1366="Backlog",Q1366,Q1366*Dashboard!$C$10))</f>
        <v>0</v>
      </c>
      <c r="AA1366" s="37" t="n">
        <f aca="false">IF($N1366="",0,IF(COUNTIF(Dashboard!$C$13:$C$22,$N1366)&gt;0,1,0))</f>
        <v>0</v>
      </c>
      <c r="AB1366" s="37" t="str">
        <f aca="false">IF($N1366="","",IF(COUNTIF($N$8:$N1366,$N1366)=1,MAX($AB$7:$AB1365)+1,""))</f>
        <v/>
      </c>
    </row>
    <row r="1367" customFormat="false" ht="15" hidden="false" customHeight="false" outlineLevel="0" collapsed="false">
      <c r="L1367" s="37" t="str">
        <f aca="false">IF(INDEX($A1367:$J1367,$L$6)&lt;&gt;"",TRIM(LEFT(INDEX($A1367:$J1367,$L$6),FIND("(",INDEX($A1367:$J1367,$L$6)&amp;"(")-1)),L1366)</f>
        <v>Building Value Proposition</v>
      </c>
      <c r="M1367" s="37" t="str">
        <f aca="false">IF(INDEX($A1367:$J1367,$M$6)="","",INDEX($A1367:$J1367,$M$6)&amp;"")</f>
        <v/>
      </c>
      <c r="N1367" s="37" t="str">
        <f aca="false">IF($M1367="","",TRIM(INDEX($A1367:$J1367,$N$6)&amp;""))</f>
        <v/>
      </c>
      <c r="O1367" s="37" t="str">
        <f aca="false">IF($M1367="","",TRIM(INDEX($A1367:$J1367,$O$6)&amp;""))</f>
        <v/>
      </c>
      <c r="P1367" s="37" t="str">
        <f aca="false">IF($M1367="","",IFERROR(IF(INDEX(Settings!$B$41:$B$50,MATCH(O1367,Settings!$A$41:$A$50,0))&amp;""="","UNMAPPED",INDEX(Settings!$B$41:$B$50,MATCH(O1367,Settings!$A$41:$A$50,0))&amp;""),"UNMAPPED"))</f>
        <v/>
      </c>
      <c r="Q1367" s="38" t="n">
        <f aca="false">IF($M1367="",0,N(INDEX($A1367:$J1367,$Q$6)))</f>
        <v>0</v>
      </c>
      <c r="R1367" s="39" t="str">
        <f aca="false">IF($M1367="","",INDEX($A1367:$J1367,$R$6))</f>
        <v/>
      </c>
      <c r="S1367" s="37" t="str">
        <f aca="false">IF($M1367="","",IFERROR(INDEX(Settings!$B$27:$B$36,MATCH(L1367,Settings!$A$27:$A$36,0))&amp;"","UNMAPPED"))</f>
        <v/>
      </c>
      <c r="T1367" s="37" t="str">
        <f aca="false">IF($M1367="","",IF(NOT(ISNUMBER(R1367)),"NO DATE",IF(S1367="Won",IF(R1367&gt;Settings!$B$5,"Backlog","Delivered"),IF(S1367="Open",IF(R1367&gt;Settings!$B$5,"Pipeline","Overdue"),IF(S1367="Lost","Lost","UNMAPPED")))))</f>
        <v/>
      </c>
      <c r="U1367" s="40" t="n">
        <f aca="false">IF(T1367="Backlog",1,IF(OR(T1367="Pipeline",T1367="Overdue"),N(INDEX(Settings!$C$27:$C$36,MATCH(L1367,Settings!$A$27:$A$36,0))),0))</f>
        <v>0</v>
      </c>
      <c r="V1367" s="38" t="n">
        <f aca="false">Q1367*U1367</f>
        <v>0</v>
      </c>
      <c r="W1367" s="41" t="str">
        <f aca="false">IF($M1367="","",IF(T1367="Overdue",IF(Settings!$B$8="Yes",Settings!$B$7,""),IF(ISNUMBER(R1367),DATE(YEAR(R1367),MONTH(R1367),1),"")))</f>
        <v/>
      </c>
      <c r="X1367" s="38" t="n">
        <f aca="false">IF(AND(OR(T1367="Backlog",T1367="Pipeline",T1367="Overdue"),ISNUMBER(W1367)),IF(W1367&lt;=Settings!$B$6,V1367,0),0)</f>
        <v>0</v>
      </c>
      <c r="Y1367" s="38" t="n">
        <f aca="false">IF(AND(OR(T1367="Backlog",T1367="Pipeline",T1367="Overdue"),ISNUMBER(W1367)),IF(W1367&lt;=Settings!$B$6,Q1367,0),0)</f>
        <v>0</v>
      </c>
      <c r="Z1367" s="38" t="n">
        <f aca="false">IF(Y1367=0,0,IF(T1367="Backlog",Q1367,Q1367*Dashboard!$C$10))</f>
        <v>0</v>
      </c>
      <c r="AA1367" s="37" t="n">
        <f aca="false">IF($N1367="",0,IF(COUNTIF(Dashboard!$C$13:$C$22,$N1367)&gt;0,1,0))</f>
        <v>0</v>
      </c>
      <c r="AB1367" s="37" t="str">
        <f aca="false">IF($N1367="","",IF(COUNTIF($N$8:$N1367,$N1367)=1,MAX($AB$7:$AB1366)+1,""))</f>
        <v/>
      </c>
    </row>
    <row r="1368" customFormat="false" ht="15" hidden="false" customHeight="false" outlineLevel="0" collapsed="false">
      <c r="L1368" s="37" t="str">
        <f aca="false">IF(INDEX($A1368:$J1368,$L$6)&lt;&gt;"",TRIM(LEFT(INDEX($A1368:$J1368,$L$6),FIND("(",INDEX($A1368:$J1368,$L$6)&amp;"(")-1)),L1367)</f>
        <v>Building Value Proposition</v>
      </c>
      <c r="M1368" s="37" t="str">
        <f aca="false">IF(INDEX($A1368:$J1368,$M$6)="","",INDEX($A1368:$J1368,$M$6)&amp;"")</f>
        <v/>
      </c>
      <c r="N1368" s="37" t="str">
        <f aca="false">IF($M1368="","",TRIM(INDEX($A1368:$J1368,$N$6)&amp;""))</f>
        <v/>
      </c>
      <c r="O1368" s="37" t="str">
        <f aca="false">IF($M1368="","",TRIM(INDEX($A1368:$J1368,$O$6)&amp;""))</f>
        <v/>
      </c>
      <c r="P1368" s="37" t="str">
        <f aca="false">IF($M1368="","",IFERROR(IF(INDEX(Settings!$B$41:$B$50,MATCH(O1368,Settings!$A$41:$A$50,0))&amp;""="","UNMAPPED",INDEX(Settings!$B$41:$B$50,MATCH(O1368,Settings!$A$41:$A$50,0))&amp;""),"UNMAPPED"))</f>
        <v/>
      </c>
      <c r="Q1368" s="38" t="n">
        <f aca="false">IF($M1368="",0,N(INDEX($A1368:$J1368,$Q$6)))</f>
        <v>0</v>
      </c>
      <c r="R1368" s="39" t="str">
        <f aca="false">IF($M1368="","",INDEX($A1368:$J1368,$R$6))</f>
        <v/>
      </c>
      <c r="S1368" s="37" t="str">
        <f aca="false">IF($M1368="","",IFERROR(INDEX(Settings!$B$27:$B$36,MATCH(L1368,Settings!$A$27:$A$36,0))&amp;"","UNMAPPED"))</f>
        <v/>
      </c>
      <c r="T1368" s="37" t="str">
        <f aca="false">IF($M1368="","",IF(NOT(ISNUMBER(R1368)),"NO DATE",IF(S1368="Won",IF(R1368&gt;Settings!$B$5,"Backlog","Delivered"),IF(S1368="Open",IF(R1368&gt;Settings!$B$5,"Pipeline","Overdue"),IF(S1368="Lost","Lost","UNMAPPED")))))</f>
        <v/>
      </c>
      <c r="U1368" s="40" t="n">
        <f aca="false">IF(T1368="Backlog",1,IF(OR(T1368="Pipeline",T1368="Overdue"),N(INDEX(Settings!$C$27:$C$36,MATCH(L1368,Settings!$A$27:$A$36,0))),0))</f>
        <v>0</v>
      </c>
      <c r="V1368" s="38" t="n">
        <f aca="false">Q1368*U1368</f>
        <v>0</v>
      </c>
      <c r="W1368" s="41" t="str">
        <f aca="false">IF($M1368="","",IF(T1368="Overdue",IF(Settings!$B$8="Yes",Settings!$B$7,""),IF(ISNUMBER(R1368),DATE(YEAR(R1368),MONTH(R1368),1),"")))</f>
        <v/>
      </c>
      <c r="X1368" s="38" t="n">
        <f aca="false">IF(AND(OR(T1368="Backlog",T1368="Pipeline",T1368="Overdue"),ISNUMBER(W1368)),IF(W1368&lt;=Settings!$B$6,V1368,0),0)</f>
        <v>0</v>
      </c>
      <c r="Y1368" s="38" t="n">
        <f aca="false">IF(AND(OR(T1368="Backlog",T1368="Pipeline",T1368="Overdue"),ISNUMBER(W1368)),IF(W1368&lt;=Settings!$B$6,Q1368,0),0)</f>
        <v>0</v>
      </c>
      <c r="Z1368" s="38" t="n">
        <f aca="false">IF(Y1368=0,0,IF(T1368="Backlog",Q1368,Q1368*Dashboard!$C$10))</f>
        <v>0</v>
      </c>
      <c r="AA1368" s="37" t="n">
        <f aca="false">IF($N1368="",0,IF(COUNTIF(Dashboard!$C$13:$C$22,$N1368)&gt;0,1,0))</f>
        <v>0</v>
      </c>
      <c r="AB1368" s="37" t="str">
        <f aca="false">IF($N1368="","",IF(COUNTIF($N$8:$N1368,$N1368)=1,MAX($AB$7:$AB1367)+1,""))</f>
        <v/>
      </c>
    </row>
    <row r="1369" customFormat="false" ht="15" hidden="false" customHeight="false" outlineLevel="0" collapsed="false">
      <c r="L1369" s="37" t="str">
        <f aca="false">IF(INDEX($A1369:$J1369,$L$6)&lt;&gt;"",TRIM(LEFT(INDEX($A1369:$J1369,$L$6),FIND("(",INDEX($A1369:$J1369,$L$6)&amp;"(")-1)),L1368)</f>
        <v>Building Value Proposition</v>
      </c>
      <c r="M1369" s="37" t="str">
        <f aca="false">IF(INDEX($A1369:$J1369,$M$6)="","",INDEX($A1369:$J1369,$M$6)&amp;"")</f>
        <v/>
      </c>
      <c r="N1369" s="37" t="str">
        <f aca="false">IF($M1369="","",TRIM(INDEX($A1369:$J1369,$N$6)&amp;""))</f>
        <v/>
      </c>
      <c r="O1369" s="37" t="str">
        <f aca="false">IF($M1369="","",TRIM(INDEX($A1369:$J1369,$O$6)&amp;""))</f>
        <v/>
      </c>
      <c r="P1369" s="37" t="str">
        <f aca="false">IF($M1369="","",IFERROR(IF(INDEX(Settings!$B$41:$B$50,MATCH(O1369,Settings!$A$41:$A$50,0))&amp;""="","UNMAPPED",INDEX(Settings!$B$41:$B$50,MATCH(O1369,Settings!$A$41:$A$50,0))&amp;""),"UNMAPPED"))</f>
        <v/>
      </c>
      <c r="Q1369" s="38" t="n">
        <f aca="false">IF($M1369="",0,N(INDEX($A1369:$J1369,$Q$6)))</f>
        <v>0</v>
      </c>
      <c r="R1369" s="39" t="str">
        <f aca="false">IF($M1369="","",INDEX($A1369:$J1369,$R$6))</f>
        <v/>
      </c>
      <c r="S1369" s="37" t="str">
        <f aca="false">IF($M1369="","",IFERROR(INDEX(Settings!$B$27:$B$36,MATCH(L1369,Settings!$A$27:$A$36,0))&amp;"","UNMAPPED"))</f>
        <v/>
      </c>
      <c r="T1369" s="37" t="str">
        <f aca="false">IF($M1369="","",IF(NOT(ISNUMBER(R1369)),"NO DATE",IF(S1369="Won",IF(R1369&gt;Settings!$B$5,"Backlog","Delivered"),IF(S1369="Open",IF(R1369&gt;Settings!$B$5,"Pipeline","Overdue"),IF(S1369="Lost","Lost","UNMAPPED")))))</f>
        <v/>
      </c>
      <c r="U1369" s="40" t="n">
        <f aca="false">IF(T1369="Backlog",1,IF(OR(T1369="Pipeline",T1369="Overdue"),N(INDEX(Settings!$C$27:$C$36,MATCH(L1369,Settings!$A$27:$A$36,0))),0))</f>
        <v>0</v>
      </c>
      <c r="V1369" s="38" t="n">
        <f aca="false">Q1369*U1369</f>
        <v>0</v>
      </c>
      <c r="W1369" s="41" t="str">
        <f aca="false">IF($M1369="","",IF(T1369="Overdue",IF(Settings!$B$8="Yes",Settings!$B$7,""),IF(ISNUMBER(R1369),DATE(YEAR(R1369),MONTH(R1369),1),"")))</f>
        <v/>
      </c>
      <c r="X1369" s="38" t="n">
        <f aca="false">IF(AND(OR(T1369="Backlog",T1369="Pipeline",T1369="Overdue"),ISNUMBER(W1369)),IF(W1369&lt;=Settings!$B$6,V1369,0),0)</f>
        <v>0</v>
      </c>
      <c r="Y1369" s="38" t="n">
        <f aca="false">IF(AND(OR(T1369="Backlog",T1369="Pipeline",T1369="Overdue"),ISNUMBER(W1369)),IF(W1369&lt;=Settings!$B$6,Q1369,0),0)</f>
        <v>0</v>
      </c>
      <c r="Z1369" s="38" t="n">
        <f aca="false">IF(Y1369=0,0,IF(T1369="Backlog",Q1369,Q1369*Dashboard!$C$10))</f>
        <v>0</v>
      </c>
      <c r="AA1369" s="37" t="n">
        <f aca="false">IF($N1369="",0,IF(COUNTIF(Dashboard!$C$13:$C$22,$N1369)&gt;0,1,0))</f>
        <v>0</v>
      </c>
      <c r="AB1369" s="37" t="str">
        <f aca="false">IF($N1369="","",IF(COUNTIF($N$8:$N1369,$N1369)=1,MAX($AB$7:$AB1368)+1,""))</f>
        <v/>
      </c>
    </row>
    <row r="1370" customFormat="false" ht="15" hidden="false" customHeight="false" outlineLevel="0" collapsed="false">
      <c r="L1370" s="37" t="str">
        <f aca="false">IF(INDEX($A1370:$J1370,$L$6)&lt;&gt;"",TRIM(LEFT(INDEX($A1370:$J1370,$L$6),FIND("(",INDEX($A1370:$J1370,$L$6)&amp;"(")-1)),L1369)</f>
        <v>Building Value Proposition</v>
      </c>
      <c r="M1370" s="37" t="str">
        <f aca="false">IF(INDEX($A1370:$J1370,$M$6)="","",INDEX($A1370:$J1370,$M$6)&amp;"")</f>
        <v/>
      </c>
      <c r="N1370" s="37" t="str">
        <f aca="false">IF($M1370="","",TRIM(INDEX($A1370:$J1370,$N$6)&amp;""))</f>
        <v/>
      </c>
      <c r="O1370" s="37" t="str">
        <f aca="false">IF($M1370="","",TRIM(INDEX($A1370:$J1370,$O$6)&amp;""))</f>
        <v/>
      </c>
      <c r="P1370" s="37" t="str">
        <f aca="false">IF($M1370="","",IFERROR(IF(INDEX(Settings!$B$41:$B$50,MATCH(O1370,Settings!$A$41:$A$50,0))&amp;""="","UNMAPPED",INDEX(Settings!$B$41:$B$50,MATCH(O1370,Settings!$A$41:$A$50,0))&amp;""),"UNMAPPED"))</f>
        <v/>
      </c>
      <c r="Q1370" s="38" t="n">
        <f aca="false">IF($M1370="",0,N(INDEX($A1370:$J1370,$Q$6)))</f>
        <v>0</v>
      </c>
      <c r="R1370" s="39" t="str">
        <f aca="false">IF($M1370="","",INDEX($A1370:$J1370,$R$6))</f>
        <v/>
      </c>
      <c r="S1370" s="37" t="str">
        <f aca="false">IF($M1370="","",IFERROR(INDEX(Settings!$B$27:$B$36,MATCH(L1370,Settings!$A$27:$A$36,0))&amp;"","UNMAPPED"))</f>
        <v/>
      </c>
      <c r="T1370" s="37" t="str">
        <f aca="false">IF($M1370="","",IF(NOT(ISNUMBER(R1370)),"NO DATE",IF(S1370="Won",IF(R1370&gt;Settings!$B$5,"Backlog","Delivered"),IF(S1370="Open",IF(R1370&gt;Settings!$B$5,"Pipeline","Overdue"),IF(S1370="Lost","Lost","UNMAPPED")))))</f>
        <v/>
      </c>
      <c r="U1370" s="40" t="n">
        <f aca="false">IF(T1370="Backlog",1,IF(OR(T1370="Pipeline",T1370="Overdue"),N(INDEX(Settings!$C$27:$C$36,MATCH(L1370,Settings!$A$27:$A$36,0))),0))</f>
        <v>0</v>
      </c>
      <c r="V1370" s="38" t="n">
        <f aca="false">Q1370*U1370</f>
        <v>0</v>
      </c>
      <c r="W1370" s="41" t="str">
        <f aca="false">IF($M1370="","",IF(T1370="Overdue",IF(Settings!$B$8="Yes",Settings!$B$7,""),IF(ISNUMBER(R1370),DATE(YEAR(R1370),MONTH(R1370),1),"")))</f>
        <v/>
      </c>
      <c r="X1370" s="38" t="n">
        <f aca="false">IF(AND(OR(T1370="Backlog",T1370="Pipeline",T1370="Overdue"),ISNUMBER(W1370)),IF(W1370&lt;=Settings!$B$6,V1370,0),0)</f>
        <v>0</v>
      </c>
      <c r="Y1370" s="38" t="n">
        <f aca="false">IF(AND(OR(T1370="Backlog",T1370="Pipeline",T1370="Overdue"),ISNUMBER(W1370)),IF(W1370&lt;=Settings!$B$6,Q1370,0),0)</f>
        <v>0</v>
      </c>
      <c r="Z1370" s="38" t="n">
        <f aca="false">IF(Y1370=0,0,IF(T1370="Backlog",Q1370,Q1370*Dashboard!$C$10))</f>
        <v>0</v>
      </c>
      <c r="AA1370" s="37" t="n">
        <f aca="false">IF($N1370="",0,IF(COUNTIF(Dashboard!$C$13:$C$22,$N1370)&gt;0,1,0))</f>
        <v>0</v>
      </c>
      <c r="AB1370" s="37" t="str">
        <f aca="false">IF($N1370="","",IF(COUNTIF($N$8:$N1370,$N1370)=1,MAX($AB$7:$AB1369)+1,""))</f>
        <v/>
      </c>
    </row>
    <row r="1371" customFormat="false" ht="15" hidden="false" customHeight="false" outlineLevel="0" collapsed="false">
      <c r="L1371" s="37" t="str">
        <f aca="false">IF(INDEX($A1371:$J1371,$L$6)&lt;&gt;"",TRIM(LEFT(INDEX($A1371:$J1371,$L$6),FIND("(",INDEX($A1371:$J1371,$L$6)&amp;"(")-1)),L1370)</f>
        <v>Building Value Proposition</v>
      </c>
      <c r="M1371" s="37" t="str">
        <f aca="false">IF(INDEX($A1371:$J1371,$M$6)="","",INDEX($A1371:$J1371,$M$6)&amp;"")</f>
        <v/>
      </c>
      <c r="N1371" s="37" t="str">
        <f aca="false">IF($M1371="","",TRIM(INDEX($A1371:$J1371,$N$6)&amp;""))</f>
        <v/>
      </c>
      <c r="O1371" s="37" t="str">
        <f aca="false">IF($M1371="","",TRIM(INDEX($A1371:$J1371,$O$6)&amp;""))</f>
        <v/>
      </c>
      <c r="P1371" s="37" t="str">
        <f aca="false">IF($M1371="","",IFERROR(IF(INDEX(Settings!$B$41:$B$50,MATCH(O1371,Settings!$A$41:$A$50,0))&amp;""="","UNMAPPED",INDEX(Settings!$B$41:$B$50,MATCH(O1371,Settings!$A$41:$A$50,0))&amp;""),"UNMAPPED"))</f>
        <v/>
      </c>
      <c r="Q1371" s="38" t="n">
        <f aca="false">IF($M1371="",0,N(INDEX($A1371:$J1371,$Q$6)))</f>
        <v>0</v>
      </c>
      <c r="R1371" s="39" t="str">
        <f aca="false">IF($M1371="","",INDEX($A1371:$J1371,$R$6))</f>
        <v/>
      </c>
      <c r="S1371" s="37" t="str">
        <f aca="false">IF($M1371="","",IFERROR(INDEX(Settings!$B$27:$B$36,MATCH(L1371,Settings!$A$27:$A$36,0))&amp;"","UNMAPPED"))</f>
        <v/>
      </c>
      <c r="T1371" s="37" t="str">
        <f aca="false">IF($M1371="","",IF(NOT(ISNUMBER(R1371)),"NO DATE",IF(S1371="Won",IF(R1371&gt;Settings!$B$5,"Backlog","Delivered"),IF(S1371="Open",IF(R1371&gt;Settings!$B$5,"Pipeline","Overdue"),IF(S1371="Lost","Lost","UNMAPPED")))))</f>
        <v/>
      </c>
      <c r="U1371" s="40" t="n">
        <f aca="false">IF(T1371="Backlog",1,IF(OR(T1371="Pipeline",T1371="Overdue"),N(INDEX(Settings!$C$27:$C$36,MATCH(L1371,Settings!$A$27:$A$36,0))),0))</f>
        <v>0</v>
      </c>
      <c r="V1371" s="38" t="n">
        <f aca="false">Q1371*U1371</f>
        <v>0</v>
      </c>
      <c r="W1371" s="41" t="str">
        <f aca="false">IF($M1371="","",IF(T1371="Overdue",IF(Settings!$B$8="Yes",Settings!$B$7,""),IF(ISNUMBER(R1371),DATE(YEAR(R1371),MONTH(R1371),1),"")))</f>
        <v/>
      </c>
      <c r="X1371" s="38" t="n">
        <f aca="false">IF(AND(OR(T1371="Backlog",T1371="Pipeline",T1371="Overdue"),ISNUMBER(W1371)),IF(W1371&lt;=Settings!$B$6,V1371,0),0)</f>
        <v>0</v>
      </c>
      <c r="Y1371" s="38" t="n">
        <f aca="false">IF(AND(OR(T1371="Backlog",T1371="Pipeline",T1371="Overdue"),ISNUMBER(W1371)),IF(W1371&lt;=Settings!$B$6,Q1371,0),0)</f>
        <v>0</v>
      </c>
      <c r="Z1371" s="38" t="n">
        <f aca="false">IF(Y1371=0,0,IF(T1371="Backlog",Q1371,Q1371*Dashboard!$C$10))</f>
        <v>0</v>
      </c>
      <c r="AA1371" s="37" t="n">
        <f aca="false">IF($N1371="",0,IF(COUNTIF(Dashboard!$C$13:$C$22,$N1371)&gt;0,1,0))</f>
        <v>0</v>
      </c>
      <c r="AB1371" s="37" t="str">
        <f aca="false">IF($N1371="","",IF(COUNTIF($N$8:$N1371,$N1371)=1,MAX($AB$7:$AB1370)+1,""))</f>
        <v/>
      </c>
    </row>
    <row r="1372" customFormat="false" ht="15" hidden="false" customHeight="false" outlineLevel="0" collapsed="false">
      <c r="L1372" s="37" t="str">
        <f aca="false">IF(INDEX($A1372:$J1372,$L$6)&lt;&gt;"",TRIM(LEFT(INDEX($A1372:$J1372,$L$6),FIND("(",INDEX($A1372:$J1372,$L$6)&amp;"(")-1)),L1371)</f>
        <v>Building Value Proposition</v>
      </c>
      <c r="M1372" s="37" t="str">
        <f aca="false">IF(INDEX($A1372:$J1372,$M$6)="","",INDEX($A1372:$J1372,$M$6)&amp;"")</f>
        <v/>
      </c>
      <c r="N1372" s="37" t="str">
        <f aca="false">IF($M1372="","",TRIM(INDEX($A1372:$J1372,$N$6)&amp;""))</f>
        <v/>
      </c>
      <c r="O1372" s="37" t="str">
        <f aca="false">IF($M1372="","",TRIM(INDEX($A1372:$J1372,$O$6)&amp;""))</f>
        <v/>
      </c>
      <c r="P1372" s="37" t="str">
        <f aca="false">IF($M1372="","",IFERROR(IF(INDEX(Settings!$B$41:$B$50,MATCH(O1372,Settings!$A$41:$A$50,0))&amp;""="","UNMAPPED",INDEX(Settings!$B$41:$B$50,MATCH(O1372,Settings!$A$41:$A$50,0))&amp;""),"UNMAPPED"))</f>
        <v/>
      </c>
      <c r="Q1372" s="38" t="n">
        <f aca="false">IF($M1372="",0,N(INDEX($A1372:$J1372,$Q$6)))</f>
        <v>0</v>
      </c>
      <c r="R1372" s="39" t="str">
        <f aca="false">IF($M1372="","",INDEX($A1372:$J1372,$R$6))</f>
        <v/>
      </c>
      <c r="S1372" s="37" t="str">
        <f aca="false">IF($M1372="","",IFERROR(INDEX(Settings!$B$27:$B$36,MATCH(L1372,Settings!$A$27:$A$36,0))&amp;"","UNMAPPED"))</f>
        <v/>
      </c>
      <c r="T1372" s="37" t="str">
        <f aca="false">IF($M1372="","",IF(NOT(ISNUMBER(R1372)),"NO DATE",IF(S1372="Won",IF(R1372&gt;Settings!$B$5,"Backlog","Delivered"),IF(S1372="Open",IF(R1372&gt;Settings!$B$5,"Pipeline","Overdue"),IF(S1372="Lost","Lost","UNMAPPED")))))</f>
        <v/>
      </c>
      <c r="U1372" s="40" t="n">
        <f aca="false">IF(T1372="Backlog",1,IF(OR(T1372="Pipeline",T1372="Overdue"),N(INDEX(Settings!$C$27:$C$36,MATCH(L1372,Settings!$A$27:$A$36,0))),0))</f>
        <v>0</v>
      </c>
      <c r="V1372" s="38" t="n">
        <f aca="false">Q1372*U1372</f>
        <v>0</v>
      </c>
      <c r="W1372" s="41" t="str">
        <f aca="false">IF($M1372="","",IF(T1372="Overdue",IF(Settings!$B$8="Yes",Settings!$B$7,""),IF(ISNUMBER(R1372),DATE(YEAR(R1372),MONTH(R1372),1),"")))</f>
        <v/>
      </c>
      <c r="X1372" s="38" t="n">
        <f aca="false">IF(AND(OR(T1372="Backlog",T1372="Pipeline",T1372="Overdue"),ISNUMBER(W1372)),IF(W1372&lt;=Settings!$B$6,V1372,0),0)</f>
        <v>0</v>
      </c>
      <c r="Y1372" s="38" t="n">
        <f aca="false">IF(AND(OR(T1372="Backlog",T1372="Pipeline",T1372="Overdue"),ISNUMBER(W1372)),IF(W1372&lt;=Settings!$B$6,Q1372,0),0)</f>
        <v>0</v>
      </c>
      <c r="Z1372" s="38" t="n">
        <f aca="false">IF(Y1372=0,0,IF(T1372="Backlog",Q1372,Q1372*Dashboard!$C$10))</f>
        <v>0</v>
      </c>
      <c r="AA1372" s="37" t="n">
        <f aca="false">IF($N1372="",0,IF(COUNTIF(Dashboard!$C$13:$C$22,$N1372)&gt;0,1,0))</f>
        <v>0</v>
      </c>
      <c r="AB1372" s="37" t="str">
        <f aca="false">IF($N1372="","",IF(COUNTIF($N$8:$N1372,$N1372)=1,MAX($AB$7:$AB1371)+1,""))</f>
        <v/>
      </c>
    </row>
    <row r="1373" customFormat="false" ht="15" hidden="false" customHeight="false" outlineLevel="0" collapsed="false">
      <c r="L1373" s="37" t="str">
        <f aca="false">IF(INDEX($A1373:$J1373,$L$6)&lt;&gt;"",TRIM(LEFT(INDEX($A1373:$J1373,$L$6),FIND("(",INDEX($A1373:$J1373,$L$6)&amp;"(")-1)),L1372)</f>
        <v>Building Value Proposition</v>
      </c>
      <c r="M1373" s="37" t="str">
        <f aca="false">IF(INDEX($A1373:$J1373,$M$6)="","",INDEX($A1373:$J1373,$M$6)&amp;"")</f>
        <v/>
      </c>
      <c r="N1373" s="37" t="str">
        <f aca="false">IF($M1373="","",TRIM(INDEX($A1373:$J1373,$N$6)&amp;""))</f>
        <v/>
      </c>
      <c r="O1373" s="37" t="str">
        <f aca="false">IF($M1373="","",TRIM(INDEX($A1373:$J1373,$O$6)&amp;""))</f>
        <v/>
      </c>
      <c r="P1373" s="37" t="str">
        <f aca="false">IF($M1373="","",IFERROR(IF(INDEX(Settings!$B$41:$B$50,MATCH(O1373,Settings!$A$41:$A$50,0))&amp;""="","UNMAPPED",INDEX(Settings!$B$41:$B$50,MATCH(O1373,Settings!$A$41:$A$50,0))&amp;""),"UNMAPPED"))</f>
        <v/>
      </c>
      <c r="Q1373" s="38" t="n">
        <f aca="false">IF($M1373="",0,N(INDEX($A1373:$J1373,$Q$6)))</f>
        <v>0</v>
      </c>
      <c r="R1373" s="39" t="str">
        <f aca="false">IF($M1373="","",INDEX($A1373:$J1373,$R$6))</f>
        <v/>
      </c>
      <c r="S1373" s="37" t="str">
        <f aca="false">IF($M1373="","",IFERROR(INDEX(Settings!$B$27:$B$36,MATCH(L1373,Settings!$A$27:$A$36,0))&amp;"","UNMAPPED"))</f>
        <v/>
      </c>
      <c r="T1373" s="37" t="str">
        <f aca="false">IF($M1373="","",IF(NOT(ISNUMBER(R1373)),"NO DATE",IF(S1373="Won",IF(R1373&gt;Settings!$B$5,"Backlog","Delivered"),IF(S1373="Open",IF(R1373&gt;Settings!$B$5,"Pipeline","Overdue"),IF(S1373="Lost","Lost","UNMAPPED")))))</f>
        <v/>
      </c>
      <c r="U1373" s="40" t="n">
        <f aca="false">IF(T1373="Backlog",1,IF(OR(T1373="Pipeline",T1373="Overdue"),N(INDEX(Settings!$C$27:$C$36,MATCH(L1373,Settings!$A$27:$A$36,0))),0))</f>
        <v>0</v>
      </c>
      <c r="V1373" s="38" t="n">
        <f aca="false">Q1373*U1373</f>
        <v>0</v>
      </c>
      <c r="W1373" s="41" t="str">
        <f aca="false">IF($M1373="","",IF(T1373="Overdue",IF(Settings!$B$8="Yes",Settings!$B$7,""),IF(ISNUMBER(R1373),DATE(YEAR(R1373),MONTH(R1373),1),"")))</f>
        <v/>
      </c>
      <c r="X1373" s="38" t="n">
        <f aca="false">IF(AND(OR(T1373="Backlog",T1373="Pipeline",T1373="Overdue"),ISNUMBER(W1373)),IF(W1373&lt;=Settings!$B$6,V1373,0),0)</f>
        <v>0</v>
      </c>
      <c r="Y1373" s="38" t="n">
        <f aca="false">IF(AND(OR(T1373="Backlog",T1373="Pipeline",T1373="Overdue"),ISNUMBER(W1373)),IF(W1373&lt;=Settings!$B$6,Q1373,0),0)</f>
        <v>0</v>
      </c>
      <c r="Z1373" s="38" t="n">
        <f aca="false">IF(Y1373=0,0,IF(T1373="Backlog",Q1373,Q1373*Dashboard!$C$10))</f>
        <v>0</v>
      </c>
      <c r="AA1373" s="37" t="n">
        <f aca="false">IF($N1373="",0,IF(COUNTIF(Dashboard!$C$13:$C$22,$N1373)&gt;0,1,0))</f>
        <v>0</v>
      </c>
      <c r="AB1373" s="37" t="str">
        <f aca="false">IF($N1373="","",IF(COUNTIF($N$8:$N1373,$N1373)=1,MAX($AB$7:$AB1372)+1,""))</f>
        <v/>
      </c>
    </row>
    <row r="1374" customFormat="false" ht="15" hidden="false" customHeight="false" outlineLevel="0" collapsed="false">
      <c r="L1374" s="37" t="str">
        <f aca="false">IF(INDEX($A1374:$J1374,$L$6)&lt;&gt;"",TRIM(LEFT(INDEX($A1374:$J1374,$L$6),FIND("(",INDEX($A1374:$J1374,$L$6)&amp;"(")-1)),L1373)</f>
        <v>Building Value Proposition</v>
      </c>
      <c r="M1374" s="37" t="str">
        <f aca="false">IF(INDEX($A1374:$J1374,$M$6)="","",INDEX($A1374:$J1374,$M$6)&amp;"")</f>
        <v/>
      </c>
      <c r="N1374" s="37" t="str">
        <f aca="false">IF($M1374="","",TRIM(INDEX($A1374:$J1374,$N$6)&amp;""))</f>
        <v/>
      </c>
      <c r="O1374" s="37" t="str">
        <f aca="false">IF($M1374="","",TRIM(INDEX($A1374:$J1374,$O$6)&amp;""))</f>
        <v/>
      </c>
      <c r="P1374" s="37" t="str">
        <f aca="false">IF($M1374="","",IFERROR(IF(INDEX(Settings!$B$41:$B$50,MATCH(O1374,Settings!$A$41:$A$50,0))&amp;""="","UNMAPPED",INDEX(Settings!$B$41:$B$50,MATCH(O1374,Settings!$A$41:$A$50,0))&amp;""),"UNMAPPED"))</f>
        <v/>
      </c>
      <c r="Q1374" s="38" t="n">
        <f aca="false">IF($M1374="",0,N(INDEX($A1374:$J1374,$Q$6)))</f>
        <v>0</v>
      </c>
      <c r="R1374" s="39" t="str">
        <f aca="false">IF($M1374="","",INDEX($A1374:$J1374,$R$6))</f>
        <v/>
      </c>
      <c r="S1374" s="37" t="str">
        <f aca="false">IF($M1374="","",IFERROR(INDEX(Settings!$B$27:$B$36,MATCH(L1374,Settings!$A$27:$A$36,0))&amp;"","UNMAPPED"))</f>
        <v/>
      </c>
      <c r="T1374" s="37" t="str">
        <f aca="false">IF($M1374="","",IF(NOT(ISNUMBER(R1374)),"NO DATE",IF(S1374="Won",IF(R1374&gt;Settings!$B$5,"Backlog","Delivered"),IF(S1374="Open",IF(R1374&gt;Settings!$B$5,"Pipeline","Overdue"),IF(S1374="Lost","Lost","UNMAPPED")))))</f>
        <v/>
      </c>
      <c r="U1374" s="40" t="n">
        <f aca="false">IF(T1374="Backlog",1,IF(OR(T1374="Pipeline",T1374="Overdue"),N(INDEX(Settings!$C$27:$C$36,MATCH(L1374,Settings!$A$27:$A$36,0))),0))</f>
        <v>0</v>
      </c>
      <c r="V1374" s="38" t="n">
        <f aca="false">Q1374*U1374</f>
        <v>0</v>
      </c>
      <c r="W1374" s="41" t="str">
        <f aca="false">IF($M1374="","",IF(T1374="Overdue",IF(Settings!$B$8="Yes",Settings!$B$7,""),IF(ISNUMBER(R1374),DATE(YEAR(R1374),MONTH(R1374),1),"")))</f>
        <v/>
      </c>
      <c r="X1374" s="38" t="n">
        <f aca="false">IF(AND(OR(T1374="Backlog",T1374="Pipeline",T1374="Overdue"),ISNUMBER(W1374)),IF(W1374&lt;=Settings!$B$6,V1374,0),0)</f>
        <v>0</v>
      </c>
      <c r="Y1374" s="38" t="n">
        <f aca="false">IF(AND(OR(T1374="Backlog",T1374="Pipeline",T1374="Overdue"),ISNUMBER(W1374)),IF(W1374&lt;=Settings!$B$6,Q1374,0),0)</f>
        <v>0</v>
      </c>
      <c r="Z1374" s="38" t="n">
        <f aca="false">IF(Y1374=0,0,IF(T1374="Backlog",Q1374,Q1374*Dashboard!$C$10))</f>
        <v>0</v>
      </c>
      <c r="AA1374" s="37" t="n">
        <f aca="false">IF($N1374="",0,IF(COUNTIF(Dashboard!$C$13:$C$22,$N1374)&gt;0,1,0))</f>
        <v>0</v>
      </c>
      <c r="AB1374" s="37" t="str">
        <f aca="false">IF($N1374="","",IF(COUNTIF($N$8:$N1374,$N1374)=1,MAX($AB$7:$AB1373)+1,""))</f>
        <v/>
      </c>
    </row>
    <row r="1375" customFormat="false" ht="15" hidden="false" customHeight="false" outlineLevel="0" collapsed="false">
      <c r="L1375" s="37" t="str">
        <f aca="false">IF(INDEX($A1375:$J1375,$L$6)&lt;&gt;"",TRIM(LEFT(INDEX($A1375:$J1375,$L$6),FIND("(",INDEX($A1375:$J1375,$L$6)&amp;"(")-1)),L1374)</f>
        <v>Building Value Proposition</v>
      </c>
      <c r="M1375" s="37" t="str">
        <f aca="false">IF(INDEX($A1375:$J1375,$M$6)="","",INDEX($A1375:$J1375,$M$6)&amp;"")</f>
        <v/>
      </c>
      <c r="N1375" s="37" t="str">
        <f aca="false">IF($M1375="","",TRIM(INDEX($A1375:$J1375,$N$6)&amp;""))</f>
        <v/>
      </c>
      <c r="O1375" s="37" t="str">
        <f aca="false">IF($M1375="","",TRIM(INDEX($A1375:$J1375,$O$6)&amp;""))</f>
        <v/>
      </c>
      <c r="P1375" s="37" t="str">
        <f aca="false">IF($M1375="","",IFERROR(IF(INDEX(Settings!$B$41:$B$50,MATCH(O1375,Settings!$A$41:$A$50,0))&amp;""="","UNMAPPED",INDEX(Settings!$B$41:$B$50,MATCH(O1375,Settings!$A$41:$A$50,0))&amp;""),"UNMAPPED"))</f>
        <v/>
      </c>
      <c r="Q1375" s="38" t="n">
        <f aca="false">IF($M1375="",0,N(INDEX($A1375:$J1375,$Q$6)))</f>
        <v>0</v>
      </c>
      <c r="R1375" s="39" t="str">
        <f aca="false">IF($M1375="","",INDEX($A1375:$J1375,$R$6))</f>
        <v/>
      </c>
      <c r="S1375" s="37" t="str">
        <f aca="false">IF($M1375="","",IFERROR(INDEX(Settings!$B$27:$B$36,MATCH(L1375,Settings!$A$27:$A$36,0))&amp;"","UNMAPPED"))</f>
        <v/>
      </c>
      <c r="T1375" s="37" t="str">
        <f aca="false">IF($M1375="","",IF(NOT(ISNUMBER(R1375)),"NO DATE",IF(S1375="Won",IF(R1375&gt;Settings!$B$5,"Backlog","Delivered"),IF(S1375="Open",IF(R1375&gt;Settings!$B$5,"Pipeline","Overdue"),IF(S1375="Lost","Lost","UNMAPPED")))))</f>
        <v/>
      </c>
      <c r="U1375" s="40" t="n">
        <f aca="false">IF(T1375="Backlog",1,IF(OR(T1375="Pipeline",T1375="Overdue"),N(INDEX(Settings!$C$27:$C$36,MATCH(L1375,Settings!$A$27:$A$36,0))),0))</f>
        <v>0</v>
      </c>
      <c r="V1375" s="38" t="n">
        <f aca="false">Q1375*U1375</f>
        <v>0</v>
      </c>
      <c r="W1375" s="41" t="str">
        <f aca="false">IF($M1375="","",IF(T1375="Overdue",IF(Settings!$B$8="Yes",Settings!$B$7,""),IF(ISNUMBER(R1375),DATE(YEAR(R1375),MONTH(R1375),1),"")))</f>
        <v/>
      </c>
      <c r="X1375" s="38" t="n">
        <f aca="false">IF(AND(OR(T1375="Backlog",T1375="Pipeline",T1375="Overdue"),ISNUMBER(W1375)),IF(W1375&lt;=Settings!$B$6,V1375,0),0)</f>
        <v>0</v>
      </c>
      <c r="Y1375" s="38" t="n">
        <f aca="false">IF(AND(OR(T1375="Backlog",T1375="Pipeline",T1375="Overdue"),ISNUMBER(W1375)),IF(W1375&lt;=Settings!$B$6,Q1375,0),0)</f>
        <v>0</v>
      </c>
      <c r="Z1375" s="38" t="n">
        <f aca="false">IF(Y1375=0,0,IF(T1375="Backlog",Q1375,Q1375*Dashboard!$C$10))</f>
        <v>0</v>
      </c>
      <c r="AA1375" s="37" t="n">
        <f aca="false">IF($N1375="",0,IF(COUNTIF(Dashboard!$C$13:$C$22,$N1375)&gt;0,1,0))</f>
        <v>0</v>
      </c>
      <c r="AB1375" s="37" t="str">
        <f aca="false">IF($N1375="","",IF(COUNTIF($N$8:$N1375,$N1375)=1,MAX($AB$7:$AB1374)+1,""))</f>
        <v/>
      </c>
    </row>
    <row r="1376" customFormat="false" ht="15" hidden="false" customHeight="false" outlineLevel="0" collapsed="false">
      <c r="L1376" s="37" t="str">
        <f aca="false">IF(INDEX($A1376:$J1376,$L$6)&lt;&gt;"",TRIM(LEFT(INDEX($A1376:$J1376,$L$6),FIND("(",INDEX($A1376:$J1376,$L$6)&amp;"(")-1)),L1375)</f>
        <v>Building Value Proposition</v>
      </c>
      <c r="M1376" s="37" t="str">
        <f aca="false">IF(INDEX($A1376:$J1376,$M$6)="","",INDEX($A1376:$J1376,$M$6)&amp;"")</f>
        <v/>
      </c>
      <c r="N1376" s="37" t="str">
        <f aca="false">IF($M1376="","",TRIM(INDEX($A1376:$J1376,$N$6)&amp;""))</f>
        <v/>
      </c>
      <c r="O1376" s="37" t="str">
        <f aca="false">IF($M1376="","",TRIM(INDEX($A1376:$J1376,$O$6)&amp;""))</f>
        <v/>
      </c>
      <c r="P1376" s="37" t="str">
        <f aca="false">IF($M1376="","",IFERROR(IF(INDEX(Settings!$B$41:$B$50,MATCH(O1376,Settings!$A$41:$A$50,0))&amp;""="","UNMAPPED",INDEX(Settings!$B$41:$B$50,MATCH(O1376,Settings!$A$41:$A$50,0))&amp;""),"UNMAPPED"))</f>
        <v/>
      </c>
      <c r="Q1376" s="38" t="n">
        <f aca="false">IF($M1376="",0,N(INDEX($A1376:$J1376,$Q$6)))</f>
        <v>0</v>
      </c>
      <c r="R1376" s="39" t="str">
        <f aca="false">IF($M1376="","",INDEX($A1376:$J1376,$R$6))</f>
        <v/>
      </c>
      <c r="S1376" s="37" t="str">
        <f aca="false">IF($M1376="","",IFERROR(INDEX(Settings!$B$27:$B$36,MATCH(L1376,Settings!$A$27:$A$36,0))&amp;"","UNMAPPED"))</f>
        <v/>
      </c>
      <c r="T1376" s="37" t="str">
        <f aca="false">IF($M1376="","",IF(NOT(ISNUMBER(R1376)),"NO DATE",IF(S1376="Won",IF(R1376&gt;Settings!$B$5,"Backlog","Delivered"),IF(S1376="Open",IF(R1376&gt;Settings!$B$5,"Pipeline","Overdue"),IF(S1376="Lost","Lost","UNMAPPED")))))</f>
        <v/>
      </c>
      <c r="U1376" s="40" t="n">
        <f aca="false">IF(T1376="Backlog",1,IF(OR(T1376="Pipeline",T1376="Overdue"),N(INDEX(Settings!$C$27:$C$36,MATCH(L1376,Settings!$A$27:$A$36,0))),0))</f>
        <v>0</v>
      </c>
      <c r="V1376" s="38" t="n">
        <f aca="false">Q1376*U1376</f>
        <v>0</v>
      </c>
      <c r="W1376" s="41" t="str">
        <f aca="false">IF($M1376="","",IF(T1376="Overdue",IF(Settings!$B$8="Yes",Settings!$B$7,""),IF(ISNUMBER(R1376),DATE(YEAR(R1376),MONTH(R1376),1),"")))</f>
        <v/>
      </c>
      <c r="X1376" s="38" t="n">
        <f aca="false">IF(AND(OR(T1376="Backlog",T1376="Pipeline",T1376="Overdue"),ISNUMBER(W1376)),IF(W1376&lt;=Settings!$B$6,V1376,0),0)</f>
        <v>0</v>
      </c>
      <c r="Y1376" s="38" t="n">
        <f aca="false">IF(AND(OR(T1376="Backlog",T1376="Pipeline",T1376="Overdue"),ISNUMBER(W1376)),IF(W1376&lt;=Settings!$B$6,Q1376,0),0)</f>
        <v>0</v>
      </c>
      <c r="Z1376" s="38" t="n">
        <f aca="false">IF(Y1376=0,0,IF(T1376="Backlog",Q1376,Q1376*Dashboard!$C$10))</f>
        <v>0</v>
      </c>
      <c r="AA1376" s="37" t="n">
        <f aca="false">IF($N1376="",0,IF(COUNTIF(Dashboard!$C$13:$C$22,$N1376)&gt;0,1,0))</f>
        <v>0</v>
      </c>
      <c r="AB1376" s="37" t="str">
        <f aca="false">IF($N1376="","",IF(COUNTIF($N$8:$N1376,$N1376)=1,MAX($AB$7:$AB1375)+1,""))</f>
        <v/>
      </c>
    </row>
    <row r="1377" customFormat="false" ht="15" hidden="false" customHeight="false" outlineLevel="0" collapsed="false">
      <c r="L1377" s="37" t="str">
        <f aca="false">IF(INDEX($A1377:$J1377,$L$6)&lt;&gt;"",TRIM(LEFT(INDEX($A1377:$J1377,$L$6),FIND("(",INDEX($A1377:$J1377,$L$6)&amp;"(")-1)),L1376)</f>
        <v>Building Value Proposition</v>
      </c>
      <c r="M1377" s="37" t="str">
        <f aca="false">IF(INDEX($A1377:$J1377,$M$6)="","",INDEX($A1377:$J1377,$M$6)&amp;"")</f>
        <v/>
      </c>
      <c r="N1377" s="37" t="str">
        <f aca="false">IF($M1377="","",TRIM(INDEX($A1377:$J1377,$N$6)&amp;""))</f>
        <v/>
      </c>
      <c r="O1377" s="37" t="str">
        <f aca="false">IF($M1377="","",TRIM(INDEX($A1377:$J1377,$O$6)&amp;""))</f>
        <v/>
      </c>
      <c r="P1377" s="37" t="str">
        <f aca="false">IF($M1377="","",IFERROR(IF(INDEX(Settings!$B$41:$B$50,MATCH(O1377,Settings!$A$41:$A$50,0))&amp;""="","UNMAPPED",INDEX(Settings!$B$41:$B$50,MATCH(O1377,Settings!$A$41:$A$50,0))&amp;""),"UNMAPPED"))</f>
        <v/>
      </c>
      <c r="Q1377" s="38" t="n">
        <f aca="false">IF($M1377="",0,N(INDEX($A1377:$J1377,$Q$6)))</f>
        <v>0</v>
      </c>
      <c r="R1377" s="39" t="str">
        <f aca="false">IF($M1377="","",INDEX($A1377:$J1377,$R$6))</f>
        <v/>
      </c>
      <c r="S1377" s="37" t="str">
        <f aca="false">IF($M1377="","",IFERROR(INDEX(Settings!$B$27:$B$36,MATCH(L1377,Settings!$A$27:$A$36,0))&amp;"","UNMAPPED"))</f>
        <v/>
      </c>
      <c r="T1377" s="37" t="str">
        <f aca="false">IF($M1377="","",IF(NOT(ISNUMBER(R1377)),"NO DATE",IF(S1377="Won",IF(R1377&gt;Settings!$B$5,"Backlog","Delivered"),IF(S1377="Open",IF(R1377&gt;Settings!$B$5,"Pipeline","Overdue"),IF(S1377="Lost","Lost","UNMAPPED")))))</f>
        <v/>
      </c>
      <c r="U1377" s="40" t="n">
        <f aca="false">IF(T1377="Backlog",1,IF(OR(T1377="Pipeline",T1377="Overdue"),N(INDEX(Settings!$C$27:$C$36,MATCH(L1377,Settings!$A$27:$A$36,0))),0))</f>
        <v>0</v>
      </c>
      <c r="V1377" s="38" t="n">
        <f aca="false">Q1377*U1377</f>
        <v>0</v>
      </c>
      <c r="W1377" s="41" t="str">
        <f aca="false">IF($M1377="","",IF(T1377="Overdue",IF(Settings!$B$8="Yes",Settings!$B$7,""),IF(ISNUMBER(R1377),DATE(YEAR(R1377),MONTH(R1377),1),"")))</f>
        <v/>
      </c>
      <c r="X1377" s="38" t="n">
        <f aca="false">IF(AND(OR(T1377="Backlog",T1377="Pipeline",T1377="Overdue"),ISNUMBER(W1377)),IF(W1377&lt;=Settings!$B$6,V1377,0),0)</f>
        <v>0</v>
      </c>
      <c r="Y1377" s="38" t="n">
        <f aca="false">IF(AND(OR(T1377="Backlog",T1377="Pipeline",T1377="Overdue"),ISNUMBER(W1377)),IF(W1377&lt;=Settings!$B$6,Q1377,0),0)</f>
        <v>0</v>
      </c>
      <c r="Z1377" s="38" t="n">
        <f aca="false">IF(Y1377=0,0,IF(T1377="Backlog",Q1377,Q1377*Dashboard!$C$10))</f>
        <v>0</v>
      </c>
      <c r="AA1377" s="37" t="n">
        <f aca="false">IF($N1377="",0,IF(COUNTIF(Dashboard!$C$13:$C$22,$N1377)&gt;0,1,0))</f>
        <v>0</v>
      </c>
      <c r="AB1377" s="37" t="str">
        <f aca="false">IF($N1377="","",IF(COUNTIF($N$8:$N1377,$N1377)=1,MAX($AB$7:$AB1376)+1,""))</f>
        <v/>
      </c>
    </row>
    <row r="1378" customFormat="false" ht="15" hidden="false" customHeight="false" outlineLevel="0" collapsed="false">
      <c r="L1378" s="37" t="str">
        <f aca="false">IF(INDEX($A1378:$J1378,$L$6)&lt;&gt;"",TRIM(LEFT(INDEX($A1378:$J1378,$L$6),FIND("(",INDEX($A1378:$J1378,$L$6)&amp;"(")-1)),L1377)</f>
        <v>Building Value Proposition</v>
      </c>
      <c r="M1378" s="37" t="str">
        <f aca="false">IF(INDEX($A1378:$J1378,$M$6)="","",INDEX($A1378:$J1378,$M$6)&amp;"")</f>
        <v/>
      </c>
      <c r="N1378" s="37" t="str">
        <f aca="false">IF($M1378="","",TRIM(INDEX($A1378:$J1378,$N$6)&amp;""))</f>
        <v/>
      </c>
      <c r="O1378" s="37" t="str">
        <f aca="false">IF($M1378="","",TRIM(INDEX($A1378:$J1378,$O$6)&amp;""))</f>
        <v/>
      </c>
      <c r="P1378" s="37" t="str">
        <f aca="false">IF($M1378="","",IFERROR(IF(INDEX(Settings!$B$41:$B$50,MATCH(O1378,Settings!$A$41:$A$50,0))&amp;""="","UNMAPPED",INDEX(Settings!$B$41:$B$50,MATCH(O1378,Settings!$A$41:$A$50,0))&amp;""),"UNMAPPED"))</f>
        <v/>
      </c>
      <c r="Q1378" s="38" t="n">
        <f aca="false">IF($M1378="",0,N(INDEX($A1378:$J1378,$Q$6)))</f>
        <v>0</v>
      </c>
      <c r="R1378" s="39" t="str">
        <f aca="false">IF($M1378="","",INDEX($A1378:$J1378,$R$6))</f>
        <v/>
      </c>
      <c r="S1378" s="37" t="str">
        <f aca="false">IF($M1378="","",IFERROR(INDEX(Settings!$B$27:$B$36,MATCH(L1378,Settings!$A$27:$A$36,0))&amp;"","UNMAPPED"))</f>
        <v/>
      </c>
      <c r="T1378" s="37" t="str">
        <f aca="false">IF($M1378="","",IF(NOT(ISNUMBER(R1378)),"NO DATE",IF(S1378="Won",IF(R1378&gt;Settings!$B$5,"Backlog","Delivered"),IF(S1378="Open",IF(R1378&gt;Settings!$B$5,"Pipeline","Overdue"),IF(S1378="Lost","Lost","UNMAPPED")))))</f>
        <v/>
      </c>
      <c r="U1378" s="40" t="n">
        <f aca="false">IF(T1378="Backlog",1,IF(OR(T1378="Pipeline",T1378="Overdue"),N(INDEX(Settings!$C$27:$C$36,MATCH(L1378,Settings!$A$27:$A$36,0))),0))</f>
        <v>0</v>
      </c>
      <c r="V1378" s="38" t="n">
        <f aca="false">Q1378*U1378</f>
        <v>0</v>
      </c>
      <c r="W1378" s="41" t="str">
        <f aca="false">IF($M1378="","",IF(T1378="Overdue",IF(Settings!$B$8="Yes",Settings!$B$7,""),IF(ISNUMBER(R1378),DATE(YEAR(R1378),MONTH(R1378),1),"")))</f>
        <v/>
      </c>
      <c r="X1378" s="38" t="n">
        <f aca="false">IF(AND(OR(T1378="Backlog",T1378="Pipeline",T1378="Overdue"),ISNUMBER(W1378)),IF(W1378&lt;=Settings!$B$6,V1378,0),0)</f>
        <v>0</v>
      </c>
      <c r="Y1378" s="38" t="n">
        <f aca="false">IF(AND(OR(T1378="Backlog",T1378="Pipeline",T1378="Overdue"),ISNUMBER(W1378)),IF(W1378&lt;=Settings!$B$6,Q1378,0),0)</f>
        <v>0</v>
      </c>
      <c r="Z1378" s="38" t="n">
        <f aca="false">IF(Y1378=0,0,IF(T1378="Backlog",Q1378,Q1378*Dashboard!$C$10))</f>
        <v>0</v>
      </c>
      <c r="AA1378" s="37" t="n">
        <f aca="false">IF($N1378="",0,IF(COUNTIF(Dashboard!$C$13:$C$22,$N1378)&gt;0,1,0))</f>
        <v>0</v>
      </c>
      <c r="AB1378" s="37" t="str">
        <f aca="false">IF($N1378="","",IF(COUNTIF($N$8:$N1378,$N1378)=1,MAX($AB$7:$AB1377)+1,""))</f>
        <v/>
      </c>
    </row>
    <row r="1379" customFormat="false" ht="15" hidden="false" customHeight="false" outlineLevel="0" collapsed="false">
      <c r="L1379" s="37" t="str">
        <f aca="false">IF(INDEX($A1379:$J1379,$L$6)&lt;&gt;"",TRIM(LEFT(INDEX($A1379:$J1379,$L$6),FIND("(",INDEX($A1379:$J1379,$L$6)&amp;"(")-1)),L1378)</f>
        <v>Building Value Proposition</v>
      </c>
      <c r="M1379" s="37" t="str">
        <f aca="false">IF(INDEX($A1379:$J1379,$M$6)="","",INDEX($A1379:$J1379,$M$6)&amp;"")</f>
        <v/>
      </c>
      <c r="N1379" s="37" t="str">
        <f aca="false">IF($M1379="","",TRIM(INDEX($A1379:$J1379,$N$6)&amp;""))</f>
        <v/>
      </c>
      <c r="O1379" s="37" t="str">
        <f aca="false">IF($M1379="","",TRIM(INDEX($A1379:$J1379,$O$6)&amp;""))</f>
        <v/>
      </c>
      <c r="P1379" s="37" t="str">
        <f aca="false">IF($M1379="","",IFERROR(IF(INDEX(Settings!$B$41:$B$50,MATCH(O1379,Settings!$A$41:$A$50,0))&amp;""="","UNMAPPED",INDEX(Settings!$B$41:$B$50,MATCH(O1379,Settings!$A$41:$A$50,0))&amp;""),"UNMAPPED"))</f>
        <v/>
      </c>
      <c r="Q1379" s="38" t="n">
        <f aca="false">IF($M1379="",0,N(INDEX($A1379:$J1379,$Q$6)))</f>
        <v>0</v>
      </c>
      <c r="R1379" s="39" t="str">
        <f aca="false">IF($M1379="","",INDEX($A1379:$J1379,$R$6))</f>
        <v/>
      </c>
      <c r="S1379" s="37" t="str">
        <f aca="false">IF($M1379="","",IFERROR(INDEX(Settings!$B$27:$B$36,MATCH(L1379,Settings!$A$27:$A$36,0))&amp;"","UNMAPPED"))</f>
        <v/>
      </c>
      <c r="T1379" s="37" t="str">
        <f aca="false">IF($M1379="","",IF(NOT(ISNUMBER(R1379)),"NO DATE",IF(S1379="Won",IF(R1379&gt;Settings!$B$5,"Backlog","Delivered"),IF(S1379="Open",IF(R1379&gt;Settings!$B$5,"Pipeline","Overdue"),IF(S1379="Lost","Lost","UNMAPPED")))))</f>
        <v/>
      </c>
      <c r="U1379" s="40" t="n">
        <f aca="false">IF(T1379="Backlog",1,IF(OR(T1379="Pipeline",T1379="Overdue"),N(INDEX(Settings!$C$27:$C$36,MATCH(L1379,Settings!$A$27:$A$36,0))),0))</f>
        <v>0</v>
      </c>
      <c r="V1379" s="38" t="n">
        <f aca="false">Q1379*U1379</f>
        <v>0</v>
      </c>
      <c r="W1379" s="41" t="str">
        <f aca="false">IF($M1379="","",IF(T1379="Overdue",IF(Settings!$B$8="Yes",Settings!$B$7,""),IF(ISNUMBER(R1379),DATE(YEAR(R1379),MONTH(R1379),1),"")))</f>
        <v/>
      </c>
      <c r="X1379" s="38" t="n">
        <f aca="false">IF(AND(OR(T1379="Backlog",T1379="Pipeline",T1379="Overdue"),ISNUMBER(W1379)),IF(W1379&lt;=Settings!$B$6,V1379,0),0)</f>
        <v>0</v>
      </c>
      <c r="Y1379" s="38" t="n">
        <f aca="false">IF(AND(OR(T1379="Backlog",T1379="Pipeline",T1379="Overdue"),ISNUMBER(W1379)),IF(W1379&lt;=Settings!$B$6,Q1379,0),0)</f>
        <v>0</v>
      </c>
      <c r="Z1379" s="38" t="n">
        <f aca="false">IF(Y1379=0,0,IF(T1379="Backlog",Q1379,Q1379*Dashboard!$C$10))</f>
        <v>0</v>
      </c>
      <c r="AA1379" s="37" t="n">
        <f aca="false">IF($N1379="",0,IF(COUNTIF(Dashboard!$C$13:$C$22,$N1379)&gt;0,1,0))</f>
        <v>0</v>
      </c>
      <c r="AB1379" s="37" t="str">
        <f aca="false">IF($N1379="","",IF(COUNTIF($N$8:$N1379,$N1379)=1,MAX($AB$7:$AB1378)+1,""))</f>
        <v/>
      </c>
    </row>
    <row r="1380" customFormat="false" ht="15" hidden="false" customHeight="false" outlineLevel="0" collapsed="false">
      <c r="L1380" s="37" t="str">
        <f aca="false">IF(INDEX($A1380:$J1380,$L$6)&lt;&gt;"",TRIM(LEFT(INDEX($A1380:$J1380,$L$6),FIND("(",INDEX($A1380:$J1380,$L$6)&amp;"(")-1)),L1379)</f>
        <v>Building Value Proposition</v>
      </c>
      <c r="M1380" s="37" t="str">
        <f aca="false">IF(INDEX($A1380:$J1380,$M$6)="","",INDEX($A1380:$J1380,$M$6)&amp;"")</f>
        <v/>
      </c>
      <c r="N1380" s="37" t="str">
        <f aca="false">IF($M1380="","",TRIM(INDEX($A1380:$J1380,$N$6)&amp;""))</f>
        <v/>
      </c>
      <c r="O1380" s="37" t="str">
        <f aca="false">IF($M1380="","",TRIM(INDEX($A1380:$J1380,$O$6)&amp;""))</f>
        <v/>
      </c>
      <c r="P1380" s="37" t="str">
        <f aca="false">IF($M1380="","",IFERROR(IF(INDEX(Settings!$B$41:$B$50,MATCH(O1380,Settings!$A$41:$A$50,0))&amp;""="","UNMAPPED",INDEX(Settings!$B$41:$B$50,MATCH(O1380,Settings!$A$41:$A$50,0))&amp;""),"UNMAPPED"))</f>
        <v/>
      </c>
      <c r="Q1380" s="38" t="n">
        <f aca="false">IF($M1380="",0,N(INDEX($A1380:$J1380,$Q$6)))</f>
        <v>0</v>
      </c>
      <c r="R1380" s="39" t="str">
        <f aca="false">IF($M1380="","",INDEX($A1380:$J1380,$R$6))</f>
        <v/>
      </c>
      <c r="S1380" s="37" t="str">
        <f aca="false">IF($M1380="","",IFERROR(INDEX(Settings!$B$27:$B$36,MATCH(L1380,Settings!$A$27:$A$36,0))&amp;"","UNMAPPED"))</f>
        <v/>
      </c>
      <c r="T1380" s="37" t="str">
        <f aca="false">IF($M1380="","",IF(NOT(ISNUMBER(R1380)),"NO DATE",IF(S1380="Won",IF(R1380&gt;Settings!$B$5,"Backlog","Delivered"),IF(S1380="Open",IF(R1380&gt;Settings!$B$5,"Pipeline","Overdue"),IF(S1380="Lost","Lost","UNMAPPED")))))</f>
        <v/>
      </c>
      <c r="U1380" s="40" t="n">
        <f aca="false">IF(T1380="Backlog",1,IF(OR(T1380="Pipeline",T1380="Overdue"),N(INDEX(Settings!$C$27:$C$36,MATCH(L1380,Settings!$A$27:$A$36,0))),0))</f>
        <v>0</v>
      </c>
      <c r="V1380" s="38" t="n">
        <f aca="false">Q1380*U1380</f>
        <v>0</v>
      </c>
      <c r="W1380" s="41" t="str">
        <f aca="false">IF($M1380="","",IF(T1380="Overdue",IF(Settings!$B$8="Yes",Settings!$B$7,""),IF(ISNUMBER(R1380),DATE(YEAR(R1380),MONTH(R1380),1),"")))</f>
        <v/>
      </c>
      <c r="X1380" s="38" t="n">
        <f aca="false">IF(AND(OR(T1380="Backlog",T1380="Pipeline",T1380="Overdue"),ISNUMBER(W1380)),IF(W1380&lt;=Settings!$B$6,V1380,0),0)</f>
        <v>0</v>
      </c>
      <c r="Y1380" s="38" t="n">
        <f aca="false">IF(AND(OR(T1380="Backlog",T1380="Pipeline",T1380="Overdue"),ISNUMBER(W1380)),IF(W1380&lt;=Settings!$B$6,Q1380,0),0)</f>
        <v>0</v>
      </c>
      <c r="Z1380" s="38" t="n">
        <f aca="false">IF(Y1380=0,0,IF(T1380="Backlog",Q1380,Q1380*Dashboard!$C$10))</f>
        <v>0</v>
      </c>
      <c r="AA1380" s="37" t="n">
        <f aca="false">IF($N1380="",0,IF(COUNTIF(Dashboard!$C$13:$C$22,$N1380)&gt;0,1,0))</f>
        <v>0</v>
      </c>
      <c r="AB1380" s="37" t="str">
        <f aca="false">IF($N1380="","",IF(COUNTIF($N$8:$N1380,$N1380)=1,MAX($AB$7:$AB1379)+1,""))</f>
        <v/>
      </c>
    </row>
    <row r="1381" customFormat="false" ht="15" hidden="false" customHeight="false" outlineLevel="0" collapsed="false">
      <c r="L1381" s="37" t="str">
        <f aca="false">IF(INDEX($A1381:$J1381,$L$6)&lt;&gt;"",TRIM(LEFT(INDEX($A1381:$J1381,$L$6),FIND("(",INDEX($A1381:$J1381,$L$6)&amp;"(")-1)),L1380)</f>
        <v>Building Value Proposition</v>
      </c>
      <c r="M1381" s="37" t="str">
        <f aca="false">IF(INDEX($A1381:$J1381,$M$6)="","",INDEX($A1381:$J1381,$M$6)&amp;"")</f>
        <v/>
      </c>
      <c r="N1381" s="37" t="str">
        <f aca="false">IF($M1381="","",TRIM(INDEX($A1381:$J1381,$N$6)&amp;""))</f>
        <v/>
      </c>
      <c r="O1381" s="37" t="str">
        <f aca="false">IF($M1381="","",TRIM(INDEX($A1381:$J1381,$O$6)&amp;""))</f>
        <v/>
      </c>
      <c r="P1381" s="37" t="str">
        <f aca="false">IF($M1381="","",IFERROR(IF(INDEX(Settings!$B$41:$B$50,MATCH(O1381,Settings!$A$41:$A$50,0))&amp;""="","UNMAPPED",INDEX(Settings!$B$41:$B$50,MATCH(O1381,Settings!$A$41:$A$50,0))&amp;""),"UNMAPPED"))</f>
        <v/>
      </c>
      <c r="Q1381" s="38" t="n">
        <f aca="false">IF($M1381="",0,N(INDEX($A1381:$J1381,$Q$6)))</f>
        <v>0</v>
      </c>
      <c r="R1381" s="39" t="str">
        <f aca="false">IF($M1381="","",INDEX($A1381:$J1381,$R$6))</f>
        <v/>
      </c>
      <c r="S1381" s="37" t="str">
        <f aca="false">IF($M1381="","",IFERROR(INDEX(Settings!$B$27:$B$36,MATCH(L1381,Settings!$A$27:$A$36,0))&amp;"","UNMAPPED"))</f>
        <v/>
      </c>
      <c r="T1381" s="37" t="str">
        <f aca="false">IF($M1381="","",IF(NOT(ISNUMBER(R1381)),"NO DATE",IF(S1381="Won",IF(R1381&gt;Settings!$B$5,"Backlog","Delivered"),IF(S1381="Open",IF(R1381&gt;Settings!$B$5,"Pipeline","Overdue"),IF(S1381="Lost","Lost","UNMAPPED")))))</f>
        <v/>
      </c>
      <c r="U1381" s="40" t="n">
        <f aca="false">IF(T1381="Backlog",1,IF(OR(T1381="Pipeline",T1381="Overdue"),N(INDEX(Settings!$C$27:$C$36,MATCH(L1381,Settings!$A$27:$A$36,0))),0))</f>
        <v>0</v>
      </c>
      <c r="V1381" s="38" t="n">
        <f aca="false">Q1381*U1381</f>
        <v>0</v>
      </c>
      <c r="W1381" s="41" t="str">
        <f aca="false">IF($M1381="","",IF(T1381="Overdue",IF(Settings!$B$8="Yes",Settings!$B$7,""),IF(ISNUMBER(R1381),DATE(YEAR(R1381),MONTH(R1381),1),"")))</f>
        <v/>
      </c>
      <c r="X1381" s="38" t="n">
        <f aca="false">IF(AND(OR(T1381="Backlog",T1381="Pipeline",T1381="Overdue"),ISNUMBER(W1381)),IF(W1381&lt;=Settings!$B$6,V1381,0),0)</f>
        <v>0</v>
      </c>
      <c r="Y1381" s="38" t="n">
        <f aca="false">IF(AND(OR(T1381="Backlog",T1381="Pipeline",T1381="Overdue"),ISNUMBER(W1381)),IF(W1381&lt;=Settings!$B$6,Q1381,0),0)</f>
        <v>0</v>
      </c>
      <c r="Z1381" s="38" t="n">
        <f aca="false">IF(Y1381=0,0,IF(T1381="Backlog",Q1381,Q1381*Dashboard!$C$10))</f>
        <v>0</v>
      </c>
      <c r="AA1381" s="37" t="n">
        <f aca="false">IF($N1381="",0,IF(COUNTIF(Dashboard!$C$13:$C$22,$N1381)&gt;0,1,0))</f>
        <v>0</v>
      </c>
      <c r="AB1381" s="37" t="str">
        <f aca="false">IF($N1381="","",IF(COUNTIF($N$8:$N1381,$N1381)=1,MAX($AB$7:$AB1380)+1,""))</f>
        <v/>
      </c>
    </row>
    <row r="1382" customFormat="false" ht="15" hidden="false" customHeight="false" outlineLevel="0" collapsed="false">
      <c r="L1382" s="37" t="str">
        <f aca="false">IF(INDEX($A1382:$J1382,$L$6)&lt;&gt;"",TRIM(LEFT(INDEX($A1382:$J1382,$L$6),FIND("(",INDEX($A1382:$J1382,$L$6)&amp;"(")-1)),L1381)</f>
        <v>Building Value Proposition</v>
      </c>
      <c r="M1382" s="37" t="str">
        <f aca="false">IF(INDEX($A1382:$J1382,$M$6)="","",INDEX($A1382:$J1382,$M$6)&amp;"")</f>
        <v/>
      </c>
      <c r="N1382" s="37" t="str">
        <f aca="false">IF($M1382="","",TRIM(INDEX($A1382:$J1382,$N$6)&amp;""))</f>
        <v/>
      </c>
      <c r="O1382" s="37" t="str">
        <f aca="false">IF($M1382="","",TRIM(INDEX($A1382:$J1382,$O$6)&amp;""))</f>
        <v/>
      </c>
      <c r="P1382" s="37" t="str">
        <f aca="false">IF($M1382="","",IFERROR(IF(INDEX(Settings!$B$41:$B$50,MATCH(O1382,Settings!$A$41:$A$50,0))&amp;""="","UNMAPPED",INDEX(Settings!$B$41:$B$50,MATCH(O1382,Settings!$A$41:$A$50,0))&amp;""),"UNMAPPED"))</f>
        <v/>
      </c>
      <c r="Q1382" s="38" t="n">
        <f aca="false">IF($M1382="",0,N(INDEX($A1382:$J1382,$Q$6)))</f>
        <v>0</v>
      </c>
      <c r="R1382" s="39" t="str">
        <f aca="false">IF($M1382="","",INDEX($A1382:$J1382,$R$6))</f>
        <v/>
      </c>
      <c r="S1382" s="37" t="str">
        <f aca="false">IF($M1382="","",IFERROR(INDEX(Settings!$B$27:$B$36,MATCH(L1382,Settings!$A$27:$A$36,0))&amp;"","UNMAPPED"))</f>
        <v/>
      </c>
      <c r="T1382" s="37" t="str">
        <f aca="false">IF($M1382="","",IF(NOT(ISNUMBER(R1382)),"NO DATE",IF(S1382="Won",IF(R1382&gt;Settings!$B$5,"Backlog","Delivered"),IF(S1382="Open",IF(R1382&gt;Settings!$B$5,"Pipeline","Overdue"),IF(S1382="Lost","Lost","UNMAPPED")))))</f>
        <v/>
      </c>
      <c r="U1382" s="40" t="n">
        <f aca="false">IF(T1382="Backlog",1,IF(OR(T1382="Pipeline",T1382="Overdue"),N(INDEX(Settings!$C$27:$C$36,MATCH(L1382,Settings!$A$27:$A$36,0))),0))</f>
        <v>0</v>
      </c>
      <c r="V1382" s="38" t="n">
        <f aca="false">Q1382*U1382</f>
        <v>0</v>
      </c>
      <c r="W1382" s="41" t="str">
        <f aca="false">IF($M1382="","",IF(T1382="Overdue",IF(Settings!$B$8="Yes",Settings!$B$7,""),IF(ISNUMBER(R1382),DATE(YEAR(R1382),MONTH(R1382),1),"")))</f>
        <v/>
      </c>
      <c r="X1382" s="38" t="n">
        <f aca="false">IF(AND(OR(T1382="Backlog",T1382="Pipeline",T1382="Overdue"),ISNUMBER(W1382)),IF(W1382&lt;=Settings!$B$6,V1382,0),0)</f>
        <v>0</v>
      </c>
      <c r="Y1382" s="38" t="n">
        <f aca="false">IF(AND(OR(T1382="Backlog",T1382="Pipeline",T1382="Overdue"),ISNUMBER(W1382)),IF(W1382&lt;=Settings!$B$6,Q1382,0),0)</f>
        <v>0</v>
      </c>
      <c r="Z1382" s="38" t="n">
        <f aca="false">IF(Y1382=0,0,IF(T1382="Backlog",Q1382,Q1382*Dashboard!$C$10))</f>
        <v>0</v>
      </c>
      <c r="AA1382" s="37" t="n">
        <f aca="false">IF($N1382="",0,IF(COUNTIF(Dashboard!$C$13:$C$22,$N1382)&gt;0,1,0))</f>
        <v>0</v>
      </c>
      <c r="AB1382" s="37" t="str">
        <f aca="false">IF($N1382="","",IF(COUNTIF($N$8:$N1382,$N1382)=1,MAX($AB$7:$AB1381)+1,""))</f>
        <v/>
      </c>
    </row>
    <row r="1383" customFormat="false" ht="15" hidden="false" customHeight="false" outlineLevel="0" collapsed="false">
      <c r="L1383" s="37" t="str">
        <f aca="false">IF(INDEX($A1383:$J1383,$L$6)&lt;&gt;"",TRIM(LEFT(INDEX($A1383:$J1383,$L$6),FIND("(",INDEX($A1383:$J1383,$L$6)&amp;"(")-1)),L1382)</f>
        <v>Building Value Proposition</v>
      </c>
      <c r="M1383" s="37" t="str">
        <f aca="false">IF(INDEX($A1383:$J1383,$M$6)="","",INDEX($A1383:$J1383,$M$6)&amp;"")</f>
        <v/>
      </c>
      <c r="N1383" s="37" t="str">
        <f aca="false">IF($M1383="","",TRIM(INDEX($A1383:$J1383,$N$6)&amp;""))</f>
        <v/>
      </c>
      <c r="O1383" s="37" t="str">
        <f aca="false">IF($M1383="","",TRIM(INDEX($A1383:$J1383,$O$6)&amp;""))</f>
        <v/>
      </c>
      <c r="P1383" s="37" t="str">
        <f aca="false">IF($M1383="","",IFERROR(IF(INDEX(Settings!$B$41:$B$50,MATCH(O1383,Settings!$A$41:$A$50,0))&amp;""="","UNMAPPED",INDEX(Settings!$B$41:$B$50,MATCH(O1383,Settings!$A$41:$A$50,0))&amp;""),"UNMAPPED"))</f>
        <v/>
      </c>
      <c r="Q1383" s="38" t="n">
        <f aca="false">IF($M1383="",0,N(INDEX($A1383:$J1383,$Q$6)))</f>
        <v>0</v>
      </c>
      <c r="R1383" s="39" t="str">
        <f aca="false">IF($M1383="","",INDEX($A1383:$J1383,$R$6))</f>
        <v/>
      </c>
      <c r="S1383" s="37" t="str">
        <f aca="false">IF($M1383="","",IFERROR(INDEX(Settings!$B$27:$B$36,MATCH(L1383,Settings!$A$27:$A$36,0))&amp;"","UNMAPPED"))</f>
        <v/>
      </c>
      <c r="T1383" s="37" t="str">
        <f aca="false">IF($M1383="","",IF(NOT(ISNUMBER(R1383)),"NO DATE",IF(S1383="Won",IF(R1383&gt;Settings!$B$5,"Backlog","Delivered"),IF(S1383="Open",IF(R1383&gt;Settings!$B$5,"Pipeline","Overdue"),IF(S1383="Lost","Lost","UNMAPPED")))))</f>
        <v/>
      </c>
      <c r="U1383" s="40" t="n">
        <f aca="false">IF(T1383="Backlog",1,IF(OR(T1383="Pipeline",T1383="Overdue"),N(INDEX(Settings!$C$27:$C$36,MATCH(L1383,Settings!$A$27:$A$36,0))),0))</f>
        <v>0</v>
      </c>
      <c r="V1383" s="38" t="n">
        <f aca="false">Q1383*U1383</f>
        <v>0</v>
      </c>
      <c r="W1383" s="41" t="str">
        <f aca="false">IF($M1383="","",IF(T1383="Overdue",IF(Settings!$B$8="Yes",Settings!$B$7,""),IF(ISNUMBER(R1383),DATE(YEAR(R1383),MONTH(R1383),1),"")))</f>
        <v/>
      </c>
      <c r="X1383" s="38" t="n">
        <f aca="false">IF(AND(OR(T1383="Backlog",T1383="Pipeline",T1383="Overdue"),ISNUMBER(W1383)),IF(W1383&lt;=Settings!$B$6,V1383,0),0)</f>
        <v>0</v>
      </c>
      <c r="Y1383" s="38" t="n">
        <f aca="false">IF(AND(OR(T1383="Backlog",T1383="Pipeline",T1383="Overdue"),ISNUMBER(W1383)),IF(W1383&lt;=Settings!$B$6,Q1383,0),0)</f>
        <v>0</v>
      </c>
      <c r="Z1383" s="38" t="n">
        <f aca="false">IF(Y1383=0,0,IF(T1383="Backlog",Q1383,Q1383*Dashboard!$C$10))</f>
        <v>0</v>
      </c>
      <c r="AA1383" s="37" t="n">
        <f aca="false">IF($N1383="",0,IF(COUNTIF(Dashboard!$C$13:$C$22,$N1383)&gt;0,1,0))</f>
        <v>0</v>
      </c>
      <c r="AB1383" s="37" t="str">
        <f aca="false">IF($N1383="","",IF(COUNTIF($N$8:$N1383,$N1383)=1,MAX($AB$7:$AB1382)+1,""))</f>
        <v/>
      </c>
    </row>
    <row r="1384" customFormat="false" ht="15" hidden="false" customHeight="false" outlineLevel="0" collapsed="false">
      <c r="L1384" s="37" t="str">
        <f aca="false">IF(INDEX($A1384:$J1384,$L$6)&lt;&gt;"",TRIM(LEFT(INDEX($A1384:$J1384,$L$6),FIND("(",INDEX($A1384:$J1384,$L$6)&amp;"(")-1)),L1383)</f>
        <v>Building Value Proposition</v>
      </c>
      <c r="M1384" s="37" t="str">
        <f aca="false">IF(INDEX($A1384:$J1384,$M$6)="","",INDEX($A1384:$J1384,$M$6)&amp;"")</f>
        <v/>
      </c>
      <c r="N1384" s="37" t="str">
        <f aca="false">IF($M1384="","",TRIM(INDEX($A1384:$J1384,$N$6)&amp;""))</f>
        <v/>
      </c>
      <c r="O1384" s="37" t="str">
        <f aca="false">IF($M1384="","",TRIM(INDEX($A1384:$J1384,$O$6)&amp;""))</f>
        <v/>
      </c>
      <c r="P1384" s="37" t="str">
        <f aca="false">IF($M1384="","",IFERROR(IF(INDEX(Settings!$B$41:$B$50,MATCH(O1384,Settings!$A$41:$A$50,0))&amp;""="","UNMAPPED",INDEX(Settings!$B$41:$B$50,MATCH(O1384,Settings!$A$41:$A$50,0))&amp;""),"UNMAPPED"))</f>
        <v/>
      </c>
      <c r="Q1384" s="38" t="n">
        <f aca="false">IF($M1384="",0,N(INDEX($A1384:$J1384,$Q$6)))</f>
        <v>0</v>
      </c>
      <c r="R1384" s="39" t="str">
        <f aca="false">IF($M1384="","",INDEX($A1384:$J1384,$R$6))</f>
        <v/>
      </c>
      <c r="S1384" s="37" t="str">
        <f aca="false">IF($M1384="","",IFERROR(INDEX(Settings!$B$27:$B$36,MATCH(L1384,Settings!$A$27:$A$36,0))&amp;"","UNMAPPED"))</f>
        <v/>
      </c>
      <c r="T1384" s="37" t="str">
        <f aca="false">IF($M1384="","",IF(NOT(ISNUMBER(R1384)),"NO DATE",IF(S1384="Won",IF(R1384&gt;Settings!$B$5,"Backlog","Delivered"),IF(S1384="Open",IF(R1384&gt;Settings!$B$5,"Pipeline","Overdue"),IF(S1384="Lost","Lost","UNMAPPED")))))</f>
        <v/>
      </c>
      <c r="U1384" s="40" t="n">
        <f aca="false">IF(T1384="Backlog",1,IF(OR(T1384="Pipeline",T1384="Overdue"),N(INDEX(Settings!$C$27:$C$36,MATCH(L1384,Settings!$A$27:$A$36,0))),0))</f>
        <v>0</v>
      </c>
      <c r="V1384" s="38" t="n">
        <f aca="false">Q1384*U1384</f>
        <v>0</v>
      </c>
      <c r="W1384" s="41" t="str">
        <f aca="false">IF($M1384="","",IF(T1384="Overdue",IF(Settings!$B$8="Yes",Settings!$B$7,""),IF(ISNUMBER(R1384),DATE(YEAR(R1384),MONTH(R1384),1),"")))</f>
        <v/>
      </c>
      <c r="X1384" s="38" t="n">
        <f aca="false">IF(AND(OR(T1384="Backlog",T1384="Pipeline",T1384="Overdue"),ISNUMBER(W1384)),IF(W1384&lt;=Settings!$B$6,V1384,0),0)</f>
        <v>0</v>
      </c>
      <c r="Y1384" s="38" t="n">
        <f aca="false">IF(AND(OR(T1384="Backlog",T1384="Pipeline",T1384="Overdue"),ISNUMBER(W1384)),IF(W1384&lt;=Settings!$B$6,Q1384,0),0)</f>
        <v>0</v>
      </c>
      <c r="Z1384" s="38" t="n">
        <f aca="false">IF(Y1384=0,0,IF(T1384="Backlog",Q1384,Q1384*Dashboard!$C$10))</f>
        <v>0</v>
      </c>
      <c r="AA1384" s="37" t="n">
        <f aca="false">IF($N1384="",0,IF(COUNTIF(Dashboard!$C$13:$C$22,$N1384)&gt;0,1,0))</f>
        <v>0</v>
      </c>
      <c r="AB1384" s="37" t="str">
        <f aca="false">IF($N1384="","",IF(COUNTIF($N$8:$N1384,$N1384)=1,MAX($AB$7:$AB1383)+1,""))</f>
        <v/>
      </c>
    </row>
    <row r="1385" customFormat="false" ht="15" hidden="false" customHeight="false" outlineLevel="0" collapsed="false">
      <c r="L1385" s="37" t="str">
        <f aca="false">IF(INDEX($A1385:$J1385,$L$6)&lt;&gt;"",TRIM(LEFT(INDEX($A1385:$J1385,$L$6),FIND("(",INDEX($A1385:$J1385,$L$6)&amp;"(")-1)),L1384)</f>
        <v>Building Value Proposition</v>
      </c>
      <c r="M1385" s="37" t="str">
        <f aca="false">IF(INDEX($A1385:$J1385,$M$6)="","",INDEX($A1385:$J1385,$M$6)&amp;"")</f>
        <v/>
      </c>
      <c r="N1385" s="37" t="str">
        <f aca="false">IF($M1385="","",TRIM(INDEX($A1385:$J1385,$N$6)&amp;""))</f>
        <v/>
      </c>
      <c r="O1385" s="37" t="str">
        <f aca="false">IF($M1385="","",TRIM(INDEX($A1385:$J1385,$O$6)&amp;""))</f>
        <v/>
      </c>
      <c r="P1385" s="37" t="str">
        <f aca="false">IF($M1385="","",IFERROR(IF(INDEX(Settings!$B$41:$B$50,MATCH(O1385,Settings!$A$41:$A$50,0))&amp;""="","UNMAPPED",INDEX(Settings!$B$41:$B$50,MATCH(O1385,Settings!$A$41:$A$50,0))&amp;""),"UNMAPPED"))</f>
        <v/>
      </c>
      <c r="Q1385" s="38" t="n">
        <f aca="false">IF($M1385="",0,N(INDEX($A1385:$J1385,$Q$6)))</f>
        <v>0</v>
      </c>
      <c r="R1385" s="39" t="str">
        <f aca="false">IF($M1385="","",INDEX($A1385:$J1385,$R$6))</f>
        <v/>
      </c>
      <c r="S1385" s="37" t="str">
        <f aca="false">IF($M1385="","",IFERROR(INDEX(Settings!$B$27:$B$36,MATCH(L1385,Settings!$A$27:$A$36,0))&amp;"","UNMAPPED"))</f>
        <v/>
      </c>
      <c r="T1385" s="37" t="str">
        <f aca="false">IF($M1385="","",IF(NOT(ISNUMBER(R1385)),"NO DATE",IF(S1385="Won",IF(R1385&gt;Settings!$B$5,"Backlog","Delivered"),IF(S1385="Open",IF(R1385&gt;Settings!$B$5,"Pipeline","Overdue"),IF(S1385="Lost","Lost","UNMAPPED")))))</f>
        <v/>
      </c>
      <c r="U1385" s="40" t="n">
        <f aca="false">IF(T1385="Backlog",1,IF(OR(T1385="Pipeline",T1385="Overdue"),N(INDEX(Settings!$C$27:$C$36,MATCH(L1385,Settings!$A$27:$A$36,0))),0))</f>
        <v>0</v>
      </c>
      <c r="V1385" s="38" t="n">
        <f aca="false">Q1385*U1385</f>
        <v>0</v>
      </c>
      <c r="W1385" s="41" t="str">
        <f aca="false">IF($M1385="","",IF(T1385="Overdue",IF(Settings!$B$8="Yes",Settings!$B$7,""),IF(ISNUMBER(R1385),DATE(YEAR(R1385),MONTH(R1385),1),"")))</f>
        <v/>
      </c>
      <c r="X1385" s="38" t="n">
        <f aca="false">IF(AND(OR(T1385="Backlog",T1385="Pipeline",T1385="Overdue"),ISNUMBER(W1385)),IF(W1385&lt;=Settings!$B$6,V1385,0),0)</f>
        <v>0</v>
      </c>
      <c r="Y1385" s="38" t="n">
        <f aca="false">IF(AND(OR(T1385="Backlog",T1385="Pipeline",T1385="Overdue"),ISNUMBER(W1385)),IF(W1385&lt;=Settings!$B$6,Q1385,0),0)</f>
        <v>0</v>
      </c>
      <c r="Z1385" s="38" t="n">
        <f aca="false">IF(Y1385=0,0,IF(T1385="Backlog",Q1385,Q1385*Dashboard!$C$10))</f>
        <v>0</v>
      </c>
      <c r="AA1385" s="37" t="n">
        <f aca="false">IF($N1385="",0,IF(COUNTIF(Dashboard!$C$13:$C$22,$N1385)&gt;0,1,0))</f>
        <v>0</v>
      </c>
      <c r="AB1385" s="37" t="str">
        <f aca="false">IF($N1385="","",IF(COUNTIF($N$8:$N1385,$N1385)=1,MAX($AB$7:$AB1384)+1,""))</f>
        <v/>
      </c>
    </row>
    <row r="1386" customFormat="false" ht="15" hidden="false" customHeight="false" outlineLevel="0" collapsed="false">
      <c r="L1386" s="37" t="str">
        <f aca="false">IF(INDEX($A1386:$J1386,$L$6)&lt;&gt;"",TRIM(LEFT(INDEX($A1386:$J1386,$L$6),FIND("(",INDEX($A1386:$J1386,$L$6)&amp;"(")-1)),L1385)</f>
        <v>Building Value Proposition</v>
      </c>
      <c r="M1386" s="37" t="str">
        <f aca="false">IF(INDEX($A1386:$J1386,$M$6)="","",INDEX($A1386:$J1386,$M$6)&amp;"")</f>
        <v/>
      </c>
      <c r="N1386" s="37" t="str">
        <f aca="false">IF($M1386="","",TRIM(INDEX($A1386:$J1386,$N$6)&amp;""))</f>
        <v/>
      </c>
      <c r="O1386" s="37" t="str">
        <f aca="false">IF($M1386="","",TRIM(INDEX($A1386:$J1386,$O$6)&amp;""))</f>
        <v/>
      </c>
      <c r="P1386" s="37" t="str">
        <f aca="false">IF($M1386="","",IFERROR(IF(INDEX(Settings!$B$41:$B$50,MATCH(O1386,Settings!$A$41:$A$50,0))&amp;""="","UNMAPPED",INDEX(Settings!$B$41:$B$50,MATCH(O1386,Settings!$A$41:$A$50,0))&amp;""),"UNMAPPED"))</f>
        <v/>
      </c>
      <c r="Q1386" s="38" t="n">
        <f aca="false">IF($M1386="",0,N(INDEX($A1386:$J1386,$Q$6)))</f>
        <v>0</v>
      </c>
      <c r="R1386" s="39" t="str">
        <f aca="false">IF($M1386="","",INDEX($A1386:$J1386,$R$6))</f>
        <v/>
      </c>
      <c r="S1386" s="37" t="str">
        <f aca="false">IF($M1386="","",IFERROR(INDEX(Settings!$B$27:$B$36,MATCH(L1386,Settings!$A$27:$A$36,0))&amp;"","UNMAPPED"))</f>
        <v/>
      </c>
      <c r="T1386" s="37" t="str">
        <f aca="false">IF($M1386="","",IF(NOT(ISNUMBER(R1386)),"NO DATE",IF(S1386="Won",IF(R1386&gt;Settings!$B$5,"Backlog","Delivered"),IF(S1386="Open",IF(R1386&gt;Settings!$B$5,"Pipeline","Overdue"),IF(S1386="Lost","Lost","UNMAPPED")))))</f>
        <v/>
      </c>
      <c r="U1386" s="40" t="n">
        <f aca="false">IF(T1386="Backlog",1,IF(OR(T1386="Pipeline",T1386="Overdue"),N(INDEX(Settings!$C$27:$C$36,MATCH(L1386,Settings!$A$27:$A$36,0))),0))</f>
        <v>0</v>
      </c>
      <c r="V1386" s="38" t="n">
        <f aca="false">Q1386*U1386</f>
        <v>0</v>
      </c>
      <c r="W1386" s="41" t="str">
        <f aca="false">IF($M1386="","",IF(T1386="Overdue",IF(Settings!$B$8="Yes",Settings!$B$7,""),IF(ISNUMBER(R1386),DATE(YEAR(R1386),MONTH(R1386),1),"")))</f>
        <v/>
      </c>
      <c r="X1386" s="38" t="n">
        <f aca="false">IF(AND(OR(T1386="Backlog",T1386="Pipeline",T1386="Overdue"),ISNUMBER(W1386)),IF(W1386&lt;=Settings!$B$6,V1386,0),0)</f>
        <v>0</v>
      </c>
      <c r="Y1386" s="38" t="n">
        <f aca="false">IF(AND(OR(T1386="Backlog",T1386="Pipeline",T1386="Overdue"),ISNUMBER(W1386)),IF(W1386&lt;=Settings!$B$6,Q1386,0),0)</f>
        <v>0</v>
      </c>
      <c r="Z1386" s="38" t="n">
        <f aca="false">IF(Y1386=0,0,IF(T1386="Backlog",Q1386,Q1386*Dashboard!$C$10))</f>
        <v>0</v>
      </c>
      <c r="AA1386" s="37" t="n">
        <f aca="false">IF($N1386="",0,IF(COUNTIF(Dashboard!$C$13:$C$22,$N1386)&gt;0,1,0))</f>
        <v>0</v>
      </c>
      <c r="AB1386" s="37" t="str">
        <f aca="false">IF($N1386="","",IF(COUNTIF($N$8:$N1386,$N1386)=1,MAX($AB$7:$AB1385)+1,""))</f>
        <v/>
      </c>
    </row>
    <row r="1387" customFormat="false" ht="15" hidden="false" customHeight="false" outlineLevel="0" collapsed="false">
      <c r="L1387" s="37" t="str">
        <f aca="false">IF(INDEX($A1387:$J1387,$L$6)&lt;&gt;"",TRIM(LEFT(INDEX($A1387:$J1387,$L$6),FIND("(",INDEX($A1387:$J1387,$L$6)&amp;"(")-1)),L1386)</f>
        <v>Building Value Proposition</v>
      </c>
      <c r="M1387" s="37" t="str">
        <f aca="false">IF(INDEX($A1387:$J1387,$M$6)="","",INDEX($A1387:$J1387,$M$6)&amp;"")</f>
        <v/>
      </c>
      <c r="N1387" s="37" t="str">
        <f aca="false">IF($M1387="","",TRIM(INDEX($A1387:$J1387,$N$6)&amp;""))</f>
        <v/>
      </c>
      <c r="O1387" s="37" t="str">
        <f aca="false">IF($M1387="","",TRIM(INDEX($A1387:$J1387,$O$6)&amp;""))</f>
        <v/>
      </c>
      <c r="P1387" s="37" t="str">
        <f aca="false">IF($M1387="","",IFERROR(IF(INDEX(Settings!$B$41:$B$50,MATCH(O1387,Settings!$A$41:$A$50,0))&amp;""="","UNMAPPED",INDEX(Settings!$B$41:$B$50,MATCH(O1387,Settings!$A$41:$A$50,0))&amp;""),"UNMAPPED"))</f>
        <v/>
      </c>
      <c r="Q1387" s="38" t="n">
        <f aca="false">IF($M1387="",0,N(INDEX($A1387:$J1387,$Q$6)))</f>
        <v>0</v>
      </c>
      <c r="R1387" s="39" t="str">
        <f aca="false">IF($M1387="","",INDEX($A1387:$J1387,$R$6))</f>
        <v/>
      </c>
      <c r="S1387" s="37" t="str">
        <f aca="false">IF($M1387="","",IFERROR(INDEX(Settings!$B$27:$B$36,MATCH(L1387,Settings!$A$27:$A$36,0))&amp;"","UNMAPPED"))</f>
        <v/>
      </c>
      <c r="T1387" s="37" t="str">
        <f aca="false">IF($M1387="","",IF(NOT(ISNUMBER(R1387)),"NO DATE",IF(S1387="Won",IF(R1387&gt;Settings!$B$5,"Backlog","Delivered"),IF(S1387="Open",IF(R1387&gt;Settings!$B$5,"Pipeline","Overdue"),IF(S1387="Lost","Lost","UNMAPPED")))))</f>
        <v/>
      </c>
      <c r="U1387" s="40" t="n">
        <f aca="false">IF(T1387="Backlog",1,IF(OR(T1387="Pipeline",T1387="Overdue"),N(INDEX(Settings!$C$27:$C$36,MATCH(L1387,Settings!$A$27:$A$36,0))),0))</f>
        <v>0</v>
      </c>
      <c r="V1387" s="38" t="n">
        <f aca="false">Q1387*U1387</f>
        <v>0</v>
      </c>
      <c r="W1387" s="41" t="str">
        <f aca="false">IF($M1387="","",IF(T1387="Overdue",IF(Settings!$B$8="Yes",Settings!$B$7,""),IF(ISNUMBER(R1387),DATE(YEAR(R1387),MONTH(R1387),1),"")))</f>
        <v/>
      </c>
      <c r="X1387" s="38" t="n">
        <f aca="false">IF(AND(OR(T1387="Backlog",T1387="Pipeline",T1387="Overdue"),ISNUMBER(W1387)),IF(W1387&lt;=Settings!$B$6,V1387,0),0)</f>
        <v>0</v>
      </c>
      <c r="Y1387" s="38" t="n">
        <f aca="false">IF(AND(OR(T1387="Backlog",T1387="Pipeline",T1387="Overdue"),ISNUMBER(W1387)),IF(W1387&lt;=Settings!$B$6,Q1387,0),0)</f>
        <v>0</v>
      </c>
      <c r="Z1387" s="38" t="n">
        <f aca="false">IF(Y1387=0,0,IF(T1387="Backlog",Q1387,Q1387*Dashboard!$C$10))</f>
        <v>0</v>
      </c>
      <c r="AA1387" s="37" t="n">
        <f aca="false">IF($N1387="",0,IF(COUNTIF(Dashboard!$C$13:$C$22,$N1387)&gt;0,1,0))</f>
        <v>0</v>
      </c>
      <c r="AB1387" s="37" t="str">
        <f aca="false">IF($N1387="","",IF(COUNTIF($N$8:$N1387,$N1387)=1,MAX($AB$7:$AB1386)+1,""))</f>
        <v/>
      </c>
    </row>
    <row r="1388" customFormat="false" ht="15" hidden="false" customHeight="false" outlineLevel="0" collapsed="false">
      <c r="L1388" s="37" t="str">
        <f aca="false">IF(INDEX($A1388:$J1388,$L$6)&lt;&gt;"",TRIM(LEFT(INDEX($A1388:$J1388,$L$6),FIND("(",INDEX($A1388:$J1388,$L$6)&amp;"(")-1)),L1387)</f>
        <v>Building Value Proposition</v>
      </c>
      <c r="M1388" s="37" t="str">
        <f aca="false">IF(INDEX($A1388:$J1388,$M$6)="","",INDEX($A1388:$J1388,$M$6)&amp;"")</f>
        <v/>
      </c>
      <c r="N1388" s="37" t="str">
        <f aca="false">IF($M1388="","",TRIM(INDEX($A1388:$J1388,$N$6)&amp;""))</f>
        <v/>
      </c>
      <c r="O1388" s="37" t="str">
        <f aca="false">IF($M1388="","",TRIM(INDEX($A1388:$J1388,$O$6)&amp;""))</f>
        <v/>
      </c>
      <c r="P1388" s="37" t="str">
        <f aca="false">IF($M1388="","",IFERROR(IF(INDEX(Settings!$B$41:$B$50,MATCH(O1388,Settings!$A$41:$A$50,0))&amp;""="","UNMAPPED",INDEX(Settings!$B$41:$B$50,MATCH(O1388,Settings!$A$41:$A$50,0))&amp;""),"UNMAPPED"))</f>
        <v/>
      </c>
      <c r="Q1388" s="38" t="n">
        <f aca="false">IF($M1388="",0,N(INDEX($A1388:$J1388,$Q$6)))</f>
        <v>0</v>
      </c>
      <c r="R1388" s="39" t="str">
        <f aca="false">IF($M1388="","",INDEX($A1388:$J1388,$R$6))</f>
        <v/>
      </c>
      <c r="S1388" s="37" t="str">
        <f aca="false">IF($M1388="","",IFERROR(INDEX(Settings!$B$27:$B$36,MATCH(L1388,Settings!$A$27:$A$36,0))&amp;"","UNMAPPED"))</f>
        <v/>
      </c>
      <c r="T1388" s="37" t="str">
        <f aca="false">IF($M1388="","",IF(NOT(ISNUMBER(R1388)),"NO DATE",IF(S1388="Won",IF(R1388&gt;Settings!$B$5,"Backlog","Delivered"),IF(S1388="Open",IF(R1388&gt;Settings!$B$5,"Pipeline","Overdue"),IF(S1388="Lost","Lost","UNMAPPED")))))</f>
        <v/>
      </c>
      <c r="U1388" s="40" t="n">
        <f aca="false">IF(T1388="Backlog",1,IF(OR(T1388="Pipeline",T1388="Overdue"),N(INDEX(Settings!$C$27:$C$36,MATCH(L1388,Settings!$A$27:$A$36,0))),0))</f>
        <v>0</v>
      </c>
      <c r="V1388" s="38" t="n">
        <f aca="false">Q1388*U1388</f>
        <v>0</v>
      </c>
      <c r="W1388" s="41" t="str">
        <f aca="false">IF($M1388="","",IF(T1388="Overdue",IF(Settings!$B$8="Yes",Settings!$B$7,""),IF(ISNUMBER(R1388),DATE(YEAR(R1388),MONTH(R1388),1),"")))</f>
        <v/>
      </c>
      <c r="X1388" s="38" t="n">
        <f aca="false">IF(AND(OR(T1388="Backlog",T1388="Pipeline",T1388="Overdue"),ISNUMBER(W1388)),IF(W1388&lt;=Settings!$B$6,V1388,0),0)</f>
        <v>0</v>
      </c>
      <c r="Y1388" s="38" t="n">
        <f aca="false">IF(AND(OR(T1388="Backlog",T1388="Pipeline",T1388="Overdue"),ISNUMBER(W1388)),IF(W1388&lt;=Settings!$B$6,Q1388,0),0)</f>
        <v>0</v>
      </c>
      <c r="Z1388" s="38" t="n">
        <f aca="false">IF(Y1388=0,0,IF(T1388="Backlog",Q1388,Q1388*Dashboard!$C$10))</f>
        <v>0</v>
      </c>
      <c r="AA1388" s="37" t="n">
        <f aca="false">IF($N1388="",0,IF(COUNTIF(Dashboard!$C$13:$C$22,$N1388)&gt;0,1,0))</f>
        <v>0</v>
      </c>
      <c r="AB1388" s="37" t="str">
        <f aca="false">IF($N1388="","",IF(COUNTIF($N$8:$N1388,$N1388)=1,MAX($AB$7:$AB1387)+1,""))</f>
        <v/>
      </c>
    </row>
    <row r="1389" customFormat="false" ht="15" hidden="false" customHeight="false" outlineLevel="0" collapsed="false">
      <c r="L1389" s="37" t="str">
        <f aca="false">IF(INDEX($A1389:$J1389,$L$6)&lt;&gt;"",TRIM(LEFT(INDEX($A1389:$J1389,$L$6),FIND("(",INDEX($A1389:$J1389,$L$6)&amp;"(")-1)),L1388)</f>
        <v>Building Value Proposition</v>
      </c>
      <c r="M1389" s="37" t="str">
        <f aca="false">IF(INDEX($A1389:$J1389,$M$6)="","",INDEX($A1389:$J1389,$M$6)&amp;"")</f>
        <v/>
      </c>
      <c r="N1389" s="37" t="str">
        <f aca="false">IF($M1389="","",TRIM(INDEX($A1389:$J1389,$N$6)&amp;""))</f>
        <v/>
      </c>
      <c r="O1389" s="37" t="str">
        <f aca="false">IF($M1389="","",TRIM(INDEX($A1389:$J1389,$O$6)&amp;""))</f>
        <v/>
      </c>
      <c r="P1389" s="37" t="str">
        <f aca="false">IF($M1389="","",IFERROR(IF(INDEX(Settings!$B$41:$B$50,MATCH(O1389,Settings!$A$41:$A$50,0))&amp;""="","UNMAPPED",INDEX(Settings!$B$41:$B$50,MATCH(O1389,Settings!$A$41:$A$50,0))&amp;""),"UNMAPPED"))</f>
        <v/>
      </c>
      <c r="Q1389" s="38" t="n">
        <f aca="false">IF($M1389="",0,N(INDEX($A1389:$J1389,$Q$6)))</f>
        <v>0</v>
      </c>
      <c r="R1389" s="39" t="str">
        <f aca="false">IF($M1389="","",INDEX($A1389:$J1389,$R$6))</f>
        <v/>
      </c>
      <c r="S1389" s="37" t="str">
        <f aca="false">IF($M1389="","",IFERROR(INDEX(Settings!$B$27:$B$36,MATCH(L1389,Settings!$A$27:$A$36,0))&amp;"","UNMAPPED"))</f>
        <v/>
      </c>
      <c r="T1389" s="37" t="str">
        <f aca="false">IF($M1389="","",IF(NOT(ISNUMBER(R1389)),"NO DATE",IF(S1389="Won",IF(R1389&gt;Settings!$B$5,"Backlog","Delivered"),IF(S1389="Open",IF(R1389&gt;Settings!$B$5,"Pipeline","Overdue"),IF(S1389="Lost","Lost","UNMAPPED")))))</f>
        <v/>
      </c>
      <c r="U1389" s="40" t="n">
        <f aca="false">IF(T1389="Backlog",1,IF(OR(T1389="Pipeline",T1389="Overdue"),N(INDEX(Settings!$C$27:$C$36,MATCH(L1389,Settings!$A$27:$A$36,0))),0))</f>
        <v>0</v>
      </c>
      <c r="V1389" s="38" t="n">
        <f aca="false">Q1389*U1389</f>
        <v>0</v>
      </c>
      <c r="W1389" s="41" t="str">
        <f aca="false">IF($M1389="","",IF(T1389="Overdue",IF(Settings!$B$8="Yes",Settings!$B$7,""),IF(ISNUMBER(R1389),DATE(YEAR(R1389),MONTH(R1389),1),"")))</f>
        <v/>
      </c>
      <c r="X1389" s="38" t="n">
        <f aca="false">IF(AND(OR(T1389="Backlog",T1389="Pipeline",T1389="Overdue"),ISNUMBER(W1389)),IF(W1389&lt;=Settings!$B$6,V1389,0),0)</f>
        <v>0</v>
      </c>
      <c r="Y1389" s="38" t="n">
        <f aca="false">IF(AND(OR(T1389="Backlog",T1389="Pipeline",T1389="Overdue"),ISNUMBER(W1389)),IF(W1389&lt;=Settings!$B$6,Q1389,0),0)</f>
        <v>0</v>
      </c>
      <c r="Z1389" s="38" t="n">
        <f aca="false">IF(Y1389=0,0,IF(T1389="Backlog",Q1389,Q1389*Dashboard!$C$10))</f>
        <v>0</v>
      </c>
      <c r="AA1389" s="37" t="n">
        <f aca="false">IF($N1389="",0,IF(COUNTIF(Dashboard!$C$13:$C$22,$N1389)&gt;0,1,0))</f>
        <v>0</v>
      </c>
      <c r="AB1389" s="37" t="str">
        <f aca="false">IF($N1389="","",IF(COUNTIF($N$8:$N1389,$N1389)=1,MAX($AB$7:$AB1388)+1,""))</f>
        <v/>
      </c>
    </row>
    <row r="1390" customFormat="false" ht="15" hidden="false" customHeight="false" outlineLevel="0" collapsed="false">
      <c r="L1390" s="37" t="str">
        <f aca="false">IF(INDEX($A1390:$J1390,$L$6)&lt;&gt;"",TRIM(LEFT(INDEX($A1390:$J1390,$L$6),FIND("(",INDEX($A1390:$J1390,$L$6)&amp;"(")-1)),L1389)</f>
        <v>Building Value Proposition</v>
      </c>
      <c r="M1390" s="37" t="str">
        <f aca="false">IF(INDEX($A1390:$J1390,$M$6)="","",INDEX($A1390:$J1390,$M$6)&amp;"")</f>
        <v/>
      </c>
      <c r="N1390" s="37" t="str">
        <f aca="false">IF($M1390="","",TRIM(INDEX($A1390:$J1390,$N$6)&amp;""))</f>
        <v/>
      </c>
      <c r="O1390" s="37" t="str">
        <f aca="false">IF($M1390="","",TRIM(INDEX($A1390:$J1390,$O$6)&amp;""))</f>
        <v/>
      </c>
      <c r="P1390" s="37" t="str">
        <f aca="false">IF($M1390="","",IFERROR(IF(INDEX(Settings!$B$41:$B$50,MATCH(O1390,Settings!$A$41:$A$50,0))&amp;""="","UNMAPPED",INDEX(Settings!$B$41:$B$50,MATCH(O1390,Settings!$A$41:$A$50,0))&amp;""),"UNMAPPED"))</f>
        <v/>
      </c>
      <c r="Q1390" s="38" t="n">
        <f aca="false">IF($M1390="",0,N(INDEX($A1390:$J1390,$Q$6)))</f>
        <v>0</v>
      </c>
      <c r="R1390" s="39" t="str">
        <f aca="false">IF($M1390="","",INDEX($A1390:$J1390,$R$6))</f>
        <v/>
      </c>
      <c r="S1390" s="37" t="str">
        <f aca="false">IF($M1390="","",IFERROR(INDEX(Settings!$B$27:$B$36,MATCH(L1390,Settings!$A$27:$A$36,0))&amp;"","UNMAPPED"))</f>
        <v/>
      </c>
      <c r="T1390" s="37" t="str">
        <f aca="false">IF($M1390="","",IF(NOT(ISNUMBER(R1390)),"NO DATE",IF(S1390="Won",IF(R1390&gt;Settings!$B$5,"Backlog","Delivered"),IF(S1390="Open",IF(R1390&gt;Settings!$B$5,"Pipeline","Overdue"),IF(S1390="Lost","Lost","UNMAPPED")))))</f>
        <v/>
      </c>
      <c r="U1390" s="40" t="n">
        <f aca="false">IF(T1390="Backlog",1,IF(OR(T1390="Pipeline",T1390="Overdue"),N(INDEX(Settings!$C$27:$C$36,MATCH(L1390,Settings!$A$27:$A$36,0))),0))</f>
        <v>0</v>
      </c>
      <c r="V1390" s="38" t="n">
        <f aca="false">Q1390*U1390</f>
        <v>0</v>
      </c>
      <c r="W1390" s="41" t="str">
        <f aca="false">IF($M1390="","",IF(T1390="Overdue",IF(Settings!$B$8="Yes",Settings!$B$7,""),IF(ISNUMBER(R1390),DATE(YEAR(R1390),MONTH(R1390),1),"")))</f>
        <v/>
      </c>
      <c r="X1390" s="38" t="n">
        <f aca="false">IF(AND(OR(T1390="Backlog",T1390="Pipeline",T1390="Overdue"),ISNUMBER(W1390)),IF(W1390&lt;=Settings!$B$6,V1390,0),0)</f>
        <v>0</v>
      </c>
      <c r="Y1390" s="38" t="n">
        <f aca="false">IF(AND(OR(T1390="Backlog",T1390="Pipeline",T1390="Overdue"),ISNUMBER(W1390)),IF(W1390&lt;=Settings!$B$6,Q1390,0),0)</f>
        <v>0</v>
      </c>
      <c r="Z1390" s="38" t="n">
        <f aca="false">IF(Y1390=0,0,IF(T1390="Backlog",Q1390,Q1390*Dashboard!$C$10))</f>
        <v>0</v>
      </c>
      <c r="AA1390" s="37" t="n">
        <f aca="false">IF($N1390="",0,IF(COUNTIF(Dashboard!$C$13:$C$22,$N1390)&gt;0,1,0))</f>
        <v>0</v>
      </c>
      <c r="AB1390" s="37" t="str">
        <f aca="false">IF($N1390="","",IF(COUNTIF($N$8:$N1390,$N1390)=1,MAX($AB$7:$AB1389)+1,""))</f>
        <v/>
      </c>
    </row>
    <row r="1391" customFormat="false" ht="15" hidden="false" customHeight="false" outlineLevel="0" collapsed="false">
      <c r="L1391" s="37" t="str">
        <f aca="false">IF(INDEX($A1391:$J1391,$L$6)&lt;&gt;"",TRIM(LEFT(INDEX($A1391:$J1391,$L$6),FIND("(",INDEX($A1391:$J1391,$L$6)&amp;"(")-1)),L1390)</f>
        <v>Building Value Proposition</v>
      </c>
      <c r="M1391" s="37" t="str">
        <f aca="false">IF(INDEX($A1391:$J1391,$M$6)="","",INDEX($A1391:$J1391,$M$6)&amp;"")</f>
        <v/>
      </c>
      <c r="N1391" s="37" t="str">
        <f aca="false">IF($M1391="","",TRIM(INDEX($A1391:$J1391,$N$6)&amp;""))</f>
        <v/>
      </c>
      <c r="O1391" s="37" t="str">
        <f aca="false">IF($M1391="","",TRIM(INDEX($A1391:$J1391,$O$6)&amp;""))</f>
        <v/>
      </c>
      <c r="P1391" s="37" t="str">
        <f aca="false">IF($M1391="","",IFERROR(IF(INDEX(Settings!$B$41:$B$50,MATCH(O1391,Settings!$A$41:$A$50,0))&amp;""="","UNMAPPED",INDEX(Settings!$B$41:$B$50,MATCH(O1391,Settings!$A$41:$A$50,0))&amp;""),"UNMAPPED"))</f>
        <v/>
      </c>
      <c r="Q1391" s="38" t="n">
        <f aca="false">IF($M1391="",0,N(INDEX($A1391:$J1391,$Q$6)))</f>
        <v>0</v>
      </c>
      <c r="R1391" s="39" t="str">
        <f aca="false">IF($M1391="","",INDEX($A1391:$J1391,$R$6))</f>
        <v/>
      </c>
      <c r="S1391" s="37" t="str">
        <f aca="false">IF($M1391="","",IFERROR(INDEX(Settings!$B$27:$B$36,MATCH(L1391,Settings!$A$27:$A$36,0))&amp;"","UNMAPPED"))</f>
        <v/>
      </c>
      <c r="T1391" s="37" t="str">
        <f aca="false">IF($M1391="","",IF(NOT(ISNUMBER(R1391)),"NO DATE",IF(S1391="Won",IF(R1391&gt;Settings!$B$5,"Backlog","Delivered"),IF(S1391="Open",IF(R1391&gt;Settings!$B$5,"Pipeline","Overdue"),IF(S1391="Lost","Lost","UNMAPPED")))))</f>
        <v/>
      </c>
      <c r="U1391" s="40" t="n">
        <f aca="false">IF(T1391="Backlog",1,IF(OR(T1391="Pipeline",T1391="Overdue"),N(INDEX(Settings!$C$27:$C$36,MATCH(L1391,Settings!$A$27:$A$36,0))),0))</f>
        <v>0</v>
      </c>
      <c r="V1391" s="38" t="n">
        <f aca="false">Q1391*U1391</f>
        <v>0</v>
      </c>
      <c r="W1391" s="41" t="str">
        <f aca="false">IF($M1391="","",IF(T1391="Overdue",IF(Settings!$B$8="Yes",Settings!$B$7,""),IF(ISNUMBER(R1391),DATE(YEAR(R1391),MONTH(R1391),1),"")))</f>
        <v/>
      </c>
      <c r="X1391" s="38" t="n">
        <f aca="false">IF(AND(OR(T1391="Backlog",T1391="Pipeline",T1391="Overdue"),ISNUMBER(W1391)),IF(W1391&lt;=Settings!$B$6,V1391,0),0)</f>
        <v>0</v>
      </c>
      <c r="Y1391" s="38" t="n">
        <f aca="false">IF(AND(OR(T1391="Backlog",T1391="Pipeline",T1391="Overdue"),ISNUMBER(W1391)),IF(W1391&lt;=Settings!$B$6,Q1391,0),0)</f>
        <v>0</v>
      </c>
      <c r="Z1391" s="38" t="n">
        <f aca="false">IF(Y1391=0,0,IF(T1391="Backlog",Q1391,Q1391*Dashboard!$C$10))</f>
        <v>0</v>
      </c>
      <c r="AA1391" s="37" t="n">
        <f aca="false">IF($N1391="",0,IF(COUNTIF(Dashboard!$C$13:$C$22,$N1391)&gt;0,1,0))</f>
        <v>0</v>
      </c>
      <c r="AB1391" s="37" t="str">
        <f aca="false">IF($N1391="","",IF(COUNTIF($N$8:$N1391,$N1391)=1,MAX($AB$7:$AB1390)+1,""))</f>
        <v/>
      </c>
    </row>
    <row r="1392" customFormat="false" ht="15" hidden="false" customHeight="false" outlineLevel="0" collapsed="false">
      <c r="L1392" s="37" t="str">
        <f aca="false">IF(INDEX($A1392:$J1392,$L$6)&lt;&gt;"",TRIM(LEFT(INDEX($A1392:$J1392,$L$6),FIND("(",INDEX($A1392:$J1392,$L$6)&amp;"(")-1)),L1391)</f>
        <v>Building Value Proposition</v>
      </c>
      <c r="M1392" s="37" t="str">
        <f aca="false">IF(INDEX($A1392:$J1392,$M$6)="","",INDEX($A1392:$J1392,$M$6)&amp;"")</f>
        <v/>
      </c>
      <c r="N1392" s="37" t="str">
        <f aca="false">IF($M1392="","",TRIM(INDEX($A1392:$J1392,$N$6)&amp;""))</f>
        <v/>
      </c>
      <c r="O1392" s="37" t="str">
        <f aca="false">IF($M1392="","",TRIM(INDEX($A1392:$J1392,$O$6)&amp;""))</f>
        <v/>
      </c>
      <c r="P1392" s="37" t="str">
        <f aca="false">IF($M1392="","",IFERROR(IF(INDEX(Settings!$B$41:$B$50,MATCH(O1392,Settings!$A$41:$A$50,0))&amp;""="","UNMAPPED",INDEX(Settings!$B$41:$B$50,MATCH(O1392,Settings!$A$41:$A$50,0))&amp;""),"UNMAPPED"))</f>
        <v/>
      </c>
      <c r="Q1392" s="38" t="n">
        <f aca="false">IF($M1392="",0,N(INDEX($A1392:$J1392,$Q$6)))</f>
        <v>0</v>
      </c>
      <c r="R1392" s="39" t="str">
        <f aca="false">IF($M1392="","",INDEX($A1392:$J1392,$R$6))</f>
        <v/>
      </c>
      <c r="S1392" s="37" t="str">
        <f aca="false">IF($M1392="","",IFERROR(INDEX(Settings!$B$27:$B$36,MATCH(L1392,Settings!$A$27:$A$36,0))&amp;"","UNMAPPED"))</f>
        <v/>
      </c>
      <c r="T1392" s="37" t="str">
        <f aca="false">IF($M1392="","",IF(NOT(ISNUMBER(R1392)),"NO DATE",IF(S1392="Won",IF(R1392&gt;Settings!$B$5,"Backlog","Delivered"),IF(S1392="Open",IF(R1392&gt;Settings!$B$5,"Pipeline","Overdue"),IF(S1392="Lost","Lost","UNMAPPED")))))</f>
        <v/>
      </c>
      <c r="U1392" s="40" t="n">
        <f aca="false">IF(T1392="Backlog",1,IF(OR(T1392="Pipeline",T1392="Overdue"),N(INDEX(Settings!$C$27:$C$36,MATCH(L1392,Settings!$A$27:$A$36,0))),0))</f>
        <v>0</v>
      </c>
      <c r="V1392" s="38" t="n">
        <f aca="false">Q1392*U1392</f>
        <v>0</v>
      </c>
      <c r="W1392" s="41" t="str">
        <f aca="false">IF($M1392="","",IF(T1392="Overdue",IF(Settings!$B$8="Yes",Settings!$B$7,""),IF(ISNUMBER(R1392),DATE(YEAR(R1392),MONTH(R1392),1),"")))</f>
        <v/>
      </c>
      <c r="X1392" s="38" t="n">
        <f aca="false">IF(AND(OR(T1392="Backlog",T1392="Pipeline",T1392="Overdue"),ISNUMBER(W1392)),IF(W1392&lt;=Settings!$B$6,V1392,0),0)</f>
        <v>0</v>
      </c>
      <c r="Y1392" s="38" t="n">
        <f aca="false">IF(AND(OR(T1392="Backlog",T1392="Pipeline",T1392="Overdue"),ISNUMBER(W1392)),IF(W1392&lt;=Settings!$B$6,Q1392,0),0)</f>
        <v>0</v>
      </c>
      <c r="Z1392" s="38" t="n">
        <f aca="false">IF(Y1392=0,0,IF(T1392="Backlog",Q1392,Q1392*Dashboard!$C$10))</f>
        <v>0</v>
      </c>
      <c r="AA1392" s="37" t="n">
        <f aca="false">IF($N1392="",0,IF(COUNTIF(Dashboard!$C$13:$C$22,$N1392)&gt;0,1,0))</f>
        <v>0</v>
      </c>
      <c r="AB1392" s="37" t="str">
        <f aca="false">IF($N1392="","",IF(COUNTIF($N$8:$N1392,$N1392)=1,MAX($AB$7:$AB1391)+1,""))</f>
        <v/>
      </c>
    </row>
    <row r="1393" customFormat="false" ht="15" hidden="false" customHeight="false" outlineLevel="0" collapsed="false">
      <c r="L1393" s="37" t="str">
        <f aca="false">IF(INDEX($A1393:$J1393,$L$6)&lt;&gt;"",TRIM(LEFT(INDEX($A1393:$J1393,$L$6),FIND("(",INDEX($A1393:$J1393,$L$6)&amp;"(")-1)),L1392)</f>
        <v>Building Value Proposition</v>
      </c>
      <c r="M1393" s="37" t="str">
        <f aca="false">IF(INDEX($A1393:$J1393,$M$6)="","",INDEX($A1393:$J1393,$M$6)&amp;"")</f>
        <v/>
      </c>
      <c r="N1393" s="37" t="str">
        <f aca="false">IF($M1393="","",TRIM(INDEX($A1393:$J1393,$N$6)&amp;""))</f>
        <v/>
      </c>
      <c r="O1393" s="37" t="str">
        <f aca="false">IF($M1393="","",TRIM(INDEX($A1393:$J1393,$O$6)&amp;""))</f>
        <v/>
      </c>
      <c r="P1393" s="37" t="str">
        <f aca="false">IF($M1393="","",IFERROR(IF(INDEX(Settings!$B$41:$B$50,MATCH(O1393,Settings!$A$41:$A$50,0))&amp;""="","UNMAPPED",INDEX(Settings!$B$41:$B$50,MATCH(O1393,Settings!$A$41:$A$50,0))&amp;""),"UNMAPPED"))</f>
        <v/>
      </c>
      <c r="Q1393" s="38" t="n">
        <f aca="false">IF($M1393="",0,N(INDEX($A1393:$J1393,$Q$6)))</f>
        <v>0</v>
      </c>
      <c r="R1393" s="39" t="str">
        <f aca="false">IF($M1393="","",INDEX($A1393:$J1393,$R$6))</f>
        <v/>
      </c>
      <c r="S1393" s="37" t="str">
        <f aca="false">IF($M1393="","",IFERROR(INDEX(Settings!$B$27:$B$36,MATCH(L1393,Settings!$A$27:$A$36,0))&amp;"","UNMAPPED"))</f>
        <v/>
      </c>
      <c r="T1393" s="37" t="str">
        <f aca="false">IF($M1393="","",IF(NOT(ISNUMBER(R1393)),"NO DATE",IF(S1393="Won",IF(R1393&gt;Settings!$B$5,"Backlog","Delivered"),IF(S1393="Open",IF(R1393&gt;Settings!$B$5,"Pipeline","Overdue"),IF(S1393="Lost","Lost","UNMAPPED")))))</f>
        <v/>
      </c>
      <c r="U1393" s="40" t="n">
        <f aca="false">IF(T1393="Backlog",1,IF(OR(T1393="Pipeline",T1393="Overdue"),N(INDEX(Settings!$C$27:$C$36,MATCH(L1393,Settings!$A$27:$A$36,0))),0))</f>
        <v>0</v>
      </c>
      <c r="V1393" s="38" t="n">
        <f aca="false">Q1393*U1393</f>
        <v>0</v>
      </c>
      <c r="W1393" s="41" t="str">
        <f aca="false">IF($M1393="","",IF(T1393="Overdue",IF(Settings!$B$8="Yes",Settings!$B$7,""),IF(ISNUMBER(R1393),DATE(YEAR(R1393),MONTH(R1393),1),"")))</f>
        <v/>
      </c>
      <c r="X1393" s="38" t="n">
        <f aca="false">IF(AND(OR(T1393="Backlog",T1393="Pipeline",T1393="Overdue"),ISNUMBER(W1393)),IF(W1393&lt;=Settings!$B$6,V1393,0),0)</f>
        <v>0</v>
      </c>
      <c r="Y1393" s="38" t="n">
        <f aca="false">IF(AND(OR(T1393="Backlog",T1393="Pipeline",T1393="Overdue"),ISNUMBER(W1393)),IF(W1393&lt;=Settings!$B$6,Q1393,0),0)</f>
        <v>0</v>
      </c>
      <c r="Z1393" s="38" t="n">
        <f aca="false">IF(Y1393=0,0,IF(T1393="Backlog",Q1393,Q1393*Dashboard!$C$10))</f>
        <v>0</v>
      </c>
      <c r="AA1393" s="37" t="n">
        <f aca="false">IF($N1393="",0,IF(COUNTIF(Dashboard!$C$13:$C$22,$N1393)&gt;0,1,0))</f>
        <v>0</v>
      </c>
      <c r="AB1393" s="37" t="str">
        <f aca="false">IF($N1393="","",IF(COUNTIF($N$8:$N1393,$N1393)=1,MAX($AB$7:$AB1392)+1,""))</f>
        <v/>
      </c>
    </row>
    <row r="1394" customFormat="false" ht="15" hidden="false" customHeight="false" outlineLevel="0" collapsed="false">
      <c r="L1394" s="37" t="str">
        <f aca="false">IF(INDEX($A1394:$J1394,$L$6)&lt;&gt;"",TRIM(LEFT(INDEX($A1394:$J1394,$L$6),FIND("(",INDEX($A1394:$J1394,$L$6)&amp;"(")-1)),L1393)</f>
        <v>Building Value Proposition</v>
      </c>
      <c r="M1394" s="37" t="str">
        <f aca="false">IF(INDEX($A1394:$J1394,$M$6)="","",INDEX($A1394:$J1394,$M$6)&amp;"")</f>
        <v/>
      </c>
      <c r="N1394" s="37" t="str">
        <f aca="false">IF($M1394="","",TRIM(INDEX($A1394:$J1394,$N$6)&amp;""))</f>
        <v/>
      </c>
      <c r="O1394" s="37" t="str">
        <f aca="false">IF($M1394="","",TRIM(INDEX($A1394:$J1394,$O$6)&amp;""))</f>
        <v/>
      </c>
      <c r="P1394" s="37" t="str">
        <f aca="false">IF($M1394="","",IFERROR(IF(INDEX(Settings!$B$41:$B$50,MATCH(O1394,Settings!$A$41:$A$50,0))&amp;""="","UNMAPPED",INDEX(Settings!$B$41:$B$50,MATCH(O1394,Settings!$A$41:$A$50,0))&amp;""),"UNMAPPED"))</f>
        <v/>
      </c>
      <c r="Q1394" s="38" t="n">
        <f aca="false">IF($M1394="",0,N(INDEX($A1394:$J1394,$Q$6)))</f>
        <v>0</v>
      </c>
      <c r="R1394" s="39" t="str">
        <f aca="false">IF($M1394="","",INDEX($A1394:$J1394,$R$6))</f>
        <v/>
      </c>
      <c r="S1394" s="37" t="str">
        <f aca="false">IF($M1394="","",IFERROR(INDEX(Settings!$B$27:$B$36,MATCH(L1394,Settings!$A$27:$A$36,0))&amp;"","UNMAPPED"))</f>
        <v/>
      </c>
      <c r="T1394" s="37" t="str">
        <f aca="false">IF($M1394="","",IF(NOT(ISNUMBER(R1394)),"NO DATE",IF(S1394="Won",IF(R1394&gt;Settings!$B$5,"Backlog","Delivered"),IF(S1394="Open",IF(R1394&gt;Settings!$B$5,"Pipeline","Overdue"),IF(S1394="Lost","Lost","UNMAPPED")))))</f>
        <v/>
      </c>
      <c r="U1394" s="40" t="n">
        <f aca="false">IF(T1394="Backlog",1,IF(OR(T1394="Pipeline",T1394="Overdue"),N(INDEX(Settings!$C$27:$C$36,MATCH(L1394,Settings!$A$27:$A$36,0))),0))</f>
        <v>0</v>
      </c>
      <c r="V1394" s="38" t="n">
        <f aca="false">Q1394*U1394</f>
        <v>0</v>
      </c>
      <c r="W1394" s="41" t="str">
        <f aca="false">IF($M1394="","",IF(T1394="Overdue",IF(Settings!$B$8="Yes",Settings!$B$7,""),IF(ISNUMBER(R1394),DATE(YEAR(R1394),MONTH(R1394),1),"")))</f>
        <v/>
      </c>
      <c r="X1394" s="38" t="n">
        <f aca="false">IF(AND(OR(T1394="Backlog",T1394="Pipeline",T1394="Overdue"),ISNUMBER(W1394)),IF(W1394&lt;=Settings!$B$6,V1394,0),0)</f>
        <v>0</v>
      </c>
      <c r="Y1394" s="38" t="n">
        <f aca="false">IF(AND(OR(T1394="Backlog",T1394="Pipeline",T1394="Overdue"),ISNUMBER(W1394)),IF(W1394&lt;=Settings!$B$6,Q1394,0),0)</f>
        <v>0</v>
      </c>
      <c r="Z1394" s="38" t="n">
        <f aca="false">IF(Y1394=0,0,IF(T1394="Backlog",Q1394,Q1394*Dashboard!$C$10))</f>
        <v>0</v>
      </c>
      <c r="AA1394" s="37" t="n">
        <f aca="false">IF($N1394="",0,IF(COUNTIF(Dashboard!$C$13:$C$22,$N1394)&gt;0,1,0))</f>
        <v>0</v>
      </c>
      <c r="AB1394" s="37" t="str">
        <f aca="false">IF($N1394="","",IF(COUNTIF($N$8:$N1394,$N1394)=1,MAX($AB$7:$AB1393)+1,""))</f>
        <v/>
      </c>
    </row>
    <row r="1395" customFormat="false" ht="15" hidden="false" customHeight="false" outlineLevel="0" collapsed="false">
      <c r="L1395" s="37" t="str">
        <f aca="false">IF(INDEX($A1395:$J1395,$L$6)&lt;&gt;"",TRIM(LEFT(INDEX($A1395:$J1395,$L$6),FIND("(",INDEX($A1395:$J1395,$L$6)&amp;"(")-1)),L1394)</f>
        <v>Building Value Proposition</v>
      </c>
      <c r="M1395" s="37" t="str">
        <f aca="false">IF(INDEX($A1395:$J1395,$M$6)="","",INDEX($A1395:$J1395,$M$6)&amp;"")</f>
        <v/>
      </c>
      <c r="N1395" s="37" t="str">
        <f aca="false">IF($M1395="","",TRIM(INDEX($A1395:$J1395,$N$6)&amp;""))</f>
        <v/>
      </c>
      <c r="O1395" s="37" t="str">
        <f aca="false">IF($M1395="","",TRIM(INDEX($A1395:$J1395,$O$6)&amp;""))</f>
        <v/>
      </c>
      <c r="P1395" s="37" t="str">
        <f aca="false">IF($M1395="","",IFERROR(IF(INDEX(Settings!$B$41:$B$50,MATCH(O1395,Settings!$A$41:$A$50,0))&amp;""="","UNMAPPED",INDEX(Settings!$B$41:$B$50,MATCH(O1395,Settings!$A$41:$A$50,0))&amp;""),"UNMAPPED"))</f>
        <v/>
      </c>
      <c r="Q1395" s="38" t="n">
        <f aca="false">IF($M1395="",0,N(INDEX($A1395:$J1395,$Q$6)))</f>
        <v>0</v>
      </c>
      <c r="R1395" s="39" t="str">
        <f aca="false">IF($M1395="","",INDEX($A1395:$J1395,$R$6))</f>
        <v/>
      </c>
      <c r="S1395" s="37" t="str">
        <f aca="false">IF($M1395="","",IFERROR(INDEX(Settings!$B$27:$B$36,MATCH(L1395,Settings!$A$27:$A$36,0))&amp;"","UNMAPPED"))</f>
        <v/>
      </c>
      <c r="T1395" s="37" t="str">
        <f aca="false">IF($M1395="","",IF(NOT(ISNUMBER(R1395)),"NO DATE",IF(S1395="Won",IF(R1395&gt;Settings!$B$5,"Backlog","Delivered"),IF(S1395="Open",IF(R1395&gt;Settings!$B$5,"Pipeline","Overdue"),IF(S1395="Lost","Lost","UNMAPPED")))))</f>
        <v/>
      </c>
      <c r="U1395" s="40" t="n">
        <f aca="false">IF(T1395="Backlog",1,IF(OR(T1395="Pipeline",T1395="Overdue"),N(INDEX(Settings!$C$27:$C$36,MATCH(L1395,Settings!$A$27:$A$36,0))),0))</f>
        <v>0</v>
      </c>
      <c r="V1395" s="38" t="n">
        <f aca="false">Q1395*U1395</f>
        <v>0</v>
      </c>
      <c r="W1395" s="41" t="str">
        <f aca="false">IF($M1395="","",IF(T1395="Overdue",IF(Settings!$B$8="Yes",Settings!$B$7,""),IF(ISNUMBER(R1395),DATE(YEAR(R1395),MONTH(R1395),1),"")))</f>
        <v/>
      </c>
      <c r="X1395" s="38" t="n">
        <f aca="false">IF(AND(OR(T1395="Backlog",T1395="Pipeline",T1395="Overdue"),ISNUMBER(W1395)),IF(W1395&lt;=Settings!$B$6,V1395,0),0)</f>
        <v>0</v>
      </c>
      <c r="Y1395" s="38" t="n">
        <f aca="false">IF(AND(OR(T1395="Backlog",T1395="Pipeline",T1395="Overdue"),ISNUMBER(W1395)),IF(W1395&lt;=Settings!$B$6,Q1395,0),0)</f>
        <v>0</v>
      </c>
      <c r="Z1395" s="38" t="n">
        <f aca="false">IF(Y1395=0,0,IF(T1395="Backlog",Q1395,Q1395*Dashboard!$C$10))</f>
        <v>0</v>
      </c>
      <c r="AA1395" s="37" t="n">
        <f aca="false">IF($N1395="",0,IF(COUNTIF(Dashboard!$C$13:$C$22,$N1395)&gt;0,1,0))</f>
        <v>0</v>
      </c>
      <c r="AB1395" s="37" t="str">
        <f aca="false">IF($N1395="","",IF(COUNTIF($N$8:$N1395,$N1395)=1,MAX($AB$7:$AB1394)+1,""))</f>
        <v/>
      </c>
    </row>
    <row r="1396" customFormat="false" ht="15" hidden="false" customHeight="false" outlineLevel="0" collapsed="false">
      <c r="L1396" s="37" t="str">
        <f aca="false">IF(INDEX($A1396:$J1396,$L$6)&lt;&gt;"",TRIM(LEFT(INDEX($A1396:$J1396,$L$6),FIND("(",INDEX($A1396:$J1396,$L$6)&amp;"(")-1)),L1395)</f>
        <v>Building Value Proposition</v>
      </c>
      <c r="M1396" s="37" t="str">
        <f aca="false">IF(INDEX($A1396:$J1396,$M$6)="","",INDEX($A1396:$J1396,$M$6)&amp;"")</f>
        <v/>
      </c>
      <c r="N1396" s="37" t="str">
        <f aca="false">IF($M1396="","",TRIM(INDEX($A1396:$J1396,$N$6)&amp;""))</f>
        <v/>
      </c>
      <c r="O1396" s="37" t="str">
        <f aca="false">IF($M1396="","",TRIM(INDEX($A1396:$J1396,$O$6)&amp;""))</f>
        <v/>
      </c>
      <c r="P1396" s="37" t="str">
        <f aca="false">IF($M1396="","",IFERROR(IF(INDEX(Settings!$B$41:$B$50,MATCH(O1396,Settings!$A$41:$A$50,0))&amp;""="","UNMAPPED",INDEX(Settings!$B$41:$B$50,MATCH(O1396,Settings!$A$41:$A$50,0))&amp;""),"UNMAPPED"))</f>
        <v/>
      </c>
      <c r="Q1396" s="38" t="n">
        <f aca="false">IF($M1396="",0,N(INDEX($A1396:$J1396,$Q$6)))</f>
        <v>0</v>
      </c>
      <c r="R1396" s="39" t="str">
        <f aca="false">IF($M1396="","",INDEX($A1396:$J1396,$R$6))</f>
        <v/>
      </c>
      <c r="S1396" s="37" t="str">
        <f aca="false">IF($M1396="","",IFERROR(INDEX(Settings!$B$27:$B$36,MATCH(L1396,Settings!$A$27:$A$36,0))&amp;"","UNMAPPED"))</f>
        <v/>
      </c>
      <c r="T1396" s="37" t="str">
        <f aca="false">IF($M1396="","",IF(NOT(ISNUMBER(R1396)),"NO DATE",IF(S1396="Won",IF(R1396&gt;Settings!$B$5,"Backlog","Delivered"),IF(S1396="Open",IF(R1396&gt;Settings!$B$5,"Pipeline","Overdue"),IF(S1396="Lost","Lost","UNMAPPED")))))</f>
        <v/>
      </c>
      <c r="U1396" s="40" t="n">
        <f aca="false">IF(T1396="Backlog",1,IF(OR(T1396="Pipeline",T1396="Overdue"),N(INDEX(Settings!$C$27:$C$36,MATCH(L1396,Settings!$A$27:$A$36,0))),0))</f>
        <v>0</v>
      </c>
      <c r="V1396" s="38" t="n">
        <f aca="false">Q1396*U1396</f>
        <v>0</v>
      </c>
      <c r="W1396" s="41" t="str">
        <f aca="false">IF($M1396="","",IF(T1396="Overdue",IF(Settings!$B$8="Yes",Settings!$B$7,""),IF(ISNUMBER(R1396),DATE(YEAR(R1396),MONTH(R1396),1),"")))</f>
        <v/>
      </c>
      <c r="X1396" s="38" t="n">
        <f aca="false">IF(AND(OR(T1396="Backlog",T1396="Pipeline",T1396="Overdue"),ISNUMBER(W1396)),IF(W1396&lt;=Settings!$B$6,V1396,0),0)</f>
        <v>0</v>
      </c>
      <c r="Y1396" s="38" t="n">
        <f aca="false">IF(AND(OR(T1396="Backlog",T1396="Pipeline",T1396="Overdue"),ISNUMBER(W1396)),IF(W1396&lt;=Settings!$B$6,Q1396,0),0)</f>
        <v>0</v>
      </c>
      <c r="Z1396" s="38" t="n">
        <f aca="false">IF(Y1396=0,0,IF(T1396="Backlog",Q1396,Q1396*Dashboard!$C$10))</f>
        <v>0</v>
      </c>
      <c r="AA1396" s="37" t="n">
        <f aca="false">IF($N1396="",0,IF(COUNTIF(Dashboard!$C$13:$C$22,$N1396)&gt;0,1,0))</f>
        <v>0</v>
      </c>
      <c r="AB1396" s="37" t="str">
        <f aca="false">IF($N1396="","",IF(COUNTIF($N$8:$N1396,$N1396)=1,MAX($AB$7:$AB1395)+1,""))</f>
        <v/>
      </c>
    </row>
    <row r="1397" customFormat="false" ht="15" hidden="false" customHeight="false" outlineLevel="0" collapsed="false">
      <c r="L1397" s="37" t="str">
        <f aca="false">IF(INDEX($A1397:$J1397,$L$6)&lt;&gt;"",TRIM(LEFT(INDEX($A1397:$J1397,$L$6),FIND("(",INDEX($A1397:$J1397,$L$6)&amp;"(")-1)),L1396)</f>
        <v>Building Value Proposition</v>
      </c>
      <c r="M1397" s="37" t="str">
        <f aca="false">IF(INDEX($A1397:$J1397,$M$6)="","",INDEX($A1397:$J1397,$M$6)&amp;"")</f>
        <v/>
      </c>
      <c r="N1397" s="37" t="str">
        <f aca="false">IF($M1397="","",TRIM(INDEX($A1397:$J1397,$N$6)&amp;""))</f>
        <v/>
      </c>
      <c r="O1397" s="37" t="str">
        <f aca="false">IF($M1397="","",TRIM(INDEX($A1397:$J1397,$O$6)&amp;""))</f>
        <v/>
      </c>
      <c r="P1397" s="37" t="str">
        <f aca="false">IF($M1397="","",IFERROR(IF(INDEX(Settings!$B$41:$B$50,MATCH(O1397,Settings!$A$41:$A$50,0))&amp;""="","UNMAPPED",INDEX(Settings!$B$41:$B$50,MATCH(O1397,Settings!$A$41:$A$50,0))&amp;""),"UNMAPPED"))</f>
        <v/>
      </c>
      <c r="Q1397" s="38" t="n">
        <f aca="false">IF($M1397="",0,N(INDEX($A1397:$J1397,$Q$6)))</f>
        <v>0</v>
      </c>
      <c r="R1397" s="39" t="str">
        <f aca="false">IF($M1397="","",INDEX($A1397:$J1397,$R$6))</f>
        <v/>
      </c>
      <c r="S1397" s="37" t="str">
        <f aca="false">IF($M1397="","",IFERROR(INDEX(Settings!$B$27:$B$36,MATCH(L1397,Settings!$A$27:$A$36,0))&amp;"","UNMAPPED"))</f>
        <v/>
      </c>
      <c r="T1397" s="37" t="str">
        <f aca="false">IF($M1397="","",IF(NOT(ISNUMBER(R1397)),"NO DATE",IF(S1397="Won",IF(R1397&gt;Settings!$B$5,"Backlog","Delivered"),IF(S1397="Open",IF(R1397&gt;Settings!$B$5,"Pipeline","Overdue"),IF(S1397="Lost","Lost","UNMAPPED")))))</f>
        <v/>
      </c>
      <c r="U1397" s="40" t="n">
        <f aca="false">IF(T1397="Backlog",1,IF(OR(T1397="Pipeline",T1397="Overdue"),N(INDEX(Settings!$C$27:$C$36,MATCH(L1397,Settings!$A$27:$A$36,0))),0))</f>
        <v>0</v>
      </c>
      <c r="V1397" s="38" t="n">
        <f aca="false">Q1397*U1397</f>
        <v>0</v>
      </c>
      <c r="W1397" s="41" t="str">
        <f aca="false">IF($M1397="","",IF(T1397="Overdue",IF(Settings!$B$8="Yes",Settings!$B$7,""),IF(ISNUMBER(R1397),DATE(YEAR(R1397),MONTH(R1397),1),"")))</f>
        <v/>
      </c>
      <c r="X1397" s="38" t="n">
        <f aca="false">IF(AND(OR(T1397="Backlog",T1397="Pipeline",T1397="Overdue"),ISNUMBER(W1397)),IF(W1397&lt;=Settings!$B$6,V1397,0),0)</f>
        <v>0</v>
      </c>
      <c r="Y1397" s="38" t="n">
        <f aca="false">IF(AND(OR(T1397="Backlog",T1397="Pipeline",T1397="Overdue"),ISNUMBER(W1397)),IF(W1397&lt;=Settings!$B$6,Q1397,0),0)</f>
        <v>0</v>
      </c>
      <c r="Z1397" s="38" t="n">
        <f aca="false">IF(Y1397=0,0,IF(T1397="Backlog",Q1397,Q1397*Dashboard!$C$10))</f>
        <v>0</v>
      </c>
      <c r="AA1397" s="37" t="n">
        <f aca="false">IF($N1397="",0,IF(COUNTIF(Dashboard!$C$13:$C$22,$N1397)&gt;0,1,0))</f>
        <v>0</v>
      </c>
      <c r="AB1397" s="37" t="str">
        <f aca="false">IF($N1397="","",IF(COUNTIF($N$8:$N1397,$N1397)=1,MAX($AB$7:$AB1396)+1,""))</f>
        <v/>
      </c>
    </row>
    <row r="1398" customFormat="false" ht="15" hidden="false" customHeight="false" outlineLevel="0" collapsed="false">
      <c r="L1398" s="37" t="str">
        <f aca="false">IF(INDEX($A1398:$J1398,$L$6)&lt;&gt;"",TRIM(LEFT(INDEX($A1398:$J1398,$L$6),FIND("(",INDEX($A1398:$J1398,$L$6)&amp;"(")-1)),L1397)</f>
        <v>Building Value Proposition</v>
      </c>
      <c r="M1398" s="37" t="str">
        <f aca="false">IF(INDEX($A1398:$J1398,$M$6)="","",INDEX($A1398:$J1398,$M$6)&amp;"")</f>
        <v/>
      </c>
      <c r="N1398" s="37" t="str">
        <f aca="false">IF($M1398="","",TRIM(INDEX($A1398:$J1398,$N$6)&amp;""))</f>
        <v/>
      </c>
      <c r="O1398" s="37" t="str">
        <f aca="false">IF($M1398="","",TRIM(INDEX($A1398:$J1398,$O$6)&amp;""))</f>
        <v/>
      </c>
      <c r="P1398" s="37" t="str">
        <f aca="false">IF($M1398="","",IFERROR(IF(INDEX(Settings!$B$41:$B$50,MATCH(O1398,Settings!$A$41:$A$50,0))&amp;""="","UNMAPPED",INDEX(Settings!$B$41:$B$50,MATCH(O1398,Settings!$A$41:$A$50,0))&amp;""),"UNMAPPED"))</f>
        <v/>
      </c>
      <c r="Q1398" s="38" t="n">
        <f aca="false">IF($M1398="",0,N(INDEX($A1398:$J1398,$Q$6)))</f>
        <v>0</v>
      </c>
      <c r="R1398" s="39" t="str">
        <f aca="false">IF($M1398="","",INDEX($A1398:$J1398,$R$6))</f>
        <v/>
      </c>
      <c r="S1398" s="37" t="str">
        <f aca="false">IF($M1398="","",IFERROR(INDEX(Settings!$B$27:$B$36,MATCH(L1398,Settings!$A$27:$A$36,0))&amp;"","UNMAPPED"))</f>
        <v/>
      </c>
      <c r="T1398" s="37" t="str">
        <f aca="false">IF($M1398="","",IF(NOT(ISNUMBER(R1398)),"NO DATE",IF(S1398="Won",IF(R1398&gt;Settings!$B$5,"Backlog","Delivered"),IF(S1398="Open",IF(R1398&gt;Settings!$B$5,"Pipeline","Overdue"),IF(S1398="Lost","Lost","UNMAPPED")))))</f>
        <v/>
      </c>
      <c r="U1398" s="40" t="n">
        <f aca="false">IF(T1398="Backlog",1,IF(OR(T1398="Pipeline",T1398="Overdue"),N(INDEX(Settings!$C$27:$C$36,MATCH(L1398,Settings!$A$27:$A$36,0))),0))</f>
        <v>0</v>
      </c>
      <c r="V1398" s="38" t="n">
        <f aca="false">Q1398*U1398</f>
        <v>0</v>
      </c>
      <c r="W1398" s="41" t="str">
        <f aca="false">IF($M1398="","",IF(T1398="Overdue",IF(Settings!$B$8="Yes",Settings!$B$7,""),IF(ISNUMBER(R1398),DATE(YEAR(R1398),MONTH(R1398),1),"")))</f>
        <v/>
      </c>
      <c r="X1398" s="38" t="n">
        <f aca="false">IF(AND(OR(T1398="Backlog",T1398="Pipeline",T1398="Overdue"),ISNUMBER(W1398)),IF(W1398&lt;=Settings!$B$6,V1398,0),0)</f>
        <v>0</v>
      </c>
      <c r="Y1398" s="38" t="n">
        <f aca="false">IF(AND(OR(T1398="Backlog",T1398="Pipeline",T1398="Overdue"),ISNUMBER(W1398)),IF(W1398&lt;=Settings!$B$6,Q1398,0),0)</f>
        <v>0</v>
      </c>
      <c r="Z1398" s="38" t="n">
        <f aca="false">IF(Y1398=0,0,IF(T1398="Backlog",Q1398,Q1398*Dashboard!$C$10))</f>
        <v>0</v>
      </c>
      <c r="AA1398" s="37" t="n">
        <f aca="false">IF($N1398="",0,IF(COUNTIF(Dashboard!$C$13:$C$22,$N1398)&gt;0,1,0))</f>
        <v>0</v>
      </c>
      <c r="AB1398" s="37" t="str">
        <f aca="false">IF($N1398="","",IF(COUNTIF($N$8:$N1398,$N1398)=1,MAX($AB$7:$AB1397)+1,""))</f>
        <v/>
      </c>
    </row>
    <row r="1399" customFormat="false" ht="15" hidden="false" customHeight="false" outlineLevel="0" collapsed="false">
      <c r="L1399" s="37" t="str">
        <f aca="false">IF(INDEX($A1399:$J1399,$L$6)&lt;&gt;"",TRIM(LEFT(INDEX($A1399:$J1399,$L$6),FIND("(",INDEX($A1399:$J1399,$L$6)&amp;"(")-1)),L1398)</f>
        <v>Building Value Proposition</v>
      </c>
      <c r="M1399" s="37" t="str">
        <f aca="false">IF(INDEX($A1399:$J1399,$M$6)="","",INDEX($A1399:$J1399,$M$6)&amp;"")</f>
        <v/>
      </c>
      <c r="N1399" s="37" t="str">
        <f aca="false">IF($M1399="","",TRIM(INDEX($A1399:$J1399,$N$6)&amp;""))</f>
        <v/>
      </c>
      <c r="O1399" s="37" t="str">
        <f aca="false">IF($M1399="","",TRIM(INDEX($A1399:$J1399,$O$6)&amp;""))</f>
        <v/>
      </c>
      <c r="P1399" s="37" t="str">
        <f aca="false">IF($M1399="","",IFERROR(IF(INDEX(Settings!$B$41:$B$50,MATCH(O1399,Settings!$A$41:$A$50,0))&amp;""="","UNMAPPED",INDEX(Settings!$B$41:$B$50,MATCH(O1399,Settings!$A$41:$A$50,0))&amp;""),"UNMAPPED"))</f>
        <v/>
      </c>
      <c r="Q1399" s="38" t="n">
        <f aca="false">IF($M1399="",0,N(INDEX($A1399:$J1399,$Q$6)))</f>
        <v>0</v>
      </c>
      <c r="R1399" s="39" t="str">
        <f aca="false">IF($M1399="","",INDEX($A1399:$J1399,$R$6))</f>
        <v/>
      </c>
      <c r="S1399" s="37" t="str">
        <f aca="false">IF($M1399="","",IFERROR(INDEX(Settings!$B$27:$B$36,MATCH(L1399,Settings!$A$27:$A$36,0))&amp;"","UNMAPPED"))</f>
        <v/>
      </c>
      <c r="T1399" s="37" t="str">
        <f aca="false">IF($M1399="","",IF(NOT(ISNUMBER(R1399)),"NO DATE",IF(S1399="Won",IF(R1399&gt;Settings!$B$5,"Backlog","Delivered"),IF(S1399="Open",IF(R1399&gt;Settings!$B$5,"Pipeline","Overdue"),IF(S1399="Lost","Lost","UNMAPPED")))))</f>
        <v/>
      </c>
      <c r="U1399" s="40" t="n">
        <f aca="false">IF(T1399="Backlog",1,IF(OR(T1399="Pipeline",T1399="Overdue"),N(INDEX(Settings!$C$27:$C$36,MATCH(L1399,Settings!$A$27:$A$36,0))),0))</f>
        <v>0</v>
      </c>
      <c r="V1399" s="38" t="n">
        <f aca="false">Q1399*U1399</f>
        <v>0</v>
      </c>
      <c r="W1399" s="41" t="str">
        <f aca="false">IF($M1399="","",IF(T1399="Overdue",IF(Settings!$B$8="Yes",Settings!$B$7,""),IF(ISNUMBER(R1399),DATE(YEAR(R1399),MONTH(R1399),1),"")))</f>
        <v/>
      </c>
      <c r="X1399" s="38" t="n">
        <f aca="false">IF(AND(OR(T1399="Backlog",T1399="Pipeline",T1399="Overdue"),ISNUMBER(W1399)),IF(W1399&lt;=Settings!$B$6,V1399,0),0)</f>
        <v>0</v>
      </c>
      <c r="Y1399" s="38" t="n">
        <f aca="false">IF(AND(OR(T1399="Backlog",T1399="Pipeline",T1399="Overdue"),ISNUMBER(W1399)),IF(W1399&lt;=Settings!$B$6,Q1399,0),0)</f>
        <v>0</v>
      </c>
      <c r="Z1399" s="38" t="n">
        <f aca="false">IF(Y1399=0,0,IF(T1399="Backlog",Q1399,Q1399*Dashboard!$C$10))</f>
        <v>0</v>
      </c>
      <c r="AA1399" s="37" t="n">
        <f aca="false">IF($N1399="",0,IF(COUNTIF(Dashboard!$C$13:$C$22,$N1399)&gt;0,1,0))</f>
        <v>0</v>
      </c>
      <c r="AB1399" s="37" t="str">
        <f aca="false">IF($N1399="","",IF(COUNTIF($N$8:$N1399,$N1399)=1,MAX($AB$7:$AB1398)+1,""))</f>
        <v/>
      </c>
    </row>
    <row r="1400" customFormat="false" ht="15" hidden="false" customHeight="false" outlineLevel="0" collapsed="false">
      <c r="L1400" s="37" t="str">
        <f aca="false">IF(INDEX($A1400:$J1400,$L$6)&lt;&gt;"",TRIM(LEFT(INDEX($A1400:$J1400,$L$6),FIND("(",INDEX($A1400:$J1400,$L$6)&amp;"(")-1)),L1399)</f>
        <v>Building Value Proposition</v>
      </c>
      <c r="M1400" s="37" t="str">
        <f aca="false">IF(INDEX($A1400:$J1400,$M$6)="","",INDEX($A1400:$J1400,$M$6)&amp;"")</f>
        <v/>
      </c>
      <c r="N1400" s="37" t="str">
        <f aca="false">IF($M1400="","",TRIM(INDEX($A1400:$J1400,$N$6)&amp;""))</f>
        <v/>
      </c>
      <c r="O1400" s="37" t="str">
        <f aca="false">IF($M1400="","",TRIM(INDEX($A1400:$J1400,$O$6)&amp;""))</f>
        <v/>
      </c>
      <c r="P1400" s="37" t="str">
        <f aca="false">IF($M1400="","",IFERROR(IF(INDEX(Settings!$B$41:$B$50,MATCH(O1400,Settings!$A$41:$A$50,0))&amp;""="","UNMAPPED",INDEX(Settings!$B$41:$B$50,MATCH(O1400,Settings!$A$41:$A$50,0))&amp;""),"UNMAPPED"))</f>
        <v/>
      </c>
      <c r="Q1400" s="38" t="n">
        <f aca="false">IF($M1400="",0,N(INDEX($A1400:$J1400,$Q$6)))</f>
        <v>0</v>
      </c>
      <c r="R1400" s="39" t="str">
        <f aca="false">IF($M1400="","",INDEX($A1400:$J1400,$R$6))</f>
        <v/>
      </c>
      <c r="S1400" s="37" t="str">
        <f aca="false">IF($M1400="","",IFERROR(INDEX(Settings!$B$27:$B$36,MATCH(L1400,Settings!$A$27:$A$36,0))&amp;"","UNMAPPED"))</f>
        <v/>
      </c>
      <c r="T1400" s="37" t="str">
        <f aca="false">IF($M1400="","",IF(NOT(ISNUMBER(R1400)),"NO DATE",IF(S1400="Won",IF(R1400&gt;Settings!$B$5,"Backlog","Delivered"),IF(S1400="Open",IF(R1400&gt;Settings!$B$5,"Pipeline","Overdue"),IF(S1400="Lost","Lost","UNMAPPED")))))</f>
        <v/>
      </c>
      <c r="U1400" s="40" t="n">
        <f aca="false">IF(T1400="Backlog",1,IF(OR(T1400="Pipeline",T1400="Overdue"),N(INDEX(Settings!$C$27:$C$36,MATCH(L1400,Settings!$A$27:$A$36,0))),0))</f>
        <v>0</v>
      </c>
      <c r="V1400" s="38" t="n">
        <f aca="false">Q1400*U1400</f>
        <v>0</v>
      </c>
      <c r="W1400" s="41" t="str">
        <f aca="false">IF($M1400="","",IF(T1400="Overdue",IF(Settings!$B$8="Yes",Settings!$B$7,""),IF(ISNUMBER(R1400),DATE(YEAR(R1400),MONTH(R1400),1),"")))</f>
        <v/>
      </c>
      <c r="X1400" s="38" t="n">
        <f aca="false">IF(AND(OR(T1400="Backlog",T1400="Pipeline",T1400="Overdue"),ISNUMBER(W1400)),IF(W1400&lt;=Settings!$B$6,V1400,0),0)</f>
        <v>0</v>
      </c>
      <c r="Y1400" s="38" t="n">
        <f aca="false">IF(AND(OR(T1400="Backlog",T1400="Pipeline",T1400="Overdue"),ISNUMBER(W1400)),IF(W1400&lt;=Settings!$B$6,Q1400,0),0)</f>
        <v>0</v>
      </c>
      <c r="Z1400" s="38" t="n">
        <f aca="false">IF(Y1400=0,0,IF(T1400="Backlog",Q1400,Q1400*Dashboard!$C$10))</f>
        <v>0</v>
      </c>
      <c r="AA1400" s="37" t="n">
        <f aca="false">IF($N1400="",0,IF(COUNTIF(Dashboard!$C$13:$C$22,$N1400)&gt;0,1,0))</f>
        <v>0</v>
      </c>
      <c r="AB1400" s="37" t="str">
        <f aca="false">IF($N1400="","",IF(COUNTIF($N$8:$N1400,$N1400)=1,MAX($AB$7:$AB1399)+1,""))</f>
        <v/>
      </c>
    </row>
    <row r="1401" customFormat="false" ht="15" hidden="false" customHeight="false" outlineLevel="0" collapsed="false">
      <c r="L1401" s="37" t="str">
        <f aca="false">IF(INDEX($A1401:$J1401,$L$6)&lt;&gt;"",TRIM(LEFT(INDEX($A1401:$J1401,$L$6),FIND("(",INDEX($A1401:$J1401,$L$6)&amp;"(")-1)),L1400)</f>
        <v>Building Value Proposition</v>
      </c>
      <c r="M1401" s="37" t="str">
        <f aca="false">IF(INDEX($A1401:$J1401,$M$6)="","",INDEX($A1401:$J1401,$M$6)&amp;"")</f>
        <v/>
      </c>
      <c r="N1401" s="37" t="str">
        <f aca="false">IF($M1401="","",TRIM(INDEX($A1401:$J1401,$N$6)&amp;""))</f>
        <v/>
      </c>
      <c r="O1401" s="37" t="str">
        <f aca="false">IF($M1401="","",TRIM(INDEX($A1401:$J1401,$O$6)&amp;""))</f>
        <v/>
      </c>
      <c r="P1401" s="37" t="str">
        <f aca="false">IF($M1401="","",IFERROR(IF(INDEX(Settings!$B$41:$B$50,MATCH(O1401,Settings!$A$41:$A$50,0))&amp;""="","UNMAPPED",INDEX(Settings!$B$41:$B$50,MATCH(O1401,Settings!$A$41:$A$50,0))&amp;""),"UNMAPPED"))</f>
        <v/>
      </c>
      <c r="Q1401" s="38" t="n">
        <f aca="false">IF($M1401="",0,N(INDEX($A1401:$J1401,$Q$6)))</f>
        <v>0</v>
      </c>
      <c r="R1401" s="39" t="str">
        <f aca="false">IF($M1401="","",INDEX($A1401:$J1401,$R$6))</f>
        <v/>
      </c>
      <c r="S1401" s="37" t="str">
        <f aca="false">IF($M1401="","",IFERROR(INDEX(Settings!$B$27:$B$36,MATCH(L1401,Settings!$A$27:$A$36,0))&amp;"","UNMAPPED"))</f>
        <v/>
      </c>
      <c r="T1401" s="37" t="str">
        <f aca="false">IF($M1401="","",IF(NOT(ISNUMBER(R1401)),"NO DATE",IF(S1401="Won",IF(R1401&gt;Settings!$B$5,"Backlog","Delivered"),IF(S1401="Open",IF(R1401&gt;Settings!$B$5,"Pipeline","Overdue"),IF(S1401="Lost","Lost","UNMAPPED")))))</f>
        <v/>
      </c>
      <c r="U1401" s="40" t="n">
        <f aca="false">IF(T1401="Backlog",1,IF(OR(T1401="Pipeline",T1401="Overdue"),N(INDEX(Settings!$C$27:$C$36,MATCH(L1401,Settings!$A$27:$A$36,0))),0))</f>
        <v>0</v>
      </c>
      <c r="V1401" s="38" t="n">
        <f aca="false">Q1401*U1401</f>
        <v>0</v>
      </c>
      <c r="W1401" s="41" t="str">
        <f aca="false">IF($M1401="","",IF(T1401="Overdue",IF(Settings!$B$8="Yes",Settings!$B$7,""),IF(ISNUMBER(R1401),DATE(YEAR(R1401),MONTH(R1401),1),"")))</f>
        <v/>
      </c>
      <c r="X1401" s="38" t="n">
        <f aca="false">IF(AND(OR(T1401="Backlog",T1401="Pipeline",T1401="Overdue"),ISNUMBER(W1401)),IF(W1401&lt;=Settings!$B$6,V1401,0),0)</f>
        <v>0</v>
      </c>
      <c r="Y1401" s="38" t="n">
        <f aca="false">IF(AND(OR(T1401="Backlog",T1401="Pipeline",T1401="Overdue"),ISNUMBER(W1401)),IF(W1401&lt;=Settings!$B$6,Q1401,0),0)</f>
        <v>0</v>
      </c>
      <c r="Z1401" s="38" t="n">
        <f aca="false">IF(Y1401=0,0,IF(T1401="Backlog",Q1401,Q1401*Dashboard!$C$10))</f>
        <v>0</v>
      </c>
      <c r="AA1401" s="37" t="n">
        <f aca="false">IF($N1401="",0,IF(COUNTIF(Dashboard!$C$13:$C$22,$N1401)&gt;0,1,0))</f>
        <v>0</v>
      </c>
      <c r="AB1401" s="37" t="str">
        <f aca="false">IF($N1401="","",IF(COUNTIF($N$8:$N1401,$N1401)=1,MAX($AB$7:$AB1400)+1,""))</f>
        <v/>
      </c>
    </row>
    <row r="1402" customFormat="false" ht="15" hidden="false" customHeight="false" outlineLevel="0" collapsed="false">
      <c r="L1402" s="37" t="str">
        <f aca="false">IF(INDEX($A1402:$J1402,$L$6)&lt;&gt;"",TRIM(LEFT(INDEX($A1402:$J1402,$L$6),FIND("(",INDEX($A1402:$J1402,$L$6)&amp;"(")-1)),L1401)</f>
        <v>Building Value Proposition</v>
      </c>
      <c r="M1402" s="37" t="str">
        <f aca="false">IF(INDEX($A1402:$J1402,$M$6)="","",INDEX($A1402:$J1402,$M$6)&amp;"")</f>
        <v/>
      </c>
      <c r="N1402" s="37" t="str">
        <f aca="false">IF($M1402="","",TRIM(INDEX($A1402:$J1402,$N$6)&amp;""))</f>
        <v/>
      </c>
      <c r="O1402" s="37" t="str">
        <f aca="false">IF($M1402="","",TRIM(INDEX($A1402:$J1402,$O$6)&amp;""))</f>
        <v/>
      </c>
      <c r="P1402" s="37" t="str">
        <f aca="false">IF($M1402="","",IFERROR(IF(INDEX(Settings!$B$41:$B$50,MATCH(O1402,Settings!$A$41:$A$50,0))&amp;""="","UNMAPPED",INDEX(Settings!$B$41:$B$50,MATCH(O1402,Settings!$A$41:$A$50,0))&amp;""),"UNMAPPED"))</f>
        <v/>
      </c>
      <c r="Q1402" s="38" t="n">
        <f aca="false">IF($M1402="",0,N(INDEX($A1402:$J1402,$Q$6)))</f>
        <v>0</v>
      </c>
      <c r="R1402" s="39" t="str">
        <f aca="false">IF($M1402="","",INDEX($A1402:$J1402,$R$6))</f>
        <v/>
      </c>
      <c r="S1402" s="37" t="str">
        <f aca="false">IF($M1402="","",IFERROR(INDEX(Settings!$B$27:$B$36,MATCH(L1402,Settings!$A$27:$A$36,0))&amp;"","UNMAPPED"))</f>
        <v/>
      </c>
      <c r="T1402" s="37" t="str">
        <f aca="false">IF($M1402="","",IF(NOT(ISNUMBER(R1402)),"NO DATE",IF(S1402="Won",IF(R1402&gt;Settings!$B$5,"Backlog","Delivered"),IF(S1402="Open",IF(R1402&gt;Settings!$B$5,"Pipeline","Overdue"),IF(S1402="Lost","Lost","UNMAPPED")))))</f>
        <v/>
      </c>
      <c r="U1402" s="40" t="n">
        <f aca="false">IF(T1402="Backlog",1,IF(OR(T1402="Pipeline",T1402="Overdue"),N(INDEX(Settings!$C$27:$C$36,MATCH(L1402,Settings!$A$27:$A$36,0))),0))</f>
        <v>0</v>
      </c>
      <c r="V1402" s="38" t="n">
        <f aca="false">Q1402*U1402</f>
        <v>0</v>
      </c>
      <c r="W1402" s="41" t="str">
        <f aca="false">IF($M1402="","",IF(T1402="Overdue",IF(Settings!$B$8="Yes",Settings!$B$7,""),IF(ISNUMBER(R1402),DATE(YEAR(R1402),MONTH(R1402),1),"")))</f>
        <v/>
      </c>
      <c r="X1402" s="38" t="n">
        <f aca="false">IF(AND(OR(T1402="Backlog",T1402="Pipeline",T1402="Overdue"),ISNUMBER(W1402)),IF(W1402&lt;=Settings!$B$6,V1402,0),0)</f>
        <v>0</v>
      </c>
      <c r="Y1402" s="38" t="n">
        <f aca="false">IF(AND(OR(T1402="Backlog",T1402="Pipeline",T1402="Overdue"),ISNUMBER(W1402)),IF(W1402&lt;=Settings!$B$6,Q1402,0),0)</f>
        <v>0</v>
      </c>
      <c r="Z1402" s="38" t="n">
        <f aca="false">IF(Y1402=0,0,IF(T1402="Backlog",Q1402,Q1402*Dashboard!$C$10))</f>
        <v>0</v>
      </c>
      <c r="AA1402" s="37" t="n">
        <f aca="false">IF($N1402="",0,IF(COUNTIF(Dashboard!$C$13:$C$22,$N1402)&gt;0,1,0))</f>
        <v>0</v>
      </c>
      <c r="AB1402" s="37" t="str">
        <f aca="false">IF($N1402="","",IF(COUNTIF($N$8:$N1402,$N1402)=1,MAX($AB$7:$AB1401)+1,""))</f>
        <v/>
      </c>
    </row>
    <row r="1403" customFormat="false" ht="15" hidden="false" customHeight="false" outlineLevel="0" collapsed="false">
      <c r="L1403" s="37" t="str">
        <f aca="false">IF(INDEX($A1403:$J1403,$L$6)&lt;&gt;"",TRIM(LEFT(INDEX($A1403:$J1403,$L$6),FIND("(",INDEX($A1403:$J1403,$L$6)&amp;"(")-1)),L1402)</f>
        <v>Building Value Proposition</v>
      </c>
      <c r="M1403" s="37" t="str">
        <f aca="false">IF(INDEX($A1403:$J1403,$M$6)="","",INDEX($A1403:$J1403,$M$6)&amp;"")</f>
        <v/>
      </c>
      <c r="N1403" s="37" t="str">
        <f aca="false">IF($M1403="","",TRIM(INDEX($A1403:$J1403,$N$6)&amp;""))</f>
        <v/>
      </c>
      <c r="O1403" s="37" t="str">
        <f aca="false">IF($M1403="","",TRIM(INDEX($A1403:$J1403,$O$6)&amp;""))</f>
        <v/>
      </c>
      <c r="P1403" s="37" t="str">
        <f aca="false">IF($M1403="","",IFERROR(IF(INDEX(Settings!$B$41:$B$50,MATCH(O1403,Settings!$A$41:$A$50,0))&amp;""="","UNMAPPED",INDEX(Settings!$B$41:$B$50,MATCH(O1403,Settings!$A$41:$A$50,0))&amp;""),"UNMAPPED"))</f>
        <v/>
      </c>
      <c r="Q1403" s="38" t="n">
        <f aca="false">IF($M1403="",0,N(INDEX($A1403:$J1403,$Q$6)))</f>
        <v>0</v>
      </c>
      <c r="R1403" s="39" t="str">
        <f aca="false">IF($M1403="","",INDEX($A1403:$J1403,$R$6))</f>
        <v/>
      </c>
      <c r="S1403" s="37" t="str">
        <f aca="false">IF($M1403="","",IFERROR(INDEX(Settings!$B$27:$B$36,MATCH(L1403,Settings!$A$27:$A$36,0))&amp;"","UNMAPPED"))</f>
        <v/>
      </c>
      <c r="T1403" s="37" t="str">
        <f aca="false">IF($M1403="","",IF(NOT(ISNUMBER(R1403)),"NO DATE",IF(S1403="Won",IF(R1403&gt;Settings!$B$5,"Backlog","Delivered"),IF(S1403="Open",IF(R1403&gt;Settings!$B$5,"Pipeline","Overdue"),IF(S1403="Lost","Lost","UNMAPPED")))))</f>
        <v/>
      </c>
      <c r="U1403" s="40" t="n">
        <f aca="false">IF(T1403="Backlog",1,IF(OR(T1403="Pipeline",T1403="Overdue"),N(INDEX(Settings!$C$27:$C$36,MATCH(L1403,Settings!$A$27:$A$36,0))),0))</f>
        <v>0</v>
      </c>
      <c r="V1403" s="38" t="n">
        <f aca="false">Q1403*U1403</f>
        <v>0</v>
      </c>
      <c r="W1403" s="41" t="str">
        <f aca="false">IF($M1403="","",IF(T1403="Overdue",IF(Settings!$B$8="Yes",Settings!$B$7,""),IF(ISNUMBER(R1403),DATE(YEAR(R1403),MONTH(R1403),1),"")))</f>
        <v/>
      </c>
      <c r="X1403" s="38" t="n">
        <f aca="false">IF(AND(OR(T1403="Backlog",T1403="Pipeline",T1403="Overdue"),ISNUMBER(W1403)),IF(W1403&lt;=Settings!$B$6,V1403,0),0)</f>
        <v>0</v>
      </c>
      <c r="Y1403" s="38" t="n">
        <f aca="false">IF(AND(OR(T1403="Backlog",T1403="Pipeline",T1403="Overdue"),ISNUMBER(W1403)),IF(W1403&lt;=Settings!$B$6,Q1403,0),0)</f>
        <v>0</v>
      </c>
      <c r="Z1403" s="38" t="n">
        <f aca="false">IF(Y1403=0,0,IF(T1403="Backlog",Q1403,Q1403*Dashboard!$C$10))</f>
        <v>0</v>
      </c>
      <c r="AA1403" s="37" t="n">
        <f aca="false">IF($N1403="",0,IF(COUNTIF(Dashboard!$C$13:$C$22,$N1403)&gt;0,1,0))</f>
        <v>0</v>
      </c>
      <c r="AB1403" s="37" t="str">
        <f aca="false">IF($N1403="","",IF(COUNTIF($N$8:$N1403,$N1403)=1,MAX($AB$7:$AB1402)+1,""))</f>
        <v/>
      </c>
    </row>
    <row r="1404" customFormat="false" ht="15" hidden="false" customHeight="false" outlineLevel="0" collapsed="false">
      <c r="L1404" s="37" t="str">
        <f aca="false">IF(INDEX($A1404:$J1404,$L$6)&lt;&gt;"",TRIM(LEFT(INDEX($A1404:$J1404,$L$6),FIND("(",INDEX($A1404:$J1404,$L$6)&amp;"(")-1)),L1403)</f>
        <v>Building Value Proposition</v>
      </c>
      <c r="M1404" s="37" t="str">
        <f aca="false">IF(INDEX($A1404:$J1404,$M$6)="","",INDEX($A1404:$J1404,$M$6)&amp;"")</f>
        <v/>
      </c>
      <c r="N1404" s="37" t="str">
        <f aca="false">IF($M1404="","",TRIM(INDEX($A1404:$J1404,$N$6)&amp;""))</f>
        <v/>
      </c>
      <c r="O1404" s="37" t="str">
        <f aca="false">IF($M1404="","",TRIM(INDEX($A1404:$J1404,$O$6)&amp;""))</f>
        <v/>
      </c>
      <c r="P1404" s="37" t="str">
        <f aca="false">IF($M1404="","",IFERROR(IF(INDEX(Settings!$B$41:$B$50,MATCH(O1404,Settings!$A$41:$A$50,0))&amp;""="","UNMAPPED",INDEX(Settings!$B$41:$B$50,MATCH(O1404,Settings!$A$41:$A$50,0))&amp;""),"UNMAPPED"))</f>
        <v/>
      </c>
      <c r="Q1404" s="38" t="n">
        <f aca="false">IF($M1404="",0,N(INDEX($A1404:$J1404,$Q$6)))</f>
        <v>0</v>
      </c>
      <c r="R1404" s="39" t="str">
        <f aca="false">IF($M1404="","",INDEX($A1404:$J1404,$R$6))</f>
        <v/>
      </c>
      <c r="S1404" s="37" t="str">
        <f aca="false">IF($M1404="","",IFERROR(INDEX(Settings!$B$27:$B$36,MATCH(L1404,Settings!$A$27:$A$36,0))&amp;"","UNMAPPED"))</f>
        <v/>
      </c>
      <c r="T1404" s="37" t="str">
        <f aca="false">IF($M1404="","",IF(NOT(ISNUMBER(R1404)),"NO DATE",IF(S1404="Won",IF(R1404&gt;Settings!$B$5,"Backlog","Delivered"),IF(S1404="Open",IF(R1404&gt;Settings!$B$5,"Pipeline","Overdue"),IF(S1404="Lost","Lost","UNMAPPED")))))</f>
        <v/>
      </c>
      <c r="U1404" s="40" t="n">
        <f aca="false">IF(T1404="Backlog",1,IF(OR(T1404="Pipeline",T1404="Overdue"),N(INDEX(Settings!$C$27:$C$36,MATCH(L1404,Settings!$A$27:$A$36,0))),0))</f>
        <v>0</v>
      </c>
      <c r="V1404" s="38" t="n">
        <f aca="false">Q1404*U1404</f>
        <v>0</v>
      </c>
      <c r="W1404" s="41" t="str">
        <f aca="false">IF($M1404="","",IF(T1404="Overdue",IF(Settings!$B$8="Yes",Settings!$B$7,""),IF(ISNUMBER(R1404),DATE(YEAR(R1404),MONTH(R1404),1),"")))</f>
        <v/>
      </c>
      <c r="X1404" s="38" t="n">
        <f aca="false">IF(AND(OR(T1404="Backlog",T1404="Pipeline",T1404="Overdue"),ISNUMBER(W1404)),IF(W1404&lt;=Settings!$B$6,V1404,0),0)</f>
        <v>0</v>
      </c>
      <c r="Y1404" s="38" t="n">
        <f aca="false">IF(AND(OR(T1404="Backlog",T1404="Pipeline",T1404="Overdue"),ISNUMBER(W1404)),IF(W1404&lt;=Settings!$B$6,Q1404,0),0)</f>
        <v>0</v>
      </c>
      <c r="Z1404" s="38" t="n">
        <f aca="false">IF(Y1404=0,0,IF(T1404="Backlog",Q1404,Q1404*Dashboard!$C$10))</f>
        <v>0</v>
      </c>
      <c r="AA1404" s="37" t="n">
        <f aca="false">IF($N1404="",0,IF(COUNTIF(Dashboard!$C$13:$C$22,$N1404)&gt;0,1,0))</f>
        <v>0</v>
      </c>
      <c r="AB1404" s="37" t="str">
        <f aca="false">IF($N1404="","",IF(COUNTIF($N$8:$N1404,$N1404)=1,MAX($AB$7:$AB1403)+1,""))</f>
        <v/>
      </c>
    </row>
    <row r="1405" customFormat="false" ht="15" hidden="false" customHeight="false" outlineLevel="0" collapsed="false">
      <c r="L1405" s="37" t="str">
        <f aca="false">IF(INDEX($A1405:$J1405,$L$6)&lt;&gt;"",TRIM(LEFT(INDEX($A1405:$J1405,$L$6),FIND("(",INDEX($A1405:$J1405,$L$6)&amp;"(")-1)),L1404)</f>
        <v>Building Value Proposition</v>
      </c>
      <c r="M1405" s="37" t="str">
        <f aca="false">IF(INDEX($A1405:$J1405,$M$6)="","",INDEX($A1405:$J1405,$M$6)&amp;"")</f>
        <v/>
      </c>
      <c r="N1405" s="37" t="str">
        <f aca="false">IF($M1405="","",TRIM(INDEX($A1405:$J1405,$N$6)&amp;""))</f>
        <v/>
      </c>
      <c r="O1405" s="37" t="str">
        <f aca="false">IF($M1405="","",TRIM(INDEX($A1405:$J1405,$O$6)&amp;""))</f>
        <v/>
      </c>
      <c r="P1405" s="37" t="str">
        <f aca="false">IF($M1405="","",IFERROR(IF(INDEX(Settings!$B$41:$B$50,MATCH(O1405,Settings!$A$41:$A$50,0))&amp;""="","UNMAPPED",INDEX(Settings!$B$41:$B$50,MATCH(O1405,Settings!$A$41:$A$50,0))&amp;""),"UNMAPPED"))</f>
        <v/>
      </c>
      <c r="Q1405" s="38" t="n">
        <f aca="false">IF($M1405="",0,N(INDEX($A1405:$J1405,$Q$6)))</f>
        <v>0</v>
      </c>
      <c r="R1405" s="39" t="str">
        <f aca="false">IF($M1405="","",INDEX($A1405:$J1405,$R$6))</f>
        <v/>
      </c>
      <c r="S1405" s="37" t="str">
        <f aca="false">IF($M1405="","",IFERROR(INDEX(Settings!$B$27:$B$36,MATCH(L1405,Settings!$A$27:$A$36,0))&amp;"","UNMAPPED"))</f>
        <v/>
      </c>
      <c r="T1405" s="37" t="str">
        <f aca="false">IF($M1405="","",IF(NOT(ISNUMBER(R1405)),"NO DATE",IF(S1405="Won",IF(R1405&gt;Settings!$B$5,"Backlog","Delivered"),IF(S1405="Open",IF(R1405&gt;Settings!$B$5,"Pipeline","Overdue"),IF(S1405="Lost","Lost","UNMAPPED")))))</f>
        <v/>
      </c>
      <c r="U1405" s="40" t="n">
        <f aca="false">IF(T1405="Backlog",1,IF(OR(T1405="Pipeline",T1405="Overdue"),N(INDEX(Settings!$C$27:$C$36,MATCH(L1405,Settings!$A$27:$A$36,0))),0))</f>
        <v>0</v>
      </c>
      <c r="V1405" s="38" t="n">
        <f aca="false">Q1405*U1405</f>
        <v>0</v>
      </c>
      <c r="W1405" s="41" t="str">
        <f aca="false">IF($M1405="","",IF(T1405="Overdue",IF(Settings!$B$8="Yes",Settings!$B$7,""),IF(ISNUMBER(R1405),DATE(YEAR(R1405),MONTH(R1405),1),"")))</f>
        <v/>
      </c>
      <c r="X1405" s="38" t="n">
        <f aca="false">IF(AND(OR(T1405="Backlog",T1405="Pipeline",T1405="Overdue"),ISNUMBER(W1405)),IF(W1405&lt;=Settings!$B$6,V1405,0),0)</f>
        <v>0</v>
      </c>
      <c r="Y1405" s="38" t="n">
        <f aca="false">IF(AND(OR(T1405="Backlog",T1405="Pipeline",T1405="Overdue"),ISNUMBER(W1405)),IF(W1405&lt;=Settings!$B$6,Q1405,0),0)</f>
        <v>0</v>
      </c>
      <c r="Z1405" s="38" t="n">
        <f aca="false">IF(Y1405=0,0,IF(T1405="Backlog",Q1405,Q1405*Dashboard!$C$10))</f>
        <v>0</v>
      </c>
      <c r="AA1405" s="37" t="n">
        <f aca="false">IF($N1405="",0,IF(COUNTIF(Dashboard!$C$13:$C$22,$N1405)&gt;0,1,0))</f>
        <v>0</v>
      </c>
      <c r="AB1405" s="37" t="str">
        <f aca="false">IF($N1405="","",IF(COUNTIF($N$8:$N1405,$N1405)=1,MAX($AB$7:$AB1404)+1,""))</f>
        <v/>
      </c>
    </row>
    <row r="1406" customFormat="false" ht="15" hidden="false" customHeight="false" outlineLevel="0" collapsed="false">
      <c r="L1406" s="37" t="str">
        <f aca="false">IF(INDEX($A1406:$J1406,$L$6)&lt;&gt;"",TRIM(LEFT(INDEX($A1406:$J1406,$L$6),FIND("(",INDEX($A1406:$J1406,$L$6)&amp;"(")-1)),L1405)</f>
        <v>Building Value Proposition</v>
      </c>
      <c r="M1406" s="37" t="str">
        <f aca="false">IF(INDEX($A1406:$J1406,$M$6)="","",INDEX($A1406:$J1406,$M$6)&amp;"")</f>
        <v/>
      </c>
      <c r="N1406" s="37" t="str">
        <f aca="false">IF($M1406="","",TRIM(INDEX($A1406:$J1406,$N$6)&amp;""))</f>
        <v/>
      </c>
      <c r="O1406" s="37" t="str">
        <f aca="false">IF($M1406="","",TRIM(INDEX($A1406:$J1406,$O$6)&amp;""))</f>
        <v/>
      </c>
      <c r="P1406" s="37" t="str">
        <f aca="false">IF($M1406="","",IFERROR(IF(INDEX(Settings!$B$41:$B$50,MATCH(O1406,Settings!$A$41:$A$50,0))&amp;""="","UNMAPPED",INDEX(Settings!$B$41:$B$50,MATCH(O1406,Settings!$A$41:$A$50,0))&amp;""),"UNMAPPED"))</f>
        <v/>
      </c>
      <c r="Q1406" s="38" t="n">
        <f aca="false">IF($M1406="",0,N(INDEX($A1406:$J1406,$Q$6)))</f>
        <v>0</v>
      </c>
      <c r="R1406" s="39" t="str">
        <f aca="false">IF($M1406="","",INDEX($A1406:$J1406,$R$6))</f>
        <v/>
      </c>
      <c r="S1406" s="37" t="str">
        <f aca="false">IF($M1406="","",IFERROR(INDEX(Settings!$B$27:$B$36,MATCH(L1406,Settings!$A$27:$A$36,0))&amp;"","UNMAPPED"))</f>
        <v/>
      </c>
      <c r="T1406" s="37" t="str">
        <f aca="false">IF($M1406="","",IF(NOT(ISNUMBER(R1406)),"NO DATE",IF(S1406="Won",IF(R1406&gt;Settings!$B$5,"Backlog","Delivered"),IF(S1406="Open",IF(R1406&gt;Settings!$B$5,"Pipeline","Overdue"),IF(S1406="Lost","Lost","UNMAPPED")))))</f>
        <v/>
      </c>
      <c r="U1406" s="40" t="n">
        <f aca="false">IF(T1406="Backlog",1,IF(OR(T1406="Pipeline",T1406="Overdue"),N(INDEX(Settings!$C$27:$C$36,MATCH(L1406,Settings!$A$27:$A$36,0))),0))</f>
        <v>0</v>
      </c>
      <c r="V1406" s="38" t="n">
        <f aca="false">Q1406*U1406</f>
        <v>0</v>
      </c>
      <c r="W1406" s="41" t="str">
        <f aca="false">IF($M1406="","",IF(T1406="Overdue",IF(Settings!$B$8="Yes",Settings!$B$7,""),IF(ISNUMBER(R1406),DATE(YEAR(R1406),MONTH(R1406),1),"")))</f>
        <v/>
      </c>
      <c r="X1406" s="38" t="n">
        <f aca="false">IF(AND(OR(T1406="Backlog",T1406="Pipeline",T1406="Overdue"),ISNUMBER(W1406)),IF(W1406&lt;=Settings!$B$6,V1406,0),0)</f>
        <v>0</v>
      </c>
      <c r="Y1406" s="38" t="n">
        <f aca="false">IF(AND(OR(T1406="Backlog",T1406="Pipeline",T1406="Overdue"),ISNUMBER(W1406)),IF(W1406&lt;=Settings!$B$6,Q1406,0),0)</f>
        <v>0</v>
      </c>
      <c r="Z1406" s="38" t="n">
        <f aca="false">IF(Y1406=0,0,IF(T1406="Backlog",Q1406,Q1406*Dashboard!$C$10))</f>
        <v>0</v>
      </c>
      <c r="AA1406" s="37" t="n">
        <f aca="false">IF($N1406="",0,IF(COUNTIF(Dashboard!$C$13:$C$22,$N1406)&gt;0,1,0))</f>
        <v>0</v>
      </c>
      <c r="AB1406" s="37" t="str">
        <f aca="false">IF($N1406="","",IF(COUNTIF($N$8:$N1406,$N1406)=1,MAX($AB$7:$AB1405)+1,""))</f>
        <v/>
      </c>
    </row>
    <row r="1407" customFormat="false" ht="15" hidden="false" customHeight="false" outlineLevel="0" collapsed="false">
      <c r="L1407" s="37" t="str">
        <f aca="false">IF(INDEX($A1407:$J1407,$L$6)&lt;&gt;"",TRIM(LEFT(INDEX($A1407:$J1407,$L$6),FIND("(",INDEX($A1407:$J1407,$L$6)&amp;"(")-1)),L1406)</f>
        <v>Building Value Proposition</v>
      </c>
      <c r="M1407" s="37" t="str">
        <f aca="false">IF(INDEX($A1407:$J1407,$M$6)="","",INDEX($A1407:$J1407,$M$6)&amp;"")</f>
        <v/>
      </c>
      <c r="N1407" s="37" t="str">
        <f aca="false">IF($M1407="","",TRIM(INDEX($A1407:$J1407,$N$6)&amp;""))</f>
        <v/>
      </c>
      <c r="O1407" s="37" t="str">
        <f aca="false">IF($M1407="","",TRIM(INDEX($A1407:$J1407,$O$6)&amp;""))</f>
        <v/>
      </c>
      <c r="P1407" s="37" t="str">
        <f aca="false">IF($M1407="","",IFERROR(IF(INDEX(Settings!$B$41:$B$50,MATCH(O1407,Settings!$A$41:$A$50,0))&amp;""="","UNMAPPED",INDEX(Settings!$B$41:$B$50,MATCH(O1407,Settings!$A$41:$A$50,0))&amp;""),"UNMAPPED"))</f>
        <v/>
      </c>
      <c r="Q1407" s="38" t="n">
        <f aca="false">IF($M1407="",0,N(INDEX($A1407:$J1407,$Q$6)))</f>
        <v>0</v>
      </c>
      <c r="R1407" s="39" t="str">
        <f aca="false">IF($M1407="","",INDEX($A1407:$J1407,$R$6))</f>
        <v/>
      </c>
      <c r="S1407" s="37" t="str">
        <f aca="false">IF($M1407="","",IFERROR(INDEX(Settings!$B$27:$B$36,MATCH(L1407,Settings!$A$27:$A$36,0))&amp;"","UNMAPPED"))</f>
        <v/>
      </c>
      <c r="T1407" s="37" t="str">
        <f aca="false">IF($M1407="","",IF(NOT(ISNUMBER(R1407)),"NO DATE",IF(S1407="Won",IF(R1407&gt;Settings!$B$5,"Backlog","Delivered"),IF(S1407="Open",IF(R1407&gt;Settings!$B$5,"Pipeline","Overdue"),IF(S1407="Lost","Lost","UNMAPPED")))))</f>
        <v/>
      </c>
      <c r="U1407" s="40" t="n">
        <f aca="false">IF(T1407="Backlog",1,IF(OR(T1407="Pipeline",T1407="Overdue"),N(INDEX(Settings!$C$27:$C$36,MATCH(L1407,Settings!$A$27:$A$36,0))),0))</f>
        <v>0</v>
      </c>
      <c r="V1407" s="38" t="n">
        <f aca="false">Q1407*U1407</f>
        <v>0</v>
      </c>
      <c r="W1407" s="41" t="str">
        <f aca="false">IF($M1407="","",IF(T1407="Overdue",IF(Settings!$B$8="Yes",Settings!$B$7,""),IF(ISNUMBER(R1407),DATE(YEAR(R1407),MONTH(R1407),1),"")))</f>
        <v/>
      </c>
      <c r="X1407" s="38" t="n">
        <f aca="false">IF(AND(OR(T1407="Backlog",T1407="Pipeline",T1407="Overdue"),ISNUMBER(W1407)),IF(W1407&lt;=Settings!$B$6,V1407,0),0)</f>
        <v>0</v>
      </c>
      <c r="Y1407" s="38" t="n">
        <f aca="false">IF(AND(OR(T1407="Backlog",T1407="Pipeline",T1407="Overdue"),ISNUMBER(W1407)),IF(W1407&lt;=Settings!$B$6,Q1407,0),0)</f>
        <v>0</v>
      </c>
      <c r="Z1407" s="38" t="n">
        <f aca="false">IF(Y1407=0,0,IF(T1407="Backlog",Q1407,Q1407*Dashboard!$C$10))</f>
        <v>0</v>
      </c>
      <c r="AA1407" s="37" t="n">
        <f aca="false">IF($N1407="",0,IF(COUNTIF(Dashboard!$C$13:$C$22,$N1407)&gt;0,1,0))</f>
        <v>0</v>
      </c>
      <c r="AB1407" s="37" t="str">
        <f aca="false">IF($N1407="","",IF(COUNTIF($N$8:$N1407,$N1407)=1,MAX($AB$7:$AB1406)+1,""))</f>
        <v/>
      </c>
    </row>
    <row r="1408" customFormat="false" ht="15" hidden="false" customHeight="false" outlineLevel="0" collapsed="false">
      <c r="L1408" s="37" t="str">
        <f aca="false">IF(INDEX($A1408:$J1408,$L$6)&lt;&gt;"",TRIM(LEFT(INDEX($A1408:$J1408,$L$6),FIND("(",INDEX($A1408:$J1408,$L$6)&amp;"(")-1)),L1407)</f>
        <v>Building Value Proposition</v>
      </c>
      <c r="M1408" s="37" t="str">
        <f aca="false">IF(INDEX($A1408:$J1408,$M$6)="","",INDEX($A1408:$J1408,$M$6)&amp;"")</f>
        <v/>
      </c>
      <c r="N1408" s="37" t="str">
        <f aca="false">IF($M1408="","",TRIM(INDEX($A1408:$J1408,$N$6)&amp;""))</f>
        <v/>
      </c>
      <c r="O1408" s="37" t="str">
        <f aca="false">IF($M1408="","",TRIM(INDEX($A1408:$J1408,$O$6)&amp;""))</f>
        <v/>
      </c>
      <c r="P1408" s="37" t="str">
        <f aca="false">IF($M1408="","",IFERROR(IF(INDEX(Settings!$B$41:$B$50,MATCH(O1408,Settings!$A$41:$A$50,0))&amp;""="","UNMAPPED",INDEX(Settings!$B$41:$B$50,MATCH(O1408,Settings!$A$41:$A$50,0))&amp;""),"UNMAPPED"))</f>
        <v/>
      </c>
      <c r="Q1408" s="38" t="n">
        <f aca="false">IF($M1408="",0,N(INDEX($A1408:$J1408,$Q$6)))</f>
        <v>0</v>
      </c>
      <c r="R1408" s="39" t="str">
        <f aca="false">IF($M1408="","",INDEX($A1408:$J1408,$R$6))</f>
        <v/>
      </c>
      <c r="S1408" s="37" t="str">
        <f aca="false">IF($M1408="","",IFERROR(INDEX(Settings!$B$27:$B$36,MATCH(L1408,Settings!$A$27:$A$36,0))&amp;"","UNMAPPED"))</f>
        <v/>
      </c>
      <c r="T1408" s="37" t="str">
        <f aca="false">IF($M1408="","",IF(NOT(ISNUMBER(R1408)),"NO DATE",IF(S1408="Won",IF(R1408&gt;Settings!$B$5,"Backlog","Delivered"),IF(S1408="Open",IF(R1408&gt;Settings!$B$5,"Pipeline","Overdue"),IF(S1408="Lost","Lost","UNMAPPED")))))</f>
        <v/>
      </c>
      <c r="U1408" s="40" t="n">
        <f aca="false">IF(T1408="Backlog",1,IF(OR(T1408="Pipeline",T1408="Overdue"),N(INDEX(Settings!$C$27:$C$36,MATCH(L1408,Settings!$A$27:$A$36,0))),0))</f>
        <v>0</v>
      </c>
      <c r="V1408" s="38" t="n">
        <f aca="false">Q1408*U1408</f>
        <v>0</v>
      </c>
      <c r="W1408" s="41" t="str">
        <f aca="false">IF($M1408="","",IF(T1408="Overdue",IF(Settings!$B$8="Yes",Settings!$B$7,""),IF(ISNUMBER(R1408),DATE(YEAR(R1408),MONTH(R1408),1),"")))</f>
        <v/>
      </c>
      <c r="X1408" s="38" t="n">
        <f aca="false">IF(AND(OR(T1408="Backlog",T1408="Pipeline",T1408="Overdue"),ISNUMBER(W1408)),IF(W1408&lt;=Settings!$B$6,V1408,0),0)</f>
        <v>0</v>
      </c>
      <c r="Y1408" s="38" t="n">
        <f aca="false">IF(AND(OR(T1408="Backlog",T1408="Pipeline",T1408="Overdue"),ISNUMBER(W1408)),IF(W1408&lt;=Settings!$B$6,Q1408,0),0)</f>
        <v>0</v>
      </c>
      <c r="Z1408" s="38" t="n">
        <f aca="false">IF(Y1408=0,0,IF(T1408="Backlog",Q1408,Q1408*Dashboard!$C$10))</f>
        <v>0</v>
      </c>
      <c r="AA1408" s="37" t="n">
        <f aca="false">IF($N1408="",0,IF(COUNTIF(Dashboard!$C$13:$C$22,$N1408)&gt;0,1,0))</f>
        <v>0</v>
      </c>
      <c r="AB1408" s="37" t="str">
        <f aca="false">IF($N1408="","",IF(COUNTIF($N$8:$N1408,$N1408)=1,MAX($AB$7:$AB1407)+1,""))</f>
        <v/>
      </c>
    </row>
    <row r="1409" customFormat="false" ht="15" hidden="false" customHeight="false" outlineLevel="0" collapsed="false">
      <c r="L1409" s="37" t="str">
        <f aca="false">IF(INDEX($A1409:$J1409,$L$6)&lt;&gt;"",TRIM(LEFT(INDEX($A1409:$J1409,$L$6),FIND("(",INDEX($A1409:$J1409,$L$6)&amp;"(")-1)),L1408)</f>
        <v>Building Value Proposition</v>
      </c>
      <c r="M1409" s="37" t="str">
        <f aca="false">IF(INDEX($A1409:$J1409,$M$6)="","",INDEX($A1409:$J1409,$M$6)&amp;"")</f>
        <v/>
      </c>
      <c r="N1409" s="37" t="str">
        <f aca="false">IF($M1409="","",TRIM(INDEX($A1409:$J1409,$N$6)&amp;""))</f>
        <v/>
      </c>
      <c r="O1409" s="37" t="str">
        <f aca="false">IF($M1409="","",TRIM(INDEX($A1409:$J1409,$O$6)&amp;""))</f>
        <v/>
      </c>
      <c r="P1409" s="37" t="str">
        <f aca="false">IF($M1409="","",IFERROR(IF(INDEX(Settings!$B$41:$B$50,MATCH(O1409,Settings!$A$41:$A$50,0))&amp;""="","UNMAPPED",INDEX(Settings!$B$41:$B$50,MATCH(O1409,Settings!$A$41:$A$50,0))&amp;""),"UNMAPPED"))</f>
        <v/>
      </c>
      <c r="Q1409" s="38" t="n">
        <f aca="false">IF($M1409="",0,N(INDEX($A1409:$J1409,$Q$6)))</f>
        <v>0</v>
      </c>
      <c r="R1409" s="39" t="str">
        <f aca="false">IF($M1409="","",INDEX($A1409:$J1409,$R$6))</f>
        <v/>
      </c>
      <c r="S1409" s="37" t="str">
        <f aca="false">IF($M1409="","",IFERROR(INDEX(Settings!$B$27:$B$36,MATCH(L1409,Settings!$A$27:$A$36,0))&amp;"","UNMAPPED"))</f>
        <v/>
      </c>
      <c r="T1409" s="37" t="str">
        <f aca="false">IF($M1409="","",IF(NOT(ISNUMBER(R1409)),"NO DATE",IF(S1409="Won",IF(R1409&gt;Settings!$B$5,"Backlog","Delivered"),IF(S1409="Open",IF(R1409&gt;Settings!$B$5,"Pipeline","Overdue"),IF(S1409="Lost","Lost","UNMAPPED")))))</f>
        <v/>
      </c>
      <c r="U1409" s="40" t="n">
        <f aca="false">IF(T1409="Backlog",1,IF(OR(T1409="Pipeline",T1409="Overdue"),N(INDEX(Settings!$C$27:$C$36,MATCH(L1409,Settings!$A$27:$A$36,0))),0))</f>
        <v>0</v>
      </c>
      <c r="V1409" s="38" t="n">
        <f aca="false">Q1409*U1409</f>
        <v>0</v>
      </c>
      <c r="W1409" s="41" t="str">
        <f aca="false">IF($M1409="","",IF(T1409="Overdue",IF(Settings!$B$8="Yes",Settings!$B$7,""),IF(ISNUMBER(R1409),DATE(YEAR(R1409),MONTH(R1409),1),"")))</f>
        <v/>
      </c>
      <c r="X1409" s="38" t="n">
        <f aca="false">IF(AND(OR(T1409="Backlog",T1409="Pipeline",T1409="Overdue"),ISNUMBER(W1409)),IF(W1409&lt;=Settings!$B$6,V1409,0),0)</f>
        <v>0</v>
      </c>
      <c r="Y1409" s="38" t="n">
        <f aca="false">IF(AND(OR(T1409="Backlog",T1409="Pipeline",T1409="Overdue"),ISNUMBER(W1409)),IF(W1409&lt;=Settings!$B$6,Q1409,0),0)</f>
        <v>0</v>
      </c>
      <c r="Z1409" s="38" t="n">
        <f aca="false">IF(Y1409=0,0,IF(T1409="Backlog",Q1409,Q1409*Dashboard!$C$10))</f>
        <v>0</v>
      </c>
      <c r="AA1409" s="37" t="n">
        <f aca="false">IF($N1409="",0,IF(COUNTIF(Dashboard!$C$13:$C$22,$N1409)&gt;0,1,0))</f>
        <v>0</v>
      </c>
      <c r="AB1409" s="37" t="str">
        <f aca="false">IF($N1409="","",IF(COUNTIF($N$8:$N1409,$N1409)=1,MAX($AB$7:$AB1408)+1,""))</f>
        <v/>
      </c>
    </row>
    <row r="1410" customFormat="false" ht="15" hidden="false" customHeight="false" outlineLevel="0" collapsed="false">
      <c r="L1410" s="37" t="str">
        <f aca="false">IF(INDEX($A1410:$J1410,$L$6)&lt;&gt;"",TRIM(LEFT(INDEX($A1410:$J1410,$L$6),FIND("(",INDEX($A1410:$J1410,$L$6)&amp;"(")-1)),L1409)</f>
        <v>Building Value Proposition</v>
      </c>
      <c r="M1410" s="37" t="str">
        <f aca="false">IF(INDEX($A1410:$J1410,$M$6)="","",INDEX($A1410:$J1410,$M$6)&amp;"")</f>
        <v/>
      </c>
      <c r="N1410" s="37" t="str">
        <f aca="false">IF($M1410="","",TRIM(INDEX($A1410:$J1410,$N$6)&amp;""))</f>
        <v/>
      </c>
      <c r="O1410" s="37" t="str">
        <f aca="false">IF($M1410="","",TRIM(INDEX($A1410:$J1410,$O$6)&amp;""))</f>
        <v/>
      </c>
      <c r="P1410" s="37" t="str">
        <f aca="false">IF($M1410="","",IFERROR(IF(INDEX(Settings!$B$41:$B$50,MATCH(O1410,Settings!$A$41:$A$50,0))&amp;""="","UNMAPPED",INDEX(Settings!$B$41:$B$50,MATCH(O1410,Settings!$A$41:$A$50,0))&amp;""),"UNMAPPED"))</f>
        <v/>
      </c>
      <c r="Q1410" s="38" t="n">
        <f aca="false">IF($M1410="",0,N(INDEX($A1410:$J1410,$Q$6)))</f>
        <v>0</v>
      </c>
      <c r="R1410" s="39" t="str">
        <f aca="false">IF($M1410="","",INDEX($A1410:$J1410,$R$6))</f>
        <v/>
      </c>
      <c r="S1410" s="37" t="str">
        <f aca="false">IF($M1410="","",IFERROR(INDEX(Settings!$B$27:$B$36,MATCH(L1410,Settings!$A$27:$A$36,0))&amp;"","UNMAPPED"))</f>
        <v/>
      </c>
      <c r="T1410" s="37" t="str">
        <f aca="false">IF($M1410="","",IF(NOT(ISNUMBER(R1410)),"NO DATE",IF(S1410="Won",IF(R1410&gt;Settings!$B$5,"Backlog","Delivered"),IF(S1410="Open",IF(R1410&gt;Settings!$B$5,"Pipeline","Overdue"),IF(S1410="Lost","Lost","UNMAPPED")))))</f>
        <v/>
      </c>
      <c r="U1410" s="40" t="n">
        <f aca="false">IF(T1410="Backlog",1,IF(OR(T1410="Pipeline",T1410="Overdue"),N(INDEX(Settings!$C$27:$C$36,MATCH(L1410,Settings!$A$27:$A$36,0))),0))</f>
        <v>0</v>
      </c>
      <c r="V1410" s="38" t="n">
        <f aca="false">Q1410*U1410</f>
        <v>0</v>
      </c>
      <c r="W1410" s="41" t="str">
        <f aca="false">IF($M1410="","",IF(T1410="Overdue",IF(Settings!$B$8="Yes",Settings!$B$7,""),IF(ISNUMBER(R1410),DATE(YEAR(R1410),MONTH(R1410),1),"")))</f>
        <v/>
      </c>
      <c r="X1410" s="38" t="n">
        <f aca="false">IF(AND(OR(T1410="Backlog",T1410="Pipeline",T1410="Overdue"),ISNUMBER(W1410)),IF(W1410&lt;=Settings!$B$6,V1410,0),0)</f>
        <v>0</v>
      </c>
      <c r="Y1410" s="38" t="n">
        <f aca="false">IF(AND(OR(T1410="Backlog",T1410="Pipeline",T1410="Overdue"),ISNUMBER(W1410)),IF(W1410&lt;=Settings!$B$6,Q1410,0),0)</f>
        <v>0</v>
      </c>
      <c r="Z1410" s="38" t="n">
        <f aca="false">IF(Y1410=0,0,IF(T1410="Backlog",Q1410,Q1410*Dashboard!$C$10))</f>
        <v>0</v>
      </c>
      <c r="AA1410" s="37" t="n">
        <f aca="false">IF($N1410="",0,IF(COUNTIF(Dashboard!$C$13:$C$22,$N1410)&gt;0,1,0))</f>
        <v>0</v>
      </c>
      <c r="AB1410" s="37" t="str">
        <f aca="false">IF($N1410="","",IF(COUNTIF($N$8:$N1410,$N1410)=1,MAX($AB$7:$AB1409)+1,""))</f>
        <v/>
      </c>
    </row>
    <row r="1411" customFormat="false" ht="15" hidden="false" customHeight="false" outlineLevel="0" collapsed="false">
      <c r="L1411" s="37" t="str">
        <f aca="false">IF(INDEX($A1411:$J1411,$L$6)&lt;&gt;"",TRIM(LEFT(INDEX($A1411:$J1411,$L$6),FIND("(",INDEX($A1411:$J1411,$L$6)&amp;"(")-1)),L1410)</f>
        <v>Building Value Proposition</v>
      </c>
      <c r="M1411" s="37" t="str">
        <f aca="false">IF(INDEX($A1411:$J1411,$M$6)="","",INDEX($A1411:$J1411,$M$6)&amp;"")</f>
        <v/>
      </c>
      <c r="N1411" s="37" t="str">
        <f aca="false">IF($M1411="","",TRIM(INDEX($A1411:$J1411,$N$6)&amp;""))</f>
        <v/>
      </c>
      <c r="O1411" s="37" t="str">
        <f aca="false">IF($M1411="","",TRIM(INDEX($A1411:$J1411,$O$6)&amp;""))</f>
        <v/>
      </c>
      <c r="P1411" s="37" t="str">
        <f aca="false">IF($M1411="","",IFERROR(IF(INDEX(Settings!$B$41:$B$50,MATCH(O1411,Settings!$A$41:$A$50,0))&amp;""="","UNMAPPED",INDEX(Settings!$B$41:$B$50,MATCH(O1411,Settings!$A$41:$A$50,0))&amp;""),"UNMAPPED"))</f>
        <v/>
      </c>
      <c r="Q1411" s="38" t="n">
        <f aca="false">IF($M1411="",0,N(INDEX($A1411:$J1411,$Q$6)))</f>
        <v>0</v>
      </c>
      <c r="R1411" s="39" t="str">
        <f aca="false">IF($M1411="","",INDEX($A1411:$J1411,$R$6))</f>
        <v/>
      </c>
      <c r="S1411" s="37" t="str">
        <f aca="false">IF($M1411="","",IFERROR(INDEX(Settings!$B$27:$B$36,MATCH(L1411,Settings!$A$27:$A$36,0))&amp;"","UNMAPPED"))</f>
        <v/>
      </c>
      <c r="T1411" s="37" t="str">
        <f aca="false">IF($M1411="","",IF(NOT(ISNUMBER(R1411)),"NO DATE",IF(S1411="Won",IF(R1411&gt;Settings!$B$5,"Backlog","Delivered"),IF(S1411="Open",IF(R1411&gt;Settings!$B$5,"Pipeline","Overdue"),IF(S1411="Lost","Lost","UNMAPPED")))))</f>
        <v/>
      </c>
      <c r="U1411" s="40" t="n">
        <f aca="false">IF(T1411="Backlog",1,IF(OR(T1411="Pipeline",T1411="Overdue"),N(INDEX(Settings!$C$27:$C$36,MATCH(L1411,Settings!$A$27:$A$36,0))),0))</f>
        <v>0</v>
      </c>
      <c r="V1411" s="38" t="n">
        <f aca="false">Q1411*U1411</f>
        <v>0</v>
      </c>
      <c r="W1411" s="41" t="str">
        <f aca="false">IF($M1411="","",IF(T1411="Overdue",IF(Settings!$B$8="Yes",Settings!$B$7,""),IF(ISNUMBER(R1411),DATE(YEAR(R1411),MONTH(R1411),1),"")))</f>
        <v/>
      </c>
      <c r="X1411" s="38" t="n">
        <f aca="false">IF(AND(OR(T1411="Backlog",T1411="Pipeline",T1411="Overdue"),ISNUMBER(W1411)),IF(W1411&lt;=Settings!$B$6,V1411,0),0)</f>
        <v>0</v>
      </c>
      <c r="Y1411" s="38" t="n">
        <f aca="false">IF(AND(OR(T1411="Backlog",T1411="Pipeline",T1411="Overdue"),ISNUMBER(W1411)),IF(W1411&lt;=Settings!$B$6,Q1411,0),0)</f>
        <v>0</v>
      </c>
      <c r="Z1411" s="38" t="n">
        <f aca="false">IF(Y1411=0,0,IF(T1411="Backlog",Q1411,Q1411*Dashboard!$C$10))</f>
        <v>0</v>
      </c>
      <c r="AA1411" s="37" t="n">
        <f aca="false">IF($N1411="",0,IF(COUNTIF(Dashboard!$C$13:$C$22,$N1411)&gt;0,1,0))</f>
        <v>0</v>
      </c>
      <c r="AB1411" s="37" t="str">
        <f aca="false">IF($N1411="","",IF(COUNTIF($N$8:$N1411,$N1411)=1,MAX($AB$7:$AB1410)+1,""))</f>
        <v/>
      </c>
    </row>
    <row r="1412" customFormat="false" ht="15" hidden="false" customHeight="false" outlineLevel="0" collapsed="false">
      <c r="L1412" s="37" t="str">
        <f aca="false">IF(INDEX($A1412:$J1412,$L$6)&lt;&gt;"",TRIM(LEFT(INDEX($A1412:$J1412,$L$6),FIND("(",INDEX($A1412:$J1412,$L$6)&amp;"(")-1)),L1411)</f>
        <v>Building Value Proposition</v>
      </c>
      <c r="M1412" s="37" t="str">
        <f aca="false">IF(INDEX($A1412:$J1412,$M$6)="","",INDEX($A1412:$J1412,$M$6)&amp;"")</f>
        <v/>
      </c>
      <c r="N1412" s="37" t="str">
        <f aca="false">IF($M1412="","",TRIM(INDEX($A1412:$J1412,$N$6)&amp;""))</f>
        <v/>
      </c>
      <c r="O1412" s="37" t="str">
        <f aca="false">IF($M1412="","",TRIM(INDEX($A1412:$J1412,$O$6)&amp;""))</f>
        <v/>
      </c>
      <c r="P1412" s="37" t="str">
        <f aca="false">IF($M1412="","",IFERROR(IF(INDEX(Settings!$B$41:$B$50,MATCH(O1412,Settings!$A$41:$A$50,0))&amp;""="","UNMAPPED",INDEX(Settings!$B$41:$B$50,MATCH(O1412,Settings!$A$41:$A$50,0))&amp;""),"UNMAPPED"))</f>
        <v/>
      </c>
      <c r="Q1412" s="38" t="n">
        <f aca="false">IF($M1412="",0,N(INDEX($A1412:$J1412,$Q$6)))</f>
        <v>0</v>
      </c>
      <c r="R1412" s="39" t="str">
        <f aca="false">IF($M1412="","",INDEX($A1412:$J1412,$R$6))</f>
        <v/>
      </c>
      <c r="S1412" s="37" t="str">
        <f aca="false">IF($M1412="","",IFERROR(INDEX(Settings!$B$27:$B$36,MATCH(L1412,Settings!$A$27:$A$36,0))&amp;"","UNMAPPED"))</f>
        <v/>
      </c>
      <c r="T1412" s="37" t="str">
        <f aca="false">IF($M1412="","",IF(NOT(ISNUMBER(R1412)),"NO DATE",IF(S1412="Won",IF(R1412&gt;Settings!$B$5,"Backlog","Delivered"),IF(S1412="Open",IF(R1412&gt;Settings!$B$5,"Pipeline","Overdue"),IF(S1412="Lost","Lost","UNMAPPED")))))</f>
        <v/>
      </c>
      <c r="U1412" s="40" t="n">
        <f aca="false">IF(T1412="Backlog",1,IF(OR(T1412="Pipeline",T1412="Overdue"),N(INDEX(Settings!$C$27:$C$36,MATCH(L1412,Settings!$A$27:$A$36,0))),0))</f>
        <v>0</v>
      </c>
      <c r="V1412" s="38" t="n">
        <f aca="false">Q1412*U1412</f>
        <v>0</v>
      </c>
      <c r="W1412" s="41" t="str">
        <f aca="false">IF($M1412="","",IF(T1412="Overdue",IF(Settings!$B$8="Yes",Settings!$B$7,""),IF(ISNUMBER(R1412),DATE(YEAR(R1412),MONTH(R1412),1),"")))</f>
        <v/>
      </c>
      <c r="X1412" s="38" t="n">
        <f aca="false">IF(AND(OR(T1412="Backlog",T1412="Pipeline",T1412="Overdue"),ISNUMBER(W1412)),IF(W1412&lt;=Settings!$B$6,V1412,0),0)</f>
        <v>0</v>
      </c>
      <c r="Y1412" s="38" t="n">
        <f aca="false">IF(AND(OR(T1412="Backlog",T1412="Pipeline",T1412="Overdue"),ISNUMBER(W1412)),IF(W1412&lt;=Settings!$B$6,Q1412,0),0)</f>
        <v>0</v>
      </c>
      <c r="Z1412" s="38" t="n">
        <f aca="false">IF(Y1412=0,0,IF(T1412="Backlog",Q1412,Q1412*Dashboard!$C$10))</f>
        <v>0</v>
      </c>
      <c r="AA1412" s="37" t="n">
        <f aca="false">IF($N1412="",0,IF(COUNTIF(Dashboard!$C$13:$C$22,$N1412)&gt;0,1,0))</f>
        <v>0</v>
      </c>
      <c r="AB1412" s="37" t="str">
        <f aca="false">IF($N1412="","",IF(COUNTIF($N$8:$N1412,$N1412)=1,MAX($AB$7:$AB1411)+1,""))</f>
        <v/>
      </c>
    </row>
    <row r="1413" customFormat="false" ht="15" hidden="false" customHeight="false" outlineLevel="0" collapsed="false">
      <c r="L1413" s="37" t="str">
        <f aca="false">IF(INDEX($A1413:$J1413,$L$6)&lt;&gt;"",TRIM(LEFT(INDEX($A1413:$J1413,$L$6),FIND("(",INDEX($A1413:$J1413,$L$6)&amp;"(")-1)),L1412)</f>
        <v>Building Value Proposition</v>
      </c>
      <c r="M1413" s="37" t="str">
        <f aca="false">IF(INDEX($A1413:$J1413,$M$6)="","",INDEX($A1413:$J1413,$M$6)&amp;"")</f>
        <v/>
      </c>
      <c r="N1413" s="37" t="str">
        <f aca="false">IF($M1413="","",TRIM(INDEX($A1413:$J1413,$N$6)&amp;""))</f>
        <v/>
      </c>
      <c r="O1413" s="37" t="str">
        <f aca="false">IF($M1413="","",TRIM(INDEX($A1413:$J1413,$O$6)&amp;""))</f>
        <v/>
      </c>
      <c r="P1413" s="37" t="str">
        <f aca="false">IF($M1413="","",IFERROR(IF(INDEX(Settings!$B$41:$B$50,MATCH(O1413,Settings!$A$41:$A$50,0))&amp;""="","UNMAPPED",INDEX(Settings!$B$41:$B$50,MATCH(O1413,Settings!$A$41:$A$50,0))&amp;""),"UNMAPPED"))</f>
        <v/>
      </c>
      <c r="Q1413" s="38" t="n">
        <f aca="false">IF($M1413="",0,N(INDEX($A1413:$J1413,$Q$6)))</f>
        <v>0</v>
      </c>
      <c r="R1413" s="39" t="str">
        <f aca="false">IF($M1413="","",INDEX($A1413:$J1413,$R$6))</f>
        <v/>
      </c>
      <c r="S1413" s="37" t="str">
        <f aca="false">IF($M1413="","",IFERROR(INDEX(Settings!$B$27:$B$36,MATCH(L1413,Settings!$A$27:$A$36,0))&amp;"","UNMAPPED"))</f>
        <v/>
      </c>
      <c r="T1413" s="37" t="str">
        <f aca="false">IF($M1413="","",IF(NOT(ISNUMBER(R1413)),"NO DATE",IF(S1413="Won",IF(R1413&gt;Settings!$B$5,"Backlog","Delivered"),IF(S1413="Open",IF(R1413&gt;Settings!$B$5,"Pipeline","Overdue"),IF(S1413="Lost","Lost","UNMAPPED")))))</f>
        <v/>
      </c>
      <c r="U1413" s="40" t="n">
        <f aca="false">IF(T1413="Backlog",1,IF(OR(T1413="Pipeline",T1413="Overdue"),N(INDEX(Settings!$C$27:$C$36,MATCH(L1413,Settings!$A$27:$A$36,0))),0))</f>
        <v>0</v>
      </c>
      <c r="V1413" s="38" t="n">
        <f aca="false">Q1413*U1413</f>
        <v>0</v>
      </c>
      <c r="W1413" s="41" t="str">
        <f aca="false">IF($M1413="","",IF(T1413="Overdue",IF(Settings!$B$8="Yes",Settings!$B$7,""),IF(ISNUMBER(R1413),DATE(YEAR(R1413),MONTH(R1413),1),"")))</f>
        <v/>
      </c>
      <c r="X1413" s="38" t="n">
        <f aca="false">IF(AND(OR(T1413="Backlog",T1413="Pipeline",T1413="Overdue"),ISNUMBER(W1413)),IF(W1413&lt;=Settings!$B$6,V1413,0),0)</f>
        <v>0</v>
      </c>
      <c r="Y1413" s="38" t="n">
        <f aca="false">IF(AND(OR(T1413="Backlog",T1413="Pipeline",T1413="Overdue"),ISNUMBER(W1413)),IF(W1413&lt;=Settings!$B$6,Q1413,0),0)</f>
        <v>0</v>
      </c>
      <c r="Z1413" s="38" t="n">
        <f aca="false">IF(Y1413=0,0,IF(T1413="Backlog",Q1413,Q1413*Dashboard!$C$10))</f>
        <v>0</v>
      </c>
      <c r="AA1413" s="37" t="n">
        <f aca="false">IF($N1413="",0,IF(COUNTIF(Dashboard!$C$13:$C$22,$N1413)&gt;0,1,0))</f>
        <v>0</v>
      </c>
      <c r="AB1413" s="37" t="str">
        <f aca="false">IF($N1413="","",IF(COUNTIF($N$8:$N1413,$N1413)=1,MAX($AB$7:$AB1412)+1,""))</f>
        <v/>
      </c>
    </row>
    <row r="1414" customFormat="false" ht="15" hidden="false" customHeight="false" outlineLevel="0" collapsed="false">
      <c r="L1414" s="37" t="str">
        <f aca="false">IF(INDEX($A1414:$J1414,$L$6)&lt;&gt;"",TRIM(LEFT(INDEX($A1414:$J1414,$L$6),FIND("(",INDEX($A1414:$J1414,$L$6)&amp;"(")-1)),L1413)</f>
        <v>Building Value Proposition</v>
      </c>
      <c r="M1414" s="37" t="str">
        <f aca="false">IF(INDEX($A1414:$J1414,$M$6)="","",INDEX($A1414:$J1414,$M$6)&amp;"")</f>
        <v/>
      </c>
      <c r="N1414" s="37" t="str">
        <f aca="false">IF($M1414="","",TRIM(INDEX($A1414:$J1414,$N$6)&amp;""))</f>
        <v/>
      </c>
      <c r="O1414" s="37" t="str">
        <f aca="false">IF($M1414="","",TRIM(INDEX($A1414:$J1414,$O$6)&amp;""))</f>
        <v/>
      </c>
      <c r="P1414" s="37" t="str">
        <f aca="false">IF($M1414="","",IFERROR(IF(INDEX(Settings!$B$41:$B$50,MATCH(O1414,Settings!$A$41:$A$50,0))&amp;""="","UNMAPPED",INDEX(Settings!$B$41:$B$50,MATCH(O1414,Settings!$A$41:$A$50,0))&amp;""),"UNMAPPED"))</f>
        <v/>
      </c>
      <c r="Q1414" s="38" t="n">
        <f aca="false">IF($M1414="",0,N(INDEX($A1414:$J1414,$Q$6)))</f>
        <v>0</v>
      </c>
      <c r="R1414" s="39" t="str">
        <f aca="false">IF($M1414="","",INDEX($A1414:$J1414,$R$6))</f>
        <v/>
      </c>
      <c r="S1414" s="37" t="str">
        <f aca="false">IF($M1414="","",IFERROR(INDEX(Settings!$B$27:$B$36,MATCH(L1414,Settings!$A$27:$A$36,0))&amp;"","UNMAPPED"))</f>
        <v/>
      </c>
      <c r="T1414" s="37" t="str">
        <f aca="false">IF($M1414="","",IF(NOT(ISNUMBER(R1414)),"NO DATE",IF(S1414="Won",IF(R1414&gt;Settings!$B$5,"Backlog","Delivered"),IF(S1414="Open",IF(R1414&gt;Settings!$B$5,"Pipeline","Overdue"),IF(S1414="Lost","Lost","UNMAPPED")))))</f>
        <v/>
      </c>
      <c r="U1414" s="40" t="n">
        <f aca="false">IF(T1414="Backlog",1,IF(OR(T1414="Pipeline",T1414="Overdue"),N(INDEX(Settings!$C$27:$C$36,MATCH(L1414,Settings!$A$27:$A$36,0))),0))</f>
        <v>0</v>
      </c>
      <c r="V1414" s="38" t="n">
        <f aca="false">Q1414*U1414</f>
        <v>0</v>
      </c>
      <c r="W1414" s="41" t="str">
        <f aca="false">IF($M1414="","",IF(T1414="Overdue",IF(Settings!$B$8="Yes",Settings!$B$7,""),IF(ISNUMBER(R1414),DATE(YEAR(R1414),MONTH(R1414),1),"")))</f>
        <v/>
      </c>
      <c r="X1414" s="38" t="n">
        <f aca="false">IF(AND(OR(T1414="Backlog",T1414="Pipeline",T1414="Overdue"),ISNUMBER(W1414)),IF(W1414&lt;=Settings!$B$6,V1414,0),0)</f>
        <v>0</v>
      </c>
      <c r="Y1414" s="38" t="n">
        <f aca="false">IF(AND(OR(T1414="Backlog",T1414="Pipeline",T1414="Overdue"),ISNUMBER(W1414)),IF(W1414&lt;=Settings!$B$6,Q1414,0),0)</f>
        <v>0</v>
      </c>
      <c r="Z1414" s="38" t="n">
        <f aca="false">IF(Y1414=0,0,IF(T1414="Backlog",Q1414,Q1414*Dashboard!$C$10))</f>
        <v>0</v>
      </c>
      <c r="AA1414" s="37" t="n">
        <f aca="false">IF($N1414="",0,IF(COUNTIF(Dashboard!$C$13:$C$22,$N1414)&gt;0,1,0))</f>
        <v>0</v>
      </c>
      <c r="AB1414" s="37" t="str">
        <f aca="false">IF($N1414="","",IF(COUNTIF($N$8:$N1414,$N1414)=1,MAX($AB$7:$AB1413)+1,""))</f>
        <v/>
      </c>
    </row>
    <row r="1415" customFormat="false" ht="15" hidden="false" customHeight="false" outlineLevel="0" collapsed="false">
      <c r="L1415" s="37" t="str">
        <f aca="false">IF(INDEX($A1415:$J1415,$L$6)&lt;&gt;"",TRIM(LEFT(INDEX($A1415:$J1415,$L$6),FIND("(",INDEX($A1415:$J1415,$L$6)&amp;"(")-1)),L1414)</f>
        <v>Building Value Proposition</v>
      </c>
      <c r="M1415" s="37" t="str">
        <f aca="false">IF(INDEX($A1415:$J1415,$M$6)="","",INDEX($A1415:$J1415,$M$6)&amp;"")</f>
        <v/>
      </c>
      <c r="N1415" s="37" t="str">
        <f aca="false">IF($M1415="","",TRIM(INDEX($A1415:$J1415,$N$6)&amp;""))</f>
        <v/>
      </c>
      <c r="O1415" s="37" t="str">
        <f aca="false">IF($M1415="","",TRIM(INDEX($A1415:$J1415,$O$6)&amp;""))</f>
        <v/>
      </c>
      <c r="P1415" s="37" t="str">
        <f aca="false">IF($M1415="","",IFERROR(IF(INDEX(Settings!$B$41:$B$50,MATCH(O1415,Settings!$A$41:$A$50,0))&amp;""="","UNMAPPED",INDEX(Settings!$B$41:$B$50,MATCH(O1415,Settings!$A$41:$A$50,0))&amp;""),"UNMAPPED"))</f>
        <v/>
      </c>
      <c r="Q1415" s="38" t="n">
        <f aca="false">IF($M1415="",0,N(INDEX($A1415:$J1415,$Q$6)))</f>
        <v>0</v>
      </c>
      <c r="R1415" s="39" t="str">
        <f aca="false">IF($M1415="","",INDEX($A1415:$J1415,$R$6))</f>
        <v/>
      </c>
      <c r="S1415" s="37" t="str">
        <f aca="false">IF($M1415="","",IFERROR(INDEX(Settings!$B$27:$B$36,MATCH(L1415,Settings!$A$27:$A$36,0))&amp;"","UNMAPPED"))</f>
        <v/>
      </c>
      <c r="T1415" s="37" t="str">
        <f aca="false">IF($M1415="","",IF(NOT(ISNUMBER(R1415)),"NO DATE",IF(S1415="Won",IF(R1415&gt;Settings!$B$5,"Backlog","Delivered"),IF(S1415="Open",IF(R1415&gt;Settings!$B$5,"Pipeline","Overdue"),IF(S1415="Lost","Lost","UNMAPPED")))))</f>
        <v/>
      </c>
      <c r="U1415" s="40" t="n">
        <f aca="false">IF(T1415="Backlog",1,IF(OR(T1415="Pipeline",T1415="Overdue"),N(INDEX(Settings!$C$27:$C$36,MATCH(L1415,Settings!$A$27:$A$36,0))),0))</f>
        <v>0</v>
      </c>
      <c r="V1415" s="38" t="n">
        <f aca="false">Q1415*U1415</f>
        <v>0</v>
      </c>
      <c r="W1415" s="41" t="str">
        <f aca="false">IF($M1415="","",IF(T1415="Overdue",IF(Settings!$B$8="Yes",Settings!$B$7,""),IF(ISNUMBER(R1415),DATE(YEAR(R1415),MONTH(R1415),1),"")))</f>
        <v/>
      </c>
      <c r="X1415" s="38" t="n">
        <f aca="false">IF(AND(OR(T1415="Backlog",T1415="Pipeline",T1415="Overdue"),ISNUMBER(W1415)),IF(W1415&lt;=Settings!$B$6,V1415,0),0)</f>
        <v>0</v>
      </c>
      <c r="Y1415" s="38" t="n">
        <f aca="false">IF(AND(OR(T1415="Backlog",T1415="Pipeline",T1415="Overdue"),ISNUMBER(W1415)),IF(W1415&lt;=Settings!$B$6,Q1415,0),0)</f>
        <v>0</v>
      </c>
      <c r="Z1415" s="38" t="n">
        <f aca="false">IF(Y1415=0,0,IF(T1415="Backlog",Q1415,Q1415*Dashboard!$C$10))</f>
        <v>0</v>
      </c>
      <c r="AA1415" s="37" t="n">
        <f aca="false">IF($N1415="",0,IF(COUNTIF(Dashboard!$C$13:$C$22,$N1415)&gt;0,1,0))</f>
        <v>0</v>
      </c>
      <c r="AB1415" s="37" t="str">
        <f aca="false">IF($N1415="","",IF(COUNTIF($N$8:$N1415,$N1415)=1,MAX($AB$7:$AB1414)+1,""))</f>
        <v/>
      </c>
    </row>
    <row r="1416" customFormat="false" ht="15" hidden="false" customHeight="false" outlineLevel="0" collapsed="false">
      <c r="L1416" s="37" t="str">
        <f aca="false">IF(INDEX($A1416:$J1416,$L$6)&lt;&gt;"",TRIM(LEFT(INDEX($A1416:$J1416,$L$6),FIND("(",INDEX($A1416:$J1416,$L$6)&amp;"(")-1)),L1415)</f>
        <v>Building Value Proposition</v>
      </c>
      <c r="M1416" s="37" t="str">
        <f aca="false">IF(INDEX($A1416:$J1416,$M$6)="","",INDEX($A1416:$J1416,$M$6)&amp;"")</f>
        <v/>
      </c>
      <c r="N1416" s="37" t="str">
        <f aca="false">IF($M1416="","",TRIM(INDEX($A1416:$J1416,$N$6)&amp;""))</f>
        <v/>
      </c>
      <c r="O1416" s="37" t="str">
        <f aca="false">IF($M1416="","",TRIM(INDEX($A1416:$J1416,$O$6)&amp;""))</f>
        <v/>
      </c>
      <c r="P1416" s="37" t="str">
        <f aca="false">IF($M1416="","",IFERROR(IF(INDEX(Settings!$B$41:$B$50,MATCH(O1416,Settings!$A$41:$A$50,0))&amp;""="","UNMAPPED",INDEX(Settings!$B$41:$B$50,MATCH(O1416,Settings!$A$41:$A$50,0))&amp;""),"UNMAPPED"))</f>
        <v/>
      </c>
      <c r="Q1416" s="38" t="n">
        <f aca="false">IF($M1416="",0,N(INDEX($A1416:$J1416,$Q$6)))</f>
        <v>0</v>
      </c>
      <c r="R1416" s="39" t="str">
        <f aca="false">IF($M1416="","",INDEX($A1416:$J1416,$R$6))</f>
        <v/>
      </c>
      <c r="S1416" s="37" t="str">
        <f aca="false">IF($M1416="","",IFERROR(INDEX(Settings!$B$27:$B$36,MATCH(L1416,Settings!$A$27:$A$36,0))&amp;"","UNMAPPED"))</f>
        <v/>
      </c>
      <c r="T1416" s="37" t="str">
        <f aca="false">IF($M1416="","",IF(NOT(ISNUMBER(R1416)),"NO DATE",IF(S1416="Won",IF(R1416&gt;Settings!$B$5,"Backlog","Delivered"),IF(S1416="Open",IF(R1416&gt;Settings!$B$5,"Pipeline","Overdue"),IF(S1416="Lost","Lost","UNMAPPED")))))</f>
        <v/>
      </c>
      <c r="U1416" s="40" t="n">
        <f aca="false">IF(T1416="Backlog",1,IF(OR(T1416="Pipeline",T1416="Overdue"),N(INDEX(Settings!$C$27:$C$36,MATCH(L1416,Settings!$A$27:$A$36,0))),0))</f>
        <v>0</v>
      </c>
      <c r="V1416" s="38" t="n">
        <f aca="false">Q1416*U1416</f>
        <v>0</v>
      </c>
      <c r="W1416" s="41" t="str">
        <f aca="false">IF($M1416="","",IF(T1416="Overdue",IF(Settings!$B$8="Yes",Settings!$B$7,""),IF(ISNUMBER(R1416),DATE(YEAR(R1416),MONTH(R1416),1),"")))</f>
        <v/>
      </c>
      <c r="X1416" s="38" t="n">
        <f aca="false">IF(AND(OR(T1416="Backlog",T1416="Pipeline",T1416="Overdue"),ISNUMBER(W1416)),IF(W1416&lt;=Settings!$B$6,V1416,0),0)</f>
        <v>0</v>
      </c>
      <c r="Y1416" s="38" t="n">
        <f aca="false">IF(AND(OR(T1416="Backlog",T1416="Pipeline",T1416="Overdue"),ISNUMBER(W1416)),IF(W1416&lt;=Settings!$B$6,Q1416,0),0)</f>
        <v>0</v>
      </c>
      <c r="Z1416" s="38" t="n">
        <f aca="false">IF(Y1416=0,0,IF(T1416="Backlog",Q1416,Q1416*Dashboard!$C$10))</f>
        <v>0</v>
      </c>
      <c r="AA1416" s="37" t="n">
        <f aca="false">IF($N1416="",0,IF(COUNTIF(Dashboard!$C$13:$C$22,$N1416)&gt;0,1,0))</f>
        <v>0</v>
      </c>
      <c r="AB1416" s="37" t="str">
        <f aca="false">IF($N1416="","",IF(COUNTIF($N$8:$N1416,$N1416)=1,MAX($AB$7:$AB1415)+1,""))</f>
        <v/>
      </c>
    </row>
    <row r="1417" customFormat="false" ht="15" hidden="false" customHeight="false" outlineLevel="0" collapsed="false">
      <c r="L1417" s="37" t="str">
        <f aca="false">IF(INDEX($A1417:$J1417,$L$6)&lt;&gt;"",TRIM(LEFT(INDEX($A1417:$J1417,$L$6),FIND("(",INDEX($A1417:$J1417,$L$6)&amp;"(")-1)),L1416)</f>
        <v>Building Value Proposition</v>
      </c>
      <c r="M1417" s="37" t="str">
        <f aca="false">IF(INDEX($A1417:$J1417,$M$6)="","",INDEX($A1417:$J1417,$M$6)&amp;"")</f>
        <v/>
      </c>
      <c r="N1417" s="37" t="str">
        <f aca="false">IF($M1417="","",TRIM(INDEX($A1417:$J1417,$N$6)&amp;""))</f>
        <v/>
      </c>
      <c r="O1417" s="37" t="str">
        <f aca="false">IF($M1417="","",TRIM(INDEX($A1417:$J1417,$O$6)&amp;""))</f>
        <v/>
      </c>
      <c r="P1417" s="37" t="str">
        <f aca="false">IF($M1417="","",IFERROR(IF(INDEX(Settings!$B$41:$B$50,MATCH(O1417,Settings!$A$41:$A$50,0))&amp;""="","UNMAPPED",INDEX(Settings!$B$41:$B$50,MATCH(O1417,Settings!$A$41:$A$50,0))&amp;""),"UNMAPPED"))</f>
        <v/>
      </c>
      <c r="Q1417" s="38" t="n">
        <f aca="false">IF($M1417="",0,N(INDEX($A1417:$J1417,$Q$6)))</f>
        <v>0</v>
      </c>
      <c r="R1417" s="39" t="str">
        <f aca="false">IF($M1417="","",INDEX($A1417:$J1417,$R$6))</f>
        <v/>
      </c>
      <c r="S1417" s="37" t="str">
        <f aca="false">IF($M1417="","",IFERROR(INDEX(Settings!$B$27:$B$36,MATCH(L1417,Settings!$A$27:$A$36,0))&amp;"","UNMAPPED"))</f>
        <v/>
      </c>
      <c r="T1417" s="37" t="str">
        <f aca="false">IF($M1417="","",IF(NOT(ISNUMBER(R1417)),"NO DATE",IF(S1417="Won",IF(R1417&gt;Settings!$B$5,"Backlog","Delivered"),IF(S1417="Open",IF(R1417&gt;Settings!$B$5,"Pipeline","Overdue"),IF(S1417="Lost","Lost","UNMAPPED")))))</f>
        <v/>
      </c>
      <c r="U1417" s="40" t="n">
        <f aca="false">IF(T1417="Backlog",1,IF(OR(T1417="Pipeline",T1417="Overdue"),N(INDEX(Settings!$C$27:$C$36,MATCH(L1417,Settings!$A$27:$A$36,0))),0))</f>
        <v>0</v>
      </c>
      <c r="V1417" s="38" t="n">
        <f aca="false">Q1417*U1417</f>
        <v>0</v>
      </c>
      <c r="W1417" s="41" t="str">
        <f aca="false">IF($M1417="","",IF(T1417="Overdue",IF(Settings!$B$8="Yes",Settings!$B$7,""),IF(ISNUMBER(R1417),DATE(YEAR(R1417),MONTH(R1417),1),"")))</f>
        <v/>
      </c>
      <c r="X1417" s="38" t="n">
        <f aca="false">IF(AND(OR(T1417="Backlog",T1417="Pipeline",T1417="Overdue"),ISNUMBER(W1417)),IF(W1417&lt;=Settings!$B$6,V1417,0),0)</f>
        <v>0</v>
      </c>
      <c r="Y1417" s="38" t="n">
        <f aca="false">IF(AND(OR(T1417="Backlog",T1417="Pipeline",T1417="Overdue"),ISNUMBER(W1417)),IF(W1417&lt;=Settings!$B$6,Q1417,0),0)</f>
        <v>0</v>
      </c>
      <c r="Z1417" s="38" t="n">
        <f aca="false">IF(Y1417=0,0,IF(T1417="Backlog",Q1417,Q1417*Dashboard!$C$10))</f>
        <v>0</v>
      </c>
      <c r="AA1417" s="37" t="n">
        <f aca="false">IF($N1417="",0,IF(COUNTIF(Dashboard!$C$13:$C$22,$N1417)&gt;0,1,0))</f>
        <v>0</v>
      </c>
      <c r="AB1417" s="37" t="str">
        <f aca="false">IF($N1417="","",IF(COUNTIF($N$8:$N1417,$N1417)=1,MAX($AB$7:$AB1416)+1,""))</f>
        <v/>
      </c>
    </row>
    <row r="1418" customFormat="false" ht="15" hidden="false" customHeight="false" outlineLevel="0" collapsed="false">
      <c r="L1418" s="37" t="str">
        <f aca="false">IF(INDEX($A1418:$J1418,$L$6)&lt;&gt;"",TRIM(LEFT(INDEX($A1418:$J1418,$L$6),FIND("(",INDEX($A1418:$J1418,$L$6)&amp;"(")-1)),L1417)</f>
        <v>Building Value Proposition</v>
      </c>
      <c r="M1418" s="37" t="str">
        <f aca="false">IF(INDEX($A1418:$J1418,$M$6)="","",INDEX($A1418:$J1418,$M$6)&amp;"")</f>
        <v/>
      </c>
      <c r="N1418" s="37" t="str">
        <f aca="false">IF($M1418="","",TRIM(INDEX($A1418:$J1418,$N$6)&amp;""))</f>
        <v/>
      </c>
      <c r="O1418" s="37" t="str">
        <f aca="false">IF($M1418="","",TRIM(INDEX($A1418:$J1418,$O$6)&amp;""))</f>
        <v/>
      </c>
      <c r="P1418" s="37" t="str">
        <f aca="false">IF($M1418="","",IFERROR(IF(INDEX(Settings!$B$41:$B$50,MATCH(O1418,Settings!$A$41:$A$50,0))&amp;""="","UNMAPPED",INDEX(Settings!$B$41:$B$50,MATCH(O1418,Settings!$A$41:$A$50,0))&amp;""),"UNMAPPED"))</f>
        <v/>
      </c>
      <c r="Q1418" s="38" t="n">
        <f aca="false">IF($M1418="",0,N(INDEX($A1418:$J1418,$Q$6)))</f>
        <v>0</v>
      </c>
      <c r="R1418" s="39" t="str">
        <f aca="false">IF($M1418="","",INDEX($A1418:$J1418,$R$6))</f>
        <v/>
      </c>
      <c r="S1418" s="37" t="str">
        <f aca="false">IF($M1418="","",IFERROR(INDEX(Settings!$B$27:$B$36,MATCH(L1418,Settings!$A$27:$A$36,0))&amp;"","UNMAPPED"))</f>
        <v/>
      </c>
      <c r="T1418" s="37" t="str">
        <f aca="false">IF($M1418="","",IF(NOT(ISNUMBER(R1418)),"NO DATE",IF(S1418="Won",IF(R1418&gt;Settings!$B$5,"Backlog","Delivered"),IF(S1418="Open",IF(R1418&gt;Settings!$B$5,"Pipeline","Overdue"),IF(S1418="Lost","Lost","UNMAPPED")))))</f>
        <v/>
      </c>
      <c r="U1418" s="40" t="n">
        <f aca="false">IF(T1418="Backlog",1,IF(OR(T1418="Pipeline",T1418="Overdue"),N(INDEX(Settings!$C$27:$C$36,MATCH(L1418,Settings!$A$27:$A$36,0))),0))</f>
        <v>0</v>
      </c>
      <c r="V1418" s="38" t="n">
        <f aca="false">Q1418*U1418</f>
        <v>0</v>
      </c>
      <c r="W1418" s="41" t="str">
        <f aca="false">IF($M1418="","",IF(T1418="Overdue",IF(Settings!$B$8="Yes",Settings!$B$7,""),IF(ISNUMBER(R1418),DATE(YEAR(R1418),MONTH(R1418),1),"")))</f>
        <v/>
      </c>
      <c r="X1418" s="38" t="n">
        <f aca="false">IF(AND(OR(T1418="Backlog",T1418="Pipeline",T1418="Overdue"),ISNUMBER(W1418)),IF(W1418&lt;=Settings!$B$6,V1418,0),0)</f>
        <v>0</v>
      </c>
      <c r="Y1418" s="38" t="n">
        <f aca="false">IF(AND(OR(T1418="Backlog",T1418="Pipeline",T1418="Overdue"),ISNUMBER(W1418)),IF(W1418&lt;=Settings!$B$6,Q1418,0),0)</f>
        <v>0</v>
      </c>
      <c r="Z1418" s="38" t="n">
        <f aca="false">IF(Y1418=0,0,IF(T1418="Backlog",Q1418,Q1418*Dashboard!$C$10))</f>
        <v>0</v>
      </c>
      <c r="AA1418" s="37" t="n">
        <f aca="false">IF($N1418="",0,IF(COUNTIF(Dashboard!$C$13:$C$22,$N1418)&gt;0,1,0))</f>
        <v>0</v>
      </c>
      <c r="AB1418" s="37" t="str">
        <f aca="false">IF($N1418="","",IF(COUNTIF($N$8:$N1418,$N1418)=1,MAX($AB$7:$AB1417)+1,""))</f>
        <v/>
      </c>
    </row>
    <row r="1419" customFormat="false" ht="15" hidden="false" customHeight="false" outlineLevel="0" collapsed="false">
      <c r="L1419" s="37" t="str">
        <f aca="false">IF(INDEX($A1419:$J1419,$L$6)&lt;&gt;"",TRIM(LEFT(INDEX($A1419:$J1419,$L$6),FIND("(",INDEX($A1419:$J1419,$L$6)&amp;"(")-1)),L1418)</f>
        <v>Building Value Proposition</v>
      </c>
      <c r="M1419" s="37" t="str">
        <f aca="false">IF(INDEX($A1419:$J1419,$M$6)="","",INDEX($A1419:$J1419,$M$6)&amp;"")</f>
        <v/>
      </c>
      <c r="N1419" s="37" t="str">
        <f aca="false">IF($M1419="","",TRIM(INDEX($A1419:$J1419,$N$6)&amp;""))</f>
        <v/>
      </c>
      <c r="O1419" s="37" t="str">
        <f aca="false">IF($M1419="","",TRIM(INDEX($A1419:$J1419,$O$6)&amp;""))</f>
        <v/>
      </c>
      <c r="P1419" s="37" t="str">
        <f aca="false">IF($M1419="","",IFERROR(IF(INDEX(Settings!$B$41:$B$50,MATCH(O1419,Settings!$A$41:$A$50,0))&amp;""="","UNMAPPED",INDEX(Settings!$B$41:$B$50,MATCH(O1419,Settings!$A$41:$A$50,0))&amp;""),"UNMAPPED"))</f>
        <v/>
      </c>
      <c r="Q1419" s="38" t="n">
        <f aca="false">IF($M1419="",0,N(INDEX($A1419:$J1419,$Q$6)))</f>
        <v>0</v>
      </c>
      <c r="R1419" s="39" t="str">
        <f aca="false">IF($M1419="","",INDEX($A1419:$J1419,$R$6))</f>
        <v/>
      </c>
      <c r="S1419" s="37" t="str">
        <f aca="false">IF($M1419="","",IFERROR(INDEX(Settings!$B$27:$B$36,MATCH(L1419,Settings!$A$27:$A$36,0))&amp;"","UNMAPPED"))</f>
        <v/>
      </c>
      <c r="T1419" s="37" t="str">
        <f aca="false">IF($M1419="","",IF(NOT(ISNUMBER(R1419)),"NO DATE",IF(S1419="Won",IF(R1419&gt;Settings!$B$5,"Backlog","Delivered"),IF(S1419="Open",IF(R1419&gt;Settings!$B$5,"Pipeline","Overdue"),IF(S1419="Lost","Lost","UNMAPPED")))))</f>
        <v/>
      </c>
      <c r="U1419" s="40" t="n">
        <f aca="false">IF(T1419="Backlog",1,IF(OR(T1419="Pipeline",T1419="Overdue"),N(INDEX(Settings!$C$27:$C$36,MATCH(L1419,Settings!$A$27:$A$36,0))),0))</f>
        <v>0</v>
      </c>
      <c r="V1419" s="38" t="n">
        <f aca="false">Q1419*U1419</f>
        <v>0</v>
      </c>
      <c r="W1419" s="41" t="str">
        <f aca="false">IF($M1419="","",IF(T1419="Overdue",IF(Settings!$B$8="Yes",Settings!$B$7,""),IF(ISNUMBER(R1419),DATE(YEAR(R1419),MONTH(R1419),1),"")))</f>
        <v/>
      </c>
      <c r="X1419" s="38" t="n">
        <f aca="false">IF(AND(OR(T1419="Backlog",T1419="Pipeline",T1419="Overdue"),ISNUMBER(W1419)),IF(W1419&lt;=Settings!$B$6,V1419,0),0)</f>
        <v>0</v>
      </c>
      <c r="Y1419" s="38" t="n">
        <f aca="false">IF(AND(OR(T1419="Backlog",T1419="Pipeline",T1419="Overdue"),ISNUMBER(W1419)),IF(W1419&lt;=Settings!$B$6,Q1419,0),0)</f>
        <v>0</v>
      </c>
      <c r="Z1419" s="38" t="n">
        <f aca="false">IF(Y1419=0,0,IF(T1419="Backlog",Q1419,Q1419*Dashboard!$C$10))</f>
        <v>0</v>
      </c>
      <c r="AA1419" s="37" t="n">
        <f aca="false">IF($N1419="",0,IF(COUNTIF(Dashboard!$C$13:$C$22,$N1419)&gt;0,1,0))</f>
        <v>0</v>
      </c>
      <c r="AB1419" s="37" t="str">
        <f aca="false">IF($N1419="","",IF(COUNTIF($N$8:$N1419,$N1419)=1,MAX($AB$7:$AB1418)+1,""))</f>
        <v/>
      </c>
    </row>
    <row r="1420" customFormat="false" ht="15" hidden="false" customHeight="false" outlineLevel="0" collapsed="false">
      <c r="L1420" s="37" t="str">
        <f aca="false">IF(INDEX($A1420:$J1420,$L$6)&lt;&gt;"",TRIM(LEFT(INDEX($A1420:$J1420,$L$6),FIND("(",INDEX($A1420:$J1420,$L$6)&amp;"(")-1)),L1419)</f>
        <v>Building Value Proposition</v>
      </c>
      <c r="M1420" s="37" t="str">
        <f aca="false">IF(INDEX($A1420:$J1420,$M$6)="","",INDEX($A1420:$J1420,$M$6)&amp;"")</f>
        <v/>
      </c>
      <c r="N1420" s="37" t="str">
        <f aca="false">IF($M1420="","",TRIM(INDEX($A1420:$J1420,$N$6)&amp;""))</f>
        <v/>
      </c>
      <c r="O1420" s="37" t="str">
        <f aca="false">IF($M1420="","",TRIM(INDEX($A1420:$J1420,$O$6)&amp;""))</f>
        <v/>
      </c>
      <c r="P1420" s="37" t="str">
        <f aca="false">IF($M1420="","",IFERROR(IF(INDEX(Settings!$B$41:$B$50,MATCH(O1420,Settings!$A$41:$A$50,0))&amp;""="","UNMAPPED",INDEX(Settings!$B$41:$B$50,MATCH(O1420,Settings!$A$41:$A$50,0))&amp;""),"UNMAPPED"))</f>
        <v/>
      </c>
      <c r="Q1420" s="38" t="n">
        <f aca="false">IF($M1420="",0,N(INDEX($A1420:$J1420,$Q$6)))</f>
        <v>0</v>
      </c>
      <c r="R1420" s="39" t="str">
        <f aca="false">IF($M1420="","",INDEX($A1420:$J1420,$R$6))</f>
        <v/>
      </c>
      <c r="S1420" s="37" t="str">
        <f aca="false">IF($M1420="","",IFERROR(INDEX(Settings!$B$27:$B$36,MATCH(L1420,Settings!$A$27:$A$36,0))&amp;"","UNMAPPED"))</f>
        <v/>
      </c>
      <c r="T1420" s="37" t="str">
        <f aca="false">IF($M1420="","",IF(NOT(ISNUMBER(R1420)),"NO DATE",IF(S1420="Won",IF(R1420&gt;Settings!$B$5,"Backlog","Delivered"),IF(S1420="Open",IF(R1420&gt;Settings!$B$5,"Pipeline","Overdue"),IF(S1420="Lost","Lost","UNMAPPED")))))</f>
        <v/>
      </c>
      <c r="U1420" s="40" t="n">
        <f aca="false">IF(T1420="Backlog",1,IF(OR(T1420="Pipeline",T1420="Overdue"),N(INDEX(Settings!$C$27:$C$36,MATCH(L1420,Settings!$A$27:$A$36,0))),0))</f>
        <v>0</v>
      </c>
      <c r="V1420" s="38" t="n">
        <f aca="false">Q1420*U1420</f>
        <v>0</v>
      </c>
      <c r="W1420" s="41" t="str">
        <f aca="false">IF($M1420="","",IF(T1420="Overdue",IF(Settings!$B$8="Yes",Settings!$B$7,""),IF(ISNUMBER(R1420),DATE(YEAR(R1420),MONTH(R1420),1),"")))</f>
        <v/>
      </c>
      <c r="X1420" s="38" t="n">
        <f aca="false">IF(AND(OR(T1420="Backlog",T1420="Pipeline",T1420="Overdue"),ISNUMBER(W1420)),IF(W1420&lt;=Settings!$B$6,V1420,0),0)</f>
        <v>0</v>
      </c>
      <c r="Y1420" s="38" t="n">
        <f aca="false">IF(AND(OR(T1420="Backlog",T1420="Pipeline",T1420="Overdue"),ISNUMBER(W1420)),IF(W1420&lt;=Settings!$B$6,Q1420,0),0)</f>
        <v>0</v>
      </c>
      <c r="Z1420" s="38" t="n">
        <f aca="false">IF(Y1420=0,0,IF(T1420="Backlog",Q1420,Q1420*Dashboard!$C$10))</f>
        <v>0</v>
      </c>
      <c r="AA1420" s="37" t="n">
        <f aca="false">IF($N1420="",0,IF(COUNTIF(Dashboard!$C$13:$C$22,$N1420)&gt;0,1,0))</f>
        <v>0</v>
      </c>
      <c r="AB1420" s="37" t="str">
        <f aca="false">IF($N1420="","",IF(COUNTIF($N$8:$N1420,$N1420)=1,MAX($AB$7:$AB1419)+1,""))</f>
        <v/>
      </c>
    </row>
    <row r="1421" customFormat="false" ht="15" hidden="false" customHeight="false" outlineLevel="0" collapsed="false">
      <c r="L1421" s="37" t="str">
        <f aca="false">IF(INDEX($A1421:$J1421,$L$6)&lt;&gt;"",TRIM(LEFT(INDEX($A1421:$J1421,$L$6),FIND("(",INDEX($A1421:$J1421,$L$6)&amp;"(")-1)),L1420)</f>
        <v>Building Value Proposition</v>
      </c>
      <c r="M1421" s="37" t="str">
        <f aca="false">IF(INDEX($A1421:$J1421,$M$6)="","",INDEX($A1421:$J1421,$M$6)&amp;"")</f>
        <v/>
      </c>
      <c r="N1421" s="37" t="str">
        <f aca="false">IF($M1421="","",TRIM(INDEX($A1421:$J1421,$N$6)&amp;""))</f>
        <v/>
      </c>
      <c r="O1421" s="37" t="str">
        <f aca="false">IF($M1421="","",TRIM(INDEX($A1421:$J1421,$O$6)&amp;""))</f>
        <v/>
      </c>
      <c r="P1421" s="37" t="str">
        <f aca="false">IF($M1421="","",IFERROR(IF(INDEX(Settings!$B$41:$B$50,MATCH(O1421,Settings!$A$41:$A$50,0))&amp;""="","UNMAPPED",INDEX(Settings!$B$41:$B$50,MATCH(O1421,Settings!$A$41:$A$50,0))&amp;""),"UNMAPPED"))</f>
        <v/>
      </c>
      <c r="Q1421" s="38" t="n">
        <f aca="false">IF($M1421="",0,N(INDEX($A1421:$J1421,$Q$6)))</f>
        <v>0</v>
      </c>
      <c r="R1421" s="39" t="str">
        <f aca="false">IF($M1421="","",INDEX($A1421:$J1421,$R$6))</f>
        <v/>
      </c>
      <c r="S1421" s="37" t="str">
        <f aca="false">IF($M1421="","",IFERROR(INDEX(Settings!$B$27:$B$36,MATCH(L1421,Settings!$A$27:$A$36,0))&amp;"","UNMAPPED"))</f>
        <v/>
      </c>
      <c r="T1421" s="37" t="str">
        <f aca="false">IF($M1421="","",IF(NOT(ISNUMBER(R1421)),"NO DATE",IF(S1421="Won",IF(R1421&gt;Settings!$B$5,"Backlog","Delivered"),IF(S1421="Open",IF(R1421&gt;Settings!$B$5,"Pipeline","Overdue"),IF(S1421="Lost","Lost","UNMAPPED")))))</f>
        <v/>
      </c>
      <c r="U1421" s="40" t="n">
        <f aca="false">IF(T1421="Backlog",1,IF(OR(T1421="Pipeline",T1421="Overdue"),N(INDEX(Settings!$C$27:$C$36,MATCH(L1421,Settings!$A$27:$A$36,0))),0))</f>
        <v>0</v>
      </c>
      <c r="V1421" s="38" t="n">
        <f aca="false">Q1421*U1421</f>
        <v>0</v>
      </c>
      <c r="W1421" s="41" t="str">
        <f aca="false">IF($M1421="","",IF(T1421="Overdue",IF(Settings!$B$8="Yes",Settings!$B$7,""),IF(ISNUMBER(R1421),DATE(YEAR(R1421),MONTH(R1421),1),"")))</f>
        <v/>
      </c>
      <c r="X1421" s="38" t="n">
        <f aca="false">IF(AND(OR(T1421="Backlog",T1421="Pipeline",T1421="Overdue"),ISNUMBER(W1421)),IF(W1421&lt;=Settings!$B$6,V1421,0),0)</f>
        <v>0</v>
      </c>
      <c r="Y1421" s="38" t="n">
        <f aca="false">IF(AND(OR(T1421="Backlog",T1421="Pipeline",T1421="Overdue"),ISNUMBER(W1421)),IF(W1421&lt;=Settings!$B$6,Q1421,0),0)</f>
        <v>0</v>
      </c>
      <c r="Z1421" s="38" t="n">
        <f aca="false">IF(Y1421=0,0,IF(T1421="Backlog",Q1421,Q1421*Dashboard!$C$10))</f>
        <v>0</v>
      </c>
      <c r="AA1421" s="37" t="n">
        <f aca="false">IF($N1421="",0,IF(COUNTIF(Dashboard!$C$13:$C$22,$N1421)&gt;0,1,0))</f>
        <v>0</v>
      </c>
      <c r="AB1421" s="37" t="str">
        <f aca="false">IF($N1421="","",IF(COUNTIF($N$8:$N1421,$N1421)=1,MAX($AB$7:$AB1420)+1,""))</f>
        <v/>
      </c>
    </row>
    <row r="1422" customFormat="false" ht="15" hidden="false" customHeight="false" outlineLevel="0" collapsed="false">
      <c r="L1422" s="37" t="str">
        <f aca="false">IF(INDEX($A1422:$J1422,$L$6)&lt;&gt;"",TRIM(LEFT(INDEX($A1422:$J1422,$L$6),FIND("(",INDEX($A1422:$J1422,$L$6)&amp;"(")-1)),L1421)</f>
        <v>Building Value Proposition</v>
      </c>
      <c r="M1422" s="37" t="str">
        <f aca="false">IF(INDEX($A1422:$J1422,$M$6)="","",INDEX($A1422:$J1422,$M$6)&amp;"")</f>
        <v/>
      </c>
      <c r="N1422" s="37" t="str">
        <f aca="false">IF($M1422="","",TRIM(INDEX($A1422:$J1422,$N$6)&amp;""))</f>
        <v/>
      </c>
      <c r="O1422" s="37" t="str">
        <f aca="false">IF($M1422="","",TRIM(INDEX($A1422:$J1422,$O$6)&amp;""))</f>
        <v/>
      </c>
      <c r="P1422" s="37" t="str">
        <f aca="false">IF($M1422="","",IFERROR(IF(INDEX(Settings!$B$41:$B$50,MATCH(O1422,Settings!$A$41:$A$50,0))&amp;""="","UNMAPPED",INDEX(Settings!$B$41:$B$50,MATCH(O1422,Settings!$A$41:$A$50,0))&amp;""),"UNMAPPED"))</f>
        <v/>
      </c>
      <c r="Q1422" s="38" t="n">
        <f aca="false">IF($M1422="",0,N(INDEX($A1422:$J1422,$Q$6)))</f>
        <v>0</v>
      </c>
      <c r="R1422" s="39" t="str">
        <f aca="false">IF($M1422="","",INDEX($A1422:$J1422,$R$6))</f>
        <v/>
      </c>
      <c r="S1422" s="37" t="str">
        <f aca="false">IF($M1422="","",IFERROR(INDEX(Settings!$B$27:$B$36,MATCH(L1422,Settings!$A$27:$A$36,0))&amp;"","UNMAPPED"))</f>
        <v/>
      </c>
      <c r="T1422" s="37" t="str">
        <f aca="false">IF($M1422="","",IF(NOT(ISNUMBER(R1422)),"NO DATE",IF(S1422="Won",IF(R1422&gt;Settings!$B$5,"Backlog","Delivered"),IF(S1422="Open",IF(R1422&gt;Settings!$B$5,"Pipeline","Overdue"),IF(S1422="Lost","Lost","UNMAPPED")))))</f>
        <v/>
      </c>
      <c r="U1422" s="40" t="n">
        <f aca="false">IF(T1422="Backlog",1,IF(OR(T1422="Pipeline",T1422="Overdue"),N(INDEX(Settings!$C$27:$C$36,MATCH(L1422,Settings!$A$27:$A$36,0))),0))</f>
        <v>0</v>
      </c>
      <c r="V1422" s="38" t="n">
        <f aca="false">Q1422*U1422</f>
        <v>0</v>
      </c>
      <c r="W1422" s="41" t="str">
        <f aca="false">IF($M1422="","",IF(T1422="Overdue",IF(Settings!$B$8="Yes",Settings!$B$7,""),IF(ISNUMBER(R1422),DATE(YEAR(R1422),MONTH(R1422),1),"")))</f>
        <v/>
      </c>
      <c r="X1422" s="38" t="n">
        <f aca="false">IF(AND(OR(T1422="Backlog",T1422="Pipeline",T1422="Overdue"),ISNUMBER(W1422)),IF(W1422&lt;=Settings!$B$6,V1422,0),0)</f>
        <v>0</v>
      </c>
      <c r="Y1422" s="38" t="n">
        <f aca="false">IF(AND(OR(T1422="Backlog",T1422="Pipeline",T1422="Overdue"),ISNUMBER(W1422)),IF(W1422&lt;=Settings!$B$6,Q1422,0),0)</f>
        <v>0</v>
      </c>
      <c r="Z1422" s="38" t="n">
        <f aca="false">IF(Y1422=0,0,IF(T1422="Backlog",Q1422,Q1422*Dashboard!$C$10))</f>
        <v>0</v>
      </c>
      <c r="AA1422" s="37" t="n">
        <f aca="false">IF($N1422="",0,IF(COUNTIF(Dashboard!$C$13:$C$22,$N1422)&gt;0,1,0))</f>
        <v>0</v>
      </c>
      <c r="AB1422" s="37" t="str">
        <f aca="false">IF($N1422="","",IF(COUNTIF($N$8:$N1422,$N1422)=1,MAX($AB$7:$AB1421)+1,""))</f>
        <v/>
      </c>
    </row>
    <row r="1423" customFormat="false" ht="15" hidden="false" customHeight="false" outlineLevel="0" collapsed="false">
      <c r="L1423" s="37" t="str">
        <f aca="false">IF(INDEX($A1423:$J1423,$L$6)&lt;&gt;"",TRIM(LEFT(INDEX($A1423:$J1423,$L$6),FIND("(",INDEX($A1423:$J1423,$L$6)&amp;"(")-1)),L1422)</f>
        <v>Building Value Proposition</v>
      </c>
      <c r="M1423" s="37" t="str">
        <f aca="false">IF(INDEX($A1423:$J1423,$M$6)="","",INDEX($A1423:$J1423,$M$6)&amp;"")</f>
        <v/>
      </c>
      <c r="N1423" s="37" t="str">
        <f aca="false">IF($M1423="","",TRIM(INDEX($A1423:$J1423,$N$6)&amp;""))</f>
        <v/>
      </c>
      <c r="O1423" s="37" t="str">
        <f aca="false">IF($M1423="","",TRIM(INDEX($A1423:$J1423,$O$6)&amp;""))</f>
        <v/>
      </c>
      <c r="P1423" s="37" t="str">
        <f aca="false">IF($M1423="","",IFERROR(IF(INDEX(Settings!$B$41:$B$50,MATCH(O1423,Settings!$A$41:$A$50,0))&amp;""="","UNMAPPED",INDEX(Settings!$B$41:$B$50,MATCH(O1423,Settings!$A$41:$A$50,0))&amp;""),"UNMAPPED"))</f>
        <v/>
      </c>
      <c r="Q1423" s="38" t="n">
        <f aca="false">IF($M1423="",0,N(INDEX($A1423:$J1423,$Q$6)))</f>
        <v>0</v>
      </c>
      <c r="R1423" s="39" t="str">
        <f aca="false">IF($M1423="","",INDEX($A1423:$J1423,$R$6))</f>
        <v/>
      </c>
      <c r="S1423" s="37" t="str">
        <f aca="false">IF($M1423="","",IFERROR(INDEX(Settings!$B$27:$B$36,MATCH(L1423,Settings!$A$27:$A$36,0))&amp;"","UNMAPPED"))</f>
        <v/>
      </c>
      <c r="T1423" s="37" t="str">
        <f aca="false">IF($M1423="","",IF(NOT(ISNUMBER(R1423)),"NO DATE",IF(S1423="Won",IF(R1423&gt;Settings!$B$5,"Backlog","Delivered"),IF(S1423="Open",IF(R1423&gt;Settings!$B$5,"Pipeline","Overdue"),IF(S1423="Lost","Lost","UNMAPPED")))))</f>
        <v/>
      </c>
      <c r="U1423" s="40" t="n">
        <f aca="false">IF(T1423="Backlog",1,IF(OR(T1423="Pipeline",T1423="Overdue"),N(INDEX(Settings!$C$27:$C$36,MATCH(L1423,Settings!$A$27:$A$36,0))),0))</f>
        <v>0</v>
      </c>
      <c r="V1423" s="38" t="n">
        <f aca="false">Q1423*U1423</f>
        <v>0</v>
      </c>
      <c r="W1423" s="41" t="str">
        <f aca="false">IF($M1423="","",IF(T1423="Overdue",IF(Settings!$B$8="Yes",Settings!$B$7,""),IF(ISNUMBER(R1423),DATE(YEAR(R1423),MONTH(R1423),1),"")))</f>
        <v/>
      </c>
      <c r="X1423" s="38" t="n">
        <f aca="false">IF(AND(OR(T1423="Backlog",T1423="Pipeline",T1423="Overdue"),ISNUMBER(W1423)),IF(W1423&lt;=Settings!$B$6,V1423,0),0)</f>
        <v>0</v>
      </c>
      <c r="Y1423" s="38" t="n">
        <f aca="false">IF(AND(OR(T1423="Backlog",T1423="Pipeline",T1423="Overdue"),ISNUMBER(W1423)),IF(W1423&lt;=Settings!$B$6,Q1423,0),0)</f>
        <v>0</v>
      </c>
      <c r="Z1423" s="38" t="n">
        <f aca="false">IF(Y1423=0,0,IF(T1423="Backlog",Q1423,Q1423*Dashboard!$C$10))</f>
        <v>0</v>
      </c>
      <c r="AA1423" s="37" t="n">
        <f aca="false">IF($N1423="",0,IF(COUNTIF(Dashboard!$C$13:$C$22,$N1423)&gt;0,1,0))</f>
        <v>0</v>
      </c>
      <c r="AB1423" s="37" t="str">
        <f aca="false">IF($N1423="","",IF(COUNTIF($N$8:$N1423,$N1423)=1,MAX($AB$7:$AB1422)+1,""))</f>
        <v/>
      </c>
    </row>
    <row r="1424" customFormat="false" ht="15" hidden="false" customHeight="false" outlineLevel="0" collapsed="false">
      <c r="L1424" s="37" t="str">
        <f aca="false">IF(INDEX($A1424:$J1424,$L$6)&lt;&gt;"",TRIM(LEFT(INDEX($A1424:$J1424,$L$6),FIND("(",INDEX($A1424:$J1424,$L$6)&amp;"(")-1)),L1423)</f>
        <v>Building Value Proposition</v>
      </c>
      <c r="M1424" s="37" t="str">
        <f aca="false">IF(INDEX($A1424:$J1424,$M$6)="","",INDEX($A1424:$J1424,$M$6)&amp;"")</f>
        <v/>
      </c>
      <c r="N1424" s="37" t="str">
        <f aca="false">IF($M1424="","",TRIM(INDEX($A1424:$J1424,$N$6)&amp;""))</f>
        <v/>
      </c>
      <c r="O1424" s="37" t="str">
        <f aca="false">IF($M1424="","",TRIM(INDEX($A1424:$J1424,$O$6)&amp;""))</f>
        <v/>
      </c>
      <c r="P1424" s="37" t="str">
        <f aca="false">IF($M1424="","",IFERROR(IF(INDEX(Settings!$B$41:$B$50,MATCH(O1424,Settings!$A$41:$A$50,0))&amp;""="","UNMAPPED",INDEX(Settings!$B$41:$B$50,MATCH(O1424,Settings!$A$41:$A$50,0))&amp;""),"UNMAPPED"))</f>
        <v/>
      </c>
      <c r="Q1424" s="38" t="n">
        <f aca="false">IF($M1424="",0,N(INDEX($A1424:$J1424,$Q$6)))</f>
        <v>0</v>
      </c>
      <c r="R1424" s="39" t="str">
        <f aca="false">IF($M1424="","",INDEX($A1424:$J1424,$R$6))</f>
        <v/>
      </c>
      <c r="S1424" s="37" t="str">
        <f aca="false">IF($M1424="","",IFERROR(INDEX(Settings!$B$27:$B$36,MATCH(L1424,Settings!$A$27:$A$36,0))&amp;"","UNMAPPED"))</f>
        <v/>
      </c>
      <c r="T1424" s="37" t="str">
        <f aca="false">IF($M1424="","",IF(NOT(ISNUMBER(R1424)),"NO DATE",IF(S1424="Won",IF(R1424&gt;Settings!$B$5,"Backlog","Delivered"),IF(S1424="Open",IF(R1424&gt;Settings!$B$5,"Pipeline","Overdue"),IF(S1424="Lost","Lost","UNMAPPED")))))</f>
        <v/>
      </c>
      <c r="U1424" s="40" t="n">
        <f aca="false">IF(T1424="Backlog",1,IF(OR(T1424="Pipeline",T1424="Overdue"),N(INDEX(Settings!$C$27:$C$36,MATCH(L1424,Settings!$A$27:$A$36,0))),0))</f>
        <v>0</v>
      </c>
      <c r="V1424" s="38" t="n">
        <f aca="false">Q1424*U1424</f>
        <v>0</v>
      </c>
      <c r="W1424" s="41" t="str">
        <f aca="false">IF($M1424="","",IF(T1424="Overdue",IF(Settings!$B$8="Yes",Settings!$B$7,""),IF(ISNUMBER(R1424),DATE(YEAR(R1424),MONTH(R1424),1),"")))</f>
        <v/>
      </c>
      <c r="X1424" s="38" t="n">
        <f aca="false">IF(AND(OR(T1424="Backlog",T1424="Pipeline",T1424="Overdue"),ISNUMBER(W1424)),IF(W1424&lt;=Settings!$B$6,V1424,0),0)</f>
        <v>0</v>
      </c>
      <c r="Y1424" s="38" t="n">
        <f aca="false">IF(AND(OR(T1424="Backlog",T1424="Pipeline",T1424="Overdue"),ISNUMBER(W1424)),IF(W1424&lt;=Settings!$B$6,Q1424,0),0)</f>
        <v>0</v>
      </c>
      <c r="Z1424" s="38" t="n">
        <f aca="false">IF(Y1424=0,0,IF(T1424="Backlog",Q1424,Q1424*Dashboard!$C$10))</f>
        <v>0</v>
      </c>
      <c r="AA1424" s="37" t="n">
        <f aca="false">IF($N1424="",0,IF(COUNTIF(Dashboard!$C$13:$C$22,$N1424)&gt;0,1,0))</f>
        <v>0</v>
      </c>
      <c r="AB1424" s="37" t="str">
        <f aca="false">IF($N1424="","",IF(COUNTIF($N$8:$N1424,$N1424)=1,MAX($AB$7:$AB1423)+1,""))</f>
        <v/>
      </c>
    </row>
    <row r="1425" customFormat="false" ht="15" hidden="false" customHeight="false" outlineLevel="0" collapsed="false">
      <c r="L1425" s="37" t="str">
        <f aca="false">IF(INDEX($A1425:$J1425,$L$6)&lt;&gt;"",TRIM(LEFT(INDEX($A1425:$J1425,$L$6),FIND("(",INDEX($A1425:$J1425,$L$6)&amp;"(")-1)),L1424)</f>
        <v>Building Value Proposition</v>
      </c>
      <c r="M1425" s="37" t="str">
        <f aca="false">IF(INDEX($A1425:$J1425,$M$6)="","",INDEX($A1425:$J1425,$M$6)&amp;"")</f>
        <v/>
      </c>
      <c r="N1425" s="37" t="str">
        <f aca="false">IF($M1425="","",TRIM(INDEX($A1425:$J1425,$N$6)&amp;""))</f>
        <v/>
      </c>
      <c r="O1425" s="37" t="str">
        <f aca="false">IF($M1425="","",TRIM(INDEX($A1425:$J1425,$O$6)&amp;""))</f>
        <v/>
      </c>
      <c r="P1425" s="37" t="str">
        <f aca="false">IF($M1425="","",IFERROR(IF(INDEX(Settings!$B$41:$B$50,MATCH(O1425,Settings!$A$41:$A$50,0))&amp;""="","UNMAPPED",INDEX(Settings!$B$41:$B$50,MATCH(O1425,Settings!$A$41:$A$50,0))&amp;""),"UNMAPPED"))</f>
        <v/>
      </c>
      <c r="Q1425" s="38" t="n">
        <f aca="false">IF($M1425="",0,N(INDEX($A1425:$J1425,$Q$6)))</f>
        <v>0</v>
      </c>
      <c r="R1425" s="39" t="str">
        <f aca="false">IF($M1425="","",INDEX($A1425:$J1425,$R$6))</f>
        <v/>
      </c>
      <c r="S1425" s="37" t="str">
        <f aca="false">IF($M1425="","",IFERROR(INDEX(Settings!$B$27:$B$36,MATCH(L1425,Settings!$A$27:$A$36,0))&amp;"","UNMAPPED"))</f>
        <v/>
      </c>
      <c r="T1425" s="37" t="str">
        <f aca="false">IF($M1425="","",IF(NOT(ISNUMBER(R1425)),"NO DATE",IF(S1425="Won",IF(R1425&gt;Settings!$B$5,"Backlog","Delivered"),IF(S1425="Open",IF(R1425&gt;Settings!$B$5,"Pipeline","Overdue"),IF(S1425="Lost","Lost","UNMAPPED")))))</f>
        <v/>
      </c>
      <c r="U1425" s="40" t="n">
        <f aca="false">IF(T1425="Backlog",1,IF(OR(T1425="Pipeline",T1425="Overdue"),N(INDEX(Settings!$C$27:$C$36,MATCH(L1425,Settings!$A$27:$A$36,0))),0))</f>
        <v>0</v>
      </c>
      <c r="V1425" s="38" t="n">
        <f aca="false">Q1425*U1425</f>
        <v>0</v>
      </c>
      <c r="W1425" s="41" t="str">
        <f aca="false">IF($M1425="","",IF(T1425="Overdue",IF(Settings!$B$8="Yes",Settings!$B$7,""),IF(ISNUMBER(R1425),DATE(YEAR(R1425),MONTH(R1425),1),"")))</f>
        <v/>
      </c>
      <c r="X1425" s="38" t="n">
        <f aca="false">IF(AND(OR(T1425="Backlog",T1425="Pipeline",T1425="Overdue"),ISNUMBER(W1425)),IF(W1425&lt;=Settings!$B$6,V1425,0),0)</f>
        <v>0</v>
      </c>
      <c r="Y1425" s="38" t="n">
        <f aca="false">IF(AND(OR(T1425="Backlog",T1425="Pipeline",T1425="Overdue"),ISNUMBER(W1425)),IF(W1425&lt;=Settings!$B$6,Q1425,0),0)</f>
        <v>0</v>
      </c>
      <c r="Z1425" s="38" t="n">
        <f aca="false">IF(Y1425=0,0,IF(T1425="Backlog",Q1425,Q1425*Dashboard!$C$10))</f>
        <v>0</v>
      </c>
      <c r="AA1425" s="37" t="n">
        <f aca="false">IF($N1425="",0,IF(COUNTIF(Dashboard!$C$13:$C$22,$N1425)&gt;0,1,0))</f>
        <v>0</v>
      </c>
      <c r="AB1425" s="37" t="str">
        <f aca="false">IF($N1425="","",IF(COUNTIF($N$8:$N1425,$N1425)=1,MAX($AB$7:$AB1424)+1,""))</f>
        <v/>
      </c>
    </row>
    <row r="1426" customFormat="false" ht="15" hidden="false" customHeight="false" outlineLevel="0" collapsed="false">
      <c r="L1426" s="37" t="str">
        <f aca="false">IF(INDEX($A1426:$J1426,$L$6)&lt;&gt;"",TRIM(LEFT(INDEX($A1426:$J1426,$L$6),FIND("(",INDEX($A1426:$J1426,$L$6)&amp;"(")-1)),L1425)</f>
        <v>Building Value Proposition</v>
      </c>
      <c r="M1426" s="37" t="str">
        <f aca="false">IF(INDEX($A1426:$J1426,$M$6)="","",INDEX($A1426:$J1426,$M$6)&amp;"")</f>
        <v/>
      </c>
      <c r="N1426" s="37" t="str">
        <f aca="false">IF($M1426="","",TRIM(INDEX($A1426:$J1426,$N$6)&amp;""))</f>
        <v/>
      </c>
      <c r="O1426" s="37" t="str">
        <f aca="false">IF($M1426="","",TRIM(INDEX($A1426:$J1426,$O$6)&amp;""))</f>
        <v/>
      </c>
      <c r="P1426" s="37" t="str">
        <f aca="false">IF($M1426="","",IFERROR(IF(INDEX(Settings!$B$41:$B$50,MATCH(O1426,Settings!$A$41:$A$50,0))&amp;""="","UNMAPPED",INDEX(Settings!$B$41:$B$50,MATCH(O1426,Settings!$A$41:$A$50,0))&amp;""),"UNMAPPED"))</f>
        <v/>
      </c>
      <c r="Q1426" s="38" t="n">
        <f aca="false">IF($M1426="",0,N(INDEX($A1426:$J1426,$Q$6)))</f>
        <v>0</v>
      </c>
      <c r="R1426" s="39" t="str">
        <f aca="false">IF($M1426="","",INDEX($A1426:$J1426,$R$6))</f>
        <v/>
      </c>
      <c r="S1426" s="37" t="str">
        <f aca="false">IF($M1426="","",IFERROR(INDEX(Settings!$B$27:$B$36,MATCH(L1426,Settings!$A$27:$A$36,0))&amp;"","UNMAPPED"))</f>
        <v/>
      </c>
      <c r="T1426" s="37" t="str">
        <f aca="false">IF($M1426="","",IF(NOT(ISNUMBER(R1426)),"NO DATE",IF(S1426="Won",IF(R1426&gt;Settings!$B$5,"Backlog","Delivered"),IF(S1426="Open",IF(R1426&gt;Settings!$B$5,"Pipeline","Overdue"),IF(S1426="Lost","Lost","UNMAPPED")))))</f>
        <v/>
      </c>
      <c r="U1426" s="40" t="n">
        <f aca="false">IF(T1426="Backlog",1,IF(OR(T1426="Pipeline",T1426="Overdue"),N(INDEX(Settings!$C$27:$C$36,MATCH(L1426,Settings!$A$27:$A$36,0))),0))</f>
        <v>0</v>
      </c>
      <c r="V1426" s="38" t="n">
        <f aca="false">Q1426*U1426</f>
        <v>0</v>
      </c>
      <c r="W1426" s="41" t="str">
        <f aca="false">IF($M1426="","",IF(T1426="Overdue",IF(Settings!$B$8="Yes",Settings!$B$7,""),IF(ISNUMBER(R1426),DATE(YEAR(R1426),MONTH(R1426),1),"")))</f>
        <v/>
      </c>
      <c r="X1426" s="38" t="n">
        <f aca="false">IF(AND(OR(T1426="Backlog",T1426="Pipeline",T1426="Overdue"),ISNUMBER(W1426)),IF(W1426&lt;=Settings!$B$6,V1426,0),0)</f>
        <v>0</v>
      </c>
      <c r="Y1426" s="38" t="n">
        <f aca="false">IF(AND(OR(T1426="Backlog",T1426="Pipeline",T1426="Overdue"),ISNUMBER(W1426)),IF(W1426&lt;=Settings!$B$6,Q1426,0),0)</f>
        <v>0</v>
      </c>
      <c r="Z1426" s="38" t="n">
        <f aca="false">IF(Y1426=0,0,IF(T1426="Backlog",Q1426,Q1426*Dashboard!$C$10))</f>
        <v>0</v>
      </c>
      <c r="AA1426" s="37" t="n">
        <f aca="false">IF($N1426="",0,IF(COUNTIF(Dashboard!$C$13:$C$22,$N1426)&gt;0,1,0))</f>
        <v>0</v>
      </c>
      <c r="AB1426" s="37" t="str">
        <f aca="false">IF($N1426="","",IF(COUNTIF($N$8:$N1426,$N1426)=1,MAX($AB$7:$AB1425)+1,""))</f>
        <v/>
      </c>
    </row>
    <row r="1427" customFormat="false" ht="15" hidden="false" customHeight="false" outlineLevel="0" collapsed="false">
      <c r="L1427" s="37" t="str">
        <f aca="false">IF(INDEX($A1427:$J1427,$L$6)&lt;&gt;"",TRIM(LEFT(INDEX($A1427:$J1427,$L$6),FIND("(",INDEX($A1427:$J1427,$L$6)&amp;"(")-1)),L1426)</f>
        <v>Building Value Proposition</v>
      </c>
      <c r="M1427" s="37" t="str">
        <f aca="false">IF(INDEX($A1427:$J1427,$M$6)="","",INDEX($A1427:$J1427,$M$6)&amp;"")</f>
        <v/>
      </c>
      <c r="N1427" s="37" t="str">
        <f aca="false">IF($M1427="","",TRIM(INDEX($A1427:$J1427,$N$6)&amp;""))</f>
        <v/>
      </c>
      <c r="O1427" s="37" t="str">
        <f aca="false">IF($M1427="","",TRIM(INDEX($A1427:$J1427,$O$6)&amp;""))</f>
        <v/>
      </c>
      <c r="P1427" s="37" t="str">
        <f aca="false">IF($M1427="","",IFERROR(IF(INDEX(Settings!$B$41:$B$50,MATCH(O1427,Settings!$A$41:$A$50,0))&amp;""="","UNMAPPED",INDEX(Settings!$B$41:$B$50,MATCH(O1427,Settings!$A$41:$A$50,0))&amp;""),"UNMAPPED"))</f>
        <v/>
      </c>
      <c r="Q1427" s="38" t="n">
        <f aca="false">IF($M1427="",0,N(INDEX($A1427:$J1427,$Q$6)))</f>
        <v>0</v>
      </c>
      <c r="R1427" s="39" t="str">
        <f aca="false">IF($M1427="","",INDEX($A1427:$J1427,$R$6))</f>
        <v/>
      </c>
      <c r="S1427" s="37" t="str">
        <f aca="false">IF($M1427="","",IFERROR(INDEX(Settings!$B$27:$B$36,MATCH(L1427,Settings!$A$27:$A$36,0))&amp;"","UNMAPPED"))</f>
        <v/>
      </c>
      <c r="T1427" s="37" t="str">
        <f aca="false">IF($M1427="","",IF(NOT(ISNUMBER(R1427)),"NO DATE",IF(S1427="Won",IF(R1427&gt;Settings!$B$5,"Backlog","Delivered"),IF(S1427="Open",IF(R1427&gt;Settings!$B$5,"Pipeline","Overdue"),IF(S1427="Lost","Lost","UNMAPPED")))))</f>
        <v/>
      </c>
      <c r="U1427" s="40" t="n">
        <f aca="false">IF(T1427="Backlog",1,IF(OR(T1427="Pipeline",T1427="Overdue"),N(INDEX(Settings!$C$27:$C$36,MATCH(L1427,Settings!$A$27:$A$36,0))),0))</f>
        <v>0</v>
      </c>
      <c r="V1427" s="38" t="n">
        <f aca="false">Q1427*U1427</f>
        <v>0</v>
      </c>
      <c r="W1427" s="41" t="str">
        <f aca="false">IF($M1427="","",IF(T1427="Overdue",IF(Settings!$B$8="Yes",Settings!$B$7,""),IF(ISNUMBER(R1427),DATE(YEAR(R1427),MONTH(R1427),1),"")))</f>
        <v/>
      </c>
      <c r="X1427" s="38" t="n">
        <f aca="false">IF(AND(OR(T1427="Backlog",T1427="Pipeline",T1427="Overdue"),ISNUMBER(W1427)),IF(W1427&lt;=Settings!$B$6,V1427,0),0)</f>
        <v>0</v>
      </c>
      <c r="Y1427" s="38" t="n">
        <f aca="false">IF(AND(OR(T1427="Backlog",T1427="Pipeline",T1427="Overdue"),ISNUMBER(W1427)),IF(W1427&lt;=Settings!$B$6,Q1427,0),0)</f>
        <v>0</v>
      </c>
      <c r="Z1427" s="38" t="n">
        <f aca="false">IF(Y1427=0,0,IF(T1427="Backlog",Q1427,Q1427*Dashboard!$C$10))</f>
        <v>0</v>
      </c>
      <c r="AA1427" s="37" t="n">
        <f aca="false">IF($N1427="",0,IF(COUNTIF(Dashboard!$C$13:$C$22,$N1427)&gt;0,1,0))</f>
        <v>0</v>
      </c>
      <c r="AB1427" s="37" t="str">
        <f aca="false">IF($N1427="","",IF(COUNTIF($N$8:$N1427,$N1427)=1,MAX($AB$7:$AB1426)+1,""))</f>
        <v/>
      </c>
    </row>
    <row r="1428" customFormat="false" ht="15" hidden="false" customHeight="false" outlineLevel="0" collapsed="false">
      <c r="L1428" s="37" t="str">
        <f aca="false">IF(INDEX($A1428:$J1428,$L$6)&lt;&gt;"",TRIM(LEFT(INDEX($A1428:$J1428,$L$6),FIND("(",INDEX($A1428:$J1428,$L$6)&amp;"(")-1)),L1427)</f>
        <v>Building Value Proposition</v>
      </c>
      <c r="M1428" s="37" t="str">
        <f aca="false">IF(INDEX($A1428:$J1428,$M$6)="","",INDEX($A1428:$J1428,$M$6)&amp;"")</f>
        <v/>
      </c>
      <c r="N1428" s="37" t="str">
        <f aca="false">IF($M1428="","",TRIM(INDEX($A1428:$J1428,$N$6)&amp;""))</f>
        <v/>
      </c>
      <c r="O1428" s="37" t="str">
        <f aca="false">IF($M1428="","",TRIM(INDEX($A1428:$J1428,$O$6)&amp;""))</f>
        <v/>
      </c>
      <c r="P1428" s="37" t="str">
        <f aca="false">IF($M1428="","",IFERROR(IF(INDEX(Settings!$B$41:$B$50,MATCH(O1428,Settings!$A$41:$A$50,0))&amp;""="","UNMAPPED",INDEX(Settings!$B$41:$B$50,MATCH(O1428,Settings!$A$41:$A$50,0))&amp;""),"UNMAPPED"))</f>
        <v/>
      </c>
      <c r="Q1428" s="38" t="n">
        <f aca="false">IF($M1428="",0,N(INDEX($A1428:$J1428,$Q$6)))</f>
        <v>0</v>
      </c>
      <c r="R1428" s="39" t="str">
        <f aca="false">IF($M1428="","",INDEX($A1428:$J1428,$R$6))</f>
        <v/>
      </c>
      <c r="S1428" s="37" t="str">
        <f aca="false">IF($M1428="","",IFERROR(INDEX(Settings!$B$27:$B$36,MATCH(L1428,Settings!$A$27:$A$36,0))&amp;"","UNMAPPED"))</f>
        <v/>
      </c>
      <c r="T1428" s="37" t="str">
        <f aca="false">IF($M1428="","",IF(NOT(ISNUMBER(R1428)),"NO DATE",IF(S1428="Won",IF(R1428&gt;Settings!$B$5,"Backlog","Delivered"),IF(S1428="Open",IF(R1428&gt;Settings!$B$5,"Pipeline","Overdue"),IF(S1428="Lost","Lost","UNMAPPED")))))</f>
        <v/>
      </c>
      <c r="U1428" s="40" t="n">
        <f aca="false">IF(T1428="Backlog",1,IF(OR(T1428="Pipeline",T1428="Overdue"),N(INDEX(Settings!$C$27:$C$36,MATCH(L1428,Settings!$A$27:$A$36,0))),0))</f>
        <v>0</v>
      </c>
      <c r="V1428" s="38" t="n">
        <f aca="false">Q1428*U1428</f>
        <v>0</v>
      </c>
      <c r="W1428" s="41" t="str">
        <f aca="false">IF($M1428="","",IF(T1428="Overdue",IF(Settings!$B$8="Yes",Settings!$B$7,""),IF(ISNUMBER(R1428),DATE(YEAR(R1428),MONTH(R1428),1),"")))</f>
        <v/>
      </c>
      <c r="X1428" s="38" t="n">
        <f aca="false">IF(AND(OR(T1428="Backlog",T1428="Pipeline",T1428="Overdue"),ISNUMBER(W1428)),IF(W1428&lt;=Settings!$B$6,V1428,0),0)</f>
        <v>0</v>
      </c>
      <c r="Y1428" s="38" t="n">
        <f aca="false">IF(AND(OR(T1428="Backlog",T1428="Pipeline",T1428="Overdue"),ISNUMBER(W1428)),IF(W1428&lt;=Settings!$B$6,Q1428,0),0)</f>
        <v>0</v>
      </c>
      <c r="Z1428" s="38" t="n">
        <f aca="false">IF(Y1428=0,0,IF(T1428="Backlog",Q1428,Q1428*Dashboard!$C$10))</f>
        <v>0</v>
      </c>
      <c r="AA1428" s="37" t="n">
        <f aca="false">IF($N1428="",0,IF(COUNTIF(Dashboard!$C$13:$C$22,$N1428)&gt;0,1,0))</f>
        <v>0</v>
      </c>
      <c r="AB1428" s="37" t="str">
        <f aca="false">IF($N1428="","",IF(COUNTIF($N$8:$N1428,$N1428)=1,MAX($AB$7:$AB1427)+1,""))</f>
        <v/>
      </c>
    </row>
    <row r="1429" customFormat="false" ht="15" hidden="false" customHeight="false" outlineLevel="0" collapsed="false">
      <c r="L1429" s="37" t="str">
        <f aca="false">IF(INDEX($A1429:$J1429,$L$6)&lt;&gt;"",TRIM(LEFT(INDEX($A1429:$J1429,$L$6),FIND("(",INDEX($A1429:$J1429,$L$6)&amp;"(")-1)),L1428)</f>
        <v>Building Value Proposition</v>
      </c>
      <c r="M1429" s="37" t="str">
        <f aca="false">IF(INDEX($A1429:$J1429,$M$6)="","",INDEX($A1429:$J1429,$M$6)&amp;"")</f>
        <v/>
      </c>
      <c r="N1429" s="37" t="str">
        <f aca="false">IF($M1429="","",TRIM(INDEX($A1429:$J1429,$N$6)&amp;""))</f>
        <v/>
      </c>
      <c r="O1429" s="37" t="str">
        <f aca="false">IF($M1429="","",TRIM(INDEX($A1429:$J1429,$O$6)&amp;""))</f>
        <v/>
      </c>
      <c r="P1429" s="37" t="str">
        <f aca="false">IF($M1429="","",IFERROR(IF(INDEX(Settings!$B$41:$B$50,MATCH(O1429,Settings!$A$41:$A$50,0))&amp;""="","UNMAPPED",INDEX(Settings!$B$41:$B$50,MATCH(O1429,Settings!$A$41:$A$50,0))&amp;""),"UNMAPPED"))</f>
        <v/>
      </c>
      <c r="Q1429" s="38" t="n">
        <f aca="false">IF($M1429="",0,N(INDEX($A1429:$J1429,$Q$6)))</f>
        <v>0</v>
      </c>
      <c r="R1429" s="39" t="str">
        <f aca="false">IF($M1429="","",INDEX($A1429:$J1429,$R$6))</f>
        <v/>
      </c>
      <c r="S1429" s="37" t="str">
        <f aca="false">IF($M1429="","",IFERROR(INDEX(Settings!$B$27:$B$36,MATCH(L1429,Settings!$A$27:$A$36,0))&amp;"","UNMAPPED"))</f>
        <v/>
      </c>
      <c r="T1429" s="37" t="str">
        <f aca="false">IF($M1429="","",IF(NOT(ISNUMBER(R1429)),"NO DATE",IF(S1429="Won",IF(R1429&gt;Settings!$B$5,"Backlog","Delivered"),IF(S1429="Open",IF(R1429&gt;Settings!$B$5,"Pipeline","Overdue"),IF(S1429="Lost","Lost","UNMAPPED")))))</f>
        <v/>
      </c>
      <c r="U1429" s="40" t="n">
        <f aca="false">IF(T1429="Backlog",1,IF(OR(T1429="Pipeline",T1429="Overdue"),N(INDEX(Settings!$C$27:$C$36,MATCH(L1429,Settings!$A$27:$A$36,0))),0))</f>
        <v>0</v>
      </c>
      <c r="V1429" s="38" t="n">
        <f aca="false">Q1429*U1429</f>
        <v>0</v>
      </c>
      <c r="W1429" s="41" t="str">
        <f aca="false">IF($M1429="","",IF(T1429="Overdue",IF(Settings!$B$8="Yes",Settings!$B$7,""),IF(ISNUMBER(R1429),DATE(YEAR(R1429),MONTH(R1429),1),"")))</f>
        <v/>
      </c>
      <c r="X1429" s="38" t="n">
        <f aca="false">IF(AND(OR(T1429="Backlog",T1429="Pipeline",T1429="Overdue"),ISNUMBER(W1429)),IF(W1429&lt;=Settings!$B$6,V1429,0),0)</f>
        <v>0</v>
      </c>
      <c r="Y1429" s="38" t="n">
        <f aca="false">IF(AND(OR(T1429="Backlog",T1429="Pipeline",T1429="Overdue"),ISNUMBER(W1429)),IF(W1429&lt;=Settings!$B$6,Q1429,0),0)</f>
        <v>0</v>
      </c>
      <c r="Z1429" s="38" t="n">
        <f aca="false">IF(Y1429=0,0,IF(T1429="Backlog",Q1429,Q1429*Dashboard!$C$10))</f>
        <v>0</v>
      </c>
      <c r="AA1429" s="37" t="n">
        <f aca="false">IF($N1429="",0,IF(COUNTIF(Dashboard!$C$13:$C$22,$N1429)&gt;0,1,0))</f>
        <v>0</v>
      </c>
      <c r="AB1429" s="37" t="str">
        <f aca="false">IF($N1429="","",IF(COUNTIF($N$8:$N1429,$N1429)=1,MAX($AB$7:$AB1428)+1,""))</f>
        <v/>
      </c>
    </row>
    <row r="1430" customFormat="false" ht="15" hidden="false" customHeight="false" outlineLevel="0" collapsed="false">
      <c r="L1430" s="37" t="str">
        <f aca="false">IF(INDEX($A1430:$J1430,$L$6)&lt;&gt;"",TRIM(LEFT(INDEX($A1430:$J1430,$L$6),FIND("(",INDEX($A1430:$J1430,$L$6)&amp;"(")-1)),L1429)</f>
        <v>Building Value Proposition</v>
      </c>
      <c r="M1430" s="37" t="str">
        <f aca="false">IF(INDEX($A1430:$J1430,$M$6)="","",INDEX($A1430:$J1430,$M$6)&amp;"")</f>
        <v/>
      </c>
      <c r="N1430" s="37" t="str">
        <f aca="false">IF($M1430="","",TRIM(INDEX($A1430:$J1430,$N$6)&amp;""))</f>
        <v/>
      </c>
      <c r="O1430" s="37" t="str">
        <f aca="false">IF($M1430="","",TRIM(INDEX($A1430:$J1430,$O$6)&amp;""))</f>
        <v/>
      </c>
      <c r="P1430" s="37" t="str">
        <f aca="false">IF($M1430="","",IFERROR(IF(INDEX(Settings!$B$41:$B$50,MATCH(O1430,Settings!$A$41:$A$50,0))&amp;""="","UNMAPPED",INDEX(Settings!$B$41:$B$50,MATCH(O1430,Settings!$A$41:$A$50,0))&amp;""),"UNMAPPED"))</f>
        <v/>
      </c>
      <c r="Q1430" s="38" t="n">
        <f aca="false">IF($M1430="",0,N(INDEX($A1430:$J1430,$Q$6)))</f>
        <v>0</v>
      </c>
      <c r="R1430" s="39" t="str">
        <f aca="false">IF($M1430="","",INDEX($A1430:$J1430,$R$6))</f>
        <v/>
      </c>
      <c r="S1430" s="37" t="str">
        <f aca="false">IF($M1430="","",IFERROR(INDEX(Settings!$B$27:$B$36,MATCH(L1430,Settings!$A$27:$A$36,0))&amp;"","UNMAPPED"))</f>
        <v/>
      </c>
      <c r="T1430" s="37" t="str">
        <f aca="false">IF($M1430="","",IF(NOT(ISNUMBER(R1430)),"NO DATE",IF(S1430="Won",IF(R1430&gt;Settings!$B$5,"Backlog","Delivered"),IF(S1430="Open",IF(R1430&gt;Settings!$B$5,"Pipeline","Overdue"),IF(S1430="Lost","Lost","UNMAPPED")))))</f>
        <v/>
      </c>
      <c r="U1430" s="40" t="n">
        <f aca="false">IF(T1430="Backlog",1,IF(OR(T1430="Pipeline",T1430="Overdue"),N(INDEX(Settings!$C$27:$C$36,MATCH(L1430,Settings!$A$27:$A$36,0))),0))</f>
        <v>0</v>
      </c>
      <c r="V1430" s="38" t="n">
        <f aca="false">Q1430*U1430</f>
        <v>0</v>
      </c>
      <c r="W1430" s="41" t="str">
        <f aca="false">IF($M1430="","",IF(T1430="Overdue",IF(Settings!$B$8="Yes",Settings!$B$7,""),IF(ISNUMBER(R1430),DATE(YEAR(R1430),MONTH(R1430),1),"")))</f>
        <v/>
      </c>
      <c r="X1430" s="38" t="n">
        <f aca="false">IF(AND(OR(T1430="Backlog",T1430="Pipeline",T1430="Overdue"),ISNUMBER(W1430)),IF(W1430&lt;=Settings!$B$6,V1430,0),0)</f>
        <v>0</v>
      </c>
      <c r="Y1430" s="38" t="n">
        <f aca="false">IF(AND(OR(T1430="Backlog",T1430="Pipeline",T1430="Overdue"),ISNUMBER(W1430)),IF(W1430&lt;=Settings!$B$6,Q1430,0),0)</f>
        <v>0</v>
      </c>
      <c r="Z1430" s="38" t="n">
        <f aca="false">IF(Y1430=0,0,IF(T1430="Backlog",Q1430,Q1430*Dashboard!$C$10))</f>
        <v>0</v>
      </c>
      <c r="AA1430" s="37" t="n">
        <f aca="false">IF($N1430="",0,IF(COUNTIF(Dashboard!$C$13:$C$22,$N1430)&gt;0,1,0))</f>
        <v>0</v>
      </c>
      <c r="AB1430" s="37" t="str">
        <f aca="false">IF($N1430="","",IF(COUNTIF($N$8:$N1430,$N1430)=1,MAX($AB$7:$AB1429)+1,""))</f>
        <v/>
      </c>
    </row>
    <row r="1431" customFormat="false" ht="15" hidden="false" customHeight="false" outlineLevel="0" collapsed="false">
      <c r="L1431" s="37" t="str">
        <f aca="false">IF(INDEX($A1431:$J1431,$L$6)&lt;&gt;"",TRIM(LEFT(INDEX($A1431:$J1431,$L$6),FIND("(",INDEX($A1431:$J1431,$L$6)&amp;"(")-1)),L1430)</f>
        <v>Building Value Proposition</v>
      </c>
      <c r="M1431" s="37" t="str">
        <f aca="false">IF(INDEX($A1431:$J1431,$M$6)="","",INDEX($A1431:$J1431,$M$6)&amp;"")</f>
        <v/>
      </c>
      <c r="N1431" s="37" t="str">
        <f aca="false">IF($M1431="","",TRIM(INDEX($A1431:$J1431,$N$6)&amp;""))</f>
        <v/>
      </c>
      <c r="O1431" s="37" t="str">
        <f aca="false">IF($M1431="","",TRIM(INDEX($A1431:$J1431,$O$6)&amp;""))</f>
        <v/>
      </c>
      <c r="P1431" s="37" t="str">
        <f aca="false">IF($M1431="","",IFERROR(IF(INDEX(Settings!$B$41:$B$50,MATCH(O1431,Settings!$A$41:$A$50,0))&amp;""="","UNMAPPED",INDEX(Settings!$B$41:$B$50,MATCH(O1431,Settings!$A$41:$A$50,0))&amp;""),"UNMAPPED"))</f>
        <v/>
      </c>
      <c r="Q1431" s="38" t="n">
        <f aca="false">IF($M1431="",0,N(INDEX($A1431:$J1431,$Q$6)))</f>
        <v>0</v>
      </c>
      <c r="R1431" s="39" t="str">
        <f aca="false">IF($M1431="","",INDEX($A1431:$J1431,$R$6))</f>
        <v/>
      </c>
      <c r="S1431" s="37" t="str">
        <f aca="false">IF($M1431="","",IFERROR(INDEX(Settings!$B$27:$B$36,MATCH(L1431,Settings!$A$27:$A$36,0))&amp;"","UNMAPPED"))</f>
        <v/>
      </c>
      <c r="T1431" s="37" t="str">
        <f aca="false">IF($M1431="","",IF(NOT(ISNUMBER(R1431)),"NO DATE",IF(S1431="Won",IF(R1431&gt;Settings!$B$5,"Backlog","Delivered"),IF(S1431="Open",IF(R1431&gt;Settings!$B$5,"Pipeline","Overdue"),IF(S1431="Lost","Lost","UNMAPPED")))))</f>
        <v/>
      </c>
      <c r="U1431" s="40" t="n">
        <f aca="false">IF(T1431="Backlog",1,IF(OR(T1431="Pipeline",T1431="Overdue"),N(INDEX(Settings!$C$27:$C$36,MATCH(L1431,Settings!$A$27:$A$36,0))),0))</f>
        <v>0</v>
      </c>
      <c r="V1431" s="38" t="n">
        <f aca="false">Q1431*U1431</f>
        <v>0</v>
      </c>
      <c r="W1431" s="41" t="str">
        <f aca="false">IF($M1431="","",IF(T1431="Overdue",IF(Settings!$B$8="Yes",Settings!$B$7,""),IF(ISNUMBER(R1431),DATE(YEAR(R1431),MONTH(R1431),1),"")))</f>
        <v/>
      </c>
      <c r="X1431" s="38" t="n">
        <f aca="false">IF(AND(OR(T1431="Backlog",T1431="Pipeline",T1431="Overdue"),ISNUMBER(W1431)),IF(W1431&lt;=Settings!$B$6,V1431,0),0)</f>
        <v>0</v>
      </c>
      <c r="Y1431" s="38" t="n">
        <f aca="false">IF(AND(OR(T1431="Backlog",T1431="Pipeline",T1431="Overdue"),ISNUMBER(W1431)),IF(W1431&lt;=Settings!$B$6,Q1431,0),0)</f>
        <v>0</v>
      </c>
      <c r="Z1431" s="38" t="n">
        <f aca="false">IF(Y1431=0,0,IF(T1431="Backlog",Q1431,Q1431*Dashboard!$C$10))</f>
        <v>0</v>
      </c>
      <c r="AA1431" s="37" t="n">
        <f aca="false">IF($N1431="",0,IF(COUNTIF(Dashboard!$C$13:$C$22,$N1431)&gt;0,1,0))</f>
        <v>0</v>
      </c>
      <c r="AB1431" s="37" t="str">
        <f aca="false">IF($N1431="","",IF(COUNTIF($N$8:$N1431,$N1431)=1,MAX($AB$7:$AB1430)+1,""))</f>
        <v/>
      </c>
    </row>
    <row r="1432" customFormat="false" ht="15" hidden="false" customHeight="false" outlineLevel="0" collapsed="false">
      <c r="L1432" s="37" t="str">
        <f aca="false">IF(INDEX($A1432:$J1432,$L$6)&lt;&gt;"",TRIM(LEFT(INDEX($A1432:$J1432,$L$6),FIND("(",INDEX($A1432:$J1432,$L$6)&amp;"(")-1)),L1431)</f>
        <v>Building Value Proposition</v>
      </c>
      <c r="M1432" s="37" t="str">
        <f aca="false">IF(INDEX($A1432:$J1432,$M$6)="","",INDEX($A1432:$J1432,$M$6)&amp;"")</f>
        <v/>
      </c>
      <c r="N1432" s="37" t="str">
        <f aca="false">IF($M1432="","",TRIM(INDEX($A1432:$J1432,$N$6)&amp;""))</f>
        <v/>
      </c>
      <c r="O1432" s="37" t="str">
        <f aca="false">IF($M1432="","",TRIM(INDEX($A1432:$J1432,$O$6)&amp;""))</f>
        <v/>
      </c>
      <c r="P1432" s="37" t="str">
        <f aca="false">IF($M1432="","",IFERROR(IF(INDEX(Settings!$B$41:$B$50,MATCH(O1432,Settings!$A$41:$A$50,0))&amp;""="","UNMAPPED",INDEX(Settings!$B$41:$B$50,MATCH(O1432,Settings!$A$41:$A$50,0))&amp;""),"UNMAPPED"))</f>
        <v/>
      </c>
      <c r="Q1432" s="38" t="n">
        <f aca="false">IF($M1432="",0,N(INDEX($A1432:$J1432,$Q$6)))</f>
        <v>0</v>
      </c>
      <c r="R1432" s="39" t="str">
        <f aca="false">IF($M1432="","",INDEX($A1432:$J1432,$R$6))</f>
        <v/>
      </c>
      <c r="S1432" s="37" t="str">
        <f aca="false">IF($M1432="","",IFERROR(INDEX(Settings!$B$27:$B$36,MATCH(L1432,Settings!$A$27:$A$36,0))&amp;"","UNMAPPED"))</f>
        <v/>
      </c>
      <c r="T1432" s="37" t="str">
        <f aca="false">IF($M1432="","",IF(NOT(ISNUMBER(R1432)),"NO DATE",IF(S1432="Won",IF(R1432&gt;Settings!$B$5,"Backlog","Delivered"),IF(S1432="Open",IF(R1432&gt;Settings!$B$5,"Pipeline","Overdue"),IF(S1432="Lost","Lost","UNMAPPED")))))</f>
        <v/>
      </c>
      <c r="U1432" s="40" t="n">
        <f aca="false">IF(T1432="Backlog",1,IF(OR(T1432="Pipeline",T1432="Overdue"),N(INDEX(Settings!$C$27:$C$36,MATCH(L1432,Settings!$A$27:$A$36,0))),0))</f>
        <v>0</v>
      </c>
      <c r="V1432" s="38" t="n">
        <f aca="false">Q1432*U1432</f>
        <v>0</v>
      </c>
      <c r="W1432" s="41" t="str">
        <f aca="false">IF($M1432="","",IF(T1432="Overdue",IF(Settings!$B$8="Yes",Settings!$B$7,""),IF(ISNUMBER(R1432),DATE(YEAR(R1432),MONTH(R1432),1),"")))</f>
        <v/>
      </c>
      <c r="X1432" s="38" t="n">
        <f aca="false">IF(AND(OR(T1432="Backlog",T1432="Pipeline",T1432="Overdue"),ISNUMBER(W1432)),IF(W1432&lt;=Settings!$B$6,V1432,0),0)</f>
        <v>0</v>
      </c>
      <c r="Y1432" s="38" t="n">
        <f aca="false">IF(AND(OR(T1432="Backlog",T1432="Pipeline",T1432="Overdue"),ISNUMBER(W1432)),IF(W1432&lt;=Settings!$B$6,Q1432,0),0)</f>
        <v>0</v>
      </c>
      <c r="Z1432" s="38" t="n">
        <f aca="false">IF(Y1432=0,0,IF(T1432="Backlog",Q1432,Q1432*Dashboard!$C$10))</f>
        <v>0</v>
      </c>
      <c r="AA1432" s="37" t="n">
        <f aca="false">IF($N1432="",0,IF(COUNTIF(Dashboard!$C$13:$C$22,$N1432)&gt;0,1,0))</f>
        <v>0</v>
      </c>
      <c r="AB1432" s="37" t="str">
        <f aca="false">IF($N1432="","",IF(COUNTIF($N$8:$N1432,$N1432)=1,MAX($AB$7:$AB1431)+1,""))</f>
        <v/>
      </c>
    </row>
    <row r="1433" customFormat="false" ht="15" hidden="false" customHeight="false" outlineLevel="0" collapsed="false">
      <c r="L1433" s="37" t="str">
        <f aca="false">IF(INDEX($A1433:$J1433,$L$6)&lt;&gt;"",TRIM(LEFT(INDEX($A1433:$J1433,$L$6),FIND("(",INDEX($A1433:$J1433,$L$6)&amp;"(")-1)),L1432)</f>
        <v>Building Value Proposition</v>
      </c>
      <c r="M1433" s="37" t="str">
        <f aca="false">IF(INDEX($A1433:$J1433,$M$6)="","",INDEX($A1433:$J1433,$M$6)&amp;"")</f>
        <v/>
      </c>
      <c r="N1433" s="37" t="str">
        <f aca="false">IF($M1433="","",TRIM(INDEX($A1433:$J1433,$N$6)&amp;""))</f>
        <v/>
      </c>
      <c r="O1433" s="37" t="str">
        <f aca="false">IF($M1433="","",TRIM(INDEX($A1433:$J1433,$O$6)&amp;""))</f>
        <v/>
      </c>
      <c r="P1433" s="37" t="str">
        <f aca="false">IF($M1433="","",IFERROR(IF(INDEX(Settings!$B$41:$B$50,MATCH(O1433,Settings!$A$41:$A$50,0))&amp;""="","UNMAPPED",INDEX(Settings!$B$41:$B$50,MATCH(O1433,Settings!$A$41:$A$50,0))&amp;""),"UNMAPPED"))</f>
        <v/>
      </c>
      <c r="Q1433" s="38" t="n">
        <f aca="false">IF($M1433="",0,N(INDEX($A1433:$J1433,$Q$6)))</f>
        <v>0</v>
      </c>
      <c r="R1433" s="39" t="str">
        <f aca="false">IF($M1433="","",INDEX($A1433:$J1433,$R$6))</f>
        <v/>
      </c>
      <c r="S1433" s="37" t="str">
        <f aca="false">IF($M1433="","",IFERROR(INDEX(Settings!$B$27:$B$36,MATCH(L1433,Settings!$A$27:$A$36,0))&amp;"","UNMAPPED"))</f>
        <v/>
      </c>
      <c r="T1433" s="37" t="str">
        <f aca="false">IF($M1433="","",IF(NOT(ISNUMBER(R1433)),"NO DATE",IF(S1433="Won",IF(R1433&gt;Settings!$B$5,"Backlog","Delivered"),IF(S1433="Open",IF(R1433&gt;Settings!$B$5,"Pipeline","Overdue"),IF(S1433="Lost","Lost","UNMAPPED")))))</f>
        <v/>
      </c>
      <c r="U1433" s="40" t="n">
        <f aca="false">IF(T1433="Backlog",1,IF(OR(T1433="Pipeline",T1433="Overdue"),N(INDEX(Settings!$C$27:$C$36,MATCH(L1433,Settings!$A$27:$A$36,0))),0))</f>
        <v>0</v>
      </c>
      <c r="V1433" s="38" t="n">
        <f aca="false">Q1433*U1433</f>
        <v>0</v>
      </c>
      <c r="W1433" s="41" t="str">
        <f aca="false">IF($M1433="","",IF(T1433="Overdue",IF(Settings!$B$8="Yes",Settings!$B$7,""),IF(ISNUMBER(R1433),DATE(YEAR(R1433),MONTH(R1433),1),"")))</f>
        <v/>
      </c>
      <c r="X1433" s="38" t="n">
        <f aca="false">IF(AND(OR(T1433="Backlog",T1433="Pipeline",T1433="Overdue"),ISNUMBER(W1433)),IF(W1433&lt;=Settings!$B$6,V1433,0),0)</f>
        <v>0</v>
      </c>
      <c r="Y1433" s="38" t="n">
        <f aca="false">IF(AND(OR(T1433="Backlog",T1433="Pipeline",T1433="Overdue"),ISNUMBER(W1433)),IF(W1433&lt;=Settings!$B$6,Q1433,0),0)</f>
        <v>0</v>
      </c>
      <c r="Z1433" s="38" t="n">
        <f aca="false">IF(Y1433=0,0,IF(T1433="Backlog",Q1433,Q1433*Dashboard!$C$10))</f>
        <v>0</v>
      </c>
      <c r="AA1433" s="37" t="n">
        <f aca="false">IF($N1433="",0,IF(COUNTIF(Dashboard!$C$13:$C$22,$N1433)&gt;0,1,0))</f>
        <v>0</v>
      </c>
      <c r="AB1433" s="37" t="str">
        <f aca="false">IF($N1433="","",IF(COUNTIF($N$8:$N1433,$N1433)=1,MAX($AB$7:$AB1432)+1,""))</f>
        <v/>
      </c>
    </row>
    <row r="1434" customFormat="false" ht="15" hidden="false" customHeight="false" outlineLevel="0" collapsed="false">
      <c r="L1434" s="37" t="str">
        <f aca="false">IF(INDEX($A1434:$J1434,$L$6)&lt;&gt;"",TRIM(LEFT(INDEX($A1434:$J1434,$L$6),FIND("(",INDEX($A1434:$J1434,$L$6)&amp;"(")-1)),L1433)</f>
        <v>Building Value Proposition</v>
      </c>
      <c r="M1434" s="37" t="str">
        <f aca="false">IF(INDEX($A1434:$J1434,$M$6)="","",INDEX($A1434:$J1434,$M$6)&amp;"")</f>
        <v/>
      </c>
      <c r="N1434" s="37" t="str">
        <f aca="false">IF($M1434="","",TRIM(INDEX($A1434:$J1434,$N$6)&amp;""))</f>
        <v/>
      </c>
      <c r="O1434" s="37" t="str">
        <f aca="false">IF($M1434="","",TRIM(INDEX($A1434:$J1434,$O$6)&amp;""))</f>
        <v/>
      </c>
      <c r="P1434" s="37" t="str">
        <f aca="false">IF($M1434="","",IFERROR(IF(INDEX(Settings!$B$41:$B$50,MATCH(O1434,Settings!$A$41:$A$50,0))&amp;""="","UNMAPPED",INDEX(Settings!$B$41:$B$50,MATCH(O1434,Settings!$A$41:$A$50,0))&amp;""),"UNMAPPED"))</f>
        <v/>
      </c>
      <c r="Q1434" s="38" t="n">
        <f aca="false">IF($M1434="",0,N(INDEX($A1434:$J1434,$Q$6)))</f>
        <v>0</v>
      </c>
      <c r="R1434" s="39" t="str">
        <f aca="false">IF($M1434="","",INDEX($A1434:$J1434,$R$6))</f>
        <v/>
      </c>
      <c r="S1434" s="37" t="str">
        <f aca="false">IF($M1434="","",IFERROR(INDEX(Settings!$B$27:$B$36,MATCH(L1434,Settings!$A$27:$A$36,0))&amp;"","UNMAPPED"))</f>
        <v/>
      </c>
      <c r="T1434" s="37" t="str">
        <f aca="false">IF($M1434="","",IF(NOT(ISNUMBER(R1434)),"NO DATE",IF(S1434="Won",IF(R1434&gt;Settings!$B$5,"Backlog","Delivered"),IF(S1434="Open",IF(R1434&gt;Settings!$B$5,"Pipeline","Overdue"),IF(S1434="Lost","Lost","UNMAPPED")))))</f>
        <v/>
      </c>
      <c r="U1434" s="40" t="n">
        <f aca="false">IF(T1434="Backlog",1,IF(OR(T1434="Pipeline",T1434="Overdue"),N(INDEX(Settings!$C$27:$C$36,MATCH(L1434,Settings!$A$27:$A$36,0))),0))</f>
        <v>0</v>
      </c>
      <c r="V1434" s="38" t="n">
        <f aca="false">Q1434*U1434</f>
        <v>0</v>
      </c>
      <c r="W1434" s="41" t="str">
        <f aca="false">IF($M1434="","",IF(T1434="Overdue",IF(Settings!$B$8="Yes",Settings!$B$7,""),IF(ISNUMBER(R1434),DATE(YEAR(R1434),MONTH(R1434),1),"")))</f>
        <v/>
      </c>
      <c r="X1434" s="38" t="n">
        <f aca="false">IF(AND(OR(T1434="Backlog",T1434="Pipeline",T1434="Overdue"),ISNUMBER(W1434)),IF(W1434&lt;=Settings!$B$6,V1434,0),0)</f>
        <v>0</v>
      </c>
      <c r="Y1434" s="38" t="n">
        <f aca="false">IF(AND(OR(T1434="Backlog",T1434="Pipeline",T1434="Overdue"),ISNUMBER(W1434)),IF(W1434&lt;=Settings!$B$6,Q1434,0),0)</f>
        <v>0</v>
      </c>
      <c r="Z1434" s="38" t="n">
        <f aca="false">IF(Y1434=0,0,IF(T1434="Backlog",Q1434,Q1434*Dashboard!$C$10))</f>
        <v>0</v>
      </c>
      <c r="AA1434" s="37" t="n">
        <f aca="false">IF($N1434="",0,IF(COUNTIF(Dashboard!$C$13:$C$22,$N1434)&gt;0,1,0))</f>
        <v>0</v>
      </c>
      <c r="AB1434" s="37" t="str">
        <f aca="false">IF($N1434="","",IF(COUNTIF($N$8:$N1434,$N1434)=1,MAX($AB$7:$AB1433)+1,""))</f>
        <v/>
      </c>
    </row>
    <row r="1435" customFormat="false" ht="15" hidden="false" customHeight="false" outlineLevel="0" collapsed="false">
      <c r="L1435" s="37" t="str">
        <f aca="false">IF(INDEX($A1435:$J1435,$L$6)&lt;&gt;"",TRIM(LEFT(INDEX($A1435:$J1435,$L$6),FIND("(",INDEX($A1435:$J1435,$L$6)&amp;"(")-1)),L1434)</f>
        <v>Building Value Proposition</v>
      </c>
      <c r="M1435" s="37" t="str">
        <f aca="false">IF(INDEX($A1435:$J1435,$M$6)="","",INDEX($A1435:$J1435,$M$6)&amp;"")</f>
        <v/>
      </c>
      <c r="N1435" s="37" t="str">
        <f aca="false">IF($M1435="","",TRIM(INDEX($A1435:$J1435,$N$6)&amp;""))</f>
        <v/>
      </c>
      <c r="O1435" s="37" t="str">
        <f aca="false">IF($M1435="","",TRIM(INDEX($A1435:$J1435,$O$6)&amp;""))</f>
        <v/>
      </c>
      <c r="P1435" s="37" t="str">
        <f aca="false">IF($M1435="","",IFERROR(IF(INDEX(Settings!$B$41:$B$50,MATCH(O1435,Settings!$A$41:$A$50,0))&amp;""="","UNMAPPED",INDEX(Settings!$B$41:$B$50,MATCH(O1435,Settings!$A$41:$A$50,0))&amp;""),"UNMAPPED"))</f>
        <v/>
      </c>
      <c r="Q1435" s="38" t="n">
        <f aca="false">IF($M1435="",0,N(INDEX($A1435:$J1435,$Q$6)))</f>
        <v>0</v>
      </c>
      <c r="R1435" s="39" t="str">
        <f aca="false">IF($M1435="","",INDEX($A1435:$J1435,$R$6))</f>
        <v/>
      </c>
      <c r="S1435" s="37" t="str">
        <f aca="false">IF($M1435="","",IFERROR(INDEX(Settings!$B$27:$B$36,MATCH(L1435,Settings!$A$27:$A$36,0))&amp;"","UNMAPPED"))</f>
        <v/>
      </c>
      <c r="T1435" s="37" t="str">
        <f aca="false">IF($M1435="","",IF(NOT(ISNUMBER(R1435)),"NO DATE",IF(S1435="Won",IF(R1435&gt;Settings!$B$5,"Backlog","Delivered"),IF(S1435="Open",IF(R1435&gt;Settings!$B$5,"Pipeline","Overdue"),IF(S1435="Lost","Lost","UNMAPPED")))))</f>
        <v/>
      </c>
      <c r="U1435" s="40" t="n">
        <f aca="false">IF(T1435="Backlog",1,IF(OR(T1435="Pipeline",T1435="Overdue"),N(INDEX(Settings!$C$27:$C$36,MATCH(L1435,Settings!$A$27:$A$36,0))),0))</f>
        <v>0</v>
      </c>
      <c r="V1435" s="38" t="n">
        <f aca="false">Q1435*U1435</f>
        <v>0</v>
      </c>
      <c r="W1435" s="41" t="str">
        <f aca="false">IF($M1435="","",IF(T1435="Overdue",IF(Settings!$B$8="Yes",Settings!$B$7,""),IF(ISNUMBER(R1435),DATE(YEAR(R1435),MONTH(R1435),1),"")))</f>
        <v/>
      </c>
      <c r="X1435" s="38" t="n">
        <f aca="false">IF(AND(OR(T1435="Backlog",T1435="Pipeline",T1435="Overdue"),ISNUMBER(W1435)),IF(W1435&lt;=Settings!$B$6,V1435,0),0)</f>
        <v>0</v>
      </c>
      <c r="Y1435" s="38" t="n">
        <f aca="false">IF(AND(OR(T1435="Backlog",T1435="Pipeline",T1435="Overdue"),ISNUMBER(W1435)),IF(W1435&lt;=Settings!$B$6,Q1435,0),0)</f>
        <v>0</v>
      </c>
      <c r="Z1435" s="38" t="n">
        <f aca="false">IF(Y1435=0,0,IF(T1435="Backlog",Q1435,Q1435*Dashboard!$C$10))</f>
        <v>0</v>
      </c>
      <c r="AA1435" s="37" t="n">
        <f aca="false">IF($N1435="",0,IF(COUNTIF(Dashboard!$C$13:$C$22,$N1435)&gt;0,1,0))</f>
        <v>0</v>
      </c>
      <c r="AB1435" s="37" t="str">
        <f aca="false">IF($N1435="","",IF(COUNTIF($N$8:$N1435,$N1435)=1,MAX($AB$7:$AB1434)+1,""))</f>
        <v/>
      </c>
    </row>
    <row r="1436" customFormat="false" ht="15" hidden="false" customHeight="false" outlineLevel="0" collapsed="false">
      <c r="L1436" s="37" t="str">
        <f aca="false">IF(INDEX($A1436:$J1436,$L$6)&lt;&gt;"",TRIM(LEFT(INDEX($A1436:$J1436,$L$6),FIND("(",INDEX($A1436:$J1436,$L$6)&amp;"(")-1)),L1435)</f>
        <v>Building Value Proposition</v>
      </c>
      <c r="M1436" s="37" t="str">
        <f aca="false">IF(INDEX($A1436:$J1436,$M$6)="","",INDEX($A1436:$J1436,$M$6)&amp;"")</f>
        <v/>
      </c>
      <c r="N1436" s="37" t="str">
        <f aca="false">IF($M1436="","",TRIM(INDEX($A1436:$J1436,$N$6)&amp;""))</f>
        <v/>
      </c>
      <c r="O1436" s="37" t="str">
        <f aca="false">IF($M1436="","",TRIM(INDEX($A1436:$J1436,$O$6)&amp;""))</f>
        <v/>
      </c>
      <c r="P1436" s="37" t="str">
        <f aca="false">IF($M1436="","",IFERROR(IF(INDEX(Settings!$B$41:$B$50,MATCH(O1436,Settings!$A$41:$A$50,0))&amp;""="","UNMAPPED",INDEX(Settings!$B$41:$B$50,MATCH(O1436,Settings!$A$41:$A$50,0))&amp;""),"UNMAPPED"))</f>
        <v/>
      </c>
      <c r="Q1436" s="38" t="n">
        <f aca="false">IF($M1436="",0,N(INDEX($A1436:$J1436,$Q$6)))</f>
        <v>0</v>
      </c>
      <c r="R1436" s="39" t="str">
        <f aca="false">IF($M1436="","",INDEX($A1436:$J1436,$R$6))</f>
        <v/>
      </c>
      <c r="S1436" s="37" t="str">
        <f aca="false">IF($M1436="","",IFERROR(INDEX(Settings!$B$27:$B$36,MATCH(L1436,Settings!$A$27:$A$36,0))&amp;"","UNMAPPED"))</f>
        <v/>
      </c>
      <c r="T1436" s="37" t="str">
        <f aca="false">IF($M1436="","",IF(NOT(ISNUMBER(R1436)),"NO DATE",IF(S1436="Won",IF(R1436&gt;Settings!$B$5,"Backlog","Delivered"),IF(S1436="Open",IF(R1436&gt;Settings!$B$5,"Pipeline","Overdue"),IF(S1436="Lost","Lost","UNMAPPED")))))</f>
        <v/>
      </c>
      <c r="U1436" s="40" t="n">
        <f aca="false">IF(T1436="Backlog",1,IF(OR(T1436="Pipeline",T1436="Overdue"),N(INDEX(Settings!$C$27:$C$36,MATCH(L1436,Settings!$A$27:$A$36,0))),0))</f>
        <v>0</v>
      </c>
      <c r="V1436" s="38" t="n">
        <f aca="false">Q1436*U1436</f>
        <v>0</v>
      </c>
      <c r="W1436" s="41" t="str">
        <f aca="false">IF($M1436="","",IF(T1436="Overdue",IF(Settings!$B$8="Yes",Settings!$B$7,""),IF(ISNUMBER(R1436),DATE(YEAR(R1436),MONTH(R1436),1),"")))</f>
        <v/>
      </c>
      <c r="X1436" s="38" t="n">
        <f aca="false">IF(AND(OR(T1436="Backlog",T1436="Pipeline",T1436="Overdue"),ISNUMBER(W1436)),IF(W1436&lt;=Settings!$B$6,V1436,0),0)</f>
        <v>0</v>
      </c>
      <c r="Y1436" s="38" t="n">
        <f aca="false">IF(AND(OR(T1436="Backlog",T1436="Pipeline",T1436="Overdue"),ISNUMBER(W1436)),IF(W1436&lt;=Settings!$B$6,Q1436,0),0)</f>
        <v>0</v>
      </c>
      <c r="Z1436" s="38" t="n">
        <f aca="false">IF(Y1436=0,0,IF(T1436="Backlog",Q1436,Q1436*Dashboard!$C$10))</f>
        <v>0</v>
      </c>
      <c r="AA1436" s="37" t="n">
        <f aca="false">IF($N1436="",0,IF(COUNTIF(Dashboard!$C$13:$C$22,$N1436)&gt;0,1,0))</f>
        <v>0</v>
      </c>
      <c r="AB1436" s="37" t="str">
        <f aca="false">IF($N1436="","",IF(COUNTIF($N$8:$N1436,$N1436)=1,MAX($AB$7:$AB1435)+1,""))</f>
        <v/>
      </c>
    </row>
    <row r="1437" customFormat="false" ht="15" hidden="false" customHeight="false" outlineLevel="0" collapsed="false">
      <c r="L1437" s="37" t="str">
        <f aca="false">IF(INDEX($A1437:$J1437,$L$6)&lt;&gt;"",TRIM(LEFT(INDEX($A1437:$J1437,$L$6),FIND("(",INDEX($A1437:$J1437,$L$6)&amp;"(")-1)),L1436)</f>
        <v>Building Value Proposition</v>
      </c>
      <c r="M1437" s="37" t="str">
        <f aca="false">IF(INDEX($A1437:$J1437,$M$6)="","",INDEX($A1437:$J1437,$M$6)&amp;"")</f>
        <v/>
      </c>
      <c r="N1437" s="37" t="str">
        <f aca="false">IF($M1437="","",TRIM(INDEX($A1437:$J1437,$N$6)&amp;""))</f>
        <v/>
      </c>
      <c r="O1437" s="37" t="str">
        <f aca="false">IF($M1437="","",TRIM(INDEX($A1437:$J1437,$O$6)&amp;""))</f>
        <v/>
      </c>
      <c r="P1437" s="37" t="str">
        <f aca="false">IF($M1437="","",IFERROR(IF(INDEX(Settings!$B$41:$B$50,MATCH(O1437,Settings!$A$41:$A$50,0))&amp;""="","UNMAPPED",INDEX(Settings!$B$41:$B$50,MATCH(O1437,Settings!$A$41:$A$50,0))&amp;""),"UNMAPPED"))</f>
        <v/>
      </c>
      <c r="Q1437" s="38" t="n">
        <f aca="false">IF($M1437="",0,N(INDEX($A1437:$J1437,$Q$6)))</f>
        <v>0</v>
      </c>
      <c r="R1437" s="39" t="str">
        <f aca="false">IF($M1437="","",INDEX($A1437:$J1437,$R$6))</f>
        <v/>
      </c>
      <c r="S1437" s="37" t="str">
        <f aca="false">IF($M1437="","",IFERROR(INDEX(Settings!$B$27:$B$36,MATCH(L1437,Settings!$A$27:$A$36,0))&amp;"","UNMAPPED"))</f>
        <v/>
      </c>
      <c r="T1437" s="37" t="str">
        <f aca="false">IF($M1437="","",IF(NOT(ISNUMBER(R1437)),"NO DATE",IF(S1437="Won",IF(R1437&gt;Settings!$B$5,"Backlog","Delivered"),IF(S1437="Open",IF(R1437&gt;Settings!$B$5,"Pipeline","Overdue"),IF(S1437="Lost","Lost","UNMAPPED")))))</f>
        <v/>
      </c>
      <c r="U1437" s="40" t="n">
        <f aca="false">IF(T1437="Backlog",1,IF(OR(T1437="Pipeline",T1437="Overdue"),N(INDEX(Settings!$C$27:$C$36,MATCH(L1437,Settings!$A$27:$A$36,0))),0))</f>
        <v>0</v>
      </c>
      <c r="V1437" s="38" t="n">
        <f aca="false">Q1437*U1437</f>
        <v>0</v>
      </c>
      <c r="W1437" s="41" t="str">
        <f aca="false">IF($M1437="","",IF(T1437="Overdue",IF(Settings!$B$8="Yes",Settings!$B$7,""),IF(ISNUMBER(R1437),DATE(YEAR(R1437),MONTH(R1437),1),"")))</f>
        <v/>
      </c>
      <c r="X1437" s="38" t="n">
        <f aca="false">IF(AND(OR(T1437="Backlog",T1437="Pipeline",T1437="Overdue"),ISNUMBER(W1437)),IF(W1437&lt;=Settings!$B$6,V1437,0),0)</f>
        <v>0</v>
      </c>
      <c r="Y1437" s="38" t="n">
        <f aca="false">IF(AND(OR(T1437="Backlog",T1437="Pipeline",T1437="Overdue"),ISNUMBER(W1437)),IF(W1437&lt;=Settings!$B$6,Q1437,0),0)</f>
        <v>0</v>
      </c>
      <c r="Z1437" s="38" t="n">
        <f aca="false">IF(Y1437=0,0,IF(T1437="Backlog",Q1437,Q1437*Dashboard!$C$10))</f>
        <v>0</v>
      </c>
      <c r="AA1437" s="37" t="n">
        <f aca="false">IF($N1437="",0,IF(COUNTIF(Dashboard!$C$13:$C$22,$N1437)&gt;0,1,0))</f>
        <v>0</v>
      </c>
      <c r="AB1437" s="37" t="str">
        <f aca="false">IF($N1437="","",IF(COUNTIF($N$8:$N1437,$N1437)=1,MAX($AB$7:$AB1436)+1,""))</f>
        <v/>
      </c>
    </row>
    <row r="1438" customFormat="false" ht="15" hidden="false" customHeight="false" outlineLevel="0" collapsed="false">
      <c r="L1438" s="37" t="str">
        <f aca="false">IF(INDEX($A1438:$J1438,$L$6)&lt;&gt;"",TRIM(LEFT(INDEX($A1438:$J1438,$L$6),FIND("(",INDEX($A1438:$J1438,$L$6)&amp;"(")-1)),L1437)</f>
        <v>Building Value Proposition</v>
      </c>
      <c r="M1438" s="37" t="str">
        <f aca="false">IF(INDEX($A1438:$J1438,$M$6)="","",INDEX($A1438:$J1438,$M$6)&amp;"")</f>
        <v/>
      </c>
      <c r="N1438" s="37" t="str">
        <f aca="false">IF($M1438="","",TRIM(INDEX($A1438:$J1438,$N$6)&amp;""))</f>
        <v/>
      </c>
      <c r="O1438" s="37" t="str">
        <f aca="false">IF($M1438="","",TRIM(INDEX($A1438:$J1438,$O$6)&amp;""))</f>
        <v/>
      </c>
      <c r="P1438" s="37" t="str">
        <f aca="false">IF($M1438="","",IFERROR(IF(INDEX(Settings!$B$41:$B$50,MATCH(O1438,Settings!$A$41:$A$50,0))&amp;""="","UNMAPPED",INDEX(Settings!$B$41:$B$50,MATCH(O1438,Settings!$A$41:$A$50,0))&amp;""),"UNMAPPED"))</f>
        <v/>
      </c>
      <c r="Q1438" s="38" t="n">
        <f aca="false">IF($M1438="",0,N(INDEX($A1438:$J1438,$Q$6)))</f>
        <v>0</v>
      </c>
      <c r="R1438" s="39" t="str">
        <f aca="false">IF($M1438="","",INDEX($A1438:$J1438,$R$6))</f>
        <v/>
      </c>
      <c r="S1438" s="37" t="str">
        <f aca="false">IF($M1438="","",IFERROR(INDEX(Settings!$B$27:$B$36,MATCH(L1438,Settings!$A$27:$A$36,0))&amp;"","UNMAPPED"))</f>
        <v/>
      </c>
      <c r="T1438" s="37" t="str">
        <f aca="false">IF($M1438="","",IF(NOT(ISNUMBER(R1438)),"NO DATE",IF(S1438="Won",IF(R1438&gt;Settings!$B$5,"Backlog","Delivered"),IF(S1438="Open",IF(R1438&gt;Settings!$B$5,"Pipeline","Overdue"),IF(S1438="Lost","Lost","UNMAPPED")))))</f>
        <v/>
      </c>
      <c r="U1438" s="40" t="n">
        <f aca="false">IF(T1438="Backlog",1,IF(OR(T1438="Pipeline",T1438="Overdue"),N(INDEX(Settings!$C$27:$C$36,MATCH(L1438,Settings!$A$27:$A$36,0))),0))</f>
        <v>0</v>
      </c>
      <c r="V1438" s="38" t="n">
        <f aca="false">Q1438*U1438</f>
        <v>0</v>
      </c>
      <c r="W1438" s="41" t="str">
        <f aca="false">IF($M1438="","",IF(T1438="Overdue",IF(Settings!$B$8="Yes",Settings!$B$7,""),IF(ISNUMBER(R1438),DATE(YEAR(R1438),MONTH(R1438),1),"")))</f>
        <v/>
      </c>
      <c r="X1438" s="38" t="n">
        <f aca="false">IF(AND(OR(T1438="Backlog",T1438="Pipeline",T1438="Overdue"),ISNUMBER(W1438)),IF(W1438&lt;=Settings!$B$6,V1438,0),0)</f>
        <v>0</v>
      </c>
      <c r="Y1438" s="38" t="n">
        <f aca="false">IF(AND(OR(T1438="Backlog",T1438="Pipeline",T1438="Overdue"),ISNUMBER(W1438)),IF(W1438&lt;=Settings!$B$6,Q1438,0),0)</f>
        <v>0</v>
      </c>
      <c r="Z1438" s="38" t="n">
        <f aca="false">IF(Y1438=0,0,IF(T1438="Backlog",Q1438,Q1438*Dashboard!$C$10))</f>
        <v>0</v>
      </c>
      <c r="AA1438" s="37" t="n">
        <f aca="false">IF($N1438="",0,IF(COUNTIF(Dashboard!$C$13:$C$22,$N1438)&gt;0,1,0))</f>
        <v>0</v>
      </c>
      <c r="AB1438" s="37" t="str">
        <f aca="false">IF($N1438="","",IF(COUNTIF($N$8:$N1438,$N1438)=1,MAX($AB$7:$AB1437)+1,""))</f>
        <v/>
      </c>
    </row>
    <row r="1439" customFormat="false" ht="15" hidden="false" customHeight="false" outlineLevel="0" collapsed="false">
      <c r="L1439" s="37" t="str">
        <f aca="false">IF(INDEX($A1439:$J1439,$L$6)&lt;&gt;"",TRIM(LEFT(INDEX($A1439:$J1439,$L$6),FIND("(",INDEX($A1439:$J1439,$L$6)&amp;"(")-1)),L1438)</f>
        <v>Building Value Proposition</v>
      </c>
      <c r="M1439" s="37" t="str">
        <f aca="false">IF(INDEX($A1439:$J1439,$M$6)="","",INDEX($A1439:$J1439,$M$6)&amp;"")</f>
        <v/>
      </c>
      <c r="N1439" s="37" t="str">
        <f aca="false">IF($M1439="","",TRIM(INDEX($A1439:$J1439,$N$6)&amp;""))</f>
        <v/>
      </c>
      <c r="O1439" s="37" t="str">
        <f aca="false">IF($M1439="","",TRIM(INDEX($A1439:$J1439,$O$6)&amp;""))</f>
        <v/>
      </c>
      <c r="P1439" s="37" t="str">
        <f aca="false">IF($M1439="","",IFERROR(IF(INDEX(Settings!$B$41:$B$50,MATCH(O1439,Settings!$A$41:$A$50,0))&amp;""="","UNMAPPED",INDEX(Settings!$B$41:$B$50,MATCH(O1439,Settings!$A$41:$A$50,0))&amp;""),"UNMAPPED"))</f>
        <v/>
      </c>
      <c r="Q1439" s="38" t="n">
        <f aca="false">IF($M1439="",0,N(INDEX($A1439:$J1439,$Q$6)))</f>
        <v>0</v>
      </c>
      <c r="R1439" s="39" t="str">
        <f aca="false">IF($M1439="","",INDEX($A1439:$J1439,$R$6))</f>
        <v/>
      </c>
      <c r="S1439" s="37" t="str">
        <f aca="false">IF($M1439="","",IFERROR(INDEX(Settings!$B$27:$B$36,MATCH(L1439,Settings!$A$27:$A$36,0))&amp;"","UNMAPPED"))</f>
        <v/>
      </c>
      <c r="T1439" s="37" t="str">
        <f aca="false">IF($M1439="","",IF(NOT(ISNUMBER(R1439)),"NO DATE",IF(S1439="Won",IF(R1439&gt;Settings!$B$5,"Backlog","Delivered"),IF(S1439="Open",IF(R1439&gt;Settings!$B$5,"Pipeline","Overdue"),IF(S1439="Lost","Lost","UNMAPPED")))))</f>
        <v/>
      </c>
      <c r="U1439" s="40" t="n">
        <f aca="false">IF(T1439="Backlog",1,IF(OR(T1439="Pipeline",T1439="Overdue"),N(INDEX(Settings!$C$27:$C$36,MATCH(L1439,Settings!$A$27:$A$36,0))),0))</f>
        <v>0</v>
      </c>
      <c r="V1439" s="38" t="n">
        <f aca="false">Q1439*U1439</f>
        <v>0</v>
      </c>
      <c r="W1439" s="41" t="str">
        <f aca="false">IF($M1439="","",IF(T1439="Overdue",IF(Settings!$B$8="Yes",Settings!$B$7,""),IF(ISNUMBER(R1439),DATE(YEAR(R1439),MONTH(R1439),1),"")))</f>
        <v/>
      </c>
      <c r="X1439" s="38" t="n">
        <f aca="false">IF(AND(OR(T1439="Backlog",T1439="Pipeline",T1439="Overdue"),ISNUMBER(W1439)),IF(W1439&lt;=Settings!$B$6,V1439,0),0)</f>
        <v>0</v>
      </c>
      <c r="Y1439" s="38" t="n">
        <f aca="false">IF(AND(OR(T1439="Backlog",T1439="Pipeline",T1439="Overdue"),ISNUMBER(W1439)),IF(W1439&lt;=Settings!$B$6,Q1439,0),0)</f>
        <v>0</v>
      </c>
      <c r="Z1439" s="38" t="n">
        <f aca="false">IF(Y1439=0,0,IF(T1439="Backlog",Q1439,Q1439*Dashboard!$C$10))</f>
        <v>0</v>
      </c>
      <c r="AA1439" s="37" t="n">
        <f aca="false">IF($N1439="",0,IF(COUNTIF(Dashboard!$C$13:$C$22,$N1439)&gt;0,1,0))</f>
        <v>0</v>
      </c>
      <c r="AB1439" s="37" t="str">
        <f aca="false">IF($N1439="","",IF(COUNTIF($N$8:$N1439,$N1439)=1,MAX($AB$7:$AB1438)+1,""))</f>
        <v/>
      </c>
    </row>
    <row r="1440" customFormat="false" ht="15" hidden="false" customHeight="false" outlineLevel="0" collapsed="false">
      <c r="L1440" s="37" t="str">
        <f aca="false">IF(INDEX($A1440:$J1440,$L$6)&lt;&gt;"",TRIM(LEFT(INDEX($A1440:$J1440,$L$6),FIND("(",INDEX($A1440:$J1440,$L$6)&amp;"(")-1)),L1439)</f>
        <v>Building Value Proposition</v>
      </c>
      <c r="M1440" s="37" t="str">
        <f aca="false">IF(INDEX($A1440:$J1440,$M$6)="","",INDEX($A1440:$J1440,$M$6)&amp;"")</f>
        <v/>
      </c>
      <c r="N1440" s="37" t="str">
        <f aca="false">IF($M1440="","",TRIM(INDEX($A1440:$J1440,$N$6)&amp;""))</f>
        <v/>
      </c>
      <c r="O1440" s="37" t="str">
        <f aca="false">IF($M1440="","",TRIM(INDEX($A1440:$J1440,$O$6)&amp;""))</f>
        <v/>
      </c>
      <c r="P1440" s="37" t="str">
        <f aca="false">IF($M1440="","",IFERROR(IF(INDEX(Settings!$B$41:$B$50,MATCH(O1440,Settings!$A$41:$A$50,0))&amp;""="","UNMAPPED",INDEX(Settings!$B$41:$B$50,MATCH(O1440,Settings!$A$41:$A$50,0))&amp;""),"UNMAPPED"))</f>
        <v/>
      </c>
      <c r="Q1440" s="38" t="n">
        <f aca="false">IF($M1440="",0,N(INDEX($A1440:$J1440,$Q$6)))</f>
        <v>0</v>
      </c>
      <c r="R1440" s="39" t="str">
        <f aca="false">IF($M1440="","",INDEX($A1440:$J1440,$R$6))</f>
        <v/>
      </c>
      <c r="S1440" s="37" t="str">
        <f aca="false">IF($M1440="","",IFERROR(INDEX(Settings!$B$27:$B$36,MATCH(L1440,Settings!$A$27:$A$36,0))&amp;"","UNMAPPED"))</f>
        <v/>
      </c>
      <c r="T1440" s="37" t="str">
        <f aca="false">IF($M1440="","",IF(NOT(ISNUMBER(R1440)),"NO DATE",IF(S1440="Won",IF(R1440&gt;Settings!$B$5,"Backlog","Delivered"),IF(S1440="Open",IF(R1440&gt;Settings!$B$5,"Pipeline","Overdue"),IF(S1440="Lost","Lost","UNMAPPED")))))</f>
        <v/>
      </c>
      <c r="U1440" s="40" t="n">
        <f aca="false">IF(T1440="Backlog",1,IF(OR(T1440="Pipeline",T1440="Overdue"),N(INDEX(Settings!$C$27:$C$36,MATCH(L1440,Settings!$A$27:$A$36,0))),0))</f>
        <v>0</v>
      </c>
      <c r="V1440" s="38" t="n">
        <f aca="false">Q1440*U1440</f>
        <v>0</v>
      </c>
      <c r="W1440" s="41" t="str">
        <f aca="false">IF($M1440="","",IF(T1440="Overdue",IF(Settings!$B$8="Yes",Settings!$B$7,""),IF(ISNUMBER(R1440),DATE(YEAR(R1440),MONTH(R1440),1),"")))</f>
        <v/>
      </c>
      <c r="X1440" s="38" t="n">
        <f aca="false">IF(AND(OR(T1440="Backlog",T1440="Pipeline",T1440="Overdue"),ISNUMBER(W1440)),IF(W1440&lt;=Settings!$B$6,V1440,0),0)</f>
        <v>0</v>
      </c>
      <c r="Y1440" s="38" t="n">
        <f aca="false">IF(AND(OR(T1440="Backlog",T1440="Pipeline",T1440="Overdue"),ISNUMBER(W1440)),IF(W1440&lt;=Settings!$B$6,Q1440,0),0)</f>
        <v>0</v>
      </c>
      <c r="Z1440" s="38" t="n">
        <f aca="false">IF(Y1440=0,0,IF(T1440="Backlog",Q1440,Q1440*Dashboard!$C$10))</f>
        <v>0</v>
      </c>
      <c r="AA1440" s="37" t="n">
        <f aca="false">IF($N1440="",0,IF(COUNTIF(Dashboard!$C$13:$C$22,$N1440)&gt;0,1,0))</f>
        <v>0</v>
      </c>
      <c r="AB1440" s="37" t="str">
        <f aca="false">IF($N1440="","",IF(COUNTIF($N$8:$N1440,$N1440)=1,MAX($AB$7:$AB1439)+1,""))</f>
        <v/>
      </c>
    </row>
    <row r="1441" customFormat="false" ht="15" hidden="false" customHeight="false" outlineLevel="0" collapsed="false">
      <c r="L1441" s="37" t="str">
        <f aca="false">IF(INDEX($A1441:$J1441,$L$6)&lt;&gt;"",TRIM(LEFT(INDEX($A1441:$J1441,$L$6),FIND("(",INDEX($A1441:$J1441,$L$6)&amp;"(")-1)),L1440)</f>
        <v>Building Value Proposition</v>
      </c>
      <c r="M1441" s="37" t="str">
        <f aca="false">IF(INDEX($A1441:$J1441,$M$6)="","",INDEX($A1441:$J1441,$M$6)&amp;"")</f>
        <v/>
      </c>
      <c r="N1441" s="37" t="str">
        <f aca="false">IF($M1441="","",TRIM(INDEX($A1441:$J1441,$N$6)&amp;""))</f>
        <v/>
      </c>
      <c r="O1441" s="37" t="str">
        <f aca="false">IF($M1441="","",TRIM(INDEX($A1441:$J1441,$O$6)&amp;""))</f>
        <v/>
      </c>
      <c r="P1441" s="37" t="str">
        <f aca="false">IF($M1441="","",IFERROR(IF(INDEX(Settings!$B$41:$B$50,MATCH(O1441,Settings!$A$41:$A$50,0))&amp;""="","UNMAPPED",INDEX(Settings!$B$41:$B$50,MATCH(O1441,Settings!$A$41:$A$50,0))&amp;""),"UNMAPPED"))</f>
        <v/>
      </c>
      <c r="Q1441" s="38" t="n">
        <f aca="false">IF($M1441="",0,N(INDEX($A1441:$J1441,$Q$6)))</f>
        <v>0</v>
      </c>
      <c r="R1441" s="39" t="str">
        <f aca="false">IF($M1441="","",INDEX($A1441:$J1441,$R$6))</f>
        <v/>
      </c>
      <c r="S1441" s="37" t="str">
        <f aca="false">IF($M1441="","",IFERROR(INDEX(Settings!$B$27:$B$36,MATCH(L1441,Settings!$A$27:$A$36,0))&amp;"","UNMAPPED"))</f>
        <v/>
      </c>
      <c r="T1441" s="37" t="str">
        <f aca="false">IF($M1441="","",IF(NOT(ISNUMBER(R1441)),"NO DATE",IF(S1441="Won",IF(R1441&gt;Settings!$B$5,"Backlog","Delivered"),IF(S1441="Open",IF(R1441&gt;Settings!$B$5,"Pipeline","Overdue"),IF(S1441="Lost","Lost","UNMAPPED")))))</f>
        <v/>
      </c>
      <c r="U1441" s="40" t="n">
        <f aca="false">IF(T1441="Backlog",1,IF(OR(T1441="Pipeline",T1441="Overdue"),N(INDEX(Settings!$C$27:$C$36,MATCH(L1441,Settings!$A$27:$A$36,0))),0))</f>
        <v>0</v>
      </c>
      <c r="V1441" s="38" t="n">
        <f aca="false">Q1441*U1441</f>
        <v>0</v>
      </c>
      <c r="W1441" s="41" t="str">
        <f aca="false">IF($M1441="","",IF(T1441="Overdue",IF(Settings!$B$8="Yes",Settings!$B$7,""),IF(ISNUMBER(R1441),DATE(YEAR(R1441),MONTH(R1441),1),"")))</f>
        <v/>
      </c>
      <c r="X1441" s="38" t="n">
        <f aca="false">IF(AND(OR(T1441="Backlog",T1441="Pipeline",T1441="Overdue"),ISNUMBER(W1441)),IF(W1441&lt;=Settings!$B$6,V1441,0),0)</f>
        <v>0</v>
      </c>
      <c r="Y1441" s="38" t="n">
        <f aca="false">IF(AND(OR(T1441="Backlog",T1441="Pipeline",T1441="Overdue"),ISNUMBER(W1441)),IF(W1441&lt;=Settings!$B$6,Q1441,0),0)</f>
        <v>0</v>
      </c>
      <c r="Z1441" s="38" t="n">
        <f aca="false">IF(Y1441=0,0,IF(T1441="Backlog",Q1441,Q1441*Dashboard!$C$10))</f>
        <v>0</v>
      </c>
      <c r="AA1441" s="37" t="n">
        <f aca="false">IF($N1441="",0,IF(COUNTIF(Dashboard!$C$13:$C$22,$N1441)&gt;0,1,0))</f>
        <v>0</v>
      </c>
      <c r="AB1441" s="37" t="str">
        <f aca="false">IF($N1441="","",IF(COUNTIF($N$8:$N1441,$N1441)=1,MAX($AB$7:$AB1440)+1,""))</f>
        <v/>
      </c>
    </row>
    <row r="1442" customFormat="false" ht="15" hidden="false" customHeight="false" outlineLevel="0" collapsed="false">
      <c r="L1442" s="37" t="str">
        <f aca="false">IF(INDEX($A1442:$J1442,$L$6)&lt;&gt;"",TRIM(LEFT(INDEX($A1442:$J1442,$L$6),FIND("(",INDEX($A1442:$J1442,$L$6)&amp;"(")-1)),L1441)</f>
        <v>Building Value Proposition</v>
      </c>
      <c r="M1442" s="37" t="str">
        <f aca="false">IF(INDEX($A1442:$J1442,$M$6)="","",INDEX($A1442:$J1442,$M$6)&amp;"")</f>
        <v/>
      </c>
      <c r="N1442" s="37" t="str">
        <f aca="false">IF($M1442="","",TRIM(INDEX($A1442:$J1442,$N$6)&amp;""))</f>
        <v/>
      </c>
      <c r="O1442" s="37" t="str">
        <f aca="false">IF($M1442="","",TRIM(INDEX($A1442:$J1442,$O$6)&amp;""))</f>
        <v/>
      </c>
      <c r="P1442" s="37" t="str">
        <f aca="false">IF($M1442="","",IFERROR(IF(INDEX(Settings!$B$41:$B$50,MATCH(O1442,Settings!$A$41:$A$50,0))&amp;""="","UNMAPPED",INDEX(Settings!$B$41:$B$50,MATCH(O1442,Settings!$A$41:$A$50,0))&amp;""),"UNMAPPED"))</f>
        <v/>
      </c>
      <c r="Q1442" s="38" t="n">
        <f aca="false">IF($M1442="",0,N(INDEX($A1442:$J1442,$Q$6)))</f>
        <v>0</v>
      </c>
      <c r="R1442" s="39" t="str">
        <f aca="false">IF($M1442="","",INDEX($A1442:$J1442,$R$6))</f>
        <v/>
      </c>
      <c r="S1442" s="37" t="str">
        <f aca="false">IF($M1442="","",IFERROR(INDEX(Settings!$B$27:$B$36,MATCH(L1442,Settings!$A$27:$A$36,0))&amp;"","UNMAPPED"))</f>
        <v/>
      </c>
      <c r="T1442" s="37" t="str">
        <f aca="false">IF($M1442="","",IF(NOT(ISNUMBER(R1442)),"NO DATE",IF(S1442="Won",IF(R1442&gt;Settings!$B$5,"Backlog","Delivered"),IF(S1442="Open",IF(R1442&gt;Settings!$B$5,"Pipeline","Overdue"),IF(S1442="Lost","Lost","UNMAPPED")))))</f>
        <v/>
      </c>
      <c r="U1442" s="40" t="n">
        <f aca="false">IF(T1442="Backlog",1,IF(OR(T1442="Pipeline",T1442="Overdue"),N(INDEX(Settings!$C$27:$C$36,MATCH(L1442,Settings!$A$27:$A$36,0))),0))</f>
        <v>0</v>
      </c>
      <c r="V1442" s="38" t="n">
        <f aca="false">Q1442*U1442</f>
        <v>0</v>
      </c>
      <c r="W1442" s="41" t="str">
        <f aca="false">IF($M1442="","",IF(T1442="Overdue",IF(Settings!$B$8="Yes",Settings!$B$7,""),IF(ISNUMBER(R1442),DATE(YEAR(R1442),MONTH(R1442),1),"")))</f>
        <v/>
      </c>
      <c r="X1442" s="38" t="n">
        <f aca="false">IF(AND(OR(T1442="Backlog",T1442="Pipeline",T1442="Overdue"),ISNUMBER(W1442)),IF(W1442&lt;=Settings!$B$6,V1442,0),0)</f>
        <v>0</v>
      </c>
      <c r="Y1442" s="38" t="n">
        <f aca="false">IF(AND(OR(T1442="Backlog",T1442="Pipeline",T1442="Overdue"),ISNUMBER(W1442)),IF(W1442&lt;=Settings!$B$6,Q1442,0),0)</f>
        <v>0</v>
      </c>
      <c r="Z1442" s="38" t="n">
        <f aca="false">IF(Y1442=0,0,IF(T1442="Backlog",Q1442,Q1442*Dashboard!$C$10))</f>
        <v>0</v>
      </c>
      <c r="AA1442" s="37" t="n">
        <f aca="false">IF($N1442="",0,IF(COUNTIF(Dashboard!$C$13:$C$22,$N1442)&gt;0,1,0))</f>
        <v>0</v>
      </c>
      <c r="AB1442" s="37" t="str">
        <f aca="false">IF($N1442="","",IF(COUNTIF($N$8:$N1442,$N1442)=1,MAX($AB$7:$AB1441)+1,""))</f>
        <v/>
      </c>
    </row>
    <row r="1443" customFormat="false" ht="15" hidden="false" customHeight="false" outlineLevel="0" collapsed="false">
      <c r="L1443" s="37" t="str">
        <f aca="false">IF(INDEX($A1443:$J1443,$L$6)&lt;&gt;"",TRIM(LEFT(INDEX($A1443:$J1443,$L$6),FIND("(",INDEX($A1443:$J1443,$L$6)&amp;"(")-1)),L1442)</f>
        <v>Building Value Proposition</v>
      </c>
      <c r="M1443" s="37" t="str">
        <f aca="false">IF(INDEX($A1443:$J1443,$M$6)="","",INDEX($A1443:$J1443,$M$6)&amp;"")</f>
        <v/>
      </c>
      <c r="N1443" s="37" t="str">
        <f aca="false">IF($M1443="","",TRIM(INDEX($A1443:$J1443,$N$6)&amp;""))</f>
        <v/>
      </c>
      <c r="O1443" s="37" t="str">
        <f aca="false">IF($M1443="","",TRIM(INDEX($A1443:$J1443,$O$6)&amp;""))</f>
        <v/>
      </c>
      <c r="P1443" s="37" t="str">
        <f aca="false">IF($M1443="","",IFERROR(IF(INDEX(Settings!$B$41:$B$50,MATCH(O1443,Settings!$A$41:$A$50,0))&amp;""="","UNMAPPED",INDEX(Settings!$B$41:$B$50,MATCH(O1443,Settings!$A$41:$A$50,0))&amp;""),"UNMAPPED"))</f>
        <v/>
      </c>
      <c r="Q1443" s="38" t="n">
        <f aca="false">IF($M1443="",0,N(INDEX($A1443:$J1443,$Q$6)))</f>
        <v>0</v>
      </c>
      <c r="R1443" s="39" t="str">
        <f aca="false">IF($M1443="","",INDEX($A1443:$J1443,$R$6))</f>
        <v/>
      </c>
      <c r="S1443" s="37" t="str">
        <f aca="false">IF($M1443="","",IFERROR(INDEX(Settings!$B$27:$B$36,MATCH(L1443,Settings!$A$27:$A$36,0))&amp;"","UNMAPPED"))</f>
        <v/>
      </c>
      <c r="T1443" s="37" t="str">
        <f aca="false">IF($M1443="","",IF(NOT(ISNUMBER(R1443)),"NO DATE",IF(S1443="Won",IF(R1443&gt;Settings!$B$5,"Backlog","Delivered"),IF(S1443="Open",IF(R1443&gt;Settings!$B$5,"Pipeline","Overdue"),IF(S1443="Lost","Lost","UNMAPPED")))))</f>
        <v/>
      </c>
      <c r="U1443" s="40" t="n">
        <f aca="false">IF(T1443="Backlog",1,IF(OR(T1443="Pipeline",T1443="Overdue"),N(INDEX(Settings!$C$27:$C$36,MATCH(L1443,Settings!$A$27:$A$36,0))),0))</f>
        <v>0</v>
      </c>
      <c r="V1443" s="38" t="n">
        <f aca="false">Q1443*U1443</f>
        <v>0</v>
      </c>
      <c r="W1443" s="41" t="str">
        <f aca="false">IF($M1443="","",IF(T1443="Overdue",IF(Settings!$B$8="Yes",Settings!$B$7,""),IF(ISNUMBER(R1443),DATE(YEAR(R1443),MONTH(R1443),1),"")))</f>
        <v/>
      </c>
      <c r="X1443" s="38" t="n">
        <f aca="false">IF(AND(OR(T1443="Backlog",T1443="Pipeline",T1443="Overdue"),ISNUMBER(W1443)),IF(W1443&lt;=Settings!$B$6,V1443,0),0)</f>
        <v>0</v>
      </c>
      <c r="Y1443" s="38" t="n">
        <f aca="false">IF(AND(OR(T1443="Backlog",T1443="Pipeline",T1443="Overdue"),ISNUMBER(W1443)),IF(W1443&lt;=Settings!$B$6,Q1443,0),0)</f>
        <v>0</v>
      </c>
      <c r="Z1443" s="38" t="n">
        <f aca="false">IF(Y1443=0,0,IF(T1443="Backlog",Q1443,Q1443*Dashboard!$C$10))</f>
        <v>0</v>
      </c>
      <c r="AA1443" s="37" t="n">
        <f aca="false">IF($N1443="",0,IF(COUNTIF(Dashboard!$C$13:$C$22,$N1443)&gt;0,1,0))</f>
        <v>0</v>
      </c>
      <c r="AB1443" s="37" t="str">
        <f aca="false">IF($N1443="","",IF(COUNTIF($N$8:$N1443,$N1443)=1,MAX($AB$7:$AB1442)+1,""))</f>
        <v/>
      </c>
    </row>
    <row r="1444" customFormat="false" ht="15" hidden="false" customHeight="false" outlineLevel="0" collapsed="false">
      <c r="L1444" s="37" t="str">
        <f aca="false">IF(INDEX($A1444:$J1444,$L$6)&lt;&gt;"",TRIM(LEFT(INDEX($A1444:$J1444,$L$6),FIND("(",INDEX($A1444:$J1444,$L$6)&amp;"(")-1)),L1443)</f>
        <v>Building Value Proposition</v>
      </c>
      <c r="M1444" s="37" t="str">
        <f aca="false">IF(INDEX($A1444:$J1444,$M$6)="","",INDEX($A1444:$J1444,$M$6)&amp;"")</f>
        <v/>
      </c>
      <c r="N1444" s="37" t="str">
        <f aca="false">IF($M1444="","",TRIM(INDEX($A1444:$J1444,$N$6)&amp;""))</f>
        <v/>
      </c>
      <c r="O1444" s="37" t="str">
        <f aca="false">IF($M1444="","",TRIM(INDEX($A1444:$J1444,$O$6)&amp;""))</f>
        <v/>
      </c>
      <c r="P1444" s="37" t="str">
        <f aca="false">IF($M1444="","",IFERROR(IF(INDEX(Settings!$B$41:$B$50,MATCH(O1444,Settings!$A$41:$A$50,0))&amp;""="","UNMAPPED",INDEX(Settings!$B$41:$B$50,MATCH(O1444,Settings!$A$41:$A$50,0))&amp;""),"UNMAPPED"))</f>
        <v/>
      </c>
      <c r="Q1444" s="38" t="n">
        <f aca="false">IF($M1444="",0,N(INDEX($A1444:$J1444,$Q$6)))</f>
        <v>0</v>
      </c>
      <c r="R1444" s="39" t="str">
        <f aca="false">IF($M1444="","",INDEX($A1444:$J1444,$R$6))</f>
        <v/>
      </c>
      <c r="S1444" s="37" t="str">
        <f aca="false">IF($M1444="","",IFERROR(INDEX(Settings!$B$27:$B$36,MATCH(L1444,Settings!$A$27:$A$36,0))&amp;"","UNMAPPED"))</f>
        <v/>
      </c>
      <c r="T1444" s="37" t="str">
        <f aca="false">IF($M1444="","",IF(NOT(ISNUMBER(R1444)),"NO DATE",IF(S1444="Won",IF(R1444&gt;Settings!$B$5,"Backlog","Delivered"),IF(S1444="Open",IF(R1444&gt;Settings!$B$5,"Pipeline","Overdue"),IF(S1444="Lost","Lost","UNMAPPED")))))</f>
        <v/>
      </c>
      <c r="U1444" s="40" t="n">
        <f aca="false">IF(T1444="Backlog",1,IF(OR(T1444="Pipeline",T1444="Overdue"),N(INDEX(Settings!$C$27:$C$36,MATCH(L1444,Settings!$A$27:$A$36,0))),0))</f>
        <v>0</v>
      </c>
      <c r="V1444" s="38" t="n">
        <f aca="false">Q1444*U1444</f>
        <v>0</v>
      </c>
      <c r="W1444" s="41" t="str">
        <f aca="false">IF($M1444="","",IF(T1444="Overdue",IF(Settings!$B$8="Yes",Settings!$B$7,""),IF(ISNUMBER(R1444),DATE(YEAR(R1444),MONTH(R1444),1),"")))</f>
        <v/>
      </c>
      <c r="X1444" s="38" t="n">
        <f aca="false">IF(AND(OR(T1444="Backlog",T1444="Pipeline",T1444="Overdue"),ISNUMBER(W1444)),IF(W1444&lt;=Settings!$B$6,V1444,0),0)</f>
        <v>0</v>
      </c>
      <c r="Y1444" s="38" t="n">
        <f aca="false">IF(AND(OR(T1444="Backlog",T1444="Pipeline",T1444="Overdue"),ISNUMBER(W1444)),IF(W1444&lt;=Settings!$B$6,Q1444,0),0)</f>
        <v>0</v>
      </c>
      <c r="Z1444" s="38" t="n">
        <f aca="false">IF(Y1444=0,0,IF(T1444="Backlog",Q1444,Q1444*Dashboard!$C$10))</f>
        <v>0</v>
      </c>
      <c r="AA1444" s="37" t="n">
        <f aca="false">IF($N1444="",0,IF(COUNTIF(Dashboard!$C$13:$C$22,$N1444)&gt;0,1,0))</f>
        <v>0</v>
      </c>
      <c r="AB1444" s="37" t="str">
        <f aca="false">IF($N1444="","",IF(COUNTIF($N$8:$N1444,$N1444)=1,MAX($AB$7:$AB1443)+1,""))</f>
        <v/>
      </c>
    </row>
    <row r="1445" customFormat="false" ht="15" hidden="false" customHeight="false" outlineLevel="0" collapsed="false">
      <c r="L1445" s="37" t="str">
        <f aca="false">IF(INDEX($A1445:$J1445,$L$6)&lt;&gt;"",TRIM(LEFT(INDEX($A1445:$J1445,$L$6),FIND("(",INDEX($A1445:$J1445,$L$6)&amp;"(")-1)),L1444)</f>
        <v>Building Value Proposition</v>
      </c>
      <c r="M1445" s="37" t="str">
        <f aca="false">IF(INDEX($A1445:$J1445,$M$6)="","",INDEX($A1445:$J1445,$M$6)&amp;"")</f>
        <v/>
      </c>
      <c r="N1445" s="37" t="str">
        <f aca="false">IF($M1445="","",TRIM(INDEX($A1445:$J1445,$N$6)&amp;""))</f>
        <v/>
      </c>
      <c r="O1445" s="37" t="str">
        <f aca="false">IF($M1445="","",TRIM(INDEX($A1445:$J1445,$O$6)&amp;""))</f>
        <v/>
      </c>
      <c r="P1445" s="37" t="str">
        <f aca="false">IF($M1445="","",IFERROR(IF(INDEX(Settings!$B$41:$B$50,MATCH(O1445,Settings!$A$41:$A$50,0))&amp;""="","UNMAPPED",INDEX(Settings!$B$41:$B$50,MATCH(O1445,Settings!$A$41:$A$50,0))&amp;""),"UNMAPPED"))</f>
        <v/>
      </c>
      <c r="Q1445" s="38" t="n">
        <f aca="false">IF($M1445="",0,N(INDEX($A1445:$J1445,$Q$6)))</f>
        <v>0</v>
      </c>
      <c r="R1445" s="39" t="str">
        <f aca="false">IF($M1445="","",INDEX($A1445:$J1445,$R$6))</f>
        <v/>
      </c>
      <c r="S1445" s="37" t="str">
        <f aca="false">IF($M1445="","",IFERROR(INDEX(Settings!$B$27:$B$36,MATCH(L1445,Settings!$A$27:$A$36,0))&amp;"","UNMAPPED"))</f>
        <v/>
      </c>
      <c r="T1445" s="37" t="str">
        <f aca="false">IF($M1445="","",IF(NOT(ISNUMBER(R1445)),"NO DATE",IF(S1445="Won",IF(R1445&gt;Settings!$B$5,"Backlog","Delivered"),IF(S1445="Open",IF(R1445&gt;Settings!$B$5,"Pipeline","Overdue"),IF(S1445="Lost","Lost","UNMAPPED")))))</f>
        <v/>
      </c>
      <c r="U1445" s="40" t="n">
        <f aca="false">IF(T1445="Backlog",1,IF(OR(T1445="Pipeline",T1445="Overdue"),N(INDEX(Settings!$C$27:$C$36,MATCH(L1445,Settings!$A$27:$A$36,0))),0))</f>
        <v>0</v>
      </c>
      <c r="V1445" s="38" t="n">
        <f aca="false">Q1445*U1445</f>
        <v>0</v>
      </c>
      <c r="W1445" s="41" t="str">
        <f aca="false">IF($M1445="","",IF(T1445="Overdue",IF(Settings!$B$8="Yes",Settings!$B$7,""),IF(ISNUMBER(R1445),DATE(YEAR(R1445),MONTH(R1445),1),"")))</f>
        <v/>
      </c>
      <c r="X1445" s="38" t="n">
        <f aca="false">IF(AND(OR(T1445="Backlog",T1445="Pipeline",T1445="Overdue"),ISNUMBER(W1445)),IF(W1445&lt;=Settings!$B$6,V1445,0),0)</f>
        <v>0</v>
      </c>
      <c r="Y1445" s="38" t="n">
        <f aca="false">IF(AND(OR(T1445="Backlog",T1445="Pipeline",T1445="Overdue"),ISNUMBER(W1445)),IF(W1445&lt;=Settings!$B$6,Q1445,0),0)</f>
        <v>0</v>
      </c>
      <c r="Z1445" s="38" t="n">
        <f aca="false">IF(Y1445=0,0,IF(T1445="Backlog",Q1445,Q1445*Dashboard!$C$10))</f>
        <v>0</v>
      </c>
      <c r="AA1445" s="37" t="n">
        <f aca="false">IF($N1445="",0,IF(COUNTIF(Dashboard!$C$13:$C$22,$N1445)&gt;0,1,0))</f>
        <v>0</v>
      </c>
      <c r="AB1445" s="37" t="str">
        <f aca="false">IF($N1445="","",IF(COUNTIF($N$8:$N1445,$N1445)=1,MAX($AB$7:$AB1444)+1,""))</f>
        <v/>
      </c>
    </row>
    <row r="1446" customFormat="false" ht="15" hidden="false" customHeight="false" outlineLevel="0" collapsed="false">
      <c r="L1446" s="37" t="str">
        <f aca="false">IF(INDEX($A1446:$J1446,$L$6)&lt;&gt;"",TRIM(LEFT(INDEX($A1446:$J1446,$L$6),FIND("(",INDEX($A1446:$J1446,$L$6)&amp;"(")-1)),L1445)</f>
        <v>Building Value Proposition</v>
      </c>
      <c r="M1446" s="37" t="str">
        <f aca="false">IF(INDEX($A1446:$J1446,$M$6)="","",INDEX($A1446:$J1446,$M$6)&amp;"")</f>
        <v/>
      </c>
      <c r="N1446" s="37" t="str">
        <f aca="false">IF($M1446="","",TRIM(INDEX($A1446:$J1446,$N$6)&amp;""))</f>
        <v/>
      </c>
      <c r="O1446" s="37" t="str">
        <f aca="false">IF($M1446="","",TRIM(INDEX($A1446:$J1446,$O$6)&amp;""))</f>
        <v/>
      </c>
      <c r="P1446" s="37" t="str">
        <f aca="false">IF($M1446="","",IFERROR(IF(INDEX(Settings!$B$41:$B$50,MATCH(O1446,Settings!$A$41:$A$50,0))&amp;""="","UNMAPPED",INDEX(Settings!$B$41:$B$50,MATCH(O1446,Settings!$A$41:$A$50,0))&amp;""),"UNMAPPED"))</f>
        <v/>
      </c>
      <c r="Q1446" s="38" t="n">
        <f aca="false">IF($M1446="",0,N(INDEX($A1446:$J1446,$Q$6)))</f>
        <v>0</v>
      </c>
      <c r="R1446" s="39" t="str">
        <f aca="false">IF($M1446="","",INDEX($A1446:$J1446,$R$6))</f>
        <v/>
      </c>
      <c r="S1446" s="37" t="str">
        <f aca="false">IF($M1446="","",IFERROR(INDEX(Settings!$B$27:$B$36,MATCH(L1446,Settings!$A$27:$A$36,0))&amp;"","UNMAPPED"))</f>
        <v/>
      </c>
      <c r="T1446" s="37" t="str">
        <f aca="false">IF($M1446="","",IF(NOT(ISNUMBER(R1446)),"NO DATE",IF(S1446="Won",IF(R1446&gt;Settings!$B$5,"Backlog","Delivered"),IF(S1446="Open",IF(R1446&gt;Settings!$B$5,"Pipeline","Overdue"),IF(S1446="Lost","Lost","UNMAPPED")))))</f>
        <v/>
      </c>
      <c r="U1446" s="40" t="n">
        <f aca="false">IF(T1446="Backlog",1,IF(OR(T1446="Pipeline",T1446="Overdue"),N(INDEX(Settings!$C$27:$C$36,MATCH(L1446,Settings!$A$27:$A$36,0))),0))</f>
        <v>0</v>
      </c>
      <c r="V1446" s="38" t="n">
        <f aca="false">Q1446*U1446</f>
        <v>0</v>
      </c>
      <c r="W1446" s="41" t="str">
        <f aca="false">IF($M1446="","",IF(T1446="Overdue",IF(Settings!$B$8="Yes",Settings!$B$7,""),IF(ISNUMBER(R1446),DATE(YEAR(R1446),MONTH(R1446),1),"")))</f>
        <v/>
      </c>
      <c r="X1446" s="38" t="n">
        <f aca="false">IF(AND(OR(T1446="Backlog",T1446="Pipeline",T1446="Overdue"),ISNUMBER(W1446)),IF(W1446&lt;=Settings!$B$6,V1446,0),0)</f>
        <v>0</v>
      </c>
      <c r="Y1446" s="38" t="n">
        <f aca="false">IF(AND(OR(T1446="Backlog",T1446="Pipeline",T1446="Overdue"),ISNUMBER(W1446)),IF(W1446&lt;=Settings!$B$6,Q1446,0),0)</f>
        <v>0</v>
      </c>
      <c r="Z1446" s="38" t="n">
        <f aca="false">IF(Y1446=0,0,IF(T1446="Backlog",Q1446,Q1446*Dashboard!$C$10))</f>
        <v>0</v>
      </c>
      <c r="AA1446" s="37" t="n">
        <f aca="false">IF($N1446="",0,IF(COUNTIF(Dashboard!$C$13:$C$22,$N1446)&gt;0,1,0))</f>
        <v>0</v>
      </c>
      <c r="AB1446" s="37" t="str">
        <f aca="false">IF($N1446="","",IF(COUNTIF($N$8:$N1446,$N1446)=1,MAX($AB$7:$AB1445)+1,""))</f>
        <v/>
      </c>
    </row>
    <row r="1447" customFormat="false" ht="15" hidden="false" customHeight="false" outlineLevel="0" collapsed="false">
      <c r="L1447" s="37" t="str">
        <f aca="false">IF(INDEX($A1447:$J1447,$L$6)&lt;&gt;"",TRIM(LEFT(INDEX($A1447:$J1447,$L$6),FIND("(",INDEX($A1447:$J1447,$L$6)&amp;"(")-1)),L1446)</f>
        <v>Building Value Proposition</v>
      </c>
      <c r="M1447" s="37" t="str">
        <f aca="false">IF(INDEX($A1447:$J1447,$M$6)="","",INDEX($A1447:$J1447,$M$6)&amp;"")</f>
        <v/>
      </c>
      <c r="N1447" s="37" t="str">
        <f aca="false">IF($M1447="","",TRIM(INDEX($A1447:$J1447,$N$6)&amp;""))</f>
        <v/>
      </c>
      <c r="O1447" s="37" t="str">
        <f aca="false">IF($M1447="","",TRIM(INDEX($A1447:$J1447,$O$6)&amp;""))</f>
        <v/>
      </c>
      <c r="P1447" s="37" t="str">
        <f aca="false">IF($M1447="","",IFERROR(IF(INDEX(Settings!$B$41:$B$50,MATCH(O1447,Settings!$A$41:$A$50,0))&amp;""="","UNMAPPED",INDEX(Settings!$B$41:$B$50,MATCH(O1447,Settings!$A$41:$A$50,0))&amp;""),"UNMAPPED"))</f>
        <v/>
      </c>
      <c r="Q1447" s="38" t="n">
        <f aca="false">IF($M1447="",0,N(INDEX($A1447:$J1447,$Q$6)))</f>
        <v>0</v>
      </c>
      <c r="R1447" s="39" t="str">
        <f aca="false">IF($M1447="","",INDEX($A1447:$J1447,$R$6))</f>
        <v/>
      </c>
      <c r="S1447" s="37" t="str">
        <f aca="false">IF($M1447="","",IFERROR(INDEX(Settings!$B$27:$B$36,MATCH(L1447,Settings!$A$27:$A$36,0))&amp;"","UNMAPPED"))</f>
        <v/>
      </c>
      <c r="T1447" s="37" t="str">
        <f aca="false">IF($M1447="","",IF(NOT(ISNUMBER(R1447)),"NO DATE",IF(S1447="Won",IF(R1447&gt;Settings!$B$5,"Backlog","Delivered"),IF(S1447="Open",IF(R1447&gt;Settings!$B$5,"Pipeline","Overdue"),IF(S1447="Lost","Lost","UNMAPPED")))))</f>
        <v/>
      </c>
      <c r="U1447" s="40" t="n">
        <f aca="false">IF(T1447="Backlog",1,IF(OR(T1447="Pipeline",T1447="Overdue"),N(INDEX(Settings!$C$27:$C$36,MATCH(L1447,Settings!$A$27:$A$36,0))),0))</f>
        <v>0</v>
      </c>
      <c r="V1447" s="38" t="n">
        <f aca="false">Q1447*U1447</f>
        <v>0</v>
      </c>
      <c r="W1447" s="41" t="str">
        <f aca="false">IF($M1447="","",IF(T1447="Overdue",IF(Settings!$B$8="Yes",Settings!$B$7,""),IF(ISNUMBER(R1447),DATE(YEAR(R1447),MONTH(R1447),1),"")))</f>
        <v/>
      </c>
      <c r="X1447" s="38" t="n">
        <f aca="false">IF(AND(OR(T1447="Backlog",T1447="Pipeline",T1447="Overdue"),ISNUMBER(W1447)),IF(W1447&lt;=Settings!$B$6,V1447,0),0)</f>
        <v>0</v>
      </c>
      <c r="Y1447" s="38" t="n">
        <f aca="false">IF(AND(OR(T1447="Backlog",T1447="Pipeline",T1447="Overdue"),ISNUMBER(W1447)),IF(W1447&lt;=Settings!$B$6,Q1447,0),0)</f>
        <v>0</v>
      </c>
      <c r="Z1447" s="38" t="n">
        <f aca="false">IF(Y1447=0,0,IF(T1447="Backlog",Q1447,Q1447*Dashboard!$C$10))</f>
        <v>0</v>
      </c>
      <c r="AA1447" s="37" t="n">
        <f aca="false">IF($N1447="",0,IF(COUNTIF(Dashboard!$C$13:$C$22,$N1447)&gt;0,1,0))</f>
        <v>0</v>
      </c>
      <c r="AB1447" s="37" t="str">
        <f aca="false">IF($N1447="","",IF(COUNTIF($N$8:$N1447,$N1447)=1,MAX($AB$7:$AB1446)+1,""))</f>
        <v/>
      </c>
    </row>
    <row r="1448" customFormat="false" ht="15" hidden="false" customHeight="false" outlineLevel="0" collapsed="false">
      <c r="L1448" s="37" t="str">
        <f aca="false">IF(INDEX($A1448:$J1448,$L$6)&lt;&gt;"",TRIM(LEFT(INDEX($A1448:$J1448,$L$6),FIND("(",INDEX($A1448:$J1448,$L$6)&amp;"(")-1)),L1447)</f>
        <v>Building Value Proposition</v>
      </c>
      <c r="M1448" s="37" t="str">
        <f aca="false">IF(INDEX($A1448:$J1448,$M$6)="","",INDEX($A1448:$J1448,$M$6)&amp;"")</f>
        <v/>
      </c>
      <c r="N1448" s="37" t="str">
        <f aca="false">IF($M1448="","",TRIM(INDEX($A1448:$J1448,$N$6)&amp;""))</f>
        <v/>
      </c>
      <c r="O1448" s="37" t="str">
        <f aca="false">IF($M1448="","",TRIM(INDEX($A1448:$J1448,$O$6)&amp;""))</f>
        <v/>
      </c>
      <c r="P1448" s="37" t="str">
        <f aca="false">IF($M1448="","",IFERROR(IF(INDEX(Settings!$B$41:$B$50,MATCH(O1448,Settings!$A$41:$A$50,0))&amp;""="","UNMAPPED",INDEX(Settings!$B$41:$B$50,MATCH(O1448,Settings!$A$41:$A$50,0))&amp;""),"UNMAPPED"))</f>
        <v/>
      </c>
      <c r="Q1448" s="38" t="n">
        <f aca="false">IF($M1448="",0,N(INDEX($A1448:$J1448,$Q$6)))</f>
        <v>0</v>
      </c>
      <c r="R1448" s="39" t="str">
        <f aca="false">IF($M1448="","",INDEX($A1448:$J1448,$R$6))</f>
        <v/>
      </c>
      <c r="S1448" s="37" t="str">
        <f aca="false">IF($M1448="","",IFERROR(INDEX(Settings!$B$27:$B$36,MATCH(L1448,Settings!$A$27:$A$36,0))&amp;"","UNMAPPED"))</f>
        <v/>
      </c>
      <c r="T1448" s="37" t="str">
        <f aca="false">IF($M1448="","",IF(NOT(ISNUMBER(R1448)),"NO DATE",IF(S1448="Won",IF(R1448&gt;Settings!$B$5,"Backlog","Delivered"),IF(S1448="Open",IF(R1448&gt;Settings!$B$5,"Pipeline","Overdue"),IF(S1448="Lost","Lost","UNMAPPED")))))</f>
        <v/>
      </c>
      <c r="U1448" s="40" t="n">
        <f aca="false">IF(T1448="Backlog",1,IF(OR(T1448="Pipeline",T1448="Overdue"),N(INDEX(Settings!$C$27:$C$36,MATCH(L1448,Settings!$A$27:$A$36,0))),0))</f>
        <v>0</v>
      </c>
      <c r="V1448" s="38" t="n">
        <f aca="false">Q1448*U1448</f>
        <v>0</v>
      </c>
      <c r="W1448" s="41" t="str">
        <f aca="false">IF($M1448="","",IF(T1448="Overdue",IF(Settings!$B$8="Yes",Settings!$B$7,""),IF(ISNUMBER(R1448),DATE(YEAR(R1448),MONTH(R1448),1),"")))</f>
        <v/>
      </c>
      <c r="X1448" s="38" t="n">
        <f aca="false">IF(AND(OR(T1448="Backlog",T1448="Pipeline",T1448="Overdue"),ISNUMBER(W1448)),IF(W1448&lt;=Settings!$B$6,V1448,0),0)</f>
        <v>0</v>
      </c>
      <c r="Y1448" s="38" t="n">
        <f aca="false">IF(AND(OR(T1448="Backlog",T1448="Pipeline",T1448="Overdue"),ISNUMBER(W1448)),IF(W1448&lt;=Settings!$B$6,Q1448,0),0)</f>
        <v>0</v>
      </c>
      <c r="Z1448" s="38" t="n">
        <f aca="false">IF(Y1448=0,0,IF(T1448="Backlog",Q1448,Q1448*Dashboard!$C$10))</f>
        <v>0</v>
      </c>
      <c r="AA1448" s="37" t="n">
        <f aca="false">IF($N1448="",0,IF(COUNTIF(Dashboard!$C$13:$C$22,$N1448)&gt;0,1,0))</f>
        <v>0</v>
      </c>
      <c r="AB1448" s="37" t="str">
        <f aca="false">IF($N1448="","",IF(COUNTIF($N$8:$N1448,$N1448)=1,MAX($AB$7:$AB1447)+1,""))</f>
        <v/>
      </c>
    </row>
    <row r="1449" customFormat="false" ht="15" hidden="false" customHeight="false" outlineLevel="0" collapsed="false">
      <c r="L1449" s="37" t="str">
        <f aca="false">IF(INDEX($A1449:$J1449,$L$6)&lt;&gt;"",TRIM(LEFT(INDEX($A1449:$J1449,$L$6),FIND("(",INDEX($A1449:$J1449,$L$6)&amp;"(")-1)),L1448)</f>
        <v>Building Value Proposition</v>
      </c>
      <c r="M1449" s="37" t="str">
        <f aca="false">IF(INDEX($A1449:$J1449,$M$6)="","",INDEX($A1449:$J1449,$M$6)&amp;"")</f>
        <v/>
      </c>
      <c r="N1449" s="37" t="str">
        <f aca="false">IF($M1449="","",TRIM(INDEX($A1449:$J1449,$N$6)&amp;""))</f>
        <v/>
      </c>
      <c r="O1449" s="37" t="str">
        <f aca="false">IF($M1449="","",TRIM(INDEX($A1449:$J1449,$O$6)&amp;""))</f>
        <v/>
      </c>
      <c r="P1449" s="37" t="str">
        <f aca="false">IF($M1449="","",IFERROR(IF(INDEX(Settings!$B$41:$B$50,MATCH(O1449,Settings!$A$41:$A$50,0))&amp;""="","UNMAPPED",INDEX(Settings!$B$41:$B$50,MATCH(O1449,Settings!$A$41:$A$50,0))&amp;""),"UNMAPPED"))</f>
        <v/>
      </c>
      <c r="Q1449" s="38" t="n">
        <f aca="false">IF($M1449="",0,N(INDEX($A1449:$J1449,$Q$6)))</f>
        <v>0</v>
      </c>
      <c r="R1449" s="39" t="str">
        <f aca="false">IF($M1449="","",INDEX($A1449:$J1449,$R$6))</f>
        <v/>
      </c>
      <c r="S1449" s="37" t="str">
        <f aca="false">IF($M1449="","",IFERROR(INDEX(Settings!$B$27:$B$36,MATCH(L1449,Settings!$A$27:$A$36,0))&amp;"","UNMAPPED"))</f>
        <v/>
      </c>
      <c r="T1449" s="37" t="str">
        <f aca="false">IF($M1449="","",IF(NOT(ISNUMBER(R1449)),"NO DATE",IF(S1449="Won",IF(R1449&gt;Settings!$B$5,"Backlog","Delivered"),IF(S1449="Open",IF(R1449&gt;Settings!$B$5,"Pipeline","Overdue"),IF(S1449="Lost","Lost","UNMAPPED")))))</f>
        <v/>
      </c>
      <c r="U1449" s="40" t="n">
        <f aca="false">IF(T1449="Backlog",1,IF(OR(T1449="Pipeline",T1449="Overdue"),N(INDEX(Settings!$C$27:$C$36,MATCH(L1449,Settings!$A$27:$A$36,0))),0))</f>
        <v>0</v>
      </c>
      <c r="V1449" s="38" t="n">
        <f aca="false">Q1449*U1449</f>
        <v>0</v>
      </c>
      <c r="W1449" s="41" t="str">
        <f aca="false">IF($M1449="","",IF(T1449="Overdue",IF(Settings!$B$8="Yes",Settings!$B$7,""),IF(ISNUMBER(R1449),DATE(YEAR(R1449),MONTH(R1449),1),"")))</f>
        <v/>
      </c>
      <c r="X1449" s="38" t="n">
        <f aca="false">IF(AND(OR(T1449="Backlog",T1449="Pipeline",T1449="Overdue"),ISNUMBER(W1449)),IF(W1449&lt;=Settings!$B$6,V1449,0),0)</f>
        <v>0</v>
      </c>
      <c r="Y1449" s="38" t="n">
        <f aca="false">IF(AND(OR(T1449="Backlog",T1449="Pipeline",T1449="Overdue"),ISNUMBER(W1449)),IF(W1449&lt;=Settings!$B$6,Q1449,0),0)</f>
        <v>0</v>
      </c>
      <c r="Z1449" s="38" t="n">
        <f aca="false">IF(Y1449=0,0,IF(T1449="Backlog",Q1449,Q1449*Dashboard!$C$10))</f>
        <v>0</v>
      </c>
      <c r="AA1449" s="37" t="n">
        <f aca="false">IF($N1449="",0,IF(COUNTIF(Dashboard!$C$13:$C$22,$N1449)&gt;0,1,0))</f>
        <v>0</v>
      </c>
      <c r="AB1449" s="37" t="str">
        <f aca="false">IF($N1449="","",IF(COUNTIF($N$8:$N1449,$N1449)=1,MAX($AB$7:$AB1448)+1,""))</f>
        <v/>
      </c>
    </row>
    <row r="1450" customFormat="false" ht="15" hidden="false" customHeight="false" outlineLevel="0" collapsed="false">
      <c r="L1450" s="37" t="str">
        <f aca="false">IF(INDEX($A1450:$J1450,$L$6)&lt;&gt;"",TRIM(LEFT(INDEX($A1450:$J1450,$L$6),FIND("(",INDEX($A1450:$J1450,$L$6)&amp;"(")-1)),L1449)</f>
        <v>Building Value Proposition</v>
      </c>
      <c r="M1450" s="37" t="str">
        <f aca="false">IF(INDEX($A1450:$J1450,$M$6)="","",INDEX($A1450:$J1450,$M$6)&amp;"")</f>
        <v/>
      </c>
      <c r="N1450" s="37" t="str">
        <f aca="false">IF($M1450="","",TRIM(INDEX($A1450:$J1450,$N$6)&amp;""))</f>
        <v/>
      </c>
      <c r="O1450" s="37" t="str">
        <f aca="false">IF($M1450="","",TRIM(INDEX($A1450:$J1450,$O$6)&amp;""))</f>
        <v/>
      </c>
      <c r="P1450" s="37" t="str">
        <f aca="false">IF($M1450="","",IFERROR(IF(INDEX(Settings!$B$41:$B$50,MATCH(O1450,Settings!$A$41:$A$50,0))&amp;""="","UNMAPPED",INDEX(Settings!$B$41:$B$50,MATCH(O1450,Settings!$A$41:$A$50,0))&amp;""),"UNMAPPED"))</f>
        <v/>
      </c>
      <c r="Q1450" s="38" t="n">
        <f aca="false">IF($M1450="",0,N(INDEX($A1450:$J1450,$Q$6)))</f>
        <v>0</v>
      </c>
      <c r="R1450" s="39" t="str">
        <f aca="false">IF($M1450="","",INDEX($A1450:$J1450,$R$6))</f>
        <v/>
      </c>
      <c r="S1450" s="37" t="str">
        <f aca="false">IF($M1450="","",IFERROR(INDEX(Settings!$B$27:$B$36,MATCH(L1450,Settings!$A$27:$A$36,0))&amp;"","UNMAPPED"))</f>
        <v/>
      </c>
      <c r="T1450" s="37" t="str">
        <f aca="false">IF($M1450="","",IF(NOT(ISNUMBER(R1450)),"NO DATE",IF(S1450="Won",IF(R1450&gt;Settings!$B$5,"Backlog","Delivered"),IF(S1450="Open",IF(R1450&gt;Settings!$B$5,"Pipeline","Overdue"),IF(S1450="Lost","Lost","UNMAPPED")))))</f>
        <v/>
      </c>
      <c r="U1450" s="40" t="n">
        <f aca="false">IF(T1450="Backlog",1,IF(OR(T1450="Pipeline",T1450="Overdue"),N(INDEX(Settings!$C$27:$C$36,MATCH(L1450,Settings!$A$27:$A$36,0))),0))</f>
        <v>0</v>
      </c>
      <c r="V1450" s="38" t="n">
        <f aca="false">Q1450*U1450</f>
        <v>0</v>
      </c>
      <c r="W1450" s="41" t="str">
        <f aca="false">IF($M1450="","",IF(T1450="Overdue",IF(Settings!$B$8="Yes",Settings!$B$7,""),IF(ISNUMBER(R1450),DATE(YEAR(R1450),MONTH(R1450),1),"")))</f>
        <v/>
      </c>
      <c r="X1450" s="38" t="n">
        <f aca="false">IF(AND(OR(T1450="Backlog",T1450="Pipeline",T1450="Overdue"),ISNUMBER(W1450)),IF(W1450&lt;=Settings!$B$6,V1450,0),0)</f>
        <v>0</v>
      </c>
      <c r="Y1450" s="38" t="n">
        <f aca="false">IF(AND(OR(T1450="Backlog",T1450="Pipeline",T1450="Overdue"),ISNUMBER(W1450)),IF(W1450&lt;=Settings!$B$6,Q1450,0),0)</f>
        <v>0</v>
      </c>
      <c r="Z1450" s="38" t="n">
        <f aca="false">IF(Y1450=0,0,IF(T1450="Backlog",Q1450,Q1450*Dashboard!$C$10))</f>
        <v>0</v>
      </c>
      <c r="AA1450" s="37" t="n">
        <f aca="false">IF($N1450="",0,IF(COUNTIF(Dashboard!$C$13:$C$22,$N1450)&gt;0,1,0))</f>
        <v>0</v>
      </c>
      <c r="AB1450" s="37" t="str">
        <f aca="false">IF($N1450="","",IF(COUNTIF($N$8:$N1450,$N1450)=1,MAX($AB$7:$AB1449)+1,""))</f>
        <v/>
      </c>
    </row>
    <row r="1451" customFormat="false" ht="15" hidden="false" customHeight="false" outlineLevel="0" collapsed="false">
      <c r="L1451" s="37" t="str">
        <f aca="false">IF(INDEX($A1451:$J1451,$L$6)&lt;&gt;"",TRIM(LEFT(INDEX($A1451:$J1451,$L$6),FIND("(",INDEX($A1451:$J1451,$L$6)&amp;"(")-1)),L1450)</f>
        <v>Building Value Proposition</v>
      </c>
      <c r="M1451" s="37" t="str">
        <f aca="false">IF(INDEX($A1451:$J1451,$M$6)="","",INDEX($A1451:$J1451,$M$6)&amp;"")</f>
        <v/>
      </c>
      <c r="N1451" s="37" t="str">
        <f aca="false">IF($M1451="","",TRIM(INDEX($A1451:$J1451,$N$6)&amp;""))</f>
        <v/>
      </c>
      <c r="O1451" s="37" t="str">
        <f aca="false">IF($M1451="","",TRIM(INDEX($A1451:$J1451,$O$6)&amp;""))</f>
        <v/>
      </c>
      <c r="P1451" s="37" t="str">
        <f aca="false">IF($M1451="","",IFERROR(IF(INDEX(Settings!$B$41:$B$50,MATCH(O1451,Settings!$A$41:$A$50,0))&amp;""="","UNMAPPED",INDEX(Settings!$B$41:$B$50,MATCH(O1451,Settings!$A$41:$A$50,0))&amp;""),"UNMAPPED"))</f>
        <v/>
      </c>
      <c r="Q1451" s="38" t="n">
        <f aca="false">IF($M1451="",0,N(INDEX($A1451:$J1451,$Q$6)))</f>
        <v>0</v>
      </c>
      <c r="R1451" s="39" t="str">
        <f aca="false">IF($M1451="","",INDEX($A1451:$J1451,$R$6))</f>
        <v/>
      </c>
      <c r="S1451" s="37" t="str">
        <f aca="false">IF($M1451="","",IFERROR(INDEX(Settings!$B$27:$B$36,MATCH(L1451,Settings!$A$27:$A$36,0))&amp;"","UNMAPPED"))</f>
        <v/>
      </c>
      <c r="T1451" s="37" t="str">
        <f aca="false">IF($M1451="","",IF(NOT(ISNUMBER(R1451)),"NO DATE",IF(S1451="Won",IF(R1451&gt;Settings!$B$5,"Backlog","Delivered"),IF(S1451="Open",IF(R1451&gt;Settings!$B$5,"Pipeline","Overdue"),IF(S1451="Lost","Lost","UNMAPPED")))))</f>
        <v/>
      </c>
      <c r="U1451" s="40" t="n">
        <f aca="false">IF(T1451="Backlog",1,IF(OR(T1451="Pipeline",T1451="Overdue"),N(INDEX(Settings!$C$27:$C$36,MATCH(L1451,Settings!$A$27:$A$36,0))),0))</f>
        <v>0</v>
      </c>
      <c r="V1451" s="38" t="n">
        <f aca="false">Q1451*U1451</f>
        <v>0</v>
      </c>
      <c r="W1451" s="41" t="str">
        <f aca="false">IF($M1451="","",IF(T1451="Overdue",IF(Settings!$B$8="Yes",Settings!$B$7,""),IF(ISNUMBER(R1451),DATE(YEAR(R1451),MONTH(R1451),1),"")))</f>
        <v/>
      </c>
      <c r="X1451" s="38" t="n">
        <f aca="false">IF(AND(OR(T1451="Backlog",T1451="Pipeline",T1451="Overdue"),ISNUMBER(W1451)),IF(W1451&lt;=Settings!$B$6,V1451,0),0)</f>
        <v>0</v>
      </c>
      <c r="Y1451" s="38" t="n">
        <f aca="false">IF(AND(OR(T1451="Backlog",T1451="Pipeline",T1451="Overdue"),ISNUMBER(W1451)),IF(W1451&lt;=Settings!$B$6,Q1451,0),0)</f>
        <v>0</v>
      </c>
      <c r="Z1451" s="38" t="n">
        <f aca="false">IF(Y1451=0,0,IF(T1451="Backlog",Q1451,Q1451*Dashboard!$C$10))</f>
        <v>0</v>
      </c>
      <c r="AA1451" s="37" t="n">
        <f aca="false">IF($N1451="",0,IF(COUNTIF(Dashboard!$C$13:$C$22,$N1451)&gt;0,1,0))</f>
        <v>0</v>
      </c>
      <c r="AB1451" s="37" t="str">
        <f aca="false">IF($N1451="","",IF(COUNTIF($N$8:$N1451,$N1451)=1,MAX($AB$7:$AB1450)+1,""))</f>
        <v/>
      </c>
    </row>
    <row r="1452" customFormat="false" ht="15" hidden="false" customHeight="false" outlineLevel="0" collapsed="false">
      <c r="L1452" s="37" t="str">
        <f aca="false">IF(INDEX($A1452:$J1452,$L$6)&lt;&gt;"",TRIM(LEFT(INDEX($A1452:$J1452,$L$6),FIND("(",INDEX($A1452:$J1452,$L$6)&amp;"(")-1)),L1451)</f>
        <v>Building Value Proposition</v>
      </c>
      <c r="M1452" s="37" t="str">
        <f aca="false">IF(INDEX($A1452:$J1452,$M$6)="","",INDEX($A1452:$J1452,$M$6)&amp;"")</f>
        <v/>
      </c>
      <c r="N1452" s="37" t="str">
        <f aca="false">IF($M1452="","",TRIM(INDEX($A1452:$J1452,$N$6)&amp;""))</f>
        <v/>
      </c>
      <c r="O1452" s="37" t="str">
        <f aca="false">IF($M1452="","",TRIM(INDEX($A1452:$J1452,$O$6)&amp;""))</f>
        <v/>
      </c>
      <c r="P1452" s="37" t="str">
        <f aca="false">IF($M1452="","",IFERROR(IF(INDEX(Settings!$B$41:$B$50,MATCH(O1452,Settings!$A$41:$A$50,0))&amp;""="","UNMAPPED",INDEX(Settings!$B$41:$B$50,MATCH(O1452,Settings!$A$41:$A$50,0))&amp;""),"UNMAPPED"))</f>
        <v/>
      </c>
      <c r="Q1452" s="38" t="n">
        <f aca="false">IF($M1452="",0,N(INDEX($A1452:$J1452,$Q$6)))</f>
        <v>0</v>
      </c>
      <c r="R1452" s="39" t="str">
        <f aca="false">IF($M1452="","",INDEX($A1452:$J1452,$R$6))</f>
        <v/>
      </c>
      <c r="S1452" s="37" t="str">
        <f aca="false">IF($M1452="","",IFERROR(INDEX(Settings!$B$27:$B$36,MATCH(L1452,Settings!$A$27:$A$36,0))&amp;"","UNMAPPED"))</f>
        <v/>
      </c>
      <c r="T1452" s="37" t="str">
        <f aca="false">IF($M1452="","",IF(NOT(ISNUMBER(R1452)),"NO DATE",IF(S1452="Won",IF(R1452&gt;Settings!$B$5,"Backlog","Delivered"),IF(S1452="Open",IF(R1452&gt;Settings!$B$5,"Pipeline","Overdue"),IF(S1452="Lost","Lost","UNMAPPED")))))</f>
        <v/>
      </c>
      <c r="U1452" s="40" t="n">
        <f aca="false">IF(T1452="Backlog",1,IF(OR(T1452="Pipeline",T1452="Overdue"),N(INDEX(Settings!$C$27:$C$36,MATCH(L1452,Settings!$A$27:$A$36,0))),0))</f>
        <v>0</v>
      </c>
      <c r="V1452" s="38" t="n">
        <f aca="false">Q1452*U1452</f>
        <v>0</v>
      </c>
      <c r="W1452" s="41" t="str">
        <f aca="false">IF($M1452="","",IF(T1452="Overdue",IF(Settings!$B$8="Yes",Settings!$B$7,""),IF(ISNUMBER(R1452),DATE(YEAR(R1452),MONTH(R1452),1),"")))</f>
        <v/>
      </c>
      <c r="X1452" s="38" t="n">
        <f aca="false">IF(AND(OR(T1452="Backlog",T1452="Pipeline",T1452="Overdue"),ISNUMBER(W1452)),IF(W1452&lt;=Settings!$B$6,V1452,0),0)</f>
        <v>0</v>
      </c>
      <c r="Y1452" s="38" t="n">
        <f aca="false">IF(AND(OR(T1452="Backlog",T1452="Pipeline",T1452="Overdue"),ISNUMBER(W1452)),IF(W1452&lt;=Settings!$B$6,Q1452,0),0)</f>
        <v>0</v>
      </c>
      <c r="Z1452" s="38" t="n">
        <f aca="false">IF(Y1452=0,0,IF(T1452="Backlog",Q1452,Q1452*Dashboard!$C$10))</f>
        <v>0</v>
      </c>
      <c r="AA1452" s="37" t="n">
        <f aca="false">IF($N1452="",0,IF(COUNTIF(Dashboard!$C$13:$C$22,$N1452)&gt;0,1,0))</f>
        <v>0</v>
      </c>
      <c r="AB1452" s="37" t="str">
        <f aca="false">IF($N1452="","",IF(COUNTIF($N$8:$N1452,$N1452)=1,MAX($AB$7:$AB1451)+1,""))</f>
        <v/>
      </c>
    </row>
    <row r="1453" customFormat="false" ht="15" hidden="false" customHeight="false" outlineLevel="0" collapsed="false">
      <c r="L1453" s="37" t="str">
        <f aca="false">IF(INDEX($A1453:$J1453,$L$6)&lt;&gt;"",TRIM(LEFT(INDEX($A1453:$J1453,$L$6),FIND("(",INDEX($A1453:$J1453,$L$6)&amp;"(")-1)),L1452)</f>
        <v>Building Value Proposition</v>
      </c>
      <c r="M1453" s="37" t="str">
        <f aca="false">IF(INDEX($A1453:$J1453,$M$6)="","",INDEX($A1453:$J1453,$M$6)&amp;"")</f>
        <v/>
      </c>
      <c r="N1453" s="37" t="str">
        <f aca="false">IF($M1453="","",TRIM(INDEX($A1453:$J1453,$N$6)&amp;""))</f>
        <v/>
      </c>
      <c r="O1453" s="37" t="str">
        <f aca="false">IF($M1453="","",TRIM(INDEX($A1453:$J1453,$O$6)&amp;""))</f>
        <v/>
      </c>
      <c r="P1453" s="37" t="str">
        <f aca="false">IF($M1453="","",IFERROR(IF(INDEX(Settings!$B$41:$B$50,MATCH(O1453,Settings!$A$41:$A$50,0))&amp;""="","UNMAPPED",INDEX(Settings!$B$41:$B$50,MATCH(O1453,Settings!$A$41:$A$50,0))&amp;""),"UNMAPPED"))</f>
        <v/>
      </c>
      <c r="Q1453" s="38" t="n">
        <f aca="false">IF($M1453="",0,N(INDEX($A1453:$J1453,$Q$6)))</f>
        <v>0</v>
      </c>
      <c r="R1453" s="39" t="str">
        <f aca="false">IF($M1453="","",INDEX($A1453:$J1453,$R$6))</f>
        <v/>
      </c>
      <c r="S1453" s="37" t="str">
        <f aca="false">IF($M1453="","",IFERROR(INDEX(Settings!$B$27:$B$36,MATCH(L1453,Settings!$A$27:$A$36,0))&amp;"","UNMAPPED"))</f>
        <v/>
      </c>
      <c r="T1453" s="37" t="str">
        <f aca="false">IF($M1453="","",IF(NOT(ISNUMBER(R1453)),"NO DATE",IF(S1453="Won",IF(R1453&gt;Settings!$B$5,"Backlog","Delivered"),IF(S1453="Open",IF(R1453&gt;Settings!$B$5,"Pipeline","Overdue"),IF(S1453="Lost","Lost","UNMAPPED")))))</f>
        <v/>
      </c>
      <c r="U1453" s="40" t="n">
        <f aca="false">IF(T1453="Backlog",1,IF(OR(T1453="Pipeline",T1453="Overdue"),N(INDEX(Settings!$C$27:$C$36,MATCH(L1453,Settings!$A$27:$A$36,0))),0))</f>
        <v>0</v>
      </c>
      <c r="V1453" s="38" t="n">
        <f aca="false">Q1453*U1453</f>
        <v>0</v>
      </c>
      <c r="W1453" s="41" t="str">
        <f aca="false">IF($M1453="","",IF(T1453="Overdue",IF(Settings!$B$8="Yes",Settings!$B$7,""),IF(ISNUMBER(R1453),DATE(YEAR(R1453),MONTH(R1453),1),"")))</f>
        <v/>
      </c>
      <c r="X1453" s="38" t="n">
        <f aca="false">IF(AND(OR(T1453="Backlog",T1453="Pipeline",T1453="Overdue"),ISNUMBER(W1453)),IF(W1453&lt;=Settings!$B$6,V1453,0),0)</f>
        <v>0</v>
      </c>
      <c r="Y1453" s="38" t="n">
        <f aca="false">IF(AND(OR(T1453="Backlog",T1453="Pipeline",T1453="Overdue"),ISNUMBER(W1453)),IF(W1453&lt;=Settings!$B$6,Q1453,0),0)</f>
        <v>0</v>
      </c>
      <c r="Z1453" s="38" t="n">
        <f aca="false">IF(Y1453=0,0,IF(T1453="Backlog",Q1453,Q1453*Dashboard!$C$10))</f>
        <v>0</v>
      </c>
      <c r="AA1453" s="37" t="n">
        <f aca="false">IF($N1453="",0,IF(COUNTIF(Dashboard!$C$13:$C$22,$N1453)&gt;0,1,0))</f>
        <v>0</v>
      </c>
      <c r="AB1453" s="37" t="str">
        <f aca="false">IF($N1453="","",IF(COUNTIF($N$8:$N1453,$N1453)=1,MAX($AB$7:$AB1452)+1,""))</f>
        <v/>
      </c>
    </row>
    <row r="1454" customFormat="false" ht="15" hidden="false" customHeight="false" outlineLevel="0" collapsed="false">
      <c r="L1454" s="37" t="str">
        <f aca="false">IF(INDEX($A1454:$J1454,$L$6)&lt;&gt;"",TRIM(LEFT(INDEX($A1454:$J1454,$L$6),FIND("(",INDEX($A1454:$J1454,$L$6)&amp;"(")-1)),L1453)</f>
        <v>Building Value Proposition</v>
      </c>
      <c r="M1454" s="37" t="str">
        <f aca="false">IF(INDEX($A1454:$J1454,$M$6)="","",INDEX($A1454:$J1454,$M$6)&amp;"")</f>
        <v/>
      </c>
      <c r="N1454" s="37" t="str">
        <f aca="false">IF($M1454="","",TRIM(INDEX($A1454:$J1454,$N$6)&amp;""))</f>
        <v/>
      </c>
      <c r="O1454" s="37" t="str">
        <f aca="false">IF($M1454="","",TRIM(INDEX($A1454:$J1454,$O$6)&amp;""))</f>
        <v/>
      </c>
      <c r="P1454" s="37" t="str">
        <f aca="false">IF($M1454="","",IFERROR(IF(INDEX(Settings!$B$41:$B$50,MATCH(O1454,Settings!$A$41:$A$50,0))&amp;""="","UNMAPPED",INDEX(Settings!$B$41:$B$50,MATCH(O1454,Settings!$A$41:$A$50,0))&amp;""),"UNMAPPED"))</f>
        <v/>
      </c>
      <c r="Q1454" s="38" t="n">
        <f aca="false">IF($M1454="",0,N(INDEX($A1454:$J1454,$Q$6)))</f>
        <v>0</v>
      </c>
      <c r="R1454" s="39" t="str">
        <f aca="false">IF($M1454="","",INDEX($A1454:$J1454,$R$6))</f>
        <v/>
      </c>
      <c r="S1454" s="37" t="str">
        <f aca="false">IF($M1454="","",IFERROR(INDEX(Settings!$B$27:$B$36,MATCH(L1454,Settings!$A$27:$A$36,0))&amp;"","UNMAPPED"))</f>
        <v/>
      </c>
      <c r="T1454" s="37" t="str">
        <f aca="false">IF($M1454="","",IF(NOT(ISNUMBER(R1454)),"NO DATE",IF(S1454="Won",IF(R1454&gt;Settings!$B$5,"Backlog","Delivered"),IF(S1454="Open",IF(R1454&gt;Settings!$B$5,"Pipeline","Overdue"),IF(S1454="Lost","Lost","UNMAPPED")))))</f>
        <v/>
      </c>
      <c r="U1454" s="40" t="n">
        <f aca="false">IF(T1454="Backlog",1,IF(OR(T1454="Pipeline",T1454="Overdue"),N(INDEX(Settings!$C$27:$C$36,MATCH(L1454,Settings!$A$27:$A$36,0))),0))</f>
        <v>0</v>
      </c>
      <c r="V1454" s="38" t="n">
        <f aca="false">Q1454*U1454</f>
        <v>0</v>
      </c>
      <c r="W1454" s="41" t="str">
        <f aca="false">IF($M1454="","",IF(T1454="Overdue",IF(Settings!$B$8="Yes",Settings!$B$7,""),IF(ISNUMBER(R1454),DATE(YEAR(R1454),MONTH(R1454),1),"")))</f>
        <v/>
      </c>
      <c r="X1454" s="38" t="n">
        <f aca="false">IF(AND(OR(T1454="Backlog",T1454="Pipeline",T1454="Overdue"),ISNUMBER(W1454)),IF(W1454&lt;=Settings!$B$6,V1454,0),0)</f>
        <v>0</v>
      </c>
      <c r="Y1454" s="38" t="n">
        <f aca="false">IF(AND(OR(T1454="Backlog",T1454="Pipeline",T1454="Overdue"),ISNUMBER(W1454)),IF(W1454&lt;=Settings!$B$6,Q1454,0),0)</f>
        <v>0</v>
      </c>
      <c r="Z1454" s="38" t="n">
        <f aca="false">IF(Y1454=0,0,IF(T1454="Backlog",Q1454,Q1454*Dashboard!$C$10))</f>
        <v>0</v>
      </c>
      <c r="AA1454" s="37" t="n">
        <f aca="false">IF($N1454="",0,IF(COUNTIF(Dashboard!$C$13:$C$22,$N1454)&gt;0,1,0))</f>
        <v>0</v>
      </c>
      <c r="AB1454" s="37" t="str">
        <f aca="false">IF($N1454="","",IF(COUNTIF($N$8:$N1454,$N1454)=1,MAX($AB$7:$AB1453)+1,""))</f>
        <v/>
      </c>
    </row>
    <row r="1455" customFormat="false" ht="15" hidden="false" customHeight="false" outlineLevel="0" collapsed="false">
      <c r="L1455" s="37" t="str">
        <f aca="false">IF(INDEX($A1455:$J1455,$L$6)&lt;&gt;"",TRIM(LEFT(INDEX($A1455:$J1455,$L$6),FIND("(",INDEX($A1455:$J1455,$L$6)&amp;"(")-1)),L1454)</f>
        <v>Building Value Proposition</v>
      </c>
      <c r="M1455" s="37" t="str">
        <f aca="false">IF(INDEX($A1455:$J1455,$M$6)="","",INDEX($A1455:$J1455,$M$6)&amp;"")</f>
        <v/>
      </c>
      <c r="N1455" s="37" t="str">
        <f aca="false">IF($M1455="","",TRIM(INDEX($A1455:$J1455,$N$6)&amp;""))</f>
        <v/>
      </c>
      <c r="O1455" s="37" t="str">
        <f aca="false">IF($M1455="","",TRIM(INDEX($A1455:$J1455,$O$6)&amp;""))</f>
        <v/>
      </c>
      <c r="P1455" s="37" t="str">
        <f aca="false">IF($M1455="","",IFERROR(IF(INDEX(Settings!$B$41:$B$50,MATCH(O1455,Settings!$A$41:$A$50,0))&amp;""="","UNMAPPED",INDEX(Settings!$B$41:$B$50,MATCH(O1455,Settings!$A$41:$A$50,0))&amp;""),"UNMAPPED"))</f>
        <v/>
      </c>
      <c r="Q1455" s="38" t="n">
        <f aca="false">IF($M1455="",0,N(INDEX($A1455:$J1455,$Q$6)))</f>
        <v>0</v>
      </c>
      <c r="R1455" s="39" t="str">
        <f aca="false">IF($M1455="","",INDEX($A1455:$J1455,$R$6))</f>
        <v/>
      </c>
      <c r="S1455" s="37" t="str">
        <f aca="false">IF($M1455="","",IFERROR(INDEX(Settings!$B$27:$B$36,MATCH(L1455,Settings!$A$27:$A$36,0))&amp;"","UNMAPPED"))</f>
        <v/>
      </c>
      <c r="T1455" s="37" t="str">
        <f aca="false">IF($M1455="","",IF(NOT(ISNUMBER(R1455)),"NO DATE",IF(S1455="Won",IF(R1455&gt;Settings!$B$5,"Backlog","Delivered"),IF(S1455="Open",IF(R1455&gt;Settings!$B$5,"Pipeline","Overdue"),IF(S1455="Lost","Lost","UNMAPPED")))))</f>
        <v/>
      </c>
      <c r="U1455" s="40" t="n">
        <f aca="false">IF(T1455="Backlog",1,IF(OR(T1455="Pipeline",T1455="Overdue"),N(INDEX(Settings!$C$27:$C$36,MATCH(L1455,Settings!$A$27:$A$36,0))),0))</f>
        <v>0</v>
      </c>
      <c r="V1455" s="38" t="n">
        <f aca="false">Q1455*U1455</f>
        <v>0</v>
      </c>
      <c r="W1455" s="41" t="str">
        <f aca="false">IF($M1455="","",IF(T1455="Overdue",IF(Settings!$B$8="Yes",Settings!$B$7,""),IF(ISNUMBER(R1455),DATE(YEAR(R1455),MONTH(R1455),1),"")))</f>
        <v/>
      </c>
      <c r="X1455" s="38" t="n">
        <f aca="false">IF(AND(OR(T1455="Backlog",T1455="Pipeline",T1455="Overdue"),ISNUMBER(W1455)),IF(W1455&lt;=Settings!$B$6,V1455,0),0)</f>
        <v>0</v>
      </c>
      <c r="Y1455" s="38" t="n">
        <f aca="false">IF(AND(OR(T1455="Backlog",T1455="Pipeline",T1455="Overdue"),ISNUMBER(W1455)),IF(W1455&lt;=Settings!$B$6,Q1455,0),0)</f>
        <v>0</v>
      </c>
      <c r="Z1455" s="38" t="n">
        <f aca="false">IF(Y1455=0,0,IF(T1455="Backlog",Q1455,Q1455*Dashboard!$C$10))</f>
        <v>0</v>
      </c>
      <c r="AA1455" s="37" t="n">
        <f aca="false">IF($N1455="",0,IF(COUNTIF(Dashboard!$C$13:$C$22,$N1455)&gt;0,1,0))</f>
        <v>0</v>
      </c>
      <c r="AB1455" s="37" t="str">
        <f aca="false">IF($N1455="","",IF(COUNTIF($N$8:$N1455,$N1455)=1,MAX($AB$7:$AB1454)+1,""))</f>
        <v/>
      </c>
    </row>
    <row r="1456" customFormat="false" ht="15" hidden="false" customHeight="false" outlineLevel="0" collapsed="false">
      <c r="L1456" s="37" t="str">
        <f aca="false">IF(INDEX($A1456:$J1456,$L$6)&lt;&gt;"",TRIM(LEFT(INDEX($A1456:$J1456,$L$6),FIND("(",INDEX($A1456:$J1456,$L$6)&amp;"(")-1)),L1455)</f>
        <v>Building Value Proposition</v>
      </c>
      <c r="M1456" s="37" t="str">
        <f aca="false">IF(INDEX($A1456:$J1456,$M$6)="","",INDEX($A1456:$J1456,$M$6)&amp;"")</f>
        <v/>
      </c>
      <c r="N1456" s="37" t="str">
        <f aca="false">IF($M1456="","",TRIM(INDEX($A1456:$J1456,$N$6)&amp;""))</f>
        <v/>
      </c>
      <c r="O1456" s="37" t="str">
        <f aca="false">IF($M1456="","",TRIM(INDEX($A1456:$J1456,$O$6)&amp;""))</f>
        <v/>
      </c>
      <c r="P1456" s="37" t="str">
        <f aca="false">IF($M1456="","",IFERROR(IF(INDEX(Settings!$B$41:$B$50,MATCH(O1456,Settings!$A$41:$A$50,0))&amp;""="","UNMAPPED",INDEX(Settings!$B$41:$B$50,MATCH(O1456,Settings!$A$41:$A$50,0))&amp;""),"UNMAPPED"))</f>
        <v/>
      </c>
      <c r="Q1456" s="38" t="n">
        <f aca="false">IF($M1456="",0,N(INDEX($A1456:$J1456,$Q$6)))</f>
        <v>0</v>
      </c>
      <c r="R1456" s="39" t="str">
        <f aca="false">IF($M1456="","",INDEX($A1456:$J1456,$R$6))</f>
        <v/>
      </c>
      <c r="S1456" s="37" t="str">
        <f aca="false">IF($M1456="","",IFERROR(INDEX(Settings!$B$27:$B$36,MATCH(L1456,Settings!$A$27:$A$36,0))&amp;"","UNMAPPED"))</f>
        <v/>
      </c>
      <c r="T1456" s="37" t="str">
        <f aca="false">IF($M1456="","",IF(NOT(ISNUMBER(R1456)),"NO DATE",IF(S1456="Won",IF(R1456&gt;Settings!$B$5,"Backlog","Delivered"),IF(S1456="Open",IF(R1456&gt;Settings!$B$5,"Pipeline","Overdue"),IF(S1456="Lost","Lost","UNMAPPED")))))</f>
        <v/>
      </c>
      <c r="U1456" s="40" t="n">
        <f aca="false">IF(T1456="Backlog",1,IF(OR(T1456="Pipeline",T1456="Overdue"),N(INDEX(Settings!$C$27:$C$36,MATCH(L1456,Settings!$A$27:$A$36,0))),0))</f>
        <v>0</v>
      </c>
      <c r="V1456" s="38" t="n">
        <f aca="false">Q1456*U1456</f>
        <v>0</v>
      </c>
      <c r="W1456" s="41" t="str">
        <f aca="false">IF($M1456="","",IF(T1456="Overdue",IF(Settings!$B$8="Yes",Settings!$B$7,""),IF(ISNUMBER(R1456),DATE(YEAR(R1456),MONTH(R1456),1),"")))</f>
        <v/>
      </c>
      <c r="X1456" s="38" t="n">
        <f aca="false">IF(AND(OR(T1456="Backlog",T1456="Pipeline",T1456="Overdue"),ISNUMBER(W1456)),IF(W1456&lt;=Settings!$B$6,V1456,0),0)</f>
        <v>0</v>
      </c>
      <c r="Y1456" s="38" t="n">
        <f aca="false">IF(AND(OR(T1456="Backlog",T1456="Pipeline",T1456="Overdue"),ISNUMBER(W1456)),IF(W1456&lt;=Settings!$B$6,Q1456,0),0)</f>
        <v>0</v>
      </c>
      <c r="Z1456" s="38" t="n">
        <f aca="false">IF(Y1456=0,0,IF(T1456="Backlog",Q1456,Q1456*Dashboard!$C$10))</f>
        <v>0</v>
      </c>
      <c r="AA1456" s="37" t="n">
        <f aca="false">IF($N1456="",0,IF(COUNTIF(Dashboard!$C$13:$C$22,$N1456)&gt;0,1,0))</f>
        <v>0</v>
      </c>
      <c r="AB1456" s="37" t="str">
        <f aca="false">IF($N1456="","",IF(COUNTIF($N$8:$N1456,$N1456)=1,MAX($AB$7:$AB1455)+1,""))</f>
        <v/>
      </c>
    </row>
    <row r="1457" customFormat="false" ht="15" hidden="false" customHeight="false" outlineLevel="0" collapsed="false">
      <c r="L1457" s="37" t="str">
        <f aca="false">IF(INDEX($A1457:$J1457,$L$6)&lt;&gt;"",TRIM(LEFT(INDEX($A1457:$J1457,$L$6),FIND("(",INDEX($A1457:$J1457,$L$6)&amp;"(")-1)),L1456)</f>
        <v>Building Value Proposition</v>
      </c>
      <c r="M1457" s="37" t="str">
        <f aca="false">IF(INDEX($A1457:$J1457,$M$6)="","",INDEX($A1457:$J1457,$M$6)&amp;"")</f>
        <v/>
      </c>
      <c r="N1457" s="37" t="str">
        <f aca="false">IF($M1457="","",TRIM(INDEX($A1457:$J1457,$N$6)&amp;""))</f>
        <v/>
      </c>
      <c r="O1457" s="37" t="str">
        <f aca="false">IF($M1457="","",TRIM(INDEX($A1457:$J1457,$O$6)&amp;""))</f>
        <v/>
      </c>
      <c r="P1457" s="37" t="str">
        <f aca="false">IF($M1457="","",IFERROR(IF(INDEX(Settings!$B$41:$B$50,MATCH(O1457,Settings!$A$41:$A$50,0))&amp;""="","UNMAPPED",INDEX(Settings!$B$41:$B$50,MATCH(O1457,Settings!$A$41:$A$50,0))&amp;""),"UNMAPPED"))</f>
        <v/>
      </c>
      <c r="Q1457" s="38" t="n">
        <f aca="false">IF($M1457="",0,N(INDEX($A1457:$J1457,$Q$6)))</f>
        <v>0</v>
      </c>
      <c r="R1457" s="39" t="str">
        <f aca="false">IF($M1457="","",INDEX($A1457:$J1457,$R$6))</f>
        <v/>
      </c>
      <c r="S1457" s="37" t="str">
        <f aca="false">IF($M1457="","",IFERROR(INDEX(Settings!$B$27:$B$36,MATCH(L1457,Settings!$A$27:$A$36,0))&amp;"","UNMAPPED"))</f>
        <v/>
      </c>
      <c r="T1457" s="37" t="str">
        <f aca="false">IF($M1457="","",IF(NOT(ISNUMBER(R1457)),"NO DATE",IF(S1457="Won",IF(R1457&gt;Settings!$B$5,"Backlog","Delivered"),IF(S1457="Open",IF(R1457&gt;Settings!$B$5,"Pipeline","Overdue"),IF(S1457="Lost","Lost","UNMAPPED")))))</f>
        <v/>
      </c>
      <c r="U1457" s="40" t="n">
        <f aca="false">IF(T1457="Backlog",1,IF(OR(T1457="Pipeline",T1457="Overdue"),N(INDEX(Settings!$C$27:$C$36,MATCH(L1457,Settings!$A$27:$A$36,0))),0))</f>
        <v>0</v>
      </c>
      <c r="V1457" s="38" t="n">
        <f aca="false">Q1457*U1457</f>
        <v>0</v>
      </c>
      <c r="W1457" s="41" t="str">
        <f aca="false">IF($M1457="","",IF(T1457="Overdue",IF(Settings!$B$8="Yes",Settings!$B$7,""),IF(ISNUMBER(R1457),DATE(YEAR(R1457),MONTH(R1457),1),"")))</f>
        <v/>
      </c>
      <c r="X1457" s="38" t="n">
        <f aca="false">IF(AND(OR(T1457="Backlog",T1457="Pipeline",T1457="Overdue"),ISNUMBER(W1457)),IF(W1457&lt;=Settings!$B$6,V1457,0),0)</f>
        <v>0</v>
      </c>
      <c r="Y1457" s="38" t="n">
        <f aca="false">IF(AND(OR(T1457="Backlog",T1457="Pipeline",T1457="Overdue"),ISNUMBER(W1457)),IF(W1457&lt;=Settings!$B$6,Q1457,0),0)</f>
        <v>0</v>
      </c>
      <c r="Z1457" s="38" t="n">
        <f aca="false">IF(Y1457=0,0,IF(T1457="Backlog",Q1457,Q1457*Dashboard!$C$10))</f>
        <v>0</v>
      </c>
      <c r="AA1457" s="37" t="n">
        <f aca="false">IF($N1457="",0,IF(COUNTIF(Dashboard!$C$13:$C$22,$N1457)&gt;0,1,0))</f>
        <v>0</v>
      </c>
      <c r="AB1457" s="37" t="str">
        <f aca="false">IF($N1457="","",IF(COUNTIF($N$8:$N1457,$N1457)=1,MAX($AB$7:$AB1456)+1,""))</f>
        <v/>
      </c>
    </row>
    <row r="1458" customFormat="false" ht="15" hidden="false" customHeight="false" outlineLevel="0" collapsed="false">
      <c r="L1458" s="37" t="str">
        <f aca="false">IF(INDEX($A1458:$J1458,$L$6)&lt;&gt;"",TRIM(LEFT(INDEX($A1458:$J1458,$L$6),FIND("(",INDEX($A1458:$J1458,$L$6)&amp;"(")-1)),L1457)</f>
        <v>Building Value Proposition</v>
      </c>
      <c r="M1458" s="37" t="str">
        <f aca="false">IF(INDEX($A1458:$J1458,$M$6)="","",INDEX($A1458:$J1458,$M$6)&amp;"")</f>
        <v/>
      </c>
      <c r="N1458" s="37" t="str">
        <f aca="false">IF($M1458="","",TRIM(INDEX($A1458:$J1458,$N$6)&amp;""))</f>
        <v/>
      </c>
      <c r="O1458" s="37" t="str">
        <f aca="false">IF($M1458="","",TRIM(INDEX($A1458:$J1458,$O$6)&amp;""))</f>
        <v/>
      </c>
      <c r="P1458" s="37" t="str">
        <f aca="false">IF($M1458="","",IFERROR(IF(INDEX(Settings!$B$41:$B$50,MATCH(O1458,Settings!$A$41:$A$50,0))&amp;""="","UNMAPPED",INDEX(Settings!$B$41:$B$50,MATCH(O1458,Settings!$A$41:$A$50,0))&amp;""),"UNMAPPED"))</f>
        <v/>
      </c>
      <c r="Q1458" s="38" t="n">
        <f aca="false">IF($M1458="",0,N(INDEX($A1458:$J1458,$Q$6)))</f>
        <v>0</v>
      </c>
      <c r="R1458" s="39" t="str">
        <f aca="false">IF($M1458="","",INDEX($A1458:$J1458,$R$6))</f>
        <v/>
      </c>
      <c r="S1458" s="37" t="str">
        <f aca="false">IF($M1458="","",IFERROR(INDEX(Settings!$B$27:$B$36,MATCH(L1458,Settings!$A$27:$A$36,0))&amp;"","UNMAPPED"))</f>
        <v/>
      </c>
      <c r="T1458" s="37" t="str">
        <f aca="false">IF($M1458="","",IF(NOT(ISNUMBER(R1458)),"NO DATE",IF(S1458="Won",IF(R1458&gt;Settings!$B$5,"Backlog","Delivered"),IF(S1458="Open",IF(R1458&gt;Settings!$B$5,"Pipeline","Overdue"),IF(S1458="Lost","Lost","UNMAPPED")))))</f>
        <v/>
      </c>
      <c r="U1458" s="40" t="n">
        <f aca="false">IF(T1458="Backlog",1,IF(OR(T1458="Pipeline",T1458="Overdue"),N(INDEX(Settings!$C$27:$C$36,MATCH(L1458,Settings!$A$27:$A$36,0))),0))</f>
        <v>0</v>
      </c>
      <c r="V1458" s="38" t="n">
        <f aca="false">Q1458*U1458</f>
        <v>0</v>
      </c>
      <c r="W1458" s="41" t="str">
        <f aca="false">IF($M1458="","",IF(T1458="Overdue",IF(Settings!$B$8="Yes",Settings!$B$7,""),IF(ISNUMBER(R1458),DATE(YEAR(R1458),MONTH(R1458),1),"")))</f>
        <v/>
      </c>
      <c r="X1458" s="38" t="n">
        <f aca="false">IF(AND(OR(T1458="Backlog",T1458="Pipeline",T1458="Overdue"),ISNUMBER(W1458)),IF(W1458&lt;=Settings!$B$6,V1458,0),0)</f>
        <v>0</v>
      </c>
      <c r="Y1458" s="38" t="n">
        <f aca="false">IF(AND(OR(T1458="Backlog",T1458="Pipeline",T1458="Overdue"),ISNUMBER(W1458)),IF(W1458&lt;=Settings!$B$6,Q1458,0),0)</f>
        <v>0</v>
      </c>
      <c r="Z1458" s="38" t="n">
        <f aca="false">IF(Y1458=0,0,IF(T1458="Backlog",Q1458,Q1458*Dashboard!$C$10))</f>
        <v>0</v>
      </c>
      <c r="AA1458" s="37" t="n">
        <f aca="false">IF($N1458="",0,IF(COUNTIF(Dashboard!$C$13:$C$22,$N1458)&gt;0,1,0))</f>
        <v>0</v>
      </c>
      <c r="AB1458" s="37" t="str">
        <f aca="false">IF($N1458="","",IF(COUNTIF($N$8:$N1458,$N1458)=1,MAX($AB$7:$AB1457)+1,""))</f>
        <v/>
      </c>
    </row>
    <row r="1459" customFormat="false" ht="15" hidden="false" customHeight="false" outlineLevel="0" collapsed="false">
      <c r="L1459" s="37" t="str">
        <f aca="false">IF(INDEX($A1459:$J1459,$L$6)&lt;&gt;"",TRIM(LEFT(INDEX($A1459:$J1459,$L$6),FIND("(",INDEX($A1459:$J1459,$L$6)&amp;"(")-1)),L1458)</f>
        <v>Building Value Proposition</v>
      </c>
      <c r="M1459" s="37" t="str">
        <f aca="false">IF(INDEX($A1459:$J1459,$M$6)="","",INDEX($A1459:$J1459,$M$6)&amp;"")</f>
        <v/>
      </c>
      <c r="N1459" s="37" t="str">
        <f aca="false">IF($M1459="","",TRIM(INDEX($A1459:$J1459,$N$6)&amp;""))</f>
        <v/>
      </c>
      <c r="O1459" s="37" t="str">
        <f aca="false">IF($M1459="","",TRIM(INDEX($A1459:$J1459,$O$6)&amp;""))</f>
        <v/>
      </c>
      <c r="P1459" s="37" t="str">
        <f aca="false">IF($M1459="","",IFERROR(IF(INDEX(Settings!$B$41:$B$50,MATCH(O1459,Settings!$A$41:$A$50,0))&amp;""="","UNMAPPED",INDEX(Settings!$B$41:$B$50,MATCH(O1459,Settings!$A$41:$A$50,0))&amp;""),"UNMAPPED"))</f>
        <v/>
      </c>
      <c r="Q1459" s="38" t="n">
        <f aca="false">IF($M1459="",0,N(INDEX($A1459:$J1459,$Q$6)))</f>
        <v>0</v>
      </c>
      <c r="R1459" s="39" t="str">
        <f aca="false">IF($M1459="","",INDEX($A1459:$J1459,$R$6))</f>
        <v/>
      </c>
      <c r="S1459" s="37" t="str">
        <f aca="false">IF($M1459="","",IFERROR(INDEX(Settings!$B$27:$B$36,MATCH(L1459,Settings!$A$27:$A$36,0))&amp;"","UNMAPPED"))</f>
        <v/>
      </c>
      <c r="T1459" s="37" t="str">
        <f aca="false">IF($M1459="","",IF(NOT(ISNUMBER(R1459)),"NO DATE",IF(S1459="Won",IF(R1459&gt;Settings!$B$5,"Backlog","Delivered"),IF(S1459="Open",IF(R1459&gt;Settings!$B$5,"Pipeline","Overdue"),IF(S1459="Lost","Lost","UNMAPPED")))))</f>
        <v/>
      </c>
      <c r="U1459" s="40" t="n">
        <f aca="false">IF(T1459="Backlog",1,IF(OR(T1459="Pipeline",T1459="Overdue"),N(INDEX(Settings!$C$27:$C$36,MATCH(L1459,Settings!$A$27:$A$36,0))),0))</f>
        <v>0</v>
      </c>
      <c r="V1459" s="38" t="n">
        <f aca="false">Q1459*U1459</f>
        <v>0</v>
      </c>
      <c r="W1459" s="41" t="str">
        <f aca="false">IF($M1459="","",IF(T1459="Overdue",IF(Settings!$B$8="Yes",Settings!$B$7,""),IF(ISNUMBER(R1459),DATE(YEAR(R1459),MONTH(R1459),1),"")))</f>
        <v/>
      </c>
      <c r="X1459" s="38" t="n">
        <f aca="false">IF(AND(OR(T1459="Backlog",T1459="Pipeline",T1459="Overdue"),ISNUMBER(W1459)),IF(W1459&lt;=Settings!$B$6,V1459,0),0)</f>
        <v>0</v>
      </c>
      <c r="Y1459" s="38" t="n">
        <f aca="false">IF(AND(OR(T1459="Backlog",T1459="Pipeline",T1459="Overdue"),ISNUMBER(W1459)),IF(W1459&lt;=Settings!$B$6,Q1459,0),0)</f>
        <v>0</v>
      </c>
      <c r="Z1459" s="38" t="n">
        <f aca="false">IF(Y1459=0,0,IF(T1459="Backlog",Q1459,Q1459*Dashboard!$C$10))</f>
        <v>0</v>
      </c>
      <c r="AA1459" s="37" t="n">
        <f aca="false">IF($N1459="",0,IF(COUNTIF(Dashboard!$C$13:$C$22,$N1459)&gt;0,1,0))</f>
        <v>0</v>
      </c>
      <c r="AB1459" s="37" t="str">
        <f aca="false">IF($N1459="","",IF(COUNTIF($N$8:$N1459,$N1459)=1,MAX($AB$7:$AB1458)+1,""))</f>
        <v/>
      </c>
    </row>
    <row r="1460" customFormat="false" ht="15" hidden="false" customHeight="false" outlineLevel="0" collapsed="false">
      <c r="L1460" s="37" t="str">
        <f aca="false">IF(INDEX($A1460:$J1460,$L$6)&lt;&gt;"",TRIM(LEFT(INDEX($A1460:$J1460,$L$6),FIND("(",INDEX($A1460:$J1460,$L$6)&amp;"(")-1)),L1459)</f>
        <v>Building Value Proposition</v>
      </c>
      <c r="M1460" s="37" t="str">
        <f aca="false">IF(INDEX($A1460:$J1460,$M$6)="","",INDEX($A1460:$J1460,$M$6)&amp;"")</f>
        <v/>
      </c>
      <c r="N1460" s="37" t="str">
        <f aca="false">IF($M1460="","",TRIM(INDEX($A1460:$J1460,$N$6)&amp;""))</f>
        <v/>
      </c>
      <c r="O1460" s="37" t="str">
        <f aca="false">IF($M1460="","",TRIM(INDEX($A1460:$J1460,$O$6)&amp;""))</f>
        <v/>
      </c>
      <c r="P1460" s="37" t="str">
        <f aca="false">IF($M1460="","",IFERROR(IF(INDEX(Settings!$B$41:$B$50,MATCH(O1460,Settings!$A$41:$A$50,0))&amp;""="","UNMAPPED",INDEX(Settings!$B$41:$B$50,MATCH(O1460,Settings!$A$41:$A$50,0))&amp;""),"UNMAPPED"))</f>
        <v/>
      </c>
      <c r="Q1460" s="38" t="n">
        <f aca="false">IF($M1460="",0,N(INDEX($A1460:$J1460,$Q$6)))</f>
        <v>0</v>
      </c>
      <c r="R1460" s="39" t="str">
        <f aca="false">IF($M1460="","",INDEX($A1460:$J1460,$R$6))</f>
        <v/>
      </c>
      <c r="S1460" s="37" t="str">
        <f aca="false">IF($M1460="","",IFERROR(INDEX(Settings!$B$27:$B$36,MATCH(L1460,Settings!$A$27:$A$36,0))&amp;"","UNMAPPED"))</f>
        <v/>
      </c>
      <c r="T1460" s="37" t="str">
        <f aca="false">IF($M1460="","",IF(NOT(ISNUMBER(R1460)),"NO DATE",IF(S1460="Won",IF(R1460&gt;Settings!$B$5,"Backlog","Delivered"),IF(S1460="Open",IF(R1460&gt;Settings!$B$5,"Pipeline","Overdue"),IF(S1460="Lost","Lost","UNMAPPED")))))</f>
        <v/>
      </c>
      <c r="U1460" s="40" t="n">
        <f aca="false">IF(T1460="Backlog",1,IF(OR(T1460="Pipeline",T1460="Overdue"),N(INDEX(Settings!$C$27:$C$36,MATCH(L1460,Settings!$A$27:$A$36,0))),0))</f>
        <v>0</v>
      </c>
      <c r="V1460" s="38" t="n">
        <f aca="false">Q1460*U1460</f>
        <v>0</v>
      </c>
      <c r="W1460" s="41" t="str">
        <f aca="false">IF($M1460="","",IF(T1460="Overdue",IF(Settings!$B$8="Yes",Settings!$B$7,""),IF(ISNUMBER(R1460),DATE(YEAR(R1460),MONTH(R1460),1),"")))</f>
        <v/>
      </c>
      <c r="X1460" s="38" t="n">
        <f aca="false">IF(AND(OR(T1460="Backlog",T1460="Pipeline",T1460="Overdue"),ISNUMBER(W1460)),IF(W1460&lt;=Settings!$B$6,V1460,0),0)</f>
        <v>0</v>
      </c>
      <c r="Y1460" s="38" t="n">
        <f aca="false">IF(AND(OR(T1460="Backlog",T1460="Pipeline",T1460="Overdue"),ISNUMBER(W1460)),IF(W1460&lt;=Settings!$B$6,Q1460,0),0)</f>
        <v>0</v>
      </c>
      <c r="Z1460" s="38" t="n">
        <f aca="false">IF(Y1460=0,0,IF(T1460="Backlog",Q1460,Q1460*Dashboard!$C$10))</f>
        <v>0</v>
      </c>
      <c r="AA1460" s="37" t="n">
        <f aca="false">IF($N1460="",0,IF(COUNTIF(Dashboard!$C$13:$C$22,$N1460)&gt;0,1,0))</f>
        <v>0</v>
      </c>
      <c r="AB1460" s="37" t="str">
        <f aca="false">IF($N1460="","",IF(COUNTIF($N$8:$N1460,$N1460)=1,MAX($AB$7:$AB1459)+1,""))</f>
        <v/>
      </c>
    </row>
    <row r="1461" customFormat="false" ht="15" hidden="false" customHeight="false" outlineLevel="0" collapsed="false">
      <c r="L1461" s="37" t="str">
        <f aca="false">IF(INDEX($A1461:$J1461,$L$6)&lt;&gt;"",TRIM(LEFT(INDEX($A1461:$J1461,$L$6),FIND("(",INDEX($A1461:$J1461,$L$6)&amp;"(")-1)),L1460)</f>
        <v>Building Value Proposition</v>
      </c>
      <c r="M1461" s="37" t="str">
        <f aca="false">IF(INDEX($A1461:$J1461,$M$6)="","",INDEX($A1461:$J1461,$M$6)&amp;"")</f>
        <v/>
      </c>
      <c r="N1461" s="37" t="str">
        <f aca="false">IF($M1461="","",TRIM(INDEX($A1461:$J1461,$N$6)&amp;""))</f>
        <v/>
      </c>
      <c r="O1461" s="37" t="str">
        <f aca="false">IF($M1461="","",TRIM(INDEX($A1461:$J1461,$O$6)&amp;""))</f>
        <v/>
      </c>
      <c r="P1461" s="37" t="str">
        <f aca="false">IF($M1461="","",IFERROR(IF(INDEX(Settings!$B$41:$B$50,MATCH(O1461,Settings!$A$41:$A$50,0))&amp;""="","UNMAPPED",INDEX(Settings!$B$41:$B$50,MATCH(O1461,Settings!$A$41:$A$50,0))&amp;""),"UNMAPPED"))</f>
        <v/>
      </c>
      <c r="Q1461" s="38" t="n">
        <f aca="false">IF($M1461="",0,N(INDEX($A1461:$J1461,$Q$6)))</f>
        <v>0</v>
      </c>
      <c r="R1461" s="39" t="str">
        <f aca="false">IF($M1461="","",INDEX($A1461:$J1461,$R$6))</f>
        <v/>
      </c>
      <c r="S1461" s="37" t="str">
        <f aca="false">IF($M1461="","",IFERROR(INDEX(Settings!$B$27:$B$36,MATCH(L1461,Settings!$A$27:$A$36,0))&amp;"","UNMAPPED"))</f>
        <v/>
      </c>
      <c r="T1461" s="37" t="str">
        <f aca="false">IF($M1461="","",IF(NOT(ISNUMBER(R1461)),"NO DATE",IF(S1461="Won",IF(R1461&gt;Settings!$B$5,"Backlog","Delivered"),IF(S1461="Open",IF(R1461&gt;Settings!$B$5,"Pipeline","Overdue"),IF(S1461="Lost","Lost","UNMAPPED")))))</f>
        <v/>
      </c>
      <c r="U1461" s="40" t="n">
        <f aca="false">IF(T1461="Backlog",1,IF(OR(T1461="Pipeline",T1461="Overdue"),N(INDEX(Settings!$C$27:$C$36,MATCH(L1461,Settings!$A$27:$A$36,0))),0))</f>
        <v>0</v>
      </c>
      <c r="V1461" s="38" t="n">
        <f aca="false">Q1461*U1461</f>
        <v>0</v>
      </c>
      <c r="W1461" s="41" t="str">
        <f aca="false">IF($M1461="","",IF(T1461="Overdue",IF(Settings!$B$8="Yes",Settings!$B$7,""),IF(ISNUMBER(R1461),DATE(YEAR(R1461),MONTH(R1461),1),"")))</f>
        <v/>
      </c>
      <c r="X1461" s="38" t="n">
        <f aca="false">IF(AND(OR(T1461="Backlog",T1461="Pipeline",T1461="Overdue"),ISNUMBER(W1461)),IF(W1461&lt;=Settings!$B$6,V1461,0),0)</f>
        <v>0</v>
      </c>
      <c r="Y1461" s="38" t="n">
        <f aca="false">IF(AND(OR(T1461="Backlog",T1461="Pipeline",T1461="Overdue"),ISNUMBER(W1461)),IF(W1461&lt;=Settings!$B$6,Q1461,0),0)</f>
        <v>0</v>
      </c>
      <c r="Z1461" s="38" t="n">
        <f aca="false">IF(Y1461=0,0,IF(T1461="Backlog",Q1461,Q1461*Dashboard!$C$10))</f>
        <v>0</v>
      </c>
      <c r="AA1461" s="37" t="n">
        <f aca="false">IF($N1461="",0,IF(COUNTIF(Dashboard!$C$13:$C$22,$N1461)&gt;0,1,0))</f>
        <v>0</v>
      </c>
      <c r="AB1461" s="37" t="str">
        <f aca="false">IF($N1461="","",IF(COUNTIF($N$8:$N1461,$N1461)=1,MAX($AB$7:$AB1460)+1,""))</f>
        <v/>
      </c>
    </row>
    <row r="1462" customFormat="false" ht="15" hidden="false" customHeight="false" outlineLevel="0" collapsed="false">
      <c r="L1462" s="37" t="str">
        <f aca="false">IF(INDEX($A1462:$J1462,$L$6)&lt;&gt;"",TRIM(LEFT(INDEX($A1462:$J1462,$L$6),FIND("(",INDEX($A1462:$J1462,$L$6)&amp;"(")-1)),L1461)</f>
        <v>Building Value Proposition</v>
      </c>
      <c r="M1462" s="37" t="str">
        <f aca="false">IF(INDEX($A1462:$J1462,$M$6)="","",INDEX($A1462:$J1462,$M$6)&amp;"")</f>
        <v/>
      </c>
      <c r="N1462" s="37" t="str">
        <f aca="false">IF($M1462="","",TRIM(INDEX($A1462:$J1462,$N$6)&amp;""))</f>
        <v/>
      </c>
      <c r="O1462" s="37" t="str">
        <f aca="false">IF($M1462="","",TRIM(INDEX($A1462:$J1462,$O$6)&amp;""))</f>
        <v/>
      </c>
      <c r="P1462" s="37" t="str">
        <f aca="false">IF($M1462="","",IFERROR(IF(INDEX(Settings!$B$41:$B$50,MATCH(O1462,Settings!$A$41:$A$50,0))&amp;""="","UNMAPPED",INDEX(Settings!$B$41:$B$50,MATCH(O1462,Settings!$A$41:$A$50,0))&amp;""),"UNMAPPED"))</f>
        <v/>
      </c>
      <c r="Q1462" s="38" t="n">
        <f aca="false">IF($M1462="",0,N(INDEX($A1462:$J1462,$Q$6)))</f>
        <v>0</v>
      </c>
      <c r="R1462" s="39" t="str">
        <f aca="false">IF($M1462="","",INDEX($A1462:$J1462,$R$6))</f>
        <v/>
      </c>
      <c r="S1462" s="37" t="str">
        <f aca="false">IF($M1462="","",IFERROR(INDEX(Settings!$B$27:$B$36,MATCH(L1462,Settings!$A$27:$A$36,0))&amp;"","UNMAPPED"))</f>
        <v/>
      </c>
      <c r="T1462" s="37" t="str">
        <f aca="false">IF($M1462="","",IF(NOT(ISNUMBER(R1462)),"NO DATE",IF(S1462="Won",IF(R1462&gt;Settings!$B$5,"Backlog","Delivered"),IF(S1462="Open",IF(R1462&gt;Settings!$B$5,"Pipeline","Overdue"),IF(S1462="Lost","Lost","UNMAPPED")))))</f>
        <v/>
      </c>
      <c r="U1462" s="40" t="n">
        <f aca="false">IF(T1462="Backlog",1,IF(OR(T1462="Pipeline",T1462="Overdue"),N(INDEX(Settings!$C$27:$C$36,MATCH(L1462,Settings!$A$27:$A$36,0))),0))</f>
        <v>0</v>
      </c>
      <c r="V1462" s="38" t="n">
        <f aca="false">Q1462*U1462</f>
        <v>0</v>
      </c>
      <c r="W1462" s="41" t="str">
        <f aca="false">IF($M1462="","",IF(T1462="Overdue",IF(Settings!$B$8="Yes",Settings!$B$7,""),IF(ISNUMBER(R1462),DATE(YEAR(R1462),MONTH(R1462),1),"")))</f>
        <v/>
      </c>
      <c r="X1462" s="38" t="n">
        <f aca="false">IF(AND(OR(T1462="Backlog",T1462="Pipeline",T1462="Overdue"),ISNUMBER(W1462)),IF(W1462&lt;=Settings!$B$6,V1462,0),0)</f>
        <v>0</v>
      </c>
      <c r="Y1462" s="38" t="n">
        <f aca="false">IF(AND(OR(T1462="Backlog",T1462="Pipeline",T1462="Overdue"),ISNUMBER(W1462)),IF(W1462&lt;=Settings!$B$6,Q1462,0),0)</f>
        <v>0</v>
      </c>
      <c r="Z1462" s="38" t="n">
        <f aca="false">IF(Y1462=0,0,IF(T1462="Backlog",Q1462,Q1462*Dashboard!$C$10))</f>
        <v>0</v>
      </c>
      <c r="AA1462" s="37" t="n">
        <f aca="false">IF($N1462="",0,IF(COUNTIF(Dashboard!$C$13:$C$22,$N1462)&gt;0,1,0))</f>
        <v>0</v>
      </c>
      <c r="AB1462" s="37" t="str">
        <f aca="false">IF($N1462="","",IF(COUNTIF($N$8:$N1462,$N1462)=1,MAX($AB$7:$AB1461)+1,""))</f>
        <v/>
      </c>
    </row>
    <row r="1463" customFormat="false" ht="15" hidden="false" customHeight="false" outlineLevel="0" collapsed="false">
      <c r="L1463" s="37" t="str">
        <f aca="false">IF(INDEX($A1463:$J1463,$L$6)&lt;&gt;"",TRIM(LEFT(INDEX($A1463:$J1463,$L$6),FIND("(",INDEX($A1463:$J1463,$L$6)&amp;"(")-1)),L1462)</f>
        <v>Building Value Proposition</v>
      </c>
      <c r="M1463" s="37" t="str">
        <f aca="false">IF(INDEX($A1463:$J1463,$M$6)="","",INDEX($A1463:$J1463,$M$6)&amp;"")</f>
        <v/>
      </c>
      <c r="N1463" s="37" t="str">
        <f aca="false">IF($M1463="","",TRIM(INDEX($A1463:$J1463,$N$6)&amp;""))</f>
        <v/>
      </c>
      <c r="O1463" s="37" t="str">
        <f aca="false">IF($M1463="","",TRIM(INDEX($A1463:$J1463,$O$6)&amp;""))</f>
        <v/>
      </c>
      <c r="P1463" s="37" t="str">
        <f aca="false">IF($M1463="","",IFERROR(IF(INDEX(Settings!$B$41:$B$50,MATCH(O1463,Settings!$A$41:$A$50,0))&amp;""="","UNMAPPED",INDEX(Settings!$B$41:$B$50,MATCH(O1463,Settings!$A$41:$A$50,0))&amp;""),"UNMAPPED"))</f>
        <v/>
      </c>
      <c r="Q1463" s="38" t="n">
        <f aca="false">IF($M1463="",0,N(INDEX($A1463:$J1463,$Q$6)))</f>
        <v>0</v>
      </c>
      <c r="R1463" s="39" t="str">
        <f aca="false">IF($M1463="","",INDEX($A1463:$J1463,$R$6))</f>
        <v/>
      </c>
      <c r="S1463" s="37" t="str">
        <f aca="false">IF($M1463="","",IFERROR(INDEX(Settings!$B$27:$B$36,MATCH(L1463,Settings!$A$27:$A$36,0))&amp;"","UNMAPPED"))</f>
        <v/>
      </c>
      <c r="T1463" s="37" t="str">
        <f aca="false">IF($M1463="","",IF(NOT(ISNUMBER(R1463)),"NO DATE",IF(S1463="Won",IF(R1463&gt;Settings!$B$5,"Backlog","Delivered"),IF(S1463="Open",IF(R1463&gt;Settings!$B$5,"Pipeline","Overdue"),IF(S1463="Lost","Lost","UNMAPPED")))))</f>
        <v/>
      </c>
      <c r="U1463" s="40" t="n">
        <f aca="false">IF(T1463="Backlog",1,IF(OR(T1463="Pipeline",T1463="Overdue"),N(INDEX(Settings!$C$27:$C$36,MATCH(L1463,Settings!$A$27:$A$36,0))),0))</f>
        <v>0</v>
      </c>
      <c r="V1463" s="38" t="n">
        <f aca="false">Q1463*U1463</f>
        <v>0</v>
      </c>
      <c r="W1463" s="41" t="str">
        <f aca="false">IF($M1463="","",IF(T1463="Overdue",IF(Settings!$B$8="Yes",Settings!$B$7,""),IF(ISNUMBER(R1463),DATE(YEAR(R1463),MONTH(R1463),1),"")))</f>
        <v/>
      </c>
      <c r="X1463" s="38" t="n">
        <f aca="false">IF(AND(OR(T1463="Backlog",T1463="Pipeline",T1463="Overdue"),ISNUMBER(W1463)),IF(W1463&lt;=Settings!$B$6,V1463,0),0)</f>
        <v>0</v>
      </c>
      <c r="Y1463" s="38" t="n">
        <f aca="false">IF(AND(OR(T1463="Backlog",T1463="Pipeline",T1463="Overdue"),ISNUMBER(W1463)),IF(W1463&lt;=Settings!$B$6,Q1463,0),0)</f>
        <v>0</v>
      </c>
      <c r="Z1463" s="38" t="n">
        <f aca="false">IF(Y1463=0,0,IF(T1463="Backlog",Q1463,Q1463*Dashboard!$C$10))</f>
        <v>0</v>
      </c>
      <c r="AA1463" s="37" t="n">
        <f aca="false">IF($N1463="",0,IF(COUNTIF(Dashboard!$C$13:$C$22,$N1463)&gt;0,1,0))</f>
        <v>0</v>
      </c>
      <c r="AB1463" s="37" t="str">
        <f aca="false">IF($N1463="","",IF(COUNTIF($N$8:$N1463,$N1463)=1,MAX($AB$7:$AB1462)+1,""))</f>
        <v/>
      </c>
    </row>
    <row r="1464" customFormat="false" ht="15" hidden="false" customHeight="false" outlineLevel="0" collapsed="false">
      <c r="L1464" s="37" t="str">
        <f aca="false">IF(INDEX($A1464:$J1464,$L$6)&lt;&gt;"",TRIM(LEFT(INDEX($A1464:$J1464,$L$6),FIND("(",INDEX($A1464:$J1464,$L$6)&amp;"(")-1)),L1463)</f>
        <v>Building Value Proposition</v>
      </c>
      <c r="M1464" s="37" t="str">
        <f aca="false">IF(INDEX($A1464:$J1464,$M$6)="","",INDEX($A1464:$J1464,$M$6)&amp;"")</f>
        <v/>
      </c>
      <c r="N1464" s="37" t="str">
        <f aca="false">IF($M1464="","",TRIM(INDEX($A1464:$J1464,$N$6)&amp;""))</f>
        <v/>
      </c>
      <c r="O1464" s="37" t="str">
        <f aca="false">IF($M1464="","",TRIM(INDEX($A1464:$J1464,$O$6)&amp;""))</f>
        <v/>
      </c>
      <c r="P1464" s="37" t="str">
        <f aca="false">IF($M1464="","",IFERROR(IF(INDEX(Settings!$B$41:$B$50,MATCH(O1464,Settings!$A$41:$A$50,0))&amp;""="","UNMAPPED",INDEX(Settings!$B$41:$B$50,MATCH(O1464,Settings!$A$41:$A$50,0))&amp;""),"UNMAPPED"))</f>
        <v/>
      </c>
      <c r="Q1464" s="38" t="n">
        <f aca="false">IF($M1464="",0,N(INDEX($A1464:$J1464,$Q$6)))</f>
        <v>0</v>
      </c>
      <c r="R1464" s="39" t="str">
        <f aca="false">IF($M1464="","",INDEX($A1464:$J1464,$R$6))</f>
        <v/>
      </c>
      <c r="S1464" s="37" t="str">
        <f aca="false">IF($M1464="","",IFERROR(INDEX(Settings!$B$27:$B$36,MATCH(L1464,Settings!$A$27:$A$36,0))&amp;"","UNMAPPED"))</f>
        <v/>
      </c>
      <c r="T1464" s="37" t="str">
        <f aca="false">IF($M1464="","",IF(NOT(ISNUMBER(R1464)),"NO DATE",IF(S1464="Won",IF(R1464&gt;Settings!$B$5,"Backlog","Delivered"),IF(S1464="Open",IF(R1464&gt;Settings!$B$5,"Pipeline","Overdue"),IF(S1464="Lost","Lost","UNMAPPED")))))</f>
        <v/>
      </c>
      <c r="U1464" s="40" t="n">
        <f aca="false">IF(T1464="Backlog",1,IF(OR(T1464="Pipeline",T1464="Overdue"),N(INDEX(Settings!$C$27:$C$36,MATCH(L1464,Settings!$A$27:$A$36,0))),0))</f>
        <v>0</v>
      </c>
      <c r="V1464" s="38" t="n">
        <f aca="false">Q1464*U1464</f>
        <v>0</v>
      </c>
      <c r="W1464" s="41" t="str">
        <f aca="false">IF($M1464="","",IF(T1464="Overdue",IF(Settings!$B$8="Yes",Settings!$B$7,""),IF(ISNUMBER(R1464),DATE(YEAR(R1464),MONTH(R1464),1),"")))</f>
        <v/>
      </c>
      <c r="X1464" s="38" t="n">
        <f aca="false">IF(AND(OR(T1464="Backlog",T1464="Pipeline",T1464="Overdue"),ISNUMBER(W1464)),IF(W1464&lt;=Settings!$B$6,V1464,0),0)</f>
        <v>0</v>
      </c>
      <c r="Y1464" s="38" t="n">
        <f aca="false">IF(AND(OR(T1464="Backlog",T1464="Pipeline",T1464="Overdue"),ISNUMBER(W1464)),IF(W1464&lt;=Settings!$B$6,Q1464,0),0)</f>
        <v>0</v>
      </c>
      <c r="Z1464" s="38" t="n">
        <f aca="false">IF(Y1464=0,0,IF(T1464="Backlog",Q1464,Q1464*Dashboard!$C$10))</f>
        <v>0</v>
      </c>
      <c r="AA1464" s="37" t="n">
        <f aca="false">IF($N1464="",0,IF(COUNTIF(Dashboard!$C$13:$C$22,$N1464)&gt;0,1,0))</f>
        <v>0</v>
      </c>
      <c r="AB1464" s="37" t="str">
        <f aca="false">IF($N1464="","",IF(COUNTIF($N$8:$N1464,$N1464)=1,MAX($AB$7:$AB1463)+1,""))</f>
        <v/>
      </c>
    </row>
    <row r="1465" customFormat="false" ht="15" hidden="false" customHeight="false" outlineLevel="0" collapsed="false">
      <c r="L1465" s="37" t="str">
        <f aca="false">IF(INDEX($A1465:$J1465,$L$6)&lt;&gt;"",TRIM(LEFT(INDEX($A1465:$J1465,$L$6),FIND("(",INDEX($A1465:$J1465,$L$6)&amp;"(")-1)),L1464)</f>
        <v>Building Value Proposition</v>
      </c>
      <c r="M1465" s="37" t="str">
        <f aca="false">IF(INDEX($A1465:$J1465,$M$6)="","",INDEX($A1465:$J1465,$M$6)&amp;"")</f>
        <v/>
      </c>
      <c r="N1465" s="37" t="str">
        <f aca="false">IF($M1465="","",TRIM(INDEX($A1465:$J1465,$N$6)&amp;""))</f>
        <v/>
      </c>
      <c r="O1465" s="37" t="str">
        <f aca="false">IF($M1465="","",TRIM(INDEX($A1465:$J1465,$O$6)&amp;""))</f>
        <v/>
      </c>
      <c r="P1465" s="37" t="str">
        <f aca="false">IF($M1465="","",IFERROR(IF(INDEX(Settings!$B$41:$B$50,MATCH(O1465,Settings!$A$41:$A$50,0))&amp;""="","UNMAPPED",INDEX(Settings!$B$41:$B$50,MATCH(O1465,Settings!$A$41:$A$50,0))&amp;""),"UNMAPPED"))</f>
        <v/>
      </c>
      <c r="Q1465" s="38" t="n">
        <f aca="false">IF($M1465="",0,N(INDEX($A1465:$J1465,$Q$6)))</f>
        <v>0</v>
      </c>
      <c r="R1465" s="39" t="str">
        <f aca="false">IF($M1465="","",INDEX($A1465:$J1465,$R$6))</f>
        <v/>
      </c>
      <c r="S1465" s="37" t="str">
        <f aca="false">IF($M1465="","",IFERROR(INDEX(Settings!$B$27:$B$36,MATCH(L1465,Settings!$A$27:$A$36,0))&amp;"","UNMAPPED"))</f>
        <v/>
      </c>
      <c r="T1465" s="37" t="str">
        <f aca="false">IF($M1465="","",IF(NOT(ISNUMBER(R1465)),"NO DATE",IF(S1465="Won",IF(R1465&gt;Settings!$B$5,"Backlog","Delivered"),IF(S1465="Open",IF(R1465&gt;Settings!$B$5,"Pipeline","Overdue"),IF(S1465="Lost","Lost","UNMAPPED")))))</f>
        <v/>
      </c>
      <c r="U1465" s="40" t="n">
        <f aca="false">IF(T1465="Backlog",1,IF(OR(T1465="Pipeline",T1465="Overdue"),N(INDEX(Settings!$C$27:$C$36,MATCH(L1465,Settings!$A$27:$A$36,0))),0))</f>
        <v>0</v>
      </c>
      <c r="V1465" s="38" t="n">
        <f aca="false">Q1465*U1465</f>
        <v>0</v>
      </c>
      <c r="W1465" s="41" t="str">
        <f aca="false">IF($M1465="","",IF(T1465="Overdue",IF(Settings!$B$8="Yes",Settings!$B$7,""),IF(ISNUMBER(R1465),DATE(YEAR(R1465),MONTH(R1465),1),"")))</f>
        <v/>
      </c>
      <c r="X1465" s="38" t="n">
        <f aca="false">IF(AND(OR(T1465="Backlog",T1465="Pipeline",T1465="Overdue"),ISNUMBER(W1465)),IF(W1465&lt;=Settings!$B$6,V1465,0),0)</f>
        <v>0</v>
      </c>
      <c r="Y1465" s="38" t="n">
        <f aca="false">IF(AND(OR(T1465="Backlog",T1465="Pipeline",T1465="Overdue"),ISNUMBER(W1465)),IF(W1465&lt;=Settings!$B$6,Q1465,0),0)</f>
        <v>0</v>
      </c>
      <c r="Z1465" s="38" t="n">
        <f aca="false">IF(Y1465=0,0,IF(T1465="Backlog",Q1465,Q1465*Dashboard!$C$10))</f>
        <v>0</v>
      </c>
      <c r="AA1465" s="37" t="n">
        <f aca="false">IF($N1465="",0,IF(COUNTIF(Dashboard!$C$13:$C$22,$N1465)&gt;0,1,0))</f>
        <v>0</v>
      </c>
      <c r="AB1465" s="37" t="str">
        <f aca="false">IF($N1465="","",IF(COUNTIF($N$8:$N1465,$N1465)=1,MAX($AB$7:$AB1464)+1,""))</f>
        <v/>
      </c>
    </row>
    <row r="1466" customFormat="false" ht="15" hidden="false" customHeight="false" outlineLevel="0" collapsed="false">
      <c r="L1466" s="37" t="str">
        <f aca="false">IF(INDEX($A1466:$J1466,$L$6)&lt;&gt;"",TRIM(LEFT(INDEX($A1466:$J1466,$L$6),FIND("(",INDEX($A1466:$J1466,$L$6)&amp;"(")-1)),L1465)</f>
        <v>Building Value Proposition</v>
      </c>
      <c r="M1466" s="37" t="str">
        <f aca="false">IF(INDEX($A1466:$J1466,$M$6)="","",INDEX($A1466:$J1466,$M$6)&amp;"")</f>
        <v/>
      </c>
      <c r="N1466" s="37" t="str">
        <f aca="false">IF($M1466="","",TRIM(INDEX($A1466:$J1466,$N$6)&amp;""))</f>
        <v/>
      </c>
      <c r="O1466" s="37" t="str">
        <f aca="false">IF($M1466="","",TRIM(INDEX($A1466:$J1466,$O$6)&amp;""))</f>
        <v/>
      </c>
      <c r="P1466" s="37" t="str">
        <f aca="false">IF($M1466="","",IFERROR(IF(INDEX(Settings!$B$41:$B$50,MATCH(O1466,Settings!$A$41:$A$50,0))&amp;""="","UNMAPPED",INDEX(Settings!$B$41:$B$50,MATCH(O1466,Settings!$A$41:$A$50,0))&amp;""),"UNMAPPED"))</f>
        <v/>
      </c>
      <c r="Q1466" s="38" t="n">
        <f aca="false">IF($M1466="",0,N(INDEX($A1466:$J1466,$Q$6)))</f>
        <v>0</v>
      </c>
      <c r="R1466" s="39" t="str">
        <f aca="false">IF($M1466="","",INDEX($A1466:$J1466,$R$6))</f>
        <v/>
      </c>
      <c r="S1466" s="37" t="str">
        <f aca="false">IF($M1466="","",IFERROR(INDEX(Settings!$B$27:$B$36,MATCH(L1466,Settings!$A$27:$A$36,0))&amp;"","UNMAPPED"))</f>
        <v/>
      </c>
      <c r="T1466" s="37" t="str">
        <f aca="false">IF($M1466="","",IF(NOT(ISNUMBER(R1466)),"NO DATE",IF(S1466="Won",IF(R1466&gt;Settings!$B$5,"Backlog","Delivered"),IF(S1466="Open",IF(R1466&gt;Settings!$B$5,"Pipeline","Overdue"),IF(S1466="Lost","Lost","UNMAPPED")))))</f>
        <v/>
      </c>
      <c r="U1466" s="40" t="n">
        <f aca="false">IF(T1466="Backlog",1,IF(OR(T1466="Pipeline",T1466="Overdue"),N(INDEX(Settings!$C$27:$C$36,MATCH(L1466,Settings!$A$27:$A$36,0))),0))</f>
        <v>0</v>
      </c>
      <c r="V1466" s="38" t="n">
        <f aca="false">Q1466*U1466</f>
        <v>0</v>
      </c>
      <c r="W1466" s="41" t="str">
        <f aca="false">IF($M1466="","",IF(T1466="Overdue",IF(Settings!$B$8="Yes",Settings!$B$7,""),IF(ISNUMBER(R1466),DATE(YEAR(R1466),MONTH(R1466),1),"")))</f>
        <v/>
      </c>
      <c r="X1466" s="38" t="n">
        <f aca="false">IF(AND(OR(T1466="Backlog",T1466="Pipeline",T1466="Overdue"),ISNUMBER(W1466)),IF(W1466&lt;=Settings!$B$6,V1466,0),0)</f>
        <v>0</v>
      </c>
      <c r="Y1466" s="38" t="n">
        <f aca="false">IF(AND(OR(T1466="Backlog",T1466="Pipeline",T1466="Overdue"),ISNUMBER(W1466)),IF(W1466&lt;=Settings!$B$6,Q1466,0),0)</f>
        <v>0</v>
      </c>
      <c r="Z1466" s="38" t="n">
        <f aca="false">IF(Y1466=0,0,IF(T1466="Backlog",Q1466,Q1466*Dashboard!$C$10))</f>
        <v>0</v>
      </c>
      <c r="AA1466" s="37" t="n">
        <f aca="false">IF($N1466="",0,IF(COUNTIF(Dashboard!$C$13:$C$22,$N1466)&gt;0,1,0))</f>
        <v>0</v>
      </c>
      <c r="AB1466" s="37" t="str">
        <f aca="false">IF($N1466="","",IF(COUNTIF($N$8:$N1466,$N1466)=1,MAX($AB$7:$AB1465)+1,""))</f>
        <v/>
      </c>
    </row>
    <row r="1467" customFormat="false" ht="15" hidden="false" customHeight="false" outlineLevel="0" collapsed="false">
      <c r="L1467" s="37" t="str">
        <f aca="false">IF(INDEX($A1467:$J1467,$L$6)&lt;&gt;"",TRIM(LEFT(INDEX($A1467:$J1467,$L$6),FIND("(",INDEX($A1467:$J1467,$L$6)&amp;"(")-1)),L1466)</f>
        <v>Building Value Proposition</v>
      </c>
      <c r="M1467" s="37" t="str">
        <f aca="false">IF(INDEX($A1467:$J1467,$M$6)="","",INDEX($A1467:$J1467,$M$6)&amp;"")</f>
        <v/>
      </c>
      <c r="N1467" s="37" t="str">
        <f aca="false">IF($M1467="","",TRIM(INDEX($A1467:$J1467,$N$6)&amp;""))</f>
        <v/>
      </c>
      <c r="O1467" s="37" t="str">
        <f aca="false">IF($M1467="","",TRIM(INDEX($A1467:$J1467,$O$6)&amp;""))</f>
        <v/>
      </c>
      <c r="P1467" s="37" t="str">
        <f aca="false">IF($M1467="","",IFERROR(IF(INDEX(Settings!$B$41:$B$50,MATCH(O1467,Settings!$A$41:$A$50,0))&amp;""="","UNMAPPED",INDEX(Settings!$B$41:$B$50,MATCH(O1467,Settings!$A$41:$A$50,0))&amp;""),"UNMAPPED"))</f>
        <v/>
      </c>
      <c r="Q1467" s="38" t="n">
        <f aca="false">IF($M1467="",0,N(INDEX($A1467:$J1467,$Q$6)))</f>
        <v>0</v>
      </c>
      <c r="R1467" s="39" t="str">
        <f aca="false">IF($M1467="","",INDEX($A1467:$J1467,$R$6))</f>
        <v/>
      </c>
      <c r="S1467" s="37" t="str">
        <f aca="false">IF($M1467="","",IFERROR(INDEX(Settings!$B$27:$B$36,MATCH(L1467,Settings!$A$27:$A$36,0))&amp;"","UNMAPPED"))</f>
        <v/>
      </c>
      <c r="T1467" s="37" t="str">
        <f aca="false">IF($M1467="","",IF(NOT(ISNUMBER(R1467)),"NO DATE",IF(S1467="Won",IF(R1467&gt;Settings!$B$5,"Backlog","Delivered"),IF(S1467="Open",IF(R1467&gt;Settings!$B$5,"Pipeline","Overdue"),IF(S1467="Lost","Lost","UNMAPPED")))))</f>
        <v/>
      </c>
      <c r="U1467" s="40" t="n">
        <f aca="false">IF(T1467="Backlog",1,IF(OR(T1467="Pipeline",T1467="Overdue"),N(INDEX(Settings!$C$27:$C$36,MATCH(L1467,Settings!$A$27:$A$36,0))),0))</f>
        <v>0</v>
      </c>
      <c r="V1467" s="38" t="n">
        <f aca="false">Q1467*U1467</f>
        <v>0</v>
      </c>
      <c r="W1467" s="41" t="str">
        <f aca="false">IF($M1467="","",IF(T1467="Overdue",IF(Settings!$B$8="Yes",Settings!$B$7,""),IF(ISNUMBER(R1467),DATE(YEAR(R1467),MONTH(R1467),1),"")))</f>
        <v/>
      </c>
      <c r="X1467" s="38" t="n">
        <f aca="false">IF(AND(OR(T1467="Backlog",T1467="Pipeline",T1467="Overdue"),ISNUMBER(W1467)),IF(W1467&lt;=Settings!$B$6,V1467,0),0)</f>
        <v>0</v>
      </c>
      <c r="Y1467" s="38" t="n">
        <f aca="false">IF(AND(OR(T1467="Backlog",T1467="Pipeline",T1467="Overdue"),ISNUMBER(W1467)),IF(W1467&lt;=Settings!$B$6,Q1467,0),0)</f>
        <v>0</v>
      </c>
      <c r="Z1467" s="38" t="n">
        <f aca="false">IF(Y1467=0,0,IF(T1467="Backlog",Q1467,Q1467*Dashboard!$C$10))</f>
        <v>0</v>
      </c>
      <c r="AA1467" s="37" t="n">
        <f aca="false">IF($N1467="",0,IF(COUNTIF(Dashboard!$C$13:$C$22,$N1467)&gt;0,1,0))</f>
        <v>0</v>
      </c>
      <c r="AB1467" s="37" t="str">
        <f aca="false">IF($N1467="","",IF(COUNTIF($N$8:$N1467,$N1467)=1,MAX($AB$7:$AB1466)+1,""))</f>
        <v/>
      </c>
    </row>
    <row r="1468" customFormat="false" ht="15" hidden="false" customHeight="false" outlineLevel="0" collapsed="false">
      <c r="L1468" s="37" t="str">
        <f aca="false">IF(INDEX($A1468:$J1468,$L$6)&lt;&gt;"",TRIM(LEFT(INDEX($A1468:$J1468,$L$6),FIND("(",INDEX($A1468:$J1468,$L$6)&amp;"(")-1)),L1467)</f>
        <v>Building Value Proposition</v>
      </c>
      <c r="M1468" s="37" t="str">
        <f aca="false">IF(INDEX($A1468:$J1468,$M$6)="","",INDEX($A1468:$J1468,$M$6)&amp;"")</f>
        <v/>
      </c>
      <c r="N1468" s="37" t="str">
        <f aca="false">IF($M1468="","",TRIM(INDEX($A1468:$J1468,$N$6)&amp;""))</f>
        <v/>
      </c>
      <c r="O1468" s="37" t="str">
        <f aca="false">IF($M1468="","",TRIM(INDEX($A1468:$J1468,$O$6)&amp;""))</f>
        <v/>
      </c>
      <c r="P1468" s="37" t="str">
        <f aca="false">IF($M1468="","",IFERROR(IF(INDEX(Settings!$B$41:$B$50,MATCH(O1468,Settings!$A$41:$A$50,0))&amp;""="","UNMAPPED",INDEX(Settings!$B$41:$B$50,MATCH(O1468,Settings!$A$41:$A$50,0))&amp;""),"UNMAPPED"))</f>
        <v/>
      </c>
      <c r="Q1468" s="38" t="n">
        <f aca="false">IF($M1468="",0,N(INDEX($A1468:$J1468,$Q$6)))</f>
        <v>0</v>
      </c>
      <c r="R1468" s="39" t="str">
        <f aca="false">IF($M1468="","",INDEX($A1468:$J1468,$R$6))</f>
        <v/>
      </c>
      <c r="S1468" s="37" t="str">
        <f aca="false">IF($M1468="","",IFERROR(INDEX(Settings!$B$27:$B$36,MATCH(L1468,Settings!$A$27:$A$36,0))&amp;"","UNMAPPED"))</f>
        <v/>
      </c>
      <c r="T1468" s="37" t="str">
        <f aca="false">IF($M1468="","",IF(NOT(ISNUMBER(R1468)),"NO DATE",IF(S1468="Won",IF(R1468&gt;Settings!$B$5,"Backlog","Delivered"),IF(S1468="Open",IF(R1468&gt;Settings!$B$5,"Pipeline","Overdue"),IF(S1468="Lost","Lost","UNMAPPED")))))</f>
        <v/>
      </c>
      <c r="U1468" s="40" t="n">
        <f aca="false">IF(T1468="Backlog",1,IF(OR(T1468="Pipeline",T1468="Overdue"),N(INDEX(Settings!$C$27:$C$36,MATCH(L1468,Settings!$A$27:$A$36,0))),0))</f>
        <v>0</v>
      </c>
      <c r="V1468" s="38" t="n">
        <f aca="false">Q1468*U1468</f>
        <v>0</v>
      </c>
      <c r="W1468" s="41" t="str">
        <f aca="false">IF($M1468="","",IF(T1468="Overdue",IF(Settings!$B$8="Yes",Settings!$B$7,""),IF(ISNUMBER(R1468),DATE(YEAR(R1468),MONTH(R1468),1),"")))</f>
        <v/>
      </c>
      <c r="X1468" s="38" t="n">
        <f aca="false">IF(AND(OR(T1468="Backlog",T1468="Pipeline",T1468="Overdue"),ISNUMBER(W1468)),IF(W1468&lt;=Settings!$B$6,V1468,0),0)</f>
        <v>0</v>
      </c>
      <c r="Y1468" s="38" t="n">
        <f aca="false">IF(AND(OR(T1468="Backlog",T1468="Pipeline",T1468="Overdue"),ISNUMBER(W1468)),IF(W1468&lt;=Settings!$B$6,Q1468,0),0)</f>
        <v>0</v>
      </c>
      <c r="Z1468" s="38" t="n">
        <f aca="false">IF(Y1468=0,0,IF(T1468="Backlog",Q1468,Q1468*Dashboard!$C$10))</f>
        <v>0</v>
      </c>
      <c r="AA1468" s="37" t="n">
        <f aca="false">IF($N1468="",0,IF(COUNTIF(Dashboard!$C$13:$C$22,$N1468)&gt;0,1,0))</f>
        <v>0</v>
      </c>
      <c r="AB1468" s="37" t="str">
        <f aca="false">IF($N1468="","",IF(COUNTIF($N$8:$N1468,$N1468)=1,MAX($AB$7:$AB1467)+1,""))</f>
        <v/>
      </c>
    </row>
    <row r="1469" customFormat="false" ht="15" hidden="false" customHeight="false" outlineLevel="0" collapsed="false">
      <c r="L1469" s="37" t="str">
        <f aca="false">IF(INDEX($A1469:$J1469,$L$6)&lt;&gt;"",TRIM(LEFT(INDEX($A1469:$J1469,$L$6),FIND("(",INDEX($A1469:$J1469,$L$6)&amp;"(")-1)),L1468)</f>
        <v>Building Value Proposition</v>
      </c>
      <c r="M1469" s="37" t="str">
        <f aca="false">IF(INDEX($A1469:$J1469,$M$6)="","",INDEX($A1469:$J1469,$M$6)&amp;"")</f>
        <v/>
      </c>
      <c r="N1469" s="37" t="str">
        <f aca="false">IF($M1469="","",TRIM(INDEX($A1469:$J1469,$N$6)&amp;""))</f>
        <v/>
      </c>
      <c r="O1469" s="37" t="str">
        <f aca="false">IF($M1469="","",TRIM(INDEX($A1469:$J1469,$O$6)&amp;""))</f>
        <v/>
      </c>
      <c r="P1469" s="37" t="str">
        <f aca="false">IF($M1469="","",IFERROR(IF(INDEX(Settings!$B$41:$B$50,MATCH(O1469,Settings!$A$41:$A$50,0))&amp;""="","UNMAPPED",INDEX(Settings!$B$41:$B$50,MATCH(O1469,Settings!$A$41:$A$50,0))&amp;""),"UNMAPPED"))</f>
        <v/>
      </c>
      <c r="Q1469" s="38" t="n">
        <f aca="false">IF($M1469="",0,N(INDEX($A1469:$J1469,$Q$6)))</f>
        <v>0</v>
      </c>
      <c r="R1469" s="39" t="str">
        <f aca="false">IF($M1469="","",INDEX($A1469:$J1469,$R$6))</f>
        <v/>
      </c>
      <c r="S1469" s="37" t="str">
        <f aca="false">IF($M1469="","",IFERROR(INDEX(Settings!$B$27:$B$36,MATCH(L1469,Settings!$A$27:$A$36,0))&amp;"","UNMAPPED"))</f>
        <v/>
      </c>
      <c r="T1469" s="37" t="str">
        <f aca="false">IF($M1469="","",IF(NOT(ISNUMBER(R1469)),"NO DATE",IF(S1469="Won",IF(R1469&gt;Settings!$B$5,"Backlog","Delivered"),IF(S1469="Open",IF(R1469&gt;Settings!$B$5,"Pipeline","Overdue"),IF(S1469="Lost","Lost","UNMAPPED")))))</f>
        <v/>
      </c>
      <c r="U1469" s="40" t="n">
        <f aca="false">IF(T1469="Backlog",1,IF(OR(T1469="Pipeline",T1469="Overdue"),N(INDEX(Settings!$C$27:$C$36,MATCH(L1469,Settings!$A$27:$A$36,0))),0))</f>
        <v>0</v>
      </c>
      <c r="V1469" s="38" t="n">
        <f aca="false">Q1469*U1469</f>
        <v>0</v>
      </c>
      <c r="W1469" s="41" t="str">
        <f aca="false">IF($M1469="","",IF(T1469="Overdue",IF(Settings!$B$8="Yes",Settings!$B$7,""),IF(ISNUMBER(R1469),DATE(YEAR(R1469),MONTH(R1469),1),"")))</f>
        <v/>
      </c>
      <c r="X1469" s="38" t="n">
        <f aca="false">IF(AND(OR(T1469="Backlog",T1469="Pipeline",T1469="Overdue"),ISNUMBER(W1469)),IF(W1469&lt;=Settings!$B$6,V1469,0),0)</f>
        <v>0</v>
      </c>
      <c r="Y1469" s="38" t="n">
        <f aca="false">IF(AND(OR(T1469="Backlog",T1469="Pipeline",T1469="Overdue"),ISNUMBER(W1469)),IF(W1469&lt;=Settings!$B$6,Q1469,0),0)</f>
        <v>0</v>
      </c>
      <c r="Z1469" s="38" t="n">
        <f aca="false">IF(Y1469=0,0,IF(T1469="Backlog",Q1469,Q1469*Dashboard!$C$10))</f>
        <v>0</v>
      </c>
      <c r="AA1469" s="37" t="n">
        <f aca="false">IF($N1469="",0,IF(COUNTIF(Dashboard!$C$13:$C$22,$N1469)&gt;0,1,0))</f>
        <v>0</v>
      </c>
      <c r="AB1469" s="37" t="str">
        <f aca="false">IF($N1469="","",IF(COUNTIF($N$8:$N1469,$N1469)=1,MAX($AB$7:$AB1468)+1,""))</f>
        <v/>
      </c>
    </row>
    <row r="1470" customFormat="false" ht="15" hidden="false" customHeight="false" outlineLevel="0" collapsed="false">
      <c r="L1470" s="37" t="str">
        <f aca="false">IF(INDEX($A1470:$J1470,$L$6)&lt;&gt;"",TRIM(LEFT(INDEX($A1470:$J1470,$L$6),FIND("(",INDEX($A1470:$J1470,$L$6)&amp;"(")-1)),L1469)</f>
        <v>Building Value Proposition</v>
      </c>
      <c r="M1470" s="37" t="str">
        <f aca="false">IF(INDEX($A1470:$J1470,$M$6)="","",INDEX($A1470:$J1470,$M$6)&amp;"")</f>
        <v/>
      </c>
      <c r="N1470" s="37" t="str">
        <f aca="false">IF($M1470="","",TRIM(INDEX($A1470:$J1470,$N$6)&amp;""))</f>
        <v/>
      </c>
      <c r="O1470" s="37" t="str">
        <f aca="false">IF($M1470="","",TRIM(INDEX($A1470:$J1470,$O$6)&amp;""))</f>
        <v/>
      </c>
      <c r="P1470" s="37" t="str">
        <f aca="false">IF($M1470="","",IFERROR(IF(INDEX(Settings!$B$41:$B$50,MATCH(O1470,Settings!$A$41:$A$50,0))&amp;""="","UNMAPPED",INDEX(Settings!$B$41:$B$50,MATCH(O1470,Settings!$A$41:$A$50,0))&amp;""),"UNMAPPED"))</f>
        <v/>
      </c>
      <c r="Q1470" s="38" t="n">
        <f aca="false">IF($M1470="",0,N(INDEX($A1470:$J1470,$Q$6)))</f>
        <v>0</v>
      </c>
      <c r="R1470" s="39" t="str">
        <f aca="false">IF($M1470="","",INDEX($A1470:$J1470,$R$6))</f>
        <v/>
      </c>
      <c r="S1470" s="37" t="str">
        <f aca="false">IF($M1470="","",IFERROR(INDEX(Settings!$B$27:$B$36,MATCH(L1470,Settings!$A$27:$A$36,0))&amp;"","UNMAPPED"))</f>
        <v/>
      </c>
      <c r="T1470" s="37" t="str">
        <f aca="false">IF($M1470="","",IF(NOT(ISNUMBER(R1470)),"NO DATE",IF(S1470="Won",IF(R1470&gt;Settings!$B$5,"Backlog","Delivered"),IF(S1470="Open",IF(R1470&gt;Settings!$B$5,"Pipeline","Overdue"),IF(S1470="Lost","Lost","UNMAPPED")))))</f>
        <v/>
      </c>
      <c r="U1470" s="40" t="n">
        <f aca="false">IF(T1470="Backlog",1,IF(OR(T1470="Pipeline",T1470="Overdue"),N(INDEX(Settings!$C$27:$C$36,MATCH(L1470,Settings!$A$27:$A$36,0))),0))</f>
        <v>0</v>
      </c>
      <c r="V1470" s="38" t="n">
        <f aca="false">Q1470*U1470</f>
        <v>0</v>
      </c>
      <c r="W1470" s="41" t="str">
        <f aca="false">IF($M1470="","",IF(T1470="Overdue",IF(Settings!$B$8="Yes",Settings!$B$7,""),IF(ISNUMBER(R1470),DATE(YEAR(R1470),MONTH(R1470),1),"")))</f>
        <v/>
      </c>
      <c r="X1470" s="38" t="n">
        <f aca="false">IF(AND(OR(T1470="Backlog",T1470="Pipeline",T1470="Overdue"),ISNUMBER(W1470)),IF(W1470&lt;=Settings!$B$6,V1470,0),0)</f>
        <v>0</v>
      </c>
      <c r="Y1470" s="38" t="n">
        <f aca="false">IF(AND(OR(T1470="Backlog",T1470="Pipeline",T1470="Overdue"),ISNUMBER(W1470)),IF(W1470&lt;=Settings!$B$6,Q1470,0),0)</f>
        <v>0</v>
      </c>
      <c r="Z1470" s="38" t="n">
        <f aca="false">IF(Y1470=0,0,IF(T1470="Backlog",Q1470,Q1470*Dashboard!$C$10))</f>
        <v>0</v>
      </c>
      <c r="AA1470" s="37" t="n">
        <f aca="false">IF($N1470="",0,IF(COUNTIF(Dashboard!$C$13:$C$22,$N1470)&gt;0,1,0))</f>
        <v>0</v>
      </c>
      <c r="AB1470" s="37" t="str">
        <f aca="false">IF($N1470="","",IF(COUNTIF($N$8:$N1470,$N1470)=1,MAX($AB$7:$AB1469)+1,""))</f>
        <v/>
      </c>
    </row>
    <row r="1471" customFormat="false" ht="15" hidden="false" customHeight="false" outlineLevel="0" collapsed="false">
      <c r="L1471" s="37" t="str">
        <f aca="false">IF(INDEX($A1471:$J1471,$L$6)&lt;&gt;"",TRIM(LEFT(INDEX($A1471:$J1471,$L$6),FIND("(",INDEX($A1471:$J1471,$L$6)&amp;"(")-1)),L1470)</f>
        <v>Building Value Proposition</v>
      </c>
      <c r="M1471" s="37" t="str">
        <f aca="false">IF(INDEX($A1471:$J1471,$M$6)="","",INDEX($A1471:$J1471,$M$6)&amp;"")</f>
        <v/>
      </c>
      <c r="N1471" s="37" t="str">
        <f aca="false">IF($M1471="","",TRIM(INDEX($A1471:$J1471,$N$6)&amp;""))</f>
        <v/>
      </c>
      <c r="O1471" s="37" t="str">
        <f aca="false">IF($M1471="","",TRIM(INDEX($A1471:$J1471,$O$6)&amp;""))</f>
        <v/>
      </c>
      <c r="P1471" s="37" t="str">
        <f aca="false">IF($M1471="","",IFERROR(IF(INDEX(Settings!$B$41:$B$50,MATCH(O1471,Settings!$A$41:$A$50,0))&amp;""="","UNMAPPED",INDEX(Settings!$B$41:$B$50,MATCH(O1471,Settings!$A$41:$A$50,0))&amp;""),"UNMAPPED"))</f>
        <v/>
      </c>
      <c r="Q1471" s="38" t="n">
        <f aca="false">IF($M1471="",0,N(INDEX($A1471:$J1471,$Q$6)))</f>
        <v>0</v>
      </c>
      <c r="R1471" s="39" t="str">
        <f aca="false">IF($M1471="","",INDEX($A1471:$J1471,$R$6))</f>
        <v/>
      </c>
      <c r="S1471" s="37" t="str">
        <f aca="false">IF($M1471="","",IFERROR(INDEX(Settings!$B$27:$B$36,MATCH(L1471,Settings!$A$27:$A$36,0))&amp;"","UNMAPPED"))</f>
        <v/>
      </c>
      <c r="T1471" s="37" t="str">
        <f aca="false">IF($M1471="","",IF(NOT(ISNUMBER(R1471)),"NO DATE",IF(S1471="Won",IF(R1471&gt;Settings!$B$5,"Backlog","Delivered"),IF(S1471="Open",IF(R1471&gt;Settings!$B$5,"Pipeline","Overdue"),IF(S1471="Lost","Lost","UNMAPPED")))))</f>
        <v/>
      </c>
      <c r="U1471" s="40" t="n">
        <f aca="false">IF(T1471="Backlog",1,IF(OR(T1471="Pipeline",T1471="Overdue"),N(INDEX(Settings!$C$27:$C$36,MATCH(L1471,Settings!$A$27:$A$36,0))),0))</f>
        <v>0</v>
      </c>
      <c r="V1471" s="38" t="n">
        <f aca="false">Q1471*U1471</f>
        <v>0</v>
      </c>
      <c r="W1471" s="41" t="str">
        <f aca="false">IF($M1471="","",IF(T1471="Overdue",IF(Settings!$B$8="Yes",Settings!$B$7,""),IF(ISNUMBER(R1471),DATE(YEAR(R1471),MONTH(R1471),1),"")))</f>
        <v/>
      </c>
      <c r="X1471" s="38" t="n">
        <f aca="false">IF(AND(OR(T1471="Backlog",T1471="Pipeline",T1471="Overdue"),ISNUMBER(W1471)),IF(W1471&lt;=Settings!$B$6,V1471,0),0)</f>
        <v>0</v>
      </c>
      <c r="Y1471" s="38" t="n">
        <f aca="false">IF(AND(OR(T1471="Backlog",T1471="Pipeline",T1471="Overdue"),ISNUMBER(W1471)),IF(W1471&lt;=Settings!$B$6,Q1471,0),0)</f>
        <v>0</v>
      </c>
      <c r="Z1471" s="38" t="n">
        <f aca="false">IF(Y1471=0,0,IF(T1471="Backlog",Q1471,Q1471*Dashboard!$C$10))</f>
        <v>0</v>
      </c>
      <c r="AA1471" s="37" t="n">
        <f aca="false">IF($N1471="",0,IF(COUNTIF(Dashboard!$C$13:$C$22,$N1471)&gt;0,1,0))</f>
        <v>0</v>
      </c>
      <c r="AB1471" s="37" t="str">
        <f aca="false">IF($N1471="","",IF(COUNTIF($N$8:$N1471,$N1471)=1,MAX($AB$7:$AB1470)+1,""))</f>
        <v/>
      </c>
    </row>
    <row r="1472" customFormat="false" ht="15" hidden="false" customHeight="false" outlineLevel="0" collapsed="false">
      <c r="L1472" s="37" t="str">
        <f aca="false">IF(INDEX($A1472:$J1472,$L$6)&lt;&gt;"",TRIM(LEFT(INDEX($A1472:$J1472,$L$6),FIND("(",INDEX($A1472:$J1472,$L$6)&amp;"(")-1)),L1471)</f>
        <v>Building Value Proposition</v>
      </c>
      <c r="M1472" s="37" t="str">
        <f aca="false">IF(INDEX($A1472:$J1472,$M$6)="","",INDEX($A1472:$J1472,$M$6)&amp;"")</f>
        <v/>
      </c>
      <c r="N1472" s="37" t="str">
        <f aca="false">IF($M1472="","",TRIM(INDEX($A1472:$J1472,$N$6)&amp;""))</f>
        <v/>
      </c>
      <c r="O1472" s="37" t="str">
        <f aca="false">IF($M1472="","",TRIM(INDEX($A1472:$J1472,$O$6)&amp;""))</f>
        <v/>
      </c>
      <c r="P1472" s="37" t="str">
        <f aca="false">IF($M1472="","",IFERROR(IF(INDEX(Settings!$B$41:$B$50,MATCH(O1472,Settings!$A$41:$A$50,0))&amp;""="","UNMAPPED",INDEX(Settings!$B$41:$B$50,MATCH(O1472,Settings!$A$41:$A$50,0))&amp;""),"UNMAPPED"))</f>
        <v/>
      </c>
      <c r="Q1472" s="38" t="n">
        <f aca="false">IF($M1472="",0,N(INDEX($A1472:$J1472,$Q$6)))</f>
        <v>0</v>
      </c>
      <c r="R1472" s="39" t="str">
        <f aca="false">IF($M1472="","",INDEX($A1472:$J1472,$R$6))</f>
        <v/>
      </c>
      <c r="S1472" s="37" t="str">
        <f aca="false">IF($M1472="","",IFERROR(INDEX(Settings!$B$27:$B$36,MATCH(L1472,Settings!$A$27:$A$36,0))&amp;"","UNMAPPED"))</f>
        <v/>
      </c>
      <c r="T1472" s="37" t="str">
        <f aca="false">IF($M1472="","",IF(NOT(ISNUMBER(R1472)),"NO DATE",IF(S1472="Won",IF(R1472&gt;Settings!$B$5,"Backlog","Delivered"),IF(S1472="Open",IF(R1472&gt;Settings!$B$5,"Pipeline","Overdue"),IF(S1472="Lost","Lost","UNMAPPED")))))</f>
        <v/>
      </c>
      <c r="U1472" s="40" t="n">
        <f aca="false">IF(T1472="Backlog",1,IF(OR(T1472="Pipeline",T1472="Overdue"),N(INDEX(Settings!$C$27:$C$36,MATCH(L1472,Settings!$A$27:$A$36,0))),0))</f>
        <v>0</v>
      </c>
      <c r="V1472" s="38" t="n">
        <f aca="false">Q1472*U1472</f>
        <v>0</v>
      </c>
      <c r="W1472" s="41" t="str">
        <f aca="false">IF($M1472="","",IF(T1472="Overdue",IF(Settings!$B$8="Yes",Settings!$B$7,""),IF(ISNUMBER(R1472),DATE(YEAR(R1472),MONTH(R1472),1),"")))</f>
        <v/>
      </c>
      <c r="X1472" s="38" t="n">
        <f aca="false">IF(AND(OR(T1472="Backlog",T1472="Pipeline",T1472="Overdue"),ISNUMBER(W1472)),IF(W1472&lt;=Settings!$B$6,V1472,0),0)</f>
        <v>0</v>
      </c>
      <c r="Y1472" s="38" t="n">
        <f aca="false">IF(AND(OR(T1472="Backlog",T1472="Pipeline",T1472="Overdue"),ISNUMBER(W1472)),IF(W1472&lt;=Settings!$B$6,Q1472,0),0)</f>
        <v>0</v>
      </c>
      <c r="Z1472" s="38" t="n">
        <f aca="false">IF(Y1472=0,0,IF(T1472="Backlog",Q1472,Q1472*Dashboard!$C$10))</f>
        <v>0</v>
      </c>
      <c r="AA1472" s="37" t="n">
        <f aca="false">IF($N1472="",0,IF(COUNTIF(Dashboard!$C$13:$C$22,$N1472)&gt;0,1,0))</f>
        <v>0</v>
      </c>
      <c r="AB1472" s="37" t="str">
        <f aca="false">IF($N1472="","",IF(COUNTIF($N$8:$N1472,$N1472)=1,MAX($AB$7:$AB1471)+1,""))</f>
        <v/>
      </c>
    </row>
    <row r="1473" customFormat="false" ht="15" hidden="false" customHeight="false" outlineLevel="0" collapsed="false">
      <c r="L1473" s="37" t="str">
        <f aca="false">IF(INDEX($A1473:$J1473,$L$6)&lt;&gt;"",TRIM(LEFT(INDEX($A1473:$J1473,$L$6),FIND("(",INDEX($A1473:$J1473,$L$6)&amp;"(")-1)),L1472)</f>
        <v>Building Value Proposition</v>
      </c>
      <c r="M1473" s="37" t="str">
        <f aca="false">IF(INDEX($A1473:$J1473,$M$6)="","",INDEX($A1473:$J1473,$M$6)&amp;"")</f>
        <v/>
      </c>
      <c r="N1473" s="37" t="str">
        <f aca="false">IF($M1473="","",TRIM(INDEX($A1473:$J1473,$N$6)&amp;""))</f>
        <v/>
      </c>
      <c r="O1473" s="37" t="str">
        <f aca="false">IF($M1473="","",TRIM(INDEX($A1473:$J1473,$O$6)&amp;""))</f>
        <v/>
      </c>
      <c r="P1473" s="37" t="str">
        <f aca="false">IF($M1473="","",IFERROR(IF(INDEX(Settings!$B$41:$B$50,MATCH(O1473,Settings!$A$41:$A$50,0))&amp;""="","UNMAPPED",INDEX(Settings!$B$41:$B$50,MATCH(O1473,Settings!$A$41:$A$50,0))&amp;""),"UNMAPPED"))</f>
        <v/>
      </c>
      <c r="Q1473" s="38" t="n">
        <f aca="false">IF($M1473="",0,N(INDEX($A1473:$J1473,$Q$6)))</f>
        <v>0</v>
      </c>
      <c r="R1473" s="39" t="str">
        <f aca="false">IF($M1473="","",INDEX($A1473:$J1473,$R$6))</f>
        <v/>
      </c>
      <c r="S1473" s="37" t="str">
        <f aca="false">IF($M1473="","",IFERROR(INDEX(Settings!$B$27:$B$36,MATCH(L1473,Settings!$A$27:$A$36,0))&amp;"","UNMAPPED"))</f>
        <v/>
      </c>
      <c r="T1473" s="37" t="str">
        <f aca="false">IF($M1473="","",IF(NOT(ISNUMBER(R1473)),"NO DATE",IF(S1473="Won",IF(R1473&gt;Settings!$B$5,"Backlog","Delivered"),IF(S1473="Open",IF(R1473&gt;Settings!$B$5,"Pipeline","Overdue"),IF(S1473="Lost","Lost","UNMAPPED")))))</f>
        <v/>
      </c>
      <c r="U1473" s="40" t="n">
        <f aca="false">IF(T1473="Backlog",1,IF(OR(T1473="Pipeline",T1473="Overdue"),N(INDEX(Settings!$C$27:$C$36,MATCH(L1473,Settings!$A$27:$A$36,0))),0))</f>
        <v>0</v>
      </c>
      <c r="V1473" s="38" t="n">
        <f aca="false">Q1473*U1473</f>
        <v>0</v>
      </c>
      <c r="W1473" s="41" t="str">
        <f aca="false">IF($M1473="","",IF(T1473="Overdue",IF(Settings!$B$8="Yes",Settings!$B$7,""),IF(ISNUMBER(R1473),DATE(YEAR(R1473),MONTH(R1473),1),"")))</f>
        <v/>
      </c>
      <c r="X1473" s="38" t="n">
        <f aca="false">IF(AND(OR(T1473="Backlog",T1473="Pipeline",T1473="Overdue"),ISNUMBER(W1473)),IF(W1473&lt;=Settings!$B$6,V1473,0),0)</f>
        <v>0</v>
      </c>
      <c r="Y1473" s="38" t="n">
        <f aca="false">IF(AND(OR(T1473="Backlog",T1473="Pipeline",T1473="Overdue"),ISNUMBER(W1473)),IF(W1473&lt;=Settings!$B$6,Q1473,0),0)</f>
        <v>0</v>
      </c>
      <c r="Z1473" s="38" t="n">
        <f aca="false">IF(Y1473=0,0,IF(T1473="Backlog",Q1473,Q1473*Dashboard!$C$10))</f>
        <v>0</v>
      </c>
      <c r="AA1473" s="37" t="n">
        <f aca="false">IF($N1473="",0,IF(COUNTIF(Dashboard!$C$13:$C$22,$N1473)&gt;0,1,0))</f>
        <v>0</v>
      </c>
      <c r="AB1473" s="37" t="str">
        <f aca="false">IF($N1473="","",IF(COUNTIF($N$8:$N1473,$N1473)=1,MAX($AB$7:$AB1472)+1,""))</f>
        <v/>
      </c>
    </row>
    <row r="1474" customFormat="false" ht="15" hidden="false" customHeight="false" outlineLevel="0" collapsed="false">
      <c r="L1474" s="37" t="str">
        <f aca="false">IF(INDEX($A1474:$J1474,$L$6)&lt;&gt;"",TRIM(LEFT(INDEX($A1474:$J1474,$L$6),FIND("(",INDEX($A1474:$J1474,$L$6)&amp;"(")-1)),L1473)</f>
        <v>Building Value Proposition</v>
      </c>
      <c r="M1474" s="37" t="str">
        <f aca="false">IF(INDEX($A1474:$J1474,$M$6)="","",INDEX($A1474:$J1474,$M$6)&amp;"")</f>
        <v/>
      </c>
      <c r="N1474" s="37" t="str">
        <f aca="false">IF($M1474="","",TRIM(INDEX($A1474:$J1474,$N$6)&amp;""))</f>
        <v/>
      </c>
      <c r="O1474" s="37" t="str">
        <f aca="false">IF($M1474="","",TRIM(INDEX($A1474:$J1474,$O$6)&amp;""))</f>
        <v/>
      </c>
      <c r="P1474" s="37" t="str">
        <f aca="false">IF($M1474="","",IFERROR(IF(INDEX(Settings!$B$41:$B$50,MATCH(O1474,Settings!$A$41:$A$50,0))&amp;""="","UNMAPPED",INDEX(Settings!$B$41:$B$50,MATCH(O1474,Settings!$A$41:$A$50,0))&amp;""),"UNMAPPED"))</f>
        <v/>
      </c>
      <c r="Q1474" s="38" t="n">
        <f aca="false">IF($M1474="",0,N(INDEX($A1474:$J1474,$Q$6)))</f>
        <v>0</v>
      </c>
      <c r="R1474" s="39" t="str">
        <f aca="false">IF($M1474="","",INDEX($A1474:$J1474,$R$6))</f>
        <v/>
      </c>
      <c r="S1474" s="37" t="str">
        <f aca="false">IF($M1474="","",IFERROR(INDEX(Settings!$B$27:$B$36,MATCH(L1474,Settings!$A$27:$A$36,0))&amp;"","UNMAPPED"))</f>
        <v/>
      </c>
      <c r="T1474" s="37" t="str">
        <f aca="false">IF($M1474="","",IF(NOT(ISNUMBER(R1474)),"NO DATE",IF(S1474="Won",IF(R1474&gt;Settings!$B$5,"Backlog","Delivered"),IF(S1474="Open",IF(R1474&gt;Settings!$B$5,"Pipeline","Overdue"),IF(S1474="Lost","Lost","UNMAPPED")))))</f>
        <v/>
      </c>
      <c r="U1474" s="40" t="n">
        <f aca="false">IF(T1474="Backlog",1,IF(OR(T1474="Pipeline",T1474="Overdue"),N(INDEX(Settings!$C$27:$C$36,MATCH(L1474,Settings!$A$27:$A$36,0))),0))</f>
        <v>0</v>
      </c>
      <c r="V1474" s="38" t="n">
        <f aca="false">Q1474*U1474</f>
        <v>0</v>
      </c>
      <c r="W1474" s="41" t="str">
        <f aca="false">IF($M1474="","",IF(T1474="Overdue",IF(Settings!$B$8="Yes",Settings!$B$7,""),IF(ISNUMBER(R1474),DATE(YEAR(R1474),MONTH(R1474),1),"")))</f>
        <v/>
      </c>
      <c r="X1474" s="38" t="n">
        <f aca="false">IF(AND(OR(T1474="Backlog",T1474="Pipeline",T1474="Overdue"),ISNUMBER(W1474)),IF(W1474&lt;=Settings!$B$6,V1474,0),0)</f>
        <v>0</v>
      </c>
      <c r="Y1474" s="38" t="n">
        <f aca="false">IF(AND(OR(T1474="Backlog",T1474="Pipeline",T1474="Overdue"),ISNUMBER(W1474)),IF(W1474&lt;=Settings!$B$6,Q1474,0),0)</f>
        <v>0</v>
      </c>
      <c r="Z1474" s="38" t="n">
        <f aca="false">IF(Y1474=0,0,IF(T1474="Backlog",Q1474,Q1474*Dashboard!$C$10))</f>
        <v>0</v>
      </c>
      <c r="AA1474" s="37" t="n">
        <f aca="false">IF($N1474="",0,IF(COUNTIF(Dashboard!$C$13:$C$22,$N1474)&gt;0,1,0))</f>
        <v>0</v>
      </c>
      <c r="AB1474" s="37" t="str">
        <f aca="false">IF($N1474="","",IF(COUNTIF($N$8:$N1474,$N1474)=1,MAX($AB$7:$AB1473)+1,""))</f>
        <v/>
      </c>
    </row>
    <row r="1475" customFormat="false" ht="15" hidden="false" customHeight="false" outlineLevel="0" collapsed="false">
      <c r="L1475" s="37" t="str">
        <f aca="false">IF(INDEX($A1475:$J1475,$L$6)&lt;&gt;"",TRIM(LEFT(INDEX($A1475:$J1475,$L$6),FIND("(",INDEX($A1475:$J1475,$L$6)&amp;"(")-1)),L1474)</f>
        <v>Building Value Proposition</v>
      </c>
      <c r="M1475" s="37" t="str">
        <f aca="false">IF(INDEX($A1475:$J1475,$M$6)="","",INDEX($A1475:$J1475,$M$6)&amp;"")</f>
        <v/>
      </c>
      <c r="N1475" s="37" t="str">
        <f aca="false">IF($M1475="","",TRIM(INDEX($A1475:$J1475,$N$6)&amp;""))</f>
        <v/>
      </c>
      <c r="O1475" s="37" t="str">
        <f aca="false">IF($M1475="","",TRIM(INDEX($A1475:$J1475,$O$6)&amp;""))</f>
        <v/>
      </c>
      <c r="P1475" s="37" t="str">
        <f aca="false">IF($M1475="","",IFERROR(IF(INDEX(Settings!$B$41:$B$50,MATCH(O1475,Settings!$A$41:$A$50,0))&amp;""="","UNMAPPED",INDEX(Settings!$B$41:$B$50,MATCH(O1475,Settings!$A$41:$A$50,0))&amp;""),"UNMAPPED"))</f>
        <v/>
      </c>
      <c r="Q1475" s="38" t="n">
        <f aca="false">IF($M1475="",0,N(INDEX($A1475:$J1475,$Q$6)))</f>
        <v>0</v>
      </c>
      <c r="R1475" s="39" t="str">
        <f aca="false">IF($M1475="","",INDEX($A1475:$J1475,$R$6))</f>
        <v/>
      </c>
      <c r="S1475" s="37" t="str">
        <f aca="false">IF($M1475="","",IFERROR(INDEX(Settings!$B$27:$B$36,MATCH(L1475,Settings!$A$27:$A$36,0))&amp;"","UNMAPPED"))</f>
        <v/>
      </c>
      <c r="T1475" s="37" t="str">
        <f aca="false">IF($M1475="","",IF(NOT(ISNUMBER(R1475)),"NO DATE",IF(S1475="Won",IF(R1475&gt;Settings!$B$5,"Backlog","Delivered"),IF(S1475="Open",IF(R1475&gt;Settings!$B$5,"Pipeline","Overdue"),IF(S1475="Lost","Lost","UNMAPPED")))))</f>
        <v/>
      </c>
      <c r="U1475" s="40" t="n">
        <f aca="false">IF(T1475="Backlog",1,IF(OR(T1475="Pipeline",T1475="Overdue"),N(INDEX(Settings!$C$27:$C$36,MATCH(L1475,Settings!$A$27:$A$36,0))),0))</f>
        <v>0</v>
      </c>
      <c r="V1475" s="38" t="n">
        <f aca="false">Q1475*U1475</f>
        <v>0</v>
      </c>
      <c r="W1475" s="41" t="str">
        <f aca="false">IF($M1475="","",IF(T1475="Overdue",IF(Settings!$B$8="Yes",Settings!$B$7,""),IF(ISNUMBER(R1475),DATE(YEAR(R1475),MONTH(R1475),1),"")))</f>
        <v/>
      </c>
      <c r="X1475" s="38" t="n">
        <f aca="false">IF(AND(OR(T1475="Backlog",T1475="Pipeline",T1475="Overdue"),ISNUMBER(W1475)),IF(W1475&lt;=Settings!$B$6,V1475,0),0)</f>
        <v>0</v>
      </c>
      <c r="Y1475" s="38" t="n">
        <f aca="false">IF(AND(OR(T1475="Backlog",T1475="Pipeline",T1475="Overdue"),ISNUMBER(W1475)),IF(W1475&lt;=Settings!$B$6,Q1475,0),0)</f>
        <v>0</v>
      </c>
      <c r="Z1475" s="38" t="n">
        <f aca="false">IF(Y1475=0,0,IF(T1475="Backlog",Q1475,Q1475*Dashboard!$C$10))</f>
        <v>0</v>
      </c>
      <c r="AA1475" s="37" t="n">
        <f aca="false">IF($N1475="",0,IF(COUNTIF(Dashboard!$C$13:$C$22,$N1475)&gt;0,1,0))</f>
        <v>0</v>
      </c>
      <c r="AB1475" s="37" t="str">
        <f aca="false">IF($N1475="","",IF(COUNTIF($N$8:$N1475,$N1475)=1,MAX($AB$7:$AB1474)+1,""))</f>
        <v/>
      </c>
    </row>
    <row r="1476" customFormat="false" ht="15" hidden="false" customHeight="false" outlineLevel="0" collapsed="false">
      <c r="L1476" s="37" t="str">
        <f aca="false">IF(INDEX($A1476:$J1476,$L$6)&lt;&gt;"",TRIM(LEFT(INDEX($A1476:$J1476,$L$6),FIND("(",INDEX($A1476:$J1476,$L$6)&amp;"(")-1)),L1475)</f>
        <v>Building Value Proposition</v>
      </c>
      <c r="M1476" s="37" t="str">
        <f aca="false">IF(INDEX($A1476:$J1476,$M$6)="","",INDEX($A1476:$J1476,$M$6)&amp;"")</f>
        <v/>
      </c>
      <c r="N1476" s="37" t="str">
        <f aca="false">IF($M1476="","",TRIM(INDEX($A1476:$J1476,$N$6)&amp;""))</f>
        <v/>
      </c>
      <c r="O1476" s="37" t="str">
        <f aca="false">IF($M1476="","",TRIM(INDEX($A1476:$J1476,$O$6)&amp;""))</f>
        <v/>
      </c>
      <c r="P1476" s="37" t="str">
        <f aca="false">IF($M1476="","",IFERROR(IF(INDEX(Settings!$B$41:$B$50,MATCH(O1476,Settings!$A$41:$A$50,0))&amp;""="","UNMAPPED",INDEX(Settings!$B$41:$B$50,MATCH(O1476,Settings!$A$41:$A$50,0))&amp;""),"UNMAPPED"))</f>
        <v/>
      </c>
      <c r="Q1476" s="38" t="n">
        <f aca="false">IF($M1476="",0,N(INDEX($A1476:$J1476,$Q$6)))</f>
        <v>0</v>
      </c>
      <c r="R1476" s="39" t="str">
        <f aca="false">IF($M1476="","",INDEX($A1476:$J1476,$R$6))</f>
        <v/>
      </c>
      <c r="S1476" s="37" t="str">
        <f aca="false">IF($M1476="","",IFERROR(INDEX(Settings!$B$27:$B$36,MATCH(L1476,Settings!$A$27:$A$36,0))&amp;"","UNMAPPED"))</f>
        <v/>
      </c>
      <c r="T1476" s="37" t="str">
        <f aca="false">IF($M1476="","",IF(NOT(ISNUMBER(R1476)),"NO DATE",IF(S1476="Won",IF(R1476&gt;Settings!$B$5,"Backlog","Delivered"),IF(S1476="Open",IF(R1476&gt;Settings!$B$5,"Pipeline","Overdue"),IF(S1476="Lost","Lost","UNMAPPED")))))</f>
        <v/>
      </c>
      <c r="U1476" s="40" t="n">
        <f aca="false">IF(T1476="Backlog",1,IF(OR(T1476="Pipeline",T1476="Overdue"),N(INDEX(Settings!$C$27:$C$36,MATCH(L1476,Settings!$A$27:$A$36,0))),0))</f>
        <v>0</v>
      </c>
      <c r="V1476" s="38" t="n">
        <f aca="false">Q1476*U1476</f>
        <v>0</v>
      </c>
      <c r="W1476" s="41" t="str">
        <f aca="false">IF($M1476="","",IF(T1476="Overdue",IF(Settings!$B$8="Yes",Settings!$B$7,""),IF(ISNUMBER(R1476),DATE(YEAR(R1476),MONTH(R1476),1),"")))</f>
        <v/>
      </c>
      <c r="X1476" s="38" t="n">
        <f aca="false">IF(AND(OR(T1476="Backlog",T1476="Pipeline",T1476="Overdue"),ISNUMBER(W1476)),IF(W1476&lt;=Settings!$B$6,V1476,0),0)</f>
        <v>0</v>
      </c>
      <c r="Y1476" s="38" t="n">
        <f aca="false">IF(AND(OR(T1476="Backlog",T1476="Pipeline",T1476="Overdue"),ISNUMBER(W1476)),IF(W1476&lt;=Settings!$B$6,Q1476,0),0)</f>
        <v>0</v>
      </c>
      <c r="Z1476" s="38" t="n">
        <f aca="false">IF(Y1476=0,0,IF(T1476="Backlog",Q1476,Q1476*Dashboard!$C$10))</f>
        <v>0</v>
      </c>
      <c r="AA1476" s="37" t="n">
        <f aca="false">IF($N1476="",0,IF(COUNTIF(Dashboard!$C$13:$C$22,$N1476)&gt;0,1,0))</f>
        <v>0</v>
      </c>
      <c r="AB1476" s="37" t="str">
        <f aca="false">IF($N1476="","",IF(COUNTIF($N$8:$N1476,$N1476)=1,MAX($AB$7:$AB1475)+1,""))</f>
        <v/>
      </c>
    </row>
    <row r="1477" customFormat="false" ht="15" hidden="false" customHeight="false" outlineLevel="0" collapsed="false">
      <c r="L1477" s="37" t="str">
        <f aca="false">IF(INDEX($A1477:$J1477,$L$6)&lt;&gt;"",TRIM(LEFT(INDEX($A1477:$J1477,$L$6),FIND("(",INDEX($A1477:$J1477,$L$6)&amp;"(")-1)),L1476)</f>
        <v>Building Value Proposition</v>
      </c>
      <c r="M1477" s="37" t="str">
        <f aca="false">IF(INDEX($A1477:$J1477,$M$6)="","",INDEX($A1477:$J1477,$M$6)&amp;"")</f>
        <v/>
      </c>
      <c r="N1477" s="37" t="str">
        <f aca="false">IF($M1477="","",TRIM(INDEX($A1477:$J1477,$N$6)&amp;""))</f>
        <v/>
      </c>
      <c r="O1477" s="37" t="str">
        <f aca="false">IF($M1477="","",TRIM(INDEX($A1477:$J1477,$O$6)&amp;""))</f>
        <v/>
      </c>
      <c r="P1477" s="37" t="str">
        <f aca="false">IF($M1477="","",IFERROR(IF(INDEX(Settings!$B$41:$B$50,MATCH(O1477,Settings!$A$41:$A$50,0))&amp;""="","UNMAPPED",INDEX(Settings!$B$41:$B$50,MATCH(O1477,Settings!$A$41:$A$50,0))&amp;""),"UNMAPPED"))</f>
        <v/>
      </c>
      <c r="Q1477" s="38" t="n">
        <f aca="false">IF($M1477="",0,N(INDEX($A1477:$J1477,$Q$6)))</f>
        <v>0</v>
      </c>
      <c r="R1477" s="39" t="str">
        <f aca="false">IF($M1477="","",INDEX($A1477:$J1477,$R$6))</f>
        <v/>
      </c>
      <c r="S1477" s="37" t="str">
        <f aca="false">IF($M1477="","",IFERROR(INDEX(Settings!$B$27:$B$36,MATCH(L1477,Settings!$A$27:$A$36,0))&amp;"","UNMAPPED"))</f>
        <v/>
      </c>
      <c r="T1477" s="37" t="str">
        <f aca="false">IF($M1477="","",IF(NOT(ISNUMBER(R1477)),"NO DATE",IF(S1477="Won",IF(R1477&gt;Settings!$B$5,"Backlog","Delivered"),IF(S1477="Open",IF(R1477&gt;Settings!$B$5,"Pipeline","Overdue"),IF(S1477="Lost","Lost","UNMAPPED")))))</f>
        <v/>
      </c>
      <c r="U1477" s="40" t="n">
        <f aca="false">IF(T1477="Backlog",1,IF(OR(T1477="Pipeline",T1477="Overdue"),N(INDEX(Settings!$C$27:$C$36,MATCH(L1477,Settings!$A$27:$A$36,0))),0))</f>
        <v>0</v>
      </c>
      <c r="V1477" s="38" t="n">
        <f aca="false">Q1477*U1477</f>
        <v>0</v>
      </c>
      <c r="W1477" s="41" t="str">
        <f aca="false">IF($M1477="","",IF(T1477="Overdue",IF(Settings!$B$8="Yes",Settings!$B$7,""),IF(ISNUMBER(R1477),DATE(YEAR(R1477),MONTH(R1477),1),"")))</f>
        <v/>
      </c>
      <c r="X1477" s="38" t="n">
        <f aca="false">IF(AND(OR(T1477="Backlog",T1477="Pipeline",T1477="Overdue"),ISNUMBER(W1477)),IF(W1477&lt;=Settings!$B$6,V1477,0),0)</f>
        <v>0</v>
      </c>
      <c r="Y1477" s="38" t="n">
        <f aca="false">IF(AND(OR(T1477="Backlog",T1477="Pipeline",T1477="Overdue"),ISNUMBER(W1477)),IF(W1477&lt;=Settings!$B$6,Q1477,0),0)</f>
        <v>0</v>
      </c>
      <c r="Z1477" s="38" t="n">
        <f aca="false">IF(Y1477=0,0,IF(T1477="Backlog",Q1477,Q1477*Dashboard!$C$10))</f>
        <v>0</v>
      </c>
      <c r="AA1477" s="37" t="n">
        <f aca="false">IF($N1477="",0,IF(COUNTIF(Dashboard!$C$13:$C$22,$N1477)&gt;0,1,0))</f>
        <v>0</v>
      </c>
      <c r="AB1477" s="37" t="str">
        <f aca="false">IF($N1477="","",IF(COUNTIF($N$8:$N1477,$N1477)=1,MAX($AB$7:$AB1476)+1,""))</f>
        <v/>
      </c>
    </row>
    <row r="1478" customFormat="false" ht="15" hidden="false" customHeight="false" outlineLevel="0" collapsed="false">
      <c r="L1478" s="37" t="str">
        <f aca="false">IF(INDEX($A1478:$J1478,$L$6)&lt;&gt;"",TRIM(LEFT(INDEX($A1478:$J1478,$L$6),FIND("(",INDEX($A1478:$J1478,$L$6)&amp;"(")-1)),L1477)</f>
        <v>Building Value Proposition</v>
      </c>
      <c r="M1478" s="37" t="str">
        <f aca="false">IF(INDEX($A1478:$J1478,$M$6)="","",INDEX($A1478:$J1478,$M$6)&amp;"")</f>
        <v/>
      </c>
      <c r="N1478" s="37" t="str">
        <f aca="false">IF($M1478="","",TRIM(INDEX($A1478:$J1478,$N$6)&amp;""))</f>
        <v/>
      </c>
      <c r="O1478" s="37" t="str">
        <f aca="false">IF($M1478="","",TRIM(INDEX($A1478:$J1478,$O$6)&amp;""))</f>
        <v/>
      </c>
      <c r="P1478" s="37" t="str">
        <f aca="false">IF($M1478="","",IFERROR(IF(INDEX(Settings!$B$41:$B$50,MATCH(O1478,Settings!$A$41:$A$50,0))&amp;""="","UNMAPPED",INDEX(Settings!$B$41:$B$50,MATCH(O1478,Settings!$A$41:$A$50,0))&amp;""),"UNMAPPED"))</f>
        <v/>
      </c>
      <c r="Q1478" s="38" t="n">
        <f aca="false">IF($M1478="",0,N(INDEX($A1478:$J1478,$Q$6)))</f>
        <v>0</v>
      </c>
      <c r="R1478" s="39" t="str">
        <f aca="false">IF($M1478="","",INDEX($A1478:$J1478,$R$6))</f>
        <v/>
      </c>
      <c r="S1478" s="37" t="str">
        <f aca="false">IF($M1478="","",IFERROR(INDEX(Settings!$B$27:$B$36,MATCH(L1478,Settings!$A$27:$A$36,0))&amp;"","UNMAPPED"))</f>
        <v/>
      </c>
      <c r="T1478" s="37" t="str">
        <f aca="false">IF($M1478="","",IF(NOT(ISNUMBER(R1478)),"NO DATE",IF(S1478="Won",IF(R1478&gt;Settings!$B$5,"Backlog","Delivered"),IF(S1478="Open",IF(R1478&gt;Settings!$B$5,"Pipeline","Overdue"),IF(S1478="Lost","Lost","UNMAPPED")))))</f>
        <v/>
      </c>
      <c r="U1478" s="40" t="n">
        <f aca="false">IF(T1478="Backlog",1,IF(OR(T1478="Pipeline",T1478="Overdue"),N(INDEX(Settings!$C$27:$C$36,MATCH(L1478,Settings!$A$27:$A$36,0))),0))</f>
        <v>0</v>
      </c>
      <c r="V1478" s="38" t="n">
        <f aca="false">Q1478*U1478</f>
        <v>0</v>
      </c>
      <c r="W1478" s="41" t="str">
        <f aca="false">IF($M1478="","",IF(T1478="Overdue",IF(Settings!$B$8="Yes",Settings!$B$7,""),IF(ISNUMBER(R1478),DATE(YEAR(R1478),MONTH(R1478),1),"")))</f>
        <v/>
      </c>
      <c r="X1478" s="38" t="n">
        <f aca="false">IF(AND(OR(T1478="Backlog",T1478="Pipeline",T1478="Overdue"),ISNUMBER(W1478)),IF(W1478&lt;=Settings!$B$6,V1478,0),0)</f>
        <v>0</v>
      </c>
      <c r="Y1478" s="38" t="n">
        <f aca="false">IF(AND(OR(T1478="Backlog",T1478="Pipeline",T1478="Overdue"),ISNUMBER(W1478)),IF(W1478&lt;=Settings!$B$6,Q1478,0),0)</f>
        <v>0</v>
      </c>
      <c r="Z1478" s="38" t="n">
        <f aca="false">IF(Y1478=0,0,IF(T1478="Backlog",Q1478,Q1478*Dashboard!$C$10))</f>
        <v>0</v>
      </c>
      <c r="AA1478" s="37" t="n">
        <f aca="false">IF($N1478="",0,IF(COUNTIF(Dashboard!$C$13:$C$22,$N1478)&gt;0,1,0))</f>
        <v>0</v>
      </c>
      <c r="AB1478" s="37" t="str">
        <f aca="false">IF($N1478="","",IF(COUNTIF($N$8:$N1478,$N1478)=1,MAX($AB$7:$AB1477)+1,""))</f>
        <v/>
      </c>
    </row>
    <row r="1479" customFormat="false" ht="15" hidden="false" customHeight="false" outlineLevel="0" collapsed="false">
      <c r="L1479" s="37" t="str">
        <f aca="false">IF(INDEX($A1479:$J1479,$L$6)&lt;&gt;"",TRIM(LEFT(INDEX($A1479:$J1479,$L$6),FIND("(",INDEX($A1479:$J1479,$L$6)&amp;"(")-1)),L1478)</f>
        <v>Building Value Proposition</v>
      </c>
      <c r="M1479" s="37" t="str">
        <f aca="false">IF(INDEX($A1479:$J1479,$M$6)="","",INDEX($A1479:$J1479,$M$6)&amp;"")</f>
        <v/>
      </c>
      <c r="N1479" s="37" t="str">
        <f aca="false">IF($M1479="","",TRIM(INDEX($A1479:$J1479,$N$6)&amp;""))</f>
        <v/>
      </c>
      <c r="O1479" s="37" t="str">
        <f aca="false">IF($M1479="","",TRIM(INDEX($A1479:$J1479,$O$6)&amp;""))</f>
        <v/>
      </c>
      <c r="P1479" s="37" t="str">
        <f aca="false">IF($M1479="","",IFERROR(IF(INDEX(Settings!$B$41:$B$50,MATCH(O1479,Settings!$A$41:$A$50,0))&amp;""="","UNMAPPED",INDEX(Settings!$B$41:$B$50,MATCH(O1479,Settings!$A$41:$A$50,0))&amp;""),"UNMAPPED"))</f>
        <v/>
      </c>
      <c r="Q1479" s="38" t="n">
        <f aca="false">IF($M1479="",0,N(INDEX($A1479:$J1479,$Q$6)))</f>
        <v>0</v>
      </c>
      <c r="R1479" s="39" t="str">
        <f aca="false">IF($M1479="","",INDEX($A1479:$J1479,$R$6))</f>
        <v/>
      </c>
      <c r="S1479" s="37" t="str">
        <f aca="false">IF($M1479="","",IFERROR(INDEX(Settings!$B$27:$B$36,MATCH(L1479,Settings!$A$27:$A$36,0))&amp;"","UNMAPPED"))</f>
        <v/>
      </c>
      <c r="T1479" s="37" t="str">
        <f aca="false">IF($M1479="","",IF(NOT(ISNUMBER(R1479)),"NO DATE",IF(S1479="Won",IF(R1479&gt;Settings!$B$5,"Backlog","Delivered"),IF(S1479="Open",IF(R1479&gt;Settings!$B$5,"Pipeline","Overdue"),IF(S1479="Lost","Lost","UNMAPPED")))))</f>
        <v/>
      </c>
      <c r="U1479" s="40" t="n">
        <f aca="false">IF(T1479="Backlog",1,IF(OR(T1479="Pipeline",T1479="Overdue"),N(INDEX(Settings!$C$27:$C$36,MATCH(L1479,Settings!$A$27:$A$36,0))),0))</f>
        <v>0</v>
      </c>
      <c r="V1479" s="38" t="n">
        <f aca="false">Q1479*U1479</f>
        <v>0</v>
      </c>
      <c r="W1479" s="41" t="str">
        <f aca="false">IF($M1479="","",IF(T1479="Overdue",IF(Settings!$B$8="Yes",Settings!$B$7,""),IF(ISNUMBER(R1479),DATE(YEAR(R1479),MONTH(R1479),1),"")))</f>
        <v/>
      </c>
      <c r="X1479" s="38" t="n">
        <f aca="false">IF(AND(OR(T1479="Backlog",T1479="Pipeline",T1479="Overdue"),ISNUMBER(W1479)),IF(W1479&lt;=Settings!$B$6,V1479,0),0)</f>
        <v>0</v>
      </c>
      <c r="Y1479" s="38" t="n">
        <f aca="false">IF(AND(OR(T1479="Backlog",T1479="Pipeline",T1479="Overdue"),ISNUMBER(W1479)),IF(W1479&lt;=Settings!$B$6,Q1479,0),0)</f>
        <v>0</v>
      </c>
      <c r="Z1479" s="38" t="n">
        <f aca="false">IF(Y1479=0,0,IF(T1479="Backlog",Q1479,Q1479*Dashboard!$C$10))</f>
        <v>0</v>
      </c>
      <c r="AA1479" s="37" t="n">
        <f aca="false">IF($N1479="",0,IF(COUNTIF(Dashboard!$C$13:$C$22,$N1479)&gt;0,1,0))</f>
        <v>0</v>
      </c>
      <c r="AB1479" s="37" t="str">
        <f aca="false">IF($N1479="","",IF(COUNTIF($N$8:$N1479,$N1479)=1,MAX($AB$7:$AB1478)+1,""))</f>
        <v/>
      </c>
    </row>
    <row r="1480" customFormat="false" ht="15" hidden="false" customHeight="false" outlineLevel="0" collapsed="false">
      <c r="L1480" s="37" t="str">
        <f aca="false">IF(INDEX($A1480:$J1480,$L$6)&lt;&gt;"",TRIM(LEFT(INDEX($A1480:$J1480,$L$6),FIND("(",INDEX($A1480:$J1480,$L$6)&amp;"(")-1)),L1479)</f>
        <v>Building Value Proposition</v>
      </c>
      <c r="M1480" s="37" t="str">
        <f aca="false">IF(INDEX($A1480:$J1480,$M$6)="","",INDEX($A1480:$J1480,$M$6)&amp;"")</f>
        <v/>
      </c>
      <c r="N1480" s="37" t="str">
        <f aca="false">IF($M1480="","",TRIM(INDEX($A1480:$J1480,$N$6)&amp;""))</f>
        <v/>
      </c>
      <c r="O1480" s="37" t="str">
        <f aca="false">IF($M1480="","",TRIM(INDEX($A1480:$J1480,$O$6)&amp;""))</f>
        <v/>
      </c>
      <c r="P1480" s="37" t="str">
        <f aca="false">IF($M1480="","",IFERROR(IF(INDEX(Settings!$B$41:$B$50,MATCH(O1480,Settings!$A$41:$A$50,0))&amp;""="","UNMAPPED",INDEX(Settings!$B$41:$B$50,MATCH(O1480,Settings!$A$41:$A$50,0))&amp;""),"UNMAPPED"))</f>
        <v/>
      </c>
      <c r="Q1480" s="38" t="n">
        <f aca="false">IF($M1480="",0,N(INDEX($A1480:$J1480,$Q$6)))</f>
        <v>0</v>
      </c>
      <c r="R1480" s="39" t="str">
        <f aca="false">IF($M1480="","",INDEX($A1480:$J1480,$R$6))</f>
        <v/>
      </c>
      <c r="S1480" s="37" t="str">
        <f aca="false">IF($M1480="","",IFERROR(INDEX(Settings!$B$27:$B$36,MATCH(L1480,Settings!$A$27:$A$36,0))&amp;"","UNMAPPED"))</f>
        <v/>
      </c>
      <c r="T1480" s="37" t="str">
        <f aca="false">IF($M1480="","",IF(NOT(ISNUMBER(R1480)),"NO DATE",IF(S1480="Won",IF(R1480&gt;Settings!$B$5,"Backlog","Delivered"),IF(S1480="Open",IF(R1480&gt;Settings!$B$5,"Pipeline","Overdue"),IF(S1480="Lost","Lost","UNMAPPED")))))</f>
        <v/>
      </c>
      <c r="U1480" s="40" t="n">
        <f aca="false">IF(T1480="Backlog",1,IF(OR(T1480="Pipeline",T1480="Overdue"),N(INDEX(Settings!$C$27:$C$36,MATCH(L1480,Settings!$A$27:$A$36,0))),0))</f>
        <v>0</v>
      </c>
      <c r="V1480" s="38" t="n">
        <f aca="false">Q1480*U1480</f>
        <v>0</v>
      </c>
      <c r="W1480" s="41" t="str">
        <f aca="false">IF($M1480="","",IF(T1480="Overdue",IF(Settings!$B$8="Yes",Settings!$B$7,""),IF(ISNUMBER(R1480),DATE(YEAR(R1480),MONTH(R1480),1),"")))</f>
        <v/>
      </c>
      <c r="X1480" s="38" t="n">
        <f aca="false">IF(AND(OR(T1480="Backlog",T1480="Pipeline",T1480="Overdue"),ISNUMBER(W1480)),IF(W1480&lt;=Settings!$B$6,V1480,0),0)</f>
        <v>0</v>
      </c>
      <c r="Y1480" s="38" t="n">
        <f aca="false">IF(AND(OR(T1480="Backlog",T1480="Pipeline",T1480="Overdue"),ISNUMBER(W1480)),IF(W1480&lt;=Settings!$B$6,Q1480,0),0)</f>
        <v>0</v>
      </c>
      <c r="Z1480" s="38" t="n">
        <f aca="false">IF(Y1480=0,0,IF(T1480="Backlog",Q1480,Q1480*Dashboard!$C$10))</f>
        <v>0</v>
      </c>
      <c r="AA1480" s="37" t="n">
        <f aca="false">IF($N1480="",0,IF(COUNTIF(Dashboard!$C$13:$C$22,$N1480)&gt;0,1,0))</f>
        <v>0</v>
      </c>
      <c r="AB1480" s="37" t="str">
        <f aca="false">IF($N1480="","",IF(COUNTIF($N$8:$N1480,$N1480)=1,MAX($AB$7:$AB1479)+1,""))</f>
        <v/>
      </c>
    </row>
    <row r="1481" customFormat="false" ht="15" hidden="false" customHeight="false" outlineLevel="0" collapsed="false">
      <c r="L1481" s="37" t="str">
        <f aca="false">IF(INDEX($A1481:$J1481,$L$6)&lt;&gt;"",TRIM(LEFT(INDEX($A1481:$J1481,$L$6),FIND("(",INDEX($A1481:$J1481,$L$6)&amp;"(")-1)),L1480)</f>
        <v>Building Value Proposition</v>
      </c>
      <c r="M1481" s="37" t="str">
        <f aca="false">IF(INDEX($A1481:$J1481,$M$6)="","",INDEX($A1481:$J1481,$M$6)&amp;"")</f>
        <v/>
      </c>
      <c r="N1481" s="37" t="str">
        <f aca="false">IF($M1481="","",TRIM(INDEX($A1481:$J1481,$N$6)&amp;""))</f>
        <v/>
      </c>
      <c r="O1481" s="37" t="str">
        <f aca="false">IF($M1481="","",TRIM(INDEX($A1481:$J1481,$O$6)&amp;""))</f>
        <v/>
      </c>
      <c r="P1481" s="37" t="str">
        <f aca="false">IF($M1481="","",IFERROR(IF(INDEX(Settings!$B$41:$B$50,MATCH(O1481,Settings!$A$41:$A$50,0))&amp;""="","UNMAPPED",INDEX(Settings!$B$41:$B$50,MATCH(O1481,Settings!$A$41:$A$50,0))&amp;""),"UNMAPPED"))</f>
        <v/>
      </c>
      <c r="Q1481" s="38" t="n">
        <f aca="false">IF($M1481="",0,N(INDEX($A1481:$J1481,$Q$6)))</f>
        <v>0</v>
      </c>
      <c r="R1481" s="39" t="str">
        <f aca="false">IF($M1481="","",INDEX($A1481:$J1481,$R$6))</f>
        <v/>
      </c>
      <c r="S1481" s="37" t="str">
        <f aca="false">IF($M1481="","",IFERROR(INDEX(Settings!$B$27:$B$36,MATCH(L1481,Settings!$A$27:$A$36,0))&amp;"","UNMAPPED"))</f>
        <v/>
      </c>
      <c r="T1481" s="37" t="str">
        <f aca="false">IF($M1481="","",IF(NOT(ISNUMBER(R1481)),"NO DATE",IF(S1481="Won",IF(R1481&gt;Settings!$B$5,"Backlog","Delivered"),IF(S1481="Open",IF(R1481&gt;Settings!$B$5,"Pipeline","Overdue"),IF(S1481="Lost","Lost","UNMAPPED")))))</f>
        <v/>
      </c>
      <c r="U1481" s="40" t="n">
        <f aca="false">IF(T1481="Backlog",1,IF(OR(T1481="Pipeline",T1481="Overdue"),N(INDEX(Settings!$C$27:$C$36,MATCH(L1481,Settings!$A$27:$A$36,0))),0))</f>
        <v>0</v>
      </c>
      <c r="V1481" s="38" t="n">
        <f aca="false">Q1481*U1481</f>
        <v>0</v>
      </c>
      <c r="W1481" s="41" t="str">
        <f aca="false">IF($M1481="","",IF(T1481="Overdue",IF(Settings!$B$8="Yes",Settings!$B$7,""),IF(ISNUMBER(R1481),DATE(YEAR(R1481),MONTH(R1481),1),"")))</f>
        <v/>
      </c>
      <c r="X1481" s="38" t="n">
        <f aca="false">IF(AND(OR(T1481="Backlog",T1481="Pipeline",T1481="Overdue"),ISNUMBER(W1481)),IF(W1481&lt;=Settings!$B$6,V1481,0),0)</f>
        <v>0</v>
      </c>
      <c r="Y1481" s="38" t="n">
        <f aca="false">IF(AND(OR(T1481="Backlog",T1481="Pipeline",T1481="Overdue"),ISNUMBER(W1481)),IF(W1481&lt;=Settings!$B$6,Q1481,0),0)</f>
        <v>0</v>
      </c>
      <c r="Z1481" s="38" t="n">
        <f aca="false">IF(Y1481=0,0,IF(T1481="Backlog",Q1481,Q1481*Dashboard!$C$10))</f>
        <v>0</v>
      </c>
      <c r="AA1481" s="37" t="n">
        <f aca="false">IF($N1481="",0,IF(COUNTIF(Dashboard!$C$13:$C$22,$N1481)&gt;0,1,0))</f>
        <v>0</v>
      </c>
      <c r="AB1481" s="37" t="str">
        <f aca="false">IF($N1481="","",IF(COUNTIF($N$8:$N1481,$N1481)=1,MAX($AB$7:$AB1480)+1,""))</f>
        <v/>
      </c>
    </row>
    <row r="1482" customFormat="false" ht="15" hidden="false" customHeight="false" outlineLevel="0" collapsed="false">
      <c r="L1482" s="37" t="str">
        <f aca="false">IF(INDEX($A1482:$J1482,$L$6)&lt;&gt;"",TRIM(LEFT(INDEX($A1482:$J1482,$L$6),FIND("(",INDEX($A1482:$J1482,$L$6)&amp;"(")-1)),L1481)</f>
        <v>Building Value Proposition</v>
      </c>
      <c r="M1482" s="37" t="str">
        <f aca="false">IF(INDEX($A1482:$J1482,$M$6)="","",INDEX($A1482:$J1482,$M$6)&amp;"")</f>
        <v/>
      </c>
      <c r="N1482" s="37" t="str">
        <f aca="false">IF($M1482="","",TRIM(INDEX($A1482:$J1482,$N$6)&amp;""))</f>
        <v/>
      </c>
      <c r="O1482" s="37" t="str">
        <f aca="false">IF($M1482="","",TRIM(INDEX($A1482:$J1482,$O$6)&amp;""))</f>
        <v/>
      </c>
      <c r="P1482" s="37" t="str">
        <f aca="false">IF($M1482="","",IFERROR(IF(INDEX(Settings!$B$41:$B$50,MATCH(O1482,Settings!$A$41:$A$50,0))&amp;""="","UNMAPPED",INDEX(Settings!$B$41:$B$50,MATCH(O1482,Settings!$A$41:$A$50,0))&amp;""),"UNMAPPED"))</f>
        <v/>
      </c>
      <c r="Q1482" s="38" t="n">
        <f aca="false">IF($M1482="",0,N(INDEX($A1482:$J1482,$Q$6)))</f>
        <v>0</v>
      </c>
      <c r="R1482" s="39" t="str">
        <f aca="false">IF($M1482="","",INDEX($A1482:$J1482,$R$6))</f>
        <v/>
      </c>
      <c r="S1482" s="37" t="str">
        <f aca="false">IF($M1482="","",IFERROR(INDEX(Settings!$B$27:$B$36,MATCH(L1482,Settings!$A$27:$A$36,0))&amp;"","UNMAPPED"))</f>
        <v/>
      </c>
      <c r="T1482" s="37" t="str">
        <f aca="false">IF($M1482="","",IF(NOT(ISNUMBER(R1482)),"NO DATE",IF(S1482="Won",IF(R1482&gt;Settings!$B$5,"Backlog","Delivered"),IF(S1482="Open",IF(R1482&gt;Settings!$B$5,"Pipeline","Overdue"),IF(S1482="Lost","Lost","UNMAPPED")))))</f>
        <v/>
      </c>
      <c r="U1482" s="40" t="n">
        <f aca="false">IF(T1482="Backlog",1,IF(OR(T1482="Pipeline",T1482="Overdue"),N(INDEX(Settings!$C$27:$C$36,MATCH(L1482,Settings!$A$27:$A$36,0))),0))</f>
        <v>0</v>
      </c>
      <c r="V1482" s="38" t="n">
        <f aca="false">Q1482*U1482</f>
        <v>0</v>
      </c>
      <c r="W1482" s="41" t="str">
        <f aca="false">IF($M1482="","",IF(T1482="Overdue",IF(Settings!$B$8="Yes",Settings!$B$7,""),IF(ISNUMBER(R1482),DATE(YEAR(R1482),MONTH(R1482),1),"")))</f>
        <v/>
      </c>
      <c r="X1482" s="38" t="n">
        <f aca="false">IF(AND(OR(T1482="Backlog",T1482="Pipeline",T1482="Overdue"),ISNUMBER(W1482)),IF(W1482&lt;=Settings!$B$6,V1482,0),0)</f>
        <v>0</v>
      </c>
      <c r="Y1482" s="38" t="n">
        <f aca="false">IF(AND(OR(T1482="Backlog",T1482="Pipeline",T1482="Overdue"),ISNUMBER(W1482)),IF(W1482&lt;=Settings!$B$6,Q1482,0),0)</f>
        <v>0</v>
      </c>
      <c r="Z1482" s="38" t="n">
        <f aca="false">IF(Y1482=0,0,IF(T1482="Backlog",Q1482,Q1482*Dashboard!$C$10))</f>
        <v>0</v>
      </c>
      <c r="AA1482" s="37" t="n">
        <f aca="false">IF($N1482="",0,IF(COUNTIF(Dashboard!$C$13:$C$22,$N1482)&gt;0,1,0))</f>
        <v>0</v>
      </c>
      <c r="AB1482" s="37" t="str">
        <f aca="false">IF($N1482="","",IF(COUNTIF($N$8:$N1482,$N1482)=1,MAX($AB$7:$AB1481)+1,""))</f>
        <v/>
      </c>
    </row>
    <row r="1483" customFormat="false" ht="15" hidden="false" customHeight="false" outlineLevel="0" collapsed="false">
      <c r="L1483" s="37" t="str">
        <f aca="false">IF(INDEX($A1483:$J1483,$L$6)&lt;&gt;"",TRIM(LEFT(INDEX($A1483:$J1483,$L$6),FIND("(",INDEX($A1483:$J1483,$L$6)&amp;"(")-1)),L1482)</f>
        <v>Building Value Proposition</v>
      </c>
      <c r="M1483" s="37" t="str">
        <f aca="false">IF(INDEX($A1483:$J1483,$M$6)="","",INDEX($A1483:$J1483,$M$6)&amp;"")</f>
        <v/>
      </c>
      <c r="N1483" s="37" t="str">
        <f aca="false">IF($M1483="","",TRIM(INDEX($A1483:$J1483,$N$6)&amp;""))</f>
        <v/>
      </c>
      <c r="O1483" s="37" t="str">
        <f aca="false">IF($M1483="","",TRIM(INDEX($A1483:$J1483,$O$6)&amp;""))</f>
        <v/>
      </c>
      <c r="P1483" s="37" t="str">
        <f aca="false">IF($M1483="","",IFERROR(IF(INDEX(Settings!$B$41:$B$50,MATCH(O1483,Settings!$A$41:$A$50,0))&amp;""="","UNMAPPED",INDEX(Settings!$B$41:$B$50,MATCH(O1483,Settings!$A$41:$A$50,0))&amp;""),"UNMAPPED"))</f>
        <v/>
      </c>
      <c r="Q1483" s="38" t="n">
        <f aca="false">IF($M1483="",0,N(INDEX($A1483:$J1483,$Q$6)))</f>
        <v>0</v>
      </c>
      <c r="R1483" s="39" t="str">
        <f aca="false">IF($M1483="","",INDEX($A1483:$J1483,$R$6))</f>
        <v/>
      </c>
      <c r="S1483" s="37" t="str">
        <f aca="false">IF($M1483="","",IFERROR(INDEX(Settings!$B$27:$B$36,MATCH(L1483,Settings!$A$27:$A$36,0))&amp;"","UNMAPPED"))</f>
        <v/>
      </c>
      <c r="T1483" s="37" t="str">
        <f aca="false">IF($M1483="","",IF(NOT(ISNUMBER(R1483)),"NO DATE",IF(S1483="Won",IF(R1483&gt;Settings!$B$5,"Backlog","Delivered"),IF(S1483="Open",IF(R1483&gt;Settings!$B$5,"Pipeline","Overdue"),IF(S1483="Lost","Lost","UNMAPPED")))))</f>
        <v/>
      </c>
      <c r="U1483" s="40" t="n">
        <f aca="false">IF(T1483="Backlog",1,IF(OR(T1483="Pipeline",T1483="Overdue"),N(INDEX(Settings!$C$27:$C$36,MATCH(L1483,Settings!$A$27:$A$36,0))),0))</f>
        <v>0</v>
      </c>
      <c r="V1483" s="38" t="n">
        <f aca="false">Q1483*U1483</f>
        <v>0</v>
      </c>
      <c r="W1483" s="41" t="str">
        <f aca="false">IF($M1483="","",IF(T1483="Overdue",IF(Settings!$B$8="Yes",Settings!$B$7,""),IF(ISNUMBER(R1483),DATE(YEAR(R1483),MONTH(R1483),1),"")))</f>
        <v/>
      </c>
      <c r="X1483" s="38" t="n">
        <f aca="false">IF(AND(OR(T1483="Backlog",T1483="Pipeline",T1483="Overdue"),ISNUMBER(W1483)),IF(W1483&lt;=Settings!$B$6,V1483,0),0)</f>
        <v>0</v>
      </c>
      <c r="Y1483" s="38" t="n">
        <f aca="false">IF(AND(OR(T1483="Backlog",T1483="Pipeline",T1483="Overdue"),ISNUMBER(W1483)),IF(W1483&lt;=Settings!$B$6,Q1483,0),0)</f>
        <v>0</v>
      </c>
      <c r="Z1483" s="38" t="n">
        <f aca="false">IF(Y1483=0,0,IF(T1483="Backlog",Q1483,Q1483*Dashboard!$C$10))</f>
        <v>0</v>
      </c>
      <c r="AA1483" s="37" t="n">
        <f aca="false">IF($N1483="",0,IF(COUNTIF(Dashboard!$C$13:$C$22,$N1483)&gt;0,1,0))</f>
        <v>0</v>
      </c>
      <c r="AB1483" s="37" t="str">
        <f aca="false">IF($N1483="","",IF(COUNTIF($N$8:$N1483,$N1483)=1,MAX($AB$7:$AB1482)+1,""))</f>
        <v/>
      </c>
    </row>
    <row r="1484" customFormat="false" ht="15" hidden="false" customHeight="false" outlineLevel="0" collapsed="false">
      <c r="L1484" s="37" t="str">
        <f aca="false">IF(INDEX($A1484:$J1484,$L$6)&lt;&gt;"",TRIM(LEFT(INDEX($A1484:$J1484,$L$6),FIND("(",INDEX($A1484:$J1484,$L$6)&amp;"(")-1)),L1483)</f>
        <v>Building Value Proposition</v>
      </c>
      <c r="M1484" s="37" t="str">
        <f aca="false">IF(INDEX($A1484:$J1484,$M$6)="","",INDEX($A1484:$J1484,$M$6)&amp;"")</f>
        <v/>
      </c>
      <c r="N1484" s="37" t="str">
        <f aca="false">IF($M1484="","",TRIM(INDEX($A1484:$J1484,$N$6)&amp;""))</f>
        <v/>
      </c>
      <c r="O1484" s="37" t="str">
        <f aca="false">IF($M1484="","",TRIM(INDEX($A1484:$J1484,$O$6)&amp;""))</f>
        <v/>
      </c>
      <c r="P1484" s="37" t="str">
        <f aca="false">IF($M1484="","",IFERROR(IF(INDEX(Settings!$B$41:$B$50,MATCH(O1484,Settings!$A$41:$A$50,0))&amp;""="","UNMAPPED",INDEX(Settings!$B$41:$B$50,MATCH(O1484,Settings!$A$41:$A$50,0))&amp;""),"UNMAPPED"))</f>
        <v/>
      </c>
      <c r="Q1484" s="38" t="n">
        <f aca="false">IF($M1484="",0,N(INDEX($A1484:$J1484,$Q$6)))</f>
        <v>0</v>
      </c>
      <c r="R1484" s="39" t="str">
        <f aca="false">IF($M1484="","",INDEX($A1484:$J1484,$R$6))</f>
        <v/>
      </c>
      <c r="S1484" s="37" t="str">
        <f aca="false">IF($M1484="","",IFERROR(INDEX(Settings!$B$27:$B$36,MATCH(L1484,Settings!$A$27:$A$36,0))&amp;"","UNMAPPED"))</f>
        <v/>
      </c>
      <c r="T1484" s="37" t="str">
        <f aca="false">IF($M1484="","",IF(NOT(ISNUMBER(R1484)),"NO DATE",IF(S1484="Won",IF(R1484&gt;Settings!$B$5,"Backlog","Delivered"),IF(S1484="Open",IF(R1484&gt;Settings!$B$5,"Pipeline","Overdue"),IF(S1484="Lost","Lost","UNMAPPED")))))</f>
        <v/>
      </c>
      <c r="U1484" s="40" t="n">
        <f aca="false">IF(T1484="Backlog",1,IF(OR(T1484="Pipeline",T1484="Overdue"),N(INDEX(Settings!$C$27:$C$36,MATCH(L1484,Settings!$A$27:$A$36,0))),0))</f>
        <v>0</v>
      </c>
      <c r="V1484" s="38" t="n">
        <f aca="false">Q1484*U1484</f>
        <v>0</v>
      </c>
      <c r="W1484" s="41" t="str">
        <f aca="false">IF($M1484="","",IF(T1484="Overdue",IF(Settings!$B$8="Yes",Settings!$B$7,""),IF(ISNUMBER(R1484),DATE(YEAR(R1484),MONTH(R1484),1),"")))</f>
        <v/>
      </c>
      <c r="X1484" s="38" t="n">
        <f aca="false">IF(AND(OR(T1484="Backlog",T1484="Pipeline",T1484="Overdue"),ISNUMBER(W1484)),IF(W1484&lt;=Settings!$B$6,V1484,0),0)</f>
        <v>0</v>
      </c>
      <c r="Y1484" s="38" t="n">
        <f aca="false">IF(AND(OR(T1484="Backlog",T1484="Pipeline",T1484="Overdue"),ISNUMBER(W1484)),IF(W1484&lt;=Settings!$B$6,Q1484,0),0)</f>
        <v>0</v>
      </c>
      <c r="Z1484" s="38" t="n">
        <f aca="false">IF(Y1484=0,0,IF(T1484="Backlog",Q1484,Q1484*Dashboard!$C$10))</f>
        <v>0</v>
      </c>
      <c r="AA1484" s="37" t="n">
        <f aca="false">IF($N1484="",0,IF(COUNTIF(Dashboard!$C$13:$C$22,$N1484)&gt;0,1,0))</f>
        <v>0</v>
      </c>
      <c r="AB1484" s="37" t="str">
        <f aca="false">IF($N1484="","",IF(COUNTIF($N$8:$N1484,$N1484)=1,MAX($AB$7:$AB1483)+1,""))</f>
        <v/>
      </c>
    </row>
    <row r="1485" customFormat="false" ht="15" hidden="false" customHeight="false" outlineLevel="0" collapsed="false">
      <c r="L1485" s="37" t="str">
        <f aca="false">IF(INDEX($A1485:$J1485,$L$6)&lt;&gt;"",TRIM(LEFT(INDEX($A1485:$J1485,$L$6),FIND("(",INDEX($A1485:$J1485,$L$6)&amp;"(")-1)),L1484)</f>
        <v>Building Value Proposition</v>
      </c>
      <c r="M1485" s="37" t="str">
        <f aca="false">IF(INDEX($A1485:$J1485,$M$6)="","",INDEX($A1485:$J1485,$M$6)&amp;"")</f>
        <v/>
      </c>
      <c r="N1485" s="37" t="str">
        <f aca="false">IF($M1485="","",TRIM(INDEX($A1485:$J1485,$N$6)&amp;""))</f>
        <v/>
      </c>
      <c r="O1485" s="37" t="str">
        <f aca="false">IF($M1485="","",TRIM(INDEX($A1485:$J1485,$O$6)&amp;""))</f>
        <v/>
      </c>
      <c r="P1485" s="37" t="str">
        <f aca="false">IF($M1485="","",IFERROR(IF(INDEX(Settings!$B$41:$B$50,MATCH(O1485,Settings!$A$41:$A$50,0))&amp;""="","UNMAPPED",INDEX(Settings!$B$41:$B$50,MATCH(O1485,Settings!$A$41:$A$50,0))&amp;""),"UNMAPPED"))</f>
        <v/>
      </c>
      <c r="Q1485" s="38" t="n">
        <f aca="false">IF($M1485="",0,N(INDEX($A1485:$J1485,$Q$6)))</f>
        <v>0</v>
      </c>
      <c r="R1485" s="39" t="str">
        <f aca="false">IF($M1485="","",INDEX($A1485:$J1485,$R$6))</f>
        <v/>
      </c>
      <c r="S1485" s="37" t="str">
        <f aca="false">IF($M1485="","",IFERROR(INDEX(Settings!$B$27:$B$36,MATCH(L1485,Settings!$A$27:$A$36,0))&amp;"","UNMAPPED"))</f>
        <v/>
      </c>
      <c r="T1485" s="37" t="str">
        <f aca="false">IF($M1485="","",IF(NOT(ISNUMBER(R1485)),"NO DATE",IF(S1485="Won",IF(R1485&gt;Settings!$B$5,"Backlog","Delivered"),IF(S1485="Open",IF(R1485&gt;Settings!$B$5,"Pipeline","Overdue"),IF(S1485="Lost","Lost","UNMAPPED")))))</f>
        <v/>
      </c>
      <c r="U1485" s="40" t="n">
        <f aca="false">IF(T1485="Backlog",1,IF(OR(T1485="Pipeline",T1485="Overdue"),N(INDEX(Settings!$C$27:$C$36,MATCH(L1485,Settings!$A$27:$A$36,0))),0))</f>
        <v>0</v>
      </c>
      <c r="V1485" s="38" t="n">
        <f aca="false">Q1485*U1485</f>
        <v>0</v>
      </c>
      <c r="W1485" s="41" t="str">
        <f aca="false">IF($M1485="","",IF(T1485="Overdue",IF(Settings!$B$8="Yes",Settings!$B$7,""),IF(ISNUMBER(R1485),DATE(YEAR(R1485),MONTH(R1485),1),"")))</f>
        <v/>
      </c>
      <c r="X1485" s="38" t="n">
        <f aca="false">IF(AND(OR(T1485="Backlog",T1485="Pipeline",T1485="Overdue"),ISNUMBER(W1485)),IF(W1485&lt;=Settings!$B$6,V1485,0),0)</f>
        <v>0</v>
      </c>
      <c r="Y1485" s="38" t="n">
        <f aca="false">IF(AND(OR(T1485="Backlog",T1485="Pipeline",T1485="Overdue"),ISNUMBER(W1485)),IF(W1485&lt;=Settings!$B$6,Q1485,0),0)</f>
        <v>0</v>
      </c>
      <c r="Z1485" s="38" t="n">
        <f aca="false">IF(Y1485=0,0,IF(T1485="Backlog",Q1485,Q1485*Dashboard!$C$10))</f>
        <v>0</v>
      </c>
      <c r="AA1485" s="37" t="n">
        <f aca="false">IF($N1485="",0,IF(COUNTIF(Dashboard!$C$13:$C$22,$N1485)&gt;0,1,0))</f>
        <v>0</v>
      </c>
      <c r="AB1485" s="37" t="str">
        <f aca="false">IF($N1485="","",IF(COUNTIF($N$8:$N1485,$N1485)=1,MAX($AB$7:$AB1484)+1,""))</f>
        <v/>
      </c>
    </row>
    <row r="1486" customFormat="false" ht="15" hidden="false" customHeight="false" outlineLevel="0" collapsed="false">
      <c r="L1486" s="37" t="str">
        <f aca="false">IF(INDEX($A1486:$J1486,$L$6)&lt;&gt;"",TRIM(LEFT(INDEX($A1486:$J1486,$L$6),FIND("(",INDEX($A1486:$J1486,$L$6)&amp;"(")-1)),L1485)</f>
        <v>Building Value Proposition</v>
      </c>
      <c r="M1486" s="37" t="str">
        <f aca="false">IF(INDEX($A1486:$J1486,$M$6)="","",INDEX($A1486:$J1486,$M$6)&amp;"")</f>
        <v/>
      </c>
      <c r="N1486" s="37" t="str">
        <f aca="false">IF($M1486="","",TRIM(INDEX($A1486:$J1486,$N$6)&amp;""))</f>
        <v/>
      </c>
      <c r="O1486" s="37" t="str">
        <f aca="false">IF($M1486="","",TRIM(INDEX($A1486:$J1486,$O$6)&amp;""))</f>
        <v/>
      </c>
      <c r="P1486" s="37" t="str">
        <f aca="false">IF($M1486="","",IFERROR(IF(INDEX(Settings!$B$41:$B$50,MATCH(O1486,Settings!$A$41:$A$50,0))&amp;""="","UNMAPPED",INDEX(Settings!$B$41:$B$50,MATCH(O1486,Settings!$A$41:$A$50,0))&amp;""),"UNMAPPED"))</f>
        <v/>
      </c>
      <c r="Q1486" s="38" t="n">
        <f aca="false">IF($M1486="",0,N(INDEX($A1486:$J1486,$Q$6)))</f>
        <v>0</v>
      </c>
      <c r="R1486" s="39" t="str">
        <f aca="false">IF($M1486="","",INDEX($A1486:$J1486,$R$6))</f>
        <v/>
      </c>
      <c r="S1486" s="37" t="str">
        <f aca="false">IF($M1486="","",IFERROR(INDEX(Settings!$B$27:$B$36,MATCH(L1486,Settings!$A$27:$A$36,0))&amp;"","UNMAPPED"))</f>
        <v/>
      </c>
      <c r="T1486" s="37" t="str">
        <f aca="false">IF($M1486="","",IF(NOT(ISNUMBER(R1486)),"NO DATE",IF(S1486="Won",IF(R1486&gt;Settings!$B$5,"Backlog","Delivered"),IF(S1486="Open",IF(R1486&gt;Settings!$B$5,"Pipeline","Overdue"),IF(S1486="Lost","Lost","UNMAPPED")))))</f>
        <v/>
      </c>
      <c r="U1486" s="40" t="n">
        <f aca="false">IF(T1486="Backlog",1,IF(OR(T1486="Pipeline",T1486="Overdue"),N(INDEX(Settings!$C$27:$C$36,MATCH(L1486,Settings!$A$27:$A$36,0))),0))</f>
        <v>0</v>
      </c>
      <c r="V1486" s="38" t="n">
        <f aca="false">Q1486*U1486</f>
        <v>0</v>
      </c>
      <c r="W1486" s="41" t="str">
        <f aca="false">IF($M1486="","",IF(T1486="Overdue",IF(Settings!$B$8="Yes",Settings!$B$7,""),IF(ISNUMBER(R1486),DATE(YEAR(R1486),MONTH(R1486),1),"")))</f>
        <v/>
      </c>
      <c r="X1486" s="38" t="n">
        <f aca="false">IF(AND(OR(T1486="Backlog",T1486="Pipeline",T1486="Overdue"),ISNUMBER(W1486)),IF(W1486&lt;=Settings!$B$6,V1486,0),0)</f>
        <v>0</v>
      </c>
      <c r="Y1486" s="38" t="n">
        <f aca="false">IF(AND(OR(T1486="Backlog",T1486="Pipeline",T1486="Overdue"),ISNUMBER(W1486)),IF(W1486&lt;=Settings!$B$6,Q1486,0),0)</f>
        <v>0</v>
      </c>
      <c r="Z1486" s="38" t="n">
        <f aca="false">IF(Y1486=0,0,IF(T1486="Backlog",Q1486,Q1486*Dashboard!$C$10))</f>
        <v>0</v>
      </c>
      <c r="AA1486" s="37" t="n">
        <f aca="false">IF($N1486="",0,IF(COUNTIF(Dashboard!$C$13:$C$22,$N1486)&gt;0,1,0))</f>
        <v>0</v>
      </c>
      <c r="AB1486" s="37" t="str">
        <f aca="false">IF($N1486="","",IF(COUNTIF($N$8:$N1486,$N1486)=1,MAX($AB$7:$AB1485)+1,""))</f>
        <v/>
      </c>
    </row>
    <row r="1487" customFormat="false" ht="15" hidden="false" customHeight="false" outlineLevel="0" collapsed="false">
      <c r="L1487" s="37" t="str">
        <f aca="false">IF(INDEX($A1487:$J1487,$L$6)&lt;&gt;"",TRIM(LEFT(INDEX($A1487:$J1487,$L$6),FIND("(",INDEX($A1487:$J1487,$L$6)&amp;"(")-1)),L1486)</f>
        <v>Building Value Proposition</v>
      </c>
      <c r="M1487" s="37" t="str">
        <f aca="false">IF(INDEX($A1487:$J1487,$M$6)="","",INDEX($A1487:$J1487,$M$6)&amp;"")</f>
        <v/>
      </c>
      <c r="N1487" s="37" t="str">
        <f aca="false">IF($M1487="","",TRIM(INDEX($A1487:$J1487,$N$6)&amp;""))</f>
        <v/>
      </c>
      <c r="O1487" s="37" t="str">
        <f aca="false">IF($M1487="","",TRIM(INDEX($A1487:$J1487,$O$6)&amp;""))</f>
        <v/>
      </c>
      <c r="P1487" s="37" t="str">
        <f aca="false">IF($M1487="","",IFERROR(IF(INDEX(Settings!$B$41:$B$50,MATCH(O1487,Settings!$A$41:$A$50,0))&amp;""="","UNMAPPED",INDEX(Settings!$B$41:$B$50,MATCH(O1487,Settings!$A$41:$A$50,0))&amp;""),"UNMAPPED"))</f>
        <v/>
      </c>
      <c r="Q1487" s="38" t="n">
        <f aca="false">IF($M1487="",0,N(INDEX($A1487:$J1487,$Q$6)))</f>
        <v>0</v>
      </c>
      <c r="R1487" s="39" t="str">
        <f aca="false">IF($M1487="","",INDEX($A1487:$J1487,$R$6))</f>
        <v/>
      </c>
      <c r="S1487" s="37" t="str">
        <f aca="false">IF($M1487="","",IFERROR(INDEX(Settings!$B$27:$B$36,MATCH(L1487,Settings!$A$27:$A$36,0))&amp;"","UNMAPPED"))</f>
        <v/>
      </c>
      <c r="T1487" s="37" t="str">
        <f aca="false">IF($M1487="","",IF(NOT(ISNUMBER(R1487)),"NO DATE",IF(S1487="Won",IF(R1487&gt;Settings!$B$5,"Backlog","Delivered"),IF(S1487="Open",IF(R1487&gt;Settings!$B$5,"Pipeline","Overdue"),IF(S1487="Lost","Lost","UNMAPPED")))))</f>
        <v/>
      </c>
      <c r="U1487" s="40" t="n">
        <f aca="false">IF(T1487="Backlog",1,IF(OR(T1487="Pipeline",T1487="Overdue"),N(INDEX(Settings!$C$27:$C$36,MATCH(L1487,Settings!$A$27:$A$36,0))),0))</f>
        <v>0</v>
      </c>
      <c r="V1487" s="38" t="n">
        <f aca="false">Q1487*U1487</f>
        <v>0</v>
      </c>
      <c r="W1487" s="41" t="str">
        <f aca="false">IF($M1487="","",IF(T1487="Overdue",IF(Settings!$B$8="Yes",Settings!$B$7,""),IF(ISNUMBER(R1487),DATE(YEAR(R1487),MONTH(R1487),1),"")))</f>
        <v/>
      </c>
      <c r="X1487" s="38" t="n">
        <f aca="false">IF(AND(OR(T1487="Backlog",T1487="Pipeline",T1487="Overdue"),ISNUMBER(W1487)),IF(W1487&lt;=Settings!$B$6,V1487,0),0)</f>
        <v>0</v>
      </c>
      <c r="Y1487" s="38" t="n">
        <f aca="false">IF(AND(OR(T1487="Backlog",T1487="Pipeline",T1487="Overdue"),ISNUMBER(W1487)),IF(W1487&lt;=Settings!$B$6,Q1487,0),0)</f>
        <v>0</v>
      </c>
      <c r="Z1487" s="38" t="n">
        <f aca="false">IF(Y1487=0,0,IF(T1487="Backlog",Q1487,Q1487*Dashboard!$C$10))</f>
        <v>0</v>
      </c>
      <c r="AA1487" s="37" t="n">
        <f aca="false">IF($N1487="",0,IF(COUNTIF(Dashboard!$C$13:$C$22,$N1487)&gt;0,1,0))</f>
        <v>0</v>
      </c>
      <c r="AB1487" s="37" t="str">
        <f aca="false">IF($N1487="","",IF(COUNTIF($N$8:$N1487,$N1487)=1,MAX($AB$7:$AB1486)+1,""))</f>
        <v/>
      </c>
    </row>
    <row r="1488" customFormat="false" ht="15" hidden="false" customHeight="false" outlineLevel="0" collapsed="false">
      <c r="L1488" s="37" t="str">
        <f aca="false">IF(INDEX($A1488:$J1488,$L$6)&lt;&gt;"",TRIM(LEFT(INDEX($A1488:$J1488,$L$6),FIND("(",INDEX($A1488:$J1488,$L$6)&amp;"(")-1)),L1487)</f>
        <v>Building Value Proposition</v>
      </c>
      <c r="M1488" s="37" t="str">
        <f aca="false">IF(INDEX($A1488:$J1488,$M$6)="","",INDEX($A1488:$J1488,$M$6)&amp;"")</f>
        <v/>
      </c>
      <c r="N1488" s="37" t="str">
        <f aca="false">IF($M1488="","",TRIM(INDEX($A1488:$J1488,$N$6)&amp;""))</f>
        <v/>
      </c>
      <c r="O1488" s="37" t="str">
        <f aca="false">IF($M1488="","",TRIM(INDEX($A1488:$J1488,$O$6)&amp;""))</f>
        <v/>
      </c>
      <c r="P1488" s="37" t="str">
        <f aca="false">IF($M1488="","",IFERROR(IF(INDEX(Settings!$B$41:$B$50,MATCH(O1488,Settings!$A$41:$A$50,0))&amp;""="","UNMAPPED",INDEX(Settings!$B$41:$B$50,MATCH(O1488,Settings!$A$41:$A$50,0))&amp;""),"UNMAPPED"))</f>
        <v/>
      </c>
      <c r="Q1488" s="38" t="n">
        <f aca="false">IF($M1488="",0,N(INDEX($A1488:$J1488,$Q$6)))</f>
        <v>0</v>
      </c>
      <c r="R1488" s="39" t="str">
        <f aca="false">IF($M1488="","",INDEX($A1488:$J1488,$R$6))</f>
        <v/>
      </c>
      <c r="S1488" s="37" t="str">
        <f aca="false">IF($M1488="","",IFERROR(INDEX(Settings!$B$27:$B$36,MATCH(L1488,Settings!$A$27:$A$36,0))&amp;"","UNMAPPED"))</f>
        <v/>
      </c>
      <c r="T1488" s="37" t="str">
        <f aca="false">IF($M1488="","",IF(NOT(ISNUMBER(R1488)),"NO DATE",IF(S1488="Won",IF(R1488&gt;Settings!$B$5,"Backlog","Delivered"),IF(S1488="Open",IF(R1488&gt;Settings!$B$5,"Pipeline","Overdue"),IF(S1488="Lost","Lost","UNMAPPED")))))</f>
        <v/>
      </c>
      <c r="U1488" s="40" t="n">
        <f aca="false">IF(T1488="Backlog",1,IF(OR(T1488="Pipeline",T1488="Overdue"),N(INDEX(Settings!$C$27:$C$36,MATCH(L1488,Settings!$A$27:$A$36,0))),0))</f>
        <v>0</v>
      </c>
      <c r="V1488" s="38" t="n">
        <f aca="false">Q1488*U1488</f>
        <v>0</v>
      </c>
      <c r="W1488" s="41" t="str">
        <f aca="false">IF($M1488="","",IF(T1488="Overdue",IF(Settings!$B$8="Yes",Settings!$B$7,""),IF(ISNUMBER(R1488),DATE(YEAR(R1488),MONTH(R1488),1),"")))</f>
        <v/>
      </c>
      <c r="X1488" s="38" t="n">
        <f aca="false">IF(AND(OR(T1488="Backlog",T1488="Pipeline",T1488="Overdue"),ISNUMBER(W1488)),IF(W1488&lt;=Settings!$B$6,V1488,0),0)</f>
        <v>0</v>
      </c>
      <c r="Y1488" s="38" t="n">
        <f aca="false">IF(AND(OR(T1488="Backlog",T1488="Pipeline",T1488="Overdue"),ISNUMBER(W1488)),IF(W1488&lt;=Settings!$B$6,Q1488,0),0)</f>
        <v>0</v>
      </c>
      <c r="Z1488" s="38" t="n">
        <f aca="false">IF(Y1488=0,0,IF(T1488="Backlog",Q1488,Q1488*Dashboard!$C$10))</f>
        <v>0</v>
      </c>
      <c r="AA1488" s="37" t="n">
        <f aca="false">IF($N1488="",0,IF(COUNTIF(Dashboard!$C$13:$C$22,$N1488)&gt;0,1,0))</f>
        <v>0</v>
      </c>
      <c r="AB1488" s="37" t="str">
        <f aca="false">IF($N1488="","",IF(COUNTIF($N$8:$N1488,$N1488)=1,MAX($AB$7:$AB1487)+1,""))</f>
        <v/>
      </c>
    </row>
    <row r="1489" customFormat="false" ht="15" hidden="false" customHeight="false" outlineLevel="0" collapsed="false">
      <c r="L1489" s="37" t="str">
        <f aca="false">IF(INDEX($A1489:$J1489,$L$6)&lt;&gt;"",TRIM(LEFT(INDEX($A1489:$J1489,$L$6),FIND("(",INDEX($A1489:$J1489,$L$6)&amp;"(")-1)),L1488)</f>
        <v>Building Value Proposition</v>
      </c>
      <c r="M1489" s="37" t="str">
        <f aca="false">IF(INDEX($A1489:$J1489,$M$6)="","",INDEX($A1489:$J1489,$M$6)&amp;"")</f>
        <v/>
      </c>
      <c r="N1489" s="37" t="str">
        <f aca="false">IF($M1489="","",TRIM(INDEX($A1489:$J1489,$N$6)&amp;""))</f>
        <v/>
      </c>
      <c r="O1489" s="37" t="str">
        <f aca="false">IF($M1489="","",TRIM(INDEX($A1489:$J1489,$O$6)&amp;""))</f>
        <v/>
      </c>
      <c r="P1489" s="37" t="str">
        <f aca="false">IF($M1489="","",IFERROR(IF(INDEX(Settings!$B$41:$B$50,MATCH(O1489,Settings!$A$41:$A$50,0))&amp;""="","UNMAPPED",INDEX(Settings!$B$41:$B$50,MATCH(O1489,Settings!$A$41:$A$50,0))&amp;""),"UNMAPPED"))</f>
        <v/>
      </c>
      <c r="Q1489" s="38" t="n">
        <f aca="false">IF($M1489="",0,N(INDEX($A1489:$J1489,$Q$6)))</f>
        <v>0</v>
      </c>
      <c r="R1489" s="39" t="str">
        <f aca="false">IF($M1489="","",INDEX($A1489:$J1489,$R$6))</f>
        <v/>
      </c>
      <c r="S1489" s="37" t="str">
        <f aca="false">IF($M1489="","",IFERROR(INDEX(Settings!$B$27:$B$36,MATCH(L1489,Settings!$A$27:$A$36,0))&amp;"","UNMAPPED"))</f>
        <v/>
      </c>
      <c r="T1489" s="37" t="str">
        <f aca="false">IF($M1489="","",IF(NOT(ISNUMBER(R1489)),"NO DATE",IF(S1489="Won",IF(R1489&gt;Settings!$B$5,"Backlog","Delivered"),IF(S1489="Open",IF(R1489&gt;Settings!$B$5,"Pipeline","Overdue"),IF(S1489="Lost","Lost","UNMAPPED")))))</f>
        <v/>
      </c>
      <c r="U1489" s="40" t="n">
        <f aca="false">IF(T1489="Backlog",1,IF(OR(T1489="Pipeline",T1489="Overdue"),N(INDEX(Settings!$C$27:$C$36,MATCH(L1489,Settings!$A$27:$A$36,0))),0))</f>
        <v>0</v>
      </c>
      <c r="V1489" s="38" t="n">
        <f aca="false">Q1489*U1489</f>
        <v>0</v>
      </c>
      <c r="W1489" s="41" t="str">
        <f aca="false">IF($M1489="","",IF(T1489="Overdue",IF(Settings!$B$8="Yes",Settings!$B$7,""),IF(ISNUMBER(R1489),DATE(YEAR(R1489),MONTH(R1489),1),"")))</f>
        <v/>
      </c>
      <c r="X1489" s="38" t="n">
        <f aca="false">IF(AND(OR(T1489="Backlog",T1489="Pipeline",T1489="Overdue"),ISNUMBER(W1489)),IF(W1489&lt;=Settings!$B$6,V1489,0),0)</f>
        <v>0</v>
      </c>
      <c r="Y1489" s="38" t="n">
        <f aca="false">IF(AND(OR(T1489="Backlog",T1489="Pipeline",T1489="Overdue"),ISNUMBER(W1489)),IF(W1489&lt;=Settings!$B$6,Q1489,0),0)</f>
        <v>0</v>
      </c>
      <c r="Z1489" s="38" t="n">
        <f aca="false">IF(Y1489=0,0,IF(T1489="Backlog",Q1489,Q1489*Dashboard!$C$10))</f>
        <v>0</v>
      </c>
      <c r="AA1489" s="37" t="n">
        <f aca="false">IF($N1489="",0,IF(COUNTIF(Dashboard!$C$13:$C$22,$N1489)&gt;0,1,0))</f>
        <v>0</v>
      </c>
      <c r="AB1489" s="37" t="str">
        <f aca="false">IF($N1489="","",IF(COUNTIF($N$8:$N1489,$N1489)=1,MAX($AB$7:$AB1488)+1,""))</f>
        <v/>
      </c>
    </row>
    <row r="1490" customFormat="false" ht="15" hidden="false" customHeight="false" outlineLevel="0" collapsed="false">
      <c r="L1490" s="37" t="str">
        <f aca="false">IF(INDEX($A1490:$J1490,$L$6)&lt;&gt;"",TRIM(LEFT(INDEX($A1490:$J1490,$L$6),FIND("(",INDEX($A1490:$J1490,$L$6)&amp;"(")-1)),L1489)</f>
        <v>Building Value Proposition</v>
      </c>
      <c r="M1490" s="37" t="str">
        <f aca="false">IF(INDEX($A1490:$J1490,$M$6)="","",INDEX($A1490:$J1490,$M$6)&amp;"")</f>
        <v/>
      </c>
      <c r="N1490" s="37" t="str">
        <f aca="false">IF($M1490="","",TRIM(INDEX($A1490:$J1490,$N$6)&amp;""))</f>
        <v/>
      </c>
      <c r="O1490" s="37" t="str">
        <f aca="false">IF($M1490="","",TRIM(INDEX($A1490:$J1490,$O$6)&amp;""))</f>
        <v/>
      </c>
      <c r="P1490" s="37" t="str">
        <f aca="false">IF($M1490="","",IFERROR(IF(INDEX(Settings!$B$41:$B$50,MATCH(O1490,Settings!$A$41:$A$50,0))&amp;""="","UNMAPPED",INDEX(Settings!$B$41:$B$50,MATCH(O1490,Settings!$A$41:$A$50,0))&amp;""),"UNMAPPED"))</f>
        <v/>
      </c>
      <c r="Q1490" s="38" t="n">
        <f aca="false">IF($M1490="",0,N(INDEX($A1490:$J1490,$Q$6)))</f>
        <v>0</v>
      </c>
      <c r="R1490" s="39" t="str">
        <f aca="false">IF($M1490="","",INDEX($A1490:$J1490,$R$6))</f>
        <v/>
      </c>
      <c r="S1490" s="37" t="str">
        <f aca="false">IF($M1490="","",IFERROR(INDEX(Settings!$B$27:$B$36,MATCH(L1490,Settings!$A$27:$A$36,0))&amp;"","UNMAPPED"))</f>
        <v/>
      </c>
      <c r="T1490" s="37" t="str">
        <f aca="false">IF($M1490="","",IF(NOT(ISNUMBER(R1490)),"NO DATE",IF(S1490="Won",IF(R1490&gt;Settings!$B$5,"Backlog","Delivered"),IF(S1490="Open",IF(R1490&gt;Settings!$B$5,"Pipeline","Overdue"),IF(S1490="Lost","Lost","UNMAPPED")))))</f>
        <v/>
      </c>
      <c r="U1490" s="40" t="n">
        <f aca="false">IF(T1490="Backlog",1,IF(OR(T1490="Pipeline",T1490="Overdue"),N(INDEX(Settings!$C$27:$C$36,MATCH(L1490,Settings!$A$27:$A$36,0))),0))</f>
        <v>0</v>
      </c>
      <c r="V1490" s="38" t="n">
        <f aca="false">Q1490*U1490</f>
        <v>0</v>
      </c>
      <c r="W1490" s="41" t="str">
        <f aca="false">IF($M1490="","",IF(T1490="Overdue",IF(Settings!$B$8="Yes",Settings!$B$7,""),IF(ISNUMBER(R1490),DATE(YEAR(R1490),MONTH(R1490),1),"")))</f>
        <v/>
      </c>
      <c r="X1490" s="38" t="n">
        <f aca="false">IF(AND(OR(T1490="Backlog",T1490="Pipeline",T1490="Overdue"),ISNUMBER(W1490)),IF(W1490&lt;=Settings!$B$6,V1490,0),0)</f>
        <v>0</v>
      </c>
      <c r="Y1490" s="38" t="n">
        <f aca="false">IF(AND(OR(T1490="Backlog",T1490="Pipeline",T1490="Overdue"),ISNUMBER(W1490)),IF(W1490&lt;=Settings!$B$6,Q1490,0),0)</f>
        <v>0</v>
      </c>
      <c r="Z1490" s="38" t="n">
        <f aca="false">IF(Y1490=0,0,IF(T1490="Backlog",Q1490,Q1490*Dashboard!$C$10))</f>
        <v>0</v>
      </c>
      <c r="AA1490" s="37" t="n">
        <f aca="false">IF($N1490="",0,IF(COUNTIF(Dashboard!$C$13:$C$22,$N1490)&gt;0,1,0))</f>
        <v>0</v>
      </c>
      <c r="AB1490" s="37" t="str">
        <f aca="false">IF($N1490="","",IF(COUNTIF($N$8:$N1490,$N1490)=1,MAX($AB$7:$AB1489)+1,""))</f>
        <v/>
      </c>
    </row>
    <row r="1491" customFormat="false" ht="15" hidden="false" customHeight="false" outlineLevel="0" collapsed="false">
      <c r="L1491" s="37" t="str">
        <f aca="false">IF(INDEX($A1491:$J1491,$L$6)&lt;&gt;"",TRIM(LEFT(INDEX($A1491:$J1491,$L$6),FIND("(",INDEX($A1491:$J1491,$L$6)&amp;"(")-1)),L1490)</f>
        <v>Building Value Proposition</v>
      </c>
      <c r="M1491" s="37" t="str">
        <f aca="false">IF(INDEX($A1491:$J1491,$M$6)="","",INDEX($A1491:$J1491,$M$6)&amp;"")</f>
        <v/>
      </c>
      <c r="N1491" s="37" t="str">
        <f aca="false">IF($M1491="","",TRIM(INDEX($A1491:$J1491,$N$6)&amp;""))</f>
        <v/>
      </c>
      <c r="O1491" s="37" t="str">
        <f aca="false">IF($M1491="","",TRIM(INDEX($A1491:$J1491,$O$6)&amp;""))</f>
        <v/>
      </c>
      <c r="P1491" s="37" t="str">
        <f aca="false">IF($M1491="","",IFERROR(IF(INDEX(Settings!$B$41:$B$50,MATCH(O1491,Settings!$A$41:$A$50,0))&amp;""="","UNMAPPED",INDEX(Settings!$B$41:$B$50,MATCH(O1491,Settings!$A$41:$A$50,0))&amp;""),"UNMAPPED"))</f>
        <v/>
      </c>
      <c r="Q1491" s="38" t="n">
        <f aca="false">IF($M1491="",0,N(INDEX($A1491:$J1491,$Q$6)))</f>
        <v>0</v>
      </c>
      <c r="R1491" s="39" t="str">
        <f aca="false">IF($M1491="","",INDEX($A1491:$J1491,$R$6))</f>
        <v/>
      </c>
      <c r="S1491" s="37" t="str">
        <f aca="false">IF($M1491="","",IFERROR(INDEX(Settings!$B$27:$B$36,MATCH(L1491,Settings!$A$27:$A$36,0))&amp;"","UNMAPPED"))</f>
        <v/>
      </c>
      <c r="T1491" s="37" t="str">
        <f aca="false">IF($M1491="","",IF(NOT(ISNUMBER(R1491)),"NO DATE",IF(S1491="Won",IF(R1491&gt;Settings!$B$5,"Backlog","Delivered"),IF(S1491="Open",IF(R1491&gt;Settings!$B$5,"Pipeline","Overdue"),IF(S1491="Lost","Lost","UNMAPPED")))))</f>
        <v/>
      </c>
      <c r="U1491" s="40" t="n">
        <f aca="false">IF(T1491="Backlog",1,IF(OR(T1491="Pipeline",T1491="Overdue"),N(INDEX(Settings!$C$27:$C$36,MATCH(L1491,Settings!$A$27:$A$36,0))),0))</f>
        <v>0</v>
      </c>
      <c r="V1491" s="38" t="n">
        <f aca="false">Q1491*U1491</f>
        <v>0</v>
      </c>
      <c r="W1491" s="41" t="str">
        <f aca="false">IF($M1491="","",IF(T1491="Overdue",IF(Settings!$B$8="Yes",Settings!$B$7,""),IF(ISNUMBER(R1491),DATE(YEAR(R1491),MONTH(R1491),1),"")))</f>
        <v/>
      </c>
      <c r="X1491" s="38" t="n">
        <f aca="false">IF(AND(OR(T1491="Backlog",T1491="Pipeline",T1491="Overdue"),ISNUMBER(W1491)),IF(W1491&lt;=Settings!$B$6,V1491,0),0)</f>
        <v>0</v>
      </c>
      <c r="Y1491" s="38" t="n">
        <f aca="false">IF(AND(OR(T1491="Backlog",T1491="Pipeline",T1491="Overdue"),ISNUMBER(W1491)),IF(W1491&lt;=Settings!$B$6,Q1491,0),0)</f>
        <v>0</v>
      </c>
      <c r="Z1491" s="38" t="n">
        <f aca="false">IF(Y1491=0,0,IF(T1491="Backlog",Q1491,Q1491*Dashboard!$C$10))</f>
        <v>0</v>
      </c>
      <c r="AA1491" s="37" t="n">
        <f aca="false">IF($N1491="",0,IF(COUNTIF(Dashboard!$C$13:$C$22,$N1491)&gt;0,1,0))</f>
        <v>0</v>
      </c>
      <c r="AB1491" s="37" t="str">
        <f aca="false">IF($N1491="","",IF(COUNTIF($N$8:$N1491,$N1491)=1,MAX($AB$7:$AB1490)+1,""))</f>
        <v/>
      </c>
    </row>
    <row r="1492" customFormat="false" ht="15" hidden="false" customHeight="false" outlineLevel="0" collapsed="false">
      <c r="L1492" s="37" t="str">
        <f aca="false">IF(INDEX($A1492:$J1492,$L$6)&lt;&gt;"",TRIM(LEFT(INDEX($A1492:$J1492,$L$6),FIND("(",INDEX($A1492:$J1492,$L$6)&amp;"(")-1)),L1491)</f>
        <v>Building Value Proposition</v>
      </c>
      <c r="M1492" s="37" t="str">
        <f aca="false">IF(INDEX($A1492:$J1492,$M$6)="","",INDEX($A1492:$J1492,$M$6)&amp;"")</f>
        <v/>
      </c>
      <c r="N1492" s="37" t="str">
        <f aca="false">IF($M1492="","",TRIM(INDEX($A1492:$J1492,$N$6)&amp;""))</f>
        <v/>
      </c>
      <c r="O1492" s="37" t="str">
        <f aca="false">IF($M1492="","",TRIM(INDEX($A1492:$J1492,$O$6)&amp;""))</f>
        <v/>
      </c>
      <c r="P1492" s="37" t="str">
        <f aca="false">IF($M1492="","",IFERROR(IF(INDEX(Settings!$B$41:$B$50,MATCH(O1492,Settings!$A$41:$A$50,0))&amp;""="","UNMAPPED",INDEX(Settings!$B$41:$B$50,MATCH(O1492,Settings!$A$41:$A$50,0))&amp;""),"UNMAPPED"))</f>
        <v/>
      </c>
      <c r="Q1492" s="38" t="n">
        <f aca="false">IF($M1492="",0,N(INDEX($A1492:$J1492,$Q$6)))</f>
        <v>0</v>
      </c>
      <c r="R1492" s="39" t="str">
        <f aca="false">IF($M1492="","",INDEX($A1492:$J1492,$R$6))</f>
        <v/>
      </c>
      <c r="S1492" s="37" t="str">
        <f aca="false">IF($M1492="","",IFERROR(INDEX(Settings!$B$27:$B$36,MATCH(L1492,Settings!$A$27:$A$36,0))&amp;"","UNMAPPED"))</f>
        <v/>
      </c>
      <c r="T1492" s="37" t="str">
        <f aca="false">IF($M1492="","",IF(NOT(ISNUMBER(R1492)),"NO DATE",IF(S1492="Won",IF(R1492&gt;Settings!$B$5,"Backlog","Delivered"),IF(S1492="Open",IF(R1492&gt;Settings!$B$5,"Pipeline","Overdue"),IF(S1492="Lost","Lost","UNMAPPED")))))</f>
        <v/>
      </c>
      <c r="U1492" s="40" t="n">
        <f aca="false">IF(T1492="Backlog",1,IF(OR(T1492="Pipeline",T1492="Overdue"),N(INDEX(Settings!$C$27:$C$36,MATCH(L1492,Settings!$A$27:$A$36,0))),0))</f>
        <v>0</v>
      </c>
      <c r="V1492" s="38" t="n">
        <f aca="false">Q1492*U1492</f>
        <v>0</v>
      </c>
      <c r="W1492" s="41" t="str">
        <f aca="false">IF($M1492="","",IF(T1492="Overdue",IF(Settings!$B$8="Yes",Settings!$B$7,""),IF(ISNUMBER(R1492),DATE(YEAR(R1492),MONTH(R1492),1),"")))</f>
        <v/>
      </c>
      <c r="X1492" s="38" t="n">
        <f aca="false">IF(AND(OR(T1492="Backlog",T1492="Pipeline",T1492="Overdue"),ISNUMBER(W1492)),IF(W1492&lt;=Settings!$B$6,V1492,0),0)</f>
        <v>0</v>
      </c>
      <c r="Y1492" s="38" t="n">
        <f aca="false">IF(AND(OR(T1492="Backlog",T1492="Pipeline",T1492="Overdue"),ISNUMBER(W1492)),IF(W1492&lt;=Settings!$B$6,Q1492,0),0)</f>
        <v>0</v>
      </c>
      <c r="Z1492" s="38" t="n">
        <f aca="false">IF(Y1492=0,0,IF(T1492="Backlog",Q1492,Q1492*Dashboard!$C$10))</f>
        <v>0</v>
      </c>
      <c r="AA1492" s="37" t="n">
        <f aca="false">IF($N1492="",0,IF(COUNTIF(Dashboard!$C$13:$C$22,$N1492)&gt;0,1,0))</f>
        <v>0</v>
      </c>
      <c r="AB1492" s="37" t="str">
        <f aca="false">IF($N1492="","",IF(COUNTIF($N$8:$N1492,$N1492)=1,MAX($AB$7:$AB1491)+1,""))</f>
        <v/>
      </c>
    </row>
    <row r="1493" customFormat="false" ht="15" hidden="false" customHeight="false" outlineLevel="0" collapsed="false">
      <c r="L1493" s="37" t="str">
        <f aca="false">IF(INDEX($A1493:$J1493,$L$6)&lt;&gt;"",TRIM(LEFT(INDEX($A1493:$J1493,$L$6),FIND("(",INDEX($A1493:$J1493,$L$6)&amp;"(")-1)),L1492)</f>
        <v>Building Value Proposition</v>
      </c>
      <c r="M1493" s="37" t="str">
        <f aca="false">IF(INDEX($A1493:$J1493,$M$6)="","",INDEX($A1493:$J1493,$M$6)&amp;"")</f>
        <v/>
      </c>
      <c r="N1493" s="37" t="str">
        <f aca="false">IF($M1493="","",TRIM(INDEX($A1493:$J1493,$N$6)&amp;""))</f>
        <v/>
      </c>
      <c r="O1493" s="37" t="str">
        <f aca="false">IF($M1493="","",TRIM(INDEX($A1493:$J1493,$O$6)&amp;""))</f>
        <v/>
      </c>
      <c r="P1493" s="37" t="str">
        <f aca="false">IF($M1493="","",IFERROR(IF(INDEX(Settings!$B$41:$B$50,MATCH(O1493,Settings!$A$41:$A$50,0))&amp;""="","UNMAPPED",INDEX(Settings!$B$41:$B$50,MATCH(O1493,Settings!$A$41:$A$50,0))&amp;""),"UNMAPPED"))</f>
        <v/>
      </c>
      <c r="Q1493" s="38" t="n">
        <f aca="false">IF($M1493="",0,N(INDEX($A1493:$J1493,$Q$6)))</f>
        <v>0</v>
      </c>
      <c r="R1493" s="39" t="str">
        <f aca="false">IF($M1493="","",INDEX($A1493:$J1493,$R$6))</f>
        <v/>
      </c>
      <c r="S1493" s="37" t="str">
        <f aca="false">IF($M1493="","",IFERROR(INDEX(Settings!$B$27:$B$36,MATCH(L1493,Settings!$A$27:$A$36,0))&amp;"","UNMAPPED"))</f>
        <v/>
      </c>
      <c r="T1493" s="37" t="str">
        <f aca="false">IF($M1493="","",IF(NOT(ISNUMBER(R1493)),"NO DATE",IF(S1493="Won",IF(R1493&gt;Settings!$B$5,"Backlog","Delivered"),IF(S1493="Open",IF(R1493&gt;Settings!$B$5,"Pipeline","Overdue"),IF(S1493="Lost","Lost","UNMAPPED")))))</f>
        <v/>
      </c>
      <c r="U1493" s="40" t="n">
        <f aca="false">IF(T1493="Backlog",1,IF(OR(T1493="Pipeline",T1493="Overdue"),N(INDEX(Settings!$C$27:$C$36,MATCH(L1493,Settings!$A$27:$A$36,0))),0))</f>
        <v>0</v>
      </c>
      <c r="V1493" s="38" t="n">
        <f aca="false">Q1493*U1493</f>
        <v>0</v>
      </c>
      <c r="W1493" s="41" t="str">
        <f aca="false">IF($M1493="","",IF(T1493="Overdue",IF(Settings!$B$8="Yes",Settings!$B$7,""),IF(ISNUMBER(R1493),DATE(YEAR(R1493),MONTH(R1493),1),"")))</f>
        <v/>
      </c>
      <c r="X1493" s="38" t="n">
        <f aca="false">IF(AND(OR(T1493="Backlog",T1493="Pipeline",T1493="Overdue"),ISNUMBER(W1493)),IF(W1493&lt;=Settings!$B$6,V1493,0),0)</f>
        <v>0</v>
      </c>
      <c r="Y1493" s="38" t="n">
        <f aca="false">IF(AND(OR(T1493="Backlog",T1493="Pipeline",T1493="Overdue"),ISNUMBER(W1493)),IF(W1493&lt;=Settings!$B$6,Q1493,0),0)</f>
        <v>0</v>
      </c>
      <c r="Z1493" s="38" t="n">
        <f aca="false">IF(Y1493=0,0,IF(T1493="Backlog",Q1493,Q1493*Dashboard!$C$10))</f>
        <v>0</v>
      </c>
      <c r="AA1493" s="37" t="n">
        <f aca="false">IF($N1493="",0,IF(COUNTIF(Dashboard!$C$13:$C$22,$N1493)&gt;0,1,0))</f>
        <v>0</v>
      </c>
      <c r="AB1493" s="37" t="str">
        <f aca="false">IF($N1493="","",IF(COUNTIF($N$8:$N1493,$N1493)=1,MAX($AB$7:$AB1492)+1,""))</f>
        <v/>
      </c>
    </row>
    <row r="1494" customFormat="false" ht="15" hidden="false" customHeight="false" outlineLevel="0" collapsed="false">
      <c r="L1494" s="37" t="str">
        <f aca="false">IF(INDEX($A1494:$J1494,$L$6)&lt;&gt;"",TRIM(LEFT(INDEX($A1494:$J1494,$L$6),FIND("(",INDEX($A1494:$J1494,$L$6)&amp;"(")-1)),L1493)</f>
        <v>Building Value Proposition</v>
      </c>
      <c r="M1494" s="37" t="str">
        <f aca="false">IF(INDEX($A1494:$J1494,$M$6)="","",INDEX($A1494:$J1494,$M$6)&amp;"")</f>
        <v/>
      </c>
      <c r="N1494" s="37" t="str">
        <f aca="false">IF($M1494="","",TRIM(INDEX($A1494:$J1494,$N$6)&amp;""))</f>
        <v/>
      </c>
      <c r="O1494" s="37" t="str">
        <f aca="false">IF($M1494="","",TRIM(INDEX($A1494:$J1494,$O$6)&amp;""))</f>
        <v/>
      </c>
      <c r="P1494" s="37" t="str">
        <f aca="false">IF($M1494="","",IFERROR(IF(INDEX(Settings!$B$41:$B$50,MATCH(O1494,Settings!$A$41:$A$50,0))&amp;""="","UNMAPPED",INDEX(Settings!$B$41:$B$50,MATCH(O1494,Settings!$A$41:$A$50,0))&amp;""),"UNMAPPED"))</f>
        <v/>
      </c>
      <c r="Q1494" s="38" t="n">
        <f aca="false">IF($M1494="",0,N(INDEX($A1494:$J1494,$Q$6)))</f>
        <v>0</v>
      </c>
      <c r="R1494" s="39" t="str">
        <f aca="false">IF($M1494="","",INDEX($A1494:$J1494,$R$6))</f>
        <v/>
      </c>
      <c r="S1494" s="37" t="str">
        <f aca="false">IF($M1494="","",IFERROR(INDEX(Settings!$B$27:$B$36,MATCH(L1494,Settings!$A$27:$A$36,0))&amp;"","UNMAPPED"))</f>
        <v/>
      </c>
      <c r="T1494" s="37" t="str">
        <f aca="false">IF($M1494="","",IF(NOT(ISNUMBER(R1494)),"NO DATE",IF(S1494="Won",IF(R1494&gt;Settings!$B$5,"Backlog","Delivered"),IF(S1494="Open",IF(R1494&gt;Settings!$B$5,"Pipeline","Overdue"),IF(S1494="Lost","Lost","UNMAPPED")))))</f>
        <v/>
      </c>
      <c r="U1494" s="40" t="n">
        <f aca="false">IF(T1494="Backlog",1,IF(OR(T1494="Pipeline",T1494="Overdue"),N(INDEX(Settings!$C$27:$C$36,MATCH(L1494,Settings!$A$27:$A$36,0))),0))</f>
        <v>0</v>
      </c>
      <c r="V1494" s="38" t="n">
        <f aca="false">Q1494*U1494</f>
        <v>0</v>
      </c>
      <c r="W1494" s="41" t="str">
        <f aca="false">IF($M1494="","",IF(T1494="Overdue",IF(Settings!$B$8="Yes",Settings!$B$7,""),IF(ISNUMBER(R1494),DATE(YEAR(R1494),MONTH(R1494),1),"")))</f>
        <v/>
      </c>
      <c r="X1494" s="38" t="n">
        <f aca="false">IF(AND(OR(T1494="Backlog",T1494="Pipeline",T1494="Overdue"),ISNUMBER(W1494)),IF(W1494&lt;=Settings!$B$6,V1494,0),0)</f>
        <v>0</v>
      </c>
      <c r="Y1494" s="38" t="n">
        <f aca="false">IF(AND(OR(T1494="Backlog",T1494="Pipeline",T1494="Overdue"),ISNUMBER(W1494)),IF(W1494&lt;=Settings!$B$6,Q1494,0),0)</f>
        <v>0</v>
      </c>
      <c r="Z1494" s="38" t="n">
        <f aca="false">IF(Y1494=0,0,IF(T1494="Backlog",Q1494,Q1494*Dashboard!$C$10))</f>
        <v>0</v>
      </c>
      <c r="AA1494" s="37" t="n">
        <f aca="false">IF($N1494="",0,IF(COUNTIF(Dashboard!$C$13:$C$22,$N1494)&gt;0,1,0))</f>
        <v>0</v>
      </c>
      <c r="AB1494" s="37" t="str">
        <f aca="false">IF($N1494="","",IF(COUNTIF($N$8:$N1494,$N1494)=1,MAX($AB$7:$AB1493)+1,""))</f>
        <v/>
      </c>
    </row>
    <row r="1495" customFormat="false" ht="15" hidden="false" customHeight="false" outlineLevel="0" collapsed="false">
      <c r="L1495" s="37" t="str">
        <f aca="false">IF(INDEX($A1495:$J1495,$L$6)&lt;&gt;"",TRIM(LEFT(INDEX($A1495:$J1495,$L$6),FIND("(",INDEX($A1495:$J1495,$L$6)&amp;"(")-1)),L1494)</f>
        <v>Building Value Proposition</v>
      </c>
      <c r="M1495" s="37" t="str">
        <f aca="false">IF(INDEX($A1495:$J1495,$M$6)="","",INDEX($A1495:$J1495,$M$6)&amp;"")</f>
        <v/>
      </c>
      <c r="N1495" s="37" t="str">
        <f aca="false">IF($M1495="","",TRIM(INDEX($A1495:$J1495,$N$6)&amp;""))</f>
        <v/>
      </c>
      <c r="O1495" s="37" t="str">
        <f aca="false">IF($M1495="","",TRIM(INDEX($A1495:$J1495,$O$6)&amp;""))</f>
        <v/>
      </c>
      <c r="P1495" s="37" t="str">
        <f aca="false">IF($M1495="","",IFERROR(IF(INDEX(Settings!$B$41:$B$50,MATCH(O1495,Settings!$A$41:$A$50,0))&amp;""="","UNMAPPED",INDEX(Settings!$B$41:$B$50,MATCH(O1495,Settings!$A$41:$A$50,0))&amp;""),"UNMAPPED"))</f>
        <v/>
      </c>
      <c r="Q1495" s="38" t="n">
        <f aca="false">IF($M1495="",0,N(INDEX($A1495:$J1495,$Q$6)))</f>
        <v>0</v>
      </c>
      <c r="R1495" s="39" t="str">
        <f aca="false">IF($M1495="","",INDEX($A1495:$J1495,$R$6))</f>
        <v/>
      </c>
      <c r="S1495" s="37" t="str">
        <f aca="false">IF($M1495="","",IFERROR(INDEX(Settings!$B$27:$B$36,MATCH(L1495,Settings!$A$27:$A$36,0))&amp;"","UNMAPPED"))</f>
        <v/>
      </c>
      <c r="T1495" s="37" t="str">
        <f aca="false">IF($M1495="","",IF(NOT(ISNUMBER(R1495)),"NO DATE",IF(S1495="Won",IF(R1495&gt;Settings!$B$5,"Backlog","Delivered"),IF(S1495="Open",IF(R1495&gt;Settings!$B$5,"Pipeline","Overdue"),IF(S1495="Lost","Lost","UNMAPPED")))))</f>
        <v/>
      </c>
      <c r="U1495" s="40" t="n">
        <f aca="false">IF(T1495="Backlog",1,IF(OR(T1495="Pipeline",T1495="Overdue"),N(INDEX(Settings!$C$27:$C$36,MATCH(L1495,Settings!$A$27:$A$36,0))),0))</f>
        <v>0</v>
      </c>
      <c r="V1495" s="38" t="n">
        <f aca="false">Q1495*U1495</f>
        <v>0</v>
      </c>
      <c r="W1495" s="41" t="str">
        <f aca="false">IF($M1495="","",IF(T1495="Overdue",IF(Settings!$B$8="Yes",Settings!$B$7,""),IF(ISNUMBER(R1495),DATE(YEAR(R1495),MONTH(R1495),1),"")))</f>
        <v/>
      </c>
      <c r="X1495" s="38" t="n">
        <f aca="false">IF(AND(OR(T1495="Backlog",T1495="Pipeline",T1495="Overdue"),ISNUMBER(W1495)),IF(W1495&lt;=Settings!$B$6,V1495,0),0)</f>
        <v>0</v>
      </c>
      <c r="Y1495" s="38" t="n">
        <f aca="false">IF(AND(OR(T1495="Backlog",T1495="Pipeline",T1495="Overdue"),ISNUMBER(W1495)),IF(W1495&lt;=Settings!$B$6,Q1495,0),0)</f>
        <v>0</v>
      </c>
      <c r="Z1495" s="38" t="n">
        <f aca="false">IF(Y1495=0,0,IF(T1495="Backlog",Q1495,Q1495*Dashboard!$C$10))</f>
        <v>0</v>
      </c>
      <c r="AA1495" s="37" t="n">
        <f aca="false">IF($N1495="",0,IF(COUNTIF(Dashboard!$C$13:$C$22,$N1495)&gt;0,1,0))</f>
        <v>0</v>
      </c>
      <c r="AB1495" s="37" t="str">
        <f aca="false">IF($N1495="","",IF(COUNTIF($N$8:$N1495,$N1495)=1,MAX($AB$7:$AB1494)+1,""))</f>
        <v/>
      </c>
    </row>
    <row r="1496" customFormat="false" ht="15" hidden="false" customHeight="false" outlineLevel="0" collapsed="false">
      <c r="L1496" s="37" t="str">
        <f aca="false">IF(INDEX($A1496:$J1496,$L$6)&lt;&gt;"",TRIM(LEFT(INDEX($A1496:$J1496,$L$6),FIND("(",INDEX($A1496:$J1496,$L$6)&amp;"(")-1)),L1495)</f>
        <v>Building Value Proposition</v>
      </c>
      <c r="M1496" s="37" t="str">
        <f aca="false">IF(INDEX($A1496:$J1496,$M$6)="","",INDEX($A1496:$J1496,$M$6)&amp;"")</f>
        <v/>
      </c>
      <c r="N1496" s="37" t="str">
        <f aca="false">IF($M1496="","",TRIM(INDEX($A1496:$J1496,$N$6)&amp;""))</f>
        <v/>
      </c>
      <c r="O1496" s="37" t="str">
        <f aca="false">IF($M1496="","",TRIM(INDEX($A1496:$J1496,$O$6)&amp;""))</f>
        <v/>
      </c>
      <c r="P1496" s="37" t="str">
        <f aca="false">IF($M1496="","",IFERROR(IF(INDEX(Settings!$B$41:$B$50,MATCH(O1496,Settings!$A$41:$A$50,0))&amp;""="","UNMAPPED",INDEX(Settings!$B$41:$B$50,MATCH(O1496,Settings!$A$41:$A$50,0))&amp;""),"UNMAPPED"))</f>
        <v/>
      </c>
      <c r="Q1496" s="38" t="n">
        <f aca="false">IF($M1496="",0,N(INDEX($A1496:$J1496,$Q$6)))</f>
        <v>0</v>
      </c>
      <c r="R1496" s="39" t="str">
        <f aca="false">IF($M1496="","",INDEX($A1496:$J1496,$R$6))</f>
        <v/>
      </c>
      <c r="S1496" s="37" t="str">
        <f aca="false">IF($M1496="","",IFERROR(INDEX(Settings!$B$27:$B$36,MATCH(L1496,Settings!$A$27:$A$36,0))&amp;"","UNMAPPED"))</f>
        <v/>
      </c>
      <c r="T1496" s="37" t="str">
        <f aca="false">IF($M1496="","",IF(NOT(ISNUMBER(R1496)),"NO DATE",IF(S1496="Won",IF(R1496&gt;Settings!$B$5,"Backlog","Delivered"),IF(S1496="Open",IF(R1496&gt;Settings!$B$5,"Pipeline","Overdue"),IF(S1496="Lost","Lost","UNMAPPED")))))</f>
        <v/>
      </c>
      <c r="U1496" s="40" t="n">
        <f aca="false">IF(T1496="Backlog",1,IF(OR(T1496="Pipeline",T1496="Overdue"),N(INDEX(Settings!$C$27:$C$36,MATCH(L1496,Settings!$A$27:$A$36,0))),0))</f>
        <v>0</v>
      </c>
      <c r="V1496" s="38" t="n">
        <f aca="false">Q1496*U1496</f>
        <v>0</v>
      </c>
      <c r="W1496" s="41" t="str">
        <f aca="false">IF($M1496="","",IF(T1496="Overdue",IF(Settings!$B$8="Yes",Settings!$B$7,""),IF(ISNUMBER(R1496),DATE(YEAR(R1496),MONTH(R1496),1),"")))</f>
        <v/>
      </c>
      <c r="X1496" s="38" t="n">
        <f aca="false">IF(AND(OR(T1496="Backlog",T1496="Pipeline",T1496="Overdue"),ISNUMBER(W1496)),IF(W1496&lt;=Settings!$B$6,V1496,0),0)</f>
        <v>0</v>
      </c>
      <c r="Y1496" s="38" t="n">
        <f aca="false">IF(AND(OR(T1496="Backlog",T1496="Pipeline",T1496="Overdue"),ISNUMBER(W1496)),IF(W1496&lt;=Settings!$B$6,Q1496,0),0)</f>
        <v>0</v>
      </c>
      <c r="Z1496" s="38" t="n">
        <f aca="false">IF(Y1496=0,0,IF(T1496="Backlog",Q1496,Q1496*Dashboard!$C$10))</f>
        <v>0</v>
      </c>
      <c r="AA1496" s="37" t="n">
        <f aca="false">IF($N1496="",0,IF(COUNTIF(Dashboard!$C$13:$C$22,$N1496)&gt;0,1,0))</f>
        <v>0</v>
      </c>
      <c r="AB1496" s="37" t="str">
        <f aca="false">IF($N1496="","",IF(COUNTIF($N$8:$N1496,$N1496)=1,MAX($AB$7:$AB1495)+1,""))</f>
        <v/>
      </c>
    </row>
    <row r="1497" customFormat="false" ht="15" hidden="false" customHeight="false" outlineLevel="0" collapsed="false">
      <c r="L1497" s="37" t="str">
        <f aca="false">IF(INDEX($A1497:$J1497,$L$6)&lt;&gt;"",TRIM(LEFT(INDEX($A1497:$J1497,$L$6),FIND("(",INDEX($A1497:$J1497,$L$6)&amp;"(")-1)),L1496)</f>
        <v>Building Value Proposition</v>
      </c>
      <c r="M1497" s="37" t="str">
        <f aca="false">IF(INDEX($A1497:$J1497,$M$6)="","",INDEX($A1497:$J1497,$M$6)&amp;"")</f>
        <v/>
      </c>
      <c r="N1497" s="37" t="str">
        <f aca="false">IF($M1497="","",TRIM(INDEX($A1497:$J1497,$N$6)&amp;""))</f>
        <v/>
      </c>
      <c r="O1497" s="37" t="str">
        <f aca="false">IF($M1497="","",TRIM(INDEX($A1497:$J1497,$O$6)&amp;""))</f>
        <v/>
      </c>
      <c r="P1497" s="37" t="str">
        <f aca="false">IF($M1497="","",IFERROR(IF(INDEX(Settings!$B$41:$B$50,MATCH(O1497,Settings!$A$41:$A$50,0))&amp;""="","UNMAPPED",INDEX(Settings!$B$41:$B$50,MATCH(O1497,Settings!$A$41:$A$50,0))&amp;""),"UNMAPPED"))</f>
        <v/>
      </c>
      <c r="Q1497" s="38" t="n">
        <f aca="false">IF($M1497="",0,N(INDEX($A1497:$J1497,$Q$6)))</f>
        <v>0</v>
      </c>
      <c r="R1497" s="39" t="str">
        <f aca="false">IF($M1497="","",INDEX($A1497:$J1497,$R$6))</f>
        <v/>
      </c>
      <c r="S1497" s="37" t="str">
        <f aca="false">IF($M1497="","",IFERROR(INDEX(Settings!$B$27:$B$36,MATCH(L1497,Settings!$A$27:$A$36,0))&amp;"","UNMAPPED"))</f>
        <v/>
      </c>
      <c r="T1497" s="37" t="str">
        <f aca="false">IF($M1497="","",IF(NOT(ISNUMBER(R1497)),"NO DATE",IF(S1497="Won",IF(R1497&gt;Settings!$B$5,"Backlog","Delivered"),IF(S1497="Open",IF(R1497&gt;Settings!$B$5,"Pipeline","Overdue"),IF(S1497="Lost","Lost","UNMAPPED")))))</f>
        <v/>
      </c>
      <c r="U1497" s="40" t="n">
        <f aca="false">IF(T1497="Backlog",1,IF(OR(T1497="Pipeline",T1497="Overdue"),N(INDEX(Settings!$C$27:$C$36,MATCH(L1497,Settings!$A$27:$A$36,0))),0))</f>
        <v>0</v>
      </c>
      <c r="V1497" s="38" t="n">
        <f aca="false">Q1497*U1497</f>
        <v>0</v>
      </c>
      <c r="W1497" s="41" t="str">
        <f aca="false">IF($M1497="","",IF(T1497="Overdue",IF(Settings!$B$8="Yes",Settings!$B$7,""),IF(ISNUMBER(R1497),DATE(YEAR(R1497),MONTH(R1497),1),"")))</f>
        <v/>
      </c>
      <c r="X1497" s="38" t="n">
        <f aca="false">IF(AND(OR(T1497="Backlog",T1497="Pipeline",T1497="Overdue"),ISNUMBER(W1497)),IF(W1497&lt;=Settings!$B$6,V1497,0),0)</f>
        <v>0</v>
      </c>
      <c r="Y1497" s="38" t="n">
        <f aca="false">IF(AND(OR(T1497="Backlog",T1497="Pipeline",T1497="Overdue"),ISNUMBER(W1497)),IF(W1497&lt;=Settings!$B$6,Q1497,0),0)</f>
        <v>0</v>
      </c>
      <c r="Z1497" s="38" t="n">
        <f aca="false">IF(Y1497=0,0,IF(T1497="Backlog",Q1497,Q1497*Dashboard!$C$10))</f>
        <v>0</v>
      </c>
      <c r="AA1497" s="37" t="n">
        <f aca="false">IF($N1497="",0,IF(COUNTIF(Dashboard!$C$13:$C$22,$N1497)&gt;0,1,0))</f>
        <v>0</v>
      </c>
      <c r="AB1497" s="37" t="str">
        <f aca="false">IF($N1497="","",IF(COUNTIF($N$8:$N1497,$N1497)=1,MAX($AB$7:$AB1496)+1,""))</f>
        <v/>
      </c>
    </row>
    <row r="1498" customFormat="false" ht="15" hidden="false" customHeight="false" outlineLevel="0" collapsed="false">
      <c r="L1498" s="37" t="str">
        <f aca="false">IF(INDEX($A1498:$J1498,$L$6)&lt;&gt;"",TRIM(LEFT(INDEX($A1498:$J1498,$L$6),FIND("(",INDEX($A1498:$J1498,$L$6)&amp;"(")-1)),L1497)</f>
        <v>Building Value Proposition</v>
      </c>
      <c r="M1498" s="37" t="str">
        <f aca="false">IF(INDEX($A1498:$J1498,$M$6)="","",INDEX($A1498:$J1498,$M$6)&amp;"")</f>
        <v/>
      </c>
      <c r="N1498" s="37" t="str">
        <f aca="false">IF($M1498="","",TRIM(INDEX($A1498:$J1498,$N$6)&amp;""))</f>
        <v/>
      </c>
      <c r="O1498" s="37" t="str">
        <f aca="false">IF($M1498="","",TRIM(INDEX($A1498:$J1498,$O$6)&amp;""))</f>
        <v/>
      </c>
      <c r="P1498" s="37" t="str">
        <f aca="false">IF($M1498="","",IFERROR(IF(INDEX(Settings!$B$41:$B$50,MATCH(O1498,Settings!$A$41:$A$50,0))&amp;""="","UNMAPPED",INDEX(Settings!$B$41:$B$50,MATCH(O1498,Settings!$A$41:$A$50,0))&amp;""),"UNMAPPED"))</f>
        <v/>
      </c>
      <c r="Q1498" s="38" t="n">
        <f aca="false">IF($M1498="",0,N(INDEX($A1498:$J1498,$Q$6)))</f>
        <v>0</v>
      </c>
      <c r="R1498" s="39" t="str">
        <f aca="false">IF($M1498="","",INDEX($A1498:$J1498,$R$6))</f>
        <v/>
      </c>
      <c r="S1498" s="37" t="str">
        <f aca="false">IF($M1498="","",IFERROR(INDEX(Settings!$B$27:$B$36,MATCH(L1498,Settings!$A$27:$A$36,0))&amp;"","UNMAPPED"))</f>
        <v/>
      </c>
      <c r="T1498" s="37" t="str">
        <f aca="false">IF($M1498="","",IF(NOT(ISNUMBER(R1498)),"NO DATE",IF(S1498="Won",IF(R1498&gt;Settings!$B$5,"Backlog","Delivered"),IF(S1498="Open",IF(R1498&gt;Settings!$B$5,"Pipeline","Overdue"),IF(S1498="Lost","Lost","UNMAPPED")))))</f>
        <v/>
      </c>
      <c r="U1498" s="40" t="n">
        <f aca="false">IF(T1498="Backlog",1,IF(OR(T1498="Pipeline",T1498="Overdue"),N(INDEX(Settings!$C$27:$C$36,MATCH(L1498,Settings!$A$27:$A$36,0))),0))</f>
        <v>0</v>
      </c>
      <c r="V1498" s="38" t="n">
        <f aca="false">Q1498*U1498</f>
        <v>0</v>
      </c>
      <c r="W1498" s="41" t="str">
        <f aca="false">IF($M1498="","",IF(T1498="Overdue",IF(Settings!$B$8="Yes",Settings!$B$7,""),IF(ISNUMBER(R1498),DATE(YEAR(R1498),MONTH(R1498),1),"")))</f>
        <v/>
      </c>
      <c r="X1498" s="38" t="n">
        <f aca="false">IF(AND(OR(T1498="Backlog",T1498="Pipeline",T1498="Overdue"),ISNUMBER(W1498)),IF(W1498&lt;=Settings!$B$6,V1498,0),0)</f>
        <v>0</v>
      </c>
      <c r="Y1498" s="38" t="n">
        <f aca="false">IF(AND(OR(T1498="Backlog",T1498="Pipeline",T1498="Overdue"),ISNUMBER(W1498)),IF(W1498&lt;=Settings!$B$6,Q1498,0),0)</f>
        <v>0</v>
      </c>
      <c r="Z1498" s="38" t="n">
        <f aca="false">IF(Y1498=0,0,IF(T1498="Backlog",Q1498,Q1498*Dashboard!$C$10))</f>
        <v>0</v>
      </c>
      <c r="AA1498" s="37" t="n">
        <f aca="false">IF($N1498="",0,IF(COUNTIF(Dashboard!$C$13:$C$22,$N1498)&gt;0,1,0))</f>
        <v>0</v>
      </c>
      <c r="AB1498" s="37" t="str">
        <f aca="false">IF($N1498="","",IF(COUNTIF($N$8:$N1498,$N1498)=1,MAX($AB$7:$AB1497)+1,""))</f>
        <v/>
      </c>
    </row>
    <row r="1499" customFormat="false" ht="15" hidden="false" customHeight="false" outlineLevel="0" collapsed="false">
      <c r="L1499" s="37" t="str">
        <f aca="false">IF(INDEX($A1499:$J1499,$L$6)&lt;&gt;"",TRIM(LEFT(INDEX($A1499:$J1499,$L$6),FIND("(",INDEX($A1499:$J1499,$L$6)&amp;"(")-1)),L1498)</f>
        <v>Building Value Proposition</v>
      </c>
      <c r="M1499" s="37" t="str">
        <f aca="false">IF(INDEX($A1499:$J1499,$M$6)="","",INDEX($A1499:$J1499,$M$6)&amp;"")</f>
        <v/>
      </c>
      <c r="N1499" s="37" t="str">
        <f aca="false">IF($M1499="","",TRIM(INDEX($A1499:$J1499,$N$6)&amp;""))</f>
        <v/>
      </c>
      <c r="O1499" s="37" t="str">
        <f aca="false">IF($M1499="","",TRIM(INDEX($A1499:$J1499,$O$6)&amp;""))</f>
        <v/>
      </c>
      <c r="P1499" s="37" t="str">
        <f aca="false">IF($M1499="","",IFERROR(IF(INDEX(Settings!$B$41:$B$50,MATCH(O1499,Settings!$A$41:$A$50,0))&amp;""="","UNMAPPED",INDEX(Settings!$B$41:$B$50,MATCH(O1499,Settings!$A$41:$A$50,0))&amp;""),"UNMAPPED"))</f>
        <v/>
      </c>
      <c r="Q1499" s="38" t="n">
        <f aca="false">IF($M1499="",0,N(INDEX($A1499:$J1499,$Q$6)))</f>
        <v>0</v>
      </c>
      <c r="R1499" s="39" t="str">
        <f aca="false">IF($M1499="","",INDEX($A1499:$J1499,$R$6))</f>
        <v/>
      </c>
      <c r="S1499" s="37" t="str">
        <f aca="false">IF($M1499="","",IFERROR(INDEX(Settings!$B$27:$B$36,MATCH(L1499,Settings!$A$27:$A$36,0))&amp;"","UNMAPPED"))</f>
        <v/>
      </c>
      <c r="T1499" s="37" t="str">
        <f aca="false">IF($M1499="","",IF(NOT(ISNUMBER(R1499)),"NO DATE",IF(S1499="Won",IF(R1499&gt;Settings!$B$5,"Backlog","Delivered"),IF(S1499="Open",IF(R1499&gt;Settings!$B$5,"Pipeline","Overdue"),IF(S1499="Lost","Lost","UNMAPPED")))))</f>
        <v/>
      </c>
      <c r="U1499" s="40" t="n">
        <f aca="false">IF(T1499="Backlog",1,IF(OR(T1499="Pipeline",T1499="Overdue"),N(INDEX(Settings!$C$27:$C$36,MATCH(L1499,Settings!$A$27:$A$36,0))),0))</f>
        <v>0</v>
      </c>
      <c r="V1499" s="38" t="n">
        <f aca="false">Q1499*U1499</f>
        <v>0</v>
      </c>
      <c r="W1499" s="41" t="str">
        <f aca="false">IF($M1499="","",IF(T1499="Overdue",IF(Settings!$B$8="Yes",Settings!$B$7,""),IF(ISNUMBER(R1499),DATE(YEAR(R1499),MONTH(R1499),1),"")))</f>
        <v/>
      </c>
      <c r="X1499" s="38" t="n">
        <f aca="false">IF(AND(OR(T1499="Backlog",T1499="Pipeline",T1499="Overdue"),ISNUMBER(W1499)),IF(W1499&lt;=Settings!$B$6,V1499,0),0)</f>
        <v>0</v>
      </c>
      <c r="Y1499" s="38" t="n">
        <f aca="false">IF(AND(OR(T1499="Backlog",T1499="Pipeline",T1499="Overdue"),ISNUMBER(W1499)),IF(W1499&lt;=Settings!$B$6,Q1499,0),0)</f>
        <v>0</v>
      </c>
      <c r="Z1499" s="38" t="n">
        <f aca="false">IF(Y1499=0,0,IF(T1499="Backlog",Q1499,Q1499*Dashboard!$C$10))</f>
        <v>0</v>
      </c>
      <c r="AA1499" s="37" t="n">
        <f aca="false">IF($N1499="",0,IF(COUNTIF(Dashboard!$C$13:$C$22,$N1499)&gt;0,1,0))</f>
        <v>0</v>
      </c>
      <c r="AB1499" s="37" t="str">
        <f aca="false">IF($N1499="","",IF(COUNTIF($N$8:$N1499,$N1499)=1,MAX($AB$7:$AB1498)+1,""))</f>
        <v/>
      </c>
    </row>
    <row r="1500" customFormat="false" ht="15" hidden="false" customHeight="false" outlineLevel="0" collapsed="false">
      <c r="L1500" s="37" t="str">
        <f aca="false">IF(INDEX($A1500:$J1500,$L$6)&lt;&gt;"",TRIM(LEFT(INDEX($A1500:$J1500,$L$6),FIND("(",INDEX($A1500:$J1500,$L$6)&amp;"(")-1)),L1499)</f>
        <v>Building Value Proposition</v>
      </c>
      <c r="M1500" s="37" t="str">
        <f aca="false">IF(INDEX($A1500:$J1500,$M$6)="","",INDEX($A1500:$J1500,$M$6)&amp;"")</f>
        <v/>
      </c>
      <c r="N1500" s="37" t="str">
        <f aca="false">IF($M1500="","",TRIM(INDEX($A1500:$J1500,$N$6)&amp;""))</f>
        <v/>
      </c>
      <c r="O1500" s="37" t="str">
        <f aca="false">IF($M1500="","",TRIM(INDEX($A1500:$J1500,$O$6)&amp;""))</f>
        <v/>
      </c>
      <c r="P1500" s="37" t="str">
        <f aca="false">IF($M1500="","",IFERROR(IF(INDEX(Settings!$B$41:$B$50,MATCH(O1500,Settings!$A$41:$A$50,0))&amp;""="","UNMAPPED",INDEX(Settings!$B$41:$B$50,MATCH(O1500,Settings!$A$41:$A$50,0))&amp;""),"UNMAPPED"))</f>
        <v/>
      </c>
      <c r="Q1500" s="38" t="n">
        <f aca="false">IF($M1500="",0,N(INDEX($A1500:$J1500,$Q$6)))</f>
        <v>0</v>
      </c>
      <c r="R1500" s="39" t="str">
        <f aca="false">IF($M1500="","",INDEX($A1500:$J1500,$R$6))</f>
        <v/>
      </c>
      <c r="S1500" s="37" t="str">
        <f aca="false">IF($M1500="","",IFERROR(INDEX(Settings!$B$27:$B$36,MATCH(L1500,Settings!$A$27:$A$36,0))&amp;"","UNMAPPED"))</f>
        <v/>
      </c>
      <c r="T1500" s="37" t="str">
        <f aca="false">IF($M1500="","",IF(NOT(ISNUMBER(R1500)),"NO DATE",IF(S1500="Won",IF(R1500&gt;Settings!$B$5,"Backlog","Delivered"),IF(S1500="Open",IF(R1500&gt;Settings!$B$5,"Pipeline","Overdue"),IF(S1500="Lost","Lost","UNMAPPED")))))</f>
        <v/>
      </c>
      <c r="U1500" s="40" t="n">
        <f aca="false">IF(T1500="Backlog",1,IF(OR(T1500="Pipeline",T1500="Overdue"),N(INDEX(Settings!$C$27:$C$36,MATCH(L1500,Settings!$A$27:$A$36,0))),0))</f>
        <v>0</v>
      </c>
      <c r="V1500" s="38" t="n">
        <f aca="false">Q1500*U1500</f>
        <v>0</v>
      </c>
      <c r="W1500" s="41" t="str">
        <f aca="false">IF($M1500="","",IF(T1500="Overdue",IF(Settings!$B$8="Yes",Settings!$B$7,""),IF(ISNUMBER(R1500),DATE(YEAR(R1500),MONTH(R1500),1),"")))</f>
        <v/>
      </c>
      <c r="X1500" s="38" t="n">
        <f aca="false">IF(AND(OR(T1500="Backlog",T1500="Pipeline",T1500="Overdue"),ISNUMBER(W1500)),IF(W1500&lt;=Settings!$B$6,V1500,0),0)</f>
        <v>0</v>
      </c>
      <c r="Y1500" s="38" t="n">
        <f aca="false">IF(AND(OR(T1500="Backlog",T1500="Pipeline",T1500="Overdue"),ISNUMBER(W1500)),IF(W1500&lt;=Settings!$B$6,Q1500,0),0)</f>
        <v>0</v>
      </c>
      <c r="Z1500" s="38" t="n">
        <f aca="false">IF(Y1500=0,0,IF(T1500="Backlog",Q1500,Q1500*Dashboard!$C$10))</f>
        <v>0</v>
      </c>
      <c r="AA1500" s="37" t="n">
        <f aca="false">IF($N1500="",0,IF(COUNTIF(Dashboard!$C$13:$C$22,$N1500)&gt;0,1,0))</f>
        <v>0</v>
      </c>
      <c r="AB1500" s="37" t="str">
        <f aca="false">IF($N1500="","",IF(COUNTIF($N$8:$N1500,$N1500)=1,MAX($AB$7:$AB1499)+1,""))</f>
        <v/>
      </c>
    </row>
    <row r="1501" customFormat="false" ht="15" hidden="false" customHeight="false" outlineLevel="0" collapsed="false">
      <c r="L1501" s="37" t="str">
        <f aca="false">IF(INDEX($A1501:$J1501,$L$6)&lt;&gt;"",TRIM(LEFT(INDEX($A1501:$J1501,$L$6),FIND("(",INDEX($A1501:$J1501,$L$6)&amp;"(")-1)),L1500)</f>
        <v>Building Value Proposition</v>
      </c>
      <c r="M1501" s="37" t="str">
        <f aca="false">IF(INDEX($A1501:$J1501,$M$6)="","",INDEX($A1501:$J1501,$M$6)&amp;"")</f>
        <v/>
      </c>
      <c r="N1501" s="37" t="str">
        <f aca="false">IF($M1501="","",TRIM(INDEX($A1501:$J1501,$N$6)&amp;""))</f>
        <v/>
      </c>
      <c r="O1501" s="37" t="str">
        <f aca="false">IF($M1501="","",TRIM(INDEX($A1501:$J1501,$O$6)&amp;""))</f>
        <v/>
      </c>
      <c r="P1501" s="37" t="str">
        <f aca="false">IF($M1501="","",IFERROR(IF(INDEX(Settings!$B$41:$B$50,MATCH(O1501,Settings!$A$41:$A$50,0))&amp;""="","UNMAPPED",INDEX(Settings!$B$41:$B$50,MATCH(O1501,Settings!$A$41:$A$50,0))&amp;""),"UNMAPPED"))</f>
        <v/>
      </c>
      <c r="Q1501" s="38" t="n">
        <f aca="false">IF($M1501="",0,N(INDEX($A1501:$J1501,$Q$6)))</f>
        <v>0</v>
      </c>
      <c r="R1501" s="39" t="str">
        <f aca="false">IF($M1501="","",INDEX($A1501:$J1501,$R$6))</f>
        <v/>
      </c>
      <c r="S1501" s="37" t="str">
        <f aca="false">IF($M1501="","",IFERROR(INDEX(Settings!$B$27:$B$36,MATCH(L1501,Settings!$A$27:$A$36,0))&amp;"","UNMAPPED"))</f>
        <v/>
      </c>
      <c r="T1501" s="37" t="str">
        <f aca="false">IF($M1501="","",IF(NOT(ISNUMBER(R1501)),"NO DATE",IF(S1501="Won",IF(R1501&gt;Settings!$B$5,"Backlog","Delivered"),IF(S1501="Open",IF(R1501&gt;Settings!$B$5,"Pipeline","Overdue"),IF(S1501="Lost","Lost","UNMAPPED")))))</f>
        <v/>
      </c>
      <c r="U1501" s="40" t="n">
        <f aca="false">IF(T1501="Backlog",1,IF(OR(T1501="Pipeline",T1501="Overdue"),N(INDEX(Settings!$C$27:$C$36,MATCH(L1501,Settings!$A$27:$A$36,0))),0))</f>
        <v>0</v>
      </c>
      <c r="V1501" s="38" t="n">
        <f aca="false">Q1501*U1501</f>
        <v>0</v>
      </c>
      <c r="W1501" s="41" t="str">
        <f aca="false">IF($M1501="","",IF(T1501="Overdue",IF(Settings!$B$8="Yes",Settings!$B$7,""),IF(ISNUMBER(R1501),DATE(YEAR(R1501),MONTH(R1501),1),"")))</f>
        <v/>
      </c>
      <c r="X1501" s="38" t="n">
        <f aca="false">IF(AND(OR(T1501="Backlog",T1501="Pipeline",T1501="Overdue"),ISNUMBER(W1501)),IF(W1501&lt;=Settings!$B$6,V1501,0),0)</f>
        <v>0</v>
      </c>
      <c r="Y1501" s="38" t="n">
        <f aca="false">IF(AND(OR(T1501="Backlog",T1501="Pipeline",T1501="Overdue"),ISNUMBER(W1501)),IF(W1501&lt;=Settings!$B$6,Q1501,0),0)</f>
        <v>0</v>
      </c>
      <c r="Z1501" s="38" t="n">
        <f aca="false">IF(Y1501=0,0,IF(T1501="Backlog",Q1501,Q1501*Dashboard!$C$10))</f>
        <v>0</v>
      </c>
      <c r="AA1501" s="37" t="n">
        <f aca="false">IF($N1501="",0,IF(COUNTIF(Dashboard!$C$13:$C$22,$N1501)&gt;0,1,0))</f>
        <v>0</v>
      </c>
      <c r="AB1501" s="37" t="str">
        <f aca="false">IF($N1501="","",IF(COUNTIF($N$8:$N1501,$N1501)=1,MAX($AB$7:$AB1500)+1,""))</f>
        <v/>
      </c>
    </row>
    <row r="1502" customFormat="false" ht="15" hidden="false" customHeight="false" outlineLevel="0" collapsed="false">
      <c r="L1502" s="37" t="str">
        <f aca="false">IF(INDEX($A1502:$J1502,$L$6)&lt;&gt;"",TRIM(LEFT(INDEX($A1502:$J1502,$L$6),FIND("(",INDEX($A1502:$J1502,$L$6)&amp;"(")-1)),L1501)</f>
        <v>Building Value Proposition</v>
      </c>
      <c r="M1502" s="37" t="str">
        <f aca="false">IF(INDEX($A1502:$J1502,$M$6)="","",INDEX($A1502:$J1502,$M$6)&amp;"")</f>
        <v/>
      </c>
      <c r="N1502" s="37" t="str">
        <f aca="false">IF($M1502="","",TRIM(INDEX($A1502:$J1502,$N$6)&amp;""))</f>
        <v/>
      </c>
      <c r="O1502" s="37" t="str">
        <f aca="false">IF($M1502="","",TRIM(INDEX($A1502:$J1502,$O$6)&amp;""))</f>
        <v/>
      </c>
      <c r="P1502" s="37" t="str">
        <f aca="false">IF($M1502="","",IFERROR(IF(INDEX(Settings!$B$41:$B$50,MATCH(O1502,Settings!$A$41:$A$50,0))&amp;""="","UNMAPPED",INDEX(Settings!$B$41:$B$50,MATCH(O1502,Settings!$A$41:$A$50,0))&amp;""),"UNMAPPED"))</f>
        <v/>
      </c>
      <c r="Q1502" s="38" t="n">
        <f aca="false">IF($M1502="",0,N(INDEX($A1502:$J1502,$Q$6)))</f>
        <v>0</v>
      </c>
      <c r="R1502" s="39" t="str">
        <f aca="false">IF($M1502="","",INDEX($A1502:$J1502,$R$6))</f>
        <v/>
      </c>
      <c r="S1502" s="37" t="str">
        <f aca="false">IF($M1502="","",IFERROR(INDEX(Settings!$B$27:$B$36,MATCH(L1502,Settings!$A$27:$A$36,0))&amp;"","UNMAPPED"))</f>
        <v/>
      </c>
      <c r="T1502" s="37" t="str">
        <f aca="false">IF($M1502="","",IF(NOT(ISNUMBER(R1502)),"NO DATE",IF(S1502="Won",IF(R1502&gt;Settings!$B$5,"Backlog","Delivered"),IF(S1502="Open",IF(R1502&gt;Settings!$B$5,"Pipeline","Overdue"),IF(S1502="Lost","Lost","UNMAPPED")))))</f>
        <v/>
      </c>
      <c r="U1502" s="40" t="n">
        <f aca="false">IF(T1502="Backlog",1,IF(OR(T1502="Pipeline",T1502="Overdue"),N(INDEX(Settings!$C$27:$C$36,MATCH(L1502,Settings!$A$27:$A$36,0))),0))</f>
        <v>0</v>
      </c>
      <c r="V1502" s="38" t="n">
        <f aca="false">Q1502*U1502</f>
        <v>0</v>
      </c>
      <c r="W1502" s="41" t="str">
        <f aca="false">IF($M1502="","",IF(T1502="Overdue",IF(Settings!$B$8="Yes",Settings!$B$7,""),IF(ISNUMBER(R1502),DATE(YEAR(R1502),MONTH(R1502),1),"")))</f>
        <v/>
      </c>
      <c r="X1502" s="38" t="n">
        <f aca="false">IF(AND(OR(T1502="Backlog",T1502="Pipeline",T1502="Overdue"),ISNUMBER(W1502)),IF(W1502&lt;=Settings!$B$6,V1502,0),0)</f>
        <v>0</v>
      </c>
      <c r="Y1502" s="38" t="n">
        <f aca="false">IF(AND(OR(T1502="Backlog",T1502="Pipeline",T1502="Overdue"),ISNUMBER(W1502)),IF(W1502&lt;=Settings!$B$6,Q1502,0),0)</f>
        <v>0</v>
      </c>
      <c r="Z1502" s="38" t="n">
        <f aca="false">IF(Y1502=0,0,IF(T1502="Backlog",Q1502,Q1502*Dashboard!$C$10))</f>
        <v>0</v>
      </c>
      <c r="AA1502" s="37" t="n">
        <f aca="false">IF($N1502="",0,IF(COUNTIF(Dashboard!$C$13:$C$22,$N1502)&gt;0,1,0))</f>
        <v>0</v>
      </c>
      <c r="AB1502" s="37" t="str">
        <f aca="false">IF($N1502="","",IF(COUNTIF($N$8:$N1502,$N1502)=1,MAX($AB$7:$AB1501)+1,""))</f>
        <v/>
      </c>
    </row>
    <row r="1503" customFormat="false" ht="15" hidden="false" customHeight="false" outlineLevel="0" collapsed="false">
      <c r="L1503" s="37" t="str">
        <f aca="false">IF(INDEX($A1503:$J1503,$L$6)&lt;&gt;"",TRIM(LEFT(INDEX($A1503:$J1503,$L$6),FIND("(",INDEX($A1503:$J1503,$L$6)&amp;"(")-1)),L1502)</f>
        <v>Building Value Proposition</v>
      </c>
      <c r="M1503" s="37" t="str">
        <f aca="false">IF(INDEX($A1503:$J1503,$M$6)="","",INDEX($A1503:$J1503,$M$6)&amp;"")</f>
        <v/>
      </c>
      <c r="N1503" s="37" t="str">
        <f aca="false">IF($M1503="","",TRIM(INDEX($A1503:$J1503,$N$6)&amp;""))</f>
        <v/>
      </c>
      <c r="O1503" s="37" t="str">
        <f aca="false">IF($M1503="","",TRIM(INDEX($A1503:$J1503,$O$6)&amp;""))</f>
        <v/>
      </c>
      <c r="P1503" s="37" t="str">
        <f aca="false">IF($M1503="","",IFERROR(IF(INDEX(Settings!$B$41:$B$50,MATCH(O1503,Settings!$A$41:$A$50,0))&amp;""="","UNMAPPED",INDEX(Settings!$B$41:$B$50,MATCH(O1503,Settings!$A$41:$A$50,0))&amp;""),"UNMAPPED"))</f>
        <v/>
      </c>
      <c r="Q1503" s="38" t="n">
        <f aca="false">IF($M1503="",0,N(INDEX($A1503:$J1503,$Q$6)))</f>
        <v>0</v>
      </c>
      <c r="R1503" s="39" t="str">
        <f aca="false">IF($M1503="","",INDEX($A1503:$J1503,$R$6))</f>
        <v/>
      </c>
      <c r="S1503" s="37" t="str">
        <f aca="false">IF($M1503="","",IFERROR(INDEX(Settings!$B$27:$B$36,MATCH(L1503,Settings!$A$27:$A$36,0))&amp;"","UNMAPPED"))</f>
        <v/>
      </c>
      <c r="T1503" s="37" t="str">
        <f aca="false">IF($M1503="","",IF(NOT(ISNUMBER(R1503)),"NO DATE",IF(S1503="Won",IF(R1503&gt;Settings!$B$5,"Backlog","Delivered"),IF(S1503="Open",IF(R1503&gt;Settings!$B$5,"Pipeline","Overdue"),IF(S1503="Lost","Lost","UNMAPPED")))))</f>
        <v/>
      </c>
      <c r="U1503" s="40" t="n">
        <f aca="false">IF(T1503="Backlog",1,IF(OR(T1503="Pipeline",T1503="Overdue"),N(INDEX(Settings!$C$27:$C$36,MATCH(L1503,Settings!$A$27:$A$36,0))),0))</f>
        <v>0</v>
      </c>
      <c r="V1503" s="38" t="n">
        <f aca="false">Q1503*U1503</f>
        <v>0</v>
      </c>
      <c r="W1503" s="41" t="str">
        <f aca="false">IF($M1503="","",IF(T1503="Overdue",IF(Settings!$B$8="Yes",Settings!$B$7,""),IF(ISNUMBER(R1503),DATE(YEAR(R1503),MONTH(R1503),1),"")))</f>
        <v/>
      </c>
      <c r="X1503" s="38" t="n">
        <f aca="false">IF(AND(OR(T1503="Backlog",T1503="Pipeline",T1503="Overdue"),ISNUMBER(W1503)),IF(W1503&lt;=Settings!$B$6,V1503,0),0)</f>
        <v>0</v>
      </c>
      <c r="Y1503" s="38" t="n">
        <f aca="false">IF(AND(OR(T1503="Backlog",T1503="Pipeline",T1503="Overdue"),ISNUMBER(W1503)),IF(W1503&lt;=Settings!$B$6,Q1503,0),0)</f>
        <v>0</v>
      </c>
      <c r="Z1503" s="38" t="n">
        <f aca="false">IF(Y1503=0,0,IF(T1503="Backlog",Q1503,Q1503*Dashboard!$C$10))</f>
        <v>0</v>
      </c>
      <c r="AA1503" s="37" t="n">
        <f aca="false">IF($N1503="",0,IF(COUNTIF(Dashboard!$C$13:$C$22,$N1503)&gt;0,1,0))</f>
        <v>0</v>
      </c>
      <c r="AB1503" s="37" t="str">
        <f aca="false">IF($N1503="","",IF(COUNTIF($N$8:$N1503,$N1503)=1,MAX($AB$7:$AB1502)+1,""))</f>
        <v/>
      </c>
    </row>
    <row r="1504" customFormat="false" ht="15" hidden="false" customHeight="false" outlineLevel="0" collapsed="false">
      <c r="L1504" s="37" t="str">
        <f aca="false">IF(INDEX($A1504:$J1504,$L$6)&lt;&gt;"",TRIM(LEFT(INDEX($A1504:$J1504,$L$6),FIND("(",INDEX($A1504:$J1504,$L$6)&amp;"(")-1)),L1503)</f>
        <v>Building Value Proposition</v>
      </c>
      <c r="M1504" s="37" t="str">
        <f aca="false">IF(INDEX($A1504:$J1504,$M$6)="","",INDEX($A1504:$J1504,$M$6)&amp;"")</f>
        <v/>
      </c>
      <c r="N1504" s="37" t="str">
        <f aca="false">IF($M1504="","",TRIM(INDEX($A1504:$J1504,$N$6)&amp;""))</f>
        <v/>
      </c>
      <c r="O1504" s="37" t="str">
        <f aca="false">IF($M1504="","",TRIM(INDEX($A1504:$J1504,$O$6)&amp;""))</f>
        <v/>
      </c>
      <c r="P1504" s="37" t="str">
        <f aca="false">IF($M1504="","",IFERROR(IF(INDEX(Settings!$B$41:$B$50,MATCH(O1504,Settings!$A$41:$A$50,0))&amp;""="","UNMAPPED",INDEX(Settings!$B$41:$B$50,MATCH(O1504,Settings!$A$41:$A$50,0))&amp;""),"UNMAPPED"))</f>
        <v/>
      </c>
      <c r="Q1504" s="38" t="n">
        <f aca="false">IF($M1504="",0,N(INDEX($A1504:$J1504,$Q$6)))</f>
        <v>0</v>
      </c>
      <c r="R1504" s="39" t="str">
        <f aca="false">IF($M1504="","",INDEX($A1504:$J1504,$R$6))</f>
        <v/>
      </c>
      <c r="S1504" s="37" t="str">
        <f aca="false">IF($M1504="","",IFERROR(INDEX(Settings!$B$27:$B$36,MATCH(L1504,Settings!$A$27:$A$36,0))&amp;"","UNMAPPED"))</f>
        <v/>
      </c>
      <c r="T1504" s="37" t="str">
        <f aca="false">IF($M1504="","",IF(NOT(ISNUMBER(R1504)),"NO DATE",IF(S1504="Won",IF(R1504&gt;Settings!$B$5,"Backlog","Delivered"),IF(S1504="Open",IF(R1504&gt;Settings!$B$5,"Pipeline","Overdue"),IF(S1504="Lost","Lost","UNMAPPED")))))</f>
        <v/>
      </c>
      <c r="U1504" s="40" t="n">
        <f aca="false">IF(T1504="Backlog",1,IF(OR(T1504="Pipeline",T1504="Overdue"),N(INDEX(Settings!$C$27:$C$36,MATCH(L1504,Settings!$A$27:$A$36,0))),0))</f>
        <v>0</v>
      </c>
      <c r="V1504" s="38" t="n">
        <f aca="false">Q1504*U1504</f>
        <v>0</v>
      </c>
      <c r="W1504" s="41" t="str">
        <f aca="false">IF($M1504="","",IF(T1504="Overdue",IF(Settings!$B$8="Yes",Settings!$B$7,""),IF(ISNUMBER(R1504),DATE(YEAR(R1504),MONTH(R1504),1),"")))</f>
        <v/>
      </c>
      <c r="X1504" s="38" t="n">
        <f aca="false">IF(AND(OR(T1504="Backlog",T1504="Pipeline",T1504="Overdue"),ISNUMBER(W1504)),IF(W1504&lt;=Settings!$B$6,V1504,0),0)</f>
        <v>0</v>
      </c>
      <c r="Y1504" s="38" t="n">
        <f aca="false">IF(AND(OR(T1504="Backlog",T1504="Pipeline",T1504="Overdue"),ISNUMBER(W1504)),IF(W1504&lt;=Settings!$B$6,Q1504,0),0)</f>
        <v>0</v>
      </c>
      <c r="Z1504" s="38" t="n">
        <f aca="false">IF(Y1504=0,0,IF(T1504="Backlog",Q1504,Q1504*Dashboard!$C$10))</f>
        <v>0</v>
      </c>
      <c r="AA1504" s="37" t="n">
        <f aca="false">IF($N1504="",0,IF(COUNTIF(Dashboard!$C$13:$C$22,$N1504)&gt;0,1,0))</f>
        <v>0</v>
      </c>
      <c r="AB1504" s="37" t="str">
        <f aca="false">IF($N1504="","",IF(COUNTIF($N$8:$N1504,$N1504)=1,MAX($AB$7:$AB1503)+1,""))</f>
        <v/>
      </c>
    </row>
    <row r="1505" customFormat="false" ht="15" hidden="false" customHeight="false" outlineLevel="0" collapsed="false">
      <c r="L1505" s="37" t="str">
        <f aca="false">IF(INDEX($A1505:$J1505,$L$6)&lt;&gt;"",TRIM(LEFT(INDEX($A1505:$J1505,$L$6),FIND("(",INDEX($A1505:$J1505,$L$6)&amp;"(")-1)),L1504)</f>
        <v>Building Value Proposition</v>
      </c>
      <c r="M1505" s="37" t="str">
        <f aca="false">IF(INDEX($A1505:$J1505,$M$6)="","",INDEX($A1505:$J1505,$M$6)&amp;"")</f>
        <v/>
      </c>
      <c r="N1505" s="37" t="str">
        <f aca="false">IF($M1505="","",TRIM(INDEX($A1505:$J1505,$N$6)&amp;""))</f>
        <v/>
      </c>
      <c r="O1505" s="37" t="str">
        <f aca="false">IF($M1505="","",TRIM(INDEX($A1505:$J1505,$O$6)&amp;""))</f>
        <v/>
      </c>
      <c r="P1505" s="37" t="str">
        <f aca="false">IF($M1505="","",IFERROR(IF(INDEX(Settings!$B$41:$B$50,MATCH(O1505,Settings!$A$41:$A$50,0))&amp;""="","UNMAPPED",INDEX(Settings!$B$41:$B$50,MATCH(O1505,Settings!$A$41:$A$50,0))&amp;""),"UNMAPPED"))</f>
        <v/>
      </c>
      <c r="Q1505" s="38" t="n">
        <f aca="false">IF($M1505="",0,N(INDEX($A1505:$J1505,$Q$6)))</f>
        <v>0</v>
      </c>
      <c r="R1505" s="39" t="str">
        <f aca="false">IF($M1505="","",INDEX($A1505:$J1505,$R$6))</f>
        <v/>
      </c>
      <c r="S1505" s="37" t="str">
        <f aca="false">IF($M1505="","",IFERROR(INDEX(Settings!$B$27:$B$36,MATCH(L1505,Settings!$A$27:$A$36,0))&amp;"","UNMAPPED"))</f>
        <v/>
      </c>
      <c r="T1505" s="37" t="str">
        <f aca="false">IF($M1505="","",IF(NOT(ISNUMBER(R1505)),"NO DATE",IF(S1505="Won",IF(R1505&gt;Settings!$B$5,"Backlog","Delivered"),IF(S1505="Open",IF(R1505&gt;Settings!$B$5,"Pipeline","Overdue"),IF(S1505="Lost","Lost","UNMAPPED")))))</f>
        <v/>
      </c>
      <c r="U1505" s="40" t="n">
        <f aca="false">IF(T1505="Backlog",1,IF(OR(T1505="Pipeline",T1505="Overdue"),N(INDEX(Settings!$C$27:$C$36,MATCH(L1505,Settings!$A$27:$A$36,0))),0))</f>
        <v>0</v>
      </c>
      <c r="V1505" s="38" t="n">
        <f aca="false">Q1505*U1505</f>
        <v>0</v>
      </c>
      <c r="W1505" s="41" t="str">
        <f aca="false">IF($M1505="","",IF(T1505="Overdue",IF(Settings!$B$8="Yes",Settings!$B$7,""),IF(ISNUMBER(R1505),DATE(YEAR(R1505),MONTH(R1505),1),"")))</f>
        <v/>
      </c>
      <c r="X1505" s="38" t="n">
        <f aca="false">IF(AND(OR(T1505="Backlog",T1505="Pipeline",T1505="Overdue"),ISNUMBER(W1505)),IF(W1505&lt;=Settings!$B$6,V1505,0),0)</f>
        <v>0</v>
      </c>
      <c r="Y1505" s="38" t="n">
        <f aca="false">IF(AND(OR(T1505="Backlog",T1505="Pipeline",T1505="Overdue"),ISNUMBER(W1505)),IF(W1505&lt;=Settings!$B$6,Q1505,0),0)</f>
        <v>0</v>
      </c>
      <c r="Z1505" s="38" t="n">
        <f aca="false">IF(Y1505=0,0,IF(T1505="Backlog",Q1505,Q1505*Dashboard!$C$10))</f>
        <v>0</v>
      </c>
      <c r="AA1505" s="37" t="n">
        <f aca="false">IF($N1505="",0,IF(COUNTIF(Dashboard!$C$13:$C$22,$N1505)&gt;0,1,0))</f>
        <v>0</v>
      </c>
      <c r="AB1505" s="37" t="str">
        <f aca="false">IF($N1505="","",IF(COUNTIF($N$8:$N1505,$N1505)=1,MAX($AB$7:$AB1504)+1,""))</f>
        <v/>
      </c>
    </row>
    <row r="1506" customFormat="false" ht="15" hidden="false" customHeight="false" outlineLevel="0" collapsed="false">
      <c r="L1506" s="37" t="str">
        <f aca="false">IF(INDEX($A1506:$J1506,$L$6)&lt;&gt;"",TRIM(LEFT(INDEX($A1506:$J1506,$L$6),FIND("(",INDEX($A1506:$J1506,$L$6)&amp;"(")-1)),L1505)</f>
        <v>Building Value Proposition</v>
      </c>
      <c r="M1506" s="37" t="str">
        <f aca="false">IF(INDEX($A1506:$J1506,$M$6)="","",INDEX($A1506:$J1506,$M$6)&amp;"")</f>
        <v/>
      </c>
      <c r="N1506" s="37" t="str">
        <f aca="false">IF($M1506="","",TRIM(INDEX($A1506:$J1506,$N$6)&amp;""))</f>
        <v/>
      </c>
      <c r="O1506" s="37" t="str">
        <f aca="false">IF($M1506="","",TRIM(INDEX($A1506:$J1506,$O$6)&amp;""))</f>
        <v/>
      </c>
      <c r="P1506" s="37" t="str">
        <f aca="false">IF($M1506="","",IFERROR(IF(INDEX(Settings!$B$41:$B$50,MATCH(O1506,Settings!$A$41:$A$50,0))&amp;""="","UNMAPPED",INDEX(Settings!$B$41:$B$50,MATCH(O1506,Settings!$A$41:$A$50,0))&amp;""),"UNMAPPED"))</f>
        <v/>
      </c>
      <c r="Q1506" s="38" t="n">
        <f aca="false">IF($M1506="",0,N(INDEX($A1506:$J1506,$Q$6)))</f>
        <v>0</v>
      </c>
      <c r="R1506" s="39" t="str">
        <f aca="false">IF($M1506="","",INDEX($A1506:$J1506,$R$6))</f>
        <v/>
      </c>
      <c r="S1506" s="37" t="str">
        <f aca="false">IF($M1506="","",IFERROR(INDEX(Settings!$B$27:$B$36,MATCH(L1506,Settings!$A$27:$A$36,0))&amp;"","UNMAPPED"))</f>
        <v/>
      </c>
      <c r="T1506" s="37" t="str">
        <f aca="false">IF($M1506="","",IF(NOT(ISNUMBER(R1506)),"NO DATE",IF(S1506="Won",IF(R1506&gt;Settings!$B$5,"Backlog","Delivered"),IF(S1506="Open",IF(R1506&gt;Settings!$B$5,"Pipeline","Overdue"),IF(S1506="Lost","Lost","UNMAPPED")))))</f>
        <v/>
      </c>
      <c r="U1506" s="40" t="n">
        <f aca="false">IF(T1506="Backlog",1,IF(OR(T1506="Pipeline",T1506="Overdue"),N(INDEX(Settings!$C$27:$C$36,MATCH(L1506,Settings!$A$27:$A$36,0))),0))</f>
        <v>0</v>
      </c>
      <c r="V1506" s="38" t="n">
        <f aca="false">Q1506*U1506</f>
        <v>0</v>
      </c>
      <c r="W1506" s="41" t="str">
        <f aca="false">IF($M1506="","",IF(T1506="Overdue",IF(Settings!$B$8="Yes",Settings!$B$7,""),IF(ISNUMBER(R1506),DATE(YEAR(R1506),MONTH(R1506),1),"")))</f>
        <v/>
      </c>
      <c r="X1506" s="38" t="n">
        <f aca="false">IF(AND(OR(T1506="Backlog",T1506="Pipeline",T1506="Overdue"),ISNUMBER(W1506)),IF(W1506&lt;=Settings!$B$6,V1506,0),0)</f>
        <v>0</v>
      </c>
      <c r="Y1506" s="38" t="n">
        <f aca="false">IF(AND(OR(T1506="Backlog",T1506="Pipeline",T1506="Overdue"),ISNUMBER(W1506)),IF(W1506&lt;=Settings!$B$6,Q1506,0),0)</f>
        <v>0</v>
      </c>
      <c r="Z1506" s="38" t="n">
        <f aca="false">IF(Y1506=0,0,IF(T1506="Backlog",Q1506,Q1506*Dashboard!$C$10))</f>
        <v>0</v>
      </c>
      <c r="AA1506" s="37" t="n">
        <f aca="false">IF($N1506="",0,IF(COUNTIF(Dashboard!$C$13:$C$22,$N1506)&gt;0,1,0))</f>
        <v>0</v>
      </c>
      <c r="AB1506" s="37" t="str">
        <f aca="false">IF($N1506="","",IF(COUNTIF($N$8:$N1506,$N1506)=1,MAX($AB$7:$AB1505)+1,""))</f>
        <v/>
      </c>
    </row>
    <row r="1507" customFormat="false" ht="15" hidden="false" customHeight="false" outlineLevel="0" collapsed="false">
      <c r="L1507" s="37" t="str">
        <f aca="false">IF(INDEX($A1507:$J1507,$L$6)&lt;&gt;"",TRIM(LEFT(INDEX($A1507:$J1507,$L$6),FIND("(",INDEX($A1507:$J1507,$L$6)&amp;"(")-1)),L1506)</f>
        <v>Building Value Proposition</v>
      </c>
      <c r="M1507" s="37" t="str">
        <f aca="false">IF(INDEX($A1507:$J1507,$M$6)="","",INDEX($A1507:$J1507,$M$6)&amp;"")</f>
        <v/>
      </c>
      <c r="N1507" s="37" t="str">
        <f aca="false">IF($M1507="","",TRIM(INDEX($A1507:$J1507,$N$6)&amp;""))</f>
        <v/>
      </c>
      <c r="O1507" s="37" t="str">
        <f aca="false">IF($M1507="","",TRIM(INDEX($A1507:$J1507,$O$6)&amp;""))</f>
        <v/>
      </c>
      <c r="P1507" s="37" t="str">
        <f aca="false">IF($M1507="","",IFERROR(IF(INDEX(Settings!$B$41:$B$50,MATCH(O1507,Settings!$A$41:$A$50,0))&amp;""="","UNMAPPED",INDEX(Settings!$B$41:$B$50,MATCH(O1507,Settings!$A$41:$A$50,0))&amp;""),"UNMAPPED"))</f>
        <v/>
      </c>
      <c r="Q1507" s="38" t="n">
        <f aca="false">IF($M1507="",0,N(INDEX($A1507:$J1507,$Q$6)))</f>
        <v>0</v>
      </c>
      <c r="R1507" s="39" t="str">
        <f aca="false">IF($M1507="","",INDEX($A1507:$J1507,$R$6))</f>
        <v/>
      </c>
      <c r="S1507" s="37" t="str">
        <f aca="false">IF($M1507="","",IFERROR(INDEX(Settings!$B$27:$B$36,MATCH(L1507,Settings!$A$27:$A$36,0))&amp;"","UNMAPPED"))</f>
        <v/>
      </c>
      <c r="T1507" s="37" t="str">
        <f aca="false">IF($M1507="","",IF(NOT(ISNUMBER(R1507)),"NO DATE",IF(S1507="Won",IF(R1507&gt;Settings!$B$5,"Backlog","Delivered"),IF(S1507="Open",IF(R1507&gt;Settings!$B$5,"Pipeline","Overdue"),IF(S1507="Lost","Lost","UNMAPPED")))))</f>
        <v/>
      </c>
      <c r="U1507" s="40" t="n">
        <f aca="false">IF(T1507="Backlog",1,IF(OR(T1507="Pipeline",T1507="Overdue"),N(INDEX(Settings!$C$27:$C$36,MATCH(L1507,Settings!$A$27:$A$36,0))),0))</f>
        <v>0</v>
      </c>
      <c r="V1507" s="38" t="n">
        <f aca="false">Q1507*U1507</f>
        <v>0</v>
      </c>
      <c r="W1507" s="41" t="str">
        <f aca="false">IF($M1507="","",IF(T1507="Overdue",IF(Settings!$B$8="Yes",Settings!$B$7,""),IF(ISNUMBER(R1507),DATE(YEAR(R1507),MONTH(R1507),1),"")))</f>
        <v/>
      </c>
      <c r="X1507" s="38" t="n">
        <f aca="false">IF(AND(OR(T1507="Backlog",T1507="Pipeline",T1507="Overdue"),ISNUMBER(W1507)),IF(W1507&lt;=Settings!$B$6,V1507,0),0)</f>
        <v>0</v>
      </c>
      <c r="Y1507" s="38" t="n">
        <f aca="false">IF(AND(OR(T1507="Backlog",T1507="Pipeline",T1507="Overdue"),ISNUMBER(W1507)),IF(W1507&lt;=Settings!$B$6,Q1507,0),0)</f>
        <v>0</v>
      </c>
      <c r="Z1507" s="38" t="n">
        <f aca="false">IF(Y1507=0,0,IF(T1507="Backlog",Q1507,Q1507*Dashboard!$C$10))</f>
        <v>0</v>
      </c>
      <c r="AA1507" s="37" t="n">
        <f aca="false">IF($N1507="",0,IF(COUNTIF(Dashboard!$C$13:$C$22,$N1507)&gt;0,1,0))</f>
        <v>0</v>
      </c>
      <c r="AB1507" s="37" t="str">
        <f aca="false">IF($N1507="","",IF(COUNTIF($N$8:$N1507,$N1507)=1,MAX($AB$7:$AB1506)+1,""))</f>
        <v/>
      </c>
    </row>
    <row r="1508" customFormat="false" ht="15" hidden="false" customHeight="false" outlineLevel="0" collapsed="false">
      <c r="L1508" s="37" t="str">
        <f aca="false">IF(INDEX($A1508:$J1508,$L$6)&lt;&gt;"",TRIM(LEFT(INDEX($A1508:$J1508,$L$6),FIND("(",INDEX($A1508:$J1508,$L$6)&amp;"(")-1)),L1507)</f>
        <v>Building Value Proposition</v>
      </c>
      <c r="M1508" s="37" t="str">
        <f aca="false">IF(INDEX($A1508:$J1508,$M$6)="","",INDEX($A1508:$J1508,$M$6)&amp;"")</f>
        <v/>
      </c>
      <c r="N1508" s="37" t="str">
        <f aca="false">IF($M1508="","",TRIM(INDEX($A1508:$J1508,$N$6)&amp;""))</f>
        <v/>
      </c>
      <c r="O1508" s="37" t="str">
        <f aca="false">IF($M1508="","",TRIM(INDEX($A1508:$J1508,$O$6)&amp;""))</f>
        <v/>
      </c>
      <c r="P1508" s="37" t="str">
        <f aca="false">IF($M1508="","",IFERROR(IF(INDEX(Settings!$B$41:$B$50,MATCH(O1508,Settings!$A$41:$A$50,0))&amp;""="","UNMAPPED",INDEX(Settings!$B$41:$B$50,MATCH(O1508,Settings!$A$41:$A$50,0))&amp;""),"UNMAPPED"))</f>
        <v/>
      </c>
      <c r="Q1508" s="38" t="n">
        <f aca="false">IF($M1508="",0,N(INDEX($A1508:$J1508,$Q$6)))</f>
        <v>0</v>
      </c>
      <c r="R1508" s="39" t="str">
        <f aca="false">IF($M1508="","",INDEX($A1508:$J1508,$R$6))</f>
        <v/>
      </c>
      <c r="S1508" s="37" t="str">
        <f aca="false">IF($M1508="","",IFERROR(INDEX(Settings!$B$27:$B$36,MATCH(L1508,Settings!$A$27:$A$36,0))&amp;"","UNMAPPED"))</f>
        <v/>
      </c>
      <c r="T1508" s="37" t="str">
        <f aca="false">IF($M1508="","",IF(NOT(ISNUMBER(R1508)),"NO DATE",IF(S1508="Won",IF(R1508&gt;Settings!$B$5,"Backlog","Delivered"),IF(S1508="Open",IF(R1508&gt;Settings!$B$5,"Pipeline","Overdue"),IF(S1508="Lost","Lost","UNMAPPED")))))</f>
        <v/>
      </c>
      <c r="U1508" s="40" t="n">
        <f aca="false">IF(T1508="Backlog",1,IF(OR(T1508="Pipeline",T1508="Overdue"),N(INDEX(Settings!$C$27:$C$36,MATCH(L1508,Settings!$A$27:$A$36,0))),0))</f>
        <v>0</v>
      </c>
      <c r="V1508" s="38" t="n">
        <f aca="false">Q1508*U1508</f>
        <v>0</v>
      </c>
      <c r="W1508" s="41" t="str">
        <f aca="false">IF($M1508="","",IF(T1508="Overdue",IF(Settings!$B$8="Yes",Settings!$B$7,""),IF(ISNUMBER(R1508),DATE(YEAR(R1508),MONTH(R1508),1),"")))</f>
        <v/>
      </c>
      <c r="X1508" s="38" t="n">
        <f aca="false">IF(AND(OR(T1508="Backlog",T1508="Pipeline",T1508="Overdue"),ISNUMBER(W1508)),IF(W1508&lt;=Settings!$B$6,V1508,0),0)</f>
        <v>0</v>
      </c>
      <c r="Y1508" s="38" t="n">
        <f aca="false">IF(AND(OR(T1508="Backlog",T1508="Pipeline",T1508="Overdue"),ISNUMBER(W1508)),IF(W1508&lt;=Settings!$B$6,Q1508,0),0)</f>
        <v>0</v>
      </c>
      <c r="Z1508" s="38" t="n">
        <f aca="false">IF(Y1508=0,0,IF(T1508="Backlog",Q1508,Q1508*Dashboard!$C$10))</f>
        <v>0</v>
      </c>
      <c r="AA1508" s="37" t="n">
        <f aca="false">IF($N1508="",0,IF(COUNTIF(Dashboard!$C$13:$C$22,$N1508)&gt;0,1,0))</f>
        <v>0</v>
      </c>
      <c r="AB1508" s="37" t="str">
        <f aca="false">IF($N1508="","",IF(COUNTIF($N$8:$N1508,$N1508)=1,MAX($AB$7:$AB1507)+1,""))</f>
        <v/>
      </c>
    </row>
    <row r="1509" customFormat="false" ht="15" hidden="false" customHeight="false" outlineLevel="0" collapsed="false">
      <c r="L1509" s="37" t="str">
        <f aca="false">IF(INDEX($A1509:$J1509,$L$6)&lt;&gt;"",TRIM(LEFT(INDEX($A1509:$J1509,$L$6),FIND("(",INDEX($A1509:$J1509,$L$6)&amp;"(")-1)),L1508)</f>
        <v>Building Value Proposition</v>
      </c>
      <c r="M1509" s="37" t="str">
        <f aca="false">IF(INDEX($A1509:$J1509,$M$6)="","",INDEX($A1509:$J1509,$M$6)&amp;"")</f>
        <v/>
      </c>
      <c r="N1509" s="37" t="str">
        <f aca="false">IF($M1509="","",TRIM(INDEX($A1509:$J1509,$N$6)&amp;""))</f>
        <v/>
      </c>
      <c r="O1509" s="37" t="str">
        <f aca="false">IF($M1509="","",TRIM(INDEX($A1509:$J1509,$O$6)&amp;""))</f>
        <v/>
      </c>
      <c r="P1509" s="37" t="str">
        <f aca="false">IF($M1509="","",IFERROR(IF(INDEX(Settings!$B$41:$B$50,MATCH(O1509,Settings!$A$41:$A$50,0))&amp;""="","UNMAPPED",INDEX(Settings!$B$41:$B$50,MATCH(O1509,Settings!$A$41:$A$50,0))&amp;""),"UNMAPPED"))</f>
        <v/>
      </c>
      <c r="Q1509" s="38" t="n">
        <f aca="false">IF($M1509="",0,N(INDEX($A1509:$J1509,$Q$6)))</f>
        <v>0</v>
      </c>
      <c r="R1509" s="39" t="str">
        <f aca="false">IF($M1509="","",INDEX($A1509:$J1509,$R$6))</f>
        <v/>
      </c>
      <c r="S1509" s="37" t="str">
        <f aca="false">IF($M1509="","",IFERROR(INDEX(Settings!$B$27:$B$36,MATCH(L1509,Settings!$A$27:$A$36,0))&amp;"","UNMAPPED"))</f>
        <v/>
      </c>
      <c r="T1509" s="37" t="str">
        <f aca="false">IF($M1509="","",IF(NOT(ISNUMBER(R1509)),"NO DATE",IF(S1509="Won",IF(R1509&gt;Settings!$B$5,"Backlog","Delivered"),IF(S1509="Open",IF(R1509&gt;Settings!$B$5,"Pipeline","Overdue"),IF(S1509="Lost","Lost","UNMAPPED")))))</f>
        <v/>
      </c>
      <c r="U1509" s="40" t="n">
        <f aca="false">IF(T1509="Backlog",1,IF(OR(T1509="Pipeline",T1509="Overdue"),N(INDEX(Settings!$C$27:$C$36,MATCH(L1509,Settings!$A$27:$A$36,0))),0))</f>
        <v>0</v>
      </c>
      <c r="V1509" s="38" t="n">
        <f aca="false">Q1509*U1509</f>
        <v>0</v>
      </c>
      <c r="W1509" s="41" t="str">
        <f aca="false">IF($M1509="","",IF(T1509="Overdue",IF(Settings!$B$8="Yes",Settings!$B$7,""),IF(ISNUMBER(R1509),DATE(YEAR(R1509),MONTH(R1509),1),"")))</f>
        <v/>
      </c>
      <c r="X1509" s="38" t="n">
        <f aca="false">IF(AND(OR(T1509="Backlog",T1509="Pipeline",T1509="Overdue"),ISNUMBER(W1509)),IF(W1509&lt;=Settings!$B$6,V1509,0),0)</f>
        <v>0</v>
      </c>
      <c r="Y1509" s="38" t="n">
        <f aca="false">IF(AND(OR(T1509="Backlog",T1509="Pipeline",T1509="Overdue"),ISNUMBER(W1509)),IF(W1509&lt;=Settings!$B$6,Q1509,0),0)</f>
        <v>0</v>
      </c>
      <c r="Z1509" s="38" t="n">
        <f aca="false">IF(Y1509=0,0,IF(T1509="Backlog",Q1509,Q1509*Dashboard!$C$10))</f>
        <v>0</v>
      </c>
      <c r="AA1509" s="37" t="n">
        <f aca="false">IF($N1509="",0,IF(COUNTIF(Dashboard!$C$13:$C$22,$N1509)&gt;0,1,0))</f>
        <v>0</v>
      </c>
      <c r="AB1509" s="37" t="str">
        <f aca="false">IF($N1509="","",IF(COUNTIF($N$8:$N1509,$N1509)=1,MAX($AB$7:$AB1508)+1,""))</f>
        <v/>
      </c>
    </row>
    <row r="1510" customFormat="false" ht="15" hidden="false" customHeight="false" outlineLevel="0" collapsed="false">
      <c r="L1510" s="37" t="str">
        <f aca="false">IF(INDEX($A1510:$J1510,$L$6)&lt;&gt;"",TRIM(LEFT(INDEX($A1510:$J1510,$L$6),FIND("(",INDEX($A1510:$J1510,$L$6)&amp;"(")-1)),L1509)</f>
        <v>Building Value Proposition</v>
      </c>
      <c r="M1510" s="37" t="str">
        <f aca="false">IF(INDEX($A1510:$J1510,$M$6)="","",INDEX($A1510:$J1510,$M$6)&amp;"")</f>
        <v/>
      </c>
      <c r="N1510" s="37" t="str">
        <f aca="false">IF($M1510="","",TRIM(INDEX($A1510:$J1510,$N$6)&amp;""))</f>
        <v/>
      </c>
      <c r="O1510" s="37" t="str">
        <f aca="false">IF($M1510="","",TRIM(INDEX($A1510:$J1510,$O$6)&amp;""))</f>
        <v/>
      </c>
      <c r="P1510" s="37" t="str">
        <f aca="false">IF($M1510="","",IFERROR(IF(INDEX(Settings!$B$41:$B$50,MATCH(O1510,Settings!$A$41:$A$50,0))&amp;""="","UNMAPPED",INDEX(Settings!$B$41:$B$50,MATCH(O1510,Settings!$A$41:$A$50,0))&amp;""),"UNMAPPED"))</f>
        <v/>
      </c>
      <c r="Q1510" s="38" t="n">
        <f aca="false">IF($M1510="",0,N(INDEX($A1510:$J1510,$Q$6)))</f>
        <v>0</v>
      </c>
      <c r="R1510" s="39" t="str">
        <f aca="false">IF($M1510="","",INDEX($A1510:$J1510,$R$6))</f>
        <v/>
      </c>
      <c r="S1510" s="37" t="str">
        <f aca="false">IF($M1510="","",IFERROR(INDEX(Settings!$B$27:$B$36,MATCH(L1510,Settings!$A$27:$A$36,0))&amp;"","UNMAPPED"))</f>
        <v/>
      </c>
      <c r="T1510" s="37" t="str">
        <f aca="false">IF($M1510="","",IF(NOT(ISNUMBER(R1510)),"NO DATE",IF(S1510="Won",IF(R1510&gt;Settings!$B$5,"Backlog","Delivered"),IF(S1510="Open",IF(R1510&gt;Settings!$B$5,"Pipeline","Overdue"),IF(S1510="Lost","Lost","UNMAPPED")))))</f>
        <v/>
      </c>
      <c r="U1510" s="40" t="n">
        <f aca="false">IF(T1510="Backlog",1,IF(OR(T1510="Pipeline",T1510="Overdue"),N(INDEX(Settings!$C$27:$C$36,MATCH(L1510,Settings!$A$27:$A$36,0))),0))</f>
        <v>0</v>
      </c>
      <c r="V1510" s="38" t="n">
        <f aca="false">Q1510*U1510</f>
        <v>0</v>
      </c>
      <c r="W1510" s="41" t="str">
        <f aca="false">IF($M1510="","",IF(T1510="Overdue",IF(Settings!$B$8="Yes",Settings!$B$7,""),IF(ISNUMBER(R1510),DATE(YEAR(R1510),MONTH(R1510),1),"")))</f>
        <v/>
      </c>
      <c r="X1510" s="38" t="n">
        <f aca="false">IF(AND(OR(T1510="Backlog",T1510="Pipeline",T1510="Overdue"),ISNUMBER(W1510)),IF(W1510&lt;=Settings!$B$6,V1510,0),0)</f>
        <v>0</v>
      </c>
      <c r="Y1510" s="38" t="n">
        <f aca="false">IF(AND(OR(T1510="Backlog",T1510="Pipeline",T1510="Overdue"),ISNUMBER(W1510)),IF(W1510&lt;=Settings!$B$6,Q1510,0),0)</f>
        <v>0</v>
      </c>
      <c r="Z1510" s="38" t="n">
        <f aca="false">IF(Y1510=0,0,IF(T1510="Backlog",Q1510,Q1510*Dashboard!$C$10))</f>
        <v>0</v>
      </c>
      <c r="AA1510" s="37" t="n">
        <f aca="false">IF($N1510="",0,IF(COUNTIF(Dashboard!$C$13:$C$22,$N1510)&gt;0,1,0))</f>
        <v>0</v>
      </c>
      <c r="AB1510" s="37" t="str">
        <f aca="false">IF($N1510="","",IF(COUNTIF($N$8:$N1510,$N1510)=1,MAX($AB$7:$AB1509)+1,""))</f>
        <v/>
      </c>
    </row>
    <row r="1511" customFormat="false" ht="15" hidden="false" customHeight="false" outlineLevel="0" collapsed="false">
      <c r="L1511" s="37" t="str">
        <f aca="false">IF(INDEX($A1511:$J1511,$L$6)&lt;&gt;"",TRIM(LEFT(INDEX($A1511:$J1511,$L$6),FIND("(",INDEX($A1511:$J1511,$L$6)&amp;"(")-1)),L1510)</f>
        <v>Building Value Proposition</v>
      </c>
      <c r="M1511" s="37" t="str">
        <f aca="false">IF(INDEX($A1511:$J1511,$M$6)="","",INDEX($A1511:$J1511,$M$6)&amp;"")</f>
        <v/>
      </c>
      <c r="N1511" s="37" t="str">
        <f aca="false">IF($M1511="","",TRIM(INDEX($A1511:$J1511,$N$6)&amp;""))</f>
        <v/>
      </c>
      <c r="O1511" s="37" t="str">
        <f aca="false">IF($M1511="","",TRIM(INDEX($A1511:$J1511,$O$6)&amp;""))</f>
        <v/>
      </c>
      <c r="P1511" s="37" t="str">
        <f aca="false">IF($M1511="","",IFERROR(IF(INDEX(Settings!$B$41:$B$50,MATCH(O1511,Settings!$A$41:$A$50,0))&amp;""="","UNMAPPED",INDEX(Settings!$B$41:$B$50,MATCH(O1511,Settings!$A$41:$A$50,0))&amp;""),"UNMAPPED"))</f>
        <v/>
      </c>
      <c r="Q1511" s="38" t="n">
        <f aca="false">IF($M1511="",0,N(INDEX($A1511:$J1511,$Q$6)))</f>
        <v>0</v>
      </c>
      <c r="R1511" s="39" t="str">
        <f aca="false">IF($M1511="","",INDEX($A1511:$J1511,$R$6))</f>
        <v/>
      </c>
      <c r="S1511" s="37" t="str">
        <f aca="false">IF($M1511="","",IFERROR(INDEX(Settings!$B$27:$B$36,MATCH(L1511,Settings!$A$27:$A$36,0))&amp;"","UNMAPPED"))</f>
        <v/>
      </c>
      <c r="T1511" s="37" t="str">
        <f aca="false">IF($M1511="","",IF(NOT(ISNUMBER(R1511)),"NO DATE",IF(S1511="Won",IF(R1511&gt;Settings!$B$5,"Backlog","Delivered"),IF(S1511="Open",IF(R1511&gt;Settings!$B$5,"Pipeline","Overdue"),IF(S1511="Lost","Lost","UNMAPPED")))))</f>
        <v/>
      </c>
      <c r="U1511" s="40" t="n">
        <f aca="false">IF(T1511="Backlog",1,IF(OR(T1511="Pipeline",T1511="Overdue"),N(INDEX(Settings!$C$27:$C$36,MATCH(L1511,Settings!$A$27:$A$36,0))),0))</f>
        <v>0</v>
      </c>
      <c r="V1511" s="38" t="n">
        <f aca="false">Q1511*U1511</f>
        <v>0</v>
      </c>
      <c r="W1511" s="41" t="str">
        <f aca="false">IF($M1511="","",IF(T1511="Overdue",IF(Settings!$B$8="Yes",Settings!$B$7,""),IF(ISNUMBER(R1511),DATE(YEAR(R1511),MONTH(R1511),1),"")))</f>
        <v/>
      </c>
      <c r="X1511" s="38" t="n">
        <f aca="false">IF(AND(OR(T1511="Backlog",T1511="Pipeline",T1511="Overdue"),ISNUMBER(W1511)),IF(W1511&lt;=Settings!$B$6,V1511,0),0)</f>
        <v>0</v>
      </c>
      <c r="Y1511" s="38" t="n">
        <f aca="false">IF(AND(OR(T1511="Backlog",T1511="Pipeline",T1511="Overdue"),ISNUMBER(W1511)),IF(W1511&lt;=Settings!$B$6,Q1511,0),0)</f>
        <v>0</v>
      </c>
      <c r="Z1511" s="38" t="n">
        <f aca="false">IF(Y1511=0,0,IF(T1511="Backlog",Q1511,Q1511*Dashboard!$C$10))</f>
        <v>0</v>
      </c>
      <c r="AA1511" s="37" t="n">
        <f aca="false">IF($N1511="",0,IF(COUNTIF(Dashboard!$C$13:$C$22,$N1511)&gt;0,1,0))</f>
        <v>0</v>
      </c>
      <c r="AB1511" s="37" t="str">
        <f aca="false">IF($N1511="","",IF(COUNTIF($N$8:$N1511,$N1511)=1,MAX($AB$7:$AB1510)+1,""))</f>
        <v/>
      </c>
    </row>
    <row r="1512" customFormat="false" ht="15" hidden="false" customHeight="false" outlineLevel="0" collapsed="false">
      <c r="L1512" s="37" t="str">
        <f aca="false">IF(INDEX($A1512:$J1512,$L$6)&lt;&gt;"",TRIM(LEFT(INDEX($A1512:$J1512,$L$6),FIND("(",INDEX($A1512:$J1512,$L$6)&amp;"(")-1)),L1511)</f>
        <v>Building Value Proposition</v>
      </c>
      <c r="M1512" s="37" t="str">
        <f aca="false">IF(INDEX($A1512:$J1512,$M$6)="","",INDEX($A1512:$J1512,$M$6)&amp;"")</f>
        <v/>
      </c>
      <c r="N1512" s="37" t="str">
        <f aca="false">IF($M1512="","",TRIM(INDEX($A1512:$J1512,$N$6)&amp;""))</f>
        <v/>
      </c>
      <c r="O1512" s="37" t="str">
        <f aca="false">IF($M1512="","",TRIM(INDEX($A1512:$J1512,$O$6)&amp;""))</f>
        <v/>
      </c>
      <c r="P1512" s="37" t="str">
        <f aca="false">IF($M1512="","",IFERROR(IF(INDEX(Settings!$B$41:$B$50,MATCH(O1512,Settings!$A$41:$A$50,0))&amp;""="","UNMAPPED",INDEX(Settings!$B$41:$B$50,MATCH(O1512,Settings!$A$41:$A$50,0))&amp;""),"UNMAPPED"))</f>
        <v/>
      </c>
      <c r="Q1512" s="38" t="n">
        <f aca="false">IF($M1512="",0,N(INDEX($A1512:$J1512,$Q$6)))</f>
        <v>0</v>
      </c>
      <c r="R1512" s="39" t="str">
        <f aca="false">IF($M1512="","",INDEX($A1512:$J1512,$R$6))</f>
        <v/>
      </c>
      <c r="S1512" s="37" t="str">
        <f aca="false">IF($M1512="","",IFERROR(INDEX(Settings!$B$27:$B$36,MATCH(L1512,Settings!$A$27:$A$36,0))&amp;"","UNMAPPED"))</f>
        <v/>
      </c>
      <c r="T1512" s="37" t="str">
        <f aca="false">IF($M1512="","",IF(NOT(ISNUMBER(R1512)),"NO DATE",IF(S1512="Won",IF(R1512&gt;Settings!$B$5,"Backlog","Delivered"),IF(S1512="Open",IF(R1512&gt;Settings!$B$5,"Pipeline","Overdue"),IF(S1512="Lost","Lost","UNMAPPED")))))</f>
        <v/>
      </c>
      <c r="U1512" s="40" t="n">
        <f aca="false">IF(T1512="Backlog",1,IF(OR(T1512="Pipeline",T1512="Overdue"),N(INDEX(Settings!$C$27:$C$36,MATCH(L1512,Settings!$A$27:$A$36,0))),0))</f>
        <v>0</v>
      </c>
      <c r="V1512" s="38" t="n">
        <f aca="false">Q1512*U1512</f>
        <v>0</v>
      </c>
      <c r="W1512" s="41" t="str">
        <f aca="false">IF($M1512="","",IF(T1512="Overdue",IF(Settings!$B$8="Yes",Settings!$B$7,""),IF(ISNUMBER(R1512),DATE(YEAR(R1512),MONTH(R1512),1),"")))</f>
        <v/>
      </c>
      <c r="X1512" s="38" t="n">
        <f aca="false">IF(AND(OR(T1512="Backlog",T1512="Pipeline",T1512="Overdue"),ISNUMBER(W1512)),IF(W1512&lt;=Settings!$B$6,V1512,0),0)</f>
        <v>0</v>
      </c>
      <c r="Y1512" s="38" t="n">
        <f aca="false">IF(AND(OR(T1512="Backlog",T1512="Pipeline",T1512="Overdue"),ISNUMBER(W1512)),IF(W1512&lt;=Settings!$B$6,Q1512,0),0)</f>
        <v>0</v>
      </c>
      <c r="Z1512" s="38" t="n">
        <f aca="false">IF(Y1512=0,0,IF(T1512="Backlog",Q1512,Q1512*Dashboard!$C$10))</f>
        <v>0</v>
      </c>
      <c r="AA1512" s="37" t="n">
        <f aca="false">IF($N1512="",0,IF(COUNTIF(Dashboard!$C$13:$C$22,$N1512)&gt;0,1,0))</f>
        <v>0</v>
      </c>
      <c r="AB1512" s="37" t="str">
        <f aca="false">IF($N1512="","",IF(COUNTIF($N$8:$N1512,$N1512)=1,MAX($AB$7:$AB1511)+1,""))</f>
        <v/>
      </c>
    </row>
    <row r="1513" customFormat="false" ht="15" hidden="false" customHeight="false" outlineLevel="0" collapsed="false">
      <c r="L1513" s="37" t="str">
        <f aca="false">IF(INDEX($A1513:$J1513,$L$6)&lt;&gt;"",TRIM(LEFT(INDEX($A1513:$J1513,$L$6),FIND("(",INDEX($A1513:$J1513,$L$6)&amp;"(")-1)),L1512)</f>
        <v>Building Value Proposition</v>
      </c>
      <c r="M1513" s="37" t="str">
        <f aca="false">IF(INDEX($A1513:$J1513,$M$6)="","",INDEX($A1513:$J1513,$M$6)&amp;"")</f>
        <v/>
      </c>
      <c r="N1513" s="37" t="str">
        <f aca="false">IF($M1513="","",TRIM(INDEX($A1513:$J1513,$N$6)&amp;""))</f>
        <v/>
      </c>
      <c r="O1513" s="37" t="str">
        <f aca="false">IF($M1513="","",TRIM(INDEX($A1513:$J1513,$O$6)&amp;""))</f>
        <v/>
      </c>
      <c r="P1513" s="37" t="str">
        <f aca="false">IF($M1513="","",IFERROR(IF(INDEX(Settings!$B$41:$B$50,MATCH(O1513,Settings!$A$41:$A$50,0))&amp;""="","UNMAPPED",INDEX(Settings!$B$41:$B$50,MATCH(O1513,Settings!$A$41:$A$50,0))&amp;""),"UNMAPPED"))</f>
        <v/>
      </c>
      <c r="Q1513" s="38" t="n">
        <f aca="false">IF($M1513="",0,N(INDEX($A1513:$J1513,$Q$6)))</f>
        <v>0</v>
      </c>
      <c r="R1513" s="39" t="str">
        <f aca="false">IF($M1513="","",INDEX($A1513:$J1513,$R$6))</f>
        <v/>
      </c>
      <c r="S1513" s="37" t="str">
        <f aca="false">IF($M1513="","",IFERROR(INDEX(Settings!$B$27:$B$36,MATCH(L1513,Settings!$A$27:$A$36,0))&amp;"","UNMAPPED"))</f>
        <v/>
      </c>
      <c r="T1513" s="37" t="str">
        <f aca="false">IF($M1513="","",IF(NOT(ISNUMBER(R1513)),"NO DATE",IF(S1513="Won",IF(R1513&gt;Settings!$B$5,"Backlog","Delivered"),IF(S1513="Open",IF(R1513&gt;Settings!$B$5,"Pipeline","Overdue"),IF(S1513="Lost","Lost","UNMAPPED")))))</f>
        <v/>
      </c>
      <c r="U1513" s="40" t="n">
        <f aca="false">IF(T1513="Backlog",1,IF(OR(T1513="Pipeline",T1513="Overdue"),N(INDEX(Settings!$C$27:$C$36,MATCH(L1513,Settings!$A$27:$A$36,0))),0))</f>
        <v>0</v>
      </c>
      <c r="V1513" s="38" t="n">
        <f aca="false">Q1513*U1513</f>
        <v>0</v>
      </c>
      <c r="W1513" s="41" t="str">
        <f aca="false">IF($M1513="","",IF(T1513="Overdue",IF(Settings!$B$8="Yes",Settings!$B$7,""),IF(ISNUMBER(R1513),DATE(YEAR(R1513),MONTH(R1513),1),"")))</f>
        <v/>
      </c>
      <c r="X1513" s="38" t="n">
        <f aca="false">IF(AND(OR(T1513="Backlog",T1513="Pipeline",T1513="Overdue"),ISNUMBER(W1513)),IF(W1513&lt;=Settings!$B$6,V1513,0),0)</f>
        <v>0</v>
      </c>
      <c r="Y1513" s="38" t="n">
        <f aca="false">IF(AND(OR(T1513="Backlog",T1513="Pipeline",T1513="Overdue"),ISNUMBER(W1513)),IF(W1513&lt;=Settings!$B$6,Q1513,0),0)</f>
        <v>0</v>
      </c>
      <c r="Z1513" s="38" t="n">
        <f aca="false">IF(Y1513=0,0,IF(T1513="Backlog",Q1513,Q1513*Dashboard!$C$10))</f>
        <v>0</v>
      </c>
      <c r="AA1513" s="37" t="n">
        <f aca="false">IF($N1513="",0,IF(COUNTIF(Dashboard!$C$13:$C$22,$N1513)&gt;0,1,0))</f>
        <v>0</v>
      </c>
      <c r="AB1513" s="37" t="str">
        <f aca="false">IF($N1513="","",IF(COUNTIF($N$8:$N1513,$N1513)=1,MAX($AB$7:$AB1512)+1,""))</f>
        <v/>
      </c>
    </row>
    <row r="1514" customFormat="false" ht="15" hidden="false" customHeight="false" outlineLevel="0" collapsed="false">
      <c r="L1514" s="37" t="str">
        <f aca="false">IF(INDEX($A1514:$J1514,$L$6)&lt;&gt;"",TRIM(LEFT(INDEX($A1514:$J1514,$L$6),FIND("(",INDEX($A1514:$J1514,$L$6)&amp;"(")-1)),L1513)</f>
        <v>Building Value Proposition</v>
      </c>
      <c r="M1514" s="37" t="str">
        <f aca="false">IF(INDEX($A1514:$J1514,$M$6)="","",INDEX($A1514:$J1514,$M$6)&amp;"")</f>
        <v/>
      </c>
      <c r="N1514" s="37" t="str">
        <f aca="false">IF($M1514="","",TRIM(INDEX($A1514:$J1514,$N$6)&amp;""))</f>
        <v/>
      </c>
      <c r="O1514" s="37" t="str">
        <f aca="false">IF($M1514="","",TRIM(INDEX($A1514:$J1514,$O$6)&amp;""))</f>
        <v/>
      </c>
      <c r="P1514" s="37" t="str">
        <f aca="false">IF($M1514="","",IFERROR(IF(INDEX(Settings!$B$41:$B$50,MATCH(O1514,Settings!$A$41:$A$50,0))&amp;""="","UNMAPPED",INDEX(Settings!$B$41:$B$50,MATCH(O1514,Settings!$A$41:$A$50,0))&amp;""),"UNMAPPED"))</f>
        <v/>
      </c>
      <c r="Q1514" s="38" t="n">
        <f aca="false">IF($M1514="",0,N(INDEX($A1514:$J1514,$Q$6)))</f>
        <v>0</v>
      </c>
      <c r="R1514" s="39" t="str">
        <f aca="false">IF($M1514="","",INDEX($A1514:$J1514,$R$6))</f>
        <v/>
      </c>
      <c r="S1514" s="37" t="str">
        <f aca="false">IF($M1514="","",IFERROR(INDEX(Settings!$B$27:$B$36,MATCH(L1514,Settings!$A$27:$A$36,0))&amp;"","UNMAPPED"))</f>
        <v/>
      </c>
      <c r="T1514" s="37" t="str">
        <f aca="false">IF($M1514="","",IF(NOT(ISNUMBER(R1514)),"NO DATE",IF(S1514="Won",IF(R1514&gt;Settings!$B$5,"Backlog","Delivered"),IF(S1514="Open",IF(R1514&gt;Settings!$B$5,"Pipeline","Overdue"),IF(S1514="Lost","Lost","UNMAPPED")))))</f>
        <v/>
      </c>
      <c r="U1514" s="40" t="n">
        <f aca="false">IF(T1514="Backlog",1,IF(OR(T1514="Pipeline",T1514="Overdue"),N(INDEX(Settings!$C$27:$C$36,MATCH(L1514,Settings!$A$27:$A$36,0))),0))</f>
        <v>0</v>
      </c>
      <c r="V1514" s="38" t="n">
        <f aca="false">Q1514*U1514</f>
        <v>0</v>
      </c>
      <c r="W1514" s="41" t="str">
        <f aca="false">IF($M1514="","",IF(T1514="Overdue",IF(Settings!$B$8="Yes",Settings!$B$7,""),IF(ISNUMBER(R1514),DATE(YEAR(R1514),MONTH(R1514),1),"")))</f>
        <v/>
      </c>
      <c r="X1514" s="38" t="n">
        <f aca="false">IF(AND(OR(T1514="Backlog",T1514="Pipeline",T1514="Overdue"),ISNUMBER(W1514)),IF(W1514&lt;=Settings!$B$6,V1514,0),0)</f>
        <v>0</v>
      </c>
      <c r="Y1514" s="38" t="n">
        <f aca="false">IF(AND(OR(T1514="Backlog",T1514="Pipeline",T1514="Overdue"),ISNUMBER(W1514)),IF(W1514&lt;=Settings!$B$6,Q1514,0),0)</f>
        <v>0</v>
      </c>
      <c r="Z1514" s="38" t="n">
        <f aca="false">IF(Y1514=0,0,IF(T1514="Backlog",Q1514,Q1514*Dashboard!$C$10))</f>
        <v>0</v>
      </c>
      <c r="AA1514" s="37" t="n">
        <f aca="false">IF($N1514="",0,IF(COUNTIF(Dashboard!$C$13:$C$22,$N1514)&gt;0,1,0))</f>
        <v>0</v>
      </c>
      <c r="AB1514" s="37" t="str">
        <f aca="false">IF($N1514="","",IF(COUNTIF($N$8:$N1514,$N1514)=1,MAX($AB$7:$AB1513)+1,""))</f>
        <v/>
      </c>
    </row>
    <row r="1515" customFormat="false" ht="15" hidden="false" customHeight="false" outlineLevel="0" collapsed="false">
      <c r="L1515" s="37" t="str">
        <f aca="false">IF(INDEX($A1515:$J1515,$L$6)&lt;&gt;"",TRIM(LEFT(INDEX($A1515:$J1515,$L$6),FIND("(",INDEX($A1515:$J1515,$L$6)&amp;"(")-1)),L1514)</f>
        <v>Building Value Proposition</v>
      </c>
      <c r="M1515" s="37" t="str">
        <f aca="false">IF(INDEX($A1515:$J1515,$M$6)="","",INDEX($A1515:$J1515,$M$6)&amp;"")</f>
        <v/>
      </c>
      <c r="N1515" s="37" t="str">
        <f aca="false">IF($M1515="","",TRIM(INDEX($A1515:$J1515,$N$6)&amp;""))</f>
        <v/>
      </c>
      <c r="O1515" s="37" t="str">
        <f aca="false">IF($M1515="","",TRIM(INDEX($A1515:$J1515,$O$6)&amp;""))</f>
        <v/>
      </c>
      <c r="P1515" s="37" t="str">
        <f aca="false">IF($M1515="","",IFERROR(IF(INDEX(Settings!$B$41:$B$50,MATCH(O1515,Settings!$A$41:$A$50,0))&amp;""="","UNMAPPED",INDEX(Settings!$B$41:$B$50,MATCH(O1515,Settings!$A$41:$A$50,0))&amp;""),"UNMAPPED"))</f>
        <v/>
      </c>
      <c r="Q1515" s="38" t="n">
        <f aca="false">IF($M1515="",0,N(INDEX($A1515:$J1515,$Q$6)))</f>
        <v>0</v>
      </c>
      <c r="R1515" s="39" t="str">
        <f aca="false">IF($M1515="","",INDEX($A1515:$J1515,$R$6))</f>
        <v/>
      </c>
      <c r="S1515" s="37" t="str">
        <f aca="false">IF($M1515="","",IFERROR(INDEX(Settings!$B$27:$B$36,MATCH(L1515,Settings!$A$27:$A$36,0))&amp;"","UNMAPPED"))</f>
        <v/>
      </c>
      <c r="T1515" s="37" t="str">
        <f aca="false">IF($M1515="","",IF(NOT(ISNUMBER(R1515)),"NO DATE",IF(S1515="Won",IF(R1515&gt;Settings!$B$5,"Backlog","Delivered"),IF(S1515="Open",IF(R1515&gt;Settings!$B$5,"Pipeline","Overdue"),IF(S1515="Lost","Lost","UNMAPPED")))))</f>
        <v/>
      </c>
      <c r="U1515" s="40" t="n">
        <f aca="false">IF(T1515="Backlog",1,IF(OR(T1515="Pipeline",T1515="Overdue"),N(INDEX(Settings!$C$27:$C$36,MATCH(L1515,Settings!$A$27:$A$36,0))),0))</f>
        <v>0</v>
      </c>
      <c r="V1515" s="38" t="n">
        <f aca="false">Q1515*U1515</f>
        <v>0</v>
      </c>
      <c r="W1515" s="41" t="str">
        <f aca="false">IF($M1515="","",IF(T1515="Overdue",IF(Settings!$B$8="Yes",Settings!$B$7,""),IF(ISNUMBER(R1515),DATE(YEAR(R1515),MONTH(R1515),1),"")))</f>
        <v/>
      </c>
      <c r="X1515" s="38" t="n">
        <f aca="false">IF(AND(OR(T1515="Backlog",T1515="Pipeline",T1515="Overdue"),ISNUMBER(W1515)),IF(W1515&lt;=Settings!$B$6,V1515,0),0)</f>
        <v>0</v>
      </c>
      <c r="Y1515" s="38" t="n">
        <f aca="false">IF(AND(OR(T1515="Backlog",T1515="Pipeline",T1515="Overdue"),ISNUMBER(W1515)),IF(W1515&lt;=Settings!$B$6,Q1515,0),0)</f>
        <v>0</v>
      </c>
      <c r="Z1515" s="38" t="n">
        <f aca="false">IF(Y1515=0,0,IF(T1515="Backlog",Q1515,Q1515*Dashboard!$C$10))</f>
        <v>0</v>
      </c>
      <c r="AA1515" s="37" t="n">
        <f aca="false">IF($N1515="",0,IF(COUNTIF(Dashboard!$C$13:$C$22,$N1515)&gt;0,1,0))</f>
        <v>0</v>
      </c>
      <c r="AB1515" s="37" t="str">
        <f aca="false">IF($N1515="","",IF(COUNTIF($N$8:$N1515,$N1515)=1,MAX($AB$7:$AB1514)+1,""))</f>
        <v/>
      </c>
    </row>
    <row r="1516" customFormat="false" ht="15" hidden="false" customHeight="false" outlineLevel="0" collapsed="false">
      <c r="L1516" s="37" t="str">
        <f aca="false">IF(INDEX($A1516:$J1516,$L$6)&lt;&gt;"",TRIM(LEFT(INDEX($A1516:$J1516,$L$6),FIND("(",INDEX($A1516:$J1516,$L$6)&amp;"(")-1)),L1515)</f>
        <v>Building Value Proposition</v>
      </c>
      <c r="M1516" s="37" t="str">
        <f aca="false">IF(INDEX($A1516:$J1516,$M$6)="","",INDEX($A1516:$J1516,$M$6)&amp;"")</f>
        <v/>
      </c>
      <c r="N1516" s="37" t="str">
        <f aca="false">IF($M1516="","",TRIM(INDEX($A1516:$J1516,$N$6)&amp;""))</f>
        <v/>
      </c>
      <c r="O1516" s="37" t="str">
        <f aca="false">IF($M1516="","",TRIM(INDEX($A1516:$J1516,$O$6)&amp;""))</f>
        <v/>
      </c>
      <c r="P1516" s="37" t="str">
        <f aca="false">IF($M1516="","",IFERROR(IF(INDEX(Settings!$B$41:$B$50,MATCH(O1516,Settings!$A$41:$A$50,0))&amp;""="","UNMAPPED",INDEX(Settings!$B$41:$B$50,MATCH(O1516,Settings!$A$41:$A$50,0))&amp;""),"UNMAPPED"))</f>
        <v/>
      </c>
      <c r="Q1516" s="38" t="n">
        <f aca="false">IF($M1516="",0,N(INDEX($A1516:$J1516,$Q$6)))</f>
        <v>0</v>
      </c>
      <c r="R1516" s="39" t="str">
        <f aca="false">IF($M1516="","",INDEX($A1516:$J1516,$R$6))</f>
        <v/>
      </c>
      <c r="S1516" s="37" t="str">
        <f aca="false">IF($M1516="","",IFERROR(INDEX(Settings!$B$27:$B$36,MATCH(L1516,Settings!$A$27:$A$36,0))&amp;"","UNMAPPED"))</f>
        <v/>
      </c>
      <c r="T1516" s="37" t="str">
        <f aca="false">IF($M1516="","",IF(NOT(ISNUMBER(R1516)),"NO DATE",IF(S1516="Won",IF(R1516&gt;Settings!$B$5,"Backlog","Delivered"),IF(S1516="Open",IF(R1516&gt;Settings!$B$5,"Pipeline","Overdue"),IF(S1516="Lost","Lost","UNMAPPED")))))</f>
        <v/>
      </c>
      <c r="U1516" s="40" t="n">
        <f aca="false">IF(T1516="Backlog",1,IF(OR(T1516="Pipeline",T1516="Overdue"),N(INDEX(Settings!$C$27:$C$36,MATCH(L1516,Settings!$A$27:$A$36,0))),0))</f>
        <v>0</v>
      </c>
      <c r="V1516" s="38" t="n">
        <f aca="false">Q1516*U1516</f>
        <v>0</v>
      </c>
      <c r="W1516" s="41" t="str">
        <f aca="false">IF($M1516="","",IF(T1516="Overdue",IF(Settings!$B$8="Yes",Settings!$B$7,""),IF(ISNUMBER(R1516),DATE(YEAR(R1516),MONTH(R1516),1),"")))</f>
        <v/>
      </c>
      <c r="X1516" s="38" t="n">
        <f aca="false">IF(AND(OR(T1516="Backlog",T1516="Pipeline",T1516="Overdue"),ISNUMBER(W1516)),IF(W1516&lt;=Settings!$B$6,V1516,0),0)</f>
        <v>0</v>
      </c>
      <c r="Y1516" s="38" t="n">
        <f aca="false">IF(AND(OR(T1516="Backlog",T1516="Pipeline",T1516="Overdue"),ISNUMBER(W1516)),IF(W1516&lt;=Settings!$B$6,Q1516,0),0)</f>
        <v>0</v>
      </c>
      <c r="Z1516" s="38" t="n">
        <f aca="false">IF(Y1516=0,0,IF(T1516="Backlog",Q1516,Q1516*Dashboard!$C$10))</f>
        <v>0</v>
      </c>
      <c r="AA1516" s="37" t="n">
        <f aca="false">IF($N1516="",0,IF(COUNTIF(Dashboard!$C$13:$C$22,$N1516)&gt;0,1,0))</f>
        <v>0</v>
      </c>
      <c r="AB1516" s="37" t="str">
        <f aca="false">IF($N1516="","",IF(COUNTIF($N$8:$N1516,$N1516)=1,MAX($AB$7:$AB1515)+1,""))</f>
        <v/>
      </c>
    </row>
    <row r="1517" customFormat="false" ht="15" hidden="false" customHeight="false" outlineLevel="0" collapsed="false">
      <c r="L1517" s="37" t="str">
        <f aca="false">IF(INDEX($A1517:$J1517,$L$6)&lt;&gt;"",TRIM(LEFT(INDEX($A1517:$J1517,$L$6),FIND("(",INDEX($A1517:$J1517,$L$6)&amp;"(")-1)),L1516)</f>
        <v>Building Value Proposition</v>
      </c>
      <c r="M1517" s="37" t="str">
        <f aca="false">IF(INDEX($A1517:$J1517,$M$6)="","",INDEX($A1517:$J1517,$M$6)&amp;"")</f>
        <v/>
      </c>
      <c r="N1517" s="37" t="str">
        <f aca="false">IF($M1517="","",TRIM(INDEX($A1517:$J1517,$N$6)&amp;""))</f>
        <v/>
      </c>
      <c r="O1517" s="37" t="str">
        <f aca="false">IF($M1517="","",TRIM(INDEX($A1517:$J1517,$O$6)&amp;""))</f>
        <v/>
      </c>
      <c r="P1517" s="37" t="str">
        <f aca="false">IF($M1517="","",IFERROR(IF(INDEX(Settings!$B$41:$B$50,MATCH(O1517,Settings!$A$41:$A$50,0))&amp;""="","UNMAPPED",INDEX(Settings!$B$41:$B$50,MATCH(O1517,Settings!$A$41:$A$50,0))&amp;""),"UNMAPPED"))</f>
        <v/>
      </c>
      <c r="Q1517" s="38" t="n">
        <f aca="false">IF($M1517="",0,N(INDEX($A1517:$J1517,$Q$6)))</f>
        <v>0</v>
      </c>
      <c r="R1517" s="39" t="str">
        <f aca="false">IF($M1517="","",INDEX($A1517:$J1517,$R$6))</f>
        <v/>
      </c>
      <c r="S1517" s="37" t="str">
        <f aca="false">IF($M1517="","",IFERROR(INDEX(Settings!$B$27:$B$36,MATCH(L1517,Settings!$A$27:$A$36,0))&amp;"","UNMAPPED"))</f>
        <v/>
      </c>
      <c r="T1517" s="37" t="str">
        <f aca="false">IF($M1517="","",IF(NOT(ISNUMBER(R1517)),"NO DATE",IF(S1517="Won",IF(R1517&gt;Settings!$B$5,"Backlog","Delivered"),IF(S1517="Open",IF(R1517&gt;Settings!$B$5,"Pipeline","Overdue"),IF(S1517="Lost","Lost","UNMAPPED")))))</f>
        <v/>
      </c>
      <c r="U1517" s="40" t="n">
        <f aca="false">IF(T1517="Backlog",1,IF(OR(T1517="Pipeline",T1517="Overdue"),N(INDEX(Settings!$C$27:$C$36,MATCH(L1517,Settings!$A$27:$A$36,0))),0))</f>
        <v>0</v>
      </c>
      <c r="V1517" s="38" t="n">
        <f aca="false">Q1517*U1517</f>
        <v>0</v>
      </c>
      <c r="W1517" s="41" t="str">
        <f aca="false">IF($M1517="","",IF(T1517="Overdue",IF(Settings!$B$8="Yes",Settings!$B$7,""),IF(ISNUMBER(R1517),DATE(YEAR(R1517),MONTH(R1517),1),"")))</f>
        <v/>
      </c>
      <c r="X1517" s="38" t="n">
        <f aca="false">IF(AND(OR(T1517="Backlog",T1517="Pipeline",T1517="Overdue"),ISNUMBER(W1517)),IF(W1517&lt;=Settings!$B$6,V1517,0),0)</f>
        <v>0</v>
      </c>
      <c r="Y1517" s="38" t="n">
        <f aca="false">IF(AND(OR(T1517="Backlog",T1517="Pipeline",T1517="Overdue"),ISNUMBER(W1517)),IF(W1517&lt;=Settings!$B$6,Q1517,0),0)</f>
        <v>0</v>
      </c>
      <c r="Z1517" s="38" t="n">
        <f aca="false">IF(Y1517=0,0,IF(T1517="Backlog",Q1517,Q1517*Dashboard!$C$10))</f>
        <v>0</v>
      </c>
      <c r="AA1517" s="37" t="n">
        <f aca="false">IF($N1517="",0,IF(COUNTIF(Dashboard!$C$13:$C$22,$N1517)&gt;0,1,0))</f>
        <v>0</v>
      </c>
      <c r="AB1517" s="37" t="str">
        <f aca="false">IF($N1517="","",IF(COUNTIF($N$8:$N1517,$N1517)=1,MAX($AB$7:$AB1516)+1,""))</f>
        <v/>
      </c>
    </row>
    <row r="1518" customFormat="false" ht="15" hidden="false" customHeight="false" outlineLevel="0" collapsed="false">
      <c r="L1518" s="37" t="str">
        <f aca="false">IF(INDEX($A1518:$J1518,$L$6)&lt;&gt;"",TRIM(LEFT(INDEX($A1518:$J1518,$L$6),FIND("(",INDEX($A1518:$J1518,$L$6)&amp;"(")-1)),L1517)</f>
        <v>Building Value Proposition</v>
      </c>
      <c r="M1518" s="37" t="str">
        <f aca="false">IF(INDEX($A1518:$J1518,$M$6)="","",INDEX($A1518:$J1518,$M$6)&amp;"")</f>
        <v/>
      </c>
      <c r="N1518" s="37" t="str">
        <f aca="false">IF($M1518="","",TRIM(INDEX($A1518:$J1518,$N$6)&amp;""))</f>
        <v/>
      </c>
      <c r="O1518" s="37" t="str">
        <f aca="false">IF($M1518="","",TRIM(INDEX($A1518:$J1518,$O$6)&amp;""))</f>
        <v/>
      </c>
      <c r="P1518" s="37" t="str">
        <f aca="false">IF($M1518="","",IFERROR(IF(INDEX(Settings!$B$41:$B$50,MATCH(O1518,Settings!$A$41:$A$50,0))&amp;""="","UNMAPPED",INDEX(Settings!$B$41:$B$50,MATCH(O1518,Settings!$A$41:$A$50,0))&amp;""),"UNMAPPED"))</f>
        <v/>
      </c>
      <c r="Q1518" s="38" t="n">
        <f aca="false">IF($M1518="",0,N(INDEX($A1518:$J1518,$Q$6)))</f>
        <v>0</v>
      </c>
      <c r="R1518" s="39" t="str">
        <f aca="false">IF($M1518="","",INDEX($A1518:$J1518,$R$6))</f>
        <v/>
      </c>
      <c r="S1518" s="37" t="str">
        <f aca="false">IF($M1518="","",IFERROR(INDEX(Settings!$B$27:$B$36,MATCH(L1518,Settings!$A$27:$A$36,0))&amp;"","UNMAPPED"))</f>
        <v/>
      </c>
      <c r="T1518" s="37" t="str">
        <f aca="false">IF($M1518="","",IF(NOT(ISNUMBER(R1518)),"NO DATE",IF(S1518="Won",IF(R1518&gt;Settings!$B$5,"Backlog","Delivered"),IF(S1518="Open",IF(R1518&gt;Settings!$B$5,"Pipeline","Overdue"),IF(S1518="Lost","Lost","UNMAPPED")))))</f>
        <v/>
      </c>
      <c r="U1518" s="40" t="n">
        <f aca="false">IF(T1518="Backlog",1,IF(OR(T1518="Pipeline",T1518="Overdue"),N(INDEX(Settings!$C$27:$C$36,MATCH(L1518,Settings!$A$27:$A$36,0))),0))</f>
        <v>0</v>
      </c>
      <c r="V1518" s="38" t="n">
        <f aca="false">Q1518*U1518</f>
        <v>0</v>
      </c>
      <c r="W1518" s="41" t="str">
        <f aca="false">IF($M1518="","",IF(T1518="Overdue",IF(Settings!$B$8="Yes",Settings!$B$7,""),IF(ISNUMBER(R1518),DATE(YEAR(R1518),MONTH(R1518),1),"")))</f>
        <v/>
      </c>
      <c r="X1518" s="38" t="n">
        <f aca="false">IF(AND(OR(T1518="Backlog",T1518="Pipeline",T1518="Overdue"),ISNUMBER(W1518)),IF(W1518&lt;=Settings!$B$6,V1518,0),0)</f>
        <v>0</v>
      </c>
      <c r="Y1518" s="38" t="n">
        <f aca="false">IF(AND(OR(T1518="Backlog",T1518="Pipeline",T1518="Overdue"),ISNUMBER(W1518)),IF(W1518&lt;=Settings!$B$6,Q1518,0),0)</f>
        <v>0</v>
      </c>
      <c r="Z1518" s="38" t="n">
        <f aca="false">IF(Y1518=0,0,IF(T1518="Backlog",Q1518,Q1518*Dashboard!$C$10))</f>
        <v>0</v>
      </c>
      <c r="AA1518" s="37" t="n">
        <f aca="false">IF($N1518="",0,IF(COUNTIF(Dashboard!$C$13:$C$22,$N1518)&gt;0,1,0))</f>
        <v>0</v>
      </c>
      <c r="AB1518" s="37" t="str">
        <f aca="false">IF($N1518="","",IF(COUNTIF($N$8:$N1518,$N1518)=1,MAX($AB$7:$AB1517)+1,""))</f>
        <v/>
      </c>
    </row>
    <row r="1519" customFormat="false" ht="15" hidden="false" customHeight="false" outlineLevel="0" collapsed="false">
      <c r="L1519" s="37" t="str">
        <f aca="false">IF(INDEX($A1519:$J1519,$L$6)&lt;&gt;"",TRIM(LEFT(INDEX($A1519:$J1519,$L$6),FIND("(",INDEX($A1519:$J1519,$L$6)&amp;"(")-1)),L1518)</f>
        <v>Building Value Proposition</v>
      </c>
      <c r="M1519" s="37" t="str">
        <f aca="false">IF(INDEX($A1519:$J1519,$M$6)="","",INDEX($A1519:$J1519,$M$6)&amp;"")</f>
        <v/>
      </c>
      <c r="N1519" s="37" t="str">
        <f aca="false">IF($M1519="","",TRIM(INDEX($A1519:$J1519,$N$6)&amp;""))</f>
        <v/>
      </c>
      <c r="O1519" s="37" t="str">
        <f aca="false">IF($M1519="","",TRIM(INDEX($A1519:$J1519,$O$6)&amp;""))</f>
        <v/>
      </c>
      <c r="P1519" s="37" t="str">
        <f aca="false">IF($M1519="","",IFERROR(IF(INDEX(Settings!$B$41:$B$50,MATCH(O1519,Settings!$A$41:$A$50,0))&amp;""="","UNMAPPED",INDEX(Settings!$B$41:$B$50,MATCH(O1519,Settings!$A$41:$A$50,0))&amp;""),"UNMAPPED"))</f>
        <v/>
      </c>
      <c r="Q1519" s="38" t="n">
        <f aca="false">IF($M1519="",0,N(INDEX($A1519:$J1519,$Q$6)))</f>
        <v>0</v>
      </c>
      <c r="R1519" s="39" t="str">
        <f aca="false">IF($M1519="","",INDEX($A1519:$J1519,$R$6))</f>
        <v/>
      </c>
      <c r="S1519" s="37" t="str">
        <f aca="false">IF($M1519="","",IFERROR(INDEX(Settings!$B$27:$B$36,MATCH(L1519,Settings!$A$27:$A$36,0))&amp;"","UNMAPPED"))</f>
        <v/>
      </c>
      <c r="T1519" s="37" t="str">
        <f aca="false">IF($M1519="","",IF(NOT(ISNUMBER(R1519)),"NO DATE",IF(S1519="Won",IF(R1519&gt;Settings!$B$5,"Backlog","Delivered"),IF(S1519="Open",IF(R1519&gt;Settings!$B$5,"Pipeline","Overdue"),IF(S1519="Lost","Lost","UNMAPPED")))))</f>
        <v/>
      </c>
      <c r="U1519" s="40" t="n">
        <f aca="false">IF(T1519="Backlog",1,IF(OR(T1519="Pipeline",T1519="Overdue"),N(INDEX(Settings!$C$27:$C$36,MATCH(L1519,Settings!$A$27:$A$36,0))),0))</f>
        <v>0</v>
      </c>
      <c r="V1519" s="38" t="n">
        <f aca="false">Q1519*U1519</f>
        <v>0</v>
      </c>
      <c r="W1519" s="41" t="str">
        <f aca="false">IF($M1519="","",IF(T1519="Overdue",IF(Settings!$B$8="Yes",Settings!$B$7,""),IF(ISNUMBER(R1519),DATE(YEAR(R1519),MONTH(R1519),1),"")))</f>
        <v/>
      </c>
      <c r="X1519" s="38" t="n">
        <f aca="false">IF(AND(OR(T1519="Backlog",T1519="Pipeline",T1519="Overdue"),ISNUMBER(W1519)),IF(W1519&lt;=Settings!$B$6,V1519,0),0)</f>
        <v>0</v>
      </c>
      <c r="Y1519" s="38" t="n">
        <f aca="false">IF(AND(OR(T1519="Backlog",T1519="Pipeline",T1519="Overdue"),ISNUMBER(W1519)),IF(W1519&lt;=Settings!$B$6,Q1519,0),0)</f>
        <v>0</v>
      </c>
      <c r="Z1519" s="38" t="n">
        <f aca="false">IF(Y1519=0,0,IF(T1519="Backlog",Q1519,Q1519*Dashboard!$C$10))</f>
        <v>0</v>
      </c>
      <c r="AA1519" s="37" t="n">
        <f aca="false">IF($N1519="",0,IF(COUNTIF(Dashboard!$C$13:$C$22,$N1519)&gt;0,1,0))</f>
        <v>0</v>
      </c>
      <c r="AB1519" s="37" t="str">
        <f aca="false">IF($N1519="","",IF(COUNTIF($N$8:$N1519,$N1519)=1,MAX($AB$7:$AB1518)+1,""))</f>
        <v/>
      </c>
    </row>
    <row r="1520" customFormat="false" ht="15" hidden="false" customHeight="false" outlineLevel="0" collapsed="false">
      <c r="L1520" s="37" t="str">
        <f aca="false">IF(INDEX($A1520:$J1520,$L$6)&lt;&gt;"",TRIM(LEFT(INDEX($A1520:$J1520,$L$6),FIND("(",INDEX($A1520:$J1520,$L$6)&amp;"(")-1)),L1519)</f>
        <v>Building Value Proposition</v>
      </c>
      <c r="M1520" s="37" t="str">
        <f aca="false">IF(INDEX($A1520:$J1520,$M$6)="","",INDEX($A1520:$J1520,$M$6)&amp;"")</f>
        <v/>
      </c>
      <c r="N1520" s="37" t="str">
        <f aca="false">IF($M1520="","",TRIM(INDEX($A1520:$J1520,$N$6)&amp;""))</f>
        <v/>
      </c>
      <c r="O1520" s="37" t="str">
        <f aca="false">IF($M1520="","",TRIM(INDEX($A1520:$J1520,$O$6)&amp;""))</f>
        <v/>
      </c>
      <c r="P1520" s="37" t="str">
        <f aca="false">IF($M1520="","",IFERROR(IF(INDEX(Settings!$B$41:$B$50,MATCH(O1520,Settings!$A$41:$A$50,0))&amp;""="","UNMAPPED",INDEX(Settings!$B$41:$B$50,MATCH(O1520,Settings!$A$41:$A$50,0))&amp;""),"UNMAPPED"))</f>
        <v/>
      </c>
      <c r="Q1520" s="38" t="n">
        <f aca="false">IF($M1520="",0,N(INDEX($A1520:$J1520,$Q$6)))</f>
        <v>0</v>
      </c>
      <c r="R1520" s="39" t="str">
        <f aca="false">IF($M1520="","",INDEX($A1520:$J1520,$R$6))</f>
        <v/>
      </c>
      <c r="S1520" s="37" t="str">
        <f aca="false">IF($M1520="","",IFERROR(INDEX(Settings!$B$27:$B$36,MATCH(L1520,Settings!$A$27:$A$36,0))&amp;"","UNMAPPED"))</f>
        <v/>
      </c>
      <c r="T1520" s="37" t="str">
        <f aca="false">IF($M1520="","",IF(NOT(ISNUMBER(R1520)),"NO DATE",IF(S1520="Won",IF(R1520&gt;Settings!$B$5,"Backlog","Delivered"),IF(S1520="Open",IF(R1520&gt;Settings!$B$5,"Pipeline","Overdue"),IF(S1520="Lost","Lost","UNMAPPED")))))</f>
        <v/>
      </c>
      <c r="U1520" s="40" t="n">
        <f aca="false">IF(T1520="Backlog",1,IF(OR(T1520="Pipeline",T1520="Overdue"),N(INDEX(Settings!$C$27:$C$36,MATCH(L1520,Settings!$A$27:$A$36,0))),0))</f>
        <v>0</v>
      </c>
      <c r="V1520" s="38" t="n">
        <f aca="false">Q1520*U1520</f>
        <v>0</v>
      </c>
      <c r="W1520" s="41" t="str">
        <f aca="false">IF($M1520="","",IF(T1520="Overdue",IF(Settings!$B$8="Yes",Settings!$B$7,""),IF(ISNUMBER(R1520),DATE(YEAR(R1520),MONTH(R1520),1),"")))</f>
        <v/>
      </c>
      <c r="X1520" s="38" t="n">
        <f aca="false">IF(AND(OR(T1520="Backlog",T1520="Pipeline",T1520="Overdue"),ISNUMBER(W1520)),IF(W1520&lt;=Settings!$B$6,V1520,0),0)</f>
        <v>0</v>
      </c>
      <c r="Y1520" s="38" t="n">
        <f aca="false">IF(AND(OR(T1520="Backlog",T1520="Pipeline",T1520="Overdue"),ISNUMBER(W1520)),IF(W1520&lt;=Settings!$B$6,Q1520,0),0)</f>
        <v>0</v>
      </c>
      <c r="Z1520" s="38" t="n">
        <f aca="false">IF(Y1520=0,0,IF(T1520="Backlog",Q1520,Q1520*Dashboard!$C$10))</f>
        <v>0</v>
      </c>
      <c r="AA1520" s="37" t="n">
        <f aca="false">IF($N1520="",0,IF(COUNTIF(Dashboard!$C$13:$C$22,$N1520)&gt;0,1,0))</f>
        <v>0</v>
      </c>
      <c r="AB1520" s="37" t="str">
        <f aca="false">IF($N1520="","",IF(COUNTIF($N$8:$N1520,$N1520)=1,MAX($AB$7:$AB1519)+1,""))</f>
        <v/>
      </c>
    </row>
    <row r="1521" customFormat="false" ht="15" hidden="false" customHeight="false" outlineLevel="0" collapsed="false">
      <c r="L1521" s="37" t="str">
        <f aca="false">IF(INDEX($A1521:$J1521,$L$6)&lt;&gt;"",TRIM(LEFT(INDEX($A1521:$J1521,$L$6),FIND("(",INDEX($A1521:$J1521,$L$6)&amp;"(")-1)),L1520)</f>
        <v>Building Value Proposition</v>
      </c>
      <c r="M1521" s="37" t="str">
        <f aca="false">IF(INDEX($A1521:$J1521,$M$6)="","",INDEX($A1521:$J1521,$M$6)&amp;"")</f>
        <v/>
      </c>
      <c r="N1521" s="37" t="str">
        <f aca="false">IF($M1521="","",TRIM(INDEX($A1521:$J1521,$N$6)&amp;""))</f>
        <v/>
      </c>
      <c r="O1521" s="37" t="str">
        <f aca="false">IF($M1521="","",TRIM(INDEX($A1521:$J1521,$O$6)&amp;""))</f>
        <v/>
      </c>
      <c r="P1521" s="37" t="str">
        <f aca="false">IF($M1521="","",IFERROR(IF(INDEX(Settings!$B$41:$B$50,MATCH(O1521,Settings!$A$41:$A$50,0))&amp;""="","UNMAPPED",INDEX(Settings!$B$41:$B$50,MATCH(O1521,Settings!$A$41:$A$50,0))&amp;""),"UNMAPPED"))</f>
        <v/>
      </c>
      <c r="Q1521" s="38" t="n">
        <f aca="false">IF($M1521="",0,N(INDEX($A1521:$J1521,$Q$6)))</f>
        <v>0</v>
      </c>
      <c r="R1521" s="39" t="str">
        <f aca="false">IF($M1521="","",INDEX($A1521:$J1521,$R$6))</f>
        <v/>
      </c>
      <c r="S1521" s="37" t="str">
        <f aca="false">IF($M1521="","",IFERROR(INDEX(Settings!$B$27:$B$36,MATCH(L1521,Settings!$A$27:$A$36,0))&amp;"","UNMAPPED"))</f>
        <v/>
      </c>
      <c r="T1521" s="37" t="str">
        <f aca="false">IF($M1521="","",IF(NOT(ISNUMBER(R1521)),"NO DATE",IF(S1521="Won",IF(R1521&gt;Settings!$B$5,"Backlog","Delivered"),IF(S1521="Open",IF(R1521&gt;Settings!$B$5,"Pipeline","Overdue"),IF(S1521="Lost","Lost","UNMAPPED")))))</f>
        <v/>
      </c>
      <c r="U1521" s="40" t="n">
        <f aca="false">IF(T1521="Backlog",1,IF(OR(T1521="Pipeline",T1521="Overdue"),N(INDEX(Settings!$C$27:$C$36,MATCH(L1521,Settings!$A$27:$A$36,0))),0))</f>
        <v>0</v>
      </c>
      <c r="V1521" s="38" t="n">
        <f aca="false">Q1521*U1521</f>
        <v>0</v>
      </c>
      <c r="W1521" s="41" t="str">
        <f aca="false">IF($M1521="","",IF(T1521="Overdue",IF(Settings!$B$8="Yes",Settings!$B$7,""),IF(ISNUMBER(R1521),DATE(YEAR(R1521),MONTH(R1521),1),"")))</f>
        <v/>
      </c>
      <c r="X1521" s="38" t="n">
        <f aca="false">IF(AND(OR(T1521="Backlog",T1521="Pipeline",T1521="Overdue"),ISNUMBER(W1521)),IF(W1521&lt;=Settings!$B$6,V1521,0),0)</f>
        <v>0</v>
      </c>
      <c r="Y1521" s="38" t="n">
        <f aca="false">IF(AND(OR(T1521="Backlog",T1521="Pipeline",T1521="Overdue"),ISNUMBER(W1521)),IF(W1521&lt;=Settings!$B$6,Q1521,0),0)</f>
        <v>0</v>
      </c>
      <c r="Z1521" s="38" t="n">
        <f aca="false">IF(Y1521=0,0,IF(T1521="Backlog",Q1521,Q1521*Dashboard!$C$10))</f>
        <v>0</v>
      </c>
      <c r="AA1521" s="37" t="n">
        <f aca="false">IF($N1521="",0,IF(COUNTIF(Dashboard!$C$13:$C$22,$N1521)&gt;0,1,0))</f>
        <v>0</v>
      </c>
      <c r="AB1521" s="37" t="str">
        <f aca="false">IF($N1521="","",IF(COUNTIF($N$8:$N1521,$N1521)=1,MAX($AB$7:$AB1520)+1,""))</f>
        <v/>
      </c>
    </row>
    <row r="1522" customFormat="false" ht="15" hidden="false" customHeight="false" outlineLevel="0" collapsed="false">
      <c r="L1522" s="37" t="str">
        <f aca="false">IF(INDEX($A1522:$J1522,$L$6)&lt;&gt;"",TRIM(LEFT(INDEX($A1522:$J1522,$L$6),FIND("(",INDEX($A1522:$J1522,$L$6)&amp;"(")-1)),L1521)</f>
        <v>Building Value Proposition</v>
      </c>
      <c r="M1522" s="37" t="str">
        <f aca="false">IF(INDEX($A1522:$J1522,$M$6)="","",INDEX($A1522:$J1522,$M$6)&amp;"")</f>
        <v/>
      </c>
      <c r="N1522" s="37" t="str">
        <f aca="false">IF($M1522="","",TRIM(INDEX($A1522:$J1522,$N$6)&amp;""))</f>
        <v/>
      </c>
      <c r="O1522" s="37" t="str">
        <f aca="false">IF($M1522="","",TRIM(INDEX($A1522:$J1522,$O$6)&amp;""))</f>
        <v/>
      </c>
      <c r="P1522" s="37" t="str">
        <f aca="false">IF($M1522="","",IFERROR(IF(INDEX(Settings!$B$41:$B$50,MATCH(O1522,Settings!$A$41:$A$50,0))&amp;""="","UNMAPPED",INDEX(Settings!$B$41:$B$50,MATCH(O1522,Settings!$A$41:$A$50,0))&amp;""),"UNMAPPED"))</f>
        <v/>
      </c>
      <c r="Q1522" s="38" t="n">
        <f aca="false">IF($M1522="",0,N(INDEX($A1522:$J1522,$Q$6)))</f>
        <v>0</v>
      </c>
      <c r="R1522" s="39" t="str">
        <f aca="false">IF($M1522="","",INDEX($A1522:$J1522,$R$6))</f>
        <v/>
      </c>
      <c r="S1522" s="37" t="str">
        <f aca="false">IF($M1522="","",IFERROR(INDEX(Settings!$B$27:$B$36,MATCH(L1522,Settings!$A$27:$A$36,0))&amp;"","UNMAPPED"))</f>
        <v/>
      </c>
      <c r="T1522" s="37" t="str">
        <f aca="false">IF($M1522="","",IF(NOT(ISNUMBER(R1522)),"NO DATE",IF(S1522="Won",IF(R1522&gt;Settings!$B$5,"Backlog","Delivered"),IF(S1522="Open",IF(R1522&gt;Settings!$B$5,"Pipeline","Overdue"),IF(S1522="Lost","Lost","UNMAPPED")))))</f>
        <v/>
      </c>
      <c r="U1522" s="40" t="n">
        <f aca="false">IF(T1522="Backlog",1,IF(OR(T1522="Pipeline",T1522="Overdue"),N(INDEX(Settings!$C$27:$C$36,MATCH(L1522,Settings!$A$27:$A$36,0))),0))</f>
        <v>0</v>
      </c>
      <c r="V1522" s="38" t="n">
        <f aca="false">Q1522*U1522</f>
        <v>0</v>
      </c>
      <c r="W1522" s="41" t="str">
        <f aca="false">IF($M1522="","",IF(T1522="Overdue",IF(Settings!$B$8="Yes",Settings!$B$7,""),IF(ISNUMBER(R1522),DATE(YEAR(R1522),MONTH(R1522),1),"")))</f>
        <v/>
      </c>
      <c r="X1522" s="38" t="n">
        <f aca="false">IF(AND(OR(T1522="Backlog",T1522="Pipeline",T1522="Overdue"),ISNUMBER(W1522)),IF(W1522&lt;=Settings!$B$6,V1522,0),0)</f>
        <v>0</v>
      </c>
      <c r="Y1522" s="38" t="n">
        <f aca="false">IF(AND(OR(T1522="Backlog",T1522="Pipeline",T1522="Overdue"),ISNUMBER(W1522)),IF(W1522&lt;=Settings!$B$6,Q1522,0),0)</f>
        <v>0</v>
      </c>
      <c r="Z1522" s="38" t="n">
        <f aca="false">IF(Y1522=0,0,IF(T1522="Backlog",Q1522,Q1522*Dashboard!$C$10))</f>
        <v>0</v>
      </c>
      <c r="AA1522" s="37" t="n">
        <f aca="false">IF($N1522="",0,IF(COUNTIF(Dashboard!$C$13:$C$22,$N1522)&gt;0,1,0))</f>
        <v>0</v>
      </c>
      <c r="AB1522" s="37" t="str">
        <f aca="false">IF($N1522="","",IF(COUNTIF($N$8:$N1522,$N1522)=1,MAX($AB$7:$AB1521)+1,""))</f>
        <v/>
      </c>
    </row>
    <row r="1523" customFormat="false" ht="15" hidden="false" customHeight="false" outlineLevel="0" collapsed="false">
      <c r="L1523" s="37" t="str">
        <f aca="false">IF(INDEX($A1523:$J1523,$L$6)&lt;&gt;"",TRIM(LEFT(INDEX($A1523:$J1523,$L$6),FIND("(",INDEX($A1523:$J1523,$L$6)&amp;"(")-1)),L1522)</f>
        <v>Building Value Proposition</v>
      </c>
      <c r="M1523" s="37" t="str">
        <f aca="false">IF(INDEX($A1523:$J1523,$M$6)="","",INDEX($A1523:$J1523,$M$6)&amp;"")</f>
        <v/>
      </c>
      <c r="N1523" s="37" t="str">
        <f aca="false">IF($M1523="","",TRIM(INDEX($A1523:$J1523,$N$6)&amp;""))</f>
        <v/>
      </c>
      <c r="O1523" s="37" t="str">
        <f aca="false">IF($M1523="","",TRIM(INDEX($A1523:$J1523,$O$6)&amp;""))</f>
        <v/>
      </c>
      <c r="P1523" s="37" t="str">
        <f aca="false">IF($M1523="","",IFERROR(IF(INDEX(Settings!$B$41:$B$50,MATCH(O1523,Settings!$A$41:$A$50,0))&amp;""="","UNMAPPED",INDEX(Settings!$B$41:$B$50,MATCH(O1523,Settings!$A$41:$A$50,0))&amp;""),"UNMAPPED"))</f>
        <v/>
      </c>
      <c r="Q1523" s="38" t="n">
        <f aca="false">IF($M1523="",0,N(INDEX($A1523:$J1523,$Q$6)))</f>
        <v>0</v>
      </c>
      <c r="R1523" s="39" t="str">
        <f aca="false">IF($M1523="","",INDEX($A1523:$J1523,$R$6))</f>
        <v/>
      </c>
      <c r="S1523" s="37" t="str">
        <f aca="false">IF($M1523="","",IFERROR(INDEX(Settings!$B$27:$B$36,MATCH(L1523,Settings!$A$27:$A$36,0))&amp;"","UNMAPPED"))</f>
        <v/>
      </c>
      <c r="T1523" s="37" t="str">
        <f aca="false">IF($M1523="","",IF(NOT(ISNUMBER(R1523)),"NO DATE",IF(S1523="Won",IF(R1523&gt;Settings!$B$5,"Backlog","Delivered"),IF(S1523="Open",IF(R1523&gt;Settings!$B$5,"Pipeline","Overdue"),IF(S1523="Lost","Lost","UNMAPPED")))))</f>
        <v/>
      </c>
      <c r="U1523" s="40" t="n">
        <f aca="false">IF(T1523="Backlog",1,IF(OR(T1523="Pipeline",T1523="Overdue"),N(INDEX(Settings!$C$27:$C$36,MATCH(L1523,Settings!$A$27:$A$36,0))),0))</f>
        <v>0</v>
      </c>
      <c r="V1523" s="38" t="n">
        <f aca="false">Q1523*U1523</f>
        <v>0</v>
      </c>
      <c r="W1523" s="41" t="str">
        <f aca="false">IF($M1523="","",IF(T1523="Overdue",IF(Settings!$B$8="Yes",Settings!$B$7,""),IF(ISNUMBER(R1523),DATE(YEAR(R1523),MONTH(R1523),1),"")))</f>
        <v/>
      </c>
      <c r="X1523" s="38" t="n">
        <f aca="false">IF(AND(OR(T1523="Backlog",T1523="Pipeline",T1523="Overdue"),ISNUMBER(W1523)),IF(W1523&lt;=Settings!$B$6,V1523,0),0)</f>
        <v>0</v>
      </c>
      <c r="Y1523" s="38" t="n">
        <f aca="false">IF(AND(OR(T1523="Backlog",T1523="Pipeline",T1523="Overdue"),ISNUMBER(W1523)),IF(W1523&lt;=Settings!$B$6,Q1523,0),0)</f>
        <v>0</v>
      </c>
      <c r="Z1523" s="38" t="n">
        <f aca="false">IF(Y1523=0,0,IF(T1523="Backlog",Q1523,Q1523*Dashboard!$C$10))</f>
        <v>0</v>
      </c>
      <c r="AA1523" s="37" t="n">
        <f aca="false">IF($N1523="",0,IF(COUNTIF(Dashboard!$C$13:$C$22,$N1523)&gt;0,1,0))</f>
        <v>0</v>
      </c>
      <c r="AB1523" s="37" t="str">
        <f aca="false">IF($N1523="","",IF(COUNTIF($N$8:$N1523,$N1523)=1,MAX($AB$7:$AB1522)+1,""))</f>
        <v/>
      </c>
    </row>
    <row r="1524" customFormat="false" ht="15" hidden="false" customHeight="false" outlineLevel="0" collapsed="false">
      <c r="L1524" s="37" t="str">
        <f aca="false">IF(INDEX($A1524:$J1524,$L$6)&lt;&gt;"",TRIM(LEFT(INDEX($A1524:$J1524,$L$6),FIND("(",INDEX($A1524:$J1524,$L$6)&amp;"(")-1)),L1523)</f>
        <v>Building Value Proposition</v>
      </c>
      <c r="M1524" s="37" t="str">
        <f aca="false">IF(INDEX($A1524:$J1524,$M$6)="","",INDEX($A1524:$J1524,$M$6)&amp;"")</f>
        <v/>
      </c>
      <c r="N1524" s="37" t="str">
        <f aca="false">IF($M1524="","",TRIM(INDEX($A1524:$J1524,$N$6)&amp;""))</f>
        <v/>
      </c>
      <c r="O1524" s="37" t="str">
        <f aca="false">IF($M1524="","",TRIM(INDEX($A1524:$J1524,$O$6)&amp;""))</f>
        <v/>
      </c>
      <c r="P1524" s="37" t="str">
        <f aca="false">IF($M1524="","",IFERROR(IF(INDEX(Settings!$B$41:$B$50,MATCH(O1524,Settings!$A$41:$A$50,0))&amp;""="","UNMAPPED",INDEX(Settings!$B$41:$B$50,MATCH(O1524,Settings!$A$41:$A$50,0))&amp;""),"UNMAPPED"))</f>
        <v/>
      </c>
      <c r="Q1524" s="38" t="n">
        <f aca="false">IF($M1524="",0,N(INDEX($A1524:$J1524,$Q$6)))</f>
        <v>0</v>
      </c>
      <c r="R1524" s="39" t="str">
        <f aca="false">IF($M1524="","",INDEX($A1524:$J1524,$R$6))</f>
        <v/>
      </c>
      <c r="S1524" s="37" t="str">
        <f aca="false">IF($M1524="","",IFERROR(INDEX(Settings!$B$27:$B$36,MATCH(L1524,Settings!$A$27:$A$36,0))&amp;"","UNMAPPED"))</f>
        <v/>
      </c>
      <c r="T1524" s="37" t="str">
        <f aca="false">IF($M1524="","",IF(NOT(ISNUMBER(R1524)),"NO DATE",IF(S1524="Won",IF(R1524&gt;Settings!$B$5,"Backlog","Delivered"),IF(S1524="Open",IF(R1524&gt;Settings!$B$5,"Pipeline","Overdue"),IF(S1524="Lost","Lost","UNMAPPED")))))</f>
        <v/>
      </c>
      <c r="U1524" s="40" t="n">
        <f aca="false">IF(T1524="Backlog",1,IF(OR(T1524="Pipeline",T1524="Overdue"),N(INDEX(Settings!$C$27:$C$36,MATCH(L1524,Settings!$A$27:$A$36,0))),0))</f>
        <v>0</v>
      </c>
      <c r="V1524" s="38" t="n">
        <f aca="false">Q1524*U1524</f>
        <v>0</v>
      </c>
      <c r="W1524" s="41" t="str">
        <f aca="false">IF($M1524="","",IF(T1524="Overdue",IF(Settings!$B$8="Yes",Settings!$B$7,""),IF(ISNUMBER(R1524),DATE(YEAR(R1524),MONTH(R1524),1),"")))</f>
        <v/>
      </c>
      <c r="X1524" s="38" t="n">
        <f aca="false">IF(AND(OR(T1524="Backlog",T1524="Pipeline",T1524="Overdue"),ISNUMBER(W1524)),IF(W1524&lt;=Settings!$B$6,V1524,0),0)</f>
        <v>0</v>
      </c>
      <c r="Y1524" s="38" t="n">
        <f aca="false">IF(AND(OR(T1524="Backlog",T1524="Pipeline",T1524="Overdue"),ISNUMBER(W1524)),IF(W1524&lt;=Settings!$B$6,Q1524,0),0)</f>
        <v>0</v>
      </c>
      <c r="Z1524" s="38" t="n">
        <f aca="false">IF(Y1524=0,0,IF(T1524="Backlog",Q1524,Q1524*Dashboard!$C$10))</f>
        <v>0</v>
      </c>
      <c r="AA1524" s="37" t="n">
        <f aca="false">IF($N1524="",0,IF(COUNTIF(Dashboard!$C$13:$C$22,$N1524)&gt;0,1,0))</f>
        <v>0</v>
      </c>
      <c r="AB1524" s="37" t="str">
        <f aca="false">IF($N1524="","",IF(COUNTIF($N$8:$N1524,$N1524)=1,MAX($AB$7:$AB1523)+1,""))</f>
        <v/>
      </c>
    </row>
    <row r="1525" customFormat="false" ht="15" hidden="false" customHeight="false" outlineLevel="0" collapsed="false">
      <c r="L1525" s="37" t="str">
        <f aca="false">IF(INDEX($A1525:$J1525,$L$6)&lt;&gt;"",TRIM(LEFT(INDEX($A1525:$J1525,$L$6),FIND("(",INDEX($A1525:$J1525,$L$6)&amp;"(")-1)),L1524)</f>
        <v>Building Value Proposition</v>
      </c>
      <c r="M1525" s="37" t="str">
        <f aca="false">IF(INDEX($A1525:$J1525,$M$6)="","",INDEX($A1525:$J1525,$M$6)&amp;"")</f>
        <v/>
      </c>
      <c r="N1525" s="37" t="str">
        <f aca="false">IF($M1525="","",TRIM(INDEX($A1525:$J1525,$N$6)&amp;""))</f>
        <v/>
      </c>
      <c r="O1525" s="37" t="str">
        <f aca="false">IF($M1525="","",TRIM(INDEX($A1525:$J1525,$O$6)&amp;""))</f>
        <v/>
      </c>
      <c r="P1525" s="37" t="str">
        <f aca="false">IF($M1525="","",IFERROR(IF(INDEX(Settings!$B$41:$B$50,MATCH(O1525,Settings!$A$41:$A$50,0))&amp;""="","UNMAPPED",INDEX(Settings!$B$41:$B$50,MATCH(O1525,Settings!$A$41:$A$50,0))&amp;""),"UNMAPPED"))</f>
        <v/>
      </c>
      <c r="Q1525" s="38" t="n">
        <f aca="false">IF($M1525="",0,N(INDEX($A1525:$J1525,$Q$6)))</f>
        <v>0</v>
      </c>
      <c r="R1525" s="39" t="str">
        <f aca="false">IF($M1525="","",INDEX($A1525:$J1525,$R$6))</f>
        <v/>
      </c>
      <c r="S1525" s="37" t="str">
        <f aca="false">IF($M1525="","",IFERROR(INDEX(Settings!$B$27:$B$36,MATCH(L1525,Settings!$A$27:$A$36,0))&amp;"","UNMAPPED"))</f>
        <v/>
      </c>
      <c r="T1525" s="37" t="str">
        <f aca="false">IF($M1525="","",IF(NOT(ISNUMBER(R1525)),"NO DATE",IF(S1525="Won",IF(R1525&gt;Settings!$B$5,"Backlog","Delivered"),IF(S1525="Open",IF(R1525&gt;Settings!$B$5,"Pipeline","Overdue"),IF(S1525="Lost","Lost","UNMAPPED")))))</f>
        <v/>
      </c>
      <c r="U1525" s="40" t="n">
        <f aca="false">IF(T1525="Backlog",1,IF(OR(T1525="Pipeline",T1525="Overdue"),N(INDEX(Settings!$C$27:$C$36,MATCH(L1525,Settings!$A$27:$A$36,0))),0))</f>
        <v>0</v>
      </c>
      <c r="V1525" s="38" t="n">
        <f aca="false">Q1525*U1525</f>
        <v>0</v>
      </c>
      <c r="W1525" s="41" t="str">
        <f aca="false">IF($M1525="","",IF(T1525="Overdue",IF(Settings!$B$8="Yes",Settings!$B$7,""),IF(ISNUMBER(R1525),DATE(YEAR(R1525),MONTH(R1525),1),"")))</f>
        <v/>
      </c>
      <c r="X1525" s="38" t="n">
        <f aca="false">IF(AND(OR(T1525="Backlog",T1525="Pipeline",T1525="Overdue"),ISNUMBER(W1525)),IF(W1525&lt;=Settings!$B$6,V1525,0),0)</f>
        <v>0</v>
      </c>
      <c r="Y1525" s="38" t="n">
        <f aca="false">IF(AND(OR(T1525="Backlog",T1525="Pipeline",T1525="Overdue"),ISNUMBER(W1525)),IF(W1525&lt;=Settings!$B$6,Q1525,0),0)</f>
        <v>0</v>
      </c>
      <c r="Z1525" s="38" t="n">
        <f aca="false">IF(Y1525=0,0,IF(T1525="Backlog",Q1525,Q1525*Dashboard!$C$10))</f>
        <v>0</v>
      </c>
      <c r="AA1525" s="37" t="n">
        <f aca="false">IF($N1525="",0,IF(COUNTIF(Dashboard!$C$13:$C$22,$N1525)&gt;0,1,0))</f>
        <v>0</v>
      </c>
      <c r="AB1525" s="37" t="str">
        <f aca="false">IF($N1525="","",IF(COUNTIF($N$8:$N1525,$N1525)=1,MAX($AB$7:$AB1524)+1,""))</f>
        <v/>
      </c>
    </row>
    <row r="1526" customFormat="false" ht="15" hidden="false" customHeight="false" outlineLevel="0" collapsed="false">
      <c r="L1526" s="37" t="str">
        <f aca="false">IF(INDEX($A1526:$J1526,$L$6)&lt;&gt;"",TRIM(LEFT(INDEX($A1526:$J1526,$L$6),FIND("(",INDEX($A1526:$J1526,$L$6)&amp;"(")-1)),L1525)</f>
        <v>Building Value Proposition</v>
      </c>
      <c r="M1526" s="37" t="str">
        <f aca="false">IF(INDEX($A1526:$J1526,$M$6)="","",INDEX($A1526:$J1526,$M$6)&amp;"")</f>
        <v/>
      </c>
      <c r="N1526" s="37" t="str">
        <f aca="false">IF($M1526="","",TRIM(INDEX($A1526:$J1526,$N$6)&amp;""))</f>
        <v/>
      </c>
      <c r="O1526" s="37" t="str">
        <f aca="false">IF($M1526="","",TRIM(INDEX($A1526:$J1526,$O$6)&amp;""))</f>
        <v/>
      </c>
      <c r="P1526" s="37" t="str">
        <f aca="false">IF($M1526="","",IFERROR(IF(INDEX(Settings!$B$41:$B$50,MATCH(O1526,Settings!$A$41:$A$50,0))&amp;""="","UNMAPPED",INDEX(Settings!$B$41:$B$50,MATCH(O1526,Settings!$A$41:$A$50,0))&amp;""),"UNMAPPED"))</f>
        <v/>
      </c>
      <c r="Q1526" s="38" t="n">
        <f aca="false">IF($M1526="",0,N(INDEX($A1526:$J1526,$Q$6)))</f>
        <v>0</v>
      </c>
      <c r="R1526" s="39" t="str">
        <f aca="false">IF($M1526="","",INDEX($A1526:$J1526,$R$6))</f>
        <v/>
      </c>
      <c r="S1526" s="37" t="str">
        <f aca="false">IF($M1526="","",IFERROR(INDEX(Settings!$B$27:$B$36,MATCH(L1526,Settings!$A$27:$A$36,0))&amp;"","UNMAPPED"))</f>
        <v/>
      </c>
      <c r="T1526" s="37" t="str">
        <f aca="false">IF($M1526="","",IF(NOT(ISNUMBER(R1526)),"NO DATE",IF(S1526="Won",IF(R1526&gt;Settings!$B$5,"Backlog","Delivered"),IF(S1526="Open",IF(R1526&gt;Settings!$B$5,"Pipeline","Overdue"),IF(S1526="Lost","Lost","UNMAPPED")))))</f>
        <v/>
      </c>
      <c r="U1526" s="40" t="n">
        <f aca="false">IF(T1526="Backlog",1,IF(OR(T1526="Pipeline",T1526="Overdue"),N(INDEX(Settings!$C$27:$C$36,MATCH(L1526,Settings!$A$27:$A$36,0))),0))</f>
        <v>0</v>
      </c>
      <c r="V1526" s="38" t="n">
        <f aca="false">Q1526*U1526</f>
        <v>0</v>
      </c>
      <c r="W1526" s="41" t="str">
        <f aca="false">IF($M1526="","",IF(T1526="Overdue",IF(Settings!$B$8="Yes",Settings!$B$7,""),IF(ISNUMBER(R1526),DATE(YEAR(R1526),MONTH(R1526),1),"")))</f>
        <v/>
      </c>
      <c r="X1526" s="38" t="n">
        <f aca="false">IF(AND(OR(T1526="Backlog",T1526="Pipeline",T1526="Overdue"),ISNUMBER(W1526)),IF(W1526&lt;=Settings!$B$6,V1526,0),0)</f>
        <v>0</v>
      </c>
      <c r="Y1526" s="38" t="n">
        <f aca="false">IF(AND(OR(T1526="Backlog",T1526="Pipeline",T1526="Overdue"),ISNUMBER(W1526)),IF(W1526&lt;=Settings!$B$6,Q1526,0),0)</f>
        <v>0</v>
      </c>
      <c r="Z1526" s="38" t="n">
        <f aca="false">IF(Y1526=0,0,IF(T1526="Backlog",Q1526,Q1526*Dashboard!$C$10))</f>
        <v>0</v>
      </c>
      <c r="AA1526" s="37" t="n">
        <f aca="false">IF($N1526="",0,IF(COUNTIF(Dashboard!$C$13:$C$22,$N1526)&gt;0,1,0))</f>
        <v>0</v>
      </c>
      <c r="AB1526" s="37" t="str">
        <f aca="false">IF($N1526="","",IF(COUNTIF($N$8:$N1526,$N1526)=1,MAX($AB$7:$AB1525)+1,""))</f>
        <v/>
      </c>
    </row>
    <row r="1527" customFormat="false" ht="15" hidden="false" customHeight="false" outlineLevel="0" collapsed="false">
      <c r="L1527" s="37" t="str">
        <f aca="false">IF(INDEX($A1527:$J1527,$L$6)&lt;&gt;"",TRIM(LEFT(INDEX($A1527:$J1527,$L$6),FIND("(",INDEX($A1527:$J1527,$L$6)&amp;"(")-1)),L1526)</f>
        <v>Building Value Proposition</v>
      </c>
      <c r="M1527" s="37" t="str">
        <f aca="false">IF(INDEX($A1527:$J1527,$M$6)="","",INDEX($A1527:$J1527,$M$6)&amp;"")</f>
        <v/>
      </c>
      <c r="N1527" s="37" t="str">
        <f aca="false">IF($M1527="","",TRIM(INDEX($A1527:$J1527,$N$6)&amp;""))</f>
        <v/>
      </c>
      <c r="O1527" s="37" t="str">
        <f aca="false">IF($M1527="","",TRIM(INDEX($A1527:$J1527,$O$6)&amp;""))</f>
        <v/>
      </c>
      <c r="P1527" s="37" t="str">
        <f aca="false">IF($M1527="","",IFERROR(IF(INDEX(Settings!$B$41:$B$50,MATCH(O1527,Settings!$A$41:$A$50,0))&amp;""="","UNMAPPED",INDEX(Settings!$B$41:$B$50,MATCH(O1527,Settings!$A$41:$A$50,0))&amp;""),"UNMAPPED"))</f>
        <v/>
      </c>
      <c r="Q1527" s="38" t="n">
        <f aca="false">IF($M1527="",0,N(INDEX($A1527:$J1527,$Q$6)))</f>
        <v>0</v>
      </c>
      <c r="R1527" s="39" t="str">
        <f aca="false">IF($M1527="","",INDEX($A1527:$J1527,$R$6))</f>
        <v/>
      </c>
      <c r="S1527" s="37" t="str">
        <f aca="false">IF($M1527="","",IFERROR(INDEX(Settings!$B$27:$B$36,MATCH(L1527,Settings!$A$27:$A$36,0))&amp;"","UNMAPPED"))</f>
        <v/>
      </c>
      <c r="T1527" s="37" t="str">
        <f aca="false">IF($M1527="","",IF(NOT(ISNUMBER(R1527)),"NO DATE",IF(S1527="Won",IF(R1527&gt;Settings!$B$5,"Backlog","Delivered"),IF(S1527="Open",IF(R1527&gt;Settings!$B$5,"Pipeline","Overdue"),IF(S1527="Lost","Lost","UNMAPPED")))))</f>
        <v/>
      </c>
      <c r="U1527" s="40" t="n">
        <f aca="false">IF(T1527="Backlog",1,IF(OR(T1527="Pipeline",T1527="Overdue"),N(INDEX(Settings!$C$27:$C$36,MATCH(L1527,Settings!$A$27:$A$36,0))),0))</f>
        <v>0</v>
      </c>
      <c r="V1527" s="38" t="n">
        <f aca="false">Q1527*U1527</f>
        <v>0</v>
      </c>
      <c r="W1527" s="41" t="str">
        <f aca="false">IF($M1527="","",IF(T1527="Overdue",IF(Settings!$B$8="Yes",Settings!$B$7,""),IF(ISNUMBER(R1527),DATE(YEAR(R1527),MONTH(R1527),1),"")))</f>
        <v/>
      </c>
      <c r="X1527" s="38" t="n">
        <f aca="false">IF(AND(OR(T1527="Backlog",T1527="Pipeline",T1527="Overdue"),ISNUMBER(W1527)),IF(W1527&lt;=Settings!$B$6,V1527,0),0)</f>
        <v>0</v>
      </c>
      <c r="Y1527" s="38" t="n">
        <f aca="false">IF(AND(OR(T1527="Backlog",T1527="Pipeline",T1527="Overdue"),ISNUMBER(W1527)),IF(W1527&lt;=Settings!$B$6,Q1527,0),0)</f>
        <v>0</v>
      </c>
      <c r="Z1527" s="38" t="n">
        <f aca="false">IF(Y1527=0,0,IF(T1527="Backlog",Q1527,Q1527*Dashboard!$C$10))</f>
        <v>0</v>
      </c>
      <c r="AA1527" s="37" t="n">
        <f aca="false">IF($N1527="",0,IF(COUNTIF(Dashboard!$C$13:$C$22,$N1527)&gt;0,1,0))</f>
        <v>0</v>
      </c>
      <c r="AB1527" s="37" t="str">
        <f aca="false">IF($N1527="","",IF(COUNTIF($N$8:$N1527,$N1527)=1,MAX($AB$7:$AB1526)+1,""))</f>
        <v/>
      </c>
    </row>
    <row r="1528" customFormat="false" ht="15" hidden="false" customHeight="false" outlineLevel="0" collapsed="false">
      <c r="L1528" s="37" t="str">
        <f aca="false">IF(INDEX($A1528:$J1528,$L$6)&lt;&gt;"",TRIM(LEFT(INDEX($A1528:$J1528,$L$6),FIND("(",INDEX($A1528:$J1528,$L$6)&amp;"(")-1)),L1527)</f>
        <v>Building Value Proposition</v>
      </c>
      <c r="M1528" s="37" t="str">
        <f aca="false">IF(INDEX($A1528:$J1528,$M$6)="","",INDEX($A1528:$J1528,$M$6)&amp;"")</f>
        <v/>
      </c>
      <c r="N1528" s="37" t="str">
        <f aca="false">IF($M1528="","",TRIM(INDEX($A1528:$J1528,$N$6)&amp;""))</f>
        <v/>
      </c>
      <c r="O1528" s="37" t="str">
        <f aca="false">IF($M1528="","",TRIM(INDEX($A1528:$J1528,$O$6)&amp;""))</f>
        <v/>
      </c>
      <c r="P1528" s="37" t="str">
        <f aca="false">IF($M1528="","",IFERROR(IF(INDEX(Settings!$B$41:$B$50,MATCH(O1528,Settings!$A$41:$A$50,0))&amp;""="","UNMAPPED",INDEX(Settings!$B$41:$B$50,MATCH(O1528,Settings!$A$41:$A$50,0))&amp;""),"UNMAPPED"))</f>
        <v/>
      </c>
      <c r="Q1528" s="38" t="n">
        <f aca="false">IF($M1528="",0,N(INDEX($A1528:$J1528,$Q$6)))</f>
        <v>0</v>
      </c>
      <c r="R1528" s="39" t="str">
        <f aca="false">IF($M1528="","",INDEX($A1528:$J1528,$R$6))</f>
        <v/>
      </c>
      <c r="S1528" s="37" t="str">
        <f aca="false">IF($M1528="","",IFERROR(INDEX(Settings!$B$27:$B$36,MATCH(L1528,Settings!$A$27:$A$36,0))&amp;"","UNMAPPED"))</f>
        <v/>
      </c>
      <c r="T1528" s="37" t="str">
        <f aca="false">IF($M1528="","",IF(NOT(ISNUMBER(R1528)),"NO DATE",IF(S1528="Won",IF(R1528&gt;Settings!$B$5,"Backlog","Delivered"),IF(S1528="Open",IF(R1528&gt;Settings!$B$5,"Pipeline","Overdue"),IF(S1528="Lost","Lost","UNMAPPED")))))</f>
        <v/>
      </c>
      <c r="U1528" s="40" t="n">
        <f aca="false">IF(T1528="Backlog",1,IF(OR(T1528="Pipeline",T1528="Overdue"),N(INDEX(Settings!$C$27:$C$36,MATCH(L1528,Settings!$A$27:$A$36,0))),0))</f>
        <v>0</v>
      </c>
      <c r="V1528" s="38" t="n">
        <f aca="false">Q1528*U1528</f>
        <v>0</v>
      </c>
      <c r="W1528" s="41" t="str">
        <f aca="false">IF($M1528="","",IF(T1528="Overdue",IF(Settings!$B$8="Yes",Settings!$B$7,""),IF(ISNUMBER(R1528),DATE(YEAR(R1528),MONTH(R1528),1),"")))</f>
        <v/>
      </c>
      <c r="X1528" s="38" t="n">
        <f aca="false">IF(AND(OR(T1528="Backlog",T1528="Pipeline",T1528="Overdue"),ISNUMBER(W1528)),IF(W1528&lt;=Settings!$B$6,V1528,0),0)</f>
        <v>0</v>
      </c>
      <c r="Y1528" s="38" t="n">
        <f aca="false">IF(AND(OR(T1528="Backlog",T1528="Pipeline",T1528="Overdue"),ISNUMBER(W1528)),IF(W1528&lt;=Settings!$B$6,Q1528,0),0)</f>
        <v>0</v>
      </c>
      <c r="Z1528" s="38" t="n">
        <f aca="false">IF(Y1528=0,0,IF(T1528="Backlog",Q1528,Q1528*Dashboard!$C$10))</f>
        <v>0</v>
      </c>
      <c r="AA1528" s="37" t="n">
        <f aca="false">IF($N1528="",0,IF(COUNTIF(Dashboard!$C$13:$C$22,$N1528)&gt;0,1,0))</f>
        <v>0</v>
      </c>
      <c r="AB1528" s="37" t="str">
        <f aca="false">IF($N1528="","",IF(COUNTIF($N$8:$N1528,$N1528)=1,MAX($AB$7:$AB1527)+1,""))</f>
        <v/>
      </c>
    </row>
    <row r="1529" customFormat="false" ht="15" hidden="false" customHeight="false" outlineLevel="0" collapsed="false">
      <c r="L1529" s="37" t="str">
        <f aca="false">IF(INDEX($A1529:$J1529,$L$6)&lt;&gt;"",TRIM(LEFT(INDEX($A1529:$J1529,$L$6),FIND("(",INDEX($A1529:$J1529,$L$6)&amp;"(")-1)),L1528)</f>
        <v>Building Value Proposition</v>
      </c>
      <c r="M1529" s="37" t="str">
        <f aca="false">IF(INDEX($A1529:$J1529,$M$6)="","",INDEX($A1529:$J1529,$M$6)&amp;"")</f>
        <v/>
      </c>
      <c r="N1529" s="37" t="str">
        <f aca="false">IF($M1529="","",TRIM(INDEX($A1529:$J1529,$N$6)&amp;""))</f>
        <v/>
      </c>
      <c r="O1529" s="37" t="str">
        <f aca="false">IF($M1529="","",TRIM(INDEX($A1529:$J1529,$O$6)&amp;""))</f>
        <v/>
      </c>
      <c r="P1529" s="37" t="str">
        <f aca="false">IF($M1529="","",IFERROR(IF(INDEX(Settings!$B$41:$B$50,MATCH(O1529,Settings!$A$41:$A$50,0))&amp;""="","UNMAPPED",INDEX(Settings!$B$41:$B$50,MATCH(O1529,Settings!$A$41:$A$50,0))&amp;""),"UNMAPPED"))</f>
        <v/>
      </c>
      <c r="Q1529" s="38" t="n">
        <f aca="false">IF($M1529="",0,N(INDEX($A1529:$J1529,$Q$6)))</f>
        <v>0</v>
      </c>
      <c r="R1529" s="39" t="str">
        <f aca="false">IF($M1529="","",INDEX($A1529:$J1529,$R$6))</f>
        <v/>
      </c>
      <c r="S1529" s="37" t="str">
        <f aca="false">IF($M1529="","",IFERROR(INDEX(Settings!$B$27:$B$36,MATCH(L1529,Settings!$A$27:$A$36,0))&amp;"","UNMAPPED"))</f>
        <v/>
      </c>
      <c r="T1529" s="37" t="str">
        <f aca="false">IF($M1529="","",IF(NOT(ISNUMBER(R1529)),"NO DATE",IF(S1529="Won",IF(R1529&gt;Settings!$B$5,"Backlog","Delivered"),IF(S1529="Open",IF(R1529&gt;Settings!$B$5,"Pipeline","Overdue"),IF(S1529="Lost","Lost","UNMAPPED")))))</f>
        <v/>
      </c>
      <c r="U1529" s="40" t="n">
        <f aca="false">IF(T1529="Backlog",1,IF(OR(T1529="Pipeline",T1529="Overdue"),N(INDEX(Settings!$C$27:$C$36,MATCH(L1529,Settings!$A$27:$A$36,0))),0))</f>
        <v>0</v>
      </c>
      <c r="V1529" s="38" t="n">
        <f aca="false">Q1529*U1529</f>
        <v>0</v>
      </c>
      <c r="W1529" s="41" t="str">
        <f aca="false">IF($M1529="","",IF(T1529="Overdue",IF(Settings!$B$8="Yes",Settings!$B$7,""),IF(ISNUMBER(R1529),DATE(YEAR(R1529),MONTH(R1529),1),"")))</f>
        <v/>
      </c>
      <c r="X1529" s="38" t="n">
        <f aca="false">IF(AND(OR(T1529="Backlog",T1529="Pipeline",T1529="Overdue"),ISNUMBER(W1529)),IF(W1529&lt;=Settings!$B$6,V1529,0),0)</f>
        <v>0</v>
      </c>
      <c r="Y1529" s="38" t="n">
        <f aca="false">IF(AND(OR(T1529="Backlog",T1529="Pipeline",T1529="Overdue"),ISNUMBER(W1529)),IF(W1529&lt;=Settings!$B$6,Q1529,0),0)</f>
        <v>0</v>
      </c>
      <c r="Z1529" s="38" t="n">
        <f aca="false">IF(Y1529=0,0,IF(T1529="Backlog",Q1529,Q1529*Dashboard!$C$10))</f>
        <v>0</v>
      </c>
      <c r="AA1529" s="37" t="n">
        <f aca="false">IF($N1529="",0,IF(COUNTIF(Dashboard!$C$13:$C$22,$N1529)&gt;0,1,0))</f>
        <v>0</v>
      </c>
      <c r="AB1529" s="37" t="str">
        <f aca="false">IF($N1529="","",IF(COUNTIF($N$8:$N1529,$N1529)=1,MAX($AB$7:$AB1528)+1,""))</f>
        <v/>
      </c>
    </row>
    <row r="1530" customFormat="false" ht="15" hidden="false" customHeight="false" outlineLevel="0" collapsed="false">
      <c r="L1530" s="37" t="str">
        <f aca="false">IF(INDEX($A1530:$J1530,$L$6)&lt;&gt;"",TRIM(LEFT(INDEX($A1530:$J1530,$L$6),FIND("(",INDEX($A1530:$J1530,$L$6)&amp;"(")-1)),L1529)</f>
        <v>Building Value Proposition</v>
      </c>
      <c r="M1530" s="37" t="str">
        <f aca="false">IF(INDEX($A1530:$J1530,$M$6)="","",INDEX($A1530:$J1530,$M$6)&amp;"")</f>
        <v/>
      </c>
      <c r="N1530" s="37" t="str">
        <f aca="false">IF($M1530="","",TRIM(INDEX($A1530:$J1530,$N$6)&amp;""))</f>
        <v/>
      </c>
      <c r="O1530" s="37" t="str">
        <f aca="false">IF($M1530="","",TRIM(INDEX($A1530:$J1530,$O$6)&amp;""))</f>
        <v/>
      </c>
      <c r="P1530" s="37" t="str">
        <f aca="false">IF($M1530="","",IFERROR(IF(INDEX(Settings!$B$41:$B$50,MATCH(O1530,Settings!$A$41:$A$50,0))&amp;""="","UNMAPPED",INDEX(Settings!$B$41:$B$50,MATCH(O1530,Settings!$A$41:$A$50,0))&amp;""),"UNMAPPED"))</f>
        <v/>
      </c>
      <c r="Q1530" s="38" t="n">
        <f aca="false">IF($M1530="",0,N(INDEX($A1530:$J1530,$Q$6)))</f>
        <v>0</v>
      </c>
      <c r="R1530" s="39" t="str">
        <f aca="false">IF($M1530="","",INDEX($A1530:$J1530,$R$6))</f>
        <v/>
      </c>
      <c r="S1530" s="37" t="str">
        <f aca="false">IF($M1530="","",IFERROR(INDEX(Settings!$B$27:$B$36,MATCH(L1530,Settings!$A$27:$A$36,0))&amp;"","UNMAPPED"))</f>
        <v/>
      </c>
      <c r="T1530" s="37" t="str">
        <f aca="false">IF($M1530="","",IF(NOT(ISNUMBER(R1530)),"NO DATE",IF(S1530="Won",IF(R1530&gt;Settings!$B$5,"Backlog","Delivered"),IF(S1530="Open",IF(R1530&gt;Settings!$B$5,"Pipeline","Overdue"),IF(S1530="Lost","Lost","UNMAPPED")))))</f>
        <v/>
      </c>
      <c r="U1530" s="40" t="n">
        <f aca="false">IF(T1530="Backlog",1,IF(OR(T1530="Pipeline",T1530="Overdue"),N(INDEX(Settings!$C$27:$C$36,MATCH(L1530,Settings!$A$27:$A$36,0))),0))</f>
        <v>0</v>
      </c>
      <c r="V1530" s="38" t="n">
        <f aca="false">Q1530*U1530</f>
        <v>0</v>
      </c>
      <c r="W1530" s="41" t="str">
        <f aca="false">IF($M1530="","",IF(T1530="Overdue",IF(Settings!$B$8="Yes",Settings!$B$7,""),IF(ISNUMBER(R1530),DATE(YEAR(R1530),MONTH(R1530),1),"")))</f>
        <v/>
      </c>
      <c r="X1530" s="38" t="n">
        <f aca="false">IF(AND(OR(T1530="Backlog",T1530="Pipeline",T1530="Overdue"),ISNUMBER(W1530)),IF(W1530&lt;=Settings!$B$6,V1530,0),0)</f>
        <v>0</v>
      </c>
      <c r="Y1530" s="38" t="n">
        <f aca="false">IF(AND(OR(T1530="Backlog",T1530="Pipeline",T1530="Overdue"),ISNUMBER(W1530)),IF(W1530&lt;=Settings!$B$6,Q1530,0),0)</f>
        <v>0</v>
      </c>
      <c r="Z1530" s="38" t="n">
        <f aca="false">IF(Y1530=0,0,IF(T1530="Backlog",Q1530,Q1530*Dashboard!$C$10))</f>
        <v>0</v>
      </c>
      <c r="AA1530" s="37" t="n">
        <f aca="false">IF($N1530="",0,IF(COUNTIF(Dashboard!$C$13:$C$22,$N1530)&gt;0,1,0))</f>
        <v>0</v>
      </c>
      <c r="AB1530" s="37" t="str">
        <f aca="false">IF($N1530="","",IF(COUNTIF($N$8:$N1530,$N1530)=1,MAX($AB$7:$AB1529)+1,""))</f>
        <v/>
      </c>
    </row>
    <row r="1531" customFormat="false" ht="15" hidden="false" customHeight="false" outlineLevel="0" collapsed="false">
      <c r="L1531" s="37" t="str">
        <f aca="false">IF(INDEX($A1531:$J1531,$L$6)&lt;&gt;"",TRIM(LEFT(INDEX($A1531:$J1531,$L$6),FIND("(",INDEX($A1531:$J1531,$L$6)&amp;"(")-1)),L1530)</f>
        <v>Building Value Proposition</v>
      </c>
      <c r="M1531" s="37" t="str">
        <f aca="false">IF(INDEX($A1531:$J1531,$M$6)="","",INDEX($A1531:$J1531,$M$6)&amp;"")</f>
        <v/>
      </c>
      <c r="N1531" s="37" t="str">
        <f aca="false">IF($M1531="","",TRIM(INDEX($A1531:$J1531,$N$6)&amp;""))</f>
        <v/>
      </c>
      <c r="O1531" s="37" t="str">
        <f aca="false">IF($M1531="","",TRIM(INDEX($A1531:$J1531,$O$6)&amp;""))</f>
        <v/>
      </c>
      <c r="P1531" s="37" t="str">
        <f aca="false">IF($M1531="","",IFERROR(IF(INDEX(Settings!$B$41:$B$50,MATCH(O1531,Settings!$A$41:$A$50,0))&amp;""="","UNMAPPED",INDEX(Settings!$B$41:$B$50,MATCH(O1531,Settings!$A$41:$A$50,0))&amp;""),"UNMAPPED"))</f>
        <v/>
      </c>
      <c r="Q1531" s="38" t="n">
        <f aca="false">IF($M1531="",0,N(INDEX($A1531:$J1531,$Q$6)))</f>
        <v>0</v>
      </c>
      <c r="R1531" s="39" t="str">
        <f aca="false">IF($M1531="","",INDEX($A1531:$J1531,$R$6))</f>
        <v/>
      </c>
      <c r="S1531" s="37" t="str">
        <f aca="false">IF($M1531="","",IFERROR(INDEX(Settings!$B$27:$B$36,MATCH(L1531,Settings!$A$27:$A$36,0))&amp;"","UNMAPPED"))</f>
        <v/>
      </c>
      <c r="T1531" s="37" t="str">
        <f aca="false">IF($M1531="","",IF(NOT(ISNUMBER(R1531)),"NO DATE",IF(S1531="Won",IF(R1531&gt;Settings!$B$5,"Backlog","Delivered"),IF(S1531="Open",IF(R1531&gt;Settings!$B$5,"Pipeline","Overdue"),IF(S1531="Lost","Lost","UNMAPPED")))))</f>
        <v/>
      </c>
      <c r="U1531" s="40" t="n">
        <f aca="false">IF(T1531="Backlog",1,IF(OR(T1531="Pipeline",T1531="Overdue"),N(INDEX(Settings!$C$27:$C$36,MATCH(L1531,Settings!$A$27:$A$36,0))),0))</f>
        <v>0</v>
      </c>
      <c r="V1531" s="38" t="n">
        <f aca="false">Q1531*U1531</f>
        <v>0</v>
      </c>
      <c r="W1531" s="41" t="str">
        <f aca="false">IF($M1531="","",IF(T1531="Overdue",IF(Settings!$B$8="Yes",Settings!$B$7,""),IF(ISNUMBER(R1531),DATE(YEAR(R1531),MONTH(R1531),1),"")))</f>
        <v/>
      </c>
      <c r="X1531" s="38" t="n">
        <f aca="false">IF(AND(OR(T1531="Backlog",T1531="Pipeline",T1531="Overdue"),ISNUMBER(W1531)),IF(W1531&lt;=Settings!$B$6,V1531,0),0)</f>
        <v>0</v>
      </c>
      <c r="Y1531" s="38" t="n">
        <f aca="false">IF(AND(OR(T1531="Backlog",T1531="Pipeline",T1531="Overdue"),ISNUMBER(W1531)),IF(W1531&lt;=Settings!$B$6,Q1531,0),0)</f>
        <v>0</v>
      </c>
      <c r="Z1531" s="38" t="n">
        <f aca="false">IF(Y1531=0,0,IF(T1531="Backlog",Q1531,Q1531*Dashboard!$C$10))</f>
        <v>0</v>
      </c>
      <c r="AA1531" s="37" t="n">
        <f aca="false">IF($N1531="",0,IF(COUNTIF(Dashboard!$C$13:$C$22,$N1531)&gt;0,1,0))</f>
        <v>0</v>
      </c>
      <c r="AB1531" s="37" t="str">
        <f aca="false">IF($N1531="","",IF(COUNTIF($N$8:$N1531,$N1531)=1,MAX($AB$7:$AB1530)+1,""))</f>
        <v/>
      </c>
    </row>
    <row r="1532" customFormat="false" ht="15" hidden="false" customHeight="false" outlineLevel="0" collapsed="false">
      <c r="L1532" s="37" t="str">
        <f aca="false">IF(INDEX($A1532:$J1532,$L$6)&lt;&gt;"",TRIM(LEFT(INDEX($A1532:$J1532,$L$6),FIND("(",INDEX($A1532:$J1532,$L$6)&amp;"(")-1)),L1531)</f>
        <v>Building Value Proposition</v>
      </c>
      <c r="M1532" s="37" t="str">
        <f aca="false">IF(INDEX($A1532:$J1532,$M$6)="","",INDEX($A1532:$J1532,$M$6)&amp;"")</f>
        <v/>
      </c>
      <c r="N1532" s="37" t="str">
        <f aca="false">IF($M1532="","",TRIM(INDEX($A1532:$J1532,$N$6)&amp;""))</f>
        <v/>
      </c>
      <c r="O1532" s="37" t="str">
        <f aca="false">IF($M1532="","",TRIM(INDEX($A1532:$J1532,$O$6)&amp;""))</f>
        <v/>
      </c>
      <c r="P1532" s="37" t="str">
        <f aca="false">IF($M1532="","",IFERROR(IF(INDEX(Settings!$B$41:$B$50,MATCH(O1532,Settings!$A$41:$A$50,0))&amp;""="","UNMAPPED",INDEX(Settings!$B$41:$B$50,MATCH(O1532,Settings!$A$41:$A$50,0))&amp;""),"UNMAPPED"))</f>
        <v/>
      </c>
      <c r="Q1532" s="38" t="n">
        <f aca="false">IF($M1532="",0,N(INDEX($A1532:$J1532,$Q$6)))</f>
        <v>0</v>
      </c>
      <c r="R1532" s="39" t="str">
        <f aca="false">IF($M1532="","",INDEX($A1532:$J1532,$R$6))</f>
        <v/>
      </c>
      <c r="S1532" s="37" t="str">
        <f aca="false">IF($M1532="","",IFERROR(INDEX(Settings!$B$27:$B$36,MATCH(L1532,Settings!$A$27:$A$36,0))&amp;"","UNMAPPED"))</f>
        <v/>
      </c>
      <c r="T1532" s="37" t="str">
        <f aca="false">IF($M1532="","",IF(NOT(ISNUMBER(R1532)),"NO DATE",IF(S1532="Won",IF(R1532&gt;Settings!$B$5,"Backlog","Delivered"),IF(S1532="Open",IF(R1532&gt;Settings!$B$5,"Pipeline","Overdue"),IF(S1532="Lost","Lost","UNMAPPED")))))</f>
        <v/>
      </c>
      <c r="U1532" s="40" t="n">
        <f aca="false">IF(T1532="Backlog",1,IF(OR(T1532="Pipeline",T1532="Overdue"),N(INDEX(Settings!$C$27:$C$36,MATCH(L1532,Settings!$A$27:$A$36,0))),0))</f>
        <v>0</v>
      </c>
      <c r="V1532" s="38" t="n">
        <f aca="false">Q1532*U1532</f>
        <v>0</v>
      </c>
      <c r="W1532" s="41" t="str">
        <f aca="false">IF($M1532="","",IF(T1532="Overdue",IF(Settings!$B$8="Yes",Settings!$B$7,""),IF(ISNUMBER(R1532),DATE(YEAR(R1532),MONTH(R1532),1),"")))</f>
        <v/>
      </c>
      <c r="X1532" s="38" t="n">
        <f aca="false">IF(AND(OR(T1532="Backlog",T1532="Pipeline",T1532="Overdue"),ISNUMBER(W1532)),IF(W1532&lt;=Settings!$B$6,V1532,0),0)</f>
        <v>0</v>
      </c>
      <c r="Y1532" s="38" t="n">
        <f aca="false">IF(AND(OR(T1532="Backlog",T1532="Pipeline",T1532="Overdue"),ISNUMBER(W1532)),IF(W1532&lt;=Settings!$B$6,Q1532,0),0)</f>
        <v>0</v>
      </c>
      <c r="Z1532" s="38" t="n">
        <f aca="false">IF(Y1532=0,0,IF(T1532="Backlog",Q1532,Q1532*Dashboard!$C$10))</f>
        <v>0</v>
      </c>
      <c r="AA1532" s="37" t="n">
        <f aca="false">IF($N1532="",0,IF(COUNTIF(Dashboard!$C$13:$C$22,$N1532)&gt;0,1,0))</f>
        <v>0</v>
      </c>
      <c r="AB1532" s="37" t="str">
        <f aca="false">IF($N1532="","",IF(COUNTIF($N$8:$N1532,$N1532)=1,MAX($AB$7:$AB1531)+1,""))</f>
        <v/>
      </c>
    </row>
    <row r="1533" customFormat="false" ht="15" hidden="false" customHeight="false" outlineLevel="0" collapsed="false">
      <c r="L1533" s="37" t="str">
        <f aca="false">IF(INDEX($A1533:$J1533,$L$6)&lt;&gt;"",TRIM(LEFT(INDEX($A1533:$J1533,$L$6),FIND("(",INDEX($A1533:$J1533,$L$6)&amp;"(")-1)),L1532)</f>
        <v>Building Value Proposition</v>
      </c>
      <c r="M1533" s="37" t="str">
        <f aca="false">IF(INDEX($A1533:$J1533,$M$6)="","",INDEX($A1533:$J1533,$M$6)&amp;"")</f>
        <v/>
      </c>
      <c r="N1533" s="37" t="str">
        <f aca="false">IF($M1533="","",TRIM(INDEX($A1533:$J1533,$N$6)&amp;""))</f>
        <v/>
      </c>
      <c r="O1533" s="37" t="str">
        <f aca="false">IF($M1533="","",TRIM(INDEX($A1533:$J1533,$O$6)&amp;""))</f>
        <v/>
      </c>
      <c r="P1533" s="37" t="str">
        <f aca="false">IF($M1533="","",IFERROR(IF(INDEX(Settings!$B$41:$B$50,MATCH(O1533,Settings!$A$41:$A$50,0))&amp;""="","UNMAPPED",INDEX(Settings!$B$41:$B$50,MATCH(O1533,Settings!$A$41:$A$50,0))&amp;""),"UNMAPPED"))</f>
        <v/>
      </c>
      <c r="Q1533" s="38" t="n">
        <f aca="false">IF($M1533="",0,N(INDEX($A1533:$J1533,$Q$6)))</f>
        <v>0</v>
      </c>
      <c r="R1533" s="39" t="str">
        <f aca="false">IF($M1533="","",INDEX($A1533:$J1533,$R$6))</f>
        <v/>
      </c>
      <c r="S1533" s="37" t="str">
        <f aca="false">IF($M1533="","",IFERROR(INDEX(Settings!$B$27:$B$36,MATCH(L1533,Settings!$A$27:$A$36,0))&amp;"","UNMAPPED"))</f>
        <v/>
      </c>
      <c r="T1533" s="37" t="str">
        <f aca="false">IF($M1533="","",IF(NOT(ISNUMBER(R1533)),"NO DATE",IF(S1533="Won",IF(R1533&gt;Settings!$B$5,"Backlog","Delivered"),IF(S1533="Open",IF(R1533&gt;Settings!$B$5,"Pipeline","Overdue"),IF(S1533="Lost","Lost","UNMAPPED")))))</f>
        <v/>
      </c>
      <c r="U1533" s="40" t="n">
        <f aca="false">IF(T1533="Backlog",1,IF(OR(T1533="Pipeline",T1533="Overdue"),N(INDEX(Settings!$C$27:$C$36,MATCH(L1533,Settings!$A$27:$A$36,0))),0))</f>
        <v>0</v>
      </c>
      <c r="V1533" s="38" t="n">
        <f aca="false">Q1533*U1533</f>
        <v>0</v>
      </c>
      <c r="W1533" s="41" t="str">
        <f aca="false">IF($M1533="","",IF(T1533="Overdue",IF(Settings!$B$8="Yes",Settings!$B$7,""),IF(ISNUMBER(R1533),DATE(YEAR(R1533),MONTH(R1533),1),"")))</f>
        <v/>
      </c>
      <c r="X1533" s="38" t="n">
        <f aca="false">IF(AND(OR(T1533="Backlog",T1533="Pipeline",T1533="Overdue"),ISNUMBER(W1533)),IF(W1533&lt;=Settings!$B$6,V1533,0),0)</f>
        <v>0</v>
      </c>
      <c r="Y1533" s="38" t="n">
        <f aca="false">IF(AND(OR(T1533="Backlog",T1533="Pipeline",T1533="Overdue"),ISNUMBER(W1533)),IF(W1533&lt;=Settings!$B$6,Q1533,0),0)</f>
        <v>0</v>
      </c>
      <c r="Z1533" s="38" t="n">
        <f aca="false">IF(Y1533=0,0,IF(T1533="Backlog",Q1533,Q1533*Dashboard!$C$10))</f>
        <v>0</v>
      </c>
      <c r="AA1533" s="37" t="n">
        <f aca="false">IF($N1533="",0,IF(COUNTIF(Dashboard!$C$13:$C$22,$N1533)&gt;0,1,0))</f>
        <v>0</v>
      </c>
      <c r="AB1533" s="37" t="str">
        <f aca="false">IF($N1533="","",IF(COUNTIF($N$8:$N1533,$N1533)=1,MAX($AB$7:$AB1532)+1,""))</f>
        <v/>
      </c>
    </row>
    <row r="1534" customFormat="false" ht="15" hidden="false" customHeight="false" outlineLevel="0" collapsed="false">
      <c r="L1534" s="37" t="str">
        <f aca="false">IF(INDEX($A1534:$J1534,$L$6)&lt;&gt;"",TRIM(LEFT(INDEX($A1534:$J1534,$L$6),FIND("(",INDEX($A1534:$J1534,$L$6)&amp;"(")-1)),L1533)</f>
        <v>Building Value Proposition</v>
      </c>
      <c r="M1534" s="37" t="str">
        <f aca="false">IF(INDEX($A1534:$J1534,$M$6)="","",INDEX($A1534:$J1534,$M$6)&amp;"")</f>
        <v/>
      </c>
      <c r="N1534" s="37" t="str">
        <f aca="false">IF($M1534="","",TRIM(INDEX($A1534:$J1534,$N$6)&amp;""))</f>
        <v/>
      </c>
      <c r="O1534" s="37" t="str">
        <f aca="false">IF($M1534="","",TRIM(INDEX($A1534:$J1534,$O$6)&amp;""))</f>
        <v/>
      </c>
      <c r="P1534" s="37" t="str">
        <f aca="false">IF($M1534="","",IFERROR(IF(INDEX(Settings!$B$41:$B$50,MATCH(O1534,Settings!$A$41:$A$50,0))&amp;""="","UNMAPPED",INDEX(Settings!$B$41:$B$50,MATCH(O1534,Settings!$A$41:$A$50,0))&amp;""),"UNMAPPED"))</f>
        <v/>
      </c>
      <c r="Q1534" s="38" t="n">
        <f aca="false">IF($M1534="",0,N(INDEX($A1534:$J1534,$Q$6)))</f>
        <v>0</v>
      </c>
      <c r="R1534" s="39" t="str">
        <f aca="false">IF($M1534="","",INDEX($A1534:$J1534,$R$6))</f>
        <v/>
      </c>
      <c r="S1534" s="37" t="str">
        <f aca="false">IF($M1534="","",IFERROR(INDEX(Settings!$B$27:$B$36,MATCH(L1534,Settings!$A$27:$A$36,0))&amp;"","UNMAPPED"))</f>
        <v/>
      </c>
      <c r="T1534" s="37" t="str">
        <f aca="false">IF($M1534="","",IF(NOT(ISNUMBER(R1534)),"NO DATE",IF(S1534="Won",IF(R1534&gt;Settings!$B$5,"Backlog","Delivered"),IF(S1534="Open",IF(R1534&gt;Settings!$B$5,"Pipeline","Overdue"),IF(S1534="Lost","Lost","UNMAPPED")))))</f>
        <v/>
      </c>
      <c r="U1534" s="40" t="n">
        <f aca="false">IF(T1534="Backlog",1,IF(OR(T1534="Pipeline",T1534="Overdue"),N(INDEX(Settings!$C$27:$C$36,MATCH(L1534,Settings!$A$27:$A$36,0))),0))</f>
        <v>0</v>
      </c>
      <c r="V1534" s="38" t="n">
        <f aca="false">Q1534*U1534</f>
        <v>0</v>
      </c>
      <c r="W1534" s="41" t="str">
        <f aca="false">IF($M1534="","",IF(T1534="Overdue",IF(Settings!$B$8="Yes",Settings!$B$7,""),IF(ISNUMBER(R1534),DATE(YEAR(R1534),MONTH(R1534),1),"")))</f>
        <v/>
      </c>
      <c r="X1534" s="38" t="n">
        <f aca="false">IF(AND(OR(T1534="Backlog",T1534="Pipeline",T1534="Overdue"),ISNUMBER(W1534)),IF(W1534&lt;=Settings!$B$6,V1534,0),0)</f>
        <v>0</v>
      </c>
      <c r="Y1534" s="38" t="n">
        <f aca="false">IF(AND(OR(T1534="Backlog",T1534="Pipeline",T1534="Overdue"),ISNUMBER(W1534)),IF(W1534&lt;=Settings!$B$6,Q1534,0),0)</f>
        <v>0</v>
      </c>
      <c r="Z1534" s="38" t="n">
        <f aca="false">IF(Y1534=0,0,IF(T1534="Backlog",Q1534,Q1534*Dashboard!$C$10))</f>
        <v>0</v>
      </c>
      <c r="AA1534" s="37" t="n">
        <f aca="false">IF($N1534="",0,IF(COUNTIF(Dashboard!$C$13:$C$22,$N1534)&gt;0,1,0))</f>
        <v>0</v>
      </c>
      <c r="AB1534" s="37" t="str">
        <f aca="false">IF($N1534="","",IF(COUNTIF($N$8:$N1534,$N1534)=1,MAX($AB$7:$AB1533)+1,""))</f>
        <v/>
      </c>
    </row>
    <row r="1535" customFormat="false" ht="15" hidden="false" customHeight="false" outlineLevel="0" collapsed="false">
      <c r="L1535" s="37" t="str">
        <f aca="false">IF(INDEX($A1535:$J1535,$L$6)&lt;&gt;"",TRIM(LEFT(INDEX($A1535:$J1535,$L$6),FIND("(",INDEX($A1535:$J1535,$L$6)&amp;"(")-1)),L1534)</f>
        <v>Building Value Proposition</v>
      </c>
      <c r="M1535" s="37" t="str">
        <f aca="false">IF(INDEX($A1535:$J1535,$M$6)="","",INDEX($A1535:$J1535,$M$6)&amp;"")</f>
        <v/>
      </c>
      <c r="N1535" s="37" t="str">
        <f aca="false">IF($M1535="","",TRIM(INDEX($A1535:$J1535,$N$6)&amp;""))</f>
        <v/>
      </c>
      <c r="O1535" s="37" t="str">
        <f aca="false">IF($M1535="","",TRIM(INDEX($A1535:$J1535,$O$6)&amp;""))</f>
        <v/>
      </c>
      <c r="P1535" s="37" t="str">
        <f aca="false">IF($M1535="","",IFERROR(IF(INDEX(Settings!$B$41:$B$50,MATCH(O1535,Settings!$A$41:$A$50,0))&amp;""="","UNMAPPED",INDEX(Settings!$B$41:$B$50,MATCH(O1535,Settings!$A$41:$A$50,0))&amp;""),"UNMAPPED"))</f>
        <v/>
      </c>
      <c r="Q1535" s="38" t="n">
        <f aca="false">IF($M1535="",0,N(INDEX($A1535:$J1535,$Q$6)))</f>
        <v>0</v>
      </c>
      <c r="R1535" s="39" t="str">
        <f aca="false">IF($M1535="","",INDEX($A1535:$J1535,$R$6))</f>
        <v/>
      </c>
      <c r="S1535" s="37" t="str">
        <f aca="false">IF($M1535="","",IFERROR(INDEX(Settings!$B$27:$B$36,MATCH(L1535,Settings!$A$27:$A$36,0))&amp;"","UNMAPPED"))</f>
        <v/>
      </c>
      <c r="T1535" s="37" t="str">
        <f aca="false">IF($M1535="","",IF(NOT(ISNUMBER(R1535)),"NO DATE",IF(S1535="Won",IF(R1535&gt;Settings!$B$5,"Backlog","Delivered"),IF(S1535="Open",IF(R1535&gt;Settings!$B$5,"Pipeline","Overdue"),IF(S1535="Lost","Lost","UNMAPPED")))))</f>
        <v/>
      </c>
      <c r="U1535" s="40" t="n">
        <f aca="false">IF(T1535="Backlog",1,IF(OR(T1535="Pipeline",T1535="Overdue"),N(INDEX(Settings!$C$27:$C$36,MATCH(L1535,Settings!$A$27:$A$36,0))),0))</f>
        <v>0</v>
      </c>
      <c r="V1535" s="38" t="n">
        <f aca="false">Q1535*U1535</f>
        <v>0</v>
      </c>
      <c r="W1535" s="41" t="str">
        <f aca="false">IF($M1535="","",IF(T1535="Overdue",IF(Settings!$B$8="Yes",Settings!$B$7,""),IF(ISNUMBER(R1535),DATE(YEAR(R1535),MONTH(R1535),1),"")))</f>
        <v/>
      </c>
      <c r="X1535" s="38" t="n">
        <f aca="false">IF(AND(OR(T1535="Backlog",T1535="Pipeline",T1535="Overdue"),ISNUMBER(W1535)),IF(W1535&lt;=Settings!$B$6,V1535,0),0)</f>
        <v>0</v>
      </c>
      <c r="Y1535" s="38" t="n">
        <f aca="false">IF(AND(OR(T1535="Backlog",T1535="Pipeline",T1535="Overdue"),ISNUMBER(W1535)),IF(W1535&lt;=Settings!$B$6,Q1535,0),0)</f>
        <v>0</v>
      </c>
      <c r="Z1535" s="38" t="n">
        <f aca="false">IF(Y1535=0,0,IF(T1535="Backlog",Q1535,Q1535*Dashboard!$C$10))</f>
        <v>0</v>
      </c>
      <c r="AA1535" s="37" t="n">
        <f aca="false">IF($N1535="",0,IF(COUNTIF(Dashboard!$C$13:$C$22,$N1535)&gt;0,1,0))</f>
        <v>0</v>
      </c>
      <c r="AB1535" s="37" t="str">
        <f aca="false">IF($N1535="","",IF(COUNTIF($N$8:$N1535,$N1535)=1,MAX($AB$7:$AB1534)+1,""))</f>
        <v/>
      </c>
    </row>
    <row r="1536" customFormat="false" ht="15" hidden="false" customHeight="false" outlineLevel="0" collapsed="false">
      <c r="L1536" s="37" t="str">
        <f aca="false">IF(INDEX($A1536:$J1536,$L$6)&lt;&gt;"",TRIM(LEFT(INDEX($A1536:$J1536,$L$6),FIND("(",INDEX($A1536:$J1536,$L$6)&amp;"(")-1)),L1535)</f>
        <v>Building Value Proposition</v>
      </c>
      <c r="M1536" s="37" t="str">
        <f aca="false">IF(INDEX($A1536:$J1536,$M$6)="","",INDEX($A1536:$J1536,$M$6)&amp;"")</f>
        <v/>
      </c>
      <c r="N1536" s="37" t="str">
        <f aca="false">IF($M1536="","",TRIM(INDEX($A1536:$J1536,$N$6)&amp;""))</f>
        <v/>
      </c>
      <c r="O1536" s="37" t="str">
        <f aca="false">IF($M1536="","",TRIM(INDEX($A1536:$J1536,$O$6)&amp;""))</f>
        <v/>
      </c>
      <c r="P1536" s="37" t="str">
        <f aca="false">IF($M1536="","",IFERROR(IF(INDEX(Settings!$B$41:$B$50,MATCH(O1536,Settings!$A$41:$A$50,0))&amp;""="","UNMAPPED",INDEX(Settings!$B$41:$B$50,MATCH(O1536,Settings!$A$41:$A$50,0))&amp;""),"UNMAPPED"))</f>
        <v/>
      </c>
      <c r="Q1536" s="38" t="n">
        <f aca="false">IF($M1536="",0,N(INDEX($A1536:$J1536,$Q$6)))</f>
        <v>0</v>
      </c>
      <c r="R1536" s="39" t="str">
        <f aca="false">IF($M1536="","",INDEX($A1536:$J1536,$R$6))</f>
        <v/>
      </c>
      <c r="S1536" s="37" t="str">
        <f aca="false">IF($M1536="","",IFERROR(INDEX(Settings!$B$27:$B$36,MATCH(L1536,Settings!$A$27:$A$36,0))&amp;"","UNMAPPED"))</f>
        <v/>
      </c>
      <c r="T1536" s="37" t="str">
        <f aca="false">IF($M1536="","",IF(NOT(ISNUMBER(R1536)),"NO DATE",IF(S1536="Won",IF(R1536&gt;Settings!$B$5,"Backlog","Delivered"),IF(S1536="Open",IF(R1536&gt;Settings!$B$5,"Pipeline","Overdue"),IF(S1536="Lost","Lost","UNMAPPED")))))</f>
        <v/>
      </c>
      <c r="U1536" s="40" t="n">
        <f aca="false">IF(T1536="Backlog",1,IF(OR(T1536="Pipeline",T1536="Overdue"),N(INDEX(Settings!$C$27:$C$36,MATCH(L1536,Settings!$A$27:$A$36,0))),0))</f>
        <v>0</v>
      </c>
      <c r="V1536" s="38" t="n">
        <f aca="false">Q1536*U1536</f>
        <v>0</v>
      </c>
      <c r="W1536" s="41" t="str">
        <f aca="false">IF($M1536="","",IF(T1536="Overdue",IF(Settings!$B$8="Yes",Settings!$B$7,""),IF(ISNUMBER(R1536),DATE(YEAR(R1536),MONTH(R1536),1),"")))</f>
        <v/>
      </c>
      <c r="X1536" s="38" t="n">
        <f aca="false">IF(AND(OR(T1536="Backlog",T1536="Pipeline",T1536="Overdue"),ISNUMBER(W1536)),IF(W1536&lt;=Settings!$B$6,V1536,0),0)</f>
        <v>0</v>
      </c>
      <c r="Y1536" s="38" t="n">
        <f aca="false">IF(AND(OR(T1536="Backlog",T1536="Pipeline",T1536="Overdue"),ISNUMBER(W1536)),IF(W1536&lt;=Settings!$B$6,Q1536,0),0)</f>
        <v>0</v>
      </c>
      <c r="Z1536" s="38" t="n">
        <f aca="false">IF(Y1536=0,0,IF(T1536="Backlog",Q1536,Q1536*Dashboard!$C$10))</f>
        <v>0</v>
      </c>
      <c r="AA1536" s="37" t="n">
        <f aca="false">IF($N1536="",0,IF(COUNTIF(Dashboard!$C$13:$C$22,$N1536)&gt;0,1,0))</f>
        <v>0</v>
      </c>
      <c r="AB1536" s="37" t="str">
        <f aca="false">IF($N1536="","",IF(COUNTIF($N$8:$N1536,$N1536)=1,MAX($AB$7:$AB1535)+1,""))</f>
        <v/>
      </c>
    </row>
    <row r="1537" customFormat="false" ht="15" hidden="false" customHeight="false" outlineLevel="0" collapsed="false">
      <c r="L1537" s="37" t="str">
        <f aca="false">IF(INDEX($A1537:$J1537,$L$6)&lt;&gt;"",TRIM(LEFT(INDEX($A1537:$J1537,$L$6),FIND("(",INDEX($A1537:$J1537,$L$6)&amp;"(")-1)),L1536)</f>
        <v>Building Value Proposition</v>
      </c>
      <c r="M1537" s="37" t="str">
        <f aca="false">IF(INDEX($A1537:$J1537,$M$6)="","",INDEX($A1537:$J1537,$M$6)&amp;"")</f>
        <v/>
      </c>
      <c r="N1537" s="37" t="str">
        <f aca="false">IF($M1537="","",TRIM(INDEX($A1537:$J1537,$N$6)&amp;""))</f>
        <v/>
      </c>
      <c r="O1537" s="37" t="str">
        <f aca="false">IF($M1537="","",TRIM(INDEX($A1537:$J1537,$O$6)&amp;""))</f>
        <v/>
      </c>
      <c r="P1537" s="37" t="str">
        <f aca="false">IF($M1537="","",IFERROR(IF(INDEX(Settings!$B$41:$B$50,MATCH(O1537,Settings!$A$41:$A$50,0))&amp;""="","UNMAPPED",INDEX(Settings!$B$41:$B$50,MATCH(O1537,Settings!$A$41:$A$50,0))&amp;""),"UNMAPPED"))</f>
        <v/>
      </c>
      <c r="Q1537" s="38" t="n">
        <f aca="false">IF($M1537="",0,N(INDEX($A1537:$J1537,$Q$6)))</f>
        <v>0</v>
      </c>
      <c r="R1537" s="39" t="str">
        <f aca="false">IF($M1537="","",INDEX($A1537:$J1537,$R$6))</f>
        <v/>
      </c>
      <c r="S1537" s="37" t="str">
        <f aca="false">IF($M1537="","",IFERROR(INDEX(Settings!$B$27:$B$36,MATCH(L1537,Settings!$A$27:$A$36,0))&amp;"","UNMAPPED"))</f>
        <v/>
      </c>
      <c r="T1537" s="37" t="str">
        <f aca="false">IF($M1537="","",IF(NOT(ISNUMBER(R1537)),"NO DATE",IF(S1537="Won",IF(R1537&gt;Settings!$B$5,"Backlog","Delivered"),IF(S1537="Open",IF(R1537&gt;Settings!$B$5,"Pipeline","Overdue"),IF(S1537="Lost","Lost","UNMAPPED")))))</f>
        <v/>
      </c>
      <c r="U1537" s="40" t="n">
        <f aca="false">IF(T1537="Backlog",1,IF(OR(T1537="Pipeline",T1537="Overdue"),N(INDEX(Settings!$C$27:$C$36,MATCH(L1537,Settings!$A$27:$A$36,0))),0))</f>
        <v>0</v>
      </c>
      <c r="V1537" s="38" t="n">
        <f aca="false">Q1537*U1537</f>
        <v>0</v>
      </c>
      <c r="W1537" s="41" t="str">
        <f aca="false">IF($M1537="","",IF(T1537="Overdue",IF(Settings!$B$8="Yes",Settings!$B$7,""),IF(ISNUMBER(R1537),DATE(YEAR(R1537),MONTH(R1537),1),"")))</f>
        <v/>
      </c>
      <c r="X1537" s="38" t="n">
        <f aca="false">IF(AND(OR(T1537="Backlog",T1537="Pipeline",T1537="Overdue"),ISNUMBER(W1537)),IF(W1537&lt;=Settings!$B$6,V1537,0),0)</f>
        <v>0</v>
      </c>
      <c r="Y1537" s="38" t="n">
        <f aca="false">IF(AND(OR(T1537="Backlog",T1537="Pipeline",T1537="Overdue"),ISNUMBER(W1537)),IF(W1537&lt;=Settings!$B$6,Q1537,0),0)</f>
        <v>0</v>
      </c>
      <c r="Z1537" s="38" t="n">
        <f aca="false">IF(Y1537=0,0,IF(T1537="Backlog",Q1537,Q1537*Dashboard!$C$10))</f>
        <v>0</v>
      </c>
      <c r="AA1537" s="37" t="n">
        <f aca="false">IF($N1537="",0,IF(COUNTIF(Dashboard!$C$13:$C$22,$N1537)&gt;0,1,0))</f>
        <v>0</v>
      </c>
      <c r="AB1537" s="37" t="str">
        <f aca="false">IF($N1537="","",IF(COUNTIF($N$8:$N1537,$N1537)=1,MAX($AB$7:$AB1536)+1,""))</f>
        <v/>
      </c>
    </row>
    <row r="1538" customFormat="false" ht="15" hidden="false" customHeight="false" outlineLevel="0" collapsed="false">
      <c r="L1538" s="37" t="str">
        <f aca="false">IF(INDEX($A1538:$J1538,$L$6)&lt;&gt;"",TRIM(LEFT(INDEX($A1538:$J1538,$L$6),FIND("(",INDEX($A1538:$J1538,$L$6)&amp;"(")-1)),L1537)</f>
        <v>Building Value Proposition</v>
      </c>
      <c r="M1538" s="37" t="str">
        <f aca="false">IF(INDEX($A1538:$J1538,$M$6)="","",INDEX($A1538:$J1538,$M$6)&amp;"")</f>
        <v/>
      </c>
      <c r="N1538" s="37" t="str">
        <f aca="false">IF($M1538="","",TRIM(INDEX($A1538:$J1538,$N$6)&amp;""))</f>
        <v/>
      </c>
      <c r="O1538" s="37" t="str">
        <f aca="false">IF($M1538="","",TRIM(INDEX($A1538:$J1538,$O$6)&amp;""))</f>
        <v/>
      </c>
      <c r="P1538" s="37" t="str">
        <f aca="false">IF($M1538="","",IFERROR(IF(INDEX(Settings!$B$41:$B$50,MATCH(O1538,Settings!$A$41:$A$50,0))&amp;""="","UNMAPPED",INDEX(Settings!$B$41:$B$50,MATCH(O1538,Settings!$A$41:$A$50,0))&amp;""),"UNMAPPED"))</f>
        <v/>
      </c>
      <c r="Q1538" s="38" t="n">
        <f aca="false">IF($M1538="",0,N(INDEX($A1538:$J1538,$Q$6)))</f>
        <v>0</v>
      </c>
      <c r="R1538" s="39" t="str">
        <f aca="false">IF($M1538="","",INDEX($A1538:$J1538,$R$6))</f>
        <v/>
      </c>
      <c r="S1538" s="37" t="str">
        <f aca="false">IF($M1538="","",IFERROR(INDEX(Settings!$B$27:$B$36,MATCH(L1538,Settings!$A$27:$A$36,0))&amp;"","UNMAPPED"))</f>
        <v/>
      </c>
      <c r="T1538" s="37" t="str">
        <f aca="false">IF($M1538="","",IF(NOT(ISNUMBER(R1538)),"NO DATE",IF(S1538="Won",IF(R1538&gt;Settings!$B$5,"Backlog","Delivered"),IF(S1538="Open",IF(R1538&gt;Settings!$B$5,"Pipeline","Overdue"),IF(S1538="Lost","Lost","UNMAPPED")))))</f>
        <v/>
      </c>
      <c r="U1538" s="40" t="n">
        <f aca="false">IF(T1538="Backlog",1,IF(OR(T1538="Pipeline",T1538="Overdue"),N(INDEX(Settings!$C$27:$C$36,MATCH(L1538,Settings!$A$27:$A$36,0))),0))</f>
        <v>0</v>
      </c>
      <c r="V1538" s="38" t="n">
        <f aca="false">Q1538*U1538</f>
        <v>0</v>
      </c>
      <c r="W1538" s="41" t="str">
        <f aca="false">IF($M1538="","",IF(T1538="Overdue",IF(Settings!$B$8="Yes",Settings!$B$7,""),IF(ISNUMBER(R1538),DATE(YEAR(R1538),MONTH(R1538),1),"")))</f>
        <v/>
      </c>
      <c r="X1538" s="38" t="n">
        <f aca="false">IF(AND(OR(T1538="Backlog",T1538="Pipeline",T1538="Overdue"),ISNUMBER(W1538)),IF(W1538&lt;=Settings!$B$6,V1538,0),0)</f>
        <v>0</v>
      </c>
      <c r="Y1538" s="38" t="n">
        <f aca="false">IF(AND(OR(T1538="Backlog",T1538="Pipeline",T1538="Overdue"),ISNUMBER(W1538)),IF(W1538&lt;=Settings!$B$6,Q1538,0),0)</f>
        <v>0</v>
      </c>
      <c r="Z1538" s="38" t="n">
        <f aca="false">IF(Y1538=0,0,IF(T1538="Backlog",Q1538,Q1538*Dashboard!$C$10))</f>
        <v>0</v>
      </c>
      <c r="AA1538" s="37" t="n">
        <f aca="false">IF($N1538="",0,IF(COUNTIF(Dashboard!$C$13:$C$22,$N1538)&gt;0,1,0))</f>
        <v>0</v>
      </c>
      <c r="AB1538" s="37" t="str">
        <f aca="false">IF($N1538="","",IF(COUNTIF($N$8:$N1538,$N1538)=1,MAX($AB$7:$AB1537)+1,""))</f>
        <v/>
      </c>
    </row>
    <row r="1539" customFormat="false" ht="15" hidden="false" customHeight="false" outlineLevel="0" collapsed="false">
      <c r="L1539" s="37" t="str">
        <f aca="false">IF(INDEX($A1539:$J1539,$L$6)&lt;&gt;"",TRIM(LEFT(INDEX($A1539:$J1539,$L$6),FIND("(",INDEX($A1539:$J1539,$L$6)&amp;"(")-1)),L1538)</f>
        <v>Building Value Proposition</v>
      </c>
      <c r="M1539" s="37" t="str">
        <f aca="false">IF(INDEX($A1539:$J1539,$M$6)="","",INDEX($A1539:$J1539,$M$6)&amp;"")</f>
        <v/>
      </c>
      <c r="N1539" s="37" t="str">
        <f aca="false">IF($M1539="","",TRIM(INDEX($A1539:$J1539,$N$6)&amp;""))</f>
        <v/>
      </c>
      <c r="O1539" s="37" t="str">
        <f aca="false">IF($M1539="","",TRIM(INDEX($A1539:$J1539,$O$6)&amp;""))</f>
        <v/>
      </c>
      <c r="P1539" s="37" t="str">
        <f aca="false">IF($M1539="","",IFERROR(IF(INDEX(Settings!$B$41:$B$50,MATCH(O1539,Settings!$A$41:$A$50,0))&amp;""="","UNMAPPED",INDEX(Settings!$B$41:$B$50,MATCH(O1539,Settings!$A$41:$A$50,0))&amp;""),"UNMAPPED"))</f>
        <v/>
      </c>
      <c r="Q1539" s="38" t="n">
        <f aca="false">IF($M1539="",0,N(INDEX($A1539:$J1539,$Q$6)))</f>
        <v>0</v>
      </c>
      <c r="R1539" s="39" t="str">
        <f aca="false">IF($M1539="","",INDEX($A1539:$J1539,$R$6))</f>
        <v/>
      </c>
      <c r="S1539" s="37" t="str">
        <f aca="false">IF($M1539="","",IFERROR(INDEX(Settings!$B$27:$B$36,MATCH(L1539,Settings!$A$27:$A$36,0))&amp;"","UNMAPPED"))</f>
        <v/>
      </c>
      <c r="T1539" s="37" t="str">
        <f aca="false">IF($M1539="","",IF(NOT(ISNUMBER(R1539)),"NO DATE",IF(S1539="Won",IF(R1539&gt;Settings!$B$5,"Backlog","Delivered"),IF(S1539="Open",IF(R1539&gt;Settings!$B$5,"Pipeline","Overdue"),IF(S1539="Lost","Lost","UNMAPPED")))))</f>
        <v/>
      </c>
      <c r="U1539" s="40" t="n">
        <f aca="false">IF(T1539="Backlog",1,IF(OR(T1539="Pipeline",T1539="Overdue"),N(INDEX(Settings!$C$27:$C$36,MATCH(L1539,Settings!$A$27:$A$36,0))),0))</f>
        <v>0</v>
      </c>
      <c r="V1539" s="38" t="n">
        <f aca="false">Q1539*U1539</f>
        <v>0</v>
      </c>
      <c r="W1539" s="41" t="str">
        <f aca="false">IF($M1539="","",IF(T1539="Overdue",IF(Settings!$B$8="Yes",Settings!$B$7,""),IF(ISNUMBER(R1539),DATE(YEAR(R1539),MONTH(R1539),1),"")))</f>
        <v/>
      </c>
      <c r="X1539" s="38" t="n">
        <f aca="false">IF(AND(OR(T1539="Backlog",T1539="Pipeline",T1539="Overdue"),ISNUMBER(W1539)),IF(W1539&lt;=Settings!$B$6,V1539,0),0)</f>
        <v>0</v>
      </c>
      <c r="Y1539" s="38" t="n">
        <f aca="false">IF(AND(OR(T1539="Backlog",T1539="Pipeline",T1539="Overdue"),ISNUMBER(W1539)),IF(W1539&lt;=Settings!$B$6,Q1539,0),0)</f>
        <v>0</v>
      </c>
      <c r="Z1539" s="38" t="n">
        <f aca="false">IF(Y1539=0,0,IF(T1539="Backlog",Q1539,Q1539*Dashboard!$C$10))</f>
        <v>0</v>
      </c>
      <c r="AA1539" s="37" t="n">
        <f aca="false">IF($N1539="",0,IF(COUNTIF(Dashboard!$C$13:$C$22,$N1539)&gt;0,1,0))</f>
        <v>0</v>
      </c>
      <c r="AB1539" s="37" t="str">
        <f aca="false">IF($N1539="","",IF(COUNTIF($N$8:$N1539,$N1539)=1,MAX($AB$7:$AB1538)+1,""))</f>
        <v/>
      </c>
    </row>
    <row r="1540" customFormat="false" ht="15" hidden="false" customHeight="false" outlineLevel="0" collapsed="false">
      <c r="L1540" s="37" t="str">
        <f aca="false">IF(INDEX($A1540:$J1540,$L$6)&lt;&gt;"",TRIM(LEFT(INDEX($A1540:$J1540,$L$6),FIND("(",INDEX($A1540:$J1540,$L$6)&amp;"(")-1)),L1539)</f>
        <v>Building Value Proposition</v>
      </c>
      <c r="M1540" s="37" t="str">
        <f aca="false">IF(INDEX($A1540:$J1540,$M$6)="","",INDEX($A1540:$J1540,$M$6)&amp;"")</f>
        <v/>
      </c>
      <c r="N1540" s="37" t="str">
        <f aca="false">IF($M1540="","",TRIM(INDEX($A1540:$J1540,$N$6)&amp;""))</f>
        <v/>
      </c>
      <c r="O1540" s="37" t="str">
        <f aca="false">IF($M1540="","",TRIM(INDEX($A1540:$J1540,$O$6)&amp;""))</f>
        <v/>
      </c>
      <c r="P1540" s="37" t="str">
        <f aca="false">IF($M1540="","",IFERROR(IF(INDEX(Settings!$B$41:$B$50,MATCH(O1540,Settings!$A$41:$A$50,0))&amp;""="","UNMAPPED",INDEX(Settings!$B$41:$B$50,MATCH(O1540,Settings!$A$41:$A$50,0))&amp;""),"UNMAPPED"))</f>
        <v/>
      </c>
      <c r="Q1540" s="38" t="n">
        <f aca="false">IF($M1540="",0,N(INDEX($A1540:$J1540,$Q$6)))</f>
        <v>0</v>
      </c>
      <c r="R1540" s="39" t="str">
        <f aca="false">IF($M1540="","",INDEX($A1540:$J1540,$R$6))</f>
        <v/>
      </c>
      <c r="S1540" s="37" t="str">
        <f aca="false">IF($M1540="","",IFERROR(INDEX(Settings!$B$27:$B$36,MATCH(L1540,Settings!$A$27:$A$36,0))&amp;"","UNMAPPED"))</f>
        <v/>
      </c>
      <c r="T1540" s="37" t="str">
        <f aca="false">IF($M1540="","",IF(NOT(ISNUMBER(R1540)),"NO DATE",IF(S1540="Won",IF(R1540&gt;Settings!$B$5,"Backlog","Delivered"),IF(S1540="Open",IF(R1540&gt;Settings!$B$5,"Pipeline","Overdue"),IF(S1540="Lost","Lost","UNMAPPED")))))</f>
        <v/>
      </c>
      <c r="U1540" s="40" t="n">
        <f aca="false">IF(T1540="Backlog",1,IF(OR(T1540="Pipeline",T1540="Overdue"),N(INDEX(Settings!$C$27:$C$36,MATCH(L1540,Settings!$A$27:$A$36,0))),0))</f>
        <v>0</v>
      </c>
      <c r="V1540" s="38" t="n">
        <f aca="false">Q1540*U1540</f>
        <v>0</v>
      </c>
      <c r="W1540" s="41" t="str">
        <f aca="false">IF($M1540="","",IF(T1540="Overdue",IF(Settings!$B$8="Yes",Settings!$B$7,""),IF(ISNUMBER(R1540),DATE(YEAR(R1540),MONTH(R1540),1),"")))</f>
        <v/>
      </c>
      <c r="X1540" s="38" t="n">
        <f aca="false">IF(AND(OR(T1540="Backlog",T1540="Pipeline",T1540="Overdue"),ISNUMBER(W1540)),IF(W1540&lt;=Settings!$B$6,V1540,0),0)</f>
        <v>0</v>
      </c>
      <c r="Y1540" s="38" t="n">
        <f aca="false">IF(AND(OR(T1540="Backlog",T1540="Pipeline",T1540="Overdue"),ISNUMBER(W1540)),IF(W1540&lt;=Settings!$B$6,Q1540,0),0)</f>
        <v>0</v>
      </c>
      <c r="Z1540" s="38" t="n">
        <f aca="false">IF(Y1540=0,0,IF(T1540="Backlog",Q1540,Q1540*Dashboard!$C$10))</f>
        <v>0</v>
      </c>
      <c r="AA1540" s="37" t="n">
        <f aca="false">IF($N1540="",0,IF(COUNTIF(Dashboard!$C$13:$C$22,$N1540)&gt;0,1,0))</f>
        <v>0</v>
      </c>
      <c r="AB1540" s="37" t="str">
        <f aca="false">IF($N1540="","",IF(COUNTIF($N$8:$N1540,$N1540)=1,MAX($AB$7:$AB1539)+1,""))</f>
        <v/>
      </c>
    </row>
    <row r="1541" customFormat="false" ht="15" hidden="false" customHeight="false" outlineLevel="0" collapsed="false">
      <c r="L1541" s="37" t="str">
        <f aca="false">IF(INDEX($A1541:$J1541,$L$6)&lt;&gt;"",TRIM(LEFT(INDEX($A1541:$J1541,$L$6),FIND("(",INDEX($A1541:$J1541,$L$6)&amp;"(")-1)),L1540)</f>
        <v>Building Value Proposition</v>
      </c>
      <c r="M1541" s="37" t="str">
        <f aca="false">IF(INDEX($A1541:$J1541,$M$6)="","",INDEX($A1541:$J1541,$M$6)&amp;"")</f>
        <v/>
      </c>
      <c r="N1541" s="37" t="str">
        <f aca="false">IF($M1541="","",TRIM(INDEX($A1541:$J1541,$N$6)&amp;""))</f>
        <v/>
      </c>
      <c r="O1541" s="37" t="str">
        <f aca="false">IF($M1541="","",TRIM(INDEX($A1541:$J1541,$O$6)&amp;""))</f>
        <v/>
      </c>
      <c r="P1541" s="37" t="str">
        <f aca="false">IF($M1541="","",IFERROR(IF(INDEX(Settings!$B$41:$B$50,MATCH(O1541,Settings!$A$41:$A$50,0))&amp;""="","UNMAPPED",INDEX(Settings!$B$41:$B$50,MATCH(O1541,Settings!$A$41:$A$50,0))&amp;""),"UNMAPPED"))</f>
        <v/>
      </c>
      <c r="Q1541" s="38" t="n">
        <f aca="false">IF($M1541="",0,N(INDEX($A1541:$J1541,$Q$6)))</f>
        <v>0</v>
      </c>
      <c r="R1541" s="39" t="str">
        <f aca="false">IF($M1541="","",INDEX($A1541:$J1541,$R$6))</f>
        <v/>
      </c>
      <c r="S1541" s="37" t="str">
        <f aca="false">IF($M1541="","",IFERROR(INDEX(Settings!$B$27:$B$36,MATCH(L1541,Settings!$A$27:$A$36,0))&amp;"","UNMAPPED"))</f>
        <v/>
      </c>
      <c r="T1541" s="37" t="str">
        <f aca="false">IF($M1541="","",IF(NOT(ISNUMBER(R1541)),"NO DATE",IF(S1541="Won",IF(R1541&gt;Settings!$B$5,"Backlog","Delivered"),IF(S1541="Open",IF(R1541&gt;Settings!$B$5,"Pipeline","Overdue"),IF(S1541="Lost","Lost","UNMAPPED")))))</f>
        <v/>
      </c>
      <c r="U1541" s="40" t="n">
        <f aca="false">IF(T1541="Backlog",1,IF(OR(T1541="Pipeline",T1541="Overdue"),N(INDEX(Settings!$C$27:$C$36,MATCH(L1541,Settings!$A$27:$A$36,0))),0))</f>
        <v>0</v>
      </c>
      <c r="V1541" s="38" t="n">
        <f aca="false">Q1541*U1541</f>
        <v>0</v>
      </c>
      <c r="W1541" s="41" t="str">
        <f aca="false">IF($M1541="","",IF(T1541="Overdue",IF(Settings!$B$8="Yes",Settings!$B$7,""),IF(ISNUMBER(R1541),DATE(YEAR(R1541),MONTH(R1541),1),"")))</f>
        <v/>
      </c>
      <c r="X1541" s="38" t="n">
        <f aca="false">IF(AND(OR(T1541="Backlog",T1541="Pipeline",T1541="Overdue"),ISNUMBER(W1541)),IF(W1541&lt;=Settings!$B$6,V1541,0),0)</f>
        <v>0</v>
      </c>
      <c r="Y1541" s="38" t="n">
        <f aca="false">IF(AND(OR(T1541="Backlog",T1541="Pipeline",T1541="Overdue"),ISNUMBER(W1541)),IF(W1541&lt;=Settings!$B$6,Q1541,0),0)</f>
        <v>0</v>
      </c>
      <c r="Z1541" s="38" t="n">
        <f aca="false">IF(Y1541=0,0,IF(T1541="Backlog",Q1541,Q1541*Dashboard!$C$10))</f>
        <v>0</v>
      </c>
      <c r="AA1541" s="37" t="n">
        <f aca="false">IF($N1541="",0,IF(COUNTIF(Dashboard!$C$13:$C$22,$N1541)&gt;0,1,0))</f>
        <v>0</v>
      </c>
      <c r="AB1541" s="37" t="str">
        <f aca="false">IF($N1541="","",IF(COUNTIF($N$8:$N1541,$N1541)=1,MAX($AB$7:$AB1540)+1,""))</f>
        <v/>
      </c>
    </row>
    <row r="1542" customFormat="false" ht="15" hidden="false" customHeight="false" outlineLevel="0" collapsed="false">
      <c r="L1542" s="37" t="str">
        <f aca="false">IF(INDEX($A1542:$J1542,$L$6)&lt;&gt;"",TRIM(LEFT(INDEX($A1542:$J1542,$L$6),FIND("(",INDEX($A1542:$J1542,$L$6)&amp;"(")-1)),L1541)</f>
        <v>Building Value Proposition</v>
      </c>
      <c r="M1542" s="37" t="str">
        <f aca="false">IF(INDEX($A1542:$J1542,$M$6)="","",INDEX($A1542:$J1542,$M$6)&amp;"")</f>
        <v/>
      </c>
      <c r="N1542" s="37" t="str">
        <f aca="false">IF($M1542="","",TRIM(INDEX($A1542:$J1542,$N$6)&amp;""))</f>
        <v/>
      </c>
      <c r="O1542" s="37" t="str">
        <f aca="false">IF($M1542="","",TRIM(INDEX($A1542:$J1542,$O$6)&amp;""))</f>
        <v/>
      </c>
      <c r="P1542" s="37" t="str">
        <f aca="false">IF($M1542="","",IFERROR(IF(INDEX(Settings!$B$41:$B$50,MATCH(O1542,Settings!$A$41:$A$50,0))&amp;""="","UNMAPPED",INDEX(Settings!$B$41:$B$50,MATCH(O1542,Settings!$A$41:$A$50,0))&amp;""),"UNMAPPED"))</f>
        <v/>
      </c>
      <c r="Q1542" s="38" t="n">
        <f aca="false">IF($M1542="",0,N(INDEX($A1542:$J1542,$Q$6)))</f>
        <v>0</v>
      </c>
      <c r="R1542" s="39" t="str">
        <f aca="false">IF($M1542="","",INDEX($A1542:$J1542,$R$6))</f>
        <v/>
      </c>
      <c r="S1542" s="37" t="str">
        <f aca="false">IF($M1542="","",IFERROR(INDEX(Settings!$B$27:$B$36,MATCH(L1542,Settings!$A$27:$A$36,0))&amp;"","UNMAPPED"))</f>
        <v/>
      </c>
      <c r="T1542" s="37" t="str">
        <f aca="false">IF($M1542="","",IF(NOT(ISNUMBER(R1542)),"NO DATE",IF(S1542="Won",IF(R1542&gt;Settings!$B$5,"Backlog","Delivered"),IF(S1542="Open",IF(R1542&gt;Settings!$B$5,"Pipeline","Overdue"),IF(S1542="Lost","Lost","UNMAPPED")))))</f>
        <v/>
      </c>
      <c r="U1542" s="40" t="n">
        <f aca="false">IF(T1542="Backlog",1,IF(OR(T1542="Pipeline",T1542="Overdue"),N(INDEX(Settings!$C$27:$C$36,MATCH(L1542,Settings!$A$27:$A$36,0))),0))</f>
        <v>0</v>
      </c>
      <c r="V1542" s="38" t="n">
        <f aca="false">Q1542*U1542</f>
        <v>0</v>
      </c>
      <c r="W1542" s="41" t="str">
        <f aca="false">IF($M1542="","",IF(T1542="Overdue",IF(Settings!$B$8="Yes",Settings!$B$7,""),IF(ISNUMBER(R1542),DATE(YEAR(R1542),MONTH(R1542),1),"")))</f>
        <v/>
      </c>
      <c r="X1542" s="38" t="n">
        <f aca="false">IF(AND(OR(T1542="Backlog",T1542="Pipeline",T1542="Overdue"),ISNUMBER(W1542)),IF(W1542&lt;=Settings!$B$6,V1542,0),0)</f>
        <v>0</v>
      </c>
      <c r="Y1542" s="38" t="n">
        <f aca="false">IF(AND(OR(T1542="Backlog",T1542="Pipeline",T1542="Overdue"),ISNUMBER(W1542)),IF(W1542&lt;=Settings!$B$6,Q1542,0),0)</f>
        <v>0</v>
      </c>
      <c r="Z1542" s="38" t="n">
        <f aca="false">IF(Y1542=0,0,IF(T1542="Backlog",Q1542,Q1542*Dashboard!$C$10))</f>
        <v>0</v>
      </c>
      <c r="AA1542" s="37" t="n">
        <f aca="false">IF($N1542="",0,IF(COUNTIF(Dashboard!$C$13:$C$22,$N1542)&gt;0,1,0))</f>
        <v>0</v>
      </c>
      <c r="AB1542" s="37" t="str">
        <f aca="false">IF($N1542="","",IF(COUNTIF($N$8:$N1542,$N1542)=1,MAX($AB$7:$AB1541)+1,""))</f>
        <v/>
      </c>
    </row>
    <row r="1543" customFormat="false" ht="15" hidden="false" customHeight="false" outlineLevel="0" collapsed="false">
      <c r="L1543" s="37" t="str">
        <f aca="false">IF(INDEX($A1543:$J1543,$L$6)&lt;&gt;"",TRIM(LEFT(INDEX($A1543:$J1543,$L$6),FIND("(",INDEX($A1543:$J1543,$L$6)&amp;"(")-1)),L1542)</f>
        <v>Building Value Proposition</v>
      </c>
      <c r="M1543" s="37" t="str">
        <f aca="false">IF(INDEX($A1543:$J1543,$M$6)="","",INDEX($A1543:$J1543,$M$6)&amp;"")</f>
        <v/>
      </c>
      <c r="N1543" s="37" t="str">
        <f aca="false">IF($M1543="","",TRIM(INDEX($A1543:$J1543,$N$6)&amp;""))</f>
        <v/>
      </c>
      <c r="O1543" s="37" t="str">
        <f aca="false">IF($M1543="","",TRIM(INDEX($A1543:$J1543,$O$6)&amp;""))</f>
        <v/>
      </c>
      <c r="P1543" s="37" t="str">
        <f aca="false">IF($M1543="","",IFERROR(IF(INDEX(Settings!$B$41:$B$50,MATCH(O1543,Settings!$A$41:$A$50,0))&amp;""="","UNMAPPED",INDEX(Settings!$B$41:$B$50,MATCH(O1543,Settings!$A$41:$A$50,0))&amp;""),"UNMAPPED"))</f>
        <v/>
      </c>
      <c r="Q1543" s="38" t="n">
        <f aca="false">IF($M1543="",0,N(INDEX($A1543:$J1543,$Q$6)))</f>
        <v>0</v>
      </c>
      <c r="R1543" s="39" t="str">
        <f aca="false">IF($M1543="","",INDEX($A1543:$J1543,$R$6))</f>
        <v/>
      </c>
      <c r="S1543" s="37" t="str">
        <f aca="false">IF($M1543="","",IFERROR(INDEX(Settings!$B$27:$B$36,MATCH(L1543,Settings!$A$27:$A$36,0))&amp;"","UNMAPPED"))</f>
        <v/>
      </c>
      <c r="T1543" s="37" t="str">
        <f aca="false">IF($M1543="","",IF(NOT(ISNUMBER(R1543)),"NO DATE",IF(S1543="Won",IF(R1543&gt;Settings!$B$5,"Backlog","Delivered"),IF(S1543="Open",IF(R1543&gt;Settings!$B$5,"Pipeline","Overdue"),IF(S1543="Lost","Lost","UNMAPPED")))))</f>
        <v/>
      </c>
      <c r="U1543" s="40" t="n">
        <f aca="false">IF(T1543="Backlog",1,IF(OR(T1543="Pipeline",T1543="Overdue"),N(INDEX(Settings!$C$27:$C$36,MATCH(L1543,Settings!$A$27:$A$36,0))),0))</f>
        <v>0</v>
      </c>
      <c r="V1543" s="38" t="n">
        <f aca="false">Q1543*U1543</f>
        <v>0</v>
      </c>
      <c r="W1543" s="41" t="str">
        <f aca="false">IF($M1543="","",IF(T1543="Overdue",IF(Settings!$B$8="Yes",Settings!$B$7,""),IF(ISNUMBER(R1543),DATE(YEAR(R1543),MONTH(R1543),1),"")))</f>
        <v/>
      </c>
      <c r="X1543" s="38" t="n">
        <f aca="false">IF(AND(OR(T1543="Backlog",T1543="Pipeline",T1543="Overdue"),ISNUMBER(W1543)),IF(W1543&lt;=Settings!$B$6,V1543,0),0)</f>
        <v>0</v>
      </c>
      <c r="Y1543" s="38" t="n">
        <f aca="false">IF(AND(OR(T1543="Backlog",T1543="Pipeline",T1543="Overdue"),ISNUMBER(W1543)),IF(W1543&lt;=Settings!$B$6,Q1543,0),0)</f>
        <v>0</v>
      </c>
      <c r="Z1543" s="38" t="n">
        <f aca="false">IF(Y1543=0,0,IF(T1543="Backlog",Q1543,Q1543*Dashboard!$C$10))</f>
        <v>0</v>
      </c>
      <c r="AA1543" s="37" t="n">
        <f aca="false">IF($N1543="",0,IF(COUNTIF(Dashboard!$C$13:$C$22,$N1543)&gt;0,1,0))</f>
        <v>0</v>
      </c>
      <c r="AB1543" s="37" t="str">
        <f aca="false">IF($N1543="","",IF(COUNTIF($N$8:$N1543,$N1543)=1,MAX($AB$7:$AB1542)+1,""))</f>
        <v/>
      </c>
    </row>
    <row r="1544" customFormat="false" ht="15" hidden="false" customHeight="false" outlineLevel="0" collapsed="false">
      <c r="L1544" s="37" t="str">
        <f aca="false">IF(INDEX($A1544:$J1544,$L$6)&lt;&gt;"",TRIM(LEFT(INDEX($A1544:$J1544,$L$6),FIND("(",INDEX($A1544:$J1544,$L$6)&amp;"(")-1)),L1543)</f>
        <v>Building Value Proposition</v>
      </c>
      <c r="M1544" s="37" t="str">
        <f aca="false">IF(INDEX($A1544:$J1544,$M$6)="","",INDEX($A1544:$J1544,$M$6)&amp;"")</f>
        <v/>
      </c>
      <c r="N1544" s="37" t="str">
        <f aca="false">IF($M1544="","",TRIM(INDEX($A1544:$J1544,$N$6)&amp;""))</f>
        <v/>
      </c>
      <c r="O1544" s="37" t="str">
        <f aca="false">IF($M1544="","",TRIM(INDEX($A1544:$J1544,$O$6)&amp;""))</f>
        <v/>
      </c>
      <c r="P1544" s="37" t="str">
        <f aca="false">IF($M1544="","",IFERROR(IF(INDEX(Settings!$B$41:$B$50,MATCH(O1544,Settings!$A$41:$A$50,0))&amp;""="","UNMAPPED",INDEX(Settings!$B$41:$B$50,MATCH(O1544,Settings!$A$41:$A$50,0))&amp;""),"UNMAPPED"))</f>
        <v/>
      </c>
      <c r="Q1544" s="38" t="n">
        <f aca="false">IF($M1544="",0,N(INDEX($A1544:$J1544,$Q$6)))</f>
        <v>0</v>
      </c>
      <c r="R1544" s="39" t="str">
        <f aca="false">IF($M1544="","",INDEX($A1544:$J1544,$R$6))</f>
        <v/>
      </c>
      <c r="S1544" s="37" t="str">
        <f aca="false">IF($M1544="","",IFERROR(INDEX(Settings!$B$27:$B$36,MATCH(L1544,Settings!$A$27:$A$36,0))&amp;"","UNMAPPED"))</f>
        <v/>
      </c>
      <c r="T1544" s="37" t="str">
        <f aca="false">IF($M1544="","",IF(NOT(ISNUMBER(R1544)),"NO DATE",IF(S1544="Won",IF(R1544&gt;Settings!$B$5,"Backlog","Delivered"),IF(S1544="Open",IF(R1544&gt;Settings!$B$5,"Pipeline","Overdue"),IF(S1544="Lost","Lost","UNMAPPED")))))</f>
        <v/>
      </c>
      <c r="U1544" s="40" t="n">
        <f aca="false">IF(T1544="Backlog",1,IF(OR(T1544="Pipeline",T1544="Overdue"),N(INDEX(Settings!$C$27:$C$36,MATCH(L1544,Settings!$A$27:$A$36,0))),0))</f>
        <v>0</v>
      </c>
      <c r="V1544" s="38" t="n">
        <f aca="false">Q1544*U1544</f>
        <v>0</v>
      </c>
      <c r="W1544" s="41" t="str">
        <f aca="false">IF($M1544="","",IF(T1544="Overdue",IF(Settings!$B$8="Yes",Settings!$B$7,""),IF(ISNUMBER(R1544),DATE(YEAR(R1544),MONTH(R1544),1),"")))</f>
        <v/>
      </c>
      <c r="X1544" s="38" t="n">
        <f aca="false">IF(AND(OR(T1544="Backlog",T1544="Pipeline",T1544="Overdue"),ISNUMBER(W1544)),IF(W1544&lt;=Settings!$B$6,V1544,0),0)</f>
        <v>0</v>
      </c>
      <c r="Y1544" s="38" t="n">
        <f aca="false">IF(AND(OR(T1544="Backlog",T1544="Pipeline",T1544="Overdue"),ISNUMBER(W1544)),IF(W1544&lt;=Settings!$B$6,Q1544,0),0)</f>
        <v>0</v>
      </c>
      <c r="Z1544" s="38" t="n">
        <f aca="false">IF(Y1544=0,0,IF(T1544="Backlog",Q1544,Q1544*Dashboard!$C$10))</f>
        <v>0</v>
      </c>
      <c r="AA1544" s="37" t="n">
        <f aca="false">IF($N1544="",0,IF(COUNTIF(Dashboard!$C$13:$C$22,$N1544)&gt;0,1,0))</f>
        <v>0</v>
      </c>
      <c r="AB1544" s="37" t="str">
        <f aca="false">IF($N1544="","",IF(COUNTIF($N$8:$N1544,$N1544)=1,MAX($AB$7:$AB1543)+1,""))</f>
        <v/>
      </c>
    </row>
    <row r="1545" customFormat="false" ht="15" hidden="false" customHeight="false" outlineLevel="0" collapsed="false">
      <c r="L1545" s="37" t="str">
        <f aca="false">IF(INDEX($A1545:$J1545,$L$6)&lt;&gt;"",TRIM(LEFT(INDEX($A1545:$J1545,$L$6),FIND("(",INDEX($A1545:$J1545,$L$6)&amp;"(")-1)),L1544)</f>
        <v>Building Value Proposition</v>
      </c>
      <c r="M1545" s="37" t="str">
        <f aca="false">IF(INDEX($A1545:$J1545,$M$6)="","",INDEX($A1545:$J1545,$M$6)&amp;"")</f>
        <v/>
      </c>
      <c r="N1545" s="37" t="str">
        <f aca="false">IF($M1545="","",TRIM(INDEX($A1545:$J1545,$N$6)&amp;""))</f>
        <v/>
      </c>
      <c r="O1545" s="37" t="str">
        <f aca="false">IF($M1545="","",TRIM(INDEX($A1545:$J1545,$O$6)&amp;""))</f>
        <v/>
      </c>
      <c r="P1545" s="37" t="str">
        <f aca="false">IF($M1545="","",IFERROR(IF(INDEX(Settings!$B$41:$B$50,MATCH(O1545,Settings!$A$41:$A$50,0))&amp;""="","UNMAPPED",INDEX(Settings!$B$41:$B$50,MATCH(O1545,Settings!$A$41:$A$50,0))&amp;""),"UNMAPPED"))</f>
        <v/>
      </c>
      <c r="Q1545" s="38" t="n">
        <f aca="false">IF($M1545="",0,N(INDEX($A1545:$J1545,$Q$6)))</f>
        <v>0</v>
      </c>
      <c r="R1545" s="39" t="str">
        <f aca="false">IF($M1545="","",INDEX($A1545:$J1545,$R$6))</f>
        <v/>
      </c>
      <c r="S1545" s="37" t="str">
        <f aca="false">IF($M1545="","",IFERROR(INDEX(Settings!$B$27:$B$36,MATCH(L1545,Settings!$A$27:$A$36,0))&amp;"","UNMAPPED"))</f>
        <v/>
      </c>
      <c r="T1545" s="37" t="str">
        <f aca="false">IF($M1545="","",IF(NOT(ISNUMBER(R1545)),"NO DATE",IF(S1545="Won",IF(R1545&gt;Settings!$B$5,"Backlog","Delivered"),IF(S1545="Open",IF(R1545&gt;Settings!$B$5,"Pipeline","Overdue"),IF(S1545="Lost","Lost","UNMAPPED")))))</f>
        <v/>
      </c>
      <c r="U1545" s="40" t="n">
        <f aca="false">IF(T1545="Backlog",1,IF(OR(T1545="Pipeline",T1545="Overdue"),N(INDEX(Settings!$C$27:$C$36,MATCH(L1545,Settings!$A$27:$A$36,0))),0))</f>
        <v>0</v>
      </c>
      <c r="V1545" s="38" t="n">
        <f aca="false">Q1545*U1545</f>
        <v>0</v>
      </c>
      <c r="W1545" s="41" t="str">
        <f aca="false">IF($M1545="","",IF(T1545="Overdue",IF(Settings!$B$8="Yes",Settings!$B$7,""),IF(ISNUMBER(R1545),DATE(YEAR(R1545),MONTH(R1545),1),"")))</f>
        <v/>
      </c>
      <c r="X1545" s="38" t="n">
        <f aca="false">IF(AND(OR(T1545="Backlog",T1545="Pipeline",T1545="Overdue"),ISNUMBER(W1545)),IF(W1545&lt;=Settings!$B$6,V1545,0),0)</f>
        <v>0</v>
      </c>
      <c r="Y1545" s="38" t="n">
        <f aca="false">IF(AND(OR(T1545="Backlog",T1545="Pipeline",T1545="Overdue"),ISNUMBER(W1545)),IF(W1545&lt;=Settings!$B$6,Q1545,0),0)</f>
        <v>0</v>
      </c>
      <c r="Z1545" s="38" t="n">
        <f aca="false">IF(Y1545=0,0,IF(T1545="Backlog",Q1545,Q1545*Dashboard!$C$10))</f>
        <v>0</v>
      </c>
      <c r="AA1545" s="37" t="n">
        <f aca="false">IF($N1545="",0,IF(COUNTIF(Dashboard!$C$13:$C$22,$N1545)&gt;0,1,0))</f>
        <v>0</v>
      </c>
      <c r="AB1545" s="37" t="str">
        <f aca="false">IF($N1545="","",IF(COUNTIF($N$8:$N1545,$N1545)=1,MAX($AB$7:$AB1544)+1,""))</f>
        <v/>
      </c>
    </row>
    <row r="1546" customFormat="false" ht="15" hidden="false" customHeight="false" outlineLevel="0" collapsed="false">
      <c r="L1546" s="37" t="str">
        <f aca="false">IF(INDEX($A1546:$J1546,$L$6)&lt;&gt;"",TRIM(LEFT(INDEX($A1546:$J1546,$L$6),FIND("(",INDEX($A1546:$J1546,$L$6)&amp;"(")-1)),L1545)</f>
        <v>Building Value Proposition</v>
      </c>
      <c r="M1546" s="37" t="str">
        <f aca="false">IF(INDEX($A1546:$J1546,$M$6)="","",INDEX($A1546:$J1546,$M$6)&amp;"")</f>
        <v/>
      </c>
      <c r="N1546" s="37" t="str">
        <f aca="false">IF($M1546="","",TRIM(INDEX($A1546:$J1546,$N$6)&amp;""))</f>
        <v/>
      </c>
      <c r="O1546" s="37" t="str">
        <f aca="false">IF($M1546="","",TRIM(INDEX($A1546:$J1546,$O$6)&amp;""))</f>
        <v/>
      </c>
      <c r="P1546" s="37" t="str">
        <f aca="false">IF($M1546="","",IFERROR(IF(INDEX(Settings!$B$41:$B$50,MATCH(O1546,Settings!$A$41:$A$50,0))&amp;""="","UNMAPPED",INDEX(Settings!$B$41:$B$50,MATCH(O1546,Settings!$A$41:$A$50,0))&amp;""),"UNMAPPED"))</f>
        <v/>
      </c>
      <c r="Q1546" s="38" t="n">
        <f aca="false">IF($M1546="",0,N(INDEX($A1546:$J1546,$Q$6)))</f>
        <v>0</v>
      </c>
      <c r="R1546" s="39" t="str">
        <f aca="false">IF($M1546="","",INDEX($A1546:$J1546,$R$6))</f>
        <v/>
      </c>
      <c r="S1546" s="37" t="str">
        <f aca="false">IF($M1546="","",IFERROR(INDEX(Settings!$B$27:$B$36,MATCH(L1546,Settings!$A$27:$A$36,0))&amp;"","UNMAPPED"))</f>
        <v/>
      </c>
      <c r="T1546" s="37" t="str">
        <f aca="false">IF($M1546="","",IF(NOT(ISNUMBER(R1546)),"NO DATE",IF(S1546="Won",IF(R1546&gt;Settings!$B$5,"Backlog","Delivered"),IF(S1546="Open",IF(R1546&gt;Settings!$B$5,"Pipeline","Overdue"),IF(S1546="Lost","Lost","UNMAPPED")))))</f>
        <v/>
      </c>
      <c r="U1546" s="40" t="n">
        <f aca="false">IF(T1546="Backlog",1,IF(OR(T1546="Pipeline",T1546="Overdue"),N(INDEX(Settings!$C$27:$C$36,MATCH(L1546,Settings!$A$27:$A$36,0))),0))</f>
        <v>0</v>
      </c>
      <c r="V1546" s="38" t="n">
        <f aca="false">Q1546*U1546</f>
        <v>0</v>
      </c>
      <c r="W1546" s="41" t="str">
        <f aca="false">IF($M1546="","",IF(T1546="Overdue",IF(Settings!$B$8="Yes",Settings!$B$7,""),IF(ISNUMBER(R1546),DATE(YEAR(R1546),MONTH(R1546),1),"")))</f>
        <v/>
      </c>
      <c r="X1546" s="38" t="n">
        <f aca="false">IF(AND(OR(T1546="Backlog",T1546="Pipeline",T1546="Overdue"),ISNUMBER(W1546)),IF(W1546&lt;=Settings!$B$6,V1546,0),0)</f>
        <v>0</v>
      </c>
      <c r="Y1546" s="38" t="n">
        <f aca="false">IF(AND(OR(T1546="Backlog",T1546="Pipeline",T1546="Overdue"),ISNUMBER(W1546)),IF(W1546&lt;=Settings!$B$6,Q1546,0),0)</f>
        <v>0</v>
      </c>
      <c r="Z1546" s="38" t="n">
        <f aca="false">IF(Y1546=0,0,IF(T1546="Backlog",Q1546,Q1546*Dashboard!$C$10))</f>
        <v>0</v>
      </c>
      <c r="AA1546" s="37" t="n">
        <f aca="false">IF($N1546="",0,IF(COUNTIF(Dashboard!$C$13:$C$22,$N1546)&gt;0,1,0))</f>
        <v>0</v>
      </c>
      <c r="AB1546" s="37" t="str">
        <f aca="false">IF($N1546="","",IF(COUNTIF($N$8:$N1546,$N1546)=1,MAX($AB$7:$AB1545)+1,""))</f>
        <v/>
      </c>
    </row>
    <row r="1547" customFormat="false" ht="15" hidden="false" customHeight="false" outlineLevel="0" collapsed="false">
      <c r="L1547" s="37" t="str">
        <f aca="false">IF(INDEX($A1547:$J1547,$L$6)&lt;&gt;"",TRIM(LEFT(INDEX($A1547:$J1547,$L$6),FIND("(",INDEX($A1547:$J1547,$L$6)&amp;"(")-1)),L1546)</f>
        <v>Building Value Proposition</v>
      </c>
      <c r="M1547" s="37" t="str">
        <f aca="false">IF(INDEX($A1547:$J1547,$M$6)="","",INDEX($A1547:$J1547,$M$6)&amp;"")</f>
        <v/>
      </c>
      <c r="N1547" s="37" t="str">
        <f aca="false">IF($M1547="","",TRIM(INDEX($A1547:$J1547,$N$6)&amp;""))</f>
        <v/>
      </c>
      <c r="O1547" s="37" t="str">
        <f aca="false">IF($M1547="","",TRIM(INDEX($A1547:$J1547,$O$6)&amp;""))</f>
        <v/>
      </c>
      <c r="P1547" s="37" t="str">
        <f aca="false">IF($M1547="","",IFERROR(IF(INDEX(Settings!$B$41:$B$50,MATCH(O1547,Settings!$A$41:$A$50,0))&amp;""="","UNMAPPED",INDEX(Settings!$B$41:$B$50,MATCH(O1547,Settings!$A$41:$A$50,0))&amp;""),"UNMAPPED"))</f>
        <v/>
      </c>
      <c r="Q1547" s="38" t="n">
        <f aca="false">IF($M1547="",0,N(INDEX($A1547:$J1547,$Q$6)))</f>
        <v>0</v>
      </c>
      <c r="R1547" s="39" t="str">
        <f aca="false">IF($M1547="","",INDEX($A1547:$J1547,$R$6))</f>
        <v/>
      </c>
      <c r="S1547" s="37" t="str">
        <f aca="false">IF($M1547="","",IFERROR(INDEX(Settings!$B$27:$B$36,MATCH(L1547,Settings!$A$27:$A$36,0))&amp;"","UNMAPPED"))</f>
        <v/>
      </c>
      <c r="T1547" s="37" t="str">
        <f aca="false">IF($M1547="","",IF(NOT(ISNUMBER(R1547)),"NO DATE",IF(S1547="Won",IF(R1547&gt;Settings!$B$5,"Backlog","Delivered"),IF(S1547="Open",IF(R1547&gt;Settings!$B$5,"Pipeline","Overdue"),IF(S1547="Lost","Lost","UNMAPPED")))))</f>
        <v/>
      </c>
      <c r="U1547" s="40" t="n">
        <f aca="false">IF(T1547="Backlog",1,IF(OR(T1547="Pipeline",T1547="Overdue"),N(INDEX(Settings!$C$27:$C$36,MATCH(L1547,Settings!$A$27:$A$36,0))),0))</f>
        <v>0</v>
      </c>
      <c r="V1547" s="38" t="n">
        <f aca="false">Q1547*U1547</f>
        <v>0</v>
      </c>
      <c r="W1547" s="41" t="str">
        <f aca="false">IF($M1547="","",IF(T1547="Overdue",IF(Settings!$B$8="Yes",Settings!$B$7,""),IF(ISNUMBER(R1547),DATE(YEAR(R1547),MONTH(R1547),1),"")))</f>
        <v/>
      </c>
      <c r="X1547" s="38" t="n">
        <f aca="false">IF(AND(OR(T1547="Backlog",T1547="Pipeline",T1547="Overdue"),ISNUMBER(W1547)),IF(W1547&lt;=Settings!$B$6,V1547,0),0)</f>
        <v>0</v>
      </c>
      <c r="Y1547" s="38" t="n">
        <f aca="false">IF(AND(OR(T1547="Backlog",T1547="Pipeline",T1547="Overdue"),ISNUMBER(W1547)),IF(W1547&lt;=Settings!$B$6,Q1547,0),0)</f>
        <v>0</v>
      </c>
      <c r="Z1547" s="38" t="n">
        <f aca="false">IF(Y1547=0,0,IF(T1547="Backlog",Q1547,Q1547*Dashboard!$C$10))</f>
        <v>0</v>
      </c>
      <c r="AA1547" s="37" t="n">
        <f aca="false">IF($N1547="",0,IF(COUNTIF(Dashboard!$C$13:$C$22,$N1547)&gt;0,1,0))</f>
        <v>0</v>
      </c>
      <c r="AB1547" s="37" t="str">
        <f aca="false">IF($N1547="","",IF(COUNTIF($N$8:$N1547,$N1547)=1,MAX($AB$7:$AB1546)+1,""))</f>
        <v/>
      </c>
    </row>
    <row r="1548" customFormat="false" ht="15" hidden="false" customHeight="false" outlineLevel="0" collapsed="false">
      <c r="L1548" s="37" t="str">
        <f aca="false">IF(INDEX($A1548:$J1548,$L$6)&lt;&gt;"",TRIM(LEFT(INDEX($A1548:$J1548,$L$6),FIND("(",INDEX($A1548:$J1548,$L$6)&amp;"(")-1)),L1547)</f>
        <v>Building Value Proposition</v>
      </c>
      <c r="M1548" s="37" t="str">
        <f aca="false">IF(INDEX($A1548:$J1548,$M$6)="","",INDEX($A1548:$J1548,$M$6)&amp;"")</f>
        <v/>
      </c>
      <c r="N1548" s="37" t="str">
        <f aca="false">IF($M1548="","",TRIM(INDEX($A1548:$J1548,$N$6)&amp;""))</f>
        <v/>
      </c>
      <c r="O1548" s="37" t="str">
        <f aca="false">IF($M1548="","",TRIM(INDEX($A1548:$J1548,$O$6)&amp;""))</f>
        <v/>
      </c>
      <c r="P1548" s="37" t="str">
        <f aca="false">IF($M1548="","",IFERROR(IF(INDEX(Settings!$B$41:$B$50,MATCH(O1548,Settings!$A$41:$A$50,0))&amp;""="","UNMAPPED",INDEX(Settings!$B$41:$B$50,MATCH(O1548,Settings!$A$41:$A$50,0))&amp;""),"UNMAPPED"))</f>
        <v/>
      </c>
      <c r="Q1548" s="38" t="n">
        <f aca="false">IF($M1548="",0,N(INDEX($A1548:$J1548,$Q$6)))</f>
        <v>0</v>
      </c>
      <c r="R1548" s="39" t="str">
        <f aca="false">IF($M1548="","",INDEX($A1548:$J1548,$R$6))</f>
        <v/>
      </c>
      <c r="S1548" s="37" t="str">
        <f aca="false">IF($M1548="","",IFERROR(INDEX(Settings!$B$27:$B$36,MATCH(L1548,Settings!$A$27:$A$36,0))&amp;"","UNMAPPED"))</f>
        <v/>
      </c>
      <c r="T1548" s="37" t="str">
        <f aca="false">IF($M1548="","",IF(NOT(ISNUMBER(R1548)),"NO DATE",IF(S1548="Won",IF(R1548&gt;Settings!$B$5,"Backlog","Delivered"),IF(S1548="Open",IF(R1548&gt;Settings!$B$5,"Pipeline","Overdue"),IF(S1548="Lost","Lost","UNMAPPED")))))</f>
        <v/>
      </c>
      <c r="U1548" s="40" t="n">
        <f aca="false">IF(T1548="Backlog",1,IF(OR(T1548="Pipeline",T1548="Overdue"),N(INDEX(Settings!$C$27:$C$36,MATCH(L1548,Settings!$A$27:$A$36,0))),0))</f>
        <v>0</v>
      </c>
      <c r="V1548" s="38" t="n">
        <f aca="false">Q1548*U1548</f>
        <v>0</v>
      </c>
      <c r="W1548" s="41" t="str">
        <f aca="false">IF($M1548="","",IF(T1548="Overdue",IF(Settings!$B$8="Yes",Settings!$B$7,""),IF(ISNUMBER(R1548),DATE(YEAR(R1548),MONTH(R1548),1),"")))</f>
        <v/>
      </c>
      <c r="X1548" s="38" t="n">
        <f aca="false">IF(AND(OR(T1548="Backlog",T1548="Pipeline",T1548="Overdue"),ISNUMBER(W1548)),IF(W1548&lt;=Settings!$B$6,V1548,0),0)</f>
        <v>0</v>
      </c>
      <c r="Y1548" s="38" t="n">
        <f aca="false">IF(AND(OR(T1548="Backlog",T1548="Pipeline",T1548="Overdue"),ISNUMBER(W1548)),IF(W1548&lt;=Settings!$B$6,Q1548,0),0)</f>
        <v>0</v>
      </c>
      <c r="Z1548" s="38" t="n">
        <f aca="false">IF(Y1548=0,0,IF(T1548="Backlog",Q1548,Q1548*Dashboard!$C$10))</f>
        <v>0</v>
      </c>
      <c r="AA1548" s="37" t="n">
        <f aca="false">IF($N1548="",0,IF(COUNTIF(Dashboard!$C$13:$C$22,$N1548)&gt;0,1,0))</f>
        <v>0</v>
      </c>
      <c r="AB1548" s="37" t="str">
        <f aca="false">IF($N1548="","",IF(COUNTIF($N$8:$N1548,$N1548)=1,MAX($AB$7:$AB1547)+1,""))</f>
        <v/>
      </c>
    </row>
    <row r="1549" customFormat="false" ht="15" hidden="false" customHeight="false" outlineLevel="0" collapsed="false">
      <c r="L1549" s="37" t="str">
        <f aca="false">IF(INDEX($A1549:$J1549,$L$6)&lt;&gt;"",TRIM(LEFT(INDEX($A1549:$J1549,$L$6),FIND("(",INDEX($A1549:$J1549,$L$6)&amp;"(")-1)),L1548)</f>
        <v>Building Value Proposition</v>
      </c>
      <c r="M1549" s="37" t="str">
        <f aca="false">IF(INDEX($A1549:$J1549,$M$6)="","",INDEX($A1549:$J1549,$M$6)&amp;"")</f>
        <v/>
      </c>
      <c r="N1549" s="37" t="str">
        <f aca="false">IF($M1549="","",TRIM(INDEX($A1549:$J1549,$N$6)&amp;""))</f>
        <v/>
      </c>
      <c r="O1549" s="37" t="str">
        <f aca="false">IF($M1549="","",TRIM(INDEX($A1549:$J1549,$O$6)&amp;""))</f>
        <v/>
      </c>
      <c r="P1549" s="37" t="str">
        <f aca="false">IF($M1549="","",IFERROR(IF(INDEX(Settings!$B$41:$B$50,MATCH(O1549,Settings!$A$41:$A$50,0))&amp;""="","UNMAPPED",INDEX(Settings!$B$41:$B$50,MATCH(O1549,Settings!$A$41:$A$50,0))&amp;""),"UNMAPPED"))</f>
        <v/>
      </c>
      <c r="Q1549" s="38" t="n">
        <f aca="false">IF($M1549="",0,N(INDEX($A1549:$J1549,$Q$6)))</f>
        <v>0</v>
      </c>
      <c r="R1549" s="39" t="str">
        <f aca="false">IF($M1549="","",INDEX($A1549:$J1549,$R$6))</f>
        <v/>
      </c>
      <c r="S1549" s="37" t="str">
        <f aca="false">IF($M1549="","",IFERROR(INDEX(Settings!$B$27:$B$36,MATCH(L1549,Settings!$A$27:$A$36,0))&amp;"","UNMAPPED"))</f>
        <v/>
      </c>
      <c r="T1549" s="37" t="str">
        <f aca="false">IF($M1549="","",IF(NOT(ISNUMBER(R1549)),"NO DATE",IF(S1549="Won",IF(R1549&gt;Settings!$B$5,"Backlog","Delivered"),IF(S1549="Open",IF(R1549&gt;Settings!$B$5,"Pipeline","Overdue"),IF(S1549="Lost","Lost","UNMAPPED")))))</f>
        <v/>
      </c>
      <c r="U1549" s="40" t="n">
        <f aca="false">IF(T1549="Backlog",1,IF(OR(T1549="Pipeline",T1549="Overdue"),N(INDEX(Settings!$C$27:$C$36,MATCH(L1549,Settings!$A$27:$A$36,0))),0))</f>
        <v>0</v>
      </c>
      <c r="V1549" s="38" t="n">
        <f aca="false">Q1549*U1549</f>
        <v>0</v>
      </c>
      <c r="W1549" s="41" t="str">
        <f aca="false">IF($M1549="","",IF(T1549="Overdue",IF(Settings!$B$8="Yes",Settings!$B$7,""),IF(ISNUMBER(R1549),DATE(YEAR(R1549),MONTH(R1549),1),"")))</f>
        <v/>
      </c>
      <c r="X1549" s="38" t="n">
        <f aca="false">IF(AND(OR(T1549="Backlog",T1549="Pipeline",T1549="Overdue"),ISNUMBER(W1549)),IF(W1549&lt;=Settings!$B$6,V1549,0),0)</f>
        <v>0</v>
      </c>
      <c r="Y1549" s="38" t="n">
        <f aca="false">IF(AND(OR(T1549="Backlog",T1549="Pipeline",T1549="Overdue"),ISNUMBER(W1549)),IF(W1549&lt;=Settings!$B$6,Q1549,0),0)</f>
        <v>0</v>
      </c>
      <c r="Z1549" s="38" t="n">
        <f aca="false">IF(Y1549=0,0,IF(T1549="Backlog",Q1549,Q1549*Dashboard!$C$10))</f>
        <v>0</v>
      </c>
      <c r="AA1549" s="37" t="n">
        <f aca="false">IF($N1549="",0,IF(COUNTIF(Dashboard!$C$13:$C$22,$N1549)&gt;0,1,0))</f>
        <v>0</v>
      </c>
      <c r="AB1549" s="37" t="str">
        <f aca="false">IF($N1549="","",IF(COUNTIF($N$8:$N1549,$N1549)=1,MAX($AB$7:$AB1548)+1,""))</f>
        <v/>
      </c>
    </row>
    <row r="1550" customFormat="false" ht="15" hidden="false" customHeight="false" outlineLevel="0" collapsed="false">
      <c r="L1550" s="37" t="str">
        <f aca="false">IF(INDEX($A1550:$J1550,$L$6)&lt;&gt;"",TRIM(LEFT(INDEX($A1550:$J1550,$L$6),FIND("(",INDEX($A1550:$J1550,$L$6)&amp;"(")-1)),L1549)</f>
        <v>Building Value Proposition</v>
      </c>
      <c r="M1550" s="37" t="str">
        <f aca="false">IF(INDEX($A1550:$J1550,$M$6)="","",INDEX($A1550:$J1550,$M$6)&amp;"")</f>
        <v/>
      </c>
      <c r="N1550" s="37" t="str">
        <f aca="false">IF($M1550="","",TRIM(INDEX($A1550:$J1550,$N$6)&amp;""))</f>
        <v/>
      </c>
      <c r="O1550" s="37" t="str">
        <f aca="false">IF($M1550="","",TRIM(INDEX($A1550:$J1550,$O$6)&amp;""))</f>
        <v/>
      </c>
      <c r="P1550" s="37" t="str">
        <f aca="false">IF($M1550="","",IFERROR(IF(INDEX(Settings!$B$41:$B$50,MATCH(O1550,Settings!$A$41:$A$50,0))&amp;""="","UNMAPPED",INDEX(Settings!$B$41:$B$50,MATCH(O1550,Settings!$A$41:$A$50,0))&amp;""),"UNMAPPED"))</f>
        <v/>
      </c>
      <c r="Q1550" s="38" t="n">
        <f aca="false">IF($M1550="",0,N(INDEX($A1550:$J1550,$Q$6)))</f>
        <v>0</v>
      </c>
      <c r="R1550" s="39" t="str">
        <f aca="false">IF($M1550="","",INDEX($A1550:$J1550,$R$6))</f>
        <v/>
      </c>
      <c r="S1550" s="37" t="str">
        <f aca="false">IF($M1550="","",IFERROR(INDEX(Settings!$B$27:$B$36,MATCH(L1550,Settings!$A$27:$A$36,0))&amp;"","UNMAPPED"))</f>
        <v/>
      </c>
      <c r="T1550" s="37" t="str">
        <f aca="false">IF($M1550="","",IF(NOT(ISNUMBER(R1550)),"NO DATE",IF(S1550="Won",IF(R1550&gt;Settings!$B$5,"Backlog","Delivered"),IF(S1550="Open",IF(R1550&gt;Settings!$B$5,"Pipeline","Overdue"),IF(S1550="Lost","Lost","UNMAPPED")))))</f>
        <v/>
      </c>
      <c r="U1550" s="40" t="n">
        <f aca="false">IF(T1550="Backlog",1,IF(OR(T1550="Pipeline",T1550="Overdue"),N(INDEX(Settings!$C$27:$C$36,MATCH(L1550,Settings!$A$27:$A$36,0))),0))</f>
        <v>0</v>
      </c>
      <c r="V1550" s="38" t="n">
        <f aca="false">Q1550*U1550</f>
        <v>0</v>
      </c>
      <c r="W1550" s="41" t="str">
        <f aca="false">IF($M1550="","",IF(T1550="Overdue",IF(Settings!$B$8="Yes",Settings!$B$7,""),IF(ISNUMBER(R1550),DATE(YEAR(R1550),MONTH(R1550),1),"")))</f>
        <v/>
      </c>
      <c r="X1550" s="38" t="n">
        <f aca="false">IF(AND(OR(T1550="Backlog",T1550="Pipeline",T1550="Overdue"),ISNUMBER(W1550)),IF(W1550&lt;=Settings!$B$6,V1550,0),0)</f>
        <v>0</v>
      </c>
      <c r="Y1550" s="38" t="n">
        <f aca="false">IF(AND(OR(T1550="Backlog",T1550="Pipeline",T1550="Overdue"),ISNUMBER(W1550)),IF(W1550&lt;=Settings!$B$6,Q1550,0),0)</f>
        <v>0</v>
      </c>
      <c r="Z1550" s="38" t="n">
        <f aca="false">IF(Y1550=0,0,IF(T1550="Backlog",Q1550,Q1550*Dashboard!$C$10))</f>
        <v>0</v>
      </c>
      <c r="AA1550" s="37" t="n">
        <f aca="false">IF($N1550="",0,IF(COUNTIF(Dashboard!$C$13:$C$22,$N1550)&gt;0,1,0))</f>
        <v>0</v>
      </c>
      <c r="AB1550" s="37" t="str">
        <f aca="false">IF($N1550="","",IF(COUNTIF($N$8:$N1550,$N1550)=1,MAX($AB$7:$AB1549)+1,""))</f>
        <v/>
      </c>
    </row>
    <row r="1551" customFormat="false" ht="15" hidden="false" customHeight="false" outlineLevel="0" collapsed="false">
      <c r="L1551" s="37" t="str">
        <f aca="false">IF(INDEX($A1551:$J1551,$L$6)&lt;&gt;"",TRIM(LEFT(INDEX($A1551:$J1551,$L$6),FIND("(",INDEX($A1551:$J1551,$L$6)&amp;"(")-1)),L1550)</f>
        <v>Building Value Proposition</v>
      </c>
      <c r="M1551" s="37" t="str">
        <f aca="false">IF(INDEX($A1551:$J1551,$M$6)="","",INDEX($A1551:$J1551,$M$6)&amp;"")</f>
        <v/>
      </c>
      <c r="N1551" s="37" t="str">
        <f aca="false">IF($M1551="","",TRIM(INDEX($A1551:$J1551,$N$6)&amp;""))</f>
        <v/>
      </c>
      <c r="O1551" s="37" t="str">
        <f aca="false">IF($M1551="","",TRIM(INDEX($A1551:$J1551,$O$6)&amp;""))</f>
        <v/>
      </c>
      <c r="P1551" s="37" t="str">
        <f aca="false">IF($M1551="","",IFERROR(IF(INDEX(Settings!$B$41:$B$50,MATCH(O1551,Settings!$A$41:$A$50,0))&amp;""="","UNMAPPED",INDEX(Settings!$B$41:$B$50,MATCH(O1551,Settings!$A$41:$A$50,0))&amp;""),"UNMAPPED"))</f>
        <v/>
      </c>
      <c r="Q1551" s="38" t="n">
        <f aca="false">IF($M1551="",0,N(INDEX($A1551:$J1551,$Q$6)))</f>
        <v>0</v>
      </c>
      <c r="R1551" s="39" t="str">
        <f aca="false">IF($M1551="","",INDEX($A1551:$J1551,$R$6))</f>
        <v/>
      </c>
      <c r="S1551" s="37" t="str">
        <f aca="false">IF($M1551="","",IFERROR(INDEX(Settings!$B$27:$B$36,MATCH(L1551,Settings!$A$27:$A$36,0))&amp;"","UNMAPPED"))</f>
        <v/>
      </c>
      <c r="T1551" s="37" t="str">
        <f aca="false">IF($M1551="","",IF(NOT(ISNUMBER(R1551)),"NO DATE",IF(S1551="Won",IF(R1551&gt;Settings!$B$5,"Backlog","Delivered"),IF(S1551="Open",IF(R1551&gt;Settings!$B$5,"Pipeline","Overdue"),IF(S1551="Lost","Lost","UNMAPPED")))))</f>
        <v/>
      </c>
      <c r="U1551" s="40" t="n">
        <f aca="false">IF(T1551="Backlog",1,IF(OR(T1551="Pipeline",T1551="Overdue"),N(INDEX(Settings!$C$27:$C$36,MATCH(L1551,Settings!$A$27:$A$36,0))),0))</f>
        <v>0</v>
      </c>
      <c r="V1551" s="38" t="n">
        <f aca="false">Q1551*U1551</f>
        <v>0</v>
      </c>
      <c r="W1551" s="41" t="str">
        <f aca="false">IF($M1551="","",IF(T1551="Overdue",IF(Settings!$B$8="Yes",Settings!$B$7,""),IF(ISNUMBER(R1551),DATE(YEAR(R1551),MONTH(R1551),1),"")))</f>
        <v/>
      </c>
      <c r="X1551" s="38" t="n">
        <f aca="false">IF(AND(OR(T1551="Backlog",T1551="Pipeline",T1551="Overdue"),ISNUMBER(W1551)),IF(W1551&lt;=Settings!$B$6,V1551,0),0)</f>
        <v>0</v>
      </c>
      <c r="Y1551" s="38" t="n">
        <f aca="false">IF(AND(OR(T1551="Backlog",T1551="Pipeline",T1551="Overdue"),ISNUMBER(W1551)),IF(W1551&lt;=Settings!$B$6,Q1551,0),0)</f>
        <v>0</v>
      </c>
      <c r="Z1551" s="38" t="n">
        <f aca="false">IF(Y1551=0,0,IF(T1551="Backlog",Q1551,Q1551*Dashboard!$C$10))</f>
        <v>0</v>
      </c>
      <c r="AA1551" s="37" t="n">
        <f aca="false">IF($N1551="",0,IF(COUNTIF(Dashboard!$C$13:$C$22,$N1551)&gt;0,1,0))</f>
        <v>0</v>
      </c>
      <c r="AB1551" s="37" t="str">
        <f aca="false">IF($N1551="","",IF(COUNTIF($N$8:$N1551,$N1551)=1,MAX($AB$7:$AB1550)+1,""))</f>
        <v/>
      </c>
    </row>
    <row r="1552" customFormat="false" ht="15" hidden="false" customHeight="false" outlineLevel="0" collapsed="false">
      <c r="L1552" s="37" t="str">
        <f aca="false">IF(INDEX($A1552:$J1552,$L$6)&lt;&gt;"",TRIM(LEFT(INDEX($A1552:$J1552,$L$6),FIND("(",INDEX($A1552:$J1552,$L$6)&amp;"(")-1)),L1551)</f>
        <v>Building Value Proposition</v>
      </c>
      <c r="M1552" s="37" t="str">
        <f aca="false">IF(INDEX($A1552:$J1552,$M$6)="","",INDEX($A1552:$J1552,$M$6)&amp;"")</f>
        <v/>
      </c>
      <c r="N1552" s="37" t="str">
        <f aca="false">IF($M1552="","",TRIM(INDEX($A1552:$J1552,$N$6)&amp;""))</f>
        <v/>
      </c>
      <c r="O1552" s="37" t="str">
        <f aca="false">IF($M1552="","",TRIM(INDEX($A1552:$J1552,$O$6)&amp;""))</f>
        <v/>
      </c>
      <c r="P1552" s="37" t="str">
        <f aca="false">IF($M1552="","",IFERROR(IF(INDEX(Settings!$B$41:$B$50,MATCH(O1552,Settings!$A$41:$A$50,0))&amp;""="","UNMAPPED",INDEX(Settings!$B$41:$B$50,MATCH(O1552,Settings!$A$41:$A$50,0))&amp;""),"UNMAPPED"))</f>
        <v/>
      </c>
      <c r="Q1552" s="38" t="n">
        <f aca="false">IF($M1552="",0,N(INDEX($A1552:$J1552,$Q$6)))</f>
        <v>0</v>
      </c>
      <c r="R1552" s="39" t="str">
        <f aca="false">IF($M1552="","",INDEX($A1552:$J1552,$R$6))</f>
        <v/>
      </c>
      <c r="S1552" s="37" t="str">
        <f aca="false">IF($M1552="","",IFERROR(INDEX(Settings!$B$27:$B$36,MATCH(L1552,Settings!$A$27:$A$36,0))&amp;"","UNMAPPED"))</f>
        <v/>
      </c>
      <c r="T1552" s="37" t="str">
        <f aca="false">IF($M1552="","",IF(NOT(ISNUMBER(R1552)),"NO DATE",IF(S1552="Won",IF(R1552&gt;Settings!$B$5,"Backlog","Delivered"),IF(S1552="Open",IF(R1552&gt;Settings!$B$5,"Pipeline","Overdue"),IF(S1552="Lost","Lost","UNMAPPED")))))</f>
        <v/>
      </c>
      <c r="U1552" s="40" t="n">
        <f aca="false">IF(T1552="Backlog",1,IF(OR(T1552="Pipeline",T1552="Overdue"),N(INDEX(Settings!$C$27:$C$36,MATCH(L1552,Settings!$A$27:$A$36,0))),0))</f>
        <v>0</v>
      </c>
      <c r="V1552" s="38" t="n">
        <f aca="false">Q1552*U1552</f>
        <v>0</v>
      </c>
      <c r="W1552" s="41" t="str">
        <f aca="false">IF($M1552="","",IF(T1552="Overdue",IF(Settings!$B$8="Yes",Settings!$B$7,""),IF(ISNUMBER(R1552),DATE(YEAR(R1552),MONTH(R1552),1),"")))</f>
        <v/>
      </c>
      <c r="X1552" s="38" t="n">
        <f aca="false">IF(AND(OR(T1552="Backlog",T1552="Pipeline",T1552="Overdue"),ISNUMBER(W1552)),IF(W1552&lt;=Settings!$B$6,V1552,0),0)</f>
        <v>0</v>
      </c>
      <c r="Y1552" s="38" t="n">
        <f aca="false">IF(AND(OR(T1552="Backlog",T1552="Pipeline",T1552="Overdue"),ISNUMBER(W1552)),IF(W1552&lt;=Settings!$B$6,Q1552,0),0)</f>
        <v>0</v>
      </c>
      <c r="Z1552" s="38" t="n">
        <f aca="false">IF(Y1552=0,0,IF(T1552="Backlog",Q1552,Q1552*Dashboard!$C$10))</f>
        <v>0</v>
      </c>
      <c r="AA1552" s="37" t="n">
        <f aca="false">IF($N1552="",0,IF(COUNTIF(Dashboard!$C$13:$C$22,$N1552)&gt;0,1,0))</f>
        <v>0</v>
      </c>
      <c r="AB1552" s="37" t="str">
        <f aca="false">IF($N1552="","",IF(COUNTIF($N$8:$N1552,$N1552)=1,MAX($AB$7:$AB1551)+1,""))</f>
        <v/>
      </c>
    </row>
    <row r="1553" customFormat="false" ht="15" hidden="false" customHeight="false" outlineLevel="0" collapsed="false">
      <c r="L1553" s="37" t="str">
        <f aca="false">IF(INDEX($A1553:$J1553,$L$6)&lt;&gt;"",TRIM(LEFT(INDEX($A1553:$J1553,$L$6),FIND("(",INDEX($A1553:$J1553,$L$6)&amp;"(")-1)),L1552)</f>
        <v>Building Value Proposition</v>
      </c>
      <c r="M1553" s="37" t="str">
        <f aca="false">IF(INDEX($A1553:$J1553,$M$6)="","",INDEX($A1553:$J1553,$M$6)&amp;"")</f>
        <v/>
      </c>
      <c r="N1553" s="37" t="str">
        <f aca="false">IF($M1553="","",TRIM(INDEX($A1553:$J1553,$N$6)&amp;""))</f>
        <v/>
      </c>
      <c r="O1553" s="37" t="str">
        <f aca="false">IF($M1553="","",TRIM(INDEX($A1553:$J1553,$O$6)&amp;""))</f>
        <v/>
      </c>
      <c r="P1553" s="37" t="str">
        <f aca="false">IF($M1553="","",IFERROR(IF(INDEX(Settings!$B$41:$B$50,MATCH(O1553,Settings!$A$41:$A$50,0))&amp;""="","UNMAPPED",INDEX(Settings!$B$41:$B$50,MATCH(O1553,Settings!$A$41:$A$50,0))&amp;""),"UNMAPPED"))</f>
        <v/>
      </c>
      <c r="Q1553" s="38" t="n">
        <f aca="false">IF($M1553="",0,N(INDEX($A1553:$J1553,$Q$6)))</f>
        <v>0</v>
      </c>
      <c r="R1553" s="39" t="str">
        <f aca="false">IF($M1553="","",INDEX($A1553:$J1553,$R$6))</f>
        <v/>
      </c>
      <c r="S1553" s="37" t="str">
        <f aca="false">IF($M1553="","",IFERROR(INDEX(Settings!$B$27:$B$36,MATCH(L1553,Settings!$A$27:$A$36,0))&amp;"","UNMAPPED"))</f>
        <v/>
      </c>
      <c r="T1553" s="37" t="str">
        <f aca="false">IF($M1553="","",IF(NOT(ISNUMBER(R1553)),"NO DATE",IF(S1553="Won",IF(R1553&gt;Settings!$B$5,"Backlog","Delivered"),IF(S1553="Open",IF(R1553&gt;Settings!$B$5,"Pipeline","Overdue"),IF(S1553="Lost","Lost","UNMAPPED")))))</f>
        <v/>
      </c>
      <c r="U1553" s="40" t="n">
        <f aca="false">IF(T1553="Backlog",1,IF(OR(T1553="Pipeline",T1553="Overdue"),N(INDEX(Settings!$C$27:$C$36,MATCH(L1553,Settings!$A$27:$A$36,0))),0))</f>
        <v>0</v>
      </c>
      <c r="V1553" s="38" t="n">
        <f aca="false">Q1553*U1553</f>
        <v>0</v>
      </c>
      <c r="W1553" s="41" t="str">
        <f aca="false">IF($M1553="","",IF(T1553="Overdue",IF(Settings!$B$8="Yes",Settings!$B$7,""),IF(ISNUMBER(R1553),DATE(YEAR(R1553),MONTH(R1553),1),"")))</f>
        <v/>
      </c>
      <c r="X1553" s="38" t="n">
        <f aca="false">IF(AND(OR(T1553="Backlog",T1553="Pipeline",T1553="Overdue"),ISNUMBER(W1553)),IF(W1553&lt;=Settings!$B$6,V1553,0),0)</f>
        <v>0</v>
      </c>
      <c r="Y1553" s="38" t="n">
        <f aca="false">IF(AND(OR(T1553="Backlog",T1553="Pipeline",T1553="Overdue"),ISNUMBER(W1553)),IF(W1553&lt;=Settings!$B$6,Q1553,0),0)</f>
        <v>0</v>
      </c>
      <c r="Z1553" s="38" t="n">
        <f aca="false">IF(Y1553=0,0,IF(T1553="Backlog",Q1553,Q1553*Dashboard!$C$10))</f>
        <v>0</v>
      </c>
      <c r="AA1553" s="37" t="n">
        <f aca="false">IF($N1553="",0,IF(COUNTIF(Dashboard!$C$13:$C$22,$N1553)&gt;0,1,0))</f>
        <v>0</v>
      </c>
      <c r="AB1553" s="37" t="str">
        <f aca="false">IF($N1553="","",IF(COUNTIF($N$8:$N1553,$N1553)=1,MAX($AB$7:$AB1552)+1,""))</f>
        <v/>
      </c>
    </row>
    <row r="1554" customFormat="false" ht="15" hidden="false" customHeight="false" outlineLevel="0" collapsed="false">
      <c r="L1554" s="37" t="str">
        <f aca="false">IF(INDEX($A1554:$J1554,$L$6)&lt;&gt;"",TRIM(LEFT(INDEX($A1554:$J1554,$L$6),FIND("(",INDEX($A1554:$J1554,$L$6)&amp;"(")-1)),L1553)</f>
        <v>Building Value Proposition</v>
      </c>
      <c r="M1554" s="37" t="str">
        <f aca="false">IF(INDEX($A1554:$J1554,$M$6)="","",INDEX($A1554:$J1554,$M$6)&amp;"")</f>
        <v/>
      </c>
      <c r="N1554" s="37" t="str">
        <f aca="false">IF($M1554="","",TRIM(INDEX($A1554:$J1554,$N$6)&amp;""))</f>
        <v/>
      </c>
      <c r="O1554" s="37" t="str">
        <f aca="false">IF($M1554="","",TRIM(INDEX($A1554:$J1554,$O$6)&amp;""))</f>
        <v/>
      </c>
      <c r="P1554" s="37" t="str">
        <f aca="false">IF($M1554="","",IFERROR(IF(INDEX(Settings!$B$41:$B$50,MATCH(O1554,Settings!$A$41:$A$50,0))&amp;""="","UNMAPPED",INDEX(Settings!$B$41:$B$50,MATCH(O1554,Settings!$A$41:$A$50,0))&amp;""),"UNMAPPED"))</f>
        <v/>
      </c>
      <c r="Q1554" s="38" t="n">
        <f aca="false">IF($M1554="",0,N(INDEX($A1554:$J1554,$Q$6)))</f>
        <v>0</v>
      </c>
      <c r="R1554" s="39" t="str">
        <f aca="false">IF($M1554="","",INDEX($A1554:$J1554,$R$6))</f>
        <v/>
      </c>
      <c r="S1554" s="37" t="str">
        <f aca="false">IF($M1554="","",IFERROR(INDEX(Settings!$B$27:$B$36,MATCH(L1554,Settings!$A$27:$A$36,0))&amp;"","UNMAPPED"))</f>
        <v/>
      </c>
      <c r="T1554" s="37" t="str">
        <f aca="false">IF($M1554="","",IF(NOT(ISNUMBER(R1554)),"NO DATE",IF(S1554="Won",IF(R1554&gt;Settings!$B$5,"Backlog","Delivered"),IF(S1554="Open",IF(R1554&gt;Settings!$B$5,"Pipeline","Overdue"),IF(S1554="Lost","Lost","UNMAPPED")))))</f>
        <v/>
      </c>
      <c r="U1554" s="40" t="n">
        <f aca="false">IF(T1554="Backlog",1,IF(OR(T1554="Pipeline",T1554="Overdue"),N(INDEX(Settings!$C$27:$C$36,MATCH(L1554,Settings!$A$27:$A$36,0))),0))</f>
        <v>0</v>
      </c>
      <c r="V1554" s="38" t="n">
        <f aca="false">Q1554*U1554</f>
        <v>0</v>
      </c>
      <c r="W1554" s="41" t="str">
        <f aca="false">IF($M1554="","",IF(T1554="Overdue",IF(Settings!$B$8="Yes",Settings!$B$7,""),IF(ISNUMBER(R1554),DATE(YEAR(R1554),MONTH(R1554),1),"")))</f>
        <v/>
      </c>
      <c r="X1554" s="38" t="n">
        <f aca="false">IF(AND(OR(T1554="Backlog",T1554="Pipeline",T1554="Overdue"),ISNUMBER(W1554)),IF(W1554&lt;=Settings!$B$6,V1554,0),0)</f>
        <v>0</v>
      </c>
      <c r="Y1554" s="38" t="n">
        <f aca="false">IF(AND(OR(T1554="Backlog",T1554="Pipeline",T1554="Overdue"),ISNUMBER(W1554)),IF(W1554&lt;=Settings!$B$6,Q1554,0),0)</f>
        <v>0</v>
      </c>
      <c r="Z1554" s="38" t="n">
        <f aca="false">IF(Y1554=0,0,IF(T1554="Backlog",Q1554,Q1554*Dashboard!$C$10))</f>
        <v>0</v>
      </c>
      <c r="AA1554" s="37" t="n">
        <f aca="false">IF($N1554="",0,IF(COUNTIF(Dashboard!$C$13:$C$22,$N1554)&gt;0,1,0))</f>
        <v>0</v>
      </c>
      <c r="AB1554" s="37" t="str">
        <f aca="false">IF($N1554="","",IF(COUNTIF($N$8:$N1554,$N1554)=1,MAX($AB$7:$AB1553)+1,""))</f>
        <v/>
      </c>
    </row>
    <row r="1555" customFormat="false" ht="15" hidden="false" customHeight="false" outlineLevel="0" collapsed="false">
      <c r="L1555" s="37" t="str">
        <f aca="false">IF(INDEX($A1555:$J1555,$L$6)&lt;&gt;"",TRIM(LEFT(INDEX($A1555:$J1555,$L$6),FIND("(",INDEX($A1555:$J1555,$L$6)&amp;"(")-1)),L1554)</f>
        <v>Building Value Proposition</v>
      </c>
      <c r="M1555" s="37" t="str">
        <f aca="false">IF(INDEX($A1555:$J1555,$M$6)="","",INDEX($A1555:$J1555,$M$6)&amp;"")</f>
        <v/>
      </c>
      <c r="N1555" s="37" t="str">
        <f aca="false">IF($M1555="","",TRIM(INDEX($A1555:$J1555,$N$6)&amp;""))</f>
        <v/>
      </c>
      <c r="O1555" s="37" t="str">
        <f aca="false">IF($M1555="","",TRIM(INDEX($A1555:$J1555,$O$6)&amp;""))</f>
        <v/>
      </c>
      <c r="P1555" s="37" t="str">
        <f aca="false">IF($M1555="","",IFERROR(IF(INDEX(Settings!$B$41:$B$50,MATCH(O1555,Settings!$A$41:$A$50,0))&amp;""="","UNMAPPED",INDEX(Settings!$B$41:$B$50,MATCH(O1555,Settings!$A$41:$A$50,0))&amp;""),"UNMAPPED"))</f>
        <v/>
      </c>
      <c r="Q1555" s="38" t="n">
        <f aca="false">IF($M1555="",0,N(INDEX($A1555:$J1555,$Q$6)))</f>
        <v>0</v>
      </c>
      <c r="R1555" s="39" t="str">
        <f aca="false">IF($M1555="","",INDEX($A1555:$J1555,$R$6))</f>
        <v/>
      </c>
      <c r="S1555" s="37" t="str">
        <f aca="false">IF($M1555="","",IFERROR(INDEX(Settings!$B$27:$B$36,MATCH(L1555,Settings!$A$27:$A$36,0))&amp;"","UNMAPPED"))</f>
        <v/>
      </c>
      <c r="T1555" s="37" t="str">
        <f aca="false">IF($M1555="","",IF(NOT(ISNUMBER(R1555)),"NO DATE",IF(S1555="Won",IF(R1555&gt;Settings!$B$5,"Backlog","Delivered"),IF(S1555="Open",IF(R1555&gt;Settings!$B$5,"Pipeline","Overdue"),IF(S1555="Lost","Lost","UNMAPPED")))))</f>
        <v/>
      </c>
      <c r="U1555" s="40" t="n">
        <f aca="false">IF(T1555="Backlog",1,IF(OR(T1555="Pipeline",T1555="Overdue"),N(INDEX(Settings!$C$27:$C$36,MATCH(L1555,Settings!$A$27:$A$36,0))),0))</f>
        <v>0</v>
      </c>
      <c r="V1555" s="38" t="n">
        <f aca="false">Q1555*U1555</f>
        <v>0</v>
      </c>
      <c r="W1555" s="41" t="str">
        <f aca="false">IF($M1555="","",IF(T1555="Overdue",IF(Settings!$B$8="Yes",Settings!$B$7,""),IF(ISNUMBER(R1555),DATE(YEAR(R1555),MONTH(R1555),1),"")))</f>
        <v/>
      </c>
      <c r="X1555" s="38" t="n">
        <f aca="false">IF(AND(OR(T1555="Backlog",T1555="Pipeline",T1555="Overdue"),ISNUMBER(W1555)),IF(W1555&lt;=Settings!$B$6,V1555,0),0)</f>
        <v>0</v>
      </c>
      <c r="Y1555" s="38" t="n">
        <f aca="false">IF(AND(OR(T1555="Backlog",T1555="Pipeline",T1555="Overdue"),ISNUMBER(W1555)),IF(W1555&lt;=Settings!$B$6,Q1555,0),0)</f>
        <v>0</v>
      </c>
      <c r="Z1555" s="38" t="n">
        <f aca="false">IF(Y1555=0,0,IF(T1555="Backlog",Q1555,Q1555*Dashboard!$C$10))</f>
        <v>0</v>
      </c>
      <c r="AA1555" s="37" t="n">
        <f aca="false">IF($N1555="",0,IF(COUNTIF(Dashboard!$C$13:$C$22,$N1555)&gt;0,1,0))</f>
        <v>0</v>
      </c>
      <c r="AB1555" s="37" t="str">
        <f aca="false">IF($N1555="","",IF(COUNTIF($N$8:$N1555,$N1555)=1,MAX($AB$7:$AB1554)+1,""))</f>
        <v/>
      </c>
    </row>
    <row r="1556" customFormat="false" ht="15" hidden="false" customHeight="false" outlineLevel="0" collapsed="false">
      <c r="L1556" s="37" t="str">
        <f aca="false">IF(INDEX($A1556:$J1556,$L$6)&lt;&gt;"",TRIM(LEFT(INDEX($A1556:$J1556,$L$6),FIND("(",INDEX($A1556:$J1556,$L$6)&amp;"(")-1)),L1555)</f>
        <v>Building Value Proposition</v>
      </c>
      <c r="M1556" s="37" t="str">
        <f aca="false">IF(INDEX($A1556:$J1556,$M$6)="","",INDEX($A1556:$J1556,$M$6)&amp;"")</f>
        <v/>
      </c>
      <c r="N1556" s="37" t="str">
        <f aca="false">IF($M1556="","",TRIM(INDEX($A1556:$J1556,$N$6)&amp;""))</f>
        <v/>
      </c>
      <c r="O1556" s="37" t="str">
        <f aca="false">IF($M1556="","",TRIM(INDEX($A1556:$J1556,$O$6)&amp;""))</f>
        <v/>
      </c>
      <c r="P1556" s="37" t="str">
        <f aca="false">IF($M1556="","",IFERROR(IF(INDEX(Settings!$B$41:$B$50,MATCH(O1556,Settings!$A$41:$A$50,0))&amp;""="","UNMAPPED",INDEX(Settings!$B$41:$B$50,MATCH(O1556,Settings!$A$41:$A$50,0))&amp;""),"UNMAPPED"))</f>
        <v/>
      </c>
      <c r="Q1556" s="38" t="n">
        <f aca="false">IF($M1556="",0,N(INDEX($A1556:$J1556,$Q$6)))</f>
        <v>0</v>
      </c>
      <c r="R1556" s="39" t="str">
        <f aca="false">IF($M1556="","",INDEX($A1556:$J1556,$R$6))</f>
        <v/>
      </c>
      <c r="S1556" s="37" t="str">
        <f aca="false">IF($M1556="","",IFERROR(INDEX(Settings!$B$27:$B$36,MATCH(L1556,Settings!$A$27:$A$36,0))&amp;"","UNMAPPED"))</f>
        <v/>
      </c>
      <c r="T1556" s="37" t="str">
        <f aca="false">IF($M1556="","",IF(NOT(ISNUMBER(R1556)),"NO DATE",IF(S1556="Won",IF(R1556&gt;Settings!$B$5,"Backlog","Delivered"),IF(S1556="Open",IF(R1556&gt;Settings!$B$5,"Pipeline","Overdue"),IF(S1556="Lost","Lost","UNMAPPED")))))</f>
        <v/>
      </c>
      <c r="U1556" s="40" t="n">
        <f aca="false">IF(T1556="Backlog",1,IF(OR(T1556="Pipeline",T1556="Overdue"),N(INDEX(Settings!$C$27:$C$36,MATCH(L1556,Settings!$A$27:$A$36,0))),0))</f>
        <v>0</v>
      </c>
      <c r="V1556" s="38" t="n">
        <f aca="false">Q1556*U1556</f>
        <v>0</v>
      </c>
      <c r="W1556" s="41" t="str">
        <f aca="false">IF($M1556="","",IF(T1556="Overdue",IF(Settings!$B$8="Yes",Settings!$B$7,""),IF(ISNUMBER(R1556),DATE(YEAR(R1556),MONTH(R1556),1),"")))</f>
        <v/>
      </c>
      <c r="X1556" s="38" t="n">
        <f aca="false">IF(AND(OR(T1556="Backlog",T1556="Pipeline",T1556="Overdue"),ISNUMBER(W1556)),IF(W1556&lt;=Settings!$B$6,V1556,0),0)</f>
        <v>0</v>
      </c>
      <c r="Y1556" s="38" t="n">
        <f aca="false">IF(AND(OR(T1556="Backlog",T1556="Pipeline",T1556="Overdue"),ISNUMBER(W1556)),IF(W1556&lt;=Settings!$B$6,Q1556,0),0)</f>
        <v>0</v>
      </c>
      <c r="Z1556" s="38" t="n">
        <f aca="false">IF(Y1556=0,0,IF(T1556="Backlog",Q1556,Q1556*Dashboard!$C$10))</f>
        <v>0</v>
      </c>
      <c r="AA1556" s="37" t="n">
        <f aca="false">IF($N1556="",0,IF(COUNTIF(Dashboard!$C$13:$C$22,$N1556)&gt;0,1,0))</f>
        <v>0</v>
      </c>
      <c r="AB1556" s="37" t="str">
        <f aca="false">IF($N1556="","",IF(COUNTIF($N$8:$N1556,$N1556)=1,MAX($AB$7:$AB1555)+1,""))</f>
        <v/>
      </c>
    </row>
    <row r="1557" customFormat="false" ht="15" hidden="false" customHeight="false" outlineLevel="0" collapsed="false">
      <c r="L1557" s="37" t="str">
        <f aca="false">IF(INDEX($A1557:$J1557,$L$6)&lt;&gt;"",TRIM(LEFT(INDEX($A1557:$J1557,$L$6),FIND("(",INDEX($A1557:$J1557,$L$6)&amp;"(")-1)),L1556)</f>
        <v>Building Value Proposition</v>
      </c>
      <c r="M1557" s="37" t="str">
        <f aca="false">IF(INDEX($A1557:$J1557,$M$6)="","",INDEX($A1557:$J1557,$M$6)&amp;"")</f>
        <v/>
      </c>
      <c r="N1557" s="37" t="str">
        <f aca="false">IF($M1557="","",TRIM(INDEX($A1557:$J1557,$N$6)&amp;""))</f>
        <v/>
      </c>
      <c r="O1557" s="37" t="str">
        <f aca="false">IF($M1557="","",TRIM(INDEX($A1557:$J1557,$O$6)&amp;""))</f>
        <v/>
      </c>
      <c r="P1557" s="37" t="str">
        <f aca="false">IF($M1557="","",IFERROR(IF(INDEX(Settings!$B$41:$B$50,MATCH(O1557,Settings!$A$41:$A$50,0))&amp;""="","UNMAPPED",INDEX(Settings!$B$41:$B$50,MATCH(O1557,Settings!$A$41:$A$50,0))&amp;""),"UNMAPPED"))</f>
        <v/>
      </c>
      <c r="Q1557" s="38" t="n">
        <f aca="false">IF($M1557="",0,N(INDEX($A1557:$J1557,$Q$6)))</f>
        <v>0</v>
      </c>
      <c r="R1557" s="39" t="str">
        <f aca="false">IF($M1557="","",INDEX($A1557:$J1557,$R$6))</f>
        <v/>
      </c>
      <c r="S1557" s="37" t="str">
        <f aca="false">IF($M1557="","",IFERROR(INDEX(Settings!$B$27:$B$36,MATCH(L1557,Settings!$A$27:$A$36,0))&amp;"","UNMAPPED"))</f>
        <v/>
      </c>
      <c r="T1557" s="37" t="str">
        <f aca="false">IF($M1557="","",IF(NOT(ISNUMBER(R1557)),"NO DATE",IF(S1557="Won",IF(R1557&gt;Settings!$B$5,"Backlog","Delivered"),IF(S1557="Open",IF(R1557&gt;Settings!$B$5,"Pipeline","Overdue"),IF(S1557="Lost","Lost","UNMAPPED")))))</f>
        <v/>
      </c>
      <c r="U1557" s="40" t="n">
        <f aca="false">IF(T1557="Backlog",1,IF(OR(T1557="Pipeline",T1557="Overdue"),N(INDEX(Settings!$C$27:$C$36,MATCH(L1557,Settings!$A$27:$A$36,0))),0))</f>
        <v>0</v>
      </c>
      <c r="V1557" s="38" t="n">
        <f aca="false">Q1557*U1557</f>
        <v>0</v>
      </c>
      <c r="W1557" s="41" t="str">
        <f aca="false">IF($M1557="","",IF(T1557="Overdue",IF(Settings!$B$8="Yes",Settings!$B$7,""),IF(ISNUMBER(R1557),DATE(YEAR(R1557),MONTH(R1557),1),"")))</f>
        <v/>
      </c>
      <c r="X1557" s="38" t="n">
        <f aca="false">IF(AND(OR(T1557="Backlog",T1557="Pipeline",T1557="Overdue"),ISNUMBER(W1557)),IF(W1557&lt;=Settings!$B$6,V1557,0),0)</f>
        <v>0</v>
      </c>
      <c r="Y1557" s="38" t="n">
        <f aca="false">IF(AND(OR(T1557="Backlog",T1557="Pipeline",T1557="Overdue"),ISNUMBER(W1557)),IF(W1557&lt;=Settings!$B$6,Q1557,0),0)</f>
        <v>0</v>
      </c>
      <c r="Z1557" s="38" t="n">
        <f aca="false">IF(Y1557=0,0,IF(T1557="Backlog",Q1557,Q1557*Dashboard!$C$10))</f>
        <v>0</v>
      </c>
      <c r="AA1557" s="37" t="n">
        <f aca="false">IF($N1557="",0,IF(COUNTIF(Dashboard!$C$13:$C$22,$N1557)&gt;0,1,0))</f>
        <v>0</v>
      </c>
      <c r="AB1557" s="37" t="str">
        <f aca="false">IF($N1557="","",IF(COUNTIF($N$8:$N1557,$N1557)=1,MAX($AB$7:$AB1556)+1,""))</f>
        <v/>
      </c>
    </row>
    <row r="1558" customFormat="false" ht="15" hidden="false" customHeight="false" outlineLevel="0" collapsed="false">
      <c r="L1558" s="37" t="str">
        <f aca="false">IF(INDEX($A1558:$J1558,$L$6)&lt;&gt;"",TRIM(LEFT(INDEX($A1558:$J1558,$L$6),FIND("(",INDEX($A1558:$J1558,$L$6)&amp;"(")-1)),L1557)</f>
        <v>Building Value Proposition</v>
      </c>
      <c r="M1558" s="37" t="str">
        <f aca="false">IF(INDEX($A1558:$J1558,$M$6)="","",INDEX($A1558:$J1558,$M$6)&amp;"")</f>
        <v/>
      </c>
      <c r="N1558" s="37" t="str">
        <f aca="false">IF($M1558="","",TRIM(INDEX($A1558:$J1558,$N$6)&amp;""))</f>
        <v/>
      </c>
      <c r="O1558" s="37" t="str">
        <f aca="false">IF($M1558="","",TRIM(INDEX($A1558:$J1558,$O$6)&amp;""))</f>
        <v/>
      </c>
      <c r="P1558" s="37" t="str">
        <f aca="false">IF($M1558="","",IFERROR(IF(INDEX(Settings!$B$41:$B$50,MATCH(O1558,Settings!$A$41:$A$50,0))&amp;""="","UNMAPPED",INDEX(Settings!$B$41:$B$50,MATCH(O1558,Settings!$A$41:$A$50,0))&amp;""),"UNMAPPED"))</f>
        <v/>
      </c>
      <c r="Q1558" s="38" t="n">
        <f aca="false">IF($M1558="",0,N(INDEX($A1558:$J1558,$Q$6)))</f>
        <v>0</v>
      </c>
      <c r="R1558" s="39" t="str">
        <f aca="false">IF($M1558="","",INDEX($A1558:$J1558,$R$6))</f>
        <v/>
      </c>
      <c r="S1558" s="37" t="str">
        <f aca="false">IF($M1558="","",IFERROR(INDEX(Settings!$B$27:$B$36,MATCH(L1558,Settings!$A$27:$A$36,0))&amp;"","UNMAPPED"))</f>
        <v/>
      </c>
      <c r="T1558" s="37" t="str">
        <f aca="false">IF($M1558="","",IF(NOT(ISNUMBER(R1558)),"NO DATE",IF(S1558="Won",IF(R1558&gt;Settings!$B$5,"Backlog","Delivered"),IF(S1558="Open",IF(R1558&gt;Settings!$B$5,"Pipeline","Overdue"),IF(S1558="Lost","Lost","UNMAPPED")))))</f>
        <v/>
      </c>
      <c r="U1558" s="40" t="n">
        <f aca="false">IF(T1558="Backlog",1,IF(OR(T1558="Pipeline",T1558="Overdue"),N(INDEX(Settings!$C$27:$C$36,MATCH(L1558,Settings!$A$27:$A$36,0))),0))</f>
        <v>0</v>
      </c>
      <c r="V1558" s="38" t="n">
        <f aca="false">Q1558*U1558</f>
        <v>0</v>
      </c>
      <c r="W1558" s="41" t="str">
        <f aca="false">IF($M1558="","",IF(T1558="Overdue",IF(Settings!$B$8="Yes",Settings!$B$7,""),IF(ISNUMBER(R1558),DATE(YEAR(R1558),MONTH(R1558),1),"")))</f>
        <v/>
      </c>
      <c r="X1558" s="38" t="n">
        <f aca="false">IF(AND(OR(T1558="Backlog",T1558="Pipeline",T1558="Overdue"),ISNUMBER(W1558)),IF(W1558&lt;=Settings!$B$6,V1558,0),0)</f>
        <v>0</v>
      </c>
      <c r="Y1558" s="38" t="n">
        <f aca="false">IF(AND(OR(T1558="Backlog",T1558="Pipeline",T1558="Overdue"),ISNUMBER(W1558)),IF(W1558&lt;=Settings!$B$6,Q1558,0),0)</f>
        <v>0</v>
      </c>
      <c r="Z1558" s="38" t="n">
        <f aca="false">IF(Y1558=0,0,IF(T1558="Backlog",Q1558,Q1558*Dashboard!$C$10))</f>
        <v>0</v>
      </c>
      <c r="AA1558" s="37" t="n">
        <f aca="false">IF($N1558="",0,IF(COUNTIF(Dashboard!$C$13:$C$22,$N1558)&gt;0,1,0))</f>
        <v>0</v>
      </c>
      <c r="AB1558" s="37" t="str">
        <f aca="false">IF($N1558="","",IF(COUNTIF($N$8:$N1558,$N1558)=1,MAX($AB$7:$AB1557)+1,""))</f>
        <v/>
      </c>
    </row>
    <row r="1559" customFormat="false" ht="15" hidden="false" customHeight="false" outlineLevel="0" collapsed="false">
      <c r="L1559" s="37" t="str">
        <f aca="false">IF(INDEX($A1559:$J1559,$L$6)&lt;&gt;"",TRIM(LEFT(INDEX($A1559:$J1559,$L$6),FIND("(",INDEX($A1559:$J1559,$L$6)&amp;"(")-1)),L1558)</f>
        <v>Building Value Proposition</v>
      </c>
      <c r="M1559" s="37" t="str">
        <f aca="false">IF(INDEX($A1559:$J1559,$M$6)="","",INDEX($A1559:$J1559,$M$6)&amp;"")</f>
        <v/>
      </c>
      <c r="N1559" s="37" t="str">
        <f aca="false">IF($M1559="","",TRIM(INDEX($A1559:$J1559,$N$6)&amp;""))</f>
        <v/>
      </c>
      <c r="O1559" s="37" t="str">
        <f aca="false">IF($M1559="","",TRIM(INDEX($A1559:$J1559,$O$6)&amp;""))</f>
        <v/>
      </c>
      <c r="P1559" s="37" t="str">
        <f aca="false">IF($M1559="","",IFERROR(IF(INDEX(Settings!$B$41:$B$50,MATCH(O1559,Settings!$A$41:$A$50,0))&amp;""="","UNMAPPED",INDEX(Settings!$B$41:$B$50,MATCH(O1559,Settings!$A$41:$A$50,0))&amp;""),"UNMAPPED"))</f>
        <v/>
      </c>
      <c r="Q1559" s="38" t="n">
        <f aca="false">IF($M1559="",0,N(INDEX($A1559:$J1559,$Q$6)))</f>
        <v>0</v>
      </c>
      <c r="R1559" s="39" t="str">
        <f aca="false">IF($M1559="","",INDEX($A1559:$J1559,$R$6))</f>
        <v/>
      </c>
      <c r="S1559" s="37" t="str">
        <f aca="false">IF($M1559="","",IFERROR(INDEX(Settings!$B$27:$B$36,MATCH(L1559,Settings!$A$27:$A$36,0))&amp;"","UNMAPPED"))</f>
        <v/>
      </c>
      <c r="T1559" s="37" t="str">
        <f aca="false">IF($M1559="","",IF(NOT(ISNUMBER(R1559)),"NO DATE",IF(S1559="Won",IF(R1559&gt;Settings!$B$5,"Backlog","Delivered"),IF(S1559="Open",IF(R1559&gt;Settings!$B$5,"Pipeline","Overdue"),IF(S1559="Lost","Lost","UNMAPPED")))))</f>
        <v/>
      </c>
      <c r="U1559" s="40" t="n">
        <f aca="false">IF(T1559="Backlog",1,IF(OR(T1559="Pipeline",T1559="Overdue"),N(INDEX(Settings!$C$27:$C$36,MATCH(L1559,Settings!$A$27:$A$36,0))),0))</f>
        <v>0</v>
      </c>
      <c r="V1559" s="38" t="n">
        <f aca="false">Q1559*U1559</f>
        <v>0</v>
      </c>
      <c r="W1559" s="41" t="str">
        <f aca="false">IF($M1559="","",IF(T1559="Overdue",IF(Settings!$B$8="Yes",Settings!$B$7,""),IF(ISNUMBER(R1559),DATE(YEAR(R1559),MONTH(R1559),1),"")))</f>
        <v/>
      </c>
      <c r="X1559" s="38" t="n">
        <f aca="false">IF(AND(OR(T1559="Backlog",T1559="Pipeline",T1559="Overdue"),ISNUMBER(W1559)),IF(W1559&lt;=Settings!$B$6,V1559,0),0)</f>
        <v>0</v>
      </c>
      <c r="Y1559" s="38" t="n">
        <f aca="false">IF(AND(OR(T1559="Backlog",T1559="Pipeline",T1559="Overdue"),ISNUMBER(W1559)),IF(W1559&lt;=Settings!$B$6,Q1559,0),0)</f>
        <v>0</v>
      </c>
      <c r="Z1559" s="38" t="n">
        <f aca="false">IF(Y1559=0,0,IF(T1559="Backlog",Q1559,Q1559*Dashboard!$C$10))</f>
        <v>0</v>
      </c>
      <c r="AA1559" s="37" t="n">
        <f aca="false">IF($N1559="",0,IF(COUNTIF(Dashboard!$C$13:$C$22,$N1559)&gt;0,1,0))</f>
        <v>0</v>
      </c>
      <c r="AB1559" s="37" t="str">
        <f aca="false">IF($N1559="","",IF(COUNTIF($N$8:$N1559,$N1559)=1,MAX($AB$7:$AB1558)+1,""))</f>
        <v/>
      </c>
    </row>
    <row r="1560" customFormat="false" ht="15" hidden="false" customHeight="false" outlineLevel="0" collapsed="false">
      <c r="L1560" s="37" t="str">
        <f aca="false">IF(INDEX($A1560:$J1560,$L$6)&lt;&gt;"",TRIM(LEFT(INDEX($A1560:$J1560,$L$6),FIND("(",INDEX($A1560:$J1560,$L$6)&amp;"(")-1)),L1559)</f>
        <v>Building Value Proposition</v>
      </c>
      <c r="M1560" s="37" t="str">
        <f aca="false">IF(INDEX($A1560:$J1560,$M$6)="","",INDEX($A1560:$J1560,$M$6)&amp;"")</f>
        <v/>
      </c>
      <c r="N1560" s="37" t="str">
        <f aca="false">IF($M1560="","",TRIM(INDEX($A1560:$J1560,$N$6)&amp;""))</f>
        <v/>
      </c>
      <c r="O1560" s="37" t="str">
        <f aca="false">IF($M1560="","",TRIM(INDEX($A1560:$J1560,$O$6)&amp;""))</f>
        <v/>
      </c>
      <c r="P1560" s="37" t="str">
        <f aca="false">IF($M1560="","",IFERROR(IF(INDEX(Settings!$B$41:$B$50,MATCH(O1560,Settings!$A$41:$A$50,0))&amp;""="","UNMAPPED",INDEX(Settings!$B$41:$B$50,MATCH(O1560,Settings!$A$41:$A$50,0))&amp;""),"UNMAPPED"))</f>
        <v/>
      </c>
      <c r="Q1560" s="38" t="n">
        <f aca="false">IF($M1560="",0,N(INDEX($A1560:$J1560,$Q$6)))</f>
        <v>0</v>
      </c>
      <c r="R1560" s="39" t="str">
        <f aca="false">IF($M1560="","",INDEX($A1560:$J1560,$R$6))</f>
        <v/>
      </c>
      <c r="S1560" s="37" t="str">
        <f aca="false">IF($M1560="","",IFERROR(INDEX(Settings!$B$27:$B$36,MATCH(L1560,Settings!$A$27:$A$36,0))&amp;"","UNMAPPED"))</f>
        <v/>
      </c>
      <c r="T1560" s="37" t="str">
        <f aca="false">IF($M1560="","",IF(NOT(ISNUMBER(R1560)),"NO DATE",IF(S1560="Won",IF(R1560&gt;Settings!$B$5,"Backlog","Delivered"),IF(S1560="Open",IF(R1560&gt;Settings!$B$5,"Pipeline","Overdue"),IF(S1560="Lost","Lost","UNMAPPED")))))</f>
        <v/>
      </c>
      <c r="U1560" s="40" t="n">
        <f aca="false">IF(T1560="Backlog",1,IF(OR(T1560="Pipeline",T1560="Overdue"),N(INDEX(Settings!$C$27:$C$36,MATCH(L1560,Settings!$A$27:$A$36,0))),0))</f>
        <v>0</v>
      </c>
      <c r="V1560" s="38" t="n">
        <f aca="false">Q1560*U1560</f>
        <v>0</v>
      </c>
      <c r="W1560" s="41" t="str">
        <f aca="false">IF($M1560="","",IF(T1560="Overdue",IF(Settings!$B$8="Yes",Settings!$B$7,""),IF(ISNUMBER(R1560),DATE(YEAR(R1560),MONTH(R1560),1),"")))</f>
        <v/>
      </c>
      <c r="X1560" s="38" t="n">
        <f aca="false">IF(AND(OR(T1560="Backlog",T1560="Pipeline",T1560="Overdue"),ISNUMBER(W1560)),IF(W1560&lt;=Settings!$B$6,V1560,0),0)</f>
        <v>0</v>
      </c>
      <c r="Y1560" s="38" t="n">
        <f aca="false">IF(AND(OR(T1560="Backlog",T1560="Pipeline",T1560="Overdue"),ISNUMBER(W1560)),IF(W1560&lt;=Settings!$B$6,Q1560,0),0)</f>
        <v>0</v>
      </c>
      <c r="Z1560" s="38" t="n">
        <f aca="false">IF(Y1560=0,0,IF(T1560="Backlog",Q1560,Q1560*Dashboard!$C$10))</f>
        <v>0</v>
      </c>
      <c r="AA1560" s="37" t="n">
        <f aca="false">IF($N1560="",0,IF(COUNTIF(Dashboard!$C$13:$C$22,$N1560)&gt;0,1,0))</f>
        <v>0</v>
      </c>
      <c r="AB1560" s="37" t="str">
        <f aca="false">IF($N1560="","",IF(COUNTIF($N$8:$N1560,$N1560)=1,MAX($AB$7:$AB1559)+1,""))</f>
        <v/>
      </c>
    </row>
    <row r="1561" customFormat="false" ht="15" hidden="false" customHeight="false" outlineLevel="0" collapsed="false">
      <c r="L1561" s="37" t="str">
        <f aca="false">IF(INDEX($A1561:$J1561,$L$6)&lt;&gt;"",TRIM(LEFT(INDEX($A1561:$J1561,$L$6),FIND("(",INDEX($A1561:$J1561,$L$6)&amp;"(")-1)),L1560)</f>
        <v>Building Value Proposition</v>
      </c>
      <c r="M1561" s="37" t="str">
        <f aca="false">IF(INDEX($A1561:$J1561,$M$6)="","",INDEX($A1561:$J1561,$M$6)&amp;"")</f>
        <v/>
      </c>
      <c r="N1561" s="37" t="str">
        <f aca="false">IF($M1561="","",TRIM(INDEX($A1561:$J1561,$N$6)&amp;""))</f>
        <v/>
      </c>
      <c r="O1561" s="37" t="str">
        <f aca="false">IF($M1561="","",TRIM(INDEX($A1561:$J1561,$O$6)&amp;""))</f>
        <v/>
      </c>
      <c r="P1561" s="37" t="str">
        <f aca="false">IF($M1561="","",IFERROR(IF(INDEX(Settings!$B$41:$B$50,MATCH(O1561,Settings!$A$41:$A$50,0))&amp;""="","UNMAPPED",INDEX(Settings!$B$41:$B$50,MATCH(O1561,Settings!$A$41:$A$50,0))&amp;""),"UNMAPPED"))</f>
        <v/>
      </c>
      <c r="Q1561" s="38" t="n">
        <f aca="false">IF($M1561="",0,N(INDEX($A1561:$J1561,$Q$6)))</f>
        <v>0</v>
      </c>
      <c r="R1561" s="39" t="str">
        <f aca="false">IF($M1561="","",INDEX($A1561:$J1561,$R$6))</f>
        <v/>
      </c>
      <c r="S1561" s="37" t="str">
        <f aca="false">IF($M1561="","",IFERROR(INDEX(Settings!$B$27:$B$36,MATCH(L1561,Settings!$A$27:$A$36,0))&amp;"","UNMAPPED"))</f>
        <v/>
      </c>
      <c r="T1561" s="37" t="str">
        <f aca="false">IF($M1561="","",IF(NOT(ISNUMBER(R1561)),"NO DATE",IF(S1561="Won",IF(R1561&gt;Settings!$B$5,"Backlog","Delivered"),IF(S1561="Open",IF(R1561&gt;Settings!$B$5,"Pipeline","Overdue"),IF(S1561="Lost","Lost","UNMAPPED")))))</f>
        <v/>
      </c>
      <c r="U1561" s="40" t="n">
        <f aca="false">IF(T1561="Backlog",1,IF(OR(T1561="Pipeline",T1561="Overdue"),N(INDEX(Settings!$C$27:$C$36,MATCH(L1561,Settings!$A$27:$A$36,0))),0))</f>
        <v>0</v>
      </c>
      <c r="V1561" s="38" t="n">
        <f aca="false">Q1561*U1561</f>
        <v>0</v>
      </c>
      <c r="W1561" s="41" t="str">
        <f aca="false">IF($M1561="","",IF(T1561="Overdue",IF(Settings!$B$8="Yes",Settings!$B$7,""),IF(ISNUMBER(R1561),DATE(YEAR(R1561),MONTH(R1561),1),"")))</f>
        <v/>
      </c>
      <c r="X1561" s="38" t="n">
        <f aca="false">IF(AND(OR(T1561="Backlog",T1561="Pipeline",T1561="Overdue"),ISNUMBER(W1561)),IF(W1561&lt;=Settings!$B$6,V1561,0),0)</f>
        <v>0</v>
      </c>
      <c r="Y1561" s="38" t="n">
        <f aca="false">IF(AND(OR(T1561="Backlog",T1561="Pipeline",T1561="Overdue"),ISNUMBER(W1561)),IF(W1561&lt;=Settings!$B$6,Q1561,0),0)</f>
        <v>0</v>
      </c>
      <c r="Z1561" s="38" t="n">
        <f aca="false">IF(Y1561=0,0,IF(T1561="Backlog",Q1561,Q1561*Dashboard!$C$10))</f>
        <v>0</v>
      </c>
      <c r="AA1561" s="37" t="n">
        <f aca="false">IF($N1561="",0,IF(COUNTIF(Dashboard!$C$13:$C$22,$N1561)&gt;0,1,0))</f>
        <v>0</v>
      </c>
      <c r="AB1561" s="37" t="str">
        <f aca="false">IF($N1561="","",IF(COUNTIF($N$8:$N1561,$N1561)=1,MAX($AB$7:$AB1560)+1,""))</f>
        <v/>
      </c>
    </row>
    <row r="1562" customFormat="false" ht="15" hidden="false" customHeight="false" outlineLevel="0" collapsed="false">
      <c r="L1562" s="37" t="str">
        <f aca="false">IF(INDEX($A1562:$J1562,$L$6)&lt;&gt;"",TRIM(LEFT(INDEX($A1562:$J1562,$L$6),FIND("(",INDEX($A1562:$J1562,$L$6)&amp;"(")-1)),L1561)</f>
        <v>Building Value Proposition</v>
      </c>
      <c r="M1562" s="37" t="str">
        <f aca="false">IF(INDEX($A1562:$J1562,$M$6)="","",INDEX($A1562:$J1562,$M$6)&amp;"")</f>
        <v/>
      </c>
      <c r="N1562" s="37" t="str">
        <f aca="false">IF($M1562="","",TRIM(INDEX($A1562:$J1562,$N$6)&amp;""))</f>
        <v/>
      </c>
      <c r="O1562" s="37" t="str">
        <f aca="false">IF($M1562="","",TRIM(INDEX($A1562:$J1562,$O$6)&amp;""))</f>
        <v/>
      </c>
      <c r="P1562" s="37" t="str">
        <f aca="false">IF($M1562="","",IFERROR(IF(INDEX(Settings!$B$41:$B$50,MATCH(O1562,Settings!$A$41:$A$50,0))&amp;""="","UNMAPPED",INDEX(Settings!$B$41:$B$50,MATCH(O1562,Settings!$A$41:$A$50,0))&amp;""),"UNMAPPED"))</f>
        <v/>
      </c>
      <c r="Q1562" s="38" t="n">
        <f aca="false">IF($M1562="",0,N(INDEX($A1562:$J1562,$Q$6)))</f>
        <v>0</v>
      </c>
      <c r="R1562" s="39" t="str">
        <f aca="false">IF($M1562="","",INDEX($A1562:$J1562,$R$6))</f>
        <v/>
      </c>
      <c r="S1562" s="37" t="str">
        <f aca="false">IF($M1562="","",IFERROR(INDEX(Settings!$B$27:$B$36,MATCH(L1562,Settings!$A$27:$A$36,0))&amp;"","UNMAPPED"))</f>
        <v/>
      </c>
      <c r="T1562" s="37" t="str">
        <f aca="false">IF($M1562="","",IF(NOT(ISNUMBER(R1562)),"NO DATE",IF(S1562="Won",IF(R1562&gt;Settings!$B$5,"Backlog","Delivered"),IF(S1562="Open",IF(R1562&gt;Settings!$B$5,"Pipeline","Overdue"),IF(S1562="Lost","Lost","UNMAPPED")))))</f>
        <v/>
      </c>
      <c r="U1562" s="40" t="n">
        <f aca="false">IF(T1562="Backlog",1,IF(OR(T1562="Pipeline",T1562="Overdue"),N(INDEX(Settings!$C$27:$C$36,MATCH(L1562,Settings!$A$27:$A$36,0))),0))</f>
        <v>0</v>
      </c>
      <c r="V1562" s="38" t="n">
        <f aca="false">Q1562*U1562</f>
        <v>0</v>
      </c>
      <c r="W1562" s="41" t="str">
        <f aca="false">IF($M1562="","",IF(T1562="Overdue",IF(Settings!$B$8="Yes",Settings!$B$7,""),IF(ISNUMBER(R1562),DATE(YEAR(R1562),MONTH(R1562),1),"")))</f>
        <v/>
      </c>
      <c r="X1562" s="38" t="n">
        <f aca="false">IF(AND(OR(T1562="Backlog",T1562="Pipeline",T1562="Overdue"),ISNUMBER(W1562)),IF(W1562&lt;=Settings!$B$6,V1562,0),0)</f>
        <v>0</v>
      </c>
      <c r="Y1562" s="38" t="n">
        <f aca="false">IF(AND(OR(T1562="Backlog",T1562="Pipeline",T1562="Overdue"),ISNUMBER(W1562)),IF(W1562&lt;=Settings!$B$6,Q1562,0),0)</f>
        <v>0</v>
      </c>
      <c r="Z1562" s="38" t="n">
        <f aca="false">IF(Y1562=0,0,IF(T1562="Backlog",Q1562,Q1562*Dashboard!$C$10))</f>
        <v>0</v>
      </c>
      <c r="AA1562" s="37" t="n">
        <f aca="false">IF($N1562="",0,IF(COUNTIF(Dashboard!$C$13:$C$22,$N1562)&gt;0,1,0))</f>
        <v>0</v>
      </c>
      <c r="AB1562" s="37" t="str">
        <f aca="false">IF($N1562="","",IF(COUNTIF($N$8:$N1562,$N1562)=1,MAX($AB$7:$AB1561)+1,""))</f>
        <v/>
      </c>
    </row>
    <row r="1563" customFormat="false" ht="15" hidden="false" customHeight="false" outlineLevel="0" collapsed="false">
      <c r="L1563" s="37" t="str">
        <f aca="false">IF(INDEX($A1563:$J1563,$L$6)&lt;&gt;"",TRIM(LEFT(INDEX($A1563:$J1563,$L$6),FIND("(",INDEX($A1563:$J1563,$L$6)&amp;"(")-1)),L1562)</f>
        <v>Building Value Proposition</v>
      </c>
      <c r="M1563" s="37" t="str">
        <f aca="false">IF(INDEX($A1563:$J1563,$M$6)="","",INDEX($A1563:$J1563,$M$6)&amp;"")</f>
        <v/>
      </c>
      <c r="N1563" s="37" t="str">
        <f aca="false">IF($M1563="","",TRIM(INDEX($A1563:$J1563,$N$6)&amp;""))</f>
        <v/>
      </c>
      <c r="O1563" s="37" t="str">
        <f aca="false">IF($M1563="","",TRIM(INDEX($A1563:$J1563,$O$6)&amp;""))</f>
        <v/>
      </c>
      <c r="P1563" s="37" t="str">
        <f aca="false">IF($M1563="","",IFERROR(IF(INDEX(Settings!$B$41:$B$50,MATCH(O1563,Settings!$A$41:$A$50,0))&amp;""="","UNMAPPED",INDEX(Settings!$B$41:$B$50,MATCH(O1563,Settings!$A$41:$A$50,0))&amp;""),"UNMAPPED"))</f>
        <v/>
      </c>
      <c r="Q1563" s="38" t="n">
        <f aca="false">IF($M1563="",0,N(INDEX($A1563:$J1563,$Q$6)))</f>
        <v>0</v>
      </c>
      <c r="R1563" s="39" t="str">
        <f aca="false">IF($M1563="","",INDEX($A1563:$J1563,$R$6))</f>
        <v/>
      </c>
      <c r="S1563" s="37" t="str">
        <f aca="false">IF($M1563="","",IFERROR(INDEX(Settings!$B$27:$B$36,MATCH(L1563,Settings!$A$27:$A$36,0))&amp;"","UNMAPPED"))</f>
        <v/>
      </c>
      <c r="T1563" s="37" t="str">
        <f aca="false">IF($M1563="","",IF(NOT(ISNUMBER(R1563)),"NO DATE",IF(S1563="Won",IF(R1563&gt;Settings!$B$5,"Backlog","Delivered"),IF(S1563="Open",IF(R1563&gt;Settings!$B$5,"Pipeline","Overdue"),IF(S1563="Lost","Lost","UNMAPPED")))))</f>
        <v/>
      </c>
      <c r="U1563" s="40" t="n">
        <f aca="false">IF(T1563="Backlog",1,IF(OR(T1563="Pipeline",T1563="Overdue"),N(INDEX(Settings!$C$27:$C$36,MATCH(L1563,Settings!$A$27:$A$36,0))),0))</f>
        <v>0</v>
      </c>
      <c r="V1563" s="38" t="n">
        <f aca="false">Q1563*U1563</f>
        <v>0</v>
      </c>
      <c r="W1563" s="41" t="str">
        <f aca="false">IF($M1563="","",IF(T1563="Overdue",IF(Settings!$B$8="Yes",Settings!$B$7,""),IF(ISNUMBER(R1563),DATE(YEAR(R1563),MONTH(R1563),1),"")))</f>
        <v/>
      </c>
      <c r="X1563" s="38" t="n">
        <f aca="false">IF(AND(OR(T1563="Backlog",T1563="Pipeline",T1563="Overdue"),ISNUMBER(W1563)),IF(W1563&lt;=Settings!$B$6,V1563,0),0)</f>
        <v>0</v>
      </c>
      <c r="Y1563" s="38" t="n">
        <f aca="false">IF(AND(OR(T1563="Backlog",T1563="Pipeline",T1563="Overdue"),ISNUMBER(W1563)),IF(W1563&lt;=Settings!$B$6,Q1563,0),0)</f>
        <v>0</v>
      </c>
      <c r="Z1563" s="38" t="n">
        <f aca="false">IF(Y1563=0,0,IF(T1563="Backlog",Q1563,Q1563*Dashboard!$C$10))</f>
        <v>0</v>
      </c>
      <c r="AA1563" s="37" t="n">
        <f aca="false">IF($N1563="",0,IF(COUNTIF(Dashboard!$C$13:$C$22,$N1563)&gt;0,1,0))</f>
        <v>0</v>
      </c>
      <c r="AB1563" s="37" t="str">
        <f aca="false">IF($N1563="","",IF(COUNTIF($N$8:$N1563,$N1563)=1,MAX($AB$7:$AB1562)+1,""))</f>
        <v/>
      </c>
    </row>
    <row r="1564" customFormat="false" ht="15" hidden="false" customHeight="false" outlineLevel="0" collapsed="false">
      <c r="L1564" s="37" t="str">
        <f aca="false">IF(INDEX($A1564:$J1564,$L$6)&lt;&gt;"",TRIM(LEFT(INDEX($A1564:$J1564,$L$6),FIND("(",INDEX($A1564:$J1564,$L$6)&amp;"(")-1)),L1563)</f>
        <v>Building Value Proposition</v>
      </c>
      <c r="M1564" s="37" t="str">
        <f aca="false">IF(INDEX($A1564:$J1564,$M$6)="","",INDEX($A1564:$J1564,$M$6)&amp;"")</f>
        <v/>
      </c>
      <c r="N1564" s="37" t="str">
        <f aca="false">IF($M1564="","",TRIM(INDEX($A1564:$J1564,$N$6)&amp;""))</f>
        <v/>
      </c>
      <c r="O1564" s="37" t="str">
        <f aca="false">IF($M1564="","",TRIM(INDEX($A1564:$J1564,$O$6)&amp;""))</f>
        <v/>
      </c>
      <c r="P1564" s="37" t="str">
        <f aca="false">IF($M1564="","",IFERROR(IF(INDEX(Settings!$B$41:$B$50,MATCH(O1564,Settings!$A$41:$A$50,0))&amp;""="","UNMAPPED",INDEX(Settings!$B$41:$B$50,MATCH(O1564,Settings!$A$41:$A$50,0))&amp;""),"UNMAPPED"))</f>
        <v/>
      </c>
      <c r="Q1564" s="38" t="n">
        <f aca="false">IF($M1564="",0,N(INDEX($A1564:$J1564,$Q$6)))</f>
        <v>0</v>
      </c>
      <c r="R1564" s="39" t="str">
        <f aca="false">IF($M1564="","",INDEX($A1564:$J1564,$R$6))</f>
        <v/>
      </c>
      <c r="S1564" s="37" t="str">
        <f aca="false">IF($M1564="","",IFERROR(INDEX(Settings!$B$27:$B$36,MATCH(L1564,Settings!$A$27:$A$36,0))&amp;"","UNMAPPED"))</f>
        <v/>
      </c>
      <c r="T1564" s="37" t="str">
        <f aca="false">IF($M1564="","",IF(NOT(ISNUMBER(R1564)),"NO DATE",IF(S1564="Won",IF(R1564&gt;Settings!$B$5,"Backlog","Delivered"),IF(S1564="Open",IF(R1564&gt;Settings!$B$5,"Pipeline","Overdue"),IF(S1564="Lost","Lost","UNMAPPED")))))</f>
        <v/>
      </c>
      <c r="U1564" s="40" t="n">
        <f aca="false">IF(T1564="Backlog",1,IF(OR(T1564="Pipeline",T1564="Overdue"),N(INDEX(Settings!$C$27:$C$36,MATCH(L1564,Settings!$A$27:$A$36,0))),0))</f>
        <v>0</v>
      </c>
      <c r="V1564" s="38" t="n">
        <f aca="false">Q1564*U1564</f>
        <v>0</v>
      </c>
      <c r="W1564" s="41" t="str">
        <f aca="false">IF($M1564="","",IF(T1564="Overdue",IF(Settings!$B$8="Yes",Settings!$B$7,""),IF(ISNUMBER(R1564),DATE(YEAR(R1564),MONTH(R1564),1),"")))</f>
        <v/>
      </c>
      <c r="X1564" s="38" t="n">
        <f aca="false">IF(AND(OR(T1564="Backlog",T1564="Pipeline",T1564="Overdue"),ISNUMBER(W1564)),IF(W1564&lt;=Settings!$B$6,V1564,0),0)</f>
        <v>0</v>
      </c>
      <c r="Y1564" s="38" t="n">
        <f aca="false">IF(AND(OR(T1564="Backlog",T1564="Pipeline",T1564="Overdue"),ISNUMBER(W1564)),IF(W1564&lt;=Settings!$B$6,Q1564,0),0)</f>
        <v>0</v>
      </c>
      <c r="Z1564" s="38" t="n">
        <f aca="false">IF(Y1564=0,0,IF(T1564="Backlog",Q1564,Q1564*Dashboard!$C$10))</f>
        <v>0</v>
      </c>
      <c r="AA1564" s="37" t="n">
        <f aca="false">IF($N1564="",0,IF(COUNTIF(Dashboard!$C$13:$C$22,$N1564)&gt;0,1,0))</f>
        <v>0</v>
      </c>
      <c r="AB1564" s="37" t="str">
        <f aca="false">IF($N1564="","",IF(COUNTIF($N$8:$N1564,$N1564)=1,MAX($AB$7:$AB1563)+1,""))</f>
        <v/>
      </c>
    </row>
    <row r="1565" customFormat="false" ht="15" hidden="false" customHeight="false" outlineLevel="0" collapsed="false">
      <c r="L1565" s="37" t="str">
        <f aca="false">IF(INDEX($A1565:$J1565,$L$6)&lt;&gt;"",TRIM(LEFT(INDEX($A1565:$J1565,$L$6),FIND("(",INDEX($A1565:$J1565,$L$6)&amp;"(")-1)),L1564)</f>
        <v>Building Value Proposition</v>
      </c>
      <c r="M1565" s="37" t="str">
        <f aca="false">IF(INDEX($A1565:$J1565,$M$6)="","",INDEX($A1565:$J1565,$M$6)&amp;"")</f>
        <v/>
      </c>
      <c r="N1565" s="37" t="str">
        <f aca="false">IF($M1565="","",TRIM(INDEX($A1565:$J1565,$N$6)&amp;""))</f>
        <v/>
      </c>
      <c r="O1565" s="37" t="str">
        <f aca="false">IF($M1565="","",TRIM(INDEX($A1565:$J1565,$O$6)&amp;""))</f>
        <v/>
      </c>
      <c r="P1565" s="37" t="str">
        <f aca="false">IF($M1565="","",IFERROR(IF(INDEX(Settings!$B$41:$B$50,MATCH(O1565,Settings!$A$41:$A$50,0))&amp;""="","UNMAPPED",INDEX(Settings!$B$41:$B$50,MATCH(O1565,Settings!$A$41:$A$50,0))&amp;""),"UNMAPPED"))</f>
        <v/>
      </c>
      <c r="Q1565" s="38" t="n">
        <f aca="false">IF($M1565="",0,N(INDEX($A1565:$J1565,$Q$6)))</f>
        <v>0</v>
      </c>
      <c r="R1565" s="39" t="str">
        <f aca="false">IF($M1565="","",INDEX($A1565:$J1565,$R$6))</f>
        <v/>
      </c>
      <c r="S1565" s="37" t="str">
        <f aca="false">IF($M1565="","",IFERROR(INDEX(Settings!$B$27:$B$36,MATCH(L1565,Settings!$A$27:$A$36,0))&amp;"","UNMAPPED"))</f>
        <v/>
      </c>
      <c r="T1565" s="37" t="str">
        <f aca="false">IF($M1565="","",IF(NOT(ISNUMBER(R1565)),"NO DATE",IF(S1565="Won",IF(R1565&gt;Settings!$B$5,"Backlog","Delivered"),IF(S1565="Open",IF(R1565&gt;Settings!$B$5,"Pipeline","Overdue"),IF(S1565="Lost","Lost","UNMAPPED")))))</f>
        <v/>
      </c>
      <c r="U1565" s="40" t="n">
        <f aca="false">IF(T1565="Backlog",1,IF(OR(T1565="Pipeline",T1565="Overdue"),N(INDEX(Settings!$C$27:$C$36,MATCH(L1565,Settings!$A$27:$A$36,0))),0))</f>
        <v>0</v>
      </c>
      <c r="V1565" s="38" t="n">
        <f aca="false">Q1565*U1565</f>
        <v>0</v>
      </c>
      <c r="W1565" s="41" t="str">
        <f aca="false">IF($M1565="","",IF(T1565="Overdue",IF(Settings!$B$8="Yes",Settings!$B$7,""),IF(ISNUMBER(R1565),DATE(YEAR(R1565),MONTH(R1565),1),"")))</f>
        <v/>
      </c>
      <c r="X1565" s="38" t="n">
        <f aca="false">IF(AND(OR(T1565="Backlog",T1565="Pipeline",T1565="Overdue"),ISNUMBER(W1565)),IF(W1565&lt;=Settings!$B$6,V1565,0),0)</f>
        <v>0</v>
      </c>
      <c r="Y1565" s="38" t="n">
        <f aca="false">IF(AND(OR(T1565="Backlog",T1565="Pipeline",T1565="Overdue"),ISNUMBER(W1565)),IF(W1565&lt;=Settings!$B$6,Q1565,0),0)</f>
        <v>0</v>
      </c>
      <c r="Z1565" s="38" t="n">
        <f aca="false">IF(Y1565=0,0,IF(T1565="Backlog",Q1565,Q1565*Dashboard!$C$10))</f>
        <v>0</v>
      </c>
      <c r="AA1565" s="37" t="n">
        <f aca="false">IF($N1565="",0,IF(COUNTIF(Dashboard!$C$13:$C$22,$N1565)&gt;0,1,0))</f>
        <v>0</v>
      </c>
      <c r="AB1565" s="37" t="str">
        <f aca="false">IF($N1565="","",IF(COUNTIF($N$8:$N1565,$N1565)=1,MAX($AB$7:$AB1564)+1,""))</f>
        <v/>
      </c>
    </row>
    <row r="1566" customFormat="false" ht="15" hidden="false" customHeight="false" outlineLevel="0" collapsed="false">
      <c r="L1566" s="37" t="str">
        <f aca="false">IF(INDEX($A1566:$J1566,$L$6)&lt;&gt;"",TRIM(LEFT(INDEX($A1566:$J1566,$L$6),FIND("(",INDEX($A1566:$J1566,$L$6)&amp;"(")-1)),L1565)</f>
        <v>Building Value Proposition</v>
      </c>
      <c r="M1566" s="37" t="str">
        <f aca="false">IF(INDEX($A1566:$J1566,$M$6)="","",INDEX($A1566:$J1566,$M$6)&amp;"")</f>
        <v/>
      </c>
      <c r="N1566" s="37" t="str">
        <f aca="false">IF($M1566="","",TRIM(INDEX($A1566:$J1566,$N$6)&amp;""))</f>
        <v/>
      </c>
      <c r="O1566" s="37" t="str">
        <f aca="false">IF($M1566="","",TRIM(INDEX($A1566:$J1566,$O$6)&amp;""))</f>
        <v/>
      </c>
      <c r="P1566" s="37" t="str">
        <f aca="false">IF($M1566="","",IFERROR(IF(INDEX(Settings!$B$41:$B$50,MATCH(O1566,Settings!$A$41:$A$50,0))&amp;""="","UNMAPPED",INDEX(Settings!$B$41:$B$50,MATCH(O1566,Settings!$A$41:$A$50,0))&amp;""),"UNMAPPED"))</f>
        <v/>
      </c>
      <c r="Q1566" s="38" t="n">
        <f aca="false">IF($M1566="",0,N(INDEX($A1566:$J1566,$Q$6)))</f>
        <v>0</v>
      </c>
      <c r="R1566" s="39" t="str">
        <f aca="false">IF($M1566="","",INDEX($A1566:$J1566,$R$6))</f>
        <v/>
      </c>
      <c r="S1566" s="37" t="str">
        <f aca="false">IF($M1566="","",IFERROR(INDEX(Settings!$B$27:$B$36,MATCH(L1566,Settings!$A$27:$A$36,0))&amp;"","UNMAPPED"))</f>
        <v/>
      </c>
      <c r="T1566" s="37" t="str">
        <f aca="false">IF($M1566="","",IF(NOT(ISNUMBER(R1566)),"NO DATE",IF(S1566="Won",IF(R1566&gt;Settings!$B$5,"Backlog","Delivered"),IF(S1566="Open",IF(R1566&gt;Settings!$B$5,"Pipeline","Overdue"),IF(S1566="Lost","Lost","UNMAPPED")))))</f>
        <v/>
      </c>
      <c r="U1566" s="40" t="n">
        <f aca="false">IF(T1566="Backlog",1,IF(OR(T1566="Pipeline",T1566="Overdue"),N(INDEX(Settings!$C$27:$C$36,MATCH(L1566,Settings!$A$27:$A$36,0))),0))</f>
        <v>0</v>
      </c>
      <c r="V1566" s="38" t="n">
        <f aca="false">Q1566*U1566</f>
        <v>0</v>
      </c>
      <c r="W1566" s="41" t="str">
        <f aca="false">IF($M1566="","",IF(T1566="Overdue",IF(Settings!$B$8="Yes",Settings!$B$7,""),IF(ISNUMBER(R1566),DATE(YEAR(R1566),MONTH(R1566),1),"")))</f>
        <v/>
      </c>
      <c r="X1566" s="38" t="n">
        <f aca="false">IF(AND(OR(T1566="Backlog",T1566="Pipeline",T1566="Overdue"),ISNUMBER(W1566)),IF(W1566&lt;=Settings!$B$6,V1566,0),0)</f>
        <v>0</v>
      </c>
      <c r="Y1566" s="38" t="n">
        <f aca="false">IF(AND(OR(T1566="Backlog",T1566="Pipeline",T1566="Overdue"),ISNUMBER(W1566)),IF(W1566&lt;=Settings!$B$6,Q1566,0),0)</f>
        <v>0</v>
      </c>
      <c r="Z1566" s="38" t="n">
        <f aca="false">IF(Y1566=0,0,IF(T1566="Backlog",Q1566,Q1566*Dashboard!$C$10))</f>
        <v>0</v>
      </c>
      <c r="AA1566" s="37" t="n">
        <f aca="false">IF($N1566="",0,IF(COUNTIF(Dashboard!$C$13:$C$22,$N1566)&gt;0,1,0))</f>
        <v>0</v>
      </c>
      <c r="AB1566" s="37" t="str">
        <f aca="false">IF($N1566="","",IF(COUNTIF($N$8:$N1566,$N1566)=1,MAX($AB$7:$AB1565)+1,""))</f>
        <v/>
      </c>
    </row>
    <row r="1567" customFormat="false" ht="15" hidden="false" customHeight="false" outlineLevel="0" collapsed="false">
      <c r="L1567" s="37" t="str">
        <f aca="false">IF(INDEX($A1567:$J1567,$L$6)&lt;&gt;"",TRIM(LEFT(INDEX($A1567:$J1567,$L$6),FIND("(",INDEX($A1567:$J1567,$L$6)&amp;"(")-1)),L1566)</f>
        <v>Building Value Proposition</v>
      </c>
      <c r="M1567" s="37" t="str">
        <f aca="false">IF(INDEX($A1567:$J1567,$M$6)="","",INDEX($A1567:$J1567,$M$6)&amp;"")</f>
        <v/>
      </c>
      <c r="N1567" s="37" t="str">
        <f aca="false">IF($M1567="","",TRIM(INDEX($A1567:$J1567,$N$6)&amp;""))</f>
        <v/>
      </c>
      <c r="O1567" s="37" t="str">
        <f aca="false">IF($M1567="","",TRIM(INDEX($A1567:$J1567,$O$6)&amp;""))</f>
        <v/>
      </c>
      <c r="P1567" s="37" t="str">
        <f aca="false">IF($M1567="","",IFERROR(IF(INDEX(Settings!$B$41:$B$50,MATCH(O1567,Settings!$A$41:$A$50,0))&amp;""="","UNMAPPED",INDEX(Settings!$B$41:$B$50,MATCH(O1567,Settings!$A$41:$A$50,0))&amp;""),"UNMAPPED"))</f>
        <v/>
      </c>
      <c r="Q1567" s="38" t="n">
        <f aca="false">IF($M1567="",0,N(INDEX($A1567:$J1567,$Q$6)))</f>
        <v>0</v>
      </c>
      <c r="R1567" s="39" t="str">
        <f aca="false">IF($M1567="","",INDEX($A1567:$J1567,$R$6))</f>
        <v/>
      </c>
      <c r="S1567" s="37" t="str">
        <f aca="false">IF($M1567="","",IFERROR(INDEX(Settings!$B$27:$B$36,MATCH(L1567,Settings!$A$27:$A$36,0))&amp;"","UNMAPPED"))</f>
        <v/>
      </c>
      <c r="T1567" s="37" t="str">
        <f aca="false">IF($M1567="","",IF(NOT(ISNUMBER(R1567)),"NO DATE",IF(S1567="Won",IF(R1567&gt;Settings!$B$5,"Backlog","Delivered"),IF(S1567="Open",IF(R1567&gt;Settings!$B$5,"Pipeline","Overdue"),IF(S1567="Lost","Lost","UNMAPPED")))))</f>
        <v/>
      </c>
      <c r="U1567" s="40" t="n">
        <f aca="false">IF(T1567="Backlog",1,IF(OR(T1567="Pipeline",T1567="Overdue"),N(INDEX(Settings!$C$27:$C$36,MATCH(L1567,Settings!$A$27:$A$36,0))),0))</f>
        <v>0</v>
      </c>
      <c r="V1567" s="38" t="n">
        <f aca="false">Q1567*U1567</f>
        <v>0</v>
      </c>
      <c r="W1567" s="41" t="str">
        <f aca="false">IF($M1567="","",IF(T1567="Overdue",IF(Settings!$B$8="Yes",Settings!$B$7,""),IF(ISNUMBER(R1567),DATE(YEAR(R1567),MONTH(R1567),1),"")))</f>
        <v/>
      </c>
      <c r="X1567" s="38" t="n">
        <f aca="false">IF(AND(OR(T1567="Backlog",T1567="Pipeline",T1567="Overdue"),ISNUMBER(W1567)),IF(W1567&lt;=Settings!$B$6,V1567,0),0)</f>
        <v>0</v>
      </c>
      <c r="Y1567" s="38" t="n">
        <f aca="false">IF(AND(OR(T1567="Backlog",T1567="Pipeline",T1567="Overdue"),ISNUMBER(W1567)),IF(W1567&lt;=Settings!$B$6,Q1567,0),0)</f>
        <v>0</v>
      </c>
      <c r="Z1567" s="38" t="n">
        <f aca="false">IF(Y1567=0,0,IF(T1567="Backlog",Q1567,Q1567*Dashboard!$C$10))</f>
        <v>0</v>
      </c>
      <c r="AA1567" s="37" t="n">
        <f aca="false">IF($N1567="",0,IF(COUNTIF(Dashboard!$C$13:$C$22,$N1567)&gt;0,1,0))</f>
        <v>0</v>
      </c>
      <c r="AB1567" s="37" t="str">
        <f aca="false">IF($N1567="","",IF(COUNTIF($N$8:$N1567,$N1567)=1,MAX($AB$7:$AB1566)+1,""))</f>
        <v/>
      </c>
    </row>
    <row r="1568" customFormat="false" ht="15" hidden="false" customHeight="false" outlineLevel="0" collapsed="false">
      <c r="L1568" s="37" t="str">
        <f aca="false">IF(INDEX($A1568:$J1568,$L$6)&lt;&gt;"",TRIM(LEFT(INDEX($A1568:$J1568,$L$6),FIND("(",INDEX($A1568:$J1568,$L$6)&amp;"(")-1)),L1567)</f>
        <v>Building Value Proposition</v>
      </c>
      <c r="M1568" s="37" t="str">
        <f aca="false">IF(INDEX($A1568:$J1568,$M$6)="","",INDEX($A1568:$J1568,$M$6)&amp;"")</f>
        <v/>
      </c>
      <c r="N1568" s="37" t="str">
        <f aca="false">IF($M1568="","",TRIM(INDEX($A1568:$J1568,$N$6)&amp;""))</f>
        <v/>
      </c>
      <c r="O1568" s="37" t="str">
        <f aca="false">IF($M1568="","",TRIM(INDEX($A1568:$J1568,$O$6)&amp;""))</f>
        <v/>
      </c>
      <c r="P1568" s="37" t="str">
        <f aca="false">IF($M1568="","",IFERROR(IF(INDEX(Settings!$B$41:$B$50,MATCH(O1568,Settings!$A$41:$A$50,0))&amp;""="","UNMAPPED",INDEX(Settings!$B$41:$B$50,MATCH(O1568,Settings!$A$41:$A$50,0))&amp;""),"UNMAPPED"))</f>
        <v/>
      </c>
      <c r="Q1568" s="38" t="n">
        <f aca="false">IF($M1568="",0,N(INDEX($A1568:$J1568,$Q$6)))</f>
        <v>0</v>
      </c>
      <c r="R1568" s="39" t="str">
        <f aca="false">IF($M1568="","",INDEX($A1568:$J1568,$R$6))</f>
        <v/>
      </c>
      <c r="S1568" s="37" t="str">
        <f aca="false">IF($M1568="","",IFERROR(INDEX(Settings!$B$27:$B$36,MATCH(L1568,Settings!$A$27:$A$36,0))&amp;"","UNMAPPED"))</f>
        <v/>
      </c>
      <c r="T1568" s="37" t="str">
        <f aca="false">IF($M1568="","",IF(NOT(ISNUMBER(R1568)),"NO DATE",IF(S1568="Won",IF(R1568&gt;Settings!$B$5,"Backlog","Delivered"),IF(S1568="Open",IF(R1568&gt;Settings!$B$5,"Pipeline","Overdue"),IF(S1568="Lost","Lost","UNMAPPED")))))</f>
        <v/>
      </c>
      <c r="U1568" s="40" t="n">
        <f aca="false">IF(T1568="Backlog",1,IF(OR(T1568="Pipeline",T1568="Overdue"),N(INDEX(Settings!$C$27:$C$36,MATCH(L1568,Settings!$A$27:$A$36,0))),0))</f>
        <v>0</v>
      </c>
      <c r="V1568" s="38" t="n">
        <f aca="false">Q1568*U1568</f>
        <v>0</v>
      </c>
      <c r="W1568" s="41" t="str">
        <f aca="false">IF($M1568="","",IF(T1568="Overdue",IF(Settings!$B$8="Yes",Settings!$B$7,""),IF(ISNUMBER(R1568),DATE(YEAR(R1568),MONTH(R1568),1),"")))</f>
        <v/>
      </c>
      <c r="X1568" s="38" t="n">
        <f aca="false">IF(AND(OR(T1568="Backlog",T1568="Pipeline",T1568="Overdue"),ISNUMBER(W1568)),IF(W1568&lt;=Settings!$B$6,V1568,0),0)</f>
        <v>0</v>
      </c>
      <c r="Y1568" s="38" t="n">
        <f aca="false">IF(AND(OR(T1568="Backlog",T1568="Pipeline",T1568="Overdue"),ISNUMBER(W1568)),IF(W1568&lt;=Settings!$B$6,Q1568,0),0)</f>
        <v>0</v>
      </c>
      <c r="Z1568" s="38" t="n">
        <f aca="false">IF(Y1568=0,0,IF(T1568="Backlog",Q1568,Q1568*Dashboard!$C$10))</f>
        <v>0</v>
      </c>
      <c r="AA1568" s="37" t="n">
        <f aca="false">IF($N1568="",0,IF(COUNTIF(Dashboard!$C$13:$C$22,$N1568)&gt;0,1,0))</f>
        <v>0</v>
      </c>
      <c r="AB1568" s="37" t="str">
        <f aca="false">IF($N1568="","",IF(COUNTIF($N$8:$N1568,$N1568)=1,MAX($AB$7:$AB1567)+1,""))</f>
        <v/>
      </c>
    </row>
    <row r="1569" customFormat="false" ht="15" hidden="false" customHeight="false" outlineLevel="0" collapsed="false">
      <c r="L1569" s="37" t="str">
        <f aca="false">IF(INDEX($A1569:$J1569,$L$6)&lt;&gt;"",TRIM(LEFT(INDEX($A1569:$J1569,$L$6),FIND("(",INDEX($A1569:$J1569,$L$6)&amp;"(")-1)),L1568)</f>
        <v>Building Value Proposition</v>
      </c>
      <c r="M1569" s="37" t="str">
        <f aca="false">IF(INDEX($A1569:$J1569,$M$6)="","",INDEX($A1569:$J1569,$M$6)&amp;"")</f>
        <v/>
      </c>
      <c r="N1569" s="37" t="str">
        <f aca="false">IF($M1569="","",TRIM(INDEX($A1569:$J1569,$N$6)&amp;""))</f>
        <v/>
      </c>
      <c r="O1569" s="37" t="str">
        <f aca="false">IF($M1569="","",TRIM(INDEX($A1569:$J1569,$O$6)&amp;""))</f>
        <v/>
      </c>
      <c r="P1569" s="37" t="str">
        <f aca="false">IF($M1569="","",IFERROR(IF(INDEX(Settings!$B$41:$B$50,MATCH(O1569,Settings!$A$41:$A$50,0))&amp;""="","UNMAPPED",INDEX(Settings!$B$41:$B$50,MATCH(O1569,Settings!$A$41:$A$50,0))&amp;""),"UNMAPPED"))</f>
        <v/>
      </c>
      <c r="Q1569" s="38" t="n">
        <f aca="false">IF($M1569="",0,N(INDEX($A1569:$J1569,$Q$6)))</f>
        <v>0</v>
      </c>
      <c r="R1569" s="39" t="str">
        <f aca="false">IF($M1569="","",INDEX($A1569:$J1569,$R$6))</f>
        <v/>
      </c>
      <c r="S1569" s="37" t="str">
        <f aca="false">IF($M1569="","",IFERROR(INDEX(Settings!$B$27:$B$36,MATCH(L1569,Settings!$A$27:$A$36,0))&amp;"","UNMAPPED"))</f>
        <v/>
      </c>
      <c r="T1569" s="37" t="str">
        <f aca="false">IF($M1569="","",IF(NOT(ISNUMBER(R1569)),"NO DATE",IF(S1569="Won",IF(R1569&gt;Settings!$B$5,"Backlog","Delivered"),IF(S1569="Open",IF(R1569&gt;Settings!$B$5,"Pipeline","Overdue"),IF(S1569="Lost","Lost","UNMAPPED")))))</f>
        <v/>
      </c>
      <c r="U1569" s="40" t="n">
        <f aca="false">IF(T1569="Backlog",1,IF(OR(T1569="Pipeline",T1569="Overdue"),N(INDEX(Settings!$C$27:$C$36,MATCH(L1569,Settings!$A$27:$A$36,0))),0))</f>
        <v>0</v>
      </c>
      <c r="V1569" s="38" t="n">
        <f aca="false">Q1569*U1569</f>
        <v>0</v>
      </c>
      <c r="W1569" s="41" t="str">
        <f aca="false">IF($M1569="","",IF(T1569="Overdue",IF(Settings!$B$8="Yes",Settings!$B$7,""),IF(ISNUMBER(R1569),DATE(YEAR(R1569),MONTH(R1569),1),"")))</f>
        <v/>
      </c>
      <c r="X1569" s="38" t="n">
        <f aca="false">IF(AND(OR(T1569="Backlog",T1569="Pipeline",T1569="Overdue"),ISNUMBER(W1569)),IF(W1569&lt;=Settings!$B$6,V1569,0),0)</f>
        <v>0</v>
      </c>
      <c r="Y1569" s="38" t="n">
        <f aca="false">IF(AND(OR(T1569="Backlog",T1569="Pipeline",T1569="Overdue"),ISNUMBER(W1569)),IF(W1569&lt;=Settings!$B$6,Q1569,0),0)</f>
        <v>0</v>
      </c>
      <c r="Z1569" s="38" t="n">
        <f aca="false">IF(Y1569=0,0,IF(T1569="Backlog",Q1569,Q1569*Dashboard!$C$10))</f>
        <v>0</v>
      </c>
      <c r="AA1569" s="37" t="n">
        <f aca="false">IF($N1569="",0,IF(COUNTIF(Dashboard!$C$13:$C$22,$N1569)&gt;0,1,0))</f>
        <v>0</v>
      </c>
      <c r="AB1569" s="37" t="str">
        <f aca="false">IF($N1569="","",IF(COUNTIF($N$8:$N1569,$N1569)=1,MAX($AB$7:$AB1568)+1,""))</f>
        <v/>
      </c>
    </row>
    <row r="1570" customFormat="false" ht="15" hidden="false" customHeight="false" outlineLevel="0" collapsed="false">
      <c r="L1570" s="37" t="str">
        <f aca="false">IF(INDEX($A1570:$J1570,$L$6)&lt;&gt;"",TRIM(LEFT(INDEX($A1570:$J1570,$L$6),FIND("(",INDEX($A1570:$J1570,$L$6)&amp;"(")-1)),L1569)</f>
        <v>Building Value Proposition</v>
      </c>
      <c r="M1570" s="37" t="str">
        <f aca="false">IF(INDEX($A1570:$J1570,$M$6)="","",INDEX($A1570:$J1570,$M$6)&amp;"")</f>
        <v/>
      </c>
      <c r="N1570" s="37" t="str">
        <f aca="false">IF($M1570="","",TRIM(INDEX($A1570:$J1570,$N$6)&amp;""))</f>
        <v/>
      </c>
      <c r="O1570" s="37" t="str">
        <f aca="false">IF($M1570="","",TRIM(INDEX($A1570:$J1570,$O$6)&amp;""))</f>
        <v/>
      </c>
      <c r="P1570" s="37" t="str">
        <f aca="false">IF($M1570="","",IFERROR(IF(INDEX(Settings!$B$41:$B$50,MATCH(O1570,Settings!$A$41:$A$50,0))&amp;""="","UNMAPPED",INDEX(Settings!$B$41:$B$50,MATCH(O1570,Settings!$A$41:$A$50,0))&amp;""),"UNMAPPED"))</f>
        <v/>
      </c>
      <c r="Q1570" s="38" t="n">
        <f aca="false">IF($M1570="",0,N(INDEX($A1570:$J1570,$Q$6)))</f>
        <v>0</v>
      </c>
      <c r="R1570" s="39" t="str">
        <f aca="false">IF($M1570="","",INDEX($A1570:$J1570,$R$6))</f>
        <v/>
      </c>
      <c r="S1570" s="37" t="str">
        <f aca="false">IF($M1570="","",IFERROR(INDEX(Settings!$B$27:$B$36,MATCH(L1570,Settings!$A$27:$A$36,0))&amp;"","UNMAPPED"))</f>
        <v/>
      </c>
      <c r="T1570" s="37" t="str">
        <f aca="false">IF($M1570="","",IF(NOT(ISNUMBER(R1570)),"NO DATE",IF(S1570="Won",IF(R1570&gt;Settings!$B$5,"Backlog","Delivered"),IF(S1570="Open",IF(R1570&gt;Settings!$B$5,"Pipeline","Overdue"),IF(S1570="Lost","Lost","UNMAPPED")))))</f>
        <v/>
      </c>
      <c r="U1570" s="40" t="n">
        <f aca="false">IF(T1570="Backlog",1,IF(OR(T1570="Pipeline",T1570="Overdue"),N(INDEX(Settings!$C$27:$C$36,MATCH(L1570,Settings!$A$27:$A$36,0))),0))</f>
        <v>0</v>
      </c>
      <c r="V1570" s="38" t="n">
        <f aca="false">Q1570*U1570</f>
        <v>0</v>
      </c>
      <c r="W1570" s="41" t="str">
        <f aca="false">IF($M1570="","",IF(T1570="Overdue",IF(Settings!$B$8="Yes",Settings!$B$7,""),IF(ISNUMBER(R1570),DATE(YEAR(R1570),MONTH(R1570),1),"")))</f>
        <v/>
      </c>
      <c r="X1570" s="38" t="n">
        <f aca="false">IF(AND(OR(T1570="Backlog",T1570="Pipeline",T1570="Overdue"),ISNUMBER(W1570)),IF(W1570&lt;=Settings!$B$6,V1570,0),0)</f>
        <v>0</v>
      </c>
      <c r="Y1570" s="38" t="n">
        <f aca="false">IF(AND(OR(T1570="Backlog",T1570="Pipeline",T1570="Overdue"),ISNUMBER(W1570)),IF(W1570&lt;=Settings!$B$6,Q1570,0),0)</f>
        <v>0</v>
      </c>
      <c r="Z1570" s="38" t="n">
        <f aca="false">IF(Y1570=0,0,IF(T1570="Backlog",Q1570,Q1570*Dashboard!$C$10))</f>
        <v>0</v>
      </c>
      <c r="AA1570" s="37" t="n">
        <f aca="false">IF($N1570="",0,IF(COUNTIF(Dashboard!$C$13:$C$22,$N1570)&gt;0,1,0))</f>
        <v>0</v>
      </c>
      <c r="AB1570" s="37" t="str">
        <f aca="false">IF($N1570="","",IF(COUNTIF($N$8:$N1570,$N1570)=1,MAX($AB$7:$AB1569)+1,""))</f>
        <v/>
      </c>
    </row>
    <row r="1571" customFormat="false" ht="15" hidden="false" customHeight="false" outlineLevel="0" collapsed="false">
      <c r="L1571" s="37" t="str">
        <f aca="false">IF(INDEX($A1571:$J1571,$L$6)&lt;&gt;"",TRIM(LEFT(INDEX($A1571:$J1571,$L$6),FIND("(",INDEX($A1571:$J1571,$L$6)&amp;"(")-1)),L1570)</f>
        <v>Building Value Proposition</v>
      </c>
      <c r="M1571" s="37" t="str">
        <f aca="false">IF(INDEX($A1571:$J1571,$M$6)="","",INDEX($A1571:$J1571,$M$6)&amp;"")</f>
        <v/>
      </c>
      <c r="N1571" s="37" t="str">
        <f aca="false">IF($M1571="","",TRIM(INDEX($A1571:$J1571,$N$6)&amp;""))</f>
        <v/>
      </c>
      <c r="O1571" s="37" t="str">
        <f aca="false">IF($M1571="","",TRIM(INDEX($A1571:$J1571,$O$6)&amp;""))</f>
        <v/>
      </c>
      <c r="P1571" s="37" t="str">
        <f aca="false">IF($M1571="","",IFERROR(IF(INDEX(Settings!$B$41:$B$50,MATCH(O1571,Settings!$A$41:$A$50,0))&amp;""="","UNMAPPED",INDEX(Settings!$B$41:$B$50,MATCH(O1571,Settings!$A$41:$A$50,0))&amp;""),"UNMAPPED"))</f>
        <v/>
      </c>
      <c r="Q1571" s="38" t="n">
        <f aca="false">IF($M1571="",0,N(INDEX($A1571:$J1571,$Q$6)))</f>
        <v>0</v>
      </c>
      <c r="R1571" s="39" t="str">
        <f aca="false">IF($M1571="","",INDEX($A1571:$J1571,$R$6))</f>
        <v/>
      </c>
      <c r="S1571" s="37" t="str">
        <f aca="false">IF($M1571="","",IFERROR(INDEX(Settings!$B$27:$B$36,MATCH(L1571,Settings!$A$27:$A$36,0))&amp;"","UNMAPPED"))</f>
        <v/>
      </c>
      <c r="T1571" s="37" t="str">
        <f aca="false">IF($M1571="","",IF(NOT(ISNUMBER(R1571)),"NO DATE",IF(S1571="Won",IF(R1571&gt;Settings!$B$5,"Backlog","Delivered"),IF(S1571="Open",IF(R1571&gt;Settings!$B$5,"Pipeline","Overdue"),IF(S1571="Lost","Lost","UNMAPPED")))))</f>
        <v/>
      </c>
      <c r="U1571" s="40" t="n">
        <f aca="false">IF(T1571="Backlog",1,IF(OR(T1571="Pipeline",T1571="Overdue"),N(INDEX(Settings!$C$27:$C$36,MATCH(L1571,Settings!$A$27:$A$36,0))),0))</f>
        <v>0</v>
      </c>
      <c r="V1571" s="38" t="n">
        <f aca="false">Q1571*U1571</f>
        <v>0</v>
      </c>
      <c r="W1571" s="41" t="str">
        <f aca="false">IF($M1571="","",IF(T1571="Overdue",IF(Settings!$B$8="Yes",Settings!$B$7,""),IF(ISNUMBER(R1571),DATE(YEAR(R1571),MONTH(R1571),1),"")))</f>
        <v/>
      </c>
      <c r="X1571" s="38" t="n">
        <f aca="false">IF(AND(OR(T1571="Backlog",T1571="Pipeline",T1571="Overdue"),ISNUMBER(W1571)),IF(W1571&lt;=Settings!$B$6,V1571,0),0)</f>
        <v>0</v>
      </c>
      <c r="Y1571" s="38" t="n">
        <f aca="false">IF(AND(OR(T1571="Backlog",T1571="Pipeline",T1571="Overdue"),ISNUMBER(W1571)),IF(W1571&lt;=Settings!$B$6,Q1571,0),0)</f>
        <v>0</v>
      </c>
      <c r="Z1571" s="38" t="n">
        <f aca="false">IF(Y1571=0,0,IF(T1571="Backlog",Q1571,Q1571*Dashboard!$C$10))</f>
        <v>0</v>
      </c>
      <c r="AA1571" s="37" t="n">
        <f aca="false">IF($N1571="",0,IF(COUNTIF(Dashboard!$C$13:$C$22,$N1571)&gt;0,1,0))</f>
        <v>0</v>
      </c>
      <c r="AB1571" s="37" t="str">
        <f aca="false">IF($N1571="","",IF(COUNTIF($N$8:$N1571,$N1571)=1,MAX($AB$7:$AB1570)+1,""))</f>
        <v/>
      </c>
    </row>
    <row r="1572" customFormat="false" ht="15" hidden="false" customHeight="false" outlineLevel="0" collapsed="false">
      <c r="L1572" s="37" t="str">
        <f aca="false">IF(INDEX($A1572:$J1572,$L$6)&lt;&gt;"",TRIM(LEFT(INDEX($A1572:$J1572,$L$6),FIND("(",INDEX($A1572:$J1572,$L$6)&amp;"(")-1)),L1571)</f>
        <v>Building Value Proposition</v>
      </c>
      <c r="M1572" s="37" t="str">
        <f aca="false">IF(INDEX($A1572:$J1572,$M$6)="","",INDEX($A1572:$J1572,$M$6)&amp;"")</f>
        <v/>
      </c>
      <c r="N1572" s="37" t="str">
        <f aca="false">IF($M1572="","",TRIM(INDEX($A1572:$J1572,$N$6)&amp;""))</f>
        <v/>
      </c>
      <c r="O1572" s="37" t="str">
        <f aca="false">IF($M1572="","",TRIM(INDEX($A1572:$J1572,$O$6)&amp;""))</f>
        <v/>
      </c>
      <c r="P1572" s="37" t="str">
        <f aca="false">IF($M1572="","",IFERROR(IF(INDEX(Settings!$B$41:$B$50,MATCH(O1572,Settings!$A$41:$A$50,0))&amp;""="","UNMAPPED",INDEX(Settings!$B$41:$B$50,MATCH(O1572,Settings!$A$41:$A$50,0))&amp;""),"UNMAPPED"))</f>
        <v/>
      </c>
      <c r="Q1572" s="38" t="n">
        <f aca="false">IF($M1572="",0,N(INDEX($A1572:$J1572,$Q$6)))</f>
        <v>0</v>
      </c>
      <c r="R1572" s="39" t="str">
        <f aca="false">IF($M1572="","",INDEX($A1572:$J1572,$R$6))</f>
        <v/>
      </c>
      <c r="S1572" s="37" t="str">
        <f aca="false">IF($M1572="","",IFERROR(INDEX(Settings!$B$27:$B$36,MATCH(L1572,Settings!$A$27:$A$36,0))&amp;"","UNMAPPED"))</f>
        <v/>
      </c>
      <c r="T1572" s="37" t="str">
        <f aca="false">IF($M1572="","",IF(NOT(ISNUMBER(R1572)),"NO DATE",IF(S1572="Won",IF(R1572&gt;Settings!$B$5,"Backlog","Delivered"),IF(S1572="Open",IF(R1572&gt;Settings!$B$5,"Pipeline","Overdue"),IF(S1572="Lost","Lost","UNMAPPED")))))</f>
        <v/>
      </c>
      <c r="U1572" s="40" t="n">
        <f aca="false">IF(T1572="Backlog",1,IF(OR(T1572="Pipeline",T1572="Overdue"),N(INDEX(Settings!$C$27:$C$36,MATCH(L1572,Settings!$A$27:$A$36,0))),0))</f>
        <v>0</v>
      </c>
      <c r="V1572" s="38" t="n">
        <f aca="false">Q1572*U1572</f>
        <v>0</v>
      </c>
      <c r="W1572" s="41" t="str">
        <f aca="false">IF($M1572="","",IF(T1572="Overdue",IF(Settings!$B$8="Yes",Settings!$B$7,""),IF(ISNUMBER(R1572),DATE(YEAR(R1572),MONTH(R1572),1),"")))</f>
        <v/>
      </c>
      <c r="X1572" s="38" t="n">
        <f aca="false">IF(AND(OR(T1572="Backlog",T1572="Pipeline",T1572="Overdue"),ISNUMBER(W1572)),IF(W1572&lt;=Settings!$B$6,V1572,0),0)</f>
        <v>0</v>
      </c>
      <c r="Y1572" s="38" t="n">
        <f aca="false">IF(AND(OR(T1572="Backlog",T1572="Pipeline",T1572="Overdue"),ISNUMBER(W1572)),IF(W1572&lt;=Settings!$B$6,Q1572,0),0)</f>
        <v>0</v>
      </c>
      <c r="Z1572" s="38" t="n">
        <f aca="false">IF(Y1572=0,0,IF(T1572="Backlog",Q1572,Q1572*Dashboard!$C$10))</f>
        <v>0</v>
      </c>
      <c r="AA1572" s="37" t="n">
        <f aca="false">IF($N1572="",0,IF(COUNTIF(Dashboard!$C$13:$C$22,$N1572)&gt;0,1,0))</f>
        <v>0</v>
      </c>
      <c r="AB1572" s="37" t="str">
        <f aca="false">IF($N1572="","",IF(COUNTIF($N$8:$N1572,$N1572)=1,MAX($AB$7:$AB1571)+1,""))</f>
        <v/>
      </c>
    </row>
    <row r="1573" customFormat="false" ht="15" hidden="false" customHeight="false" outlineLevel="0" collapsed="false">
      <c r="L1573" s="37" t="str">
        <f aca="false">IF(INDEX($A1573:$J1573,$L$6)&lt;&gt;"",TRIM(LEFT(INDEX($A1573:$J1573,$L$6),FIND("(",INDEX($A1573:$J1573,$L$6)&amp;"(")-1)),L1572)</f>
        <v>Building Value Proposition</v>
      </c>
      <c r="M1573" s="37" t="str">
        <f aca="false">IF(INDEX($A1573:$J1573,$M$6)="","",INDEX($A1573:$J1573,$M$6)&amp;"")</f>
        <v/>
      </c>
      <c r="N1573" s="37" t="str">
        <f aca="false">IF($M1573="","",TRIM(INDEX($A1573:$J1573,$N$6)&amp;""))</f>
        <v/>
      </c>
      <c r="O1573" s="37" t="str">
        <f aca="false">IF($M1573="","",TRIM(INDEX($A1573:$J1573,$O$6)&amp;""))</f>
        <v/>
      </c>
      <c r="P1573" s="37" t="str">
        <f aca="false">IF($M1573="","",IFERROR(IF(INDEX(Settings!$B$41:$B$50,MATCH(O1573,Settings!$A$41:$A$50,0))&amp;""="","UNMAPPED",INDEX(Settings!$B$41:$B$50,MATCH(O1573,Settings!$A$41:$A$50,0))&amp;""),"UNMAPPED"))</f>
        <v/>
      </c>
      <c r="Q1573" s="38" t="n">
        <f aca="false">IF($M1573="",0,N(INDEX($A1573:$J1573,$Q$6)))</f>
        <v>0</v>
      </c>
      <c r="R1573" s="39" t="str">
        <f aca="false">IF($M1573="","",INDEX($A1573:$J1573,$R$6))</f>
        <v/>
      </c>
      <c r="S1573" s="37" t="str">
        <f aca="false">IF($M1573="","",IFERROR(INDEX(Settings!$B$27:$B$36,MATCH(L1573,Settings!$A$27:$A$36,0))&amp;"","UNMAPPED"))</f>
        <v/>
      </c>
      <c r="T1573" s="37" t="str">
        <f aca="false">IF($M1573="","",IF(NOT(ISNUMBER(R1573)),"NO DATE",IF(S1573="Won",IF(R1573&gt;Settings!$B$5,"Backlog","Delivered"),IF(S1573="Open",IF(R1573&gt;Settings!$B$5,"Pipeline","Overdue"),IF(S1573="Lost","Lost","UNMAPPED")))))</f>
        <v/>
      </c>
      <c r="U1573" s="40" t="n">
        <f aca="false">IF(T1573="Backlog",1,IF(OR(T1573="Pipeline",T1573="Overdue"),N(INDEX(Settings!$C$27:$C$36,MATCH(L1573,Settings!$A$27:$A$36,0))),0))</f>
        <v>0</v>
      </c>
      <c r="V1573" s="38" t="n">
        <f aca="false">Q1573*U1573</f>
        <v>0</v>
      </c>
      <c r="W1573" s="41" t="str">
        <f aca="false">IF($M1573="","",IF(T1573="Overdue",IF(Settings!$B$8="Yes",Settings!$B$7,""),IF(ISNUMBER(R1573),DATE(YEAR(R1573),MONTH(R1573),1),"")))</f>
        <v/>
      </c>
      <c r="X1573" s="38" t="n">
        <f aca="false">IF(AND(OR(T1573="Backlog",T1573="Pipeline",T1573="Overdue"),ISNUMBER(W1573)),IF(W1573&lt;=Settings!$B$6,V1573,0),0)</f>
        <v>0</v>
      </c>
      <c r="Y1573" s="38" t="n">
        <f aca="false">IF(AND(OR(T1573="Backlog",T1573="Pipeline",T1573="Overdue"),ISNUMBER(W1573)),IF(W1573&lt;=Settings!$B$6,Q1573,0),0)</f>
        <v>0</v>
      </c>
      <c r="Z1573" s="38" t="n">
        <f aca="false">IF(Y1573=0,0,IF(T1573="Backlog",Q1573,Q1573*Dashboard!$C$10))</f>
        <v>0</v>
      </c>
      <c r="AA1573" s="37" t="n">
        <f aca="false">IF($N1573="",0,IF(COUNTIF(Dashboard!$C$13:$C$22,$N1573)&gt;0,1,0))</f>
        <v>0</v>
      </c>
      <c r="AB1573" s="37" t="str">
        <f aca="false">IF($N1573="","",IF(COUNTIF($N$8:$N1573,$N1573)=1,MAX($AB$7:$AB1572)+1,""))</f>
        <v/>
      </c>
    </row>
    <row r="1574" customFormat="false" ht="15" hidden="false" customHeight="false" outlineLevel="0" collapsed="false">
      <c r="L1574" s="37" t="str">
        <f aca="false">IF(INDEX($A1574:$J1574,$L$6)&lt;&gt;"",TRIM(LEFT(INDEX($A1574:$J1574,$L$6),FIND("(",INDEX($A1574:$J1574,$L$6)&amp;"(")-1)),L1573)</f>
        <v>Building Value Proposition</v>
      </c>
      <c r="M1574" s="37" t="str">
        <f aca="false">IF(INDEX($A1574:$J1574,$M$6)="","",INDEX($A1574:$J1574,$M$6)&amp;"")</f>
        <v/>
      </c>
      <c r="N1574" s="37" t="str">
        <f aca="false">IF($M1574="","",TRIM(INDEX($A1574:$J1574,$N$6)&amp;""))</f>
        <v/>
      </c>
      <c r="O1574" s="37" t="str">
        <f aca="false">IF($M1574="","",TRIM(INDEX($A1574:$J1574,$O$6)&amp;""))</f>
        <v/>
      </c>
      <c r="P1574" s="37" t="str">
        <f aca="false">IF($M1574="","",IFERROR(IF(INDEX(Settings!$B$41:$B$50,MATCH(O1574,Settings!$A$41:$A$50,0))&amp;""="","UNMAPPED",INDEX(Settings!$B$41:$B$50,MATCH(O1574,Settings!$A$41:$A$50,0))&amp;""),"UNMAPPED"))</f>
        <v/>
      </c>
      <c r="Q1574" s="38" t="n">
        <f aca="false">IF($M1574="",0,N(INDEX($A1574:$J1574,$Q$6)))</f>
        <v>0</v>
      </c>
      <c r="R1574" s="39" t="str">
        <f aca="false">IF($M1574="","",INDEX($A1574:$J1574,$R$6))</f>
        <v/>
      </c>
      <c r="S1574" s="37" t="str">
        <f aca="false">IF($M1574="","",IFERROR(INDEX(Settings!$B$27:$B$36,MATCH(L1574,Settings!$A$27:$A$36,0))&amp;"","UNMAPPED"))</f>
        <v/>
      </c>
      <c r="T1574" s="37" t="str">
        <f aca="false">IF($M1574="","",IF(NOT(ISNUMBER(R1574)),"NO DATE",IF(S1574="Won",IF(R1574&gt;Settings!$B$5,"Backlog","Delivered"),IF(S1574="Open",IF(R1574&gt;Settings!$B$5,"Pipeline","Overdue"),IF(S1574="Lost","Lost","UNMAPPED")))))</f>
        <v/>
      </c>
      <c r="U1574" s="40" t="n">
        <f aca="false">IF(T1574="Backlog",1,IF(OR(T1574="Pipeline",T1574="Overdue"),N(INDEX(Settings!$C$27:$C$36,MATCH(L1574,Settings!$A$27:$A$36,0))),0))</f>
        <v>0</v>
      </c>
      <c r="V1574" s="38" t="n">
        <f aca="false">Q1574*U1574</f>
        <v>0</v>
      </c>
      <c r="W1574" s="41" t="str">
        <f aca="false">IF($M1574="","",IF(T1574="Overdue",IF(Settings!$B$8="Yes",Settings!$B$7,""),IF(ISNUMBER(R1574),DATE(YEAR(R1574),MONTH(R1574),1),"")))</f>
        <v/>
      </c>
      <c r="X1574" s="38" t="n">
        <f aca="false">IF(AND(OR(T1574="Backlog",T1574="Pipeline",T1574="Overdue"),ISNUMBER(W1574)),IF(W1574&lt;=Settings!$B$6,V1574,0),0)</f>
        <v>0</v>
      </c>
      <c r="Y1574" s="38" t="n">
        <f aca="false">IF(AND(OR(T1574="Backlog",T1574="Pipeline",T1574="Overdue"),ISNUMBER(W1574)),IF(W1574&lt;=Settings!$B$6,Q1574,0),0)</f>
        <v>0</v>
      </c>
      <c r="Z1574" s="38" t="n">
        <f aca="false">IF(Y1574=0,0,IF(T1574="Backlog",Q1574,Q1574*Dashboard!$C$10))</f>
        <v>0</v>
      </c>
      <c r="AA1574" s="37" t="n">
        <f aca="false">IF($N1574="",0,IF(COUNTIF(Dashboard!$C$13:$C$22,$N1574)&gt;0,1,0))</f>
        <v>0</v>
      </c>
      <c r="AB1574" s="37" t="str">
        <f aca="false">IF($N1574="","",IF(COUNTIF($N$8:$N1574,$N1574)=1,MAX($AB$7:$AB1573)+1,""))</f>
        <v/>
      </c>
    </row>
    <row r="1575" customFormat="false" ht="15" hidden="false" customHeight="false" outlineLevel="0" collapsed="false">
      <c r="L1575" s="37" t="str">
        <f aca="false">IF(INDEX($A1575:$J1575,$L$6)&lt;&gt;"",TRIM(LEFT(INDEX($A1575:$J1575,$L$6),FIND("(",INDEX($A1575:$J1575,$L$6)&amp;"(")-1)),L1574)</f>
        <v>Building Value Proposition</v>
      </c>
      <c r="M1575" s="37" t="str">
        <f aca="false">IF(INDEX($A1575:$J1575,$M$6)="","",INDEX($A1575:$J1575,$M$6)&amp;"")</f>
        <v/>
      </c>
      <c r="N1575" s="37" t="str">
        <f aca="false">IF($M1575="","",TRIM(INDEX($A1575:$J1575,$N$6)&amp;""))</f>
        <v/>
      </c>
      <c r="O1575" s="37" t="str">
        <f aca="false">IF($M1575="","",TRIM(INDEX($A1575:$J1575,$O$6)&amp;""))</f>
        <v/>
      </c>
      <c r="P1575" s="37" t="str">
        <f aca="false">IF($M1575="","",IFERROR(IF(INDEX(Settings!$B$41:$B$50,MATCH(O1575,Settings!$A$41:$A$50,0))&amp;""="","UNMAPPED",INDEX(Settings!$B$41:$B$50,MATCH(O1575,Settings!$A$41:$A$50,0))&amp;""),"UNMAPPED"))</f>
        <v/>
      </c>
      <c r="Q1575" s="38" t="n">
        <f aca="false">IF($M1575="",0,N(INDEX($A1575:$J1575,$Q$6)))</f>
        <v>0</v>
      </c>
      <c r="R1575" s="39" t="str">
        <f aca="false">IF($M1575="","",INDEX($A1575:$J1575,$R$6))</f>
        <v/>
      </c>
      <c r="S1575" s="37" t="str">
        <f aca="false">IF($M1575="","",IFERROR(INDEX(Settings!$B$27:$B$36,MATCH(L1575,Settings!$A$27:$A$36,0))&amp;"","UNMAPPED"))</f>
        <v/>
      </c>
      <c r="T1575" s="37" t="str">
        <f aca="false">IF($M1575="","",IF(NOT(ISNUMBER(R1575)),"NO DATE",IF(S1575="Won",IF(R1575&gt;Settings!$B$5,"Backlog","Delivered"),IF(S1575="Open",IF(R1575&gt;Settings!$B$5,"Pipeline","Overdue"),IF(S1575="Lost","Lost","UNMAPPED")))))</f>
        <v/>
      </c>
      <c r="U1575" s="40" t="n">
        <f aca="false">IF(T1575="Backlog",1,IF(OR(T1575="Pipeline",T1575="Overdue"),N(INDEX(Settings!$C$27:$C$36,MATCH(L1575,Settings!$A$27:$A$36,0))),0))</f>
        <v>0</v>
      </c>
      <c r="V1575" s="38" t="n">
        <f aca="false">Q1575*U1575</f>
        <v>0</v>
      </c>
      <c r="W1575" s="41" t="str">
        <f aca="false">IF($M1575="","",IF(T1575="Overdue",IF(Settings!$B$8="Yes",Settings!$B$7,""),IF(ISNUMBER(R1575),DATE(YEAR(R1575),MONTH(R1575),1),"")))</f>
        <v/>
      </c>
      <c r="X1575" s="38" t="n">
        <f aca="false">IF(AND(OR(T1575="Backlog",T1575="Pipeline",T1575="Overdue"),ISNUMBER(W1575)),IF(W1575&lt;=Settings!$B$6,V1575,0),0)</f>
        <v>0</v>
      </c>
      <c r="Y1575" s="38" t="n">
        <f aca="false">IF(AND(OR(T1575="Backlog",T1575="Pipeline",T1575="Overdue"),ISNUMBER(W1575)),IF(W1575&lt;=Settings!$B$6,Q1575,0),0)</f>
        <v>0</v>
      </c>
      <c r="Z1575" s="38" t="n">
        <f aca="false">IF(Y1575=0,0,IF(T1575="Backlog",Q1575,Q1575*Dashboard!$C$10))</f>
        <v>0</v>
      </c>
      <c r="AA1575" s="37" t="n">
        <f aca="false">IF($N1575="",0,IF(COUNTIF(Dashboard!$C$13:$C$22,$N1575)&gt;0,1,0))</f>
        <v>0</v>
      </c>
      <c r="AB1575" s="37" t="str">
        <f aca="false">IF($N1575="","",IF(COUNTIF($N$8:$N1575,$N1575)=1,MAX($AB$7:$AB1574)+1,""))</f>
        <v/>
      </c>
    </row>
    <row r="1576" customFormat="false" ht="15" hidden="false" customHeight="false" outlineLevel="0" collapsed="false">
      <c r="L1576" s="37" t="str">
        <f aca="false">IF(INDEX($A1576:$J1576,$L$6)&lt;&gt;"",TRIM(LEFT(INDEX($A1576:$J1576,$L$6),FIND("(",INDEX($A1576:$J1576,$L$6)&amp;"(")-1)),L1575)</f>
        <v>Building Value Proposition</v>
      </c>
      <c r="M1576" s="37" t="str">
        <f aca="false">IF(INDEX($A1576:$J1576,$M$6)="","",INDEX($A1576:$J1576,$M$6)&amp;"")</f>
        <v/>
      </c>
      <c r="N1576" s="37" t="str">
        <f aca="false">IF($M1576="","",TRIM(INDEX($A1576:$J1576,$N$6)&amp;""))</f>
        <v/>
      </c>
      <c r="O1576" s="37" t="str">
        <f aca="false">IF($M1576="","",TRIM(INDEX($A1576:$J1576,$O$6)&amp;""))</f>
        <v/>
      </c>
      <c r="P1576" s="37" t="str">
        <f aca="false">IF($M1576="","",IFERROR(IF(INDEX(Settings!$B$41:$B$50,MATCH(O1576,Settings!$A$41:$A$50,0))&amp;""="","UNMAPPED",INDEX(Settings!$B$41:$B$50,MATCH(O1576,Settings!$A$41:$A$50,0))&amp;""),"UNMAPPED"))</f>
        <v/>
      </c>
      <c r="Q1576" s="38" t="n">
        <f aca="false">IF($M1576="",0,N(INDEX($A1576:$J1576,$Q$6)))</f>
        <v>0</v>
      </c>
      <c r="R1576" s="39" t="str">
        <f aca="false">IF($M1576="","",INDEX($A1576:$J1576,$R$6))</f>
        <v/>
      </c>
      <c r="S1576" s="37" t="str">
        <f aca="false">IF($M1576="","",IFERROR(INDEX(Settings!$B$27:$B$36,MATCH(L1576,Settings!$A$27:$A$36,0))&amp;"","UNMAPPED"))</f>
        <v/>
      </c>
      <c r="T1576" s="37" t="str">
        <f aca="false">IF($M1576="","",IF(NOT(ISNUMBER(R1576)),"NO DATE",IF(S1576="Won",IF(R1576&gt;Settings!$B$5,"Backlog","Delivered"),IF(S1576="Open",IF(R1576&gt;Settings!$B$5,"Pipeline","Overdue"),IF(S1576="Lost","Lost","UNMAPPED")))))</f>
        <v/>
      </c>
      <c r="U1576" s="40" t="n">
        <f aca="false">IF(T1576="Backlog",1,IF(OR(T1576="Pipeline",T1576="Overdue"),N(INDEX(Settings!$C$27:$C$36,MATCH(L1576,Settings!$A$27:$A$36,0))),0))</f>
        <v>0</v>
      </c>
      <c r="V1576" s="38" t="n">
        <f aca="false">Q1576*U1576</f>
        <v>0</v>
      </c>
      <c r="W1576" s="41" t="str">
        <f aca="false">IF($M1576="","",IF(T1576="Overdue",IF(Settings!$B$8="Yes",Settings!$B$7,""),IF(ISNUMBER(R1576),DATE(YEAR(R1576),MONTH(R1576),1),"")))</f>
        <v/>
      </c>
      <c r="X1576" s="38" t="n">
        <f aca="false">IF(AND(OR(T1576="Backlog",T1576="Pipeline",T1576="Overdue"),ISNUMBER(W1576)),IF(W1576&lt;=Settings!$B$6,V1576,0),0)</f>
        <v>0</v>
      </c>
      <c r="Y1576" s="38" t="n">
        <f aca="false">IF(AND(OR(T1576="Backlog",T1576="Pipeline",T1576="Overdue"),ISNUMBER(W1576)),IF(W1576&lt;=Settings!$B$6,Q1576,0),0)</f>
        <v>0</v>
      </c>
      <c r="Z1576" s="38" t="n">
        <f aca="false">IF(Y1576=0,0,IF(T1576="Backlog",Q1576,Q1576*Dashboard!$C$10))</f>
        <v>0</v>
      </c>
      <c r="AA1576" s="37" t="n">
        <f aca="false">IF($N1576="",0,IF(COUNTIF(Dashboard!$C$13:$C$22,$N1576)&gt;0,1,0))</f>
        <v>0</v>
      </c>
      <c r="AB1576" s="37" t="str">
        <f aca="false">IF($N1576="","",IF(COUNTIF($N$8:$N1576,$N1576)=1,MAX($AB$7:$AB1575)+1,""))</f>
        <v/>
      </c>
    </row>
    <row r="1577" customFormat="false" ht="15" hidden="false" customHeight="false" outlineLevel="0" collapsed="false">
      <c r="L1577" s="37" t="str">
        <f aca="false">IF(INDEX($A1577:$J1577,$L$6)&lt;&gt;"",TRIM(LEFT(INDEX($A1577:$J1577,$L$6),FIND("(",INDEX($A1577:$J1577,$L$6)&amp;"(")-1)),L1576)</f>
        <v>Building Value Proposition</v>
      </c>
      <c r="M1577" s="37" t="str">
        <f aca="false">IF(INDEX($A1577:$J1577,$M$6)="","",INDEX($A1577:$J1577,$M$6)&amp;"")</f>
        <v/>
      </c>
      <c r="N1577" s="37" t="str">
        <f aca="false">IF($M1577="","",TRIM(INDEX($A1577:$J1577,$N$6)&amp;""))</f>
        <v/>
      </c>
      <c r="O1577" s="37" t="str">
        <f aca="false">IF($M1577="","",TRIM(INDEX($A1577:$J1577,$O$6)&amp;""))</f>
        <v/>
      </c>
      <c r="P1577" s="37" t="str">
        <f aca="false">IF($M1577="","",IFERROR(IF(INDEX(Settings!$B$41:$B$50,MATCH(O1577,Settings!$A$41:$A$50,0))&amp;""="","UNMAPPED",INDEX(Settings!$B$41:$B$50,MATCH(O1577,Settings!$A$41:$A$50,0))&amp;""),"UNMAPPED"))</f>
        <v/>
      </c>
      <c r="Q1577" s="38" t="n">
        <f aca="false">IF($M1577="",0,N(INDEX($A1577:$J1577,$Q$6)))</f>
        <v>0</v>
      </c>
      <c r="R1577" s="39" t="str">
        <f aca="false">IF($M1577="","",INDEX($A1577:$J1577,$R$6))</f>
        <v/>
      </c>
      <c r="S1577" s="37" t="str">
        <f aca="false">IF($M1577="","",IFERROR(INDEX(Settings!$B$27:$B$36,MATCH(L1577,Settings!$A$27:$A$36,0))&amp;"","UNMAPPED"))</f>
        <v/>
      </c>
      <c r="T1577" s="37" t="str">
        <f aca="false">IF($M1577="","",IF(NOT(ISNUMBER(R1577)),"NO DATE",IF(S1577="Won",IF(R1577&gt;Settings!$B$5,"Backlog","Delivered"),IF(S1577="Open",IF(R1577&gt;Settings!$B$5,"Pipeline","Overdue"),IF(S1577="Lost","Lost","UNMAPPED")))))</f>
        <v/>
      </c>
      <c r="U1577" s="40" t="n">
        <f aca="false">IF(T1577="Backlog",1,IF(OR(T1577="Pipeline",T1577="Overdue"),N(INDEX(Settings!$C$27:$C$36,MATCH(L1577,Settings!$A$27:$A$36,0))),0))</f>
        <v>0</v>
      </c>
      <c r="V1577" s="38" t="n">
        <f aca="false">Q1577*U1577</f>
        <v>0</v>
      </c>
      <c r="W1577" s="41" t="str">
        <f aca="false">IF($M1577="","",IF(T1577="Overdue",IF(Settings!$B$8="Yes",Settings!$B$7,""),IF(ISNUMBER(R1577),DATE(YEAR(R1577),MONTH(R1577),1),"")))</f>
        <v/>
      </c>
      <c r="X1577" s="38" t="n">
        <f aca="false">IF(AND(OR(T1577="Backlog",T1577="Pipeline",T1577="Overdue"),ISNUMBER(W1577)),IF(W1577&lt;=Settings!$B$6,V1577,0),0)</f>
        <v>0</v>
      </c>
      <c r="Y1577" s="38" t="n">
        <f aca="false">IF(AND(OR(T1577="Backlog",T1577="Pipeline",T1577="Overdue"),ISNUMBER(W1577)),IF(W1577&lt;=Settings!$B$6,Q1577,0),0)</f>
        <v>0</v>
      </c>
      <c r="Z1577" s="38" t="n">
        <f aca="false">IF(Y1577=0,0,IF(T1577="Backlog",Q1577,Q1577*Dashboard!$C$10))</f>
        <v>0</v>
      </c>
      <c r="AA1577" s="37" t="n">
        <f aca="false">IF($N1577="",0,IF(COUNTIF(Dashboard!$C$13:$C$22,$N1577)&gt;0,1,0))</f>
        <v>0</v>
      </c>
      <c r="AB1577" s="37" t="str">
        <f aca="false">IF($N1577="","",IF(COUNTIF($N$8:$N1577,$N1577)=1,MAX($AB$7:$AB1576)+1,""))</f>
        <v/>
      </c>
    </row>
    <row r="1578" customFormat="false" ht="15" hidden="false" customHeight="false" outlineLevel="0" collapsed="false">
      <c r="L1578" s="37" t="str">
        <f aca="false">IF(INDEX($A1578:$J1578,$L$6)&lt;&gt;"",TRIM(LEFT(INDEX($A1578:$J1578,$L$6),FIND("(",INDEX($A1578:$J1578,$L$6)&amp;"(")-1)),L1577)</f>
        <v>Building Value Proposition</v>
      </c>
      <c r="M1578" s="37" t="str">
        <f aca="false">IF(INDEX($A1578:$J1578,$M$6)="","",INDEX($A1578:$J1578,$M$6)&amp;"")</f>
        <v/>
      </c>
      <c r="N1578" s="37" t="str">
        <f aca="false">IF($M1578="","",TRIM(INDEX($A1578:$J1578,$N$6)&amp;""))</f>
        <v/>
      </c>
      <c r="O1578" s="37" t="str">
        <f aca="false">IF($M1578="","",TRIM(INDEX($A1578:$J1578,$O$6)&amp;""))</f>
        <v/>
      </c>
      <c r="P1578" s="37" t="str">
        <f aca="false">IF($M1578="","",IFERROR(IF(INDEX(Settings!$B$41:$B$50,MATCH(O1578,Settings!$A$41:$A$50,0))&amp;""="","UNMAPPED",INDEX(Settings!$B$41:$B$50,MATCH(O1578,Settings!$A$41:$A$50,0))&amp;""),"UNMAPPED"))</f>
        <v/>
      </c>
      <c r="Q1578" s="38" t="n">
        <f aca="false">IF($M1578="",0,N(INDEX($A1578:$J1578,$Q$6)))</f>
        <v>0</v>
      </c>
      <c r="R1578" s="39" t="str">
        <f aca="false">IF($M1578="","",INDEX($A1578:$J1578,$R$6))</f>
        <v/>
      </c>
      <c r="S1578" s="37" t="str">
        <f aca="false">IF($M1578="","",IFERROR(INDEX(Settings!$B$27:$B$36,MATCH(L1578,Settings!$A$27:$A$36,0))&amp;"","UNMAPPED"))</f>
        <v/>
      </c>
      <c r="T1578" s="37" t="str">
        <f aca="false">IF($M1578="","",IF(NOT(ISNUMBER(R1578)),"NO DATE",IF(S1578="Won",IF(R1578&gt;Settings!$B$5,"Backlog","Delivered"),IF(S1578="Open",IF(R1578&gt;Settings!$B$5,"Pipeline","Overdue"),IF(S1578="Lost","Lost","UNMAPPED")))))</f>
        <v/>
      </c>
      <c r="U1578" s="40" t="n">
        <f aca="false">IF(T1578="Backlog",1,IF(OR(T1578="Pipeline",T1578="Overdue"),N(INDEX(Settings!$C$27:$C$36,MATCH(L1578,Settings!$A$27:$A$36,0))),0))</f>
        <v>0</v>
      </c>
      <c r="V1578" s="38" t="n">
        <f aca="false">Q1578*U1578</f>
        <v>0</v>
      </c>
      <c r="W1578" s="41" t="str">
        <f aca="false">IF($M1578="","",IF(T1578="Overdue",IF(Settings!$B$8="Yes",Settings!$B$7,""),IF(ISNUMBER(R1578),DATE(YEAR(R1578),MONTH(R1578),1),"")))</f>
        <v/>
      </c>
      <c r="X1578" s="38" t="n">
        <f aca="false">IF(AND(OR(T1578="Backlog",T1578="Pipeline",T1578="Overdue"),ISNUMBER(W1578)),IF(W1578&lt;=Settings!$B$6,V1578,0),0)</f>
        <v>0</v>
      </c>
      <c r="Y1578" s="38" t="n">
        <f aca="false">IF(AND(OR(T1578="Backlog",T1578="Pipeline",T1578="Overdue"),ISNUMBER(W1578)),IF(W1578&lt;=Settings!$B$6,Q1578,0),0)</f>
        <v>0</v>
      </c>
      <c r="Z1578" s="38" t="n">
        <f aca="false">IF(Y1578=0,0,IF(T1578="Backlog",Q1578,Q1578*Dashboard!$C$10))</f>
        <v>0</v>
      </c>
      <c r="AA1578" s="37" t="n">
        <f aca="false">IF($N1578="",0,IF(COUNTIF(Dashboard!$C$13:$C$22,$N1578)&gt;0,1,0))</f>
        <v>0</v>
      </c>
      <c r="AB1578" s="37" t="str">
        <f aca="false">IF($N1578="","",IF(COUNTIF($N$8:$N1578,$N1578)=1,MAX($AB$7:$AB1577)+1,""))</f>
        <v/>
      </c>
    </row>
    <row r="1579" customFormat="false" ht="15" hidden="false" customHeight="false" outlineLevel="0" collapsed="false">
      <c r="L1579" s="37" t="str">
        <f aca="false">IF(INDEX($A1579:$J1579,$L$6)&lt;&gt;"",TRIM(LEFT(INDEX($A1579:$J1579,$L$6),FIND("(",INDEX($A1579:$J1579,$L$6)&amp;"(")-1)),L1578)</f>
        <v>Building Value Proposition</v>
      </c>
      <c r="M1579" s="37" t="str">
        <f aca="false">IF(INDEX($A1579:$J1579,$M$6)="","",INDEX($A1579:$J1579,$M$6)&amp;"")</f>
        <v/>
      </c>
      <c r="N1579" s="37" t="str">
        <f aca="false">IF($M1579="","",TRIM(INDEX($A1579:$J1579,$N$6)&amp;""))</f>
        <v/>
      </c>
      <c r="O1579" s="37" t="str">
        <f aca="false">IF($M1579="","",TRIM(INDEX($A1579:$J1579,$O$6)&amp;""))</f>
        <v/>
      </c>
      <c r="P1579" s="37" t="str">
        <f aca="false">IF($M1579="","",IFERROR(IF(INDEX(Settings!$B$41:$B$50,MATCH(O1579,Settings!$A$41:$A$50,0))&amp;""="","UNMAPPED",INDEX(Settings!$B$41:$B$50,MATCH(O1579,Settings!$A$41:$A$50,0))&amp;""),"UNMAPPED"))</f>
        <v/>
      </c>
      <c r="Q1579" s="38" t="n">
        <f aca="false">IF($M1579="",0,N(INDEX($A1579:$J1579,$Q$6)))</f>
        <v>0</v>
      </c>
      <c r="R1579" s="39" t="str">
        <f aca="false">IF($M1579="","",INDEX($A1579:$J1579,$R$6))</f>
        <v/>
      </c>
      <c r="S1579" s="37" t="str">
        <f aca="false">IF($M1579="","",IFERROR(INDEX(Settings!$B$27:$B$36,MATCH(L1579,Settings!$A$27:$A$36,0))&amp;"","UNMAPPED"))</f>
        <v/>
      </c>
      <c r="T1579" s="37" t="str">
        <f aca="false">IF($M1579="","",IF(NOT(ISNUMBER(R1579)),"NO DATE",IF(S1579="Won",IF(R1579&gt;Settings!$B$5,"Backlog","Delivered"),IF(S1579="Open",IF(R1579&gt;Settings!$B$5,"Pipeline","Overdue"),IF(S1579="Lost","Lost","UNMAPPED")))))</f>
        <v/>
      </c>
      <c r="U1579" s="40" t="n">
        <f aca="false">IF(T1579="Backlog",1,IF(OR(T1579="Pipeline",T1579="Overdue"),N(INDEX(Settings!$C$27:$C$36,MATCH(L1579,Settings!$A$27:$A$36,0))),0))</f>
        <v>0</v>
      </c>
      <c r="V1579" s="38" t="n">
        <f aca="false">Q1579*U1579</f>
        <v>0</v>
      </c>
      <c r="W1579" s="41" t="str">
        <f aca="false">IF($M1579="","",IF(T1579="Overdue",IF(Settings!$B$8="Yes",Settings!$B$7,""),IF(ISNUMBER(R1579),DATE(YEAR(R1579),MONTH(R1579),1),"")))</f>
        <v/>
      </c>
      <c r="X1579" s="38" t="n">
        <f aca="false">IF(AND(OR(T1579="Backlog",T1579="Pipeline",T1579="Overdue"),ISNUMBER(W1579)),IF(W1579&lt;=Settings!$B$6,V1579,0),0)</f>
        <v>0</v>
      </c>
      <c r="Y1579" s="38" t="n">
        <f aca="false">IF(AND(OR(T1579="Backlog",T1579="Pipeline",T1579="Overdue"),ISNUMBER(W1579)),IF(W1579&lt;=Settings!$B$6,Q1579,0),0)</f>
        <v>0</v>
      </c>
      <c r="Z1579" s="38" t="n">
        <f aca="false">IF(Y1579=0,0,IF(T1579="Backlog",Q1579,Q1579*Dashboard!$C$10))</f>
        <v>0</v>
      </c>
      <c r="AA1579" s="37" t="n">
        <f aca="false">IF($N1579="",0,IF(COUNTIF(Dashboard!$C$13:$C$22,$N1579)&gt;0,1,0))</f>
        <v>0</v>
      </c>
      <c r="AB1579" s="37" t="str">
        <f aca="false">IF($N1579="","",IF(COUNTIF($N$8:$N1579,$N1579)=1,MAX($AB$7:$AB1578)+1,""))</f>
        <v/>
      </c>
    </row>
    <row r="1580" customFormat="false" ht="15" hidden="false" customHeight="false" outlineLevel="0" collapsed="false">
      <c r="L1580" s="37" t="str">
        <f aca="false">IF(INDEX($A1580:$J1580,$L$6)&lt;&gt;"",TRIM(LEFT(INDEX($A1580:$J1580,$L$6),FIND("(",INDEX($A1580:$J1580,$L$6)&amp;"(")-1)),L1579)</f>
        <v>Building Value Proposition</v>
      </c>
      <c r="M1580" s="37" t="str">
        <f aca="false">IF(INDEX($A1580:$J1580,$M$6)="","",INDEX($A1580:$J1580,$M$6)&amp;"")</f>
        <v/>
      </c>
      <c r="N1580" s="37" t="str">
        <f aca="false">IF($M1580="","",TRIM(INDEX($A1580:$J1580,$N$6)&amp;""))</f>
        <v/>
      </c>
      <c r="O1580" s="37" t="str">
        <f aca="false">IF($M1580="","",TRIM(INDEX($A1580:$J1580,$O$6)&amp;""))</f>
        <v/>
      </c>
      <c r="P1580" s="37" t="str">
        <f aca="false">IF($M1580="","",IFERROR(IF(INDEX(Settings!$B$41:$B$50,MATCH(O1580,Settings!$A$41:$A$50,0))&amp;""="","UNMAPPED",INDEX(Settings!$B$41:$B$50,MATCH(O1580,Settings!$A$41:$A$50,0))&amp;""),"UNMAPPED"))</f>
        <v/>
      </c>
      <c r="Q1580" s="38" t="n">
        <f aca="false">IF($M1580="",0,N(INDEX($A1580:$J1580,$Q$6)))</f>
        <v>0</v>
      </c>
      <c r="R1580" s="39" t="str">
        <f aca="false">IF($M1580="","",INDEX($A1580:$J1580,$R$6))</f>
        <v/>
      </c>
      <c r="S1580" s="37" t="str">
        <f aca="false">IF($M1580="","",IFERROR(INDEX(Settings!$B$27:$B$36,MATCH(L1580,Settings!$A$27:$A$36,0))&amp;"","UNMAPPED"))</f>
        <v/>
      </c>
      <c r="T1580" s="37" t="str">
        <f aca="false">IF($M1580="","",IF(NOT(ISNUMBER(R1580)),"NO DATE",IF(S1580="Won",IF(R1580&gt;Settings!$B$5,"Backlog","Delivered"),IF(S1580="Open",IF(R1580&gt;Settings!$B$5,"Pipeline","Overdue"),IF(S1580="Lost","Lost","UNMAPPED")))))</f>
        <v/>
      </c>
      <c r="U1580" s="40" t="n">
        <f aca="false">IF(T1580="Backlog",1,IF(OR(T1580="Pipeline",T1580="Overdue"),N(INDEX(Settings!$C$27:$C$36,MATCH(L1580,Settings!$A$27:$A$36,0))),0))</f>
        <v>0</v>
      </c>
      <c r="V1580" s="38" t="n">
        <f aca="false">Q1580*U1580</f>
        <v>0</v>
      </c>
      <c r="W1580" s="41" t="str">
        <f aca="false">IF($M1580="","",IF(T1580="Overdue",IF(Settings!$B$8="Yes",Settings!$B$7,""),IF(ISNUMBER(R1580),DATE(YEAR(R1580),MONTH(R1580),1),"")))</f>
        <v/>
      </c>
      <c r="X1580" s="38" t="n">
        <f aca="false">IF(AND(OR(T1580="Backlog",T1580="Pipeline",T1580="Overdue"),ISNUMBER(W1580)),IF(W1580&lt;=Settings!$B$6,V1580,0),0)</f>
        <v>0</v>
      </c>
      <c r="Y1580" s="38" t="n">
        <f aca="false">IF(AND(OR(T1580="Backlog",T1580="Pipeline",T1580="Overdue"),ISNUMBER(W1580)),IF(W1580&lt;=Settings!$B$6,Q1580,0),0)</f>
        <v>0</v>
      </c>
      <c r="Z1580" s="38" t="n">
        <f aca="false">IF(Y1580=0,0,IF(T1580="Backlog",Q1580,Q1580*Dashboard!$C$10))</f>
        <v>0</v>
      </c>
      <c r="AA1580" s="37" t="n">
        <f aca="false">IF($N1580="",0,IF(COUNTIF(Dashboard!$C$13:$C$22,$N1580)&gt;0,1,0))</f>
        <v>0</v>
      </c>
      <c r="AB1580" s="37" t="str">
        <f aca="false">IF($N1580="","",IF(COUNTIF($N$8:$N1580,$N1580)=1,MAX($AB$7:$AB1579)+1,""))</f>
        <v/>
      </c>
    </row>
    <row r="1581" customFormat="false" ht="15" hidden="false" customHeight="false" outlineLevel="0" collapsed="false">
      <c r="L1581" s="37" t="str">
        <f aca="false">IF(INDEX($A1581:$J1581,$L$6)&lt;&gt;"",TRIM(LEFT(INDEX($A1581:$J1581,$L$6),FIND("(",INDEX($A1581:$J1581,$L$6)&amp;"(")-1)),L1580)</f>
        <v>Building Value Proposition</v>
      </c>
      <c r="M1581" s="37" t="str">
        <f aca="false">IF(INDEX($A1581:$J1581,$M$6)="","",INDEX($A1581:$J1581,$M$6)&amp;"")</f>
        <v/>
      </c>
      <c r="N1581" s="37" t="str">
        <f aca="false">IF($M1581="","",TRIM(INDEX($A1581:$J1581,$N$6)&amp;""))</f>
        <v/>
      </c>
      <c r="O1581" s="37" t="str">
        <f aca="false">IF($M1581="","",TRIM(INDEX($A1581:$J1581,$O$6)&amp;""))</f>
        <v/>
      </c>
      <c r="P1581" s="37" t="str">
        <f aca="false">IF($M1581="","",IFERROR(IF(INDEX(Settings!$B$41:$B$50,MATCH(O1581,Settings!$A$41:$A$50,0))&amp;""="","UNMAPPED",INDEX(Settings!$B$41:$B$50,MATCH(O1581,Settings!$A$41:$A$50,0))&amp;""),"UNMAPPED"))</f>
        <v/>
      </c>
      <c r="Q1581" s="38" t="n">
        <f aca="false">IF($M1581="",0,N(INDEX($A1581:$J1581,$Q$6)))</f>
        <v>0</v>
      </c>
      <c r="R1581" s="39" t="str">
        <f aca="false">IF($M1581="","",INDEX($A1581:$J1581,$R$6))</f>
        <v/>
      </c>
      <c r="S1581" s="37" t="str">
        <f aca="false">IF($M1581="","",IFERROR(INDEX(Settings!$B$27:$B$36,MATCH(L1581,Settings!$A$27:$A$36,0))&amp;"","UNMAPPED"))</f>
        <v/>
      </c>
      <c r="T1581" s="37" t="str">
        <f aca="false">IF($M1581="","",IF(NOT(ISNUMBER(R1581)),"NO DATE",IF(S1581="Won",IF(R1581&gt;Settings!$B$5,"Backlog","Delivered"),IF(S1581="Open",IF(R1581&gt;Settings!$B$5,"Pipeline","Overdue"),IF(S1581="Lost","Lost","UNMAPPED")))))</f>
        <v/>
      </c>
      <c r="U1581" s="40" t="n">
        <f aca="false">IF(T1581="Backlog",1,IF(OR(T1581="Pipeline",T1581="Overdue"),N(INDEX(Settings!$C$27:$C$36,MATCH(L1581,Settings!$A$27:$A$36,0))),0))</f>
        <v>0</v>
      </c>
      <c r="V1581" s="38" t="n">
        <f aca="false">Q1581*U1581</f>
        <v>0</v>
      </c>
      <c r="W1581" s="41" t="str">
        <f aca="false">IF($M1581="","",IF(T1581="Overdue",IF(Settings!$B$8="Yes",Settings!$B$7,""),IF(ISNUMBER(R1581),DATE(YEAR(R1581),MONTH(R1581),1),"")))</f>
        <v/>
      </c>
      <c r="X1581" s="38" t="n">
        <f aca="false">IF(AND(OR(T1581="Backlog",T1581="Pipeline",T1581="Overdue"),ISNUMBER(W1581)),IF(W1581&lt;=Settings!$B$6,V1581,0),0)</f>
        <v>0</v>
      </c>
      <c r="Y1581" s="38" t="n">
        <f aca="false">IF(AND(OR(T1581="Backlog",T1581="Pipeline",T1581="Overdue"),ISNUMBER(W1581)),IF(W1581&lt;=Settings!$B$6,Q1581,0),0)</f>
        <v>0</v>
      </c>
      <c r="Z1581" s="38" t="n">
        <f aca="false">IF(Y1581=0,0,IF(T1581="Backlog",Q1581,Q1581*Dashboard!$C$10))</f>
        <v>0</v>
      </c>
      <c r="AA1581" s="37" t="n">
        <f aca="false">IF($N1581="",0,IF(COUNTIF(Dashboard!$C$13:$C$22,$N1581)&gt;0,1,0))</f>
        <v>0</v>
      </c>
      <c r="AB1581" s="37" t="str">
        <f aca="false">IF($N1581="","",IF(COUNTIF($N$8:$N1581,$N1581)=1,MAX($AB$7:$AB1580)+1,""))</f>
        <v/>
      </c>
    </row>
    <row r="1582" customFormat="false" ht="15" hidden="false" customHeight="false" outlineLevel="0" collapsed="false">
      <c r="L1582" s="37" t="str">
        <f aca="false">IF(INDEX($A1582:$J1582,$L$6)&lt;&gt;"",TRIM(LEFT(INDEX($A1582:$J1582,$L$6),FIND("(",INDEX($A1582:$J1582,$L$6)&amp;"(")-1)),L1581)</f>
        <v>Building Value Proposition</v>
      </c>
      <c r="M1582" s="37" t="str">
        <f aca="false">IF(INDEX($A1582:$J1582,$M$6)="","",INDEX($A1582:$J1582,$M$6)&amp;"")</f>
        <v/>
      </c>
      <c r="N1582" s="37" t="str">
        <f aca="false">IF($M1582="","",TRIM(INDEX($A1582:$J1582,$N$6)&amp;""))</f>
        <v/>
      </c>
      <c r="O1582" s="37" t="str">
        <f aca="false">IF($M1582="","",TRIM(INDEX($A1582:$J1582,$O$6)&amp;""))</f>
        <v/>
      </c>
      <c r="P1582" s="37" t="str">
        <f aca="false">IF($M1582="","",IFERROR(IF(INDEX(Settings!$B$41:$B$50,MATCH(O1582,Settings!$A$41:$A$50,0))&amp;""="","UNMAPPED",INDEX(Settings!$B$41:$B$50,MATCH(O1582,Settings!$A$41:$A$50,0))&amp;""),"UNMAPPED"))</f>
        <v/>
      </c>
      <c r="Q1582" s="38" t="n">
        <f aca="false">IF($M1582="",0,N(INDEX($A1582:$J1582,$Q$6)))</f>
        <v>0</v>
      </c>
      <c r="R1582" s="39" t="str">
        <f aca="false">IF($M1582="","",INDEX($A1582:$J1582,$R$6))</f>
        <v/>
      </c>
      <c r="S1582" s="37" t="str">
        <f aca="false">IF($M1582="","",IFERROR(INDEX(Settings!$B$27:$B$36,MATCH(L1582,Settings!$A$27:$A$36,0))&amp;"","UNMAPPED"))</f>
        <v/>
      </c>
      <c r="T1582" s="37" t="str">
        <f aca="false">IF($M1582="","",IF(NOT(ISNUMBER(R1582)),"NO DATE",IF(S1582="Won",IF(R1582&gt;Settings!$B$5,"Backlog","Delivered"),IF(S1582="Open",IF(R1582&gt;Settings!$B$5,"Pipeline","Overdue"),IF(S1582="Lost","Lost","UNMAPPED")))))</f>
        <v/>
      </c>
      <c r="U1582" s="40" t="n">
        <f aca="false">IF(T1582="Backlog",1,IF(OR(T1582="Pipeline",T1582="Overdue"),N(INDEX(Settings!$C$27:$C$36,MATCH(L1582,Settings!$A$27:$A$36,0))),0))</f>
        <v>0</v>
      </c>
      <c r="V1582" s="38" t="n">
        <f aca="false">Q1582*U1582</f>
        <v>0</v>
      </c>
      <c r="W1582" s="41" t="str">
        <f aca="false">IF($M1582="","",IF(T1582="Overdue",IF(Settings!$B$8="Yes",Settings!$B$7,""),IF(ISNUMBER(R1582),DATE(YEAR(R1582),MONTH(R1582),1),"")))</f>
        <v/>
      </c>
      <c r="X1582" s="38" t="n">
        <f aca="false">IF(AND(OR(T1582="Backlog",T1582="Pipeline",T1582="Overdue"),ISNUMBER(W1582)),IF(W1582&lt;=Settings!$B$6,V1582,0),0)</f>
        <v>0</v>
      </c>
      <c r="Y1582" s="38" t="n">
        <f aca="false">IF(AND(OR(T1582="Backlog",T1582="Pipeline",T1582="Overdue"),ISNUMBER(W1582)),IF(W1582&lt;=Settings!$B$6,Q1582,0),0)</f>
        <v>0</v>
      </c>
      <c r="Z1582" s="38" t="n">
        <f aca="false">IF(Y1582=0,0,IF(T1582="Backlog",Q1582,Q1582*Dashboard!$C$10))</f>
        <v>0</v>
      </c>
      <c r="AA1582" s="37" t="n">
        <f aca="false">IF($N1582="",0,IF(COUNTIF(Dashboard!$C$13:$C$22,$N1582)&gt;0,1,0))</f>
        <v>0</v>
      </c>
      <c r="AB1582" s="37" t="str">
        <f aca="false">IF($N1582="","",IF(COUNTIF($N$8:$N1582,$N1582)=1,MAX($AB$7:$AB1581)+1,""))</f>
        <v/>
      </c>
    </row>
    <row r="1583" customFormat="false" ht="15" hidden="false" customHeight="false" outlineLevel="0" collapsed="false">
      <c r="L1583" s="37" t="str">
        <f aca="false">IF(INDEX($A1583:$J1583,$L$6)&lt;&gt;"",TRIM(LEFT(INDEX($A1583:$J1583,$L$6),FIND("(",INDEX($A1583:$J1583,$L$6)&amp;"(")-1)),L1582)</f>
        <v>Building Value Proposition</v>
      </c>
      <c r="M1583" s="37" t="str">
        <f aca="false">IF(INDEX($A1583:$J1583,$M$6)="","",INDEX($A1583:$J1583,$M$6)&amp;"")</f>
        <v/>
      </c>
      <c r="N1583" s="37" t="str">
        <f aca="false">IF($M1583="","",TRIM(INDEX($A1583:$J1583,$N$6)&amp;""))</f>
        <v/>
      </c>
      <c r="O1583" s="37" t="str">
        <f aca="false">IF($M1583="","",TRIM(INDEX($A1583:$J1583,$O$6)&amp;""))</f>
        <v/>
      </c>
      <c r="P1583" s="37" t="str">
        <f aca="false">IF($M1583="","",IFERROR(IF(INDEX(Settings!$B$41:$B$50,MATCH(O1583,Settings!$A$41:$A$50,0))&amp;""="","UNMAPPED",INDEX(Settings!$B$41:$B$50,MATCH(O1583,Settings!$A$41:$A$50,0))&amp;""),"UNMAPPED"))</f>
        <v/>
      </c>
      <c r="Q1583" s="38" t="n">
        <f aca="false">IF($M1583="",0,N(INDEX($A1583:$J1583,$Q$6)))</f>
        <v>0</v>
      </c>
      <c r="R1583" s="39" t="str">
        <f aca="false">IF($M1583="","",INDEX($A1583:$J1583,$R$6))</f>
        <v/>
      </c>
      <c r="S1583" s="37" t="str">
        <f aca="false">IF($M1583="","",IFERROR(INDEX(Settings!$B$27:$B$36,MATCH(L1583,Settings!$A$27:$A$36,0))&amp;"","UNMAPPED"))</f>
        <v/>
      </c>
      <c r="T1583" s="37" t="str">
        <f aca="false">IF($M1583="","",IF(NOT(ISNUMBER(R1583)),"NO DATE",IF(S1583="Won",IF(R1583&gt;Settings!$B$5,"Backlog","Delivered"),IF(S1583="Open",IF(R1583&gt;Settings!$B$5,"Pipeline","Overdue"),IF(S1583="Lost","Lost","UNMAPPED")))))</f>
        <v/>
      </c>
      <c r="U1583" s="40" t="n">
        <f aca="false">IF(T1583="Backlog",1,IF(OR(T1583="Pipeline",T1583="Overdue"),N(INDEX(Settings!$C$27:$C$36,MATCH(L1583,Settings!$A$27:$A$36,0))),0))</f>
        <v>0</v>
      </c>
      <c r="V1583" s="38" t="n">
        <f aca="false">Q1583*U1583</f>
        <v>0</v>
      </c>
      <c r="W1583" s="41" t="str">
        <f aca="false">IF($M1583="","",IF(T1583="Overdue",IF(Settings!$B$8="Yes",Settings!$B$7,""),IF(ISNUMBER(R1583),DATE(YEAR(R1583),MONTH(R1583),1),"")))</f>
        <v/>
      </c>
      <c r="X1583" s="38" t="n">
        <f aca="false">IF(AND(OR(T1583="Backlog",T1583="Pipeline",T1583="Overdue"),ISNUMBER(W1583)),IF(W1583&lt;=Settings!$B$6,V1583,0),0)</f>
        <v>0</v>
      </c>
      <c r="Y1583" s="38" t="n">
        <f aca="false">IF(AND(OR(T1583="Backlog",T1583="Pipeline",T1583="Overdue"),ISNUMBER(W1583)),IF(W1583&lt;=Settings!$B$6,Q1583,0),0)</f>
        <v>0</v>
      </c>
      <c r="Z1583" s="38" t="n">
        <f aca="false">IF(Y1583=0,0,IF(T1583="Backlog",Q1583,Q1583*Dashboard!$C$10))</f>
        <v>0</v>
      </c>
      <c r="AA1583" s="37" t="n">
        <f aca="false">IF($N1583="",0,IF(COUNTIF(Dashboard!$C$13:$C$22,$N1583)&gt;0,1,0))</f>
        <v>0</v>
      </c>
      <c r="AB1583" s="37" t="str">
        <f aca="false">IF($N1583="","",IF(COUNTIF($N$8:$N1583,$N1583)=1,MAX($AB$7:$AB1582)+1,""))</f>
        <v/>
      </c>
    </row>
    <row r="1584" customFormat="false" ht="15" hidden="false" customHeight="false" outlineLevel="0" collapsed="false">
      <c r="L1584" s="37" t="str">
        <f aca="false">IF(INDEX($A1584:$J1584,$L$6)&lt;&gt;"",TRIM(LEFT(INDEX($A1584:$J1584,$L$6),FIND("(",INDEX($A1584:$J1584,$L$6)&amp;"(")-1)),L1583)</f>
        <v>Building Value Proposition</v>
      </c>
      <c r="M1584" s="37" t="str">
        <f aca="false">IF(INDEX($A1584:$J1584,$M$6)="","",INDEX($A1584:$J1584,$M$6)&amp;"")</f>
        <v/>
      </c>
      <c r="N1584" s="37" t="str">
        <f aca="false">IF($M1584="","",TRIM(INDEX($A1584:$J1584,$N$6)&amp;""))</f>
        <v/>
      </c>
      <c r="O1584" s="37" t="str">
        <f aca="false">IF($M1584="","",TRIM(INDEX($A1584:$J1584,$O$6)&amp;""))</f>
        <v/>
      </c>
      <c r="P1584" s="37" t="str">
        <f aca="false">IF($M1584="","",IFERROR(IF(INDEX(Settings!$B$41:$B$50,MATCH(O1584,Settings!$A$41:$A$50,0))&amp;""="","UNMAPPED",INDEX(Settings!$B$41:$B$50,MATCH(O1584,Settings!$A$41:$A$50,0))&amp;""),"UNMAPPED"))</f>
        <v/>
      </c>
      <c r="Q1584" s="38" t="n">
        <f aca="false">IF($M1584="",0,N(INDEX($A1584:$J1584,$Q$6)))</f>
        <v>0</v>
      </c>
      <c r="R1584" s="39" t="str">
        <f aca="false">IF($M1584="","",INDEX($A1584:$J1584,$R$6))</f>
        <v/>
      </c>
      <c r="S1584" s="37" t="str">
        <f aca="false">IF($M1584="","",IFERROR(INDEX(Settings!$B$27:$B$36,MATCH(L1584,Settings!$A$27:$A$36,0))&amp;"","UNMAPPED"))</f>
        <v/>
      </c>
      <c r="T1584" s="37" t="str">
        <f aca="false">IF($M1584="","",IF(NOT(ISNUMBER(R1584)),"NO DATE",IF(S1584="Won",IF(R1584&gt;Settings!$B$5,"Backlog","Delivered"),IF(S1584="Open",IF(R1584&gt;Settings!$B$5,"Pipeline","Overdue"),IF(S1584="Lost","Lost","UNMAPPED")))))</f>
        <v/>
      </c>
      <c r="U1584" s="40" t="n">
        <f aca="false">IF(T1584="Backlog",1,IF(OR(T1584="Pipeline",T1584="Overdue"),N(INDEX(Settings!$C$27:$C$36,MATCH(L1584,Settings!$A$27:$A$36,0))),0))</f>
        <v>0</v>
      </c>
      <c r="V1584" s="38" t="n">
        <f aca="false">Q1584*U1584</f>
        <v>0</v>
      </c>
      <c r="W1584" s="41" t="str">
        <f aca="false">IF($M1584="","",IF(T1584="Overdue",IF(Settings!$B$8="Yes",Settings!$B$7,""),IF(ISNUMBER(R1584),DATE(YEAR(R1584),MONTH(R1584),1),"")))</f>
        <v/>
      </c>
      <c r="X1584" s="38" t="n">
        <f aca="false">IF(AND(OR(T1584="Backlog",T1584="Pipeline",T1584="Overdue"),ISNUMBER(W1584)),IF(W1584&lt;=Settings!$B$6,V1584,0),0)</f>
        <v>0</v>
      </c>
      <c r="Y1584" s="38" t="n">
        <f aca="false">IF(AND(OR(T1584="Backlog",T1584="Pipeline",T1584="Overdue"),ISNUMBER(W1584)),IF(W1584&lt;=Settings!$B$6,Q1584,0),0)</f>
        <v>0</v>
      </c>
      <c r="Z1584" s="38" t="n">
        <f aca="false">IF(Y1584=0,0,IF(T1584="Backlog",Q1584,Q1584*Dashboard!$C$10))</f>
        <v>0</v>
      </c>
      <c r="AA1584" s="37" t="n">
        <f aca="false">IF($N1584="",0,IF(COUNTIF(Dashboard!$C$13:$C$22,$N1584)&gt;0,1,0))</f>
        <v>0</v>
      </c>
      <c r="AB1584" s="37" t="str">
        <f aca="false">IF($N1584="","",IF(COUNTIF($N$8:$N1584,$N1584)=1,MAX($AB$7:$AB1583)+1,""))</f>
        <v/>
      </c>
    </row>
    <row r="1585" customFormat="false" ht="15" hidden="false" customHeight="false" outlineLevel="0" collapsed="false">
      <c r="L1585" s="37" t="str">
        <f aca="false">IF(INDEX($A1585:$J1585,$L$6)&lt;&gt;"",TRIM(LEFT(INDEX($A1585:$J1585,$L$6),FIND("(",INDEX($A1585:$J1585,$L$6)&amp;"(")-1)),L1584)</f>
        <v>Building Value Proposition</v>
      </c>
      <c r="M1585" s="37" t="str">
        <f aca="false">IF(INDEX($A1585:$J1585,$M$6)="","",INDEX($A1585:$J1585,$M$6)&amp;"")</f>
        <v/>
      </c>
      <c r="N1585" s="37" t="str">
        <f aca="false">IF($M1585="","",TRIM(INDEX($A1585:$J1585,$N$6)&amp;""))</f>
        <v/>
      </c>
      <c r="O1585" s="37" t="str">
        <f aca="false">IF($M1585="","",TRIM(INDEX($A1585:$J1585,$O$6)&amp;""))</f>
        <v/>
      </c>
      <c r="P1585" s="37" t="str">
        <f aca="false">IF($M1585="","",IFERROR(IF(INDEX(Settings!$B$41:$B$50,MATCH(O1585,Settings!$A$41:$A$50,0))&amp;""="","UNMAPPED",INDEX(Settings!$B$41:$B$50,MATCH(O1585,Settings!$A$41:$A$50,0))&amp;""),"UNMAPPED"))</f>
        <v/>
      </c>
      <c r="Q1585" s="38" t="n">
        <f aca="false">IF($M1585="",0,N(INDEX($A1585:$J1585,$Q$6)))</f>
        <v>0</v>
      </c>
      <c r="R1585" s="39" t="str">
        <f aca="false">IF($M1585="","",INDEX($A1585:$J1585,$R$6))</f>
        <v/>
      </c>
      <c r="S1585" s="37" t="str">
        <f aca="false">IF($M1585="","",IFERROR(INDEX(Settings!$B$27:$B$36,MATCH(L1585,Settings!$A$27:$A$36,0))&amp;"","UNMAPPED"))</f>
        <v/>
      </c>
      <c r="T1585" s="37" t="str">
        <f aca="false">IF($M1585="","",IF(NOT(ISNUMBER(R1585)),"NO DATE",IF(S1585="Won",IF(R1585&gt;Settings!$B$5,"Backlog","Delivered"),IF(S1585="Open",IF(R1585&gt;Settings!$B$5,"Pipeline","Overdue"),IF(S1585="Lost","Lost","UNMAPPED")))))</f>
        <v/>
      </c>
      <c r="U1585" s="40" t="n">
        <f aca="false">IF(T1585="Backlog",1,IF(OR(T1585="Pipeline",T1585="Overdue"),N(INDEX(Settings!$C$27:$C$36,MATCH(L1585,Settings!$A$27:$A$36,0))),0))</f>
        <v>0</v>
      </c>
      <c r="V1585" s="38" t="n">
        <f aca="false">Q1585*U1585</f>
        <v>0</v>
      </c>
      <c r="W1585" s="41" t="str">
        <f aca="false">IF($M1585="","",IF(T1585="Overdue",IF(Settings!$B$8="Yes",Settings!$B$7,""),IF(ISNUMBER(R1585),DATE(YEAR(R1585),MONTH(R1585),1),"")))</f>
        <v/>
      </c>
      <c r="X1585" s="38" t="n">
        <f aca="false">IF(AND(OR(T1585="Backlog",T1585="Pipeline",T1585="Overdue"),ISNUMBER(W1585)),IF(W1585&lt;=Settings!$B$6,V1585,0),0)</f>
        <v>0</v>
      </c>
      <c r="Y1585" s="38" t="n">
        <f aca="false">IF(AND(OR(T1585="Backlog",T1585="Pipeline",T1585="Overdue"),ISNUMBER(W1585)),IF(W1585&lt;=Settings!$B$6,Q1585,0),0)</f>
        <v>0</v>
      </c>
      <c r="Z1585" s="38" t="n">
        <f aca="false">IF(Y1585=0,0,IF(T1585="Backlog",Q1585,Q1585*Dashboard!$C$10))</f>
        <v>0</v>
      </c>
      <c r="AA1585" s="37" t="n">
        <f aca="false">IF($N1585="",0,IF(COUNTIF(Dashboard!$C$13:$C$22,$N1585)&gt;0,1,0))</f>
        <v>0</v>
      </c>
      <c r="AB1585" s="37" t="str">
        <f aca="false">IF($N1585="","",IF(COUNTIF($N$8:$N1585,$N1585)=1,MAX($AB$7:$AB1584)+1,""))</f>
        <v/>
      </c>
    </row>
    <row r="1586" customFormat="false" ht="15" hidden="false" customHeight="false" outlineLevel="0" collapsed="false">
      <c r="L1586" s="37" t="str">
        <f aca="false">IF(INDEX($A1586:$J1586,$L$6)&lt;&gt;"",TRIM(LEFT(INDEX($A1586:$J1586,$L$6),FIND("(",INDEX($A1586:$J1586,$L$6)&amp;"(")-1)),L1585)</f>
        <v>Building Value Proposition</v>
      </c>
      <c r="M1586" s="37" t="str">
        <f aca="false">IF(INDEX($A1586:$J1586,$M$6)="","",INDEX($A1586:$J1586,$M$6)&amp;"")</f>
        <v/>
      </c>
      <c r="N1586" s="37" t="str">
        <f aca="false">IF($M1586="","",TRIM(INDEX($A1586:$J1586,$N$6)&amp;""))</f>
        <v/>
      </c>
      <c r="O1586" s="37" t="str">
        <f aca="false">IF($M1586="","",TRIM(INDEX($A1586:$J1586,$O$6)&amp;""))</f>
        <v/>
      </c>
      <c r="P1586" s="37" t="str">
        <f aca="false">IF($M1586="","",IFERROR(IF(INDEX(Settings!$B$41:$B$50,MATCH(O1586,Settings!$A$41:$A$50,0))&amp;""="","UNMAPPED",INDEX(Settings!$B$41:$B$50,MATCH(O1586,Settings!$A$41:$A$50,0))&amp;""),"UNMAPPED"))</f>
        <v/>
      </c>
      <c r="Q1586" s="38" t="n">
        <f aca="false">IF($M1586="",0,N(INDEX($A1586:$J1586,$Q$6)))</f>
        <v>0</v>
      </c>
      <c r="R1586" s="39" t="str">
        <f aca="false">IF($M1586="","",INDEX($A1586:$J1586,$R$6))</f>
        <v/>
      </c>
      <c r="S1586" s="37" t="str">
        <f aca="false">IF($M1586="","",IFERROR(INDEX(Settings!$B$27:$B$36,MATCH(L1586,Settings!$A$27:$A$36,0))&amp;"","UNMAPPED"))</f>
        <v/>
      </c>
      <c r="T1586" s="37" t="str">
        <f aca="false">IF($M1586="","",IF(NOT(ISNUMBER(R1586)),"NO DATE",IF(S1586="Won",IF(R1586&gt;Settings!$B$5,"Backlog","Delivered"),IF(S1586="Open",IF(R1586&gt;Settings!$B$5,"Pipeline","Overdue"),IF(S1586="Lost","Lost","UNMAPPED")))))</f>
        <v/>
      </c>
      <c r="U1586" s="40" t="n">
        <f aca="false">IF(T1586="Backlog",1,IF(OR(T1586="Pipeline",T1586="Overdue"),N(INDEX(Settings!$C$27:$C$36,MATCH(L1586,Settings!$A$27:$A$36,0))),0))</f>
        <v>0</v>
      </c>
      <c r="V1586" s="38" t="n">
        <f aca="false">Q1586*U1586</f>
        <v>0</v>
      </c>
      <c r="W1586" s="41" t="str">
        <f aca="false">IF($M1586="","",IF(T1586="Overdue",IF(Settings!$B$8="Yes",Settings!$B$7,""),IF(ISNUMBER(R1586),DATE(YEAR(R1586),MONTH(R1586),1),"")))</f>
        <v/>
      </c>
      <c r="X1586" s="38" t="n">
        <f aca="false">IF(AND(OR(T1586="Backlog",T1586="Pipeline",T1586="Overdue"),ISNUMBER(W1586)),IF(W1586&lt;=Settings!$B$6,V1586,0),0)</f>
        <v>0</v>
      </c>
      <c r="Y1586" s="38" t="n">
        <f aca="false">IF(AND(OR(T1586="Backlog",T1586="Pipeline",T1586="Overdue"),ISNUMBER(W1586)),IF(W1586&lt;=Settings!$B$6,Q1586,0),0)</f>
        <v>0</v>
      </c>
      <c r="Z1586" s="38" t="n">
        <f aca="false">IF(Y1586=0,0,IF(T1586="Backlog",Q1586,Q1586*Dashboard!$C$10))</f>
        <v>0</v>
      </c>
      <c r="AA1586" s="37" t="n">
        <f aca="false">IF($N1586="",0,IF(COUNTIF(Dashboard!$C$13:$C$22,$N1586)&gt;0,1,0))</f>
        <v>0</v>
      </c>
      <c r="AB1586" s="37" t="str">
        <f aca="false">IF($N1586="","",IF(COUNTIF($N$8:$N1586,$N1586)=1,MAX($AB$7:$AB1585)+1,""))</f>
        <v/>
      </c>
    </row>
    <row r="1587" customFormat="false" ht="15" hidden="false" customHeight="false" outlineLevel="0" collapsed="false">
      <c r="L1587" s="37" t="str">
        <f aca="false">IF(INDEX($A1587:$J1587,$L$6)&lt;&gt;"",TRIM(LEFT(INDEX($A1587:$J1587,$L$6),FIND("(",INDEX($A1587:$J1587,$L$6)&amp;"(")-1)),L1586)</f>
        <v>Building Value Proposition</v>
      </c>
      <c r="M1587" s="37" t="str">
        <f aca="false">IF(INDEX($A1587:$J1587,$M$6)="","",INDEX($A1587:$J1587,$M$6)&amp;"")</f>
        <v/>
      </c>
      <c r="N1587" s="37" t="str">
        <f aca="false">IF($M1587="","",TRIM(INDEX($A1587:$J1587,$N$6)&amp;""))</f>
        <v/>
      </c>
      <c r="O1587" s="37" t="str">
        <f aca="false">IF($M1587="","",TRIM(INDEX($A1587:$J1587,$O$6)&amp;""))</f>
        <v/>
      </c>
      <c r="P1587" s="37" t="str">
        <f aca="false">IF($M1587="","",IFERROR(IF(INDEX(Settings!$B$41:$B$50,MATCH(O1587,Settings!$A$41:$A$50,0))&amp;""="","UNMAPPED",INDEX(Settings!$B$41:$B$50,MATCH(O1587,Settings!$A$41:$A$50,0))&amp;""),"UNMAPPED"))</f>
        <v/>
      </c>
      <c r="Q1587" s="38" t="n">
        <f aca="false">IF($M1587="",0,N(INDEX($A1587:$J1587,$Q$6)))</f>
        <v>0</v>
      </c>
      <c r="R1587" s="39" t="str">
        <f aca="false">IF($M1587="","",INDEX($A1587:$J1587,$R$6))</f>
        <v/>
      </c>
      <c r="S1587" s="37" t="str">
        <f aca="false">IF($M1587="","",IFERROR(INDEX(Settings!$B$27:$B$36,MATCH(L1587,Settings!$A$27:$A$36,0))&amp;"","UNMAPPED"))</f>
        <v/>
      </c>
      <c r="T1587" s="37" t="str">
        <f aca="false">IF($M1587="","",IF(NOT(ISNUMBER(R1587)),"NO DATE",IF(S1587="Won",IF(R1587&gt;Settings!$B$5,"Backlog","Delivered"),IF(S1587="Open",IF(R1587&gt;Settings!$B$5,"Pipeline","Overdue"),IF(S1587="Lost","Lost","UNMAPPED")))))</f>
        <v/>
      </c>
      <c r="U1587" s="40" t="n">
        <f aca="false">IF(T1587="Backlog",1,IF(OR(T1587="Pipeline",T1587="Overdue"),N(INDEX(Settings!$C$27:$C$36,MATCH(L1587,Settings!$A$27:$A$36,0))),0))</f>
        <v>0</v>
      </c>
      <c r="V1587" s="38" t="n">
        <f aca="false">Q1587*U1587</f>
        <v>0</v>
      </c>
      <c r="W1587" s="41" t="str">
        <f aca="false">IF($M1587="","",IF(T1587="Overdue",IF(Settings!$B$8="Yes",Settings!$B$7,""),IF(ISNUMBER(R1587),DATE(YEAR(R1587),MONTH(R1587),1),"")))</f>
        <v/>
      </c>
      <c r="X1587" s="38" t="n">
        <f aca="false">IF(AND(OR(T1587="Backlog",T1587="Pipeline",T1587="Overdue"),ISNUMBER(W1587)),IF(W1587&lt;=Settings!$B$6,V1587,0),0)</f>
        <v>0</v>
      </c>
      <c r="Y1587" s="38" t="n">
        <f aca="false">IF(AND(OR(T1587="Backlog",T1587="Pipeline",T1587="Overdue"),ISNUMBER(W1587)),IF(W1587&lt;=Settings!$B$6,Q1587,0),0)</f>
        <v>0</v>
      </c>
      <c r="Z1587" s="38" t="n">
        <f aca="false">IF(Y1587=0,0,IF(T1587="Backlog",Q1587,Q1587*Dashboard!$C$10))</f>
        <v>0</v>
      </c>
      <c r="AA1587" s="37" t="n">
        <f aca="false">IF($N1587="",0,IF(COUNTIF(Dashboard!$C$13:$C$22,$N1587)&gt;0,1,0))</f>
        <v>0</v>
      </c>
      <c r="AB1587" s="37" t="str">
        <f aca="false">IF($N1587="","",IF(COUNTIF($N$8:$N1587,$N1587)=1,MAX($AB$7:$AB1586)+1,""))</f>
        <v/>
      </c>
    </row>
    <row r="1588" customFormat="false" ht="15" hidden="false" customHeight="false" outlineLevel="0" collapsed="false">
      <c r="L1588" s="37" t="str">
        <f aca="false">IF(INDEX($A1588:$J1588,$L$6)&lt;&gt;"",TRIM(LEFT(INDEX($A1588:$J1588,$L$6),FIND("(",INDEX($A1588:$J1588,$L$6)&amp;"(")-1)),L1587)</f>
        <v>Building Value Proposition</v>
      </c>
      <c r="M1588" s="37" t="str">
        <f aca="false">IF(INDEX($A1588:$J1588,$M$6)="","",INDEX($A1588:$J1588,$M$6)&amp;"")</f>
        <v/>
      </c>
      <c r="N1588" s="37" t="str">
        <f aca="false">IF($M1588="","",TRIM(INDEX($A1588:$J1588,$N$6)&amp;""))</f>
        <v/>
      </c>
      <c r="O1588" s="37" t="str">
        <f aca="false">IF($M1588="","",TRIM(INDEX($A1588:$J1588,$O$6)&amp;""))</f>
        <v/>
      </c>
      <c r="P1588" s="37" t="str">
        <f aca="false">IF($M1588="","",IFERROR(IF(INDEX(Settings!$B$41:$B$50,MATCH(O1588,Settings!$A$41:$A$50,0))&amp;""="","UNMAPPED",INDEX(Settings!$B$41:$B$50,MATCH(O1588,Settings!$A$41:$A$50,0))&amp;""),"UNMAPPED"))</f>
        <v/>
      </c>
      <c r="Q1588" s="38" t="n">
        <f aca="false">IF($M1588="",0,N(INDEX($A1588:$J1588,$Q$6)))</f>
        <v>0</v>
      </c>
      <c r="R1588" s="39" t="str">
        <f aca="false">IF($M1588="","",INDEX($A1588:$J1588,$R$6))</f>
        <v/>
      </c>
      <c r="S1588" s="37" t="str">
        <f aca="false">IF($M1588="","",IFERROR(INDEX(Settings!$B$27:$B$36,MATCH(L1588,Settings!$A$27:$A$36,0))&amp;"","UNMAPPED"))</f>
        <v/>
      </c>
      <c r="T1588" s="37" t="str">
        <f aca="false">IF($M1588="","",IF(NOT(ISNUMBER(R1588)),"NO DATE",IF(S1588="Won",IF(R1588&gt;Settings!$B$5,"Backlog","Delivered"),IF(S1588="Open",IF(R1588&gt;Settings!$B$5,"Pipeline","Overdue"),IF(S1588="Lost","Lost","UNMAPPED")))))</f>
        <v/>
      </c>
      <c r="U1588" s="40" t="n">
        <f aca="false">IF(T1588="Backlog",1,IF(OR(T1588="Pipeline",T1588="Overdue"),N(INDEX(Settings!$C$27:$C$36,MATCH(L1588,Settings!$A$27:$A$36,0))),0))</f>
        <v>0</v>
      </c>
      <c r="V1588" s="38" t="n">
        <f aca="false">Q1588*U1588</f>
        <v>0</v>
      </c>
      <c r="W1588" s="41" t="str">
        <f aca="false">IF($M1588="","",IF(T1588="Overdue",IF(Settings!$B$8="Yes",Settings!$B$7,""),IF(ISNUMBER(R1588),DATE(YEAR(R1588),MONTH(R1588),1),"")))</f>
        <v/>
      </c>
      <c r="X1588" s="38" t="n">
        <f aca="false">IF(AND(OR(T1588="Backlog",T1588="Pipeline",T1588="Overdue"),ISNUMBER(W1588)),IF(W1588&lt;=Settings!$B$6,V1588,0),0)</f>
        <v>0</v>
      </c>
      <c r="Y1588" s="38" t="n">
        <f aca="false">IF(AND(OR(T1588="Backlog",T1588="Pipeline",T1588="Overdue"),ISNUMBER(W1588)),IF(W1588&lt;=Settings!$B$6,Q1588,0),0)</f>
        <v>0</v>
      </c>
      <c r="Z1588" s="38" t="n">
        <f aca="false">IF(Y1588=0,0,IF(T1588="Backlog",Q1588,Q1588*Dashboard!$C$10))</f>
        <v>0</v>
      </c>
      <c r="AA1588" s="37" t="n">
        <f aca="false">IF($N1588="",0,IF(COUNTIF(Dashboard!$C$13:$C$22,$N1588)&gt;0,1,0))</f>
        <v>0</v>
      </c>
      <c r="AB1588" s="37" t="str">
        <f aca="false">IF($N1588="","",IF(COUNTIF($N$8:$N1588,$N1588)=1,MAX($AB$7:$AB1587)+1,""))</f>
        <v/>
      </c>
    </row>
    <row r="1589" customFormat="false" ht="15" hidden="false" customHeight="false" outlineLevel="0" collapsed="false">
      <c r="L1589" s="37" t="str">
        <f aca="false">IF(INDEX($A1589:$J1589,$L$6)&lt;&gt;"",TRIM(LEFT(INDEX($A1589:$J1589,$L$6),FIND("(",INDEX($A1589:$J1589,$L$6)&amp;"(")-1)),L1588)</f>
        <v>Building Value Proposition</v>
      </c>
      <c r="M1589" s="37" t="str">
        <f aca="false">IF(INDEX($A1589:$J1589,$M$6)="","",INDEX($A1589:$J1589,$M$6)&amp;"")</f>
        <v/>
      </c>
      <c r="N1589" s="37" t="str">
        <f aca="false">IF($M1589="","",TRIM(INDEX($A1589:$J1589,$N$6)&amp;""))</f>
        <v/>
      </c>
      <c r="O1589" s="37" t="str">
        <f aca="false">IF($M1589="","",TRIM(INDEX($A1589:$J1589,$O$6)&amp;""))</f>
        <v/>
      </c>
      <c r="P1589" s="37" t="str">
        <f aca="false">IF($M1589="","",IFERROR(IF(INDEX(Settings!$B$41:$B$50,MATCH(O1589,Settings!$A$41:$A$50,0))&amp;""="","UNMAPPED",INDEX(Settings!$B$41:$B$50,MATCH(O1589,Settings!$A$41:$A$50,0))&amp;""),"UNMAPPED"))</f>
        <v/>
      </c>
      <c r="Q1589" s="38" t="n">
        <f aca="false">IF($M1589="",0,N(INDEX($A1589:$J1589,$Q$6)))</f>
        <v>0</v>
      </c>
      <c r="R1589" s="39" t="str">
        <f aca="false">IF($M1589="","",INDEX($A1589:$J1589,$R$6))</f>
        <v/>
      </c>
      <c r="S1589" s="37" t="str">
        <f aca="false">IF($M1589="","",IFERROR(INDEX(Settings!$B$27:$B$36,MATCH(L1589,Settings!$A$27:$A$36,0))&amp;"","UNMAPPED"))</f>
        <v/>
      </c>
      <c r="T1589" s="37" t="str">
        <f aca="false">IF($M1589="","",IF(NOT(ISNUMBER(R1589)),"NO DATE",IF(S1589="Won",IF(R1589&gt;Settings!$B$5,"Backlog","Delivered"),IF(S1589="Open",IF(R1589&gt;Settings!$B$5,"Pipeline","Overdue"),IF(S1589="Lost","Lost","UNMAPPED")))))</f>
        <v/>
      </c>
      <c r="U1589" s="40" t="n">
        <f aca="false">IF(T1589="Backlog",1,IF(OR(T1589="Pipeline",T1589="Overdue"),N(INDEX(Settings!$C$27:$C$36,MATCH(L1589,Settings!$A$27:$A$36,0))),0))</f>
        <v>0</v>
      </c>
      <c r="V1589" s="38" t="n">
        <f aca="false">Q1589*U1589</f>
        <v>0</v>
      </c>
      <c r="W1589" s="41" t="str">
        <f aca="false">IF($M1589="","",IF(T1589="Overdue",IF(Settings!$B$8="Yes",Settings!$B$7,""),IF(ISNUMBER(R1589),DATE(YEAR(R1589),MONTH(R1589),1),"")))</f>
        <v/>
      </c>
      <c r="X1589" s="38" t="n">
        <f aca="false">IF(AND(OR(T1589="Backlog",T1589="Pipeline",T1589="Overdue"),ISNUMBER(W1589)),IF(W1589&lt;=Settings!$B$6,V1589,0),0)</f>
        <v>0</v>
      </c>
      <c r="Y1589" s="38" t="n">
        <f aca="false">IF(AND(OR(T1589="Backlog",T1589="Pipeline",T1589="Overdue"),ISNUMBER(W1589)),IF(W1589&lt;=Settings!$B$6,Q1589,0),0)</f>
        <v>0</v>
      </c>
      <c r="Z1589" s="38" t="n">
        <f aca="false">IF(Y1589=0,0,IF(T1589="Backlog",Q1589,Q1589*Dashboard!$C$10))</f>
        <v>0</v>
      </c>
      <c r="AA1589" s="37" t="n">
        <f aca="false">IF($N1589="",0,IF(COUNTIF(Dashboard!$C$13:$C$22,$N1589)&gt;0,1,0))</f>
        <v>0</v>
      </c>
      <c r="AB1589" s="37" t="str">
        <f aca="false">IF($N1589="","",IF(COUNTIF($N$8:$N1589,$N1589)=1,MAX($AB$7:$AB1588)+1,""))</f>
        <v/>
      </c>
    </row>
    <row r="1590" customFormat="false" ht="15" hidden="false" customHeight="false" outlineLevel="0" collapsed="false">
      <c r="L1590" s="37" t="str">
        <f aca="false">IF(INDEX($A1590:$J1590,$L$6)&lt;&gt;"",TRIM(LEFT(INDEX($A1590:$J1590,$L$6),FIND("(",INDEX($A1590:$J1590,$L$6)&amp;"(")-1)),L1589)</f>
        <v>Building Value Proposition</v>
      </c>
      <c r="M1590" s="37" t="str">
        <f aca="false">IF(INDEX($A1590:$J1590,$M$6)="","",INDEX($A1590:$J1590,$M$6)&amp;"")</f>
        <v/>
      </c>
      <c r="N1590" s="37" t="str">
        <f aca="false">IF($M1590="","",TRIM(INDEX($A1590:$J1590,$N$6)&amp;""))</f>
        <v/>
      </c>
      <c r="O1590" s="37" t="str">
        <f aca="false">IF($M1590="","",TRIM(INDEX($A1590:$J1590,$O$6)&amp;""))</f>
        <v/>
      </c>
      <c r="P1590" s="37" t="str">
        <f aca="false">IF($M1590="","",IFERROR(IF(INDEX(Settings!$B$41:$B$50,MATCH(O1590,Settings!$A$41:$A$50,0))&amp;""="","UNMAPPED",INDEX(Settings!$B$41:$B$50,MATCH(O1590,Settings!$A$41:$A$50,0))&amp;""),"UNMAPPED"))</f>
        <v/>
      </c>
      <c r="Q1590" s="38" t="n">
        <f aca="false">IF($M1590="",0,N(INDEX($A1590:$J1590,$Q$6)))</f>
        <v>0</v>
      </c>
      <c r="R1590" s="39" t="str">
        <f aca="false">IF($M1590="","",INDEX($A1590:$J1590,$R$6))</f>
        <v/>
      </c>
      <c r="S1590" s="37" t="str">
        <f aca="false">IF($M1590="","",IFERROR(INDEX(Settings!$B$27:$B$36,MATCH(L1590,Settings!$A$27:$A$36,0))&amp;"","UNMAPPED"))</f>
        <v/>
      </c>
      <c r="T1590" s="37" t="str">
        <f aca="false">IF($M1590="","",IF(NOT(ISNUMBER(R1590)),"NO DATE",IF(S1590="Won",IF(R1590&gt;Settings!$B$5,"Backlog","Delivered"),IF(S1590="Open",IF(R1590&gt;Settings!$B$5,"Pipeline","Overdue"),IF(S1590="Lost","Lost","UNMAPPED")))))</f>
        <v/>
      </c>
      <c r="U1590" s="40" t="n">
        <f aca="false">IF(T1590="Backlog",1,IF(OR(T1590="Pipeline",T1590="Overdue"),N(INDEX(Settings!$C$27:$C$36,MATCH(L1590,Settings!$A$27:$A$36,0))),0))</f>
        <v>0</v>
      </c>
      <c r="V1590" s="38" t="n">
        <f aca="false">Q1590*U1590</f>
        <v>0</v>
      </c>
      <c r="W1590" s="41" t="str">
        <f aca="false">IF($M1590="","",IF(T1590="Overdue",IF(Settings!$B$8="Yes",Settings!$B$7,""),IF(ISNUMBER(R1590),DATE(YEAR(R1590),MONTH(R1590),1),"")))</f>
        <v/>
      </c>
      <c r="X1590" s="38" t="n">
        <f aca="false">IF(AND(OR(T1590="Backlog",T1590="Pipeline",T1590="Overdue"),ISNUMBER(W1590)),IF(W1590&lt;=Settings!$B$6,V1590,0),0)</f>
        <v>0</v>
      </c>
      <c r="Y1590" s="38" t="n">
        <f aca="false">IF(AND(OR(T1590="Backlog",T1590="Pipeline",T1590="Overdue"),ISNUMBER(W1590)),IF(W1590&lt;=Settings!$B$6,Q1590,0),0)</f>
        <v>0</v>
      </c>
      <c r="Z1590" s="38" t="n">
        <f aca="false">IF(Y1590=0,0,IF(T1590="Backlog",Q1590,Q1590*Dashboard!$C$10))</f>
        <v>0</v>
      </c>
      <c r="AA1590" s="37" t="n">
        <f aca="false">IF($N1590="",0,IF(COUNTIF(Dashboard!$C$13:$C$22,$N1590)&gt;0,1,0))</f>
        <v>0</v>
      </c>
      <c r="AB1590" s="37" t="str">
        <f aca="false">IF($N1590="","",IF(COUNTIF($N$8:$N1590,$N1590)=1,MAX($AB$7:$AB1589)+1,""))</f>
        <v/>
      </c>
    </row>
    <row r="1591" customFormat="false" ht="15" hidden="false" customHeight="false" outlineLevel="0" collapsed="false">
      <c r="L1591" s="37" t="str">
        <f aca="false">IF(INDEX($A1591:$J1591,$L$6)&lt;&gt;"",TRIM(LEFT(INDEX($A1591:$J1591,$L$6),FIND("(",INDEX($A1591:$J1591,$L$6)&amp;"(")-1)),L1590)</f>
        <v>Building Value Proposition</v>
      </c>
      <c r="M1591" s="37" t="str">
        <f aca="false">IF(INDEX($A1591:$J1591,$M$6)="","",INDEX($A1591:$J1591,$M$6)&amp;"")</f>
        <v/>
      </c>
      <c r="N1591" s="37" t="str">
        <f aca="false">IF($M1591="","",TRIM(INDEX($A1591:$J1591,$N$6)&amp;""))</f>
        <v/>
      </c>
      <c r="O1591" s="37" t="str">
        <f aca="false">IF($M1591="","",TRIM(INDEX($A1591:$J1591,$O$6)&amp;""))</f>
        <v/>
      </c>
      <c r="P1591" s="37" t="str">
        <f aca="false">IF($M1591="","",IFERROR(IF(INDEX(Settings!$B$41:$B$50,MATCH(O1591,Settings!$A$41:$A$50,0))&amp;""="","UNMAPPED",INDEX(Settings!$B$41:$B$50,MATCH(O1591,Settings!$A$41:$A$50,0))&amp;""),"UNMAPPED"))</f>
        <v/>
      </c>
      <c r="Q1591" s="38" t="n">
        <f aca="false">IF($M1591="",0,N(INDEX($A1591:$J1591,$Q$6)))</f>
        <v>0</v>
      </c>
      <c r="R1591" s="39" t="str">
        <f aca="false">IF($M1591="","",INDEX($A1591:$J1591,$R$6))</f>
        <v/>
      </c>
      <c r="S1591" s="37" t="str">
        <f aca="false">IF($M1591="","",IFERROR(INDEX(Settings!$B$27:$B$36,MATCH(L1591,Settings!$A$27:$A$36,0))&amp;"","UNMAPPED"))</f>
        <v/>
      </c>
      <c r="T1591" s="37" t="str">
        <f aca="false">IF($M1591="","",IF(NOT(ISNUMBER(R1591)),"NO DATE",IF(S1591="Won",IF(R1591&gt;Settings!$B$5,"Backlog","Delivered"),IF(S1591="Open",IF(R1591&gt;Settings!$B$5,"Pipeline","Overdue"),IF(S1591="Lost","Lost","UNMAPPED")))))</f>
        <v/>
      </c>
      <c r="U1591" s="40" t="n">
        <f aca="false">IF(T1591="Backlog",1,IF(OR(T1591="Pipeline",T1591="Overdue"),N(INDEX(Settings!$C$27:$C$36,MATCH(L1591,Settings!$A$27:$A$36,0))),0))</f>
        <v>0</v>
      </c>
      <c r="V1591" s="38" t="n">
        <f aca="false">Q1591*U1591</f>
        <v>0</v>
      </c>
      <c r="W1591" s="41" t="str">
        <f aca="false">IF($M1591="","",IF(T1591="Overdue",IF(Settings!$B$8="Yes",Settings!$B$7,""),IF(ISNUMBER(R1591),DATE(YEAR(R1591),MONTH(R1591),1),"")))</f>
        <v/>
      </c>
      <c r="X1591" s="38" t="n">
        <f aca="false">IF(AND(OR(T1591="Backlog",T1591="Pipeline",T1591="Overdue"),ISNUMBER(W1591)),IF(W1591&lt;=Settings!$B$6,V1591,0),0)</f>
        <v>0</v>
      </c>
      <c r="Y1591" s="38" t="n">
        <f aca="false">IF(AND(OR(T1591="Backlog",T1591="Pipeline",T1591="Overdue"),ISNUMBER(W1591)),IF(W1591&lt;=Settings!$B$6,Q1591,0),0)</f>
        <v>0</v>
      </c>
      <c r="Z1591" s="38" t="n">
        <f aca="false">IF(Y1591=0,0,IF(T1591="Backlog",Q1591,Q1591*Dashboard!$C$10))</f>
        <v>0</v>
      </c>
      <c r="AA1591" s="37" t="n">
        <f aca="false">IF($N1591="",0,IF(COUNTIF(Dashboard!$C$13:$C$22,$N1591)&gt;0,1,0))</f>
        <v>0</v>
      </c>
      <c r="AB1591" s="37" t="str">
        <f aca="false">IF($N1591="","",IF(COUNTIF($N$8:$N1591,$N1591)=1,MAX($AB$7:$AB1590)+1,""))</f>
        <v/>
      </c>
    </row>
    <row r="1592" customFormat="false" ht="15" hidden="false" customHeight="false" outlineLevel="0" collapsed="false">
      <c r="L1592" s="37" t="str">
        <f aca="false">IF(INDEX($A1592:$J1592,$L$6)&lt;&gt;"",TRIM(LEFT(INDEX($A1592:$J1592,$L$6),FIND("(",INDEX($A1592:$J1592,$L$6)&amp;"(")-1)),L1591)</f>
        <v>Building Value Proposition</v>
      </c>
      <c r="M1592" s="37" t="str">
        <f aca="false">IF(INDEX($A1592:$J1592,$M$6)="","",INDEX($A1592:$J1592,$M$6)&amp;"")</f>
        <v/>
      </c>
      <c r="N1592" s="37" t="str">
        <f aca="false">IF($M1592="","",TRIM(INDEX($A1592:$J1592,$N$6)&amp;""))</f>
        <v/>
      </c>
      <c r="O1592" s="37" t="str">
        <f aca="false">IF($M1592="","",TRIM(INDEX($A1592:$J1592,$O$6)&amp;""))</f>
        <v/>
      </c>
      <c r="P1592" s="37" t="str">
        <f aca="false">IF($M1592="","",IFERROR(IF(INDEX(Settings!$B$41:$B$50,MATCH(O1592,Settings!$A$41:$A$50,0))&amp;""="","UNMAPPED",INDEX(Settings!$B$41:$B$50,MATCH(O1592,Settings!$A$41:$A$50,0))&amp;""),"UNMAPPED"))</f>
        <v/>
      </c>
      <c r="Q1592" s="38" t="n">
        <f aca="false">IF($M1592="",0,N(INDEX($A1592:$J1592,$Q$6)))</f>
        <v>0</v>
      </c>
      <c r="R1592" s="39" t="str">
        <f aca="false">IF($M1592="","",INDEX($A1592:$J1592,$R$6))</f>
        <v/>
      </c>
      <c r="S1592" s="37" t="str">
        <f aca="false">IF($M1592="","",IFERROR(INDEX(Settings!$B$27:$B$36,MATCH(L1592,Settings!$A$27:$A$36,0))&amp;"","UNMAPPED"))</f>
        <v/>
      </c>
      <c r="T1592" s="37" t="str">
        <f aca="false">IF($M1592="","",IF(NOT(ISNUMBER(R1592)),"NO DATE",IF(S1592="Won",IF(R1592&gt;Settings!$B$5,"Backlog","Delivered"),IF(S1592="Open",IF(R1592&gt;Settings!$B$5,"Pipeline","Overdue"),IF(S1592="Lost","Lost","UNMAPPED")))))</f>
        <v/>
      </c>
      <c r="U1592" s="40" t="n">
        <f aca="false">IF(T1592="Backlog",1,IF(OR(T1592="Pipeline",T1592="Overdue"),N(INDEX(Settings!$C$27:$C$36,MATCH(L1592,Settings!$A$27:$A$36,0))),0))</f>
        <v>0</v>
      </c>
      <c r="V1592" s="38" t="n">
        <f aca="false">Q1592*U1592</f>
        <v>0</v>
      </c>
      <c r="W1592" s="41" t="str">
        <f aca="false">IF($M1592="","",IF(T1592="Overdue",IF(Settings!$B$8="Yes",Settings!$B$7,""),IF(ISNUMBER(R1592),DATE(YEAR(R1592),MONTH(R1592),1),"")))</f>
        <v/>
      </c>
      <c r="X1592" s="38" t="n">
        <f aca="false">IF(AND(OR(T1592="Backlog",T1592="Pipeline",T1592="Overdue"),ISNUMBER(W1592)),IF(W1592&lt;=Settings!$B$6,V1592,0),0)</f>
        <v>0</v>
      </c>
      <c r="Y1592" s="38" t="n">
        <f aca="false">IF(AND(OR(T1592="Backlog",T1592="Pipeline",T1592="Overdue"),ISNUMBER(W1592)),IF(W1592&lt;=Settings!$B$6,Q1592,0),0)</f>
        <v>0</v>
      </c>
      <c r="Z1592" s="38" t="n">
        <f aca="false">IF(Y1592=0,0,IF(T1592="Backlog",Q1592,Q1592*Dashboard!$C$10))</f>
        <v>0</v>
      </c>
      <c r="AA1592" s="37" t="n">
        <f aca="false">IF($N1592="",0,IF(COUNTIF(Dashboard!$C$13:$C$22,$N1592)&gt;0,1,0))</f>
        <v>0</v>
      </c>
      <c r="AB1592" s="37" t="str">
        <f aca="false">IF($N1592="","",IF(COUNTIF($N$8:$N1592,$N1592)=1,MAX($AB$7:$AB1591)+1,""))</f>
        <v/>
      </c>
    </row>
    <row r="1593" customFormat="false" ht="15" hidden="false" customHeight="false" outlineLevel="0" collapsed="false">
      <c r="L1593" s="37" t="str">
        <f aca="false">IF(INDEX($A1593:$J1593,$L$6)&lt;&gt;"",TRIM(LEFT(INDEX($A1593:$J1593,$L$6),FIND("(",INDEX($A1593:$J1593,$L$6)&amp;"(")-1)),L1592)</f>
        <v>Building Value Proposition</v>
      </c>
      <c r="M1593" s="37" t="str">
        <f aca="false">IF(INDEX($A1593:$J1593,$M$6)="","",INDEX($A1593:$J1593,$M$6)&amp;"")</f>
        <v/>
      </c>
      <c r="N1593" s="37" t="str">
        <f aca="false">IF($M1593="","",TRIM(INDEX($A1593:$J1593,$N$6)&amp;""))</f>
        <v/>
      </c>
      <c r="O1593" s="37" t="str">
        <f aca="false">IF($M1593="","",TRIM(INDEX($A1593:$J1593,$O$6)&amp;""))</f>
        <v/>
      </c>
      <c r="P1593" s="37" t="str">
        <f aca="false">IF($M1593="","",IFERROR(IF(INDEX(Settings!$B$41:$B$50,MATCH(O1593,Settings!$A$41:$A$50,0))&amp;""="","UNMAPPED",INDEX(Settings!$B$41:$B$50,MATCH(O1593,Settings!$A$41:$A$50,0))&amp;""),"UNMAPPED"))</f>
        <v/>
      </c>
      <c r="Q1593" s="38" t="n">
        <f aca="false">IF($M1593="",0,N(INDEX($A1593:$J1593,$Q$6)))</f>
        <v>0</v>
      </c>
      <c r="R1593" s="39" t="str">
        <f aca="false">IF($M1593="","",INDEX($A1593:$J1593,$R$6))</f>
        <v/>
      </c>
      <c r="S1593" s="37" t="str">
        <f aca="false">IF($M1593="","",IFERROR(INDEX(Settings!$B$27:$B$36,MATCH(L1593,Settings!$A$27:$A$36,0))&amp;"","UNMAPPED"))</f>
        <v/>
      </c>
      <c r="T1593" s="37" t="str">
        <f aca="false">IF($M1593="","",IF(NOT(ISNUMBER(R1593)),"NO DATE",IF(S1593="Won",IF(R1593&gt;Settings!$B$5,"Backlog","Delivered"),IF(S1593="Open",IF(R1593&gt;Settings!$B$5,"Pipeline","Overdue"),IF(S1593="Lost","Lost","UNMAPPED")))))</f>
        <v/>
      </c>
      <c r="U1593" s="40" t="n">
        <f aca="false">IF(T1593="Backlog",1,IF(OR(T1593="Pipeline",T1593="Overdue"),N(INDEX(Settings!$C$27:$C$36,MATCH(L1593,Settings!$A$27:$A$36,0))),0))</f>
        <v>0</v>
      </c>
      <c r="V1593" s="38" t="n">
        <f aca="false">Q1593*U1593</f>
        <v>0</v>
      </c>
      <c r="W1593" s="41" t="str">
        <f aca="false">IF($M1593="","",IF(T1593="Overdue",IF(Settings!$B$8="Yes",Settings!$B$7,""),IF(ISNUMBER(R1593),DATE(YEAR(R1593),MONTH(R1593),1),"")))</f>
        <v/>
      </c>
      <c r="X1593" s="38" t="n">
        <f aca="false">IF(AND(OR(T1593="Backlog",T1593="Pipeline",T1593="Overdue"),ISNUMBER(W1593)),IF(W1593&lt;=Settings!$B$6,V1593,0),0)</f>
        <v>0</v>
      </c>
      <c r="Y1593" s="38" t="n">
        <f aca="false">IF(AND(OR(T1593="Backlog",T1593="Pipeline",T1593="Overdue"),ISNUMBER(W1593)),IF(W1593&lt;=Settings!$B$6,Q1593,0),0)</f>
        <v>0</v>
      </c>
      <c r="Z1593" s="38" t="n">
        <f aca="false">IF(Y1593=0,0,IF(T1593="Backlog",Q1593,Q1593*Dashboard!$C$10))</f>
        <v>0</v>
      </c>
      <c r="AA1593" s="37" t="n">
        <f aca="false">IF($N1593="",0,IF(COUNTIF(Dashboard!$C$13:$C$22,$N1593)&gt;0,1,0))</f>
        <v>0</v>
      </c>
      <c r="AB1593" s="37" t="str">
        <f aca="false">IF($N1593="","",IF(COUNTIF($N$8:$N1593,$N1593)=1,MAX($AB$7:$AB1592)+1,""))</f>
        <v/>
      </c>
    </row>
    <row r="1594" customFormat="false" ht="15" hidden="false" customHeight="false" outlineLevel="0" collapsed="false">
      <c r="L1594" s="37" t="str">
        <f aca="false">IF(INDEX($A1594:$J1594,$L$6)&lt;&gt;"",TRIM(LEFT(INDEX($A1594:$J1594,$L$6),FIND("(",INDEX($A1594:$J1594,$L$6)&amp;"(")-1)),L1593)</f>
        <v>Building Value Proposition</v>
      </c>
      <c r="M1594" s="37" t="str">
        <f aca="false">IF(INDEX($A1594:$J1594,$M$6)="","",INDEX($A1594:$J1594,$M$6)&amp;"")</f>
        <v/>
      </c>
      <c r="N1594" s="37" t="str">
        <f aca="false">IF($M1594="","",TRIM(INDEX($A1594:$J1594,$N$6)&amp;""))</f>
        <v/>
      </c>
      <c r="O1594" s="37" t="str">
        <f aca="false">IF($M1594="","",TRIM(INDEX($A1594:$J1594,$O$6)&amp;""))</f>
        <v/>
      </c>
      <c r="P1594" s="37" t="str">
        <f aca="false">IF($M1594="","",IFERROR(IF(INDEX(Settings!$B$41:$B$50,MATCH(O1594,Settings!$A$41:$A$50,0))&amp;""="","UNMAPPED",INDEX(Settings!$B$41:$B$50,MATCH(O1594,Settings!$A$41:$A$50,0))&amp;""),"UNMAPPED"))</f>
        <v/>
      </c>
      <c r="Q1594" s="38" t="n">
        <f aca="false">IF($M1594="",0,N(INDEX($A1594:$J1594,$Q$6)))</f>
        <v>0</v>
      </c>
      <c r="R1594" s="39" t="str">
        <f aca="false">IF($M1594="","",INDEX($A1594:$J1594,$R$6))</f>
        <v/>
      </c>
      <c r="S1594" s="37" t="str">
        <f aca="false">IF($M1594="","",IFERROR(INDEX(Settings!$B$27:$B$36,MATCH(L1594,Settings!$A$27:$A$36,0))&amp;"","UNMAPPED"))</f>
        <v/>
      </c>
      <c r="T1594" s="37" t="str">
        <f aca="false">IF($M1594="","",IF(NOT(ISNUMBER(R1594)),"NO DATE",IF(S1594="Won",IF(R1594&gt;Settings!$B$5,"Backlog","Delivered"),IF(S1594="Open",IF(R1594&gt;Settings!$B$5,"Pipeline","Overdue"),IF(S1594="Lost","Lost","UNMAPPED")))))</f>
        <v/>
      </c>
      <c r="U1594" s="40" t="n">
        <f aca="false">IF(T1594="Backlog",1,IF(OR(T1594="Pipeline",T1594="Overdue"),N(INDEX(Settings!$C$27:$C$36,MATCH(L1594,Settings!$A$27:$A$36,0))),0))</f>
        <v>0</v>
      </c>
      <c r="V1594" s="38" t="n">
        <f aca="false">Q1594*U1594</f>
        <v>0</v>
      </c>
      <c r="W1594" s="41" t="str">
        <f aca="false">IF($M1594="","",IF(T1594="Overdue",IF(Settings!$B$8="Yes",Settings!$B$7,""),IF(ISNUMBER(R1594),DATE(YEAR(R1594),MONTH(R1594),1),"")))</f>
        <v/>
      </c>
      <c r="X1594" s="38" t="n">
        <f aca="false">IF(AND(OR(T1594="Backlog",T1594="Pipeline",T1594="Overdue"),ISNUMBER(W1594)),IF(W1594&lt;=Settings!$B$6,V1594,0),0)</f>
        <v>0</v>
      </c>
      <c r="Y1594" s="38" t="n">
        <f aca="false">IF(AND(OR(T1594="Backlog",T1594="Pipeline",T1594="Overdue"),ISNUMBER(W1594)),IF(W1594&lt;=Settings!$B$6,Q1594,0),0)</f>
        <v>0</v>
      </c>
      <c r="Z1594" s="38" t="n">
        <f aca="false">IF(Y1594=0,0,IF(T1594="Backlog",Q1594,Q1594*Dashboard!$C$10))</f>
        <v>0</v>
      </c>
      <c r="AA1594" s="37" t="n">
        <f aca="false">IF($N1594="",0,IF(COUNTIF(Dashboard!$C$13:$C$22,$N1594)&gt;0,1,0))</f>
        <v>0</v>
      </c>
      <c r="AB1594" s="37" t="str">
        <f aca="false">IF($N1594="","",IF(COUNTIF($N$8:$N1594,$N1594)=1,MAX($AB$7:$AB1593)+1,""))</f>
        <v/>
      </c>
    </row>
    <row r="1595" customFormat="false" ht="15" hidden="false" customHeight="false" outlineLevel="0" collapsed="false">
      <c r="L1595" s="37" t="str">
        <f aca="false">IF(INDEX($A1595:$J1595,$L$6)&lt;&gt;"",TRIM(LEFT(INDEX($A1595:$J1595,$L$6),FIND("(",INDEX($A1595:$J1595,$L$6)&amp;"(")-1)),L1594)</f>
        <v>Building Value Proposition</v>
      </c>
      <c r="M1595" s="37" t="str">
        <f aca="false">IF(INDEX($A1595:$J1595,$M$6)="","",INDEX($A1595:$J1595,$M$6)&amp;"")</f>
        <v/>
      </c>
      <c r="N1595" s="37" t="str">
        <f aca="false">IF($M1595="","",TRIM(INDEX($A1595:$J1595,$N$6)&amp;""))</f>
        <v/>
      </c>
      <c r="O1595" s="37" t="str">
        <f aca="false">IF($M1595="","",TRIM(INDEX($A1595:$J1595,$O$6)&amp;""))</f>
        <v/>
      </c>
      <c r="P1595" s="37" t="str">
        <f aca="false">IF($M1595="","",IFERROR(IF(INDEX(Settings!$B$41:$B$50,MATCH(O1595,Settings!$A$41:$A$50,0))&amp;""="","UNMAPPED",INDEX(Settings!$B$41:$B$50,MATCH(O1595,Settings!$A$41:$A$50,0))&amp;""),"UNMAPPED"))</f>
        <v/>
      </c>
      <c r="Q1595" s="38" t="n">
        <f aca="false">IF($M1595="",0,N(INDEX($A1595:$J1595,$Q$6)))</f>
        <v>0</v>
      </c>
      <c r="R1595" s="39" t="str">
        <f aca="false">IF($M1595="","",INDEX($A1595:$J1595,$R$6))</f>
        <v/>
      </c>
      <c r="S1595" s="37" t="str">
        <f aca="false">IF($M1595="","",IFERROR(INDEX(Settings!$B$27:$B$36,MATCH(L1595,Settings!$A$27:$A$36,0))&amp;"","UNMAPPED"))</f>
        <v/>
      </c>
      <c r="T1595" s="37" t="str">
        <f aca="false">IF($M1595="","",IF(NOT(ISNUMBER(R1595)),"NO DATE",IF(S1595="Won",IF(R1595&gt;Settings!$B$5,"Backlog","Delivered"),IF(S1595="Open",IF(R1595&gt;Settings!$B$5,"Pipeline","Overdue"),IF(S1595="Lost","Lost","UNMAPPED")))))</f>
        <v/>
      </c>
      <c r="U1595" s="40" t="n">
        <f aca="false">IF(T1595="Backlog",1,IF(OR(T1595="Pipeline",T1595="Overdue"),N(INDEX(Settings!$C$27:$C$36,MATCH(L1595,Settings!$A$27:$A$36,0))),0))</f>
        <v>0</v>
      </c>
      <c r="V1595" s="38" t="n">
        <f aca="false">Q1595*U1595</f>
        <v>0</v>
      </c>
      <c r="W1595" s="41" t="str">
        <f aca="false">IF($M1595="","",IF(T1595="Overdue",IF(Settings!$B$8="Yes",Settings!$B$7,""),IF(ISNUMBER(R1595),DATE(YEAR(R1595),MONTH(R1595),1),"")))</f>
        <v/>
      </c>
      <c r="X1595" s="38" t="n">
        <f aca="false">IF(AND(OR(T1595="Backlog",T1595="Pipeline",T1595="Overdue"),ISNUMBER(W1595)),IF(W1595&lt;=Settings!$B$6,V1595,0),0)</f>
        <v>0</v>
      </c>
      <c r="Y1595" s="38" t="n">
        <f aca="false">IF(AND(OR(T1595="Backlog",T1595="Pipeline",T1595="Overdue"),ISNUMBER(W1595)),IF(W1595&lt;=Settings!$B$6,Q1595,0),0)</f>
        <v>0</v>
      </c>
      <c r="Z1595" s="38" t="n">
        <f aca="false">IF(Y1595=0,0,IF(T1595="Backlog",Q1595,Q1595*Dashboard!$C$10))</f>
        <v>0</v>
      </c>
      <c r="AA1595" s="37" t="n">
        <f aca="false">IF($N1595="",0,IF(COUNTIF(Dashboard!$C$13:$C$22,$N1595)&gt;0,1,0))</f>
        <v>0</v>
      </c>
      <c r="AB1595" s="37" t="str">
        <f aca="false">IF($N1595="","",IF(COUNTIF($N$8:$N1595,$N1595)=1,MAX($AB$7:$AB1594)+1,""))</f>
        <v/>
      </c>
    </row>
    <row r="1596" customFormat="false" ht="15" hidden="false" customHeight="false" outlineLevel="0" collapsed="false">
      <c r="L1596" s="37" t="str">
        <f aca="false">IF(INDEX($A1596:$J1596,$L$6)&lt;&gt;"",TRIM(LEFT(INDEX($A1596:$J1596,$L$6),FIND("(",INDEX($A1596:$J1596,$L$6)&amp;"(")-1)),L1595)</f>
        <v>Building Value Proposition</v>
      </c>
      <c r="M1596" s="37" t="str">
        <f aca="false">IF(INDEX($A1596:$J1596,$M$6)="","",INDEX($A1596:$J1596,$M$6)&amp;"")</f>
        <v/>
      </c>
      <c r="N1596" s="37" t="str">
        <f aca="false">IF($M1596="","",TRIM(INDEX($A1596:$J1596,$N$6)&amp;""))</f>
        <v/>
      </c>
      <c r="O1596" s="37" t="str">
        <f aca="false">IF($M1596="","",TRIM(INDEX($A1596:$J1596,$O$6)&amp;""))</f>
        <v/>
      </c>
      <c r="P1596" s="37" t="str">
        <f aca="false">IF($M1596="","",IFERROR(IF(INDEX(Settings!$B$41:$B$50,MATCH(O1596,Settings!$A$41:$A$50,0))&amp;""="","UNMAPPED",INDEX(Settings!$B$41:$B$50,MATCH(O1596,Settings!$A$41:$A$50,0))&amp;""),"UNMAPPED"))</f>
        <v/>
      </c>
      <c r="Q1596" s="38" t="n">
        <f aca="false">IF($M1596="",0,N(INDEX($A1596:$J1596,$Q$6)))</f>
        <v>0</v>
      </c>
      <c r="R1596" s="39" t="str">
        <f aca="false">IF($M1596="","",INDEX($A1596:$J1596,$R$6))</f>
        <v/>
      </c>
      <c r="S1596" s="37" t="str">
        <f aca="false">IF($M1596="","",IFERROR(INDEX(Settings!$B$27:$B$36,MATCH(L1596,Settings!$A$27:$A$36,0))&amp;"","UNMAPPED"))</f>
        <v/>
      </c>
      <c r="T1596" s="37" t="str">
        <f aca="false">IF($M1596="","",IF(NOT(ISNUMBER(R1596)),"NO DATE",IF(S1596="Won",IF(R1596&gt;Settings!$B$5,"Backlog","Delivered"),IF(S1596="Open",IF(R1596&gt;Settings!$B$5,"Pipeline","Overdue"),IF(S1596="Lost","Lost","UNMAPPED")))))</f>
        <v/>
      </c>
      <c r="U1596" s="40" t="n">
        <f aca="false">IF(T1596="Backlog",1,IF(OR(T1596="Pipeline",T1596="Overdue"),N(INDEX(Settings!$C$27:$C$36,MATCH(L1596,Settings!$A$27:$A$36,0))),0))</f>
        <v>0</v>
      </c>
      <c r="V1596" s="38" t="n">
        <f aca="false">Q1596*U1596</f>
        <v>0</v>
      </c>
      <c r="W1596" s="41" t="str">
        <f aca="false">IF($M1596="","",IF(T1596="Overdue",IF(Settings!$B$8="Yes",Settings!$B$7,""),IF(ISNUMBER(R1596),DATE(YEAR(R1596),MONTH(R1596),1),"")))</f>
        <v/>
      </c>
      <c r="X1596" s="38" t="n">
        <f aca="false">IF(AND(OR(T1596="Backlog",T1596="Pipeline",T1596="Overdue"),ISNUMBER(W1596)),IF(W1596&lt;=Settings!$B$6,V1596,0),0)</f>
        <v>0</v>
      </c>
      <c r="Y1596" s="38" t="n">
        <f aca="false">IF(AND(OR(T1596="Backlog",T1596="Pipeline",T1596="Overdue"),ISNUMBER(W1596)),IF(W1596&lt;=Settings!$B$6,Q1596,0),0)</f>
        <v>0</v>
      </c>
      <c r="Z1596" s="38" t="n">
        <f aca="false">IF(Y1596=0,0,IF(T1596="Backlog",Q1596,Q1596*Dashboard!$C$10))</f>
        <v>0</v>
      </c>
      <c r="AA1596" s="37" t="n">
        <f aca="false">IF($N1596="",0,IF(COUNTIF(Dashboard!$C$13:$C$22,$N1596)&gt;0,1,0))</f>
        <v>0</v>
      </c>
      <c r="AB1596" s="37" t="str">
        <f aca="false">IF($N1596="","",IF(COUNTIF($N$8:$N1596,$N1596)=1,MAX($AB$7:$AB1595)+1,""))</f>
        <v/>
      </c>
    </row>
    <row r="1597" customFormat="false" ht="15" hidden="false" customHeight="false" outlineLevel="0" collapsed="false">
      <c r="L1597" s="37" t="str">
        <f aca="false">IF(INDEX($A1597:$J1597,$L$6)&lt;&gt;"",TRIM(LEFT(INDEX($A1597:$J1597,$L$6),FIND("(",INDEX($A1597:$J1597,$L$6)&amp;"(")-1)),L1596)</f>
        <v>Building Value Proposition</v>
      </c>
      <c r="M1597" s="37" t="str">
        <f aca="false">IF(INDEX($A1597:$J1597,$M$6)="","",INDEX($A1597:$J1597,$M$6)&amp;"")</f>
        <v/>
      </c>
      <c r="N1597" s="37" t="str">
        <f aca="false">IF($M1597="","",TRIM(INDEX($A1597:$J1597,$N$6)&amp;""))</f>
        <v/>
      </c>
      <c r="O1597" s="37" t="str">
        <f aca="false">IF($M1597="","",TRIM(INDEX($A1597:$J1597,$O$6)&amp;""))</f>
        <v/>
      </c>
      <c r="P1597" s="37" t="str">
        <f aca="false">IF($M1597="","",IFERROR(IF(INDEX(Settings!$B$41:$B$50,MATCH(O1597,Settings!$A$41:$A$50,0))&amp;""="","UNMAPPED",INDEX(Settings!$B$41:$B$50,MATCH(O1597,Settings!$A$41:$A$50,0))&amp;""),"UNMAPPED"))</f>
        <v/>
      </c>
      <c r="Q1597" s="38" t="n">
        <f aca="false">IF($M1597="",0,N(INDEX($A1597:$J1597,$Q$6)))</f>
        <v>0</v>
      </c>
      <c r="R1597" s="39" t="str">
        <f aca="false">IF($M1597="","",INDEX($A1597:$J1597,$R$6))</f>
        <v/>
      </c>
      <c r="S1597" s="37" t="str">
        <f aca="false">IF($M1597="","",IFERROR(INDEX(Settings!$B$27:$B$36,MATCH(L1597,Settings!$A$27:$A$36,0))&amp;"","UNMAPPED"))</f>
        <v/>
      </c>
      <c r="T1597" s="37" t="str">
        <f aca="false">IF($M1597="","",IF(NOT(ISNUMBER(R1597)),"NO DATE",IF(S1597="Won",IF(R1597&gt;Settings!$B$5,"Backlog","Delivered"),IF(S1597="Open",IF(R1597&gt;Settings!$B$5,"Pipeline","Overdue"),IF(S1597="Lost","Lost","UNMAPPED")))))</f>
        <v/>
      </c>
      <c r="U1597" s="40" t="n">
        <f aca="false">IF(T1597="Backlog",1,IF(OR(T1597="Pipeline",T1597="Overdue"),N(INDEX(Settings!$C$27:$C$36,MATCH(L1597,Settings!$A$27:$A$36,0))),0))</f>
        <v>0</v>
      </c>
      <c r="V1597" s="38" t="n">
        <f aca="false">Q1597*U1597</f>
        <v>0</v>
      </c>
      <c r="W1597" s="41" t="str">
        <f aca="false">IF($M1597="","",IF(T1597="Overdue",IF(Settings!$B$8="Yes",Settings!$B$7,""),IF(ISNUMBER(R1597),DATE(YEAR(R1597),MONTH(R1597),1),"")))</f>
        <v/>
      </c>
      <c r="X1597" s="38" t="n">
        <f aca="false">IF(AND(OR(T1597="Backlog",T1597="Pipeline",T1597="Overdue"),ISNUMBER(W1597)),IF(W1597&lt;=Settings!$B$6,V1597,0),0)</f>
        <v>0</v>
      </c>
      <c r="Y1597" s="38" t="n">
        <f aca="false">IF(AND(OR(T1597="Backlog",T1597="Pipeline",T1597="Overdue"),ISNUMBER(W1597)),IF(W1597&lt;=Settings!$B$6,Q1597,0),0)</f>
        <v>0</v>
      </c>
      <c r="Z1597" s="38" t="n">
        <f aca="false">IF(Y1597=0,0,IF(T1597="Backlog",Q1597,Q1597*Dashboard!$C$10))</f>
        <v>0</v>
      </c>
      <c r="AA1597" s="37" t="n">
        <f aca="false">IF($N1597="",0,IF(COUNTIF(Dashboard!$C$13:$C$22,$N1597)&gt;0,1,0))</f>
        <v>0</v>
      </c>
      <c r="AB1597" s="37" t="str">
        <f aca="false">IF($N1597="","",IF(COUNTIF($N$8:$N1597,$N1597)=1,MAX($AB$7:$AB1596)+1,""))</f>
        <v/>
      </c>
    </row>
    <row r="1598" customFormat="false" ht="15" hidden="false" customHeight="false" outlineLevel="0" collapsed="false">
      <c r="L1598" s="37" t="str">
        <f aca="false">IF(INDEX($A1598:$J1598,$L$6)&lt;&gt;"",TRIM(LEFT(INDEX($A1598:$J1598,$L$6),FIND("(",INDEX($A1598:$J1598,$L$6)&amp;"(")-1)),L1597)</f>
        <v>Building Value Proposition</v>
      </c>
      <c r="M1598" s="37" t="str">
        <f aca="false">IF(INDEX($A1598:$J1598,$M$6)="","",INDEX($A1598:$J1598,$M$6)&amp;"")</f>
        <v/>
      </c>
      <c r="N1598" s="37" t="str">
        <f aca="false">IF($M1598="","",TRIM(INDEX($A1598:$J1598,$N$6)&amp;""))</f>
        <v/>
      </c>
      <c r="O1598" s="37" t="str">
        <f aca="false">IF($M1598="","",TRIM(INDEX($A1598:$J1598,$O$6)&amp;""))</f>
        <v/>
      </c>
      <c r="P1598" s="37" t="str">
        <f aca="false">IF($M1598="","",IFERROR(IF(INDEX(Settings!$B$41:$B$50,MATCH(O1598,Settings!$A$41:$A$50,0))&amp;""="","UNMAPPED",INDEX(Settings!$B$41:$B$50,MATCH(O1598,Settings!$A$41:$A$50,0))&amp;""),"UNMAPPED"))</f>
        <v/>
      </c>
      <c r="Q1598" s="38" t="n">
        <f aca="false">IF($M1598="",0,N(INDEX($A1598:$J1598,$Q$6)))</f>
        <v>0</v>
      </c>
      <c r="R1598" s="39" t="str">
        <f aca="false">IF($M1598="","",INDEX($A1598:$J1598,$R$6))</f>
        <v/>
      </c>
      <c r="S1598" s="37" t="str">
        <f aca="false">IF($M1598="","",IFERROR(INDEX(Settings!$B$27:$B$36,MATCH(L1598,Settings!$A$27:$A$36,0))&amp;"","UNMAPPED"))</f>
        <v/>
      </c>
      <c r="T1598" s="37" t="str">
        <f aca="false">IF($M1598="","",IF(NOT(ISNUMBER(R1598)),"NO DATE",IF(S1598="Won",IF(R1598&gt;Settings!$B$5,"Backlog","Delivered"),IF(S1598="Open",IF(R1598&gt;Settings!$B$5,"Pipeline","Overdue"),IF(S1598="Lost","Lost","UNMAPPED")))))</f>
        <v/>
      </c>
      <c r="U1598" s="40" t="n">
        <f aca="false">IF(T1598="Backlog",1,IF(OR(T1598="Pipeline",T1598="Overdue"),N(INDEX(Settings!$C$27:$C$36,MATCH(L1598,Settings!$A$27:$A$36,0))),0))</f>
        <v>0</v>
      </c>
      <c r="V1598" s="38" t="n">
        <f aca="false">Q1598*U1598</f>
        <v>0</v>
      </c>
      <c r="W1598" s="41" t="str">
        <f aca="false">IF($M1598="","",IF(T1598="Overdue",IF(Settings!$B$8="Yes",Settings!$B$7,""),IF(ISNUMBER(R1598),DATE(YEAR(R1598),MONTH(R1598),1),"")))</f>
        <v/>
      </c>
      <c r="X1598" s="38" t="n">
        <f aca="false">IF(AND(OR(T1598="Backlog",T1598="Pipeline",T1598="Overdue"),ISNUMBER(W1598)),IF(W1598&lt;=Settings!$B$6,V1598,0),0)</f>
        <v>0</v>
      </c>
      <c r="Y1598" s="38" t="n">
        <f aca="false">IF(AND(OR(T1598="Backlog",T1598="Pipeline",T1598="Overdue"),ISNUMBER(W1598)),IF(W1598&lt;=Settings!$B$6,Q1598,0),0)</f>
        <v>0</v>
      </c>
      <c r="Z1598" s="38" t="n">
        <f aca="false">IF(Y1598=0,0,IF(T1598="Backlog",Q1598,Q1598*Dashboard!$C$10))</f>
        <v>0</v>
      </c>
      <c r="AA1598" s="37" t="n">
        <f aca="false">IF($N1598="",0,IF(COUNTIF(Dashboard!$C$13:$C$22,$N1598)&gt;0,1,0))</f>
        <v>0</v>
      </c>
      <c r="AB1598" s="37" t="str">
        <f aca="false">IF($N1598="","",IF(COUNTIF($N$8:$N1598,$N1598)=1,MAX($AB$7:$AB1597)+1,""))</f>
        <v/>
      </c>
    </row>
    <row r="1599" customFormat="false" ht="15" hidden="false" customHeight="false" outlineLevel="0" collapsed="false">
      <c r="L1599" s="37" t="str">
        <f aca="false">IF(INDEX($A1599:$J1599,$L$6)&lt;&gt;"",TRIM(LEFT(INDEX($A1599:$J1599,$L$6),FIND("(",INDEX($A1599:$J1599,$L$6)&amp;"(")-1)),L1598)</f>
        <v>Building Value Proposition</v>
      </c>
      <c r="M1599" s="37" t="str">
        <f aca="false">IF(INDEX($A1599:$J1599,$M$6)="","",INDEX($A1599:$J1599,$M$6)&amp;"")</f>
        <v/>
      </c>
      <c r="N1599" s="37" t="str">
        <f aca="false">IF($M1599="","",TRIM(INDEX($A1599:$J1599,$N$6)&amp;""))</f>
        <v/>
      </c>
      <c r="O1599" s="37" t="str">
        <f aca="false">IF($M1599="","",TRIM(INDEX($A1599:$J1599,$O$6)&amp;""))</f>
        <v/>
      </c>
      <c r="P1599" s="37" t="str">
        <f aca="false">IF($M1599="","",IFERROR(IF(INDEX(Settings!$B$41:$B$50,MATCH(O1599,Settings!$A$41:$A$50,0))&amp;""="","UNMAPPED",INDEX(Settings!$B$41:$B$50,MATCH(O1599,Settings!$A$41:$A$50,0))&amp;""),"UNMAPPED"))</f>
        <v/>
      </c>
      <c r="Q1599" s="38" t="n">
        <f aca="false">IF($M1599="",0,N(INDEX($A1599:$J1599,$Q$6)))</f>
        <v>0</v>
      </c>
      <c r="R1599" s="39" t="str">
        <f aca="false">IF($M1599="","",INDEX($A1599:$J1599,$R$6))</f>
        <v/>
      </c>
      <c r="S1599" s="37" t="str">
        <f aca="false">IF($M1599="","",IFERROR(INDEX(Settings!$B$27:$B$36,MATCH(L1599,Settings!$A$27:$A$36,0))&amp;"","UNMAPPED"))</f>
        <v/>
      </c>
      <c r="T1599" s="37" t="str">
        <f aca="false">IF($M1599="","",IF(NOT(ISNUMBER(R1599)),"NO DATE",IF(S1599="Won",IF(R1599&gt;Settings!$B$5,"Backlog","Delivered"),IF(S1599="Open",IF(R1599&gt;Settings!$B$5,"Pipeline","Overdue"),IF(S1599="Lost","Lost","UNMAPPED")))))</f>
        <v/>
      </c>
      <c r="U1599" s="40" t="n">
        <f aca="false">IF(T1599="Backlog",1,IF(OR(T1599="Pipeline",T1599="Overdue"),N(INDEX(Settings!$C$27:$C$36,MATCH(L1599,Settings!$A$27:$A$36,0))),0))</f>
        <v>0</v>
      </c>
      <c r="V1599" s="38" t="n">
        <f aca="false">Q1599*U1599</f>
        <v>0</v>
      </c>
      <c r="W1599" s="41" t="str">
        <f aca="false">IF($M1599="","",IF(T1599="Overdue",IF(Settings!$B$8="Yes",Settings!$B$7,""),IF(ISNUMBER(R1599),DATE(YEAR(R1599),MONTH(R1599),1),"")))</f>
        <v/>
      </c>
      <c r="X1599" s="38" t="n">
        <f aca="false">IF(AND(OR(T1599="Backlog",T1599="Pipeline",T1599="Overdue"),ISNUMBER(W1599)),IF(W1599&lt;=Settings!$B$6,V1599,0),0)</f>
        <v>0</v>
      </c>
      <c r="Y1599" s="38" t="n">
        <f aca="false">IF(AND(OR(T1599="Backlog",T1599="Pipeline",T1599="Overdue"),ISNUMBER(W1599)),IF(W1599&lt;=Settings!$B$6,Q1599,0),0)</f>
        <v>0</v>
      </c>
      <c r="Z1599" s="38" t="n">
        <f aca="false">IF(Y1599=0,0,IF(T1599="Backlog",Q1599,Q1599*Dashboard!$C$10))</f>
        <v>0</v>
      </c>
      <c r="AA1599" s="37" t="n">
        <f aca="false">IF($N1599="",0,IF(COUNTIF(Dashboard!$C$13:$C$22,$N1599)&gt;0,1,0))</f>
        <v>0</v>
      </c>
      <c r="AB1599" s="37" t="str">
        <f aca="false">IF($N1599="","",IF(COUNTIF($N$8:$N1599,$N1599)=1,MAX($AB$7:$AB1598)+1,""))</f>
        <v/>
      </c>
    </row>
    <row r="1600" customFormat="false" ht="15" hidden="false" customHeight="false" outlineLevel="0" collapsed="false">
      <c r="L1600" s="37" t="str">
        <f aca="false">IF(INDEX($A1600:$J1600,$L$6)&lt;&gt;"",TRIM(LEFT(INDEX($A1600:$J1600,$L$6),FIND("(",INDEX($A1600:$J1600,$L$6)&amp;"(")-1)),L1599)</f>
        <v>Building Value Proposition</v>
      </c>
      <c r="M1600" s="37" t="str">
        <f aca="false">IF(INDEX($A1600:$J1600,$M$6)="","",INDEX($A1600:$J1600,$M$6)&amp;"")</f>
        <v/>
      </c>
      <c r="N1600" s="37" t="str">
        <f aca="false">IF($M1600="","",TRIM(INDEX($A1600:$J1600,$N$6)&amp;""))</f>
        <v/>
      </c>
      <c r="O1600" s="37" t="str">
        <f aca="false">IF($M1600="","",TRIM(INDEX($A1600:$J1600,$O$6)&amp;""))</f>
        <v/>
      </c>
      <c r="P1600" s="37" t="str">
        <f aca="false">IF($M1600="","",IFERROR(IF(INDEX(Settings!$B$41:$B$50,MATCH(O1600,Settings!$A$41:$A$50,0))&amp;""="","UNMAPPED",INDEX(Settings!$B$41:$B$50,MATCH(O1600,Settings!$A$41:$A$50,0))&amp;""),"UNMAPPED"))</f>
        <v/>
      </c>
      <c r="Q1600" s="38" t="n">
        <f aca="false">IF($M1600="",0,N(INDEX($A1600:$J1600,$Q$6)))</f>
        <v>0</v>
      </c>
      <c r="R1600" s="39" t="str">
        <f aca="false">IF($M1600="","",INDEX($A1600:$J1600,$R$6))</f>
        <v/>
      </c>
      <c r="S1600" s="37" t="str">
        <f aca="false">IF($M1600="","",IFERROR(INDEX(Settings!$B$27:$B$36,MATCH(L1600,Settings!$A$27:$A$36,0))&amp;"","UNMAPPED"))</f>
        <v/>
      </c>
      <c r="T1600" s="37" t="str">
        <f aca="false">IF($M1600="","",IF(NOT(ISNUMBER(R1600)),"NO DATE",IF(S1600="Won",IF(R1600&gt;Settings!$B$5,"Backlog","Delivered"),IF(S1600="Open",IF(R1600&gt;Settings!$B$5,"Pipeline","Overdue"),IF(S1600="Lost","Lost","UNMAPPED")))))</f>
        <v/>
      </c>
      <c r="U1600" s="40" t="n">
        <f aca="false">IF(T1600="Backlog",1,IF(OR(T1600="Pipeline",T1600="Overdue"),N(INDEX(Settings!$C$27:$C$36,MATCH(L1600,Settings!$A$27:$A$36,0))),0))</f>
        <v>0</v>
      </c>
      <c r="V1600" s="38" t="n">
        <f aca="false">Q1600*U1600</f>
        <v>0</v>
      </c>
      <c r="W1600" s="41" t="str">
        <f aca="false">IF($M1600="","",IF(T1600="Overdue",IF(Settings!$B$8="Yes",Settings!$B$7,""),IF(ISNUMBER(R1600),DATE(YEAR(R1600),MONTH(R1600),1),"")))</f>
        <v/>
      </c>
      <c r="X1600" s="38" t="n">
        <f aca="false">IF(AND(OR(T1600="Backlog",T1600="Pipeline",T1600="Overdue"),ISNUMBER(W1600)),IF(W1600&lt;=Settings!$B$6,V1600,0),0)</f>
        <v>0</v>
      </c>
      <c r="Y1600" s="38" t="n">
        <f aca="false">IF(AND(OR(T1600="Backlog",T1600="Pipeline",T1600="Overdue"),ISNUMBER(W1600)),IF(W1600&lt;=Settings!$B$6,Q1600,0),0)</f>
        <v>0</v>
      </c>
      <c r="Z1600" s="38" t="n">
        <f aca="false">IF(Y1600=0,0,IF(T1600="Backlog",Q1600,Q1600*Dashboard!$C$10))</f>
        <v>0</v>
      </c>
      <c r="AA1600" s="37" t="n">
        <f aca="false">IF($N1600="",0,IF(COUNTIF(Dashboard!$C$13:$C$22,$N1600)&gt;0,1,0))</f>
        <v>0</v>
      </c>
      <c r="AB1600" s="37" t="str">
        <f aca="false">IF($N1600="","",IF(COUNTIF($N$8:$N1600,$N1600)=1,MAX($AB$7:$AB1599)+1,""))</f>
        <v/>
      </c>
    </row>
    <row r="1601" customFormat="false" ht="15" hidden="false" customHeight="false" outlineLevel="0" collapsed="false">
      <c r="L1601" s="37" t="str">
        <f aca="false">IF(INDEX($A1601:$J1601,$L$6)&lt;&gt;"",TRIM(LEFT(INDEX($A1601:$J1601,$L$6),FIND("(",INDEX($A1601:$J1601,$L$6)&amp;"(")-1)),L1600)</f>
        <v>Building Value Proposition</v>
      </c>
      <c r="M1601" s="37" t="str">
        <f aca="false">IF(INDEX($A1601:$J1601,$M$6)="","",INDEX($A1601:$J1601,$M$6)&amp;"")</f>
        <v/>
      </c>
      <c r="N1601" s="37" t="str">
        <f aca="false">IF($M1601="","",TRIM(INDEX($A1601:$J1601,$N$6)&amp;""))</f>
        <v/>
      </c>
      <c r="O1601" s="37" t="str">
        <f aca="false">IF($M1601="","",TRIM(INDEX($A1601:$J1601,$O$6)&amp;""))</f>
        <v/>
      </c>
      <c r="P1601" s="37" t="str">
        <f aca="false">IF($M1601="","",IFERROR(IF(INDEX(Settings!$B$41:$B$50,MATCH(O1601,Settings!$A$41:$A$50,0))&amp;""="","UNMAPPED",INDEX(Settings!$B$41:$B$50,MATCH(O1601,Settings!$A$41:$A$50,0))&amp;""),"UNMAPPED"))</f>
        <v/>
      </c>
      <c r="Q1601" s="38" t="n">
        <f aca="false">IF($M1601="",0,N(INDEX($A1601:$J1601,$Q$6)))</f>
        <v>0</v>
      </c>
      <c r="R1601" s="39" t="str">
        <f aca="false">IF($M1601="","",INDEX($A1601:$J1601,$R$6))</f>
        <v/>
      </c>
      <c r="S1601" s="37" t="str">
        <f aca="false">IF($M1601="","",IFERROR(INDEX(Settings!$B$27:$B$36,MATCH(L1601,Settings!$A$27:$A$36,0))&amp;"","UNMAPPED"))</f>
        <v/>
      </c>
      <c r="T1601" s="37" t="str">
        <f aca="false">IF($M1601="","",IF(NOT(ISNUMBER(R1601)),"NO DATE",IF(S1601="Won",IF(R1601&gt;Settings!$B$5,"Backlog","Delivered"),IF(S1601="Open",IF(R1601&gt;Settings!$B$5,"Pipeline","Overdue"),IF(S1601="Lost","Lost","UNMAPPED")))))</f>
        <v/>
      </c>
      <c r="U1601" s="40" t="n">
        <f aca="false">IF(T1601="Backlog",1,IF(OR(T1601="Pipeline",T1601="Overdue"),N(INDEX(Settings!$C$27:$C$36,MATCH(L1601,Settings!$A$27:$A$36,0))),0))</f>
        <v>0</v>
      </c>
      <c r="V1601" s="38" t="n">
        <f aca="false">Q1601*U1601</f>
        <v>0</v>
      </c>
      <c r="W1601" s="41" t="str">
        <f aca="false">IF($M1601="","",IF(T1601="Overdue",IF(Settings!$B$8="Yes",Settings!$B$7,""),IF(ISNUMBER(R1601),DATE(YEAR(R1601),MONTH(R1601),1),"")))</f>
        <v/>
      </c>
      <c r="X1601" s="38" t="n">
        <f aca="false">IF(AND(OR(T1601="Backlog",T1601="Pipeline",T1601="Overdue"),ISNUMBER(W1601)),IF(W1601&lt;=Settings!$B$6,V1601,0),0)</f>
        <v>0</v>
      </c>
      <c r="Y1601" s="38" t="n">
        <f aca="false">IF(AND(OR(T1601="Backlog",T1601="Pipeline",T1601="Overdue"),ISNUMBER(W1601)),IF(W1601&lt;=Settings!$B$6,Q1601,0),0)</f>
        <v>0</v>
      </c>
      <c r="Z1601" s="38" t="n">
        <f aca="false">IF(Y1601=0,0,IF(T1601="Backlog",Q1601,Q1601*Dashboard!$C$10))</f>
        <v>0</v>
      </c>
      <c r="AA1601" s="37" t="n">
        <f aca="false">IF($N1601="",0,IF(COUNTIF(Dashboard!$C$13:$C$22,$N1601)&gt;0,1,0))</f>
        <v>0</v>
      </c>
      <c r="AB1601" s="37" t="str">
        <f aca="false">IF($N1601="","",IF(COUNTIF($N$8:$N1601,$N1601)=1,MAX($AB$7:$AB1600)+1,""))</f>
        <v/>
      </c>
    </row>
    <row r="1602" customFormat="false" ht="15" hidden="false" customHeight="false" outlineLevel="0" collapsed="false">
      <c r="L1602" s="37" t="str">
        <f aca="false">IF(INDEX($A1602:$J1602,$L$6)&lt;&gt;"",TRIM(LEFT(INDEX($A1602:$J1602,$L$6),FIND("(",INDEX($A1602:$J1602,$L$6)&amp;"(")-1)),L1601)</f>
        <v>Building Value Proposition</v>
      </c>
      <c r="M1602" s="37" t="str">
        <f aca="false">IF(INDEX($A1602:$J1602,$M$6)="","",INDEX($A1602:$J1602,$M$6)&amp;"")</f>
        <v/>
      </c>
      <c r="N1602" s="37" t="str">
        <f aca="false">IF($M1602="","",TRIM(INDEX($A1602:$J1602,$N$6)&amp;""))</f>
        <v/>
      </c>
      <c r="O1602" s="37" t="str">
        <f aca="false">IF($M1602="","",TRIM(INDEX($A1602:$J1602,$O$6)&amp;""))</f>
        <v/>
      </c>
      <c r="P1602" s="37" t="str">
        <f aca="false">IF($M1602="","",IFERROR(IF(INDEX(Settings!$B$41:$B$50,MATCH(O1602,Settings!$A$41:$A$50,0))&amp;""="","UNMAPPED",INDEX(Settings!$B$41:$B$50,MATCH(O1602,Settings!$A$41:$A$50,0))&amp;""),"UNMAPPED"))</f>
        <v/>
      </c>
      <c r="Q1602" s="38" t="n">
        <f aca="false">IF($M1602="",0,N(INDEX($A1602:$J1602,$Q$6)))</f>
        <v>0</v>
      </c>
      <c r="R1602" s="39" t="str">
        <f aca="false">IF($M1602="","",INDEX($A1602:$J1602,$R$6))</f>
        <v/>
      </c>
      <c r="S1602" s="37" t="str">
        <f aca="false">IF($M1602="","",IFERROR(INDEX(Settings!$B$27:$B$36,MATCH(L1602,Settings!$A$27:$A$36,0))&amp;"","UNMAPPED"))</f>
        <v/>
      </c>
      <c r="T1602" s="37" t="str">
        <f aca="false">IF($M1602="","",IF(NOT(ISNUMBER(R1602)),"NO DATE",IF(S1602="Won",IF(R1602&gt;Settings!$B$5,"Backlog","Delivered"),IF(S1602="Open",IF(R1602&gt;Settings!$B$5,"Pipeline","Overdue"),IF(S1602="Lost","Lost","UNMAPPED")))))</f>
        <v/>
      </c>
      <c r="U1602" s="40" t="n">
        <f aca="false">IF(T1602="Backlog",1,IF(OR(T1602="Pipeline",T1602="Overdue"),N(INDEX(Settings!$C$27:$C$36,MATCH(L1602,Settings!$A$27:$A$36,0))),0))</f>
        <v>0</v>
      </c>
      <c r="V1602" s="38" t="n">
        <f aca="false">Q1602*U1602</f>
        <v>0</v>
      </c>
      <c r="W1602" s="41" t="str">
        <f aca="false">IF($M1602="","",IF(T1602="Overdue",IF(Settings!$B$8="Yes",Settings!$B$7,""),IF(ISNUMBER(R1602),DATE(YEAR(R1602),MONTH(R1602),1),"")))</f>
        <v/>
      </c>
      <c r="X1602" s="38" t="n">
        <f aca="false">IF(AND(OR(T1602="Backlog",T1602="Pipeline",T1602="Overdue"),ISNUMBER(W1602)),IF(W1602&lt;=Settings!$B$6,V1602,0),0)</f>
        <v>0</v>
      </c>
      <c r="Y1602" s="38" t="n">
        <f aca="false">IF(AND(OR(T1602="Backlog",T1602="Pipeline",T1602="Overdue"),ISNUMBER(W1602)),IF(W1602&lt;=Settings!$B$6,Q1602,0),0)</f>
        <v>0</v>
      </c>
      <c r="Z1602" s="38" t="n">
        <f aca="false">IF(Y1602=0,0,IF(T1602="Backlog",Q1602,Q1602*Dashboard!$C$10))</f>
        <v>0</v>
      </c>
      <c r="AA1602" s="37" t="n">
        <f aca="false">IF($N1602="",0,IF(COUNTIF(Dashboard!$C$13:$C$22,$N1602)&gt;0,1,0))</f>
        <v>0</v>
      </c>
      <c r="AB1602" s="37" t="str">
        <f aca="false">IF($N1602="","",IF(COUNTIF($N$8:$N1602,$N1602)=1,MAX($AB$7:$AB1601)+1,""))</f>
        <v/>
      </c>
    </row>
    <row r="1603" customFormat="false" ht="15" hidden="false" customHeight="false" outlineLevel="0" collapsed="false">
      <c r="L1603" s="37" t="str">
        <f aca="false">IF(INDEX($A1603:$J1603,$L$6)&lt;&gt;"",TRIM(LEFT(INDEX($A1603:$J1603,$L$6),FIND("(",INDEX($A1603:$J1603,$L$6)&amp;"(")-1)),L1602)</f>
        <v>Building Value Proposition</v>
      </c>
      <c r="M1603" s="37" t="str">
        <f aca="false">IF(INDEX($A1603:$J1603,$M$6)="","",INDEX($A1603:$J1603,$M$6)&amp;"")</f>
        <v/>
      </c>
      <c r="N1603" s="37" t="str">
        <f aca="false">IF($M1603="","",TRIM(INDEX($A1603:$J1603,$N$6)&amp;""))</f>
        <v/>
      </c>
      <c r="O1603" s="37" t="str">
        <f aca="false">IF($M1603="","",TRIM(INDEX($A1603:$J1603,$O$6)&amp;""))</f>
        <v/>
      </c>
      <c r="P1603" s="37" t="str">
        <f aca="false">IF($M1603="","",IFERROR(IF(INDEX(Settings!$B$41:$B$50,MATCH(O1603,Settings!$A$41:$A$50,0))&amp;""="","UNMAPPED",INDEX(Settings!$B$41:$B$50,MATCH(O1603,Settings!$A$41:$A$50,0))&amp;""),"UNMAPPED"))</f>
        <v/>
      </c>
      <c r="Q1603" s="38" t="n">
        <f aca="false">IF($M1603="",0,N(INDEX($A1603:$J1603,$Q$6)))</f>
        <v>0</v>
      </c>
      <c r="R1603" s="39" t="str">
        <f aca="false">IF($M1603="","",INDEX($A1603:$J1603,$R$6))</f>
        <v/>
      </c>
      <c r="S1603" s="37" t="str">
        <f aca="false">IF($M1603="","",IFERROR(INDEX(Settings!$B$27:$B$36,MATCH(L1603,Settings!$A$27:$A$36,0))&amp;"","UNMAPPED"))</f>
        <v/>
      </c>
      <c r="T1603" s="37" t="str">
        <f aca="false">IF($M1603="","",IF(NOT(ISNUMBER(R1603)),"NO DATE",IF(S1603="Won",IF(R1603&gt;Settings!$B$5,"Backlog","Delivered"),IF(S1603="Open",IF(R1603&gt;Settings!$B$5,"Pipeline","Overdue"),IF(S1603="Lost","Lost","UNMAPPED")))))</f>
        <v/>
      </c>
      <c r="U1603" s="40" t="n">
        <f aca="false">IF(T1603="Backlog",1,IF(OR(T1603="Pipeline",T1603="Overdue"),N(INDEX(Settings!$C$27:$C$36,MATCH(L1603,Settings!$A$27:$A$36,0))),0))</f>
        <v>0</v>
      </c>
      <c r="V1603" s="38" t="n">
        <f aca="false">Q1603*U1603</f>
        <v>0</v>
      </c>
      <c r="W1603" s="41" t="str">
        <f aca="false">IF($M1603="","",IF(T1603="Overdue",IF(Settings!$B$8="Yes",Settings!$B$7,""),IF(ISNUMBER(R1603),DATE(YEAR(R1603),MONTH(R1603),1),"")))</f>
        <v/>
      </c>
      <c r="X1603" s="38" t="n">
        <f aca="false">IF(AND(OR(T1603="Backlog",T1603="Pipeline",T1603="Overdue"),ISNUMBER(W1603)),IF(W1603&lt;=Settings!$B$6,V1603,0),0)</f>
        <v>0</v>
      </c>
      <c r="Y1603" s="38" t="n">
        <f aca="false">IF(AND(OR(T1603="Backlog",T1603="Pipeline",T1603="Overdue"),ISNUMBER(W1603)),IF(W1603&lt;=Settings!$B$6,Q1603,0),0)</f>
        <v>0</v>
      </c>
      <c r="Z1603" s="38" t="n">
        <f aca="false">IF(Y1603=0,0,IF(T1603="Backlog",Q1603,Q1603*Dashboard!$C$10))</f>
        <v>0</v>
      </c>
      <c r="AA1603" s="37" t="n">
        <f aca="false">IF($N1603="",0,IF(COUNTIF(Dashboard!$C$13:$C$22,$N1603)&gt;0,1,0))</f>
        <v>0</v>
      </c>
      <c r="AB1603" s="37" t="str">
        <f aca="false">IF($N1603="","",IF(COUNTIF($N$8:$N1603,$N1603)=1,MAX($AB$7:$AB1602)+1,""))</f>
        <v/>
      </c>
    </row>
    <row r="1604" customFormat="false" ht="15" hidden="false" customHeight="false" outlineLevel="0" collapsed="false">
      <c r="L1604" s="37" t="str">
        <f aca="false">IF(INDEX($A1604:$J1604,$L$6)&lt;&gt;"",TRIM(LEFT(INDEX($A1604:$J1604,$L$6),FIND("(",INDEX($A1604:$J1604,$L$6)&amp;"(")-1)),L1603)</f>
        <v>Building Value Proposition</v>
      </c>
      <c r="M1604" s="37" t="str">
        <f aca="false">IF(INDEX($A1604:$J1604,$M$6)="","",INDEX($A1604:$J1604,$M$6)&amp;"")</f>
        <v/>
      </c>
      <c r="N1604" s="37" t="str">
        <f aca="false">IF($M1604="","",TRIM(INDEX($A1604:$J1604,$N$6)&amp;""))</f>
        <v/>
      </c>
      <c r="O1604" s="37" t="str">
        <f aca="false">IF($M1604="","",TRIM(INDEX($A1604:$J1604,$O$6)&amp;""))</f>
        <v/>
      </c>
      <c r="P1604" s="37" t="str">
        <f aca="false">IF($M1604="","",IFERROR(IF(INDEX(Settings!$B$41:$B$50,MATCH(O1604,Settings!$A$41:$A$50,0))&amp;""="","UNMAPPED",INDEX(Settings!$B$41:$B$50,MATCH(O1604,Settings!$A$41:$A$50,0))&amp;""),"UNMAPPED"))</f>
        <v/>
      </c>
      <c r="Q1604" s="38" t="n">
        <f aca="false">IF($M1604="",0,N(INDEX($A1604:$J1604,$Q$6)))</f>
        <v>0</v>
      </c>
      <c r="R1604" s="39" t="str">
        <f aca="false">IF($M1604="","",INDEX($A1604:$J1604,$R$6))</f>
        <v/>
      </c>
      <c r="S1604" s="37" t="str">
        <f aca="false">IF($M1604="","",IFERROR(INDEX(Settings!$B$27:$B$36,MATCH(L1604,Settings!$A$27:$A$36,0))&amp;"","UNMAPPED"))</f>
        <v/>
      </c>
      <c r="T1604" s="37" t="str">
        <f aca="false">IF($M1604="","",IF(NOT(ISNUMBER(R1604)),"NO DATE",IF(S1604="Won",IF(R1604&gt;Settings!$B$5,"Backlog","Delivered"),IF(S1604="Open",IF(R1604&gt;Settings!$B$5,"Pipeline","Overdue"),IF(S1604="Lost","Lost","UNMAPPED")))))</f>
        <v/>
      </c>
      <c r="U1604" s="40" t="n">
        <f aca="false">IF(T1604="Backlog",1,IF(OR(T1604="Pipeline",T1604="Overdue"),N(INDEX(Settings!$C$27:$C$36,MATCH(L1604,Settings!$A$27:$A$36,0))),0))</f>
        <v>0</v>
      </c>
      <c r="V1604" s="38" t="n">
        <f aca="false">Q1604*U1604</f>
        <v>0</v>
      </c>
      <c r="W1604" s="41" t="str">
        <f aca="false">IF($M1604="","",IF(T1604="Overdue",IF(Settings!$B$8="Yes",Settings!$B$7,""),IF(ISNUMBER(R1604),DATE(YEAR(R1604),MONTH(R1604),1),"")))</f>
        <v/>
      </c>
      <c r="X1604" s="38" t="n">
        <f aca="false">IF(AND(OR(T1604="Backlog",T1604="Pipeline",T1604="Overdue"),ISNUMBER(W1604)),IF(W1604&lt;=Settings!$B$6,V1604,0),0)</f>
        <v>0</v>
      </c>
      <c r="Y1604" s="38" t="n">
        <f aca="false">IF(AND(OR(T1604="Backlog",T1604="Pipeline",T1604="Overdue"),ISNUMBER(W1604)),IF(W1604&lt;=Settings!$B$6,Q1604,0),0)</f>
        <v>0</v>
      </c>
      <c r="Z1604" s="38" t="n">
        <f aca="false">IF(Y1604=0,0,IF(T1604="Backlog",Q1604,Q1604*Dashboard!$C$10))</f>
        <v>0</v>
      </c>
      <c r="AA1604" s="37" t="n">
        <f aca="false">IF($N1604="",0,IF(COUNTIF(Dashboard!$C$13:$C$22,$N1604)&gt;0,1,0))</f>
        <v>0</v>
      </c>
      <c r="AB1604" s="37" t="str">
        <f aca="false">IF($N1604="","",IF(COUNTIF($N$8:$N1604,$N1604)=1,MAX($AB$7:$AB1603)+1,""))</f>
        <v/>
      </c>
    </row>
    <row r="1605" customFormat="false" ht="15" hidden="false" customHeight="false" outlineLevel="0" collapsed="false">
      <c r="L1605" s="37" t="str">
        <f aca="false">IF(INDEX($A1605:$J1605,$L$6)&lt;&gt;"",TRIM(LEFT(INDEX($A1605:$J1605,$L$6),FIND("(",INDEX($A1605:$J1605,$L$6)&amp;"(")-1)),L1604)</f>
        <v>Building Value Proposition</v>
      </c>
      <c r="M1605" s="37" t="str">
        <f aca="false">IF(INDEX($A1605:$J1605,$M$6)="","",INDEX($A1605:$J1605,$M$6)&amp;"")</f>
        <v/>
      </c>
      <c r="N1605" s="37" t="str">
        <f aca="false">IF($M1605="","",TRIM(INDEX($A1605:$J1605,$N$6)&amp;""))</f>
        <v/>
      </c>
      <c r="O1605" s="37" t="str">
        <f aca="false">IF($M1605="","",TRIM(INDEX($A1605:$J1605,$O$6)&amp;""))</f>
        <v/>
      </c>
      <c r="P1605" s="37" t="str">
        <f aca="false">IF($M1605="","",IFERROR(IF(INDEX(Settings!$B$41:$B$50,MATCH(O1605,Settings!$A$41:$A$50,0))&amp;""="","UNMAPPED",INDEX(Settings!$B$41:$B$50,MATCH(O1605,Settings!$A$41:$A$50,0))&amp;""),"UNMAPPED"))</f>
        <v/>
      </c>
      <c r="Q1605" s="38" t="n">
        <f aca="false">IF($M1605="",0,N(INDEX($A1605:$J1605,$Q$6)))</f>
        <v>0</v>
      </c>
      <c r="R1605" s="39" t="str">
        <f aca="false">IF($M1605="","",INDEX($A1605:$J1605,$R$6))</f>
        <v/>
      </c>
      <c r="S1605" s="37" t="str">
        <f aca="false">IF($M1605="","",IFERROR(INDEX(Settings!$B$27:$B$36,MATCH(L1605,Settings!$A$27:$A$36,0))&amp;"","UNMAPPED"))</f>
        <v/>
      </c>
      <c r="T1605" s="37" t="str">
        <f aca="false">IF($M1605="","",IF(NOT(ISNUMBER(R1605)),"NO DATE",IF(S1605="Won",IF(R1605&gt;Settings!$B$5,"Backlog","Delivered"),IF(S1605="Open",IF(R1605&gt;Settings!$B$5,"Pipeline","Overdue"),IF(S1605="Lost","Lost","UNMAPPED")))))</f>
        <v/>
      </c>
      <c r="U1605" s="40" t="n">
        <f aca="false">IF(T1605="Backlog",1,IF(OR(T1605="Pipeline",T1605="Overdue"),N(INDEX(Settings!$C$27:$C$36,MATCH(L1605,Settings!$A$27:$A$36,0))),0))</f>
        <v>0</v>
      </c>
      <c r="V1605" s="38" t="n">
        <f aca="false">Q1605*U1605</f>
        <v>0</v>
      </c>
      <c r="W1605" s="41" t="str">
        <f aca="false">IF($M1605="","",IF(T1605="Overdue",IF(Settings!$B$8="Yes",Settings!$B$7,""),IF(ISNUMBER(R1605),DATE(YEAR(R1605),MONTH(R1605),1),"")))</f>
        <v/>
      </c>
      <c r="X1605" s="38" t="n">
        <f aca="false">IF(AND(OR(T1605="Backlog",T1605="Pipeline",T1605="Overdue"),ISNUMBER(W1605)),IF(W1605&lt;=Settings!$B$6,V1605,0),0)</f>
        <v>0</v>
      </c>
      <c r="Y1605" s="38" t="n">
        <f aca="false">IF(AND(OR(T1605="Backlog",T1605="Pipeline",T1605="Overdue"),ISNUMBER(W1605)),IF(W1605&lt;=Settings!$B$6,Q1605,0),0)</f>
        <v>0</v>
      </c>
      <c r="Z1605" s="38" t="n">
        <f aca="false">IF(Y1605=0,0,IF(T1605="Backlog",Q1605,Q1605*Dashboard!$C$10))</f>
        <v>0</v>
      </c>
      <c r="AA1605" s="37" t="n">
        <f aca="false">IF($N1605="",0,IF(COUNTIF(Dashboard!$C$13:$C$22,$N1605)&gt;0,1,0))</f>
        <v>0</v>
      </c>
      <c r="AB1605" s="37" t="str">
        <f aca="false">IF($N1605="","",IF(COUNTIF($N$8:$N1605,$N1605)=1,MAX($AB$7:$AB1604)+1,""))</f>
        <v/>
      </c>
    </row>
    <row r="1606" customFormat="false" ht="15" hidden="false" customHeight="false" outlineLevel="0" collapsed="false">
      <c r="L1606" s="37" t="str">
        <f aca="false">IF(INDEX($A1606:$J1606,$L$6)&lt;&gt;"",TRIM(LEFT(INDEX($A1606:$J1606,$L$6),FIND("(",INDEX($A1606:$J1606,$L$6)&amp;"(")-1)),L1605)</f>
        <v>Building Value Proposition</v>
      </c>
      <c r="M1606" s="37" t="str">
        <f aca="false">IF(INDEX($A1606:$J1606,$M$6)="","",INDEX($A1606:$J1606,$M$6)&amp;"")</f>
        <v/>
      </c>
      <c r="N1606" s="37" t="str">
        <f aca="false">IF($M1606="","",TRIM(INDEX($A1606:$J1606,$N$6)&amp;""))</f>
        <v/>
      </c>
      <c r="O1606" s="37" t="str">
        <f aca="false">IF($M1606="","",TRIM(INDEX($A1606:$J1606,$O$6)&amp;""))</f>
        <v/>
      </c>
      <c r="P1606" s="37" t="str">
        <f aca="false">IF($M1606="","",IFERROR(IF(INDEX(Settings!$B$41:$B$50,MATCH(O1606,Settings!$A$41:$A$50,0))&amp;""="","UNMAPPED",INDEX(Settings!$B$41:$B$50,MATCH(O1606,Settings!$A$41:$A$50,0))&amp;""),"UNMAPPED"))</f>
        <v/>
      </c>
      <c r="Q1606" s="38" t="n">
        <f aca="false">IF($M1606="",0,N(INDEX($A1606:$J1606,$Q$6)))</f>
        <v>0</v>
      </c>
      <c r="R1606" s="39" t="str">
        <f aca="false">IF($M1606="","",INDEX($A1606:$J1606,$R$6))</f>
        <v/>
      </c>
      <c r="S1606" s="37" t="str">
        <f aca="false">IF($M1606="","",IFERROR(INDEX(Settings!$B$27:$B$36,MATCH(L1606,Settings!$A$27:$A$36,0))&amp;"","UNMAPPED"))</f>
        <v/>
      </c>
      <c r="T1606" s="37" t="str">
        <f aca="false">IF($M1606="","",IF(NOT(ISNUMBER(R1606)),"NO DATE",IF(S1606="Won",IF(R1606&gt;Settings!$B$5,"Backlog","Delivered"),IF(S1606="Open",IF(R1606&gt;Settings!$B$5,"Pipeline","Overdue"),IF(S1606="Lost","Lost","UNMAPPED")))))</f>
        <v/>
      </c>
      <c r="U1606" s="40" t="n">
        <f aca="false">IF(T1606="Backlog",1,IF(OR(T1606="Pipeline",T1606="Overdue"),N(INDEX(Settings!$C$27:$C$36,MATCH(L1606,Settings!$A$27:$A$36,0))),0))</f>
        <v>0</v>
      </c>
      <c r="V1606" s="38" t="n">
        <f aca="false">Q1606*U1606</f>
        <v>0</v>
      </c>
      <c r="W1606" s="41" t="str">
        <f aca="false">IF($M1606="","",IF(T1606="Overdue",IF(Settings!$B$8="Yes",Settings!$B$7,""),IF(ISNUMBER(R1606),DATE(YEAR(R1606),MONTH(R1606),1),"")))</f>
        <v/>
      </c>
      <c r="X1606" s="38" t="n">
        <f aca="false">IF(AND(OR(T1606="Backlog",T1606="Pipeline",T1606="Overdue"),ISNUMBER(W1606)),IF(W1606&lt;=Settings!$B$6,V1606,0),0)</f>
        <v>0</v>
      </c>
      <c r="Y1606" s="38" t="n">
        <f aca="false">IF(AND(OR(T1606="Backlog",T1606="Pipeline",T1606="Overdue"),ISNUMBER(W1606)),IF(W1606&lt;=Settings!$B$6,Q1606,0),0)</f>
        <v>0</v>
      </c>
      <c r="Z1606" s="38" t="n">
        <f aca="false">IF(Y1606=0,0,IF(T1606="Backlog",Q1606,Q1606*Dashboard!$C$10))</f>
        <v>0</v>
      </c>
      <c r="AA1606" s="37" t="n">
        <f aca="false">IF($N1606="",0,IF(COUNTIF(Dashboard!$C$13:$C$22,$N1606)&gt;0,1,0))</f>
        <v>0</v>
      </c>
      <c r="AB1606" s="37" t="str">
        <f aca="false">IF($N1606="","",IF(COUNTIF($N$8:$N1606,$N1606)=1,MAX($AB$7:$AB1605)+1,""))</f>
        <v/>
      </c>
    </row>
    <row r="1607" customFormat="false" ht="15" hidden="false" customHeight="false" outlineLevel="0" collapsed="false">
      <c r="L1607" s="37" t="str">
        <f aca="false">IF(INDEX($A1607:$J1607,$L$6)&lt;&gt;"",TRIM(LEFT(INDEX($A1607:$J1607,$L$6),FIND("(",INDEX($A1607:$J1607,$L$6)&amp;"(")-1)),L1606)</f>
        <v>Building Value Proposition</v>
      </c>
      <c r="M1607" s="37" t="str">
        <f aca="false">IF(INDEX($A1607:$J1607,$M$6)="","",INDEX($A1607:$J1607,$M$6)&amp;"")</f>
        <v/>
      </c>
      <c r="N1607" s="37" t="str">
        <f aca="false">IF($M1607="","",TRIM(INDEX($A1607:$J1607,$N$6)&amp;""))</f>
        <v/>
      </c>
      <c r="O1607" s="37" t="str">
        <f aca="false">IF($M1607="","",TRIM(INDEX($A1607:$J1607,$O$6)&amp;""))</f>
        <v/>
      </c>
      <c r="P1607" s="37" t="str">
        <f aca="false">IF($M1607="","",IFERROR(IF(INDEX(Settings!$B$41:$B$50,MATCH(O1607,Settings!$A$41:$A$50,0))&amp;""="","UNMAPPED",INDEX(Settings!$B$41:$B$50,MATCH(O1607,Settings!$A$41:$A$50,0))&amp;""),"UNMAPPED"))</f>
        <v/>
      </c>
      <c r="Q1607" s="38" t="n">
        <f aca="false">IF($M1607="",0,N(INDEX($A1607:$J1607,$Q$6)))</f>
        <v>0</v>
      </c>
      <c r="R1607" s="39" t="str">
        <f aca="false">IF($M1607="","",INDEX($A1607:$J1607,$R$6))</f>
        <v/>
      </c>
      <c r="S1607" s="37" t="str">
        <f aca="false">IF($M1607="","",IFERROR(INDEX(Settings!$B$27:$B$36,MATCH(L1607,Settings!$A$27:$A$36,0))&amp;"","UNMAPPED"))</f>
        <v/>
      </c>
      <c r="T1607" s="37" t="str">
        <f aca="false">IF($M1607="","",IF(NOT(ISNUMBER(R1607)),"NO DATE",IF(S1607="Won",IF(R1607&gt;Settings!$B$5,"Backlog","Delivered"),IF(S1607="Open",IF(R1607&gt;Settings!$B$5,"Pipeline","Overdue"),IF(S1607="Lost","Lost","UNMAPPED")))))</f>
        <v/>
      </c>
      <c r="U1607" s="40" t="n">
        <f aca="false">IF(T1607="Backlog",1,IF(OR(T1607="Pipeline",T1607="Overdue"),N(INDEX(Settings!$C$27:$C$36,MATCH(L1607,Settings!$A$27:$A$36,0))),0))</f>
        <v>0</v>
      </c>
      <c r="V1607" s="38" t="n">
        <f aca="false">Q1607*U1607</f>
        <v>0</v>
      </c>
      <c r="W1607" s="41" t="str">
        <f aca="false">IF($M1607="","",IF(T1607="Overdue",IF(Settings!$B$8="Yes",Settings!$B$7,""),IF(ISNUMBER(R1607),DATE(YEAR(R1607),MONTH(R1607),1),"")))</f>
        <v/>
      </c>
      <c r="X1607" s="38" t="n">
        <f aca="false">IF(AND(OR(T1607="Backlog",T1607="Pipeline",T1607="Overdue"),ISNUMBER(W1607)),IF(W1607&lt;=Settings!$B$6,V1607,0),0)</f>
        <v>0</v>
      </c>
      <c r="Y1607" s="38" t="n">
        <f aca="false">IF(AND(OR(T1607="Backlog",T1607="Pipeline",T1607="Overdue"),ISNUMBER(W1607)),IF(W1607&lt;=Settings!$B$6,Q1607,0),0)</f>
        <v>0</v>
      </c>
      <c r="Z1607" s="38" t="n">
        <f aca="false">IF(Y1607=0,0,IF(T1607="Backlog",Q1607,Q1607*Dashboard!$C$10))</f>
        <v>0</v>
      </c>
      <c r="AA1607" s="37" t="n">
        <f aca="false">IF($N1607="",0,IF(COUNTIF(Dashboard!$C$13:$C$22,$N1607)&gt;0,1,0))</f>
        <v>0</v>
      </c>
      <c r="AB1607" s="37" t="str">
        <f aca="false">IF($N1607="","",IF(COUNTIF($N$8:$N1607,$N1607)=1,MAX($AB$7:$AB1606)+1,""))</f>
        <v/>
      </c>
    </row>
    <row r="1608" customFormat="false" ht="15" hidden="false" customHeight="false" outlineLevel="0" collapsed="false">
      <c r="L1608" s="37" t="str">
        <f aca="false">IF(INDEX($A1608:$J1608,$L$6)&lt;&gt;"",TRIM(LEFT(INDEX($A1608:$J1608,$L$6),FIND("(",INDEX($A1608:$J1608,$L$6)&amp;"(")-1)),L1607)</f>
        <v>Building Value Proposition</v>
      </c>
      <c r="M1608" s="37" t="str">
        <f aca="false">IF(INDEX($A1608:$J1608,$M$6)="","",INDEX($A1608:$J1608,$M$6)&amp;"")</f>
        <v/>
      </c>
      <c r="N1608" s="37" t="str">
        <f aca="false">IF($M1608="","",TRIM(INDEX($A1608:$J1608,$N$6)&amp;""))</f>
        <v/>
      </c>
      <c r="O1608" s="37" t="str">
        <f aca="false">IF($M1608="","",TRIM(INDEX($A1608:$J1608,$O$6)&amp;""))</f>
        <v/>
      </c>
      <c r="P1608" s="37" t="str">
        <f aca="false">IF($M1608="","",IFERROR(IF(INDEX(Settings!$B$41:$B$50,MATCH(O1608,Settings!$A$41:$A$50,0))&amp;""="","UNMAPPED",INDEX(Settings!$B$41:$B$50,MATCH(O1608,Settings!$A$41:$A$50,0))&amp;""),"UNMAPPED"))</f>
        <v/>
      </c>
      <c r="Q1608" s="38" t="n">
        <f aca="false">IF($M1608="",0,N(INDEX($A1608:$J1608,$Q$6)))</f>
        <v>0</v>
      </c>
      <c r="R1608" s="39" t="str">
        <f aca="false">IF($M1608="","",INDEX($A1608:$J1608,$R$6))</f>
        <v/>
      </c>
      <c r="S1608" s="37" t="str">
        <f aca="false">IF($M1608="","",IFERROR(INDEX(Settings!$B$27:$B$36,MATCH(L1608,Settings!$A$27:$A$36,0))&amp;"","UNMAPPED"))</f>
        <v/>
      </c>
      <c r="T1608" s="37" t="str">
        <f aca="false">IF($M1608="","",IF(NOT(ISNUMBER(R1608)),"NO DATE",IF(S1608="Won",IF(R1608&gt;Settings!$B$5,"Backlog","Delivered"),IF(S1608="Open",IF(R1608&gt;Settings!$B$5,"Pipeline","Overdue"),IF(S1608="Lost","Lost","UNMAPPED")))))</f>
        <v/>
      </c>
      <c r="U1608" s="40" t="n">
        <f aca="false">IF(T1608="Backlog",1,IF(OR(T1608="Pipeline",T1608="Overdue"),N(INDEX(Settings!$C$27:$C$36,MATCH(L1608,Settings!$A$27:$A$36,0))),0))</f>
        <v>0</v>
      </c>
      <c r="V1608" s="38" t="n">
        <f aca="false">Q1608*U1608</f>
        <v>0</v>
      </c>
      <c r="W1608" s="41" t="str">
        <f aca="false">IF($M1608="","",IF(T1608="Overdue",IF(Settings!$B$8="Yes",Settings!$B$7,""),IF(ISNUMBER(R1608),DATE(YEAR(R1608),MONTH(R1608),1),"")))</f>
        <v/>
      </c>
      <c r="X1608" s="38" t="n">
        <f aca="false">IF(AND(OR(T1608="Backlog",T1608="Pipeline",T1608="Overdue"),ISNUMBER(W1608)),IF(W1608&lt;=Settings!$B$6,V1608,0),0)</f>
        <v>0</v>
      </c>
      <c r="Y1608" s="38" t="n">
        <f aca="false">IF(AND(OR(T1608="Backlog",T1608="Pipeline",T1608="Overdue"),ISNUMBER(W1608)),IF(W1608&lt;=Settings!$B$6,Q1608,0),0)</f>
        <v>0</v>
      </c>
      <c r="Z1608" s="38" t="n">
        <f aca="false">IF(Y1608=0,0,IF(T1608="Backlog",Q1608,Q1608*Dashboard!$C$10))</f>
        <v>0</v>
      </c>
      <c r="AA1608" s="37" t="n">
        <f aca="false">IF($N1608="",0,IF(COUNTIF(Dashboard!$C$13:$C$22,$N1608)&gt;0,1,0))</f>
        <v>0</v>
      </c>
      <c r="AB1608" s="37" t="str">
        <f aca="false">IF($N1608="","",IF(COUNTIF($N$8:$N1608,$N1608)=1,MAX($AB$7:$AB1607)+1,""))</f>
        <v/>
      </c>
    </row>
    <row r="1609" customFormat="false" ht="15" hidden="false" customHeight="false" outlineLevel="0" collapsed="false">
      <c r="L1609" s="37" t="str">
        <f aca="false">IF(INDEX($A1609:$J1609,$L$6)&lt;&gt;"",TRIM(LEFT(INDEX($A1609:$J1609,$L$6),FIND("(",INDEX($A1609:$J1609,$L$6)&amp;"(")-1)),L1608)</f>
        <v>Building Value Proposition</v>
      </c>
      <c r="M1609" s="37" t="str">
        <f aca="false">IF(INDEX($A1609:$J1609,$M$6)="","",INDEX($A1609:$J1609,$M$6)&amp;"")</f>
        <v/>
      </c>
      <c r="N1609" s="37" t="str">
        <f aca="false">IF($M1609="","",TRIM(INDEX($A1609:$J1609,$N$6)&amp;""))</f>
        <v/>
      </c>
      <c r="O1609" s="37" t="str">
        <f aca="false">IF($M1609="","",TRIM(INDEX($A1609:$J1609,$O$6)&amp;""))</f>
        <v/>
      </c>
      <c r="P1609" s="37" t="str">
        <f aca="false">IF($M1609="","",IFERROR(IF(INDEX(Settings!$B$41:$B$50,MATCH(O1609,Settings!$A$41:$A$50,0))&amp;""="","UNMAPPED",INDEX(Settings!$B$41:$B$50,MATCH(O1609,Settings!$A$41:$A$50,0))&amp;""),"UNMAPPED"))</f>
        <v/>
      </c>
      <c r="Q1609" s="38" t="n">
        <f aca="false">IF($M1609="",0,N(INDEX($A1609:$J1609,$Q$6)))</f>
        <v>0</v>
      </c>
      <c r="R1609" s="39" t="str">
        <f aca="false">IF($M1609="","",INDEX($A1609:$J1609,$R$6))</f>
        <v/>
      </c>
      <c r="S1609" s="37" t="str">
        <f aca="false">IF($M1609="","",IFERROR(INDEX(Settings!$B$27:$B$36,MATCH(L1609,Settings!$A$27:$A$36,0))&amp;"","UNMAPPED"))</f>
        <v/>
      </c>
      <c r="T1609" s="37" t="str">
        <f aca="false">IF($M1609="","",IF(NOT(ISNUMBER(R1609)),"NO DATE",IF(S1609="Won",IF(R1609&gt;Settings!$B$5,"Backlog","Delivered"),IF(S1609="Open",IF(R1609&gt;Settings!$B$5,"Pipeline","Overdue"),IF(S1609="Lost","Lost","UNMAPPED")))))</f>
        <v/>
      </c>
      <c r="U1609" s="40" t="n">
        <f aca="false">IF(T1609="Backlog",1,IF(OR(T1609="Pipeline",T1609="Overdue"),N(INDEX(Settings!$C$27:$C$36,MATCH(L1609,Settings!$A$27:$A$36,0))),0))</f>
        <v>0</v>
      </c>
      <c r="V1609" s="38" t="n">
        <f aca="false">Q1609*U1609</f>
        <v>0</v>
      </c>
      <c r="W1609" s="41" t="str">
        <f aca="false">IF($M1609="","",IF(T1609="Overdue",IF(Settings!$B$8="Yes",Settings!$B$7,""),IF(ISNUMBER(R1609),DATE(YEAR(R1609),MONTH(R1609),1),"")))</f>
        <v/>
      </c>
      <c r="X1609" s="38" t="n">
        <f aca="false">IF(AND(OR(T1609="Backlog",T1609="Pipeline",T1609="Overdue"),ISNUMBER(W1609)),IF(W1609&lt;=Settings!$B$6,V1609,0),0)</f>
        <v>0</v>
      </c>
      <c r="Y1609" s="38" t="n">
        <f aca="false">IF(AND(OR(T1609="Backlog",T1609="Pipeline",T1609="Overdue"),ISNUMBER(W1609)),IF(W1609&lt;=Settings!$B$6,Q1609,0),0)</f>
        <v>0</v>
      </c>
      <c r="Z1609" s="38" t="n">
        <f aca="false">IF(Y1609=0,0,IF(T1609="Backlog",Q1609,Q1609*Dashboard!$C$10))</f>
        <v>0</v>
      </c>
      <c r="AA1609" s="37" t="n">
        <f aca="false">IF($N1609="",0,IF(COUNTIF(Dashboard!$C$13:$C$22,$N1609)&gt;0,1,0))</f>
        <v>0</v>
      </c>
      <c r="AB1609" s="37" t="str">
        <f aca="false">IF($N1609="","",IF(COUNTIF($N$8:$N1609,$N1609)=1,MAX($AB$7:$AB1608)+1,""))</f>
        <v/>
      </c>
    </row>
    <row r="1610" customFormat="false" ht="15" hidden="false" customHeight="false" outlineLevel="0" collapsed="false">
      <c r="L1610" s="37" t="str">
        <f aca="false">IF(INDEX($A1610:$J1610,$L$6)&lt;&gt;"",TRIM(LEFT(INDEX($A1610:$J1610,$L$6),FIND("(",INDEX($A1610:$J1610,$L$6)&amp;"(")-1)),L1609)</f>
        <v>Building Value Proposition</v>
      </c>
      <c r="M1610" s="37" t="str">
        <f aca="false">IF(INDEX($A1610:$J1610,$M$6)="","",INDEX($A1610:$J1610,$M$6)&amp;"")</f>
        <v/>
      </c>
      <c r="N1610" s="37" t="str">
        <f aca="false">IF($M1610="","",TRIM(INDEX($A1610:$J1610,$N$6)&amp;""))</f>
        <v/>
      </c>
      <c r="O1610" s="37" t="str">
        <f aca="false">IF($M1610="","",TRIM(INDEX($A1610:$J1610,$O$6)&amp;""))</f>
        <v/>
      </c>
      <c r="P1610" s="37" t="str">
        <f aca="false">IF($M1610="","",IFERROR(IF(INDEX(Settings!$B$41:$B$50,MATCH(O1610,Settings!$A$41:$A$50,0))&amp;""="","UNMAPPED",INDEX(Settings!$B$41:$B$50,MATCH(O1610,Settings!$A$41:$A$50,0))&amp;""),"UNMAPPED"))</f>
        <v/>
      </c>
      <c r="Q1610" s="38" t="n">
        <f aca="false">IF($M1610="",0,N(INDEX($A1610:$J1610,$Q$6)))</f>
        <v>0</v>
      </c>
      <c r="R1610" s="39" t="str">
        <f aca="false">IF($M1610="","",INDEX($A1610:$J1610,$R$6))</f>
        <v/>
      </c>
      <c r="S1610" s="37" t="str">
        <f aca="false">IF($M1610="","",IFERROR(INDEX(Settings!$B$27:$B$36,MATCH(L1610,Settings!$A$27:$A$36,0))&amp;"","UNMAPPED"))</f>
        <v/>
      </c>
      <c r="T1610" s="37" t="str">
        <f aca="false">IF($M1610="","",IF(NOT(ISNUMBER(R1610)),"NO DATE",IF(S1610="Won",IF(R1610&gt;Settings!$B$5,"Backlog","Delivered"),IF(S1610="Open",IF(R1610&gt;Settings!$B$5,"Pipeline","Overdue"),IF(S1610="Lost","Lost","UNMAPPED")))))</f>
        <v/>
      </c>
      <c r="U1610" s="40" t="n">
        <f aca="false">IF(T1610="Backlog",1,IF(OR(T1610="Pipeline",T1610="Overdue"),N(INDEX(Settings!$C$27:$C$36,MATCH(L1610,Settings!$A$27:$A$36,0))),0))</f>
        <v>0</v>
      </c>
      <c r="V1610" s="38" t="n">
        <f aca="false">Q1610*U1610</f>
        <v>0</v>
      </c>
      <c r="W1610" s="41" t="str">
        <f aca="false">IF($M1610="","",IF(T1610="Overdue",IF(Settings!$B$8="Yes",Settings!$B$7,""),IF(ISNUMBER(R1610),DATE(YEAR(R1610),MONTH(R1610),1),"")))</f>
        <v/>
      </c>
      <c r="X1610" s="38" t="n">
        <f aca="false">IF(AND(OR(T1610="Backlog",T1610="Pipeline",T1610="Overdue"),ISNUMBER(W1610)),IF(W1610&lt;=Settings!$B$6,V1610,0),0)</f>
        <v>0</v>
      </c>
      <c r="Y1610" s="38" t="n">
        <f aca="false">IF(AND(OR(T1610="Backlog",T1610="Pipeline",T1610="Overdue"),ISNUMBER(W1610)),IF(W1610&lt;=Settings!$B$6,Q1610,0),0)</f>
        <v>0</v>
      </c>
      <c r="Z1610" s="38" t="n">
        <f aca="false">IF(Y1610=0,0,IF(T1610="Backlog",Q1610,Q1610*Dashboard!$C$10))</f>
        <v>0</v>
      </c>
      <c r="AA1610" s="37" t="n">
        <f aca="false">IF($N1610="",0,IF(COUNTIF(Dashboard!$C$13:$C$22,$N1610)&gt;0,1,0))</f>
        <v>0</v>
      </c>
      <c r="AB1610" s="37" t="str">
        <f aca="false">IF($N1610="","",IF(COUNTIF($N$8:$N1610,$N1610)=1,MAX($AB$7:$AB1609)+1,""))</f>
        <v/>
      </c>
    </row>
    <row r="1611" customFormat="false" ht="15" hidden="false" customHeight="false" outlineLevel="0" collapsed="false">
      <c r="L1611" s="37" t="str">
        <f aca="false">IF(INDEX($A1611:$J1611,$L$6)&lt;&gt;"",TRIM(LEFT(INDEX($A1611:$J1611,$L$6),FIND("(",INDEX($A1611:$J1611,$L$6)&amp;"(")-1)),L1610)</f>
        <v>Building Value Proposition</v>
      </c>
      <c r="M1611" s="37" t="str">
        <f aca="false">IF(INDEX($A1611:$J1611,$M$6)="","",INDEX($A1611:$J1611,$M$6)&amp;"")</f>
        <v/>
      </c>
      <c r="N1611" s="37" t="str">
        <f aca="false">IF($M1611="","",TRIM(INDEX($A1611:$J1611,$N$6)&amp;""))</f>
        <v/>
      </c>
      <c r="O1611" s="37" t="str">
        <f aca="false">IF($M1611="","",TRIM(INDEX($A1611:$J1611,$O$6)&amp;""))</f>
        <v/>
      </c>
      <c r="P1611" s="37" t="str">
        <f aca="false">IF($M1611="","",IFERROR(IF(INDEX(Settings!$B$41:$B$50,MATCH(O1611,Settings!$A$41:$A$50,0))&amp;""="","UNMAPPED",INDEX(Settings!$B$41:$B$50,MATCH(O1611,Settings!$A$41:$A$50,0))&amp;""),"UNMAPPED"))</f>
        <v/>
      </c>
      <c r="Q1611" s="38" t="n">
        <f aca="false">IF($M1611="",0,N(INDEX($A1611:$J1611,$Q$6)))</f>
        <v>0</v>
      </c>
      <c r="R1611" s="39" t="str">
        <f aca="false">IF($M1611="","",INDEX($A1611:$J1611,$R$6))</f>
        <v/>
      </c>
      <c r="S1611" s="37" t="str">
        <f aca="false">IF($M1611="","",IFERROR(INDEX(Settings!$B$27:$B$36,MATCH(L1611,Settings!$A$27:$A$36,0))&amp;"","UNMAPPED"))</f>
        <v/>
      </c>
      <c r="T1611" s="37" t="str">
        <f aca="false">IF($M1611="","",IF(NOT(ISNUMBER(R1611)),"NO DATE",IF(S1611="Won",IF(R1611&gt;Settings!$B$5,"Backlog","Delivered"),IF(S1611="Open",IF(R1611&gt;Settings!$B$5,"Pipeline","Overdue"),IF(S1611="Lost","Lost","UNMAPPED")))))</f>
        <v/>
      </c>
      <c r="U1611" s="40" t="n">
        <f aca="false">IF(T1611="Backlog",1,IF(OR(T1611="Pipeline",T1611="Overdue"),N(INDEX(Settings!$C$27:$C$36,MATCH(L1611,Settings!$A$27:$A$36,0))),0))</f>
        <v>0</v>
      </c>
      <c r="V1611" s="38" t="n">
        <f aca="false">Q1611*U1611</f>
        <v>0</v>
      </c>
      <c r="W1611" s="41" t="str">
        <f aca="false">IF($M1611="","",IF(T1611="Overdue",IF(Settings!$B$8="Yes",Settings!$B$7,""),IF(ISNUMBER(R1611),DATE(YEAR(R1611),MONTH(R1611),1),"")))</f>
        <v/>
      </c>
      <c r="X1611" s="38" t="n">
        <f aca="false">IF(AND(OR(T1611="Backlog",T1611="Pipeline",T1611="Overdue"),ISNUMBER(W1611)),IF(W1611&lt;=Settings!$B$6,V1611,0),0)</f>
        <v>0</v>
      </c>
      <c r="Y1611" s="38" t="n">
        <f aca="false">IF(AND(OR(T1611="Backlog",T1611="Pipeline",T1611="Overdue"),ISNUMBER(W1611)),IF(W1611&lt;=Settings!$B$6,Q1611,0),0)</f>
        <v>0</v>
      </c>
      <c r="Z1611" s="38" t="n">
        <f aca="false">IF(Y1611=0,0,IF(T1611="Backlog",Q1611,Q1611*Dashboard!$C$10))</f>
        <v>0</v>
      </c>
      <c r="AA1611" s="37" t="n">
        <f aca="false">IF($N1611="",0,IF(COUNTIF(Dashboard!$C$13:$C$22,$N1611)&gt;0,1,0))</f>
        <v>0</v>
      </c>
      <c r="AB1611" s="37" t="str">
        <f aca="false">IF($N1611="","",IF(COUNTIF($N$8:$N1611,$N1611)=1,MAX($AB$7:$AB1610)+1,""))</f>
        <v/>
      </c>
    </row>
    <row r="1612" customFormat="false" ht="15" hidden="false" customHeight="false" outlineLevel="0" collapsed="false">
      <c r="L1612" s="37" t="str">
        <f aca="false">IF(INDEX($A1612:$J1612,$L$6)&lt;&gt;"",TRIM(LEFT(INDEX($A1612:$J1612,$L$6),FIND("(",INDEX($A1612:$J1612,$L$6)&amp;"(")-1)),L1611)</f>
        <v>Building Value Proposition</v>
      </c>
      <c r="M1612" s="37" t="str">
        <f aca="false">IF(INDEX($A1612:$J1612,$M$6)="","",INDEX($A1612:$J1612,$M$6)&amp;"")</f>
        <v/>
      </c>
      <c r="N1612" s="37" t="str">
        <f aca="false">IF($M1612="","",TRIM(INDEX($A1612:$J1612,$N$6)&amp;""))</f>
        <v/>
      </c>
      <c r="O1612" s="37" t="str">
        <f aca="false">IF($M1612="","",TRIM(INDEX($A1612:$J1612,$O$6)&amp;""))</f>
        <v/>
      </c>
      <c r="P1612" s="37" t="str">
        <f aca="false">IF($M1612="","",IFERROR(IF(INDEX(Settings!$B$41:$B$50,MATCH(O1612,Settings!$A$41:$A$50,0))&amp;""="","UNMAPPED",INDEX(Settings!$B$41:$B$50,MATCH(O1612,Settings!$A$41:$A$50,0))&amp;""),"UNMAPPED"))</f>
        <v/>
      </c>
      <c r="Q1612" s="38" t="n">
        <f aca="false">IF($M1612="",0,N(INDEX($A1612:$J1612,$Q$6)))</f>
        <v>0</v>
      </c>
      <c r="R1612" s="39" t="str">
        <f aca="false">IF($M1612="","",INDEX($A1612:$J1612,$R$6))</f>
        <v/>
      </c>
      <c r="S1612" s="37" t="str">
        <f aca="false">IF($M1612="","",IFERROR(INDEX(Settings!$B$27:$B$36,MATCH(L1612,Settings!$A$27:$A$36,0))&amp;"","UNMAPPED"))</f>
        <v/>
      </c>
      <c r="T1612" s="37" t="str">
        <f aca="false">IF($M1612="","",IF(NOT(ISNUMBER(R1612)),"NO DATE",IF(S1612="Won",IF(R1612&gt;Settings!$B$5,"Backlog","Delivered"),IF(S1612="Open",IF(R1612&gt;Settings!$B$5,"Pipeline","Overdue"),IF(S1612="Lost","Lost","UNMAPPED")))))</f>
        <v/>
      </c>
      <c r="U1612" s="40" t="n">
        <f aca="false">IF(T1612="Backlog",1,IF(OR(T1612="Pipeline",T1612="Overdue"),N(INDEX(Settings!$C$27:$C$36,MATCH(L1612,Settings!$A$27:$A$36,0))),0))</f>
        <v>0</v>
      </c>
      <c r="V1612" s="38" t="n">
        <f aca="false">Q1612*U1612</f>
        <v>0</v>
      </c>
      <c r="W1612" s="41" t="str">
        <f aca="false">IF($M1612="","",IF(T1612="Overdue",IF(Settings!$B$8="Yes",Settings!$B$7,""),IF(ISNUMBER(R1612),DATE(YEAR(R1612),MONTH(R1612),1),"")))</f>
        <v/>
      </c>
      <c r="X1612" s="38" t="n">
        <f aca="false">IF(AND(OR(T1612="Backlog",T1612="Pipeline",T1612="Overdue"),ISNUMBER(W1612)),IF(W1612&lt;=Settings!$B$6,V1612,0),0)</f>
        <v>0</v>
      </c>
      <c r="Y1612" s="38" t="n">
        <f aca="false">IF(AND(OR(T1612="Backlog",T1612="Pipeline",T1612="Overdue"),ISNUMBER(W1612)),IF(W1612&lt;=Settings!$B$6,Q1612,0),0)</f>
        <v>0</v>
      </c>
      <c r="Z1612" s="38" t="n">
        <f aca="false">IF(Y1612=0,0,IF(T1612="Backlog",Q1612,Q1612*Dashboard!$C$10))</f>
        <v>0</v>
      </c>
      <c r="AA1612" s="37" t="n">
        <f aca="false">IF($N1612="",0,IF(COUNTIF(Dashboard!$C$13:$C$22,$N1612)&gt;0,1,0))</f>
        <v>0</v>
      </c>
      <c r="AB1612" s="37" t="str">
        <f aca="false">IF($N1612="","",IF(COUNTIF($N$8:$N1612,$N1612)=1,MAX($AB$7:$AB1611)+1,""))</f>
        <v/>
      </c>
    </row>
    <row r="1613" customFormat="false" ht="15" hidden="false" customHeight="false" outlineLevel="0" collapsed="false">
      <c r="L1613" s="37" t="str">
        <f aca="false">IF(INDEX($A1613:$J1613,$L$6)&lt;&gt;"",TRIM(LEFT(INDEX($A1613:$J1613,$L$6),FIND("(",INDEX($A1613:$J1613,$L$6)&amp;"(")-1)),L1612)</f>
        <v>Building Value Proposition</v>
      </c>
      <c r="M1613" s="37" t="str">
        <f aca="false">IF(INDEX($A1613:$J1613,$M$6)="","",INDEX($A1613:$J1613,$M$6)&amp;"")</f>
        <v/>
      </c>
      <c r="N1613" s="37" t="str">
        <f aca="false">IF($M1613="","",TRIM(INDEX($A1613:$J1613,$N$6)&amp;""))</f>
        <v/>
      </c>
      <c r="O1613" s="37" t="str">
        <f aca="false">IF($M1613="","",TRIM(INDEX($A1613:$J1613,$O$6)&amp;""))</f>
        <v/>
      </c>
      <c r="P1613" s="37" t="str">
        <f aca="false">IF($M1613="","",IFERROR(IF(INDEX(Settings!$B$41:$B$50,MATCH(O1613,Settings!$A$41:$A$50,0))&amp;""="","UNMAPPED",INDEX(Settings!$B$41:$B$50,MATCH(O1613,Settings!$A$41:$A$50,0))&amp;""),"UNMAPPED"))</f>
        <v/>
      </c>
      <c r="Q1613" s="38" t="n">
        <f aca="false">IF($M1613="",0,N(INDEX($A1613:$J1613,$Q$6)))</f>
        <v>0</v>
      </c>
      <c r="R1613" s="39" t="str">
        <f aca="false">IF($M1613="","",INDEX($A1613:$J1613,$R$6))</f>
        <v/>
      </c>
      <c r="S1613" s="37" t="str">
        <f aca="false">IF($M1613="","",IFERROR(INDEX(Settings!$B$27:$B$36,MATCH(L1613,Settings!$A$27:$A$36,0))&amp;"","UNMAPPED"))</f>
        <v/>
      </c>
      <c r="T1613" s="37" t="str">
        <f aca="false">IF($M1613="","",IF(NOT(ISNUMBER(R1613)),"NO DATE",IF(S1613="Won",IF(R1613&gt;Settings!$B$5,"Backlog","Delivered"),IF(S1613="Open",IF(R1613&gt;Settings!$B$5,"Pipeline","Overdue"),IF(S1613="Lost","Lost","UNMAPPED")))))</f>
        <v/>
      </c>
      <c r="U1613" s="40" t="n">
        <f aca="false">IF(T1613="Backlog",1,IF(OR(T1613="Pipeline",T1613="Overdue"),N(INDEX(Settings!$C$27:$C$36,MATCH(L1613,Settings!$A$27:$A$36,0))),0))</f>
        <v>0</v>
      </c>
      <c r="V1613" s="38" t="n">
        <f aca="false">Q1613*U1613</f>
        <v>0</v>
      </c>
      <c r="W1613" s="41" t="str">
        <f aca="false">IF($M1613="","",IF(T1613="Overdue",IF(Settings!$B$8="Yes",Settings!$B$7,""),IF(ISNUMBER(R1613),DATE(YEAR(R1613),MONTH(R1613),1),"")))</f>
        <v/>
      </c>
      <c r="X1613" s="38" t="n">
        <f aca="false">IF(AND(OR(T1613="Backlog",T1613="Pipeline",T1613="Overdue"),ISNUMBER(W1613)),IF(W1613&lt;=Settings!$B$6,V1613,0),0)</f>
        <v>0</v>
      </c>
      <c r="Y1613" s="38" t="n">
        <f aca="false">IF(AND(OR(T1613="Backlog",T1613="Pipeline",T1613="Overdue"),ISNUMBER(W1613)),IF(W1613&lt;=Settings!$B$6,Q1613,0),0)</f>
        <v>0</v>
      </c>
      <c r="Z1613" s="38" t="n">
        <f aca="false">IF(Y1613=0,0,IF(T1613="Backlog",Q1613,Q1613*Dashboard!$C$10))</f>
        <v>0</v>
      </c>
      <c r="AA1613" s="37" t="n">
        <f aca="false">IF($N1613="",0,IF(COUNTIF(Dashboard!$C$13:$C$22,$N1613)&gt;0,1,0))</f>
        <v>0</v>
      </c>
      <c r="AB1613" s="37" t="str">
        <f aca="false">IF($N1613="","",IF(COUNTIF($N$8:$N1613,$N1613)=1,MAX($AB$7:$AB1612)+1,""))</f>
        <v/>
      </c>
    </row>
    <row r="1614" customFormat="false" ht="15" hidden="false" customHeight="false" outlineLevel="0" collapsed="false">
      <c r="L1614" s="37" t="str">
        <f aca="false">IF(INDEX($A1614:$J1614,$L$6)&lt;&gt;"",TRIM(LEFT(INDEX($A1614:$J1614,$L$6),FIND("(",INDEX($A1614:$J1614,$L$6)&amp;"(")-1)),L1613)</f>
        <v>Building Value Proposition</v>
      </c>
      <c r="M1614" s="37" t="str">
        <f aca="false">IF(INDEX($A1614:$J1614,$M$6)="","",INDEX($A1614:$J1614,$M$6)&amp;"")</f>
        <v/>
      </c>
      <c r="N1614" s="37" t="str">
        <f aca="false">IF($M1614="","",TRIM(INDEX($A1614:$J1614,$N$6)&amp;""))</f>
        <v/>
      </c>
      <c r="O1614" s="37" t="str">
        <f aca="false">IF($M1614="","",TRIM(INDEX($A1614:$J1614,$O$6)&amp;""))</f>
        <v/>
      </c>
      <c r="P1614" s="37" t="str">
        <f aca="false">IF($M1614="","",IFERROR(IF(INDEX(Settings!$B$41:$B$50,MATCH(O1614,Settings!$A$41:$A$50,0))&amp;""="","UNMAPPED",INDEX(Settings!$B$41:$B$50,MATCH(O1614,Settings!$A$41:$A$50,0))&amp;""),"UNMAPPED"))</f>
        <v/>
      </c>
      <c r="Q1614" s="38" t="n">
        <f aca="false">IF($M1614="",0,N(INDEX($A1614:$J1614,$Q$6)))</f>
        <v>0</v>
      </c>
      <c r="R1614" s="39" t="str">
        <f aca="false">IF($M1614="","",INDEX($A1614:$J1614,$R$6))</f>
        <v/>
      </c>
      <c r="S1614" s="37" t="str">
        <f aca="false">IF($M1614="","",IFERROR(INDEX(Settings!$B$27:$B$36,MATCH(L1614,Settings!$A$27:$A$36,0))&amp;"","UNMAPPED"))</f>
        <v/>
      </c>
      <c r="T1614" s="37" t="str">
        <f aca="false">IF($M1614="","",IF(NOT(ISNUMBER(R1614)),"NO DATE",IF(S1614="Won",IF(R1614&gt;Settings!$B$5,"Backlog","Delivered"),IF(S1614="Open",IF(R1614&gt;Settings!$B$5,"Pipeline","Overdue"),IF(S1614="Lost","Lost","UNMAPPED")))))</f>
        <v/>
      </c>
      <c r="U1614" s="40" t="n">
        <f aca="false">IF(T1614="Backlog",1,IF(OR(T1614="Pipeline",T1614="Overdue"),N(INDEX(Settings!$C$27:$C$36,MATCH(L1614,Settings!$A$27:$A$36,0))),0))</f>
        <v>0</v>
      </c>
      <c r="V1614" s="38" t="n">
        <f aca="false">Q1614*U1614</f>
        <v>0</v>
      </c>
      <c r="W1614" s="41" t="str">
        <f aca="false">IF($M1614="","",IF(T1614="Overdue",IF(Settings!$B$8="Yes",Settings!$B$7,""),IF(ISNUMBER(R1614),DATE(YEAR(R1614),MONTH(R1614),1),"")))</f>
        <v/>
      </c>
      <c r="X1614" s="38" t="n">
        <f aca="false">IF(AND(OR(T1614="Backlog",T1614="Pipeline",T1614="Overdue"),ISNUMBER(W1614)),IF(W1614&lt;=Settings!$B$6,V1614,0),0)</f>
        <v>0</v>
      </c>
      <c r="Y1614" s="38" t="n">
        <f aca="false">IF(AND(OR(T1614="Backlog",T1614="Pipeline",T1614="Overdue"),ISNUMBER(W1614)),IF(W1614&lt;=Settings!$B$6,Q1614,0),0)</f>
        <v>0</v>
      </c>
      <c r="Z1614" s="38" t="n">
        <f aca="false">IF(Y1614=0,0,IF(T1614="Backlog",Q1614,Q1614*Dashboard!$C$10))</f>
        <v>0</v>
      </c>
      <c r="AA1614" s="37" t="n">
        <f aca="false">IF($N1614="",0,IF(COUNTIF(Dashboard!$C$13:$C$22,$N1614)&gt;0,1,0))</f>
        <v>0</v>
      </c>
      <c r="AB1614" s="37" t="str">
        <f aca="false">IF($N1614="","",IF(COUNTIF($N$8:$N1614,$N1614)=1,MAX($AB$7:$AB1613)+1,""))</f>
        <v/>
      </c>
    </row>
    <row r="1615" customFormat="false" ht="15" hidden="false" customHeight="false" outlineLevel="0" collapsed="false">
      <c r="L1615" s="37" t="str">
        <f aca="false">IF(INDEX($A1615:$J1615,$L$6)&lt;&gt;"",TRIM(LEFT(INDEX($A1615:$J1615,$L$6),FIND("(",INDEX($A1615:$J1615,$L$6)&amp;"(")-1)),L1614)</f>
        <v>Building Value Proposition</v>
      </c>
      <c r="M1615" s="37" t="str">
        <f aca="false">IF(INDEX($A1615:$J1615,$M$6)="","",INDEX($A1615:$J1615,$M$6)&amp;"")</f>
        <v/>
      </c>
      <c r="N1615" s="37" t="str">
        <f aca="false">IF($M1615="","",TRIM(INDEX($A1615:$J1615,$N$6)&amp;""))</f>
        <v/>
      </c>
      <c r="O1615" s="37" t="str">
        <f aca="false">IF($M1615="","",TRIM(INDEX($A1615:$J1615,$O$6)&amp;""))</f>
        <v/>
      </c>
      <c r="P1615" s="37" t="str">
        <f aca="false">IF($M1615="","",IFERROR(IF(INDEX(Settings!$B$41:$B$50,MATCH(O1615,Settings!$A$41:$A$50,0))&amp;""="","UNMAPPED",INDEX(Settings!$B$41:$B$50,MATCH(O1615,Settings!$A$41:$A$50,0))&amp;""),"UNMAPPED"))</f>
        <v/>
      </c>
      <c r="Q1615" s="38" t="n">
        <f aca="false">IF($M1615="",0,N(INDEX($A1615:$J1615,$Q$6)))</f>
        <v>0</v>
      </c>
      <c r="R1615" s="39" t="str">
        <f aca="false">IF($M1615="","",INDEX($A1615:$J1615,$R$6))</f>
        <v/>
      </c>
      <c r="S1615" s="37" t="str">
        <f aca="false">IF($M1615="","",IFERROR(INDEX(Settings!$B$27:$B$36,MATCH(L1615,Settings!$A$27:$A$36,0))&amp;"","UNMAPPED"))</f>
        <v/>
      </c>
      <c r="T1615" s="37" t="str">
        <f aca="false">IF($M1615="","",IF(NOT(ISNUMBER(R1615)),"NO DATE",IF(S1615="Won",IF(R1615&gt;Settings!$B$5,"Backlog","Delivered"),IF(S1615="Open",IF(R1615&gt;Settings!$B$5,"Pipeline","Overdue"),IF(S1615="Lost","Lost","UNMAPPED")))))</f>
        <v/>
      </c>
      <c r="U1615" s="40" t="n">
        <f aca="false">IF(T1615="Backlog",1,IF(OR(T1615="Pipeline",T1615="Overdue"),N(INDEX(Settings!$C$27:$C$36,MATCH(L1615,Settings!$A$27:$A$36,0))),0))</f>
        <v>0</v>
      </c>
      <c r="V1615" s="38" t="n">
        <f aca="false">Q1615*U1615</f>
        <v>0</v>
      </c>
      <c r="W1615" s="41" t="str">
        <f aca="false">IF($M1615="","",IF(T1615="Overdue",IF(Settings!$B$8="Yes",Settings!$B$7,""),IF(ISNUMBER(R1615),DATE(YEAR(R1615),MONTH(R1615),1),"")))</f>
        <v/>
      </c>
      <c r="X1615" s="38" t="n">
        <f aca="false">IF(AND(OR(T1615="Backlog",T1615="Pipeline",T1615="Overdue"),ISNUMBER(W1615)),IF(W1615&lt;=Settings!$B$6,V1615,0),0)</f>
        <v>0</v>
      </c>
      <c r="Y1615" s="38" t="n">
        <f aca="false">IF(AND(OR(T1615="Backlog",T1615="Pipeline",T1615="Overdue"),ISNUMBER(W1615)),IF(W1615&lt;=Settings!$B$6,Q1615,0),0)</f>
        <v>0</v>
      </c>
      <c r="Z1615" s="38" t="n">
        <f aca="false">IF(Y1615=0,0,IF(T1615="Backlog",Q1615,Q1615*Dashboard!$C$10))</f>
        <v>0</v>
      </c>
      <c r="AA1615" s="37" t="n">
        <f aca="false">IF($N1615="",0,IF(COUNTIF(Dashboard!$C$13:$C$22,$N1615)&gt;0,1,0))</f>
        <v>0</v>
      </c>
      <c r="AB1615" s="37" t="str">
        <f aca="false">IF($N1615="","",IF(COUNTIF($N$8:$N1615,$N1615)=1,MAX($AB$7:$AB1614)+1,""))</f>
        <v/>
      </c>
    </row>
    <row r="1616" customFormat="false" ht="15" hidden="false" customHeight="false" outlineLevel="0" collapsed="false">
      <c r="L1616" s="37" t="str">
        <f aca="false">IF(INDEX($A1616:$J1616,$L$6)&lt;&gt;"",TRIM(LEFT(INDEX($A1616:$J1616,$L$6),FIND("(",INDEX($A1616:$J1616,$L$6)&amp;"(")-1)),L1615)</f>
        <v>Building Value Proposition</v>
      </c>
      <c r="M1616" s="37" t="str">
        <f aca="false">IF(INDEX($A1616:$J1616,$M$6)="","",INDEX($A1616:$J1616,$M$6)&amp;"")</f>
        <v/>
      </c>
      <c r="N1616" s="37" t="str">
        <f aca="false">IF($M1616="","",TRIM(INDEX($A1616:$J1616,$N$6)&amp;""))</f>
        <v/>
      </c>
      <c r="O1616" s="37" t="str">
        <f aca="false">IF($M1616="","",TRIM(INDEX($A1616:$J1616,$O$6)&amp;""))</f>
        <v/>
      </c>
      <c r="P1616" s="37" t="str">
        <f aca="false">IF($M1616="","",IFERROR(IF(INDEX(Settings!$B$41:$B$50,MATCH(O1616,Settings!$A$41:$A$50,0))&amp;""="","UNMAPPED",INDEX(Settings!$B$41:$B$50,MATCH(O1616,Settings!$A$41:$A$50,0))&amp;""),"UNMAPPED"))</f>
        <v/>
      </c>
      <c r="Q1616" s="38" t="n">
        <f aca="false">IF($M1616="",0,N(INDEX($A1616:$J1616,$Q$6)))</f>
        <v>0</v>
      </c>
      <c r="R1616" s="39" t="str">
        <f aca="false">IF($M1616="","",INDEX($A1616:$J1616,$R$6))</f>
        <v/>
      </c>
      <c r="S1616" s="37" t="str">
        <f aca="false">IF($M1616="","",IFERROR(INDEX(Settings!$B$27:$B$36,MATCH(L1616,Settings!$A$27:$A$36,0))&amp;"","UNMAPPED"))</f>
        <v/>
      </c>
      <c r="T1616" s="37" t="str">
        <f aca="false">IF($M1616="","",IF(NOT(ISNUMBER(R1616)),"NO DATE",IF(S1616="Won",IF(R1616&gt;Settings!$B$5,"Backlog","Delivered"),IF(S1616="Open",IF(R1616&gt;Settings!$B$5,"Pipeline","Overdue"),IF(S1616="Lost","Lost","UNMAPPED")))))</f>
        <v/>
      </c>
      <c r="U1616" s="40" t="n">
        <f aca="false">IF(T1616="Backlog",1,IF(OR(T1616="Pipeline",T1616="Overdue"),N(INDEX(Settings!$C$27:$C$36,MATCH(L1616,Settings!$A$27:$A$36,0))),0))</f>
        <v>0</v>
      </c>
      <c r="V1616" s="38" t="n">
        <f aca="false">Q1616*U1616</f>
        <v>0</v>
      </c>
      <c r="W1616" s="41" t="str">
        <f aca="false">IF($M1616="","",IF(T1616="Overdue",IF(Settings!$B$8="Yes",Settings!$B$7,""),IF(ISNUMBER(R1616),DATE(YEAR(R1616),MONTH(R1616),1),"")))</f>
        <v/>
      </c>
      <c r="X1616" s="38" t="n">
        <f aca="false">IF(AND(OR(T1616="Backlog",T1616="Pipeline",T1616="Overdue"),ISNUMBER(W1616)),IF(W1616&lt;=Settings!$B$6,V1616,0),0)</f>
        <v>0</v>
      </c>
      <c r="Y1616" s="38" t="n">
        <f aca="false">IF(AND(OR(T1616="Backlog",T1616="Pipeline",T1616="Overdue"),ISNUMBER(W1616)),IF(W1616&lt;=Settings!$B$6,Q1616,0),0)</f>
        <v>0</v>
      </c>
      <c r="Z1616" s="38" t="n">
        <f aca="false">IF(Y1616=0,0,IF(T1616="Backlog",Q1616,Q1616*Dashboard!$C$10))</f>
        <v>0</v>
      </c>
      <c r="AA1616" s="37" t="n">
        <f aca="false">IF($N1616="",0,IF(COUNTIF(Dashboard!$C$13:$C$22,$N1616)&gt;0,1,0))</f>
        <v>0</v>
      </c>
      <c r="AB1616" s="37" t="str">
        <f aca="false">IF($N1616="","",IF(COUNTIF($N$8:$N1616,$N1616)=1,MAX($AB$7:$AB1615)+1,""))</f>
        <v/>
      </c>
    </row>
    <row r="1617" customFormat="false" ht="15" hidden="false" customHeight="false" outlineLevel="0" collapsed="false">
      <c r="L1617" s="37" t="str">
        <f aca="false">IF(INDEX($A1617:$J1617,$L$6)&lt;&gt;"",TRIM(LEFT(INDEX($A1617:$J1617,$L$6),FIND("(",INDEX($A1617:$J1617,$L$6)&amp;"(")-1)),L1616)</f>
        <v>Building Value Proposition</v>
      </c>
      <c r="M1617" s="37" t="str">
        <f aca="false">IF(INDEX($A1617:$J1617,$M$6)="","",INDEX($A1617:$J1617,$M$6)&amp;"")</f>
        <v/>
      </c>
      <c r="N1617" s="37" t="str">
        <f aca="false">IF($M1617="","",TRIM(INDEX($A1617:$J1617,$N$6)&amp;""))</f>
        <v/>
      </c>
      <c r="O1617" s="37" t="str">
        <f aca="false">IF($M1617="","",TRIM(INDEX($A1617:$J1617,$O$6)&amp;""))</f>
        <v/>
      </c>
      <c r="P1617" s="37" t="str">
        <f aca="false">IF($M1617="","",IFERROR(IF(INDEX(Settings!$B$41:$B$50,MATCH(O1617,Settings!$A$41:$A$50,0))&amp;""="","UNMAPPED",INDEX(Settings!$B$41:$B$50,MATCH(O1617,Settings!$A$41:$A$50,0))&amp;""),"UNMAPPED"))</f>
        <v/>
      </c>
      <c r="Q1617" s="38" t="n">
        <f aca="false">IF($M1617="",0,N(INDEX($A1617:$J1617,$Q$6)))</f>
        <v>0</v>
      </c>
      <c r="R1617" s="39" t="str">
        <f aca="false">IF($M1617="","",INDEX($A1617:$J1617,$R$6))</f>
        <v/>
      </c>
      <c r="S1617" s="37" t="str">
        <f aca="false">IF($M1617="","",IFERROR(INDEX(Settings!$B$27:$B$36,MATCH(L1617,Settings!$A$27:$A$36,0))&amp;"","UNMAPPED"))</f>
        <v/>
      </c>
      <c r="T1617" s="37" t="str">
        <f aca="false">IF($M1617="","",IF(NOT(ISNUMBER(R1617)),"NO DATE",IF(S1617="Won",IF(R1617&gt;Settings!$B$5,"Backlog","Delivered"),IF(S1617="Open",IF(R1617&gt;Settings!$B$5,"Pipeline","Overdue"),IF(S1617="Lost","Lost","UNMAPPED")))))</f>
        <v/>
      </c>
      <c r="U1617" s="40" t="n">
        <f aca="false">IF(T1617="Backlog",1,IF(OR(T1617="Pipeline",T1617="Overdue"),N(INDEX(Settings!$C$27:$C$36,MATCH(L1617,Settings!$A$27:$A$36,0))),0))</f>
        <v>0</v>
      </c>
      <c r="V1617" s="38" t="n">
        <f aca="false">Q1617*U1617</f>
        <v>0</v>
      </c>
      <c r="W1617" s="41" t="str">
        <f aca="false">IF($M1617="","",IF(T1617="Overdue",IF(Settings!$B$8="Yes",Settings!$B$7,""),IF(ISNUMBER(R1617),DATE(YEAR(R1617),MONTH(R1617),1),"")))</f>
        <v/>
      </c>
      <c r="X1617" s="38" t="n">
        <f aca="false">IF(AND(OR(T1617="Backlog",T1617="Pipeline",T1617="Overdue"),ISNUMBER(W1617)),IF(W1617&lt;=Settings!$B$6,V1617,0),0)</f>
        <v>0</v>
      </c>
      <c r="Y1617" s="38" t="n">
        <f aca="false">IF(AND(OR(T1617="Backlog",T1617="Pipeline",T1617="Overdue"),ISNUMBER(W1617)),IF(W1617&lt;=Settings!$B$6,Q1617,0),0)</f>
        <v>0</v>
      </c>
      <c r="Z1617" s="38" t="n">
        <f aca="false">IF(Y1617=0,0,IF(T1617="Backlog",Q1617,Q1617*Dashboard!$C$10))</f>
        <v>0</v>
      </c>
      <c r="AA1617" s="37" t="n">
        <f aca="false">IF($N1617="",0,IF(COUNTIF(Dashboard!$C$13:$C$22,$N1617)&gt;0,1,0))</f>
        <v>0</v>
      </c>
      <c r="AB1617" s="37" t="str">
        <f aca="false">IF($N1617="","",IF(COUNTIF($N$8:$N1617,$N1617)=1,MAX($AB$7:$AB1616)+1,""))</f>
        <v/>
      </c>
    </row>
    <row r="1618" customFormat="false" ht="15" hidden="false" customHeight="false" outlineLevel="0" collapsed="false">
      <c r="L1618" s="37" t="str">
        <f aca="false">IF(INDEX($A1618:$J1618,$L$6)&lt;&gt;"",TRIM(LEFT(INDEX($A1618:$J1618,$L$6),FIND("(",INDEX($A1618:$J1618,$L$6)&amp;"(")-1)),L1617)</f>
        <v>Building Value Proposition</v>
      </c>
      <c r="M1618" s="37" t="str">
        <f aca="false">IF(INDEX($A1618:$J1618,$M$6)="","",INDEX($A1618:$J1618,$M$6)&amp;"")</f>
        <v/>
      </c>
      <c r="N1618" s="37" t="str">
        <f aca="false">IF($M1618="","",TRIM(INDEX($A1618:$J1618,$N$6)&amp;""))</f>
        <v/>
      </c>
      <c r="O1618" s="37" t="str">
        <f aca="false">IF($M1618="","",TRIM(INDEX($A1618:$J1618,$O$6)&amp;""))</f>
        <v/>
      </c>
      <c r="P1618" s="37" t="str">
        <f aca="false">IF($M1618="","",IFERROR(IF(INDEX(Settings!$B$41:$B$50,MATCH(O1618,Settings!$A$41:$A$50,0))&amp;""="","UNMAPPED",INDEX(Settings!$B$41:$B$50,MATCH(O1618,Settings!$A$41:$A$50,0))&amp;""),"UNMAPPED"))</f>
        <v/>
      </c>
      <c r="Q1618" s="38" t="n">
        <f aca="false">IF($M1618="",0,N(INDEX($A1618:$J1618,$Q$6)))</f>
        <v>0</v>
      </c>
      <c r="R1618" s="39" t="str">
        <f aca="false">IF($M1618="","",INDEX($A1618:$J1618,$R$6))</f>
        <v/>
      </c>
      <c r="S1618" s="37" t="str">
        <f aca="false">IF($M1618="","",IFERROR(INDEX(Settings!$B$27:$B$36,MATCH(L1618,Settings!$A$27:$A$36,0))&amp;"","UNMAPPED"))</f>
        <v/>
      </c>
      <c r="T1618" s="37" t="str">
        <f aca="false">IF($M1618="","",IF(NOT(ISNUMBER(R1618)),"NO DATE",IF(S1618="Won",IF(R1618&gt;Settings!$B$5,"Backlog","Delivered"),IF(S1618="Open",IF(R1618&gt;Settings!$B$5,"Pipeline","Overdue"),IF(S1618="Lost","Lost","UNMAPPED")))))</f>
        <v/>
      </c>
      <c r="U1618" s="40" t="n">
        <f aca="false">IF(T1618="Backlog",1,IF(OR(T1618="Pipeline",T1618="Overdue"),N(INDEX(Settings!$C$27:$C$36,MATCH(L1618,Settings!$A$27:$A$36,0))),0))</f>
        <v>0</v>
      </c>
      <c r="V1618" s="38" t="n">
        <f aca="false">Q1618*U1618</f>
        <v>0</v>
      </c>
      <c r="W1618" s="41" t="str">
        <f aca="false">IF($M1618="","",IF(T1618="Overdue",IF(Settings!$B$8="Yes",Settings!$B$7,""),IF(ISNUMBER(R1618),DATE(YEAR(R1618),MONTH(R1618),1),"")))</f>
        <v/>
      </c>
      <c r="X1618" s="38" t="n">
        <f aca="false">IF(AND(OR(T1618="Backlog",T1618="Pipeline",T1618="Overdue"),ISNUMBER(W1618)),IF(W1618&lt;=Settings!$B$6,V1618,0),0)</f>
        <v>0</v>
      </c>
      <c r="Y1618" s="38" t="n">
        <f aca="false">IF(AND(OR(T1618="Backlog",T1618="Pipeline",T1618="Overdue"),ISNUMBER(W1618)),IF(W1618&lt;=Settings!$B$6,Q1618,0),0)</f>
        <v>0</v>
      </c>
      <c r="Z1618" s="38" t="n">
        <f aca="false">IF(Y1618=0,0,IF(T1618="Backlog",Q1618,Q1618*Dashboard!$C$10))</f>
        <v>0</v>
      </c>
      <c r="AA1618" s="37" t="n">
        <f aca="false">IF($N1618="",0,IF(COUNTIF(Dashboard!$C$13:$C$22,$N1618)&gt;0,1,0))</f>
        <v>0</v>
      </c>
      <c r="AB1618" s="37" t="str">
        <f aca="false">IF($N1618="","",IF(COUNTIF($N$8:$N1618,$N1618)=1,MAX($AB$7:$AB1617)+1,""))</f>
        <v/>
      </c>
    </row>
    <row r="1619" customFormat="false" ht="15" hidden="false" customHeight="false" outlineLevel="0" collapsed="false">
      <c r="L1619" s="37" t="str">
        <f aca="false">IF(INDEX($A1619:$J1619,$L$6)&lt;&gt;"",TRIM(LEFT(INDEX($A1619:$J1619,$L$6),FIND("(",INDEX($A1619:$J1619,$L$6)&amp;"(")-1)),L1618)</f>
        <v>Building Value Proposition</v>
      </c>
      <c r="M1619" s="37" t="str">
        <f aca="false">IF(INDEX($A1619:$J1619,$M$6)="","",INDEX($A1619:$J1619,$M$6)&amp;"")</f>
        <v/>
      </c>
      <c r="N1619" s="37" t="str">
        <f aca="false">IF($M1619="","",TRIM(INDEX($A1619:$J1619,$N$6)&amp;""))</f>
        <v/>
      </c>
      <c r="O1619" s="37" t="str">
        <f aca="false">IF($M1619="","",TRIM(INDEX($A1619:$J1619,$O$6)&amp;""))</f>
        <v/>
      </c>
      <c r="P1619" s="37" t="str">
        <f aca="false">IF($M1619="","",IFERROR(IF(INDEX(Settings!$B$41:$B$50,MATCH(O1619,Settings!$A$41:$A$50,0))&amp;""="","UNMAPPED",INDEX(Settings!$B$41:$B$50,MATCH(O1619,Settings!$A$41:$A$50,0))&amp;""),"UNMAPPED"))</f>
        <v/>
      </c>
      <c r="Q1619" s="38" t="n">
        <f aca="false">IF($M1619="",0,N(INDEX($A1619:$J1619,$Q$6)))</f>
        <v>0</v>
      </c>
      <c r="R1619" s="39" t="str">
        <f aca="false">IF($M1619="","",INDEX($A1619:$J1619,$R$6))</f>
        <v/>
      </c>
      <c r="S1619" s="37" t="str">
        <f aca="false">IF($M1619="","",IFERROR(INDEX(Settings!$B$27:$B$36,MATCH(L1619,Settings!$A$27:$A$36,0))&amp;"","UNMAPPED"))</f>
        <v/>
      </c>
      <c r="T1619" s="37" t="str">
        <f aca="false">IF($M1619="","",IF(NOT(ISNUMBER(R1619)),"NO DATE",IF(S1619="Won",IF(R1619&gt;Settings!$B$5,"Backlog","Delivered"),IF(S1619="Open",IF(R1619&gt;Settings!$B$5,"Pipeline","Overdue"),IF(S1619="Lost","Lost","UNMAPPED")))))</f>
        <v/>
      </c>
      <c r="U1619" s="40" t="n">
        <f aca="false">IF(T1619="Backlog",1,IF(OR(T1619="Pipeline",T1619="Overdue"),N(INDEX(Settings!$C$27:$C$36,MATCH(L1619,Settings!$A$27:$A$36,0))),0))</f>
        <v>0</v>
      </c>
      <c r="V1619" s="38" t="n">
        <f aca="false">Q1619*U1619</f>
        <v>0</v>
      </c>
      <c r="W1619" s="41" t="str">
        <f aca="false">IF($M1619="","",IF(T1619="Overdue",IF(Settings!$B$8="Yes",Settings!$B$7,""),IF(ISNUMBER(R1619),DATE(YEAR(R1619),MONTH(R1619),1),"")))</f>
        <v/>
      </c>
      <c r="X1619" s="38" t="n">
        <f aca="false">IF(AND(OR(T1619="Backlog",T1619="Pipeline",T1619="Overdue"),ISNUMBER(W1619)),IF(W1619&lt;=Settings!$B$6,V1619,0),0)</f>
        <v>0</v>
      </c>
      <c r="Y1619" s="38" t="n">
        <f aca="false">IF(AND(OR(T1619="Backlog",T1619="Pipeline",T1619="Overdue"),ISNUMBER(W1619)),IF(W1619&lt;=Settings!$B$6,Q1619,0),0)</f>
        <v>0</v>
      </c>
      <c r="Z1619" s="38" t="n">
        <f aca="false">IF(Y1619=0,0,IF(T1619="Backlog",Q1619,Q1619*Dashboard!$C$10))</f>
        <v>0</v>
      </c>
      <c r="AA1619" s="37" t="n">
        <f aca="false">IF($N1619="",0,IF(COUNTIF(Dashboard!$C$13:$C$22,$N1619)&gt;0,1,0))</f>
        <v>0</v>
      </c>
      <c r="AB1619" s="37" t="str">
        <f aca="false">IF($N1619="","",IF(COUNTIF($N$8:$N1619,$N1619)=1,MAX($AB$7:$AB1618)+1,""))</f>
        <v/>
      </c>
    </row>
    <row r="1620" customFormat="false" ht="15" hidden="false" customHeight="false" outlineLevel="0" collapsed="false">
      <c r="L1620" s="37" t="str">
        <f aca="false">IF(INDEX($A1620:$J1620,$L$6)&lt;&gt;"",TRIM(LEFT(INDEX($A1620:$J1620,$L$6),FIND("(",INDEX($A1620:$J1620,$L$6)&amp;"(")-1)),L1619)</f>
        <v>Building Value Proposition</v>
      </c>
      <c r="M1620" s="37" t="str">
        <f aca="false">IF(INDEX($A1620:$J1620,$M$6)="","",INDEX($A1620:$J1620,$M$6)&amp;"")</f>
        <v/>
      </c>
      <c r="N1620" s="37" t="str">
        <f aca="false">IF($M1620="","",TRIM(INDEX($A1620:$J1620,$N$6)&amp;""))</f>
        <v/>
      </c>
      <c r="O1620" s="37" t="str">
        <f aca="false">IF($M1620="","",TRIM(INDEX($A1620:$J1620,$O$6)&amp;""))</f>
        <v/>
      </c>
      <c r="P1620" s="37" t="str">
        <f aca="false">IF($M1620="","",IFERROR(IF(INDEX(Settings!$B$41:$B$50,MATCH(O1620,Settings!$A$41:$A$50,0))&amp;""="","UNMAPPED",INDEX(Settings!$B$41:$B$50,MATCH(O1620,Settings!$A$41:$A$50,0))&amp;""),"UNMAPPED"))</f>
        <v/>
      </c>
      <c r="Q1620" s="38" t="n">
        <f aca="false">IF($M1620="",0,N(INDEX($A1620:$J1620,$Q$6)))</f>
        <v>0</v>
      </c>
      <c r="R1620" s="39" t="str">
        <f aca="false">IF($M1620="","",INDEX($A1620:$J1620,$R$6))</f>
        <v/>
      </c>
      <c r="S1620" s="37" t="str">
        <f aca="false">IF($M1620="","",IFERROR(INDEX(Settings!$B$27:$B$36,MATCH(L1620,Settings!$A$27:$A$36,0))&amp;"","UNMAPPED"))</f>
        <v/>
      </c>
      <c r="T1620" s="37" t="str">
        <f aca="false">IF($M1620="","",IF(NOT(ISNUMBER(R1620)),"NO DATE",IF(S1620="Won",IF(R1620&gt;Settings!$B$5,"Backlog","Delivered"),IF(S1620="Open",IF(R1620&gt;Settings!$B$5,"Pipeline","Overdue"),IF(S1620="Lost","Lost","UNMAPPED")))))</f>
        <v/>
      </c>
      <c r="U1620" s="40" t="n">
        <f aca="false">IF(T1620="Backlog",1,IF(OR(T1620="Pipeline",T1620="Overdue"),N(INDEX(Settings!$C$27:$C$36,MATCH(L1620,Settings!$A$27:$A$36,0))),0))</f>
        <v>0</v>
      </c>
      <c r="V1620" s="38" t="n">
        <f aca="false">Q1620*U1620</f>
        <v>0</v>
      </c>
      <c r="W1620" s="41" t="str">
        <f aca="false">IF($M1620="","",IF(T1620="Overdue",IF(Settings!$B$8="Yes",Settings!$B$7,""),IF(ISNUMBER(R1620),DATE(YEAR(R1620),MONTH(R1620),1),"")))</f>
        <v/>
      </c>
      <c r="X1620" s="38" t="n">
        <f aca="false">IF(AND(OR(T1620="Backlog",T1620="Pipeline",T1620="Overdue"),ISNUMBER(W1620)),IF(W1620&lt;=Settings!$B$6,V1620,0),0)</f>
        <v>0</v>
      </c>
      <c r="Y1620" s="38" t="n">
        <f aca="false">IF(AND(OR(T1620="Backlog",T1620="Pipeline",T1620="Overdue"),ISNUMBER(W1620)),IF(W1620&lt;=Settings!$B$6,Q1620,0),0)</f>
        <v>0</v>
      </c>
      <c r="Z1620" s="38" t="n">
        <f aca="false">IF(Y1620=0,0,IF(T1620="Backlog",Q1620,Q1620*Dashboard!$C$10))</f>
        <v>0</v>
      </c>
      <c r="AA1620" s="37" t="n">
        <f aca="false">IF($N1620="",0,IF(COUNTIF(Dashboard!$C$13:$C$22,$N1620)&gt;0,1,0))</f>
        <v>0</v>
      </c>
      <c r="AB1620" s="37" t="str">
        <f aca="false">IF($N1620="","",IF(COUNTIF($N$8:$N1620,$N1620)=1,MAX($AB$7:$AB1619)+1,""))</f>
        <v/>
      </c>
    </row>
    <row r="1621" customFormat="false" ht="15" hidden="false" customHeight="false" outlineLevel="0" collapsed="false">
      <c r="L1621" s="37" t="str">
        <f aca="false">IF(INDEX($A1621:$J1621,$L$6)&lt;&gt;"",TRIM(LEFT(INDEX($A1621:$J1621,$L$6),FIND("(",INDEX($A1621:$J1621,$L$6)&amp;"(")-1)),L1620)</f>
        <v>Building Value Proposition</v>
      </c>
      <c r="M1621" s="37" t="str">
        <f aca="false">IF(INDEX($A1621:$J1621,$M$6)="","",INDEX($A1621:$J1621,$M$6)&amp;"")</f>
        <v/>
      </c>
      <c r="N1621" s="37" t="str">
        <f aca="false">IF($M1621="","",TRIM(INDEX($A1621:$J1621,$N$6)&amp;""))</f>
        <v/>
      </c>
      <c r="O1621" s="37" t="str">
        <f aca="false">IF($M1621="","",TRIM(INDEX($A1621:$J1621,$O$6)&amp;""))</f>
        <v/>
      </c>
      <c r="P1621" s="37" t="str">
        <f aca="false">IF($M1621="","",IFERROR(IF(INDEX(Settings!$B$41:$B$50,MATCH(O1621,Settings!$A$41:$A$50,0))&amp;""="","UNMAPPED",INDEX(Settings!$B$41:$B$50,MATCH(O1621,Settings!$A$41:$A$50,0))&amp;""),"UNMAPPED"))</f>
        <v/>
      </c>
      <c r="Q1621" s="38" t="n">
        <f aca="false">IF($M1621="",0,N(INDEX($A1621:$J1621,$Q$6)))</f>
        <v>0</v>
      </c>
      <c r="R1621" s="39" t="str">
        <f aca="false">IF($M1621="","",INDEX($A1621:$J1621,$R$6))</f>
        <v/>
      </c>
      <c r="S1621" s="37" t="str">
        <f aca="false">IF($M1621="","",IFERROR(INDEX(Settings!$B$27:$B$36,MATCH(L1621,Settings!$A$27:$A$36,0))&amp;"","UNMAPPED"))</f>
        <v/>
      </c>
      <c r="T1621" s="37" t="str">
        <f aca="false">IF($M1621="","",IF(NOT(ISNUMBER(R1621)),"NO DATE",IF(S1621="Won",IF(R1621&gt;Settings!$B$5,"Backlog","Delivered"),IF(S1621="Open",IF(R1621&gt;Settings!$B$5,"Pipeline","Overdue"),IF(S1621="Lost","Lost","UNMAPPED")))))</f>
        <v/>
      </c>
      <c r="U1621" s="40" t="n">
        <f aca="false">IF(T1621="Backlog",1,IF(OR(T1621="Pipeline",T1621="Overdue"),N(INDEX(Settings!$C$27:$C$36,MATCH(L1621,Settings!$A$27:$A$36,0))),0))</f>
        <v>0</v>
      </c>
      <c r="V1621" s="38" t="n">
        <f aca="false">Q1621*U1621</f>
        <v>0</v>
      </c>
      <c r="W1621" s="41" t="str">
        <f aca="false">IF($M1621="","",IF(T1621="Overdue",IF(Settings!$B$8="Yes",Settings!$B$7,""),IF(ISNUMBER(R1621),DATE(YEAR(R1621),MONTH(R1621),1),"")))</f>
        <v/>
      </c>
      <c r="X1621" s="38" t="n">
        <f aca="false">IF(AND(OR(T1621="Backlog",T1621="Pipeline",T1621="Overdue"),ISNUMBER(W1621)),IF(W1621&lt;=Settings!$B$6,V1621,0),0)</f>
        <v>0</v>
      </c>
      <c r="Y1621" s="38" t="n">
        <f aca="false">IF(AND(OR(T1621="Backlog",T1621="Pipeline",T1621="Overdue"),ISNUMBER(W1621)),IF(W1621&lt;=Settings!$B$6,Q1621,0),0)</f>
        <v>0</v>
      </c>
      <c r="Z1621" s="38" t="n">
        <f aca="false">IF(Y1621=0,0,IF(T1621="Backlog",Q1621,Q1621*Dashboard!$C$10))</f>
        <v>0</v>
      </c>
      <c r="AA1621" s="37" t="n">
        <f aca="false">IF($N1621="",0,IF(COUNTIF(Dashboard!$C$13:$C$22,$N1621)&gt;0,1,0))</f>
        <v>0</v>
      </c>
      <c r="AB1621" s="37" t="str">
        <f aca="false">IF($N1621="","",IF(COUNTIF($N$8:$N1621,$N1621)=1,MAX($AB$7:$AB1620)+1,""))</f>
        <v/>
      </c>
    </row>
    <row r="1622" customFormat="false" ht="15" hidden="false" customHeight="false" outlineLevel="0" collapsed="false">
      <c r="L1622" s="37" t="str">
        <f aca="false">IF(INDEX($A1622:$J1622,$L$6)&lt;&gt;"",TRIM(LEFT(INDEX($A1622:$J1622,$L$6),FIND("(",INDEX($A1622:$J1622,$L$6)&amp;"(")-1)),L1621)</f>
        <v>Building Value Proposition</v>
      </c>
      <c r="M1622" s="37" t="str">
        <f aca="false">IF(INDEX($A1622:$J1622,$M$6)="","",INDEX($A1622:$J1622,$M$6)&amp;"")</f>
        <v/>
      </c>
      <c r="N1622" s="37" t="str">
        <f aca="false">IF($M1622="","",TRIM(INDEX($A1622:$J1622,$N$6)&amp;""))</f>
        <v/>
      </c>
      <c r="O1622" s="37" t="str">
        <f aca="false">IF($M1622="","",TRIM(INDEX($A1622:$J1622,$O$6)&amp;""))</f>
        <v/>
      </c>
      <c r="P1622" s="37" t="str">
        <f aca="false">IF($M1622="","",IFERROR(IF(INDEX(Settings!$B$41:$B$50,MATCH(O1622,Settings!$A$41:$A$50,0))&amp;""="","UNMAPPED",INDEX(Settings!$B$41:$B$50,MATCH(O1622,Settings!$A$41:$A$50,0))&amp;""),"UNMAPPED"))</f>
        <v/>
      </c>
      <c r="Q1622" s="38" t="n">
        <f aca="false">IF($M1622="",0,N(INDEX($A1622:$J1622,$Q$6)))</f>
        <v>0</v>
      </c>
      <c r="R1622" s="39" t="str">
        <f aca="false">IF($M1622="","",INDEX($A1622:$J1622,$R$6))</f>
        <v/>
      </c>
      <c r="S1622" s="37" t="str">
        <f aca="false">IF($M1622="","",IFERROR(INDEX(Settings!$B$27:$B$36,MATCH(L1622,Settings!$A$27:$A$36,0))&amp;"","UNMAPPED"))</f>
        <v/>
      </c>
      <c r="T1622" s="37" t="str">
        <f aca="false">IF($M1622="","",IF(NOT(ISNUMBER(R1622)),"NO DATE",IF(S1622="Won",IF(R1622&gt;Settings!$B$5,"Backlog","Delivered"),IF(S1622="Open",IF(R1622&gt;Settings!$B$5,"Pipeline","Overdue"),IF(S1622="Lost","Lost","UNMAPPED")))))</f>
        <v/>
      </c>
      <c r="U1622" s="40" t="n">
        <f aca="false">IF(T1622="Backlog",1,IF(OR(T1622="Pipeline",T1622="Overdue"),N(INDEX(Settings!$C$27:$C$36,MATCH(L1622,Settings!$A$27:$A$36,0))),0))</f>
        <v>0</v>
      </c>
      <c r="V1622" s="38" t="n">
        <f aca="false">Q1622*U1622</f>
        <v>0</v>
      </c>
      <c r="W1622" s="41" t="str">
        <f aca="false">IF($M1622="","",IF(T1622="Overdue",IF(Settings!$B$8="Yes",Settings!$B$7,""),IF(ISNUMBER(R1622),DATE(YEAR(R1622),MONTH(R1622),1),"")))</f>
        <v/>
      </c>
      <c r="X1622" s="38" t="n">
        <f aca="false">IF(AND(OR(T1622="Backlog",T1622="Pipeline",T1622="Overdue"),ISNUMBER(W1622)),IF(W1622&lt;=Settings!$B$6,V1622,0),0)</f>
        <v>0</v>
      </c>
      <c r="Y1622" s="38" t="n">
        <f aca="false">IF(AND(OR(T1622="Backlog",T1622="Pipeline",T1622="Overdue"),ISNUMBER(W1622)),IF(W1622&lt;=Settings!$B$6,Q1622,0),0)</f>
        <v>0</v>
      </c>
      <c r="Z1622" s="38" t="n">
        <f aca="false">IF(Y1622=0,0,IF(T1622="Backlog",Q1622,Q1622*Dashboard!$C$10))</f>
        <v>0</v>
      </c>
      <c r="AA1622" s="37" t="n">
        <f aca="false">IF($N1622="",0,IF(COUNTIF(Dashboard!$C$13:$C$22,$N1622)&gt;0,1,0))</f>
        <v>0</v>
      </c>
      <c r="AB1622" s="37" t="str">
        <f aca="false">IF($N1622="","",IF(COUNTIF($N$8:$N1622,$N1622)=1,MAX($AB$7:$AB1621)+1,""))</f>
        <v/>
      </c>
    </row>
    <row r="1623" customFormat="false" ht="15" hidden="false" customHeight="false" outlineLevel="0" collapsed="false">
      <c r="L1623" s="37" t="str">
        <f aca="false">IF(INDEX($A1623:$J1623,$L$6)&lt;&gt;"",TRIM(LEFT(INDEX($A1623:$J1623,$L$6),FIND("(",INDEX($A1623:$J1623,$L$6)&amp;"(")-1)),L1622)</f>
        <v>Building Value Proposition</v>
      </c>
      <c r="M1623" s="37" t="str">
        <f aca="false">IF(INDEX($A1623:$J1623,$M$6)="","",INDEX($A1623:$J1623,$M$6)&amp;"")</f>
        <v/>
      </c>
      <c r="N1623" s="37" t="str">
        <f aca="false">IF($M1623="","",TRIM(INDEX($A1623:$J1623,$N$6)&amp;""))</f>
        <v/>
      </c>
      <c r="O1623" s="37" t="str">
        <f aca="false">IF($M1623="","",TRIM(INDEX($A1623:$J1623,$O$6)&amp;""))</f>
        <v/>
      </c>
      <c r="P1623" s="37" t="str">
        <f aca="false">IF($M1623="","",IFERROR(IF(INDEX(Settings!$B$41:$B$50,MATCH(O1623,Settings!$A$41:$A$50,0))&amp;""="","UNMAPPED",INDEX(Settings!$B$41:$B$50,MATCH(O1623,Settings!$A$41:$A$50,0))&amp;""),"UNMAPPED"))</f>
        <v/>
      </c>
      <c r="Q1623" s="38" t="n">
        <f aca="false">IF($M1623="",0,N(INDEX($A1623:$J1623,$Q$6)))</f>
        <v>0</v>
      </c>
      <c r="R1623" s="39" t="str">
        <f aca="false">IF($M1623="","",INDEX($A1623:$J1623,$R$6))</f>
        <v/>
      </c>
      <c r="S1623" s="37" t="str">
        <f aca="false">IF($M1623="","",IFERROR(INDEX(Settings!$B$27:$B$36,MATCH(L1623,Settings!$A$27:$A$36,0))&amp;"","UNMAPPED"))</f>
        <v/>
      </c>
      <c r="T1623" s="37" t="str">
        <f aca="false">IF($M1623="","",IF(NOT(ISNUMBER(R1623)),"NO DATE",IF(S1623="Won",IF(R1623&gt;Settings!$B$5,"Backlog","Delivered"),IF(S1623="Open",IF(R1623&gt;Settings!$B$5,"Pipeline","Overdue"),IF(S1623="Lost","Lost","UNMAPPED")))))</f>
        <v/>
      </c>
      <c r="U1623" s="40" t="n">
        <f aca="false">IF(T1623="Backlog",1,IF(OR(T1623="Pipeline",T1623="Overdue"),N(INDEX(Settings!$C$27:$C$36,MATCH(L1623,Settings!$A$27:$A$36,0))),0))</f>
        <v>0</v>
      </c>
      <c r="V1623" s="38" t="n">
        <f aca="false">Q1623*U1623</f>
        <v>0</v>
      </c>
      <c r="W1623" s="41" t="str">
        <f aca="false">IF($M1623="","",IF(T1623="Overdue",IF(Settings!$B$8="Yes",Settings!$B$7,""),IF(ISNUMBER(R1623),DATE(YEAR(R1623),MONTH(R1623),1),"")))</f>
        <v/>
      </c>
      <c r="X1623" s="38" t="n">
        <f aca="false">IF(AND(OR(T1623="Backlog",T1623="Pipeline",T1623="Overdue"),ISNUMBER(W1623)),IF(W1623&lt;=Settings!$B$6,V1623,0),0)</f>
        <v>0</v>
      </c>
      <c r="Y1623" s="38" t="n">
        <f aca="false">IF(AND(OR(T1623="Backlog",T1623="Pipeline",T1623="Overdue"),ISNUMBER(W1623)),IF(W1623&lt;=Settings!$B$6,Q1623,0),0)</f>
        <v>0</v>
      </c>
      <c r="Z1623" s="38" t="n">
        <f aca="false">IF(Y1623=0,0,IF(T1623="Backlog",Q1623,Q1623*Dashboard!$C$10))</f>
        <v>0</v>
      </c>
      <c r="AA1623" s="37" t="n">
        <f aca="false">IF($N1623="",0,IF(COUNTIF(Dashboard!$C$13:$C$22,$N1623)&gt;0,1,0))</f>
        <v>0</v>
      </c>
      <c r="AB1623" s="37" t="str">
        <f aca="false">IF($N1623="","",IF(COUNTIF($N$8:$N1623,$N1623)=1,MAX($AB$7:$AB1622)+1,""))</f>
        <v/>
      </c>
    </row>
    <row r="1624" customFormat="false" ht="15" hidden="false" customHeight="false" outlineLevel="0" collapsed="false">
      <c r="L1624" s="37" t="str">
        <f aca="false">IF(INDEX($A1624:$J1624,$L$6)&lt;&gt;"",TRIM(LEFT(INDEX($A1624:$J1624,$L$6),FIND("(",INDEX($A1624:$J1624,$L$6)&amp;"(")-1)),L1623)</f>
        <v>Building Value Proposition</v>
      </c>
      <c r="M1624" s="37" t="str">
        <f aca="false">IF(INDEX($A1624:$J1624,$M$6)="","",INDEX($A1624:$J1624,$M$6)&amp;"")</f>
        <v/>
      </c>
      <c r="N1624" s="37" t="str">
        <f aca="false">IF($M1624="","",TRIM(INDEX($A1624:$J1624,$N$6)&amp;""))</f>
        <v/>
      </c>
      <c r="O1624" s="37" t="str">
        <f aca="false">IF($M1624="","",TRIM(INDEX($A1624:$J1624,$O$6)&amp;""))</f>
        <v/>
      </c>
      <c r="P1624" s="37" t="str">
        <f aca="false">IF($M1624="","",IFERROR(IF(INDEX(Settings!$B$41:$B$50,MATCH(O1624,Settings!$A$41:$A$50,0))&amp;""="","UNMAPPED",INDEX(Settings!$B$41:$B$50,MATCH(O1624,Settings!$A$41:$A$50,0))&amp;""),"UNMAPPED"))</f>
        <v/>
      </c>
      <c r="Q1624" s="38" t="n">
        <f aca="false">IF($M1624="",0,N(INDEX($A1624:$J1624,$Q$6)))</f>
        <v>0</v>
      </c>
      <c r="R1624" s="39" t="str">
        <f aca="false">IF($M1624="","",INDEX($A1624:$J1624,$R$6))</f>
        <v/>
      </c>
      <c r="S1624" s="37" t="str">
        <f aca="false">IF($M1624="","",IFERROR(INDEX(Settings!$B$27:$B$36,MATCH(L1624,Settings!$A$27:$A$36,0))&amp;"","UNMAPPED"))</f>
        <v/>
      </c>
      <c r="T1624" s="37" t="str">
        <f aca="false">IF($M1624="","",IF(NOT(ISNUMBER(R1624)),"NO DATE",IF(S1624="Won",IF(R1624&gt;Settings!$B$5,"Backlog","Delivered"),IF(S1624="Open",IF(R1624&gt;Settings!$B$5,"Pipeline","Overdue"),IF(S1624="Lost","Lost","UNMAPPED")))))</f>
        <v/>
      </c>
      <c r="U1624" s="40" t="n">
        <f aca="false">IF(T1624="Backlog",1,IF(OR(T1624="Pipeline",T1624="Overdue"),N(INDEX(Settings!$C$27:$C$36,MATCH(L1624,Settings!$A$27:$A$36,0))),0))</f>
        <v>0</v>
      </c>
      <c r="V1624" s="38" t="n">
        <f aca="false">Q1624*U1624</f>
        <v>0</v>
      </c>
      <c r="W1624" s="41" t="str">
        <f aca="false">IF($M1624="","",IF(T1624="Overdue",IF(Settings!$B$8="Yes",Settings!$B$7,""),IF(ISNUMBER(R1624),DATE(YEAR(R1624),MONTH(R1624),1),"")))</f>
        <v/>
      </c>
      <c r="X1624" s="38" t="n">
        <f aca="false">IF(AND(OR(T1624="Backlog",T1624="Pipeline",T1624="Overdue"),ISNUMBER(W1624)),IF(W1624&lt;=Settings!$B$6,V1624,0),0)</f>
        <v>0</v>
      </c>
      <c r="Y1624" s="38" t="n">
        <f aca="false">IF(AND(OR(T1624="Backlog",T1624="Pipeline",T1624="Overdue"),ISNUMBER(W1624)),IF(W1624&lt;=Settings!$B$6,Q1624,0),0)</f>
        <v>0</v>
      </c>
      <c r="Z1624" s="38" t="n">
        <f aca="false">IF(Y1624=0,0,IF(T1624="Backlog",Q1624,Q1624*Dashboard!$C$10))</f>
        <v>0</v>
      </c>
      <c r="AA1624" s="37" t="n">
        <f aca="false">IF($N1624="",0,IF(COUNTIF(Dashboard!$C$13:$C$22,$N1624)&gt;0,1,0))</f>
        <v>0</v>
      </c>
      <c r="AB1624" s="37" t="str">
        <f aca="false">IF($N1624="","",IF(COUNTIF($N$8:$N1624,$N1624)=1,MAX($AB$7:$AB1623)+1,""))</f>
        <v/>
      </c>
    </row>
    <row r="1625" customFormat="false" ht="15" hidden="false" customHeight="false" outlineLevel="0" collapsed="false">
      <c r="L1625" s="37" t="str">
        <f aca="false">IF(INDEX($A1625:$J1625,$L$6)&lt;&gt;"",TRIM(LEFT(INDEX($A1625:$J1625,$L$6),FIND("(",INDEX($A1625:$J1625,$L$6)&amp;"(")-1)),L1624)</f>
        <v>Building Value Proposition</v>
      </c>
      <c r="M1625" s="37" t="str">
        <f aca="false">IF(INDEX($A1625:$J1625,$M$6)="","",INDEX($A1625:$J1625,$M$6)&amp;"")</f>
        <v/>
      </c>
      <c r="N1625" s="37" t="str">
        <f aca="false">IF($M1625="","",TRIM(INDEX($A1625:$J1625,$N$6)&amp;""))</f>
        <v/>
      </c>
      <c r="O1625" s="37" t="str">
        <f aca="false">IF($M1625="","",TRIM(INDEX($A1625:$J1625,$O$6)&amp;""))</f>
        <v/>
      </c>
      <c r="P1625" s="37" t="str">
        <f aca="false">IF($M1625="","",IFERROR(IF(INDEX(Settings!$B$41:$B$50,MATCH(O1625,Settings!$A$41:$A$50,0))&amp;""="","UNMAPPED",INDEX(Settings!$B$41:$B$50,MATCH(O1625,Settings!$A$41:$A$50,0))&amp;""),"UNMAPPED"))</f>
        <v/>
      </c>
      <c r="Q1625" s="38" t="n">
        <f aca="false">IF($M1625="",0,N(INDEX($A1625:$J1625,$Q$6)))</f>
        <v>0</v>
      </c>
      <c r="R1625" s="39" t="str">
        <f aca="false">IF($M1625="","",INDEX($A1625:$J1625,$R$6))</f>
        <v/>
      </c>
      <c r="S1625" s="37" t="str">
        <f aca="false">IF($M1625="","",IFERROR(INDEX(Settings!$B$27:$B$36,MATCH(L1625,Settings!$A$27:$A$36,0))&amp;"","UNMAPPED"))</f>
        <v/>
      </c>
      <c r="T1625" s="37" t="str">
        <f aca="false">IF($M1625="","",IF(NOT(ISNUMBER(R1625)),"NO DATE",IF(S1625="Won",IF(R1625&gt;Settings!$B$5,"Backlog","Delivered"),IF(S1625="Open",IF(R1625&gt;Settings!$B$5,"Pipeline","Overdue"),IF(S1625="Lost","Lost","UNMAPPED")))))</f>
        <v/>
      </c>
      <c r="U1625" s="40" t="n">
        <f aca="false">IF(T1625="Backlog",1,IF(OR(T1625="Pipeline",T1625="Overdue"),N(INDEX(Settings!$C$27:$C$36,MATCH(L1625,Settings!$A$27:$A$36,0))),0))</f>
        <v>0</v>
      </c>
      <c r="V1625" s="38" t="n">
        <f aca="false">Q1625*U1625</f>
        <v>0</v>
      </c>
      <c r="W1625" s="41" t="str">
        <f aca="false">IF($M1625="","",IF(T1625="Overdue",IF(Settings!$B$8="Yes",Settings!$B$7,""),IF(ISNUMBER(R1625),DATE(YEAR(R1625),MONTH(R1625),1),"")))</f>
        <v/>
      </c>
      <c r="X1625" s="38" t="n">
        <f aca="false">IF(AND(OR(T1625="Backlog",T1625="Pipeline",T1625="Overdue"),ISNUMBER(W1625)),IF(W1625&lt;=Settings!$B$6,V1625,0),0)</f>
        <v>0</v>
      </c>
      <c r="Y1625" s="38" t="n">
        <f aca="false">IF(AND(OR(T1625="Backlog",T1625="Pipeline",T1625="Overdue"),ISNUMBER(W1625)),IF(W1625&lt;=Settings!$B$6,Q1625,0),0)</f>
        <v>0</v>
      </c>
      <c r="Z1625" s="38" t="n">
        <f aca="false">IF(Y1625=0,0,IF(T1625="Backlog",Q1625,Q1625*Dashboard!$C$10))</f>
        <v>0</v>
      </c>
      <c r="AA1625" s="37" t="n">
        <f aca="false">IF($N1625="",0,IF(COUNTIF(Dashboard!$C$13:$C$22,$N1625)&gt;0,1,0))</f>
        <v>0</v>
      </c>
      <c r="AB1625" s="37" t="str">
        <f aca="false">IF($N1625="","",IF(COUNTIF($N$8:$N1625,$N1625)=1,MAX($AB$7:$AB1624)+1,""))</f>
        <v/>
      </c>
    </row>
    <row r="1626" customFormat="false" ht="15" hidden="false" customHeight="false" outlineLevel="0" collapsed="false">
      <c r="L1626" s="37" t="str">
        <f aca="false">IF(INDEX($A1626:$J1626,$L$6)&lt;&gt;"",TRIM(LEFT(INDEX($A1626:$J1626,$L$6),FIND("(",INDEX($A1626:$J1626,$L$6)&amp;"(")-1)),L1625)</f>
        <v>Building Value Proposition</v>
      </c>
      <c r="M1626" s="37" t="str">
        <f aca="false">IF(INDEX($A1626:$J1626,$M$6)="","",INDEX($A1626:$J1626,$M$6)&amp;"")</f>
        <v/>
      </c>
      <c r="N1626" s="37" t="str">
        <f aca="false">IF($M1626="","",TRIM(INDEX($A1626:$J1626,$N$6)&amp;""))</f>
        <v/>
      </c>
      <c r="O1626" s="37" t="str">
        <f aca="false">IF($M1626="","",TRIM(INDEX($A1626:$J1626,$O$6)&amp;""))</f>
        <v/>
      </c>
      <c r="P1626" s="37" t="str">
        <f aca="false">IF($M1626="","",IFERROR(IF(INDEX(Settings!$B$41:$B$50,MATCH(O1626,Settings!$A$41:$A$50,0))&amp;""="","UNMAPPED",INDEX(Settings!$B$41:$B$50,MATCH(O1626,Settings!$A$41:$A$50,0))&amp;""),"UNMAPPED"))</f>
        <v/>
      </c>
      <c r="Q1626" s="38" t="n">
        <f aca="false">IF($M1626="",0,N(INDEX($A1626:$J1626,$Q$6)))</f>
        <v>0</v>
      </c>
      <c r="R1626" s="39" t="str">
        <f aca="false">IF($M1626="","",INDEX($A1626:$J1626,$R$6))</f>
        <v/>
      </c>
      <c r="S1626" s="37" t="str">
        <f aca="false">IF($M1626="","",IFERROR(INDEX(Settings!$B$27:$B$36,MATCH(L1626,Settings!$A$27:$A$36,0))&amp;"","UNMAPPED"))</f>
        <v/>
      </c>
      <c r="T1626" s="37" t="str">
        <f aca="false">IF($M1626="","",IF(NOT(ISNUMBER(R1626)),"NO DATE",IF(S1626="Won",IF(R1626&gt;Settings!$B$5,"Backlog","Delivered"),IF(S1626="Open",IF(R1626&gt;Settings!$B$5,"Pipeline","Overdue"),IF(S1626="Lost","Lost","UNMAPPED")))))</f>
        <v/>
      </c>
      <c r="U1626" s="40" t="n">
        <f aca="false">IF(T1626="Backlog",1,IF(OR(T1626="Pipeline",T1626="Overdue"),N(INDEX(Settings!$C$27:$C$36,MATCH(L1626,Settings!$A$27:$A$36,0))),0))</f>
        <v>0</v>
      </c>
      <c r="V1626" s="38" t="n">
        <f aca="false">Q1626*U1626</f>
        <v>0</v>
      </c>
      <c r="W1626" s="41" t="str">
        <f aca="false">IF($M1626="","",IF(T1626="Overdue",IF(Settings!$B$8="Yes",Settings!$B$7,""),IF(ISNUMBER(R1626),DATE(YEAR(R1626),MONTH(R1626),1),"")))</f>
        <v/>
      </c>
      <c r="X1626" s="38" t="n">
        <f aca="false">IF(AND(OR(T1626="Backlog",T1626="Pipeline",T1626="Overdue"),ISNUMBER(W1626)),IF(W1626&lt;=Settings!$B$6,V1626,0),0)</f>
        <v>0</v>
      </c>
      <c r="Y1626" s="38" t="n">
        <f aca="false">IF(AND(OR(T1626="Backlog",T1626="Pipeline",T1626="Overdue"),ISNUMBER(W1626)),IF(W1626&lt;=Settings!$B$6,Q1626,0),0)</f>
        <v>0</v>
      </c>
      <c r="Z1626" s="38" t="n">
        <f aca="false">IF(Y1626=0,0,IF(T1626="Backlog",Q1626,Q1626*Dashboard!$C$10))</f>
        <v>0</v>
      </c>
      <c r="AA1626" s="37" t="n">
        <f aca="false">IF($N1626="",0,IF(COUNTIF(Dashboard!$C$13:$C$22,$N1626)&gt;0,1,0))</f>
        <v>0</v>
      </c>
      <c r="AB1626" s="37" t="str">
        <f aca="false">IF($N1626="","",IF(COUNTIF($N$8:$N1626,$N1626)=1,MAX($AB$7:$AB1625)+1,""))</f>
        <v/>
      </c>
    </row>
    <row r="1627" customFormat="false" ht="15" hidden="false" customHeight="false" outlineLevel="0" collapsed="false">
      <c r="L1627" s="37" t="str">
        <f aca="false">IF(INDEX($A1627:$J1627,$L$6)&lt;&gt;"",TRIM(LEFT(INDEX($A1627:$J1627,$L$6),FIND("(",INDEX($A1627:$J1627,$L$6)&amp;"(")-1)),L1626)</f>
        <v>Building Value Proposition</v>
      </c>
      <c r="M1627" s="37" t="str">
        <f aca="false">IF(INDEX($A1627:$J1627,$M$6)="","",INDEX($A1627:$J1627,$M$6)&amp;"")</f>
        <v/>
      </c>
      <c r="N1627" s="37" t="str">
        <f aca="false">IF($M1627="","",TRIM(INDEX($A1627:$J1627,$N$6)&amp;""))</f>
        <v/>
      </c>
      <c r="O1627" s="37" t="str">
        <f aca="false">IF($M1627="","",TRIM(INDEX($A1627:$J1627,$O$6)&amp;""))</f>
        <v/>
      </c>
      <c r="P1627" s="37" t="str">
        <f aca="false">IF($M1627="","",IFERROR(IF(INDEX(Settings!$B$41:$B$50,MATCH(O1627,Settings!$A$41:$A$50,0))&amp;""="","UNMAPPED",INDEX(Settings!$B$41:$B$50,MATCH(O1627,Settings!$A$41:$A$50,0))&amp;""),"UNMAPPED"))</f>
        <v/>
      </c>
      <c r="Q1627" s="38" t="n">
        <f aca="false">IF($M1627="",0,N(INDEX($A1627:$J1627,$Q$6)))</f>
        <v>0</v>
      </c>
      <c r="R1627" s="39" t="str">
        <f aca="false">IF($M1627="","",INDEX($A1627:$J1627,$R$6))</f>
        <v/>
      </c>
      <c r="S1627" s="37" t="str">
        <f aca="false">IF($M1627="","",IFERROR(INDEX(Settings!$B$27:$B$36,MATCH(L1627,Settings!$A$27:$A$36,0))&amp;"","UNMAPPED"))</f>
        <v/>
      </c>
      <c r="T1627" s="37" t="str">
        <f aca="false">IF($M1627="","",IF(NOT(ISNUMBER(R1627)),"NO DATE",IF(S1627="Won",IF(R1627&gt;Settings!$B$5,"Backlog","Delivered"),IF(S1627="Open",IF(R1627&gt;Settings!$B$5,"Pipeline","Overdue"),IF(S1627="Lost","Lost","UNMAPPED")))))</f>
        <v/>
      </c>
      <c r="U1627" s="40" t="n">
        <f aca="false">IF(T1627="Backlog",1,IF(OR(T1627="Pipeline",T1627="Overdue"),N(INDEX(Settings!$C$27:$C$36,MATCH(L1627,Settings!$A$27:$A$36,0))),0))</f>
        <v>0</v>
      </c>
      <c r="V1627" s="38" t="n">
        <f aca="false">Q1627*U1627</f>
        <v>0</v>
      </c>
      <c r="W1627" s="41" t="str">
        <f aca="false">IF($M1627="","",IF(T1627="Overdue",IF(Settings!$B$8="Yes",Settings!$B$7,""),IF(ISNUMBER(R1627),DATE(YEAR(R1627),MONTH(R1627),1),"")))</f>
        <v/>
      </c>
      <c r="X1627" s="38" t="n">
        <f aca="false">IF(AND(OR(T1627="Backlog",T1627="Pipeline",T1627="Overdue"),ISNUMBER(W1627)),IF(W1627&lt;=Settings!$B$6,V1627,0),0)</f>
        <v>0</v>
      </c>
      <c r="Y1627" s="38" t="n">
        <f aca="false">IF(AND(OR(T1627="Backlog",T1627="Pipeline",T1627="Overdue"),ISNUMBER(W1627)),IF(W1627&lt;=Settings!$B$6,Q1627,0),0)</f>
        <v>0</v>
      </c>
      <c r="Z1627" s="38" t="n">
        <f aca="false">IF(Y1627=0,0,IF(T1627="Backlog",Q1627,Q1627*Dashboard!$C$10))</f>
        <v>0</v>
      </c>
      <c r="AA1627" s="37" t="n">
        <f aca="false">IF($N1627="",0,IF(COUNTIF(Dashboard!$C$13:$C$22,$N1627)&gt;0,1,0))</f>
        <v>0</v>
      </c>
      <c r="AB1627" s="37" t="str">
        <f aca="false">IF($N1627="","",IF(COUNTIF($N$8:$N1627,$N1627)=1,MAX($AB$7:$AB1626)+1,""))</f>
        <v/>
      </c>
    </row>
    <row r="1628" customFormat="false" ht="15" hidden="false" customHeight="false" outlineLevel="0" collapsed="false">
      <c r="L1628" s="37" t="str">
        <f aca="false">IF(INDEX($A1628:$J1628,$L$6)&lt;&gt;"",TRIM(LEFT(INDEX($A1628:$J1628,$L$6),FIND("(",INDEX($A1628:$J1628,$L$6)&amp;"(")-1)),L1627)</f>
        <v>Building Value Proposition</v>
      </c>
      <c r="M1628" s="37" t="str">
        <f aca="false">IF(INDEX($A1628:$J1628,$M$6)="","",INDEX($A1628:$J1628,$M$6)&amp;"")</f>
        <v/>
      </c>
      <c r="N1628" s="37" t="str">
        <f aca="false">IF($M1628="","",TRIM(INDEX($A1628:$J1628,$N$6)&amp;""))</f>
        <v/>
      </c>
      <c r="O1628" s="37" t="str">
        <f aca="false">IF($M1628="","",TRIM(INDEX($A1628:$J1628,$O$6)&amp;""))</f>
        <v/>
      </c>
      <c r="P1628" s="37" t="str">
        <f aca="false">IF($M1628="","",IFERROR(IF(INDEX(Settings!$B$41:$B$50,MATCH(O1628,Settings!$A$41:$A$50,0))&amp;""="","UNMAPPED",INDEX(Settings!$B$41:$B$50,MATCH(O1628,Settings!$A$41:$A$50,0))&amp;""),"UNMAPPED"))</f>
        <v/>
      </c>
      <c r="Q1628" s="38" t="n">
        <f aca="false">IF($M1628="",0,N(INDEX($A1628:$J1628,$Q$6)))</f>
        <v>0</v>
      </c>
      <c r="R1628" s="39" t="str">
        <f aca="false">IF($M1628="","",INDEX($A1628:$J1628,$R$6))</f>
        <v/>
      </c>
      <c r="S1628" s="37" t="str">
        <f aca="false">IF($M1628="","",IFERROR(INDEX(Settings!$B$27:$B$36,MATCH(L1628,Settings!$A$27:$A$36,0))&amp;"","UNMAPPED"))</f>
        <v/>
      </c>
      <c r="T1628" s="37" t="str">
        <f aca="false">IF($M1628="","",IF(NOT(ISNUMBER(R1628)),"NO DATE",IF(S1628="Won",IF(R1628&gt;Settings!$B$5,"Backlog","Delivered"),IF(S1628="Open",IF(R1628&gt;Settings!$B$5,"Pipeline","Overdue"),IF(S1628="Lost","Lost","UNMAPPED")))))</f>
        <v/>
      </c>
      <c r="U1628" s="40" t="n">
        <f aca="false">IF(T1628="Backlog",1,IF(OR(T1628="Pipeline",T1628="Overdue"),N(INDEX(Settings!$C$27:$C$36,MATCH(L1628,Settings!$A$27:$A$36,0))),0))</f>
        <v>0</v>
      </c>
      <c r="V1628" s="38" t="n">
        <f aca="false">Q1628*U1628</f>
        <v>0</v>
      </c>
      <c r="W1628" s="41" t="str">
        <f aca="false">IF($M1628="","",IF(T1628="Overdue",IF(Settings!$B$8="Yes",Settings!$B$7,""),IF(ISNUMBER(R1628),DATE(YEAR(R1628),MONTH(R1628),1),"")))</f>
        <v/>
      </c>
      <c r="X1628" s="38" t="n">
        <f aca="false">IF(AND(OR(T1628="Backlog",T1628="Pipeline",T1628="Overdue"),ISNUMBER(W1628)),IF(W1628&lt;=Settings!$B$6,V1628,0),0)</f>
        <v>0</v>
      </c>
      <c r="Y1628" s="38" t="n">
        <f aca="false">IF(AND(OR(T1628="Backlog",T1628="Pipeline",T1628="Overdue"),ISNUMBER(W1628)),IF(W1628&lt;=Settings!$B$6,Q1628,0),0)</f>
        <v>0</v>
      </c>
      <c r="Z1628" s="38" t="n">
        <f aca="false">IF(Y1628=0,0,IF(T1628="Backlog",Q1628,Q1628*Dashboard!$C$10))</f>
        <v>0</v>
      </c>
      <c r="AA1628" s="37" t="n">
        <f aca="false">IF($N1628="",0,IF(COUNTIF(Dashboard!$C$13:$C$22,$N1628)&gt;0,1,0))</f>
        <v>0</v>
      </c>
      <c r="AB1628" s="37" t="str">
        <f aca="false">IF($N1628="","",IF(COUNTIF($N$8:$N1628,$N1628)=1,MAX($AB$7:$AB1627)+1,""))</f>
        <v/>
      </c>
    </row>
    <row r="1629" customFormat="false" ht="15" hidden="false" customHeight="false" outlineLevel="0" collapsed="false">
      <c r="L1629" s="37" t="str">
        <f aca="false">IF(INDEX($A1629:$J1629,$L$6)&lt;&gt;"",TRIM(LEFT(INDEX($A1629:$J1629,$L$6),FIND("(",INDEX($A1629:$J1629,$L$6)&amp;"(")-1)),L1628)</f>
        <v>Building Value Proposition</v>
      </c>
      <c r="M1629" s="37" t="str">
        <f aca="false">IF(INDEX($A1629:$J1629,$M$6)="","",INDEX($A1629:$J1629,$M$6)&amp;"")</f>
        <v/>
      </c>
      <c r="N1629" s="37" t="str">
        <f aca="false">IF($M1629="","",TRIM(INDEX($A1629:$J1629,$N$6)&amp;""))</f>
        <v/>
      </c>
      <c r="O1629" s="37" t="str">
        <f aca="false">IF($M1629="","",TRIM(INDEX($A1629:$J1629,$O$6)&amp;""))</f>
        <v/>
      </c>
      <c r="P1629" s="37" t="str">
        <f aca="false">IF($M1629="","",IFERROR(IF(INDEX(Settings!$B$41:$B$50,MATCH(O1629,Settings!$A$41:$A$50,0))&amp;""="","UNMAPPED",INDEX(Settings!$B$41:$B$50,MATCH(O1629,Settings!$A$41:$A$50,0))&amp;""),"UNMAPPED"))</f>
        <v/>
      </c>
      <c r="Q1629" s="38" t="n">
        <f aca="false">IF($M1629="",0,N(INDEX($A1629:$J1629,$Q$6)))</f>
        <v>0</v>
      </c>
      <c r="R1629" s="39" t="str">
        <f aca="false">IF($M1629="","",INDEX($A1629:$J1629,$R$6))</f>
        <v/>
      </c>
      <c r="S1629" s="37" t="str">
        <f aca="false">IF($M1629="","",IFERROR(INDEX(Settings!$B$27:$B$36,MATCH(L1629,Settings!$A$27:$A$36,0))&amp;"","UNMAPPED"))</f>
        <v/>
      </c>
      <c r="T1629" s="37" t="str">
        <f aca="false">IF($M1629="","",IF(NOT(ISNUMBER(R1629)),"NO DATE",IF(S1629="Won",IF(R1629&gt;Settings!$B$5,"Backlog","Delivered"),IF(S1629="Open",IF(R1629&gt;Settings!$B$5,"Pipeline","Overdue"),IF(S1629="Lost","Lost","UNMAPPED")))))</f>
        <v/>
      </c>
      <c r="U1629" s="40" t="n">
        <f aca="false">IF(T1629="Backlog",1,IF(OR(T1629="Pipeline",T1629="Overdue"),N(INDEX(Settings!$C$27:$C$36,MATCH(L1629,Settings!$A$27:$A$36,0))),0))</f>
        <v>0</v>
      </c>
      <c r="V1629" s="38" t="n">
        <f aca="false">Q1629*U1629</f>
        <v>0</v>
      </c>
      <c r="W1629" s="41" t="str">
        <f aca="false">IF($M1629="","",IF(T1629="Overdue",IF(Settings!$B$8="Yes",Settings!$B$7,""),IF(ISNUMBER(R1629),DATE(YEAR(R1629),MONTH(R1629),1),"")))</f>
        <v/>
      </c>
      <c r="X1629" s="38" t="n">
        <f aca="false">IF(AND(OR(T1629="Backlog",T1629="Pipeline",T1629="Overdue"),ISNUMBER(W1629)),IF(W1629&lt;=Settings!$B$6,V1629,0),0)</f>
        <v>0</v>
      </c>
      <c r="Y1629" s="38" t="n">
        <f aca="false">IF(AND(OR(T1629="Backlog",T1629="Pipeline",T1629="Overdue"),ISNUMBER(W1629)),IF(W1629&lt;=Settings!$B$6,Q1629,0),0)</f>
        <v>0</v>
      </c>
      <c r="Z1629" s="38" t="n">
        <f aca="false">IF(Y1629=0,0,IF(T1629="Backlog",Q1629,Q1629*Dashboard!$C$10))</f>
        <v>0</v>
      </c>
      <c r="AA1629" s="37" t="n">
        <f aca="false">IF($N1629="",0,IF(COUNTIF(Dashboard!$C$13:$C$22,$N1629)&gt;0,1,0))</f>
        <v>0</v>
      </c>
      <c r="AB1629" s="37" t="str">
        <f aca="false">IF($N1629="","",IF(COUNTIF($N$8:$N1629,$N1629)=1,MAX($AB$7:$AB1628)+1,""))</f>
        <v/>
      </c>
    </row>
    <row r="1630" customFormat="false" ht="15" hidden="false" customHeight="false" outlineLevel="0" collapsed="false">
      <c r="L1630" s="37" t="str">
        <f aca="false">IF(INDEX($A1630:$J1630,$L$6)&lt;&gt;"",TRIM(LEFT(INDEX($A1630:$J1630,$L$6),FIND("(",INDEX($A1630:$J1630,$L$6)&amp;"(")-1)),L1629)</f>
        <v>Building Value Proposition</v>
      </c>
      <c r="M1630" s="37" t="str">
        <f aca="false">IF(INDEX($A1630:$J1630,$M$6)="","",INDEX($A1630:$J1630,$M$6)&amp;"")</f>
        <v/>
      </c>
      <c r="N1630" s="37" t="str">
        <f aca="false">IF($M1630="","",TRIM(INDEX($A1630:$J1630,$N$6)&amp;""))</f>
        <v/>
      </c>
      <c r="O1630" s="37" t="str">
        <f aca="false">IF($M1630="","",TRIM(INDEX($A1630:$J1630,$O$6)&amp;""))</f>
        <v/>
      </c>
      <c r="P1630" s="37" t="str">
        <f aca="false">IF($M1630="","",IFERROR(IF(INDEX(Settings!$B$41:$B$50,MATCH(O1630,Settings!$A$41:$A$50,0))&amp;""="","UNMAPPED",INDEX(Settings!$B$41:$B$50,MATCH(O1630,Settings!$A$41:$A$50,0))&amp;""),"UNMAPPED"))</f>
        <v/>
      </c>
      <c r="Q1630" s="38" t="n">
        <f aca="false">IF($M1630="",0,N(INDEX($A1630:$J1630,$Q$6)))</f>
        <v>0</v>
      </c>
      <c r="R1630" s="39" t="str">
        <f aca="false">IF($M1630="","",INDEX($A1630:$J1630,$R$6))</f>
        <v/>
      </c>
      <c r="S1630" s="37" t="str">
        <f aca="false">IF($M1630="","",IFERROR(INDEX(Settings!$B$27:$B$36,MATCH(L1630,Settings!$A$27:$A$36,0))&amp;"","UNMAPPED"))</f>
        <v/>
      </c>
      <c r="T1630" s="37" t="str">
        <f aca="false">IF($M1630="","",IF(NOT(ISNUMBER(R1630)),"NO DATE",IF(S1630="Won",IF(R1630&gt;Settings!$B$5,"Backlog","Delivered"),IF(S1630="Open",IF(R1630&gt;Settings!$B$5,"Pipeline","Overdue"),IF(S1630="Lost","Lost","UNMAPPED")))))</f>
        <v/>
      </c>
      <c r="U1630" s="40" t="n">
        <f aca="false">IF(T1630="Backlog",1,IF(OR(T1630="Pipeline",T1630="Overdue"),N(INDEX(Settings!$C$27:$C$36,MATCH(L1630,Settings!$A$27:$A$36,0))),0))</f>
        <v>0</v>
      </c>
      <c r="V1630" s="38" t="n">
        <f aca="false">Q1630*U1630</f>
        <v>0</v>
      </c>
      <c r="W1630" s="41" t="str">
        <f aca="false">IF($M1630="","",IF(T1630="Overdue",IF(Settings!$B$8="Yes",Settings!$B$7,""),IF(ISNUMBER(R1630),DATE(YEAR(R1630),MONTH(R1630),1),"")))</f>
        <v/>
      </c>
      <c r="X1630" s="38" t="n">
        <f aca="false">IF(AND(OR(T1630="Backlog",T1630="Pipeline",T1630="Overdue"),ISNUMBER(W1630)),IF(W1630&lt;=Settings!$B$6,V1630,0),0)</f>
        <v>0</v>
      </c>
      <c r="Y1630" s="38" t="n">
        <f aca="false">IF(AND(OR(T1630="Backlog",T1630="Pipeline",T1630="Overdue"),ISNUMBER(W1630)),IF(W1630&lt;=Settings!$B$6,Q1630,0),0)</f>
        <v>0</v>
      </c>
      <c r="Z1630" s="38" t="n">
        <f aca="false">IF(Y1630=0,0,IF(T1630="Backlog",Q1630,Q1630*Dashboard!$C$10))</f>
        <v>0</v>
      </c>
      <c r="AA1630" s="37" t="n">
        <f aca="false">IF($N1630="",0,IF(COUNTIF(Dashboard!$C$13:$C$22,$N1630)&gt;0,1,0))</f>
        <v>0</v>
      </c>
      <c r="AB1630" s="37" t="str">
        <f aca="false">IF($N1630="","",IF(COUNTIF($N$8:$N1630,$N1630)=1,MAX($AB$7:$AB1629)+1,""))</f>
        <v/>
      </c>
    </row>
    <row r="1631" customFormat="false" ht="15" hidden="false" customHeight="false" outlineLevel="0" collapsed="false">
      <c r="L1631" s="37" t="str">
        <f aca="false">IF(INDEX($A1631:$J1631,$L$6)&lt;&gt;"",TRIM(LEFT(INDEX($A1631:$J1631,$L$6),FIND("(",INDEX($A1631:$J1631,$L$6)&amp;"(")-1)),L1630)</f>
        <v>Building Value Proposition</v>
      </c>
      <c r="M1631" s="37" t="str">
        <f aca="false">IF(INDEX($A1631:$J1631,$M$6)="","",INDEX($A1631:$J1631,$M$6)&amp;"")</f>
        <v/>
      </c>
      <c r="N1631" s="37" t="str">
        <f aca="false">IF($M1631="","",TRIM(INDEX($A1631:$J1631,$N$6)&amp;""))</f>
        <v/>
      </c>
      <c r="O1631" s="37" t="str">
        <f aca="false">IF($M1631="","",TRIM(INDEX($A1631:$J1631,$O$6)&amp;""))</f>
        <v/>
      </c>
      <c r="P1631" s="37" t="str">
        <f aca="false">IF($M1631="","",IFERROR(IF(INDEX(Settings!$B$41:$B$50,MATCH(O1631,Settings!$A$41:$A$50,0))&amp;""="","UNMAPPED",INDEX(Settings!$B$41:$B$50,MATCH(O1631,Settings!$A$41:$A$50,0))&amp;""),"UNMAPPED"))</f>
        <v/>
      </c>
      <c r="Q1631" s="38" t="n">
        <f aca="false">IF($M1631="",0,N(INDEX($A1631:$J1631,$Q$6)))</f>
        <v>0</v>
      </c>
      <c r="R1631" s="39" t="str">
        <f aca="false">IF($M1631="","",INDEX($A1631:$J1631,$R$6))</f>
        <v/>
      </c>
      <c r="S1631" s="37" t="str">
        <f aca="false">IF($M1631="","",IFERROR(INDEX(Settings!$B$27:$B$36,MATCH(L1631,Settings!$A$27:$A$36,0))&amp;"","UNMAPPED"))</f>
        <v/>
      </c>
      <c r="T1631" s="37" t="str">
        <f aca="false">IF($M1631="","",IF(NOT(ISNUMBER(R1631)),"NO DATE",IF(S1631="Won",IF(R1631&gt;Settings!$B$5,"Backlog","Delivered"),IF(S1631="Open",IF(R1631&gt;Settings!$B$5,"Pipeline","Overdue"),IF(S1631="Lost","Lost","UNMAPPED")))))</f>
        <v/>
      </c>
      <c r="U1631" s="40" t="n">
        <f aca="false">IF(T1631="Backlog",1,IF(OR(T1631="Pipeline",T1631="Overdue"),N(INDEX(Settings!$C$27:$C$36,MATCH(L1631,Settings!$A$27:$A$36,0))),0))</f>
        <v>0</v>
      </c>
      <c r="V1631" s="38" t="n">
        <f aca="false">Q1631*U1631</f>
        <v>0</v>
      </c>
      <c r="W1631" s="41" t="str">
        <f aca="false">IF($M1631="","",IF(T1631="Overdue",IF(Settings!$B$8="Yes",Settings!$B$7,""),IF(ISNUMBER(R1631),DATE(YEAR(R1631),MONTH(R1631),1),"")))</f>
        <v/>
      </c>
      <c r="X1631" s="38" t="n">
        <f aca="false">IF(AND(OR(T1631="Backlog",T1631="Pipeline",T1631="Overdue"),ISNUMBER(W1631)),IF(W1631&lt;=Settings!$B$6,V1631,0),0)</f>
        <v>0</v>
      </c>
      <c r="Y1631" s="38" t="n">
        <f aca="false">IF(AND(OR(T1631="Backlog",T1631="Pipeline",T1631="Overdue"),ISNUMBER(W1631)),IF(W1631&lt;=Settings!$B$6,Q1631,0),0)</f>
        <v>0</v>
      </c>
      <c r="Z1631" s="38" t="n">
        <f aca="false">IF(Y1631=0,0,IF(T1631="Backlog",Q1631,Q1631*Dashboard!$C$10))</f>
        <v>0</v>
      </c>
      <c r="AA1631" s="37" t="n">
        <f aca="false">IF($N1631="",0,IF(COUNTIF(Dashboard!$C$13:$C$22,$N1631)&gt;0,1,0))</f>
        <v>0</v>
      </c>
      <c r="AB1631" s="37" t="str">
        <f aca="false">IF($N1631="","",IF(COUNTIF($N$8:$N1631,$N1631)=1,MAX($AB$7:$AB1630)+1,""))</f>
        <v/>
      </c>
    </row>
    <row r="1632" customFormat="false" ht="15" hidden="false" customHeight="false" outlineLevel="0" collapsed="false">
      <c r="L1632" s="37" t="str">
        <f aca="false">IF(INDEX($A1632:$J1632,$L$6)&lt;&gt;"",TRIM(LEFT(INDEX($A1632:$J1632,$L$6),FIND("(",INDEX($A1632:$J1632,$L$6)&amp;"(")-1)),L1631)</f>
        <v>Building Value Proposition</v>
      </c>
      <c r="M1632" s="37" t="str">
        <f aca="false">IF(INDEX($A1632:$J1632,$M$6)="","",INDEX($A1632:$J1632,$M$6)&amp;"")</f>
        <v/>
      </c>
      <c r="N1632" s="37" t="str">
        <f aca="false">IF($M1632="","",TRIM(INDEX($A1632:$J1632,$N$6)&amp;""))</f>
        <v/>
      </c>
      <c r="O1632" s="37" t="str">
        <f aca="false">IF($M1632="","",TRIM(INDEX($A1632:$J1632,$O$6)&amp;""))</f>
        <v/>
      </c>
      <c r="P1632" s="37" t="str">
        <f aca="false">IF($M1632="","",IFERROR(IF(INDEX(Settings!$B$41:$B$50,MATCH(O1632,Settings!$A$41:$A$50,0))&amp;""="","UNMAPPED",INDEX(Settings!$B$41:$B$50,MATCH(O1632,Settings!$A$41:$A$50,0))&amp;""),"UNMAPPED"))</f>
        <v/>
      </c>
      <c r="Q1632" s="38" t="n">
        <f aca="false">IF($M1632="",0,N(INDEX($A1632:$J1632,$Q$6)))</f>
        <v>0</v>
      </c>
      <c r="R1632" s="39" t="str">
        <f aca="false">IF($M1632="","",INDEX($A1632:$J1632,$R$6))</f>
        <v/>
      </c>
      <c r="S1632" s="37" t="str">
        <f aca="false">IF($M1632="","",IFERROR(INDEX(Settings!$B$27:$B$36,MATCH(L1632,Settings!$A$27:$A$36,0))&amp;"","UNMAPPED"))</f>
        <v/>
      </c>
      <c r="T1632" s="37" t="str">
        <f aca="false">IF($M1632="","",IF(NOT(ISNUMBER(R1632)),"NO DATE",IF(S1632="Won",IF(R1632&gt;Settings!$B$5,"Backlog","Delivered"),IF(S1632="Open",IF(R1632&gt;Settings!$B$5,"Pipeline","Overdue"),IF(S1632="Lost","Lost","UNMAPPED")))))</f>
        <v/>
      </c>
      <c r="U1632" s="40" t="n">
        <f aca="false">IF(T1632="Backlog",1,IF(OR(T1632="Pipeline",T1632="Overdue"),N(INDEX(Settings!$C$27:$C$36,MATCH(L1632,Settings!$A$27:$A$36,0))),0))</f>
        <v>0</v>
      </c>
      <c r="V1632" s="38" t="n">
        <f aca="false">Q1632*U1632</f>
        <v>0</v>
      </c>
      <c r="W1632" s="41" t="str">
        <f aca="false">IF($M1632="","",IF(T1632="Overdue",IF(Settings!$B$8="Yes",Settings!$B$7,""),IF(ISNUMBER(R1632),DATE(YEAR(R1632),MONTH(R1632),1),"")))</f>
        <v/>
      </c>
      <c r="X1632" s="38" t="n">
        <f aca="false">IF(AND(OR(T1632="Backlog",T1632="Pipeline",T1632="Overdue"),ISNUMBER(W1632)),IF(W1632&lt;=Settings!$B$6,V1632,0),0)</f>
        <v>0</v>
      </c>
      <c r="Y1632" s="38" t="n">
        <f aca="false">IF(AND(OR(T1632="Backlog",T1632="Pipeline",T1632="Overdue"),ISNUMBER(W1632)),IF(W1632&lt;=Settings!$B$6,Q1632,0),0)</f>
        <v>0</v>
      </c>
      <c r="Z1632" s="38" t="n">
        <f aca="false">IF(Y1632=0,0,IF(T1632="Backlog",Q1632,Q1632*Dashboard!$C$10))</f>
        <v>0</v>
      </c>
      <c r="AA1632" s="37" t="n">
        <f aca="false">IF($N1632="",0,IF(COUNTIF(Dashboard!$C$13:$C$22,$N1632)&gt;0,1,0))</f>
        <v>0</v>
      </c>
      <c r="AB1632" s="37" t="str">
        <f aca="false">IF($N1632="","",IF(COUNTIF($N$8:$N1632,$N1632)=1,MAX($AB$7:$AB1631)+1,""))</f>
        <v/>
      </c>
    </row>
    <row r="1633" customFormat="false" ht="15" hidden="false" customHeight="false" outlineLevel="0" collapsed="false">
      <c r="L1633" s="37" t="str">
        <f aca="false">IF(INDEX($A1633:$J1633,$L$6)&lt;&gt;"",TRIM(LEFT(INDEX($A1633:$J1633,$L$6),FIND("(",INDEX($A1633:$J1633,$L$6)&amp;"(")-1)),L1632)</f>
        <v>Building Value Proposition</v>
      </c>
      <c r="M1633" s="37" t="str">
        <f aca="false">IF(INDEX($A1633:$J1633,$M$6)="","",INDEX($A1633:$J1633,$M$6)&amp;"")</f>
        <v/>
      </c>
      <c r="N1633" s="37" t="str">
        <f aca="false">IF($M1633="","",TRIM(INDEX($A1633:$J1633,$N$6)&amp;""))</f>
        <v/>
      </c>
      <c r="O1633" s="37" t="str">
        <f aca="false">IF($M1633="","",TRIM(INDEX($A1633:$J1633,$O$6)&amp;""))</f>
        <v/>
      </c>
      <c r="P1633" s="37" t="str">
        <f aca="false">IF($M1633="","",IFERROR(IF(INDEX(Settings!$B$41:$B$50,MATCH(O1633,Settings!$A$41:$A$50,0))&amp;""="","UNMAPPED",INDEX(Settings!$B$41:$B$50,MATCH(O1633,Settings!$A$41:$A$50,0))&amp;""),"UNMAPPED"))</f>
        <v/>
      </c>
      <c r="Q1633" s="38" t="n">
        <f aca="false">IF($M1633="",0,N(INDEX($A1633:$J1633,$Q$6)))</f>
        <v>0</v>
      </c>
      <c r="R1633" s="39" t="str">
        <f aca="false">IF($M1633="","",INDEX($A1633:$J1633,$R$6))</f>
        <v/>
      </c>
      <c r="S1633" s="37" t="str">
        <f aca="false">IF($M1633="","",IFERROR(INDEX(Settings!$B$27:$B$36,MATCH(L1633,Settings!$A$27:$A$36,0))&amp;"","UNMAPPED"))</f>
        <v/>
      </c>
      <c r="T1633" s="37" t="str">
        <f aca="false">IF($M1633="","",IF(NOT(ISNUMBER(R1633)),"NO DATE",IF(S1633="Won",IF(R1633&gt;Settings!$B$5,"Backlog","Delivered"),IF(S1633="Open",IF(R1633&gt;Settings!$B$5,"Pipeline","Overdue"),IF(S1633="Lost","Lost","UNMAPPED")))))</f>
        <v/>
      </c>
      <c r="U1633" s="40" t="n">
        <f aca="false">IF(T1633="Backlog",1,IF(OR(T1633="Pipeline",T1633="Overdue"),N(INDEX(Settings!$C$27:$C$36,MATCH(L1633,Settings!$A$27:$A$36,0))),0))</f>
        <v>0</v>
      </c>
      <c r="V1633" s="38" t="n">
        <f aca="false">Q1633*U1633</f>
        <v>0</v>
      </c>
      <c r="W1633" s="41" t="str">
        <f aca="false">IF($M1633="","",IF(T1633="Overdue",IF(Settings!$B$8="Yes",Settings!$B$7,""),IF(ISNUMBER(R1633),DATE(YEAR(R1633),MONTH(R1633),1),"")))</f>
        <v/>
      </c>
      <c r="X1633" s="38" t="n">
        <f aca="false">IF(AND(OR(T1633="Backlog",T1633="Pipeline",T1633="Overdue"),ISNUMBER(W1633)),IF(W1633&lt;=Settings!$B$6,V1633,0),0)</f>
        <v>0</v>
      </c>
      <c r="Y1633" s="38" t="n">
        <f aca="false">IF(AND(OR(T1633="Backlog",T1633="Pipeline",T1633="Overdue"),ISNUMBER(W1633)),IF(W1633&lt;=Settings!$B$6,Q1633,0),0)</f>
        <v>0</v>
      </c>
      <c r="Z1633" s="38" t="n">
        <f aca="false">IF(Y1633=0,0,IF(T1633="Backlog",Q1633,Q1633*Dashboard!$C$10))</f>
        <v>0</v>
      </c>
      <c r="AA1633" s="37" t="n">
        <f aca="false">IF($N1633="",0,IF(COUNTIF(Dashboard!$C$13:$C$22,$N1633)&gt;0,1,0))</f>
        <v>0</v>
      </c>
      <c r="AB1633" s="37" t="str">
        <f aca="false">IF($N1633="","",IF(COUNTIF($N$8:$N1633,$N1633)=1,MAX($AB$7:$AB1632)+1,""))</f>
        <v/>
      </c>
    </row>
    <row r="1634" customFormat="false" ht="15" hidden="false" customHeight="false" outlineLevel="0" collapsed="false">
      <c r="L1634" s="37" t="str">
        <f aca="false">IF(INDEX($A1634:$J1634,$L$6)&lt;&gt;"",TRIM(LEFT(INDEX($A1634:$J1634,$L$6),FIND("(",INDEX($A1634:$J1634,$L$6)&amp;"(")-1)),L1633)</f>
        <v>Building Value Proposition</v>
      </c>
      <c r="M1634" s="37" t="str">
        <f aca="false">IF(INDEX($A1634:$J1634,$M$6)="","",INDEX($A1634:$J1634,$M$6)&amp;"")</f>
        <v/>
      </c>
      <c r="N1634" s="37" t="str">
        <f aca="false">IF($M1634="","",TRIM(INDEX($A1634:$J1634,$N$6)&amp;""))</f>
        <v/>
      </c>
      <c r="O1634" s="37" t="str">
        <f aca="false">IF($M1634="","",TRIM(INDEX($A1634:$J1634,$O$6)&amp;""))</f>
        <v/>
      </c>
      <c r="P1634" s="37" t="str">
        <f aca="false">IF($M1634="","",IFERROR(IF(INDEX(Settings!$B$41:$B$50,MATCH(O1634,Settings!$A$41:$A$50,0))&amp;""="","UNMAPPED",INDEX(Settings!$B$41:$B$50,MATCH(O1634,Settings!$A$41:$A$50,0))&amp;""),"UNMAPPED"))</f>
        <v/>
      </c>
      <c r="Q1634" s="38" t="n">
        <f aca="false">IF($M1634="",0,N(INDEX($A1634:$J1634,$Q$6)))</f>
        <v>0</v>
      </c>
      <c r="R1634" s="39" t="str">
        <f aca="false">IF($M1634="","",INDEX($A1634:$J1634,$R$6))</f>
        <v/>
      </c>
      <c r="S1634" s="37" t="str">
        <f aca="false">IF($M1634="","",IFERROR(INDEX(Settings!$B$27:$B$36,MATCH(L1634,Settings!$A$27:$A$36,0))&amp;"","UNMAPPED"))</f>
        <v/>
      </c>
      <c r="T1634" s="37" t="str">
        <f aca="false">IF($M1634="","",IF(NOT(ISNUMBER(R1634)),"NO DATE",IF(S1634="Won",IF(R1634&gt;Settings!$B$5,"Backlog","Delivered"),IF(S1634="Open",IF(R1634&gt;Settings!$B$5,"Pipeline","Overdue"),IF(S1634="Lost","Lost","UNMAPPED")))))</f>
        <v/>
      </c>
      <c r="U1634" s="40" t="n">
        <f aca="false">IF(T1634="Backlog",1,IF(OR(T1634="Pipeline",T1634="Overdue"),N(INDEX(Settings!$C$27:$C$36,MATCH(L1634,Settings!$A$27:$A$36,0))),0))</f>
        <v>0</v>
      </c>
      <c r="V1634" s="38" t="n">
        <f aca="false">Q1634*U1634</f>
        <v>0</v>
      </c>
      <c r="W1634" s="41" t="str">
        <f aca="false">IF($M1634="","",IF(T1634="Overdue",IF(Settings!$B$8="Yes",Settings!$B$7,""),IF(ISNUMBER(R1634),DATE(YEAR(R1634),MONTH(R1634),1),"")))</f>
        <v/>
      </c>
      <c r="X1634" s="38" t="n">
        <f aca="false">IF(AND(OR(T1634="Backlog",T1634="Pipeline",T1634="Overdue"),ISNUMBER(W1634)),IF(W1634&lt;=Settings!$B$6,V1634,0),0)</f>
        <v>0</v>
      </c>
      <c r="Y1634" s="38" t="n">
        <f aca="false">IF(AND(OR(T1634="Backlog",T1634="Pipeline",T1634="Overdue"),ISNUMBER(W1634)),IF(W1634&lt;=Settings!$B$6,Q1634,0),0)</f>
        <v>0</v>
      </c>
      <c r="Z1634" s="38" t="n">
        <f aca="false">IF(Y1634=0,0,IF(T1634="Backlog",Q1634,Q1634*Dashboard!$C$10))</f>
        <v>0</v>
      </c>
      <c r="AA1634" s="37" t="n">
        <f aca="false">IF($N1634="",0,IF(COUNTIF(Dashboard!$C$13:$C$22,$N1634)&gt;0,1,0))</f>
        <v>0</v>
      </c>
      <c r="AB1634" s="37" t="str">
        <f aca="false">IF($N1634="","",IF(COUNTIF($N$8:$N1634,$N1634)=1,MAX($AB$7:$AB1633)+1,""))</f>
        <v/>
      </c>
    </row>
    <row r="1635" customFormat="false" ht="15" hidden="false" customHeight="false" outlineLevel="0" collapsed="false">
      <c r="L1635" s="37" t="str">
        <f aca="false">IF(INDEX($A1635:$J1635,$L$6)&lt;&gt;"",TRIM(LEFT(INDEX($A1635:$J1635,$L$6),FIND("(",INDEX($A1635:$J1635,$L$6)&amp;"(")-1)),L1634)</f>
        <v>Building Value Proposition</v>
      </c>
      <c r="M1635" s="37" t="str">
        <f aca="false">IF(INDEX($A1635:$J1635,$M$6)="","",INDEX($A1635:$J1635,$M$6)&amp;"")</f>
        <v/>
      </c>
      <c r="N1635" s="37" t="str">
        <f aca="false">IF($M1635="","",TRIM(INDEX($A1635:$J1635,$N$6)&amp;""))</f>
        <v/>
      </c>
      <c r="O1635" s="37" t="str">
        <f aca="false">IF($M1635="","",TRIM(INDEX($A1635:$J1635,$O$6)&amp;""))</f>
        <v/>
      </c>
      <c r="P1635" s="37" t="str">
        <f aca="false">IF($M1635="","",IFERROR(IF(INDEX(Settings!$B$41:$B$50,MATCH(O1635,Settings!$A$41:$A$50,0))&amp;""="","UNMAPPED",INDEX(Settings!$B$41:$B$50,MATCH(O1635,Settings!$A$41:$A$50,0))&amp;""),"UNMAPPED"))</f>
        <v/>
      </c>
      <c r="Q1635" s="38" t="n">
        <f aca="false">IF($M1635="",0,N(INDEX($A1635:$J1635,$Q$6)))</f>
        <v>0</v>
      </c>
      <c r="R1635" s="39" t="str">
        <f aca="false">IF($M1635="","",INDEX($A1635:$J1635,$R$6))</f>
        <v/>
      </c>
      <c r="S1635" s="37" t="str">
        <f aca="false">IF($M1635="","",IFERROR(INDEX(Settings!$B$27:$B$36,MATCH(L1635,Settings!$A$27:$A$36,0))&amp;"","UNMAPPED"))</f>
        <v/>
      </c>
      <c r="T1635" s="37" t="str">
        <f aca="false">IF($M1635="","",IF(NOT(ISNUMBER(R1635)),"NO DATE",IF(S1635="Won",IF(R1635&gt;Settings!$B$5,"Backlog","Delivered"),IF(S1635="Open",IF(R1635&gt;Settings!$B$5,"Pipeline","Overdue"),IF(S1635="Lost","Lost","UNMAPPED")))))</f>
        <v/>
      </c>
      <c r="U1635" s="40" t="n">
        <f aca="false">IF(T1635="Backlog",1,IF(OR(T1635="Pipeline",T1635="Overdue"),N(INDEX(Settings!$C$27:$C$36,MATCH(L1635,Settings!$A$27:$A$36,0))),0))</f>
        <v>0</v>
      </c>
      <c r="V1635" s="38" t="n">
        <f aca="false">Q1635*U1635</f>
        <v>0</v>
      </c>
      <c r="W1635" s="41" t="str">
        <f aca="false">IF($M1635="","",IF(T1635="Overdue",IF(Settings!$B$8="Yes",Settings!$B$7,""),IF(ISNUMBER(R1635),DATE(YEAR(R1635),MONTH(R1635),1),"")))</f>
        <v/>
      </c>
      <c r="X1635" s="38" t="n">
        <f aca="false">IF(AND(OR(T1635="Backlog",T1635="Pipeline",T1635="Overdue"),ISNUMBER(W1635)),IF(W1635&lt;=Settings!$B$6,V1635,0),0)</f>
        <v>0</v>
      </c>
      <c r="Y1635" s="38" t="n">
        <f aca="false">IF(AND(OR(T1635="Backlog",T1635="Pipeline",T1635="Overdue"),ISNUMBER(W1635)),IF(W1635&lt;=Settings!$B$6,Q1635,0),0)</f>
        <v>0</v>
      </c>
      <c r="Z1635" s="38" t="n">
        <f aca="false">IF(Y1635=0,0,IF(T1635="Backlog",Q1635,Q1635*Dashboard!$C$10))</f>
        <v>0</v>
      </c>
      <c r="AA1635" s="37" t="n">
        <f aca="false">IF($N1635="",0,IF(COUNTIF(Dashboard!$C$13:$C$22,$N1635)&gt;0,1,0))</f>
        <v>0</v>
      </c>
      <c r="AB1635" s="37" t="str">
        <f aca="false">IF($N1635="","",IF(COUNTIF($N$8:$N1635,$N1635)=1,MAX($AB$7:$AB1634)+1,""))</f>
        <v/>
      </c>
    </row>
    <row r="1636" customFormat="false" ht="15" hidden="false" customHeight="false" outlineLevel="0" collapsed="false">
      <c r="L1636" s="37" t="str">
        <f aca="false">IF(INDEX($A1636:$J1636,$L$6)&lt;&gt;"",TRIM(LEFT(INDEX($A1636:$J1636,$L$6),FIND("(",INDEX($A1636:$J1636,$L$6)&amp;"(")-1)),L1635)</f>
        <v>Building Value Proposition</v>
      </c>
      <c r="M1636" s="37" t="str">
        <f aca="false">IF(INDEX($A1636:$J1636,$M$6)="","",INDEX($A1636:$J1636,$M$6)&amp;"")</f>
        <v/>
      </c>
      <c r="N1636" s="37" t="str">
        <f aca="false">IF($M1636="","",TRIM(INDEX($A1636:$J1636,$N$6)&amp;""))</f>
        <v/>
      </c>
      <c r="O1636" s="37" t="str">
        <f aca="false">IF($M1636="","",TRIM(INDEX($A1636:$J1636,$O$6)&amp;""))</f>
        <v/>
      </c>
      <c r="P1636" s="37" t="str">
        <f aca="false">IF($M1636="","",IFERROR(IF(INDEX(Settings!$B$41:$B$50,MATCH(O1636,Settings!$A$41:$A$50,0))&amp;""="","UNMAPPED",INDEX(Settings!$B$41:$B$50,MATCH(O1636,Settings!$A$41:$A$50,0))&amp;""),"UNMAPPED"))</f>
        <v/>
      </c>
      <c r="Q1636" s="38" t="n">
        <f aca="false">IF($M1636="",0,N(INDEX($A1636:$J1636,$Q$6)))</f>
        <v>0</v>
      </c>
      <c r="R1636" s="39" t="str">
        <f aca="false">IF($M1636="","",INDEX($A1636:$J1636,$R$6))</f>
        <v/>
      </c>
      <c r="S1636" s="37" t="str">
        <f aca="false">IF($M1636="","",IFERROR(INDEX(Settings!$B$27:$B$36,MATCH(L1636,Settings!$A$27:$A$36,0))&amp;"","UNMAPPED"))</f>
        <v/>
      </c>
      <c r="T1636" s="37" t="str">
        <f aca="false">IF($M1636="","",IF(NOT(ISNUMBER(R1636)),"NO DATE",IF(S1636="Won",IF(R1636&gt;Settings!$B$5,"Backlog","Delivered"),IF(S1636="Open",IF(R1636&gt;Settings!$B$5,"Pipeline","Overdue"),IF(S1636="Lost","Lost","UNMAPPED")))))</f>
        <v/>
      </c>
      <c r="U1636" s="40" t="n">
        <f aca="false">IF(T1636="Backlog",1,IF(OR(T1636="Pipeline",T1636="Overdue"),N(INDEX(Settings!$C$27:$C$36,MATCH(L1636,Settings!$A$27:$A$36,0))),0))</f>
        <v>0</v>
      </c>
      <c r="V1636" s="38" t="n">
        <f aca="false">Q1636*U1636</f>
        <v>0</v>
      </c>
      <c r="W1636" s="41" t="str">
        <f aca="false">IF($M1636="","",IF(T1636="Overdue",IF(Settings!$B$8="Yes",Settings!$B$7,""),IF(ISNUMBER(R1636),DATE(YEAR(R1636),MONTH(R1636),1),"")))</f>
        <v/>
      </c>
      <c r="X1636" s="38" t="n">
        <f aca="false">IF(AND(OR(T1636="Backlog",T1636="Pipeline",T1636="Overdue"),ISNUMBER(W1636)),IF(W1636&lt;=Settings!$B$6,V1636,0),0)</f>
        <v>0</v>
      </c>
      <c r="Y1636" s="38" t="n">
        <f aca="false">IF(AND(OR(T1636="Backlog",T1636="Pipeline",T1636="Overdue"),ISNUMBER(W1636)),IF(W1636&lt;=Settings!$B$6,Q1636,0),0)</f>
        <v>0</v>
      </c>
      <c r="Z1636" s="38" t="n">
        <f aca="false">IF(Y1636=0,0,IF(T1636="Backlog",Q1636,Q1636*Dashboard!$C$10))</f>
        <v>0</v>
      </c>
      <c r="AA1636" s="37" t="n">
        <f aca="false">IF($N1636="",0,IF(COUNTIF(Dashboard!$C$13:$C$22,$N1636)&gt;0,1,0))</f>
        <v>0</v>
      </c>
      <c r="AB1636" s="37" t="str">
        <f aca="false">IF($N1636="","",IF(COUNTIF($N$8:$N1636,$N1636)=1,MAX($AB$7:$AB1635)+1,""))</f>
        <v/>
      </c>
    </row>
    <row r="1637" customFormat="false" ht="15" hidden="false" customHeight="false" outlineLevel="0" collapsed="false">
      <c r="L1637" s="37" t="str">
        <f aca="false">IF(INDEX($A1637:$J1637,$L$6)&lt;&gt;"",TRIM(LEFT(INDEX($A1637:$J1637,$L$6),FIND("(",INDEX($A1637:$J1637,$L$6)&amp;"(")-1)),L1636)</f>
        <v>Building Value Proposition</v>
      </c>
      <c r="M1637" s="37" t="str">
        <f aca="false">IF(INDEX($A1637:$J1637,$M$6)="","",INDEX($A1637:$J1637,$M$6)&amp;"")</f>
        <v/>
      </c>
      <c r="N1637" s="37" t="str">
        <f aca="false">IF($M1637="","",TRIM(INDEX($A1637:$J1637,$N$6)&amp;""))</f>
        <v/>
      </c>
      <c r="O1637" s="37" t="str">
        <f aca="false">IF($M1637="","",TRIM(INDEX($A1637:$J1637,$O$6)&amp;""))</f>
        <v/>
      </c>
      <c r="P1637" s="37" t="str">
        <f aca="false">IF($M1637="","",IFERROR(IF(INDEX(Settings!$B$41:$B$50,MATCH(O1637,Settings!$A$41:$A$50,0))&amp;""="","UNMAPPED",INDEX(Settings!$B$41:$B$50,MATCH(O1637,Settings!$A$41:$A$50,0))&amp;""),"UNMAPPED"))</f>
        <v/>
      </c>
      <c r="Q1637" s="38" t="n">
        <f aca="false">IF($M1637="",0,N(INDEX($A1637:$J1637,$Q$6)))</f>
        <v>0</v>
      </c>
      <c r="R1637" s="39" t="str">
        <f aca="false">IF($M1637="","",INDEX($A1637:$J1637,$R$6))</f>
        <v/>
      </c>
      <c r="S1637" s="37" t="str">
        <f aca="false">IF($M1637="","",IFERROR(INDEX(Settings!$B$27:$B$36,MATCH(L1637,Settings!$A$27:$A$36,0))&amp;"","UNMAPPED"))</f>
        <v/>
      </c>
      <c r="T1637" s="37" t="str">
        <f aca="false">IF($M1637="","",IF(NOT(ISNUMBER(R1637)),"NO DATE",IF(S1637="Won",IF(R1637&gt;Settings!$B$5,"Backlog","Delivered"),IF(S1637="Open",IF(R1637&gt;Settings!$B$5,"Pipeline","Overdue"),IF(S1637="Lost","Lost","UNMAPPED")))))</f>
        <v/>
      </c>
      <c r="U1637" s="40" t="n">
        <f aca="false">IF(T1637="Backlog",1,IF(OR(T1637="Pipeline",T1637="Overdue"),N(INDEX(Settings!$C$27:$C$36,MATCH(L1637,Settings!$A$27:$A$36,0))),0))</f>
        <v>0</v>
      </c>
      <c r="V1637" s="38" t="n">
        <f aca="false">Q1637*U1637</f>
        <v>0</v>
      </c>
      <c r="W1637" s="41" t="str">
        <f aca="false">IF($M1637="","",IF(T1637="Overdue",IF(Settings!$B$8="Yes",Settings!$B$7,""),IF(ISNUMBER(R1637),DATE(YEAR(R1637),MONTH(R1637),1),"")))</f>
        <v/>
      </c>
      <c r="X1637" s="38" t="n">
        <f aca="false">IF(AND(OR(T1637="Backlog",T1637="Pipeline",T1637="Overdue"),ISNUMBER(W1637)),IF(W1637&lt;=Settings!$B$6,V1637,0),0)</f>
        <v>0</v>
      </c>
      <c r="Y1637" s="38" t="n">
        <f aca="false">IF(AND(OR(T1637="Backlog",T1637="Pipeline",T1637="Overdue"),ISNUMBER(W1637)),IF(W1637&lt;=Settings!$B$6,Q1637,0),0)</f>
        <v>0</v>
      </c>
      <c r="Z1637" s="38" t="n">
        <f aca="false">IF(Y1637=0,0,IF(T1637="Backlog",Q1637,Q1637*Dashboard!$C$10))</f>
        <v>0</v>
      </c>
      <c r="AA1637" s="37" t="n">
        <f aca="false">IF($N1637="",0,IF(COUNTIF(Dashboard!$C$13:$C$22,$N1637)&gt;0,1,0))</f>
        <v>0</v>
      </c>
      <c r="AB1637" s="37" t="str">
        <f aca="false">IF($N1637="","",IF(COUNTIF($N$8:$N1637,$N1637)=1,MAX($AB$7:$AB1636)+1,""))</f>
        <v/>
      </c>
    </row>
    <row r="1638" customFormat="false" ht="15" hidden="false" customHeight="false" outlineLevel="0" collapsed="false">
      <c r="L1638" s="37" t="str">
        <f aca="false">IF(INDEX($A1638:$J1638,$L$6)&lt;&gt;"",TRIM(LEFT(INDEX($A1638:$J1638,$L$6),FIND("(",INDEX($A1638:$J1638,$L$6)&amp;"(")-1)),L1637)</f>
        <v>Building Value Proposition</v>
      </c>
      <c r="M1638" s="37" t="str">
        <f aca="false">IF(INDEX($A1638:$J1638,$M$6)="","",INDEX($A1638:$J1638,$M$6)&amp;"")</f>
        <v/>
      </c>
      <c r="N1638" s="37" t="str">
        <f aca="false">IF($M1638="","",TRIM(INDEX($A1638:$J1638,$N$6)&amp;""))</f>
        <v/>
      </c>
      <c r="O1638" s="37" t="str">
        <f aca="false">IF($M1638="","",TRIM(INDEX($A1638:$J1638,$O$6)&amp;""))</f>
        <v/>
      </c>
      <c r="P1638" s="37" t="str">
        <f aca="false">IF($M1638="","",IFERROR(IF(INDEX(Settings!$B$41:$B$50,MATCH(O1638,Settings!$A$41:$A$50,0))&amp;""="","UNMAPPED",INDEX(Settings!$B$41:$B$50,MATCH(O1638,Settings!$A$41:$A$50,0))&amp;""),"UNMAPPED"))</f>
        <v/>
      </c>
      <c r="Q1638" s="38" t="n">
        <f aca="false">IF($M1638="",0,N(INDEX($A1638:$J1638,$Q$6)))</f>
        <v>0</v>
      </c>
      <c r="R1638" s="39" t="str">
        <f aca="false">IF($M1638="","",INDEX($A1638:$J1638,$R$6))</f>
        <v/>
      </c>
      <c r="S1638" s="37" t="str">
        <f aca="false">IF($M1638="","",IFERROR(INDEX(Settings!$B$27:$B$36,MATCH(L1638,Settings!$A$27:$A$36,0))&amp;"","UNMAPPED"))</f>
        <v/>
      </c>
      <c r="T1638" s="37" t="str">
        <f aca="false">IF($M1638="","",IF(NOT(ISNUMBER(R1638)),"NO DATE",IF(S1638="Won",IF(R1638&gt;Settings!$B$5,"Backlog","Delivered"),IF(S1638="Open",IF(R1638&gt;Settings!$B$5,"Pipeline","Overdue"),IF(S1638="Lost","Lost","UNMAPPED")))))</f>
        <v/>
      </c>
      <c r="U1638" s="40" t="n">
        <f aca="false">IF(T1638="Backlog",1,IF(OR(T1638="Pipeline",T1638="Overdue"),N(INDEX(Settings!$C$27:$C$36,MATCH(L1638,Settings!$A$27:$A$36,0))),0))</f>
        <v>0</v>
      </c>
      <c r="V1638" s="38" t="n">
        <f aca="false">Q1638*U1638</f>
        <v>0</v>
      </c>
      <c r="W1638" s="41" t="str">
        <f aca="false">IF($M1638="","",IF(T1638="Overdue",IF(Settings!$B$8="Yes",Settings!$B$7,""),IF(ISNUMBER(R1638),DATE(YEAR(R1638),MONTH(R1638),1),"")))</f>
        <v/>
      </c>
      <c r="X1638" s="38" t="n">
        <f aca="false">IF(AND(OR(T1638="Backlog",T1638="Pipeline",T1638="Overdue"),ISNUMBER(W1638)),IF(W1638&lt;=Settings!$B$6,V1638,0),0)</f>
        <v>0</v>
      </c>
      <c r="Y1638" s="38" t="n">
        <f aca="false">IF(AND(OR(T1638="Backlog",T1638="Pipeline",T1638="Overdue"),ISNUMBER(W1638)),IF(W1638&lt;=Settings!$B$6,Q1638,0),0)</f>
        <v>0</v>
      </c>
      <c r="Z1638" s="38" t="n">
        <f aca="false">IF(Y1638=0,0,IF(T1638="Backlog",Q1638,Q1638*Dashboard!$C$10))</f>
        <v>0</v>
      </c>
      <c r="AA1638" s="37" t="n">
        <f aca="false">IF($N1638="",0,IF(COUNTIF(Dashboard!$C$13:$C$22,$N1638)&gt;0,1,0))</f>
        <v>0</v>
      </c>
      <c r="AB1638" s="37" t="str">
        <f aca="false">IF($N1638="","",IF(COUNTIF($N$8:$N1638,$N1638)=1,MAX($AB$7:$AB1637)+1,""))</f>
        <v/>
      </c>
    </row>
    <row r="1639" customFormat="false" ht="15" hidden="false" customHeight="false" outlineLevel="0" collapsed="false">
      <c r="L1639" s="37" t="str">
        <f aca="false">IF(INDEX($A1639:$J1639,$L$6)&lt;&gt;"",TRIM(LEFT(INDEX($A1639:$J1639,$L$6),FIND("(",INDEX($A1639:$J1639,$L$6)&amp;"(")-1)),L1638)</f>
        <v>Building Value Proposition</v>
      </c>
      <c r="M1639" s="37" t="str">
        <f aca="false">IF(INDEX($A1639:$J1639,$M$6)="","",INDEX($A1639:$J1639,$M$6)&amp;"")</f>
        <v/>
      </c>
      <c r="N1639" s="37" t="str">
        <f aca="false">IF($M1639="","",TRIM(INDEX($A1639:$J1639,$N$6)&amp;""))</f>
        <v/>
      </c>
      <c r="O1639" s="37" t="str">
        <f aca="false">IF($M1639="","",TRIM(INDEX($A1639:$J1639,$O$6)&amp;""))</f>
        <v/>
      </c>
      <c r="P1639" s="37" t="str">
        <f aca="false">IF($M1639="","",IFERROR(IF(INDEX(Settings!$B$41:$B$50,MATCH(O1639,Settings!$A$41:$A$50,0))&amp;""="","UNMAPPED",INDEX(Settings!$B$41:$B$50,MATCH(O1639,Settings!$A$41:$A$50,0))&amp;""),"UNMAPPED"))</f>
        <v/>
      </c>
      <c r="Q1639" s="38" t="n">
        <f aca="false">IF($M1639="",0,N(INDEX($A1639:$J1639,$Q$6)))</f>
        <v>0</v>
      </c>
      <c r="R1639" s="39" t="str">
        <f aca="false">IF($M1639="","",INDEX($A1639:$J1639,$R$6))</f>
        <v/>
      </c>
      <c r="S1639" s="37" t="str">
        <f aca="false">IF($M1639="","",IFERROR(INDEX(Settings!$B$27:$B$36,MATCH(L1639,Settings!$A$27:$A$36,0))&amp;"","UNMAPPED"))</f>
        <v/>
      </c>
      <c r="T1639" s="37" t="str">
        <f aca="false">IF($M1639="","",IF(NOT(ISNUMBER(R1639)),"NO DATE",IF(S1639="Won",IF(R1639&gt;Settings!$B$5,"Backlog","Delivered"),IF(S1639="Open",IF(R1639&gt;Settings!$B$5,"Pipeline","Overdue"),IF(S1639="Lost","Lost","UNMAPPED")))))</f>
        <v/>
      </c>
      <c r="U1639" s="40" t="n">
        <f aca="false">IF(T1639="Backlog",1,IF(OR(T1639="Pipeline",T1639="Overdue"),N(INDEX(Settings!$C$27:$C$36,MATCH(L1639,Settings!$A$27:$A$36,0))),0))</f>
        <v>0</v>
      </c>
      <c r="V1639" s="38" t="n">
        <f aca="false">Q1639*U1639</f>
        <v>0</v>
      </c>
      <c r="W1639" s="41" t="str">
        <f aca="false">IF($M1639="","",IF(T1639="Overdue",IF(Settings!$B$8="Yes",Settings!$B$7,""),IF(ISNUMBER(R1639),DATE(YEAR(R1639),MONTH(R1639),1),"")))</f>
        <v/>
      </c>
      <c r="X1639" s="38" t="n">
        <f aca="false">IF(AND(OR(T1639="Backlog",T1639="Pipeline",T1639="Overdue"),ISNUMBER(W1639)),IF(W1639&lt;=Settings!$B$6,V1639,0),0)</f>
        <v>0</v>
      </c>
      <c r="Y1639" s="38" t="n">
        <f aca="false">IF(AND(OR(T1639="Backlog",T1639="Pipeline",T1639="Overdue"),ISNUMBER(W1639)),IF(W1639&lt;=Settings!$B$6,Q1639,0),0)</f>
        <v>0</v>
      </c>
      <c r="Z1639" s="38" t="n">
        <f aca="false">IF(Y1639=0,0,IF(T1639="Backlog",Q1639,Q1639*Dashboard!$C$10))</f>
        <v>0</v>
      </c>
      <c r="AA1639" s="37" t="n">
        <f aca="false">IF($N1639="",0,IF(COUNTIF(Dashboard!$C$13:$C$22,$N1639)&gt;0,1,0))</f>
        <v>0</v>
      </c>
      <c r="AB1639" s="37" t="str">
        <f aca="false">IF($N1639="","",IF(COUNTIF($N$8:$N1639,$N1639)=1,MAX($AB$7:$AB1638)+1,""))</f>
        <v/>
      </c>
    </row>
    <row r="1640" customFormat="false" ht="15" hidden="false" customHeight="false" outlineLevel="0" collapsed="false">
      <c r="L1640" s="37" t="str">
        <f aca="false">IF(INDEX($A1640:$J1640,$L$6)&lt;&gt;"",TRIM(LEFT(INDEX($A1640:$J1640,$L$6),FIND("(",INDEX($A1640:$J1640,$L$6)&amp;"(")-1)),L1639)</f>
        <v>Building Value Proposition</v>
      </c>
      <c r="M1640" s="37" t="str">
        <f aca="false">IF(INDEX($A1640:$J1640,$M$6)="","",INDEX($A1640:$J1640,$M$6)&amp;"")</f>
        <v/>
      </c>
      <c r="N1640" s="37" t="str">
        <f aca="false">IF($M1640="","",TRIM(INDEX($A1640:$J1640,$N$6)&amp;""))</f>
        <v/>
      </c>
      <c r="O1640" s="37" t="str">
        <f aca="false">IF($M1640="","",TRIM(INDEX($A1640:$J1640,$O$6)&amp;""))</f>
        <v/>
      </c>
      <c r="P1640" s="37" t="str">
        <f aca="false">IF($M1640="","",IFERROR(IF(INDEX(Settings!$B$41:$B$50,MATCH(O1640,Settings!$A$41:$A$50,0))&amp;""="","UNMAPPED",INDEX(Settings!$B$41:$B$50,MATCH(O1640,Settings!$A$41:$A$50,0))&amp;""),"UNMAPPED"))</f>
        <v/>
      </c>
      <c r="Q1640" s="38" t="n">
        <f aca="false">IF($M1640="",0,N(INDEX($A1640:$J1640,$Q$6)))</f>
        <v>0</v>
      </c>
      <c r="R1640" s="39" t="str">
        <f aca="false">IF($M1640="","",INDEX($A1640:$J1640,$R$6))</f>
        <v/>
      </c>
      <c r="S1640" s="37" t="str">
        <f aca="false">IF($M1640="","",IFERROR(INDEX(Settings!$B$27:$B$36,MATCH(L1640,Settings!$A$27:$A$36,0))&amp;"","UNMAPPED"))</f>
        <v/>
      </c>
      <c r="T1640" s="37" t="str">
        <f aca="false">IF($M1640="","",IF(NOT(ISNUMBER(R1640)),"NO DATE",IF(S1640="Won",IF(R1640&gt;Settings!$B$5,"Backlog","Delivered"),IF(S1640="Open",IF(R1640&gt;Settings!$B$5,"Pipeline","Overdue"),IF(S1640="Lost","Lost","UNMAPPED")))))</f>
        <v/>
      </c>
      <c r="U1640" s="40" t="n">
        <f aca="false">IF(T1640="Backlog",1,IF(OR(T1640="Pipeline",T1640="Overdue"),N(INDEX(Settings!$C$27:$C$36,MATCH(L1640,Settings!$A$27:$A$36,0))),0))</f>
        <v>0</v>
      </c>
      <c r="V1640" s="38" t="n">
        <f aca="false">Q1640*U1640</f>
        <v>0</v>
      </c>
      <c r="W1640" s="41" t="str">
        <f aca="false">IF($M1640="","",IF(T1640="Overdue",IF(Settings!$B$8="Yes",Settings!$B$7,""),IF(ISNUMBER(R1640),DATE(YEAR(R1640),MONTH(R1640),1),"")))</f>
        <v/>
      </c>
      <c r="X1640" s="38" t="n">
        <f aca="false">IF(AND(OR(T1640="Backlog",T1640="Pipeline",T1640="Overdue"),ISNUMBER(W1640)),IF(W1640&lt;=Settings!$B$6,V1640,0),0)</f>
        <v>0</v>
      </c>
      <c r="Y1640" s="38" t="n">
        <f aca="false">IF(AND(OR(T1640="Backlog",T1640="Pipeline",T1640="Overdue"),ISNUMBER(W1640)),IF(W1640&lt;=Settings!$B$6,Q1640,0),0)</f>
        <v>0</v>
      </c>
      <c r="Z1640" s="38" t="n">
        <f aca="false">IF(Y1640=0,0,IF(T1640="Backlog",Q1640,Q1640*Dashboard!$C$10))</f>
        <v>0</v>
      </c>
      <c r="AA1640" s="37" t="n">
        <f aca="false">IF($N1640="",0,IF(COUNTIF(Dashboard!$C$13:$C$22,$N1640)&gt;0,1,0))</f>
        <v>0</v>
      </c>
      <c r="AB1640" s="37" t="str">
        <f aca="false">IF($N1640="","",IF(COUNTIF($N$8:$N1640,$N1640)=1,MAX($AB$7:$AB1639)+1,""))</f>
        <v/>
      </c>
    </row>
    <row r="1641" customFormat="false" ht="15" hidden="false" customHeight="false" outlineLevel="0" collapsed="false">
      <c r="L1641" s="37" t="str">
        <f aca="false">IF(INDEX($A1641:$J1641,$L$6)&lt;&gt;"",TRIM(LEFT(INDEX($A1641:$J1641,$L$6),FIND("(",INDEX($A1641:$J1641,$L$6)&amp;"(")-1)),L1640)</f>
        <v>Building Value Proposition</v>
      </c>
      <c r="M1641" s="37" t="str">
        <f aca="false">IF(INDEX($A1641:$J1641,$M$6)="","",INDEX($A1641:$J1641,$M$6)&amp;"")</f>
        <v/>
      </c>
      <c r="N1641" s="37" t="str">
        <f aca="false">IF($M1641="","",TRIM(INDEX($A1641:$J1641,$N$6)&amp;""))</f>
        <v/>
      </c>
      <c r="O1641" s="37" t="str">
        <f aca="false">IF($M1641="","",TRIM(INDEX($A1641:$J1641,$O$6)&amp;""))</f>
        <v/>
      </c>
      <c r="P1641" s="37" t="str">
        <f aca="false">IF($M1641="","",IFERROR(IF(INDEX(Settings!$B$41:$B$50,MATCH(O1641,Settings!$A$41:$A$50,0))&amp;""="","UNMAPPED",INDEX(Settings!$B$41:$B$50,MATCH(O1641,Settings!$A$41:$A$50,0))&amp;""),"UNMAPPED"))</f>
        <v/>
      </c>
      <c r="Q1641" s="38" t="n">
        <f aca="false">IF($M1641="",0,N(INDEX($A1641:$J1641,$Q$6)))</f>
        <v>0</v>
      </c>
      <c r="R1641" s="39" t="str">
        <f aca="false">IF($M1641="","",INDEX($A1641:$J1641,$R$6))</f>
        <v/>
      </c>
      <c r="S1641" s="37" t="str">
        <f aca="false">IF($M1641="","",IFERROR(INDEX(Settings!$B$27:$B$36,MATCH(L1641,Settings!$A$27:$A$36,0))&amp;"","UNMAPPED"))</f>
        <v/>
      </c>
      <c r="T1641" s="37" t="str">
        <f aca="false">IF($M1641="","",IF(NOT(ISNUMBER(R1641)),"NO DATE",IF(S1641="Won",IF(R1641&gt;Settings!$B$5,"Backlog","Delivered"),IF(S1641="Open",IF(R1641&gt;Settings!$B$5,"Pipeline","Overdue"),IF(S1641="Lost","Lost","UNMAPPED")))))</f>
        <v/>
      </c>
      <c r="U1641" s="40" t="n">
        <f aca="false">IF(T1641="Backlog",1,IF(OR(T1641="Pipeline",T1641="Overdue"),N(INDEX(Settings!$C$27:$C$36,MATCH(L1641,Settings!$A$27:$A$36,0))),0))</f>
        <v>0</v>
      </c>
      <c r="V1641" s="38" t="n">
        <f aca="false">Q1641*U1641</f>
        <v>0</v>
      </c>
      <c r="W1641" s="41" t="str">
        <f aca="false">IF($M1641="","",IF(T1641="Overdue",IF(Settings!$B$8="Yes",Settings!$B$7,""),IF(ISNUMBER(R1641),DATE(YEAR(R1641),MONTH(R1641),1),"")))</f>
        <v/>
      </c>
      <c r="X1641" s="38" t="n">
        <f aca="false">IF(AND(OR(T1641="Backlog",T1641="Pipeline",T1641="Overdue"),ISNUMBER(W1641)),IF(W1641&lt;=Settings!$B$6,V1641,0),0)</f>
        <v>0</v>
      </c>
      <c r="Y1641" s="38" t="n">
        <f aca="false">IF(AND(OR(T1641="Backlog",T1641="Pipeline",T1641="Overdue"),ISNUMBER(W1641)),IF(W1641&lt;=Settings!$B$6,Q1641,0),0)</f>
        <v>0</v>
      </c>
      <c r="Z1641" s="38" t="n">
        <f aca="false">IF(Y1641=0,0,IF(T1641="Backlog",Q1641,Q1641*Dashboard!$C$10))</f>
        <v>0</v>
      </c>
      <c r="AA1641" s="37" t="n">
        <f aca="false">IF($N1641="",0,IF(COUNTIF(Dashboard!$C$13:$C$22,$N1641)&gt;0,1,0))</f>
        <v>0</v>
      </c>
      <c r="AB1641" s="37" t="str">
        <f aca="false">IF($N1641="","",IF(COUNTIF($N$8:$N1641,$N1641)=1,MAX($AB$7:$AB1640)+1,""))</f>
        <v/>
      </c>
    </row>
    <row r="1642" customFormat="false" ht="15" hidden="false" customHeight="false" outlineLevel="0" collapsed="false">
      <c r="L1642" s="37" t="str">
        <f aca="false">IF(INDEX($A1642:$J1642,$L$6)&lt;&gt;"",TRIM(LEFT(INDEX($A1642:$J1642,$L$6),FIND("(",INDEX($A1642:$J1642,$L$6)&amp;"(")-1)),L1641)</f>
        <v>Building Value Proposition</v>
      </c>
      <c r="M1642" s="37" t="str">
        <f aca="false">IF(INDEX($A1642:$J1642,$M$6)="","",INDEX($A1642:$J1642,$M$6)&amp;"")</f>
        <v/>
      </c>
      <c r="N1642" s="37" t="str">
        <f aca="false">IF($M1642="","",TRIM(INDEX($A1642:$J1642,$N$6)&amp;""))</f>
        <v/>
      </c>
      <c r="O1642" s="37" t="str">
        <f aca="false">IF($M1642="","",TRIM(INDEX($A1642:$J1642,$O$6)&amp;""))</f>
        <v/>
      </c>
      <c r="P1642" s="37" t="str">
        <f aca="false">IF($M1642="","",IFERROR(IF(INDEX(Settings!$B$41:$B$50,MATCH(O1642,Settings!$A$41:$A$50,0))&amp;""="","UNMAPPED",INDEX(Settings!$B$41:$B$50,MATCH(O1642,Settings!$A$41:$A$50,0))&amp;""),"UNMAPPED"))</f>
        <v/>
      </c>
      <c r="Q1642" s="38" t="n">
        <f aca="false">IF($M1642="",0,N(INDEX($A1642:$J1642,$Q$6)))</f>
        <v>0</v>
      </c>
      <c r="R1642" s="39" t="str">
        <f aca="false">IF($M1642="","",INDEX($A1642:$J1642,$R$6))</f>
        <v/>
      </c>
      <c r="S1642" s="37" t="str">
        <f aca="false">IF($M1642="","",IFERROR(INDEX(Settings!$B$27:$B$36,MATCH(L1642,Settings!$A$27:$A$36,0))&amp;"","UNMAPPED"))</f>
        <v/>
      </c>
      <c r="T1642" s="37" t="str">
        <f aca="false">IF($M1642="","",IF(NOT(ISNUMBER(R1642)),"NO DATE",IF(S1642="Won",IF(R1642&gt;Settings!$B$5,"Backlog","Delivered"),IF(S1642="Open",IF(R1642&gt;Settings!$B$5,"Pipeline","Overdue"),IF(S1642="Lost","Lost","UNMAPPED")))))</f>
        <v/>
      </c>
      <c r="U1642" s="40" t="n">
        <f aca="false">IF(T1642="Backlog",1,IF(OR(T1642="Pipeline",T1642="Overdue"),N(INDEX(Settings!$C$27:$C$36,MATCH(L1642,Settings!$A$27:$A$36,0))),0))</f>
        <v>0</v>
      </c>
      <c r="V1642" s="38" t="n">
        <f aca="false">Q1642*U1642</f>
        <v>0</v>
      </c>
      <c r="W1642" s="41" t="str">
        <f aca="false">IF($M1642="","",IF(T1642="Overdue",IF(Settings!$B$8="Yes",Settings!$B$7,""),IF(ISNUMBER(R1642),DATE(YEAR(R1642),MONTH(R1642),1),"")))</f>
        <v/>
      </c>
      <c r="X1642" s="38" t="n">
        <f aca="false">IF(AND(OR(T1642="Backlog",T1642="Pipeline",T1642="Overdue"),ISNUMBER(W1642)),IF(W1642&lt;=Settings!$B$6,V1642,0),0)</f>
        <v>0</v>
      </c>
      <c r="Y1642" s="38" t="n">
        <f aca="false">IF(AND(OR(T1642="Backlog",T1642="Pipeline",T1642="Overdue"),ISNUMBER(W1642)),IF(W1642&lt;=Settings!$B$6,Q1642,0),0)</f>
        <v>0</v>
      </c>
      <c r="Z1642" s="38" t="n">
        <f aca="false">IF(Y1642=0,0,IF(T1642="Backlog",Q1642,Q1642*Dashboard!$C$10))</f>
        <v>0</v>
      </c>
      <c r="AA1642" s="37" t="n">
        <f aca="false">IF($N1642="",0,IF(COUNTIF(Dashboard!$C$13:$C$22,$N1642)&gt;0,1,0))</f>
        <v>0</v>
      </c>
      <c r="AB1642" s="37" t="str">
        <f aca="false">IF($N1642="","",IF(COUNTIF($N$8:$N1642,$N1642)=1,MAX($AB$7:$AB1641)+1,""))</f>
        <v/>
      </c>
    </row>
    <row r="1643" customFormat="false" ht="15" hidden="false" customHeight="false" outlineLevel="0" collapsed="false">
      <c r="L1643" s="37" t="str">
        <f aca="false">IF(INDEX($A1643:$J1643,$L$6)&lt;&gt;"",TRIM(LEFT(INDEX($A1643:$J1643,$L$6),FIND("(",INDEX($A1643:$J1643,$L$6)&amp;"(")-1)),L1642)</f>
        <v>Building Value Proposition</v>
      </c>
      <c r="M1643" s="37" t="str">
        <f aca="false">IF(INDEX($A1643:$J1643,$M$6)="","",INDEX($A1643:$J1643,$M$6)&amp;"")</f>
        <v/>
      </c>
      <c r="N1643" s="37" t="str">
        <f aca="false">IF($M1643="","",TRIM(INDEX($A1643:$J1643,$N$6)&amp;""))</f>
        <v/>
      </c>
      <c r="O1643" s="37" t="str">
        <f aca="false">IF($M1643="","",TRIM(INDEX($A1643:$J1643,$O$6)&amp;""))</f>
        <v/>
      </c>
      <c r="P1643" s="37" t="str">
        <f aca="false">IF($M1643="","",IFERROR(IF(INDEX(Settings!$B$41:$B$50,MATCH(O1643,Settings!$A$41:$A$50,0))&amp;""="","UNMAPPED",INDEX(Settings!$B$41:$B$50,MATCH(O1643,Settings!$A$41:$A$50,0))&amp;""),"UNMAPPED"))</f>
        <v/>
      </c>
      <c r="Q1643" s="38" t="n">
        <f aca="false">IF($M1643="",0,N(INDEX($A1643:$J1643,$Q$6)))</f>
        <v>0</v>
      </c>
      <c r="R1643" s="39" t="str">
        <f aca="false">IF($M1643="","",INDEX($A1643:$J1643,$R$6))</f>
        <v/>
      </c>
      <c r="S1643" s="37" t="str">
        <f aca="false">IF($M1643="","",IFERROR(INDEX(Settings!$B$27:$B$36,MATCH(L1643,Settings!$A$27:$A$36,0))&amp;"","UNMAPPED"))</f>
        <v/>
      </c>
      <c r="T1643" s="37" t="str">
        <f aca="false">IF($M1643="","",IF(NOT(ISNUMBER(R1643)),"NO DATE",IF(S1643="Won",IF(R1643&gt;Settings!$B$5,"Backlog","Delivered"),IF(S1643="Open",IF(R1643&gt;Settings!$B$5,"Pipeline","Overdue"),IF(S1643="Lost","Lost","UNMAPPED")))))</f>
        <v/>
      </c>
      <c r="U1643" s="40" t="n">
        <f aca="false">IF(T1643="Backlog",1,IF(OR(T1643="Pipeline",T1643="Overdue"),N(INDEX(Settings!$C$27:$C$36,MATCH(L1643,Settings!$A$27:$A$36,0))),0))</f>
        <v>0</v>
      </c>
      <c r="V1643" s="38" t="n">
        <f aca="false">Q1643*U1643</f>
        <v>0</v>
      </c>
      <c r="W1643" s="41" t="str">
        <f aca="false">IF($M1643="","",IF(T1643="Overdue",IF(Settings!$B$8="Yes",Settings!$B$7,""),IF(ISNUMBER(R1643),DATE(YEAR(R1643),MONTH(R1643),1),"")))</f>
        <v/>
      </c>
      <c r="X1643" s="38" t="n">
        <f aca="false">IF(AND(OR(T1643="Backlog",T1643="Pipeline",T1643="Overdue"),ISNUMBER(W1643)),IF(W1643&lt;=Settings!$B$6,V1643,0),0)</f>
        <v>0</v>
      </c>
      <c r="Y1643" s="38" t="n">
        <f aca="false">IF(AND(OR(T1643="Backlog",T1643="Pipeline",T1643="Overdue"),ISNUMBER(W1643)),IF(W1643&lt;=Settings!$B$6,Q1643,0),0)</f>
        <v>0</v>
      </c>
      <c r="Z1643" s="38" t="n">
        <f aca="false">IF(Y1643=0,0,IF(T1643="Backlog",Q1643,Q1643*Dashboard!$C$10))</f>
        <v>0</v>
      </c>
      <c r="AA1643" s="37" t="n">
        <f aca="false">IF($N1643="",0,IF(COUNTIF(Dashboard!$C$13:$C$22,$N1643)&gt;0,1,0))</f>
        <v>0</v>
      </c>
      <c r="AB1643" s="37" t="str">
        <f aca="false">IF($N1643="","",IF(COUNTIF($N$8:$N1643,$N1643)=1,MAX($AB$7:$AB1642)+1,""))</f>
        <v/>
      </c>
    </row>
    <row r="1644" customFormat="false" ht="15" hidden="false" customHeight="false" outlineLevel="0" collapsed="false">
      <c r="L1644" s="37" t="str">
        <f aca="false">IF(INDEX($A1644:$J1644,$L$6)&lt;&gt;"",TRIM(LEFT(INDEX($A1644:$J1644,$L$6),FIND("(",INDEX($A1644:$J1644,$L$6)&amp;"(")-1)),L1643)</f>
        <v>Building Value Proposition</v>
      </c>
      <c r="M1644" s="37" t="str">
        <f aca="false">IF(INDEX($A1644:$J1644,$M$6)="","",INDEX($A1644:$J1644,$M$6)&amp;"")</f>
        <v/>
      </c>
      <c r="N1644" s="37" t="str">
        <f aca="false">IF($M1644="","",TRIM(INDEX($A1644:$J1644,$N$6)&amp;""))</f>
        <v/>
      </c>
      <c r="O1644" s="37" t="str">
        <f aca="false">IF($M1644="","",TRIM(INDEX($A1644:$J1644,$O$6)&amp;""))</f>
        <v/>
      </c>
      <c r="P1644" s="37" t="str">
        <f aca="false">IF($M1644="","",IFERROR(IF(INDEX(Settings!$B$41:$B$50,MATCH(O1644,Settings!$A$41:$A$50,0))&amp;""="","UNMAPPED",INDEX(Settings!$B$41:$B$50,MATCH(O1644,Settings!$A$41:$A$50,0))&amp;""),"UNMAPPED"))</f>
        <v/>
      </c>
      <c r="Q1644" s="38" t="n">
        <f aca="false">IF($M1644="",0,N(INDEX($A1644:$J1644,$Q$6)))</f>
        <v>0</v>
      </c>
      <c r="R1644" s="39" t="str">
        <f aca="false">IF($M1644="","",INDEX($A1644:$J1644,$R$6))</f>
        <v/>
      </c>
      <c r="S1644" s="37" t="str">
        <f aca="false">IF($M1644="","",IFERROR(INDEX(Settings!$B$27:$B$36,MATCH(L1644,Settings!$A$27:$A$36,0))&amp;"","UNMAPPED"))</f>
        <v/>
      </c>
      <c r="T1644" s="37" t="str">
        <f aca="false">IF($M1644="","",IF(NOT(ISNUMBER(R1644)),"NO DATE",IF(S1644="Won",IF(R1644&gt;Settings!$B$5,"Backlog","Delivered"),IF(S1644="Open",IF(R1644&gt;Settings!$B$5,"Pipeline","Overdue"),IF(S1644="Lost","Lost","UNMAPPED")))))</f>
        <v/>
      </c>
      <c r="U1644" s="40" t="n">
        <f aca="false">IF(T1644="Backlog",1,IF(OR(T1644="Pipeline",T1644="Overdue"),N(INDEX(Settings!$C$27:$C$36,MATCH(L1644,Settings!$A$27:$A$36,0))),0))</f>
        <v>0</v>
      </c>
      <c r="V1644" s="38" t="n">
        <f aca="false">Q1644*U1644</f>
        <v>0</v>
      </c>
      <c r="W1644" s="41" t="str">
        <f aca="false">IF($M1644="","",IF(T1644="Overdue",IF(Settings!$B$8="Yes",Settings!$B$7,""),IF(ISNUMBER(R1644),DATE(YEAR(R1644),MONTH(R1644),1),"")))</f>
        <v/>
      </c>
      <c r="X1644" s="38" t="n">
        <f aca="false">IF(AND(OR(T1644="Backlog",T1644="Pipeline",T1644="Overdue"),ISNUMBER(W1644)),IF(W1644&lt;=Settings!$B$6,V1644,0),0)</f>
        <v>0</v>
      </c>
      <c r="Y1644" s="38" t="n">
        <f aca="false">IF(AND(OR(T1644="Backlog",T1644="Pipeline",T1644="Overdue"),ISNUMBER(W1644)),IF(W1644&lt;=Settings!$B$6,Q1644,0),0)</f>
        <v>0</v>
      </c>
      <c r="Z1644" s="38" t="n">
        <f aca="false">IF(Y1644=0,0,IF(T1644="Backlog",Q1644,Q1644*Dashboard!$C$10))</f>
        <v>0</v>
      </c>
      <c r="AA1644" s="37" t="n">
        <f aca="false">IF($N1644="",0,IF(COUNTIF(Dashboard!$C$13:$C$22,$N1644)&gt;0,1,0))</f>
        <v>0</v>
      </c>
      <c r="AB1644" s="37" t="str">
        <f aca="false">IF($N1644="","",IF(COUNTIF($N$8:$N1644,$N1644)=1,MAX($AB$7:$AB1643)+1,""))</f>
        <v/>
      </c>
    </row>
    <row r="1645" customFormat="false" ht="15" hidden="false" customHeight="false" outlineLevel="0" collapsed="false">
      <c r="L1645" s="37" t="str">
        <f aca="false">IF(INDEX($A1645:$J1645,$L$6)&lt;&gt;"",TRIM(LEFT(INDEX($A1645:$J1645,$L$6),FIND("(",INDEX($A1645:$J1645,$L$6)&amp;"(")-1)),L1644)</f>
        <v>Building Value Proposition</v>
      </c>
      <c r="M1645" s="37" t="str">
        <f aca="false">IF(INDEX($A1645:$J1645,$M$6)="","",INDEX($A1645:$J1645,$M$6)&amp;"")</f>
        <v/>
      </c>
      <c r="N1645" s="37" t="str">
        <f aca="false">IF($M1645="","",TRIM(INDEX($A1645:$J1645,$N$6)&amp;""))</f>
        <v/>
      </c>
      <c r="O1645" s="37" t="str">
        <f aca="false">IF($M1645="","",TRIM(INDEX($A1645:$J1645,$O$6)&amp;""))</f>
        <v/>
      </c>
      <c r="P1645" s="37" t="str">
        <f aca="false">IF($M1645="","",IFERROR(IF(INDEX(Settings!$B$41:$B$50,MATCH(O1645,Settings!$A$41:$A$50,0))&amp;""="","UNMAPPED",INDEX(Settings!$B$41:$B$50,MATCH(O1645,Settings!$A$41:$A$50,0))&amp;""),"UNMAPPED"))</f>
        <v/>
      </c>
      <c r="Q1645" s="38" t="n">
        <f aca="false">IF($M1645="",0,N(INDEX($A1645:$J1645,$Q$6)))</f>
        <v>0</v>
      </c>
      <c r="R1645" s="39" t="str">
        <f aca="false">IF($M1645="","",INDEX($A1645:$J1645,$R$6))</f>
        <v/>
      </c>
      <c r="S1645" s="37" t="str">
        <f aca="false">IF($M1645="","",IFERROR(INDEX(Settings!$B$27:$B$36,MATCH(L1645,Settings!$A$27:$A$36,0))&amp;"","UNMAPPED"))</f>
        <v/>
      </c>
      <c r="T1645" s="37" t="str">
        <f aca="false">IF($M1645="","",IF(NOT(ISNUMBER(R1645)),"NO DATE",IF(S1645="Won",IF(R1645&gt;Settings!$B$5,"Backlog","Delivered"),IF(S1645="Open",IF(R1645&gt;Settings!$B$5,"Pipeline","Overdue"),IF(S1645="Lost","Lost","UNMAPPED")))))</f>
        <v/>
      </c>
      <c r="U1645" s="40" t="n">
        <f aca="false">IF(T1645="Backlog",1,IF(OR(T1645="Pipeline",T1645="Overdue"),N(INDEX(Settings!$C$27:$C$36,MATCH(L1645,Settings!$A$27:$A$36,0))),0))</f>
        <v>0</v>
      </c>
      <c r="V1645" s="38" t="n">
        <f aca="false">Q1645*U1645</f>
        <v>0</v>
      </c>
      <c r="W1645" s="41" t="str">
        <f aca="false">IF($M1645="","",IF(T1645="Overdue",IF(Settings!$B$8="Yes",Settings!$B$7,""),IF(ISNUMBER(R1645),DATE(YEAR(R1645),MONTH(R1645),1),"")))</f>
        <v/>
      </c>
      <c r="X1645" s="38" t="n">
        <f aca="false">IF(AND(OR(T1645="Backlog",T1645="Pipeline",T1645="Overdue"),ISNUMBER(W1645)),IF(W1645&lt;=Settings!$B$6,V1645,0),0)</f>
        <v>0</v>
      </c>
      <c r="Y1645" s="38" t="n">
        <f aca="false">IF(AND(OR(T1645="Backlog",T1645="Pipeline",T1645="Overdue"),ISNUMBER(W1645)),IF(W1645&lt;=Settings!$B$6,Q1645,0),0)</f>
        <v>0</v>
      </c>
      <c r="Z1645" s="38" t="n">
        <f aca="false">IF(Y1645=0,0,IF(T1645="Backlog",Q1645,Q1645*Dashboard!$C$10))</f>
        <v>0</v>
      </c>
      <c r="AA1645" s="37" t="n">
        <f aca="false">IF($N1645="",0,IF(COUNTIF(Dashboard!$C$13:$C$22,$N1645)&gt;0,1,0))</f>
        <v>0</v>
      </c>
      <c r="AB1645" s="37" t="str">
        <f aca="false">IF($N1645="","",IF(COUNTIF($N$8:$N1645,$N1645)=1,MAX($AB$7:$AB1644)+1,""))</f>
        <v/>
      </c>
    </row>
    <row r="1646" customFormat="false" ht="15" hidden="false" customHeight="false" outlineLevel="0" collapsed="false">
      <c r="L1646" s="37" t="str">
        <f aca="false">IF(INDEX($A1646:$J1646,$L$6)&lt;&gt;"",TRIM(LEFT(INDEX($A1646:$J1646,$L$6),FIND("(",INDEX($A1646:$J1646,$L$6)&amp;"(")-1)),L1645)</f>
        <v>Building Value Proposition</v>
      </c>
      <c r="M1646" s="37" t="str">
        <f aca="false">IF(INDEX($A1646:$J1646,$M$6)="","",INDEX($A1646:$J1646,$M$6)&amp;"")</f>
        <v/>
      </c>
      <c r="N1646" s="37" t="str">
        <f aca="false">IF($M1646="","",TRIM(INDEX($A1646:$J1646,$N$6)&amp;""))</f>
        <v/>
      </c>
      <c r="O1646" s="37" t="str">
        <f aca="false">IF($M1646="","",TRIM(INDEX($A1646:$J1646,$O$6)&amp;""))</f>
        <v/>
      </c>
      <c r="P1646" s="37" t="str">
        <f aca="false">IF($M1646="","",IFERROR(IF(INDEX(Settings!$B$41:$B$50,MATCH(O1646,Settings!$A$41:$A$50,0))&amp;""="","UNMAPPED",INDEX(Settings!$B$41:$B$50,MATCH(O1646,Settings!$A$41:$A$50,0))&amp;""),"UNMAPPED"))</f>
        <v/>
      </c>
      <c r="Q1646" s="38" t="n">
        <f aca="false">IF($M1646="",0,N(INDEX($A1646:$J1646,$Q$6)))</f>
        <v>0</v>
      </c>
      <c r="R1646" s="39" t="str">
        <f aca="false">IF($M1646="","",INDEX($A1646:$J1646,$R$6))</f>
        <v/>
      </c>
      <c r="S1646" s="37" t="str">
        <f aca="false">IF($M1646="","",IFERROR(INDEX(Settings!$B$27:$B$36,MATCH(L1646,Settings!$A$27:$A$36,0))&amp;"","UNMAPPED"))</f>
        <v/>
      </c>
      <c r="T1646" s="37" t="str">
        <f aca="false">IF($M1646="","",IF(NOT(ISNUMBER(R1646)),"NO DATE",IF(S1646="Won",IF(R1646&gt;Settings!$B$5,"Backlog","Delivered"),IF(S1646="Open",IF(R1646&gt;Settings!$B$5,"Pipeline","Overdue"),IF(S1646="Lost","Lost","UNMAPPED")))))</f>
        <v/>
      </c>
      <c r="U1646" s="40" t="n">
        <f aca="false">IF(T1646="Backlog",1,IF(OR(T1646="Pipeline",T1646="Overdue"),N(INDEX(Settings!$C$27:$C$36,MATCH(L1646,Settings!$A$27:$A$36,0))),0))</f>
        <v>0</v>
      </c>
      <c r="V1646" s="38" t="n">
        <f aca="false">Q1646*U1646</f>
        <v>0</v>
      </c>
      <c r="W1646" s="41" t="str">
        <f aca="false">IF($M1646="","",IF(T1646="Overdue",IF(Settings!$B$8="Yes",Settings!$B$7,""),IF(ISNUMBER(R1646),DATE(YEAR(R1646),MONTH(R1646),1),"")))</f>
        <v/>
      </c>
      <c r="X1646" s="38" t="n">
        <f aca="false">IF(AND(OR(T1646="Backlog",T1646="Pipeline",T1646="Overdue"),ISNUMBER(W1646)),IF(W1646&lt;=Settings!$B$6,V1646,0),0)</f>
        <v>0</v>
      </c>
      <c r="Y1646" s="38" t="n">
        <f aca="false">IF(AND(OR(T1646="Backlog",T1646="Pipeline",T1646="Overdue"),ISNUMBER(W1646)),IF(W1646&lt;=Settings!$B$6,Q1646,0),0)</f>
        <v>0</v>
      </c>
      <c r="Z1646" s="38" t="n">
        <f aca="false">IF(Y1646=0,0,IF(T1646="Backlog",Q1646,Q1646*Dashboard!$C$10))</f>
        <v>0</v>
      </c>
      <c r="AA1646" s="37" t="n">
        <f aca="false">IF($N1646="",0,IF(COUNTIF(Dashboard!$C$13:$C$22,$N1646)&gt;0,1,0))</f>
        <v>0</v>
      </c>
      <c r="AB1646" s="37" t="str">
        <f aca="false">IF($N1646="","",IF(COUNTIF($N$8:$N1646,$N1646)=1,MAX($AB$7:$AB1645)+1,""))</f>
        <v/>
      </c>
    </row>
    <row r="1647" customFormat="false" ht="15" hidden="false" customHeight="false" outlineLevel="0" collapsed="false">
      <c r="L1647" s="37" t="str">
        <f aca="false">IF(INDEX($A1647:$J1647,$L$6)&lt;&gt;"",TRIM(LEFT(INDEX($A1647:$J1647,$L$6),FIND("(",INDEX($A1647:$J1647,$L$6)&amp;"(")-1)),L1646)</f>
        <v>Building Value Proposition</v>
      </c>
      <c r="M1647" s="37" t="str">
        <f aca="false">IF(INDEX($A1647:$J1647,$M$6)="","",INDEX($A1647:$J1647,$M$6)&amp;"")</f>
        <v/>
      </c>
      <c r="N1647" s="37" t="str">
        <f aca="false">IF($M1647="","",TRIM(INDEX($A1647:$J1647,$N$6)&amp;""))</f>
        <v/>
      </c>
      <c r="O1647" s="37" t="str">
        <f aca="false">IF($M1647="","",TRIM(INDEX($A1647:$J1647,$O$6)&amp;""))</f>
        <v/>
      </c>
      <c r="P1647" s="37" t="str">
        <f aca="false">IF($M1647="","",IFERROR(IF(INDEX(Settings!$B$41:$B$50,MATCH(O1647,Settings!$A$41:$A$50,0))&amp;""="","UNMAPPED",INDEX(Settings!$B$41:$B$50,MATCH(O1647,Settings!$A$41:$A$50,0))&amp;""),"UNMAPPED"))</f>
        <v/>
      </c>
      <c r="Q1647" s="38" t="n">
        <f aca="false">IF($M1647="",0,N(INDEX($A1647:$J1647,$Q$6)))</f>
        <v>0</v>
      </c>
      <c r="R1647" s="39" t="str">
        <f aca="false">IF($M1647="","",INDEX($A1647:$J1647,$R$6))</f>
        <v/>
      </c>
      <c r="S1647" s="37" t="str">
        <f aca="false">IF($M1647="","",IFERROR(INDEX(Settings!$B$27:$B$36,MATCH(L1647,Settings!$A$27:$A$36,0))&amp;"","UNMAPPED"))</f>
        <v/>
      </c>
      <c r="T1647" s="37" t="str">
        <f aca="false">IF($M1647="","",IF(NOT(ISNUMBER(R1647)),"NO DATE",IF(S1647="Won",IF(R1647&gt;Settings!$B$5,"Backlog","Delivered"),IF(S1647="Open",IF(R1647&gt;Settings!$B$5,"Pipeline","Overdue"),IF(S1647="Lost","Lost","UNMAPPED")))))</f>
        <v/>
      </c>
      <c r="U1647" s="40" t="n">
        <f aca="false">IF(T1647="Backlog",1,IF(OR(T1647="Pipeline",T1647="Overdue"),N(INDEX(Settings!$C$27:$C$36,MATCH(L1647,Settings!$A$27:$A$36,0))),0))</f>
        <v>0</v>
      </c>
      <c r="V1647" s="38" t="n">
        <f aca="false">Q1647*U1647</f>
        <v>0</v>
      </c>
      <c r="W1647" s="41" t="str">
        <f aca="false">IF($M1647="","",IF(T1647="Overdue",IF(Settings!$B$8="Yes",Settings!$B$7,""),IF(ISNUMBER(R1647),DATE(YEAR(R1647),MONTH(R1647),1),"")))</f>
        <v/>
      </c>
      <c r="X1647" s="38" t="n">
        <f aca="false">IF(AND(OR(T1647="Backlog",T1647="Pipeline",T1647="Overdue"),ISNUMBER(W1647)),IF(W1647&lt;=Settings!$B$6,V1647,0),0)</f>
        <v>0</v>
      </c>
      <c r="Y1647" s="38" t="n">
        <f aca="false">IF(AND(OR(T1647="Backlog",T1647="Pipeline",T1647="Overdue"),ISNUMBER(W1647)),IF(W1647&lt;=Settings!$B$6,Q1647,0),0)</f>
        <v>0</v>
      </c>
      <c r="Z1647" s="38" t="n">
        <f aca="false">IF(Y1647=0,0,IF(T1647="Backlog",Q1647,Q1647*Dashboard!$C$10))</f>
        <v>0</v>
      </c>
      <c r="AA1647" s="37" t="n">
        <f aca="false">IF($N1647="",0,IF(COUNTIF(Dashboard!$C$13:$C$22,$N1647)&gt;0,1,0))</f>
        <v>0</v>
      </c>
      <c r="AB1647" s="37" t="str">
        <f aca="false">IF($N1647="","",IF(COUNTIF($N$8:$N1647,$N1647)=1,MAX($AB$7:$AB1646)+1,""))</f>
        <v/>
      </c>
    </row>
    <row r="1648" customFormat="false" ht="15" hidden="false" customHeight="false" outlineLevel="0" collapsed="false">
      <c r="L1648" s="37" t="str">
        <f aca="false">IF(INDEX($A1648:$J1648,$L$6)&lt;&gt;"",TRIM(LEFT(INDEX($A1648:$J1648,$L$6),FIND("(",INDEX($A1648:$J1648,$L$6)&amp;"(")-1)),L1647)</f>
        <v>Building Value Proposition</v>
      </c>
      <c r="M1648" s="37" t="str">
        <f aca="false">IF(INDEX($A1648:$J1648,$M$6)="","",INDEX($A1648:$J1648,$M$6)&amp;"")</f>
        <v/>
      </c>
      <c r="N1648" s="37" t="str">
        <f aca="false">IF($M1648="","",TRIM(INDEX($A1648:$J1648,$N$6)&amp;""))</f>
        <v/>
      </c>
      <c r="O1648" s="37" t="str">
        <f aca="false">IF($M1648="","",TRIM(INDEX($A1648:$J1648,$O$6)&amp;""))</f>
        <v/>
      </c>
      <c r="P1648" s="37" t="str">
        <f aca="false">IF($M1648="","",IFERROR(IF(INDEX(Settings!$B$41:$B$50,MATCH(O1648,Settings!$A$41:$A$50,0))&amp;""="","UNMAPPED",INDEX(Settings!$B$41:$B$50,MATCH(O1648,Settings!$A$41:$A$50,0))&amp;""),"UNMAPPED"))</f>
        <v/>
      </c>
      <c r="Q1648" s="38" t="n">
        <f aca="false">IF($M1648="",0,N(INDEX($A1648:$J1648,$Q$6)))</f>
        <v>0</v>
      </c>
      <c r="R1648" s="39" t="str">
        <f aca="false">IF($M1648="","",INDEX($A1648:$J1648,$R$6))</f>
        <v/>
      </c>
      <c r="S1648" s="37" t="str">
        <f aca="false">IF($M1648="","",IFERROR(INDEX(Settings!$B$27:$B$36,MATCH(L1648,Settings!$A$27:$A$36,0))&amp;"","UNMAPPED"))</f>
        <v/>
      </c>
      <c r="T1648" s="37" t="str">
        <f aca="false">IF($M1648="","",IF(NOT(ISNUMBER(R1648)),"NO DATE",IF(S1648="Won",IF(R1648&gt;Settings!$B$5,"Backlog","Delivered"),IF(S1648="Open",IF(R1648&gt;Settings!$B$5,"Pipeline","Overdue"),IF(S1648="Lost","Lost","UNMAPPED")))))</f>
        <v/>
      </c>
      <c r="U1648" s="40" t="n">
        <f aca="false">IF(T1648="Backlog",1,IF(OR(T1648="Pipeline",T1648="Overdue"),N(INDEX(Settings!$C$27:$C$36,MATCH(L1648,Settings!$A$27:$A$36,0))),0))</f>
        <v>0</v>
      </c>
      <c r="V1648" s="38" t="n">
        <f aca="false">Q1648*U1648</f>
        <v>0</v>
      </c>
      <c r="W1648" s="41" t="str">
        <f aca="false">IF($M1648="","",IF(T1648="Overdue",IF(Settings!$B$8="Yes",Settings!$B$7,""),IF(ISNUMBER(R1648),DATE(YEAR(R1648),MONTH(R1648),1),"")))</f>
        <v/>
      </c>
      <c r="X1648" s="38" t="n">
        <f aca="false">IF(AND(OR(T1648="Backlog",T1648="Pipeline",T1648="Overdue"),ISNUMBER(W1648)),IF(W1648&lt;=Settings!$B$6,V1648,0),0)</f>
        <v>0</v>
      </c>
      <c r="Y1648" s="38" t="n">
        <f aca="false">IF(AND(OR(T1648="Backlog",T1648="Pipeline",T1648="Overdue"),ISNUMBER(W1648)),IF(W1648&lt;=Settings!$B$6,Q1648,0),0)</f>
        <v>0</v>
      </c>
      <c r="Z1648" s="38" t="n">
        <f aca="false">IF(Y1648=0,0,IF(T1648="Backlog",Q1648,Q1648*Dashboard!$C$10))</f>
        <v>0</v>
      </c>
      <c r="AA1648" s="37" t="n">
        <f aca="false">IF($N1648="",0,IF(COUNTIF(Dashboard!$C$13:$C$22,$N1648)&gt;0,1,0))</f>
        <v>0</v>
      </c>
      <c r="AB1648" s="37" t="str">
        <f aca="false">IF($N1648="","",IF(COUNTIF($N$8:$N1648,$N1648)=1,MAX($AB$7:$AB1647)+1,""))</f>
        <v/>
      </c>
    </row>
    <row r="1649" customFormat="false" ht="15" hidden="false" customHeight="false" outlineLevel="0" collapsed="false">
      <c r="L1649" s="37" t="str">
        <f aca="false">IF(INDEX($A1649:$J1649,$L$6)&lt;&gt;"",TRIM(LEFT(INDEX($A1649:$J1649,$L$6),FIND("(",INDEX($A1649:$J1649,$L$6)&amp;"(")-1)),L1648)</f>
        <v>Building Value Proposition</v>
      </c>
      <c r="M1649" s="37" t="str">
        <f aca="false">IF(INDEX($A1649:$J1649,$M$6)="","",INDEX($A1649:$J1649,$M$6)&amp;"")</f>
        <v/>
      </c>
      <c r="N1649" s="37" t="str">
        <f aca="false">IF($M1649="","",TRIM(INDEX($A1649:$J1649,$N$6)&amp;""))</f>
        <v/>
      </c>
      <c r="O1649" s="37" t="str">
        <f aca="false">IF($M1649="","",TRIM(INDEX($A1649:$J1649,$O$6)&amp;""))</f>
        <v/>
      </c>
      <c r="P1649" s="37" t="str">
        <f aca="false">IF($M1649="","",IFERROR(IF(INDEX(Settings!$B$41:$B$50,MATCH(O1649,Settings!$A$41:$A$50,0))&amp;""="","UNMAPPED",INDEX(Settings!$B$41:$B$50,MATCH(O1649,Settings!$A$41:$A$50,0))&amp;""),"UNMAPPED"))</f>
        <v/>
      </c>
      <c r="Q1649" s="38" t="n">
        <f aca="false">IF($M1649="",0,N(INDEX($A1649:$J1649,$Q$6)))</f>
        <v>0</v>
      </c>
      <c r="R1649" s="39" t="str">
        <f aca="false">IF($M1649="","",INDEX($A1649:$J1649,$R$6))</f>
        <v/>
      </c>
      <c r="S1649" s="37" t="str">
        <f aca="false">IF($M1649="","",IFERROR(INDEX(Settings!$B$27:$B$36,MATCH(L1649,Settings!$A$27:$A$36,0))&amp;"","UNMAPPED"))</f>
        <v/>
      </c>
      <c r="T1649" s="37" t="str">
        <f aca="false">IF($M1649="","",IF(NOT(ISNUMBER(R1649)),"NO DATE",IF(S1649="Won",IF(R1649&gt;Settings!$B$5,"Backlog","Delivered"),IF(S1649="Open",IF(R1649&gt;Settings!$B$5,"Pipeline","Overdue"),IF(S1649="Lost","Lost","UNMAPPED")))))</f>
        <v/>
      </c>
      <c r="U1649" s="40" t="n">
        <f aca="false">IF(T1649="Backlog",1,IF(OR(T1649="Pipeline",T1649="Overdue"),N(INDEX(Settings!$C$27:$C$36,MATCH(L1649,Settings!$A$27:$A$36,0))),0))</f>
        <v>0</v>
      </c>
      <c r="V1649" s="38" t="n">
        <f aca="false">Q1649*U1649</f>
        <v>0</v>
      </c>
      <c r="W1649" s="41" t="str">
        <f aca="false">IF($M1649="","",IF(T1649="Overdue",IF(Settings!$B$8="Yes",Settings!$B$7,""),IF(ISNUMBER(R1649),DATE(YEAR(R1649),MONTH(R1649),1),"")))</f>
        <v/>
      </c>
      <c r="X1649" s="38" t="n">
        <f aca="false">IF(AND(OR(T1649="Backlog",T1649="Pipeline",T1649="Overdue"),ISNUMBER(W1649)),IF(W1649&lt;=Settings!$B$6,V1649,0),0)</f>
        <v>0</v>
      </c>
      <c r="Y1649" s="38" t="n">
        <f aca="false">IF(AND(OR(T1649="Backlog",T1649="Pipeline",T1649="Overdue"),ISNUMBER(W1649)),IF(W1649&lt;=Settings!$B$6,Q1649,0),0)</f>
        <v>0</v>
      </c>
      <c r="Z1649" s="38" t="n">
        <f aca="false">IF(Y1649=0,0,IF(T1649="Backlog",Q1649,Q1649*Dashboard!$C$10))</f>
        <v>0</v>
      </c>
      <c r="AA1649" s="37" t="n">
        <f aca="false">IF($N1649="",0,IF(COUNTIF(Dashboard!$C$13:$C$22,$N1649)&gt;0,1,0))</f>
        <v>0</v>
      </c>
      <c r="AB1649" s="37" t="str">
        <f aca="false">IF($N1649="","",IF(COUNTIF($N$8:$N1649,$N1649)=1,MAX($AB$7:$AB1648)+1,""))</f>
        <v/>
      </c>
    </row>
    <row r="1650" customFormat="false" ht="15" hidden="false" customHeight="false" outlineLevel="0" collapsed="false">
      <c r="L1650" s="37" t="str">
        <f aca="false">IF(INDEX($A1650:$J1650,$L$6)&lt;&gt;"",TRIM(LEFT(INDEX($A1650:$J1650,$L$6),FIND("(",INDEX($A1650:$J1650,$L$6)&amp;"(")-1)),L1649)</f>
        <v>Building Value Proposition</v>
      </c>
      <c r="M1650" s="37" t="str">
        <f aca="false">IF(INDEX($A1650:$J1650,$M$6)="","",INDEX($A1650:$J1650,$M$6)&amp;"")</f>
        <v/>
      </c>
      <c r="N1650" s="37" t="str">
        <f aca="false">IF($M1650="","",TRIM(INDEX($A1650:$J1650,$N$6)&amp;""))</f>
        <v/>
      </c>
      <c r="O1650" s="37" t="str">
        <f aca="false">IF($M1650="","",TRIM(INDEX($A1650:$J1650,$O$6)&amp;""))</f>
        <v/>
      </c>
      <c r="P1650" s="37" t="str">
        <f aca="false">IF($M1650="","",IFERROR(IF(INDEX(Settings!$B$41:$B$50,MATCH(O1650,Settings!$A$41:$A$50,0))&amp;""="","UNMAPPED",INDEX(Settings!$B$41:$B$50,MATCH(O1650,Settings!$A$41:$A$50,0))&amp;""),"UNMAPPED"))</f>
        <v/>
      </c>
      <c r="Q1650" s="38" t="n">
        <f aca="false">IF($M1650="",0,N(INDEX($A1650:$J1650,$Q$6)))</f>
        <v>0</v>
      </c>
      <c r="R1650" s="39" t="str">
        <f aca="false">IF($M1650="","",INDEX($A1650:$J1650,$R$6))</f>
        <v/>
      </c>
      <c r="S1650" s="37" t="str">
        <f aca="false">IF($M1650="","",IFERROR(INDEX(Settings!$B$27:$B$36,MATCH(L1650,Settings!$A$27:$A$36,0))&amp;"","UNMAPPED"))</f>
        <v/>
      </c>
      <c r="T1650" s="37" t="str">
        <f aca="false">IF($M1650="","",IF(NOT(ISNUMBER(R1650)),"NO DATE",IF(S1650="Won",IF(R1650&gt;Settings!$B$5,"Backlog","Delivered"),IF(S1650="Open",IF(R1650&gt;Settings!$B$5,"Pipeline","Overdue"),IF(S1650="Lost","Lost","UNMAPPED")))))</f>
        <v/>
      </c>
      <c r="U1650" s="40" t="n">
        <f aca="false">IF(T1650="Backlog",1,IF(OR(T1650="Pipeline",T1650="Overdue"),N(INDEX(Settings!$C$27:$C$36,MATCH(L1650,Settings!$A$27:$A$36,0))),0))</f>
        <v>0</v>
      </c>
      <c r="V1650" s="38" t="n">
        <f aca="false">Q1650*U1650</f>
        <v>0</v>
      </c>
      <c r="W1650" s="41" t="str">
        <f aca="false">IF($M1650="","",IF(T1650="Overdue",IF(Settings!$B$8="Yes",Settings!$B$7,""),IF(ISNUMBER(R1650),DATE(YEAR(R1650),MONTH(R1650),1),"")))</f>
        <v/>
      </c>
      <c r="X1650" s="38" t="n">
        <f aca="false">IF(AND(OR(T1650="Backlog",T1650="Pipeline",T1650="Overdue"),ISNUMBER(W1650)),IF(W1650&lt;=Settings!$B$6,V1650,0),0)</f>
        <v>0</v>
      </c>
      <c r="Y1650" s="38" t="n">
        <f aca="false">IF(AND(OR(T1650="Backlog",T1650="Pipeline",T1650="Overdue"),ISNUMBER(W1650)),IF(W1650&lt;=Settings!$B$6,Q1650,0),0)</f>
        <v>0</v>
      </c>
      <c r="Z1650" s="38" t="n">
        <f aca="false">IF(Y1650=0,0,IF(T1650="Backlog",Q1650,Q1650*Dashboard!$C$10))</f>
        <v>0</v>
      </c>
      <c r="AA1650" s="37" t="n">
        <f aca="false">IF($N1650="",0,IF(COUNTIF(Dashboard!$C$13:$C$22,$N1650)&gt;0,1,0))</f>
        <v>0</v>
      </c>
      <c r="AB1650" s="37" t="str">
        <f aca="false">IF($N1650="","",IF(COUNTIF($N$8:$N1650,$N1650)=1,MAX($AB$7:$AB1649)+1,""))</f>
        <v/>
      </c>
    </row>
    <row r="1651" customFormat="false" ht="15" hidden="false" customHeight="false" outlineLevel="0" collapsed="false">
      <c r="L1651" s="37" t="str">
        <f aca="false">IF(INDEX($A1651:$J1651,$L$6)&lt;&gt;"",TRIM(LEFT(INDEX($A1651:$J1651,$L$6),FIND("(",INDEX($A1651:$J1651,$L$6)&amp;"(")-1)),L1650)</f>
        <v>Building Value Proposition</v>
      </c>
      <c r="M1651" s="37" t="str">
        <f aca="false">IF(INDEX($A1651:$J1651,$M$6)="","",INDEX($A1651:$J1651,$M$6)&amp;"")</f>
        <v/>
      </c>
      <c r="N1651" s="37" t="str">
        <f aca="false">IF($M1651="","",TRIM(INDEX($A1651:$J1651,$N$6)&amp;""))</f>
        <v/>
      </c>
      <c r="O1651" s="37" t="str">
        <f aca="false">IF($M1651="","",TRIM(INDEX($A1651:$J1651,$O$6)&amp;""))</f>
        <v/>
      </c>
      <c r="P1651" s="37" t="str">
        <f aca="false">IF($M1651="","",IFERROR(IF(INDEX(Settings!$B$41:$B$50,MATCH(O1651,Settings!$A$41:$A$50,0))&amp;""="","UNMAPPED",INDEX(Settings!$B$41:$B$50,MATCH(O1651,Settings!$A$41:$A$50,0))&amp;""),"UNMAPPED"))</f>
        <v/>
      </c>
      <c r="Q1651" s="38" t="n">
        <f aca="false">IF($M1651="",0,N(INDEX($A1651:$J1651,$Q$6)))</f>
        <v>0</v>
      </c>
      <c r="R1651" s="39" t="str">
        <f aca="false">IF($M1651="","",INDEX($A1651:$J1651,$R$6))</f>
        <v/>
      </c>
      <c r="S1651" s="37" t="str">
        <f aca="false">IF($M1651="","",IFERROR(INDEX(Settings!$B$27:$B$36,MATCH(L1651,Settings!$A$27:$A$36,0))&amp;"","UNMAPPED"))</f>
        <v/>
      </c>
      <c r="T1651" s="37" t="str">
        <f aca="false">IF($M1651="","",IF(NOT(ISNUMBER(R1651)),"NO DATE",IF(S1651="Won",IF(R1651&gt;Settings!$B$5,"Backlog","Delivered"),IF(S1651="Open",IF(R1651&gt;Settings!$B$5,"Pipeline","Overdue"),IF(S1651="Lost","Lost","UNMAPPED")))))</f>
        <v/>
      </c>
      <c r="U1651" s="40" t="n">
        <f aca="false">IF(T1651="Backlog",1,IF(OR(T1651="Pipeline",T1651="Overdue"),N(INDEX(Settings!$C$27:$C$36,MATCH(L1651,Settings!$A$27:$A$36,0))),0))</f>
        <v>0</v>
      </c>
      <c r="V1651" s="38" t="n">
        <f aca="false">Q1651*U1651</f>
        <v>0</v>
      </c>
      <c r="W1651" s="41" t="str">
        <f aca="false">IF($M1651="","",IF(T1651="Overdue",IF(Settings!$B$8="Yes",Settings!$B$7,""),IF(ISNUMBER(R1651),DATE(YEAR(R1651),MONTH(R1651),1),"")))</f>
        <v/>
      </c>
      <c r="X1651" s="38" t="n">
        <f aca="false">IF(AND(OR(T1651="Backlog",T1651="Pipeline",T1651="Overdue"),ISNUMBER(W1651)),IF(W1651&lt;=Settings!$B$6,V1651,0),0)</f>
        <v>0</v>
      </c>
      <c r="Y1651" s="38" t="n">
        <f aca="false">IF(AND(OR(T1651="Backlog",T1651="Pipeline",T1651="Overdue"),ISNUMBER(W1651)),IF(W1651&lt;=Settings!$B$6,Q1651,0),0)</f>
        <v>0</v>
      </c>
      <c r="Z1651" s="38" t="n">
        <f aca="false">IF(Y1651=0,0,IF(T1651="Backlog",Q1651,Q1651*Dashboard!$C$10))</f>
        <v>0</v>
      </c>
      <c r="AA1651" s="37" t="n">
        <f aca="false">IF($N1651="",0,IF(COUNTIF(Dashboard!$C$13:$C$22,$N1651)&gt;0,1,0))</f>
        <v>0</v>
      </c>
      <c r="AB1651" s="37" t="str">
        <f aca="false">IF($N1651="","",IF(COUNTIF($N$8:$N1651,$N1651)=1,MAX($AB$7:$AB1650)+1,""))</f>
        <v/>
      </c>
    </row>
    <row r="1652" customFormat="false" ht="15" hidden="false" customHeight="false" outlineLevel="0" collapsed="false">
      <c r="L1652" s="37" t="str">
        <f aca="false">IF(INDEX($A1652:$J1652,$L$6)&lt;&gt;"",TRIM(LEFT(INDEX($A1652:$J1652,$L$6),FIND("(",INDEX($A1652:$J1652,$L$6)&amp;"(")-1)),L1651)</f>
        <v>Building Value Proposition</v>
      </c>
      <c r="M1652" s="37" t="str">
        <f aca="false">IF(INDEX($A1652:$J1652,$M$6)="","",INDEX($A1652:$J1652,$M$6)&amp;"")</f>
        <v/>
      </c>
      <c r="N1652" s="37" t="str">
        <f aca="false">IF($M1652="","",TRIM(INDEX($A1652:$J1652,$N$6)&amp;""))</f>
        <v/>
      </c>
      <c r="O1652" s="37" t="str">
        <f aca="false">IF($M1652="","",TRIM(INDEX($A1652:$J1652,$O$6)&amp;""))</f>
        <v/>
      </c>
      <c r="P1652" s="37" t="str">
        <f aca="false">IF($M1652="","",IFERROR(IF(INDEX(Settings!$B$41:$B$50,MATCH(O1652,Settings!$A$41:$A$50,0))&amp;""="","UNMAPPED",INDEX(Settings!$B$41:$B$50,MATCH(O1652,Settings!$A$41:$A$50,0))&amp;""),"UNMAPPED"))</f>
        <v/>
      </c>
      <c r="Q1652" s="38" t="n">
        <f aca="false">IF($M1652="",0,N(INDEX($A1652:$J1652,$Q$6)))</f>
        <v>0</v>
      </c>
      <c r="R1652" s="39" t="str">
        <f aca="false">IF($M1652="","",INDEX($A1652:$J1652,$R$6))</f>
        <v/>
      </c>
      <c r="S1652" s="37" t="str">
        <f aca="false">IF($M1652="","",IFERROR(INDEX(Settings!$B$27:$B$36,MATCH(L1652,Settings!$A$27:$A$36,0))&amp;"","UNMAPPED"))</f>
        <v/>
      </c>
      <c r="T1652" s="37" t="str">
        <f aca="false">IF($M1652="","",IF(NOT(ISNUMBER(R1652)),"NO DATE",IF(S1652="Won",IF(R1652&gt;Settings!$B$5,"Backlog","Delivered"),IF(S1652="Open",IF(R1652&gt;Settings!$B$5,"Pipeline","Overdue"),IF(S1652="Lost","Lost","UNMAPPED")))))</f>
        <v/>
      </c>
      <c r="U1652" s="40" t="n">
        <f aca="false">IF(T1652="Backlog",1,IF(OR(T1652="Pipeline",T1652="Overdue"),N(INDEX(Settings!$C$27:$C$36,MATCH(L1652,Settings!$A$27:$A$36,0))),0))</f>
        <v>0</v>
      </c>
      <c r="V1652" s="38" t="n">
        <f aca="false">Q1652*U1652</f>
        <v>0</v>
      </c>
      <c r="W1652" s="41" t="str">
        <f aca="false">IF($M1652="","",IF(T1652="Overdue",IF(Settings!$B$8="Yes",Settings!$B$7,""),IF(ISNUMBER(R1652),DATE(YEAR(R1652),MONTH(R1652),1),"")))</f>
        <v/>
      </c>
      <c r="X1652" s="38" t="n">
        <f aca="false">IF(AND(OR(T1652="Backlog",T1652="Pipeline",T1652="Overdue"),ISNUMBER(W1652)),IF(W1652&lt;=Settings!$B$6,V1652,0),0)</f>
        <v>0</v>
      </c>
      <c r="Y1652" s="38" t="n">
        <f aca="false">IF(AND(OR(T1652="Backlog",T1652="Pipeline",T1652="Overdue"),ISNUMBER(W1652)),IF(W1652&lt;=Settings!$B$6,Q1652,0),0)</f>
        <v>0</v>
      </c>
      <c r="Z1652" s="38" t="n">
        <f aca="false">IF(Y1652=0,0,IF(T1652="Backlog",Q1652,Q1652*Dashboard!$C$10))</f>
        <v>0</v>
      </c>
      <c r="AA1652" s="37" t="n">
        <f aca="false">IF($N1652="",0,IF(COUNTIF(Dashboard!$C$13:$C$22,$N1652)&gt;0,1,0))</f>
        <v>0</v>
      </c>
      <c r="AB1652" s="37" t="str">
        <f aca="false">IF($N1652="","",IF(COUNTIF($N$8:$N1652,$N1652)=1,MAX($AB$7:$AB1651)+1,""))</f>
        <v/>
      </c>
    </row>
    <row r="1653" customFormat="false" ht="15" hidden="false" customHeight="false" outlineLevel="0" collapsed="false">
      <c r="L1653" s="37" t="str">
        <f aca="false">IF(INDEX($A1653:$J1653,$L$6)&lt;&gt;"",TRIM(LEFT(INDEX($A1653:$J1653,$L$6),FIND("(",INDEX($A1653:$J1653,$L$6)&amp;"(")-1)),L1652)</f>
        <v>Building Value Proposition</v>
      </c>
      <c r="M1653" s="37" t="str">
        <f aca="false">IF(INDEX($A1653:$J1653,$M$6)="","",INDEX($A1653:$J1653,$M$6)&amp;"")</f>
        <v/>
      </c>
      <c r="N1653" s="37" t="str">
        <f aca="false">IF($M1653="","",TRIM(INDEX($A1653:$J1653,$N$6)&amp;""))</f>
        <v/>
      </c>
      <c r="O1653" s="37" t="str">
        <f aca="false">IF($M1653="","",TRIM(INDEX($A1653:$J1653,$O$6)&amp;""))</f>
        <v/>
      </c>
      <c r="P1653" s="37" t="str">
        <f aca="false">IF($M1653="","",IFERROR(IF(INDEX(Settings!$B$41:$B$50,MATCH(O1653,Settings!$A$41:$A$50,0))&amp;""="","UNMAPPED",INDEX(Settings!$B$41:$B$50,MATCH(O1653,Settings!$A$41:$A$50,0))&amp;""),"UNMAPPED"))</f>
        <v/>
      </c>
      <c r="Q1653" s="38" t="n">
        <f aca="false">IF($M1653="",0,N(INDEX($A1653:$J1653,$Q$6)))</f>
        <v>0</v>
      </c>
      <c r="R1653" s="39" t="str">
        <f aca="false">IF($M1653="","",INDEX($A1653:$J1653,$R$6))</f>
        <v/>
      </c>
      <c r="S1653" s="37" t="str">
        <f aca="false">IF($M1653="","",IFERROR(INDEX(Settings!$B$27:$B$36,MATCH(L1653,Settings!$A$27:$A$36,0))&amp;"","UNMAPPED"))</f>
        <v/>
      </c>
      <c r="T1653" s="37" t="str">
        <f aca="false">IF($M1653="","",IF(NOT(ISNUMBER(R1653)),"NO DATE",IF(S1653="Won",IF(R1653&gt;Settings!$B$5,"Backlog","Delivered"),IF(S1653="Open",IF(R1653&gt;Settings!$B$5,"Pipeline","Overdue"),IF(S1653="Lost","Lost","UNMAPPED")))))</f>
        <v/>
      </c>
      <c r="U1653" s="40" t="n">
        <f aca="false">IF(T1653="Backlog",1,IF(OR(T1653="Pipeline",T1653="Overdue"),N(INDEX(Settings!$C$27:$C$36,MATCH(L1653,Settings!$A$27:$A$36,0))),0))</f>
        <v>0</v>
      </c>
      <c r="V1653" s="38" t="n">
        <f aca="false">Q1653*U1653</f>
        <v>0</v>
      </c>
      <c r="W1653" s="41" t="str">
        <f aca="false">IF($M1653="","",IF(T1653="Overdue",IF(Settings!$B$8="Yes",Settings!$B$7,""),IF(ISNUMBER(R1653),DATE(YEAR(R1653),MONTH(R1653),1),"")))</f>
        <v/>
      </c>
      <c r="X1653" s="38" t="n">
        <f aca="false">IF(AND(OR(T1653="Backlog",T1653="Pipeline",T1653="Overdue"),ISNUMBER(W1653)),IF(W1653&lt;=Settings!$B$6,V1653,0),0)</f>
        <v>0</v>
      </c>
      <c r="Y1653" s="38" t="n">
        <f aca="false">IF(AND(OR(T1653="Backlog",T1653="Pipeline",T1653="Overdue"),ISNUMBER(W1653)),IF(W1653&lt;=Settings!$B$6,Q1653,0),0)</f>
        <v>0</v>
      </c>
      <c r="Z1653" s="38" t="n">
        <f aca="false">IF(Y1653=0,0,IF(T1653="Backlog",Q1653,Q1653*Dashboard!$C$10))</f>
        <v>0</v>
      </c>
      <c r="AA1653" s="37" t="n">
        <f aca="false">IF($N1653="",0,IF(COUNTIF(Dashboard!$C$13:$C$22,$N1653)&gt;0,1,0))</f>
        <v>0</v>
      </c>
      <c r="AB1653" s="37" t="str">
        <f aca="false">IF($N1653="","",IF(COUNTIF($N$8:$N1653,$N1653)=1,MAX($AB$7:$AB1652)+1,""))</f>
        <v/>
      </c>
    </row>
    <row r="1654" customFormat="false" ht="15" hidden="false" customHeight="false" outlineLevel="0" collapsed="false">
      <c r="L1654" s="37" t="str">
        <f aca="false">IF(INDEX($A1654:$J1654,$L$6)&lt;&gt;"",TRIM(LEFT(INDEX($A1654:$J1654,$L$6),FIND("(",INDEX($A1654:$J1654,$L$6)&amp;"(")-1)),L1653)</f>
        <v>Building Value Proposition</v>
      </c>
      <c r="M1654" s="37" t="str">
        <f aca="false">IF(INDEX($A1654:$J1654,$M$6)="","",INDEX($A1654:$J1654,$M$6)&amp;"")</f>
        <v/>
      </c>
      <c r="N1654" s="37" t="str">
        <f aca="false">IF($M1654="","",TRIM(INDEX($A1654:$J1654,$N$6)&amp;""))</f>
        <v/>
      </c>
      <c r="O1654" s="37" t="str">
        <f aca="false">IF($M1654="","",TRIM(INDEX($A1654:$J1654,$O$6)&amp;""))</f>
        <v/>
      </c>
      <c r="P1654" s="37" t="str">
        <f aca="false">IF($M1654="","",IFERROR(IF(INDEX(Settings!$B$41:$B$50,MATCH(O1654,Settings!$A$41:$A$50,0))&amp;""="","UNMAPPED",INDEX(Settings!$B$41:$B$50,MATCH(O1654,Settings!$A$41:$A$50,0))&amp;""),"UNMAPPED"))</f>
        <v/>
      </c>
      <c r="Q1654" s="38" t="n">
        <f aca="false">IF($M1654="",0,N(INDEX($A1654:$J1654,$Q$6)))</f>
        <v>0</v>
      </c>
      <c r="R1654" s="39" t="str">
        <f aca="false">IF($M1654="","",INDEX($A1654:$J1654,$R$6))</f>
        <v/>
      </c>
      <c r="S1654" s="37" t="str">
        <f aca="false">IF($M1654="","",IFERROR(INDEX(Settings!$B$27:$B$36,MATCH(L1654,Settings!$A$27:$A$36,0))&amp;"","UNMAPPED"))</f>
        <v/>
      </c>
      <c r="T1654" s="37" t="str">
        <f aca="false">IF($M1654="","",IF(NOT(ISNUMBER(R1654)),"NO DATE",IF(S1654="Won",IF(R1654&gt;Settings!$B$5,"Backlog","Delivered"),IF(S1654="Open",IF(R1654&gt;Settings!$B$5,"Pipeline","Overdue"),IF(S1654="Lost","Lost","UNMAPPED")))))</f>
        <v/>
      </c>
      <c r="U1654" s="40" t="n">
        <f aca="false">IF(T1654="Backlog",1,IF(OR(T1654="Pipeline",T1654="Overdue"),N(INDEX(Settings!$C$27:$C$36,MATCH(L1654,Settings!$A$27:$A$36,0))),0))</f>
        <v>0</v>
      </c>
      <c r="V1654" s="38" t="n">
        <f aca="false">Q1654*U1654</f>
        <v>0</v>
      </c>
      <c r="W1654" s="41" t="str">
        <f aca="false">IF($M1654="","",IF(T1654="Overdue",IF(Settings!$B$8="Yes",Settings!$B$7,""),IF(ISNUMBER(R1654),DATE(YEAR(R1654),MONTH(R1654),1),"")))</f>
        <v/>
      </c>
      <c r="X1654" s="38" t="n">
        <f aca="false">IF(AND(OR(T1654="Backlog",T1654="Pipeline",T1654="Overdue"),ISNUMBER(W1654)),IF(W1654&lt;=Settings!$B$6,V1654,0),0)</f>
        <v>0</v>
      </c>
      <c r="Y1654" s="38" t="n">
        <f aca="false">IF(AND(OR(T1654="Backlog",T1654="Pipeline",T1654="Overdue"),ISNUMBER(W1654)),IF(W1654&lt;=Settings!$B$6,Q1654,0),0)</f>
        <v>0</v>
      </c>
      <c r="Z1654" s="38" t="n">
        <f aca="false">IF(Y1654=0,0,IF(T1654="Backlog",Q1654,Q1654*Dashboard!$C$10))</f>
        <v>0</v>
      </c>
      <c r="AA1654" s="37" t="n">
        <f aca="false">IF($N1654="",0,IF(COUNTIF(Dashboard!$C$13:$C$22,$N1654)&gt;0,1,0))</f>
        <v>0</v>
      </c>
      <c r="AB1654" s="37" t="str">
        <f aca="false">IF($N1654="","",IF(COUNTIF($N$8:$N1654,$N1654)=1,MAX($AB$7:$AB1653)+1,""))</f>
        <v/>
      </c>
    </row>
    <row r="1655" customFormat="false" ht="15" hidden="false" customHeight="false" outlineLevel="0" collapsed="false">
      <c r="L1655" s="37" t="str">
        <f aca="false">IF(INDEX($A1655:$J1655,$L$6)&lt;&gt;"",TRIM(LEFT(INDEX($A1655:$J1655,$L$6),FIND("(",INDEX($A1655:$J1655,$L$6)&amp;"(")-1)),L1654)</f>
        <v>Building Value Proposition</v>
      </c>
      <c r="M1655" s="37" t="str">
        <f aca="false">IF(INDEX($A1655:$J1655,$M$6)="","",INDEX($A1655:$J1655,$M$6)&amp;"")</f>
        <v/>
      </c>
      <c r="N1655" s="37" t="str">
        <f aca="false">IF($M1655="","",TRIM(INDEX($A1655:$J1655,$N$6)&amp;""))</f>
        <v/>
      </c>
      <c r="O1655" s="37" t="str">
        <f aca="false">IF($M1655="","",TRIM(INDEX($A1655:$J1655,$O$6)&amp;""))</f>
        <v/>
      </c>
      <c r="P1655" s="37" t="str">
        <f aca="false">IF($M1655="","",IFERROR(IF(INDEX(Settings!$B$41:$B$50,MATCH(O1655,Settings!$A$41:$A$50,0))&amp;""="","UNMAPPED",INDEX(Settings!$B$41:$B$50,MATCH(O1655,Settings!$A$41:$A$50,0))&amp;""),"UNMAPPED"))</f>
        <v/>
      </c>
      <c r="Q1655" s="38" t="n">
        <f aca="false">IF($M1655="",0,N(INDEX($A1655:$J1655,$Q$6)))</f>
        <v>0</v>
      </c>
      <c r="R1655" s="39" t="str">
        <f aca="false">IF($M1655="","",INDEX($A1655:$J1655,$R$6))</f>
        <v/>
      </c>
      <c r="S1655" s="37" t="str">
        <f aca="false">IF($M1655="","",IFERROR(INDEX(Settings!$B$27:$B$36,MATCH(L1655,Settings!$A$27:$A$36,0))&amp;"","UNMAPPED"))</f>
        <v/>
      </c>
      <c r="T1655" s="37" t="str">
        <f aca="false">IF($M1655="","",IF(NOT(ISNUMBER(R1655)),"NO DATE",IF(S1655="Won",IF(R1655&gt;Settings!$B$5,"Backlog","Delivered"),IF(S1655="Open",IF(R1655&gt;Settings!$B$5,"Pipeline","Overdue"),IF(S1655="Lost","Lost","UNMAPPED")))))</f>
        <v/>
      </c>
      <c r="U1655" s="40" t="n">
        <f aca="false">IF(T1655="Backlog",1,IF(OR(T1655="Pipeline",T1655="Overdue"),N(INDEX(Settings!$C$27:$C$36,MATCH(L1655,Settings!$A$27:$A$36,0))),0))</f>
        <v>0</v>
      </c>
      <c r="V1655" s="38" t="n">
        <f aca="false">Q1655*U1655</f>
        <v>0</v>
      </c>
      <c r="W1655" s="41" t="str">
        <f aca="false">IF($M1655="","",IF(T1655="Overdue",IF(Settings!$B$8="Yes",Settings!$B$7,""),IF(ISNUMBER(R1655),DATE(YEAR(R1655),MONTH(R1655),1),"")))</f>
        <v/>
      </c>
      <c r="X1655" s="38" t="n">
        <f aca="false">IF(AND(OR(T1655="Backlog",T1655="Pipeline",T1655="Overdue"),ISNUMBER(W1655)),IF(W1655&lt;=Settings!$B$6,V1655,0),0)</f>
        <v>0</v>
      </c>
      <c r="Y1655" s="38" t="n">
        <f aca="false">IF(AND(OR(T1655="Backlog",T1655="Pipeline",T1655="Overdue"),ISNUMBER(W1655)),IF(W1655&lt;=Settings!$B$6,Q1655,0),0)</f>
        <v>0</v>
      </c>
      <c r="Z1655" s="38" t="n">
        <f aca="false">IF(Y1655=0,0,IF(T1655="Backlog",Q1655,Q1655*Dashboard!$C$10))</f>
        <v>0</v>
      </c>
      <c r="AA1655" s="37" t="n">
        <f aca="false">IF($N1655="",0,IF(COUNTIF(Dashboard!$C$13:$C$22,$N1655)&gt;0,1,0))</f>
        <v>0</v>
      </c>
      <c r="AB1655" s="37" t="str">
        <f aca="false">IF($N1655="","",IF(COUNTIF($N$8:$N1655,$N1655)=1,MAX($AB$7:$AB1654)+1,""))</f>
        <v/>
      </c>
    </row>
    <row r="1656" customFormat="false" ht="15" hidden="false" customHeight="false" outlineLevel="0" collapsed="false">
      <c r="L1656" s="37" t="str">
        <f aca="false">IF(INDEX($A1656:$J1656,$L$6)&lt;&gt;"",TRIM(LEFT(INDEX($A1656:$J1656,$L$6),FIND("(",INDEX($A1656:$J1656,$L$6)&amp;"(")-1)),L1655)</f>
        <v>Building Value Proposition</v>
      </c>
      <c r="M1656" s="37" t="str">
        <f aca="false">IF(INDEX($A1656:$J1656,$M$6)="","",INDEX($A1656:$J1656,$M$6)&amp;"")</f>
        <v/>
      </c>
      <c r="N1656" s="37" t="str">
        <f aca="false">IF($M1656="","",TRIM(INDEX($A1656:$J1656,$N$6)&amp;""))</f>
        <v/>
      </c>
      <c r="O1656" s="37" t="str">
        <f aca="false">IF($M1656="","",TRIM(INDEX($A1656:$J1656,$O$6)&amp;""))</f>
        <v/>
      </c>
      <c r="P1656" s="37" t="str">
        <f aca="false">IF($M1656="","",IFERROR(IF(INDEX(Settings!$B$41:$B$50,MATCH(O1656,Settings!$A$41:$A$50,0))&amp;""="","UNMAPPED",INDEX(Settings!$B$41:$B$50,MATCH(O1656,Settings!$A$41:$A$50,0))&amp;""),"UNMAPPED"))</f>
        <v/>
      </c>
      <c r="Q1656" s="38" t="n">
        <f aca="false">IF($M1656="",0,N(INDEX($A1656:$J1656,$Q$6)))</f>
        <v>0</v>
      </c>
      <c r="R1656" s="39" t="str">
        <f aca="false">IF($M1656="","",INDEX($A1656:$J1656,$R$6))</f>
        <v/>
      </c>
      <c r="S1656" s="37" t="str">
        <f aca="false">IF($M1656="","",IFERROR(INDEX(Settings!$B$27:$B$36,MATCH(L1656,Settings!$A$27:$A$36,0))&amp;"","UNMAPPED"))</f>
        <v/>
      </c>
      <c r="T1656" s="37" t="str">
        <f aca="false">IF($M1656="","",IF(NOT(ISNUMBER(R1656)),"NO DATE",IF(S1656="Won",IF(R1656&gt;Settings!$B$5,"Backlog","Delivered"),IF(S1656="Open",IF(R1656&gt;Settings!$B$5,"Pipeline","Overdue"),IF(S1656="Lost","Lost","UNMAPPED")))))</f>
        <v/>
      </c>
      <c r="U1656" s="40" t="n">
        <f aca="false">IF(T1656="Backlog",1,IF(OR(T1656="Pipeline",T1656="Overdue"),N(INDEX(Settings!$C$27:$C$36,MATCH(L1656,Settings!$A$27:$A$36,0))),0))</f>
        <v>0</v>
      </c>
      <c r="V1656" s="38" t="n">
        <f aca="false">Q1656*U1656</f>
        <v>0</v>
      </c>
      <c r="W1656" s="41" t="str">
        <f aca="false">IF($M1656="","",IF(T1656="Overdue",IF(Settings!$B$8="Yes",Settings!$B$7,""),IF(ISNUMBER(R1656),DATE(YEAR(R1656),MONTH(R1656),1),"")))</f>
        <v/>
      </c>
      <c r="X1656" s="38" t="n">
        <f aca="false">IF(AND(OR(T1656="Backlog",T1656="Pipeline",T1656="Overdue"),ISNUMBER(W1656)),IF(W1656&lt;=Settings!$B$6,V1656,0),0)</f>
        <v>0</v>
      </c>
      <c r="Y1656" s="38" t="n">
        <f aca="false">IF(AND(OR(T1656="Backlog",T1656="Pipeline",T1656="Overdue"),ISNUMBER(W1656)),IF(W1656&lt;=Settings!$B$6,Q1656,0),0)</f>
        <v>0</v>
      </c>
      <c r="Z1656" s="38" t="n">
        <f aca="false">IF(Y1656=0,0,IF(T1656="Backlog",Q1656,Q1656*Dashboard!$C$10))</f>
        <v>0</v>
      </c>
      <c r="AA1656" s="37" t="n">
        <f aca="false">IF($N1656="",0,IF(COUNTIF(Dashboard!$C$13:$C$22,$N1656)&gt;0,1,0))</f>
        <v>0</v>
      </c>
      <c r="AB1656" s="37" t="str">
        <f aca="false">IF($N1656="","",IF(COUNTIF($N$8:$N1656,$N1656)=1,MAX($AB$7:$AB1655)+1,""))</f>
        <v/>
      </c>
    </row>
    <row r="1657" customFormat="false" ht="15" hidden="false" customHeight="false" outlineLevel="0" collapsed="false">
      <c r="L1657" s="37" t="str">
        <f aca="false">IF(INDEX($A1657:$J1657,$L$6)&lt;&gt;"",TRIM(LEFT(INDEX($A1657:$J1657,$L$6),FIND("(",INDEX($A1657:$J1657,$L$6)&amp;"(")-1)),L1656)</f>
        <v>Building Value Proposition</v>
      </c>
      <c r="M1657" s="37" t="str">
        <f aca="false">IF(INDEX($A1657:$J1657,$M$6)="","",INDEX($A1657:$J1657,$M$6)&amp;"")</f>
        <v/>
      </c>
      <c r="N1657" s="37" t="str">
        <f aca="false">IF($M1657="","",TRIM(INDEX($A1657:$J1657,$N$6)&amp;""))</f>
        <v/>
      </c>
      <c r="O1657" s="37" t="str">
        <f aca="false">IF($M1657="","",TRIM(INDEX($A1657:$J1657,$O$6)&amp;""))</f>
        <v/>
      </c>
      <c r="P1657" s="37" t="str">
        <f aca="false">IF($M1657="","",IFERROR(IF(INDEX(Settings!$B$41:$B$50,MATCH(O1657,Settings!$A$41:$A$50,0))&amp;""="","UNMAPPED",INDEX(Settings!$B$41:$B$50,MATCH(O1657,Settings!$A$41:$A$50,0))&amp;""),"UNMAPPED"))</f>
        <v/>
      </c>
      <c r="Q1657" s="38" t="n">
        <f aca="false">IF($M1657="",0,N(INDEX($A1657:$J1657,$Q$6)))</f>
        <v>0</v>
      </c>
      <c r="R1657" s="39" t="str">
        <f aca="false">IF($M1657="","",INDEX($A1657:$J1657,$R$6))</f>
        <v/>
      </c>
      <c r="S1657" s="37" t="str">
        <f aca="false">IF($M1657="","",IFERROR(INDEX(Settings!$B$27:$B$36,MATCH(L1657,Settings!$A$27:$A$36,0))&amp;"","UNMAPPED"))</f>
        <v/>
      </c>
      <c r="T1657" s="37" t="str">
        <f aca="false">IF($M1657="","",IF(NOT(ISNUMBER(R1657)),"NO DATE",IF(S1657="Won",IF(R1657&gt;Settings!$B$5,"Backlog","Delivered"),IF(S1657="Open",IF(R1657&gt;Settings!$B$5,"Pipeline","Overdue"),IF(S1657="Lost","Lost","UNMAPPED")))))</f>
        <v/>
      </c>
      <c r="U1657" s="40" t="n">
        <f aca="false">IF(T1657="Backlog",1,IF(OR(T1657="Pipeline",T1657="Overdue"),N(INDEX(Settings!$C$27:$C$36,MATCH(L1657,Settings!$A$27:$A$36,0))),0))</f>
        <v>0</v>
      </c>
      <c r="V1657" s="38" t="n">
        <f aca="false">Q1657*U1657</f>
        <v>0</v>
      </c>
      <c r="W1657" s="41" t="str">
        <f aca="false">IF($M1657="","",IF(T1657="Overdue",IF(Settings!$B$8="Yes",Settings!$B$7,""),IF(ISNUMBER(R1657),DATE(YEAR(R1657),MONTH(R1657),1),"")))</f>
        <v/>
      </c>
      <c r="X1657" s="38" t="n">
        <f aca="false">IF(AND(OR(T1657="Backlog",T1657="Pipeline",T1657="Overdue"),ISNUMBER(W1657)),IF(W1657&lt;=Settings!$B$6,V1657,0),0)</f>
        <v>0</v>
      </c>
      <c r="Y1657" s="38" t="n">
        <f aca="false">IF(AND(OR(T1657="Backlog",T1657="Pipeline",T1657="Overdue"),ISNUMBER(W1657)),IF(W1657&lt;=Settings!$B$6,Q1657,0),0)</f>
        <v>0</v>
      </c>
      <c r="Z1657" s="38" t="n">
        <f aca="false">IF(Y1657=0,0,IF(T1657="Backlog",Q1657,Q1657*Dashboard!$C$10))</f>
        <v>0</v>
      </c>
      <c r="AA1657" s="37" t="n">
        <f aca="false">IF($N1657="",0,IF(COUNTIF(Dashboard!$C$13:$C$22,$N1657)&gt;0,1,0))</f>
        <v>0</v>
      </c>
      <c r="AB1657" s="37" t="str">
        <f aca="false">IF($N1657="","",IF(COUNTIF($N$8:$N1657,$N1657)=1,MAX($AB$7:$AB1656)+1,""))</f>
        <v/>
      </c>
    </row>
    <row r="1658" customFormat="false" ht="15" hidden="false" customHeight="false" outlineLevel="0" collapsed="false">
      <c r="L1658" s="37" t="str">
        <f aca="false">IF(INDEX($A1658:$J1658,$L$6)&lt;&gt;"",TRIM(LEFT(INDEX($A1658:$J1658,$L$6),FIND("(",INDEX($A1658:$J1658,$L$6)&amp;"(")-1)),L1657)</f>
        <v>Building Value Proposition</v>
      </c>
      <c r="M1658" s="37" t="str">
        <f aca="false">IF(INDEX($A1658:$J1658,$M$6)="","",INDEX($A1658:$J1658,$M$6)&amp;"")</f>
        <v/>
      </c>
      <c r="N1658" s="37" t="str">
        <f aca="false">IF($M1658="","",TRIM(INDEX($A1658:$J1658,$N$6)&amp;""))</f>
        <v/>
      </c>
      <c r="O1658" s="37" t="str">
        <f aca="false">IF($M1658="","",TRIM(INDEX($A1658:$J1658,$O$6)&amp;""))</f>
        <v/>
      </c>
      <c r="P1658" s="37" t="str">
        <f aca="false">IF($M1658="","",IFERROR(IF(INDEX(Settings!$B$41:$B$50,MATCH(O1658,Settings!$A$41:$A$50,0))&amp;""="","UNMAPPED",INDEX(Settings!$B$41:$B$50,MATCH(O1658,Settings!$A$41:$A$50,0))&amp;""),"UNMAPPED"))</f>
        <v/>
      </c>
      <c r="Q1658" s="38" t="n">
        <f aca="false">IF($M1658="",0,N(INDEX($A1658:$J1658,$Q$6)))</f>
        <v>0</v>
      </c>
      <c r="R1658" s="39" t="str">
        <f aca="false">IF($M1658="","",INDEX($A1658:$J1658,$R$6))</f>
        <v/>
      </c>
      <c r="S1658" s="37" t="str">
        <f aca="false">IF($M1658="","",IFERROR(INDEX(Settings!$B$27:$B$36,MATCH(L1658,Settings!$A$27:$A$36,0))&amp;"","UNMAPPED"))</f>
        <v/>
      </c>
      <c r="T1658" s="37" t="str">
        <f aca="false">IF($M1658="","",IF(NOT(ISNUMBER(R1658)),"NO DATE",IF(S1658="Won",IF(R1658&gt;Settings!$B$5,"Backlog","Delivered"),IF(S1658="Open",IF(R1658&gt;Settings!$B$5,"Pipeline","Overdue"),IF(S1658="Lost","Lost","UNMAPPED")))))</f>
        <v/>
      </c>
      <c r="U1658" s="40" t="n">
        <f aca="false">IF(T1658="Backlog",1,IF(OR(T1658="Pipeline",T1658="Overdue"),N(INDEX(Settings!$C$27:$C$36,MATCH(L1658,Settings!$A$27:$A$36,0))),0))</f>
        <v>0</v>
      </c>
      <c r="V1658" s="38" t="n">
        <f aca="false">Q1658*U1658</f>
        <v>0</v>
      </c>
      <c r="W1658" s="41" t="str">
        <f aca="false">IF($M1658="","",IF(T1658="Overdue",IF(Settings!$B$8="Yes",Settings!$B$7,""),IF(ISNUMBER(R1658),DATE(YEAR(R1658),MONTH(R1658),1),"")))</f>
        <v/>
      </c>
      <c r="X1658" s="38" t="n">
        <f aca="false">IF(AND(OR(T1658="Backlog",T1658="Pipeline",T1658="Overdue"),ISNUMBER(W1658)),IF(W1658&lt;=Settings!$B$6,V1658,0),0)</f>
        <v>0</v>
      </c>
      <c r="Y1658" s="38" t="n">
        <f aca="false">IF(AND(OR(T1658="Backlog",T1658="Pipeline",T1658="Overdue"),ISNUMBER(W1658)),IF(W1658&lt;=Settings!$B$6,Q1658,0),0)</f>
        <v>0</v>
      </c>
      <c r="Z1658" s="38" t="n">
        <f aca="false">IF(Y1658=0,0,IF(T1658="Backlog",Q1658,Q1658*Dashboard!$C$10))</f>
        <v>0</v>
      </c>
      <c r="AA1658" s="37" t="n">
        <f aca="false">IF($N1658="",0,IF(COUNTIF(Dashboard!$C$13:$C$22,$N1658)&gt;0,1,0))</f>
        <v>0</v>
      </c>
      <c r="AB1658" s="37" t="str">
        <f aca="false">IF($N1658="","",IF(COUNTIF($N$8:$N1658,$N1658)=1,MAX($AB$7:$AB1657)+1,""))</f>
        <v/>
      </c>
    </row>
    <row r="1659" customFormat="false" ht="15" hidden="false" customHeight="false" outlineLevel="0" collapsed="false">
      <c r="L1659" s="37" t="str">
        <f aca="false">IF(INDEX($A1659:$J1659,$L$6)&lt;&gt;"",TRIM(LEFT(INDEX($A1659:$J1659,$L$6),FIND("(",INDEX($A1659:$J1659,$L$6)&amp;"(")-1)),L1658)</f>
        <v>Building Value Proposition</v>
      </c>
      <c r="M1659" s="37" t="str">
        <f aca="false">IF(INDEX($A1659:$J1659,$M$6)="","",INDEX($A1659:$J1659,$M$6)&amp;"")</f>
        <v/>
      </c>
      <c r="N1659" s="37" t="str">
        <f aca="false">IF($M1659="","",TRIM(INDEX($A1659:$J1659,$N$6)&amp;""))</f>
        <v/>
      </c>
      <c r="O1659" s="37" t="str">
        <f aca="false">IF($M1659="","",TRIM(INDEX($A1659:$J1659,$O$6)&amp;""))</f>
        <v/>
      </c>
      <c r="P1659" s="37" t="str">
        <f aca="false">IF($M1659="","",IFERROR(IF(INDEX(Settings!$B$41:$B$50,MATCH(O1659,Settings!$A$41:$A$50,0))&amp;""="","UNMAPPED",INDEX(Settings!$B$41:$B$50,MATCH(O1659,Settings!$A$41:$A$50,0))&amp;""),"UNMAPPED"))</f>
        <v/>
      </c>
      <c r="Q1659" s="38" t="n">
        <f aca="false">IF($M1659="",0,N(INDEX($A1659:$J1659,$Q$6)))</f>
        <v>0</v>
      </c>
      <c r="R1659" s="39" t="str">
        <f aca="false">IF($M1659="","",INDEX($A1659:$J1659,$R$6))</f>
        <v/>
      </c>
      <c r="S1659" s="37" t="str">
        <f aca="false">IF($M1659="","",IFERROR(INDEX(Settings!$B$27:$B$36,MATCH(L1659,Settings!$A$27:$A$36,0))&amp;"","UNMAPPED"))</f>
        <v/>
      </c>
      <c r="T1659" s="37" t="str">
        <f aca="false">IF($M1659="","",IF(NOT(ISNUMBER(R1659)),"NO DATE",IF(S1659="Won",IF(R1659&gt;Settings!$B$5,"Backlog","Delivered"),IF(S1659="Open",IF(R1659&gt;Settings!$B$5,"Pipeline","Overdue"),IF(S1659="Lost","Lost","UNMAPPED")))))</f>
        <v/>
      </c>
      <c r="U1659" s="40" t="n">
        <f aca="false">IF(T1659="Backlog",1,IF(OR(T1659="Pipeline",T1659="Overdue"),N(INDEX(Settings!$C$27:$C$36,MATCH(L1659,Settings!$A$27:$A$36,0))),0))</f>
        <v>0</v>
      </c>
      <c r="V1659" s="38" t="n">
        <f aca="false">Q1659*U1659</f>
        <v>0</v>
      </c>
      <c r="W1659" s="41" t="str">
        <f aca="false">IF($M1659="","",IF(T1659="Overdue",IF(Settings!$B$8="Yes",Settings!$B$7,""),IF(ISNUMBER(R1659),DATE(YEAR(R1659),MONTH(R1659),1),"")))</f>
        <v/>
      </c>
      <c r="X1659" s="38" t="n">
        <f aca="false">IF(AND(OR(T1659="Backlog",T1659="Pipeline",T1659="Overdue"),ISNUMBER(W1659)),IF(W1659&lt;=Settings!$B$6,V1659,0),0)</f>
        <v>0</v>
      </c>
      <c r="Y1659" s="38" t="n">
        <f aca="false">IF(AND(OR(T1659="Backlog",T1659="Pipeline",T1659="Overdue"),ISNUMBER(W1659)),IF(W1659&lt;=Settings!$B$6,Q1659,0),0)</f>
        <v>0</v>
      </c>
      <c r="Z1659" s="38" t="n">
        <f aca="false">IF(Y1659=0,0,IF(T1659="Backlog",Q1659,Q1659*Dashboard!$C$10))</f>
        <v>0</v>
      </c>
      <c r="AA1659" s="37" t="n">
        <f aca="false">IF($N1659="",0,IF(COUNTIF(Dashboard!$C$13:$C$22,$N1659)&gt;0,1,0))</f>
        <v>0</v>
      </c>
      <c r="AB1659" s="37" t="str">
        <f aca="false">IF($N1659="","",IF(COUNTIF($N$8:$N1659,$N1659)=1,MAX($AB$7:$AB1658)+1,""))</f>
        <v/>
      </c>
    </row>
    <row r="1660" customFormat="false" ht="15" hidden="false" customHeight="false" outlineLevel="0" collapsed="false">
      <c r="L1660" s="37" t="str">
        <f aca="false">IF(INDEX($A1660:$J1660,$L$6)&lt;&gt;"",TRIM(LEFT(INDEX($A1660:$J1660,$L$6),FIND("(",INDEX($A1660:$J1660,$L$6)&amp;"(")-1)),L1659)</f>
        <v>Building Value Proposition</v>
      </c>
      <c r="M1660" s="37" t="str">
        <f aca="false">IF(INDEX($A1660:$J1660,$M$6)="","",INDEX($A1660:$J1660,$M$6)&amp;"")</f>
        <v/>
      </c>
      <c r="N1660" s="37" t="str">
        <f aca="false">IF($M1660="","",TRIM(INDEX($A1660:$J1660,$N$6)&amp;""))</f>
        <v/>
      </c>
      <c r="O1660" s="37" t="str">
        <f aca="false">IF($M1660="","",TRIM(INDEX($A1660:$J1660,$O$6)&amp;""))</f>
        <v/>
      </c>
      <c r="P1660" s="37" t="str">
        <f aca="false">IF($M1660="","",IFERROR(IF(INDEX(Settings!$B$41:$B$50,MATCH(O1660,Settings!$A$41:$A$50,0))&amp;""="","UNMAPPED",INDEX(Settings!$B$41:$B$50,MATCH(O1660,Settings!$A$41:$A$50,0))&amp;""),"UNMAPPED"))</f>
        <v/>
      </c>
      <c r="Q1660" s="38" t="n">
        <f aca="false">IF($M1660="",0,N(INDEX($A1660:$J1660,$Q$6)))</f>
        <v>0</v>
      </c>
      <c r="R1660" s="39" t="str">
        <f aca="false">IF($M1660="","",INDEX($A1660:$J1660,$R$6))</f>
        <v/>
      </c>
      <c r="S1660" s="37" t="str">
        <f aca="false">IF($M1660="","",IFERROR(INDEX(Settings!$B$27:$B$36,MATCH(L1660,Settings!$A$27:$A$36,0))&amp;"","UNMAPPED"))</f>
        <v/>
      </c>
      <c r="T1660" s="37" t="str">
        <f aca="false">IF($M1660="","",IF(NOT(ISNUMBER(R1660)),"NO DATE",IF(S1660="Won",IF(R1660&gt;Settings!$B$5,"Backlog","Delivered"),IF(S1660="Open",IF(R1660&gt;Settings!$B$5,"Pipeline","Overdue"),IF(S1660="Lost","Lost","UNMAPPED")))))</f>
        <v/>
      </c>
      <c r="U1660" s="40" t="n">
        <f aca="false">IF(T1660="Backlog",1,IF(OR(T1660="Pipeline",T1660="Overdue"),N(INDEX(Settings!$C$27:$C$36,MATCH(L1660,Settings!$A$27:$A$36,0))),0))</f>
        <v>0</v>
      </c>
      <c r="V1660" s="38" t="n">
        <f aca="false">Q1660*U1660</f>
        <v>0</v>
      </c>
      <c r="W1660" s="41" t="str">
        <f aca="false">IF($M1660="","",IF(T1660="Overdue",IF(Settings!$B$8="Yes",Settings!$B$7,""),IF(ISNUMBER(R1660),DATE(YEAR(R1660),MONTH(R1660),1),"")))</f>
        <v/>
      </c>
      <c r="X1660" s="38" t="n">
        <f aca="false">IF(AND(OR(T1660="Backlog",T1660="Pipeline",T1660="Overdue"),ISNUMBER(W1660)),IF(W1660&lt;=Settings!$B$6,V1660,0),0)</f>
        <v>0</v>
      </c>
      <c r="Y1660" s="38" t="n">
        <f aca="false">IF(AND(OR(T1660="Backlog",T1660="Pipeline",T1660="Overdue"),ISNUMBER(W1660)),IF(W1660&lt;=Settings!$B$6,Q1660,0),0)</f>
        <v>0</v>
      </c>
      <c r="Z1660" s="38" t="n">
        <f aca="false">IF(Y1660=0,0,IF(T1660="Backlog",Q1660,Q1660*Dashboard!$C$10))</f>
        <v>0</v>
      </c>
      <c r="AA1660" s="37" t="n">
        <f aca="false">IF($N1660="",0,IF(COUNTIF(Dashboard!$C$13:$C$22,$N1660)&gt;0,1,0))</f>
        <v>0</v>
      </c>
      <c r="AB1660" s="37" t="str">
        <f aca="false">IF($N1660="","",IF(COUNTIF($N$8:$N1660,$N1660)=1,MAX($AB$7:$AB1659)+1,""))</f>
        <v/>
      </c>
    </row>
    <row r="1661" customFormat="false" ht="15" hidden="false" customHeight="false" outlineLevel="0" collapsed="false">
      <c r="L1661" s="37" t="str">
        <f aca="false">IF(INDEX($A1661:$J1661,$L$6)&lt;&gt;"",TRIM(LEFT(INDEX($A1661:$J1661,$L$6),FIND("(",INDEX($A1661:$J1661,$L$6)&amp;"(")-1)),L1660)</f>
        <v>Building Value Proposition</v>
      </c>
      <c r="M1661" s="37" t="str">
        <f aca="false">IF(INDEX($A1661:$J1661,$M$6)="","",INDEX($A1661:$J1661,$M$6)&amp;"")</f>
        <v/>
      </c>
      <c r="N1661" s="37" t="str">
        <f aca="false">IF($M1661="","",TRIM(INDEX($A1661:$J1661,$N$6)&amp;""))</f>
        <v/>
      </c>
      <c r="O1661" s="37" t="str">
        <f aca="false">IF($M1661="","",TRIM(INDEX($A1661:$J1661,$O$6)&amp;""))</f>
        <v/>
      </c>
      <c r="P1661" s="37" t="str">
        <f aca="false">IF($M1661="","",IFERROR(IF(INDEX(Settings!$B$41:$B$50,MATCH(O1661,Settings!$A$41:$A$50,0))&amp;""="","UNMAPPED",INDEX(Settings!$B$41:$B$50,MATCH(O1661,Settings!$A$41:$A$50,0))&amp;""),"UNMAPPED"))</f>
        <v/>
      </c>
      <c r="Q1661" s="38" t="n">
        <f aca="false">IF($M1661="",0,N(INDEX($A1661:$J1661,$Q$6)))</f>
        <v>0</v>
      </c>
      <c r="R1661" s="39" t="str">
        <f aca="false">IF($M1661="","",INDEX($A1661:$J1661,$R$6))</f>
        <v/>
      </c>
      <c r="S1661" s="37" t="str">
        <f aca="false">IF($M1661="","",IFERROR(INDEX(Settings!$B$27:$B$36,MATCH(L1661,Settings!$A$27:$A$36,0))&amp;"","UNMAPPED"))</f>
        <v/>
      </c>
      <c r="T1661" s="37" t="str">
        <f aca="false">IF($M1661="","",IF(NOT(ISNUMBER(R1661)),"NO DATE",IF(S1661="Won",IF(R1661&gt;Settings!$B$5,"Backlog","Delivered"),IF(S1661="Open",IF(R1661&gt;Settings!$B$5,"Pipeline","Overdue"),IF(S1661="Lost","Lost","UNMAPPED")))))</f>
        <v/>
      </c>
      <c r="U1661" s="40" t="n">
        <f aca="false">IF(T1661="Backlog",1,IF(OR(T1661="Pipeline",T1661="Overdue"),N(INDEX(Settings!$C$27:$C$36,MATCH(L1661,Settings!$A$27:$A$36,0))),0))</f>
        <v>0</v>
      </c>
      <c r="V1661" s="38" t="n">
        <f aca="false">Q1661*U1661</f>
        <v>0</v>
      </c>
      <c r="W1661" s="41" t="str">
        <f aca="false">IF($M1661="","",IF(T1661="Overdue",IF(Settings!$B$8="Yes",Settings!$B$7,""),IF(ISNUMBER(R1661),DATE(YEAR(R1661),MONTH(R1661),1),"")))</f>
        <v/>
      </c>
      <c r="X1661" s="38" t="n">
        <f aca="false">IF(AND(OR(T1661="Backlog",T1661="Pipeline",T1661="Overdue"),ISNUMBER(W1661)),IF(W1661&lt;=Settings!$B$6,V1661,0),0)</f>
        <v>0</v>
      </c>
      <c r="Y1661" s="38" t="n">
        <f aca="false">IF(AND(OR(T1661="Backlog",T1661="Pipeline",T1661="Overdue"),ISNUMBER(W1661)),IF(W1661&lt;=Settings!$B$6,Q1661,0),0)</f>
        <v>0</v>
      </c>
      <c r="Z1661" s="38" t="n">
        <f aca="false">IF(Y1661=0,0,IF(T1661="Backlog",Q1661,Q1661*Dashboard!$C$10))</f>
        <v>0</v>
      </c>
      <c r="AA1661" s="37" t="n">
        <f aca="false">IF($N1661="",0,IF(COUNTIF(Dashboard!$C$13:$C$22,$N1661)&gt;0,1,0))</f>
        <v>0</v>
      </c>
      <c r="AB1661" s="37" t="str">
        <f aca="false">IF($N1661="","",IF(COUNTIF($N$8:$N1661,$N1661)=1,MAX($AB$7:$AB1660)+1,""))</f>
        <v/>
      </c>
    </row>
    <row r="1662" customFormat="false" ht="15" hidden="false" customHeight="false" outlineLevel="0" collapsed="false">
      <c r="L1662" s="37" t="str">
        <f aca="false">IF(INDEX($A1662:$J1662,$L$6)&lt;&gt;"",TRIM(LEFT(INDEX($A1662:$J1662,$L$6),FIND("(",INDEX($A1662:$J1662,$L$6)&amp;"(")-1)),L1661)</f>
        <v>Building Value Proposition</v>
      </c>
      <c r="M1662" s="37" t="str">
        <f aca="false">IF(INDEX($A1662:$J1662,$M$6)="","",INDEX($A1662:$J1662,$M$6)&amp;"")</f>
        <v/>
      </c>
      <c r="N1662" s="37" t="str">
        <f aca="false">IF($M1662="","",TRIM(INDEX($A1662:$J1662,$N$6)&amp;""))</f>
        <v/>
      </c>
      <c r="O1662" s="37" t="str">
        <f aca="false">IF($M1662="","",TRIM(INDEX($A1662:$J1662,$O$6)&amp;""))</f>
        <v/>
      </c>
      <c r="P1662" s="37" t="str">
        <f aca="false">IF($M1662="","",IFERROR(IF(INDEX(Settings!$B$41:$B$50,MATCH(O1662,Settings!$A$41:$A$50,0))&amp;""="","UNMAPPED",INDEX(Settings!$B$41:$B$50,MATCH(O1662,Settings!$A$41:$A$50,0))&amp;""),"UNMAPPED"))</f>
        <v/>
      </c>
      <c r="Q1662" s="38" t="n">
        <f aca="false">IF($M1662="",0,N(INDEX($A1662:$J1662,$Q$6)))</f>
        <v>0</v>
      </c>
      <c r="R1662" s="39" t="str">
        <f aca="false">IF($M1662="","",INDEX($A1662:$J1662,$R$6))</f>
        <v/>
      </c>
      <c r="S1662" s="37" t="str">
        <f aca="false">IF($M1662="","",IFERROR(INDEX(Settings!$B$27:$B$36,MATCH(L1662,Settings!$A$27:$A$36,0))&amp;"","UNMAPPED"))</f>
        <v/>
      </c>
      <c r="T1662" s="37" t="str">
        <f aca="false">IF($M1662="","",IF(NOT(ISNUMBER(R1662)),"NO DATE",IF(S1662="Won",IF(R1662&gt;Settings!$B$5,"Backlog","Delivered"),IF(S1662="Open",IF(R1662&gt;Settings!$B$5,"Pipeline","Overdue"),IF(S1662="Lost","Lost","UNMAPPED")))))</f>
        <v/>
      </c>
      <c r="U1662" s="40" t="n">
        <f aca="false">IF(T1662="Backlog",1,IF(OR(T1662="Pipeline",T1662="Overdue"),N(INDEX(Settings!$C$27:$C$36,MATCH(L1662,Settings!$A$27:$A$36,0))),0))</f>
        <v>0</v>
      </c>
      <c r="V1662" s="38" t="n">
        <f aca="false">Q1662*U1662</f>
        <v>0</v>
      </c>
      <c r="W1662" s="41" t="str">
        <f aca="false">IF($M1662="","",IF(T1662="Overdue",IF(Settings!$B$8="Yes",Settings!$B$7,""),IF(ISNUMBER(R1662),DATE(YEAR(R1662),MONTH(R1662),1),"")))</f>
        <v/>
      </c>
      <c r="X1662" s="38" t="n">
        <f aca="false">IF(AND(OR(T1662="Backlog",T1662="Pipeline",T1662="Overdue"),ISNUMBER(W1662)),IF(W1662&lt;=Settings!$B$6,V1662,0),0)</f>
        <v>0</v>
      </c>
      <c r="Y1662" s="38" t="n">
        <f aca="false">IF(AND(OR(T1662="Backlog",T1662="Pipeline",T1662="Overdue"),ISNUMBER(W1662)),IF(W1662&lt;=Settings!$B$6,Q1662,0),0)</f>
        <v>0</v>
      </c>
      <c r="Z1662" s="38" t="n">
        <f aca="false">IF(Y1662=0,0,IF(T1662="Backlog",Q1662,Q1662*Dashboard!$C$10))</f>
        <v>0</v>
      </c>
      <c r="AA1662" s="37" t="n">
        <f aca="false">IF($N1662="",0,IF(COUNTIF(Dashboard!$C$13:$C$22,$N1662)&gt;0,1,0))</f>
        <v>0</v>
      </c>
      <c r="AB1662" s="37" t="str">
        <f aca="false">IF($N1662="","",IF(COUNTIF($N$8:$N1662,$N1662)=1,MAX($AB$7:$AB1661)+1,""))</f>
        <v/>
      </c>
    </row>
    <row r="1663" customFormat="false" ht="15" hidden="false" customHeight="false" outlineLevel="0" collapsed="false">
      <c r="L1663" s="37" t="str">
        <f aca="false">IF(INDEX($A1663:$J1663,$L$6)&lt;&gt;"",TRIM(LEFT(INDEX($A1663:$J1663,$L$6),FIND("(",INDEX($A1663:$J1663,$L$6)&amp;"(")-1)),L1662)</f>
        <v>Building Value Proposition</v>
      </c>
      <c r="M1663" s="37" t="str">
        <f aca="false">IF(INDEX($A1663:$J1663,$M$6)="","",INDEX($A1663:$J1663,$M$6)&amp;"")</f>
        <v/>
      </c>
      <c r="N1663" s="37" t="str">
        <f aca="false">IF($M1663="","",TRIM(INDEX($A1663:$J1663,$N$6)&amp;""))</f>
        <v/>
      </c>
      <c r="O1663" s="37" t="str">
        <f aca="false">IF($M1663="","",TRIM(INDEX($A1663:$J1663,$O$6)&amp;""))</f>
        <v/>
      </c>
      <c r="P1663" s="37" t="str">
        <f aca="false">IF($M1663="","",IFERROR(IF(INDEX(Settings!$B$41:$B$50,MATCH(O1663,Settings!$A$41:$A$50,0))&amp;""="","UNMAPPED",INDEX(Settings!$B$41:$B$50,MATCH(O1663,Settings!$A$41:$A$50,0))&amp;""),"UNMAPPED"))</f>
        <v/>
      </c>
      <c r="Q1663" s="38" t="n">
        <f aca="false">IF($M1663="",0,N(INDEX($A1663:$J1663,$Q$6)))</f>
        <v>0</v>
      </c>
      <c r="R1663" s="39" t="str">
        <f aca="false">IF($M1663="","",INDEX($A1663:$J1663,$R$6))</f>
        <v/>
      </c>
      <c r="S1663" s="37" t="str">
        <f aca="false">IF($M1663="","",IFERROR(INDEX(Settings!$B$27:$B$36,MATCH(L1663,Settings!$A$27:$A$36,0))&amp;"","UNMAPPED"))</f>
        <v/>
      </c>
      <c r="T1663" s="37" t="str">
        <f aca="false">IF($M1663="","",IF(NOT(ISNUMBER(R1663)),"NO DATE",IF(S1663="Won",IF(R1663&gt;Settings!$B$5,"Backlog","Delivered"),IF(S1663="Open",IF(R1663&gt;Settings!$B$5,"Pipeline","Overdue"),IF(S1663="Lost","Lost","UNMAPPED")))))</f>
        <v/>
      </c>
      <c r="U1663" s="40" t="n">
        <f aca="false">IF(T1663="Backlog",1,IF(OR(T1663="Pipeline",T1663="Overdue"),N(INDEX(Settings!$C$27:$C$36,MATCH(L1663,Settings!$A$27:$A$36,0))),0))</f>
        <v>0</v>
      </c>
      <c r="V1663" s="38" t="n">
        <f aca="false">Q1663*U1663</f>
        <v>0</v>
      </c>
      <c r="W1663" s="41" t="str">
        <f aca="false">IF($M1663="","",IF(T1663="Overdue",IF(Settings!$B$8="Yes",Settings!$B$7,""),IF(ISNUMBER(R1663),DATE(YEAR(R1663),MONTH(R1663),1),"")))</f>
        <v/>
      </c>
      <c r="X1663" s="38" t="n">
        <f aca="false">IF(AND(OR(T1663="Backlog",T1663="Pipeline",T1663="Overdue"),ISNUMBER(W1663)),IF(W1663&lt;=Settings!$B$6,V1663,0),0)</f>
        <v>0</v>
      </c>
      <c r="Y1663" s="38" t="n">
        <f aca="false">IF(AND(OR(T1663="Backlog",T1663="Pipeline",T1663="Overdue"),ISNUMBER(W1663)),IF(W1663&lt;=Settings!$B$6,Q1663,0),0)</f>
        <v>0</v>
      </c>
      <c r="Z1663" s="38" t="n">
        <f aca="false">IF(Y1663=0,0,IF(T1663="Backlog",Q1663,Q1663*Dashboard!$C$10))</f>
        <v>0</v>
      </c>
      <c r="AA1663" s="37" t="n">
        <f aca="false">IF($N1663="",0,IF(COUNTIF(Dashboard!$C$13:$C$22,$N1663)&gt;0,1,0))</f>
        <v>0</v>
      </c>
      <c r="AB1663" s="37" t="str">
        <f aca="false">IF($N1663="","",IF(COUNTIF($N$8:$N1663,$N1663)=1,MAX($AB$7:$AB1662)+1,""))</f>
        <v/>
      </c>
    </row>
    <row r="1664" customFormat="false" ht="15" hidden="false" customHeight="false" outlineLevel="0" collapsed="false">
      <c r="L1664" s="37" t="str">
        <f aca="false">IF(INDEX($A1664:$J1664,$L$6)&lt;&gt;"",TRIM(LEFT(INDEX($A1664:$J1664,$L$6),FIND("(",INDEX($A1664:$J1664,$L$6)&amp;"(")-1)),L1663)</f>
        <v>Building Value Proposition</v>
      </c>
      <c r="M1664" s="37" t="str">
        <f aca="false">IF(INDEX($A1664:$J1664,$M$6)="","",INDEX($A1664:$J1664,$M$6)&amp;"")</f>
        <v/>
      </c>
      <c r="N1664" s="37" t="str">
        <f aca="false">IF($M1664="","",TRIM(INDEX($A1664:$J1664,$N$6)&amp;""))</f>
        <v/>
      </c>
      <c r="O1664" s="37" t="str">
        <f aca="false">IF($M1664="","",TRIM(INDEX($A1664:$J1664,$O$6)&amp;""))</f>
        <v/>
      </c>
      <c r="P1664" s="37" t="str">
        <f aca="false">IF($M1664="","",IFERROR(IF(INDEX(Settings!$B$41:$B$50,MATCH(O1664,Settings!$A$41:$A$50,0))&amp;""="","UNMAPPED",INDEX(Settings!$B$41:$B$50,MATCH(O1664,Settings!$A$41:$A$50,0))&amp;""),"UNMAPPED"))</f>
        <v/>
      </c>
      <c r="Q1664" s="38" t="n">
        <f aca="false">IF($M1664="",0,N(INDEX($A1664:$J1664,$Q$6)))</f>
        <v>0</v>
      </c>
      <c r="R1664" s="39" t="str">
        <f aca="false">IF($M1664="","",INDEX($A1664:$J1664,$R$6))</f>
        <v/>
      </c>
      <c r="S1664" s="37" t="str">
        <f aca="false">IF($M1664="","",IFERROR(INDEX(Settings!$B$27:$B$36,MATCH(L1664,Settings!$A$27:$A$36,0))&amp;"","UNMAPPED"))</f>
        <v/>
      </c>
      <c r="T1664" s="37" t="str">
        <f aca="false">IF($M1664="","",IF(NOT(ISNUMBER(R1664)),"NO DATE",IF(S1664="Won",IF(R1664&gt;Settings!$B$5,"Backlog","Delivered"),IF(S1664="Open",IF(R1664&gt;Settings!$B$5,"Pipeline","Overdue"),IF(S1664="Lost","Lost","UNMAPPED")))))</f>
        <v/>
      </c>
      <c r="U1664" s="40" t="n">
        <f aca="false">IF(T1664="Backlog",1,IF(OR(T1664="Pipeline",T1664="Overdue"),N(INDEX(Settings!$C$27:$C$36,MATCH(L1664,Settings!$A$27:$A$36,0))),0))</f>
        <v>0</v>
      </c>
      <c r="V1664" s="38" t="n">
        <f aca="false">Q1664*U1664</f>
        <v>0</v>
      </c>
      <c r="W1664" s="41" t="str">
        <f aca="false">IF($M1664="","",IF(T1664="Overdue",IF(Settings!$B$8="Yes",Settings!$B$7,""),IF(ISNUMBER(R1664),DATE(YEAR(R1664),MONTH(R1664),1),"")))</f>
        <v/>
      </c>
      <c r="X1664" s="38" t="n">
        <f aca="false">IF(AND(OR(T1664="Backlog",T1664="Pipeline",T1664="Overdue"),ISNUMBER(W1664)),IF(W1664&lt;=Settings!$B$6,V1664,0),0)</f>
        <v>0</v>
      </c>
      <c r="Y1664" s="38" t="n">
        <f aca="false">IF(AND(OR(T1664="Backlog",T1664="Pipeline",T1664="Overdue"),ISNUMBER(W1664)),IF(W1664&lt;=Settings!$B$6,Q1664,0),0)</f>
        <v>0</v>
      </c>
      <c r="Z1664" s="38" t="n">
        <f aca="false">IF(Y1664=0,0,IF(T1664="Backlog",Q1664,Q1664*Dashboard!$C$10))</f>
        <v>0</v>
      </c>
      <c r="AA1664" s="37" t="n">
        <f aca="false">IF($N1664="",0,IF(COUNTIF(Dashboard!$C$13:$C$22,$N1664)&gt;0,1,0))</f>
        <v>0</v>
      </c>
      <c r="AB1664" s="37" t="str">
        <f aca="false">IF($N1664="","",IF(COUNTIF($N$8:$N1664,$N1664)=1,MAX($AB$7:$AB1663)+1,""))</f>
        <v/>
      </c>
    </row>
    <row r="1665" customFormat="false" ht="15" hidden="false" customHeight="false" outlineLevel="0" collapsed="false">
      <c r="L1665" s="37" t="str">
        <f aca="false">IF(INDEX($A1665:$J1665,$L$6)&lt;&gt;"",TRIM(LEFT(INDEX($A1665:$J1665,$L$6),FIND("(",INDEX($A1665:$J1665,$L$6)&amp;"(")-1)),L1664)</f>
        <v>Building Value Proposition</v>
      </c>
      <c r="M1665" s="37" t="str">
        <f aca="false">IF(INDEX($A1665:$J1665,$M$6)="","",INDEX($A1665:$J1665,$M$6)&amp;"")</f>
        <v/>
      </c>
      <c r="N1665" s="37" t="str">
        <f aca="false">IF($M1665="","",TRIM(INDEX($A1665:$J1665,$N$6)&amp;""))</f>
        <v/>
      </c>
      <c r="O1665" s="37" t="str">
        <f aca="false">IF($M1665="","",TRIM(INDEX($A1665:$J1665,$O$6)&amp;""))</f>
        <v/>
      </c>
      <c r="P1665" s="37" t="str">
        <f aca="false">IF($M1665="","",IFERROR(IF(INDEX(Settings!$B$41:$B$50,MATCH(O1665,Settings!$A$41:$A$50,0))&amp;""="","UNMAPPED",INDEX(Settings!$B$41:$B$50,MATCH(O1665,Settings!$A$41:$A$50,0))&amp;""),"UNMAPPED"))</f>
        <v/>
      </c>
      <c r="Q1665" s="38" t="n">
        <f aca="false">IF($M1665="",0,N(INDEX($A1665:$J1665,$Q$6)))</f>
        <v>0</v>
      </c>
      <c r="R1665" s="39" t="str">
        <f aca="false">IF($M1665="","",INDEX($A1665:$J1665,$R$6))</f>
        <v/>
      </c>
      <c r="S1665" s="37" t="str">
        <f aca="false">IF($M1665="","",IFERROR(INDEX(Settings!$B$27:$B$36,MATCH(L1665,Settings!$A$27:$A$36,0))&amp;"","UNMAPPED"))</f>
        <v/>
      </c>
      <c r="T1665" s="37" t="str">
        <f aca="false">IF($M1665="","",IF(NOT(ISNUMBER(R1665)),"NO DATE",IF(S1665="Won",IF(R1665&gt;Settings!$B$5,"Backlog","Delivered"),IF(S1665="Open",IF(R1665&gt;Settings!$B$5,"Pipeline","Overdue"),IF(S1665="Lost","Lost","UNMAPPED")))))</f>
        <v/>
      </c>
      <c r="U1665" s="40" t="n">
        <f aca="false">IF(T1665="Backlog",1,IF(OR(T1665="Pipeline",T1665="Overdue"),N(INDEX(Settings!$C$27:$C$36,MATCH(L1665,Settings!$A$27:$A$36,0))),0))</f>
        <v>0</v>
      </c>
      <c r="V1665" s="38" t="n">
        <f aca="false">Q1665*U1665</f>
        <v>0</v>
      </c>
      <c r="W1665" s="41" t="str">
        <f aca="false">IF($M1665="","",IF(T1665="Overdue",IF(Settings!$B$8="Yes",Settings!$B$7,""),IF(ISNUMBER(R1665),DATE(YEAR(R1665),MONTH(R1665),1),"")))</f>
        <v/>
      </c>
      <c r="X1665" s="38" t="n">
        <f aca="false">IF(AND(OR(T1665="Backlog",T1665="Pipeline",T1665="Overdue"),ISNUMBER(W1665)),IF(W1665&lt;=Settings!$B$6,V1665,0),0)</f>
        <v>0</v>
      </c>
      <c r="Y1665" s="38" t="n">
        <f aca="false">IF(AND(OR(T1665="Backlog",T1665="Pipeline",T1665="Overdue"),ISNUMBER(W1665)),IF(W1665&lt;=Settings!$B$6,Q1665,0),0)</f>
        <v>0</v>
      </c>
      <c r="Z1665" s="38" t="n">
        <f aca="false">IF(Y1665=0,0,IF(T1665="Backlog",Q1665,Q1665*Dashboard!$C$10))</f>
        <v>0</v>
      </c>
      <c r="AA1665" s="37" t="n">
        <f aca="false">IF($N1665="",0,IF(COUNTIF(Dashboard!$C$13:$C$22,$N1665)&gt;0,1,0))</f>
        <v>0</v>
      </c>
      <c r="AB1665" s="37" t="str">
        <f aca="false">IF($N1665="","",IF(COUNTIF($N$8:$N1665,$N1665)=1,MAX($AB$7:$AB1664)+1,""))</f>
        <v/>
      </c>
    </row>
    <row r="1666" customFormat="false" ht="15" hidden="false" customHeight="false" outlineLevel="0" collapsed="false">
      <c r="L1666" s="37" t="str">
        <f aca="false">IF(INDEX($A1666:$J1666,$L$6)&lt;&gt;"",TRIM(LEFT(INDEX($A1666:$J1666,$L$6),FIND("(",INDEX($A1666:$J1666,$L$6)&amp;"(")-1)),L1665)</f>
        <v>Building Value Proposition</v>
      </c>
      <c r="M1666" s="37" t="str">
        <f aca="false">IF(INDEX($A1666:$J1666,$M$6)="","",INDEX($A1666:$J1666,$M$6)&amp;"")</f>
        <v/>
      </c>
      <c r="N1666" s="37" t="str">
        <f aca="false">IF($M1666="","",TRIM(INDEX($A1666:$J1666,$N$6)&amp;""))</f>
        <v/>
      </c>
      <c r="O1666" s="37" t="str">
        <f aca="false">IF($M1666="","",TRIM(INDEX($A1666:$J1666,$O$6)&amp;""))</f>
        <v/>
      </c>
      <c r="P1666" s="37" t="str">
        <f aca="false">IF($M1666="","",IFERROR(IF(INDEX(Settings!$B$41:$B$50,MATCH(O1666,Settings!$A$41:$A$50,0))&amp;""="","UNMAPPED",INDEX(Settings!$B$41:$B$50,MATCH(O1666,Settings!$A$41:$A$50,0))&amp;""),"UNMAPPED"))</f>
        <v/>
      </c>
      <c r="Q1666" s="38" t="n">
        <f aca="false">IF($M1666="",0,N(INDEX($A1666:$J1666,$Q$6)))</f>
        <v>0</v>
      </c>
      <c r="R1666" s="39" t="str">
        <f aca="false">IF($M1666="","",INDEX($A1666:$J1666,$R$6))</f>
        <v/>
      </c>
      <c r="S1666" s="37" t="str">
        <f aca="false">IF($M1666="","",IFERROR(INDEX(Settings!$B$27:$B$36,MATCH(L1666,Settings!$A$27:$A$36,0))&amp;"","UNMAPPED"))</f>
        <v/>
      </c>
      <c r="T1666" s="37" t="str">
        <f aca="false">IF($M1666="","",IF(NOT(ISNUMBER(R1666)),"NO DATE",IF(S1666="Won",IF(R1666&gt;Settings!$B$5,"Backlog","Delivered"),IF(S1666="Open",IF(R1666&gt;Settings!$B$5,"Pipeline","Overdue"),IF(S1666="Lost","Lost","UNMAPPED")))))</f>
        <v/>
      </c>
      <c r="U1666" s="40" t="n">
        <f aca="false">IF(T1666="Backlog",1,IF(OR(T1666="Pipeline",T1666="Overdue"),N(INDEX(Settings!$C$27:$C$36,MATCH(L1666,Settings!$A$27:$A$36,0))),0))</f>
        <v>0</v>
      </c>
      <c r="V1666" s="38" t="n">
        <f aca="false">Q1666*U1666</f>
        <v>0</v>
      </c>
      <c r="W1666" s="41" t="str">
        <f aca="false">IF($M1666="","",IF(T1666="Overdue",IF(Settings!$B$8="Yes",Settings!$B$7,""),IF(ISNUMBER(R1666),DATE(YEAR(R1666),MONTH(R1666),1),"")))</f>
        <v/>
      </c>
      <c r="X1666" s="38" t="n">
        <f aca="false">IF(AND(OR(T1666="Backlog",T1666="Pipeline",T1666="Overdue"),ISNUMBER(W1666)),IF(W1666&lt;=Settings!$B$6,V1666,0),0)</f>
        <v>0</v>
      </c>
      <c r="Y1666" s="38" t="n">
        <f aca="false">IF(AND(OR(T1666="Backlog",T1666="Pipeline",T1666="Overdue"),ISNUMBER(W1666)),IF(W1666&lt;=Settings!$B$6,Q1666,0),0)</f>
        <v>0</v>
      </c>
      <c r="Z1666" s="38" t="n">
        <f aca="false">IF(Y1666=0,0,IF(T1666="Backlog",Q1666,Q1666*Dashboard!$C$10))</f>
        <v>0</v>
      </c>
      <c r="AA1666" s="37" t="n">
        <f aca="false">IF($N1666="",0,IF(COUNTIF(Dashboard!$C$13:$C$22,$N1666)&gt;0,1,0))</f>
        <v>0</v>
      </c>
      <c r="AB1666" s="37" t="str">
        <f aca="false">IF($N1666="","",IF(COUNTIF($N$8:$N1666,$N1666)=1,MAX($AB$7:$AB1665)+1,""))</f>
        <v/>
      </c>
    </row>
    <row r="1667" customFormat="false" ht="15" hidden="false" customHeight="false" outlineLevel="0" collapsed="false">
      <c r="L1667" s="37" t="str">
        <f aca="false">IF(INDEX($A1667:$J1667,$L$6)&lt;&gt;"",TRIM(LEFT(INDEX($A1667:$J1667,$L$6),FIND("(",INDEX($A1667:$J1667,$L$6)&amp;"(")-1)),L1666)</f>
        <v>Building Value Proposition</v>
      </c>
      <c r="M1667" s="37" t="str">
        <f aca="false">IF(INDEX($A1667:$J1667,$M$6)="","",INDEX($A1667:$J1667,$M$6)&amp;"")</f>
        <v/>
      </c>
      <c r="N1667" s="37" t="str">
        <f aca="false">IF($M1667="","",TRIM(INDEX($A1667:$J1667,$N$6)&amp;""))</f>
        <v/>
      </c>
      <c r="O1667" s="37" t="str">
        <f aca="false">IF($M1667="","",TRIM(INDEX($A1667:$J1667,$O$6)&amp;""))</f>
        <v/>
      </c>
      <c r="P1667" s="37" t="str">
        <f aca="false">IF($M1667="","",IFERROR(IF(INDEX(Settings!$B$41:$B$50,MATCH(O1667,Settings!$A$41:$A$50,0))&amp;""="","UNMAPPED",INDEX(Settings!$B$41:$B$50,MATCH(O1667,Settings!$A$41:$A$50,0))&amp;""),"UNMAPPED"))</f>
        <v/>
      </c>
      <c r="Q1667" s="38" t="n">
        <f aca="false">IF($M1667="",0,N(INDEX($A1667:$J1667,$Q$6)))</f>
        <v>0</v>
      </c>
      <c r="R1667" s="39" t="str">
        <f aca="false">IF($M1667="","",INDEX($A1667:$J1667,$R$6))</f>
        <v/>
      </c>
      <c r="S1667" s="37" t="str">
        <f aca="false">IF($M1667="","",IFERROR(INDEX(Settings!$B$27:$B$36,MATCH(L1667,Settings!$A$27:$A$36,0))&amp;"","UNMAPPED"))</f>
        <v/>
      </c>
      <c r="T1667" s="37" t="str">
        <f aca="false">IF($M1667="","",IF(NOT(ISNUMBER(R1667)),"NO DATE",IF(S1667="Won",IF(R1667&gt;Settings!$B$5,"Backlog","Delivered"),IF(S1667="Open",IF(R1667&gt;Settings!$B$5,"Pipeline","Overdue"),IF(S1667="Lost","Lost","UNMAPPED")))))</f>
        <v/>
      </c>
      <c r="U1667" s="40" t="n">
        <f aca="false">IF(T1667="Backlog",1,IF(OR(T1667="Pipeline",T1667="Overdue"),N(INDEX(Settings!$C$27:$C$36,MATCH(L1667,Settings!$A$27:$A$36,0))),0))</f>
        <v>0</v>
      </c>
      <c r="V1667" s="38" t="n">
        <f aca="false">Q1667*U1667</f>
        <v>0</v>
      </c>
      <c r="W1667" s="41" t="str">
        <f aca="false">IF($M1667="","",IF(T1667="Overdue",IF(Settings!$B$8="Yes",Settings!$B$7,""),IF(ISNUMBER(R1667),DATE(YEAR(R1667),MONTH(R1667),1),"")))</f>
        <v/>
      </c>
      <c r="X1667" s="38" t="n">
        <f aca="false">IF(AND(OR(T1667="Backlog",T1667="Pipeline",T1667="Overdue"),ISNUMBER(W1667)),IF(W1667&lt;=Settings!$B$6,V1667,0),0)</f>
        <v>0</v>
      </c>
      <c r="Y1667" s="38" t="n">
        <f aca="false">IF(AND(OR(T1667="Backlog",T1667="Pipeline",T1667="Overdue"),ISNUMBER(W1667)),IF(W1667&lt;=Settings!$B$6,Q1667,0),0)</f>
        <v>0</v>
      </c>
      <c r="Z1667" s="38" t="n">
        <f aca="false">IF(Y1667=0,0,IF(T1667="Backlog",Q1667,Q1667*Dashboard!$C$10))</f>
        <v>0</v>
      </c>
      <c r="AA1667" s="37" t="n">
        <f aca="false">IF($N1667="",0,IF(COUNTIF(Dashboard!$C$13:$C$22,$N1667)&gt;0,1,0))</f>
        <v>0</v>
      </c>
      <c r="AB1667" s="37" t="str">
        <f aca="false">IF($N1667="","",IF(COUNTIF($N$8:$N1667,$N1667)=1,MAX($AB$7:$AB1666)+1,""))</f>
        <v/>
      </c>
    </row>
    <row r="1668" customFormat="false" ht="15" hidden="false" customHeight="false" outlineLevel="0" collapsed="false">
      <c r="L1668" s="37" t="str">
        <f aca="false">IF(INDEX($A1668:$J1668,$L$6)&lt;&gt;"",TRIM(LEFT(INDEX($A1668:$J1668,$L$6),FIND("(",INDEX($A1668:$J1668,$L$6)&amp;"(")-1)),L1667)</f>
        <v>Building Value Proposition</v>
      </c>
      <c r="M1668" s="37" t="str">
        <f aca="false">IF(INDEX($A1668:$J1668,$M$6)="","",INDEX($A1668:$J1668,$M$6)&amp;"")</f>
        <v/>
      </c>
      <c r="N1668" s="37" t="str">
        <f aca="false">IF($M1668="","",TRIM(INDEX($A1668:$J1668,$N$6)&amp;""))</f>
        <v/>
      </c>
      <c r="O1668" s="37" t="str">
        <f aca="false">IF($M1668="","",TRIM(INDEX($A1668:$J1668,$O$6)&amp;""))</f>
        <v/>
      </c>
      <c r="P1668" s="37" t="str">
        <f aca="false">IF($M1668="","",IFERROR(IF(INDEX(Settings!$B$41:$B$50,MATCH(O1668,Settings!$A$41:$A$50,0))&amp;""="","UNMAPPED",INDEX(Settings!$B$41:$B$50,MATCH(O1668,Settings!$A$41:$A$50,0))&amp;""),"UNMAPPED"))</f>
        <v/>
      </c>
      <c r="Q1668" s="38" t="n">
        <f aca="false">IF($M1668="",0,N(INDEX($A1668:$J1668,$Q$6)))</f>
        <v>0</v>
      </c>
      <c r="R1668" s="39" t="str">
        <f aca="false">IF($M1668="","",INDEX($A1668:$J1668,$R$6))</f>
        <v/>
      </c>
      <c r="S1668" s="37" t="str">
        <f aca="false">IF($M1668="","",IFERROR(INDEX(Settings!$B$27:$B$36,MATCH(L1668,Settings!$A$27:$A$36,0))&amp;"","UNMAPPED"))</f>
        <v/>
      </c>
      <c r="T1668" s="37" t="str">
        <f aca="false">IF($M1668="","",IF(NOT(ISNUMBER(R1668)),"NO DATE",IF(S1668="Won",IF(R1668&gt;Settings!$B$5,"Backlog","Delivered"),IF(S1668="Open",IF(R1668&gt;Settings!$B$5,"Pipeline","Overdue"),IF(S1668="Lost","Lost","UNMAPPED")))))</f>
        <v/>
      </c>
      <c r="U1668" s="40" t="n">
        <f aca="false">IF(T1668="Backlog",1,IF(OR(T1668="Pipeline",T1668="Overdue"),N(INDEX(Settings!$C$27:$C$36,MATCH(L1668,Settings!$A$27:$A$36,0))),0))</f>
        <v>0</v>
      </c>
      <c r="V1668" s="38" t="n">
        <f aca="false">Q1668*U1668</f>
        <v>0</v>
      </c>
      <c r="W1668" s="41" t="str">
        <f aca="false">IF($M1668="","",IF(T1668="Overdue",IF(Settings!$B$8="Yes",Settings!$B$7,""),IF(ISNUMBER(R1668),DATE(YEAR(R1668),MONTH(R1668),1),"")))</f>
        <v/>
      </c>
      <c r="X1668" s="38" t="n">
        <f aca="false">IF(AND(OR(T1668="Backlog",T1668="Pipeline",T1668="Overdue"),ISNUMBER(W1668)),IF(W1668&lt;=Settings!$B$6,V1668,0),0)</f>
        <v>0</v>
      </c>
      <c r="Y1668" s="38" t="n">
        <f aca="false">IF(AND(OR(T1668="Backlog",T1668="Pipeline",T1668="Overdue"),ISNUMBER(W1668)),IF(W1668&lt;=Settings!$B$6,Q1668,0),0)</f>
        <v>0</v>
      </c>
      <c r="Z1668" s="38" t="n">
        <f aca="false">IF(Y1668=0,0,IF(T1668="Backlog",Q1668,Q1668*Dashboard!$C$10))</f>
        <v>0</v>
      </c>
      <c r="AA1668" s="37" t="n">
        <f aca="false">IF($N1668="",0,IF(COUNTIF(Dashboard!$C$13:$C$22,$N1668)&gt;0,1,0))</f>
        <v>0</v>
      </c>
      <c r="AB1668" s="37" t="str">
        <f aca="false">IF($N1668="","",IF(COUNTIF($N$8:$N1668,$N1668)=1,MAX($AB$7:$AB1667)+1,""))</f>
        <v/>
      </c>
    </row>
    <row r="1669" customFormat="false" ht="15" hidden="false" customHeight="false" outlineLevel="0" collapsed="false">
      <c r="L1669" s="37" t="str">
        <f aca="false">IF(INDEX($A1669:$J1669,$L$6)&lt;&gt;"",TRIM(LEFT(INDEX($A1669:$J1669,$L$6),FIND("(",INDEX($A1669:$J1669,$L$6)&amp;"(")-1)),L1668)</f>
        <v>Building Value Proposition</v>
      </c>
      <c r="M1669" s="37" t="str">
        <f aca="false">IF(INDEX($A1669:$J1669,$M$6)="","",INDEX($A1669:$J1669,$M$6)&amp;"")</f>
        <v/>
      </c>
      <c r="N1669" s="37" t="str">
        <f aca="false">IF($M1669="","",TRIM(INDEX($A1669:$J1669,$N$6)&amp;""))</f>
        <v/>
      </c>
      <c r="O1669" s="37" t="str">
        <f aca="false">IF($M1669="","",TRIM(INDEX($A1669:$J1669,$O$6)&amp;""))</f>
        <v/>
      </c>
      <c r="P1669" s="37" t="str">
        <f aca="false">IF($M1669="","",IFERROR(IF(INDEX(Settings!$B$41:$B$50,MATCH(O1669,Settings!$A$41:$A$50,0))&amp;""="","UNMAPPED",INDEX(Settings!$B$41:$B$50,MATCH(O1669,Settings!$A$41:$A$50,0))&amp;""),"UNMAPPED"))</f>
        <v/>
      </c>
      <c r="Q1669" s="38" t="n">
        <f aca="false">IF($M1669="",0,N(INDEX($A1669:$J1669,$Q$6)))</f>
        <v>0</v>
      </c>
      <c r="R1669" s="39" t="str">
        <f aca="false">IF($M1669="","",INDEX($A1669:$J1669,$R$6))</f>
        <v/>
      </c>
      <c r="S1669" s="37" t="str">
        <f aca="false">IF($M1669="","",IFERROR(INDEX(Settings!$B$27:$B$36,MATCH(L1669,Settings!$A$27:$A$36,0))&amp;"","UNMAPPED"))</f>
        <v/>
      </c>
      <c r="T1669" s="37" t="str">
        <f aca="false">IF($M1669="","",IF(NOT(ISNUMBER(R1669)),"NO DATE",IF(S1669="Won",IF(R1669&gt;Settings!$B$5,"Backlog","Delivered"),IF(S1669="Open",IF(R1669&gt;Settings!$B$5,"Pipeline","Overdue"),IF(S1669="Lost","Lost","UNMAPPED")))))</f>
        <v/>
      </c>
      <c r="U1669" s="40" t="n">
        <f aca="false">IF(T1669="Backlog",1,IF(OR(T1669="Pipeline",T1669="Overdue"),N(INDEX(Settings!$C$27:$C$36,MATCH(L1669,Settings!$A$27:$A$36,0))),0))</f>
        <v>0</v>
      </c>
      <c r="V1669" s="38" t="n">
        <f aca="false">Q1669*U1669</f>
        <v>0</v>
      </c>
      <c r="W1669" s="41" t="str">
        <f aca="false">IF($M1669="","",IF(T1669="Overdue",IF(Settings!$B$8="Yes",Settings!$B$7,""),IF(ISNUMBER(R1669),DATE(YEAR(R1669),MONTH(R1669),1),"")))</f>
        <v/>
      </c>
      <c r="X1669" s="38" t="n">
        <f aca="false">IF(AND(OR(T1669="Backlog",T1669="Pipeline",T1669="Overdue"),ISNUMBER(W1669)),IF(W1669&lt;=Settings!$B$6,V1669,0),0)</f>
        <v>0</v>
      </c>
      <c r="Y1669" s="38" t="n">
        <f aca="false">IF(AND(OR(T1669="Backlog",T1669="Pipeline",T1669="Overdue"),ISNUMBER(W1669)),IF(W1669&lt;=Settings!$B$6,Q1669,0),0)</f>
        <v>0</v>
      </c>
      <c r="Z1669" s="38" t="n">
        <f aca="false">IF(Y1669=0,0,IF(T1669="Backlog",Q1669,Q1669*Dashboard!$C$10))</f>
        <v>0</v>
      </c>
      <c r="AA1669" s="37" t="n">
        <f aca="false">IF($N1669="",0,IF(COUNTIF(Dashboard!$C$13:$C$22,$N1669)&gt;0,1,0))</f>
        <v>0</v>
      </c>
      <c r="AB1669" s="37" t="str">
        <f aca="false">IF($N1669="","",IF(COUNTIF($N$8:$N1669,$N1669)=1,MAX($AB$7:$AB1668)+1,""))</f>
        <v/>
      </c>
    </row>
    <row r="1670" customFormat="false" ht="15" hidden="false" customHeight="false" outlineLevel="0" collapsed="false">
      <c r="L1670" s="37" t="str">
        <f aca="false">IF(INDEX($A1670:$J1670,$L$6)&lt;&gt;"",TRIM(LEFT(INDEX($A1670:$J1670,$L$6),FIND("(",INDEX($A1670:$J1670,$L$6)&amp;"(")-1)),L1669)</f>
        <v>Building Value Proposition</v>
      </c>
      <c r="M1670" s="37" t="str">
        <f aca="false">IF(INDEX($A1670:$J1670,$M$6)="","",INDEX($A1670:$J1670,$M$6)&amp;"")</f>
        <v/>
      </c>
      <c r="N1670" s="37" t="str">
        <f aca="false">IF($M1670="","",TRIM(INDEX($A1670:$J1670,$N$6)&amp;""))</f>
        <v/>
      </c>
      <c r="O1670" s="37" t="str">
        <f aca="false">IF($M1670="","",TRIM(INDEX($A1670:$J1670,$O$6)&amp;""))</f>
        <v/>
      </c>
      <c r="P1670" s="37" t="str">
        <f aca="false">IF($M1670="","",IFERROR(IF(INDEX(Settings!$B$41:$B$50,MATCH(O1670,Settings!$A$41:$A$50,0))&amp;""="","UNMAPPED",INDEX(Settings!$B$41:$B$50,MATCH(O1670,Settings!$A$41:$A$50,0))&amp;""),"UNMAPPED"))</f>
        <v/>
      </c>
      <c r="Q1670" s="38" t="n">
        <f aca="false">IF($M1670="",0,N(INDEX($A1670:$J1670,$Q$6)))</f>
        <v>0</v>
      </c>
      <c r="R1670" s="39" t="str">
        <f aca="false">IF($M1670="","",INDEX($A1670:$J1670,$R$6))</f>
        <v/>
      </c>
      <c r="S1670" s="37" t="str">
        <f aca="false">IF($M1670="","",IFERROR(INDEX(Settings!$B$27:$B$36,MATCH(L1670,Settings!$A$27:$A$36,0))&amp;"","UNMAPPED"))</f>
        <v/>
      </c>
      <c r="T1670" s="37" t="str">
        <f aca="false">IF($M1670="","",IF(NOT(ISNUMBER(R1670)),"NO DATE",IF(S1670="Won",IF(R1670&gt;Settings!$B$5,"Backlog","Delivered"),IF(S1670="Open",IF(R1670&gt;Settings!$B$5,"Pipeline","Overdue"),IF(S1670="Lost","Lost","UNMAPPED")))))</f>
        <v/>
      </c>
      <c r="U1670" s="40" t="n">
        <f aca="false">IF(T1670="Backlog",1,IF(OR(T1670="Pipeline",T1670="Overdue"),N(INDEX(Settings!$C$27:$C$36,MATCH(L1670,Settings!$A$27:$A$36,0))),0))</f>
        <v>0</v>
      </c>
      <c r="V1670" s="38" t="n">
        <f aca="false">Q1670*U1670</f>
        <v>0</v>
      </c>
      <c r="W1670" s="41" t="str">
        <f aca="false">IF($M1670="","",IF(T1670="Overdue",IF(Settings!$B$8="Yes",Settings!$B$7,""),IF(ISNUMBER(R1670),DATE(YEAR(R1670),MONTH(R1670),1),"")))</f>
        <v/>
      </c>
      <c r="X1670" s="38" t="n">
        <f aca="false">IF(AND(OR(T1670="Backlog",T1670="Pipeline",T1670="Overdue"),ISNUMBER(W1670)),IF(W1670&lt;=Settings!$B$6,V1670,0),0)</f>
        <v>0</v>
      </c>
      <c r="Y1670" s="38" t="n">
        <f aca="false">IF(AND(OR(T1670="Backlog",T1670="Pipeline",T1670="Overdue"),ISNUMBER(W1670)),IF(W1670&lt;=Settings!$B$6,Q1670,0),0)</f>
        <v>0</v>
      </c>
      <c r="Z1670" s="38" t="n">
        <f aca="false">IF(Y1670=0,0,IF(T1670="Backlog",Q1670,Q1670*Dashboard!$C$10))</f>
        <v>0</v>
      </c>
      <c r="AA1670" s="37" t="n">
        <f aca="false">IF($N1670="",0,IF(COUNTIF(Dashboard!$C$13:$C$22,$N1670)&gt;0,1,0))</f>
        <v>0</v>
      </c>
      <c r="AB1670" s="37" t="str">
        <f aca="false">IF($N1670="","",IF(COUNTIF($N$8:$N1670,$N1670)=1,MAX($AB$7:$AB1669)+1,""))</f>
        <v/>
      </c>
    </row>
    <row r="1671" customFormat="false" ht="15" hidden="false" customHeight="false" outlineLevel="0" collapsed="false">
      <c r="L1671" s="37" t="str">
        <f aca="false">IF(INDEX($A1671:$J1671,$L$6)&lt;&gt;"",TRIM(LEFT(INDEX($A1671:$J1671,$L$6),FIND("(",INDEX($A1671:$J1671,$L$6)&amp;"(")-1)),L1670)</f>
        <v>Building Value Proposition</v>
      </c>
      <c r="M1671" s="37" t="str">
        <f aca="false">IF(INDEX($A1671:$J1671,$M$6)="","",INDEX($A1671:$J1671,$M$6)&amp;"")</f>
        <v/>
      </c>
      <c r="N1671" s="37" t="str">
        <f aca="false">IF($M1671="","",TRIM(INDEX($A1671:$J1671,$N$6)&amp;""))</f>
        <v/>
      </c>
      <c r="O1671" s="37" t="str">
        <f aca="false">IF($M1671="","",TRIM(INDEX($A1671:$J1671,$O$6)&amp;""))</f>
        <v/>
      </c>
      <c r="P1671" s="37" t="str">
        <f aca="false">IF($M1671="","",IFERROR(IF(INDEX(Settings!$B$41:$B$50,MATCH(O1671,Settings!$A$41:$A$50,0))&amp;""="","UNMAPPED",INDEX(Settings!$B$41:$B$50,MATCH(O1671,Settings!$A$41:$A$50,0))&amp;""),"UNMAPPED"))</f>
        <v/>
      </c>
      <c r="Q1671" s="38" t="n">
        <f aca="false">IF($M1671="",0,N(INDEX($A1671:$J1671,$Q$6)))</f>
        <v>0</v>
      </c>
      <c r="R1671" s="39" t="str">
        <f aca="false">IF($M1671="","",INDEX($A1671:$J1671,$R$6))</f>
        <v/>
      </c>
      <c r="S1671" s="37" t="str">
        <f aca="false">IF($M1671="","",IFERROR(INDEX(Settings!$B$27:$B$36,MATCH(L1671,Settings!$A$27:$A$36,0))&amp;"","UNMAPPED"))</f>
        <v/>
      </c>
      <c r="T1671" s="37" t="str">
        <f aca="false">IF($M1671="","",IF(NOT(ISNUMBER(R1671)),"NO DATE",IF(S1671="Won",IF(R1671&gt;Settings!$B$5,"Backlog","Delivered"),IF(S1671="Open",IF(R1671&gt;Settings!$B$5,"Pipeline","Overdue"),IF(S1671="Lost","Lost","UNMAPPED")))))</f>
        <v/>
      </c>
      <c r="U1671" s="40" t="n">
        <f aca="false">IF(T1671="Backlog",1,IF(OR(T1671="Pipeline",T1671="Overdue"),N(INDEX(Settings!$C$27:$C$36,MATCH(L1671,Settings!$A$27:$A$36,0))),0))</f>
        <v>0</v>
      </c>
      <c r="V1671" s="38" t="n">
        <f aca="false">Q1671*U1671</f>
        <v>0</v>
      </c>
      <c r="W1671" s="41" t="str">
        <f aca="false">IF($M1671="","",IF(T1671="Overdue",IF(Settings!$B$8="Yes",Settings!$B$7,""),IF(ISNUMBER(R1671),DATE(YEAR(R1671),MONTH(R1671),1),"")))</f>
        <v/>
      </c>
      <c r="X1671" s="38" t="n">
        <f aca="false">IF(AND(OR(T1671="Backlog",T1671="Pipeline",T1671="Overdue"),ISNUMBER(W1671)),IF(W1671&lt;=Settings!$B$6,V1671,0),0)</f>
        <v>0</v>
      </c>
      <c r="Y1671" s="38" t="n">
        <f aca="false">IF(AND(OR(T1671="Backlog",T1671="Pipeline",T1671="Overdue"),ISNUMBER(W1671)),IF(W1671&lt;=Settings!$B$6,Q1671,0),0)</f>
        <v>0</v>
      </c>
      <c r="Z1671" s="38" t="n">
        <f aca="false">IF(Y1671=0,0,IF(T1671="Backlog",Q1671,Q1671*Dashboard!$C$10))</f>
        <v>0</v>
      </c>
      <c r="AA1671" s="37" t="n">
        <f aca="false">IF($N1671="",0,IF(COUNTIF(Dashboard!$C$13:$C$22,$N1671)&gt;0,1,0))</f>
        <v>0</v>
      </c>
      <c r="AB1671" s="37" t="str">
        <f aca="false">IF($N1671="","",IF(COUNTIF($N$8:$N1671,$N1671)=1,MAX($AB$7:$AB1670)+1,""))</f>
        <v/>
      </c>
    </row>
    <row r="1672" customFormat="false" ht="15" hidden="false" customHeight="false" outlineLevel="0" collapsed="false">
      <c r="L1672" s="37" t="str">
        <f aca="false">IF(INDEX($A1672:$J1672,$L$6)&lt;&gt;"",TRIM(LEFT(INDEX($A1672:$J1672,$L$6),FIND("(",INDEX($A1672:$J1672,$L$6)&amp;"(")-1)),L1671)</f>
        <v>Building Value Proposition</v>
      </c>
      <c r="M1672" s="37" t="str">
        <f aca="false">IF(INDEX($A1672:$J1672,$M$6)="","",INDEX($A1672:$J1672,$M$6)&amp;"")</f>
        <v/>
      </c>
      <c r="N1672" s="37" t="str">
        <f aca="false">IF($M1672="","",TRIM(INDEX($A1672:$J1672,$N$6)&amp;""))</f>
        <v/>
      </c>
      <c r="O1672" s="37" t="str">
        <f aca="false">IF($M1672="","",TRIM(INDEX($A1672:$J1672,$O$6)&amp;""))</f>
        <v/>
      </c>
      <c r="P1672" s="37" t="str">
        <f aca="false">IF($M1672="","",IFERROR(IF(INDEX(Settings!$B$41:$B$50,MATCH(O1672,Settings!$A$41:$A$50,0))&amp;""="","UNMAPPED",INDEX(Settings!$B$41:$B$50,MATCH(O1672,Settings!$A$41:$A$50,0))&amp;""),"UNMAPPED"))</f>
        <v/>
      </c>
      <c r="Q1672" s="38" t="n">
        <f aca="false">IF($M1672="",0,N(INDEX($A1672:$J1672,$Q$6)))</f>
        <v>0</v>
      </c>
      <c r="R1672" s="39" t="str">
        <f aca="false">IF($M1672="","",INDEX($A1672:$J1672,$R$6))</f>
        <v/>
      </c>
      <c r="S1672" s="37" t="str">
        <f aca="false">IF($M1672="","",IFERROR(INDEX(Settings!$B$27:$B$36,MATCH(L1672,Settings!$A$27:$A$36,0))&amp;"","UNMAPPED"))</f>
        <v/>
      </c>
      <c r="T1672" s="37" t="str">
        <f aca="false">IF($M1672="","",IF(NOT(ISNUMBER(R1672)),"NO DATE",IF(S1672="Won",IF(R1672&gt;Settings!$B$5,"Backlog","Delivered"),IF(S1672="Open",IF(R1672&gt;Settings!$B$5,"Pipeline","Overdue"),IF(S1672="Lost","Lost","UNMAPPED")))))</f>
        <v/>
      </c>
      <c r="U1672" s="40" t="n">
        <f aca="false">IF(T1672="Backlog",1,IF(OR(T1672="Pipeline",T1672="Overdue"),N(INDEX(Settings!$C$27:$C$36,MATCH(L1672,Settings!$A$27:$A$36,0))),0))</f>
        <v>0</v>
      </c>
      <c r="V1672" s="38" t="n">
        <f aca="false">Q1672*U1672</f>
        <v>0</v>
      </c>
      <c r="W1672" s="41" t="str">
        <f aca="false">IF($M1672="","",IF(T1672="Overdue",IF(Settings!$B$8="Yes",Settings!$B$7,""),IF(ISNUMBER(R1672),DATE(YEAR(R1672),MONTH(R1672),1),"")))</f>
        <v/>
      </c>
      <c r="X1672" s="38" t="n">
        <f aca="false">IF(AND(OR(T1672="Backlog",T1672="Pipeline",T1672="Overdue"),ISNUMBER(W1672)),IF(W1672&lt;=Settings!$B$6,V1672,0),0)</f>
        <v>0</v>
      </c>
      <c r="Y1672" s="38" t="n">
        <f aca="false">IF(AND(OR(T1672="Backlog",T1672="Pipeline",T1672="Overdue"),ISNUMBER(W1672)),IF(W1672&lt;=Settings!$B$6,Q1672,0),0)</f>
        <v>0</v>
      </c>
      <c r="Z1672" s="38" t="n">
        <f aca="false">IF(Y1672=0,0,IF(T1672="Backlog",Q1672,Q1672*Dashboard!$C$10))</f>
        <v>0</v>
      </c>
      <c r="AA1672" s="37" t="n">
        <f aca="false">IF($N1672="",0,IF(COUNTIF(Dashboard!$C$13:$C$22,$N1672)&gt;0,1,0))</f>
        <v>0</v>
      </c>
      <c r="AB1672" s="37" t="str">
        <f aca="false">IF($N1672="","",IF(COUNTIF($N$8:$N1672,$N1672)=1,MAX($AB$7:$AB1671)+1,""))</f>
        <v/>
      </c>
    </row>
    <row r="1673" customFormat="false" ht="15" hidden="false" customHeight="false" outlineLevel="0" collapsed="false">
      <c r="L1673" s="37" t="str">
        <f aca="false">IF(INDEX($A1673:$J1673,$L$6)&lt;&gt;"",TRIM(LEFT(INDEX($A1673:$J1673,$L$6),FIND("(",INDEX($A1673:$J1673,$L$6)&amp;"(")-1)),L1672)</f>
        <v>Building Value Proposition</v>
      </c>
      <c r="M1673" s="37" t="str">
        <f aca="false">IF(INDEX($A1673:$J1673,$M$6)="","",INDEX($A1673:$J1673,$M$6)&amp;"")</f>
        <v/>
      </c>
      <c r="N1673" s="37" t="str">
        <f aca="false">IF($M1673="","",TRIM(INDEX($A1673:$J1673,$N$6)&amp;""))</f>
        <v/>
      </c>
      <c r="O1673" s="37" t="str">
        <f aca="false">IF($M1673="","",TRIM(INDEX($A1673:$J1673,$O$6)&amp;""))</f>
        <v/>
      </c>
      <c r="P1673" s="37" t="str">
        <f aca="false">IF($M1673="","",IFERROR(IF(INDEX(Settings!$B$41:$B$50,MATCH(O1673,Settings!$A$41:$A$50,0))&amp;""="","UNMAPPED",INDEX(Settings!$B$41:$B$50,MATCH(O1673,Settings!$A$41:$A$50,0))&amp;""),"UNMAPPED"))</f>
        <v/>
      </c>
      <c r="Q1673" s="38" t="n">
        <f aca="false">IF($M1673="",0,N(INDEX($A1673:$J1673,$Q$6)))</f>
        <v>0</v>
      </c>
      <c r="R1673" s="39" t="str">
        <f aca="false">IF($M1673="","",INDEX($A1673:$J1673,$R$6))</f>
        <v/>
      </c>
      <c r="S1673" s="37" t="str">
        <f aca="false">IF($M1673="","",IFERROR(INDEX(Settings!$B$27:$B$36,MATCH(L1673,Settings!$A$27:$A$36,0))&amp;"","UNMAPPED"))</f>
        <v/>
      </c>
      <c r="T1673" s="37" t="str">
        <f aca="false">IF($M1673="","",IF(NOT(ISNUMBER(R1673)),"NO DATE",IF(S1673="Won",IF(R1673&gt;Settings!$B$5,"Backlog","Delivered"),IF(S1673="Open",IF(R1673&gt;Settings!$B$5,"Pipeline","Overdue"),IF(S1673="Lost","Lost","UNMAPPED")))))</f>
        <v/>
      </c>
      <c r="U1673" s="40" t="n">
        <f aca="false">IF(T1673="Backlog",1,IF(OR(T1673="Pipeline",T1673="Overdue"),N(INDEX(Settings!$C$27:$C$36,MATCH(L1673,Settings!$A$27:$A$36,0))),0))</f>
        <v>0</v>
      </c>
      <c r="V1673" s="38" t="n">
        <f aca="false">Q1673*U1673</f>
        <v>0</v>
      </c>
      <c r="W1673" s="41" t="str">
        <f aca="false">IF($M1673="","",IF(T1673="Overdue",IF(Settings!$B$8="Yes",Settings!$B$7,""),IF(ISNUMBER(R1673),DATE(YEAR(R1673),MONTH(R1673),1),"")))</f>
        <v/>
      </c>
      <c r="X1673" s="38" t="n">
        <f aca="false">IF(AND(OR(T1673="Backlog",T1673="Pipeline",T1673="Overdue"),ISNUMBER(W1673)),IF(W1673&lt;=Settings!$B$6,V1673,0),0)</f>
        <v>0</v>
      </c>
      <c r="Y1673" s="38" t="n">
        <f aca="false">IF(AND(OR(T1673="Backlog",T1673="Pipeline",T1673="Overdue"),ISNUMBER(W1673)),IF(W1673&lt;=Settings!$B$6,Q1673,0),0)</f>
        <v>0</v>
      </c>
      <c r="Z1673" s="38" t="n">
        <f aca="false">IF(Y1673=0,0,IF(T1673="Backlog",Q1673,Q1673*Dashboard!$C$10))</f>
        <v>0</v>
      </c>
      <c r="AA1673" s="37" t="n">
        <f aca="false">IF($N1673="",0,IF(COUNTIF(Dashboard!$C$13:$C$22,$N1673)&gt;0,1,0))</f>
        <v>0</v>
      </c>
      <c r="AB1673" s="37" t="str">
        <f aca="false">IF($N1673="","",IF(COUNTIF($N$8:$N1673,$N1673)=1,MAX($AB$7:$AB1672)+1,""))</f>
        <v/>
      </c>
    </row>
    <row r="1674" customFormat="false" ht="15" hidden="false" customHeight="false" outlineLevel="0" collapsed="false">
      <c r="L1674" s="37" t="str">
        <f aca="false">IF(INDEX($A1674:$J1674,$L$6)&lt;&gt;"",TRIM(LEFT(INDEX($A1674:$J1674,$L$6),FIND("(",INDEX($A1674:$J1674,$L$6)&amp;"(")-1)),L1673)</f>
        <v>Building Value Proposition</v>
      </c>
      <c r="M1674" s="37" t="str">
        <f aca="false">IF(INDEX($A1674:$J1674,$M$6)="","",INDEX($A1674:$J1674,$M$6)&amp;"")</f>
        <v/>
      </c>
      <c r="N1674" s="37" t="str">
        <f aca="false">IF($M1674="","",TRIM(INDEX($A1674:$J1674,$N$6)&amp;""))</f>
        <v/>
      </c>
      <c r="O1674" s="37" t="str">
        <f aca="false">IF($M1674="","",TRIM(INDEX($A1674:$J1674,$O$6)&amp;""))</f>
        <v/>
      </c>
      <c r="P1674" s="37" t="str">
        <f aca="false">IF($M1674="","",IFERROR(IF(INDEX(Settings!$B$41:$B$50,MATCH(O1674,Settings!$A$41:$A$50,0))&amp;""="","UNMAPPED",INDEX(Settings!$B$41:$B$50,MATCH(O1674,Settings!$A$41:$A$50,0))&amp;""),"UNMAPPED"))</f>
        <v/>
      </c>
      <c r="Q1674" s="38" t="n">
        <f aca="false">IF($M1674="",0,N(INDEX($A1674:$J1674,$Q$6)))</f>
        <v>0</v>
      </c>
      <c r="R1674" s="39" t="str">
        <f aca="false">IF($M1674="","",INDEX($A1674:$J1674,$R$6))</f>
        <v/>
      </c>
      <c r="S1674" s="37" t="str">
        <f aca="false">IF($M1674="","",IFERROR(INDEX(Settings!$B$27:$B$36,MATCH(L1674,Settings!$A$27:$A$36,0))&amp;"","UNMAPPED"))</f>
        <v/>
      </c>
      <c r="T1674" s="37" t="str">
        <f aca="false">IF($M1674="","",IF(NOT(ISNUMBER(R1674)),"NO DATE",IF(S1674="Won",IF(R1674&gt;Settings!$B$5,"Backlog","Delivered"),IF(S1674="Open",IF(R1674&gt;Settings!$B$5,"Pipeline","Overdue"),IF(S1674="Lost","Lost","UNMAPPED")))))</f>
        <v/>
      </c>
      <c r="U1674" s="40" t="n">
        <f aca="false">IF(T1674="Backlog",1,IF(OR(T1674="Pipeline",T1674="Overdue"),N(INDEX(Settings!$C$27:$C$36,MATCH(L1674,Settings!$A$27:$A$36,0))),0))</f>
        <v>0</v>
      </c>
      <c r="V1674" s="38" t="n">
        <f aca="false">Q1674*U1674</f>
        <v>0</v>
      </c>
      <c r="W1674" s="41" t="str">
        <f aca="false">IF($M1674="","",IF(T1674="Overdue",IF(Settings!$B$8="Yes",Settings!$B$7,""),IF(ISNUMBER(R1674),DATE(YEAR(R1674),MONTH(R1674),1),"")))</f>
        <v/>
      </c>
      <c r="X1674" s="38" t="n">
        <f aca="false">IF(AND(OR(T1674="Backlog",T1674="Pipeline",T1674="Overdue"),ISNUMBER(W1674)),IF(W1674&lt;=Settings!$B$6,V1674,0),0)</f>
        <v>0</v>
      </c>
      <c r="Y1674" s="38" t="n">
        <f aca="false">IF(AND(OR(T1674="Backlog",T1674="Pipeline",T1674="Overdue"),ISNUMBER(W1674)),IF(W1674&lt;=Settings!$B$6,Q1674,0),0)</f>
        <v>0</v>
      </c>
      <c r="Z1674" s="38" t="n">
        <f aca="false">IF(Y1674=0,0,IF(T1674="Backlog",Q1674,Q1674*Dashboard!$C$10))</f>
        <v>0</v>
      </c>
      <c r="AA1674" s="37" t="n">
        <f aca="false">IF($N1674="",0,IF(COUNTIF(Dashboard!$C$13:$C$22,$N1674)&gt;0,1,0))</f>
        <v>0</v>
      </c>
      <c r="AB1674" s="37" t="str">
        <f aca="false">IF($N1674="","",IF(COUNTIF($N$8:$N1674,$N1674)=1,MAX($AB$7:$AB1673)+1,""))</f>
        <v/>
      </c>
    </row>
    <row r="1675" customFormat="false" ht="15" hidden="false" customHeight="false" outlineLevel="0" collapsed="false">
      <c r="L1675" s="37" t="str">
        <f aca="false">IF(INDEX($A1675:$J1675,$L$6)&lt;&gt;"",TRIM(LEFT(INDEX($A1675:$J1675,$L$6),FIND("(",INDEX($A1675:$J1675,$L$6)&amp;"(")-1)),L1674)</f>
        <v>Building Value Proposition</v>
      </c>
      <c r="M1675" s="37" t="str">
        <f aca="false">IF(INDEX($A1675:$J1675,$M$6)="","",INDEX($A1675:$J1675,$M$6)&amp;"")</f>
        <v/>
      </c>
      <c r="N1675" s="37" t="str">
        <f aca="false">IF($M1675="","",TRIM(INDEX($A1675:$J1675,$N$6)&amp;""))</f>
        <v/>
      </c>
      <c r="O1675" s="37" t="str">
        <f aca="false">IF($M1675="","",TRIM(INDEX($A1675:$J1675,$O$6)&amp;""))</f>
        <v/>
      </c>
      <c r="P1675" s="37" t="str">
        <f aca="false">IF($M1675="","",IFERROR(IF(INDEX(Settings!$B$41:$B$50,MATCH(O1675,Settings!$A$41:$A$50,0))&amp;""="","UNMAPPED",INDEX(Settings!$B$41:$B$50,MATCH(O1675,Settings!$A$41:$A$50,0))&amp;""),"UNMAPPED"))</f>
        <v/>
      </c>
      <c r="Q1675" s="38" t="n">
        <f aca="false">IF($M1675="",0,N(INDEX($A1675:$J1675,$Q$6)))</f>
        <v>0</v>
      </c>
      <c r="R1675" s="39" t="str">
        <f aca="false">IF($M1675="","",INDEX($A1675:$J1675,$R$6))</f>
        <v/>
      </c>
      <c r="S1675" s="37" t="str">
        <f aca="false">IF($M1675="","",IFERROR(INDEX(Settings!$B$27:$B$36,MATCH(L1675,Settings!$A$27:$A$36,0))&amp;"","UNMAPPED"))</f>
        <v/>
      </c>
      <c r="T1675" s="37" t="str">
        <f aca="false">IF($M1675="","",IF(NOT(ISNUMBER(R1675)),"NO DATE",IF(S1675="Won",IF(R1675&gt;Settings!$B$5,"Backlog","Delivered"),IF(S1675="Open",IF(R1675&gt;Settings!$B$5,"Pipeline","Overdue"),IF(S1675="Lost","Lost","UNMAPPED")))))</f>
        <v/>
      </c>
      <c r="U1675" s="40" t="n">
        <f aca="false">IF(T1675="Backlog",1,IF(OR(T1675="Pipeline",T1675="Overdue"),N(INDEX(Settings!$C$27:$C$36,MATCH(L1675,Settings!$A$27:$A$36,0))),0))</f>
        <v>0</v>
      </c>
      <c r="V1675" s="38" t="n">
        <f aca="false">Q1675*U1675</f>
        <v>0</v>
      </c>
      <c r="W1675" s="41" t="str">
        <f aca="false">IF($M1675="","",IF(T1675="Overdue",IF(Settings!$B$8="Yes",Settings!$B$7,""),IF(ISNUMBER(R1675),DATE(YEAR(R1675),MONTH(R1675),1),"")))</f>
        <v/>
      </c>
      <c r="X1675" s="38" t="n">
        <f aca="false">IF(AND(OR(T1675="Backlog",T1675="Pipeline",T1675="Overdue"),ISNUMBER(W1675)),IF(W1675&lt;=Settings!$B$6,V1675,0),0)</f>
        <v>0</v>
      </c>
      <c r="Y1675" s="38" t="n">
        <f aca="false">IF(AND(OR(T1675="Backlog",T1675="Pipeline",T1675="Overdue"),ISNUMBER(W1675)),IF(W1675&lt;=Settings!$B$6,Q1675,0),0)</f>
        <v>0</v>
      </c>
      <c r="Z1675" s="38" t="n">
        <f aca="false">IF(Y1675=0,0,IF(T1675="Backlog",Q1675,Q1675*Dashboard!$C$10))</f>
        <v>0</v>
      </c>
      <c r="AA1675" s="37" t="n">
        <f aca="false">IF($N1675="",0,IF(COUNTIF(Dashboard!$C$13:$C$22,$N1675)&gt;0,1,0))</f>
        <v>0</v>
      </c>
      <c r="AB1675" s="37" t="str">
        <f aca="false">IF($N1675="","",IF(COUNTIF($N$8:$N1675,$N1675)=1,MAX($AB$7:$AB1674)+1,""))</f>
        <v/>
      </c>
    </row>
    <row r="1676" customFormat="false" ht="15" hidden="false" customHeight="false" outlineLevel="0" collapsed="false">
      <c r="L1676" s="37" t="str">
        <f aca="false">IF(INDEX($A1676:$J1676,$L$6)&lt;&gt;"",TRIM(LEFT(INDEX($A1676:$J1676,$L$6),FIND("(",INDEX($A1676:$J1676,$L$6)&amp;"(")-1)),L1675)</f>
        <v>Building Value Proposition</v>
      </c>
      <c r="M1676" s="37" t="str">
        <f aca="false">IF(INDEX($A1676:$J1676,$M$6)="","",INDEX($A1676:$J1676,$M$6)&amp;"")</f>
        <v/>
      </c>
      <c r="N1676" s="37" t="str">
        <f aca="false">IF($M1676="","",TRIM(INDEX($A1676:$J1676,$N$6)&amp;""))</f>
        <v/>
      </c>
      <c r="O1676" s="37" t="str">
        <f aca="false">IF($M1676="","",TRIM(INDEX($A1676:$J1676,$O$6)&amp;""))</f>
        <v/>
      </c>
      <c r="P1676" s="37" t="str">
        <f aca="false">IF($M1676="","",IFERROR(IF(INDEX(Settings!$B$41:$B$50,MATCH(O1676,Settings!$A$41:$A$50,0))&amp;""="","UNMAPPED",INDEX(Settings!$B$41:$B$50,MATCH(O1676,Settings!$A$41:$A$50,0))&amp;""),"UNMAPPED"))</f>
        <v/>
      </c>
      <c r="Q1676" s="38" t="n">
        <f aca="false">IF($M1676="",0,N(INDEX($A1676:$J1676,$Q$6)))</f>
        <v>0</v>
      </c>
      <c r="R1676" s="39" t="str">
        <f aca="false">IF($M1676="","",INDEX($A1676:$J1676,$R$6))</f>
        <v/>
      </c>
      <c r="S1676" s="37" t="str">
        <f aca="false">IF($M1676="","",IFERROR(INDEX(Settings!$B$27:$B$36,MATCH(L1676,Settings!$A$27:$A$36,0))&amp;"","UNMAPPED"))</f>
        <v/>
      </c>
      <c r="T1676" s="37" t="str">
        <f aca="false">IF($M1676="","",IF(NOT(ISNUMBER(R1676)),"NO DATE",IF(S1676="Won",IF(R1676&gt;Settings!$B$5,"Backlog","Delivered"),IF(S1676="Open",IF(R1676&gt;Settings!$B$5,"Pipeline","Overdue"),IF(S1676="Lost","Lost","UNMAPPED")))))</f>
        <v/>
      </c>
      <c r="U1676" s="40" t="n">
        <f aca="false">IF(T1676="Backlog",1,IF(OR(T1676="Pipeline",T1676="Overdue"),N(INDEX(Settings!$C$27:$C$36,MATCH(L1676,Settings!$A$27:$A$36,0))),0))</f>
        <v>0</v>
      </c>
      <c r="V1676" s="38" t="n">
        <f aca="false">Q1676*U1676</f>
        <v>0</v>
      </c>
      <c r="W1676" s="41" t="str">
        <f aca="false">IF($M1676="","",IF(T1676="Overdue",IF(Settings!$B$8="Yes",Settings!$B$7,""),IF(ISNUMBER(R1676),DATE(YEAR(R1676),MONTH(R1676),1),"")))</f>
        <v/>
      </c>
      <c r="X1676" s="38" t="n">
        <f aca="false">IF(AND(OR(T1676="Backlog",T1676="Pipeline",T1676="Overdue"),ISNUMBER(W1676)),IF(W1676&lt;=Settings!$B$6,V1676,0),0)</f>
        <v>0</v>
      </c>
      <c r="Y1676" s="38" t="n">
        <f aca="false">IF(AND(OR(T1676="Backlog",T1676="Pipeline",T1676="Overdue"),ISNUMBER(W1676)),IF(W1676&lt;=Settings!$B$6,Q1676,0),0)</f>
        <v>0</v>
      </c>
      <c r="Z1676" s="38" t="n">
        <f aca="false">IF(Y1676=0,0,IF(T1676="Backlog",Q1676,Q1676*Dashboard!$C$10))</f>
        <v>0</v>
      </c>
      <c r="AA1676" s="37" t="n">
        <f aca="false">IF($N1676="",0,IF(COUNTIF(Dashboard!$C$13:$C$22,$N1676)&gt;0,1,0))</f>
        <v>0</v>
      </c>
      <c r="AB1676" s="37" t="str">
        <f aca="false">IF($N1676="","",IF(COUNTIF($N$8:$N1676,$N1676)=1,MAX($AB$7:$AB1675)+1,""))</f>
        <v/>
      </c>
    </row>
    <row r="1677" customFormat="false" ht="15" hidden="false" customHeight="false" outlineLevel="0" collapsed="false">
      <c r="L1677" s="37" t="str">
        <f aca="false">IF(INDEX($A1677:$J1677,$L$6)&lt;&gt;"",TRIM(LEFT(INDEX($A1677:$J1677,$L$6),FIND("(",INDEX($A1677:$J1677,$L$6)&amp;"(")-1)),L1676)</f>
        <v>Building Value Proposition</v>
      </c>
      <c r="M1677" s="37" t="str">
        <f aca="false">IF(INDEX($A1677:$J1677,$M$6)="","",INDEX($A1677:$J1677,$M$6)&amp;"")</f>
        <v/>
      </c>
      <c r="N1677" s="37" t="str">
        <f aca="false">IF($M1677="","",TRIM(INDEX($A1677:$J1677,$N$6)&amp;""))</f>
        <v/>
      </c>
      <c r="O1677" s="37" t="str">
        <f aca="false">IF($M1677="","",TRIM(INDEX($A1677:$J1677,$O$6)&amp;""))</f>
        <v/>
      </c>
      <c r="P1677" s="37" t="str">
        <f aca="false">IF($M1677="","",IFERROR(IF(INDEX(Settings!$B$41:$B$50,MATCH(O1677,Settings!$A$41:$A$50,0))&amp;""="","UNMAPPED",INDEX(Settings!$B$41:$B$50,MATCH(O1677,Settings!$A$41:$A$50,0))&amp;""),"UNMAPPED"))</f>
        <v/>
      </c>
      <c r="Q1677" s="38" t="n">
        <f aca="false">IF($M1677="",0,N(INDEX($A1677:$J1677,$Q$6)))</f>
        <v>0</v>
      </c>
      <c r="R1677" s="39" t="str">
        <f aca="false">IF($M1677="","",INDEX($A1677:$J1677,$R$6))</f>
        <v/>
      </c>
      <c r="S1677" s="37" t="str">
        <f aca="false">IF($M1677="","",IFERROR(INDEX(Settings!$B$27:$B$36,MATCH(L1677,Settings!$A$27:$A$36,0))&amp;"","UNMAPPED"))</f>
        <v/>
      </c>
      <c r="T1677" s="37" t="str">
        <f aca="false">IF($M1677="","",IF(NOT(ISNUMBER(R1677)),"NO DATE",IF(S1677="Won",IF(R1677&gt;Settings!$B$5,"Backlog","Delivered"),IF(S1677="Open",IF(R1677&gt;Settings!$B$5,"Pipeline","Overdue"),IF(S1677="Lost","Lost","UNMAPPED")))))</f>
        <v/>
      </c>
      <c r="U1677" s="40" t="n">
        <f aca="false">IF(T1677="Backlog",1,IF(OR(T1677="Pipeline",T1677="Overdue"),N(INDEX(Settings!$C$27:$C$36,MATCH(L1677,Settings!$A$27:$A$36,0))),0))</f>
        <v>0</v>
      </c>
      <c r="V1677" s="38" t="n">
        <f aca="false">Q1677*U1677</f>
        <v>0</v>
      </c>
      <c r="W1677" s="41" t="str">
        <f aca="false">IF($M1677="","",IF(T1677="Overdue",IF(Settings!$B$8="Yes",Settings!$B$7,""),IF(ISNUMBER(R1677),DATE(YEAR(R1677),MONTH(R1677),1),"")))</f>
        <v/>
      </c>
      <c r="X1677" s="38" t="n">
        <f aca="false">IF(AND(OR(T1677="Backlog",T1677="Pipeline",T1677="Overdue"),ISNUMBER(W1677)),IF(W1677&lt;=Settings!$B$6,V1677,0),0)</f>
        <v>0</v>
      </c>
      <c r="Y1677" s="38" t="n">
        <f aca="false">IF(AND(OR(T1677="Backlog",T1677="Pipeline",T1677="Overdue"),ISNUMBER(W1677)),IF(W1677&lt;=Settings!$B$6,Q1677,0),0)</f>
        <v>0</v>
      </c>
      <c r="Z1677" s="38" t="n">
        <f aca="false">IF(Y1677=0,0,IF(T1677="Backlog",Q1677,Q1677*Dashboard!$C$10))</f>
        <v>0</v>
      </c>
      <c r="AA1677" s="37" t="n">
        <f aca="false">IF($N1677="",0,IF(COUNTIF(Dashboard!$C$13:$C$22,$N1677)&gt;0,1,0))</f>
        <v>0</v>
      </c>
      <c r="AB1677" s="37" t="str">
        <f aca="false">IF($N1677="","",IF(COUNTIF($N$8:$N1677,$N1677)=1,MAX($AB$7:$AB1676)+1,""))</f>
        <v/>
      </c>
    </row>
    <row r="1678" customFormat="false" ht="15" hidden="false" customHeight="false" outlineLevel="0" collapsed="false">
      <c r="L1678" s="37" t="str">
        <f aca="false">IF(INDEX($A1678:$J1678,$L$6)&lt;&gt;"",TRIM(LEFT(INDEX($A1678:$J1678,$L$6),FIND("(",INDEX($A1678:$J1678,$L$6)&amp;"(")-1)),L1677)</f>
        <v>Building Value Proposition</v>
      </c>
      <c r="M1678" s="37" t="str">
        <f aca="false">IF(INDEX($A1678:$J1678,$M$6)="","",INDEX($A1678:$J1678,$M$6)&amp;"")</f>
        <v/>
      </c>
      <c r="N1678" s="37" t="str">
        <f aca="false">IF($M1678="","",TRIM(INDEX($A1678:$J1678,$N$6)&amp;""))</f>
        <v/>
      </c>
      <c r="O1678" s="37" t="str">
        <f aca="false">IF($M1678="","",TRIM(INDEX($A1678:$J1678,$O$6)&amp;""))</f>
        <v/>
      </c>
      <c r="P1678" s="37" t="str">
        <f aca="false">IF($M1678="","",IFERROR(IF(INDEX(Settings!$B$41:$B$50,MATCH(O1678,Settings!$A$41:$A$50,0))&amp;""="","UNMAPPED",INDEX(Settings!$B$41:$B$50,MATCH(O1678,Settings!$A$41:$A$50,0))&amp;""),"UNMAPPED"))</f>
        <v/>
      </c>
      <c r="Q1678" s="38" t="n">
        <f aca="false">IF($M1678="",0,N(INDEX($A1678:$J1678,$Q$6)))</f>
        <v>0</v>
      </c>
      <c r="R1678" s="39" t="str">
        <f aca="false">IF($M1678="","",INDEX($A1678:$J1678,$R$6))</f>
        <v/>
      </c>
      <c r="S1678" s="37" t="str">
        <f aca="false">IF($M1678="","",IFERROR(INDEX(Settings!$B$27:$B$36,MATCH(L1678,Settings!$A$27:$A$36,0))&amp;"","UNMAPPED"))</f>
        <v/>
      </c>
      <c r="T1678" s="37" t="str">
        <f aca="false">IF($M1678="","",IF(NOT(ISNUMBER(R1678)),"NO DATE",IF(S1678="Won",IF(R1678&gt;Settings!$B$5,"Backlog","Delivered"),IF(S1678="Open",IF(R1678&gt;Settings!$B$5,"Pipeline","Overdue"),IF(S1678="Lost","Lost","UNMAPPED")))))</f>
        <v/>
      </c>
      <c r="U1678" s="40" t="n">
        <f aca="false">IF(T1678="Backlog",1,IF(OR(T1678="Pipeline",T1678="Overdue"),N(INDEX(Settings!$C$27:$C$36,MATCH(L1678,Settings!$A$27:$A$36,0))),0))</f>
        <v>0</v>
      </c>
      <c r="V1678" s="38" t="n">
        <f aca="false">Q1678*U1678</f>
        <v>0</v>
      </c>
      <c r="W1678" s="41" t="str">
        <f aca="false">IF($M1678="","",IF(T1678="Overdue",IF(Settings!$B$8="Yes",Settings!$B$7,""),IF(ISNUMBER(R1678),DATE(YEAR(R1678),MONTH(R1678),1),"")))</f>
        <v/>
      </c>
      <c r="X1678" s="38" t="n">
        <f aca="false">IF(AND(OR(T1678="Backlog",T1678="Pipeline",T1678="Overdue"),ISNUMBER(W1678)),IF(W1678&lt;=Settings!$B$6,V1678,0),0)</f>
        <v>0</v>
      </c>
      <c r="Y1678" s="38" t="n">
        <f aca="false">IF(AND(OR(T1678="Backlog",T1678="Pipeline",T1678="Overdue"),ISNUMBER(W1678)),IF(W1678&lt;=Settings!$B$6,Q1678,0),0)</f>
        <v>0</v>
      </c>
      <c r="Z1678" s="38" t="n">
        <f aca="false">IF(Y1678=0,0,IF(T1678="Backlog",Q1678,Q1678*Dashboard!$C$10))</f>
        <v>0</v>
      </c>
      <c r="AA1678" s="37" t="n">
        <f aca="false">IF($N1678="",0,IF(COUNTIF(Dashboard!$C$13:$C$22,$N1678)&gt;0,1,0))</f>
        <v>0</v>
      </c>
      <c r="AB1678" s="37" t="str">
        <f aca="false">IF($N1678="","",IF(COUNTIF($N$8:$N1678,$N1678)=1,MAX($AB$7:$AB1677)+1,""))</f>
        <v/>
      </c>
    </row>
    <row r="1679" customFormat="false" ht="15" hidden="false" customHeight="false" outlineLevel="0" collapsed="false">
      <c r="L1679" s="37" t="str">
        <f aca="false">IF(INDEX($A1679:$J1679,$L$6)&lt;&gt;"",TRIM(LEFT(INDEX($A1679:$J1679,$L$6),FIND("(",INDEX($A1679:$J1679,$L$6)&amp;"(")-1)),L1678)</f>
        <v>Building Value Proposition</v>
      </c>
      <c r="M1679" s="37" t="str">
        <f aca="false">IF(INDEX($A1679:$J1679,$M$6)="","",INDEX($A1679:$J1679,$M$6)&amp;"")</f>
        <v/>
      </c>
      <c r="N1679" s="37" t="str">
        <f aca="false">IF($M1679="","",TRIM(INDEX($A1679:$J1679,$N$6)&amp;""))</f>
        <v/>
      </c>
      <c r="O1679" s="37" t="str">
        <f aca="false">IF($M1679="","",TRIM(INDEX($A1679:$J1679,$O$6)&amp;""))</f>
        <v/>
      </c>
      <c r="P1679" s="37" t="str">
        <f aca="false">IF($M1679="","",IFERROR(IF(INDEX(Settings!$B$41:$B$50,MATCH(O1679,Settings!$A$41:$A$50,0))&amp;""="","UNMAPPED",INDEX(Settings!$B$41:$B$50,MATCH(O1679,Settings!$A$41:$A$50,0))&amp;""),"UNMAPPED"))</f>
        <v/>
      </c>
      <c r="Q1679" s="38" t="n">
        <f aca="false">IF($M1679="",0,N(INDEX($A1679:$J1679,$Q$6)))</f>
        <v>0</v>
      </c>
      <c r="R1679" s="39" t="str">
        <f aca="false">IF($M1679="","",INDEX($A1679:$J1679,$R$6))</f>
        <v/>
      </c>
      <c r="S1679" s="37" t="str">
        <f aca="false">IF($M1679="","",IFERROR(INDEX(Settings!$B$27:$B$36,MATCH(L1679,Settings!$A$27:$A$36,0))&amp;"","UNMAPPED"))</f>
        <v/>
      </c>
      <c r="T1679" s="37" t="str">
        <f aca="false">IF($M1679="","",IF(NOT(ISNUMBER(R1679)),"NO DATE",IF(S1679="Won",IF(R1679&gt;Settings!$B$5,"Backlog","Delivered"),IF(S1679="Open",IF(R1679&gt;Settings!$B$5,"Pipeline","Overdue"),IF(S1679="Lost","Lost","UNMAPPED")))))</f>
        <v/>
      </c>
      <c r="U1679" s="40" t="n">
        <f aca="false">IF(T1679="Backlog",1,IF(OR(T1679="Pipeline",T1679="Overdue"),N(INDEX(Settings!$C$27:$C$36,MATCH(L1679,Settings!$A$27:$A$36,0))),0))</f>
        <v>0</v>
      </c>
      <c r="V1679" s="38" t="n">
        <f aca="false">Q1679*U1679</f>
        <v>0</v>
      </c>
      <c r="W1679" s="41" t="str">
        <f aca="false">IF($M1679="","",IF(T1679="Overdue",IF(Settings!$B$8="Yes",Settings!$B$7,""),IF(ISNUMBER(R1679),DATE(YEAR(R1679),MONTH(R1679),1),"")))</f>
        <v/>
      </c>
      <c r="X1679" s="38" t="n">
        <f aca="false">IF(AND(OR(T1679="Backlog",T1679="Pipeline",T1679="Overdue"),ISNUMBER(W1679)),IF(W1679&lt;=Settings!$B$6,V1679,0),0)</f>
        <v>0</v>
      </c>
      <c r="Y1679" s="38" t="n">
        <f aca="false">IF(AND(OR(T1679="Backlog",T1679="Pipeline",T1679="Overdue"),ISNUMBER(W1679)),IF(W1679&lt;=Settings!$B$6,Q1679,0),0)</f>
        <v>0</v>
      </c>
      <c r="Z1679" s="38" t="n">
        <f aca="false">IF(Y1679=0,0,IF(T1679="Backlog",Q1679,Q1679*Dashboard!$C$10))</f>
        <v>0</v>
      </c>
      <c r="AA1679" s="37" t="n">
        <f aca="false">IF($N1679="",0,IF(COUNTIF(Dashboard!$C$13:$C$22,$N1679)&gt;0,1,0))</f>
        <v>0</v>
      </c>
      <c r="AB1679" s="37" t="str">
        <f aca="false">IF($N1679="","",IF(COUNTIF($N$8:$N1679,$N1679)=1,MAX($AB$7:$AB1678)+1,""))</f>
        <v/>
      </c>
    </row>
    <row r="1680" customFormat="false" ht="15" hidden="false" customHeight="false" outlineLevel="0" collapsed="false">
      <c r="L1680" s="37" t="str">
        <f aca="false">IF(INDEX($A1680:$J1680,$L$6)&lt;&gt;"",TRIM(LEFT(INDEX($A1680:$J1680,$L$6),FIND("(",INDEX($A1680:$J1680,$L$6)&amp;"(")-1)),L1679)</f>
        <v>Building Value Proposition</v>
      </c>
      <c r="M1680" s="37" t="str">
        <f aca="false">IF(INDEX($A1680:$J1680,$M$6)="","",INDEX($A1680:$J1680,$M$6)&amp;"")</f>
        <v/>
      </c>
      <c r="N1680" s="37" t="str">
        <f aca="false">IF($M1680="","",TRIM(INDEX($A1680:$J1680,$N$6)&amp;""))</f>
        <v/>
      </c>
      <c r="O1680" s="37" t="str">
        <f aca="false">IF($M1680="","",TRIM(INDEX($A1680:$J1680,$O$6)&amp;""))</f>
        <v/>
      </c>
      <c r="P1680" s="37" t="str">
        <f aca="false">IF($M1680="","",IFERROR(IF(INDEX(Settings!$B$41:$B$50,MATCH(O1680,Settings!$A$41:$A$50,0))&amp;""="","UNMAPPED",INDEX(Settings!$B$41:$B$50,MATCH(O1680,Settings!$A$41:$A$50,0))&amp;""),"UNMAPPED"))</f>
        <v/>
      </c>
      <c r="Q1680" s="38" t="n">
        <f aca="false">IF($M1680="",0,N(INDEX($A1680:$J1680,$Q$6)))</f>
        <v>0</v>
      </c>
      <c r="R1680" s="39" t="str">
        <f aca="false">IF($M1680="","",INDEX($A1680:$J1680,$R$6))</f>
        <v/>
      </c>
      <c r="S1680" s="37" t="str">
        <f aca="false">IF($M1680="","",IFERROR(INDEX(Settings!$B$27:$B$36,MATCH(L1680,Settings!$A$27:$A$36,0))&amp;"","UNMAPPED"))</f>
        <v/>
      </c>
      <c r="T1680" s="37" t="str">
        <f aca="false">IF($M1680="","",IF(NOT(ISNUMBER(R1680)),"NO DATE",IF(S1680="Won",IF(R1680&gt;Settings!$B$5,"Backlog","Delivered"),IF(S1680="Open",IF(R1680&gt;Settings!$B$5,"Pipeline","Overdue"),IF(S1680="Lost","Lost","UNMAPPED")))))</f>
        <v/>
      </c>
      <c r="U1680" s="40" t="n">
        <f aca="false">IF(T1680="Backlog",1,IF(OR(T1680="Pipeline",T1680="Overdue"),N(INDEX(Settings!$C$27:$C$36,MATCH(L1680,Settings!$A$27:$A$36,0))),0))</f>
        <v>0</v>
      </c>
      <c r="V1680" s="38" t="n">
        <f aca="false">Q1680*U1680</f>
        <v>0</v>
      </c>
      <c r="W1680" s="41" t="str">
        <f aca="false">IF($M1680="","",IF(T1680="Overdue",IF(Settings!$B$8="Yes",Settings!$B$7,""),IF(ISNUMBER(R1680),DATE(YEAR(R1680),MONTH(R1680),1),"")))</f>
        <v/>
      </c>
      <c r="X1680" s="38" t="n">
        <f aca="false">IF(AND(OR(T1680="Backlog",T1680="Pipeline",T1680="Overdue"),ISNUMBER(W1680)),IF(W1680&lt;=Settings!$B$6,V1680,0),0)</f>
        <v>0</v>
      </c>
      <c r="Y1680" s="38" t="n">
        <f aca="false">IF(AND(OR(T1680="Backlog",T1680="Pipeline",T1680="Overdue"),ISNUMBER(W1680)),IF(W1680&lt;=Settings!$B$6,Q1680,0),0)</f>
        <v>0</v>
      </c>
      <c r="Z1680" s="38" t="n">
        <f aca="false">IF(Y1680=0,0,IF(T1680="Backlog",Q1680,Q1680*Dashboard!$C$10))</f>
        <v>0</v>
      </c>
      <c r="AA1680" s="37" t="n">
        <f aca="false">IF($N1680="",0,IF(COUNTIF(Dashboard!$C$13:$C$22,$N1680)&gt;0,1,0))</f>
        <v>0</v>
      </c>
      <c r="AB1680" s="37" t="str">
        <f aca="false">IF($N1680="","",IF(COUNTIF($N$8:$N1680,$N1680)=1,MAX($AB$7:$AB1679)+1,""))</f>
        <v/>
      </c>
    </row>
    <row r="1681" customFormat="false" ht="15" hidden="false" customHeight="false" outlineLevel="0" collapsed="false">
      <c r="L1681" s="37" t="str">
        <f aca="false">IF(INDEX($A1681:$J1681,$L$6)&lt;&gt;"",TRIM(LEFT(INDEX($A1681:$J1681,$L$6),FIND("(",INDEX($A1681:$J1681,$L$6)&amp;"(")-1)),L1680)</f>
        <v>Building Value Proposition</v>
      </c>
      <c r="M1681" s="37" t="str">
        <f aca="false">IF(INDEX($A1681:$J1681,$M$6)="","",INDEX($A1681:$J1681,$M$6)&amp;"")</f>
        <v/>
      </c>
      <c r="N1681" s="37" t="str">
        <f aca="false">IF($M1681="","",TRIM(INDEX($A1681:$J1681,$N$6)&amp;""))</f>
        <v/>
      </c>
      <c r="O1681" s="37" t="str">
        <f aca="false">IF($M1681="","",TRIM(INDEX($A1681:$J1681,$O$6)&amp;""))</f>
        <v/>
      </c>
      <c r="P1681" s="37" t="str">
        <f aca="false">IF($M1681="","",IFERROR(IF(INDEX(Settings!$B$41:$B$50,MATCH(O1681,Settings!$A$41:$A$50,0))&amp;""="","UNMAPPED",INDEX(Settings!$B$41:$B$50,MATCH(O1681,Settings!$A$41:$A$50,0))&amp;""),"UNMAPPED"))</f>
        <v/>
      </c>
      <c r="Q1681" s="38" t="n">
        <f aca="false">IF($M1681="",0,N(INDEX($A1681:$J1681,$Q$6)))</f>
        <v>0</v>
      </c>
      <c r="R1681" s="39" t="str">
        <f aca="false">IF($M1681="","",INDEX($A1681:$J1681,$R$6))</f>
        <v/>
      </c>
      <c r="S1681" s="37" t="str">
        <f aca="false">IF($M1681="","",IFERROR(INDEX(Settings!$B$27:$B$36,MATCH(L1681,Settings!$A$27:$A$36,0))&amp;"","UNMAPPED"))</f>
        <v/>
      </c>
      <c r="T1681" s="37" t="str">
        <f aca="false">IF($M1681="","",IF(NOT(ISNUMBER(R1681)),"NO DATE",IF(S1681="Won",IF(R1681&gt;Settings!$B$5,"Backlog","Delivered"),IF(S1681="Open",IF(R1681&gt;Settings!$B$5,"Pipeline","Overdue"),IF(S1681="Lost","Lost","UNMAPPED")))))</f>
        <v/>
      </c>
      <c r="U1681" s="40" t="n">
        <f aca="false">IF(T1681="Backlog",1,IF(OR(T1681="Pipeline",T1681="Overdue"),N(INDEX(Settings!$C$27:$C$36,MATCH(L1681,Settings!$A$27:$A$36,0))),0))</f>
        <v>0</v>
      </c>
      <c r="V1681" s="38" t="n">
        <f aca="false">Q1681*U1681</f>
        <v>0</v>
      </c>
      <c r="W1681" s="41" t="str">
        <f aca="false">IF($M1681="","",IF(T1681="Overdue",IF(Settings!$B$8="Yes",Settings!$B$7,""),IF(ISNUMBER(R1681),DATE(YEAR(R1681),MONTH(R1681),1),"")))</f>
        <v/>
      </c>
      <c r="X1681" s="38" t="n">
        <f aca="false">IF(AND(OR(T1681="Backlog",T1681="Pipeline",T1681="Overdue"),ISNUMBER(W1681)),IF(W1681&lt;=Settings!$B$6,V1681,0),0)</f>
        <v>0</v>
      </c>
      <c r="Y1681" s="38" t="n">
        <f aca="false">IF(AND(OR(T1681="Backlog",T1681="Pipeline",T1681="Overdue"),ISNUMBER(W1681)),IF(W1681&lt;=Settings!$B$6,Q1681,0),0)</f>
        <v>0</v>
      </c>
      <c r="Z1681" s="38" t="n">
        <f aca="false">IF(Y1681=0,0,IF(T1681="Backlog",Q1681,Q1681*Dashboard!$C$10))</f>
        <v>0</v>
      </c>
      <c r="AA1681" s="37" t="n">
        <f aca="false">IF($N1681="",0,IF(COUNTIF(Dashboard!$C$13:$C$22,$N1681)&gt;0,1,0))</f>
        <v>0</v>
      </c>
      <c r="AB1681" s="37" t="str">
        <f aca="false">IF($N1681="","",IF(COUNTIF($N$8:$N1681,$N1681)=1,MAX($AB$7:$AB1680)+1,""))</f>
        <v/>
      </c>
    </row>
    <row r="1682" customFormat="false" ht="15" hidden="false" customHeight="false" outlineLevel="0" collapsed="false">
      <c r="L1682" s="37" t="str">
        <f aca="false">IF(INDEX($A1682:$J1682,$L$6)&lt;&gt;"",TRIM(LEFT(INDEX($A1682:$J1682,$L$6),FIND("(",INDEX($A1682:$J1682,$L$6)&amp;"(")-1)),L1681)</f>
        <v>Building Value Proposition</v>
      </c>
      <c r="M1682" s="37" t="str">
        <f aca="false">IF(INDEX($A1682:$J1682,$M$6)="","",INDEX($A1682:$J1682,$M$6)&amp;"")</f>
        <v/>
      </c>
      <c r="N1682" s="37" t="str">
        <f aca="false">IF($M1682="","",TRIM(INDEX($A1682:$J1682,$N$6)&amp;""))</f>
        <v/>
      </c>
      <c r="O1682" s="37" t="str">
        <f aca="false">IF($M1682="","",TRIM(INDEX($A1682:$J1682,$O$6)&amp;""))</f>
        <v/>
      </c>
      <c r="P1682" s="37" t="str">
        <f aca="false">IF($M1682="","",IFERROR(IF(INDEX(Settings!$B$41:$B$50,MATCH(O1682,Settings!$A$41:$A$50,0))&amp;""="","UNMAPPED",INDEX(Settings!$B$41:$B$50,MATCH(O1682,Settings!$A$41:$A$50,0))&amp;""),"UNMAPPED"))</f>
        <v/>
      </c>
      <c r="Q1682" s="38" t="n">
        <f aca="false">IF($M1682="",0,N(INDEX($A1682:$J1682,$Q$6)))</f>
        <v>0</v>
      </c>
      <c r="R1682" s="39" t="str">
        <f aca="false">IF($M1682="","",INDEX($A1682:$J1682,$R$6))</f>
        <v/>
      </c>
      <c r="S1682" s="37" t="str">
        <f aca="false">IF($M1682="","",IFERROR(INDEX(Settings!$B$27:$B$36,MATCH(L1682,Settings!$A$27:$A$36,0))&amp;"","UNMAPPED"))</f>
        <v/>
      </c>
      <c r="T1682" s="37" t="str">
        <f aca="false">IF($M1682="","",IF(NOT(ISNUMBER(R1682)),"NO DATE",IF(S1682="Won",IF(R1682&gt;Settings!$B$5,"Backlog","Delivered"),IF(S1682="Open",IF(R1682&gt;Settings!$B$5,"Pipeline","Overdue"),IF(S1682="Lost","Lost","UNMAPPED")))))</f>
        <v/>
      </c>
      <c r="U1682" s="40" t="n">
        <f aca="false">IF(T1682="Backlog",1,IF(OR(T1682="Pipeline",T1682="Overdue"),N(INDEX(Settings!$C$27:$C$36,MATCH(L1682,Settings!$A$27:$A$36,0))),0))</f>
        <v>0</v>
      </c>
      <c r="V1682" s="38" t="n">
        <f aca="false">Q1682*U1682</f>
        <v>0</v>
      </c>
      <c r="W1682" s="41" t="str">
        <f aca="false">IF($M1682="","",IF(T1682="Overdue",IF(Settings!$B$8="Yes",Settings!$B$7,""),IF(ISNUMBER(R1682),DATE(YEAR(R1682),MONTH(R1682),1),"")))</f>
        <v/>
      </c>
      <c r="X1682" s="38" t="n">
        <f aca="false">IF(AND(OR(T1682="Backlog",T1682="Pipeline",T1682="Overdue"),ISNUMBER(W1682)),IF(W1682&lt;=Settings!$B$6,V1682,0),0)</f>
        <v>0</v>
      </c>
      <c r="Y1682" s="38" t="n">
        <f aca="false">IF(AND(OR(T1682="Backlog",T1682="Pipeline",T1682="Overdue"),ISNUMBER(W1682)),IF(W1682&lt;=Settings!$B$6,Q1682,0),0)</f>
        <v>0</v>
      </c>
      <c r="Z1682" s="38" t="n">
        <f aca="false">IF(Y1682=0,0,IF(T1682="Backlog",Q1682,Q1682*Dashboard!$C$10))</f>
        <v>0</v>
      </c>
      <c r="AA1682" s="37" t="n">
        <f aca="false">IF($N1682="",0,IF(COUNTIF(Dashboard!$C$13:$C$22,$N1682)&gt;0,1,0))</f>
        <v>0</v>
      </c>
      <c r="AB1682" s="37" t="str">
        <f aca="false">IF($N1682="","",IF(COUNTIF($N$8:$N1682,$N1682)=1,MAX($AB$7:$AB1681)+1,""))</f>
        <v/>
      </c>
    </row>
    <row r="1683" customFormat="false" ht="15" hidden="false" customHeight="false" outlineLevel="0" collapsed="false">
      <c r="L1683" s="37" t="str">
        <f aca="false">IF(INDEX($A1683:$J1683,$L$6)&lt;&gt;"",TRIM(LEFT(INDEX($A1683:$J1683,$L$6),FIND("(",INDEX($A1683:$J1683,$L$6)&amp;"(")-1)),L1682)</f>
        <v>Building Value Proposition</v>
      </c>
      <c r="M1683" s="37" t="str">
        <f aca="false">IF(INDEX($A1683:$J1683,$M$6)="","",INDEX($A1683:$J1683,$M$6)&amp;"")</f>
        <v/>
      </c>
      <c r="N1683" s="37" t="str">
        <f aca="false">IF($M1683="","",TRIM(INDEX($A1683:$J1683,$N$6)&amp;""))</f>
        <v/>
      </c>
      <c r="O1683" s="37" t="str">
        <f aca="false">IF($M1683="","",TRIM(INDEX($A1683:$J1683,$O$6)&amp;""))</f>
        <v/>
      </c>
      <c r="P1683" s="37" t="str">
        <f aca="false">IF($M1683="","",IFERROR(IF(INDEX(Settings!$B$41:$B$50,MATCH(O1683,Settings!$A$41:$A$50,0))&amp;""="","UNMAPPED",INDEX(Settings!$B$41:$B$50,MATCH(O1683,Settings!$A$41:$A$50,0))&amp;""),"UNMAPPED"))</f>
        <v/>
      </c>
      <c r="Q1683" s="38" t="n">
        <f aca="false">IF($M1683="",0,N(INDEX($A1683:$J1683,$Q$6)))</f>
        <v>0</v>
      </c>
      <c r="R1683" s="39" t="str">
        <f aca="false">IF($M1683="","",INDEX($A1683:$J1683,$R$6))</f>
        <v/>
      </c>
      <c r="S1683" s="37" t="str">
        <f aca="false">IF($M1683="","",IFERROR(INDEX(Settings!$B$27:$B$36,MATCH(L1683,Settings!$A$27:$A$36,0))&amp;"","UNMAPPED"))</f>
        <v/>
      </c>
      <c r="T1683" s="37" t="str">
        <f aca="false">IF($M1683="","",IF(NOT(ISNUMBER(R1683)),"NO DATE",IF(S1683="Won",IF(R1683&gt;Settings!$B$5,"Backlog","Delivered"),IF(S1683="Open",IF(R1683&gt;Settings!$B$5,"Pipeline","Overdue"),IF(S1683="Lost","Lost","UNMAPPED")))))</f>
        <v/>
      </c>
      <c r="U1683" s="40" t="n">
        <f aca="false">IF(T1683="Backlog",1,IF(OR(T1683="Pipeline",T1683="Overdue"),N(INDEX(Settings!$C$27:$C$36,MATCH(L1683,Settings!$A$27:$A$36,0))),0))</f>
        <v>0</v>
      </c>
      <c r="V1683" s="38" t="n">
        <f aca="false">Q1683*U1683</f>
        <v>0</v>
      </c>
      <c r="W1683" s="41" t="str">
        <f aca="false">IF($M1683="","",IF(T1683="Overdue",IF(Settings!$B$8="Yes",Settings!$B$7,""),IF(ISNUMBER(R1683),DATE(YEAR(R1683),MONTH(R1683),1),"")))</f>
        <v/>
      </c>
      <c r="X1683" s="38" t="n">
        <f aca="false">IF(AND(OR(T1683="Backlog",T1683="Pipeline",T1683="Overdue"),ISNUMBER(W1683)),IF(W1683&lt;=Settings!$B$6,V1683,0),0)</f>
        <v>0</v>
      </c>
      <c r="Y1683" s="38" t="n">
        <f aca="false">IF(AND(OR(T1683="Backlog",T1683="Pipeline",T1683="Overdue"),ISNUMBER(W1683)),IF(W1683&lt;=Settings!$B$6,Q1683,0),0)</f>
        <v>0</v>
      </c>
      <c r="Z1683" s="38" t="n">
        <f aca="false">IF(Y1683=0,0,IF(T1683="Backlog",Q1683,Q1683*Dashboard!$C$10))</f>
        <v>0</v>
      </c>
      <c r="AA1683" s="37" t="n">
        <f aca="false">IF($N1683="",0,IF(COUNTIF(Dashboard!$C$13:$C$22,$N1683)&gt;0,1,0))</f>
        <v>0</v>
      </c>
      <c r="AB1683" s="37" t="str">
        <f aca="false">IF($N1683="","",IF(COUNTIF($N$8:$N1683,$N1683)=1,MAX($AB$7:$AB1682)+1,""))</f>
        <v/>
      </c>
    </row>
    <row r="1684" customFormat="false" ht="15" hidden="false" customHeight="false" outlineLevel="0" collapsed="false">
      <c r="L1684" s="37" t="str">
        <f aca="false">IF(INDEX($A1684:$J1684,$L$6)&lt;&gt;"",TRIM(LEFT(INDEX($A1684:$J1684,$L$6),FIND("(",INDEX($A1684:$J1684,$L$6)&amp;"(")-1)),L1683)</f>
        <v>Building Value Proposition</v>
      </c>
      <c r="M1684" s="37" t="str">
        <f aca="false">IF(INDEX($A1684:$J1684,$M$6)="","",INDEX($A1684:$J1684,$M$6)&amp;"")</f>
        <v/>
      </c>
      <c r="N1684" s="37" t="str">
        <f aca="false">IF($M1684="","",TRIM(INDEX($A1684:$J1684,$N$6)&amp;""))</f>
        <v/>
      </c>
      <c r="O1684" s="37" t="str">
        <f aca="false">IF($M1684="","",TRIM(INDEX($A1684:$J1684,$O$6)&amp;""))</f>
        <v/>
      </c>
      <c r="P1684" s="37" t="str">
        <f aca="false">IF($M1684="","",IFERROR(IF(INDEX(Settings!$B$41:$B$50,MATCH(O1684,Settings!$A$41:$A$50,0))&amp;""="","UNMAPPED",INDEX(Settings!$B$41:$B$50,MATCH(O1684,Settings!$A$41:$A$50,0))&amp;""),"UNMAPPED"))</f>
        <v/>
      </c>
      <c r="Q1684" s="38" t="n">
        <f aca="false">IF($M1684="",0,N(INDEX($A1684:$J1684,$Q$6)))</f>
        <v>0</v>
      </c>
      <c r="R1684" s="39" t="str">
        <f aca="false">IF($M1684="","",INDEX($A1684:$J1684,$R$6))</f>
        <v/>
      </c>
      <c r="S1684" s="37" t="str">
        <f aca="false">IF($M1684="","",IFERROR(INDEX(Settings!$B$27:$B$36,MATCH(L1684,Settings!$A$27:$A$36,0))&amp;"","UNMAPPED"))</f>
        <v/>
      </c>
      <c r="T1684" s="37" t="str">
        <f aca="false">IF($M1684="","",IF(NOT(ISNUMBER(R1684)),"NO DATE",IF(S1684="Won",IF(R1684&gt;Settings!$B$5,"Backlog","Delivered"),IF(S1684="Open",IF(R1684&gt;Settings!$B$5,"Pipeline","Overdue"),IF(S1684="Lost","Lost","UNMAPPED")))))</f>
        <v/>
      </c>
      <c r="U1684" s="40" t="n">
        <f aca="false">IF(T1684="Backlog",1,IF(OR(T1684="Pipeline",T1684="Overdue"),N(INDEX(Settings!$C$27:$C$36,MATCH(L1684,Settings!$A$27:$A$36,0))),0))</f>
        <v>0</v>
      </c>
      <c r="V1684" s="38" t="n">
        <f aca="false">Q1684*U1684</f>
        <v>0</v>
      </c>
      <c r="W1684" s="41" t="str">
        <f aca="false">IF($M1684="","",IF(T1684="Overdue",IF(Settings!$B$8="Yes",Settings!$B$7,""),IF(ISNUMBER(R1684),DATE(YEAR(R1684),MONTH(R1684),1),"")))</f>
        <v/>
      </c>
      <c r="X1684" s="38" t="n">
        <f aca="false">IF(AND(OR(T1684="Backlog",T1684="Pipeline",T1684="Overdue"),ISNUMBER(W1684)),IF(W1684&lt;=Settings!$B$6,V1684,0),0)</f>
        <v>0</v>
      </c>
      <c r="Y1684" s="38" t="n">
        <f aca="false">IF(AND(OR(T1684="Backlog",T1684="Pipeline",T1684="Overdue"),ISNUMBER(W1684)),IF(W1684&lt;=Settings!$B$6,Q1684,0),0)</f>
        <v>0</v>
      </c>
      <c r="Z1684" s="38" t="n">
        <f aca="false">IF(Y1684=0,0,IF(T1684="Backlog",Q1684,Q1684*Dashboard!$C$10))</f>
        <v>0</v>
      </c>
      <c r="AA1684" s="37" t="n">
        <f aca="false">IF($N1684="",0,IF(COUNTIF(Dashboard!$C$13:$C$22,$N1684)&gt;0,1,0))</f>
        <v>0</v>
      </c>
      <c r="AB1684" s="37" t="str">
        <f aca="false">IF($N1684="","",IF(COUNTIF($N$8:$N1684,$N1684)=1,MAX($AB$7:$AB1683)+1,""))</f>
        <v/>
      </c>
    </row>
    <row r="1685" customFormat="false" ht="15" hidden="false" customHeight="false" outlineLevel="0" collapsed="false">
      <c r="L1685" s="37" t="str">
        <f aca="false">IF(INDEX($A1685:$J1685,$L$6)&lt;&gt;"",TRIM(LEFT(INDEX($A1685:$J1685,$L$6),FIND("(",INDEX($A1685:$J1685,$L$6)&amp;"(")-1)),L1684)</f>
        <v>Building Value Proposition</v>
      </c>
      <c r="M1685" s="37" t="str">
        <f aca="false">IF(INDEX($A1685:$J1685,$M$6)="","",INDEX($A1685:$J1685,$M$6)&amp;"")</f>
        <v/>
      </c>
      <c r="N1685" s="37" t="str">
        <f aca="false">IF($M1685="","",TRIM(INDEX($A1685:$J1685,$N$6)&amp;""))</f>
        <v/>
      </c>
      <c r="O1685" s="37" t="str">
        <f aca="false">IF($M1685="","",TRIM(INDEX($A1685:$J1685,$O$6)&amp;""))</f>
        <v/>
      </c>
      <c r="P1685" s="37" t="str">
        <f aca="false">IF($M1685="","",IFERROR(IF(INDEX(Settings!$B$41:$B$50,MATCH(O1685,Settings!$A$41:$A$50,0))&amp;""="","UNMAPPED",INDEX(Settings!$B$41:$B$50,MATCH(O1685,Settings!$A$41:$A$50,0))&amp;""),"UNMAPPED"))</f>
        <v/>
      </c>
      <c r="Q1685" s="38" t="n">
        <f aca="false">IF($M1685="",0,N(INDEX($A1685:$J1685,$Q$6)))</f>
        <v>0</v>
      </c>
      <c r="R1685" s="39" t="str">
        <f aca="false">IF($M1685="","",INDEX($A1685:$J1685,$R$6))</f>
        <v/>
      </c>
      <c r="S1685" s="37" t="str">
        <f aca="false">IF($M1685="","",IFERROR(INDEX(Settings!$B$27:$B$36,MATCH(L1685,Settings!$A$27:$A$36,0))&amp;"","UNMAPPED"))</f>
        <v/>
      </c>
      <c r="T1685" s="37" t="str">
        <f aca="false">IF($M1685="","",IF(NOT(ISNUMBER(R1685)),"NO DATE",IF(S1685="Won",IF(R1685&gt;Settings!$B$5,"Backlog","Delivered"),IF(S1685="Open",IF(R1685&gt;Settings!$B$5,"Pipeline","Overdue"),IF(S1685="Lost","Lost","UNMAPPED")))))</f>
        <v/>
      </c>
      <c r="U1685" s="40" t="n">
        <f aca="false">IF(T1685="Backlog",1,IF(OR(T1685="Pipeline",T1685="Overdue"),N(INDEX(Settings!$C$27:$C$36,MATCH(L1685,Settings!$A$27:$A$36,0))),0))</f>
        <v>0</v>
      </c>
      <c r="V1685" s="38" t="n">
        <f aca="false">Q1685*U1685</f>
        <v>0</v>
      </c>
      <c r="W1685" s="41" t="str">
        <f aca="false">IF($M1685="","",IF(T1685="Overdue",IF(Settings!$B$8="Yes",Settings!$B$7,""),IF(ISNUMBER(R1685),DATE(YEAR(R1685),MONTH(R1685),1),"")))</f>
        <v/>
      </c>
      <c r="X1685" s="38" t="n">
        <f aca="false">IF(AND(OR(T1685="Backlog",T1685="Pipeline",T1685="Overdue"),ISNUMBER(W1685)),IF(W1685&lt;=Settings!$B$6,V1685,0),0)</f>
        <v>0</v>
      </c>
      <c r="Y1685" s="38" t="n">
        <f aca="false">IF(AND(OR(T1685="Backlog",T1685="Pipeline",T1685="Overdue"),ISNUMBER(W1685)),IF(W1685&lt;=Settings!$B$6,Q1685,0),0)</f>
        <v>0</v>
      </c>
      <c r="Z1685" s="38" t="n">
        <f aca="false">IF(Y1685=0,0,IF(T1685="Backlog",Q1685,Q1685*Dashboard!$C$10))</f>
        <v>0</v>
      </c>
      <c r="AA1685" s="37" t="n">
        <f aca="false">IF($N1685="",0,IF(COUNTIF(Dashboard!$C$13:$C$22,$N1685)&gt;0,1,0))</f>
        <v>0</v>
      </c>
      <c r="AB1685" s="37" t="str">
        <f aca="false">IF($N1685="","",IF(COUNTIF($N$8:$N1685,$N1685)=1,MAX($AB$7:$AB1684)+1,""))</f>
        <v/>
      </c>
    </row>
    <row r="1686" customFormat="false" ht="15" hidden="false" customHeight="false" outlineLevel="0" collapsed="false">
      <c r="L1686" s="37" t="str">
        <f aca="false">IF(INDEX($A1686:$J1686,$L$6)&lt;&gt;"",TRIM(LEFT(INDEX($A1686:$J1686,$L$6),FIND("(",INDEX($A1686:$J1686,$L$6)&amp;"(")-1)),L1685)</f>
        <v>Building Value Proposition</v>
      </c>
      <c r="M1686" s="37" t="str">
        <f aca="false">IF(INDEX($A1686:$J1686,$M$6)="","",INDEX($A1686:$J1686,$M$6)&amp;"")</f>
        <v/>
      </c>
      <c r="N1686" s="37" t="str">
        <f aca="false">IF($M1686="","",TRIM(INDEX($A1686:$J1686,$N$6)&amp;""))</f>
        <v/>
      </c>
      <c r="O1686" s="37" t="str">
        <f aca="false">IF($M1686="","",TRIM(INDEX($A1686:$J1686,$O$6)&amp;""))</f>
        <v/>
      </c>
      <c r="P1686" s="37" t="str">
        <f aca="false">IF($M1686="","",IFERROR(IF(INDEX(Settings!$B$41:$B$50,MATCH(O1686,Settings!$A$41:$A$50,0))&amp;""="","UNMAPPED",INDEX(Settings!$B$41:$B$50,MATCH(O1686,Settings!$A$41:$A$50,0))&amp;""),"UNMAPPED"))</f>
        <v/>
      </c>
      <c r="Q1686" s="38" t="n">
        <f aca="false">IF($M1686="",0,N(INDEX($A1686:$J1686,$Q$6)))</f>
        <v>0</v>
      </c>
      <c r="R1686" s="39" t="str">
        <f aca="false">IF($M1686="","",INDEX($A1686:$J1686,$R$6))</f>
        <v/>
      </c>
      <c r="S1686" s="37" t="str">
        <f aca="false">IF($M1686="","",IFERROR(INDEX(Settings!$B$27:$B$36,MATCH(L1686,Settings!$A$27:$A$36,0))&amp;"","UNMAPPED"))</f>
        <v/>
      </c>
      <c r="T1686" s="37" t="str">
        <f aca="false">IF($M1686="","",IF(NOT(ISNUMBER(R1686)),"NO DATE",IF(S1686="Won",IF(R1686&gt;Settings!$B$5,"Backlog","Delivered"),IF(S1686="Open",IF(R1686&gt;Settings!$B$5,"Pipeline","Overdue"),IF(S1686="Lost","Lost","UNMAPPED")))))</f>
        <v/>
      </c>
      <c r="U1686" s="40" t="n">
        <f aca="false">IF(T1686="Backlog",1,IF(OR(T1686="Pipeline",T1686="Overdue"),N(INDEX(Settings!$C$27:$C$36,MATCH(L1686,Settings!$A$27:$A$36,0))),0))</f>
        <v>0</v>
      </c>
      <c r="V1686" s="38" t="n">
        <f aca="false">Q1686*U1686</f>
        <v>0</v>
      </c>
      <c r="W1686" s="41" t="str">
        <f aca="false">IF($M1686="","",IF(T1686="Overdue",IF(Settings!$B$8="Yes",Settings!$B$7,""),IF(ISNUMBER(R1686),DATE(YEAR(R1686),MONTH(R1686),1),"")))</f>
        <v/>
      </c>
      <c r="X1686" s="38" t="n">
        <f aca="false">IF(AND(OR(T1686="Backlog",T1686="Pipeline",T1686="Overdue"),ISNUMBER(W1686)),IF(W1686&lt;=Settings!$B$6,V1686,0),0)</f>
        <v>0</v>
      </c>
      <c r="Y1686" s="38" t="n">
        <f aca="false">IF(AND(OR(T1686="Backlog",T1686="Pipeline",T1686="Overdue"),ISNUMBER(W1686)),IF(W1686&lt;=Settings!$B$6,Q1686,0),0)</f>
        <v>0</v>
      </c>
      <c r="Z1686" s="38" t="n">
        <f aca="false">IF(Y1686=0,0,IF(T1686="Backlog",Q1686,Q1686*Dashboard!$C$10))</f>
        <v>0</v>
      </c>
      <c r="AA1686" s="37" t="n">
        <f aca="false">IF($N1686="",0,IF(COUNTIF(Dashboard!$C$13:$C$22,$N1686)&gt;0,1,0))</f>
        <v>0</v>
      </c>
      <c r="AB1686" s="37" t="str">
        <f aca="false">IF($N1686="","",IF(COUNTIF($N$8:$N1686,$N1686)=1,MAX($AB$7:$AB1685)+1,""))</f>
        <v/>
      </c>
    </row>
    <row r="1687" customFormat="false" ht="15" hidden="false" customHeight="false" outlineLevel="0" collapsed="false">
      <c r="L1687" s="37" t="str">
        <f aca="false">IF(INDEX($A1687:$J1687,$L$6)&lt;&gt;"",TRIM(LEFT(INDEX($A1687:$J1687,$L$6),FIND("(",INDEX($A1687:$J1687,$L$6)&amp;"(")-1)),L1686)</f>
        <v>Building Value Proposition</v>
      </c>
      <c r="M1687" s="37" t="str">
        <f aca="false">IF(INDEX($A1687:$J1687,$M$6)="","",INDEX($A1687:$J1687,$M$6)&amp;"")</f>
        <v/>
      </c>
      <c r="N1687" s="37" t="str">
        <f aca="false">IF($M1687="","",TRIM(INDEX($A1687:$J1687,$N$6)&amp;""))</f>
        <v/>
      </c>
      <c r="O1687" s="37" t="str">
        <f aca="false">IF($M1687="","",TRIM(INDEX($A1687:$J1687,$O$6)&amp;""))</f>
        <v/>
      </c>
      <c r="P1687" s="37" t="str">
        <f aca="false">IF($M1687="","",IFERROR(IF(INDEX(Settings!$B$41:$B$50,MATCH(O1687,Settings!$A$41:$A$50,0))&amp;""="","UNMAPPED",INDEX(Settings!$B$41:$B$50,MATCH(O1687,Settings!$A$41:$A$50,0))&amp;""),"UNMAPPED"))</f>
        <v/>
      </c>
      <c r="Q1687" s="38" t="n">
        <f aca="false">IF($M1687="",0,N(INDEX($A1687:$J1687,$Q$6)))</f>
        <v>0</v>
      </c>
      <c r="R1687" s="39" t="str">
        <f aca="false">IF($M1687="","",INDEX($A1687:$J1687,$R$6))</f>
        <v/>
      </c>
      <c r="S1687" s="37" t="str">
        <f aca="false">IF($M1687="","",IFERROR(INDEX(Settings!$B$27:$B$36,MATCH(L1687,Settings!$A$27:$A$36,0))&amp;"","UNMAPPED"))</f>
        <v/>
      </c>
      <c r="T1687" s="37" t="str">
        <f aca="false">IF($M1687="","",IF(NOT(ISNUMBER(R1687)),"NO DATE",IF(S1687="Won",IF(R1687&gt;Settings!$B$5,"Backlog","Delivered"),IF(S1687="Open",IF(R1687&gt;Settings!$B$5,"Pipeline","Overdue"),IF(S1687="Lost","Lost","UNMAPPED")))))</f>
        <v/>
      </c>
      <c r="U1687" s="40" t="n">
        <f aca="false">IF(T1687="Backlog",1,IF(OR(T1687="Pipeline",T1687="Overdue"),N(INDEX(Settings!$C$27:$C$36,MATCH(L1687,Settings!$A$27:$A$36,0))),0))</f>
        <v>0</v>
      </c>
      <c r="V1687" s="38" t="n">
        <f aca="false">Q1687*U1687</f>
        <v>0</v>
      </c>
      <c r="W1687" s="41" t="str">
        <f aca="false">IF($M1687="","",IF(T1687="Overdue",IF(Settings!$B$8="Yes",Settings!$B$7,""),IF(ISNUMBER(R1687),DATE(YEAR(R1687),MONTH(R1687),1),"")))</f>
        <v/>
      </c>
      <c r="X1687" s="38" t="n">
        <f aca="false">IF(AND(OR(T1687="Backlog",T1687="Pipeline",T1687="Overdue"),ISNUMBER(W1687)),IF(W1687&lt;=Settings!$B$6,V1687,0),0)</f>
        <v>0</v>
      </c>
      <c r="Y1687" s="38" t="n">
        <f aca="false">IF(AND(OR(T1687="Backlog",T1687="Pipeline",T1687="Overdue"),ISNUMBER(W1687)),IF(W1687&lt;=Settings!$B$6,Q1687,0),0)</f>
        <v>0</v>
      </c>
      <c r="Z1687" s="38" t="n">
        <f aca="false">IF(Y1687=0,0,IF(T1687="Backlog",Q1687,Q1687*Dashboard!$C$10))</f>
        <v>0</v>
      </c>
      <c r="AA1687" s="37" t="n">
        <f aca="false">IF($N1687="",0,IF(COUNTIF(Dashboard!$C$13:$C$22,$N1687)&gt;0,1,0))</f>
        <v>0</v>
      </c>
      <c r="AB1687" s="37" t="str">
        <f aca="false">IF($N1687="","",IF(COUNTIF($N$8:$N1687,$N1687)=1,MAX($AB$7:$AB1686)+1,""))</f>
        <v/>
      </c>
    </row>
    <row r="1688" customFormat="false" ht="15" hidden="false" customHeight="false" outlineLevel="0" collapsed="false">
      <c r="L1688" s="37" t="str">
        <f aca="false">IF(INDEX($A1688:$J1688,$L$6)&lt;&gt;"",TRIM(LEFT(INDEX($A1688:$J1688,$L$6),FIND("(",INDEX($A1688:$J1688,$L$6)&amp;"(")-1)),L1687)</f>
        <v>Building Value Proposition</v>
      </c>
      <c r="M1688" s="37" t="str">
        <f aca="false">IF(INDEX($A1688:$J1688,$M$6)="","",INDEX($A1688:$J1688,$M$6)&amp;"")</f>
        <v/>
      </c>
      <c r="N1688" s="37" t="str">
        <f aca="false">IF($M1688="","",TRIM(INDEX($A1688:$J1688,$N$6)&amp;""))</f>
        <v/>
      </c>
      <c r="O1688" s="37" t="str">
        <f aca="false">IF($M1688="","",TRIM(INDEX($A1688:$J1688,$O$6)&amp;""))</f>
        <v/>
      </c>
      <c r="P1688" s="37" t="str">
        <f aca="false">IF($M1688="","",IFERROR(IF(INDEX(Settings!$B$41:$B$50,MATCH(O1688,Settings!$A$41:$A$50,0))&amp;""="","UNMAPPED",INDEX(Settings!$B$41:$B$50,MATCH(O1688,Settings!$A$41:$A$50,0))&amp;""),"UNMAPPED"))</f>
        <v/>
      </c>
      <c r="Q1688" s="38" t="n">
        <f aca="false">IF($M1688="",0,N(INDEX($A1688:$J1688,$Q$6)))</f>
        <v>0</v>
      </c>
      <c r="R1688" s="39" t="str">
        <f aca="false">IF($M1688="","",INDEX($A1688:$J1688,$R$6))</f>
        <v/>
      </c>
      <c r="S1688" s="37" t="str">
        <f aca="false">IF($M1688="","",IFERROR(INDEX(Settings!$B$27:$B$36,MATCH(L1688,Settings!$A$27:$A$36,0))&amp;"","UNMAPPED"))</f>
        <v/>
      </c>
      <c r="T1688" s="37" t="str">
        <f aca="false">IF($M1688="","",IF(NOT(ISNUMBER(R1688)),"NO DATE",IF(S1688="Won",IF(R1688&gt;Settings!$B$5,"Backlog","Delivered"),IF(S1688="Open",IF(R1688&gt;Settings!$B$5,"Pipeline","Overdue"),IF(S1688="Lost","Lost","UNMAPPED")))))</f>
        <v/>
      </c>
      <c r="U1688" s="40" t="n">
        <f aca="false">IF(T1688="Backlog",1,IF(OR(T1688="Pipeline",T1688="Overdue"),N(INDEX(Settings!$C$27:$C$36,MATCH(L1688,Settings!$A$27:$A$36,0))),0))</f>
        <v>0</v>
      </c>
      <c r="V1688" s="38" t="n">
        <f aca="false">Q1688*U1688</f>
        <v>0</v>
      </c>
      <c r="W1688" s="41" t="str">
        <f aca="false">IF($M1688="","",IF(T1688="Overdue",IF(Settings!$B$8="Yes",Settings!$B$7,""),IF(ISNUMBER(R1688),DATE(YEAR(R1688),MONTH(R1688),1),"")))</f>
        <v/>
      </c>
      <c r="X1688" s="38" t="n">
        <f aca="false">IF(AND(OR(T1688="Backlog",T1688="Pipeline",T1688="Overdue"),ISNUMBER(W1688)),IF(W1688&lt;=Settings!$B$6,V1688,0),0)</f>
        <v>0</v>
      </c>
      <c r="Y1688" s="38" t="n">
        <f aca="false">IF(AND(OR(T1688="Backlog",T1688="Pipeline",T1688="Overdue"),ISNUMBER(W1688)),IF(W1688&lt;=Settings!$B$6,Q1688,0),0)</f>
        <v>0</v>
      </c>
      <c r="Z1688" s="38" t="n">
        <f aca="false">IF(Y1688=0,0,IF(T1688="Backlog",Q1688,Q1688*Dashboard!$C$10))</f>
        <v>0</v>
      </c>
      <c r="AA1688" s="37" t="n">
        <f aca="false">IF($N1688="",0,IF(COUNTIF(Dashboard!$C$13:$C$22,$N1688)&gt;0,1,0))</f>
        <v>0</v>
      </c>
      <c r="AB1688" s="37" t="str">
        <f aca="false">IF($N1688="","",IF(COUNTIF($N$8:$N1688,$N1688)=1,MAX($AB$7:$AB1687)+1,""))</f>
        <v/>
      </c>
    </row>
    <row r="1689" customFormat="false" ht="15" hidden="false" customHeight="false" outlineLevel="0" collapsed="false">
      <c r="L1689" s="37" t="str">
        <f aca="false">IF(INDEX($A1689:$J1689,$L$6)&lt;&gt;"",TRIM(LEFT(INDEX($A1689:$J1689,$L$6),FIND("(",INDEX($A1689:$J1689,$L$6)&amp;"(")-1)),L1688)</f>
        <v>Building Value Proposition</v>
      </c>
      <c r="M1689" s="37" t="str">
        <f aca="false">IF(INDEX($A1689:$J1689,$M$6)="","",INDEX($A1689:$J1689,$M$6)&amp;"")</f>
        <v/>
      </c>
      <c r="N1689" s="37" t="str">
        <f aca="false">IF($M1689="","",TRIM(INDEX($A1689:$J1689,$N$6)&amp;""))</f>
        <v/>
      </c>
      <c r="O1689" s="37" t="str">
        <f aca="false">IF($M1689="","",TRIM(INDEX($A1689:$J1689,$O$6)&amp;""))</f>
        <v/>
      </c>
      <c r="P1689" s="37" t="str">
        <f aca="false">IF($M1689="","",IFERROR(IF(INDEX(Settings!$B$41:$B$50,MATCH(O1689,Settings!$A$41:$A$50,0))&amp;""="","UNMAPPED",INDEX(Settings!$B$41:$B$50,MATCH(O1689,Settings!$A$41:$A$50,0))&amp;""),"UNMAPPED"))</f>
        <v/>
      </c>
      <c r="Q1689" s="38" t="n">
        <f aca="false">IF($M1689="",0,N(INDEX($A1689:$J1689,$Q$6)))</f>
        <v>0</v>
      </c>
      <c r="R1689" s="39" t="str">
        <f aca="false">IF($M1689="","",INDEX($A1689:$J1689,$R$6))</f>
        <v/>
      </c>
      <c r="S1689" s="37" t="str">
        <f aca="false">IF($M1689="","",IFERROR(INDEX(Settings!$B$27:$B$36,MATCH(L1689,Settings!$A$27:$A$36,0))&amp;"","UNMAPPED"))</f>
        <v/>
      </c>
      <c r="T1689" s="37" t="str">
        <f aca="false">IF($M1689="","",IF(NOT(ISNUMBER(R1689)),"NO DATE",IF(S1689="Won",IF(R1689&gt;Settings!$B$5,"Backlog","Delivered"),IF(S1689="Open",IF(R1689&gt;Settings!$B$5,"Pipeline","Overdue"),IF(S1689="Lost","Lost","UNMAPPED")))))</f>
        <v/>
      </c>
      <c r="U1689" s="40" t="n">
        <f aca="false">IF(T1689="Backlog",1,IF(OR(T1689="Pipeline",T1689="Overdue"),N(INDEX(Settings!$C$27:$C$36,MATCH(L1689,Settings!$A$27:$A$36,0))),0))</f>
        <v>0</v>
      </c>
      <c r="V1689" s="38" t="n">
        <f aca="false">Q1689*U1689</f>
        <v>0</v>
      </c>
      <c r="W1689" s="41" t="str">
        <f aca="false">IF($M1689="","",IF(T1689="Overdue",IF(Settings!$B$8="Yes",Settings!$B$7,""),IF(ISNUMBER(R1689),DATE(YEAR(R1689),MONTH(R1689),1),"")))</f>
        <v/>
      </c>
      <c r="X1689" s="38" t="n">
        <f aca="false">IF(AND(OR(T1689="Backlog",T1689="Pipeline",T1689="Overdue"),ISNUMBER(W1689)),IF(W1689&lt;=Settings!$B$6,V1689,0),0)</f>
        <v>0</v>
      </c>
      <c r="Y1689" s="38" t="n">
        <f aca="false">IF(AND(OR(T1689="Backlog",T1689="Pipeline",T1689="Overdue"),ISNUMBER(W1689)),IF(W1689&lt;=Settings!$B$6,Q1689,0),0)</f>
        <v>0</v>
      </c>
      <c r="Z1689" s="38" t="n">
        <f aca="false">IF(Y1689=0,0,IF(T1689="Backlog",Q1689,Q1689*Dashboard!$C$10))</f>
        <v>0</v>
      </c>
      <c r="AA1689" s="37" t="n">
        <f aca="false">IF($N1689="",0,IF(COUNTIF(Dashboard!$C$13:$C$22,$N1689)&gt;0,1,0))</f>
        <v>0</v>
      </c>
      <c r="AB1689" s="37" t="str">
        <f aca="false">IF($N1689="","",IF(COUNTIF($N$8:$N1689,$N1689)=1,MAX($AB$7:$AB1688)+1,""))</f>
        <v/>
      </c>
    </row>
    <row r="1690" customFormat="false" ht="15" hidden="false" customHeight="false" outlineLevel="0" collapsed="false">
      <c r="L1690" s="37" t="str">
        <f aca="false">IF(INDEX($A1690:$J1690,$L$6)&lt;&gt;"",TRIM(LEFT(INDEX($A1690:$J1690,$L$6),FIND("(",INDEX($A1690:$J1690,$L$6)&amp;"(")-1)),L1689)</f>
        <v>Building Value Proposition</v>
      </c>
      <c r="M1690" s="37" t="str">
        <f aca="false">IF(INDEX($A1690:$J1690,$M$6)="","",INDEX($A1690:$J1690,$M$6)&amp;"")</f>
        <v/>
      </c>
      <c r="N1690" s="37" t="str">
        <f aca="false">IF($M1690="","",TRIM(INDEX($A1690:$J1690,$N$6)&amp;""))</f>
        <v/>
      </c>
      <c r="O1690" s="37" t="str">
        <f aca="false">IF($M1690="","",TRIM(INDEX($A1690:$J1690,$O$6)&amp;""))</f>
        <v/>
      </c>
      <c r="P1690" s="37" t="str">
        <f aca="false">IF($M1690="","",IFERROR(IF(INDEX(Settings!$B$41:$B$50,MATCH(O1690,Settings!$A$41:$A$50,0))&amp;""="","UNMAPPED",INDEX(Settings!$B$41:$B$50,MATCH(O1690,Settings!$A$41:$A$50,0))&amp;""),"UNMAPPED"))</f>
        <v/>
      </c>
      <c r="Q1690" s="38" t="n">
        <f aca="false">IF($M1690="",0,N(INDEX($A1690:$J1690,$Q$6)))</f>
        <v>0</v>
      </c>
      <c r="R1690" s="39" t="str">
        <f aca="false">IF($M1690="","",INDEX($A1690:$J1690,$R$6))</f>
        <v/>
      </c>
      <c r="S1690" s="37" t="str">
        <f aca="false">IF($M1690="","",IFERROR(INDEX(Settings!$B$27:$B$36,MATCH(L1690,Settings!$A$27:$A$36,0))&amp;"","UNMAPPED"))</f>
        <v/>
      </c>
      <c r="T1690" s="37" t="str">
        <f aca="false">IF($M1690="","",IF(NOT(ISNUMBER(R1690)),"NO DATE",IF(S1690="Won",IF(R1690&gt;Settings!$B$5,"Backlog","Delivered"),IF(S1690="Open",IF(R1690&gt;Settings!$B$5,"Pipeline","Overdue"),IF(S1690="Lost","Lost","UNMAPPED")))))</f>
        <v/>
      </c>
      <c r="U1690" s="40" t="n">
        <f aca="false">IF(T1690="Backlog",1,IF(OR(T1690="Pipeline",T1690="Overdue"),N(INDEX(Settings!$C$27:$C$36,MATCH(L1690,Settings!$A$27:$A$36,0))),0))</f>
        <v>0</v>
      </c>
      <c r="V1690" s="38" t="n">
        <f aca="false">Q1690*U1690</f>
        <v>0</v>
      </c>
      <c r="W1690" s="41" t="str">
        <f aca="false">IF($M1690="","",IF(T1690="Overdue",IF(Settings!$B$8="Yes",Settings!$B$7,""),IF(ISNUMBER(R1690),DATE(YEAR(R1690),MONTH(R1690),1),"")))</f>
        <v/>
      </c>
      <c r="X1690" s="38" t="n">
        <f aca="false">IF(AND(OR(T1690="Backlog",T1690="Pipeline",T1690="Overdue"),ISNUMBER(W1690)),IF(W1690&lt;=Settings!$B$6,V1690,0),0)</f>
        <v>0</v>
      </c>
      <c r="Y1690" s="38" t="n">
        <f aca="false">IF(AND(OR(T1690="Backlog",T1690="Pipeline",T1690="Overdue"),ISNUMBER(W1690)),IF(W1690&lt;=Settings!$B$6,Q1690,0),0)</f>
        <v>0</v>
      </c>
      <c r="Z1690" s="38" t="n">
        <f aca="false">IF(Y1690=0,0,IF(T1690="Backlog",Q1690,Q1690*Dashboard!$C$10))</f>
        <v>0</v>
      </c>
      <c r="AA1690" s="37" t="n">
        <f aca="false">IF($N1690="",0,IF(COUNTIF(Dashboard!$C$13:$C$22,$N1690)&gt;0,1,0))</f>
        <v>0</v>
      </c>
      <c r="AB1690" s="37" t="str">
        <f aca="false">IF($N1690="","",IF(COUNTIF($N$8:$N1690,$N1690)=1,MAX($AB$7:$AB1689)+1,""))</f>
        <v/>
      </c>
    </row>
    <row r="1691" customFormat="false" ht="15" hidden="false" customHeight="false" outlineLevel="0" collapsed="false">
      <c r="L1691" s="37" t="str">
        <f aca="false">IF(INDEX($A1691:$J1691,$L$6)&lt;&gt;"",TRIM(LEFT(INDEX($A1691:$J1691,$L$6),FIND("(",INDEX($A1691:$J1691,$L$6)&amp;"(")-1)),L1690)</f>
        <v>Building Value Proposition</v>
      </c>
      <c r="M1691" s="37" t="str">
        <f aca="false">IF(INDEX($A1691:$J1691,$M$6)="","",INDEX($A1691:$J1691,$M$6)&amp;"")</f>
        <v/>
      </c>
      <c r="N1691" s="37" t="str">
        <f aca="false">IF($M1691="","",TRIM(INDEX($A1691:$J1691,$N$6)&amp;""))</f>
        <v/>
      </c>
      <c r="O1691" s="37" t="str">
        <f aca="false">IF($M1691="","",TRIM(INDEX($A1691:$J1691,$O$6)&amp;""))</f>
        <v/>
      </c>
      <c r="P1691" s="37" t="str">
        <f aca="false">IF($M1691="","",IFERROR(IF(INDEX(Settings!$B$41:$B$50,MATCH(O1691,Settings!$A$41:$A$50,0))&amp;""="","UNMAPPED",INDEX(Settings!$B$41:$B$50,MATCH(O1691,Settings!$A$41:$A$50,0))&amp;""),"UNMAPPED"))</f>
        <v/>
      </c>
      <c r="Q1691" s="38" t="n">
        <f aca="false">IF($M1691="",0,N(INDEX($A1691:$J1691,$Q$6)))</f>
        <v>0</v>
      </c>
      <c r="R1691" s="39" t="str">
        <f aca="false">IF($M1691="","",INDEX($A1691:$J1691,$R$6))</f>
        <v/>
      </c>
      <c r="S1691" s="37" t="str">
        <f aca="false">IF($M1691="","",IFERROR(INDEX(Settings!$B$27:$B$36,MATCH(L1691,Settings!$A$27:$A$36,0))&amp;"","UNMAPPED"))</f>
        <v/>
      </c>
      <c r="T1691" s="37" t="str">
        <f aca="false">IF($M1691="","",IF(NOT(ISNUMBER(R1691)),"NO DATE",IF(S1691="Won",IF(R1691&gt;Settings!$B$5,"Backlog","Delivered"),IF(S1691="Open",IF(R1691&gt;Settings!$B$5,"Pipeline","Overdue"),IF(S1691="Lost","Lost","UNMAPPED")))))</f>
        <v/>
      </c>
      <c r="U1691" s="40" t="n">
        <f aca="false">IF(T1691="Backlog",1,IF(OR(T1691="Pipeline",T1691="Overdue"),N(INDEX(Settings!$C$27:$C$36,MATCH(L1691,Settings!$A$27:$A$36,0))),0))</f>
        <v>0</v>
      </c>
      <c r="V1691" s="38" t="n">
        <f aca="false">Q1691*U1691</f>
        <v>0</v>
      </c>
      <c r="W1691" s="41" t="str">
        <f aca="false">IF($M1691="","",IF(T1691="Overdue",IF(Settings!$B$8="Yes",Settings!$B$7,""),IF(ISNUMBER(R1691),DATE(YEAR(R1691),MONTH(R1691),1),"")))</f>
        <v/>
      </c>
      <c r="X1691" s="38" t="n">
        <f aca="false">IF(AND(OR(T1691="Backlog",T1691="Pipeline",T1691="Overdue"),ISNUMBER(W1691)),IF(W1691&lt;=Settings!$B$6,V1691,0),0)</f>
        <v>0</v>
      </c>
      <c r="Y1691" s="38" t="n">
        <f aca="false">IF(AND(OR(T1691="Backlog",T1691="Pipeline",T1691="Overdue"),ISNUMBER(W1691)),IF(W1691&lt;=Settings!$B$6,Q1691,0),0)</f>
        <v>0</v>
      </c>
      <c r="Z1691" s="38" t="n">
        <f aca="false">IF(Y1691=0,0,IF(T1691="Backlog",Q1691,Q1691*Dashboard!$C$10))</f>
        <v>0</v>
      </c>
      <c r="AA1691" s="37" t="n">
        <f aca="false">IF($N1691="",0,IF(COUNTIF(Dashboard!$C$13:$C$22,$N1691)&gt;0,1,0))</f>
        <v>0</v>
      </c>
      <c r="AB1691" s="37" t="str">
        <f aca="false">IF($N1691="","",IF(COUNTIF($N$8:$N1691,$N1691)=1,MAX($AB$7:$AB1690)+1,""))</f>
        <v/>
      </c>
    </row>
    <row r="1692" customFormat="false" ht="15" hidden="false" customHeight="false" outlineLevel="0" collapsed="false">
      <c r="L1692" s="37" t="str">
        <f aca="false">IF(INDEX($A1692:$J1692,$L$6)&lt;&gt;"",TRIM(LEFT(INDEX($A1692:$J1692,$L$6),FIND("(",INDEX($A1692:$J1692,$L$6)&amp;"(")-1)),L1691)</f>
        <v>Building Value Proposition</v>
      </c>
      <c r="M1692" s="37" t="str">
        <f aca="false">IF(INDEX($A1692:$J1692,$M$6)="","",INDEX($A1692:$J1692,$M$6)&amp;"")</f>
        <v/>
      </c>
      <c r="N1692" s="37" t="str">
        <f aca="false">IF($M1692="","",TRIM(INDEX($A1692:$J1692,$N$6)&amp;""))</f>
        <v/>
      </c>
      <c r="O1692" s="37" t="str">
        <f aca="false">IF($M1692="","",TRIM(INDEX($A1692:$J1692,$O$6)&amp;""))</f>
        <v/>
      </c>
      <c r="P1692" s="37" t="str">
        <f aca="false">IF($M1692="","",IFERROR(IF(INDEX(Settings!$B$41:$B$50,MATCH(O1692,Settings!$A$41:$A$50,0))&amp;""="","UNMAPPED",INDEX(Settings!$B$41:$B$50,MATCH(O1692,Settings!$A$41:$A$50,0))&amp;""),"UNMAPPED"))</f>
        <v/>
      </c>
      <c r="Q1692" s="38" t="n">
        <f aca="false">IF($M1692="",0,N(INDEX($A1692:$J1692,$Q$6)))</f>
        <v>0</v>
      </c>
      <c r="R1692" s="39" t="str">
        <f aca="false">IF($M1692="","",INDEX($A1692:$J1692,$R$6))</f>
        <v/>
      </c>
      <c r="S1692" s="37" t="str">
        <f aca="false">IF($M1692="","",IFERROR(INDEX(Settings!$B$27:$B$36,MATCH(L1692,Settings!$A$27:$A$36,0))&amp;"","UNMAPPED"))</f>
        <v/>
      </c>
      <c r="T1692" s="37" t="str">
        <f aca="false">IF($M1692="","",IF(NOT(ISNUMBER(R1692)),"NO DATE",IF(S1692="Won",IF(R1692&gt;Settings!$B$5,"Backlog","Delivered"),IF(S1692="Open",IF(R1692&gt;Settings!$B$5,"Pipeline","Overdue"),IF(S1692="Lost","Lost","UNMAPPED")))))</f>
        <v/>
      </c>
      <c r="U1692" s="40" t="n">
        <f aca="false">IF(T1692="Backlog",1,IF(OR(T1692="Pipeline",T1692="Overdue"),N(INDEX(Settings!$C$27:$C$36,MATCH(L1692,Settings!$A$27:$A$36,0))),0))</f>
        <v>0</v>
      </c>
      <c r="V1692" s="38" t="n">
        <f aca="false">Q1692*U1692</f>
        <v>0</v>
      </c>
      <c r="W1692" s="41" t="str">
        <f aca="false">IF($M1692="","",IF(T1692="Overdue",IF(Settings!$B$8="Yes",Settings!$B$7,""),IF(ISNUMBER(R1692),DATE(YEAR(R1692),MONTH(R1692),1),"")))</f>
        <v/>
      </c>
      <c r="X1692" s="38" t="n">
        <f aca="false">IF(AND(OR(T1692="Backlog",T1692="Pipeline",T1692="Overdue"),ISNUMBER(W1692)),IF(W1692&lt;=Settings!$B$6,V1692,0),0)</f>
        <v>0</v>
      </c>
      <c r="Y1692" s="38" t="n">
        <f aca="false">IF(AND(OR(T1692="Backlog",T1692="Pipeline",T1692="Overdue"),ISNUMBER(W1692)),IF(W1692&lt;=Settings!$B$6,Q1692,0),0)</f>
        <v>0</v>
      </c>
      <c r="Z1692" s="38" t="n">
        <f aca="false">IF(Y1692=0,0,IF(T1692="Backlog",Q1692,Q1692*Dashboard!$C$10))</f>
        <v>0</v>
      </c>
      <c r="AA1692" s="37" t="n">
        <f aca="false">IF($N1692="",0,IF(COUNTIF(Dashboard!$C$13:$C$22,$N1692)&gt;0,1,0))</f>
        <v>0</v>
      </c>
      <c r="AB1692" s="37" t="str">
        <f aca="false">IF($N1692="","",IF(COUNTIF($N$8:$N1692,$N1692)=1,MAX($AB$7:$AB1691)+1,""))</f>
        <v/>
      </c>
    </row>
    <row r="1693" customFormat="false" ht="15" hidden="false" customHeight="false" outlineLevel="0" collapsed="false">
      <c r="L1693" s="37" t="str">
        <f aca="false">IF(INDEX($A1693:$J1693,$L$6)&lt;&gt;"",TRIM(LEFT(INDEX($A1693:$J1693,$L$6),FIND("(",INDEX($A1693:$J1693,$L$6)&amp;"(")-1)),L1692)</f>
        <v>Building Value Proposition</v>
      </c>
      <c r="M1693" s="37" t="str">
        <f aca="false">IF(INDEX($A1693:$J1693,$M$6)="","",INDEX($A1693:$J1693,$M$6)&amp;"")</f>
        <v/>
      </c>
      <c r="N1693" s="37" t="str">
        <f aca="false">IF($M1693="","",TRIM(INDEX($A1693:$J1693,$N$6)&amp;""))</f>
        <v/>
      </c>
      <c r="O1693" s="37" t="str">
        <f aca="false">IF($M1693="","",TRIM(INDEX($A1693:$J1693,$O$6)&amp;""))</f>
        <v/>
      </c>
      <c r="P1693" s="37" t="str">
        <f aca="false">IF($M1693="","",IFERROR(IF(INDEX(Settings!$B$41:$B$50,MATCH(O1693,Settings!$A$41:$A$50,0))&amp;""="","UNMAPPED",INDEX(Settings!$B$41:$B$50,MATCH(O1693,Settings!$A$41:$A$50,0))&amp;""),"UNMAPPED"))</f>
        <v/>
      </c>
      <c r="Q1693" s="38" t="n">
        <f aca="false">IF($M1693="",0,N(INDEX($A1693:$J1693,$Q$6)))</f>
        <v>0</v>
      </c>
      <c r="R1693" s="39" t="str">
        <f aca="false">IF($M1693="","",INDEX($A1693:$J1693,$R$6))</f>
        <v/>
      </c>
      <c r="S1693" s="37" t="str">
        <f aca="false">IF($M1693="","",IFERROR(INDEX(Settings!$B$27:$B$36,MATCH(L1693,Settings!$A$27:$A$36,0))&amp;"","UNMAPPED"))</f>
        <v/>
      </c>
      <c r="T1693" s="37" t="str">
        <f aca="false">IF($M1693="","",IF(NOT(ISNUMBER(R1693)),"NO DATE",IF(S1693="Won",IF(R1693&gt;Settings!$B$5,"Backlog","Delivered"),IF(S1693="Open",IF(R1693&gt;Settings!$B$5,"Pipeline","Overdue"),IF(S1693="Lost","Lost","UNMAPPED")))))</f>
        <v/>
      </c>
      <c r="U1693" s="40" t="n">
        <f aca="false">IF(T1693="Backlog",1,IF(OR(T1693="Pipeline",T1693="Overdue"),N(INDEX(Settings!$C$27:$C$36,MATCH(L1693,Settings!$A$27:$A$36,0))),0))</f>
        <v>0</v>
      </c>
      <c r="V1693" s="38" t="n">
        <f aca="false">Q1693*U1693</f>
        <v>0</v>
      </c>
      <c r="W1693" s="41" t="str">
        <f aca="false">IF($M1693="","",IF(T1693="Overdue",IF(Settings!$B$8="Yes",Settings!$B$7,""),IF(ISNUMBER(R1693),DATE(YEAR(R1693),MONTH(R1693),1),"")))</f>
        <v/>
      </c>
      <c r="X1693" s="38" t="n">
        <f aca="false">IF(AND(OR(T1693="Backlog",T1693="Pipeline",T1693="Overdue"),ISNUMBER(W1693)),IF(W1693&lt;=Settings!$B$6,V1693,0),0)</f>
        <v>0</v>
      </c>
      <c r="Y1693" s="38" t="n">
        <f aca="false">IF(AND(OR(T1693="Backlog",T1693="Pipeline",T1693="Overdue"),ISNUMBER(W1693)),IF(W1693&lt;=Settings!$B$6,Q1693,0),0)</f>
        <v>0</v>
      </c>
      <c r="Z1693" s="38" t="n">
        <f aca="false">IF(Y1693=0,0,IF(T1693="Backlog",Q1693,Q1693*Dashboard!$C$10))</f>
        <v>0</v>
      </c>
      <c r="AA1693" s="37" t="n">
        <f aca="false">IF($N1693="",0,IF(COUNTIF(Dashboard!$C$13:$C$22,$N1693)&gt;0,1,0))</f>
        <v>0</v>
      </c>
      <c r="AB1693" s="37" t="str">
        <f aca="false">IF($N1693="","",IF(COUNTIF($N$8:$N1693,$N1693)=1,MAX($AB$7:$AB1692)+1,""))</f>
        <v/>
      </c>
    </row>
    <row r="1694" customFormat="false" ht="15" hidden="false" customHeight="false" outlineLevel="0" collapsed="false">
      <c r="L1694" s="37" t="str">
        <f aca="false">IF(INDEX($A1694:$J1694,$L$6)&lt;&gt;"",TRIM(LEFT(INDEX($A1694:$J1694,$L$6),FIND("(",INDEX($A1694:$J1694,$L$6)&amp;"(")-1)),L1693)</f>
        <v>Building Value Proposition</v>
      </c>
      <c r="M1694" s="37" t="str">
        <f aca="false">IF(INDEX($A1694:$J1694,$M$6)="","",INDEX($A1694:$J1694,$M$6)&amp;"")</f>
        <v/>
      </c>
      <c r="N1694" s="37" t="str">
        <f aca="false">IF($M1694="","",TRIM(INDEX($A1694:$J1694,$N$6)&amp;""))</f>
        <v/>
      </c>
      <c r="O1694" s="37" t="str">
        <f aca="false">IF($M1694="","",TRIM(INDEX($A1694:$J1694,$O$6)&amp;""))</f>
        <v/>
      </c>
      <c r="P1694" s="37" t="str">
        <f aca="false">IF($M1694="","",IFERROR(IF(INDEX(Settings!$B$41:$B$50,MATCH(O1694,Settings!$A$41:$A$50,0))&amp;""="","UNMAPPED",INDEX(Settings!$B$41:$B$50,MATCH(O1694,Settings!$A$41:$A$50,0))&amp;""),"UNMAPPED"))</f>
        <v/>
      </c>
      <c r="Q1694" s="38" t="n">
        <f aca="false">IF($M1694="",0,N(INDEX($A1694:$J1694,$Q$6)))</f>
        <v>0</v>
      </c>
      <c r="R1694" s="39" t="str">
        <f aca="false">IF($M1694="","",INDEX($A1694:$J1694,$R$6))</f>
        <v/>
      </c>
      <c r="S1694" s="37" t="str">
        <f aca="false">IF($M1694="","",IFERROR(INDEX(Settings!$B$27:$B$36,MATCH(L1694,Settings!$A$27:$A$36,0))&amp;"","UNMAPPED"))</f>
        <v/>
      </c>
      <c r="T1694" s="37" t="str">
        <f aca="false">IF($M1694="","",IF(NOT(ISNUMBER(R1694)),"NO DATE",IF(S1694="Won",IF(R1694&gt;Settings!$B$5,"Backlog","Delivered"),IF(S1694="Open",IF(R1694&gt;Settings!$B$5,"Pipeline","Overdue"),IF(S1694="Lost","Lost","UNMAPPED")))))</f>
        <v/>
      </c>
      <c r="U1694" s="40" t="n">
        <f aca="false">IF(T1694="Backlog",1,IF(OR(T1694="Pipeline",T1694="Overdue"),N(INDEX(Settings!$C$27:$C$36,MATCH(L1694,Settings!$A$27:$A$36,0))),0))</f>
        <v>0</v>
      </c>
      <c r="V1694" s="38" t="n">
        <f aca="false">Q1694*U1694</f>
        <v>0</v>
      </c>
      <c r="W1694" s="41" t="str">
        <f aca="false">IF($M1694="","",IF(T1694="Overdue",IF(Settings!$B$8="Yes",Settings!$B$7,""),IF(ISNUMBER(R1694),DATE(YEAR(R1694),MONTH(R1694),1),"")))</f>
        <v/>
      </c>
      <c r="X1694" s="38" t="n">
        <f aca="false">IF(AND(OR(T1694="Backlog",T1694="Pipeline",T1694="Overdue"),ISNUMBER(W1694)),IF(W1694&lt;=Settings!$B$6,V1694,0),0)</f>
        <v>0</v>
      </c>
      <c r="Y1694" s="38" t="n">
        <f aca="false">IF(AND(OR(T1694="Backlog",T1694="Pipeline",T1694="Overdue"),ISNUMBER(W1694)),IF(W1694&lt;=Settings!$B$6,Q1694,0),0)</f>
        <v>0</v>
      </c>
      <c r="Z1694" s="38" t="n">
        <f aca="false">IF(Y1694=0,0,IF(T1694="Backlog",Q1694,Q1694*Dashboard!$C$10))</f>
        <v>0</v>
      </c>
      <c r="AA1694" s="37" t="n">
        <f aca="false">IF($N1694="",0,IF(COUNTIF(Dashboard!$C$13:$C$22,$N1694)&gt;0,1,0))</f>
        <v>0</v>
      </c>
      <c r="AB1694" s="37" t="str">
        <f aca="false">IF($N1694="","",IF(COUNTIF($N$8:$N1694,$N1694)=1,MAX($AB$7:$AB1693)+1,""))</f>
        <v/>
      </c>
    </row>
    <row r="1695" customFormat="false" ht="15" hidden="false" customHeight="false" outlineLevel="0" collapsed="false">
      <c r="L1695" s="37" t="str">
        <f aca="false">IF(INDEX($A1695:$J1695,$L$6)&lt;&gt;"",TRIM(LEFT(INDEX($A1695:$J1695,$L$6),FIND("(",INDEX($A1695:$J1695,$L$6)&amp;"(")-1)),L1694)</f>
        <v>Building Value Proposition</v>
      </c>
      <c r="M1695" s="37" t="str">
        <f aca="false">IF(INDEX($A1695:$J1695,$M$6)="","",INDEX($A1695:$J1695,$M$6)&amp;"")</f>
        <v/>
      </c>
      <c r="N1695" s="37" t="str">
        <f aca="false">IF($M1695="","",TRIM(INDEX($A1695:$J1695,$N$6)&amp;""))</f>
        <v/>
      </c>
      <c r="O1695" s="37" t="str">
        <f aca="false">IF($M1695="","",TRIM(INDEX($A1695:$J1695,$O$6)&amp;""))</f>
        <v/>
      </c>
      <c r="P1695" s="37" t="str">
        <f aca="false">IF($M1695="","",IFERROR(IF(INDEX(Settings!$B$41:$B$50,MATCH(O1695,Settings!$A$41:$A$50,0))&amp;""="","UNMAPPED",INDEX(Settings!$B$41:$B$50,MATCH(O1695,Settings!$A$41:$A$50,0))&amp;""),"UNMAPPED"))</f>
        <v/>
      </c>
      <c r="Q1695" s="38" t="n">
        <f aca="false">IF($M1695="",0,N(INDEX($A1695:$J1695,$Q$6)))</f>
        <v>0</v>
      </c>
      <c r="R1695" s="39" t="str">
        <f aca="false">IF($M1695="","",INDEX($A1695:$J1695,$R$6))</f>
        <v/>
      </c>
      <c r="S1695" s="37" t="str">
        <f aca="false">IF($M1695="","",IFERROR(INDEX(Settings!$B$27:$B$36,MATCH(L1695,Settings!$A$27:$A$36,0))&amp;"","UNMAPPED"))</f>
        <v/>
      </c>
      <c r="T1695" s="37" t="str">
        <f aca="false">IF($M1695="","",IF(NOT(ISNUMBER(R1695)),"NO DATE",IF(S1695="Won",IF(R1695&gt;Settings!$B$5,"Backlog","Delivered"),IF(S1695="Open",IF(R1695&gt;Settings!$B$5,"Pipeline","Overdue"),IF(S1695="Lost","Lost","UNMAPPED")))))</f>
        <v/>
      </c>
      <c r="U1695" s="40" t="n">
        <f aca="false">IF(T1695="Backlog",1,IF(OR(T1695="Pipeline",T1695="Overdue"),N(INDEX(Settings!$C$27:$C$36,MATCH(L1695,Settings!$A$27:$A$36,0))),0))</f>
        <v>0</v>
      </c>
      <c r="V1695" s="38" t="n">
        <f aca="false">Q1695*U1695</f>
        <v>0</v>
      </c>
      <c r="W1695" s="41" t="str">
        <f aca="false">IF($M1695="","",IF(T1695="Overdue",IF(Settings!$B$8="Yes",Settings!$B$7,""),IF(ISNUMBER(R1695),DATE(YEAR(R1695),MONTH(R1695),1),"")))</f>
        <v/>
      </c>
      <c r="X1695" s="38" t="n">
        <f aca="false">IF(AND(OR(T1695="Backlog",T1695="Pipeline",T1695="Overdue"),ISNUMBER(W1695)),IF(W1695&lt;=Settings!$B$6,V1695,0),0)</f>
        <v>0</v>
      </c>
      <c r="Y1695" s="38" t="n">
        <f aca="false">IF(AND(OR(T1695="Backlog",T1695="Pipeline",T1695="Overdue"),ISNUMBER(W1695)),IF(W1695&lt;=Settings!$B$6,Q1695,0),0)</f>
        <v>0</v>
      </c>
      <c r="Z1695" s="38" t="n">
        <f aca="false">IF(Y1695=0,0,IF(T1695="Backlog",Q1695,Q1695*Dashboard!$C$10))</f>
        <v>0</v>
      </c>
      <c r="AA1695" s="37" t="n">
        <f aca="false">IF($N1695="",0,IF(COUNTIF(Dashboard!$C$13:$C$22,$N1695)&gt;0,1,0))</f>
        <v>0</v>
      </c>
      <c r="AB1695" s="37" t="str">
        <f aca="false">IF($N1695="","",IF(COUNTIF($N$8:$N1695,$N1695)=1,MAX($AB$7:$AB1694)+1,""))</f>
        <v/>
      </c>
    </row>
    <row r="1696" customFormat="false" ht="15" hidden="false" customHeight="false" outlineLevel="0" collapsed="false">
      <c r="L1696" s="37" t="str">
        <f aca="false">IF(INDEX($A1696:$J1696,$L$6)&lt;&gt;"",TRIM(LEFT(INDEX($A1696:$J1696,$L$6),FIND("(",INDEX($A1696:$J1696,$L$6)&amp;"(")-1)),L1695)</f>
        <v>Building Value Proposition</v>
      </c>
      <c r="M1696" s="37" t="str">
        <f aca="false">IF(INDEX($A1696:$J1696,$M$6)="","",INDEX($A1696:$J1696,$M$6)&amp;"")</f>
        <v/>
      </c>
      <c r="N1696" s="37" t="str">
        <f aca="false">IF($M1696="","",TRIM(INDEX($A1696:$J1696,$N$6)&amp;""))</f>
        <v/>
      </c>
      <c r="O1696" s="37" t="str">
        <f aca="false">IF($M1696="","",TRIM(INDEX($A1696:$J1696,$O$6)&amp;""))</f>
        <v/>
      </c>
      <c r="P1696" s="37" t="str">
        <f aca="false">IF($M1696="","",IFERROR(IF(INDEX(Settings!$B$41:$B$50,MATCH(O1696,Settings!$A$41:$A$50,0))&amp;""="","UNMAPPED",INDEX(Settings!$B$41:$B$50,MATCH(O1696,Settings!$A$41:$A$50,0))&amp;""),"UNMAPPED"))</f>
        <v/>
      </c>
      <c r="Q1696" s="38" t="n">
        <f aca="false">IF($M1696="",0,N(INDEX($A1696:$J1696,$Q$6)))</f>
        <v>0</v>
      </c>
      <c r="R1696" s="39" t="str">
        <f aca="false">IF($M1696="","",INDEX($A1696:$J1696,$R$6))</f>
        <v/>
      </c>
      <c r="S1696" s="37" t="str">
        <f aca="false">IF($M1696="","",IFERROR(INDEX(Settings!$B$27:$B$36,MATCH(L1696,Settings!$A$27:$A$36,0))&amp;"","UNMAPPED"))</f>
        <v/>
      </c>
      <c r="T1696" s="37" t="str">
        <f aca="false">IF($M1696="","",IF(NOT(ISNUMBER(R1696)),"NO DATE",IF(S1696="Won",IF(R1696&gt;Settings!$B$5,"Backlog","Delivered"),IF(S1696="Open",IF(R1696&gt;Settings!$B$5,"Pipeline","Overdue"),IF(S1696="Lost","Lost","UNMAPPED")))))</f>
        <v/>
      </c>
      <c r="U1696" s="40" t="n">
        <f aca="false">IF(T1696="Backlog",1,IF(OR(T1696="Pipeline",T1696="Overdue"),N(INDEX(Settings!$C$27:$C$36,MATCH(L1696,Settings!$A$27:$A$36,0))),0))</f>
        <v>0</v>
      </c>
      <c r="V1696" s="38" t="n">
        <f aca="false">Q1696*U1696</f>
        <v>0</v>
      </c>
      <c r="W1696" s="41" t="str">
        <f aca="false">IF($M1696="","",IF(T1696="Overdue",IF(Settings!$B$8="Yes",Settings!$B$7,""),IF(ISNUMBER(R1696),DATE(YEAR(R1696),MONTH(R1696),1),"")))</f>
        <v/>
      </c>
      <c r="X1696" s="38" t="n">
        <f aca="false">IF(AND(OR(T1696="Backlog",T1696="Pipeline",T1696="Overdue"),ISNUMBER(W1696)),IF(W1696&lt;=Settings!$B$6,V1696,0),0)</f>
        <v>0</v>
      </c>
      <c r="Y1696" s="38" t="n">
        <f aca="false">IF(AND(OR(T1696="Backlog",T1696="Pipeline",T1696="Overdue"),ISNUMBER(W1696)),IF(W1696&lt;=Settings!$B$6,Q1696,0),0)</f>
        <v>0</v>
      </c>
      <c r="Z1696" s="38" t="n">
        <f aca="false">IF(Y1696=0,0,IF(T1696="Backlog",Q1696,Q1696*Dashboard!$C$10))</f>
        <v>0</v>
      </c>
      <c r="AA1696" s="37" t="n">
        <f aca="false">IF($N1696="",0,IF(COUNTIF(Dashboard!$C$13:$C$22,$N1696)&gt;0,1,0))</f>
        <v>0</v>
      </c>
      <c r="AB1696" s="37" t="str">
        <f aca="false">IF($N1696="","",IF(COUNTIF($N$8:$N1696,$N1696)=1,MAX($AB$7:$AB1695)+1,""))</f>
        <v/>
      </c>
    </row>
    <row r="1697" customFormat="false" ht="15" hidden="false" customHeight="false" outlineLevel="0" collapsed="false">
      <c r="L1697" s="37" t="str">
        <f aca="false">IF(INDEX($A1697:$J1697,$L$6)&lt;&gt;"",TRIM(LEFT(INDEX($A1697:$J1697,$L$6),FIND("(",INDEX($A1697:$J1697,$L$6)&amp;"(")-1)),L1696)</f>
        <v>Building Value Proposition</v>
      </c>
      <c r="M1697" s="37" t="str">
        <f aca="false">IF(INDEX($A1697:$J1697,$M$6)="","",INDEX($A1697:$J1697,$M$6)&amp;"")</f>
        <v/>
      </c>
      <c r="N1697" s="37" t="str">
        <f aca="false">IF($M1697="","",TRIM(INDEX($A1697:$J1697,$N$6)&amp;""))</f>
        <v/>
      </c>
      <c r="O1697" s="37" t="str">
        <f aca="false">IF($M1697="","",TRIM(INDEX($A1697:$J1697,$O$6)&amp;""))</f>
        <v/>
      </c>
      <c r="P1697" s="37" t="str">
        <f aca="false">IF($M1697="","",IFERROR(IF(INDEX(Settings!$B$41:$B$50,MATCH(O1697,Settings!$A$41:$A$50,0))&amp;""="","UNMAPPED",INDEX(Settings!$B$41:$B$50,MATCH(O1697,Settings!$A$41:$A$50,0))&amp;""),"UNMAPPED"))</f>
        <v/>
      </c>
      <c r="Q1697" s="38" t="n">
        <f aca="false">IF($M1697="",0,N(INDEX($A1697:$J1697,$Q$6)))</f>
        <v>0</v>
      </c>
      <c r="R1697" s="39" t="str">
        <f aca="false">IF($M1697="","",INDEX($A1697:$J1697,$R$6))</f>
        <v/>
      </c>
      <c r="S1697" s="37" t="str">
        <f aca="false">IF($M1697="","",IFERROR(INDEX(Settings!$B$27:$B$36,MATCH(L1697,Settings!$A$27:$A$36,0))&amp;"","UNMAPPED"))</f>
        <v/>
      </c>
      <c r="T1697" s="37" t="str">
        <f aca="false">IF($M1697="","",IF(NOT(ISNUMBER(R1697)),"NO DATE",IF(S1697="Won",IF(R1697&gt;Settings!$B$5,"Backlog","Delivered"),IF(S1697="Open",IF(R1697&gt;Settings!$B$5,"Pipeline","Overdue"),IF(S1697="Lost","Lost","UNMAPPED")))))</f>
        <v/>
      </c>
      <c r="U1697" s="40" t="n">
        <f aca="false">IF(T1697="Backlog",1,IF(OR(T1697="Pipeline",T1697="Overdue"),N(INDEX(Settings!$C$27:$C$36,MATCH(L1697,Settings!$A$27:$A$36,0))),0))</f>
        <v>0</v>
      </c>
      <c r="V1697" s="38" t="n">
        <f aca="false">Q1697*U1697</f>
        <v>0</v>
      </c>
      <c r="W1697" s="41" t="str">
        <f aca="false">IF($M1697="","",IF(T1697="Overdue",IF(Settings!$B$8="Yes",Settings!$B$7,""),IF(ISNUMBER(R1697),DATE(YEAR(R1697),MONTH(R1697),1),"")))</f>
        <v/>
      </c>
      <c r="X1697" s="38" t="n">
        <f aca="false">IF(AND(OR(T1697="Backlog",T1697="Pipeline",T1697="Overdue"),ISNUMBER(W1697)),IF(W1697&lt;=Settings!$B$6,V1697,0),0)</f>
        <v>0</v>
      </c>
      <c r="Y1697" s="38" t="n">
        <f aca="false">IF(AND(OR(T1697="Backlog",T1697="Pipeline",T1697="Overdue"),ISNUMBER(W1697)),IF(W1697&lt;=Settings!$B$6,Q1697,0),0)</f>
        <v>0</v>
      </c>
      <c r="Z1697" s="38" t="n">
        <f aca="false">IF(Y1697=0,0,IF(T1697="Backlog",Q1697,Q1697*Dashboard!$C$10))</f>
        <v>0</v>
      </c>
      <c r="AA1697" s="37" t="n">
        <f aca="false">IF($N1697="",0,IF(COUNTIF(Dashboard!$C$13:$C$22,$N1697)&gt;0,1,0))</f>
        <v>0</v>
      </c>
      <c r="AB1697" s="37" t="str">
        <f aca="false">IF($N1697="","",IF(COUNTIF($N$8:$N1697,$N1697)=1,MAX($AB$7:$AB1696)+1,""))</f>
        <v/>
      </c>
    </row>
    <row r="1698" customFormat="false" ht="15" hidden="false" customHeight="false" outlineLevel="0" collapsed="false">
      <c r="L1698" s="37" t="str">
        <f aca="false">IF(INDEX($A1698:$J1698,$L$6)&lt;&gt;"",TRIM(LEFT(INDEX($A1698:$J1698,$L$6),FIND("(",INDEX($A1698:$J1698,$L$6)&amp;"(")-1)),L1697)</f>
        <v>Building Value Proposition</v>
      </c>
      <c r="M1698" s="37" t="str">
        <f aca="false">IF(INDEX($A1698:$J1698,$M$6)="","",INDEX($A1698:$J1698,$M$6)&amp;"")</f>
        <v/>
      </c>
      <c r="N1698" s="37" t="str">
        <f aca="false">IF($M1698="","",TRIM(INDEX($A1698:$J1698,$N$6)&amp;""))</f>
        <v/>
      </c>
      <c r="O1698" s="37" t="str">
        <f aca="false">IF($M1698="","",TRIM(INDEX($A1698:$J1698,$O$6)&amp;""))</f>
        <v/>
      </c>
      <c r="P1698" s="37" t="str">
        <f aca="false">IF($M1698="","",IFERROR(IF(INDEX(Settings!$B$41:$B$50,MATCH(O1698,Settings!$A$41:$A$50,0))&amp;""="","UNMAPPED",INDEX(Settings!$B$41:$B$50,MATCH(O1698,Settings!$A$41:$A$50,0))&amp;""),"UNMAPPED"))</f>
        <v/>
      </c>
      <c r="Q1698" s="38" t="n">
        <f aca="false">IF($M1698="",0,N(INDEX($A1698:$J1698,$Q$6)))</f>
        <v>0</v>
      </c>
      <c r="R1698" s="39" t="str">
        <f aca="false">IF($M1698="","",INDEX($A1698:$J1698,$R$6))</f>
        <v/>
      </c>
      <c r="S1698" s="37" t="str">
        <f aca="false">IF($M1698="","",IFERROR(INDEX(Settings!$B$27:$B$36,MATCH(L1698,Settings!$A$27:$A$36,0))&amp;"","UNMAPPED"))</f>
        <v/>
      </c>
      <c r="T1698" s="37" t="str">
        <f aca="false">IF($M1698="","",IF(NOT(ISNUMBER(R1698)),"NO DATE",IF(S1698="Won",IF(R1698&gt;Settings!$B$5,"Backlog","Delivered"),IF(S1698="Open",IF(R1698&gt;Settings!$B$5,"Pipeline","Overdue"),IF(S1698="Lost","Lost","UNMAPPED")))))</f>
        <v/>
      </c>
      <c r="U1698" s="40" t="n">
        <f aca="false">IF(T1698="Backlog",1,IF(OR(T1698="Pipeline",T1698="Overdue"),N(INDEX(Settings!$C$27:$C$36,MATCH(L1698,Settings!$A$27:$A$36,0))),0))</f>
        <v>0</v>
      </c>
      <c r="V1698" s="38" t="n">
        <f aca="false">Q1698*U1698</f>
        <v>0</v>
      </c>
      <c r="W1698" s="41" t="str">
        <f aca="false">IF($M1698="","",IF(T1698="Overdue",IF(Settings!$B$8="Yes",Settings!$B$7,""),IF(ISNUMBER(R1698),DATE(YEAR(R1698),MONTH(R1698),1),"")))</f>
        <v/>
      </c>
      <c r="X1698" s="38" t="n">
        <f aca="false">IF(AND(OR(T1698="Backlog",T1698="Pipeline",T1698="Overdue"),ISNUMBER(W1698)),IF(W1698&lt;=Settings!$B$6,V1698,0),0)</f>
        <v>0</v>
      </c>
      <c r="Y1698" s="38" t="n">
        <f aca="false">IF(AND(OR(T1698="Backlog",T1698="Pipeline",T1698="Overdue"),ISNUMBER(W1698)),IF(W1698&lt;=Settings!$B$6,Q1698,0),0)</f>
        <v>0</v>
      </c>
      <c r="Z1698" s="38" t="n">
        <f aca="false">IF(Y1698=0,0,IF(T1698="Backlog",Q1698,Q1698*Dashboard!$C$10))</f>
        <v>0</v>
      </c>
      <c r="AA1698" s="37" t="n">
        <f aca="false">IF($N1698="",0,IF(COUNTIF(Dashboard!$C$13:$C$22,$N1698)&gt;0,1,0))</f>
        <v>0</v>
      </c>
      <c r="AB1698" s="37" t="str">
        <f aca="false">IF($N1698="","",IF(COUNTIF($N$8:$N1698,$N1698)=1,MAX($AB$7:$AB1697)+1,""))</f>
        <v/>
      </c>
    </row>
    <row r="1699" customFormat="false" ht="15" hidden="false" customHeight="false" outlineLevel="0" collapsed="false">
      <c r="L1699" s="37" t="str">
        <f aca="false">IF(INDEX($A1699:$J1699,$L$6)&lt;&gt;"",TRIM(LEFT(INDEX($A1699:$J1699,$L$6),FIND("(",INDEX($A1699:$J1699,$L$6)&amp;"(")-1)),L1698)</f>
        <v>Building Value Proposition</v>
      </c>
      <c r="M1699" s="37" t="str">
        <f aca="false">IF(INDEX($A1699:$J1699,$M$6)="","",INDEX($A1699:$J1699,$M$6)&amp;"")</f>
        <v/>
      </c>
      <c r="N1699" s="37" t="str">
        <f aca="false">IF($M1699="","",TRIM(INDEX($A1699:$J1699,$N$6)&amp;""))</f>
        <v/>
      </c>
      <c r="O1699" s="37" t="str">
        <f aca="false">IF($M1699="","",TRIM(INDEX($A1699:$J1699,$O$6)&amp;""))</f>
        <v/>
      </c>
      <c r="P1699" s="37" t="str">
        <f aca="false">IF($M1699="","",IFERROR(IF(INDEX(Settings!$B$41:$B$50,MATCH(O1699,Settings!$A$41:$A$50,0))&amp;""="","UNMAPPED",INDEX(Settings!$B$41:$B$50,MATCH(O1699,Settings!$A$41:$A$50,0))&amp;""),"UNMAPPED"))</f>
        <v/>
      </c>
      <c r="Q1699" s="38" t="n">
        <f aca="false">IF($M1699="",0,N(INDEX($A1699:$J1699,$Q$6)))</f>
        <v>0</v>
      </c>
      <c r="R1699" s="39" t="str">
        <f aca="false">IF($M1699="","",INDEX($A1699:$J1699,$R$6))</f>
        <v/>
      </c>
      <c r="S1699" s="37" t="str">
        <f aca="false">IF($M1699="","",IFERROR(INDEX(Settings!$B$27:$B$36,MATCH(L1699,Settings!$A$27:$A$36,0))&amp;"","UNMAPPED"))</f>
        <v/>
      </c>
      <c r="T1699" s="37" t="str">
        <f aca="false">IF($M1699="","",IF(NOT(ISNUMBER(R1699)),"NO DATE",IF(S1699="Won",IF(R1699&gt;Settings!$B$5,"Backlog","Delivered"),IF(S1699="Open",IF(R1699&gt;Settings!$B$5,"Pipeline","Overdue"),IF(S1699="Lost","Lost","UNMAPPED")))))</f>
        <v/>
      </c>
      <c r="U1699" s="40" t="n">
        <f aca="false">IF(T1699="Backlog",1,IF(OR(T1699="Pipeline",T1699="Overdue"),N(INDEX(Settings!$C$27:$C$36,MATCH(L1699,Settings!$A$27:$A$36,0))),0))</f>
        <v>0</v>
      </c>
      <c r="V1699" s="38" t="n">
        <f aca="false">Q1699*U1699</f>
        <v>0</v>
      </c>
      <c r="W1699" s="41" t="str">
        <f aca="false">IF($M1699="","",IF(T1699="Overdue",IF(Settings!$B$8="Yes",Settings!$B$7,""),IF(ISNUMBER(R1699),DATE(YEAR(R1699),MONTH(R1699),1),"")))</f>
        <v/>
      </c>
      <c r="X1699" s="38" t="n">
        <f aca="false">IF(AND(OR(T1699="Backlog",T1699="Pipeline",T1699="Overdue"),ISNUMBER(W1699)),IF(W1699&lt;=Settings!$B$6,V1699,0),0)</f>
        <v>0</v>
      </c>
      <c r="Y1699" s="38" t="n">
        <f aca="false">IF(AND(OR(T1699="Backlog",T1699="Pipeline",T1699="Overdue"),ISNUMBER(W1699)),IF(W1699&lt;=Settings!$B$6,Q1699,0),0)</f>
        <v>0</v>
      </c>
      <c r="Z1699" s="38" t="n">
        <f aca="false">IF(Y1699=0,0,IF(T1699="Backlog",Q1699,Q1699*Dashboard!$C$10))</f>
        <v>0</v>
      </c>
      <c r="AA1699" s="37" t="n">
        <f aca="false">IF($N1699="",0,IF(COUNTIF(Dashboard!$C$13:$C$22,$N1699)&gt;0,1,0))</f>
        <v>0</v>
      </c>
      <c r="AB1699" s="37" t="str">
        <f aca="false">IF($N1699="","",IF(COUNTIF($N$8:$N1699,$N1699)=1,MAX($AB$7:$AB1698)+1,""))</f>
        <v/>
      </c>
    </row>
    <row r="1700" customFormat="false" ht="15" hidden="false" customHeight="false" outlineLevel="0" collapsed="false">
      <c r="L1700" s="37" t="str">
        <f aca="false">IF(INDEX($A1700:$J1700,$L$6)&lt;&gt;"",TRIM(LEFT(INDEX($A1700:$J1700,$L$6),FIND("(",INDEX($A1700:$J1700,$L$6)&amp;"(")-1)),L1699)</f>
        <v>Building Value Proposition</v>
      </c>
      <c r="M1700" s="37" t="str">
        <f aca="false">IF(INDEX($A1700:$J1700,$M$6)="","",INDEX($A1700:$J1700,$M$6)&amp;"")</f>
        <v/>
      </c>
      <c r="N1700" s="37" t="str">
        <f aca="false">IF($M1700="","",TRIM(INDEX($A1700:$J1700,$N$6)&amp;""))</f>
        <v/>
      </c>
      <c r="O1700" s="37" t="str">
        <f aca="false">IF($M1700="","",TRIM(INDEX($A1700:$J1700,$O$6)&amp;""))</f>
        <v/>
      </c>
      <c r="P1700" s="37" t="str">
        <f aca="false">IF($M1700="","",IFERROR(IF(INDEX(Settings!$B$41:$B$50,MATCH(O1700,Settings!$A$41:$A$50,0))&amp;""="","UNMAPPED",INDEX(Settings!$B$41:$B$50,MATCH(O1700,Settings!$A$41:$A$50,0))&amp;""),"UNMAPPED"))</f>
        <v/>
      </c>
      <c r="Q1700" s="38" t="n">
        <f aca="false">IF($M1700="",0,N(INDEX($A1700:$J1700,$Q$6)))</f>
        <v>0</v>
      </c>
      <c r="R1700" s="39" t="str">
        <f aca="false">IF($M1700="","",INDEX($A1700:$J1700,$R$6))</f>
        <v/>
      </c>
      <c r="S1700" s="37" t="str">
        <f aca="false">IF($M1700="","",IFERROR(INDEX(Settings!$B$27:$B$36,MATCH(L1700,Settings!$A$27:$A$36,0))&amp;"","UNMAPPED"))</f>
        <v/>
      </c>
      <c r="T1700" s="37" t="str">
        <f aca="false">IF($M1700="","",IF(NOT(ISNUMBER(R1700)),"NO DATE",IF(S1700="Won",IF(R1700&gt;Settings!$B$5,"Backlog","Delivered"),IF(S1700="Open",IF(R1700&gt;Settings!$B$5,"Pipeline","Overdue"),IF(S1700="Lost","Lost","UNMAPPED")))))</f>
        <v/>
      </c>
      <c r="U1700" s="40" t="n">
        <f aca="false">IF(T1700="Backlog",1,IF(OR(T1700="Pipeline",T1700="Overdue"),N(INDEX(Settings!$C$27:$C$36,MATCH(L1700,Settings!$A$27:$A$36,0))),0))</f>
        <v>0</v>
      </c>
      <c r="V1700" s="38" t="n">
        <f aca="false">Q1700*U1700</f>
        <v>0</v>
      </c>
      <c r="W1700" s="41" t="str">
        <f aca="false">IF($M1700="","",IF(T1700="Overdue",IF(Settings!$B$8="Yes",Settings!$B$7,""),IF(ISNUMBER(R1700),DATE(YEAR(R1700),MONTH(R1700),1),"")))</f>
        <v/>
      </c>
      <c r="X1700" s="38" t="n">
        <f aca="false">IF(AND(OR(T1700="Backlog",T1700="Pipeline",T1700="Overdue"),ISNUMBER(W1700)),IF(W1700&lt;=Settings!$B$6,V1700,0),0)</f>
        <v>0</v>
      </c>
      <c r="Y1700" s="38" t="n">
        <f aca="false">IF(AND(OR(T1700="Backlog",T1700="Pipeline",T1700="Overdue"),ISNUMBER(W1700)),IF(W1700&lt;=Settings!$B$6,Q1700,0),0)</f>
        <v>0</v>
      </c>
      <c r="Z1700" s="38" t="n">
        <f aca="false">IF(Y1700=0,0,IF(T1700="Backlog",Q1700,Q1700*Dashboard!$C$10))</f>
        <v>0</v>
      </c>
      <c r="AA1700" s="37" t="n">
        <f aca="false">IF($N1700="",0,IF(COUNTIF(Dashboard!$C$13:$C$22,$N1700)&gt;0,1,0))</f>
        <v>0</v>
      </c>
      <c r="AB1700" s="37" t="str">
        <f aca="false">IF($N1700="","",IF(COUNTIF($N$8:$N1700,$N1700)=1,MAX($AB$7:$AB1699)+1,""))</f>
        <v/>
      </c>
    </row>
    <row r="1701" customFormat="false" ht="15" hidden="false" customHeight="false" outlineLevel="0" collapsed="false">
      <c r="L1701" s="37" t="str">
        <f aca="false">IF(INDEX($A1701:$J1701,$L$6)&lt;&gt;"",TRIM(LEFT(INDEX($A1701:$J1701,$L$6),FIND("(",INDEX($A1701:$J1701,$L$6)&amp;"(")-1)),L1700)</f>
        <v>Building Value Proposition</v>
      </c>
      <c r="M1701" s="37" t="str">
        <f aca="false">IF(INDEX($A1701:$J1701,$M$6)="","",INDEX($A1701:$J1701,$M$6)&amp;"")</f>
        <v/>
      </c>
      <c r="N1701" s="37" t="str">
        <f aca="false">IF($M1701="","",TRIM(INDEX($A1701:$J1701,$N$6)&amp;""))</f>
        <v/>
      </c>
      <c r="O1701" s="37" t="str">
        <f aca="false">IF($M1701="","",TRIM(INDEX($A1701:$J1701,$O$6)&amp;""))</f>
        <v/>
      </c>
      <c r="P1701" s="37" t="str">
        <f aca="false">IF($M1701="","",IFERROR(IF(INDEX(Settings!$B$41:$B$50,MATCH(O1701,Settings!$A$41:$A$50,0))&amp;""="","UNMAPPED",INDEX(Settings!$B$41:$B$50,MATCH(O1701,Settings!$A$41:$A$50,0))&amp;""),"UNMAPPED"))</f>
        <v/>
      </c>
      <c r="Q1701" s="38" t="n">
        <f aca="false">IF($M1701="",0,N(INDEX($A1701:$J1701,$Q$6)))</f>
        <v>0</v>
      </c>
      <c r="R1701" s="39" t="str">
        <f aca="false">IF($M1701="","",INDEX($A1701:$J1701,$R$6))</f>
        <v/>
      </c>
      <c r="S1701" s="37" t="str">
        <f aca="false">IF($M1701="","",IFERROR(INDEX(Settings!$B$27:$B$36,MATCH(L1701,Settings!$A$27:$A$36,0))&amp;"","UNMAPPED"))</f>
        <v/>
      </c>
      <c r="T1701" s="37" t="str">
        <f aca="false">IF($M1701="","",IF(NOT(ISNUMBER(R1701)),"NO DATE",IF(S1701="Won",IF(R1701&gt;Settings!$B$5,"Backlog","Delivered"),IF(S1701="Open",IF(R1701&gt;Settings!$B$5,"Pipeline","Overdue"),IF(S1701="Lost","Lost","UNMAPPED")))))</f>
        <v/>
      </c>
      <c r="U1701" s="40" t="n">
        <f aca="false">IF(T1701="Backlog",1,IF(OR(T1701="Pipeline",T1701="Overdue"),N(INDEX(Settings!$C$27:$C$36,MATCH(L1701,Settings!$A$27:$A$36,0))),0))</f>
        <v>0</v>
      </c>
      <c r="V1701" s="38" t="n">
        <f aca="false">Q1701*U1701</f>
        <v>0</v>
      </c>
      <c r="W1701" s="41" t="str">
        <f aca="false">IF($M1701="","",IF(T1701="Overdue",IF(Settings!$B$8="Yes",Settings!$B$7,""),IF(ISNUMBER(R1701),DATE(YEAR(R1701),MONTH(R1701),1),"")))</f>
        <v/>
      </c>
      <c r="X1701" s="38" t="n">
        <f aca="false">IF(AND(OR(T1701="Backlog",T1701="Pipeline",T1701="Overdue"),ISNUMBER(W1701)),IF(W1701&lt;=Settings!$B$6,V1701,0),0)</f>
        <v>0</v>
      </c>
      <c r="Y1701" s="38" t="n">
        <f aca="false">IF(AND(OR(T1701="Backlog",T1701="Pipeline",T1701="Overdue"),ISNUMBER(W1701)),IF(W1701&lt;=Settings!$B$6,Q1701,0),0)</f>
        <v>0</v>
      </c>
      <c r="Z1701" s="38" t="n">
        <f aca="false">IF(Y1701=0,0,IF(T1701="Backlog",Q1701,Q1701*Dashboard!$C$10))</f>
        <v>0</v>
      </c>
      <c r="AA1701" s="37" t="n">
        <f aca="false">IF($N1701="",0,IF(COUNTIF(Dashboard!$C$13:$C$22,$N1701)&gt;0,1,0))</f>
        <v>0</v>
      </c>
      <c r="AB1701" s="37" t="str">
        <f aca="false">IF($N1701="","",IF(COUNTIF($N$8:$N1701,$N1701)=1,MAX($AB$7:$AB1700)+1,""))</f>
        <v/>
      </c>
    </row>
    <row r="1702" customFormat="false" ht="15" hidden="false" customHeight="false" outlineLevel="0" collapsed="false">
      <c r="L1702" s="37" t="str">
        <f aca="false">IF(INDEX($A1702:$J1702,$L$6)&lt;&gt;"",TRIM(LEFT(INDEX($A1702:$J1702,$L$6),FIND("(",INDEX($A1702:$J1702,$L$6)&amp;"(")-1)),L1701)</f>
        <v>Building Value Proposition</v>
      </c>
      <c r="M1702" s="37" t="str">
        <f aca="false">IF(INDEX($A1702:$J1702,$M$6)="","",INDEX($A1702:$J1702,$M$6)&amp;"")</f>
        <v/>
      </c>
      <c r="N1702" s="37" t="str">
        <f aca="false">IF($M1702="","",TRIM(INDEX($A1702:$J1702,$N$6)&amp;""))</f>
        <v/>
      </c>
      <c r="O1702" s="37" t="str">
        <f aca="false">IF($M1702="","",TRIM(INDEX($A1702:$J1702,$O$6)&amp;""))</f>
        <v/>
      </c>
      <c r="P1702" s="37" t="str">
        <f aca="false">IF($M1702="","",IFERROR(IF(INDEX(Settings!$B$41:$B$50,MATCH(O1702,Settings!$A$41:$A$50,0))&amp;""="","UNMAPPED",INDEX(Settings!$B$41:$B$50,MATCH(O1702,Settings!$A$41:$A$50,0))&amp;""),"UNMAPPED"))</f>
        <v/>
      </c>
      <c r="Q1702" s="38" t="n">
        <f aca="false">IF($M1702="",0,N(INDEX($A1702:$J1702,$Q$6)))</f>
        <v>0</v>
      </c>
      <c r="R1702" s="39" t="str">
        <f aca="false">IF($M1702="","",INDEX($A1702:$J1702,$R$6))</f>
        <v/>
      </c>
      <c r="S1702" s="37" t="str">
        <f aca="false">IF($M1702="","",IFERROR(INDEX(Settings!$B$27:$B$36,MATCH(L1702,Settings!$A$27:$A$36,0))&amp;"","UNMAPPED"))</f>
        <v/>
      </c>
      <c r="T1702" s="37" t="str">
        <f aca="false">IF($M1702="","",IF(NOT(ISNUMBER(R1702)),"NO DATE",IF(S1702="Won",IF(R1702&gt;Settings!$B$5,"Backlog","Delivered"),IF(S1702="Open",IF(R1702&gt;Settings!$B$5,"Pipeline","Overdue"),IF(S1702="Lost","Lost","UNMAPPED")))))</f>
        <v/>
      </c>
      <c r="U1702" s="40" t="n">
        <f aca="false">IF(T1702="Backlog",1,IF(OR(T1702="Pipeline",T1702="Overdue"),N(INDEX(Settings!$C$27:$C$36,MATCH(L1702,Settings!$A$27:$A$36,0))),0))</f>
        <v>0</v>
      </c>
      <c r="V1702" s="38" t="n">
        <f aca="false">Q1702*U1702</f>
        <v>0</v>
      </c>
      <c r="W1702" s="41" t="str">
        <f aca="false">IF($M1702="","",IF(T1702="Overdue",IF(Settings!$B$8="Yes",Settings!$B$7,""),IF(ISNUMBER(R1702),DATE(YEAR(R1702),MONTH(R1702),1),"")))</f>
        <v/>
      </c>
      <c r="X1702" s="38" t="n">
        <f aca="false">IF(AND(OR(T1702="Backlog",T1702="Pipeline",T1702="Overdue"),ISNUMBER(W1702)),IF(W1702&lt;=Settings!$B$6,V1702,0),0)</f>
        <v>0</v>
      </c>
      <c r="Y1702" s="38" t="n">
        <f aca="false">IF(AND(OR(T1702="Backlog",T1702="Pipeline",T1702="Overdue"),ISNUMBER(W1702)),IF(W1702&lt;=Settings!$B$6,Q1702,0),0)</f>
        <v>0</v>
      </c>
      <c r="Z1702" s="38" t="n">
        <f aca="false">IF(Y1702=0,0,IF(T1702="Backlog",Q1702,Q1702*Dashboard!$C$10))</f>
        <v>0</v>
      </c>
      <c r="AA1702" s="37" t="n">
        <f aca="false">IF($N1702="",0,IF(COUNTIF(Dashboard!$C$13:$C$22,$N1702)&gt;0,1,0))</f>
        <v>0</v>
      </c>
      <c r="AB1702" s="37" t="str">
        <f aca="false">IF($N1702="","",IF(COUNTIF($N$8:$N1702,$N1702)=1,MAX($AB$7:$AB1701)+1,""))</f>
        <v/>
      </c>
    </row>
    <row r="1703" customFormat="false" ht="15" hidden="false" customHeight="false" outlineLevel="0" collapsed="false">
      <c r="L1703" s="37" t="str">
        <f aca="false">IF(INDEX($A1703:$J1703,$L$6)&lt;&gt;"",TRIM(LEFT(INDEX($A1703:$J1703,$L$6),FIND("(",INDEX($A1703:$J1703,$L$6)&amp;"(")-1)),L1702)</f>
        <v>Building Value Proposition</v>
      </c>
      <c r="M1703" s="37" t="str">
        <f aca="false">IF(INDEX($A1703:$J1703,$M$6)="","",INDEX($A1703:$J1703,$M$6)&amp;"")</f>
        <v/>
      </c>
      <c r="N1703" s="37" t="str">
        <f aca="false">IF($M1703="","",TRIM(INDEX($A1703:$J1703,$N$6)&amp;""))</f>
        <v/>
      </c>
      <c r="O1703" s="37" t="str">
        <f aca="false">IF($M1703="","",TRIM(INDEX($A1703:$J1703,$O$6)&amp;""))</f>
        <v/>
      </c>
      <c r="P1703" s="37" t="str">
        <f aca="false">IF($M1703="","",IFERROR(IF(INDEX(Settings!$B$41:$B$50,MATCH(O1703,Settings!$A$41:$A$50,0))&amp;""="","UNMAPPED",INDEX(Settings!$B$41:$B$50,MATCH(O1703,Settings!$A$41:$A$50,0))&amp;""),"UNMAPPED"))</f>
        <v/>
      </c>
      <c r="Q1703" s="38" t="n">
        <f aca="false">IF($M1703="",0,N(INDEX($A1703:$J1703,$Q$6)))</f>
        <v>0</v>
      </c>
      <c r="R1703" s="39" t="str">
        <f aca="false">IF($M1703="","",INDEX($A1703:$J1703,$R$6))</f>
        <v/>
      </c>
      <c r="S1703" s="37" t="str">
        <f aca="false">IF($M1703="","",IFERROR(INDEX(Settings!$B$27:$B$36,MATCH(L1703,Settings!$A$27:$A$36,0))&amp;"","UNMAPPED"))</f>
        <v/>
      </c>
      <c r="T1703" s="37" t="str">
        <f aca="false">IF($M1703="","",IF(NOT(ISNUMBER(R1703)),"NO DATE",IF(S1703="Won",IF(R1703&gt;Settings!$B$5,"Backlog","Delivered"),IF(S1703="Open",IF(R1703&gt;Settings!$B$5,"Pipeline","Overdue"),IF(S1703="Lost","Lost","UNMAPPED")))))</f>
        <v/>
      </c>
      <c r="U1703" s="40" t="n">
        <f aca="false">IF(T1703="Backlog",1,IF(OR(T1703="Pipeline",T1703="Overdue"),N(INDEX(Settings!$C$27:$C$36,MATCH(L1703,Settings!$A$27:$A$36,0))),0))</f>
        <v>0</v>
      </c>
      <c r="V1703" s="38" t="n">
        <f aca="false">Q1703*U1703</f>
        <v>0</v>
      </c>
      <c r="W1703" s="41" t="str">
        <f aca="false">IF($M1703="","",IF(T1703="Overdue",IF(Settings!$B$8="Yes",Settings!$B$7,""),IF(ISNUMBER(R1703),DATE(YEAR(R1703),MONTH(R1703),1),"")))</f>
        <v/>
      </c>
      <c r="X1703" s="38" t="n">
        <f aca="false">IF(AND(OR(T1703="Backlog",T1703="Pipeline",T1703="Overdue"),ISNUMBER(W1703)),IF(W1703&lt;=Settings!$B$6,V1703,0),0)</f>
        <v>0</v>
      </c>
      <c r="Y1703" s="38" t="n">
        <f aca="false">IF(AND(OR(T1703="Backlog",T1703="Pipeline",T1703="Overdue"),ISNUMBER(W1703)),IF(W1703&lt;=Settings!$B$6,Q1703,0),0)</f>
        <v>0</v>
      </c>
      <c r="Z1703" s="38" t="n">
        <f aca="false">IF(Y1703=0,0,IF(T1703="Backlog",Q1703,Q1703*Dashboard!$C$10))</f>
        <v>0</v>
      </c>
      <c r="AA1703" s="37" t="n">
        <f aca="false">IF($N1703="",0,IF(COUNTIF(Dashboard!$C$13:$C$22,$N1703)&gt;0,1,0))</f>
        <v>0</v>
      </c>
      <c r="AB1703" s="37" t="str">
        <f aca="false">IF($N1703="","",IF(COUNTIF($N$8:$N1703,$N1703)=1,MAX($AB$7:$AB1702)+1,""))</f>
        <v/>
      </c>
    </row>
    <row r="1704" customFormat="false" ht="15" hidden="false" customHeight="false" outlineLevel="0" collapsed="false">
      <c r="L1704" s="37" t="str">
        <f aca="false">IF(INDEX($A1704:$J1704,$L$6)&lt;&gt;"",TRIM(LEFT(INDEX($A1704:$J1704,$L$6),FIND("(",INDEX($A1704:$J1704,$L$6)&amp;"(")-1)),L1703)</f>
        <v>Building Value Proposition</v>
      </c>
      <c r="M1704" s="37" t="str">
        <f aca="false">IF(INDEX($A1704:$J1704,$M$6)="","",INDEX($A1704:$J1704,$M$6)&amp;"")</f>
        <v/>
      </c>
      <c r="N1704" s="37" t="str">
        <f aca="false">IF($M1704="","",TRIM(INDEX($A1704:$J1704,$N$6)&amp;""))</f>
        <v/>
      </c>
      <c r="O1704" s="37" t="str">
        <f aca="false">IF($M1704="","",TRIM(INDEX($A1704:$J1704,$O$6)&amp;""))</f>
        <v/>
      </c>
      <c r="P1704" s="37" t="str">
        <f aca="false">IF($M1704="","",IFERROR(IF(INDEX(Settings!$B$41:$B$50,MATCH(O1704,Settings!$A$41:$A$50,0))&amp;""="","UNMAPPED",INDEX(Settings!$B$41:$B$50,MATCH(O1704,Settings!$A$41:$A$50,0))&amp;""),"UNMAPPED"))</f>
        <v/>
      </c>
      <c r="Q1704" s="38" t="n">
        <f aca="false">IF($M1704="",0,N(INDEX($A1704:$J1704,$Q$6)))</f>
        <v>0</v>
      </c>
      <c r="R1704" s="39" t="str">
        <f aca="false">IF($M1704="","",INDEX($A1704:$J1704,$R$6))</f>
        <v/>
      </c>
      <c r="S1704" s="37" t="str">
        <f aca="false">IF($M1704="","",IFERROR(INDEX(Settings!$B$27:$B$36,MATCH(L1704,Settings!$A$27:$A$36,0))&amp;"","UNMAPPED"))</f>
        <v/>
      </c>
      <c r="T1704" s="37" t="str">
        <f aca="false">IF($M1704="","",IF(NOT(ISNUMBER(R1704)),"NO DATE",IF(S1704="Won",IF(R1704&gt;Settings!$B$5,"Backlog","Delivered"),IF(S1704="Open",IF(R1704&gt;Settings!$B$5,"Pipeline","Overdue"),IF(S1704="Lost","Lost","UNMAPPED")))))</f>
        <v/>
      </c>
      <c r="U1704" s="40" t="n">
        <f aca="false">IF(T1704="Backlog",1,IF(OR(T1704="Pipeline",T1704="Overdue"),N(INDEX(Settings!$C$27:$C$36,MATCH(L1704,Settings!$A$27:$A$36,0))),0))</f>
        <v>0</v>
      </c>
      <c r="V1704" s="38" t="n">
        <f aca="false">Q1704*U1704</f>
        <v>0</v>
      </c>
      <c r="W1704" s="41" t="str">
        <f aca="false">IF($M1704="","",IF(T1704="Overdue",IF(Settings!$B$8="Yes",Settings!$B$7,""),IF(ISNUMBER(R1704),DATE(YEAR(R1704),MONTH(R1704),1),"")))</f>
        <v/>
      </c>
      <c r="X1704" s="38" t="n">
        <f aca="false">IF(AND(OR(T1704="Backlog",T1704="Pipeline",T1704="Overdue"),ISNUMBER(W1704)),IF(W1704&lt;=Settings!$B$6,V1704,0),0)</f>
        <v>0</v>
      </c>
      <c r="Y1704" s="38" t="n">
        <f aca="false">IF(AND(OR(T1704="Backlog",T1704="Pipeline",T1704="Overdue"),ISNUMBER(W1704)),IF(W1704&lt;=Settings!$B$6,Q1704,0),0)</f>
        <v>0</v>
      </c>
      <c r="Z1704" s="38" t="n">
        <f aca="false">IF(Y1704=0,0,IF(T1704="Backlog",Q1704,Q1704*Dashboard!$C$10))</f>
        <v>0</v>
      </c>
      <c r="AA1704" s="37" t="n">
        <f aca="false">IF($N1704="",0,IF(COUNTIF(Dashboard!$C$13:$C$22,$N1704)&gt;0,1,0))</f>
        <v>0</v>
      </c>
      <c r="AB1704" s="37" t="str">
        <f aca="false">IF($N1704="","",IF(COUNTIF($N$8:$N1704,$N1704)=1,MAX($AB$7:$AB1703)+1,""))</f>
        <v/>
      </c>
    </row>
    <row r="1705" customFormat="false" ht="15" hidden="false" customHeight="false" outlineLevel="0" collapsed="false">
      <c r="L1705" s="37" t="str">
        <f aca="false">IF(INDEX($A1705:$J1705,$L$6)&lt;&gt;"",TRIM(LEFT(INDEX($A1705:$J1705,$L$6),FIND("(",INDEX($A1705:$J1705,$L$6)&amp;"(")-1)),L1704)</f>
        <v>Building Value Proposition</v>
      </c>
      <c r="M1705" s="37" t="str">
        <f aca="false">IF(INDEX($A1705:$J1705,$M$6)="","",INDEX($A1705:$J1705,$M$6)&amp;"")</f>
        <v/>
      </c>
      <c r="N1705" s="37" t="str">
        <f aca="false">IF($M1705="","",TRIM(INDEX($A1705:$J1705,$N$6)&amp;""))</f>
        <v/>
      </c>
      <c r="O1705" s="37" t="str">
        <f aca="false">IF($M1705="","",TRIM(INDEX($A1705:$J1705,$O$6)&amp;""))</f>
        <v/>
      </c>
      <c r="P1705" s="37" t="str">
        <f aca="false">IF($M1705="","",IFERROR(IF(INDEX(Settings!$B$41:$B$50,MATCH(O1705,Settings!$A$41:$A$50,0))&amp;""="","UNMAPPED",INDEX(Settings!$B$41:$B$50,MATCH(O1705,Settings!$A$41:$A$50,0))&amp;""),"UNMAPPED"))</f>
        <v/>
      </c>
      <c r="Q1705" s="38" t="n">
        <f aca="false">IF($M1705="",0,N(INDEX($A1705:$J1705,$Q$6)))</f>
        <v>0</v>
      </c>
      <c r="R1705" s="39" t="str">
        <f aca="false">IF($M1705="","",INDEX($A1705:$J1705,$R$6))</f>
        <v/>
      </c>
      <c r="S1705" s="37" t="str">
        <f aca="false">IF($M1705="","",IFERROR(INDEX(Settings!$B$27:$B$36,MATCH(L1705,Settings!$A$27:$A$36,0))&amp;"","UNMAPPED"))</f>
        <v/>
      </c>
      <c r="T1705" s="37" t="str">
        <f aca="false">IF($M1705="","",IF(NOT(ISNUMBER(R1705)),"NO DATE",IF(S1705="Won",IF(R1705&gt;Settings!$B$5,"Backlog","Delivered"),IF(S1705="Open",IF(R1705&gt;Settings!$B$5,"Pipeline","Overdue"),IF(S1705="Lost","Lost","UNMAPPED")))))</f>
        <v/>
      </c>
      <c r="U1705" s="40" t="n">
        <f aca="false">IF(T1705="Backlog",1,IF(OR(T1705="Pipeline",T1705="Overdue"),N(INDEX(Settings!$C$27:$C$36,MATCH(L1705,Settings!$A$27:$A$36,0))),0))</f>
        <v>0</v>
      </c>
      <c r="V1705" s="38" t="n">
        <f aca="false">Q1705*U1705</f>
        <v>0</v>
      </c>
      <c r="W1705" s="41" t="str">
        <f aca="false">IF($M1705="","",IF(T1705="Overdue",IF(Settings!$B$8="Yes",Settings!$B$7,""),IF(ISNUMBER(R1705),DATE(YEAR(R1705),MONTH(R1705),1),"")))</f>
        <v/>
      </c>
      <c r="X1705" s="38" t="n">
        <f aca="false">IF(AND(OR(T1705="Backlog",T1705="Pipeline",T1705="Overdue"),ISNUMBER(W1705)),IF(W1705&lt;=Settings!$B$6,V1705,0),0)</f>
        <v>0</v>
      </c>
      <c r="Y1705" s="38" t="n">
        <f aca="false">IF(AND(OR(T1705="Backlog",T1705="Pipeline",T1705="Overdue"),ISNUMBER(W1705)),IF(W1705&lt;=Settings!$B$6,Q1705,0),0)</f>
        <v>0</v>
      </c>
      <c r="Z1705" s="38" t="n">
        <f aca="false">IF(Y1705=0,0,IF(T1705="Backlog",Q1705,Q1705*Dashboard!$C$10))</f>
        <v>0</v>
      </c>
      <c r="AA1705" s="37" t="n">
        <f aca="false">IF($N1705="",0,IF(COUNTIF(Dashboard!$C$13:$C$22,$N1705)&gt;0,1,0))</f>
        <v>0</v>
      </c>
      <c r="AB1705" s="37" t="str">
        <f aca="false">IF($N1705="","",IF(COUNTIF($N$8:$N1705,$N1705)=1,MAX($AB$7:$AB1704)+1,""))</f>
        <v/>
      </c>
    </row>
    <row r="1706" customFormat="false" ht="15" hidden="false" customHeight="false" outlineLevel="0" collapsed="false">
      <c r="L1706" s="37" t="str">
        <f aca="false">IF(INDEX($A1706:$J1706,$L$6)&lt;&gt;"",TRIM(LEFT(INDEX($A1706:$J1706,$L$6),FIND("(",INDEX($A1706:$J1706,$L$6)&amp;"(")-1)),L1705)</f>
        <v>Building Value Proposition</v>
      </c>
      <c r="M1706" s="37" t="str">
        <f aca="false">IF(INDEX($A1706:$J1706,$M$6)="","",INDEX($A1706:$J1706,$M$6)&amp;"")</f>
        <v/>
      </c>
      <c r="N1706" s="37" t="str">
        <f aca="false">IF($M1706="","",TRIM(INDEX($A1706:$J1706,$N$6)&amp;""))</f>
        <v/>
      </c>
      <c r="O1706" s="37" t="str">
        <f aca="false">IF($M1706="","",TRIM(INDEX($A1706:$J1706,$O$6)&amp;""))</f>
        <v/>
      </c>
      <c r="P1706" s="37" t="str">
        <f aca="false">IF($M1706="","",IFERROR(IF(INDEX(Settings!$B$41:$B$50,MATCH(O1706,Settings!$A$41:$A$50,0))&amp;""="","UNMAPPED",INDEX(Settings!$B$41:$B$50,MATCH(O1706,Settings!$A$41:$A$50,0))&amp;""),"UNMAPPED"))</f>
        <v/>
      </c>
      <c r="Q1706" s="38" t="n">
        <f aca="false">IF($M1706="",0,N(INDEX($A1706:$J1706,$Q$6)))</f>
        <v>0</v>
      </c>
      <c r="R1706" s="39" t="str">
        <f aca="false">IF($M1706="","",INDEX($A1706:$J1706,$R$6))</f>
        <v/>
      </c>
      <c r="S1706" s="37" t="str">
        <f aca="false">IF($M1706="","",IFERROR(INDEX(Settings!$B$27:$B$36,MATCH(L1706,Settings!$A$27:$A$36,0))&amp;"","UNMAPPED"))</f>
        <v/>
      </c>
      <c r="T1706" s="37" t="str">
        <f aca="false">IF($M1706="","",IF(NOT(ISNUMBER(R1706)),"NO DATE",IF(S1706="Won",IF(R1706&gt;Settings!$B$5,"Backlog","Delivered"),IF(S1706="Open",IF(R1706&gt;Settings!$B$5,"Pipeline","Overdue"),IF(S1706="Lost","Lost","UNMAPPED")))))</f>
        <v/>
      </c>
      <c r="U1706" s="40" t="n">
        <f aca="false">IF(T1706="Backlog",1,IF(OR(T1706="Pipeline",T1706="Overdue"),N(INDEX(Settings!$C$27:$C$36,MATCH(L1706,Settings!$A$27:$A$36,0))),0))</f>
        <v>0</v>
      </c>
      <c r="V1706" s="38" t="n">
        <f aca="false">Q1706*U1706</f>
        <v>0</v>
      </c>
      <c r="W1706" s="41" t="str">
        <f aca="false">IF($M1706="","",IF(T1706="Overdue",IF(Settings!$B$8="Yes",Settings!$B$7,""),IF(ISNUMBER(R1706),DATE(YEAR(R1706),MONTH(R1706),1),"")))</f>
        <v/>
      </c>
      <c r="X1706" s="38" t="n">
        <f aca="false">IF(AND(OR(T1706="Backlog",T1706="Pipeline",T1706="Overdue"),ISNUMBER(W1706)),IF(W1706&lt;=Settings!$B$6,V1706,0),0)</f>
        <v>0</v>
      </c>
      <c r="Y1706" s="38" t="n">
        <f aca="false">IF(AND(OR(T1706="Backlog",T1706="Pipeline",T1706="Overdue"),ISNUMBER(W1706)),IF(W1706&lt;=Settings!$B$6,Q1706,0),0)</f>
        <v>0</v>
      </c>
      <c r="Z1706" s="38" t="n">
        <f aca="false">IF(Y1706=0,0,IF(T1706="Backlog",Q1706,Q1706*Dashboard!$C$10))</f>
        <v>0</v>
      </c>
      <c r="AA1706" s="37" t="n">
        <f aca="false">IF($N1706="",0,IF(COUNTIF(Dashboard!$C$13:$C$22,$N1706)&gt;0,1,0))</f>
        <v>0</v>
      </c>
      <c r="AB1706" s="37" t="str">
        <f aca="false">IF($N1706="","",IF(COUNTIF($N$8:$N1706,$N1706)=1,MAX($AB$7:$AB1705)+1,""))</f>
        <v/>
      </c>
    </row>
    <row r="1707" customFormat="false" ht="15" hidden="false" customHeight="false" outlineLevel="0" collapsed="false">
      <c r="L1707" s="37" t="str">
        <f aca="false">IF(INDEX($A1707:$J1707,$L$6)&lt;&gt;"",TRIM(LEFT(INDEX($A1707:$J1707,$L$6),FIND("(",INDEX($A1707:$J1707,$L$6)&amp;"(")-1)),L1706)</f>
        <v>Building Value Proposition</v>
      </c>
      <c r="M1707" s="37" t="str">
        <f aca="false">IF(INDEX($A1707:$J1707,$M$6)="","",INDEX($A1707:$J1707,$M$6)&amp;"")</f>
        <v/>
      </c>
      <c r="N1707" s="37" t="str">
        <f aca="false">IF($M1707="","",TRIM(INDEX($A1707:$J1707,$N$6)&amp;""))</f>
        <v/>
      </c>
      <c r="O1707" s="37" t="str">
        <f aca="false">IF($M1707="","",TRIM(INDEX($A1707:$J1707,$O$6)&amp;""))</f>
        <v/>
      </c>
      <c r="P1707" s="37" t="str">
        <f aca="false">IF($M1707="","",IFERROR(IF(INDEX(Settings!$B$41:$B$50,MATCH(O1707,Settings!$A$41:$A$50,0))&amp;""="","UNMAPPED",INDEX(Settings!$B$41:$B$50,MATCH(O1707,Settings!$A$41:$A$50,0))&amp;""),"UNMAPPED"))</f>
        <v/>
      </c>
      <c r="Q1707" s="38" t="n">
        <f aca="false">IF($M1707="",0,N(INDEX($A1707:$J1707,$Q$6)))</f>
        <v>0</v>
      </c>
      <c r="R1707" s="39" t="str">
        <f aca="false">IF($M1707="","",INDEX($A1707:$J1707,$R$6))</f>
        <v/>
      </c>
      <c r="S1707" s="37" t="str">
        <f aca="false">IF($M1707="","",IFERROR(INDEX(Settings!$B$27:$B$36,MATCH(L1707,Settings!$A$27:$A$36,0))&amp;"","UNMAPPED"))</f>
        <v/>
      </c>
      <c r="T1707" s="37" t="str">
        <f aca="false">IF($M1707="","",IF(NOT(ISNUMBER(R1707)),"NO DATE",IF(S1707="Won",IF(R1707&gt;Settings!$B$5,"Backlog","Delivered"),IF(S1707="Open",IF(R1707&gt;Settings!$B$5,"Pipeline","Overdue"),IF(S1707="Lost","Lost","UNMAPPED")))))</f>
        <v/>
      </c>
      <c r="U1707" s="40" t="n">
        <f aca="false">IF(T1707="Backlog",1,IF(OR(T1707="Pipeline",T1707="Overdue"),N(INDEX(Settings!$C$27:$C$36,MATCH(L1707,Settings!$A$27:$A$36,0))),0))</f>
        <v>0</v>
      </c>
      <c r="V1707" s="38" t="n">
        <f aca="false">Q1707*U1707</f>
        <v>0</v>
      </c>
      <c r="W1707" s="41" t="str">
        <f aca="false">IF($M1707="","",IF(T1707="Overdue",IF(Settings!$B$8="Yes",Settings!$B$7,""),IF(ISNUMBER(R1707),DATE(YEAR(R1707),MONTH(R1707),1),"")))</f>
        <v/>
      </c>
      <c r="X1707" s="38" t="n">
        <f aca="false">IF(AND(OR(T1707="Backlog",T1707="Pipeline",T1707="Overdue"),ISNUMBER(W1707)),IF(W1707&lt;=Settings!$B$6,V1707,0),0)</f>
        <v>0</v>
      </c>
      <c r="Y1707" s="38" t="n">
        <f aca="false">IF(AND(OR(T1707="Backlog",T1707="Pipeline",T1707="Overdue"),ISNUMBER(W1707)),IF(W1707&lt;=Settings!$B$6,Q1707,0),0)</f>
        <v>0</v>
      </c>
      <c r="Z1707" s="38" t="n">
        <f aca="false">IF(Y1707=0,0,IF(T1707="Backlog",Q1707,Q1707*Dashboard!$C$10))</f>
        <v>0</v>
      </c>
      <c r="AA1707" s="37" t="n">
        <f aca="false">IF($N1707="",0,IF(COUNTIF(Dashboard!$C$13:$C$22,$N1707)&gt;0,1,0))</f>
        <v>0</v>
      </c>
      <c r="AB1707" s="37" t="str">
        <f aca="false">IF($N1707="","",IF(COUNTIF($N$8:$N1707,$N1707)=1,MAX($AB$7:$AB1706)+1,""))</f>
        <v/>
      </c>
    </row>
    <row r="1708" customFormat="false" ht="15" hidden="false" customHeight="false" outlineLevel="0" collapsed="false">
      <c r="L1708" s="37" t="str">
        <f aca="false">IF(INDEX($A1708:$J1708,$L$6)&lt;&gt;"",TRIM(LEFT(INDEX($A1708:$J1708,$L$6),FIND("(",INDEX($A1708:$J1708,$L$6)&amp;"(")-1)),L1707)</f>
        <v>Building Value Proposition</v>
      </c>
      <c r="M1708" s="37" t="str">
        <f aca="false">IF(INDEX($A1708:$J1708,$M$6)="","",INDEX($A1708:$J1708,$M$6)&amp;"")</f>
        <v/>
      </c>
      <c r="N1708" s="37" t="str">
        <f aca="false">IF($M1708="","",TRIM(INDEX($A1708:$J1708,$N$6)&amp;""))</f>
        <v/>
      </c>
      <c r="O1708" s="37" t="str">
        <f aca="false">IF($M1708="","",TRIM(INDEX($A1708:$J1708,$O$6)&amp;""))</f>
        <v/>
      </c>
      <c r="P1708" s="37" t="str">
        <f aca="false">IF($M1708="","",IFERROR(IF(INDEX(Settings!$B$41:$B$50,MATCH(O1708,Settings!$A$41:$A$50,0))&amp;""="","UNMAPPED",INDEX(Settings!$B$41:$B$50,MATCH(O1708,Settings!$A$41:$A$50,0))&amp;""),"UNMAPPED"))</f>
        <v/>
      </c>
      <c r="Q1708" s="38" t="n">
        <f aca="false">IF($M1708="",0,N(INDEX($A1708:$J1708,$Q$6)))</f>
        <v>0</v>
      </c>
      <c r="R1708" s="39" t="str">
        <f aca="false">IF($M1708="","",INDEX($A1708:$J1708,$R$6))</f>
        <v/>
      </c>
      <c r="S1708" s="37" t="str">
        <f aca="false">IF($M1708="","",IFERROR(INDEX(Settings!$B$27:$B$36,MATCH(L1708,Settings!$A$27:$A$36,0))&amp;"","UNMAPPED"))</f>
        <v/>
      </c>
      <c r="T1708" s="37" t="str">
        <f aca="false">IF($M1708="","",IF(NOT(ISNUMBER(R1708)),"NO DATE",IF(S1708="Won",IF(R1708&gt;Settings!$B$5,"Backlog","Delivered"),IF(S1708="Open",IF(R1708&gt;Settings!$B$5,"Pipeline","Overdue"),IF(S1708="Lost","Lost","UNMAPPED")))))</f>
        <v/>
      </c>
      <c r="U1708" s="40" t="n">
        <f aca="false">IF(T1708="Backlog",1,IF(OR(T1708="Pipeline",T1708="Overdue"),N(INDEX(Settings!$C$27:$C$36,MATCH(L1708,Settings!$A$27:$A$36,0))),0))</f>
        <v>0</v>
      </c>
      <c r="V1708" s="38" t="n">
        <f aca="false">Q1708*U1708</f>
        <v>0</v>
      </c>
      <c r="W1708" s="41" t="str">
        <f aca="false">IF($M1708="","",IF(T1708="Overdue",IF(Settings!$B$8="Yes",Settings!$B$7,""),IF(ISNUMBER(R1708),DATE(YEAR(R1708),MONTH(R1708),1),"")))</f>
        <v/>
      </c>
      <c r="X1708" s="38" t="n">
        <f aca="false">IF(AND(OR(T1708="Backlog",T1708="Pipeline",T1708="Overdue"),ISNUMBER(W1708)),IF(W1708&lt;=Settings!$B$6,V1708,0),0)</f>
        <v>0</v>
      </c>
      <c r="Y1708" s="38" t="n">
        <f aca="false">IF(AND(OR(T1708="Backlog",T1708="Pipeline",T1708="Overdue"),ISNUMBER(W1708)),IF(W1708&lt;=Settings!$B$6,Q1708,0),0)</f>
        <v>0</v>
      </c>
      <c r="Z1708" s="38" t="n">
        <f aca="false">IF(Y1708=0,0,IF(T1708="Backlog",Q1708,Q1708*Dashboard!$C$10))</f>
        <v>0</v>
      </c>
      <c r="AA1708" s="37" t="n">
        <f aca="false">IF($N1708="",0,IF(COUNTIF(Dashboard!$C$13:$C$22,$N1708)&gt;0,1,0))</f>
        <v>0</v>
      </c>
      <c r="AB1708" s="37" t="str">
        <f aca="false">IF($N1708="","",IF(COUNTIF($N$8:$N1708,$N1708)=1,MAX($AB$7:$AB1707)+1,""))</f>
        <v/>
      </c>
    </row>
    <row r="1709" customFormat="false" ht="15" hidden="false" customHeight="false" outlineLevel="0" collapsed="false">
      <c r="L1709" s="37" t="str">
        <f aca="false">IF(INDEX($A1709:$J1709,$L$6)&lt;&gt;"",TRIM(LEFT(INDEX($A1709:$J1709,$L$6),FIND("(",INDEX($A1709:$J1709,$L$6)&amp;"(")-1)),L1708)</f>
        <v>Building Value Proposition</v>
      </c>
      <c r="M1709" s="37" t="str">
        <f aca="false">IF(INDEX($A1709:$J1709,$M$6)="","",INDEX($A1709:$J1709,$M$6)&amp;"")</f>
        <v/>
      </c>
      <c r="N1709" s="37" t="str">
        <f aca="false">IF($M1709="","",TRIM(INDEX($A1709:$J1709,$N$6)&amp;""))</f>
        <v/>
      </c>
      <c r="O1709" s="37" t="str">
        <f aca="false">IF($M1709="","",TRIM(INDEX($A1709:$J1709,$O$6)&amp;""))</f>
        <v/>
      </c>
      <c r="P1709" s="37" t="str">
        <f aca="false">IF($M1709="","",IFERROR(IF(INDEX(Settings!$B$41:$B$50,MATCH(O1709,Settings!$A$41:$A$50,0))&amp;""="","UNMAPPED",INDEX(Settings!$B$41:$B$50,MATCH(O1709,Settings!$A$41:$A$50,0))&amp;""),"UNMAPPED"))</f>
        <v/>
      </c>
      <c r="Q1709" s="38" t="n">
        <f aca="false">IF($M1709="",0,N(INDEX($A1709:$J1709,$Q$6)))</f>
        <v>0</v>
      </c>
      <c r="R1709" s="39" t="str">
        <f aca="false">IF($M1709="","",INDEX($A1709:$J1709,$R$6))</f>
        <v/>
      </c>
      <c r="S1709" s="37" t="str">
        <f aca="false">IF($M1709="","",IFERROR(INDEX(Settings!$B$27:$B$36,MATCH(L1709,Settings!$A$27:$A$36,0))&amp;"","UNMAPPED"))</f>
        <v/>
      </c>
      <c r="T1709" s="37" t="str">
        <f aca="false">IF($M1709="","",IF(NOT(ISNUMBER(R1709)),"NO DATE",IF(S1709="Won",IF(R1709&gt;Settings!$B$5,"Backlog","Delivered"),IF(S1709="Open",IF(R1709&gt;Settings!$B$5,"Pipeline","Overdue"),IF(S1709="Lost","Lost","UNMAPPED")))))</f>
        <v/>
      </c>
      <c r="U1709" s="40" t="n">
        <f aca="false">IF(T1709="Backlog",1,IF(OR(T1709="Pipeline",T1709="Overdue"),N(INDEX(Settings!$C$27:$C$36,MATCH(L1709,Settings!$A$27:$A$36,0))),0))</f>
        <v>0</v>
      </c>
      <c r="V1709" s="38" t="n">
        <f aca="false">Q1709*U1709</f>
        <v>0</v>
      </c>
      <c r="W1709" s="41" t="str">
        <f aca="false">IF($M1709="","",IF(T1709="Overdue",IF(Settings!$B$8="Yes",Settings!$B$7,""),IF(ISNUMBER(R1709),DATE(YEAR(R1709),MONTH(R1709),1),"")))</f>
        <v/>
      </c>
      <c r="X1709" s="38" t="n">
        <f aca="false">IF(AND(OR(T1709="Backlog",T1709="Pipeline",T1709="Overdue"),ISNUMBER(W1709)),IF(W1709&lt;=Settings!$B$6,V1709,0),0)</f>
        <v>0</v>
      </c>
      <c r="Y1709" s="38" t="n">
        <f aca="false">IF(AND(OR(T1709="Backlog",T1709="Pipeline",T1709="Overdue"),ISNUMBER(W1709)),IF(W1709&lt;=Settings!$B$6,Q1709,0),0)</f>
        <v>0</v>
      </c>
      <c r="Z1709" s="38" t="n">
        <f aca="false">IF(Y1709=0,0,IF(T1709="Backlog",Q1709,Q1709*Dashboard!$C$10))</f>
        <v>0</v>
      </c>
      <c r="AA1709" s="37" t="n">
        <f aca="false">IF($N1709="",0,IF(COUNTIF(Dashboard!$C$13:$C$22,$N1709)&gt;0,1,0))</f>
        <v>0</v>
      </c>
      <c r="AB1709" s="37" t="str">
        <f aca="false">IF($N1709="","",IF(COUNTIF($N$8:$N1709,$N1709)=1,MAX($AB$7:$AB1708)+1,""))</f>
        <v/>
      </c>
    </row>
    <row r="1710" customFormat="false" ht="15" hidden="false" customHeight="false" outlineLevel="0" collapsed="false">
      <c r="L1710" s="37" t="str">
        <f aca="false">IF(INDEX($A1710:$J1710,$L$6)&lt;&gt;"",TRIM(LEFT(INDEX($A1710:$J1710,$L$6),FIND("(",INDEX($A1710:$J1710,$L$6)&amp;"(")-1)),L1709)</f>
        <v>Building Value Proposition</v>
      </c>
      <c r="M1710" s="37" t="str">
        <f aca="false">IF(INDEX($A1710:$J1710,$M$6)="","",INDEX($A1710:$J1710,$M$6)&amp;"")</f>
        <v/>
      </c>
      <c r="N1710" s="37" t="str">
        <f aca="false">IF($M1710="","",TRIM(INDEX($A1710:$J1710,$N$6)&amp;""))</f>
        <v/>
      </c>
      <c r="O1710" s="37" t="str">
        <f aca="false">IF($M1710="","",TRIM(INDEX($A1710:$J1710,$O$6)&amp;""))</f>
        <v/>
      </c>
      <c r="P1710" s="37" t="str">
        <f aca="false">IF($M1710="","",IFERROR(IF(INDEX(Settings!$B$41:$B$50,MATCH(O1710,Settings!$A$41:$A$50,0))&amp;""="","UNMAPPED",INDEX(Settings!$B$41:$B$50,MATCH(O1710,Settings!$A$41:$A$50,0))&amp;""),"UNMAPPED"))</f>
        <v/>
      </c>
      <c r="Q1710" s="38" t="n">
        <f aca="false">IF($M1710="",0,N(INDEX($A1710:$J1710,$Q$6)))</f>
        <v>0</v>
      </c>
      <c r="R1710" s="39" t="str">
        <f aca="false">IF($M1710="","",INDEX($A1710:$J1710,$R$6))</f>
        <v/>
      </c>
      <c r="S1710" s="37" t="str">
        <f aca="false">IF($M1710="","",IFERROR(INDEX(Settings!$B$27:$B$36,MATCH(L1710,Settings!$A$27:$A$36,0))&amp;"","UNMAPPED"))</f>
        <v/>
      </c>
      <c r="T1710" s="37" t="str">
        <f aca="false">IF($M1710="","",IF(NOT(ISNUMBER(R1710)),"NO DATE",IF(S1710="Won",IF(R1710&gt;Settings!$B$5,"Backlog","Delivered"),IF(S1710="Open",IF(R1710&gt;Settings!$B$5,"Pipeline","Overdue"),IF(S1710="Lost","Lost","UNMAPPED")))))</f>
        <v/>
      </c>
      <c r="U1710" s="40" t="n">
        <f aca="false">IF(T1710="Backlog",1,IF(OR(T1710="Pipeline",T1710="Overdue"),N(INDEX(Settings!$C$27:$C$36,MATCH(L1710,Settings!$A$27:$A$36,0))),0))</f>
        <v>0</v>
      </c>
      <c r="V1710" s="38" t="n">
        <f aca="false">Q1710*U1710</f>
        <v>0</v>
      </c>
      <c r="W1710" s="41" t="str">
        <f aca="false">IF($M1710="","",IF(T1710="Overdue",IF(Settings!$B$8="Yes",Settings!$B$7,""),IF(ISNUMBER(R1710),DATE(YEAR(R1710),MONTH(R1710),1),"")))</f>
        <v/>
      </c>
      <c r="X1710" s="38" t="n">
        <f aca="false">IF(AND(OR(T1710="Backlog",T1710="Pipeline",T1710="Overdue"),ISNUMBER(W1710)),IF(W1710&lt;=Settings!$B$6,V1710,0),0)</f>
        <v>0</v>
      </c>
      <c r="Y1710" s="38" t="n">
        <f aca="false">IF(AND(OR(T1710="Backlog",T1710="Pipeline",T1710="Overdue"),ISNUMBER(W1710)),IF(W1710&lt;=Settings!$B$6,Q1710,0),0)</f>
        <v>0</v>
      </c>
      <c r="Z1710" s="38" t="n">
        <f aca="false">IF(Y1710=0,0,IF(T1710="Backlog",Q1710,Q1710*Dashboard!$C$10))</f>
        <v>0</v>
      </c>
      <c r="AA1710" s="37" t="n">
        <f aca="false">IF($N1710="",0,IF(COUNTIF(Dashboard!$C$13:$C$22,$N1710)&gt;0,1,0))</f>
        <v>0</v>
      </c>
      <c r="AB1710" s="37" t="str">
        <f aca="false">IF($N1710="","",IF(COUNTIF($N$8:$N1710,$N1710)=1,MAX($AB$7:$AB1709)+1,""))</f>
        <v/>
      </c>
    </row>
    <row r="1711" customFormat="false" ht="15" hidden="false" customHeight="false" outlineLevel="0" collapsed="false">
      <c r="L1711" s="37" t="str">
        <f aca="false">IF(INDEX($A1711:$J1711,$L$6)&lt;&gt;"",TRIM(LEFT(INDEX($A1711:$J1711,$L$6),FIND("(",INDEX($A1711:$J1711,$L$6)&amp;"(")-1)),L1710)</f>
        <v>Building Value Proposition</v>
      </c>
      <c r="M1711" s="37" t="str">
        <f aca="false">IF(INDEX($A1711:$J1711,$M$6)="","",INDEX($A1711:$J1711,$M$6)&amp;"")</f>
        <v/>
      </c>
      <c r="N1711" s="37" t="str">
        <f aca="false">IF($M1711="","",TRIM(INDEX($A1711:$J1711,$N$6)&amp;""))</f>
        <v/>
      </c>
      <c r="O1711" s="37" t="str">
        <f aca="false">IF($M1711="","",TRIM(INDEX($A1711:$J1711,$O$6)&amp;""))</f>
        <v/>
      </c>
      <c r="P1711" s="37" t="str">
        <f aca="false">IF($M1711="","",IFERROR(IF(INDEX(Settings!$B$41:$B$50,MATCH(O1711,Settings!$A$41:$A$50,0))&amp;""="","UNMAPPED",INDEX(Settings!$B$41:$B$50,MATCH(O1711,Settings!$A$41:$A$50,0))&amp;""),"UNMAPPED"))</f>
        <v/>
      </c>
      <c r="Q1711" s="38" t="n">
        <f aca="false">IF($M1711="",0,N(INDEX($A1711:$J1711,$Q$6)))</f>
        <v>0</v>
      </c>
      <c r="R1711" s="39" t="str">
        <f aca="false">IF($M1711="","",INDEX($A1711:$J1711,$R$6))</f>
        <v/>
      </c>
      <c r="S1711" s="37" t="str">
        <f aca="false">IF($M1711="","",IFERROR(INDEX(Settings!$B$27:$B$36,MATCH(L1711,Settings!$A$27:$A$36,0))&amp;"","UNMAPPED"))</f>
        <v/>
      </c>
      <c r="T1711" s="37" t="str">
        <f aca="false">IF($M1711="","",IF(NOT(ISNUMBER(R1711)),"NO DATE",IF(S1711="Won",IF(R1711&gt;Settings!$B$5,"Backlog","Delivered"),IF(S1711="Open",IF(R1711&gt;Settings!$B$5,"Pipeline","Overdue"),IF(S1711="Lost","Lost","UNMAPPED")))))</f>
        <v/>
      </c>
      <c r="U1711" s="40" t="n">
        <f aca="false">IF(T1711="Backlog",1,IF(OR(T1711="Pipeline",T1711="Overdue"),N(INDEX(Settings!$C$27:$C$36,MATCH(L1711,Settings!$A$27:$A$36,0))),0))</f>
        <v>0</v>
      </c>
      <c r="V1711" s="38" t="n">
        <f aca="false">Q1711*U1711</f>
        <v>0</v>
      </c>
      <c r="W1711" s="41" t="str">
        <f aca="false">IF($M1711="","",IF(T1711="Overdue",IF(Settings!$B$8="Yes",Settings!$B$7,""),IF(ISNUMBER(R1711),DATE(YEAR(R1711),MONTH(R1711),1),"")))</f>
        <v/>
      </c>
      <c r="X1711" s="38" t="n">
        <f aca="false">IF(AND(OR(T1711="Backlog",T1711="Pipeline",T1711="Overdue"),ISNUMBER(W1711)),IF(W1711&lt;=Settings!$B$6,V1711,0),0)</f>
        <v>0</v>
      </c>
      <c r="Y1711" s="38" t="n">
        <f aca="false">IF(AND(OR(T1711="Backlog",T1711="Pipeline",T1711="Overdue"),ISNUMBER(W1711)),IF(W1711&lt;=Settings!$B$6,Q1711,0),0)</f>
        <v>0</v>
      </c>
      <c r="Z1711" s="38" t="n">
        <f aca="false">IF(Y1711=0,0,IF(T1711="Backlog",Q1711,Q1711*Dashboard!$C$10))</f>
        <v>0</v>
      </c>
      <c r="AA1711" s="37" t="n">
        <f aca="false">IF($N1711="",0,IF(COUNTIF(Dashboard!$C$13:$C$22,$N1711)&gt;0,1,0))</f>
        <v>0</v>
      </c>
      <c r="AB1711" s="37" t="str">
        <f aca="false">IF($N1711="","",IF(COUNTIF($N$8:$N1711,$N1711)=1,MAX($AB$7:$AB1710)+1,""))</f>
        <v/>
      </c>
    </row>
    <row r="1712" customFormat="false" ht="15" hidden="false" customHeight="false" outlineLevel="0" collapsed="false">
      <c r="L1712" s="37" t="str">
        <f aca="false">IF(INDEX($A1712:$J1712,$L$6)&lt;&gt;"",TRIM(LEFT(INDEX($A1712:$J1712,$L$6),FIND("(",INDEX($A1712:$J1712,$L$6)&amp;"(")-1)),L1711)</f>
        <v>Building Value Proposition</v>
      </c>
      <c r="M1712" s="37" t="str">
        <f aca="false">IF(INDEX($A1712:$J1712,$M$6)="","",INDEX($A1712:$J1712,$M$6)&amp;"")</f>
        <v/>
      </c>
      <c r="N1712" s="37" t="str">
        <f aca="false">IF($M1712="","",TRIM(INDEX($A1712:$J1712,$N$6)&amp;""))</f>
        <v/>
      </c>
      <c r="O1712" s="37" t="str">
        <f aca="false">IF($M1712="","",TRIM(INDEX($A1712:$J1712,$O$6)&amp;""))</f>
        <v/>
      </c>
      <c r="P1712" s="37" t="str">
        <f aca="false">IF($M1712="","",IFERROR(IF(INDEX(Settings!$B$41:$B$50,MATCH(O1712,Settings!$A$41:$A$50,0))&amp;""="","UNMAPPED",INDEX(Settings!$B$41:$B$50,MATCH(O1712,Settings!$A$41:$A$50,0))&amp;""),"UNMAPPED"))</f>
        <v/>
      </c>
      <c r="Q1712" s="38" t="n">
        <f aca="false">IF($M1712="",0,N(INDEX($A1712:$J1712,$Q$6)))</f>
        <v>0</v>
      </c>
      <c r="R1712" s="39" t="str">
        <f aca="false">IF($M1712="","",INDEX($A1712:$J1712,$R$6))</f>
        <v/>
      </c>
      <c r="S1712" s="37" t="str">
        <f aca="false">IF($M1712="","",IFERROR(INDEX(Settings!$B$27:$B$36,MATCH(L1712,Settings!$A$27:$A$36,0))&amp;"","UNMAPPED"))</f>
        <v/>
      </c>
      <c r="T1712" s="37" t="str">
        <f aca="false">IF($M1712="","",IF(NOT(ISNUMBER(R1712)),"NO DATE",IF(S1712="Won",IF(R1712&gt;Settings!$B$5,"Backlog","Delivered"),IF(S1712="Open",IF(R1712&gt;Settings!$B$5,"Pipeline","Overdue"),IF(S1712="Lost","Lost","UNMAPPED")))))</f>
        <v/>
      </c>
      <c r="U1712" s="40" t="n">
        <f aca="false">IF(T1712="Backlog",1,IF(OR(T1712="Pipeline",T1712="Overdue"),N(INDEX(Settings!$C$27:$C$36,MATCH(L1712,Settings!$A$27:$A$36,0))),0))</f>
        <v>0</v>
      </c>
      <c r="V1712" s="38" t="n">
        <f aca="false">Q1712*U1712</f>
        <v>0</v>
      </c>
      <c r="W1712" s="41" t="str">
        <f aca="false">IF($M1712="","",IF(T1712="Overdue",IF(Settings!$B$8="Yes",Settings!$B$7,""),IF(ISNUMBER(R1712),DATE(YEAR(R1712),MONTH(R1712),1),"")))</f>
        <v/>
      </c>
      <c r="X1712" s="38" t="n">
        <f aca="false">IF(AND(OR(T1712="Backlog",T1712="Pipeline",T1712="Overdue"),ISNUMBER(W1712)),IF(W1712&lt;=Settings!$B$6,V1712,0),0)</f>
        <v>0</v>
      </c>
      <c r="Y1712" s="38" t="n">
        <f aca="false">IF(AND(OR(T1712="Backlog",T1712="Pipeline",T1712="Overdue"),ISNUMBER(W1712)),IF(W1712&lt;=Settings!$B$6,Q1712,0),0)</f>
        <v>0</v>
      </c>
      <c r="Z1712" s="38" t="n">
        <f aca="false">IF(Y1712=0,0,IF(T1712="Backlog",Q1712,Q1712*Dashboard!$C$10))</f>
        <v>0</v>
      </c>
      <c r="AA1712" s="37" t="n">
        <f aca="false">IF($N1712="",0,IF(COUNTIF(Dashboard!$C$13:$C$22,$N1712)&gt;0,1,0))</f>
        <v>0</v>
      </c>
      <c r="AB1712" s="37" t="str">
        <f aca="false">IF($N1712="","",IF(COUNTIF($N$8:$N1712,$N1712)=1,MAX($AB$7:$AB1711)+1,""))</f>
        <v/>
      </c>
    </row>
    <row r="1713" customFormat="false" ht="15" hidden="false" customHeight="false" outlineLevel="0" collapsed="false">
      <c r="L1713" s="37" t="str">
        <f aca="false">IF(INDEX($A1713:$J1713,$L$6)&lt;&gt;"",TRIM(LEFT(INDEX($A1713:$J1713,$L$6),FIND("(",INDEX($A1713:$J1713,$L$6)&amp;"(")-1)),L1712)</f>
        <v>Building Value Proposition</v>
      </c>
      <c r="M1713" s="37" t="str">
        <f aca="false">IF(INDEX($A1713:$J1713,$M$6)="","",INDEX($A1713:$J1713,$M$6)&amp;"")</f>
        <v/>
      </c>
      <c r="N1713" s="37" t="str">
        <f aca="false">IF($M1713="","",TRIM(INDEX($A1713:$J1713,$N$6)&amp;""))</f>
        <v/>
      </c>
      <c r="O1713" s="37" t="str">
        <f aca="false">IF($M1713="","",TRIM(INDEX($A1713:$J1713,$O$6)&amp;""))</f>
        <v/>
      </c>
      <c r="P1713" s="37" t="str">
        <f aca="false">IF($M1713="","",IFERROR(IF(INDEX(Settings!$B$41:$B$50,MATCH(O1713,Settings!$A$41:$A$50,0))&amp;""="","UNMAPPED",INDEX(Settings!$B$41:$B$50,MATCH(O1713,Settings!$A$41:$A$50,0))&amp;""),"UNMAPPED"))</f>
        <v/>
      </c>
      <c r="Q1713" s="38" t="n">
        <f aca="false">IF($M1713="",0,N(INDEX($A1713:$J1713,$Q$6)))</f>
        <v>0</v>
      </c>
      <c r="R1713" s="39" t="str">
        <f aca="false">IF($M1713="","",INDEX($A1713:$J1713,$R$6))</f>
        <v/>
      </c>
      <c r="S1713" s="37" t="str">
        <f aca="false">IF($M1713="","",IFERROR(INDEX(Settings!$B$27:$B$36,MATCH(L1713,Settings!$A$27:$A$36,0))&amp;"","UNMAPPED"))</f>
        <v/>
      </c>
      <c r="T1713" s="37" t="str">
        <f aca="false">IF($M1713="","",IF(NOT(ISNUMBER(R1713)),"NO DATE",IF(S1713="Won",IF(R1713&gt;Settings!$B$5,"Backlog","Delivered"),IF(S1713="Open",IF(R1713&gt;Settings!$B$5,"Pipeline","Overdue"),IF(S1713="Lost","Lost","UNMAPPED")))))</f>
        <v/>
      </c>
      <c r="U1713" s="40" t="n">
        <f aca="false">IF(T1713="Backlog",1,IF(OR(T1713="Pipeline",T1713="Overdue"),N(INDEX(Settings!$C$27:$C$36,MATCH(L1713,Settings!$A$27:$A$36,0))),0))</f>
        <v>0</v>
      </c>
      <c r="V1713" s="38" t="n">
        <f aca="false">Q1713*U1713</f>
        <v>0</v>
      </c>
      <c r="W1713" s="41" t="str">
        <f aca="false">IF($M1713="","",IF(T1713="Overdue",IF(Settings!$B$8="Yes",Settings!$B$7,""),IF(ISNUMBER(R1713),DATE(YEAR(R1713),MONTH(R1713),1),"")))</f>
        <v/>
      </c>
      <c r="X1713" s="38" t="n">
        <f aca="false">IF(AND(OR(T1713="Backlog",T1713="Pipeline",T1713="Overdue"),ISNUMBER(W1713)),IF(W1713&lt;=Settings!$B$6,V1713,0),0)</f>
        <v>0</v>
      </c>
      <c r="Y1713" s="38" t="n">
        <f aca="false">IF(AND(OR(T1713="Backlog",T1713="Pipeline",T1713="Overdue"),ISNUMBER(W1713)),IF(W1713&lt;=Settings!$B$6,Q1713,0),0)</f>
        <v>0</v>
      </c>
      <c r="Z1713" s="38" t="n">
        <f aca="false">IF(Y1713=0,0,IF(T1713="Backlog",Q1713,Q1713*Dashboard!$C$10))</f>
        <v>0</v>
      </c>
      <c r="AA1713" s="37" t="n">
        <f aca="false">IF($N1713="",0,IF(COUNTIF(Dashboard!$C$13:$C$22,$N1713)&gt;0,1,0))</f>
        <v>0</v>
      </c>
      <c r="AB1713" s="37" t="str">
        <f aca="false">IF($N1713="","",IF(COUNTIF($N$8:$N1713,$N1713)=1,MAX($AB$7:$AB1712)+1,""))</f>
        <v/>
      </c>
    </row>
    <row r="1714" customFormat="false" ht="15" hidden="false" customHeight="false" outlineLevel="0" collapsed="false">
      <c r="L1714" s="37" t="str">
        <f aca="false">IF(INDEX($A1714:$J1714,$L$6)&lt;&gt;"",TRIM(LEFT(INDEX($A1714:$J1714,$L$6),FIND("(",INDEX($A1714:$J1714,$L$6)&amp;"(")-1)),L1713)</f>
        <v>Building Value Proposition</v>
      </c>
      <c r="M1714" s="37" t="str">
        <f aca="false">IF(INDEX($A1714:$J1714,$M$6)="","",INDEX($A1714:$J1714,$M$6)&amp;"")</f>
        <v/>
      </c>
      <c r="N1714" s="37" t="str">
        <f aca="false">IF($M1714="","",TRIM(INDEX($A1714:$J1714,$N$6)&amp;""))</f>
        <v/>
      </c>
      <c r="O1714" s="37" t="str">
        <f aca="false">IF($M1714="","",TRIM(INDEX($A1714:$J1714,$O$6)&amp;""))</f>
        <v/>
      </c>
      <c r="P1714" s="37" t="str">
        <f aca="false">IF($M1714="","",IFERROR(IF(INDEX(Settings!$B$41:$B$50,MATCH(O1714,Settings!$A$41:$A$50,0))&amp;""="","UNMAPPED",INDEX(Settings!$B$41:$B$50,MATCH(O1714,Settings!$A$41:$A$50,0))&amp;""),"UNMAPPED"))</f>
        <v/>
      </c>
      <c r="Q1714" s="38" t="n">
        <f aca="false">IF($M1714="",0,N(INDEX($A1714:$J1714,$Q$6)))</f>
        <v>0</v>
      </c>
      <c r="R1714" s="39" t="str">
        <f aca="false">IF($M1714="","",INDEX($A1714:$J1714,$R$6))</f>
        <v/>
      </c>
      <c r="S1714" s="37" t="str">
        <f aca="false">IF($M1714="","",IFERROR(INDEX(Settings!$B$27:$B$36,MATCH(L1714,Settings!$A$27:$A$36,0))&amp;"","UNMAPPED"))</f>
        <v/>
      </c>
      <c r="T1714" s="37" t="str">
        <f aca="false">IF($M1714="","",IF(NOT(ISNUMBER(R1714)),"NO DATE",IF(S1714="Won",IF(R1714&gt;Settings!$B$5,"Backlog","Delivered"),IF(S1714="Open",IF(R1714&gt;Settings!$B$5,"Pipeline","Overdue"),IF(S1714="Lost","Lost","UNMAPPED")))))</f>
        <v/>
      </c>
      <c r="U1714" s="40" t="n">
        <f aca="false">IF(T1714="Backlog",1,IF(OR(T1714="Pipeline",T1714="Overdue"),N(INDEX(Settings!$C$27:$C$36,MATCH(L1714,Settings!$A$27:$A$36,0))),0))</f>
        <v>0</v>
      </c>
      <c r="V1714" s="38" t="n">
        <f aca="false">Q1714*U1714</f>
        <v>0</v>
      </c>
      <c r="W1714" s="41" t="str">
        <f aca="false">IF($M1714="","",IF(T1714="Overdue",IF(Settings!$B$8="Yes",Settings!$B$7,""),IF(ISNUMBER(R1714),DATE(YEAR(R1714),MONTH(R1714),1),"")))</f>
        <v/>
      </c>
      <c r="X1714" s="38" t="n">
        <f aca="false">IF(AND(OR(T1714="Backlog",T1714="Pipeline",T1714="Overdue"),ISNUMBER(W1714)),IF(W1714&lt;=Settings!$B$6,V1714,0),0)</f>
        <v>0</v>
      </c>
      <c r="Y1714" s="38" t="n">
        <f aca="false">IF(AND(OR(T1714="Backlog",T1714="Pipeline",T1714="Overdue"),ISNUMBER(W1714)),IF(W1714&lt;=Settings!$B$6,Q1714,0),0)</f>
        <v>0</v>
      </c>
      <c r="Z1714" s="38" t="n">
        <f aca="false">IF(Y1714=0,0,IF(T1714="Backlog",Q1714,Q1714*Dashboard!$C$10))</f>
        <v>0</v>
      </c>
      <c r="AA1714" s="37" t="n">
        <f aca="false">IF($N1714="",0,IF(COUNTIF(Dashboard!$C$13:$C$22,$N1714)&gt;0,1,0))</f>
        <v>0</v>
      </c>
      <c r="AB1714" s="37" t="str">
        <f aca="false">IF($N1714="","",IF(COUNTIF($N$8:$N1714,$N1714)=1,MAX($AB$7:$AB1713)+1,""))</f>
        <v/>
      </c>
    </row>
    <row r="1715" customFormat="false" ht="15" hidden="false" customHeight="false" outlineLevel="0" collapsed="false">
      <c r="L1715" s="37" t="str">
        <f aca="false">IF(INDEX($A1715:$J1715,$L$6)&lt;&gt;"",TRIM(LEFT(INDEX($A1715:$J1715,$L$6),FIND("(",INDEX($A1715:$J1715,$L$6)&amp;"(")-1)),L1714)</f>
        <v>Building Value Proposition</v>
      </c>
      <c r="M1715" s="37" t="str">
        <f aca="false">IF(INDEX($A1715:$J1715,$M$6)="","",INDEX($A1715:$J1715,$M$6)&amp;"")</f>
        <v/>
      </c>
      <c r="N1715" s="37" t="str">
        <f aca="false">IF($M1715="","",TRIM(INDEX($A1715:$J1715,$N$6)&amp;""))</f>
        <v/>
      </c>
      <c r="O1715" s="37" t="str">
        <f aca="false">IF($M1715="","",TRIM(INDEX($A1715:$J1715,$O$6)&amp;""))</f>
        <v/>
      </c>
      <c r="P1715" s="37" t="str">
        <f aca="false">IF($M1715="","",IFERROR(IF(INDEX(Settings!$B$41:$B$50,MATCH(O1715,Settings!$A$41:$A$50,0))&amp;""="","UNMAPPED",INDEX(Settings!$B$41:$B$50,MATCH(O1715,Settings!$A$41:$A$50,0))&amp;""),"UNMAPPED"))</f>
        <v/>
      </c>
      <c r="Q1715" s="38" t="n">
        <f aca="false">IF($M1715="",0,N(INDEX($A1715:$J1715,$Q$6)))</f>
        <v>0</v>
      </c>
      <c r="R1715" s="39" t="str">
        <f aca="false">IF($M1715="","",INDEX($A1715:$J1715,$R$6))</f>
        <v/>
      </c>
      <c r="S1715" s="37" t="str">
        <f aca="false">IF($M1715="","",IFERROR(INDEX(Settings!$B$27:$B$36,MATCH(L1715,Settings!$A$27:$A$36,0))&amp;"","UNMAPPED"))</f>
        <v/>
      </c>
      <c r="T1715" s="37" t="str">
        <f aca="false">IF($M1715="","",IF(NOT(ISNUMBER(R1715)),"NO DATE",IF(S1715="Won",IF(R1715&gt;Settings!$B$5,"Backlog","Delivered"),IF(S1715="Open",IF(R1715&gt;Settings!$B$5,"Pipeline","Overdue"),IF(S1715="Lost","Lost","UNMAPPED")))))</f>
        <v/>
      </c>
      <c r="U1715" s="40" t="n">
        <f aca="false">IF(T1715="Backlog",1,IF(OR(T1715="Pipeline",T1715="Overdue"),N(INDEX(Settings!$C$27:$C$36,MATCH(L1715,Settings!$A$27:$A$36,0))),0))</f>
        <v>0</v>
      </c>
      <c r="V1715" s="38" t="n">
        <f aca="false">Q1715*U1715</f>
        <v>0</v>
      </c>
      <c r="W1715" s="41" t="str">
        <f aca="false">IF($M1715="","",IF(T1715="Overdue",IF(Settings!$B$8="Yes",Settings!$B$7,""),IF(ISNUMBER(R1715),DATE(YEAR(R1715),MONTH(R1715),1),"")))</f>
        <v/>
      </c>
      <c r="X1715" s="38" t="n">
        <f aca="false">IF(AND(OR(T1715="Backlog",T1715="Pipeline",T1715="Overdue"),ISNUMBER(W1715)),IF(W1715&lt;=Settings!$B$6,V1715,0),0)</f>
        <v>0</v>
      </c>
      <c r="Y1715" s="38" t="n">
        <f aca="false">IF(AND(OR(T1715="Backlog",T1715="Pipeline",T1715="Overdue"),ISNUMBER(W1715)),IF(W1715&lt;=Settings!$B$6,Q1715,0),0)</f>
        <v>0</v>
      </c>
      <c r="Z1715" s="38" t="n">
        <f aca="false">IF(Y1715=0,0,IF(T1715="Backlog",Q1715,Q1715*Dashboard!$C$10))</f>
        <v>0</v>
      </c>
      <c r="AA1715" s="37" t="n">
        <f aca="false">IF($N1715="",0,IF(COUNTIF(Dashboard!$C$13:$C$22,$N1715)&gt;0,1,0))</f>
        <v>0</v>
      </c>
      <c r="AB1715" s="37" t="str">
        <f aca="false">IF($N1715="","",IF(COUNTIF($N$8:$N1715,$N1715)=1,MAX($AB$7:$AB1714)+1,""))</f>
        <v/>
      </c>
    </row>
    <row r="1716" customFormat="false" ht="15" hidden="false" customHeight="false" outlineLevel="0" collapsed="false">
      <c r="L1716" s="37" t="str">
        <f aca="false">IF(INDEX($A1716:$J1716,$L$6)&lt;&gt;"",TRIM(LEFT(INDEX($A1716:$J1716,$L$6),FIND("(",INDEX($A1716:$J1716,$L$6)&amp;"(")-1)),L1715)</f>
        <v>Building Value Proposition</v>
      </c>
      <c r="M1716" s="37" t="str">
        <f aca="false">IF(INDEX($A1716:$J1716,$M$6)="","",INDEX($A1716:$J1716,$M$6)&amp;"")</f>
        <v/>
      </c>
      <c r="N1716" s="37" t="str">
        <f aca="false">IF($M1716="","",TRIM(INDEX($A1716:$J1716,$N$6)&amp;""))</f>
        <v/>
      </c>
      <c r="O1716" s="37" t="str">
        <f aca="false">IF($M1716="","",TRIM(INDEX($A1716:$J1716,$O$6)&amp;""))</f>
        <v/>
      </c>
      <c r="P1716" s="37" t="str">
        <f aca="false">IF($M1716="","",IFERROR(IF(INDEX(Settings!$B$41:$B$50,MATCH(O1716,Settings!$A$41:$A$50,0))&amp;""="","UNMAPPED",INDEX(Settings!$B$41:$B$50,MATCH(O1716,Settings!$A$41:$A$50,0))&amp;""),"UNMAPPED"))</f>
        <v/>
      </c>
      <c r="Q1716" s="38" t="n">
        <f aca="false">IF($M1716="",0,N(INDEX($A1716:$J1716,$Q$6)))</f>
        <v>0</v>
      </c>
      <c r="R1716" s="39" t="str">
        <f aca="false">IF($M1716="","",INDEX($A1716:$J1716,$R$6))</f>
        <v/>
      </c>
      <c r="S1716" s="37" t="str">
        <f aca="false">IF($M1716="","",IFERROR(INDEX(Settings!$B$27:$B$36,MATCH(L1716,Settings!$A$27:$A$36,0))&amp;"","UNMAPPED"))</f>
        <v/>
      </c>
      <c r="T1716" s="37" t="str">
        <f aca="false">IF($M1716="","",IF(NOT(ISNUMBER(R1716)),"NO DATE",IF(S1716="Won",IF(R1716&gt;Settings!$B$5,"Backlog","Delivered"),IF(S1716="Open",IF(R1716&gt;Settings!$B$5,"Pipeline","Overdue"),IF(S1716="Lost","Lost","UNMAPPED")))))</f>
        <v/>
      </c>
      <c r="U1716" s="40" t="n">
        <f aca="false">IF(T1716="Backlog",1,IF(OR(T1716="Pipeline",T1716="Overdue"),N(INDEX(Settings!$C$27:$C$36,MATCH(L1716,Settings!$A$27:$A$36,0))),0))</f>
        <v>0</v>
      </c>
      <c r="V1716" s="38" t="n">
        <f aca="false">Q1716*U1716</f>
        <v>0</v>
      </c>
      <c r="W1716" s="41" t="str">
        <f aca="false">IF($M1716="","",IF(T1716="Overdue",IF(Settings!$B$8="Yes",Settings!$B$7,""),IF(ISNUMBER(R1716),DATE(YEAR(R1716),MONTH(R1716),1),"")))</f>
        <v/>
      </c>
      <c r="X1716" s="38" t="n">
        <f aca="false">IF(AND(OR(T1716="Backlog",T1716="Pipeline",T1716="Overdue"),ISNUMBER(W1716)),IF(W1716&lt;=Settings!$B$6,V1716,0),0)</f>
        <v>0</v>
      </c>
      <c r="Y1716" s="38" t="n">
        <f aca="false">IF(AND(OR(T1716="Backlog",T1716="Pipeline",T1716="Overdue"),ISNUMBER(W1716)),IF(W1716&lt;=Settings!$B$6,Q1716,0),0)</f>
        <v>0</v>
      </c>
      <c r="Z1716" s="38" t="n">
        <f aca="false">IF(Y1716=0,0,IF(T1716="Backlog",Q1716,Q1716*Dashboard!$C$10))</f>
        <v>0</v>
      </c>
      <c r="AA1716" s="37" t="n">
        <f aca="false">IF($N1716="",0,IF(COUNTIF(Dashboard!$C$13:$C$22,$N1716)&gt;0,1,0))</f>
        <v>0</v>
      </c>
      <c r="AB1716" s="37" t="str">
        <f aca="false">IF($N1716="","",IF(COUNTIF($N$8:$N1716,$N1716)=1,MAX($AB$7:$AB1715)+1,""))</f>
        <v/>
      </c>
    </row>
    <row r="1717" customFormat="false" ht="15" hidden="false" customHeight="false" outlineLevel="0" collapsed="false">
      <c r="L1717" s="37" t="str">
        <f aca="false">IF(INDEX($A1717:$J1717,$L$6)&lt;&gt;"",TRIM(LEFT(INDEX($A1717:$J1717,$L$6),FIND("(",INDEX($A1717:$J1717,$L$6)&amp;"(")-1)),L1716)</f>
        <v>Building Value Proposition</v>
      </c>
      <c r="M1717" s="37" t="str">
        <f aca="false">IF(INDEX($A1717:$J1717,$M$6)="","",INDEX($A1717:$J1717,$M$6)&amp;"")</f>
        <v/>
      </c>
      <c r="N1717" s="37" t="str">
        <f aca="false">IF($M1717="","",TRIM(INDEX($A1717:$J1717,$N$6)&amp;""))</f>
        <v/>
      </c>
      <c r="O1717" s="37" t="str">
        <f aca="false">IF($M1717="","",TRIM(INDEX($A1717:$J1717,$O$6)&amp;""))</f>
        <v/>
      </c>
      <c r="P1717" s="37" t="str">
        <f aca="false">IF($M1717="","",IFERROR(IF(INDEX(Settings!$B$41:$B$50,MATCH(O1717,Settings!$A$41:$A$50,0))&amp;""="","UNMAPPED",INDEX(Settings!$B$41:$B$50,MATCH(O1717,Settings!$A$41:$A$50,0))&amp;""),"UNMAPPED"))</f>
        <v/>
      </c>
      <c r="Q1717" s="38" t="n">
        <f aca="false">IF($M1717="",0,N(INDEX($A1717:$J1717,$Q$6)))</f>
        <v>0</v>
      </c>
      <c r="R1717" s="39" t="str">
        <f aca="false">IF($M1717="","",INDEX($A1717:$J1717,$R$6))</f>
        <v/>
      </c>
      <c r="S1717" s="37" t="str">
        <f aca="false">IF($M1717="","",IFERROR(INDEX(Settings!$B$27:$B$36,MATCH(L1717,Settings!$A$27:$A$36,0))&amp;"","UNMAPPED"))</f>
        <v/>
      </c>
      <c r="T1717" s="37" t="str">
        <f aca="false">IF($M1717="","",IF(NOT(ISNUMBER(R1717)),"NO DATE",IF(S1717="Won",IF(R1717&gt;Settings!$B$5,"Backlog","Delivered"),IF(S1717="Open",IF(R1717&gt;Settings!$B$5,"Pipeline","Overdue"),IF(S1717="Lost","Lost","UNMAPPED")))))</f>
        <v/>
      </c>
      <c r="U1717" s="40" t="n">
        <f aca="false">IF(T1717="Backlog",1,IF(OR(T1717="Pipeline",T1717="Overdue"),N(INDEX(Settings!$C$27:$C$36,MATCH(L1717,Settings!$A$27:$A$36,0))),0))</f>
        <v>0</v>
      </c>
      <c r="V1717" s="38" t="n">
        <f aca="false">Q1717*U1717</f>
        <v>0</v>
      </c>
      <c r="W1717" s="41" t="str">
        <f aca="false">IF($M1717="","",IF(T1717="Overdue",IF(Settings!$B$8="Yes",Settings!$B$7,""),IF(ISNUMBER(R1717),DATE(YEAR(R1717),MONTH(R1717),1),"")))</f>
        <v/>
      </c>
      <c r="X1717" s="38" t="n">
        <f aca="false">IF(AND(OR(T1717="Backlog",T1717="Pipeline",T1717="Overdue"),ISNUMBER(W1717)),IF(W1717&lt;=Settings!$B$6,V1717,0),0)</f>
        <v>0</v>
      </c>
      <c r="Y1717" s="38" t="n">
        <f aca="false">IF(AND(OR(T1717="Backlog",T1717="Pipeline",T1717="Overdue"),ISNUMBER(W1717)),IF(W1717&lt;=Settings!$B$6,Q1717,0),0)</f>
        <v>0</v>
      </c>
      <c r="Z1717" s="38" t="n">
        <f aca="false">IF(Y1717=0,0,IF(T1717="Backlog",Q1717,Q1717*Dashboard!$C$10))</f>
        <v>0</v>
      </c>
      <c r="AA1717" s="37" t="n">
        <f aca="false">IF($N1717="",0,IF(COUNTIF(Dashboard!$C$13:$C$22,$N1717)&gt;0,1,0))</f>
        <v>0</v>
      </c>
      <c r="AB1717" s="37" t="str">
        <f aca="false">IF($N1717="","",IF(COUNTIF($N$8:$N1717,$N1717)=1,MAX($AB$7:$AB1716)+1,""))</f>
        <v/>
      </c>
    </row>
    <row r="1718" customFormat="false" ht="15" hidden="false" customHeight="false" outlineLevel="0" collapsed="false">
      <c r="L1718" s="37" t="str">
        <f aca="false">IF(INDEX($A1718:$J1718,$L$6)&lt;&gt;"",TRIM(LEFT(INDEX($A1718:$J1718,$L$6),FIND("(",INDEX($A1718:$J1718,$L$6)&amp;"(")-1)),L1717)</f>
        <v>Building Value Proposition</v>
      </c>
      <c r="M1718" s="37" t="str">
        <f aca="false">IF(INDEX($A1718:$J1718,$M$6)="","",INDEX($A1718:$J1718,$M$6)&amp;"")</f>
        <v/>
      </c>
      <c r="N1718" s="37" t="str">
        <f aca="false">IF($M1718="","",TRIM(INDEX($A1718:$J1718,$N$6)&amp;""))</f>
        <v/>
      </c>
      <c r="O1718" s="37" t="str">
        <f aca="false">IF($M1718="","",TRIM(INDEX($A1718:$J1718,$O$6)&amp;""))</f>
        <v/>
      </c>
      <c r="P1718" s="37" t="str">
        <f aca="false">IF($M1718="","",IFERROR(IF(INDEX(Settings!$B$41:$B$50,MATCH(O1718,Settings!$A$41:$A$50,0))&amp;""="","UNMAPPED",INDEX(Settings!$B$41:$B$50,MATCH(O1718,Settings!$A$41:$A$50,0))&amp;""),"UNMAPPED"))</f>
        <v/>
      </c>
      <c r="Q1718" s="38" t="n">
        <f aca="false">IF($M1718="",0,N(INDEX($A1718:$J1718,$Q$6)))</f>
        <v>0</v>
      </c>
      <c r="R1718" s="39" t="str">
        <f aca="false">IF($M1718="","",INDEX($A1718:$J1718,$R$6))</f>
        <v/>
      </c>
      <c r="S1718" s="37" t="str">
        <f aca="false">IF($M1718="","",IFERROR(INDEX(Settings!$B$27:$B$36,MATCH(L1718,Settings!$A$27:$A$36,0))&amp;"","UNMAPPED"))</f>
        <v/>
      </c>
      <c r="T1718" s="37" t="str">
        <f aca="false">IF($M1718="","",IF(NOT(ISNUMBER(R1718)),"NO DATE",IF(S1718="Won",IF(R1718&gt;Settings!$B$5,"Backlog","Delivered"),IF(S1718="Open",IF(R1718&gt;Settings!$B$5,"Pipeline","Overdue"),IF(S1718="Lost","Lost","UNMAPPED")))))</f>
        <v/>
      </c>
      <c r="U1718" s="40" t="n">
        <f aca="false">IF(T1718="Backlog",1,IF(OR(T1718="Pipeline",T1718="Overdue"),N(INDEX(Settings!$C$27:$C$36,MATCH(L1718,Settings!$A$27:$A$36,0))),0))</f>
        <v>0</v>
      </c>
      <c r="V1718" s="38" t="n">
        <f aca="false">Q1718*U1718</f>
        <v>0</v>
      </c>
      <c r="W1718" s="41" t="str">
        <f aca="false">IF($M1718="","",IF(T1718="Overdue",IF(Settings!$B$8="Yes",Settings!$B$7,""),IF(ISNUMBER(R1718),DATE(YEAR(R1718),MONTH(R1718),1),"")))</f>
        <v/>
      </c>
      <c r="X1718" s="38" t="n">
        <f aca="false">IF(AND(OR(T1718="Backlog",T1718="Pipeline",T1718="Overdue"),ISNUMBER(W1718)),IF(W1718&lt;=Settings!$B$6,V1718,0),0)</f>
        <v>0</v>
      </c>
      <c r="Y1718" s="38" t="n">
        <f aca="false">IF(AND(OR(T1718="Backlog",T1718="Pipeline",T1718="Overdue"),ISNUMBER(W1718)),IF(W1718&lt;=Settings!$B$6,Q1718,0),0)</f>
        <v>0</v>
      </c>
      <c r="Z1718" s="38" t="n">
        <f aca="false">IF(Y1718=0,0,IF(T1718="Backlog",Q1718,Q1718*Dashboard!$C$10))</f>
        <v>0</v>
      </c>
      <c r="AA1718" s="37" t="n">
        <f aca="false">IF($N1718="",0,IF(COUNTIF(Dashboard!$C$13:$C$22,$N1718)&gt;0,1,0))</f>
        <v>0</v>
      </c>
      <c r="AB1718" s="37" t="str">
        <f aca="false">IF($N1718="","",IF(COUNTIF($N$8:$N1718,$N1718)=1,MAX($AB$7:$AB1717)+1,""))</f>
        <v/>
      </c>
    </row>
    <row r="1719" customFormat="false" ht="15" hidden="false" customHeight="false" outlineLevel="0" collapsed="false">
      <c r="L1719" s="37" t="str">
        <f aca="false">IF(INDEX($A1719:$J1719,$L$6)&lt;&gt;"",TRIM(LEFT(INDEX($A1719:$J1719,$L$6),FIND("(",INDEX($A1719:$J1719,$L$6)&amp;"(")-1)),L1718)</f>
        <v>Building Value Proposition</v>
      </c>
      <c r="M1719" s="37" t="str">
        <f aca="false">IF(INDEX($A1719:$J1719,$M$6)="","",INDEX($A1719:$J1719,$M$6)&amp;"")</f>
        <v/>
      </c>
      <c r="N1719" s="37" t="str">
        <f aca="false">IF($M1719="","",TRIM(INDEX($A1719:$J1719,$N$6)&amp;""))</f>
        <v/>
      </c>
      <c r="O1719" s="37" t="str">
        <f aca="false">IF($M1719="","",TRIM(INDEX($A1719:$J1719,$O$6)&amp;""))</f>
        <v/>
      </c>
      <c r="P1719" s="37" t="str">
        <f aca="false">IF($M1719="","",IFERROR(IF(INDEX(Settings!$B$41:$B$50,MATCH(O1719,Settings!$A$41:$A$50,0))&amp;""="","UNMAPPED",INDEX(Settings!$B$41:$B$50,MATCH(O1719,Settings!$A$41:$A$50,0))&amp;""),"UNMAPPED"))</f>
        <v/>
      </c>
      <c r="Q1719" s="38" t="n">
        <f aca="false">IF($M1719="",0,N(INDEX($A1719:$J1719,$Q$6)))</f>
        <v>0</v>
      </c>
      <c r="R1719" s="39" t="str">
        <f aca="false">IF($M1719="","",INDEX($A1719:$J1719,$R$6))</f>
        <v/>
      </c>
      <c r="S1719" s="37" t="str">
        <f aca="false">IF($M1719="","",IFERROR(INDEX(Settings!$B$27:$B$36,MATCH(L1719,Settings!$A$27:$A$36,0))&amp;"","UNMAPPED"))</f>
        <v/>
      </c>
      <c r="T1719" s="37" t="str">
        <f aca="false">IF($M1719="","",IF(NOT(ISNUMBER(R1719)),"NO DATE",IF(S1719="Won",IF(R1719&gt;Settings!$B$5,"Backlog","Delivered"),IF(S1719="Open",IF(R1719&gt;Settings!$B$5,"Pipeline","Overdue"),IF(S1719="Lost","Lost","UNMAPPED")))))</f>
        <v/>
      </c>
      <c r="U1719" s="40" t="n">
        <f aca="false">IF(T1719="Backlog",1,IF(OR(T1719="Pipeline",T1719="Overdue"),N(INDEX(Settings!$C$27:$C$36,MATCH(L1719,Settings!$A$27:$A$36,0))),0))</f>
        <v>0</v>
      </c>
      <c r="V1719" s="38" t="n">
        <f aca="false">Q1719*U1719</f>
        <v>0</v>
      </c>
      <c r="W1719" s="41" t="str">
        <f aca="false">IF($M1719="","",IF(T1719="Overdue",IF(Settings!$B$8="Yes",Settings!$B$7,""),IF(ISNUMBER(R1719),DATE(YEAR(R1719),MONTH(R1719),1),"")))</f>
        <v/>
      </c>
      <c r="X1719" s="38" t="n">
        <f aca="false">IF(AND(OR(T1719="Backlog",T1719="Pipeline",T1719="Overdue"),ISNUMBER(W1719)),IF(W1719&lt;=Settings!$B$6,V1719,0),0)</f>
        <v>0</v>
      </c>
      <c r="Y1719" s="38" t="n">
        <f aca="false">IF(AND(OR(T1719="Backlog",T1719="Pipeline",T1719="Overdue"),ISNUMBER(W1719)),IF(W1719&lt;=Settings!$B$6,Q1719,0),0)</f>
        <v>0</v>
      </c>
      <c r="Z1719" s="38" t="n">
        <f aca="false">IF(Y1719=0,0,IF(T1719="Backlog",Q1719,Q1719*Dashboard!$C$10))</f>
        <v>0</v>
      </c>
      <c r="AA1719" s="37" t="n">
        <f aca="false">IF($N1719="",0,IF(COUNTIF(Dashboard!$C$13:$C$22,$N1719)&gt;0,1,0))</f>
        <v>0</v>
      </c>
      <c r="AB1719" s="37" t="str">
        <f aca="false">IF($N1719="","",IF(COUNTIF($N$8:$N1719,$N1719)=1,MAX($AB$7:$AB1718)+1,""))</f>
        <v/>
      </c>
    </row>
    <row r="1720" customFormat="false" ht="15" hidden="false" customHeight="false" outlineLevel="0" collapsed="false">
      <c r="L1720" s="37" t="str">
        <f aca="false">IF(INDEX($A1720:$J1720,$L$6)&lt;&gt;"",TRIM(LEFT(INDEX($A1720:$J1720,$L$6),FIND("(",INDEX($A1720:$J1720,$L$6)&amp;"(")-1)),L1719)</f>
        <v>Building Value Proposition</v>
      </c>
      <c r="M1720" s="37" t="str">
        <f aca="false">IF(INDEX($A1720:$J1720,$M$6)="","",INDEX($A1720:$J1720,$M$6)&amp;"")</f>
        <v/>
      </c>
      <c r="N1720" s="37" t="str">
        <f aca="false">IF($M1720="","",TRIM(INDEX($A1720:$J1720,$N$6)&amp;""))</f>
        <v/>
      </c>
      <c r="O1720" s="37" t="str">
        <f aca="false">IF($M1720="","",TRIM(INDEX($A1720:$J1720,$O$6)&amp;""))</f>
        <v/>
      </c>
      <c r="P1720" s="37" t="str">
        <f aca="false">IF($M1720="","",IFERROR(IF(INDEX(Settings!$B$41:$B$50,MATCH(O1720,Settings!$A$41:$A$50,0))&amp;""="","UNMAPPED",INDEX(Settings!$B$41:$B$50,MATCH(O1720,Settings!$A$41:$A$50,0))&amp;""),"UNMAPPED"))</f>
        <v/>
      </c>
      <c r="Q1720" s="38" t="n">
        <f aca="false">IF($M1720="",0,N(INDEX($A1720:$J1720,$Q$6)))</f>
        <v>0</v>
      </c>
      <c r="R1720" s="39" t="str">
        <f aca="false">IF($M1720="","",INDEX($A1720:$J1720,$R$6))</f>
        <v/>
      </c>
      <c r="S1720" s="37" t="str">
        <f aca="false">IF($M1720="","",IFERROR(INDEX(Settings!$B$27:$B$36,MATCH(L1720,Settings!$A$27:$A$36,0))&amp;"","UNMAPPED"))</f>
        <v/>
      </c>
      <c r="T1720" s="37" t="str">
        <f aca="false">IF($M1720="","",IF(NOT(ISNUMBER(R1720)),"NO DATE",IF(S1720="Won",IF(R1720&gt;Settings!$B$5,"Backlog","Delivered"),IF(S1720="Open",IF(R1720&gt;Settings!$B$5,"Pipeline","Overdue"),IF(S1720="Lost","Lost","UNMAPPED")))))</f>
        <v/>
      </c>
      <c r="U1720" s="40" t="n">
        <f aca="false">IF(T1720="Backlog",1,IF(OR(T1720="Pipeline",T1720="Overdue"),N(INDEX(Settings!$C$27:$C$36,MATCH(L1720,Settings!$A$27:$A$36,0))),0))</f>
        <v>0</v>
      </c>
      <c r="V1720" s="38" t="n">
        <f aca="false">Q1720*U1720</f>
        <v>0</v>
      </c>
      <c r="W1720" s="41" t="str">
        <f aca="false">IF($M1720="","",IF(T1720="Overdue",IF(Settings!$B$8="Yes",Settings!$B$7,""),IF(ISNUMBER(R1720),DATE(YEAR(R1720),MONTH(R1720),1),"")))</f>
        <v/>
      </c>
      <c r="X1720" s="38" t="n">
        <f aca="false">IF(AND(OR(T1720="Backlog",T1720="Pipeline",T1720="Overdue"),ISNUMBER(W1720)),IF(W1720&lt;=Settings!$B$6,V1720,0),0)</f>
        <v>0</v>
      </c>
      <c r="Y1720" s="38" t="n">
        <f aca="false">IF(AND(OR(T1720="Backlog",T1720="Pipeline",T1720="Overdue"),ISNUMBER(W1720)),IF(W1720&lt;=Settings!$B$6,Q1720,0),0)</f>
        <v>0</v>
      </c>
      <c r="Z1720" s="38" t="n">
        <f aca="false">IF(Y1720=0,0,IF(T1720="Backlog",Q1720,Q1720*Dashboard!$C$10))</f>
        <v>0</v>
      </c>
      <c r="AA1720" s="37" t="n">
        <f aca="false">IF($N1720="",0,IF(COUNTIF(Dashboard!$C$13:$C$22,$N1720)&gt;0,1,0))</f>
        <v>0</v>
      </c>
      <c r="AB1720" s="37" t="str">
        <f aca="false">IF($N1720="","",IF(COUNTIF($N$8:$N1720,$N1720)=1,MAX($AB$7:$AB1719)+1,""))</f>
        <v/>
      </c>
    </row>
    <row r="1721" customFormat="false" ht="15" hidden="false" customHeight="false" outlineLevel="0" collapsed="false">
      <c r="L1721" s="37" t="str">
        <f aca="false">IF(INDEX($A1721:$J1721,$L$6)&lt;&gt;"",TRIM(LEFT(INDEX($A1721:$J1721,$L$6),FIND("(",INDEX($A1721:$J1721,$L$6)&amp;"(")-1)),L1720)</f>
        <v>Building Value Proposition</v>
      </c>
      <c r="M1721" s="37" t="str">
        <f aca="false">IF(INDEX($A1721:$J1721,$M$6)="","",INDEX($A1721:$J1721,$M$6)&amp;"")</f>
        <v/>
      </c>
      <c r="N1721" s="37" t="str">
        <f aca="false">IF($M1721="","",TRIM(INDEX($A1721:$J1721,$N$6)&amp;""))</f>
        <v/>
      </c>
      <c r="O1721" s="37" t="str">
        <f aca="false">IF($M1721="","",TRIM(INDEX($A1721:$J1721,$O$6)&amp;""))</f>
        <v/>
      </c>
      <c r="P1721" s="37" t="str">
        <f aca="false">IF($M1721="","",IFERROR(IF(INDEX(Settings!$B$41:$B$50,MATCH(O1721,Settings!$A$41:$A$50,0))&amp;""="","UNMAPPED",INDEX(Settings!$B$41:$B$50,MATCH(O1721,Settings!$A$41:$A$50,0))&amp;""),"UNMAPPED"))</f>
        <v/>
      </c>
      <c r="Q1721" s="38" t="n">
        <f aca="false">IF($M1721="",0,N(INDEX($A1721:$J1721,$Q$6)))</f>
        <v>0</v>
      </c>
      <c r="R1721" s="39" t="str">
        <f aca="false">IF($M1721="","",INDEX($A1721:$J1721,$R$6))</f>
        <v/>
      </c>
      <c r="S1721" s="37" t="str">
        <f aca="false">IF($M1721="","",IFERROR(INDEX(Settings!$B$27:$B$36,MATCH(L1721,Settings!$A$27:$A$36,0))&amp;"","UNMAPPED"))</f>
        <v/>
      </c>
      <c r="T1721" s="37" t="str">
        <f aca="false">IF($M1721="","",IF(NOT(ISNUMBER(R1721)),"NO DATE",IF(S1721="Won",IF(R1721&gt;Settings!$B$5,"Backlog","Delivered"),IF(S1721="Open",IF(R1721&gt;Settings!$B$5,"Pipeline","Overdue"),IF(S1721="Lost","Lost","UNMAPPED")))))</f>
        <v/>
      </c>
      <c r="U1721" s="40" t="n">
        <f aca="false">IF(T1721="Backlog",1,IF(OR(T1721="Pipeline",T1721="Overdue"),N(INDEX(Settings!$C$27:$C$36,MATCH(L1721,Settings!$A$27:$A$36,0))),0))</f>
        <v>0</v>
      </c>
      <c r="V1721" s="38" t="n">
        <f aca="false">Q1721*U1721</f>
        <v>0</v>
      </c>
      <c r="W1721" s="41" t="str">
        <f aca="false">IF($M1721="","",IF(T1721="Overdue",IF(Settings!$B$8="Yes",Settings!$B$7,""),IF(ISNUMBER(R1721),DATE(YEAR(R1721),MONTH(R1721),1),"")))</f>
        <v/>
      </c>
      <c r="X1721" s="38" t="n">
        <f aca="false">IF(AND(OR(T1721="Backlog",T1721="Pipeline",T1721="Overdue"),ISNUMBER(W1721)),IF(W1721&lt;=Settings!$B$6,V1721,0),0)</f>
        <v>0</v>
      </c>
      <c r="Y1721" s="38" t="n">
        <f aca="false">IF(AND(OR(T1721="Backlog",T1721="Pipeline",T1721="Overdue"),ISNUMBER(W1721)),IF(W1721&lt;=Settings!$B$6,Q1721,0),0)</f>
        <v>0</v>
      </c>
      <c r="Z1721" s="38" t="n">
        <f aca="false">IF(Y1721=0,0,IF(T1721="Backlog",Q1721,Q1721*Dashboard!$C$10))</f>
        <v>0</v>
      </c>
      <c r="AA1721" s="37" t="n">
        <f aca="false">IF($N1721="",0,IF(COUNTIF(Dashboard!$C$13:$C$22,$N1721)&gt;0,1,0))</f>
        <v>0</v>
      </c>
      <c r="AB1721" s="37" t="str">
        <f aca="false">IF($N1721="","",IF(COUNTIF($N$8:$N1721,$N1721)=1,MAX($AB$7:$AB1720)+1,""))</f>
        <v/>
      </c>
    </row>
    <row r="1722" customFormat="false" ht="15" hidden="false" customHeight="false" outlineLevel="0" collapsed="false">
      <c r="L1722" s="37" t="str">
        <f aca="false">IF(INDEX($A1722:$J1722,$L$6)&lt;&gt;"",TRIM(LEFT(INDEX($A1722:$J1722,$L$6),FIND("(",INDEX($A1722:$J1722,$L$6)&amp;"(")-1)),L1721)</f>
        <v>Building Value Proposition</v>
      </c>
      <c r="M1722" s="37" t="str">
        <f aca="false">IF(INDEX($A1722:$J1722,$M$6)="","",INDEX($A1722:$J1722,$M$6)&amp;"")</f>
        <v/>
      </c>
      <c r="N1722" s="37" t="str">
        <f aca="false">IF($M1722="","",TRIM(INDEX($A1722:$J1722,$N$6)&amp;""))</f>
        <v/>
      </c>
      <c r="O1722" s="37" t="str">
        <f aca="false">IF($M1722="","",TRIM(INDEX($A1722:$J1722,$O$6)&amp;""))</f>
        <v/>
      </c>
      <c r="P1722" s="37" t="str">
        <f aca="false">IF($M1722="","",IFERROR(IF(INDEX(Settings!$B$41:$B$50,MATCH(O1722,Settings!$A$41:$A$50,0))&amp;""="","UNMAPPED",INDEX(Settings!$B$41:$B$50,MATCH(O1722,Settings!$A$41:$A$50,0))&amp;""),"UNMAPPED"))</f>
        <v/>
      </c>
      <c r="Q1722" s="38" t="n">
        <f aca="false">IF($M1722="",0,N(INDEX($A1722:$J1722,$Q$6)))</f>
        <v>0</v>
      </c>
      <c r="R1722" s="39" t="str">
        <f aca="false">IF($M1722="","",INDEX($A1722:$J1722,$R$6))</f>
        <v/>
      </c>
      <c r="S1722" s="37" t="str">
        <f aca="false">IF($M1722="","",IFERROR(INDEX(Settings!$B$27:$B$36,MATCH(L1722,Settings!$A$27:$A$36,0))&amp;"","UNMAPPED"))</f>
        <v/>
      </c>
      <c r="T1722" s="37" t="str">
        <f aca="false">IF($M1722="","",IF(NOT(ISNUMBER(R1722)),"NO DATE",IF(S1722="Won",IF(R1722&gt;Settings!$B$5,"Backlog","Delivered"),IF(S1722="Open",IF(R1722&gt;Settings!$B$5,"Pipeline","Overdue"),IF(S1722="Lost","Lost","UNMAPPED")))))</f>
        <v/>
      </c>
      <c r="U1722" s="40" t="n">
        <f aca="false">IF(T1722="Backlog",1,IF(OR(T1722="Pipeline",T1722="Overdue"),N(INDEX(Settings!$C$27:$C$36,MATCH(L1722,Settings!$A$27:$A$36,0))),0))</f>
        <v>0</v>
      </c>
      <c r="V1722" s="38" t="n">
        <f aca="false">Q1722*U1722</f>
        <v>0</v>
      </c>
      <c r="W1722" s="41" t="str">
        <f aca="false">IF($M1722="","",IF(T1722="Overdue",IF(Settings!$B$8="Yes",Settings!$B$7,""),IF(ISNUMBER(R1722),DATE(YEAR(R1722),MONTH(R1722),1),"")))</f>
        <v/>
      </c>
      <c r="X1722" s="38" t="n">
        <f aca="false">IF(AND(OR(T1722="Backlog",T1722="Pipeline",T1722="Overdue"),ISNUMBER(W1722)),IF(W1722&lt;=Settings!$B$6,V1722,0),0)</f>
        <v>0</v>
      </c>
      <c r="Y1722" s="38" t="n">
        <f aca="false">IF(AND(OR(T1722="Backlog",T1722="Pipeline",T1722="Overdue"),ISNUMBER(W1722)),IF(W1722&lt;=Settings!$B$6,Q1722,0),0)</f>
        <v>0</v>
      </c>
      <c r="Z1722" s="38" t="n">
        <f aca="false">IF(Y1722=0,0,IF(T1722="Backlog",Q1722,Q1722*Dashboard!$C$10))</f>
        <v>0</v>
      </c>
      <c r="AA1722" s="37" t="n">
        <f aca="false">IF($N1722="",0,IF(COUNTIF(Dashboard!$C$13:$C$22,$N1722)&gt;0,1,0))</f>
        <v>0</v>
      </c>
      <c r="AB1722" s="37" t="str">
        <f aca="false">IF($N1722="","",IF(COUNTIF($N$8:$N1722,$N1722)=1,MAX($AB$7:$AB1721)+1,""))</f>
        <v/>
      </c>
    </row>
    <row r="1723" customFormat="false" ht="15" hidden="false" customHeight="false" outlineLevel="0" collapsed="false">
      <c r="L1723" s="37" t="str">
        <f aca="false">IF(INDEX($A1723:$J1723,$L$6)&lt;&gt;"",TRIM(LEFT(INDEX($A1723:$J1723,$L$6),FIND("(",INDEX($A1723:$J1723,$L$6)&amp;"(")-1)),L1722)</f>
        <v>Building Value Proposition</v>
      </c>
      <c r="M1723" s="37" t="str">
        <f aca="false">IF(INDEX($A1723:$J1723,$M$6)="","",INDEX($A1723:$J1723,$M$6)&amp;"")</f>
        <v/>
      </c>
      <c r="N1723" s="37" t="str">
        <f aca="false">IF($M1723="","",TRIM(INDEX($A1723:$J1723,$N$6)&amp;""))</f>
        <v/>
      </c>
      <c r="O1723" s="37" t="str">
        <f aca="false">IF($M1723="","",TRIM(INDEX($A1723:$J1723,$O$6)&amp;""))</f>
        <v/>
      </c>
      <c r="P1723" s="37" t="str">
        <f aca="false">IF($M1723="","",IFERROR(IF(INDEX(Settings!$B$41:$B$50,MATCH(O1723,Settings!$A$41:$A$50,0))&amp;""="","UNMAPPED",INDEX(Settings!$B$41:$B$50,MATCH(O1723,Settings!$A$41:$A$50,0))&amp;""),"UNMAPPED"))</f>
        <v/>
      </c>
      <c r="Q1723" s="38" t="n">
        <f aca="false">IF($M1723="",0,N(INDEX($A1723:$J1723,$Q$6)))</f>
        <v>0</v>
      </c>
      <c r="R1723" s="39" t="str">
        <f aca="false">IF($M1723="","",INDEX($A1723:$J1723,$R$6))</f>
        <v/>
      </c>
      <c r="S1723" s="37" t="str">
        <f aca="false">IF($M1723="","",IFERROR(INDEX(Settings!$B$27:$B$36,MATCH(L1723,Settings!$A$27:$A$36,0))&amp;"","UNMAPPED"))</f>
        <v/>
      </c>
      <c r="T1723" s="37" t="str">
        <f aca="false">IF($M1723="","",IF(NOT(ISNUMBER(R1723)),"NO DATE",IF(S1723="Won",IF(R1723&gt;Settings!$B$5,"Backlog","Delivered"),IF(S1723="Open",IF(R1723&gt;Settings!$B$5,"Pipeline","Overdue"),IF(S1723="Lost","Lost","UNMAPPED")))))</f>
        <v/>
      </c>
      <c r="U1723" s="40" t="n">
        <f aca="false">IF(T1723="Backlog",1,IF(OR(T1723="Pipeline",T1723="Overdue"),N(INDEX(Settings!$C$27:$C$36,MATCH(L1723,Settings!$A$27:$A$36,0))),0))</f>
        <v>0</v>
      </c>
      <c r="V1723" s="38" t="n">
        <f aca="false">Q1723*U1723</f>
        <v>0</v>
      </c>
      <c r="W1723" s="41" t="str">
        <f aca="false">IF($M1723="","",IF(T1723="Overdue",IF(Settings!$B$8="Yes",Settings!$B$7,""),IF(ISNUMBER(R1723),DATE(YEAR(R1723),MONTH(R1723),1),"")))</f>
        <v/>
      </c>
      <c r="X1723" s="38" t="n">
        <f aca="false">IF(AND(OR(T1723="Backlog",T1723="Pipeline",T1723="Overdue"),ISNUMBER(W1723)),IF(W1723&lt;=Settings!$B$6,V1723,0),0)</f>
        <v>0</v>
      </c>
      <c r="Y1723" s="38" t="n">
        <f aca="false">IF(AND(OR(T1723="Backlog",T1723="Pipeline",T1723="Overdue"),ISNUMBER(W1723)),IF(W1723&lt;=Settings!$B$6,Q1723,0),0)</f>
        <v>0</v>
      </c>
      <c r="Z1723" s="38" t="n">
        <f aca="false">IF(Y1723=0,0,IF(T1723="Backlog",Q1723,Q1723*Dashboard!$C$10))</f>
        <v>0</v>
      </c>
      <c r="AA1723" s="37" t="n">
        <f aca="false">IF($N1723="",0,IF(COUNTIF(Dashboard!$C$13:$C$22,$N1723)&gt;0,1,0))</f>
        <v>0</v>
      </c>
      <c r="AB1723" s="37" t="str">
        <f aca="false">IF($N1723="","",IF(COUNTIF($N$8:$N1723,$N1723)=1,MAX($AB$7:$AB1722)+1,""))</f>
        <v/>
      </c>
    </row>
    <row r="1724" customFormat="false" ht="15" hidden="false" customHeight="false" outlineLevel="0" collapsed="false">
      <c r="L1724" s="37" t="str">
        <f aca="false">IF(INDEX($A1724:$J1724,$L$6)&lt;&gt;"",TRIM(LEFT(INDEX($A1724:$J1724,$L$6),FIND("(",INDEX($A1724:$J1724,$L$6)&amp;"(")-1)),L1723)</f>
        <v>Building Value Proposition</v>
      </c>
      <c r="M1724" s="37" t="str">
        <f aca="false">IF(INDEX($A1724:$J1724,$M$6)="","",INDEX($A1724:$J1724,$M$6)&amp;"")</f>
        <v/>
      </c>
      <c r="N1724" s="37" t="str">
        <f aca="false">IF($M1724="","",TRIM(INDEX($A1724:$J1724,$N$6)&amp;""))</f>
        <v/>
      </c>
      <c r="O1724" s="37" t="str">
        <f aca="false">IF($M1724="","",TRIM(INDEX($A1724:$J1724,$O$6)&amp;""))</f>
        <v/>
      </c>
      <c r="P1724" s="37" t="str">
        <f aca="false">IF($M1724="","",IFERROR(IF(INDEX(Settings!$B$41:$B$50,MATCH(O1724,Settings!$A$41:$A$50,0))&amp;""="","UNMAPPED",INDEX(Settings!$B$41:$B$50,MATCH(O1724,Settings!$A$41:$A$50,0))&amp;""),"UNMAPPED"))</f>
        <v/>
      </c>
      <c r="Q1724" s="38" t="n">
        <f aca="false">IF($M1724="",0,N(INDEX($A1724:$J1724,$Q$6)))</f>
        <v>0</v>
      </c>
      <c r="R1724" s="39" t="str">
        <f aca="false">IF($M1724="","",INDEX($A1724:$J1724,$R$6))</f>
        <v/>
      </c>
      <c r="S1724" s="37" t="str">
        <f aca="false">IF($M1724="","",IFERROR(INDEX(Settings!$B$27:$B$36,MATCH(L1724,Settings!$A$27:$A$36,0))&amp;"","UNMAPPED"))</f>
        <v/>
      </c>
      <c r="T1724" s="37" t="str">
        <f aca="false">IF($M1724="","",IF(NOT(ISNUMBER(R1724)),"NO DATE",IF(S1724="Won",IF(R1724&gt;Settings!$B$5,"Backlog","Delivered"),IF(S1724="Open",IF(R1724&gt;Settings!$B$5,"Pipeline","Overdue"),IF(S1724="Lost","Lost","UNMAPPED")))))</f>
        <v/>
      </c>
      <c r="U1724" s="40" t="n">
        <f aca="false">IF(T1724="Backlog",1,IF(OR(T1724="Pipeline",T1724="Overdue"),N(INDEX(Settings!$C$27:$C$36,MATCH(L1724,Settings!$A$27:$A$36,0))),0))</f>
        <v>0</v>
      </c>
      <c r="V1724" s="38" t="n">
        <f aca="false">Q1724*U1724</f>
        <v>0</v>
      </c>
      <c r="W1724" s="41" t="str">
        <f aca="false">IF($M1724="","",IF(T1724="Overdue",IF(Settings!$B$8="Yes",Settings!$B$7,""),IF(ISNUMBER(R1724),DATE(YEAR(R1724),MONTH(R1724),1),"")))</f>
        <v/>
      </c>
      <c r="X1724" s="38" t="n">
        <f aca="false">IF(AND(OR(T1724="Backlog",T1724="Pipeline",T1724="Overdue"),ISNUMBER(W1724)),IF(W1724&lt;=Settings!$B$6,V1724,0),0)</f>
        <v>0</v>
      </c>
      <c r="Y1724" s="38" t="n">
        <f aca="false">IF(AND(OR(T1724="Backlog",T1724="Pipeline",T1724="Overdue"),ISNUMBER(W1724)),IF(W1724&lt;=Settings!$B$6,Q1724,0),0)</f>
        <v>0</v>
      </c>
      <c r="Z1724" s="38" t="n">
        <f aca="false">IF(Y1724=0,0,IF(T1724="Backlog",Q1724,Q1724*Dashboard!$C$10))</f>
        <v>0</v>
      </c>
      <c r="AA1724" s="37" t="n">
        <f aca="false">IF($N1724="",0,IF(COUNTIF(Dashboard!$C$13:$C$22,$N1724)&gt;0,1,0))</f>
        <v>0</v>
      </c>
      <c r="AB1724" s="37" t="str">
        <f aca="false">IF($N1724="","",IF(COUNTIF($N$8:$N1724,$N1724)=1,MAX($AB$7:$AB1723)+1,""))</f>
        <v/>
      </c>
    </row>
    <row r="1725" customFormat="false" ht="15" hidden="false" customHeight="false" outlineLevel="0" collapsed="false">
      <c r="L1725" s="37" t="str">
        <f aca="false">IF(INDEX($A1725:$J1725,$L$6)&lt;&gt;"",TRIM(LEFT(INDEX($A1725:$J1725,$L$6),FIND("(",INDEX($A1725:$J1725,$L$6)&amp;"(")-1)),L1724)</f>
        <v>Building Value Proposition</v>
      </c>
      <c r="M1725" s="37" t="str">
        <f aca="false">IF(INDEX($A1725:$J1725,$M$6)="","",INDEX($A1725:$J1725,$M$6)&amp;"")</f>
        <v/>
      </c>
      <c r="N1725" s="37" t="str">
        <f aca="false">IF($M1725="","",TRIM(INDEX($A1725:$J1725,$N$6)&amp;""))</f>
        <v/>
      </c>
      <c r="O1725" s="37" t="str">
        <f aca="false">IF($M1725="","",TRIM(INDEX($A1725:$J1725,$O$6)&amp;""))</f>
        <v/>
      </c>
      <c r="P1725" s="37" t="str">
        <f aca="false">IF($M1725="","",IFERROR(IF(INDEX(Settings!$B$41:$B$50,MATCH(O1725,Settings!$A$41:$A$50,0))&amp;""="","UNMAPPED",INDEX(Settings!$B$41:$B$50,MATCH(O1725,Settings!$A$41:$A$50,0))&amp;""),"UNMAPPED"))</f>
        <v/>
      </c>
      <c r="Q1725" s="38" t="n">
        <f aca="false">IF($M1725="",0,N(INDEX($A1725:$J1725,$Q$6)))</f>
        <v>0</v>
      </c>
      <c r="R1725" s="39" t="str">
        <f aca="false">IF($M1725="","",INDEX($A1725:$J1725,$R$6))</f>
        <v/>
      </c>
      <c r="S1725" s="37" t="str">
        <f aca="false">IF($M1725="","",IFERROR(INDEX(Settings!$B$27:$B$36,MATCH(L1725,Settings!$A$27:$A$36,0))&amp;"","UNMAPPED"))</f>
        <v/>
      </c>
      <c r="T1725" s="37" t="str">
        <f aca="false">IF($M1725="","",IF(NOT(ISNUMBER(R1725)),"NO DATE",IF(S1725="Won",IF(R1725&gt;Settings!$B$5,"Backlog","Delivered"),IF(S1725="Open",IF(R1725&gt;Settings!$B$5,"Pipeline","Overdue"),IF(S1725="Lost","Lost","UNMAPPED")))))</f>
        <v/>
      </c>
      <c r="U1725" s="40" t="n">
        <f aca="false">IF(T1725="Backlog",1,IF(OR(T1725="Pipeline",T1725="Overdue"),N(INDEX(Settings!$C$27:$C$36,MATCH(L1725,Settings!$A$27:$A$36,0))),0))</f>
        <v>0</v>
      </c>
      <c r="V1725" s="38" t="n">
        <f aca="false">Q1725*U1725</f>
        <v>0</v>
      </c>
      <c r="W1725" s="41" t="str">
        <f aca="false">IF($M1725="","",IF(T1725="Overdue",IF(Settings!$B$8="Yes",Settings!$B$7,""),IF(ISNUMBER(R1725),DATE(YEAR(R1725),MONTH(R1725),1),"")))</f>
        <v/>
      </c>
      <c r="X1725" s="38" t="n">
        <f aca="false">IF(AND(OR(T1725="Backlog",T1725="Pipeline",T1725="Overdue"),ISNUMBER(W1725)),IF(W1725&lt;=Settings!$B$6,V1725,0),0)</f>
        <v>0</v>
      </c>
      <c r="Y1725" s="38" t="n">
        <f aca="false">IF(AND(OR(T1725="Backlog",T1725="Pipeline",T1725="Overdue"),ISNUMBER(W1725)),IF(W1725&lt;=Settings!$B$6,Q1725,0),0)</f>
        <v>0</v>
      </c>
      <c r="Z1725" s="38" t="n">
        <f aca="false">IF(Y1725=0,0,IF(T1725="Backlog",Q1725,Q1725*Dashboard!$C$10))</f>
        <v>0</v>
      </c>
      <c r="AA1725" s="37" t="n">
        <f aca="false">IF($N1725="",0,IF(COUNTIF(Dashboard!$C$13:$C$22,$N1725)&gt;0,1,0))</f>
        <v>0</v>
      </c>
      <c r="AB1725" s="37" t="str">
        <f aca="false">IF($N1725="","",IF(COUNTIF($N$8:$N1725,$N1725)=1,MAX($AB$7:$AB1724)+1,""))</f>
        <v/>
      </c>
    </row>
    <row r="1726" customFormat="false" ht="15" hidden="false" customHeight="false" outlineLevel="0" collapsed="false">
      <c r="L1726" s="37" t="str">
        <f aca="false">IF(INDEX($A1726:$J1726,$L$6)&lt;&gt;"",TRIM(LEFT(INDEX($A1726:$J1726,$L$6),FIND("(",INDEX($A1726:$J1726,$L$6)&amp;"(")-1)),L1725)</f>
        <v>Building Value Proposition</v>
      </c>
      <c r="M1726" s="37" t="str">
        <f aca="false">IF(INDEX($A1726:$J1726,$M$6)="","",INDEX($A1726:$J1726,$M$6)&amp;"")</f>
        <v/>
      </c>
      <c r="N1726" s="37" t="str">
        <f aca="false">IF($M1726="","",TRIM(INDEX($A1726:$J1726,$N$6)&amp;""))</f>
        <v/>
      </c>
      <c r="O1726" s="37" t="str">
        <f aca="false">IF($M1726="","",TRIM(INDEX($A1726:$J1726,$O$6)&amp;""))</f>
        <v/>
      </c>
      <c r="P1726" s="37" t="str">
        <f aca="false">IF($M1726="","",IFERROR(IF(INDEX(Settings!$B$41:$B$50,MATCH(O1726,Settings!$A$41:$A$50,0))&amp;""="","UNMAPPED",INDEX(Settings!$B$41:$B$50,MATCH(O1726,Settings!$A$41:$A$50,0))&amp;""),"UNMAPPED"))</f>
        <v/>
      </c>
      <c r="Q1726" s="38" t="n">
        <f aca="false">IF($M1726="",0,N(INDEX($A1726:$J1726,$Q$6)))</f>
        <v>0</v>
      </c>
      <c r="R1726" s="39" t="str">
        <f aca="false">IF($M1726="","",INDEX($A1726:$J1726,$R$6))</f>
        <v/>
      </c>
      <c r="S1726" s="37" t="str">
        <f aca="false">IF($M1726="","",IFERROR(INDEX(Settings!$B$27:$B$36,MATCH(L1726,Settings!$A$27:$A$36,0))&amp;"","UNMAPPED"))</f>
        <v/>
      </c>
      <c r="T1726" s="37" t="str">
        <f aca="false">IF($M1726="","",IF(NOT(ISNUMBER(R1726)),"NO DATE",IF(S1726="Won",IF(R1726&gt;Settings!$B$5,"Backlog","Delivered"),IF(S1726="Open",IF(R1726&gt;Settings!$B$5,"Pipeline","Overdue"),IF(S1726="Lost","Lost","UNMAPPED")))))</f>
        <v/>
      </c>
      <c r="U1726" s="40" t="n">
        <f aca="false">IF(T1726="Backlog",1,IF(OR(T1726="Pipeline",T1726="Overdue"),N(INDEX(Settings!$C$27:$C$36,MATCH(L1726,Settings!$A$27:$A$36,0))),0))</f>
        <v>0</v>
      </c>
      <c r="V1726" s="38" t="n">
        <f aca="false">Q1726*U1726</f>
        <v>0</v>
      </c>
      <c r="W1726" s="41" t="str">
        <f aca="false">IF($M1726="","",IF(T1726="Overdue",IF(Settings!$B$8="Yes",Settings!$B$7,""),IF(ISNUMBER(R1726),DATE(YEAR(R1726),MONTH(R1726),1),"")))</f>
        <v/>
      </c>
      <c r="X1726" s="38" t="n">
        <f aca="false">IF(AND(OR(T1726="Backlog",T1726="Pipeline",T1726="Overdue"),ISNUMBER(W1726)),IF(W1726&lt;=Settings!$B$6,V1726,0),0)</f>
        <v>0</v>
      </c>
      <c r="Y1726" s="38" t="n">
        <f aca="false">IF(AND(OR(T1726="Backlog",T1726="Pipeline",T1726="Overdue"),ISNUMBER(W1726)),IF(W1726&lt;=Settings!$B$6,Q1726,0),0)</f>
        <v>0</v>
      </c>
      <c r="Z1726" s="38" t="n">
        <f aca="false">IF(Y1726=0,0,IF(T1726="Backlog",Q1726,Q1726*Dashboard!$C$10))</f>
        <v>0</v>
      </c>
      <c r="AA1726" s="37" t="n">
        <f aca="false">IF($N1726="",0,IF(COUNTIF(Dashboard!$C$13:$C$22,$N1726)&gt;0,1,0))</f>
        <v>0</v>
      </c>
      <c r="AB1726" s="37" t="str">
        <f aca="false">IF($N1726="","",IF(COUNTIF($N$8:$N1726,$N1726)=1,MAX($AB$7:$AB1725)+1,""))</f>
        <v/>
      </c>
    </row>
    <row r="1727" customFormat="false" ht="15" hidden="false" customHeight="false" outlineLevel="0" collapsed="false">
      <c r="L1727" s="37" t="str">
        <f aca="false">IF(INDEX($A1727:$J1727,$L$6)&lt;&gt;"",TRIM(LEFT(INDEX($A1727:$J1727,$L$6),FIND("(",INDEX($A1727:$J1727,$L$6)&amp;"(")-1)),L1726)</f>
        <v>Building Value Proposition</v>
      </c>
      <c r="M1727" s="37" t="str">
        <f aca="false">IF(INDEX($A1727:$J1727,$M$6)="","",INDEX($A1727:$J1727,$M$6)&amp;"")</f>
        <v/>
      </c>
      <c r="N1727" s="37" t="str">
        <f aca="false">IF($M1727="","",TRIM(INDEX($A1727:$J1727,$N$6)&amp;""))</f>
        <v/>
      </c>
      <c r="O1727" s="37" t="str">
        <f aca="false">IF($M1727="","",TRIM(INDEX($A1727:$J1727,$O$6)&amp;""))</f>
        <v/>
      </c>
      <c r="P1727" s="37" t="str">
        <f aca="false">IF($M1727="","",IFERROR(IF(INDEX(Settings!$B$41:$B$50,MATCH(O1727,Settings!$A$41:$A$50,0))&amp;""="","UNMAPPED",INDEX(Settings!$B$41:$B$50,MATCH(O1727,Settings!$A$41:$A$50,0))&amp;""),"UNMAPPED"))</f>
        <v/>
      </c>
      <c r="Q1727" s="38" t="n">
        <f aca="false">IF($M1727="",0,N(INDEX($A1727:$J1727,$Q$6)))</f>
        <v>0</v>
      </c>
      <c r="R1727" s="39" t="str">
        <f aca="false">IF($M1727="","",INDEX($A1727:$J1727,$R$6))</f>
        <v/>
      </c>
      <c r="S1727" s="37" t="str">
        <f aca="false">IF($M1727="","",IFERROR(INDEX(Settings!$B$27:$B$36,MATCH(L1727,Settings!$A$27:$A$36,0))&amp;"","UNMAPPED"))</f>
        <v/>
      </c>
      <c r="T1727" s="37" t="str">
        <f aca="false">IF($M1727="","",IF(NOT(ISNUMBER(R1727)),"NO DATE",IF(S1727="Won",IF(R1727&gt;Settings!$B$5,"Backlog","Delivered"),IF(S1727="Open",IF(R1727&gt;Settings!$B$5,"Pipeline","Overdue"),IF(S1727="Lost","Lost","UNMAPPED")))))</f>
        <v/>
      </c>
      <c r="U1727" s="40" t="n">
        <f aca="false">IF(T1727="Backlog",1,IF(OR(T1727="Pipeline",T1727="Overdue"),N(INDEX(Settings!$C$27:$C$36,MATCH(L1727,Settings!$A$27:$A$36,0))),0))</f>
        <v>0</v>
      </c>
      <c r="V1727" s="38" t="n">
        <f aca="false">Q1727*U1727</f>
        <v>0</v>
      </c>
      <c r="W1727" s="41" t="str">
        <f aca="false">IF($M1727="","",IF(T1727="Overdue",IF(Settings!$B$8="Yes",Settings!$B$7,""),IF(ISNUMBER(R1727),DATE(YEAR(R1727),MONTH(R1727),1),"")))</f>
        <v/>
      </c>
      <c r="X1727" s="38" t="n">
        <f aca="false">IF(AND(OR(T1727="Backlog",T1727="Pipeline",T1727="Overdue"),ISNUMBER(W1727)),IF(W1727&lt;=Settings!$B$6,V1727,0),0)</f>
        <v>0</v>
      </c>
      <c r="Y1727" s="38" t="n">
        <f aca="false">IF(AND(OR(T1727="Backlog",T1727="Pipeline",T1727="Overdue"),ISNUMBER(W1727)),IF(W1727&lt;=Settings!$B$6,Q1727,0),0)</f>
        <v>0</v>
      </c>
      <c r="Z1727" s="38" t="n">
        <f aca="false">IF(Y1727=0,0,IF(T1727="Backlog",Q1727,Q1727*Dashboard!$C$10))</f>
        <v>0</v>
      </c>
      <c r="AA1727" s="37" t="n">
        <f aca="false">IF($N1727="",0,IF(COUNTIF(Dashboard!$C$13:$C$22,$N1727)&gt;0,1,0))</f>
        <v>0</v>
      </c>
      <c r="AB1727" s="37" t="str">
        <f aca="false">IF($N1727="","",IF(COUNTIF($N$8:$N1727,$N1727)=1,MAX($AB$7:$AB1726)+1,""))</f>
        <v/>
      </c>
    </row>
    <row r="1728" customFormat="false" ht="15" hidden="false" customHeight="false" outlineLevel="0" collapsed="false">
      <c r="L1728" s="37" t="str">
        <f aca="false">IF(INDEX($A1728:$J1728,$L$6)&lt;&gt;"",TRIM(LEFT(INDEX($A1728:$J1728,$L$6),FIND("(",INDEX($A1728:$J1728,$L$6)&amp;"(")-1)),L1727)</f>
        <v>Building Value Proposition</v>
      </c>
      <c r="M1728" s="37" t="str">
        <f aca="false">IF(INDEX($A1728:$J1728,$M$6)="","",INDEX($A1728:$J1728,$M$6)&amp;"")</f>
        <v/>
      </c>
      <c r="N1728" s="37" t="str">
        <f aca="false">IF($M1728="","",TRIM(INDEX($A1728:$J1728,$N$6)&amp;""))</f>
        <v/>
      </c>
      <c r="O1728" s="37" t="str">
        <f aca="false">IF($M1728="","",TRIM(INDEX($A1728:$J1728,$O$6)&amp;""))</f>
        <v/>
      </c>
      <c r="P1728" s="37" t="str">
        <f aca="false">IF($M1728="","",IFERROR(IF(INDEX(Settings!$B$41:$B$50,MATCH(O1728,Settings!$A$41:$A$50,0))&amp;""="","UNMAPPED",INDEX(Settings!$B$41:$B$50,MATCH(O1728,Settings!$A$41:$A$50,0))&amp;""),"UNMAPPED"))</f>
        <v/>
      </c>
      <c r="Q1728" s="38" t="n">
        <f aca="false">IF($M1728="",0,N(INDEX($A1728:$J1728,$Q$6)))</f>
        <v>0</v>
      </c>
      <c r="R1728" s="39" t="str">
        <f aca="false">IF($M1728="","",INDEX($A1728:$J1728,$R$6))</f>
        <v/>
      </c>
      <c r="S1728" s="37" t="str">
        <f aca="false">IF($M1728="","",IFERROR(INDEX(Settings!$B$27:$B$36,MATCH(L1728,Settings!$A$27:$A$36,0))&amp;"","UNMAPPED"))</f>
        <v/>
      </c>
      <c r="T1728" s="37" t="str">
        <f aca="false">IF($M1728="","",IF(NOT(ISNUMBER(R1728)),"NO DATE",IF(S1728="Won",IF(R1728&gt;Settings!$B$5,"Backlog","Delivered"),IF(S1728="Open",IF(R1728&gt;Settings!$B$5,"Pipeline","Overdue"),IF(S1728="Lost","Lost","UNMAPPED")))))</f>
        <v/>
      </c>
      <c r="U1728" s="40" t="n">
        <f aca="false">IF(T1728="Backlog",1,IF(OR(T1728="Pipeline",T1728="Overdue"),N(INDEX(Settings!$C$27:$C$36,MATCH(L1728,Settings!$A$27:$A$36,0))),0))</f>
        <v>0</v>
      </c>
      <c r="V1728" s="38" t="n">
        <f aca="false">Q1728*U1728</f>
        <v>0</v>
      </c>
      <c r="W1728" s="41" t="str">
        <f aca="false">IF($M1728="","",IF(T1728="Overdue",IF(Settings!$B$8="Yes",Settings!$B$7,""),IF(ISNUMBER(R1728),DATE(YEAR(R1728),MONTH(R1728),1),"")))</f>
        <v/>
      </c>
      <c r="X1728" s="38" t="n">
        <f aca="false">IF(AND(OR(T1728="Backlog",T1728="Pipeline",T1728="Overdue"),ISNUMBER(W1728)),IF(W1728&lt;=Settings!$B$6,V1728,0),0)</f>
        <v>0</v>
      </c>
      <c r="Y1728" s="38" t="n">
        <f aca="false">IF(AND(OR(T1728="Backlog",T1728="Pipeline",T1728="Overdue"),ISNUMBER(W1728)),IF(W1728&lt;=Settings!$B$6,Q1728,0),0)</f>
        <v>0</v>
      </c>
      <c r="Z1728" s="38" t="n">
        <f aca="false">IF(Y1728=0,0,IF(T1728="Backlog",Q1728,Q1728*Dashboard!$C$10))</f>
        <v>0</v>
      </c>
      <c r="AA1728" s="37" t="n">
        <f aca="false">IF($N1728="",0,IF(COUNTIF(Dashboard!$C$13:$C$22,$N1728)&gt;0,1,0))</f>
        <v>0</v>
      </c>
      <c r="AB1728" s="37" t="str">
        <f aca="false">IF($N1728="","",IF(COUNTIF($N$8:$N1728,$N1728)=1,MAX($AB$7:$AB1727)+1,""))</f>
        <v/>
      </c>
    </row>
    <row r="1729" customFormat="false" ht="15" hidden="false" customHeight="false" outlineLevel="0" collapsed="false">
      <c r="L1729" s="37" t="str">
        <f aca="false">IF(INDEX($A1729:$J1729,$L$6)&lt;&gt;"",TRIM(LEFT(INDEX($A1729:$J1729,$L$6),FIND("(",INDEX($A1729:$J1729,$L$6)&amp;"(")-1)),L1728)</f>
        <v>Building Value Proposition</v>
      </c>
      <c r="M1729" s="37" t="str">
        <f aca="false">IF(INDEX($A1729:$J1729,$M$6)="","",INDEX($A1729:$J1729,$M$6)&amp;"")</f>
        <v/>
      </c>
      <c r="N1729" s="37" t="str">
        <f aca="false">IF($M1729="","",TRIM(INDEX($A1729:$J1729,$N$6)&amp;""))</f>
        <v/>
      </c>
      <c r="O1729" s="37" t="str">
        <f aca="false">IF($M1729="","",TRIM(INDEX($A1729:$J1729,$O$6)&amp;""))</f>
        <v/>
      </c>
      <c r="P1729" s="37" t="str">
        <f aca="false">IF($M1729="","",IFERROR(IF(INDEX(Settings!$B$41:$B$50,MATCH(O1729,Settings!$A$41:$A$50,0))&amp;""="","UNMAPPED",INDEX(Settings!$B$41:$B$50,MATCH(O1729,Settings!$A$41:$A$50,0))&amp;""),"UNMAPPED"))</f>
        <v/>
      </c>
      <c r="Q1729" s="38" t="n">
        <f aca="false">IF($M1729="",0,N(INDEX($A1729:$J1729,$Q$6)))</f>
        <v>0</v>
      </c>
      <c r="R1729" s="39" t="str">
        <f aca="false">IF($M1729="","",INDEX($A1729:$J1729,$R$6))</f>
        <v/>
      </c>
      <c r="S1729" s="37" t="str">
        <f aca="false">IF($M1729="","",IFERROR(INDEX(Settings!$B$27:$B$36,MATCH(L1729,Settings!$A$27:$A$36,0))&amp;"","UNMAPPED"))</f>
        <v/>
      </c>
      <c r="T1729" s="37" t="str">
        <f aca="false">IF($M1729="","",IF(NOT(ISNUMBER(R1729)),"NO DATE",IF(S1729="Won",IF(R1729&gt;Settings!$B$5,"Backlog","Delivered"),IF(S1729="Open",IF(R1729&gt;Settings!$B$5,"Pipeline","Overdue"),IF(S1729="Lost","Lost","UNMAPPED")))))</f>
        <v/>
      </c>
      <c r="U1729" s="40" t="n">
        <f aca="false">IF(T1729="Backlog",1,IF(OR(T1729="Pipeline",T1729="Overdue"),N(INDEX(Settings!$C$27:$C$36,MATCH(L1729,Settings!$A$27:$A$36,0))),0))</f>
        <v>0</v>
      </c>
      <c r="V1729" s="38" t="n">
        <f aca="false">Q1729*U1729</f>
        <v>0</v>
      </c>
      <c r="W1729" s="41" t="str">
        <f aca="false">IF($M1729="","",IF(T1729="Overdue",IF(Settings!$B$8="Yes",Settings!$B$7,""),IF(ISNUMBER(R1729),DATE(YEAR(R1729),MONTH(R1729),1),"")))</f>
        <v/>
      </c>
      <c r="X1729" s="38" t="n">
        <f aca="false">IF(AND(OR(T1729="Backlog",T1729="Pipeline",T1729="Overdue"),ISNUMBER(W1729)),IF(W1729&lt;=Settings!$B$6,V1729,0),0)</f>
        <v>0</v>
      </c>
      <c r="Y1729" s="38" t="n">
        <f aca="false">IF(AND(OR(T1729="Backlog",T1729="Pipeline",T1729="Overdue"),ISNUMBER(W1729)),IF(W1729&lt;=Settings!$B$6,Q1729,0),0)</f>
        <v>0</v>
      </c>
      <c r="Z1729" s="38" t="n">
        <f aca="false">IF(Y1729=0,0,IF(T1729="Backlog",Q1729,Q1729*Dashboard!$C$10))</f>
        <v>0</v>
      </c>
      <c r="AA1729" s="37" t="n">
        <f aca="false">IF($N1729="",0,IF(COUNTIF(Dashboard!$C$13:$C$22,$N1729)&gt;0,1,0))</f>
        <v>0</v>
      </c>
      <c r="AB1729" s="37" t="str">
        <f aca="false">IF($N1729="","",IF(COUNTIF($N$8:$N1729,$N1729)=1,MAX($AB$7:$AB1728)+1,""))</f>
        <v/>
      </c>
    </row>
    <row r="1730" customFormat="false" ht="15" hidden="false" customHeight="false" outlineLevel="0" collapsed="false">
      <c r="L1730" s="37" t="str">
        <f aca="false">IF(INDEX($A1730:$J1730,$L$6)&lt;&gt;"",TRIM(LEFT(INDEX($A1730:$J1730,$L$6),FIND("(",INDEX($A1730:$J1730,$L$6)&amp;"(")-1)),L1729)</f>
        <v>Building Value Proposition</v>
      </c>
      <c r="M1730" s="37" t="str">
        <f aca="false">IF(INDEX($A1730:$J1730,$M$6)="","",INDEX($A1730:$J1730,$M$6)&amp;"")</f>
        <v/>
      </c>
      <c r="N1730" s="37" t="str">
        <f aca="false">IF($M1730="","",TRIM(INDEX($A1730:$J1730,$N$6)&amp;""))</f>
        <v/>
      </c>
      <c r="O1730" s="37" t="str">
        <f aca="false">IF($M1730="","",TRIM(INDEX($A1730:$J1730,$O$6)&amp;""))</f>
        <v/>
      </c>
      <c r="P1730" s="37" t="str">
        <f aca="false">IF($M1730="","",IFERROR(IF(INDEX(Settings!$B$41:$B$50,MATCH(O1730,Settings!$A$41:$A$50,0))&amp;""="","UNMAPPED",INDEX(Settings!$B$41:$B$50,MATCH(O1730,Settings!$A$41:$A$50,0))&amp;""),"UNMAPPED"))</f>
        <v/>
      </c>
      <c r="Q1730" s="38" t="n">
        <f aca="false">IF($M1730="",0,N(INDEX($A1730:$J1730,$Q$6)))</f>
        <v>0</v>
      </c>
      <c r="R1730" s="39" t="str">
        <f aca="false">IF($M1730="","",INDEX($A1730:$J1730,$R$6))</f>
        <v/>
      </c>
      <c r="S1730" s="37" t="str">
        <f aca="false">IF($M1730="","",IFERROR(INDEX(Settings!$B$27:$B$36,MATCH(L1730,Settings!$A$27:$A$36,0))&amp;"","UNMAPPED"))</f>
        <v/>
      </c>
      <c r="T1730" s="37" t="str">
        <f aca="false">IF($M1730="","",IF(NOT(ISNUMBER(R1730)),"NO DATE",IF(S1730="Won",IF(R1730&gt;Settings!$B$5,"Backlog","Delivered"),IF(S1730="Open",IF(R1730&gt;Settings!$B$5,"Pipeline","Overdue"),IF(S1730="Lost","Lost","UNMAPPED")))))</f>
        <v/>
      </c>
      <c r="U1730" s="40" t="n">
        <f aca="false">IF(T1730="Backlog",1,IF(OR(T1730="Pipeline",T1730="Overdue"),N(INDEX(Settings!$C$27:$C$36,MATCH(L1730,Settings!$A$27:$A$36,0))),0))</f>
        <v>0</v>
      </c>
      <c r="V1730" s="38" t="n">
        <f aca="false">Q1730*U1730</f>
        <v>0</v>
      </c>
      <c r="W1730" s="41" t="str">
        <f aca="false">IF($M1730="","",IF(T1730="Overdue",IF(Settings!$B$8="Yes",Settings!$B$7,""),IF(ISNUMBER(R1730),DATE(YEAR(R1730),MONTH(R1730),1),"")))</f>
        <v/>
      </c>
      <c r="X1730" s="38" t="n">
        <f aca="false">IF(AND(OR(T1730="Backlog",T1730="Pipeline",T1730="Overdue"),ISNUMBER(W1730)),IF(W1730&lt;=Settings!$B$6,V1730,0),0)</f>
        <v>0</v>
      </c>
      <c r="Y1730" s="38" t="n">
        <f aca="false">IF(AND(OR(T1730="Backlog",T1730="Pipeline",T1730="Overdue"),ISNUMBER(W1730)),IF(W1730&lt;=Settings!$B$6,Q1730,0),0)</f>
        <v>0</v>
      </c>
      <c r="Z1730" s="38" t="n">
        <f aca="false">IF(Y1730=0,0,IF(T1730="Backlog",Q1730,Q1730*Dashboard!$C$10))</f>
        <v>0</v>
      </c>
      <c r="AA1730" s="37" t="n">
        <f aca="false">IF($N1730="",0,IF(COUNTIF(Dashboard!$C$13:$C$22,$N1730)&gt;0,1,0))</f>
        <v>0</v>
      </c>
      <c r="AB1730" s="37" t="str">
        <f aca="false">IF($N1730="","",IF(COUNTIF($N$8:$N1730,$N1730)=1,MAX($AB$7:$AB1729)+1,""))</f>
        <v/>
      </c>
    </row>
    <row r="1731" customFormat="false" ht="15" hidden="false" customHeight="false" outlineLevel="0" collapsed="false">
      <c r="L1731" s="37" t="str">
        <f aca="false">IF(INDEX($A1731:$J1731,$L$6)&lt;&gt;"",TRIM(LEFT(INDEX($A1731:$J1731,$L$6),FIND("(",INDEX($A1731:$J1731,$L$6)&amp;"(")-1)),L1730)</f>
        <v>Building Value Proposition</v>
      </c>
      <c r="M1731" s="37" t="str">
        <f aca="false">IF(INDEX($A1731:$J1731,$M$6)="","",INDEX($A1731:$J1731,$M$6)&amp;"")</f>
        <v/>
      </c>
      <c r="N1731" s="37" t="str">
        <f aca="false">IF($M1731="","",TRIM(INDEX($A1731:$J1731,$N$6)&amp;""))</f>
        <v/>
      </c>
      <c r="O1731" s="37" t="str">
        <f aca="false">IF($M1731="","",TRIM(INDEX($A1731:$J1731,$O$6)&amp;""))</f>
        <v/>
      </c>
      <c r="P1731" s="37" t="str">
        <f aca="false">IF($M1731="","",IFERROR(IF(INDEX(Settings!$B$41:$B$50,MATCH(O1731,Settings!$A$41:$A$50,0))&amp;""="","UNMAPPED",INDEX(Settings!$B$41:$B$50,MATCH(O1731,Settings!$A$41:$A$50,0))&amp;""),"UNMAPPED"))</f>
        <v/>
      </c>
      <c r="Q1731" s="38" t="n">
        <f aca="false">IF($M1731="",0,N(INDEX($A1731:$J1731,$Q$6)))</f>
        <v>0</v>
      </c>
      <c r="R1731" s="39" t="str">
        <f aca="false">IF($M1731="","",INDEX($A1731:$J1731,$R$6))</f>
        <v/>
      </c>
      <c r="S1731" s="37" t="str">
        <f aca="false">IF($M1731="","",IFERROR(INDEX(Settings!$B$27:$B$36,MATCH(L1731,Settings!$A$27:$A$36,0))&amp;"","UNMAPPED"))</f>
        <v/>
      </c>
      <c r="T1731" s="37" t="str">
        <f aca="false">IF($M1731="","",IF(NOT(ISNUMBER(R1731)),"NO DATE",IF(S1731="Won",IF(R1731&gt;Settings!$B$5,"Backlog","Delivered"),IF(S1731="Open",IF(R1731&gt;Settings!$B$5,"Pipeline","Overdue"),IF(S1731="Lost","Lost","UNMAPPED")))))</f>
        <v/>
      </c>
      <c r="U1731" s="40" t="n">
        <f aca="false">IF(T1731="Backlog",1,IF(OR(T1731="Pipeline",T1731="Overdue"),N(INDEX(Settings!$C$27:$C$36,MATCH(L1731,Settings!$A$27:$A$36,0))),0))</f>
        <v>0</v>
      </c>
      <c r="V1731" s="38" t="n">
        <f aca="false">Q1731*U1731</f>
        <v>0</v>
      </c>
      <c r="W1731" s="41" t="str">
        <f aca="false">IF($M1731="","",IF(T1731="Overdue",IF(Settings!$B$8="Yes",Settings!$B$7,""),IF(ISNUMBER(R1731),DATE(YEAR(R1731),MONTH(R1731),1),"")))</f>
        <v/>
      </c>
      <c r="X1731" s="38" t="n">
        <f aca="false">IF(AND(OR(T1731="Backlog",T1731="Pipeline",T1731="Overdue"),ISNUMBER(W1731)),IF(W1731&lt;=Settings!$B$6,V1731,0),0)</f>
        <v>0</v>
      </c>
      <c r="Y1731" s="38" t="n">
        <f aca="false">IF(AND(OR(T1731="Backlog",T1731="Pipeline",T1731="Overdue"),ISNUMBER(W1731)),IF(W1731&lt;=Settings!$B$6,Q1731,0),0)</f>
        <v>0</v>
      </c>
      <c r="Z1731" s="38" t="n">
        <f aca="false">IF(Y1731=0,0,IF(T1731="Backlog",Q1731,Q1731*Dashboard!$C$10))</f>
        <v>0</v>
      </c>
      <c r="AA1731" s="37" t="n">
        <f aca="false">IF($N1731="",0,IF(COUNTIF(Dashboard!$C$13:$C$22,$N1731)&gt;0,1,0))</f>
        <v>0</v>
      </c>
      <c r="AB1731" s="37" t="str">
        <f aca="false">IF($N1731="","",IF(COUNTIF($N$8:$N1731,$N1731)=1,MAX($AB$7:$AB1730)+1,""))</f>
        <v/>
      </c>
    </row>
    <row r="1732" customFormat="false" ht="15" hidden="false" customHeight="false" outlineLevel="0" collapsed="false">
      <c r="L1732" s="37" t="str">
        <f aca="false">IF(INDEX($A1732:$J1732,$L$6)&lt;&gt;"",TRIM(LEFT(INDEX($A1732:$J1732,$L$6),FIND("(",INDEX($A1732:$J1732,$L$6)&amp;"(")-1)),L1731)</f>
        <v>Building Value Proposition</v>
      </c>
      <c r="M1732" s="37" t="str">
        <f aca="false">IF(INDEX($A1732:$J1732,$M$6)="","",INDEX($A1732:$J1732,$M$6)&amp;"")</f>
        <v/>
      </c>
      <c r="N1732" s="37" t="str">
        <f aca="false">IF($M1732="","",TRIM(INDEX($A1732:$J1732,$N$6)&amp;""))</f>
        <v/>
      </c>
      <c r="O1732" s="37" t="str">
        <f aca="false">IF($M1732="","",TRIM(INDEX($A1732:$J1732,$O$6)&amp;""))</f>
        <v/>
      </c>
      <c r="P1732" s="37" t="str">
        <f aca="false">IF($M1732="","",IFERROR(IF(INDEX(Settings!$B$41:$B$50,MATCH(O1732,Settings!$A$41:$A$50,0))&amp;""="","UNMAPPED",INDEX(Settings!$B$41:$B$50,MATCH(O1732,Settings!$A$41:$A$50,0))&amp;""),"UNMAPPED"))</f>
        <v/>
      </c>
      <c r="Q1732" s="38" t="n">
        <f aca="false">IF($M1732="",0,N(INDEX($A1732:$J1732,$Q$6)))</f>
        <v>0</v>
      </c>
      <c r="R1732" s="39" t="str">
        <f aca="false">IF($M1732="","",INDEX($A1732:$J1732,$R$6))</f>
        <v/>
      </c>
      <c r="S1732" s="37" t="str">
        <f aca="false">IF($M1732="","",IFERROR(INDEX(Settings!$B$27:$B$36,MATCH(L1732,Settings!$A$27:$A$36,0))&amp;"","UNMAPPED"))</f>
        <v/>
      </c>
      <c r="T1732" s="37" t="str">
        <f aca="false">IF($M1732="","",IF(NOT(ISNUMBER(R1732)),"NO DATE",IF(S1732="Won",IF(R1732&gt;Settings!$B$5,"Backlog","Delivered"),IF(S1732="Open",IF(R1732&gt;Settings!$B$5,"Pipeline","Overdue"),IF(S1732="Lost","Lost","UNMAPPED")))))</f>
        <v/>
      </c>
      <c r="U1732" s="40" t="n">
        <f aca="false">IF(T1732="Backlog",1,IF(OR(T1732="Pipeline",T1732="Overdue"),N(INDEX(Settings!$C$27:$C$36,MATCH(L1732,Settings!$A$27:$A$36,0))),0))</f>
        <v>0</v>
      </c>
      <c r="V1732" s="38" t="n">
        <f aca="false">Q1732*U1732</f>
        <v>0</v>
      </c>
      <c r="W1732" s="41" t="str">
        <f aca="false">IF($M1732="","",IF(T1732="Overdue",IF(Settings!$B$8="Yes",Settings!$B$7,""),IF(ISNUMBER(R1732),DATE(YEAR(R1732),MONTH(R1732),1),"")))</f>
        <v/>
      </c>
      <c r="X1732" s="38" t="n">
        <f aca="false">IF(AND(OR(T1732="Backlog",T1732="Pipeline",T1732="Overdue"),ISNUMBER(W1732)),IF(W1732&lt;=Settings!$B$6,V1732,0),0)</f>
        <v>0</v>
      </c>
      <c r="Y1732" s="38" t="n">
        <f aca="false">IF(AND(OR(T1732="Backlog",T1732="Pipeline",T1732="Overdue"),ISNUMBER(W1732)),IF(W1732&lt;=Settings!$B$6,Q1732,0),0)</f>
        <v>0</v>
      </c>
      <c r="Z1732" s="38" t="n">
        <f aca="false">IF(Y1732=0,0,IF(T1732="Backlog",Q1732,Q1732*Dashboard!$C$10))</f>
        <v>0</v>
      </c>
      <c r="AA1732" s="37" t="n">
        <f aca="false">IF($N1732="",0,IF(COUNTIF(Dashboard!$C$13:$C$22,$N1732)&gt;0,1,0))</f>
        <v>0</v>
      </c>
      <c r="AB1732" s="37" t="str">
        <f aca="false">IF($N1732="","",IF(COUNTIF($N$8:$N1732,$N1732)=1,MAX($AB$7:$AB1731)+1,""))</f>
        <v/>
      </c>
    </row>
    <row r="1733" customFormat="false" ht="15" hidden="false" customHeight="false" outlineLevel="0" collapsed="false">
      <c r="L1733" s="37" t="str">
        <f aca="false">IF(INDEX($A1733:$J1733,$L$6)&lt;&gt;"",TRIM(LEFT(INDEX($A1733:$J1733,$L$6),FIND("(",INDEX($A1733:$J1733,$L$6)&amp;"(")-1)),L1732)</f>
        <v>Building Value Proposition</v>
      </c>
      <c r="M1733" s="37" t="str">
        <f aca="false">IF(INDEX($A1733:$J1733,$M$6)="","",INDEX($A1733:$J1733,$M$6)&amp;"")</f>
        <v/>
      </c>
      <c r="N1733" s="37" t="str">
        <f aca="false">IF($M1733="","",TRIM(INDEX($A1733:$J1733,$N$6)&amp;""))</f>
        <v/>
      </c>
      <c r="O1733" s="37" t="str">
        <f aca="false">IF($M1733="","",TRIM(INDEX($A1733:$J1733,$O$6)&amp;""))</f>
        <v/>
      </c>
      <c r="P1733" s="37" t="str">
        <f aca="false">IF($M1733="","",IFERROR(IF(INDEX(Settings!$B$41:$B$50,MATCH(O1733,Settings!$A$41:$A$50,0))&amp;""="","UNMAPPED",INDEX(Settings!$B$41:$B$50,MATCH(O1733,Settings!$A$41:$A$50,0))&amp;""),"UNMAPPED"))</f>
        <v/>
      </c>
      <c r="Q1733" s="38" t="n">
        <f aca="false">IF($M1733="",0,N(INDEX($A1733:$J1733,$Q$6)))</f>
        <v>0</v>
      </c>
      <c r="R1733" s="39" t="str">
        <f aca="false">IF($M1733="","",INDEX($A1733:$J1733,$R$6))</f>
        <v/>
      </c>
      <c r="S1733" s="37" t="str">
        <f aca="false">IF($M1733="","",IFERROR(INDEX(Settings!$B$27:$B$36,MATCH(L1733,Settings!$A$27:$A$36,0))&amp;"","UNMAPPED"))</f>
        <v/>
      </c>
      <c r="T1733" s="37" t="str">
        <f aca="false">IF($M1733="","",IF(NOT(ISNUMBER(R1733)),"NO DATE",IF(S1733="Won",IF(R1733&gt;Settings!$B$5,"Backlog","Delivered"),IF(S1733="Open",IF(R1733&gt;Settings!$B$5,"Pipeline","Overdue"),IF(S1733="Lost","Lost","UNMAPPED")))))</f>
        <v/>
      </c>
      <c r="U1733" s="40" t="n">
        <f aca="false">IF(T1733="Backlog",1,IF(OR(T1733="Pipeline",T1733="Overdue"),N(INDEX(Settings!$C$27:$C$36,MATCH(L1733,Settings!$A$27:$A$36,0))),0))</f>
        <v>0</v>
      </c>
      <c r="V1733" s="38" t="n">
        <f aca="false">Q1733*U1733</f>
        <v>0</v>
      </c>
      <c r="W1733" s="41" t="str">
        <f aca="false">IF($M1733="","",IF(T1733="Overdue",IF(Settings!$B$8="Yes",Settings!$B$7,""),IF(ISNUMBER(R1733),DATE(YEAR(R1733),MONTH(R1733),1),"")))</f>
        <v/>
      </c>
      <c r="X1733" s="38" t="n">
        <f aca="false">IF(AND(OR(T1733="Backlog",T1733="Pipeline",T1733="Overdue"),ISNUMBER(W1733)),IF(W1733&lt;=Settings!$B$6,V1733,0),0)</f>
        <v>0</v>
      </c>
      <c r="Y1733" s="38" t="n">
        <f aca="false">IF(AND(OR(T1733="Backlog",T1733="Pipeline",T1733="Overdue"),ISNUMBER(W1733)),IF(W1733&lt;=Settings!$B$6,Q1733,0),0)</f>
        <v>0</v>
      </c>
      <c r="Z1733" s="38" t="n">
        <f aca="false">IF(Y1733=0,0,IF(T1733="Backlog",Q1733,Q1733*Dashboard!$C$10))</f>
        <v>0</v>
      </c>
      <c r="AA1733" s="37" t="n">
        <f aca="false">IF($N1733="",0,IF(COUNTIF(Dashboard!$C$13:$C$22,$N1733)&gt;0,1,0))</f>
        <v>0</v>
      </c>
      <c r="AB1733" s="37" t="str">
        <f aca="false">IF($N1733="","",IF(COUNTIF($N$8:$N1733,$N1733)=1,MAX($AB$7:$AB1732)+1,""))</f>
        <v/>
      </c>
    </row>
    <row r="1734" customFormat="false" ht="15" hidden="false" customHeight="false" outlineLevel="0" collapsed="false">
      <c r="L1734" s="37" t="str">
        <f aca="false">IF(INDEX($A1734:$J1734,$L$6)&lt;&gt;"",TRIM(LEFT(INDEX($A1734:$J1734,$L$6),FIND("(",INDEX($A1734:$J1734,$L$6)&amp;"(")-1)),L1733)</f>
        <v>Building Value Proposition</v>
      </c>
      <c r="M1734" s="37" t="str">
        <f aca="false">IF(INDEX($A1734:$J1734,$M$6)="","",INDEX($A1734:$J1734,$M$6)&amp;"")</f>
        <v/>
      </c>
      <c r="N1734" s="37" t="str">
        <f aca="false">IF($M1734="","",TRIM(INDEX($A1734:$J1734,$N$6)&amp;""))</f>
        <v/>
      </c>
      <c r="O1734" s="37" t="str">
        <f aca="false">IF($M1734="","",TRIM(INDEX($A1734:$J1734,$O$6)&amp;""))</f>
        <v/>
      </c>
      <c r="P1734" s="37" t="str">
        <f aca="false">IF($M1734="","",IFERROR(IF(INDEX(Settings!$B$41:$B$50,MATCH(O1734,Settings!$A$41:$A$50,0))&amp;""="","UNMAPPED",INDEX(Settings!$B$41:$B$50,MATCH(O1734,Settings!$A$41:$A$50,0))&amp;""),"UNMAPPED"))</f>
        <v/>
      </c>
      <c r="Q1734" s="38" t="n">
        <f aca="false">IF($M1734="",0,N(INDEX($A1734:$J1734,$Q$6)))</f>
        <v>0</v>
      </c>
      <c r="R1734" s="39" t="str">
        <f aca="false">IF($M1734="","",INDEX($A1734:$J1734,$R$6))</f>
        <v/>
      </c>
      <c r="S1734" s="37" t="str">
        <f aca="false">IF($M1734="","",IFERROR(INDEX(Settings!$B$27:$B$36,MATCH(L1734,Settings!$A$27:$A$36,0))&amp;"","UNMAPPED"))</f>
        <v/>
      </c>
      <c r="T1734" s="37" t="str">
        <f aca="false">IF($M1734="","",IF(NOT(ISNUMBER(R1734)),"NO DATE",IF(S1734="Won",IF(R1734&gt;Settings!$B$5,"Backlog","Delivered"),IF(S1734="Open",IF(R1734&gt;Settings!$B$5,"Pipeline","Overdue"),IF(S1734="Lost","Lost","UNMAPPED")))))</f>
        <v/>
      </c>
      <c r="U1734" s="40" t="n">
        <f aca="false">IF(T1734="Backlog",1,IF(OR(T1734="Pipeline",T1734="Overdue"),N(INDEX(Settings!$C$27:$C$36,MATCH(L1734,Settings!$A$27:$A$36,0))),0))</f>
        <v>0</v>
      </c>
      <c r="V1734" s="38" t="n">
        <f aca="false">Q1734*U1734</f>
        <v>0</v>
      </c>
      <c r="W1734" s="41" t="str">
        <f aca="false">IF($M1734="","",IF(T1734="Overdue",IF(Settings!$B$8="Yes",Settings!$B$7,""),IF(ISNUMBER(R1734),DATE(YEAR(R1734),MONTH(R1734),1),"")))</f>
        <v/>
      </c>
      <c r="X1734" s="38" t="n">
        <f aca="false">IF(AND(OR(T1734="Backlog",T1734="Pipeline",T1734="Overdue"),ISNUMBER(W1734)),IF(W1734&lt;=Settings!$B$6,V1734,0),0)</f>
        <v>0</v>
      </c>
      <c r="Y1734" s="38" t="n">
        <f aca="false">IF(AND(OR(T1734="Backlog",T1734="Pipeline",T1734="Overdue"),ISNUMBER(W1734)),IF(W1734&lt;=Settings!$B$6,Q1734,0),0)</f>
        <v>0</v>
      </c>
      <c r="Z1734" s="38" t="n">
        <f aca="false">IF(Y1734=0,0,IF(T1734="Backlog",Q1734,Q1734*Dashboard!$C$10))</f>
        <v>0</v>
      </c>
      <c r="AA1734" s="37" t="n">
        <f aca="false">IF($N1734="",0,IF(COUNTIF(Dashboard!$C$13:$C$22,$N1734)&gt;0,1,0))</f>
        <v>0</v>
      </c>
      <c r="AB1734" s="37" t="str">
        <f aca="false">IF($N1734="","",IF(COUNTIF($N$8:$N1734,$N1734)=1,MAX($AB$7:$AB1733)+1,""))</f>
        <v/>
      </c>
    </row>
    <row r="1735" customFormat="false" ht="15" hidden="false" customHeight="false" outlineLevel="0" collapsed="false">
      <c r="L1735" s="37" t="str">
        <f aca="false">IF(INDEX($A1735:$J1735,$L$6)&lt;&gt;"",TRIM(LEFT(INDEX($A1735:$J1735,$L$6),FIND("(",INDEX($A1735:$J1735,$L$6)&amp;"(")-1)),L1734)</f>
        <v>Building Value Proposition</v>
      </c>
      <c r="M1735" s="37" t="str">
        <f aca="false">IF(INDEX($A1735:$J1735,$M$6)="","",INDEX($A1735:$J1735,$M$6)&amp;"")</f>
        <v/>
      </c>
      <c r="N1735" s="37" t="str">
        <f aca="false">IF($M1735="","",TRIM(INDEX($A1735:$J1735,$N$6)&amp;""))</f>
        <v/>
      </c>
      <c r="O1735" s="37" t="str">
        <f aca="false">IF($M1735="","",TRIM(INDEX($A1735:$J1735,$O$6)&amp;""))</f>
        <v/>
      </c>
      <c r="P1735" s="37" t="str">
        <f aca="false">IF($M1735="","",IFERROR(IF(INDEX(Settings!$B$41:$B$50,MATCH(O1735,Settings!$A$41:$A$50,0))&amp;""="","UNMAPPED",INDEX(Settings!$B$41:$B$50,MATCH(O1735,Settings!$A$41:$A$50,0))&amp;""),"UNMAPPED"))</f>
        <v/>
      </c>
      <c r="Q1735" s="38" t="n">
        <f aca="false">IF($M1735="",0,N(INDEX($A1735:$J1735,$Q$6)))</f>
        <v>0</v>
      </c>
      <c r="R1735" s="39" t="str">
        <f aca="false">IF($M1735="","",INDEX($A1735:$J1735,$R$6))</f>
        <v/>
      </c>
      <c r="S1735" s="37" t="str">
        <f aca="false">IF($M1735="","",IFERROR(INDEX(Settings!$B$27:$B$36,MATCH(L1735,Settings!$A$27:$A$36,0))&amp;"","UNMAPPED"))</f>
        <v/>
      </c>
      <c r="T1735" s="37" t="str">
        <f aca="false">IF($M1735="","",IF(NOT(ISNUMBER(R1735)),"NO DATE",IF(S1735="Won",IF(R1735&gt;Settings!$B$5,"Backlog","Delivered"),IF(S1735="Open",IF(R1735&gt;Settings!$B$5,"Pipeline","Overdue"),IF(S1735="Lost","Lost","UNMAPPED")))))</f>
        <v/>
      </c>
      <c r="U1735" s="40" t="n">
        <f aca="false">IF(T1735="Backlog",1,IF(OR(T1735="Pipeline",T1735="Overdue"),N(INDEX(Settings!$C$27:$C$36,MATCH(L1735,Settings!$A$27:$A$36,0))),0))</f>
        <v>0</v>
      </c>
      <c r="V1735" s="38" t="n">
        <f aca="false">Q1735*U1735</f>
        <v>0</v>
      </c>
      <c r="W1735" s="41" t="str">
        <f aca="false">IF($M1735="","",IF(T1735="Overdue",IF(Settings!$B$8="Yes",Settings!$B$7,""),IF(ISNUMBER(R1735),DATE(YEAR(R1735),MONTH(R1735),1),"")))</f>
        <v/>
      </c>
      <c r="X1735" s="38" t="n">
        <f aca="false">IF(AND(OR(T1735="Backlog",T1735="Pipeline",T1735="Overdue"),ISNUMBER(W1735)),IF(W1735&lt;=Settings!$B$6,V1735,0),0)</f>
        <v>0</v>
      </c>
      <c r="Y1735" s="38" t="n">
        <f aca="false">IF(AND(OR(T1735="Backlog",T1735="Pipeline",T1735="Overdue"),ISNUMBER(W1735)),IF(W1735&lt;=Settings!$B$6,Q1735,0),0)</f>
        <v>0</v>
      </c>
      <c r="Z1735" s="38" t="n">
        <f aca="false">IF(Y1735=0,0,IF(T1735="Backlog",Q1735,Q1735*Dashboard!$C$10))</f>
        <v>0</v>
      </c>
      <c r="AA1735" s="37" t="n">
        <f aca="false">IF($N1735="",0,IF(COUNTIF(Dashboard!$C$13:$C$22,$N1735)&gt;0,1,0))</f>
        <v>0</v>
      </c>
      <c r="AB1735" s="37" t="str">
        <f aca="false">IF($N1735="","",IF(COUNTIF($N$8:$N1735,$N1735)=1,MAX($AB$7:$AB1734)+1,""))</f>
        <v/>
      </c>
    </row>
    <row r="1736" customFormat="false" ht="15" hidden="false" customHeight="false" outlineLevel="0" collapsed="false">
      <c r="L1736" s="37" t="str">
        <f aca="false">IF(INDEX($A1736:$J1736,$L$6)&lt;&gt;"",TRIM(LEFT(INDEX($A1736:$J1736,$L$6),FIND("(",INDEX($A1736:$J1736,$L$6)&amp;"(")-1)),L1735)</f>
        <v>Building Value Proposition</v>
      </c>
      <c r="M1736" s="37" t="str">
        <f aca="false">IF(INDEX($A1736:$J1736,$M$6)="","",INDEX($A1736:$J1736,$M$6)&amp;"")</f>
        <v/>
      </c>
      <c r="N1736" s="37" t="str">
        <f aca="false">IF($M1736="","",TRIM(INDEX($A1736:$J1736,$N$6)&amp;""))</f>
        <v/>
      </c>
      <c r="O1736" s="37" t="str">
        <f aca="false">IF($M1736="","",TRIM(INDEX($A1736:$J1736,$O$6)&amp;""))</f>
        <v/>
      </c>
      <c r="P1736" s="37" t="str">
        <f aca="false">IF($M1736="","",IFERROR(IF(INDEX(Settings!$B$41:$B$50,MATCH(O1736,Settings!$A$41:$A$50,0))&amp;""="","UNMAPPED",INDEX(Settings!$B$41:$B$50,MATCH(O1736,Settings!$A$41:$A$50,0))&amp;""),"UNMAPPED"))</f>
        <v/>
      </c>
      <c r="Q1736" s="38" t="n">
        <f aca="false">IF($M1736="",0,N(INDEX($A1736:$J1736,$Q$6)))</f>
        <v>0</v>
      </c>
      <c r="R1736" s="39" t="str">
        <f aca="false">IF($M1736="","",INDEX($A1736:$J1736,$R$6))</f>
        <v/>
      </c>
      <c r="S1736" s="37" t="str">
        <f aca="false">IF($M1736="","",IFERROR(INDEX(Settings!$B$27:$B$36,MATCH(L1736,Settings!$A$27:$A$36,0))&amp;"","UNMAPPED"))</f>
        <v/>
      </c>
      <c r="T1736" s="37" t="str">
        <f aca="false">IF($M1736="","",IF(NOT(ISNUMBER(R1736)),"NO DATE",IF(S1736="Won",IF(R1736&gt;Settings!$B$5,"Backlog","Delivered"),IF(S1736="Open",IF(R1736&gt;Settings!$B$5,"Pipeline","Overdue"),IF(S1736="Lost","Lost","UNMAPPED")))))</f>
        <v/>
      </c>
      <c r="U1736" s="40" t="n">
        <f aca="false">IF(T1736="Backlog",1,IF(OR(T1736="Pipeline",T1736="Overdue"),N(INDEX(Settings!$C$27:$C$36,MATCH(L1736,Settings!$A$27:$A$36,0))),0))</f>
        <v>0</v>
      </c>
      <c r="V1736" s="38" t="n">
        <f aca="false">Q1736*U1736</f>
        <v>0</v>
      </c>
      <c r="W1736" s="41" t="str">
        <f aca="false">IF($M1736="","",IF(T1736="Overdue",IF(Settings!$B$8="Yes",Settings!$B$7,""),IF(ISNUMBER(R1736),DATE(YEAR(R1736),MONTH(R1736),1),"")))</f>
        <v/>
      </c>
      <c r="X1736" s="38" t="n">
        <f aca="false">IF(AND(OR(T1736="Backlog",T1736="Pipeline",T1736="Overdue"),ISNUMBER(W1736)),IF(W1736&lt;=Settings!$B$6,V1736,0),0)</f>
        <v>0</v>
      </c>
      <c r="Y1736" s="38" t="n">
        <f aca="false">IF(AND(OR(T1736="Backlog",T1736="Pipeline",T1736="Overdue"),ISNUMBER(W1736)),IF(W1736&lt;=Settings!$B$6,Q1736,0),0)</f>
        <v>0</v>
      </c>
      <c r="Z1736" s="38" t="n">
        <f aca="false">IF(Y1736=0,0,IF(T1736="Backlog",Q1736,Q1736*Dashboard!$C$10))</f>
        <v>0</v>
      </c>
      <c r="AA1736" s="37" t="n">
        <f aca="false">IF($N1736="",0,IF(COUNTIF(Dashboard!$C$13:$C$22,$N1736)&gt;0,1,0))</f>
        <v>0</v>
      </c>
      <c r="AB1736" s="37" t="str">
        <f aca="false">IF($N1736="","",IF(COUNTIF($N$8:$N1736,$N1736)=1,MAX($AB$7:$AB1735)+1,""))</f>
        <v/>
      </c>
    </row>
    <row r="1737" customFormat="false" ht="15" hidden="false" customHeight="false" outlineLevel="0" collapsed="false">
      <c r="L1737" s="37" t="str">
        <f aca="false">IF(INDEX($A1737:$J1737,$L$6)&lt;&gt;"",TRIM(LEFT(INDEX($A1737:$J1737,$L$6),FIND("(",INDEX($A1737:$J1737,$L$6)&amp;"(")-1)),L1736)</f>
        <v>Building Value Proposition</v>
      </c>
      <c r="M1737" s="37" t="str">
        <f aca="false">IF(INDEX($A1737:$J1737,$M$6)="","",INDEX($A1737:$J1737,$M$6)&amp;"")</f>
        <v/>
      </c>
      <c r="N1737" s="37" t="str">
        <f aca="false">IF($M1737="","",TRIM(INDEX($A1737:$J1737,$N$6)&amp;""))</f>
        <v/>
      </c>
      <c r="O1737" s="37" t="str">
        <f aca="false">IF($M1737="","",TRIM(INDEX($A1737:$J1737,$O$6)&amp;""))</f>
        <v/>
      </c>
      <c r="P1737" s="37" t="str">
        <f aca="false">IF($M1737="","",IFERROR(IF(INDEX(Settings!$B$41:$B$50,MATCH(O1737,Settings!$A$41:$A$50,0))&amp;""="","UNMAPPED",INDEX(Settings!$B$41:$B$50,MATCH(O1737,Settings!$A$41:$A$50,0))&amp;""),"UNMAPPED"))</f>
        <v/>
      </c>
      <c r="Q1737" s="38" t="n">
        <f aca="false">IF($M1737="",0,N(INDEX($A1737:$J1737,$Q$6)))</f>
        <v>0</v>
      </c>
      <c r="R1737" s="39" t="str">
        <f aca="false">IF($M1737="","",INDEX($A1737:$J1737,$R$6))</f>
        <v/>
      </c>
      <c r="S1737" s="37" t="str">
        <f aca="false">IF($M1737="","",IFERROR(INDEX(Settings!$B$27:$B$36,MATCH(L1737,Settings!$A$27:$A$36,0))&amp;"","UNMAPPED"))</f>
        <v/>
      </c>
      <c r="T1737" s="37" t="str">
        <f aca="false">IF($M1737="","",IF(NOT(ISNUMBER(R1737)),"NO DATE",IF(S1737="Won",IF(R1737&gt;Settings!$B$5,"Backlog","Delivered"),IF(S1737="Open",IF(R1737&gt;Settings!$B$5,"Pipeline","Overdue"),IF(S1737="Lost","Lost","UNMAPPED")))))</f>
        <v/>
      </c>
      <c r="U1737" s="40" t="n">
        <f aca="false">IF(T1737="Backlog",1,IF(OR(T1737="Pipeline",T1737="Overdue"),N(INDEX(Settings!$C$27:$C$36,MATCH(L1737,Settings!$A$27:$A$36,0))),0))</f>
        <v>0</v>
      </c>
      <c r="V1737" s="38" t="n">
        <f aca="false">Q1737*U1737</f>
        <v>0</v>
      </c>
      <c r="W1737" s="41" t="str">
        <f aca="false">IF($M1737="","",IF(T1737="Overdue",IF(Settings!$B$8="Yes",Settings!$B$7,""),IF(ISNUMBER(R1737),DATE(YEAR(R1737),MONTH(R1737),1),"")))</f>
        <v/>
      </c>
      <c r="X1737" s="38" t="n">
        <f aca="false">IF(AND(OR(T1737="Backlog",T1737="Pipeline",T1737="Overdue"),ISNUMBER(W1737)),IF(W1737&lt;=Settings!$B$6,V1737,0),0)</f>
        <v>0</v>
      </c>
      <c r="Y1737" s="38" t="n">
        <f aca="false">IF(AND(OR(T1737="Backlog",T1737="Pipeline",T1737="Overdue"),ISNUMBER(W1737)),IF(W1737&lt;=Settings!$B$6,Q1737,0),0)</f>
        <v>0</v>
      </c>
      <c r="Z1737" s="38" t="n">
        <f aca="false">IF(Y1737=0,0,IF(T1737="Backlog",Q1737,Q1737*Dashboard!$C$10))</f>
        <v>0</v>
      </c>
      <c r="AA1737" s="37" t="n">
        <f aca="false">IF($N1737="",0,IF(COUNTIF(Dashboard!$C$13:$C$22,$N1737)&gt;0,1,0))</f>
        <v>0</v>
      </c>
      <c r="AB1737" s="37" t="str">
        <f aca="false">IF($N1737="","",IF(COUNTIF($N$8:$N1737,$N1737)=1,MAX($AB$7:$AB1736)+1,""))</f>
        <v/>
      </c>
    </row>
    <row r="1738" customFormat="false" ht="15" hidden="false" customHeight="false" outlineLevel="0" collapsed="false">
      <c r="L1738" s="37" t="str">
        <f aca="false">IF(INDEX($A1738:$J1738,$L$6)&lt;&gt;"",TRIM(LEFT(INDEX($A1738:$J1738,$L$6),FIND("(",INDEX($A1738:$J1738,$L$6)&amp;"(")-1)),L1737)</f>
        <v>Building Value Proposition</v>
      </c>
      <c r="M1738" s="37" t="str">
        <f aca="false">IF(INDEX($A1738:$J1738,$M$6)="","",INDEX($A1738:$J1738,$M$6)&amp;"")</f>
        <v/>
      </c>
      <c r="N1738" s="37" t="str">
        <f aca="false">IF($M1738="","",TRIM(INDEX($A1738:$J1738,$N$6)&amp;""))</f>
        <v/>
      </c>
      <c r="O1738" s="37" t="str">
        <f aca="false">IF($M1738="","",TRIM(INDEX($A1738:$J1738,$O$6)&amp;""))</f>
        <v/>
      </c>
      <c r="P1738" s="37" t="str">
        <f aca="false">IF($M1738="","",IFERROR(IF(INDEX(Settings!$B$41:$B$50,MATCH(O1738,Settings!$A$41:$A$50,0))&amp;""="","UNMAPPED",INDEX(Settings!$B$41:$B$50,MATCH(O1738,Settings!$A$41:$A$50,0))&amp;""),"UNMAPPED"))</f>
        <v/>
      </c>
      <c r="Q1738" s="38" t="n">
        <f aca="false">IF($M1738="",0,N(INDEX($A1738:$J1738,$Q$6)))</f>
        <v>0</v>
      </c>
      <c r="R1738" s="39" t="str">
        <f aca="false">IF($M1738="","",INDEX($A1738:$J1738,$R$6))</f>
        <v/>
      </c>
      <c r="S1738" s="37" t="str">
        <f aca="false">IF($M1738="","",IFERROR(INDEX(Settings!$B$27:$B$36,MATCH(L1738,Settings!$A$27:$A$36,0))&amp;"","UNMAPPED"))</f>
        <v/>
      </c>
      <c r="T1738" s="37" t="str">
        <f aca="false">IF($M1738="","",IF(NOT(ISNUMBER(R1738)),"NO DATE",IF(S1738="Won",IF(R1738&gt;Settings!$B$5,"Backlog","Delivered"),IF(S1738="Open",IF(R1738&gt;Settings!$B$5,"Pipeline","Overdue"),IF(S1738="Lost","Lost","UNMAPPED")))))</f>
        <v/>
      </c>
      <c r="U1738" s="40" t="n">
        <f aca="false">IF(T1738="Backlog",1,IF(OR(T1738="Pipeline",T1738="Overdue"),N(INDEX(Settings!$C$27:$C$36,MATCH(L1738,Settings!$A$27:$A$36,0))),0))</f>
        <v>0</v>
      </c>
      <c r="V1738" s="38" t="n">
        <f aca="false">Q1738*U1738</f>
        <v>0</v>
      </c>
      <c r="W1738" s="41" t="str">
        <f aca="false">IF($M1738="","",IF(T1738="Overdue",IF(Settings!$B$8="Yes",Settings!$B$7,""),IF(ISNUMBER(R1738),DATE(YEAR(R1738),MONTH(R1738),1),"")))</f>
        <v/>
      </c>
      <c r="X1738" s="38" t="n">
        <f aca="false">IF(AND(OR(T1738="Backlog",T1738="Pipeline",T1738="Overdue"),ISNUMBER(W1738)),IF(W1738&lt;=Settings!$B$6,V1738,0),0)</f>
        <v>0</v>
      </c>
      <c r="Y1738" s="38" t="n">
        <f aca="false">IF(AND(OR(T1738="Backlog",T1738="Pipeline",T1738="Overdue"),ISNUMBER(W1738)),IF(W1738&lt;=Settings!$B$6,Q1738,0),0)</f>
        <v>0</v>
      </c>
      <c r="Z1738" s="38" t="n">
        <f aca="false">IF(Y1738=0,0,IF(T1738="Backlog",Q1738,Q1738*Dashboard!$C$10))</f>
        <v>0</v>
      </c>
      <c r="AA1738" s="37" t="n">
        <f aca="false">IF($N1738="",0,IF(COUNTIF(Dashboard!$C$13:$C$22,$N1738)&gt;0,1,0))</f>
        <v>0</v>
      </c>
      <c r="AB1738" s="37" t="str">
        <f aca="false">IF($N1738="","",IF(COUNTIF($N$8:$N1738,$N1738)=1,MAX($AB$7:$AB1737)+1,""))</f>
        <v/>
      </c>
    </row>
    <row r="1739" customFormat="false" ht="15" hidden="false" customHeight="false" outlineLevel="0" collapsed="false">
      <c r="L1739" s="37" t="str">
        <f aca="false">IF(INDEX($A1739:$J1739,$L$6)&lt;&gt;"",TRIM(LEFT(INDEX($A1739:$J1739,$L$6),FIND("(",INDEX($A1739:$J1739,$L$6)&amp;"(")-1)),L1738)</f>
        <v>Building Value Proposition</v>
      </c>
      <c r="M1739" s="37" t="str">
        <f aca="false">IF(INDEX($A1739:$J1739,$M$6)="","",INDEX($A1739:$J1739,$M$6)&amp;"")</f>
        <v/>
      </c>
      <c r="N1739" s="37" t="str">
        <f aca="false">IF($M1739="","",TRIM(INDEX($A1739:$J1739,$N$6)&amp;""))</f>
        <v/>
      </c>
      <c r="O1739" s="37" t="str">
        <f aca="false">IF($M1739="","",TRIM(INDEX($A1739:$J1739,$O$6)&amp;""))</f>
        <v/>
      </c>
      <c r="P1739" s="37" t="str">
        <f aca="false">IF($M1739="","",IFERROR(IF(INDEX(Settings!$B$41:$B$50,MATCH(O1739,Settings!$A$41:$A$50,0))&amp;""="","UNMAPPED",INDEX(Settings!$B$41:$B$50,MATCH(O1739,Settings!$A$41:$A$50,0))&amp;""),"UNMAPPED"))</f>
        <v/>
      </c>
      <c r="Q1739" s="38" t="n">
        <f aca="false">IF($M1739="",0,N(INDEX($A1739:$J1739,$Q$6)))</f>
        <v>0</v>
      </c>
      <c r="R1739" s="39" t="str">
        <f aca="false">IF($M1739="","",INDEX($A1739:$J1739,$R$6))</f>
        <v/>
      </c>
      <c r="S1739" s="37" t="str">
        <f aca="false">IF($M1739="","",IFERROR(INDEX(Settings!$B$27:$B$36,MATCH(L1739,Settings!$A$27:$A$36,0))&amp;"","UNMAPPED"))</f>
        <v/>
      </c>
      <c r="T1739" s="37" t="str">
        <f aca="false">IF($M1739="","",IF(NOT(ISNUMBER(R1739)),"NO DATE",IF(S1739="Won",IF(R1739&gt;Settings!$B$5,"Backlog","Delivered"),IF(S1739="Open",IF(R1739&gt;Settings!$B$5,"Pipeline","Overdue"),IF(S1739="Lost","Lost","UNMAPPED")))))</f>
        <v/>
      </c>
      <c r="U1739" s="40" t="n">
        <f aca="false">IF(T1739="Backlog",1,IF(OR(T1739="Pipeline",T1739="Overdue"),N(INDEX(Settings!$C$27:$C$36,MATCH(L1739,Settings!$A$27:$A$36,0))),0))</f>
        <v>0</v>
      </c>
      <c r="V1739" s="38" t="n">
        <f aca="false">Q1739*U1739</f>
        <v>0</v>
      </c>
      <c r="W1739" s="41" t="str">
        <f aca="false">IF($M1739="","",IF(T1739="Overdue",IF(Settings!$B$8="Yes",Settings!$B$7,""),IF(ISNUMBER(R1739),DATE(YEAR(R1739),MONTH(R1739),1),"")))</f>
        <v/>
      </c>
      <c r="X1739" s="38" t="n">
        <f aca="false">IF(AND(OR(T1739="Backlog",T1739="Pipeline",T1739="Overdue"),ISNUMBER(W1739)),IF(W1739&lt;=Settings!$B$6,V1739,0),0)</f>
        <v>0</v>
      </c>
      <c r="Y1739" s="38" t="n">
        <f aca="false">IF(AND(OR(T1739="Backlog",T1739="Pipeline",T1739="Overdue"),ISNUMBER(W1739)),IF(W1739&lt;=Settings!$B$6,Q1739,0),0)</f>
        <v>0</v>
      </c>
      <c r="Z1739" s="38" t="n">
        <f aca="false">IF(Y1739=0,0,IF(T1739="Backlog",Q1739,Q1739*Dashboard!$C$10))</f>
        <v>0</v>
      </c>
      <c r="AA1739" s="37" t="n">
        <f aca="false">IF($N1739="",0,IF(COUNTIF(Dashboard!$C$13:$C$22,$N1739)&gt;0,1,0))</f>
        <v>0</v>
      </c>
      <c r="AB1739" s="37" t="str">
        <f aca="false">IF($N1739="","",IF(COUNTIF($N$8:$N1739,$N1739)=1,MAX($AB$7:$AB1738)+1,""))</f>
        <v/>
      </c>
    </row>
    <row r="1740" customFormat="false" ht="15" hidden="false" customHeight="false" outlineLevel="0" collapsed="false">
      <c r="L1740" s="37" t="str">
        <f aca="false">IF(INDEX($A1740:$J1740,$L$6)&lt;&gt;"",TRIM(LEFT(INDEX($A1740:$J1740,$L$6),FIND("(",INDEX($A1740:$J1740,$L$6)&amp;"(")-1)),L1739)</f>
        <v>Building Value Proposition</v>
      </c>
      <c r="M1740" s="37" t="str">
        <f aca="false">IF(INDEX($A1740:$J1740,$M$6)="","",INDEX($A1740:$J1740,$M$6)&amp;"")</f>
        <v/>
      </c>
      <c r="N1740" s="37" t="str">
        <f aca="false">IF($M1740="","",TRIM(INDEX($A1740:$J1740,$N$6)&amp;""))</f>
        <v/>
      </c>
      <c r="O1740" s="37" t="str">
        <f aca="false">IF($M1740="","",TRIM(INDEX($A1740:$J1740,$O$6)&amp;""))</f>
        <v/>
      </c>
      <c r="P1740" s="37" t="str">
        <f aca="false">IF($M1740="","",IFERROR(IF(INDEX(Settings!$B$41:$B$50,MATCH(O1740,Settings!$A$41:$A$50,0))&amp;""="","UNMAPPED",INDEX(Settings!$B$41:$B$50,MATCH(O1740,Settings!$A$41:$A$50,0))&amp;""),"UNMAPPED"))</f>
        <v/>
      </c>
      <c r="Q1740" s="38" t="n">
        <f aca="false">IF($M1740="",0,N(INDEX($A1740:$J1740,$Q$6)))</f>
        <v>0</v>
      </c>
      <c r="R1740" s="39" t="str">
        <f aca="false">IF($M1740="","",INDEX($A1740:$J1740,$R$6))</f>
        <v/>
      </c>
      <c r="S1740" s="37" t="str">
        <f aca="false">IF($M1740="","",IFERROR(INDEX(Settings!$B$27:$B$36,MATCH(L1740,Settings!$A$27:$A$36,0))&amp;"","UNMAPPED"))</f>
        <v/>
      </c>
      <c r="T1740" s="37" t="str">
        <f aca="false">IF($M1740="","",IF(NOT(ISNUMBER(R1740)),"NO DATE",IF(S1740="Won",IF(R1740&gt;Settings!$B$5,"Backlog","Delivered"),IF(S1740="Open",IF(R1740&gt;Settings!$B$5,"Pipeline","Overdue"),IF(S1740="Lost","Lost","UNMAPPED")))))</f>
        <v/>
      </c>
      <c r="U1740" s="40" t="n">
        <f aca="false">IF(T1740="Backlog",1,IF(OR(T1740="Pipeline",T1740="Overdue"),N(INDEX(Settings!$C$27:$C$36,MATCH(L1740,Settings!$A$27:$A$36,0))),0))</f>
        <v>0</v>
      </c>
      <c r="V1740" s="38" t="n">
        <f aca="false">Q1740*U1740</f>
        <v>0</v>
      </c>
      <c r="W1740" s="41" t="str">
        <f aca="false">IF($M1740="","",IF(T1740="Overdue",IF(Settings!$B$8="Yes",Settings!$B$7,""),IF(ISNUMBER(R1740),DATE(YEAR(R1740),MONTH(R1740),1),"")))</f>
        <v/>
      </c>
      <c r="X1740" s="38" t="n">
        <f aca="false">IF(AND(OR(T1740="Backlog",T1740="Pipeline",T1740="Overdue"),ISNUMBER(W1740)),IF(W1740&lt;=Settings!$B$6,V1740,0),0)</f>
        <v>0</v>
      </c>
      <c r="Y1740" s="38" t="n">
        <f aca="false">IF(AND(OR(T1740="Backlog",T1740="Pipeline",T1740="Overdue"),ISNUMBER(W1740)),IF(W1740&lt;=Settings!$B$6,Q1740,0),0)</f>
        <v>0</v>
      </c>
      <c r="Z1740" s="38" t="n">
        <f aca="false">IF(Y1740=0,0,IF(T1740="Backlog",Q1740,Q1740*Dashboard!$C$10))</f>
        <v>0</v>
      </c>
      <c r="AA1740" s="37" t="n">
        <f aca="false">IF($N1740="",0,IF(COUNTIF(Dashboard!$C$13:$C$22,$N1740)&gt;0,1,0))</f>
        <v>0</v>
      </c>
      <c r="AB1740" s="37" t="str">
        <f aca="false">IF($N1740="","",IF(COUNTIF($N$8:$N1740,$N1740)=1,MAX($AB$7:$AB1739)+1,""))</f>
        <v/>
      </c>
    </row>
    <row r="1741" customFormat="false" ht="15" hidden="false" customHeight="false" outlineLevel="0" collapsed="false">
      <c r="L1741" s="37" t="str">
        <f aca="false">IF(INDEX($A1741:$J1741,$L$6)&lt;&gt;"",TRIM(LEFT(INDEX($A1741:$J1741,$L$6),FIND("(",INDEX($A1741:$J1741,$L$6)&amp;"(")-1)),L1740)</f>
        <v>Building Value Proposition</v>
      </c>
      <c r="M1741" s="37" t="str">
        <f aca="false">IF(INDEX($A1741:$J1741,$M$6)="","",INDEX($A1741:$J1741,$M$6)&amp;"")</f>
        <v/>
      </c>
      <c r="N1741" s="37" t="str">
        <f aca="false">IF($M1741="","",TRIM(INDEX($A1741:$J1741,$N$6)&amp;""))</f>
        <v/>
      </c>
      <c r="O1741" s="37" t="str">
        <f aca="false">IF($M1741="","",TRIM(INDEX($A1741:$J1741,$O$6)&amp;""))</f>
        <v/>
      </c>
      <c r="P1741" s="37" t="str">
        <f aca="false">IF($M1741="","",IFERROR(IF(INDEX(Settings!$B$41:$B$50,MATCH(O1741,Settings!$A$41:$A$50,0))&amp;""="","UNMAPPED",INDEX(Settings!$B$41:$B$50,MATCH(O1741,Settings!$A$41:$A$50,0))&amp;""),"UNMAPPED"))</f>
        <v/>
      </c>
      <c r="Q1741" s="38" t="n">
        <f aca="false">IF($M1741="",0,N(INDEX($A1741:$J1741,$Q$6)))</f>
        <v>0</v>
      </c>
      <c r="R1741" s="39" t="str">
        <f aca="false">IF($M1741="","",INDEX($A1741:$J1741,$R$6))</f>
        <v/>
      </c>
      <c r="S1741" s="37" t="str">
        <f aca="false">IF($M1741="","",IFERROR(INDEX(Settings!$B$27:$B$36,MATCH(L1741,Settings!$A$27:$A$36,0))&amp;"","UNMAPPED"))</f>
        <v/>
      </c>
      <c r="T1741" s="37" t="str">
        <f aca="false">IF($M1741="","",IF(NOT(ISNUMBER(R1741)),"NO DATE",IF(S1741="Won",IF(R1741&gt;Settings!$B$5,"Backlog","Delivered"),IF(S1741="Open",IF(R1741&gt;Settings!$B$5,"Pipeline","Overdue"),IF(S1741="Lost","Lost","UNMAPPED")))))</f>
        <v/>
      </c>
      <c r="U1741" s="40" t="n">
        <f aca="false">IF(T1741="Backlog",1,IF(OR(T1741="Pipeline",T1741="Overdue"),N(INDEX(Settings!$C$27:$C$36,MATCH(L1741,Settings!$A$27:$A$36,0))),0))</f>
        <v>0</v>
      </c>
      <c r="V1741" s="38" t="n">
        <f aca="false">Q1741*U1741</f>
        <v>0</v>
      </c>
      <c r="W1741" s="41" t="str">
        <f aca="false">IF($M1741="","",IF(T1741="Overdue",IF(Settings!$B$8="Yes",Settings!$B$7,""),IF(ISNUMBER(R1741),DATE(YEAR(R1741),MONTH(R1741),1),"")))</f>
        <v/>
      </c>
      <c r="X1741" s="38" t="n">
        <f aca="false">IF(AND(OR(T1741="Backlog",T1741="Pipeline",T1741="Overdue"),ISNUMBER(W1741)),IF(W1741&lt;=Settings!$B$6,V1741,0),0)</f>
        <v>0</v>
      </c>
      <c r="Y1741" s="38" t="n">
        <f aca="false">IF(AND(OR(T1741="Backlog",T1741="Pipeline",T1741="Overdue"),ISNUMBER(W1741)),IF(W1741&lt;=Settings!$B$6,Q1741,0),0)</f>
        <v>0</v>
      </c>
      <c r="Z1741" s="38" t="n">
        <f aca="false">IF(Y1741=0,0,IF(T1741="Backlog",Q1741,Q1741*Dashboard!$C$10))</f>
        <v>0</v>
      </c>
      <c r="AA1741" s="37" t="n">
        <f aca="false">IF($N1741="",0,IF(COUNTIF(Dashboard!$C$13:$C$22,$N1741)&gt;0,1,0))</f>
        <v>0</v>
      </c>
      <c r="AB1741" s="37" t="str">
        <f aca="false">IF($N1741="","",IF(COUNTIF($N$8:$N1741,$N1741)=1,MAX($AB$7:$AB1740)+1,""))</f>
        <v/>
      </c>
    </row>
    <row r="1742" customFormat="false" ht="15" hidden="false" customHeight="false" outlineLevel="0" collapsed="false">
      <c r="L1742" s="37" t="str">
        <f aca="false">IF(INDEX($A1742:$J1742,$L$6)&lt;&gt;"",TRIM(LEFT(INDEX($A1742:$J1742,$L$6),FIND("(",INDEX($A1742:$J1742,$L$6)&amp;"(")-1)),L1741)</f>
        <v>Building Value Proposition</v>
      </c>
      <c r="M1742" s="37" t="str">
        <f aca="false">IF(INDEX($A1742:$J1742,$M$6)="","",INDEX($A1742:$J1742,$M$6)&amp;"")</f>
        <v/>
      </c>
      <c r="N1742" s="37" t="str">
        <f aca="false">IF($M1742="","",TRIM(INDEX($A1742:$J1742,$N$6)&amp;""))</f>
        <v/>
      </c>
      <c r="O1742" s="37" t="str">
        <f aca="false">IF($M1742="","",TRIM(INDEX($A1742:$J1742,$O$6)&amp;""))</f>
        <v/>
      </c>
      <c r="P1742" s="37" t="str">
        <f aca="false">IF($M1742="","",IFERROR(IF(INDEX(Settings!$B$41:$B$50,MATCH(O1742,Settings!$A$41:$A$50,0))&amp;""="","UNMAPPED",INDEX(Settings!$B$41:$B$50,MATCH(O1742,Settings!$A$41:$A$50,0))&amp;""),"UNMAPPED"))</f>
        <v/>
      </c>
      <c r="Q1742" s="38" t="n">
        <f aca="false">IF($M1742="",0,N(INDEX($A1742:$J1742,$Q$6)))</f>
        <v>0</v>
      </c>
      <c r="R1742" s="39" t="str">
        <f aca="false">IF($M1742="","",INDEX($A1742:$J1742,$R$6))</f>
        <v/>
      </c>
      <c r="S1742" s="37" t="str">
        <f aca="false">IF($M1742="","",IFERROR(INDEX(Settings!$B$27:$B$36,MATCH(L1742,Settings!$A$27:$A$36,0))&amp;"","UNMAPPED"))</f>
        <v/>
      </c>
      <c r="T1742" s="37" t="str">
        <f aca="false">IF($M1742="","",IF(NOT(ISNUMBER(R1742)),"NO DATE",IF(S1742="Won",IF(R1742&gt;Settings!$B$5,"Backlog","Delivered"),IF(S1742="Open",IF(R1742&gt;Settings!$B$5,"Pipeline","Overdue"),IF(S1742="Lost","Lost","UNMAPPED")))))</f>
        <v/>
      </c>
      <c r="U1742" s="40" t="n">
        <f aca="false">IF(T1742="Backlog",1,IF(OR(T1742="Pipeline",T1742="Overdue"),N(INDEX(Settings!$C$27:$C$36,MATCH(L1742,Settings!$A$27:$A$36,0))),0))</f>
        <v>0</v>
      </c>
      <c r="V1742" s="38" t="n">
        <f aca="false">Q1742*U1742</f>
        <v>0</v>
      </c>
      <c r="W1742" s="41" t="str">
        <f aca="false">IF($M1742="","",IF(T1742="Overdue",IF(Settings!$B$8="Yes",Settings!$B$7,""),IF(ISNUMBER(R1742),DATE(YEAR(R1742),MONTH(R1742),1),"")))</f>
        <v/>
      </c>
      <c r="X1742" s="38" t="n">
        <f aca="false">IF(AND(OR(T1742="Backlog",T1742="Pipeline",T1742="Overdue"),ISNUMBER(W1742)),IF(W1742&lt;=Settings!$B$6,V1742,0),0)</f>
        <v>0</v>
      </c>
      <c r="Y1742" s="38" t="n">
        <f aca="false">IF(AND(OR(T1742="Backlog",T1742="Pipeline",T1742="Overdue"),ISNUMBER(W1742)),IF(W1742&lt;=Settings!$B$6,Q1742,0),0)</f>
        <v>0</v>
      </c>
      <c r="Z1742" s="38" t="n">
        <f aca="false">IF(Y1742=0,0,IF(T1742="Backlog",Q1742,Q1742*Dashboard!$C$10))</f>
        <v>0</v>
      </c>
      <c r="AA1742" s="37" t="n">
        <f aca="false">IF($N1742="",0,IF(COUNTIF(Dashboard!$C$13:$C$22,$N1742)&gt;0,1,0))</f>
        <v>0</v>
      </c>
      <c r="AB1742" s="37" t="str">
        <f aca="false">IF($N1742="","",IF(COUNTIF($N$8:$N1742,$N1742)=1,MAX($AB$7:$AB1741)+1,""))</f>
        <v/>
      </c>
    </row>
    <row r="1743" customFormat="false" ht="15" hidden="false" customHeight="false" outlineLevel="0" collapsed="false">
      <c r="L1743" s="37" t="str">
        <f aca="false">IF(INDEX($A1743:$J1743,$L$6)&lt;&gt;"",TRIM(LEFT(INDEX($A1743:$J1743,$L$6),FIND("(",INDEX($A1743:$J1743,$L$6)&amp;"(")-1)),L1742)</f>
        <v>Building Value Proposition</v>
      </c>
      <c r="M1743" s="37" t="str">
        <f aca="false">IF(INDEX($A1743:$J1743,$M$6)="","",INDEX($A1743:$J1743,$M$6)&amp;"")</f>
        <v/>
      </c>
      <c r="N1743" s="37" t="str">
        <f aca="false">IF($M1743="","",TRIM(INDEX($A1743:$J1743,$N$6)&amp;""))</f>
        <v/>
      </c>
      <c r="O1743" s="37" t="str">
        <f aca="false">IF($M1743="","",TRIM(INDEX($A1743:$J1743,$O$6)&amp;""))</f>
        <v/>
      </c>
      <c r="P1743" s="37" t="str">
        <f aca="false">IF($M1743="","",IFERROR(IF(INDEX(Settings!$B$41:$B$50,MATCH(O1743,Settings!$A$41:$A$50,0))&amp;""="","UNMAPPED",INDEX(Settings!$B$41:$B$50,MATCH(O1743,Settings!$A$41:$A$50,0))&amp;""),"UNMAPPED"))</f>
        <v/>
      </c>
      <c r="Q1743" s="38" t="n">
        <f aca="false">IF($M1743="",0,N(INDEX($A1743:$J1743,$Q$6)))</f>
        <v>0</v>
      </c>
      <c r="R1743" s="39" t="str">
        <f aca="false">IF($M1743="","",INDEX($A1743:$J1743,$R$6))</f>
        <v/>
      </c>
      <c r="S1743" s="37" t="str">
        <f aca="false">IF($M1743="","",IFERROR(INDEX(Settings!$B$27:$B$36,MATCH(L1743,Settings!$A$27:$A$36,0))&amp;"","UNMAPPED"))</f>
        <v/>
      </c>
      <c r="T1743" s="37" t="str">
        <f aca="false">IF($M1743="","",IF(NOT(ISNUMBER(R1743)),"NO DATE",IF(S1743="Won",IF(R1743&gt;Settings!$B$5,"Backlog","Delivered"),IF(S1743="Open",IF(R1743&gt;Settings!$B$5,"Pipeline","Overdue"),IF(S1743="Lost","Lost","UNMAPPED")))))</f>
        <v/>
      </c>
      <c r="U1743" s="40" t="n">
        <f aca="false">IF(T1743="Backlog",1,IF(OR(T1743="Pipeline",T1743="Overdue"),N(INDEX(Settings!$C$27:$C$36,MATCH(L1743,Settings!$A$27:$A$36,0))),0))</f>
        <v>0</v>
      </c>
      <c r="V1743" s="38" t="n">
        <f aca="false">Q1743*U1743</f>
        <v>0</v>
      </c>
      <c r="W1743" s="41" t="str">
        <f aca="false">IF($M1743="","",IF(T1743="Overdue",IF(Settings!$B$8="Yes",Settings!$B$7,""),IF(ISNUMBER(R1743),DATE(YEAR(R1743),MONTH(R1743),1),"")))</f>
        <v/>
      </c>
      <c r="X1743" s="38" t="n">
        <f aca="false">IF(AND(OR(T1743="Backlog",T1743="Pipeline",T1743="Overdue"),ISNUMBER(W1743)),IF(W1743&lt;=Settings!$B$6,V1743,0),0)</f>
        <v>0</v>
      </c>
      <c r="Y1743" s="38" t="n">
        <f aca="false">IF(AND(OR(T1743="Backlog",T1743="Pipeline",T1743="Overdue"),ISNUMBER(W1743)),IF(W1743&lt;=Settings!$B$6,Q1743,0),0)</f>
        <v>0</v>
      </c>
      <c r="Z1743" s="38" t="n">
        <f aca="false">IF(Y1743=0,0,IF(T1743="Backlog",Q1743,Q1743*Dashboard!$C$10))</f>
        <v>0</v>
      </c>
      <c r="AA1743" s="37" t="n">
        <f aca="false">IF($N1743="",0,IF(COUNTIF(Dashboard!$C$13:$C$22,$N1743)&gt;0,1,0))</f>
        <v>0</v>
      </c>
      <c r="AB1743" s="37" t="str">
        <f aca="false">IF($N1743="","",IF(COUNTIF($N$8:$N1743,$N1743)=1,MAX($AB$7:$AB1742)+1,""))</f>
        <v/>
      </c>
    </row>
    <row r="1744" customFormat="false" ht="15" hidden="false" customHeight="false" outlineLevel="0" collapsed="false">
      <c r="L1744" s="37" t="str">
        <f aca="false">IF(INDEX($A1744:$J1744,$L$6)&lt;&gt;"",TRIM(LEFT(INDEX($A1744:$J1744,$L$6),FIND("(",INDEX($A1744:$J1744,$L$6)&amp;"(")-1)),L1743)</f>
        <v>Building Value Proposition</v>
      </c>
      <c r="M1744" s="37" t="str">
        <f aca="false">IF(INDEX($A1744:$J1744,$M$6)="","",INDEX($A1744:$J1744,$M$6)&amp;"")</f>
        <v/>
      </c>
      <c r="N1744" s="37" t="str">
        <f aca="false">IF($M1744="","",TRIM(INDEX($A1744:$J1744,$N$6)&amp;""))</f>
        <v/>
      </c>
      <c r="O1744" s="37" t="str">
        <f aca="false">IF($M1744="","",TRIM(INDEX($A1744:$J1744,$O$6)&amp;""))</f>
        <v/>
      </c>
      <c r="P1744" s="37" t="str">
        <f aca="false">IF($M1744="","",IFERROR(IF(INDEX(Settings!$B$41:$B$50,MATCH(O1744,Settings!$A$41:$A$50,0))&amp;""="","UNMAPPED",INDEX(Settings!$B$41:$B$50,MATCH(O1744,Settings!$A$41:$A$50,0))&amp;""),"UNMAPPED"))</f>
        <v/>
      </c>
      <c r="Q1744" s="38" t="n">
        <f aca="false">IF($M1744="",0,N(INDEX($A1744:$J1744,$Q$6)))</f>
        <v>0</v>
      </c>
      <c r="R1744" s="39" t="str">
        <f aca="false">IF($M1744="","",INDEX($A1744:$J1744,$R$6))</f>
        <v/>
      </c>
      <c r="S1744" s="37" t="str">
        <f aca="false">IF($M1744="","",IFERROR(INDEX(Settings!$B$27:$B$36,MATCH(L1744,Settings!$A$27:$A$36,0))&amp;"","UNMAPPED"))</f>
        <v/>
      </c>
      <c r="T1744" s="37" t="str">
        <f aca="false">IF($M1744="","",IF(NOT(ISNUMBER(R1744)),"NO DATE",IF(S1744="Won",IF(R1744&gt;Settings!$B$5,"Backlog","Delivered"),IF(S1744="Open",IF(R1744&gt;Settings!$B$5,"Pipeline","Overdue"),IF(S1744="Lost","Lost","UNMAPPED")))))</f>
        <v/>
      </c>
      <c r="U1744" s="40" t="n">
        <f aca="false">IF(T1744="Backlog",1,IF(OR(T1744="Pipeline",T1744="Overdue"),N(INDEX(Settings!$C$27:$C$36,MATCH(L1744,Settings!$A$27:$A$36,0))),0))</f>
        <v>0</v>
      </c>
      <c r="V1744" s="38" t="n">
        <f aca="false">Q1744*U1744</f>
        <v>0</v>
      </c>
      <c r="W1744" s="41" t="str">
        <f aca="false">IF($M1744="","",IF(T1744="Overdue",IF(Settings!$B$8="Yes",Settings!$B$7,""),IF(ISNUMBER(R1744),DATE(YEAR(R1744),MONTH(R1744),1),"")))</f>
        <v/>
      </c>
      <c r="X1744" s="38" t="n">
        <f aca="false">IF(AND(OR(T1744="Backlog",T1744="Pipeline",T1744="Overdue"),ISNUMBER(W1744)),IF(W1744&lt;=Settings!$B$6,V1744,0),0)</f>
        <v>0</v>
      </c>
      <c r="Y1744" s="38" t="n">
        <f aca="false">IF(AND(OR(T1744="Backlog",T1744="Pipeline",T1744="Overdue"),ISNUMBER(W1744)),IF(W1744&lt;=Settings!$B$6,Q1744,0),0)</f>
        <v>0</v>
      </c>
      <c r="Z1744" s="38" t="n">
        <f aca="false">IF(Y1744=0,0,IF(T1744="Backlog",Q1744,Q1744*Dashboard!$C$10))</f>
        <v>0</v>
      </c>
      <c r="AA1744" s="37" t="n">
        <f aca="false">IF($N1744="",0,IF(COUNTIF(Dashboard!$C$13:$C$22,$N1744)&gt;0,1,0))</f>
        <v>0</v>
      </c>
      <c r="AB1744" s="37" t="str">
        <f aca="false">IF($N1744="","",IF(COUNTIF($N$8:$N1744,$N1744)=1,MAX($AB$7:$AB1743)+1,""))</f>
        <v/>
      </c>
    </row>
    <row r="1745" customFormat="false" ht="15" hidden="false" customHeight="false" outlineLevel="0" collapsed="false">
      <c r="L1745" s="37" t="str">
        <f aca="false">IF(INDEX($A1745:$J1745,$L$6)&lt;&gt;"",TRIM(LEFT(INDEX($A1745:$J1745,$L$6),FIND("(",INDEX($A1745:$J1745,$L$6)&amp;"(")-1)),L1744)</f>
        <v>Building Value Proposition</v>
      </c>
      <c r="M1745" s="37" t="str">
        <f aca="false">IF(INDEX($A1745:$J1745,$M$6)="","",INDEX($A1745:$J1745,$M$6)&amp;"")</f>
        <v/>
      </c>
      <c r="N1745" s="37" t="str">
        <f aca="false">IF($M1745="","",TRIM(INDEX($A1745:$J1745,$N$6)&amp;""))</f>
        <v/>
      </c>
      <c r="O1745" s="37" t="str">
        <f aca="false">IF($M1745="","",TRIM(INDEX($A1745:$J1745,$O$6)&amp;""))</f>
        <v/>
      </c>
      <c r="P1745" s="37" t="str">
        <f aca="false">IF($M1745="","",IFERROR(IF(INDEX(Settings!$B$41:$B$50,MATCH(O1745,Settings!$A$41:$A$50,0))&amp;""="","UNMAPPED",INDEX(Settings!$B$41:$B$50,MATCH(O1745,Settings!$A$41:$A$50,0))&amp;""),"UNMAPPED"))</f>
        <v/>
      </c>
      <c r="Q1745" s="38" t="n">
        <f aca="false">IF($M1745="",0,N(INDEX($A1745:$J1745,$Q$6)))</f>
        <v>0</v>
      </c>
      <c r="R1745" s="39" t="str">
        <f aca="false">IF($M1745="","",INDEX($A1745:$J1745,$R$6))</f>
        <v/>
      </c>
      <c r="S1745" s="37" t="str">
        <f aca="false">IF($M1745="","",IFERROR(INDEX(Settings!$B$27:$B$36,MATCH(L1745,Settings!$A$27:$A$36,0))&amp;"","UNMAPPED"))</f>
        <v/>
      </c>
      <c r="T1745" s="37" t="str">
        <f aca="false">IF($M1745="","",IF(NOT(ISNUMBER(R1745)),"NO DATE",IF(S1745="Won",IF(R1745&gt;Settings!$B$5,"Backlog","Delivered"),IF(S1745="Open",IF(R1745&gt;Settings!$B$5,"Pipeline","Overdue"),IF(S1745="Lost","Lost","UNMAPPED")))))</f>
        <v/>
      </c>
      <c r="U1745" s="40" t="n">
        <f aca="false">IF(T1745="Backlog",1,IF(OR(T1745="Pipeline",T1745="Overdue"),N(INDEX(Settings!$C$27:$C$36,MATCH(L1745,Settings!$A$27:$A$36,0))),0))</f>
        <v>0</v>
      </c>
      <c r="V1745" s="38" t="n">
        <f aca="false">Q1745*U1745</f>
        <v>0</v>
      </c>
      <c r="W1745" s="41" t="str">
        <f aca="false">IF($M1745="","",IF(T1745="Overdue",IF(Settings!$B$8="Yes",Settings!$B$7,""),IF(ISNUMBER(R1745),DATE(YEAR(R1745),MONTH(R1745),1),"")))</f>
        <v/>
      </c>
      <c r="X1745" s="38" t="n">
        <f aca="false">IF(AND(OR(T1745="Backlog",T1745="Pipeline",T1745="Overdue"),ISNUMBER(W1745)),IF(W1745&lt;=Settings!$B$6,V1745,0),0)</f>
        <v>0</v>
      </c>
      <c r="Y1745" s="38" t="n">
        <f aca="false">IF(AND(OR(T1745="Backlog",T1745="Pipeline",T1745="Overdue"),ISNUMBER(W1745)),IF(W1745&lt;=Settings!$B$6,Q1745,0),0)</f>
        <v>0</v>
      </c>
      <c r="Z1745" s="38" t="n">
        <f aca="false">IF(Y1745=0,0,IF(T1745="Backlog",Q1745,Q1745*Dashboard!$C$10))</f>
        <v>0</v>
      </c>
      <c r="AA1745" s="37" t="n">
        <f aca="false">IF($N1745="",0,IF(COUNTIF(Dashboard!$C$13:$C$22,$N1745)&gt;0,1,0))</f>
        <v>0</v>
      </c>
      <c r="AB1745" s="37" t="str">
        <f aca="false">IF($N1745="","",IF(COUNTIF($N$8:$N1745,$N1745)=1,MAX($AB$7:$AB1744)+1,""))</f>
        <v/>
      </c>
    </row>
    <row r="1746" customFormat="false" ht="15" hidden="false" customHeight="false" outlineLevel="0" collapsed="false">
      <c r="L1746" s="37" t="str">
        <f aca="false">IF(INDEX($A1746:$J1746,$L$6)&lt;&gt;"",TRIM(LEFT(INDEX($A1746:$J1746,$L$6),FIND("(",INDEX($A1746:$J1746,$L$6)&amp;"(")-1)),L1745)</f>
        <v>Building Value Proposition</v>
      </c>
      <c r="M1746" s="37" t="str">
        <f aca="false">IF(INDEX($A1746:$J1746,$M$6)="","",INDEX($A1746:$J1746,$M$6)&amp;"")</f>
        <v/>
      </c>
      <c r="N1746" s="37" t="str">
        <f aca="false">IF($M1746="","",TRIM(INDEX($A1746:$J1746,$N$6)&amp;""))</f>
        <v/>
      </c>
      <c r="O1746" s="37" t="str">
        <f aca="false">IF($M1746="","",TRIM(INDEX($A1746:$J1746,$O$6)&amp;""))</f>
        <v/>
      </c>
      <c r="P1746" s="37" t="str">
        <f aca="false">IF($M1746="","",IFERROR(IF(INDEX(Settings!$B$41:$B$50,MATCH(O1746,Settings!$A$41:$A$50,0))&amp;""="","UNMAPPED",INDEX(Settings!$B$41:$B$50,MATCH(O1746,Settings!$A$41:$A$50,0))&amp;""),"UNMAPPED"))</f>
        <v/>
      </c>
      <c r="Q1746" s="38" t="n">
        <f aca="false">IF($M1746="",0,N(INDEX($A1746:$J1746,$Q$6)))</f>
        <v>0</v>
      </c>
      <c r="R1746" s="39" t="str">
        <f aca="false">IF($M1746="","",INDEX($A1746:$J1746,$R$6))</f>
        <v/>
      </c>
      <c r="S1746" s="37" t="str">
        <f aca="false">IF($M1746="","",IFERROR(INDEX(Settings!$B$27:$B$36,MATCH(L1746,Settings!$A$27:$A$36,0))&amp;"","UNMAPPED"))</f>
        <v/>
      </c>
      <c r="T1746" s="37" t="str">
        <f aca="false">IF($M1746="","",IF(NOT(ISNUMBER(R1746)),"NO DATE",IF(S1746="Won",IF(R1746&gt;Settings!$B$5,"Backlog","Delivered"),IF(S1746="Open",IF(R1746&gt;Settings!$B$5,"Pipeline","Overdue"),IF(S1746="Lost","Lost","UNMAPPED")))))</f>
        <v/>
      </c>
      <c r="U1746" s="40" t="n">
        <f aca="false">IF(T1746="Backlog",1,IF(OR(T1746="Pipeline",T1746="Overdue"),N(INDEX(Settings!$C$27:$C$36,MATCH(L1746,Settings!$A$27:$A$36,0))),0))</f>
        <v>0</v>
      </c>
      <c r="V1746" s="38" t="n">
        <f aca="false">Q1746*U1746</f>
        <v>0</v>
      </c>
      <c r="W1746" s="41" t="str">
        <f aca="false">IF($M1746="","",IF(T1746="Overdue",IF(Settings!$B$8="Yes",Settings!$B$7,""),IF(ISNUMBER(R1746),DATE(YEAR(R1746),MONTH(R1746),1),"")))</f>
        <v/>
      </c>
      <c r="X1746" s="38" t="n">
        <f aca="false">IF(AND(OR(T1746="Backlog",T1746="Pipeline",T1746="Overdue"),ISNUMBER(W1746)),IF(W1746&lt;=Settings!$B$6,V1746,0),0)</f>
        <v>0</v>
      </c>
      <c r="Y1746" s="38" t="n">
        <f aca="false">IF(AND(OR(T1746="Backlog",T1746="Pipeline",T1746="Overdue"),ISNUMBER(W1746)),IF(W1746&lt;=Settings!$B$6,Q1746,0),0)</f>
        <v>0</v>
      </c>
      <c r="Z1746" s="38" t="n">
        <f aca="false">IF(Y1746=0,0,IF(T1746="Backlog",Q1746,Q1746*Dashboard!$C$10))</f>
        <v>0</v>
      </c>
      <c r="AA1746" s="37" t="n">
        <f aca="false">IF($N1746="",0,IF(COUNTIF(Dashboard!$C$13:$C$22,$N1746)&gt;0,1,0))</f>
        <v>0</v>
      </c>
      <c r="AB1746" s="37" t="str">
        <f aca="false">IF($N1746="","",IF(COUNTIF($N$8:$N1746,$N1746)=1,MAX($AB$7:$AB1745)+1,""))</f>
        <v/>
      </c>
    </row>
    <row r="1747" customFormat="false" ht="15" hidden="false" customHeight="false" outlineLevel="0" collapsed="false">
      <c r="L1747" s="37" t="str">
        <f aca="false">IF(INDEX($A1747:$J1747,$L$6)&lt;&gt;"",TRIM(LEFT(INDEX($A1747:$J1747,$L$6),FIND("(",INDEX($A1747:$J1747,$L$6)&amp;"(")-1)),L1746)</f>
        <v>Building Value Proposition</v>
      </c>
      <c r="M1747" s="37" t="str">
        <f aca="false">IF(INDEX($A1747:$J1747,$M$6)="","",INDEX($A1747:$J1747,$M$6)&amp;"")</f>
        <v/>
      </c>
      <c r="N1747" s="37" t="str">
        <f aca="false">IF($M1747="","",TRIM(INDEX($A1747:$J1747,$N$6)&amp;""))</f>
        <v/>
      </c>
      <c r="O1747" s="37" t="str">
        <f aca="false">IF($M1747="","",TRIM(INDEX($A1747:$J1747,$O$6)&amp;""))</f>
        <v/>
      </c>
      <c r="P1747" s="37" t="str">
        <f aca="false">IF($M1747="","",IFERROR(IF(INDEX(Settings!$B$41:$B$50,MATCH(O1747,Settings!$A$41:$A$50,0))&amp;""="","UNMAPPED",INDEX(Settings!$B$41:$B$50,MATCH(O1747,Settings!$A$41:$A$50,0))&amp;""),"UNMAPPED"))</f>
        <v/>
      </c>
      <c r="Q1747" s="38" t="n">
        <f aca="false">IF($M1747="",0,N(INDEX($A1747:$J1747,$Q$6)))</f>
        <v>0</v>
      </c>
      <c r="R1747" s="39" t="str">
        <f aca="false">IF($M1747="","",INDEX($A1747:$J1747,$R$6))</f>
        <v/>
      </c>
      <c r="S1747" s="37" t="str">
        <f aca="false">IF($M1747="","",IFERROR(INDEX(Settings!$B$27:$B$36,MATCH(L1747,Settings!$A$27:$A$36,0))&amp;"","UNMAPPED"))</f>
        <v/>
      </c>
      <c r="T1747" s="37" t="str">
        <f aca="false">IF($M1747="","",IF(NOT(ISNUMBER(R1747)),"NO DATE",IF(S1747="Won",IF(R1747&gt;Settings!$B$5,"Backlog","Delivered"),IF(S1747="Open",IF(R1747&gt;Settings!$B$5,"Pipeline","Overdue"),IF(S1747="Lost","Lost","UNMAPPED")))))</f>
        <v/>
      </c>
      <c r="U1747" s="40" t="n">
        <f aca="false">IF(T1747="Backlog",1,IF(OR(T1747="Pipeline",T1747="Overdue"),N(INDEX(Settings!$C$27:$C$36,MATCH(L1747,Settings!$A$27:$A$36,0))),0))</f>
        <v>0</v>
      </c>
      <c r="V1747" s="38" t="n">
        <f aca="false">Q1747*U1747</f>
        <v>0</v>
      </c>
      <c r="W1747" s="41" t="str">
        <f aca="false">IF($M1747="","",IF(T1747="Overdue",IF(Settings!$B$8="Yes",Settings!$B$7,""),IF(ISNUMBER(R1747),DATE(YEAR(R1747),MONTH(R1747),1),"")))</f>
        <v/>
      </c>
      <c r="X1747" s="38" t="n">
        <f aca="false">IF(AND(OR(T1747="Backlog",T1747="Pipeline",T1747="Overdue"),ISNUMBER(W1747)),IF(W1747&lt;=Settings!$B$6,V1747,0),0)</f>
        <v>0</v>
      </c>
      <c r="Y1747" s="38" t="n">
        <f aca="false">IF(AND(OR(T1747="Backlog",T1747="Pipeline",T1747="Overdue"),ISNUMBER(W1747)),IF(W1747&lt;=Settings!$B$6,Q1747,0),0)</f>
        <v>0</v>
      </c>
      <c r="Z1747" s="38" t="n">
        <f aca="false">IF(Y1747=0,0,IF(T1747="Backlog",Q1747,Q1747*Dashboard!$C$10))</f>
        <v>0</v>
      </c>
      <c r="AA1747" s="37" t="n">
        <f aca="false">IF($N1747="",0,IF(COUNTIF(Dashboard!$C$13:$C$22,$N1747)&gt;0,1,0))</f>
        <v>0</v>
      </c>
      <c r="AB1747" s="37" t="str">
        <f aca="false">IF($N1747="","",IF(COUNTIF($N$8:$N1747,$N1747)=1,MAX($AB$7:$AB1746)+1,""))</f>
        <v/>
      </c>
    </row>
    <row r="1748" customFormat="false" ht="15" hidden="false" customHeight="false" outlineLevel="0" collapsed="false">
      <c r="L1748" s="37" t="str">
        <f aca="false">IF(INDEX($A1748:$J1748,$L$6)&lt;&gt;"",TRIM(LEFT(INDEX($A1748:$J1748,$L$6),FIND("(",INDEX($A1748:$J1748,$L$6)&amp;"(")-1)),L1747)</f>
        <v>Building Value Proposition</v>
      </c>
      <c r="M1748" s="37" t="str">
        <f aca="false">IF(INDEX($A1748:$J1748,$M$6)="","",INDEX($A1748:$J1748,$M$6)&amp;"")</f>
        <v/>
      </c>
      <c r="N1748" s="37" t="str">
        <f aca="false">IF($M1748="","",TRIM(INDEX($A1748:$J1748,$N$6)&amp;""))</f>
        <v/>
      </c>
      <c r="O1748" s="37" t="str">
        <f aca="false">IF($M1748="","",TRIM(INDEX($A1748:$J1748,$O$6)&amp;""))</f>
        <v/>
      </c>
      <c r="P1748" s="37" t="str">
        <f aca="false">IF($M1748="","",IFERROR(IF(INDEX(Settings!$B$41:$B$50,MATCH(O1748,Settings!$A$41:$A$50,0))&amp;""="","UNMAPPED",INDEX(Settings!$B$41:$B$50,MATCH(O1748,Settings!$A$41:$A$50,0))&amp;""),"UNMAPPED"))</f>
        <v/>
      </c>
      <c r="Q1748" s="38" t="n">
        <f aca="false">IF($M1748="",0,N(INDEX($A1748:$J1748,$Q$6)))</f>
        <v>0</v>
      </c>
      <c r="R1748" s="39" t="str">
        <f aca="false">IF($M1748="","",INDEX($A1748:$J1748,$R$6))</f>
        <v/>
      </c>
      <c r="S1748" s="37" t="str">
        <f aca="false">IF($M1748="","",IFERROR(INDEX(Settings!$B$27:$B$36,MATCH(L1748,Settings!$A$27:$A$36,0))&amp;"","UNMAPPED"))</f>
        <v/>
      </c>
      <c r="T1748" s="37" t="str">
        <f aca="false">IF($M1748="","",IF(NOT(ISNUMBER(R1748)),"NO DATE",IF(S1748="Won",IF(R1748&gt;Settings!$B$5,"Backlog","Delivered"),IF(S1748="Open",IF(R1748&gt;Settings!$B$5,"Pipeline","Overdue"),IF(S1748="Lost","Lost","UNMAPPED")))))</f>
        <v/>
      </c>
      <c r="U1748" s="40" t="n">
        <f aca="false">IF(T1748="Backlog",1,IF(OR(T1748="Pipeline",T1748="Overdue"),N(INDEX(Settings!$C$27:$C$36,MATCH(L1748,Settings!$A$27:$A$36,0))),0))</f>
        <v>0</v>
      </c>
      <c r="V1748" s="38" t="n">
        <f aca="false">Q1748*U1748</f>
        <v>0</v>
      </c>
      <c r="W1748" s="41" t="str">
        <f aca="false">IF($M1748="","",IF(T1748="Overdue",IF(Settings!$B$8="Yes",Settings!$B$7,""),IF(ISNUMBER(R1748),DATE(YEAR(R1748),MONTH(R1748),1),"")))</f>
        <v/>
      </c>
      <c r="X1748" s="38" t="n">
        <f aca="false">IF(AND(OR(T1748="Backlog",T1748="Pipeline",T1748="Overdue"),ISNUMBER(W1748)),IF(W1748&lt;=Settings!$B$6,V1748,0),0)</f>
        <v>0</v>
      </c>
      <c r="Y1748" s="38" t="n">
        <f aca="false">IF(AND(OR(T1748="Backlog",T1748="Pipeline",T1748="Overdue"),ISNUMBER(W1748)),IF(W1748&lt;=Settings!$B$6,Q1748,0),0)</f>
        <v>0</v>
      </c>
      <c r="Z1748" s="38" t="n">
        <f aca="false">IF(Y1748=0,0,IF(T1748="Backlog",Q1748,Q1748*Dashboard!$C$10))</f>
        <v>0</v>
      </c>
      <c r="AA1748" s="37" t="n">
        <f aca="false">IF($N1748="",0,IF(COUNTIF(Dashboard!$C$13:$C$22,$N1748)&gt;0,1,0))</f>
        <v>0</v>
      </c>
      <c r="AB1748" s="37" t="str">
        <f aca="false">IF($N1748="","",IF(COUNTIF($N$8:$N1748,$N1748)=1,MAX($AB$7:$AB1747)+1,""))</f>
        <v/>
      </c>
    </row>
    <row r="1749" customFormat="false" ht="15" hidden="false" customHeight="false" outlineLevel="0" collapsed="false">
      <c r="L1749" s="37" t="str">
        <f aca="false">IF(INDEX($A1749:$J1749,$L$6)&lt;&gt;"",TRIM(LEFT(INDEX($A1749:$J1749,$L$6),FIND("(",INDEX($A1749:$J1749,$L$6)&amp;"(")-1)),L1748)</f>
        <v>Building Value Proposition</v>
      </c>
      <c r="M1749" s="37" t="str">
        <f aca="false">IF(INDEX($A1749:$J1749,$M$6)="","",INDEX($A1749:$J1749,$M$6)&amp;"")</f>
        <v/>
      </c>
      <c r="N1749" s="37" t="str">
        <f aca="false">IF($M1749="","",TRIM(INDEX($A1749:$J1749,$N$6)&amp;""))</f>
        <v/>
      </c>
      <c r="O1749" s="37" t="str">
        <f aca="false">IF($M1749="","",TRIM(INDEX($A1749:$J1749,$O$6)&amp;""))</f>
        <v/>
      </c>
      <c r="P1749" s="37" t="str">
        <f aca="false">IF($M1749="","",IFERROR(IF(INDEX(Settings!$B$41:$B$50,MATCH(O1749,Settings!$A$41:$A$50,0))&amp;""="","UNMAPPED",INDEX(Settings!$B$41:$B$50,MATCH(O1749,Settings!$A$41:$A$50,0))&amp;""),"UNMAPPED"))</f>
        <v/>
      </c>
      <c r="Q1749" s="38" t="n">
        <f aca="false">IF($M1749="",0,N(INDEX($A1749:$J1749,$Q$6)))</f>
        <v>0</v>
      </c>
      <c r="R1749" s="39" t="str">
        <f aca="false">IF($M1749="","",INDEX($A1749:$J1749,$R$6))</f>
        <v/>
      </c>
      <c r="S1749" s="37" t="str">
        <f aca="false">IF($M1749="","",IFERROR(INDEX(Settings!$B$27:$B$36,MATCH(L1749,Settings!$A$27:$A$36,0))&amp;"","UNMAPPED"))</f>
        <v/>
      </c>
      <c r="T1749" s="37" t="str">
        <f aca="false">IF($M1749="","",IF(NOT(ISNUMBER(R1749)),"NO DATE",IF(S1749="Won",IF(R1749&gt;Settings!$B$5,"Backlog","Delivered"),IF(S1749="Open",IF(R1749&gt;Settings!$B$5,"Pipeline","Overdue"),IF(S1749="Lost","Lost","UNMAPPED")))))</f>
        <v/>
      </c>
      <c r="U1749" s="40" t="n">
        <f aca="false">IF(T1749="Backlog",1,IF(OR(T1749="Pipeline",T1749="Overdue"),N(INDEX(Settings!$C$27:$C$36,MATCH(L1749,Settings!$A$27:$A$36,0))),0))</f>
        <v>0</v>
      </c>
      <c r="V1749" s="38" t="n">
        <f aca="false">Q1749*U1749</f>
        <v>0</v>
      </c>
      <c r="W1749" s="41" t="str">
        <f aca="false">IF($M1749="","",IF(T1749="Overdue",IF(Settings!$B$8="Yes",Settings!$B$7,""),IF(ISNUMBER(R1749),DATE(YEAR(R1749),MONTH(R1749),1),"")))</f>
        <v/>
      </c>
      <c r="X1749" s="38" t="n">
        <f aca="false">IF(AND(OR(T1749="Backlog",T1749="Pipeline",T1749="Overdue"),ISNUMBER(W1749)),IF(W1749&lt;=Settings!$B$6,V1749,0),0)</f>
        <v>0</v>
      </c>
      <c r="Y1749" s="38" t="n">
        <f aca="false">IF(AND(OR(T1749="Backlog",T1749="Pipeline",T1749="Overdue"),ISNUMBER(W1749)),IF(W1749&lt;=Settings!$B$6,Q1749,0),0)</f>
        <v>0</v>
      </c>
      <c r="Z1749" s="38" t="n">
        <f aca="false">IF(Y1749=0,0,IF(T1749="Backlog",Q1749,Q1749*Dashboard!$C$10))</f>
        <v>0</v>
      </c>
      <c r="AA1749" s="37" t="n">
        <f aca="false">IF($N1749="",0,IF(COUNTIF(Dashboard!$C$13:$C$22,$N1749)&gt;0,1,0))</f>
        <v>0</v>
      </c>
      <c r="AB1749" s="37" t="str">
        <f aca="false">IF($N1749="","",IF(COUNTIF($N$8:$N1749,$N1749)=1,MAX($AB$7:$AB1748)+1,""))</f>
        <v/>
      </c>
    </row>
    <row r="1750" customFormat="false" ht="15" hidden="false" customHeight="false" outlineLevel="0" collapsed="false">
      <c r="L1750" s="37" t="str">
        <f aca="false">IF(INDEX($A1750:$J1750,$L$6)&lt;&gt;"",TRIM(LEFT(INDEX($A1750:$J1750,$L$6),FIND("(",INDEX($A1750:$J1750,$L$6)&amp;"(")-1)),L1749)</f>
        <v>Building Value Proposition</v>
      </c>
      <c r="M1750" s="37" t="str">
        <f aca="false">IF(INDEX($A1750:$J1750,$M$6)="","",INDEX($A1750:$J1750,$M$6)&amp;"")</f>
        <v/>
      </c>
      <c r="N1750" s="37" t="str">
        <f aca="false">IF($M1750="","",TRIM(INDEX($A1750:$J1750,$N$6)&amp;""))</f>
        <v/>
      </c>
      <c r="O1750" s="37" t="str">
        <f aca="false">IF($M1750="","",TRIM(INDEX($A1750:$J1750,$O$6)&amp;""))</f>
        <v/>
      </c>
      <c r="P1750" s="37" t="str">
        <f aca="false">IF($M1750="","",IFERROR(IF(INDEX(Settings!$B$41:$B$50,MATCH(O1750,Settings!$A$41:$A$50,0))&amp;""="","UNMAPPED",INDEX(Settings!$B$41:$B$50,MATCH(O1750,Settings!$A$41:$A$50,0))&amp;""),"UNMAPPED"))</f>
        <v/>
      </c>
      <c r="Q1750" s="38" t="n">
        <f aca="false">IF($M1750="",0,N(INDEX($A1750:$J1750,$Q$6)))</f>
        <v>0</v>
      </c>
      <c r="R1750" s="39" t="str">
        <f aca="false">IF($M1750="","",INDEX($A1750:$J1750,$R$6))</f>
        <v/>
      </c>
      <c r="S1750" s="37" t="str">
        <f aca="false">IF($M1750="","",IFERROR(INDEX(Settings!$B$27:$B$36,MATCH(L1750,Settings!$A$27:$A$36,0))&amp;"","UNMAPPED"))</f>
        <v/>
      </c>
      <c r="T1750" s="37" t="str">
        <f aca="false">IF($M1750="","",IF(NOT(ISNUMBER(R1750)),"NO DATE",IF(S1750="Won",IF(R1750&gt;Settings!$B$5,"Backlog","Delivered"),IF(S1750="Open",IF(R1750&gt;Settings!$B$5,"Pipeline","Overdue"),IF(S1750="Lost","Lost","UNMAPPED")))))</f>
        <v/>
      </c>
      <c r="U1750" s="40" t="n">
        <f aca="false">IF(T1750="Backlog",1,IF(OR(T1750="Pipeline",T1750="Overdue"),N(INDEX(Settings!$C$27:$C$36,MATCH(L1750,Settings!$A$27:$A$36,0))),0))</f>
        <v>0</v>
      </c>
      <c r="V1750" s="38" t="n">
        <f aca="false">Q1750*U1750</f>
        <v>0</v>
      </c>
      <c r="W1750" s="41" t="str">
        <f aca="false">IF($M1750="","",IF(T1750="Overdue",IF(Settings!$B$8="Yes",Settings!$B$7,""),IF(ISNUMBER(R1750),DATE(YEAR(R1750),MONTH(R1750),1),"")))</f>
        <v/>
      </c>
      <c r="X1750" s="38" t="n">
        <f aca="false">IF(AND(OR(T1750="Backlog",T1750="Pipeline",T1750="Overdue"),ISNUMBER(W1750)),IF(W1750&lt;=Settings!$B$6,V1750,0),0)</f>
        <v>0</v>
      </c>
      <c r="Y1750" s="38" t="n">
        <f aca="false">IF(AND(OR(T1750="Backlog",T1750="Pipeline",T1750="Overdue"),ISNUMBER(W1750)),IF(W1750&lt;=Settings!$B$6,Q1750,0),0)</f>
        <v>0</v>
      </c>
      <c r="Z1750" s="38" t="n">
        <f aca="false">IF(Y1750=0,0,IF(T1750="Backlog",Q1750,Q1750*Dashboard!$C$10))</f>
        <v>0</v>
      </c>
      <c r="AA1750" s="37" t="n">
        <f aca="false">IF($N1750="",0,IF(COUNTIF(Dashboard!$C$13:$C$22,$N1750)&gt;0,1,0))</f>
        <v>0</v>
      </c>
      <c r="AB1750" s="37" t="str">
        <f aca="false">IF($N1750="","",IF(COUNTIF($N$8:$N1750,$N1750)=1,MAX($AB$7:$AB1749)+1,""))</f>
        <v/>
      </c>
    </row>
    <row r="1751" customFormat="false" ht="15" hidden="false" customHeight="false" outlineLevel="0" collapsed="false">
      <c r="L1751" s="37" t="str">
        <f aca="false">IF(INDEX($A1751:$J1751,$L$6)&lt;&gt;"",TRIM(LEFT(INDEX($A1751:$J1751,$L$6),FIND("(",INDEX($A1751:$J1751,$L$6)&amp;"(")-1)),L1750)</f>
        <v>Building Value Proposition</v>
      </c>
      <c r="M1751" s="37" t="str">
        <f aca="false">IF(INDEX($A1751:$J1751,$M$6)="","",INDEX($A1751:$J1751,$M$6)&amp;"")</f>
        <v/>
      </c>
      <c r="N1751" s="37" t="str">
        <f aca="false">IF($M1751="","",TRIM(INDEX($A1751:$J1751,$N$6)&amp;""))</f>
        <v/>
      </c>
      <c r="O1751" s="37" t="str">
        <f aca="false">IF($M1751="","",TRIM(INDEX($A1751:$J1751,$O$6)&amp;""))</f>
        <v/>
      </c>
      <c r="P1751" s="37" t="str">
        <f aca="false">IF($M1751="","",IFERROR(IF(INDEX(Settings!$B$41:$B$50,MATCH(O1751,Settings!$A$41:$A$50,0))&amp;""="","UNMAPPED",INDEX(Settings!$B$41:$B$50,MATCH(O1751,Settings!$A$41:$A$50,0))&amp;""),"UNMAPPED"))</f>
        <v/>
      </c>
      <c r="Q1751" s="38" t="n">
        <f aca="false">IF($M1751="",0,N(INDEX($A1751:$J1751,$Q$6)))</f>
        <v>0</v>
      </c>
      <c r="R1751" s="39" t="str">
        <f aca="false">IF($M1751="","",INDEX($A1751:$J1751,$R$6))</f>
        <v/>
      </c>
      <c r="S1751" s="37" t="str">
        <f aca="false">IF($M1751="","",IFERROR(INDEX(Settings!$B$27:$B$36,MATCH(L1751,Settings!$A$27:$A$36,0))&amp;"","UNMAPPED"))</f>
        <v/>
      </c>
      <c r="T1751" s="37" t="str">
        <f aca="false">IF($M1751="","",IF(NOT(ISNUMBER(R1751)),"NO DATE",IF(S1751="Won",IF(R1751&gt;Settings!$B$5,"Backlog","Delivered"),IF(S1751="Open",IF(R1751&gt;Settings!$B$5,"Pipeline","Overdue"),IF(S1751="Lost","Lost","UNMAPPED")))))</f>
        <v/>
      </c>
      <c r="U1751" s="40" t="n">
        <f aca="false">IF(T1751="Backlog",1,IF(OR(T1751="Pipeline",T1751="Overdue"),N(INDEX(Settings!$C$27:$C$36,MATCH(L1751,Settings!$A$27:$A$36,0))),0))</f>
        <v>0</v>
      </c>
      <c r="V1751" s="38" t="n">
        <f aca="false">Q1751*U1751</f>
        <v>0</v>
      </c>
      <c r="W1751" s="41" t="str">
        <f aca="false">IF($M1751="","",IF(T1751="Overdue",IF(Settings!$B$8="Yes",Settings!$B$7,""),IF(ISNUMBER(R1751),DATE(YEAR(R1751),MONTH(R1751),1),"")))</f>
        <v/>
      </c>
      <c r="X1751" s="38" t="n">
        <f aca="false">IF(AND(OR(T1751="Backlog",T1751="Pipeline",T1751="Overdue"),ISNUMBER(W1751)),IF(W1751&lt;=Settings!$B$6,V1751,0),0)</f>
        <v>0</v>
      </c>
      <c r="Y1751" s="38" t="n">
        <f aca="false">IF(AND(OR(T1751="Backlog",T1751="Pipeline",T1751="Overdue"),ISNUMBER(W1751)),IF(W1751&lt;=Settings!$B$6,Q1751,0),0)</f>
        <v>0</v>
      </c>
      <c r="Z1751" s="38" t="n">
        <f aca="false">IF(Y1751=0,0,IF(T1751="Backlog",Q1751,Q1751*Dashboard!$C$10))</f>
        <v>0</v>
      </c>
      <c r="AA1751" s="37" t="n">
        <f aca="false">IF($N1751="",0,IF(COUNTIF(Dashboard!$C$13:$C$22,$N1751)&gt;0,1,0))</f>
        <v>0</v>
      </c>
      <c r="AB1751" s="37" t="str">
        <f aca="false">IF($N1751="","",IF(COUNTIF($N$8:$N1751,$N1751)=1,MAX($AB$7:$AB1750)+1,""))</f>
        <v/>
      </c>
    </row>
    <row r="1752" customFormat="false" ht="15" hidden="false" customHeight="false" outlineLevel="0" collapsed="false">
      <c r="L1752" s="37" t="str">
        <f aca="false">IF(INDEX($A1752:$J1752,$L$6)&lt;&gt;"",TRIM(LEFT(INDEX($A1752:$J1752,$L$6),FIND("(",INDEX($A1752:$J1752,$L$6)&amp;"(")-1)),L1751)</f>
        <v>Building Value Proposition</v>
      </c>
      <c r="M1752" s="37" t="str">
        <f aca="false">IF(INDEX($A1752:$J1752,$M$6)="","",INDEX($A1752:$J1752,$M$6)&amp;"")</f>
        <v/>
      </c>
      <c r="N1752" s="37" t="str">
        <f aca="false">IF($M1752="","",TRIM(INDEX($A1752:$J1752,$N$6)&amp;""))</f>
        <v/>
      </c>
      <c r="O1752" s="37" t="str">
        <f aca="false">IF($M1752="","",TRIM(INDEX($A1752:$J1752,$O$6)&amp;""))</f>
        <v/>
      </c>
      <c r="P1752" s="37" t="str">
        <f aca="false">IF($M1752="","",IFERROR(IF(INDEX(Settings!$B$41:$B$50,MATCH(O1752,Settings!$A$41:$A$50,0))&amp;""="","UNMAPPED",INDEX(Settings!$B$41:$B$50,MATCH(O1752,Settings!$A$41:$A$50,0))&amp;""),"UNMAPPED"))</f>
        <v/>
      </c>
      <c r="Q1752" s="38" t="n">
        <f aca="false">IF($M1752="",0,N(INDEX($A1752:$J1752,$Q$6)))</f>
        <v>0</v>
      </c>
      <c r="R1752" s="39" t="str">
        <f aca="false">IF($M1752="","",INDEX($A1752:$J1752,$R$6))</f>
        <v/>
      </c>
      <c r="S1752" s="37" t="str">
        <f aca="false">IF($M1752="","",IFERROR(INDEX(Settings!$B$27:$B$36,MATCH(L1752,Settings!$A$27:$A$36,0))&amp;"","UNMAPPED"))</f>
        <v/>
      </c>
      <c r="T1752" s="37" t="str">
        <f aca="false">IF($M1752="","",IF(NOT(ISNUMBER(R1752)),"NO DATE",IF(S1752="Won",IF(R1752&gt;Settings!$B$5,"Backlog","Delivered"),IF(S1752="Open",IF(R1752&gt;Settings!$B$5,"Pipeline","Overdue"),IF(S1752="Lost","Lost","UNMAPPED")))))</f>
        <v/>
      </c>
      <c r="U1752" s="40" t="n">
        <f aca="false">IF(T1752="Backlog",1,IF(OR(T1752="Pipeline",T1752="Overdue"),N(INDEX(Settings!$C$27:$C$36,MATCH(L1752,Settings!$A$27:$A$36,0))),0))</f>
        <v>0</v>
      </c>
      <c r="V1752" s="38" t="n">
        <f aca="false">Q1752*U1752</f>
        <v>0</v>
      </c>
      <c r="W1752" s="41" t="str">
        <f aca="false">IF($M1752="","",IF(T1752="Overdue",IF(Settings!$B$8="Yes",Settings!$B$7,""),IF(ISNUMBER(R1752),DATE(YEAR(R1752),MONTH(R1752),1),"")))</f>
        <v/>
      </c>
      <c r="X1752" s="38" t="n">
        <f aca="false">IF(AND(OR(T1752="Backlog",T1752="Pipeline",T1752="Overdue"),ISNUMBER(W1752)),IF(W1752&lt;=Settings!$B$6,V1752,0),0)</f>
        <v>0</v>
      </c>
      <c r="Y1752" s="38" t="n">
        <f aca="false">IF(AND(OR(T1752="Backlog",T1752="Pipeline",T1752="Overdue"),ISNUMBER(W1752)),IF(W1752&lt;=Settings!$B$6,Q1752,0),0)</f>
        <v>0</v>
      </c>
      <c r="Z1752" s="38" t="n">
        <f aca="false">IF(Y1752=0,0,IF(T1752="Backlog",Q1752,Q1752*Dashboard!$C$10))</f>
        <v>0</v>
      </c>
      <c r="AA1752" s="37" t="n">
        <f aca="false">IF($N1752="",0,IF(COUNTIF(Dashboard!$C$13:$C$22,$N1752)&gt;0,1,0))</f>
        <v>0</v>
      </c>
      <c r="AB1752" s="37" t="str">
        <f aca="false">IF($N1752="","",IF(COUNTIF($N$8:$N1752,$N1752)=1,MAX($AB$7:$AB1751)+1,""))</f>
        <v/>
      </c>
    </row>
    <row r="1753" customFormat="false" ht="15" hidden="false" customHeight="false" outlineLevel="0" collapsed="false">
      <c r="L1753" s="37" t="str">
        <f aca="false">IF(INDEX($A1753:$J1753,$L$6)&lt;&gt;"",TRIM(LEFT(INDEX($A1753:$J1753,$L$6),FIND("(",INDEX($A1753:$J1753,$L$6)&amp;"(")-1)),L1752)</f>
        <v>Building Value Proposition</v>
      </c>
      <c r="M1753" s="37" t="str">
        <f aca="false">IF(INDEX($A1753:$J1753,$M$6)="","",INDEX($A1753:$J1753,$M$6)&amp;"")</f>
        <v/>
      </c>
      <c r="N1753" s="37" t="str">
        <f aca="false">IF($M1753="","",TRIM(INDEX($A1753:$J1753,$N$6)&amp;""))</f>
        <v/>
      </c>
      <c r="O1753" s="37" t="str">
        <f aca="false">IF($M1753="","",TRIM(INDEX($A1753:$J1753,$O$6)&amp;""))</f>
        <v/>
      </c>
      <c r="P1753" s="37" t="str">
        <f aca="false">IF($M1753="","",IFERROR(IF(INDEX(Settings!$B$41:$B$50,MATCH(O1753,Settings!$A$41:$A$50,0))&amp;""="","UNMAPPED",INDEX(Settings!$B$41:$B$50,MATCH(O1753,Settings!$A$41:$A$50,0))&amp;""),"UNMAPPED"))</f>
        <v/>
      </c>
      <c r="Q1753" s="38" t="n">
        <f aca="false">IF($M1753="",0,N(INDEX($A1753:$J1753,$Q$6)))</f>
        <v>0</v>
      </c>
      <c r="R1753" s="39" t="str">
        <f aca="false">IF($M1753="","",INDEX($A1753:$J1753,$R$6))</f>
        <v/>
      </c>
      <c r="S1753" s="37" t="str">
        <f aca="false">IF($M1753="","",IFERROR(INDEX(Settings!$B$27:$B$36,MATCH(L1753,Settings!$A$27:$A$36,0))&amp;"","UNMAPPED"))</f>
        <v/>
      </c>
      <c r="T1753" s="37" t="str">
        <f aca="false">IF($M1753="","",IF(NOT(ISNUMBER(R1753)),"NO DATE",IF(S1753="Won",IF(R1753&gt;Settings!$B$5,"Backlog","Delivered"),IF(S1753="Open",IF(R1753&gt;Settings!$B$5,"Pipeline","Overdue"),IF(S1753="Lost","Lost","UNMAPPED")))))</f>
        <v/>
      </c>
      <c r="U1753" s="40" t="n">
        <f aca="false">IF(T1753="Backlog",1,IF(OR(T1753="Pipeline",T1753="Overdue"),N(INDEX(Settings!$C$27:$C$36,MATCH(L1753,Settings!$A$27:$A$36,0))),0))</f>
        <v>0</v>
      </c>
      <c r="V1753" s="38" t="n">
        <f aca="false">Q1753*U1753</f>
        <v>0</v>
      </c>
      <c r="W1753" s="41" t="str">
        <f aca="false">IF($M1753="","",IF(T1753="Overdue",IF(Settings!$B$8="Yes",Settings!$B$7,""),IF(ISNUMBER(R1753),DATE(YEAR(R1753),MONTH(R1753),1),"")))</f>
        <v/>
      </c>
      <c r="X1753" s="38" t="n">
        <f aca="false">IF(AND(OR(T1753="Backlog",T1753="Pipeline",T1753="Overdue"),ISNUMBER(W1753)),IF(W1753&lt;=Settings!$B$6,V1753,0),0)</f>
        <v>0</v>
      </c>
      <c r="Y1753" s="38" t="n">
        <f aca="false">IF(AND(OR(T1753="Backlog",T1753="Pipeline",T1753="Overdue"),ISNUMBER(W1753)),IF(W1753&lt;=Settings!$B$6,Q1753,0),0)</f>
        <v>0</v>
      </c>
      <c r="Z1753" s="38" t="n">
        <f aca="false">IF(Y1753=0,0,IF(T1753="Backlog",Q1753,Q1753*Dashboard!$C$10))</f>
        <v>0</v>
      </c>
      <c r="AA1753" s="37" t="n">
        <f aca="false">IF($N1753="",0,IF(COUNTIF(Dashboard!$C$13:$C$22,$N1753)&gt;0,1,0))</f>
        <v>0</v>
      </c>
      <c r="AB1753" s="37" t="str">
        <f aca="false">IF($N1753="","",IF(COUNTIF($N$8:$N1753,$N1753)=1,MAX($AB$7:$AB1752)+1,""))</f>
        <v/>
      </c>
    </row>
    <row r="1754" customFormat="false" ht="15" hidden="false" customHeight="false" outlineLevel="0" collapsed="false">
      <c r="L1754" s="37" t="str">
        <f aca="false">IF(INDEX($A1754:$J1754,$L$6)&lt;&gt;"",TRIM(LEFT(INDEX($A1754:$J1754,$L$6),FIND("(",INDEX($A1754:$J1754,$L$6)&amp;"(")-1)),L1753)</f>
        <v>Building Value Proposition</v>
      </c>
      <c r="M1754" s="37" t="str">
        <f aca="false">IF(INDEX($A1754:$J1754,$M$6)="","",INDEX($A1754:$J1754,$M$6)&amp;"")</f>
        <v/>
      </c>
      <c r="N1754" s="37" t="str">
        <f aca="false">IF($M1754="","",TRIM(INDEX($A1754:$J1754,$N$6)&amp;""))</f>
        <v/>
      </c>
      <c r="O1754" s="37" t="str">
        <f aca="false">IF($M1754="","",TRIM(INDEX($A1754:$J1754,$O$6)&amp;""))</f>
        <v/>
      </c>
      <c r="P1754" s="37" t="str">
        <f aca="false">IF($M1754="","",IFERROR(IF(INDEX(Settings!$B$41:$B$50,MATCH(O1754,Settings!$A$41:$A$50,0))&amp;""="","UNMAPPED",INDEX(Settings!$B$41:$B$50,MATCH(O1754,Settings!$A$41:$A$50,0))&amp;""),"UNMAPPED"))</f>
        <v/>
      </c>
      <c r="Q1754" s="38" t="n">
        <f aca="false">IF($M1754="",0,N(INDEX($A1754:$J1754,$Q$6)))</f>
        <v>0</v>
      </c>
      <c r="R1754" s="39" t="str">
        <f aca="false">IF($M1754="","",INDEX($A1754:$J1754,$R$6))</f>
        <v/>
      </c>
      <c r="S1754" s="37" t="str">
        <f aca="false">IF($M1754="","",IFERROR(INDEX(Settings!$B$27:$B$36,MATCH(L1754,Settings!$A$27:$A$36,0))&amp;"","UNMAPPED"))</f>
        <v/>
      </c>
      <c r="T1754" s="37" t="str">
        <f aca="false">IF($M1754="","",IF(NOT(ISNUMBER(R1754)),"NO DATE",IF(S1754="Won",IF(R1754&gt;Settings!$B$5,"Backlog","Delivered"),IF(S1754="Open",IF(R1754&gt;Settings!$B$5,"Pipeline","Overdue"),IF(S1754="Lost","Lost","UNMAPPED")))))</f>
        <v/>
      </c>
      <c r="U1754" s="40" t="n">
        <f aca="false">IF(T1754="Backlog",1,IF(OR(T1754="Pipeline",T1754="Overdue"),N(INDEX(Settings!$C$27:$C$36,MATCH(L1754,Settings!$A$27:$A$36,0))),0))</f>
        <v>0</v>
      </c>
      <c r="V1754" s="38" t="n">
        <f aca="false">Q1754*U1754</f>
        <v>0</v>
      </c>
      <c r="W1754" s="41" t="str">
        <f aca="false">IF($M1754="","",IF(T1754="Overdue",IF(Settings!$B$8="Yes",Settings!$B$7,""),IF(ISNUMBER(R1754),DATE(YEAR(R1754),MONTH(R1754),1),"")))</f>
        <v/>
      </c>
      <c r="X1754" s="38" t="n">
        <f aca="false">IF(AND(OR(T1754="Backlog",T1754="Pipeline",T1754="Overdue"),ISNUMBER(W1754)),IF(W1754&lt;=Settings!$B$6,V1754,0),0)</f>
        <v>0</v>
      </c>
      <c r="Y1754" s="38" t="n">
        <f aca="false">IF(AND(OR(T1754="Backlog",T1754="Pipeline",T1754="Overdue"),ISNUMBER(W1754)),IF(W1754&lt;=Settings!$B$6,Q1754,0),0)</f>
        <v>0</v>
      </c>
      <c r="Z1754" s="38" t="n">
        <f aca="false">IF(Y1754=0,0,IF(T1754="Backlog",Q1754,Q1754*Dashboard!$C$10))</f>
        <v>0</v>
      </c>
      <c r="AA1754" s="37" t="n">
        <f aca="false">IF($N1754="",0,IF(COUNTIF(Dashboard!$C$13:$C$22,$N1754)&gt;0,1,0))</f>
        <v>0</v>
      </c>
      <c r="AB1754" s="37" t="str">
        <f aca="false">IF($N1754="","",IF(COUNTIF($N$8:$N1754,$N1754)=1,MAX($AB$7:$AB1753)+1,""))</f>
        <v/>
      </c>
    </row>
    <row r="1755" customFormat="false" ht="15" hidden="false" customHeight="false" outlineLevel="0" collapsed="false">
      <c r="L1755" s="37" t="str">
        <f aca="false">IF(INDEX($A1755:$J1755,$L$6)&lt;&gt;"",TRIM(LEFT(INDEX($A1755:$J1755,$L$6),FIND("(",INDEX($A1755:$J1755,$L$6)&amp;"(")-1)),L1754)</f>
        <v>Building Value Proposition</v>
      </c>
      <c r="M1755" s="37" t="str">
        <f aca="false">IF(INDEX($A1755:$J1755,$M$6)="","",INDEX($A1755:$J1755,$M$6)&amp;"")</f>
        <v/>
      </c>
      <c r="N1755" s="37" t="str">
        <f aca="false">IF($M1755="","",TRIM(INDEX($A1755:$J1755,$N$6)&amp;""))</f>
        <v/>
      </c>
      <c r="O1755" s="37" t="str">
        <f aca="false">IF($M1755="","",TRIM(INDEX($A1755:$J1755,$O$6)&amp;""))</f>
        <v/>
      </c>
      <c r="P1755" s="37" t="str">
        <f aca="false">IF($M1755="","",IFERROR(IF(INDEX(Settings!$B$41:$B$50,MATCH(O1755,Settings!$A$41:$A$50,0))&amp;""="","UNMAPPED",INDEX(Settings!$B$41:$B$50,MATCH(O1755,Settings!$A$41:$A$50,0))&amp;""),"UNMAPPED"))</f>
        <v/>
      </c>
      <c r="Q1755" s="38" t="n">
        <f aca="false">IF($M1755="",0,N(INDEX($A1755:$J1755,$Q$6)))</f>
        <v>0</v>
      </c>
      <c r="R1755" s="39" t="str">
        <f aca="false">IF($M1755="","",INDEX($A1755:$J1755,$R$6))</f>
        <v/>
      </c>
      <c r="S1755" s="37" t="str">
        <f aca="false">IF($M1755="","",IFERROR(INDEX(Settings!$B$27:$B$36,MATCH(L1755,Settings!$A$27:$A$36,0))&amp;"","UNMAPPED"))</f>
        <v/>
      </c>
      <c r="T1755" s="37" t="str">
        <f aca="false">IF($M1755="","",IF(NOT(ISNUMBER(R1755)),"NO DATE",IF(S1755="Won",IF(R1755&gt;Settings!$B$5,"Backlog","Delivered"),IF(S1755="Open",IF(R1755&gt;Settings!$B$5,"Pipeline","Overdue"),IF(S1755="Lost","Lost","UNMAPPED")))))</f>
        <v/>
      </c>
      <c r="U1755" s="40" t="n">
        <f aca="false">IF(T1755="Backlog",1,IF(OR(T1755="Pipeline",T1755="Overdue"),N(INDEX(Settings!$C$27:$C$36,MATCH(L1755,Settings!$A$27:$A$36,0))),0))</f>
        <v>0</v>
      </c>
      <c r="V1755" s="38" t="n">
        <f aca="false">Q1755*U1755</f>
        <v>0</v>
      </c>
      <c r="W1755" s="41" t="str">
        <f aca="false">IF($M1755="","",IF(T1755="Overdue",IF(Settings!$B$8="Yes",Settings!$B$7,""),IF(ISNUMBER(R1755),DATE(YEAR(R1755),MONTH(R1755),1),"")))</f>
        <v/>
      </c>
      <c r="X1755" s="38" t="n">
        <f aca="false">IF(AND(OR(T1755="Backlog",T1755="Pipeline",T1755="Overdue"),ISNUMBER(W1755)),IF(W1755&lt;=Settings!$B$6,V1755,0),0)</f>
        <v>0</v>
      </c>
      <c r="Y1755" s="38" t="n">
        <f aca="false">IF(AND(OR(T1755="Backlog",T1755="Pipeline",T1755="Overdue"),ISNUMBER(W1755)),IF(W1755&lt;=Settings!$B$6,Q1755,0),0)</f>
        <v>0</v>
      </c>
      <c r="Z1755" s="38" t="n">
        <f aca="false">IF(Y1755=0,0,IF(T1755="Backlog",Q1755,Q1755*Dashboard!$C$10))</f>
        <v>0</v>
      </c>
      <c r="AA1755" s="37" t="n">
        <f aca="false">IF($N1755="",0,IF(COUNTIF(Dashboard!$C$13:$C$22,$N1755)&gt;0,1,0))</f>
        <v>0</v>
      </c>
      <c r="AB1755" s="37" t="str">
        <f aca="false">IF($N1755="","",IF(COUNTIF($N$8:$N1755,$N1755)=1,MAX($AB$7:$AB1754)+1,""))</f>
        <v/>
      </c>
    </row>
    <row r="1756" customFormat="false" ht="15" hidden="false" customHeight="false" outlineLevel="0" collapsed="false">
      <c r="L1756" s="37" t="str">
        <f aca="false">IF(INDEX($A1756:$J1756,$L$6)&lt;&gt;"",TRIM(LEFT(INDEX($A1756:$J1756,$L$6),FIND("(",INDEX($A1756:$J1756,$L$6)&amp;"(")-1)),L1755)</f>
        <v>Building Value Proposition</v>
      </c>
      <c r="M1756" s="37" t="str">
        <f aca="false">IF(INDEX($A1756:$J1756,$M$6)="","",INDEX($A1756:$J1756,$M$6)&amp;"")</f>
        <v/>
      </c>
      <c r="N1756" s="37" t="str">
        <f aca="false">IF($M1756="","",TRIM(INDEX($A1756:$J1756,$N$6)&amp;""))</f>
        <v/>
      </c>
      <c r="O1756" s="37" t="str">
        <f aca="false">IF($M1756="","",TRIM(INDEX($A1756:$J1756,$O$6)&amp;""))</f>
        <v/>
      </c>
      <c r="P1756" s="37" t="str">
        <f aca="false">IF($M1756="","",IFERROR(IF(INDEX(Settings!$B$41:$B$50,MATCH(O1756,Settings!$A$41:$A$50,0))&amp;""="","UNMAPPED",INDEX(Settings!$B$41:$B$50,MATCH(O1756,Settings!$A$41:$A$50,0))&amp;""),"UNMAPPED"))</f>
        <v/>
      </c>
      <c r="Q1756" s="38" t="n">
        <f aca="false">IF($M1756="",0,N(INDEX($A1756:$J1756,$Q$6)))</f>
        <v>0</v>
      </c>
      <c r="R1756" s="39" t="str">
        <f aca="false">IF($M1756="","",INDEX($A1756:$J1756,$R$6))</f>
        <v/>
      </c>
      <c r="S1756" s="37" t="str">
        <f aca="false">IF($M1756="","",IFERROR(INDEX(Settings!$B$27:$B$36,MATCH(L1756,Settings!$A$27:$A$36,0))&amp;"","UNMAPPED"))</f>
        <v/>
      </c>
      <c r="T1756" s="37" t="str">
        <f aca="false">IF($M1756="","",IF(NOT(ISNUMBER(R1756)),"NO DATE",IF(S1756="Won",IF(R1756&gt;Settings!$B$5,"Backlog","Delivered"),IF(S1756="Open",IF(R1756&gt;Settings!$B$5,"Pipeline","Overdue"),IF(S1756="Lost","Lost","UNMAPPED")))))</f>
        <v/>
      </c>
      <c r="U1756" s="40" t="n">
        <f aca="false">IF(T1756="Backlog",1,IF(OR(T1756="Pipeline",T1756="Overdue"),N(INDEX(Settings!$C$27:$C$36,MATCH(L1756,Settings!$A$27:$A$36,0))),0))</f>
        <v>0</v>
      </c>
      <c r="V1756" s="38" t="n">
        <f aca="false">Q1756*U1756</f>
        <v>0</v>
      </c>
      <c r="W1756" s="41" t="str">
        <f aca="false">IF($M1756="","",IF(T1756="Overdue",IF(Settings!$B$8="Yes",Settings!$B$7,""),IF(ISNUMBER(R1756),DATE(YEAR(R1756),MONTH(R1756),1),"")))</f>
        <v/>
      </c>
      <c r="X1756" s="38" t="n">
        <f aca="false">IF(AND(OR(T1756="Backlog",T1756="Pipeline",T1756="Overdue"),ISNUMBER(W1756)),IF(W1756&lt;=Settings!$B$6,V1756,0),0)</f>
        <v>0</v>
      </c>
      <c r="Y1756" s="38" t="n">
        <f aca="false">IF(AND(OR(T1756="Backlog",T1756="Pipeline",T1756="Overdue"),ISNUMBER(W1756)),IF(W1756&lt;=Settings!$B$6,Q1756,0),0)</f>
        <v>0</v>
      </c>
      <c r="Z1756" s="38" t="n">
        <f aca="false">IF(Y1756=0,0,IF(T1756="Backlog",Q1756,Q1756*Dashboard!$C$10))</f>
        <v>0</v>
      </c>
      <c r="AA1756" s="37" t="n">
        <f aca="false">IF($N1756="",0,IF(COUNTIF(Dashboard!$C$13:$C$22,$N1756)&gt;0,1,0))</f>
        <v>0</v>
      </c>
      <c r="AB1756" s="37" t="str">
        <f aca="false">IF($N1756="","",IF(COUNTIF($N$8:$N1756,$N1756)=1,MAX($AB$7:$AB1755)+1,""))</f>
        <v/>
      </c>
    </row>
    <row r="1757" customFormat="false" ht="15" hidden="false" customHeight="false" outlineLevel="0" collapsed="false">
      <c r="L1757" s="37" t="str">
        <f aca="false">IF(INDEX($A1757:$J1757,$L$6)&lt;&gt;"",TRIM(LEFT(INDEX($A1757:$J1757,$L$6),FIND("(",INDEX($A1757:$J1757,$L$6)&amp;"(")-1)),L1756)</f>
        <v>Building Value Proposition</v>
      </c>
      <c r="M1757" s="37" t="str">
        <f aca="false">IF(INDEX($A1757:$J1757,$M$6)="","",INDEX($A1757:$J1757,$M$6)&amp;"")</f>
        <v/>
      </c>
      <c r="N1757" s="37" t="str">
        <f aca="false">IF($M1757="","",TRIM(INDEX($A1757:$J1757,$N$6)&amp;""))</f>
        <v/>
      </c>
      <c r="O1757" s="37" t="str">
        <f aca="false">IF($M1757="","",TRIM(INDEX($A1757:$J1757,$O$6)&amp;""))</f>
        <v/>
      </c>
      <c r="P1757" s="37" t="str">
        <f aca="false">IF($M1757="","",IFERROR(IF(INDEX(Settings!$B$41:$B$50,MATCH(O1757,Settings!$A$41:$A$50,0))&amp;""="","UNMAPPED",INDEX(Settings!$B$41:$B$50,MATCH(O1757,Settings!$A$41:$A$50,0))&amp;""),"UNMAPPED"))</f>
        <v/>
      </c>
      <c r="Q1757" s="38" t="n">
        <f aca="false">IF($M1757="",0,N(INDEX($A1757:$J1757,$Q$6)))</f>
        <v>0</v>
      </c>
      <c r="R1757" s="39" t="str">
        <f aca="false">IF($M1757="","",INDEX($A1757:$J1757,$R$6))</f>
        <v/>
      </c>
      <c r="S1757" s="37" t="str">
        <f aca="false">IF($M1757="","",IFERROR(INDEX(Settings!$B$27:$B$36,MATCH(L1757,Settings!$A$27:$A$36,0))&amp;"","UNMAPPED"))</f>
        <v/>
      </c>
      <c r="T1757" s="37" t="str">
        <f aca="false">IF($M1757="","",IF(NOT(ISNUMBER(R1757)),"NO DATE",IF(S1757="Won",IF(R1757&gt;Settings!$B$5,"Backlog","Delivered"),IF(S1757="Open",IF(R1757&gt;Settings!$B$5,"Pipeline","Overdue"),IF(S1757="Lost","Lost","UNMAPPED")))))</f>
        <v/>
      </c>
      <c r="U1757" s="40" t="n">
        <f aca="false">IF(T1757="Backlog",1,IF(OR(T1757="Pipeline",T1757="Overdue"),N(INDEX(Settings!$C$27:$C$36,MATCH(L1757,Settings!$A$27:$A$36,0))),0))</f>
        <v>0</v>
      </c>
      <c r="V1757" s="38" t="n">
        <f aca="false">Q1757*U1757</f>
        <v>0</v>
      </c>
      <c r="W1757" s="41" t="str">
        <f aca="false">IF($M1757="","",IF(T1757="Overdue",IF(Settings!$B$8="Yes",Settings!$B$7,""),IF(ISNUMBER(R1757),DATE(YEAR(R1757),MONTH(R1757),1),"")))</f>
        <v/>
      </c>
      <c r="X1757" s="38" t="n">
        <f aca="false">IF(AND(OR(T1757="Backlog",T1757="Pipeline",T1757="Overdue"),ISNUMBER(W1757)),IF(W1757&lt;=Settings!$B$6,V1757,0),0)</f>
        <v>0</v>
      </c>
      <c r="Y1757" s="38" t="n">
        <f aca="false">IF(AND(OR(T1757="Backlog",T1757="Pipeline",T1757="Overdue"),ISNUMBER(W1757)),IF(W1757&lt;=Settings!$B$6,Q1757,0),0)</f>
        <v>0</v>
      </c>
      <c r="Z1757" s="38" t="n">
        <f aca="false">IF(Y1757=0,0,IF(T1757="Backlog",Q1757,Q1757*Dashboard!$C$10))</f>
        <v>0</v>
      </c>
      <c r="AA1757" s="37" t="n">
        <f aca="false">IF($N1757="",0,IF(COUNTIF(Dashboard!$C$13:$C$22,$N1757)&gt;0,1,0))</f>
        <v>0</v>
      </c>
      <c r="AB1757" s="37" t="str">
        <f aca="false">IF($N1757="","",IF(COUNTIF($N$8:$N1757,$N1757)=1,MAX($AB$7:$AB1756)+1,""))</f>
        <v/>
      </c>
    </row>
    <row r="1758" customFormat="false" ht="15" hidden="false" customHeight="false" outlineLevel="0" collapsed="false">
      <c r="L1758" s="37" t="str">
        <f aca="false">IF(INDEX($A1758:$J1758,$L$6)&lt;&gt;"",TRIM(LEFT(INDEX($A1758:$J1758,$L$6),FIND("(",INDEX($A1758:$J1758,$L$6)&amp;"(")-1)),L1757)</f>
        <v>Building Value Proposition</v>
      </c>
      <c r="M1758" s="37" t="str">
        <f aca="false">IF(INDEX($A1758:$J1758,$M$6)="","",INDEX($A1758:$J1758,$M$6)&amp;"")</f>
        <v/>
      </c>
      <c r="N1758" s="37" t="str">
        <f aca="false">IF($M1758="","",TRIM(INDEX($A1758:$J1758,$N$6)&amp;""))</f>
        <v/>
      </c>
      <c r="O1758" s="37" t="str">
        <f aca="false">IF($M1758="","",TRIM(INDEX($A1758:$J1758,$O$6)&amp;""))</f>
        <v/>
      </c>
      <c r="P1758" s="37" t="str">
        <f aca="false">IF($M1758="","",IFERROR(IF(INDEX(Settings!$B$41:$B$50,MATCH(O1758,Settings!$A$41:$A$50,0))&amp;""="","UNMAPPED",INDEX(Settings!$B$41:$B$50,MATCH(O1758,Settings!$A$41:$A$50,0))&amp;""),"UNMAPPED"))</f>
        <v/>
      </c>
      <c r="Q1758" s="38" t="n">
        <f aca="false">IF($M1758="",0,N(INDEX($A1758:$J1758,$Q$6)))</f>
        <v>0</v>
      </c>
      <c r="R1758" s="39" t="str">
        <f aca="false">IF($M1758="","",INDEX($A1758:$J1758,$R$6))</f>
        <v/>
      </c>
      <c r="S1758" s="37" t="str">
        <f aca="false">IF($M1758="","",IFERROR(INDEX(Settings!$B$27:$B$36,MATCH(L1758,Settings!$A$27:$A$36,0))&amp;"","UNMAPPED"))</f>
        <v/>
      </c>
      <c r="T1758" s="37" t="str">
        <f aca="false">IF($M1758="","",IF(NOT(ISNUMBER(R1758)),"NO DATE",IF(S1758="Won",IF(R1758&gt;Settings!$B$5,"Backlog","Delivered"),IF(S1758="Open",IF(R1758&gt;Settings!$B$5,"Pipeline","Overdue"),IF(S1758="Lost","Lost","UNMAPPED")))))</f>
        <v/>
      </c>
      <c r="U1758" s="40" t="n">
        <f aca="false">IF(T1758="Backlog",1,IF(OR(T1758="Pipeline",T1758="Overdue"),N(INDEX(Settings!$C$27:$C$36,MATCH(L1758,Settings!$A$27:$A$36,0))),0))</f>
        <v>0</v>
      </c>
      <c r="V1758" s="38" t="n">
        <f aca="false">Q1758*U1758</f>
        <v>0</v>
      </c>
      <c r="W1758" s="41" t="str">
        <f aca="false">IF($M1758="","",IF(T1758="Overdue",IF(Settings!$B$8="Yes",Settings!$B$7,""),IF(ISNUMBER(R1758),DATE(YEAR(R1758),MONTH(R1758),1),"")))</f>
        <v/>
      </c>
      <c r="X1758" s="38" t="n">
        <f aca="false">IF(AND(OR(T1758="Backlog",T1758="Pipeline",T1758="Overdue"),ISNUMBER(W1758)),IF(W1758&lt;=Settings!$B$6,V1758,0),0)</f>
        <v>0</v>
      </c>
      <c r="Y1758" s="38" t="n">
        <f aca="false">IF(AND(OR(T1758="Backlog",T1758="Pipeline",T1758="Overdue"),ISNUMBER(W1758)),IF(W1758&lt;=Settings!$B$6,Q1758,0),0)</f>
        <v>0</v>
      </c>
      <c r="Z1758" s="38" t="n">
        <f aca="false">IF(Y1758=0,0,IF(T1758="Backlog",Q1758,Q1758*Dashboard!$C$10))</f>
        <v>0</v>
      </c>
      <c r="AA1758" s="37" t="n">
        <f aca="false">IF($N1758="",0,IF(COUNTIF(Dashboard!$C$13:$C$22,$N1758)&gt;0,1,0))</f>
        <v>0</v>
      </c>
      <c r="AB1758" s="37" t="str">
        <f aca="false">IF($N1758="","",IF(COUNTIF($N$8:$N1758,$N1758)=1,MAX($AB$7:$AB1757)+1,""))</f>
        <v/>
      </c>
    </row>
    <row r="1759" customFormat="false" ht="15" hidden="false" customHeight="false" outlineLevel="0" collapsed="false">
      <c r="L1759" s="37" t="str">
        <f aca="false">IF(INDEX($A1759:$J1759,$L$6)&lt;&gt;"",TRIM(LEFT(INDEX($A1759:$J1759,$L$6),FIND("(",INDEX($A1759:$J1759,$L$6)&amp;"(")-1)),L1758)</f>
        <v>Building Value Proposition</v>
      </c>
      <c r="M1759" s="37" t="str">
        <f aca="false">IF(INDEX($A1759:$J1759,$M$6)="","",INDEX($A1759:$J1759,$M$6)&amp;"")</f>
        <v/>
      </c>
      <c r="N1759" s="37" t="str">
        <f aca="false">IF($M1759="","",TRIM(INDEX($A1759:$J1759,$N$6)&amp;""))</f>
        <v/>
      </c>
      <c r="O1759" s="37" t="str">
        <f aca="false">IF($M1759="","",TRIM(INDEX($A1759:$J1759,$O$6)&amp;""))</f>
        <v/>
      </c>
      <c r="P1759" s="37" t="str">
        <f aca="false">IF($M1759="","",IFERROR(IF(INDEX(Settings!$B$41:$B$50,MATCH(O1759,Settings!$A$41:$A$50,0))&amp;""="","UNMAPPED",INDEX(Settings!$B$41:$B$50,MATCH(O1759,Settings!$A$41:$A$50,0))&amp;""),"UNMAPPED"))</f>
        <v/>
      </c>
      <c r="Q1759" s="38" t="n">
        <f aca="false">IF($M1759="",0,N(INDEX($A1759:$J1759,$Q$6)))</f>
        <v>0</v>
      </c>
      <c r="R1759" s="39" t="str">
        <f aca="false">IF($M1759="","",INDEX($A1759:$J1759,$R$6))</f>
        <v/>
      </c>
      <c r="S1759" s="37" t="str">
        <f aca="false">IF($M1759="","",IFERROR(INDEX(Settings!$B$27:$B$36,MATCH(L1759,Settings!$A$27:$A$36,0))&amp;"","UNMAPPED"))</f>
        <v/>
      </c>
      <c r="T1759" s="37" t="str">
        <f aca="false">IF($M1759="","",IF(NOT(ISNUMBER(R1759)),"NO DATE",IF(S1759="Won",IF(R1759&gt;Settings!$B$5,"Backlog","Delivered"),IF(S1759="Open",IF(R1759&gt;Settings!$B$5,"Pipeline","Overdue"),IF(S1759="Lost","Lost","UNMAPPED")))))</f>
        <v/>
      </c>
      <c r="U1759" s="40" t="n">
        <f aca="false">IF(T1759="Backlog",1,IF(OR(T1759="Pipeline",T1759="Overdue"),N(INDEX(Settings!$C$27:$C$36,MATCH(L1759,Settings!$A$27:$A$36,0))),0))</f>
        <v>0</v>
      </c>
      <c r="V1759" s="38" t="n">
        <f aca="false">Q1759*U1759</f>
        <v>0</v>
      </c>
      <c r="W1759" s="41" t="str">
        <f aca="false">IF($M1759="","",IF(T1759="Overdue",IF(Settings!$B$8="Yes",Settings!$B$7,""),IF(ISNUMBER(R1759),DATE(YEAR(R1759),MONTH(R1759),1),"")))</f>
        <v/>
      </c>
      <c r="X1759" s="38" t="n">
        <f aca="false">IF(AND(OR(T1759="Backlog",T1759="Pipeline",T1759="Overdue"),ISNUMBER(W1759)),IF(W1759&lt;=Settings!$B$6,V1759,0),0)</f>
        <v>0</v>
      </c>
      <c r="Y1759" s="38" t="n">
        <f aca="false">IF(AND(OR(T1759="Backlog",T1759="Pipeline",T1759="Overdue"),ISNUMBER(W1759)),IF(W1759&lt;=Settings!$B$6,Q1759,0),0)</f>
        <v>0</v>
      </c>
      <c r="Z1759" s="38" t="n">
        <f aca="false">IF(Y1759=0,0,IF(T1759="Backlog",Q1759,Q1759*Dashboard!$C$10))</f>
        <v>0</v>
      </c>
      <c r="AA1759" s="37" t="n">
        <f aca="false">IF($N1759="",0,IF(COUNTIF(Dashboard!$C$13:$C$22,$N1759)&gt;0,1,0))</f>
        <v>0</v>
      </c>
      <c r="AB1759" s="37" t="str">
        <f aca="false">IF($N1759="","",IF(COUNTIF($N$8:$N1759,$N1759)=1,MAX($AB$7:$AB1758)+1,""))</f>
        <v/>
      </c>
    </row>
    <row r="1760" customFormat="false" ht="15" hidden="false" customHeight="false" outlineLevel="0" collapsed="false">
      <c r="L1760" s="37" t="str">
        <f aca="false">IF(INDEX($A1760:$J1760,$L$6)&lt;&gt;"",TRIM(LEFT(INDEX($A1760:$J1760,$L$6),FIND("(",INDEX($A1760:$J1760,$L$6)&amp;"(")-1)),L1759)</f>
        <v>Building Value Proposition</v>
      </c>
      <c r="M1760" s="37" t="str">
        <f aca="false">IF(INDEX($A1760:$J1760,$M$6)="","",INDEX($A1760:$J1760,$M$6)&amp;"")</f>
        <v/>
      </c>
      <c r="N1760" s="37" t="str">
        <f aca="false">IF($M1760="","",TRIM(INDEX($A1760:$J1760,$N$6)&amp;""))</f>
        <v/>
      </c>
      <c r="O1760" s="37" t="str">
        <f aca="false">IF($M1760="","",TRIM(INDEX($A1760:$J1760,$O$6)&amp;""))</f>
        <v/>
      </c>
      <c r="P1760" s="37" t="str">
        <f aca="false">IF($M1760="","",IFERROR(IF(INDEX(Settings!$B$41:$B$50,MATCH(O1760,Settings!$A$41:$A$50,0))&amp;""="","UNMAPPED",INDEX(Settings!$B$41:$B$50,MATCH(O1760,Settings!$A$41:$A$50,0))&amp;""),"UNMAPPED"))</f>
        <v/>
      </c>
      <c r="Q1760" s="38" t="n">
        <f aca="false">IF($M1760="",0,N(INDEX($A1760:$J1760,$Q$6)))</f>
        <v>0</v>
      </c>
      <c r="R1760" s="39" t="str">
        <f aca="false">IF($M1760="","",INDEX($A1760:$J1760,$R$6))</f>
        <v/>
      </c>
      <c r="S1760" s="37" t="str">
        <f aca="false">IF($M1760="","",IFERROR(INDEX(Settings!$B$27:$B$36,MATCH(L1760,Settings!$A$27:$A$36,0))&amp;"","UNMAPPED"))</f>
        <v/>
      </c>
      <c r="T1760" s="37" t="str">
        <f aca="false">IF($M1760="","",IF(NOT(ISNUMBER(R1760)),"NO DATE",IF(S1760="Won",IF(R1760&gt;Settings!$B$5,"Backlog","Delivered"),IF(S1760="Open",IF(R1760&gt;Settings!$B$5,"Pipeline","Overdue"),IF(S1760="Lost","Lost","UNMAPPED")))))</f>
        <v/>
      </c>
      <c r="U1760" s="40" t="n">
        <f aca="false">IF(T1760="Backlog",1,IF(OR(T1760="Pipeline",T1760="Overdue"),N(INDEX(Settings!$C$27:$C$36,MATCH(L1760,Settings!$A$27:$A$36,0))),0))</f>
        <v>0</v>
      </c>
      <c r="V1760" s="38" t="n">
        <f aca="false">Q1760*U1760</f>
        <v>0</v>
      </c>
      <c r="W1760" s="41" t="str">
        <f aca="false">IF($M1760="","",IF(T1760="Overdue",IF(Settings!$B$8="Yes",Settings!$B$7,""),IF(ISNUMBER(R1760),DATE(YEAR(R1760),MONTH(R1760),1),"")))</f>
        <v/>
      </c>
      <c r="X1760" s="38" t="n">
        <f aca="false">IF(AND(OR(T1760="Backlog",T1760="Pipeline",T1760="Overdue"),ISNUMBER(W1760)),IF(W1760&lt;=Settings!$B$6,V1760,0),0)</f>
        <v>0</v>
      </c>
      <c r="Y1760" s="38" t="n">
        <f aca="false">IF(AND(OR(T1760="Backlog",T1760="Pipeline",T1760="Overdue"),ISNUMBER(W1760)),IF(W1760&lt;=Settings!$B$6,Q1760,0),0)</f>
        <v>0</v>
      </c>
      <c r="Z1760" s="38" t="n">
        <f aca="false">IF(Y1760=0,0,IF(T1760="Backlog",Q1760,Q1760*Dashboard!$C$10))</f>
        <v>0</v>
      </c>
      <c r="AA1760" s="37" t="n">
        <f aca="false">IF($N1760="",0,IF(COUNTIF(Dashboard!$C$13:$C$22,$N1760)&gt;0,1,0))</f>
        <v>0</v>
      </c>
      <c r="AB1760" s="37" t="str">
        <f aca="false">IF($N1760="","",IF(COUNTIF($N$8:$N1760,$N1760)=1,MAX($AB$7:$AB1759)+1,""))</f>
        <v/>
      </c>
    </row>
    <row r="1761" customFormat="false" ht="15" hidden="false" customHeight="false" outlineLevel="0" collapsed="false">
      <c r="L1761" s="37" t="str">
        <f aca="false">IF(INDEX($A1761:$J1761,$L$6)&lt;&gt;"",TRIM(LEFT(INDEX($A1761:$J1761,$L$6),FIND("(",INDEX($A1761:$J1761,$L$6)&amp;"(")-1)),L1760)</f>
        <v>Building Value Proposition</v>
      </c>
      <c r="M1761" s="37" t="str">
        <f aca="false">IF(INDEX($A1761:$J1761,$M$6)="","",INDEX($A1761:$J1761,$M$6)&amp;"")</f>
        <v/>
      </c>
      <c r="N1761" s="37" t="str">
        <f aca="false">IF($M1761="","",TRIM(INDEX($A1761:$J1761,$N$6)&amp;""))</f>
        <v/>
      </c>
      <c r="O1761" s="37" t="str">
        <f aca="false">IF($M1761="","",TRIM(INDEX($A1761:$J1761,$O$6)&amp;""))</f>
        <v/>
      </c>
      <c r="P1761" s="37" t="str">
        <f aca="false">IF($M1761="","",IFERROR(IF(INDEX(Settings!$B$41:$B$50,MATCH(O1761,Settings!$A$41:$A$50,0))&amp;""="","UNMAPPED",INDEX(Settings!$B$41:$B$50,MATCH(O1761,Settings!$A$41:$A$50,0))&amp;""),"UNMAPPED"))</f>
        <v/>
      </c>
      <c r="Q1761" s="38" t="n">
        <f aca="false">IF($M1761="",0,N(INDEX($A1761:$J1761,$Q$6)))</f>
        <v>0</v>
      </c>
      <c r="R1761" s="39" t="str">
        <f aca="false">IF($M1761="","",INDEX($A1761:$J1761,$R$6))</f>
        <v/>
      </c>
      <c r="S1761" s="37" t="str">
        <f aca="false">IF($M1761="","",IFERROR(INDEX(Settings!$B$27:$B$36,MATCH(L1761,Settings!$A$27:$A$36,0))&amp;"","UNMAPPED"))</f>
        <v/>
      </c>
      <c r="T1761" s="37" t="str">
        <f aca="false">IF($M1761="","",IF(NOT(ISNUMBER(R1761)),"NO DATE",IF(S1761="Won",IF(R1761&gt;Settings!$B$5,"Backlog","Delivered"),IF(S1761="Open",IF(R1761&gt;Settings!$B$5,"Pipeline","Overdue"),IF(S1761="Lost","Lost","UNMAPPED")))))</f>
        <v/>
      </c>
      <c r="U1761" s="40" t="n">
        <f aca="false">IF(T1761="Backlog",1,IF(OR(T1761="Pipeline",T1761="Overdue"),N(INDEX(Settings!$C$27:$C$36,MATCH(L1761,Settings!$A$27:$A$36,0))),0))</f>
        <v>0</v>
      </c>
      <c r="V1761" s="38" t="n">
        <f aca="false">Q1761*U1761</f>
        <v>0</v>
      </c>
      <c r="W1761" s="41" t="str">
        <f aca="false">IF($M1761="","",IF(T1761="Overdue",IF(Settings!$B$8="Yes",Settings!$B$7,""),IF(ISNUMBER(R1761),DATE(YEAR(R1761),MONTH(R1761),1),"")))</f>
        <v/>
      </c>
      <c r="X1761" s="38" t="n">
        <f aca="false">IF(AND(OR(T1761="Backlog",T1761="Pipeline",T1761="Overdue"),ISNUMBER(W1761)),IF(W1761&lt;=Settings!$B$6,V1761,0),0)</f>
        <v>0</v>
      </c>
      <c r="Y1761" s="38" t="n">
        <f aca="false">IF(AND(OR(T1761="Backlog",T1761="Pipeline",T1761="Overdue"),ISNUMBER(W1761)),IF(W1761&lt;=Settings!$B$6,Q1761,0),0)</f>
        <v>0</v>
      </c>
      <c r="Z1761" s="38" t="n">
        <f aca="false">IF(Y1761=0,0,IF(T1761="Backlog",Q1761,Q1761*Dashboard!$C$10))</f>
        <v>0</v>
      </c>
      <c r="AA1761" s="37" t="n">
        <f aca="false">IF($N1761="",0,IF(COUNTIF(Dashboard!$C$13:$C$22,$N1761)&gt;0,1,0))</f>
        <v>0</v>
      </c>
      <c r="AB1761" s="37" t="str">
        <f aca="false">IF($N1761="","",IF(COUNTIF($N$8:$N1761,$N1761)=1,MAX($AB$7:$AB1760)+1,""))</f>
        <v/>
      </c>
    </row>
    <row r="1762" customFormat="false" ht="15" hidden="false" customHeight="false" outlineLevel="0" collapsed="false">
      <c r="L1762" s="37" t="str">
        <f aca="false">IF(INDEX($A1762:$J1762,$L$6)&lt;&gt;"",TRIM(LEFT(INDEX($A1762:$J1762,$L$6),FIND("(",INDEX($A1762:$J1762,$L$6)&amp;"(")-1)),L1761)</f>
        <v>Building Value Proposition</v>
      </c>
      <c r="M1762" s="37" t="str">
        <f aca="false">IF(INDEX($A1762:$J1762,$M$6)="","",INDEX($A1762:$J1762,$M$6)&amp;"")</f>
        <v/>
      </c>
      <c r="N1762" s="37" t="str">
        <f aca="false">IF($M1762="","",TRIM(INDEX($A1762:$J1762,$N$6)&amp;""))</f>
        <v/>
      </c>
      <c r="O1762" s="37" t="str">
        <f aca="false">IF($M1762="","",TRIM(INDEX($A1762:$J1762,$O$6)&amp;""))</f>
        <v/>
      </c>
      <c r="P1762" s="37" t="str">
        <f aca="false">IF($M1762="","",IFERROR(IF(INDEX(Settings!$B$41:$B$50,MATCH(O1762,Settings!$A$41:$A$50,0))&amp;""="","UNMAPPED",INDEX(Settings!$B$41:$B$50,MATCH(O1762,Settings!$A$41:$A$50,0))&amp;""),"UNMAPPED"))</f>
        <v/>
      </c>
      <c r="Q1762" s="38" t="n">
        <f aca="false">IF($M1762="",0,N(INDEX($A1762:$J1762,$Q$6)))</f>
        <v>0</v>
      </c>
      <c r="R1762" s="39" t="str">
        <f aca="false">IF($M1762="","",INDEX($A1762:$J1762,$R$6))</f>
        <v/>
      </c>
      <c r="S1762" s="37" t="str">
        <f aca="false">IF($M1762="","",IFERROR(INDEX(Settings!$B$27:$B$36,MATCH(L1762,Settings!$A$27:$A$36,0))&amp;"","UNMAPPED"))</f>
        <v/>
      </c>
      <c r="T1762" s="37" t="str">
        <f aca="false">IF($M1762="","",IF(NOT(ISNUMBER(R1762)),"NO DATE",IF(S1762="Won",IF(R1762&gt;Settings!$B$5,"Backlog","Delivered"),IF(S1762="Open",IF(R1762&gt;Settings!$B$5,"Pipeline","Overdue"),IF(S1762="Lost","Lost","UNMAPPED")))))</f>
        <v/>
      </c>
      <c r="U1762" s="40" t="n">
        <f aca="false">IF(T1762="Backlog",1,IF(OR(T1762="Pipeline",T1762="Overdue"),N(INDEX(Settings!$C$27:$C$36,MATCH(L1762,Settings!$A$27:$A$36,0))),0))</f>
        <v>0</v>
      </c>
      <c r="V1762" s="38" t="n">
        <f aca="false">Q1762*U1762</f>
        <v>0</v>
      </c>
      <c r="W1762" s="41" t="str">
        <f aca="false">IF($M1762="","",IF(T1762="Overdue",IF(Settings!$B$8="Yes",Settings!$B$7,""),IF(ISNUMBER(R1762),DATE(YEAR(R1762),MONTH(R1762),1),"")))</f>
        <v/>
      </c>
      <c r="X1762" s="38" t="n">
        <f aca="false">IF(AND(OR(T1762="Backlog",T1762="Pipeline",T1762="Overdue"),ISNUMBER(W1762)),IF(W1762&lt;=Settings!$B$6,V1762,0),0)</f>
        <v>0</v>
      </c>
      <c r="Y1762" s="38" t="n">
        <f aca="false">IF(AND(OR(T1762="Backlog",T1762="Pipeline",T1762="Overdue"),ISNUMBER(W1762)),IF(W1762&lt;=Settings!$B$6,Q1762,0),0)</f>
        <v>0</v>
      </c>
      <c r="Z1762" s="38" t="n">
        <f aca="false">IF(Y1762=0,0,IF(T1762="Backlog",Q1762,Q1762*Dashboard!$C$10))</f>
        <v>0</v>
      </c>
      <c r="AA1762" s="37" t="n">
        <f aca="false">IF($N1762="",0,IF(COUNTIF(Dashboard!$C$13:$C$22,$N1762)&gt;0,1,0))</f>
        <v>0</v>
      </c>
      <c r="AB1762" s="37" t="str">
        <f aca="false">IF($N1762="","",IF(COUNTIF($N$8:$N1762,$N1762)=1,MAX($AB$7:$AB1761)+1,""))</f>
        <v/>
      </c>
    </row>
    <row r="1763" customFormat="false" ht="15" hidden="false" customHeight="false" outlineLevel="0" collapsed="false">
      <c r="L1763" s="37" t="str">
        <f aca="false">IF(INDEX($A1763:$J1763,$L$6)&lt;&gt;"",TRIM(LEFT(INDEX($A1763:$J1763,$L$6),FIND("(",INDEX($A1763:$J1763,$L$6)&amp;"(")-1)),L1762)</f>
        <v>Building Value Proposition</v>
      </c>
      <c r="M1763" s="37" t="str">
        <f aca="false">IF(INDEX($A1763:$J1763,$M$6)="","",INDEX($A1763:$J1763,$M$6)&amp;"")</f>
        <v/>
      </c>
      <c r="N1763" s="37" t="str">
        <f aca="false">IF($M1763="","",TRIM(INDEX($A1763:$J1763,$N$6)&amp;""))</f>
        <v/>
      </c>
      <c r="O1763" s="37" t="str">
        <f aca="false">IF($M1763="","",TRIM(INDEX($A1763:$J1763,$O$6)&amp;""))</f>
        <v/>
      </c>
      <c r="P1763" s="37" t="str">
        <f aca="false">IF($M1763="","",IFERROR(IF(INDEX(Settings!$B$41:$B$50,MATCH(O1763,Settings!$A$41:$A$50,0))&amp;""="","UNMAPPED",INDEX(Settings!$B$41:$B$50,MATCH(O1763,Settings!$A$41:$A$50,0))&amp;""),"UNMAPPED"))</f>
        <v/>
      </c>
      <c r="Q1763" s="38" t="n">
        <f aca="false">IF($M1763="",0,N(INDEX($A1763:$J1763,$Q$6)))</f>
        <v>0</v>
      </c>
      <c r="R1763" s="39" t="str">
        <f aca="false">IF($M1763="","",INDEX($A1763:$J1763,$R$6))</f>
        <v/>
      </c>
      <c r="S1763" s="37" t="str">
        <f aca="false">IF($M1763="","",IFERROR(INDEX(Settings!$B$27:$B$36,MATCH(L1763,Settings!$A$27:$A$36,0))&amp;"","UNMAPPED"))</f>
        <v/>
      </c>
      <c r="T1763" s="37" t="str">
        <f aca="false">IF($M1763="","",IF(NOT(ISNUMBER(R1763)),"NO DATE",IF(S1763="Won",IF(R1763&gt;Settings!$B$5,"Backlog","Delivered"),IF(S1763="Open",IF(R1763&gt;Settings!$B$5,"Pipeline","Overdue"),IF(S1763="Lost","Lost","UNMAPPED")))))</f>
        <v/>
      </c>
      <c r="U1763" s="40" t="n">
        <f aca="false">IF(T1763="Backlog",1,IF(OR(T1763="Pipeline",T1763="Overdue"),N(INDEX(Settings!$C$27:$C$36,MATCH(L1763,Settings!$A$27:$A$36,0))),0))</f>
        <v>0</v>
      </c>
      <c r="V1763" s="38" t="n">
        <f aca="false">Q1763*U1763</f>
        <v>0</v>
      </c>
      <c r="W1763" s="41" t="str">
        <f aca="false">IF($M1763="","",IF(T1763="Overdue",IF(Settings!$B$8="Yes",Settings!$B$7,""),IF(ISNUMBER(R1763),DATE(YEAR(R1763),MONTH(R1763),1),"")))</f>
        <v/>
      </c>
      <c r="X1763" s="38" t="n">
        <f aca="false">IF(AND(OR(T1763="Backlog",T1763="Pipeline",T1763="Overdue"),ISNUMBER(W1763)),IF(W1763&lt;=Settings!$B$6,V1763,0),0)</f>
        <v>0</v>
      </c>
      <c r="Y1763" s="38" t="n">
        <f aca="false">IF(AND(OR(T1763="Backlog",T1763="Pipeline",T1763="Overdue"),ISNUMBER(W1763)),IF(W1763&lt;=Settings!$B$6,Q1763,0),0)</f>
        <v>0</v>
      </c>
      <c r="Z1763" s="38" t="n">
        <f aca="false">IF(Y1763=0,0,IF(T1763="Backlog",Q1763,Q1763*Dashboard!$C$10))</f>
        <v>0</v>
      </c>
      <c r="AA1763" s="37" t="n">
        <f aca="false">IF($N1763="",0,IF(COUNTIF(Dashboard!$C$13:$C$22,$N1763)&gt;0,1,0))</f>
        <v>0</v>
      </c>
      <c r="AB1763" s="37" t="str">
        <f aca="false">IF($N1763="","",IF(COUNTIF($N$8:$N1763,$N1763)=1,MAX($AB$7:$AB1762)+1,""))</f>
        <v/>
      </c>
    </row>
    <row r="1764" customFormat="false" ht="15" hidden="false" customHeight="false" outlineLevel="0" collapsed="false">
      <c r="L1764" s="37" t="str">
        <f aca="false">IF(INDEX($A1764:$J1764,$L$6)&lt;&gt;"",TRIM(LEFT(INDEX($A1764:$J1764,$L$6),FIND("(",INDEX($A1764:$J1764,$L$6)&amp;"(")-1)),L1763)</f>
        <v>Building Value Proposition</v>
      </c>
      <c r="M1764" s="37" t="str">
        <f aca="false">IF(INDEX($A1764:$J1764,$M$6)="","",INDEX($A1764:$J1764,$M$6)&amp;"")</f>
        <v/>
      </c>
      <c r="N1764" s="37" t="str">
        <f aca="false">IF($M1764="","",TRIM(INDEX($A1764:$J1764,$N$6)&amp;""))</f>
        <v/>
      </c>
      <c r="O1764" s="37" t="str">
        <f aca="false">IF($M1764="","",TRIM(INDEX($A1764:$J1764,$O$6)&amp;""))</f>
        <v/>
      </c>
      <c r="P1764" s="37" t="str">
        <f aca="false">IF($M1764="","",IFERROR(IF(INDEX(Settings!$B$41:$B$50,MATCH(O1764,Settings!$A$41:$A$50,0))&amp;""="","UNMAPPED",INDEX(Settings!$B$41:$B$50,MATCH(O1764,Settings!$A$41:$A$50,0))&amp;""),"UNMAPPED"))</f>
        <v/>
      </c>
      <c r="Q1764" s="38" t="n">
        <f aca="false">IF($M1764="",0,N(INDEX($A1764:$J1764,$Q$6)))</f>
        <v>0</v>
      </c>
      <c r="R1764" s="39" t="str">
        <f aca="false">IF($M1764="","",INDEX($A1764:$J1764,$R$6))</f>
        <v/>
      </c>
      <c r="S1764" s="37" t="str">
        <f aca="false">IF($M1764="","",IFERROR(INDEX(Settings!$B$27:$B$36,MATCH(L1764,Settings!$A$27:$A$36,0))&amp;"","UNMAPPED"))</f>
        <v/>
      </c>
      <c r="T1764" s="37" t="str">
        <f aca="false">IF($M1764="","",IF(NOT(ISNUMBER(R1764)),"NO DATE",IF(S1764="Won",IF(R1764&gt;Settings!$B$5,"Backlog","Delivered"),IF(S1764="Open",IF(R1764&gt;Settings!$B$5,"Pipeline","Overdue"),IF(S1764="Lost","Lost","UNMAPPED")))))</f>
        <v/>
      </c>
      <c r="U1764" s="40" t="n">
        <f aca="false">IF(T1764="Backlog",1,IF(OR(T1764="Pipeline",T1764="Overdue"),N(INDEX(Settings!$C$27:$C$36,MATCH(L1764,Settings!$A$27:$A$36,0))),0))</f>
        <v>0</v>
      </c>
      <c r="V1764" s="38" t="n">
        <f aca="false">Q1764*U1764</f>
        <v>0</v>
      </c>
      <c r="W1764" s="41" t="str">
        <f aca="false">IF($M1764="","",IF(T1764="Overdue",IF(Settings!$B$8="Yes",Settings!$B$7,""),IF(ISNUMBER(R1764),DATE(YEAR(R1764),MONTH(R1764),1),"")))</f>
        <v/>
      </c>
      <c r="X1764" s="38" t="n">
        <f aca="false">IF(AND(OR(T1764="Backlog",T1764="Pipeline",T1764="Overdue"),ISNUMBER(W1764)),IF(W1764&lt;=Settings!$B$6,V1764,0),0)</f>
        <v>0</v>
      </c>
      <c r="Y1764" s="38" t="n">
        <f aca="false">IF(AND(OR(T1764="Backlog",T1764="Pipeline",T1764="Overdue"),ISNUMBER(W1764)),IF(W1764&lt;=Settings!$B$6,Q1764,0),0)</f>
        <v>0</v>
      </c>
      <c r="Z1764" s="38" t="n">
        <f aca="false">IF(Y1764=0,0,IF(T1764="Backlog",Q1764,Q1764*Dashboard!$C$10))</f>
        <v>0</v>
      </c>
      <c r="AA1764" s="37" t="n">
        <f aca="false">IF($N1764="",0,IF(COUNTIF(Dashboard!$C$13:$C$22,$N1764)&gt;0,1,0))</f>
        <v>0</v>
      </c>
      <c r="AB1764" s="37" t="str">
        <f aca="false">IF($N1764="","",IF(COUNTIF($N$8:$N1764,$N1764)=1,MAX($AB$7:$AB1763)+1,""))</f>
        <v/>
      </c>
    </row>
    <row r="1765" customFormat="false" ht="15" hidden="false" customHeight="false" outlineLevel="0" collapsed="false">
      <c r="L1765" s="37" t="str">
        <f aca="false">IF(INDEX($A1765:$J1765,$L$6)&lt;&gt;"",TRIM(LEFT(INDEX($A1765:$J1765,$L$6),FIND("(",INDEX($A1765:$J1765,$L$6)&amp;"(")-1)),L1764)</f>
        <v>Building Value Proposition</v>
      </c>
      <c r="M1765" s="37" t="str">
        <f aca="false">IF(INDEX($A1765:$J1765,$M$6)="","",INDEX($A1765:$J1765,$M$6)&amp;"")</f>
        <v/>
      </c>
      <c r="N1765" s="37" t="str">
        <f aca="false">IF($M1765="","",TRIM(INDEX($A1765:$J1765,$N$6)&amp;""))</f>
        <v/>
      </c>
      <c r="O1765" s="37" t="str">
        <f aca="false">IF($M1765="","",TRIM(INDEX($A1765:$J1765,$O$6)&amp;""))</f>
        <v/>
      </c>
      <c r="P1765" s="37" t="str">
        <f aca="false">IF($M1765="","",IFERROR(IF(INDEX(Settings!$B$41:$B$50,MATCH(O1765,Settings!$A$41:$A$50,0))&amp;""="","UNMAPPED",INDEX(Settings!$B$41:$B$50,MATCH(O1765,Settings!$A$41:$A$50,0))&amp;""),"UNMAPPED"))</f>
        <v/>
      </c>
      <c r="Q1765" s="38" t="n">
        <f aca="false">IF($M1765="",0,N(INDEX($A1765:$J1765,$Q$6)))</f>
        <v>0</v>
      </c>
      <c r="R1765" s="39" t="str">
        <f aca="false">IF($M1765="","",INDEX($A1765:$J1765,$R$6))</f>
        <v/>
      </c>
      <c r="S1765" s="37" t="str">
        <f aca="false">IF($M1765="","",IFERROR(INDEX(Settings!$B$27:$B$36,MATCH(L1765,Settings!$A$27:$A$36,0))&amp;"","UNMAPPED"))</f>
        <v/>
      </c>
      <c r="T1765" s="37" t="str">
        <f aca="false">IF($M1765="","",IF(NOT(ISNUMBER(R1765)),"NO DATE",IF(S1765="Won",IF(R1765&gt;Settings!$B$5,"Backlog","Delivered"),IF(S1765="Open",IF(R1765&gt;Settings!$B$5,"Pipeline","Overdue"),IF(S1765="Lost","Lost","UNMAPPED")))))</f>
        <v/>
      </c>
      <c r="U1765" s="40" t="n">
        <f aca="false">IF(T1765="Backlog",1,IF(OR(T1765="Pipeline",T1765="Overdue"),N(INDEX(Settings!$C$27:$C$36,MATCH(L1765,Settings!$A$27:$A$36,0))),0))</f>
        <v>0</v>
      </c>
      <c r="V1765" s="38" t="n">
        <f aca="false">Q1765*U1765</f>
        <v>0</v>
      </c>
      <c r="W1765" s="41" t="str">
        <f aca="false">IF($M1765="","",IF(T1765="Overdue",IF(Settings!$B$8="Yes",Settings!$B$7,""),IF(ISNUMBER(R1765),DATE(YEAR(R1765),MONTH(R1765),1),"")))</f>
        <v/>
      </c>
      <c r="X1765" s="38" t="n">
        <f aca="false">IF(AND(OR(T1765="Backlog",T1765="Pipeline",T1765="Overdue"),ISNUMBER(W1765)),IF(W1765&lt;=Settings!$B$6,V1765,0),0)</f>
        <v>0</v>
      </c>
      <c r="Y1765" s="38" t="n">
        <f aca="false">IF(AND(OR(T1765="Backlog",T1765="Pipeline",T1765="Overdue"),ISNUMBER(W1765)),IF(W1765&lt;=Settings!$B$6,Q1765,0),0)</f>
        <v>0</v>
      </c>
      <c r="Z1765" s="38" t="n">
        <f aca="false">IF(Y1765=0,0,IF(T1765="Backlog",Q1765,Q1765*Dashboard!$C$10))</f>
        <v>0</v>
      </c>
      <c r="AA1765" s="37" t="n">
        <f aca="false">IF($N1765="",0,IF(COUNTIF(Dashboard!$C$13:$C$22,$N1765)&gt;0,1,0))</f>
        <v>0</v>
      </c>
      <c r="AB1765" s="37" t="str">
        <f aca="false">IF($N1765="","",IF(COUNTIF($N$8:$N1765,$N1765)=1,MAX($AB$7:$AB1764)+1,""))</f>
        <v/>
      </c>
    </row>
    <row r="1766" customFormat="false" ht="15" hidden="false" customHeight="false" outlineLevel="0" collapsed="false">
      <c r="L1766" s="37" t="str">
        <f aca="false">IF(INDEX($A1766:$J1766,$L$6)&lt;&gt;"",TRIM(LEFT(INDEX($A1766:$J1766,$L$6),FIND("(",INDEX($A1766:$J1766,$L$6)&amp;"(")-1)),L1765)</f>
        <v>Building Value Proposition</v>
      </c>
      <c r="M1766" s="37" t="str">
        <f aca="false">IF(INDEX($A1766:$J1766,$M$6)="","",INDEX($A1766:$J1766,$M$6)&amp;"")</f>
        <v/>
      </c>
      <c r="N1766" s="37" t="str">
        <f aca="false">IF($M1766="","",TRIM(INDEX($A1766:$J1766,$N$6)&amp;""))</f>
        <v/>
      </c>
      <c r="O1766" s="37" t="str">
        <f aca="false">IF($M1766="","",TRIM(INDEX($A1766:$J1766,$O$6)&amp;""))</f>
        <v/>
      </c>
      <c r="P1766" s="37" t="str">
        <f aca="false">IF($M1766="","",IFERROR(IF(INDEX(Settings!$B$41:$B$50,MATCH(O1766,Settings!$A$41:$A$50,0))&amp;""="","UNMAPPED",INDEX(Settings!$B$41:$B$50,MATCH(O1766,Settings!$A$41:$A$50,0))&amp;""),"UNMAPPED"))</f>
        <v/>
      </c>
      <c r="Q1766" s="38" t="n">
        <f aca="false">IF($M1766="",0,N(INDEX($A1766:$J1766,$Q$6)))</f>
        <v>0</v>
      </c>
      <c r="R1766" s="39" t="str">
        <f aca="false">IF($M1766="","",INDEX($A1766:$J1766,$R$6))</f>
        <v/>
      </c>
      <c r="S1766" s="37" t="str">
        <f aca="false">IF($M1766="","",IFERROR(INDEX(Settings!$B$27:$B$36,MATCH(L1766,Settings!$A$27:$A$36,0))&amp;"","UNMAPPED"))</f>
        <v/>
      </c>
      <c r="T1766" s="37" t="str">
        <f aca="false">IF($M1766="","",IF(NOT(ISNUMBER(R1766)),"NO DATE",IF(S1766="Won",IF(R1766&gt;Settings!$B$5,"Backlog","Delivered"),IF(S1766="Open",IF(R1766&gt;Settings!$B$5,"Pipeline","Overdue"),IF(S1766="Lost","Lost","UNMAPPED")))))</f>
        <v/>
      </c>
      <c r="U1766" s="40" t="n">
        <f aca="false">IF(T1766="Backlog",1,IF(OR(T1766="Pipeline",T1766="Overdue"),N(INDEX(Settings!$C$27:$C$36,MATCH(L1766,Settings!$A$27:$A$36,0))),0))</f>
        <v>0</v>
      </c>
      <c r="V1766" s="38" t="n">
        <f aca="false">Q1766*U1766</f>
        <v>0</v>
      </c>
      <c r="W1766" s="41" t="str">
        <f aca="false">IF($M1766="","",IF(T1766="Overdue",IF(Settings!$B$8="Yes",Settings!$B$7,""),IF(ISNUMBER(R1766),DATE(YEAR(R1766),MONTH(R1766),1),"")))</f>
        <v/>
      </c>
      <c r="X1766" s="38" t="n">
        <f aca="false">IF(AND(OR(T1766="Backlog",T1766="Pipeline",T1766="Overdue"),ISNUMBER(W1766)),IF(W1766&lt;=Settings!$B$6,V1766,0),0)</f>
        <v>0</v>
      </c>
      <c r="Y1766" s="38" t="n">
        <f aca="false">IF(AND(OR(T1766="Backlog",T1766="Pipeline",T1766="Overdue"),ISNUMBER(W1766)),IF(W1766&lt;=Settings!$B$6,Q1766,0),0)</f>
        <v>0</v>
      </c>
      <c r="Z1766" s="38" t="n">
        <f aca="false">IF(Y1766=0,0,IF(T1766="Backlog",Q1766,Q1766*Dashboard!$C$10))</f>
        <v>0</v>
      </c>
      <c r="AA1766" s="37" t="n">
        <f aca="false">IF($N1766="",0,IF(COUNTIF(Dashboard!$C$13:$C$22,$N1766)&gt;0,1,0))</f>
        <v>0</v>
      </c>
      <c r="AB1766" s="37" t="str">
        <f aca="false">IF($N1766="","",IF(COUNTIF($N$8:$N1766,$N1766)=1,MAX($AB$7:$AB1765)+1,""))</f>
        <v/>
      </c>
    </row>
    <row r="1767" customFormat="false" ht="15" hidden="false" customHeight="false" outlineLevel="0" collapsed="false">
      <c r="L1767" s="37" t="str">
        <f aca="false">IF(INDEX($A1767:$J1767,$L$6)&lt;&gt;"",TRIM(LEFT(INDEX($A1767:$J1767,$L$6),FIND("(",INDEX($A1767:$J1767,$L$6)&amp;"(")-1)),L1766)</f>
        <v>Building Value Proposition</v>
      </c>
      <c r="M1767" s="37" t="str">
        <f aca="false">IF(INDEX($A1767:$J1767,$M$6)="","",INDEX($A1767:$J1767,$M$6)&amp;"")</f>
        <v/>
      </c>
      <c r="N1767" s="37" t="str">
        <f aca="false">IF($M1767="","",TRIM(INDEX($A1767:$J1767,$N$6)&amp;""))</f>
        <v/>
      </c>
      <c r="O1767" s="37" t="str">
        <f aca="false">IF($M1767="","",TRIM(INDEX($A1767:$J1767,$O$6)&amp;""))</f>
        <v/>
      </c>
      <c r="P1767" s="37" t="str">
        <f aca="false">IF($M1767="","",IFERROR(IF(INDEX(Settings!$B$41:$B$50,MATCH(O1767,Settings!$A$41:$A$50,0))&amp;""="","UNMAPPED",INDEX(Settings!$B$41:$B$50,MATCH(O1767,Settings!$A$41:$A$50,0))&amp;""),"UNMAPPED"))</f>
        <v/>
      </c>
      <c r="Q1767" s="38" t="n">
        <f aca="false">IF($M1767="",0,N(INDEX($A1767:$J1767,$Q$6)))</f>
        <v>0</v>
      </c>
      <c r="R1767" s="39" t="str">
        <f aca="false">IF($M1767="","",INDEX($A1767:$J1767,$R$6))</f>
        <v/>
      </c>
      <c r="S1767" s="37" t="str">
        <f aca="false">IF($M1767="","",IFERROR(INDEX(Settings!$B$27:$B$36,MATCH(L1767,Settings!$A$27:$A$36,0))&amp;"","UNMAPPED"))</f>
        <v/>
      </c>
      <c r="T1767" s="37" t="str">
        <f aca="false">IF($M1767="","",IF(NOT(ISNUMBER(R1767)),"NO DATE",IF(S1767="Won",IF(R1767&gt;Settings!$B$5,"Backlog","Delivered"),IF(S1767="Open",IF(R1767&gt;Settings!$B$5,"Pipeline","Overdue"),IF(S1767="Lost","Lost","UNMAPPED")))))</f>
        <v/>
      </c>
      <c r="U1767" s="40" t="n">
        <f aca="false">IF(T1767="Backlog",1,IF(OR(T1767="Pipeline",T1767="Overdue"),N(INDEX(Settings!$C$27:$C$36,MATCH(L1767,Settings!$A$27:$A$36,0))),0))</f>
        <v>0</v>
      </c>
      <c r="V1767" s="38" t="n">
        <f aca="false">Q1767*U1767</f>
        <v>0</v>
      </c>
      <c r="W1767" s="41" t="str">
        <f aca="false">IF($M1767="","",IF(T1767="Overdue",IF(Settings!$B$8="Yes",Settings!$B$7,""),IF(ISNUMBER(R1767),DATE(YEAR(R1767),MONTH(R1767),1),"")))</f>
        <v/>
      </c>
      <c r="X1767" s="38" t="n">
        <f aca="false">IF(AND(OR(T1767="Backlog",T1767="Pipeline",T1767="Overdue"),ISNUMBER(W1767)),IF(W1767&lt;=Settings!$B$6,V1767,0),0)</f>
        <v>0</v>
      </c>
      <c r="Y1767" s="38" t="n">
        <f aca="false">IF(AND(OR(T1767="Backlog",T1767="Pipeline",T1767="Overdue"),ISNUMBER(W1767)),IF(W1767&lt;=Settings!$B$6,Q1767,0),0)</f>
        <v>0</v>
      </c>
      <c r="Z1767" s="38" t="n">
        <f aca="false">IF(Y1767=0,0,IF(T1767="Backlog",Q1767,Q1767*Dashboard!$C$10))</f>
        <v>0</v>
      </c>
      <c r="AA1767" s="37" t="n">
        <f aca="false">IF($N1767="",0,IF(COUNTIF(Dashboard!$C$13:$C$22,$N1767)&gt;0,1,0))</f>
        <v>0</v>
      </c>
      <c r="AB1767" s="37" t="str">
        <f aca="false">IF($N1767="","",IF(COUNTIF($N$8:$N1767,$N1767)=1,MAX($AB$7:$AB1766)+1,""))</f>
        <v/>
      </c>
    </row>
    <row r="1768" customFormat="false" ht="15" hidden="false" customHeight="false" outlineLevel="0" collapsed="false">
      <c r="L1768" s="37" t="str">
        <f aca="false">IF(INDEX($A1768:$J1768,$L$6)&lt;&gt;"",TRIM(LEFT(INDEX($A1768:$J1768,$L$6),FIND("(",INDEX($A1768:$J1768,$L$6)&amp;"(")-1)),L1767)</f>
        <v>Building Value Proposition</v>
      </c>
      <c r="M1768" s="37" t="str">
        <f aca="false">IF(INDEX($A1768:$J1768,$M$6)="","",INDEX($A1768:$J1768,$M$6)&amp;"")</f>
        <v/>
      </c>
      <c r="N1768" s="37" t="str">
        <f aca="false">IF($M1768="","",TRIM(INDEX($A1768:$J1768,$N$6)&amp;""))</f>
        <v/>
      </c>
      <c r="O1768" s="37" t="str">
        <f aca="false">IF($M1768="","",TRIM(INDEX($A1768:$J1768,$O$6)&amp;""))</f>
        <v/>
      </c>
      <c r="P1768" s="37" t="str">
        <f aca="false">IF($M1768="","",IFERROR(IF(INDEX(Settings!$B$41:$B$50,MATCH(O1768,Settings!$A$41:$A$50,0))&amp;""="","UNMAPPED",INDEX(Settings!$B$41:$B$50,MATCH(O1768,Settings!$A$41:$A$50,0))&amp;""),"UNMAPPED"))</f>
        <v/>
      </c>
      <c r="Q1768" s="38" t="n">
        <f aca="false">IF($M1768="",0,N(INDEX($A1768:$J1768,$Q$6)))</f>
        <v>0</v>
      </c>
      <c r="R1768" s="39" t="str">
        <f aca="false">IF($M1768="","",INDEX($A1768:$J1768,$R$6))</f>
        <v/>
      </c>
      <c r="S1768" s="37" t="str">
        <f aca="false">IF($M1768="","",IFERROR(INDEX(Settings!$B$27:$B$36,MATCH(L1768,Settings!$A$27:$A$36,0))&amp;"","UNMAPPED"))</f>
        <v/>
      </c>
      <c r="T1768" s="37" t="str">
        <f aca="false">IF($M1768="","",IF(NOT(ISNUMBER(R1768)),"NO DATE",IF(S1768="Won",IF(R1768&gt;Settings!$B$5,"Backlog","Delivered"),IF(S1768="Open",IF(R1768&gt;Settings!$B$5,"Pipeline","Overdue"),IF(S1768="Lost","Lost","UNMAPPED")))))</f>
        <v/>
      </c>
      <c r="U1768" s="40" t="n">
        <f aca="false">IF(T1768="Backlog",1,IF(OR(T1768="Pipeline",T1768="Overdue"),N(INDEX(Settings!$C$27:$C$36,MATCH(L1768,Settings!$A$27:$A$36,0))),0))</f>
        <v>0</v>
      </c>
      <c r="V1768" s="38" t="n">
        <f aca="false">Q1768*U1768</f>
        <v>0</v>
      </c>
      <c r="W1768" s="41" t="str">
        <f aca="false">IF($M1768="","",IF(T1768="Overdue",IF(Settings!$B$8="Yes",Settings!$B$7,""),IF(ISNUMBER(R1768),DATE(YEAR(R1768),MONTH(R1768),1),"")))</f>
        <v/>
      </c>
      <c r="X1768" s="38" t="n">
        <f aca="false">IF(AND(OR(T1768="Backlog",T1768="Pipeline",T1768="Overdue"),ISNUMBER(W1768)),IF(W1768&lt;=Settings!$B$6,V1768,0),0)</f>
        <v>0</v>
      </c>
      <c r="Y1768" s="38" t="n">
        <f aca="false">IF(AND(OR(T1768="Backlog",T1768="Pipeline",T1768="Overdue"),ISNUMBER(W1768)),IF(W1768&lt;=Settings!$B$6,Q1768,0),0)</f>
        <v>0</v>
      </c>
      <c r="Z1768" s="38" t="n">
        <f aca="false">IF(Y1768=0,0,IF(T1768="Backlog",Q1768,Q1768*Dashboard!$C$10))</f>
        <v>0</v>
      </c>
      <c r="AA1768" s="37" t="n">
        <f aca="false">IF($N1768="",0,IF(COUNTIF(Dashboard!$C$13:$C$22,$N1768)&gt;0,1,0))</f>
        <v>0</v>
      </c>
      <c r="AB1768" s="37" t="str">
        <f aca="false">IF($N1768="","",IF(COUNTIF($N$8:$N1768,$N1768)=1,MAX($AB$7:$AB1767)+1,""))</f>
        <v/>
      </c>
    </row>
    <row r="1769" customFormat="false" ht="15" hidden="false" customHeight="false" outlineLevel="0" collapsed="false">
      <c r="L1769" s="37" t="str">
        <f aca="false">IF(INDEX($A1769:$J1769,$L$6)&lt;&gt;"",TRIM(LEFT(INDEX($A1769:$J1769,$L$6),FIND("(",INDEX($A1769:$J1769,$L$6)&amp;"(")-1)),L1768)</f>
        <v>Building Value Proposition</v>
      </c>
      <c r="M1769" s="37" t="str">
        <f aca="false">IF(INDEX($A1769:$J1769,$M$6)="","",INDEX($A1769:$J1769,$M$6)&amp;"")</f>
        <v/>
      </c>
      <c r="N1769" s="37" t="str">
        <f aca="false">IF($M1769="","",TRIM(INDEX($A1769:$J1769,$N$6)&amp;""))</f>
        <v/>
      </c>
      <c r="O1769" s="37" t="str">
        <f aca="false">IF($M1769="","",TRIM(INDEX($A1769:$J1769,$O$6)&amp;""))</f>
        <v/>
      </c>
      <c r="P1769" s="37" t="str">
        <f aca="false">IF($M1769="","",IFERROR(IF(INDEX(Settings!$B$41:$B$50,MATCH(O1769,Settings!$A$41:$A$50,0))&amp;""="","UNMAPPED",INDEX(Settings!$B$41:$B$50,MATCH(O1769,Settings!$A$41:$A$50,0))&amp;""),"UNMAPPED"))</f>
        <v/>
      </c>
      <c r="Q1769" s="38" t="n">
        <f aca="false">IF($M1769="",0,N(INDEX($A1769:$J1769,$Q$6)))</f>
        <v>0</v>
      </c>
      <c r="R1769" s="39" t="str">
        <f aca="false">IF($M1769="","",INDEX($A1769:$J1769,$R$6))</f>
        <v/>
      </c>
      <c r="S1769" s="37" t="str">
        <f aca="false">IF($M1769="","",IFERROR(INDEX(Settings!$B$27:$B$36,MATCH(L1769,Settings!$A$27:$A$36,0))&amp;"","UNMAPPED"))</f>
        <v/>
      </c>
      <c r="T1769" s="37" t="str">
        <f aca="false">IF($M1769="","",IF(NOT(ISNUMBER(R1769)),"NO DATE",IF(S1769="Won",IF(R1769&gt;Settings!$B$5,"Backlog","Delivered"),IF(S1769="Open",IF(R1769&gt;Settings!$B$5,"Pipeline","Overdue"),IF(S1769="Lost","Lost","UNMAPPED")))))</f>
        <v/>
      </c>
      <c r="U1769" s="40" t="n">
        <f aca="false">IF(T1769="Backlog",1,IF(OR(T1769="Pipeline",T1769="Overdue"),N(INDEX(Settings!$C$27:$C$36,MATCH(L1769,Settings!$A$27:$A$36,0))),0))</f>
        <v>0</v>
      </c>
      <c r="V1769" s="38" t="n">
        <f aca="false">Q1769*U1769</f>
        <v>0</v>
      </c>
      <c r="W1769" s="41" t="str">
        <f aca="false">IF($M1769="","",IF(T1769="Overdue",IF(Settings!$B$8="Yes",Settings!$B$7,""),IF(ISNUMBER(R1769),DATE(YEAR(R1769),MONTH(R1769),1),"")))</f>
        <v/>
      </c>
      <c r="X1769" s="38" t="n">
        <f aca="false">IF(AND(OR(T1769="Backlog",T1769="Pipeline",T1769="Overdue"),ISNUMBER(W1769)),IF(W1769&lt;=Settings!$B$6,V1769,0),0)</f>
        <v>0</v>
      </c>
      <c r="Y1769" s="38" t="n">
        <f aca="false">IF(AND(OR(T1769="Backlog",T1769="Pipeline",T1769="Overdue"),ISNUMBER(W1769)),IF(W1769&lt;=Settings!$B$6,Q1769,0),0)</f>
        <v>0</v>
      </c>
      <c r="Z1769" s="38" t="n">
        <f aca="false">IF(Y1769=0,0,IF(T1769="Backlog",Q1769,Q1769*Dashboard!$C$10))</f>
        <v>0</v>
      </c>
      <c r="AA1769" s="37" t="n">
        <f aca="false">IF($N1769="",0,IF(COUNTIF(Dashboard!$C$13:$C$22,$N1769)&gt;0,1,0))</f>
        <v>0</v>
      </c>
      <c r="AB1769" s="37" t="str">
        <f aca="false">IF($N1769="","",IF(COUNTIF($N$8:$N1769,$N1769)=1,MAX($AB$7:$AB1768)+1,""))</f>
        <v/>
      </c>
    </row>
    <row r="1770" customFormat="false" ht="15" hidden="false" customHeight="false" outlineLevel="0" collapsed="false">
      <c r="L1770" s="37" t="str">
        <f aca="false">IF(INDEX($A1770:$J1770,$L$6)&lt;&gt;"",TRIM(LEFT(INDEX($A1770:$J1770,$L$6),FIND("(",INDEX($A1770:$J1770,$L$6)&amp;"(")-1)),L1769)</f>
        <v>Building Value Proposition</v>
      </c>
      <c r="M1770" s="37" t="str">
        <f aca="false">IF(INDEX($A1770:$J1770,$M$6)="","",INDEX($A1770:$J1770,$M$6)&amp;"")</f>
        <v/>
      </c>
      <c r="N1770" s="37" t="str">
        <f aca="false">IF($M1770="","",TRIM(INDEX($A1770:$J1770,$N$6)&amp;""))</f>
        <v/>
      </c>
      <c r="O1770" s="37" t="str">
        <f aca="false">IF($M1770="","",TRIM(INDEX($A1770:$J1770,$O$6)&amp;""))</f>
        <v/>
      </c>
      <c r="P1770" s="37" t="str">
        <f aca="false">IF($M1770="","",IFERROR(IF(INDEX(Settings!$B$41:$B$50,MATCH(O1770,Settings!$A$41:$A$50,0))&amp;""="","UNMAPPED",INDEX(Settings!$B$41:$B$50,MATCH(O1770,Settings!$A$41:$A$50,0))&amp;""),"UNMAPPED"))</f>
        <v/>
      </c>
      <c r="Q1770" s="38" t="n">
        <f aca="false">IF($M1770="",0,N(INDEX($A1770:$J1770,$Q$6)))</f>
        <v>0</v>
      </c>
      <c r="R1770" s="39" t="str">
        <f aca="false">IF($M1770="","",INDEX($A1770:$J1770,$R$6))</f>
        <v/>
      </c>
      <c r="S1770" s="37" t="str">
        <f aca="false">IF($M1770="","",IFERROR(INDEX(Settings!$B$27:$B$36,MATCH(L1770,Settings!$A$27:$A$36,0))&amp;"","UNMAPPED"))</f>
        <v/>
      </c>
      <c r="T1770" s="37" t="str">
        <f aca="false">IF($M1770="","",IF(NOT(ISNUMBER(R1770)),"NO DATE",IF(S1770="Won",IF(R1770&gt;Settings!$B$5,"Backlog","Delivered"),IF(S1770="Open",IF(R1770&gt;Settings!$B$5,"Pipeline","Overdue"),IF(S1770="Lost","Lost","UNMAPPED")))))</f>
        <v/>
      </c>
      <c r="U1770" s="40" t="n">
        <f aca="false">IF(T1770="Backlog",1,IF(OR(T1770="Pipeline",T1770="Overdue"),N(INDEX(Settings!$C$27:$C$36,MATCH(L1770,Settings!$A$27:$A$36,0))),0))</f>
        <v>0</v>
      </c>
      <c r="V1770" s="38" t="n">
        <f aca="false">Q1770*U1770</f>
        <v>0</v>
      </c>
      <c r="W1770" s="41" t="str">
        <f aca="false">IF($M1770="","",IF(T1770="Overdue",IF(Settings!$B$8="Yes",Settings!$B$7,""),IF(ISNUMBER(R1770),DATE(YEAR(R1770),MONTH(R1770),1),"")))</f>
        <v/>
      </c>
      <c r="X1770" s="38" t="n">
        <f aca="false">IF(AND(OR(T1770="Backlog",T1770="Pipeline",T1770="Overdue"),ISNUMBER(W1770)),IF(W1770&lt;=Settings!$B$6,V1770,0),0)</f>
        <v>0</v>
      </c>
      <c r="Y1770" s="38" t="n">
        <f aca="false">IF(AND(OR(T1770="Backlog",T1770="Pipeline",T1770="Overdue"),ISNUMBER(W1770)),IF(W1770&lt;=Settings!$B$6,Q1770,0),0)</f>
        <v>0</v>
      </c>
      <c r="Z1770" s="38" t="n">
        <f aca="false">IF(Y1770=0,0,IF(T1770="Backlog",Q1770,Q1770*Dashboard!$C$10))</f>
        <v>0</v>
      </c>
      <c r="AA1770" s="37" t="n">
        <f aca="false">IF($N1770="",0,IF(COUNTIF(Dashboard!$C$13:$C$22,$N1770)&gt;0,1,0))</f>
        <v>0</v>
      </c>
      <c r="AB1770" s="37" t="str">
        <f aca="false">IF($N1770="","",IF(COUNTIF($N$8:$N1770,$N1770)=1,MAX($AB$7:$AB1769)+1,""))</f>
        <v/>
      </c>
    </row>
    <row r="1771" customFormat="false" ht="15" hidden="false" customHeight="false" outlineLevel="0" collapsed="false">
      <c r="L1771" s="37" t="str">
        <f aca="false">IF(INDEX($A1771:$J1771,$L$6)&lt;&gt;"",TRIM(LEFT(INDEX($A1771:$J1771,$L$6),FIND("(",INDEX($A1771:$J1771,$L$6)&amp;"(")-1)),L1770)</f>
        <v>Building Value Proposition</v>
      </c>
      <c r="M1771" s="37" t="str">
        <f aca="false">IF(INDEX($A1771:$J1771,$M$6)="","",INDEX($A1771:$J1771,$M$6)&amp;"")</f>
        <v/>
      </c>
      <c r="N1771" s="37" t="str">
        <f aca="false">IF($M1771="","",TRIM(INDEX($A1771:$J1771,$N$6)&amp;""))</f>
        <v/>
      </c>
      <c r="O1771" s="37" t="str">
        <f aca="false">IF($M1771="","",TRIM(INDEX($A1771:$J1771,$O$6)&amp;""))</f>
        <v/>
      </c>
      <c r="P1771" s="37" t="str">
        <f aca="false">IF($M1771="","",IFERROR(IF(INDEX(Settings!$B$41:$B$50,MATCH(O1771,Settings!$A$41:$A$50,0))&amp;""="","UNMAPPED",INDEX(Settings!$B$41:$B$50,MATCH(O1771,Settings!$A$41:$A$50,0))&amp;""),"UNMAPPED"))</f>
        <v/>
      </c>
      <c r="Q1771" s="38" t="n">
        <f aca="false">IF($M1771="",0,N(INDEX($A1771:$J1771,$Q$6)))</f>
        <v>0</v>
      </c>
      <c r="R1771" s="39" t="str">
        <f aca="false">IF($M1771="","",INDEX($A1771:$J1771,$R$6))</f>
        <v/>
      </c>
      <c r="S1771" s="37" t="str">
        <f aca="false">IF($M1771="","",IFERROR(INDEX(Settings!$B$27:$B$36,MATCH(L1771,Settings!$A$27:$A$36,0))&amp;"","UNMAPPED"))</f>
        <v/>
      </c>
      <c r="T1771" s="37" t="str">
        <f aca="false">IF($M1771="","",IF(NOT(ISNUMBER(R1771)),"NO DATE",IF(S1771="Won",IF(R1771&gt;Settings!$B$5,"Backlog","Delivered"),IF(S1771="Open",IF(R1771&gt;Settings!$B$5,"Pipeline","Overdue"),IF(S1771="Lost","Lost","UNMAPPED")))))</f>
        <v/>
      </c>
      <c r="U1771" s="40" t="n">
        <f aca="false">IF(T1771="Backlog",1,IF(OR(T1771="Pipeline",T1771="Overdue"),N(INDEX(Settings!$C$27:$C$36,MATCH(L1771,Settings!$A$27:$A$36,0))),0))</f>
        <v>0</v>
      </c>
      <c r="V1771" s="38" t="n">
        <f aca="false">Q1771*U1771</f>
        <v>0</v>
      </c>
      <c r="W1771" s="41" t="str">
        <f aca="false">IF($M1771="","",IF(T1771="Overdue",IF(Settings!$B$8="Yes",Settings!$B$7,""),IF(ISNUMBER(R1771),DATE(YEAR(R1771),MONTH(R1771),1),"")))</f>
        <v/>
      </c>
      <c r="X1771" s="38" t="n">
        <f aca="false">IF(AND(OR(T1771="Backlog",T1771="Pipeline",T1771="Overdue"),ISNUMBER(W1771)),IF(W1771&lt;=Settings!$B$6,V1771,0),0)</f>
        <v>0</v>
      </c>
      <c r="Y1771" s="38" t="n">
        <f aca="false">IF(AND(OR(T1771="Backlog",T1771="Pipeline",T1771="Overdue"),ISNUMBER(W1771)),IF(W1771&lt;=Settings!$B$6,Q1771,0),0)</f>
        <v>0</v>
      </c>
      <c r="Z1771" s="38" t="n">
        <f aca="false">IF(Y1771=0,0,IF(T1771="Backlog",Q1771,Q1771*Dashboard!$C$10))</f>
        <v>0</v>
      </c>
      <c r="AA1771" s="37" t="n">
        <f aca="false">IF($N1771="",0,IF(COUNTIF(Dashboard!$C$13:$C$22,$N1771)&gt;0,1,0))</f>
        <v>0</v>
      </c>
      <c r="AB1771" s="37" t="str">
        <f aca="false">IF($N1771="","",IF(COUNTIF($N$8:$N1771,$N1771)=1,MAX($AB$7:$AB1770)+1,""))</f>
        <v/>
      </c>
    </row>
    <row r="1772" customFormat="false" ht="15" hidden="false" customHeight="false" outlineLevel="0" collapsed="false">
      <c r="L1772" s="37" t="str">
        <f aca="false">IF(INDEX($A1772:$J1772,$L$6)&lt;&gt;"",TRIM(LEFT(INDEX($A1772:$J1772,$L$6),FIND("(",INDEX($A1772:$J1772,$L$6)&amp;"(")-1)),L1771)</f>
        <v>Building Value Proposition</v>
      </c>
      <c r="M1772" s="37" t="str">
        <f aca="false">IF(INDEX($A1772:$J1772,$M$6)="","",INDEX($A1772:$J1772,$M$6)&amp;"")</f>
        <v/>
      </c>
      <c r="N1772" s="37" t="str">
        <f aca="false">IF($M1772="","",TRIM(INDEX($A1772:$J1772,$N$6)&amp;""))</f>
        <v/>
      </c>
      <c r="O1772" s="37" t="str">
        <f aca="false">IF($M1772="","",TRIM(INDEX($A1772:$J1772,$O$6)&amp;""))</f>
        <v/>
      </c>
      <c r="P1772" s="37" t="str">
        <f aca="false">IF($M1772="","",IFERROR(IF(INDEX(Settings!$B$41:$B$50,MATCH(O1772,Settings!$A$41:$A$50,0))&amp;""="","UNMAPPED",INDEX(Settings!$B$41:$B$50,MATCH(O1772,Settings!$A$41:$A$50,0))&amp;""),"UNMAPPED"))</f>
        <v/>
      </c>
      <c r="Q1772" s="38" t="n">
        <f aca="false">IF($M1772="",0,N(INDEX($A1772:$J1772,$Q$6)))</f>
        <v>0</v>
      </c>
      <c r="R1772" s="39" t="str">
        <f aca="false">IF($M1772="","",INDEX($A1772:$J1772,$R$6))</f>
        <v/>
      </c>
      <c r="S1772" s="37" t="str">
        <f aca="false">IF($M1772="","",IFERROR(INDEX(Settings!$B$27:$B$36,MATCH(L1772,Settings!$A$27:$A$36,0))&amp;"","UNMAPPED"))</f>
        <v/>
      </c>
      <c r="T1772" s="37" t="str">
        <f aca="false">IF($M1772="","",IF(NOT(ISNUMBER(R1772)),"NO DATE",IF(S1772="Won",IF(R1772&gt;Settings!$B$5,"Backlog","Delivered"),IF(S1772="Open",IF(R1772&gt;Settings!$B$5,"Pipeline","Overdue"),IF(S1772="Lost","Lost","UNMAPPED")))))</f>
        <v/>
      </c>
      <c r="U1772" s="40" t="n">
        <f aca="false">IF(T1772="Backlog",1,IF(OR(T1772="Pipeline",T1772="Overdue"),N(INDEX(Settings!$C$27:$C$36,MATCH(L1772,Settings!$A$27:$A$36,0))),0))</f>
        <v>0</v>
      </c>
      <c r="V1772" s="38" t="n">
        <f aca="false">Q1772*U1772</f>
        <v>0</v>
      </c>
      <c r="W1772" s="41" t="str">
        <f aca="false">IF($M1772="","",IF(T1772="Overdue",IF(Settings!$B$8="Yes",Settings!$B$7,""),IF(ISNUMBER(R1772),DATE(YEAR(R1772),MONTH(R1772),1),"")))</f>
        <v/>
      </c>
      <c r="X1772" s="38" t="n">
        <f aca="false">IF(AND(OR(T1772="Backlog",T1772="Pipeline",T1772="Overdue"),ISNUMBER(W1772)),IF(W1772&lt;=Settings!$B$6,V1772,0),0)</f>
        <v>0</v>
      </c>
      <c r="Y1772" s="38" t="n">
        <f aca="false">IF(AND(OR(T1772="Backlog",T1772="Pipeline",T1772="Overdue"),ISNUMBER(W1772)),IF(W1772&lt;=Settings!$B$6,Q1772,0),0)</f>
        <v>0</v>
      </c>
      <c r="Z1772" s="38" t="n">
        <f aca="false">IF(Y1772=0,0,IF(T1772="Backlog",Q1772,Q1772*Dashboard!$C$10))</f>
        <v>0</v>
      </c>
      <c r="AA1772" s="37" t="n">
        <f aca="false">IF($N1772="",0,IF(COUNTIF(Dashboard!$C$13:$C$22,$N1772)&gt;0,1,0))</f>
        <v>0</v>
      </c>
      <c r="AB1772" s="37" t="str">
        <f aca="false">IF($N1772="","",IF(COUNTIF($N$8:$N1772,$N1772)=1,MAX($AB$7:$AB1771)+1,""))</f>
        <v/>
      </c>
    </row>
    <row r="1773" customFormat="false" ht="15" hidden="false" customHeight="false" outlineLevel="0" collapsed="false">
      <c r="L1773" s="37" t="str">
        <f aca="false">IF(INDEX($A1773:$J1773,$L$6)&lt;&gt;"",TRIM(LEFT(INDEX($A1773:$J1773,$L$6),FIND("(",INDEX($A1773:$J1773,$L$6)&amp;"(")-1)),L1772)</f>
        <v>Building Value Proposition</v>
      </c>
      <c r="M1773" s="37" t="str">
        <f aca="false">IF(INDEX($A1773:$J1773,$M$6)="","",INDEX($A1773:$J1773,$M$6)&amp;"")</f>
        <v/>
      </c>
      <c r="N1773" s="37" t="str">
        <f aca="false">IF($M1773="","",TRIM(INDEX($A1773:$J1773,$N$6)&amp;""))</f>
        <v/>
      </c>
      <c r="O1773" s="37" t="str">
        <f aca="false">IF($M1773="","",TRIM(INDEX($A1773:$J1773,$O$6)&amp;""))</f>
        <v/>
      </c>
      <c r="P1773" s="37" t="str">
        <f aca="false">IF($M1773="","",IFERROR(IF(INDEX(Settings!$B$41:$B$50,MATCH(O1773,Settings!$A$41:$A$50,0))&amp;""="","UNMAPPED",INDEX(Settings!$B$41:$B$50,MATCH(O1773,Settings!$A$41:$A$50,0))&amp;""),"UNMAPPED"))</f>
        <v/>
      </c>
      <c r="Q1773" s="38" t="n">
        <f aca="false">IF($M1773="",0,N(INDEX($A1773:$J1773,$Q$6)))</f>
        <v>0</v>
      </c>
      <c r="R1773" s="39" t="str">
        <f aca="false">IF($M1773="","",INDEX($A1773:$J1773,$R$6))</f>
        <v/>
      </c>
      <c r="S1773" s="37" t="str">
        <f aca="false">IF($M1773="","",IFERROR(INDEX(Settings!$B$27:$B$36,MATCH(L1773,Settings!$A$27:$A$36,0))&amp;"","UNMAPPED"))</f>
        <v/>
      </c>
      <c r="T1773" s="37" t="str">
        <f aca="false">IF($M1773="","",IF(NOT(ISNUMBER(R1773)),"NO DATE",IF(S1773="Won",IF(R1773&gt;Settings!$B$5,"Backlog","Delivered"),IF(S1773="Open",IF(R1773&gt;Settings!$B$5,"Pipeline","Overdue"),IF(S1773="Lost","Lost","UNMAPPED")))))</f>
        <v/>
      </c>
      <c r="U1773" s="40" t="n">
        <f aca="false">IF(T1773="Backlog",1,IF(OR(T1773="Pipeline",T1773="Overdue"),N(INDEX(Settings!$C$27:$C$36,MATCH(L1773,Settings!$A$27:$A$36,0))),0))</f>
        <v>0</v>
      </c>
      <c r="V1773" s="38" t="n">
        <f aca="false">Q1773*U1773</f>
        <v>0</v>
      </c>
      <c r="W1773" s="41" t="str">
        <f aca="false">IF($M1773="","",IF(T1773="Overdue",IF(Settings!$B$8="Yes",Settings!$B$7,""),IF(ISNUMBER(R1773),DATE(YEAR(R1773),MONTH(R1773),1),"")))</f>
        <v/>
      </c>
      <c r="X1773" s="38" t="n">
        <f aca="false">IF(AND(OR(T1773="Backlog",T1773="Pipeline",T1773="Overdue"),ISNUMBER(W1773)),IF(W1773&lt;=Settings!$B$6,V1773,0),0)</f>
        <v>0</v>
      </c>
      <c r="Y1773" s="38" t="n">
        <f aca="false">IF(AND(OR(T1773="Backlog",T1773="Pipeline",T1773="Overdue"),ISNUMBER(W1773)),IF(W1773&lt;=Settings!$B$6,Q1773,0),0)</f>
        <v>0</v>
      </c>
      <c r="Z1773" s="38" t="n">
        <f aca="false">IF(Y1773=0,0,IF(T1773="Backlog",Q1773,Q1773*Dashboard!$C$10))</f>
        <v>0</v>
      </c>
      <c r="AA1773" s="37" t="n">
        <f aca="false">IF($N1773="",0,IF(COUNTIF(Dashboard!$C$13:$C$22,$N1773)&gt;0,1,0))</f>
        <v>0</v>
      </c>
      <c r="AB1773" s="37" t="str">
        <f aca="false">IF($N1773="","",IF(COUNTIF($N$8:$N1773,$N1773)=1,MAX($AB$7:$AB1772)+1,""))</f>
        <v/>
      </c>
    </row>
    <row r="1774" customFormat="false" ht="15" hidden="false" customHeight="false" outlineLevel="0" collapsed="false">
      <c r="L1774" s="37" t="str">
        <f aca="false">IF(INDEX($A1774:$J1774,$L$6)&lt;&gt;"",TRIM(LEFT(INDEX($A1774:$J1774,$L$6),FIND("(",INDEX($A1774:$J1774,$L$6)&amp;"(")-1)),L1773)</f>
        <v>Building Value Proposition</v>
      </c>
      <c r="M1774" s="37" t="str">
        <f aca="false">IF(INDEX($A1774:$J1774,$M$6)="","",INDEX($A1774:$J1774,$M$6)&amp;"")</f>
        <v/>
      </c>
      <c r="N1774" s="37" t="str">
        <f aca="false">IF($M1774="","",TRIM(INDEX($A1774:$J1774,$N$6)&amp;""))</f>
        <v/>
      </c>
      <c r="O1774" s="37" t="str">
        <f aca="false">IF($M1774="","",TRIM(INDEX($A1774:$J1774,$O$6)&amp;""))</f>
        <v/>
      </c>
      <c r="P1774" s="37" t="str">
        <f aca="false">IF($M1774="","",IFERROR(IF(INDEX(Settings!$B$41:$B$50,MATCH(O1774,Settings!$A$41:$A$50,0))&amp;""="","UNMAPPED",INDEX(Settings!$B$41:$B$50,MATCH(O1774,Settings!$A$41:$A$50,0))&amp;""),"UNMAPPED"))</f>
        <v/>
      </c>
      <c r="Q1774" s="38" t="n">
        <f aca="false">IF($M1774="",0,N(INDEX($A1774:$J1774,$Q$6)))</f>
        <v>0</v>
      </c>
      <c r="R1774" s="39" t="str">
        <f aca="false">IF($M1774="","",INDEX($A1774:$J1774,$R$6))</f>
        <v/>
      </c>
      <c r="S1774" s="37" t="str">
        <f aca="false">IF($M1774="","",IFERROR(INDEX(Settings!$B$27:$B$36,MATCH(L1774,Settings!$A$27:$A$36,0))&amp;"","UNMAPPED"))</f>
        <v/>
      </c>
      <c r="T1774" s="37" t="str">
        <f aca="false">IF($M1774="","",IF(NOT(ISNUMBER(R1774)),"NO DATE",IF(S1774="Won",IF(R1774&gt;Settings!$B$5,"Backlog","Delivered"),IF(S1774="Open",IF(R1774&gt;Settings!$B$5,"Pipeline","Overdue"),IF(S1774="Lost","Lost","UNMAPPED")))))</f>
        <v/>
      </c>
      <c r="U1774" s="40" t="n">
        <f aca="false">IF(T1774="Backlog",1,IF(OR(T1774="Pipeline",T1774="Overdue"),N(INDEX(Settings!$C$27:$C$36,MATCH(L1774,Settings!$A$27:$A$36,0))),0))</f>
        <v>0</v>
      </c>
      <c r="V1774" s="38" t="n">
        <f aca="false">Q1774*U1774</f>
        <v>0</v>
      </c>
      <c r="W1774" s="41" t="str">
        <f aca="false">IF($M1774="","",IF(T1774="Overdue",IF(Settings!$B$8="Yes",Settings!$B$7,""),IF(ISNUMBER(R1774),DATE(YEAR(R1774),MONTH(R1774),1),"")))</f>
        <v/>
      </c>
      <c r="X1774" s="38" t="n">
        <f aca="false">IF(AND(OR(T1774="Backlog",T1774="Pipeline",T1774="Overdue"),ISNUMBER(W1774)),IF(W1774&lt;=Settings!$B$6,V1774,0),0)</f>
        <v>0</v>
      </c>
      <c r="Y1774" s="38" t="n">
        <f aca="false">IF(AND(OR(T1774="Backlog",T1774="Pipeline",T1774="Overdue"),ISNUMBER(W1774)),IF(W1774&lt;=Settings!$B$6,Q1774,0),0)</f>
        <v>0</v>
      </c>
      <c r="Z1774" s="38" t="n">
        <f aca="false">IF(Y1774=0,0,IF(T1774="Backlog",Q1774,Q1774*Dashboard!$C$10))</f>
        <v>0</v>
      </c>
      <c r="AA1774" s="37" t="n">
        <f aca="false">IF($N1774="",0,IF(COUNTIF(Dashboard!$C$13:$C$22,$N1774)&gt;0,1,0))</f>
        <v>0</v>
      </c>
      <c r="AB1774" s="37" t="str">
        <f aca="false">IF($N1774="","",IF(COUNTIF($N$8:$N1774,$N1774)=1,MAX($AB$7:$AB1773)+1,""))</f>
        <v/>
      </c>
    </row>
    <row r="1775" customFormat="false" ht="15" hidden="false" customHeight="false" outlineLevel="0" collapsed="false">
      <c r="L1775" s="37" t="str">
        <f aca="false">IF(INDEX($A1775:$J1775,$L$6)&lt;&gt;"",TRIM(LEFT(INDEX($A1775:$J1775,$L$6),FIND("(",INDEX($A1775:$J1775,$L$6)&amp;"(")-1)),L1774)</f>
        <v>Building Value Proposition</v>
      </c>
      <c r="M1775" s="37" t="str">
        <f aca="false">IF(INDEX($A1775:$J1775,$M$6)="","",INDEX($A1775:$J1775,$M$6)&amp;"")</f>
        <v/>
      </c>
      <c r="N1775" s="37" t="str">
        <f aca="false">IF($M1775="","",TRIM(INDEX($A1775:$J1775,$N$6)&amp;""))</f>
        <v/>
      </c>
      <c r="O1775" s="37" t="str">
        <f aca="false">IF($M1775="","",TRIM(INDEX($A1775:$J1775,$O$6)&amp;""))</f>
        <v/>
      </c>
      <c r="P1775" s="37" t="str">
        <f aca="false">IF($M1775="","",IFERROR(IF(INDEX(Settings!$B$41:$B$50,MATCH(O1775,Settings!$A$41:$A$50,0))&amp;""="","UNMAPPED",INDEX(Settings!$B$41:$B$50,MATCH(O1775,Settings!$A$41:$A$50,0))&amp;""),"UNMAPPED"))</f>
        <v/>
      </c>
      <c r="Q1775" s="38" t="n">
        <f aca="false">IF($M1775="",0,N(INDEX($A1775:$J1775,$Q$6)))</f>
        <v>0</v>
      </c>
      <c r="R1775" s="39" t="str">
        <f aca="false">IF($M1775="","",INDEX($A1775:$J1775,$R$6))</f>
        <v/>
      </c>
      <c r="S1775" s="37" t="str">
        <f aca="false">IF($M1775="","",IFERROR(INDEX(Settings!$B$27:$B$36,MATCH(L1775,Settings!$A$27:$A$36,0))&amp;"","UNMAPPED"))</f>
        <v/>
      </c>
      <c r="T1775" s="37" t="str">
        <f aca="false">IF($M1775="","",IF(NOT(ISNUMBER(R1775)),"NO DATE",IF(S1775="Won",IF(R1775&gt;Settings!$B$5,"Backlog","Delivered"),IF(S1775="Open",IF(R1775&gt;Settings!$B$5,"Pipeline","Overdue"),IF(S1775="Lost","Lost","UNMAPPED")))))</f>
        <v/>
      </c>
      <c r="U1775" s="40" t="n">
        <f aca="false">IF(T1775="Backlog",1,IF(OR(T1775="Pipeline",T1775="Overdue"),N(INDEX(Settings!$C$27:$C$36,MATCH(L1775,Settings!$A$27:$A$36,0))),0))</f>
        <v>0</v>
      </c>
      <c r="V1775" s="38" t="n">
        <f aca="false">Q1775*U1775</f>
        <v>0</v>
      </c>
      <c r="W1775" s="41" t="str">
        <f aca="false">IF($M1775="","",IF(T1775="Overdue",IF(Settings!$B$8="Yes",Settings!$B$7,""),IF(ISNUMBER(R1775),DATE(YEAR(R1775),MONTH(R1775),1),"")))</f>
        <v/>
      </c>
      <c r="X1775" s="38" t="n">
        <f aca="false">IF(AND(OR(T1775="Backlog",T1775="Pipeline",T1775="Overdue"),ISNUMBER(W1775)),IF(W1775&lt;=Settings!$B$6,V1775,0),0)</f>
        <v>0</v>
      </c>
      <c r="Y1775" s="38" t="n">
        <f aca="false">IF(AND(OR(T1775="Backlog",T1775="Pipeline",T1775="Overdue"),ISNUMBER(W1775)),IF(W1775&lt;=Settings!$B$6,Q1775,0),0)</f>
        <v>0</v>
      </c>
      <c r="Z1775" s="38" t="n">
        <f aca="false">IF(Y1775=0,0,IF(T1775="Backlog",Q1775,Q1775*Dashboard!$C$10))</f>
        <v>0</v>
      </c>
      <c r="AA1775" s="37" t="n">
        <f aca="false">IF($N1775="",0,IF(COUNTIF(Dashboard!$C$13:$C$22,$N1775)&gt;0,1,0))</f>
        <v>0</v>
      </c>
      <c r="AB1775" s="37" t="str">
        <f aca="false">IF($N1775="","",IF(COUNTIF($N$8:$N1775,$N1775)=1,MAX($AB$7:$AB1774)+1,""))</f>
        <v/>
      </c>
    </row>
    <row r="1776" customFormat="false" ht="15" hidden="false" customHeight="false" outlineLevel="0" collapsed="false">
      <c r="L1776" s="37" t="str">
        <f aca="false">IF(INDEX($A1776:$J1776,$L$6)&lt;&gt;"",TRIM(LEFT(INDEX($A1776:$J1776,$L$6),FIND("(",INDEX($A1776:$J1776,$L$6)&amp;"(")-1)),L1775)</f>
        <v>Building Value Proposition</v>
      </c>
      <c r="M1776" s="37" t="str">
        <f aca="false">IF(INDEX($A1776:$J1776,$M$6)="","",INDEX($A1776:$J1776,$M$6)&amp;"")</f>
        <v/>
      </c>
      <c r="N1776" s="37" t="str">
        <f aca="false">IF($M1776="","",TRIM(INDEX($A1776:$J1776,$N$6)&amp;""))</f>
        <v/>
      </c>
      <c r="O1776" s="37" t="str">
        <f aca="false">IF($M1776="","",TRIM(INDEX($A1776:$J1776,$O$6)&amp;""))</f>
        <v/>
      </c>
      <c r="P1776" s="37" t="str">
        <f aca="false">IF($M1776="","",IFERROR(IF(INDEX(Settings!$B$41:$B$50,MATCH(O1776,Settings!$A$41:$A$50,0))&amp;""="","UNMAPPED",INDEX(Settings!$B$41:$B$50,MATCH(O1776,Settings!$A$41:$A$50,0))&amp;""),"UNMAPPED"))</f>
        <v/>
      </c>
      <c r="Q1776" s="38" t="n">
        <f aca="false">IF($M1776="",0,N(INDEX($A1776:$J1776,$Q$6)))</f>
        <v>0</v>
      </c>
      <c r="R1776" s="39" t="str">
        <f aca="false">IF($M1776="","",INDEX($A1776:$J1776,$R$6))</f>
        <v/>
      </c>
      <c r="S1776" s="37" t="str">
        <f aca="false">IF($M1776="","",IFERROR(INDEX(Settings!$B$27:$B$36,MATCH(L1776,Settings!$A$27:$A$36,0))&amp;"","UNMAPPED"))</f>
        <v/>
      </c>
      <c r="T1776" s="37" t="str">
        <f aca="false">IF($M1776="","",IF(NOT(ISNUMBER(R1776)),"NO DATE",IF(S1776="Won",IF(R1776&gt;Settings!$B$5,"Backlog","Delivered"),IF(S1776="Open",IF(R1776&gt;Settings!$B$5,"Pipeline","Overdue"),IF(S1776="Lost","Lost","UNMAPPED")))))</f>
        <v/>
      </c>
      <c r="U1776" s="40" t="n">
        <f aca="false">IF(T1776="Backlog",1,IF(OR(T1776="Pipeline",T1776="Overdue"),N(INDEX(Settings!$C$27:$C$36,MATCH(L1776,Settings!$A$27:$A$36,0))),0))</f>
        <v>0</v>
      </c>
      <c r="V1776" s="38" t="n">
        <f aca="false">Q1776*U1776</f>
        <v>0</v>
      </c>
      <c r="W1776" s="41" t="str">
        <f aca="false">IF($M1776="","",IF(T1776="Overdue",IF(Settings!$B$8="Yes",Settings!$B$7,""),IF(ISNUMBER(R1776),DATE(YEAR(R1776),MONTH(R1776),1),"")))</f>
        <v/>
      </c>
      <c r="X1776" s="38" t="n">
        <f aca="false">IF(AND(OR(T1776="Backlog",T1776="Pipeline",T1776="Overdue"),ISNUMBER(W1776)),IF(W1776&lt;=Settings!$B$6,V1776,0),0)</f>
        <v>0</v>
      </c>
      <c r="Y1776" s="38" t="n">
        <f aca="false">IF(AND(OR(T1776="Backlog",T1776="Pipeline",T1776="Overdue"),ISNUMBER(W1776)),IF(W1776&lt;=Settings!$B$6,Q1776,0),0)</f>
        <v>0</v>
      </c>
      <c r="Z1776" s="38" t="n">
        <f aca="false">IF(Y1776=0,0,IF(T1776="Backlog",Q1776,Q1776*Dashboard!$C$10))</f>
        <v>0</v>
      </c>
      <c r="AA1776" s="37" t="n">
        <f aca="false">IF($N1776="",0,IF(COUNTIF(Dashboard!$C$13:$C$22,$N1776)&gt;0,1,0))</f>
        <v>0</v>
      </c>
      <c r="AB1776" s="37" t="str">
        <f aca="false">IF($N1776="","",IF(COUNTIF($N$8:$N1776,$N1776)=1,MAX($AB$7:$AB1775)+1,""))</f>
        <v/>
      </c>
    </row>
    <row r="1777" customFormat="false" ht="15" hidden="false" customHeight="false" outlineLevel="0" collapsed="false">
      <c r="L1777" s="37" t="str">
        <f aca="false">IF(INDEX($A1777:$J1777,$L$6)&lt;&gt;"",TRIM(LEFT(INDEX($A1777:$J1777,$L$6),FIND("(",INDEX($A1777:$J1777,$L$6)&amp;"(")-1)),L1776)</f>
        <v>Building Value Proposition</v>
      </c>
      <c r="M1777" s="37" t="str">
        <f aca="false">IF(INDEX($A1777:$J1777,$M$6)="","",INDEX($A1777:$J1777,$M$6)&amp;"")</f>
        <v/>
      </c>
      <c r="N1777" s="37" t="str">
        <f aca="false">IF($M1777="","",TRIM(INDEX($A1777:$J1777,$N$6)&amp;""))</f>
        <v/>
      </c>
      <c r="O1777" s="37" t="str">
        <f aca="false">IF($M1777="","",TRIM(INDEX($A1777:$J1777,$O$6)&amp;""))</f>
        <v/>
      </c>
      <c r="P1777" s="37" t="str">
        <f aca="false">IF($M1777="","",IFERROR(IF(INDEX(Settings!$B$41:$B$50,MATCH(O1777,Settings!$A$41:$A$50,0))&amp;""="","UNMAPPED",INDEX(Settings!$B$41:$B$50,MATCH(O1777,Settings!$A$41:$A$50,0))&amp;""),"UNMAPPED"))</f>
        <v/>
      </c>
      <c r="Q1777" s="38" t="n">
        <f aca="false">IF($M1777="",0,N(INDEX($A1777:$J1777,$Q$6)))</f>
        <v>0</v>
      </c>
      <c r="R1777" s="39" t="str">
        <f aca="false">IF($M1777="","",INDEX($A1777:$J1777,$R$6))</f>
        <v/>
      </c>
      <c r="S1777" s="37" t="str">
        <f aca="false">IF($M1777="","",IFERROR(INDEX(Settings!$B$27:$B$36,MATCH(L1777,Settings!$A$27:$A$36,0))&amp;"","UNMAPPED"))</f>
        <v/>
      </c>
      <c r="T1777" s="37" t="str">
        <f aca="false">IF($M1777="","",IF(NOT(ISNUMBER(R1777)),"NO DATE",IF(S1777="Won",IF(R1777&gt;Settings!$B$5,"Backlog","Delivered"),IF(S1777="Open",IF(R1777&gt;Settings!$B$5,"Pipeline","Overdue"),IF(S1777="Lost","Lost","UNMAPPED")))))</f>
        <v/>
      </c>
      <c r="U1777" s="40" t="n">
        <f aca="false">IF(T1777="Backlog",1,IF(OR(T1777="Pipeline",T1777="Overdue"),N(INDEX(Settings!$C$27:$C$36,MATCH(L1777,Settings!$A$27:$A$36,0))),0))</f>
        <v>0</v>
      </c>
      <c r="V1777" s="38" t="n">
        <f aca="false">Q1777*U1777</f>
        <v>0</v>
      </c>
      <c r="W1777" s="41" t="str">
        <f aca="false">IF($M1777="","",IF(T1777="Overdue",IF(Settings!$B$8="Yes",Settings!$B$7,""),IF(ISNUMBER(R1777),DATE(YEAR(R1777),MONTH(R1777),1),"")))</f>
        <v/>
      </c>
      <c r="X1777" s="38" t="n">
        <f aca="false">IF(AND(OR(T1777="Backlog",T1777="Pipeline",T1777="Overdue"),ISNUMBER(W1777)),IF(W1777&lt;=Settings!$B$6,V1777,0),0)</f>
        <v>0</v>
      </c>
      <c r="Y1777" s="38" t="n">
        <f aca="false">IF(AND(OR(T1777="Backlog",T1777="Pipeline",T1777="Overdue"),ISNUMBER(W1777)),IF(W1777&lt;=Settings!$B$6,Q1777,0),0)</f>
        <v>0</v>
      </c>
      <c r="Z1777" s="38" t="n">
        <f aca="false">IF(Y1777=0,0,IF(T1777="Backlog",Q1777,Q1777*Dashboard!$C$10))</f>
        <v>0</v>
      </c>
      <c r="AA1777" s="37" t="n">
        <f aca="false">IF($N1777="",0,IF(COUNTIF(Dashboard!$C$13:$C$22,$N1777)&gt;0,1,0))</f>
        <v>0</v>
      </c>
      <c r="AB1777" s="37" t="str">
        <f aca="false">IF($N1777="","",IF(COUNTIF($N$8:$N1777,$N1777)=1,MAX($AB$7:$AB1776)+1,""))</f>
        <v/>
      </c>
    </row>
    <row r="1778" customFormat="false" ht="15" hidden="false" customHeight="false" outlineLevel="0" collapsed="false">
      <c r="L1778" s="37" t="str">
        <f aca="false">IF(INDEX($A1778:$J1778,$L$6)&lt;&gt;"",TRIM(LEFT(INDEX($A1778:$J1778,$L$6),FIND("(",INDEX($A1778:$J1778,$L$6)&amp;"(")-1)),L1777)</f>
        <v>Building Value Proposition</v>
      </c>
      <c r="M1778" s="37" t="str">
        <f aca="false">IF(INDEX($A1778:$J1778,$M$6)="","",INDEX($A1778:$J1778,$M$6)&amp;"")</f>
        <v/>
      </c>
      <c r="N1778" s="37" t="str">
        <f aca="false">IF($M1778="","",TRIM(INDEX($A1778:$J1778,$N$6)&amp;""))</f>
        <v/>
      </c>
      <c r="O1778" s="37" t="str">
        <f aca="false">IF($M1778="","",TRIM(INDEX($A1778:$J1778,$O$6)&amp;""))</f>
        <v/>
      </c>
      <c r="P1778" s="37" t="str">
        <f aca="false">IF($M1778="","",IFERROR(IF(INDEX(Settings!$B$41:$B$50,MATCH(O1778,Settings!$A$41:$A$50,0))&amp;""="","UNMAPPED",INDEX(Settings!$B$41:$B$50,MATCH(O1778,Settings!$A$41:$A$50,0))&amp;""),"UNMAPPED"))</f>
        <v/>
      </c>
      <c r="Q1778" s="38" t="n">
        <f aca="false">IF($M1778="",0,N(INDEX($A1778:$J1778,$Q$6)))</f>
        <v>0</v>
      </c>
      <c r="R1778" s="39" t="str">
        <f aca="false">IF($M1778="","",INDEX($A1778:$J1778,$R$6))</f>
        <v/>
      </c>
      <c r="S1778" s="37" t="str">
        <f aca="false">IF($M1778="","",IFERROR(INDEX(Settings!$B$27:$B$36,MATCH(L1778,Settings!$A$27:$A$36,0))&amp;"","UNMAPPED"))</f>
        <v/>
      </c>
      <c r="T1778" s="37" t="str">
        <f aca="false">IF($M1778="","",IF(NOT(ISNUMBER(R1778)),"NO DATE",IF(S1778="Won",IF(R1778&gt;Settings!$B$5,"Backlog","Delivered"),IF(S1778="Open",IF(R1778&gt;Settings!$B$5,"Pipeline","Overdue"),IF(S1778="Lost","Lost","UNMAPPED")))))</f>
        <v/>
      </c>
      <c r="U1778" s="40" t="n">
        <f aca="false">IF(T1778="Backlog",1,IF(OR(T1778="Pipeline",T1778="Overdue"),N(INDEX(Settings!$C$27:$C$36,MATCH(L1778,Settings!$A$27:$A$36,0))),0))</f>
        <v>0</v>
      </c>
      <c r="V1778" s="38" t="n">
        <f aca="false">Q1778*U1778</f>
        <v>0</v>
      </c>
      <c r="W1778" s="41" t="str">
        <f aca="false">IF($M1778="","",IF(T1778="Overdue",IF(Settings!$B$8="Yes",Settings!$B$7,""),IF(ISNUMBER(R1778),DATE(YEAR(R1778),MONTH(R1778),1),"")))</f>
        <v/>
      </c>
      <c r="X1778" s="38" t="n">
        <f aca="false">IF(AND(OR(T1778="Backlog",T1778="Pipeline",T1778="Overdue"),ISNUMBER(W1778)),IF(W1778&lt;=Settings!$B$6,V1778,0),0)</f>
        <v>0</v>
      </c>
      <c r="Y1778" s="38" t="n">
        <f aca="false">IF(AND(OR(T1778="Backlog",T1778="Pipeline",T1778="Overdue"),ISNUMBER(W1778)),IF(W1778&lt;=Settings!$B$6,Q1778,0),0)</f>
        <v>0</v>
      </c>
      <c r="Z1778" s="38" t="n">
        <f aca="false">IF(Y1778=0,0,IF(T1778="Backlog",Q1778,Q1778*Dashboard!$C$10))</f>
        <v>0</v>
      </c>
      <c r="AA1778" s="37" t="n">
        <f aca="false">IF($N1778="",0,IF(COUNTIF(Dashboard!$C$13:$C$22,$N1778)&gt;0,1,0))</f>
        <v>0</v>
      </c>
      <c r="AB1778" s="37" t="str">
        <f aca="false">IF($N1778="","",IF(COUNTIF($N$8:$N1778,$N1778)=1,MAX($AB$7:$AB1777)+1,""))</f>
        <v/>
      </c>
    </row>
    <row r="1779" customFormat="false" ht="15" hidden="false" customHeight="false" outlineLevel="0" collapsed="false">
      <c r="L1779" s="37" t="str">
        <f aca="false">IF(INDEX($A1779:$J1779,$L$6)&lt;&gt;"",TRIM(LEFT(INDEX($A1779:$J1779,$L$6),FIND("(",INDEX($A1779:$J1779,$L$6)&amp;"(")-1)),L1778)</f>
        <v>Building Value Proposition</v>
      </c>
      <c r="M1779" s="37" t="str">
        <f aca="false">IF(INDEX($A1779:$J1779,$M$6)="","",INDEX($A1779:$J1779,$M$6)&amp;"")</f>
        <v/>
      </c>
      <c r="N1779" s="37" t="str">
        <f aca="false">IF($M1779="","",TRIM(INDEX($A1779:$J1779,$N$6)&amp;""))</f>
        <v/>
      </c>
      <c r="O1779" s="37" t="str">
        <f aca="false">IF($M1779="","",TRIM(INDEX($A1779:$J1779,$O$6)&amp;""))</f>
        <v/>
      </c>
      <c r="P1779" s="37" t="str">
        <f aca="false">IF($M1779="","",IFERROR(IF(INDEX(Settings!$B$41:$B$50,MATCH(O1779,Settings!$A$41:$A$50,0))&amp;""="","UNMAPPED",INDEX(Settings!$B$41:$B$50,MATCH(O1779,Settings!$A$41:$A$50,0))&amp;""),"UNMAPPED"))</f>
        <v/>
      </c>
      <c r="Q1779" s="38" t="n">
        <f aca="false">IF($M1779="",0,N(INDEX($A1779:$J1779,$Q$6)))</f>
        <v>0</v>
      </c>
      <c r="R1779" s="39" t="str">
        <f aca="false">IF($M1779="","",INDEX($A1779:$J1779,$R$6))</f>
        <v/>
      </c>
      <c r="S1779" s="37" t="str">
        <f aca="false">IF($M1779="","",IFERROR(INDEX(Settings!$B$27:$B$36,MATCH(L1779,Settings!$A$27:$A$36,0))&amp;"","UNMAPPED"))</f>
        <v/>
      </c>
      <c r="T1779" s="37" t="str">
        <f aca="false">IF($M1779="","",IF(NOT(ISNUMBER(R1779)),"NO DATE",IF(S1779="Won",IF(R1779&gt;Settings!$B$5,"Backlog","Delivered"),IF(S1779="Open",IF(R1779&gt;Settings!$B$5,"Pipeline","Overdue"),IF(S1779="Lost","Lost","UNMAPPED")))))</f>
        <v/>
      </c>
      <c r="U1779" s="40" t="n">
        <f aca="false">IF(T1779="Backlog",1,IF(OR(T1779="Pipeline",T1779="Overdue"),N(INDEX(Settings!$C$27:$C$36,MATCH(L1779,Settings!$A$27:$A$36,0))),0))</f>
        <v>0</v>
      </c>
      <c r="V1779" s="38" t="n">
        <f aca="false">Q1779*U1779</f>
        <v>0</v>
      </c>
      <c r="W1779" s="41" t="str">
        <f aca="false">IF($M1779="","",IF(T1779="Overdue",IF(Settings!$B$8="Yes",Settings!$B$7,""),IF(ISNUMBER(R1779),DATE(YEAR(R1779),MONTH(R1779),1),"")))</f>
        <v/>
      </c>
      <c r="X1779" s="38" t="n">
        <f aca="false">IF(AND(OR(T1779="Backlog",T1779="Pipeline",T1779="Overdue"),ISNUMBER(W1779)),IF(W1779&lt;=Settings!$B$6,V1779,0),0)</f>
        <v>0</v>
      </c>
      <c r="Y1779" s="38" t="n">
        <f aca="false">IF(AND(OR(T1779="Backlog",T1779="Pipeline",T1779="Overdue"),ISNUMBER(W1779)),IF(W1779&lt;=Settings!$B$6,Q1779,0),0)</f>
        <v>0</v>
      </c>
      <c r="Z1779" s="38" t="n">
        <f aca="false">IF(Y1779=0,0,IF(T1779="Backlog",Q1779,Q1779*Dashboard!$C$10))</f>
        <v>0</v>
      </c>
      <c r="AA1779" s="37" t="n">
        <f aca="false">IF($N1779="",0,IF(COUNTIF(Dashboard!$C$13:$C$22,$N1779)&gt;0,1,0))</f>
        <v>0</v>
      </c>
      <c r="AB1779" s="37" t="str">
        <f aca="false">IF($N1779="","",IF(COUNTIF($N$8:$N1779,$N1779)=1,MAX($AB$7:$AB1778)+1,""))</f>
        <v/>
      </c>
    </row>
    <row r="1780" customFormat="false" ht="15" hidden="false" customHeight="false" outlineLevel="0" collapsed="false">
      <c r="L1780" s="37" t="str">
        <f aca="false">IF(INDEX($A1780:$J1780,$L$6)&lt;&gt;"",TRIM(LEFT(INDEX($A1780:$J1780,$L$6),FIND("(",INDEX($A1780:$J1780,$L$6)&amp;"(")-1)),L1779)</f>
        <v>Building Value Proposition</v>
      </c>
      <c r="M1780" s="37" t="str">
        <f aca="false">IF(INDEX($A1780:$J1780,$M$6)="","",INDEX($A1780:$J1780,$M$6)&amp;"")</f>
        <v/>
      </c>
      <c r="N1780" s="37" t="str">
        <f aca="false">IF($M1780="","",TRIM(INDEX($A1780:$J1780,$N$6)&amp;""))</f>
        <v/>
      </c>
      <c r="O1780" s="37" t="str">
        <f aca="false">IF($M1780="","",TRIM(INDEX($A1780:$J1780,$O$6)&amp;""))</f>
        <v/>
      </c>
      <c r="P1780" s="37" t="str">
        <f aca="false">IF($M1780="","",IFERROR(IF(INDEX(Settings!$B$41:$B$50,MATCH(O1780,Settings!$A$41:$A$50,0))&amp;""="","UNMAPPED",INDEX(Settings!$B$41:$B$50,MATCH(O1780,Settings!$A$41:$A$50,0))&amp;""),"UNMAPPED"))</f>
        <v/>
      </c>
      <c r="Q1780" s="38" t="n">
        <f aca="false">IF($M1780="",0,N(INDEX($A1780:$J1780,$Q$6)))</f>
        <v>0</v>
      </c>
      <c r="R1780" s="39" t="str">
        <f aca="false">IF($M1780="","",INDEX($A1780:$J1780,$R$6))</f>
        <v/>
      </c>
      <c r="S1780" s="37" t="str">
        <f aca="false">IF($M1780="","",IFERROR(INDEX(Settings!$B$27:$B$36,MATCH(L1780,Settings!$A$27:$A$36,0))&amp;"","UNMAPPED"))</f>
        <v/>
      </c>
      <c r="T1780" s="37" t="str">
        <f aca="false">IF($M1780="","",IF(NOT(ISNUMBER(R1780)),"NO DATE",IF(S1780="Won",IF(R1780&gt;Settings!$B$5,"Backlog","Delivered"),IF(S1780="Open",IF(R1780&gt;Settings!$B$5,"Pipeline","Overdue"),IF(S1780="Lost","Lost","UNMAPPED")))))</f>
        <v/>
      </c>
      <c r="U1780" s="40" t="n">
        <f aca="false">IF(T1780="Backlog",1,IF(OR(T1780="Pipeline",T1780="Overdue"),N(INDEX(Settings!$C$27:$C$36,MATCH(L1780,Settings!$A$27:$A$36,0))),0))</f>
        <v>0</v>
      </c>
      <c r="V1780" s="38" t="n">
        <f aca="false">Q1780*U1780</f>
        <v>0</v>
      </c>
      <c r="W1780" s="41" t="str">
        <f aca="false">IF($M1780="","",IF(T1780="Overdue",IF(Settings!$B$8="Yes",Settings!$B$7,""),IF(ISNUMBER(R1780),DATE(YEAR(R1780),MONTH(R1780),1),"")))</f>
        <v/>
      </c>
      <c r="X1780" s="38" t="n">
        <f aca="false">IF(AND(OR(T1780="Backlog",T1780="Pipeline",T1780="Overdue"),ISNUMBER(W1780)),IF(W1780&lt;=Settings!$B$6,V1780,0),0)</f>
        <v>0</v>
      </c>
      <c r="Y1780" s="38" t="n">
        <f aca="false">IF(AND(OR(T1780="Backlog",T1780="Pipeline",T1780="Overdue"),ISNUMBER(W1780)),IF(W1780&lt;=Settings!$B$6,Q1780,0),0)</f>
        <v>0</v>
      </c>
      <c r="Z1780" s="38" t="n">
        <f aca="false">IF(Y1780=0,0,IF(T1780="Backlog",Q1780,Q1780*Dashboard!$C$10))</f>
        <v>0</v>
      </c>
      <c r="AA1780" s="37" t="n">
        <f aca="false">IF($N1780="",0,IF(COUNTIF(Dashboard!$C$13:$C$22,$N1780)&gt;0,1,0))</f>
        <v>0</v>
      </c>
      <c r="AB1780" s="37" t="str">
        <f aca="false">IF($N1780="","",IF(COUNTIF($N$8:$N1780,$N1780)=1,MAX($AB$7:$AB1779)+1,""))</f>
        <v/>
      </c>
    </row>
    <row r="1781" customFormat="false" ht="15" hidden="false" customHeight="false" outlineLevel="0" collapsed="false">
      <c r="L1781" s="37" t="str">
        <f aca="false">IF(INDEX($A1781:$J1781,$L$6)&lt;&gt;"",TRIM(LEFT(INDEX($A1781:$J1781,$L$6),FIND("(",INDEX($A1781:$J1781,$L$6)&amp;"(")-1)),L1780)</f>
        <v>Building Value Proposition</v>
      </c>
      <c r="M1781" s="37" t="str">
        <f aca="false">IF(INDEX($A1781:$J1781,$M$6)="","",INDEX($A1781:$J1781,$M$6)&amp;"")</f>
        <v/>
      </c>
      <c r="N1781" s="37" t="str">
        <f aca="false">IF($M1781="","",TRIM(INDEX($A1781:$J1781,$N$6)&amp;""))</f>
        <v/>
      </c>
      <c r="O1781" s="37" t="str">
        <f aca="false">IF($M1781="","",TRIM(INDEX($A1781:$J1781,$O$6)&amp;""))</f>
        <v/>
      </c>
      <c r="P1781" s="37" t="str">
        <f aca="false">IF($M1781="","",IFERROR(IF(INDEX(Settings!$B$41:$B$50,MATCH(O1781,Settings!$A$41:$A$50,0))&amp;""="","UNMAPPED",INDEX(Settings!$B$41:$B$50,MATCH(O1781,Settings!$A$41:$A$50,0))&amp;""),"UNMAPPED"))</f>
        <v/>
      </c>
      <c r="Q1781" s="38" t="n">
        <f aca="false">IF($M1781="",0,N(INDEX($A1781:$J1781,$Q$6)))</f>
        <v>0</v>
      </c>
      <c r="R1781" s="39" t="str">
        <f aca="false">IF($M1781="","",INDEX($A1781:$J1781,$R$6))</f>
        <v/>
      </c>
      <c r="S1781" s="37" t="str">
        <f aca="false">IF($M1781="","",IFERROR(INDEX(Settings!$B$27:$B$36,MATCH(L1781,Settings!$A$27:$A$36,0))&amp;"","UNMAPPED"))</f>
        <v/>
      </c>
      <c r="T1781" s="37" t="str">
        <f aca="false">IF($M1781="","",IF(NOT(ISNUMBER(R1781)),"NO DATE",IF(S1781="Won",IF(R1781&gt;Settings!$B$5,"Backlog","Delivered"),IF(S1781="Open",IF(R1781&gt;Settings!$B$5,"Pipeline","Overdue"),IF(S1781="Lost","Lost","UNMAPPED")))))</f>
        <v/>
      </c>
      <c r="U1781" s="40" t="n">
        <f aca="false">IF(T1781="Backlog",1,IF(OR(T1781="Pipeline",T1781="Overdue"),N(INDEX(Settings!$C$27:$C$36,MATCH(L1781,Settings!$A$27:$A$36,0))),0))</f>
        <v>0</v>
      </c>
      <c r="V1781" s="38" t="n">
        <f aca="false">Q1781*U1781</f>
        <v>0</v>
      </c>
      <c r="W1781" s="41" t="str">
        <f aca="false">IF($M1781="","",IF(T1781="Overdue",IF(Settings!$B$8="Yes",Settings!$B$7,""),IF(ISNUMBER(R1781),DATE(YEAR(R1781),MONTH(R1781),1),"")))</f>
        <v/>
      </c>
      <c r="X1781" s="38" t="n">
        <f aca="false">IF(AND(OR(T1781="Backlog",T1781="Pipeline",T1781="Overdue"),ISNUMBER(W1781)),IF(W1781&lt;=Settings!$B$6,V1781,0),0)</f>
        <v>0</v>
      </c>
      <c r="Y1781" s="38" t="n">
        <f aca="false">IF(AND(OR(T1781="Backlog",T1781="Pipeline",T1781="Overdue"),ISNUMBER(W1781)),IF(W1781&lt;=Settings!$B$6,Q1781,0),0)</f>
        <v>0</v>
      </c>
      <c r="Z1781" s="38" t="n">
        <f aca="false">IF(Y1781=0,0,IF(T1781="Backlog",Q1781,Q1781*Dashboard!$C$10))</f>
        <v>0</v>
      </c>
      <c r="AA1781" s="37" t="n">
        <f aca="false">IF($N1781="",0,IF(COUNTIF(Dashboard!$C$13:$C$22,$N1781)&gt;0,1,0))</f>
        <v>0</v>
      </c>
      <c r="AB1781" s="37" t="str">
        <f aca="false">IF($N1781="","",IF(COUNTIF($N$8:$N1781,$N1781)=1,MAX($AB$7:$AB1780)+1,""))</f>
        <v/>
      </c>
    </row>
    <row r="1782" customFormat="false" ht="15" hidden="false" customHeight="false" outlineLevel="0" collapsed="false">
      <c r="L1782" s="37" t="str">
        <f aca="false">IF(INDEX($A1782:$J1782,$L$6)&lt;&gt;"",TRIM(LEFT(INDEX($A1782:$J1782,$L$6),FIND("(",INDEX($A1782:$J1782,$L$6)&amp;"(")-1)),L1781)</f>
        <v>Building Value Proposition</v>
      </c>
      <c r="M1782" s="37" t="str">
        <f aca="false">IF(INDEX($A1782:$J1782,$M$6)="","",INDEX($A1782:$J1782,$M$6)&amp;"")</f>
        <v/>
      </c>
      <c r="N1782" s="37" t="str">
        <f aca="false">IF($M1782="","",TRIM(INDEX($A1782:$J1782,$N$6)&amp;""))</f>
        <v/>
      </c>
      <c r="O1782" s="37" t="str">
        <f aca="false">IF($M1782="","",TRIM(INDEX($A1782:$J1782,$O$6)&amp;""))</f>
        <v/>
      </c>
      <c r="P1782" s="37" t="str">
        <f aca="false">IF($M1782="","",IFERROR(IF(INDEX(Settings!$B$41:$B$50,MATCH(O1782,Settings!$A$41:$A$50,0))&amp;""="","UNMAPPED",INDEX(Settings!$B$41:$B$50,MATCH(O1782,Settings!$A$41:$A$50,0))&amp;""),"UNMAPPED"))</f>
        <v/>
      </c>
      <c r="Q1782" s="38" t="n">
        <f aca="false">IF($M1782="",0,N(INDEX($A1782:$J1782,$Q$6)))</f>
        <v>0</v>
      </c>
      <c r="R1782" s="39" t="str">
        <f aca="false">IF($M1782="","",INDEX($A1782:$J1782,$R$6))</f>
        <v/>
      </c>
      <c r="S1782" s="37" t="str">
        <f aca="false">IF($M1782="","",IFERROR(INDEX(Settings!$B$27:$B$36,MATCH(L1782,Settings!$A$27:$A$36,0))&amp;"","UNMAPPED"))</f>
        <v/>
      </c>
      <c r="T1782" s="37" t="str">
        <f aca="false">IF($M1782="","",IF(NOT(ISNUMBER(R1782)),"NO DATE",IF(S1782="Won",IF(R1782&gt;Settings!$B$5,"Backlog","Delivered"),IF(S1782="Open",IF(R1782&gt;Settings!$B$5,"Pipeline","Overdue"),IF(S1782="Lost","Lost","UNMAPPED")))))</f>
        <v/>
      </c>
      <c r="U1782" s="40" t="n">
        <f aca="false">IF(T1782="Backlog",1,IF(OR(T1782="Pipeline",T1782="Overdue"),N(INDEX(Settings!$C$27:$C$36,MATCH(L1782,Settings!$A$27:$A$36,0))),0))</f>
        <v>0</v>
      </c>
      <c r="V1782" s="38" t="n">
        <f aca="false">Q1782*U1782</f>
        <v>0</v>
      </c>
      <c r="W1782" s="41" t="str">
        <f aca="false">IF($M1782="","",IF(T1782="Overdue",IF(Settings!$B$8="Yes",Settings!$B$7,""),IF(ISNUMBER(R1782),DATE(YEAR(R1782),MONTH(R1782),1),"")))</f>
        <v/>
      </c>
      <c r="X1782" s="38" t="n">
        <f aca="false">IF(AND(OR(T1782="Backlog",T1782="Pipeline",T1782="Overdue"),ISNUMBER(W1782)),IF(W1782&lt;=Settings!$B$6,V1782,0),0)</f>
        <v>0</v>
      </c>
      <c r="Y1782" s="38" t="n">
        <f aca="false">IF(AND(OR(T1782="Backlog",T1782="Pipeline",T1782="Overdue"),ISNUMBER(W1782)),IF(W1782&lt;=Settings!$B$6,Q1782,0),0)</f>
        <v>0</v>
      </c>
      <c r="Z1782" s="38" t="n">
        <f aca="false">IF(Y1782=0,0,IF(T1782="Backlog",Q1782,Q1782*Dashboard!$C$10))</f>
        <v>0</v>
      </c>
      <c r="AA1782" s="37" t="n">
        <f aca="false">IF($N1782="",0,IF(COUNTIF(Dashboard!$C$13:$C$22,$N1782)&gt;0,1,0))</f>
        <v>0</v>
      </c>
      <c r="AB1782" s="37" t="str">
        <f aca="false">IF($N1782="","",IF(COUNTIF($N$8:$N1782,$N1782)=1,MAX($AB$7:$AB1781)+1,""))</f>
        <v/>
      </c>
    </row>
    <row r="1783" customFormat="false" ht="15" hidden="false" customHeight="false" outlineLevel="0" collapsed="false">
      <c r="L1783" s="37" t="str">
        <f aca="false">IF(INDEX($A1783:$J1783,$L$6)&lt;&gt;"",TRIM(LEFT(INDEX($A1783:$J1783,$L$6),FIND("(",INDEX($A1783:$J1783,$L$6)&amp;"(")-1)),L1782)</f>
        <v>Building Value Proposition</v>
      </c>
      <c r="M1783" s="37" t="str">
        <f aca="false">IF(INDEX($A1783:$J1783,$M$6)="","",INDEX($A1783:$J1783,$M$6)&amp;"")</f>
        <v/>
      </c>
      <c r="N1783" s="37" t="str">
        <f aca="false">IF($M1783="","",TRIM(INDEX($A1783:$J1783,$N$6)&amp;""))</f>
        <v/>
      </c>
      <c r="O1783" s="37" t="str">
        <f aca="false">IF($M1783="","",TRIM(INDEX($A1783:$J1783,$O$6)&amp;""))</f>
        <v/>
      </c>
      <c r="P1783" s="37" t="str">
        <f aca="false">IF($M1783="","",IFERROR(IF(INDEX(Settings!$B$41:$B$50,MATCH(O1783,Settings!$A$41:$A$50,0))&amp;""="","UNMAPPED",INDEX(Settings!$B$41:$B$50,MATCH(O1783,Settings!$A$41:$A$50,0))&amp;""),"UNMAPPED"))</f>
        <v/>
      </c>
      <c r="Q1783" s="38" t="n">
        <f aca="false">IF($M1783="",0,N(INDEX($A1783:$J1783,$Q$6)))</f>
        <v>0</v>
      </c>
      <c r="R1783" s="39" t="str">
        <f aca="false">IF($M1783="","",INDEX($A1783:$J1783,$R$6))</f>
        <v/>
      </c>
      <c r="S1783" s="37" t="str">
        <f aca="false">IF($M1783="","",IFERROR(INDEX(Settings!$B$27:$B$36,MATCH(L1783,Settings!$A$27:$A$36,0))&amp;"","UNMAPPED"))</f>
        <v/>
      </c>
      <c r="T1783" s="37" t="str">
        <f aca="false">IF($M1783="","",IF(NOT(ISNUMBER(R1783)),"NO DATE",IF(S1783="Won",IF(R1783&gt;Settings!$B$5,"Backlog","Delivered"),IF(S1783="Open",IF(R1783&gt;Settings!$B$5,"Pipeline","Overdue"),IF(S1783="Lost","Lost","UNMAPPED")))))</f>
        <v/>
      </c>
      <c r="U1783" s="40" t="n">
        <f aca="false">IF(T1783="Backlog",1,IF(OR(T1783="Pipeline",T1783="Overdue"),N(INDEX(Settings!$C$27:$C$36,MATCH(L1783,Settings!$A$27:$A$36,0))),0))</f>
        <v>0</v>
      </c>
      <c r="V1783" s="38" t="n">
        <f aca="false">Q1783*U1783</f>
        <v>0</v>
      </c>
      <c r="W1783" s="41" t="str">
        <f aca="false">IF($M1783="","",IF(T1783="Overdue",IF(Settings!$B$8="Yes",Settings!$B$7,""),IF(ISNUMBER(R1783),DATE(YEAR(R1783),MONTH(R1783),1),"")))</f>
        <v/>
      </c>
      <c r="X1783" s="38" t="n">
        <f aca="false">IF(AND(OR(T1783="Backlog",T1783="Pipeline",T1783="Overdue"),ISNUMBER(W1783)),IF(W1783&lt;=Settings!$B$6,V1783,0),0)</f>
        <v>0</v>
      </c>
      <c r="Y1783" s="38" t="n">
        <f aca="false">IF(AND(OR(T1783="Backlog",T1783="Pipeline",T1783="Overdue"),ISNUMBER(W1783)),IF(W1783&lt;=Settings!$B$6,Q1783,0),0)</f>
        <v>0</v>
      </c>
      <c r="Z1783" s="38" t="n">
        <f aca="false">IF(Y1783=0,0,IF(T1783="Backlog",Q1783,Q1783*Dashboard!$C$10))</f>
        <v>0</v>
      </c>
      <c r="AA1783" s="37" t="n">
        <f aca="false">IF($N1783="",0,IF(COUNTIF(Dashboard!$C$13:$C$22,$N1783)&gt;0,1,0))</f>
        <v>0</v>
      </c>
      <c r="AB1783" s="37" t="str">
        <f aca="false">IF($N1783="","",IF(COUNTIF($N$8:$N1783,$N1783)=1,MAX($AB$7:$AB1782)+1,""))</f>
        <v/>
      </c>
    </row>
    <row r="1784" customFormat="false" ht="15" hidden="false" customHeight="false" outlineLevel="0" collapsed="false">
      <c r="L1784" s="37" t="str">
        <f aca="false">IF(INDEX($A1784:$J1784,$L$6)&lt;&gt;"",TRIM(LEFT(INDEX($A1784:$J1784,$L$6),FIND("(",INDEX($A1784:$J1784,$L$6)&amp;"(")-1)),L1783)</f>
        <v>Building Value Proposition</v>
      </c>
      <c r="M1784" s="37" t="str">
        <f aca="false">IF(INDEX($A1784:$J1784,$M$6)="","",INDEX($A1784:$J1784,$M$6)&amp;"")</f>
        <v/>
      </c>
      <c r="N1784" s="37" t="str">
        <f aca="false">IF($M1784="","",TRIM(INDEX($A1784:$J1784,$N$6)&amp;""))</f>
        <v/>
      </c>
      <c r="O1784" s="37" t="str">
        <f aca="false">IF($M1784="","",TRIM(INDEX($A1784:$J1784,$O$6)&amp;""))</f>
        <v/>
      </c>
      <c r="P1784" s="37" t="str">
        <f aca="false">IF($M1784="","",IFERROR(IF(INDEX(Settings!$B$41:$B$50,MATCH(O1784,Settings!$A$41:$A$50,0))&amp;""="","UNMAPPED",INDEX(Settings!$B$41:$B$50,MATCH(O1784,Settings!$A$41:$A$50,0))&amp;""),"UNMAPPED"))</f>
        <v/>
      </c>
      <c r="Q1784" s="38" t="n">
        <f aca="false">IF($M1784="",0,N(INDEX($A1784:$J1784,$Q$6)))</f>
        <v>0</v>
      </c>
      <c r="R1784" s="39" t="str">
        <f aca="false">IF($M1784="","",INDEX($A1784:$J1784,$R$6))</f>
        <v/>
      </c>
      <c r="S1784" s="37" t="str">
        <f aca="false">IF($M1784="","",IFERROR(INDEX(Settings!$B$27:$B$36,MATCH(L1784,Settings!$A$27:$A$36,0))&amp;"","UNMAPPED"))</f>
        <v/>
      </c>
      <c r="T1784" s="37" t="str">
        <f aca="false">IF($M1784="","",IF(NOT(ISNUMBER(R1784)),"NO DATE",IF(S1784="Won",IF(R1784&gt;Settings!$B$5,"Backlog","Delivered"),IF(S1784="Open",IF(R1784&gt;Settings!$B$5,"Pipeline","Overdue"),IF(S1784="Lost","Lost","UNMAPPED")))))</f>
        <v/>
      </c>
      <c r="U1784" s="40" t="n">
        <f aca="false">IF(T1784="Backlog",1,IF(OR(T1784="Pipeline",T1784="Overdue"),N(INDEX(Settings!$C$27:$C$36,MATCH(L1784,Settings!$A$27:$A$36,0))),0))</f>
        <v>0</v>
      </c>
      <c r="V1784" s="38" t="n">
        <f aca="false">Q1784*U1784</f>
        <v>0</v>
      </c>
      <c r="W1784" s="41" t="str">
        <f aca="false">IF($M1784="","",IF(T1784="Overdue",IF(Settings!$B$8="Yes",Settings!$B$7,""),IF(ISNUMBER(R1784),DATE(YEAR(R1784),MONTH(R1784),1),"")))</f>
        <v/>
      </c>
      <c r="X1784" s="38" t="n">
        <f aca="false">IF(AND(OR(T1784="Backlog",T1784="Pipeline",T1784="Overdue"),ISNUMBER(W1784)),IF(W1784&lt;=Settings!$B$6,V1784,0),0)</f>
        <v>0</v>
      </c>
      <c r="Y1784" s="38" t="n">
        <f aca="false">IF(AND(OR(T1784="Backlog",T1784="Pipeline",T1784="Overdue"),ISNUMBER(W1784)),IF(W1784&lt;=Settings!$B$6,Q1784,0),0)</f>
        <v>0</v>
      </c>
      <c r="Z1784" s="38" t="n">
        <f aca="false">IF(Y1784=0,0,IF(T1784="Backlog",Q1784,Q1784*Dashboard!$C$10))</f>
        <v>0</v>
      </c>
      <c r="AA1784" s="37" t="n">
        <f aca="false">IF($N1784="",0,IF(COUNTIF(Dashboard!$C$13:$C$22,$N1784)&gt;0,1,0))</f>
        <v>0</v>
      </c>
      <c r="AB1784" s="37" t="str">
        <f aca="false">IF($N1784="","",IF(COUNTIF($N$8:$N1784,$N1784)=1,MAX($AB$7:$AB1783)+1,""))</f>
        <v/>
      </c>
    </row>
    <row r="1785" customFormat="false" ht="15" hidden="false" customHeight="false" outlineLevel="0" collapsed="false">
      <c r="L1785" s="37" t="str">
        <f aca="false">IF(INDEX($A1785:$J1785,$L$6)&lt;&gt;"",TRIM(LEFT(INDEX($A1785:$J1785,$L$6),FIND("(",INDEX($A1785:$J1785,$L$6)&amp;"(")-1)),L1784)</f>
        <v>Building Value Proposition</v>
      </c>
      <c r="M1785" s="37" t="str">
        <f aca="false">IF(INDEX($A1785:$J1785,$M$6)="","",INDEX($A1785:$J1785,$M$6)&amp;"")</f>
        <v/>
      </c>
      <c r="N1785" s="37" t="str">
        <f aca="false">IF($M1785="","",TRIM(INDEX($A1785:$J1785,$N$6)&amp;""))</f>
        <v/>
      </c>
      <c r="O1785" s="37" t="str">
        <f aca="false">IF($M1785="","",TRIM(INDEX($A1785:$J1785,$O$6)&amp;""))</f>
        <v/>
      </c>
      <c r="P1785" s="37" t="str">
        <f aca="false">IF($M1785="","",IFERROR(IF(INDEX(Settings!$B$41:$B$50,MATCH(O1785,Settings!$A$41:$A$50,0))&amp;""="","UNMAPPED",INDEX(Settings!$B$41:$B$50,MATCH(O1785,Settings!$A$41:$A$50,0))&amp;""),"UNMAPPED"))</f>
        <v/>
      </c>
      <c r="Q1785" s="38" t="n">
        <f aca="false">IF($M1785="",0,N(INDEX($A1785:$J1785,$Q$6)))</f>
        <v>0</v>
      </c>
      <c r="R1785" s="39" t="str">
        <f aca="false">IF($M1785="","",INDEX($A1785:$J1785,$R$6))</f>
        <v/>
      </c>
      <c r="S1785" s="37" t="str">
        <f aca="false">IF($M1785="","",IFERROR(INDEX(Settings!$B$27:$B$36,MATCH(L1785,Settings!$A$27:$A$36,0))&amp;"","UNMAPPED"))</f>
        <v/>
      </c>
      <c r="T1785" s="37" t="str">
        <f aca="false">IF($M1785="","",IF(NOT(ISNUMBER(R1785)),"NO DATE",IF(S1785="Won",IF(R1785&gt;Settings!$B$5,"Backlog","Delivered"),IF(S1785="Open",IF(R1785&gt;Settings!$B$5,"Pipeline","Overdue"),IF(S1785="Lost","Lost","UNMAPPED")))))</f>
        <v/>
      </c>
      <c r="U1785" s="40" t="n">
        <f aca="false">IF(T1785="Backlog",1,IF(OR(T1785="Pipeline",T1785="Overdue"),N(INDEX(Settings!$C$27:$C$36,MATCH(L1785,Settings!$A$27:$A$36,0))),0))</f>
        <v>0</v>
      </c>
      <c r="V1785" s="38" t="n">
        <f aca="false">Q1785*U1785</f>
        <v>0</v>
      </c>
      <c r="W1785" s="41" t="str">
        <f aca="false">IF($M1785="","",IF(T1785="Overdue",IF(Settings!$B$8="Yes",Settings!$B$7,""),IF(ISNUMBER(R1785),DATE(YEAR(R1785),MONTH(R1785),1),"")))</f>
        <v/>
      </c>
      <c r="X1785" s="38" t="n">
        <f aca="false">IF(AND(OR(T1785="Backlog",T1785="Pipeline",T1785="Overdue"),ISNUMBER(W1785)),IF(W1785&lt;=Settings!$B$6,V1785,0),0)</f>
        <v>0</v>
      </c>
      <c r="Y1785" s="38" t="n">
        <f aca="false">IF(AND(OR(T1785="Backlog",T1785="Pipeline",T1785="Overdue"),ISNUMBER(W1785)),IF(W1785&lt;=Settings!$B$6,Q1785,0),0)</f>
        <v>0</v>
      </c>
      <c r="Z1785" s="38" t="n">
        <f aca="false">IF(Y1785=0,0,IF(T1785="Backlog",Q1785,Q1785*Dashboard!$C$10))</f>
        <v>0</v>
      </c>
      <c r="AA1785" s="37" t="n">
        <f aca="false">IF($N1785="",0,IF(COUNTIF(Dashboard!$C$13:$C$22,$N1785)&gt;0,1,0))</f>
        <v>0</v>
      </c>
      <c r="AB1785" s="37" t="str">
        <f aca="false">IF($N1785="","",IF(COUNTIF($N$8:$N1785,$N1785)=1,MAX($AB$7:$AB1784)+1,""))</f>
        <v/>
      </c>
    </row>
    <row r="1786" customFormat="false" ht="15" hidden="false" customHeight="false" outlineLevel="0" collapsed="false">
      <c r="L1786" s="37" t="str">
        <f aca="false">IF(INDEX($A1786:$J1786,$L$6)&lt;&gt;"",TRIM(LEFT(INDEX($A1786:$J1786,$L$6),FIND("(",INDEX($A1786:$J1786,$L$6)&amp;"(")-1)),L1785)</f>
        <v>Building Value Proposition</v>
      </c>
      <c r="M1786" s="37" t="str">
        <f aca="false">IF(INDEX($A1786:$J1786,$M$6)="","",INDEX($A1786:$J1786,$M$6)&amp;"")</f>
        <v/>
      </c>
      <c r="N1786" s="37" t="str">
        <f aca="false">IF($M1786="","",TRIM(INDEX($A1786:$J1786,$N$6)&amp;""))</f>
        <v/>
      </c>
      <c r="O1786" s="37" t="str">
        <f aca="false">IF($M1786="","",TRIM(INDEX($A1786:$J1786,$O$6)&amp;""))</f>
        <v/>
      </c>
      <c r="P1786" s="37" t="str">
        <f aca="false">IF($M1786="","",IFERROR(IF(INDEX(Settings!$B$41:$B$50,MATCH(O1786,Settings!$A$41:$A$50,0))&amp;""="","UNMAPPED",INDEX(Settings!$B$41:$B$50,MATCH(O1786,Settings!$A$41:$A$50,0))&amp;""),"UNMAPPED"))</f>
        <v/>
      </c>
      <c r="Q1786" s="38" t="n">
        <f aca="false">IF($M1786="",0,N(INDEX($A1786:$J1786,$Q$6)))</f>
        <v>0</v>
      </c>
      <c r="R1786" s="39" t="str">
        <f aca="false">IF($M1786="","",INDEX($A1786:$J1786,$R$6))</f>
        <v/>
      </c>
      <c r="S1786" s="37" t="str">
        <f aca="false">IF($M1786="","",IFERROR(INDEX(Settings!$B$27:$B$36,MATCH(L1786,Settings!$A$27:$A$36,0))&amp;"","UNMAPPED"))</f>
        <v/>
      </c>
      <c r="T1786" s="37" t="str">
        <f aca="false">IF($M1786="","",IF(NOT(ISNUMBER(R1786)),"NO DATE",IF(S1786="Won",IF(R1786&gt;Settings!$B$5,"Backlog","Delivered"),IF(S1786="Open",IF(R1786&gt;Settings!$B$5,"Pipeline","Overdue"),IF(S1786="Lost","Lost","UNMAPPED")))))</f>
        <v/>
      </c>
      <c r="U1786" s="40" t="n">
        <f aca="false">IF(T1786="Backlog",1,IF(OR(T1786="Pipeline",T1786="Overdue"),N(INDEX(Settings!$C$27:$C$36,MATCH(L1786,Settings!$A$27:$A$36,0))),0))</f>
        <v>0</v>
      </c>
      <c r="V1786" s="38" t="n">
        <f aca="false">Q1786*U1786</f>
        <v>0</v>
      </c>
      <c r="W1786" s="41" t="str">
        <f aca="false">IF($M1786="","",IF(T1786="Overdue",IF(Settings!$B$8="Yes",Settings!$B$7,""),IF(ISNUMBER(R1786),DATE(YEAR(R1786),MONTH(R1786),1),"")))</f>
        <v/>
      </c>
      <c r="X1786" s="38" t="n">
        <f aca="false">IF(AND(OR(T1786="Backlog",T1786="Pipeline",T1786="Overdue"),ISNUMBER(W1786)),IF(W1786&lt;=Settings!$B$6,V1786,0),0)</f>
        <v>0</v>
      </c>
      <c r="Y1786" s="38" t="n">
        <f aca="false">IF(AND(OR(T1786="Backlog",T1786="Pipeline",T1786="Overdue"),ISNUMBER(W1786)),IF(W1786&lt;=Settings!$B$6,Q1786,0),0)</f>
        <v>0</v>
      </c>
      <c r="Z1786" s="38" t="n">
        <f aca="false">IF(Y1786=0,0,IF(T1786="Backlog",Q1786,Q1786*Dashboard!$C$10))</f>
        <v>0</v>
      </c>
      <c r="AA1786" s="37" t="n">
        <f aca="false">IF($N1786="",0,IF(COUNTIF(Dashboard!$C$13:$C$22,$N1786)&gt;0,1,0))</f>
        <v>0</v>
      </c>
      <c r="AB1786" s="37" t="str">
        <f aca="false">IF($N1786="","",IF(COUNTIF($N$8:$N1786,$N1786)=1,MAX($AB$7:$AB1785)+1,""))</f>
        <v/>
      </c>
    </row>
    <row r="1787" customFormat="false" ht="15" hidden="false" customHeight="false" outlineLevel="0" collapsed="false">
      <c r="L1787" s="37" t="str">
        <f aca="false">IF(INDEX($A1787:$J1787,$L$6)&lt;&gt;"",TRIM(LEFT(INDEX($A1787:$J1787,$L$6),FIND("(",INDEX($A1787:$J1787,$L$6)&amp;"(")-1)),L1786)</f>
        <v>Building Value Proposition</v>
      </c>
      <c r="M1787" s="37" t="str">
        <f aca="false">IF(INDEX($A1787:$J1787,$M$6)="","",INDEX($A1787:$J1787,$M$6)&amp;"")</f>
        <v/>
      </c>
      <c r="N1787" s="37" t="str">
        <f aca="false">IF($M1787="","",TRIM(INDEX($A1787:$J1787,$N$6)&amp;""))</f>
        <v/>
      </c>
      <c r="O1787" s="37" t="str">
        <f aca="false">IF($M1787="","",TRIM(INDEX($A1787:$J1787,$O$6)&amp;""))</f>
        <v/>
      </c>
      <c r="P1787" s="37" t="str">
        <f aca="false">IF($M1787="","",IFERROR(IF(INDEX(Settings!$B$41:$B$50,MATCH(O1787,Settings!$A$41:$A$50,0))&amp;""="","UNMAPPED",INDEX(Settings!$B$41:$B$50,MATCH(O1787,Settings!$A$41:$A$50,0))&amp;""),"UNMAPPED"))</f>
        <v/>
      </c>
      <c r="Q1787" s="38" t="n">
        <f aca="false">IF($M1787="",0,N(INDEX($A1787:$J1787,$Q$6)))</f>
        <v>0</v>
      </c>
      <c r="R1787" s="39" t="str">
        <f aca="false">IF($M1787="","",INDEX($A1787:$J1787,$R$6))</f>
        <v/>
      </c>
      <c r="S1787" s="37" t="str">
        <f aca="false">IF($M1787="","",IFERROR(INDEX(Settings!$B$27:$B$36,MATCH(L1787,Settings!$A$27:$A$36,0))&amp;"","UNMAPPED"))</f>
        <v/>
      </c>
      <c r="T1787" s="37" t="str">
        <f aca="false">IF($M1787="","",IF(NOT(ISNUMBER(R1787)),"NO DATE",IF(S1787="Won",IF(R1787&gt;Settings!$B$5,"Backlog","Delivered"),IF(S1787="Open",IF(R1787&gt;Settings!$B$5,"Pipeline","Overdue"),IF(S1787="Lost","Lost","UNMAPPED")))))</f>
        <v/>
      </c>
      <c r="U1787" s="40" t="n">
        <f aca="false">IF(T1787="Backlog",1,IF(OR(T1787="Pipeline",T1787="Overdue"),N(INDEX(Settings!$C$27:$C$36,MATCH(L1787,Settings!$A$27:$A$36,0))),0))</f>
        <v>0</v>
      </c>
      <c r="V1787" s="38" t="n">
        <f aca="false">Q1787*U1787</f>
        <v>0</v>
      </c>
      <c r="W1787" s="41" t="str">
        <f aca="false">IF($M1787="","",IF(T1787="Overdue",IF(Settings!$B$8="Yes",Settings!$B$7,""),IF(ISNUMBER(R1787),DATE(YEAR(R1787),MONTH(R1787),1),"")))</f>
        <v/>
      </c>
      <c r="X1787" s="38" t="n">
        <f aca="false">IF(AND(OR(T1787="Backlog",T1787="Pipeline",T1787="Overdue"),ISNUMBER(W1787)),IF(W1787&lt;=Settings!$B$6,V1787,0),0)</f>
        <v>0</v>
      </c>
      <c r="Y1787" s="38" t="n">
        <f aca="false">IF(AND(OR(T1787="Backlog",T1787="Pipeline",T1787="Overdue"),ISNUMBER(W1787)),IF(W1787&lt;=Settings!$B$6,Q1787,0),0)</f>
        <v>0</v>
      </c>
      <c r="Z1787" s="38" t="n">
        <f aca="false">IF(Y1787=0,0,IF(T1787="Backlog",Q1787,Q1787*Dashboard!$C$10))</f>
        <v>0</v>
      </c>
      <c r="AA1787" s="37" t="n">
        <f aca="false">IF($N1787="",0,IF(COUNTIF(Dashboard!$C$13:$C$22,$N1787)&gt;0,1,0))</f>
        <v>0</v>
      </c>
      <c r="AB1787" s="37" t="str">
        <f aca="false">IF($N1787="","",IF(COUNTIF($N$8:$N1787,$N1787)=1,MAX($AB$7:$AB1786)+1,""))</f>
        <v/>
      </c>
    </row>
    <row r="1788" customFormat="false" ht="15" hidden="false" customHeight="false" outlineLevel="0" collapsed="false">
      <c r="L1788" s="37" t="str">
        <f aca="false">IF(INDEX($A1788:$J1788,$L$6)&lt;&gt;"",TRIM(LEFT(INDEX($A1788:$J1788,$L$6),FIND("(",INDEX($A1788:$J1788,$L$6)&amp;"(")-1)),L1787)</f>
        <v>Building Value Proposition</v>
      </c>
      <c r="M1788" s="37" t="str">
        <f aca="false">IF(INDEX($A1788:$J1788,$M$6)="","",INDEX($A1788:$J1788,$M$6)&amp;"")</f>
        <v/>
      </c>
      <c r="N1788" s="37" t="str">
        <f aca="false">IF($M1788="","",TRIM(INDEX($A1788:$J1788,$N$6)&amp;""))</f>
        <v/>
      </c>
      <c r="O1788" s="37" t="str">
        <f aca="false">IF($M1788="","",TRIM(INDEX($A1788:$J1788,$O$6)&amp;""))</f>
        <v/>
      </c>
      <c r="P1788" s="37" t="str">
        <f aca="false">IF($M1788="","",IFERROR(IF(INDEX(Settings!$B$41:$B$50,MATCH(O1788,Settings!$A$41:$A$50,0))&amp;""="","UNMAPPED",INDEX(Settings!$B$41:$B$50,MATCH(O1788,Settings!$A$41:$A$50,0))&amp;""),"UNMAPPED"))</f>
        <v/>
      </c>
      <c r="Q1788" s="38" t="n">
        <f aca="false">IF($M1788="",0,N(INDEX($A1788:$J1788,$Q$6)))</f>
        <v>0</v>
      </c>
      <c r="R1788" s="39" t="str">
        <f aca="false">IF($M1788="","",INDEX($A1788:$J1788,$R$6))</f>
        <v/>
      </c>
      <c r="S1788" s="37" t="str">
        <f aca="false">IF($M1788="","",IFERROR(INDEX(Settings!$B$27:$B$36,MATCH(L1788,Settings!$A$27:$A$36,0))&amp;"","UNMAPPED"))</f>
        <v/>
      </c>
      <c r="T1788" s="37" t="str">
        <f aca="false">IF($M1788="","",IF(NOT(ISNUMBER(R1788)),"NO DATE",IF(S1788="Won",IF(R1788&gt;Settings!$B$5,"Backlog","Delivered"),IF(S1788="Open",IF(R1788&gt;Settings!$B$5,"Pipeline","Overdue"),IF(S1788="Lost","Lost","UNMAPPED")))))</f>
        <v/>
      </c>
      <c r="U1788" s="40" t="n">
        <f aca="false">IF(T1788="Backlog",1,IF(OR(T1788="Pipeline",T1788="Overdue"),N(INDEX(Settings!$C$27:$C$36,MATCH(L1788,Settings!$A$27:$A$36,0))),0))</f>
        <v>0</v>
      </c>
      <c r="V1788" s="38" t="n">
        <f aca="false">Q1788*U1788</f>
        <v>0</v>
      </c>
      <c r="W1788" s="41" t="str">
        <f aca="false">IF($M1788="","",IF(T1788="Overdue",IF(Settings!$B$8="Yes",Settings!$B$7,""),IF(ISNUMBER(R1788),DATE(YEAR(R1788),MONTH(R1788),1),"")))</f>
        <v/>
      </c>
      <c r="X1788" s="38" t="n">
        <f aca="false">IF(AND(OR(T1788="Backlog",T1788="Pipeline",T1788="Overdue"),ISNUMBER(W1788)),IF(W1788&lt;=Settings!$B$6,V1788,0),0)</f>
        <v>0</v>
      </c>
      <c r="Y1788" s="38" t="n">
        <f aca="false">IF(AND(OR(T1788="Backlog",T1788="Pipeline",T1788="Overdue"),ISNUMBER(W1788)),IF(W1788&lt;=Settings!$B$6,Q1788,0),0)</f>
        <v>0</v>
      </c>
      <c r="Z1788" s="38" t="n">
        <f aca="false">IF(Y1788=0,0,IF(T1788="Backlog",Q1788,Q1788*Dashboard!$C$10))</f>
        <v>0</v>
      </c>
      <c r="AA1788" s="37" t="n">
        <f aca="false">IF($N1788="",0,IF(COUNTIF(Dashboard!$C$13:$C$22,$N1788)&gt;0,1,0))</f>
        <v>0</v>
      </c>
      <c r="AB1788" s="37" t="str">
        <f aca="false">IF($N1788="","",IF(COUNTIF($N$8:$N1788,$N1788)=1,MAX($AB$7:$AB1787)+1,""))</f>
        <v/>
      </c>
    </row>
    <row r="1789" customFormat="false" ht="15" hidden="false" customHeight="false" outlineLevel="0" collapsed="false">
      <c r="L1789" s="37" t="str">
        <f aca="false">IF(INDEX($A1789:$J1789,$L$6)&lt;&gt;"",TRIM(LEFT(INDEX($A1789:$J1789,$L$6),FIND("(",INDEX($A1789:$J1789,$L$6)&amp;"(")-1)),L1788)</f>
        <v>Building Value Proposition</v>
      </c>
      <c r="M1789" s="37" t="str">
        <f aca="false">IF(INDEX($A1789:$J1789,$M$6)="","",INDEX($A1789:$J1789,$M$6)&amp;"")</f>
        <v/>
      </c>
      <c r="N1789" s="37" t="str">
        <f aca="false">IF($M1789="","",TRIM(INDEX($A1789:$J1789,$N$6)&amp;""))</f>
        <v/>
      </c>
      <c r="O1789" s="37" t="str">
        <f aca="false">IF($M1789="","",TRIM(INDEX($A1789:$J1789,$O$6)&amp;""))</f>
        <v/>
      </c>
      <c r="P1789" s="37" t="str">
        <f aca="false">IF($M1789="","",IFERROR(IF(INDEX(Settings!$B$41:$B$50,MATCH(O1789,Settings!$A$41:$A$50,0))&amp;""="","UNMAPPED",INDEX(Settings!$B$41:$B$50,MATCH(O1789,Settings!$A$41:$A$50,0))&amp;""),"UNMAPPED"))</f>
        <v/>
      </c>
      <c r="Q1789" s="38" t="n">
        <f aca="false">IF($M1789="",0,N(INDEX($A1789:$J1789,$Q$6)))</f>
        <v>0</v>
      </c>
      <c r="R1789" s="39" t="str">
        <f aca="false">IF($M1789="","",INDEX($A1789:$J1789,$R$6))</f>
        <v/>
      </c>
      <c r="S1789" s="37" t="str">
        <f aca="false">IF($M1789="","",IFERROR(INDEX(Settings!$B$27:$B$36,MATCH(L1789,Settings!$A$27:$A$36,0))&amp;"","UNMAPPED"))</f>
        <v/>
      </c>
      <c r="T1789" s="37" t="str">
        <f aca="false">IF($M1789="","",IF(NOT(ISNUMBER(R1789)),"NO DATE",IF(S1789="Won",IF(R1789&gt;Settings!$B$5,"Backlog","Delivered"),IF(S1789="Open",IF(R1789&gt;Settings!$B$5,"Pipeline","Overdue"),IF(S1789="Lost","Lost","UNMAPPED")))))</f>
        <v/>
      </c>
      <c r="U1789" s="40" t="n">
        <f aca="false">IF(T1789="Backlog",1,IF(OR(T1789="Pipeline",T1789="Overdue"),N(INDEX(Settings!$C$27:$C$36,MATCH(L1789,Settings!$A$27:$A$36,0))),0))</f>
        <v>0</v>
      </c>
      <c r="V1789" s="38" t="n">
        <f aca="false">Q1789*U1789</f>
        <v>0</v>
      </c>
      <c r="W1789" s="41" t="str">
        <f aca="false">IF($M1789="","",IF(T1789="Overdue",IF(Settings!$B$8="Yes",Settings!$B$7,""),IF(ISNUMBER(R1789),DATE(YEAR(R1789),MONTH(R1789),1),"")))</f>
        <v/>
      </c>
      <c r="X1789" s="38" t="n">
        <f aca="false">IF(AND(OR(T1789="Backlog",T1789="Pipeline",T1789="Overdue"),ISNUMBER(W1789)),IF(W1789&lt;=Settings!$B$6,V1789,0),0)</f>
        <v>0</v>
      </c>
      <c r="Y1789" s="38" t="n">
        <f aca="false">IF(AND(OR(T1789="Backlog",T1789="Pipeline",T1789="Overdue"),ISNUMBER(W1789)),IF(W1789&lt;=Settings!$B$6,Q1789,0),0)</f>
        <v>0</v>
      </c>
      <c r="Z1789" s="38" t="n">
        <f aca="false">IF(Y1789=0,0,IF(T1789="Backlog",Q1789,Q1789*Dashboard!$C$10))</f>
        <v>0</v>
      </c>
      <c r="AA1789" s="37" t="n">
        <f aca="false">IF($N1789="",0,IF(COUNTIF(Dashboard!$C$13:$C$22,$N1789)&gt;0,1,0))</f>
        <v>0</v>
      </c>
      <c r="AB1789" s="37" t="str">
        <f aca="false">IF($N1789="","",IF(COUNTIF($N$8:$N1789,$N1789)=1,MAX($AB$7:$AB1788)+1,""))</f>
        <v/>
      </c>
    </row>
    <row r="1790" customFormat="false" ht="15" hidden="false" customHeight="false" outlineLevel="0" collapsed="false">
      <c r="L1790" s="37" t="str">
        <f aca="false">IF(INDEX($A1790:$J1790,$L$6)&lt;&gt;"",TRIM(LEFT(INDEX($A1790:$J1790,$L$6),FIND("(",INDEX($A1790:$J1790,$L$6)&amp;"(")-1)),L1789)</f>
        <v>Building Value Proposition</v>
      </c>
      <c r="M1790" s="37" t="str">
        <f aca="false">IF(INDEX($A1790:$J1790,$M$6)="","",INDEX($A1790:$J1790,$M$6)&amp;"")</f>
        <v/>
      </c>
      <c r="N1790" s="37" t="str">
        <f aca="false">IF($M1790="","",TRIM(INDEX($A1790:$J1790,$N$6)&amp;""))</f>
        <v/>
      </c>
      <c r="O1790" s="37" t="str">
        <f aca="false">IF($M1790="","",TRIM(INDEX($A1790:$J1790,$O$6)&amp;""))</f>
        <v/>
      </c>
      <c r="P1790" s="37" t="str">
        <f aca="false">IF($M1790="","",IFERROR(IF(INDEX(Settings!$B$41:$B$50,MATCH(O1790,Settings!$A$41:$A$50,0))&amp;""="","UNMAPPED",INDEX(Settings!$B$41:$B$50,MATCH(O1790,Settings!$A$41:$A$50,0))&amp;""),"UNMAPPED"))</f>
        <v/>
      </c>
      <c r="Q1790" s="38" t="n">
        <f aca="false">IF($M1790="",0,N(INDEX($A1790:$J1790,$Q$6)))</f>
        <v>0</v>
      </c>
      <c r="R1790" s="39" t="str">
        <f aca="false">IF($M1790="","",INDEX($A1790:$J1790,$R$6))</f>
        <v/>
      </c>
      <c r="S1790" s="37" t="str">
        <f aca="false">IF($M1790="","",IFERROR(INDEX(Settings!$B$27:$B$36,MATCH(L1790,Settings!$A$27:$A$36,0))&amp;"","UNMAPPED"))</f>
        <v/>
      </c>
      <c r="T1790" s="37" t="str">
        <f aca="false">IF($M1790="","",IF(NOT(ISNUMBER(R1790)),"NO DATE",IF(S1790="Won",IF(R1790&gt;Settings!$B$5,"Backlog","Delivered"),IF(S1790="Open",IF(R1790&gt;Settings!$B$5,"Pipeline","Overdue"),IF(S1790="Lost","Lost","UNMAPPED")))))</f>
        <v/>
      </c>
      <c r="U1790" s="40" t="n">
        <f aca="false">IF(T1790="Backlog",1,IF(OR(T1790="Pipeline",T1790="Overdue"),N(INDEX(Settings!$C$27:$C$36,MATCH(L1790,Settings!$A$27:$A$36,0))),0))</f>
        <v>0</v>
      </c>
      <c r="V1790" s="38" t="n">
        <f aca="false">Q1790*U1790</f>
        <v>0</v>
      </c>
      <c r="W1790" s="41" t="str">
        <f aca="false">IF($M1790="","",IF(T1790="Overdue",IF(Settings!$B$8="Yes",Settings!$B$7,""),IF(ISNUMBER(R1790),DATE(YEAR(R1790),MONTH(R1790),1),"")))</f>
        <v/>
      </c>
      <c r="X1790" s="38" t="n">
        <f aca="false">IF(AND(OR(T1790="Backlog",T1790="Pipeline",T1790="Overdue"),ISNUMBER(W1790)),IF(W1790&lt;=Settings!$B$6,V1790,0),0)</f>
        <v>0</v>
      </c>
      <c r="Y1790" s="38" t="n">
        <f aca="false">IF(AND(OR(T1790="Backlog",T1790="Pipeline",T1790="Overdue"),ISNUMBER(W1790)),IF(W1790&lt;=Settings!$B$6,Q1790,0),0)</f>
        <v>0</v>
      </c>
      <c r="Z1790" s="38" t="n">
        <f aca="false">IF(Y1790=0,0,IF(T1790="Backlog",Q1790,Q1790*Dashboard!$C$10))</f>
        <v>0</v>
      </c>
      <c r="AA1790" s="37" t="n">
        <f aca="false">IF($N1790="",0,IF(COUNTIF(Dashboard!$C$13:$C$22,$N1790)&gt;0,1,0))</f>
        <v>0</v>
      </c>
      <c r="AB1790" s="37" t="str">
        <f aca="false">IF($N1790="","",IF(COUNTIF($N$8:$N1790,$N1790)=1,MAX($AB$7:$AB1789)+1,""))</f>
        <v/>
      </c>
    </row>
    <row r="1791" customFormat="false" ht="15" hidden="false" customHeight="false" outlineLevel="0" collapsed="false">
      <c r="L1791" s="37" t="str">
        <f aca="false">IF(INDEX($A1791:$J1791,$L$6)&lt;&gt;"",TRIM(LEFT(INDEX($A1791:$J1791,$L$6),FIND("(",INDEX($A1791:$J1791,$L$6)&amp;"(")-1)),L1790)</f>
        <v>Building Value Proposition</v>
      </c>
      <c r="M1791" s="37" t="str">
        <f aca="false">IF(INDEX($A1791:$J1791,$M$6)="","",INDEX($A1791:$J1791,$M$6)&amp;"")</f>
        <v/>
      </c>
      <c r="N1791" s="37" t="str">
        <f aca="false">IF($M1791="","",TRIM(INDEX($A1791:$J1791,$N$6)&amp;""))</f>
        <v/>
      </c>
      <c r="O1791" s="37" t="str">
        <f aca="false">IF($M1791="","",TRIM(INDEX($A1791:$J1791,$O$6)&amp;""))</f>
        <v/>
      </c>
      <c r="P1791" s="37" t="str">
        <f aca="false">IF($M1791="","",IFERROR(IF(INDEX(Settings!$B$41:$B$50,MATCH(O1791,Settings!$A$41:$A$50,0))&amp;""="","UNMAPPED",INDEX(Settings!$B$41:$B$50,MATCH(O1791,Settings!$A$41:$A$50,0))&amp;""),"UNMAPPED"))</f>
        <v/>
      </c>
      <c r="Q1791" s="38" t="n">
        <f aca="false">IF($M1791="",0,N(INDEX($A1791:$J1791,$Q$6)))</f>
        <v>0</v>
      </c>
      <c r="R1791" s="39" t="str">
        <f aca="false">IF($M1791="","",INDEX($A1791:$J1791,$R$6))</f>
        <v/>
      </c>
      <c r="S1791" s="37" t="str">
        <f aca="false">IF($M1791="","",IFERROR(INDEX(Settings!$B$27:$B$36,MATCH(L1791,Settings!$A$27:$A$36,0))&amp;"","UNMAPPED"))</f>
        <v/>
      </c>
      <c r="T1791" s="37" t="str">
        <f aca="false">IF($M1791="","",IF(NOT(ISNUMBER(R1791)),"NO DATE",IF(S1791="Won",IF(R1791&gt;Settings!$B$5,"Backlog","Delivered"),IF(S1791="Open",IF(R1791&gt;Settings!$B$5,"Pipeline","Overdue"),IF(S1791="Lost","Lost","UNMAPPED")))))</f>
        <v/>
      </c>
      <c r="U1791" s="40" t="n">
        <f aca="false">IF(T1791="Backlog",1,IF(OR(T1791="Pipeline",T1791="Overdue"),N(INDEX(Settings!$C$27:$C$36,MATCH(L1791,Settings!$A$27:$A$36,0))),0))</f>
        <v>0</v>
      </c>
      <c r="V1791" s="38" t="n">
        <f aca="false">Q1791*U1791</f>
        <v>0</v>
      </c>
      <c r="W1791" s="41" t="str">
        <f aca="false">IF($M1791="","",IF(T1791="Overdue",IF(Settings!$B$8="Yes",Settings!$B$7,""),IF(ISNUMBER(R1791),DATE(YEAR(R1791),MONTH(R1791),1),"")))</f>
        <v/>
      </c>
      <c r="X1791" s="38" t="n">
        <f aca="false">IF(AND(OR(T1791="Backlog",T1791="Pipeline",T1791="Overdue"),ISNUMBER(W1791)),IF(W1791&lt;=Settings!$B$6,V1791,0),0)</f>
        <v>0</v>
      </c>
      <c r="Y1791" s="38" t="n">
        <f aca="false">IF(AND(OR(T1791="Backlog",T1791="Pipeline",T1791="Overdue"),ISNUMBER(W1791)),IF(W1791&lt;=Settings!$B$6,Q1791,0),0)</f>
        <v>0</v>
      </c>
      <c r="Z1791" s="38" t="n">
        <f aca="false">IF(Y1791=0,0,IF(T1791="Backlog",Q1791,Q1791*Dashboard!$C$10))</f>
        <v>0</v>
      </c>
      <c r="AA1791" s="37" t="n">
        <f aca="false">IF($N1791="",0,IF(COUNTIF(Dashboard!$C$13:$C$22,$N1791)&gt;0,1,0))</f>
        <v>0</v>
      </c>
      <c r="AB1791" s="37" t="str">
        <f aca="false">IF($N1791="","",IF(COUNTIF($N$8:$N1791,$N1791)=1,MAX($AB$7:$AB1790)+1,""))</f>
        <v/>
      </c>
    </row>
    <row r="1792" customFormat="false" ht="15" hidden="false" customHeight="false" outlineLevel="0" collapsed="false">
      <c r="L1792" s="37" t="str">
        <f aca="false">IF(INDEX($A1792:$J1792,$L$6)&lt;&gt;"",TRIM(LEFT(INDEX($A1792:$J1792,$L$6),FIND("(",INDEX($A1792:$J1792,$L$6)&amp;"(")-1)),L1791)</f>
        <v>Building Value Proposition</v>
      </c>
      <c r="M1792" s="37" t="str">
        <f aca="false">IF(INDEX($A1792:$J1792,$M$6)="","",INDEX($A1792:$J1792,$M$6)&amp;"")</f>
        <v/>
      </c>
      <c r="N1792" s="37" t="str">
        <f aca="false">IF($M1792="","",TRIM(INDEX($A1792:$J1792,$N$6)&amp;""))</f>
        <v/>
      </c>
      <c r="O1792" s="37" t="str">
        <f aca="false">IF($M1792="","",TRIM(INDEX($A1792:$J1792,$O$6)&amp;""))</f>
        <v/>
      </c>
      <c r="P1792" s="37" t="str">
        <f aca="false">IF($M1792="","",IFERROR(IF(INDEX(Settings!$B$41:$B$50,MATCH(O1792,Settings!$A$41:$A$50,0))&amp;""="","UNMAPPED",INDEX(Settings!$B$41:$B$50,MATCH(O1792,Settings!$A$41:$A$50,0))&amp;""),"UNMAPPED"))</f>
        <v/>
      </c>
      <c r="Q1792" s="38" t="n">
        <f aca="false">IF($M1792="",0,N(INDEX($A1792:$J1792,$Q$6)))</f>
        <v>0</v>
      </c>
      <c r="R1792" s="39" t="str">
        <f aca="false">IF($M1792="","",INDEX($A1792:$J1792,$R$6))</f>
        <v/>
      </c>
      <c r="S1792" s="37" t="str">
        <f aca="false">IF($M1792="","",IFERROR(INDEX(Settings!$B$27:$B$36,MATCH(L1792,Settings!$A$27:$A$36,0))&amp;"","UNMAPPED"))</f>
        <v/>
      </c>
      <c r="T1792" s="37" t="str">
        <f aca="false">IF($M1792="","",IF(NOT(ISNUMBER(R1792)),"NO DATE",IF(S1792="Won",IF(R1792&gt;Settings!$B$5,"Backlog","Delivered"),IF(S1792="Open",IF(R1792&gt;Settings!$B$5,"Pipeline","Overdue"),IF(S1792="Lost","Lost","UNMAPPED")))))</f>
        <v/>
      </c>
      <c r="U1792" s="40" t="n">
        <f aca="false">IF(T1792="Backlog",1,IF(OR(T1792="Pipeline",T1792="Overdue"),N(INDEX(Settings!$C$27:$C$36,MATCH(L1792,Settings!$A$27:$A$36,0))),0))</f>
        <v>0</v>
      </c>
      <c r="V1792" s="38" t="n">
        <f aca="false">Q1792*U1792</f>
        <v>0</v>
      </c>
      <c r="W1792" s="41" t="str">
        <f aca="false">IF($M1792="","",IF(T1792="Overdue",IF(Settings!$B$8="Yes",Settings!$B$7,""),IF(ISNUMBER(R1792),DATE(YEAR(R1792),MONTH(R1792),1),"")))</f>
        <v/>
      </c>
      <c r="X1792" s="38" t="n">
        <f aca="false">IF(AND(OR(T1792="Backlog",T1792="Pipeline",T1792="Overdue"),ISNUMBER(W1792)),IF(W1792&lt;=Settings!$B$6,V1792,0),0)</f>
        <v>0</v>
      </c>
      <c r="Y1792" s="38" t="n">
        <f aca="false">IF(AND(OR(T1792="Backlog",T1792="Pipeline",T1792="Overdue"),ISNUMBER(W1792)),IF(W1792&lt;=Settings!$B$6,Q1792,0),0)</f>
        <v>0</v>
      </c>
      <c r="Z1792" s="38" t="n">
        <f aca="false">IF(Y1792=0,0,IF(T1792="Backlog",Q1792,Q1792*Dashboard!$C$10))</f>
        <v>0</v>
      </c>
      <c r="AA1792" s="37" t="n">
        <f aca="false">IF($N1792="",0,IF(COUNTIF(Dashboard!$C$13:$C$22,$N1792)&gt;0,1,0))</f>
        <v>0</v>
      </c>
      <c r="AB1792" s="37" t="str">
        <f aca="false">IF($N1792="","",IF(COUNTIF($N$8:$N1792,$N1792)=1,MAX($AB$7:$AB1791)+1,""))</f>
        <v/>
      </c>
    </row>
    <row r="1793" customFormat="false" ht="15" hidden="false" customHeight="false" outlineLevel="0" collapsed="false">
      <c r="L1793" s="37" t="str">
        <f aca="false">IF(INDEX($A1793:$J1793,$L$6)&lt;&gt;"",TRIM(LEFT(INDEX($A1793:$J1793,$L$6),FIND("(",INDEX($A1793:$J1793,$L$6)&amp;"(")-1)),L1792)</f>
        <v>Building Value Proposition</v>
      </c>
      <c r="M1793" s="37" t="str">
        <f aca="false">IF(INDEX($A1793:$J1793,$M$6)="","",INDEX($A1793:$J1793,$M$6)&amp;"")</f>
        <v/>
      </c>
      <c r="N1793" s="37" t="str">
        <f aca="false">IF($M1793="","",TRIM(INDEX($A1793:$J1793,$N$6)&amp;""))</f>
        <v/>
      </c>
      <c r="O1793" s="37" t="str">
        <f aca="false">IF($M1793="","",TRIM(INDEX($A1793:$J1793,$O$6)&amp;""))</f>
        <v/>
      </c>
      <c r="P1793" s="37" t="str">
        <f aca="false">IF($M1793="","",IFERROR(IF(INDEX(Settings!$B$41:$B$50,MATCH(O1793,Settings!$A$41:$A$50,0))&amp;""="","UNMAPPED",INDEX(Settings!$B$41:$B$50,MATCH(O1793,Settings!$A$41:$A$50,0))&amp;""),"UNMAPPED"))</f>
        <v/>
      </c>
      <c r="Q1793" s="38" t="n">
        <f aca="false">IF($M1793="",0,N(INDEX($A1793:$J1793,$Q$6)))</f>
        <v>0</v>
      </c>
      <c r="R1793" s="39" t="str">
        <f aca="false">IF($M1793="","",INDEX($A1793:$J1793,$R$6))</f>
        <v/>
      </c>
      <c r="S1793" s="37" t="str">
        <f aca="false">IF($M1793="","",IFERROR(INDEX(Settings!$B$27:$B$36,MATCH(L1793,Settings!$A$27:$A$36,0))&amp;"","UNMAPPED"))</f>
        <v/>
      </c>
      <c r="T1793" s="37" t="str">
        <f aca="false">IF($M1793="","",IF(NOT(ISNUMBER(R1793)),"NO DATE",IF(S1793="Won",IF(R1793&gt;Settings!$B$5,"Backlog","Delivered"),IF(S1793="Open",IF(R1793&gt;Settings!$B$5,"Pipeline","Overdue"),IF(S1793="Lost","Lost","UNMAPPED")))))</f>
        <v/>
      </c>
      <c r="U1793" s="40" t="n">
        <f aca="false">IF(T1793="Backlog",1,IF(OR(T1793="Pipeline",T1793="Overdue"),N(INDEX(Settings!$C$27:$C$36,MATCH(L1793,Settings!$A$27:$A$36,0))),0))</f>
        <v>0</v>
      </c>
      <c r="V1793" s="38" t="n">
        <f aca="false">Q1793*U1793</f>
        <v>0</v>
      </c>
      <c r="W1793" s="41" t="str">
        <f aca="false">IF($M1793="","",IF(T1793="Overdue",IF(Settings!$B$8="Yes",Settings!$B$7,""),IF(ISNUMBER(R1793),DATE(YEAR(R1793),MONTH(R1793),1),"")))</f>
        <v/>
      </c>
      <c r="X1793" s="38" t="n">
        <f aca="false">IF(AND(OR(T1793="Backlog",T1793="Pipeline",T1793="Overdue"),ISNUMBER(W1793)),IF(W1793&lt;=Settings!$B$6,V1793,0),0)</f>
        <v>0</v>
      </c>
      <c r="Y1793" s="38" t="n">
        <f aca="false">IF(AND(OR(T1793="Backlog",T1793="Pipeline",T1793="Overdue"),ISNUMBER(W1793)),IF(W1793&lt;=Settings!$B$6,Q1793,0),0)</f>
        <v>0</v>
      </c>
      <c r="Z1793" s="38" t="n">
        <f aca="false">IF(Y1793=0,0,IF(T1793="Backlog",Q1793,Q1793*Dashboard!$C$10))</f>
        <v>0</v>
      </c>
      <c r="AA1793" s="37" t="n">
        <f aca="false">IF($N1793="",0,IF(COUNTIF(Dashboard!$C$13:$C$22,$N1793)&gt;0,1,0))</f>
        <v>0</v>
      </c>
      <c r="AB1793" s="37" t="str">
        <f aca="false">IF($N1793="","",IF(COUNTIF($N$8:$N1793,$N1793)=1,MAX($AB$7:$AB1792)+1,""))</f>
        <v/>
      </c>
    </row>
    <row r="1794" customFormat="false" ht="15" hidden="false" customHeight="false" outlineLevel="0" collapsed="false">
      <c r="L1794" s="37" t="str">
        <f aca="false">IF(INDEX($A1794:$J1794,$L$6)&lt;&gt;"",TRIM(LEFT(INDEX($A1794:$J1794,$L$6),FIND("(",INDEX($A1794:$J1794,$L$6)&amp;"(")-1)),L1793)</f>
        <v>Building Value Proposition</v>
      </c>
      <c r="M1794" s="37" t="str">
        <f aca="false">IF(INDEX($A1794:$J1794,$M$6)="","",INDEX($A1794:$J1794,$M$6)&amp;"")</f>
        <v/>
      </c>
      <c r="N1794" s="37" t="str">
        <f aca="false">IF($M1794="","",TRIM(INDEX($A1794:$J1794,$N$6)&amp;""))</f>
        <v/>
      </c>
      <c r="O1794" s="37" t="str">
        <f aca="false">IF($M1794="","",TRIM(INDEX($A1794:$J1794,$O$6)&amp;""))</f>
        <v/>
      </c>
      <c r="P1794" s="37" t="str">
        <f aca="false">IF($M1794="","",IFERROR(IF(INDEX(Settings!$B$41:$B$50,MATCH(O1794,Settings!$A$41:$A$50,0))&amp;""="","UNMAPPED",INDEX(Settings!$B$41:$B$50,MATCH(O1794,Settings!$A$41:$A$50,0))&amp;""),"UNMAPPED"))</f>
        <v/>
      </c>
      <c r="Q1794" s="38" t="n">
        <f aca="false">IF($M1794="",0,N(INDEX($A1794:$J1794,$Q$6)))</f>
        <v>0</v>
      </c>
      <c r="R1794" s="39" t="str">
        <f aca="false">IF($M1794="","",INDEX($A1794:$J1794,$R$6))</f>
        <v/>
      </c>
      <c r="S1794" s="37" t="str">
        <f aca="false">IF($M1794="","",IFERROR(INDEX(Settings!$B$27:$B$36,MATCH(L1794,Settings!$A$27:$A$36,0))&amp;"","UNMAPPED"))</f>
        <v/>
      </c>
      <c r="T1794" s="37" t="str">
        <f aca="false">IF($M1794="","",IF(NOT(ISNUMBER(R1794)),"NO DATE",IF(S1794="Won",IF(R1794&gt;Settings!$B$5,"Backlog","Delivered"),IF(S1794="Open",IF(R1794&gt;Settings!$B$5,"Pipeline","Overdue"),IF(S1794="Lost","Lost","UNMAPPED")))))</f>
        <v/>
      </c>
      <c r="U1794" s="40" t="n">
        <f aca="false">IF(T1794="Backlog",1,IF(OR(T1794="Pipeline",T1794="Overdue"),N(INDEX(Settings!$C$27:$C$36,MATCH(L1794,Settings!$A$27:$A$36,0))),0))</f>
        <v>0</v>
      </c>
      <c r="V1794" s="38" t="n">
        <f aca="false">Q1794*U1794</f>
        <v>0</v>
      </c>
      <c r="W1794" s="41" t="str">
        <f aca="false">IF($M1794="","",IF(T1794="Overdue",IF(Settings!$B$8="Yes",Settings!$B$7,""),IF(ISNUMBER(R1794),DATE(YEAR(R1794),MONTH(R1794),1),"")))</f>
        <v/>
      </c>
      <c r="X1794" s="38" t="n">
        <f aca="false">IF(AND(OR(T1794="Backlog",T1794="Pipeline",T1794="Overdue"),ISNUMBER(W1794)),IF(W1794&lt;=Settings!$B$6,V1794,0),0)</f>
        <v>0</v>
      </c>
      <c r="Y1794" s="38" t="n">
        <f aca="false">IF(AND(OR(T1794="Backlog",T1794="Pipeline",T1794="Overdue"),ISNUMBER(W1794)),IF(W1794&lt;=Settings!$B$6,Q1794,0),0)</f>
        <v>0</v>
      </c>
      <c r="Z1794" s="38" t="n">
        <f aca="false">IF(Y1794=0,0,IF(T1794="Backlog",Q1794,Q1794*Dashboard!$C$10))</f>
        <v>0</v>
      </c>
      <c r="AA1794" s="37" t="n">
        <f aca="false">IF($N1794="",0,IF(COUNTIF(Dashboard!$C$13:$C$22,$N1794)&gt;0,1,0))</f>
        <v>0</v>
      </c>
      <c r="AB1794" s="37" t="str">
        <f aca="false">IF($N1794="","",IF(COUNTIF($N$8:$N1794,$N1794)=1,MAX($AB$7:$AB1793)+1,""))</f>
        <v/>
      </c>
    </row>
    <row r="1795" customFormat="false" ht="15" hidden="false" customHeight="false" outlineLevel="0" collapsed="false">
      <c r="L1795" s="37" t="str">
        <f aca="false">IF(INDEX($A1795:$J1795,$L$6)&lt;&gt;"",TRIM(LEFT(INDEX($A1795:$J1795,$L$6),FIND("(",INDEX($A1795:$J1795,$L$6)&amp;"(")-1)),L1794)</f>
        <v>Building Value Proposition</v>
      </c>
      <c r="M1795" s="37" t="str">
        <f aca="false">IF(INDEX($A1795:$J1795,$M$6)="","",INDEX($A1795:$J1795,$M$6)&amp;"")</f>
        <v/>
      </c>
      <c r="N1795" s="37" t="str">
        <f aca="false">IF($M1795="","",TRIM(INDEX($A1795:$J1795,$N$6)&amp;""))</f>
        <v/>
      </c>
      <c r="O1795" s="37" t="str">
        <f aca="false">IF($M1795="","",TRIM(INDEX($A1795:$J1795,$O$6)&amp;""))</f>
        <v/>
      </c>
      <c r="P1795" s="37" t="str">
        <f aca="false">IF($M1795="","",IFERROR(IF(INDEX(Settings!$B$41:$B$50,MATCH(O1795,Settings!$A$41:$A$50,0))&amp;""="","UNMAPPED",INDEX(Settings!$B$41:$B$50,MATCH(O1795,Settings!$A$41:$A$50,0))&amp;""),"UNMAPPED"))</f>
        <v/>
      </c>
      <c r="Q1795" s="38" t="n">
        <f aca="false">IF($M1795="",0,N(INDEX($A1795:$J1795,$Q$6)))</f>
        <v>0</v>
      </c>
      <c r="R1795" s="39" t="str">
        <f aca="false">IF($M1795="","",INDEX($A1795:$J1795,$R$6))</f>
        <v/>
      </c>
      <c r="S1795" s="37" t="str">
        <f aca="false">IF($M1795="","",IFERROR(INDEX(Settings!$B$27:$B$36,MATCH(L1795,Settings!$A$27:$A$36,0))&amp;"","UNMAPPED"))</f>
        <v/>
      </c>
      <c r="T1795" s="37" t="str">
        <f aca="false">IF($M1795="","",IF(NOT(ISNUMBER(R1795)),"NO DATE",IF(S1795="Won",IF(R1795&gt;Settings!$B$5,"Backlog","Delivered"),IF(S1795="Open",IF(R1795&gt;Settings!$B$5,"Pipeline","Overdue"),IF(S1795="Lost","Lost","UNMAPPED")))))</f>
        <v/>
      </c>
      <c r="U1795" s="40" t="n">
        <f aca="false">IF(T1795="Backlog",1,IF(OR(T1795="Pipeline",T1795="Overdue"),N(INDEX(Settings!$C$27:$C$36,MATCH(L1795,Settings!$A$27:$A$36,0))),0))</f>
        <v>0</v>
      </c>
      <c r="V1795" s="38" t="n">
        <f aca="false">Q1795*U1795</f>
        <v>0</v>
      </c>
      <c r="W1795" s="41" t="str">
        <f aca="false">IF($M1795="","",IF(T1795="Overdue",IF(Settings!$B$8="Yes",Settings!$B$7,""),IF(ISNUMBER(R1795),DATE(YEAR(R1795),MONTH(R1795),1),"")))</f>
        <v/>
      </c>
      <c r="X1795" s="38" t="n">
        <f aca="false">IF(AND(OR(T1795="Backlog",T1795="Pipeline",T1795="Overdue"),ISNUMBER(W1795)),IF(W1795&lt;=Settings!$B$6,V1795,0),0)</f>
        <v>0</v>
      </c>
      <c r="Y1795" s="38" t="n">
        <f aca="false">IF(AND(OR(T1795="Backlog",T1795="Pipeline",T1795="Overdue"),ISNUMBER(W1795)),IF(W1795&lt;=Settings!$B$6,Q1795,0),0)</f>
        <v>0</v>
      </c>
      <c r="Z1795" s="38" t="n">
        <f aca="false">IF(Y1795=0,0,IF(T1795="Backlog",Q1795,Q1795*Dashboard!$C$10))</f>
        <v>0</v>
      </c>
      <c r="AA1795" s="37" t="n">
        <f aca="false">IF($N1795="",0,IF(COUNTIF(Dashboard!$C$13:$C$22,$N1795)&gt;0,1,0))</f>
        <v>0</v>
      </c>
      <c r="AB1795" s="37" t="str">
        <f aca="false">IF($N1795="","",IF(COUNTIF($N$8:$N1795,$N1795)=1,MAX($AB$7:$AB1794)+1,""))</f>
        <v/>
      </c>
    </row>
    <row r="1796" customFormat="false" ht="15" hidden="false" customHeight="false" outlineLevel="0" collapsed="false">
      <c r="L1796" s="37" t="str">
        <f aca="false">IF(INDEX($A1796:$J1796,$L$6)&lt;&gt;"",TRIM(LEFT(INDEX($A1796:$J1796,$L$6),FIND("(",INDEX($A1796:$J1796,$L$6)&amp;"(")-1)),L1795)</f>
        <v>Building Value Proposition</v>
      </c>
      <c r="M1796" s="37" t="str">
        <f aca="false">IF(INDEX($A1796:$J1796,$M$6)="","",INDEX($A1796:$J1796,$M$6)&amp;"")</f>
        <v/>
      </c>
      <c r="N1796" s="37" t="str">
        <f aca="false">IF($M1796="","",TRIM(INDEX($A1796:$J1796,$N$6)&amp;""))</f>
        <v/>
      </c>
      <c r="O1796" s="37" t="str">
        <f aca="false">IF($M1796="","",TRIM(INDEX($A1796:$J1796,$O$6)&amp;""))</f>
        <v/>
      </c>
      <c r="P1796" s="37" t="str">
        <f aca="false">IF($M1796="","",IFERROR(IF(INDEX(Settings!$B$41:$B$50,MATCH(O1796,Settings!$A$41:$A$50,0))&amp;""="","UNMAPPED",INDEX(Settings!$B$41:$B$50,MATCH(O1796,Settings!$A$41:$A$50,0))&amp;""),"UNMAPPED"))</f>
        <v/>
      </c>
      <c r="Q1796" s="38" t="n">
        <f aca="false">IF($M1796="",0,N(INDEX($A1796:$J1796,$Q$6)))</f>
        <v>0</v>
      </c>
      <c r="R1796" s="39" t="str">
        <f aca="false">IF($M1796="","",INDEX($A1796:$J1796,$R$6))</f>
        <v/>
      </c>
      <c r="S1796" s="37" t="str">
        <f aca="false">IF($M1796="","",IFERROR(INDEX(Settings!$B$27:$B$36,MATCH(L1796,Settings!$A$27:$A$36,0))&amp;"","UNMAPPED"))</f>
        <v/>
      </c>
      <c r="T1796" s="37" t="str">
        <f aca="false">IF($M1796="","",IF(NOT(ISNUMBER(R1796)),"NO DATE",IF(S1796="Won",IF(R1796&gt;Settings!$B$5,"Backlog","Delivered"),IF(S1796="Open",IF(R1796&gt;Settings!$B$5,"Pipeline","Overdue"),IF(S1796="Lost","Lost","UNMAPPED")))))</f>
        <v/>
      </c>
      <c r="U1796" s="40" t="n">
        <f aca="false">IF(T1796="Backlog",1,IF(OR(T1796="Pipeline",T1796="Overdue"),N(INDEX(Settings!$C$27:$C$36,MATCH(L1796,Settings!$A$27:$A$36,0))),0))</f>
        <v>0</v>
      </c>
      <c r="V1796" s="38" t="n">
        <f aca="false">Q1796*U1796</f>
        <v>0</v>
      </c>
      <c r="W1796" s="41" t="str">
        <f aca="false">IF($M1796="","",IF(T1796="Overdue",IF(Settings!$B$8="Yes",Settings!$B$7,""),IF(ISNUMBER(R1796),DATE(YEAR(R1796),MONTH(R1796),1),"")))</f>
        <v/>
      </c>
      <c r="X1796" s="38" t="n">
        <f aca="false">IF(AND(OR(T1796="Backlog",T1796="Pipeline",T1796="Overdue"),ISNUMBER(W1796)),IF(W1796&lt;=Settings!$B$6,V1796,0),0)</f>
        <v>0</v>
      </c>
      <c r="Y1796" s="38" t="n">
        <f aca="false">IF(AND(OR(T1796="Backlog",T1796="Pipeline",T1796="Overdue"),ISNUMBER(W1796)),IF(W1796&lt;=Settings!$B$6,Q1796,0),0)</f>
        <v>0</v>
      </c>
      <c r="Z1796" s="38" t="n">
        <f aca="false">IF(Y1796=0,0,IF(T1796="Backlog",Q1796,Q1796*Dashboard!$C$10))</f>
        <v>0</v>
      </c>
      <c r="AA1796" s="37" t="n">
        <f aca="false">IF($N1796="",0,IF(COUNTIF(Dashboard!$C$13:$C$22,$N1796)&gt;0,1,0))</f>
        <v>0</v>
      </c>
      <c r="AB1796" s="37" t="str">
        <f aca="false">IF($N1796="","",IF(COUNTIF($N$8:$N1796,$N1796)=1,MAX($AB$7:$AB1795)+1,""))</f>
        <v/>
      </c>
    </row>
    <row r="1797" customFormat="false" ht="15" hidden="false" customHeight="false" outlineLevel="0" collapsed="false">
      <c r="L1797" s="37" t="str">
        <f aca="false">IF(INDEX($A1797:$J1797,$L$6)&lt;&gt;"",TRIM(LEFT(INDEX($A1797:$J1797,$L$6),FIND("(",INDEX($A1797:$J1797,$L$6)&amp;"(")-1)),L1796)</f>
        <v>Building Value Proposition</v>
      </c>
      <c r="M1797" s="37" t="str">
        <f aca="false">IF(INDEX($A1797:$J1797,$M$6)="","",INDEX($A1797:$J1797,$M$6)&amp;"")</f>
        <v/>
      </c>
      <c r="N1797" s="37" t="str">
        <f aca="false">IF($M1797="","",TRIM(INDEX($A1797:$J1797,$N$6)&amp;""))</f>
        <v/>
      </c>
      <c r="O1797" s="37" t="str">
        <f aca="false">IF($M1797="","",TRIM(INDEX($A1797:$J1797,$O$6)&amp;""))</f>
        <v/>
      </c>
      <c r="P1797" s="37" t="str">
        <f aca="false">IF($M1797="","",IFERROR(IF(INDEX(Settings!$B$41:$B$50,MATCH(O1797,Settings!$A$41:$A$50,0))&amp;""="","UNMAPPED",INDEX(Settings!$B$41:$B$50,MATCH(O1797,Settings!$A$41:$A$50,0))&amp;""),"UNMAPPED"))</f>
        <v/>
      </c>
      <c r="Q1797" s="38" t="n">
        <f aca="false">IF($M1797="",0,N(INDEX($A1797:$J1797,$Q$6)))</f>
        <v>0</v>
      </c>
      <c r="R1797" s="39" t="str">
        <f aca="false">IF($M1797="","",INDEX($A1797:$J1797,$R$6))</f>
        <v/>
      </c>
      <c r="S1797" s="37" t="str">
        <f aca="false">IF($M1797="","",IFERROR(INDEX(Settings!$B$27:$B$36,MATCH(L1797,Settings!$A$27:$A$36,0))&amp;"","UNMAPPED"))</f>
        <v/>
      </c>
      <c r="T1797" s="37" t="str">
        <f aca="false">IF($M1797="","",IF(NOT(ISNUMBER(R1797)),"NO DATE",IF(S1797="Won",IF(R1797&gt;Settings!$B$5,"Backlog","Delivered"),IF(S1797="Open",IF(R1797&gt;Settings!$B$5,"Pipeline","Overdue"),IF(S1797="Lost","Lost","UNMAPPED")))))</f>
        <v/>
      </c>
      <c r="U1797" s="40" t="n">
        <f aca="false">IF(T1797="Backlog",1,IF(OR(T1797="Pipeline",T1797="Overdue"),N(INDEX(Settings!$C$27:$C$36,MATCH(L1797,Settings!$A$27:$A$36,0))),0))</f>
        <v>0</v>
      </c>
      <c r="V1797" s="38" t="n">
        <f aca="false">Q1797*U1797</f>
        <v>0</v>
      </c>
      <c r="W1797" s="41" t="str">
        <f aca="false">IF($M1797="","",IF(T1797="Overdue",IF(Settings!$B$8="Yes",Settings!$B$7,""),IF(ISNUMBER(R1797),DATE(YEAR(R1797),MONTH(R1797),1),"")))</f>
        <v/>
      </c>
      <c r="X1797" s="38" t="n">
        <f aca="false">IF(AND(OR(T1797="Backlog",T1797="Pipeline",T1797="Overdue"),ISNUMBER(W1797)),IF(W1797&lt;=Settings!$B$6,V1797,0),0)</f>
        <v>0</v>
      </c>
      <c r="Y1797" s="38" t="n">
        <f aca="false">IF(AND(OR(T1797="Backlog",T1797="Pipeline",T1797="Overdue"),ISNUMBER(W1797)),IF(W1797&lt;=Settings!$B$6,Q1797,0),0)</f>
        <v>0</v>
      </c>
      <c r="Z1797" s="38" t="n">
        <f aca="false">IF(Y1797=0,0,IF(T1797="Backlog",Q1797,Q1797*Dashboard!$C$10))</f>
        <v>0</v>
      </c>
      <c r="AA1797" s="37" t="n">
        <f aca="false">IF($N1797="",0,IF(COUNTIF(Dashboard!$C$13:$C$22,$N1797)&gt;0,1,0))</f>
        <v>0</v>
      </c>
      <c r="AB1797" s="37" t="str">
        <f aca="false">IF($N1797="","",IF(COUNTIF($N$8:$N1797,$N1797)=1,MAX($AB$7:$AB1796)+1,""))</f>
        <v/>
      </c>
    </row>
    <row r="1798" customFormat="false" ht="15" hidden="false" customHeight="false" outlineLevel="0" collapsed="false">
      <c r="L1798" s="37" t="str">
        <f aca="false">IF(INDEX($A1798:$J1798,$L$6)&lt;&gt;"",TRIM(LEFT(INDEX($A1798:$J1798,$L$6),FIND("(",INDEX($A1798:$J1798,$L$6)&amp;"(")-1)),L1797)</f>
        <v>Building Value Proposition</v>
      </c>
      <c r="M1798" s="37" t="str">
        <f aca="false">IF(INDEX($A1798:$J1798,$M$6)="","",INDEX($A1798:$J1798,$M$6)&amp;"")</f>
        <v/>
      </c>
      <c r="N1798" s="37" t="str">
        <f aca="false">IF($M1798="","",TRIM(INDEX($A1798:$J1798,$N$6)&amp;""))</f>
        <v/>
      </c>
      <c r="O1798" s="37" t="str">
        <f aca="false">IF($M1798="","",TRIM(INDEX($A1798:$J1798,$O$6)&amp;""))</f>
        <v/>
      </c>
      <c r="P1798" s="37" t="str">
        <f aca="false">IF($M1798="","",IFERROR(IF(INDEX(Settings!$B$41:$B$50,MATCH(O1798,Settings!$A$41:$A$50,0))&amp;""="","UNMAPPED",INDEX(Settings!$B$41:$B$50,MATCH(O1798,Settings!$A$41:$A$50,0))&amp;""),"UNMAPPED"))</f>
        <v/>
      </c>
      <c r="Q1798" s="38" t="n">
        <f aca="false">IF($M1798="",0,N(INDEX($A1798:$J1798,$Q$6)))</f>
        <v>0</v>
      </c>
      <c r="R1798" s="39" t="str">
        <f aca="false">IF($M1798="","",INDEX($A1798:$J1798,$R$6))</f>
        <v/>
      </c>
      <c r="S1798" s="37" t="str">
        <f aca="false">IF($M1798="","",IFERROR(INDEX(Settings!$B$27:$B$36,MATCH(L1798,Settings!$A$27:$A$36,0))&amp;"","UNMAPPED"))</f>
        <v/>
      </c>
      <c r="T1798" s="37" t="str">
        <f aca="false">IF($M1798="","",IF(NOT(ISNUMBER(R1798)),"NO DATE",IF(S1798="Won",IF(R1798&gt;Settings!$B$5,"Backlog","Delivered"),IF(S1798="Open",IF(R1798&gt;Settings!$B$5,"Pipeline","Overdue"),IF(S1798="Lost","Lost","UNMAPPED")))))</f>
        <v/>
      </c>
      <c r="U1798" s="40" t="n">
        <f aca="false">IF(T1798="Backlog",1,IF(OR(T1798="Pipeline",T1798="Overdue"),N(INDEX(Settings!$C$27:$C$36,MATCH(L1798,Settings!$A$27:$A$36,0))),0))</f>
        <v>0</v>
      </c>
      <c r="V1798" s="38" t="n">
        <f aca="false">Q1798*U1798</f>
        <v>0</v>
      </c>
      <c r="W1798" s="41" t="str">
        <f aca="false">IF($M1798="","",IF(T1798="Overdue",IF(Settings!$B$8="Yes",Settings!$B$7,""),IF(ISNUMBER(R1798),DATE(YEAR(R1798),MONTH(R1798),1),"")))</f>
        <v/>
      </c>
      <c r="X1798" s="38" t="n">
        <f aca="false">IF(AND(OR(T1798="Backlog",T1798="Pipeline",T1798="Overdue"),ISNUMBER(W1798)),IF(W1798&lt;=Settings!$B$6,V1798,0),0)</f>
        <v>0</v>
      </c>
      <c r="Y1798" s="38" t="n">
        <f aca="false">IF(AND(OR(T1798="Backlog",T1798="Pipeline",T1798="Overdue"),ISNUMBER(W1798)),IF(W1798&lt;=Settings!$B$6,Q1798,0),0)</f>
        <v>0</v>
      </c>
      <c r="Z1798" s="38" t="n">
        <f aca="false">IF(Y1798=0,0,IF(T1798="Backlog",Q1798,Q1798*Dashboard!$C$10))</f>
        <v>0</v>
      </c>
      <c r="AA1798" s="37" t="n">
        <f aca="false">IF($N1798="",0,IF(COUNTIF(Dashboard!$C$13:$C$22,$N1798)&gt;0,1,0))</f>
        <v>0</v>
      </c>
      <c r="AB1798" s="37" t="str">
        <f aca="false">IF($N1798="","",IF(COUNTIF($N$8:$N1798,$N1798)=1,MAX($AB$7:$AB1797)+1,""))</f>
        <v/>
      </c>
    </row>
    <row r="1799" customFormat="false" ht="15" hidden="false" customHeight="false" outlineLevel="0" collapsed="false">
      <c r="L1799" s="37" t="str">
        <f aca="false">IF(INDEX($A1799:$J1799,$L$6)&lt;&gt;"",TRIM(LEFT(INDEX($A1799:$J1799,$L$6),FIND("(",INDEX($A1799:$J1799,$L$6)&amp;"(")-1)),L1798)</f>
        <v>Building Value Proposition</v>
      </c>
      <c r="M1799" s="37" t="str">
        <f aca="false">IF(INDEX($A1799:$J1799,$M$6)="","",INDEX($A1799:$J1799,$M$6)&amp;"")</f>
        <v/>
      </c>
      <c r="N1799" s="37" t="str">
        <f aca="false">IF($M1799="","",TRIM(INDEX($A1799:$J1799,$N$6)&amp;""))</f>
        <v/>
      </c>
      <c r="O1799" s="37" t="str">
        <f aca="false">IF($M1799="","",TRIM(INDEX($A1799:$J1799,$O$6)&amp;""))</f>
        <v/>
      </c>
      <c r="P1799" s="37" t="str">
        <f aca="false">IF($M1799="","",IFERROR(IF(INDEX(Settings!$B$41:$B$50,MATCH(O1799,Settings!$A$41:$A$50,0))&amp;""="","UNMAPPED",INDEX(Settings!$B$41:$B$50,MATCH(O1799,Settings!$A$41:$A$50,0))&amp;""),"UNMAPPED"))</f>
        <v/>
      </c>
      <c r="Q1799" s="38" t="n">
        <f aca="false">IF($M1799="",0,N(INDEX($A1799:$J1799,$Q$6)))</f>
        <v>0</v>
      </c>
      <c r="R1799" s="39" t="str">
        <f aca="false">IF($M1799="","",INDEX($A1799:$J1799,$R$6))</f>
        <v/>
      </c>
      <c r="S1799" s="37" t="str">
        <f aca="false">IF($M1799="","",IFERROR(INDEX(Settings!$B$27:$B$36,MATCH(L1799,Settings!$A$27:$A$36,0))&amp;"","UNMAPPED"))</f>
        <v/>
      </c>
      <c r="T1799" s="37" t="str">
        <f aca="false">IF($M1799="","",IF(NOT(ISNUMBER(R1799)),"NO DATE",IF(S1799="Won",IF(R1799&gt;Settings!$B$5,"Backlog","Delivered"),IF(S1799="Open",IF(R1799&gt;Settings!$B$5,"Pipeline","Overdue"),IF(S1799="Lost","Lost","UNMAPPED")))))</f>
        <v/>
      </c>
      <c r="U1799" s="40" t="n">
        <f aca="false">IF(T1799="Backlog",1,IF(OR(T1799="Pipeline",T1799="Overdue"),N(INDEX(Settings!$C$27:$C$36,MATCH(L1799,Settings!$A$27:$A$36,0))),0))</f>
        <v>0</v>
      </c>
      <c r="V1799" s="38" t="n">
        <f aca="false">Q1799*U1799</f>
        <v>0</v>
      </c>
      <c r="W1799" s="41" t="str">
        <f aca="false">IF($M1799="","",IF(T1799="Overdue",IF(Settings!$B$8="Yes",Settings!$B$7,""),IF(ISNUMBER(R1799),DATE(YEAR(R1799),MONTH(R1799),1),"")))</f>
        <v/>
      </c>
      <c r="X1799" s="38" t="n">
        <f aca="false">IF(AND(OR(T1799="Backlog",T1799="Pipeline",T1799="Overdue"),ISNUMBER(W1799)),IF(W1799&lt;=Settings!$B$6,V1799,0),0)</f>
        <v>0</v>
      </c>
      <c r="Y1799" s="38" t="n">
        <f aca="false">IF(AND(OR(T1799="Backlog",T1799="Pipeline",T1799="Overdue"),ISNUMBER(W1799)),IF(W1799&lt;=Settings!$B$6,Q1799,0),0)</f>
        <v>0</v>
      </c>
      <c r="Z1799" s="38" t="n">
        <f aca="false">IF(Y1799=0,0,IF(T1799="Backlog",Q1799,Q1799*Dashboard!$C$10))</f>
        <v>0</v>
      </c>
      <c r="AA1799" s="37" t="n">
        <f aca="false">IF($N1799="",0,IF(COUNTIF(Dashboard!$C$13:$C$22,$N1799)&gt;0,1,0))</f>
        <v>0</v>
      </c>
      <c r="AB1799" s="37" t="str">
        <f aca="false">IF($N1799="","",IF(COUNTIF($N$8:$N1799,$N1799)=1,MAX($AB$7:$AB1798)+1,""))</f>
        <v/>
      </c>
    </row>
    <row r="1800" customFormat="false" ht="15" hidden="false" customHeight="false" outlineLevel="0" collapsed="false">
      <c r="L1800" s="37" t="str">
        <f aca="false">IF(INDEX($A1800:$J1800,$L$6)&lt;&gt;"",TRIM(LEFT(INDEX($A1800:$J1800,$L$6),FIND("(",INDEX($A1800:$J1800,$L$6)&amp;"(")-1)),L1799)</f>
        <v>Building Value Proposition</v>
      </c>
      <c r="M1800" s="37" t="str">
        <f aca="false">IF(INDEX($A1800:$J1800,$M$6)="","",INDEX($A1800:$J1800,$M$6)&amp;"")</f>
        <v/>
      </c>
      <c r="N1800" s="37" t="str">
        <f aca="false">IF($M1800="","",TRIM(INDEX($A1800:$J1800,$N$6)&amp;""))</f>
        <v/>
      </c>
      <c r="O1800" s="37" t="str">
        <f aca="false">IF($M1800="","",TRIM(INDEX($A1800:$J1800,$O$6)&amp;""))</f>
        <v/>
      </c>
      <c r="P1800" s="37" t="str">
        <f aca="false">IF($M1800="","",IFERROR(IF(INDEX(Settings!$B$41:$B$50,MATCH(O1800,Settings!$A$41:$A$50,0))&amp;""="","UNMAPPED",INDEX(Settings!$B$41:$B$50,MATCH(O1800,Settings!$A$41:$A$50,0))&amp;""),"UNMAPPED"))</f>
        <v/>
      </c>
      <c r="Q1800" s="38" t="n">
        <f aca="false">IF($M1800="",0,N(INDEX($A1800:$J1800,$Q$6)))</f>
        <v>0</v>
      </c>
      <c r="R1800" s="39" t="str">
        <f aca="false">IF($M1800="","",INDEX($A1800:$J1800,$R$6))</f>
        <v/>
      </c>
      <c r="S1800" s="37" t="str">
        <f aca="false">IF($M1800="","",IFERROR(INDEX(Settings!$B$27:$B$36,MATCH(L1800,Settings!$A$27:$A$36,0))&amp;"","UNMAPPED"))</f>
        <v/>
      </c>
      <c r="T1800" s="37" t="str">
        <f aca="false">IF($M1800="","",IF(NOT(ISNUMBER(R1800)),"NO DATE",IF(S1800="Won",IF(R1800&gt;Settings!$B$5,"Backlog","Delivered"),IF(S1800="Open",IF(R1800&gt;Settings!$B$5,"Pipeline","Overdue"),IF(S1800="Lost","Lost","UNMAPPED")))))</f>
        <v/>
      </c>
      <c r="U1800" s="40" t="n">
        <f aca="false">IF(T1800="Backlog",1,IF(OR(T1800="Pipeline",T1800="Overdue"),N(INDEX(Settings!$C$27:$C$36,MATCH(L1800,Settings!$A$27:$A$36,0))),0))</f>
        <v>0</v>
      </c>
      <c r="V1800" s="38" t="n">
        <f aca="false">Q1800*U1800</f>
        <v>0</v>
      </c>
      <c r="W1800" s="41" t="str">
        <f aca="false">IF($M1800="","",IF(T1800="Overdue",IF(Settings!$B$8="Yes",Settings!$B$7,""),IF(ISNUMBER(R1800),DATE(YEAR(R1800),MONTH(R1800),1),"")))</f>
        <v/>
      </c>
      <c r="X1800" s="38" t="n">
        <f aca="false">IF(AND(OR(T1800="Backlog",T1800="Pipeline",T1800="Overdue"),ISNUMBER(W1800)),IF(W1800&lt;=Settings!$B$6,V1800,0),0)</f>
        <v>0</v>
      </c>
      <c r="Y1800" s="38" t="n">
        <f aca="false">IF(AND(OR(T1800="Backlog",T1800="Pipeline",T1800="Overdue"),ISNUMBER(W1800)),IF(W1800&lt;=Settings!$B$6,Q1800,0),0)</f>
        <v>0</v>
      </c>
      <c r="Z1800" s="38" t="n">
        <f aca="false">IF(Y1800=0,0,IF(T1800="Backlog",Q1800,Q1800*Dashboard!$C$10))</f>
        <v>0</v>
      </c>
      <c r="AA1800" s="37" t="n">
        <f aca="false">IF($N1800="",0,IF(COUNTIF(Dashboard!$C$13:$C$22,$N1800)&gt;0,1,0))</f>
        <v>0</v>
      </c>
      <c r="AB1800" s="37" t="str">
        <f aca="false">IF($N1800="","",IF(COUNTIF($N$8:$N1800,$N1800)=1,MAX($AB$7:$AB1799)+1,""))</f>
        <v/>
      </c>
    </row>
    <row r="1801" customFormat="false" ht="15" hidden="false" customHeight="false" outlineLevel="0" collapsed="false">
      <c r="L1801" s="37" t="str">
        <f aca="false">IF(INDEX($A1801:$J1801,$L$6)&lt;&gt;"",TRIM(LEFT(INDEX($A1801:$J1801,$L$6),FIND("(",INDEX($A1801:$J1801,$L$6)&amp;"(")-1)),L1800)</f>
        <v>Building Value Proposition</v>
      </c>
      <c r="M1801" s="37" t="str">
        <f aca="false">IF(INDEX($A1801:$J1801,$M$6)="","",INDEX($A1801:$J1801,$M$6)&amp;"")</f>
        <v/>
      </c>
      <c r="N1801" s="37" t="str">
        <f aca="false">IF($M1801="","",TRIM(INDEX($A1801:$J1801,$N$6)&amp;""))</f>
        <v/>
      </c>
      <c r="O1801" s="37" t="str">
        <f aca="false">IF($M1801="","",TRIM(INDEX($A1801:$J1801,$O$6)&amp;""))</f>
        <v/>
      </c>
      <c r="P1801" s="37" t="str">
        <f aca="false">IF($M1801="","",IFERROR(IF(INDEX(Settings!$B$41:$B$50,MATCH(O1801,Settings!$A$41:$A$50,0))&amp;""="","UNMAPPED",INDEX(Settings!$B$41:$B$50,MATCH(O1801,Settings!$A$41:$A$50,0))&amp;""),"UNMAPPED"))</f>
        <v/>
      </c>
      <c r="Q1801" s="38" t="n">
        <f aca="false">IF($M1801="",0,N(INDEX($A1801:$J1801,$Q$6)))</f>
        <v>0</v>
      </c>
      <c r="R1801" s="39" t="str">
        <f aca="false">IF($M1801="","",INDEX($A1801:$J1801,$R$6))</f>
        <v/>
      </c>
      <c r="S1801" s="37" t="str">
        <f aca="false">IF($M1801="","",IFERROR(INDEX(Settings!$B$27:$B$36,MATCH(L1801,Settings!$A$27:$A$36,0))&amp;"","UNMAPPED"))</f>
        <v/>
      </c>
      <c r="T1801" s="37" t="str">
        <f aca="false">IF($M1801="","",IF(NOT(ISNUMBER(R1801)),"NO DATE",IF(S1801="Won",IF(R1801&gt;Settings!$B$5,"Backlog","Delivered"),IF(S1801="Open",IF(R1801&gt;Settings!$B$5,"Pipeline","Overdue"),IF(S1801="Lost","Lost","UNMAPPED")))))</f>
        <v/>
      </c>
      <c r="U1801" s="40" t="n">
        <f aca="false">IF(T1801="Backlog",1,IF(OR(T1801="Pipeline",T1801="Overdue"),N(INDEX(Settings!$C$27:$C$36,MATCH(L1801,Settings!$A$27:$A$36,0))),0))</f>
        <v>0</v>
      </c>
      <c r="V1801" s="38" t="n">
        <f aca="false">Q1801*U1801</f>
        <v>0</v>
      </c>
      <c r="W1801" s="41" t="str">
        <f aca="false">IF($M1801="","",IF(T1801="Overdue",IF(Settings!$B$8="Yes",Settings!$B$7,""),IF(ISNUMBER(R1801),DATE(YEAR(R1801),MONTH(R1801),1),"")))</f>
        <v/>
      </c>
      <c r="X1801" s="38" t="n">
        <f aca="false">IF(AND(OR(T1801="Backlog",T1801="Pipeline",T1801="Overdue"),ISNUMBER(W1801)),IF(W1801&lt;=Settings!$B$6,V1801,0),0)</f>
        <v>0</v>
      </c>
      <c r="Y1801" s="38" t="n">
        <f aca="false">IF(AND(OR(T1801="Backlog",T1801="Pipeline",T1801="Overdue"),ISNUMBER(W1801)),IF(W1801&lt;=Settings!$B$6,Q1801,0),0)</f>
        <v>0</v>
      </c>
      <c r="Z1801" s="38" t="n">
        <f aca="false">IF(Y1801=0,0,IF(T1801="Backlog",Q1801,Q1801*Dashboard!$C$10))</f>
        <v>0</v>
      </c>
      <c r="AA1801" s="37" t="n">
        <f aca="false">IF($N1801="",0,IF(COUNTIF(Dashboard!$C$13:$C$22,$N1801)&gt;0,1,0))</f>
        <v>0</v>
      </c>
      <c r="AB1801" s="37" t="str">
        <f aca="false">IF($N1801="","",IF(COUNTIF($N$8:$N1801,$N1801)=1,MAX($AB$7:$AB1800)+1,""))</f>
        <v/>
      </c>
    </row>
    <row r="1802" customFormat="false" ht="15" hidden="false" customHeight="false" outlineLevel="0" collapsed="false">
      <c r="L1802" s="37" t="str">
        <f aca="false">IF(INDEX($A1802:$J1802,$L$6)&lt;&gt;"",TRIM(LEFT(INDEX($A1802:$J1802,$L$6),FIND("(",INDEX($A1802:$J1802,$L$6)&amp;"(")-1)),L1801)</f>
        <v>Building Value Proposition</v>
      </c>
      <c r="M1802" s="37" t="str">
        <f aca="false">IF(INDEX($A1802:$J1802,$M$6)="","",INDEX($A1802:$J1802,$M$6)&amp;"")</f>
        <v/>
      </c>
      <c r="N1802" s="37" t="str">
        <f aca="false">IF($M1802="","",TRIM(INDEX($A1802:$J1802,$N$6)&amp;""))</f>
        <v/>
      </c>
      <c r="O1802" s="37" t="str">
        <f aca="false">IF($M1802="","",TRIM(INDEX($A1802:$J1802,$O$6)&amp;""))</f>
        <v/>
      </c>
      <c r="P1802" s="37" t="str">
        <f aca="false">IF($M1802="","",IFERROR(IF(INDEX(Settings!$B$41:$B$50,MATCH(O1802,Settings!$A$41:$A$50,0))&amp;""="","UNMAPPED",INDEX(Settings!$B$41:$B$50,MATCH(O1802,Settings!$A$41:$A$50,0))&amp;""),"UNMAPPED"))</f>
        <v/>
      </c>
      <c r="Q1802" s="38" t="n">
        <f aca="false">IF($M1802="",0,N(INDEX($A1802:$J1802,$Q$6)))</f>
        <v>0</v>
      </c>
      <c r="R1802" s="39" t="str">
        <f aca="false">IF($M1802="","",INDEX($A1802:$J1802,$R$6))</f>
        <v/>
      </c>
      <c r="S1802" s="37" t="str">
        <f aca="false">IF($M1802="","",IFERROR(INDEX(Settings!$B$27:$B$36,MATCH(L1802,Settings!$A$27:$A$36,0))&amp;"","UNMAPPED"))</f>
        <v/>
      </c>
      <c r="T1802" s="37" t="str">
        <f aca="false">IF($M1802="","",IF(NOT(ISNUMBER(R1802)),"NO DATE",IF(S1802="Won",IF(R1802&gt;Settings!$B$5,"Backlog","Delivered"),IF(S1802="Open",IF(R1802&gt;Settings!$B$5,"Pipeline","Overdue"),IF(S1802="Lost","Lost","UNMAPPED")))))</f>
        <v/>
      </c>
      <c r="U1802" s="40" t="n">
        <f aca="false">IF(T1802="Backlog",1,IF(OR(T1802="Pipeline",T1802="Overdue"),N(INDEX(Settings!$C$27:$C$36,MATCH(L1802,Settings!$A$27:$A$36,0))),0))</f>
        <v>0</v>
      </c>
      <c r="V1802" s="38" t="n">
        <f aca="false">Q1802*U1802</f>
        <v>0</v>
      </c>
      <c r="W1802" s="41" t="str">
        <f aca="false">IF($M1802="","",IF(T1802="Overdue",IF(Settings!$B$8="Yes",Settings!$B$7,""),IF(ISNUMBER(R1802),DATE(YEAR(R1802),MONTH(R1802),1),"")))</f>
        <v/>
      </c>
      <c r="X1802" s="38" t="n">
        <f aca="false">IF(AND(OR(T1802="Backlog",T1802="Pipeline",T1802="Overdue"),ISNUMBER(W1802)),IF(W1802&lt;=Settings!$B$6,V1802,0),0)</f>
        <v>0</v>
      </c>
      <c r="Y1802" s="38" t="n">
        <f aca="false">IF(AND(OR(T1802="Backlog",T1802="Pipeline",T1802="Overdue"),ISNUMBER(W1802)),IF(W1802&lt;=Settings!$B$6,Q1802,0),0)</f>
        <v>0</v>
      </c>
      <c r="Z1802" s="38" t="n">
        <f aca="false">IF(Y1802=0,0,IF(T1802="Backlog",Q1802,Q1802*Dashboard!$C$10))</f>
        <v>0</v>
      </c>
      <c r="AA1802" s="37" t="n">
        <f aca="false">IF($N1802="",0,IF(COUNTIF(Dashboard!$C$13:$C$22,$N1802)&gt;0,1,0))</f>
        <v>0</v>
      </c>
      <c r="AB1802" s="37" t="str">
        <f aca="false">IF($N1802="","",IF(COUNTIF($N$8:$N1802,$N1802)=1,MAX($AB$7:$AB1801)+1,""))</f>
        <v/>
      </c>
    </row>
    <row r="1803" customFormat="false" ht="15" hidden="false" customHeight="false" outlineLevel="0" collapsed="false">
      <c r="L1803" s="37" t="str">
        <f aca="false">IF(INDEX($A1803:$J1803,$L$6)&lt;&gt;"",TRIM(LEFT(INDEX($A1803:$J1803,$L$6),FIND("(",INDEX($A1803:$J1803,$L$6)&amp;"(")-1)),L1802)</f>
        <v>Building Value Proposition</v>
      </c>
      <c r="M1803" s="37" t="str">
        <f aca="false">IF(INDEX($A1803:$J1803,$M$6)="","",INDEX($A1803:$J1803,$M$6)&amp;"")</f>
        <v/>
      </c>
      <c r="N1803" s="37" t="str">
        <f aca="false">IF($M1803="","",TRIM(INDEX($A1803:$J1803,$N$6)&amp;""))</f>
        <v/>
      </c>
      <c r="O1803" s="37" t="str">
        <f aca="false">IF($M1803="","",TRIM(INDEX($A1803:$J1803,$O$6)&amp;""))</f>
        <v/>
      </c>
      <c r="P1803" s="37" t="str">
        <f aca="false">IF($M1803="","",IFERROR(IF(INDEX(Settings!$B$41:$B$50,MATCH(O1803,Settings!$A$41:$A$50,0))&amp;""="","UNMAPPED",INDEX(Settings!$B$41:$B$50,MATCH(O1803,Settings!$A$41:$A$50,0))&amp;""),"UNMAPPED"))</f>
        <v/>
      </c>
      <c r="Q1803" s="38" t="n">
        <f aca="false">IF($M1803="",0,N(INDEX($A1803:$J1803,$Q$6)))</f>
        <v>0</v>
      </c>
      <c r="R1803" s="39" t="str">
        <f aca="false">IF($M1803="","",INDEX($A1803:$J1803,$R$6))</f>
        <v/>
      </c>
      <c r="S1803" s="37" t="str">
        <f aca="false">IF($M1803="","",IFERROR(INDEX(Settings!$B$27:$B$36,MATCH(L1803,Settings!$A$27:$A$36,0))&amp;"","UNMAPPED"))</f>
        <v/>
      </c>
      <c r="T1803" s="37" t="str">
        <f aca="false">IF($M1803="","",IF(NOT(ISNUMBER(R1803)),"NO DATE",IF(S1803="Won",IF(R1803&gt;Settings!$B$5,"Backlog","Delivered"),IF(S1803="Open",IF(R1803&gt;Settings!$B$5,"Pipeline","Overdue"),IF(S1803="Lost","Lost","UNMAPPED")))))</f>
        <v/>
      </c>
      <c r="U1803" s="40" t="n">
        <f aca="false">IF(T1803="Backlog",1,IF(OR(T1803="Pipeline",T1803="Overdue"),N(INDEX(Settings!$C$27:$C$36,MATCH(L1803,Settings!$A$27:$A$36,0))),0))</f>
        <v>0</v>
      </c>
      <c r="V1803" s="38" t="n">
        <f aca="false">Q1803*U1803</f>
        <v>0</v>
      </c>
      <c r="W1803" s="41" t="str">
        <f aca="false">IF($M1803="","",IF(T1803="Overdue",IF(Settings!$B$8="Yes",Settings!$B$7,""),IF(ISNUMBER(R1803),DATE(YEAR(R1803),MONTH(R1803),1),"")))</f>
        <v/>
      </c>
      <c r="X1803" s="38" t="n">
        <f aca="false">IF(AND(OR(T1803="Backlog",T1803="Pipeline",T1803="Overdue"),ISNUMBER(W1803)),IF(W1803&lt;=Settings!$B$6,V1803,0),0)</f>
        <v>0</v>
      </c>
      <c r="Y1803" s="38" t="n">
        <f aca="false">IF(AND(OR(T1803="Backlog",T1803="Pipeline",T1803="Overdue"),ISNUMBER(W1803)),IF(W1803&lt;=Settings!$B$6,Q1803,0),0)</f>
        <v>0</v>
      </c>
      <c r="Z1803" s="38" t="n">
        <f aca="false">IF(Y1803=0,0,IF(T1803="Backlog",Q1803,Q1803*Dashboard!$C$10))</f>
        <v>0</v>
      </c>
      <c r="AA1803" s="37" t="n">
        <f aca="false">IF($N1803="",0,IF(COUNTIF(Dashboard!$C$13:$C$22,$N1803)&gt;0,1,0))</f>
        <v>0</v>
      </c>
      <c r="AB1803" s="37" t="str">
        <f aca="false">IF($N1803="","",IF(COUNTIF($N$8:$N1803,$N1803)=1,MAX($AB$7:$AB1802)+1,""))</f>
        <v/>
      </c>
    </row>
    <row r="1804" customFormat="false" ht="15" hidden="false" customHeight="false" outlineLevel="0" collapsed="false">
      <c r="L1804" s="37" t="str">
        <f aca="false">IF(INDEX($A1804:$J1804,$L$6)&lt;&gt;"",TRIM(LEFT(INDEX($A1804:$J1804,$L$6),FIND("(",INDEX($A1804:$J1804,$L$6)&amp;"(")-1)),L1803)</f>
        <v>Building Value Proposition</v>
      </c>
      <c r="M1804" s="37" t="str">
        <f aca="false">IF(INDEX($A1804:$J1804,$M$6)="","",INDEX($A1804:$J1804,$M$6)&amp;"")</f>
        <v/>
      </c>
      <c r="N1804" s="37" t="str">
        <f aca="false">IF($M1804="","",TRIM(INDEX($A1804:$J1804,$N$6)&amp;""))</f>
        <v/>
      </c>
      <c r="O1804" s="37" t="str">
        <f aca="false">IF($M1804="","",TRIM(INDEX($A1804:$J1804,$O$6)&amp;""))</f>
        <v/>
      </c>
      <c r="P1804" s="37" t="str">
        <f aca="false">IF($M1804="","",IFERROR(IF(INDEX(Settings!$B$41:$B$50,MATCH(O1804,Settings!$A$41:$A$50,0))&amp;""="","UNMAPPED",INDEX(Settings!$B$41:$B$50,MATCH(O1804,Settings!$A$41:$A$50,0))&amp;""),"UNMAPPED"))</f>
        <v/>
      </c>
      <c r="Q1804" s="38" t="n">
        <f aca="false">IF($M1804="",0,N(INDEX($A1804:$J1804,$Q$6)))</f>
        <v>0</v>
      </c>
      <c r="R1804" s="39" t="str">
        <f aca="false">IF($M1804="","",INDEX($A1804:$J1804,$R$6))</f>
        <v/>
      </c>
      <c r="S1804" s="37" t="str">
        <f aca="false">IF($M1804="","",IFERROR(INDEX(Settings!$B$27:$B$36,MATCH(L1804,Settings!$A$27:$A$36,0))&amp;"","UNMAPPED"))</f>
        <v/>
      </c>
      <c r="T1804" s="37" t="str">
        <f aca="false">IF($M1804="","",IF(NOT(ISNUMBER(R1804)),"NO DATE",IF(S1804="Won",IF(R1804&gt;Settings!$B$5,"Backlog","Delivered"),IF(S1804="Open",IF(R1804&gt;Settings!$B$5,"Pipeline","Overdue"),IF(S1804="Lost","Lost","UNMAPPED")))))</f>
        <v/>
      </c>
      <c r="U1804" s="40" t="n">
        <f aca="false">IF(T1804="Backlog",1,IF(OR(T1804="Pipeline",T1804="Overdue"),N(INDEX(Settings!$C$27:$C$36,MATCH(L1804,Settings!$A$27:$A$36,0))),0))</f>
        <v>0</v>
      </c>
      <c r="V1804" s="38" t="n">
        <f aca="false">Q1804*U1804</f>
        <v>0</v>
      </c>
      <c r="W1804" s="41" t="str">
        <f aca="false">IF($M1804="","",IF(T1804="Overdue",IF(Settings!$B$8="Yes",Settings!$B$7,""),IF(ISNUMBER(R1804),DATE(YEAR(R1804),MONTH(R1804),1),"")))</f>
        <v/>
      </c>
      <c r="X1804" s="38" t="n">
        <f aca="false">IF(AND(OR(T1804="Backlog",T1804="Pipeline",T1804="Overdue"),ISNUMBER(W1804)),IF(W1804&lt;=Settings!$B$6,V1804,0),0)</f>
        <v>0</v>
      </c>
      <c r="Y1804" s="38" t="n">
        <f aca="false">IF(AND(OR(T1804="Backlog",T1804="Pipeline",T1804="Overdue"),ISNUMBER(W1804)),IF(W1804&lt;=Settings!$B$6,Q1804,0),0)</f>
        <v>0</v>
      </c>
      <c r="Z1804" s="38" t="n">
        <f aca="false">IF(Y1804=0,0,IF(T1804="Backlog",Q1804,Q1804*Dashboard!$C$10))</f>
        <v>0</v>
      </c>
      <c r="AA1804" s="37" t="n">
        <f aca="false">IF($N1804="",0,IF(COUNTIF(Dashboard!$C$13:$C$22,$N1804)&gt;0,1,0))</f>
        <v>0</v>
      </c>
      <c r="AB1804" s="37" t="str">
        <f aca="false">IF($N1804="","",IF(COUNTIF($N$8:$N1804,$N1804)=1,MAX($AB$7:$AB1803)+1,""))</f>
        <v/>
      </c>
    </row>
    <row r="1805" customFormat="false" ht="15" hidden="false" customHeight="false" outlineLevel="0" collapsed="false">
      <c r="L1805" s="37" t="str">
        <f aca="false">IF(INDEX($A1805:$J1805,$L$6)&lt;&gt;"",TRIM(LEFT(INDEX($A1805:$J1805,$L$6),FIND("(",INDEX($A1805:$J1805,$L$6)&amp;"(")-1)),L1804)</f>
        <v>Building Value Proposition</v>
      </c>
      <c r="M1805" s="37" t="str">
        <f aca="false">IF(INDEX($A1805:$J1805,$M$6)="","",INDEX($A1805:$J1805,$M$6)&amp;"")</f>
        <v/>
      </c>
      <c r="N1805" s="37" t="str">
        <f aca="false">IF($M1805="","",TRIM(INDEX($A1805:$J1805,$N$6)&amp;""))</f>
        <v/>
      </c>
      <c r="O1805" s="37" t="str">
        <f aca="false">IF($M1805="","",TRIM(INDEX($A1805:$J1805,$O$6)&amp;""))</f>
        <v/>
      </c>
      <c r="P1805" s="37" t="str">
        <f aca="false">IF($M1805="","",IFERROR(IF(INDEX(Settings!$B$41:$B$50,MATCH(O1805,Settings!$A$41:$A$50,0))&amp;""="","UNMAPPED",INDEX(Settings!$B$41:$B$50,MATCH(O1805,Settings!$A$41:$A$50,0))&amp;""),"UNMAPPED"))</f>
        <v/>
      </c>
      <c r="Q1805" s="38" t="n">
        <f aca="false">IF($M1805="",0,N(INDEX($A1805:$J1805,$Q$6)))</f>
        <v>0</v>
      </c>
      <c r="R1805" s="39" t="str">
        <f aca="false">IF($M1805="","",INDEX($A1805:$J1805,$R$6))</f>
        <v/>
      </c>
      <c r="S1805" s="37" t="str">
        <f aca="false">IF($M1805="","",IFERROR(INDEX(Settings!$B$27:$B$36,MATCH(L1805,Settings!$A$27:$A$36,0))&amp;"","UNMAPPED"))</f>
        <v/>
      </c>
      <c r="T1805" s="37" t="str">
        <f aca="false">IF($M1805="","",IF(NOT(ISNUMBER(R1805)),"NO DATE",IF(S1805="Won",IF(R1805&gt;Settings!$B$5,"Backlog","Delivered"),IF(S1805="Open",IF(R1805&gt;Settings!$B$5,"Pipeline","Overdue"),IF(S1805="Lost","Lost","UNMAPPED")))))</f>
        <v/>
      </c>
      <c r="U1805" s="40" t="n">
        <f aca="false">IF(T1805="Backlog",1,IF(OR(T1805="Pipeline",T1805="Overdue"),N(INDEX(Settings!$C$27:$C$36,MATCH(L1805,Settings!$A$27:$A$36,0))),0))</f>
        <v>0</v>
      </c>
      <c r="V1805" s="38" t="n">
        <f aca="false">Q1805*U1805</f>
        <v>0</v>
      </c>
      <c r="W1805" s="41" t="str">
        <f aca="false">IF($M1805="","",IF(T1805="Overdue",IF(Settings!$B$8="Yes",Settings!$B$7,""),IF(ISNUMBER(R1805),DATE(YEAR(R1805),MONTH(R1805),1),"")))</f>
        <v/>
      </c>
      <c r="X1805" s="38" t="n">
        <f aca="false">IF(AND(OR(T1805="Backlog",T1805="Pipeline",T1805="Overdue"),ISNUMBER(W1805)),IF(W1805&lt;=Settings!$B$6,V1805,0),0)</f>
        <v>0</v>
      </c>
      <c r="Y1805" s="38" t="n">
        <f aca="false">IF(AND(OR(T1805="Backlog",T1805="Pipeline",T1805="Overdue"),ISNUMBER(W1805)),IF(W1805&lt;=Settings!$B$6,Q1805,0),0)</f>
        <v>0</v>
      </c>
      <c r="Z1805" s="38" t="n">
        <f aca="false">IF(Y1805=0,0,IF(T1805="Backlog",Q1805,Q1805*Dashboard!$C$10))</f>
        <v>0</v>
      </c>
      <c r="AA1805" s="37" t="n">
        <f aca="false">IF($N1805="",0,IF(COUNTIF(Dashboard!$C$13:$C$22,$N1805)&gt;0,1,0))</f>
        <v>0</v>
      </c>
      <c r="AB1805" s="37" t="str">
        <f aca="false">IF($N1805="","",IF(COUNTIF($N$8:$N1805,$N1805)=1,MAX($AB$7:$AB1804)+1,""))</f>
        <v/>
      </c>
    </row>
    <row r="1806" customFormat="false" ht="15" hidden="false" customHeight="false" outlineLevel="0" collapsed="false">
      <c r="L1806" s="37" t="str">
        <f aca="false">IF(INDEX($A1806:$J1806,$L$6)&lt;&gt;"",TRIM(LEFT(INDEX($A1806:$J1806,$L$6),FIND("(",INDEX($A1806:$J1806,$L$6)&amp;"(")-1)),L1805)</f>
        <v>Building Value Proposition</v>
      </c>
      <c r="M1806" s="37" t="str">
        <f aca="false">IF(INDEX($A1806:$J1806,$M$6)="","",INDEX($A1806:$J1806,$M$6)&amp;"")</f>
        <v/>
      </c>
      <c r="N1806" s="37" t="str">
        <f aca="false">IF($M1806="","",TRIM(INDEX($A1806:$J1806,$N$6)&amp;""))</f>
        <v/>
      </c>
      <c r="O1806" s="37" t="str">
        <f aca="false">IF($M1806="","",TRIM(INDEX($A1806:$J1806,$O$6)&amp;""))</f>
        <v/>
      </c>
      <c r="P1806" s="37" t="str">
        <f aca="false">IF($M1806="","",IFERROR(IF(INDEX(Settings!$B$41:$B$50,MATCH(O1806,Settings!$A$41:$A$50,0))&amp;""="","UNMAPPED",INDEX(Settings!$B$41:$B$50,MATCH(O1806,Settings!$A$41:$A$50,0))&amp;""),"UNMAPPED"))</f>
        <v/>
      </c>
      <c r="Q1806" s="38" t="n">
        <f aca="false">IF($M1806="",0,N(INDEX($A1806:$J1806,$Q$6)))</f>
        <v>0</v>
      </c>
      <c r="R1806" s="39" t="str">
        <f aca="false">IF($M1806="","",INDEX($A1806:$J1806,$R$6))</f>
        <v/>
      </c>
      <c r="S1806" s="37" t="str">
        <f aca="false">IF($M1806="","",IFERROR(INDEX(Settings!$B$27:$B$36,MATCH(L1806,Settings!$A$27:$A$36,0))&amp;"","UNMAPPED"))</f>
        <v/>
      </c>
      <c r="T1806" s="37" t="str">
        <f aca="false">IF($M1806="","",IF(NOT(ISNUMBER(R1806)),"NO DATE",IF(S1806="Won",IF(R1806&gt;Settings!$B$5,"Backlog","Delivered"),IF(S1806="Open",IF(R1806&gt;Settings!$B$5,"Pipeline","Overdue"),IF(S1806="Lost","Lost","UNMAPPED")))))</f>
        <v/>
      </c>
      <c r="U1806" s="40" t="n">
        <f aca="false">IF(T1806="Backlog",1,IF(OR(T1806="Pipeline",T1806="Overdue"),N(INDEX(Settings!$C$27:$C$36,MATCH(L1806,Settings!$A$27:$A$36,0))),0))</f>
        <v>0</v>
      </c>
      <c r="V1806" s="38" t="n">
        <f aca="false">Q1806*U1806</f>
        <v>0</v>
      </c>
      <c r="W1806" s="41" t="str">
        <f aca="false">IF($M1806="","",IF(T1806="Overdue",IF(Settings!$B$8="Yes",Settings!$B$7,""),IF(ISNUMBER(R1806),DATE(YEAR(R1806),MONTH(R1806),1),"")))</f>
        <v/>
      </c>
      <c r="X1806" s="38" t="n">
        <f aca="false">IF(AND(OR(T1806="Backlog",T1806="Pipeline",T1806="Overdue"),ISNUMBER(W1806)),IF(W1806&lt;=Settings!$B$6,V1806,0),0)</f>
        <v>0</v>
      </c>
      <c r="Y1806" s="38" t="n">
        <f aca="false">IF(AND(OR(T1806="Backlog",T1806="Pipeline",T1806="Overdue"),ISNUMBER(W1806)),IF(W1806&lt;=Settings!$B$6,Q1806,0),0)</f>
        <v>0</v>
      </c>
      <c r="Z1806" s="38" t="n">
        <f aca="false">IF(Y1806=0,0,IF(T1806="Backlog",Q1806,Q1806*Dashboard!$C$10))</f>
        <v>0</v>
      </c>
      <c r="AA1806" s="37" t="n">
        <f aca="false">IF($N1806="",0,IF(COUNTIF(Dashboard!$C$13:$C$22,$N1806)&gt;0,1,0))</f>
        <v>0</v>
      </c>
      <c r="AB1806" s="37" t="str">
        <f aca="false">IF($N1806="","",IF(COUNTIF($N$8:$N1806,$N1806)=1,MAX($AB$7:$AB1805)+1,""))</f>
        <v/>
      </c>
    </row>
    <row r="1807" customFormat="false" ht="15" hidden="false" customHeight="false" outlineLevel="0" collapsed="false">
      <c r="L1807" s="37" t="str">
        <f aca="false">IF(INDEX($A1807:$J1807,$L$6)&lt;&gt;"",TRIM(LEFT(INDEX($A1807:$J1807,$L$6),FIND("(",INDEX($A1807:$J1807,$L$6)&amp;"(")-1)),L1806)</f>
        <v>Building Value Proposition</v>
      </c>
      <c r="M1807" s="37" t="str">
        <f aca="false">IF(INDEX($A1807:$J1807,$M$6)="","",INDEX($A1807:$J1807,$M$6)&amp;"")</f>
        <v/>
      </c>
      <c r="N1807" s="37" t="str">
        <f aca="false">IF($M1807="","",TRIM(INDEX($A1807:$J1807,$N$6)&amp;""))</f>
        <v/>
      </c>
      <c r="O1807" s="37" t="str">
        <f aca="false">IF($M1807="","",TRIM(INDEX($A1807:$J1807,$O$6)&amp;""))</f>
        <v/>
      </c>
      <c r="P1807" s="37" t="str">
        <f aca="false">IF($M1807="","",IFERROR(IF(INDEX(Settings!$B$41:$B$50,MATCH(O1807,Settings!$A$41:$A$50,0))&amp;""="","UNMAPPED",INDEX(Settings!$B$41:$B$50,MATCH(O1807,Settings!$A$41:$A$50,0))&amp;""),"UNMAPPED"))</f>
        <v/>
      </c>
      <c r="Q1807" s="38" t="n">
        <f aca="false">IF($M1807="",0,N(INDEX($A1807:$J1807,$Q$6)))</f>
        <v>0</v>
      </c>
      <c r="R1807" s="39" t="str">
        <f aca="false">IF($M1807="","",INDEX($A1807:$J1807,$R$6))</f>
        <v/>
      </c>
      <c r="S1807" s="37" t="str">
        <f aca="false">IF($M1807="","",IFERROR(INDEX(Settings!$B$27:$B$36,MATCH(L1807,Settings!$A$27:$A$36,0))&amp;"","UNMAPPED"))</f>
        <v/>
      </c>
      <c r="T1807" s="37" t="str">
        <f aca="false">IF($M1807="","",IF(NOT(ISNUMBER(R1807)),"NO DATE",IF(S1807="Won",IF(R1807&gt;Settings!$B$5,"Backlog","Delivered"),IF(S1807="Open",IF(R1807&gt;Settings!$B$5,"Pipeline","Overdue"),IF(S1807="Lost","Lost","UNMAPPED")))))</f>
        <v/>
      </c>
      <c r="U1807" s="40" t="n">
        <f aca="false">IF(T1807="Backlog",1,IF(OR(T1807="Pipeline",T1807="Overdue"),N(INDEX(Settings!$C$27:$C$36,MATCH(L1807,Settings!$A$27:$A$36,0))),0))</f>
        <v>0</v>
      </c>
      <c r="V1807" s="38" t="n">
        <f aca="false">Q1807*U1807</f>
        <v>0</v>
      </c>
      <c r="W1807" s="41" t="str">
        <f aca="false">IF($M1807="","",IF(T1807="Overdue",IF(Settings!$B$8="Yes",Settings!$B$7,""),IF(ISNUMBER(R1807),DATE(YEAR(R1807),MONTH(R1807),1),"")))</f>
        <v/>
      </c>
      <c r="X1807" s="38" t="n">
        <f aca="false">IF(AND(OR(T1807="Backlog",T1807="Pipeline",T1807="Overdue"),ISNUMBER(W1807)),IF(W1807&lt;=Settings!$B$6,V1807,0),0)</f>
        <v>0</v>
      </c>
      <c r="Y1807" s="38" t="n">
        <f aca="false">IF(AND(OR(T1807="Backlog",T1807="Pipeline",T1807="Overdue"),ISNUMBER(W1807)),IF(W1807&lt;=Settings!$B$6,Q1807,0),0)</f>
        <v>0</v>
      </c>
      <c r="Z1807" s="38" t="n">
        <f aca="false">IF(Y1807=0,0,IF(T1807="Backlog",Q1807,Q1807*Dashboard!$C$10))</f>
        <v>0</v>
      </c>
      <c r="AA1807" s="37" t="n">
        <f aca="false">IF($N1807="",0,IF(COUNTIF(Dashboard!$C$13:$C$22,$N1807)&gt;0,1,0))</f>
        <v>0</v>
      </c>
      <c r="AB1807" s="37" t="str">
        <f aca="false">IF($N1807="","",IF(COUNTIF($N$8:$N1807,$N1807)=1,MAX($AB$7:$AB1806)+1,""))</f>
        <v/>
      </c>
    </row>
    <row r="1808" customFormat="false" ht="15" hidden="false" customHeight="false" outlineLevel="0" collapsed="false">
      <c r="L1808" s="37" t="str">
        <f aca="false">IF(INDEX($A1808:$J1808,$L$6)&lt;&gt;"",TRIM(LEFT(INDEX($A1808:$J1808,$L$6),FIND("(",INDEX($A1808:$J1808,$L$6)&amp;"(")-1)),L1807)</f>
        <v>Building Value Proposition</v>
      </c>
      <c r="M1808" s="37" t="str">
        <f aca="false">IF(INDEX($A1808:$J1808,$M$6)="","",INDEX($A1808:$J1808,$M$6)&amp;"")</f>
        <v/>
      </c>
      <c r="N1808" s="37" t="str">
        <f aca="false">IF($M1808="","",TRIM(INDEX($A1808:$J1808,$N$6)&amp;""))</f>
        <v/>
      </c>
      <c r="O1808" s="37" t="str">
        <f aca="false">IF($M1808="","",TRIM(INDEX($A1808:$J1808,$O$6)&amp;""))</f>
        <v/>
      </c>
      <c r="P1808" s="37" t="str">
        <f aca="false">IF($M1808="","",IFERROR(IF(INDEX(Settings!$B$41:$B$50,MATCH(O1808,Settings!$A$41:$A$50,0))&amp;""="","UNMAPPED",INDEX(Settings!$B$41:$B$50,MATCH(O1808,Settings!$A$41:$A$50,0))&amp;""),"UNMAPPED"))</f>
        <v/>
      </c>
      <c r="Q1808" s="38" t="n">
        <f aca="false">IF($M1808="",0,N(INDEX($A1808:$J1808,$Q$6)))</f>
        <v>0</v>
      </c>
      <c r="R1808" s="39" t="str">
        <f aca="false">IF($M1808="","",INDEX($A1808:$J1808,$R$6))</f>
        <v/>
      </c>
      <c r="S1808" s="37" t="str">
        <f aca="false">IF($M1808="","",IFERROR(INDEX(Settings!$B$27:$B$36,MATCH(L1808,Settings!$A$27:$A$36,0))&amp;"","UNMAPPED"))</f>
        <v/>
      </c>
      <c r="T1808" s="37" t="str">
        <f aca="false">IF($M1808="","",IF(NOT(ISNUMBER(R1808)),"NO DATE",IF(S1808="Won",IF(R1808&gt;Settings!$B$5,"Backlog","Delivered"),IF(S1808="Open",IF(R1808&gt;Settings!$B$5,"Pipeline","Overdue"),IF(S1808="Lost","Lost","UNMAPPED")))))</f>
        <v/>
      </c>
      <c r="U1808" s="40" t="n">
        <f aca="false">IF(T1808="Backlog",1,IF(OR(T1808="Pipeline",T1808="Overdue"),N(INDEX(Settings!$C$27:$C$36,MATCH(L1808,Settings!$A$27:$A$36,0))),0))</f>
        <v>0</v>
      </c>
      <c r="V1808" s="38" t="n">
        <f aca="false">Q1808*U1808</f>
        <v>0</v>
      </c>
      <c r="W1808" s="41" t="str">
        <f aca="false">IF($M1808="","",IF(T1808="Overdue",IF(Settings!$B$8="Yes",Settings!$B$7,""),IF(ISNUMBER(R1808),DATE(YEAR(R1808),MONTH(R1808),1),"")))</f>
        <v/>
      </c>
      <c r="X1808" s="38" t="n">
        <f aca="false">IF(AND(OR(T1808="Backlog",T1808="Pipeline",T1808="Overdue"),ISNUMBER(W1808)),IF(W1808&lt;=Settings!$B$6,V1808,0),0)</f>
        <v>0</v>
      </c>
      <c r="Y1808" s="38" t="n">
        <f aca="false">IF(AND(OR(T1808="Backlog",T1808="Pipeline",T1808="Overdue"),ISNUMBER(W1808)),IF(W1808&lt;=Settings!$B$6,Q1808,0),0)</f>
        <v>0</v>
      </c>
      <c r="Z1808" s="38" t="n">
        <f aca="false">IF(Y1808=0,0,IF(T1808="Backlog",Q1808,Q1808*Dashboard!$C$10))</f>
        <v>0</v>
      </c>
      <c r="AA1808" s="37" t="n">
        <f aca="false">IF($N1808="",0,IF(COUNTIF(Dashboard!$C$13:$C$22,$N1808)&gt;0,1,0))</f>
        <v>0</v>
      </c>
      <c r="AB1808" s="37" t="str">
        <f aca="false">IF($N1808="","",IF(COUNTIF($N$8:$N1808,$N1808)=1,MAX($AB$7:$AB1807)+1,""))</f>
        <v/>
      </c>
    </row>
    <row r="1809" customFormat="false" ht="15" hidden="false" customHeight="false" outlineLevel="0" collapsed="false">
      <c r="L1809" s="37" t="str">
        <f aca="false">IF(INDEX($A1809:$J1809,$L$6)&lt;&gt;"",TRIM(LEFT(INDEX($A1809:$J1809,$L$6),FIND("(",INDEX($A1809:$J1809,$L$6)&amp;"(")-1)),L1808)</f>
        <v>Building Value Proposition</v>
      </c>
      <c r="M1809" s="37" t="str">
        <f aca="false">IF(INDEX($A1809:$J1809,$M$6)="","",INDEX($A1809:$J1809,$M$6)&amp;"")</f>
        <v/>
      </c>
      <c r="N1809" s="37" t="str">
        <f aca="false">IF($M1809="","",TRIM(INDEX($A1809:$J1809,$N$6)&amp;""))</f>
        <v/>
      </c>
      <c r="O1809" s="37" t="str">
        <f aca="false">IF($M1809="","",TRIM(INDEX($A1809:$J1809,$O$6)&amp;""))</f>
        <v/>
      </c>
      <c r="P1809" s="37" t="str">
        <f aca="false">IF($M1809="","",IFERROR(IF(INDEX(Settings!$B$41:$B$50,MATCH(O1809,Settings!$A$41:$A$50,0))&amp;""="","UNMAPPED",INDEX(Settings!$B$41:$B$50,MATCH(O1809,Settings!$A$41:$A$50,0))&amp;""),"UNMAPPED"))</f>
        <v/>
      </c>
      <c r="Q1809" s="38" t="n">
        <f aca="false">IF($M1809="",0,N(INDEX($A1809:$J1809,$Q$6)))</f>
        <v>0</v>
      </c>
      <c r="R1809" s="39" t="str">
        <f aca="false">IF($M1809="","",INDEX($A1809:$J1809,$R$6))</f>
        <v/>
      </c>
      <c r="S1809" s="37" t="str">
        <f aca="false">IF($M1809="","",IFERROR(INDEX(Settings!$B$27:$B$36,MATCH(L1809,Settings!$A$27:$A$36,0))&amp;"","UNMAPPED"))</f>
        <v/>
      </c>
      <c r="T1809" s="37" t="str">
        <f aca="false">IF($M1809="","",IF(NOT(ISNUMBER(R1809)),"NO DATE",IF(S1809="Won",IF(R1809&gt;Settings!$B$5,"Backlog","Delivered"),IF(S1809="Open",IF(R1809&gt;Settings!$B$5,"Pipeline","Overdue"),IF(S1809="Lost","Lost","UNMAPPED")))))</f>
        <v/>
      </c>
      <c r="U1809" s="40" t="n">
        <f aca="false">IF(T1809="Backlog",1,IF(OR(T1809="Pipeline",T1809="Overdue"),N(INDEX(Settings!$C$27:$C$36,MATCH(L1809,Settings!$A$27:$A$36,0))),0))</f>
        <v>0</v>
      </c>
      <c r="V1809" s="38" t="n">
        <f aca="false">Q1809*U1809</f>
        <v>0</v>
      </c>
      <c r="W1809" s="41" t="str">
        <f aca="false">IF($M1809="","",IF(T1809="Overdue",IF(Settings!$B$8="Yes",Settings!$B$7,""),IF(ISNUMBER(R1809),DATE(YEAR(R1809),MONTH(R1809),1),"")))</f>
        <v/>
      </c>
      <c r="X1809" s="38" t="n">
        <f aca="false">IF(AND(OR(T1809="Backlog",T1809="Pipeline",T1809="Overdue"),ISNUMBER(W1809)),IF(W1809&lt;=Settings!$B$6,V1809,0),0)</f>
        <v>0</v>
      </c>
      <c r="Y1809" s="38" t="n">
        <f aca="false">IF(AND(OR(T1809="Backlog",T1809="Pipeline",T1809="Overdue"),ISNUMBER(W1809)),IF(W1809&lt;=Settings!$B$6,Q1809,0),0)</f>
        <v>0</v>
      </c>
      <c r="Z1809" s="38" t="n">
        <f aca="false">IF(Y1809=0,0,IF(T1809="Backlog",Q1809,Q1809*Dashboard!$C$10))</f>
        <v>0</v>
      </c>
      <c r="AA1809" s="37" t="n">
        <f aca="false">IF($N1809="",0,IF(COUNTIF(Dashboard!$C$13:$C$22,$N1809)&gt;0,1,0))</f>
        <v>0</v>
      </c>
      <c r="AB1809" s="37" t="str">
        <f aca="false">IF($N1809="","",IF(COUNTIF($N$8:$N1809,$N1809)=1,MAX($AB$7:$AB1808)+1,""))</f>
        <v/>
      </c>
    </row>
    <row r="1810" customFormat="false" ht="15" hidden="false" customHeight="false" outlineLevel="0" collapsed="false">
      <c r="L1810" s="37" t="str">
        <f aca="false">IF(INDEX($A1810:$J1810,$L$6)&lt;&gt;"",TRIM(LEFT(INDEX($A1810:$J1810,$L$6),FIND("(",INDEX($A1810:$J1810,$L$6)&amp;"(")-1)),L1809)</f>
        <v>Building Value Proposition</v>
      </c>
      <c r="M1810" s="37" t="str">
        <f aca="false">IF(INDEX($A1810:$J1810,$M$6)="","",INDEX($A1810:$J1810,$M$6)&amp;"")</f>
        <v/>
      </c>
      <c r="N1810" s="37" t="str">
        <f aca="false">IF($M1810="","",TRIM(INDEX($A1810:$J1810,$N$6)&amp;""))</f>
        <v/>
      </c>
      <c r="O1810" s="37" t="str">
        <f aca="false">IF($M1810="","",TRIM(INDEX($A1810:$J1810,$O$6)&amp;""))</f>
        <v/>
      </c>
      <c r="P1810" s="37" t="str">
        <f aca="false">IF($M1810="","",IFERROR(IF(INDEX(Settings!$B$41:$B$50,MATCH(O1810,Settings!$A$41:$A$50,0))&amp;""="","UNMAPPED",INDEX(Settings!$B$41:$B$50,MATCH(O1810,Settings!$A$41:$A$50,0))&amp;""),"UNMAPPED"))</f>
        <v/>
      </c>
      <c r="Q1810" s="38" t="n">
        <f aca="false">IF($M1810="",0,N(INDEX($A1810:$J1810,$Q$6)))</f>
        <v>0</v>
      </c>
      <c r="R1810" s="39" t="str">
        <f aca="false">IF($M1810="","",INDEX($A1810:$J1810,$R$6))</f>
        <v/>
      </c>
      <c r="S1810" s="37" t="str">
        <f aca="false">IF($M1810="","",IFERROR(INDEX(Settings!$B$27:$B$36,MATCH(L1810,Settings!$A$27:$A$36,0))&amp;"","UNMAPPED"))</f>
        <v/>
      </c>
      <c r="T1810" s="37" t="str">
        <f aca="false">IF($M1810="","",IF(NOT(ISNUMBER(R1810)),"NO DATE",IF(S1810="Won",IF(R1810&gt;Settings!$B$5,"Backlog","Delivered"),IF(S1810="Open",IF(R1810&gt;Settings!$B$5,"Pipeline","Overdue"),IF(S1810="Lost","Lost","UNMAPPED")))))</f>
        <v/>
      </c>
      <c r="U1810" s="40" t="n">
        <f aca="false">IF(T1810="Backlog",1,IF(OR(T1810="Pipeline",T1810="Overdue"),N(INDEX(Settings!$C$27:$C$36,MATCH(L1810,Settings!$A$27:$A$36,0))),0))</f>
        <v>0</v>
      </c>
      <c r="V1810" s="38" t="n">
        <f aca="false">Q1810*U1810</f>
        <v>0</v>
      </c>
      <c r="W1810" s="41" t="str">
        <f aca="false">IF($M1810="","",IF(T1810="Overdue",IF(Settings!$B$8="Yes",Settings!$B$7,""),IF(ISNUMBER(R1810),DATE(YEAR(R1810),MONTH(R1810),1),"")))</f>
        <v/>
      </c>
      <c r="X1810" s="38" t="n">
        <f aca="false">IF(AND(OR(T1810="Backlog",T1810="Pipeline",T1810="Overdue"),ISNUMBER(W1810)),IF(W1810&lt;=Settings!$B$6,V1810,0),0)</f>
        <v>0</v>
      </c>
      <c r="Y1810" s="38" t="n">
        <f aca="false">IF(AND(OR(T1810="Backlog",T1810="Pipeline",T1810="Overdue"),ISNUMBER(W1810)),IF(W1810&lt;=Settings!$B$6,Q1810,0),0)</f>
        <v>0</v>
      </c>
      <c r="Z1810" s="38" t="n">
        <f aca="false">IF(Y1810=0,0,IF(T1810="Backlog",Q1810,Q1810*Dashboard!$C$10))</f>
        <v>0</v>
      </c>
      <c r="AA1810" s="37" t="n">
        <f aca="false">IF($N1810="",0,IF(COUNTIF(Dashboard!$C$13:$C$22,$N1810)&gt;0,1,0))</f>
        <v>0</v>
      </c>
      <c r="AB1810" s="37" t="str">
        <f aca="false">IF($N1810="","",IF(COUNTIF($N$8:$N1810,$N1810)=1,MAX($AB$7:$AB1809)+1,""))</f>
        <v/>
      </c>
    </row>
    <row r="1811" customFormat="false" ht="15" hidden="false" customHeight="false" outlineLevel="0" collapsed="false">
      <c r="L1811" s="37" t="str">
        <f aca="false">IF(INDEX($A1811:$J1811,$L$6)&lt;&gt;"",TRIM(LEFT(INDEX($A1811:$J1811,$L$6),FIND("(",INDEX($A1811:$J1811,$L$6)&amp;"(")-1)),L1810)</f>
        <v>Building Value Proposition</v>
      </c>
      <c r="M1811" s="37" t="str">
        <f aca="false">IF(INDEX($A1811:$J1811,$M$6)="","",INDEX($A1811:$J1811,$M$6)&amp;"")</f>
        <v/>
      </c>
      <c r="N1811" s="37" t="str">
        <f aca="false">IF($M1811="","",TRIM(INDEX($A1811:$J1811,$N$6)&amp;""))</f>
        <v/>
      </c>
      <c r="O1811" s="37" t="str">
        <f aca="false">IF($M1811="","",TRIM(INDEX($A1811:$J1811,$O$6)&amp;""))</f>
        <v/>
      </c>
      <c r="P1811" s="37" t="str">
        <f aca="false">IF($M1811="","",IFERROR(IF(INDEX(Settings!$B$41:$B$50,MATCH(O1811,Settings!$A$41:$A$50,0))&amp;""="","UNMAPPED",INDEX(Settings!$B$41:$B$50,MATCH(O1811,Settings!$A$41:$A$50,0))&amp;""),"UNMAPPED"))</f>
        <v/>
      </c>
      <c r="Q1811" s="38" t="n">
        <f aca="false">IF($M1811="",0,N(INDEX($A1811:$J1811,$Q$6)))</f>
        <v>0</v>
      </c>
      <c r="R1811" s="39" t="str">
        <f aca="false">IF($M1811="","",INDEX($A1811:$J1811,$R$6))</f>
        <v/>
      </c>
      <c r="S1811" s="37" t="str">
        <f aca="false">IF($M1811="","",IFERROR(INDEX(Settings!$B$27:$B$36,MATCH(L1811,Settings!$A$27:$A$36,0))&amp;"","UNMAPPED"))</f>
        <v/>
      </c>
      <c r="T1811" s="37" t="str">
        <f aca="false">IF($M1811="","",IF(NOT(ISNUMBER(R1811)),"NO DATE",IF(S1811="Won",IF(R1811&gt;Settings!$B$5,"Backlog","Delivered"),IF(S1811="Open",IF(R1811&gt;Settings!$B$5,"Pipeline","Overdue"),IF(S1811="Lost","Lost","UNMAPPED")))))</f>
        <v/>
      </c>
      <c r="U1811" s="40" t="n">
        <f aca="false">IF(T1811="Backlog",1,IF(OR(T1811="Pipeline",T1811="Overdue"),N(INDEX(Settings!$C$27:$C$36,MATCH(L1811,Settings!$A$27:$A$36,0))),0))</f>
        <v>0</v>
      </c>
      <c r="V1811" s="38" t="n">
        <f aca="false">Q1811*U1811</f>
        <v>0</v>
      </c>
      <c r="W1811" s="41" t="str">
        <f aca="false">IF($M1811="","",IF(T1811="Overdue",IF(Settings!$B$8="Yes",Settings!$B$7,""),IF(ISNUMBER(R1811),DATE(YEAR(R1811),MONTH(R1811),1),"")))</f>
        <v/>
      </c>
      <c r="X1811" s="38" t="n">
        <f aca="false">IF(AND(OR(T1811="Backlog",T1811="Pipeline",T1811="Overdue"),ISNUMBER(W1811)),IF(W1811&lt;=Settings!$B$6,V1811,0),0)</f>
        <v>0</v>
      </c>
      <c r="Y1811" s="38" t="n">
        <f aca="false">IF(AND(OR(T1811="Backlog",T1811="Pipeline",T1811="Overdue"),ISNUMBER(W1811)),IF(W1811&lt;=Settings!$B$6,Q1811,0),0)</f>
        <v>0</v>
      </c>
      <c r="Z1811" s="38" t="n">
        <f aca="false">IF(Y1811=0,0,IF(T1811="Backlog",Q1811,Q1811*Dashboard!$C$10))</f>
        <v>0</v>
      </c>
      <c r="AA1811" s="37" t="n">
        <f aca="false">IF($N1811="",0,IF(COUNTIF(Dashboard!$C$13:$C$22,$N1811)&gt;0,1,0))</f>
        <v>0</v>
      </c>
      <c r="AB1811" s="37" t="str">
        <f aca="false">IF($N1811="","",IF(COUNTIF($N$8:$N1811,$N1811)=1,MAX($AB$7:$AB1810)+1,""))</f>
        <v/>
      </c>
    </row>
    <row r="1812" customFormat="false" ht="15" hidden="false" customHeight="false" outlineLevel="0" collapsed="false">
      <c r="L1812" s="37" t="str">
        <f aca="false">IF(INDEX($A1812:$J1812,$L$6)&lt;&gt;"",TRIM(LEFT(INDEX($A1812:$J1812,$L$6),FIND("(",INDEX($A1812:$J1812,$L$6)&amp;"(")-1)),L1811)</f>
        <v>Building Value Proposition</v>
      </c>
      <c r="M1812" s="37" t="str">
        <f aca="false">IF(INDEX($A1812:$J1812,$M$6)="","",INDEX($A1812:$J1812,$M$6)&amp;"")</f>
        <v/>
      </c>
      <c r="N1812" s="37" t="str">
        <f aca="false">IF($M1812="","",TRIM(INDEX($A1812:$J1812,$N$6)&amp;""))</f>
        <v/>
      </c>
      <c r="O1812" s="37" t="str">
        <f aca="false">IF($M1812="","",TRIM(INDEX($A1812:$J1812,$O$6)&amp;""))</f>
        <v/>
      </c>
      <c r="P1812" s="37" t="str">
        <f aca="false">IF($M1812="","",IFERROR(IF(INDEX(Settings!$B$41:$B$50,MATCH(O1812,Settings!$A$41:$A$50,0))&amp;""="","UNMAPPED",INDEX(Settings!$B$41:$B$50,MATCH(O1812,Settings!$A$41:$A$50,0))&amp;""),"UNMAPPED"))</f>
        <v/>
      </c>
      <c r="Q1812" s="38" t="n">
        <f aca="false">IF($M1812="",0,N(INDEX($A1812:$J1812,$Q$6)))</f>
        <v>0</v>
      </c>
      <c r="R1812" s="39" t="str">
        <f aca="false">IF($M1812="","",INDEX($A1812:$J1812,$R$6))</f>
        <v/>
      </c>
      <c r="S1812" s="37" t="str">
        <f aca="false">IF($M1812="","",IFERROR(INDEX(Settings!$B$27:$B$36,MATCH(L1812,Settings!$A$27:$A$36,0))&amp;"","UNMAPPED"))</f>
        <v/>
      </c>
      <c r="T1812" s="37" t="str">
        <f aca="false">IF($M1812="","",IF(NOT(ISNUMBER(R1812)),"NO DATE",IF(S1812="Won",IF(R1812&gt;Settings!$B$5,"Backlog","Delivered"),IF(S1812="Open",IF(R1812&gt;Settings!$B$5,"Pipeline","Overdue"),IF(S1812="Lost","Lost","UNMAPPED")))))</f>
        <v/>
      </c>
      <c r="U1812" s="40" t="n">
        <f aca="false">IF(T1812="Backlog",1,IF(OR(T1812="Pipeline",T1812="Overdue"),N(INDEX(Settings!$C$27:$C$36,MATCH(L1812,Settings!$A$27:$A$36,0))),0))</f>
        <v>0</v>
      </c>
      <c r="V1812" s="38" t="n">
        <f aca="false">Q1812*U1812</f>
        <v>0</v>
      </c>
      <c r="W1812" s="41" t="str">
        <f aca="false">IF($M1812="","",IF(T1812="Overdue",IF(Settings!$B$8="Yes",Settings!$B$7,""),IF(ISNUMBER(R1812),DATE(YEAR(R1812),MONTH(R1812),1),"")))</f>
        <v/>
      </c>
      <c r="X1812" s="38" t="n">
        <f aca="false">IF(AND(OR(T1812="Backlog",T1812="Pipeline",T1812="Overdue"),ISNUMBER(W1812)),IF(W1812&lt;=Settings!$B$6,V1812,0),0)</f>
        <v>0</v>
      </c>
      <c r="Y1812" s="38" t="n">
        <f aca="false">IF(AND(OR(T1812="Backlog",T1812="Pipeline",T1812="Overdue"),ISNUMBER(W1812)),IF(W1812&lt;=Settings!$B$6,Q1812,0),0)</f>
        <v>0</v>
      </c>
      <c r="Z1812" s="38" t="n">
        <f aca="false">IF(Y1812=0,0,IF(T1812="Backlog",Q1812,Q1812*Dashboard!$C$10))</f>
        <v>0</v>
      </c>
      <c r="AA1812" s="37" t="n">
        <f aca="false">IF($N1812="",0,IF(COUNTIF(Dashboard!$C$13:$C$22,$N1812)&gt;0,1,0))</f>
        <v>0</v>
      </c>
      <c r="AB1812" s="37" t="str">
        <f aca="false">IF($N1812="","",IF(COUNTIF($N$8:$N1812,$N1812)=1,MAX($AB$7:$AB1811)+1,""))</f>
        <v/>
      </c>
    </row>
    <row r="1813" customFormat="false" ht="15" hidden="false" customHeight="false" outlineLevel="0" collapsed="false">
      <c r="L1813" s="37" t="str">
        <f aca="false">IF(INDEX($A1813:$J1813,$L$6)&lt;&gt;"",TRIM(LEFT(INDEX($A1813:$J1813,$L$6),FIND("(",INDEX($A1813:$J1813,$L$6)&amp;"(")-1)),L1812)</f>
        <v>Building Value Proposition</v>
      </c>
      <c r="M1813" s="37" t="str">
        <f aca="false">IF(INDEX($A1813:$J1813,$M$6)="","",INDEX($A1813:$J1813,$M$6)&amp;"")</f>
        <v/>
      </c>
      <c r="N1813" s="37" t="str">
        <f aca="false">IF($M1813="","",TRIM(INDEX($A1813:$J1813,$N$6)&amp;""))</f>
        <v/>
      </c>
      <c r="O1813" s="37" t="str">
        <f aca="false">IF($M1813="","",TRIM(INDEX($A1813:$J1813,$O$6)&amp;""))</f>
        <v/>
      </c>
      <c r="P1813" s="37" t="str">
        <f aca="false">IF($M1813="","",IFERROR(IF(INDEX(Settings!$B$41:$B$50,MATCH(O1813,Settings!$A$41:$A$50,0))&amp;""="","UNMAPPED",INDEX(Settings!$B$41:$B$50,MATCH(O1813,Settings!$A$41:$A$50,0))&amp;""),"UNMAPPED"))</f>
        <v/>
      </c>
      <c r="Q1813" s="38" t="n">
        <f aca="false">IF($M1813="",0,N(INDEX($A1813:$J1813,$Q$6)))</f>
        <v>0</v>
      </c>
      <c r="R1813" s="39" t="str">
        <f aca="false">IF($M1813="","",INDEX($A1813:$J1813,$R$6))</f>
        <v/>
      </c>
      <c r="S1813" s="37" t="str">
        <f aca="false">IF($M1813="","",IFERROR(INDEX(Settings!$B$27:$B$36,MATCH(L1813,Settings!$A$27:$A$36,0))&amp;"","UNMAPPED"))</f>
        <v/>
      </c>
      <c r="T1813" s="37" t="str">
        <f aca="false">IF($M1813="","",IF(NOT(ISNUMBER(R1813)),"NO DATE",IF(S1813="Won",IF(R1813&gt;Settings!$B$5,"Backlog","Delivered"),IF(S1813="Open",IF(R1813&gt;Settings!$B$5,"Pipeline","Overdue"),IF(S1813="Lost","Lost","UNMAPPED")))))</f>
        <v/>
      </c>
      <c r="U1813" s="40" t="n">
        <f aca="false">IF(T1813="Backlog",1,IF(OR(T1813="Pipeline",T1813="Overdue"),N(INDEX(Settings!$C$27:$C$36,MATCH(L1813,Settings!$A$27:$A$36,0))),0))</f>
        <v>0</v>
      </c>
      <c r="V1813" s="38" t="n">
        <f aca="false">Q1813*U1813</f>
        <v>0</v>
      </c>
      <c r="W1813" s="41" t="str">
        <f aca="false">IF($M1813="","",IF(T1813="Overdue",IF(Settings!$B$8="Yes",Settings!$B$7,""),IF(ISNUMBER(R1813),DATE(YEAR(R1813),MONTH(R1813),1),"")))</f>
        <v/>
      </c>
      <c r="X1813" s="38" t="n">
        <f aca="false">IF(AND(OR(T1813="Backlog",T1813="Pipeline",T1813="Overdue"),ISNUMBER(W1813)),IF(W1813&lt;=Settings!$B$6,V1813,0),0)</f>
        <v>0</v>
      </c>
      <c r="Y1813" s="38" t="n">
        <f aca="false">IF(AND(OR(T1813="Backlog",T1813="Pipeline",T1813="Overdue"),ISNUMBER(W1813)),IF(W1813&lt;=Settings!$B$6,Q1813,0),0)</f>
        <v>0</v>
      </c>
      <c r="Z1813" s="38" t="n">
        <f aca="false">IF(Y1813=0,0,IF(T1813="Backlog",Q1813,Q1813*Dashboard!$C$10))</f>
        <v>0</v>
      </c>
      <c r="AA1813" s="37" t="n">
        <f aca="false">IF($N1813="",0,IF(COUNTIF(Dashboard!$C$13:$C$22,$N1813)&gt;0,1,0))</f>
        <v>0</v>
      </c>
      <c r="AB1813" s="37" t="str">
        <f aca="false">IF($N1813="","",IF(COUNTIF($N$8:$N1813,$N1813)=1,MAX($AB$7:$AB1812)+1,""))</f>
        <v/>
      </c>
    </row>
    <row r="1814" customFormat="false" ht="15" hidden="false" customHeight="false" outlineLevel="0" collapsed="false">
      <c r="L1814" s="37" t="str">
        <f aca="false">IF(INDEX($A1814:$J1814,$L$6)&lt;&gt;"",TRIM(LEFT(INDEX($A1814:$J1814,$L$6),FIND("(",INDEX($A1814:$J1814,$L$6)&amp;"(")-1)),L1813)</f>
        <v>Building Value Proposition</v>
      </c>
      <c r="M1814" s="37" t="str">
        <f aca="false">IF(INDEX($A1814:$J1814,$M$6)="","",INDEX($A1814:$J1814,$M$6)&amp;"")</f>
        <v/>
      </c>
      <c r="N1814" s="37" t="str">
        <f aca="false">IF($M1814="","",TRIM(INDEX($A1814:$J1814,$N$6)&amp;""))</f>
        <v/>
      </c>
      <c r="O1814" s="37" t="str">
        <f aca="false">IF($M1814="","",TRIM(INDEX($A1814:$J1814,$O$6)&amp;""))</f>
        <v/>
      </c>
      <c r="P1814" s="37" t="str">
        <f aca="false">IF($M1814="","",IFERROR(IF(INDEX(Settings!$B$41:$B$50,MATCH(O1814,Settings!$A$41:$A$50,0))&amp;""="","UNMAPPED",INDEX(Settings!$B$41:$B$50,MATCH(O1814,Settings!$A$41:$A$50,0))&amp;""),"UNMAPPED"))</f>
        <v/>
      </c>
      <c r="Q1814" s="38" t="n">
        <f aca="false">IF($M1814="",0,N(INDEX($A1814:$J1814,$Q$6)))</f>
        <v>0</v>
      </c>
      <c r="R1814" s="39" t="str">
        <f aca="false">IF($M1814="","",INDEX($A1814:$J1814,$R$6))</f>
        <v/>
      </c>
      <c r="S1814" s="37" t="str">
        <f aca="false">IF($M1814="","",IFERROR(INDEX(Settings!$B$27:$B$36,MATCH(L1814,Settings!$A$27:$A$36,0))&amp;"","UNMAPPED"))</f>
        <v/>
      </c>
      <c r="T1814" s="37" t="str">
        <f aca="false">IF($M1814="","",IF(NOT(ISNUMBER(R1814)),"NO DATE",IF(S1814="Won",IF(R1814&gt;Settings!$B$5,"Backlog","Delivered"),IF(S1814="Open",IF(R1814&gt;Settings!$B$5,"Pipeline","Overdue"),IF(S1814="Lost","Lost","UNMAPPED")))))</f>
        <v/>
      </c>
      <c r="U1814" s="40" t="n">
        <f aca="false">IF(T1814="Backlog",1,IF(OR(T1814="Pipeline",T1814="Overdue"),N(INDEX(Settings!$C$27:$C$36,MATCH(L1814,Settings!$A$27:$A$36,0))),0))</f>
        <v>0</v>
      </c>
      <c r="V1814" s="38" t="n">
        <f aca="false">Q1814*U1814</f>
        <v>0</v>
      </c>
      <c r="W1814" s="41" t="str">
        <f aca="false">IF($M1814="","",IF(T1814="Overdue",IF(Settings!$B$8="Yes",Settings!$B$7,""),IF(ISNUMBER(R1814),DATE(YEAR(R1814),MONTH(R1814),1),"")))</f>
        <v/>
      </c>
      <c r="X1814" s="38" t="n">
        <f aca="false">IF(AND(OR(T1814="Backlog",T1814="Pipeline",T1814="Overdue"),ISNUMBER(W1814)),IF(W1814&lt;=Settings!$B$6,V1814,0),0)</f>
        <v>0</v>
      </c>
      <c r="Y1814" s="38" t="n">
        <f aca="false">IF(AND(OR(T1814="Backlog",T1814="Pipeline",T1814="Overdue"),ISNUMBER(W1814)),IF(W1814&lt;=Settings!$B$6,Q1814,0),0)</f>
        <v>0</v>
      </c>
      <c r="Z1814" s="38" t="n">
        <f aca="false">IF(Y1814=0,0,IF(T1814="Backlog",Q1814,Q1814*Dashboard!$C$10))</f>
        <v>0</v>
      </c>
      <c r="AA1814" s="37" t="n">
        <f aca="false">IF($N1814="",0,IF(COUNTIF(Dashboard!$C$13:$C$22,$N1814)&gt;0,1,0))</f>
        <v>0</v>
      </c>
      <c r="AB1814" s="37" t="str">
        <f aca="false">IF($N1814="","",IF(COUNTIF($N$8:$N1814,$N1814)=1,MAX($AB$7:$AB1813)+1,""))</f>
        <v/>
      </c>
    </row>
    <row r="1815" customFormat="false" ht="15" hidden="false" customHeight="false" outlineLevel="0" collapsed="false">
      <c r="L1815" s="37" t="str">
        <f aca="false">IF(INDEX($A1815:$J1815,$L$6)&lt;&gt;"",TRIM(LEFT(INDEX($A1815:$J1815,$L$6),FIND("(",INDEX($A1815:$J1815,$L$6)&amp;"(")-1)),L1814)</f>
        <v>Building Value Proposition</v>
      </c>
      <c r="M1815" s="37" t="str">
        <f aca="false">IF(INDEX($A1815:$J1815,$M$6)="","",INDEX($A1815:$J1815,$M$6)&amp;"")</f>
        <v/>
      </c>
      <c r="N1815" s="37" t="str">
        <f aca="false">IF($M1815="","",TRIM(INDEX($A1815:$J1815,$N$6)&amp;""))</f>
        <v/>
      </c>
      <c r="O1815" s="37" t="str">
        <f aca="false">IF($M1815="","",TRIM(INDEX($A1815:$J1815,$O$6)&amp;""))</f>
        <v/>
      </c>
      <c r="P1815" s="37" t="str">
        <f aca="false">IF($M1815="","",IFERROR(IF(INDEX(Settings!$B$41:$B$50,MATCH(O1815,Settings!$A$41:$A$50,0))&amp;""="","UNMAPPED",INDEX(Settings!$B$41:$B$50,MATCH(O1815,Settings!$A$41:$A$50,0))&amp;""),"UNMAPPED"))</f>
        <v/>
      </c>
      <c r="Q1815" s="38" t="n">
        <f aca="false">IF($M1815="",0,N(INDEX($A1815:$J1815,$Q$6)))</f>
        <v>0</v>
      </c>
      <c r="R1815" s="39" t="str">
        <f aca="false">IF($M1815="","",INDEX($A1815:$J1815,$R$6))</f>
        <v/>
      </c>
      <c r="S1815" s="37" t="str">
        <f aca="false">IF($M1815="","",IFERROR(INDEX(Settings!$B$27:$B$36,MATCH(L1815,Settings!$A$27:$A$36,0))&amp;"","UNMAPPED"))</f>
        <v/>
      </c>
      <c r="T1815" s="37" t="str">
        <f aca="false">IF($M1815="","",IF(NOT(ISNUMBER(R1815)),"NO DATE",IF(S1815="Won",IF(R1815&gt;Settings!$B$5,"Backlog","Delivered"),IF(S1815="Open",IF(R1815&gt;Settings!$B$5,"Pipeline","Overdue"),IF(S1815="Lost","Lost","UNMAPPED")))))</f>
        <v/>
      </c>
      <c r="U1815" s="40" t="n">
        <f aca="false">IF(T1815="Backlog",1,IF(OR(T1815="Pipeline",T1815="Overdue"),N(INDEX(Settings!$C$27:$C$36,MATCH(L1815,Settings!$A$27:$A$36,0))),0))</f>
        <v>0</v>
      </c>
      <c r="V1815" s="38" t="n">
        <f aca="false">Q1815*U1815</f>
        <v>0</v>
      </c>
      <c r="W1815" s="41" t="str">
        <f aca="false">IF($M1815="","",IF(T1815="Overdue",IF(Settings!$B$8="Yes",Settings!$B$7,""),IF(ISNUMBER(R1815),DATE(YEAR(R1815),MONTH(R1815),1),"")))</f>
        <v/>
      </c>
      <c r="X1815" s="38" t="n">
        <f aca="false">IF(AND(OR(T1815="Backlog",T1815="Pipeline",T1815="Overdue"),ISNUMBER(W1815)),IF(W1815&lt;=Settings!$B$6,V1815,0),0)</f>
        <v>0</v>
      </c>
      <c r="Y1815" s="38" t="n">
        <f aca="false">IF(AND(OR(T1815="Backlog",T1815="Pipeline",T1815="Overdue"),ISNUMBER(W1815)),IF(W1815&lt;=Settings!$B$6,Q1815,0),0)</f>
        <v>0</v>
      </c>
      <c r="Z1815" s="38" t="n">
        <f aca="false">IF(Y1815=0,0,IF(T1815="Backlog",Q1815,Q1815*Dashboard!$C$10))</f>
        <v>0</v>
      </c>
      <c r="AA1815" s="37" t="n">
        <f aca="false">IF($N1815="",0,IF(COUNTIF(Dashboard!$C$13:$C$22,$N1815)&gt;0,1,0))</f>
        <v>0</v>
      </c>
      <c r="AB1815" s="37" t="str">
        <f aca="false">IF($N1815="","",IF(COUNTIF($N$8:$N1815,$N1815)=1,MAX($AB$7:$AB1814)+1,""))</f>
        <v/>
      </c>
    </row>
    <row r="1816" customFormat="false" ht="15" hidden="false" customHeight="false" outlineLevel="0" collapsed="false">
      <c r="L1816" s="37" t="str">
        <f aca="false">IF(INDEX($A1816:$J1816,$L$6)&lt;&gt;"",TRIM(LEFT(INDEX($A1816:$J1816,$L$6),FIND("(",INDEX($A1816:$J1816,$L$6)&amp;"(")-1)),L1815)</f>
        <v>Building Value Proposition</v>
      </c>
      <c r="M1816" s="37" t="str">
        <f aca="false">IF(INDEX($A1816:$J1816,$M$6)="","",INDEX($A1816:$J1816,$M$6)&amp;"")</f>
        <v/>
      </c>
      <c r="N1816" s="37" t="str">
        <f aca="false">IF($M1816="","",TRIM(INDEX($A1816:$J1816,$N$6)&amp;""))</f>
        <v/>
      </c>
      <c r="O1816" s="37" t="str">
        <f aca="false">IF($M1816="","",TRIM(INDEX($A1816:$J1816,$O$6)&amp;""))</f>
        <v/>
      </c>
      <c r="P1816" s="37" t="str">
        <f aca="false">IF($M1816="","",IFERROR(IF(INDEX(Settings!$B$41:$B$50,MATCH(O1816,Settings!$A$41:$A$50,0))&amp;""="","UNMAPPED",INDEX(Settings!$B$41:$B$50,MATCH(O1816,Settings!$A$41:$A$50,0))&amp;""),"UNMAPPED"))</f>
        <v/>
      </c>
      <c r="Q1816" s="38" t="n">
        <f aca="false">IF($M1816="",0,N(INDEX($A1816:$J1816,$Q$6)))</f>
        <v>0</v>
      </c>
      <c r="R1816" s="39" t="str">
        <f aca="false">IF($M1816="","",INDEX($A1816:$J1816,$R$6))</f>
        <v/>
      </c>
      <c r="S1816" s="37" t="str">
        <f aca="false">IF($M1816="","",IFERROR(INDEX(Settings!$B$27:$B$36,MATCH(L1816,Settings!$A$27:$A$36,0))&amp;"","UNMAPPED"))</f>
        <v/>
      </c>
      <c r="T1816" s="37" t="str">
        <f aca="false">IF($M1816="","",IF(NOT(ISNUMBER(R1816)),"NO DATE",IF(S1816="Won",IF(R1816&gt;Settings!$B$5,"Backlog","Delivered"),IF(S1816="Open",IF(R1816&gt;Settings!$B$5,"Pipeline","Overdue"),IF(S1816="Lost","Lost","UNMAPPED")))))</f>
        <v/>
      </c>
      <c r="U1816" s="40" t="n">
        <f aca="false">IF(T1816="Backlog",1,IF(OR(T1816="Pipeline",T1816="Overdue"),N(INDEX(Settings!$C$27:$C$36,MATCH(L1816,Settings!$A$27:$A$36,0))),0))</f>
        <v>0</v>
      </c>
      <c r="V1816" s="38" t="n">
        <f aca="false">Q1816*U1816</f>
        <v>0</v>
      </c>
      <c r="W1816" s="41" t="str">
        <f aca="false">IF($M1816="","",IF(T1816="Overdue",IF(Settings!$B$8="Yes",Settings!$B$7,""),IF(ISNUMBER(R1816),DATE(YEAR(R1816),MONTH(R1816),1),"")))</f>
        <v/>
      </c>
      <c r="X1816" s="38" t="n">
        <f aca="false">IF(AND(OR(T1816="Backlog",T1816="Pipeline",T1816="Overdue"),ISNUMBER(W1816)),IF(W1816&lt;=Settings!$B$6,V1816,0),0)</f>
        <v>0</v>
      </c>
      <c r="Y1816" s="38" t="n">
        <f aca="false">IF(AND(OR(T1816="Backlog",T1816="Pipeline",T1816="Overdue"),ISNUMBER(W1816)),IF(W1816&lt;=Settings!$B$6,Q1816,0),0)</f>
        <v>0</v>
      </c>
      <c r="Z1816" s="38" t="n">
        <f aca="false">IF(Y1816=0,0,IF(T1816="Backlog",Q1816,Q1816*Dashboard!$C$10))</f>
        <v>0</v>
      </c>
      <c r="AA1816" s="37" t="n">
        <f aca="false">IF($N1816="",0,IF(COUNTIF(Dashboard!$C$13:$C$22,$N1816)&gt;0,1,0))</f>
        <v>0</v>
      </c>
      <c r="AB1816" s="37" t="str">
        <f aca="false">IF($N1816="","",IF(COUNTIF($N$8:$N1816,$N1816)=1,MAX($AB$7:$AB1815)+1,""))</f>
        <v/>
      </c>
    </row>
    <row r="1817" customFormat="false" ht="15" hidden="false" customHeight="false" outlineLevel="0" collapsed="false">
      <c r="L1817" s="37" t="str">
        <f aca="false">IF(INDEX($A1817:$J1817,$L$6)&lt;&gt;"",TRIM(LEFT(INDEX($A1817:$J1817,$L$6),FIND("(",INDEX($A1817:$J1817,$L$6)&amp;"(")-1)),L1816)</f>
        <v>Building Value Proposition</v>
      </c>
      <c r="M1817" s="37" t="str">
        <f aca="false">IF(INDEX($A1817:$J1817,$M$6)="","",INDEX($A1817:$J1817,$M$6)&amp;"")</f>
        <v/>
      </c>
      <c r="N1817" s="37" t="str">
        <f aca="false">IF($M1817="","",TRIM(INDEX($A1817:$J1817,$N$6)&amp;""))</f>
        <v/>
      </c>
      <c r="O1817" s="37" t="str">
        <f aca="false">IF($M1817="","",TRIM(INDEX($A1817:$J1817,$O$6)&amp;""))</f>
        <v/>
      </c>
      <c r="P1817" s="37" t="str">
        <f aca="false">IF($M1817="","",IFERROR(IF(INDEX(Settings!$B$41:$B$50,MATCH(O1817,Settings!$A$41:$A$50,0))&amp;""="","UNMAPPED",INDEX(Settings!$B$41:$B$50,MATCH(O1817,Settings!$A$41:$A$50,0))&amp;""),"UNMAPPED"))</f>
        <v/>
      </c>
      <c r="Q1817" s="38" t="n">
        <f aca="false">IF($M1817="",0,N(INDEX($A1817:$J1817,$Q$6)))</f>
        <v>0</v>
      </c>
      <c r="R1817" s="39" t="str">
        <f aca="false">IF($M1817="","",INDEX($A1817:$J1817,$R$6))</f>
        <v/>
      </c>
      <c r="S1817" s="37" t="str">
        <f aca="false">IF($M1817="","",IFERROR(INDEX(Settings!$B$27:$B$36,MATCH(L1817,Settings!$A$27:$A$36,0))&amp;"","UNMAPPED"))</f>
        <v/>
      </c>
      <c r="T1817" s="37" t="str">
        <f aca="false">IF($M1817="","",IF(NOT(ISNUMBER(R1817)),"NO DATE",IF(S1817="Won",IF(R1817&gt;Settings!$B$5,"Backlog","Delivered"),IF(S1817="Open",IF(R1817&gt;Settings!$B$5,"Pipeline","Overdue"),IF(S1817="Lost","Lost","UNMAPPED")))))</f>
        <v/>
      </c>
      <c r="U1817" s="40" t="n">
        <f aca="false">IF(T1817="Backlog",1,IF(OR(T1817="Pipeline",T1817="Overdue"),N(INDEX(Settings!$C$27:$C$36,MATCH(L1817,Settings!$A$27:$A$36,0))),0))</f>
        <v>0</v>
      </c>
      <c r="V1817" s="38" t="n">
        <f aca="false">Q1817*U1817</f>
        <v>0</v>
      </c>
      <c r="W1817" s="41" t="str">
        <f aca="false">IF($M1817="","",IF(T1817="Overdue",IF(Settings!$B$8="Yes",Settings!$B$7,""),IF(ISNUMBER(R1817),DATE(YEAR(R1817),MONTH(R1817),1),"")))</f>
        <v/>
      </c>
      <c r="X1817" s="38" t="n">
        <f aca="false">IF(AND(OR(T1817="Backlog",T1817="Pipeline",T1817="Overdue"),ISNUMBER(W1817)),IF(W1817&lt;=Settings!$B$6,V1817,0),0)</f>
        <v>0</v>
      </c>
      <c r="Y1817" s="38" t="n">
        <f aca="false">IF(AND(OR(T1817="Backlog",T1817="Pipeline",T1817="Overdue"),ISNUMBER(W1817)),IF(W1817&lt;=Settings!$B$6,Q1817,0),0)</f>
        <v>0</v>
      </c>
      <c r="Z1817" s="38" t="n">
        <f aca="false">IF(Y1817=0,0,IF(T1817="Backlog",Q1817,Q1817*Dashboard!$C$10))</f>
        <v>0</v>
      </c>
      <c r="AA1817" s="37" t="n">
        <f aca="false">IF($N1817="",0,IF(COUNTIF(Dashboard!$C$13:$C$22,$N1817)&gt;0,1,0))</f>
        <v>0</v>
      </c>
      <c r="AB1817" s="37" t="str">
        <f aca="false">IF($N1817="","",IF(COUNTIF($N$8:$N1817,$N1817)=1,MAX($AB$7:$AB1816)+1,""))</f>
        <v/>
      </c>
    </row>
    <row r="1818" customFormat="false" ht="15" hidden="false" customHeight="false" outlineLevel="0" collapsed="false">
      <c r="L1818" s="37" t="str">
        <f aca="false">IF(INDEX($A1818:$J1818,$L$6)&lt;&gt;"",TRIM(LEFT(INDEX($A1818:$J1818,$L$6),FIND("(",INDEX($A1818:$J1818,$L$6)&amp;"(")-1)),L1817)</f>
        <v>Building Value Proposition</v>
      </c>
      <c r="M1818" s="37" t="str">
        <f aca="false">IF(INDEX($A1818:$J1818,$M$6)="","",INDEX($A1818:$J1818,$M$6)&amp;"")</f>
        <v/>
      </c>
      <c r="N1818" s="37" t="str">
        <f aca="false">IF($M1818="","",TRIM(INDEX($A1818:$J1818,$N$6)&amp;""))</f>
        <v/>
      </c>
      <c r="O1818" s="37" t="str">
        <f aca="false">IF($M1818="","",TRIM(INDEX($A1818:$J1818,$O$6)&amp;""))</f>
        <v/>
      </c>
      <c r="P1818" s="37" t="str">
        <f aca="false">IF($M1818="","",IFERROR(IF(INDEX(Settings!$B$41:$B$50,MATCH(O1818,Settings!$A$41:$A$50,0))&amp;""="","UNMAPPED",INDEX(Settings!$B$41:$B$50,MATCH(O1818,Settings!$A$41:$A$50,0))&amp;""),"UNMAPPED"))</f>
        <v/>
      </c>
      <c r="Q1818" s="38" t="n">
        <f aca="false">IF($M1818="",0,N(INDEX($A1818:$J1818,$Q$6)))</f>
        <v>0</v>
      </c>
      <c r="R1818" s="39" t="str">
        <f aca="false">IF($M1818="","",INDEX($A1818:$J1818,$R$6))</f>
        <v/>
      </c>
      <c r="S1818" s="37" t="str">
        <f aca="false">IF($M1818="","",IFERROR(INDEX(Settings!$B$27:$B$36,MATCH(L1818,Settings!$A$27:$A$36,0))&amp;"","UNMAPPED"))</f>
        <v/>
      </c>
      <c r="T1818" s="37" t="str">
        <f aca="false">IF($M1818="","",IF(NOT(ISNUMBER(R1818)),"NO DATE",IF(S1818="Won",IF(R1818&gt;Settings!$B$5,"Backlog","Delivered"),IF(S1818="Open",IF(R1818&gt;Settings!$B$5,"Pipeline","Overdue"),IF(S1818="Lost","Lost","UNMAPPED")))))</f>
        <v/>
      </c>
      <c r="U1818" s="40" t="n">
        <f aca="false">IF(T1818="Backlog",1,IF(OR(T1818="Pipeline",T1818="Overdue"),N(INDEX(Settings!$C$27:$C$36,MATCH(L1818,Settings!$A$27:$A$36,0))),0))</f>
        <v>0</v>
      </c>
      <c r="V1818" s="38" t="n">
        <f aca="false">Q1818*U1818</f>
        <v>0</v>
      </c>
      <c r="W1818" s="41" t="str">
        <f aca="false">IF($M1818="","",IF(T1818="Overdue",IF(Settings!$B$8="Yes",Settings!$B$7,""),IF(ISNUMBER(R1818),DATE(YEAR(R1818),MONTH(R1818),1),"")))</f>
        <v/>
      </c>
      <c r="X1818" s="38" t="n">
        <f aca="false">IF(AND(OR(T1818="Backlog",T1818="Pipeline",T1818="Overdue"),ISNUMBER(W1818)),IF(W1818&lt;=Settings!$B$6,V1818,0),0)</f>
        <v>0</v>
      </c>
      <c r="Y1818" s="38" t="n">
        <f aca="false">IF(AND(OR(T1818="Backlog",T1818="Pipeline",T1818="Overdue"),ISNUMBER(W1818)),IF(W1818&lt;=Settings!$B$6,Q1818,0),0)</f>
        <v>0</v>
      </c>
      <c r="Z1818" s="38" t="n">
        <f aca="false">IF(Y1818=0,0,IF(T1818="Backlog",Q1818,Q1818*Dashboard!$C$10))</f>
        <v>0</v>
      </c>
      <c r="AA1818" s="37" t="n">
        <f aca="false">IF($N1818="",0,IF(COUNTIF(Dashboard!$C$13:$C$22,$N1818)&gt;0,1,0))</f>
        <v>0</v>
      </c>
      <c r="AB1818" s="37" t="str">
        <f aca="false">IF($N1818="","",IF(COUNTIF($N$8:$N1818,$N1818)=1,MAX($AB$7:$AB1817)+1,""))</f>
        <v/>
      </c>
    </row>
    <row r="1819" customFormat="false" ht="15" hidden="false" customHeight="false" outlineLevel="0" collapsed="false">
      <c r="L1819" s="37" t="str">
        <f aca="false">IF(INDEX($A1819:$J1819,$L$6)&lt;&gt;"",TRIM(LEFT(INDEX($A1819:$J1819,$L$6),FIND("(",INDEX($A1819:$J1819,$L$6)&amp;"(")-1)),L1818)</f>
        <v>Building Value Proposition</v>
      </c>
      <c r="M1819" s="37" t="str">
        <f aca="false">IF(INDEX($A1819:$J1819,$M$6)="","",INDEX($A1819:$J1819,$M$6)&amp;"")</f>
        <v/>
      </c>
      <c r="N1819" s="37" t="str">
        <f aca="false">IF($M1819="","",TRIM(INDEX($A1819:$J1819,$N$6)&amp;""))</f>
        <v/>
      </c>
      <c r="O1819" s="37" t="str">
        <f aca="false">IF($M1819="","",TRIM(INDEX($A1819:$J1819,$O$6)&amp;""))</f>
        <v/>
      </c>
      <c r="P1819" s="37" t="str">
        <f aca="false">IF($M1819="","",IFERROR(IF(INDEX(Settings!$B$41:$B$50,MATCH(O1819,Settings!$A$41:$A$50,0))&amp;""="","UNMAPPED",INDEX(Settings!$B$41:$B$50,MATCH(O1819,Settings!$A$41:$A$50,0))&amp;""),"UNMAPPED"))</f>
        <v/>
      </c>
      <c r="Q1819" s="38" t="n">
        <f aca="false">IF($M1819="",0,N(INDEX($A1819:$J1819,$Q$6)))</f>
        <v>0</v>
      </c>
      <c r="R1819" s="39" t="str">
        <f aca="false">IF($M1819="","",INDEX($A1819:$J1819,$R$6))</f>
        <v/>
      </c>
      <c r="S1819" s="37" t="str">
        <f aca="false">IF($M1819="","",IFERROR(INDEX(Settings!$B$27:$B$36,MATCH(L1819,Settings!$A$27:$A$36,0))&amp;"","UNMAPPED"))</f>
        <v/>
      </c>
      <c r="T1819" s="37" t="str">
        <f aca="false">IF($M1819="","",IF(NOT(ISNUMBER(R1819)),"NO DATE",IF(S1819="Won",IF(R1819&gt;Settings!$B$5,"Backlog","Delivered"),IF(S1819="Open",IF(R1819&gt;Settings!$B$5,"Pipeline","Overdue"),IF(S1819="Lost","Lost","UNMAPPED")))))</f>
        <v/>
      </c>
      <c r="U1819" s="40" t="n">
        <f aca="false">IF(T1819="Backlog",1,IF(OR(T1819="Pipeline",T1819="Overdue"),N(INDEX(Settings!$C$27:$C$36,MATCH(L1819,Settings!$A$27:$A$36,0))),0))</f>
        <v>0</v>
      </c>
      <c r="V1819" s="38" t="n">
        <f aca="false">Q1819*U1819</f>
        <v>0</v>
      </c>
      <c r="W1819" s="41" t="str">
        <f aca="false">IF($M1819="","",IF(T1819="Overdue",IF(Settings!$B$8="Yes",Settings!$B$7,""),IF(ISNUMBER(R1819),DATE(YEAR(R1819),MONTH(R1819),1),"")))</f>
        <v/>
      </c>
      <c r="X1819" s="38" t="n">
        <f aca="false">IF(AND(OR(T1819="Backlog",T1819="Pipeline",T1819="Overdue"),ISNUMBER(W1819)),IF(W1819&lt;=Settings!$B$6,V1819,0),0)</f>
        <v>0</v>
      </c>
      <c r="Y1819" s="38" t="n">
        <f aca="false">IF(AND(OR(T1819="Backlog",T1819="Pipeline",T1819="Overdue"),ISNUMBER(W1819)),IF(W1819&lt;=Settings!$B$6,Q1819,0),0)</f>
        <v>0</v>
      </c>
      <c r="Z1819" s="38" t="n">
        <f aca="false">IF(Y1819=0,0,IF(T1819="Backlog",Q1819,Q1819*Dashboard!$C$10))</f>
        <v>0</v>
      </c>
      <c r="AA1819" s="37" t="n">
        <f aca="false">IF($N1819="",0,IF(COUNTIF(Dashboard!$C$13:$C$22,$N1819)&gt;0,1,0))</f>
        <v>0</v>
      </c>
      <c r="AB1819" s="37" t="str">
        <f aca="false">IF($N1819="","",IF(COUNTIF($N$8:$N1819,$N1819)=1,MAX($AB$7:$AB1818)+1,""))</f>
        <v/>
      </c>
    </row>
    <row r="1820" customFormat="false" ht="15" hidden="false" customHeight="false" outlineLevel="0" collapsed="false">
      <c r="L1820" s="37" t="str">
        <f aca="false">IF(INDEX($A1820:$J1820,$L$6)&lt;&gt;"",TRIM(LEFT(INDEX($A1820:$J1820,$L$6),FIND("(",INDEX($A1820:$J1820,$L$6)&amp;"(")-1)),L1819)</f>
        <v>Building Value Proposition</v>
      </c>
      <c r="M1820" s="37" t="str">
        <f aca="false">IF(INDEX($A1820:$J1820,$M$6)="","",INDEX($A1820:$J1820,$M$6)&amp;"")</f>
        <v/>
      </c>
      <c r="N1820" s="37" t="str">
        <f aca="false">IF($M1820="","",TRIM(INDEX($A1820:$J1820,$N$6)&amp;""))</f>
        <v/>
      </c>
      <c r="O1820" s="37" t="str">
        <f aca="false">IF($M1820="","",TRIM(INDEX($A1820:$J1820,$O$6)&amp;""))</f>
        <v/>
      </c>
      <c r="P1820" s="37" t="str">
        <f aca="false">IF($M1820="","",IFERROR(IF(INDEX(Settings!$B$41:$B$50,MATCH(O1820,Settings!$A$41:$A$50,0))&amp;""="","UNMAPPED",INDEX(Settings!$B$41:$B$50,MATCH(O1820,Settings!$A$41:$A$50,0))&amp;""),"UNMAPPED"))</f>
        <v/>
      </c>
      <c r="Q1820" s="38" t="n">
        <f aca="false">IF($M1820="",0,N(INDEX($A1820:$J1820,$Q$6)))</f>
        <v>0</v>
      </c>
      <c r="R1820" s="39" t="str">
        <f aca="false">IF($M1820="","",INDEX($A1820:$J1820,$R$6))</f>
        <v/>
      </c>
      <c r="S1820" s="37" t="str">
        <f aca="false">IF($M1820="","",IFERROR(INDEX(Settings!$B$27:$B$36,MATCH(L1820,Settings!$A$27:$A$36,0))&amp;"","UNMAPPED"))</f>
        <v/>
      </c>
      <c r="T1820" s="37" t="str">
        <f aca="false">IF($M1820="","",IF(NOT(ISNUMBER(R1820)),"NO DATE",IF(S1820="Won",IF(R1820&gt;Settings!$B$5,"Backlog","Delivered"),IF(S1820="Open",IF(R1820&gt;Settings!$B$5,"Pipeline","Overdue"),IF(S1820="Lost","Lost","UNMAPPED")))))</f>
        <v/>
      </c>
      <c r="U1820" s="40" t="n">
        <f aca="false">IF(T1820="Backlog",1,IF(OR(T1820="Pipeline",T1820="Overdue"),N(INDEX(Settings!$C$27:$C$36,MATCH(L1820,Settings!$A$27:$A$36,0))),0))</f>
        <v>0</v>
      </c>
      <c r="V1820" s="38" t="n">
        <f aca="false">Q1820*U1820</f>
        <v>0</v>
      </c>
      <c r="W1820" s="41" t="str">
        <f aca="false">IF($M1820="","",IF(T1820="Overdue",IF(Settings!$B$8="Yes",Settings!$B$7,""),IF(ISNUMBER(R1820),DATE(YEAR(R1820),MONTH(R1820),1),"")))</f>
        <v/>
      </c>
      <c r="X1820" s="38" t="n">
        <f aca="false">IF(AND(OR(T1820="Backlog",T1820="Pipeline",T1820="Overdue"),ISNUMBER(W1820)),IF(W1820&lt;=Settings!$B$6,V1820,0),0)</f>
        <v>0</v>
      </c>
      <c r="Y1820" s="38" t="n">
        <f aca="false">IF(AND(OR(T1820="Backlog",T1820="Pipeline",T1820="Overdue"),ISNUMBER(W1820)),IF(W1820&lt;=Settings!$B$6,Q1820,0),0)</f>
        <v>0</v>
      </c>
      <c r="Z1820" s="38" t="n">
        <f aca="false">IF(Y1820=0,0,IF(T1820="Backlog",Q1820,Q1820*Dashboard!$C$10))</f>
        <v>0</v>
      </c>
      <c r="AA1820" s="37" t="n">
        <f aca="false">IF($N1820="",0,IF(COUNTIF(Dashboard!$C$13:$C$22,$N1820)&gt;0,1,0))</f>
        <v>0</v>
      </c>
      <c r="AB1820" s="37" t="str">
        <f aca="false">IF($N1820="","",IF(COUNTIF($N$8:$N1820,$N1820)=1,MAX($AB$7:$AB1819)+1,""))</f>
        <v/>
      </c>
    </row>
    <row r="1821" customFormat="false" ht="15" hidden="false" customHeight="false" outlineLevel="0" collapsed="false">
      <c r="L1821" s="37" t="str">
        <f aca="false">IF(INDEX($A1821:$J1821,$L$6)&lt;&gt;"",TRIM(LEFT(INDEX($A1821:$J1821,$L$6),FIND("(",INDEX($A1821:$J1821,$L$6)&amp;"(")-1)),L1820)</f>
        <v>Building Value Proposition</v>
      </c>
      <c r="M1821" s="37" t="str">
        <f aca="false">IF(INDEX($A1821:$J1821,$M$6)="","",INDEX($A1821:$J1821,$M$6)&amp;"")</f>
        <v/>
      </c>
      <c r="N1821" s="37" t="str">
        <f aca="false">IF($M1821="","",TRIM(INDEX($A1821:$J1821,$N$6)&amp;""))</f>
        <v/>
      </c>
      <c r="O1821" s="37" t="str">
        <f aca="false">IF($M1821="","",TRIM(INDEX($A1821:$J1821,$O$6)&amp;""))</f>
        <v/>
      </c>
      <c r="P1821" s="37" t="str">
        <f aca="false">IF($M1821="","",IFERROR(IF(INDEX(Settings!$B$41:$B$50,MATCH(O1821,Settings!$A$41:$A$50,0))&amp;""="","UNMAPPED",INDEX(Settings!$B$41:$B$50,MATCH(O1821,Settings!$A$41:$A$50,0))&amp;""),"UNMAPPED"))</f>
        <v/>
      </c>
      <c r="Q1821" s="38" t="n">
        <f aca="false">IF($M1821="",0,N(INDEX($A1821:$J1821,$Q$6)))</f>
        <v>0</v>
      </c>
      <c r="R1821" s="39" t="str">
        <f aca="false">IF($M1821="","",INDEX($A1821:$J1821,$R$6))</f>
        <v/>
      </c>
      <c r="S1821" s="37" t="str">
        <f aca="false">IF($M1821="","",IFERROR(INDEX(Settings!$B$27:$B$36,MATCH(L1821,Settings!$A$27:$A$36,0))&amp;"","UNMAPPED"))</f>
        <v/>
      </c>
      <c r="T1821" s="37" t="str">
        <f aca="false">IF($M1821="","",IF(NOT(ISNUMBER(R1821)),"NO DATE",IF(S1821="Won",IF(R1821&gt;Settings!$B$5,"Backlog","Delivered"),IF(S1821="Open",IF(R1821&gt;Settings!$B$5,"Pipeline","Overdue"),IF(S1821="Lost","Lost","UNMAPPED")))))</f>
        <v/>
      </c>
      <c r="U1821" s="40" t="n">
        <f aca="false">IF(T1821="Backlog",1,IF(OR(T1821="Pipeline",T1821="Overdue"),N(INDEX(Settings!$C$27:$C$36,MATCH(L1821,Settings!$A$27:$A$36,0))),0))</f>
        <v>0</v>
      </c>
      <c r="V1821" s="38" t="n">
        <f aca="false">Q1821*U1821</f>
        <v>0</v>
      </c>
      <c r="W1821" s="41" t="str">
        <f aca="false">IF($M1821="","",IF(T1821="Overdue",IF(Settings!$B$8="Yes",Settings!$B$7,""),IF(ISNUMBER(R1821),DATE(YEAR(R1821),MONTH(R1821),1),"")))</f>
        <v/>
      </c>
      <c r="X1821" s="38" t="n">
        <f aca="false">IF(AND(OR(T1821="Backlog",T1821="Pipeline",T1821="Overdue"),ISNUMBER(W1821)),IF(W1821&lt;=Settings!$B$6,V1821,0),0)</f>
        <v>0</v>
      </c>
      <c r="Y1821" s="38" t="n">
        <f aca="false">IF(AND(OR(T1821="Backlog",T1821="Pipeline",T1821="Overdue"),ISNUMBER(W1821)),IF(W1821&lt;=Settings!$B$6,Q1821,0),0)</f>
        <v>0</v>
      </c>
      <c r="Z1821" s="38" t="n">
        <f aca="false">IF(Y1821=0,0,IF(T1821="Backlog",Q1821,Q1821*Dashboard!$C$10))</f>
        <v>0</v>
      </c>
      <c r="AA1821" s="37" t="n">
        <f aca="false">IF($N1821="",0,IF(COUNTIF(Dashboard!$C$13:$C$22,$N1821)&gt;0,1,0))</f>
        <v>0</v>
      </c>
      <c r="AB1821" s="37" t="str">
        <f aca="false">IF($N1821="","",IF(COUNTIF($N$8:$N1821,$N1821)=1,MAX($AB$7:$AB1820)+1,""))</f>
        <v/>
      </c>
    </row>
    <row r="1822" customFormat="false" ht="15" hidden="false" customHeight="false" outlineLevel="0" collapsed="false">
      <c r="L1822" s="37" t="str">
        <f aca="false">IF(INDEX($A1822:$J1822,$L$6)&lt;&gt;"",TRIM(LEFT(INDEX($A1822:$J1822,$L$6),FIND("(",INDEX($A1822:$J1822,$L$6)&amp;"(")-1)),L1821)</f>
        <v>Building Value Proposition</v>
      </c>
      <c r="M1822" s="37" t="str">
        <f aca="false">IF(INDEX($A1822:$J1822,$M$6)="","",INDEX($A1822:$J1822,$M$6)&amp;"")</f>
        <v/>
      </c>
      <c r="N1822" s="37" t="str">
        <f aca="false">IF($M1822="","",TRIM(INDEX($A1822:$J1822,$N$6)&amp;""))</f>
        <v/>
      </c>
      <c r="O1822" s="37" t="str">
        <f aca="false">IF($M1822="","",TRIM(INDEX($A1822:$J1822,$O$6)&amp;""))</f>
        <v/>
      </c>
      <c r="P1822" s="37" t="str">
        <f aca="false">IF($M1822="","",IFERROR(IF(INDEX(Settings!$B$41:$B$50,MATCH(O1822,Settings!$A$41:$A$50,0))&amp;""="","UNMAPPED",INDEX(Settings!$B$41:$B$50,MATCH(O1822,Settings!$A$41:$A$50,0))&amp;""),"UNMAPPED"))</f>
        <v/>
      </c>
      <c r="Q1822" s="38" t="n">
        <f aca="false">IF($M1822="",0,N(INDEX($A1822:$J1822,$Q$6)))</f>
        <v>0</v>
      </c>
      <c r="R1822" s="39" t="str">
        <f aca="false">IF($M1822="","",INDEX($A1822:$J1822,$R$6))</f>
        <v/>
      </c>
      <c r="S1822" s="37" t="str">
        <f aca="false">IF($M1822="","",IFERROR(INDEX(Settings!$B$27:$B$36,MATCH(L1822,Settings!$A$27:$A$36,0))&amp;"","UNMAPPED"))</f>
        <v/>
      </c>
      <c r="T1822" s="37" t="str">
        <f aca="false">IF($M1822="","",IF(NOT(ISNUMBER(R1822)),"NO DATE",IF(S1822="Won",IF(R1822&gt;Settings!$B$5,"Backlog","Delivered"),IF(S1822="Open",IF(R1822&gt;Settings!$B$5,"Pipeline","Overdue"),IF(S1822="Lost","Lost","UNMAPPED")))))</f>
        <v/>
      </c>
      <c r="U1822" s="40" t="n">
        <f aca="false">IF(T1822="Backlog",1,IF(OR(T1822="Pipeline",T1822="Overdue"),N(INDEX(Settings!$C$27:$C$36,MATCH(L1822,Settings!$A$27:$A$36,0))),0))</f>
        <v>0</v>
      </c>
      <c r="V1822" s="38" t="n">
        <f aca="false">Q1822*U1822</f>
        <v>0</v>
      </c>
      <c r="W1822" s="41" t="str">
        <f aca="false">IF($M1822="","",IF(T1822="Overdue",IF(Settings!$B$8="Yes",Settings!$B$7,""),IF(ISNUMBER(R1822),DATE(YEAR(R1822),MONTH(R1822),1),"")))</f>
        <v/>
      </c>
      <c r="X1822" s="38" t="n">
        <f aca="false">IF(AND(OR(T1822="Backlog",T1822="Pipeline",T1822="Overdue"),ISNUMBER(W1822)),IF(W1822&lt;=Settings!$B$6,V1822,0),0)</f>
        <v>0</v>
      </c>
      <c r="Y1822" s="38" t="n">
        <f aca="false">IF(AND(OR(T1822="Backlog",T1822="Pipeline",T1822="Overdue"),ISNUMBER(W1822)),IF(W1822&lt;=Settings!$B$6,Q1822,0),0)</f>
        <v>0</v>
      </c>
      <c r="Z1822" s="38" t="n">
        <f aca="false">IF(Y1822=0,0,IF(T1822="Backlog",Q1822,Q1822*Dashboard!$C$10))</f>
        <v>0</v>
      </c>
      <c r="AA1822" s="37" t="n">
        <f aca="false">IF($N1822="",0,IF(COUNTIF(Dashboard!$C$13:$C$22,$N1822)&gt;0,1,0))</f>
        <v>0</v>
      </c>
      <c r="AB1822" s="37" t="str">
        <f aca="false">IF($N1822="","",IF(COUNTIF($N$8:$N1822,$N1822)=1,MAX($AB$7:$AB1821)+1,""))</f>
        <v/>
      </c>
    </row>
    <row r="1823" customFormat="false" ht="15" hidden="false" customHeight="false" outlineLevel="0" collapsed="false">
      <c r="L1823" s="37" t="str">
        <f aca="false">IF(INDEX($A1823:$J1823,$L$6)&lt;&gt;"",TRIM(LEFT(INDEX($A1823:$J1823,$L$6),FIND("(",INDEX($A1823:$J1823,$L$6)&amp;"(")-1)),L1822)</f>
        <v>Building Value Proposition</v>
      </c>
      <c r="M1823" s="37" t="str">
        <f aca="false">IF(INDEX($A1823:$J1823,$M$6)="","",INDEX($A1823:$J1823,$M$6)&amp;"")</f>
        <v/>
      </c>
      <c r="N1823" s="37" t="str">
        <f aca="false">IF($M1823="","",TRIM(INDEX($A1823:$J1823,$N$6)&amp;""))</f>
        <v/>
      </c>
      <c r="O1823" s="37" t="str">
        <f aca="false">IF($M1823="","",TRIM(INDEX($A1823:$J1823,$O$6)&amp;""))</f>
        <v/>
      </c>
      <c r="P1823" s="37" t="str">
        <f aca="false">IF($M1823="","",IFERROR(IF(INDEX(Settings!$B$41:$B$50,MATCH(O1823,Settings!$A$41:$A$50,0))&amp;""="","UNMAPPED",INDEX(Settings!$B$41:$B$50,MATCH(O1823,Settings!$A$41:$A$50,0))&amp;""),"UNMAPPED"))</f>
        <v/>
      </c>
      <c r="Q1823" s="38" t="n">
        <f aca="false">IF($M1823="",0,N(INDEX($A1823:$J1823,$Q$6)))</f>
        <v>0</v>
      </c>
      <c r="R1823" s="39" t="str">
        <f aca="false">IF($M1823="","",INDEX($A1823:$J1823,$R$6))</f>
        <v/>
      </c>
      <c r="S1823" s="37" t="str">
        <f aca="false">IF($M1823="","",IFERROR(INDEX(Settings!$B$27:$B$36,MATCH(L1823,Settings!$A$27:$A$36,0))&amp;"","UNMAPPED"))</f>
        <v/>
      </c>
      <c r="T1823" s="37" t="str">
        <f aca="false">IF($M1823="","",IF(NOT(ISNUMBER(R1823)),"NO DATE",IF(S1823="Won",IF(R1823&gt;Settings!$B$5,"Backlog","Delivered"),IF(S1823="Open",IF(R1823&gt;Settings!$B$5,"Pipeline","Overdue"),IF(S1823="Lost","Lost","UNMAPPED")))))</f>
        <v/>
      </c>
      <c r="U1823" s="40" t="n">
        <f aca="false">IF(T1823="Backlog",1,IF(OR(T1823="Pipeline",T1823="Overdue"),N(INDEX(Settings!$C$27:$C$36,MATCH(L1823,Settings!$A$27:$A$36,0))),0))</f>
        <v>0</v>
      </c>
      <c r="V1823" s="38" t="n">
        <f aca="false">Q1823*U1823</f>
        <v>0</v>
      </c>
      <c r="W1823" s="41" t="str">
        <f aca="false">IF($M1823="","",IF(T1823="Overdue",IF(Settings!$B$8="Yes",Settings!$B$7,""),IF(ISNUMBER(R1823),DATE(YEAR(R1823),MONTH(R1823),1),"")))</f>
        <v/>
      </c>
      <c r="X1823" s="38" t="n">
        <f aca="false">IF(AND(OR(T1823="Backlog",T1823="Pipeline",T1823="Overdue"),ISNUMBER(W1823)),IF(W1823&lt;=Settings!$B$6,V1823,0),0)</f>
        <v>0</v>
      </c>
      <c r="Y1823" s="38" t="n">
        <f aca="false">IF(AND(OR(T1823="Backlog",T1823="Pipeline",T1823="Overdue"),ISNUMBER(W1823)),IF(W1823&lt;=Settings!$B$6,Q1823,0),0)</f>
        <v>0</v>
      </c>
      <c r="Z1823" s="38" t="n">
        <f aca="false">IF(Y1823=0,0,IF(T1823="Backlog",Q1823,Q1823*Dashboard!$C$10))</f>
        <v>0</v>
      </c>
      <c r="AA1823" s="37" t="n">
        <f aca="false">IF($N1823="",0,IF(COUNTIF(Dashboard!$C$13:$C$22,$N1823)&gt;0,1,0))</f>
        <v>0</v>
      </c>
      <c r="AB1823" s="37" t="str">
        <f aca="false">IF($N1823="","",IF(COUNTIF($N$8:$N1823,$N1823)=1,MAX($AB$7:$AB1822)+1,""))</f>
        <v/>
      </c>
    </row>
    <row r="1824" customFormat="false" ht="15" hidden="false" customHeight="false" outlineLevel="0" collapsed="false">
      <c r="L1824" s="37" t="str">
        <f aca="false">IF(INDEX($A1824:$J1824,$L$6)&lt;&gt;"",TRIM(LEFT(INDEX($A1824:$J1824,$L$6),FIND("(",INDEX($A1824:$J1824,$L$6)&amp;"(")-1)),L1823)</f>
        <v>Building Value Proposition</v>
      </c>
      <c r="M1824" s="37" t="str">
        <f aca="false">IF(INDEX($A1824:$J1824,$M$6)="","",INDEX($A1824:$J1824,$M$6)&amp;"")</f>
        <v/>
      </c>
      <c r="N1824" s="37" t="str">
        <f aca="false">IF($M1824="","",TRIM(INDEX($A1824:$J1824,$N$6)&amp;""))</f>
        <v/>
      </c>
      <c r="O1824" s="37" t="str">
        <f aca="false">IF($M1824="","",TRIM(INDEX($A1824:$J1824,$O$6)&amp;""))</f>
        <v/>
      </c>
      <c r="P1824" s="37" t="str">
        <f aca="false">IF($M1824="","",IFERROR(IF(INDEX(Settings!$B$41:$B$50,MATCH(O1824,Settings!$A$41:$A$50,0))&amp;""="","UNMAPPED",INDEX(Settings!$B$41:$B$50,MATCH(O1824,Settings!$A$41:$A$50,0))&amp;""),"UNMAPPED"))</f>
        <v/>
      </c>
      <c r="Q1824" s="38" t="n">
        <f aca="false">IF($M1824="",0,N(INDEX($A1824:$J1824,$Q$6)))</f>
        <v>0</v>
      </c>
      <c r="R1824" s="39" t="str">
        <f aca="false">IF($M1824="","",INDEX($A1824:$J1824,$R$6))</f>
        <v/>
      </c>
      <c r="S1824" s="37" t="str">
        <f aca="false">IF($M1824="","",IFERROR(INDEX(Settings!$B$27:$B$36,MATCH(L1824,Settings!$A$27:$A$36,0))&amp;"","UNMAPPED"))</f>
        <v/>
      </c>
      <c r="T1824" s="37" t="str">
        <f aca="false">IF($M1824="","",IF(NOT(ISNUMBER(R1824)),"NO DATE",IF(S1824="Won",IF(R1824&gt;Settings!$B$5,"Backlog","Delivered"),IF(S1824="Open",IF(R1824&gt;Settings!$B$5,"Pipeline","Overdue"),IF(S1824="Lost","Lost","UNMAPPED")))))</f>
        <v/>
      </c>
      <c r="U1824" s="40" t="n">
        <f aca="false">IF(T1824="Backlog",1,IF(OR(T1824="Pipeline",T1824="Overdue"),N(INDEX(Settings!$C$27:$C$36,MATCH(L1824,Settings!$A$27:$A$36,0))),0))</f>
        <v>0</v>
      </c>
      <c r="V1824" s="38" t="n">
        <f aca="false">Q1824*U1824</f>
        <v>0</v>
      </c>
      <c r="W1824" s="41" t="str">
        <f aca="false">IF($M1824="","",IF(T1824="Overdue",IF(Settings!$B$8="Yes",Settings!$B$7,""),IF(ISNUMBER(R1824),DATE(YEAR(R1824),MONTH(R1824),1),"")))</f>
        <v/>
      </c>
      <c r="X1824" s="38" t="n">
        <f aca="false">IF(AND(OR(T1824="Backlog",T1824="Pipeline",T1824="Overdue"),ISNUMBER(W1824)),IF(W1824&lt;=Settings!$B$6,V1824,0),0)</f>
        <v>0</v>
      </c>
      <c r="Y1824" s="38" t="n">
        <f aca="false">IF(AND(OR(T1824="Backlog",T1824="Pipeline",T1824="Overdue"),ISNUMBER(W1824)),IF(W1824&lt;=Settings!$B$6,Q1824,0),0)</f>
        <v>0</v>
      </c>
      <c r="Z1824" s="38" t="n">
        <f aca="false">IF(Y1824=0,0,IF(T1824="Backlog",Q1824,Q1824*Dashboard!$C$10))</f>
        <v>0</v>
      </c>
      <c r="AA1824" s="37" t="n">
        <f aca="false">IF($N1824="",0,IF(COUNTIF(Dashboard!$C$13:$C$22,$N1824)&gt;0,1,0))</f>
        <v>0</v>
      </c>
      <c r="AB1824" s="37" t="str">
        <f aca="false">IF($N1824="","",IF(COUNTIF($N$8:$N1824,$N1824)=1,MAX($AB$7:$AB1823)+1,""))</f>
        <v/>
      </c>
    </row>
    <row r="1825" customFormat="false" ht="15" hidden="false" customHeight="false" outlineLevel="0" collapsed="false">
      <c r="L1825" s="37" t="str">
        <f aca="false">IF(INDEX($A1825:$J1825,$L$6)&lt;&gt;"",TRIM(LEFT(INDEX($A1825:$J1825,$L$6),FIND("(",INDEX($A1825:$J1825,$L$6)&amp;"(")-1)),L1824)</f>
        <v>Building Value Proposition</v>
      </c>
      <c r="M1825" s="37" t="str">
        <f aca="false">IF(INDEX($A1825:$J1825,$M$6)="","",INDEX($A1825:$J1825,$M$6)&amp;"")</f>
        <v/>
      </c>
      <c r="N1825" s="37" t="str">
        <f aca="false">IF($M1825="","",TRIM(INDEX($A1825:$J1825,$N$6)&amp;""))</f>
        <v/>
      </c>
      <c r="O1825" s="37" t="str">
        <f aca="false">IF($M1825="","",TRIM(INDEX($A1825:$J1825,$O$6)&amp;""))</f>
        <v/>
      </c>
      <c r="P1825" s="37" t="str">
        <f aca="false">IF($M1825="","",IFERROR(IF(INDEX(Settings!$B$41:$B$50,MATCH(O1825,Settings!$A$41:$A$50,0))&amp;""="","UNMAPPED",INDEX(Settings!$B$41:$B$50,MATCH(O1825,Settings!$A$41:$A$50,0))&amp;""),"UNMAPPED"))</f>
        <v/>
      </c>
      <c r="Q1825" s="38" t="n">
        <f aca="false">IF($M1825="",0,N(INDEX($A1825:$J1825,$Q$6)))</f>
        <v>0</v>
      </c>
      <c r="R1825" s="39" t="str">
        <f aca="false">IF($M1825="","",INDEX($A1825:$J1825,$R$6))</f>
        <v/>
      </c>
      <c r="S1825" s="37" t="str">
        <f aca="false">IF($M1825="","",IFERROR(INDEX(Settings!$B$27:$B$36,MATCH(L1825,Settings!$A$27:$A$36,0))&amp;"","UNMAPPED"))</f>
        <v/>
      </c>
      <c r="T1825" s="37" t="str">
        <f aca="false">IF($M1825="","",IF(NOT(ISNUMBER(R1825)),"NO DATE",IF(S1825="Won",IF(R1825&gt;Settings!$B$5,"Backlog","Delivered"),IF(S1825="Open",IF(R1825&gt;Settings!$B$5,"Pipeline","Overdue"),IF(S1825="Lost","Lost","UNMAPPED")))))</f>
        <v/>
      </c>
      <c r="U1825" s="40" t="n">
        <f aca="false">IF(T1825="Backlog",1,IF(OR(T1825="Pipeline",T1825="Overdue"),N(INDEX(Settings!$C$27:$C$36,MATCH(L1825,Settings!$A$27:$A$36,0))),0))</f>
        <v>0</v>
      </c>
      <c r="V1825" s="38" t="n">
        <f aca="false">Q1825*U1825</f>
        <v>0</v>
      </c>
      <c r="W1825" s="41" t="str">
        <f aca="false">IF($M1825="","",IF(T1825="Overdue",IF(Settings!$B$8="Yes",Settings!$B$7,""),IF(ISNUMBER(R1825),DATE(YEAR(R1825),MONTH(R1825),1),"")))</f>
        <v/>
      </c>
      <c r="X1825" s="38" t="n">
        <f aca="false">IF(AND(OR(T1825="Backlog",T1825="Pipeline",T1825="Overdue"),ISNUMBER(W1825)),IF(W1825&lt;=Settings!$B$6,V1825,0),0)</f>
        <v>0</v>
      </c>
      <c r="Y1825" s="38" t="n">
        <f aca="false">IF(AND(OR(T1825="Backlog",T1825="Pipeline",T1825="Overdue"),ISNUMBER(W1825)),IF(W1825&lt;=Settings!$B$6,Q1825,0),0)</f>
        <v>0</v>
      </c>
      <c r="Z1825" s="38" t="n">
        <f aca="false">IF(Y1825=0,0,IF(T1825="Backlog",Q1825,Q1825*Dashboard!$C$10))</f>
        <v>0</v>
      </c>
      <c r="AA1825" s="37" t="n">
        <f aca="false">IF($N1825="",0,IF(COUNTIF(Dashboard!$C$13:$C$22,$N1825)&gt;0,1,0))</f>
        <v>0</v>
      </c>
      <c r="AB1825" s="37" t="str">
        <f aca="false">IF($N1825="","",IF(COUNTIF($N$8:$N1825,$N1825)=1,MAX($AB$7:$AB1824)+1,""))</f>
        <v/>
      </c>
    </row>
    <row r="1826" customFormat="false" ht="15" hidden="false" customHeight="false" outlineLevel="0" collapsed="false">
      <c r="L1826" s="37" t="str">
        <f aca="false">IF(INDEX($A1826:$J1826,$L$6)&lt;&gt;"",TRIM(LEFT(INDEX($A1826:$J1826,$L$6),FIND("(",INDEX($A1826:$J1826,$L$6)&amp;"(")-1)),L1825)</f>
        <v>Building Value Proposition</v>
      </c>
      <c r="M1826" s="37" t="str">
        <f aca="false">IF(INDEX($A1826:$J1826,$M$6)="","",INDEX($A1826:$J1826,$M$6)&amp;"")</f>
        <v/>
      </c>
      <c r="N1826" s="37" t="str">
        <f aca="false">IF($M1826="","",TRIM(INDEX($A1826:$J1826,$N$6)&amp;""))</f>
        <v/>
      </c>
      <c r="O1826" s="37" t="str">
        <f aca="false">IF($M1826="","",TRIM(INDEX($A1826:$J1826,$O$6)&amp;""))</f>
        <v/>
      </c>
      <c r="P1826" s="37" t="str">
        <f aca="false">IF($M1826="","",IFERROR(IF(INDEX(Settings!$B$41:$B$50,MATCH(O1826,Settings!$A$41:$A$50,0))&amp;""="","UNMAPPED",INDEX(Settings!$B$41:$B$50,MATCH(O1826,Settings!$A$41:$A$50,0))&amp;""),"UNMAPPED"))</f>
        <v/>
      </c>
      <c r="Q1826" s="38" t="n">
        <f aca="false">IF($M1826="",0,N(INDEX($A1826:$J1826,$Q$6)))</f>
        <v>0</v>
      </c>
      <c r="R1826" s="39" t="str">
        <f aca="false">IF($M1826="","",INDEX($A1826:$J1826,$R$6))</f>
        <v/>
      </c>
      <c r="S1826" s="37" t="str">
        <f aca="false">IF($M1826="","",IFERROR(INDEX(Settings!$B$27:$B$36,MATCH(L1826,Settings!$A$27:$A$36,0))&amp;"","UNMAPPED"))</f>
        <v/>
      </c>
      <c r="T1826" s="37" t="str">
        <f aca="false">IF($M1826="","",IF(NOT(ISNUMBER(R1826)),"NO DATE",IF(S1826="Won",IF(R1826&gt;Settings!$B$5,"Backlog","Delivered"),IF(S1826="Open",IF(R1826&gt;Settings!$B$5,"Pipeline","Overdue"),IF(S1826="Lost","Lost","UNMAPPED")))))</f>
        <v/>
      </c>
      <c r="U1826" s="40" t="n">
        <f aca="false">IF(T1826="Backlog",1,IF(OR(T1826="Pipeline",T1826="Overdue"),N(INDEX(Settings!$C$27:$C$36,MATCH(L1826,Settings!$A$27:$A$36,0))),0))</f>
        <v>0</v>
      </c>
      <c r="V1826" s="38" t="n">
        <f aca="false">Q1826*U1826</f>
        <v>0</v>
      </c>
      <c r="W1826" s="41" t="str">
        <f aca="false">IF($M1826="","",IF(T1826="Overdue",IF(Settings!$B$8="Yes",Settings!$B$7,""),IF(ISNUMBER(R1826),DATE(YEAR(R1826),MONTH(R1826),1),"")))</f>
        <v/>
      </c>
      <c r="X1826" s="38" t="n">
        <f aca="false">IF(AND(OR(T1826="Backlog",T1826="Pipeline",T1826="Overdue"),ISNUMBER(W1826)),IF(W1826&lt;=Settings!$B$6,V1826,0),0)</f>
        <v>0</v>
      </c>
      <c r="Y1826" s="38" t="n">
        <f aca="false">IF(AND(OR(T1826="Backlog",T1826="Pipeline",T1826="Overdue"),ISNUMBER(W1826)),IF(W1826&lt;=Settings!$B$6,Q1826,0),0)</f>
        <v>0</v>
      </c>
      <c r="Z1826" s="38" t="n">
        <f aca="false">IF(Y1826=0,0,IF(T1826="Backlog",Q1826,Q1826*Dashboard!$C$10))</f>
        <v>0</v>
      </c>
      <c r="AA1826" s="37" t="n">
        <f aca="false">IF($N1826="",0,IF(COUNTIF(Dashboard!$C$13:$C$22,$N1826)&gt;0,1,0))</f>
        <v>0</v>
      </c>
      <c r="AB1826" s="37" t="str">
        <f aca="false">IF($N1826="","",IF(COUNTIF($N$8:$N1826,$N1826)=1,MAX($AB$7:$AB1825)+1,""))</f>
        <v/>
      </c>
    </row>
    <row r="1827" customFormat="false" ht="15" hidden="false" customHeight="false" outlineLevel="0" collapsed="false">
      <c r="L1827" s="37" t="str">
        <f aca="false">IF(INDEX($A1827:$J1827,$L$6)&lt;&gt;"",TRIM(LEFT(INDEX($A1827:$J1827,$L$6),FIND("(",INDEX($A1827:$J1827,$L$6)&amp;"(")-1)),L1826)</f>
        <v>Building Value Proposition</v>
      </c>
      <c r="M1827" s="37" t="str">
        <f aca="false">IF(INDEX($A1827:$J1827,$M$6)="","",INDEX($A1827:$J1827,$M$6)&amp;"")</f>
        <v/>
      </c>
      <c r="N1827" s="37" t="str">
        <f aca="false">IF($M1827="","",TRIM(INDEX($A1827:$J1827,$N$6)&amp;""))</f>
        <v/>
      </c>
      <c r="O1827" s="37" t="str">
        <f aca="false">IF($M1827="","",TRIM(INDEX($A1827:$J1827,$O$6)&amp;""))</f>
        <v/>
      </c>
      <c r="P1827" s="37" t="str">
        <f aca="false">IF($M1827="","",IFERROR(IF(INDEX(Settings!$B$41:$B$50,MATCH(O1827,Settings!$A$41:$A$50,0))&amp;""="","UNMAPPED",INDEX(Settings!$B$41:$B$50,MATCH(O1827,Settings!$A$41:$A$50,0))&amp;""),"UNMAPPED"))</f>
        <v/>
      </c>
      <c r="Q1827" s="38" t="n">
        <f aca="false">IF($M1827="",0,N(INDEX($A1827:$J1827,$Q$6)))</f>
        <v>0</v>
      </c>
      <c r="R1827" s="39" t="str">
        <f aca="false">IF($M1827="","",INDEX($A1827:$J1827,$R$6))</f>
        <v/>
      </c>
      <c r="S1827" s="37" t="str">
        <f aca="false">IF($M1827="","",IFERROR(INDEX(Settings!$B$27:$B$36,MATCH(L1827,Settings!$A$27:$A$36,0))&amp;"","UNMAPPED"))</f>
        <v/>
      </c>
      <c r="T1827" s="37" t="str">
        <f aca="false">IF($M1827="","",IF(NOT(ISNUMBER(R1827)),"NO DATE",IF(S1827="Won",IF(R1827&gt;Settings!$B$5,"Backlog","Delivered"),IF(S1827="Open",IF(R1827&gt;Settings!$B$5,"Pipeline","Overdue"),IF(S1827="Lost","Lost","UNMAPPED")))))</f>
        <v/>
      </c>
      <c r="U1827" s="40" t="n">
        <f aca="false">IF(T1827="Backlog",1,IF(OR(T1827="Pipeline",T1827="Overdue"),N(INDEX(Settings!$C$27:$C$36,MATCH(L1827,Settings!$A$27:$A$36,0))),0))</f>
        <v>0</v>
      </c>
      <c r="V1827" s="38" t="n">
        <f aca="false">Q1827*U1827</f>
        <v>0</v>
      </c>
      <c r="W1827" s="41" t="str">
        <f aca="false">IF($M1827="","",IF(T1827="Overdue",IF(Settings!$B$8="Yes",Settings!$B$7,""),IF(ISNUMBER(R1827),DATE(YEAR(R1827),MONTH(R1827),1),"")))</f>
        <v/>
      </c>
      <c r="X1827" s="38" t="n">
        <f aca="false">IF(AND(OR(T1827="Backlog",T1827="Pipeline",T1827="Overdue"),ISNUMBER(W1827)),IF(W1827&lt;=Settings!$B$6,V1827,0),0)</f>
        <v>0</v>
      </c>
      <c r="Y1827" s="38" t="n">
        <f aca="false">IF(AND(OR(T1827="Backlog",T1827="Pipeline",T1827="Overdue"),ISNUMBER(W1827)),IF(W1827&lt;=Settings!$B$6,Q1827,0),0)</f>
        <v>0</v>
      </c>
      <c r="Z1827" s="38" t="n">
        <f aca="false">IF(Y1827=0,0,IF(T1827="Backlog",Q1827,Q1827*Dashboard!$C$10))</f>
        <v>0</v>
      </c>
      <c r="AA1827" s="37" t="n">
        <f aca="false">IF($N1827="",0,IF(COUNTIF(Dashboard!$C$13:$C$22,$N1827)&gt;0,1,0))</f>
        <v>0</v>
      </c>
      <c r="AB1827" s="37" t="str">
        <f aca="false">IF($N1827="","",IF(COUNTIF($N$8:$N1827,$N1827)=1,MAX($AB$7:$AB1826)+1,""))</f>
        <v/>
      </c>
    </row>
    <row r="1828" customFormat="false" ht="15" hidden="false" customHeight="false" outlineLevel="0" collapsed="false">
      <c r="L1828" s="37" t="str">
        <f aca="false">IF(INDEX($A1828:$J1828,$L$6)&lt;&gt;"",TRIM(LEFT(INDEX($A1828:$J1828,$L$6),FIND("(",INDEX($A1828:$J1828,$L$6)&amp;"(")-1)),L1827)</f>
        <v>Building Value Proposition</v>
      </c>
      <c r="M1828" s="37" t="str">
        <f aca="false">IF(INDEX($A1828:$J1828,$M$6)="","",INDEX($A1828:$J1828,$M$6)&amp;"")</f>
        <v/>
      </c>
      <c r="N1828" s="37" t="str">
        <f aca="false">IF($M1828="","",TRIM(INDEX($A1828:$J1828,$N$6)&amp;""))</f>
        <v/>
      </c>
      <c r="O1828" s="37" t="str">
        <f aca="false">IF($M1828="","",TRIM(INDEX($A1828:$J1828,$O$6)&amp;""))</f>
        <v/>
      </c>
      <c r="P1828" s="37" t="str">
        <f aca="false">IF($M1828="","",IFERROR(IF(INDEX(Settings!$B$41:$B$50,MATCH(O1828,Settings!$A$41:$A$50,0))&amp;""="","UNMAPPED",INDEX(Settings!$B$41:$B$50,MATCH(O1828,Settings!$A$41:$A$50,0))&amp;""),"UNMAPPED"))</f>
        <v/>
      </c>
      <c r="Q1828" s="38" t="n">
        <f aca="false">IF($M1828="",0,N(INDEX($A1828:$J1828,$Q$6)))</f>
        <v>0</v>
      </c>
      <c r="R1828" s="39" t="str">
        <f aca="false">IF($M1828="","",INDEX($A1828:$J1828,$R$6))</f>
        <v/>
      </c>
      <c r="S1828" s="37" t="str">
        <f aca="false">IF($M1828="","",IFERROR(INDEX(Settings!$B$27:$B$36,MATCH(L1828,Settings!$A$27:$A$36,0))&amp;"","UNMAPPED"))</f>
        <v/>
      </c>
      <c r="T1828" s="37" t="str">
        <f aca="false">IF($M1828="","",IF(NOT(ISNUMBER(R1828)),"NO DATE",IF(S1828="Won",IF(R1828&gt;Settings!$B$5,"Backlog","Delivered"),IF(S1828="Open",IF(R1828&gt;Settings!$B$5,"Pipeline","Overdue"),IF(S1828="Lost","Lost","UNMAPPED")))))</f>
        <v/>
      </c>
      <c r="U1828" s="40" t="n">
        <f aca="false">IF(T1828="Backlog",1,IF(OR(T1828="Pipeline",T1828="Overdue"),N(INDEX(Settings!$C$27:$C$36,MATCH(L1828,Settings!$A$27:$A$36,0))),0))</f>
        <v>0</v>
      </c>
      <c r="V1828" s="38" t="n">
        <f aca="false">Q1828*U1828</f>
        <v>0</v>
      </c>
      <c r="W1828" s="41" t="str">
        <f aca="false">IF($M1828="","",IF(T1828="Overdue",IF(Settings!$B$8="Yes",Settings!$B$7,""),IF(ISNUMBER(R1828),DATE(YEAR(R1828),MONTH(R1828),1),"")))</f>
        <v/>
      </c>
      <c r="X1828" s="38" t="n">
        <f aca="false">IF(AND(OR(T1828="Backlog",T1828="Pipeline",T1828="Overdue"),ISNUMBER(W1828)),IF(W1828&lt;=Settings!$B$6,V1828,0),0)</f>
        <v>0</v>
      </c>
      <c r="Y1828" s="38" t="n">
        <f aca="false">IF(AND(OR(T1828="Backlog",T1828="Pipeline",T1828="Overdue"),ISNUMBER(W1828)),IF(W1828&lt;=Settings!$B$6,Q1828,0),0)</f>
        <v>0</v>
      </c>
      <c r="Z1828" s="38" t="n">
        <f aca="false">IF(Y1828=0,0,IF(T1828="Backlog",Q1828,Q1828*Dashboard!$C$10))</f>
        <v>0</v>
      </c>
      <c r="AA1828" s="37" t="n">
        <f aca="false">IF($N1828="",0,IF(COUNTIF(Dashboard!$C$13:$C$22,$N1828)&gt;0,1,0))</f>
        <v>0</v>
      </c>
      <c r="AB1828" s="37" t="str">
        <f aca="false">IF($N1828="","",IF(COUNTIF($N$8:$N1828,$N1828)=1,MAX($AB$7:$AB1827)+1,""))</f>
        <v/>
      </c>
    </row>
    <row r="1829" customFormat="false" ht="15" hidden="false" customHeight="false" outlineLevel="0" collapsed="false">
      <c r="L1829" s="37" t="str">
        <f aca="false">IF(INDEX($A1829:$J1829,$L$6)&lt;&gt;"",TRIM(LEFT(INDEX($A1829:$J1829,$L$6),FIND("(",INDEX($A1829:$J1829,$L$6)&amp;"(")-1)),L1828)</f>
        <v>Building Value Proposition</v>
      </c>
      <c r="M1829" s="37" t="str">
        <f aca="false">IF(INDEX($A1829:$J1829,$M$6)="","",INDEX($A1829:$J1829,$M$6)&amp;"")</f>
        <v/>
      </c>
      <c r="N1829" s="37" t="str">
        <f aca="false">IF($M1829="","",TRIM(INDEX($A1829:$J1829,$N$6)&amp;""))</f>
        <v/>
      </c>
      <c r="O1829" s="37" t="str">
        <f aca="false">IF($M1829="","",TRIM(INDEX($A1829:$J1829,$O$6)&amp;""))</f>
        <v/>
      </c>
      <c r="P1829" s="37" t="str">
        <f aca="false">IF($M1829="","",IFERROR(IF(INDEX(Settings!$B$41:$B$50,MATCH(O1829,Settings!$A$41:$A$50,0))&amp;""="","UNMAPPED",INDEX(Settings!$B$41:$B$50,MATCH(O1829,Settings!$A$41:$A$50,0))&amp;""),"UNMAPPED"))</f>
        <v/>
      </c>
      <c r="Q1829" s="38" t="n">
        <f aca="false">IF($M1829="",0,N(INDEX($A1829:$J1829,$Q$6)))</f>
        <v>0</v>
      </c>
      <c r="R1829" s="39" t="str">
        <f aca="false">IF($M1829="","",INDEX($A1829:$J1829,$R$6))</f>
        <v/>
      </c>
      <c r="S1829" s="37" t="str">
        <f aca="false">IF($M1829="","",IFERROR(INDEX(Settings!$B$27:$B$36,MATCH(L1829,Settings!$A$27:$A$36,0))&amp;"","UNMAPPED"))</f>
        <v/>
      </c>
      <c r="T1829" s="37" t="str">
        <f aca="false">IF($M1829="","",IF(NOT(ISNUMBER(R1829)),"NO DATE",IF(S1829="Won",IF(R1829&gt;Settings!$B$5,"Backlog","Delivered"),IF(S1829="Open",IF(R1829&gt;Settings!$B$5,"Pipeline","Overdue"),IF(S1829="Lost","Lost","UNMAPPED")))))</f>
        <v/>
      </c>
      <c r="U1829" s="40" t="n">
        <f aca="false">IF(T1829="Backlog",1,IF(OR(T1829="Pipeline",T1829="Overdue"),N(INDEX(Settings!$C$27:$C$36,MATCH(L1829,Settings!$A$27:$A$36,0))),0))</f>
        <v>0</v>
      </c>
      <c r="V1829" s="38" t="n">
        <f aca="false">Q1829*U1829</f>
        <v>0</v>
      </c>
      <c r="W1829" s="41" t="str">
        <f aca="false">IF($M1829="","",IF(T1829="Overdue",IF(Settings!$B$8="Yes",Settings!$B$7,""),IF(ISNUMBER(R1829),DATE(YEAR(R1829),MONTH(R1829),1),"")))</f>
        <v/>
      </c>
      <c r="X1829" s="38" t="n">
        <f aca="false">IF(AND(OR(T1829="Backlog",T1829="Pipeline",T1829="Overdue"),ISNUMBER(W1829)),IF(W1829&lt;=Settings!$B$6,V1829,0),0)</f>
        <v>0</v>
      </c>
      <c r="Y1829" s="38" t="n">
        <f aca="false">IF(AND(OR(T1829="Backlog",T1829="Pipeline",T1829="Overdue"),ISNUMBER(W1829)),IF(W1829&lt;=Settings!$B$6,Q1829,0),0)</f>
        <v>0</v>
      </c>
      <c r="Z1829" s="38" t="n">
        <f aca="false">IF(Y1829=0,0,IF(T1829="Backlog",Q1829,Q1829*Dashboard!$C$10))</f>
        <v>0</v>
      </c>
      <c r="AA1829" s="37" t="n">
        <f aca="false">IF($N1829="",0,IF(COUNTIF(Dashboard!$C$13:$C$22,$N1829)&gt;0,1,0))</f>
        <v>0</v>
      </c>
      <c r="AB1829" s="37" t="str">
        <f aca="false">IF($N1829="","",IF(COUNTIF($N$8:$N1829,$N1829)=1,MAX($AB$7:$AB1828)+1,""))</f>
        <v/>
      </c>
    </row>
    <row r="1830" customFormat="false" ht="15" hidden="false" customHeight="false" outlineLevel="0" collapsed="false">
      <c r="L1830" s="37" t="str">
        <f aca="false">IF(INDEX($A1830:$J1830,$L$6)&lt;&gt;"",TRIM(LEFT(INDEX($A1830:$J1830,$L$6),FIND("(",INDEX($A1830:$J1830,$L$6)&amp;"(")-1)),L1829)</f>
        <v>Building Value Proposition</v>
      </c>
      <c r="M1830" s="37" t="str">
        <f aca="false">IF(INDEX($A1830:$J1830,$M$6)="","",INDEX($A1830:$J1830,$M$6)&amp;"")</f>
        <v/>
      </c>
      <c r="N1830" s="37" t="str">
        <f aca="false">IF($M1830="","",TRIM(INDEX($A1830:$J1830,$N$6)&amp;""))</f>
        <v/>
      </c>
      <c r="O1830" s="37" t="str">
        <f aca="false">IF($M1830="","",TRIM(INDEX($A1830:$J1830,$O$6)&amp;""))</f>
        <v/>
      </c>
      <c r="P1830" s="37" t="str">
        <f aca="false">IF($M1830="","",IFERROR(IF(INDEX(Settings!$B$41:$B$50,MATCH(O1830,Settings!$A$41:$A$50,0))&amp;""="","UNMAPPED",INDEX(Settings!$B$41:$B$50,MATCH(O1830,Settings!$A$41:$A$50,0))&amp;""),"UNMAPPED"))</f>
        <v/>
      </c>
      <c r="Q1830" s="38" t="n">
        <f aca="false">IF($M1830="",0,N(INDEX($A1830:$J1830,$Q$6)))</f>
        <v>0</v>
      </c>
      <c r="R1830" s="39" t="str">
        <f aca="false">IF($M1830="","",INDEX($A1830:$J1830,$R$6))</f>
        <v/>
      </c>
      <c r="S1830" s="37" t="str">
        <f aca="false">IF($M1830="","",IFERROR(INDEX(Settings!$B$27:$B$36,MATCH(L1830,Settings!$A$27:$A$36,0))&amp;"","UNMAPPED"))</f>
        <v/>
      </c>
      <c r="T1830" s="37" t="str">
        <f aca="false">IF($M1830="","",IF(NOT(ISNUMBER(R1830)),"NO DATE",IF(S1830="Won",IF(R1830&gt;Settings!$B$5,"Backlog","Delivered"),IF(S1830="Open",IF(R1830&gt;Settings!$B$5,"Pipeline","Overdue"),IF(S1830="Lost","Lost","UNMAPPED")))))</f>
        <v/>
      </c>
      <c r="U1830" s="40" t="n">
        <f aca="false">IF(T1830="Backlog",1,IF(OR(T1830="Pipeline",T1830="Overdue"),N(INDEX(Settings!$C$27:$C$36,MATCH(L1830,Settings!$A$27:$A$36,0))),0))</f>
        <v>0</v>
      </c>
      <c r="V1830" s="38" t="n">
        <f aca="false">Q1830*U1830</f>
        <v>0</v>
      </c>
      <c r="W1830" s="41" t="str">
        <f aca="false">IF($M1830="","",IF(T1830="Overdue",IF(Settings!$B$8="Yes",Settings!$B$7,""),IF(ISNUMBER(R1830),DATE(YEAR(R1830),MONTH(R1830),1),"")))</f>
        <v/>
      </c>
      <c r="X1830" s="38" t="n">
        <f aca="false">IF(AND(OR(T1830="Backlog",T1830="Pipeline",T1830="Overdue"),ISNUMBER(W1830)),IF(W1830&lt;=Settings!$B$6,V1830,0),0)</f>
        <v>0</v>
      </c>
      <c r="Y1830" s="38" t="n">
        <f aca="false">IF(AND(OR(T1830="Backlog",T1830="Pipeline",T1830="Overdue"),ISNUMBER(W1830)),IF(W1830&lt;=Settings!$B$6,Q1830,0),0)</f>
        <v>0</v>
      </c>
      <c r="Z1830" s="38" t="n">
        <f aca="false">IF(Y1830=0,0,IF(T1830="Backlog",Q1830,Q1830*Dashboard!$C$10))</f>
        <v>0</v>
      </c>
      <c r="AA1830" s="37" t="n">
        <f aca="false">IF($N1830="",0,IF(COUNTIF(Dashboard!$C$13:$C$22,$N1830)&gt;0,1,0))</f>
        <v>0</v>
      </c>
      <c r="AB1830" s="37" t="str">
        <f aca="false">IF($N1830="","",IF(COUNTIF($N$8:$N1830,$N1830)=1,MAX($AB$7:$AB1829)+1,""))</f>
        <v/>
      </c>
    </row>
    <row r="1831" customFormat="false" ht="15" hidden="false" customHeight="false" outlineLevel="0" collapsed="false">
      <c r="L1831" s="37" t="str">
        <f aca="false">IF(INDEX($A1831:$J1831,$L$6)&lt;&gt;"",TRIM(LEFT(INDEX($A1831:$J1831,$L$6),FIND("(",INDEX($A1831:$J1831,$L$6)&amp;"(")-1)),L1830)</f>
        <v>Building Value Proposition</v>
      </c>
      <c r="M1831" s="37" t="str">
        <f aca="false">IF(INDEX($A1831:$J1831,$M$6)="","",INDEX($A1831:$J1831,$M$6)&amp;"")</f>
        <v/>
      </c>
      <c r="N1831" s="37" t="str">
        <f aca="false">IF($M1831="","",TRIM(INDEX($A1831:$J1831,$N$6)&amp;""))</f>
        <v/>
      </c>
      <c r="O1831" s="37" t="str">
        <f aca="false">IF($M1831="","",TRIM(INDEX($A1831:$J1831,$O$6)&amp;""))</f>
        <v/>
      </c>
      <c r="P1831" s="37" t="str">
        <f aca="false">IF($M1831="","",IFERROR(IF(INDEX(Settings!$B$41:$B$50,MATCH(O1831,Settings!$A$41:$A$50,0))&amp;""="","UNMAPPED",INDEX(Settings!$B$41:$B$50,MATCH(O1831,Settings!$A$41:$A$50,0))&amp;""),"UNMAPPED"))</f>
        <v/>
      </c>
      <c r="Q1831" s="38" t="n">
        <f aca="false">IF($M1831="",0,N(INDEX($A1831:$J1831,$Q$6)))</f>
        <v>0</v>
      </c>
      <c r="R1831" s="39" t="str">
        <f aca="false">IF($M1831="","",INDEX($A1831:$J1831,$R$6))</f>
        <v/>
      </c>
      <c r="S1831" s="37" t="str">
        <f aca="false">IF($M1831="","",IFERROR(INDEX(Settings!$B$27:$B$36,MATCH(L1831,Settings!$A$27:$A$36,0))&amp;"","UNMAPPED"))</f>
        <v/>
      </c>
      <c r="T1831" s="37" t="str">
        <f aca="false">IF($M1831="","",IF(NOT(ISNUMBER(R1831)),"NO DATE",IF(S1831="Won",IF(R1831&gt;Settings!$B$5,"Backlog","Delivered"),IF(S1831="Open",IF(R1831&gt;Settings!$B$5,"Pipeline","Overdue"),IF(S1831="Lost","Lost","UNMAPPED")))))</f>
        <v/>
      </c>
      <c r="U1831" s="40" t="n">
        <f aca="false">IF(T1831="Backlog",1,IF(OR(T1831="Pipeline",T1831="Overdue"),N(INDEX(Settings!$C$27:$C$36,MATCH(L1831,Settings!$A$27:$A$36,0))),0))</f>
        <v>0</v>
      </c>
      <c r="V1831" s="38" t="n">
        <f aca="false">Q1831*U1831</f>
        <v>0</v>
      </c>
      <c r="W1831" s="41" t="str">
        <f aca="false">IF($M1831="","",IF(T1831="Overdue",IF(Settings!$B$8="Yes",Settings!$B$7,""),IF(ISNUMBER(R1831),DATE(YEAR(R1831),MONTH(R1831),1),"")))</f>
        <v/>
      </c>
      <c r="X1831" s="38" t="n">
        <f aca="false">IF(AND(OR(T1831="Backlog",T1831="Pipeline",T1831="Overdue"),ISNUMBER(W1831)),IF(W1831&lt;=Settings!$B$6,V1831,0),0)</f>
        <v>0</v>
      </c>
      <c r="Y1831" s="38" t="n">
        <f aca="false">IF(AND(OR(T1831="Backlog",T1831="Pipeline",T1831="Overdue"),ISNUMBER(W1831)),IF(W1831&lt;=Settings!$B$6,Q1831,0),0)</f>
        <v>0</v>
      </c>
      <c r="Z1831" s="38" t="n">
        <f aca="false">IF(Y1831=0,0,IF(T1831="Backlog",Q1831,Q1831*Dashboard!$C$10))</f>
        <v>0</v>
      </c>
      <c r="AA1831" s="37" t="n">
        <f aca="false">IF($N1831="",0,IF(COUNTIF(Dashboard!$C$13:$C$22,$N1831)&gt;0,1,0))</f>
        <v>0</v>
      </c>
      <c r="AB1831" s="37" t="str">
        <f aca="false">IF($N1831="","",IF(COUNTIF($N$8:$N1831,$N1831)=1,MAX($AB$7:$AB1830)+1,""))</f>
        <v/>
      </c>
    </row>
    <row r="1832" customFormat="false" ht="15" hidden="false" customHeight="false" outlineLevel="0" collapsed="false">
      <c r="L1832" s="37" t="str">
        <f aca="false">IF(INDEX($A1832:$J1832,$L$6)&lt;&gt;"",TRIM(LEFT(INDEX($A1832:$J1832,$L$6),FIND("(",INDEX($A1832:$J1832,$L$6)&amp;"(")-1)),L1831)</f>
        <v>Building Value Proposition</v>
      </c>
      <c r="M1832" s="37" t="str">
        <f aca="false">IF(INDEX($A1832:$J1832,$M$6)="","",INDEX($A1832:$J1832,$M$6)&amp;"")</f>
        <v/>
      </c>
      <c r="N1832" s="37" t="str">
        <f aca="false">IF($M1832="","",TRIM(INDEX($A1832:$J1832,$N$6)&amp;""))</f>
        <v/>
      </c>
      <c r="O1832" s="37" t="str">
        <f aca="false">IF($M1832="","",TRIM(INDEX($A1832:$J1832,$O$6)&amp;""))</f>
        <v/>
      </c>
      <c r="P1832" s="37" t="str">
        <f aca="false">IF($M1832="","",IFERROR(IF(INDEX(Settings!$B$41:$B$50,MATCH(O1832,Settings!$A$41:$A$50,0))&amp;""="","UNMAPPED",INDEX(Settings!$B$41:$B$50,MATCH(O1832,Settings!$A$41:$A$50,0))&amp;""),"UNMAPPED"))</f>
        <v/>
      </c>
      <c r="Q1832" s="38" t="n">
        <f aca="false">IF($M1832="",0,N(INDEX($A1832:$J1832,$Q$6)))</f>
        <v>0</v>
      </c>
      <c r="R1832" s="39" t="str">
        <f aca="false">IF($M1832="","",INDEX($A1832:$J1832,$R$6))</f>
        <v/>
      </c>
      <c r="S1832" s="37" t="str">
        <f aca="false">IF($M1832="","",IFERROR(INDEX(Settings!$B$27:$B$36,MATCH(L1832,Settings!$A$27:$A$36,0))&amp;"","UNMAPPED"))</f>
        <v/>
      </c>
      <c r="T1832" s="37" t="str">
        <f aca="false">IF($M1832="","",IF(NOT(ISNUMBER(R1832)),"NO DATE",IF(S1832="Won",IF(R1832&gt;Settings!$B$5,"Backlog","Delivered"),IF(S1832="Open",IF(R1832&gt;Settings!$B$5,"Pipeline","Overdue"),IF(S1832="Lost","Lost","UNMAPPED")))))</f>
        <v/>
      </c>
      <c r="U1832" s="40" t="n">
        <f aca="false">IF(T1832="Backlog",1,IF(OR(T1832="Pipeline",T1832="Overdue"),N(INDEX(Settings!$C$27:$C$36,MATCH(L1832,Settings!$A$27:$A$36,0))),0))</f>
        <v>0</v>
      </c>
      <c r="V1832" s="38" t="n">
        <f aca="false">Q1832*U1832</f>
        <v>0</v>
      </c>
      <c r="W1832" s="41" t="str">
        <f aca="false">IF($M1832="","",IF(T1832="Overdue",IF(Settings!$B$8="Yes",Settings!$B$7,""),IF(ISNUMBER(R1832),DATE(YEAR(R1832),MONTH(R1832),1),"")))</f>
        <v/>
      </c>
      <c r="X1832" s="38" t="n">
        <f aca="false">IF(AND(OR(T1832="Backlog",T1832="Pipeline",T1832="Overdue"),ISNUMBER(W1832)),IF(W1832&lt;=Settings!$B$6,V1832,0),0)</f>
        <v>0</v>
      </c>
      <c r="Y1832" s="38" t="n">
        <f aca="false">IF(AND(OR(T1832="Backlog",T1832="Pipeline",T1832="Overdue"),ISNUMBER(W1832)),IF(W1832&lt;=Settings!$B$6,Q1832,0),0)</f>
        <v>0</v>
      </c>
      <c r="Z1832" s="38" t="n">
        <f aca="false">IF(Y1832=0,0,IF(T1832="Backlog",Q1832,Q1832*Dashboard!$C$10))</f>
        <v>0</v>
      </c>
      <c r="AA1832" s="37" t="n">
        <f aca="false">IF($N1832="",0,IF(COUNTIF(Dashboard!$C$13:$C$22,$N1832)&gt;0,1,0))</f>
        <v>0</v>
      </c>
      <c r="AB1832" s="37" t="str">
        <f aca="false">IF($N1832="","",IF(COUNTIF($N$8:$N1832,$N1832)=1,MAX($AB$7:$AB1831)+1,""))</f>
        <v/>
      </c>
    </row>
    <row r="1833" customFormat="false" ht="15" hidden="false" customHeight="false" outlineLevel="0" collapsed="false">
      <c r="L1833" s="37" t="str">
        <f aca="false">IF(INDEX($A1833:$J1833,$L$6)&lt;&gt;"",TRIM(LEFT(INDEX($A1833:$J1833,$L$6),FIND("(",INDEX($A1833:$J1833,$L$6)&amp;"(")-1)),L1832)</f>
        <v>Building Value Proposition</v>
      </c>
      <c r="M1833" s="37" t="str">
        <f aca="false">IF(INDEX($A1833:$J1833,$M$6)="","",INDEX($A1833:$J1833,$M$6)&amp;"")</f>
        <v/>
      </c>
      <c r="N1833" s="37" t="str">
        <f aca="false">IF($M1833="","",TRIM(INDEX($A1833:$J1833,$N$6)&amp;""))</f>
        <v/>
      </c>
      <c r="O1833" s="37" t="str">
        <f aca="false">IF($M1833="","",TRIM(INDEX($A1833:$J1833,$O$6)&amp;""))</f>
        <v/>
      </c>
      <c r="P1833" s="37" t="str">
        <f aca="false">IF($M1833="","",IFERROR(IF(INDEX(Settings!$B$41:$B$50,MATCH(O1833,Settings!$A$41:$A$50,0))&amp;""="","UNMAPPED",INDEX(Settings!$B$41:$B$50,MATCH(O1833,Settings!$A$41:$A$50,0))&amp;""),"UNMAPPED"))</f>
        <v/>
      </c>
      <c r="Q1833" s="38" t="n">
        <f aca="false">IF($M1833="",0,N(INDEX($A1833:$J1833,$Q$6)))</f>
        <v>0</v>
      </c>
      <c r="R1833" s="39" t="str">
        <f aca="false">IF($M1833="","",INDEX($A1833:$J1833,$R$6))</f>
        <v/>
      </c>
      <c r="S1833" s="37" t="str">
        <f aca="false">IF($M1833="","",IFERROR(INDEX(Settings!$B$27:$B$36,MATCH(L1833,Settings!$A$27:$A$36,0))&amp;"","UNMAPPED"))</f>
        <v/>
      </c>
      <c r="T1833" s="37" t="str">
        <f aca="false">IF($M1833="","",IF(NOT(ISNUMBER(R1833)),"NO DATE",IF(S1833="Won",IF(R1833&gt;Settings!$B$5,"Backlog","Delivered"),IF(S1833="Open",IF(R1833&gt;Settings!$B$5,"Pipeline","Overdue"),IF(S1833="Lost","Lost","UNMAPPED")))))</f>
        <v/>
      </c>
      <c r="U1833" s="40" t="n">
        <f aca="false">IF(T1833="Backlog",1,IF(OR(T1833="Pipeline",T1833="Overdue"),N(INDEX(Settings!$C$27:$C$36,MATCH(L1833,Settings!$A$27:$A$36,0))),0))</f>
        <v>0</v>
      </c>
      <c r="V1833" s="38" t="n">
        <f aca="false">Q1833*U1833</f>
        <v>0</v>
      </c>
      <c r="W1833" s="41" t="str">
        <f aca="false">IF($M1833="","",IF(T1833="Overdue",IF(Settings!$B$8="Yes",Settings!$B$7,""),IF(ISNUMBER(R1833),DATE(YEAR(R1833),MONTH(R1833),1),"")))</f>
        <v/>
      </c>
      <c r="X1833" s="38" t="n">
        <f aca="false">IF(AND(OR(T1833="Backlog",T1833="Pipeline",T1833="Overdue"),ISNUMBER(W1833)),IF(W1833&lt;=Settings!$B$6,V1833,0),0)</f>
        <v>0</v>
      </c>
      <c r="Y1833" s="38" t="n">
        <f aca="false">IF(AND(OR(T1833="Backlog",T1833="Pipeline",T1833="Overdue"),ISNUMBER(W1833)),IF(W1833&lt;=Settings!$B$6,Q1833,0),0)</f>
        <v>0</v>
      </c>
      <c r="Z1833" s="38" t="n">
        <f aca="false">IF(Y1833=0,0,IF(T1833="Backlog",Q1833,Q1833*Dashboard!$C$10))</f>
        <v>0</v>
      </c>
      <c r="AA1833" s="37" t="n">
        <f aca="false">IF($N1833="",0,IF(COUNTIF(Dashboard!$C$13:$C$22,$N1833)&gt;0,1,0))</f>
        <v>0</v>
      </c>
      <c r="AB1833" s="37" t="str">
        <f aca="false">IF($N1833="","",IF(COUNTIF($N$8:$N1833,$N1833)=1,MAX($AB$7:$AB1832)+1,""))</f>
        <v/>
      </c>
    </row>
    <row r="1834" customFormat="false" ht="15" hidden="false" customHeight="false" outlineLevel="0" collapsed="false">
      <c r="L1834" s="37" t="str">
        <f aca="false">IF(INDEX($A1834:$J1834,$L$6)&lt;&gt;"",TRIM(LEFT(INDEX($A1834:$J1834,$L$6),FIND("(",INDEX($A1834:$J1834,$L$6)&amp;"(")-1)),L1833)</f>
        <v>Building Value Proposition</v>
      </c>
      <c r="M1834" s="37" t="str">
        <f aca="false">IF(INDEX($A1834:$J1834,$M$6)="","",INDEX($A1834:$J1834,$M$6)&amp;"")</f>
        <v/>
      </c>
      <c r="N1834" s="37" t="str">
        <f aca="false">IF($M1834="","",TRIM(INDEX($A1834:$J1834,$N$6)&amp;""))</f>
        <v/>
      </c>
      <c r="O1834" s="37" t="str">
        <f aca="false">IF($M1834="","",TRIM(INDEX($A1834:$J1834,$O$6)&amp;""))</f>
        <v/>
      </c>
      <c r="P1834" s="37" t="str">
        <f aca="false">IF($M1834="","",IFERROR(IF(INDEX(Settings!$B$41:$B$50,MATCH(O1834,Settings!$A$41:$A$50,0))&amp;""="","UNMAPPED",INDEX(Settings!$B$41:$B$50,MATCH(O1834,Settings!$A$41:$A$50,0))&amp;""),"UNMAPPED"))</f>
        <v/>
      </c>
      <c r="Q1834" s="38" t="n">
        <f aca="false">IF($M1834="",0,N(INDEX($A1834:$J1834,$Q$6)))</f>
        <v>0</v>
      </c>
      <c r="R1834" s="39" t="str">
        <f aca="false">IF($M1834="","",INDEX($A1834:$J1834,$R$6))</f>
        <v/>
      </c>
      <c r="S1834" s="37" t="str">
        <f aca="false">IF($M1834="","",IFERROR(INDEX(Settings!$B$27:$B$36,MATCH(L1834,Settings!$A$27:$A$36,0))&amp;"","UNMAPPED"))</f>
        <v/>
      </c>
      <c r="T1834" s="37" t="str">
        <f aca="false">IF($M1834="","",IF(NOT(ISNUMBER(R1834)),"NO DATE",IF(S1834="Won",IF(R1834&gt;Settings!$B$5,"Backlog","Delivered"),IF(S1834="Open",IF(R1834&gt;Settings!$B$5,"Pipeline","Overdue"),IF(S1834="Lost","Lost","UNMAPPED")))))</f>
        <v/>
      </c>
      <c r="U1834" s="40" t="n">
        <f aca="false">IF(T1834="Backlog",1,IF(OR(T1834="Pipeline",T1834="Overdue"),N(INDEX(Settings!$C$27:$C$36,MATCH(L1834,Settings!$A$27:$A$36,0))),0))</f>
        <v>0</v>
      </c>
      <c r="V1834" s="38" t="n">
        <f aca="false">Q1834*U1834</f>
        <v>0</v>
      </c>
      <c r="W1834" s="41" t="str">
        <f aca="false">IF($M1834="","",IF(T1834="Overdue",IF(Settings!$B$8="Yes",Settings!$B$7,""),IF(ISNUMBER(R1834),DATE(YEAR(R1834),MONTH(R1834),1),"")))</f>
        <v/>
      </c>
      <c r="X1834" s="38" t="n">
        <f aca="false">IF(AND(OR(T1834="Backlog",T1834="Pipeline",T1834="Overdue"),ISNUMBER(W1834)),IF(W1834&lt;=Settings!$B$6,V1834,0),0)</f>
        <v>0</v>
      </c>
      <c r="Y1834" s="38" t="n">
        <f aca="false">IF(AND(OR(T1834="Backlog",T1834="Pipeline",T1834="Overdue"),ISNUMBER(W1834)),IF(W1834&lt;=Settings!$B$6,Q1834,0),0)</f>
        <v>0</v>
      </c>
      <c r="Z1834" s="38" t="n">
        <f aca="false">IF(Y1834=0,0,IF(T1834="Backlog",Q1834,Q1834*Dashboard!$C$10))</f>
        <v>0</v>
      </c>
      <c r="AA1834" s="37" t="n">
        <f aca="false">IF($N1834="",0,IF(COUNTIF(Dashboard!$C$13:$C$22,$N1834)&gt;0,1,0))</f>
        <v>0</v>
      </c>
      <c r="AB1834" s="37" t="str">
        <f aca="false">IF($N1834="","",IF(COUNTIF($N$8:$N1834,$N1834)=1,MAX($AB$7:$AB1833)+1,""))</f>
        <v/>
      </c>
    </row>
    <row r="1835" customFormat="false" ht="15" hidden="false" customHeight="false" outlineLevel="0" collapsed="false">
      <c r="L1835" s="37" t="str">
        <f aca="false">IF(INDEX($A1835:$J1835,$L$6)&lt;&gt;"",TRIM(LEFT(INDEX($A1835:$J1835,$L$6),FIND("(",INDEX($A1835:$J1835,$L$6)&amp;"(")-1)),L1834)</f>
        <v>Building Value Proposition</v>
      </c>
      <c r="M1835" s="37" t="str">
        <f aca="false">IF(INDEX($A1835:$J1835,$M$6)="","",INDEX($A1835:$J1835,$M$6)&amp;"")</f>
        <v/>
      </c>
      <c r="N1835" s="37" t="str">
        <f aca="false">IF($M1835="","",TRIM(INDEX($A1835:$J1835,$N$6)&amp;""))</f>
        <v/>
      </c>
      <c r="O1835" s="37" t="str">
        <f aca="false">IF($M1835="","",TRIM(INDEX($A1835:$J1835,$O$6)&amp;""))</f>
        <v/>
      </c>
      <c r="P1835" s="37" t="str">
        <f aca="false">IF($M1835="","",IFERROR(IF(INDEX(Settings!$B$41:$B$50,MATCH(O1835,Settings!$A$41:$A$50,0))&amp;""="","UNMAPPED",INDEX(Settings!$B$41:$B$50,MATCH(O1835,Settings!$A$41:$A$50,0))&amp;""),"UNMAPPED"))</f>
        <v/>
      </c>
      <c r="Q1835" s="38" t="n">
        <f aca="false">IF($M1835="",0,N(INDEX($A1835:$J1835,$Q$6)))</f>
        <v>0</v>
      </c>
      <c r="R1835" s="39" t="str">
        <f aca="false">IF($M1835="","",INDEX($A1835:$J1835,$R$6))</f>
        <v/>
      </c>
      <c r="S1835" s="37" t="str">
        <f aca="false">IF($M1835="","",IFERROR(INDEX(Settings!$B$27:$B$36,MATCH(L1835,Settings!$A$27:$A$36,0))&amp;"","UNMAPPED"))</f>
        <v/>
      </c>
      <c r="T1835" s="37" t="str">
        <f aca="false">IF($M1835="","",IF(NOT(ISNUMBER(R1835)),"NO DATE",IF(S1835="Won",IF(R1835&gt;Settings!$B$5,"Backlog","Delivered"),IF(S1835="Open",IF(R1835&gt;Settings!$B$5,"Pipeline","Overdue"),IF(S1835="Lost","Lost","UNMAPPED")))))</f>
        <v/>
      </c>
      <c r="U1835" s="40" t="n">
        <f aca="false">IF(T1835="Backlog",1,IF(OR(T1835="Pipeline",T1835="Overdue"),N(INDEX(Settings!$C$27:$C$36,MATCH(L1835,Settings!$A$27:$A$36,0))),0))</f>
        <v>0</v>
      </c>
      <c r="V1835" s="38" t="n">
        <f aca="false">Q1835*U1835</f>
        <v>0</v>
      </c>
      <c r="W1835" s="41" t="str">
        <f aca="false">IF($M1835="","",IF(T1835="Overdue",IF(Settings!$B$8="Yes",Settings!$B$7,""),IF(ISNUMBER(R1835),DATE(YEAR(R1835),MONTH(R1835),1),"")))</f>
        <v/>
      </c>
      <c r="X1835" s="38" t="n">
        <f aca="false">IF(AND(OR(T1835="Backlog",T1835="Pipeline",T1835="Overdue"),ISNUMBER(W1835)),IF(W1835&lt;=Settings!$B$6,V1835,0),0)</f>
        <v>0</v>
      </c>
      <c r="Y1835" s="38" t="n">
        <f aca="false">IF(AND(OR(T1835="Backlog",T1835="Pipeline",T1835="Overdue"),ISNUMBER(W1835)),IF(W1835&lt;=Settings!$B$6,Q1835,0),0)</f>
        <v>0</v>
      </c>
      <c r="Z1835" s="38" t="n">
        <f aca="false">IF(Y1835=0,0,IF(T1835="Backlog",Q1835,Q1835*Dashboard!$C$10))</f>
        <v>0</v>
      </c>
      <c r="AA1835" s="37" t="n">
        <f aca="false">IF($N1835="",0,IF(COUNTIF(Dashboard!$C$13:$C$22,$N1835)&gt;0,1,0))</f>
        <v>0</v>
      </c>
      <c r="AB1835" s="37" t="str">
        <f aca="false">IF($N1835="","",IF(COUNTIF($N$8:$N1835,$N1835)=1,MAX($AB$7:$AB1834)+1,""))</f>
        <v/>
      </c>
    </row>
    <row r="1836" customFormat="false" ht="15" hidden="false" customHeight="false" outlineLevel="0" collapsed="false">
      <c r="L1836" s="37" t="str">
        <f aca="false">IF(INDEX($A1836:$J1836,$L$6)&lt;&gt;"",TRIM(LEFT(INDEX($A1836:$J1836,$L$6),FIND("(",INDEX($A1836:$J1836,$L$6)&amp;"(")-1)),L1835)</f>
        <v>Building Value Proposition</v>
      </c>
      <c r="M1836" s="37" t="str">
        <f aca="false">IF(INDEX($A1836:$J1836,$M$6)="","",INDEX($A1836:$J1836,$M$6)&amp;"")</f>
        <v/>
      </c>
      <c r="N1836" s="37" t="str">
        <f aca="false">IF($M1836="","",TRIM(INDEX($A1836:$J1836,$N$6)&amp;""))</f>
        <v/>
      </c>
      <c r="O1836" s="37" t="str">
        <f aca="false">IF($M1836="","",TRIM(INDEX($A1836:$J1836,$O$6)&amp;""))</f>
        <v/>
      </c>
      <c r="P1836" s="37" t="str">
        <f aca="false">IF($M1836="","",IFERROR(IF(INDEX(Settings!$B$41:$B$50,MATCH(O1836,Settings!$A$41:$A$50,0))&amp;""="","UNMAPPED",INDEX(Settings!$B$41:$B$50,MATCH(O1836,Settings!$A$41:$A$50,0))&amp;""),"UNMAPPED"))</f>
        <v/>
      </c>
      <c r="Q1836" s="38" t="n">
        <f aca="false">IF($M1836="",0,N(INDEX($A1836:$J1836,$Q$6)))</f>
        <v>0</v>
      </c>
      <c r="R1836" s="39" t="str">
        <f aca="false">IF($M1836="","",INDEX($A1836:$J1836,$R$6))</f>
        <v/>
      </c>
      <c r="S1836" s="37" t="str">
        <f aca="false">IF($M1836="","",IFERROR(INDEX(Settings!$B$27:$B$36,MATCH(L1836,Settings!$A$27:$A$36,0))&amp;"","UNMAPPED"))</f>
        <v/>
      </c>
      <c r="T1836" s="37" t="str">
        <f aca="false">IF($M1836="","",IF(NOT(ISNUMBER(R1836)),"NO DATE",IF(S1836="Won",IF(R1836&gt;Settings!$B$5,"Backlog","Delivered"),IF(S1836="Open",IF(R1836&gt;Settings!$B$5,"Pipeline","Overdue"),IF(S1836="Lost","Lost","UNMAPPED")))))</f>
        <v/>
      </c>
      <c r="U1836" s="40" t="n">
        <f aca="false">IF(T1836="Backlog",1,IF(OR(T1836="Pipeline",T1836="Overdue"),N(INDEX(Settings!$C$27:$C$36,MATCH(L1836,Settings!$A$27:$A$36,0))),0))</f>
        <v>0</v>
      </c>
      <c r="V1836" s="38" t="n">
        <f aca="false">Q1836*U1836</f>
        <v>0</v>
      </c>
      <c r="W1836" s="41" t="str">
        <f aca="false">IF($M1836="","",IF(T1836="Overdue",IF(Settings!$B$8="Yes",Settings!$B$7,""),IF(ISNUMBER(R1836),DATE(YEAR(R1836),MONTH(R1836),1),"")))</f>
        <v/>
      </c>
      <c r="X1836" s="38" t="n">
        <f aca="false">IF(AND(OR(T1836="Backlog",T1836="Pipeline",T1836="Overdue"),ISNUMBER(W1836)),IF(W1836&lt;=Settings!$B$6,V1836,0),0)</f>
        <v>0</v>
      </c>
      <c r="Y1836" s="38" t="n">
        <f aca="false">IF(AND(OR(T1836="Backlog",T1836="Pipeline",T1836="Overdue"),ISNUMBER(W1836)),IF(W1836&lt;=Settings!$B$6,Q1836,0),0)</f>
        <v>0</v>
      </c>
      <c r="Z1836" s="38" t="n">
        <f aca="false">IF(Y1836=0,0,IF(T1836="Backlog",Q1836,Q1836*Dashboard!$C$10))</f>
        <v>0</v>
      </c>
      <c r="AA1836" s="37" t="n">
        <f aca="false">IF($N1836="",0,IF(COUNTIF(Dashboard!$C$13:$C$22,$N1836)&gt;0,1,0))</f>
        <v>0</v>
      </c>
      <c r="AB1836" s="37" t="str">
        <f aca="false">IF($N1836="","",IF(COUNTIF($N$8:$N1836,$N1836)=1,MAX($AB$7:$AB1835)+1,""))</f>
        <v/>
      </c>
    </row>
    <row r="1837" customFormat="false" ht="15" hidden="false" customHeight="false" outlineLevel="0" collapsed="false">
      <c r="L1837" s="37" t="str">
        <f aca="false">IF(INDEX($A1837:$J1837,$L$6)&lt;&gt;"",TRIM(LEFT(INDEX($A1837:$J1837,$L$6),FIND("(",INDEX($A1837:$J1837,$L$6)&amp;"(")-1)),L1836)</f>
        <v>Building Value Proposition</v>
      </c>
      <c r="M1837" s="37" t="str">
        <f aca="false">IF(INDEX($A1837:$J1837,$M$6)="","",INDEX($A1837:$J1837,$M$6)&amp;"")</f>
        <v/>
      </c>
      <c r="N1837" s="37" t="str">
        <f aca="false">IF($M1837="","",TRIM(INDEX($A1837:$J1837,$N$6)&amp;""))</f>
        <v/>
      </c>
      <c r="O1837" s="37" t="str">
        <f aca="false">IF($M1837="","",TRIM(INDEX($A1837:$J1837,$O$6)&amp;""))</f>
        <v/>
      </c>
      <c r="P1837" s="37" t="str">
        <f aca="false">IF($M1837="","",IFERROR(IF(INDEX(Settings!$B$41:$B$50,MATCH(O1837,Settings!$A$41:$A$50,0))&amp;""="","UNMAPPED",INDEX(Settings!$B$41:$B$50,MATCH(O1837,Settings!$A$41:$A$50,0))&amp;""),"UNMAPPED"))</f>
        <v/>
      </c>
      <c r="Q1837" s="38" t="n">
        <f aca="false">IF($M1837="",0,N(INDEX($A1837:$J1837,$Q$6)))</f>
        <v>0</v>
      </c>
      <c r="R1837" s="39" t="str">
        <f aca="false">IF($M1837="","",INDEX($A1837:$J1837,$R$6))</f>
        <v/>
      </c>
      <c r="S1837" s="37" t="str">
        <f aca="false">IF($M1837="","",IFERROR(INDEX(Settings!$B$27:$B$36,MATCH(L1837,Settings!$A$27:$A$36,0))&amp;"","UNMAPPED"))</f>
        <v/>
      </c>
      <c r="T1837" s="37" t="str">
        <f aca="false">IF($M1837="","",IF(NOT(ISNUMBER(R1837)),"NO DATE",IF(S1837="Won",IF(R1837&gt;Settings!$B$5,"Backlog","Delivered"),IF(S1837="Open",IF(R1837&gt;Settings!$B$5,"Pipeline","Overdue"),IF(S1837="Lost","Lost","UNMAPPED")))))</f>
        <v/>
      </c>
      <c r="U1837" s="40" t="n">
        <f aca="false">IF(T1837="Backlog",1,IF(OR(T1837="Pipeline",T1837="Overdue"),N(INDEX(Settings!$C$27:$C$36,MATCH(L1837,Settings!$A$27:$A$36,0))),0))</f>
        <v>0</v>
      </c>
      <c r="V1837" s="38" t="n">
        <f aca="false">Q1837*U1837</f>
        <v>0</v>
      </c>
      <c r="W1837" s="41" t="str">
        <f aca="false">IF($M1837="","",IF(T1837="Overdue",IF(Settings!$B$8="Yes",Settings!$B$7,""),IF(ISNUMBER(R1837),DATE(YEAR(R1837),MONTH(R1837),1),"")))</f>
        <v/>
      </c>
      <c r="X1837" s="38" t="n">
        <f aca="false">IF(AND(OR(T1837="Backlog",T1837="Pipeline",T1837="Overdue"),ISNUMBER(W1837)),IF(W1837&lt;=Settings!$B$6,V1837,0),0)</f>
        <v>0</v>
      </c>
      <c r="Y1837" s="38" t="n">
        <f aca="false">IF(AND(OR(T1837="Backlog",T1837="Pipeline",T1837="Overdue"),ISNUMBER(W1837)),IF(W1837&lt;=Settings!$B$6,Q1837,0),0)</f>
        <v>0</v>
      </c>
      <c r="Z1837" s="38" t="n">
        <f aca="false">IF(Y1837=0,0,IF(T1837="Backlog",Q1837,Q1837*Dashboard!$C$10))</f>
        <v>0</v>
      </c>
      <c r="AA1837" s="37" t="n">
        <f aca="false">IF($N1837="",0,IF(COUNTIF(Dashboard!$C$13:$C$22,$N1837)&gt;0,1,0))</f>
        <v>0</v>
      </c>
      <c r="AB1837" s="37" t="str">
        <f aca="false">IF($N1837="","",IF(COUNTIF($N$8:$N1837,$N1837)=1,MAX($AB$7:$AB1836)+1,""))</f>
        <v/>
      </c>
    </row>
    <row r="1838" customFormat="false" ht="15" hidden="false" customHeight="false" outlineLevel="0" collapsed="false">
      <c r="L1838" s="37" t="str">
        <f aca="false">IF(INDEX($A1838:$J1838,$L$6)&lt;&gt;"",TRIM(LEFT(INDEX($A1838:$J1838,$L$6),FIND("(",INDEX($A1838:$J1838,$L$6)&amp;"(")-1)),L1837)</f>
        <v>Building Value Proposition</v>
      </c>
      <c r="M1838" s="37" t="str">
        <f aca="false">IF(INDEX($A1838:$J1838,$M$6)="","",INDEX($A1838:$J1838,$M$6)&amp;"")</f>
        <v/>
      </c>
      <c r="N1838" s="37" t="str">
        <f aca="false">IF($M1838="","",TRIM(INDEX($A1838:$J1838,$N$6)&amp;""))</f>
        <v/>
      </c>
      <c r="O1838" s="37" t="str">
        <f aca="false">IF($M1838="","",TRIM(INDEX($A1838:$J1838,$O$6)&amp;""))</f>
        <v/>
      </c>
      <c r="P1838" s="37" t="str">
        <f aca="false">IF($M1838="","",IFERROR(IF(INDEX(Settings!$B$41:$B$50,MATCH(O1838,Settings!$A$41:$A$50,0))&amp;""="","UNMAPPED",INDEX(Settings!$B$41:$B$50,MATCH(O1838,Settings!$A$41:$A$50,0))&amp;""),"UNMAPPED"))</f>
        <v/>
      </c>
      <c r="Q1838" s="38" t="n">
        <f aca="false">IF($M1838="",0,N(INDEX($A1838:$J1838,$Q$6)))</f>
        <v>0</v>
      </c>
      <c r="R1838" s="39" t="str">
        <f aca="false">IF($M1838="","",INDEX($A1838:$J1838,$R$6))</f>
        <v/>
      </c>
      <c r="S1838" s="37" t="str">
        <f aca="false">IF($M1838="","",IFERROR(INDEX(Settings!$B$27:$B$36,MATCH(L1838,Settings!$A$27:$A$36,0))&amp;"","UNMAPPED"))</f>
        <v/>
      </c>
      <c r="T1838" s="37" t="str">
        <f aca="false">IF($M1838="","",IF(NOT(ISNUMBER(R1838)),"NO DATE",IF(S1838="Won",IF(R1838&gt;Settings!$B$5,"Backlog","Delivered"),IF(S1838="Open",IF(R1838&gt;Settings!$B$5,"Pipeline","Overdue"),IF(S1838="Lost","Lost","UNMAPPED")))))</f>
        <v/>
      </c>
      <c r="U1838" s="40" t="n">
        <f aca="false">IF(T1838="Backlog",1,IF(OR(T1838="Pipeline",T1838="Overdue"),N(INDEX(Settings!$C$27:$C$36,MATCH(L1838,Settings!$A$27:$A$36,0))),0))</f>
        <v>0</v>
      </c>
      <c r="V1838" s="38" t="n">
        <f aca="false">Q1838*U1838</f>
        <v>0</v>
      </c>
      <c r="W1838" s="41" t="str">
        <f aca="false">IF($M1838="","",IF(T1838="Overdue",IF(Settings!$B$8="Yes",Settings!$B$7,""),IF(ISNUMBER(R1838),DATE(YEAR(R1838),MONTH(R1838),1),"")))</f>
        <v/>
      </c>
      <c r="X1838" s="38" t="n">
        <f aca="false">IF(AND(OR(T1838="Backlog",T1838="Pipeline",T1838="Overdue"),ISNUMBER(W1838)),IF(W1838&lt;=Settings!$B$6,V1838,0),0)</f>
        <v>0</v>
      </c>
      <c r="Y1838" s="38" t="n">
        <f aca="false">IF(AND(OR(T1838="Backlog",T1838="Pipeline",T1838="Overdue"),ISNUMBER(W1838)),IF(W1838&lt;=Settings!$B$6,Q1838,0),0)</f>
        <v>0</v>
      </c>
      <c r="Z1838" s="38" t="n">
        <f aca="false">IF(Y1838=0,0,IF(T1838="Backlog",Q1838,Q1838*Dashboard!$C$10))</f>
        <v>0</v>
      </c>
      <c r="AA1838" s="37" t="n">
        <f aca="false">IF($N1838="",0,IF(COUNTIF(Dashboard!$C$13:$C$22,$N1838)&gt;0,1,0))</f>
        <v>0</v>
      </c>
      <c r="AB1838" s="37" t="str">
        <f aca="false">IF($N1838="","",IF(COUNTIF($N$8:$N1838,$N1838)=1,MAX($AB$7:$AB1837)+1,""))</f>
        <v/>
      </c>
    </row>
    <row r="1839" customFormat="false" ht="15" hidden="false" customHeight="false" outlineLevel="0" collapsed="false">
      <c r="L1839" s="37" t="str">
        <f aca="false">IF(INDEX($A1839:$J1839,$L$6)&lt;&gt;"",TRIM(LEFT(INDEX($A1839:$J1839,$L$6),FIND("(",INDEX($A1839:$J1839,$L$6)&amp;"(")-1)),L1838)</f>
        <v>Building Value Proposition</v>
      </c>
      <c r="M1839" s="37" t="str">
        <f aca="false">IF(INDEX($A1839:$J1839,$M$6)="","",INDEX($A1839:$J1839,$M$6)&amp;"")</f>
        <v/>
      </c>
      <c r="N1839" s="37" t="str">
        <f aca="false">IF($M1839="","",TRIM(INDEX($A1839:$J1839,$N$6)&amp;""))</f>
        <v/>
      </c>
      <c r="O1839" s="37" t="str">
        <f aca="false">IF($M1839="","",TRIM(INDEX($A1839:$J1839,$O$6)&amp;""))</f>
        <v/>
      </c>
      <c r="P1839" s="37" t="str">
        <f aca="false">IF($M1839="","",IFERROR(IF(INDEX(Settings!$B$41:$B$50,MATCH(O1839,Settings!$A$41:$A$50,0))&amp;""="","UNMAPPED",INDEX(Settings!$B$41:$B$50,MATCH(O1839,Settings!$A$41:$A$50,0))&amp;""),"UNMAPPED"))</f>
        <v/>
      </c>
      <c r="Q1839" s="38" t="n">
        <f aca="false">IF($M1839="",0,N(INDEX($A1839:$J1839,$Q$6)))</f>
        <v>0</v>
      </c>
      <c r="R1839" s="39" t="str">
        <f aca="false">IF($M1839="","",INDEX($A1839:$J1839,$R$6))</f>
        <v/>
      </c>
      <c r="S1839" s="37" t="str">
        <f aca="false">IF($M1839="","",IFERROR(INDEX(Settings!$B$27:$B$36,MATCH(L1839,Settings!$A$27:$A$36,0))&amp;"","UNMAPPED"))</f>
        <v/>
      </c>
      <c r="T1839" s="37" t="str">
        <f aca="false">IF($M1839="","",IF(NOT(ISNUMBER(R1839)),"NO DATE",IF(S1839="Won",IF(R1839&gt;Settings!$B$5,"Backlog","Delivered"),IF(S1839="Open",IF(R1839&gt;Settings!$B$5,"Pipeline","Overdue"),IF(S1839="Lost","Lost","UNMAPPED")))))</f>
        <v/>
      </c>
      <c r="U1839" s="40" t="n">
        <f aca="false">IF(T1839="Backlog",1,IF(OR(T1839="Pipeline",T1839="Overdue"),N(INDEX(Settings!$C$27:$C$36,MATCH(L1839,Settings!$A$27:$A$36,0))),0))</f>
        <v>0</v>
      </c>
      <c r="V1839" s="38" t="n">
        <f aca="false">Q1839*U1839</f>
        <v>0</v>
      </c>
      <c r="W1839" s="41" t="str">
        <f aca="false">IF($M1839="","",IF(T1839="Overdue",IF(Settings!$B$8="Yes",Settings!$B$7,""),IF(ISNUMBER(R1839),DATE(YEAR(R1839),MONTH(R1839),1),"")))</f>
        <v/>
      </c>
      <c r="X1839" s="38" t="n">
        <f aca="false">IF(AND(OR(T1839="Backlog",T1839="Pipeline",T1839="Overdue"),ISNUMBER(W1839)),IF(W1839&lt;=Settings!$B$6,V1839,0),0)</f>
        <v>0</v>
      </c>
      <c r="Y1839" s="38" t="n">
        <f aca="false">IF(AND(OR(T1839="Backlog",T1839="Pipeline",T1839="Overdue"),ISNUMBER(W1839)),IF(W1839&lt;=Settings!$B$6,Q1839,0),0)</f>
        <v>0</v>
      </c>
      <c r="Z1839" s="38" t="n">
        <f aca="false">IF(Y1839=0,0,IF(T1839="Backlog",Q1839,Q1839*Dashboard!$C$10))</f>
        <v>0</v>
      </c>
      <c r="AA1839" s="37" t="n">
        <f aca="false">IF($N1839="",0,IF(COUNTIF(Dashboard!$C$13:$C$22,$N1839)&gt;0,1,0))</f>
        <v>0</v>
      </c>
      <c r="AB1839" s="37" t="str">
        <f aca="false">IF($N1839="","",IF(COUNTIF($N$8:$N1839,$N1839)=1,MAX($AB$7:$AB1838)+1,""))</f>
        <v/>
      </c>
    </row>
    <row r="1840" customFormat="false" ht="15" hidden="false" customHeight="false" outlineLevel="0" collapsed="false">
      <c r="L1840" s="37" t="str">
        <f aca="false">IF(INDEX($A1840:$J1840,$L$6)&lt;&gt;"",TRIM(LEFT(INDEX($A1840:$J1840,$L$6),FIND("(",INDEX($A1840:$J1840,$L$6)&amp;"(")-1)),L1839)</f>
        <v>Building Value Proposition</v>
      </c>
      <c r="M1840" s="37" t="str">
        <f aca="false">IF(INDEX($A1840:$J1840,$M$6)="","",INDEX($A1840:$J1840,$M$6)&amp;"")</f>
        <v/>
      </c>
      <c r="N1840" s="37" t="str">
        <f aca="false">IF($M1840="","",TRIM(INDEX($A1840:$J1840,$N$6)&amp;""))</f>
        <v/>
      </c>
      <c r="O1840" s="37" t="str">
        <f aca="false">IF($M1840="","",TRIM(INDEX($A1840:$J1840,$O$6)&amp;""))</f>
        <v/>
      </c>
      <c r="P1840" s="37" t="str">
        <f aca="false">IF($M1840="","",IFERROR(IF(INDEX(Settings!$B$41:$B$50,MATCH(O1840,Settings!$A$41:$A$50,0))&amp;""="","UNMAPPED",INDEX(Settings!$B$41:$B$50,MATCH(O1840,Settings!$A$41:$A$50,0))&amp;""),"UNMAPPED"))</f>
        <v/>
      </c>
      <c r="Q1840" s="38" t="n">
        <f aca="false">IF($M1840="",0,N(INDEX($A1840:$J1840,$Q$6)))</f>
        <v>0</v>
      </c>
      <c r="R1840" s="39" t="str">
        <f aca="false">IF($M1840="","",INDEX($A1840:$J1840,$R$6))</f>
        <v/>
      </c>
      <c r="S1840" s="37" t="str">
        <f aca="false">IF($M1840="","",IFERROR(INDEX(Settings!$B$27:$B$36,MATCH(L1840,Settings!$A$27:$A$36,0))&amp;"","UNMAPPED"))</f>
        <v/>
      </c>
      <c r="T1840" s="37" t="str">
        <f aca="false">IF($M1840="","",IF(NOT(ISNUMBER(R1840)),"NO DATE",IF(S1840="Won",IF(R1840&gt;Settings!$B$5,"Backlog","Delivered"),IF(S1840="Open",IF(R1840&gt;Settings!$B$5,"Pipeline","Overdue"),IF(S1840="Lost","Lost","UNMAPPED")))))</f>
        <v/>
      </c>
      <c r="U1840" s="40" t="n">
        <f aca="false">IF(T1840="Backlog",1,IF(OR(T1840="Pipeline",T1840="Overdue"),N(INDEX(Settings!$C$27:$C$36,MATCH(L1840,Settings!$A$27:$A$36,0))),0))</f>
        <v>0</v>
      </c>
      <c r="V1840" s="38" t="n">
        <f aca="false">Q1840*U1840</f>
        <v>0</v>
      </c>
      <c r="W1840" s="41" t="str">
        <f aca="false">IF($M1840="","",IF(T1840="Overdue",IF(Settings!$B$8="Yes",Settings!$B$7,""),IF(ISNUMBER(R1840),DATE(YEAR(R1840),MONTH(R1840),1),"")))</f>
        <v/>
      </c>
      <c r="X1840" s="38" t="n">
        <f aca="false">IF(AND(OR(T1840="Backlog",T1840="Pipeline",T1840="Overdue"),ISNUMBER(W1840)),IF(W1840&lt;=Settings!$B$6,V1840,0),0)</f>
        <v>0</v>
      </c>
      <c r="Y1840" s="38" t="n">
        <f aca="false">IF(AND(OR(T1840="Backlog",T1840="Pipeline",T1840="Overdue"),ISNUMBER(W1840)),IF(W1840&lt;=Settings!$B$6,Q1840,0),0)</f>
        <v>0</v>
      </c>
      <c r="Z1840" s="38" t="n">
        <f aca="false">IF(Y1840=0,0,IF(T1840="Backlog",Q1840,Q1840*Dashboard!$C$10))</f>
        <v>0</v>
      </c>
      <c r="AA1840" s="37" t="n">
        <f aca="false">IF($N1840="",0,IF(COUNTIF(Dashboard!$C$13:$C$22,$N1840)&gt;0,1,0))</f>
        <v>0</v>
      </c>
      <c r="AB1840" s="37" t="str">
        <f aca="false">IF($N1840="","",IF(COUNTIF($N$8:$N1840,$N1840)=1,MAX($AB$7:$AB1839)+1,""))</f>
        <v/>
      </c>
    </row>
    <row r="1841" customFormat="false" ht="15" hidden="false" customHeight="false" outlineLevel="0" collapsed="false">
      <c r="L1841" s="37" t="str">
        <f aca="false">IF(INDEX($A1841:$J1841,$L$6)&lt;&gt;"",TRIM(LEFT(INDEX($A1841:$J1841,$L$6),FIND("(",INDEX($A1841:$J1841,$L$6)&amp;"(")-1)),L1840)</f>
        <v>Building Value Proposition</v>
      </c>
      <c r="M1841" s="37" t="str">
        <f aca="false">IF(INDEX($A1841:$J1841,$M$6)="","",INDEX($A1841:$J1841,$M$6)&amp;"")</f>
        <v/>
      </c>
      <c r="N1841" s="37" t="str">
        <f aca="false">IF($M1841="","",TRIM(INDEX($A1841:$J1841,$N$6)&amp;""))</f>
        <v/>
      </c>
      <c r="O1841" s="37" t="str">
        <f aca="false">IF($M1841="","",TRIM(INDEX($A1841:$J1841,$O$6)&amp;""))</f>
        <v/>
      </c>
      <c r="P1841" s="37" t="str">
        <f aca="false">IF($M1841="","",IFERROR(IF(INDEX(Settings!$B$41:$B$50,MATCH(O1841,Settings!$A$41:$A$50,0))&amp;""="","UNMAPPED",INDEX(Settings!$B$41:$B$50,MATCH(O1841,Settings!$A$41:$A$50,0))&amp;""),"UNMAPPED"))</f>
        <v/>
      </c>
      <c r="Q1841" s="38" t="n">
        <f aca="false">IF($M1841="",0,N(INDEX($A1841:$J1841,$Q$6)))</f>
        <v>0</v>
      </c>
      <c r="R1841" s="39" t="str">
        <f aca="false">IF($M1841="","",INDEX($A1841:$J1841,$R$6))</f>
        <v/>
      </c>
      <c r="S1841" s="37" t="str">
        <f aca="false">IF($M1841="","",IFERROR(INDEX(Settings!$B$27:$B$36,MATCH(L1841,Settings!$A$27:$A$36,0))&amp;"","UNMAPPED"))</f>
        <v/>
      </c>
      <c r="T1841" s="37" t="str">
        <f aca="false">IF($M1841="","",IF(NOT(ISNUMBER(R1841)),"NO DATE",IF(S1841="Won",IF(R1841&gt;Settings!$B$5,"Backlog","Delivered"),IF(S1841="Open",IF(R1841&gt;Settings!$B$5,"Pipeline","Overdue"),IF(S1841="Lost","Lost","UNMAPPED")))))</f>
        <v/>
      </c>
      <c r="U1841" s="40" t="n">
        <f aca="false">IF(T1841="Backlog",1,IF(OR(T1841="Pipeline",T1841="Overdue"),N(INDEX(Settings!$C$27:$C$36,MATCH(L1841,Settings!$A$27:$A$36,0))),0))</f>
        <v>0</v>
      </c>
      <c r="V1841" s="38" t="n">
        <f aca="false">Q1841*U1841</f>
        <v>0</v>
      </c>
      <c r="W1841" s="41" t="str">
        <f aca="false">IF($M1841="","",IF(T1841="Overdue",IF(Settings!$B$8="Yes",Settings!$B$7,""),IF(ISNUMBER(R1841),DATE(YEAR(R1841),MONTH(R1841),1),"")))</f>
        <v/>
      </c>
      <c r="X1841" s="38" t="n">
        <f aca="false">IF(AND(OR(T1841="Backlog",T1841="Pipeline",T1841="Overdue"),ISNUMBER(W1841)),IF(W1841&lt;=Settings!$B$6,V1841,0),0)</f>
        <v>0</v>
      </c>
      <c r="Y1841" s="38" t="n">
        <f aca="false">IF(AND(OR(T1841="Backlog",T1841="Pipeline",T1841="Overdue"),ISNUMBER(W1841)),IF(W1841&lt;=Settings!$B$6,Q1841,0),0)</f>
        <v>0</v>
      </c>
      <c r="Z1841" s="38" t="n">
        <f aca="false">IF(Y1841=0,0,IF(T1841="Backlog",Q1841,Q1841*Dashboard!$C$10))</f>
        <v>0</v>
      </c>
      <c r="AA1841" s="37" t="n">
        <f aca="false">IF($N1841="",0,IF(COUNTIF(Dashboard!$C$13:$C$22,$N1841)&gt;0,1,0))</f>
        <v>0</v>
      </c>
      <c r="AB1841" s="37" t="str">
        <f aca="false">IF($N1841="","",IF(COUNTIF($N$8:$N1841,$N1841)=1,MAX($AB$7:$AB1840)+1,""))</f>
        <v/>
      </c>
    </row>
    <row r="1842" customFormat="false" ht="15" hidden="false" customHeight="false" outlineLevel="0" collapsed="false">
      <c r="L1842" s="37" t="str">
        <f aca="false">IF(INDEX($A1842:$J1842,$L$6)&lt;&gt;"",TRIM(LEFT(INDEX($A1842:$J1842,$L$6),FIND("(",INDEX($A1842:$J1842,$L$6)&amp;"(")-1)),L1841)</f>
        <v>Building Value Proposition</v>
      </c>
      <c r="M1842" s="37" t="str">
        <f aca="false">IF(INDEX($A1842:$J1842,$M$6)="","",INDEX($A1842:$J1842,$M$6)&amp;"")</f>
        <v/>
      </c>
      <c r="N1842" s="37" t="str">
        <f aca="false">IF($M1842="","",TRIM(INDEX($A1842:$J1842,$N$6)&amp;""))</f>
        <v/>
      </c>
      <c r="O1842" s="37" t="str">
        <f aca="false">IF($M1842="","",TRIM(INDEX($A1842:$J1842,$O$6)&amp;""))</f>
        <v/>
      </c>
      <c r="P1842" s="37" t="str">
        <f aca="false">IF($M1842="","",IFERROR(IF(INDEX(Settings!$B$41:$B$50,MATCH(O1842,Settings!$A$41:$A$50,0))&amp;""="","UNMAPPED",INDEX(Settings!$B$41:$B$50,MATCH(O1842,Settings!$A$41:$A$50,0))&amp;""),"UNMAPPED"))</f>
        <v/>
      </c>
      <c r="Q1842" s="38" t="n">
        <f aca="false">IF($M1842="",0,N(INDEX($A1842:$J1842,$Q$6)))</f>
        <v>0</v>
      </c>
      <c r="R1842" s="39" t="str">
        <f aca="false">IF($M1842="","",INDEX($A1842:$J1842,$R$6))</f>
        <v/>
      </c>
      <c r="S1842" s="37" t="str">
        <f aca="false">IF($M1842="","",IFERROR(INDEX(Settings!$B$27:$B$36,MATCH(L1842,Settings!$A$27:$A$36,0))&amp;"","UNMAPPED"))</f>
        <v/>
      </c>
      <c r="T1842" s="37" t="str">
        <f aca="false">IF($M1842="","",IF(NOT(ISNUMBER(R1842)),"NO DATE",IF(S1842="Won",IF(R1842&gt;Settings!$B$5,"Backlog","Delivered"),IF(S1842="Open",IF(R1842&gt;Settings!$B$5,"Pipeline","Overdue"),IF(S1842="Lost","Lost","UNMAPPED")))))</f>
        <v/>
      </c>
      <c r="U1842" s="40" t="n">
        <f aca="false">IF(T1842="Backlog",1,IF(OR(T1842="Pipeline",T1842="Overdue"),N(INDEX(Settings!$C$27:$C$36,MATCH(L1842,Settings!$A$27:$A$36,0))),0))</f>
        <v>0</v>
      </c>
      <c r="V1842" s="38" t="n">
        <f aca="false">Q1842*U1842</f>
        <v>0</v>
      </c>
      <c r="W1842" s="41" t="str">
        <f aca="false">IF($M1842="","",IF(T1842="Overdue",IF(Settings!$B$8="Yes",Settings!$B$7,""),IF(ISNUMBER(R1842),DATE(YEAR(R1842),MONTH(R1842),1),"")))</f>
        <v/>
      </c>
      <c r="X1842" s="38" t="n">
        <f aca="false">IF(AND(OR(T1842="Backlog",T1842="Pipeline",T1842="Overdue"),ISNUMBER(W1842)),IF(W1842&lt;=Settings!$B$6,V1842,0),0)</f>
        <v>0</v>
      </c>
      <c r="Y1842" s="38" t="n">
        <f aca="false">IF(AND(OR(T1842="Backlog",T1842="Pipeline",T1842="Overdue"),ISNUMBER(W1842)),IF(W1842&lt;=Settings!$B$6,Q1842,0),0)</f>
        <v>0</v>
      </c>
      <c r="Z1842" s="38" t="n">
        <f aca="false">IF(Y1842=0,0,IF(T1842="Backlog",Q1842,Q1842*Dashboard!$C$10))</f>
        <v>0</v>
      </c>
      <c r="AA1842" s="37" t="n">
        <f aca="false">IF($N1842="",0,IF(COUNTIF(Dashboard!$C$13:$C$22,$N1842)&gt;0,1,0))</f>
        <v>0</v>
      </c>
      <c r="AB1842" s="37" t="str">
        <f aca="false">IF($N1842="","",IF(COUNTIF($N$8:$N1842,$N1842)=1,MAX($AB$7:$AB1841)+1,""))</f>
        <v/>
      </c>
    </row>
    <row r="1843" customFormat="false" ht="15" hidden="false" customHeight="false" outlineLevel="0" collapsed="false">
      <c r="L1843" s="37" t="str">
        <f aca="false">IF(INDEX($A1843:$J1843,$L$6)&lt;&gt;"",TRIM(LEFT(INDEX($A1843:$J1843,$L$6),FIND("(",INDEX($A1843:$J1843,$L$6)&amp;"(")-1)),L1842)</f>
        <v>Building Value Proposition</v>
      </c>
      <c r="M1843" s="37" t="str">
        <f aca="false">IF(INDEX($A1843:$J1843,$M$6)="","",INDEX($A1843:$J1843,$M$6)&amp;"")</f>
        <v/>
      </c>
      <c r="N1843" s="37" t="str">
        <f aca="false">IF($M1843="","",TRIM(INDEX($A1843:$J1843,$N$6)&amp;""))</f>
        <v/>
      </c>
      <c r="O1843" s="37" t="str">
        <f aca="false">IF($M1843="","",TRIM(INDEX($A1843:$J1843,$O$6)&amp;""))</f>
        <v/>
      </c>
      <c r="P1843" s="37" t="str">
        <f aca="false">IF($M1843="","",IFERROR(IF(INDEX(Settings!$B$41:$B$50,MATCH(O1843,Settings!$A$41:$A$50,0))&amp;""="","UNMAPPED",INDEX(Settings!$B$41:$B$50,MATCH(O1843,Settings!$A$41:$A$50,0))&amp;""),"UNMAPPED"))</f>
        <v/>
      </c>
      <c r="Q1843" s="38" t="n">
        <f aca="false">IF($M1843="",0,N(INDEX($A1843:$J1843,$Q$6)))</f>
        <v>0</v>
      </c>
      <c r="R1843" s="39" t="str">
        <f aca="false">IF($M1843="","",INDEX($A1843:$J1843,$R$6))</f>
        <v/>
      </c>
      <c r="S1843" s="37" t="str">
        <f aca="false">IF($M1843="","",IFERROR(INDEX(Settings!$B$27:$B$36,MATCH(L1843,Settings!$A$27:$A$36,0))&amp;"","UNMAPPED"))</f>
        <v/>
      </c>
      <c r="T1843" s="37" t="str">
        <f aca="false">IF($M1843="","",IF(NOT(ISNUMBER(R1843)),"NO DATE",IF(S1843="Won",IF(R1843&gt;Settings!$B$5,"Backlog","Delivered"),IF(S1843="Open",IF(R1843&gt;Settings!$B$5,"Pipeline","Overdue"),IF(S1843="Lost","Lost","UNMAPPED")))))</f>
        <v/>
      </c>
      <c r="U1843" s="40" t="n">
        <f aca="false">IF(T1843="Backlog",1,IF(OR(T1843="Pipeline",T1843="Overdue"),N(INDEX(Settings!$C$27:$C$36,MATCH(L1843,Settings!$A$27:$A$36,0))),0))</f>
        <v>0</v>
      </c>
      <c r="V1843" s="38" t="n">
        <f aca="false">Q1843*U1843</f>
        <v>0</v>
      </c>
      <c r="W1843" s="41" t="str">
        <f aca="false">IF($M1843="","",IF(T1843="Overdue",IF(Settings!$B$8="Yes",Settings!$B$7,""),IF(ISNUMBER(R1843),DATE(YEAR(R1843),MONTH(R1843),1),"")))</f>
        <v/>
      </c>
      <c r="X1843" s="38" t="n">
        <f aca="false">IF(AND(OR(T1843="Backlog",T1843="Pipeline",T1843="Overdue"),ISNUMBER(W1843)),IF(W1843&lt;=Settings!$B$6,V1843,0),0)</f>
        <v>0</v>
      </c>
      <c r="Y1843" s="38" t="n">
        <f aca="false">IF(AND(OR(T1843="Backlog",T1843="Pipeline",T1843="Overdue"),ISNUMBER(W1843)),IF(W1843&lt;=Settings!$B$6,Q1843,0),0)</f>
        <v>0</v>
      </c>
      <c r="Z1843" s="38" t="n">
        <f aca="false">IF(Y1843=0,0,IF(T1843="Backlog",Q1843,Q1843*Dashboard!$C$10))</f>
        <v>0</v>
      </c>
      <c r="AA1843" s="37" t="n">
        <f aca="false">IF($N1843="",0,IF(COUNTIF(Dashboard!$C$13:$C$22,$N1843)&gt;0,1,0))</f>
        <v>0</v>
      </c>
      <c r="AB1843" s="37" t="str">
        <f aca="false">IF($N1843="","",IF(COUNTIF($N$8:$N1843,$N1843)=1,MAX($AB$7:$AB1842)+1,""))</f>
        <v/>
      </c>
    </row>
    <row r="1844" customFormat="false" ht="15" hidden="false" customHeight="false" outlineLevel="0" collapsed="false">
      <c r="L1844" s="37" t="str">
        <f aca="false">IF(INDEX($A1844:$J1844,$L$6)&lt;&gt;"",TRIM(LEFT(INDEX($A1844:$J1844,$L$6),FIND("(",INDEX($A1844:$J1844,$L$6)&amp;"(")-1)),L1843)</f>
        <v>Building Value Proposition</v>
      </c>
      <c r="M1844" s="37" t="str">
        <f aca="false">IF(INDEX($A1844:$J1844,$M$6)="","",INDEX($A1844:$J1844,$M$6)&amp;"")</f>
        <v/>
      </c>
      <c r="N1844" s="37" t="str">
        <f aca="false">IF($M1844="","",TRIM(INDEX($A1844:$J1844,$N$6)&amp;""))</f>
        <v/>
      </c>
      <c r="O1844" s="37" t="str">
        <f aca="false">IF($M1844="","",TRIM(INDEX($A1844:$J1844,$O$6)&amp;""))</f>
        <v/>
      </c>
      <c r="P1844" s="37" t="str">
        <f aca="false">IF($M1844="","",IFERROR(IF(INDEX(Settings!$B$41:$B$50,MATCH(O1844,Settings!$A$41:$A$50,0))&amp;""="","UNMAPPED",INDEX(Settings!$B$41:$B$50,MATCH(O1844,Settings!$A$41:$A$50,0))&amp;""),"UNMAPPED"))</f>
        <v/>
      </c>
      <c r="Q1844" s="38" t="n">
        <f aca="false">IF($M1844="",0,N(INDEX($A1844:$J1844,$Q$6)))</f>
        <v>0</v>
      </c>
      <c r="R1844" s="39" t="str">
        <f aca="false">IF($M1844="","",INDEX($A1844:$J1844,$R$6))</f>
        <v/>
      </c>
      <c r="S1844" s="37" t="str">
        <f aca="false">IF($M1844="","",IFERROR(INDEX(Settings!$B$27:$B$36,MATCH(L1844,Settings!$A$27:$A$36,0))&amp;"","UNMAPPED"))</f>
        <v/>
      </c>
      <c r="T1844" s="37" t="str">
        <f aca="false">IF($M1844="","",IF(NOT(ISNUMBER(R1844)),"NO DATE",IF(S1844="Won",IF(R1844&gt;Settings!$B$5,"Backlog","Delivered"),IF(S1844="Open",IF(R1844&gt;Settings!$B$5,"Pipeline","Overdue"),IF(S1844="Lost","Lost","UNMAPPED")))))</f>
        <v/>
      </c>
      <c r="U1844" s="40" t="n">
        <f aca="false">IF(T1844="Backlog",1,IF(OR(T1844="Pipeline",T1844="Overdue"),N(INDEX(Settings!$C$27:$C$36,MATCH(L1844,Settings!$A$27:$A$36,0))),0))</f>
        <v>0</v>
      </c>
      <c r="V1844" s="38" t="n">
        <f aca="false">Q1844*U1844</f>
        <v>0</v>
      </c>
      <c r="W1844" s="41" t="str">
        <f aca="false">IF($M1844="","",IF(T1844="Overdue",IF(Settings!$B$8="Yes",Settings!$B$7,""),IF(ISNUMBER(R1844),DATE(YEAR(R1844),MONTH(R1844),1),"")))</f>
        <v/>
      </c>
      <c r="X1844" s="38" t="n">
        <f aca="false">IF(AND(OR(T1844="Backlog",T1844="Pipeline",T1844="Overdue"),ISNUMBER(W1844)),IF(W1844&lt;=Settings!$B$6,V1844,0),0)</f>
        <v>0</v>
      </c>
      <c r="Y1844" s="38" t="n">
        <f aca="false">IF(AND(OR(T1844="Backlog",T1844="Pipeline",T1844="Overdue"),ISNUMBER(W1844)),IF(W1844&lt;=Settings!$B$6,Q1844,0),0)</f>
        <v>0</v>
      </c>
      <c r="Z1844" s="38" t="n">
        <f aca="false">IF(Y1844=0,0,IF(T1844="Backlog",Q1844,Q1844*Dashboard!$C$10))</f>
        <v>0</v>
      </c>
      <c r="AA1844" s="37" t="n">
        <f aca="false">IF($N1844="",0,IF(COUNTIF(Dashboard!$C$13:$C$22,$N1844)&gt;0,1,0))</f>
        <v>0</v>
      </c>
      <c r="AB1844" s="37" t="str">
        <f aca="false">IF($N1844="","",IF(COUNTIF($N$8:$N1844,$N1844)=1,MAX($AB$7:$AB1843)+1,""))</f>
        <v/>
      </c>
    </row>
    <row r="1845" customFormat="false" ht="15" hidden="false" customHeight="false" outlineLevel="0" collapsed="false">
      <c r="L1845" s="37" t="str">
        <f aca="false">IF(INDEX($A1845:$J1845,$L$6)&lt;&gt;"",TRIM(LEFT(INDEX($A1845:$J1845,$L$6),FIND("(",INDEX($A1845:$J1845,$L$6)&amp;"(")-1)),L1844)</f>
        <v>Building Value Proposition</v>
      </c>
      <c r="M1845" s="37" t="str">
        <f aca="false">IF(INDEX($A1845:$J1845,$M$6)="","",INDEX($A1845:$J1845,$M$6)&amp;"")</f>
        <v/>
      </c>
      <c r="N1845" s="37" t="str">
        <f aca="false">IF($M1845="","",TRIM(INDEX($A1845:$J1845,$N$6)&amp;""))</f>
        <v/>
      </c>
      <c r="O1845" s="37" t="str">
        <f aca="false">IF($M1845="","",TRIM(INDEX($A1845:$J1845,$O$6)&amp;""))</f>
        <v/>
      </c>
      <c r="P1845" s="37" t="str">
        <f aca="false">IF($M1845="","",IFERROR(IF(INDEX(Settings!$B$41:$B$50,MATCH(O1845,Settings!$A$41:$A$50,0))&amp;""="","UNMAPPED",INDEX(Settings!$B$41:$B$50,MATCH(O1845,Settings!$A$41:$A$50,0))&amp;""),"UNMAPPED"))</f>
        <v/>
      </c>
      <c r="Q1845" s="38" t="n">
        <f aca="false">IF($M1845="",0,N(INDEX($A1845:$J1845,$Q$6)))</f>
        <v>0</v>
      </c>
      <c r="R1845" s="39" t="str">
        <f aca="false">IF($M1845="","",INDEX($A1845:$J1845,$R$6))</f>
        <v/>
      </c>
      <c r="S1845" s="37" t="str">
        <f aca="false">IF($M1845="","",IFERROR(INDEX(Settings!$B$27:$B$36,MATCH(L1845,Settings!$A$27:$A$36,0))&amp;"","UNMAPPED"))</f>
        <v/>
      </c>
      <c r="T1845" s="37" t="str">
        <f aca="false">IF($M1845="","",IF(NOT(ISNUMBER(R1845)),"NO DATE",IF(S1845="Won",IF(R1845&gt;Settings!$B$5,"Backlog","Delivered"),IF(S1845="Open",IF(R1845&gt;Settings!$B$5,"Pipeline","Overdue"),IF(S1845="Lost","Lost","UNMAPPED")))))</f>
        <v/>
      </c>
      <c r="U1845" s="40" t="n">
        <f aca="false">IF(T1845="Backlog",1,IF(OR(T1845="Pipeline",T1845="Overdue"),N(INDEX(Settings!$C$27:$C$36,MATCH(L1845,Settings!$A$27:$A$36,0))),0))</f>
        <v>0</v>
      </c>
      <c r="V1845" s="38" t="n">
        <f aca="false">Q1845*U1845</f>
        <v>0</v>
      </c>
      <c r="W1845" s="41" t="str">
        <f aca="false">IF($M1845="","",IF(T1845="Overdue",IF(Settings!$B$8="Yes",Settings!$B$7,""),IF(ISNUMBER(R1845),DATE(YEAR(R1845),MONTH(R1845),1),"")))</f>
        <v/>
      </c>
      <c r="X1845" s="38" t="n">
        <f aca="false">IF(AND(OR(T1845="Backlog",T1845="Pipeline",T1845="Overdue"),ISNUMBER(W1845)),IF(W1845&lt;=Settings!$B$6,V1845,0),0)</f>
        <v>0</v>
      </c>
      <c r="Y1845" s="38" t="n">
        <f aca="false">IF(AND(OR(T1845="Backlog",T1845="Pipeline",T1845="Overdue"),ISNUMBER(W1845)),IF(W1845&lt;=Settings!$B$6,Q1845,0),0)</f>
        <v>0</v>
      </c>
      <c r="Z1845" s="38" t="n">
        <f aca="false">IF(Y1845=0,0,IF(T1845="Backlog",Q1845,Q1845*Dashboard!$C$10))</f>
        <v>0</v>
      </c>
      <c r="AA1845" s="37" t="n">
        <f aca="false">IF($N1845="",0,IF(COUNTIF(Dashboard!$C$13:$C$22,$N1845)&gt;0,1,0))</f>
        <v>0</v>
      </c>
      <c r="AB1845" s="37" t="str">
        <f aca="false">IF($N1845="","",IF(COUNTIF($N$8:$N1845,$N1845)=1,MAX($AB$7:$AB1844)+1,""))</f>
        <v/>
      </c>
    </row>
    <row r="1846" customFormat="false" ht="15" hidden="false" customHeight="false" outlineLevel="0" collapsed="false">
      <c r="L1846" s="37" t="str">
        <f aca="false">IF(INDEX($A1846:$J1846,$L$6)&lt;&gt;"",TRIM(LEFT(INDEX($A1846:$J1846,$L$6),FIND("(",INDEX($A1846:$J1846,$L$6)&amp;"(")-1)),L1845)</f>
        <v>Building Value Proposition</v>
      </c>
      <c r="M1846" s="37" t="str">
        <f aca="false">IF(INDEX($A1846:$J1846,$M$6)="","",INDEX($A1846:$J1846,$M$6)&amp;"")</f>
        <v/>
      </c>
      <c r="N1846" s="37" t="str">
        <f aca="false">IF($M1846="","",TRIM(INDEX($A1846:$J1846,$N$6)&amp;""))</f>
        <v/>
      </c>
      <c r="O1846" s="37" t="str">
        <f aca="false">IF($M1846="","",TRIM(INDEX($A1846:$J1846,$O$6)&amp;""))</f>
        <v/>
      </c>
      <c r="P1846" s="37" t="str">
        <f aca="false">IF($M1846="","",IFERROR(IF(INDEX(Settings!$B$41:$B$50,MATCH(O1846,Settings!$A$41:$A$50,0))&amp;""="","UNMAPPED",INDEX(Settings!$B$41:$B$50,MATCH(O1846,Settings!$A$41:$A$50,0))&amp;""),"UNMAPPED"))</f>
        <v/>
      </c>
      <c r="Q1846" s="38" t="n">
        <f aca="false">IF($M1846="",0,N(INDEX($A1846:$J1846,$Q$6)))</f>
        <v>0</v>
      </c>
      <c r="R1846" s="39" t="str">
        <f aca="false">IF($M1846="","",INDEX($A1846:$J1846,$R$6))</f>
        <v/>
      </c>
      <c r="S1846" s="37" t="str">
        <f aca="false">IF($M1846="","",IFERROR(INDEX(Settings!$B$27:$B$36,MATCH(L1846,Settings!$A$27:$A$36,0))&amp;"","UNMAPPED"))</f>
        <v/>
      </c>
      <c r="T1846" s="37" t="str">
        <f aca="false">IF($M1846="","",IF(NOT(ISNUMBER(R1846)),"NO DATE",IF(S1846="Won",IF(R1846&gt;Settings!$B$5,"Backlog","Delivered"),IF(S1846="Open",IF(R1846&gt;Settings!$B$5,"Pipeline","Overdue"),IF(S1846="Lost","Lost","UNMAPPED")))))</f>
        <v/>
      </c>
      <c r="U1846" s="40" t="n">
        <f aca="false">IF(T1846="Backlog",1,IF(OR(T1846="Pipeline",T1846="Overdue"),N(INDEX(Settings!$C$27:$C$36,MATCH(L1846,Settings!$A$27:$A$36,0))),0))</f>
        <v>0</v>
      </c>
      <c r="V1846" s="38" t="n">
        <f aca="false">Q1846*U1846</f>
        <v>0</v>
      </c>
      <c r="W1846" s="41" t="str">
        <f aca="false">IF($M1846="","",IF(T1846="Overdue",IF(Settings!$B$8="Yes",Settings!$B$7,""),IF(ISNUMBER(R1846),DATE(YEAR(R1846),MONTH(R1846),1),"")))</f>
        <v/>
      </c>
      <c r="X1846" s="38" t="n">
        <f aca="false">IF(AND(OR(T1846="Backlog",T1846="Pipeline",T1846="Overdue"),ISNUMBER(W1846)),IF(W1846&lt;=Settings!$B$6,V1846,0),0)</f>
        <v>0</v>
      </c>
      <c r="Y1846" s="38" t="n">
        <f aca="false">IF(AND(OR(T1846="Backlog",T1846="Pipeline",T1846="Overdue"),ISNUMBER(W1846)),IF(W1846&lt;=Settings!$B$6,Q1846,0),0)</f>
        <v>0</v>
      </c>
      <c r="Z1846" s="38" t="n">
        <f aca="false">IF(Y1846=0,0,IF(T1846="Backlog",Q1846,Q1846*Dashboard!$C$10))</f>
        <v>0</v>
      </c>
      <c r="AA1846" s="37" t="n">
        <f aca="false">IF($N1846="",0,IF(COUNTIF(Dashboard!$C$13:$C$22,$N1846)&gt;0,1,0))</f>
        <v>0</v>
      </c>
      <c r="AB1846" s="37" t="str">
        <f aca="false">IF($N1846="","",IF(COUNTIF($N$8:$N1846,$N1846)=1,MAX($AB$7:$AB1845)+1,""))</f>
        <v/>
      </c>
    </row>
    <row r="1847" customFormat="false" ht="15" hidden="false" customHeight="false" outlineLevel="0" collapsed="false">
      <c r="L1847" s="37" t="str">
        <f aca="false">IF(INDEX($A1847:$J1847,$L$6)&lt;&gt;"",TRIM(LEFT(INDEX($A1847:$J1847,$L$6),FIND("(",INDEX($A1847:$J1847,$L$6)&amp;"(")-1)),L1846)</f>
        <v>Building Value Proposition</v>
      </c>
      <c r="M1847" s="37" t="str">
        <f aca="false">IF(INDEX($A1847:$J1847,$M$6)="","",INDEX($A1847:$J1847,$M$6)&amp;"")</f>
        <v/>
      </c>
      <c r="N1847" s="37" t="str">
        <f aca="false">IF($M1847="","",TRIM(INDEX($A1847:$J1847,$N$6)&amp;""))</f>
        <v/>
      </c>
      <c r="O1847" s="37" t="str">
        <f aca="false">IF($M1847="","",TRIM(INDEX($A1847:$J1847,$O$6)&amp;""))</f>
        <v/>
      </c>
      <c r="P1847" s="37" t="str">
        <f aca="false">IF($M1847="","",IFERROR(IF(INDEX(Settings!$B$41:$B$50,MATCH(O1847,Settings!$A$41:$A$50,0))&amp;""="","UNMAPPED",INDEX(Settings!$B$41:$B$50,MATCH(O1847,Settings!$A$41:$A$50,0))&amp;""),"UNMAPPED"))</f>
        <v/>
      </c>
      <c r="Q1847" s="38" t="n">
        <f aca="false">IF($M1847="",0,N(INDEX($A1847:$J1847,$Q$6)))</f>
        <v>0</v>
      </c>
      <c r="R1847" s="39" t="str">
        <f aca="false">IF($M1847="","",INDEX($A1847:$J1847,$R$6))</f>
        <v/>
      </c>
      <c r="S1847" s="37" t="str">
        <f aca="false">IF($M1847="","",IFERROR(INDEX(Settings!$B$27:$B$36,MATCH(L1847,Settings!$A$27:$A$36,0))&amp;"","UNMAPPED"))</f>
        <v/>
      </c>
      <c r="T1847" s="37" t="str">
        <f aca="false">IF($M1847="","",IF(NOT(ISNUMBER(R1847)),"NO DATE",IF(S1847="Won",IF(R1847&gt;Settings!$B$5,"Backlog","Delivered"),IF(S1847="Open",IF(R1847&gt;Settings!$B$5,"Pipeline","Overdue"),IF(S1847="Lost","Lost","UNMAPPED")))))</f>
        <v/>
      </c>
      <c r="U1847" s="40" t="n">
        <f aca="false">IF(T1847="Backlog",1,IF(OR(T1847="Pipeline",T1847="Overdue"),N(INDEX(Settings!$C$27:$C$36,MATCH(L1847,Settings!$A$27:$A$36,0))),0))</f>
        <v>0</v>
      </c>
      <c r="V1847" s="38" t="n">
        <f aca="false">Q1847*U1847</f>
        <v>0</v>
      </c>
      <c r="W1847" s="41" t="str">
        <f aca="false">IF($M1847="","",IF(T1847="Overdue",IF(Settings!$B$8="Yes",Settings!$B$7,""),IF(ISNUMBER(R1847),DATE(YEAR(R1847),MONTH(R1847),1),"")))</f>
        <v/>
      </c>
      <c r="X1847" s="38" t="n">
        <f aca="false">IF(AND(OR(T1847="Backlog",T1847="Pipeline",T1847="Overdue"),ISNUMBER(W1847)),IF(W1847&lt;=Settings!$B$6,V1847,0),0)</f>
        <v>0</v>
      </c>
      <c r="Y1847" s="38" t="n">
        <f aca="false">IF(AND(OR(T1847="Backlog",T1847="Pipeline",T1847="Overdue"),ISNUMBER(W1847)),IF(W1847&lt;=Settings!$B$6,Q1847,0),0)</f>
        <v>0</v>
      </c>
      <c r="Z1847" s="38" t="n">
        <f aca="false">IF(Y1847=0,0,IF(T1847="Backlog",Q1847,Q1847*Dashboard!$C$10))</f>
        <v>0</v>
      </c>
      <c r="AA1847" s="37" t="n">
        <f aca="false">IF($N1847="",0,IF(COUNTIF(Dashboard!$C$13:$C$22,$N1847)&gt;0,1,0))</f>
        <v>0</v>
      </c>
      <c r="AB1847" s="37" t="str">
        <f aca="false">IF($N1847="","",IF(COUNTIF($N$8:$N1847,$N1847)=1,MAX($AB$7:$AB1846)+1,""))</f>
        <v/>
      </c>
    </row>
    <row r="1848" customFormat="false" ht="15" hidden="false" customHeight="false" outlineLevel="0" collapsed="false">
      <c r="L1848" s="37" t="str">
        <f aca="false">IF(INDEX($A1848:$J1848,$L$6)&lt;&gt;"",TRIM(LEFT(INDEX($A1848:$J1848,$L$6),FIND("(",INDEX($A1848:$J1848,$L$6)&amp;"(")-1)),L1847)</f>
        <v>Building Value Proposition</v>
      </c>
      <c r="M1848" s="37" t="str">
        <f aca="false">IF(INDEX($A1848:$J1848,$M$6)="","",INDEX($A1848:$J1848,$M$6)&amp;"")</f>
        <v/>
      </c>
      <c r="N1848" s="37" t="str">
        <f aca="false">IF($M1848="","",TRIM(INDEX($A1848:$J1848,$N$6)&amp;""))</f>
        <v/>
      </c>
      <c r="O1848" s="37" t="str">
        <f aca="false">IF($M1848="","",TRIM(INDEX($A1848:$J1848,$O$6)&amp;""))</f>
        <v/>
      </c>
      <c r="P1848" s="37" t="str">
        <f aca="false">IF($M1848="","",IFERROR(IF(INDEX(Settings!$B$41:$B$50,MATCH(O1848,Settings!$A$41:$A$50,0))&amp;""="","UNMAPPED",INDEX(Settings!$B$41:$B$50,MATCH(O1848,Settings!$A$41:$A$50,0))&amp;""),"UNMAPPED"))</f>
        <v/>
      </c>
      <c r="Q1848" s="38" t="n">
        <f aca="false">IF($M1848="",0,N(INDEX($A1848:$J1848,$Q$6)))</f>
        <v>0</v>
      </c>
      <c r="R1848" s="39" t="str">
        <f aca="false">IF($M1848="","",INDEX($A1848:$J1848,$R$6))</f>
        <v/>
      </c>
      <c r="S1848" s="37" t="str">
        <f aca="false">IF($M1848="","",IFERROR(INDEX(Settings!$B$27:$B$36,MATCH(L1848,Settings!$A$27:$A$36,0))&amp;"","UNMAPPED"))</f>
        <v/>
      </c>
      <c r="T1848" s="37" t="str">
        <f aca="false">IF($M1848="","",IF(NOT(ISNUMBER(R1848)),"NO DATE",IF(S1848="Won",IF(R1848&gt;Settings!$B$5,"Backlog","Delivered"),IF(S1848="Open",IF(R1848&gt;Settings!$B$5,"Pipeline","Overdue"),IF(S1848="Lost","Lost","UNMAPPED")))))</f>
        <v/>
      </c>
      <c r="U1848" s="40" t="n">
        <f aca="false">IF(T1848="Backlog",1,IF(OR(T1848="Pipeline",T1848="Overdue"),N(INDEX(Settings!$C$27:$C$36,MATCH(L1848,Settings!$A$27:$A$36,0))),0))</f>
        <v>0</v>
      </c>
      <c r="V1848" s="38" t="n">
        <f aca="false">Q1848*U1848</f>
        <v>0</v>
      </c>
      <c r="W1848" s="41" t="str">
        <f aca="false">IF($M1848="","",IF(T1848="Overdue",IF(Settings!$B$8="Yes",Settings!$B$7,""),IF(ISNUMBER(R1848),DATE(YEAR(R1848),MONTH(R1848),1),"")))</f>
        <v/>
      </c>
      <c r="X1848" s="38" t="n">
        <f aca="false">IF(AND(OR(T1848="Backlog",T1848="Pipeline",T1848="Overdue"),ISNUMBER(W1848)),IF(W1848&lt;=Settings!$B$6,V1848,0),0)</f>
        <v>0</v>
      </c>
      <c r="Y1848" s="38" t="n">
        <f aca="false">IF(AND(OR(T1848="Backlog",T1848="Pipeline",T1848="Overdue"),ISNUMBER(W1848)),IF(W1848&lt;=Settings!$B$6,Q1848,0),0)</f>
        <v>0</v>
      </c>
      <c r="Z1848" s="38" t="n">
        <f aca="false">IF(Y1848=0,0,IF(T1848="Backlog",Q1848,Q1848*Dashboard!$C$10))</f>
        <v>0</v>
      </c>
      <c r="AA1848" s="37" t="n">
        <f aca="false">IF($N1848="",0,IF(COUNTIF(Dashboard!$C$13:$C$22,$N1848)&gt;0,1,0))</f>
        <v>0</v>
      </c>
      <c r="AB1848" s="37" t="str">
        <f aca="false">IF($N1848="","",IF(COUNTIF($N$8:$N1848,$N1848)=1,MAX($AB$7:$AB1847)+1,""))</f>
        <v/>
      </c>
    </row>
    <row r="1849" customFormat="false" ht="15" hidden="false" customHeight="false" outlineLevel="0" collapsed="false">
      <c r="L1849" s="37" t="str">
        <f aca="false">IF(INDEX($A1849:$J1849,$L$6)&lt;&gt;"",TRIM(LEFT(INDEX($A1849:$J1849,$L$6),FIND("(",INDEX($A1849:$J1849,$L$6)&amp;"(")-1)),L1848)</f>
        <v>Building Value Proposition</v>
      </c>
      <c r="M1849" s="37" t="str">
        <f aca="false">IF(INDEX($A1849:$J1849,$M$6)="","",INDEX($A1849:$J1849,$M$6)&amp;"")</f>
        <v/>
      </c>
      <c r="N1849" s="37" t="str">
        <f aca="false">IF($M1849="","",TRIM(INDEX($A1849:$J1849,$N$6)&amp;""))</f>
        <v/>
      </c>
      <c r="O1849" s="37" t="str">
        <f aca="false">IF($M1849="","",TRIM(INDEX($A1849:$J1849,$O$6)&amp;""))</f>
        <v/>
      </c>
      <c r="P1849" s="37" t="str">
        <f aca="false">IF($M1849="","",IFERROR(IF(INDEX(Settings!$B$41:$B$50,MATCH(O1849,Settings!$A$41:$A$50,0))&amp;""="","UNMAPPED",INDEX(Settings!$B$41:$B$50,MATCH(O1849,Settings!$A$41:$A$50,0))&amp;""),"UNMAPPED"))</f>
        <v/>
      </c>
      <c r="Q1849" s="38" t="n">
        <f aca="false">IF($M1849="",0,N(INDEX($A1849:$J1849,$Q$6)))</f>
        <v>0</v>
      </c>
      <c r="R1849" s="39" t="str">
        <f aca="false">IF($M1849="","",INDEX($A1849:$J1849,$R$6))</f>
        <v/>
      </c>
      <c r="S1849" s="37" t="str">
        <f aca="false">IF($M1849="","",IFERROR(INDEX(Settings!$B$27:$B$36,MATCH(L1849,Settings!$A$27:$A$36,0))&amp;"","UNMAPPED"))</f>
        <v/>
      </c>
      <c r="T1849" s="37" t="str">
        <f aca="false">IF($M1849="","",IF(NOT(ISNUMBER(R1849)),"NO DATE",IF(S1849="Won",IF(R1849&gt;Settings!$B$5,"Backlog","Delivered"),IF(S1849="Open",IF(R1849&gt;Settings!$B$5,"Pipeline","Overdue"),IF(S1849="Lost","Lost","UNMAPPED")))))</f>
        <v/>
      </c>
      <c r="U1849" s="40" t="n">
        <f aca="false">IF(T1849="Backlog",1,IF(OR(T1849="Pipeline",T1849="Overdue"),N(INDEX(Settings!$C$27:$C$36,MATCH(L1849,Settings!$A$27:$A$36,0))),0))</f>
        <v>0</v>
      </c>
      <c r="V1849" s="38" t="n">
        <f aca="false">Q1849*U1849</f>
        <v>0</v>
      </c>
      <c r="W1849" s="41" t="str">
        <f aca="false">IF($M1849="","",IF(T1849="Overdue",IF(Settings!$B$8="Yes",Settings!$B$7,""),IF(ISNUMBER(R1849),DATE(YEAR(R1849),MONTH(R1849),1),"")))</f>
        <v/>
      </c>
      <c r="X1849" s="38" t="n">
        <f aca="false">IF(AND(OR(T1849="Backlog",T1849="Pipeline",T1849="Overdue"),ISNUMBER(W1849)),IF(W1849&lt;=Settings!$B$6,V1849,0),0)</f>
        <v>0</v>
      </c>
      <c r="Y1849" s="38" t="n">
        <f aca="false">IF(AND(OR(T1849="Backlog",T1849="Pipeline",T1849="Overdue"),ISNUMBER(W1849)),IF(W1849&lt;=Settings!$B$6,Q1849,0),0)</f>
        <v>0</v>
      </c>
      <c r="Z1849" s="38" t="n">
        <f aca="false">IF(Y1849=0,0,IF(T1849="Backlog",Q1849,Q1849*Dashboard!$C$10))</f>
        <v>0</v>
      </c>
      <c r="AA1849" s="37" t="n">
        <f aca="false">IF($N1849="",0,IF(COUNTIF(Dashboard!$C$13:$C$22,$N1849)&gt;0,1,0))</f>
        <v>0</v>
      </c>
      <c r="AB1849" s="37" t="str">
        <f aca="false">IF($N1849="","",IF(COUNTIF($N$8:$N1849,$N1849)=1,MAX($AB$7:$AB1848)+1,""))</f>
        <v/>
      </c>
    </row>
    <row r="1850" customFormat="false" ht="15" hidden="false" customHeight="false" outlineLevel="0" collapsed="false">
      <c r="L1850" s="37" t="str">
        <f aca="false">IF(INDEX($A1850:$J1850,$L$6)&lt;&gt;"",TRIM(LEFT(INDEX($A1850:$J1850,$L$6),FIND("(",INDEX($A1850:$J1850,$L$6)&amp;"(")-1)),L1849)</f>
        <v>Building Value Proposition</v>
      </c>
      <c r="M1850" s="37" t="str">
        <f aca="false">IF(INDEX($A1850:$J1850,$M$6)="","",INDEX($A1850:$J1850,$M$6)&amp;"")</f>
        <v/>
      </c>
      <c r="N1850" s="37" t="str">
        <f aca="false">IF($M1850="","",TRIM(INDEX($A1850:$J1850,$N$6)&amp;""))</f>
        <v/>
      </c>
      <c r="O1850" s="37" t="str">
        <f aca="false">IF($M1850="","",TRIM(INDEX($A1850:$J1850,$O$6)&amp;""))</f>
        <v/>
      </c>
      <c r="P1850" s="37" t="str">
        <f aca="false">IF($M1850="","",IFERROR(IF(INDEX(Settings!$B$41:$B$50,MATCH(O1850,Settings!$A$41:$A$50,0))&amp;""="","UNMAPPED",INDEX(Settings!$B$41:$B$50,MATCH(O1850,Settings!$A$41:$A$50,0))&amp;""),"UNMAPPED"))</f>
        <v/>
      </c>
      <c r="Q1850" s="38" t="n">
        <f aca="false">IF($M1850="",0,N(INDEX($A1850:$J1850,$Q$6)))</f>
        <v>0</v>
      </c>
      <c r="R1850" s="39" t="str">
        <f aca="false">IF($M1850="","",INDEX($A1850:$J1850,$R$6))</f>
        <v/>
      </c>
      <c r="S1850" s="37" t="str">
        <f aca="false">IF($M1850="","",IFERROR(INDEX(Settings!$B$27:$B$36,MATCH(L1850,Settings!$A$27:$A$36,0))&amp;"","UNMAPPED"))</f>
        <v/>
      </c>
      <c r="T1850" s="37" t="str">
        <f aca="false">IF($M1850="","",IF(NOT(ISNUMBER(R1850)),"NO DATE",IF(S1850="Won",IF(R1850&gt;Settings!$B$5,"Backlog","Delivered"),IF(S1850="Open",IF(R1850&gt;Settings!$B$5,"Pipeline","Overdue"),IF(S1850="Lost","Lost","UNMAPPED")))))</f>
        <v/>
      </c>
      <c r="U1850" s="40" t="n">
        <f aca="false">IF(T1850="Backlog",1,IF(OR(T1850="Pipeline",T1850="Overdue"),N(INDEX(Settings!$C$27:$C$36,MATCH(L1850,Settings!$A$27:$A$36,0))),0))</f>
        <v>0</v>
      </c>
      <c r="V1850" s="38" t="n">
        <f aca="false">Q1850*U1850</f>
        <v>0</v>
      </c>
      <c r="W1850" s="41" t="str">
        <f aca="false">IF($M1850="","",IF(T1850="Overdue",IF(Settings!$B$8="Yes",Settings!$B$7,""),IF(ISNUMBER(R1850),DATE(YEAR(R1850),MONTH(R1850),1),"")))</f>
        <v/>
      </c>
      <c r="X1850" s="38" t="n">
        <f aca="false">IF(AND(OR(T1850="Backlog",T1850="Pipeline",T1850="Overdue"),ISNUMBER(W1850)),IF(W1850&lt;=Settings!$B$6,V1850,0),0)</f>
        <v>0</v>
      </c>
      <c r="Y1850" s="38" t="n">
        <f aca="false">IF(AND(OR(T1850="Backlog",T1850="Pipeline",T1850="Overdue"),ISNUMBER(W1850)),IF(W1850&lt;=Settings!$B$6,Q1850,0),0)</f>
        <v>0</v>
      </c>
      <c r="Z1850" s="38" t="n">
        <f aca="false">IF(Y1850=0,0,IF(T1850="Backlog",Q1850,Q1850*Dashboard!$C$10))</f>
        <v>0</v>
      </c>
      <c r="AA1850" s="37" t="n">
        <f aca="false">IF($N1850="",0,IF(COUNTIF(Dashboard!$C$13:$C$22,$N1850)&gt;0,1,0))</f>
        <v>0</v>
      </c>
      <c r="AB1850" s="37" t="str">
        <f aca="false">IF($N1850="","",IF(COUNTIF($N$8:$N1850,$N1850)=1,MAX($AB$7:$AB1849)+1,""))</f>
        <v/>
      </c>
    </row>
    <row r="1851" customFormat="false" ht="15" hidden="false" customHeight="false" outlineLevel="0" collapsed="false">
      <c r="L1851" s="37" t="str">
        <f aca="false">IF(INDEX($A1851:$J1851,$L$6)&lt;&gt;"",TRIM(LEFT(INDEX($A1851:$J1851,$L$6),FIND("(",INDEX($A1851:$J1851,$L$6)&amp;"(")-1)),L1850)</f>
        <v>Building Value Proposition</v>
      </c>
      <c r="M1851" s="37" t="str">
        <f aca="false">IF(INDEX($A1851:$J1851,$M$6)="","",INDEX($A1851:$J1851,$M$6)&amp;"")</f>
        <v/>
      </c>
      <c r="N1851" s="37" t="str">
        <f aca="false">IF($M1851="","",TRIM(INDEX($A1851:$J1851,$N$6)&amp;""))</f>
        <v/>
      </c>
      <c r="O1851" s="37" t="str">
        <f aca="false">IF($M1851="","",TRIM(INDEX($A1851:$J1851,$O$6)&amp;""))</f>
        <v/>
      </c>
      <c r="P1851" s="37" t="str">
        <f aca="false">IF($M1851="","",IFERROR(IF(INDEX(Settings!$B$41:$B$50,MATCH(O1851,Settings!$A$41:$A$50,0))&amp;""="","UNMAPPED",INDEX(Settings!$B$41:$B$50,MATCH(O1851,Settings!$A$41:$A$50,0))&amp;""),"UNMAPPED"))</f>
        <v/>
      </c>
      <c r="Q1851" s="38" t="n">
        <f aca="false">IF($M1851="",0,N(INDEX($A1851:$J1851,$Q$6)))</f>
        <v>0</v>
      </c>
      <c r="R1851" s="39" t="str">
        <f aca="false">IF($M1851="","",INDEX($A1851:$J1851,$R$6))</f>
        <v/>
      </c>
      <c r="S1851" s="37" t="str">
        <f aca="false">IF($M1851="","",IFERROR(INDEX(Settings!$B$27:$B$36,MATCH(L1851,Settings!$A$27:$A$36,0))&amp;"","UNMAPPED"))</f>
        <v/>
      </c>
      <c r="T1851" s="37" t="str">
        <f aca="false">IF($M1851="","",IF(NOT(ISNUMBER(R1851)),"NO DATE",IF(S1851="Won",IF(R1851&gt;Settings!$B$5,"Backlog","Delivered"),IF(S1851="Open",IF(R1851&gt;Settings!$B$5,"Pipeline","Overdue"),IF(S1851="Lost","Lost","UNMAPPED")))))</f>
        <v/>
      </c>
      <c r="U1851" s="40" t="n">
        <f aca="false">IF(T1851="Backlog",1,IF(OR(T1851="Pipeline",T1851="Overdue"),N(INDEX(Settings!$C$27:$C$36,MATCH(L1851,Settings!$A$27:$A$36,0))),0))</f>
        <v>0</v>
      </c>
      <c r="V1851" s="38" t="n">
        <f aca="false">Q1851*U1851</f>
        <v>0</v>
      </c>
      <c r="W1851" s="41" t="str">
        <f aca="false">IF($M1851="","",IF(T1851="Overdue",IF(Settings!$B$8="Yes",Settings!$B$7,""),IF(ISNUMBER(R1851),DATE(YEAR(R1851),MONTH(R1851),1),"")))</f>
        <v/>
      </c>
      <c r="X1851" s="38" t="n">
        <f aca="false">IF(AND(OR(T1851="Backlog",T1851="Pipeline",T1851="Overdue"),ISNUMBER(W1851)),IF(W1851&lt;=Settings!$B$6,V1851,0),0)</f>
        <v>0</v>
      </c>
      <c r="Y1851" s="38" t="n">
        <f aca="false">IF(AND(OR(T1851="Backlog",T1851="Pipeline",T1851="Overdue"),ISNUMBER(W1851)),IF(W1851&lt;=Settings!$B$6,Q1851,0),0)</f>
        <v>0</v>
      </c>
      <c r="Z1851" s="38" t="n">
        <f aca="false">IF(Y1851=0,0,IF(T1851="Backlog",Q1851,Q1851*Dashboard!$C$10))</f>
        <v>0</v>
      </c>
      <c r="AA1851" s="37" t="n">
        <f aca="false">IF($N1851="",0,IF(COUNTIF(Dashboard!$C$13:$C$22,$N1851)&gt;0,1,0))</f>
        <v>0</v>
      </c>
      <c r="AB1851" s="37" t="str">
        <f aca="false">IF($N1851="","",IF(COUNTIF($N$8:$N1851,$N1851)=1,MAX($AB$7:$AB1850)+1,""))</f>
        <v/>
      </c>
    </row>
    <row r="1852" customFormat="false" ht="15" hidden="false" customHeight="false" outlineLevel="0" collapsed="false">
      <c r="L1852" s="37" t="str">
        <f aca="false">IF(INDEX($A1852:$J1852,$L$6)&lt;&gt;"",TRIM(LEFT(INDEX($A1852:$J1852,$L$6),FIND("(",INDEX($A1852:$J1852,$L$6)&amp;"(")-1)),L1851)</f>
        <v>Building Value Proposition</v>
      </c>
      <c r="M1852" s="37" t="str">
        <f aca="false">IF(INDEX($A1852:$J1852,$M$6)="","",INDEX($A1852:$J1852,$M$6)&amp;"")</f>
        <v/>
      </c>
      <c r="N1852" s="37" t="str">
        <f aca="false">IF($M1852="","",TRIM(INDEX($A1852:$J1852,$N$6)&amp;""))</f>
        <v/>
      </c>
      <c r="O1852" s="37" t="str">
        <f aca="false">IF($M1852="","",TRIM(INDEX($A1852:$J1852,$O$6)&amp;""))</f>
        <v/>
      </c>
      <c r="P1852" s="37" t="str">
        <f aca="false">IF($M1852="","",IFERROR(IF(INDEX(Settings!$B$41:$B$50,MATCH(O1852,Settings!$A$41:$A$50,0))&amp;""="","UNMAPPED",INDEX(Settings!$B$41:$B$50,MATCH(O1852,Settings!$A$41:$A$50,0))&amp;""),"UNMAPPED"))</f>
        <v/>
      </c>
      <c r="Q1852" s="38" t="n">
        <f aca="false">IF($M1852="",0,N(INDEX($A1852:$J1852,$Q$6)))</f>
        <v>0</v>
      </c>
      <c r="R1852" s="39" t="str">
        <f aca="false">IF($M1852="","",INDEX($A1852:$J1852,$R$6))</f>
        <v/>
      </c>
      <c r="S1852" s="37" t="str">
        <f aca="false">IF($M1852="","",IFERROR(INDEX(Settings!$B$27:$B$36,MATCH(L1852,Settings!$A$27:$A$36,0))&amp;"","UNMAPPED"))</f>
        <v/>
      </c>
      <c r="T1852" s="37" t="str">
        <f aca="false">IF($M1852="","",IF(NOT(ISNUMBER(R1852)),"NO DATE",IF(S1852="Won",IF(R1852&gt;Settings!$B$5,"Backlog","Delivered"),IF(S1852="Open",IF(R1852&gt;Settings!$B$5,"Pipeline","Overdue"),IF(S1852="Lost","Lost","UNMAPPED")))))</f>
        <v/>
      </c>
      <c r="U1852" s="40" t="n">
        <f aca="false">IF(T1852="Backlog",1,IF(OR(T1852="Pipeline",T1852="Overdue"),N(INDEX(Settings!$C$27:$C$36,MATCH(L1852,Settings!$A$27:$A$36,0))),0))</f>
        <v>0</v>
      </c>
      <c r="V1852" s="38" t="n">
        <f aca="false">Q1852*U1852</f>
        <v>0</v>
      </c>
      <c r="W1852" s="41" t="str">
        <f aca="false">IF($M1852="","",IF(T1852="Overdue",IF(Settings!$B$8="Yes",Settings!$B$7,""),IF(ISNUMBER(R1852),DATE(YEAR(R1852),MONTH(R1852),1),"")))</f>
        <v/>
      </c>
      <c r="X1852" s="38" t="n">
        <f aca="false">IF(AND(OR(T1852="Backlog",T1852="Pipeline",T1852="Overdue"),ISNUMBER(W1852)),IF(W1852&lt;=Settings!$B$6,V1852,0),0)</f>
        <v>0</v>
      </c>
      <c r="Y1852" s="38" t="n">
        <f aca="false">IF(AND(OR(T1852="Backlog",T1852="Pipeline",T1852="Overdue"),ISNUMBER(W1852)),IF(W1852&lt;=Settings!$B$6,Q1852,0),0)</f>
        <v>0</v>
      </c>
      <c r="Z1852" s="38" t="n">
        <f aca="false">IF(Y1852=0,0,IF(T1852="Backlog",Q1852,Q1852*Dashboard!$C$10))</f>
        <v>0</v>
      </c>
      <c r="AA1852" s="37" t="n">
        <f aca="false">IF($N1852="",0,IF(COUNTIF(Dashboard!$C$13:$C$22,$N1852)&gt;0,1,0))</f>
        <v>0</v>
      </c>
      <c r="AB1852" s="37" t="str">
        <f aca="false">IF($N1852="","",IF(COUNTIF($N$8:$N1852,$N1852)=1,MAX($AB$7:$AB1851)+1,""))</f>
        <v/>
      </c>
    </row>
    <row r="1853" customFormat="false" ht="15" hidden="false" customHeight="false" outlineLevel="0" collapsed="false">
      <c r="L1853" s="37" t="str">
        <f aca="false">IF(INDEX($A1853:$J1853,$L$6)&lt;&gt;"",TRIM(LEFT(INDEX($A1853:$J1853,$L$6),FIND("(",INDEX($A1853:$J1853,$L$6)&amp;"(")-1)),L1852)</f>
        <v>Building Value Proposition</v>
      </c>
      <c r="M1853" s="37" t="str">
        <f aca="false">IF(INDEX($A1853:$J1853,$M$6)="","",INDEX($A1853:$J1853,$M$6)&amp;"")</f>
        <v/>
      </c>
      <c r="N1853" s="37" t="str">
        <f aca="false">IF($M1853="","",TRIM(INDEX($A1853:$J1853,$N$6)&amp;""))</f>
        <v/>
      </c>
      <c r="O1853" s="37" t="str">
        <f aca="false">IF($M1853="","",TRIM(INDEX($A1853:$J1853,$O$6)&amp;""))</f>
        <v/>
      </c>
      <c r="P1853" s="37" t="str">
        <f aca="false">IF($M1853="","",IFERROR(IF(INDEX(Settings!$B$41:$B$50,MATCH(O1853,Settings!$A$41:$A$50,0))&amp;""="","UNMAPPED",INDEX(Settings!$B$41:$B$50,MATCH(O1853,Settings!$A$41:$A$50,0))&amp;""),"UNMAPPED"))</f>
        <v/>
      </c>
      <c r="Q1853" s="38" t="n">
        <f aca="false">IF($M1853="",0,N(INDEX($A1853:$J1853,$Q$6)))</f>
        <v>0</v>
      </c>
      <c r="R1853" s="39" t="str">
        <f aca="false">IF($M1853="","",INDEX($A1853:$J1853,$R$6))</f>
        <v/>
      </c>
      <c r="S1853" s="37" t="str">
        <f aca="false">IF($M1853="","",IFERROR(INDEX(Settings!$B$27:$B$36,MATCH(L1853,Settings!$A$27:$A$36,0))&amp;"","UNMAPPED"))</f>
        <v/>
      </c>
      <c r="T1853" s="37" t="str">
        <f aca="false">IF($M1853="","",IF(NOT(ISNUMBER(R1853)),"NO DATE",IF(S1853="Won",IF(R1853&gt;Settings!$B$5,"Backlog","Delivered"),IF(S1853="Open",IF(R1853&gt;Settings!$B$5,"Pipeline","Overdue"),IF(S1853="Lost","Lost","UNMAPPED")))))</f>
        <v/>
      </c>
      <c r="U1853" s="40" t="n">
        <f aca="false">IF(T1853="Backlog",1,IF(OR(T1853="Pipeline",T1853="Overdue"),N(INDEX(Settings!$C$27:$C$36,MATCH(L1853,Settings!$A$27:$A$36,0))),0))</f>
        <v>0</v>
      </c>
      <c r="V1853" s="38" t="n">
        <f aca="false">Q1853*U1853</f>
        <v>0</v>
      </c>
      <c r="W1853" s="41" t="str">
        <f aca="false">IF($M1853="","",IF(T1853="Overdue",IF(Settings!$B$8="Yes",Settings!$B$7,""),IF(ISNUMBER(R1853),DATE(YEAR(R1853),MONTH(R1853),1),"")))</f>
        <v/>
      </c>
      <c r="X1853" s="38" t="n">
        <f aca="false">IF(AND(OR(T1853="Backlog",T1853="Pipeline",T1853="Overdue"),ISNUMBER(W1853)),IF(W1853&lt;=Settings!$B$6,V1853,0),0)</f>
        <v>0</v>
      </c>
      <c r="Y1853" s="38" t="n">
        <f aca="false">IF(AND(OR(T1853="Backlog",T1853="Pipeline",T1853="Overdue"),ISNUMBER(W1853)),IF(W1853&lt;=Settings!$B$6,Q1853,0),0)</f>
        <v>0</v>
      </c>
      <c r="Z1853" s="38" t="n">
        <f aca="false">IF(Y1853=0,0,IF(T1853="Backlog",Q1853,Q1853*Dashboard!$C$10))</f>
        <v>0</v>
      </c>
      <c r="AA1853" s="37" t="n">
        <f aca="false">IF($N1853="",0,IF(COUNTIF(Dashboard!$C$13:$C$22,$N1853)&gt;0,1,0))</f>
        <v>0</v>
      </c>
      <c r="AB1853" s="37" t="str">
        <f aca="false">IF($N1853="","",IF(COUNTIF($N$8:$N1853,$N1853)=1,MAX($AB$7:$AB1852)+1,""))</f>
        <v/>
      </c>
    </row>
    <row r="1854" customFormat="false" ht="15" hidden="false" customHeight="false" outlineLevel="0" collapsed="false">
      <c r="L1854" s="37" t="str">
        <f aca="false">IF(INDEX($A1854:$J1854,$L$6)&lt;&gt;"",TRIM(LEFT(INDEX($A1854:$J1854,$L$6),FIND("(",INDEX($A1854:$J1854,$L$6)&amp;"(")-1)),L1853)</f>
        <v>Building Value Proposition</v>
      </c>
      <c r="M1854" s="37" t="str">
        <f aca="false">IF(INDEX($A1854:$J1854,$M$6)="","",INDEX($A1854:$J1854,$M$6)&amp;"")</f>
        <v/>
      </c>
      <c r="N1854" s="37" t="str">
        <f aca="false">IF($M1854="","",TRIM(INDEX($A1854:$J1854,$N$6)&amp;""))</f>
        <v/>
      </c>
      <c r="O1854" s="37" t="str">
        <f aca="false">IF($M1854="","",TRIM(INDEX($A1854:$J1854,$O$6)&amp;""))</f>
        <v/>
      </c>
      <c r="P1854" s="37" t="str">
        <f aca="false">IF($M1854="","",IFERROR(IF(INDEX(Settings!$B$41:$B$50,MATCH(O1854,Settings!$A$41:$A$50,0))&amp;""="","UNMAPPED",INDEX(Settings!$B$41:$B$50,MATCH(O1854,Settings!$A$41:$A$50,0))&amp;""),"UNMAPPED"))</f>
        <v/>
      </c>
      <c r="Q1854" s="38" t="n">
        <f aca="false">IF($M1854="",0,N(INDEX($A1854:$J1854,$Q$6)))</f>
        <v>0</v>
      </c>
      <c r="R1854" s="39" t="str">
        <f aca="false">IF($M1854="","",INDEX($A1854:$J1854,$R$6))</f>
        <v/>
      </c>
      <c r="S1854" s="37" t="str">
        <f aca="false">IF($M1854="","",IFERROR(INDEX(Settings!$B$27:$B$36,MATCH(L1854,Settings!$A$27:$A$36,0))&amp;"","UNMAPPED"))</f>
        <v/>
      </c>
      <c r="T1854" s="37" t="str">
        <f aca="false">IF($M1854="","",IF(NOT(ISNUMBER(R1854)),"NO DATE",IF(S1854="Won",IF(R1854&gt;Settings!$B$5,"Backlog","Delivered"),IF(S1854="Open",IF(R1854&gt;Settings!$B$5,"Pipeline","Overdue"),IF(S1854="Lost","Lost","UNMAPPED")))))</f>
        <v/>
      </c>
      <c r="U1854" s="40" t="n">
        <f aca="false">IF(T1854="Backlog",1,IF(OR(T1854="Pipeline",T1854="Overdue"),N(INDEX(Settings!$C$27:$C$36,MATCH(L1854,Settings!$A$27:$A$36,0))),0))</f>
        <v>0</v>
      </c>
      <c r="V1854" s="38" t="n">
        <f aca="false">Q1854*U1854</f>
        <v>0</v>
      </c>
      <c r="W1854" s="41" t="str">
        <f aca="false">IF($M1854="","",IF(T1854="Overdue",IF(Settings!$B$8="Yes",Settings!$B$7,""),IF(ISNUMBER(R1854),DATE(YEAR(R1854),MONTH(R1854),1),"")))</f>
        <v/>
      </c>
      <c r="X1854" s="38" t="n">
        <f aca="false">IF(AND(OR(T1854="Backlog",T1854="Pipeline",T1854="Overdue"),ISNUMBER(W1854)),IF(W1854&lt;=Settings!$B$6,V1854,0),0)</f>
        <v>0</v>
      </c>
      <c r="Y1854" s="38" t="n">
        <f aca="false">IF(AND(OR(T1854="Backlog",T1854="Pipeline",T1854="Overdue"),ISNUMBER(W1854)),IF(W1854&lt;=Settings!$B$6,Q1854,0),0)</f>
        <v>0</v>
      </c>
      <c r="Z1854" s="38" t="n">
        <f aca="false">IF(Y1854=0,0,IF(T1854="Backlog",Q1854,Q1854*Dashboard!$C$10))</f>
        <v>0</v>
      </c>
      <c r="AA1854" s="37" t="n">
        <f aca="false">IF($N1854="",0,IF(COUNTIF(Dashboard!$C$13:$C$22,$N1854)&gt;0,1,0))</f>
        <v>0</v>
      </c>
      <c r="AB1854" s="37" t="str">
        <f aca="false">IF($N1854="","",IF(COUNTIF($N$8:$N1854,$N1854)=1,MAX($AB$7:$AB1853)+1,""))</f>
        <v/>
      </c>
    </row>
    <row r="1855" customFormat="false" ht="15" hidden="false" customHeight="false" outlineLevel="0" collapsed="false">
      <c r="L1855" s="37" t="str">
        <f aca="false">IF(INDEX($A1855:$J1855,$L$6)&lt;&gt;"",TRIM(LEFT(INDEX($A1855:$J1855,$L$6),FIND("(",INDEX($A1855:$J1855,$L$6)&amp;"(")-1)),L1854)</f>
        <v>Building Value Proposition</v>
      </c>
      <c r="M1855" s="37" t="str">
        <f aca="false">IF(INDEX($A1855:$J1855,$M$6)="","",INDEX($A1855:$J1855,$M$6)&amp;"")</f>
        <v/>
      </c>
      <c r="N1855" s="37" t="str">
        <f aca="false">IF($M1855="","",TRIM(INDEX($A1855:$J1855,$N$6)&amp;""))</f>
        <v/>
      </c>
      <c r="O1855" s="37" t="str">
        <f aca="false">IF($M1855="","",TRIM(INDEX($A1855:$J1855,$O$6)&amp;""))</f>
        <v/>
      </c>
      <c r="P1855" s="37" t="str">
        <f aca="false">IF($M1855="","",IFERROR(IF(INDEX(Settings!$B$41:$B$50,MATCH(O1855,Settings!$A$41:$A$50,0))&amp;""="","UNMAPPED",INDEX(Settings!$B$41:$B$50,MATCH(O1855,Settings!$A$41:$A$50,0))&amp;""),"UNMAPPED"))</f>
        <v/>
      </c>
      <c r="Q1855" s="38" t="n">
        <f aca="false">IF($M1855="",0,N(INDEX($A1855:$J1855,$Q$6)))</f>
        <v>0</v>
      </c>
      <c r="R1855" s="39" t="str">
        <f aca="false">IF($M1855="","",INDEX($A1855:$J1855,$R$6))</f>
        <v/>
      </c>
      <c r="S1855" s="37" t="str">
        <f aca="false">IF($M1855="","",IFERROR(INDEX(Settings!$B$27:$B$36,MATCH(L1855,Settings!$A$27:$A$36,0))&amp;"","UNMAPPED"))</f>
        <v/>
      </c>
      <c r="T1855" s="37" t="str">
        <f aca="false">IF($M1855="","",IF(NOT(ISNUMBER(R1855)),"NO DATE",IF(S1855="Won",IF(R1855&gt;Settings!$B$5,"Backlog","Delivered"),IF(S1855="Open",IF(R1855&gt;Settings!$B$5,"Pipeline","Overdue"),IF(S1855="Lost","Lost","UNMAPPED")))))</f>
        <v/>
      </c>
      <c r="U1855" s="40" t="n">
        <f aca="false">IF(T1855="Backlog",1,IF(OR(T1855="Pipeline",T1855="Overdue"),N(INDEX(Settings!$C$27:$C$36,MATCH(L1855,Settings!$A$27:$A$36,0))),0))</f>
        <v>0</v>
      </c>
      <c r="V1855" s="38" t="n">
        <f aca="false">Q1855*U1855</f>
        <v>0</v>
      </c>
      <c r="W1855" s="41" t="str">
        <f aca="false">IF($M1855="","",IF(T1855="Overdue",IF(Settings!$B$8="Yes",Settings!$B$7,""),IF(ISNUMBER(R1855),DATE(YEAR(R1855),MONTH(R1855),1),"")))</f>
        <v/>
      </c>
      <c r="X1855" s="38" t="n">
        <f aca="false">IF(AND(OR(T1855="Backlog",T1855="Pipeline",T1855="Overdue"),ISNUMBER(W1855)),IF(W1855&lt;=Settings!$B$6,V1855,0),0)</f>
        <v>0</v>
      </c>
      <c r="Y1855" s="38" t="n">
        <f aca="false">IF(AND(OR(T1855="Backlog",T1855="Pipeline",T1855="Overdue"),ISNUMBER(W1855)),IF(W1855&lt;=Settings!$B$6,Q1855,0),0)</f>
        <v>0</v>
      </c>
      <c r="Z1855" s="38" t="n">
        <f aca="false">IF(Y1855=0,0,IF(T1855="Backlog",Q1855,Q1855*Dashboard!$C$10))</f>
        <v>0</v>
      </c>
      <c r="AA1855" s="37" t="n">
        <f aca="false">IF($N1855="",0,IF(COUNTIF(Dashboard!$C$13:$C$22,$N1855)&gt;0,1,0))</f>
        <v>0</v>
      </c>
      <c r="AB1855" s="37" t="str">
        <f aca="false">IF($N1855="","",IF(COUNTIF($N$8:$N1855,$N1855)=1,MAX($AB$7:$AB1854)+1,""))</f>
        <v/>
      </c>
    </row>
    <row r="1856" customFormat="false" ht="15" hidden="false" customHeight="false" outlineLevel="0" collapsed="false">
      <c r="L1856" s="37" t="str">
        <f aca="false">IF(INDEX($A1856:$J1856,$L$6)&lt;&gt;"",TRIM(LEFT(INDEX($A1856:$J1856,$L$6),FIND("(",INDEX($A1856:$J1856,$L$6)&amp;"(")-1)),L1855)</f>
        <v>Building Value Proposition</v>
      </c>
      <c r="M1856" s="37" t="str">
        <f aca="false">IF(INDEX($A1856:$J1856,$M$6)="","",INDEX($A1856:$J1856,$M$6)&amp;"")</f>
        <v/>
      </c>
      <c r="N1856" s="37" t="str">
        <f aca="false">IF($M1856="","",TRIM(INDEX($A1856:$J1856,$N$6)&amp;""))</f>
        <v/>
      </c>
      <c r="O1856" s="37" t="str">
        <f aca="false">IF($M1856="","",TRIM(INDEX($A1856:$J1856,$O$6)&amp;""))</f>
        <v/>
      </c>
      <c r="P1856" s="37" t="str">
        <f aca="false">IF($M1856="","",IFERROR(IF(INDEX(Settings!$B$41:$B$50,MATCH(O1856,Settings!$A$41:$A$50,0))&amp;""="","UNMAPPED",INDEX(Settings!$B$41:$B$50,MATCH(O1856,Settings!$A$41:$A$50,0))&amp;""),"UNMAPPED"))</f>
        <v/>
      </c>
      <c r="Q1856" s="38" t="n">
        <f aca="false">IF($M1856="",0,N(INDEX($A1856:$J1856,$Q$6)))</f>
        <v>0</v>
      </c>
      <c r="R1856" s="39" t="str">
        <f aca="false">IF($M1856="","",INDEX($A1856:$J1856,$R$6))</f>
        <v/>
      </c>
      <c r="S1856" s="37" t="str">
        <f aca="false">IF($M1856="","",IFERROR(INDEX(Settings!$B$27:$B$36,MATCH(L1856,Settings!$A$27:$A$36,0))&amp;"","UNMAPPED"))</f>
        <v/>
      </c>
      <c r="T1856" s="37" t="str">
        <f aca="false">IF($M1856="","",IF(NOT(ISNUMBER(R1856)),"NO DATE",IF(S1856="Won",IF(R1856&gt;Settings!$B$5,"Backlog","Delivered"),IF(S1856="Open",IF(R1856&gt;Settings!$B$5,"Pipeline","Overdue"),IF(S1856="Lost","Lost","UNMAPPED")))))</f>
        <v/>
      </c>
      <c r="U1856" s="40" t="n">
        <f aca="false">IF(T1856="Backlog",1,IF(OR(T1856="Pipeline",T1856="Overdue"),N(INDEX(Settings!$C$27:$C$36,MATCH(L1856,Settings!$A$27:$A$36,0))),0))</f>
        <v>0</v>
      </c>
      <c r="V1856" s="38" t="n">
        <f aca="false">Q1856*U1856</f>
        <v>0</v>
      </c>
      <c r="W1856" s="41" t="str">
        <f aca="false">IF($M1856="","",IF(T1856="Overdue",IF(Settings!$B$8="Yes",Settings!$B$7,""),IF(ISNUMBER(R1856),DATE(YEAR(R1856),MONTH(R1856),1),"")))</f>
        <v/>
      </c>
      <c r="X1856" s="38" t="n">
        <f aca="false">IF(AND(OR(T1856="Backlog",T1856="Pipeline",T1856="Overdue"),ISNUMBER(W1856)),IF(W1856&lt;=Settings!$B$6,V1856,0),0)</f>
        <v>0</v>
      </c>
      <c r="Y1856" s="38" t="n">
        <f aca="false">IF(AND(OR(T1856="Backlog",T1856="Pipeline",T1856="Overdue"),ISNUMBER(W1856)),IF(W1856&lt;=Settings!$B$6,Q1856,0),0)</f>
        <v>0</v>
      </c>
      <c r="Z1856" s="38" t="n">
        <f aca="false">IF(Y1856=0,0,IF(T1856="Backlog",Q1856,Q1856*Dashboard!$C$10))</f>
        <v>0</v>
      </c>
      <c r="AA1856" s="37" t="n">
        <f aca="false">IF($N1856="",0,IF(COUNTIF(Dashboard!$C$13:$C$22,$N1856)&gt;0,1,0))</f>
        <v>0</v>
      </c>
      <c r="AB1856" s="37" t="str">
        <f aca="false">IF($N1856="","",IF(COUNTIF($N$8:$N1856,$N1856)=1,MAX($AB$7:$AB1855)+1,""))</f>
        <v/>
      </c>
    </row>
    <row r="1857" customFormat="false" ht="15" hidden="false" customHeight="false" outlineLevel="0" collapsed="false">
      <c r="L1857" s="37" t="str">
        <f aca="false">IF(INDEX($A1857:$J1857,$L$6)&lt;&gt;"",TRIM(LEFT(INDEX($A1857:$J1857,$L$6),FIND("(",INDEX($A1857:$J1857,$L$6)&amp;"(")-1)),L1856)</f>
        <v>Building Value Proposition</v>
      </c>
      <c r="M1857" s="37" t="str">
        <f aca="false">IF(INDEX($A1857:$J1857,$M$6)="","",INDEX($A1857:$J1857,$M$6)&amp;"")</f>
        <v/>
      </c>
      <c r="N1857" s="37" t="str">
        <f aca="false">IF($M1857="","",TRIM(INDEX($A1857:$J1857,$N$6)&amp;""))</f>
        <v/>
      </c>
      <c r="O1857" s="37" t="str">
        <f aca="false">IF($M1857="","",TRIM(INDEX($A1857:$J1857,$O$6)&amp;""))</f>
        <v/>
      </c>
      <c r="P1857" s="37" t="str">
        <f aca="false">IF($M1857="","",IFERROR(IF(INDEX(Settings!$B$41:$B$50,MATCH(O1857,Settings!$A$41:$A$50,0))&amp;""="","UNMAPPED",INDEX(Settings!$B$41:$B$50,MATCH(O1857,Settings!$A$41:$A$50,0))&amp;""),"UNMAPPED"))</f>
        <v/>
      </c>
      <c r="Q1857" s="38" t="n">
        <f aca="false">IF($M1857="",0,N(INDEX($A1857:$J1857,$Q$6)))</f>
        <v>0</v>
      </c>
      <c r="R1857" s="39" t="str">
        <f aca="false">IF($M1857="","",INDEX($A1857:$J1857,$R$6))</f>
        <v/>
      </c>
      <c r="S1857" s="37" t="str">
        <f aca="false">IF($M1857="","",IFERROR(INDEX(Settings!$B$27:$B$36,MATCH(L1857,Settings!$A$27:$A$36,0))&amp;"","UNMAPPED"))</f>
        <v/>
      </c>
      <c r="T1857" s="37" t="str">
        <f aca="false">IF($M1857="","",IF(NOT(ISNUMBER(R1857)),"NO DATE",IF(S1857="Won",IF(R1857&gt;Settings!$B$5,"Backlog","Delivered"),IF(S1857="Open",IF(R1857&gt;Settings!$B$5,"Pipeline","Overdue"),IF(S1857="Lost","Lost","UNMAPPED")))))</f>
        <v/>
      </c>
      <c r="U1857" s="40" t="n">
        <f aca="false">IF(T1857="Backlog",1,IF(OR(T1857="Pipeline",T1857="Overdue"),N(INDEX(Settings!$C$27:$C$36,MATCH(L1857,Settings!$A$27:$A$36,0))),0))</f>
        <v>0</v>
      </c>
      <c r="V1857" s="38" t="n">
        <f aca="false">Q1857*U1857</f>
        <v>0</v>
      </c>
      <c r="W1857" s="41" t="str">
        <f aca="false">IF($M1857="","",IF(T1857="Overdue",IF(Settings!$B$8="Yes",Settings!$B$7,""),IF(ISNUMBER(R1857),DATE(YEAR(R1857),MONTH(R1857),1),"")))</f>
        <v/>
      </c>
      <c r="X1857" s="38" t="n">
        <f aca="false">IF(AND(OR(T1857="Backlog",T1857="Pipeline",T1857="Overdue"),ISNUMBER(W1857)),IF(W1857&lt;=Settings!$B$6,V1857,0),0)</f>
        <v>0</v>
      </c>
      <c r="Y1857" s="38" t="n">
        <f aca="false">IF(AND(OR(T1857="Backlog",T1857="Pipeline",T1857="Overdue"),ISNUMBER(W1857)),IF(W1857&lt;=Settings!$B$6,Q1857,0),0)</f>
        <v>0</v>
      </c>
      <c r="Z1857" s="38" t="n">
        <f aca="false">IF(Y1857=0,0,IF(T1857="Backlog",Q1857,Q1857*Dashboard!$C$10))</f>
        <v>0</v>
      </c>
      <c r="AA1857" s="37" t="n">
        <f aca="false">IF($N1857="",0,IF(COUNTIF(Dashboard!$C$13:$C$22,$N1857)&gt;0,1,0))</f>
        <v>0</v>
      </c>
      <c r="AB1857" s="37" t="str">
        <f aca="false">IF($N1857="","",IF(COUNTIF($N$8:$N1857,$N1857)=1,MAX($AB$7:$AB1856)+1,""))</f>
        <v/>
      </c>
    </row>
    <row r="1858" customFormat="false" ht="15" hidden="false" customHeight="false" outlineLevel="0" collapsed="false">
      <c r="L1858" s="37" t="str">
        <f aca="false">IF(INDEX($A1858:$J1858,$L$6)&lt;&gt;"",TRIM(LEFT(INDEX($A1858:$J1858,$L$6),FIND("(",INDEX($A1858:$J1858,$L$6)&amp;"(")-1)),L1857)</f>
        <v>Building Value Proposition</v>
      </c>
      <c r="M1858" s="37" t="str">
        <f aca="false">IF(INDEX($A1858:$J1858,$M$6)="","",INDEX($A1858:$J1858,$M$6)&amp;"")</f>
        <v/>
      </c>
      <c r="N1858" s="37" t="str">
        <f aca="false">IF($M1858="","",TRIM(INDEX($A1858:$J1858,$N$6)&amp;""))</f>
        <v/>
      </c>
      <c r="O1858" s="37" t="str">
        <f aca="false">IF($M1858="","",TRIM(INDEX($A1858:$J1858,$O$6)&amp;""))</f>
        <v/>
      </c>
      <c r="P1858" s="37" t="str">
        <f aca="false">IF($M1858="","",IFERROR(IF(INDEX(Settings!$B$41:$B$50,MATCH(O1858,Settings!$A$41:$A$50,0))&amp;""="","UNMAPPED",INDEX(Settings!$B$41:$B$50,MATCH(O1858,Settings!$A$41:$A$50,0))&amp;""),"UNMAPPED"))</f>
        <v/>
      </c>
      <c r="Q1858" s="38" t="n">
        <f aca="false">IF($M1858="",0,N(INDEX($A1858:$J1858,$Q$6)))</f>
        <v>0</v>
      </c>
      <c r="R1858" s="39" t="str">
        <f aca="false">IF($M1858="","",INDEX($A1858:$J1858,$R$6))</f>
        <v/>
      </c>
      <c r="S1858" s="37" t="str">
        <f aca="false">IF($M1858="","",IFERROR(INDEX(Settings!$B$27:$B$36,MATCH(L1858,Settings!$A$27:$A$36,0))&amp;"","UNMAPPED"))</f>
        <v/>
      </c>
      <c r="T1858" s="37" t="str">
        <f aca="false">IF($M1858="","",IF(NOT(ISNUMBER(R1858)),"NO DATE",IF(S1858="Won",IF(R1858&gt;Settings!$B$5,"Backlog","Delivered"),IF(S1858="Open",IF(R1858&gt;Settings!$B$5,"Pipeline","Overdue"),IF(S1858="Lost","Lost","UNMAPPED")))))</f>
        <v/>
      </c>
      <c r="U1858" s="40" t="n">
        <f aca="false">IF(T1858="Backlog",1,IF(OR(T1858="Pipeline",T1858="Overdue"),N(INDEX(Settings!$C$27:$C$36,MATCH(L1858,Settings!$A$27:$A$36,0))),0))</f>
        <v>0</v>
      </c>
      <c r="V1858" s="38" t="n">
        <f aca="false">Q1858*U1858</f>
        <v>0</v>
      </c>
      <c r="W1858" s="41" t="str">
        <f aca="false">IF($M1858="","",IF(T1858="Overdue",IF(Settings!$B$8="Yes",Settings!$B$7,""),IF(ISNUMBER(R1858),DATE(YEAR(R1858),MONTH(R1858),1),"")))</f>
        <v/>
      </c>
      <c r="X1858" s="38" t="n">
        <f aca="false">IF(AND(OR(T1858="Backlog",T1858="Pipeline",T1858="Overdue"),ISNUMBER(W1858)),IF(W1858&lt;=Settings!$B$6,V1858,0),0)</f>
        <v>0</v>
      </c>
      <c r="Y1858" s="38" t="n">
        <f aca="false">IF(AND(OR(T1858="Backlog",T1858="Pipeline",T1858="Overdue"),ISNUMBER(W1858)),IF(W1858&lt;=Settings!$B$6,Q1858,0),0)</f>
        <v>0</v>
      </c>
      <c r="Z1858" s="38" t="n">
        <f aca="false">IF(Y1858=0,0,IF(T1858="Backlog",Q1858,Q1858*Dashboard!$C$10))</f>
        <v>0</v>
      </c>
      <c r="AA1858" s="37" t="n">
        <f aca="false">IF($N1858="",0,IF(COUNTIF(Dashboard!$C$13:$C$22,$N1858)&gt;0,1,0))</f>
        <v>0</v>
      </c>
      <c r="AB1858" s="37" t="str">
        <f aca="false">IF($N1858="","",IF(COUNTIF($N$8:$N1858,$N1858)=1,MAX($AB$7:$AB1857)+1,""))</f>
        <v/>
      </c>
    </row>
    <row r="1859" customFormat="false" ht="15" hidden="false" customHeight="false" outlineLevel="0" collapsed="false">
      <c r="L1859" s="37" t="str">
        <f aca="false">IF(INDEX($A1859:$J1859,$L$6)&lt;&gt;"",TRIM(LEFT(INDEX($A1859:$J1859,$L$6),FIND("(",INDEX($A1859:$J1859,$L$6)&amp;"(")-1)),L1858)</f>
        <v>Building Value Proposition</v>
      </c>
      <c r="M1859" s="37" t="str">
        <f aca="false">IF(INDEX($A1859:$J1859,$M$6)="","",INDEX($A1859:$J1859,$M$6)&amp;"")</f>
        <v/>
      </c>
      <c r="N1859" s="37" t="str">
        <f aca="false">IF($M1859="","",TRIM(INDEX($A1859:$J1859,$N$6)&amp;""))</f>
        <v/>
      </c>
      <c r="O1859" s="37" t="str">
        <f aca="false">IF($M1859="","",TRIM(INDEX($A1859:$J1859,$O$6)&amp;""))</f>
        <v/>
      </c>
      <c r="P1859" s="37" t="str">
        <f aca="false">IF($M1859="","",IFERROR(IF(INDEX(Settings!$B$41:$B$50,MATCH(O1859,Settings!$A$41:$A$50,0))&amp;""="","UNMAPPED",INDEX(Settings!$B$41:$B$50,MATCH(O1859,Settings!$A$41:$A$50,0))&amp;""),"UNMAPPED"))</f>
        <v/>
      </c>
      <c r="Q1859" s="38" t="n">
        <f aca="false">IF($M1859="",0,N(INDEX($A1859:$J1859,$Q$6)))</f>
        <v>0</v>
      </c>
      <c r="R1859" s="39" t="str">
        <f aca="false">IF($M1859="","",INDEX($A1859:$J1859,$R$6))</f>
        <v/>
      </c>
      <c r="S1859" s="37" t="str">
        <f aca="false">IF($M1859="","",IFERROR(INDEX(Settings!$B$27:$B$36,MATCH(L1859,Settings!$A$27:$A$36,0))&amp;"","UNMAPPED"))</f>
        <v/>
      </c>
      <c r="T1859" s="37" t="str">
        <f aca="false">IF($M1859="","",IF(NOT(ISNUMBER(R1859)),"NO DATE",IF(S1859="Won",IF(R1859&gt;Settings!$B$5,"Backlog","Delivered"),IF(S1859="Open",IF(R1859&gt;Settings!$B$5,"Pipeline","Overdue"),IF(S1859="Lost","Lost","UNMAPPED")))))</f>
        <v/>
      </c>
      <c r="U1859" s="40" t="n">
        <f aca="false">IF(T1859="Backlog",1,IF(OR(T1859="Pipeline",T1859="Overdue"),N(INDEX(Settings!$C$27:$C$36,MATCH(L1859,Settings!$A$27:$A$36,0))),0))</f>
        <v>0</v>
      </c>
      <c r="V1859" s="38" t="n">
        <f aca="false">Q1859*U1859</f>
        <v>0</v>
      </c>
      <c r="W1859" s="41" t="str">
        <f aca="false">IF($M1859="","",IF(T1859="Overdue",IF(Settings!$B$8="Yes",Settings!$B$7,""),IF(ISNUMBER(R1859),DATE(YEAR(R1859),MONTH(R1859),1),"")))</f>
        <v/>
      </c>
      <c r="X1859" s="38" t="n">
        <f aca="false">IF(AND(OR(T1859="Backlog",T1859="Pipeline",T1859="Overdue"),ISNUMBER(W1859)),IF(W1859&lt;=Settings!$B$6,V1859,0),0)</f>
        <v>0</v>
      </c>
      <c r="Y1859" s="38" t="n">
        <f aca="false">IF(AND(OR(T1859="Backlog",T1859="Pipeline",T1859="Overdue"),ISNUMBER(W1859)),IF(W1859&lt;=Settings!$B$6,Q1859,0),0)</f>
        <v>0</v>
      </c>
      <c r="Z1859" s="38" t="n">
        <f aca="false">IF(Y1859=0,0,IF(T1859="Backlog",Q1859,Q1859*Dashboard!$C$10))</f>
        <v>0</v>
      </c>
      <c r="AA1859" s="37" t="n">
        <f aca="false">IF($N1859="",0,IF(COUNTIF(Dashboard!$C$13:$C$22,$N1859)&gt;0,1,0))</f>
        <v>0</v>
      </c>
      <c r="AB1859" s="37" t="str">
        <f aca="false">IF($N1859="","",IF(COUNTIF($N$8:$N1859,$N1859)=1,MAX($AB$7:$AB1858)+1,""))</f>
        <v/>
      </c>
    </row>
    <row r="1860" customFormat="false" ht="15" hidden="false" customHeight="false" outlineLevel="0" collapsed="false">
      <c r="L1860" s="37" t="str">
        <f aca="false">IF(INDEX($A1860:$J1860,$L$6)&lt;&gt;"",TRIM(LEFT(INDEX($A1860:$J1860,$L$6),FIND("(",INDEX($A1860:$J1860,$L$6)&amp;"(")-1)),L1859)</f>
        <v>Building Value Proposition</v>
      </c>
      <c r="M1860" s="37" t="str">
        <f aca="false">IF(INDEX($A1860:$J1860,$M$6)="","",INDEX($A1860:$J1860,$M$6)&amp;"")</f>
        <v/>
      </c>
      <c r="N1860" s="37" t="str">
        <f aca="false">IF($M1860="","",TRIM(INDEX($A1860:$J1860,$N$6)&amp;""))</f>
        <v/>
      </c>
      <c r="O1860" s="37" t="str">
        <f aca="false">IF($M1860="","",TRIM(INDEX($A1860:$J1860,$O$6)&amp;""))</f>
        <v/>
      </c>
      <c r="P1860" s="37" t="str">
        <f aca="false">IF($M1860="","",IFERROR(IF(INDEX(Settings!$B$41:$B$50,MATCH(O1860,Settings!$A$41:$A$50,0))&amp;""="","UNMAPPED",INDEX(Settings!$B$41:$B$50,MATCH(O1860,Settings!$A$41:$A$50,0))&amp;""),"UNMAPPED"))</f>
        <v/>
      </c>
      <c r="Q1860" s="38" t="n">
        <f aca="false">IF($M1860="",0,N(INDEX($A1860:$J1860,$Q$6)))</f>
        <v>0</v>
      </c>
      <c r="R1860" s="39" t="str">
        <f aca="false">IF($M1860="","",INDEX($A1860:$J1860,$R$6))</f>
        <v/>
      </c>
      <c r="S1860" s="37" t="str">
        <f aca="false">IF($M1860="","",IFERROR(INDEX(Settings!$B$27:$B$36,MATCH(L1860,Settings!$A$27:$A$36,0))&amp;"","UNMAPPED"))</f>
        <v/>
      </c>
      <c r="T1860" s="37" t="str">
        <f aca="false">IF($M1860="","",IF(NOT(ISNUMBER(R1860)),"NO DATE",IF(S1860="Won",IF(R1860&gt;Settings!$B$5,"Backlog","Delivered"),IF(S1860="Open",IF(R1860&gt;Settings!$B$5,"Pipeline","Overdue"),IF(S1860="Lost","Lost","UNMAPPED")))))</f>
        <v/>
      </c>
      <c r="U1860" s="40" t="n">
        <f aca="false">IF(T1860="Backlog",1,IF(OR(T1860="Pipeline",T1860="Overdue"),N(INDEX(Settings!$C$27:$C$36,MATCH(L1860,Settings!$A$27:$A$36,0))),0))</f>
        <v>0</v>
      </c>
      <c r="V1860" s="38" t="n">
        <f aca="false">Q1860*U1860</f>
        <v>0</v>
      </c>
      <c r="W1860" s="41" t="str">
        <f aca="false">IF($M1860="","",IF(T1860="Overdue",IF(Settings!$B$8="Yes",Settings!$B$7,""),IF(ISNUMBER(R1860),DATE(YEAR(R1860),MONTH(R1860),1),"")))</f>
        <v/>
      </c>
      <c r="X1860" s="38" t="n">
        <f aca="false">IF(AND(OR(T1860="Backlog",T1860="Pipeline",T1860="Overdue"),ISNUMBER(W1860)),IF(W1860&lt;=Settings!$B$6,V1860,0),0)</f>
        <v>0</v>
      </c>
      <c r="Y1860" s="38" t="n">
        <f aca="false">IF(AND(OR(T1860="Backlog",T1860="Pipeline",T1860="Overdue"),ISNUMBER(W1860)),IF(W1860&lt;=Settings!$B$6,Q1860,0),0)</f>
        <v>0</v>
      </c>
      <c r="Z1860" s="38" t="n">
        <f aca="false">IF(Y1860=0,0,IF(T1860="Backlog",Q1860,Q1860*Dashboard!$C$10))</f>
        <v>0</v>
      </c>
      <c r="AA1860" s="37" t="n">
        <f aca="false">IF($N1860="",0,IF(COUNTIF(Dashboard!$C$13:$C$22,$N1860)&gt;0,1,0))</f>
        <v>0</v>
      </c>
      <c r="AB1860" s="37" t="str">
        <f aca="false">IF($N1860="","",IF(COUNTIF($N$8:$N1860,$N1860)=1,MAX($AB$7:$AB1859)+1,""))</f>
        <v/>
      </c>
    </row>
    <row r="1861" customFormat="false" ht="15" hidden="false" customHeight="false" outlineLevel="0" collapsed="false">
      <c r="L1861" s="37" t="str">
        <f aca="false">IF(INDEX($A1861:$J1861,$L$6)&lt;&gt;"",TRIM(LEFT(INDEX($A1861:$J1861,$L$6),FIND("(",INDEX($A1861:$J1861,$L$6)&amp;"(")-1)),L1860)</f>
        <v>Building Value Proposition</v>
      </c>
      <c r="M1861" s="37" t="str">
        <f aca="false">IF(INDEX($A1861:$J1861,$M$6)="","",INDEX($A1861:$J1861,$M$6)&amp;"")</f>
        <v/>
      </c>
      <c r="N1861" s="37" t="str">
        <f aca="false">IF($M1861="","",TRIM(INDEX($A1861:$J1861,$N$6)&amp;""))</f>
        <v/>
      </c>
      <c r="O1861" s="37" t="str">
        <f aca="false">IF($M1861="","",TRIM(INDEX($A1861:$J1861,$O$6)&amp;""))</f>
        <v/>
      </c>
      <c r="P1861" s="37" t="str">
        <f aca="false">IF($M1861="","",IFERROR(IF(INDEX(Settings!$B$41:$B$50,MATCH(O1861,Settings!$A$41:$A$50,0))&amp;""="","UNMAPPED",INDEX(Settings!$B$41:$B$50,MATCH(O1861,Settings!$A$41:$A$50,0))&amp;""),"UNMAPPED"))</f>
        <v/>
      </c>
      <c r="Q1861" s="38" t="n">
        <f aca="false">IF($M1861="",0,N(INDEX($A1861:$J1861,$Q$6)))</f>
        <v>0</v>
      </c>
      <c r="R1861" s="39" t="str">
        <f aca="false">IF($M1861="","",INDEX($A1861:$J1861,$R$6))</f>
        <v/>
      </c>
      <c r="S1861" s="37" t="str">
        <f aca="false">IF($M1861="","",IFERROR(INDEX(Settings!$B$27:$B$36,MATCH(L1861,Settings!$A$27:$A$36,0))&amp;"","UNMAPPED"))</f>
        <v/>
      </c>
      <c r="T1861" s="37" t="str">
        <f aca="false">IF($M1861="","",IF(NOT(ISNUMBER(R1861)),"NO DATE",IF(S1861="Won",IF(R1861&gt;Settings!$B$5,"Backlog","Delivered"),IF(S1861="Open",IF(R1861&gt;Settings!$B$5,"Pipeline","Overdue"),IF(S1861="Lost","Lost","UNMAPPED")))))</f>
        <v/>
      </c>
      <c r="U1861" s="40" t="n">
        <f aca="false">IF(T1861="Backlog",1,IF(OR(T1861="Pipeline",T1861="Overdue"),N(INDEX(Settings!$C$27:$C$36,MATCH(L1861,Settings!$A$27:$A$36,0))),0))</f>
        <v>0</v>
      </c>
      <c r="V1861" s="38" t="n">
        <f aca="false">Q1861*U1861</f>
        <v>0</v>
      </c>
      <c r="W1861" s="41" t="str">
        <f aca="false">IF($M1861="","",IF(T1861="Overdue",IF(Settings!$B$8="Yes",Settings!$B$7,""),IF(ISNUMBER(R1861),DATE(YEAR(R1861),MONTH(R1861),1),"")))</f>
        <v/>
      </c>
      <c r="X1861" s="38" t="n">
        <f aca="false">IF(AND(OR(T1861="Backlog",T1861="Pipeline",T1861="Overdue"),ISNUMBER(W1861)),IF(W1861&lt;=Settings!$B$6,V1861,0),0)</f>
        <v>0</v>
      </c>
      <c r="Y1861" s="38" t="n">
        <f aca="false">IF(AND(OR(T1861="Backlog",T1861="Pipeline",T1861="Overdue"),ISNUMBER(W1861)),IF(W1861&lt;=Settings!$B$6,Q1861,0),0)</f>
        <v>0</v>
      </c>
      <c r="Z1861" s="38" t="n">
        <f aca="false">IF(Y1861=0,0,IF(T1861="Backlog",Q1861,Q1861*Dashboard!$C$10))</f>
        <v>0</v>
      </c>
      <c r="AA1861" s="37" t="n">
        <f aca="false">IF($N1861="",0,IF(COUNTIF(Dashboard!$C$13:$C$22,$N1861)&gt;0,1,0))</f>
        <v>0</v>
      </c>
      <c r="AB1861" s="37" t="str">
        <f aca="false">IF($N1861="","",IF(COUNTIF($N$8:$N1861,$N1861)=1,MAX($AB$7:$AB1860)+1,""))</f>
        <v/>
      </c>
    </row>
    <row r="1862" customFormat="false" ht="15" hidden="false" customHeight="false" outlineLevel="0" collapsed="false">
      <c r="L1862" s="37" t="str">
        <f aca="false">IF(INDEX($A1862:$J1862,$L$6)&lt;&gt;"",TRIM(LEFT(INDEX($A1862:$J1862,$L$6),FIND("(",INDEX($A1862:$J1862,$L$6)&amp;"(")-1)),L1861)</f>
        <v>Building Value Proposition</v>
      </c>
      <c r="M1862" s="37" t="str">
        <f aca="false">IF(INDEX($A1862:$J1862,$M$6)="","",INDEX($A1862:$J1862,$M$6)&amp;"")</f>
        <v/>
      </c>
      <c r="N1862" s="37" t="str">
        <f aca="false">IF($M1862="","",TRIM(INDEX($A1862:$J1862,$N$6)&amp;""))</f>
        <v/>
      </c>
      <c r="O1862" s="37" t="str">
        <f aca="false">IF($M1862="","",TRIM(INDEX($A1862:$J1862,$O$6)&amp;""))</f>
        <v/>
      </c>
      <c r="P1862" s="37" t="str">
        <f aca="false">IF($M1862="","",IFERROR(IF(INDEX(Settings!$B$41:$B$50,MATCH(O1862,Settings!$A$41:$A$50,0))&amp;""="","UNMAPPED",INDEX(Settings!$B$41:$B$50,MATCH(O1862,Settings!$A$41:$A$50,0))&amp;""),"UNMAPPED"))</f>
        <v/>
      </c>
      <c r="Q1862" s="38" t="n">
        <f aca="false">IF($M1862="",0,N(INDEX($A1862:$J1862,$Q$6)))</f>
        <v>0</v>
      </c>
      <c r="R1862" s="39" t="str">
        <f aca="false">IF($M1862="","",INDEX($A1862:$J1862,$R$6))</f>
        <v/>
      </c>
      <c r="S1862" s="37" t="str">
        <f aca="false">IF($M1862="","",IFERROR(INDEX(Settings!$B$27:$B$36,MATCH(L1862,Settings!$A$27:$A$36,0))&amp;"","UNMAPPED"))</f>
        <v/>
      </c>
      <c r="T1862" s="37" t="str">
        <f aca="false">IF($M1862="","",IF(NOT(ISNUMBER(R1862)),"NO DATE",IF(S1862="Won",IF(R1862&gt;Settings!$B$5,"Backlog","Delivered"),IF(S1862="Open",IF(R1862&gt;Settings!$B$5,"Pipeline","Overdue"),IF(S1862="Lost","Lost","UNMAPPED")))))</f>
        <v/>
      </c>
      <c r="U1862" s="40" t="n">
        <f aca="false">IF(T1862="Backlog",1,IF(OR(T1862="Pipeline",T1862="Overdue"),N(INDEX(Settings!$C$27:$C$36,MATCH(L1862,Settings!$A$27:$A$36,0))),0))</f>
        <v>0</v>
      </c>
      <c r="V1862" s="38" t="n">
        <f aca="false">Q1862*U1862</f>
        <v>0</v>
      </c>
      <c r="W1862" s="41" t="str">
        <f aca="false">IF($M1862="","",IF(T1862="Overdue",IF(Settings!$B$8="Yes",Settings!$B$7,""),IF(ISNUMBER(R1862),DATE(YEAR(R1862),MONTH(R1862),1),"")))</f>
        <v/>
      </c>
      <c r="X1862" s="38" t="n">
        <f aca="false">IF(AND(OR(T1862="Backlog",T1862="Pipeline",T1862="Overdue"),ISNUMBER(W1862)),IF(W1862&lt;=Settings!$B$6,V1862,0),0)</f>
        <v>0</v>
      </c>
      <c r="Y1862" s="38" t="n">
        <f aca="false">IF(AND(OR(T1862="Backlog",T1862="Pipeline",T1862="Overdue"),ISNUMBER(W1862)),IF(W1862&lt;=Settings!$B$6,Q1862,0),0)</f>
        <v>0</v>
      </c>
      <c r="Z1862" s="38" t="n">
        <f aca="false">IF(Y1862=0,0,IF(T1862="Backlog",Q1862,Q1862*Dashboard!$C$10))</f>
        <v>0</v>
      </c>
      <c r="AA1862" s="37" t="n">
        <f aca="false">IF($N1862="",0,IF(COUNTIF(Dashboard!$C$13:$C$22,$N1862)&gt;0,1,0))</f>
        <v>0</v>
      </c>
      <c r="AB1862" s="37" t="str">
        <f aca="false">IF($N1862="","",IF(COUNTIF($N$8:$N1862,$N1862)=1,MAX($AB$7:$AB1861)+1,""))</f>
        <v/>
      </c>
    </row>
    <row r="1863" customFormat="false" ht="15" hidden="false" customHeight="false" outlineLevel="0" collapsed="false">
      <c r="L1863" s="37" t="str">
        <f aca="false">IF(INDEX($A1863:$J1863,$L$6)&lt;&gt;"",TRIM(LEFT(INDEX($A1863:$J1863,$L$6),FIND("(",INDEX($A1863:$J1863,$L$6)&amp;"(")-1)),L1862)</f>
        <v>Building Value Proposition</v>
      </c>
      <c r="M1863" s="37" t="str">
        <f aca="false">IF(INDEX($A1863:$J1863,$M$6)="","",INDEX($A1863:$J1863,$M$6)&amp;"")</f>
        <v/>
      </c>
      <c r="N1863" s="37" t="str">
        <f aca="false">IF($M1863="","",TRIM(INDEX($A1863:$J1863,$N$6)&amp;""))</f>
        <v/>
      </c>
      <c r="O1863" s="37" t="str">
        <f aca="false">IF($M1863="","",TRIM(INDEX($A1863:$J1863,$O$6)&amp;""))</f>
        <v/>
      </c>
      <c r="P1863" s="37" t="str">
        <f aca="false">IF($M1863="","",IFERROR(IF(INDEX(Settings!$B$41:$B$50,MATCH(O1863,Settings!$A$41:$A$50,0))&amp;""="","UNMAPPED",INDEX(Settings!$B$41:$B$50,MATCH(O1863,Settings!$A$41:$A$50,0))&amp;""),"UNMAPPED"))</f>
        <v/>
      </c>
      <c r="Q1863" s="38" t="n">
        <f aca="false">IF($M1863="",0,N(INDEX($A1863:$J1863,$Q$6)))</f>
        <v>0</v>
      </c>
      <c r="R1863" s="39" t="str">
        <f aca="false">IF($M1863="","",INDEX($A1863:$J1863,$R$6))</f>
        <v/>
      </c>
      <c r="S1863" s="37" t="str">
        <f aca="false">IF($M1863="","",IFERROR(INDEX(Settings!$B$27:$B$36,MATCH(L1863,Settings!$A$27:$A$36,0))&amp;"","UNMAPPED"))</f>
        <v/>
      </c>
      <c r="T1863" s="37" t="str">
        <f aca="false">IF($M1863="","",IF(NOT(ISNUMBER(R1863)),"NO DATE",IF(S1863="Won",IF(R1863&gt;Settings!$B$5,"Backlog","Delivered"),IF(S1863="Open",IF(R1863&gt;Settings!$B$5,"Pipeline","Overdue"),IF(S1863="Lost","Lost","UNMAPPED")))))</f>
        <v/>
      </c>
      <c r="U1863" s="40" t="n">
        <f aca="false">IF(T1863="Backlog",1,IF(OR(T1863="Pipeline",T1863="Overdue"),N(INDEX(Settings!$C$27:$C$36,MATCH(L1863,Settings!$A$27:$A$36,0))),0))</f>
        <v>0</v>
      </c>
      <c r="V1863" s="38" t="n">
        <f aca="false">Q1863*U1863</f>
        <v>0</v>
      </c>
      <c r="W1863" s="41" t="str">
        <f aca="false">IF($M1863="","",IF(T1863="Overdue",IF(Settings!$B$8="Yes",Settings!$B$7,""),IF(ISNUMBER(R1863),DATE(YEAR(R1863),MONTH(R1863),1),"")))</f>
        <v/>
      </c>
      <c r="X1863" s="38" t="n">
        <f aca="false">IF(AND(OR(T1863="Backlog",T1863="Pipeline",T1863="Overdue"),ISNUMBER(W1863)),IF(W1863&lt;=Settings!$B$6,V1863,0),0)</f>
        <v>0</v>
      </c>
      <c r="Y1863" s="38" t="n">
        <f aca="false">IF(AND(OR(T1863="Backlog",T1863="Pipeline",T1863="Overdue"),ISNUMBER(W1863)),IF(W1863&lt;=Settings!$B$6,Q1863,0),0)</f>
        <v>0</v>
      </c>
      <c r="Z1863" s="38" t="n">
        <f aca="false">IF(Y1863=0,0,IF(T1863="Backlog",Q1863,Q1863*Dashboard!$C$10))</f>
        <v>0</v>
      </c>
      <c r="AA1863" s="37" t="n">
        <f aca="false">IF($N1863="",0,IF(COUNTIF(Dashboard!$C$13:$C$22,$N1863)&gt;0,1,0))</f>
        <v>0</v>
      </c>
      <c r="AB1863" s="37" t="str">
        <f aca="false">IF($N1863="","",IF(COUNTIF($N$8:$N1863,$N1863)=1,MAX($AB$7:$AB1862)+1,""))</f>
        <v/>
      </c>
    </row>
    <row r="1864" customFormat="false" ht="15" hidden="false" customHeight="false" outlineLevel="0" collapsed="false">
      <c r="L1864" s="37" t="str">
        <f aca="false">IF(INDEX($A1864:$J1864,$L$6)&lt;&gt;"",TRIM(LEFT(INDEX($A1864:$J1864,$L$6),FIND("(",INDEX($A1864:$J1864,$L$6)&amp;"(")-1)),L1863)</f>
        <v>Building Value Proposition</v>
      </c>
      <c r="M1864" s="37" t="str">
        <f aca="false">IF(INDEX($A1864:$J1864,$M$6)="","",INDEX($A1864:$J1864,$M$6)&amp;"")</f>
        <v/>
      </c>
      <c r="N1864" s="37" t="str">
        <f aca="false">IF($M1864="","",TRIM(INDEX($A1864:$J1864,$N$6)&amp;""))</f>
        <v/>
      </c>
      <c r="O1864" s="37" t="str">
        <f aca="false">IF($M1864="","",TRIM(INDEX($A1864:$J1864,$O$6)&amp;""))</f>
        <v/>
      </c>
      <c r="P1864" s="37" t="str">
        <f aca="false">IF($M1864="","",IFERROR(IF(INDEX(Settings!$B$41:$B$50,MATCH(O1864,Settings!$A$41:$A$50,0))&amp;""="","UNMAPPED",INDEX(Settings!$B$41:$B$50,MATCH(O1864,Settings!$A$41:$A$50,0))&amp;""),"UNMAPPED"))</f>
        <v/>
      </c>
      <c r="Q1864" s="38" t="n">
        <f aca="false">IF($M1864="",0,N(INDEX($A1864:$J1864,$Q$6)))</f>
        <v>0</v>
      </c>
      <c r="R1864" s="39" t="str">
        <f aca="false">IF($M1864="","",INDEX($A1864:$J1864,$R$6))</f>
        <v/>
      </c>
      <c r="S1864" s="37" t="str">
        <f aca="false">IF($M1864="","",IFERROR(INDEX(Settings!$B$27:$B$36,MATCH(L1864,Settings!$A$27:$A$36,0))&amp;"","UNMAPPED"))</f>
        <v/>
      </c>
      <c r="T1864" s="37" t="str">
        <f aca="false">IF($M1864="","",IF(NOT(ISNUMBER(R1864)),"NO DATE",IF(S1864="Won",IF(R1864&gt;Settings!$B$5,"Backlog","Delivered"),IF(S1864="Open",IF(R1864&gt;Settings!$B$5,"Pipeline","Overdue"),IF(S1864="Lost","Lost","UNMAPPED")))))</f>
        <v/>
      </c>
      <c r="U1864" s="40" t="n">
        <f aca="false">IF(T1864="Backlog",1,IF(OR(T1864="Pipeline",T1864="Overdue"),N(INDEX(Settings!$C$27:$C$36,MATCH(L1864,Settings!$A$27:$A$36,0))),0))</f>
        <v>0</v>
      </c>
      <c r="V1864" s="38" t="n">
        <f aca="false">Q1864*U1864</f>
        <v>0</v>
      </c>
      <c r="W1864" s="41" t="str">
        <f aca="false">IF($M1864="","",IF(T1864="Overdue",IF(Settings!$B$8="Yes",Settings!$B$7,""),IF(ISNUMBER(R1864),DATE(YEAR(R1864),MONTH(R1864),1),"")))</f>
        <v/>
      </c>
      <c r="X1864" s="38" t="n">
        <f aca="false">IF(AND(OR(T1864="Backlog",T1864="Pipeline",T1864="Overdue"),ISNUMBER(W1864)),IF(W1864&lt;=Settings!$B$6,V1864,0),0)</f>
        <v>0</v>
      </c>
      <c r="Y1864" s="38" t="n">
        <f aca="false">IF(AND(OR(T1864="Backlog",T1864="Pipeline",T1864="Overdue"),ISNUMBER(W1864)),IF(W1864&lt;=Settings!$B$6,Q1864,0),0)</f>
        <v>0</v>
      </c>
      <c r="Z1864" s="38" t="n">
        <f aca="false">IF(Y1864=0,0,IF(T1864="Backlog",Q1864,Q1864*Dashboard!$C$10))</f>
        <v>0</v>
      </c>
      <c r="AA1864" s="37" t="n">
        <f aca="false">IF($N1864="",0,IF(COUNTIF(Dashboard!$C$13:$C$22,$N1864)&gt;0,1,0))</f>
        <v>0</v>
      </c>
      <c r="AB1864" s="37" t="str">
        <f aca="false">IF($N1864="","",IF(COUNTIF($N$8:$N1864,$N1864)=1,MAX($AB$7:$AB1863)+1,""))</f>
        <v/>
      </c>
    </row>
    <row r="1865" customFormat="false" ht="15" hidden="false" customHeight="false" outlineLevel="0" collapsed="false">
      <c r="L1865" s="37" t="str">
        <f aca="false">IF(INDEX($A1865:$J1865,$L$6)&lt;&gt;"",TRIM(LEFT(INDEX($A1865:$J1865,$L$6),FIND("(",INDEX($A1865:$J1865,$L$6)&amp;"(")-1)),L1864)</f>
        <v>Building Value Proposition</v>
      </c>
      <c r="M1865" s="37" t="str">
        <f aca="false">IF(INDEX($A1865:$J1865,$M$6)="","",INDEX($A1865:$J1865,$M$6)&amp;"")</f>
        <v/>
      </c>
      <c r="N1865" s="37" t="str">
        <f aca="false">IF($M1865="","",TRIM(INDEX($A1865:$J1865,$N$6)&amp;""))</f>
        <v/>
      </c>
      <c r="O1865" s="37" t="str">
        <f aca="false">IF($M1865="","",TRIM(INDEX($A1865:$J1865,$O$6)&amp;""))</f>
        <v/>
      </c>
      <c r="P1865" s="37" t="str">
        <f aca="false">IF($M1865="","",IFERROR(IF(INDEX(Settings!$B$41:$B$50,MATCH(O1865,Settings!$A$41:$A$50,0))&amp;""="","UNMAPPED",INDEX(Settings!$B$41:$B$50,MATCH(O1865,Settings!$A$41:$A$50,0))&amp;""),"UNMAPPED"))</f>
        <v/>
      </c>
      <c r="Q1865" s="38" t="n">
        <f aca="false">IF($M1865="",0,N(INDEX($A1865:$J1865,$Q$6)))</f>
        <v>0</v>
      </c>
      <c r="R1865" s="39" t="str">
        <f aca="false">IF($M1865="","",INDEX($A1865:$J1865,$R$6))</f>
        <v/>
      </c>
      <c r="S1865" s="37" t="str">
        <f aca="false">IF($M1865="","",IFERROR(INDEX(Settings!$B$27:$B$36,MATCH(L1865,Settings!$A$27:$A$36,0))&amp;"","UNMAPPED"))</f>
        <v/>
      </c>
      <c r="T1865" s="37" t="str">
        <f aca="false">IF($M1865="","",IF(NOT(ISNUMBER(R1865)),"NO DATE",IF(S1865="Won",IF(R1865&gt;Settings!$B$5,"Backlog","Delivered"),IF(S1865="Open",IF(R1865&gt;Settings!$B$5,"Pipeline","Overdue"),IF(S1865="Lost","Lost","UNMAPPED")))))</f>
        <v/>
      </c>
      <c r="U1865" s="40" t="n">
        <f aca="false">IF(T1865="Backlog",1,IF(OR(T1865="Pipeline",T1865="Overdue"),N(INDEX(Settings!$C$27:$C$36,MATCH(L1865,Settings!$A$27:$A$36,0))),0))</f>
        <v>0</v>
      </c>
      <c r="V1865" s="38" t="n">
        <f aca="false">Q1865*U1865</f>
        <v>0</v>
      </c>
      <c r="W1865" s="41" t="str">
        <f aca="false">IF($M1865="","",IF(T1865="Overdue",IF(Settings!$B$8="Yes",Settings!$B$7,""),IF(ISNUMBER(R1865),DATE(YEAR(R1865),MONTH(R1865),1),"")))</f>
        <v/>
      </c>
      <c r="X1865" s="38" t="n">
        <f aca="false">IF(AND(OR(T1865="Backlog",T1865="Pipeline",T1865="Overdue"),ISNUMBER(W1865)),IF(W1865&lt;=Settings!$B$6,V1865,0),0)</f>
        <v>0</v>
      </c>
      <c r="Y1865" s="38" t="n">
        <f aca="false">IF(AND(OR(T1865="Backlog",T1865="Pipeline",T1865="Overdue"),ISNUMBER(W1865)),IF(W1865&lt;=Settings!$B$6,Q1865,0),0)</f>
        <v>0</v>
      </c>
      <c r="Z1865" s="38" t="n">
        <f aca="false">IF(Y1865=0,0,IF(T1865="Backlog",Q1865,Q1865*Dashboard!$C$10))</f>
        <v>0</v>
      </c>
      <c r="AA1865" s="37" t="n">
        <f aca="false">IF($N1865="",0,IF(COUNTIF(Dashboard!$C$13:$C$22,$N1865)&gt;0,1,0))</f>
        <v>0</v>
      </c>
      <c r="AB1865" s="37" t="str">
        <f aca="false">IF($N1865="","",IF(COUNTIF($N$8:$N1865,$N1865)=1,MAX($AB$7:$AB1864)+1,""))</f>
        <v/>
      </c>
    </row>
    <row r="1866" customFormat="false" ht="15" hidden="false" customHeight="false" outlineLevel="0" collapsed="false">
      <c r="L1866" s="37" t="str">
        <f aca="false">IF(INDEX($A1866:$J1866,$L$6)&lt;&gt;"",TRIM(LEFT(INDEX($A1866:$J1866,$L$6),FIND("(",INDEX($A1866:$J1866,$L$6)&amp;"(")-1)),L1865)</f>
        <v>Building Value Proposition</v>
      </c>
      <c r="M1866" s="37" t="str">
        <f aca="false">IF(INDEX($A1866:$J1866,$M$6)="","",INDEX($A1866:$J1866,$M$6)&amp;"")</f>
        <v/>
      </c>
      <c r="N1866" s="37" t="str">
        <f aca="false">IF($M1866="","",TRIM(INDEX($A1866:$J1866,$N$6)&amp;""))</f>
        <v/>
      </c>
      <c r="O1866" s="37" t="str">
        <f aca="false">IF($M1866="","",TRIM(INDEX($A1866:$J1866,$O$6)&amp;""))</f>
        <v/>
      </c>
      <c r="P1866" s="37" t="str">
        <f aca="false">IF($M1866="","",IFERROR(IF(INDEX(Settings!$B$41:$B$50,MATCH(O1866,Settings!$A$41:$A$50,0))&amp;""="","UNMAPPED",INDEX(Settings!$B$41:$B$50,MATCH(O1866,Settings!$A$41:$A$50,0))&amp;""),"UNMAPPED"))</f>
        <v/>
      </c>
      <c r="Q1866" s="38" t="n">
        <f aca="false">IF($M1866="",0,N(INDEX($A1866:$J1866,$Q$6)))</f>
        <v>0</v>
      </c>
      <c r="R1866" s="39" t="str">
        <f aca="false">IF($M1866="","",INDEX($A1866:$J1866,$R$6))</f>
        <v/>
      </c>
      <c r="S1866" s="37" t="str">
        <f aca="false">IF($M1866="","",IFERROR(INDEX(Settings!$B$27:$B$36,MATCH(L1866,Settings!$A$27:$A$36,0))&amp;"","UNMAPPED"))</f>
        <v/>
      </c>
      <c r="T1866" s="37" t="str">
        <f aca="false">IF($M1866="","",IF(NOT(ISNUMBER(R1866)),"NO DATE",IF(S1866="Won",IF(R1866&gt;Settings!$B$5,"Backlog","Delivered"),IF(S1866="Open",IF(R1866&gt;Settings!$B$5,"Pipeline","Overdue"),IF(S1866="Lost","Lost","UNMAPPED")))))</f>
        <v/>
      </c>
      <c r="U1866" s="40" t="n">
        <f aca="false">IF(T1866="Backlog",1,IF(OR(T1866="Pipeline",T1866="Overdue"),N(INDEX(Settings!$C$27:$C$36,MATCH(L1866,Settings!$A$27:$A$36,0))),0))</f>
        <v>0</v>
      </c>
      <c r="V1866" s="38" t="n">
        <f aca="false">Q1866*U1866</f>
        <v>0</v>
      </c>
      <c r="W1866" s="41" t="str">
        <f aca="false">IF($M1866="","",IF(T1866="Overdue",IF(Settings!$B$8="Yes",Settings!$B$7,""),IF(ISNUMBER(R1866),DATE(YEAR(R1866),MONTH(R1866),1),"")))</f>
        <v/>
      </c>
      <c r="X1866" s="38" t="n">
        <f aca="false">IF(AND(OR(T1866="Backlog",T1866="Pipeline",T1866="Overdue"),ISNUMBER(W1866)),IF(W1866&lt;=Settings!$B$6,V1866,0),0)</f>
        <v>0</v>
      </c>
      <c r="Y1866" s="38" t="n">
        <f aca="false">IF(AND(OR(T1866="Backlog",T1866="Pipeline",T1866="Overdue"),ISNUMBER(W1866)),IF(W1866&lt;=Settings!$B$6,Q1866,0),0)</f>
        <v>0</v>
      </c>
      <c r="Z1866" s="38" t="n">
        <f aca="false">IF(Y1866=0,0,IF(T1866="Backlog",Q1866,Q1866*Dashboard!$C$10))</f>
        <v>0</v>
      </c>
      <c r="AA1866" s="37" t="n">
        <f aca="false">IF($N1866="",0,IF(COUNTIF(Dashboard!$C$13:$C$22,$N1866)&gt;0,1,0))</f>
        <v>0</v>
      </c>
      <c r="AB1866" s="37" t="str">
        <f aca="false">IF($N1866="","",IF(COUNTIF($N$8:$N1866,$N1866)=1,MAX($AB$7:$AB1865)+1,""))</f>
        <v/>
      </c>
    </row>
    <row r="1867" customFormat="false" ht="15" hidden="false" customHeight="false" outlineLevel="0" collapsed="false">
      <c r="L1867" s="37" t="str">
        <f aca="false">IF(INDEX($A1867:$J1867,$L$6)&lt;&gt;"",TRIM(LEFT(INDEX($A1867:$J1867,$L$6),FIND("(",INDEX($A1867:$J1867,$L$6)&amp;"(")-1)),L1866)</f>
        <v>Building Value Proposition</v>
      </c>
      <c r="M1867" s="37" t="str">
        <f aca="false">IF(INDEX($A1867:$J1867,$M$6)="","",INDEX($A1867:$J1867,$M$6)&amp;"")</f>
        <v/>
      </c>
      <c r="N1867" s="37" t="str">
        <f aca="false">IF($M1867="","",TRIM(INDEX($A1867:$J1867,$N$6)&amp;""))</f>
        <v/>
      </c>
      <c r="O1867" s="37" t="str">
        <f aca="false">IF($M1867="","",TRIM(INDEX($A1867:$J1867,$O$6)&amp;""))</f>
        <v/>
      </c>
      <c r="P1867" s="37" t="str">
        <f aca="false">IF($M1867="","",IFERROR(IF(INDEX(Settings!$B$41:$B$50,MATCH(O1867,Settings!$A$41:$A$50,0))&amp;""="","UNMAPPED",INDEX(Settings!$B$41:$B$50,MATCH(O1867,Settings!$A$41:$A$50,0))&amp;""),"UNMAPPED"))</f>
        <v/>
      </c>
      <c r="Q1867" s="38" t="n">
        <f aca="false">IF($M1867="",0,N(INDEX($A1867:$J1867,$Q$6)))</f>
        <v>0</v>
      </c>
      <c r="R1867" s="39" t="str">
        <f aca="false">IF($M1867="","",INDEX($A1867:$J1867,$R$6))</f>
        <v/>
      </c>
      <c r="S1867" s="37" t="str">
        <f aca="false">IF($M1867="","",IFERROR(INDEX(Settings!$B$27:$B$36,MATCH(L1867,Settings!$A$27:$A$36,0))&amp;"","UNMAPPED"))</f>
        <v/>
      </c>
      <c r="T1867" s="37" t="str">
        <f aca="false">IF($M1867="","",IF(NOT(ISNUMBER(R1867)),"NO DATE",IF(S1867="Won",IF(R1867&gt;Settings!$B$5,"Backlog","Delivered"),IF(S1867="Open",IF(R1867&gt;Settings!$B$5,"Pipeline","Overdue"),IF(S1867="Lost","Lost","UNMAPPED")))))</f>
        <v/>
      </c>
      <c r="U1867" s="40" t="n">
        <f aca="false">IF(T1867="Backlog",1,IF(OR(T1867="Pipeline",T1867="Overdue"),N(INDEX(Settings!$C$27:$C$36,MATCH(L1867,Settings!$A$27:$A$36,0))),0))</f>
        <v>0</v>
      </c>
      <c r="V1867" s="38" t="n">
        <f aca="false">Q1867*U1867</f>
        <v>0</v>
      </c>
      <c r="W1867" s="41" t="str">
        <f aca="false">IF($M1867="","",IF(T1867="Overdue",IF(Settings!$B$8="Yes",Settings!$B$7,""),IF(ISNUMBER(R1867),DATE(YEAR(R1867),MONTH(R1867),1),"")))</f>
        <v/>
      </c>
      <c r="X1867" s="38" t="n">
        <f aca="false">IF(AND(OR(T1867="Backlog",T1867="Pipeline",T1867="Overdue"),ISNUMBER(W1867)),IF(W1867&lt;=Settings!$B$6,V1867,0),0)</f>
        <v>0</v>
      </c>
      <c r="Y1867" s="38" t="n">
        <f aca="false">IF(AND(OR(T1867="Backlog",T1867="Pipeline",T1867="Overdue"),ISNUMBER(W1867)),IF(W1867&lt;=Settings!$B$6,Q1867,0),0)</f>
        <v>0</v>
      </c>
      <c r="Z1867" s="38" t="n">
        <f aca="false">IF(Y1867=0,0,IF(T1867="Backlog",Q1867,Q1867*Dashboard!$C$10))</f>
        <v>0</v>
      </c>
      <c r="AA1867" s="37" t="n">
        <f aca="false">IF($N1867="",0,IF(COUNTIF(Dashboard!$C$13:$C$22,$N1867)&gt;0,1,0))</f>
        <v>0</v>
      </c>
      <c r="AB1867" s="37" t="str">
        <f aca="false">IF($N1867="","",IF(COUNTIF($N$8:$N1867,$N1867)=1,MAX($AB$7:$AB1866)+1,""))</f>
        <v/>
      </c>
    </row>
    <row r="1868" customFormat="false" ht="15" hidden="false" customHeight="false" outlineLevel="0" collapsed="false">
      <c r="L1868" s="37" t="str">
        <f aca="false">IF(INDEX($A1868:$J1868,$L$6)&lt;&gt;"",TRIM(LEFT(INDEX($A1868:$J1868,$L$6),FIND("(",INDEX($A1868:$J1868,$L$6)&amp;"(")-1)),L1867)</f>
        <v>Building Value Proposition</v>
      </c>
      <c r="M1868" s="37" t="str">
        <f aca="false">IF(INDEX($A1868:$J1868,$M$6)="","",INDEX($A1868:$J1868,$M$6)&amp;"")</f>
        <v/>
      </c>
      <c r="N1868" s="37" t="str">
        <f aca="false">IF($M1868="","",TRIM(INDEX($A1868:$J1868,$N$6)&amp;""))</f>
        <v/>
      </c>
      <c r="O1868" s="37" t="str">
        <f aca="false">IF($M1868="","",TRIM(INDEX($A1868:$J1868,$O$6)&amp;""))</f>
        <v/>
      </c>
      <c r="P1868" s="37" t="str">
        <f aca="false">IF($M1868="","",IFERROR(IF(INDEX(Settings!$B$41:$B$50,MATCH(O1868,Settings!$A$41:$A$50,0))&amp;""="","UNMAPPED",INDEX(Settings!$B$41:$B$50,MATCH(O1868,Settings!$A$41:$A$50,0))&amp;""),"UNMAPPED"))</f>
        <v/>
      </c>
      <c r="Q1868" s="38" t="n">
        <f aca="false">IF($M1868="",0,N(INDEX($A1868:$J1868,$Q$6)))</f>
        <v>0</v>
      </c>
      <c r="R1868" s="39" t="str">
        <f aca="false">IF($M1868="","",INDEX($A1868:$J1868,$R$6))</f>
        <v/>
      </c>
      <c r="S1868" s="37" t="str">
        <f aca="false">IF($M1868="","",IFERROR(INDEX(Settings!$B$27:$B$36,MATCH(L1868,Settings!$A$27:$A$36,0))&amp;"","UNMAPPED"))</f>
        <v/>
      </c>
      <c r="T1868" s="37" t="str">
        <f aca="false">IF($M1868="","",IF(NOT(ISNUMBER(R1868)),"NO DATE",IF(S1868="Won",IF(R1868&gt;Settings!$B$5,"Backlog","Delivered"),IF(S1868="Open",IF(R1868&gt;Settings!$B$5,"Pipeline","Overdue"),IF(S1868="Lost","Lost","UNMAPPED")))))</f>
        <v/>
      </c>
      <c r="U1868" s="40" t="n">
        <f aca="false">IF(T1868="Backlog",1,IF(OR(T1868="Pipeline",T1868="Overdue"),N(INDEX(Settings!$C$27:$C$36,MATCH(L1868,Settings!$A$27:$A$36,0))),0))</f>
        <v>0</v>
      </c>
      <c r="V1868" s="38" t="n">
        <f aca="false">Q1868*U1868</f>
        <v>0</v>
      </c>
      <c r="W1868" s="41" t="str">
        <f aca="false">IF($M1868="","",IF(T1868="Overdue",IF(Settings!$B$8="Yes",Settings!$B$7,""),IF(ISNUMBER(R1868),DATE(YEAR(R1868),MONTH(R1868),1),"")))</f>
        <v/>
      </c>
      <c r="X1868" s="38" t="n">
        <f aca="false">IF(AND(OR(T1868="Backlog",T1868="Pipeline",T1868="Overdue"),ISNUMBER(W1868)),IF(W1868&lt;=Settings!$B$6,V1868,0),0)</f>
        <v>0</v>
      </c>
      <c r="Y1868" s="38" t="n">
        <f aca="false">IF(AND(OR(T1868="Backlog",T1868="Pipeline",T1868="Overdue"),ISNUMBER(W1868)),IF(W1868&lt;=Settings!$B$6,Q1868,0),0)</f>
        <v>0</v>
      </c>
      <c r="Z1868" s="38" t="n">
        <f aca="false">IF(Y1868=0,0,IF(T1868="Backlog",Q1868,Q1868*Dashboard!$C$10))</f>
        <v>0</v>
      </c>
      <c r="AA1868" s="37" t="n">
        <f aca="false">IF($N1868="",0,IF(COUNTIF(Dashboard!$C$13:$C$22,$N1868)&gt;0,1,0))</f>
        <v>0</v>
      </c>
      <c r="AB1868" s="37" t="str">
        <f aca="false">IF($N1868="","",IF(COUNTIF($N$8:$N1868,$N1868)=1,MAX($AB$7:$AB1867)+1,""))</f>
        <v/>
      </c>
    </row>
    <row r="1869" customFormat="false" ht="15" hidden="false" customHeight="false" outlineLevel="0" collapsed="false">
      <c r="L1869" s="37" t="str">
        <f aca="false">IF(INDEX($A1869:$J1869,$L$6)&lt;&gt;"",TRIM(LEFT(INDEX($A1869:$J1869,$L$6),FIND("(",INDEX($A1869:$J1869,$L$6)&amp;"(")-1)),L1868)</f>
        <v>Building Value Proposition</v>
      </c>
      <c r="M1869" s="37" t="str">
        <f aca="false">IF(INDEX($A1869:$J1869,$M$6)="","",INDEX($A1869:$J1869,$M$6)&amp;"")</f>
        <v/>
      </c>
      <c r="N1869" s="37" t="str">
        <f aca="false">IF($M1869="","",TRIM(INDEX($A1869:$J1869,$N$6)&amp;""))</f>
        <v/>
      </c>
      <c r="O1869" s="37" t="str">
        <f aca="false">IF($M1869="","",TRIM(INDEX($A1869:$J1869,$O$6)&amp;""))</f>
        <v/>
      </c>
      <c r="P1869" s="37" t="str">
        <f aca="false">IF($M1869="","",IFERROR(IF(INDEX(Settings!$B$41:$B$50,MATCH(O1869,Settings!$A$41:$A$50,0))&amp;""="","UNMAPPED",INDEX(Settings!$B$41:$B$50,MATCH(O1869,Settings!$A$41:$A$50,0))&amp;""),"UNMAPPED"))</f>
        <v/>
      </c>
      <c r="Q1869" s="38" t="n">
        <f aca="false">IF($M1869="",0,N(INDEX($A1869:$J1869,$Q$6)))</f>
        <v>0</v>
      </c>
      <c r="R1869" s="39" t="str">
        <f aca="false">IF($M1869="","",INDEX($A1869:$J1869,$R$6))</f>
        <v/>
      </c>
      <c r="S1869" s="37" t="str">
        <f aca="false">IF($M1869="","",IFERROR(INDEX(Settings!$B$27:$B$36,MATCH(L1869,Settings!$A$27:$A$36,0))&amp;"","UNMAPPED"))</f>
        <v/>
      </c>
      <c r="T1869" s="37" t="str">
        <f aca="false">IF($M1869="","",IF(NOT(ISNUMBER(R1869)),"NO DATE",IF(S1869="Won",IF(R1869&gt;Settings!$B$5,"Backlog","Delivered"),IF(S1869="Open",IF(R1869&gt;Settings!$B$5,"Pipeline","Overdue"),IF(S1869="Lost","Lost","UNMAPPED")))))</f>
        <v/>
      </c>
      <c r="U1869" s="40" t="n">
        <f aca="false">IF(T1869="Backlog",1,IF(OR(T1869="Pipeline",T1869="Overdue"),N(INDEX(Settings!$C$27:$C$36,MATCH(L1869,Settings!$A$27:$A$36,0))),0))</f>
        <v>0</v>
      </c>
      <c r="V1869" s="38" t="n">
        <f aca="false">Q1869*U1869</f>
        <v>0</v>
      </c>
      <c r="W1869" s="41" t="str">
        <f aca="false">IF($M1869="","",IF(T1869="Overdue",IF(Settings!$B$8="Yes",Settings!$B$7,""),IF(ISNUMBER(R1869),DATE(YEAR(R1869),MONTH(R1869),1),"")))</f>
        <v/>
      </c>
      <c r="X1869" s="38" t="n">
        <f aca="false">IF(AND(OR(T1869="Backlog",T1869="Pipeline",T1869="Overdue"),ISNUMBER(W1869)),IF(W1869&lt;=Settings!$B$6,V1869,0),0)</f>
        <v>0</v>
      </c>
      <c r="Y1869" s="38" t="n">
        <f aca="false">IF(AND(OR(T1869="Backlog",T1869="Pipeline",T1869="Overdue"),ISNUMBER(W1869)),IF(W1869&lt;=Settings!$B$6,Q1869,0),0)</f>
        <v>0</v>
      </c>
      <c r="Z1869" s="38" t="n">
        <f aca="false">IF(Y1869=0,0,IF(T1869="Backlog",Q1869,Q1869*Dashboard!$C$10))</f>
        <v>0</v>
      </c>
      <c r="AA1869" s="37" t="n">
        <f aca="false">IF($N1869="",0,IF(COUNTIF(Dashboard!$C$13:$C$22,$N1869)&gt;0,1,0))</f>
        <v>0</v>
      </c>
      <c r="AB1869" s="37" t="str">
        <f aca="false">IF($N1869="","",IF(COUNTIF($N$8:$N1869,$N1869)=1,MAX($AB$7:$AB1868)+1,""))</f>
        <v/>
      </c>
    </row>
    <row r="1870" customFormat="false" ht="15" hidden="false" customHeight="false" outlineLevel="0" collapsed="false">
      <c r="L1870" s="37" t="str">
        <f aca="false">IF(INDEX($A1870:$J1870,$L$6)&lt;&gt;"",TRIM(LEFT(INDEX($A1870:$J1870,$L$6),FIND("(",INDEX($A1870:$J1870,$L$6)&amp;"(")-1)),L1869)</f>
        <v>Building Value Proposition</v>
      </c>
      <c r="M1870" s="37" t="str">
        <f aca="false">IF(INDEX($A1870:$J1870,$M$6)="","",INDEX($A1870:$J1870,$M$6)&amp;"")</f>
        <v/>
      </c>
      <c r="N1870" s="37" t="str">
        <f aca="false">IF($M1870="","",TRIM(INDEX($A1870:$J1870,$N$6)&amp;""))</f>
        <v/>
      </c>
      <c r="O1870" s="37" t="str">
        <f aca="false">IF($M1870="","",TRIM(INDEX($A1870:$J1870,$O$6)&amp;""))</f>
        <v/>
      </c>
      <c r="P1870" s="37" t="str">
        <f aca="false">IF($M1870="","",IFERROR(IF(INDEX(Settings!$B$41:$B$50,MATCH(O1870,Settings!$A$41:$A$50,0))&amp;""="","UNMAPPED",INDEX(Settings!$B$41:$B$50,MATCH(O1870,Settings!$A$41:$A$50,0))&amp;""),"UNMAPPED"))</f>
        <v/>
      </c>
      <c r="Q1870" s="38" t="n">
        <f aca="false">IF($M1870="",0,N(INDEX($A1870:$J1870,$Q$6)))</f>
        <v>0</v>
      </c>
      <c r="R1870" s="39" t="str">
        <f aca="false">IF($M1870="","",INDEX($A1870:$J1870,$R$6))</f>
        <v/>
      </c>
      <c r="S1870" s="37" t="str">
        <f aca="false">IF($M1870="","",IFERROR(INDEX(Settings!$B$27:$B$36,MATCH(L1870,Settings!$A$27:$A$36,0))&amp;"","UNMAPPED"))</f>
        <v/>
      </c>
      <c r="T1870" s="37" t="str">
        <f aca="false">IF($M1870="","",IF(NOT(ISNUMBER(R1870)),"NO DATE",IF(S1870="Won",IF(R1870&gt;Settings!$B$5,"Backlog","Delivered"),IF(S1870="Open",IF(R1870&gt;Settings!$B$5,"Pipeline","Overdue"),IF(S1870="Lost","Lost","UNMAPPED")))))</f>
        <v/>
      </c>
      <c r="U1870" s="40" t="n">
        <f aca="false">IF(T1870="Backlog",1,IF(OR(T1870="Pipeline",T1870="Overdue"),N(INDEX(Settings!$C$27:$C$36,MATCH(L1870,Settings!$A$27:$A$36,0))),0))</f>
        <v>0</v>
      </c>
      <c r="V1870" s="38" t="n">
        <f aca="false">Q1870*U1870</f>
        <v>0</v>
      </c>
      <c r="W1870" s="41" t="str">
        <f aca="false">IF($M1870="","",IF(T1870="Overdue",IF(Settings!$B$8="Yes",Settings!$B$7,""),IF(ISNUMBER(R1870),DATE(YEAR(R1870),MONTH(R1870),1),"")))</f>
        <v/>
      </c>
      <c r="X1870" s="38" t="n">
        <f aca="false">IF(AND(OR(T1870="Backlog",T1870="Pipeline",T1870="Overdue"),ISNUMBER(W1870)),IF(W1870&lt;=Settings!$B$6,V1870,0),0)</f>
        <v>0</v>
      </c>
      <c r="Y1870" s="38" t="n">
        <f aca="false">IF(AND(OR(T1870="Backlog",T1870="Pipeline",T1870="Overdue"),ISNUMBER(W1870)),IF(W1870&lt;=Settings!$B$6,Q1870,0),0)</f>
        <v>0</v>
      </c>
      <c r="Z1870" s="38" t="n">
        <f aca="false">IF(Y1870=0,0,IF(T1870="Backlog",Q1870,Q1870*Dashboard!$C$10))</f>
        <v>0</v>
      </c>
      <c r="AA1870" s="37" t="n">
        <f aca="false">IF($N1870="",0,IF(COUNTIF(Dashboard!$C$13:$C$22,$N1870)&gt;0,1,0))</f>
        <v>0</v>
      </c>
      <c r="AB1870" s="37" t="str">
        <f aca="false">IF($N1870="","",IF(COUNTIF($N$8:$N1870,$N1870)=1,MAX($AB$7:$AB1869)+1,""))</f>
        <v/>
      </c>
    </row>
    <row r="1871" customFormat="false" ht="15" hidden="false" customHeight="false" outlineLevel="0" collapsed="false">
      <c r="L1871" s="37" t="str">
        <f aca="false">IF(INDEX($A1871:$J1871,$L$6)&lt;&gt;"",TRIM(LEFT(INDEX($A1871:$J1871,$L$6),FIND("(",INDEX($A1871:$J1871,$L$6)&amp;"(")-1)),L1870)</f>
        <v>Building Value Proposition</v>
      </c>
      <c r="M1871" s="37" t="str">
        <f aca="false">IF(INDEX($A1871:$J1871,$M$6)="","",INDEX($A1871:$J1871,$M$6)&amp;"")</f>
        <v/>
      </c>
      <c r="N1871" s="37" t="str">
        <f aca="false">IF($M1871="","",TRIM(INDEX($A1871:$J1871,$N$6)&amp;""))</f>
        <v/>
      </c>
      <c r="O1871" s="37" t="str">
        <f aca="false">IF($M1871="","",TRIM(INDEX($A1871:$J1871,$O$6)&amp;""))</f>
        <v/>
      </c>
      <c r="P1871" s="37" t="str">
        <f aca="false">IF($M1871="","",IFERROR(IF(INDEX(Settings!$B$41:$B$50,MATCH(O1871,Settings!$A$41:$A$50,0))&amp;""="","UNMAPPED",INDEX(Settings!$B$41:$B$50,MATCH(O1871,Settings!$A$41:$A$50,0))&amp;""),"UNMAPPED"))</f>
        <v/>
      </c>
      <c r="Q1871" s="38" t="n">
        <f aca="false">IF($M1871="",0,N(INDEX($A1871:$J1871,$Q$6)))</f>
        <v>0</v>
      </c>
      <c r="R1871" s="39" t="str">
        <f aca="false">IF($M1871="","",INDEX($A1871:$J1871,$R$6))</f>
        <v/>
      </c>
      <c r="S1871" s="37" t="str">
        <f aca="false">IF($M1871="","",IFERROR(INDEX(Settings!$B$27:$B$36,MATCH(L1871,Settings!$A$27:$A$36,0))&amp;"","UNMAPPED"))</f>
        <v/>
      </c>
      <c r="T1871" s="37" t="str">
        <f aca="false">IF($M1871="","",IF(NOT(ISNUMBER(R1871)),"NO DATE",IF(S1871="Won",IF(R1871&gt;Settings!$B$5,"Backlog","Delivered"),IF(S1871="Open",IF(R1871&gt;Settings!$B$5,"Pipeline","Overdue"),IF(S1871="Lost","Lost","UNMAPPED")))))</f>
        <v/>
      </c>
      <c r="U1871" s="40" t="n">
        <f aca="false">IF(T1871="Backlog",1,IF(OR(T1871="Pipeline",T1871="Overdue"),N(INDEX(Settings!$C$27:$C$36,MATCH(L1871,Settings!$A$27:$A$36,0))),0))</f>
        <v>0</v>
      </c>
      <c r="V1871" s="38" t="n">
        <f aca="false">Q1871*U1871</f>
        <v>0</v>
      </c>
      <c r="W1871" s="41" t="str">
        <f aca="false">IF($M1871="","",IF(T1871="Overdue",IF(Settings!$B$8="Yes",Settings!$B$7,""),IF(ISNUMBER(R1871),DATE(YEAR(R1871),MONTH(R1871),1),"")))</f>
        <v/>
      </c>
      <c r="X1871" s="38" t="n">
        <f aca="false">IF(AND(OR(T1871="Backlog",T1871="Pipeline",T1871="Overdue"),ISNUMBER(W1871)),IF(W1871&lt;=Settings!$B$6,V1871,0),0)</f>
        <v>0</v>
      </c>
      <c r="Y1871" s="38" t="n">
        <f aca="false">IF(AND(OR(T1871="Backlog",T1871="Pipeline",T1871="Overdue"),ISNUMBER(W1871)),IF(W1871&lt;=Settings!$B$6,Q1871,0),0)</f>
        <v>0</v>
      </c>
      <c r="Z1871" s="38" t="n">
        <f aca="false">IF(Y1871=0,0,IF(T1871="Backlog",Q1871,Q1871*Dashboard!$C$10))</f>
        <v>0</v>
      </c>
      <c r="AA1871" s="37" t="n">
        <f aca="false">IF($N1871="",0,IF(COUNTIF(Dashboard!$C$13:$C$22,$N1871)&gt;0,1,0))</f>
        <v>0</v>
      </c>
      <c r="AB1871" s="37" t="str">
        <f aca="false">IF($N1871="","",IF(COUNTIF($N$8:$N1871,$N1871)=1,MAX($AB$7:$AB1870)+1,""))</f>
        <v/>
      </c>
    </row>
    <row r="1872" customFormat="false" ht="15" hidden="false" customHeight="false" outlineLevel="0" collapsed="false">
      <c r="L1872" s="37" t="str">
        <f aca="false">IF(INDEX($A1872:$J1872,$L$6)&lt;&gt;"",TRIM(LEFT(INDEX($A1872:$J1872,$L$6),FIND("(",INDEX($A1872:$J1872,$L$6)&amp;"(")-1)),L1871)</f>
        <v>Building Value Proposition</v>
      </c>
      <c r="M1872" s="37" t="str">
        <f aca="false">IF(INDEX($A1872:$J1872,$M$6)="","",INDEX($A1872:$J1872,$M$6)&amp;"")</f>
        <v/>
      </c>
      <c r="N1872" s="37" t="str">
        <f aca="false">IF($M1872="","",TRIM(INDEX($A1872:$J1872,$N$6)&amp;""))</f>
        <v/>
      </c>
      <c r="O1872" s="37" t="str">
        <f aca="false">IF($M1872="","",TRIM(INDEX($A1872:$J1872,$O$6)&amp;""))</f>
        <v/>
      </c>
      <c r="P1872" s="37" t="str">
        <f aca="false">IF($M1872="","",IFERROR(IF(INDEX(Settings!$B$41:$B$50,MATCH(O1872,Settings!$A$41:$A$50,0))&amp;""="","UNMAPPED",INDEX(Settings!$B$41:$B$50,MATCH(O1872,Settings!$A$41:$A$50,0))&amp;""),"UNMAPPED"))</f>
        <v/>
      </c>
      <c r="Q1872" s="38" t="n">
        <f aca="false">IF($M1872="",0,N(INDEX($A1872:$J1872,$Q$6)))</f>
        <v>0</v>
      </c>
      <c r="R1872" s="39" t="str">
        <f aca="false">IF($M1872="","",INDEX($A1872:$J1872,$R$6))</f>
        <v/>
      </c>
      <c r="S1872" s="37" t="str">
        <f aca="false">IF($M1872="","",IFERROR(INDEX(Settings!$B$27:$B$36,MATCH(L1872,Settings!$A$27:$A$36,0))&amp;"","UNMAPPED"))</f>
        <v/>
      </c>
      <c r="T1872" s="37" t="str">
        <f aca="false">IF($M1872="","",IF(NOT(ISNUMBER(R1872)),"NO DATE",IF(S1872="Won",IF(R1872&gt;Settings!$B$5,"Backlog","Delivered"),IF(S1872="Open",IF(R1872&gt;Settings!$B$5,"Pipeline","Overdue"),IF(S1872="Lost","Lost","UNMAPPED")))))</f>
        <v/>
      </c>
      <c r="U1872" s="40" t="n">
        <f aca="false">IF(T1872="Backlog",1,IF(OR(T1872="Pipeline",T1872="Overdue"),N(INDEX(Settings!$C$27:$C$36,MATCH(L1872,Settings!$A$27:$A$36,0))),0))</f>
        <v>0</v>
      </c>
      <c r="V1872" s="38" t="n">
        <f aca="false">Q1872*U1872</f>
        <v>0</v>
      </c>
      <c r="W1872" s="41" t="str">
        <f aca="false">IF($M1872="","",IF(T1872="Overdue",IF(Settings!$B$8="Yes",Settings!$B$7,""),IF(ISNUMBER(R1872),DATE(YEAR(R1872),MONTH(R1872),1),"")))</f>
        <v/>
      </c>
      <c r="X1872" s="38" t="n">
        <f aca="false">IF(AND(OR(T1872="Backlog",T1872="Pipeline",T1872="Overdue"),ISNUMBER(W1872)),IF(W1872&lt;=Settings!$B$6,V1872,0),0)</f>
        <v>0</v>
      </c>
      <c r="Y1872" s="38" t="n">
        <f aca="false">IF(AND(OR(T1872="Backlog",T1872="Pipeline",T1872="Overdue"),ISNUMBER(W1872)),IF(W1872&lt;=Settings!$B$6,Q1872,0),0)</f>
        <v>0</v>
      </c>
      <c r="Z1872" s="38" t="n">
        <f aca="false">IF(Y1872=0,0,IF(T1872="Backlog",Q1872,Q1872*Dashboard!$C$10))</f>
        <v>0</v>
      </c>
      <c r="AA1872" s="37" t="n">
        <f aca="false">IF($N1872="",0,IF(COUNTIF(Dashboard!$C$13:$C$22,$N1872)&gt;0,1,0))</f>
        <v>0</v>
      </c>
      <c r="AB1872" s="37" t="str">
        <f aca="false">IF($N1872="","",IF(COUNTIF($N$8:$N1872,$N1872)=1,MAX($AB$7:$AB1871)+1,""))</f>
        <v/>
      </c>
    </row>
    <row r="1873" customFormat="false" ht="15" hidden="false" customHeight="false" outlineLevel="0" collapsed="false">
      <c r="L1873" s="37" t="str">
        <f aca="false">IF(INDEX($A1873:$J1873,$L$6)&lt;&gt;"",TRIM(LEFT(INDEX($A1873:$J1873,$L$6),FIND("(",INDEX($A1873:$J1873,$L$6)&amp;"(")-1)),L1872)</f>
        <v>Building Value Proposition</v>
      </c>
      <c r="M1873" s="37" t="str">
        <f aca="false">IF(INDEX($A1873:$J1873,$M$6)="","",INDEX($A1873:$J1873,$M$6)&amp;"")</f>
        <v/>
      </c>
      <c r="N1873" s="37" t="str">
        <f aca="false">IF($M1873="","",TRIM(INDEX($A1873:$J1873,$N$6)&amp;""))</f>
        <v/>
      </c>
      <c r="O1873" s="37" t="str">
        <f aca="false">IF($M1873="","",TRIM(INDEX($A1873:$J1873,$O$6)&amp;""))</f>
        <v/>
      </c>
      <c r="P1873" s="37" t="str">
        <f aca="false">IF($M1873="","",IFERROR(IF(INDEX(Settings!$B$41:$B$50,MATCH(O1873,Settings!$A$41:$A$50,0))&amp;""="","UNMAPPED",INDEX(Settings!$B$41:$B$50,MATCH(O1873,Settings!$A$41:$A$50,0))&amp;""),"UNMAPPED"))</f>
        <v/>
      </c>
      <c r="Q1873" s="38" t="n">
        <f aca="false">IF($M1873="",0,N(INDEX($A1873:$J1873,$Q$6)))</f>
        <v>0</v>
      </c>
      <c r="R1873" s="39" t="str">
        <f aca="false">IF($M1873="","",INDEX($A1873:$J1873,$R$6))</f>
        <v/>
      </c>
      <c r="S1873" s="37" t="str">
        <f aca="false">IF($M1873="","",IFERROR(INDEX(Settings!$B$27:$B$36,MATCH(L1873,Settings!$A$27:$A$36,0))&amp;"","UNMAPPED"))</f>
        <v/>
      </c>
      <c r="T1873" s="37" t="str">
        <f aca="false">IF($M1873="","",IF(NOT(ISNUMBER(R1873)),"NO DATE",IF(S1873="Won",IF(R1873&gt;Settings!$B$5,"Backlog","Delivered"),IF(S1873="Open",IF(R1873&gt;Settings!$B$5,"Pipeline","Overdue"),IF(S1873="Lost","Lost","UNMAPPED")))))</f>
        <v/>
      </c>
      <c r="U1873" s="40" t="n">
        <f aca="false">IF(T1873="Backlog",1,IF(OR(T1873="Pipeline",T1873="Overdue"),N(INDEX(Settings!$C$27:$C$36,MATCH(L1873,Settings!$A$27:$A$36,0))),0))</f>
        <v>0</v>
      </c>
      <c r="V1873" s="38" t="n">
        <f aca="false">Q1873*U1873</f>
        <v>0</v>
      </c>
      <c r="W1873" s="41" t="str">
        <f aca="false">IF($M1873="","",IF(T1873="Overdue",IF(Settings!$B$8="Yes",Settings!$B$7,""),IF(ISNUMBER(R1873),DATE(YEAR(R1873),MONTH(R1873),1),"")))</f>
        <v/>
      </c>
      <c r="X1873" s="38" t="n">
        <f aca="false">IF(AND(OR(T1873="Backlog",T1873="Pipeline",T1873="Overdue"),ISNUMBER(W1873)),IF(W1873&lt;=Settings!$B$6,V1873,0),0)</f>
        <v>0</v>
      </c>
      <c r="Y1873" s="38" t="n">
        <f aca="false">IF(AND(OR(T1873="Backlog",T1873="Pipeline",T1873="Overdue"),ISNUMBER(W1873)),IF(W1873&lt;=Settings!$B$6,Q1873,0),0)</f>
        <v>0</v>
      </c>
      <c r="Z1873" s="38" t="n">
        <f aca="false">IF(Y1873=0,0,IF(T1873="Backlog",Q1873,Q1873*Dashboard!$C$10))</f>
        <v>0</v>
      </c>
      <c r="AA1873" s="37" t="n">
        <f aca="false">IF($N1873="",0,IF(COUNTIF(Dashboard!$C$13:$C$22,$N1873)&gt;0,1,0))</f>
        <v>0</v>
      </c>
      <c r="AB1873" s="37" t="str">
        <f aca="false">IF($N1873="","",IF(COUNTIF($N$8:$N1873,$N1873)=1,MAX($AB$7:$AB1872)+1,""))</f>
        <v/>
      </c>
    </row>
    <row r="1874" customFormat="false" ht="15" hidden="false" customHeight="false" outlineLevel="0" collapsed="false">
      <c r="L1874" s="37" t="str">
        <f aca="false">IF(INDEX($A1874:$J1874,$L$6)&lt;&gt;"",TRIM(LEFT(INDEX($A1874:$J1874,$L$6),FIND("(",INDEX($A1874:$J1874,$L$6)&amp;"(")-1)),L1873)</f>
        <v>Building Value Proposition</v>
      </c>
      <c r="M1874" s="37" t="str">
        <f aca="false">IF(INDEX($A1874:$J1874,$M$6)="","",INDEX($A1874:$J1874,$M$6)&amp;"")</f>
        <v/>
      </c>
      <c r="N1874" s="37" t="str">
        <f aca="false">IF($M1874="","",TRIM(INDEX($A1874:$J1874,$N$6)&amp;""))</f>
        <v/>
      </c>
      <c r="O1874" s="37" t="str">
        <f aca="false">IF($M1874="","",TRIM(INDEX($A1874:$J1874,$O$6)&amp;""))</f>
        <v/>
      </c>
      <c r="P1874" s="37" t="str">
        <f aca="false">IF($M1874="","",IFERROR(IF(INDEX(Settings!$B$41:$B$50,MATCH(O1874,Settings!$A$41:$A$50,0))&amp;""="","UNMAPPED",INDEX(Settings!$B$41:$B$50,MATCH(O1874,Settings!$A$41:$A$50,0))&amp;""),"UNMAPPED"))</f>
        <v/>
      </c>
      <c r="Q1874" s="38" t="n">
        <f aca="false">IF($M1874="",0,N(INDEX($A1874:$J1874,$Q$6)))</f>
        <v>0</v>
      </c>
      <c r="R1874" s="39" t="str">
        <f aca="false">IF($M1874="","",INDEX($A1874:$J1874,$R$6))</f>
        <v/>
      </c>
      <c r="S1874" s="37" t="str">
        <f aca="false">IF($M1874="","",IFERROR(INDEX(Settings!$B$27:$B$36,MATCH(L1874,Settings!$A$27:$A$36,0))&amp;"","UNMAPPED"))</f>
        <v/>
      </c>
      <c r="T1874" s="37" t="str">
        <f aca="false">IF($M1874="","",IF(NOT(ISNUMBER(R1874)),"NO DATE",IF(S1874="Won",IF(R1874&gt;Settings!$B$5,"Backlog","Delivered"),IF(S1874="Open",IF(R1874&gt;Settings!$B$5,"Pipeline","Overdue"),IF(S1874="Lost","Lost","UNMAPPED")))))</f>
        <v/>
      </c>
      <c r="U1874" s="40" t="n">
        <f aca="false">IF(T1874="Backlog",1,IF(OR(T1874="Pipeline",T1874="Overdue"),N(INDEX(Settings!$C$27:$C$36,MATCH(L1874,Settings!$A$27:$A$36,0))),0))</f>
        <v>0</v>
      </c>
      <c r="V1874" s="38" t="n">
        <f aca="false">Q1874*U1874</f>
        <v>0</v>
      </c>
      <c r="W1874" s="41" t="str">
        <f aca="false">IF($M1874="","",IF(T1874="Overdue",IF(Settings!$B$8="Yes",Settings!$B$7,""),IF(ISNUMBER(R1874),DATE(YEAR(R1874),MONTH(R1874),1),"")))</f>
        <v/>
      </c>
      <c r="X1874" s="38" t="n">
        <f aca="false">IF(AND(OR(T1874="Backlog",T1874="Pipeline",T1874="Overdue"),ISNUMBER(W1874)),IF(W1874&lt;=Settings!$B$6,V1874,0),0)</f>
        <v>0</v>
      </c>
      <c r="Y1874" s="38" t="n">
        <f aca="false">IF(AND(OR(T1874="Backlog",T1874="Pipeline",T1874="Overdue"),ISNUMBER(W1874)),IF(W1874&lt;=Settings!$B$6,Q1874,0),0)</f>
        <v>0</v>
      </c>
      <c r="Z1874" s="38" t="n">
        <f aca="false">IF(Y1874=0,0,IF(T1874="Backlog",Q1874,Q1874*Dashboard!$C$10))</f>
        <v>0</v>
      </c>
      <c r="AA1874" s="37" t="n">
        <f aca="false">IF($N1874="",0,IF(COUNTIF(Dashboard!$C$13:$C$22,$N1874)&gt;0,1,0))</f>
        <v>0</v>
      </c>
      <c r="AB1874" s="37" t="str">
        <f aca="false">IF($N1874="","",IF(COUNTIF($N$8:$N1874,$N1874)=1,MAX($AB$7:$AB1873)+1,""))</f>
        <v/>
      </c>
    </row>
    <row r="1875" customFormat="false" ht="15" hidden="false" customHeight="false" outlineLevel="0" collapsed="false">
      <c r="L1875" s="37" t="str">
        <f aca="false">IF(INDEX($A1875:$J1875,$L$6)&lt;&gt;"",TRIM(LEFT(INDEX($A1875:$J1875,$L$6),FIND("(",INDEX($A1875:$J1875,$L$6)&amp;"(")-1)),L1874)</f>
        <v>Building Value Proposition</v>
      </c>
      <c r="M1875" s="37" t="str">
        <f aca="false">IF(INDEX($A1875:$J1875,$M$6)="","",INDEX($A1875:$J1875,$M$6)&amp;"")</f>
        <v/>
      </c>
      <c r="N1875" s="37" t="str">
        <f aca="false">IF($M1875="","",TRIM(INDEX($A1875:$J1875,$N$6)&amp;""))</f>
        <v/>
      </c>
      <c r="O1875" s="37" t="str">
        <f aca="false">IF($M1875="","",TRIM(INDEX($A1875:$J1875,$O$6)&amp;""))</f>
        <v/>
      </c>
      <c r="P1875" s="37" t="str">
        <f aca="false">IF($M1875="","",IFERROR(IF(INDEX(Settings!$B$41:$B$50,MATCH(O1875,Settings!$A$41:$A$50,0))&amp;""="","UNMAPPED",INDEX(Settings!$B$41:$B$50,MATCH(O1875,Settings!$A$41:$A$50,0))&amp;""),"UNMAPPED"))</f>
        <v/>
      </c>
      <c r="Q1875" s="38" t="n">
        <f aca="false">IF($M1875="",0,N(INDEX($A1875:$J1875,$Q$6)))</f>
        <v>0</v>
      </c>
      <c r="R1875" s="39" t="str">
        <f aca="false">IF($M1875="","",INDEX($A1875:$J1875,$R$6))</f>
        <v/>
      </c>
      <c r="S1875" s="37" t="str">
        <f aca="false">IF($M1875="","",IFERROR(INDEX(Settings!$B$27:$B$36,MATCH(L1875,Settings!$A$27:$A$36,0))&amp;"","UNMAPPED"))</f>
        <v/>
      </c>
      <c r="T1875" s="37" t="str">
        <f aca="false">IF($M1875="","",IF(NOT(ISNUMBER(R1875)),"NO DATE",IF(S1875="Won",IF(R1875&gt;Settings!$B$5,"Backlog","Delivered"),IF(S1875="Open",IF(R1875&gt;Settings!$B$5,"Pipeline","Overdue"),IF(S1875="Lost","Lost","UNMAPPED")))))</f>
        <v/>
      </c>
      <c r="U1875" s="40" t="n">
        <f aca="false">IF(T1875="Backlog",1,IF(OR(T1875="Pipeline",T1875="Overdue"),N(INDEX(Settings!$C$27:$C$36,MATCH(L1875,Settings!$A$27:$A$36,0))),0))</f>
        <v>0</v>
      </c>
      <c r="V1875" s="38" t="n">
        <f aca="false">Q1875*U1875</f>
        <v>0</v>
      </c>
      <c r="W1875" s="41" t="str">
        <f aca="false">IF($M1875="","",IF(T1875="Overdue",IF(Settings!$B$8="Yes",Settings!$B$7,""),IF(ISNUMBER(R1875),DATE(YEAR(R1875),MONTH(R1875),1),"")))</f>
        <v/>
      </c>
      <c r="X1875" s="38" t="n">
        <f aca="false">IF(AND(OR(T1875="Backlog",T1875="Pipeline",T1875="Overdue"),ISNUMBER(W1875)),IF(W1875&lt;=Settings!$B$6,V1875,0),0)</f>
        <v>0</v>
      </c>
      <c r="Y1875" s="38" t="n">
        <f aca="false">IF(AND(OR(T1875="Backlog",T1875="Pipeline",T1875="Overdue"),ISNUMBER(W1875)),IF(W1875&lt;=Settings!$B$6,Q1875,0),0)</f>
        <v>0</v>
      </c>
      <c r="Z1875" s="38" t="n">
        <f aca="false">IF(Y1875=0,0,IF(T1875="Backlog",Q1875,Q1875*Dashboard!$C$10))</f>
        <v>0</v>
      </c>
      <c r="AA1875" s="37" t="n">
        <f aca="false">IF($N1875="",0,IF(COUNTIF(Dashboard!$C$13:$C$22,$N1875)&gt;0,1,0))</f>
        <v>0</v>
      </c>
      <c r="AB1875" s="37" t="str">
        <f aca="false">IF($N1875="","",IF(COUNTIF($N$8:$N1875,$N1875)=1,MAX($AB$7:$AB1874)+1,""))</f>
        <v/>
      </c>
    </row>
    <row r="1876" customFormat="false" ht="15" hidden="false" customHeight="false" outlineLevel="0" collapsed="false">
      <c r="L1876" s="37" t="str">
        <f aca="false">IF(INDEX($A1876:$J1876,$L$6)&lt;&gt;"",TRIM(LEFT(INDEX($A1876:$J1876,$L$6),FIND("(",INDEX($A1876:$J1876,$L$6)&amp;"(")-1)),L1875)</f>
        <v>Building Value Proposition</v>
      </c>
      <c r="M1876" s="37" t="str">
        <f aca="false">IF(INDEX($A1876:$J1876,$M$6)="","",INDEX($A1876:$J1876,$M$6)&amp;"")</f>
        <v/>
      </c>
      <c r="N1876" s="37" t="str">
        <f aca="false">IF($M1876="","",TRIM(INDEX($A1876:$J1876,$N$6)&amp;""))</f>
        <v/>
      </c>
      <c r="O1876" s="37" t="str">
        <f aca="false">IF($M1876="","",TRIM(INDEX($A1876:$J1876,$O$6)&amp;""))</f>
        <v/>
      </c>
      <c r="P1876" s="37" t="str">
        <f aca="false">IF($M1876="","",IFERROR(IF(INDEX(Settings!$B$41:$B$50,MATCH(O1876,Settings!$A$41:$A$50,0))&amp;""="","UNMAPPED",INDEX(Settings!$B$41:$B$50,MATCH(O1876,Settings!$A$41:$A$50,0))&amp;""),"UNMAPPED"))</f>
        <v/>
      </c>
      <c r="Q1876" s="38" t="n">
        <f aca="false">IF($M1876="",0,N(INDEX($A1876:$J1876,$Q$6)))</f>
        <v>0</v>
      </c>
      <c r="R1876" s="39" t="str">
        <f aca="false">IF($M1876="","",INDEX($A1876:$J1876,$R$6))</f>
        <v/>
      </c>
      <c r="S1876" s="37" t="str">
        <f aca="false">IF($M1876="","",IFERROR(INDEX(Settings!$B$27:$B$36,MATCH(L1876,Settings!$A$27:$A$36,0))&amp;"","UNMAPPED"))</f>
        <v/>
      </c>
      <c r="T1876" s="37" t="str">
        <f aca="false">IF($M1876="","",IF(NOT(ISNUMBER(R1876)),"NO DATE",IF(S1876="Won",IF(R1876&gt;Settings!$B$5,"Backlog","Delivered"),IF(S1876="Open",IF(R1876&gt;Settings!$B$5,"Pipeline","Overdue"),IF(S1876="Lost","Lost","UNMAPPED")))))</f>
        <v/>
      </c>
      <c r="U1876" s="40" t="n">
        <f aca="false">IF(T1876="Backlog",1,IF(OR(T1876="Pipeline",T1876="Overdue"),N(INDEX(Settings!$C$27:$C$36,MATCH(L1876,Settings!$A$27:$A$36,0))),0))</f>
        <v>0</v>
      </c>
      <c r="V1876" s="38" t="n">
        <f aca="false">Q1876*U1876</f>
        <v>0</v>
      </c>
      <c r="W1876" s="41" t="str">
        <f aca="false">IF($M1876="","",IF(T1876="Overdue",IF(Settings!$B$8="Yes",Settings!$B$7,""),IF(ISNUMBER(R1876),DATE(YEAR(R1876),MONTH(R1876),1),"")))</f>
        <v/>
      </c>
      <c r="X1876" s="38" t="n">
        <f aca="false">IF(AND(OR(T1876="Backlog",T1876="Pipeline",T1876="Overdue"),ISNUMBER(W1876)),IF(W1876&lt;=Settings!$B$6,V1876,0),0)</f>
        <v>0</v>
      </c>
      <c r="Y1876" s="38" t="n">
        <f aca="false">IF(AND(OR(T1876="Backlog",T1876="Pipeline",T1876="Overdue"),ISNUMBER(W1876)),IF(W1876&lt;=Settings!$B$6,Q1876,0),0)</f>
        <v>0</v>
      </c>
      <c r="Z1876" s="38" t="n">
        <f aca="false">IF(Y1876=0,0,IF(T1876="Backlog",Q1876,Q1876*Dashboard!$C$10))</f>
        <v>0</v>
      </c>
      <c r="AA1876" s="37" t="n">
        <f aca="false">IF($N1876="",0,IF(COUNTIF(Dashboard!$C$13:$C$22,$N1876)&gt;0,1,0))</f>
        <v>0</v>
      </c>
      <c r="AB1876" s="37" t="str">
        <f aca="false">IF($N1876="","",IF(COUNTIF($N$8:$N1876,$N1876)=1,MAX($AB$7:$AB1875)+1,""))</f>
        <v/>
      </c>
    </row>
    <row r="1877" customFormat="false" ht="15" hidden="false" customHeight="false" outlineLevel="0" collapsed="false">
      <c r="L1877" s="37" t="str">
        <f aca="false">IF(INDEX($A1877:$J1877,$L$6)&lt;&gt;"",TRIM(LEFT(INDEX($A1877:$J1877,$L$6),FIND("(",INDEX($A1877:$J1877,$L$6)&amp;"(")-1)),L1876)</f>
        <v>Building Value Proposition</v>
      </c>
      <c r="M1877" s="37" t="str">
        <f aca="false">IF(INDEX($A1877:$J1877,$M$6)="","",INDEX($A1877:$J1877,$M$6)&amp;"")</f>
        <v/>
      </c>
      <c r="N1877" s="37" t="str">
        <f aca="false">IF($M1877="","",TRIM(INDEX($A1877:$J1877,$N$6)&amp;""))</f>
        <v/>
      </c>
      <c r="O1877" s="37" t="str">
        <f aca="false">IF($M1877="","",TRIM(INDEX($A1877:$J1877,$O$6)&amp;""))</f>
        <v/>
      </c>
      <c r="P1877" s="37" t="str">
        <f aca="false">IF($M1877="","",IFERROR(IF(INDEX(Settings!$B$41:$B$50,MATCH(O1877,Settings!$A$41:$A$50,0))&amp;""="","UNMAPPED",INDEX(Settings!$B$41:$B$50,MATCH(O1877,Settings!$A$41:$A$50,0))&amp;""),"UNMAPPED"))</f>
        <v/>
      </c>
      <c r="Q1877" s="38" t="n">
        <f aca="false">IF($M1877="",0,N(INDEX($A1877:$J1877,$Q$6)))</f>
        <v>0</v>
      </c>
      <c r="R1877" s="39" t="str">
        <f aca="false">IF($M1877="","",INDEX($A1877:$J1877,$R$6))</f>
        <v/>
      </c>
      <c r="S1877" s="37" t="str">
        <f aca="false">IF($M1877="","",IFERROR(INDEX(Settings!$B$27:$B$36,MATCH(L1877,Settings!$A$27:$A$36,0))&amp;"","UNMAPPED"))</f>
        <v/>
      </c>
      <c r="T1877" s="37" t="str">
        <f aca="false">IF($M1877="","",IF(NOT(ISNUMBER(R1877)),"NO DATE",IF(S1877="Won",IF(R1877&gt;Settings!$B$5,"Backlog","Delivered"),IF(S1877="Open",IF(R1877&gt;Settings!$B$5,"Pipeline","Overdue"),IF(S1877="Lost","Lost","UNMAPPED")))))</f>
        <v/>
      </c>
      <c r="U1877" s="40" t="n">
        <f aca="false">IF(T1877="Backlog",1,IF(OR(T1877="Pipeline",T1877="Overdue"),N(INDEX(Settings!$C$27:$C$36,MATCH(L1877,Settings!$A$27:$A$36,0))),0))</f>
        <v>0</v>
      </c>
      <c r="V1877" s="38" t="n">
        <f aca="false">Q1877*U1877</f>
        <v>0</v>
      </c>
      <c r="W1877" s="41" t="str">
        <f aca="false">IF($M1877="","",IF(T1877="Overdue",IF(Settings!$B$8="Yes",Settings!$B$7,""),IF(ISNUMBER(R1877),DATE(YEAR(R1877),MONTH(R1877),1),"")))</f>
        <v/>
      </c>
      <c r="X1877" s="38" t="n">
        <f aca="false">IF(AND(OR(T1877="Backlog",T1877="Pipeline",T1877="Overdue"),ISNUMBER(W1877)),IF(W1877&lt;=Settings!$B$6,V1877,0),0)</f>
        <v>0</v>
      </c>
      <c r="Y1877" s="38" t="n">
        <f aca="false">IF(AND(OR(T1877="Backlog",T1877="Pipeline",T1877="Overdue"),ISNUMBER(W1877)),IF(W1877&lt;=Settings!$B$6,Q1877,0),0)</f>
        <v>0</v>
      </c>
      <c r="Z1877" s="38" t="n">
        <f aca="false">IF(Y1877=0,0,IF(T1877="Backlog",Q1877,Q1877*Dashboard!$C$10))</f>
        <v>0</v>
      </c>
      <c r="AA1877" s="37" t="n">
        <f aca="false">IF($N1877="",0,IF(COUNTIF(Dashboard!$C$13:$C$22,$N1877)&gt;0,1,0))</f>
        <v>0</v>
      </c>
      <c r="AB1877" s="37" t="str">
        <f aca="false">IF($N1877="","",IF(COUNTIF($N$8:$N1877,$N1877)=1,MAX($AB$7:$AB1876)+1,""))</f>
        <v/>
      </c>
    </row>
    <row r="1878" customFormat="false" ht="15" hidden="false" customHeight="false" outlineLevel="0" collapsed="false">
      <c r="L1878" s="37" t="str">
        <f aca="false">IF(INDEX($A1878:$J1878,$L$6)&lt;&gt;"",TRIM(LEFT(INDEX($A1878:$J1878,$L$6),FIND("(",INDEX($A1878:$J1878,$L$6)&amp;"(")-1)),L1877)</f>
        <v>Building Value Proposition</v>
      </c>
      <c r="M1878" s="37" t="str">
        <f aca="false">IF(INDEX($A1878:$J1878,$M$6)="","",INDEX($A1878:$J1878,$M$6)&amp;"")</f>
        <v/>
      </c>
      <c r="N1878" s="37" t="str">
        <f aca="false">IF($M1878="","",TRIM(INDEX($A1878:$J1878,$N$6)&amp;""))</f>
        <v/>
      </c>
      <c r="O1878" s="37" t="str">
        <f aca="false">IF($M1878="","",TRIM(INDEX($A1878:$J1878,$O$6)&amp;""))</f>
        <v/>
      </c>
      <c r="P1878" s="37" t="str">
        <f aca="false">IF($M1878="","",IFERROR(IF(INDEX(Settings!$B$41:$B$50,MATCH(O1878,Settings!$A$41:$A$50,0))&amp;""="","UNMAPPED",INDEX(Settings!$B$41:$B$50,MATCH(O1878,Settings!$A$41:$A$50,0))&amp;""),"UNMAPPED"))</f>
        <v/>
      </c>
      <c r="Q1878" s="38" t="n">
        <f aca="false">IF($M1878="",0,N(INDEX($A1878:$J1878,$Q$6)))</f>
        <v>0</v>
      </c>
      <c r="R1878" s="39" t="str">
        <f aca="false">IF($M1878="","",INDEX($A1878:$J1878,$R$6))</f>
        <v/>
      </c>
      <c r="S1878" s="37" t="str">
        <f aca="false">IF($M1878="","",IFERROR(INDEX(Settings!$B$27:$B$36,MATCH(L1878,Settings!$A$27:$A$36,0))&amp;"","UNMAPPED"))</f>
        <v/>
      </c>
      <c r="T1878" s="37" t="str">
        <f aca="false">IF($M1878="","",IF(NOT(ISNUMBER(R1878)),"NO DATE",IF(S1878="Won",IF(R1878&gt;Settings!$B$5,"Backlog","Delivered"),IF(S1878="Open",IF(R1878&gt;Settings!$B$5,"Pipeline","Overdue"),IF(S1878="Lost","Lost","UNMAPPED")))))</f>
        <v/>
      </c>
      <c r="U1878" s="40" t="n">
        <f aca="false">IF(T1878="Backlog",1,IF(OR(T1878="Pipeline",T1878="Overdue"),N(INDEX(Settings!$C$27:$C$36,MATCH(L1878,Settings!$A$27:$A$36,0))),0))</f>
        <v>0</v>
      </c>
      <c r="V1878" s="38" t="n">
        <f aca="false">Q1878*U1878</f>
        <v>0</v>
      </c>
      <c r="W1878" s="41" t="str">
        <f aca="false">IF($M1878="","",IF(T1878="Overdue",IF(Settings!$B$8="Yes",Settings!$B$7,""),IF(ISNUMBER(R1878),DATE(YEAR(R1878),MONTH(R1878),1),"")))</f>
        <v/>
      </c>
      <c r="X1878" s="38" t="n">
        <f aca="false">IF(AND(OR(T1878="Backlog",T1878="Pipeline",T1878="Overdue"),ISNUMBER(W1878)),IF(W1878&lt;=Settings!$B$6,V1878,0),0)</f>
        <v>0</v>
      </c>
      <c r="Y1878" s="38" t="n">
        <f aca="false">IF(AND(OR(T1878="Backlog",T1878="Pipeline",T1878="Overdue"),ISNUMBER(W1878)),IF(W1878&lt;=Settings!$B$6,Q1878,0),0)</f>
        <v>0</v>
      </c>
      <c r="Z1878" s="38" t="n">
        <f aca="false">IF(Y1878=0,0,IF(T1878="Backlog",Q1878,Q1878*Dashboard!$C$10))</f>
        <v>0</v>
      </c>
      <c r="AA1878" s="37" t="n">
        <f aca="false">IF($N1878="",0,IF(COUNTIF(Dashboard!$C$13:$C$22,$N1878)&gt;0,1,0))</f>
        <v>0</v>
      </c>
      <c r="AB1878" s="37" t="str">
        <f aca="false">IF($N1878="","",IF(COUNTIF($N$8:$N1878,$N1878)=1,MAX($AB$7:$AB1877)+1,""))</f>
        <v/>
      </c>
    </row>
    <row r="1879" customFormat="false" ht="15" hidden="false" customHeight="false" outlineLevel="0" collapsed="false">
      <c r="L1879" s="37" t="str">
        <f aca="false">IF(INDEX($A1879:$J1879,$L$6)&lt;&gt;"",TRIM(LEFT(INDEX($A1879:$J1879,$L$6),FIND("(",INDEX($A1879:$J1879,$L$6)&amp;"(")-1)),L1878)</f>
        <v>Building Value Proposition</v>
      </c>
      <c r="M1879" s="37" t="str">
        <f aca="false">IF(INDEX($A1879:$J1879,$M$6)="","",INDEX($A1879:$J1879,$M$6)&amp;"")</f>
        <v/>
      </c>
      <c r="N1879" s="37" t="str">
        <f aca="false">IF($M1879="","",TRIM(INDEX($A1879:$J1879,$N$6)&amp;""))</f>
        <v/>
      </c>
      <c r="O1879" s="37" t="str">
        <f aca="false">IF($M1879="","",TRIM(INDEX($A1879:$J1879,$O$6)&amp;""))</f>
        <v/>
      </c>
      <c r="P1879" s="37" t="str">
        <f aca="false">IF($M1879="","",IFERROR(IF(INDEX(Settings!$B$41:$B$50,MATCH(O1879,Settings!$A$41:$A$50,0))&amp;""="","UNMAPPED",INDEX(Settings!$B$41:$B$50,MATCH(O1879,Settings!$A$41:$A$50,0))&amp;""),"UNMAPPED"))</f>
        <v/>
      </c>
      <c r="Q1879" s="38" t="n">
        <f aca="false">IF($M1879="",0,N(INDEX($A1879:$J1879,$Q$6)))</f>
        <v>0</v>
      </c>
      <c r="R1879" s="39" t="str">
        <f aca="false">IF($M1879="","",INDEX($A1879:$J1879,$R$6))</f>
        <v/>
      </c>
      <c r="S1879" s="37" t="str">
        <f aca="false">IF($M1879="","",IFERROR(INDEX(Settings!$B$27:$B$36,MATCH(L1879,Settings!$A$27:$A$36,0))&amp;"","UNMAPPED"))</f>
        <v/>
      </c>
      <c r="T1879" s="37" t="str">
        <f aca="false">IF($M1879="","",IF(NOT(ISNUMBER(R1879)),"NO DATE",IF(S1879="Won",IF(R1879&gt;Settings!$B$5,"Backlog","Delivered"),IF(S1879="Open",IF(R1879&gt;Settings!$B$5,"Pipeline","Overdue"),IF(S1879="Lost","Lost","UNMAPPED")))))</f>
        <v/>
      </c>
      <c r="U1879" s="40" t="n">
        <f aca="false">IF(T1879="Backlog",1,IF(OR(T1879="Pipeline",T1879="Overdue"),N(INDEX(Settings!$C$27:$C$36,MATCH(L1879,Settings!$A$27:$A$36,0))),0))</f>
        <v>0</v>
      </c>
      <c r="V1879" s="38" t="n">
        <f aca="false">Q1879*U1879</f>
        <v>0</v>
      </c>
      <c r="W1879" s="41" t="str">
        <f aca="false">IF($M1879="","",IF(T1879="Overdue",IF(Settings!$B$8="Yes",Settings!$B$7,""),IF(ISNUMBER(R1879),DATE(YEAR(R1879),MONTH(R1879),1),"")))</f>
        <v/>
      </c>
      <c r="X1879" s="38" t="n">
        <f aca="false">IF(AND(OR(T1879="Backlog",T1879="Pipeline",T1879="Overdue"),ISNUMBER(W1879)),IF(W1879&lt;=Settings!$B$6,V1879,0),0)</f>
        <v>0</v>
      </c>
      <c r="Y1879" s="38" t="n">
        <f aca="false">IF(AND(OR(T1879="Backlog",T1879="Pipeline",T1879="Overdue"),ISNUMBER(W1879)),IF(W1879&lt;=Settings!$B$6,Q1879,0),0)</f>
        <v>0</v>
      </c>
      <c r="Z1879" s="38" t="n">
        <f aca="false">IF(Y1879=0,0,IF(T1879="Backlog",Q1879,Q1879*Dashboard!$C$10))</f>
        <v>0</v>
      </c>
      <c r="AA1879" s="37" t="n">
        <f aca="false">IF($N1879="",0,IF(COUNTIF(Dashboard!$C$13:$C$22,$N1879)&gt;0,1,0))</f>
        <v>0</v>
      </c>
      <c r="AB1879" s="37" t="str">
        <f aca="false">IF($N1879="","",IF(COUNTIF($N$8:$N1879,$N1879)=1,MAX($AB$7:$AB1878)+1,""))</f>
        <v/>
      </c>
    </row>
    <row r="1880" customFormat="false" ht="15" hidden="false" customHeight="false" outlineLevel="0" collapsed="false">
      <c r="L1880" s="37" t="str">
        <f aca="false">IF(INDEX($A1880:$J1880,$L$6)&lt;&gt;"",TRIM(LEFT(INDEX($A1880:$J1880,$L$6),FIND("(",INDEX($A1880:$J1880,$L$6)&amp;"(")-1)),L1879)</f>
        <v>Building Value Proposition</v>
      </c>
      <c r="M1880" s="37" t="str">
        <f aca="false">IF(INDEX($A1880:$J1880,$M$6)="","",INDEX($A1880:$J1880,$M$6)&amp;"")</f>
        <v/>
      </c>
      <c r="N1880" s="37" t="str">
        <f aca="false">IF($M1880="","",TRIM(INDEX($A1880:$J1880,$N$6)&amp;""))</f>
        <v/>
      </c>
      <c r="O1880" s="37" t="str">
        <f aca="false">IF($M1880="","",TRIM(INDEX($A1880:$J1880,$O$6)&amp;""))</f>
        <v/>
      </c>
      <c r="P1880" s="37" t="str">
        <f aca="false">IF($M1880="","",IFERROR(IF(INDEX(Settings!$B$41:$B$50,MATCH(O1880,Settings!$A$41:$A$50,0))&amp;""="","UNMAPPED",INDEX(Settings!$B$41:$B$50,MATCH(O1880,Settings!$A$41:$A$50,0))&amp;""),"UNMAPPED"))</f>
        <v/>
      </c>
      <c r="Q1880" s="38" t="n">
        <f aca="false">IF($M1880="",0,N(INDEX($A1880:$J1880,$Q$6)))</f>
        <v>0</v>
      </c>
      <c r="R1880" s="39" t="str">
        <f aca="false">IF($M1880="","",INDEX($A1880:$J1880,$R$6))</f>
        <v/>
      </c>
      <c r="S1880" s="37" t="str">
        <f aca="false">IF($M1880="","",IFERROR(INDEX(Settings!$B$27:$B$36,MATCH(L1880,Settings!$A$27:$A$36,0))&amp;"","UNMAPPED"))</f>
        <v/>
      </c>
      <c r="T1880" s="37" t="str">
        <f aca="false">IF($M1880="","",IF(NOT(ISNUMBER(R1880)),"NO DATE",IF(S1880="Won",IF(R1880&gt;Settings!$B$5,"Backlog","Delivered"),IF(S1880="Open",IF(R1880&gt;Settings!$B$5,"Pipeline","Overdue"),IF(S1880="Lost","Lost","UNMAPPED")))))</f>
        <v/>
      </c>
      <c r="U1880" s="40" t="n">
        <f aca="false">IF(T1880="Backlog",1,IF(OR(T1880="Pipeline",T1880="Overdue"),N(INDEX(Settings!$C$27:$C$36,MATCH(L1880,Settings!$A$27:$A$36,0))),0))</f>
        <v>0</v>
      </c>
      <c r="V1880" s="38" t="n">
        <f aca="false">Q1880*U1880</f>
        <v>0</v>
      </c>
      <c r="W1880" s="41" t="str">
        <f aca="false">IF($M1880="","",IF(T1880="Overdue",IF(Settings!$B$8="Yes",Settings!$B$7,""),IF(ISNUMBER(R1880),DATE(YEAR(R1880),MONTH(R1880),1),"")))</f>
        <v/>
      </c>
      <c r="X1880" s="38" t="n">
        <f aca="false">IF(AND(OR(T1880="Backlog",T1880="Pipeline",T1880="Overdue"),ISNUMBER(W1880)),IF(W1880&lt;=Settings!$B$6,V1880,0),0)</f>
        <v>0</v>
      </c>
      <c r="Y1880" s="38" t="n">
        <f aca="false">IF(AND(OR(T1880="Backlog",T1880="Pipeline",T1880="Overdue"),ISNUMBER(W1880)),IF(W1880&lt;=Settings!$B$6,Q1880,0),0)</f>
        <v>0</v>
      </c>
      <c r="Z1880" s="38" t="n">
        <f aca="false">IF(Y1880=0,0,IF(T1880="Backlog",Q1880,Q1880*Dashboard!$C$10))</f>
        <v>0</v>
      </c>
      <c r="AA1880" s="37" t="n">
        <f aca="false">IF($N1880="",0,IF(COUNTIF(Dashboard!$C$13:$C$22,$N1880)&gt;0,1,0))</f>
        <v>0</v>
      </c>
      <c r="AB1880" s="37" t="str">
        <f aca="false">IF($N1880="","",IF(COUNTIF($N$8:$N1880,$N1880)=1,MAX($AB$7:$AB1879)+1,""))</f>
        <v/>
      </c>
    </row>
    <row r="1881" customFormat="false" ht="15" hidden="false" customHeight="false" outlineLevel="0" collapsed="false">
      <c r="L1881" s="37" t="str">
        <f aca="false">IF(INDEX($A1881:$J1881,$L$6)&lt;&gt;"",TRIM(LEFT(INDEX($A1881:$J1881,$L$6),FIND("(",INDEX($A1881:$J1881,$L$6)&amp;"(")-1)),L1880)</f>
        <v>Building Value Proposition</v>
      </c>
      <c r="M1881" s="37" t="str">
        <f aca="false">IF(INDEX($A1881:$J1881,$M$6)="","",INDEX($A1881:$J1881,$M$6)&amp;"")</f>
        <v/>
      </c>
      <c r="N1881" s="37" t="str">
        <f aca="false">IF($M1881="","",TRIM(INDEX($A1881:$J1881,$N$6)&amp;""))</f>
        <v/>
      </c>
      <c r="O1881" s="37" t="str">
        <f aca="false">IF($M1881="","",TRIM(INDEX($A1881:$J1881,$O$6)&amp;""))</f>
        <v/>
      </c>
      <c r="P1881" s="37" t="str">
        <f aca="false">IF($M1881="","",IFERROR(IF(INDEX(Settings!$B$41:$B$50,MATCH(O1881,Settings!$A$41:$A$50,0))&amp;""="","UNMAPPED",INDEX(Settings!$B$41:$B$50,MATCH(O1881,Settings!$A$41:$A$50,0))&amp;""),"UNMAPPED"))</f>
        <v/>
      </c>
      <c r="Q1881" s="38" t="n">
        <f aca="false">IF($M1881="",0,N(INDEX($A1881:$J1881,$Q$6)))</f>
        <v>0</v>
      </c>
      <c r="R1881" s="39" t="str">
        <f aca="false">IF($M1881="","",INDEX($A1881:$J1881,$R$6))</f>
        <v/>
      </c>
      <c r="S1881" s="37" t="str">
        <f aca="false">IF($M1881="","",IFERROR(INDEX(Settings!$B$27:$B$36,MATCH(L1881,Settings!$A$27:$A$36,0))&amp;"","UNMAPPED"))</f>
        <v/>
      </c>
      <c r="T1881" s="37" t="str">
        <f aca="false">IF($M1881="","",IF(NOT(ISNUMBER(R1881)),"NO DATE",IF(S1881="Won",IF(R1881&gt;Settings!$B$5,"Backlog","Delivered"),IF(S1881="Open",IF(R1881&gt;Settings!$B$5,"Pipeline","Overdue"),IF(S1881="Lost","Lost","UNMAPPED")))))</f>
        <v/>
      </c>
      <c r="U1881" s="40" t="n">
        <f aca="false">IF(T1881="Backlog",1,IF(OR(T1881="Pipeline",T1881="Overdue"),N(INDEX(Settings!$C$27:$C$36,MATCH(L1881,Settings!$A$27:$A$36,0))),0))</f>
        <v>0</v>
      </c>
      <c r="V1881" s="38" t="n">
        <f aca="false">Q1881*U1881</f>
        <v>0</v>
      </c>
      <c r="W1881" s="41" t="str">
        <f aca="false">IF($M1881="","",IF(T1881="Overdue",IF(Settings!$B$8="Yes",Settings!$B$7,""),IF(ISNUMBER(R1881),DATE(YEAR(R1881),MONTH(R1881),1),"")))</f>
        <v/>
      </c>
      <c r="X1881" s="38" t="n">
        <f aca="false">IF(AND(OR(T1881="Backlog",T1881="Pipeline",T1881="Overdue"),ISNUMBER(W1881)),IF(W1881&lt;=Settings!$B$6,V1881,0),0)</f>
        <v>0</v>
      </c>
      <c r="Y1881" s="38" t="n">
        <f aca="false">IF(AND(OR(T1881="Backlog",T1881="Pipeline",T1881="Overdue"),ISNUMBER(W1881)),IF(W1881&lt;=Settings!$B$6,Q1881,0),0)</f>
        <v>0</v>
      </c>
      <c r="Z1881" s="38" t="n">
        <f aca="false">IF(Y1881=0,0,IF(T1881="Backlog",Q1881,Q1881*Dashboard!$C$10))</f>
        <v>0</v>
      </c>
      <c r="AA1881" s="37" t="n">
        <f aca="false">IF($N1881="",0,IF(COUNTIF(Dashboard!$C$13:$C$22,$N1881)&gt;0,1,0))</f>
        <v>0</v>
      </c>
      <c r="AB1881" s="37" t="str">
        <f aca="false">IF($N1881="","",IF(COUNTIF($N$8:$N1881,$N1881)=1,MAX($AB$7:$AB1880)+1,""))</f>
        <v/>
      </c>
    </row>
    <row r="1882" customFormat="false" ht="15" hidden="false" customHeight="false" outlineLevel="0" collapsed="false">
      <c r="L1882" s="37" t="str">
        <f aca="false">IF(INDEX($A1882:$J1882,$L$6)&lt;&gt;"",TRIM(LEFT(INDEX($A1882:$J1882,$L$6),FIND("(",INDEX($A1882:$J1882,$L$6)&amp;"(")-1)),L1881)</f>
        <v>Building Value Proposition</v>
      </c>
      <c r="M1882" s="37" t="str">
        <f aca="false">IF(INDEX($A1882:$J1882,$M$6)="","",INDEX($A1882:$J1882,$M$6)&amp;"")</f>
        <v/>
      </c>
      <c r="N1882" s="37" t="str">
        <f aca="false">IF($M1882="","",TRIM(INDEX($A1882:$J1882,$N$6)&amp;""))</f>
        <v/>
      </c>
      <c r="O1882" s="37" t="str">
        <f aca="false">IF($M1882="","",TRIM(INDEX($A1882:$J1882,$O$6)&amp;""))</f>
        <v/>
      </c>
      <c r="P1882" s="37" t="str">
        <f aca="false">IF($M1882="","",IFERROR(IF(INDEX(Settings!$B$41:$B$50,MATCH(O1882,Settings!$A$41:$A$50,0))&amp;""="","UNMAPPED",INDEX(Settings!$B$41:$B$50,MATCH(O1882,Settings!$A$41:$A$50,0))&amp;""),"UNMAPPED"))</f>
        <v/>
      </c>
      <c r="Q1882" s="38" t="n">
        <f aca="false">IF($M1882="",0,N(INDEX($A1882:$J1882,$Q$6)))</f>
        <v>0</v>
      </c>
      <c r="R1882" s="39" t="str">
        <f aca="false">IF($M1882="","",INDEX($A1882:$J1882,$R$6))</f>
        <v/>
      </c>
      <c r="S1882" s="37" t="str">
        <f aca="false">IF($M1882="","",IFERROR(INDEX(Settings!$B$27:$B$36,MATCH(L1882,Settings!$A$27:$A$36,0))&amp;"","UNMAPPED"))</f>
        <v/>
      </c>
      <c r="T1882" s="37" t="str">
        <f aca="false">IF($M1882="","",IF(NOT(ISNUMBER(R1882)),"NO DATE",IF(S1882="Won",IF(R1882&gt;Settings!$B$5,"Backlog","Delivered"),IF(S1882="Open",IF(R1882&gt;Settings!$B$5,"Pipeline","Overdue"),IF(S1882="Lost","Lost","UNMAPPED")))))</f>
        <v/>
      </c>
      <c r="U1882" s="40" t="n">
        <f aca="false">IF(T1882="Backlog",1,IF(OR(T1882="Pipeline",T1882="Overdue"),N(INDEX(Settings!$C$27:$C$36,MATCH(L1882,Settings!$A$27:$A$36,0))),0))</f>
        <v>0</v>
      </c>
      <c r="V1882" s="38" t="n">
        <f aca="false">Q1882*U1882</f>
        <v>0</v>
      </c>
      <c r="W1882" s="41" t="str">
        <f aca="false">IF($M1882="","",IF(T1882="Overdue",IF(Settings!$B$8="Yes",Settings!$B$7,""),IF(ISNUMBER(R1882),DATE(YEAR(R1882),MONTH(R1882),1),"")))</f>
        <v/>
      </c>
      <c r="X1882" s="38" t="n">
        <f aca="false">IF(AND(OR(T1882="Backlog",T1882="Pipeline",T1882="Overdue"),ISNUMBER(W1882)),IF(W1882&lt;=Settings!$B$6,V1882,0),0)</f>
        <v>0</v>
      </c>
      <c r="Y1882" s="38" t="n">
        <f aca="false">IF(AND(OR(T1882="Backlog",T1882="Pipeline",T1882="Overdue"),ISNUMBER(W1882)),IF(W1882&lt;=Settings!$B$6,Q1882,0),0)</f>
        <v>0</v>
      </c>
      <c r="Z1882" s="38" t="n">
        <f aca="false">IF(Y1882=0,0,IF(T1882="Backlog",Q1882,Q1882*Dashboard!$C$10))</f>
        <v>0</v>
      </c>
      <c r="AA1882" s="37" t="n">
        <f aca="false">IF($N1882="",0,IF(COUNTIF(Dashboard!$C$13:$C$22,$N1882)&gt;0,1,0))</f>
        <v>0</v>
      </c>
      <c r="AB1882" s="37" t="str">
        <f aca="false">IF($N1882="","",IF(COUNTIF($N$8:$N1882,$N1882)=1,MAX($AB$7:$AB1881)+1,""))</f>
        <v/>
      </c>
    </row>
    <row r="1883" customFormat="false" ht="15" hidden="false" customHeight="false" outlineLevel="0" collapsed="false">
      <c r="L1883" s="37" t="str">
        <f aca="false">IF(INDEX($A1883:$J1883,$L$6)&lt;&gt;"",TRIM(LEFT(INDEX($A1883:$J1883,$L$6),FIND("(",INDEX($A1883:$J1883,$L$6)&amp;"(")-1)),L1882)</f>
        <v>Building Value Proposition</v>
      </c>
      <c r="M1883" s="37" t="str">
        <f aca="false">IF(INDEX($A1883:$J1883,$M$6)="","",INDEX($A1883:$J1883,$M$6)&amp;"")</f>
        <v/>
      </c>
      <c r="N1883" s="37" t="str">
        <f aca="false">IF($M1883="","",TRIM(INDEX($A1883:$J1883,$N$6)&amp;""))</f>
        <v/>
      </c>
      <c r="O1883" s="37" t="str">
        <f aca="false">IF($M1883="","",TRIM(INDEX($A1883:$J1883,$O$6)&amp;""))</f>
        <v/>
      </c>
      <c r="P1883" s="37" t="str">
        <f aca="false">IF($M1883="","",IFERROR(IF(INDEX(Settings!$B$41:$B$50,MATCH(O1883,Settings!$A$41:$A$50,0))&amp;""="","UNMAPPED",INDEX(Settings!$B$41:$B$50,MATCH(O1883,Settings!$A$41:$A$50,0))&amp;""),"UNMAPPED"))</f>
        <v/>
      </c>
      <c r="Q1883" s="38" t="n">
        <f aca="false">IF($M1883="",0,N(INDEX($A1883:$J1883,$Q$6)))</f>
        <v>0</v>
      </c>
      <c r="R1883" s="39" t="str">
        <f aca="false">IF($M1883="","",INDEX($A1883:$J1883,$R$6))</f>
        <v/>
      </c>
      <c r="S1883" s="37" t="str">
        <f aca="false">IF($M1883="","",IFERROR(INDEX(Settings!$B$27:$B$36,MATCH(L1883,Settings!$A$27:$A$36,0))&amp;"","UNMAPPED"))</f>
        <v/>
      </c>
      <c r="T1883" s="37" t="str">
        <f aca="false">IF($M1883="","",IF(NOT(ISNUMBER(R1883)),"NO DATE",IF(S1883="Won",IF(R1883&gt;Settings!$B$5,"Backlog","Delivered"),IF(S1883="Open",IF(R1883&gt;Settings!$B$5,"Pipeline","Overdue"),IF(S1883="Lost","Lost","UNMAPPED")))))</f>
        <v/>
      </c>
      <c r="U1883" s="40" t="n">
        <f aca="false">IF(T1883="Backlog",1,IF(OR(T1883="Pipeline",T1883="Overdue"),N(INDEX(Settings!$C$27:$C$36,MATCH(L1883,Settings!$A$27:$A$36,0))),0))</f>
        <v>0</v>
      </c>
      <c r="V1883" s="38" t="n">
        <f aca="false">Q1883*U1883</f>
        <v>0</v>
      </c>
      <c r="W1883" s="41" t="str">
        <f aca="false">IF($M1883="","",IF(T1883="Overdue",IF(Settings!$B$8="Yes",Settings!$B$7,""),IF(ISNUMBER(R1883),DATE(YEAR(R1883),MONTH(R1883),1),"")))</f>
        <v/>
      </c>
      <c r="X1883" s="38" t="n">
        <f aca="false">IF(AND(OR(T1883="Backlog",T1883="Pipeline",T1883="Overdue"),ISNUMBER(W1883)),IF(W1883&lt;=Settings!$B$6,V1883,0),0)</f>
        <v>0</v>
      </c>
      <c r="Y1883" s="38" t="n">
        <f aca="false">IF(AND(OR(T1883="Backlog",T1883="Pipeline",T1883="Overdue"),ISNUMBER(W1883)),IF(W1883&lt;=Settings!$B$6,Q1883,0),0)</f>
        <v>0</v>
      </c>
      <c r="Z1883" s="38" t="n">
        <f aca="false">IF(Y1883=0,0,IF(T1883="Backlog",Q1883,Q1883*Dashboard!$C$10))</f>
        <v>0</v>
      </c>
      <c r="AA1883" s="37" t="n">
        <f aca="false">IF($N1883="",0,IF(COUNTIF(Dashboard!$C$13:$C$22,$N1883)&gt;0,1,0))</f>
        <v>0</v>
      </c>
      <c r="AB1883" s="37" t="str">
        <f aca="false">IF($N1883="","",IF(COUNTIF($N$8:$N1883,$N1883)=1,MAX($AB$7:$AB1882)+1,""))</f>
        <v/>
      </c>
    </row>
    <row r="1884" customFormat="false" ht="15" hidden="false" customHeight="false" outlineLevel="0" collapsed="false">
      <c r="L1884" s="37" t="str">
        <f aca="false">IF(INDEX($A1884:$J1884,$L$6)&lt;&gt;"",TRIM(LEFT(INDEX($A1884:$J1884,$L$6),FIND("(",INDEX($A1884:$J1884,$L$6)&amp;"(")-1)),L1883)</f>
        <v>Building Value Proposition</v>
      </c>
      <c r="M1884" s="37" t="str">
        <f aca="false">IF(INDEX($A1884:$J1884,$M$6)="","",INDEX($A1884:$J1884,$M$6)&amp;"")</f>
        <v/>
      </c>
      <c r="N1884" s="37" t="str">
        <f aca="false">IF($M1884="","",TRIM(INDEX($A1884:$J1884,$N$6)&amp;""))</f>
        <v/>
      </c>
      <c r="O1884" s="37" t="str">
        <f aca="false">IF($M1884="","",TRIM(INDEX($A1884:$J1884,$O$6)&amp;""))</f>
        <v/>
      </c>
      <c r="P1884" s="37" t="str">
        <f aca="false">IF($M1884="","",IFERROR(IF(INDEX(Settings!$B$41:$B$50,MATCH(O1884,Settings!$A$41:$A$50,0))&amp;""="","UNMAPPED",INDEX(Settings!$B$41:$B$50,MATCH(O1884,Settings!$A$41:$A$50,0))&amp;""),"UNMAPPED"))</f>
        <v/>
      </c>
      <c r="Q1884" s="38" t="n">
        <f aca="false">IF($M1884="",0,N(INDEX($A1884:$J1884,$Q$6)))</f>
        <v>0</v>
      </c>
      <c r="R1884" s="39" t="str">
        <f aca="false">IF($M1884="","",INDEX($A1884:$J1884,$R$6))</f>
        <v/>
      </c>
      <c r="S1884" s="37" t="str">
        <f aca="false">IF($M1884="","",IFERROR(INDEX(Settings!$B$27:$B$36,MATCH(L1884,Settings!$A$27:$A$36,0))&amp;"","UNMAPPED"))</f>
        <v/>
      </c>
      <c r="T1884" s="37" t="str">
        <f aca="false">IF($M1884="","",IF(NOT(ISNUMBER(R1884)),"NO DATE",IF(S1884="Won",IF(R1884&gt;Settings!$B$5,"Backlog","Delivered"),IF(S1884="Open",IF(R1884&gt;Settings!$B$5,"Pipeline","Overdue"),IF(S1884="Lost","Lost","UNMAPPED")))))</f>
        <v/>
      </c>
      <c r="U1884" s="40" t="n">
        <f aca="false">IF(T1884="Backlog",1,IF(OR(T1884="Pipeline",T1884="Overdue"),N(INDEX(Settings!$C$27:$C$36,MATCH(L1884,Settings!$A$27:$A$36,0))),0))</f>
        <v>0</v>
      </c>
      <c r="V1884" s="38" t="n">
        <f aca="false">Q1884*U1884</f>
        <v>0</v>
      </c>
      <c r="W1884" s="41" t="str">
        <f aca="false">IF($M1884="","",IF(T1884="Overdue",IF(Settings!$B$8="Yes",Settings!$B$7,""),IF(ISNUMBER(R1884),DATE(YEAR(R1884),MONTH(R1884),1),"")))</f>
        <v/>
      </c>
      <c r="X1884" s="38" t="n">
        <f aca="false">IF(AND(OR(T1884="Backlog",T1884="Pipeline",T1884="Overdue"),ISNUMBER(W1884)),IF(W1884&lt;=Settings!$B$6,V1884,0),0)</f>
        <v>0</v>
      </c>
      <c r="Y1884" s="38" t="n">
        <f aca="false">IF(AND(OR(T1884="Backlog",T1884="Pipeline",T1884="Overdue"),ISNUMBER(W1884)),IF(W1884&lt;=Settings!$B$6,Q1884,0),0)</f>
        <v>0</v>
      </c>
      <c r="Z1884" s="38" t="n">
        <f aca="false">IF(Y1884=0,0,IF(T1884="Backlog",Q1884,Q1884*Dashboard!$C$10))</f>
        <v>0</v>
      </c>
      <c r="AA1884" s="37" t="n">
        <f aca="false">IF($N1884="",0,IF(COUNTIF(Dashboard!$C$13:$C$22,$N1884)&gt;0,1,0))</f>
        <v>0</v>
      </c>
      <c r="AB1884" s="37" t="str">
        <f aca="false">IF($N1884="","",IF(COUNTIF($N$8:$N1884,$N1884)=1,MAX($AB$7:$AB1883)+1,""))</f>
        <v/>
      </c>
    </row>
    <row r="1885" customFormat="false" ht="15" hidden="false" customHeight="false" outlineLevel="0" collapsed="false">
      <c r="L1885" s="37" t="str">
        <f aca="false">IF(INDEX($A1885:$J1885,$L$6)&lt;&gt;"",TRIM(LEFT(INDEX($A1885:$J1885,$L$6),FIND("(",INDEX($A1885:$J1885,$L$6)&amp;"(")-1)),L1884)</f>
        <v>Building Value Proposition</v>
      </c>
      <c r="M1885" s="37" t="str">
        <f aca="false">IF(INDEX($A1885:$J1885,$M$6)="","",INDEX($A1885:$J1885,$M$6)&amp;"")</f>
        <v/>
      </c>
      <c r="N1885" s="37" t="str">
        <f aca="false">IF($M1885="","",TRIM(INDEX($A1885:$J1885,$N$6)&amp;""))</f>
        <v/>
      </c>
      <c r="O1885" s="37" t="str">
        <f aca="false">IF($M1885="","",TRIM(INDEX($A1885:$J1885,$O$6)&amp;""))</f>
        <v/>
      </c>
      <c r="P1885" s="37" t="str">
        <f aca="false">IF($M1885="","",IFERROR(IF(INDEX(Settings!$B$41:$B$50,MATCH(O1885,Settings!$A$41:$A$50,0))&amp;""="","UNMAPPED",INDEX(Settings!$B$41:$B$50,MATCH(O1885,Settings!$A$41:$A$50,0))&amp;""),"UNMAPPED"))</f>
        <v/>
      </c>
      <c r="Q1885" s="38" t="n">
        <f aca="false">IF($M1885="",0,N(INDEX($A1885:$J1885,$Q$6)))</f>
        <v>0</v>
      </c>
      <c r="R1885" s="39" t="str">
        <f aca="false">IF($M1885="","",INDEX($A1885:$J1885,$R$6))</f>
        <v/>
      </c>
      <c r="S1885" s="37" t="str">
        <f aca="false">IF($M1885="","",IFERROR(INDEX(Settings!$B$27:$B$36,MATCH(L1885,Settings!$A$27:$A$36,0))&amp;"","UNMAPPED"))</f>
        <v/>
      </c>
      <c r="T1885" s="37" t="str">
        <f aca="false">IF($M1885="","",IF(NOT(ISNUMBER(R1885)),"NO DATE",IF(S1885="Won",IF(R1885&gt;Settings!$B$5,"Backlog","Delivered"),IF(S1885="Open",IF(R1885&gt;Settings!$B$5,"Pipeline","Overdue"),IF(S1885="Lost","Lost","UNMAPPED")))))</f>
        <v/>
      </c>
      <c r="U1885" s="40" t="n">
        <f aca="false">IF(T1885="Backlog",1,IF(OR(T1885="Pipeline",T1885="Overdue"),N(INDEX(Settings!$C$27:$C$36,MATCH(L1885,Settings!$A$27:$A$36,0))),0))</f>
        <v>0</v>
      </c>
      <c r="V1885" s="38" t="n">
        <f aca="false">Q1885*U1885</f>
        <v>0</v>
      </c>
      <c r="W1885" s="41" t="str">
        <f aca="false">IF($M1885="","",IF(T1885="Overdue",IF(Settings!$B$8="Yes",Settings!$B$7,""),IF(ISNUMBER(R1885),DATE(YEAR(R1885),MONTH(R1885),1),"")))</f>
        <v/>
      </c>
      <c r="X1885" s="38" t="n">
        <f aca="false">IF(AND(OR(T1885="Backlog",T1885="Pipeline",T1885="Overdue"),ISNUMBER(W1885)),IF(W1885&lt;=Settings!$B$6,V1885,0),0)</f>
        <v>0</v>
      </c>
      <c r="Y1885" s="38" t="n">
        <f aca="false">IF(AND(OR(T1885="Backlog",T1885="Pipeline",T1885="Overdue"),ISNUMBER(W1885)),IF(W1885&lt;=Settings!$B$6,Q1885,0),0)</f>
        <v>0</v>
      </c>
      <c r="Z1885" s="38" t="n">
        <f aca="false">IF(Y1885=0,0,IF(T1885="Backlog",Q1885,Q1885*Dashboard!$C$10))</f>
        <v>0</v>
      </c>
      <c r="AA1885" s="37" t="n">
        <f aca="false">IF($N1885="",0,IF(COUNTIF(Dashboard!$C$13:$C$22,$N1885)&gt;0,1,0))</f>
        <v>0</v>
      </c>
      <c r="AB1885" s="37" t="str">
        <f aca="false">IF($N1885="","",IF(COUNTIF($N$8:$N1885,$N1885)=1,MAX($AB$7:$AB1884)+1,""))</f>
        <v/>
      </c>
    </row>
    <row r="1886" customFormat="false" ht="15" hidden="false" customHeight="false" outlineLevel="0" collapsed="false">
      <c r="L1886" s="37" t="str">
        <f aca="false">IF(INDEX($A1886:$J1886,$L$6)&lt;&gt;"",TRIM(LEFT(INDEX($A1886:$J1886,$L$6),FIND("(",INDEX($A1886:$J1886,$L$6)&amp;"(")-1)),L1885)</f>
        <v>Building Value Proposition</v>
      </c>
      <c r="M1886" s="37" t="str">
        <f aca="false">IF(INDEX($A1886:$J1886,$M$6)="","",INDEX($A1886:$J1886,$M$6)&amp;"")</f>
        <v/>
      </c>
      <c r="N1886" s="37" t="str">
        <f aca="false">IF($M1886="","",TRIM(INDEX($A1886:$J1886,$N$6)&amp;""))</f>
        <v/>
      </c>
      <c r="O1886" s="37" t="str">
        <f aca="false">IF($M1886="","",TRIM(INDEX($A1886:$J1886,$O$6)&amp;""))</f>
        <v/>
      </c>
      <c r="P1886" s="37" t="str">
        <f aca="false">IF($M1886="","",IFERROR(IF(INDEX(Settings!$B$41:$B$50,MATCH(O1886,Settings!$A$41:$A$50,0))&amp;""="","UNMAPPED",INDEX(Settings!$B$41:$B$50,MATCH(O1886,Settings!$A$41:$A$50,0))&amp;""),"UNMAPPED"))</f>
        <v/>
      </c>
      <c r="Q1886" s="38" t="n">
        <f aca="false">IF($M1886="",0,N(INDEX($A1886:$J1886,$Q$6)))</f>
        <v>0</v>
      </c>
      <c r="R1886" s="39" t="str">
        <f aca="false">IF($M1886="","",INDEX($A1886:$J1886,$R$6))</f>
        <v/>
      </c>
      <c r="S1886" s="37" t="str">
        <f aca="false">IF($M1886="","",IFERROR(INDEX(Settings!$B$27:$B$36,MATCH(L1886,Settings!$A$27:$A$36,0))&amp;"","UNMAPPED"))</f>
        <v/>
      </c>
      <c r="T1886" s="37" t="str">
        <f aca="false">IF($M1886="","",IF(NOT(ISNUMBER(R1886)),"NO DATE",IF(S1886="Won",IF(R1886&gt;Settings!$B$5,"Backlog","Delivered"),IF(S1886="Open",IF(R1886&gt;Settings!$B$5,"Pipeline","Overdue"),IF(S1886="Lost","Lost","UNMAPPED")))))</f>
        <v/>
      </c>
      <c r="U1886" s="40" t="n">
        <f aca="false">IF(T1886="Backlog",1,IF(OR(T1886="Pipeline",T1886="Overdue"),N(INDEX(Settings!$C$27:$C$36,MATCH(L1886,Settings!$A$27:$A$36,0))),0))</f>
        <v>0</v>
      </c>
      <c r="V1886" s="38" t="n">
        <f aca="false">Q1886*U1886</f>
        <v>0</v>
      </c>
      <c r="W1886" s="41" t="str">
        <f aca="false">IF($M1886="","",IF(T1886="Overdue",IF(Settings!$B$8="Yes",Settings!$B$7,""),IF(ISNUMBER(R1886),DATE(YEAR(R1886),MONTH(R1886),1),"")))</f>
        <v/>
      </c>
      <c r="X1886" s="38" t="n">
        <f aca="false">IF(AND(OR(T1886="Backlog",T1886="Pipeline",T1886="Overdue"),ISNUMBER(W1886)),IF(W1886&lt;=Settings!$B$6,V1886,0),0)</f>
        <v>0</v>
      </c>
      <c r="Y1886" s="38" t="n">
        <f aca="false">IF(AND(OR(T1886="Backlog",T1886="Pipeline",T1886="Overdue"),ISNUMBER(W1886)),IF(W1886&lt;=Settings!$B$6,Q1886,0),0)</f>
        <v>0</v>
      </c>
      <c r="Z1886" s="38" t="n">
        <f aca="false">IF(Y1886=0,0,IF(T1886="Backlog",Q1886,Q1886*Dashboard!$C$10))</f>
        <v>0</v>
      </c>
      <c r="AA1886" s="37" t="n">
        <f aca="false">IF($N1886="",0,IF(COUNTIF(Dashboard!$C$13:$C$22,$N1886)&gt;0,1,0))</f>
        <v>0</v>
      </c>
      <c r="AB1886" s="37" t="str">
        <f aca="false">IF($N1886="","",IF(COUNTIF($N$8:$N1886,$N1886)=1,MAX($AB$7:$AB1885)+1,""))</f>
        <v/>
      </c>
    </row>
    <row r="1887" customFormat="false" ht="15" hidden="false" customHeight="false" outlineLevel="0" collapsed="false">
      <c r="L1887" s="37" t="str">
        <f aca="false">IF(INDEX($A1887:$J1887,$L$6)&lt;&gt;"",TRIM(LEFT(INDEX($A1887:$J1887,$L$6),FIND("(",INDEX($A1887:$J1887,$L$6)&amp;"(")-1)),L1886)</f>
        <v>Building Value Proposition</v>
      </c>
      <c r="M1887" s="37" t="str">
        <f aca="false">IF(INDEX($A1887:$J1887,$M$6)="","",INDEX($A1887:$J1887,$M$6)&amp;"")</f>
        <v/>
      </c>
      <c r="N1887" s="37" t="str">
        <f aca="false">IF($M1887="","",TRIM(INDEX($A1887:$J1887,$N$6)&amp;""))</f>
        <v/>
      </c>
      <c r="O1887" s="37" t="str">
        <f aca="false">IF($M1887="","",TRIM(INDEX($A1887:$J1887,$O$6)&amp;""))</f>
        <v/>
      </c>
      <c r="P1887" s="37" t="str">
        <f aca="false">IF($M1887="","",IFERROR(IF(INDEX(Settings!$B$41:$B$50,MATCH(O1887,Settings!$A$41:$A$50,0))&amp;""="","UNMAPPED",INDEX(Settings!$B$41:$B$50,MATCH(O1887,Settings!$A$41:$A$50,0))&amp;""),"UNMAPPED"))</f>
        <v/>
      </c>
      <c r="Q1887" s="38" t="n">
        <f aca="false">IF($M1887="",0,N(INDEX($A1887:$J1887,$Q$6)))</f>
        <v>0</v>
      </c>
      <c r="R1887" s="39" t="str">
        <f aca="false">IF($M1887="","",INDEX($A1887:$J1887,$R$6))</f>
        <v/>
      </c>
      <c r="S1887" s="37" t="str">
        <f aca="false">IF($M1887="","",IFERROR(INDEX(Settings!$B$27:$B$36,MATCH(L1887,Settings!$A$27:$A$36,0))&amp;"","UNMAPPED"))</f>
        <v/>
      </c>
      <c r="T1887" s="37" t="str">
        <f aca="false">IF($M1887="","",IF(NOT(ISNUMBER(R1887)),"NO DATE",IF(S1887="Won",IF(R1887&gt;Settings!$B$5,"Backlog","Delivered"),IF(S1887="Open",IF(R1887&gt;Settings!$B$5,"Pipeline","Overdue"),IF(S1887="Lost","Lost","UNMAPPED")))))</f>
        <v/>
      </c>
      <c r="U1887" s="40" t="n">
        <f aca="false">IF(T1887="Backlog",1,IF(OR(T1887="Pipeline",T1887="Overdue"),N(INDEX(Settings!$C$27:$C$36,MATCH(L1887,Settings!$A$27:$A$36,0))),0))</f>
        <v>0</v>
      </c>
      <c r="V1887" s="38" t="n">
        <f aca="false">Q1887*U1887</f>
        <v>0</v>
      </c>
      <c r="W1887" s="41" t="str">
        <f aca="false">IF($M1887="","",IF(T1887="Overdue",IF(Settings!$B$8="Yes",Settings!$B$7,""),IF(ISNUMBER(R1887),DATE(YEAR(R1887),MONTH(R1887),1),"")))</f>
        <v/>
      </c>
      <c r="X1887" s="38" t="n">
        <f aca="false">IF(AND(OR(T1887="Backlog",T1887="Pipeline",T1887="Overdue"),ISNUMBER(W1887)),IF(W1887&lt;=Settings!$B$6,V1887,0),0)</f>
        <v>0</v>
      </c>
      <c r="Y1887" s="38" t="n">
        <f aca="false">IF(AND(OR(T1887="Backlog",T1887="Pipeline",T1887="Overdue"),ISNUMBER(W1887)),IF(W1887&lt;=Settings!$B$6,Q1887,0),0)</f>
        <v>0</v>
      </c>
      <c r="Z1887" s="38" t="n">
        <f aca="false">IF(Y1887=0,0,IF(T1887="Backlog",Q1887,Q1887*Dashboard!$C$10))</f>
        <v>0</v>
      </c>
      <c r="AA1887" s="37" t="n">
        <f aca="false">IF($N1887="",0,IF(COUNTIF(Dashboard!$C$13:$C$22,$N1887)&gt;0,1,0))</f>
        <v>0</v>
      </c>
      <c r="AB1887" s="37" t="str">
        <f aca="false">IF($N1887="","",IF(COUNTIF($N$8:$N1887,$N1887)=1,MAX($AB$7:$AB1886)+1,""))</f>
        <v/>
      </c>
    </row>
    <row r="1888" customFormat="false" ht="15" hidden="false" customHeight="false" outlineLevel="0" collapsed="false">
      <c r="L1888" s="37" t="str">
        <f aca="false">IF(INDEX($A1888:$J1888,$L$6)&lt;&gt;"",TRIM(LEFT(INDEX($A1888:$J1888,$L$6),FIND("(",INDEX($A1888:$J1888,$L$6)&amp;"(")-1)),L1887)</f>
        <v>Building Value Proposition</v>
      </c>
      <c r="M1888" s="37" t="str">
        <f aca="false">IF(INDEX($A1888:$J1888,$M$6)="","",INDEX($A1888:$J1888,$M$6)&amp;"")</f>
        <v/>
      </c>
      <c r="N1888" s="37" t="str">
        <f aca="false">IF($M1888="","",TRIM(INDEX($A1888:$J1888,$N$6)&amp;""))</f>
        <v/>
      </c>
      <c r="O1888" s="37" t="str">
        <f aca="false">IF($M1888="","",TRIM(INDEX($A1888:$J1888,$O$6)&amp;""))</f>
        <v/>
      </c>
      <c r="P1888" s="37" t="str">
        <f aca="false">IF($M1888="","",IFERROR(IF(INDEX(Settings!$B$41:$B$50,MATCH(O1888,Settings!$A$41:$A$50,0))&amp;""="","UNMAPPED",INDEX(Settings!$B$41:$B$50,MATCH(O1888,Settings!$A$41:$A$50,0))&amp;""),"UNMAPPED"))</f>
        <v/>
      </c>
      <c r="Q1888" s="38" t="n">
        <f aca="false">IF($M1888="",0,N(INDEX($A1888:$J1888,$Q$6)))</f>
        <v>0</v>
      </c>
      <c r="R1888" s="39" t="str">
        <f aca="false">IF($M1888="","",INDEX($A1888:$J1888,$R$6))</f>
        <v/>
      </c>
      <c r="S1888" s="37" t="str">
        <f aca="false">IF($M1888="","",IFERROR(INDEX(Settings!$B$27:$B$36,MATCH(L1888,Settings!$A$27:$A$36,0))&amp;"","UNMAPPED"))</f>
        <v/>
      </c>
      <c r="T1888" s="37" t="str">
        <f aca="false">IF($M1888="","",IF(NOT(ISNUMBER(R1888)),"NO DATE",IF(S1888="Won",IF(R1888&gt;Settings!$B$5,"Backlog","Delivered"),IF(S1888="Open",IF(R1888&gt;Settings!$B$5,"Pipeline","Overdue"),IF(S1888="Lost","Lost","UNMAPPED")))))</f>
        <v/>
      </c>
      <c r="U1888" s="40" t="n">
        <f aca="false">IF(T1888="Backlog",1,IF(OR(T1888="Pipeline",T1888="Overdue"),N(INDEX(Settings!$C$27:$C$36,MATCH(L1888,Settings!$A$27:$A$36,0))),0))</f>
        <v>0</v>
      </c>
      <c r="V1888" s="38" t="n">
        <f aca="false">Q1888*U1888</f>
        <v>0</v>
      </c>
      <c r="W1888" s="41" t="str">
        <f aca="false">IF($M1888="","",IF(T1888="Overdue",IF(Settings!$B$8="Yes",Settings!$B$7,""),IF(ISNUMBER(R1888),DATE(YEAR(R1888),MONTH(R1888),1),"")))</f>
        <v/>
      </c>
      <c r="X1888" s="38" t="n">
        <f aca="false">IF(AND(OR(T1888="Backlog",T1888="Pipeline",T1888="Overdue"),ISNUMBER(W1888)),IF(W1888&lt;=Settings!$B$6,V1888,0),0)</f>
        <v>0</v>
      </c>
      <c r="Y1888" s="38" t="n">
        <f aca="false">IF(AND(OR(T1888="Backlog",T1888="Pipeline",T1888="Overdue"),ISNUMBER(W1888)),IF(W1888&lt;=Settings!$B$6,Q1888,0),0)</f>
        <v>0</v>
      </c>
      <c r="Z1888" s="38" t="n">
        <f aca="false">IF(Y1888=0,0,IF(T1888="Backlog",Q1888,Q1888*Dashboard!$C$10))</f>
        <v>0</v>
      </c>
      <c r="AA1888" s="37" t="n">
        <f aca="false">IF($N1888="",0,IF(COUNTIF(Dashboard!$C$13:$C$22,$N1888)&gt;0,1,0))</f>
        <v>0</v>
      </c>
      <c r="AB1888" s="37" t="str">
        <f aca="false">IF($N1888="","",IF(COUNTIF($N$8:$N1888,$N1888)=1,MAX($AB$7:$AB1887)+1,""))</f>
        <v/>
      </c>
    </row>
    <row r="1889" customFormat="false" ht="15" hidden="false" customHeight="false" outlineLevel="0" collapsed="false">
      <c r="L1889" s="37" t="str">
        <f aca="false">IF(INDEX($A1889:$J1889,$L$6)&lt;&gt;"",TRIM(LEFT(INDEX($A1889:$J1889,$L$6),FIND("(",INDEX($A1889:$J1889,$L$6)&amp;"(")-1)),L1888)</f>
        <v>Building Value Proposition</v>
      </c>
      <c r="M1889" s="37" t="str">
        <f aca="false">IF(INDEX($A1889:$J1889,$M$6)="","",INDEX($A1889:$J1889,$M$6)&amp;"")</f>
        <v/>
      </c>
      <c r="N1889" s="37" t="str">
        <f aca="false">IF($M1889="","",TRIM(INDEX($A1889:$J1889,$N$6)&amp;""))</f>
        <v/>
      </c>
      <c r="O1889" s="37" t="str">
        <f aca="false">IF($M1889="","",TRIM(INDEX($A1889:$J1889,$O$6)&amp;""))</f>
        <v/>
      </c>
      <c r="P1889" s="37" t="str">
        <f aca="false">IF($M1889="","",IFERROR(IF(INDEX(Settings!$B$41:$B$50,MATCH(O1889,Settings!$A$41:$A$50,0))&amp;""="","UNMAPPED",INDEX(Settings!$B$41:$B$50,MATCH(O1889,Settings!$A$41:$A$50,0))&amp;""),"UNMAPPED"))</f>
        <v/>
      </c>
      <c r="Q1889" s="38" t="n">
        <f aca="false">IF($M1889="",0,N(INDEX($A1889:$J1889,$Q$6)))</f>
        <v>0</v>
      </c>
      <c r="R1889" s="39" t="str">
        <f aca="false">IF($M1889="","",INDEX($A1889:$J1889,$R$6))</f>
        <v/>
      </c>
      <c r="S1889" s="37" t="str">
        <f aca="false">IF($M1889="","",IFERROR(INDEX(Settings!$B$27:$B$36,MATCH(L1889,Settings!$A$27:$A$36,0))&amp;"","UNMAPPED"))</f>
        <v/>
      </c>
      <c r="T1889" s="37" t="str">
        <f aca="false">IF($M1889="","",IF(NOT(ISNUMBER(R1889)),"NO DATE",IF(S1889="Won",IF(R1889&gt;Settings!$B$5,"Backlog","Delivered"),IF(S1889="Open",IF(R1889&gt;Settings!$B$5,"Pipeline","Overdue"),IF(S1889="Lost","Lost","UNMAPPED")))))</f>
        <v/>
      </c>
      <c r="U1889" s="40" t="n">
        <f aca="false">IF(T1889="Backlog",1,IF(OR(T1889="Pipeline",T1889="Overdue"),N(INDEX(Settings!$C$27:$C$36,MATCH(L1889,Settings!$A$27:$A$36,0))),0))</f>
        <v>0</v>
      </c>
      <c r="V1889" s="38" t="n">
        <f aca="false">Q1889*U1889</f>
        <v>0</v>
      </c>
      <c r="W1889" s="41" t="str">
        <f aca="false">IF($M1889="","",IF(T1889="Overdue",IF(Settings!$B$8="Yes",Settings!$B$7,""),IF(ISNUMBER(R1889),DATE(YEAR(R1889),MONTH(R1889),1),"")))</f>
        <v/>
      </c>
      <c r="X1889" s="38" t="n">
        <f aca="false">IF(AND(OR(T1889="Backlog",T1889="Pipeline",T1889="Overdue"),ISNUMBER(W1889)),IF(W1889&lt;=Settings!$B$6,V1889,0),0)</f>
        <v>0</v>
      </c>
      <c r="Y1889" s="38" t="n">
        <f aca="false">IF(AND(OR(T1889="Backlog",T1889="Pipeline",T1889="Overdue"),ISNUMBER(W1889)),IF(W1889&lt;=Settings!$B$6,Q1889,0),0)</f>
        <v>0</v>
      </c>
      <c r="Z1889" s="38" t="n">
        <f aca="false">IF(Y1889=0,0,IF(T1889="Backlog",Q1889,Q1889*Dashboard!$C$10))</f>
        <v>0</v>
      </c>
      <c r="AA1889" s="37" t="n">
        <f aca="false">IF($N1889="",0,IF(COUNTIF(Dashboard!$C$13:$C$22,$N1889)&gt;0,1,0))</f>
        <v>0</v>
      </c>
      <c r="AB1889" s="37" t="str">
        <f aca="false">IF($N1889="","",IF(COUNTIF($N$8:$N1889,$N1889)=1,MAX($AB$7:$AB1888)+1,""))</f>
        <v/>
      </c>
    </row>
    <row r="1890" customFormat="false" ht="15" hidden="false" customHeight="false" outlineLevel="0" collapsed="false">
      <c r="L1890" s="37" t="str">
        <f aca="false">IF(INDEX($A1890:$J1890,$L$6)&lt;&gt;"",TRIM(LEFT(INDEX($A1890:$J1890,$L$6),FIND("(",INDEX($A1890:$J1890,$L$6)&amp;"(")-1)),L1889)</f>
        <v>Building Value Proposition</v>
      </c>
      <c r="M1890" s="37" t="str">
        <f aca="false">IF(INDEX($A1890:$J1890,$M$6)="","",INDEX($A1890:$J1890,$M$6)&amp;"")</f>
        <v/>
      </c>
      <c r="N1890" s="37" t="str">
        <f aca="false">IF($M1890="","",TRIM(INDEX($A1890:$J1890,$N$6)&amp;""))</f>
        <v/>
      </c>
      <c r="O1890" s="37" t="str">
        <f aca="false">IF($M1890="","",TRIM(INDEX($A1890:$J1890,$O$6)&amp;""))</f>
        <v/>
      </c>
      <c r="P1890" s="37" t="str">
        <f aca="false">IF($M1890="","",IFERROR(IF(INDEX(Settings!$B$41:$B$50,MATCH(O1890,Settings!$A$41:$A$50,0))&amp;""="","UNMAPPED",INDEX(Settings!$B$41:$B$50,MATCH(O1890,Settings!$A$41:$A$50,0))&amp;""),"UNMAPPED"))</f>
        <v/>
      </c>
      <c r="Q1890" s="38" t="n">
        <f aca="false">IF($M1890="",0,N(INDEX($A1890:$J1890,$Q$6)))</f>
        <v>0</v>
      </c>
      <c r="R1890" s="39" t="str">
        <f aca="false">IF($M1890="","",INDEX($A1890:$J1890,$R$6))</f>
        <v/>
      </c>
      <c r="S1890" s="37" t="str">
        <f aca="false">IF($M1890="","",IFERROR(INDEX(Settings!$B$27:$B$36,MATCH(L1890,Settings!$A$27:$A$36,0))&amp;"","UNMAPPED"))</f>
        <v/>
      </c>
      <c r="T1890" s="37" t="str">
        <f aca="false">IF($M1890="","",IF(NOT(ISNUMBER(R1890)),"NO DATE",IF(S1890="Won",IF(R1890&gt;Settings!$B$5,"Backlog","Delivered"),IF(S1890="Open",IF(R1890&gt;Settings!$B$5,"Pipeline","Overdue"),IF(S1890="Lost","Lost","UNMAPPED")))))</f>
        <v/>
      </c>
      <c r="U1890" s="40" t="n">
        <f aca="false">IF(T1890="Backlog",1,IF(OR(T1890="Pipeline",T1890="Overdue"),N(INDEX(Settings!$C$27:$C$36,MATCH(L1890,Settings!$A$27:$A$36,0))),0))</f>
        <v>0</v>
      </c>
      <c r="V1890" s="38" t="n">
        <f aca="false">Q1890*U1890</f>
        <v>0</v>
      </c>
      <c r="W1890" s="41" t="str">
        <f aca="false">IF($M1890="","",IF(T1890="Overdue",IF(Settings!$B$8="Yes",Settings!$B$7,""),IF(ISNUMBER(R1890),DATE(YEAR(R1890),MONTH(R1890),1),"")))</f>
        <v/>
      </c>
      <c r="X1890" s="38" t="n">
        <f aca="false">IF(AND(OR(T1890="Backlog",T1890="Pipeline",T1890="Overdue"),ISNUMBER(W1890)),IF(W1890&lt;=Settings!$B$6,V1890,0),0)</f>
        <v>0</v>
      </c>
      <c r="Y1890" s="38" t="n">
        <f aca="false">IF(AND(OR(T1890="Backlog",T1890="Pipeline",T1890="Overdue"),ISNUMBER(W1890)),IF(W1890&lt;=Settings!$B$6,Q1890,0),0)</f>
        <v>0</v>
      </c>
      <c r="Z1890" s="38" t="n">
        <f aca="false">IF(Y1890=0,0,IF(T1890="Backlog",Q1890,Q1890*Dashboard!$C$10))</f>
        <v>0</v>
      </c>
      <c r="AA1890" s="37" t="n">
        <f aca="false">IF($N1890="",0,IF(COUNTIF(Dashboard!$C$13:$C$22,$N1890)&gt;0,1,0))</f>
        <v>0</v>
      </c>
      <c r="AB1890" s="37" t="str">
        <f aca="false">IF($N1890="","",IF(COUNTIF($N$8:$N1890,$N1890)=1,MAX($AB$7:$AB1889)+1,""))</f>
        <v/>
      </c>
    </row>
    <row r="1891" customFormat="false" ht="15" hidden="false" customHeight="false" outlineLevel="0" collapsed="false">
      <c r="L1891" s="37" t="str">
        <f aca="false">IF(INDEX($A1891:$J1891,$L$6)&lt;&gt;"",TRIM(LEFT(INDEX($A1891:$J1891,$L$6),FIND("(",INDEX($A1891:$J1891,$L$6)&amp;"(")-1)),L1890)</f>
        <v>Building Value Proposition</v>
      </c>
      <c r="M1891" s="37" t="str">
        <f aca="false">IF(INDEX($A1891:$J1891,$M$6)="","",INDEX($A1891:$J1891,$M$6)&amp;"")</f>
        <v/>
      </c>
      <c r="N1891" s="37" t="str">
        <f aca="false">IF($M1891="","",TRIM(INDEX($A1891:$J1891,$N$6)&amp;""))</f>
        <v/>
      </c>
      <c r="O1891" s="37" t="str">
        <f aca="false">IF($M1891="","",TRIM(INDEX($A1891:$J1891,$O$6)&amp;""))</f>
        <v/>
      </c>
      <c r="P1891" s="37" t="str">
        <f aca="false">IF($M1891="","",IFERROR(IF(INDEX(Settings!$B$41:$B$50,MATCH(O1891,Settings!$A$41:$A$50,0))&amp;""="","UNMAPPED",INDEX(Settings!$B$41:$B$50,MATCH(O1891,Settings!$A$41:$A$50,0))&amp;""),"UNMAPPED"))</f>
        <v/>
      </c>
      <c r="Q1891" s="38" t="n">
        <f aca="false">IF($M1891="",0,N(INDEX($A1891:$J1891,$Q$6)))</f>
        <v>0</v>
      </c>
      <c r="R1891" s="39" t="str">
        <f aca="false">IF($M1891="","",INDEX($A1891:$J1891,$R$6))</f>
        <v/>
      </c>
      <c r="S1891" s="37" t="str">
        <f aca="false">IF($M1891="","",IFERROR(INDEX(Settings!$B$27:$B$36,MATCH(L1891,Settings!$A$27:$A$36,0))&amp;"","UNMAPPED"))</f>
        <v/>
      </c>
      <c r="T1891" s="37" t="str">
        <f aca="false">IF($M1891="","",IF(NOT(ISNUMBER(R1891)),"NO DATE",IF(S1891="Won",IF(R1891&gt;Settings!$B$5,"Backlog","Delivered"),IF(S1891="Open",IF(R1891&gt;Settings!$B$5,"Pipeline","Overdue"),IF(S1891="Lost","Lost","UNMAPPED")))))</f>
        <v/>
      </c>
      <c r="U1891" s="40" t="n">
        <f aca="false">IF(T1891="Backlog",1,IF(OR(T1891="Pipeline",T1891="Overdue"),N(INDEX(Settings!$C$27:$C$36,MATCH(L1891,Settings!$A$27:$A$36,0))),0))</f>
        <v>0</v>
      </c>
      <c r="V1891" s="38" t="n">
        <f aca="false">Q1891*U1891</f>
        <v>0</v>
      </c>
      <c r="W1891" s="41" t="str">
        <f aca="false">IF($M1891="","",IF(T1891="Overdue",IF(Settings!$B$8="Yes",Settings!$B$7,""),IF(ISNUMBER(R1891),DATE(YEAR(R1891),MONTH(R1891),1),"")))</f>
        <v/>
      </c>
      <c r="X1891" s="38" t="n">
        <f aca="false">IF(AND(OR(T1891="Backlog",T1891="Pipeline",T1891="Overdue"),ISNUMBER(W1891)),IF(W1891&lt;=Settings!$B$6,V1891,0),0)</f>
        <v>0</v>
      </c>
      <c r="Y1891" s="38" t="n">
        <f aca="false">IF(AND(OR(T1891="Backlog",T1891="Pipeline",T1891="Overdue"),ISNUMBER(W1891)),IF(W1891&lt;=Settings!$B$6,Q1891,0),0)</f>
        <v>0</v>
      </c>
      <c r="Z1891" s="38" t="n">
        <f aca="false">IF(Y1891=0,0,IF(T1891="Backlog",Q1891,Q1891*Dashboard!$C$10))</f>
        <v>0</v>
      </c>
      <c r="AA1891" s="37" t="n">
        <f aca="false">IF($N1891="",0,IF(COUNTIF(Dashboard!$C$13:$C$22,$N1891)&gt;0,1,0))</f>
        <v>0</v>
      </c>
      <c r="AB1891" s="37" t="str">
        <f aca="false">IF($N1891="","",IF(COUNTIF($N$8:$N1891,$N1891)=1,MAX($AB$7:$AB1890)+1,""))</f>
        <v/>
      </c>
    </row>
    <row r="1892" customFormat="false" ht="15" hidden="false" customHeight="false" outlineLevel="0" collapsed="false">
      <c r="L1892" s="37" t="str">
        <f aca="false">IF(INDEX($A1892:$J1892,$L$6)&lt;&gt;"",TRIM(LEFT(INDEX($A1892:$J1892,$L$6),FIND("(",INDEX($A1892:$J1892,$L$6)&amp;"(")-1)),L1891)</f>
        <v>Building Value Proposition</v>
      </c>
      <c r="M1892" s="37" t="str">
        <f aca="false">IF(INDEX($A1892:$J1892,$M$6)="","",INDEX($A1892:$J1892,$M$6)&amp;"")</f>
        <v/>
      </c>
      <c r="N1892" s="37" t="str">
        <f aca="false">IF($M1892="","",TRIM(INDEX($A1892:$J1892,$N$6)&amp;""))</f>
        <v/>
      </c>
      <c r="O1892" s="37" t="str">
        <f aca="false">IF($M1892="","",TRIM(INDEX($A1892:$J1892,$O$6)&amp;""))</f>
        <v/>
      </c>
      <c r="P1892" s="37" t="str">
        <f aca="false">IF($M1892="","",IFERROR(IF(INDEX(Settings!$B$41:$B$50,MATCH(O1892,Settings!$A$41:$A$50,0))&amp;""="","UNMAPPED",INDEX(Settings!$B$41:$B$50,MATCH(O1892,Settings!$A$41:$A$50,0))&amp;""),"UNMAPPED"))</f>
        <v/>
      </c>
      <c r="Q1892" s="38" t="n">
        <f aca="false">IF($M1892="",0,N(INDEX($A1892:$J1892,$Q$6)))</f>
        <v>0</v>
      </c>
      <c r="R1892" s="39" t="str">
        <f aca="false">IF($M1892="","",INDEX($A1892:$J1892,$R$6))</f>
        <v/>
      </c>
      <c r="S1892" s="37" t="str">
        <f aca="false">IF($M1892="","",IFERROR(INDEX(Settings!$B$27:$B$36,MATCH(L1892,Settings!$A$27:$A$36,0))&amp;"","UNMAPPED"))</f>
        <v/>
      </c>
      <c r="T1892" s="37" t="str">
        <f aca="false">IF($M1892="","",IF(NOT(ISNUMBER(R1892)),"NO DATE",IF(S1892="Won",IF(R1892&gt;Settings!$B$5,"Backlog","Delivered"),IF(S1892="Open",IF(R1892&gt;Settings!$B$5,"Pipeline","Overdue"),IF(S1892="Lost","Lost","UNMAPPED")))))</f>
        <v/>
      </c>
      <c r="U1892" s="40" t="n">
        <f aca="false">IF(T1892="Backlog",1,IF(OR(T1892="Pipeline",T1892="Overdue"),N(INDEX(Settings!$C$27:$C$36,MATCH(L1892,Settings!$A$27:$A$36,0))),0))</f>
        <v>0</v>
      </c>
      <c r="V1892" s="38" t="n">
        <f aca="false">Q1892*U1892</f>
        <v>0</v>
      </c>
      <c r="W1892" s="41" t="str">
        <f aca="false">IF($M1892="","",IF(T1892="Overdue",IF(Settings!$B$8="Yes",Settings!$B$7,""),IF(ISNUMBER(R1892),DATE(YEAR(R1892),MONTH(R1892),1),"")))</f>
        <v/>
      </c>
      <c r="X1892" s="38" t="n">
        <f aca="false">IF(AND(OR(T1892="Backlog",T1892="Pipeline",T1892="Overdue"),ISNUMBER(W1892)),IF(W1892&lt;=Settings!$B$6,V1892,0),0)</f>
        <v>0</v>
      </c>
      <c r="Y1892" s="38" t="n">
        <f aca="false">IF(AND(OR(T1892="Backlog",T1892="Pipeline",T1892="Overdue"),ISNUMBER(W1892)),IF(W1892&lt;=Settings!$B$6,Q1892,0),0)</f>
        <v>0</v>
      </c>
      <c r="Z1892" s="38" t="n">
        <f aca="false">IF(Y1892=0,0,IF(T1892="Backlog",Q1892,Q1892*Dashboard!$C$10))</f>
        <v>0</v>
      </c>
      <c r="AA1892" s="37" t="n">
        <f aca="false">IF($N1892="",0,IF(COUNTIF(Dashboard!$C$13:$C$22,$N1892)&gt;0,1,0))</f>
        <v>0</v>
      </c>
      <c r="AB1892" s="37" t="str">
        <f aca="false">IF($N1892="","",IF(COUNTIF($N$8:$N1892,$N1892)=1,MAX($AB$7:$AB1891)+1,""))</f>
        <v/>
      </c>
    </row>
    <row r="1893" customFormat="false" ht="15" hidden="false" customHeight="false" outlineLevel="0" collapsed="false">
      <c r="L1893" s="37" t="str">
        <f aca="false">IF(INDEX($A1893:$J1893,$L$6)&lt;&gt;"",TRIM(LEFT(INDEX($A1893:$J1893,$L$6),FIND("(",INDEX($A1893:$J1893,$L$6)&amp;"(")-1)),L1892)</f>
        <v>Building Value Proposition</v>
      </c>
      <c r="M1893" s="37" t="str">
        <f aca="false">IF(INDEX($A1893:$J1893,$M$6)="","",INDEX($A1893:$J1893,$M$6)&amp;"")</f>
        <v/>
      </c>
      <c r="N1893" s="37" t="str">
        <f aca="false">IF($M1893="","",TRIM(INDEX($A1893:$J1893,$N$6)&amp;""))</f>
        <v/>
      </c>
      <c r="O1893" s="37" t="str">
        <f aca="false">IF($M1893="","",TRIM(INDEX($A1893:$J1893,$O$6)&amp;""))</f>
        <v/>
      </c>
      <c r="P1893" s="37" t="str">
        <f aca="false">IF($M1893="","",IFERROR(IF(INDEX(Settings!$B$41:$B$50,MATCH(O1893,Settings!$A$41:$A$50,0))&amp;""="","UNMAPPED",INDEX(Settings!$B$41:$B$50,MATCH(O1893,Settings!$A$41:$A$50,0))&amp;""),"UNMAPPED"))</f>
        <v/>
      </c>
      <c r="Q1893" s="38" t="n">
        <f aca="false">IF($M1893="",0,N(INDEX($A1893:$J1893,$Q$6)))</f>
        <v>0</v>
      </c>
      <c r="R1893" s="39" t="str">
        <f aca="false">IF($M1893="","",INDEX($A1893:$J1893,$R$6))</f>
        <v/>
      </c>
      <c r="S1893" s="37" t="str">
        <f aca="false">IF($M1893="","",IFERROR(INDEX(Settings!$B$27:$B$36,MATCH(L1893,Settings!$A$27:$A$36,0))&amp;"","UNMAPPED"))</f>
        <v/>
      </c>
      <c r="T1893" s="37" t="str">
        <f aca="false">IF($M1893="","",IF(NOT(ISNUMBER(R1893)),"NO DATE",IF(S1893="Won",IF(R1893&gt;Settings!$B$5,"Backlog","Delivered"),IF(S1893="Open",IF(R1893&gt;Settings!$B$5,"Pipeline","Overdue"),IF(S1893="Lost","Lost","UNMAPPED")))))</f>
        <v/>
      </c>
      <c r="U1893" s="40" t="n">
        <f aca="false">IF(T1893="Backlog",1,IF(OR(T1893="Pipeline",T1893="Overdue"),N(INDEX(Settings!$C$27:$C$36,MATCH(L1893,Settings!$A$27:$A$36,0))),0))</f>
        <v>0</v>
      </c>
      <c r="V1893" s="38" t="n">
        <f aca="false">Q1893*U1893</f>
        <v>0</v>
      </c>
      <c r="W1893" s="41" t="str">
        <f aca="false">IF($M1893="","",IF(T1893="Overdue",IF(Settings!$B$8="Yes",Settings!$B$7,""),IF(ISNUMBER(R1893),DATE(YEAR(R1893),MONTH(R1893),1),"")))</f>
        <v/>
      </c>
      <c r="X1893" s="38" t="n">
        <f aca="false">IF(AND(OR(T1893="Backlog",T1893="Pipeline",T1893="Overdue"),ISNUMBER(W1893)),IF(W1893&lt;=Settings!$B$6,V1893,0),0)</f>
        <v>0</v>
      </c>
      <c r="Y1893" s="38" t="n">
        <f aca="false">IF(AND(OR(T1893="Backlog",T1893="Pipeline",T1893="Overdue"),ISNUMBER(W1893)),IF(W1893&lt;=Settings!$B$6,Q1893,0),0)</f>
        <v>0</v>
      </c>
      <c r="Z1893" s="38" t="n">
        <f aca="false">IF(Y1893=0,0,IF(T1893="Backlog",Q1893,Q1893*Dashboard!$C$10))</f>
        <v>0</v>
      </c>
      <c r="AA1893" s="37" t="n">
        <f aca="false">IF($N1893="",0,IF(COUNTIF(Dashboard!$C$13:$C$22,$N1893)&gt;0,1,0))</f>
        <v>0</v>
      </c>
      <c r="AB1893" s="37" t="str">
        <f aca="false">IF($N1893="","",IF(COUNTIF($N$8:$N1893,$N1893)=1,MAX($AB$7:$AB1892)+1,""))</f>
        <v/>
      </c>
    </row>
    <row r="1894" customFormat="false" ht="15" hidden="false" customHeight="false" outlineLevel="0" collapsed="false">
      <c r="L1894" s="37" t="str">
        <f aca="false">IF(INDEX($A1894:$J1894,$L$6)&lt;&gt;"",TRIM(LEFT(INDEX($A1894:$J1894,$L$6),FIND("(",INDEX($A1894:$J1894,$L$6)&amp;"(")-1)),L1893)</f>
        <v>Building Value Proposition</v>
      </c>
      <c r="M1894" s="37" t="str">
        <f aca="false">IF(INDEX($A1894:$J1894,$M$6)="","",INDEX($A1894:$J1894,$M$6)&amp;"")</f>
        <v/>
      </c>
      <c r="N1894" s="37" t="str">
        <f aca="false">IF($M1894="","",TRIM(INDEX($A1894:$J1894,$N$6)&amp;""))</f>
        <v/>
      </c>
      <c r="O1894" s="37" t="str">
        <f aca="false">IF($M1894="","",TRIM(INDEX($A1894:$J1894,$O$6)&amp;""))</f>
        <v/>
      </c>
      <c r="P1894" s="37" t="str">
        <f aca="false">IF($M1894="","",IFERROR(IF(INDEX(Settings!$B$41:$B$50,MATCH(O1894,Settings!$A$41:$A$50,0))&amp;""="","UNMAPPED",INDEX(Settings!$B$41:$B$50,MATCH(O1894,Settings!$A$41:$A$50,0))&amp;""),"UNMAPPED"))</f>
        <v/>
      </c>
      <c r="Q1894" s="38" t="n">
        <f aca="false">IF($M1894="",0,N(INDEX($A1894:$J1894,$Q$6)))</f>
        <v>0</v>
      </c>
      <c r="R1894" s="39" t="str">
        <f aca="false">IF($M1894="","",INDEX($A1894:$J1894,$R$6))</f>
        <v/>
      </c>
      <c r="S1894" s="37" t="str">
        <f aca="false">IF($M1894="","",IFERROR(INDEX(Settings!$B$27:$B$36,MATCH(L1894,Settings!$A$27:$A$36,0))&amp;"","UNMAPPED"))</f>
        <v/>
      </c>
      <c r="T1894" s="37" t="str">
        <f aca="false">IF($M1894="","",IF(NOT(ISNUMBER(R1894)),"NO DATE",IF(S1894="Won",IF(R1894&gt;Settings!$B$5,"Backlog","Delivered"),IF(S1894="Open",IF(R1894&gt;Settings!$B$5,"Pipeline","Overdue"),IF(S1894="Lost","Lost","UNMAPPED")))))</f>
        <v/>
      </c>
      <c r="U1894" s="40" t="n">
        <f aca="false">IF(T1894="Backlog",1,IF(OR(T1894="Pipeline",T1894="Overdue"),N(INDEX(Settings!$C$27:$C$36,MATCH(L1894,Settings!$A$27:$A$36,0))),0))</f>
        <v>0</v>
      </c>
      <c r="V1894" s="38" t="n">
        <f aca="false">Q1894*U1894</f>
        <v>0</v>
      </c>
      <c r="W1894" s="41" t="str">
        <f aca="false">IF($M1894="","",IF(T1894="Overdue",IF(Settings!$B$8="Yes",Settings!$B$7,""),IF(ISNUMBER(R1894),DATE(YEAR(R1894),MONTH(R1894),1),"")))</f>
        <v/>
      </c>
      <c r="X1894" s="38" t="n">
        <f aca="false">IF(AND(OR(T1894="Backlog",T1894="Pipeline",T1894="Overdue"),ISNUMBER(W1894)),IF(W1894&lt;=Settings!$B$6,V1894,0),0)</f>
        <v>0</v>
      </c>
      <c r="Y1894" s="38" t="n">
        <f aca="false">IF(AND(OR(T1894="Backlog",T1894="Pipeline",T1894="Overdue"),ISNUMBER(W1894)),IF(W1894&lt;=Settings!$B$6,Q1894,0),0)</f>
        <v>0</v>
      </c>
      <c r="Z1894" s="38" t="n">
        <f aca="false">IF(Y1894=0,0,IF(T1894="Backlog",Q1894,Q1894*Dashboard!$C$10))</f>
        <v>0</v>
      </c>
      <c r="AA1894" s="37" t="n">
        <f aca="false">IF($N1894="",0,IF(COUNTIF(Dashboard!$C$13:$C$22,$N1894)&gt;0,1,0))</f>
        <v>0</v>
      </c>
      <c r="AB1894" s="37" t="str">
        <f aca="false">IF($N1894="","",IF(COUNTIF($N$8:$N1894,$N1894)=1,MAX($AB$7:$AB1893)+1,""))</f>
        <v/>
      </c>
    </row>
    <row r="1895" customFormat="false" ht="15" hidden="false" customHeight="false" outlineLevel="0" collapsed="false">
      <c r="L1895" s="37" t="str">
        <f aca="false">IF(INDEX($A1895:$J1895,$L$6)&lt;&gt;"",TRIM(LEFT(INDEX($A1895:$J1895,$L$6),FIND("(",INDEX($A1895:$J1895,$L$6)&amp;"(")-1)),L1894)</f>
        <v>Building Value Proposition</v>
      </c>
      <c r="M1895" s="37" t="str">
        <f aca="false">IF(INDEX($A1895:$J1895,$M$6)="","",INDEX($A1895:$J1895,$M$6)&amp;"")</f>
        <v/>
      </c>
      <c r="N1895" s="37" t="str">
        <f aca="false">IF($M1895="","",TRIM(INDEX($A1895:$J1895,$N$6)&amp;""))</f>
        <v/>
      </c>
      <c r="O1895" s="37" t="str">
        <f aca="false">IF($M1895="","",TRIM(INDEX($A1895:$J1895,$O$6)&amp;""))</f>
        <v/>
      </c>
      <c r="P1895" s="37" t="str">
        <f aca="false">IF($M1895="","",IFERROR(IF(INDEX(Settings!$B$41:$B$50,MATCH(O1895,Settings!$A$41:$A$50,0))&amp;""="","UNMAPPED",INDEX(Settings!$B$41:$B$50,MATCH(O1895,Settings!$A$41:$A$50,0))&amp;""),"UNMAPPED"))</f>
        <v/>
      </c>
      <c r="Q1895" s="38" t="n">
        <f aca="false">IF($M1895="",0,N(INDEX($A1895:$J1895,$Q$6)))</f>
        <v>0</v>
      </c>
      <c r="R1895" s="39" t="str">
        <f aca="false">IF($M1895="","",INDEX($A1895:$J1895,$R$6))</f>
        <v/>
      </c>
      <c r="S1895" s="37" t="str">
        <f aca="false">IF($M1895="","",IFERROR(INDEX(Settings!$B$27:$B$36,MATCH(L1895,Settings!$A$27:$A$36,0))&amp;"","UNMAPPED"))</f>
        <v/>
      </c>
      <c r="T1895" s="37" t="str">
        <f aca="false">IF($M1895="","",IF(NOT(ISNUMBER(R1895)),"NO DATE",IF(S1895="Won",IF(R1895&gt;Settings!$B$5,"Backlog","Delivered"),IF(S1895="Open",IF(R1895&gt;Settings!$B$5,"Pipeline","Overdue"),IF(S1895="Lost","Lost","UNMAPPED")))))</f>
        <v/>
      </c>
      <c r="U1895" s="40" t="n">
        <f aca="false">IF(T1895="Backlog",1,IF(OR(T1895="Pipeline",T1895="Overdue"),N(INDEX(Settings!$C$27:$C$36,MATCH(L1895,Settings!$A$27:$A$36,0))),0))</f>
        <v>0</v>
      </c>
      <c r="V1895" s="38" t="n">
        <f aca="false">Q1895*U1895</f>
        <v>0</v>
      </c>
      <c r="W1895" s="41" t="str">
        <f aca="false">IF($M1895="","",IF(T1895="Overdue",IF(Settings!$B$8="Yes",Settings!$B$7,""),IF(ISNUMBER(R1895),DATE(YEAR(R1895),MONTH(R1895),1),"")))</f>
        <v/>
      </c>
      <c r="X1895" s="38" t="n">
        <f aca="false">IF(AND(OR(T1895="Backlog",T1895="Pipeline",T1895="Overdue"),ISNUMBER(W1895)),IF(W1895&lt;=Settings!$B$6,V1895,0),0)</f>
        <v>0</v>
      </c>
      <c r="Y1895" s="38" t="n">
        <f aca="false">IF(AND(OR(T1895="Backlog",T1895="Pipeline",T1895="Overdue"),ISNUMBER(W1895)),IF(W1895&lt;=Settings!$B$6,Q1895,0),0)</f>
        <v>0</v>
      </c>
      <c r="Z1895" s="38" t="n">
        <f aca="false">IF(Y1895=0,0,IF(T1895="Backlog",Q1895,Q1895*Dashboard!$C$10))</f>
        <v>0</v>
      </c>
      <c r="AA1895" s="37" t="n">
        <f aca="false">IF($N1895="",0,IF(COUNTIF(Dashboard!$C$13:$C$22,$N1895)&gt;0,1,0))</f>
        <v>0</v>
      </c>
      <c r="AB1895" s="37" t="str">
        <f aca="false">IF($N1895="","",IF(COUNTIF($N$8:$N1895,$N1895)=1,MAX($AB$7:$AB1894)+1,""))</f>
        <v/>
      </c>
    </row>
    <row r="1896" customFormat="false" ht="15" hidden="false" customHeight="false" outlineLevel="0" collapsed="false">
      <c r="L1896" s="37" t="str">
        <f aca="false">IF(INDEX($A1896:$J1896,$L$6)&lt;&gt;"",TRIM(LEFT(INDEX($A1896:$J1896,$L$6),FIND("(",INDEX($A1896:$J1896,$L$6)&amp;"(")-1)),L1895)</f>
        <v>Building Value Proposition</v>
      </c>
      <c r="M1896" s="37" t="str">
        <f aca="false">IF(INDEX($A1896:$J1896,$M$6)="","",INDEX($A1896:$J1896,$M$6)&amp;"")</f>
        <v/>
      </c>
      <c r="N1896" s="37" t="str">
        <f aca="false">IF($M1896="","",TRIM(INDEX($A1896:$J1896,$N$6)&amp;""))</f>
        <v/>
      </c>
      <c r="O1896" s="37" t="str">
        <f aca="false">IF($M1896="","",TRIM(INDEX($A1896:$J1896,$O$6)&amp;""))</f>
        <v/>
      </c>
      <c r="P1896" s="37" t="str">
        <f aca="false">IF($M1896="","",IFERROR(IF(INDEX(Settings!$B$41:$B$50,MATCH(O1896,Settings!$A$41:$A$50,0))&amp;""="","UNMAPPED",INDEX(Settings!$B$41:$B$50,MATCH(O1896,Settings!$A$41:$A$50,0))&amp;""),"UNMAPPED"))</f>
        <v/>
      </c>
      <c r="Q1896" s="38" t="n">
        <f aca="false">IF($M1896="",0,N(INDEX($A1896:$J1896,$Q$6)))</f>
        <v>0</v>
      </c>
      <c r="R1896" s="39" t="str">
        <f aca="false">IF($M1896="","",INDEX($A1896:$J1896,$R$6))</f>
        <v/>
      </c>
      <c r="S1896" s="37" t="str">
        <f aca="false">IF($M1896="","",IFERROR(INDEX(Settings!$B$27:$B$36,MATCH(L1896,Settings!$A$27:$A$36,0))&amp;"","UNMAPPED"))</f>
        <v/>
      </c>
      <c r="T1896" s="37" t="str">
        <f aca="false">IF($M1896="","",IF(NOT(ISNUMBER(R1896)),"NO DATE",IF(S1896="Won",IF(R1896&gt;Settings!$B$5,"Backlog","Delivered"),IF(S1896="Open",IF(R1896&gt;Settings!$B$5,"Pipeline","Overdue"),IF(S1896="Lost","Lost","UNMAPPED")))))</f>
        <v/>
      </c>
      <c r="U1896" s="40" t="n">
        <f aca="false">IF(T1896="Backlog",1,IF(OR(T1896="Pipeline",T1896="Overdue"),N(INDEX(Settings!$C$27:$C$36,MATCH(L1896,Settings!$A$27:$A$36,0))),0))</f>
        <v>0</v>
      </c>
      <c r="V1896" s="38" t="n">
        <f aca="false">Q1896*U1896</f>
        <v>0</v>
      </c>
      <c r="W1896" s="41" t="str">
        <f aca="false">IF($M1896="","",IF(T1896="Overdue",IF(Settings!$B$8="Yes",Settings!$B$7,""),IF(ISNUMBER(R1896),DATE(YEAR(R1896),MONTH(R1896),1),"")))</f>
        <v/>
      </c>
      <c r="X1896" s="38" t="n">
        <f aca="false">IF(AND(OR(T1896="Backlog",T1896="Pipeline",T1896="Overdue"),ISNUMBER(W1896)),IF(W1896&lt;=Settings!$B$6,V1896,0),0)</f>
        <v>0</v>
      </c>
      <c r="Y1896" s="38" t="n">
        <f aca="false">IF(AND(OR(T1896="Backlog",T1896="Pipeline",T1896="Overdue"),ISNUMBER(W1896)),IF(W1896&lt;=Settings!$B$6,Q1896,0),0)</f>
        <v>0</v>
      </c>
      <c r="Z1896" s="38" t="n">
        <f aca="false">IF(Y1896=0,0,IF(T1896="Backlog",Q1896,Q1896*Dashboard!$C$10))</f>
        <v>0</v>
      </c>
      <c r="AA1896" s="37" t="n">
        <f aca="false">IF($N1896="",0,IF(COUNTIF(Dashboard!$C$13:$C$22,$N1896)&gt;0,1,0))</f>
        <v>0</v>
      </c>
      <c r="AB1896" s="37" t="str">
        <f aca="false">IF($N1896="","",IF(COUNTIF($N$8:$N1896,$N1896)=1,MAX($AB$7:$AB1895)+1,""))</f>
        <v/>
      </c>
    </row>
    <row r="1897" customFormat="false" ht="15" hidden="false" customHeight="false" outlineLevel="0" collapsed="false">
      <c r="L1897" s="37" t="str">
        <f aca="false">IF(INDEX($A1897:$J1897,$L$6)&lt;&gt;"",TRIM(LEFT(INDEX($A1897:$J1897,$L$6),FIND("(",INDEX($A1897:$J1897,$L$6)&amp;"(")-1)),L1896)</f>
        <v>Building Value Proposition</v>
      </c>
      <c r="M1897" s="37" t="str">
        <f aca="false">IF(INDEX($A1897:$J1897,$M$6)="","",INDEX($A1897:$J1897,$M$6)&amp;"")</f>
        <v/>
      </c>
      <c r="N1897" s="37" t="str">
        <f aca="false">IF($M1897="","",TRIM(INDEX($A1897:$J1897,$N$6)&amp;""))</f>
        <v/>
      </c>
      <c r="O1897" s="37" t="str">
        <f aca="false">IF($M1897="","",TRIM(INDEX($A1897:$J1897,$O$6)&amp;""))</f>
        <v/>
      </c>
      <c r="P1897" s="37" t="str">
        <f aca="false">IF($M1897="","",IFERROR(IF(INDEX(Settings!$B$41:$B$50,MATCH(O1897,Settings!$A$41:$A$50,0))&amp;""="","UNMAPPED",INDEX(Settings!$B$41:$B$50,MATCH(O1897,Settings!$A$41:$A$50,0))&amp;""),"UNMAPPED"))</f>
        <v/>
      </c>
      <c r="Q1897" s="38" t="n">
        <f aca="false">IF($M1897="",0,N(INDEX($A1897:$J1897,$Q$6)))</f>
        <v>0</v>
      </c>
      <c r="R1897" s="39" t="str">
        <f aca="false">IF($M1897="","",INDEX($A1897:$J1897,$R$6))</f>
        <v/>
      </c>
      <c r="S1897" s="37" t="str">
        <f aca="false">IF($M1897="","",IFERROR(INDEX(Settings!$B$27:$B$36,MATCH(L1897,Settings!$A$27:$A$36,0))&amp;"","UNMAPPED"))</f>
        <v/>
      </c>
      <c r="T1897" s="37" t="str">
        <f aca="false">IF($M1897="","",IF(NOT(ISNUMBER(R1897)),"NO DATE",IF(S1897="Won",IF(R1897&gt;Settings!$B$5,"Backlog","Delivered"),IF(S1897="Open",IF(R1897&gt;Settings!$B$5,"Pipeline","Overdue"),IF(S1897="Lost","Lost","UNMAPPED")))))</f>
        <v/>
      </c>
      <c r="U1897" s="40" t="n">
        <f aca="false">IF(T1897="Backlog",1,IF(OR(T1897="Pipeline",T1897="Overdue"),N(INDEX(Settings!$C$27:$C$36,MATCH(L1897,Settings!$A$27:$A$36,0))),0))</f>
        <v>0</v>
      </c>
      <c r="V1897" s="38" t="n">
        <f aca="false">Q1897*U1897</f>
        <v>0</v>
      </c>
      <c r="W1897" s="41" t="str">
        <f aca="false">IF($M1897="","",IF(T1897="Overdue",IF(Settings!$B$8="Yes",Settings!$B$7,""),IF(ISNUMBER(R1897),DATE(YEAR(R1897),MONTH(R1897),1),"")))</f>
        <v/>
      </c>
      <c r="X1897" s="38" t="n">
        <f aca="false">IF(AND(OR(T1897="Backlog",T1897="Pipeline",T1897="Overdue"),ISNUMBER(W1897)),IF(W1897&lt;=Settings!$B$6,V1897,0),0)</f>
        <v>0</v>
      </c>
      <c r="Y1897" s="38" t="n">
        <f aca="false">IF(AND(OR(T1897="Backlog",T1897="Pipeline",T1897="Overdue"),ISNUMBER(W1897)),IF(W1897&lt;=Settings!$B$6,Q1897,0),0)</f>
        <v>0</v>
      </c>
      <c r="Z1897" s="38" t="n">
        <f aca="false">IF(Y1897=0,0,IF(T1897="Backlog",Q1897,Q1897*Dashboard!$C$10))</f>
        <v>0</v>
      </c>
      <c r="AA1897" s="37" t="n">
        <f aca="false">IF($N1897="",0,IF(COUNTIF(Dashboard!$C$13:$C$22,$N1897)&gt;0,1,0))</f>
        <v>0</v>
      </c>
      <c r="AB1897" s="37" t="str">
        <f aca="false">IF($N1897="","",IF(COUNTIF($N$8:$N1897,$N1897)=1,MAX($AB$7:$AB1896)+1,""))</f>
        <v/>
      </c>
    </row>
    <row r="1898" customFormat="false" ht="15" hidden="false" customHeight="false" outlineLevel="0" collapsed="false">
      <c r="L1898" s="37" t="str">
        <f aca="false">IF(INDEX($A1898:$J1898,$L$6)&lt;&gt;"",TRIM(LEFT(INDEX($A1898:$J1898,$L$6),FIND("(",INDEX($A1898:$J1898,$L$6)&amp;"(")-1)),L1897)</f>
        <v>Building Value Proposition</v>
      </c>
      <c r="M1898" s="37" t="str">
        <f aca="false">IF(INDEX($A1898:$J1898,$M$6)="","",INDEX($A1898:$J1898,$M$6)&amp;"")</f>
        <v/>
      </c>
      <c r="N1898" s="37" t="str">
        <f aca="false">IF($M1898="","",TRIM(INDEX($A1898:$J1898,$N$6)&amp;""))</f>
        <v/>
      </c>
      <c r="O1898" s="37" t="str">
        <f aca="false">IF($M1898="","",TRIM(INDEX($A1898:$J1898,$O$6)&amp;""))</f>
        <v/>
      </c>
      <c r="P1898" s="37" t="str">
        <f aca="false">IF($M1898="","",IFERROR(IF(INDEX(Settings!$B$41:$B$50,MATCH(O1898,Settings!$A$41:$A$50,0))&amp;""="","UNMAPPED",INDEX(Settings!$B$41:$B$50,MATCH(O1898,Settings!$A$41:$A$50,0))&amp;""),"UNMAPPED"))</f>
        <v/>
      </c>
      <c r="Q1898" s="38" t="n">
        <f aca="false">IF($M1898="",0,N(INDEX($A1898:$J1898,$Q$6)))</f>
        <v>0</v>
      </c>
      <c r="R1898" s="39" t="str">
        <f aca="false">IF($M1898="","",INDEX($A1898:$J1898,$R$6))</f>
        <v/>
      </c>
      <c r="S1898" s="37" t="str">
        <f aca="false">IF($M1898="","",IFERROR(INDEX(Settings!$B$27:$B$36,MATCH(L1898,Settings!$A$27:$A$36,0))&amp;"","UNMAPPED"))</f>
        <v/>
      </c>
      <c r="T1898" s="37" t="str">
        <f aca="false">IF($M1898="","",IF(NOT(ISNUMBER(R1898)),"NO DATE",IF(S1898="Won",IF(R1898&gt;Settings!$B$5,"Backlog","Delivered"),IF(S1898="Open",IF(R1898&gt;Settings!$B$5,"Pipeline","Overdue"),IF(S1898="Lost","Lost","UNMAPPED")))))</f>
        <v/>
      </c>
      <c r="U1898" s="40" t="n">
        <f aca="false">IF(T1898="Backlog",1,IF(OR(T1898="Pipeline",T1898="Overdue"),N(INDEX(Settings!$C$27:$C$36,MATCH(L1898,Settings!$A$27:$A$36,0))),0))</f>
        <v>0</v>
      </c>
      <c r="V1898" s="38" t="n">
        <f aca="false">Q1898*U1898</f>
        <v>0</v>
      </c>
      <c r="W1898" s="41" t="str">
        <f aca="false">IF($M1898="","",IF(T1898="Overdue",IF(Settings!$B$8="Yes",Settings!$B$7,""),IF(ISNUMBER(R1898),DATE(YEAR(R1898),MONTH(R1898),1),"")))</f>
        <v/>
      </c>
      <c r="X1898" s="38" t="n">
        <f aca="false">IF(AND(OR(T1898="Backlog",T1898="Pipeline",T1898="Overdue"),ISNUMBER(W1898)),IF(W1898&lt;=Settings!$B$6,V1898,0),0)</f>
        <v>0</v>
      </c>
      <c r="Y1898" s="38" t="n">
        <f aca="false">IF(AND(OR(T1898="Backlog",T1898="Pipeline",T1898="Overdue"),ISNUMBER(W1898)),IF(W1898&lt;=Settings!$B$6,Q1898,0),0)</f>
        <v>0</v>
      </c>
      <c r="Z1898" s="38" t="n">
        <f aca="false">IF(Y1898=0,0,IF(T1898="Backlog",Q1898,Q1898*Dashboard!$C$10))</f>
        <v>0</v>
      </c>
      <c r="AA1898" s="37" t="n">
        <f aca="false">IF($N1898="",0,IF(COUNTIF(Dashboard!$C$13:$C$22,$N1898)&gt;0,1,0))</f>
        <v>0</v>
      </c>
      <c r="AB1898" s="37" t="str">
        <f aca="false">IF($N1898="","",IF(COUNTIF($N$8:$N1898,$N1898)=1,MAX($AB$7:$AB1897)+1,""))</f>
        <v/>
      </c>
    </row>
    <row r="1899" customFormat="false" ht="15" hidden="false" customHeight="false" outlineLevel="0" collapsed="false">
      <c r="L1899" s="37" t="str">
        <f aca="false">IF(INDEX($A1899:$J1899,$L$6)&lt;&gt;"",TRIM(LEFT(INDEX($A1899:$J1899,$L$6),FIND("(",INDEX($A1899:$J1899,$L$6)&amp;"(")-1)),L1898)</f>
        <v>Building Value Proposition</v>
      </c>
      <c r="M1899" s="37" t="str">
        <f aca="false">IF(INDEX($A1899:$J1899,$M$6)="","",INDEX($A1899:$J1899,$M$6)&amp;"")</f>
        <v/>
      </c>
      <c r="N1899" s="37" t="str">
        <f aca="false">IF($M1899="","",TRIM(INDEX($A1899:$J1899,$N$6)&amp;""))</f>
        <v/>
      </c>
      <c r="O1899" s="37" t="str">
        <f aca="false">IF($M1899="","",TRIM(INDEX($A1899:$J1899,$O$6)&amp;""))</f>
        <v/>
      </c>
      <c r="P1899" s="37" t="str">
        <f aca="false">IF($M1899="","",IFERROR(IF(INDEX(Settings!$B$41:$B$50,MATCH(O1899,Settings!$A$41:$A$50,0))&amp;""="","UNMAPPED",INDEX(Settings!$B$41:$B$50,MATCH(O1899,Settings!$A$41:$A$50,0))&amp;""),"UNMAPPED"))</f>
        <v/>
      </c>
      <c r="Q1899" s="38" t="n">
        <f aca="false">IF($M1899="",0,N(INDEX($A1899:$J1899,$Q$6)))</f>
        <v>0</v>
      </c>
      <c r="R1899" s="39" t="str">
        <f aca="false">IF($M1899="","",INDEX($A1899:$J1899,$R$6))</f>
        <v/>
      </c>
      <c r="S1899" s="37" t="str">
        <f aca="false">IF($M1899="","",IFERROR(INDEX(Settings!$B$27:$B$36,MATCH(L1899,Settings!$A$27:$A$36,0))&amp;"","UNMAPPED"))</f>
        <v/>
      </c>
      <c r="T1899" s="37" t="str">
        <f aca="false">IF($M1899="","",IF(NOT(ISNUMBER(R1899)),"NO DATE",IF(S1899="Won",IF(R1899&gt;Settings!$B$5,"Backlog","Delivered"),IF(S1899="Open",IF(R1899&gt;Settings!$B$5,"Pipeline","Overdue"),IF(S1899="Lost","Lost","UNMAPPED")))))</f>
        <v/>
      </c>
      <c r="U1899" s="40" t="n">
        <f aca="false">IF(T1899="Backlog",1,IF(OR(T1899="Pipeline",T1899="Overdue"),N(INDEX(Settings!$C$27:$C$36,MATCH(L1899,Settings!$A$27:$A$36,0))),0))</f>
        <v>0</v>
      </c>
      <c r="V1899" s="38" t="n">
        <f aca="false">Q1899*U1899</f>
        <v>0</v>
      </c>
      <c r="W1899" s="41" t="str">
        <f aca="false">IF($M1899="","",IF(T1899="Overdue",IF(Settings!$B$8="Yes",Settings!$B$7,""),IF(ISNUMBER(R1899),DATE(YEAR(R1899),MONTH(R1899),1),"")))</f>
        <v/>
      </c>
      <c r="X1899" s="38" t="n">
        <f aca="false">IF(AND(OR(T1899="Backlog",T1899="Pipeline",T1899="Overdue"),ISNUMBER(W1899)),IF(W1899&lt;=Settings!$B$6,V1899,0),0)</f>
        <v>0</v>
      </c>
      <c r="Y1899" s="38" t="n">
        <f aca="false">IF(AND(OR(T1899="Backlog",T1899="Pipeline",T1899="Overdue"),ISNUMBER(W1899)),IF(W1899&lt;=Settings!$B$6,Q1899,0),0)</f>
        <v>0</v>
      </c>
      <c r="Z1899" s="38" t="n">
        <f aca="false">IF(Y1899=0,0,IF(T1899="Backlog",Q1899,Q1899*Dashboard!$C$10))</f>
        <v>0</v>
      </c>
      <c r="AA1899" s="37" t="n">
        <f aca="false">IF($N1899="",0,IF(COUNTIF(Dashboard!$C$13:$C$22,$N1899)&gt;0,1,0))</f>
        <v>0</v>
      </c>
      <c r="AB1899" s="37" t="str">
        <f aca="false">IF($N1899="","",IF(COUNTIF($N$8:$N1899,$N1899)=1,MAX($AB$7:$AB1898)+1,""))</f>
        <v/>
      </c>
    </row>
    <row r="1900" customFormat="false" ht="15" hidden="false" customHeight="false" outlineLevel="0" collapsed="false">
      <c r="L1900" s="37" t="str">
        <f aca="false">IF(INDEX($A1900:$J1900,$L$6)&lt;&gt;"",TRIM(LEFT(INDEX($A1900:$J1900,$L$6),FIND("(",INDEX($A1900:$J1900,$L$6)&amp;"(")-1)),L1899)</f>
        <v>Building Value Proposition</v>
      </c>
      <c r="M1900" s="37" t="str">
        <f aca="false">IF(INDEX($A1900:$J1900,$M$6)="","",INDEX($A1900:$J1900,$M$6)&amp;"")</f>
        <v/>
      </c>
      <c r="N1900" s="37" t="str">
        <f aca="false">IF($M1900="","",TRIM(INDEX($A1900:$J1900,$N$6)&amp;""))</f>
        <v/>
      </c>
      <c r="O1900" s="37" t="str">
        <f aca="false">IF($M1900="","",TRIM(INDEX($A1900:$J1900,$O$6)&amp;""))</f>
        <v/>
      </c>
      <c r="P1900" s="37" t="str">
        <f aca="false">IF($M1900="","",IFERROR(IF(INDEX(Settings!$B$41:$B$50,MATCH(O1900,Settings!$A$41:$A$50,0))&amp;""="","UNMAPPED",INDEX(Settings!$B$41:$B$50,MATCH(O1900,Settings!$A$41:$A$50,0))&amp;""),"UNMAPPED"))</f>
        <v/>
      </c>
      <c r="Q1900" s="38" t="n">
        <f aca="false">IF($M1900="",0,N(INDEX($A1900:$J1900,$Q$6)))</f>
        <v>0</v>
      </c>
      <c r="R1900" s="39" t="str">
        <f aca="false">IF($M1900="","",INDEX($A1900:$J1900,$R$6))</f>
        <v/>
      </c>
      <c r="S1900" s="37" t="str">
        <f aca="false">IF($M1900="","",IFERROR(INDEX(Settings!$B$27:$B$36,MATCH(L1900,Settings!$A$27:$A$36,0))&amp;"","UNMAPPED"))</f>
        <v/>
      </c>
      <c r="T1900" s="37" t="str">
        <f aca="false">IF($M1900="","",IF(NOT(ISNUMBER(R1900)),"NO DATE",IF(S1900="Won",IF(R1900&gt;Settings!$B$5,"Backlog","Delivered"),IF(S1900="Open",IF(R1900&gt;Settings!$B$5,"Pipeline","Overdue"),IF(S1900="Lost","Lost","UNMAPPED")))))</f>
        <v/>
      </c>
      <c r="U1900" s="40" t="n">
        <f aca="false">IF(T1900="Backlog",1,IF(OR(T1900="Pipeline",T1900="Overdue"),N(INDEX(Settings!$C$27:$C$36,MATCH(L1900,Settings!$A$27:$A$36,0))),0))</f>
        <v>0</v>
      </c>
      <c r="V1900" s="38" t="n">
        <f aca="false">Q1900*U1900</f>
        <v>0</v>
      </c>
      <c r="W1900" s="41" t="str">
        <f aca="false">IF($M1900="","",IF(T1900="Overdue",IF(Settings!$B$8="Yes",Settings!$B$7,""),IF(ISNUMBER(R1900),DATE(YEAR(R1900),MONTH(R1900),1),"")))</f>
        <v/>
      </c>
      <c r="X1900" s="38" t="n">
        <f aca="false">IF(AND(OR(T1900="Backlog",T1900="Pipeline",T1900="Overdue"),ISNUMBER(W1900)),IF(W1900&lt;=Settings!$B$6,V1900,0),0)</f>
        <v>0</v>
      </c>
      <c r="Y1900" s="38" t="n">
        <f aca="false">IF(AND(OR(T1900="Backlog",T1900="Pipeline",T1900="Overdue"),ISNUMBER(W1900)),IF(W1900&lt;=Settings!$B$6,Q1900,0),0)</f>
        <v>0</v>
      </c>
      <c r="Z1900" s="38" t="n">
        <f aca="false">IF(Y1900=0,0,IF(T1900="Backlog",Q1900,Q1900*Dashboard!$C$10))</f>
        <v>0</v>
      </c>
      <c r="AA1900" s="37" t="n">
        <f aca="false">IF($N1900="",0,IF(COUNTIF(Dashboard!$C$13:$C$22,$N1900)&gt;0,1,0))</f>
        <v>0</v>
      </c>
      <c r="AB1900" s="37" t="str">
        <f aca="false">IF($N1900="","",IF(COUNTIF($N$8:$N1900,$N1900)=1,MAX($AB$7:$AB1899)+1,""))</f>
        <v/>
      </c>
    </row>
    <row r="1901" customFormat="false" ht="15" hidden="false" customHeight="false" outlineLevel="0" collapsed="false">
      <c r="L1901" s="37" t="str">
        <f aca="false">IF(INDEX($A1901:$J1901,$L$6)&lt;&gt;"",TRIM(LEFT(INDEX($A1901:$J1901,$L$6),FIND("(",INDEX($A1901:$J1901,$L$6)&amp;"(")-1)),L1900)</f>
        <v>Building Value Proposition</v>
      </c>
      <c r="M1901" s="37" t="str">
        <f aca="false">IF(INDEX($A1901:$J1901,$M$6)="","",INDEX($A1901:$J1901,$M$6)&amp;"")</f>
        <v/>
      </c>
      <c r="N1901" s="37" t="str">
        <f aca="false">IF($M1901="","",TRIM(INDEX($A1901:$J1901,$N$6)&amp;""))</f>
        <v/>
      </c>
      <c r="O1901" s="37" t="str">
        <f aca="false">IF($M1901="","",TRIM(INDEX($A1901:$J1901,$O$6)&amp;""))</f>
        <v/>
      </c>
      <c r="P1901" s="37" t="str">
        <f aca="false">IF($M1901="","",IFERROR(IF(INDEX(Settings!$B$41:$B$50,MATCH(O1901,Settings!$A$41:$A$50,0))&amp;""="","UNMAPPED",INDEX(Settings!$B$41:$B$50,MATCH(O1901,Settings!$A$41:$A$50,0))&amp;""),"UNMAPPED"))</f>
        <v/>
      </c>
      <c r="Q1901" s="38" t="n">
        <f aca="false">IF($M1901="",0,N(INDEX($A1901:$J1901,$Q$6)))</f>
        <v>0</v>
      </c>
      <c r="R1901" s="39" t="str">
        <f aca="false">IF($M1901="","",INDEX($A1901:$J1901,$R$6))</f>
        <v/>
      </c>
      <c r="S1901" s="37" t="str">
        <f aca="false">IF($M1901="","",IFERROR(INDEX(Settings!$B$27:$B$36,MATCH(L1901,Settings!$A$27:$A$36,0))&amp;"","UNMAPPED"))</f>
        <v/>
      </c>
      <c r="T1901" s="37" t="str">
        <f aca="false">IF($M1901="","",IF(NOT(ISNUMBER(R1901)),"NO DATE",IF(S1901="Won",IF(R1901&gt;Settings!$B$5,"Backlog","Delivered"),IF(S1901="Open",IF(R1901&gt;Settings!$B$5,"Pipeline","Overdue"),IF(S1901="Lost","Lost","UNMAPPED")))))</f>
        <v/>
      </c>
      <c r="U1901" s="40" t="n">
        <f aca="false">IF(T1901="Backlog",1,IF(OR(T1901="Pipeline",T1901="Overdue"),N(INDEX(Settings!$C$27:$C$36,MATCH(L1901,Settings!$A$27:$A$36,0))),0))</f>
        <v>0</v>
      </c>
      <c r="V1901" s="38" t="n">
        <f aca="false">Q1901*U1901</f>
        <v>0</v>
      </c>
      <c r="W1901" s="41" t="str">
        <f aca="false">IF($M1901="","",IF(T1901="Overdue",IF(Settings!$B$8="Yes",Settings!$B$7,""),IF(ISNUMBER(R1901),DATE(YEAR(R1901),MONTH(R1901),1),"")))</f>
        <v/>
      </c>
      <c r="X1901" s="38" t="n">
        <f aca="false">IF(AND(OR(T1901="Backlog",T1901="Pipeline",T1901="Overdue"),ISNUMBER(W1901)),IF(W1901&lt;=Settings!$B$6,V1901,0),0)</f>
        <v>0</v>
      </c>
      <c r="Y1901" s="38" t="n">
        <f aca="false">IF(AND(OR(T1901="Backlog",T1901="Pipeline",T1901="Overdue"),ISNUMBER(W1901)),IF(W1901&lt;=Settings!$B$6,Q1901,0),0)</f>
        <v>0</v>
      </c>
      <c r="Z1901" s="38" t="n">
        <f aca="false">IF(Y1901=0,0,IF(T1901="Backlog",Q1901,Q1901*Dashboard!$C$10))</f>
        <v>0</v>
      </c>
      <c r="AA1901" s="37" t="n">
        <f aca="false">IF($N1901="",0,IF(COUNTIF(Dashboard!$C$13:$C$22,$N1901)&gt;0,1,0))</f>
        <v>0</v>
      </c>
      <c r="AB1901" s="37" t="str">
        <f aca="false">IF($N1901="","",IF(COUNTIF($N$8:$N1901,$N1901)=1,MAX($AB$7:$AB1900)+1,""))</f>
        <v/>
      </c>
    </row>
    <row r="1902" customFormat="false" ht="15" hidden="false" customHeight="false" outlineLevel="0" collapsed="false">
      <c r="L1902" s="37" t="str">
        <f aca="false">IF(INDEX($A1902:$J1902,$L$6)&lt;&gt;"",TRIM(LEFT(INDEX($A1902:$J1902,$L$6),FIND("(",INDEX($A1902:$J1902,$L$6)&amp;"(")-1)),L1901)</f>
        <v>Building Value Proposition</v>
      </c>
      <c r="M1902" s="37" t="str">
        <f aca="false">IF(INDEX($A1902:$J1902,$M$6)="","",INDEX($A1902:$J1902,$M$6)&amp;"")</f>
        <v/>
      </c>
      <c r="N1902" s="37" t="str">
        <f aca="false">IF($M1902="","",TRIM(INDEX($A1902:$J1902,$N$6)&amp;""))</f>
        <v/>
      </c>
      <c r="O1902" s="37" t="str">
        <f aca="false">IF($M1902="","",TRIM(INDEX($A1902:$J1902,$O$6)&amp;""))</f>
        <v/>
      </c>
      <c r="P1902" s="37" t="str">
        <f aca="false">IF($M1902="","",IFERROR(IF(INDEX(Settings!$B$41:$B$50,MATCH(O1902,Settings!$A$41:$A$50,0))&amp;""="","UNMAPPED",INDEX(Settings!$B$41:$B$50,MATCH(O1902,Settings!$A$41:$A$50,0))&amp;""),"UNMAPPED"))</f>
        <v/>
      </c>
      <c r="Q1902" s="38" t="n">
        <f aca="false">IF($M1902="",0,N(INDEX($A1902:$J1902,$Q$6)))</f>
        <v>0</v>
      </c>
      <c r="R1902" s="39" t="str">
        <f aca="false">IF($M1902="","",INDEX($A1902:$J1902,$R$6))</f>
        <v/>
      </c>
      <c r="S1902" s="37" t="str">
        <f aca="false">IF($M1902="","",IFERROR(INDEX(Settings!$B$27:$B$36,MATCH(L1902,Settings!$A$27:$A$36,0))&amp;"","UNMAPPED"))</f>
        <v/>
      </c>
      <c r="T1902" s="37" t="str">
        <f aca="false">IF($M1902="","",IF(NOT(ISNUMBER(R1902)),"NO DATE",IF(S1902="Won",IF(R1902&gt;Settings!$B$5,"Backlog","Delivered"),IF(S1902="Open",IF(R1902&gt;Settings!$B$5,"Pipeline","Overdue"),IF(S1902="Lost","Lost","UNMAPPED")))))</f>
        <v/>
      </c>
      <c r="U1902" s="40" t="n">
        <f aca="false">IF(T1902="Backlog",1,IF(OR(T1902="Pipeline",T1902="Overdue"),N(INDEX(Settings!$C$27:$C$36,MATCH(L1902,Settings!$A$27:$A$36,0))),0))</f>
        <v>0</v>
      </c>
      <c r="V1902" s="38" t="n">
        <f aca="false">Q1902*U1902</f>
        <v>0</v>
      </c>
      <c r="W1902" s="41" t="str">
        <f aca="false">IF($M1902="","",IF(T1902="Overdue",IF(Settings!$B$8="Yes",Settings!$B$7,""),IF(ISNUMBER(R1902),DATE(YEAR(R1902),MONTH(R1902),1),"")))</f>
        <v/>
      </c>
      <c r="X1902" s="38" t="n">
        <f aca="false">IF(AND(OR(T1902="Backlog",T1902="Pipeline",T1902="Overdue"),ISNUMBER(W1902)),IF(W1902&lt;=Settings!$B$6,V1902,0),0)</f>
        <v>0</v>
      </c>
      <c r="Y1902" s="38" t="n">
        <f aca="false">IF(AND(OR(T1902="Backlog",T1902="Pipeline",T1902="Overdue"),ISNUMBER(W1902)),IF(W1902&lt;=Settings!$B$6,Q1902,0),0)</f>
        <v>0</v>
      </c>
      <c r="Z1902" s="38" t="n">
        <f aca="false">IF(Y1902=0,0,IF(T1902="Backlog",Q1902,Q1902*Dashboard!$C$10))</f>
        <v>0</v>
      </c>
      <c r="AA1902" s="37" t="n">
        <f aca="false">IF($N1902="",0,IF(COUNTIF(Dashboard!$C$13:$C$22,$N1902)&gt;0,1,0))</f>
        <v>0</v>
      </c>
      <c r="AB1902" s="37" t="str">
        <f aca="false">IF($N1902="","",IF(COUNTIF($N$8:$N1902,$N1902)=1,MAX($AB$7:$AB1901)+1,""))</f>
        <v/>
      </c>
    </row>
    <row r="1903" customFormat="false" ht="15" hidden="false" customHeight="false" outlineLevel="0" collapsed="false">
      <c r="L1903" s="37" t="str">
        <f aca="false">IF(INDEX($A1903:$J1903,$L$6)&lt;&gt;"",TRIM(LEFT(INDEX($A1903:$J1903,$L$6),FIND("(",INDEX($A1903:$J1903,$L$6)&amp;"(")-1)),L1902)</f>
        <v>Building Value Proposition</v>
      </c>
      <c r="M1903" s="37" t="str">
        <f aca="false">IF(INDEX($A1903:$J1903,$M$6)="","",INDEX($A1903:$J1903,$M$6)&amp;"")</f>
        <v/>
      </c>
      <c r="N1903" s="37" t="str">
        <f aca="false">IF($M1903="","",TRIM(INDEX($A1903:$J1903,$N$6)&amp;""))</f>
        <v/>
      </c>
      <c r="O1903" s="37" t="str">
        <f aca="false">IF($M1903="","",TRIM(INDEX($A1903:$J1903,$O$6)&amp;""))</f>
        <v/>
      </c>
      <c r="P1903" s="37" t="str">
        <f aca="false">IF($M1903="","",IFERROR(IF(INDEX(Settings!$B$41:$B$50,MATCH(O1903,Settings!$A$41:$A$50,0))&amp;""="","UNMAPPED",INDEX(Settings!$B$41:$B$50,MATCH(O1903,Settings!$A$41:$A$50,0))&amp;""),"UNMAPPED"))</f>
        <v/>
      </c>
      <c r="Q1903" s="38" t="n">
        <f aca="false">IF($M1903="",0,N(INDEX($A1903:$J1903,$Q$6)))</f>
        <v>0</v>
      </c>
      <c r="R1903" s="39" t="str">
        <f aca="false">IF($M1903="","",INDEX($A1903:$J1903,$R$6))</f>
        <v/>
      </c>
      <c r="S1903" s="37" t="str">
        <f aca="false">IF($M1903="","",IFERROR(INDEX(Settings!$B$27:$B$36,MATCH(L1903,Settings!$A$27:$A$36,0))&amp;"","UNMAPPED"))</f>
        <v/>
      </c>
      <c r="T1903" s="37" t="str">
        <f aca="false">IF($M1903="","",IF(NOT(ISNUMBER(R1903)),"NO DATE",IF(S1903="Won",IF(R1903&gt;Settings!$B$5,"Backlog","Delivered"),IF(S1903="Open",IF(R1903&gt;Settings!$B$5,"Pipeline","Overdue"),IF(S1903="Lost","Lost","UNMAPPED")))))</f>
        <v/>
      </c>
      <c r="U1903" s="40" t="n">
        <f aca="false">IF(T1903="Backlog",1,IF(OR(T1903="Pipeline",T1903="Overdue"),N(INDEX(Settings!$C$27:$C$36,MATCH(L1903,Settings!$A$27:$A$36,0))),0))</f>
        <v>0</v>
      </c>
      <c r="V1903" s="38" t="n">
        <f aca="false">Q1903*U1903</f>
        <v>0</v>
      </c>
      <c r="W1903" s="41" t="str">
        <f aca="false">IF($M1903="","",IF(T1903="Overdue",IF(Settings!$B$8="Yes",Settings!$B$7,""),IF(ISNUMBER(R1903),DATE(YEAR(R1903),MONTH(R1903),1),"")))</f>
        <v/>
      </c>
      <c r="X1903" s="38" t="n">
        <f aca="false">IF(AND(OR(T1903="Backlog",T1903="Pipeline",T1903="Overdue"),ISNUMBER(W1903)),IF(W1903&lt;=Settings!$B$6,V1903,0),0)</f>
        <v>0</v>
      </c>
      <c r="Y1903" s="38" t="n">
        <f aca="false">IF(AND(OR(T1903="Backlog",T1903="Pipeline",T1903="Overdue"),ISNUMBER(W1903)),IF(W1903&lt;=Settings!$B$6,Q1903,0),0)</f>
        <v>0</v>
      </c>
      <c r="Z1903" s="38" t="n">
        <f aca="false">IF(Y1903=0,0,IF(T1903="Backlog",Q1903,Q1903*Dashboard!$C$10))</f>
        <v>0</v>
      </c>
      <c r="AA1903" s="37" t="n">
        <f aca="false">IF($N1903="",0,IF(COUNTIF(Dashboard!$C$13:$C$22,$N1903)&gt;0,1,0))</f>
        <v>0</v>
      </c>
      <c r="AB1903" s="37" t="str">
        <f aca="false">IF($N1903="","",IF(COUNTIF($N$8:$N1903,$N1903)=1,MAX($AB$7:$AB1902)+1,""))</f>
        <v/>
      </c>
    </row>
    <row r="1904" customFormat="false" ht="15" hidden="false" customHeight="false" outlineLevel="0" collapsed="false">
      <c r="L1904" s="37" t="str">
        <f aca="false">IF(INDEX($A1904:$J1904,$L$6)&lt;&gt;"",TRIM(LEFT(INDEX($A1904:$J1904,$L$6),FIND("(",INDEX($A1904:$J1904,$L$6)&amp;"(")-1)),L1903)</f>
        <v>Building Value Proposition</v>
      </c>
      <c r="M1904" s="37" t="str">
        <f aca="false">IF(INDEX($A1904:$J1904,$M$6)="","",INDEX($A1904:$J1904,$M$6)&amp;"")</f>
        <v/>
      </c>
      <c r="N1904" s="37" t="str">
        <f aca="false">IF($M1904="","",TRIM(INDEX($A1904:$J1904,$N$6)&amp;""))</f>
        <v/>
      </c>
      <c r="O1904" s="37" t="str">
        <f aca="false">IF($M1904="","",TRIM(INDEX($A1904:$J1904,$O$6)&amp;""))</f>
        <v/>
      </c>
      <c r="P1904" s="37" t="str">
        <f aca="false">IF($M1904="","",IFERROR(IF(INDEX(Settings!$B$41:$B$50,MATCH(O1904,Settings!$A$41:$A$50,0))&amp;""="","UNMAPPED",INDEX(Settings!$B$41:$B$50,MATCH(O1904,Settings!$A$41:$A$50,0))&amp;""),"UNMAPPED"))</f>
        <v/>
      </c>
      <c r="Q1904" s="38" t="n">
        <f aca="false">IF($M1904="",0,N(INDEX($A1904:$J1904,$Q$6)))</f>
        <v>0</v>
      </c>
      <c r="R1904" s="39" t="str">
        <f aca="false">IF($M1904="","",INDEX($A1904:$J1904,$R$6))</f>
        <v/>
      </c>
      <c r="S1904" s="37" t="str">
        <f aca="false">IF($M1904="","",IFERROR(INDEX(Settings!$B$27:$B$36,MATCH(L1904,Settings!$A$27:$A$36,0))&amp;"","UNMAPPED"))</f>
        <v/>
      </c>
      <c r="T1904" s="37" t="str">
        <f aca="false">IF($M1904="","",IF(NOT(ISNUMBER(R1904)),"NO DATE",IF(S1904="Won",IF(R1904&gt;Settings!$B$5,"Backlog","Delivered"),IF(S1904="Open",IF(R1904&gt;Settings!$B$5,"Pipeline","Overdue"),IF(S1904="Lost","Lost","UNMAPPED")))))</f>
        <v/>
      </c>
      <c r="U1904" s="40" t="n">
        <f aca="false">IF(T1904="Backlog",1,IF(OR(T1904="Pipeline",T1904="Overdue"),N(INDEX(Settings!$C$27:$C$36,MATCH(L1904,Settings!$A$27:$A$36,0))),0))</f>
        <v>0</v>
      </c>
      <c r="V1904" s="38" t="n">
        <f aca="false">Q1904*U1904</f>
        <v>0</v>
      </c>
      <c r="W1904" s="41" t="str">
        <f aca="false">IF($M1904="","",IF(T1904="Overdue",IF(Settings!$B$8="Yes",Settings!$B$7,""),IF(ISNUMBER(R1904),DATE(YEAR(R1904),MONTH(R1904),1),"")))</f>
        <v/>
      </c>
      <c r="X1904" s="38" t="n">
        <f aca="false">IF(AND(OR(T1904="Backlog",T1904="Pipeline",T1904="Overdue"),ISNUMBER(W1904)),IF(W1904&lt;=Settings!$B$6,V1904,0),0)</f>
        <v>0</v>
      </c>
      <c r="Y1904" s="38" t="n">
        <f aca="false">IF(AND(OR(T1904="Backlog",T1904="Pipeline",T1904="Overdue"),ISNUMBER(W1904)),IF(W1904&lt;=Settings!$B$6,Q1904,0),0)</f>
        <v>0</v>
      </c>
      <c r="Z1904" s="38" t="n">
        <f aca="false">IF(Y1904=0,0,IF(T1904="Backlog",Q1904,Q1904*Dashboard!$C$10))</f>
        <v>0</v>
      </c>
      <c r="AA1904" s="37" t="n">
        <f aca="false">IF($N1904="",0,IF(COUNTIF(Dashboard!$C$13:$C$22,$N1904)&gt;0,1,0))</f>
        <v>0</v>
      </c>
      <c r="AB1904" s="37" t="str">
        <f aca="false">IF($N1904="","",IF(COUNTIF($N$8:$N1904,$N1904)=1,MAX($AB$7:$AB1903)+1,""))</f>
        <v/>
      </c>
    </row>
    <row r="1905" customFormat="false" ht="15" hidden="false" customHeight="false" outlineLevel="0" collapsed="false">
      <c r="L1905" s="37" t="str">
        <f aca="false">IF(INDEX($A1905:$J1905,$L$6)&lt;&gt;"",TRIM(LEFT(INDEX($A1905:$J1905,$L$6),FIND("(",INDEX($A1905:$J1905,$L$6)&amp;"(")-1)),L1904)</f>
        <v>Building Value Proposition</v>
      </c>
      <c r="M1905" s="37" t="str">
        <f aca="false">IF(INDEX($A1905:$J1905,$M$6)="","",INDEX($A1905:$J1905,$M$6)&amp;"")</f>
        <v/>
      </c>
      <c r="N1905" s="37" t="str">
        <f aca="false">IF($M1905="","",TRIM(INDEX($A1905:$J1905,$N$6)&amp;""))</f>
        <v/>
      </c>
      <c r="O1905" s="37" t="str">
        <f aca="false">IF($M1905="","",TRIM(INDEX($A1905:$J1905,$O$6)&amp;""))</f>
        <v/>
      </c>
      <c r="P1905" s="37" t="str">
        <f aca="false">IF($M1905="","",IFERROR(IF(INDEX(Settings!$B$41:$B$50,MATCH(O1905,Settings!$A$41:$A$50,0))&amp;""="","UNMAPPED",INDEX(Settings!$B$41:$B$50,MATCH(O1905,Settings!$A$41:$A$50,0))&amp;""),"UNMAPPED"))</f>
        <v/>
      </c>
      <c r="Q1905" s="38" t="n">
        <f aca="false">IF($M1905="",0,N(INDEX($A1905:$J1905,$Q$6)))</f>
        <v>0</v>
      </c>
      <c r="R1905" s="39" t="str">
        <f aca="false">IF($M1905="","",INDEX($A1905:$J1905,$R$6))</f>
        <v/>
      </c>
      <c r="S1905" s="37" t="str">
        <f aca="false">IF($M1905="","",IFERROR(INDEX(Settings!$B$27:$B$36,MATCH(L1905,Settings!$A$27:$A$36,0))&amp;"","UNMAPPED"))</f>
        <v/>
      </c>
      <c r="T1905" s="37" t="str">
        <f aca="false">IF($M1905="","",IF(NOT(ISNUMBER(R1905)),"NO DATE",IF(S1905="Won",IF(R1905&gt;Settings!$B$5,"Backlog","Delivered"),IF(S1905="Open",IF(R1905&gt;Settings!$B$5,"Pipeline","Overdue"),IF(S1905="Lost","Lost","UNMAPPED")))))</f>
        <v/>
      </c>
      <c r="U1905" s="40" t="n">
        <f aca="false">IF(T1905="Backlog",1,IF(OR(T1905="Pipeline",T1905="Overdue"),N(INDEX(Settings!$C$27:$C$36,MATCH(L1905,Settings!$A$27:$A$36,0))),0))</f>
        <v>0</v>
      </c>
      <c r="V1905" s="38" t="n">
        <f aca="false">Q1905*U1905</f>
        <v>0</v>
      </c>
      <c r="W1905" s="41" t="str">
        <f aca="false">IF($M1905="","",IF(T1905="Overdue",IF(Settings!$B$8="Yes",Settings!$B$7,""),IF(ISNUMBER(R1905),DATE(YEAR(R1905),MONTH(R1905),1),"")))</f>
        <v/>
      </c>
      <c r="X1905" s="38" t="n">
        <f aca="false">IF(AND(OR(T1905="Backlog",T1905="Pipeline",T1905="Overdue"),ISNUMBER(W1905)),IF(W1905&lt;=Settings!$B$6,V1905,0),0)</f>
        <v>0</v>
      </c>
      <c r="Y1905" s="38" t="n">
        <f aca="false">IF(AND(OR(T1905="Backlog",T1905="Pipeline",T1905="Overdue"),ISNUMBER(W1905)),IF(W1905&lt;=Settings!$B$6,Q1905,0),0)</f>
        <v>0</v>
      </c>
      <c r="Z1905" s="38" t="n">
        <f aca="false">IF(Y1905=0,0,IF(T1905="Backlog",Q1905,Q1905*Dashboard!$C$10))</f>
        <v>0</v>
      </c>
      <c r="AA1905" s="37" t="n">
        <f aca="false">IF($N1905="",0,IF(COUNTIF(Dashboard!$C$13:$C$22,$N1905)&gt;0,1,0))</f>
        <v>0</v>
      </c>
      <c r="AB1905" s="37" t="str">
        <f aca="false">IF($N1905="","",IF(COUNTIF($N$8:$N1905,$N1905)=1,MAX($AB$7:$AB1904)+1,""))</f>
        <v/>
      </c>
    </row>
    <row r="1906" customFormat="false" ht="15" hidden="false" customHeight="false" outlineLevel="0" collapsed="false">
      <c r="L1906" s="37" t="str">
        <f aca="false">IF(INDEX($A1906:$J1906,$L$6)&lt;&gt;"",TRIM(LEFT(INDEX($A1906:$J1906,$L$6),FIND("(",INDEX($A1906:$J1906,$L$6)&amp;"(")-1)),L1905)</f>
        <v>Building Value Proposition</v>
      </c>
      <c r="M1906" s="37" t="str">
        <f aca="false">IF(INDEX($A1906:$J1906,$M$6)="","",INDEX($A1906:$J1906,$M$6)&amp;"")</f>
        <v/>
      </c>
      <c r="N1906" s="37" t="str">
        <f aca="false">IF($M1906="","",TRIM(INDEX($A1906:$J1906,$N$6)&amp;""))</f>
        <v/>
      </c>
      <c r="O1906" s="37" t="str">
        <f aca="false">IF($M1906="","",TRIM(INDEX($A1906:$J1906,$O$6)&amp;""))</f>
        <v/>
      </c>
      <c r="P1906" s="37" t="str">
        <f aca="false">IF($M1906="","",IFERROR(IF(INDEX(Settings!$B$41:$B$50,MATCH(O1906,Settings!$A$41:$A$50,0))&amp;""="","UNMAPPED",INDEX(Settings!$B$41:$B$50,MATCH(O1906,Settings!$A$41:$A$50,0))&amp;""),"UNMAPPED"))</f>
        <v/>
      </c>
      <c r="Q1906" s="38" t="n">
        <f aca="false">IF($M1906="",0,N(INDEX($A1906:$J1906,$Q$6)))</f>
        <v>0</v>
      </c>
      <c r="R1906" s="39" t="str">
        <f aca="false">IF($M1906="","",INDEX($A1906:$J1906,$R$6))</f>
        <v/>
      </c>
      <c r="S1906" s="37" t="str">
        <f aca="false">IF($M1906="","",IFERROR(INDEX(Settings!$B$27:$B$36,MATCH(L1906,Settings!$A$27:$A$36,0))&amp;"","UNMAPPED"))</f>
        <v/>
      </c>
      <c r="T1906" s="37" t="str">
        <f aca="false">IF($M1906="","",IF(NOT(ISNUMBER(R1906)),"NO DATE",IF(S1906="Won",IF(R1906&gt;Settings!$B$5,"Backlog","Delivered"),IF(S1906="Open",IF(R1906&gt;Settings!$B$5,"Pipeline","Overdue"),IF(S1906="Lost","Lost","UNMAPPED")))))</f>
        <v/>
      </c>
      <c r="U1906" s="40" t="n">
        <f aca="false">IF(T1906="Backlog",1,IF(OR(T1906="Pipeline",T1906="Overdue"),N(INDEX(Settings!$C$27:$C$36,MATCH(L1906,Settings!$A$27:$A$36,0))),0))</f>
        <v>0</v>
      </c>
      <c r="V1906" s="38" t="n">
        <f aca="false">Q1906*U1906</f>
        <v>0</v>
      </c>
      <c r="W1906" s="41" t="str">
        <f aca="false">IF($M1906="","",IF(T1906="Overdue",IF(Settings!$B$8="Yes",Settings!$B$7,""),IF(ISNUMBER(R1906),DATE(YEAR(R1906),MONTH(R1906),1),"")))</f>
        <v/>
      </c>
      <c r="X1906" s="38" t="n">
        <f aca="false">IF(AND(OR(T1906="Backlog",T1906="Pipeline",T1906="Overdue"),ISNUMBER(W1906)),IF(W1906&lt;=Settings!$B$6,V1906,0),0)</f>
        <v>0</v>
      </c>
      <c r="Y1906" s="38" t="n">
        <f aca="false">IF(AND(OR(T1906="Backlog",T1906="Pipeline",T1906="Overdue"),ISNUMBER(W1906)),IF(W1906&lt;=Settings!$B$6,Q1906,0),0)</f>
        <v>0</v>
      </c>
      <c r="Z1906" s="38" t="n">
        <f aca="false">IF(Y1906=0,0,IF(T1906="Backlog",Q1906,Q1906*Dashboard!$C$10))</f>
        <v>0</v>
      </c>
      <c r="AA1906" s="37" t="n">
        <f aca="false">IF($N1906="",0,IF(COUNTIF(Dashboard!$C$13:$C$22,$N1906)&gt;0,1,0))</f>
        <v>0</v>
      </c>
      <c r="AB1906" s="37" t="str">
        <f aca="false">IF($N1906="","",IF(COUNTIF($N$8:$N1906,$N1906)=1,MAX($AB$7:$AB1905)+1,""))</f>
        <v/>
      </c>
    </row>
    <row r="1907" customFormat="false" ht="15" hidden="false" customHeight="false" outlineLevel="0" collapsed="false">
      <c r="L1907" s="37" t="str">
        <f aca="false">IF(INDEX($A1907:$J1907,$L$6)&lt;&gt;"",TRIM(LEFT(INDEX($A1907:$J1907,$L$6),FIND("(",INDEX($A1907:$J1907,$L$6)&amp;"(")-1)),L1906)</f>
        <v>Building Value Proposition</v>
      </c>
      <c r="M1907" s="37" t="str">
        <f aca="false">IF(INDEX($A1907:$J1907,$M$6)="","",INDEX($A1907:$J1907,$M$6)&amp;"")</f>
        <v/>
      </c>
      <c r="N1907" s="37" t="str">
        <f aca="false">IF($M1907="","",TRIM(INDEX($A1907:$J1907,$N$6)&amp;""))</f>
        <v/>
      </c>
      <c r="O1907" s="37" t="str">
        <f aca="false">IF($M1907="","",TRIM(INDEX($A1907:$J1907,$O$6)&amp;""))</f>
        <v/>
      </c>
      <c r="P1907" s="37" t="str">
        <f aca="false">IF($M1907="","",IFERROR(IF(INDEX(Settings!$B$41:$B$50,MATCH(O1907,Settings!$A$41:$A$50,0))&amp;""="","UNMAPPED",INDEX(Settings!$B$41:$B$50,MATCH(O1907,Settings!$A$41:$A$50,0))&amp;""),"UNMAPPED"))</f>
        <v/>
      </c>
      <c r="Q1907" s="38" t="n">
        <f aca="false">IF($M1907="",0,N(INDEX($A1907:$J1907,$Q$6)))</f>
        <v>0</v>
      </c>
      <c r="R1907" s="39" t="str">
        <f aca="false">IF($M1907="","",INDEX($A1907:$J1907,$R$6))</f>
        <v/>
      </c>
      <c r="S1907" s="37" t="str">
        <f aca="false">IF($M1907="","",IFERROR(INDEX(Settings!$B$27:$B$36,MATCH(L1907,Settings!$A$27:$A$36,0))&amp;"","UNMAPPED"))</f>
        <v/>
      </c>
      <c r="T1907" s="37" t="str">
        <f aca="false">IF($M1907="","",IF(NOT(ISNUMBER(R1907)),"NO DATE",IF(S1907="Won",IF(R1907&gt;Settings!$B$5,"Backlog","Delivered"),IF(S1907="Open",IF(R1907&gt;Settings!$B$5,"Pipeline","Overdue"),IF(S1907="Lost","Lost","UNMAPPED")))))</f>
        <v/>
      </c>
      <c r="U1907" s="40" t="n">
        <f aca="false">IF(T1907="Backlog",1,IF(OR(T1907="Pipeline",T1907="Overdue"),N(INDEX(Settings!$C$27:$C$36,MATCH(L1907,Settings!$A$27:$A$36,0))),0))</f>
        <v>0</v>
      </c>
      <c r="V1907" s="38" t="n">
        <f aca="false">Q1907*U1907</f>
        <v>0</v>
      </c>
      <c r="W1907" s="41" t="str">
        <f aca="false">IF($M1907="","",IF(T1907="Overdue",IF(Settings!$B$8="Yes",Settings!$B$7,""),IF(ISNUMBER(R1907),DATE(YEAR(R1907),MONTH(R1907),1),"")))</f>
        <v/>
      </c>
      <c r="X1907" s="38" t="n">
        <f aca="false">IF(AND(OR(T1907="Backlog",T1907="Pipeline",T1907="Overdue"),ISNUMBER(W1907)),IF(W1907&lt;=Settings!$B$6,V1907,0),0)</f>
        <v>0</v>
      </c>
      <c r="Y1907" s="38" t="n">
        <f aca="false">IF(AND(OR(T1907="Backlog",T1907="Pipeline",T1907="Overdue"),ISNUMBER(W1907)),IF(W1907&lt;=Settings!$B$6,Q1907,0),0)</f>
        <v>0</v>
      </c>
      <c r="Z1907" s="38" t="n">
        <f aca="false">IF(Y1907=0,0,IF(T1907="Backlog",Q1907,Q1907*Dashboard!$C$10))</f>
        <v>0</v>
      </c>
      <c r="AA1907" s="37" t="n">
        <f aca="false">IF($N1907="",0,IF(COUNTIF(Dashboard!$C$13:$C$22,$N1907)&gt;0,1,0))</f>
        <v>0</v>
      </c>
      <c r="AB1907" s="37" t="str">
        <f aca="false">IF($N1907="","",IF(COUNTIF($N$8:$N1907,$N1907)=1,MAX($AB$7:$AB1906)+1,""))</f>
        <v/>
      </c>
    </row>
    <row r="1908" customFormat="false" ht="15" hidden="false" customHeight="false" outlineLevel="0" collapsed="false">
      <c r="L1908" s="37" t="str">
        <f aca="false">IF(INDEX($A1908:$J1908,$L$6)&lt;&gt;"",TRIM(LEFT(INDEX($A1908:$J1908,$L$6),FIND("(",INDEX($A1908:$J1908,$L$6)&amp;"(")-1)),L1907)</f>
        <v>Building Value Proposition</v>
      </c>
      <c r="M1908" s="37" t="str">
        <f aca="false">IF(INDEX($A1908:$J1908,$M$6)="","",INDEX($A1908:$J1908,$M$6)&amp;"")</f>
        <v/>
      </c>
      <c r="N1908" s="37" t="str">
        <f aca="false">IF($M1908="","",TRIM(INDEX($A1908:$J1908,$N$6)&amp;""))</f>
        <v/>
      </c>
      <c r="O1908" s="37" t="str">
        <f aca="false">IF($M1908="","",TRIM(INDEX($A1908:$J1908,$O$6)&amp;""))</f>
        <v/>
      </c>
      <c r="P1908" s="37" t="str">
        <f aca="false">IF($M1908="","",IFERROR(IF(INDEX(Settings!$B$41:$B$50,MATCH(O1908,Settings!$A$41:$A$50,0))&amp;""="","UNMAPPED",INDEX(Settings!$B$41:$B$50,MATCH(O1908,Settings!$A$41:$A$50,0))&amp;""),"UNMAPPED"))</f>
        <v/>
      </c>
      <c r="Q1908" s="38" t="n">
        <f aca="false">IF($M1908="",0,N(INDEX($A1908:$J1908,$Q$6)))</f>
        <v>0</v>
      </c>
      <c r="R1908" s="39" t="str">
        <f aca="false">IF($M1908="","",INDEX($A1908:$J1908,$R$6))</f>
        <v/>
      </c>
      <c r="S1908" s="37" t="str">
        <f aca="false">IF($M1908="","",IFERROR(INDEX(Settings!$B$27:$B$36,MATCH(L1908,Settings!$A$27:$A$36,0))&amp;"","UNMAPPED"))</f>
        <v/>
      </c>
      <c r="T1908" s="37" t="str">
        <f aca="false">IF($M1908="","",IF(NOT(ISNUMBER(R1908)),"NO DATE",IF(S1908="Won",IF(R1908&gt;Settings!$B$5,"Backlog","Delivered"),IF(S1908="Open",IF(R1908&gt;Settings!$B$5,"Pipeline","Overdue"),IF(S1908="Lost","Lost","UNMAPPED")))))</f>
        <v/>
      </c>
      <c r="U1908" s="40" t="n">
        <f aca="false">IF(T1908="Backlog",1,IF(OR(T1908="Pipeline",T1908="Overdue"),N(INDEX(Settings!$C$27:$C$36,MATCH(L1908,Settings!$A$27:$A$36,0))),0))</f>
        <v>0</v>
      </c>
      <c r="V1908" s="38" t="n">
        <f aca="false">Q1908*U1908</f>
        <v>0</v>
      </c>
      <c r="W1908" s="41" t="str">
        <f aca="false">IF($M1908="","",IF(T1908="Overdue",IF(Settings!$B$8="Yes",Settings!$B$7,""),IF(ISNUMBER(R1908),DATE(YEAR(R1908),MONTH(R1908),1),"")))</f>
        <v/>
      </c>
      <c r="X1908" s="38" t="n">
        <f aca="false">IF(AND(OR(T1908="Backlog",T1908="Pipeline",T1908="Overdue"),ISNUMBER(W1908)),IF(W1908&lt;=Settings!$B$6,V1908,0),0)</f>
        <v>0</v>
      </c>
      <c r="Y1908" s="38" t="n">
        <f aca="false">IF(AND(OR(T1908="Backlog",T1908="Pipeline",T1908="Overdue"),ISNUMBER(W1908)),IF(W1908&lt;=Settings!$B$6,Q1908,0),0)</f>
        <v>0</v>
      </c>
      <c r="Z1908" s="38" t="n">
        <f aca="false">IF(Y1908=0,0,IF(T1908="Backlog",Q1908,Q1908*Dashboard!$C$10))</f>
        <v>0</v>
      </c>
      <c r="AA1908" s="37" t="n">
        <f aca="false">IF($N1908="",0,IF(COUNTIF(Dashboard!$C$13:$C$22,$N1908)&gt;0,1,0))</f>
        <v>0</v>
      </c>
      <c r="AB1908" s="37" t="str">
        <f aca="false">IF($N1908="","",IF(COUNTIF($N$8:$N1908,$N1908)=1,MAX($AB$7:$AB1907)+1,""))</f>
        <v/>
      </c>
    </row>
    <row r="1909" customFormat="false" ht="15" hidden="false" customHeight="false" outlineLevel="0" collapsed="false">
      <c r="L1909" s="37" t="str">
        <f aca="false">IF(INDEX($A1909:$J1909,$L$6)&lt;&gt;"",TRIM(LEFT(INDEX($A1909:$J1909,$L$6),FIND("(",INDEX($A1909:$J1909,$L$6)&amp;"(")-1)),L1908)</f>
        <v>Building Value Proposition</v>
      </c>
      <c r="M1909" s="37" t="str">
        <f aca="false">IF(INDEX($A1909:$J1909,$M$6)="","",INDEX($A1909:$J1909,$M$6)&amp;"")</f>
        <v/>
      </c>
      <c r="N1909" s="37" t="str">
        <f aca="false">IF($M1909="","",TRIM(INDEX($A1909:$J1909,$N$6)&amp;""))</f>
        <v/>
      </c>
      <c r="O1909" s="37" t="str">
        <f aca="false">IF($M1909="","",TRIM(INDEX($A1909:$J1909,$O$6)&amp;""))</f>
        <v/>
      </c>
      <c r="P1909" s="37" t="str">
        <f aca="false">IF($M1909="","",IFERROR(IF(INDEX(Settings!$B$41:$B$50,MATCH(O1909,Settings!$A$41:$A$50,0))&amp;""="","UNMAPPED",INDEX(Settings!$B$41:$B$50,MATCH(O1909,Settings!$A$41:$A$50,0))&amp;""),"UNMAPPED"))</f>
        <v/>
      </c>
      <c r="Q1909" s="38" t="n">
        <f aca="false">IF($M1909="",0,N(INDEX($A1909:$J1909,$Q$6)))</f>
        <v>0</v>
      </c>
      <c r="R1909" s="39" t="str">
        <f aca="false">IF($M1909="","",INDEX($A1909:$J1909,$R$6))</f>
        <v/>
      </c>
      <c r="S1909" s="37" t="str">
        <f aca="false">IF($M1909="","",IFERROR(INDEX(Settings!$B$27:$B$36,MATCH(L1909,Settings!$A$27:$A$36,0))&amp;"","UNMAPPED"))</f>
        <v/>
      </c>
      <c r="T1909" s="37" t="str">
        <f aca="false">IF($M1909="","",IF(NOT(ISNUMBER(R1909)),"NO DATE",IF(S1909="Won",IF(R1909&gt;Settings!$B$5,"Backlog","Delivered"),IF(S1909="Open",IF(R1909&gt;Settings!$B$5,"Pipeline","Overdue"),IF(S1909="Lost","Lost","UNMAPPED")))))</f>
        <v/>
      </c>
      <c r="U1909" s="40" t="n">
        <f aca="false">IF(T1909="Backlog",1,IF(OR(T1909="Pipeline",T1909="Overdue"),N(INDEX(Settings!$C$27:$C$36,MATCH(L1909,Settings!$A$27:$A$36,0))),0))</f>
        <v>0</v>
      </c>
      <c r="V1909" s="38" t="n">
        <f aca="false">Q1909*U1909</f>
        <v>0</v>
      </c>
      <c r="W1909" s="41" t="str">
        <f aca="false">IF($M1909="","",IF(T1909="Overdue",IF(Settings!$B$8="Yes",Settings!$B$7,""),IF(ISNUMBER(R1909),DATE(YEAR(R1909),MONTH(R1909),1),"")))</f>
        <v/>
      </c>
      <c r="X1909" s="38" t="n">
        <f aca="false">IF(AND(OR(T1909="Backlog",T1909="Pipeline",T1909="Overdue"),ISNUMBER(W1909)),IF(W1909&lt;=Settings!$B$6,V1909,0),0)</f>
        <v>0</v>
      </c>
      <c r="Y1909" s="38" t="n">
        <f aca="false">IF(AND(OR(T1909="Backlog",T1909="Pipeline",T1909="Overdue"),ISNUMBER(W1909)),IF(W1909&lt;=Settings!$B$6,Q1909,0),0)</f>
        <v>0</v>
      </c>
      <c r="Z1909" s="38" t="n">
        <f aca="false">IF(Y1909=0,0,IF(T1909="Backlog",Q1909,Q1909*Dashboard!$C$10))</f>
        <v>0</v>
      </c>
      <c r="AA1909" s="37" t="n">
        <f aca="false">IF($N1909="",0,IF(COUNTIF(Dashboard!$C$13:$C$22,$N1909)&gt;0,1,0))</f>
        <v>0</v>
      </c>
      <c r="AB1909" s="37" t="str">
        <f aca="false">IF($N1909="","",IF(COUNTIF($N$8:$N1909,$N1909)=1,MAX($AB$7:$AB1908)+1,""))</f>
        <v/>
      </c>
    </row>
    <row r="1910" customFormat="false" ht="15" hidden="false" customHeight="false" outlineLevel="0" collapsed="false">
      <c r="L1910" s="37" t="str">
        <f aca="false">IF(INDEX($A1910:$J1910,$L$6)&lt;&gt;"",TRIM(LEFT(INDEX($A1910:$J1910,$L$6),FIND("(",INDEX($A1910:$J1910,$L$6)&amp;"(")-1)),L1909)</f>
        <v>Building Value Proposition</v>
      </c>
      <c r="M1910" s="37" t="str">
        <f aca="false">IF(INDEX($A1910:$J1910,$M$6)="","",INDEX($A1910:$J1910,$M$6)&amp;"")</f>
        <v/>
      </c>
      <c r="N1910" s="37" t="str">
        <f aca="false">IF($M1910="","",TRIM(INDEX($A1910:$J1910,$N$6)&amp;""))</f>
        <v/>
      </c>
      <c r="O1910" s="37" t="str">
        <f aca="false">IF($M1910="","",TRIM(INDEX($A1910:$J1910,$O$6)&amp;""))</f>
        <v/>
      </c>
      <c r="P1910" s="37" t="str">
        <f aca="false">IF($M1910="","",IFERROR(IF(INDEX(Settings!$B$41:$B$50,MATCH(O1910,Settings!$A$41:$A$50,0))&amp;""="","UNMAPPED",INDEX(Settings!$B$41:$B$50,MATCH(O1910,Settings!$A$41:$A$50,0))&amp;""),"UNMAPPED"))</f>
        <v/>
      </c>
      <c r="Q1910" s="38" t="n">
        <f aca="false">IF($M1910="",0,N(INDEX($A1910:$J1910,$Q$6)))</f>
        <v>0</v>
      </c>
      <c r="R1910" s="39" t="str">
        <f aca="false">IF($M1910="","",INDEX($A1910:$J1910,$R$6))</f>
        <v/>
      </c>
      <c r="S1910" s="37" t="str">
        <f aca="false">IF($M1910="","",IFERROR(INDEX(Settings!$B$27:$B$36,MATCH(L1910,Settings!$A$27:$A$36,0))&amp;"","UNMAPPED"))</f>
        <v/>
      </c>
      <c r="T1910" s="37" t="str">
        <f aca="false">IF($M1910="","",IF(NOT(ISNUMBER(R1910)),"NO DATE",IF(S1910="Won",IF(R1910&gt;Settings!$B$5,"Backlog","Delivered"),IF(S1910="Open",IF(R1910&gt;Settings!$B$5,"Pipeline","Overdue"),IF(S1910="Lost","Lost","UNMAPPED")))))</f>
        <v/>
      </c>
      <c r="U1910" s="40" t="n">
        <f aca="false">IF(T1910="Backlog",1,IF(OR(T1910="Pipeline",T1910="Overdue"),N(INDEX(Settings!$C$27:$C$36,MATCH(L1910,Settings!$A$27:$A$36,0))),0))</f>
        <v>0</v>
      </c>
      <c r="V1910" s="38" t="n">
        <f aca="false">Q1910*U1910</f>
        <v>0</v>
      </c>
      <c r="W1910" s="41" t="str">
        <f aca="false">IF($M1910="","",IF(T1910="Overdue",IF(Settings!$B$8="Yes",Settings!$B$7,""),IF(ISNUMBER(R1910),DATE(YEAR(R1910),MONTH(R1910),1),"")))</f>
        <v/>
      </c>
      <c r="X1910" s="38" t="n">
        <f aca="false">IF(AND(OR(T1910="Backlog",T1910="Pipeline",T1910="Overdue"),ISNUMBER(W1910)),IF(W1910&lt;=Settings!$B$6,V1910,0),0)</f>
        <v>0</v>
      </c>
      <c r="Y1910" s="38" t="n">
        <f aca="false">IF(AND(OR(T1910="Backlog",T1910="Pipeline",T1910="Overdue"),ISNUMBER(W1910)),IF(W1910&lt;=Settings!$B$6,Q1910,0),0)</f>
        <v>0</v>
      </c>
      <c r="Z1910" s="38" t="n">
        <f aca="false">IF(Y1910=0,0,IF(T1910="Backlog",Q1910,Q1910*Dashboard!$C$10))</f>
        <v>0</v>
      </c>
      <c r="AA1910" s="37" t="n">
        <f aca="false">IF($N1910="",0,IF(COUNTIF(Dashboard!$C$13:$C$22,$N1910)&gt;0,1,0))</f>
        <v>0</v>
      </c>
      <c r="AB1910" s="37" t="str">
        <f aca="false">IF($N1910="","",IF(COUNTIF($N$8:$N1910,$N1910)=1,MAX($AB$7:$AB1909)+1,""))</f>
        <v/>
      </c>
    </row>
    <row r="1911" customFormat="false" ht="15" hidden="false" customHeight="false" outlineLevel="0" collapsed="false">
      <c r="L1911" s="37" t="str">
        <f aca="false">IF(INDEX($A1911:$J1911,$L$6)&lt;&gt;"",TRIM(LEFT(INDEX($A1911:$J1911,$L$6),FIND("(",INDEX($A1911:$J1911,$L$6)&amp;"(")-1)),L1910)</f>
        <v>Building Value Proposition</v>
      </c>
      <c r="M1911" s="37" t="str">
        <f aca="false">IF(INDEX($A1911:$J1911,$M$6)="","",INDEX($A1911:$J1911,$M$6)&amp;"")</f>
        <v/>
      </c>
      <c r="N1911" s="37" t="str">
        <f aca="false">IF($M1911="","",TRIM(INDEX($A1911:$J1911,$N$6)&amp;""))</f>
        <v/>
      </c>
      <c r="O1911" s="37" t="str">
        <f aca="false">IF($M1911="","",TRIM(INDEX($A1911:$J1911,$O$6)&amp;""))</f>
        <v/>
      </c>
      <c r="P1911" s="37" t="str">
        <f aca="false">IF($M1911="","",IFERROR(IF(INDEX(Settings!$B$41:$B$50,MATCH(O1911,Settings!$A$41:$A$50,0))&amp;""="","UNMAPPED",INDEX(Settings!$B$41:$B$50,MATCH(O1911,Settings!$A$41:$A$50,0))&amp;""),"UNMAPPED"))</f>
        <v/>
      </c>
      <c r="Q1911" s="38" t="n">
        <f aca="false">IF($M1911="",0,N(INDEX($A1911:$J1911,$Q$6)))</f>
        <v>0</v>
      </c>
      <c r="R1911" s="39" t="str">
        <f aca="false">IF($M1911="","",INDEX($A1911:$J1911,$R$6))</f>
        <v/>
      </c>
      <c r="S1911" s="37" t="str">
        <f aca="false">IF($M1911="","",IFERROR(INDEX(Settings!$B$27:$B$36,MATCH(L1911,Settings!$A$27:$A$36,0))&amp;"","UNMAPPED"))</f>
        <v/>
      </c>
      <c r="T1911" s="37" t="str">
        <f aca="false">IF($M1911="","",IF(NOT(ISNUMBER(R1911)),"NO DATE",IF(S1911="Won",IF(R1911&gt;Settings!$B$5,"Backlog","Delivered"),IF(S1911="Open",IF(R1911&gt;Settings!$B$5,"Pipeline","Overdue"),IF(S1911="Lost","Lost","UNMAPPED")))))</f>
        <v/>
      </c>
      <c r="U1911" s="40" t="n">
        <f aca="false">IF(T1911="Backlog",1,IF(OR(T1911="Pipeline",T1911="Overdue"),N(INDEX(Settings!$C$27:$C$36,MATCH(L1911,Settings!$A$27:$A$36,0))),0))</f>
        <v>0</v>
      </c>
      <c r="V1911" s="38" t="n">
        <f aca="false">Q1911*U1911</f>
        <v>0</v>
      </c>
      <c r="W1911" s="41" t="str">
        <f aca="false">IF($M1911="","",IF(T1911="Overdue",IF(Settings!$B$8="Yes",Settings!$B$7,""),IF(ISNUMBER(R1911),DATE(YEAR(R1911),MONTH(R1911),1),"")))</f>
        <v/>
      </c>
      <c r="X1911" s="38" t="n">
        <f aca="false">IF(AND(OR(T1911="Backlog",T1911="Pipeline",T1911="Overdue"),ISNUMBER(W1911)),IF(W1911&lt;=Settings!$B$6,V1911,0),0)</f>
        <v>0</v>
      </c>
      <c r="Y1911" s="38" t="n">
        <f aca="false">IF(AND(OR(T1911="Backlog",T1911="Pipeline",T1911="Overdue"),ISNUMBER(W1911)),IF(W1911&lt;=Settings!$B$6,Q1911,0),0)</f>
        <v>0</v>
      </c>
      <c r="Z1911" s="38" t="n">
        <f aca="false">IF(Y1911=0,0,IF(T1911="Backlog",Q1911,Q1911*Dashboard!$C$10))</f>
        <v>0</v>
      </c>
      <c r="AA1911" s="37" t="n">
        <f aca="false">IF($N1911="",0,IF(COUNTIF(Dashboard!$C$13:$C$22,$N1911)&gt;0,1,0))</f>
        <v>0</v>
      </c>
      <c r="AB1911" s="37" t="str">
        <f aca="false">IF($N1911="","",IF(COUNTIF($N$8:$N1911,$N1911)=1,MAX($AB$7:$AB1910)+1,""))</f>
        <v/>
      </c>
    </row>
    <row r="1912" customFormat="false" ht="15" hidden="false" customHeight="false" outlineLevel="0" collapsed="false">
      <c r="L1912" s="37" t="str">
        <f aca="false">IF(INDEX($A1912:$J1912,$L$6)&lt;&gt;"",TRIM(LEFT(INDEX($A1912:$J1912,$L$6),FIND("(",INDEX($A1912:$J1912,$L$6)&amp;"(")-1)),L1911)</f>
        <v>Building Value Proposition</v>
      </c>
      <c r="M1912" s="37" t="str">
        <f aca="false">IF(INDEX($A1912:$J1912,$M$6)="","",INDEX($A1912:$J1912,$M$6)&amp;"")</f>
        <v/>
      </c>
      <c r="N1912" s="37" t="str">
        <f aca="false">IF($M1912="","",TRIM(INDEX($A1912:$J1912,$N$6)&amp;""))</f>
        <v/>
      </c>
      <c r="O1912" s="37" t="str">
        <f aca="false">IF($M1912="","",TRIM(INDEX($A1912:$J1912,$O$6)&amp;""))</f>
        <v/>
      </c>
      <c r="P1912" s="37" t="str">
        <f aca="false">IF($M1912="","",IFERROR(IF(INDEX(Settings!$B$41:$B$50,MATCH(O1912,Settings!$A$41:$A$50,0))&amp;""="","UNMAPPED",INDEX(Settings!$B$41:$B$50,MATCH(O1912,Settings!$A$41:$A$50,0))&amp;""),"UNMAPPED"))</f>
        <v/>
      </c>
      <c r="Q1912" s="38" t="n">
        <f aca="false">IF($M1912="",0,N(INDEX($A1912:$J1912,$Q$6)))</f>
        <v>0</v>
      </c>
      <c r="R1912" s="39" t="str">
        <f aca="false">IF($M1912="","",INDEX($A1912:$J1912,$R$6))</f>
        <v/>
      </c>
      <c r="S1912" s="37" t="str">
        <f aca="false">IF($M1912="","",IFERROR(INDEX(Settings!$B$27:$B$36,MATCH(L1912,Settings!$A$27:$A$36,0))&amp;"","UNMAPPED"))</f>
        <v/>
      </c>
      <c r="T1912" s="37" t="str">
        <f aca="false">IF($M1912="","",IF(NOT(ISNUMBER(R1912)),"NO DATE",IF(S1912="Won",IF(R1912&gt;Settings!$B$5,"Backlog","Delivered"),IF(S1912="Open",IF(R1912&gt;Settings!$B$5,"Pipeline","Overdue"),IF(S1912="Lost","Lost","UNMAPPED")))))</f>
        <v/>
      </c>
      <c r="U1912" s="40" t="n">
        <f aca="false">IF(T1912="Backlog",1,IF(OR(T1912="Pipeline",T1912="Overdue"),N(INDEX(Settings!$C$27:$C$36,MATCH(L1912,Settings!$A$27:$A$36,0))),0))</f>
        <v>0</v>
      </c>
      <c r="V1912" s="38" t="n">
        <f aca="false">Q1912*U1912</f>
        <v>0</v>
      </c>
      <c r="W1912" s="41" t="str">
        <f aca="false">IF($M1912="","",IF(T1912="Overdue",IF(Settings!$B$8="Yes",Settings!$B$7,""),IF(ISNUMBER(R1912),DATE(YEAR(R1912),MONTH(R1912),1),"")))</f>
        <v/>
      </c>
      <c r="X1912" s="38" t="n">
        <f aca="false">IF(AND(OR(T1912="Backlog",T1912="Pipeline",T1912="Overdue"),ISNUMBER(W1912)),IF(W1912&lt;=Settings!$B$6,V1912,0),0)</f>
        <v>0</v>
      </c>
      <c r="Y1912" s="38" t="n">
        <f aca="false">IF(AND(OR(T1912="Backlog",T1912="Pipeline",T1912="Overdue"),ISNUMBER(W1912)),IF(W1912&lt;=Settings!$B$6,Q1912,0),0)</f>
        <v>0</v>
      </c>
      <c r="Z1912" s="38" t="n">
        <f aca="false">IF(Y1912=0,0,IF(T1912="Backlog",Q1912,Q1912*Dashboard!$C$10))</f>
        <v>0</v>
      </c>
      <c r="AA1912" s="37" t="n">
        <f aca="false">IF($N1912="",0,IF(COUNTIF(Dashboard!$C$13:$C$22,$N1912)&gt;0,1,0))</f>
        <v>0</v>
      </c>
      <c r="AB1912" s="37" t="str">
        <f aca="false">IF($N1912="","",IF(COUNTIF($N$8:$N1912,$N1912)=1,MAX($AB$7:$AB1911)+1,""))</f>
        <v/>
      </c>
    </row>
    <row r="1913" customFormat="false" ht="15" hidden="false" customHeight="false" outlineLevel="0" collapsed="false">
      <c r="L1913" s="37" t="str">
        <f aca="false">IF(INDEX($A1913:$J1913,$L$6)&lt;&gt;"",TRIM(LEFT(INDEX($A1913:$J1913,$L$6),FIND("(",INDEX($A1913:$J1913,$L$6)&amp;"(")-1)),L1912)</f>
        <v>Building Value Proposition</v>
      </c>
      <c r="M1913" s="37" t="str">
        <f aca="false">IF(INDEX($A1913:$J1913,$M$6)="","",INDEX($A1913:$J1913,$M$6)&amp;"")</f>
        <v/>
      </c>
      <c r="N1913" s="37" t="str">
        <f aca="false">IF($M1913="","",TRIM(INDEX($A1913:$J1913,$N$6)&amp;""))</f>
        <v/>
      </c>
      <c r="O1913" s="37" t="str">
        <f aca="false">IF($M1913="","",TRIM(INDEX($A1913:$J1913,$O$6)&amp;""))</f>
        <v/>
      </c>
      <c r="P1913" s="37" t="str">
        <f aca="false">IF($M1913="","",IFERROR(IF(INDEX(Settings!$B$41:$B$50,MATCH(O1913,Settings!$A$41:$A$50,0))&amp;""="","UNMAPPED",INDEX(Settings!$B$41:$B$50,MATCH(O1913,Settings!$A$41:$A$50,0))&amp;""),"UNMAPPED"))</f>
        <v/>
      </c>
      <c r="Q1913" s="38" t="n">
        <f aca="false">IF($M1913="",0,N(INDEX($A1913:$J1913,$Q$6)))</f>
        <v>0</v>
      </c>
      <c r="R1913" s="39" t="str">
        <f aca="false">IF($M1913="","",INDEX($A1913:$J1913,$R$6))</f>
        <v/>
      </c>
      <c r="S1913" s="37" t="str">
        <f aca="false">IF($M1913="","",IFERROR(INDEX(Settings!$B$27:$B$36,MATCH(L1913,Settings!$A$27:$A$36,0))&amp;"","UNMAPPED"))</f>
        <v/>
      </c>
      <c r="T1913" s="37" t="str">
        <f aca="false">IF($M1913="","",IF(NOT(ISNUMBER(R1913)),"NO DATE",IF(S1913="Won",IF(R1913&gt;Settings!$B$5,"Backlog","Delivered"),IF(S1913="Open",IF(R1913&gt;Settings!$B$5,"Pipeline","Overdue"),IF(S1913="Lost","Lost","UNMAPPED")))))</f>
        <v/>
      </c>
      <c r="U1913" s="40" t="n">
        <f aca="false">IF(T1913="Backlog",1,IF(OR(T1913="Pipeline",T1913="Overdue"),N(INDEX(Settings!$C$27:$C$36,MATCH(L1913,Settings!$A$27:$A$36,0))),0))</f>
        <v>0</v>
      </c>
      <c r="V1913" s="38" t="n">
        <f aca="false">Q1913*U1913</f>
        <v>0</v>
      </c>
      <c r="W1913" s="41" t="str">
        <f aca="false">IF($M1913="","",IF(T1913="Overdue",IF(Settings!$B$8="Yes",Settings!$B$7,""),IF(ISNUMBER(R1913),DATE(YEAR(R1913),MONTH(R1913),1),"")))</f>
        <v/>
      </c>
      <c r="X1913" s="38" t="n">
        <f aca="false">IF(AND(OR(T1913="Backlog",T1913="Pipeline",T1913="Overdue"),ISNUMBER(W1913)),IF(W1913&lt;=Settings!$B$6,V1913,0),0)</f>
        <v>0</v>
      </c>
      <c r="Y1913" s="38" t="n">
        <f aca="false">IF(AND(OR(T1913="Backlog",T1913="Pipeline",T1913="Overdue"),ISNUMBER(W1913)),IF(W1913&lt;=Settings!$B$6,Q1913,0),0)</f>
        <v>0</v>
      </c>
      <c r="Z1913" s="38" t="n">
        <f aca="false">IF(Y1913=0,0,IF(T1913="Backlog",Q1913,Q1913*Dashboard!$C$10))</f>
        <v>0</v>
      </c>
      <c r="AA1913" s="37" t="n">
        <f aca="false">IF($N1913="",0,IF(COUNTIF(Dashboard!$C$13:$C$22,$N1913)&gt;0,1,0))</f>
        <v>0</v>
      </c>
      <c r="AB1913" s="37" t="str">
        <f aca="false">IF($N1913="","",IF(COUNTIF($N$8:$N1913,$N1913)=1,MAX($AB$7:$AB1912)+1,""))</f>
        <v/>
      </c>
    </row>
    <row r="1914" customFormat="false" ht="15" hidden="false" customHeight="false" outlineLevel="0" collapsed="false">
      <c r="L1914" s="37" t="str">
        <f aca="false">IF(INDEX($A1914:$J1914,$L$6)&lt;&gt;"",TRIM(LEFT(INDEX($A1914:$J1914,$L$6),FIND("(",INDEX($A1914:$J1914,$L$6)&amp;"(")-1)),L1913)</f>
        <v>Building Value Proposition</v>
      </c>
      <c r="M1914" s="37" t="str">
        <f aca="false">IF(INDEX($A1914:$J1914,$M$6)="","",INDEX($A1914:$J1914,$M$6)&amp;"")</f>
        <v/>
      </c>
      <c r="N1914" s="37" t="str">
        <f aca="false">IF($M1914="","",TRIM(INDEX($A1914:$J1914,$N$6)&amp;""))</f>
        <v/>
      </c>
      <c r="O1914" s="37" t="str">
        <f aca="false">IF($M1914="","",TRIM(INDEX($A1914:$J1914,$O$6)&amp;""))</f>
        <v/>
      </c>
      <c r="P1914" s="37" t="str">
        <f aca="false">IF($M1914="","",IFERROR(IF(INDEX(Settings!$B$41:$B$50,MATCH(O1914,Settings!$A$41:$A$50,0))&amp;""="","UNMAPPED",INDEX(Settings!$B$41:$B$50,MATCH(O1914,Settings!$A$41:$A$50,0))&amp;""),"UNMAPPED"))</f>
        <v/>
      </c>
      <c r="Q1914" s="38" t="n">
        <f aca="false">IF($M1914="",0,N(INDEX($A1914:$J1914,$Q$6)))</f>
        <v>0</v>
      </c>
      <c r="R1914" s="39" t="str">
        <f aca="false">IF($M1914="","",INDEX($A1914:$J1914,$R$6))</f>
        <v/>
      </c>
      <c r="S1914" s="37" t="str">
        <f aca="false">IF($M1914="","",IFERROR(INDEX(Settings!$B$27:$B$36,MATCH(L1914,Settings!$A$27:$A$36,0))&amp;"","UNMAPPED"))</f>
        <v/>
      </c>
      <c r="T1914" s="37" t="str">
        <f aca="false">IF($M1914="","",IF(NOT(ISNUMBER(R1914)),"NO DATE",IF(S1914="Won",IF(R1914&gt;Settings!$B$5,"Backlog","Delivered"),IF(S1914="Open",IF(R1914&gt;Settings!$B$5,"Pipeline","Overdue"),IF(S1914="Lost","Lost","UNMAPPED")))))</f>
        <v/>
      </c>
      <c r="U1914" s="40" t="n">
        <f aca="false">IF(T1914="Backlog",1,IF(OR(T1914="Pipeline",T1914="Overdue"),N(INDEX(Settings!$C$27:$C$36,MATCH(L1914,Settings!$A$27:$A$36,0))),0))</f>
        <v>0</v>
      </c>
      <c r="V1914" s="38" t="n">
        <f aca="false">Q1914*U1914</f>
        <v>0</v>
      </c>
      <c r="W1914" s="41" t="str">
        <f aca="false">IF($M1914="","",IF(T1914="Overdue",IF(Settings!$B$8="Yes",Settings!$B$7,""),IF(ISNUMBER(R1914),DATE(YEAR(R1914),MONTH(R1914),1),"")))</f>
        <v/>
      </c>
      <c r="X1914" s="38" t="n">
        <f aca="false">IF(AND(OR(T1914="Backlog",T1914="Pipeline",T1914="Overdue"),ISNUMBER(W1914)),IF(W1914&lt;=Settings!$B$6,V1914,0),0)</f>
        <v>0</v>
      </c>
      <c r="Y1914" s="38" t="n">
        <f aca="false">IF(AND(OR(T1914="Backlog",T1914="Pipeline",T1914="Overdue"),ISNUMBER(W1914)),IF(W1914&lt;=Settings!$B$6,Q1914,0),0)</f>
        <v>0</v>
      </c>
      <c r="Z1914" s="38" t="n">
        <f aca="false">IF(Y1914=0,0,IF(T1914="Backlog",Q1914,Q1914*Dashboard!$C$10))</f>
        <v>0</v>
      </c>
      <c r="AA1914" s="37" t="n">
        <f aca="false">IF($N1914="",0,IF(COUNTIF(Dashboard!$C$13:$C$22,$N1914)&gt;0,1,0))</f>
        <v>0</v>
      </c>
      <c r="AB1914" s="37" t="str">
        <f aca="false">IF($N1914="","",IF(COUNTIF($N$8:$N1914,$N1914)=1,MAX($AB$7:$AB1913)+1,""))</f>
        <v/>
      </c>
    </row>
    <row r="1915" customFormat="false" ht="15" hidden="false" customHeight="false" outlineLevel="0" collapsed="false">
      <c r="L1915" s="37" t="str">
        <f aca="false">IF(INDEX($A1915:$J1915,$L$6)&lt;&gt;"",TRIM(LEFT(INDEX($A1915:$J1915,$L$6),FIND("(",INDEX($A1915:$J1915,$L$6)&amp;"(")-1)),L1914)</f>
        <v>Building Value Proposition</v>
      </c>
      <c r="M1915" s="37" t="str">
        <f aca="false">IF(INDEX($A1915:$J1915,$M$6)="","",INDEX($A1915:$J1915,$M$6)&amp;"")</f>
        <v/>
      </c>
      <c r="N1915" s="37" t="str">
        <f aca="false">IF($M1915="","",TRIM(INDEX($A1915:$J1915,$N$6)&amp;""))</f>
        <v/>
      </c>
      <c r="O1915" s="37" t="str">
        <f aca="false">IF($M1915="","",TRIM(INDEX($A1915:$J1915,$O$6)&amp;""))</f>
        <v/>
      </c>
      <c r="P1915" s="37" t="str">
        <f aca="false">IF($M1915="","",IFERROR(IF(INDEX(Settings!$B$41:$B$50,MATCH(O1915,Settings!$A$41:$A$50,0))&amp;""="","UNMAPPED",INDEX(Settings!$B$41:$B$50,MATCH(O1915,Settings!$A$41:$A$50,0))&amp;""),"UNMAPPED"))</f>
        <v/>
      </c>
      <c r="Q1915" s="38" t="n">
        <f aca="false">IF($M1915="",0,N(INDEX($A1915:$J1915,$Q$6)))</f>
        <v>0</v>
      </c>
      <c r="R1915" s="39" t="str">
        <f aca="false">IF($M1915="","",INDEX($A1915:$J1915,$R$6))</f>
        <v/>
      </c>
      <c r="S1915" s="37" t="str">
        <f aca="false">IF($M1915="","",IFERROR(INDEX(Settings!$B$27:$B$36,MATCH(L1915,Settings!$A$27:$A$36,0))&amp;"","UNMAPPED"))</f>
        <v/>
      </c>
      <c r="T1915" s="37" t="str">
        <f aca="false">IF($M1915="","",IF(NOT(ISNUMBER(R1915)),"NO DATE",IF(S1915="Won",IF(R1915&gt;Settings!$B$5,"Backlog","Delivered"),IF(S1915="Open",IF(R1915&gt;Settings!$B$5,"Pipeline","Overdue"),IF(S1915="Lost","Lost","UNMAPPED")))))</f>
        <v/>
      </c>
      <c r="U1915" s="40" t="n">
        <f aca="false">IF(T1915="Backlog",1,IF(OR(T1915="Pipeline",T1915="Overdue"),N(INDEX(Settings!$C$27:$C$36,MATCH(L1915,Settings!$A$27:$A$36,0))),0))</f>
        <v>0</v>
      </c>
      <c r="V1915" s="38" t="n">
        <f aca="false">Q1915*U1915</f>
        <v>0</v>
      </c>
      <c r="W1915" s="41" t="str">
        <f aca="false">IF($M1915="","",IF(T1915="Overdue",IF(Settings!$B$8="Yes",Settings!$B$7,""),IF(ISNUMBER(R1915),DATE(YEAR(R1915),MONTH(R1915),1),"")))</f>
        <v/>
      </c>
      <c r="X1915" s="38" t="n">
        <f aca="false">IF(AND(OR(T1915="Backlog",T1915="Pipeline",T1915="Overdue"),ISNUMBER(W1915)),IF(W1915&lt;=Settings!$B$6,V1915,0),0)</f>
        <v>0</v>
      </c>
      <c r="Y1915" s="38" t="n">
        <f aca="false">IF(AND(OR(T1915="Backlog",T1915="Pipeline",T1915="Overdue"),ISNUMBER(W1915)),IF(W1915&lt;=Settings!$B$6,Q1915,0),0)</f>
        <v>0</v>
      </c>
      <c r="Z1915" s="38" t="n">
        <f aca="false">IF(Y1915=0,0,IF(T1915="Backlog",Q1915,Q1915*Dashboard!$C$10))</f>
        <v>0</v>
      </c>
      <c r="AA1915" s="37" t="n">
        <f aca="false">IF($N1915="",0,IF(COUNTIF(Dashboard!$C$13:$C$22,$N1915)&gt;0,1,0))</f>
        <v>0</v>
      </c>
      <c r="AB1915" s="37" t="str">
        <f aca="false">IF($N1915="","",IF(COUNTIF($N$8:$N1915,$N1915)=1,MAX($AB$7:$AB1914)+1,""))</f>
        <v/>
      </c>
    </row>
    <row r="1916" customFormat="false" ht="15" hidden="false" customHeight="false" outlineLevel="0" collapsed="false">
      <c r="L1916" s="37" t="str">
        <f aca="false">IF(INDEX($A1916:$J1916,$L$6)&lt;&gt;"",TRIM(LEFT(INDEX($A1916:$J1916,$L$6),FIND("(",INDEX($A1916:$J1916,$L$6)&amp;"(")-1)),L1915)</f>
        <v>Building Value Proposition</v>
      </c>
      <c r="M1916" s="37" t="str">
        <f aca="false">IF(INDEX($A1916:$J1916,$M$6)="","",INDEX($A1916:$J1916,$M$6)&amp;"")</f>
        <v/>
      </c>
      <c r="N1916" s="37" t="str">
        <f aca="false">IF($M1916="","",TRIM(INDEX($A1916:$J1916,$N$6)&amp;""))</f>
        <v/>
      </c>
      <c r="O1916" s="37" t="str">
        <f aca="false">IF($M1916="","",TRIM(INDEX($A1916:$J1916,$O$6)&amp;""))</f>
        <v/>
      </c>
      <c r="P1916" s="37" t="str">
        <f aca="false">IF($M1916="","",IFERROR(IF(INDEX(Settings!$B$41:$B$50,MATCH(O1916,Settings!$A$41:$A$50,0))&amp;""="","UNMAPPED",INDEX(Settings!$B$41:$B$50,MATCH(O1916,Settings!$A$41:$A$50,0))&amp;""),"UNMAPPED"))</f>
        <v/>
      </c>
      <c r="Q1916" s="38" t="n">
        <f aca="false">IF($M1916="",0,N(INDEX($A1916:$J1916,$Q$6)))</f>
        <v>0</v>
      </c>
      <c r="R1916" s="39" t="str">
        <f aca="false">IF($M1916="","",INDEX($A1916:$J1916,$R$6))</f>
        <v/>
      </c>
      <c r="S1916" s="37" t="str">
        <f aca="false">IF($M1916="","",IFERROR(INDEX(Settings!$B$27:$B$36,MATCH(L1916,Settings!$A$27:$A$36,0))&amp;"","UNMAPPED"))</f>
        <v/>
      </c>
      <c r="T1916" s="37" t="str">
        <f aca="false">IF($M1916="","",IF(NOT(ISNUMBER(R1916)),"NO DATE",IF(S1916="Won",IF(R1916&gt;Settings!$B$5,"Backlog","Delivered"),IF(S1916="Open",IF(R1916&gt;Settings!$B$5,"Pipeline","Overdue"),IF(S1916="Lost","Lost","UNMAPPED")))))</f>
        <v/>
      </c>
      <c r="U1916" s="40" t="n">
        <f aca="false">IF(T1916="Backlog",1,IF(OR(T1916="Pipeline",T1916="Overdue"),N(INDEX(Settings!$C$27:$C$36,MATCH(L1916,Settings!$A$27:$A$36,0))),0))</f>
        <v>0</v>
      </c>
      <c r="V1916" s="38" t="n">
        <f aca="false">Q1916*U1916</f>
        <v>0</v>
      </c>
      <c r="W1916" s="41" t="str">
        <f aca="false">IF($M1916="","",IF(T1916="Overdue",IF(Settings!$B$8="Yes",Settings!$B$7,""),IF(ISNUMBER(R1916),DATE(YEAR(R1916),MONTH(R1916),1),"")))</f>
        <v/>
      </c>
      <c r="X1916" s="38" t="n">
        <f aca="false">IF(AND(OR(T1916="Backlog",T1916="Pipeline",T1916="Overdue"),ISNUMBER(W1916)),IF(W1916&lt;=Settings!$B$6,V1916,0),0)</f>
        <v>0</v>
      </c>
      <c r="Y1916" s="38" t="n">
        <f aca="false">IF(AND(OR(T1916="Backlog",T1916="Pipeline",T1916="Overdue"),ISNUMBER(W1916)),IF(W1916&lt;=Settings!$B$6,Q1916,0),0)</f>
        <v>0</v>
      </c>
      <c r="Z1916" s="38" t="n">
        <f aca="false">IF(Y1916=0,0,IF(T1916="Backlog",Q1916,Q1916*Dashboard!$C$10))</f>
        <v>0</v>
      </c>
      <c r="AA1916" s="37" t="n">
        <f aca="false">IF($N1916="",0,IF(COUNTIF(Dashboard!$C$13:$C$22,$N1916)&gt;0,1,0))</f>
        <v>0</v>
      </c>
      <c r="AB1916" s="37" t="str">
        <f aca="false">IF($N1916="","",IF(COUNTIF($N$8:$N1916,$N1916)=1,MAX($AB$7:$AB1915)+1,""))</f>
        <v/>
      </c>
    </row>
    <row r="1917" customFormat="false" ht="15" hidden="false" customHeight="false" outlineLevel="0" collapsed="false">
      <c r="L1917" s="37" t="str">
        <f aca="false">IF(INDEX($A1917:$J1917,$L$6)&lt;&gt;"",TRIM(LEFT(INDEX($A1917:$J1917,$L$6),FIND("(",INDEX($A1917:$J1917,$L$6)&amp;"(")-1)),L1916)</f>
        <v>Building Value Proposition</v>
      </c>
      <c r="M1917" s="37" t="str">
        <f aca="false">IF(INDEX($A1917:$J1917,$M$6)="","",INDEX($A1917:$J1917,$M$6)&amp;"")</f>
        <v/>
      </c>
      <c r="N1917" s="37" t="str">
        <f aca="false">IF($M1917="","",TRIM(INDEX($A1917:$J1917,$N$6)&amp;""))</f>
        <v/>
      </c>
      <c r="O1917" s="37" t="str">
        <f aca="false">IF($M1917="","",TRIM(INDEX($A1917:$J1917,$O$6)&amp;""))</f>
        <v/>
      </c>
      <c r="P1917" s="37" t="str">
        <f aca="false">IF($M1917="","",IFERROR(IF(INDEX(Settings!$B$41:$B$50,MATCH(O1917,Settings!$A$41:$A$50,0))&amp;""="","UNMAPPED",INDEX(Settings!$B$41:$B$50,MATCH(O1917,Settings!$A$41:$A$50,0))&amp;""),"UNMAPPED"))</f>
        <v/>
      </c>
      <c r="Q1917" s="38" t="n">
        <f aca="false">IF($M1917="",0,N(INDEX($A1917:$J1917,$Q$6)))</f>
        <v>0</v>
      </c>
      <c r="R1917" s="39" t="str">
        <f aca="false">IF($M1917="","",INDEX($A1917:$J1917,$R$6))</f>
        <v/>
      </c>
      <c r="S1917" s="37" t="str">
        <f aca="false">IF($M1917="","",IFERROR(INDEX(Settings!$B$27:$B$36,MATCH(L1917,Settings!$A$27:$A$36,0))&amp;"","UNMAPPED"))</f>
        <v/>
      </c>
      <c r="T1917" s="37" t="str">
        <f aca="false">IF($M1917="","",IF(NOT(ISNUMBER(R1917)),"NO DATE",IF(S1917="Won",IF(R1917&gt;Settings!$B$5,"Backlog","Delivered"),IF(S1917="Open",IF(R1917&gt;Settings!$B$5,"Pipeline","Overdue"),IF(S1917="Lost","Lost","UNMAPPED")))))</f>
        <v/>
      </c>
      <c r="U1917" s="40" t="n">
        <f aca="false">IF(T1917="Backlog",1,IF(OR(T1917="Pipeline",T1917="Overdue"),N(INDEX(Settings!$C$27:$C$36,MATCH(L1917,Settings!$A$27:$A$36,0))),0))</f>
        <v>0</v>
      </c>
      <c r="V1917" s="38" t="n">
        <f aca="false">Q1917*U1917</f>
        <v>0</v>
      </c>
      <c r="W1917" s="41" t="str">
        <f aca="false">IF($M1917="","",IF(T1917="Overdue",IF(Settings!$B$8="Yes",Settings!$B$7,""),IF(ISNUMBER(R1917),DATE(YEAR(R1917),MONTH(R1917),1),"")))</f>
        <v/>
      </c>
      <c r="X1917" s="38" t="n">
        <f aca="false">IF(AND(OR(T1917="Backlog",T1917="Pipeline",T1917="Overdue"),ISNUMBER(W1917)),IF(W1917&lt;=Settings!$B$6,V1917,0),0)</f>
        <v>0</v>
      </c>
      <c r="Y1917" s="38" t="n">
        <f aca="false">IF(AND(OR(T1917="Backlog",T1917="Pipeline",T1917="Overdue"),ISNUMBER(W1917)),IF(W1917&lt;=Settings!$B$6,Q1917,0),0)</f>
        <v>0</v>
      </c>
      <c r="Z1917" s="38" t="n">
        <f aca="false">IF(Y1917=0,0,IF(T1917="Backlog",Q1917,Q1917*Dashboard!$C$10))</f>
        <v>0</v>
      </c>
      <c r="AA1917" s="37" t="n">
        <f aca="false">IF($N1917="",0,IF(COUNTIF(Dashboard!$C$13:$C$22,$N1917)&gt;0,1,0))</f>
        <v>0</v>
      </c>
      <c r="AB1917" s="37" t="str">
        <f aca="false">IF($N1917="","",IF(COUNTIF($N$8:$N1917,$N1917)=1,MAX($AB$7:$AB1916)+1,""))</f>
        <v/>
      </c>
    </row>
    <row r="1918" customFormat="false" ht="15" hidden="false" customHeight="false" outlineLevel="0" collapsed="false">
      <c r="L1918" s="37" t="str">
        <f aca="false">IF(INDEX($A1918:$J1918,$L$6)&lt;&gt;"",TRIM(LEFT(INDEX($A1918:$J1918,$L$6),FIND("(",INDEX($A1918:$J1918,$L$6)&amp;"(")-1)),L1917)</f>
        <v>Building Value Proposition</v>
      </c>
      <c r="M1918" s="37" t="str">
        <f aca="false">IF(INDEX($A1918:$J1918,$M$6)="","",INDEX($A1918:$J1918,$M$6)&amp;"")</f>
        <v/>
      </c>
      <c r="N1918" s="37" t="str">
        <f aca="false">IF($M1918="","",TRIM(INDEX($A1918:$J1918,$N$6)&amp;""))</f>
        <v/>
      </c>
      <c r="O1918" s="37" t="str">
        <f aca="false">IF($M1918="","",TRIM(INDEX($A1918:$J1918,$O$6)&amp;""))</f>
        <v/>
      </c>
      <c r="P1918" s="37" t="str">
        <f aca="false">IF($M1918="","",IFERROR(IF(INDEX(Settings!$B$41:$B$50,MATCH(O1918,Settings!$A$41:$A$50,0))&amp;""="","UNMAPPED",INDEX(Settings!$B$41:$B$50,MATCH(O1918,Settings!$A$41:$A$50,0))&amp;""),"UNMAPPED"))</f>
        <v/>
      </c>
      <c r="Q1918" s="38" t="n">
        <f aca="false">IF($M1918="",0,N(INDEX($A1918:$J1918,$Q$6)))</f>
        <v>0</v>
      </c>
      <c r="R1918" s="39" t="str">
        <f aca="false">IF($M1918="","",INDEX($A1918:$J1918,$R$6))</f>
        <v/>
      </c>
      <c r="S1918" s="37" t="str">
        <f aca="false">IF($M1918="","",IFERROR(INDEX(Settings!$B$27:$B$36,MATCH(L1918,Settings!$A$27:$A$36,0))&amp;"","UNMAPPED"))</f>
        <v/>
      </c>
      <c r="T1918" s="37" t="str">
        <f aca="false">IF($M1918="","",IF(NOT(ISNUMBER(R1918)),"NO DATE",IF(S1918="Won",IF(R1918&gt;Settings!$B$5,"Backlog","Delivered"),IF(S1918="Open",IF(R1918&gt;Settings!$B$5,"Pipeline","Overdue"),IF(S1918="Lost","Lost","UNMAPPED")))))</f>
        <v/>
      </c>
      <c r="U1918" s="40" t="n">
        <f aca="false">IF(T1918="Backlog",1,IF(OR(T1918="Pipeline",T1918="Overdue"),N(INDEX(Settings!$C$27:$C$36,MATCH(L1918,Settings!$A$27:$A$36,0))),0))</f>
        <v>0</v>
      </c>
      <c r="V1918" s="38" t="n">
        <f aca="false">Q1918*U1918</f>
        <v>0</v>
      </c>
      <c r="W1918" s="41" t="str">
        <f aca="false">IF($M1918="","",IF(T1918="Overdue",IF(Settings!$B$8="Yes",Settings!$B$7,""),IF(ISNUMBER(R1918),DATE(YEAR(R1918),MONTH(R1918),1),"")))</f>
        <v/>
      </c>
      <c r="X1918" s="38" t="n">
        <f aca="false">IF(AND(OR(T1918="Backlog",T1918="Pipeline",T1918="Overdue"),ISNUMBER(W1918)),IF(W1918&lt;=Settings!$B$6,V1918,0),0)</f>
        <v>0</v>
      </c>
      <c r="Y1918" s="38" t="n">
        <f aca="false">IF(AND(OR(T1918="Backlog",T1918="Pipeline",T1918="Overdue"),ISNUMBER(W1918)),IF(W1918&lt;=Settings!$B$6,Q1918,0),0)</f>
        <v>0</v>
      </c>
      <c r="Z1918" s="38" t="n">
        <f aca="false">IF(Y1918=0,0,IF(T1918="Backlog",Q1918,Q1918*Dashboard!$C$10))</f>
        <v>0</v>
      </c>
      <c r="AA1918" s="37" t="n">
        <f aca="false">IF($N1918="",0,IF(COUNTIF(Dashboard!$C$13:$C$22,$N1918)&gt;0,1,0))</f>
        <v>0</v>
      </c>
      <c r="AB1918" s="37" t="str">
        <f aca="false">IF($N1918="","",IF(COUNTIF($N$8:$N1918,$N1918)=1,MAX($AB$7:$AB1917)+1,""))</f>
        <v/>
      </c>
    </row>
    <row r="1919" customFormat="false" ht="15" hidden="false" customHeight="false" outlineLevel="0" collapsed="false">
      <c r="L1919" s="37" t="str">
        <f aca="false">IF(INDEX($A1919:$J1919,$L$6)&lt;&gt;"",TRIM(LEFT(INDEX($A1919:$J1919,$L$6),FIND("(",INDEX($A1919:$J1919,$L$6)&amp;"(")-1)),L1918)</f>
        <v>Building Value Proposition</v>
      </c>
      <c r="M1919" s="37" t="str">
        <f aca="false">IF(INDEX($A1919:$J1919,$M$6)="","",INDEX($A1919:$J1919,$M$6)&amp;"")</f>
        <v/>
      </c>
      <c r="N1919" s="37" t="str">
        <f aca="false">IF($M1919="","",TRIM(INDEX($A1919:$J1919,$N$6)&amp;""))</f>
        <v/>
      </c>
      <c r="O1919" s="37" t="str">
        <f aca="false">IF($M1919="","",TRIM(INDEX($A1919:$J1919,$O$6)&amp;""))</f>
        <v/>
      </c>
      <c r="P1919" s="37" t="str">
        <f aca="false">IF($M1919="","",IFERROR(IF(INDEX(Settings!$B$41:$B$50,MATCH(O1919,Settings!$A$41:$A$50,0))&amp;""="","UNMAPPED",INDEX(Settings!$B$41:$B$50,MATCH(O1919,Settings!$A$41:$A$50,0))&amp;""),"UNMAPPED"))</f>
        <v/>
      </c>
      <c r="Q1919" s="38" t="n">
        <f aca="false">IF($M1919="",0,N(INDEX($A1919:$J1919,$Q$6)))</f>
        <v>0</v>
      </c>
      <c r="R1919" s="39" t="str">
        <f aca="false">IF($M1919="","",INDEX($A1919:$J1919,$R$6))</f>
        <v/>
      </c>
      <c r="S1919" s="37" t="str">
        <f aca="false">IF($M1919="","",IFERROR(INDEX(Settings!$B$27:$B$36,MATCH(L1919,Settings!$A$27:$A$36,0))&amp;"","UNMAPPED"))</f>
        <v/>
      </c>
      <c r="T1919" s="37" t="str">
        <f aca="false">IF($M1919="","",IF(NOT(ISNUMBER(R1919)),"NO DATE",IF(S1919="Won",IF(R1919&gt;Settings!$B$5,"Backlog","Delivered"),IF(S1919="Open",IF(R1919&gt;Settings!$B$5,"Pipeline","Overdue"),IF(S1919="Lost","Lost","UNMAPPED")))))</f>
        <v/>
      </c>
      <c r="U1919" s="40" t="n">
        <f aca="false">IF(T1919="Backlog",1,IF(OR(T1919="Pipeline",T1919="Overdue"),N(INDEX(Settings!$C$27:$C$36,MATCH(L1919,Settings!$A$27:$A$36,0))),0))</f>
        <v>0</v>
      </c>
      <c r="V1919" s="38" t="n">
        <f aca="false">Q1919*U1919</f>
        <v>0</v>
      </c>
      <c r="W1919" s="41" t="str">
        <f aca="false">IF($M1919="","",IF(T1919="Overdue",IF(Settings!$B$8="Yes",Settings!$B$7,""),IF(ISNUMBER(R1919),DATE(YEAR(R1919),MONTH(R1919),1),"")))</f>
        <v/>
      </c>
      <c r="X1919" s="38" t="n">
        <f aca="false">IF(AND(OR(T1919="Backlog",T1919="Pipeline",T1919="Overdue"),ISNUMBER(W1919)),IF(W1919&lt;=Settings!$B$6,V1919,0),0)</f>
        <v>0</v>
      </c>
      <c r="Y1919" s="38" t="n">
        <f aca="false">IF(AND(OR(T1919="Backlog",T1919="Pipeline",T1919="Overdue"),ISNUMBER(W1919)),IF(W1919&lt;=Settings!$B$6,Q1919,0),0)</f>
        <v>0</v>
      </c>
      <c r="Z1919" s="38" t="n">
        <f aca="false">IF(Y1919=0,0,IF(T1919="Backlog",Q1919,Q1919*Dashboard!$C$10))</f>
        <v>0</v>
      </c>
      <c r="AA1919" s="37" t="n">
        <f aca="false">IF($N1919="",0,IF(COUNTIF(Dashboard!$C$13:$C$22,$N1919)&gt;0,1,0))</f>
        <v>0</v>
      </c>
      <c r="AB1919" s="37" t="str">
        <f aca="false">IF($N1919="","",IF(COUNTIF($N$8:$N1919,$N1919)=1,MAX($AB$7:$AB1918)+1,""))</f>
        <v/>
      </c>
    </row>
    <row r="1920" customFormat="false" ht="15" hidden="false" customHeight="false" outlineLevel="0" collapsed="false">
      <c r="L1920" s="37" t="str">
        <f aca="false">IF(INDEX($A1920:$J1920,$L$6)&lt;&gt;"",TRIM(LEFT(INDEX($A1920:$J1920,$L$6),FIND("(",INDEX($A1920:$J1920,$L$6)&amp;"(")-1)),L1919)</f>
        <v>Building Value Proposition</v>
      </c>
      <c r="M1920" s="37" t="str">
        <f aca="false">IF(INDEX($A1920:$J1920,$M$6)="","",INDEX($A1920:$J1920,$M$6)&amp;"")</f>
        <v/>
      </c>
      <c r="N1920" s="37" t="str">
        <f aca="false">IF($M1920="","",TRIM(INDEX($A1920:$J1920,$N$6)&amp;""))</f>
        <v/>
      </c>
      <c r="O1920" s="37" t="str">
        <f aca="false">IF($M1920="","",TRIM(INDEX($A1920:$J1920,$O$6)&amp;""))</f>
        <v/>
      </c>
      <c r="P1920" s="37" t="str">
        <f aca="false">IF($M1920="","",IFERROR(IF(INDEX(Settings!$B$41:$B$50,MATCH(O1920,Settings!$A$41:$A$50,0))&amp;""="","UNMAPPED",INDEX(Settings!$B$41:$B$50,MATCH(O1920,Settings!$A$41:$A$50,0))&amp;""),"UNMAPPED"))</f>
        <v/>
      </c>
      <c r="Q1920" s="38" t="n">
        <f aca="false">IF($M1920="",0,N(INDEX($A1920:$J1920,$Q$6)))</f>
        <v>0</v>
      </c>
      <c r="R1920" s="39" t="str">
        <f aca="false">IF($M1920="","",INDEX($A1920:$J1920,$R$6))</f>
        <v/>
      </c>
      <c r="S1920" s="37" t="str">
        <f aca="false">IF($M1920="","",IFERROR(INDEX(Settings!$B$27:$B$36,MATCH(L1920,Settings!$A$27:$A$36,0))&amp;"","UNMAPPED"))</f>
        <v/>
      </c>
      <c r="T1920" s="37" t="str">
        <f aca="false">IF($M1920="","",IF(NOT(ISNUMBER(R1920)),"NO DATE",IF(S1920="Won",IF(R1920&gt;Settings!$B$5,"Backlog","Delivered"),IF(S1920="Open",IF(R1920&gt;Settings!$B$5,"Pipeline","Overdue"),IF(S1920="Lost","Lost","UNMAPPED")))))</f>
        <v/>
      </c>
      <c r="U1920" s="40" t="n">
        <f aca="false">IF(T1920="Backlog",1,IF(OR(T1920="Pipeline",T1920="Overdue"),N(INDEX(Settings!$C$27:$C$36,MATCH(L1920,Settings!$A$27:$A$36,0))),0))</f>
        <v>0</v>
      </c>
      <c r="V1920" s="38" t="n">
        <f aca="false">Q1920*U1920</f>
        <v>0</v>
      </c>
      <c r="W1920" s="41" t="str">
        <f aca="false">IF($M1920="","",IF(T1920="Overdue",IF(Settings!$B$8="Yes",Settings!$B$7,""),IF(ISNUMBER(R1920),DATE(YEAR(R1920),MONTH(R1920),1),"")))</f>
        <v/>
      </c>
      <c r="X1920" s="38" t="n">
        <f aca="false">IF(AND(OR(T1920="Backlog",T1920="Pipeline",T1920="Overdue"),ISNUMBER(W1920)),IF(W1920&lt;=Settings!$B$6,V1920,0),0)</f>
        <v>0</v>
      </c>
      <c r="Y1920" s="38" t="n">
        <f aca="false">IF(AND(OR(T1920="Backlog",T1920="Pipeline",T1920="Overdue"),ISNUMBER(W1920)),IF(W1920&lt;=Settings!$B$6,Q1920,0),0)</f>
        <v>0</v>
      </c>
      <c r="Z1920" s="38" t="n">
        <f aca="false">IF(Y1920=0,0,IF(T1920="Backlog",Q1920,Q1920*Dashboard!$C$10))</f>
        <v>0</v>
      </c>
      <c r="AA1920" s="37" t="n">
        <f aca="false">IF($N1920="",0,IF(COUNTIF(Dashboard!$C$13:$C$22,$N1920)&gt;0,1,0))</f>
        <v>0</v>
      </c>
      <c r="AB1920" s="37" t="str">
        <f aca="false">IF($N1920="","",IF(COUNTIF($N$8:$N1920,$N1920)=1,MAX($AB$7:$AB1919)+1,""))</f>
        <v/>
      </c>
    </row>
    <row r="1921" customFormat="false" ht="15" hidden="false" customHeight="false" outlineLevel="0" collapsed="false">
      <c r="L1921" s="37" t="str">
        <f aca="false">IF(INDEX($A1921:$J1921,$L$6)&lt;&gt;"",TRIM(LEFT(INDEX($A1921:$J1921,$L$6),FIND("(",INDEX($A1921:$J1921,$L$6)&amp;"(")-1)),L1920)</f>
        <v>Building Value Proposition</v>
      </c>
      <c r="M1921" s="37" t="str">
        <f aca="false">IF(INDEX($A1921:$J1921,$M$6)="","",INDEX($A1921:$J1921,$M$6)&amp;"")</f>
        <v/>
      </c>
      <c r="N1921" s="37" t="str">
        <f aca="false">IF($M1921="","",TRIM(INDEX($A1921:$J1921,$N$6)&amp;""))</f>
        <v/>
      </c>
      <c r="O1921" s="37" t="str">
        <f aca="false">IF($M1921="","",TRIM(INDEX($A1921:$J1921,$O$6)&amp;""))</f>
        <v/>
      </c>
      <c r="P1921" s="37" t="str">
        <f aca="false">IF($M1921="","",IFERROR(IF(INDEX(Settings!$B$41:$B$50,MATCH(O1921,Settings!$A$41:$A$50,0))&amp;""="","UNMAPPED",INDEX(Settings!$B$41:$B$50,MATCH(O1921,Settings!$A$41:$A$50,0))&amp;""),"UNMAPPED"))</f>
        <v/>
      </c>
      <c r="Q1921" s="38" t="n">
        <f aca="false">IF($M1921="",0,N(INDEX($A1921:$J1921,$Q$6)))</f>
        <v>0</v>
      </c>
      <c r="R1921" s="39" t="str">
        <f aca="false">IF($M1921="","",INDEX($A1921:$J1921,$R$6))</f>
        <v/>
      </c>
      <c r="S1921" s="37" t="str">
        <f aca="false">IF($M1921="","",IFERROR(INDEX(Settings!$B$27:$B$36,MATCH(L1921,Settings!$A$27:$A$36,0))&amp;"","UNMAPPED"))</f>
        <v/>
      </c>
      <c r="T1921" s="37" t="str">
        <f aca="false">IF($M1921="","",IF(NOT(ISNUMBER(R1921)),"NO DATE",IF(S1921="Won",IF(R1921&gt;Settings!$B$5,"Backlog","Delivered"),IF(S1921="Open",IF(R1921&gt;Settings!$B$5,"Pipeline","Overdue"),IF(S1921="Lost","Lost","UNMAPPED")))))</f>
        <v/>
      </c>
      <c r="U1921" s="40" t="n">
        <f aca="false">IF(T1921="Backlog",1,IF(OR(T1921="Pipeline",T1921="Overdue"),N(INDEX(Settings!$C$27:$C$36,MATCH(L1921,Settings!$A$27:$A$36,0))),0))</f>
        <v>0</v>
      </c>
      <c r="V1921" s="38" t="n">
        <f aca="false">Q1921*U1921</f>
        <v>0</v>
      </c>
      <c r="W1921" s="41" t="str">
        <f aca="false">IF($M1921="","",IF(T1921="Overdue",IF(Settings!$B$8="Yes",Settings!$B$7,""),IF(ISNUMBER(R1921),DATE(YEAR(R1921),MONTH(R1921),1),"")))</f>
        <v/>
      </c>
      <c r="X1921" s="38" t="n">
        <f aca="false">IF(AND(OR(T1921="Backlog",T1921="Pipeline",T1921="Overdue"),ISNUMBER(W1921)),IF(W1921&lt;=Settings!$B$6,V1921,0),0)</f>
        <v>0</v>
      </c>
      <c r="Y1921" s="38" t="n">
        <f aca="false">IF(AND(OR(T1921="Backlog",T1921="Pipeline",T1921="Overdue"),ISNUMBER(W1921)),IF(W1921&lt;=Settings!$B$6,Q1921,0),0)</f>
        <v>0</v>
      </c>
      <c r="Z1921" s="38" t="n">
        <f aca="false">IF(Y1921=0,0,IF(T1921="Backlog",Q1921,Q1921*Dashboard!$C$10))</f>
        <v>0</v>
      </c>
      <c r="AA1921" s="37" t="n">
        <f aca="false">IF($N1921="",0,IF(COUNTIF(Dashboard!$C$13:$C$22,$N1921)&gt;0,1,0))</f>
        <v>0</v>
      </c>
      <c r="AB1921" s="37" t="str">
        <f aca="false">IF($N1921="","",IF(COUNTIF($N$8:$N1921,$N1921)=1,MAX($AB$7:$AB1920)+1,""))</f>
        <v/>
      </c>
    </row>
    <row r="1922" customFormat="false" ht="15" hidden="false" customHeight="false" outlineLevel="0" collapsed="false">
      <c r="L1922" s="37" t="str">
        <f aca="false">IF(INDEX($A1922:$J1922,$L$6)&lt;&gt;"",TRIM(LEFT(INDEX($A1922:$J1922,$L$6),FIND("(",INDEX($A1922:$J1922,$L$6)&amp;"(")-1)),L1921)</f>
        <v>Building Value Proposition</v>
      </c>
      <c r="M1922" s="37" t="str">
        <f aca="false">IF(INDEX($A1922:$J1922,$M$6)="","",INDEX($A1922:$J1922,$M$6)&amp;"")</f>
        <v/>
      </c>
      <c r="N1922" s="37" t="str">
        <f aca="false">IF($M1922="","",TRIM(INDEX($A1922:$J1922,$N$6)&amp;""))</f>
        <v/>
      </c>
      <c r="O1922" s="37" t="str">
        <f aca="false">IF($M1922="","",TRIM(INDEX($A1922:$J1922,$O$6)&amp;""))</f>
        <v/>
      </c>
      <c r="P1922" s="37" t="str">
        <f aca="false">IF($M1922="","",IFERROR(IF(INDEX(Settings!$B$41:$B$50,MATCH(O1922,Settings!$A$41:$A$50,0))&amp;""="","UNMAPPED",INDEX(Settings!$B$41:$B$50,MATCH(O1922,Settings!$A$41:$A$50,0))&amp;""),"UNMAPPED"))</f>
        <v/>
      </c>
      <c r="Q1922" s="38" t="n">
        <f aca="false">IF($M1922="",0,N(INDEX($A1922:$J1922,$Q$6)))</f>
        <v>0</v>
      </c>
      <c r="R1922" s="39" t="str">
        <f aca="false">IF($M1922="","",INDEX($A1922:$J1922,$R$6))</f>
        <v/>
      </c>
      <c r="S1922" s="37" t="str">
        <f aca="false">IF($M1922="","",IFERROR(INDEX(Settings!$B$27:$B$36,MATCH(L1922,Settings!$A$27:$A$36,0))&amp;"","UNMAPPED"))</f>
        <v/>
      </c>
      <c r="T1922" s="37" t="str">
        <f aca="false">IF($M1922="","",IF(NOT(ISNUMBER(R1922)),"NO DATE",IF(S1922="Won",IF(R1922&gt;Settings!$B$5,"Backlog","Delivered"),IF(S1922="Open",IF(R1922&gt;Settings!$B$5,"Pipeline","Overdue"),IF(S1922="Lost","Lost","UNMAPPED")))))</f>
        <v/>
      </c>
      <c r="U1922" s="40" t="n">
        <f aca="false">IF(T1922="Backlog",1,IF(OR(T1922="Pipeline",T1922="Overdue"),N(INDEX(Settings!$C$27:$C$36,MATCH(L1922,Settings!$A$27:$A$36,0))),0))</f>
        <v>0</v>
      </c>
      <c r="V1922" s="38" t="n">
        <f aca="false">Q1922*U1922</f>
        <v>0</v>
      </c>
      <c r="W1922" s="41" t="str">
        <f aca="false">IF($M1922="","",IF(T1922="Overdue",IF(Settings!$B$8="Yes",Settings!$B$7,""),IF(ISNUMBER(R1922),DATE(YEAR(R1922),MONTH(R1922),1),"")))</f>
        <v/>
      </c>
      <c r="X1922" s="38" t="n">
        <f aca="false">IF(AND(OR(T1922="Backlog",T1922="Pipeline",T1922="Overdue"),ISNUMBER(W1922)),IF(W1922&lt;=Settings!$B$6,V1922,0),0)</f>
        <v>0</v>
      </c>
      <c r="Y1922" s="38" t="n">
        <f aca="false">IF(AND(OR(T1922="Backlog",T1922="Pipeline",T1922="Overdue"),ISNUMBER(W1922)),IF(W1922&lt;=Settings!$B$6,Q1922,0),0)</f>
        <v>0</v>
      </c>
      <c r="Z1922" s="38" t="n">
        <f aca="false">IF(Y1922=0,0,IF(T1922="Backlog",Q1922,Q1922*Dashboard!$C$10))</f>
        <v>0</v>
      </c>
      <c r="AA1922" s="37" t="n">
        <f aca="false">IF($N1922="",0,IF(COUNTIF(Dashboard!$C$13:$C$22,$N1922)&gt;0,1,0))</f>
        <v>0</v>
      </c>
      <c r="AB1922" s="37" t="str">
        <f aca="false">IF($N1922="","",IF(COUNTIF($N$8:$N1922,$N1922)=1,MAX($AB$7:$AB1921)+1,""))</f>
        <v/>
      </c>
    </row>
    <row r="1923" customFormat="false" ht="15" hidden="false" customHeight="false" outlineLevel="0" collapsed="false">
      <c r="L1923" s="37" t="str">
        <f aca="false">IF(INDEX($A1923:$J1923,$L$6)&lt;&gt;"",TRIM(LEFT(INDEX($A1923:$J1923,$L$6),FIND("(",INDEX($A1923:$J1923,$L$6)&amp;"(")-1)),L1922)</f>
        <v>Building Value Proposition</v>
      </c>
      <c r="M1923" s="37" t="str">
        <f aca="false">IF(INDEX($A1923:$J1923,$M$6)="","",INDEX($A1923:$J1923,$M$6)&amp;"")</f>
        <v/>
      </c>
      <c r="N1923" s="37" t="str">
        <f aca="false">IF($M1923="","",TRIM(INDEX($A1923:$J1923,$N$6)&amp;""))</f>
        <v/>
      </c>
      <c r="O1923" s="37" t="str">
        <f aca="false">IF($M1923="","",TRIM(INDEX($A1923:$J1923,$O$6)&amp;""))</f>
        <v/>
      </c>
      <c r="P1923" s="37" t="str">
        <f aca="false">IF($M1923="","",IFERROR(IF(INDEX(Settings!$B$41:$B$50,MATCH(O1923,Settings!$A$41:$A$50,0))&amp;""="","UNMAPPED",INDEX(Settings!$B$41:$B$50,MATCH(O1923,Settings!$A$41:$A$50,0))&amp;""),"UNMAPPED"))</f>
        <v/>
      </c>
      <c r="Q1923" s="38" t="n">
        <f aca="false">IF($M1923="",0,N(INDEX($A1923:$J1923,$Q$6)))</f>
        <v>0</v>
      </c>
      <c r="R1923" s="39" t="str">
        <f aca="false">IF($M1923="","",INDEX($A1923:$J1923,$R$6))</f>
        <v/>
      </c>
      <c r="S1923" s="37" t="str">
        <f aca="false">IF($M1923="","",IFERROR(INDEX(Settings!$B$27:$B$36,MATCH(L1923,Settings!$A$27:$A$36,0))&amp;"","UNMAPPED"))</f>
        <v/>
      </c>
      <c r="T1923" s="37" t="str">
        <f aca="false">IF($M1923="","",IF(NOT(ISNUMBER(R1923)),"NO DATE",IF(S1923="Won",IF(R1923&gt;Settings!$B$5,"Backlog","Delivered"),IF(S1923="Open",IF(R1923&gt;Settings!$B$5,"Pipeline","Overdue"),IF(S1923="Lost","Lost","UNMAPPED")))))</f>
        <v/>
      </c>
      <c r="U1923" s="40" t="n">
        <f aca="false">IF(T1923="Backlog",1,IF(OR(T1923="Pipeline",T1923="Overdue"),N(INDEX(Settings!$C$27:$C$36,MATCH(L1923,Settings!$A$27:$A$36,0))),0))</f>
        <v>0</v>
      </c>
      <c r="V1923" s="38" t="n">
        <f aca="false">Q1923*U1923</f>
        <v>0</v>
      </c>
      <c r="W1923" s="41" t="str">
        <f aca="false">IF($M1923="","",IF(T1923="Overdue",IF(Settings!$B$8="Yes",Settings!$B$7,""),IF(ISNUMBER(R1923),DATE(YEAR(R1923),MONTH(R1923),1),"")))</f>
        <v/>
      </c>
      <c r="X1923" s="38" t="n">
        <f aca="false">IF(AND(OR(T1923="Backlog",T1923="Pipeline",T1923="Overdue"),ISNUMBER(W1923)),IF(W1923&lt;=Settings!$B$6,V1923,0),0)</f>
        <v>0</v>
      </c>
      <c r="Y1923" s="38" t="n">
        <f aca="false">IF(AND(OR(T1923="Backlog",T1923="Pipeline",T1923="Overdue"),ISNUMBER(W1923)),IF(W1923&lt;=Settings!$B$6,Q1923,0),0)</f>
        <v>0</v>
      </c>
      <c r="Z1923" s="38" t="n">
        <f aca="false">IF(Y1923=0,0,IF(T1923="Backlog",Q1923,Q1923*Dashboard!$C$10))</f>
        <v>0</v>
      </c>
      <c r="AA1923" s="37" t="n">
        <f aca="false">IF($N1923="",0,IF(COUNTIF(Dashboard!$C$13:$C$22,$N1923)&gt;0,1,0))</f>
        <v>0</v>
      </c>
      <c r="AB1923" s="37" t="str">
        <f aca="false">IF($N1923="","",IF(COUNTIF($N$8:$N1923,$N1923)=1,MAX($AB$7:$AB1922)+1,""))</f>
        <v/>
      </c>
    </row>
    <row r="1924" customFormat="false" ht="15" hidden="false" customHeight="false" outlineLevel="0" collapsed="false">
      <c r="L1924" s="37" t="str">
        <f aca="false">IF(INDEX($A1924:$J1924,$L$6)&lt;&gt;"",TRIM(LEFT(INDEX($A1924:$J1924,$L$6),FIND("(",INDEX($A1924:$J1924,$L$6)&amp;"(")-1)),L1923)</f>
        <v>Building Value Proposition</v>
      </c>
      <c r="M1924" s="37" t="str">
        <f aca="false">IF(INDEX($A1924:$J1924,$M$6)="","",INDEX($A1924:$J1924,$M$6)&amp;"")</f>
        <v/>
      </c>
      <c r="N1924" s="37" t="str">
        <f aca="false">IF($M1924="","",TRIM(INDEX($A1924:$J1924,$N$6)&amp;""))</f>
        <v/>
      </c>
      <c r="O1924" s="37" t="str">
        <f aca="false">IF($M1924="","",TRIM(INDEX($A1924:$J1924,$O$6)&amp;""))</f>
        <v/>
      </c>
      <c r="P1924" s="37" t="str">
        <f aca="false">IF($M1924="","",IFERROR(IF(INDEX(Settings!$B$41:$B$50,MATCH(O1924,Settings!$A$41:$A$50,0))&amp;""="","UNMAPPED",INDEX(Settings!$B$41:$B$50,MATCH(O1924,Settings!$A$41:$A$50,0))&amp;""),"UNMAPPED"))</f>
        <v/>
      </c>
      <c r="Q1924" s="38" t="n">
        <f aca="false">IF($M1924="",0,N(INDEX($A1924:$J1924,$Q$6)))</f>
        <v>0</v>
      </c>
      <c r="R1924" s="39" t="str">
        <f aca="false">IF($M1924="","",INDEX($A1924:$J1924,$R$6))</f>
        <v/>
      </c>
      <c r="S1924" s="37" t="str">
        <f aca="false">IF($M1924="","",IFERROR(INDEX(Settings!$B$27:$B$36,MATCH(L1924,Settings!$A$27:$A$36,0))&amp;"","UNMAPPED"))</f>
        <v/>
      </c>
      <c r="T1924" s="37" t="str">
        <f aca="false">IF($M1924="","",IF(NOT(ISNUMBER(R1924)),"NO DATE",IF(S1924="Won",IF(R1924&gt;Settings!$B$5,"Backlog","Delivered"),IF(S1924="Open",IF(R1924&gt;Settings!$B$5,"Pipeline","Overdue"),IF(S1924="Lost","Lost","UNMAPPED")))))</f>
        <v/>
      </c>
      <c r="U1924" s="40" t="n">
        <f aca="false">IF(T1924="Backlog",1,IF(OR(T1924="Pipeline",T1924="Overdue"),N(INDEX(Settings!$C$27:$C$36,MATCH(L1924,Settings!$A$27:$A$36,0))),0))</f>
        <v>0</v>
      </c>
      <c r="V1924" s="38" t="n">
        <f aca="false">Q1924*U1924</f>
        <v>0</v>
      </c>
      <c r="W1924" s="41" t="str">
        <f aca="false">IF($M1924="","",IF(T1924="Overdue",IF(Settings!$B$8="Yes",Settings!$B$7,""),IF(ISNUMBER(R1924),DATE(YEAR(R1924),MONTH(R1924),1),"")))</f>
        <v/>
      </c>
      <c r="X1924" s="38" t="n">
        <f aca="false">IF(AND(OR(T1924="Backlog",T1924="Pipeline",T1924="Overdue"),ISNUMBER(W1924)),IF(W1924&lt;=Settings!$B$6,V1924,0),0)</f>
        <v>0</v>
      </c>
      <c r="Y1924" s="38" t="n">
        <f aca="false">IF(AND(OR(T1924="Backlog",T1924="Pipeline",T1924="Overdue"),ISNUMBER(W1924)),IF(W1924&lt;=Settings!$B$6,Q1924,0),0)</f>
        <v>0</v>
      </c>
      <c r="Z1924" s="38" t="n">
        <f aca="false">IF(Y1924=0,0,IF(T1924="Backlog",Q1924,Q1924*Dashboard!$C$10))</f>
        <v>0</v>
      </c>
      <c r="AA1924" s="37" t="n">
        <f aca="false">IF($N1924="",0,IF(COUNTIF(Dashboard!$C$13:$C$22,$N1924)&gt;0,1,0))</f>
        <v>0</v>
      </c>
      <c r="AB1924" s="37" t="str">
        <f aca="false">IF($N1924="","",IF(COUNTIF($N$8:$N1924,$N1924)=1,MAX($AB$7:$AB1923)+1,""))</f>
        <v/>
      </c>
    </row>
    <row r="1925" customFormat="false" ht="15" hidden="false" customHeight="false" outlineLevel="0" collapsed="false">
      <c r="L1925" s="37" t="str">
        <f aca="false">IF(INDEX($A1925:$J1925,$L$6)&lt;&gt;"",TRIM(LEFT(INDEX($A1925:$J1925,$L$6),FIND("(",INDEX($A1925:$J1925,$L$6)&amp;"(")-1)),L1924)</f>
        <v>Building Value Proposition</v>
      </c>
      <c r="M1925" s="37" t="str">
        <f aca="false">IF(INDEX($A1925:$J1925,$M$6)="","",INDEX($A1925:$J1925,$M$6)&amp;"")</f>
        <v/>
      </c>
      <c r="N1925" s="37" t="str">
        <f aca="false">IF($M1925="","",TRIM(INDEX($A1925:$J1925,$N$6)&amp;""))</f>
        <v/>
      </c>
      <c r="O1925" s="37" t="str">
        <f aca="false">IF($M1925="","",TRIM(INDEX($A1925:$J1925,$O$6)&amp;""))</f>
        <v/>
      </c>
      <c r="P1925" s="37" t="str">
        <f aca="false">IF($M1925="","",IFERROR(IF(INDEX(Settings!$B$41:$B$50,MATCH(O1925,Settings!$A$41:$A$50,0))&amp;""="","UNMAPPED",INDEX(Settings!$B$41:$B$50,MATCH(O1925,Settings!$A$41:$A$50,0))&amp;""),"UNMAPPED"))</f>
        <v/>
      </c>
      <c r="Q1925" s="38" t="n">
        <f aca="false">IF($M1925="",0,N(INDEX($A1925:$J1925,$Q$6)))</f>
        <v>0</v>
      </c>
      <c r="R1925" s="39" t="str">
        <f aca="false">IF($M1925="","",INDEX($A1925:$J1925,$R$6))</f>
        <v/>
      </c>
      <c r="S1925" s="37" t="str">
        <f aca="false">IF($M1925="","",IFERROR(INDEX(Settings!$B$27:$B$36,MATCH(L1925,Settings!$A$27:$A$36,0))&amp;"","UNMAPPED"))</f>
        <v/>
      </c>
      <c r="T1925" s="37" t="str">
        <f aca="false">IF($M1925="","",IF(NOT(ISNUMBER(R1925)),"NO DATE",IF(S1925="Won",IF(R1925&gt;Settings!$B$5,"Backlog","Delivered"),IF(S1925="Open",IF(R1925&gt;Settings!$B$5,"Pipeline","Overdue"),IF(S1925="Lost","Lost","UNMAPPED")))))</f>
        <v/>
      </c>
      <c r="U1925" s="40" t="n">
        <f aca="false">IF(T1925="Backlog",1,IF(OR(T1925="Pipeline",T1925="Overdue"),N(INDEX(Settings!$C$27:$C$36,MATCH(L1925,Settings!$A$27:$A$36,0))),0))</f>
        <v>0</v>
      </c>
      <c r="V1925" s="38" t="n">
        <f aca="false">Q1925*U1925</f>
        <v>0</v>
      </c>
      <c r="W1925" s="41" t="str">
        <f aca="false">IF($M1925="","",IF(T1925="Overdue",IF(Settings!$B$8="Yes",Settings!$B$7,""),IF(ISNUMBER(R1925),DATE(YEAR(R1925),MONTH(R1925),1),"")))</f>
        <v/>
      </c>
      <c r="X1925" s="38" t="n">
        <f aca="false">IF(AND(OR(T1925="Backlog",T1925="Pipeline",T1925="Overdue"),ISNUMBER(W1925)),IF(W1925&lt;=Settings!$B$6,V1925,0),0)</f>
        <v>0</v>
      </c>
      <c r="Y1925" s="38" t="n">
        <f aca="false">IF(AND(OR(T1925="Backlog",T1925="Pipeline",T1925="Overdue"),ISNUMBER(W1925)),IF(W1925&lt;=Settings!$B$6,Q1925,0),0)</f>
        <v>0</v>
      </c>
      <c r="Z1925" s="38" t="n">
        <f aca="false">IF(Y1925=0,0,IF(T1925="Backlog",Q1925,Q1925*Dashboard!$C$10))</f>
        <v>0</v>
      </c>
      <c r="AA1925" s="37" t="n">
        <f aca="false">IF($N1925="",0,IF(COUNTIF(Dashboard!$C$13:$C$22,$N1925)&gt;0,1,0))</f>
        <v>0</v>
      </c>
      <c r="AB1925" s="37" t="str">
        <f aca="false">IF($N1925="","",IF(COUNTIF($N$8:$N1925,$N1925)=1,MAX($AB$7:$AB1924)+1,""))</f>
        <v/>
      </c>
    </row>
    <row r="1926" customFormat="false" ht="15" hidden="false" customHeight="false" outlineLevel="0" collapsed="false">
      <c r="L1926" s="37" t="str">
        <f aca="false">IF(INDEX($A1926:$J1926,$L$6)&lt;&gt;"",TRIM(LEFT(INDEX($A1926:$J1926,$L$6),FIND("(",INDEX($A1926:$J1926,$L$6)&amp;"(")-1)),L1925)</f>
        <v>Building Value Proposition</v>
      </c>
      <c r="M1926" s="37" t="str">
        <f aca="false">IF(INDEX($A1926:$J1926,$M$6)="","",INDEX($A1926:$J1926,$M$6)&amp;"")</f>
        <v/>
      </c>
      <c r="N1926" s="37" t="str">
        <f aca="false">IF($M1926="","",TRIM(INDEX($A1926:$J1926,$N$6)&amp;""))</f>
        <v/>
      </c>
      <c r="O1926" s="37" t="str">
        <f aca="false">IF($M1926="","",TRIM(INDEX($A1926:$J1926,$O$6)&amp;""))</f>
        <v/>
      </c>
      <c r="P1926" s="37" t="str">
        <f aca="false">IF($M1926="","",IFERROR(IF(INDEX(Settings!$B$41:$B$50,MATCH(O1926,Settings!$A$41:$A$50,0))&amp;""="","UNMAPPED",INDEX(Settings!$B$41:$B$50,MATCH(O1926,Settings!$A$41:$A$50,0))&amp;""),"UNMAPPED"))</f>
        <v/>
      </c>
      <c r="Q1926" s="38" t="n">
        <f aca="false">IF($M1926="",0,N(INDEX($A1926:$J1926,$Q$6)))</f>
        <v>0</v>
      </c>
      <c r="R1926" s="39" t="str">
        <f aca="false">IF($M1926="","",INDEX($A1926:$J1926,$R$6))</f>
        <v/>
      </c>
      <c r="S1926" s="37" t="str">
        <f aca="false">IF($M1926="","",IFERROR(INDEX(Settings!$B$27:$B$36,MATCH(L1926,Settings!$A$27:$A$36,0))&amp;"","UNMAPPED"))</f>
        <v/>
      </c>
      <c r="T1926" s="37" t="str">
        <f aca="false">IF($M1926="","",IF(NOT(ISNUMBER(R1926)),"NO DATE",IF(S1926="Won",IF(R1926&gt;Settings!$B$5,"Backlog","Delivered"),IF(S1926="Open",IF(R1926&gt;Settings!$B$5,"Pipeline","Overdue"),IF(S1926="Lost","Lost","UNMAPPED")))))</f>
        <v/>
      </c>
      <c r="U1926" s="40" t="n">
        <f aca="false">IF(T1926="Backlog",1,IF(OR(T1926="Pipeline",T1926="Overdue"),N(INDEX(Settings!$C$27:$C$36,MATCH(L1926,Settings!$A$27:$A$36,0))),0))</f>
        <v>0</v>
      </c>
      <c r="V1926" s="38" t="n">
        <f aca="false">Q1926*U1926</f>
        <v>0</v>
      </c>
      <c r="W1926" s="41" t="str">
        <f aca="false">IF($M1926="","",IF(T1926="Overdue",IF(Settings!$B$8="Yes",Settings!$B$7,""),IF(ISNUMBER(R1926),DATE(YEAR(R1926),MONTH(R1926),1),"")))</f>
        <v/>
      </c>
      <c r="X1926" s="38" t="n">
        <f aca="false">IF(AND(OR(T1926="Backlog",T1926="Pipeline",T1926="Overdue"),ISNUMBER(W1926)),IF(W1926&lt;=Settings!$B$6,V1926,0),0)</f>
        <v>0</v>
      </c>
      <c r="Y1926" s="38" t="n">
        <f aca="false">IF(AND(OR(T1926="Backlog",T1926="Pipeline",T1926="Overdue"),ISNUMBER(W1926)),IF(W1926&lt;=Settings!$B$6,Q1926,0),0)</f>
        <v>0</v>
      </c>
      <c r="Z1926" s="38" t="n">
        <f aca="false">IF(Y1926=0,0,IF(T1926="Backlog",Q1926,Q1926*Dashboard!$C$10))</f>
        <v>0</v>
      </c>
      <c r="AA1926" s="37" t="n">
        <f aca="false">IF($N1926="",0,IF(COUNTIF(Dashboard!$C$13:$C$22,$N1926)&gt;0,1,0))</f>
        <v>0</v>
      </c>
      <c r="AB1926" s="37" t="str">
        <f aca="false">IF($N1926="","",IF(COUNTIF($N$8:$N1926,$N1926)=1,MAX($AB$7:$AB1925)+1,""))</f>
        <v/>
      </c>
    </row>
    <row r="1927" customFormat="false" ht="15" hidden="false" customHeight="false" outlineLevel="0" collapsed="false">
      <c r="L1927" s="37" t="str">
        <f aca="false">IF(INDEX($A1927:$J1927,$L$6)&lt;&gt;"",TRIM(LEFT(INDEX($A1927:$J1927,$L$6),FIND("(",INDEX($A1927:$J1927,$L$6)&amp;"(")-1)),L1926)</f>
        <v>Building Value Proposition</v>
      </c>
      <c r="M1927" s="37" t="str">
        <f aca="false">IF(INDEX($A1927:$J1927,$M$6)="","",INDEX($A1927:$J1927,$M$6)&amp;"")</f>
        <v/>
      </c>
      <c r="N1927" s="37" t="str">
        <f aca="false">IF($M1927="","",TRIM(INDEX($A1927:$J1927,$N$6)&amp;""))</f>
        <v/>
      </c>
      <c r="O1927" s="37" t="str">
        <f aca="false">IF($M1927="","",TRIM(INDEX($A1927:$J1927,$O$6)&amp;""))</f>
        <v/>
      </c>
      <c r="P1927" s="37" t="str">
        <f aca="false">IF($M1927="","",IFERROR(IF(INDEX(Settings!$B$41:$B$50,MATCH(O1927,Settings!$A$41:$A$50,0))&amp;""="","UNMAPPED",INDEX(Settings!$B$41:$B$50,MATCH(O1927,Settings!$A$41:$A$50,0))&amp;""),"UNMAPPED"))</f>
        <v/>
      </c>
      <c r="Q1927" s="38" t="n">
        <f aca="false">IF($M1927="",0,N(INDEX($A1927:$J1927,$Q$6)))</f>
        <v>0</v>
      </c>
      <c r="R1927" s="39" t="str">
        <f aca="false">IF($M1927="","",INDEX($A1927:$J1927,$R$6))</f>
        <v/>
      </c>
      <c r="S1927" s="37" t="str">
        <f aca="false">IF($M1927="","",IFERROR(INDEX(Settings!$B$27:$B$36,MATCH(L1927,Settings!$A$27:$A$36,0))&amp;"","UNMAPPED"))</f>
        <v/>
      </c>
      <c r="T1927" s="37" t="str">
        <f aca="false">IF($M1927="","",IF(NOT(ISNUMBER(R1927)),"NO DATE",IF(S1927="Won",IF(R1927&gt;Settings!$B$5,"Backlog","Delivered"),IF(S1927="Open",IF(R1927&gt;Settings!$B$5,"Pipeline","Overdue"),IF(S1927="Lost","Lost","UNMAPPED")))))</f>
        <v/>
      </c>
      <c r="U1927" s="40" t="n">
        <f aca="false">IF(T1927="Backlog",1,IF(OR(T1927="Pipeline",T1927="Overdue"),N(INDEX(Settings!$C$27:$C$36,MATCH(L1927,Settings!$A$27:$A$36,0))),0))</f>
        <v>0</v>
      </c>
      <c r="V1927" s="38" t="n">
        <f aca="false">Q1927*U1927</f>
        <v>0</v>
      </c>
      <c r="W1927" s="41" t="str">
        <f aca="false">IF($M1927="","",IF(T1927="Overdue",IF(Settings!$B$8="Yes",Settings!$B$7,""),IF(ISNUMBER(R1927),DATE(YEAR(R1927),MONTH(R1927),1),"")))</f>
        <v/>
      </c>
      <c r="X1927" s="38" t="n">
        <f aca="false">IF(AND(OR(T1927="Backlog",T1927="Pipeline",T1927="Overdue"),ISNUMBER(W1927)),IF(W1927&lt;=Settings!$B$6,V1927,0),0)</f>
        <v>0</v>
      </c>
      <c r="Y1927" s="38" t="n">
        <f aca="false">IF(AND(OR(T1927="Backlog",T1927="Pipeline",T1927="Overdue"),ISNUMBER(W1927)),IF(W1927&lt;=Settings!$B$6,Q1927,0),0)</f>
        <v>0</v>
      </c>
      <c r="Z1927" s="38" t="n">
        <f aca="false">IF(Y1927=0,0,IF(T1927="Backlog",Q1927,Q1927*Dashboard!$C$10))</f>
        <v>0</v>
      </c>
      <c r="AA1927" s="37" t="n">
        <f aca="false">IF($N1927="",0,IF(COUNTIF(Dashboard!$C$13:$C$22,$N1927)&gt;0,1,0))</f>
        <v>0</v>
      </c>
      <c r="AB1927" s="37" t="str">
        <f aca="false">IF($N1927="","",IF(COUNTIF($N$8:$N1927,$N1927)=1,MAX($AB$7:$AB1926)+1,""))</f>
        <v/>
      </c>
    </row>
    <row r="1928" customFormat="false" ht="15" hidden="false" customHeight="false" outlineLevel="0" collapsed="false">
      <c r="L1928" s="37" t="str">
        <f aca="false">IF(INDEX($A1928:$J1928,$L$6)&lt;&gt;"",TRIM(LEFT(INDEX($A1928:$J1928,$L$6),FIND("(",INDEX($A1928:$J1928,$L$6)&amp;"(")-1)),L1927)</f>
        <v>Building Value Proposition</v>
      </c>
      <c r="M1928" s="37" t="str">
        <f aca="false">IF(INDEX($A1928:$J1928,$M$6)="","",INDEX($A1928:$J1928,$M$6)&amp;"")</f>
        <v/>
      </c>
      <c r="N1928" s="37" t="str">
        <f aca="false">IF($M1928="","",TRIM(INDEX($A1928:$J1928,$N$6)&amp;""))</f>
        <v/>
      </c>
      <c r="O1928" s="37" t="str">
        <f aca="false">IF($M1928="","",TRIM(INDEX($A1928:$J1928,$O$6)&amp;""))</f>
        <v/>
      </c>
      <c r="P1928" s="37" t="str">
        <f aca="false">IF($M1928="","",IFERROR(IF(INDEX(Settings!$B$41:$B$50,MATCH(O1928,Settings!$A$41:$A$50,0))&amp;""="","UNMAPPED",INDEX(Settings!$B$41:$B$50,MATCH(O1928,Settings!$A$41:$A$50,0))&amp;""),"UNMAPPED"))</f>
        <v/>
      </c>
      <c r="Q1928" s="38" t="n">
        <f aca="false">IF($M1928="",0,N(INDEX($A1928:$J1928,$Q$6)))</f>
        <v>0</v>
      </c>
      <c r="R1928" s="39" t="str">
        <f aca="false">IF($M1928="","",INDEX($A1928:$J1928,$R$6))</f>
        <v/>
      </c>
      <c r="S1928" s="37" t="str">
        <f aca="false">IF($M1928="","",IFERROR(INDEX(Settings!$B$27:$B$36,MATCH(L1928,Settings!$A$27:$A$36,0))&amp;"","UNMAPPED"))</f>
        <v/>
      </c>
      <c r="T1928" s="37" t="str">
        <f aca="false">IF($M1928="","",IF(NOT(ISNUMBER(R1928)),"NO DATE",IF(S1928="Won",IF(R1928&gt;Settings!$B$5,"Backlog","Delivered"),IF(S1928="Open",IF(R1928&gt;Settings!$B$5,"Pipeline","Overdue"),IF(S1928="Lost","Lost","UNMAPPED")))))</f>
        <v/>
      </c>
      <c r="U1928" s="40" t="n">
        <f aca="false">IF(T1928="Backlog",1,IF(OR(T1928="Pipeline",T1928="Overdue"),N(INDEX(Settings!$C$27:$C$36,MATCH(L1928,Settings!$A$27:$A$36,0))),0))</f>
        <v>0</v>
      </c>
      <c r="V1928" s="38" t="n">
        <f aca="false">Q1928*U1928</f>
        <v>0</v>
      </c>
      <c r="W1928" s="41" t="str">
        <f aca="false">IF($M1928="","",IF(T1928="Overdue",IF(Settings!$B$8="Yes",Settings!$B$7,""),IF(ISNUMBER(R1928),DATE(YEAR(R1928),MONTH(R1928),1),"")))</f>
        <v/>
      </c>
      <c r="X1928" s="38" t="n">
        <f aca="false">IF(AND(OR(T1928="Backlog",T1928="Pipeline",T1928="Overdue"),ISNUMBER(W1928)),IF(W1928&lt;=Settings!$B$6,V1928,0),0)</f>
        <v>0</v>
      </c>
      <c r="Y1928" s="38" t="n">
        <f aca="false">IF(AND(OR(T1928="Backlog",T1928="Pipeline",T1928="Overdue"),ISNUMBER(W1928)),IF(W1928&lt;=Settings!$B$6,Q1928,0),0)</f>
        <v>0</v>
      </c>
      <c r="Z1928" s="38" t="n">
        <f aca="false">IF(Y1928=0,0,IF(T1928="Backlog",Q1928,Q1928*Dashboard!$C$10))</f>
        <v>0</v>
      </c>
      <c r="AA1928" s="37" t="n">
        <f aca="false">IF($N1928="",0,IF(COUNTIF(Dashboard!$C$13:$C$22,$N1928)&gt;0,1,0))</f>
        <v>0</v>
      </c>
      <c r="AB1928" s="37" t="str">
        <f aca="false">IF($N1928="","",IF(COUNTIF($N$8:$N1928,$N1928)=1,MAX($AB$7:$AB1927)+1,""))</f>
        <v/>
      </c>
    </row>
    <row r="1929" customFormat="false" ht="15" hidden="false" customHeight="false" outlineLevel="0" collapsed="false">
      <c r="L1929" s="37" t="str">
        <f aca="false">IF(INDEX($A1929:$J1929,$L$6)&lt;&gt;"",TRIM(LEFT(INDEX($A1929:$J1929,$L$6),FIND("(",INDEX($A1929:$J1929,$L$6)&amp;"(")-1)),L1928)</f>
        <v>Building Value Proposition</v>
      </c>
      <c r="M1929" s="37" t="str">
        <f aca="false">IF(INDEX($A1929:$J1929,$M$6)="","",INDEX($A1929:$J1929,$M$6)&amp;"")</f>
        <v/>
      </c>
      <c r="N1929" s="37" t="str">
        <f aca="false">IF($M1929="","",TRIM(INDEX($A1929:$J1929,$N$6)&amp;""))</f>
        <v/>
      </c>
      <c r="O1929" s="37" t="str">
        <f aca="false">IF($M1929="","",TRIM(INDEX($A1929:$J1929,$O$6)&amp;""))</f>
        <v/>
      </c>
      <c r="P1929" s="37" t="str">
        <f aca="false">IF($M1929="","",IFERROR(IF(INDEX(Settings!$B$41:$B$50,MATCH(O1929,Settings!$A$41:$A$50,0))&amp;""="","UNMAPPED",INDEX(Settings!$B$41:$B$50,MATCH(O1929,Settings!$A$41:$A$50,0))&amp;""),"UNMAPPED"))</f>
        <v/>
      </c>
      <c r="Q1929" s="38" t="n">
        <f aca="false">IF($M1929="",0,N(INDEX($A1929:$J1929,$Q$6)))</f>
        <v>0</v>
      </c>
      <c r="R1929" s="39" t="str">
        <f aca="false">IF($M1929="","",INDEX($A1929:$J1929,$R$6))</f>
        <v/>
      </c>
      <c r="S1929" s="37" t="str">
        <f aca="false">IF($M1929="","",IFERROR(INDEX(Settings!$B$27:$B$36,MATCH(L1929,Settings!$A$27:$A$36,0))&amp;"","UNMAPPED"))</f>
        <v/>
      </c>
      <c r="T1929" s="37" t="str">
        <f aca="false">IF($M1929="","",IF(NOT(ISNUMBER(R1929)),"NO DATE",IF(S1929="Won",IF(R1929&gt;Settings!$B$5,"Backlog","Delivered"),IF(S1929="Open",IF(R1929&gt;Settings!$B$5,"Pipeline","Overdue"),IF(S1929="Lost","Lost","UNMAPPED")))))</f>
        <v/>
      </c>
      <c r="U1929" s="40" t="n">
        <f aca="false">IF(T1929="Backlog",1,IF(OR(T1929="Pipeline",T1929="Overdue"),N(INDEX(Settings!$C$27:$C$36,MATCH(L1929,Settings!$A$27:$A$36,0))),0))</f>
        <v>0</v>
      </c>
      <c r="V1929" s="38" t="n">
        <f aca="false">Q1929*U1929</f>
        <v>0</v>
      </c>
      <c r="W1929" s="41" t="str">
        <f aca="false">IF($M1929="","",IF(T1929="Overdue",IF(Settings!$B$8="Yes",Settings!$B$7,""),IF(ISNUMBER(R1929),DATE(YEAR(R1929),MONTH(R1929),1),"")))</f>
        <v/>
      </c>
      <c r="X1929" s="38" t="n">
        <f aca="false">IF(AND(OR(T1929="Backlog",T1929="Pipeline",T1929="Overdue"),ISNUMBER(W1929)),IF(W1929&lt;=Settings!$B$6,V1929,0),0)</f>
        <v>0</v>
      </c>
      <c r="Y1929" s="38" t="n">
        <f aca="false">IF(AND(OR(T1929="Backlog",T1929="Pipeline",T1929="Overdue"),ISNUMBER(W1929)),IF(W1929&lt;=Settings!$B$6,Q1929,0),0)</f>
        <v>0</v>
      </c>
      <c r="Z1929" s="38" t="n">
        <f aca="false">IF(Y1929=0,0,IF(T1929="Backlog",Q1929,Q1929*Dashboard!$C$10))</f>
        <v>0</v>
      </c>
      <c r="AA1929" s="37" t="n">
        <f aca="false">IF($N1929="",0,IF(COUNTIF(Dashboard!$C$13:$C$22,$N1929)&gt;0,1,0))</f>
        <v>0</v>
      </c>
      <c r="AB1929" s="37" t="str">
        <f aca="false">IF($N1929="","",IF(COUNTIF($N$8:$N1929,$N1929)=1,MAX($AB$7:$AB1928)+1,""))</f>
        <v/>
      </c>
    </row>
    <row r="1930" customFormat="false" ht="15" hidden="false" customHeight="false" outlineLevel="0" collapsed="false">
      <c r="L1930" s="37" t="str">
        <f aca="false">IF(INDEX($A1930:$J1930,$L$6)&lt;&gt;"",TRIM(LEFT(INDEX($A1930:$J1930,$L$6),FIND("(",INDEX($A1930:$J1930,$L$6)&amp;"(")-1)),L1929)</f>
        <v>Building Value Proposition</v>
      </c>
      <c r="M1930" s="37" t="str">
        <f aca="false">IF(INDEX($A1930:$J1930,$M$6)="","",INDEX($A1930:$J1930,$M$6)&amp;"")</f>
        <v/>
      </c>
      <c r="N1930" s="37" t="str">
        <f aca="false">IF($M1930="","",TRIM(INDEX($A1930:$J1930,$N$6)&amp;""))</f>
        <v/>
      </c>
      <c r="O1930" s="37" t="str">
        <f aca="false">IF($M1930="","",TRIM(INDEX($A1930:$J1930,$O$6)&amp;""))</f>
        <v/>
      </c>
      <c r="P1930" s="37" t="str">
        <f aca="false">IF($M1930="","",IFERROR(IF(INDEX(Settings!$B$41:$B$50,MATCH(O1930,Settings!$A$41:$A$50,0))&amp;""="","UNMAPPED",INDEX(Settings!$B$41:$B$50,MATCH(O1930,Settings!$A$41:$A$50,0))&amp;""),"UNMAPPED"))</f>
        <v/>
      </c>
      <c r="Q1930" s="38" t="n">
        <f aca="false">IF($M1930="",0,N(INDEX($A1930:$J1930,$Q$6)))</f>
        <v>0</v>
      </c>
      <c r="R1930" s="39" t="str">
        <f aca="false">IF($M1930="","",INDEX($A1930:$J1930,$R$6))</f>
        <v/>
      </c>
      <c r="S1930" s="37" t="str">
        <f aca="false">IF($M1930="","",IFERROR(INDEX(Settings!$B$27:$B$36,MATCH(L1930,Settings!$A$27:$A$36,0))&amp;"","UNMAPPED"))</f>
        <v/>
      </c>
      <c r="T1930" s="37" t="str">
        <f aca="false">IF($M1930="","",IF(NOT(ISNUMBER(R1930)),"NO DATE",IF(S1930="Won",IF(R1930&gt;Settings!$B$5,"Backlog","Delivered"),IF(S1930="Open",IF(R1930&gt;Settings!$B$5,"Pipeline","Overdue"),IF(S1930="Lost","Lost","UNMAPPED")))))</f>
        <v/>
      </c>
      <c r="U1930" s="40" t="n">
        <f aca="false">IF(T1930="Backlog",1,IF(OR(T1930="Pipeline",T1930="Overdue"),N(INDEX(Settings!$C$27:$C$36,MATCH(L1930,Settings!$A$27:$A$36,0))),0))</f>
        <v>0</v>
      </c>
      <c r="V1930" s="38" t="n">
        <f aca="false">Q1930*U1930</f>
        <v>0</v>
      </c>
      <c r="W1930" s="41" t="str">
        <f aca="false">IF($M1930="","",IF(T1930="Overdue",IF(Settings!$B$8="Yes",Settings!$B$7,""),IF(ISNUMBER(R1930),DATE(YEAR(R1930),MONTH(R1930),1),"")))</f>
        <v/>
      </c>
      <c r="X1930" s="38" t="n">
        <f aca="false">IF(AND(OR(T1930="Backlog",T1930="Pipeline",T1930="Overdue"),ISNUMBER(W1930)),IF(W1930&lt;=Settings!$B$6,V1930,0),0)</f>
        <v>0</v>
      </c>
      <c r="Y1930" s="38" t="n">
        <f aca="false">IF(AND(OR(T1930="Backlog",T1930="Pipeline",T1930="Overdue"),ISNUMBER(W1930)),IF(W1930&lt;=Settings!$B$6,Q1930,0),0)</f>
        <v>0</v>
      </c>
      <c r="Z1930" s="38" t="n">
        <f aca="false">IF(Y1930=0,0,IF(T1930="Backlog",Q1930,Q1930*Dashboard!$C$10))</f>
        <v>0</v>
      </c>
      <c r="AA1930" s="37" t="n">
        <f aca="false">IF($N1930="",0,IF(COUNTIF(Dashboard!$C$13:$C$22,$N1930)&gt;0,1,0))</f>
        <v>0</v>
      </c>
      <c r="AB1930" s="37" t="str">
        <f aca="false">IF($N1930="","",IF(COUNTIF($N$8:$N1930,$N1930)=1,MAX($AB$7:$AB1929)+1,""))</f>
        <v/>
      </c>
    </row>
    <row r="1931" customFormat="false" ht="15" hidden="false" customHeight="false" outlineLevel="0" collapsed="false">
      <c r="L1931" s="37" t="str">
        <f aca="false">IF(INDEX($A1931:$J1931,$L$6)&lt;&gt;"",TRIM(LEFT(INDEX($A1931:$J1931,$L$6),FIND("(",INDEX($A1931:$J1931,$L$6)&amp;"(")-1)),L1930)</f>
        <v>Building Value Proposition</v>
      </c>
      <c r="M1931" s="37" t="str">
        <f aca="false">IF(INDEX($A1931:$J1931,$M$6)="","",INDEX($A1931:$J1931,$M$6)&amp;"")</f>
        <v/>
      </c>
      <c r="N1931" s="37" t="str">
        <f aca="false">IF($M1931="","",TRIM(INDEX($A1931:$J1931,$N$6)&amp;""))</f>
        <v/>
      </c>
      <c r="O1931" s="37" t="str">
        <f aca="false">IF($M1931="","",TRIM(INDEX($A1931:$J1931,$O$6)&amp;""))</f>
        <v/>
      </c>
      <c r="P1931" s="37" t="str">
        <f aca="false">IF($M1931="","",IFERROR(IF(INDEX(Settings!$B$41:$B$50,MATCH(O1931,Settings!$A$41:$A$50,0))&amp;""="","UNMAPPED",INDEX(Settings!$B$41:$B$50,MATCH(O1931,Settings!$A$41:$A$50,0))&amp;""),"UNMAPPED"))</f>
        <v/>
      </c>
      <c r="Q1931" s="38" t="n">
        <f aca="false">IF($M1931="",0,N(INDEX($A1931:$J1931,$Q$6)))</f>
        <v>0</v>
      </c>
      <c r="R1931" s="39" t="str">
        <f aca="false">IF($M1931="","",INDEX($A1931:$J1931,$R$6))</f>
        <v/>
      </c>
      <c r="S1931" s="37" t="str">
        <f aca="false">IF($M1931="","",IFERROR(INDEX(Settings!$B$27:$B$36,MATCH(L1931,Settings!$A$27:$A$36,0))&amp;"","UNMAPPED"))</f>
        <v/>
      </c>
      <c r="T1931" s="37" t="str">
        <f aca="false">IF($M1931="","",IF(NOT(ISNUMBER(R1931)),"NO DATE",IF(S1931="Won",IF(R1931&gt;Settings!$B$5,"Backlog","Delivered"),IF(S1931="Open",IF(R1931&gt;Settings!$B$5,"Pipeline","Overdue"),IF(S1931="Lost","Lost","UNMAPPED")))))</f>
        <v/>
      </c>
      <c r="U1931" s="40" t="n">
        <f aca="false">IF(T1931="Backlog",1,IF(OR(T1931="Pipeline",T1931="Overdue"),N(INDEX(Settings!$C$27:$C$36,MATCH(L1931,Settings!$A$27:$A$36,0))),0))</f>
        <v>0</v>
      </c>
      <c r="V1931" s="38" t="n">
        <f aca="false">Q1931*U1931</f>
        <v>0</v>
      </c>
      <c r="W1931" s="41" t="str">
        <f aca="false">IF($M1931="","",IF(T1931="Overdue",IF(Settings!$B$8="Yes",Settings!$B$7,""),IF(ISNUMBER(R1931),DATE(YEAR(R1931),MONTH(R1931),1),"")))</f>
        <v/>
      </c>
      <c r="X1931" s="38" t="n">
        <f aca="false">IF(AND(OR(T1931="Backlog",T1931="Pipeline",T1931="Overdue"),ISNUMBER(W1931)),IF(W1931&lt;=Settings!$B$6,V1931,0),0)</f>
        <v>0</v>
      </c>
      <c r="Y1931" s="38" t="n">
        <f aca="false">IF(AND(OR(T1931="Backlog",T1931="Pipeline",T1931="Overdue"),ISNUMBER(W1931)),IF(W1931&lt;=Settings!$B$6,Q1931,0),0)</f>
        <v>0</v>
      </c>
      <c r="Z1931" s="38" t="n">
        <f aca="false">IF(Y1931=0,0,IF(T1931="Backlog",Q1931,Q1931*Dashboard!$C$10))</f>
        <v>0</v>
      </c>
      <c r="AA1931" s="37" t="n">
        <f aca="false">IF($N1931="",0,IF(COUNTIF(Dashboard!$C$13:$C$22,$N1931)&gt;0,1,0))</f>
        <v>0</v>
      </c>
      <c r="AB1931" s="37" t="str">
        <f aca="false">IF($N1931="","",IF(COUNTIF($N$8:$N1931,$N1931)=1,MAX($AB$7:$AB1930)+1,""))</f>
        <v/>
      </c>
    </row>
    <row r="1932" customFormat="false" ht="15" hidden="false" customHeight="false" outlineLevel="0" collapsed="false">
      <c r="L1932" s="37" t="str">
        <f aca="false">IF(INDEX($A1932:$J1932,$L$6)&lt;&gt;"",TRIM(LEFT(INDEX($A1932:$J1932,$L$6),FIND("(",INDEX($A1932:$J1932,$L$6)&amp;"(")-1)),L1931)</f>
        <v>Building Value Proposition</v>
      </c>
      <c r="M1932" s="37" t="str">
        <f aca="false">IF(INDEX($A1932:$J1932,$M$6)="","",INDEX($A1932:$J1932,$M$6)&amp;"")</f>
        <v/>
      </c>
      <c r="N1932" s="37" t="str">
        <f aca="false">IF($M1932="","",TRIM(INDEX($A1932:$J1932,$N$6)&amp;""))</f>
        <v/>
      </c>
      <c r="O1932" s="37" t="str">
        <f aca="false">IF($M1932="","",TRIM(INDEX($A1932:$J1932,$O$6)&amp;""))</f>
        <v/>
      </c>
      <c r="P1932" s="37" t="str">
        <f aca="false">IF($M1932="","",IFERROR(IF(INDEX(Settings!$B$41:$B$50,MATCH(O1932,Settings!$A$41:$A$50,0))&amp;""="","UNMAPPED",INDEX(Settings!$B$41:$B$50,MATCH(O1932,Settings!$A$41:$A$50,0))&amp;""),"UNMAPPED"))</f>
        <v/>
      </c>
      <c r="Q1932" s="38" t="n">
        <f aca="false">IF($M1932="",0,N(INDEX($A1932:$J1932,$Q$6)))</f>
        <v>0</v>
      </c>
      <c r="R1932" s="39" t="str">
        <f aca="false">IF($M1932="","",INDEX($A1932:$J1932,$R$6))</f>
        <v/>
      </c>
      <c r="S1932" s="37" t="str">
        <f aca="false">IF($M1932="","",IFERROR(INDEX(Settings!$B$27:$B$36,MATCH(L1932,Settings!$A$27:$A$36,0))&amp;"","UNMAPPED"))</f>
        <v/>
      </c>
      <c r="T1932" s="37" t="str">
        <f aca="false">IF($M1932="","",IF(NOT(ISNUMBER(R1932)),"NO DATE",IF(S1932="Won",IF(R1932&gt;Settings!$B$5,"Backlog","Delivered"),IF(S1932="Open",IF(R1932&gt;Settings!$B$5,"Pipeline","Overdue"),IF(S1932="Lost","Lost","UNMAPPED")))))</f>
        <v/>
      </c>
      <c r="U1932" s="40" t="n">
        <f aca="false">IF(T1932="Backlog",1,IF(OR(T1932="Pipeline",T1932="Overdue"),N(INDEX(Settings!$C$27:$C$36,MATCH(L1932,Settings!$A$27:$A$36,0))),0))</f>
        <v>0</v>
      </c>
      <c r="V1932" s="38" t="n">
        <f aca="false">Q1932*U1932</f>
        <v>0</v>
      </c>
      <c r="W1932" s="41" t="str">
        <f aca="false">IF($M1932="","",IF(T1932="Overdue",IF(Settings!$B$8="Yes",Settings!$B$7,""),IF(ISNUMBER(R1932),DATE(YEAR(R1932),MONTH(R1932),1),"")))</f>
        <v/>
      </c>
      <c r="X1932" s="38" t="n">
        <f aca="false">IF(AND(OR(T1932="Backlog",T1932="Pipeline",T1932="Overdue"),ISNUMBER(W1932)),IF(W1932&lt;=Settings!$B$6,V1932,0),0)</f>
        <v>0</v>
      </c>
      <c r="Y1932" s="38" t="n">
        <f aca="false">IF(AND(OR(T1932="Backlog",T1932="Pipeline",T1932="Overdue"),ISNUMBER(W1932)),IF(W1932&lt;=Settings!$B$6,Q1932,0),0)</f>
        <v>0</v>
      </c>
      <c r="Z1932" s="38" t="n">
        <f aca="false">IF(Y1932=0,0,IF(T1932="Backlog",Q1932,Q1932*Dashboard!$C$10))</f>
        <v>0</v>
      </c>
      <c r="AA1932" s="37" t="n">
        <f aca="false">IF($N1932="",0,IF(COUNTIF(Dashboard!$C$13:$C$22,$N1932)&gt;0,1,0))</f>
        <v>0</v>
      </c>
      <c r="AB1932" s="37" t="str">
        <f aca="false">IF($N1932="","",IF(COUNTIF($N$8:$N1932,$N1932)=1,MAX($AB$7:$AB1931)+1,""))</f>
        <v/>
      </c>
    </row>
    <row r="1933" customFormat="false" ht="15" hidden="false" customHeight="false" outlineLevel="0" collapsed="false">
      <c r="L1933" s="37" t="str">
        <f aca="false">IF(INDEX($A1933:$J1933,$L$6)&lt;&gt;"",TRIM(LEFT(INDEX($A1933:$J1933,$L$6),FIND("(",INDEX($A1933:$J1933,$L$6)&amp;"(")-1)),L1932)</f>
        <v>Building Value Proposition</v>
      </c>
      <c r="M1933" s="37" t="str">
        <f aca="false">IF(INDEX($A1933:$J1933,$M$6)="","",INDEX($A1933:$J1933,$M$6)&amp;"")</f>
        <v/>
      </c>
      <c r="N1933" s="37" t="str">
        <f aca="false">IF($M1933="","",TRIM(INDEX($A1933:$J1933,$N$6)&amp;""))</f>
        <v/>
      </c>
      <c r="O1933" s="37" t="str">
        <f aca="false">IF($M1933="","",TRIM(INDEX($A1933:$J1933,$O$6)&amp;""))</f>
        <v/>
      </c>
      <c r="P1933" s="37" t="str">
        <f aca="false">IF($M1933="","",IFERROR(IF(INDEX(Settings!$B$41:$B$50,MATCH(O1933,Settings!$A$41:$A$50,0))&amp;""="","UNMAPPED",INDEX(Settings!$B$41:$B$50,MATCH(O1933,Settings!$A$41:$A$50,0))&amp;""),"UNMAPPED"))</f>
        <v/>
      </c>
      <c r="Q1933" s="38" t="n">
        <f aca="false">IF($M1933="",0,N(INDEX($A1933:$J1933,$Q$6)))</f>
        <v>0</v>
      </c>
      <c r="R1933" s="39" t="str">
        <f aca="false">IF($M1933="","",INDEX($A1933:$J1933,$R$6))</f>
        <v/>
      </c>
      <c r="S1933" s="37" t="str">
        <f aca="false">IF($M1933="","",IFERROR(INDEX(Settings!$B$27:$B$36,MATCH(L1933,Settings!$A$27:$A$36,0))&amp;"","UNMAPPED"))</f>
        <v/>
      </c>
      <c r="T1933" s="37" t="str">
        <f aca="false">IF($M1933="","",IF(NOT(ISNUMBER(R1933)),"NO DATE",IF(S1933="Won",IF(R1933&gt;Settings!$B$5,"Backlog","Delivered"),IF(S1933="Open",IF(R1933&gt;Settings!$B$5,"Pipeline","Overdue"),IF(S1933="Lost","Lost","UNMAPPED")))))</f>
        <v/>
      </c>
      <c r="U1933" s="40" t="n">
        <f aca="false">IF(T1933="Backlog",1,IF(OR(T1933="Pipeline",T1933="Overdue"),N(INDEX(Settings!$C$27:$C$36,MATCH(L1933,Settings!$A$27:$A$36,0))),0))</f>
        <v>0</v>
      </c>
      <c r="V1933" s="38" t="n">
        <f aca="false">Q1933*U1933</f>
        <v>0</v>
      </c>
      <c r="W1933" s="41" t="str">
        <f aca="false">IF($M1933="","",IF(T1933="Overdue",IF(Settings!$B$8="Yes",Settings!$B$7,""),IF(ISNUMBER(R1933),DATE(YEAR(R1933),MONTH(R1933),1),"")))</f>
        <v/>
      </c>
      <c r="X1933" s="38" t="n">
        <f aca="false">IF(AND(OR(T1933="Backlog",T1933="Pipeline",T1933="Overdue"),ISNUMBER(W1933)),IF(W1933&lt;=Settings!$B$6,V1933,0),0)</f>
        <v>0</v>
      </c>
      <c r="Y1933" s="38" t="n">
        <f aca="false">IF(AND(OR(T1933="Backlog",T1933="Pipeline",T1933="Overdue"),ISNUMBER(W1933)),IF(W1933&lt;=Settings!$B$6,Q1933,0),0)</f>
        <v>0</v>
      </c>
      <c r="Z1933" s="38" t="n">
        <f aca="false">IF(Y1933=0,0,IF(T1933="Backlog",Q1933,Q1933*Dashboard!$C$10))</f>
        <v>0</v>
      </c>
      <c r="AA1933" s="37" t="n">
        <f aca="false">IF($N1933="",0,IF(COUNTIF(Dashboard!$C$13:$C$22,$N1933)&gt;0,1,0))</f>
        <v>0</v>
      </c>
      <c r="AB1933" s="37" t="str">
        <f aca="false">IF($N1933="","",IF(COUNTIF($N$8:$N1933,$N1933)=1,MAX($AB$7:$AB1932)+1,""))</f>
        <v/>
      </c>
    </row>
    <row r="1934" customFormat="false" ht="15" hidden="false" customHeight="false" outlineLevel="0" collapsed="false">
      <c r="L1934" s="37" t="str">
        <f aca="false">IF(INDEX($A1934:$J1934,$L$6)&lt;&gt;"",TRIM(LEFT(INDEX($A1934:$J1934,$L$6),FIND("(",INDEX($A1934:$J1934,$L$6)&amp;"(")-1)),L1933)</f>
        <v>Building Value Proposition</v>
      </c>
      <c r="M1934" s="37" t="str">
        <f aca="false">IF(INDEX($A1934:$J1934,$M$6)="","",INDEX($A1934:$J1934,$M$6)&amp;"")</f>
        <v/>
      </c>
      <c r="N1934" s="37" t="str">
        <f aca="false">IF($M1934="","",TRIM(INDEX($A1934:$J1934,$N$6)&amp;""))</f>
        <v/>
      </c>
      <c r="O1934" s="37" t="str">
        <f aca="false">IF($M1934="","",TRIM(INDEX($A1934:$J1934,$O$6)&amp;""))</f>
        <v/>
      </c>
      <c r="P1934" s="37" t="str">
        <f aca="false">IF($M1934="","",IFERROR(IF(INDEX(Settings!$B$41:$B$50,MATCH(O1934,Settings!$A$41:$A$50,0))&amp;""="","UNMAPPED",INDEX(Settings!$B$41:$B$50,MATCH(O1934,Settings!$A$41:$A$50,0))&amp;""),"UNMAPPED"))</f>
        <v/>
      </c>
      <c r="Q1934" s="38" t="n">
        <f aca="false">IF($M1934="",0,N(INDEX($A1934:$J1934,$Q$6)))</f>
        <v>0</v>
      </c>
      <c r="R1934" s="39" t="str">
        <f aca="false">IF($M1934="","",INDEX($A1934:$J1934,$R$6))</f>
        <v/>
      </c>
      <c r="S1934" s="37" t="str">
        <f aca="false">IF($M1934="","",IFERROR(INDEX(Settings!$B$27:$B$36,MATCH(L1934,Settings!$A$27:$A$36,0))&amp;"","UNMAPPED"))</f>
        <v/>
      </c>
      <c r="T1934" s="37" t="str">
        <f aca="false">IF($M1934="","",IF(NOT(ISNUMBER(R1934)),"NO DATE",IF(S1934="Won",IF(R1934&gt;Settings!$B$5,"Backlog","Delivered"),IF(S1934="Open",IF(R1934&gt;Settings!$B$5,"Pipeline","Overdue"),IF(S1934="Lost","Lost","UNMAPPED")))))</f>
        <v/>
      </c>
      <c r="U1934" s="40" t="n">
        <f aca="false">IF(T1934="Backlog",1,IF(OR(T1934="Pipeline",T1934="Overdue"),N(INDEX(Settings!$C$27:$C$36,MATCH(L1934,Settings!$A$27:$A$36,0))),0))</f>
        <v>0</v>
      </c>
      <c r="V1934" s="38" t="n">
        <f aca="false">Q1934*U1934</f>
        <v>0</v>
      </c>
      <c r="W1934" s="41" t="str">
        <f aca="false">IF($M1934="","",IF(T1934="Overdue",IF(Settings!$B$8="Yes",Settings!$B$7,""),IF(ISNUMBER(R1934),DATE(YEAR(R1934),MONTH(R1934),1),"")))</f>
        <v/>
      </c>
      <c r="X1934" s="38" t="n">
        <f aca="false">IF(AND(OR(T1934="Backlog",T1934="Pipeline",T1934="Overdue"),ISNUMBER(W1934)),IF(W1934&lt;=Settings!$B$6,V1934,0),0)</f>
        <v>0</v>
      </c>
      <c r="Y1934" s="38" t="n">
        <f aca="false">IF(AND(OR(T1934="Backlog",T1934="Pipeline",T1934="Overdue"),ISNUMBER(W1934)),IF(W1934&lt;=Settings!$B$6,Q1934,0),0)</f>
        <v>0</v>
      </c>
      <c r="Z1934" s="38" t="n">
        <f aca="false">IF(Y1934=0,0,IF(T1934="Backlog",Q1934,Q1934*Dashboard!$C$10))</f>
        <v>0</v>
      </c>
      <c r="AA1934" s="37" t="n">
        <f aca="false">IF($N1934="",0,IF(COUNTIF(Dashboard!$C$13:$C$22,$N1934)&gt;0,1,0))</f>
        <v>0</v>
      </c>
      <c r="AB1934" s="37" t="str">
        <f aca="false">IF($N1934="","",IF(COUNTIF($N$8:$N1934,$N1934)=1,MAX($AB$7:$AB1933)+1,""))</f>
        <v/>
      </c>
    </row>
    <row r="1935" customFormat="false" ht="15" hidden="false" customHeight="false" outlineLevel="0" collapsed="false">
      <c r="L1935" s="37" t="str">
        <f aca="false">IF(INDEX($A1935:$J1935,$L$6)&lt;&gt;"",TRIM(LEFT(INDEX($A1935:$J1935,$L$6),FIND("(",INDEX($A1935:$J1935,$L$6)&amp;"(")-1)),L1934)</f>
        <v>Building Value Proposition</v>
      </c>
      <c r="M1935" s="37" t="str">
        <f aca="false">IF(INDEX($A1935:$J1935,$M$6)="","",INDEX($A1935:$J1935,$M$6)&amp;"")</f>
        <v/>
      </c>
      <c r="N1935" s="37" t="str">
        <f aca="false">IF($M1935="","",TRIM(INDEX($A1935:$J1935,$N$6)&amp;""))</f>
        <v/>
      </c>
      <c r="O1935" s="37" t="str">
        <f aca="false">IF($M1935="","",TRIM(INDEX($A1935:$J1935,$O$6)&amp;""))</f>
        <v/>
      </c>
      <c r="P1935" s="37" t="str">
        <f aca="false">IF($M1935="","",IFERROR(IF(INDEX(Settings!$B$41:$B$50,MATCH(O1935,Settings!$A$41:$A$50,0))&amp;""="","UNMAPPED",INDEX(Settings!$B$41:$B$50,MATCH(O1935,Settings!$A$41:$A$50,0))&amp;""),"UNMAPPED"))</f>
        <v/>
      </c>
      <c r="Q1935" s="38" t="n">
        <f aca="false">IF($M1935="",0,N(INDEX($A1935:$J1935,$Q$6)))</f>
        <v>0</v>
      </c>
      <c r="R1935" s="39" t="str">
        <f aca="false">IF($M1935="","",INDEX($A1935:$J1935,$R$6))</f>
        <v/>
      </c>
      <c r="S1935" s="37" t="str">
        <f aca="false">IF($M1935="","",IFERROR(INDEX(Settings!$B$27:$B$36,MATCH(L1935,Settings!$A$27:$A$36,0))&amp;"","UNMAPPED"))</f>
        <v/>
      </c>
      <c r="T1935" s="37" t="str">
        <f aca="false">IF($M1935="","",IF(NOT(ISNUMBER(R1935)),"NO DATE",IF(S1935="Won",IF(R1935&gt;Settings!$B$5,"Backlog","Delivered"),IF(S1935="Open",IF(R1935&gt;Settings!$B$5,"Pipeline","Overdue"),IF(S1935="Lost","Lost","UNMAPPED")))))</f>
        <v/>
      </c>
      <c r="U1935" s="40" t="n">
        <f aca="false">IF(T1935="Backlog",1,IF(OR(T1935="Pipeline",T1935="Overdue"),N(INDEX(Settings!$C$27:$C$36,MATCH(L1935,Settings!$A$27:$A$36,0))),0))</f>
        <v>0</v>
      </c>
      <c r="V1935" s="38" t="n">
        <f aca="false">Q1935*U1935</f>
        <v>0</v>
      </c>
      <c r="W1935" s="41" t="str">
        <f aca="false">IF($M1935="","",IF(T1935="Overdue",IF(Settings!$B$8="Yes",Settings!$B$7,""),IF(ISNUMBER(R1935),DATE(YEAR(R1935),MONTH(R1935),1),"")))</f>
        <v/>
      </c>
      <c r="X1935" s="38" t="n">
        <f aca="false">IF(AND(OR(T1935="Backlog",T1935="Pipeline",T1935="Overdue"),ISNUMBER(W1935)),IF(W1935&lt;=Settings!$B$6,V1935,0),0)</f>
        <v>0</v>
      </c>
      <c r="Y1935" s="38" t="n">
        <f aca="false">IF(AND(OR(T1935="Backlog",T1935="Pipeline",T1935="Overdue"),ISNUMBER(W1935)),IF(W1935&lt;=Settings!$B$6,Q1935,0),0)</f>
        <v>0</v>
      </c>
      <c r="Z1935" s="38" t="n">
        <f aca="false">IF(Y1935=0,0,IF(T1935="Backlog",Q1935,Q1935*Dashboard!$C$10))</f>
        <v>0</v>
      </c>
      <c r="AA1935" s="37" t="n">
        <f aca="false">IF($N1935="",0,IF(COUNTIF(Dashboard!$C$13:$C$22,$N1935)&gt;0,1,0))</f>
        <v>0</v>
      </c>
      <c r="AB1935" s="37" t="str">
        <f aca="false">IF($N1935="","",IF(COUNTIF($N$8:$N1935,$N1935)=1,MAX($AB$7:$AB1934)+1,""))</f>
        <v/>
      </c>
    </row>
    <row r="1936" customFormat="false" ht="15" hidden="false" customHeight="false" outlineLevel="0" collapsed="false">
      <c r="L1936" s="37" t="str">
        <f aca="false">IF(INDEX($A1936:$J1936,$L$6)&lt;&gt;"",TRIM(LEFT(INDEX($A1936:$J1936,$L$6),FIND("(",INDEX($A1936:$J1936,$L$6)&amp;"(")-1)),L1935)</f>
        <v>Building Value Proposition</v>
      </c>
      <c r="M1936" s="37" t="str">
        <f aca="false">IF(INDEX($A1936:$J1936,$M$6)="","",INDEX($A1936:$J1936,$M$6)&amp;"")</f>
        <v/>
      </c>
      <c r="N1936" s="37" t="str">
        <f aca="false">IF($M1936="","",TRIM(INDEX($A1936:$J1936,$N$6)&amp;""))</f>
        <v/>
      </c>
      <c r="O1936" s="37" t="str">
        <f aca="false">IF($M1936="","",TRIM(INDEX($A1936:$J1936,$O$6)&amp;""))</f>
        <v/>
      </c>
      <c r="P1936" s="37" t="str">
        <f aca="false">IF($M1936="","",IFERROR(IF(INDEX(Settings!$B$41:$B$50,MATCH(O1936,Settings!$A$41:$A$50,0))&amp;""="","UNMAPPED",INDEX(Settings!$B$41:$B$50,MATCH(O1936,Settings!$A$41:$A$50,0))&amp;""),"UNMAPPED"))</f>
        <v/>
      </c>
      <c r="Q1936" s="38" t="n">
        <f aca="false">IF($M1936="",0,N(INDEX($A1936:$J1936,$Q$6)))</f>
        <v>0</v>
      </c>
      <c r="R1936" s="39" t="str">
        <f aca="false">IF($M1936="","",INDEX($A1936:$J1936,$R$6))</f>
        <v/>
      </c>
      <c r="S1936" s="37" t="str">
        <f aca="false">IF($M1936="","",IFERROR(INDEX(Settings!$B$27:$B$36,MATCH(L1936,Settings!$A$27:$A$36,0))&amp;"","UNMAPPED"))</f>
        <v/>
      </c>
      <c r="T1936" s="37" t="str">
        <f aca="false">IF($M1936="","",IF(NOT(ISNUMBER(R1936)),"NO DATE",IF(S1936="Won",IF(R1936&gt;Settings!$B$5,"Backlog","Delivered"),IF(S1936="Open",IF(R1936&gt;Settings!$B$5,"Pipeline","Overdue"),IF(S1936="Lost","Lost","UNMAPPED")))))</f>
        <v/>
      </c>
      <c r="U1936" s="40" t="n">
        <f aca="false">IF(T1936="Backlog",1,IF(OR(T1936="Pipeline",T1936="Overdue"),N(INDEX(Settings!$C$27:$C$36,MATCH(L1936,Settings!$A$27:$A$36,0))),0))</f>
        <v>0</v>
      </c>
      <c r="V1936" s="38" t="n">
        <f aca="false">Q1936*U1936</f>
        <v>0</v>
      </c>
      <c r="W1936" s="41" t="str">
        <f aca="false">IF($M1936="","",IF(T1936="Overdue",IF(Settings!$B$8="Yes",Settings!$B$7,""),IF(ISNUMBER(R1936),DATE(YEAR(R1936),MONTH(R1936),1),"")))</f>
        <v/>
      </c>
      <c r="X1936" s="38" t="n">
        <f aca="false">IF(AND(OR(T1936="Backlog",T1936="Pipeline",T1936="Overdue"),ISNUMBER(W1936)),IF(W1936&lt;=Settings!$B$6,V1936,0),0)</f>
        <v>0</v>
      </c>
      <c r="Y1936" s="38" t="n">
        <f aca="false">IF(AND(OR(T1936="Backlog",T1936="Pipeline",T1936="Overdue"),ISNUMBER(W1936)),IF(W1936&lt;=Settings!$B$6,Q1936,0),0)</f>
        <v>0</v>
      </c>
      <c r="Z1936" s="38" t="n">
        <f aca="false">IF(Y1936=0,0,IF(T1936="Backlog",Q1936,Q1936*Dashboard!$C$10))</f>
        <v>0</v>
      </c>
      <c r="AA1936" s="37" t="n">
        <f aca="false">IF($N1936="",0,IF(COUNTIF(Dashboard!$C$13:$C$22,$N1936)&gt;0,1,0))</f>
        <v>0</v>
      </c>
      <c r="AB1936" s="37" t="str">
        <f aca="false">IF($N1936="","",IF(COUNTIF($N$8:$N1936,$N1936)=1,MAX($AB$7:$AB1935)+1,""))</f>
        <v/>
      </c>
    </row>
    <row r="1937" customFormat="false" ht="15" hidden="false" customHeight="false" outlineLevel="0" collapsed="false">
      <c r="L1937" s="37" t="str">
        <f aca="false">IF(INDEX($A1937:$J1937,$L$6)&lt;&gt;"",TRIM(LEFT(INDEX($A1937:$J1937,$L$6),FIND("(",INDEX($A1937:$J1937,$L$6)&amp;"(")-1)),L1936)</f>
        <v>Building Value Proposition</v>
      </c>
      <c r="M1937" s="37" t="str">
        <f aca="false">IF(INDEX($A1937:$J1937,$M$6)="","",INDEX($A1937:$J1937,$M$6)&amp;"")</f>
        <v/>
      </c>
      <c r="N1937" s="37" t="str">
        <f aca="false">IF($M1937="","",TRIM(INDEX($A1937:$J1937,$N$6)&amp;""))</f>
        <v/>
      </c>
      <c r="O1937" s="37" t="str">
        <f aca="false">IF($M1937="","",TRIM(INDEX($A1937:$J1937,$O$6)&amp;""))</f>
        <v/>
      </c>
      <c r="P1937" s="37" t="str">
        <f aca="false">IF($M1937="","",IFERROR(IF(INDEX(Settings!$B$41:$B$50,MATCH(O1937,Settings!$A$41:$A$50,0))&amp;""="","UNMAPPED",INDEX(Settings!$B$41:$B$50,MATCH(O1937,Settings!$A$41:$A$50,0))&amp;""),"UNMAPPED"))</f>
        <v/>
      </c>
      <c r="Q1937" s="38" t="n">
        <f aca="false">IF($M1937="",0,N(INDEX($A1937:$J1937,$Q$6)))</f>
        <v>0</v>
      </c>
      <c r="R1937" s="39" t="str">
        <f aca="false">IF($M1937="","",INDEX($A1937:$J1937,$R$6))</f>
        <v/>
      </c>
      <c r="S1937" s="37" t="str">
        <f aca="false">IF($M1937="","",IFERROR(INDEX(Settings!$B$27:$B$36,MATCH(L1937,Settings!$A$27:$A$36,0))&amp;"","UNMAPPED"))</f>
        <v/>
      </c>
      <c r="T1937" s="37" t="str">
        <f aca="false">IF($M1937="","",IF(NOT(ISNUMBER(R1937)),"NO DATE",IF(S1937="Won",IF(R1937&gt;Settings!$B$5,"Backlog","Delivered"),IF(S1937="Open",IF(R1937&gt;Settings!$B$5,"Pipeline","Overdue"),IF(S1937="Lost","Lost","UNMAPPED")))))</f>
        <v/>
      </c>
      <c r="U1937" s="40" t="n">
        <f aca="false">IF(T1937="Backlog",1,IF(OR(T1937="Pipeline",T1937="Overdue"),N(INDEX(Settings!$C$27:$C$36,MATCH(L1937,Settings!$A$27:$A$36,0))),0))</f>
        <v>0</v>
      </c>
      <c r="V1937" s="38" t="n">
        <f aca="false">Q1937*U1937</f>
        <v>0</v>
      </c>
      <c r="W1937" s="41" t="str">
        <f aca="false">IF($M1937="","",IF(T1937="Overdue",IF(Settings!$B$8="Yes",Settings!$B$7,""),IF(ISNUMBER(R1937),DATE(YEAR(R1937),MONTH(R1937),1),"")))</f>
        <v/>
      </c>
      <c r="X1937" s="38" t="n">
        <f aca="false">IF(AND(OR(T1937="Backlog",T1937="Pipeline",T1937="Overdue"),ISNUMBER(W1937)),IF(W1937&lt;=Settings!$B$6,V1937,0),0)</f>
        <v>0</v>
      </c>
      <c r="Y1937" s="38" t="n">
        <f aca="false">IF(AND(OR(T1937="Backlog",T1937="Pipeline",T1937="Overdue"),ISNUMBER(W1937)),IF(W1937&lt;=Settings!$B$6,Q1937,0),0)</f>
        <v>0</v>
      </c>
      <c r="Z1937" s="38" t="n">
        <f aca="false">IF(Y1937=0,0,IF(T1937="Backlog",Q1937,Q1937*Dashboard!$C$10))</f>
        <v>0</v>
      </c>
      <c r="AA1937" s="37" t="n">
        <f aca="false">IF($N1937="",0,IF(COUNTIF(Dashboard!$C$13:$C$22,$N1937)&gt;0,1,0))</f>
        <v>0</v>
      </c>
      <c r="AB1937" s="37" t="str">
        <f aca="false">IF($N1937="","",IF(COUNTIF($N$8:$N1937,$N1937)=1,MAX($AB$7:$AB1936)+1,""))</f>
        <v/>
      </c>
    </row>
    <row r="1938" customFormat="false" ht="15" hidden="false" customHeight="false" outlineLevel="0" collapsed="false">
      <c r="L1938" s="37" t="str">
        <f aca="false">IF(INDEX($A1938:$J1938,$L$6)&lt;&gt;"",TRIM(LEFT(INDEX($A1938:$J1938,$L$6),FIND("(",INDEX($A1938:$J1938,$L$6)&amp;"(")-1)),L1937)</f>
        <v>Building Value Proposition</v>
      </c>
      <c r="M1938" s="37" t="str">
        <f aca="false">IF(INDEX($A1938:$J1938,$M$6)="","",INDEX($A1938:$J1938,$M$6)&amp;"")</f>
        <v/>
      </c>
      <c r="N1938" s="37" t="str">
        <f aca="false">IF($M1938="","",TRIM(INDEX($A1938:$J1938,$N$6)&amp;""))</f>
        <v/>
      </c>
      <c r="O1938" s="37" t="str">
        <f aca="false">IF($M1938="","",TRIM(INDEX($A1938:$J1938,$O$6)&amp;""))</f>
        <v/>
      </c>
      <c r="P1938" s="37" t="str">
        <f aca="false">IF($M1938="","",IFERROR(IF(INDEX(Settings!$B$41:$B$50,MATCH(O1938,Settings!$A$41:$A$50,0))&amp;""="","UNMAPPED",INDEX(Settings!$B$41:$B$50,MATCH(O1938,Settings!$A$41:$A$50,0))&amp;""),"UNMAPPED"))</f>
        <v/>
      </c>
      <c r="Q1938" s="38" t="n">
        <f aca="false">IF($M1938="",0,N(INDEX($A1938:$J1938,$Q$6)))</f>
        <v>0</v>
      </c>
      <c r="R1938" s="39" t="str">
        <f aca="false">IF($M1938="","",INDEX($A1938:$J1938,$R$6))</f>
        <v/>
      </c>
      <c r="S1938" s="37" t="str">
        <f aca="false">IF($M1938="","",IFERROR(INDEX(Settings!$B$27:$B$36,MATCH(L1938,Settings!$A$27:$A$36,0))&amp;"","UNMAPPED"))</f>
        <v/>
      </c>
      <c r="T1938" s="37" t="str">
        <f aca="false">IF($M1938="","",IF(NOT(ISNUMBER(R1938)),"NO DATE",IF(S1938="Won",IF(R1938&gt;Settings!$B$5,"Backlog","Delivered"),IF(S1938="Open",IF(R1938&gt;Settings!$B$5,"Pipeline","Overdue"),IF(S1938="Lost","Lost","UNMAPPED")))))</f>
        <v/>
      </c>
      <c r="U1938" s="40" t="n">
        <f aca="false">IF(T1938="Backlog",1,IF(OR(T1938="Pipeline",T1938="Overdue"),N(INDEX(Settings!$C$27:$C$36,MATCH(L1938,Settings!$A$27:$A$36,0))),0))</f>
        <v>0</v>
      </c>
      <c r="V1938" s="38" t="n">
        <f aca="false">Q1938*U1938</f>
        <v>0</v>
      </c>
      <c r="W1938" s="41" t="str">
        <f aca="false">IF($M1938="","",IF(T1938="Overdue",IF(Settings!$B$8="Yes",Settings!$B$7,""),IF(ISNUMBER(R1938),DATE(YEAR(R1938),MONTH(R1938),1),"")))</f>
        <v/>
      </c>
      <c r="X1938" s="38" t="n">
        <f aca="false">IF(AND(OR(T1938="Backlog",T1938="Pipeline",T1938="Overdue"),ISNUMBER(W1938)),IF(W1938&lt;=Settings!$B$6,V1938,0),0)</f>
        <v>0</v>
      </c>
      <c r="Y1938" s="38" t="n">
        <f aca="false">IF(AND(OR(T1938="Backlog",T1938="Pipeline",T1938="Overdue"),ISNUMBER(W1938)),IF(W1938&lt;=Settings!$B$6,Q1938,0),0)</f>
        <v>0</v>
      </c>
      <c r="Z1938" s="38" t="n">
        <f aca="false">IF(Y1938=0,0,IF(T1938="Backlog",Q1938,Q1938*Dashboard!$C$10))</f>
        <v>0</v>
      </c>
      <c r="AA1938" s="37" t="n">
        <f aca="false">IF($N1938="",0,IF(COUNTIF(Dashboard!$C$13:$C$22,$N1938)&gt;0,1,0))</f>
        <v>0</v>
      </c>
      <c r="AB1938" s="37" t="str">
        <f aca="false">IF($N1938="","",IF(COUNTIF($N$8:$N1938,$N1938)=1,MAX($AB$7:$AB1937)+1,""))</f>
        <v/>
      </c>
    </row>
    <row r="1939" customFormat="false" ht="15" hidden="false" customHeight="false" outlineLevel="0" collapsed="false">
      <c r="L1939" s="37" t="str">
        <f aca="false">IF(INDEX($A1939:$J1939,$L$6)&lt;&gt;"",TRIM(LEFT(INDEX($A1939:$J1939,$L$6),FIND("(",INDEX($A1939:$J1939,$L$6)&amp;"(")-1)),L1938)</f>
        <v>Building Value Proposition</v>
      </c>
      <c r="M1939" s="37" t="str">
        <f aca="false">IF(INDEX($A1939:$J1939,$M$6)="","",INDEX($A1939:$J1939,$M$6)&amp;"")</f>
        <v/>
      </c>
      <c r="N1939" s="37" t="str">
        <f aca="false">IF($M1939="","",TRIM(INDEX($A1939:$J1939,$N$6)&amp;""))</f>
        <v/>
      </c>
      <c r="O1939" s="37" t="str">
        <f aca="false">IF($M1939="","",TRIM(INDEX($A1939:$J1939,$O$6)&amp;""))</f>
        <v/>
      </c>
      <c r="P1939" s="37" t="str">
        <f aca="false">IF($M1939="","",IFERROR(IF(INDEX(Settings!$B$41:$B$50,MATCH(O1939,Settings!$A$41:$A$50,0))&amp;""="","UNMAPPED",INDEX(Settings!$B$41:$B$50,MATCH(O1939,Settings!$A$41:$A$50,0))&amp;""),"UNMAPPED"))</f>
        <v/>
      </c>
      <c r="Q1939" s="38" t="n">
        <f aca="false">IF($M1939="",0,N(INDEX($A1939:$J1939,$Q$6)))</f>
        <v>0</v>
      </c>
      <c r="R1939" s="39" t="str">
        <f aca="false">IF($M1939="","",INDEX($A1939:$J1939,$R$6))</f>
        <v/>
      </c>
      <c r="S1939" s="37" t="str">
        <f aca="false">IF($M1939="","",IFERROR(INDEX(Settings!$B$27:$B$36,MATCH(L1939,Settings!$A$27:$A$36,0))&amp;"","UNMAPPED"))</f>
        <v/>
      </c>
      <c r="T1939" s="37" t="str">
        <f aca="false">IF($M1939="","",IF(NOT(ISNUMBER(R1939)),"NO DATE",IF(S1939="Won",IF(R1939&gt;Settings!$B$5,"Backlog","Delivered"),IF(S1939="Open",IF(R1939&gt;Settings!$B$5,"Pipeline","Overdue"),IF(S1939="Lost","Lost","UNMAPPED")))))</f>
        <v/>
      </c>
      <c r="U1939" s="40" t="n">
        <f aca="false">IF(T1939="Backlog",1,IF(OR(T1939="Pipeline",T1939="Overdue"),N(INDEX(Settings!$C$27:$C$36,MATCH(L1939,Settings!$A$27:$A$36,0))),0))</f>
        <v>0</v>
      </c>
      <c r="V1939" s="38" t="n">
        <f aca="false">Q1939*U1939</f>
        <v>0</v>
      </c>
      <c r="W1939" s="41" t="str">
        <f aca="false">IF($M1939="","",IF(T1939="Overdue",IF(Settings!$B$8="Yes",Settings!$B$7,""),IF(ISNUMBER(R1939),DATE(YEAR(R1939),MONTH(R1939),1),"")))</f>
        <v/>
      </c>
      <c r="X1939" s="38" t="n">
        <f aca="false">IF(AND(OR(T1939="Backlog",T1939="Pipeline",T1939="Overdue"),ISNUMBER(W1939)),IF(W1939&lt;=Settings!$B$6,V1939,0),0)</f>
        <v>0</v>
      </c>
      <c r="Y1939" s="38" t="n">
        <f aca="false">IF(AND(OR(T1939="Backlog",T1939="Pipeline",T1939="Overdue"),ISNUMBER(W1939)),IF(W1939&lt;=Settings!$B$6,Q1939,0),0)</f>
        <v>0</v>
      </c>
      <c r="Z1939" s="38" t="n">
        <f aca="false">IF(Y1939=0,0,IF(T1939="Backlog",Q1939,Q1939*Dashboard!$C$10))</f>
        <v>0</v>
      </c>
      <c r="AA1939" s="37" t="n">
        <f aca="false">IF($N1939="",0,IF(COUNTIF(Dashboard!$C$13:$C$22,$N1939)&gt;0,1,0))</f>
        <v>0</v>
      </c>
      <c r="AB1939" s="37" t="str">
        <f aca="false">IF($N1939="","",IF(COUNTIF($N$8:$N1939,$N1939)=1,MAX($AB$7:$AB1938)+1,""))</f>
        <v/>
      </c>
    </row>
    <row r="1940" customFormat="false" ht="15" hidden="false" customHeight="false" outlineLevel="0" collapsed="false">
      <c r="L1940" s="37" t="str">
        <f aca="false">IF(INDEX($A1940:$J1940,$L$6)&lt;&gt;"",TRIM(LEFT(INDEX($A1940:$J1940,$L$6),FIND("(",INDEX($A1940:$J1940,$L$6)&amp;"(")-1)),L1939)</f>
        <v>Building Value Proposition</v>
      </c>
      <c r="M1940" s="37" t="str">
        <f aca="false">IF(INDEX($A1940:$J1940,$M$6)="","",INDEX($A1940:$J1940,$M$6)&amp;"")</f>
        <v/>
      </c>
      <c r="N1940" s="37" t="str">
        <f aca="false">IF($M1940="","",TRIM(INDEX($A1940:$J1940,$N$6)&amp;""))</f>
        <v/>
      </c>
      <c r="O1940" s="37" t="str">
        <f aca="false">IF($M1940="","",TRIM(INDEX($A1940:$J1940,$O$6)&amp;""))</f>
        <v/>
      </c>
      <c r="P1940" s="37" t="str">
        <f aca="false">IF($M1940="","",IFERROR(IF(INDEX(Settings!$B$41:$B$50,MATCH(O1940,Settings!$A$41:$A$50,0))&amp;""="","UNMAPPED",INDEX(Settings!$B$41:$B$50,MATCH(O1940,Settings!$A$41:$A$50,0))&amp;""),"UNMAPPED"))</f>
        <v/>
      </c>
      <c r="Q1940" s="38" t="n">
        <f aca="false">IF($M1940="",0,N(INDEX($A1940:$J1940,$Q$6)))</f>
        <v>0</v>
      </c>
      <c r="R1940" s="39" t="str">
        <f aca="false">IF($M1940="","",INDEX($A1940:$J1940,$R$6))</f>
        <v/>
      </c>
      <c r="S1940" s="37" t="str">
        <f aca="false">IF($M1940="","",IFERROR(INDEX(Settings!$B$27:$B$36,MATCH(L1940,Settings!$A$27:$A$36,0))&amp;"","UNMAPPED"))</f>
        <v/>
      </c>
      <c r="T1940" s="37" t="str">
        <f aca="false">IF($M1940="","",IF(NOT(ISNUMBER(R1940)),"NO DATE",IF(S1940="Won",IF(R1940&gt;Settings!$B$5,"Backlog","Delivered"),IF(S1940="Open",IF(R1940&gt;Settings!$B$5,"Pipeline","Overdue"),IF(S1940="Lost","Lost","UNMAPPED")))))</f>
        <v/>
      </c>
      <c r="U1940" s="40" t="n">
        <f aca="false">IF(T1940="Backlog",1,IF(OR(T1940="Pipeline",T1940="Overdue"),N(INDEX(Settings!$C$27:$C$36,MATCH(L1940,Settings!$A$27:$A$36,0))),0))</f>
        <v>0</v>
      </c>
      <c r="V1940" s="38" t="n">
        <f aca="false">Q1940*U1940</f>
        <v>0</v>
      </c>
      <c r="W1940" s="41" t="str">
        <f aca="false">IF($M1940="","",IF(T1940="Overdue",IF(Settings!$B$8="Yes",Settings!$B$7,""),IF(ISNUMBER(R1940),DATE(YEAR(R1940),MONTH(R1940),1),"")))</f>
        <v/>
      </c>
      <c r="X1940" s="38" t="n">
        <f aca="false">IF(AND(OR(T1940="Backlog",T1940="Pipeline",T1940="Overdue"),ISNUMBER(W1940)),IF(W1940&lt;=Settings!$B$6,V1940,0),0)</f>
        <v>0</v>
      </c>
      <c r="Y1940" s="38" t="n">
        <f aca="false">IF(AND(OR(T1940="Backlog",T1940="Pipeline",T1940="Overdue"),ISNUMBER(W1940)),IF(W1940&lt;=Settings!$B$6,Q1940,0),0)</f>
        <v>0</v>
      </c>
      <c r="Z1940" s="38" t="n">
        <f aca="false">IF(Y1940=0,0,IF(T1940="Backlog",Q1940,Q1940*Dashboard!$C$10))</f>
        <v>0</v>
      </c>
      <c r="AA1940" s="37" t="n">
        <f aca="false">IF($N1940="",0,IF(COUNTIF(Dashboard!$C$13:$C$22,$N1940)&gt;0,1,0))</f>
        <v>0</v>
      </c>
      <c r="AB1940" s="37" t="str">
        <f aca="false">IF($N1940="","",IF(COUNTIF($N$8:$N1940,$N1940)=1,MAX($AB$7:$AB1939)+1,""))</f>
        <v/>
      </c>
    </row>
    <row r="1941" customFormat="false" ht="15" hidden="false" customHeight="false" outlineLevel="0" collapsed="false">
      <c r="L1941" s="37" t="str">
        <f aca="false">IF(INDEX($A1941:$J1941,$L$6)&lt;&gt;"",TRIM(LEFT(INDEX($A1941:$J1941,$L$6),FIND("(",INDEX($A1941:$J1941,$L$6)&amp;"(")-1)),L1940)</f>
        <v>Building Value Proposition</v>
      </c>
      <c r="M1941" s="37" t="str">
        <f aca="false">IF(INDEX($A1941:$J1941,$M$6)="","",INDEX($A1941:$J1941,$M$6)&amp;"")</f>
        <v/>
      </c>
      <c r="N1941" s="37" t="str">
        <f aca="false">IF($M1941="","",TRIM(INDEX($A1941:$J1941,$N$6)&amp;""))</f>
        <v/>
      </c>
      <c r="O1941" s="37" t="str">
        <f aca="false">IF($M1941="","",TRIM(INDEX($A1941:$J1941,$O$6)&amp;""))</f>
        <v/>
      </c>
      <c r="P1941" s="37" t="str">
        <f aca="false">IF($M1941="","",IFERROR(IF(INDEX(Settings!$B$41:$B$50,MATCH(O1941,Settings!$A$41:$A$50,0))&amp;""="","UNMAPPED",INDEX(Settings!$B$41:$B$50,MATCH(O1941,Settings!$A$41:$A$50,0))&amp;""),"UNMAPPED"))</f>
        <v/>
      </c>
      <c r="Q1941" s="38" t="n">
        <f aca="false">IF($M1941="",0,N(INDEX($A1941:$J1941,$Q$6)))</f>
        <v>0</v>
      </c>
      <c r="R1941" s="39" t="str">
        <f aca="false">IF($M1941="","",INDEX($A1941:$J1941,$R$6))</f>
        <v/>
      </c>
      <c r="S1941" s="37" t="str">
        <f aca="false">IF($M1941="","",IFERROR(INDEX(Settings!$B$27:$B$36,MATCH(L1941,Settings!$A$27:$A$36,0))&amp;"","UNMAPPED"))</f>
        <v/>
      </c>
      <c r="T1941" s="37" t="str">
        <f aca="false">IF($M1941="","",IF(NOT(ISNUMBER(R1941)),"NO DATE",IF(S1941="Won",IF(R1941&gt;Settings!$B$5,"Backlog","Delivered"),IF(S1941="Open",IF(R1941&gt;Settings!$B$5,"Pipeline","Overdue"),IF(S1941="Lost","Lost","UNMAPPED")))))</f>
        <v/>
      </c>
      <c r="U1941" s="40" t="n">
        <f aca="false">IF(T1941="Backlog",1,IF(OR(T1941="Pipeline",T1941="Overdue"),N(INDEX(Settings!$C$27:$C$36,MATCH(L1941,Settings!$A$27:$A$36,0))),0))</f>
        <v>0</v>
      </c>
      <c r="V1941" s="38" t="n">
        <f aca="false">Q1941*U1941</f>
        <v>0</v>
      </c>
      <c r="W1941" s="41" t="str">
        <f aca="false">IF($M1941="","",IF(T1941="Overdue",IF(Settings!$B$8="Yes",Settings!$B$7,""),IF(ISNUMBER(R1941),DATE(YEAR(R1941),MONTH(R1941),1),"")))</f>
        <v/>
      </c>
      <c r="X1941" s="38" t="n">
        <f aca="false">IF(AND(OR(T1941="Backlog",T1941="Pipeline",T1941="Overdue"),ISNUMBER(W1941)),IF(W1941&lt;=Settings!$B$6,V1941,0),0)</f>
        <v>0</v>
      </c>
      <c r="Y1941" s="38" t="n">
        <f aca="false">IF(AND(OR(T1941="Backlog",T1941="Pipeline",T1941="Overdue"),ISNUMBER(W1941)),IF(W1941&lt;=Settings!$B$6,Q1941,0),0)</f>
        <v>0</v>
      </c>
      <c r="Z1941" s="38" t="n">
        <f aca="false">IF(Y1941=0,0,IF(T1941="Backlog",Q1941,Q1941*Dashboard!$C$10))</f>
        <v>0</v>
      </c>
      <c r="AA1941" s="37" t="n">
        <f aca="false">IF($N1941="",0,IF(COUNTIF(Dashboard!$C$13:$C$22,$N1941)&gt;0,1,0))</f>
        <v>0</v>
      </c>
      <c r="AB1941" s="37" t="str">
        <f aca="false">IF($N1941="","",IF(COUNTIF($N$8:$N1941,$N1941)=1,MAX($AB$7:$AB1940)+1,""))</f>
        <v/>
      </c>
    </row>
    <row r="1942" customFormat="false" ht="15" hidden="false" customHeight="false" outlineLevel="0" collapsed="false">
      <c r="L1942" s="37" t="str">
        <f aca="false">IF(INDEX($A1942:$J1942,$L$6)&lt;&gt;"",TRIM(LEFT(INDEX($A1942:$J1942,$L$6),FIND("(",INDEX($A1942:$J1942,$L$6)&amp;"(")-1)),L1941)</f>
        <v>Building Value Proposition</v>
      </c>
      <c r="M1942" s="37" t="str">
        <f aca="false">IF(INDEX($A1942:$J1942,$M$6)="","",INDEX($A1942:$J1942,$M$6)&amp;"")</f>
        <v/>
      </c>
      <c r="N1942" s="37" t="str">
        <f aca="false">IF($M1942="","",TRIM(INDEX($A1942:$J1942,$N$6)&amp;""))</f>
        <v/>
      </c>
      <c r="O1942" s="37" t="str">
        <f aca="false">IF($M1942="","",TRIM(INDEX($A1942:$J1942,$O$6)&amp;""))</f>
        <v/>
      </c>
      <c r="P1942" s="37" t="str">
        <f aca="false">IF($M1942="","",IFERROR(IF(INDEX(Settings!$B$41:$B$50,MATCH(O1942,Settings!$A$41:$A$50,0))&amp;""="","UNMAPPED",INDEX(Settings!$B$41:$B$50,MATCH(O1942,Settings!$A$41:$A$50,0))&amp;""),"UNMAPPED"))</f>
        <v/>
      </c>
      <c r="Q1942" s="38" t="n">
        <f aca="false">IF($M1942="",0,N(INDEX($A1942:$J1942,$Q$6)))</f>
        <v>0</v>
      </c>
      <c r="R1942" s="39" t="str">
        <f aca="false">IF($M1942="","",INDEX($A1942:$J1942,$R$6))</f>
        <v/>
      </c>
      <c r="S1942" s="37" t="str">
        <f aca="false">IF($M1942="","",IFERROR(INDEX(Settings!$B$27:$B$36,MATCH(L1942,Settings!$A$27:$A$36,0))&amp;"","UNMAPPED"))</f>
        <v/>
      </c>
      <c r="T1942" s="37" t="str">
        <f aca="false">IF($M1942="","",IF(NOT(ISNUMBER(R1942)),"NO DATE",IF(S1942="Won",IF(R1942&gt;Settings!$B$5,"Backlog","Delivered"),IF(S1942="Open",IF(R1942&gt;Settings!$B$5,"Pipeline","Overdue"),IF(S1942="Lost","Lost","UNMAPPED")))))</f>
        <v/>
      </c>
      <c r="U1942" s="40" t="n">
        <f aca="false">IF(T1942="Backlog",1,IF(OR(T1942="Pipeline",T1942="Overdue"),N(INDEX(Settings!$C$27:$C$36,MATCH(L1942,Settings!$A$27:$A$36,0))),0))</f>
        <v>0</v>
      </c>
      <c r="V1942" s="38" t="n">
        <f aca="false">Q1942*U1942</f>
        <v>0</v>
      </c>
      <c r="W1942" s="41" t="str">
        <f aca="false">IF($M1942="","",IF(T1942="Overdue",IF(Settings!$B$8="Yes",Settings!$B$7,""),IF(ISNUMBER(R1942),DATE(YEAR(R1942),MONTH(R1942),1),"")))</f>
        <v/>
      </c>
      <c r="X1942" s="38" t="n">
        <f aca="false">IF(AND(OR(T1942="Backlog",T1942="Pipeline",T1942="Overdue"),ISNUMBER(W1942)),IF(W1942&lt;=Settings!$B$6,V1942,0),0)</f>
        <v>0</v>
      </c>
      <c r="Y1942" s="38" t="n">
        <f aca="false">IF(AND(OR(T1942="Backlog",T1942="Pipeline",T1942="Overdue"),ISNUMBER(W1942)),IF(W1942&lt;=Settings!$B$6,Q1942,0),0)</f>
        <v>0</v>
      </c>
      <c r="Z1942" s="38" t="n">
        <f aca="false">IF(Y1942=0,0,IF(T1942="Backlog",Q1942,Q1942*Dashboard!$C$10))</f>
        <v>0</v>
      </c>
      <c r="AA1942" s="37" t="n">
        <f aca="false">IF($N1942="",0,IF(COUNTIF(Dashboard!$C$13:$C$22,$N1942)&gt;0,1,0))</f>
        <v>0</v>
      </c>
      <c r="AB1942" s="37" t="str">
        <f aca="false">IF($N1942="","",IF(COUNTIF($N$8:$N1942,$N1942)=1,MAX($AB$7:$AB1941)+1,""))</f>
        <v/>
      </c>
    </row>
    <row r="1943" customFormat="false" ht="15" hidden="false" customHeight="false" outlineLevel="0" collapsed="false">
      <c r="L1943" s="37" t="str">
        <f aca="false">IF(INDEX($A1943:$J1943,$L$6)&lt;&gt;"",TRIM(LEFT(INDEX($A1943:$J1943,$L$6),FIND("(",INDEX($A1943:$J1943,$L$6)&amp;"(")-1)),L1942)</f>
        <v>Building Value Proposition</v>
      </c>
      <c r="M1943" s="37" t="str">
        <f aca="false">IF(INDEX($A1943:$J1943,$M$6)="","",INDEX($A1943:$J1943,$M$6)&amp;"")</f>
        <v/>
      </c>
      <c r="N1943" s="37" t="str">
        <f aca="false">IF($M1943="","",TRIM(INDEX($A1943:$J1943,$N$6)&amp;""))</f>
        <v/>
      </c>
      <c r="O1943" s="37" t="str">
        <f aca="false">IF($M1943="","",TRIM(INDEX($A1943:$J1943,$O$6)&amp;""))</f>
        <v/>
      </c>
      <c r="P1943" s="37" t="str">
        <f aca="false">IF($M1943="","",IFERROR(IF(INDEX(Settings!$B$41:$B$50,MATCH(O1943,Settings!$A$41:$A$50,0))&amp;""="","UNMAPPED",INDEX(Settings!$B$41:$B$50,MATCH(O1943,Settings!$A$41:$A$50,0))&amp;""),"UNMAPPED"))</f>
        <v/>
      </c>
      <c r="Q1943" s="38" t="n">
        <f aca="false">IF($M1943="",0,N(INDEX($A1943:$J1943,$Q$6)))</f>
        <v>0</v>
      </c>
      <c r="R1943" s="39" t="str">
        <f aca="false">IF($M1943="","",INDEX($A1943:$J1943,$R$6))</f>
        <v/>
      </c>
      <c r="S1943" s="37" t="str">
        <f aca="false">IF($M1943="","",IFERROR(INDEX(Settings!$B$27:$B$36,MATCH(L1943,Settings!$A$27:$A$36,0))&amp;"","UNMAPPED"))</f>
        <v/>
      </c>
      <c r="T1943" s="37" t="str">
        <f aca="false">IF($M1943="","",IF(NOT(ISNUMBER(R1943)),"NO DATE",IF(S1943="Won",IF(R1943&gt;Settings!$B$5,"Backlog","Delivered"),IF(S1943="Open",IF(R1943&gt;Settings!$B$5,"Pipeline","Overdue"),IF(S1943="Lost","Lost","UNMAPPED")))))</f>
        <v/>
      </c>
      <c r="U1943" s="40" t="n">
        <f aca="false">IF(T1943="Backlog",1,IF(OR(T1943="Pipeline",T1943="Overdue"),N(INDEX(Settings!$C$27:$C$36,MATCH(L1943,Settings!$A$27:$A$36,0))),0))</f>
        <v>0</v>
      </c>
      <c r="V1943" s="38" t="n">
        <f aca="false">Q1943*U1943</f>
        <v>0</v>
      </c>
      <c r="W1943" s="41" t="str">
        <f aca="false">IF($M1943="","",IF(T1943="Overdue",IF(Settings!$B$8="Yes",Settings!$B$7,""),IF(ISNUMBER(R1943),DATE(YEAR(R1943),MONTH(R1943),1),"")))</f>
        <v/>
      </c>
      <c r="X1943" s="38" t="n">
        <f aca="false">IF(AND(OR(T1943="Backlog",T1943="Pipeline",T1943="Overdue"),ISNUMBER(W1943)),IF(W1943&lt;=Settings!$B$6,V1943,0),0)</f>
        <v>0</v>
      </c>
      <c r="Y1943" s="38" t="n">
        <f aca="false">IF(AND(OR(T1943="Backlog",T1943="Pipeline",T1943="Overdue"),ISNUMBER(W1943)),IF(W1943&lt;=Settings!$B$6,Q1943,0),0)</f>
        <v>0</v>
      </c>
      <c r="Z1943" s="38" t="n">
        <f aca="false">IF(Y1943=0,0,IF(T1943="Backlog",Q1943,Q1943*Dashboard!$C$10))</f>
        <v>0</v>
      </c>
      <c r="AA1943" s="37" t="n">
        <f aca="false">IF($N1943="",0,IF(COUNTIF(Dashboard!$C$13:$C$22,$N1943)&gt;0,1,0))</f>
        <v>0</v>
      </c>
      <c r="AB1943" s="37" t="str">
        <f aca="false">IF($N1943="","",IF(COUNTIF($N$8:$N1943,$N1943)=1,MAX($AB$7:$AB1942)+1,""))</f>
        <v/>
      </c>
    </row>
    <row r="1944" customFormat="false" ht="15" hidden="false" customHeight="false" outlineLevel="0" collapsed="false">
      <c r="L1944" s="37" t="str">
        <f aca="false">IF(INDEX($A1944:$J1944,$L$6)&lt;&gt;"",TRIM(LEFT(INDEX($A1944:$J1944,$L$6),FIND("(",INDEX($A1944:$J1944,$L$6)&amp;"(")-1)),L1943)</f>
        <v>Building Value Proposition</v>
      </c>
      <c r="M1944" s="37" t="str">
        <f aca="false">IF(INDEX($A1944:$J1944,$M$6)="","",INDEX($A1944:$J1944,$M$6)&amp;"")</f>
        <v/>
      </c>
      <c r="N1944" s="37" t="str">
        <f aca="false">IF($M1944="","",TRIM(INDEX($A1944:$J1944,$N$6)&amp;""))</f>
        <v/>
      </c>
      <c r="O1944" s="37" t="str">
        <f aca="false">IF($M1944="","",TRIM(INDEX($A1944:$J1944,$O$6)&amp;""))</f>
        <v/>
      </c>
      <c r="P1944" s="37" t="str">
        <f aca="false">IF($M1944="","",IFERROR(IF(INDEX(Settings!$B$41:$B$50,MATCH(O1944,Settings!$A$41:$A$50,0))&amp;""="","UNMAPPED",INDEX(Settings!$B$41:$B$50,MATCH(O1944,Settings!$A$41:$A$50,0))&amp;""),"UNMAPPED"))</f>
        <v/>
      </c>
      <c r="Q1944" s="38" t="n">
        <f aca="false">IF($M1944="",0,N(INDEX($A1944:$J1944,$Q$6)))</f>
        <v>0</v>
      </c>
      <c r="R1944" s="39" t="str">
        <f aca="false">IF($M1944="","",INDEX($A1944:$J1944,$R$6))</f>
        <v/>
      </c>
      <c r="S1944" s="37" t="str">
        <f aca="false">IF($M1944="","",IFERROR(INDEX(Settings!$B$27:$B$36,MATCH(L1944,Settings!$A$27:$A$36,0))&amp;"","UNMAPPED"))</f>
        <v/>
      </c>
      <c r="T1944" s="37" t="str">
        <f aca="false">IF($M1944="","",IF(NOT(ISNUMBER(R1944)),"NO DATE",IF(S1944="Won",IF(R1944&gt;Settings!$B$5,"Backlog","Delivered"),IF(S1944="Open",IF(R1944&gt;Settings!$B$5,"Pipeline","Overdue"),IF(S1944="Lost","Lost","UNMAPPED")))))</f>
        <v/>
      </c>
      <c r="U1944" s="40" t="n">
        <f aca="false">IF(T1944="Backlog",1,IF(OR(T1944="Pipeline",T1944="Overdue"),N(INDEX(Settings!$C$27:$C$36,MATCH(L1944,Settings!$A$27:$A$36,0))),0))</f>
        <v>0</v>
      </c>
      <c r="V1944" s="38" t="n">
        <f aca="false">Q1944*U1944</f>
        <v>0</v>
      </c>
      <c r="W1944" s="41" t="str">
        <f aca="false">IF($M1944="","",IF(T1944="Overdue",IF(Settings!$B$8="Yes",Settings!$B$7,""),IF(ISNUMBER(R1944),DATE(YEAR(R1944),MONTH(R1944),1),"")))</f>
        <v/>
      </c>
      <c r="X1944" s="38" t="n">
        <f aca="false">IF(AND(OR(T1944="Backlog",T1944="Pipeline",T1944="Overdue"),ISNUMBER(W1944)),IF(W1944&lt;=Settings!$B$6,V1944,0),0)</f>
        <v>0</v>
      </c>
      <c r="Y1944" s="38" t="n">
        <f aca="false">IF(AND(OR(T1944="Backlog",T1944="Pipeline",T1944="Overdue"),ISNUMBER(W1944)),IF(W1944&lt;=Settings!$B$6,Q1944,0),0)</f>
        <v>0</v>
      </c>
      <c r="Z1944" s="38" t="n">
        <f aca="false">IF(Y1944=0,0,IF(T1944="Backlog",Q1944,Q1944*Dashboard!$C$10))</f>
        <v>0</v>
      </c>
      <c r="AA1944" s="37" t="n">
        <f aca="false">IF($N1944="",0,IF(COUNTIF(Dashboard!$C$13:$C$22,$N1944)&gt;0,1,0))</f>
        <v>0</v>
      </c>
      <c r="AB1944" s="37" t="str">
        <f aca="false">IF($N1944="","",IF(COUNTIF($N$8:$N1944,$N1944)=1,MAX($AB$7:$AB1943)+1,""))</f>
        <v/>
      </c>
    </row>
    <row r="1945" customFormat="false" ht="15" hidden="false" customHeight="false" outlineLevel="0" collapsed="false">
      <c r="L1945" s="37" t="str">
        <f aca="false">IF(INDEX($A1945:$J1945,$L$6)&lt;&gt;"",TRIM(LEFT(INDEX($A1945:$J1945,$L$6),FIND("(",INDEX($A1945:$J1945,$L$6)&amp;"(")-1)),L1944)</f>
        <v>Building Value Proposition</v>
      </c>
      <c r="M1945" s="37" t="str">
        <f aca="false">IF(INDEX($A1945:$J1945,$M$6)="","",INDEX($A1945:$J1945,$M$6)&amp;"")</f>
        <v/>
      </c>
      <c r="N1945" s="37" t="str">
        <f aca="false">IF($M1945="","",TRIM(INDEX($A1945:$J1945,$N$6)&amp;""))</f>
        <v/>
      </c>
      <c r="O1945" s="37" t="str">
        <f aca="false">IF($M1945="","",TRIM(INDEX($A1945:$J1945,$O$6)&amp;""))</f>
        <v/>
      </c>
      <c r="P1945" s="37" t="str">
        <f aca="false">IF($M1945="","",IFERROR(IF(INDEX(Settings!$B$41:$B$50,MATCH(O1945,Settings!$A$41:$A$50,0))&amp;""="","UNMAPPED",INDEX(Settings!$B$41:$B$50,MATCH(O1945,Settings!$A$41:$A$50,0))&amp;""),"UNMAPPED"))</f>
        <v/>
      </c>
      <c r="Q1945" s="38" t="n">
        <f aca="false">IF($M1945="",0,N(INDEX($A1945:$J1945,$Q$6)))</f>
        <v>0</v>
      </c>
      <c r="R1945" s="39" t="str">
        <f aca="false">IF($M1945="","",INDEX($A1945:$J1945,$R$6))</f>
        <v/>
      </c>
      <c r="S1945" s="37" t="str">
        <f aca="false">IF($M1945="","",IFERROR(INDEX(Settings!$B$27:$B$36,MATCH(L1945,Settings!$A$27:$A$36,0))&amp;"","UNMAPPED"))</f>
        <v/>
      </c>
      <c r="T1945" s="37" t="str">
        <f aca="false">IF($M1945="","",IF(NOT(ISNUMBER(R1945)),"NO DATE",IF(S1945="Won",IF(R1945&gt;Settings!$B$5,"Backlog","Delivered"),IF(S1945="Open",IF(R1945&gt;Settings!$B$5,"Pipeline","Overdue"),IF(S1945="Lost","Lost","UNMAPPED")))))</f>
        <v/>
      </c>
      <c r="U1945" s="40" t="n">
        <f aca="false">IF(T1945="Backlog",1,IF(OR(T1945="Pipeline",T1945="Overdue"),N(INDEX(Settings!$C$27:$C$36,MATCH(L1945,Settings!$A$27:$A$36,0))),0))</f>
        <v>0</v>
      </c>
      <c r="V1945" s="38" t="n">
        <f aca="false">Q1945*U1945</f>
        <v>0</v>
      </c>
      <c r="W1945" s="41" t="str">
        <f aca="false">IF($M1945="","",IF(T1945="Overdue",IF(Settings!$B$8="Yes",Settings!$B$7,""),IF(ISNUMBER(R1945),DATE(YEAR(R1945),MONTH(R1945),1),"")))</f>
        <v/>
      </c>
      <c r="X1945" s="38" t="n">
        <f aca="false">IF(AND(OR(T1945="Backlog",T1945="Pipeline",T1945="Overdue"),ISNUMBER(W1945)),IF(W1945&lt;=Settings!$B$6,V1945,0),0)</f>
        <v>0</v>
      </c>
      <c r="Y1945" s="38" t="n">
        <f aca="false">IF(AND(OR(T1945="Backlog",T1945="Pipeline",T1945="Overdue"),ISNUMBER(W1945)),IF(W1945&lt;=Settings!$B$6,Q1945,0),0)</f>
        <v>0</v>
      </c>
      <c r="Z1945" s="38" t="n">
        <f aca="false">IF(Y1945=0,0,IF(T1945="Backlog",Q1945,Q1945*Dashboard!$C$10))</f>
        <v>0</v>
      </c>
      <c r="AA1945" s="37" t="n">
        <f aca="false">IF($N1945="",0,IF(COUNTIF(Dashboard!$C$13:$C$22,$N1945)&gt;0,1,0))</f>
        <v>0</v>
      </c>
      <c r="AB1945" s="37" t="str">
        <f aca="false">IF($N1945="","",IF(COUNTIF($N$8:$N1945,$N1945)=1,MAX($AB$7:$AB1944)+1,""))</f>
        <v/>
      </c>
    </row>
    <row r="1946" customFormat="false" ht="15" hidden="false" customHeight="false" outlineLevel="0" collapsed="false">
      <c r="L1946" s="37" t="str">
        <f aca="false">IF(INDEX($A1946:$J1946,$L$6)&lt;&gt;"",TRIM(LEFT(INDEX($A1946:$J1946,$L$6),FIND("(",INDEX($A1946:$J1946,$L$6)&amp;"(")-1)),L1945)</f>
        <v>Building Value Proposition</v>
      </c>
      <c r="M1946" s="37" t="str">
        <f aca="false">IF(INDEX($A1946:$J1946,$M$6)="","",INDEX($A1946:$J1946,$M$6)&amp;"")</f>
        <v/>
      </c>
      <c r="N1946" s="37" t="str">
        <f aca="false">IF($M1946="","",TRIM(INDEX($A1946:$J1946,$N$6)&amp;""))</f>
        <v/>
      </c>
      <c r="O1946" s="37" t="str">
        <f aca="false">IF($M1946="","",TRIM(INDEX($A1946:$J1946,$O$6)&amp;""))</f>
        <v/>
      </c>
      <c r="P1946" s="37" t="str">
        <f aca="false">IF($M1946="","",IFERROR(IF(INDEX(Settings!$B$41:$B$50,MATCH(O1946,Settings!$A$41:$A$50,0))&amp;""="","UNMAPPED",INDEX(Settings!$B$41:$B$50,MATCH(O1946,Settings!$A$41:$A$50,0))&amp;""),"UNMAPPED"))</f>
        <v/>
      </c>
      <c r="Q1946" s="38" t="n">
        <f aca="false">IF($M1946="",0,N(INDEX($A1946:$J1946,$Q$6)))</f>
        <v>0</v>
      </c>
      <c r="R1946" s="39" t="str">
        <f aca="false">IF($M1946="","",INDEX($A1946:$J1946,$R$6))</f>
        <v/>
      </c>
      <c r="S1946" s="37" t="str">
        <f aca="false">IF($M1946="","",IFERROR(INDEX(Settings!$B$27:$B$36,MATCH(L1946,Settings!$A$27:$A$36,0))&amp;"","UNMAPPED"))</f>
        <v/>
      </c>
      <c r="T1946" s="37" t="str">
        <f aca="false">IF($M1946="","",IF(NOT(ISNUMBER(R1946)),"NO DATE",IF(S1946="Won",IF(R1946&gt;Settings!$B$5,"Backlog","Delivered"),IF(S1946="Open",IF(R1946&gt;Settings!$B$5,"Pipeline","Overdue"),IF(S1946="Lost","Lost","UNMAPPED")))))</f>
        <v/>
      </c>
      <c r="U1946" s="40" t="n">
        <f aca="false">IF(T1946="Backlog",1,IF(OR(T1946="Pipeline",T1946="Overdue"),N(INDEX(Settings!$C$27:$C$36,MATCH(L1946,Settings!$A$27:$A$36,0))),0))</f>
        <v>0</v>
      </c>
      <c r="V1946" s="38" t="n">
        <f aca="false">Q1946*U1946</f>
        <v>0</v>
      </c>
      <c r="W1946" s="41" t="str">
        <f aca="false">IF($M1946="","",IF(T1946="Overdue",IF(Settings!$B$8="Yes",Settings!$B$7,""),IF(ISNUMBER(R1946),DATE(YEAR(R1946),MONTH(R1946),1),"")))</f>
        <v/>
      </c>
      <c r="X1946" s="38" t="n">
        <f aca="false">IF(AND(OR(T1946="Backlog",T1946="Pipeline",T1946="Overdue"),ISNUMBER(W1946)),IF(W1946&lt;=Settings!$B$6,V1946,0),0)</f>
        <v>0</v>
      </c>
      <c r="Y1946" s="38" t="n">
        <f aca="false">IF(AND(OR(T1946="Backlog",T1946="Pipeline",T1946="Overdue"),ISNUMBER(W1946)),IF(W1946&lt;=Settings!$B$6,Q1946,0),0)</f>
        <v>0</v>
      </c>
      <c r="Z1946" s="38" t="n">
        <f aca="false">IF(Y1946=0,0,IF(T1946="Backlog",Q1946,Q1946*Dashboard!$C$10))</f>
        <v>0</v>
      </c>
      <c r="AA1946" s="37" t="n">
        <f aca="false">IF($N1946="",0,IF(COUNTIF(Dashboard!$C$13:$C$22,$N1946)&gt;0,1,0))</f>
        <v>0</v>
      </c>
      <c r="AB1946" s="37" t="str">
        <f aca="false">IF($N1946="","",IF(COUNTIF($N$8:$N1946,$N1946)=1,MAX($AB$7:$AB1945)+1,""))</f>
        <v/>
      </c>
    </row>
    <row r="1947" customFormat="false" ht="15" hidden="false" customHeight="false" outlineLevel="0" collapsed="false">
      <c r="L1947" s="37" t="str">
        <f aca="false">IF(INDEX($A1947:$J1947,$L$6)&lt;&gt;"",TRIM(LEFT(INDEX($A1947:$J1947,$L$6),FIND("(",INDEX($A1947:$J1947,$L$6)&amp;"(")-1)),L1946)</f>
        <v>Building Value Proposition</v>
      </c>
      <c r="M1947" s="37" t="str">
        <f aca="false">IF(INDEX($A1947:$J1947,$M$6)="","",INDEX($A1947:$J1947,$M$6)&amp;"")</f>
        <v/>
      </c>
      <c r="N1947" s="37" t="str">
        <f aca="false">IF($M1947="","",TRIM(INDEX($A1947:$J1947,$N$6)&amp;""))</f>
        <v/>
      </c>
      <c r="O1947" s="37" t="str">
        <f aca="false">IF($M1947="","",TRIM(INDEX($A1947:$J1947,$O$6)&amp;""))</f>
        <v/>
      </c>
      <c r="P1947" s="37" t="str">
        <f aca="false">IF($M1947="","",IFERROR(IF(INDEX(Settings!$B$41:$B$50,MATCH(O1947,Settings!$A$41:$A$50,0))&amp;""="","UNMAPPED",INDEX(Settings!$B$41:$B$50,MATCH(O1947,Settings!$A$41:$A$50,0))&amp;""),"UNMAPPED"))</f>
        <v/>
      </c>
      <c r="Q1947" s="38" t="n">
        <f aca="false">IF($M1947="",0,N(INDEX($A1947:$J1947,$Q$6)))</f>
        <v>0</v>
      </c>
      <c r="R1947" s="39" t="str">
        <f aca="false">IF($M1947="","",INDEX($A1947:$J1947,$R$6))</f>
        <v/>
      </c>
      <c r="S1947" s="37" t="str">
        <f aca="false">IF($M1947="","",IFERROR(INDEX(Settings!$B$27:$B$36,MATCH(L1947,Settings!$A$27:$A$36,0))&amp;"","UNMAPPED"))</f>
        <v/>
      </c>
      <c r="T1947" s="37" t="str">
        <f aca="false">IF($M1947="","",IF(NOT(ISNUMBER(R1947)),"NO DATE",IF(S1947="Won",IF(R1947&gt;Settings!$B$5,"Backlog","Delivered"),IF(S1947="Open",IF(R1947&gt;Settings!$B$5,"Pipeline","Overdue"),IF(S1947="Lost","Lost","UNMAPPED")))))</f>
        <v/>
      </c>
      <c r="U1947" s="40" t="n">
        <f aca="false">IF(T1947="Backlog",1,IF(OR(T1947="Pipeline",T1947="Overdue"),N(INDEX(Settings!$C$27:$C$36,MATCH(L1947,Settings!$A$27:$A$36,0))),0))</f>
        <v>0</v>
      </c>
      <c r="V1947" s="38" t="n">
        <f aca="false">Q1947*U1947</f>
        <v>0</v>
      </c>
      <c r="W1947" s="41" t="str">
        <f aca="false">IF($M1947="","",IF(T1947="Overdue",IF(Settings!$B$8="Yes",Settings!$B$7,""),IF(ISNUMBER(R1947),DATE(YEAR(R1947),MONTH(R1947),1),"")))</f>
        <v/>
      </c>
      <c r="X1947" s="38" t="n">
        <f aca="false">IF(AND(OR(T1947="Backlog",T1947="Pipeline",T1947="Overdue"),ISNUMBER(W1947)),IF(W1947&lt;=Settings!$B$6,V1947,0),0)</f>
        <v>0</v>
      </c>
      <c r="Y1947" s="38" t="n">
        <f aca="false">IF(AND(OR(T1947="Backlog",T1947="Pipeline",T1947="Overdue"),ISNUMBER(W1947)),IF(W1947&lt;=Settings!$B$6,Q1947,0),0)</f>
        <v>0</v>
      </c>
      <c r="Z1947" s="38" t="n">
        <f aca="false">IF(Y1947=0,0,IF(T1947="Backlog",Q1947,Q1947*Dashboard!$C$10))</f>
        <v>0</v>
      </c>
      <c r="AA1947" s="37" t="n">
        <f aca="false">IF($N1947="",0,IF(COUNTIF(Dashboard!$C$13:$C$22,$N1947)&gt;0,1,0))</f>
        <v>0</v>
      </c>
      <c r="AB1947" s="37" t="str">
        <f aca="false">IF($N1947="","",IF(COUNTIF($N$8:$N1947,$N1947)=1,MAX($AB$7:$AB1946)+1,""))</f>
        <v/>
      </c>
    </row>
    <row r="1948" customFormat="false" ht="15" hidden="false" customHeight="false" outlineLevel="0" collapsed="false">
      <c r="L1948" s="37" t="str">
        <f aca="false">IF(INDEX($A1948:$J1948,$L$6)&lt;&gt;"",TRIM(LEFT(INDEX($A1948:$J1948,$L$6),FIND("(",INDEX($A1948:$J1948,$L$6)&amp;"(")-1)),L1947)</f>
        <v>Building Value Proposition</v>
      </c>
      <c r="M1948" s="37" t="str">
        <f aca="false">IF(INDEX($A1948:$J1948,$M$6)="","",INDEX($A1948:$J1948,$M$6)&amp;"")</f>
        <v/>
      </c>
      <c r="N1948" s="37" t="str">
        <f aca="false">IF($M1948="","",TRIM(INDEX($A1948:$J1948,$N$6)&amp;""))</f>
        <v/>
      </c>
      <c r="O1948" s="37" t="str">
        <f aca="false">IF($M1948="","",TRIM(INDEX($A1948:$J1948,$O$6)&amp;""))</f>
        <v/>
      </c>
      <c r="P1948" s="37" t="str">
        <f aca="false">IF($M1948="","",IFERROR(IF(INDEX(Settings!$B$41:$B$50,MATCH(O1948,Settings!$A$41:$A$50,0))&amp;""="","UNMAPPED",INDEX(Settings!$B$41:$B$50,MATCH(O1948,Settings!$A$41:$A$50,0))&amp;""),"UNMAPPED"))</f>
        <v/>
      </c>
      <c r="Q1948" s="38" t="n">
        <f aca="false">IF($M1948="",0,N(INDEX($A1948:$J1948,$Q$6)))</f>
        <v>0</v>
      </c>
      <c r="R1948" s="39" t="str">
        <f aca="false">IF($M1948="","",INDEX($A1948:$J1948,$R$6))</f>
        <v/>
      </c>
      <c r="S1948" s="37" t="str">
        <f aca="false">IF($M1948="","",IFERROR(INDEX(Settings!$B$27:$B$36,MATCH(L1948,Settings!$A$27:$A$36,0))&amp;"","UNMAPPED"))</f>
        <v/>
      </c>
      <c r="T1948" s="37" t="str">
        <f aca="false">IF($M1948="","",IF(NOT(ISNUMBER(R1948)),"NO DATE",IF(S1948="Won",IF(R1948&gt;Settings!$B$5,"Backlog","Delivered"),IF(S1948="Open",IF(R1948&gt;Settings!$B$5,"Pipeline","Overdue"),IF(S1948="Lost","Lost","UNMAPPED")))))</f>
        <v/>
      </c>
      <c r="U1948" s="40" t="n">
        <f aca="false">IF(T1948="Backlog",1,IF(OR(T1948="Pipeline",T1948="Overdue"),N(INDEX(Settings!$C$27:$C$36,MATCH(L1948,Settings!$A$27:$A$36,0))),0))</f>
        <v>0</v>
      </c>
      <c r="V1948" s="38" t="n">
        <f aca="false">Q1948*U1948</f>
        <v>0</v>
      </c>
      <c r="W1948" s="41" t="str">
        <f aca="false">IF($M1948="","",IF(T1948="Overdue",IF(Settings!$B$8="Yes",Settings!$B$7,""),IF(ISNUMBER(R1948),DATE(YEAR(R1948),MONTH(R1948),1),"")))</f>
        <v/>
      </c>
      <c r="X1948" s="38" t="n">
        <f aca="false">IF(AND(OR(T1948="Backlog",T1948="Pipeline",T1948="Overdue"),ISNUMBER(W1948)),IF(W1948&lt;=Settings!$B$6,V1948,0),0)</f>
        <v>0</v>
      </c>
      <c r="Y1948" s="38" t="n">
        <f aca="false">IF(AND(OR(T1948="Backlog",T1948="Pipeline",T1948="Overdue"),ISNUMBER(W1948)),IF(W1948&lt;=Settings!$B$6,Q1948,0),0)</f>
        <v>0</v>
      </c>
      <c r="Z1948" s="38" t="n">
        <f aca="false">IF(Y1948=0,0,IF(T1948="Backlog",Q1948,Q1948*Dashboard!$C$10))</f>
        <v>0</v>
      </c>
      <c r="AA1948" s="37" t="n">
        <f aca="false">IF($N1948="",0,IF(COUNTIF(Dashboard!$C$13:$C$22,$N1948)&gt;0,1,0))</f>
        <v>0</v>
      </c>
      <c r="AB1948" s="37" t="str">
        <f aca="false">IF($N1948="","",IF(COUNTIF($N$8:$N1948,$N1948)=1,MAX($AB$7:$AB1947)+1,""))</f>
        <v/>
      </c>
    </row>
    <row r="1949" customFormat="false" ht="15" hidden="false" customHeight="false" outlineLevel="0" collapsed="false">
      <c r="L1949" s="37" t="str">
        <f aca="false">IF(INDEX($A1949:$J1949,$L$6)&lt;&gt;"",TRIM(LEFT(INDEX($A1949:$J1949,$L$6),FIND("(",INDEX($A1949:$J1949,$L$6)&amp;"(")-1)),L1948)</f>
        <v>Building Value Proposition</v>
      </c>
      <c r="M1949" s="37" t="str">
        <f aca="false">IF(INDEX($A1949:$J1949,$M$6)="","",INDEX($A1949:$J1949,$M$6)&amp;"")</f>
        <v/>
      </c>
      <c r="N1949" s="37" t="str">
        <f aca="false">IF($M1949="","",TRIM(INDEX($A1949:$J1949,$N$6)&amp;""))</f>
        <v/>
      </c>
      <c r="O1949" s="37" t="str">
        <f aca="false">IF($M1949="","",TRIM(INDEX($A1949:$J1949,$O$6)&amp;""))</f>
        <v/>
      </c>
      <c r="P1949" s="37" t="str">
        <f aca="false">IF($M1949="","",IFERROR(IF(INDEX(Settings!$B$41:$B$50,MATCH(O1949,Settings!$A$41:$A$50,0))&amp;""="","UNMAPPED",INDEX(Settings!$B$41:$B$50,MATCH(O1949,Settings!$A$41:$A$50,0))&amp;""),"UNMAPPED"))</f>
        <v/>
      </c>
      <c r="Q1949" s="38" t="n">
        <f aca="false">IF($M1949="",0,N(INDEX($A1949:$J1949,$Q$6)))</f>
        <v>0</v>
      </c>
      <c r="R1949" s="39" t="str">
        <f aca="false">IF($M1949="","",INDEX($A1949:$J1949,$R$6))</f>
        <v/>
      </c>
      <c r="S1949" s="37" t="str">
        <f aca="false">IF($M1949="","",IFERROR(INDEX(Settings!$B$27:$B$36,MATCH(L1949,Settings!$A$27:$A$36,0))&amp;"","UNMAPPED"))</f>
        <v/>
      </c>
      <c r="T1949" s="37" t="str">
        <f aca="false">IF($M1949="","",IF(NOT(ISNUMBER(R1949)),"NO DATE",IF(S1949="Won",IF(R1949&gt;Settings!$B$5,"Backlog","Delivered"),IF(S1949="Open",IF(R1949&gt;Settings!$B$5,"Pipeline","Overdue"),IF(S1949="Lost","Lost","UNMAPPED")))))</f>
        <v/>
      </c>
      <c r="U1949" s="40" t="n">
        <f aca="false">IF(T1949="Backlog",1,IF(OR(T1949="Pipeline",T1949="Overdue"),N(INDEX(Settings!$C$27:$C$36,MATCH(L1949,Settings!$A$27:$A$36,0))),0))</f>
        <v>0</v>
      </c>
      <c r="V1949" s="38" t="n">
        <f aca="false">Q1949*U1949</f>
        <v>0</v>
      </c>
      <c r="W1949" s="41" t="str">
        <f aca="false">IF($M1949="","",IF(T1949="Overdue",IF(Settings!$B$8="Yes",Settings!$B$7,""),IF(ISNUMBER(R1949),DATE(YEAR(R1949),MONTH(R1949),1),"")))</f>
        <v/>
      </c>
      <c r="X1949" s="38" t="n">
        <f aca="false">IF(AND(OR(T1949="Backlog",T1949="Pipeline",T1949="Overdue"),ISNUMBER(W1949)),IF(W1949&lt;=Settings!$B$6,V1949,0),0)</f>
        <v>0</v>
      </c>
      <c r="Y1949" s="38" t="n">
        <f aca="false">IF(AND(OR(T1949="Backlog",T1949="Pipeline",T1949="Overdue"),ISNUMBER(W1949)),IF(W1949&lt;=Settings!$B$6,Q1949,0),0)</f>
        <v>0</v>
      </c>
      <c r="Z1949" s="38" t="n">
        <f aca="false">IF(Y1949=0,0,IF(T1949="Backlog",Q1949,Q1949*Dashboard!$C$10))</f>
        <v>0</v>
      </c>
      <c r="AA1949" s="37" t="n">
        <f aca="false">IF($N1949="",0,IF(COUNTIF(Dashboard!$C$13:$C$22,$N1949)&gt;0,1,0))</f>
        <v>0</v>
      </c>
      <c r="AB1949" s="37" t="str">
        <f aca="false">IF($N1949="","",IF(COUNTIF($N$8:$N1949,$N1949)=1,MAX($AB$7:$AB1948)+1,""))</f>
        <v/>
      </c>
    </row>
    <row r="1950" customFormat="false" ht="15" hidden="false" customHeight="false" outlineLevel="0" collapsed="false">
      <c r="L1950" s="37" t="str">
        <f aca="false">IF(INDEX($A1950:$J1950,$L$6)&lt;&gt;"",TRIM(LEFT(INDEX($A1950:$J1950,$L$6),FIND("(",INDEX($A1950:$J1950,$L$6)&amp;"(")-1)),L1949)</f>
        <v>Building Value Proposition</v>
      </c>
      <c r="M1950" s="37" t="str">
        <f aca="false">IF(INDEX($A1950:$J1950,$M$6)="","",INDEX($A1950:$J1950,$M$6)&amp;"")</f>
        <v/>
      </c>
      <c r="N1950" s="37" t="str">
        <f aca="false">IF($M1950="","",TRIM(INDEX($A1950:$J1950,$N$6)&amp;""))</f>
        <v/>
      </c>
      <c r="O1950" s="37" t="str">
        <f aca="false">IF($M1950="","",TRIM(INDEX($A1950:$J1950,$O$6)&amp;""))</f>
        <v/>
      </c>
      <c r="P1950" s="37" t="str">
        <f aca="false">IF($M1950="","",IFERROR(IF(INDEX(Settings!$B$41:$B$50,MATCH(O1950,Settings!$A$41:$A$50,0))&amp;""="","UNMAPPED",INDEX(Settings!$B$41:$B$50,MATCH(O1950,Settings!$A$41:$A$50,0))&amp;""),"UNMAPPED"))</f>
        <v/>
      </c>
      <c r="Q1950" s="38" t="n">
        <f aca="false">IF($M1950="",0,N(INDEX($A1950:$J1950,$Q$6)))</f>
        <v>0</v>
      </c>
      <c r="R1950" s="39" t="str">
        <f aca="false">IF($M1950="","",INDEX($A1950:$J1950,$R$6))</f>
        <v/>
      </c>
      <c r="S1950" s="37" t="str">
        <f aca="false">IF($M1950="","",IFERROR(INDEX(Settings!$B$27:$B$36,MATCH(L1950,Settings!$A$27:$A$36,0))&amp;"","UNMAPPED"))</f>
        <v/>
      </c>
      <c r="T1950" s="37" t="str">
        <f aca="false">IF($M1950="","",IF(NOT(ISNUMBER(R1950)),"NO DATE",IF(S1950="Won",IF(R1950&gt;Settings!$B$5,"Backlog","Delivered"),IF(S1950="Open",IF(R1950&gt;Settings!$B$5,"Pipeline","Overdue"),IF(S1950="Lost","Lost","UNMAPPED")))))</f>
        <v/>
      </c>
      <c r="U1950" s="40" t="n">
        <f aca="false">IF(T1950="Backlog",1,IF(OR(T1950="Pipeline",T1950="Overdue"),N(INDEX(Settings!$C$27:$C$36,MATCH(L1950,Settings!$A$27:$A$36,0))),0))</f>
        <v>0</v>
      </c>
      <c r="V1950" s="38" t="n">
        <f aca="false">Q1950*U1950</f>
        <v>0</v>
      </c>
      <c r="W1950" s="41" t="str">
        <f aca="false">IF($M1950="","",IF(T1950="Overdue",IF(Settings!$B$8="Yes",Settings!$B$7,""),IF(ISNUMBER(R1950),DATE(YEAR(R1950),MONTH(R1950),1),"")))</f>
        <v/>
      </c>
      <c r="X1950" s="38" t="n">
        <f aca="false">IF(AND(OR(T1950="Backlog",T1950="Pipeline",T1950="Overdue"),ISNUMBER(W1950)),IF(W1950&lt;=Settings!$B$6,V1950,0),0)</f>
        <v>0</v>
      </c>
      <c r="Y1950" s="38" t="n">
        <f aca="false">IF(AND(OR(T1950="Backlog",T1950="Pipeline",T1950="Overdue"),ISNUMBER(W1950)),IF(W1950&lt;=Settings!$B$6,Q1950,0),0)</f>
        <v>0</v>
      </c>
      <c r="Z1950" s="38" t="n">
        <f aca="false">IF(Y1950=0,0,IF(T1950="Backlog",Q1950,Q1950*Dashboard!$C$10))</f>
        <v>0</v>
      </c>
      <c r="AA1950" s="37" t="n">
        <f aca="false">IF($N1950="",0,IF(COUNTIF(Dashboard!$C$13:$C$22,$N1950)&gt;0,1,0))</f>
        <v>0</v>
      </c>
      <c r="AB1950" s="37" t="str">
        <f aca="false">IF($N1950="","",IF(COUNTIF($N$8:$N1950,$N1950)=1,MAX($AB$7:$AB1949)+1,""))</f>
        <v/>
      </c>
    </row>
    <row r="1951" customFormat="false" ht="15" hidden="false" customHeight="false" outlineLevel="0" collapsed="false">
      <c r="L1951" s="37" t="str">
        <f aca="false">IF(INDEX($A1951:$J1951,$L$6)&lt;&gt;"",TRIM(LEFT(INDEX($A1951:$J1951,$L$6),FIND("(",INDEX($A1951:$J1951,$L$6)&amp;"(")-1)),L1950)</f>
        <v>Building Value Proposition</v>
      </c>
      <c r="M1951" s="37" t="str">
        <f aca="false">IF(INDEX($A1951:$J1951,$M$6)="","",INDEX($A1951:$J1951,$M$6)&amp;"")</f>
        <v/>
      </c>
      <c r="N1951" s="37" t="str">
        <f aca="false">IF($M1951="","",TRIM(INDEX($A1951:$J1951,$N$6)&amp;""))</f>
        <v/>
      </c>
      <c r="O1951" s="37" t="str">
        <f aca="false">IF($M1951="","",TRIM(INDEX($A1951:$J1951,$O$6)&amp;""))</f>
        <v/>
      </c>
      <c r="P1951" s="37" t="str">
        <f aca="false">IF($M1951="","",IFERROR(IF(INDEX(Settings!$B$41:$B$50,MATCH(O1951,Settings!$A$41:$A$50,0))&amp;""="","UNMAPPED",INDEX(Settings!$B$41:$B$50,MATCH(O1951,Settings!$A$41:$A$50,0))&amp;""),"UNMAPPED"))</f>
        <v/>
      </c>
      <c r="Q1951" s="38" t="n">
        <f aca="false">IF($M1951="",0,N(INDEX($A1951:$J1951,$Q$6)))</f>
        <v>0</v>
      </c>
      <c r="R1951" s="39" t="str">
        <f aca="false">IF($M1951="","",INDEX($A1951:$J1951,$R$6))</f>
        <v/>
      </c>
      <c r="S1951" s="37" t="str">
        <f aca="false">IF($M1951="","",IFERROR(INDEX(Settings!$B$27:$B$36,MATCH(L1951,Settings!$A$27:$A$36,0))&amp;"","UNMAPPED"))</f>
        <v/>
      </c>
      <c r="T1951" s="37" t="str">
        <f aca="false">IF($M1951="","",IF(NOT(ISNUMBER(R1951)),"NO DATE",IF(S1951="Won",IF(R1951&gt;Settings!$B$5,"Backlog","Delivered"),IF(S1951="Open",IF(R1951&gt;Settings!$B$5,"Pipeline","Overdue"),IF(S1951="Lost","Lost","UNMAPPED")))))</f>
        <v/>
      </c>
      <c r="U1951" s="40" t="n">
        <f aca="false">IF(T1951="Backlog",1,IF(OR(T1951="Pipeline",T1951="Overdue"),N(INDEX(Settings!$C$27:$C$36,MATCH(L1951,Settings!$A$27:$A$36,0))),0))</f>
        <v>0</v>
      </c>
      <c r="V1951" s="38" t="n">
        <f aca="false">Q1951*U1951</f>
        <v>0</v>
      </c>
      <c r="W1951" s="41" t="str">
        <f aca="false">IF($M1951="","",IF(T1951="Overdue",IF(Settings!$B$8="Yes",Settings!$B$7,""),IF(ISNUMBER(R1951),DATE(YEAR(R1951),MONTH(R1951),1),"")))</f>
        <v/>
      </c>
      <c r="X1951" s="38" t="n">
        <f aca="false">IF(AND(OR(T1951="Backlog",T1951="Pipeline",T1951="Overdue"),ISNUMBER(W1951)),IF(W1951&lt;=Settings!$B$6,V1951,0),0)</f>
        <v>0</v>
      </c>
      <c r="Y1951" s="38" t="n">
        <f aca="false">IF(AND(OR(T1951="Backlog",T1951="Pipeline",T1951="Overdue"),ISNUMBER(W1951)),IF(W1951&lt;=Settings!$B$6,Q1951,0),0)</f>
        <v>0</v>
      </c>
      <c r="Z1951" s="38" t="n">
        <f aca="false">IF(Y1951=0,0,IF(T1951="Backlog",Q1951,Q1951*Dashboard!$C$10))</f>
        <v>0</v>
      </c>
      <c r="AA1951" s="37" t="n">
        <f aca="false">IF($N1951="",0,IF(COUNTIF(Dashboard!$C$13:$C$22,$N1951)&gt;0,1,0))</f>
        <v>0</v>
      </c>
      <c r="AB1951" s="37" t="str">
        <f aca="false">IF($N1951="","",IF(COUNTIF($N$8:$N1951,$N1951)=1,MAX($AB$7:$AB1950)+1,""))</f>
        <v/>
      </c>
    </row>
    <row r="1952" customFormat="false" ht="15" hidden="false" customHeight="false" outlineLevel="0" collapsed="false">
      <c r="L1952" s="37" t="str">
        <f aca="false">IF(INDEX($A1952:$J1952,$L$6)&lt;&gt;"",TRIM(LEFT(INDEX($A1952:$J1952,$L$6),FIND("(",INDEX($A1952:$J1952,$L$6)&amp;"(")-1)),L1951)</f>
        <v>Building Value Proposition</v>
      </c>
      <c r="M1952" s="37" t="str">
        <f aca="false">IF(INDEX($A1952:$J1952,$M$6)="","",INDEX($A1952:$J1952,$M$6)&amp;"")</f>
        <v/>
      </c>
      <c r="N1952" s="37" t="str">
        <f aca="false">IF($M1952="","",TRIM(INDEX($A1952:$J1952,$N$6)&amp;""))</f>
        <v/>
      </c>
      <c r="O1952" s="37" t="str">
        <f aca="false">IF($M1952="","",TRIM(INDEX($A1952:$J1952,$O$6)&amp;""))</f>
        <v/>
      </c>
      <c r="P1952" s="37" t="str">
        <f aca="false">IF($M1952="","",IFERROR(IF(INDEX(Settings!$B$41:$B$50,MATCH(O1952,Settings!$A$41:$A$50,0))&amp;""="","UNMAPPED",INDEX(Settings!$B$41:$B$50,MATCH(O1952,Settings!$A$41:$A$50,0))&amp;""),"UNMAPPED"))</f>
        <v/>
      </c>
      <c r="Q1952" s="38" t="n">
        <f aca="false">IF($M1952="",0,N(INDEX($A1952:$J1952,$Q$6)))</f>
        <v>0</v>
      </c>
      <c r="R1952" s="39" t="str">
        <f aca="false">IF($M1952="","",INDEX($A1952:$J1952,$R$6))</f>
        <v/>
      </c>
      <c r="S1952" s="37" t="str">
        <f aca="false">IF($M1952="","",IFERROR(INDEX(Settings!$B$27:$B$36,MATCH(L1952,Settings!$A$27:$A$36,0))&amp;"","UNMAPPED"))</f>
        <v/>
      </c>
      <c r="T1952" s="37" t="str">
        <f aca="false">IF($M1952="","",IF(NOT(ISNUMBER(R1952)),"NO DATE",IF(S1952="Won",IF(R1952&gt;Settings!$B$5,"Backlog","Delivered"),IF(S1952="Open",IF(R1952&gt;Settings!$B$5,"Pipeline","Overdue"),IF(S1952="Lost","Lost","UNMAPPED")))))</f>
        <v/>
      </c>
      <c r="U1952" s="40" t="n">
        <f aca="false">IF(T1952="Backlog",1,IF(OR(T1952="Pipeline",T1952="Overdue"),N(INDEX(Settings!$C$27:$C$36,MATCH(L1952,Settings!$A$27:$A$36,0))),0))</f>
        <v>0</v>
      </c>
      <c r="V1952" s="38" t="n">
        <f aca="false">Q1952*U1952</f>
        <v>0</v>
      </c>
      <c r="W1952" s="41" t="str">
        <f aca="false">IF($M1952="","",IF(T1952="Overdue",IF(Settings!$B$8="Yes",Settings!$B$7,""),IF(ISNUMBER(R1952),DATE(YEAR(R1952),MONTH(R1952),1),"")))</f>
        <v/>
      </c>
      <c r="X1952" s="38" t="n">
        <f aca="false">IF(AND(OR(T1952="Backlog",T1952="Pipeline",T1952="Overdue"),ISNUMBER(W1952)),IF(W1952&lt;=Settings!$B$6,V1952,0),0)</f>
        <v>0</v>
      </c>
      <c r="Y1952" s="38" t="n">
        <f aca="false">IF(AND(OR(T1952="Backlog",T1952="Pipeline",T1952="Overdue"),ISNUMBER(W1952)),IF(W1952&lt;=Settings!$B$6,Q1952,0),0)</f>
        <v>0</v>
      </c>
      <c r="Z1952" s="38" t="n">
        <f aca="false">IF(Y1952=0,0,IF(T1952="Backlog",Q1952,Q1952*Dashboard!$C$10))</f>
        <v>0</v>
      </c>
      <c r="AA1952" s="37" t="n">
        <f aca="false">IF($N1952="",0,IF(COUNTIF(Dashboard!$C$13:$C$22,$N1952)&gt;0,1,0))</f>
        <v>0</v>
      </c>
      <c r="AB1952" s="37" t="str">
        <f aca="false">IF($N1952="","",IF(COUNTIF($N$8:$N1952,$N1952)=1,MAX($AB$7:$AB1951)+1,""))</f>
        <v/>
      </c>
    </row>
    <row r="1953" customFormat="false" ht="15" hidden="false" customHeight="false" outlineLevel="0" collapsed="false">
      <c r="L1953" s="37" t="str">
        <f aca="false">IF(INDEX($A1953:$J1953,$L$6)&lt;&gt;"",TRIM(LEFT(INDEX($A1953:$J1953,$L$6),FIND("(",INDEX($A1953:$J1953,$L$6)&amp;"(")-1)),L1952)</f>
        <v>Building Value Proposition</v>
      </c>
      <c r="M1953" s="37" t="str">
        <f aca="false">IF(INDEX($A1953:$J1953,$M$6)="","",INDEX($A1953:$J1953,$M$6)&amp;"")</f>
        <v/>
      </c>
      <c r="N1953" s="37" t="str">
        <f aca="false">IF($M1953="","",TRIM(INDEX($A1953:$J1953,$N$6)&amp;""))</f>
        <v/>
      </c>
      <c r="O1953" s="37" t="str">
        <f aca="false">IF($M1953="","",TRIM(INDEX($A1953:$J1953,$O$6)&amp;""))</f>
        <v/>
      </c>
      <c r="P1953" s="37" t="str">
        <f aca="false">IF($M1953="","",IFERROR(IF(INDEX(Settings!$B$41:$B$50,MATCH(O1953,Settings!$A$41:$A$50,0))&amp;""="","UNMAPPED",INDEX(Settings!$B$41:$B$50,MATCH(O1953,Settings!$A$41:$A$50,0))&amp;""),"UNMAPPED"))</f>
        <v/>
      </c>
      <c r="Q1953" s="38" t="n">
        <f aca="false">IF($M1953="",0,N(INDEX($A1953:$J1953,$Q$6)))</f>
        <v>0</v>
      </c>
      <c r="R1953" s="39" t="str">
        <f aca="false">IF($M1953="","",INDEX($A1953:$J1953,$R$6))</f>
        <v/>
      </c>
      <c r="S1953" s="37" t="str">
        <f aca="false">IF($M1953="","",IFERROR(INDEX(Settings!$B$27:$B$36,MATCH(L1953,Settings!$A$27:$A$36,0))&amp;"","UNMAPPED"))</f>
        <v/>
      </c>
      <c r="T1953" s="37" t="str">
        <f aca="false">IF($M1953="","",IF(NOT(ISNUMBER(R1953)),"NO DATE",IF(S1953="Won",IF(R1953&gt;Settings!$B$5,"Backlog","Delivered"),IF(S1953="Open",IF(R1953&gt;Settings!$B$5,"Pipeline","Overdue"),IF(S1953="Lost","Lost","UNMAPPED")))))</f>
        <v/>
      </c>
      <c r="U1953" s="40" t="n">
        <f aca="false">IF(T1953="Backlog",1,IF(OR(T1953="Pipeline",T1953="Overdue"),N(INDEX(Settings!$C$27:$C$36,MATCH(L1953,Settings!$A$27:$A$36,0))),0))</f>
        <v>0</v>
      </c>
      <c r="V1953" s="38" t="n">
        <f aca="false">Q1953*U1953</f>
        <v>0</v>
      </c>
      <c r="W1953" s="41" t="str">
        <f aca="false">IF($M1953="","",IF(T1953="Overdue",IF(Settings!$B$8="Yes",Settings!$B$7,""),IF(ISNUMBER(R1953),DATE(YEAR(R1953),MONTH(R1953),1),"")))</f>
        <v/>
      </c>
      <c r="X1953" s="38" t="n">
        <f aca="false">IF(AND(OR(T1953="Backlog",T1953="Pipeline",T1953="Overdue"),ISNUMBER(W1953)),IF(W1953&lt;=Settings!$B$6,V1953,0),0)</f>
        <v>0</v>
      </c>
      <c r="Y1953" s="38" t="n">
        <f aca="false">IF(AND(OR(T1953="Backlog",T1953="Pipeline",T1953="Overdue"),ISNUMBER(W1953)),IF(W1953&lt;=Settings!$B$6,Q1953,0),0)</f>
        <v>0</v>
      </c>
      <c r="Z1953" s="38" t="n">
        <f aca="false">IF(Y1953=0,0,IF(T1953="Backlog",Q1953,Q1953*Dashboard!$C$10))</f>
        <v>0</v>
      </c>
      <c r="AA1953" s="37" t="n">
        <f aca="false">IF($N1953="",0,IF(COUNTIF(Dashboard!$C$13:$C$22,$N1953)&gt;0,1,0))</f>
        <v>0</v>
      </c>
      <c r="AB1953" s="37" t="str">
        <f aca="false">IF($N1953="","",IF(COUNTIF($N$8:$N1953,$N1953)=1,MAX($AB$7:$AB1952)+1,""))</f>
        <v/>
      </c>
    </row>
    <row r="1954" customFormat="false" ht="15" hidden="false" customHeight="false" outlineLevel="0" collapsed="false">
      <c r="L1954" s="37" t="str">
        <f aca="false">IF(INDEX($A1954:$J1954,$L$6)&lt;&gt;"",TRIM(LEFT(INDEX($A1954:$J1954,$L$6),FIND("(",INDEX($A1954:$J1954,$L$6)&amp;"(")-1)),L1953)</f>
        <v>Building Value Proposition</v>
      </c>
      <c r="M1954" s="37" t="str">
        <f aca="false">IF(INDEX($A1954:$J1954,$M$6)="","",INDEX($A1954:$J1954,$M$6)&amp;"")</f>
        <v/>
      </c>
      <c r="N1954" s="37" t="str">
        <f aca="false">IF($M1954="","",TRIM(INDEX($A1954:$J1954,$N$6)&amp;""))</f>
        <v/>
      </c>
      <c r="O1954" s="37" t="str">
        <f aca="false">IF($M1954="","",TRIM(INDEX($A1954:$J1954,$O$6)&amp;""))</f>
        <v/>
      </c>
      <c r="P1954" s="37" t="str">
        <f aca="false">IF($M1954="","",IFERROR(IF(INDEX(Settings!$B$41:$B$50,MATCH(O1954,Settings!$A$41:$A$50,0))&amp;""="","UNMAPPED",INDEX(Settings!$B$41:$B$50,MATCH(O1954,Settings!$A$41:$A$50,0))&amp;""),"UNMAPPED"))</f>
        <v/>
      </c>
      <c r="Q1954" s="38" t="n">
        <f aca="false">IF($M1954="",0,N(INDEX($A1954:$J1954,$Q$6)))</f>
        <v>0</v>
      </c>
      <c r="R1954" s="39" t="str">
        <f aca="false">IF($M1954="","",INDEX($A1954:$J1954,$R$6))</f>
        <v/>
      </c>
      <c r="S1954" s="37" t="str">
        <f aca="false">IF($M1954="","",IFERROR(INDEX(Settings!$B$27:$B$36,MATCH(L1954,Settings!$A$27:$A$36,0))&amp;"","UNMAPPED"))</f>
        <v/>
      </c>
      <c r="T1954" s="37" t="str">
        <f aca="false">IF($M1954="","",IF(NOT(ISNUMBER(R1954)),"NO DATE",IF(S1954="Won",IF(R1954&gt;Settings!$B$5,"Backlog","Delivered"),IF(S1954="Open",IF(R1954&gt;Settings!$B$5,"Pipeline","Overdue"),IF(S1954="Lost","Lost","UNMAPPED")))))</f>
        <v/>
      </c>
      <c r="U1954" s="40" t="n">
        <f aca="false">IF(T1954="Backlog",1,IF(OR(T1954="Pipeline",T1954="Overdue"),N(INDEX(Settings!$C$27:$C$36,MATCH(L1954,Settings!$A$27:$A$36,0))),0))</f>
        <v>0</v>
      </c>
      <c r="V1954" s="38" t="n">
        <f aca="false">Q1954*U1954</f>
        <v>0</v>
      </c>
      <c r="W1954" s="41" t="str">
        <f aca="false">IF($M1954="","",IF(T1954="Overdue",IF(Settings!$B$8="Yes",Settings!$B$7,""),IF(ISNUMBER(R1954),DATE(YEAR(R1954),MONTH(R1954),1),"")))</f>
        <v/>
      </c>
      <c r="X1954" s="38" t="n">
        <f aca="false">IF(AND(OR(T1954="Backlog",T1954="Pipeline",T1954="Overdue"),ISNUMBER(W1954)),IF(W1954&lt;=Settings!$B$6,V1954,0),0)</f>
        <v>0</v>
      </c>
      <c r="Y1954" s="38" t="n">
        <f aca="false">IF(AND(OR(T1954="Backlog",T1954="Pipeline",T1954="Overdue"),ISNUMBER(W1954)),IF(W1954&lt;=Settings!$B$6,Q1954,0),0)</f>
        <v>0</v>
      </c>
      <c r="Z1954" s="38" t="n">
        <f aca="false">IF(Y1954=0,0,IF(T1954="Backlog",Q1954,Q1954*Dashboard!$C$10))</f>
        <v>0</v>
      </c>
      <c r="AA1954" s="37" t="n">
        <f aca="false">IF($N1954="",0,IF(COUNTIF(Dashboard!$C$13:$C$22,$N1954)&gt;0,1,0))</f>
        <v>0</v>
      </c>
      <c r="AB1954" s="37" t="str">
        <f aca="false">IF($N1954="","",IF(COUNTIF($N$8:$N1954,$N1954)=1,MAX($AB$7:$AB1953)+1,""))</f>
        <v/>
      </c>
    </row>
    <row r="1955" customFormat="false" ht="15" hidden="false" customHeight="false" outlineLevel="0" collapsed="false">
      <c r="L1955" s="37" t="str">
        <f aca="false">IF(INDEX($A1955:$J1955,$L$6)&lt;&gt;"",TRIM(LEFT(INDEX($A1955:$J1955,$L$6),FIND("(",INDEX($A1955:$J1955,$L$6)&amp;"(")-1)),L1954)</f>
        <v>Building Value Proposition</v>
      </c>
      <c r="M1955" s="37" t="str">
        <f aca="false">IF(INDEX($A1955:$J1955,$M$6)="","",INDEX($A1955:$J1955,$M$6)&amp;"")</f>
        <v/>
      </c>
      <c r="N1955" s="37" t="str">
        <f aca="false">IF($M1955="","",TRIM(INDEX($A1955:$J1955,$N$6)&amp;""))</f>
        <v/>
      </c>
      <c r="O1955" s="37" t="str">
        <f aca="false">IF($M1955="","",TRIM(INDEX($A1955:$J1955,$O$6)&amp;""))</f>
        <v/>
      </c>
      <c r="P1955" s="37" t="str">
        <f aca="false">IF($M1955="","",IFERROR(IF(INDEX(Settings!$B$41:$B$50,MATCH(O1955,Settings!$A$41:$A$50,0))&amp;""="","UNMAPPED",INDEX(Settings!$B$41:$B$50,MATCH(O1955,Settings!$A$41:$A$50,0))&amp;""),"UNMAPPED"))</f>
        <v/>
      </c>
      <c r="Q1955" s="38" t="n">
        <f aca="false">IF($M1955="",0,N(INDEX($A1955:$J1955,$Q$6)))</f>
        <v>0</v>
      </c>
      <c r="R1955" s="39" t="str">
        <f aca="false">IF($M1955="","",INDEX($A1955:$J1955,$R$6))</f>
        <v/>
      </c>
      <c r="S1955" s="37" t="str">
        <f aca="false">IF($M1955="","",IFERROR(INDEX(Settings!$B$27:$B$36,MATCH(L1955,Settings!$A$27:$A$36,0))&amp;"","UNMAPPED"))</f>
        <v/>
      </c>
      <c r="T1955" s="37" t="str">
        <f aca="false">IF($M1955="","",IF(NOT(ISNUMBER(R1955)),"NO DATE",IF(S1955="Won",IF(R1955&gt;Settings!$B$5,"Backlog","Delivered"),IF(S1955="Open",IF(R1955&gt;Settings!$B$5,"Pipeline","Overdue"),IF(S1955="Lost","Lost","UNMAPPED")))))</f>
        <v/>
      </c>
      <c r="U1955" s="40" t="n">
        <f aca="false">IF(T1955="Backlog",1,IF(OR(T1955="Pipeline",T1955="Overdue"),N(INDEX(Settings!$C$27:$C$36,MATCH(L1955,Settings!$A$27:$A$36,0))),0))</f>
        <v>0</v>
      </c>
      <c r="V1955" s="38" t="n">
        <f aca="false">Q1955*U1955</f>
        <v>0</v>
      </c>
      <c r="W1955" s="41" t="str">
        <f aca="false">IF($M1955="","",IF(T1955="Overdue",IF(Settings!$B$8="Yes",Settings!$B$7,""),IF(ISNUMBER(R1955),DATE(YEAR(R1955),MONTH(R1955),1),"")))</f>
        <v/>
      </c>
      <c r="X1955" s="38" t="n">
        <f aca="false">IF(AND(OR(T1955="Backlog",T1955="Pipeline",T1955="Overdue"),ISNUMBER(W1955)),IF(W1955&lt;=Settings!$B$6,V1955,0),0)</f>
        <v>0</v>
      </c>
      <c r="Y1955" s="38" t="n">
        <f aca="false">IF(AND(OR(T1955="Backlog",T1955="Pipeline",T1955="Overdue"),ISNUMBER(W1955)),IF(W1955&lt;=Settings!$B$6,Q1955,0),0)</f>
        <v>0</v>
      </c>
      <c r="Z1955" s="38" t="n">
        <f aca="false">IF(Y1955=0,0,IF(T1955="Backlog",Q1955,Q1955*Dashboard!$C$10))</f>
        <v>0</v>
      </c>
      <c r="AA1955" s="37" t="n">
        <f aca="false">IF($N1955="",0,IF(COUNTIF(Dashboard!$C$13:$C$22,$N1955)&gt;0,1,0))</f>
        <v>0</v>
      </c>
      <c r="AB1955" s="37" t="str">
        <f aca="false">IF($N1955="","",IF(COUNTIF($N$8:$N1955,$N1955)=1,MAX($AB$7:$AB1954)+1,""))</f>
        <v/>
      </c>
    </row>
    <row r="1956" customFormat="false" ht="15" hidden="false" customHeight="false" outlineLevel="0" collapsed="false">
      <c r="L1956" s="37" t="str">
        <f aca="false">IF(INDEX($A1956:$J1956,$L$6)&lt;&gt;"",TRIM(LEFT(INDEX($A1956:$J1956,$L$6),FIND("(",INDEX($A1956:$J1956,$L$6)&amp;"(")-1)),L1955)</f>
        <v>Building Value Proposition</v>
      </c>
      <c r="M1956" s="37" t="str">
        <f aca="false">IF(INDEX($A1956:$J1956,$M$6)="","",INDEX($A1956:$J1956,$M$6)&amp;"")</f>
        <v/>
      </c>
      <c r="N1956" s="37" t="str">
        <f aca="false">IF($M1956="","",TRIM(INDEX($A1956:$J1956,$N$6)&amp;""))</f>
        <v/>
      </c>
      <c r="O1956" s="37" t="str">
        <f aca="false">IF($M1956="","",TRIM(INDEX($A1956:$J1956,$O$6)&amp;""))</f>
        <v/>
      </c>
      <c r="P1956" s="37" t="str">
        <f aca="false">IF($M1956="","",IFERROR(IF(INDEX(Settings!$B$41:$B$50,MATCH(O1956,Settings!$A$41:$A$50,0))&amp;""="","UNMAPPED",INDEX(Settings!$B$41:$B$50,MATCH(O1956,Settings!$A$41:$A$50,0))&amp;""),"UNMAPPED"))</f>
        <v/>
      </c>
      <c r="Q1956" s="38" t="n">
        <f aca="false">IF($M1956="",0,N(INDEX($A1956:$J1956,$Q$6)))</f>
        <v>0</v>
      </c>
      <c r="R1956" s="39" t="str">
        <f aca="false">IF($M1956="","",INDEX($A1956:$J1956,$R$6))</f>
        <v/>
      </c>
      <c r="S1956" s="37" t="str">
        <f aca="false">IF($M1956="","",IFERROR(INDEX(Settings!$B$27:$B$36,MATCH(L1956,Settings!$A$27:$A$36,0))&amp;"","UNMAPPED"))</f>
        <v/>
      </c>
      <c r="T1956" s="37" t="str">
        <f aca="false">IF($M1956="","",IF(NOT(ISNUMBER(R1956)),"NO DATE",IF(S1956="Won",IF(R1956&gt;Settings!$B$5,"Backlog","Delivered"),IF(S1956="Open",IF(R1956&gt;Settings!$B$5,"Pipeline","Overdue"),IF(S1956="Lost","Lost","UNMAPPED")))))</f>
        <v/>
      </c>
      <c r="U1956" s="40" t="n">
        <f aca="false">IF(T1956="Backlog",1,IF(OR(T1956="Pipeline",T1956="Overdue"),N(INDEX(Settings!$C$27:$C$36,MATCH(L1956,Settings!$A$27:$A$36,0))),0))</f>
        <v>0</v>
      </c>
      <c r="V1956" s="38" t="n">
        <f aca="false">Q1956*U1956</f>
        <v>0</v>
      </c>
      <c r="W1956" s="41" t="str">
        <f aca="false">IF($M1956="","",IF(T1956="Overdue",IF(Settings!$B$8="Yes",Settings!$B$7,""),IF(ISNUMBER(R1956),DATE(YEAR(R1956),MONTH(R1956),1),"")))</f>
        <v/>
      </c>
      <c r="X1956" s="38" t="n">
        <f aca="false">IF(AND(OR(T1956="Backlog",T1956="Pipeline",T1956="Overdue"),ISNUMBER(W1956)),IF(W1956&lt;=Settings!$B$6,V1956,0),0)</f>
        <v>0</v>
      </c>
      <c r="Y1956" s="38" t="n">
        <f aca="false">IF(AND(OR(T1956="Backlog",T1956="Pipeline",T1956="Overdue"),ISNUMBER(W1956)),IF(W1956&lt;=Settings!$B$6,Q1956,0),0)</f>
        <v>0</v>
      </c>
      <c r="Z1956" s="38" t="n">
        <f aca="false">IF(Y1956=0,0,IF(T1956="Backlog",Q1956,Q1956*Dashboard!$C$10))</f>
        <v>0</v>
      </c>
      <c r="AA1956" s="37" t="n">
        <f aca="false">IF($N1956="",0,IF(COUNTIF(Dashboard!$C$13:$C$22,$N1956)&gt;0,1,0))</f>
        <v>0</v>
      </c>
      <c r="AB1956" s="37" t="str">
        <f aca="false">IF($N1956="","",IF(COUNTIF($N$8:$N1956,$N1956)=1,MAX($AB$7:$AB1955)+1,""))</f>
        <v/>
      </c>
    </row>
    <row r="1957" customFormat="false" ht="15" hidden="false" customHeight="false" outlineLevel="0" collapsed="false">
      <c r="L1957" s="37" t="str">
        <f aca="false">IF(INDEX($A1957:$J1957,$L$6)&lt;&gt;"",TRIM(LEFT(INDEX($A1957:$J1957,$L$6),FIND("(",INDEX($A1957:$J1957,$L$6)&amp;"(")-1)),L1956)</f>
        <v>Building Value Proposition</v>
      </c>
      <c r="M1957" s="37" t="str">
        <f aca="false">IF(INDEX($A1957:$J1957,$M$6)="","",INDEX($A1957:$J1957,$M$6)&amp;"")</f>
        <v/>
      </c>
      <c r="N1957" s="37" t="str">
        <f aca="false">IF($M1957="","",TRIM(INDEX($A1957:$J1957,$N$6)&amp;""))</f>
        <v/>
      </c>
      <c r="O1957" s="37" t="str">
        <f aca="false">IF($M1957="","",TRIM(INDEX($A1957:$J1957,$O$6)&amp;""))</f>
        <v/>
      </c>
      <c r="P1957" s="37" t="str">
        <f aca="false">IF($M1957="","",IFERROR(IF(INDEX(Settings!$B$41:$B$50,MATCH(O1957,Settings!$A$41:$A$50,0))&amp;""="","UNMAPPED",INDEX(Settings!$B$41:$B$50,MATCH(O1957,Settings!$A$41:$A$50,0))&amp;""),"UNMAPPED"))</f>
        <v/>
      </c>
      <c r="Q1957" s="38" t="n">
        <f aca="false">IF($M1957="",0,N(INDEX($A1957:$J1957,$Q$6)))</f>
        <v>0</v>
      </c>
      <c r="R1957" s="39" t="str">
        <f aca="false">IF($M1957="","",INDEX($A1957:$J1957,$R$6))</f>
        <v/>
      </c>
      <c r="S1957" s="37" t="str">
        <f aca="false">IF($M1957="","",IFERROR(INDEX(Settings!$B$27:$B$36,MATCH(L1957,Settings!$A$27:$A$36,0))&amp;"","UNMAPPED"))</f>
        <v/>
      </c>
      <c r="T1957" s="37" t="str">
        <f aca="false">IF($M1957="","",IF(NOT(ISNUMBER(R1957)),"NO DATE",IF(S1957="Won",IF(R1957&gt;Settings!$B$5,"Backlog","Delivered"),IF(S1957="Open",IF(R1957&gt;Settings!$B$5,"Pipeline","Overdue"),IF(S1957="Lost","Lost","UNMAPPED")))))</f>
        <v/>
      </c>
      <c r="U1957" s="40" t="n">
        <f aca="false">IF(T1957="Backlog",1,IF(OR(T1957="Pipeline",T1957="Overdue"),N(INDEX(Settings!$C$27:$C$36,MATCH(L1957,Settings!$A$27:$A$36,0))),0))</f>
        <v>0</v>
      </c>
      <c r="V1957" s="38" t="n">
        <f aca="false">Q1957*U1957</f>
        <v>0</v>
      </c>
      <c r="W1957" s="41" t="str">
        <f aca="false">IF($M1957="","",IF(T1957="Overdue",IF(Settings!$B$8="Yes",Settings!$B$7,""),IF(ISNUMBER(R1957),DATE(YEAR(R1957),MONTH(R1957),1),"")))</f>
        <v/>
      </c>
      <c r="X1957" s="38" t="n">
        <f aca="false">IF(AND(OR(T1957="Backlog",T1957="Pipeline",T1957="Overdue"),ISNUMBER(W1957)),IF(W1957&lt;=Settings!$B$6,V1957,0),0)</f>
        <v>0</v>
      </c>
      <c r="Y1957" s="38" t="n">
        <f aca="false">IF(AND(OR(T1957="Backlog",T1957="Pipeline",T1957="Overdue"),ISNUMBER(W1957)),IF(W1957&lt;=Settings!$B$6,Q1957,0),0)</f>
        <v>0</v>
      </c>
      <c r="Z1957" s="38" t="n">
        <f aca="false">IF(Y1957=0,0,IF(T1957="Backlog",Q1957,Q1957*Dashboard!$C$10))</f>
        <v>0</v>
      </c>
      <c r="AA1957" s="37" t="n">
        <f aca="false">IF($N1957="",0,IF(COUNTIF(Dashboard!$C$13:$C$22,$N1957)&gt;0,1,0))</f>
        <v>0</v>
      </c>
      <c r="AB1957" s="37" t="str">
        <f aca="false">IF($N1957="","",IF(COUNTIF($N$8:$N1957,$N1957)=1,MAX($AB$7:$AB1956)+1,""))</f>
        <v/>
      </c>
    </row>
    <row r="1958" customFormat="false" ht="15" hidden="false" customHeight="false" outlineLevel="0" collapsed="false">
      <c r="L1958" s="37" t="str">
        <f aca="false">IF(INDEX($A1958:$J1958,$L$6)&lt;&gt;"",TRIM(LEFT(INDEX($A1958:$J1958,$L$6),FIND("(",INDEX($A1958:$J1958,$L$6)&amp;"(")-1)),L1957)</f>
        <v>Building Value Proposition</v>
      </c>
      <c r="M1958" s="37" t="str">
        <f aca="false">IF(INDEX($A1958:$J1958,$M$6)="","",INDEX($A1958:$J1958,$M$6)&amp;"")</f>
        <v/>
      </c>
      <c r="N1958" s="37" t="str">
        <f aca="false">IF($M1958="","",TRIM(INDEX($A1958:$J1958,$N$6)&amp;""))</f>
        <v/>
      </c>
      <c r="O1958" s="37" t="str">
        <f aca="false">IF($M1958="","",TRIM(INDEX($A1958:$J1958,$O$6)&amp;""))</f>
        <v/>
      </c>
      <c r="P1958" s="37" t="str">
        <f aca="false">IF($M1958="","",IFERROR(IF(INDEX(Settings!$B$41:$B$50,MATCH(O1958,Settings!$A$41:$A$50,0))&amp;""="","UNMAPPED",INDEX(Settings!$B$41:$B$50,MATCH(O1958,Settings!$A$41:$A$50,0))&amp;""),"UNMAPPED"))</f>
        <v/>
      </c>
      <c r="Q1958" s="38" t="n">
        <f aca="false">IF($M1958="",0,N(INDEX($A1958:$J1958,$Q$6)))</f>
        <v>0</v>
      </c>
      <c r="R1958" s="39" t="str">
        <f aca="false">IF($M1958="","",INDEX($A1958:$J1958,$R$6))</f>
        <v/>
      </c>
      <c r="S1958" s="37" t="str">
        <f aca="false">IF($M1958="","",IFERROR(INDEX(Settings!$B$27:$B$36,MATCH(L1958,Settings!$A$27:$A$36,0))&amp;"","UNMAPPED"))</f>
        <v/>
      </c>
      <c r="T1958" s="37" t="str">
        <f aca="false">IF($M1958="","",IF(NOT(ISNUMBER(R1958)),"NO DATE",IF(S1958="Won",IF(R1958&gt;Settings!$B$5,"Backlog","Delivered"),IF(S1958="Open",IF(R1958&gt;Settings!$B$5,"Pipeline","Overdue"),IF(S1958="Lost","Lost","UNMAPPED")))))</f>
        <v/>
      </c>
      <c r="U1958" s="40" t="n">
        <f aca="false">IF(T1958="Backlog",1,IF(OR(T1958="Pipeline",T1958="Overdue"),N(INDEX(Settings!$C$27:$C$36,MATCH(L1958,Settings!$A$27:$A$36,0))),0))</f>
        <v>0</v>
      </c>
      <c r="V1958" s="38" t="n">
        <f aca="false">Q1958*U1958</f>
        <v>0</v>
      </c>
      <c r="W1958" s="41" t="str">
        <f aca="false">IF($M1958="","",IF(T1958="Overdue",IF(Settings!$B$8="Yes",Settings!$B$7,""),IF(ISNUMBER(R1958),DATE(YEAR(R1958),MONTH(R1958),1),"")))</f>
        <v/>
      </c>
      <c r="X1958" s="38" t="n">
        <f aca="false">IF(AND(OR(T1958="Backlog",T1958="Pipeline",T1958="Overdue"),ISNUMBER(W1958)),IF(W1958&lt;=Settings!$B$6,V1958,0),0)</f>
        <v>0</v>
      </c>
      <c r="Y1958" s="38" t="n">
        <f aca="false">IF(AND(OR(T1958="Backlog",T1958="Pipeline",T1958="Overdue"),ISNUMBER(W1958)),IF(W1958&lt;=Settings!$B$6,Q1958,0),0)</f>
        <v>0</v>
      </c>
      <c r="Z1958" s="38" t="n">
        <f aca="false">IF(Y1958=0,0,IF(T1958="Backlog",Q1958,Q1958*Dashboard!$C$10))</f>
        <v>0</v>
      </c>
      <c r="AA1958" s="37" t="n">
        <f aca="false">IF($N1958="",0,IF(COUNTIF(Dashboard!$C$13:$C$22,$N1958)&gt;0,1,0))</f>
        <v>0</v>
      </c>
      <c r="AB1958" s="37" t="str">
        <f aca="false">IF($N1958="","",IF(COUNTIF($N$8:$N1958,$N1958)=1,MAX($AB$7:$AB1957)+1,""))</f>
        <v/>
      </c>
    </row>
    <row r="1959" customFormat="false" ht="15" hidden="false" customHeight="false" outlineLevel="0" collapsed="false">
      <c r="L1959" s="37" t="str">
        <f aca="false">IF(INDEX($A1959:$J1959,$L$6)&lt;&gt;"",TRIM(LEFT(INDEX($A1959:$J1959,$L$6),FIND("(",INDEX($A1959:$J1959,$L$6)&amp;"(")-1)),L1958)</f>
        <v>Building Value Proposition</v>
      </c>
      <c r="M1959" s="37" t="str">
        <f aca="false">IF(INDEX($A1959:$J1959,$M$6)="","",INDEX($A1959:$J1959,$M$6)&amp;"")</f>
        <v/>
      </c>
      <c r="N1959" s="37" t="str">
        <f aca="false">IF($M1959="","",TRIM(INDEX($A1959:$J1959,$N$6)&amp;""))</f>
        <v/>
      </c>
      <c r="O1959" s="37" t="str">
        <f aca="false">IF($M1959="","",TRIM(INDEX($A1959:$J1959,$O$6)&amp;""))</f>
        <v/>
      </c>
      <c r="P1959" s="37" t="str">
        <f aca="false">IF($M1959="","",IFERROR(IF(INDEX(Settings!$B$41:$B$50,MATCH(O1959,Settings!$A$41:$A$50,0))&amp;""="","UNMAPPED",INDEX(Settings!$B$41:$B$50,MATCH(O1959,Settings!$A$41:$A$50,0))&amp;""),"UNMAPPED"))</f>
        <v/>
      </c>
      <c r="Q1959" s="38" t="n">
        <f aca="false">IF($M1959="",0,N(INDEX($A1959:$J1959,$Q$6)))</f>
        <v>0</v>
      </c>
      <c r="R1959" s="39" t="str">
        <f aca="false">IF($M1959="","",INDEX($A1959:$J1959,$R$6))</f>
        <v/>
      </c>
      <c r="S1959" s="37" t="str">
        <f aca="false">IF($M1959="","",IFERROR(INDEX(Settings!$B$27:$B$36,MATCH(L1959,Settings!$A$27:$A$36,0))&amp;"","UNMAPPED"))</f>
        <v/>
      </c>
      <c r="T1959" s="37" t="str">
        <f aca="false">IF($M1959="","",IF(NOT(ISNUMBER(R1959)),"NO DATE",IF(S1959="Won",IF(R1959&gt;Settings!$B$5,"Backlog","Delivered"),IF(S1959="Open",IF(R1959&gt;Settings!$B$5,"Pipeline","Overdue"),IF(S1959="Lost","Lost","UNMAPPED")))))</f>
        <v/>
      </c>
      <c r="U1959" s="40" t="n">
        <f aca="false">IF(T1959="Backlog",1,IF(OR(T1959="Pipeline",T1959="Overdue"),N(INDEX(Settings!$C$27:$C$36,MATCH(L1959,Settings!$A$27:$A$36,0))),0))</f>
        <v>0</v>
      </c>
      <c r="V1959" s="38" t="n">
        <f aca="false">Q1959*U1959</f>
        <v>0</v>
      </c>
      <c r="W1959" s="41" t="str">
        <f aca="false">IF($M1959="","",IF(T1959="Overdue",IF(Settings!$B$8="Yes",Settings!$B$7,""),IF(ISNUMBER(R1959),DATE(YEAR(R1959),MONTH(R1959),1),"")))</f>
        <v/>
      </c>
      <c r="X1959" s="38" t="n">
        <f aca="false">IF(AND(OR(T1959="Backlog",T1959="Pipeline",T1959="Overdue"),ISNUMBER(W1959)),IF(W1959&lt;=Settings!$B$6,V1959,0),0)</f>
        <v>0</v>
      </c>
      <c r="Y1959" s="38" t="n">
        <f aca="false">IF(AND(OR(T1959="Backlog",T1959="Pipeline",T1959="Overdue"),ISNUMBER(W1959)),IF(W1959&lt;=Settings!$B$6,Q1959,0),0)</f>
        <v>0</v>
      </c>
      <c r="Z1959" s="38" t="n">
        <f aca="false">IF(Y1959=0,0,IF(T1959="Backlog",Q1959,Q1959*Dashboard!$C$10))</f>
        <v>0</v>
      </c>
      <c r="AA1959" s="37" t="n">
        <f aca="false">IF($N1959="",0,IF(COUNTIF(Dashboard!$C$13:$C$22,$N1959)&gt;0,1,0))</f>
        <v>0</v>
      </c>
      <c r="AB1959" s="37" t="str">
        <f aca="false">IF($N1959="","",IF(COUNTIF($N$8:$N1959,$N1959)=1,MAX($AB$7:$AB1958)+1,""))</f>
        <v/>
      </c>
    </row>
    <row r="1960" customFormat="false" ht="15" hidden="false" customHeight="false" outlineLevel="0" collapsed="false">
      <c r="L1960" s="37" t="str">
        <f aca="false">IF(INDEX($A1960:$J1960,$L$6)&lt;&gt;"",TRIM(LEFT(INDEX($A1960:$J1960,$L$6),FIND("(",INDEX($A1960:$J1960,$L$6)&amp;"(")-1)),L1959)</f>
        <v>Building Value Proposition</v>
      </c>
      <c r="M1960" s="37" t="str">
        <f aca="false">IF(INDEX($A1960:$J1960,$M$6)="","",INDEX($A1960:$J1960,$M$6)&amp;"")</f>
        <v/>
      </c>
      <c r="N1960" s="37" t="str">
        <f aca="false">IF($M1960="","",TRIM(INDEX($A1960:$J1960,$N$6)&amp;""))</f>
        <v/>
      </c>
      <c r="O1960" s="37" t="str">
        <f aca="false">IF($M1960="","",TRIM(INDEX($A1960:$J1960,$O$6)&amp;""))</f>
        <v/>
      </c>
      <c r="P1960" s="37" t="str">
        <f aca="false">IF($M1960="","",IFERROR(IF(INDEX(Settings!$B$41:$B$50,MATCH(O1960,Settings!$A$41:$A$50,0))&amp;""="","UNMAPPED",INDEX(Settings!$B$41:$B$50,MATCH(O1960,Settings!$A$41:$A$50,0))&amp;""),"UNMAPPED"))</f>
        <v/>
      </c>
      <c r="Q1960" s="38" t="n">
        <f aca="false">IF($M1960="",0,N(INDEX($A1960:$J1960,$Q$6)))</f>
        <v>0</v>
      </c>
      <c r="R1960" s="39" t="str">
        <f aca="false">IF($M1960="","",INDEX($A1960:$J1960,$R$6))</f>
        <v/>
      </c>
      <c r="S1960" s="37" t="str">
        <f aca="false">IF($M1960="","",IFERROR(INDEX(Settings!$B$27:$B$36,MATCH(L1960,Settings!$A$27:$A$36,0))&amp;"","UNMAPPED"))</f>
        <v/>
      </c>
      <c r="T1960" s="37" t="str">
        <f aca="false">IF($M1960="","",IF(NOT(ISNUMBER(R1960)),"NO DATE",IF(S1960="Won",IF(R1960&gt;Settings!$B$5,"Backlog","Delivered"),IF(S1960="Open",IF(R1960&gt;Settings!$B$5,"Pipeline","Overdue"),IF(S1960="Lost","Lost","UNMAPPED")))))</f>
        <v/>
      </c>
      <c r="U1960" s="40" t="n">
        <f aca="false">IF(T1960="Backlog",1,IF(OR(T1960="Pipeline",T1960="Overdue"),N(INDEX(Settings!$C$27:$C$36,MATCH(L1960,Settings!$A$27:$A$36,0))),0))</f>
        <v>0</v>
      </c>
      <c r="V1960" s="38" t="n">
        <f aca="false">Q1960*U1960</f>
        <v>0</v>
      </c>
      <c r="W1960" s="41" t="str">
        <f aca="false">IF($M1960="","",IF(T1960="Overdue",IF(Settings!$B$8="Yes",Settings!$B$7,""),IF(ISNUMBER(R1960),DATE(YEAR(R1960),MONTH(R1960),1),"")))</f>
        <v/>
      </c>
      <c r="X1960" s="38" t="n">
        <f aca="false">IF(AND(OR(T1960="Backlog",T1960="Pipeline",T1960="Overdue"),ISNUMBER(W1960)),IF(W1960&lt;=Settings!$B$6,V1960,0),0)</f>
        <v>0</v>
      </c>
      <c r="Y1960" s="38" t="n">
        <f aca="false">IF(AND(OR(T1960="Backlog",T1960="Pipeline",T1960="Overdue"),ISNUMBER(W1960)),IF(W1960&lt;=Settings!$B$6,Q1960,0),0)</f>
        <v>0</v>
      </c>
      <c r="Z1960" s="38" t="n">
        <f aca="false">IF(Y1960=0,0,IF(T1960="Backlog",Q1960,Q1960*Dashboard!$C$10))</f>
        <v>0</v>
      </c>
      <c r="AA1960" s="37" t="n">
        <f aca="false">IF($N1960="",0,IF(COUNTIF(Dashboard!$C$13:$C$22,$N1960)&gt;0,1,0))</f>
        <v>0</v>
      </c>
      <c r="AB1960" s="37" t="str">
        <f aca="false">IF($N1960="","",IF(COUNTIF($N$8:$N1960,$N1960)=1,MAX($AB$7:$AB1959)+1,""))</f>
        <v/>
      </c>
    </row>
    <row r="1961" customFormat="false" ht="15" hidden="false" customHeight="false" outlineLevel="0" collapsed="false">
      <c r="L1961" s="37" t="str">
        <f aca="false">IF(INDEX($A1961:$J1961,$L$6)&lt;&gt;"",TRIM(LEFT(INDEX($A1961:$J1961,$L$6),FIND("(",INDEX($A1961:$J1961,$L$6)&amp;"(")-1)),L1960)</f>
        <v>Building Value Proposition</v>
      </c>
      <c r="M1961" s="37" t="str">
        <f aca="false">IF(INDEX($A1961:$J1961,$M$6)="","",INDEX($A1961:$J1961,$M$6)&amp;"")</f>
        <v/>
      </c>
      <c r="N1961" s="37" t="str">
        <f aca="false">IF($M1961="","",TRIM(INDEX($A1961:$J1961,$N$6)&amp;""))</f>
        <v/>
      </c>
      <c r="O1961" s="37" t="str">
        <f aca="false">IF($M1961="","",TRIM(INDEX($A1961:$J1961,$O$6)&amp;""))</f>
        <v/>
      </c>
      <c r="P1961" s="37" t="str">
        <f aca="false">IF($M1961="","",IFERROR(IF(INDEX(Settings!$B$41:$B$50,MATCH(O1961,Settings!$A$41:$A$50,0))&amp;""="","UNMAPPED",INDEX(Settings!$B$41:$B$50,MATCH(O1961,Settings!$A$41:$A$50,0))&amp;""),"UNMAPPED"))</f>
        <v/>
      </c>
      <c r="Q1961" s="38" t="n">
        <f aca="false">IF($M1961="",0,N(INDEX($A1961:$J1961,$Q$6)))</f>
        <v>0</v>
      </c>
      <c r="R1961" s="39" t="str">
        <f aca="false">IF($M1961="","",INDEX($A1961:$J1961,$R$6))</f>
        <v/>
      </c>
      <c r="S1961" s="37" t="str">
        <f aca="false">IF($M1961="","",IFERROR(INDEX(Settings!$B$27:$B$36,MATCH(L1961,Settings!$A$27:$A$36,0))&amp;"","UNMAPPED"))</f>
        <v/>
      </c>
      <c r="T1961" s="37" t="str">
        <f aca="false">IF($M1961="","",IF(NOT(ISNUMBER(R1961)),"NO DATE",IF(S1961="Won",IF(R1961&gt;Settings!$B$5,"Backlog","Delivered"),IF(S1961="Open",IF(R1961&gt;Settings!$B$5,"Pipeline","Overdue"),IF(S1961="Lost","Lost","UNMAPPED")))))</f>
        <v/>
      </c>
      <c r="U1961" s="40" t="n">
        <f aca="false">IF(T1961="Backlog",1,IF(OR(T1961="Pipeline",T1961="Overdue"),N(INDEX(Settings!$C$27:$C$36,MATCH(L1961,Settings!$A$27:$A$36,0))),0))</f>
        <v>0</v>
      </c>
      <c r="V1961" s="38" t="n">
        <f aca="false">Q1961*U1961</f>
        <v>0</v>
      </c>
      <c r="W1961" s="41" t="str">
        <f aca="false">IF($M1961="","",IF(T1961="Overdue",IF(Settings!$B$8="Yes",Settings!$B$7,""),IF(ISNUMBER(R1961),DATE(YEAR(R1961),MONTH(R1961),1),"")))</f>
        <v/>
      </c>
      <c r="X1961" s="38" t="n">
        <f aca="false">IF(AND(OR(T1961="Backlog",T1961="Pipeline",T1961="Overdue"),ISNUMBER(W1961)),IF(W1961&lt;=Settings!$B$6,V1961,0),0)</f>
        <v>0</v>
      </c>
      <c r="Y1961" s="38" t="n">
        <f aca="false">IF(AND(OR(T1961="Backlog",T1961="Pipeline",T1961="Overdue"),ISNUMBER(W1961)),IF(W1961&lt;=Settings!$B$6,Q1961,0),0)</f>
        <v>0</v>
      </c>
      <c r="Z1961" s="38" t="n">
        <f aca="false">IF(Y1961=0,0,IF(T1961="Backlog",Q1961,Q1961*Dashboard!$C$10))</f>
        <v>0</v>
      </c>
      <c r="AA1961" s="37" t="n">
        <f aca="false">IF($N1961="",0,IF(COUNTIF(Dashboard!$C$13:$C$22,$N1961)&gt;0,1,0))</f>
        <v>0</v>
      </c>
      <c r="AB1961" s="37" t="str">
        <f aca="false">IF($N1961="","",IF(COUNTIF($N$8:$N1961,$N1961)=1,MAX($AB$7:$AB1960)+1,""))</f>
        <v/>
      </c>
    </row>
    <row r="1962" customFormat="false" ht="15" hidden="false" customHeight="false" outlineLevel="0" collapsed="false">
      <c r="L1962" s="37" t="str">
        <f aca="false">IF(INDEX($A1962:$J1962,$L$6)&lt;&gt;"",TRIM(LEFT(INDEX($A1962:$J1962,$L$6),FIND("(",INDEX($A1962:$J1962,$L$6)&amp;"(")-1)),L1961)</f>
        <v>Building Value Proposition</v>
      </c>
      <c r="M1962" s="37" t="str">
        <f aca="false">IF(INDEX($A1962:$J1962,$M$6)="","",INDEX($A1962:$J1962,$M$6)&amp;"")</f>
        <v/>
      </c>
      <c r="N1962" s="37" t="str">
        <f aca="false">IF($M1962="","",TRIM(INDEX($A1962:$J1962,$N$6)&amp;""))</f>
        <v/>
      </c>
      <c r="O1962" s="37" t="str">
        <f aca="false">IF($M1962="","",TRIM(INDEX($A1962:$J1962,$O$6)&amp;""))</f>
        <v/>
      </c>
      <c r="P1962" s="37" t="str">
        <f aca="false">IF($M1962="","",IFERROR(IF(INDEX(Settings!$B$41:$B$50,MATCH(O1962,Settings!$A$41:$A$50,0))&amp;""="","UNMAPPED",INDEX(Settings!$B$41:$B$50,MATCH(O1962,Settings!$A$41:$A$50,0))&amp;""),"UNMAPPED"))</f>
        <v/>
      </c>
      <c r="Q1962" s="38" t="n">
        <f aca="false">IF($M1962="",0,N(INDEX($A1962:$J1962,$Q$6)))</f>
        <v>0</v>
      </c>
      <c r="R1962" s="39" t="str">
        <f aca="false">IF($M1962="","",INDEX($A1962:$J1962,$R$6))</f>
        <v/>
      </c>
      <c r="S1962" s="37" t="str">
        <f aca="false">IF($M1962="","",IFERROR(INDEX(Settings!$B$27:$B$36,MATCH(L1962,Settings!$A$27:$A$36,0))&amp;"","UNMAPPED"))</f>
        <v/>
      </c>
      <c r="T1962" s="37" t="str">
        <f aca="false">IF($M1962="","",IF(NOT(ISNUMBER(R1962)),"NO DATE",IF(S1962="Won",IF(R1962&gt;Settings!$B$5,"Backlog","Delivered"),IF(S1962="Open",IF(R1962&gt;Settings!$B$5,"Pipeline","Overdue"),IF(S1962="Lost","Lost","UNMAPPED")))))</f>
        <v/>
      </c>
      <c r="U1962" s="40" t="n">
        <f aca="false">IF(T1962="Backlog",1,IF(OR(T1962="Pipeline",T1962="Overdue"),N(INDEX(Settings!$C$27:$C$36,MATCH(L1962,Settings!$A$27:$A$36,0))),0))</f>
        <v>0</v>
      </c>
      <c r="V1962" s="38" t="n">
        <f aca="false">Q1962*U1962</f>
        <v>0</v>
      </c>
      <c r="W1962" s="41" t="str">
        <f aca="false">IF($M1962="","",IF(T1962="Overdue",IF(Settings!$B$8="Yes",Settings!$B$7,""),IF(ISNUMBER(R1962),DATE(YEAR(R1962),MONTH(R1962),1),"")))</f>
        <v/>
      </c>
      <c r="X1962" s="38" t="n">
        <f aca="false">IF(AND(OR(T1962="Backlog",T1962="Pipeline",T1962="Overdue"),ISNUMBER(W1962)),IF(W1962&lt;=Settings!$B$6,V1962,0),0)</f>
        <v>0</v>
      </c>
      <c r="Y1962" s="38" t="n">
        <f aca="false">IF(AND(OR(T1962="Backlog",T1962="Pipeline",T1962="Overdue"),ISNUMBER(W1962)),IF(W1962&lt;=Settings!$B$6,Q1962,0),0)</f>
        <v>0</v>
      </c>
      <c r="Z1962" s="38" t="n">
        <f aca="false">IF(Y1962=0,0,IF(T1962="Backlog",Q1962,Q1962*Dashboard!$C$10))</f>
        <v>0</v>
      </c>
      <c r="AA1962" s="37" t="n">
        <f aca="false">IF($N1962="",0,IF(COUNTIF(Dashboard!$C$13:$C$22,$N1962)&gt;0,1,0))</f>
        <v>0</v>
      </c>
      <c r="AB1962" s="37" t="str">
        <f aca="false">IF($N1962="","",IF(COUNTIF($N$8:$N1962,$N1962)=1,MAX($AB$7:$AB1961)+1,""))</f>
        <v/>
      </c>
    </row>
    <row r="1963" customFormat="false" ht="15" hidden="false" customHeight="false" outlineLevel="0" collapsed="false">
      <c r="L1963" s="37" t="str">
        <f aca="false">IF(INDEX($A1963:$J1963,$L$6)&lt;&gt;"",TRIM(LEFT(INDEX($A1963:$J1963,$L$6),FIND("(",INDEX($A1963:$J1963,$L$6)&amp;"(")-1)),L1962)</f>
        <v>Building Value Proposition</v>
      </c>
      <c r="M1963" s="37" t="str">
        <f aca="false">IF(INDEX($A1963:$J1963,$M$6)="","",INDEX($A1963:$J1963,$M$6)&amp;"")</f>
        <v/>
      </c>
      <c r="N1963" s="37" t="str">
        <f aca="false">IF($M1963="","",TRIM(INDEX($A1963:$J1963,$N$6)&amp;""))</f>
        <v/>
      </c>
      <c r="O1963" s="37" t="str">
        <f aca="false">IF($M1963="","",TRIM(INDEX($A1963:$J1963,$O$6)&amp;""))</f>
        <v/>
      </c>
      <c r="P1963" s="37" t="str">
        <f aca="false">IF($M1963="","",IFERROR(IF(INDEX(Settings!$B$41:$B$50,MATCH(O1963,Settings!$A$41:$A$50,0))&amp;""="","UNMAPPED",INDEX(Settings!$B$41:$B$50,MATCH(O1963,Settings!$A$41:$A$50,0))&amp;""),"UNMAPPED"))</f>
        <v/>
      </c>
      <c r="Q1963" s="38" t="n">
        <f aca="false">IF($M1963="",0,N(INDEX($A1963:$J1963,$Q$6)))</f>
        <v>0</v>
      </c>
      <c r="R1963" s="39" t="str">
        <f aca="false">IF($M1963="","",INDEX($A1963:$J1963,$R$6))</f>
        <v/>
      </c>
      <c r="S1963" s="37" t="str">
        <f aca="false">IF($M1963="","",IFERROR(INDEX(Settings!$B$27:$B$36,MATCH(L1963,Settings!$A$27:$A$36,0))&amp;"","UNMAPPED"))</f>
        <v/>
      </c>
      <c r="T1963" s="37" t="str">
        <f aca="false">IF($M1963="","",IF(NOT(ISNUMBER(R1963)),"NO DATE",IF(S1963="Won",IF(R1963&gt;Settings!$B$5,"Backlog","Delivered"),IF(S1963="Open",IF(R1963&gt;Settings!$B$5,"Pipeline","Overdue"),IF(S1963="Lost","Lost","UNMAPPED")))))</f>
        <v/>
      </c>
      <c r="U1963" s="40" t="n">
        <f aca="false">IF(T1963="Backlog",1,IF(OR(T1963="Pipeline",T1963="Overdue"),N(INDEX(Settings!$C$27:$C$36,MATCH(L1963,Settings!$A$27:$A$36,0))),0))</f>
        <v>0</v>
      </c>
      <c r="V1963" s="38" t="n">
        <f aca="false">Q1963*U1963</f>
        <v>0</v>
      </c>
      <c r="W1963" s="41" t="str">
        <f aca="false">IF($M1963="","",IF(T1963="Overdue",IF(Settings!$B$8="Yes",Settings!$B$7,""),IF(ISNUMBER(R1963),DATE(YEAR(R1963),MONTH(R1963),1),"")))</f>
        <v/>
      </c>
      <c r="X1963" s="38" t="n">
        <f aca="false">IF(AND(OR(T1963="Backlog",T1963="Pipeline",T1963="Overdue"),ISNUMBER(W1963)),IF(W1963&lt;=Settings!$B$6,V1963,0),0)</f>
        <v>0</v>
      </c>
      <c r="Y1963" s="38" t="n">
        <f aca="false">IF(AND(OR(T1963="Backlog",T1963="Pipeline",T1963="Overdue"),ISNUMBER(W1963)),IF(W1963&lt;=Settings!$B$6,Q1963,0),0)</f>
        <v>0</v>
      </c>
      <c r="Z1963" s="38" t="n">
        <f aca="false">IF(Y1963=0,0,IF(T1963="Backlog",Q1963,Q1963*Dashboard!$C$10))</f>
        <v>0</v>
      </c>
      <c r="AA1963" s="37" t="n">
        <f aca="false">IF($N1963="",0,IF(COUNTIF(Dashboard!$C$13:$C$22,$N1963)&gt;0,1,0))</f>
        <v>0</v>
      </c>
      <c r="AB1963" s="37" t="str">
        <f aca="false">IF($N1963="","",IF(COUNTIF($N$8:$N1963,$N1963)=1,MAX($AB$7:$AB1962)+1,""))</f>
        <v/>
      </c>
    </row>
    <row r="1964" customFormat="false" ht="15" hidden="false" customHeight="false" outlineLevel="0" collapsed="false">
      <c r="L1964" s="37" t="str">
        <f aca="false">IF(INDEX($A1964:$J1964,$L$6)&lt;&gt;"",TRIM(LEFT(INDEX($A1964:$J1964,$L$6),FIND("(",INDEX($A1964:$J1964,$L$6)&amp;"(")-1)),L1963)</f>
        <v>Building Value Proposition</v>
      </c>
      <c r="M1964" s="37" t="str">
        <f aca="false">IF(INDEX($A1964:$J1964,$M$6)="","",INDEX($A1964:$J1964,$M$6)&amp;"")</f>
        <v/>
      </c>
      <c r="N1964" s="37" t="str">
        <f aca="false">IF($M1964="","",TRIM(INDEX($A1964:$J1964,$N$6)&amp;""))</f>
        <v/>
      </c>
      <c r="O1964" s="37" t="str">
        <f aca="false">IF($M1964="","",TRIM(INDEX($A1964:$J1964,$O$6)&amp;""))</f>
        <v/>
      </c>
      <c r="P1964" s="37" t="str">
        <f aca="false">IF($M1964="","",IFERROR(IF(INDEX(Settings!$B$41:$B$50,MATCH(O1964,Settings!$A$41:$A$50,0))&amp;""="","UNMAPPED",INDEX(Settings!$B$41:$B$50,MATCH(O1964,Settings!$A$41:$A$50,0))&amp;""),"UNMAPPED"))</f>
        <v/>
      </c>
      <c r="Q1964" s="38" t="n">
        <f aca="false">IF($M1964="",0,N(INDEX($A1964:$J1964,$Q$6)))</f>
        <v>0</v>
      </c>
      <c r="R1964" s="39" t="str">
        <f aca="false">IF($M1964="","",INDEX($A1964:$J1964,$R$6))</f>
        <v/>
      </c>
      <c r="S1964" s="37" t="str">
        <f aca="false">IF($M1964="","",IFERROR(INDEX(Settings!$B$27:$B$36,MATCH(L1964,Settings!$A$27:$A$36,0))&amp;"","UNMAPPED"))</f>
        <v/>
      </c>
      <c r="T1964" s="37" t="str">
        <f aca="false">IF($M1964="","",IF(NOT(ISNUMBER(R1964)),"NO DATE",IF(S1964="Won",IF(R1964&gt;Settings!$B$5,"Backlog","Delivered"),IF(S1964="Open",IF(R1964&gt;Settings!$B$5,"Pipeline","Overdue"),IF(S1964="Lost","Lost","UNMAPPED")))))</f>
        <v/>
      </c>
      <c r="U1964" s="40" t="n">
        <f aca="false">IF(T1964="Backlog",1,IF(OR(T1964="Pipeline",T1964="Overdue"),N(INDEX(Settings!$C$27:$C$36,MATCH(L1964,Settings!$A$27:$A$36,0))),0))</f>
        <v>0</v>
      </c>
      <c r="V1964" s="38" t="n">
        <f aca="false">Q1964*U1964</f>
        <v>0</v>
      </c>
      <c r="W1964" s="41" t="str">
        <f aca="false">IF($M1964="","",IF(T1964="Overdue",IF(Settings!$B$8="Yes",Settings!$B$7,""),IF(ISNUMBER(R1964),DATE(YEAR(R1964),MONTH(R1964),1),"")))</f>
        <v/>
      </c>
      <c r="X1964" s="38" t="n">
        <f aca="false">IF(AND(OR(T1964="Backlog",T1964="Pipeline",T1964="Overdue"),ISNUMBER(W1964)),IF(W1964&lt;=Settings!$B$6,V1964,0),0)</f>
        <v>0</v>
      </c>
      <c r="Y1964" s="38" t="n">
        <f aca="false">IF(AND(OR(T1964="Backlog",T1964="Pipeline",T1964="Overdue"),ISNUMBER(W1964)),IF(W1964&lt;=Settings!$B$6,Q1964,0),0)</f>
        <v>0</v>
      </c>
      <c r="Z1964" s="38" t="n">
        <f aca="false">IF(Y1964=0,0,IF(T1964="Backlog",Q1964,Q1964*Dashboard!$C$10))</f>
        <v>0</v>
      </c>
      <c r="AA1964" s="37" t="n">
        <f aca="false">IF($N1964="",0,IF(COUNTIF(Dashboard!$C$13:$C$22,$N1964)&gt;0,1,0))</f>
        <v>0</v>
      </c>
      <c r="AB1964" s="37" t="str">
        <f aca="false">IF($N1964="","",IF(COUNTIF($N$8:$N1964,$N1964)=1,MAX($AB$7:$AB1963)+1,""))</f>
        <v/>
      </c>
    </row>
    <row r="1965" customFormat="false" ht="15" hidden="false" customHeight="false" outlineLevel="0" collapsed="false">
      <c r="L1965" s="37" t="str">
        <f aca="false">IF(INDEX($A1965:$J1965,$L$6)&lt;&gt;"",TRIM(LEFT(INDEX($A1965:$J1965,$L$6),FIND("(",INDEX($A1965:$J1965,$L$6)&amp;"(")-1)),L1964)</f>
        <v>Building Value Proposition</v>
      </c>
      <c r="M1965" s="37" t="str">
        <f aca="false">IF(INDEX($A1965:$J1965,$M$6)="","",INDEX($A1965:$J1965,$M$6)&amp;"")</f>
        <v/>
      </c>
      <c r="N1965" s="37" t="str">
        <f aca="false">IF($M1965="","",TRIM(INDEX($A1965:$J1965,$N$6)&amp;""))</f>
        <v/>
      </c>
      <c r="O1965" s="37" t="str">
        <f aca="false">IF($M1965="","",TRIM(INDEX($A1965:$J1965,$O$6)&amp;""))</f>
        <v/>
      </c>
      <c r="P1965" s="37" t="str">
        <f aca="false">IF($M1965="","",IFERROR(IF(INDEX(Settings!$B$41:$B$50,MATCH(O1965,Settings!$A$41:$A$50,0))&amp;""="","UNMAPPED",INDEX(Settings!$B$41:$B$50,MATCH(O1965,Settings!$A$41:$A$50,0))&amp;""),"UNMAPPED"))</f>
        <v/>
      </c>
      <c r="Q1965" s="38" t="n">
        <f aca="false">IF($M1965="",0,N(INDEX($A1965:$J1965,$Q$6)))</f>
        <v>0</v>
      </c>
      <c r="R1965" s="39" t="str">
        <f aca="false">IF($M1965="","",INDEX($A1965:$J1965,$R$6))</f>
        <v/>
      </c>
      <c r="S1965" s="37" t="str">
        <f aca="false">IF($M1965="","",IFERROR(INDEX(Settings!$B$27:$B$36,MATCH(L1965,Settings!$A$27:$A$36,0))&amp;"","UNMAPPED"))</f>
        <v/>
      </c>
      <c r="T1965" s="37" t="str">
        <f aca="false">IF($M1965="","",IF(NOT(ISNUMBER(R1965)),"NO DATE",IF(S1965="Won",IF(R1965&gt;Settings!$B$5,"Backlog","Delivered"),IF(S1965="Open",IF(R1965&gt;Settings!$B$5,"Pipeline","Overdue"),IF(S1965="Lost","Lost","UNMAPPED")))))</f>
        <v/>
      </c>
      <c r="U1965" s="40" t="n">
        <f aca="false">IF(T1965="Backlog",1,IF(OR(T1965="Pipeline",T1965="Overdue"),N(INDEX(Settings!$C$27:$C$36,MATCH(L1965,Settings!$A$27:$A$36,0))),0))</f>
        <v>0</v>
      </c>
      <c r="V1965" s="38" t="n">
        <f aca="false">Q1965*U1965</f>
        <v>0</v>
      </c>
      <c r="W1965" s="41" t="str">
        <f aca="false">IF($M1965="","",IF(T1965="Overdue",IF(Settings!$B$8="Yes",Settings!$B$7,""),IF(ISNUMBER(R1965),DATE(YEAR(R1965),MONTH(R1965),1),"")))</f>
        <v/>
      </c>
      <c r="X1965" s="38" t="n">
        <f aca="false">IF(AND(OR(T1965="Backlog",T1965="Pipeline",T1965="Overdue"),ISNUMBER(W1965)),IF(W1965&lt;=Settings!$B$6,V1965,0),0)</f>
        <v>0</v>
      </c>
      <c r="Y1965" s="38" t="n">
        <f aca="false">IF(AND(OR(T1965="Backlog",T1965="Pipeline",T1965="Overdue"),ISNUMBER(W1965)),IF(W1965&lt;=Settings!$B$6,Q1965,0),0)</f>
        <v>0</v>
      </c>
      <c r="Z1965" s="38" t="n">
        <f aca="false">IF(Y1965=0,0,IF(T1965="Backlog",Q1965,Q1965*Dashboard!$C$10))</f>
        <v>0</v>
      </c>
      <c r="AA1965" s="37" t="n">
        <f aca="false">IF($N1965="",0,IF(COUNTIF(Dashboard!$C$13:$C$22,$N1965)&gt;0,1,0))</f>
        <v>0</v>
      </c>
      <c r="AB1965" s="37" t="str">
        <f aca="false">IF($N1965="","",IF(COUNTIF($N$8:$N1965,$N1965)=1,MAX($AB$7:$AB1964)+1,""))</f>
        <v/>
      </c>
    </row>
    <row r="1966" customFormat="false" ht="15" hidden="false" customHeight="false" outlineLevel="0" collapsed="false">
      <c r="L1966" s="37" t="str">
        <f aca="false">IF(INDEX($A1966:$J1966,$L$6)&lt;&gt;"",TRIM(LEFT(INDEX($A1966:$J1966,$L$6),FIND("(",INDEX($A1966:$J1966,$L$6)&amp;"(")-1)),L1965)</f>
        <v>Building Value Proposition</v>
      </c>
      <c r="M1966" s="37" t="str">
        <f aca="false">IF(INDEX($A1966:$J1966,$M$6)="","",INDEX($A1966:$J1966,$M$6)&amp;"")</f>
        <v/>
      </c>
      <c r="N1966" s="37" t="str">
        <f aca="false">IF($M1966="","",TRIM(INDEX($A1966:$J1966,$N$6)&amp;""))</f>
        <v/>
      </c>
      <c r="O1966" s="37" t="str">
        <f aca="false">IF($M1966="","",TRIM(INDEX($A1966:$J1966,$O$6)&amp;""))</f>
        <v/>
      </c>
      <c r="P1966" s="37" t="str">
        <f aca="false">IF($M1966="","",IFERROR(IF(INDEX(Settings!$B$41:$B$50,MATCH(O1966,Settings!$A$41:$A$50,0))&amp;""="","UNMAPPED",INDEX(Settings!$B$41:$B$50,MATCH(O1966,Settings!$A$41:$A$50,0))&amp;""),"UNMAPPED"))</f>
        <v/>
      </c>
      <c r="Q1966" s="38" t="n">
        <f aca="false">IF($M1966="",0,N(INDEX($A1966:$J1966,$Q$6)))</f>
        <v>0</v>
      </c>
      <c r="R1966" s="39" t="str">
        <f aca="false">IF($M1966="","",INDEX($A1966:$J1966,$R$6))</f>
        <v/>
      </c>
      <c r="S1966" s="37" t="str">
        <f aca="false">IF($M1966="","",IFERROR(INDEX(Settings!$B$27:$B$36,MATCH(L1966,Settings!$A$27:$A$36,0))&amp;"","UNMAPPED"))</f>
        <v/>
      </c>
      <c r="T1966" s="37" t="str">
        <f aca="false">IF($M1966="","",IF(NOT(ISNUMBER(R1966)),"NO DATE",IF(S1966="Won",IF(R1966&gt;Settings!$B$5,"Backlog","Delivered"),IF(S1966="Open",IF(R1966&gt;Settings!$B$5,"Pipeline","Overdue"),IF(S1966="Lost","Lost","UNMAPPED")))))</f>
        <v/>
      </c>
      <c r="U1966" s="40" t="n">
        <f aca="false">IF(T1966="Backlog",1,IF(OR(T1966="Pipeline",T1966="Overdue"),N(INDEX(Settings!$C$27:$C$36,MATCH(L1966,Settings!$A$27:$A$36,0))),0))</f>
        <v>0</v>
      </c>
      <c r="V1966" s="38" t="n">
        <f aca="false">Q1966*U1966</f>
        <v>0</v>
      </c>
      <c r="W1966" s="41" t="str">
        <f aca="false">IF($M1966="","",IF(T1966="Overdue",IF(Settings!$B$8="Yes",Settings!$B$7,""),IF(ISNUMBER(R1966),DATE(YEAR(R1966),MONTH(R1966),1),"")))</f>
        <v/>
      </c>
      <c r="X1966" s="38" t="n">
        <f aca="false">IF(AND(OR(T1966="Backlog",T1966="Pipeline",T1966="Overdue"),ISNUMBER(W1966)),IF(W1966&lt;=Settings!$B$6,V1966,0),0)</f>
        <v>0</v>
      </c>
      <c r="Y1966" s="38" t="n">
        <f aca="false">IF(AND(OR(T1966="Backlog",T1966="Pipeline",T1966="Overdue"),ISNUMBER(W1966)),IF(W1966&lt;=Settings!$B$6,Q1966,0),0)</f>
        <v>0</v>
      </c>
      <c r="Z1966" s="38" t="n">
        <f aca="false">IF(Y1966=0,0,IF(T1966="Backlog",Q1966,Q1966*Dashboard!$C$10))</f>
        <v>0</v>
      </c>
      <c r="AA1966" s="37" t="n">
        <f aca="false">IF($N1966="",0,IF(COUNTIF(Dashboard!$C$13:$C$22,$N1966)&gt;0,1,0))</f>
        <v>0</v>
      </c>
      <c r="AB1966" s="37" t="str">
        <f aca="false">IF($N1966="","",IF(COUNTIF($N$8:$N1966,$N1966)=1,MAX($AB$7:$AB1965)+1,""))</f>
        <v/>
      </c>
    </row>
    <row r="1967" customFormat="false" ht="15" hidden="false" customHeight="false" outlineLevel="0" collapsed="false">
      <c r="L1967" s="37" t="str">
        <f aca="false">IF(INDEX($A1967:$J1967,$L$6)&lt;&gt;"",TRIM(LEFT(INDEX($A1967:$J1967,$L$6),FIND("(",INDEX($A1967:$J1967,$L$6)&amp;"(")-1)),L1966)</f>
        <v>Building Value Proposition</v>
      </c>
      <c r="M1967" s="37" t="str">
        <f aca="false">IF(INDEX($A1967:$J1967,$M$6)="","",INDEX($A1967:$J1967,$M$6)&amp;"")</f>
        <v/>
      </c>
      <c r="N1967" s="37" t="str">
        <f aca="false">IF($M1967="","",TRIM(INDEX($A1967:$J1967,$N$6)&amp;""))</f>
        <v/>
      </c>
      <c r="O1967" s="37" t="str">
        <f aca="false">IF($M1967="","",TRIM(INDEX($A1967:$J1967,$O$6)&amp;""))</f>
        <v/>
      </c>
      <c r="P1967" s="37" t="str">
        <f aca="false">IF($M1967="","",IFERROR(IF(INDEX(Settings!$B$41:$B$50,MATCH(O1967,Settings!$A$41:$A$50,0))&amp;""="","UNMAPPED",INDEX(Settings!$B$41:$B$50,MATCH(O1967,Settings!$A$41:$A$50,0))&amp;""),"UNMAPPED"))</f>
        <v/>
      </c>
      <c r="Q1967" s="38" t="n">
        <f aca="false">IF($M1967="",0,N(INDEX($A1967:$J1967,$Q$6)))</f>
        <v>0</v>
      </c>
      <c r="R1967" s="39" t="str">
        <f aca="false">IF($M1967="","",INDEX($A1967:$J1967,$R$6))</f>
        <v/>
      </c>
      <c r="S1967" s="37" t="str">
        <f aca="false">IF($M1967="","",IFERROR(INDEX(Settings!$B$27:$B$36,MATCH(L1967,Settings!$A$27:$A$36,0))&amp;"","UNMAPPED"))</f>
        <v/>
      </c>
      <c r="T1967" s="37" t="str">
        <f aca="false">IF($M1967="","",IF(NOT(ISNUMBER(R1967)),"NO DATE",IF(S1967="Won",IF(R1967&gt;Settings!$B$5,"Backlog","Delivered"),IF(S1967="Open",IF(R1967&gt;Settings!$B$5,"Pipeline","Overdue"),IF(S1967="Lost","Lost","UNMAPPED")))))</f>
        <v/>
      </c>
      <c r="U1967" s="40" t="n">
        <f aca="false">IF(T1967="Backlog",1,IF(OR(T1967="Pipeline",T1967="Overdue"),N(INDEX(Settings!$C$27:$C$36,MATCH(L1967,Settings!$A$27:$A$36,0))),0))</f>
        <v>0</v>
      </c>
      <c r="V1967" s="38" t="n">
        <f aca="false">Q1967*U1967</f>
        <v>0</v>
      </c>
      <c r="W1967" s="41" t="str">
        <f aca="false">IF($M1967="","",IF(T1967="Overdue",IF(Settings!$B$8="Yes",Settings!$B$7,""),IF(ISNUMBER(R1967),DATE(YEAR(R1967),MONTH(R1967),1),"")))</f>
        <v/>
      </c>
      <c r="X1967" s="38" t="n">
        <f aca="false">IF(AND(OR(T1967="Backlog",T1967="Pipeline",T1967="Overdue"),ISNUMBER(W1967)),IF(W1967&lt;=Settings!$B$6,V1967,0),0)</f>
        <v>0</v>
      </c>
      <c r="Y1967" s="38" t="n">
        <f aca="false">IF(AND(OR(T1967="Backlog",T1967="Pipeline",T1967="Overdue"),ISNUMBER(W1967)),IF(W1967&lt;=Settings!$B$6,Q1967,0),0)</f>
        <v>0</v>
      </c>
      <c r="Z1967" s="38" t="n">
        <f aca="false">IF(Y1967=0,0,IF(T1967="Backlog",Q1967,Q1967*Dashboard!$C$10))</f>
        <v>0</v>
      </c>
      <c r="AA1967" s="37" t="n">
        <f aca="false">IF($N1967="",0,IF(COUNTIF(Dashboard!$C$13:$C$22,$N1967)&gt;0,1,0))</f>
        <v>0</v>
      </c>
      <c r="AB1967" s="37" t="str">
        <f aca="false">IF($N1967="","",IF(COUNTIF($N$8:$N1967,$N1967)=1,MAX($AB$7:$AB1966)+1,""))</f>
        <v/>
      </c>
    </row>
    <row r="1968" customFormat="false" ht="15" hidden="false" customHeight="false" outlineLevel="0" collapsed="false">
      <c r="L1968" s="37" t="str">
        <f aca="false">IF(INDEX($A1968:$J1968,$L$6)&lt;&gt;"",TRIM(LEFT(INDEX($A1968:$J1968,$L$6),FIND("(",INDEX($A1968:$J1968,$L$6)&amp;"(")-1)),L1967)</f>
        <v>Building Value Proposition</v>
      </c>
      <c r="M1968" s="37" t="str">
        <f aca="false">IF(INDEX($A1968:$J1968,$M$6)="","",INDEX($A1968:$J1968,$M$6)&amp;"")</f>
        <v/>
      </c>
      <c r="N1968" s="37" t="str">
        <f aca="false">IF($M1968="","",TRIM(INDEX($A1968:$J1968,$N$6)&amp;""))</f>
        <v/>
      </c>
      <c r="O1968" s="37" t="str">
        <f aca="false">IF($M1968="","",TRIM(INDEX($A1968:$J1968,$O$6)&amp;""))</f>
        <v/>
      </c>
      <c r="P1968" s="37" t="str">
        <f aca="false">IF($M1968="","",IFERROR(IF(INDEX(Settings!$B$41:$B$50,MATCH(O1968,Settings!$A$41:$A$50,0))&amp;""="","UNMAPPED",INDEX(Settings!$B$41:$B$50,MATCH(O1968,Settings!$A$41:$A$50,0))&amp;""),"UNMAPPED"))</f>
        <v/>
      </c>
      <c r="Q1968" s="38" t="n">
        <f aca="false">IF($M1968="",0,N(INDEX($A1968:$J1968,$Q$6)))</f>
        <v>0</v>
      </c>
      <c r="R1968" s="39" t="str">
        <f aca="false">IF($M1968="","",INDEX($A1968:$J1968,$R$6))</f>
        <v/>
      </c>
      <c r="S1968" s="37" t="str">
        <f aca="false">IF($M1968="","",IFERROR(INDEX(Settings!$B$27:$B$36,MATCH(L1968,Settings!$A$27:$A$36,0))&amp;"","UNMAPPED"))</f>
        <v/>
      </c>
      <c r="T1968" s="37" t="str">
        <f aca="false">IF($M1968="","",IF(NOT(ISNUMBER(R1968)),"NO DATE",IF(S1968="Won",IF(R1968&gt;Settings!$B$5,"Backlog","Delivered"),IF(S1968="Open",IF(R1968&gt;Settings!$B$5,"Pipeline","Overdue"),IF(S1968="Lost","Lost","UNMAPPED")))))</f>
        <v/>
      </c>
      <c r="U1968" s="40" t="n">
        <f aca="false">IF(T1968="Backlog",1,IF(OR(T1968="Pipeline",T1968="Overdue"),N(INDEX(Settings!$C$27:$C$36,MATCH(L1968,Settings!$A$27:$A$36,0))),0))</f>
        <v>0</v>
      </c>
      <c r="V1968" s="38" t="n">
        <f aca="false">Q1968*U1968</f>
        <v>0</v>
      </c>
      <c r="W1968" s="41" t="str">
        <f aca="false">IF($M1968="","",IF(T1968="Overdue",IF(Settings!$B$8="Yes",Settings!$B$7,""),IF(ISNUMBER(R1968),DATE(YEAR(R1968),MONTH(R1968),1),"")))</f>
        <v/>
      </c>
      <c r="X1968" s="38" t="n">
        <f aca="false">IF(AND(OR(T1968="Backlog",T1968="Pipeline",T1968="Overdue"),ISNUMBER(W1968)),IF(W1968&lt;=Settings!$B$6,V1968,0),0)</f>
        <v>0</v>
      </c>
      <c r="Y1968" s="38" t="n">
        <f aca="false">IF(AND(OR(T1968="Backlog",T1968="Pipeline",T1968="Overdue"),ISNUMBER(W1968)),IF(W1968&lt;=Settings!$B$6,Q1968,0),0)</f>
        <v>0</v>
      </c>
      <c r="Z1968" s="38" t="n">
        <f aca="false">IF(Y1968=0,0,IF(T1968="Backlog",Q1968,Q1968*Dashboard!$C$10))</f>
        <v>0</v>
      </c>
      <c r="AA1968" s="37" t="n">
        <f aca="false">IF($N1968="",0,IF(COUNTIF(Dashboard!$C$13:$C$22,$N1968)&gt;0,1,0))</f>
        <v>0</v>
      </c>
      <c r="AB1968" s="37" t="str">
        <f aca="false">IF($N1968="","",IF(COUNTIF($N$8:$N1968,$N1968)=1,MAX($AB$7:$AB1967)+1,""))</f>
        <v/>
      </c>
    </row>
    <row r="1969" customFormat="false" ht="15" hidden="false" customHeight="false" outlineLevel="0" collapsed="false">
      <c r="L1969" s="37" t="str">
        <f aca="false">IF(INDEX($A1969:$J1969,$L$6)&lt;&gt;"",TRIM(LEFT(INDEX($A1969:$J1969,$L$6),FIND("(",INDEX($A1969:$J1969,$L$6)&amp;"(")-1)),L1968)</f>
        <v>Building Value Proposition</v>
      </c>
      <c r="M1969" s="37" t="str">
        <f aca="false">IF(INDEX($A1969:$J1969,$M$6)="","",INDEX($A1969:$J1969,$M$6)&amp;"")</f>
        <v/>
      </c>
      <c r="N1969" s="37" t="str">
        <f aca="false">IF($M1969="","",TRIM(INDEX($A1969:$J1969,$N$6)&amp;""))</f>
        <v/>
      </c>
      <c r="O1969" s="37" t="str">
        <f aca="false">IF($M1969="","",TRIM(INDEX($A1969:$J1969,$O$6)&amp;""))</f>
        <v/>
      </c>
      <c r="P1969" s="37" t="str">
        <f aca="false">IF($M1969="","",IFERROR(IF(INDEX(Settings!$B$41:$B$50,MATCH(O1969,Settings!$A$41:$A$50,0))&amp;""="","UNMAPPED",INDEX(Settings!$B$41:$B$50,MATCH(O1969,Settings!$A$41:$A$50,0))&amp;""),"UNMAPPED"))</f>
        <v/>
      </c>
      <c r="Q1969" s="38" t="n">
        <f aca="false">IF($M1969="",0,N(INDEX($A1969:$J1969,$Q$6)))</f>
        <v>0</v>
      </c>
      <c r="R1969" s="39" t="str">
        <f aca="false">IF($M1969="","",INDEX($A1969:$J1969,$R$6))</f>
        <v/>
      </c>
      <c r="S1969" s="37" t="str">
        <f aca="false">IF($M1969="","",IFERROR(INDEX(Settings!$B$27:$B$36,MATCH(L1969,Settings!$A$27:$A$36,0))&amp;"","UNMAPPED"))</f>
        <v/>
      </c>
      <c r="T1969" s="37" t="str">
        <f aca="false">IF($M1969="","",IF(NOT(ISNUMBER(R1969)),"NO DATE",IF(S1969="Won",IF(R1969&gt;Settings!$B$5,"Backlog","Delivered"),IF(S1969="Open",IF(R1969&gt;Settings!$B$5,"Pipeline","Overdue"),IF(S1969="Lost","Lost","UNMAPPED")))))</f>
        <v/>
      </c>
      <c r="U1969" s="40" t="n">
        <f aca="false">IF(T1969="Backlog",1,IF(OR(T1969="Pipeline",T1969="Overdue"),N(INDEX(Settings!$C$27:$C$36,MATCH(L1969,Settings!$A$27:$A$36,0))),0))</f>
        <v>0</v>
      </c>
      <c r="V1969" s="38" t="n">
        <f aca="false">Q1969*U1969</f>
        <v>0</v>
      </c>
      <c r="W1969" s="41" t="str">
        <f aca="false">IF($M1969="","",IF(T1969="Overdue",IF(Settings!$B$8="Yes",Settings!$B$7,""),IF(ISNUMBER(R1969),DATE(YEAR(R1969),MONTH(R1969),1),"")))</f>
        <v/>
      </c>
      <c r="X1969" s="38" t="n">
        <f aca="false">IF(AND(OR(T1969="Backlog",T1969="Pipeline",T1969="Overdue"),ISNUMBER(W1969)),IF(W1969&lt;=Settings!$B$6,V1969,0),0)</f>
        <v>0</v>
      </c>
      <c r="Y1969" s="38" t="n">
        <f aca="false">IF(AND(OR(T1969="Backlog",T1969="Pipeline",T1969="Overdue"),ISNUMBER(W1969)),IF(W1969&lt;=Settings!$B$6,Q1969,0),0)</f>
        <v>0</v>
      </c>
      <c r="Z1969" s="38" t="n">
        <f aca="false">IF(Y1969=0,0,IF(T1969="Backlog",Q1969,Q1969*Dashboard!$C$10))</f>
        <v>0</v>
      </c>
      <c r="AA1969" s="37" t="n">
        <f aca="false">IF($N1969="",0,IF(COUNTIF(Dashboard!$C$13:$C$22,$N1969)&gt;0,1,0))</f>
        <v>0</v>
      </c>
      <c r="AB1969" s="37" t="str">
        <f aca="false">IF($N1969="","",IF(COUNTIF($N$8:$N1969,$N1969)=1,MAX($AB$7:$AB1968)+1,""))</f>
        <v/>
      </c>
    </row>
    <row r="1970" customFormat="false" ht="15" hidden="false" customHeight="false" outlineLevel="0" collapsed="false">
      <c r="L1970" s="37" t="str">
        <f aca="false">IF(INDEX($A1970:$J1970,$L$6)&lt;&gt;"",TRIM(LEFT(INDEX($A1970:$J1970,$L$6),FIND("(",INDEX($A1970:$J1970,$L$6)&amp;"(")-1)),L1969)</f>
        <v>Building Value Proposition</v>
      </c>
      <c r="M1970" s="37" t="str">
        <f aca="false">IF(INDEX($A1970:$J1970,$M$6)="","",INDEX($A1970:$J1970,$M$6)&amp;"")</f>
        <v/>
      </c>
      <c r="N1970" s="37" t="str">
        <f aca="false">IF($M1970="","",TRIM(INDEX($A1970:$J1970,$N$6)&amp;""))</f>
        <v/>
      </c>
      <c r="O1970" s="37" t="str">
        <f aca="false">IF($M1970="","",TRIM(INDEX($A1970:$J1970,$O$6)&amp;""))</f>
        <v/>
      </c>
      <c r="P1970" s="37" t="str">
        <f aca="false">IF($M1970="","",IFERROR(IF(INDEX(Settings!$B$41:$B$50,MATCH(O1970,Settings!$A$41:$A$50,0))&amp;""="","UNMAPPED",INDEX(Settings!$B$41:$B$50,MATCH(O1970,Settings!$A$41:$A$50,0))&amp;""),"UNMAPPED"))</f>
        <v/>
      </c>
      <c r="Q1970" s="38" t="n">
        <f aca="false">IF($M1970="",0,N(INDEX($A1970:$J1970,$Q$6)))</f>
        <v>0</v>
      </c>
      <c r="R1970" s="39" t="str">
        <f aca="false">IF($M1970="","",INDEX($A1970:$J1970,$R$6))</f>
        <v/>
      </c>
      <c r="S1970" s="37" t="str">
        <f aca="false">IF($M1970="","",IFERROR(INDEX(Settings!$B$27:$B$36,MATCH(L1970,Settings!$A$27:$A$36,0))&amp;"","UNMAPPED"))</f>
        <v/>
      </c>
      <c r="T1970" s="37" t="str">
        <f aca="false">IF($M1970="","",IF(NOT(ISNUMBER(R1970)),"NO DATE",IF(S1970="Won",IF(R1970&gt;Settings!$B$5,"Backlog","Delivered"),IF(S1970="Open",IF(R1970&gt;Settings!$B$5,"Pipeline","Overdue"),IF(S1970="Lost","Lost","UNMAPPED")))))</f>
        <v/>
      </c>
      <c r="U1970" s="40" t="n">
        <f aca="false">IF(T1970="Backlog",1,IF(OR(T1970="Pipeline",T1970="Overdue"),N(INDEX(Settings!$C$27:$C$36,MATCH(L1970,Settings!$A$27:$A$36,0))),0))</f>
        <v>0</v>
      </c>
      <c r="V1970" s="38" t="n">
        <f aca="false">Q1970*U1970</f>
        <v>0</v>
      </c>
      <c r="W1970" s="41" t="str">
        <f aca="false">IF($M1970="","",IF(T1970="Overdue",IF(Settings!$B$8="Yes",Settings!$B$7,""),IF(ISNUMBER(R1970),DATE(YEAR(R1970),MONTH(R1970),1),"")))</f>
        <v/>
      </c>
      <c r="X1970" s="38" t="n">
        <f aca="false">IF(AND(OR(T1970="Backlog",T1970="Pipeline",T1970="Overdue"),ISNUMBER(W1970)),IF(W1970&lt;=Settings!$B$6,V1970,0),0)</f>
        <v>0</v>
      </c>
      <c r="Y1970" s="38" t="n">
        <f aca="false">IF(AND(OR(T1970="Backlog",T1970="Pipeline",T1970="Overdue"),ISNUMBER(W1970)),IF(W1970&lt;=Settings!$B$6,Q1970,0),0)</f>
        <v>0</v>
      </c>
      <c r="Z1970" s="38" t="n">
        <f aca="false">IF(Y1970=0,0,IF(T1970="Backlog",Q1970,Q1970*Dashboard!$C$10))</f>
        <v>0</v>
      </c>
      <c r="AA1970" s="37" t="n">
        <f aca="false">IF($N1970="",0,IF(COUNTIF(Dashboard!$C$13:$C$22,$N1970)&gt;0,1,0))</f>
        <v>0</v>
      </c>
      <c r="AB1970" s="37" t="str">
        <f aca="false">IF($N1970="","",IF(COUNTIF($N$8:$N1970,$N1970)=1,MAX($AB$7:$AB1969)+1,""))</f>
        <v/>
      </c>
    </row>
    <row r="1971" customFormat="false" ht="15" hidden="false" customHeight="false" outlineLevel="0" collapsed="false">
      <c r="L1971" s="37" t="str">
        <f aca="false">IF(INDEX($A1971:$J1971,$L$6)&lt;&gt;"",TRIM(LEFT(INDEX($A1971:$J1971,$L$6),FIND("(",INDEX($A1971:$J1971,$L$6)&amp;"(")-1)),L1970)</f>
        <v>Building Value Proposition</v>
      </c>
      <c r="M1971" s="37" t="str">
        <f aca="false">IF(INDEX($A1971:$J1971,$M$6)="","",INDEX($A1971:$J1971,$M$6)&amp;"")</f>
        <v/>
      </c>
      <c r="N1971" s="37" t="str">
        <f aca="false">IF($M1971="","",TRIM(INDEX($A1971:$J1971,$N$6)&amp;""))</f>
        <v/>
      </c>
      <c r="O1971" s="37" t="str">
        <f aca="false">IF($M1971="","",TRIM(INDEX($A1971:$J1971,$O$6)&amp;""))</f>
        <v/>
      </c>
      <c r="P1971" s="37" t="str">
        <f aca="false">IF($M1971="","",IFERROR(IF(INDEX(Settings!$B$41:$B$50,MATCH(O1971,Settings!$A$41:$A$50,0))&amp;""="","UNMAPPED",INDEX(Settings!$B$41:$B$50,MATCH(O1971,Settings!$A$41:$A$50,0))&amp;""),"UNMAPPED"))</f>
        <v/>
      </c>
      <c r="Q1971" s="38" t="n">
        <f aca="false">IF($M1971="",0,N(INDEX($A1971:$J1971,$Q$6)))</f>
        <v>0</v>
      </c>
      <c r="R1971" s="39" t="str">
        <f aca="false">IF($M1971="","",INDEX($A1971:$J1971,$R$6))</f>
        <v/>
      </c>
      <c r="S1971" s="37" t="str">
        <f aca="false">IF($M1971="","",IFERROR(INDEX(Settings!$B$27:$B$36,MATCH(L1971,Settings!$A$27:$A$36,0))&amp;"","UNMAPPED"))</f>
        <v/>
      </c>
      <c r="T1971" s="37" t="str">
        <f aca="false">IF($M1971="","",IF(NOT(ISNUMBER(R1971)),"NO DATE",IF(S1971="Won",IF(R1971&gt;Settings!$B$5,"Backlog","Delivered"),IF(S1971="Open",IF(R1971&gt;Settings!$B$5,"Pipeline","Overdue"),IF(S1971="Lost","Lost","UNMAPPED")))))</f>
        <v/>
      </c>
      <c r="U1971" s="40" t="n">
        <f aca="false">IF(T1971="Backlog",1,IF(OR(T1971="Pipeline",T1971="Overdue"),N(INDEX(Settings!$C$27:$C$36,MATCH(L1971,Settings!$A$27:$A$36,0))),0))</f>
        <v>0</v>
      </c>
      <c r="V1971" s="38" t="n">
        <f aca="false">Q1971*U1971</f>
        <v>0</v>
      </c>
      <c r="W1971" s="41" t="str">
        <f aca="false">IF($M1971="","",IF(T1971="Overdue",IF(Settings!$B$8="Yes",Settings!$B$7,""),IF(ISNUMBER(R1971),DATE(YEAR(R1971),MONTH(R1971),1),"")))</f>
        <v/>
      </c>
      <c r="X1971" s="38" t="n">
        <f aca="false">IF(AND(OR(T1971="Backlog",T1971="Pipeline",T1971="Overdue"),ISNUMBER(W1971)),IF(W1971&lt;=Settings!$B$6,V1971,0),0)</f>
        <v>0</v>
      </c>
      <c r="Y1971" s="38" t="n">
        <f aca="false">IF(AND(OR(T1971="Backlog",T1971="Pipeline",T1971="Overdue"),ISNUMBER(W1971)),IF(W1971&lt;=Settings!$B$6,Q1971,0),0)</f>
        <v>0</v>
      </c>
      <c r="Z1971" s="38" t="n">
        <f aca="false">IF(Y1971=0,0,IF(T1971="Backlog",Q1971,Q1971*Dashboard!$C$10))</f>
        <v>0</v>
      </c>
      <c r="AA1971" s="37" t="n">
        <f aca="false">IF($N1971="",0,IF(COUNTIF(Dashboard!$C$13:$C$22,$N1971)&gt;0,1,0))</f>
        <v>0</v>
      </c>
      <c r="AB1971" s="37" t="str">
        <f aca="false">IF($N1971="","",IF(COUNTIF($N$8:$N1971,$N1971)=1,MAX($AB$7:$AB1970)+1,""))</f>
        <v/>
      </c>
    </row>
    <row r="1972" customFormat="false" ht="15" hidden="false" customHeight="false" outlineLevel="0" collapsed="false">
      <c r="L1972" s="37" t="str">
        <f aca="false">IF(INDEX($A1972:$J1972,$L$6)&lt;&gt;"",TRIM(LEFT(INDEX($A1972:$J1972,$L$6),FIND("(",INDEX($A1972:$J1972,$L$6)&amp;"(")-1)),L1971)</f>
        <v>Building Value Proposition</v>
      </c>
      <c r="M1972" s="37" t="str">
        <f aca="false">IF(INDEX($A1972:$J1972,$M$6)="","",INDEX($A1972:$J1972,$M$6)&amp;"")</f>
        <v/>
      </c>
      <c r="N1972" s="37" t="str">
        <f aca="false">IF($M1972="","",TRIM(INDEX($A1972:$J1972,$N$6)&amp;""))</f>
        <v/>
      </c>
      <c r="O1972" s="37" t="str">
        <f aca="false">IF($M1972="","",TRIM(INDEX($A1972:$J1972,$O$6)&amp;""))</f>
        <v/>
      </c>
      <c r="P1972" s="37" t="str">
        <f aca="false">IF($M1972="","",IFERROR(IF(INDEX(Settings!$B$41:$B$50,MATCH(O1972,Settings!$A$41:$A$50,0))&amp;""="","UNMAPPED",INDEX(Settings!$B$41:$B$50,MATCH(O1972,Settings!$A$41:$A$50,0))&amp;""),"UNMAPPED"))</f>
        <v/>
      </c>
      <c r="Q1972" s="38" t="n">
        <f aca="false">IF($M1972="",0,N(INDEX($A1972:$J1972,$Q$6)))</f>
        <v>0</v>
      </c>
      <c r="R1972" s="39" t="str">
        <f aca="false">IF($M1972="","",INDEX($A1972:$J1972,$R$6))</f>
        <v/>
      </c>
      <c r="S1972" s="37" t="str">
        <f aca="false">IF($M1972="","",IFERROR(INDEX(Settings!$B$27:$B$36,MATCH(L1972,Settings!$A$27:$A$36,0))&amp;"","UNMAPPED"))</f>
        <v/>
      </c>
      <c r="T1972" s="37" t="str">
        <f aca="false">IF($M1972="","",IF(NOT(ISNUMBER(R1972)),"NO DATE",IF(S1972="Won",IF(R1972&gt;Settings!$B$5,"Backlog","Delivered"),IF(S1972="Open",IF(R1972&gt;Settings!$B$5,"Pipeline","Overdue"),IF(S1972="Lost","Lost","UNMAPPED")))))</f>
        <v/>
      </c>
      <c r="U1972" s="40" t="n">
        <f aca="false">IF(T1972="Backlog",1,IF(OR(T1972="Pipeline",T1972="Overdue"),N(INDEX(Settings!$C$27:$C$36,MATCH(L1972,Settings!$A$27:$A$36,0))),0))</f>
        <v>0</v>
      </c>
      <c r="V1972" s="38" t="n">
        <f aca="false">Q1972*U1972</f>
        <v>0</v>
      </c>
      <c r="W1972" s="41" t="str">
        <f aca="false">IF($M1972="","",IF(T1972="Overdue",IF(Settings!$B$8="Yes",Settings!$B$7,""),IF(ISNUMBER(R1972),DATE(YEAR(R1972),MONTH(R1972),1),"")))</f>
        <v/>
      </c>
      <c r="X1972" s="38" t="n">
        <f aca="false">IF(AND(OR(T1972="Backlog",T1972="Pipeline",T1972="Overdue"),ISNUMBER(W1972)),IF(W1972&lt;=Settings!$B$6,V1972,0),0)</f>
        <v>0</v>
      </c>
      <c r="Y1972" s="38" t="n">
        <f aca="false">IF(AND(OR(T1972="Backlog",T1972="Pipeline",T1972="Overdue"),ISNUMBER(W1972)),IF(W1972&lt;=Settings!$B$6,Q1972,0),0)</f>
        <v>0</v>
      </c>
      <c r="Z1972" s="38" t="n">
        <f aca="false">IF(Y1972=0,0,IF(T1972="Backlog",Q1972,Q1972*Dashboard!$C$10))</f>
        <v>0</v>
      </c>
      <c r="AA1972" s="37" t="n">
        <f aca="false">IF($N1972="",0,IF(COUNTIF(Dashboard!$C$13:$C$22,$N1972)&gt;0,1,0))</f>
        <v>0</v>
      </c>
      <c r="AB1972" s="37" t="str">
        <f aca="false">IF($N1972="","",IF(COUNTIF($N$8:$N1972,$N1972)=1,MAX($AB$7:$AB1971)+1,""))</f>
        <v/>
      </c>
    </row>
    <row r="1973" customFormat="false" ht="15" hidden="false" customHeight="false" outlineLevel="0" collapsed="false">
      <c r="L1973" s="37" t="str">
        <f aca="false">IF(INDEX($A1973:$J1973,$L$6)&lt;&gt;"",TRIM(LEFT(INDEX($A1973:$J1973,$L$6),FIND("(",INDEX($A1973:$J1973,$L$6)&amp;"(")-1)),L1972)</f>
        <v>Building Value Proposition</v>
      </c>
      <c r="M1973" s="37" t="str">
        <f aca="false">IF(INDEX($A1973:$J1973,$M$6)="","",INDEX($A1973:$J1973,$M$6)&amp;"")</f>
        <v/>
      </c>
      <c r="N1973" s="37" t="str">
        <f aca="false">IF($M1973="","",TRIM(INDEX($A1973:$J1973,$N$6)&amp;""))</f>
        <v/>
      </c>
      <c r="O1973" s="37" t="str">
        <f aca="false">IF($M1973="","",TRIM(INDEX($A1973:$J1973,$O$6)&amp;""))</f>
        <v/>
      </c>
      <c r="P1973" s="37" t="str">
        <f aca="false">IF($M1973="","",IFERROR(IF(INDEX(Settings!$B$41:$B$50,MATCH(O1973,Settings!$A$41:$A$50,0))&amp;""="","UNMAPPED",INDEX(Settings!$B$41:$B$50,MATCH(O1973,Settings!$A$41:$A$50,0))&amp;""),"UNMAPPED"))</f>
        <v/>
      </c>
      <c r="Q1973" s="38" t="n">
        <f aca="false">IF($M1973="",0,N(INDEX($A1973:$J1973,$Q$6)))</f>
        <v>0</v>
      </c>
      <c r="R1973" s="39" t="str">
        <f aca="false">IF($M1973="","",INDEX($A1973:$J1973,$R$6))</f>
        <v/>
      </c>
      <c r="S1973" s="37" t="str">
        <f aca="false">IF($M1973="","",IFERROR(INDEX(Settings!$B$27:$B$36,MATCH(L1973,Settings!$A$27:$A$36,0))&amp;"","UNMAPPED"))</f>
        <v/>
      </c>
      <c r="T1973" s="37" t="str">
        <f aca="false">IF($M1973="","",IF(NOT(ISNUMBER(R1973)),"NO DATE",IF(S1973="Won",IF(R1973&gt;Settings!$B$5,"Backlog","Delivered"),IF(S1973="Open",IF(R1973&gt;Settings!$B$5,"Pipeline","Overdue"),IF(S1973="Lost","Lost","UNMAPPED")))))</f>
        <v/>
      </c>
      <c r="U1973" s="40" t="n">
        <f aca="false">IF(T1973="Backlog",1,IF(OR(T1973="Pipeline",T1973="Overdue"),N(INDEX(Settings!$C$27:$C$36,MATCH(L1973,Settings!$A$27:$A$36,0))),0))</f>
        <v>0</v>
      </c>
      <c r="V1973" s="38" t="n">
        <f aca="false">Q1973*U1973</f>
        <v>0</v>
      </c>
      <c r="W1973" s="41" t="str">
        <f aca="false">IF($M1973="","",IF(T1973="Overdue",IF(Settings!$B$8="Yes",Settings!$B$7,""),IF(ISNUMBER(R1973),DATE(YEAR(R1973),MONTH(R1973),1),"")))</f>
        <v/>
      </c>
      <c r="X1973" s="38" t="n">
        <f aca="false">IF(AND(OR(T1973="Backlog",T1973="Pipeline",T1973="Overdue"),ISNUMBER(W1973)),IF(W1973&lt;=Settings!$B$6,V1973,0),0)</f>
        <v>0</v>
      </c>
      <c r="Y1973" s="38" t="n">
        <f aca="false">IF(AND(OR(T1973="Backlog",T1973="Pipeline",T1973="Overdue"),ISNUMBER(W1973)),IF(W1973&lt;=Settings!$B$6,Q1973,0),0)</f>
        <v>0</v>
      </c>
      <c r="Z1973" s="38" t="n">
        <f aca="false">IF(Y1973=0,0,IF(T1973="Backlog",Q1973,Q1973*Dashboard!$C$10))</f>
        <v>0</v>
      </c>
      <c r="AA1973" s="37" t="n">
        <f aca="false">IF($N1973="",0,IF(COUNTIF(Dashboard!$C$13:$C$22,$N1973)&gt;0,1,0))</f>
        <v>0</v>
      </c>
      <c r="AB1973" s="37" t="str">
        <f aca="false">IF($N1973="","",IF(COUNTIF($N$8:$N1973,$N1973)=1,MAX($AB$7:$AB1972)+1,""))</f>
        <v/>
      </c>
    </row>
    <row r="1974" customFormat="false" ht="15" hidden="false" customHeight="false" outlineLevel="0" collapsed="false">
      <c r="L1974" s="37" t="str">
        <f aca="false">IF(INDEX($A1974:$J1974,$L$6)&lt;&gt;"",TRIM(LEFT(INDEX($A1974:$J1974,$L$6),FIND("(",INDEX($A1974:$J1974,$L$6)&amp;"(")-1)),L1973)</f>
        <v>Building Value Proposition</v>
      </c>
      <c r="M1974" s="37" t="str">
        <f aca="false">IF(INDEX($A1974:$J1974,$M$6)="","",INDEX($A1974:$J1974,$M$6)&amp;"")</f>
        <v/>
      </c>
      <c r="N1974" s="37" t="str">
        <f aca="false">IF($M1974="","",TRIM(INDEX($A1974:$J1974,$N$6)&amp;""))</f>
        <v/>
      </c>
      <c r="O1974" s="37" t="str">
        <f aca="false">IF($M1974="","",TRIM(INDEX($A1974:$J1974,$O$6)&amp;""))</f>
        <v/>
      </c>
      <c r="P1974" s="37" t="str">
        <f aca="false">IF($M1974="","",IFERROR(IF(INDEX(Settings!$B$41:$B$50,MATCH(O1974,Settings!$A$41:$A$50,0))&amp;""="","UNMAPPED",INDEX(Settings!$B$41:$B$50,MATCH(O1974,Settings!$A$41:$A$50,0))&amp;""),"UNMAPPED"))</f>
        <v/>
      </c>
      <c r="Q1974" s="38" t="n">
        <f aca="false">IF($M1974="",0,N(INDEX($A1974:$J1974,$Q$6)))</f>
        <v>0</v>
      </c>
      <c r="R1974" s="39" t="str">
        <f aca="false">IF($M1974="","",INDEX($A1974:$J1974,$R$6))</f>
        <v/>
      </c>
      <c r="S1974" s="37" t="str">
        <f aca="false">IF($M1974="","",IFERROR(INDEX(Settings!$B$27:$B$36,MATCH(L1974,Settings!$A$27:$A$36,0))&amp;"","UNMAPPED"))</f>
        <v/>
      </c>
      <c r="T1974" s="37" t="str">
        <f aca="false">IF($M1974="","",IF(NOT(ISNUMBER(R1974)),"NO DATE",IF(S1974="Won",IF(R1974&gt;Settings!$B$5,"Backlog","Delivered"),IF(S1974="Open",IF(R1974&gt;Settings!$B$5,"Pipeline","Overdue"),IF(S1974="Lost","Lost","UNMAPPED")))))</f>
        <v/>
      </c>
      <c r="U1974" s="40" t="n">
        <f aca="false">IF(T1974="Backlog",1,IF(OR(T1974="Pipeline",T1974="Overdue"),N(INDEX(Settings!$C$27:$C$36,MATCH(L1974,Settings!$A$27:$A$36,0))),0))</f>
        <v>0</v>
      </c>
      <c r="V1974" s="38" t="n">
        <f aca="false">Q1974*U1974</f>
        <v>0</v>
      </c>
      <c r="W1974" s="41" t="str">
        <f aca="false">IF($M1974="","",IF(T1974="Overdue",IF(Settings!$B$8="Yes",Settings!$B$7,""),IF(ISNUMBER(R1974),DATE(YEAR(R1974),MONTH(R1974),1),"")))</f>
        <v/>
      </c>
      <c r="X1974" s="38" t="n">
        <f aca="false">IF(AND(OR(T1974="Backlog",T1974="Pipeline",T1974="Overdue"),ISNUMBER(W1974)),IF(W1974&lt;=Settings!$B$6,V1974,0),0)</f>
        <v>0</v>
      </c>
      <c r="Y1974" s="38" t="n">
        <f aca="false">IF(AND(OR(T1974="Backlog",T1974="Pipeline",T1974="Overdue"),ISNUMBER(W1974)),IF(W1974&lt;=Settings!$B$6,Q1974,0),0)</f>
        <v>0</v>
      </c>
      <c r="Z1974" s="38" t="n">
        <f aca="false">IF(Y1974=0,0,IF(T1974="Backlog",Q1974,Q1974*Dashboard!$C$10))</f>
        <v>0</v>
      </c>
      <c r="AA1974" s="37" t="n">
        <f aca="false">IF($N1974="",0,IF(COUNTIF(Dashboard!$C$13:$C$22,$N1974)&gt;0,1,0))</f>
        <v>0</v>
      </c>
      <c r="AB1974" s="37" t="str">
        <f aca="false">IF($N1974="","",IF(COUNTIF($N$8:$N1974,$N1974)=1,MAX($AB$7:$AB1973)+1,""))</f>
        <v/>
      </c>
    </row>
    <row r="1975" customFormat="false" ht="15" hidden="false" customHeight="false" outlineLevel="0" collapsed="false">
      <c r="L1975" s="37" t="str">
        <f aca="false">IF(INDEX($A1975:$J1975,$L$6)&lt;&gt;"",TRIM(LEFT(INDEX($A1975:$J1975,$L$6),FIND("(",INDEX($A1975:$J1975,$L$6)&amp;"(")-1)),L1974)</f>
        <v>Building Value Proposition</v>
      </c>
      <c r="M1975" s="37" t="str">
        <f aca="false">IF(INDEX($A1975:$J1975,$M$6)="","",INDEX($A1975:$J1975,$M$6)&amp;"")</f>
        <v/>
      </c>
      <c r="N1975" s="37" t="str">
        <f aca="false">IF($M1975="","",TRIM(INDEX($A1975:$J1975,$N$6)&amp;""))</f>
        <v/>
      </c>
      <c r="O1975" s="37" t="str">
        <f aca="false">IF($M1975="","",TRIM(INDEX($A1975:$J1975,$O$6)&amp;""))</f>
        <v/>
      </c>
      <c r="P1975" s="37" t="str">
        <f aca="false">IF($M1975="","",IFERROR(IF(INDEX(Settings!$B$41:$B$50,MATCH(O1975,Settings!$A$41:$A$50,0))&amp;""="","UNMAPPED",INDEX(Settings!$B$41:$B$50,MATCH(O1975,Settings!$A$41:$A$50,0))&amp;""),"UNMAPPED"))</f>
        <v/>
      </c>
      <c r="Q1975" s="38" t="n">
        <f aca="false">IF($M1975="",0,N(INDEX($A1975:$J1975,$Q$6)))</f>
        <v>0</v>
      </c>
      <c r="R1975" s="39" t="str">
        <f aca="false">IF($M1975="","",INDEX($A1975:$J1975,$R$6))</f>
        <v/>
      </c>
      <c r="S1975" s="37" t="str">
        <f aca="false">IF($M1975="","",IFERROR(INDEX(Settings!$B$27:$B$36,MATCH(L1975,Settings!$A$27:$A$36,0))&amp;"","UNMAPPED"))</f>
        <v/>
      </c>
      <c r="T1975" s="37" t="str">
        <f aca="false">IF($M1975="","",IF(NOT(ISNUMBER(R1975)),"NO DATE",IF(S1975="Won",IF(R1975&gt;Settings!$B$5,"Backlog","Delivered"),IF(S1975="Open",IF(R1975&gt;Settings!$B$5,"Pipeline","Overdue"),IF(S1975="Lost","Lost","UNMAPPED")))))</f>
        <v/>
      </c>
      <c r="U1975" s="40" t="n">
        <f aca="false">IF(T1975="Backlog",1,IF(OR(T1975="Pipeline",T1975="Overdue"),N(INDEX(Settings!$C$27:$C$36,MATCH(L1975,Settings!$A$27:$A$36,0))),0))</f>
        <v>0</v>
      </c>
      <c r="V1975" s="38" t="n">
        <f aca="false">Q1975*U1975</f>
        <v>0</v>
      </c>
      <c r="W1975" s="41" t="str">
        <f aca="false">IF($M1975="","",IF(T1975="Overdue",IF(Settings!$B$8="Yes",Settings!$B$7,""),IF(ISNUMBER(R1975),DATE(YEAR(R1975),MONTH(R1975),1),"")))</f>
        <v/>
      </c>
      <c r="X1975" s="38" t="n">
        <f aca="false">IF(AND(OR(T1975="Backlog",T1975="Pipeline",T1975="Overdue"),ISNUMBER(W1975)),IF(W1975&lt;=Settings!$B$6,V1975,0),0)</f>
        <v>0</v>
      </c>
      <c r="Y1975" s="38" t="n">
        <f aca="false">IF(AND(OR(T1975="Backlog",T1975="Pipeline",T1975="Overdue"),ISNUMBER(W1975)),IF(W1975&lt;=Settings!$B$6,Q1975,0),0)</f>
        <v>0</v>
      </c>
      <c r="Z1975" s="38" t="n">
        <f aca="false">IF(Y1975=0,0,IF(T1975="Backlog",Q1975,Q1975*Dashboard!$C$10))</f>
        <v>0</v>
      </c>
      <c r="AA1975" s="37" t="n">
        <f aca="false">IF($N1975="",0,IF(COUNTIF(Dashboard!$C$13:$C$22,$N1975)&gt;0,1,0))</f>
        <v>0</v>
      </c>
      <c r="AB1975" s="37" t="str">
        <f aca="false">IF($N1975="","",IF(COUNTIF($N$8:$N1975,$N1975)=1,MAX($AB$7:$AB1974)+1,""))</f>
        <v/>
      </c>
    </row>
    <row r="1976" customFormat="false" ht="15" hidden="false" customHeight="false" outlineLevel="0" collapsed="false">
      <c r="L1976" s="37" t="str">
        <f aca="false">IF(INDEX($A1976:$J1976,$L$6)&lt;&gt;"",TRIM(LEFT(INDEX($A1976:$J1976,$L$6),FIND("(",INDEX($A1976:$J1976,$L$6)&amp;"(")-1)),L1975)</f>
        <v>Building Value Proposition</v>
      </c>
      <c r="M1976" s="37" t="str">
        <f aca="false">IF(INDEX($A1976:$J1976,$M$6)="","",INDEX($A1976:$J1976,$M$6)&amp;"")</f>
        <v/>
      </c>
      <c r="N1976" s="37" t="str">
        <f aca="false">IF($M1976="","",TRIM(INDEX($A1976:$J1976,$N$6)&amp;""))</f>
        <v/>
      </c>
      <c r="O1976" s="37" t="str">
        <f aca="false">IF($M1976="","",TRIM(INDEX($A1976:$J1976,$O$6)&amp;""))</f>
        <v/>
      </c>
      <c r="P1976" s="37" t="str">
        <f aca="false">IF($M1976="","",IFERROR(IF(INDEX(Settings!$B$41:$B$50,MATCH(O1976,Settings!$A$41:$A$50,0))&amp;""="","UNMAPPED",INDEX(Settings!$B$41:$B$50,MATCH(O1976,Settings!$A$41:$A$50,0))&amp;""),"UNMAPPED"))</f>
        <v/>
      </c>
      <c r="Q1976" s="38" t="n">
        <f aca="false">IF($M1976="",0,N(INDEX($A1976:$J1976,$Q$6)))</f>
        <v>0</v>
      </c>
      <c r="R1976" s="39" t="str">
        <f aca="false">IF($M1976="","",INDEX($A1976:$J1976,$R$6))</f>
        <v/>
      </c>
      <c r="S1976" s="37" t="str">
        <f aca="false">IF($M1976="","",IFERROR(INDEX(Settings!$B$27:$B$36,MATCH(L1976,Settings!$A$27:$A$36,0))&amp;"","UNMAPPED"))</f>
        <v/>
      </c>
      <c r="T1976" s="37" t="str">
        <f aca="false">IF($M1976="","",IF(NOT(ISNUMBER(R1976)),"NO DATE",IF(S1976="Won",IF(R1976&gt;Settings!$B$5,"Backlog","Delivered"),IF(S1976="Open",IF(R1976&gt;Settings!$B$5,"Pipeline","Overdue"),IF(S1976="Lost","Lost","UNMAPPED")))))</f>
        <v/>
      </c>
      <c r="U1976" s="40" t="n">
        <f aca="false">IF(T1976="Backlog",1,IF(OR(T1976="Pipeline",T1976="Overdue"),N(INDEX(Settings!$C$27:$C$36,MATCH(L1976,Settings!$A$27:$A$36,0))),0))</f>
        <v>0</v>
      </c>
      <c r="V1976" s="38" t="n">
        <f aca="false">Q1976*U1976</f>
        <v>0</v>
      </c>
      <c r="W1976" s="41" t="str">
        <f aca="false">IF($M1976="","",IF(T1976="Overdue",IF(Settings!$B$8="Yes",Settings!$B$7,""),IF(ISNUMBER(R1976),DATE(YEAR(R1976),MONTH(R1976),1),"")))</f>
        <v/>
      </c>
      <c r="X1976" s="38" t="n">
        <f aca="false">IF(AND(OR(T1976="Backlog",T1976="Pipeline",T1976="Overdue"),ISNUMBER(W1976)),IF(W1976&lt;=Settings!$B$6,V1976,0),0)</f>
        <v>0</v>
      </c>
      <c r="Y1976" s="38" t="n">
        <f aca="false">IF(AND(OR(T1976="Backlog",T1976="Pipeline",T1976="Overdue"),ISNUMBER(W1976)),IF(W1976&lt;=Settings!$B$6,Q1976,0),0)</f>
        <v>0</v>
      </c>
      <c r="Z1976" s="38" t="n">
        <f aca="false">IF(Y1976=0,0,IF(T1976="Backlog",Q1976,Q1976*Dashboard!$C$10))</f>
        <v>0</v>
      </c>
      <c r="AA1976" s="37" t="n">
        <f aca="false">IF($N1976="",0,IF(COUNTIF(Dashboard!$C$13:$C$22,$N1976)&gt;0,1,0))</f>
        <v>0</v>
      </c>
      <c r="AB1976" s="37" t="str">
        <f aca="false">IF($N1976="","",IF(COUNTIF($N$8:$N1976,$N1976)=1,MAX($AB$7:$AB1975)+1,""))</f>
        <v/>
      </c>
    </row>
    <row r="1977" customFormat="false" ht="15" hidden="false" customHeight="false" outlineLevel="0" collapsed="false">
      <c r="L1977" s="37" t="str">
        <f aca="false">IF(INDEX($A1977:$J1977,$L$6)&lt;&gt;"",TRIM(LEFT(INDEX($A1977:$J1977,$L$6),FIND("(",INDEX($A1977:$J1977,$L$6)&amp;"(")-1)),L1976)</f>
        <v>Building Value Proposition</v>
      </c>
      <c r="M1977" s="37" t="str">
        <f aca="false">IF(INDEX($A1977:$J1977,$M$6)="","",INDEX($A1977:$J1977,$M$6)&amp;"")</f>
        <v/>
      </c>
      <c r="N1977" s="37" t="str">
        <f aca="false">IF($M1977="","",TRIM(INDEX($A1977:$J1977,$N$6)&amp;""))</f>
        <v/>
      </c>
      <c r="O1977" s="37" t="str">
        <f aca="false">IF($M1977="","",TRIM(INDEX($A1977:$J1977,$O$6)&amp;""))</f>
        <v/>
      </c>
      <c r="P1977" s="37" t="str">
        <f aca="false">IF($M1977="","",IFERROR(IF(INDEX(Settings!$B$41:$B$50,MATCH(O1977,Settings!$A$41:$A$50,0))&amp;""="","UNMAPPED",INDEX(Settings!$B$41:$B$50,MATCH(O1977,Settings!$A$41:$A$50,0))&amp;""),"UNMAPPED"))</f>
        <v/>
      </c>
      <c r="Q1977" s="38" t="n">
        <f aca="false">IF($M1977="",0,N(INDEX($A1977:$J1977,$Q$6)))</f>
        <v>0</v>
      </c>
      <c r="R1977" s="39" t="str">
        <f aca="false">IF($M1977="","",INDEX($A1977:$J1977,$R$6))</f>
        <v/>
      </c>
      <c r="S1977" s="37" t="str">
        <f aca="false">IF($M1977="","",IFERROR(INDEX(Settings!$B$27:$B$36,MATCH(L1977,Settings!$A$27:$A$36,0))&amp;"","UNMAPPED"))</f>
        <v/>
      </c>
      <c r="T1977" s="37" t="str">
        <f aca="false">IF($M1977="","",IF(NOT(ISNUMBER(R1977)),"NO DATE",IF(S1977="Won",IF(R1977&gt;Settings!$B$5,"Backlog","Delivered"),IF(S1977="Open",IF(R1977&gt;Settings!$B$5,"Pipeline","Overdue"),IF(S1977="Lost","Lost","UNMAPPED")))))</f>
        <v/>
      </c>
      <c r="U1977" s="40" t="n">
        <f aca="false">IF(T1977="Backlog",1,IF(OR(T1977="Pipeline",T1977="Overdue"),N(INDEX(Settings!$C$27:$C$36,MATCH(L1977,Settings!$A$27:$A$36,0))),0))</f>
        <v>0</v>
      </c>
      <c r="V1977" s="38" t="n">
        <f aca="false">Q1977*U1977</f>
        <v>0</v>
      </c>
      <c r="W1977" s="41" t="str">
        <f aca="false">IF($M1977="","",IF(T1977="Overdue",IF(Settings!$B$8="Yes",Settings!$B$7,""),IF(ISNUMBER(R1977),DATE(YEAR(R1977),MONTH(R1977),1),"")))</f>
        <v/>
      </c>
      <c r="X1977" s="38" t="n">
        <f aca="false">IF(AND(OR(T1977="Backlog",T1977="Pipeline",T1977="Overdue"),ISNUMBER(W1977)),IF(W1977&lt;=Settings!$B$6,V1977,0),0)</f>
        <v>0</v>
      </c>
      <c r="Y1977" s="38" t="n">
        <f aca="false">IF(AND(OR(T1977="Backlog",T1977="Pipeline",T1977="Overdue"),ISNUMBER(W1977)),IF(W1977&lt;=Settings!$B$6,Q1977,0),0)</f>
        <v>0</v>
      </c>
      <c r="Z1977" s="38" t="n">
        <f aca="false">IF(Y1977=0,0,IF(T1977="Backlog",Q1977,Q1977*Dashboard!$C$10))</f>
        <v>0</v>
      </c>
      <c r="AA1977" s="37" t="n">
        <f aca="false">IF($N1977="",0,IF(COUNTIF(Dashboard!$C$13:$C$22,$N1977)&gt;0,1,0))</f>
        <v>0</v>
      </c>
      <c r="AB1977" s="37" t="str">
        <f aca="false">IF($N1977="","",IF(COUNTIF($N$8:$N1977,$N1977)=1,MAX($AB$7:$AB1976)+1,""))</f>
        <v/>
      </c>
    </row>
    <row r="1978" customFormat="false" ht="15" hidden="false" customHeight="false" outlineLevel="0" collapsed="false">
      <c r="L1978" s="37" t="str">
        <f aca="false">IF(INDEX($A1978:$J1978,$L$6)&lt;&gt;"",TRIM(LEFT(INDEX($A1978:$J1978,$L$6),FIND("(",INDEX($A1978:$J1978,$L$6)&amp;"(")-1)),L1977)</f>
        <v>Building Value Proposition</v>
      </c>
      <c r="M1978" s="37" t="str">
        <f aca="false">IF(INDEX($A1978:$J1978,$M$6)="","",INDEX($A1978:$J1978,$M$6)&amp;"")</f>
        <v/>
      </c>
      <c r="N1978" s="37" t="str">
        <f aca="false">IF($M1978="","",TRIM(INDEX($A1978:$J1978,$N$6)&amp;""))</f>
        <v/>
      </c>
      <c r="O1978" s="37" t="str">
        <f aca="false">IF($M1978="","",TRIM(INDEX($A1978:$J1978,$O$6)&amp;""))</f>
        <v/>
      </c>
      <c r="P1978" s="37" t="str">
        <f aca="false">IF($M1978="","",IFERROR(IF(INDEX(Settings!$B$41:$B$50,MATCH(O1978,Settings!$A$41:$A$50,0))&amp;""="","UNMAPPED",INDEX(Settings!$B$41:$B$50,MATCH(O1978,Settings!$A$41:$A$50,0))&amp;""),"UNMAPPED"))</f>
        <v/>
      </c>
      <c r="Q1978" s="38" t="n">
        <f aca="false">IF($M1978="",0,N(INDEX($A1978:$J1978,$Q$6)))</f>
        <v>0</v>
      </c>
      <c r="R1978" s="39" t="str">
        <f aca="false">IF($M1978="","",INDEX($A1978:$J1978,$R$6))</f>
        <v/>
      </c>
      <c r="S1978" s="37" t="str">
        <f aca="false">IF($M1978="","",IFERROR(INDEX(Settings!$B$27:$B$36,MATCH(L1978,Settings!$A$27:$A$36,0))&amp;"","UNMAPPED"))</f>
        <v/>
      </c>
      <c r="T1978" s="37" t="str">
        <f aca="false">IF($M1978="","",IF(NOT(ISNUMBER(R1978)),"NO DATE",IF(S1978="Won",IF(R1978&gt;Settings!$B$5,"Backlog","Delivered"),IF(S1978="Open",IF(R1978&gt;Settings!$B$5,"Pipeline","Overdue"),IF(S1978="Lost","Lost","UNMAPPED")))))</f>
        <v/>
      </c>
      <c r="U1978" s="40" t="n">
        <f aca="false">IF(T1978="Backlog",1,IF(OR(T1978="Pipeline",T1978="Overdue"),N(INDEX(Settings!$C$27:$C$36,MATCH(L1978,Settings!$A$27:$A$36,0))),0))</f>
        <v>0</v>
      </c>
      <c r="V1978" s="38" t="n">
        <f aca="false">Q1978*U1978</f>
        <v>0</v>
      </c>
      <c r="W1978" s="41" t="str">
        <f aca="false">IF($M1978="","",IF(T1978="Overdue",IF(Settings!$B$8="Yes",Settings!$B$7,""),IF(ISNUMBER(R1978),DATE(YEAR(R1978),MONTH(R1978),1),"")))</f>
        <v/>
      </c>
      <c r="X1978" s="38" t="n">
        <f aca="false">IF(AND(OR(T1978="Backlog",T1978="Pipeline",T1978="Overdue"),ISNUMBER(W1978)),IF(W1978&lt;=Settings!$B$6,V1978,0),0)</f>
        <v>0</v>
      </c>
      <c r="Y1978" s="38" t="n">
        <f aca="false">IF(AND(OR(T1978="Backlog",T1978="Pipeline",T1978="Overdue"),ISNUMBER(W1978)),IF(W1978&lt;=Settings!$B$6,Q1978,0),0)</f>
        <v>0</v>
      </c>
      <c r="Z1978" s="38" t="n">
        <f aca="false">IF(Y1978=0,0,IF(T1978="Backlog",Q1978,Q1978*Dashboard!$C$10))</f>
        <v>0</v>
      </c>
      <c r="AA1978" s="37" t="n">
        <f aca="false">IF($N1978="",0,IF(COUNTIF(Dashboard!$C$13:$C$22,$N1978)&gt;0,1,0))</f>
        <v>0</v>
      </c>
      <c r="AB1978" s="37" t="str">
        <f aca="false">IF($N1978="","",IF(COUNTIF($N$8:$N1978,$N1978)=1,MAX($AB$7:$AB1977)+1,""))</f>
        <v/>
      </c>
    </row>
    <row r="1979" customFormat="false" ht="15" hidden="false" customHeight="false" outlineLevel="0" collapsed="false">
      <c r="L1979" s="37" t="str">
        <f aca="false">IF(INDEX($A1979:$J1979,$L$6)&lt;&gt;"",TRIM(LEFT(INDEX($A1979:$J1979,$L$6),FIND("(",INDEX($A1979:$J1979,$L$6)&amp;"(")-1)),L1978)</f>
        <v>Building Value Proposition</v>
      </c>
      <c r="M1979" s="37" t="str">
        <f aca="false">IF(INDEX($A1979:$J1979,$M$6)="","",INDEX($A1979:$J1979,$M$6)&amp;"")</f>
        <v/>
      </c>
      <c r="N1979" s="37" t="str">
        <f aca="false">IF($M1979="","",TRIM(INDEX($A1979:$J1979,$N$6)&amp;""))</f>
        <v/>
      </c>
      <c r="O1979" s="37" t="str">
        <f aca="false">IF($M1979="","",TRIM(INDEX($A1979:$J1979,$O$6)&amp;""))</f>
        <v/>
      </c>
      <c r="P1979" s="37" t="str">
        <f aca="false">IF($M1979="","",IFERROR(IF(INDEX(Settings!$B$41:$B$50,MATCH(O1979,Settings!$A$41:$A$50,0))&amp;""="","UNMAPPED",INDEX(Settings!$B$41:$B$50,MATCH(O1979,Settings!$A$41:$A$50,0))&amp;""),"UNMAPPED"))</f>
        <v/>
      </c>
      <c r="Q1979" s="38" t="n">
        <f aca="false">IF($M1979="",0,N(INDEX($A1979:$J1979,$Q$6)))</f>
        <v>0</v>
      </c>
      <c r="R1979" s="39" t="str">
        <f aca="false">IF($M1979="","",INDEX($A1979:$J1979,$R$6))</f>
        <v/>
      </c>
      <c r="S1979" s="37" t="str">
        <f aca="false">IF($M1979="","",IFERROR(INDEX(Settings!$B$27:$B$36,MATCH(L1979,Settings!$A$27:$A$36,0))&amp;"","UNMAPPED"))</f>
        <v/>
      </c>
      <c r="T1979" s="37" t="str">
        <f aca="false">IF($M1979="","",IF(NOT(ISNUMBER(R1979)),"NO DATE",IF(S1979="Won",IF(R1979&gt;Settings!$B$5,"Backlog","Delivered"),IF(S1979="Open",IF(R1979&gt;Settings!$B$5,"Pipeline","Overdue"),IF(S1979="Lost","Lost","UNMAPPED")))))</f>
        <v/>
      </c>
      <c r="U1979" s="40" t="n">
        <f aca="false">IF(T1979="Backlog",1,IF(OR(T1979="Pipeline",T1979="Overdue"),N(INDEX(Settings!$C$27:$C$36,MATCH(L1979,Settings!$A$27:$A$36,0))),0))</f>
        <v>0</v>
      </c>
      <c r="V1979" s="38" t="n">
        <f aca="false">Q1979*U1979</f>
        <v>0</v>
      </c>
      <c r="W1979" s="41" t="str">
        <f aca="false">IF($M1979="","",IF(T1979="Overdue",IF(Settings!$B$8="Yes",Settings!$B$7,""),IF(ISNUMBER(R1979),DATE(YEAR(R1979),MONTH(R1979),1),"")))</f>
        <v/>
      </c>
      <c r="X1979" s="38" t="n">
        <f aca="false">IF(AND(OR(T1979="Backlog",T1979="Pipeline",T1979="Overdue"),ISNUMBER(W1979)),IF(W1979&lt;=Settings!$B$6,V1979,0),0)</f>
        <v>0</v>
      </c>
      <c r="Y1979" s="38" t="n">
        <f aca="false">IF(AND(OR(T1979="Backlog",T1979="Pipeline",T1979="Overdue"),ISNUMBER(W1979)),IF(W1979&lt;=Settings!$B$6,Q1979,0),0)</f>
        <v>0</v>
      </c>
      <c r="Z1979" s="38" t="n">
        <f aca="false">IF(Y1979=0,0,IF(T1979="Backlog",Q1979,Q1979*Dashboard!$C$10))</f>
        <v>0</v>
      </c>
      <c r="AA1979" s="37" t="n">
        <f aca="false">IF($N1979="",0,IF(COUNTIF(Dashboard!$C$13:$C$22,$N1979)&gt;0,1,0))</f>
        <v>0</v>
      </c>
      <c r="AB1979" s="37" t="str">
        <f aca="false">IF($N1979="","",IF(COUNTIF($N$8:$N1979,$N1979)=1,MAX($AB$7:$AB1978)+1,""))</f>
        <v/>
      </c>
    </row>
    <row r="1980" customFormat="false" ht="15" hidden="false" customHeight="false" outlineLevel="0" collapsed="false">
      <c r="L1980" s="37" t="str">
        <f aca="false">IF(INDEX($A1980:$J1980,$L$6)&lt;&gt;"",TRIM(LEFT(INDEX($A1980:$J1980,$L$6),FIND("(",INDEX($A1980:$J1980,$L$6)&amp;"(")-1)),L1979)</f>
        <v>Building Value Proposition</v>
      </c>
      <c r="M1980" s="37" t="str">
        <f aca="false">IF(INDEX($A1980:$J1980,$M$6)="","",INDEX($A1980:$J1980,$M$6)&amp;"")</f>
        <v/>
      </c>
      <c r="N1980" s="37" t="str">
        <f aca="false">IF($M1980="","",TRIM(INDEX($A1980:$J1980,$N$6)&amp;""))</f>
        <v/>
      </c>
      <c r="O1980" s="37" t="str">
        <f aca="false">IF($M1980="","",TRIM(INDEX($A1980:$J1980,$O$6)&amp;""))</f>
        <v/>
      </c>
      <c r="P1980" s="37" t="str">
        <f aca="false">IF($M1980="","",IFERROR(IF(INDEX(Settings!$B$41:$B$50,MATCH(O1980,Settings!$A$41:$A$50,0))&amp;""="","UNMAPPED",INDEX(Settings!$B$41:$B$50,MATCH(O1980,Settings!$A$41:$A$50,0))&amp;""),"UNMAPPED"))</f>
        <v/>
      </c>
      <c r="Q1980" s="38" t="n">
        <f aca="false">IF($M1980="",0,N(INDEX($A1980:$J1980,$Q$6)))</f>
        <v>0</v>
      </c>
      <c r="R1980" s="39" t="str">
        <f aca="false">IF($M1980="","",INDEX($A1980:$J1980,$R$6))</f>
        <v/>
      </c>
      <c r="S1980" s="37" t="str">
        <f aca="false">IF($M1980="","",IFERROR(INDEX(Settings!$B$27:$B$36,MATCH(L1980,Settings!$A$27:$A$36,0))&amp;"","UNMAPPED"))</f>
        <v/>
      </c>
      <c r="T1980" s="37" t="str">
        <f aca="false">IF($M1980="","",IF(NOT(ISNUMBER(R1980)),"NO DATE",IF(S1980="Won",IF(R1980&gt;Settings!$B$5,"Backlog","Delivered"),IF(S1980="Open",IF(R1980&gt;Settings!$B$5,"Pipeline","Overdue"),IF(S1980="Lost","Lost","UNMAPPED")))))</f>
        <v/>
      </c>
      <c r="U1980" s="40" t="n">
        <f aca="false">IF(T1980="Backlog",1,IF(OR(T1980="Pipeline",T1980="Overdue"),N(INDEX(Settings!$C$27:$C$36,MATCH(L1980,Settings!$A$27:$A$36,0))),0))</f>
        <v>0</v>
      </c>
      <c r="V1980" s="38" t="n">
        <f aca="false">Q1980*U1980</f>
        <v>0</v>
      </c>
      <c r="W1980" s="41" t="str">
        <f aca="false">IF($M1980="","",IF(T1980="Overdue",IF(Settings!$B$8="Yes",Settings!$B$7,""),IF(ISNUMBER(R1980),DATE(YEAR(R1980),MONTH(R1980),1),"")))</f>
        <v/>
      </c>
      <c r="X1980" s="38" t="n">
        <f aca="false">IF(AND(OR(T1980="Backlog",T1980="Pipeline",T1980="Overdue"),ISNUMBER(W1980)),IF(W1980&lt;=Settings!$B$6,V1980,0),0)</f>
        <v>0</v>
      </c>
      <c r="Y1980" s="38" t="n">
        <f aca="false">IF(AND(OR(T1980="Backlog",T1980="Pipeline",T1980="Overdue"),ISNUMBER(W1980)),IF(W1980&lt;=Settings!$B$6,Q1980,0),0)</f>
        <v>0</v>
      </c>
      <c r="Z1980" s="38" t="n">
        <f aca="false">IF(Y1980=0,0,IF(T1980="Backlog",Q1980,Q1980*Dashboard!$C$10))</f>
        <v>0</v>
      </c>
      <c r="AA1980" s="37" t="n">
        <f aca="false">IF($N1980="",0,IF(COUNTIF(Dashboard!$C$13:$C$22,$N1980)&gt;0,1,0))</f>
        <v>0</v>
      </c>
      <c r="AB1980" s="37" t="str">
        <f aca="false">IF($N1980="","",IF(COUNTIF($N$8:$N1980,$N1980)=1,MAX($AB$7:$AB1979)+1,""))</f>
        <v/>
      </c>
    </row>
    <row r="1981" customFormat="false" ht="15" hidden="false" customHeight="false" outlineLevel="0" collapsed="false">
      <c r="L1981" s="37" t="str">
        <f aca="false">IF(INDEX($A1981:$J1981,$L$6)&lt;&gt;"",TRIM(LEFT(INDEX($A1981:$J1981,$L$6),FIND("(",INDEX($A1981:$J1981,$L$6)&amp;"(")-1)),L1980)</f>
        <v>Building Value Proposition</v>
      </c>
      <c r="M1981" s="37" t="str">
        <f aca="false">IF(INDEX($A1981:$J1981,$M$6)="","",INDEX($A1981:$J1981,$M$6)&amp;"")</f>
        <v/>
      </c>
      <c r="N1981" s="37" t="str">
        <f aca="false">IF($M1981="","",TRIM(INDEX($A1981:$J1981,$N$6)&amp;""))</f>
        <v/>
      </c>
      <c r="O1981" s="37" t="str">
        <f aca="false">IF($M1981="","",TRIM(INDEX($A1981:$J1981,$O$6)&amp;""))</f>
        <v/>
      </c>
      <c r="P1981" s="37" t="str">
        <f aca="false">IF($M1981="","",IFERROR(IF(INDEX(Settings!$B$41:$B$50,MATCH(O1981,Settings!$A$41:$A$50,0))&amp;""="","UNMAPPED",INDEX(Settings!$B$41:$B$50,MATCH(O1981,Settings!$A$41:$A$50,0))&amp;""),"UNMAPPED"))</f>
        <v/>
      </c>
      <c r="Q1981" s="38" t="n">
        <f aca="false">IF($M1981="",0,N(INDEX($A1981:$J1981,$Q$6)))</f>
        <v>0</v>
      </c>
      <c r="R1981" s="39" t="str">
        <f aca="false">IF($M1981="","",INDEX($A1981:$J1981,$R$6))</f>
        <v/>
      </c>
      <c r="S1981" s="37" t="str">
        <f aca="false">IF($M1981="","",IFERROR(INDEX(Settings!$B$27:$B$36,MATCH(L1981,Settings!$A$27:$A$36,0))&amp;"","UNMAPPED"))</f>
        <v/>
      </c>
      <c r="T1981" s="37" t="str">
        <f aca="false">IF($M1981="","",IF(NOT(ISNUMBER(R1981)),"NO DATE",IF(S1981="Won",IF(R1981&gt;Settings!$B$5,"Backlog","Delivered"),IF(S1981="Open",IF(R1981&gt;Settings!$B$5,"Pipeline","Overdue"),IF(S1981="Lost","Lost","UNMAPPED")))))</f>
        <v/>
      </c>
      <c r="U1981" s="40" t="n">
        <f aca="false">IF(T1981="Backlog",1,IF(OR(T1981="Pipeline",T1981="Overdue"),N(INDEX(Settings!$C$27:$C$36,MATCH(L1981,Settings!$A$27:$A$36,0))),0))</f>
        <v>0</v>
      </c>
      <c r="V1981" s="38" t="n">
        <f aca="false">Q1981*U1981</f>
        <v>0</v>
      </c>
      <c r="W1981" s="41" t="str">
        <f aca="false">IF($M1981="","",IF(T1981="Overdue",IF(Settings!$B$8="Yes",Settings!$B$7,""),IF(ISNUMBER(R1981),DATE(YEAR(R1981),MONTH(R1981),1),"")))</f>
        <v/>
      </c>
      <c r="X1981" s="38" t="n">
        <f aca="false">IF(AND(OR(T1981="Backlog",T1981="Pipeline",T1981="Overdue"),ISNUMBER(W1981)),IF(W1981&lt;=Settings!$B$6,V1981,0),0)</f>
        <v>0</v>
      </c>
      <c r="Y1981" s="38" t="n">
        <f aca="false">IF(AND(OR(T1981="Backlog",T1981="Pipeline",T1981="Overdue"),ISNUMBER(W1981)),IF(W1981&lt;=Settings!$B$6,Q1981,0),0)</f>
        <v>0</v>
      </c>
      <c r="Z1981" s="38" t="n">
        <f aca="false">IF(Y1981=0,0,IF(T1981="Backlog",Q1981,Q1981*Dashboard!$C$10))</f>
        <v>0</v>
      </c>
      <c r="AA1981" s="37" t="n">
        <f aca="false">IF($N1981="",0,IF(COUNTIF(Dashboard!$C$13:$C$22,$N1981)&gt;0,1,0))</f>
        <v>0</v>
      </c>
      <c r="AB1981" s="37" t="str">
        <f aca="false">IF($N1981="","",IF(COUNTIF($N$8:$N1981,$N1981)=1,MAX($AB$7:$AB1980)+1,""))</f>
        <v/>
      </c>
    </row>
    <row r="1982" customFormat="false" ht="15" hidden="false" customHeight="false" outlineLevel="0" collapsed="false">
      <c r="L1982" s="37" t="str">
        <f aca="false">IF(INDEX($A1982:$J1982,$L$6)&lt;&gt;"",TRIM(LEFT(INDEX($A1982:$J1982,$L$6),FIND("(",INDEX($A1982:$J1982,$L$6)&amp;"(")-1)),L1981)</f>
        <v>Building Value Proposition</v>
      </c>
      <c r="M1982" s="37" t="str">
        <f aca="false">IF(INDEX($A1982:$J1982,$M$6)="","",INDEX($A1982:$J1982,$M$6)&amp;"")</f>
        <v/>
      </c>
      <c r="N1982" s="37" t="str">
        <f aca="false">IF($M1982="","",TRIM(INDEX($A1982:$J1982,$N$6)&amp;""))</f>
        <v/>
      </c>
      <c r="O1982" s="37" t="str">
        <f aca="false">IF($M1982="","",TRIM(INDEX($A1982:$J1982,$O$6)&amp;""))</f>
        <v/>
      </c>
      <c r="P1982" s="37" t="str">
        <f aca="false">IF($M1982="","",IFERROR(IF(INDEX(Settings!$B$41:$B$50,MATCH(O1982,Settings!$A$41:$A$50,0))&amp;""="","UNMAPPED",INDEX(Settings!$B$41:$B$50,MATCH(O1982,Settings!$A$41:$A$50,0))&amp;""),"UNMAPPED"))</f>
        <v/>
      </c>
      <c r="Q1982" s="38" t="n">
        <f aca="false">IF($M1982="",0,N(INDEX($A1982:$J1982,$Q$6)))</f>
        <v>0</v>
      </c>
      <c r="R1982" s="39" t="str">
        <f aca="false">IF($M1982="","",INDEX($A1982:$J1982,$R$6))</f>
        <v/>
      </c>
      <c r="S1982" s="37" t="str">
        <f aca="false">IF($M1982="","",IFERROR(INDEX(Settings!$B$27:$B$36,MATCH(L1982,Settings!$A$27:$A$36,0))&amp;"","UNMAPPED"))</f>
        <v/>
      </c>
      <c r="T1982" s="37" t="str">
        <f aca="false">IF($M1982="","",IF(NOT(ISNUMBER(R1982)),"NO DATE",IF(S1982="Won",IF(R1982&gt;Settings!$B$5,"Backlog","Delivered"),IF(S1982="Open",IF(R1982&gt;Settings!$B$5,"Pipeline","Overdue"),IF(S1982="Lost","Lost","UNMAPPED")))))</f>
        <v/>
      </c>
      <c r="U1982" s="40" t="n">
        <f aca="false">IF(T1982="Backlog",1,IF(OR(T1982="Pipeline",T1982="Overdue"),N(INDEX(Settings!$C$27:$C$36,MATCH(L1982,Settings!$A$27:$A$36,0))),0))</f>
        <v>0</v>
      </c>
      <c r="V1982" s="38" t="n">
        <f aca="false">Q1982*U1982</f>
        <v>0</v>
      </c>
      <c r="W1982" s="41" t="str">
        <f aca="false">IF($M1982="","",IF(T1982="Overdue",IF(Settings!$B$8="Yes",Settings!$B$7,""),IF(ISNUMBER(R1982),DATE(YEAR(R1982),MONTH(R1982),1),"")))</f>
        <v/>
      </c>
      <c r="X1982" s="38" t="n">
        <f aca="false">IF(AND(OR(T1982="Backlog",T1982="Pipeline",T1982="Overdue"),ISNUMBER(W1982)),IF(W1982&lt;=Settings!$B$6,V1982,0),0)</f>
        <v>0</v>
      </c>
      <c r="Y1982" s="38" t="n">
        <f aca="false">IF(AND(OR(T1982="Backlog",T1982="Pipeline",T1982="Overdue"),ISNUMBER(W1982)),IF(W1982&lt;=Settings!$B$6,Q1982,0),0)</f>
        <v>0</v>
      </c>
      <c r="Z1982" s="38" t="n">
        <f aca="false">IF(Y1982=0,0,IF(T1982="Backlog",Q1982,Q1982*Dashboard!$C$10))</f>
        <v>0</v>
      </c>
      <c r="AA1982" s="37" t="n">
        <f aca="false">IF($N1982="",0,IF(COUNTIF(Dashboard!$C$13:$C$22,$N1982)&gt;0,1,0))</f>
        <v>0</v>
      </c>
      <c r="AB1982" s="37" t="str">
        <f aca="false">IF($N1982="","",IF(COUNTIF($N$8:$N1982,$N1982)=1,MAX($AB$7:$AB1981)+1,""))</f>
        <v/>
      </c>
    </row>
    <row r="1983" customFormat="false" ht="15" hidden="false" customHeight="false" outlineLevel="0" collapsed="false">
      <c r="L1983" s="37" t="str">
        <f aca="false">IF(INDEX($A1983:$J1983,$L$6)&lt;&gt;"",TRIM(LEFT(INDEX($A1983:$J1983,$L$6),FIND("(",INDEX($A1983:$J1983,$L$6)&amp;"(")-1)),L1982)</f>
        <v>Building Value Proposition</v>
      </c>
      <c r="M1983" s="37" t="str">
        <f aca="false">IF(INDEX($A1983:$J1983,$M$6)="","",INDEX($A1983:$J1983,$M$6)&amp;"")</f>
        <v/>
      </c>
      <c r="N1983" s="37" t="str">
        <f aca="false">IF($M1983="","",TRIM(INDEX($A1983:$J1983,$N$6)&amp;""))</f>
        <v/>
      </c>
      <c r="O1983" s="37" t="str">
        <f aca="false">IF($M1983="","",TRIM(INDEX($A1983:$J1983,$O$6)&amp;""))</f>
        <v/>
      </c>
      <c r="P1983" s="37" t="str">
        <f aca="false">IF($M1983="","",IFERROR(IF(INDEX(Settings!$B$41:$B$50,MATCH(O1983,Settings!$A$41:$A$50,0))&amp;""="","UNMAPPED",INDEX(Settings!$B$41:$B$50,MATCH(O1983,Settings!$A$41:$A$50,0))&amp;""),"UNMAPPED"))</f>
        <v/>
      </c>
      <c r="Q1983" s="38" t="n">
        <f aca="false">IF($M1983="",0,N(INDEX($A1983:$J1983,$Q$6)))</f>
        <v>0</v>
      </c>
      <c r="R1983" s="39" t="str">
        <f aca="false">IF($M1983="","",INDEX($A1983:$J1983,$R$6))</f>
        <v/>
      </c>
      <c r="S1983" s="37" t="str">
        <f aca="false">IF($M1983="","",IFERROR(INDEX(Settings!$B$27:$B$36,MATCH(L1983,Settings!$A$27:$A$36,0))&amp;"","UNMAPPED"))</f>
        <v/>
      </c>
      <c r="T1983" s="37" t="str">
        <f aca="false">IF($M1983="","",IF(NOT(ISNUMBER(R1983)),"NO DATE",IF(S1983="Won",IF(R1983&gt;Settings!$B$5,"Backlog","Delivered"),IF(S1983="Open",IF(R1983&gt;Settings!$B$5,"Pipeline","Overdue"),IF(S1983="Lost","Lost","UNMAPPED")))))</f>
        <v/>
      </c>
      <c r="U1983" s="40" t="n">
        <f aca="false">IF(T1983="Backlog",1,IF(OR(T1983="Pipeline",T1983="Overdue"),N(INDEX(Settings!$C$27:$C$36,MATCH(L1983,Settings!$A$27:$A$36,0))),0))</f>
        <v>0</v>
      </c>
      <c r="V1983" s="38" t="n">
        <f aca="false">Q1983*U1983</f>
        <v>0</v>
      </c>
      <c r="W1983" s="41" t="str">
        <f aca="false">IF($M1983="","",IF(T1983="Overdue",IF(Settings!$B$8="Yes",Settings!$B$7,""),IF(ISNUMBER(R1983),DATE(YEAR(R1983),MONTH(R1983),1),"")))</f>
        <v/>
      </c>
      <c r="X1983" s="38" t="n">
        <f aca="false">IF(AND(OR(T1983="Backlog",T1983="Pipeline",T1983="Overdue"),ISNUMBER(W1983)),IF(W1983&lt;=Settings!$B$6,V1983,0),0)</f>
        <v>0</v>
      </c>
      <c r="Y1983" s="38" t="n">
        <f aca="false">IF(AND(OR(T1983="Backlog",T1983="Pipeline",T1983="Overdue"),ISNUMBER(W1983)),IF(W1983&lt;=Settings!$B$6,Q1983,0),0)</f>
        <v>0</v>
      </c>
      <c r="Z1983" s="38" t="n">
        <f aca="false">IF(Y1983=0,0,IF(T1983="Backlog",Q1983,Q1983*Dashboard!$C$10))</f>
        <v>0</v>
      </c>
      <c r="AA1983" s="37" t="n">
        <f aca="false">IF($N1983="",0,IF(COUNTIF(Dashboard!$C$13:$C$22,$N1983)&gt;0,1,0))</f>
        <v>0</v>
      </c>
      <c r="AB1983" s="37" t="str">
        <f aca="false">IF($N1983="","",IF(COUNTIF($N$8:$N1983,$N1983)=1,MAX($AB$7:$AB1982)+1,""))</f>
        <v/>
      </c>
    </row>
    <row r="1984" customFormat="false" ht="15" hidden="false" customHeight="false" outlineLevel="0" collapsed="false">
      <c r="L1984" s="37" t="str">
        <f aca="false">IF(INDEX($A1984:$J1984,$L$6)&lt;&gt;"",TRIM(LEFT(INDEX($A1984:$J1984,$L$6),FIND("(",INDEX($A1984:$J1984,$L$6)&amp;"(")-1)),L1983)</f>
        <v>Building Value Proposition</v>
      </c>
      <c r="M1984" s="37" t="str">
        <f aca="false">IF(INDEX($A1984:$J1984,$M$6)="","",INDEX($A1984:$J1984,$M$6)&amp;"")</f>
        <v/>
      </c>
      <c r="N1984" s="37" t="str">
        <f aca="false">IF($M1984="","",TRIM(INDEX($A1984:$J1984,$N$6)&amp;""))</f>
        <v/>
      </c>
      <c r="O1984" s="37" t="str">
        <f aca="false">IF($M1984="","",TRIM(INDEX($A1984:$J1984,$O$6)&amp;""))</f>
        <v/>
      </c>
      <c r="P1984" s="37" t="str">
        <f aca="false">IF($M1984="","",IFERROR(IF(INDEX(Settings!$B$41:$B$50,MATCH(O1984,Settings!$A$41:$A$50,0))&amp;""="","UNMAPPED",INDEX(Settings!$B$41:$B$50,MATCH(O1984,Settings!$A$41:$A$50,0))&amp;""),"UNMAPPED"))</f>
        <v/>
      </c>
      <c r="Q1984" s="38" t="n">
        <f aca="false">IF($M1984="",0,N(INDEX($A1984:$J1984,$Q$6)))</f>
        <v>0</v>
      </c>
      <c r="R1984" s="39" t="str">
        <f aca="false">IF($M1984="","",INDEX($A1984:$J1984,$R$6))</f>
        <v/>
      </c>
      <c r="S1984" s="37" t="str">
        <f aca="false">IF($M1984="","",IFERROR(INDEX(Settings!$B$27:$B$36,MATCH(L1984,Settings!$A$27:$A$36,0))&amp;"","UNMAPPED"))</f>
        <v/>
      </c>
      <c r="T1984" s="37" t="str">
        <f aca="false">IF($M1984="","",IF(NOT(ISNUMBER(R1984)),"NO DATE",IF(S1984="Won",IF(R1984&gt;Settings!$B$5,"Backlog","Delivered"),IF(S1984="Open",IF(R1984&gt;Settings!$B$5,"Pipeline","Overdue"),IF(S1984="Lost","Lost","UNMAPPED")))))</f>
        <v/>
      </c>
      <c r="U1984" s="40" t="n">
        <f aca="false">IF(T1984="Backlog",1,IF(OR(T1984="Pipeline",T1984="Overdue"),N(INDEX(Settings!$C$27:$C$36,MATCH(L1984,Settings!$A$27:$A$36,0))),0))</f>
        <v>0</v>
      </c>
      <c r="V1984" s="38" t="n">
        <f aca="false">Q1984*U1984</f>
        <v>0</v>
      </c>
      <c r="W1984" s="41" t="str">
        <f aca="false">IF($M1984="","",IF(T1984="Overdue",IF(Settings!$B$8="Yes",Settings!$B$7,""),IF(ISNUMBER(R1984),DATE(YEAR(R1984),MONTH(R1984),1),"")))</f>
        <v/>
      </c>
      <c r="X1984" s="38" t="n">
        <f aca="false">IF(AND(OR(T1984="Backlog",T1984="Pipeline",T1984="Overdue"),ISNUMBER(W1984)),IF(W1984&lt;=Settings!$B$6,V1984,0),0)</f>
        <v>0</v>
      </c>
      <c r="Y1984" s="38" t="n">
        <f aca="false">IF(AND(OR(T1984="Backlog",T1984="Pipeline",T1984="Overdue"),ISNUMBER(W1984)),IF(W1984&lt;=Settings!$B$6,Q1984,0),0)</f>
        <v>0</v>
      </c>
      <c r="Z1984" s="38" t="n">
        <f aca="false">IF(Y1984=0,0,IF(T1984="Backlog",Q1984,Q1984*Dashboard!$C$10))</f>
        <v>0</v>
      </c>
      <c r="AA1984" s="37" t="n">
        <f aca="false">IF($N1984="",0,IF(COUNTIF(Dashboard!$C$13:$C$22,$N1984)&gt;0,1,0))</f>
        <v>0</v>
      </c>
      <c r="AB1984" s="37" t="str">
        <f aca="false">IF($N1984="","",IF(COUNTIF($N$8:$N1984,$N1984)=1,MAX($AB$7:$AB1983)+1,""))</f>
        <v/>
      </c>
    </row>
    <row r="1985" customFormat="false" ht="15" hidden="false" customHeight="false" outlineLevel="0" collapsed="false">
      <c r="L1985" s="37" t="str">
        <f aca="false">IF(INDEX($A1985:$J1985,$L$6)&lt;&gt;"",TRIM(LEFT(INDEX($A1985:$J1985,$L$6),FIND("(",INDEX($A1985:$J1985,$L$6)&amp;"(")-1)),L1984)</f>
        <v>Building Value Proposition</v>
      </c>
      <c r="M1985" s="37" t="str">
        <f aca="false">IF(INDEX($A1985:$J1985,$M$6)="","",INDEX($A1985:$J1985,$M$6)&amp;"")</f>
        <v/>
      </c>
      <c r="N1985" s="37" t="str">
        <f aca="false">IF($M1985="","",TRIM(INDEX($A1985:$J1985,$N$6)&amp;""))</f>
        <v/>
      </c>
      <c r="O1985" s="37" t="str">
        <f aca="false">IF($M1985="","",TRIM(INDEX($A1985:$J1985,$O$6)&amp;""))</f>
        <v/>
      </c>
      <c r="P1985" s="37" t="str">
        <f aca="false">IF($M1985="","",IFERROR(IF(INDEX(Settings!$B$41:$B$50,MATCH(O1985,Settings!$A$41:$A$50,0))&amp;""="","UNMAPPED",INDEX(Settings!$B$41:$B$50,MATCH(O1985,Settings!$A$41:$A$50,0))&amp;""),"UNMAPPED"))</f>
        <v/>
      </c>
      <c r="Q1985" s="38" t="n">
        <f aca="false">IF($M1985="",0,N(INDEX($A1985:$J1985,$Q$6)))</f>
        <v>0</v>
      </c>
      <c r="R1985" s="39" t="str">
        <f aca="false">IF($M1985="","",INDEX($A1985:$J1985,$R$6))</f>
        <v/>
      </c>
      <c r="S1985" s="37" t="str">
        <f aca="false">IF($M1985="","",IFERROR(INDEX(Settings!$B$27:$B$36,MATCH(L1985,Settings!$A$27:$A$36,0))&amp;"","UNMAPPED"))</f>
        <v/>
      </c>
      <c r="T1985" s="37" t="str">
        <f aca="false">IF($M1985="","",IF(NOT(ISNUMBER(R1985)),"NO DATE",IF(S1985="Won",IF(R1985&gt;Settings!$B$5,"Backlog","Delivered"),IF(S1985="Open",IF(R1985&gt;Settings!$B$5,"Pipeline","Overdue"),IF(S1985="Lost","Lost","UNMAPPED")))))</f>
        <v/>
      </c>
      <c r="U1985" s="40" t="n">
        <f aca="false">IF(T1985="Backlog",1,IF(OR(T1985="Pipeline",T1985="Overdue"),N(INDEX(Settings!$C$27:$C$36,MATCH(L1985,Settings!$A$27:$A$36,0))),0))</f>
        <v>0</v>
      </c>
      <c r="V1985" s="38" t="n">
        <f aca="false">Q1985*U1985</f>
        <v>0</v>
      </c>
      <c r="W1985" s="41" t="str">
        <f aca="false">IF($M1985="","",IF(T1985="Overdue",IF(Settings!$B$8="Yes",Settings!$B$7,""),IF(ISNUMBER(R1985),DATE(YEAR(R1985),MONTH(R1985),1),"")))</f>
        <v/>
      </c>
      <c r="X1985" s="38" t="n">
        <f aca="false">IF(AND(OR(T1985="Backlog",T1985="Pipeline",T1985="Overdue"),ISNUMBER(W1985)),IF(W1985&lt;=Settings!$B$6,V1985,0),0)</f>
        <v>0</v>
      </c>
      <c r="Y1985" s="38" t="n">
        <f aca="false">IF(AND(OR(T1985="Backlog",T1985="Pipeline",T1985="Overdue"),ISNUMBER(W1985)),IF(W1985&lt;=Settings!$B$6,Q1985,0),0)</f>
        <v>0</v>
      </c>
      <c r="Z1985" s="38" t="n">
        <f aca="false">IF(Y1985=0,0,IF(T1985="Backlog",Q1985,Q1985*Dashboard!$C$10))</f>
        <v>0</v>
      </c>
      <c r="AA1985" s="37" t="n">
        <f aca="false">IF($N1985="",0,IF(COUNTIF(Dashboard!$C$13:$C$22,$N1985)&gt;0,1,0))</f>
        <v>0</v>
      </c>
      <c r="AB1985" s="37" t="str">
        <f aca="false">IF($N1985="","",IF(COUNTIF($N$8:$N1985,$N1985)=1,MAX($AB$7:$AB1984)+1,""))</f>
        <v/>
      </c>
    </row>
    <row r="1986" customFormat="false" ht="15" hidden="false" customHeight="false" outlineLevel="0" collapsed="false">
      <c r="L1986" s="37" t="str">
        <f aca="false">IF(INDEX($A1986:$J1986,$L$6)&lt;&gt;"",TRIM(LEFT(INDEX($A1986:$J1986,$L$6),FIND("(",INDEX($A1986:$J1986,$L$6)&amp;"(")-1)),L1985)</f>
        <v>Building Value Proposition</v>
      </c>
      <c r="M1986" s="37" t="str">
        <f aca="false">IF(INDEX($A1986:$J1986,$M$6)="","",INDEX($A1986:$J1986,$M$6)&amp;"")</f>
        <v/>
      </c>
      <c r="N1986" s="37" t="str">
        <f aca="false">IF($M1986="","",TRIM(INDEX($A1986:$J1986,$N$6)&amp;""))</f>
        <v/>
      </c>
      <c r="O1986" s="37" t="str">
        <f aca="false">IF($M1986="","",TRIM(INDEX($A1986:$J1986,$O$6)&amp;""))</f>
        <v/>
      </c>
      <c r="P1986" s="37" t="str">
        <f aca="false">IF($M1986="","",IFERROR(IF(INDEX(Settings!$B$41:$B$50,MATCH(O1986,Settings!$A$41:$A$50,0))&amp;""="","UNMAPPED",INDEX(Settings!$B$41:$B$50,MATCH(O1986,Settings!$A$41:$A$50,0))&amp;""),"UNMAPPED"))</f>
        <v/>
      </c>
      <c r="Q1986" s="38" t="n">
        <f aca="false">IF($M1986="",0,N(INDEX($A1986:$J1986,$Q$6)))</f>
        <v>0</v>
      </c>
      <c r="R1986" s="39" t="str">
        <f aca="false">IF($M1986="","",INDEX($A1986:$J1986,$R$6))</f>
        <v/>
      </c>
      <c r="S1986" s="37" t="str">
        <f aca="false">IF($M1986="","",IFERROR(INDEX(Settings!$B$27:$B$36,MATCH(L1986,Settings!$A$27:$A$36,0))&amp;"","UNMAPPED"))</f>
        <v/>
      </c>
      <c r="T1986" s="37" t="str">
        <f aca="false">IF($M1986="","",IF(NOT(ISNUMBER(R1986)),"NO DATE",IF(S1986="Won",IF(R1986&gt;Settings!$B$5,"Backlog","Delivered"),IF(S1986="Open",IF(R1986&gt;Settings!$B$5,"Pipeline","Overdue"),IF(S1986="Lost","Lost","UNMAPPED")))))</f>
        <v/>
      </c>
      <c r="U1986" s="40" t="n">
        <f aca="false">IF(T1986="Backlog",1,IF(OR(T1986="Pipeline",T1986="Overdue"),N(INDEX(Settings!$C$27:$C$36,MATCH(L1986,Settings!$A$27:$A$36,0))),0))</f>
        <v>0</v>
      </c>
      <c r="V1986" s="38" t="n">
        <f aca="false">Q1986*U1986</f>
        <v>0</v>
      </c>
      <c r="W1986" s="41" t="str">
        <f aca="false">IF($M1986="","",IF(T1986="Overdue",IF(Settings!$B$8="Yes",Settings!$B$7,""),IF(ISNUMBER(R1986),DATE(YEAR(R1986),MONTH(R1986),1),"")))</f>
        <v/>
      </c>
      <c r="X1986" s="38" t="n">
        <f aca="false">IF(AND(OR(T1986="Backlog",T1986="Pipeline",T1986="Overdue"),ISNUMBER(W1986)),IF(W1986&lt;=Settings!$B$6,V1986,0),0)</f>
        <v>0</v>
      </c>
      <c r="Y1986" s="38" t="n">
        <f aca="false">IF(AND(OR(T1986="Backlog",T1986="Pipeline",T1986="Overdue"),ISNUMBER(W1986)),IF(W1986&lt;=Settings!$B$6,Q1986,0),0)</f>
        <v>0</v>
      </c>
      <c r="Z1986" s="38" t="n">
        <f aca="false">IF(Y1986=0,0,IF(T1986="Backlog",Q1986,Q1986*Dashboard!$C$10))</f>
        <v>0</v>
      </c>
      <c r="AA1986" s="37" t="n">
        <f aca="false">IF($N1986="",0,IF(COUNTIF(Dashboard!$C$13:$C$22,$N1986)&gt;0,1,0))</f>
        <v>0</v>
      </c>
      <c r="AB1986" s="37" t="str">
        <f aca="false">IF($N1986="","",IF(COUNTIF($N$8:$N1986,$N1986)=1,MAX($AB$7:$AB1985)+1,""))</f>
        <v/>
      </c>
    </row>
    <row r="1987" customFormat="false" ht="15" hidden="false" customHeight="false" outlineLevel="0" collapsed="false">
      <c r="L1987" s="37" t="str">
        <f aca="false">IF(INDEX($A1987:$J1987,$L$6)&lt;&gt;"",TRIM(LEFT(INDEX($A1987:$J1987,$L$6),FIND("(",INDEX($A1987:$J1987,$L$6)&amp;"(")-1)),L1986)</f>
        <v>Building Value Proposition</v>
      </c>
      <c r="M1987" s="37" t="str">
        <f aca="false">IF(INDEX($A1987:$J1987,$M$6)="","",INDEX($A1987:$J1987,$M$6)&amp;"")</f>
        <v/>
      </c>
      <c r="N1987" s="37" t="str">
        <f aca="false">IF($M1987="","",TRIM(INDEX($A1987:$J1987,$N$6)&amp;""))</f>
        <v/>
      </c>
      <c r="O1987" s="37" t="str">
        <f aca="false">IF($M1987="","",TRIM(INDEX($A1987:$J1987,$O$6)&amp;""))</f>
        <v/>
      </c>
      <c r="P1987" s="37" t="str">
        <f aca="false">IF($M1987="","",IFERROR(IF(INDEX(Settings!$B$41:$B$50,MATCH(O1987,Settings!$A$41:$A$50,0))&amp;""="","UNMAPPED",INDEX(Settings!$B$41:$B$50,MATCH(O1987,Settings!$A$41:$A$50,0))&amp;""),"UNMAPPED"))</f>
        <v/>
      </c>
      <c r="Q1987" s="38" t="n">
        <f aca="false">IF($M1987="",0,N(INDEX($A1987:$J1987,$Q$6)))</f>
        <v>0</v>
      </c>
      <c r="R1987" s="39" t="str">
        <f aca="false">IF($M1987="","",INDEX($A1987:$J1987,$R$6))</f>
        <v/>
      </c>
      <c r="S1987" s="37" t="str">
        <f aca="false">IF($M1987="","",IFERROR(INDEX(Settings!$B$27:$B$36,MATCH(L1987,Settings!$A$27:$A$36,0))&amp;"","UNMAPPED"))</f>
        <v/>
      </c>
      <c r="T1987" s="37" t="str">
        <f aca="false">IF($M1987="","",IF(NOT(ISNUMBER(R1987)),"NO DATE",IF(S1987="Won",IF(R1987&gt;Settings!$B$5,"Backlog","Delivered"),IF(S1987="Open",IF(R1987&gt;Settings!$B$5,"Pipeline","Overdue"),IF(S1987="Lost","Lost","UNMAPPED")))))</f>
        <v/>
      </c>
      <c r="U1987" s="40" t="n">
        <f aca="false">IF(T1987="Backlog",1,IF(OR(T1987="Pipeline",T1987="Overdue"),N(INDEX(Settings!$C$27:$C$36,MATCH(L1987,Settings!$A$27:$A$36,0))),0))</f>
        <v>0</v>
      </c>
      <c r="V1987" s="38" t="n">
        <f aca="false">Q1987*U1987</f>
        <v>0</v>
      </c>
      <c r="W1987" s="41" t="str">
        <f aca="false">IF($M1987="","",IF(T1987="Overdue",IF(Settings!$B$8="Yes",Settings!$B$7,""),IF(ISNUMBER(R1987),DATE(YEAR(R1987),MONTH(R1987),1),"")))</f>
        <v/>
      </c>
      <c r="X1987" s="38" t="n">
        <f aca="false">IF(AND(OR(T1987="Backlog",T1987="Pipeline",T1987="Overdue"),ISNUMBER(W1987)),IF(W1987&lt;=Settings!$B$6,V1987,0),0)</f>
        <v>0</v>
      </c>
      <c r="Y1987" s="38" t="n">
        <f aca="false">IF(AND(OR(T1987="Backlog",T1987="Pipeline",T1987="Overdue"),ISNUMBER(W1987)),IF(W1987&lt;=Settings!$B$6,Q1987,0),0)</f>
        <v>0</v>
      </c>
      <c r="Z1987" s="38" t="n">
        <f aca="false">IF(Y1987=0,0,IF(T1987="Backlog",Q1987,Q1987*Dashboard!$C$10))</f>
        <v>0</v>
      </c>
      <c r="AA1987" s="37" t="n">
        <f aca="false">IF($N1987="",0,IF(COUNTIF(Dashboard!$C$13:$C$22,$N1987)&gt;0,1,0))</f>
        <v>0</v>
      </c>
      <c r="AB1987" s="37" t="str">
        <f aca="false">IF($N1987="","",IF(COUNTIF($N$8:$N1987,$N1987)=1,MAX($AB$7:$AB1986)+1,""))</f>
        <v/>
      </c>
    </row>
    <row r="1988" customFormat="false" ht="15" hidden="false" customHeight="false" outlineLevel="0" collapsed="false">
      <c r="L1988" s="37" t="str">
        <f aca="false">IF(INDEX($A1988:$J1988,$L$6)&lt;&gt;"",TRIM(LEFT(INDEX($A1988:$J1988,$L$6),FIND("(",INDEX($A1988:$J1988,$L$6)&amp;"(")-1)),L1987)</f>
        <v>Building Value Proposition</v>
      </c>
      <c r="M1988" s="37" t="str">
        <f aca="false">IF(INDEX($A1988:$J1988,$M$6)="","",INDEX($A1988:$J1988,$M$6)&amp;"")</f>
        <v/>
      </c>
      <c r="N1988" s="37" t="str">
        <f aca="false">IF($M1988="","",TRIM(INDEX($A1988:$J1988,$N$6)&amp;""))</f>
        <v/>
      </c>
      <c r="O1988" s="37" t="str">
        <f aca="false">IF($M1988="","",TRIM(INDEX($A1988:$J1988,$O$6)&amp;""))</f>
        <v/>
      </c>
      <c r="P1988" s="37" t="str">
        <f aca="false">IF($M1988="","",IFERROR(IF(INDEX(Settings!$B$41:$B$50,MATCH(O1988,Settings!$A$41:$A$50,0))&amp;""="","UNMAPPED",INDEX(Settings!$B$41:$B$50,MATCH(O1988,Settings!$A$41:$A$50,0))&amp;""),"UNMAPPED"))</f>
        <v/>
      </c>
      <c r="Q1988" s="38" t="n">
        <f aca="false">IF($M1988="",0,N(INDEX($A1988:$J1988,$Q$6)))</f>
        <v>0</v>
      </c>
      <c r="R1988" s="39" t="str">
        <f aca="false">IF($M1988="","",INDEX($A1988:$J1988,$R$6))</f>
        <v/>
      </c>
      <c r="S1988" s="37" t="str">
        <f aca="false">IF($M1988="","",IFERROR(INDEX(Settings!$B$27:$B$36,MATCH(L1988,Settings!$A$27:$A$36,0))&amp;"","UNMAPPED"))</f>
        <v/>
      </c>
      <c r="T1988" s="37" t="str">
        <f aca="false">IF($M1988="","",IF(NOT(ISNUMBER(R1988)),"NO DATE",IF(S1988="Won",IF(R1988&gt;Settings!$B$5,"Backlog","Delivered"),IF(S1988="Open",IF(R1988&gt;Settings!$B$5,"Pipeline","Overdue"),IF(S1988="Lost","Lost","UNMAPPED")))))</f>
        <v/>
      </c>
      <c r="U1988" s="40" t="n">
        <f aca="false">IF(T1988="Backlog",1,IF(OR(T1988="Pipeline",T1988="Overdue"),N(INDEX(Settings!$C$27:$C$36,MATCH(L1988,Settings!$A$27:$A$36,0))),0))</f>
        <v>0</v>
      </c>
      <c r="V1988" s="38" t="n">
        <f aca="false">Q1988*U1988</f>
        <v>0</v>
      </c>
      <c r="W1988" s="41" t="str">
        <f aca="false">IF($M1988="","",IF(T1988="Overdue",IF(Settings!$B$8="Yes",Settings!$B$7,""),IF(ISNUMBER(R1988),DATE(YEAR(R1988),MONTH(R1988),1),"")))</f>
        <v/>
      </c>
      <c r="X1988" s="38" t="n">
        <f aca="false">IF(AND(OR(T1988="Backlog",T1988="Pipeline",T1988="Overdue"),ISNUMBER(W1988)),IF(W1988&lt;=Settings!$B$6,V1988,0),0)</f>
        <v>0</v>
      </c>
      <c r="Y1988" s="38" t="n">
        <f aca="false">IF(AND(OR(T1988="Backlog",T1988="Pipeline",T1988="Overdue"),ISNUMBER(W1988)),IF(W1988&lt;=Settings!$B$6,Q1988,0),0)</f>
        <v>0</v>
      </c>
      <c r="Z1988" s="38" t="n">
        <f aca="false">IF(Y1988=0,0,IF(T1988="Backlog",Q1988,Q1988*Dashboard!$C$10))</f>
        <v>0</v>
      </c>
      <c r="AA1988" s="37" t="n">
        <f aca="false">IF($N1988="",0,IF(COUNTIF(Dashboard!$C$13:$C$22,$N1988)&gt;0,1,0))</f>
        <v>0</v>
      </c>
      <c r="AB1988" s="37" t="str">
        <f aca="false">IF($N1988="","",IF(COUNTIF($N$8:$N1988,$N1988)=1,MAX($AB$7:$AB1987)+1,""))</f>
        <v/>
      </c>
    </row>
    <row r="1989" customFormat="false" ht="15" hidden="false" customHeight="false" outlineLevel="0" collapsed="false">
      <c r="L1989" s="37" t="str">
        <f aca="false">IF(INDEX($A1989:$J1989,$L$6)&lt;&gt;"",TRIM(LEFT(INDEX($A1989:$J1989,$L$6),FIND("(",INDEX($A1989:$J1989,$L$6)&amp;"(")-1)),L1988)</f>
        <v>Building Value Proposition</v>
      </c>
      <c r="M1989" s="37" t="str">
        <f aca="false">IF(INDEX($A1989:$J1989,$M$6)="","",INDEX($A1989:$J1989,$M$6)&amp;"")</f>
        <v/>
      </c>
      <c r="N1989" s="37" t="str">
        <f aca="false">IF($M1989="","",TRIM(INDEX($A1989:$J1989,$N$6)&amp;""))</f>
        <v/>
      </c>
      <c r="O1989" s="37" t="str">
        <f aca="false">IF($M1989="","",TRIM(INDEX($A1989:$J1989,$O$6)&amp;""))</f>
        <v/>
      </c>
      <c r="P1989" s="37" t="str">
        <f aca="false">IF($M1989="","",IFERROR(IF(INDEX(Settings!$B$41:$B$50,MATCH(O1989,Settings!$A$41:$A$50,0))&amp;""="","UNMAPPED",INDEX(Settings!$B$41:$B$50,MATCH(O1989,Settings!$A$41:$A$50,0))&amp;""),"UNMAPPED"))</f>
        <v/>
      </c>
      <c r="Q1989" s="38" t="n">
        <f aca="false">IF($M1989="",0,N(INDEX($A1989:$J1989,$Q$6)))</f>
        <v>0</v>
      </c>
      <c r="R1989" s="39" t="str">
        <f aca="false">IF($M1989="","",INDEX($A1989:$J1989,$R$6))</f>
        <v/>
      </c>
      <c r="S1989" s="37" t="str">
        <f aca="false">IF($M1989="","",IFERROR(INDEX(Settings!$B$27:$B$36,MATCH(L1989,Settings!$A$27:$A$36,0))&amp;"","UNMAPPED"))</f>
        <v/>
      </c>
      <c r="T1989" s="37" t="str">
        <f aca="false">IF($M1989="","",IF(NOT(ISNUMBER(R1989)),"NO DATE",IF(S1989="Won",IF(R1989&gt;Settings!$B$5,"Backlog","Delivered"),IF(S1989="Open",IF(R1989&gt;Settings!$B$5,"Pipeline","Overdue"),IF(S1989="Lost","Lost","UNMAPPED")))))</f>
        <v/>
      </c>
      <c r="U1989" s="40" t="n">
        <f aca="false">IF(T1989="Backlog",1,IF(OR(T1989="Pipeline",T1989="Overdue"),N(INDEX(Settings!$C$27:$C$36,MATCH(L1989,Settings!$A$27:$A$36,0))),0))</f>
        <v>0</v>
      </c>
      <c r="V1989" s="38" t="n">
        <f aca="false">Q1989*U1989</f>
        <v>0</v>
      </c>
      <c r="W1989" s="41" t="str">
        <f aca="false">IF($M1989="","",IF(T1989="Overdue",IF(Settings!$B$8="Yes",Settings!$B$7,""),IF(ISNUMBER(R1989),DATE(YEAR(R1989),MONTH(R1989),1),"")))</f>
        <v/>
      </c>
      <c r="X1989" s="38" t="n">
        <f aca="false">IF(AND(OR(T1989="Backlog",T1989="Pipeline",T1989="Overdue"),ISNUMBER(W1989)),IF(W1989&lt;=Settings!$B$6,V1989,0),0)</f>
        <v>0</v>
      </c>
      <c r="Y1989" s="38" t="n">
        <f aca="false">IF(AND(OR(T1989="Backlog",T1989="Pipeline",T1989="Overdue"),ISNUMBER(W1989)),IF(W1989&lt;=Settings!$B$6,Q1989,0),0)</f>
        <v>0</v>
      </c>
      <c r="Z1989" s="38" t="n">
        <f aca="false">IF(Y1989=0,0,IF(T1989="Backlog",Q1989,Q1989*Dashboard!$C$10))</f>
        <v>0</v>
      </c>
      <c r="AA1989" s="37" t="n">
        <f aca="false">IF($N1989="",0,IF(COUNTIF(Dashboard!$C$13:$C$22,$N1989)&gt;0,1,0))</f>
        <v>0</v>
      </c>
      <c r="AB1989" s="37" t="str">
        <f aca="false">IF($N1989="","",IF(COUNTIF($N$8:$N1989,$N1989)=1,MAX($AB$7:$AB1988)+1,""))</f>
        <v/>
      </c>
    </row>
    <row r="1990" customFormat="false" ht="15" hidden="false" customHeight="false" outlineLevel="0" collapsed="false">
      <c r="L1990" s="37" t="str">
        <f aca="false">IF(INDEX($A1990:$J1990,$L$6)&lt;&gt;"",TRIM(LEFT(INDEX($A1990:$J1990,$L$6),FIND("(",INDEX($A1990:$J1990,$L$6)&amp;"(")-1)),L1989)</f>
        <v>Building Value Proposition</v>
      </c>
      <c r="M1990" s="37" t="str">
        <f aca="false">IF(INDEX($A1990:$J1990,$M$6)="","",INDEX($A1990:$J1990,$M$6)&amp;"")</f>
        <v/>
      </c>
      <c r="N1990" s="37" t="str">
        <f aca="false">IF($M1990="","",TRIM(INDEX($A1990:$J1990,$N$6)&amp;""))</f>
        <v/>
      </c>
      <c r="O1990" s="37" t="str">
        <f aca="false">IF($M1990="","",TRIM(INDEX($A1990:$J1990,$O$6)&amp;""))</f>
        <v/>
      </c>
      <c r="P1990" s="37" t="str">
        <f aca="false">IF($M1990="","",IFERROR(IF(INDEX(Settings!$B$41:$B$50,MATCH(O1990,Settings!$A$41:$A$50,0))&amp;""="","UNMAPPED",INDEX(Settings!$B$41:$B$50,MATCH(O1990,Settings!$A$41:$A$50,0))&amp;""),"UNMAPPED"))</f>
        <v/>
      </c>
      <c r="Q1990" s="38" t="n">
        <f aca="false">IF($M1990="",0,N(INDEX($A1990:$J1990,$Q$6)))</f>
        <v>0</v>
      </c>
      <c r="R1990" s="39" t="str">
        <f aca="false">IF($M1990="","",INDEX($A1990:$J1990,$R$6))</f>
        <v/>
      </c>
      <c r="S1990" s="37" t="str">
        <f aca="false">IF($M1990="","",IFERROR(INDEX(Settings!$B$27:$B$36,MATCH(L1990,Settings!$A$27:$A$36,0))&amp;"","UNMAPPED"))</f>
        <v/>
      </c>
      <c r="T1990" s="37" t="str">
        <f aca="false">IF($M1990="","",IF(NOT(ISNUMBER(R1990)),"NO DATE",IF(S1990="Won",IF(R1990&gt;Settings!$B$5,"Backlog","Delivered"),IF(S1990="Open",IF(R1990&gt;Settings!$B$5,"Pipeline","Overdue"),IF(S1990="Lost","Lost","UNMAPPED")))))</f>
        <v/>
      </c>
      <c r="U1990" s="40" t="n">
        <f aca="false">IF(T1990="Backlog",1,IF(OR(T1990="Pipeline",T1990="Overdue"),N(INDEX(Settings!$C$27:$C$36,MATCH(L1990,Settings!$A$27:$A$36,0))),0))</f>
        <v>0</v>
      </c>
      <c r="V1990" s="38" t="n">
        <f aca="false">Q1990*U1990</f>
        <v>0</v>
      </c>
      <c r="W1990" s="41" t="str">
        <f aca="false">IF($M1990="","",IF(T1990="Overdue",IF(Settings!$B$8="Yes",Settings!$B$7,""),IF(ISNUMBER(R1990),DATE(YEAR(R1990),MONTH(R1990),1),"")))</f>
        <v/>
      </c>
      <c r="X1990" s="38" t="n">
        <f aca="false">IF(AND(OR(T1990="Backlog",T1990="Pipeline",T1990="Overdue"),ISNUMBER(W1990)),IF(W1990&lt;=Settings!$B$6,V1990,0),0)</f>
        <v>0</v>
      </c>
      <c r="Y1990" s="38" t="n">
        <f aca="false">IF(AND(OR(T1990="Backlog",T1990="Pipeline",T1990="Overdue"),ISNUMBER(W1990)),IF(W1990&lt;=Settings!$B$6,Q1990,0),0)</f>
        <v>0</v>
      </c>
      <c r="Z1990" s="38" t="n">
        <f aca="false">IF(Y1990=0,0,IF(T1990="Backlog",Q1990,Q1990*Dashboard!$C$10))</f>
        <v>0</v>
      </c>
      <c r="AA1990" s="37" t="n">
        <f aca="false">IF($N1990="",0,IF(COUNTIF(Dashboard!$C$13:$C$22,$N1990)&gt;0,1,0))</f>
        <v>0</v>
      </c>
      <c r="AB1990" s="37" t="str">
        <f aca="false">IF($N1990="","",IF(COUNTIF($N$8:$N1990,$N1990)=1,MAX($AB$7:$AB1989)+1,""))</f>
        <v/>
      </c>
    </row>
    <row r="1991" customFormat="false" ht="15" hidden="false" customHeight="false" outlineLevel="0" collapsed="false">
      <c r="L1991" s="37" t="str">
        <f aca="false">IF(INDEX($A1991:$J1991,$L$6)&lt;&gt;"",TRIM(LEFT(INDEX($A1991:$J1991,$L$6),FIND("(",INDEX($A1991:$J1991,$L$6)&amp;"(")-1)),L1990)</f>
        <v>Building Value Proposition</v>
      </c>
      <c r="M1991" s="37" t="str">
        <f aca="false">IF(INDEX($A1991:$J1991,$M$6)="","",INDEX($A1991:$J1991,$M$6)&amp;"")</f>
        <v/>
      </c>
      <c r="N1991" s="37" t="str">
        <f aca="false">IF($M1991="","",TRIM(INDEX($A1991:$J1991,$N$6)&amp;""))</f>
        <v/>
      </c>
      <c r="O1991" s="37" t="str">
        <f aca="false">IF($M1991="","",TRIM(INDEX($A1991:$J1991,$O$6)&amp;""))</f>
        <v/>
      </c>
      <c r="P1991" s="37" t="str">
        <f aca="false">IF($M1991="","",IFERROR(IF(INDEX(Settings!$B$41:$B$50,MATCH(O1991,Settings!$A$41:$A$50,0))&amp;""="","UNMAPPED",INDEX(Settings!$B$41:$B$50,MATCH(O1991,Settings!$A$41:$A$50,0))&amp;""),"UNMAPPED"))</f>
        <v/>
      </c>
      <c r="Q1991" s="38" t="n">
        <f aca="false">IF($M1991="",0,N(INDEX($A1991:$J1991,$Q$6)))</f>
        <v>0</v>
      </c>
      <c r="R1991" s="39" t="str">
        <f aca="false">IF($M1991="","",INDEX($A1991:$J1991,$R$6))</f>
        <v/>
      </c>
      <c r="S1991" s="37" t="str">
        <f aca="false">IF($M1991="","",IFERROR(INDEX(Settings!$B$27:$B$36,MATCH(L1991,Settings!$A$27:$A$36,0))&amp;"","UNMAPPED"))</f>
        <v/>
      </c>
      <c r="T1991" s="37" t="str">
        <f aca="false">IF($M1991="","",IF(NOT(ISNUMBER(R1991)),"NO DATE",IF(S1991="Won",IF(R1991&gt;Settings!$B$5,"Backlog","Delivered"),IF(S1991="Open",IF(R1991&gt;Settings!$B$5,"Pipeline","Overdue"),IF(S1991="Lost","Lost","UNMAPPED")))))</f>
        <v/>
      </c>
      <c r="U1991" s="40" t="n">
        <f aca="false">IF(T1991="Backlog",1,IF(OR(T1991="Pipeline",T1991="Overdue"),N(INDEX(Settings!$C$27:$C$36,MATCH(L1991,Settings!$A$27:$A$36,0))),0))</f>
        <v>0</v>
      </c>
      <c r="V1991" s="38" t="n">
        <f aca="false">Q1991*U1991</f>
        <v>0</v>
      </c>
      <c r="W1991" s="41" t="str">
        <f aca="false">IF($M1991="","",IF(T1991="Overdue",IF(Settings!$B$8="Yes",Settings!$B$7,""),IF(ISNUMBER(R1991),DATE(YEAR(R1991),MONTH(R1991),1),"")))</f>
        <v/>
      </c>
      <c r="X1991" s="38" t="n">
        <f aca="false">IF(AND(OR(T1991="Backlog",T1991="Pipeline",T1991="Overdue"),ISNUMBER(W1991)),IF(W1991&lt;=Settings!$B$6,V1991,0),0)</f>
        <v>0</v>
      </c>
      <c r="Y1991" s="38" t="n">
        <f aca="false">IF(AND(OR(T1991="Backlog",T1991="Pipeline",T1991="Overdue"),ISNUMBER(W1991)),IF(W1991&lt;=Settings!$B$6,Q1991,0),0)</f>
        <v>0</v>
      </c>
      <c r="Z1991" s="38" t="n">
        <f aca="false">IF(Y1991=0,0,IF(T1991="Backlog",Q1991,Q1991*Dashboard!$C$10))</f>
        <v>0</v>
      </c>
      <c r="AA1991" s="37" t="n">
        <f aca="false">IF($N1991="",0,IF(COUNTIF(Dashboard!$C$13:$C$22,$N1991)&gt;0,1,0))</f>
        <v>0</v>
      </c>
      <c r="AB1991" s="37" t="str">
        <f aca="false">IF($N1991="","",IF(COUNTIF($N$8:$N1991,$N1991)=1,MAX($AB$7:$AB1990)+1,""))</f>
        <v/>
      </c>
    </row>
    <row r="1992" customFormat="false" ht="15" hidden="false" customHeight="false" outlineLevel="0" collapsed="false">
      <c r="L1992" s="37" t="str">
        <f aca="false">IF(INDEX($A1992:$J1992,$L$6)&lt;&gt;"",TRIM(LEFT(INDEX($A1992:$J1992,$L$6),FIND("(",INDEX($A1992:$J1992,$L$6)&amp;"(")-1)),L1991)</f>
        <v>Building Value Proposition</v>
      </c>
      <c r="M1992" s="37" t="str">
        <f aca="false">IF(INDEX($A1992:$J1992,$M$6)="","",INDEX($A1992:$J1992,$M$6)&amp;"")</f>
        <v/>
      </c>
      <c r="N1992" s="37" t="str">
        <f aca="false">IF($M1992="","",TRIM(INDEX($A1992:$J1992,$N$6)&amp;""))</f>
        <v/>
      </c>
      <c r="O1992" s="37" t="str">
        <f aca="false">IF($M1992="","",TRIM(INDEX($A1992:$J1992,$O$6)&amp;""))</f>
        <v/>
      </c>
      <c r="P1992" s="37" t="str">
        <f aca="false">IF($M1992="","",IFERROR(IF(INDEX(Settings!$B$41:$B$50,MATCH(O1992,Settings!$A$41:$A$50,0))&amp;""="","UNMAPPED",INDEX(Settings!$B$41:$B$50,MATCH(O1992,Settings!$A$41:$A$50,0))&amp;""),"UNMAPPED"))</f>
        <v/>
      </c>
      <c r="Q1992" s="38" t="n">
        <f aca="false">IF($M1992="",0,N(INDEX($A1992:$J1992,$Q$6)))</f>
        <v>0</v>
      </c>
      <c r="R1992" s="39" t="str">
        <f aca="false">IF($M1992="","",INDEX($A1992:$J1992,$R$6))</f>
        <v/>
      </c>
      <c r="S1992" s="37" t="str">
        <f aca="false">IF($M1992="","",IFERROR(INDEX(Settings!$B$27:$B$36,MATCH(L1992,Settings!$A$27:$A$36,0))&amp;"","UNMAPPED"))</f>
        <v/>
      </c>
      <c r="T1992" s="37" t="str">
        <f aca="false">IF($M1992="","",IF(NOT(ISNUMBER(R1992)),"NO DATE",IF(S1992="Won",IF(R1992&gt;Settings!$B$5,"Backlog","Delivered"),IF(S1992="Open",IF(R1992&gt;Settings!$B$5,"Pipeline","Overdue"),IF(S1992="Lost","Lost","UNMAPPED")))))</f>
        <v/>
      </c>
      <c r="U1992" s="40" t="n">
        <f aca="false">IF(T1992="Backlog",1,IF(OR(T1992="Pipeline",T1992="Overdue"),N(INDEX(Settings!$C$27:$C$36,MATCH(L1992,Settings!$A$27:$A$36,0))),0))</f>
        <v>0</v>
      </c>
      <c r="V1992" s="38" t="n">
        <f aca="false">Q1992*U1992</f>
        <v>0</v>
      </c>
      <c r="W1992" s="41" t="str">
        <f aca="false">IF($M1992="","",IF(T1992="Overdue",IF(Settings!$B$8="Yes",Settings!$B$7,""),IF(ISNUMBER(R1992),DATE(YEAR(R1992),MONTH(R1992),1),"")))</f>
        <v/>
      </c>
      <c r="X1992" s="38" t="n">
        <f aca="false">IF(AND(OR(T1992="Backlog",T1992="Pipeline",T1992="Overdue"),ISNUMBER(W1992)),IF(W1992&lt;=Settings!$B$6,V1992,0),0)</f>
        <v>0</v>
      </c>
      <c r="Y1992" s="38" t="n">
        <f aca="false">IF(AND(OR(T1992="Backlog",T1992="Pipeline",T1992="Overdue"),ISNUMBER(W1992)),IF(W1992&lt;=Settings!$B$6,Q1992,0),0)</f>
        <v>0</v>
      </c>
      <c r="Z1992" s="38" t="n">
        <f aca="false">IF(Y1992=0,0,IF(T1992="Backlog",Q1992,Q1992*Dashboard!$C$10))</f>
        <v>0</v>
      </c>
      <c r="AA1992" s="37" t="n">
        <f aca="false">IF($N1992="",0,IF(COUNTIF(Dashboard!$C$13:$C$22,$N1992)&gt;0,1,0))</f>
        <v>0</v>
      </c>
      <c r="AB1992" s="37" t="str">
        <f aca="false">IF($N1992="","",IF(COUNTIF($N$8:$N1992,$N1992)=1,MAX($AB$7:$AB1991)+1,""))</f>
        <v/>
      </c>
    </row>
    <row r="1993" customFormat="false" ht="15" hidden="false" customHeight="false" outlineLevel="0" collapsed="false">
      <c r="L1993" s="37" t="str">
        <f aca="false">IF(INDEX($A1993:$J1993,$L$6)&lt;&gt;"",TRIM(LEFT(INDEX($A1993:$J1993,$L$6),FIND("(",INDEX($A1993:$J1993,$L$6)&amp;"(")-1)),L1992)</f>
        <v>Building Value Proposition</v>
      </c>
      <c r="M1993" s="37" t="str">
        <f aca="false">IF(INDEX($A1993:$J1993,$M$6)="","",INDEX($A1993:$J1993,$M$6)&amp;"")</f>
        <v/>
      </c>
      <c r="N1993" s="37" t="str">
        <f aca="false">IF($M1993="","",TRIM(INDEX($A1993:$J1993,$N$6)&amp;""))</f>
        <v/>
      </c>
      <c r="O1993" s="37" t="str">
        <f aca="false">IF($M1993="","",TRIM(INDEX($A1993:$J1993,$O$6)&amp;""))</f>
        <v/>
      </c>
      <c r="P1993" s="37" t="str">
        <f aca="false">IF($M1993="","",IFERROR(IF(INDEX(Settings!$B$41:$B$50,MATCH(O1993,Settings!$A$41:$A$50,0))&amp;""="","UNMAPPED",INDEX(Settings!$B$41:$B$50,MATCH(O1993,Settings!$A$41:$A$50,0))&amp;""),"UNMAPPED"))</f>
        <v/>
      </c>
      <c r="Q1993" s="38" t="n">
        <f aca="false">IF($M1993="",0,N(INDEX($A1993:$J1993,$Q$6)))</f>
        <v>0</v>
      </c>
      <c r="R1993" s="39" t="str">
        <f aca="false">IF($M1993="","",INDEX($A1993:$J1993,$R$6))</f>
        <v/>
      </c>
      <c r="S1993" s="37" t="str">
        <f aca="false">IF($M1993="","",IFERROR(INDEX(Settings!$B$27:$B$36,MATCH(L1993,Settings!$A$27:$A$36,0))&amp;"","UNMAPPED"))</f>
        <v/>
      </c>
      <c r="T1993" s="37" t="str">
        <f aca="false">IF($M1993="","",IF(NOT(ISNUMBER(R1993)),"NO DATE",IF(S1993="Won",IF(R1993&gt;Settings!$B$5,"Backlog","Delivered"),IF(S1993="Open",IF(R1993&gt;Settings!$B$5,"Pipeline","Overdue"),IF(S1993="Lost","Lost","UNMAPPED")))))</f>
        <v/>
      </c>
      <c r="U1993" s="40" t="n">
        <f aca="false">IF(T1993="Backlog",1,IF(OR(T1993="Pipeline",T1993="Overdue"),N(INDEX(Settings!$C$27:$C$36,MATCH(L1993,Settings!$A$27:$A$36,0))),0))</f>
        <v>0</v>
      </c>
      <c r="V1993" s="38" t="n">
        <f aca="false">Q1993*U1993</f>
        <v>0</v>
      </c>
      <c r="W1993" s="41" t="str">
        <f aca="false">IF($M1993="","",IF(T1993="Overdue",IF(Settings!$B$8="Yes",Settings!$B$7,""),IF(ISNUMBER(R1993),DATE(YEAR(R1993),MONTH(R1993),1),"")))</f>
        <v/>
      </c>
      <c r="X1993" s="38" t="n">
        <f aca="false">IF(AND(OR(T1993="Backlog",T1993="Pipeline",T1993="Overdue"),ISNUMBER(W1993)),IF(W1993&lt;=Settings!$B$6,V1993,0),0)</f>
        <v>0</v>
      </c>
      <c r="Y1993" s="38" t="n">
        <f aca="false">IF(AND(OR(T1993="Backlog",T1993="Pipeline",T1993="Overdue"),ISNUMBER(W1993)),IF(W1993&lt;=Settings!$B$6,Q1993,0),0)</f>
        <v>0</v>
      </c>
      <c r="Z1993" s="38" t="n">
        <f aca="false">IF(Y1993=0,0,IF(T1993="Backlog",Q1993,Q1993*Dashboard!$C$10))</f>
        <v>0</v>
      </c>
      <c r="AA1993" s="37" t="n">
        <f aca="false">IF($N1993="",0,IF(COUNTIF(Dashboard!$C$13:$C$22,$N1993)&gt;0,1,0))</f>
        <v>0</v>
      </c>
      <c r="AB1993" s="37" t="str">
        <f aca="false">IF($N1993="","",IF(COUNTIF($N$8:$N1993,$N1993)=1,MAX($AB$7:$AB1992)+1,""))</f>
        <v/>
      </c>
    </row>
    <row r="1994" customFormat="false" ht="15" hidden="false" customHeight="false" outlineLevel="0" collapsed="false">
      <c r="L1994" s="37" t="str">
        <f aca="false">IF(INDEX($A1994:$J1994,$L$6)&lt;&gt;"",TRIM(LEFT(INDEX($A1994:$J1994,$L$6),FIND("(",INDEX($A1994:$J1994,$L$6)&amp;"(")-1)),L1993)</f>
        <v>Building Value Proposition</v>
      </c>
      <c r="M1994" s="37" t="str">
        <f aca="false">IF(INDEX($A1994:$J1994,$M$6)="","",INDEX($A1994:$J1994,$M$6)&amp;"")</f>
        <v/>
      </c>
      <c r="N1994" s="37" t="str">
        <f aca="false">IF($M1994="","",TRIM(INDEX($A1994:$J1994,$N$6)&amp;""))</f>
        <v/>
      </c>
      <c r="O1994" s="37" t="str">
        <f aca="false">IF($M1994="","",TRIM(INDEX($A1994:$J1994,$O$6)&amp;""))</f>
        <v/>
      </c>
      <c r="P1994" s="37" t="str">
        <f aca="false">IF($M1994="","",IFERROR(IF(INDEX(Settings!$B$41:$B$50,MATCH(O1994,Settings!$A$41:$A$50,0))&amp;""="","UNMAPPED",INDEX(Settings!$B$41:$B$50,MATCH(O1994,Settings!$A$41:$A$50,0))&amp;""),"UNMAPPED"))</f>
        <v/>
      </c>
      <c r="Q1994" s="38" t="n">
        <f aca="false">IF($M1994="",0,N(INDEX($A1994:$J1994,$Q$6)))</f>
        <v>0</v>
      </c>
      <c r="R1994" s="39" t="str">
        <f aca="false">IF($M1994="","",INDEX($A1994:$J1994,$R$6))</f>
        <v/>
      </c>
      <c r="S1994" s="37" t="str">
        <f aca="false">IF($M1994="","",IFERROR(INDEX(Settings!$B$27:$B$36,MATCH(L1994,Settings!$A$27:$A$36,0))&amp;"","UNMAPPED"))</f>
        <v/>
      </c>
      <c r="T1994" s="37" t="str">
        <f aca="false">IF($M1994="","",IF(NOT(ISNUMBER(R1994)),"NO DATE",IF(S1994="Won",IF(R1994&gt;Settings!$B$5,"Backlog","Delivered"),IF(S1994="Open",IF(R1994&gt;Settings!$B$5,"Pipeline","Overdue"),IF(S1994="Lost","Lost","UNMAPPED")))))</f>
        <v/>
      </c>
      <c r="U1994" s="40" t="n">
        <f aca="false">IF(T1994="Backlog",1,IF(OR(T1994="Pipeline",T1994="Overdue"),N(INDEX(Settings!$C$27:$C$36,MATCH(L1994,Settings!$A$27:$A$36,0))),0))</f>
        <v>0</v>
      </c>
      <c r="V1994" s="38" t="n">
        <f aca="false">Q1994*U1994</f>
        <v>0</v>
      </c>
      <c r="W1994" s="41" t="str">
        <f aca="false">IF($M1994="","",IF(T1994="Overdue",IF(Settings!$B$8="Yes",Settings!$B$7,""),IF(ISNUMBER(R1994),DATE(YEAR(R1994),MONTH(R1994),1),"")))</f>
        <v/>
      </c>
      <c r="X1994" s="38" t="n">
        <f aca="false">IF(AND(OR(T1994="Backlog",T1994="Pipeline",T1994="Overdue"),ISNUMBER(W1994)),IF(W1994&lt;=Settings!$B$6,V1994,0),0)</f>
        <v>0</v>
      </c>
      <c r="Y1994" s="38" t="n">
        <f aca="false">IF(AND(OR(T1994="Backlog",T1994="Pipeline",T1994="Overdue"),ISNUMBER(W1994)),IF(W1994&lt;=Settings!$B$6,Q1994,0),0)</f>
        <v>0</v>
      </c>
      <c r="Z1994" s="38" t="n">
        <f aca="false">IF(Y1994=0,0,IF(T1994="Backlog",Q1994,Q1994*Dashboard!$C$10))</f>
        <v>0</v>
      </c>
      <c r="AA1994" s="37" t="n">
        <f aca="false">IF($N1994="",0,IF(COUNTIF(Dashboard!$C$13:$C$22,$N1994)&gt;0,1,0))</f>
        <v>0</v>
      </c>
      <c r="AB1994" s="37" t="str">
        <f aca="false">IF($N1994="","",IF(COUNTIF($N$8:$N1994,$N1994)=1,MAX($AB$7:$AB1993)+1,""))</f>
        <v/>
      </c>
    </row>
    <row r="1995" customFormat="false" ht="15" hidden="false" customHeight="false" outlineLevel="0" collapsed="false">
      <c r="L1995" s="37" t="str">
        <f aca="false">IF(INDEX($A1995:$J1995,$L$6)&lt;&gt;"",TRIM(LEFT(INDEX($A1995:$J1995,$L$6),FIND("(",INDEX($A1995:$J1995,$L$6)&amp;"(")-1)),L1994)</f>
        <v>Building Value Proposition</v>
      </c>
      <c r="M1995" s="37" t="str">
        <f aca="false">IF(INDEX($A1995:$J1995,$M$6)="","",INDEX($A1995:$J1995,$M$6)&amp;"")</f>
        <v/>
      </c>
      <c r="N1995" s="37" t="str">
        <f aca="false">IF($M1995="","",TRIM(INDEX($A1995:$J1995,$N$6)&amp;""))</f>
        <v/>
      </c>
      <c r="O1995" s="37" t="str">
        <f aca="false">IF($M1995="","",TRIM(INDEX($A1995:$J1995,$O$6)&amp;""))</f>
        <v/>
      </c>
      <c r="P1995" s="37" t="str">
        <f aca="false">IF($M1995="","",IFERROR(IF(INDEX(Settings!$B$41:$B$50,MATCH(O1995,Settings!$A$41:$A$50,0))&amp;""="","UNMAPPED",INDEX(Settings!$B$41:$B$50,MATCH(O1995,Settings!$A$41:$A$50,0))&amp;""),"UNMAPPED"))</f>
        <v/>
      </c>
      <c r="Q1995" s="38" t="n">
        <f aca="false">IF($M1995="",0,N(INDEX($A1995:$J1995,$Q$6)))</f>
        <v>0</v>
      </c>
      <c r="R1995" s="39" t="str">
        <f aca="false">IF($M1995="","",INDEX($A1995:$J1995,$R$6))</f>
        <v/>
      </c>
      <c r="S1995" s="37" t="str">
        <f aca="false">IF($M1995="","",IFERROR(INDEX(Settings!$B$27:$B$36,MATCH(L1995,Settings!$A$27:$A$36,0))&amp;"","UNMAPPED"))</f>
        <v/>
      </c>
      <c r="T1995" s="37" t="str">
        <f aca="false">IF($M1995="","",IF(NOT(ISNUMBER(R1995)),"NO DATE",IF(S1995="Won",IF(R1995&gt;Settings!$B$5,"Backlog","Delivered"),IF(S1995="Open",IF(R1995&gt;Settings!$B$5,"Pipeline","Overdue"),IF(S1995="Lost","Lost","UNMAPPED")))))</f>
        <v/>
      </c>
      <c r="U1995" s="40" t="n">
        <f aca="false">IF(T1995="Backlog",1,IF(OR(T1995="Pipeline",T1995="Overdue"),N(INDEX(Settings!$C$27:$C$36,MATCH(L1995,Settings!$A$27:$A$36,0))),0))</f>
        <v>0</v>
      </c>
      <c r="V1995" s="38" t="n">
        <f aca="false">Q1995*U1995</f>
        <v>0</v>
      </c>
      <c r="W1995" s="41" t="str">
        <f aca="false">IF($M1995="","",IF(T1995="Overdue",IF(Settings!$B$8="Yes",Settings!$B$7,""),IF(ISNUMBER(R1995),DATE(YEAR(R1995),MONTH(R1995),1),"")))</f>
        <v/>
      </c>
      <c r="X1995" s="38" t="n">
        <f aca="false">IF(AND(OR(T1995="Backlog",T1995="Pipeline",T1995="Overdue"),ISNUMBER(W1995)),IF(W1995&lt;=Settings!$B$6,V1995,0),0)</f>
        <v>0</v>
      </c>
      <c r="Y1995" s="38" t="n">
        <f aca="false">IF(AND(OR(T1995="Backlog",T1995="Pipeline",T1995="Overdue"),ISNUMBER(W1995)),IF(W1995&lt;=Settings!$B$6,Q1995,0),0)</f>
        <v>0</v>
      </c>
      <c r="Z1995" s="38" t="n">
        <f aca="false">IF(Y1995=0,0,IF(T1995="Backlog",Q1995,Q1995*Dashboard!$C$10))</f>
        <v>0</v>
      </c>
      <c r="AA1995" s="37" t="n">
        <f aca="false">IF($N1995="",0,IF(COUNTIF(Dashboard!$C$13:$C$22,$N1995)&gt;0,1,0))</f>
        <v>0</v>
      </c>
      <c r="AB1995" s="37" t="str">
        <f aca="false">IF($N1995="","",IF(COUNTIF($N$8:$N1995,$N1995)=1,MAX($AB$7:$AB1994)+1,""))</f>
        <v/>
      </c>
    </row>
    <row r="1996" customFormat="false" ht="15" hidden="false" customHeight="false" outlineLevel="0" collapsed="false">
      <c r="L1996" s="37" t="str">
        <f aca="false">IF(INDEX($A1996:$J1996,$L$6)&lt;&gt;"",TRIM(LEFT(INDEX($A1996:$J1996,$L$6),FIND("(",INDEX($A1996:$J1996,$L$6)&amp;"(")-1)),L1995)</f>
        <v>Building Value Proposition</v>
      </c>
      <c r="M1996" s="37" t="str">
        <f aca="false">IF(INDEX($A1996:$J1996,$M$6)="","",INDEX($A1996:$J1996,$M$6)&amp;"")</f>
        <v/>
      </c>
      <c r="N1996" s="37" t="str">
        <f aca="false">IF($M1996="","",TRIM(INDEX($A1996:$J1996,$N$6)&amp;""))</f>
        <v/>
      </c>
      <c r="O1996" s="37" t="str">
        <f aca="false">IF($M1996="","",TRIM(INDEX($A1996:$J1996,$O$6)&amp;""))</f>
        <v/>
      </c>
      <c r="P1996" s="37" t="str">
        <f aca="false">IF($M1996="","",IFERROR(IF(INDEX(Settings!$B$41:$B$50,MATCH(O1996,Settings!$A$41:$A$50,0))&amp;""="","UNMAPPED",INDEX(Settings!$B$41:$B$50,MATCH(O1996,Settings!$A$41:$A$50,0))&amp;""),"UNMAPPED"))</f>
        <v/>
      </c>
      <c r="Q1996" s="38" t="n">
        <f aca="false">IF($M1996="",0,N(INDEX($A1996:$J1996,$Q$6)))</f>
        <v>0</v>
      </c>
      <c r="R1996" s="39" t="str">
        <f aca="false">IF($M1996="","",INDEX($A1996:$J1996,$R$6))</f>
        <v/>
      </c>
      <c r="S1996" s="37" t="str">
        <f aca="false">IF($M1996="","",IFERROR(INDEX(Settings!$B$27:$B$36,MATCH(L1996,Settings!$A$27:$A$36,0))&amp;"","UNMAPPED"))</f>
        <v/>
      </c>
      <c r="T1996" s="37" t="str">
        <f aca="false">IF($M1996="","",IF(NOT(ISNUMBER(R1996)),"NO DATE",IF(S1996="Won",IF(R1996&gt;Settings!$B$5,"Backlog","Delivered"),IF(S1996="Open",IF(R1996&gt;Settings!$B$5,"Pipeline","Overdue"),IF(S1996="Lost","Lost","UNMAPPED")))))</f>
        <v/>
      </c>
      <c r="U1996" s="40" t="n">
        <f aca="false">IF(T1996="Backlog",1,IF(OR(T1996="Pipeline",T1996="Overdue"),N(INDEX(Settings!$C$27:$C$36,MATCH(L1996,Settings!$A$27:$A$36,0))),0))</f>
        <v>0</v>
      </c>
      <c r="V1996" s="38" t="n">
        <f aca="false">Q1996*U1996</f>
        <v>0</v>
      </c>
      <c r="W1996" s="41" t="str">
        <f aca="false">IF($M1996="","",IF(T1996="Overdue",IF(Settings!$B$8="Yes",Settings!$B$7,""),IF(ISNUMBER(R1996),DATE(YEAR(R1996),MONTH(R1996),1),"")))</f>
        <v/>
      </c>
      <c r="X1996" s="38" t="n">
        <f aca="false">IF(AND(OR(T1996="Backlog",T1996="Pipeline",T1996="Overdue"),ISNUMBER(W1996)),IF(W1996&lt;=Settings!$B$6,V1996,0),0)</f>
        <v>0</v>
      </c>
      <c r="Y1996" s="38" t="n">
        <f aca="false">IF(AND(OR(T1996="Backlog",T1996="Pipeline",T1996="Overdue"),ISNUMBER(W1996)),IF(W1996&lt;=Settings!$B$6,Q1996,0),0)</f>
        <v>0</v>
      </c>
      <c r="Z1996" s="38" t="n">
        <f aca="false">IF(Y1996=0,0,IF(T1996="Backlog",Q1996,Q1996*Dashboard!$C$10))</f>
        <v>0</v>
      </c>
      <c r="AA1996" s="37" t="n">
        <f aca="false">IF($N1996="",0,IF(COUNTIF(Dashboard!$C$13:$C$22,$N1996)&gt;0,1,0))</f>
        <v>0</v>
      </c>
      <c r="AB1996" s="37" t="str">
        <f aca="false">IF($N1996="","",IF(COUNTIF($N$8:$N1996,$N1996)=1,MAX($AB$7:$AB1995)+1,""))</f>
        <v/>
      </c>
    </row>
    <row r="1997" customFormat="false" ht="15" hidden="false" customHeight="false" outlineLevel="0" collapsed="false">
      <c r="L1997" s="37" t="str">
        <f aca="false">IF(INDEX($A1997:$J1997,$L$6)&lt;&gt;"",TRIM(LEFT(INDEX($A1997:$J1997,$L$6),FIND("(",INDEX($A1997:$J1997,$L$6)&amp;"(")-1)),L1996)</f>
        <v>Building Value Proposition</v>
      </c>
      <c r="M1997" s="37" t="str">
        <f aca="false">IF(INDEX($A1997:$J1997,$M$6)="","",INDEX($A1997:$J1997,$M$6)&amp;"")</f>
        <v/>
      </c>
      <c r="N1997" s="37" t="str">
        <f aca="false">IF($M1997="","",TRIM(INDEX($A1997:$J1997,$N$6)&amp;""))</f>
        <v/>
      </c>
      <c r="O1997" s="37" t="str">
        <f aca="false">IF($M1997="","",TRIM(INDEX($A1997:$J1997,$O$6)&amp;""))</f>
        <v/>
      </c>
      <c r="P1997" s="37" t="str">
        <f aca="false">IF($M1997="","",IFERROR(IF(INDEX(Settings!$B$41:$B$50,MATCH(O1997,Settings!$A$41:$A$50,0))&amp;""="","UNMAPPED",INDEX(Settings!$B$41:$B$50,MATCH(O1997,Settings!$A$41:$A$50,0))&amp;""),"UNMAPPED"))</f>
        <v/>
      </c>
      <c r="Q1997" s="38" t="n">
        <f aca="false">IF($M1997="",0,N(INDEX($A1997:$J1997,$Q$6)))</f>
        <v>0</v>
      </c>
      <c r="R1997" s="39" t="str">
        <f aca="false">IF($M1997="","",INDEX($A1997:$J1997,$R$6))</f>
        <v/>
      </c>
      <c r="S1997" s="37" t="str">
        <f aca="false">IF($M1997="","",IFERROR(INDEX(Settings!$B$27:$B$36,MATCH(L1997,Settings!$A$27:$A$36,0))&amp;"","UNMAPPED"))</f>
        <v/>
      </c>
      <c r="T1997" s="37" t="str">
        <f aca="false">IF($M1997="","",IF(NOT(ISNUMBER(R1997)),"NO DATE",IF(S1997="Won",IF(R1997&gt;Settings!$B$5,"Backlog","Delivered"),IF(S1997="Open",IF(R1997&gt;Settings!$B$5,"Pipeline","Overdue"),IF(S1997="Lost","Lost","UNMAPPED")))))</f>
        <v/>
      </c>
      <c r="U1997" s="40" t="n">
        <f aca="false">IF(T1997="Backlog",1,IF(OR(T1997="Pipeline",T1997="Overdue"),N(INDEX(Settings!$C$27:$C$36,MATCH(L1997,Settings!$A$27:$A$36,0))),0))</f>
        <v>0</v>
      </c>
      <c r="V1997" s="38" t="n">
        <f aca="false">Q1997*U1997</f>
        <v>0</v>
      </c>
      <c r="W1997" s="41" t="str">
        <f aca="false">IF($M1997="","",IF(T1997="Overdue",IF(Settings!$B$8="Yes",Settings!$B$7,""),IF(ISNUMBER(R1997),DATE(YEAR(R1997),MONTH(R1997),1),"")))</f>
        <v/>
      </c>
      <c r="X1997" s="38" t="n">
        <f aca="false">IF(AND(OR(T1997="Backlog",T1997="Pipeline",T1997="Overdue"),ISNUMBER(W1997)),IF(W1997&lt;=Settings!$B$6,V1997,0),0)</f>
        <v>0</v>
      </c>
      <c r="Y1997" s="38" t="n">
        <f aca="false">IF(AND(OR(T1997="Backlog",T1997="Pipeline",T1997="Overdue"),ISNUMBER(W1997)),IF(W1997&lt;=Settings!$B$6,Q1997,0),0)</f>
        <v>0</v>
      </c>
      <c r="Z1997" s="38" t="n">
        <f aca="false">IF(Y1997=0,0,IF(T1997="Backlog",Q1997,Q1997*Dashboard!$C$10))</f>
        <v>0</v>
      </c>
      <c r="AA1997" s="37" t="n">
        <f aca="false">IF($N1997="",0,IF(COUNTIF(Dashboard!$C$13:$C$22,$N1997)&gt;0,1,0))</f>
        <v>0</v>
      </c>
      <c r="AB1997" s="37" t="str">
        <f aca="false">IF($N1997="","",IF(COUNTIF($N$8:$N1997,$N1997)=1,MAX($AB$7:$AB1996)+1,""))</f>
        <v/>
      </c>
    </row>
    <row r="1998" customFormat="false" ht="15" hidden="false" customHeight="false" outlineLevel="0" collapsed="false">
      <c r="L1998" s="37" t="str">
        <f aca="false">IF(INDEX($A1998:$J1998,$L$6)&lt;&gt;"",TRIM(LEFT(INDEX($A1998:$J1998,$L$6),FIND("(",INDEX($A1998:$J1998,$L$6)&amp;"(")-1)),L1997)</f>
        <v>Building Value Proposition</v>
      </c>
      <c r="M1998" s="37" t="str">
        <f aca="false">IF(INDEX($A1998:$J1998,$M$6)="","",INDEX($A1998:$J1998,$M$6)&amp;"")</f>
        <v/>
      </c>
      <c r="N1998" s="37" t="str">
        <f aca="false">IF($M1998="","",TRIM(INDEX($A1998:$J1998,$N$6)&amp;""))</f>
        <v/>
      </c>
      <c r="O1998" s="37" t="str">
        <f aca="false">IF($M1998="","",TRIM(INDEX($A1998:$J1998,$O$6)&amp;""))</f>
        <v/>
      </c>
      <c r="P1998" s="37" t="str">
        <f aca="false">IF($M1998="","",IFERROR(IF(INDEX(Settings!$B$41:$B$50,MATCH(O1998,Settings!$A$41:$A$50,0))&amp;""="","UNMAPPED",INDEX(Settings!$B$41:$B$50,MATCH(O1998,Settings!$A$41:$A$50,0))&amp;""),"UNMAPPED"))</f>
        <v/>
      </c>
      <c r="Q1998" s="38" t="n">
        <f aca="false">IF($M1998="",0,N(INDEX($A1998:$J1998,$Q$6)))</f>
        <v>0</v>
      </c>
      <c r="R1998" s="39" t="str">
        <f aca="false">IF($M1998="","",INDEX($A1998:$J1998,$R$6))</f>
        <v/>
      </c>
      <c r="S1998" s="37" t="str">
        <f aca="false">IF($M1998="","",IFERROR(INDEX(Settings!$B$27:$B$36,MATCH(L1998,Settings!$A$27:$A$36,0))&amp;"","UNMAPPED"))</f>
        <v/>
      </c>
      <c r="T1998" s="37" t="str">
        <f aca="false">IF($M1998="","",IF(NOT(ISNUMBER(R1998)),"NO DATE",IF(S1998="Won",IF(R1998&gt;Settings!$B$5,"Backlog","Delivered"),IF(S1998="Open",IF(R1998&gt;Settings!$B$5,"Pipeline","Overdue"),IF(S1998="Lost","Lost","UNMAPPED")))))</f>
        <v/>
      </c>
      <c r="U1998" s="40" t="n">
        <f aca="false">IF(T1998="Backlog",1,IF(OR(T1998="Pipeline",T1998="Overdue"),N(INDEX(Settings!$C$27:$C$36,MATCH(L1998,Settings!$A$27:$A$36,0))),0))</f>
        <v>0</v>
      </c>
      <c r="V1998" s="38" t="n">
        <f aca="false">Q1998*U1998</f>
        <v>0</v>
      </c>
      <c r="W1998" s="41" t="str">
        <f aca="false">IF($M1998="","",IF(T1998="Overdue",IF(Settings!$B$8="Yes",Settings!$B$7,""),IF(ISNUMBER(R1998),DATE(YEAR(R1998),MONTH(R1998),1),"")))</f>
        <v/>
      </c>
      <c r="X1998" s="38" t="n">
        <f aca="false">IF(AND(OR(T1998="Backlog",T1998="Pipeline",T1998="Overdue"),ISNUMBER(W1998)),IF(W1998&lt;=Settings!$B$6,V1998,0),0)</f>
        <v>0</v>
      </c>
      <c r="Y1998" s="38" t="n">
        <f aca="false">IF(AND(OR(T1998="Backlog",T1998="Pipeline",T1998="Overdue"),ISNUMBER(W1998)),IF(W1998&lt;=Settings!$B$6,Q1998,0),0)</f>
        <v>0</v>
      </c>
      <c r="Z1998" s="38" t="n">
        <f aca="false">IF(Y1998=0,0,IF(T1998="Backlog",Q1998,Q1998*Dashboard!$C$10))</f>
        <v>0</v>
      </c>
      <c r="AA1998" s="37" t="n">
        <f aca="false">IF($N1998="",0,IF(COUNTIF(Dashboard!$C$13:$C$22,$N1998)&gt;0,1,0))</f>
        <v>0</v>
      </c>
      <c r="AB1998" s="37" t="str">
        <f aca="false">IF($N1998="","",IF(COUNTIF($N$8:$N1998,$N1998)=1,MAX($AB$7:$AB1997)+1,""))</f>
        <v/>
      </c>
    </row>
    <row r="1999" customFormat="false" ht="15" hidden="false" customHeight="false" outlineLevel="0" collapsed="false">
      <c r="L1999" s="37" t="str">
        <f aca="false">IF(INDEX($A1999:$J1999,$L$6)&lt;&gt;"",TRIM(LEFT(INDEX($A1999:$J1999,$L$6),FIND("(",INDEX($A1999:$J1999,$L$6)&amp;"(")-1)),L1998)</f>
        <v>Building Value Proposition</v>
      </c>
      <c r="M1999" s="37" t="str">
        <f aca="false">IF(INDEX($A1999:$J1999,$M$6)="","",INDEX($A1999:$J1999,$M$6)&amp;"")</f>
        <v/>
      </c>
      <c r="N1999" s="37" t="str">
        <f aca="false">IF($M1999="","",TRIM(INDEX($A1999:$J1999,$N$6)&amp;""))</f>
        <v/>
      </c>
      <c r="O1999" s="37" t="str">
        <f aca="false">IF($M1999="","",TRIM(INDEX($A1999:$J1999,$O$6)&amp;""))</f>
        <v/>
      </c>
      <c r="P1999" s="37" t="str">
        <f aca="false">IF($M1999="","",IFERROR(IF(INDEX(Settings!$B$41:$B$50,MATCH(O1999,Settings!$A$41:$A$50,0))&amp;""="","UNMAPPED",INDEX(Settings!$B$41:$B$50,MATCH(O1999,Settings!$A$41:$A$50,0))&amp;""),"UNMAPPED"))</f>
        <v/>
      </c>
      <c r="Q1999" s="38" t="n">
        <f aca="false">IF($M1999="",0,N(INDEX($A1999:$J1999,$Q$6)))</f>
        <v>0</v>
      </c>
      <c r="R1999" s="39" t="str">
        <f aca="false">IF($M1999="","",INDEX($A1999:$J1999,$R$6))</f>
        <v/>
      </c>
      <c r="S1999" s="37" t="str">
        <f aca="false">IF($M1999="","",IFERROR(INDEX(Settings!$B$27:$B$36,MATCH(L1999,Settings!$A$27:$A$36,0))&amp;"","UNMAPPED"))</f>
        <v/>
      </c>
      <c r="T1999" s="37" t="str">
        <f aca="false">IF($M1999="","",IF(NOT(ISNUMBER(R1999)),"NO DATE",IF(S1999="Won",IF(R1999&gt;Settings!$B$5,"Backlog","Delivered"),IF(S1999="Open",IF(R1999&gt;Settings!$B$5,"Pipeline","Overdue"),IF(S1999="Lost","Lost","UNMAPPED")))))</f>
        <v/>
      </c>
      <c r="U1999" s="40" t="n">
        <f aca="false">IF(T1999="Backlog",1,IF(OR(T1999="Pipeline",T1999="Overdue"),N(INDEX(Settings!$C$27:$C$36,MATCH(L1999,Settings!$A$27:$A$36,0))),0))</f>
        <v>0</v>
      </c>
      <c r="V1999" s="38" t="n">
        <f aca="false">Q1999*U1999</f>
        <v>0</v>
      </c>
      <c r="W1999" s="41" t="str">
        <f aca="false">IF($M1999="","",IF(T1999="Overdue",IF(Settings!$B$8="Yes",Settings!$B$7,""),IF(ISNUMBER(R1999),DATE(YEAR(R1999),MONTH(R1999),1),"")))</f>
        <v/>
      </c>
      <c r="X1999" s="38" t="n">
        <f aca="false">IF(AND(OR(T1999="Backlog",T1999="Pipeline",T1999="Overdue"),ISNUMBER(W1999)),IF(W1999&lt;=Settings!$B$6,V1999,0),0)</f>
        <v>0</v>
      </c>
      <c r="Y1999" s="38" t="n">
        <f aca="false">IF(AND(OR(T1999="Backlog",T1999="Pipeline",T1999="Overdue"),ISNUMBER(W1999)),IF(W1999&lt;=Settings!$B$6,Q1999,0),0)</f>
        <v>0</v>
      </c>
      <c r="Z1999" s="38" t="n">
        <f aca="false">IF(Y1999=0,0,IF(T1999="Backlog",Q1999,Q1999*Dashboard!$C$10))</f>
        <v>0</v>
      </c>
      <c r="AA1999" s="37" t="n">
        <f aca="false">IF($N1999="",0,IF(COUNTIF(Dashboard!$C$13:$C$22,$N1999)&gt;0,1,0))</f>
        <v>0</v>
      </c>
      <c r="AB1999" s="37" t="str">
        <f aca="false">IF($N1999="","",IF(COUNTIF($N$8:$N1999,$N1999)=1,MAX($AB$7:$AB1998)+1,""))</f>
        <v/>
      </c>
    </row>
    <row r="2000" customFormat="false" ht="15" hidden="false" customHeight="false" outlineLevel="0" collapsed="false">
      <c r="L2000" s="37" t="str">
        <f aca="false">IF(INDEX($A2000:$J2000,$L$6)&lt;&gt;"",TRIM(LEFT(INDEX($A2000:$J2000,$L$6),FIND("(",INDEX($A2000:$J2000,$L$6)&amp;"(")-1)),L1999)</f>
        <v>Building Value Proposition</v>
      </c>
      <c r="M2000" s="37" t="str">
        <f aca="false">IF(INDEX($A2000:$J2000,$M$6)="","",INDEX($A2000:$J2000,$M$6)&amp;"")</f>
        <v/>
      </c>
      <c r="N2000" s="37" t="str">
        <f aca="false">IF($M2000="","",TRIM(INDEX($A2000:$J2000,$N$6)&amp;""))</f>
        <v/>
      </c>
      <c r="O2000" s="37" t="str">
        <f aca="false">IF($M2000="","",TRIM(INDEX($A2000:$J2000,$O$6)&amp;""))</f>
        <v/>
      </c>
      <c r="P2000" s="37" t="str">
        <f aca="false">IF($M2000="","",IFERROR(IF(INDEX(Settings!$B$41:$B$50,MATCH(O2000,Settings!$A$41:$A$50,0))&amp;""="","UNMAPPED",INDEX(Settings!$B$41:$B$50,MATCH(O2000,Settings!$A$41:$A$50,0))&amp;""),"UNMAPPED"))</f>
        <v/>
      </c>
      <c r="Q2000" s="38" t="n">
        <f aca="false">IF($M2000="",0,N(INDEX($A2000:$J2000,$Q$6)))</f>
        <v>0</v>
      </c>
      <c r="R2000" s="39" t="str">
        <f aca="false">IF($M2000="","",INDEX($A2000:$J2000,$R$6))</f>
        <v/>
      </c>
      <c r="S2000" s="37" t="str">
        <f aca="false">IF($M2000="","",IFERROR(INDEX(Settings!$B$27:$B$36,MATCH(L2000,Settings!$A$27:$A$36,0))&amp;"","UNMAPPED"))</f>
        <v/>
      </c>
      <c r="T2000" s="37" t="str">
        <f aca="false">IF($M2000="","",IF(NOT(ISNUMBER(R2000)),"NO DATE",IF(S2000="Won",IF(R2000&gt;Settings!$B$5,"Backlog","Delivered"),IF(S2000="Open",IF(R2000&gt;Settings!$B$5,"Pipeline","Overdue"),IF(S2000="Lost","Lost","UNMAPPED")))))</f>
        <v/>
      </c>
      <c r="U2000" s="40" t="n">
        <f aca="false">IF(T2000="Backlog",1,IF(OR(T2000="Pipeline",T2000="Overdue"),N(INDEX(Settings!$C$27:$C$36,MATCH(L2000,Settings!$A$27:$A$36,0))),0))</f>
        <v>0</v>
      </c>
      <c r="V2000" s="38" t="n">
        <f aca="false">Q2000*U2000</f>
        <v>0</v>
      </c>
      <c r="W2000" s="41" t="str">
        <f aca="false">IF($M2000="","",IF(T2000="Overdue",IF(Settings!$B$8="Yes",Settings!$B$7,""),IF(ISNUMBER(R2000),DATE(YEAR(R2000),MONTH(R2000),1),"")))</f>
        <v/>
      </c>
      <c r="X2000" s="38" t="n">
        <f aca="false">IF(AND(OR(T2000="Backlog",T2000="Pipeline",T2000="Overdue"),ISNUMBER(W2000)),IF(W2000&lt;=Settings!$B$6,V2000,0),0)</f>
        <v>0</v>
      </c>
      <c r="Y2000" s="38" t="n">
        <f aca="false">IF(AND(OR(T2000="Backlog",T2000="Pipeline",T2000="Overdue"),ISNUMBER(W2000)),IF(W2000&lt;=Settings!$B$6,Q2000,0),0)</f>
        <v>0</v>
      </c>
      <c r="Z2000" s="38" t="n">
        <f aca="false">IF(Y2000=0,0,IF(T2000="Backlog",Q2000,Q2000*Dashboard!$C$10))</f>
        <v>0</v>
      </c>
      <c r="AA2000" s="37" t="n">
        <f aca="false">IF($N2000="",0,IF(COUNTIF(Dashboard!$C$13:$C$22,$N2000)&gt;0,1,0))</f>
        <v>0</v>
      </c>
      <c r="AB2000" s="37" t="str">
        <f aca="false">IF($N2000="","",IF(COUNTIF($N$8:$N2000,$N2000)=1,MAX($AB$7:$AB1999)+1,""))</f>
        <v/>
      </c>
    </row>
    <row r="2001" customFormat="false" ht="15" hidden="false" customHeight="false" outlineLevel="0" collapsed="false">
      <c r="L2001" s="37" t="str">
        <f aca="false">IF(INDEX($A2001:$J2001,$L$6)&lt;&gt;"",TRIM(LEFT(INDEX($A2001:$J2001,$L$6),FIND("(",INDEX($A2001:$J2001,$L$6)&amp;"(")-1)),L2000)</f>
        <v>Building Value Proposition</v>
      </c>
      <c r="M2001" s="37" t="str">
        <f aca="false">IF(INDEX($A2001:$J2001,$M$6)="","",INDEX($A2001:$J2001,$M$6)&amp;"")</f>
        <v/>
      </c>
      <c r="N2001" s="37" t="str">
        <f aca="false">IF($M2001="","",TRIM(INDEX($A2001:$J2001,$N$6)&amp;""))</f>
        <v/>
      </c>
      <c r="O2001" s="37" t="str">
        <f aca="false">IF($M2001="","",TRIM(INDEX($A2001:$J2001,$O$6)&amp;""))</f>
        <v/>
      </c>
      <c r="P2001" s="37" t="str">
        <f aca="false">IF($M2001="","",IFERROR(IF(INDEX(Settings!$B$41:$B$50,MATCH(O2001,Settings!$A$41:$A$50,0))&amp;""="","UNMAPPED",INDEX(Settings!$B$41:$B$50,MATCH(O2001,Settings!$A$41:$A$50,0))&amp;""),"UNMAPPED"))</f>
        <v/>
      </c>
      <c r="Q2001" s="38" t="n">
        <f aca="false">IF($M2001="",0,N(INDEX($A2001:$J2001,$Q$6)))</f>
        <v>0</v>
      </c>
      <c r="R2001" s="39" t="str">
        <f aca="false">IF($M2001="","",INDEX($A2001:$J2001,$R$6))</f>
        <v/>
      </c>
      <c r="S2001" s="37" t="str">
        <f aca="false">IF($M2001="","",IFERROR(INDEX(Settings!$B$27:$B$36,MATCH(L2001,Settings!$A$27:$A$36,0))&amp;"","UNMAPPED"))</f>
        <v/>
      </c>
      <c r="T2001" s="37" t="str">
        <f aca="false">IF($M2001="","",IF(NOT(ISNUMBER(R2001)),"NO DATE",IF(S2001="Won",IF(R2001&gt;Settings!$B$5,"Backlog","Delivered"),IF(S2001="Open",IF(R2001&gt;Settings!$B$5,"Pipeline","Overdue"),IF(S2001="Lost","Lost","UNMAPPED")))))</f>
        <v/>
      </c>
      <c r="U2001" s="40" t="n">
        <f aca="false">IF(T2001="Backlog",1,IF(OR(T2001="Pipeline",T2001="Overdue"),N(INDEX(Settings!$C$27:$C$36,MATCH(L2001,Settings!$A$27:$A$36,0))),0))</f>
        <v>0</v>
      </c>
      <c r="V2001" s="38" t="n">
        <f aca="false">Q2001*U2001</f>
        <v>0</v>
      </c>
      <c r="W2001" s="41" t="str">
        <f aca="false">IF($M2001="","",IF(T2001="Overdue",IF(Settings!$B$8="Yes",Settings!$B$7,""),IF(ISNUMBER(R2001),DATE(YEAR(R2001),MONTH(R2001),1),"")))</f>
        <v/>
      </c>
      <c r="X2001" s="38" t="n">
        <f aca="false">IF(AND(OR(T2001="Backlog",T2001="Pipeline",T2001="Overdue"),ISNUMBER(W2001)),IF(W2001&lt;=Settings!$B$6,V2001,0),0)</f>
        <v>0</v>
      </c>
      <c r="Y2001" s="38" t="n">
        <f aca="false">IF(AND(OR(T2001="Backlog",T2001="Pipeline",T2001="Overdue"),ISNUMBER(W2001)),IF(W2001&lt;=Settings!$B$6,Q2001,0),0)</f>
        <v>0</v>
      </c>
      <c r="Z2001" s="38" t="n">
        <f aca="false">IF(Y2001=0,0,IF(T2001="Backlog",Q2001,Q2001*Dashboard!$C$10))</f>
        <v>0</v>
      </c>
      <c r="AA2001" s="37" t="n">
        <f aca="false">IF($N2001="",0,IF(COUNTIF(Dashboard!$C$13:$C$22,$N2001)&gt;0,1,0))</f>
        <v>0</v>
      </c>
      <c r="AB2001" s="37" t="str">
        <f aca="false">IF($N2001="","",IF(COUNTIF($N$8:$N2001,$N2001)=1,MAX($AB$7:$AB2000)+1,""))</f>
        <v/>
      </c>
    </row>
    <row r="2002" customFormat="false" ht="15" hidden="false" customHeight="false" outlineLevel="0" collapsed="false">
      <c r="L2002" s="37" t="str">
        <f aca="false">IF(INDEX($A2002:$J2002,$L$6)&lt;&gt;"",TRIM(LEFT(INDEX($A2002:$J2002,$L$6),FIND("(",INDEX($A2002:$J2002,$L$6)&amp;"(")-1)),L2001)</f>
        <v>Building Value Proposition</v>
      </c>
      <c r="M2002" s="37" t="str">
        <f aca="false">IF(INDEX($A2002:$J2002,$M$6)="","",INDEX($A2002:$J2002,$M$6)&amp;"")</f>
        <v/>
      </c>
      <c r="N2002" s="37" t="str">
        <f aca="false">IF($M2002="","",TRIM(INDEX($A2002:$J2002,$N$6)&amp;""))</f>
        <v/>
      </c>
      <c r="O2002" s="37" t="str">
        <f aca="false">IF($M2002="","",TRIM(INDEX($A2002:$J2002,$O$6)&amp;""))</f>
        <v/>
      </c>
      <c r="P2002" s="37" t="str">
        <f aca="false">IF($M2002="","",IFERROR(IF(INDEX(Settings!$B$41:$B$50,MATCH(O2002,Settings!$A$41:$A$50,0))&amp;""="","UNMAPPED",INDEX(Settings!$B$41:$B$50,MATCH(O2002,Settings!$A$41:$A$50,0))&amp;""),"UNMAPPED"))</f>
        <v/>
      </c>
      <c r="Q2002" s="38" t="n">
        <f aca="false">IF($M2002="",0,N(INDEX($A2002:$J2002,$Q$6)))</f>
        <v>0</v>
      </c>
      <c r="R2002" s="39" t="str">
        <f aca="false">IF($M2002="","",INDEX($A2002:$J2002,$R$6))</f>
        <v/>
      </c>
      <c r="S2002" s="37" t="str">
        <f aca="false">IF($M2002="","",IFERROR(INDEX(Settings!$B$27:$B$36,MATCH(L2002,Settings!$A$27:$A$36,0))&amp;"","UNMAPPED"))</f>
        <v/>
      </c>
      <c r="T2002" s="37" t="str">
        <f aca="false">IF($M2002="","",IF(NOT(ISNUMBER(R2002)),"NO DATE",IF(S2002="Won",IF(R2002&gt;Settings!$B$5,"Backlog","Delivered"),IF(S2002="Open",IF(R2002&gt;Settings!$B$5,"Pipeline","Overdue"),IF(S2002="Lost","Lost","UNMAPPED")))))</f>
        <v/>
      </c>
      <c r="U2002" s="40" t="n">
        <f aca="false">IF(T2002="Backlog",1,IF(OR(T2002="Pipeline",T2002="Overdue"),N(INDEX(Settings!$C$27:$C$36,MATCH(L2002,Settings!$A$27:$A$36,0))),0))</f>
        <v>0</v>
      </c>
      <c r="V2002" s="38" t="n">
        <f aca="false">Q2002*U2002</f>
        <v>0</v>
      </c>
      <c r="W2002" s="41" t="str">
        <f aca="false">IF($M2002="","",IF(T2002="Overdue",IF(Settings!$B$8="Yes",Settings!$B$7,""),IF(ISNUMBER(R2002),DATE(YEAR(R2002),MONTH(R2002),1),"")))</f>
        <v/>
      </c>
      <c r="X2002" s="38" t="n">
        <f aca="false">IF(AND(OR(T2002="Backlog",T2002="Pipeline",T2002="Overdue"),ISNUMBER(W2002)),IF(W2002&lt;=Settings!$B$6,V2002,0),0)</f>
        <v>0</v>
      </c>
      <c r="Y2002" s="38" t="n">
        <f aca="false">IF(AND(OR(T2002="Backlog",T2002="Pipeline",T2002="Overdue"),ISNUMBER(W2002)),IF(W2002&lt;=Settings!$B$6,Q2002,0),0)</f>
        <v>0</v>
      </c>
      <c r="Z2002" s="38" t="n">
        <f aca="false">IF(Y2002=0,0,IF(T2002="Backlog",Q2002,Q2002*Dashboard!$C$10))</f>
        <v>0</v>
      </c>
      <c r="AA2002" s="37" t="n">
        <f aca="false">IF($N2002="",0,IF(COUNTIF(Dashboard!$C$13:$C$22,$N2002)&gt;0,1,0))</f>
        <v>0</v>
      </c>
      <c r="AB2002" s="37" t="str">
        <f aca="false">IF($N2002="","",IF(COUNTIF($N$8:$N2002,$N2002)=1,MAX($AB$7:$AB2001)+1,""))</f>
        <v/>
      </c>
    </row>
    <row r="2003" customFormat="false" ht="15" hidden="false" customHeight="false" outlineLevel="0" collapsed="false">
      <c r="L2003" s="37" t="str">
        <f aca="false">IF(INDEX($A2003:$J2003,$L$6)&lt;&gt;"",TRIM(LEFT(INDEX($A2003:$J2003,$L$6),FIND("(",INDEX($A2003:$J2003,$L$6)&amp;"(")-1)),L2002)</f>
        <v>Building Value Proposition</v>
      </c>
      <c r="M2003" s="37" t="str">
        <f aca="false">IF(INDEX($A2003:$J2003,$M$6)="","",INDEX($A2003:$J2003,$M$6)&amp;"")</f>
        <v/>
      </c>
      <c r="N2003" s="37" t="str">
        <f aca="false">IF($M2003="","",TRIM(INDEX($A2003:$J2003,$N$6)&amp;""))</f>
        <v/>
      </c>
      <c r="O2003" s="37" t="str">
        <f aca="false">IF($M2003="","",TRIM(INDEX($A2003:$J2003,$O$6)&amp;""))</f>
        <v/>
      </c>
      <c r="P2003" s="37" t="str">
        <f aca="false">IF($M2003="","",IFERROR(IF(INDEX(Settings!$B$41:$B$50,MATCH(O2003,Settings!$A$41:$A$50,0))&amp;""="","UNMAPPED",INDEX(Settings!$B$41:$B$50,MATCH(O2003,Settings!$A$41:$A$50,0))&amp;""),"UNMAPPED"))</f>
        <v/>
      </c>
      <c r="Q2003" s="38" t="n">
        <f aca="false">IF($M2003="",0,N(INDEX($A2003:$J2003,$Q$6)))</f>
        <v>0</v>
      </c>
      <c r="R2003" s="39" t="str">
        <f aca="false">IF($M2003="","",INDEX($A2003:$J2003,$R$6))</f>
        <v/>
      </c>
      <c r="S2003" s="37" t="str">
        <f aca="false">IF($M2003="","",IFERROR(INDEX(Settings!$B$27:$B$36,MATCH(L2003,Settings!$A$27:$A$36,0))&amp;"","UNMAPPED"))</f>
        <v/>
      </c>
      <c r="T2003" s="37" t="str">
        <f aca="false">IF($M2003="","",IF(NOT(ISNUMBER(R2003)),"NO DATE",IF(S2003="Won",IF(R2003&gt;Settings!$B$5,"Backlog","Delivered"),IF(S2003="Open",IF(R2003&gt;Settings!$B$5,"Pipeline","Overdue"),IF(S2003="Lost","Lost","UNMAPPED")))))</f>
        <v/>
      </c>
      <c r="U2003" s="40" t="n">
        <f aca="false">IF(T2003="Backlog",1,IF(OR(T2003="Pipeline",T2003="Overdue"),N(INDEX(Settings!$C$27:$C$36,MATCH(L2003,Settings!$A$27:$A$36,0))),0))</f>
        <v>0</v>
      </c>
      <c r="V2003" s="38" t="n">
        <f aca="false">Q2003*U2003</f>
        <v>0</v>
      </c>
      <c r="W2003" s="41" t="str">
        <f aca="false">IF($M2003="","",IF(T2003="Overdue",IF(Settings!$B$8="Yes",Settings!$B$7,""),IF(ISNUMBER(R2003),DATE(YEAR(R2003),MONTH(R2003),1),"")))</f>
        <v/>
      </c>
      <c r="X2003" s="38" t="n">
        <f aca="false">IF(AND(OR(T2003="Backlog",T2003="Pipeline",T2003="Overdue"),ISNUMBER(W2003)),IF(W2003&lt;=Settings!$B$6,V2003,0),0)</f>
        <v>0</v>
      </c>
      <c r="Y2003" s="38" t="n">
        <f aca="false">IF(AND(OR(T2003="Backlog",T2003="Pipeline",T2003="Overdue"),ISNUMBER(W2003)),IF(W2003&lt;=Settings!$B$6,Q2003,0),0)</f>
        <v>0</v>
      </c>
      <c r="Z2003" s="38" t="n">
        <f aca="false">IF(Y2003=0,0,IF(T2003="Backlog",Q2003,Q2003*Dashboard!$C$10))</f>
        <v>0</v>
      </c>
      <c r="AA2003" s="37" t="n">
        <f aca="false">IF($N2003="",0,IF(COUNTIF(Dashboard!$C$13:$C$22,$N2003)&gt;0,1,0))</f>
        <v>0</v>
      </c>
      <c r="AB2003" s="37" t="str">
        <f aca="false">IF($N2003="","",IF(COUNTIF($N$8:$N2003,$N2003)=1,MAX($AB$7:$AB2002)+1,""))</f>
        <v/>
      </c>
    </row>
    <row r="2004" customFormat="false" ht="15" hidden="false" customHeight="false" outlineLevel="0" collapsed="false">
      <c r="L2004" s="37" t="str">
        <f aca="false">IF(INDEX($A2004:$J2004,$L$6)&lt;&gt;"",TRIM(LEFT(INDEX($A2004:$J2004,$L$6),FIND("(",INDEX($A2004:$J2004,$L$6)&amp;"(")-1)),L2003)</f>
        <v>Building Value Proposition</v>
      </c>
      <c r="M2004" s="37" t="str">
        <f aca="false">IF(INDEX($A2004:$J2004,$M$6)="","",INDEX($A2004:$J2004,$M$6)&amp;"")</f>
        <v/>
      </c>
      <c r="N2004" s="37" t="str">
        <f aca="false">IF($M2004="","",TRIM(INDEX($A2004:$J2004,$N$6)&amp;""))</f>
        <v/>
      </c>
      <c r="O2004" s="37" t="str">
        <f aca="false">IF($M2004="","",TRIM(INDEX($A2004:$J2004,$O$6)&amp;""))</f>
        <v/>
      </c>
      <c r="P2004" s="37" t="str">
        <f aca="false">IF($M2004="","",IFERROR(IF(INDEX(Settings!$B$41:$B$50,MATCH(O2004,Settings!$A$41:$A$50,0))&amp;""="","UNMAPPED",INDEX(Settings!$B$41:$B$50,MATCH(O2004,Settings!$A$41:$A$50,0))&amp;""),"UNMAPPED"))</f>
        <v/>
      </c>
      <c r="Q2004" s="38" t="n">
        <f aca="false">IF($M2004="",0,N(INDEX($A2004:$J2004,$Q$6)))</f>
        <v>0</v>
      </c>
      <c r="R2004" s="39" t="str">
        <f aca="false">IF($M2004="","",INDEX($A2004:$J2004,$R$6))</f>
        <v/>
      </c>
      <c r="S2004" s="37" t="str">
        <f aca="false">IF($M2004="","",IFERROR(INDEX(Settings!$B$27:$B$36,MATCH(L2004,Settings!$A$27:$A$36,0))&amp;"","UNMAPPED"))</f>
        <v/>
      </c>
      <c r="T2004" s="37" t="str">
        <f aca="false">IF($M2004="","",IF(NOT(ISNUMBER(R2004)),"NO DATE",IF(S2004="Won",IF(R2004&gt;Settings!$B$5,"Backlog","Delivered"),IF(S2004="Open",IF(R2004&gt;Settings!$B$5,"Pipeline","Overdue"),IF(S2004="Lost","Lost","UNMAPPED")))))</f>
        <v/>
      </c>
      <c r="U2004" s="40" t="n">
        <f aca="false">IF(T2004="Backlog",1,IF(OR(T2004="Pipeline",T2004="Overdue"),N(INDEX(Settings!$C$27:$C$36,MATCH(L2004,Settings!$A$27:$A$36,0))),0))</f>
        <v>0</v>
      </c>
      <c r="V2004" s="38" t="n">
        <f aca="false">Q2004*U2004</f>
        <v>0</v>
      </c>
      <c r="W2004" s="41" t="str">
        <f aca="false">IF($M2004="","",IF(T2004="Overdue",IF(Settings!$B$8="Yes",Settings!$B$7,""),IF(ISNUMBER(R2004),DATE(YEAR(R2004),MONTH(R2004),1),"")))</f>
        <v/>
      </c>
      <c r="X2004" s="38" t="n">
        <f aca="false">IF(AND(OR(T2004="Backlog",T2004="Pipeline",T2004="Overdue"),ISNUMBER(W2004)),IF(W2004&lt;=Settings!$B$6,V2004,0),0)</f>
        <v>0</v>
      </c>
      <c r="Y2004" s="38" t="n">
        <f aca="false">IF(AND(OR(T2004="Backlog",T2004="Pipeline",T2004="Overdue"),ISNUMBER(W2004)),IF(W2004&lt;=Settings!$B$6,Q2004,0),0)</f>
        <v>0</v>
      </c>
      <c r="Z2004" s="38" t="n">
        <f aca="false">IF(Y2004=0,0,IF(T2004="Backlog",Q2004,Q2004*Dashboard!$C$10))</f>
        <v>0</v>
      </c>
      <c r="AA2004" s="37" t="n">
        <f aca="false">IF($N2004="",0,IF(COUNTIF(Dashboard!$C$13:$C$22,$N2004)&gt;0,1,0))</f>
        <v>0</v>
      </c>
      <c r="AB2004" s="37" t="str">
        <f aca="false">IF($N2004="","",IF(COUNTIF($N$8:$N2004,$N2004)=1,MAX($AB$7:$AB2003)+1,""))</f>
        <v/>
      </c>
    </row>
    <row r="2005" customFormat="false" ht="15" hidden="false" customHeight="false" outlineLevel="0" collapsed="false">
      <c r="L2005" s="37" t="str">
        <f aca="false">IF(INDEX($A2005:$J2005,$L$6)&lt;&gt;"",TRIM(LEFT(INDEX($A2005:$J2005,$L$6),FIND("(",INDEX($A2005:$J2005,$L$6)&amp;"(")-1)),L2004)</f>
        <v>Building Value Proposition</v>
      </c>
      <c r="M2005" s="37" t="str">
        <f aca="false">IF(INDEX($A2005:$J2005,$M$6)="","",INDEX($A2005:$J2005,$M$6)&amp;"")</f>
        <v/>
      </c>
      <c r="N2005" s="37" t="str">
        <f aca="false">IF($M2005="","",TRIM(INDEX($A2005:$J2005,$N$6)&amp;""))</f>
        <v/>
      </c>
      <c r="O2005" s="37" t="str">
        <f aca="false">IF($M2005="","",TRIM(INDEX($A2005:$J2005,$O$6)&amp;""))</f>
        <v/>
      </c>
      <c r="P2005" s="37" t="str">
        <f aca="false">IF($M2005="","",IFERROR(IF(INDEX(Settings!$B$41:$B$50,MATCH(O2005,Settings!$A$41:$A$50,0))&amp;""="","UNMAPPED",INDEX(Settings!$B$41:$B$50,MATCH(O2005,Settings!$A$41:$A$50,0))&amp;""),"UNMAPPED"))</f>
        <v/>
      </c>
      <c r="Q2005" s="38" t="n">
        <f aca="false">IF($M2005="",0,N(INDEX($A2005:$J2005,$Q$6)))</f>
        <v>0</v>
      </c>
      <c r="R2005" s="39" t="str">
        <f aca="false">IF($M2005="","",INDEX($A2005:$J2005,$R$6))</f>
        <v/>
      </c>
      <c r="S2005" s="37" t="str">
        <f aca="false">IF($M2005="","",IFERROR(INDEX(Settings!$B$27:$B$36,MATCH(L2005,Settings!$A$27:$A$36,0))&amp;"","UNMAPPED"))</f>
        <v/>
      </c>
      <c r="T2005" s="37" t="str">
        <f aca="false">IF($M2005="","",IF(NOT(ISNUMBER(R2005)),"NO DATE",IF(S2005="Won",IF(R2005&gt;Settings!$B$5,"Backlog","Delivered"),IF(S2005="Open",IF(R2005&gt;Settings!$B$5,"Pipeline","Overdue"),IF(S2005="Lost","Lost","UNMAPPED")))))</f>
        <v/>
      </c>
      <c r="U2005" s="40" t="n">
        <f aca="false">IF(T2005="Backlog",1,IF(OR(T2005="Pipeline",T2005="Overdue"),N(INDEX(Settings!$C$27:$C$36,MATCH(L2005,Settings!$A$27:$A$36,0))),0))</f>
        <v>0</v>
      </c>
      <c r="V2005" s="38" t="n">
        <f aca="false">Q2005*U2005</f>
        <v>0</v>
      </c>
      <c r="W2005" s="41" t="str">
        <f aca="false">IF($M2005="","",IF(T2005="Overdue",IF(Settings!$B$8="Yes",Settings!$B$7,""),IF(ISNUMBER(R2005),DATE(YEAR(R2005),MONTH(R2005),1),"")))</f>
        <v/>
      </c>
      <c r="X2005" s="38" t="n">
        <f aca="false">IF(AND(OR(T2005="Backlog",T2005="Pipeline",T2005="Overdue"),ISNUMBER(W2005)),IF(W2005&lt;=Settings!$B$6,V2005,0),0)</f>
        <v>0</v>
      </c>
      <c r="Y2005" s="38" t="n">
        <f aca="false">IF(AND(OR(T2005="Backlog",T2005="Pipeline",T2005="Overdue"),ISNUMBER(W2005)),IF(W2005&lt;=Settings!$B$6,Q2005,0),0)</f>
        <v>0</v>
      </c>
      <c r="Z2005" s="38" t="n">
        <f aca="false">IF(Y2005=0,0,IF(T2005="Backlog",Q2005,Q2005*Dashboard!$C$10))</f>
        <v>0</v>
      </c>
      <c r="AA2005" s="37" t="n">
        <f aca="false">IF($N2005="",0,IF(COUNTIF(Dashboard!$C$13:$C$22,$N2005)&gt;0,1,0))</f>
        <v>0</v>
      </c>
      <c r="AB2005" s="37" t="str">
        <f aca="false">IF($N2005="","",IF(COUNTIF($N$8:$N2005,$N2005)=1,MAX($AB$7:$AB2004)+1,""))</f>
        <v/>
      </c>
    </row>
    <row r="2006" customFormat="false" ht="15" hidden="false" customHeight="false" outlineLevel="0" collapsed="false">
      <c r="L2006" s="37" t="str">
        <f aca="false">IF(INDEX($A2006:$J2006,$L$6)&lt;&gt;"",TRIM(LEFT(INDEX($A2006:$J2006,$L$6),FIND("(",INDEX($A2006:$J2006,$L$6)&amp;"(")-1)),L2005)</f>
        <v>Building Value Proposition</v>
      </c>
      <c r="M2006" s="37" t="str">
        <f aca="false">IF(INDEX($A2006:$J2006,$M$6)="","",INDEX($A2006:$J2006,$M$6)&amp;"")</f>
        <v/>
      </c>
      <c r="N2006" s="37" t="str">
        <f aca="false">IF($M2006="","",TRIM(INDEX($A2006:$J2006,$N$6)&amp;""))</f>
        <v/>
      </c>
      <c r="O2006" s="37" t="str">
        <f aca="false">IF($M2006="","",TRIM(INDEX($A2006:$J2006,$O$6)&amp;""))</f>
        <v/>
      </c>
      <c r="P2006" s="37" t="str">
        <f aca="false">IF($M2006="","",IFERROR(IF(INDEX(Settings!$B$41:$B$50,MATCH(O2006,Settings!$A$41:$A$50,0))&amp;""="","UNMAPPED",INDEX(Settings!$B$41:$B$50,MATCH(O2006,Settings!$A$41:$A$50,0))&amp;""),"UNMAPPED"))</f>
        <v/>
      </c>
      <c r="Q2006" s="38" t="n">
        <f aca="false">IF($M2006="",0,N(INDEX($A2006:$J2006,$Q$6)))</f>
        <v>0</v>
      </c>
      <c r="R2006" s="39" t="str">
        <f aca="false">IF($M2006="","",INDEX($A2006:$J2006,$R$6))</f>
        <v/>
      </c>
      <c r="S2006" s="37" t="str">
        <f aca="false">IF($M2006="","",IFERROR(INDEX(Settings!$B$27:$B$36,MATCH(L2006,Settings!$A$27:$A$36,0))&amp;"","UNMAPPED"))</f>
        <v/>
      </c>
      <c r="T2006" s="37" t="str">
        <f aca="false">IF($M2006="","",IF(NOT(ISNUMBER(R2006)),"NO DATE",IF(S2006="Won",IF(R2006&gt;Settings!$B$5,"Backlog","Delivered"),IF(S2006="Open",IF(R2006&gt;Settings!$B$5,"Pipeline","Overdue"),IF(S2006="Lost","Lost","UNMAPPED")))))</f>
        <v/>
      </c>
      <c r="U2006" s="40" t="n">
        <f aca="false">IF(T2006="Backlog",1,IF(OR(T2006="Pipeline",T2006="Overdue"),N(INDEX(Settings!$C$27:$C$36,MATCH(L2006,Settings!$A$27:$A$36,0))),0))</f>
        <v>0</v>
      </c>
      <c r="V2006" s="38" t="n">
        <f aca="false">Q2006*U2006</f>
        <v>0</v>
      </c>
      <c r="W2006" s="41" t="str">
        <f aca="false">IF($M2006="","",IF(T2006="Overdue",IF(Settings!$B$8="Yes",Settings!$B$7,""),IF(ISNUMBER(R2006),DATE(YEAR(R2006),MONTH(R2006),1),"")))</f>
        <v/>
      </c>
      <c r="X2006" s="38" t="n">
        <f aca="false">IF(AND(OR(T2006="Backlog",T2006="Pipeline",T2006="Overdue"),ISNUMBER(W2006)),IF(W2006&lt;=Settings!$B$6,V2006,0),0)</f>
        <v>0</v>
      </c>
      <c r="Y2006" s="38" t="n">
        <f aca="false">IF(AND(OR(T2006="Backlog",T2006="Pipeline",T2006="Overdue"),ISNUMBER(W2006)),IF(W2006&lt;=Settings!$B$6,Q2006,0),0)</f>
        <v>0</v>
      </c>
      <c r="Z2006" s="38" t="n">
        <f aca="false">IF(Y2006=0,0,IF(T2006="Backlog",Q2006,Q2006*Dashboard!$C$10))</f>
        <v>0</v>
      </c>
      <c r="AA2006" s="37" t="n">
        <f aca="false">IF($N2006="",0,IF(COUNTIF(Dashboard!$C$13:$C$22,$N2006)&gt;0,1,0))</f>
        <v>0</v>
      </c>
      <c r="AB2006" s="37" t="str">
        <f aca="false">IF($N2006="","",IF(COUNTIF($N$8:$N2006,$N2006)=1,MAX($AB$7:$AB2005)+1,""))</f>
        <v/>
      </c>
    </row>
    <row r="2007" customFormat="false" ht="15" hidden="false" customHeight="false" outlineLevel="0" collapsed="false">
      <c r="L2007" s="37" t="str">
        <f aca="false">IF(INDEX($A2007:$J2007,$L$6)&lt;&gt;"",TRIM(LEFT(INDEX($A2007:$J2007,$L$6),FIND("(",INDEX($A2007:$J2007,$L$6)&amp;"(")-1)),L2006)</f>
        <v>Building Value Proposition</v>
      </c>
      <c r="M2007" s="37" t="str">
        <f aca="false">IF(INDEX($A2007:$J2007,$M$6)="","",INDEX($A2007:$J2007,$M$6)&amp;"")</f>
        <v/>
      </c>
      <c r="N2007" s="37" t="str">
        <f aca="false">IF($M2007="","",TRIM(INDEX($A2007:$J2007,$N$6)&amp;""))</f>
        <v/>
      </c>
      <c r="O2007" s="37" t="str">
        <f aca="false">IF($M2007="","",TRIM(INDEX($A2007:$J2007,$O$6)&amp;""))</f>
        <v/>
      </c>
      <c r="P2007" s="37" t="str">
        <f aca="false">IF($M2007="","",IFERROR(IF(INDEX(Settings!$B$41:$B$50,MATCH(O2007,Settings!$A$41:$A$50,0))&amp;""="","UNMAPPED",INDEX(Settings!$B$41:$B$50,MATCH(O2007,Settings!$A$41:$A$50,0))&amp;""),"UNMAPPED"))</f>
        <v/>
      </c>
      <c r="Q2007" s="38" t="n">
        <f aca="false">IF($M2007="",0,N(INDEX($A2007:$J2007,$Q$6)))</f>
        <v>0</v>
      </c>
      <c r="R2007" s="39" t="str">
        <f aca="false">IF($M2007="","",INDEX($A2007:$J2007,$R$6))</f>
        <v/>
      </c>
      <c r="S2007" s="37" t="str">
        <f aca="false">IF($M2007="","",IFERROR(INDEX(Settings!$B$27:$B$36,MATCH(L2007,Settings!$A$27:$A$36,0))&amp;"","UNMAPPED"))</f>
        <v/>
      </c>
      <c r="T2007" s="37" t="str">
        <f aca="false">IF($M2007="","",IF(NOT(ISNUMBER(R2007)),"NO DATE",IF(S2007="Won",IF(R2007&gt;Settings!$B$5,"Backlog","Delivered"),IF(S2007="Open",IF(R2007&gt;Settings!$B$5,"Pipeline","Overdue"),IF(S2007="Lost","Lost","UNMAPPED")))))</f>
        <v/>
      </c>
      <c r="U2007" s="40" t="n">
        <f aca="false">IF(T2007="Backlog",1,IF(OR(T2007="Pipeline",T2007="Overdue"),N(INDEX(Settings!$C$27:$C$36,MATCH(L2007,Settings!$A$27:$A$36,0))),0))</f>
        <v>0</v>
      </c>
      <c r="V2007" s="38" t="n">
        <f aca="false">Q2007*U2007</f>
        <v>0</v>
      </c>
      <c r="W2007" s="41" t="str">
        <f aca="false">IF($M2007="","",IF(T2007="Overdue",IF(Settings!$B$8="Yes",Settings!$B$7,""),IF(ISNUMBER(R2007),DATE(YEAR(R2007),MONTH(R2007),1),"")))</f>
        <v/>
      </c>
      <c r="X2007" s="38" t="n">
        <f aca="false">IF(AND(OR(T2007="Backlog",T2007="Pipeline",T2007="Overdue"),ISNUMBER(W2007)),IF(W2007&lt;=Settings!$B$6,V2007,0),0)</f>
        <v>0</v>
      </c>
      <c r="Y2007" s="38" t="n">
        <f aca="false">IF(AND(OR(T2007="Backlog",T2007="Pipeline",T2007="Overdue"),ISNUMBER(W2007)),IF(W2007&lt;=Settings!$B$6,Q2007,0),0)</f>
        <v>0</v>
      </c>
      <c r="Z2007" s="38" t="n">
        <f aca="false">IF(Y2007=0,0,IF(T2007="Backlog",Q2007,Q2007*Dashboard!$C$10))</f>
        <v>0</v>
      </c>
      <c r="AA2007" s="37" t="n">
        <f aca="false">IF($N2007="",0,IF(COUNTIF(Dashboard!$C$13:$C$22,$N2007)&gt;0,1,0))</f>
        <v>0</v>
      </c>
      <c r="AB2007" s="37" t="str">
        <f aca="false">IF($N2007="","",IF(COUNTIF($N$8:$N2007,$N2007)=1,MAX($AB$7:$AB2006)+1,""))</f>
        <v/>
      </c>
    </row>
    <row r="2008" customFormat="false" ht="15" hidden="false" customHeight="false" outlineLevel="0" collapsed="false">
      <c r="L2008" s="37" t="str">
        <f aca="false">IF(INDEX($A2008:$J2008,$L$6)&lt;&gt;"",TRIM(LEFT(INDEX($A2008:$J2008,$L$6),FIND("(",INDEX($A2008:$J2008,$L$6)&amp;"(")-1)),L2007)</f>
        <v>Building Value Proposition</v>
      </c>
      <c r="M2008" s="37" t="str">
        <f aca="false">IF(INDEX($A2008:$J2008,$M$6)="","",INDEX($A2008:$J2008,$M$6)&amp;"")</f>
        <v/>
      </c>
      <c r="N2008" s="37" t="str">
        <f aca="false">IF($M2008="","",TRIM(INDEX($A2008:$J2008,$N$6)&amp;""))</f>
        <v/>
      </c>
      <c r="O2008" s="37" t="str">
        <f aca="false">IF($M2008="","",TRIM(INDEX($A2008:$J2008,$O$6)&amp;""))</f>
        <v/>
      </c>
      <c r="P2008" s="37" t="str">
        <f aca="false">IF($M2008="","",IFERROR(IF(INDEX(Settings!$B$41:$B$50,MATCH(O2008,Settings!$A$41:$A$50,0))&amp;""="","UNMAPPED",INDEX(Settings!$B$41:$B$50,MATCH(O2008,Settings!$A$41:$A$50,0))&amp;""),"UNMAPPED"))</f>
        <v/>
      </c>
      <c r="Q2008" s="38" t="n">
        <f aca="false">IF($M2008="",0,N(INDEX($A2008:$J2008,$Q$6)))</f>
        <v>0</v>
      </c>
      <c r="R2008" s="39" t="str">
        <f aca="false">IF($M2008="","",INDEX($A2008:$J2008,$R$6))</f>
        <v/>
      </c>
      <c r="S2008" s="37" t="str">
        <f aca="false">IF($M2008="","",IFERROR(INDEX(Settings!$B$27:$B$36,MATCH(L2008,Settings!$A$27:$A$36,0))&amp;"","UNMAPPED"))</f>
        <v/>
      </c>
      <c r="T2008" s="37" t="str">
        <f aca="false">IF($M2008="","",IF(NOT(ISNUMBER(R2008)),"NO DATE",IF(S2008="Won",IF(R2008&gt;Settings!$B$5,"Backlog","Delivered"),IF(S2008="Open",IF(R2008&gt;Settings!$B$5,"Pipeline","Overdue"),IF(S2008="Lost","Lost","UNMAPPED")))))</f>
        <v/>
      </c>
      <c r="U2008" s="40" t="n">
        <f aca="false">IF(T2008="Backlog",1,IF(OR(T2008="Pipeline",T2008="Overdue"),N(INDEX(Settings!$C$27:$C$36,MATCH(L2008,Settings!$A$27:$A$36,0))),0))</f>
        <v>0</v>
      </c>
      <c r="V2008" s="38" t="n">
        <f aca="false">Q2008*U2008</f>
        <v>0</v>
      </c>
      <c r="W2008" s="41" t="str">
        <f aca="false">IF($M2008="","",IF(T2008="Overdue",IF(Settings!$B$8="Yes",Settings!$B$7,""),IF(ISNUMBER(R2008),DATE(YEAR(R2008),MONTH(R2008),1),"")))</f>
        <v/>
      </c>
      <c r="X2008" s="38" t="n">
        <f aca="false">IF(AND(OR(T2008="Backlog",T2008="Pipeline",T2008="Overdue"),ISNUMBER(W2008)),IF(W2008&lt;=Settings!$B$6,V2008,0),0)</f>
        <v>0</v>
      </c>
      <c r="Y2008" s="38" t="n">
        <f aca="false">IF(AND(OR(T2008="Backlog",T2008="Pipeline",T2008="Overdue"),ISNUMBER(W2008)),IF(W2008&lt;=Settings!$B$6,Q2008,0),0)</f>
        <v>0</v>
      </c>
      <c r="Z2008" s="38" t="n">
        <f aca="false">IF(Y2008=0,0,IF(T2008="Backlog",Q2008,Q2008*Dashboard!$C$10))</f>
        <v>0</v>
      </c>
      <c r="AA2008" s="37" t="n">
        <f aca="false">IF($N2008="",0,IF(COUNTIF(Dashboard!$C$13:$C$22,$N2008)&gt;0,1,0))</f>
        <v>0</v>
      </c>
      <c r="AB2008" s="37" t="str">
        <f aca="false">IF($N2008="","",IF(COUNTIF($N$8:$N2008,$N2008)=1,MAX($AB$7:$AB2007)+1,""))</f>
        <v/>
      </c>
    </row>
    <row r="2009" customFormat="false" ht="15" hidden="false" customHeight="false" outlineLevel="0" collapsed="false">
      <c r="L2009" s="37" t="str">
        <f aca="false">IF(INDEX($A2009:$J2009,$L$6)&lt;&gt;"",TRIM(LEFT(INDEX($A2009:$J2009,$L$6),FIND("(",INDEX($A2009:$J2009,$L$6)&amp;"(")-1)),L2008)</f>
        <v>Building Value Proposition</v>
      </c>
      <c r="M2009" s="37" t="str">
        <f aca="false">IF(INDEX($A2009:$J2009,$M$6)="","",INDEX($A2009:$J2009,$M$6)&amp;"")</f>
        <v/>
      </c>
      <c r="N2009" s="37" t="str">
        <f aca="false">IF($M2009="","",TRIM(INDEX($A2009:$J2009,$N$6)&amp;""))</f>
        <v/>
      </c>
      <c r="O2009" s="37" t="str">
        <f aca="false">IF($M2009="","",TRIM(INDEX($A2009:$J2009,$O$6)&amp;""))</f>
        <v/>
      </c>
      <c r="P2009" s="37" t="str">
        <f aca="false">IF($M2009="","",IFERROR(IF(INDEX(Settings!$B$41:$B$50,MATCH(O2009,Settings!$A$41:$A$50,0))&amp;""="","UNMAPPED",INDEX(Settings!$B$41:$B$50,MATCH(O2009,Settings!$A$41:$A$50,0))&amp;""),"UNMAPPED"))</f>
        <v/>
      </c>
      <c r="Q2009" s="38" t="n">
        <f aca="false">IF($M2009="",0,N(INDEX($A2009:$J2009,$Q$6)))</f>
        <v>0</v>
      </c>
      <c r="R2009" s="39" t="str">
        <f aca="false">IF($M2009="","",INDEX($A2009:$J2009,$R$6))</f>
        <v/>
      </c>
      <c r="S2009" s="37" t="str">
        <f aca="false">IF($M2009="","",IFERROR(INDEX(Settings!$B$27:$B$36,MATCH(L2009,Settings!$A$27:$A$36,0))&amp;"","UNMAPPED"))</f>
        <v/>
      </c>
      <c r="T2009" s="37" t="str">
        <f aca="false">IF($M2009="","",IF(NOT(ISNUMBER(R2009)),"NO DATE",IF(S2009="Won",IF(R2009&gt;Settings!$B$5,"Backlog","Delivered"),IF(S2009="Open",IF(R2009&gt;Settings!$B$5,"Pipeline","Overdue"),IF(S2009="Lost","Lost","UNMAPPED")))))</f>
        <v/>
      </c>
      <c r="U2009" s="40" t="n">
        <f aca="false">IF(T2009="Backlog",1,IF(OR(T2009="Pipeline",T2009="Overdue"),N(INDEX(Settings!$C$27:$C$36,MATCH(L2009,Settings!$A$27:$A$36,0))),0))</f>
        <v>0</v>
      </c>
      <c r="V2009" s="38" t="n">
        <f aca="false">Q2009*U2009</f>
        <v>0</v>
      </c>
      <c r="W2009" s="41" t="str">
        <f aca="false">IF($M2009="","",IF(T2009="Overdue",IF(Settings!$B$8="Yes",Settings!$B$7,""),IF(ISNUMBER(R2009),DATE(YEAR(R2009),MONTH(R2009),1),"")))</f>
        <v/>
      </c>
      <c r="X2009" s="38" t="n">
        <f aca="false">IF(AND(OR(T2009="Backlog",T2009="Pipeline",T2009="Overdue"),ISNUMBER(W2009)),IF(W2009&lt;=Settings!$B$6,V2009,0),0)</f>
        <v>0</v>
      </c>
      <c r="Y2009" s="38" t="n">
        <f aca="false">IF(AND(OR(T2009="Backlog",T2009="Pipeline",T2009="Overdue"),ISNUMBER(W2009)),IF(W2009&lt;=Settings!$B$6,Q2009,0),0)</f>
        <v>0</v>
      </c>
      <c r="Z2009" s="38" t="n">
        <f aca="false">IF(Y2009=0,0,IF(T2009="Backlog",Q2009,Q2009*Dashboard!$C$10))</f>
        <v>0</v>
      </c>
      <c r="AA2009" s="37" t="n">
        <f aca="false">IF($N2009="",0,IF(COUNTIF(Dashboard!$C$13:$C$22,$N2009)&gt;0,1,0))</f>
        <v>0</v>
      </c>
      <c r="AB2009" s="37" t="str">
        <f aca="false">IF($N2009="","",IF(COUNTIF($N$8:$N2009,$N2009)=1,MAX($AB$7:$AB2008)+1,""))</f>
        <v/>
      </c>
    </row>
    <row r="2010" customFormat="false" ht="15" hidden="false" customHeight="false" outlineLevel="0" collapsed="false">
      <c r="L2010" s="37" t="str">
        <f aca="false">IF(INDEX($A2010:$J2010,$L$6)&lt;&gt;"",TRIM(LEFT(INDEX($A2010:$J2010,$L$6),FIND("(",INDEX($A2010:$J2010,$L$6)&amp;"(")-1)),L2009)</f>
        <v>Building Value Proposition</v>
      </c>
      <c r="M2010" s="37" t="str">
        <f aca="false">IF(INDEX($A2010:$J2010,$M$6)="","",INDEX($A2010:$J2010,$M$6)&amp;"")</f>
        <v/>
      </c>
      <c r="N2010" s="37" t="str">
        <f aca="false">IF($M2010="","",TRIM(INDEX($A2010:$J2010,$N$6)&amp;""))</f>
        <v/>
      </c>
      <c r="O2010" s="37" t="str">
        <f aca="false">IF($M2010="","",TRIM(INDEX($A2010:$J2010,$O$6)&amp;""))</f>
        <v/>
      </c>
      <c r="P2010" s="37" t="str">
        <f aca="false">IF($M2010="","",IFERROR(IF(INDEX(Settings!$B$41:$B$50,MATCH(O2010,Settings!$A$41:$A$50,0))&amp;""="","UNMAPPED",INDEX(Settings!$B$41:$B$50,MATCH(O2010,Settings!$A$41:$A$50,0))&amp;""),"UNMAPPED"))</f>
        <v/>
      </c>
      <c r="Q2010" s="38" t="n">
        <f aca="false">IF($M2010="",0,N(INDEX($A2010:$J2010,$Q$6)))</f>
        <v>0</v>
      </c>
      <c r="R2010" s="39" t="str">
        <f aca="false">IF($M2010="","",INDEX($A2010:$J2010,$R$6))</f>
        <v/>
      </c>
      <c r="S2010" s="37" t="str">
        <f aca="false">IF($M2010="","",IFERROR(INDEX(Settings!$B$27:$B$36,MATCH(L2010,Settings!$A$27:$A$36,0))&amp;"","UNMAPPED"))</f>
        <v/>
      </c>
      <c r="T2010" s="37" t="str">
        <f aca="false">IF($M2010="","",IF(NOT(ISNUMBER(R2010)),"NO DATE",IF(S2010="Won",IF(R2010&gt;Settings!$B$5,"Backlog","Delivered"),IF(S2010="Open",IF(R2010&gt;Settings!$B$5,"Pipeline","Overdue"),IF(S2010="Lost","Lost","UNMAPPED")))))</f>
        <v/>
      </c>
      <c r="U2010" s="40" t="n">
        <f aca="false">IF(T2010="Backlog",1,IF(OR(T2010="Pipeline",T2010="Overdue"),N(INDEX(Settings!$C$27:$C$36,MATCH(L2010,Settings!$A$27:$A$36,0))),0))</f>
        <v>0</v>
      </c>
      <c r="V2010" s="38" t="n">
        <f aca="false">Q2010*U2010</f>
        <v>0</v>
      </c>
      <c r="W2010" s="41" t="str">
        <f aca="false">IF($M2010="","",IF(T2010="Overdue",IF(Settings!$B$8="Yes",Settings!$B$7,""),IF(ISNUMBER(R2010),DATE(YEAR(R2010),MONTH(R2010),1),"")))</f>
        <v/>
      </c>
      <c r="X2010" s="38" t="n">
        <f aca="false">IF(AND(OR(T2010="Backlog",T2010="Pipeline",T2010="Overdue"),ISNUMBER(W2010)),IF(W2010&lt;=Settings!$B$6,V2010,0),0)</f>
        <v>0</v>
      </c>
      <c r="Y2010" s="38" t="n">
        <f aca="false">IF(AND(OR(T2010="Backlog",T2010="Pipeline",T2010="Overdue"),ISNUMBER(W2010)),IF(W2010&lt;=Settings!$B$6,Q2010,0),0)</f>
        <v>0</v>
      </c>
      <c r="Z2010" s="38" t="n">
        <f aca="false">IF(Y2010=0,0,IF(T2010="Backlog",Q2010,Q2010*Dashboard!$C$10))</f>
        <v>0</v>
      </c>
      <c r="AA2010" s="37" t="n">
        <f aca="false">IF($N2010="",0,IF(COUNTIF(Dashboard!$C$13:$C$22,$N2010)&gt;0,1,0))</f>
        <v>0</v>
      </c>
      <c r="AB2010" s="37" t="str">
        <f aca="false">IF($N2010="","",IF(COUNTIF($N$8:$N2010,$N2010)=1,MAX($AB$7:$AB2009)+1,""))</f>
        <v/>
      </c>
    </row>
    <row r="2011" customFormat="false" ht="15" hidden="false" customHeight="false" outlineLevel="0" collapsed="false">
      <c r="L2011" s="37" t="str">
        <f aca="false">IF(INDEX($A2011:$J2011,$L$6)&lt;&gt;"",TRIM(LEFT(INDEX($A2011:$J2011,$L$6),FIND("(",INDEX($A2011:$J2011,$L$6)&amp;"(")-1)),L2010)</f>
        <v>Building Value Proposition</v>
      </c>
      <c r="M2011" s="37" t="str">
        <f aca="false">IF(INDEX($A2011:$J2011,$M$6)="","",INDEX($A2011:$J2011,$M$6)&amp;"")</f>
        <v/>
      </c>
      <c r="N2011" s="37" t="str">
        <f aca="false">IF($M2011="","",TRIM(INDEX($A2011:$J2011,$N$6)&amp;""))</f>
        <v/>
      </c>
      <c r="O2011" s="37" t="str">
        <f aca="false">IF($M2011="","",TRIM(INDEX($A2011:$J2011,$O$6)&amp;""))</f>
        <v/>
      </c>
      <c r="P2011" s="37" t="str">
        <f aca="false">IF($M2011="","",IFERROR(IF(INDEX(Settings!$B$41:$B$50,MATCH(O2011,Settings!$A$41:$A$50,0))&amp;""="","UNMAPPED",INDEX(Settings!$B$41:$B$50,MATCH(O2011,Settings!$A$41:$A$50,0))&amp;""),"UNMAPPED"))</f>
        <v/>
      </c>
      <c r="Q2011" s="38" t="n">
        <f aca="false">IF($M2011="",0,N(INDEX($A2011:$J2011,$Q$6)))</f>
        <v>0</v>
      </c>
      <c r="R2011" s="39" t="str">
        <f aca="false">IF($M2011="","",INDEX($A2011:$J2011,$R$6))</f>
        <v/>
      </c>
      <c r="S2011" s="37" t="str">
        <f aca="false">IF($M2011="","",IFERROR(INDEX(Settings!$B$27:$B$36,MATCH(L2011,Settings!$A$27:$A$36,0))&amp;"","UNMAPPED"))</f>
        <v/>
      </c>
      <c r="T2011" s="37" t="str">
        <f aca="false">IF($M2011="","",IF(NOT(ISNUMBER(R2011)),"NO DATE",IF(S2011="Won",IF(R2011&gt;Settings!$B$5,"Backlog","Delivered"),IF(S2011="Open",IF(R2011&gt;Settings!$B$5,"Pipeline","Overdue"),IF(S2011="Lost","Lost","UNMAPPED")))))</f>
        <v/>
      </c>
      <c r="U2011" s="40" t="n">
        <f aca="false">IF(T2011="Backlog",1,IF(OR(T2011="Pipeline",T2011="Overdue"),N(INDEX(Settings!$C$27:$C$36,MATCH(L2011,Settings!$A$27:$A$36,0))),0))</f>
        <v>0</v>
      </c>
      <c r="V2011" s="38" t="n">
        <f aca="false">Q2011*U2011</f>
        <v>0</v>
      </c>
      <c r="W2011" s="41" t="str">
        <f aca="false">IF($M2011="","",IF(T2011="Overdue",IF(Settings!$B$8="Yes",Settings!$B$7,""),IF(ISNUMBER(R2011),DATE(YEAR(R2011),MONTH(R2011),1),"")))</f>
        <v/>
      </c>
      <c r="X2011" s="38" t="n">
        <f aca="false">IF(AND(OR(T2011="Backlog",T2011="Pipeline",T2011="Overdue"),ISNUMBER(W2011)),IF(W2011&lt;=Settings!$B$6,V2011,0),0)</f>
        <v>0</v>
      </c>
      <c r="Y2011" s="38" t="n">
        <f aca="false">IF(AND(OR(T2011="Backlog",T2011="Pipeline",T2011="Overdue"),ISNUMBER(W2011)),IF(W2011&lt;=Settings!$B$6,Q2011,0),0)</f>
        <v>0</v>
      </c>
      <c r="Z2011" s="38" t="n">
        <f aca="false">IF(Y2011=0,0,IF(T2011="Backlog",Q2011,Q2011*Dashboard!$C$10))</f>
        <v>0</v>
      </c>
      <c r="AA2011" s="37" t="n">
        <f aca="false">IF($N2011="",0,IF(COUNTIF(Dashboard!$C$13:$C$22,$N2011)&gt;0,1,0))</f>
        <v>0</v>
      </c>
      <c r="AB2011" s="37" t="str">
        <f aca="false">IF($N2011="","",IF(COUNTIF($N$8:$N2011,$N2011)=1,MAX($AB$7:$AB2010)+1,""))</f>
        <v/>
      </c>
    </row>
    <row r="2012" customFormat="false" ht="15" hidden="false" customHeight="false" outlineLevel="0" collapsed="false">
      <c r="L2012" s="37" t="str">
        <f aca="false">IF(INDEX($A2012:$J2012,$L$6)&lt;&gt;"",TRIM(LEFT(INDEX($A2012:$J2012,$L$6),FIND("(",INDEX($A2012:$J2012,$L$6)&amp;"(")-1)),L2011)</f>
        <v>Building Value Proposition</v>
      </c>
      <c r="M2012" s="37" t="str">
        <f aca="false">IF(INDEX($A2012:$J2012,$M$6)="","",INDEX($A2012:$J2012,$M$6)&amp;"")</f>
        <v/>
      </c>
      <c r="N2012" s="37" t="str">
        <f aca="false">IF($M2012="","",TRIM(INDEX($A2012:$J2012,$N$6)&amp;""))</f>
        <v/>
      </c>
      <c r="O2012" s="37" t="str">
        <f aca="false">IF($M2012="","",TRIM(INDEX($A2012:$J2012,$O$6)&amp;""))</f>
        <v/>
      </c>
      <c r="P2012" s="37" t="str">
        <f aca="false">IF($M2012="","",IFERROR(IF(INDEX(Settings!$B$41:$B$50,MATCH(O2012,Settings!$A$41:$A$50,0))&amp;""="","UNMAPPED",INDEX(Settings!$B$41:$B$50,MATCH(O2012,Settings!$A$41:$A$50,0))&amp;""),"UNMAPPED"))</f>
        <v/>
      </c>
      <c r="Q2012" s="38" t="n">
        <f aca="false">IF($M2012="",0,N(INDEX($A2012:$J2012,$Q$6)))</f>
        <v>0</v>
      </c>
      <c r="R2012" s="39" t="str">
        <f aca="false">IF($M2012="","",INDEX($A2012:$J2012,$R$6))</f>
        <v/>
      </c>
      <c r="S2012" s="37" t="str">
        <f aca="false">IF($M2012="","",IFERROR(INDEX(Settings!$B$27:$B$36,MATCH(L2012,Settings!$A$27:$A$36,0))&amp;"","UNMAPPED"))</f>
        <v/>
      </c>
      <c r="T2012" s="37" t="str">
        <f aca="false">IF($M2012="","",IF(NOT(ISNUMBER(R2012)),"NO DATE",IF(S2012="Won",IF(R2012&gt;Settings!$B$5,"Backlog","Delivered"),IF(S2012="Open",IF(R2012&gt;Settings!$B$5,"Pipeline","Overdue"),IF(S2012="Lost","Lost","UNMAPPED")))))</f>
        <v/>
      </c>
      <c r="U2012" s="40" t="n">
        <f aca="false">IF(T2012="Backlog",1,IF(OR(T2012="Pipeline",T2012="Overdue"),N(INDEX(Settings!$C$27:$C$36,MATCH(L2012,Settings!$A$27:$A$36,0))),0))</f>
        <v>0</v>
      </c>
      <c r="V2012" s="38" t="n">
        <f aca="false">Q2012*U2012</f>
        <v>0</v>
      </c>
      <c r="W2012" s="41" t="str">
        <f aca="false">IF($M2012="","",IF(T2012="Overdue",IF(Settings!$B$8="Yes",Settings!$B$7,""),IF(ISNUMBER(R2012),DATE(YEAR(R2012),MONTH(R2012),1),"")))</f>
        <v/>
      </c>
      <c r="X2012" s="38" t="n">
        <f aca="false">IF(AND(OR(T2012="Backlog",T2012="Pipeline",T2012="Overdue"),ISNUMBER(W2012)),IF(W2012&lt;=Settings!$B$6,V2012,0),0)</f>
        <v>0</v>
      </c>
      <c r="Y2012" s="38" t="n">
        <f aca="false">IF(AND(OR(T2012="Backlog",T2012="Pipeline",T2012="Overdue"),ISNUMBER(W2012)),IF(W2012&lt;=Settings!$B$6,Q2012,0),0)</f>
        <v>0</v>
      </c>
      <c r="Z2012" s="38" t="n">
        <f aca="false">IF(Y2012=0,0,IF(T2012="Backlog",Q2012,Q2012*Dashboard!$C$10))</f>
        <v>0</v>
      </c>
      <c r="AA2012" s="37" t="n">
        <f aca="false">IF($N2012="",0,IF(COUNTIF(Dashboard!$C$13:$C$22,$N2012)&gt;0,1,0))</f>
        <v>0</v>
      </c>
      <c r="AB2012" s="37" t="str">
        <f aca="false">IF($N2012="","",IF(COUNTIF($N$8:$N2012,$N2012)=1,MAX($AB$7:$AB2011)+1,""))</f>
        <v/>
      </c>
    </row>
    <row r="2013" customFormat="false" ht="15" hidden="false" customHeight="false" outlineLevel="0" collapsed="false">
      <c r="L2013" s="37" t="str">
        <f aca="false">IF(INDEX($A2013:$J2013,$L$6)&lt;&gt;"",TRIM(LEFT(INDEX($A2013:$J2013,$L$6),FIND("(",INDEX($A2013:$J2013,$L$6)&amp;"(")-1)),L2012)</f>
        <v>Building Value Proposition</v>
      </c>
      <c r="M2013" s="37" t="str">
        <f aca="false">IF(INDEX($A2013:$J2013,$M$6)="","",INDEX($A2013:$J2013,$M$6)&amp;"")</f>
        <v/>
      </c>
      <c r="N2013" s="37" t="str">
        <f aca="false">IF($M2013="","",TRIM(INDEX($A2013:$J2013,$N$6)&amp;""))</f>
        <v/>
      </c>
      <c r="O2013" s="37" t="str">
        <f aca="false">IF($M2013="","",TRIM(INDEX($A2013:$J2013,$O$6)&amp;""))</f>
        <v/>
      </c>
      <c r="P2013" s="37" t="str">
        <f aca="false">IF($M2013="","",IFERROR(IF(INDEX(Settings!$B$41:$B$50,MATCH(O2013,Settings!$A$41:$A$50,0))&amp;""="","UNMAPPED",INDEX(Settings!$B$41:$B$50,MATCH(O2013,Settings!$A$41:$A$50,0))&amp;""),"UNMAPPED"))</f>
        <v/>
      </c>
      <c r="Q2013" s="38" t="n">
        <f aca="false">IF($M2013="",0,N(INDEX($A2013:$J2013,$Q$6)))</f>
        <v>0</v>
      </c>
      <c r="R2013" s="39" t="str">
        <f aca="false">IF($M2013="","",INDEX($A2013:$J2013,$R$6))</f>
        <v/>
      </c>
      <c r="S2013" s="37" t="str">
        <f aca="false">IF($M2013="","",IFERROR(INDEX(Settings!$B$27:$B$36,MATCH(L2013,Settings!$A$27:$A$36,0))&amp;"","UNMAPPED"))</f>
        <v/>
      </c>
      <c r="T2013" s="37" t="str">
        <f aca="false">IF($M2013="","",IF(NOT(ISNUMBER(R2013)),"NO DATE",IF(S2013="Won",IF(R2013&gt;Settings!$B$5,"Backlog","Delivered"),IF(S2013="Open",IF(R2013&gt;Settings!$B$5,"Pipeline","Overdue"),IF(S2013="Lost","Lost","UNMAPPED")))))</f>
        <v/>
      </c>
      <c r="U2013" s="40" t="n">
        <f aca="false">IF(T2013="Backlog",1,IF(OR(T2013="Pipeline",T2013="Overdue"),N(INDEX(Settings!$C$27:$C$36,MATCH(L2013,Settings!$A$27:$A$36,0))),0))</f>
        <v>0</v>
      </c>
      <c r="V2013" s="38" t="n">
        <f aca="false">Q2013*U2013</f>
        <v>0</v>
      </c>
      <c r="W2013" s="41" t="str">
        <f aca="false">IF($M2013="","",IF(T2013="Overdue",IF(Settings!$B$8="Yes",Settings!$B$7,""),IF(ISNUMBER(R2013),DATE(YEAR(R2013),MONTH(R2013),1),"")))</f>
        <v/>
      </c>
      <c r="X2013" s="38" t="n">
        <f aca="false">IF(AND(OR(T2013="Backlog",T2013="Pipeline",T2013="Overdue"),ISNUMBER(W2013)),IF(W2013&lt;=Settings!$B$6,V2013,0),0)</f>
        <v>0</v>
      </c>
      <c r="Y2013" s="38" t="n">
        <f aca="false">IF(AND(OR(T2013="Backlog",T2013="Pipeline",T2013="Overdue"),ISNUMBER(W2013)),IF(W2013&lt;=Settings!$B$6,Q2013,0),0)</f>
        <v>0</v>
      </c>
      <c r="Z2013" s="38" t="n">
        <f aca="false">IF(Y2013=0,0,IF(T2013="Backlog",Q2013,Q2013*Dashboard!$C$10))</f>
        <v>0</v>
      </c>
      <c r="AA2013" s="37" t="n">
        <f aca="false">IF($N2013="",0,IF(COUNTIF(Dashboard!$C$13:$C$22,$N2013)&gt;0,1,0))</f>
        <v>0</v>
      </c>
      <c r="AB2013" s="37" t="str">
        <f aca="false">IF($N2013="","",IF(COUNTIF($N$8:$N2013,$N2013)=1,MAX($AB$7:$AB2012)+1,""))</f>
        <v/>
      </c>
    </row>
    <row r="2014" customFormat="false" ht="15" hidden="false" customHeight="false" outlineLevel="0" collapsed="false">
      <c r="L2014" s="37" t="str">
        <f aca="false">IF(INDEX($A2014:$J2014,$L$6)&lt;&gt;"",TRIM(LEFT(INDEX($A2014:$J2014,$L$6),FIND("(",INDEX($A2014:$J2014,$L$6)&amp;"(")-1)),L2013)</f>
        <v>Building Value Proposition</v>
      </c>
      <c r="M2014" s="37" t="str">
        <f aca="false">IF(INDEX($A2014:$J2014,$M$6)="","",INDEX($A2014:$J2014,$M$6)&amp;"")</f>
        <v/>
      </c>
      <c r="N2014" s="37" t="str">
        <f aca="false">IF($M2014="","",TRIM(INDEX($A2014:$J2014,$N$6)&amp;""))</f>
        <v/>
      </c>
      <c r="O2014" s="37" t="str">
        <f aca="false">IF($M2014="","",TRIM(INDEX($A2014:$J2014,$O$6)&amp;""))</f>
        <v/>
      </c>
      <c r="P2014" s="37" t="str">
        <f aca="false">IF($M2014="","",IFERROR(IF(INDEX(Settings!$B$41:$B$50,MATCH(O2014,Settings!$A$41:$A$50,0))&amp;""="","UNMAPPED",INDEX(Settings!$B$41:$B$50,MATCH(O2014,Settings!$A$41:$A$50,0))&amp;""),"UNMAPPED"))</f>
        <v/>
      </c>
      <c r="Q2014" s="38" t="n">
        <f aca="false">IF($M2014="",0,N(INDEX($A2014:$J2014,$Q$6)))</f>
        <v>0</v>
      </c>
      <c r="R2014" s="39" t="str">
        <f aca="false">IF($M2014="","",INDEX($A2014:$J2014,$R$6))</f>
        <v/>
      </c>
      <c r="S2014" s="37" t="str">
        <f aca="false">IF($M2014="","",IFERROR(INDEX(Settings!$B$27:$B$36,MATCH(L2014,Settings!$A$27:$A$36,0))&amp;"","UNMAPPED"))</f>
        <v/>
      </c>
      <c r="T2014" s="37" t="str">
        <f aca="false">IF($M2014="","",IF(NOT(ISNUMBER(R2014)),"NO DATE",IF(S2014="Won",IF(R2014&gt;Settings!$B$5,"Backlog","Delivered"),IF(S2014="Open",IF(R2014&gt;Settings!$B$5,"Pipeline","Overdue"),IF(S2014="Lost","Lost","UNMAPPED")))))</f>
        <v/>
      </c>
      <c r="U2014" s="40" t="n">
        <f aca="false">IF(T2014="Backlog",1,IF(OR(T2014="Pipeline",T2014="Overdue"),N(INDEX(Settings!$C$27:$C$36,MATCH(L2014,Settings!$A$27:$A$36,0))),0))</f>
        <v>0</v>
      </c>
      <c r="V2014" s="38" t="n">
        <f aca="false">Q2014*U2014</f>
        <v>0</v>
      </c>
      <c r="W2014" s="41" t="str">
        <f aca="false">IF($M2014="","",IF(T2014="Overdue",IF(Settings!$B$8="Yes",Settings!$B$7,""),IF(ISNUMBER(R2014),DATE(YEAR(R2014),MONTH(R2014),1),"")))</f>
        <v/>
      </c>
      <c r="X2014" s="38" t="n">
        <f aca="false">IF(AND(OR(T2014="Backlog",T2014="Pipeline",T2014="Overdue"),ISNUMBER(W2014)),IF(W2014&lt;=Settings!$B$6,V2014,0),0)</f>
        <v>0</v>
      </c>
      <c r="Y2014" s="38" t="n">
        <f aca="false">IF(AND(OR(T2014="Backlog",T2014="Pipeline",T2014="Overdue"),ISNUMBER(W2014)),IF(W2014&lt;=Settings!$B$6,Q2014,0),0)</f>
        <v>0</v>
      </c>
      <c r="Z2014" s="38" t="n">
        <f aca="false">IF(Y2014=0,0,IF(T2014="Backlog",Q2014,Q2014*Dashboard!$C$10))</f>
        <v>0</v>
      </c>
      <c r="AA2014" s="37" t="n">
        <f aca="false">IF($N2014="",0,IF(COUNTIF(Dashboard!$C$13:$C$22,$N2014)&gt;0,1,0))</f>
        <v>0</v>
      </c>
      <c r="AB2014" s="37" t="str">
        <f aca="false">IF($N2014="","",IF(COUNTIF($N$8:$N2014,$N2014)=1,MAX($AB$7:$AB2013)+1,""))</f>
        <v/>
      </c>
    </row>
    <row r="2015" customFormat="false" ht="15" hidden="false" customHeight="false" outlineLevel="0" collapsed="false">
      <c r="L2015" s="37" t="str">
        <f aca="false">IF(INDEX($A2015:$J2015,$L$6)&lt;&gt;"",TRIM(LEFT(INDEX($A2015:$J2015,$L$6),FIND("(",INDEX($A2015:$J2015,$L$6)&amp;"(")-1)),L2014)</f>
        <v>Building Value Proposition</v>
      </c>
      <c r="M2015" s="37" t="str">
        <f aca="false">IF(INDEX($A2015:$J2015,$M$6)="","",INDEX($A2015:$J2015,$M$6)&amp;"")</f>
        <v/>
      </c>
      <c r="N2015" s="37" t="str">
        <f aca="false">IF($M2015="","",TRIM(INDEX($A2015:$J2015,$N$6)&amp;""))</f>
        <v/>
      </c>
      <c r="O2015" s="37" t="str">
        <f aca="false">IF($M2015="","",TRIM(INDEX($A2015:$J2015,$O$6)&amp;""))</f>
        <v/>
      </c>
      <c r="P2015" s="37" t="str">
        <f aca="false">IF($M2015="","",IFERROR(IF(INDEX(Settings!$B$41:$B$50,MATCH(O2015,Settings!$A$41:$A$50,0))&amp;""="","UNMAPPED",INDEX(Settings!$B$41:$B$50,MATCH(O2015,Settings!$A$41:$A$50,0))&amp;""),"UNMAPPED"))</f>
        <v/>
      </c>
      <c r="Q2015" s="38" t="n">
        <f aca="false">IF($M2015="",0,N(INDEX($A2015:$J2015,$Q$6)))</f>
        <v>0</v>
      </c>
      <c r="R2015" s="39" t="str">
        <f aca="false">IF($M2015="","",INDEX($A2015:$J2015,$R$6))</f>
        <v/>
      </c>
      <c r="S2015" s="37" t="str">
        <f aca="false">IF($M2015="","",IFERROR(INDEX(Settings!$B$27:$B$36,MATCH(L2015,Settings!$A$27:$A$36,0))&amp;"","UNMAPPED"))</f>
        <v/>
      </c>
      <c r="T2015" s="37" t="str">
        <f aca="false">IF($M2015="","",IF(NOT(ISNUMBER(R2015)),"NO DATE",IF(S2015="Won",IF(R2015&gt;Settings!$B$5,"Backlog","Delivered"),IF(S2015="Open",IF(R2015&gt;Settings!$B$5,"Pipeline","Overdue"),IF(S2015="Lost","Lost","UNMAPPED")))))</f>
        <v/>
      </c>
      <c r="U2015" s="40" t="n">
        <f aca="false">IF(T2015="Backlog",1,IF(OR(T2015="Pipeline",T2015="Overdue"),N(INDEX(Settings!$C$27:$C$36,MATCH(L2015,Settings!$A$27:$A$36,0))),0))</f>
        <v>0</v>
      </c>
      <c r="V2015" s="38" t="n">
        <f aca="false">Q2015*U2015</f>
        <v>0</v>
      </c>
      <c r="W2015" s="41" t="str">
        <f aca="false">IF($M2015="","",IF(T2015="Overdue",IF(Settings!$B$8="Yes",Settings!$B$7,""),IF(ISNUMBER(R2015),DATE(YEAR(R2015),MONTH(R2015),1),"")))</f>
        <v/>
      </c>
      <c r="X2015" s="38" t="n">
        <f aca="false">IF(AND(OR(T2015="Backlog",T2015="Pipeline",T2015="Overdue"),ISNUMBER(W2015)),IF(W2015&lt;=Settings!$B$6,V2015,0),0)</f>
        <v>0</v>
      </c>
      <c r="Y2015" s="38" t="n">
        <f aca="false">IF(AND(OR(T2015="Backlog",T2015="Pipeline",T2015="Overdue"),ISNUMBER(W2015)),IF(W2015&lt;=Settings!$B$6,Q2015,0),0)</f>
        <v>0</v>
      </c>
      <c r="Z2015" s="38" t="n">
        <f aca="false">IF(Y2015=0,0,IF(T2015="Backlog",Q2015,Q2015*Dashboard!$C$10))</f>
        <v>0</v>
      </c>
      <c r="AA2015" s="37" t="n">
        <f aca="false">IF($N2015="",0,IF(COUNTIF(Dashboard!$C$13:$C$22,$N2015)&gt;0,1,0))</f>
        <v>0</v>
      </c>
      <c r="AB2015" s="37" t="str">
        <f aca="false">IF($N2015="","",IF(COUNTIF($N$8:$N2015,$N2015)=1,MAX($AB$7:$AB2014)+1,""))</f>
        <v/>
      </c>
    </row>
    <row r="2016" customFormat="false" ht="15" hidden="false" customHeight="false" outlineLevel="0" collapsed="false">
      <c r="L2016" s="37" t="str">
        <f aca="false">IF(INDEX($A2016:$J2016,$L$6)&lt;&gt;"",TRIM(LEFT(INDEX($A2016:$J2016,$L$6),FIND("(",INDEX($A2016:$J2016,$L$6)&amp;"(")-1)),L2015)</f>
        <v>Building Value Proposition</v>
      </c>
      <c r="M2016" s="37" t="str">
        <f aca="false">IF(INDEX($A2016:$J2016,$M$6)="","",INDEX($A2016:$J2016,$M$6)&amp;"")</f>
        <v/>
      </c>
      <c r="N2016" s="37" t="str">
        <f aca="false">IF($M2016="","",TRIM(INDEX($A2016:$J2016,$N$6)&amp;""))</f>
        <v/>
      </c>
      <c r="O2016" s="37" t="str">
        <f aca="false">IF($M2016="","",TRIM(INDEX($A2016:$J2016,$O$6)&amp;""))</f>
        <v/>
      </c>
      <c r="P2016" s="37" t="str">
        <f aca="false">IF($M2016="","",IFERROR(IF(INDEX(Settings!$B$41:$B$50,MATCH(O2016,Settings!$A$41:$A$50,0))&amp;""="","UNMAPPED",INDEX(Settings!$B$41:$B$50,MATCH(O2016,Settings!$A$41:$A$50,0))&amp;""),"UNMAPPED"))</f>
        <v/>
      </c>
      <c r="Q2016" s="38" t="n">
        <f aca="false">IF($M2016="",0,N(INDEX($A2016:$J2016,$Q$6)))</f>
        <v>0</v>
      </c>
      <c r="R2016" s="39" t="str">
        <f aca="false">IF($M2016="","",INDEX($A2016:$J2016,$R$6))</f>
        <v/>
      </c>
      <c r="S2016" s="37" t="str">
        <f aca="false">IF($M2016="","",IFERROR(INDEX(Settings!$B$27:$B$36,MATCH(L2016,Settings!$A$27:$A$36,0))&amp;"","UNMAPPED"))</f>
        <v/>
      </c>
      <c r="T2016" s="37" t="str">
        <f aca="false">IF($M2016="","",IF(NOT(ISNUMBER(R2016)),"NO DATE",IF(S2016="Won",IF(R2016&gt;Settings!$B$5,"Backlog","Delivered"),IF(S2016="Open",IF(R2016&gt;Settings!$B$5,"Pipeline","Overdue"),IF(S2016="Lost","Lost","UNMAPPED")))))</f>
        <v/>
      </c>
      <c r="U2016" s="40" t="n">
        <f aca="false">IF(T2016="Backlog",1,IF(OR(T2016="Pipeline",T2016="Overdue"),N(INDEX(Settings!$C$27:$C$36,MATCH(L2016,Settings!$A$27:$A$36,0))),0))</f>
        <v>0</v>
      </c>
      <c r="V2016" s="38" t="n">
        <f aca="false">Q2016*U2016</f>
        <v>0</v>
      </c>
      <c r="W2016" s="41" t="str">
        <f aca="false">IF($M2016="","",IF(T2016="Overdue",IF(Settings!$B$8="Yes",Settings!$B$7,""),IF(ISNUMBER(R2016),DATE(YEAR(R2016),MONTH(R2016),1),"")))</f>
        <v/>
      </c>
      <c r="X2016" s="38" t="n">
        <f aca="false">IF(AND(OR(T2016="Backlog",T2016="Pipeline",T2016="Overdue"),ISNUMBER(W2016)),IF(W2016&lt;=Settings!$B$6,V2016,0),0)</f>
        <v>0</v>
      </c>
      <c r="Y2016" s="38" t="n">
        <f aca="false">IF(AND(OR(T2016="Backlog",T2016="Pipeline",T2016="Overdue"),ISNUMBER(W2016)),IF(W2016&lt;=Settings!$B$6,Q2016,0),0)</f>
        <v>0</v>
      </c>
      <c r="Z2016" s="38" t="n">
        <f aca="false">IF(Y2016=0,0,IF(T2016="Backlog",Q2016,Q2016*Dashboard!$C$10))</f>
        <v>0</v>
      </c>
      <c r="AA2016" s="37" t="n">
        <f aca="false">IF($N2016="",0,IF(COUNTIF(Dashboard!$C$13:$C$22,$N2016)&gt;0,1,0))</f>
        <v>0</v>
      </c>
      <c r="AB2016" s="37" t="str">
        <f aca="false">IF($N2016="","",IF(COUNTIF($N$8:$N2016,$N2016)=1,MAX($AB$7:$AB2015)+1,""))</f>
        <v/>
      </c>
    </row>
    <row r="2017" customFormat="false" ht="15" hidden="false" customHeight="false" outlineLevel="0" collapsed="false">
      <c r="L2017" s="37" t="str">
        <f aca="false">IF(INDEX($A2017:$J2017,$L$6)&lt;&gt;"",TRIM(LEFT(INDEX($A2017:$J2017,$L$6),FIND("(",INDEX($A2017:$J2017,$L$6)&amp;"(")-1)),L2016)</f>
        <v>Building Value Proposition</v>
      </c>
      <c r="M2017" s="37" t="str">
        <f aca="false">IF(INDEX($A2017:$J2017,$M$6)="","",INDEX($A2017:$J2017,$M$6)&amp;"")</f>
        <v/>
      </c>
      <c r="N2017" s="37" t="str">
        <f aca="false">IF($M2017="","",TRIM(INDEX($A2017:$J2017,$N$6)&amp;""))</f>
        <v/>
      </c>
      <c r="O2017" s="37" t="str">
        <f aca="false">IF($M2017="","",TRIM(INDEX($A2017:$J2017,$O$6)&amp;""))</f>
        <v/>
      </c>
      <c r="P2017" s="37" t="str">
        <f aca="false">IF($M2017="","",IFERROR(IF(INDEX(Settings!$B$41:$B$50,MATCH(O2017,Settings!$A$41:$A$50,0))&amp;""="","UNMAPPED",INDEX(Settings!$B$41:$B$50,MATCH(O2017,Settings!$A$41:$A$50,0))&amp;""),"UNMAPPED"))</f>
        <v/>
      </c>
      <c r="Q2017" s="38" t="n">
        <f aca="false">IF($M2017="",0,N(INDEX($A2017:$J2017,$Q$6)))</f>
        <v>0</v>
      </c>
      <c r="R2017" s="39" t="str">
        <f aca="false">IF($M2017="","",INDEX($A2017:$J2017,$R$6))</f>
        <v/>
      </c>
      <c r="S2017" s="37" t="str">
        <f aca="false">IF($M2017="","",IFERROR(INDEX(Settings!$B$27:$B$36,MATCH(L2017,Settings!$A$27:$A$36,0))&amp;"","UNMAPPED"))</f>
        <v/>
      </c>
      <c r="T2017" s="37" t="str">
        <f aca="false">IF($M2017="","",IF(NOT(ISNUMBER(R2017)),"NO DATE",IF(S2017="Won",IF(R2017&gt;Settings!$B$5,"Backlog","Delivered"),IF(S2017="Open",IF(R2017&gt;Settings!$B$5,"Pipeline","Overdue"),IF(S2017="Lost","Lost","UNMAPPED")))))</f>
        <v/>
      </c>
      <c r="U2017" s="40" t="n">
        <f aca="false">IF(T2017="Backlog",1,IF(OR(T2017="Pipeline",T2017="Overdue"),N(INDEX(Settings!$C$27:$C$36,MATCH(L2017,Settings!$A$27:$A$36,0))),0))</f>
        <v>0</v>
      </c>
      <c r="V2017" s="38" t="n">
        <f aca="false">Q2017*U2017</f>
        <v>0</v>
      </c>
      <c r="W2017" s="41" t="str">
        <f aca="false">IF($M2017="","",IF(T2017="Overdue",IF(Settings!$B$8="Yes",Settings!$B$7,""),IF(ISNUMBER(R2017),DATE(YEAR(R2017),MONTH(R2017),1),"")))</f>
        <v/>
      </c>
      <c r="X2017" s="38" t="n">
        <f aca="false">IF(AND(OR(T2017="Backlog",T2017="Pipeline",T2017="Overdue"),ISNUMBER(W2017)),IF(W2017&lt;=Settings!$B$6,V2017,0),0)</f>
        <v>0</v>
      </c>
      <c r="Y2017" s="38" t="n">
        <f aca="false">IF(AND(OR(T2017="Backlog",T2017="Pipeline",T2017="Overdue"),ISNUMBER(W2017)),IF(W2017&lt;=Settings!$B$6,Q2017,0),0)</f>
        <v>0</v>
      </c>
      <c r="Z2017" s="38" t="n">
        <f aca="false">IF(Y2017=0,0,IF(T2017="Backlog",Q2017,Q2017*Dashboard!$C$10))</f>
        <v>0</v>
      </c>
      <c r="AA2017" s="37" t="n">
        <f aca="false">IF($N2017="",0,IF(COUNTIF(Dashboard!$C$13:$C$22,$N2017)&gt;0,1,0))</f>
        <v>0</v>
      </c>
      <c r="AB2017" s="37" t="str">
        <f aca="false">IF($N2017="","",IF(COUNTIF($N$8:$N2017,$N2017)=1,MAX($AB$7:$AB2016)+1,""))</f>
        <v/>
      </c>
    </row>
    <row r="2018" customFormat="false" ht="15" hidden="false" customHeight="false" outlineLevel="0" collapsed="false">
      <c r="L2018" s="37" t="str">
        <f aca="false">IF(INDEX($A2018:$J2018,$L$6)&lt;&gt;"",TRIM(LEFT(INDEX($A2018:$J2018,$L$6),FIND("(",INDEX($A2018:$J2018,$L$6)&amp;"(")-1)),L2017)</f>
        <v>Building Value Proposition</v>
      </c>
      <c r="M2018" s="37" t="str">
        <f aca="false">IF(INDEX($A2018:$J2018,$M$6)="","",INDEX($A2018:$J2018,$M$6)&amp;"")</f>
        <v/>
      </c>
      <c r="N2018" s="37" t="str">
        <f aca="false">IF($M2018="","",TRIM(INDEX($A2018:$J2018,$N$6)&amp;""))</f>
        <v/>
      </c>
      <c r="O2018" s="37" t="str">
        <f aca="false">IF($M2018="","",TRIM(INDEX($A2018:$J2018,$O$6)&amp;""))</f>
        <v/>
      </c>
      <c r="P2018" s="37" t="str">
        <f aca="false">IF($M2018="","",IFERROR(IF(INDEX(Settings!$B$41:$B$50,MATCH(O2018,Settings!$A$41:$A$50,0))&amp;""="","UNMAPPED",INDEX(Settings!$B$41:$B$50,MATCH(O2018,Settings!$A$41:$A$50,0))&amp;""),"UNMAPPED"))</f>
        <v/>
      </c>
      <c r="Q2018" s="38" t="n">
        <f aca="false">IF($M2018="",0,N(INDEX($A2018:$J2018,$Q$6)))</f>
        <v>0</v>
      </c>
      <c r="R2018" s="39" t="str">
        <f aca="false">IF($M2018="","",INDEX($A2018:$J2018,$R$6))</f>
        <v/>
      </c>
      <c r="S2018" s="37" t="str">
        <f aca="false">IF($M2018="","",IFERROR(INDEX(Settings!$B$27:$B$36,MATCH(L2018,Settings!$A$27:$A$36,0))&amp;"","UNMAPPED"))</f>
        <v/>
      </c>
      <c r="T2018" s="37" t="str">
        <f aca="false">IF($M2018="","",IF(NOT(ISNUMBER(R2018)),"NO DATE",IF(S2018="Won",IF(R2018&gt;Settings!$B$5,"Backlog","Delivered"),IF(S2018="Open",IF(R2018&gt;Settings!$B$5,"Pipeline","Overdue"),IF(S2018="Lost","Lost","UNMAPPED")))))</f>
        <v/>
      </c>
      <c r="U2018" s="40" t="n">
        <f aca="false">IF(T2018="Backlog",1,IF(OR(T2018="Pipeline",T2018="Overdue"),N(INDEX(Settings!$C$27:$C$36,MATCH(L2018,Settings!$A$27:$A$36,0))),0))</f>
        <v>0</v>
      </c>
      <c r="V2018" s="38" t="n">
        <f aca="false">Q2018*U2018</f>
        <v>0</v>
      </c>
      <c r="W2018" s="41" t="str">
        <f aca="false">IF($M2018="","",IF(T2018="Overdue",IF(Settings!$B$8="Yes",Settings!$B$7,""),IF(ISNUMBER(R2018),DATE(YEAR(R2018),MONTH(R2018),1),"")))</f>
        <v/>
      </c>
      <c r="X2018" s="38" t="n">
        <f aca="false">IF(AND(OR(T2018="Backlog",T2018="Pipeline",T2018="Overdue"),ISNUMBER(W2018)),IF(W2018&lt;=Settings!$B$6,V2018,0),0)</f>
        <v>0</v>
      </c>
      <c r="Y2018" s="38" t="n">
        <f aca="false">IF(AND(OR(T2018="Backlog",T2018="Pipeline",T2018="Overdue"),ISNUMBER(W2018)),IF(W2018&lt;=Settings!$B$6,Q2018,0),0)</f>
        <v>0</v>
      </c>
      <c r="Z2018" s="38" t="n">
        <f aca="false">IF(Y2018=0,0,IF(T2018="Backlog",Q2018,Q2018*Dashboard!$C$10))</f>
        <v>0</v>
      </c>
      <c r="AA2018" s="37" t="n">
        <f aca="false">IF($N2018="",0,IF(COUNTIF(Dashboard!$C$13:$C$22,$N2018)&gt;0,1,0))</f>
        <v>0</v>
      </c>
      <c r="AB2018" s="37" t="str">
        <f aca="false">IF($N2018="","",IF(COUNTIF($N$8:$N2018,$N2018)=1,MAX($AB$7:$AB2017)+1,""))</f>
        <v/>
      </c>
    </row>
    <row r="2019" customFormat="false" ht="15" hidden="false" customHeight="false" outlineLevel="0" collapsed="false">
      <c r="L2019" s="37" t="str">
        <f aca="false">IF(INDEX($A2019:$J2019,$L$6)&lt;&gt;"",TRIM(LEFT(INDEX($A2019:$J2019,$L$6),FIND("(",INDEX($A2019:$J2019,$L$6)&amp;"(")-1)),L2018)</f>
        <v>Building Value Proposition</v>
      </c>
      <c r="M2019" s="37" t="str">
        <f aca="false">IF(INDEX($A2019:$J2019,$M$6)="","",INDEX($A2019:$J2019,$M$6)&amp;"")</f>
        <v/>
      </c>
      <c r="N2019" s="37" t="str">
        <f aca="false">IF($M2019="","",TRIM(INDEX($A2019:$J2019,$N$6)&amp;""))</f>
        <v/>
      </c>
      <c r="O2019" s="37" t="str">
        <f aca="false">IF($M2019="","",TRIM(INDEX($A2019:$J2019,$O$6)&amp;""))</f>
        <v/>
      </c>
      <c r="P2019" s="37" t="str">
        <f aca="false">IF($M2019="","",IFERROR(IF(INDEX(Settings!$B$41:$B$50,MATCH(O2019,Settings!$A$41:$A$50,0))&amp;""="","UNMAPPED",INDEX(Settings!$B$41:$B$50,MATCH(O2019,Settings!$A$41:$A$50,0))&amp;""),"UNMAPPED"))</f>
        <v/>
      </c>
      <c r="Q2019" s="38" t="n">
        <f aca="false">IF($M2019="",0,N(INDEX($A2019:$J2019,$Q$6)))</f>
        <v>0</v>
      </c>
      <c r="R2019" s="39" t="str">
        <f aca="false">IF($M2019="","",INDEX($A2019:$J2019,$R$6))</f>
        <v/>
      </c>
      <c r="S2019" s="37" t="str">
        <f aca="false">IF($M2019="","",IFERROR(INDEX(Settings!$B$27:$B$36,MATCH(L2019,Settings!$A$27:$A$36,0))&amp;"","UNMAPPED"))</f>
        <v/>
      </c>
      <c r="T2019" s="37" t="str">
        <f aca="false">IF($M2019="","",IF(NOT(ISNUMBER(R2019)),"NO DATE",IF(S2019="Won",IF(R2019&gt;Settings!$B$5,"Backlog","Delivered"),IF(S2019="Open",IF(R2019&gt;Settings!$B$5,"Pipeline","Overdue"),IF(S2019="Lost","Lost","UNMAPPED")))))</f>
        <v/>
      </c>
      <c r="U2019" s="40" t="n">
        <f aca="false">IF(T2019="Backlog",1,IF(OR(T2019="Pipeline",T2019="Overdue"),N(INDEX(Settings!$C$27:$C$36,MATCH(L2019,Settings!$A$27:$A$36,0))),0))</f>
        <v>0</v>
      </c>
      <c r="V2019" s="38" t="n">
        <f aca="false">Q2019*U2019</f>
        <v>0</v>
      </c>
      <c r="W2019" s="41" t="str">
        <f aca="false">IF($M2019="","",IF(T2019="Overdue",IF(Settings!$B$8="Yes",Settings!$B$7,""),IF(ISNUMBER(R2019),DATE(YEAR(R2019),MONTH(R2019),1),"")))</f>
        <v/>
      </c>
      <c r="X2019" s="38" t="n">
        <f aca="false">IF(AND(OR(T2019="Backlog",T2019="Pipeline",T2019="Overdue"),ISNUMBER(W2019)),IF(W2019&lt;=Settings!$B$6,V2019,0),0)</f>
        <v>0</v>
      </c>
      <c r="Y2019" s="38" t="n">
        <f aca="false">IF(AND(OR(T2019="Backlog",T2019="Pipeline",T2019="Overdue"),ISNUMBER(W2019)),IF(W2019&lt;=Settings!$B$6,Q2019,0),0)</f>
        <v>0</v>
      </c>
      <c r="Z2019" s="38" t="n">
        <f aca="false">IF(Y2019=0,0,IF(T2019="Backlog",Q2019,Q2019*Dashboard!$C$10))</f>
        <v>0</v>
      </c>
      <c r="AA2019" s="37" t="n">
        <f aca="false">IF($N2019="",0,IF(COUNTIF(Dashboard!$C$13:$C$22,$N2019)&gt;0,1,0))</f>
        <v>0</v>
      </c>
      <c r="AB2019" s="37" t="str">
        <f aca="false">IF($N2019="","",IF(COUNTIF($N$8:$N2019,$N2019)=1,MAX($AB$7:$AB2018)+1,""))</f>
        <v/>
      </c>
    </row>
    <row r="2020" customFormat="false" ht="15" hidden="false" customHeight="false" outlineLevel="0" collapsed="false">
      <c r="L2020" s="37" t="str">
        <f aca="false">IF(INDEX($A2020:$J2020,$L$6)&lt;&gt;"",TRIM(LEFT(INDEX($A2020:$J2020,$L$6),FIND("(",INDEX($A2020:$J2020,$L$6)&amp;"(")-1)),L2019)</f>
        <v>Building Value Proposition</v>
      </c>
      <c r="M2020" s="37" t="str">
        <f aca="false">IF(INDEX($A2020:$J2020,$M$6)="","",INDEX($A2020:$J2020,$M$6)&amp;"")</f>
        <v/>
      </c>
      <c r="N2020" s="37" t="str">
        <f aca="false">IF($M2020="","",TRIM(INDEX($A2020:$J2020,$N$6)&amp;""))</f>
        <v/>
      </c>
      <c r="O2020" s="37" t="str">
        <f aca="false">IF($M2020="","",TRIM(INDEX($A2020:$J2020,$O$6)&amp;""))</f>
        <v/>
      </c>
      <c r="P2020" s="37" t="str">
        <f aca="false">IF($M2020="","",IFERROR(IF(INDEX(Settings!$B$41:$B$50,MATCH(O2020,Settings!$A$41:$A$50,0))&amp;""="","UNMAPPED",INDEX(Settings!$B$41:$B$50,MATCH(O2020,Settings!$A$41:$A$50,0))&amp;""),"UNMAPPED"))</f>
        <v/>
      </c>
      <c r="Q2020" s="38" t="n">
        <f aca="false">IF($M2020="",0,N(INDEX($A2020:$J2020,$Q$6)))</f>
        <v>0</v>
      </c>
      <c r="R2020" s="39" t="str">
        <f aca="false">IF($M2020="","",INDEX($A2020:$J2020,$R$6))</f>
        <v/>
      </c>
      <c r="S2020" s="37" t="str">
        <f aca="false">IF($M2020="","",IFERROR(INDEX(Settings!$B$27:$B$36,MATCH(L2020,Settings!$A$27:$A$36,0))&amp;"","UNMAPPED"))</f>
        <v/>
      </c>
      <c r="T2020" s="37" t="str">
        <f aca="false">IF($M2020="","",IF(NOT(ISNUMBER(R2020)),"NO DATE",IF(S2020="Won",IF(R2020&gt;Settings!$B$5,"Backlog","Delivered"),IF(S2020="Open",IF(R2020&gt;Settings!$B$5,"Pipeline","Overdue"),IF(S2020="Lost","Lost","UNMAPPED")))))</f>
        <v/>
      </c>
      <c r="U2020" s="40" t="n">
        <f aca="false">IF(T2020="Backlog",1,IF(OR(T2020="Pipeline",T2020="Overdue"),N(INDEX(Settings!$C$27:$C$36,MATCH(L2020,Settings!$A$27:$A$36,0))),0))</f>
        <v>0</v>
      </c>
      <c r="V2020" s="38" t="n">
        <f aca="false">Q2020*U2020</f>
        <v>0</v>
      </c>
      <c r="W2020" s="41" t="str">
        <f aca="false">IF($M2020="","",IF(T2020="Overdue",IF(Settings!$B$8="Yes",Settings!$B$7,""),IF(ISNUMBER(R2020),DATE(YEAR(R2020),MONTH(R2020),1),"")))</f>
        <v/>
      </c>
      <c r="X2020" s="38" t="n">
        <f aca="false">IF(AND(OR(T2020="Backlog",T2020="Pipeline",T2020="Overdue"),ISNUMBER(W2020)),IF(W2020&lt;=Settings!$B$6,V2020,0),0)</f>
        <v>0</v>
      </c>
      <c r="Y2020" s="38" t="n">
        <f aca="false">IF(AND(OR(T2020="Backlog",T2020="Pipeline",T2020="Overdue"),ISNUMBER(W2020)),IF(W2020&lt;=Settings!$B$6,Q2020,0),0)</f>
        <v>0</v>
      </c>
      <c r="Z2020" s="38" t="n">
        <f aca="false">IF(Y2020=0,0,IF(T2020="Backlog",Q2020,Q2020*Dashboard!$C$10))</f>
        <v>0</v>
      </c>
      <c r="AA2020" s="37" t="n">
        <f aca="false">IF($N2020="",0,IF(COUNTIF(Dashboard!$C$13:$C$22,$N2020)&gt;0,1,0))</f>
        <v>0</v>
      </c>
      <c r="AB2020" s="37" t="str">
        <f aca="false">IF($N2020="","",IF(COUNTIF($N$8:$N2020,$N2020)=1,MAX($AB$7:$AB2019)+1,""))</f>
        <v/>
      </c>
    </row>
    <row r="2021" customFormat="false" ht="15" hidden="false" customHeight="false" outlineLevel="0" collapsed="false">
      <c r="L2021" s="37" t="str">
        <f aca="false">IF(INDEX($A2021:$J2021,$L$6)&lt;&gt;"",TRIM(LEFT(INDEX($A2021:$J2021,$L$6),FIND("(",INDEX($A2021:$J2021,$L$6)&amp;"(")-1)),L2020)</f>
        <v>Building Value Proposition</v>
      </c>
      <c r="M2021" s="37" t="str">
        <f aca="false">IF(INDEX($A2021:$J2021,$M$6)="","",INDEX($A2021:$J2021,$M$6)&amp;"")</f>
        <v/>
      </c>
      <c r="N2021" s="37" t="str">
        <f aca="false">IF($M2021="","",TRIM(INDEX($A2021:$J2021,$N$6)&amp;""))</f>
        <v/>
      </c>
      <c r="O2021" s="37" t="str">
        <f aca="false">IF($M2021="","",TRIM(INDEX($A2021:$J2021,$O$6)&amp;""))</f>
        <v/>
      </c>
      <c r="P2021" s="37" t="str">
        <f aca="false">IF($M2021="","",IFERROR(IF(INDEX(Settings!$B$41:$B$50,MATCH(O2021,Settings!$A$41:$A$50,0))&amp;""="","UNMAPPED",INDEX(Settings!$B$41:$B$50,MATCH(O2021,Settings!$A$41:$A$50,0))&amp;""),"UNMAPPED"))</f>
        <v/>
      </c>
      <c r="Q2021" s="38" t="n">
        <f aca="false">IF($M2021="",0,N(INDEX($A2021:$J2021,$Q$6)))</f>
        <v>0</v>
      </c>
      <c r="R2021" s="39" t="str">
        <f aca="false">IF($M2021="","",INDEX($A2021:$J2021,$R$6))</f>
        <v/>
      </c>
      <c r="S2021" s="37" t="str">
        <f aca="false">IF($M2021="","",IFERROR(INDEX(Settings!$B$27:$B$36,MATCH(L2021,Settings!$A$27:$A$36,0))&amp;"","UNMAPPED"))</f>
        <v/>
      </c>
      <c r="T2021" s="37" t="str">
        <f aca="false">IF($M2021="","",IF(NOT(ISNUMBER(R2021)),"NO DATE",IF(S2021="Won",IF(R2021&gt;Settings!$B$5,"Backlog","Delivered"),IF(S2021="Open",IF(R2021&gt;Settings!$B$5,"Pipeline","Overdue"),IF(S2021="Lost","Lost","UNMAPPED")))))</f>
        <v/>
      </c>
      <c r="U2021" s="40" t="n">
        <f aca="false">IF(T2021="Backlog",1,IF(OR(T2021="Pipeline",T2021="Overdue"),N(INDEX(Settings!$C$27:$C$36,MATCH(L2021,Settings!$A$27:$A$36,0))),0))</f>
        <v>0</v>
      </c>
      <c r="V2021" s="38" t="n">
        <f aca="false">Q2021*U2021</f>
        <v>0</v>
      </c>
      <c r="W2021" s="41" t="str">
        <f aca="false">IF($M2021="","",IF(T2021="Overdue",IF(Settings!$B$8="Yes",Settings!$B$7,""),IF(ISNUMBER(R2021),DATE(YEAR(R2021),MONTH(R2021),1),"")))</f>
        <v/>
      </c>
      <c r="X2021" s="38" t="n">
        <f aca="false">IF(AND(OR(T2021="Backlog",T2021="Pipeline",T2021="Overdue"),ISNUMBER(W2021)),IF(W2021&lt;=Settings!$B$6,V2021,0),0)</f>
        <v>0</v>
      </c>
      <c r="Y2021" s="38" t="n">
        <f aca="false">IF(AND(OR(T2021="Backlog",T2021="Pipeline",T2021="Overdue"),ISNUMBER(W2021)),IF(W2021&lt;=Settings!$B$6,Q2021,0),0)</f>
        <v>0</v>
      </c>
      <c r="Z2021" s="38" t="n">
        <f aca="false">IF(Y2021=0,0,IF(T2021="Backlog",Q2021,Q2021*Dashboard!$C$10))</f>
        <v>0</v>
      </c>
      <c r="AA2021" s="37" t="n">
        <f aca="false">IF($N2021="",0,IF(COUNTIF(Dashboard!$C$13:$C$22,$N2021)&gt;0,1,0))</f>
        <v>0</v>
      </c>
      <c r="AB2021" s="37" t="str">
        <f aca="false">IF($N2021="","",IF(COUNTIF($N$8:$N2021,$N2021)=1,MAX($AB$7:$AB2020)+1,""))</f>
        <v/>
      </c>
    </row>
    <row r="2022" customFormat="false" ht="15" hidden="false" customHeight="false" outlineLevel="0" collapsed="false">
      <c r="L2022" s="37" t="str">
        <f aca="false">IF(INDEX($A2022:$J2022,$L$6)&lt;&gt;"",TRIM(LEFT(INDEX($A2022:$J2022,$L$6),FIND("(",INDEX($A2022:$J2022,$L$6)&amp;"(")-1)),L2021)</f>
        <v>Building Value Proposition</v>
      </c>
      <c r="M2022" s="37" t="str">
        <f aca="false">IF(INDEX($A2022:$J2022,$M$6)="","",INDEX($A2022:$J2022,$M$6)&amp;"")</f>
        <v/>
      </c>
      <c r="N2022" s="37" t="str">
        <f aca="false">IF($M2022="","",TRIM(INDEX($A2022:$J2022,$N$6)&amp;""))</f>
        <v/>
      </c>
      <c r="O2022" s="37" t="str">
        <f aca="false">IF($M2022="","",TRIM(INDEX($A2022:$J2022,$O$6)&amp;""))</f>
        <v/>
      </c>
      <c r="P2022" s="37" t="str">
        <f aca="false">IF($M2022="","",IFERROR(IF(INDEX(Settings!$B$41:$B$50,MATCH(O2022,Settings!$A$41:$A$50,0))&amp;""="","UNMAPPED",INDEX(Settings!$B$41:$B$50,MATCH(O2022,Settings!$A$41:$A$50,0))&amp;""),"UNMAPPED"))</f>
        <v/>
      </c>
      <c r="Q2022" s="38" t="n">
        <f aca="false">IF($M2022="",0,N(INDEX($A2022:$J2022,$Q$6)))</f>
        <v>0</v>
      </c>
      <c r="R2022" s="39" t="str">
        <f aca="false">IF($M2022="","",INDEX($A2022:$J2022,$R$6))</f>
        <v/>
      </c>
      <c r="S2022" s="37" t="str">
        <f aca="false">IF($M2022="","",IFERROR(INDEX(Settings!$B$27:$B$36,MATCH(L2022,Settings!$A$27:$A$36,0))&amp;"","UNMAPPED"))</f>
        <v/>
      </c>
      <c r="T2022" s="37" t="str">
        <f aca="false">IF($M2022="","",IF(NOT(ISNUMBER(R2022)),"NO DATE",IF(S2022="Won",IF(R2022&gt;Settings!$B$5,"Backlog","Delivered"),IF(S2022="Open",IF(R2022&gt;Settings!$B$5,"Pipeline","Overdue"),IF(S2022="Lost","Lost","UNMAPPED")))))</f>
        <v/>
      </c>
      <c r="U2022" s="40" t="n">
        <f aca="false">IF(T2022="Backlog",1,IF(OR(T2022="Pipeline",T2022="Overdue"),N(INDEX(Settings!$C$27:$C$36,MATCH(L2022,Settings!$A$27:$A$36,0))),0))</f>
        <v>0</v>
      </c>
      <c r="V2022" s="38" t="n">
        <f aca="false">Q2022*U2022</f>
        <v>0</v>
      </c>
      <c r="W2022" s="41" t="str">
        <f aca="false">IF($M2022="","",IF(T2022="Overdue",IF(Settings!$B$8="Yes",Settings!$B$7,""),IF(ISNUMBER(R2022),DATE(YEAR(R2022),MONTH(R2022),1),"")))</f>
        <v/>
      </c>
      <c r="X2022" s="38" t="n">
        <f aca="false">IF(AND(OR(T2022="Backlog",T2022="Pipeline",T2022="Overdue"),ISNUMBER(W2022)),IF(W2022&lt;=Settings!$B$6,V2022,0),0)</f>
        <v>0</v>
      </c>
      <c r="Y2022" s="38" t="n">
        <f aca="false">IF(AND(OR(T2022="Backlog",T2022="Pipeline",T2022="Overdue"),ISNUMBER(W2022)),IF(W2022&lt;=Settings!$B$6,Q2022,0),0)</f>
        <v>0</v>
      </c>
      <c r="Z2022" s="38" t="n">
        <f aca="false">IF(Y2022=0,0,IF(T2022="Backlog",Q2022,Q2022*Dashboard!$C$10))</f>
        <v>0</v>
      </c>
      <c r="AA2022" s="37" t="n">
        <f aca="false">IF($N2022="",0,IF(COUNTIF(Dashboard!$C$13:$C$22,$N2022)&gt;0,1,0))</f>
        <v>0</v>
      </c>
      <c r="AB2022" s="37" t="str">
        <f aca="false">IF($N2022="","",IF(COUNTIF($N$8:$N2022,$N2022)=1,MAX($AB$7:$AB2021)+1,""))</f>
        <v/>
      </c>
    </row>
    <row r="2023" customFormat="false" ht="15" hidden="false" customHeight="false" outlineLevel="0" collapsed="false">
      <c r="L2023" s="37" t="str">
        <f aca="false">IF(INDEX($A2023:$J2023,$L$6)&lt;&gt;"",TRIM(LEFT(INDEX($A2023:$J2023,$L$6),FIND("(",INDEX($A2023:$J2023,$L$6)&amp;"(")-1)),L2022)</f>
        <v>Building Value Proposition</v>
      </c>
      <c r="M2023" s="37" t="str">
        <f aca="false">IF(INDEX($A2023:$J2023,$M$6)="","",INDEX($A2023:$J2023,$M$6)&amp;"")</f>
        <v/>
      </c>
      <c r="N2023" s="37" t="str">
        <f aca="false">IF($M2023="","",TRIM(INDEX($A2023:$J2023,$N$6)&amp;""))</f>
        <v/>
      </c>
      <c r="O2023" s="37" t="str">
        <f aca="false">IF($M2023="","",TRIM(INDEX($A2023:$J2023,$O$6)&amp;""))</f>
        <v/>
      </c>
      <c r="P2023" s="37" t="str">
        <f aca="false">IF($M2023="","",IFERROR(IF(INDEX(Settings!$B$41:$B$50,MATCH(O2023,Settings!$A$41:$A$50,0))&amp;""="","UNMAPPED",INDEX(Settings!$B$41:$B$50,MATCH(O2023,Settings!$A$41:$A$50,0))&amp;""),"UNMAPPED"))</f>
        <v/>
      </c>
      <c r="Q2023" s="38" t="n">
        <f aca="false">IF($M2023="",0,N(INDEX($A2023:$J2023,$Q$6)))</f>
        <v>0</v>
      </c>
      <c r="R2023" s="39" t="str">
        <f aca="false">IF($M2023="","",INDEX($A2023:$J2023,$R$6))</f>
        <v/>
      </c>
      <c r="S2023" s="37" t="str">
        <f aca="false">IF($M2023="","",IFERROR(INDEX(Settings!$B$27:$B$36,MATCH(L2023,Settings!$A$27:$A$36,0))&amp;"","UNMAPPED"))</f>
        <v/>
      </c>
      <c r="T2023" s="37" t="str">
        <f aca="false">IF($M2023="","",IF(NOT(ISNUMBER(R2023)),"NO DATE",IF(S2023="Won",IF(R2023&gt;Settings!$B$5,"Backlog","Delivered"),IF(S2023="Open",IF(R2023&gt;Settings!$B$5,"Pipeline","Overdue"),IF(S2023="Lost","Lost","UNMAPPED")))))</f>
        <v/>
      </c>
      <c r="U2023" s="40" t="n">
        <f aca="false">IF(T2023="Backlog",1,IF(OR(T2023="Pipeline",T2023="Overdue"),N(INDEX(Settings!$C$27:$C$36,MATCH(L2023,Settings!$A$27:$A$36,0))),0))</f>
        <v>0</v>
      </c>
      <c r="V2023" s="38" t="n">
        <f aca="false">Q2023*U2023</f>
        <v>0</v>
      </c>
      <c r="W2023" s="41" t="str">
        <f aca="false">IF($M2023="","",IF(T2023="Overdue",IF(Settings!$B$8="Yes",Settings!$B$7,""),IF(ISNUMBER(R2023),DATE(YEAR(R2023),MONTH(R2023),1),"")))</f>
        <v/>
      </c>
      <c r="X2023" s="38" t="n">
        <f aca="false">IF(AND(OR(T2023="Backlog",T2023="Pipeline",T2023="Overdue"),ISNUMBER(W2023)),IF(W2023&lt;=Settings!$B$6,V2023,0),0)</f>
        <v>0</v>
      </c>
      <c r="Y2023" s="38" t="n">
        <f aca="false">IF(AND(OR(T2023="Backlog",T2023="Pipeline",T2023="Overdue"),ISNUMBER(W2023)),IF(W2023&lt;=Settings!$B$6,Q2023,0),0)</f>
        <v>0</v>
      </c>
      <c r="Z2023" s="38" t="n">
        <f aca="false">IF(Y2023=0,0,IF(T2023="Backlog",Q2023,Q2023*Dashboard!$C$10))</f>
        <v>0</v>
      </c>
      <c r="AA2023" s="37" t="n">
        <f aca="false">IF($N2023="",0,IF(COUNTIF(Dashboard!$C$13:$C$22,$N2023)&gt;0,1,0))</f>
        <v>0</v>
      </c>
      <c r="AB2023" s="37" t="str">
        <f aca="false">IF($N2023="","",IF(COUNTIF($N$8:$N2023,$N2023)=1,MAX($AB$7:$AB2022)+1,""))</f>
        <v/>
      </c>
    </row>
    <row r="2024" customFormat="false" ht="15" hidden="false" customHeight="false" outlineLevel="0" collapsed="false">
      <c r="L2024" s="37" t="str">
        <f aca="false">IF(INDEX($A2024:$J2024,$L$6)&lt;&gt;"",TRIM(LEFT(INDEX($A2024:$J2024,$L$6),FIND("(",INDEX($A2024:$J2024,$L$6)&amp;"(")-1)),L2023)</f>
        <v>Building Value Proposition</v>
      </c>
      <c r="M2024" s="37" t="str">
        <f aca="false">IF(INDEX($A2024:$J2024,$M$6)="","",INDEX($A2024:$J2024,$M$6)&amp;"")</f>
        <v/>
      </c>
      <c r="N2024" s="37" t="str">
        <f aca="false">IF($M2024="","",TRIM(INDEX($A2024:$J2024,$N$6)&amp;""))</f>
        <v/>
      </c>
      <c r="O2024" s="37" t="str">
        <f aca="false">IF($M2024="","",TRIM(INDEX($A2024:$J2024,$O$6)&amp;""))</f>
        <v/>
      </c>
      <c r="P2024" s="37" t="str">
        <f aca="false">IF($M2024="","",IFERROR(IF(INDEX(Settings!$B$41:$B$50,MATCH(O2024,Settings!$A$41:$A$50,0))&amp;""="","UNMAPPED",INDEX(Settings!$B$41:$B$50,MATCH(O2024,Settings!$A$41:$A$50,0))&amp;""),"UNMAPPED"))</f>
        <v/>
      </c>
      <c r="Q2024" s="38" t="n">
        <f aca="false">IF($M2024="",0,N(INDEX($A2024:$J2024,$Q$6)))</f>
        <v>0</v>
      </c>
      <c r="R2024" s="39" t="str">
        <f aca="false">IF($M2024="","",INDEX($A2024:$J2024,$R$6))</f>
        <v/>
      </c>
      <c r="S2024" s="37" t="str">
        <f aca="false">IF($M2024="","",IFERROR(INDEX(Settings!$B$27:$B$36,MATCH(L2024,Settings!$A$27:$A$36,0))&amp;"","UNMAPPED"))</f>
        <v/>
      </c>
      <c r="T2024" s="37" t="str">
        <f aca="false">IF($M2024="","",IF(NOT(ISNUMBER(R2024)),"NO DATE",IF(S2024="Won",IF(R2024&gt;Settings!$B$5,"Backlog","Delivered"),IF(S2024="Open",IF(R2024&gt;Settings!$B$5,"Pipeline","Overdue"),IF(S2024="Lost","Lost","UNMAPPED")))))</f>
        <v/>
      </c>
      <c r="U2024" s="40" t="n">
        <f aca="false">IF(T2024="Backlog",1,IF(OR(T2024="Pipeline",T2024="Overdue"),N(INDEX(Settings!$C$27:$C$36,MATCH(L2024,Settings!$A$27:$A$36,0))),0))</f>
        <v>0</v>
      </c>
      <c r="V2024" s="38" t="n">
        <f aca="false">Q2024*U2024</f>
        <v>0</v>
      </c>
      <c r="W2024" s="41" t="str">
        <f aca="false">IF($M2024="","",IF(T2024="Overdue",IF(Settings!$B$8="Yes",Settings!$B$7,""),IF(ISNUMBER(R2024),DATE(YEAR(R2024),MONTH(R2024),1),"")))</f>
        <v/>
      </c>
      <c r="X2024" s="38" t="n">
        <f aca="false">IF(AND(OR(T2024="Backlog",T2024="Pipeline",T2024="Overdue"),ISNUMBER(W2024)),IF(W2024&lt;=Settings!$B$6,V2024,0),0)</f>
        <v>0</v>
      </c>
      <c r="Y2024" s="38" t="n">
        <f aca="false">IF(AND(OR(T2024="Backlog",T2024="Pipeline",T2024="Overdue"),ISNUMBER(W2024)),IF(W2024&lt;=Settings!$B$6,Q2024,0),0)</f>
        <v>0</v>
      </c>
      <c r="Z2024" s="38" t="n">
        <f aca="false">IF(Y2024=0,0,IF(T2024="Backlog",Q2024,Q2024*Dashboard!$C$10))</f>
        <v>0</v>
      </c>
      <c r="AA2024" s="37" t="n">
        <f aca="false">IF($N2024="",0,IF(COUNTIF(Dashboard!$C$13:$C$22,$N2024)&gt;0,1,0))</f>
        <v>0</v>
      </c>
      <c r="AB2024" s="37" t="str">
        <f aca="false">IF($N2024="","",IF(COUNTIF($N$8:$N2024,$N2024)=1,MAX($AB$7:$AB2023)+1,""))</f>
        <v/>
      </c>
    </row>
    <row r="2025" customFormat="false" ht="15" hidden="false" customHeight="false" outlineLevel="0" collapsed="false">
      <c r="L2025" s="37" t="str">
        <f aca="false">IF(INDEX($A2025:$J2025,$L$6)&lt;&gt;"",TRIM(LEFT(INDEX($A2025:$J2025,$L$6),FIND("(",INDEX($A2025:$J2025,$L$6)&amp;"(")-1)),L2024)</f>
        <v>Building Value Proposition</v>
      </c>
      <c r="M2025" s="37" t="str">
        <f aca="false">IF(INDEX($A2025:$J2025,$M$6)="","",INDEX($A2025:$J2025,$M$6)&amp;"")</f>
        <v/>
      </c>
      <c r="N2025" s="37" t="str">
        <f aca="false">IF($M2025="","",TRIM(INDEX($A2025:$J2025,$N$6)&amp;""))</f>
        <v/>
      </c>
      <c r="O2025" s="37" t="str">
        <f aca="false">IF($M2025="","",TRIM(INDEX($A2025:$J2025,$O$6)&amp;""))</f>
        <v/>
      </c>
      <c r="P2025" s="37" t="str">
        <f aca="false">IF($M2025="","",IFERROR(IF(INDEX(Settings!$B$41:$B$50,MATCH(O2025,Settings!$A$41:$A$50,0))&amp;""="","UNMAPPED",INDEX(Settings!$B$41:$B$50,MATCH(O2025,Settings!$A$41:$A$50,0))&amp;""),"UNMAPPED"))</f>
        <v/>
      </c>
      <c r="Q2025" s="38" t="n">
        <f aca="false">IF($M2025="",0,N(INDEX($A2025:$J2025,$Q$6)))</f>
        <v>0</v>
      </c>
      <c r="R2025" s="39" t="str">
        <f aca="false">IF($M2025="","",INDEX($A2025:$J2025,$R$6))</f>
        <v/>
      </c>
      <c r="S2025" s="37" t="str">
        <f aca="false">IF($M2025="","",IFERROR(INDEX(Settings!$B$27:$B$36,MATCH(L2025,Settings!$A$27:$A$36,0))&amp;"","UNMAPPED"))</f>
        <v/>
      </c>
      <c r="T2025" s="37" t="str">
        <f aca="false">IF($M2025="","",IF(NOT(ISNUMBER(R2025)),"NO DATE",IF(S2025="Won",IF(R2025&gt;Settings!$B$5,"Backlog","Delivered"),IF(S2025="Open",IF(R2025&gt;Settings!$B$5,"Pipeline","Overdue"),IF(S2025="Lost","Lost","UNMAPPED")))))</f>
        <v/>
      </c>
      <c r="U2025" s="40" t="n">
        <f aca="false">IF(T2025="Backlog",1,IF(OR(T2025="Pipeline",T2025="Overdue"),N(INDEX(Settings!$C$27:$C$36,MATCH(L2025,Settings!$A$27:$A$36,0))),0))</f>
        <v>0</v>
      </c>
      <c r="V2025" s="38" t="n">
        <f aca="false">Q2025*U2025</f>
        <v>0</v>
      </c>
      <c r="W2025" s="41" t="str">
        <f aca="false">IF($M2025="","",IF(T2025="Overdue",IF(Settings!$B$8="Yes",Settings!$B$7,""),IF(ISNUMBER(R2025),DATE(YEAR(R2025),MONTH(R2025),1),"")))</f>
        <v/>
      </c>
      <c r="X2025" s="38" t="n">
        <f aca="false">IF(AND(OR(T2025="Backlog",T2025="Pipeline",T2025="Overdue"),ISNUMBER(W2025)),IF(W2025&lt;=Settings!$B$6,V2025,0),0)</f>
        <v>0</v>
      </c>
      <c r="Y2025" s="38" t="n">
        <f aca="false">IF(AND(OR(T2025="Backlog",T2025="Pipeline",T2025="Overdue"),ISNUMBER(W2025)),IF(W2025&lt;=Settings!$B$6,Q2025,0),0)</f>
        <v>0</v>
      </c>
      <c r="Z2025" s="38" t="n">
        <f aca="false">IF(Y2025=0,0,IF(T2025="Backlog",Q2025,Q2025*Dashboard!$C$10))</f>
        <v>0</v>
      </c>
      <c r="AA2025" s="37" t="n">
        <f aca="false">IF($N2025="",0,IF(COUNTIF(Dashboard!$C$13:$C$22,$N2025)&gt;0,1,0))</f>
        <v>0</v>
      </c>
      <c r="AB2025" s="37" t="str">
        <f aca="false">IF($N2025="","",IF(COUNTIF($N$8:$N2025,$N2025)=1,MAX($AB$7:$AB2024)+1,""))</f>
        <v/>
      </c>
    </row>
    <row r="2026" customFormat="false" ht="15" hidden="false" customHeight="false" outlineLevel="0" collapsed="false">
      <c r="L2026" s="37" t="str">
        <f aca="false">IF(INDEX($A2026:$J2026,$L$6)&lt;&gt;"",TRIM(LEFT(INDEX($A2026:$J2026,$L$6),FIND("(",INDEX($A2026:$J2026,$L$6)&amp;"(")-1)),L2025)</f>
        <v>Building Value Proposition</v>
      </c>
      <c r="M2026" s="37" t="str">
        <f aca="false">IF(INDEX($A2026:$J2026,$M$6)="","",INDEX($A2026:$J2026,$M$6)&amp;"")</f>
        <v/>
      </c>
      <c r="N2026" s="37" t="str">
        <f aca="false">IF($M2026="","",TRIM(INDEX($A2026:$J2026,$N$6)&amp;""))</f>
        <v/>
      </c>
      <c r="O2026" s="37" t="str">
        <f aca="false">IF($M2026="","",TRIM(INDEX($A2026:$J2026,$O$6)&amp;""))</f>
        <v/>
      </c>
      <c r="P2026" s="37" t="str">
        <f aca="false">IF($M2026="","",IFERROR(IF(INDEX(Settings!$B$41:$B$50,MATCH(O2026,Settings!$A$41:$A$50,0))&amp;""="","UNMAPPED",INDEX(Settings!$B$41:$B$50,MATCH(O2026,Settings!$A$41:$A$50,0))&amp;""),"UNMAPPED"))</f>
        <v/>
      </c>
      <c r="Q2026" s="38" t="n">
        <f aca="false">IF($M2026="",0,N(INDEX($A2026:$J2026,$Q$6)))</f>
        <v>0</v>
      </c>
      <c r="R2026" s="39" t="str">
        <f aca="false">IF($M2026="","",INDEX($A2026:$J2026,$R$6))</f>
        <v/>
      </c>
      <c r="S2026" s="37" t="str">
        <f aca="false">IF($M2026="","",IFERROR(INDEX(Settings!$B$27:$B$36,MATCH(L2026,Settings!$A$27:$A$36,0))&amp;"","UNMAPPED"))</f>
        <v/>
      </c>
      <c r="T2026" s="37" t="str">
        <f aca="false">IF($M2026="","",IF(NOT(ISNUMBER(R2026)),"NO DATE",IF(S2026="Won",IF(R2026&gt;Settings!$B$5,"Backlog","Delivered"),IF(S2026="Open",IF(R2026&gt;Settings!$B$5,"Pipeline","Overdue"),IF(S2026="Lost","Lost","UNMAPPED")))))</f>
        <v/>
      </c>
      <c r="U2026" s="40" t="n">
        <f aca="false">IF(T2026="Backlog",1,IF(OR(T2026="Pipeline",T2026="Overdue"),N(INDEX(Settings!$C$27:$C$36,MATCH(L2026,Settings!$A$27:$A$36,0))),0))</f>
        <v>0</v>
      </c>
      <c r="V2026" s="38" t="n">
        <f aca="false">Q2026*U2026</f>
        <v>0</v>
      </c>
      <c r="W2026" s="41" t="str">
        <f aca="false">IF($M2026="","",IF(T2026="Overdue",IF(Settings!$B$8="Yes",Settings!$B$7,""),IF(ISNUMBER(R2026),DATE(YEAR(R2026),MONTH(R2026),1),"")))</f>
        <v/>
      </c>
      <c r="X2026" s="38" t="n">
        <f aca="false">IF(AND(OR(T2026="Backlog",T2026="Pipeline",T2026="Overdue"),ISNUMBER(W2026)),IF(W2026&lt;=Settings!$B$6,V2026,0),0)</f>
        <v>0</v>
      </c>
      <c r="Y2026" s="38" t="n">
        <f aca="false">IF(AND(OR(T2026="Backlog",T2026="Pipeline",T2026="Overdue"),ISNUMBER(W2026)),IF(W2026&lt;=Settings!$B$6,Q2026,0),0)</f>
        <v>0</v>
      </c>
      <c r="Z2026" s="38" t="n">
        <f aca="false">IF(Y2026=0,0,IF(T2026="Backlog",Q2026,Q2026*Dashboard!$C$10))</f>
        <v>0</v>
      </c>
      <c r="AA2026" s="37" t="n">
        <f aca="false">IF($N2026="",0,IF(COUNTIF(Dashboard!$C$13:$C$22,$N2026)&gt;0,1,0))</f>
        <v>0</v>
      </c>
      <c r="AB2026" s="37" t="str">
        <f aca="false">IF($N2026="","",IF(COUNTIF($N$8:$N2026,$N2026)=1,MAX($AB$7:$AB2025)+1,""))</f>
        <v/>
      </c>
    </row>
    <row r="2027" customFormat="false" ht="15" hidden="false" customHeight="false" outlineLevel="0" collapsed="false">
      <c r="L2027" s="37" t="str">
        <f aca="false">IF(INDEX($A2027:$J2027,$L$6)&lt;&gt;"",TRIM(LEFT(INDEX($A2027:$J2027,$L$6),FIND("(",INDEX($A2027:$J2027,$L$6)&amp;"(")-1)),L2026)</f>
        <v>Building Value Proposition</v>
      </c>
      <c r="M2027" s="37" t="str">
        <f aca="false">IF(INDEX($A2027:$J2027,$M$6)="","",INDEX($A2027:$J2027,$M$6)&amp;"")</f>
        <v/>
      </c>
      <c r="N2027" s="37" t="str">
        <f aca="false">IF($M2027="","",TRIM(INDEX($A2027:$J2027,$N$6)&amp;""))</f>
        <v/>
      </c>
      <c r="O2027" s="37" t="str">
        <f aca="false">IF($M2027="","",TRIM(INDEX($A2027:$J2027,$O$6)&amp;""))</f>
        <v/>
      </c>
      <c r="P2027" s="37" t="str">
        <f aca="false">IF($M2027="","",IFERROR(IF(INDEX(Settings!$B$41:$B$50,MATCH(O2027,Settings!$A$41:$A$50,0))&amp;""="","UNMAPPED",INDEX(Settings!$B$41:$B$50,MATCH(O2027,Settings!$A$41:$A$50,0))&amp;""),"UNMAPPED"))</f>
        <v/>
      </c>
      <c r="Q2027" s="38" t="n">
        <f aca="false">IF($M2027="",0,N(INDEX($A2027:$J2027,$Q$6)))</f>
        <v>0</v>
      </c>
      <c r="R2027" s="39" t="str">
        <f aca="false">IF($M2027="","",INDEX($A2027:$J2027,$R$6))</f>
        <v/>
      </c>
      <c r="S2027" s="37" t="str">
        <f aca="false">IF($M2027="","",IFERROR(INDEX(Settings!$B$27:$B$36,MATCH(L2027,Settings!$A$27:$A$36,0))&amp;"","UNMAPPED"))</f>
        <v/>
      </c>
      <c r="T2027" s="37" t="str">
        <f aca="false">IF($M2027="","",IF(NOT(ISNUMBER(R2027)),"NO DATE",IF(S2027="Won",IF(R2027&gt;Settings!$B$5,"Backlog","Delivered"),IF(S2027="Open",IF(R2027&gt;Settings!$B$5,"Pipeline","Overdue"),IF(S2027="Lost","Lost","UNMAPPED")))))</f>
        <v/>
      </c>
      <c r="U2027" s="40" t="n">
        <f aca="false">IF(T2027="Backlog",1,IF(OR(T2027="Pipeline",T2027="Overdue"),N(INDEX(Settings!$C$27:$C$36,MATCH(L2027,Settings!$A$27:$A$36,0))),0))</f>
        <v>0</v>
      </c>
      <c r="V2027" s="38" t="n">
        <f aca="false">Q2027*U2027</f>
        <v>0</v>
      </c>
      <c r="W2027" s="41" t="str">
        <f aca="false">IF($M2027="","",IF(T2027="Overdue",IF(Settings!$B$8="Yes",Settings!$B$7,""),IF(ISNUMBER(R2027),DATE(YEAR(R2027),MONTH(R2027),1),"")))</f>
        <v/>
      </c>
      <c r="X2027" s="38" t="n">
        <f aca="false">IF(AND(OR(T2027="Backlog",T2027="Pipeline",T2027="Overdue"),ISNUMBER(W2027)),IF(W2027&lt;=Settings!$B$6,V2027,0),0)</f>
        <v>0</v>
      </c>
      <c r="Y2027" s="38" t="n">
        <f aca="false">IF(AND(OR(T2027="Backlog",T2027="Pipeline",T2027="Overdue"),ISNUMBER(W2027)),IF(W2027&lt;=Settings!$B$6,Q2027,0),0)</f>
        <v>0</v>
      </c>
      <c r="Z2027" s="38" t="n">
        <f aca="false">IF(Y2027=0,0,IF(T2027="Backlog",Q2027,Q2027*Dashboard!$C$10))</f>
        <v>0</v>
      </c>
      <c r="AA2027" s="37" t="n">
        <f aca="false">IF($N2027="",0,IF(COUNTIF(Dashboard!$C$13:$C$22,$N2027)&gt;0,1,0))</f>
        <v>0</v>
      </c>
      <c r="AB2027" s="37" t="str">
        <f aca="false">IF($N2027="","",IF(COUNTIF($N$8:$N2027,$N2027)=1,MAX($AB$7:$AB2026)+1,""))</f>
        <v/>
      </c>
    </row>
    <row r="2028" customFormat="false" ht="15" hidden="false" customHeight="false" outlineLevel="0" collapsed="false">
      <c r="L2028" s="37" t="str">
        <f aca="false">IF(INDEX($A2028:$J2028,$L$6)&lt;&gt;"",TRIM(LEFT(INDEX($A2028:$J2028,$L$6),FIND("(",INDEX($A2028:$J2028,$L$6)&amp;"(")-1)),L2027)</f>
        <v>Building Value Proposition</v>
      </c>
      <c r="M2028" s="37" t="str">
        <f aca="false">IF(INDEX($A2028:$J2028,$M$6)="","",INDEX($A2028:$J2028,$M$6)&amp;"")</f>
        <v/>
      </c>
      <c r="N2028" s="37" t="str">
        <f aca="false">IF($M2028="","",TRIM(INDEX($A2028:$J2028,$N$6)&amp;""))</f>
        <v/>
      </c>
      <c r="O2028" s="37" t="str">
        <f aca="false">IF($M2028="","",TRIM(INDEX($A2028:$J2028,$O$6)&amp;""))</f>
        <v/>
      </c>
      <c r="P2028" s="37" t="str">
        <f aca="false">IF($M2028="","",IFERROR(IF(INDEX(Settings!$B$41:$B$50,MATCH(O2028,Settings!$A$41:$A$50,0))&amp;""="","UNMAPPED",INDEX(Settings!$B$41:$B$50,MATCH(O2028,Settings!$A$41:$A$50,0))&amp;""),"UNMAPPED"))</f>
        <v/>
      </c>
      <c r="Q2028" s="38" t="n">
        <f aca="false">IF($M2028="",0,N(INDEX($A2028:$J2028,$Q$6)))</f>
        <v>0</v>
      </c>
      <c r="R2028" s="39" t="str">
        <f aca="false">IF($M2028="","",INDEX($A2028:$J2028,$R$6))</f>
        <v/>
      </c>
      <c r="S2028" s="37" t="str">
        <f aca="false">IF($M2028="","",IFERROR(INDEX(Settings!$B$27:$B$36,MATCH(L2028,Settings!$A$27:$A$36,0))&amp;"","UNMAPPED"))</f>
        <v/>
      </c>
      <c r="T2028" s="37" t="str">
        <f aca="false">IF($M2028="","",IF(NOT(ISNUMBER(R2028)),"NO DATE",IF(S2028="Won",IF(R2028&gt;Settings!$B$5,"Backlog","Delivered"),IF(S2028="Open",IF(R2028&gt;Settings!$B$5,"Pipeline","Overdue"),IF(S2028="Lost","Lost","UNMAPPED")))))</f>
        <v/>
      </c>
      <c r="U2028" s="40" t="n">
        <f aca="false">IF(T2028="Backlog",1,IF(OR(T2028="Pipeline",T2028="Overdue"),N(INDEX(Settings!$C$27:$C$36,MATCH(L2028,Settings!$A$27:$A$36,0))),0))</f>
        <v>0</v>
      </c>
      <c r="V2028" s="38" t="n">
        <f aca="false">Q2028*U2028</f>
        <v>0</v>
      </c>
      <c r="W2028" s="41" t="str">
        <f aca="false">IF($M2028="","",IF(T2028="Overdue",IF(Settings!$B$8="Yes",Settings!$B$7,""),IF(ISNUMBER(R2028),DATE(YEAR(R2028),MONTH(R2028),1),"")))</f>
        <v/>
      </c>
      <c r="X2028" s="38" t="n">
        <f aca="false">IF(AND(OR(T2028="Backlog",T2028="Pipeline",T2028="Overdue"),ISNUMBER(W2028)),IF(W2028&lt;=Settings!$B$6,V2028,0),0)</f>
        <v>0</v>
      </c>
      <c r="Y2028" s="38" t="n">
        <f aca="false">IF(AND(OR(T2028="Backlog",T2028="Pipeline",T2028="Overdue"),ISNUMBER(W2028)),IF(W2028&lt;=Settings!$B$6,Q2028,0),0)</f>
        <v>0</v>
      </c>
      <c r="Z2028" s="38" t="n">
        <f aca="false">IF(Y2028=0,0,IF(T2028="Backlog",Q2028,Q2028*Dashboard!$C$10))</f>
        <v>0</v>
      </c>
      <c r="AA2028" s="37" t="n">
        <f aca="false">IF($N2028="",0,IF(COUNTIF(Dashboard!$C$13:$C$22,$N2028)&gt;0,1,0))</f>
        <v>0</v>
      </c>
      <c r="AB2028" s="37" t="str">
        <f aca="false">IF($N2028="","",IF(COUNTIF($N$8:$N2028,$N2028)=1,MAX($AB$7:$AB2027)+1,""))</f>
        <v/>
      </c>
    </row>
    <row r="2029" customFormat="false" ht="15" hidden="false" customHeight="false" outlineLevel="0" collapsed="false">
      <c r="L2029" s="37" t="str">
        <f aca="false">IF(INDEX($A2029:$J2029,$L$6)&lt;&gt;"",TRIM(LEFT(INDEX($A2029:$J2029,$L$6),FIND("(",INDEX($A2029:$J2029,$L$6)&amp;"(")-1)),L2028)</f>
        <v>Building Value Proposition</v>
      </c>
      <c r="M2029" s="37" t="str">
        <f aca="false">IF(INDEX($A2029:$J2029,$M$6)="","",INDEX($A2029:$J2029,$M$6)&amp;"")</f>
        <v/>
      </c>
      <c r="N2029" s="37" t="str">
        <f aca="false">IF($M2029="","",TRIM(INDEX($A2029:$J2029,$N$6)&amp;""))</f>
        <v/>
      </c>
      <c r="O2029" s="37" t="str">
        <f aca="false">IF($M2029="","",TRIM(INDEX($A2029:$J2029,$O$6)&amp;""))</f>
        <v/>
      </c>
      <c r="P2029" s="37" t="str">
        <f aca="false">IF($M2029="","",IFERROR(IF(INDEX(Settings!$B$41:$B$50,MATCH(O2029,Settings!$A$41:$A$50,0))&amp;""="","UNMAPPED",INDEX(Settings!$B$41:$B$50,MATCH(O2029,Settings!$A$41:$A$50,0))&amp;""),"UNMAPPED"))</f>
        <v/>
      </c>
      <c r="Q2029" s="38" t="n">
        <f aca="false">IF($M2029="",0,N(INDEX($A2029:$J2029,$Q$6)))</f>
        <v>0</v>
      </c>
      <c r="R2029" s="39" t="str">
        <f aca="false">IF($M2029="","",INDEX($A2029:$J2029,$R$6))</f>
        <v/>
      </c>
      <c r="S2029" s="37" t="str">
        <f aca="false">IF($M2029="","",IFERROR(INDEX(Settings!$B$27:$B$36,MATCH(L2029,Settings!$A$27:$A$36,0))&amp;"","UNMAPPED"))</f>
        <v/>
      </c>
      <c r="T2029" s="37" t="str">
        <f aca="false">IF($M2029="","",IF(NOT(ISNUMBER(R2029)),"NO DATE",IF(S2029="Won",IF(R2029&gt;Settings!$B$5,"Backlog","Delivered"),IF(S2029="Open",IF(R2029&gt;Settings!$B$5,"Pipeline","Overdue"),IF(S2029="Lost","Lost","UNMAPPED")))))</f>
        <v/>
      </c>
      <c r="U2029" s="40" t="n">
        <f aca="false">IF(T2029="Backlog",1,IF(OR(T2029="Pipeline",T2029="Overdue"),N(INDEX(Settings!$C$27:$C$36,MATCH(L2029,Settings!$A$27:$A$36,0))),0))</f>
        <v>0</v>
      </c>
      <c r="V2029" s="38" t="n">
        <f aca="false">Q2029*U2029</f>
        <v>0</v>
      </c>
      <c r="W2029" s="41" t="str">
        <f aca="false">IF($M2029="","",IF(T2029="Overdue",IF(Settings!$B$8="Yes",Settings!$B$7,""),IF(ISNUMBER(R2029),DATE(YEAR(R2029),MONTH(R2029),1),"")))</f>
        <v/>
      </c>
      <c r="X2029" s="38" t="n">
        <f aca="false">IF(AND(OR(T2029="Backlog",T2029="Pipeline",T2029="Overdue"),ISNUMBER(W2029)),IF(W2029&lt;=Settings!$B$6,V2029,0),0)</f>
        <v>0</v>
      </c>
      <c r="Y2029" s="38" t="n">
        <f aca="false">IF(AND(OR(T2029="Backlog",T2029="Pipeline",T2029="Overdue"),ISNUMBER(W2029)),IF(W2029&lt;=Settings!$B$6,Q2029,0),0)</f>
        <v>0</v>
      </c>
      <c r="Z2029" s="38" t="n">
        <f aca="false">IF(Y2029=0,0,IF(T2029="Backlog",Q2029,Q2029*Dashboard!$C$10))</f>
        <v>0</v>
      </c>
      <c r="AA2029" s="37" t="n">
        <f aca="false">IF($N2029="",0,IF(COUNTIF(Dashboard!$C$13:$C$22,$N2029)&gt;0,1,0))</f>
        <v>0</v>
      </c>
      <c r="AB2029" s="37" t="str">
        <f aca="false">IF($N2029="","",IF(COUNTIF($N$8:$N2029,$N2029)=1,MAX($AB$7:$AB2028)+1,""))</f>
        <v/>
      </c>
    </row>
    <row r="2030" customFormat="false" ht="15" hidden="false" customHeight="false" outlineLevel="0" collapsed="false">
      <c r="L2030" s="37" t="str">
        <f aca="false">IF(INDEX($A2030:$J2030,$L$6)&lt;&gt;"",TRIM(LEFT(INDEX($A2030:$J2030,$L$6),FIND("(",INDEX($A2030:$J2030,$L$6)&amp;"(")-1)),L2029)</f>
        <v>Building Value Proposition</v>
      </c>
      <c r="M2030" s="37" t="str">
        <f aca="false">IF(INDEX($A2030:$J2030,$M$6)="","",INDEX($A2030:$J2030,$M$6)&amp;"")</f>
        <v/>
      </c>
      <c r="N2030" s="37" t="str">
        <f aca="false">IF($M2030="","",TRIM(INDEX($A2030:$J2030,$N$6)&amp;""))</f>
        <v/>
      </c>
      <c r="O2030" s="37" t="str">
        <f aca="false">IF($M2030="","",TRIM(INDEX($A2030:$J2030,$O$6)&amp;""))</f>
        <v/>
      </c>
      <c r="P2030" s="37" t="str">
        <f aca="false">IF($M2030="","",IFERROR(IF(INDEX(Settings!$B$41:$B$50,MATCH(O2030,Settings!$A$41:$A$50,0))&amp;""="","UNMAPPED",INDEX(Settings!$B$41:$B$50,MATCH(O2030,Settings!$A$41:$A$50,0))&amp;""),"UNMAPPED"))</f>
        <v/>
      </c>
      <c r="Q2030" s="38" t="n">
        <f aca="false">IF($M2030="",0,N(INDEX($A2030:$J2030,$Q$6)))</f>
        <v>0</v>
      </c>
      <c r="R2030" s="39" t="str">
        <f aca="false">IF($M2030="","",INDEX($A2030:$J2030,$R$6))</f>
        <v/>
      </c>
      <c r="S2030" s="37" t="str">
        <f aca="false">IF($M2030="","",IFERROR(INDEX(Settings!$B$27:$B$36,MATCH(L2030,Settings!$A$27:$A$36,0))&amp;"","UNMAPPED"))</f>
        <v/>
      </c>
      <c r="T2030" s="37" t="str">
        <f aca="false">IF($M2030="","",IF(NOT(ISNUMBER(R2030)),"NO DATE",IF(S2030="Won",IF(R2030&gt;Settings!$B$5,"Backlog","Delivered"),IF(S2030="Open",IF(R2030&gt;Settings!$B$5,"Pipeline","Overdue"),IF(S2030="Lost","Lost","UNMAPPED")))))</f>
        <v/>
      </c>
      <c r="U2030" s="40" t="n">
        <f aca="false">IF(T2030="Backlog",1,IF(OR(T2030="Pipeline",T2030="Overdue"),N(INDEX(Settings!$C$27:$C$36,MATCH(L2030,Settings!$A$27:$A$36,0))),0))</f>
        <v>0</v>
      </c>
      <c r="V2030" s="38" t="n">
        <f aca="false">Q2030*U2030</f>
        <v>0</v>
      </c>
      <c r="W2030" s="41" t="str">
        <f aca="false">IF($M2030="","",IF(T2030="Overdue",IF(Settings!$B$8="Yes",Settings!$B$7,""),IF(ISNUMBER(R2030),DATE(YEAR(R2030),MONTH(R2030),1),"")))</f>
        <v/>
      </c>
      <c r="X2030" s="38" t="n">
        <f aca="false">IF(AND(OR(T2030="Backlog",T2030="Pipeline",T2030="Overdue"),ISNUMBER(W2030)),IF(W2030&lt;=Settings!$B$6,V2030,0),0)</f>
        <v>0</v>
      </c>
      <c r="Y2030" s="38" t="n">
        <f aca="false">IF(AND(OR(T2030="Backlog",T2030="Pipeline",T2030="Overdue"),ISNUMBER(W2030)),IF(W2030&lt;=Settings!$B$6,Q2030,0),0)</f>
        <v>0</v>
      </c>
      <c r="Z2030" s="38" t="n">
        <f aca="false">IF(Y2030=0,0,IF(T2030="Backlog",Q2030,Q2030*Dashboard!$C$10))</f>
        <v>0</v>
      </c>
      <c r="AA2030" s="37" t="n">
        <f aca="false">IF($N2030="",0,IF(COUNTIF(Dashboard!$C$13:$C$22,$N2030)&gt;0,1,0))</f>
        <v>0</v>
      </c>
      <c r="AB2030" s="37" t="str">
        <f aca="false">IF($N2030="","",IF(COUNTIF($N$8:$N2030,$N2030)=1,MAX($AB$7:$AB2029)+1,""))</f>
        <v/>
      </c>
    </row>
    <row r="2031" customFormat="false" ht="15" hidden="false" customHeight="false" outlineLevel="0" collapsed="false">
      <c r="L2031" s="37" t="str">
        <f aca="false">IF(INDEX($A2031:$J2031,$L$6)&lt;&gt;"",TRIM(LEFT(INDEX($A2031:$J2031,$L$6),FIND("(",INDEX($A2031:$J2031,$L$6)&amp;"(")-1)),L2030)</f>
        <v>Building Value Proposition</v>
      </c>
      <c r="M2031" s="37" t="str">
        <f aca="false">IF(INDEX($A2031:$J2031,$M$6)="","",INDEX($A2031:$J2031,$M$6)&amp;"")</f>
        <v/>
      </c>
      <c r="N2031" s="37" t="str">
        <f aca="false">IF($M2031="","",TRIM(INDEX($A2031:$J2031,$N$6)&amp;""))</f>
        <v/>
      </c>
      <c r="O2031" s="37" t="str">
        <f aca="false">IF($M2031="","",TRIM(INDEX($A2031:$J2031,$O$6)&amp;""))</f>
        <v/>
      </c>
      <c r="P2031" s="37" t="str">
        <f aca="false">IF($M2031="","",IFERROR(IF(INDEX(Settings!$B$41:$B$50,MATCH(O2031,Settings!$A$41:$A$50,0))&amp;""="","UNMAPPED",INDEX(Settings!$B$41:$B$50,MATCH(O2031,Settings!$A$41:$A$50,0))&amp;""),"UNMAPPED"))</f>
        <v/>
      </c>
      <c r="Q2031" s="38" t="n">
        <f aca="false">IF($M2031="",0,N(INDEX($A2031:$J2031,$Q$6)))</f>
        <v>0</v>
      </c>
      <c r="R2031" s="39" t="str">
        <f aca="false">IF($M2031="","",INDEX($A2031:$J2031,$R$6))</f>
        <v/>
      </c>
      <c r="S2031" s="37" t="str">
        <f aca="false">IF($M2031="","",IFERROR(INDEX(Settings!$B$27:$B$36,MATCH(L2031,Settings!$A$27:$A$36,0))&amp;"","UNMAPPED"))</f>
        <v/>
      </c>
      <c r="T2031" s="37" t="str">
        <f aca="false">IF($M2031="","",IF(NOT(ISNUMBER(R2031)),"NO DATE",IF(S2031="Won",IF(R2031&gt;Settings!$B$5,"Backlog","Delivered"),IF(S2031="Open",IF(R2031&gt;Settings!$B$5,"Pipeline","Overdue"),IF(S2031="Lost","Lost","UNMAPPED")))))</f>
        <v/>
      </c>
      <c r="U2031" s="40" t="n">
        <f aca="false">IF(T2031="Backlog",1,IF(OR(T2031="Pipeline",T2031="Overdue"),N(INDEX(Settings!$C$27:$C$36,MATCH(L2031,Settings!$A$27:$A$36,0))),0))</f>
        <v>0</v>
      </c>
      <c r="V2031" s="38" t="n">
        <f aca="false">Q2031*U2031</f>
        <v>0</v>
      </c>
      <c r="W2031" s="41" t="str">
        <f aca="false">IF($M2031="","",IF(T2031="Overdue",IF(Settings!$B$8="Yes",Settings!$B$7,""),IF(ISNUMBER(R2031),DATE(YEAR(R2031),MONTH(R2031),1),"")))</f>
        <v/>
      </c>
      <c r="X2031" s="38" t="n">
        <f aca="false">IF(AND(OR(T2031="Backlog",T2031="Pipeline",T2031="Overdue"),ISNUMBER(W2031)),IF(W2031&lt;=Settings!$B$6,V2031,0),0)</f>
        <v>0</v>
      </c>
      <c r="Y2031" s="38" t="n">
        <f aca="false">IF(AND(OR(T2031="Backlog",T2031="Pipeline",T2031="Overdue"),ISNUMBER(W2031)),IF(W2031&lt;=Settings!$B$6,Q2031,0),0)</f>
        <v>0</v>
      </c>
      <c r="Z2031" s="38" t="n">
        <f aca="false">IF(Y2031=0,0,IF(T2031="Backlog",Q2031,Q2031*Dashboard!$C$10))</f>
        <v>0</v>
      </c>
      <c r="AA2031" s="37" t="n">
        <f aca="false">IF($N2031="",0,IF(COUNTIF(Dashboard!$C$13:$C$22,$N2031)&gt;0,1,0))</f>
        <v>0</v>
      </c>
      <c r="AB2031" s="37" t="str">
        <f aca="false">IF($N2031="","",IF(COUNTIF($N$8:$N2031,$N2031)=1,MAX($AB$7:$AB2030)+1,""))</f>
        <v/>
      </c>
    </row>
    <row r="2032" customFormat="false" ht="15" hidden="false" customHeight="false" outlineLevel="0" collapsed="false">
      <c r="L2032" s="37" t="str">
        <f aca="false">IF(INDEX($A2032:$J2032,$L$6)&lt;&gt;"",TRIM(LEFT(INDEX($A2032:$J2032,$L$6),FIND("(",INDEX($A2032:$J2032,$L$6)&amp;"(")-1)),L2031)</f>
        <v>Building Value Proposition</v>
      </c>
      <c r="M2032" s="37" t="str">
        <f aca="false">IF(INDEX($A2032:$J2032,$M$6)="","",INDEX($A2032:$J2032,$M$6)&amp;"")</f>
        <v/>
      </c>
      <c r="N2032" s="37" t="str">
        <f aca="false">IF($M2032="","",TRIM(INDEX($A2032:$J2032,$N$6)&amp;""))</f>
        <v/>
      </c>
      <c r="O2032" s="37" t="str">
        <f aca="false">IF($M2032="","",TRIM(INDEX($A2032:$J2032,$O$6)&amp;""))</f>
        <v/>
      </c>
      <c r="P2032" s="37" t="str">
        <f aca="false">IF($M2032="","",IFERROR(IF(INDEX(Settings!$B$41:$B$50,MATCH(O2032,Settings!$A$41:$A$50,0))&amp;""="","UNMAPPED",INDEX(Settings!$B$41:$B$50,MATCH(O2032,Settings!$A$41:$A$50,0))&amp;""),"UNMAPPED"))</f>
        <v/>
      </c>
      <c r="Q2032" s="38" t="n">
        <f aca="false">IF($M2032="",0,N(INDEX($A2032:$J2032,$Q$6)))</f>
        <v>0</v>
      </c>
      <c r="R2032" s="39" t="str">
        <f aca="false">IF($M2032="","",INDEX($A2032:$J2032,$R$6))</f>
        <v/>
      </c>
      <c r="S2032" s="37" t="str">
        <f aca="false">IF($M2032="","",IFERROR(INDEX(Settings!$B$27:$B$36,MATCH(L2032,Settings!$A$27:$A$36,0))&amp;"","UNMAPPED"))</f>
        <v/>
      </c>
      <c r="T2032" s="37" t="str">
        <f aca="false">IF($M2032="","",IF(NOT(ISNUMBER(R2032)),"NO DATE",IF(S2032="Won",IF(R2032&gt;Settings!$B$5,"Backlog","Delivered"),IF(S2032="Open",IF(R2032&gt;Settings!$B$5,"Pipeline","Overdue"),IF(S2032="Lost","Lost","UNMAPPED")))))</f>
        <v/>
      </c>
      <c r="U2032" s="40" t="n">
        <f aca="false">IF(T2032="Backlog",1,IF(OR(T2032="Pipeline",T2032="Overdue"),N(INDEX(Settings!$C$27:$C$36,MATCH(L2032,Settings!$A$27:$A$36,0))),0))</f>
        <v>0</v>
      </c>
      <c r="V2032" s="38" t="n">
        <f aca="false">Q2032*U2032</f>
        <v>0</v>
      </c>
      <c r="W2032" s="41" t="str">
        <f aca="false">IF($M2032="","",IF(T2032="Overdue",IF(Settings!$B$8="Yes",Settings!$B$7,""),IF(ISNUMBER(R2032),DATE(YEAR(R2032),MONTH(R2032),1),"")))</f>
        <v/>
      </c>
      <c r="X2032" s="38" t="n">
        <f aca="false">IF(AND(OR(T2032="Backlog",T2032="Pipeline",T2032="Overdue"),ISNUMBER(W2032)),IF(W2032&lt;=Settings!$B$6,V2032,0),0)</f>
        <v>0</v>
      </c>
      <c r="Y2032" s="38" t="n">
        <f aca="false">IF(AND(OR(T2032="Backlog",T2032="Pipeline",T2032="Overdue"),ISNUMBER(W2032)),IF(W2032&lt;=Settings!$B$6,Q2032,0),0)</f>
        <v>0</v>
      </c>
      <c r="Z2032" s="38" t="n">
        <f aca="false">IF(Y2032=0,0,IF(T2032="Backlog",Q2032,Q2032*Dashboard!$C$10))</f>
        <v>0</v>
      </c>
      <c r="AA2032" s="37" t="n">
        <f aca="false">IF($N2032="",0,IF(COUNTIF(Dashboard!$C$13:$C$22,$N2032)&gt;0,1,0))</f>
        <v>0</v>
      </c>
      <c r="AB2032" s="37" t="str">
        <f aca="false">IF($N2032="","",IF(COUNTIF($N$8:$N2032,$N2032)=1,MAX($AB$7:$AB2031)+1,""))</f>
        <v/>
      </c>
    </row>
    <row r="2033" customFormat="false" ht="15" hidden="false" customHeight="false" outlineLevel="0" collapsed="false">
      <c r="L2033" s="37" t="str">
        <f aca="false">IF(INDEX($A2033:$J2033,$L$6)&lt;&gt;"",TRIM(LEFT(INDEX($A2033:$J2033,$L$6),FIND("(",INDEX($A2033:$J2033,$L$6)&amp;"(")-1)),L2032)</f>
        <v>Building Value Proposition</v>
      </c>
      <c r="M2033" s="37" t="str">
        <f aca="false">IF(INDEX($A2033:$J2033,$M$6)="","",INDEX($A2033:$J2033,$M$6)&amp;"")</f>
        <v/>
      </c>
      <c r="N2033" s="37" t="str">
        <f aca="false">IF($M2033="","",TRIM(INDEX($A2033:$J2033,$N$6)&amp;""))</f>
        <v/>
      </c>
      <c r="O2033" s="37" t="str">
        <f aca="false">IF($M2033="","",TRIM(INDEX($A2033:$J2033,$O$6)&amp;""))</f>
        <v/>
      </c>
      <c r="P2033" s="37" t="str">
        <f aca="false">IF($M2033="","",IFERROR(IF(INDEX(Settings!$B$41:$B$50,MATCH(O2033,Settings!$A$41:$A$50,0))&amp;""="","UNMAPPED",INDEX(Settings!$B$41:$B$50,MATCH(O2033,Settings!$A$41:$A$50,0))&amp;""),"UNMAPPED"))</f>
        <v/>
      </c>
      <c r="Q2033" s="38" t="n">
        <f aca="false">IF($M2033="",0,N(INDEX($A2033:$J2033,$Q$6)))</f>
        <v>0</v>
      </c>
      <c r="R2033" s="39" t="str">
        <f aca="false">IF($M2033="","",INDEX($A2033:$J2033,$R$6))</f>
        <v/>
      </c>
      <c r="S2033" s="37" t="str">
        <f aca="false">IF($M2033="","",IFERROR(INDEX(Settings!$B$27:$B$36,MATCH(L2033,Settings!$A$27:$A$36,0))&amp;"","UNMAPPED"))</f>
        <v/>
      </c>
      <c r="T2033" s="37" t="str">
        <f aca="false">IF($M2033="","",IF(NOT(ISNUMBER(R2033)),"NO DATE",IF(S2033="Won",IF(R2033&gt;Settings!$B$5,"Backlog","Delivered"),IF(S2033="Open",IF(R2033&gt;Settings!$B$5,"Pipeline","Overdue"),IF(S2033="Lost","Lost","UNMAPPED")))))</f>
        <v/>
      </c>
      <c r="U2033" s="40" t="n">
        <f aca="false">IF(T2033="Backlog",1,IF(OR(T2033="Pipeline",T2033="Overdue"),N(INDEX(Settings!$C$27:$C$36,MATCH(L2033,Settings!$A$27:$A$36,0))),0))</f>
        <v>0</v>
      </c>
      <c r="V2033" s="38" t="n">
        <f aca="false">Q2033*U2033</f>
        <v>0</v>
      </c>
      <c r="W2033" s="41" t="str">
        <f aca="false">IF($M2033="","",IF(T2033="Overdue",IF(Settings!$B$8="Yes",Settings!$B$7,""),IF(ISNUMBER(R2033),DATE(YEAR(R2033),MONTH(R2033),1),"")))</f>
        <v/>
      </c>
      <c r="X2033" s="38" t="n">
        <f aca="false">IF(AND(OR(T2033="Backlog",T2033="Pipeline",T2033="Overdue"),ISNUMBER(W2033)),IF(W2033&lt;=Settings!$B$6,V2033,0),0)</f>
        <v>0</v>
      </c>
      <c r="Y2033" s="38" t="n">
        <f aca="false">IF(AND(OR(T2033="Backlog",T2033="Pipeline",T2033="Overdue"),ISNUMBER(W2033)),IF(W2033&lt;=Settings!$B$6,Q2033,0),0)</f>
        <v>0</v>
      </c>
      <c r="Z2033" s="38" t="n">
        <f aca="false">IF(Y2033=0,0,IF(T2033="Backlog",Q2033,Q2033*Dashboard!$C$10))</f>
        <v>0</v>
      </c>
      <c r="AA2033" s="37" t="n">
        <f aca="false">IF($N2033="",0,IF(COUNTIF(Dashboard!$C$13:$C$22,$N2033)&gt;0,1,0))</f>
        <v>0</v>
      </c>
      <c r="AB2033" s="37" t="str">
        <f aca="false">IF($N2033="","",IF(COUNTIF($N$8:$N2033,$N2033)=1,MAX($AB$7:$AB2032)+1,""))</f>
        <v/>
      </c>
    </row>
    <row r="2034" customFormat="false" ht="15" hidden="false" customHeight="false" outlineLevel="0" collapsed="false">
      <c r="L2034" s="37" t="str">
        <f aca="false">IF(INDEX($A2034:$J2034,$L$6)&lt;&gt;"",TRIM(LEFT(INDEX($A2034:$J2034,$L$6),FIND("(",INDEX($A2034:$J2034,$L$6)&amp;"(")-1)),L2033)</f>
        <v>Building Value Proposition</v>
      </c>
      <c r="M2034" s="37" t="str">
        <f aca="false">IF(INDEX($A2034:$J2034,$M$6)="","",INDEX($A2034:$J2034,$M$6)&amp;"")</f>
        <v/>
      </c>
      <c r="N2034" s="37" t="str">
        <f aca="false">IF($M2034="","",TRIM(INDEX($A2034:$J2034,$N$6)&amp;""))</f>
        <v/>
      </c>
      <c r="O2034" s="37" t="str">
        <f aca="false">IF($M2034="","",TRIM(INDEX($A2034:$J2034,$O$6)&amp;""))</f>
        <v/>
      </c>
      <c r="P2034" s="37" t="str">
        <f aca="false">IF($M2034="","",IFERROR(IF(INDEX(Settings!$B$41:$B$50,MATCH(O2034,Settings!$A$41:$A$50,0))&amp;""="","UNMAPPED",INDEX(Settings!$B$41:$B$50,MATCH(O2034,Settings!$A$41:$A$50,0))&amp;""),"UNMAPPED"))</f>
        <v/>
      </c>
      <c r="Q2034" s="38" t="n">
        <f aca="false">IF($M2034="",0,N(INDEX($A2034:$J2034,$Q$6)))</f>
        <v>0</v>
      </c>
      <c r="R2034" s="39" t="str">
        <f aca="false">IF($M2034="","",INDEX($A2034:$J2034,$R$6))</f>
        <v/>
      </c>
      <c r="S2034" s="37" t="str">
        <f aca="false">IF($M2034="","",IFERROR(INDEX(Settings!$B$27:$B$36,MATCH(L2034,Settings!$A$27:$A$36,0))&amp;"","UNMAPPED"))</f>
        <v/>
      </c>
      <c r="T2034" s="37" t="str">
        <f aca="false">IF($M2034="","",IF(NOT(ISNUMBER(R2034)),"NO DATE",IF(S2034="Won",IF(R2034&gt;Settings!$B$5,"Backlog","Delivered"),IF(S2034="Open",IF(R2034&gt;Settings!$B$5,"Pipeline","Overdue"),IF(S2034="Lost","Lost","UNMAPPED")))))</f>
        <v/>
      </c>
      <c r="U2034" s="40" t="n">
        <f aca="false">IF(T2034="Backlog",1,IF(OR(T2034="Pipeline",T2034="Overdue"),N(INDEX(Settings!$C$27:$C$36,MATCH(L2034,Settings!$A$27:$A$36,0))),0))</f>
        <v>0</v>
      </c>
      <c r="V2034" s="38" t="n">
        <f aca="false">Q2034*U2034</f>
        <v>0</v>
      </c>
      <c r="W2034" s="41" t="str">
        <f aca="false">IF($M2034="","",IF(T2034="Overdue",IF(Settings!$B$8="Yes",Settings!$B$7,""),IF(ISNUMBER(R2034),DATE(YEAR(R2034),MONTH(R2034),1),"")))</f>
        <v/>
      </c>
      <c r="X2034" s="38" t="n">
        <f aca="false">IF(AND(OR(T2034="Backlog",T2034="Pipeline",T2034="Overdue"),ISNUMBER(W2034)),IF(W2034&lt;=Settings!$B$6,V2034,0),0)</f>
        <v>0</v>
      </c>
      <c r="Y2034" s="38" t="n">
        <f aca="false">IF(AND(OR(T2034="Backlog",T2034="Pipeline",T2034="Overdue"),ISNUMBER(W2034)),IF(W2034&lt;=Settings!$B$6,Q2034,0),0)</f>
        <v>0</v>
      </c>
      <c r="Z2034" s="38" t="n">
        <f aca="false">IF(Y2034=0,0,IF(T2034="Backlog",Q2034,Q2034*Dashboard!$C$10))</f>
        <v>0</v>
      </c>
      <c r="AA2034" s="37" t="n">
        <f aca="false">IF($N2034="",0,IF(COUNTIF(Dashboard!$C$13:$C$22,$N2034)&gt;0,1,0))</f>
        <v>0</v>
      </c>
      <c r="AB2034" s="37" t="str">
        <f aca="false">IF($N2034="","",IF(COUNTIF($N$8:$N2034,$N2034)=1,MAX($AB$7:$AB2033)+1,""))</f>
        <v/>
      </c>
    </row>
    <row r="2035" customFormat="false" ht="15" hidden="false" customHeight="false" outlineLevel="0" collapsed="false">
      <c r="L2035" s="37" t="str">
        <f aca="false">IF(INDEX($A2035:$J2035,$L$6)&lt;&gt;"",TRIM(LEFT(INDEX($A2035:$J2035,$L$6),FIND("(",INDEX($A2035:$J2035,$L$6)&amp;"(")-1)),L2034)</f>
        <v>Building Value Proposition</v>
      </c>
      <c r="M2035" s="37" t="str">
        <f aca="false">IF(INDEX($A2035:$J2035,$M$6)="","",INDEX($A2035:$J2035,$M$6)&amp;"")</f>
        <v/>
      </c>
      <c r="N2035" s="37" t="str">
        <f aca="false">IF($M2035="","",TRIM(INDEX($A2035:$J2035,$N$6)&amp;""))</f>
        <v/>
      </c>
      <c r="O2035" s="37" t="str">
        <f aca="false">IF($M2035="","",TRIM(INDEX($A2035:$J2035,$O$6)&amp;""))</f>
        <v/>
      </c>
      <c r="P2035" s="37" t="str">
        <f aca="false">IF($M2035="","",IFERROR(IF(INDEX(Settings!$B$41:$B$50,MATCH(O2035,Settings!$A$41:$A$50,0))&amp;""="","UNMAPPED",INDEX(Settings!$B$41:$B$50,MATCH(O2035,Settings!$A$41:$A$50,0))&amp;""),"UNMAPPED"))</f>
        <v/>
      </c>
      <c r="Q2035" s="38" t="n">
        <f aca="false">IF($M2035="",0,N(INDEX($A2035:$J2035,$Q$6)))</f>
        <v>0</v>
      </c>
      <c r="R2035" s="39" t="str">
        <f aca="false">IF($M2035="","",INDEX($A2035:$J2035,$R$6))</f>
        <v/>
      </c>
      <c r="S2035" s="37" t="str">
        <f aca="false">IF($M2035="","",IFERROR(INDEX(Settings!$B$27:$B$36,MATCH(L2035,Settings!$A$27:$A$36,0))&amp;"","UNMAPPED"))</f>
        <v/>
      </c>
      <c r="T2035" s="37" t="str">
        <f aca="false">IF($M2035="","",IF(NOT(ISNUMBER(R2035)),"NO DATE",IF(S2035="Won",IF(R2035&gt;Settings!$B$5,"Backlog","Delivered"),IF(S2035="Open",IF(R2035&gt;Settings!$B$5,"Pipeline","Overdue"),IF(S2035="Lost","Lost","UNMAPPED")))))</f>
        <v/>
      </c>
      <c r="U2035" s="40" t="n">
        <f aca="false">IF(T2035="Backlog",1,IF(OR(T2035="Pipeline",T2035="Overdue"),N(INDEX(Settings!$C$27:$C$36,MATCH(L2035,Settings!$A$27:$A$36,0))),0))</f>
        <v>0</v>
      </c>
      <c r="V2035" s="38" t="n">
        <f aca="false">Q2035*U2035</f>
        <v>0</v>
      </c>
      <c r="W2035" s="41" t="str">
        <f aca="false">IF($M2035="","",IF(T2035="Overdue",IF(Settings!$B$8="Yes",Settings!$B$7,""),IF(ISNUMBER(R2035),DATE(YEAR(R2035),MONTH(R2035),1),"")))</f>
        <v/>
      </c>
      <c r="X2035" s="38" t="n">
        <f aca="false">IF(AND(OR(T2035="Backlog",T2035="Pipeline",T2035="Overdue"),ISNUMBER(W2035)),IF(W2035&lt;=Settings!$B$6,V2035,0),0)</f>
        <v>0</v>
      </c>
      <c r="Y2035" s="38" t="n">
        <f aca="false">IF(AND(OR(T2035="Backlog",T2035="Pipeline",T2035="Overdue"),ISNUMBER(W2035)),IF(W2035&lt;=Settings!$B$6,Q2035,0),0)</f>
        <v>0</v>
      </c>
      <c r="Z2035" s="38" t="n">
        <f aca="false">IF(Y2035=0,0,IF(T2035="Backlog",Q2035,Q2035*Dashboard!$C$10))</f>
        <v>0</v>
      </c>
      <c r="AA2035" s="37" t="n">
        <f aca="false">IF($N2035="",0,IF(COUNTIF(Dashboard!$C$13:$C$22,$N2035)&gt;0,1,0))</f>
        <v>0</v>
      </c>
      <c r="AB2035" s="37" t="str">
        <f aca="false">IF($N2035="","",IF(COUNTIF($N$8:$N2035,$N2035)=1,MAX($AB$7:$AB2034)+1,""))</f>
        <v/>
      </c>
    </row>
    <row r="2036" customFormat="false" ht="15" hidden="false" customHeight="false" outlineLevel="0" collapsed="false">
      <c r="L2036" s="37" t="str">
        <f aca="false">IF(INDEX($A2036:$J2036,$L$6)&lt;&gt;"",TRIM(LEFT(INDEX($A2036:$J2036,$L$6),FIND("(",INDEX($A2036:$J2036,$L$6)&amp;"(")-1)),L2035)</f>
        <v>Building Value Proposition</v>
      </c>
      <c r="M2036" s="37" t="str">
        <f aca="false">IF(INDEX($A2036:$J2036,$M$6)="","",INDEX($A2036:$J2036,$M$6)&amp;"")</f>
        <v/>
      </c>
      <c r="N2036" s="37" t="str">
        <f aca="false">IF($M2036="","",TRIM(INDEX($A2036:$J2036,$N$6)&amp;""))</f>
        <v/>
      </c>
      <c r="O2036" s="37" t="str">
        <f aca="false">IF($M2036="","",TRIM(INDEX($A2036:$J2036,$O$6)&amp;""))</f>
        <v/>
      </c>
      <c r="P2036" s="37" t="str">
        <f aca="false">IF($M2036="","",IFERROR(IF(INDEX(Settings!$B$41:$B$50,MATCH(O2036,Settings!$A$41:$A$50,0))&amp;""="","UNMAPPED",INDEX(Settings!$B$41:$B$50,MATCH(O2036,Settings!$A$41:$A$50,0))&amp;""),"UNMAPPED"))</f>
        <v/>
      </c>
      <c r="Q2036" s="38" t="n">
        <f aca="false">IF($M2036="",0,N(INDEX($A2036:$J2036,$Q$6)))</f>
        <v>0</v>
      </c>
      <c r="R2036" s="39" t="str">
        <f aca="false">IF($M2036="","",INDEX($A2036:$J2036,$R$6))</f>
        <v/>
      </c>
      <c r="S2036" s="37" t="str">
        <f aca="false">IF($M2036="","",IFERROR(INDEX(Settings!$B$27:$B$36,MATCH(L2036,Settings!$A$27:$A$36,0))&amp;"","UNMAPPED"))</f>
        <v/>
      </c>
      <c r="T2036" s="37" t="str">
        <f aca="false">IF($M2036="","",IF(NOT(ISNUMBER(R2036)),"NO DATE",IF(S2036="Won",IF(R2036&gt;Settings!$B$5,"Backlog","Delivered"),IF(S2036="Open",IF(R2036&gt;Settings!$B$5,"Pipeline","Overdue"),IF(S2036="Lost","Lost","UNMAPPED")))))</f>
        <v/>
      </c>
      <c r="U2036" s="40" t="n">
        <f aca="false">IF(T2036="Backlog",1,IF(OR(T2036="Pipeline",T2036="Overdue"),N(INDEX(Settings!$C$27:$C$36,MATCH(L2036,Settings!$A$27:$A$36,0))),0))</f>
        <v>0</v>
      </c>
      <c r="V2036" s="38" t="n">
        <f aca="false">Q2036*U2036</f>
        <v>0</v>
      </c>
      <c r="W2036" s="41" t="str">
        <f aca="false">IF($M2036="","",IF(T2036="Overdue",IF(Settings!$B$8="Yes",Settings!$B$7,""),IF(ISNUMBER(R2036),DATE(YEAR(R2036),MONTH(R2036),1),"")))</f>
        <v/>
      </c>
      <c r="X2036" s="38" t="n">
        <f aca="false">IF(AND(OR(T2036="Backlog",T2036="Pipeline",T2036="Overdue"),ISNUMBER(W2036)),IF(W2036&lt;=Settings!$B$6,V2036,0),0)</f>
        <v>0</v>
      </c>
      <c r="Y2036" s="38" t="n">
        <f aca="false">IF(AND(OR(T2036="Backlog",T2036="Pipeline",T2036="Overdue"),ISNUMBER(W2036)),IF(W2036&lt;=Settings!$B$6,Q2036,0),0)</f>
        <v>0</v>
      </c>
      <c r="Z2036" s="38" t="n">
        <f aca="false">IF(Y2036=0,0,IF(T2036="Backlog",Q2036,Q2036*Dashboard!$C$10))</f>
        <v>0</v>
      </c>
      <c r="AA2036" s="37" t="n">
        <f aca="false">IF($N2036="",0,IF(COUNTIF(Dashboard!$C$13:$C$22,$N2036)&gt;0,1,0))</f>
        <v>0</v>
      </c>
      <c r="AB2036" s="37" t="str">
        <f aca="false">IF($N2036="","",IF(COUNTIF($N$8:$N2036,$N2036)=1,MAX($AB$7:$AB2035)+1,""))</f>
        <v/>
      </c>
    </row>
    <row r="2037" customFormat="false" ht="15" hidden="false" customHeight="false" outlineLevel="0" collapsed="false">
      <c r="L2037" s="37" t="str">
        <f aca="false">IF(INDEX($A2037:$J2037,$L$6)&lt;&gt;"",TRIM(LEFT(INDEX($A2037:$J2037,$L$6),FIND("(",INDEX($A2037:$J2037,$L$6)&amp;"(")-1)),L2036)</f>
        <v>Building Value Proposition</v>
      </c>
      <c r="M2037" s="37" t="str">
        <f aca="false">IF(INDEX($A2037:$J2037,$M$6)="","",INDEX($A2037:$J2037,$M$6)&amp;"")</f>
        <v/>
      </c>
      <c r="N2037" s="37" t="str">
        <f aca="false">IF($M2037="","",TRIM(INDEX($A2037:$J2037,$N$6)&amp;""))</f>
        <v/>
      </c>
      <c r="O2037" s="37" t="str">
        <f aca="false">IF($M2037="","",TRIM(INDEX($A2037:$J2037,$O$6)&amp;""))</f>
        <v/>
      </c>
      <c r="P2037" s="37" t="str">
        <f aca="false">IF($M2037="","",IFERROR(IF(INDEX(Settings!$B$41:$B$50,MATCH(O2037,Settings!$A$41:$A$50,0))&amp;""="","UNMAPPED",INDEX(Settings!$B$41:$B$50,MATCH(O2037,Settings!$A$41:$A$50,0))&amp;""),"UNMAPPED"))</f>
        <v/>
      </c>
      <c r="Q2037" s="38" t="n">
        <f aca="false">IF($M2037="",0,N(INDEX($A2037:$J2037,$Q$6)))</f>
        <v>0</v>
      </c>
      <c r="R2037" s="39" t="str">
        <f aca="false">IF($M2037="","",INDEX($A2037:$J2037,$R$6))</f>
        <v/>
      </c>
      <c r="S2037" s="37" t="str">
        <f aca="false">IF($M2037="","",IFERROR(INDEX(Settings!$B$27:$B$36,MATCH(L2037,Settings!$A$27:$A$36,0))&amp;"","UNMAPPED"))</f>
        <v/>
      </c>
      <c r="T2037" s="37" t="str">
        <f aca="false">IF($M2037="","",IF(NOT(ISNUMBER(R2037)),"NO DATE",IF(S2037="Won",IF(R2037&gt;Settings!$B$5,"Backlog","Delivered"),IF(S2037="Open",IF(R2037&gt;Settings!$B$5,"Pipeline","Overdue"),IF(S2037="Lost","Lost","UNMAPPED")))))</f>
        <v/>
      </c>
      <c r="U2037" s="40" t="n">
        <f aca="false">IF(T2037="Backlog",1,IF(OR(T2037="Pipeline",T2037="Overdue"),N(INDEX(Settings!$C$27:$C$36,MATCH(L2037,Settings!$A$27:$A$36,0))),0))</f>
        <v>0</v>
      </c>
      <c r="V2037" s="38" t="n">
        <f aca="false">Q2037*U2037</f>
        <v>0</v>
      </c>
      <c r="W2037" s="41" t="str">
        <f aca="false">IF($M2037="","",IF(T2037="Overdue",IF(Settings!$B$8="Yes",Settings!$B$7,""),IF(ISNUMBER(R2037),DATE(YEAR(R2037),MONTH(R2037),1),"")))</f>
        <v/>
      </c>
      <c r="X2037" s="38" t="n">
        <f aca="false">IF(AND(OR(T2037="Backlog",T2037="Pipeline",T2037="Overdue"),ISNUMBER(W2037)),IF(W2037&lt;=Settings!$B$6,V2037,0),0)</f>
        <v>0</v>
      </c>
      <c r="Y2037" s="38" t="n">
        <f aca="false">IF(AND(OR(T2037="Backlog",T2037="Pipeline",T2037="Overdue"),ISNUMBER(W2037)),IF(W2037&lt;=Settings!$B$6,Q2037,0),0)</f>
        <v>0</v>
      </c>
      <c r="Z2037" s="38" t="n">
        <f aca="false">IF(Y2037=0,0,IF(T2037="Backlog",Q2037,Q2037*Dashboard!$C$10))</f>
        <v>0</v>
      </c>
      <c r="AA2037" s="37" t="n">
        <f aca="false">IF($N2037="",0,IF(COUNTIF(Dashboard!$C$13:$C$22,$N2037)&gt;0,1,0))</f>
        <v>0</v>
      </c>
      <c r="AB2037" s="37" t="str">
        <f aca="false">IF($N2037="","",IF(COUNTIF($N$8:$N2037,$N2037)=1,MAX($AB$7:$AB2036)+1,""))</f>
        <v/>
      </c>
    </row>
    <row r="2038" customFormat="false" ht="15" hidden="false" customHeight="false" outlineLevel="0" collapsed="false">
      <c r="L2038" s="37" t="str">
        <f aca="false">IF(INDEX($A2038:$J2038,$L$6)&lt;&gt;"",TRIM(LEFT(INDEX($A2038:$J2038,$L$6),FIND("(",INDEX($A2038:$J2038,$L$6)&amp;"(")-1)),L2037)</f>
        <v>Building Value Proposition</v>
      </c>
      <c r="M2038" s="37" t="str">
        <f aca="false">IF(INDEX($A2038:$J2038,$M$6)="","",INDEX($A2038:$J2038,$M$6)&amp;"")</f>
        <v/>
      </c>
      <c r="N2038" s="37" t="str">
        <f aca="false">IF($M2038="","",TRIM(INDEX($A2038:$J2038,$N$6)&amp;""))</f>
        <v/>
      </c>
      <c r="O2038" s="37" t="str">
        <f aca="false">IF($M2038="","",TRIM(INDEX($A2038:$J2038,$O$6)&amp;""))</f>
        <v/>
      </c>
      <c r="P2038" s="37" t="str">
        <f aca="false">IF($M2038="","",IFERROR(IF(INDEX(Settings!$B$41:$B$50,MATCH(O2038,Settings!$A$41:$A$50,0))&amp;""="","UNMAPPED",INDEX(Settings!$B$41:$B$50,MATCH(O2038,Settings!$A$41:$A$50,0))&amp;""),"UNMAPPED"))</f>
        <v/>
      </c>
      <c r="Q2038" s="38" t="n">
        <f aca="false">IF($M2038="",0,N(INDEX($A2038:$J2038,$Q$6)))</f>
        <v>0</v>
      </c>
      <c r="R2038" s="39" t="str">
        <f aca="false">IF($M2038="","",INDEX($A2038:$J2038,$R$6))</f>
        <v/>
      </c>
      <c r="S2038" s="37" t="str">
        <f aca="false">IF($M2038="","",IFERROR(INDEX(Settings!$B$27:$B$36,MATCH(L2038,Settings!$A$27:$A$36,0))&amp;"","UNMAPPED"))</f>
        <v/>
      </c>
      <c r="T2038" s="37" t="str">
        <f aca="false">IF($M2038="","",IF(NOT(ISNUMBER(R2038)),"NO DATE",IF(S2038="Won",IF(R2038&gt;Settings!$B$5,"Backlog","Delivered"),IF(S2038="Open",IF(R2038&gt;Settings!$B$5,"Pipeline","Overdue"),IF(S2038="Lost","Lost","UNMAPPED")))))</f>
        <v/>
      </c>
      <c r="U2038" s="40" t="n">
        <f aca="false">IF(T2038="Backlog",1,IF(OR(T2038="Pipeline",T2038="Overdue"),N(INDEX(Settings!$C$27:$C$36,MATCH(L2038,Settings!$A$27:$A$36,0))),0))</f>
        <v>0</v>
      </c>
      <c r="V2038" s="38" t="n">
        <f aca="false">Q2038*U2038</f>
        <v>0</v>
      </c>
      <c r="W2038" s="41" t="str">
        <f aca="false">IF($M2038="","",IF(T2038="Overdue",IF(Settings!$B$8="Yes",Settings!$B$7,""),IF(ISNUMBER(R2038),DATE(YEAR(R2038),MONTH(R2038),1),"")))</f>
        <v/>
      </c>
      <c r="X2038" s="38" t="n">
        <f aca="false">IF(AND(OR(T2038="Backlog",T2038="Pipeline",T2038="Overdue"),ISNUMBER(W2038)),IF(W2038&lt;=Settings!$B$6,V2038,0),0)</f>
        <v>0</v>
      </c>
      <c r="Y2038" s="38" t="n">
        <f aca="false">IF(AND(OR(T2038="Backlog",T2038="Pipeline",T2038="Overdue"),ISNUMBER(W2038)),IF(W2038&lt;=Settings!$B$6,Q2038,0),0)</f>
        <v>0</v>
      </c>
      <c r="Z2038" s="38" t="n">
        <f aca="false">IF(Y2038=0,0,IF(T2038="Backlog",Q2038,Q2038*Dashboard!$C$10))</f>
        <v>0</v>
      </c>
      <c r="AA2038" s="37" t="n">
        <f aca="false">IF($N2038="",0,IF(COUNTIF(Dashboard!$C$13:$C$22,$N2038)&gt;0,1,0))</f>
        <v>0</v>
      </c>
      <c r="AB2038" s="37" t="str">
        <f aca="false">IF($N2038="","",IF(COUNTIF($N$8:$N2038,$N2038)=1,MAX($AB$7:$AB2037)+1,""))</f>
        <v/>
      </c>
    </row>
    <row r="2039" customFormat="false" ht="15" hidden="false" customHeight="false" outlineLevel="0" collapsed="false">
      <c r="L2039" s="37" t="str">
        <f aca="false">IF(INDEX($A2039:$J2039,$L$6)&lt;&gt;"",TRIM(LEFT(INDEX($A2039:$J2039,$L$6),FIND("(",INDEX($A2039:$J2039,$L$6)&amp;"(")-1)),L2038)</f>
        <v>Building Value Proposition</v>
      </c>
      <c r="M2039" s="37" t="str">
        <f aca="false">IF(INDEX($A2039:$J2039,$M$6)="","",INDEX($A2039:$J2039,$M$6)&amp;"")</f>
        <v/>
      </c>
      <c r="N2039" s="37" t="str">
        <f aca="false">IF($M2039="","",TRIM(INDEX($A2039:$J2039,$N$6)&amp;""))</f>
        <v/>
      </c>
      <c r="O2039" s="37" t="str">
        <f aca="false">IF($M2039="","",TRIM(INDEX($A2039:$J2039,$O$6)&amp;""))</f>
        <v/>
      </c>
      <c r="P2039" s="37" t="str">
        <f aca="false">IF($M2039="","",IFERROR(IF(INDEX(Settings!$B$41:$B$50,MATCH(O2039,Settings!$A$41:$A$50,0))&amp;""="","UNMAPPED",INDEX(Settings!$B$41:$B$50,MATCH(O2039,Settings!$A$41:$A$50,0))&amp;""),"UNMAPPED"))</f>
        <v/>
      </c>
      <c r="Q2039" s="38" t="n">
        <f aca="false">IF($M2039="",0,N(INDEX($A2039:$J2039,$Q$6)))</f>
        <v>0</v>
      </c>
      <c r="R2039" s="39" t="str">
        <f aca="false">IF($M2039="","",INDEX($A2039:$J2039,$R$6))</f>
        <v/>
      </c>
      <c r="S2039" s="37" t="str">
        <f aca="false">IF($M2039="","",IFERROR(INDEX(Settings!$B$27:$B$36,MATCH(L2039,Settings!$A$27:$A$36,0))&amp;"","UNMAPPED"))</f>
        <v/>
      </c>
      <c r="T2039" s="37" t="str">
        <f aca="false">IF($M2039="","",IF(NOT(ISNUMBER(R2039)),"NO DATE",IF(S2039="Won",IF(R2039&gt;Settings!$B$5,"Backlog","Delivered"),IF(S2039="Open",IF(R2039&gt;Settings!$B$5,"Pipeline","Overdue"),IF(S2039="Lost","Lost","UNMAPPED")))))</f>
        <v/>
      </c>
      <c r="U2039" s="40" t="n">
        <f aca="false">IF(T2039="Backlog",1,IF(OR(T2039="Pipeline",T2039="Overdue"),N(INDEX(Settings!$C$27:$C$36,MATCH(L2039,Settings!$A$27:$A$36,0))),0))</f>
        <v>0</v>
      </c>
      <c r="V2039" s="38" t="n">
        <f aca="false">Q2039*U2039</f>
        <v>0</v>
      </c>
      <c r="W2039" s="41" t="str">
        <f aca="false">IF($M2039="","",IF(T2039="Overdue",IF(Settings!$B$8="Yes",Settings!$B$7,""),IF(ISNUMBER(R2039),DATE(YEAR(R2039),MONTH(R2039),1),"")))</f>
        <v/>
      </c>
      <c r="X2039" s="38" t="n">
        <f aca="false">IF(AND(OR(T2039="Backlog",T2039="Pipeline",T2039="Overdue"),ISNUMBER(W2039)),IF(W2039&lt;=Settings!$B$6,V2039,0),0)</f>
        <v>0</v>
      </c>
      <c r="Y2039" s="38" t="n">
        <f aca="false">IF(AND(OR(T2039="Backlog",T2039="Pipeline",T2039="Overdue"),ISNUMBER(W2039)),IF(W2039&lt;=Settings!$B$6,Q2039,0),0)</f>
        <v>0</v>
      </c>
      <c r="Z2039" s="38" t="n">
        <f aca="false">IF(Y2039=0,0,IF(T2039="Backlog",Q2039,Q2039*Dashboard!$C$10))</f>
        <v>0</v>
      </c>
      <c r="AA2039" s="37" t="n">
        <f aca="false">IF($N2039="",0,IF(COUNTIF(Dashboard!$C$13:$C$22,$N2039)&gt;0,1,0))</f>
        <v>0</v>
      </c>
      <c r="AB2039" s="37" t="str">
        <f aca="false">IF($N2039="","",IF(COUNTIF($N$8:$N2039,$N2039)=1,MAX($AB$7:$AB2038)+1,""))</f>
        <v/>
      </c>
    </row>
    <row r="2040" customFormat="false" ht="15" hidden="false" customHeight="false" outlineLevel="0" collapsed="false">
      <c r="L2040" s="37" t="str">
        <f aca="false">IF(INDEX($A2040:$J2040,$L$6)&lt;&gt;"",TRIM(LEFT(INDEX($A2040:$J2040,$L$6),FIND("(",INDEX($A2040:$J2040,$L$6)&amp;"(")-1)),L2039)</f>
        <v>Building Value Proposition</v>
      </c>
      <c r="M2040" s="37" t="str">
        <f aca="false">IF(INDEX($A2040:$J2040,$M$6)="","",INDEX($A2040:$J2040,$M$6)&amp;"")</f>
        <v/>
      </c>
      <c r="N2040" s="37" t="str">
        <f aca="false">IF($M2040="","",TRIM(INDEX($A2040:$J2040,$N$6)&amp;""))</f>
        <v/>
      </c>
      <c r="O2040" s="37" t="str">
        <f aca="false">IF($M2040="","",TRIM(INDEX($A2040:$J2040,$O$6)&amp;""))</f>
        <v/>
      </c>
      <c r="P2040" s="37" t="str">
        <f aca="false">IF($M2040="","",IFERROR(IF(INDEX(Settings!$B$41:$B$50,MATCH(O2040,Settings!$A$41:$A$50,0))&amp;""="","UNMAPPED",INDEX(Settings!$B$41:$B$50,MATCH(O2040,Settings!$A$41:$A$50,0))&amp;""),"UNMAPPED"))</f>
        <v/>
      </c>
      <c r="Q2040" s="38" t="n">
        <f aca="false">IF($M2040="",0,N(INDEX($A2040:$J2040,$Q$6)))</f>
        <v>0</v>
      </c>
      <c r="R2040" s="39" t="str">
        <f aca="false">IF($M2040="","",INDEX($A2040:$J2040,$R$6))</f>
        <v/>
      </c>
      <c r="S2040" s="37" t="str">
        <f aca="false">IF($M2040="","",IFERROR(INDEX(Settings!$B$27:$B$36,MATCH(L2040,Settings!$A$27:$A$36,0))&amp;"","UNMAPPED"))</f>
        <v/>
      </c>
      <c r="T2040" s="37" t="str">
        <f aca="false">IF($M2040="","",IF(NOT(ISNUMBER(R2040)),"NO DATE",IF(S2040="Won",IF(R2040&gt;Settings!$B$5,"Backlog","Delivered"),IF(S2040="Open",IF(R2040&gt;Settings!$B$5,"Pipeline","Overdue"),IF(S2040="Lost","Lost","UNMAPPED")))))</f>
        <v/>
      </c>
      <c r="U2040" s="40" t="n">
        <f aca="false">IF(T2040="Backlog",1,IF(OR(T2040="Pipeline",T2040="Overdue"),N(INDEX(Settings!$C$27:$C$36,MATCH(L2040,Settings!$A$27:$A$36,0))),0))</f>
        <v>0</v>
      </c>
      <c r="V2040" s="38" t="n">
        <f aca="false">Q2040*U2040</f>
        <v>0</v>
      </c>
      <c r="W2040" s="41" t="str">
        <f aca="false">IF($M2040="","",IF(T2040="Overdue",IF(Settings!$B$8="Yes",Settings!$B$7,""),IF(ISNUMBER(R2040),DATE(YEAR(R2040),MONTH(R2040),1),"")))</f>
        <v/>
      </c>
      <c r="X2040" s="38" t="n">
        <f aca="false">IF(AND(OR(T2040="Backlog",T2040="Pipeline",T2040="Overdue"),ISNUMBER(W2040)),IF(W2040&lt;=Settings!$B$6,V2040,0),0)</f>
        <v>0</v>
      </c>
      <c r="Y2040" s="38" t="n">
        <f aca="false">IF(AND(OR(T2040="Backlog",T2040="Pipeline",T2040="Overdue"),ISNUMBER(W2040)),IF(W2040&lt;=Settings!$B$6,Q2040,0),0)</f>
        <v>0</v>
      </c>
      <c r="Z2040" s="38" t="n">
        <f aca="false">IF(Y2040=0,0,IF(T2040="Backlog",Q2040,Q2040*Dashboard!$C$10))</f>
        <v>0</v>
      </c>
      <c r="AA2040" s="37" t="n">
        <f aca="false">IF($N2040="",0,IF(COUNTIF(Dashboard!$C$13:$C$22,$N2040)&gt;0,1,0))</f>
        <v>0</v>
      </c>
      <c r="AB2040" s="37" t="str">
        <f aca="false">IF($N2040="","",IF(COUNTIF($N$8:$N2040,$N2040)=1,MAX($AB$7:$AB2039)+1,""))</f>
        <v/>
      </c>
    </row>
    <row r="2041" customFormat="false" ht="15" hidden="false" customHeight="false" outlineLevel="0" collapsed="false">
      <c r="L2041" s="37" t="str">
        <f aca="false">IF(INDEX($A2041:$J2041,$L$6)&lt;&gt;"",TRIM(LEFT(INDEX($A2041:$J2041,$L$6),FIND("(",INDEX($A2041:$J2041,$L$6)&amp;"(")-1)),L2040)</f>
        <v>Building Value Proposition</v>
      </c>
      <c r="M2041" s="37" t="str">
        <f aca="false">IF(INDEX($A2041:$J2041,$M$6)="","",INDEX($A2041:$J2041,$M$6)&amp;"")</f>
        <v/>
      </c>
      <c r="N2041" s="37" t="str">
        <f aca="false">IF($M2041="","",TRIM(INDEX($A2041:$J2041,$N$6)&amp;""))</f>
        <v/>
      </c>
      <c r="O2041" s="37" t="str">
        <f aca="false">IF($M2041="","",TRIM(INDEX($A2041:$J2041,$O$6)&amp;""))</f>
        <v/>
      </c>
      <c r="P2041" s="37" t="str">
        <f aca="false">IF($M2041="","",IFERROR(IF(INDEX(Settings!$B$41:$B$50,MATCH(O2041,Settings!$A$41:$A$50,0))&amp;""="","UNMAPPED",INDEX(Settings!$B$41:$B$50,MATCH(O2041,Settings!$A$41:$A$50,0))&amp;""),"UNMAPPED"))</f>
        <v/>
      </c>
      <c r="Q2041" s="38" t="n">
        <f aca="false">IF($M2041="",0,N(INDEX($A2041:$J2041,$Q$6)))</f>
        <v>0</v>
      </c>
      <c r="R2041" s="39" t="str">
        <f aca="false">IF($M2041="","",INDEX($A2041:$J2041,$R$6))</f>
        <v/>
      </c>
      <c r="S2041" s="37" t="str">
        <f aca="false">IF($M2041="","",IFERROR(INDEX(Settings!$B$27:$B$36,MATCH(L2041,Settings!$A$27:$A$36,0))&amp;"","UNMAPPED"))</f>
        <v/>
      </c>
      <c r="T2041" s="37" t="str">
        <f aca="false">IF($M2041="","",IF(NOT(ISNUMBER(R2041)),"NO DATE",IF(S2041="Won",IF(R2041&gt;Settings!$B$5,"Backlog","Delivered"),IF(S2041="Open",IF(R2041&gt;Settings!$B$5,"Pipeline","Overdue"),IF(S2041="Lost","Lost","UNMAPPED")))))</f>
        <v/>
      </c>
      <c r="U2041" s="40" t="n">
        <f aca="false">IF(T2041="Backlog",1,IF(OR(T2041="Pipeline",T2041="Overdue"),N(INDEX(Settings!$C$27:$C$36,MATCH(L2041,Settings!$A$27:$A$36,0))),0))</f>
        <v>0</v>
      </c>
      <c r="V2041" s="38" t="n">
        <f aca="false">Q2041*U2041</f>
        <v>0</v>
      </c>
      <c r="W2041" s="41" t="str">
        <f aca="false">IF($M2041="","",IF(T2041="Overdue",IF(Settings!$B$8="Yes",Settings!$B$7,""),IF(ISNUMBER(R2041),DATE(YEAR(R2041),MONTH(R2041),1),"")))</f>
        <v/>
      </c>
      <c r="X2041" s="38" t="n">
        <f aca="false">IF(AND(OR(T2041="Backlog",T2041="Pipeline",T2041="Overdue"),ISNUMBER(W2041)),IF(W2041&lt;=Settings!$B$6,V2041,0),0)</f>
        <v>0</v>
      </c>
      <c r="Y2041" s="38" t="n">
        <f aca="false">IF(AND(OR(T2041="Backlog",T2041="Pipeline",T2041="Overdue"),ISNUMBER(W2041)),IF(W2041&lt;=Settings!$B$6,Q2041,0),0)</f>
        <v>0</v>
      </c>
      <c r="Z2041" s="38" t="n">
        <f aca="false">IF(Y2041=0,0,IF(T2041="Backlog",Q2041,Q2041*Dashboard!$C$10))</f>
        <v>0</v>
      </c>
      <c r="AA2041" s="37" t="n">
        <f aca="false">IF($N2041="",0,IF(COUNTIF(Dashboard!$C$13:$C$22,$N2041)&gt;0,1,0))</f>
        <v>0</v>
      </c>
      <c r="AB2041" s="37" t="str">
        <f aca="false">IF($N2041="","",IF(COUNTIF($N$8:$N2041,$N2041)=1,MAX($AB$7:$AB2040)+1,""))</f>
        <v/>
      </c>
    </row>
    <row r="2042" customFormat="false" ht="15" hidden="false" customHeight="false" outlineLevel="0" collapsed="false">
      <c r="L2042" s="37" t="str">
        <f aca="false">IF(INDEX($A2042:$J2042,$L$6)&lt;&gt;"",TRIM(LEFT(INDEX($A2042:$J2042,$L$6),FIND("(",INDEX($A2042:$J2042,$L$6)&amp;"(")-1)),L2041)</f>
        <v>Building Value Proposition</v>
      </c>
      <c r="M2042" s="37" t="str">
        <f aca="false">IF(INDEX($A2042:$J2042,$M$6)="","",INDEX($A2042:$J2042,$M$6)&amp;"")</f>
        <v/>
      </c>
      <c r="N2042" s="37" t="str">
        <f aca="false">IF($M2042="","",TRIM(INDEX($A2042:$J2042,$N$6)&amp;""))</f>
        <v/>
      </c>
      <c r="O2042" s="37" t="str">
        <f aca="false">IF($M2042="","",TRIM(INDEX($A2042:$J2042,$O$6)&amp;""))</f>
        <v/>
      </c>
      <c r="P2042" s="37" t="str">
        <f aca="false">IF($M2042="","",IFERROR(IF(INDEX(Settings!$B$41:$B$50,MATCH(O2042,Settings!$A$41:$A$50,0))&amp;""="","UNMAPPED",INDEX(Settings!$B$41:$B$50,MATCH(O2042,Settings!$A$41:$A$50,0))&amp;""),"UNMAPPED"))</f>
        <v/>
      </c>
      <c r="Q2042" s="38" t="n">
        <f aca="false">IF($M2042="",0,N(INDEX($A2042:$J2042,$Q$6)))</f>
        <v>0</v>
      </c>
      <c r="R2042" s="39" t="str">
        <f aca="false">IF($M2042="","",INDEX($A2042:$J2042,$R$6))</f>
        <v/>
      </c>
      <c r="S2042" s="37" t="str">
        <f aca="false">IF($M2042="","",IFERROR(INDEX(Settings!$B$27:$B$36,MATCH(L2042,Settings!$A$27:$A$36,0))&amp;"","UNMAPPED"))</f>
        <v/>
      </c>
      <c r="T2042" s="37" t="str">
        <f aca="false">IF($M2042="","",IF(NOT(ISNUMBER(R2042)),"NO DATE",IF(S2042="Won",IF(R2042&gt;Settings!$B$5,"Backlog","Delivered"),IF(S2042="Open",IF(R2042&gt;Settings!$B$5,"Pipeline","Overdue"),IF(S2042="Lost","Lost","UNMAPPED")))))</f>
        <v/>
      </c>
      <c r="U2042" s="40" t="n">
        <f aca="false">IF(T2042="Backlog",1,IF(OR(T2042="Pipeline",T2042="Overdue"),N(INDEX(Settings!$C$27:$C$36,MATCH(L2042,Settings!$A$27:$A$36,0))),0))</f>
        <v>0</v>
      </c>
      <c r="V2042" s="38" t="n">
        <f aca="false">Q2042*U2042</f>
        <v>0</v>
      </c>
      <c r="W2042" s="41" t="str">
        <f aca="false">IF($M2042="","",IF(T2042="Overdue",IF(Settings!$B$8="Yes",Settings!$B$7,""),IF(ISNUMBER(R2042),DATE(YEAR(R2042),MONTH(R2042),1),"")))</f>
        <v/>
      </c>
      <c r="X2042" s="38" t="n">
        <f aca="false">IF(AND(OR(T2042="Backlog",T2042="Pipeline",T2042="Overdue"),ISNUMBER(W2042)),IF(W2042&lt;=Settings!$B$6,V2042,0),0)</f>
        <v>0</v>
      </c>
      <c r="Y2042" s="38" t="n">
        <f aca="false">IF(AND(OR(T2042="Backlog",T2042="Pipeline",T2042="Overdue"),ISNUMBER(W2042)),IF(W2042&lt;=Settings!$B$6,Q2042,0),0)</f>
        <v>0</v>
      </c>
      <c r="Z2042" s="38" t="n">
        <f aca="false">IF(Y2042=0,0,IF(T2042="Backlog",Q2042,Q2042*Dashboard!$C$10))</f>
        <v>0</v>
      </c>
      <c r="AA2042" s="37" t="n">
        <f aca="false">IF($N2042="",0,IF(COUNTIF(Dashboard!$C$13:$C$22,$N2042)&gt;0,1,0))</f>
        <v>0</v>
      </c>
      <c r="AB2042" s="37" t="str">
        <f aca="false">IF($N2042="","",IF(COUNTIF($N$8:$N2042,$N2042)=1,MAX($AB$7:$AB2041)+1,""))</f>
        <v/>
      </c>
    </row>
    <row r="2043" customFormat="false" ht="15" hidden="false" customHeight="false" outlineLevel="0" collapsed="false">
      <c r="L2043" s="37" t="str">
        <f aca="false">IF(INDEX($A2043:$J2043,$L$6)&lt;&gt;"",TRIM(LEFT(INDEX($A2043:$J2043,$L$6),FIND("(",INDEX($A2043:$J2043,$L$6)&amp;"(")-1)),L2042)</f>
        <v>Building Value Proposition</v>
      </c>
      <c r="M2043" s="37" t="str">
        <f aca="false">IF(INDEX($A2043:$J2043,$M$6)="","",INDEX($A2043:$J2043,$M$6)&amp;"")</f>
        <v/>
      </c>
      <c r="N2043" s="37" t="str">
        <f aca="false">IF($M2043="","",TRIM(INDEX($A2043:$J2043,$N$6)&amp;""))</f>
        <v/>
      </c>
      <c r="O2043" s="37" t="str">
        <f aca="false">IF($M2043="","",TRIM(INDEX($A2043:$J2043,$O$6)&amp;""))</f>
        <v/>
      </c>
      <c r="P2043" s="37" t="str">
        <f aca="false">IF($M2043="","",IFERROR(IF(INDEX(Settings!$B$41:$B$50,MATCH(O2043,Settings!$A$41:$A$50,0))&amp;""="","UNMAPPED",INDEX(Settings!$B$41:$B$50,MATCH(O2043,Settings!$A$41:$A$50,0))&amp;""),"UNMAPPED"))</f>
        <v/>
      </c>
      <c r="Q2043" s="38" t="n">
        <f aca="false">IF($M2043="",0,N(INDEX($A2043:$J2043,$Q$6)))</f>
        <v>0</v>
      </c>
      <c r="R2043" s="39" t="str">
        <f aca="false">IF($M2043="","",INDEX($A2043:$J2043,$R$6))</f>
        <v/>
      </c>
      <c r="S2043" s="37" t="str">
        <f aca="false">IF($M2043="","",IFERROR(INDEX(Settings!$B$27:$B$36,MATCH(L2043,Settings!$A$27:$A$36,0))&amp;"","UNMAPPED"))</f>
        <v/>
      </c>
      <c r="T2043" s="37" t="str">
        <f aca="false">IF($M2043="","",IF(NOT(ISNUMBER(R2043)),"NO DATE",IF(S2043="Won",IF(R2043&gt;Settings!$B$5,"Backlog","Delivered"),IF(S2043="Open",IF(R2043&gt;Settings!$B$5,"Pipeline","Overdue"),IF(S2043="Lost","Lost","UNMAPPED")))))</f>
        <v/>
      </c>
      <c r="U2043" s="40" t="n">
        <f aca="false">IF(T2043="Backlog",1,IF(OR(T2043="Pipeline",T2043="Overdue"),N(INDEX(Settings!$C$27:$C$36,MATCH(L2043,Settings!$A$27:$A$36,0))),0))</f>
        <v>0</v>
      </c>
      <c r="V2043" s="38" t="n">
        <f aca="false">Q2043*U2043</f>
        <v>0</v>
      </c>
      <c r="W2043" s="41" t="str">
        <f aca="false">IF($M2043="","",IF(T2043="Overdue",IF(Settings!$B$8="Yes",Settings!$B$7,""),IF(ISNUMBER(R2043),DATE(YEAR(R2043),MONTH(R2043),1),"")))</f>
        <v/>
      </c>
      <c r="X2043" s="38" t="n">
        <f aca="false">IF(AND(OR(T2043="Backlog",T2043="Pipeline",T2043="Overdue"),ISNUMBER(W2043)),IF(W2043&lt;=Settings!$B$6,V2043,0),0)</f>
        <v>0</v>
      </c>
      <c r="Y2043" s="38" t="n">
        <f aca="false">IF(AND(OR(T2043="Backlog",T2043="Pipeline",T2043="Overdue"),ISNUMBER(W2043)),IF(W2043&lt;=Settings!$B$6,Q2043,0),0)</f>
        <v>0</v>
      </c>
      <c r="Z2043" s="38" t="n">
        <f aca="false">IF(Y2043=0,0,IF(T2043="Backlog",Q2043,Q2043*Dashboard!$C$10))</f>
        <v>0</v>
      </c>
      <c r="AA2043" s="37" t="n">
        <f aca="false">IF($N2043="",0,IF(COUNTIF(Dashboard!$C$13:$C$22,$N2043)&gt;0,1,0))</f>
        <v>0</v>
      </c>
      <c r="AB2043" s="37" t="str">
        <f aca="false">IF($N2043="","",IF(COUNTIF($N$8:$N2043,$N2043)=1,MAX($AB$7:$AB2042)+1,""))</f>
        <v/>
      </c>
    </row>
    <row r="2044" customFormat="false" ht="15" hidden="false" customHeight="false" outlineLevel="0" collapsed="false">
      <c r="L2044" s="37" t="str">
        <f aca="false">IF(INDEX($A2044:$J2044,$L$6)&lt;&gt;"",TRIM(LEFT(INDEX($A2044:$J2044,$L$6),FIND("(",INDEX($A2044:$J2044,$L$6)&amp;"(")-1)),L2043)</f>
        <v>Building Value Proposition</v>
      </c>
      <c r="M2044" s="37" t="str">
        <f aca="false">IF(INDEX($A2044:$J2044,$M$6)="","",INDEX($A2044:$J2044,$M$6)&amp;"")</f>
        <v/>
      </c>
      <c r="N2044" s="37" t="str">
        <f aca="false">IF($M2044="","",TRIM(INDEX($A2044:$J2044,$N$6)&amp;""))</f>
        <v/>
      </c>
      <c r="O2044" s="37" t="str">
        <f aca="false">IF($M2044="","",TRIM(INDEX($A2044:$J2044,$O$6)&amp;""))</f>
        <v/>
      </c>
      <c r="P2044" s="37" t="str">
        <f aca="false">IF($M2044="","",IFERROR(IF(INDEX(Settings!$B$41:$B$50,MATCH(O2044,Settings!$A$41:$A$50,0))&amp;""="","UNMAPPED",INDEX(Settings!$B$41:$B$50,MATCH(O2044,Settings!$A$41:$A$50,0))&amp;""),"UNMAPPED"))</f>
        <v/>
      </c>
      <c r="Q2044" s="38" t="n">
        <f aca="false">IF($M2044="",0,N(INDEX($A2044:$J2044,$Q$6)))</f>
        <v>0</v>
      </c>
      <c r="R2044" s="39" t="str">
        <f aca="false">IF($M2044="","",INDEX($A2044:$J2044,$R$6))</f>
        <v/>
      </c>
      <c r="S2044" s="37" t="str">
        <f aca="false">IF($M2044="","",IFERROR(INDEX(Settings!$B$27:$B$36,MATCH(L2044,Settings!$A$27:$A$36,0))&amp;"","UNMAPPED"))</f>
        <v/>
      </c>
      <c r="T2044" s="37" t="str">
        <f aca="false">IF($M2044="","",IF(NOT(ISNUMBER(R2044)),"NO DATE",IF(S2044="Won",IF(R2044&gt;Settings!$B$5,"Backlog","Delivered"),IF(S2044="Open",IF(R2044&gt;Settings!$B$5,"Pipeline","Overdue"),IF(S2044="Lost","Lost","UNMAPPED")))))</f>
        <v/>
      </c>
      <c r="U2044" s="40" t="n">
        <f aca="false">IF(T2044="Backlog",1,IF(OR(T2044="Pipeline",T2044="Overdue"),N(INDEX(Settings!$C$27:$C$36,MATCH(L2044,Settings!$A$27:$A$36,0))),0))</f>
        <v>0</v>
      </c>
      <c r="V2044" s="38" t="n">
        <f aca="false">Q2044*U2044</f>
        <v>0</v>
      </c>
      <c r="W2044" s="41" t="str">
        <f aca="false">IF($M2044="","",IF(T2044="Overdue",IF(Settings!$B$8="Yes",Settings!$B$7,""),IF(ISNUMBER(R2044),DATE(YEAR(R2044),MONTH(R2044),1),"")))</f>
        <v/>
      </c>
      <c r="X2044" s="38" t="n">
        <f aca="false">IF(AND(OR(T2044="Backlog",T2044="Pipeline",T2044="Overdue"),ISNUMBER(W2044)),IF(W2044&lt;=Settings!$B$6,V2044,0),0)</f>
        <v>0</v>
      </c>
      <c r="Y2044" s="38" t="n">
        <f aca="false">IF(AND(OR(T2044="Backlog",T2044="Pipeline",T2044="Overdue"),ISNUMBER(W2044)),IF(W2044&lt;=Settings!$B$6,Q2044,0),0)</f>
        <v>0</v>
      </c>
      <c r="Z2044" s="38" t="n">
        <f aca="false">IF(Y2044=0,0,IF(T2044="Backlog",Q2044,Q2044*Dashboard!$C$10))</f>
        <v>0</v>
      </c>
      <c r="AA2044" s="37" t="n">
        <f aca="false">IF($N2044="",0,IF(COUNTIF(Dashboard!$C$13:$C$22,$N2044)&gt;0,1,0))</f>
        <v>0</v>
      </c>
      <c r="AB2044" s="37" t="str">
        <f aca="false">IF($N2044="","",IF(COUNTIF($N$8:$N2044,$N2044)=1,MAX($AB$7:$AB2043)+1,""))</f>
        <v/>
      </c>
    </row>
    <row r="2045" customFormat="false" ht="15" hidden="false" customHeight="false" outlineLevel="0" collapsed="false">
      <c r="L2045" s="37" t="str">
        <f aca="false">IF(INDEX($A2045:$J2045,$L$6)&lt;&gt;"",TRIM(LEFT(INDEX($A2045:$J2045,$L$6),FIND("(",INDEX($A2045:$J2045,$L$6)&amp;"(")-1)),L2044)</f>
        <v>Building Value Proposition</v>
      </c>
      <c r="M2045" s="37" t="str">
        <f aca="false">IF(INDEX($A2045:$J2045,$M$6)="","",INDEX($A2045:$J2045,$M$6)&amp;"")</f>
        <v/>
      </c>
      <c r="N2045" s="37" t="str">
        <f aca="false">IF($M2045="","",TRIM(INDEX($A2045:$J2045,$N$6)&amp;""))</f>
        <v/>
      </c>
      <c r="O2045" s="37" t="str">
        <f aca="false">IF($M2045="","",TRIM(INDEX($A2045:$J2045,$O$6)&amp;""))</f>
        <v/>
      </c>
      <c r="P2045" s="37" t="str">
        <f aca="false">IF($M2045="","",IFERROR(IF(INDEX(Settings!$B$41:$B$50,MATCH(O2045,Settings!$A$41:$A$50,0))&amp;""="","UNMAPPED",INDEX(Settings!$B$41:$B$50,MATCH(O2045,Settings!$A$41:$A$50,0))&amp;""),"UNMAPPED"))</f>
        <v/>
      </c>
      <c r="Q2045" s="38" t="n">
        <f aca="false">IF($M2045="",0,N(INDEX($A2045:$J2045,$Q$6)))</f>
        <v>0</v>
      </c>
      <c r="R2045" s="39" t="str">
        <f aca="false">IF($M2045="","",INDEX($A2045:$J2045,$R$6))</f>
        <v/>
      </c>
      <c r="S2045" s="37" t="str">
        <f aca="false">IF($M2045="","",IFERROR(INDEX(Settings!$B$27:$B$36,MATCH(L2045,Settings!$A$27:$A$36,0))&amp;"","UNMAPPED"))</f>
        <v/>
      </c>
      <c r="T2045" s="37" t="str">
        <f aca="false">IF($M2045="","",IF(NOT(ISNUMBER(R2045)),"NO DATE",IF(S2045="Won",IF(R2045&gt;Settings!$B$5,"Backlog","Delivered"),IF(S2045="Open",IF(R2045&gt;Settings!$B$5,"Pipeline","Overdue"),IF(S2045="Lost","Lost","UNMAPPED")))))</f>
        <v/>
      </c>
      <c r="U2045" s="40" t="n">
        <f aca="false">IF(T2045="Backlog",1,IF(OR(T2045="Pipeline",T2045="Overdue"),N(INDEX(Settings!$C$27:$C$36,MATCH(L2045,Settings!$A$27:$A$36,0))),0))</f>
        <v>0</v>
      </c>
      <c r="V2045" s="38" t="n">
        <f aca="false">Q2045*U2045</f>
        <v>0</v>
      </c>
      <c r="W2045" s="41" t="str">
        <f aca="false">IF($M2045="","",IF(T2045="Overdue",IF(Settings!$B$8="Yes",Settings!$B$7,""),IF(ISNUMBER(R2045),DATE(YEAR(R2045),MONTH(R2045),1),"")))</f>
        <v/>
      </c>
      <c r="X2045" s="38" t="n">
        <f aca="false">IF(AND(OR(T2045="Backlog",T2045="Pipeline",T2045="Overdue"),ISNUMBER(W2045)),IF(W2045&lt;=Settings!$B$6,V2045,0),0)</f>
        <v>0</v>
      </c>
      <c r="Y2045" s="38" t="n">
        <f aca="false">IF(AND(OR(T2045="Backlog",T2045="Pipeline",T2045="Overdue"),ISNUMBER(W2045)),IF(W2045&lt;=Settings!$B$6,Q2045,0),0)</f>
        <v>0</v>
      </c>
      <c r="Z2045" s="38" t="n">
        <f aca="false">IF(Y2045=0,0,IF(T2045="Backlog",Q2045,Q2045*Dashboard!$C$10))</f>
        <v>0</v>
      </c>
      <c r="AA2045" s="37" t="n">
        <f aca="false">IF($N2045="",0,IF(COUNTIF(Dashboard!$C$13:$C$22,$N2045)&gt;0,1,0))</f>
        <v>0</v>
      </c>
      <c r="AB2045" s="37" t="str">
        <f aca="false">IF($N2045="","",IF(COUNTIF($N$8:$N2045,$N2045)=1,MAX($AB$7:$AB2044)+1,""))</f>
        <v/>
      </c>
    </row>
    <row r="2046" customFormat="false" ht="15" hidden="false" customHeight="false" outlineLevel="0" collapsed="false">
      <c r="L2046" s="37" t="str">
        <f aca="false">IF(INDEX($A2046:$J2046,$L$6)&lt;&gt;"",TRIM(LEFT(INDEX($A2046:$J2046,$L$6),FIND("(",INDEX($A2046:$J2046,$L$6)&amp;"(")-1)),L2045)</f>
        <v>Building Value Proposition</v>
      </c>
      <c r="M2046" s="37" t="str">
        <f aca="false">IF(INDEX($A2046:$J2046,$M$6)="","",INDEX($A2046:$J2046,$M$6)&amp;"")</f>
        <v/>
      </c>
      <c r="N2046" s="37" t="str">
        <f aca="false">IF($M2046="","",TRIM(INDEX($A2046:$J2046,$N$6)&amp;""))</f>
        <v/>
      </c>
      <c r="O2046" s="37" t="str">
        <f aca="false">IF($M2046="","",TRIM(INDEX($A2046:$J2046,$O$6)&amp;""))</f>
        <v/>
      </c>
      <c r="P2046" s="37" t="str">
        <f aca="false">IF($M2046="","",IFERROR(IF(INDEX(Settings!$B$41:$B$50,MATCH(O2046,Settings!$A$41:$A$50,0))&amp;""="","UNMAPPED",INDEX(Settings!$B$41:$B$50,MATCH(O2046,Settings!$A$41:$A$50,0))&amp;""),"UNMAPPED"))</f>
        <v/>
      </c>
      <c r="Q2046" s="38" t="n">
        <f aca="false">IF($M2046="",0,N(INDEX($A2046:$J2046,$Q$6)))</f>
        <v>0</v>
      </c>
      <c r="R2046" s="39" t="str">
        <f aca="false">IF($M2046="","",INDEX($A2046:$J2046,$R$6))</f>
        <v/>
      </c>
      <c r="S2046" s="37" t="str">
        <f aca="false">IF($M2046="","",IFERROR(INDEX(Settings!$B$27:$B$36,MATCH(L2046,Settings!$A$27:$A$36,0))&amp;"","UNMAPPED"))</f>
        <v/>
      </c>
      <c r="T2046" s="37" t="str">
        <f aca="false">IF($M2046="","",IF(NOT(ISNUMBER(R2046)),"NO DATE",IF(S2046="Won",IF(R2046&gt;Settings!$B$5,"Backlog","Delivered"),IF(S2046="Open",IF(R2046&gt;Settings!$B$5,"Pipeline","Overdue"),IF(S2046="Lost","Lost","UNMAPPED")))))</f>
        <v/>
      </c>
      <c r="U2046" s="40" t="n">
        <f aca="false">IF(T2046="Backlog",1,IF(OR(T2046="Pipeline",T2046="Overdue"),N(INDEX(Settings!$C$27:$C$36,MATCH(L2046,Settings!$A$27:$A$36,0))),0))</f>
        <v>0</v>
      </c>
      <c r="V2046" s="38" t="n">
        <f aca="false">Q2046*U2046</f>
        <v>0</v>
      </c>
      <c r="W2046" s="41" t="str">
        <f aca="false">IF($M2046="","",IF(T2046="Overdue",IF(Settings!$B$8="Yes",Settings!$B$7,""),IF(ISNUMBER(R2046),DATE(YEAR(R2046),MONTH(R2046),1),"")))</f>
        <v/>
      </c>
      <c r="X2046" s="38" t="n">
        <f aca="false">IF(AND(OR(T2046="Backlog",T2046="Pipeline",T2046="Overdue"),ISNUMBER(W2046)),IF(W2046&lt;=Settings!$B$6,V2046,0),0)</f>
        <v>0</v>
      </c>
      <c r="Y2046" s="38" t="n">
        <f aca="false">IF(AND(OR(T2046="Backlog",T2046="Pipeline",T2046="Overdue"),ISNUMBER(W2046)),IF(W2046&lt;=Settings!$B$6,Q2046,0),0)</f>
        <v>0</v>
      </c>
      <c r="Z2046" s="38" t="n">
        <f aca="false">IF(Y2046=0,0,IF(T2046="Backlog",Q2046,Q2046*Dashboard!$C$10))</f>
        <v>0</v>
      </c>
      <c r="AA2046" s="37" t="n">
        <f aca="false">IF($N2046="",0,IF(COUNTIF(Dashboard!$C$13:$C$22,$N2046)&gt;0,1,0))</f>
        <v>0</v>
      </c>
      <c r="AB2046" s="37" t="str">
        <f aca="false">IF($N2046="","",IF(COUNTIF($N$8:$N2046,$N2046)=1,MAX($AB$7:$AB2045)+1,""))</f>
        <v/>
      </c>
    </row>
    <row r="2047" customFormat="false" ht="15" hidden="false" customHeight="false" outlineLevel="0" collapsed="false">
      <c r="L2047" s="37" t="str">
        <f aca="false">IF(INDEX($A2047:$J2047,$L$6)&lt;&gt;"",TRIM(LEFT(INDEX($A2047:$J2047,$L$6),FIND("(",INDEX($A2047:$J2047,$L$6)&amp;"(")-1)),L2046)</f>
        <v>Building Value Proposition</v>
      </c>
      <c r="M2047" s="37" t="str">
        <f aca="false">IF(INDEX($A2047:$J2047,$M$6)="","",INDEX($A2047:$J2047,$M$6)&amp;"")</f>
        <v/>
      </c>
      <c r="N2047" s="37" t="str">
        <f aca="false">IF($M2047="","",TRIM(INDEX($A2047:$J2047,$N$6)&amp;""))</f>
        <v/>
      </c>
      <c r="O2047" s="37" t="str">
        <f aca="false">IF($M2047="","",TRIM(INDEX($A2047:$J2047,$O$6)&amp;""))</f>
        <v/>
      </c>
      <c r="P2047" s="37" t="str">
        <f aca="false">IF($M2047="","",IFERROR(IF(INDEX(Settings!$B$41:$B$50,MATCH(O2047,Settings!$A$41:$A$50,0))&amp;""="","UNMAPPED",INDEX(Settings!$B$41:$B$50,MATCH(O2047,Settings!$A$41:$A$50,0))&amp;""),"UNMAPPED"))</f>
        <v/>
      </c>
      <c r="Q2047" s="38" t="n">
        <f aca="false">IF($M2047="",0,N(INDEX($A2047:$J2047,$Q$6)))</f>
        <v>0</v>
      </c>
      <c r="R2047" s="39" t="str">
        <f aca="false">IF($M2047="","",INDEX($A2047:$J2047,$R$6))</f>
        <v/>
      </c>
      <c r="S2047" s="37" t="str">
        <f aca="false">IF($M2047="","",IFERROR(INDEX(Settings!$B$27:$B$36,MATCH(L2047,Settings!$A$27:$A$36,0))&amp;"","UNMAPPED"))</f>
        <v/>
      </c>
      <c r="T2047" s="37" t="str">
        <f aca="false">IF($M2047="","",IF(NOT(ISNUMBER(R2047)),"NO DATE",IF(S2047="Won",IF(R2047&gt;Settings!$B$5,"Backlog","Delivered"),IF(S2047="Open",IF(R2047&gt;Settings!$B$5,"Pipeline","Overdue"),IF(S2047="Lost","Lost","UNMAPPED")))))</f>
        <v/>
      </c>
      <c r="U2047" s="40" t="n">
        <f aca="false">IF(T2047="Backlog",1,IF(OR(T2047="Pipeline",T2047="Overdue"),N(INDEX(Settings!$C$27:$C$36,MATCH(L2047,Settings!$A$27:$A$36,0))),0))</f>
        <v>0</v>
      </c>
      <c r="V2047" s="38" t="n">
        <f aca="false">Q2047*U2047</f>
        <v>0</v>
      </c>
      <c r="W2047" s="41" t="str">
        <f aca="false">IF($M2047="","",IF(T2047="Overdue",IF(Settings!$B$8="Yes",Settings!$B$7,""),IF(ISNUMBER(R2047),DATE(YEAR(R2047),MONTH(R2047),1),"")))</f>
        <v/>
      </c>
      <c r="X2047" s="38" t="n">
        <f aca="false">IF(AND(OR(T2047="Backlog",T2047="Pipeline",T2047="Overdue"),ISNUMBER(W2047)),IF(W2047&lt;=Settings!$B$6,V2047,0),0)</f>
        <v>0</v>
      </c>
      <c r="Y2047" s="38" t="n">
        <f aca="false">IF(AND(OR(T2047="Backlog",T2047="Pipeline",T2047="Overdue"),ISNUMBER(W2047)),IF(W2047&lt;=Settings!$B$6,Q2047,0),0)</f>
        <v>0</v>
      </c>
      <c r="Z2047" s="38" t="n">
        <f aca="false">IF(Y2047=0,0,IF(T2047="Backlog",Q2047,Q2047*Dashboard!$C$10))</f>
        <v>0</v>
      </c>
      <c r="AA2047" s="37" t="n">
        <f aca="false">IF($N2047="",0,IF(COUNTIF(Dashboard!$C$13:$C$22,$N2047)&gt;0,1,0))</f>
        <v>0</v>
      </c>
      <c r="AB2047" s="37" t="str">
        <f aca="false">IF($N2047="","",IF(COUNTIF($N$8:$N2047,$N2047)=1,MAX($AB$7:$AB2046)+1,""))</f>
        <v/>
      </c>
    </row>
    <row r="2048" customFormat="false" ht="15" hidden="false" customHeight="false" outlineLevel="0" collapsed="false">
      <c r="L2048" s="37" t="str">
        <f aca="false">IF(INDEX($A2048:$J2048,$L$6)&lt;&gt;"",TRIM(LEFT(INDEX($A2048:$J2048,$L$6),FIND("(",INDEX($A2048:$J2048,$L$6)&amp;"(")-1)),L2047)</f>
        <v>Building Value Proposition</v>
      </c>
      <c r="M2048" s="37" t="str">
        <f aca="false">IF(INDEX($A2048:$J2048,$M$6)="","",INDEX($A2048:$J2048,$M$6)&amp;"")</f>
        <v/>
      </c>
      <c r="N2048" s="37" t="str">
        <f aca="false">IF($M2048="","",TRIM(INDEX($A2048:$J2048,$N$6)&amp;""))</f>
        <v/>
      </c>
      <c r="O2048" s="37" t="str">
        <f aca="false">IF($M2048="","",TRIM(INDEX($A2048:$J2048,$O$6)&amp;""))</f>
        <v/>
      </c>
      <c r="P2048" s="37" t="str">
        <f aca="false">IF($M2048="","",IFERROR(IF(INDEX(Settings!$B$41:$B$50,MATCH(O2048,Settings!$A$41:$A$50,0))&amp;""="","UNMAPPED",INDEX(Settings!$B$41:$B$50,MATCH(O2048,Settings!$A$41:$A$50,0))&amp;""),"UNMAPPED"))</f>
        <v/>
      </c>
      <c r="Q2048" s="38" t="n">
        <f aca="false">IF($M2048="",0,N(INDEX($A2048:$J2048,$Q$6)))</f>
        <v>0</v>
      </c>
      <c r="R2048" s="39" t="str">
        <f aca="false">IF($M2048="","",INDEX($A2048:$J2048,$R$6))</f>
        <v/>
      </c>
      <c r="S2048" s="37" t="str">
        <f aca="false">IF($M2048="","",IFERROR(INDEX(Settings!$B$27:$B$36,MATCH(L2048,Settings!$A$27:$A$36,0))&amp;"","UNMAPPED"))</f>
        <v/>
      </c>
      <c r="T2048" s="37" t="str">
        <f aca="false">IF($M2048="","",IF(NOT(ISNUMBER(R2048)),"NO DATE",IF(S2048="Won",IF(R2048&gt;Settings!$B$5,"Backlog","Delivered"),IF(S2048="Open",IF(R2048&gt;Settings!$B$5,"Pipeline","Overdue"),IF(S2048="Lost","Lost","UNMAPPED")))))</f>
        <v/>
      </c>
      <c r="U2048" s="40" t="n">
        <f aca="false">IF(T2048="Backlog",1,IF(OR(T2048="Pipeline",T2048="Overdue"),N(INDEX(Settings!$C$27:$C$36,MATCH(L2048,Settings!$A$27:$A$36,0))),0))</f>
        <v>0</v>
      </c>
      <c r="V2048" s="38" t="n">
        <f aca="false">Q2048*U2048</f>
        <v>0</v>
      </c>
      <c r="W2048" s="41" t="str">
        <f aca="false">IF($M2048="","",IF(T2048="Overdue",IF(Settings!$B$8="Yes",Settings!$B$7,""),IF(ISNUMBER(R2048),DATE(YEAR(R2048),MONTH(R2048),1),"")))</f>
        <v/>
      </c>
      <c r="X2048" s="38" t="n">
        <f aca="false">IF(AND(OR(T2048="Backlog",T2048="Pipeline",T2048="Overdue"),ISNUMBER(W2048)),IF(W2048&lt;=Settings!$B$6,V2048,0),0)</f>
        <v>0</v>
      </c>
      <c r="Y2048" s="38" t="n">
        <f aca="false">IF(AND(OR(T2048="Backlog",T2048="Pipeline",T2048="Overdue"),ISNUMBER(W2048)),IF(W2048&lt;=Settings!$B$6,Q2048,0),0)</f>
        <v>0</v>
      </c>
      <c r="Z2048" s="38" t="n">
        <f aca="false">IF(Y2048=0,0,IF(T2048="Backlog",Q2048,Q2048*Dashboard!$C$10))</f>
        <v>0</v>
      </c>
      <c r="AA2048" s="37" t="n">
        <f aca="false">IF($N2048="",0,IF(COUNTIF(Dashboard!$C$13:$C$22,$N2048)&gt;0,1,0))</f>
        <v>0</v>
      </c>
      <c r="AB2048" s="37" t="str">
        <f aca="false">IF($N2048="","",IF(COUNTIF($N$8:$N2048,$N2048)=1,MAX($AB$7:$AB2047)+1,""))</f>
        <v/>
      </c>
    </row>
    <row r="2049" customFormat="false" ht="15" hidden="false" customHeight="false" outlineLevel="0" collapsed="false">
      <c r="L2049" s="37" t="str">
        <f aca="false">IF(INDEX($A2049:$J2049,$L$6)&lt;&gt;"",TRIM(LEFT(INDEX($A2049:$J2049,$L$6),FIND("(",INDEX($A2049:$J2049,$L$6)&amp;"(")-1)),L2048)</f>
        <v>Building Value Proposition</v>
      </c>
      <c r="M2049" s="37" t="str">
        <f aca="false">IF(INDEX($A2049:$J2049,$M$6)="","",INDEX($A2049:$J2049,$M$6)&amp;"")</f>
        <v/>
      </c>
      <c r="N2049" s="37" t="str">
        <f aca="false">IF($M2049="","",TRIM(INDEX($A2049:$J2049,$N$6)&amp;""))</f>
        <v/>
      </c>
      <c r="O2049" s="37" t="str">
        <f aca="false">IF($M2049="","",TRIM(INDEX($A2049:$J2049,$O$6)&amp;""))</f>
        <v/>
      </c>
      <c r="P2049" s="37" t="str">
        <f aca="false">IF($M2049="","",IFERROR(IF(INDEX(Settings!$B$41:$B$50,MATCH(O2049,Settings!$A$41:$A$50,0))&amp;""="","UNMAPPED",INDEX(Settings!$B$41:$B$50,MATCH(O2049,Settings!$A$41:$A$50,0))&amp;""),"UNMAPPED"))</f>
        <v/>
      </c>
      <c r="Q2049" s="38" t="n">
        <f aca="false">IF($M2049="",0,N(INDEX($A2049:$J2049,$Q$6)))</f>
        <v>0</v>
      </c>
      <c r="R2049" s="39" t="str">
        <f aca="false">IF($M2049="","",INDEX($A2049:$J2049,$R$6))</f>
        <v/>
      </c>
      <c r="S2049" s="37" t="str">
        <f aca="false">IF($M2049="","",IFERROR(INDEX(Settings!$B$27:$B$36,MATCH(L2049,Settings!$A$27:$A$36,0))&amp;"","UNMAPPED"))</f>
        <v/>
      </c>
      <c r="T2049" s="37" t="str">
        <f aca="false">IF($M2049="","",IF(NOT(ISNUMBER(R2049)),"NO DATE",IF(S2049="Won",IF(R2049&gt;Settings!$B$5,"Backlog","Delivered"),IF(S2049="Open",IF(R2049&gt;Settings!$B$5,"Pipeline","Overdue"),IF(S2049="Lost","Lost","UNMAPPED")))))</f>
        <v/>
      </c>
      <c r="U2049" s="40" t="n">
        <f aca="false">IF(T2049="Backlog",1,IF(OR(T2049="Pipeline",T2049="Overdue"),N(INDEX(Settings!$C$27:$C$36,MATCH(L2049,Settings!$A$27:$A$36,0))),0))</f>
        <v>0</v>
      </c>
      <c r="V2049" s="38" t="n">
        <f aca="false">Q2049*U2049</f>
        <v>0</v>
      </c>
      <c r="W2049" s="41" t="str">
        <f aca="false">IF($M2049="","",IF(T2049="Overdue",IF(Settings!$B$8="Yes",Settings!$B$7,""),IF(ISNUMBER(R2049),DATE(YEAR(R2049),MONTH(R2049),1),"")))</f>
        <v/>
      </c>
      <c r="X2049" s="38" t="n">
        <f aca="false">IF(AND(OR(T2049="Backlog",T2049="Pipeline",T2049="Overdue"),ISNUMBER(W2049)),IF(W2049&lt;=Settings!$B$6,V2049,0),0)</f>
        <v>0</v>
      </c>
      <c r="Y2049" s="38" t="n">
        <f aca="false">IF(AND(OR(T2049="Backlog",T2049="Pipeline",T2049="Overdue"),ISNUMBER(W2049)),IF(W2049&lt;=Settings!$B$6,Q2049,0),0)</f>
        <v>0</v>
      </c>
      <c r="Z2049" s="38" t="n">
        <f aca="false">IF(Y2049=0,0,IF(T2049="Backlog",Q2049,Q2049*Dashboard!$C$10))</f>
        <v>0</v>
      </c>
      <c r="AA2049" s="37" t="n">
        <f aca="false">IF($N2049="",0,IF(COUNTIF(Dashboard!$C$13:$C$22,$N2049)&gt;0,1,0))</f>
        <v>0</v>
      </c>
      <c r="AB2049" s="37" t="str">
        <f aca="false">IF($N2049="","",IF(COUNTIF($N$8:$N2049,$N2049)=1,MAX($AB$7:$AB2048)+1,""))</f>
        <v/>
      </c>
    </row>
    <row r="2050" customFormat="false" ht="15" hidden="false" customHeight="false" outlineLevel="0" collapsed="false">
      <c r="L2050" s="37" t="str">
        <f aca="false">IF(INDEX($A2050:$J2050,$L$6)&lt;&gt;"",TRIM(LEFT(INDEX($A2050:$J2050,$L$6),FIND("(",INDEX($A2050:$J2050,$L$6)&amp;"(")-1)),L2049)</f>
        <v>Building Value Proposition</v>
      </c>
      <c r="M2050" s="37" t="str">
        <f aca="false">IF(INDEX($A2050:$J2050,$M$6)="","",INDEX($A2050:$J2050,$M$6)&amp;"")</f>
        <v/>
      </c>
      <c r="N2050" s="37" t="str">
        <f aca="false">IF($M2050="","",TRIM(INDEX($A2050:$J2050,$N$6)&amp;""))</f>
        <v/>
      </c>
      <c r="O2050" s="37" t="str">
        <f aca="false">IF($M2050="","",TRIM(INDEX($A2050:$J2050,$O$6)&amp;""))</f>
        <v/>
      </c>
      <c r="P2050" s="37" t="str">
        <f aca="false">IF($M2050="","",IFERROR(IF(INDEX(Settings!$B$41:$B$50,MATCH(O2050,Settings!$A$41:$A$50,0))&amp;""="","UNMAPPED",INDEX(Settings!$B$41:$B$50,MATCH(O2050,Settings!$A$41:$A$50,0))&amp;""),"UNMAPPED"))</f>
        <v/>
      </c>
      <c r="Q2050" s="38" t="n">
        <f aca="false">IF($M2050="",0,N(INDEX($A2050:$J2050,$Q$6)))</f>
        <v>0</v>
      </c>
      <c r="R2050" s="39" t="str">
        <f aca="false">IF($M2050="","",INDEX($A2050:$J2050,$R$6))</f>
        <v/>
      </c>
      <c r="S2050" s="37" t="str">
        <f aca="false">IF($M2050="","",IFERROR(INDEX(Settings!$B$27:$B$36,MATCH(L2050,Settings!$A$27:$A$36,0))&amp;"","UNMAPPED"))</f>
        <v/>
      </c>
      <c r="T2050" s="37" t="str">
        <f aca="false">IF($M2050="","",IF(NOT(ISNUMBER(R2050)),"NO DATE",IF(S2050="Won",IF(R2050&gt;Settings!$B$5,"Backlog","Delivered"),IF(S2050="Open",IF(R2050&gt;Settings!$B$5,"Pipeline","Overdue"),IF(S2050="Lost","Lost","UNMAPPED")))))</f>
        <v/>
      </c>
      <c r="U2050" s="40" t="n">
        <f aca="false">IF(T2050="Backlog",1,IF(OR(T2050="Pipeline",T2050="Overdue"),N(INDEX(Settings!$C$27:$C$36,MATCH(L2050,Settings!$A$27:$A$36,0))),0))</f>
        <v>0</v>
      </c>
      <c r="V2050" s="38" t="n">
        <f aca="false">Q2050*U2050</f>
        <v>0</v>
      </c>
      <c r="W2050" s="41" t="str">
        <f aca="false">IF($M2050="","",IF(T2050="Overdue",IF(Settings!$B$8="Yes",Settings!$B$7,""),IF(ISNUMBER(R2050),DATE(YEAR(R2050),MONTH(R2050),1),"")))</f>
        <v/>
      </c>
      <c r="X2050" s="38" t="n">
        <f aca="false">IF(AND(OR(T2050="Backlog",T2050="Pipeline",T2050="Overdue"),ISNUMBER(W2050)),IF(W2050&lt;=Settings!$B$6,V2050,0),0)</f>
        <v>0</v>
      </c>
      <c r="Y2050" s="38" t="n">
        <f aca="false">IF(AND(OR(T2050="Backlog",T2050="Pipeline",T2050="Overdue"),ISNUMBER(W2050)),IF(W2050&lt;=Settings!$B$6,Q2050,0),0)</f>
        <v>0</v>
      </c>
      <c r="Z2050" s="38" t="n">
        <f aca="false">IF(Y2050=0,0,IF(T2050="Backlog",Q2050,Q2050*Dashboard!$C$10))</f>
        <v>0</v>
      </c>
      <c r="AA2050" s="37" t="n">
        <f aca="false">IF($N2050="",0,IF(COUNTIF(Dashboard!$C$13:$C$22,$N2050)&gt;0,1,0))</f>
        <v>0</v>
      </c>
      <c r="AB2050" s="37" t="str">
        <f aca="false">IF($N2050="","",IF(COUNTIF($N$8:$N2050,$N2050)=1,MAX($AB$7:$AB2049)+1,""))</f>
        <v/>
      </c>
    </row>
    <row r="2051" customFormat="false" ht="15" hidden="false" customHeight="false" outlineLevel="0" collapsed="false">
      <c r="L2051" s="37" t="str">
        <f aca="false">IF(INDEX($A2051:$J2051,$L$6)&lt;&gt;"",TRIM(LEFT(INDEX($A2051:$J2051,$L$6),FIND("(",INDEX($A2051:$J2051,$L$6)&amp;"(")-1)),L2050)</f>
        <v>Building Value Proposition</v>
      </c>
      <c r="M2051" s="37" t="str">
        <f aca="false">IF(INDEX($A2051:$J2051,$M$6)="","",INDEX($A2051:$J2051,$M$6)&amp;"")</f>
        <v/>
      </c>
      <c r="N2051" s="37" t="str">
        <f aca="false">IF($M2051="","",TRIM(INDEX($A2051:$J2051,$N$6)&amp;""))</f>
        <v/>
      </c>
      <c r="O2051" s="37" t="str">
        <f aca="false">IF($M2051="","",TRIM(INDEX($A2051:$J2051,$O$6)&amp;""))</f>
        <v/>
      </c>
      <c r="P2051" s="37" t="str">
        <f aca="false">IF($M2051="","",IFERROR(IF(INDEX(Settings!$B$41:$B$50,MATCH(O2051,Settings!$A$41:$A$50,0))&amp;""="","UNMAPPED",INDEX(Settings!$B$41:$B$50,MATCH(O2051,Settings!$A$41:$A$50,0))&amp;""),"UNMAPPED"))</f>
        <v/>
      </c>
      <c r="Q2051" s="38" t="n">
        <f aca="false">IF($M2051="",0,N(INDEX($A2051:$J2051,$Q$6)))</f>
        <v>0</v>
      </c>
      <c r="R2051" s="39" t="str">
        <f aca="false">IF($M2051="","",INDEX($A2051:$J2051,$R$6))</f>
        <v/>
      </c>
      <c r="S2051" s="37" t="str">
        <f aca="false">IF($M2051="","",IFERROR(INDEX(Settings!$B$27:$B$36,MATCH(L2051,Settings!$A$27:$A$36,0))&amp;"","UNMAPPED"))</f>
        <v/>
      </c>
      <c r="T2051" s="37" t="str">
        <f aca="false">IF($M2051="","",IF(NOT(ISNUMBER(R2051)),"NO DATE",IF(S2051="Won",IF(R2051&gt;Settings!$B$5,"Backlog","Delivered"),IF(S2051="Open",IF(R2051&gt;Settings!$B$5,"Pipeline","Overdue"),IF(S2051="Lost","Lost","UNMAPPED")))))</f>
        <v/>
      </c>
      <c r="U2051" s="40" t="n">
        <f aca="false">IF(T2051="Backlog",1,IF(OR(T2051="Pipeline",T2051="Overdue"),N(INDEX(Settings!$C$27:$C$36,MATCH(L2051,Settings!$A$27:$A$36,0))),0))</f>
        <v>0</v>
      </c>
      <c r="V2051" s="38" t="n">
        <f aca="false">Q2051*U2051</f>
        <v>0</v>
      </c>
      <c r="W2051" s="41" t="str">
        <f aca="false">IF($M2051="","",IF(T2051="Overdue",IF(Settings!$B$8="Yes",Settings!$B$7,""),IF(ISNUMBER(R2051),DATE(YEAR(R2051),MONTH(R2051),1),"")))</f>
        <v/>
      </c>
      <c r="X2051" s="38" t="n">
        <f aca="false">IF(AND(OR(T2051="Backlog",T2051="Pipeline",T2051="Overdue"),ISNUMBER(W2051)),IF(W2051&lt;=Settings!$B$6,V2051,0),0)</f>
        <v>0</v>
      </c>
      <c r="Y2051" s="38" t="n">
        <f aca="false">IF(AND(OR(T2051="Backlog",T2051="Pipeline",T2051="Overdue"),ISNUMBER(W2051)),IF(W2051&lt;=Settings!$B$6,Q2051,0),0)</f>
        <v>0</v>
      </c>
      <c r="Z2051" s="38" t="n">
        <f aca="false">IF(Y2051=0,0,IF(T2051="Backlog",Q2051,Q2051*Dashboard!$C$10))</f>
        <v>0</v>
      </c>
      <c r="AA2051" s="37" t="n">
        <f aca="false">IF($N2051="",0,IF(COUNTIF(Dashboard!$C$13:$C$22,$N2051)&gt;0,1,0))</f>
        <v>0</v>
      </c>
      <c r="AB2051" s="37" t="str">
        <f aca="false">IF($N2051="","",IF(COUNTIF($N$8:$N2051,$N2051)=1,MAX($AB$7:$AB2050)+1,""))</f>
        <v/>
      </c>
    </row>
    <row r="2052" customFormat="false" ht="15" hidden="false" customHeight="false" outlineLevel="0" collapsed="false">
      <c r="L2052" s="37" t="str">
        <f aca="false">IF(INDEX($A2052:$J2052,$L$6)&lt;&gt;"",TRIM(LEFT(INDEX($A2052:$J2052,$L$6),FIND("(",INDEX($A2052:$J2052,$L$6)&amp;"(")-1)),L2051)</f>
        <v>Building Value Proposition</v>
      </c>
      <c r="M2052" s="37" t="str">
        <f aca="false">IF(INDEX($A2052:$J2052,$M$6)="","",INDEX($A2052:$J2052,$M$6)&amp;"")</f>
        <v/>
      </c>
      <c r="N2052" s="37" t="str">
        <f aca="false">IF($M2052="","",TRIM(INDEX($A2052:$J2052,$N$6)&amp;""))</f>
        <v/>
      </c>
      <c r="O2052" s="37" t="str">
        <f aca="false">IF($M2052="","",TRIM(INDEX($A2052:$J2052,$O$6)&amp;""))</f>
        <v/>
      </c>
      <c r="P2052" s="37" t="str">
        <f aca="false">IF($M2052="","",IFERROR(IF(INDEX(Settings!$B$41:$B$50,MATCH(O2052,Settings!$A$41:$A$50,0))&amp;""="","UNMAPPED",INDEX(Settings!$B$41:$B$50,MATCH(O2052,Settings!$A$41:$A$50,0))&amp;""),"UNMAPPED"))</f>
        <v/>
      </c>
      <c r="Q2052" s="38" t="n">
        <f aca="false">IF($M2052="",0,N(INDEX($A2052:$J2052,$Q$6)))</f>
        <v>0</v>
      </c>
      <c r="R2052" s="39" t="str">
        <f aca="false">IF($M2052="","",INDEX($A2052:$J2052,$R$6))</f>
        <v/>
      </c>
      <c r="S2052" s="37" t="str">
        <f aca="false">IF($M2052="","",IFERROR(INDEX(Settings!$B$27:$B$36,MATCH(L2052,Settings!$A$27:$A$36,0))&amp;"","UNMAPPED"))</f>
        <v/>
      </c>
      <c r="T2052" s="37" t="str">
        <f aca="false">IF($M2052="","",IF(NOT(ISNUMBER(R2052)),"NO DATE",IF(S2052="Won",IF(R2052&gt;Settings!$B$5,"Backlog","Delivered"),IF(S2052="Open",IF(R2052&gt;Settings!$B$5,"Pipeline","Overdue"),IF(S2052="Lost","Lost","UNMAPPED")))))</f>
        <v/>
      </c>
      <c r="U2052" s="40" t="n">
        <f aca="false">IF(T2052="Backlog",1,IF(OR(T2052="Pipeline",T2052="Overdue"),N(INDEX(Settings!$C$27:$C$36,MATCH(L2052,Settings!$A$27:$A$36,0))),0))</f>
        <v>0</v>
      </c>
      <c r="V2052" s="38" t="n">
        <f aca="false">Q2052*U2052</f>
        <v>0</v>
      </c>
      <c r="W2052" s="41" t="str">
        <f aca="false">IF($M2052="","",IF(T2052="Overdue",IF(Settings!$B$8="Yes",Settings!$B$7,""),IF(ISNUMBER(R2052),DATE(YEAR(R2052),MONTH(R2052),1),"")))</f>
        <v/>
      </c>
      <c r="X2052" s="38" t="n">
        <f aca="false">IF(AND(OR(T2052="Backlog",T2052="Pipeline",T2052="Overdue"),ISNUMBER(W2052)),IF(W2052&lt;=Settings!$B$6,V2052,0),0)</f>
        <v>0</v>
      </c>
      <c r="Y2052" s="38" t="n">
        <f aca="false">IF(AND(OR(T2052="Backlog",T2052="Pipeline",T2052="Overdue"),ISNUMBER(W2052)),IF(W2052&lt;=Settings!$B$6,Q2052,0),0)</f>
        <v>0</v>
      </c>
      <c r="Z2052" s="38" t="n">
        <f aca="false">IF(Y2052=0,0,IF(T2052="Backlog",Q2052,Q2052*Dashboard!$C$10))</f>
        <v>0</v>
      </c>
      <c r="AA2052" s="37" t="n">
        <f aca="false">IF($N2052="",0,IF(COUNTIF(Dashboard!$C$13:$C$22,$N2052)&gt;0,1,0))</f>
        <v>0</v>
      </c>
      <c r="AB2052" s="37" t="str">
        <f aca="false">IF($N2052="","",IF(COUNTIF($N$8:$N2052,$N2052)=1,MAX($AB$7:$AB2051)+1,""))</f>
        <v/>
      </c>
    </row>
    <row r="2053" customFormat="false" ht="15" hidden="false" customHeight="false" outlineLevel="0" collapsed="false">
      <c r="L2053" s="37" t="str">
        <f aca="false">IF(INDEX($A2053:$J2053,$L$6)&lt;&gt;"",TRIM(LEFT(INDEX($A2053:$J2053,$L$6),FIND("(",INDEX($A2053:$J2053,$L$6)&amp;"(")-1)),L2052)</f>
        <v>Building Value Proposition</v>
      </c>
      <c r="M2053" s="37" t="str">
        <f aca="false">IF(INDEX($A2053:$J2053,$M$6)="","",INDEX($A2053:$J2053,$M$6)&amp;"")</f>
        <v/>
      </c>
      <c r="N2053" s="37" t="str">
        <f aca="false">IF($M2053="","",TRIM(INDEX($A2053:$J2053,$N$6)&amp;""))</f>
        <v/>
      </c>
      <c r="O2053" s="37" t="str">
        <f aca="false">IF($M2053="","",TRIM(INDEX($A2053:$J2053,$O$6)&amp;""))</f>
        <v/>
      </c>
      <c r="P2053" s="37" t="str">
        <f aca="false">IF($M2053="","",IFERROR(IF(INDEX(Settings!$B$41:$B$50,MATCH(O2053,Settings!$A$41:$A$50,0))&amp;""="","UNMAPPED",INDEX(Settings!$B$41:$B$50,MATCH(O2053,Settings!$A$41:$A$50,0))&amp;""),"UNMAPPED"))</f>
        <v/>
      </c>
      <c r="Q2053" s="38" t="n">
        <f aca="false">IF($M2053="",0,N(INDEX($A2053:$J2053,$Q$6)))</f>
        <v>0</v>
      </c>
      <c r="R2053" s="39" t="str">
        <f aca="false">IF($M2053="","",INDEX($A2053:$J2053,$R$6))</f>
        <v/>
      </c>
      <c r="S2053" s="37" t="str">
        <f aca="false">IF($M2053="","",IFERROR(INDEX(Settings!$B$27:$B$36,MATCH(L2053,Settings!$A$27:$A$36,0))&amp;"","UNMAPPED"))</f>
        <v/>
      </c>
      <c r="T2053" s="37" t="str">
        <f aca="false">IF($M2053="","",IF(NOT(ISNUMBER(R2053)),"NO DATE",IF(S2053="Won",IF(R2053&gt;Settings!$B$5,"Backlog","Delivered"),IF(S2053="Open",IF(R2053&gt;Settings!$B$5,"Pipeline","Overdue"),IF(S2053="Lost","Lost","UNMAPPED")))))</f>
        <v/>
      </c>
      <c r="U2053" s="40" t="n">
        <f aca="false">IF(T2053="Backlog",1,IF(OR(T2053="Pipeline",T2053="Overdue"),N(INDEX(Settings!$C$27:$C$36,MATCH(L2053,Settings!$A$27:$A$36,0))),0))</f>
        <v>0</v>
      </c>
      <c r="V2053" s="38" t="n">
        <f aca="false">Q2053*U2053</f>
        <v>0</v>
      </c>
      <c r="W2053" s="41" t="str">
        <f aca="false">IF($M2053="","",IF(T2053="Overdue",IF(Settings!$B$8="Yes",Settings!$B$7,""),IF(ISNUMBER(R2053),DATE(YEAR(R2053),MONTH(R2053),1),"")))</f>
        <v/>
      </c>
      <c r="X2053" s="38" t="n">
        <f aca="false">IF(AND(OR(T2053="Backlog",T2053="Pipeline",T2053="Overdue"),ISNUMBER(W2053)),IF(W2053&lt;=Settings!$B$6,V2053,0),0)</f>
        <v>0</v>
      </c>
      <c r="Y2053" s="38" t="n">
        <f aca="false">IF(AND(OR(T2053="Backlog",T2053="Pipeline",T2053="Overdue"),ISNUMBER(W2053)),IF(W2053&lt;=Settings!$B$6,Q2053,0),0)</f>
        <v>0</v>
      </c>
      <c r="Z2053" s="38" t="n">
        <f aca="false">IF(Y2053=0,0,IF(T2053="Backlog",Q2053,Q2053*Dashboard!$C$10))</f>
        <v>0</v>
      </c>
      <c r="AA2053" s="37" t="n">
        <f aca="false">IF($N2053="",0,IF(COUNTIF(Dashboard!$C$13:$C$22,$N2053)&gt;0,1,0))</f>
        <v>0</v>
      </c>
      <c r="AB2053" s="37" t="str">
        <f aca="false">IF($N2053="","",IF(COUNTIF($N$8:$N2053,$N2053)=1,MAX($AB$7:$AB2052)+1,""))</f>
        <v/>
      </c>
    </row>
    <row r="2054" customFormat="false" ht="15" hidden="false" customHeight="false" outlineLevel="0" collapsed="false">
      <c r="L2054" s="37" t="str">
        <f aca="false">IF(INDEX($A2054:$J2054,$L$6)&lt;&gt;"",TRIM(LEFT(INDEX($A2054:$J2054,$L$6),FIND("(",INDEX($A2054:$J2054,$L$6)&amp;"(")-1)),L2053)</f>
        <v>Building Value Proposition</v>
      </c>
      <c r="M2054" s="37" t="str">
        <f aca="false">IF(INDEX($A2054:$J2054,$M$6)="","",INDEX($A2054:$J2054,$M$6)&amp;"")</f>
        <v/>
      </c>
      <c r="N2054" s="37" t="str">
        <f aca="false">IF($M2054="","",TRIM(INDEX($A2054:$J2054,$N$6)&amp;""))</f>
        <v/>
      </c>
      <c r="O2054" s="37" t="str">
        <f aca="false">IF($M2054="","",TRIM(INDEX($A2054:$J2054,$O$6)&amp;""))</f>
        <v/>
      </c>
      <c r="P2054" s="37" t="str">
        <f aca="false">IF($M2054="","",IFERROR(IF(INDEX(Settings!$B$41:$B$50,MATCH(O2054,Settings!$A$41:$A$50,0))&amp;""="","UNMAPPED",INDEX(Settings!$B$41:$B$50,MATCH(O2054,Settings!$A$41:$A$50,0))&amp;""),"UNMAPPED"))</f>
        <v/>
      </c>
      <c r="Q2054" s="38" t="n">
        <f aca="false">IF($M2054="",0,N(INDEX($A2054:$J2054,$Q$6)))</f>
        <v>0</v>
      </c>
      <c r="R2054" s="39" t="str">
        <f aca="false">IF($M2054="","",INDEX($A2054:$J2054,$R$6))</f>
        <v/>
      </c>
      <c r="S2054" s="37" t="str">
        <f aca="false">IF($M2054="","",IFERROR(INDEX(Settings!$B$27:$B$36,MATCH(L2054,Settings!$A$27:$A$36,0))&amp;"","UNMAPPED"))</f>
        <v/>
      </c>
      <c r="T2054" s="37" t="str">
        <f aca="false">IF($M2054="","",IF(NOT(ISNUMBER(R2054)),"NO DATE",IF(S2054="Won",IF(R2054&gt;Settings!$B$5,"Backlog","Delivered"),IF(S2054="Open",IF(R2054&gt;Settings!$B$5,"Pipeline","Overdue"),IF(S2054="Lost","Lost","UNMAPPED")))))</f>
        <v/>
      </c>
      <c r="U2054" s="40" t="n">
        <f aca="false">IF(T2054="Backlog",1,IF(OR(T2054="Pipeline",T2054="Overdue"),N(INDEX(Settings!$C$27:$C$36,MATCH(L2054,Settings!$A$27:$A$36,0))),0))</f>
        <v>0</v>
      </c>
      <c r="V2054" s="38" t="n">
        <f aca="false">Q2054*U2054</f>
        <v>0</v>
      </c>
      <c r="W2054" s="41" t="str">
        <f aca="false">IF($M2054="","",IF(T2054="Overdue",IF(Settings!$B$8="Yes",Settings!$B$7,""),IF(ISNUMBER(R2054),DATE(YEAR(R2054),MONTH(R2054),1),"")))</f>
        <v/>
      </c>
      <c r="X2054" s="38" t="n">
        <f aca="false">IF(AND(OR(T2054="Backlog",T2054="Pipeline",T2054="Overdue"),ISNUMBER(W2054)),IF(W2054&lt;=Settings!$B$6,V2054,0),0)</f>
        <v>0</v>
      </c>
      <c r="Y2054" s="38" t="n">
        <f aca="false">IF(AND(OR(T2054="Backlog",T2054="Pipeline",T2054="Overdue"),ISNUMBER(W2054)),IF(W2054&lt;=Settings!$B$6,Q2054,0),0)</f>
        <v>0</v>
      </c>
      <c r="Z2054" s="38" t="n">
        <f aca="false">IF(Y2054=0,0,IF(T2054="Backlog",Q2054,Q2054*Dashboard!$C$10))</f>
        <v>0</v>
      </c>
      <c r="AA2054" s="37" t="n">
        <f aca="false">IF($N2054="",0,IF(COUNTIF(Dashboard!$C$13:$C$22,$N2054)&gt;0,1,0))</f>
        <v>0</v>
      </c>
      <c r="AB2054" s="37" t="str">
        <f aca="false">IF($N2054="","",IF(COUNTIF($N$8:$N2054,$N2054)=1,MAX($AB$7:$AB2053)+1,""))</f>
        <v/>
      </c>
    </row>
    <row r="2055" customFormat="false" ht="15" hidden="false" customHeight="false" outlineLevel="0" collapsed="false">
      <c r="L2055" s="37" t="str">
        <f aca="false">IF(INDEX($A2055:$J2055,$L$6)&lt;&gt;"",TRIM(LEFT(INDEX($A2055:$J2055,$L$6),FIND("(",INDEX($A2055:$J2055,$L$6)&amp;"(")-1)),L2054)</f>
        <v>Building Value Proposition</v>
      </c>
      <c r="M2055" s="37" t="str">
        <f aca="false">IF(INDEX($A2055:$J2055,$M$6)="","",INDEX($A2055:$J2055,$M$6)&amp;"")</f>
        <v/>
      </c>
      <c r="N2055" s="37" t="str">
        <f aca="false">IF($M2055="","",TRIM(INDEX($A2055:$J2055,$N$6)&amp;""))</f>
        <v/>
      </c>
      <c r="O2055" s="37" t="str">
        <f aca="false">IF($M2055="","",TRIM(INDEX($A2055:$J2055,$O$6)&amp;""))</f>
        <v/>
      </c>
      <c r="P2055" s="37" t="str">
        <f aca="false">IF($M2055="","",IFERROR(IF(INDEX(Settings!$B$41:$B$50,MATCH(O2055,Settings!$A$41:$A$50,0))&amp;""="","UNMAPPED",INDEX(Settings!$B$41:$B$50,MATCH(O2055,Settings!$A$41:$A$50,0))&amp;""),"UNMAPPED"))</f>
        <v/>
      </c>
      <c r="Q2055" s="38" t="n">
        <f aca="false">IF($M2055="",0,N(INDEX($A2055:$J2055,$Q$6)))</f>
        <v>0</v>
      </c>
      <c r="R2055" s="39" t="str">
        <f aca="false">IF($M2055="","",INDEX($A2055:$J2055,$R$6))</f>
        <v/>
      </c>
      <c r="S2055" s="37" t="str">
        <f aca="false">IF($M2055="","",IFERROR(INDEX(Settings!$B$27:$B$36,MATCH(L2055,Settings!$A$27:$A$36,0))&amp;"","UNMAPPED"))</f>
        <v/>
      </c>
      <c r="T2055" s="37" t="str">
        <f aca="false">IF($M2055="","",IF(NOT(ISNUMBER(R2055)),"NO DATE",IF(S2055="Won",IF(R2055&gt;Settings!$B$5,"Backlog","Delivered"),IF(S2055="Open",IF(R2055&gt;Settings!$B$5,"Pipeline","Overdue"),IF(S2055="Lost","Lost","UNMAPPED")))))</f>
        <v/>
      </c>
      <c r="U2055" s="40" t="n">
        <f aca="false">IF(T2055="Backlog",1,IF(OR(T2055="Pipeline",T2055="Overdue"),N(INDEX(Settings!$C$27:$C$36,MATCH(L2055,Settings!$A$27:$A$36,0))),0))</f>
        <v>0</v>
      </c>
      <c r="V2055" s="38" t="n">
        <f aca="false">Q2055*U2055</f>
        <v>0</v>
      </c>
      <c r="W2055" s="41" t="str">
        <f aca="false">IF($M2055="","",IF(T2055="Overdue",IF(Settings!$B$8="Yes",Settings!$B$7,""),IF(ISNUMBER(R2055),DATE(YEAR(R2055),MONTH(R2055),1),"")))</f>
        <v/>
      </c>
      <c r="X2055" s="38" t="n">
        <f aca="false">IF(AND(OR(T2055="Backlog",T2055="Pipeline",T2055="Overdue"),ISNUMBER(W2055)),IF(W2055&lt;=Settings!$B$6,V2055,0),0)</f>
        <v>0</v>
      </c>
      <c r="Y2055" s="38" t="n">
        <f aca="false">IF(AND(OR(T2055="Backlog",T2055="Pipeline",T2055="Overdue"),ISNUMBER(W2055)),IF(W2055&lt;=Settings!$B$6,Q2055,0),0)</f>
        <v>0</v>
      </c>
      <c r="Z2055" s="38" t="n">
        <f aca="false">IF(Y2055=0,0,IF(T2055="Backlog",Q2055,Q2055*Dashboard!$C$10))</f>
        <v>0</v>
      </c>
      <c r="AA2055" s="37" t="n">
        <f aca="false">IF($N2055="",0,IF(COUNTIF(Dashboard!$C$13:$C$22,$N2055)&gt;0,1,0))</f>
        <v>0</v>
      </c>
      <c r="AB2055" s="37" t="str">
        <f aca="false">IF($N2055="","",IF(COUNTIF($N$8:$N2055,$N2055)=1,MAX($AB$7:$AB2054)+1,""))</f>
        <v/>
      </c>
    </row>
    <row r="2056" customFormat="false" ht="15" hidden="false" customHeight="false" outlineLevel="0" collapsed="false">
      <c r="L2056" s="37" t="str">
        <f aca="false">IF(INDEX($A2056:$J2056,$L$6)&lt;&gt;"",TRIM(LEFT(INDEX($A2056:$J2056,$L$6),FIND("(",INDEX($A2056:$J2056,$L$6)&amp;"(")-1)),L2055)</f>
        <v>Building Value Proposition</v>
      </c>
      <c r="M2056" s="37" t="str">
        <f aca="false">IF(INDEX($A2056:$J2056,$M$6)="","",INDEX($A2056:$J2056,$M$6)&amp;"")</f>
        <v/>
      </c>
      <c r="N2056" s="37" t="str">
        <f aca="false">IF($M2056="","",TRIM(INDEX($A2056:$J2056,$N$6)&amp;""))</f>
        <v/>
      </c>
      <c r="O2056" s="37" t="str">
        <f aca="false">IF($M2056="","",TRIM(INDEX($A2056:$J2056,$O$6)&amp;""))</f>
        <v/>
      </c>
      <c r="P2056" s="37" t="str">
        <f aca="false">IF($M2056="","",IFERROR(IF(INDEX(Settings!$B$41:$B$50,MATCH(O2056,Settings!$A$41:$A$50,0))&amp;""="","UNMAPPED",INDEX(Settings!$B$41:$B$50,MATCH(O2056,Settings!$A$41:$A$50,0))&amp;""),"UNMAPPED"))</f>
        <v/>
      </c>
      <c r="Q2056" s="38" t="n">
        <f aca="false">IF($M2056="",0,N(INDEX($A2056:$J2056,$Q$6)))</f>
        <v>0</v>
      </c>
      <c r="R2056" s="39" t="str">
        <f aca="false">IF($M2056="","",INDEX($A2056:$J2056,$R$6))</f>
        <v/>
      </c>
      <c r="S2056" s="37" t="str">
        <f aca="false">IF($M2056="","",IFERROR(INDEX(Settings!$B$27:$B$36,MATCH(L2056,Settings!$A$27:$A$36,0))&amp;"","UNMAPPED"))</f>
        <v/>
      </c>
      <c r="T2056" s="37" t="str">
        <f aca="false">IF($M2056="","",IF(NOT(ISNUMBER(R2056)),"NO DATE",IF(S2056="Won",IF(R2056&gt;Settings!$B$5,"Backlog","Delivered"),IF(S2056="Open",IF(R2056&gt;Settings!$B$5,"Pipeline","Overdue"),IF(S2056="Lost","Lost","UNMAPPED")))))</f>
        <v/>
      </c>
      <c r="U2056" s="40" t="n">
        <f aca="false">IF(T2056="Backlog",1,IF(OR(T2056="Pipeline",T2056="Overdue"),N(INDEX(Settings!$C$27:$C$36,MATCH(L2056,Settings!$A$27:$A$36,0))),0))</f>
        <v>0</v>
      </c>
      <c r="V2056" s="38" t="n">
        <f aca="false">Q2056*U2056</f>
        <v>0</v>
      </c>
      <c r="W2056" s="41" t="str">
        <f aca="false">IF($M2056="","",IF(T2056="Overdue",IF(Settings!$B$8="Yes",Settings!$B$7,""),IF(ISNUMBER(R2056),DATE(YEAR(R2056),MONTH(R2056),1),"")))</f>
        <v/>
      </c>
      <c r="X2056" s="38" t="n">
        <f aca="false">IF(AND(OR(T2056="Backlog",T2056="Pipeline",T2056="Overdue"),ISNUMBER(W2056)),IF(W2056&lt;=Settings!$B$6,V2056,0),0)</f>
        <v>0</v>
      </c>
      <c r="Y2056" s="38" t="n">
        <f aca="false">IF(AND(OR(T2056="Backlog",T2056="Pipeline",T2056="Overdue"),ISNUMBER(W2056)),IF(W2056&lt;=Settings!$B$6,Q2056,0),0)</f>
        <v>0</v>
      </c>
      <c r="Z2056" s="38" t="n">
        <f aca="false">IF(Y2056=0,0,IF(T2056="Backlog",Q2056,Q2056*Dashboard!$C$10))</f>
        <v>0</v>
      </c>
      <c r="AA2056" s="37" t="n">
        <f aca="false">IF($N2056="",0,IF(COUNTIF(Dashboard!$C$13:$C$22,$N2056)&gt;0,1,0))</f>
        <v>0</v>
      </c>
      <c r="AB2056" s="37" t="str">
        <f aca="false">IF($N2056="","",IF(COUNTIF($N$8:$N2056,$N2056)=1,MAX($AB$7:$AB2055)+1,""))</f>
        <v/>
      </c>
    </row>
    <row r="2057" customFormat="false" ht="15" hidden="false" customHeight="false" outlineLevel="0" collapsed="false">
      <c r="L2057" s="37" t="str">
        <f aca="false">IF(INDEX($A2057:$J2057,$L$6)&lt;&gt;"",TRIM(LEFT(INDEX($A2057:$J2057,$L$6),FIND("(",INDEX($A2057:$J2057,$L$6)&amp;"(")-1)),L2056)</f>
        <v>Building Value Proposition</v>
      </c>
      <c r="M2057" s="37" t="str">
        <f aca="false">IF(INDEX($A2057:$J2057,$M$6)="","",INDEX($A2057:$J2057,$M$6)&amp;"")</f>
        <v/>
      </c>
      <c r="N2057" s="37" t="str">
        <f aca="false">IF($M2057="","",TRIM(INDEX($A2057:$J2057,$N$6)&amp;""))</f>
        <v/>
      </c>
      <c r="O2057" s="37" t="str">
        <f aca="false">IF($M2057="","",TRIM(INDEX($A2057:$J2057,$O$6)&amp;""))</f>
        <v/>
      </c>
      <c r="P2057" s="37" t="str">
        <f aca="false">IF($M2057="","",IFERROR(IF(INDEX(Settings!$B$41:$B$50,MATCH(O2057,Settings!$A$41:$A$50,0))&amp;""="","UNMAPPED",INDEX(Settings!$B$41:$B$50,MATCH(O2057,Settings!$A$41:$A$50,0))&amp;""),"UNMAPPED"))</f>
        <v/>
      </c>
      <c r="Q2057" s="38" t="n">
        <f aca="false">IF($M2057="",0,N(INDEX($A2057:$J2057,$Q$6)))</f>
        <v>0</v>
      </c>
      <c r="R2057" s="39" t="str">
        <f aca="false">IF($M2057="","",INDEX($A2057:$J2057,$R$6))</f>
        <v/>
      </c>
      <c r="S2057" s="37" t="str">
        <f aca="false">IF($M2057="","",IFERROR(INDEX(Settings!$B$27:$B$36,MATCH(L2057,Settings!$A$27:$A$36,0))&amp;"","UNMAPPED"))</f>
        <v/>
      </c>
      <c r="T2057" s="37" t="str">
        <f aca="false">IF($M2057="","",IF(NOT(ISNUMBER(R2057)),"NO DATE",IF(S2057="Won",IF(R2057&gt;Settings!$B$5,"Backlog","Delivered"),IF(S2057="Open",IF(R2057&gt;Settings!$B$5,"Pipeline","Overdue"),IF(S2057="Lost","Lost","UNMAPPED")))))</f>
        <v/>
      </c>
      <c r="U2057" s="40" t="n">
        <f aca="false">IF(T2057="Backlog",1,IF(OR(T2057="Pipeline",T2057="Overdue"),N(INDEX(Settings!$C$27:$C$36,MATCH(L2057,Settings!$A$27:$A$36,0))),0))</f>
        <v>0</v>
      </c>
      <c r="V2057" s="38" t="n">
        <f aca="false">Q2057*U2057</f>
        <v>0</v>
      </c>
      <c r="W2057" s="41" t="str">
        <f aca="false">IF($M2057="","",IF(T2057="Overdue",IF(Settings!$B$8="Yes",Settings!$B$7,""),IF(ISNUMBER(R2057),DATE(YEAR(R2057),MONTH(R2057),1),"")))</f>
        <v/>
      </c>
      <c r="X2057" s="38" t="n">
        <f aca="false">IF(AND(OR(T2057="Backlog",T2057="Pipeline",T2057="Overdue"),ISNUMBER(W2057)),IF(W2057&lt;=Settings!$B$6,V2057,0),0)</f>
        <v>0</v>
      </c>
      <c r="Y2057" s="38" t="n">
        <f aca="false">IF(AND(OR(T2057="Backlog",T2057="Pipeline",T2057="Overdue"),ISNUMBER(W2057)),IF(W2057&lt;=Settings!$B$6,Q2057,0),0)</f>
        <v>0</v>
      </c>
      <c r="Z2057" s="38" t="n">
        <f aca="false">IF(Y2057=0,0,IF(T2057="Backlog",Q2057,Q2057*Dashboard!$C$10))</f>
        <v>0</v>
      </c>
      <c r="AA2057" s="37" t="n">
        <f aca="false">IF($N2057="",0,IF(COUNTIF(Dashboard!$C$13:$C$22,$N2057)&gt;0,1,0))</f>
        <v>0</v>
      </c>
      <c r="AB2057" s="37" t="str">
        <f aca="false">IF($N2057="","",IF(COUNTIF($N$8:$N2057,$N2057)=1,MAX($AB$7:$AB2056)+1,""))</f>
        <v/>
      </c>
    </row>
    <row r="2058" customFormat="false" ht="15" hidden="false" customHeight="false" outlineLevel="0" collapsed="false">
      <c r="L2058" s="37" t="str">
        <f aca="false">IF(INDEX($A2058:$J2058,$L$6)&lt;&gt;"",TRIM(LEFT(INDEX($A2058:$J2058,$L$6),FIND("(",INDEX($A2058:$J2058,$L$6)&amp;"(")-1)),L2057)</f>
        <v>Building Value Proposition</v>
      </c>
      <c r="M2058" s="37" t="str">
        <f aca="false">IF(INDEX($A2058:$J2058,$M$6)="","",INDEX($A2058:$J2058,$M$6)&amp;"")</f>
        <v/>
      </c>
      <c r="N2058" s="37" t="str">
        <f aca="false">IF($M2058="","",TRIM(INDEX($A2058:$J2058,$N$6)&amp;""))</f>
        <v/>
      </c>
      <c r="O2058" s="37" t="str">
        <f aca="false">IF($M2058="","",TRIM(INDEX($A2058:$J2058,$O$6)&amp;""))</f>
        <v/>
      </c>
      <c r="P2058" s="37" t="str">
        <f aca="false">IF($M2058="","",IFERROR(IF(INDEX(Settings!$B$41:$B$50,MATCH(O2058,Settings!$A$41:$A$50,0))&amp;""="","UNMAPPED",INDEX(Settings!$B$41:$B$50,MATCH(O2058,Settings!$A$41:$A$50,0))&amp;""),"UNMAPPED"))</f>
        <v/>
      </c>
      <c r="Q2058" s="38" t="n">
        <f aca="false">IF($M2058="",0,N(INDEX($A2058:$J2058,$Q$6)))</f>
        <v>0</v>
      </c>
      <c r="R2058" s="39" t="str">
        <f aca="false">IF($M2058="","",INDEX($A2058:$J2058,$R$6))</f>
        <v/>
      </c>
      <c r="S2058" s="37" t="str">
        <f aca="false">IF($M2058="","",IFERROR(INDEX(Settings!$B$27:$B$36,MATCH(L2058,Settings!$A$27:$A$36,0))&amp;"","UNMAPPED"))</f>
        <v/>
      </c>
      <c r="T2058" s="37" t="str">
        <f aca="false">IF($M2058="","",IF(NOT(ISNUMBER(R2058)),"NO DATE",IF(S2058="Won",IF(R2058&gt;Settings!$B$5,"Backlog","Delivered"),IF(S2058="Open",IF(R2058&gt;Settings!$B$5,"Pipeline","Overdue"),IF(S2058="Lost","Lost","UNMAPPED")))))</f>
        <v/>
      </c>
      <c r="U2058" s="40" t="n">
        <f aca="false">IF(T2058="Backlog",1,IF(OR(T2058="Pipeline",T2058="Overdue"),N(INDEX(Settings!$C$27:$C$36,MATCH(L2058,Settings!$A$27:$A$36,0))),0))</f>
        <v>0</v>
      </c>
      <c r="V2058" s="38" t="n">
        <f aca="false">Q2058*U2058</f>
        <v>0</v>
      </c>
      <c r="W2058" s="41" t="str">
        <f aca="false">IF($M2058="","",IF(T2058="Overdue",IF(Settings!$B$8="Yes",Settings!$B$7,""),IF(ISNUMBER(R2058),DATE(YEAR(R2058),MONTH(R2058),1),"")))</f>
        <v/>
      </c>
      <c r="X2058" s="38" t="n">
        <f aca="false">IF(AND(OR(T2058="Backlog",T2058="Pipeline",T2058="Overdue"),ISNUMBER(W2058)),IF(W2058&lt;=Settings!$B$6,V2058,0),0)</f>
        <v>0</v>
      </c>
      <c r="Y2058" s="38" t="n">
        <f aca="false">IF(AND(OR(T2058="Backlog",T2058="Pipeline",T2058="Overdue"),ISNUMBER(W2058)),IF(W2058&lt;=Settings!$B$6,Q2058,0),0)</f>
        <v>0</v>
      </c>
      <c r="Z2058" s="38" t="n">
        <f aca="false">IF(Y2058=0,0,IF(T2058="Backlog",Q2058,Q2058*Dashboard!$C$10))</f>
        <v>0</v>
      </c>
      <c r="AA2058" s="37" t="n">
        <f aca="false">IF($N2058="",0,IF(COUNTIF(Dashboard!$C$13:$C$22,$N2058)&gt;0,1,0))</f>
        <v>0</v>
      </c>
      <c r="AB2058" s="37" t="str">
        <f aca="false">IF($N2058="","",IF(COUNTIF($N$8:$N2058,$N2058)=1,MAX($AB$7:$AB2057)+1,""))</f>
        <v/>
      </c>
    </row>
    <row r="2059" customFormat="false" ht="15" hidden="false" customHeight="false" outlineLevel="0" collapsed="false">
      <c r="L2059" s="37" t="str">
        <f aca="false">IF(INDEX($A2059:$J2059,$L$6)&lt;&gt;"",TRIM(LEFT(INDEX($A2059:$J2059,$L$6),FIND("(",INDEX($A2059:$J2059,$L$6)&amp;"(")-1)),L2058)</f>
        <v>Building Value Proposition</v>
      </c>
      <c r="M2059" s="37" t="str">
        <f aca="false">IF(INDEX($A2059:$J2059,$M$6)="","",INDEX($A2059:$J2059,$M$6)&amp;"")</f>
        <v/>
      </c>
      <c r="N2059" s="37" t="str">
        <f aca="false">IF($M2059="","",TRIM(INDEX($A2059:$J2059,$N$6)&amp;""))</f>
        <v/>
      </c>
      <c r="O2059" s="37" t="str">
        <f aca="false">IF($M2059="","",TRIM(INDEX($A2059:$J2059,$O$6)&amp;""))</f>
        <v/>
      </c>
      <c r="P2059" s="37" t="str">
        <f aca="false">IF($M2059="","",IFERROR(IF(INDEX(Settings!$B$41:$B$50,MATCH(O2059,Settings!$A$41:$A$50,0))&amp;""="","UNMAPPED",INDEX(Settings!$B$41:$B$50,MATCH(O2059,Settings!$A$41:$A$50,0))&amp;""),"UNMAPPED"))</f>
        <v/>
      </c>
      <c r="Q2059" s="38" t="n">
        <f aca="false">IF($M2059="",0,N(INDEX($A2059:$J2059,$Q$6)))</f>
        <v>0</v>
      </c>
      <c r="R2059" s="39" t="str">
        <f aca="false">IF($M2059="","",INDEX($A2059:$J2059,$R$6))</f>
        <v/>
      </c>
      <c r="S2059" s="37" t="str">
        <f aca="false">IF($M2059="","",IFERROR(INDEX(Settings!$B$27:$B$36,MATCH(L2059,Settings!$A$27:$A$36,0))&amp;"","UNMAPPED"))</f>
        <v/>
      </c>
      <c r="T2059" s="37" t="str">
        <f aca="false">IF($M2059="","",IF(NOT(ISNUMBER(R2059)),"NO DATE",IF(S2059="Won",IF(R2059&gt;Settings!$B$5,"Backlog","Delivered"),IF(S2059="Open",IF(R2059&gt;Settings!$B$5,"Pipeline","Overdue"),IF(S2059="Lost","Lost","UNMAPPED")))))</f>
        <v/>
      </c>
      <c r="U2059" s="40" t="n">
        <f aca="false">IF(T2059="Backlog",1,IF(OR(T2059="Pipeline",T2059="Overdue"),N(INDEX(Settings!$C$27:$C$36,MATCH(L2059,Settings!$A$27:$A$36,0))),0))</f>
        <v>0</v>
      </c>
      <c r="V2059" s="38" t="n">
        <f aca="false">Q2059*U2059</f>
        <v>0</v>
      </c>
      <c r="W2059" s="41" t="str">
        <f aca="false">IF($M2059="","",IF(T2059="Overdue",IF(Settings!$B$8="Yes",Settings!$B$7,""),IF(ISNUMBER(R2059),DATE(YEAR(R2059),MONTH(R2059),1),"")))</f>
        <v/>
      </c>
      <c r="X2059" s="38" t="n">
        <f aca="false">IF(AND(OR(T2059="Backlog",T2059="Pipeline",T2059="Overdue"),ISNUMBER(W2059)),IF(W2059&lt;=Settings!$B$6,V2059,0),0)</f>
        <v>0</v>
      </c>
      <c r="Y2059" s="38" t="n">
        <f aca="false">IF(AND(OR(T2059="Backlog",T2059="Pipeline",T2059="Overdue"),ISNUMBER(W2059)),IF(W2059&lt;=Settings!$B$6,Q2059,0),0)</f>
        <v>0</v>
      </c>
      <c r="Z2059" s="38" t="n">
        <f aca="false">IF(Y2059=0,0,IF(T2059="Backlog",Q2059,Q2059*Dashboard!$C$10))</f>
        <v>0</v>
      </c>
      <c r="AA2059" s="37" t="n">
        <f aca="false">IF($N2059="",0,IF(COUNTIF(Dashboard!$C$13:$C$22,$N2059)&gt;0,1,0))</f>
        <v>0</v>
      </c>
      <c r="AB2059" s="37" t="str">
        <f aca="false">IF($N2059="","",IF(COUNTIF($N$8:$N2059,$N2059)=1,MAX($AB$7:$AB2058)+1,""))</f>
        <v/>
      </c>
    </row>
    <row r="2060" customFormat="false" ht="15" hidden="false" customHeight="false" outlineLevel="0" collapsed="false">
      <c r="L2060" s="37" t="str">
        <f aca="false">IF(INDEX($A2060:$J2060,$L$6)&lt;&gt;"",TRIM(LEFT(INDEX($A2060:$J2060,$L$6),FIND("(",INDEX($A2060:$J2060,$L$6)&amp;"(")-1)),L2059)</f>
        <v>Building Value Proposition</v>
      </c>
      <c r="M2060" s="37" t="str">
        <f aca="false">IF(INDEX($A2060:$J2060,$M$6)="","",INDEX($A2060:$J2060,$M$6)&amp;"")</f>
        <v/>
      </c>
      <c r="N2060" s="37" t="str">
        <f aca="false">IF($M2060="","",TRIM(INDEX($A2060:$J2060,$N$6)&amp;""))</f>
        <v/>
      </c>
      <c r="O2060" s="37" t="str">
        <f aca="false">IF($M2060="","",TRIM(INDEX($A2060:$J2060,$O$6)&amp;""))</f>
        <v/>
      </c>
      <c r="P2060" s="37" t="str">
        <f aca="false">IF($M2060="","",IFERROR(IF(INDEX(Settings!$B$41:$B$50,MATCH(O2060,Settings!$A$41:$A$50,0))&amp;""="","UNMAPPED",INDEX(Settings!$B$41:$B$50,MATCH(O2060,Settings!$A$41:$A$50,0))&amp;""),"UNMAPPED"))</f>
        <v/>
      </c>
      <c r="Q2060" s="38" t="n">
        <f aca="false">IF($M2060="",0,N(INDEX($A2060:$J2060,$Q$6)))</f>
        <v>0</v>
      </c>
      <c r="R2060" s="39" t="str">
        <f aca="false">IF($M2060="","",INDEX($A2060:$J2060,$R$6))</f>
        <v/>
      </c>
      <c r="S2060" s="37" t="str">
        <f aca="false">IF($M2060="","",IFERROR(INDEX(Settings!$B$27:$B$36,MATCH(L2060,Settings!$A$27:$A$36,0))&amp;"","UNMAPPED"))</f>
        <v/>
      </c>
      <c r="T2060" s="37" t="str">
        <f aca="false">IF($M2060="","",IF(NOT(ISNUMBER(R2060)),"NO DATE",IF(S2060="Won",IF(R2060&gt;Settings!$B$5,"Backlog","Delivered"),IF(S2060="Open",IF(R2060&gt;Settings!$B$5,"Pipeline","Overdue"),IF(S2060="Lost","Lost","UNMAPPED")))))</f>
        <v/>
      </c>
      <c r="U2060" s="40" t="n">
        <f aca="false">IF(T2060="Backlog",1,IF(OR(T2060="Pipeline",T2060="Overdue"),N(INDEX(Settings!$C$27:$C$36,MATCH(L2060,Settings!$A$27:$A$36,0))),0))</f>
        <v>0</v>
      </c>
      <c r="V2060" s="38" t="n">
        <f aca="false">Q2060*U2060</f>
        <v>0</v>
      </c>
      <c r="W2060" s="41" t="str">
        <f aca="false">IF($M2060="","",IF(T2060="Overdue",IF(Settings!$B$8="Yes",Settings!$B$7,""),IF(ISNUMBER(R2060),DATE(YEAR(R2060),MONTH(R2060),1),"")))</f>
        <v/>
      </c>
      <c r="X2060" s="38" t="n">
        <f aca="false">IF(AND(OR(T2060="Backlog",T2060="Pipeline",T2060="Overdue"),ISNUMBER(W2060)),IF(W2060&lt;=Settings!$B$6,V2060,0),0)</f>
        <v>0</v>
      </c>
      <c r="Y2060" s="38" t="n">
        <f aca="false">IF(AND(OR(T2060="Backlog",T2060="Pipeline",T2060="Overdue"),ISNUMBER(W2060)),IF(W2060&lt;=Settings!$B$6,Q2060,0),0)</f>
        <v>0</v>
      </c>
      <c r="Z2060" s="38" t="n">
        <f aca="false">IF(Y2060=0,0,IF(T2060="Backlog",Q2060,Q2060*Dashboard!$C$10))</f>
        <v>0</v>
      </c>
      <c r="AA2060" s="37" t="n">
        <f aca="false">IF($N2060="",0,IF(COUNTIF(Dashboard!$C$13:$C$22,$N2060)&gt;0,1,0))</f>
        <v>0</v>
      </c>
      <c r="AB2060" s="37" t="str">
        <f aca="false">IF($N2060="","",IF(COUNTIF($N$8:$N2060,$N2060)=1,MAX($AB$7:$AB2059)+1,""))</f>
        <v/>
      </c>
    </row>
    <row r="2061" customFormat="false" ht="15" hidden="false" customHeight="false" outlineLevel="0" collapsed="false">
      <c r="L2061" s="37" t="str">
        <f aca="false">IF(INDEX($A2061:$J2061,$L$6)&lt;&gt;"",TRIM(LEFT(INDEX($A2061:$J2061,$L$6),FIND("(",INDEX($A2061:$J2061,$L$6)&amp;"(")-1)),L2060)</f>
        <v>Building Value Proposition</v>
      </c>
      <c r="M2061" s="37" t="str">
        <f aca="false">IF(INDEX($A2061:$J2061,$M$6)="","",INDEX($A2061:$J2061,$M$6)&amp;"")</f>
        <v/>
      </c>
      <c r="N2061" s="37" t="str">
        <f aca="false">IF($M2061="","",TRIM(INDEX($A2061:$J2061,$N$6)&amp;""))</f>
        <v/>
      </c>
      <c r="O2061" s="37" t="str">
        <f aca="false">IF($M2061="","",TRIM(INDEX($A2061:$J2061,$O$6)&amp;""))</f>
        <v/>
      </c>
      <c r="P2061" s="37" t="str">
        <f aca="false">IF($M2061="","",IFERROR(IF(INDEX(Settings!$B$41:$B$50,MATCH(O2061,Settings!$A$41:$A$50,0))&amp;""="","UNMAPPED",INDEX(Settings!$B$41:$B$50,MATCH(O2061,Settings!$A$41:$A$50,0))&amp;""),"UNMAPPED"))</f>
        <v/>
      </c>
      <c r="Q2061" s="38" t="n">
        <f aca="false">IF($M2061="",0,N(INDEX($A2061:$J2061,$Q$6)))</f>
        <v>0</v>
      </c>
      <c r="R2061" s="39" t="str">
        <f aca="false">IF($M2061="","",INDEX($A2061:$J2061,$R$6))</f>
        <v/>
      </c>
      <c r="S2061" s="37" t="str">
        <f aca="false">IF($M2061="","",IFERROR(INDEX(Settings!$B$27:$B$36,MATCH(L2061,Settings!$A$27:$A$36,0))&amp;"","UNMAPPED"))</f>
        <v/>
      </c>
      <c r="T2061" s="37" t="str">
        <f aca="false">IF($M2061="","",IF(NOT(ISNUMBER(R2061)),"NO DATE",IF(S2061="Won",IF(R2061&gt;Settings!$B$5,"Backlog","Delivered"),IF(S2061="Open",IF(R2061&gt;Settings!$B$5,"Pipeline","Overdue"),IF(S2061="Lost","Lost","UNMAPPED")))))</f>
        <v/>
      </c>
      <c r="U2061" s="40" t="n">
        <f aca="false">IF(T2061="Backlog",1,IF(OR(T2061="Pipeline",T2061="Overdue"),N(INDEX(Settings!$C$27:$C$36,MATCH(L2061,Settings!$A$27:$A$36,0))),0))</f>
        <v>0</v>
      </c>
      <c r="V2061" s="38" t="n">
        <f aca="false">Q2061*U2061</f>
        <v>0</v>
      </c>
      <c r="W2061" s="41" t="str">
        <f aca="false">IF($M2061="","",IF(T2061="Overdue",IF(Settings!$B$8="Yes",Settings!$B$7,""),IF(ISNUMBER(R2061),DATE(YEAR(R2061),MONTH(R2061),1),"")))</f>
        <v/>
      </c>
      <c r="X2061" s="38" t="n">
        <f aca="false">IF(AND(OR(T2061="Backlog",T2061="Pipeline",T2061="Overdue"),ISNUMBER(W2061)),IF(W2061&lt;=Settings!$B$6,V2061,0),0)</f>
        <v>0</v>
      </c>
      <c r="Y2061" s="38" t="n">
        <f aca="false">IF(AND(OR(T2061="Backlog",T2061="Pipeline",T2061="Overdue"),ISNUMBER(W2061)),IF(W2061&lt;=Settings!$B$6,Q2061,0),0)</f>
        <v>0</v>
      </c>
      <c r="Z2061" s="38" t="n">
        <f aca="false">IF(Y2061=0,0,IF(T2061="Backlog",Q2061,Q2061*Dashboard!$C$10))</f>
        <v>0</v>
      </c>
      <c r="AA2061" s="37" t="n">
        <f aca="false">IF($N2061="",0,IF(COUNTIF(Dashboard!$C$13:$C$22,$N2061)&gt;0,1,0))</f>
        <v>0</v>
      </c>
      <c r="AB2061" s="37" t="str">
        <f aca="false">IF($N2061="","",IF(COUNTIF($N$8:$N2061,$N2061)=1,MAX($AB$7:$AB2060)+1,""))</f>
        <v/>
      </c>
    </row>
    <row r="2062" customFormat="false" ht="15" hidden="false" customHeight="false" outlineLevel="0" collapsed="false">
      <c r="L2062" s="37" t="str">
        <f aca="false">IF(INDEX($A2062:$J2062,$L$6)&lt;&gt;"",TRIM(LEFT(INDEX($A2062:$J2062,$L$6),FIND("(",INDEX($A2062:$J2062,$L$6)&amp;"(")-1)),L2061)</f>
        <v>Building Value Proposition</v>
      </c>
      <c r="M2062" s="37" t="str">
        <f aca="false">IF(INDEX($A2062:$J2062,$M$6)="","",INDEX($A2062:$J2062,$M$6)&amp;"")</f>
        <v/>
      </c>
      <c r="N2062" s="37" t="str">
        <f aca="false">IF($M2062="","",TRIM(INDEX($A2062:$J2062,$N$6)&amp;""))</f>
        <v/>
      </c>
      <c r="O2062" s="37" t="str">
        <f aca="false">IF($M2062="","",TRIM(INDEX($A2062:$J2062,$O$6)&amp;""))</f>
        <v/>
      </c>
      <c r="P2062" s="37" t="str">
        <f aca="false">IF($M2062="","",IFERROR(IF(INDEX(Settings!$B$41:$B$50,MATCH(O2062,Settings!$A$41:$A$50,0))&amp;""="","UNMAPPED",INDEX(Settings!$B$41:$B$50,MATCH(O2062,Settings!$A$41:$A$50,0))&amp;""),"UNMAPPED"))</f>
        <v/>
      </c>
      <c r="Q2062" s="38" t="n">
        <f aca="false">IF($M2062="",0,N(INDEX($A2062:$J2062,$Q$6)))</f>
        <v>0</v>
      </c>
      <c r="R2062" s="39" t="str">
        <f aca="false">IF($M2062="","",INDEX($A2062:$J2062,$R$6))</f>
        <v/>
      </c>
      <c r="S2062" s="37" t="str">
        <f aca="false">IF($M2062="","",IFERROR(INDEX(Settings!$B$27:$B$36,MATCH(L2062,Settings!$A$27:$A$36,0))&amp;"","UNMAPPED"))</f>
        <v/>
      </c>
      <c r="T2062" s="37" t="str">
        <f aca="false">IF($M2062="","",IF(NOT(ISNUMBER(R2062)),"NO DATE",IF(S2062="Won",IF(R2062&gt;Settings!$B$5,"Backlog","Delivered"),IF(S2062="Open",IF(R2062&gt;Settings!$B$5,"Pipeline","Overdue"),IF(S2062="Lost","Lost","UNMAPPED")))))</f>
        <v/>
      </c>
      <c r="U2062" s="40" t="n">
        <f aca="false">IF(T2062="Backlog",1,IF(OR(T2062="Pipeline",T2062="Overdue"),N(INDEX(Settings!$C$27:$C$36,MATCH(L2062,Settings!$A$27:$A$36,0))),0))</f>
        <v>0</v>
      </c>
      <c r="V2062" s="38" t="n">
        <f aca="false">Q2062*U2062</f>
        <v>0</v>
      </c>
      <c r="W2062" s="41" t="str">
        <f aca="false">IF($M2062="","",IF(T2062="Overdue",IF(Settings!$B$8="Yes",Settings!$B$7,""),IF(ISNUMBER(R2062),DATE(YEAR(R2062),MONTH(R2062),1),"")))</f>
        <v/>
      </c>
      <c r="X2062" s="38" t="n">
        <f aca="false">IF(AND(OR(T2062="Backlog",T2062="Pipeline",T2062="Overdue"),ISNUMBER(W2062)),IF(W2062&lt;=Settings!$B$6,V2062,0),0)</f>
        <v>0</v>
      </c>
      <c r="Y2062" s="38" t="n">
        <f aca="false">IF(AND(OR(T2062="Backlog",T2062="Pipeline",T2062="Overdue"),ISNUMBER(W2062)),IF(W2062&lt;=Settings!$B$6,Q2062,0),0)</f>
        <v>0</v>
      </c>
      <c r="Z2062" s="38" t="n">
        <f aca="false">IF(Y2062=0,0,IF(T2062="Backlog",Q2062,Q2062*Dashboard!$C$10))</f>
        <v>0</v>
      </c>
      <c r="AA2062" s="37" t="n">
        <f aca="false">IF($N2062="",0,IF(COUNTIF(Dashboard!$C$13:$C$22,$N2062)&gt;0,1,0))</f>
        <v>0</v>
      </c>
      <c r="AB2062" s="37" t="str">
        <f aca="false">IF($N2062="","",IF(COUNTIF($N$8:$N2062,$N2062)=1,MAX($AB$7:$AB2061)+1,""))</f>
        <v/>
      </c>
    </row>
    <row r="2063" customFormat="false" ht="15" hidden="false" customHeight="false" outlineLevel="0" collapsed="false">
      <c r="L2063" s="37" t="str">
        <f aca="false">IF(INDEX($A2063:$J2063,$L$6)&lt;&gt;"",TRIM(LEFT(INDEX($A2063:$J2063,$L$6),FIND("(",INDEX($A2063:$J2063,$L$6)&amp;"(")-1)),L2062)</f>
        <v>Building Value Proposition</v>
      </c>
      <c r="M2063" s="37" t="str">
        <f aca="false">IF(INDEX($A2063:$J2063,$M$6)="","",INDEX($A2063:$J2063,$M$6)&amp;"")</f>
        <v/>
      </c>
      <c r="N2063" s="37" t="str">
        <f aca="false">IF($M2063="","",TRIM(INDEX($A2063:$J2063,$N$6)&amp;""))</f>
        <v/>
      </c>
      <c r="O2063" s="37" t="str">
        <f aca="false">IF($M2063="","",TRIM(INDEX($A2063:$J2063,$O$6)&amp;""))</f>
        <v/>
      </c>
      <c r="P2063" s="37" t="str">
        <f aca="false">IF($M2063="","",IFERROR(IF(INDEX(Settings!$B$41:$B$50,MATCH(O2063,Settings!$A$41:$A$50,0))&amp;""="","UNMAPPED",INDEX(Settings!$B$41:$B$50,MATCH(O2063,Settings!$A$41:$A$50,0))&amp;""),"UNMAPPED"))</f>
        <v/>
      </c>
      <c r="Q2063" s="38" t="n">
        <f aca="false">IF($M2063="",0,N(INDEX($A2063:$J2063,$Q$6)))</f>
        <v>0</v>
      </c>
      <c r="R2063" s="39" t="str">
        <f aca="false">IF($M2063="","",INDEX($A2063:$J2063,$R$6))</f>
        <v/>
      </c>
      <c r="S2063" s="37" t="str">
        <f aca="false">IF($M2063="","",IFERROR(INDEX(Settings!$B$27:$B$36,MATCH(L2063,Settings!$A$27:$A$36,0))&amp;"","UNMAPPED"))</f>
        <v/>
      </c>
      <c r="T2063" s="37" t="str">
        <f aca="false">IF($M2063="","",IF(NOT(ISNUMBER(R2063)),"NO DATE",IF(S2063="Won",IF(R2063&gt;Settings!$B$5,"Backlog","Delivered"),IF(S2063="Open",IF(R2063&gt;Settings!$B$5,"Pipeline","Overdue"),IF(S2063="Lost","Lost","UNMAPPED")))))</f>
        <v/>
      </c>
      <c r="U2063" s="40" t="n">
        <f aca="false">IF(T2063="Backlog",1,IF(OR(T2063="Pipeline",T2063="Overdue"),N(INDEX(Settings!$C$27:$C$36,MATCH(L2063,Settings!$A$27:$A$36,0))),0))</f>
        <v>0</v>
      </c>
      <c r="V2063" s="38" t="n">
        <f aca="false">Q2063*U2063</f>
        <v>0</v>
      </c>
      <c r="W2063" s="41" t="str">
        <f aca="false">IF($M2063="","",IF(T2063="Overdue",IF(Settings!$B$8="Yes",Settings!$B$7,""),IF(ISNUMBER(R2063),DATE(YEAR(R2063),MONTH(R2063),1),"")))</f>
        <v/>
      </c>
      <c r="X2063" s="38" t="n">
        <f aca="false">IF(AND(OR(T2063="Backlog",T2063="Pipeline",T2063="Overdue"),ISNUMBER(W2063)),IF(W2063&lt;=Settings!$B$6,V2063,0),0)</f>
        <v>0</v>
      </c>
      <c r="Y2063" s="38" t="n">
        <f aca="false">IF(AND(OR(T2063="Backlog",T2063="Pipeline",T2063="Overdue"),ISNUMBER(W2063)),IF(W2063&lt;=Settings!$B$6,Q2063,0),0)</f>
        <v>0</v>
      </c>
      <c r="Z2063" s="38" t="n">
        <f aca="false">IF(Y2063=0,0,IF(T2063="Backlog",Q2063,Q2063*Dashboard!$C$10))</f>
        <v>0</v>
      </c>
      <c r="AA2063" s="37" t="n">
        <f aca="false">IF($N2063="",0,IF(COUNTIF(Dashboard!$C$13:$C$22,$N2063)&gt;0,1,0))</f>
        <v>0</v>
      </c>
      <c r="AB2063" s="37" t="str">
        <f aca="false">IF($N2063="","",IF(COUNTIF($N$8:$N2063,$N2063)=1,MAX($AB$7:$AB2062)+1,""))</f>
        <v/>
      </c>
    </row>
    <row r="2064" customFormat="false" ht="15" hidden="false" customHeight="false" outlineLevel="0" collapsed="false">
      <c r="L2064" s="37" t="str">
        <f aca="false">IF(INDEX($A2064:$J2064,$L$6)&lt;&gt;"",TRIM(LEFT(INDEX($A2064:$J2064,$L$6),FIND("(",INDEX($A2064:$J2064,$L$6)&amp;"(")-1)),L2063)</f>
        <v>Building Value Proposition</v>
      </c>
      <c r="M2064" s="37" t="str">
        <f aca="false">IF(INDEX($A2064:$J2064,$M$6)="","",INDEX($A2064:$J2064,$M$6)&amp;"")</f>
        <v/>
      </c>
      <c r="N2064" s="37" t="str">
        <f aca="false">IF($M2064="","",TRIM(INDEX($A2064:$J2064,$N$6)&amp;""))</f>
        <v/>
      </c>
      <c r="O2064" s="37" t="str">
        <f aca="false">IF($M2064="","",TRIM(INDEX($A2064:$J2064,$O$6)&amp;""))</f>
        <v/>
      </c>
      <c r="P2064" s="37" t="str">
        <f aca="false">IF($M2064="","",IFERROR(IF(INDEX(Settings!$B$41:$B$50,MATCH(O2064,Settings!$A$41:$A$50,0))&amp;""="","UNMAPPED",INDEX(Settings!$B$41:$B$50,MATCH(O2064,Settings!$A$41:$A$50,0))&amp;""),"UNMAPPED"))</f>
        <v/>
      </c>
      <c r="Q2064" s="38" t="n">
        <f aca="false">IF($M2064="",0,N(INDEX($A2064:$J2064,$Q$6)))</f>
        <v>0</v>
      </c>
      <c r="R2064" s="39" t="str">
        <f aca="false">IF($M2064="","",INDEX($A2064:$J2064,$R$6))</f>
        <v/>
      </c>
      <c r="S2064" s="37" t="str">
        <f aca="false">IF($M2064="","",IFERROR(INDEX(Settings!$B$27:$B$36,MATCH(L2064,Settings!$A$27:$A$36,0))&amp;"","UNMAPPED"))</f>
        <v/>
      </c>
      <c r="T2064" s="37" t="str">
        <f aca="false">IF($M2064="","",IF(NOT(ISNUMBER(R2064)),"NO DATE",IF(S2064="Won",IF(R2064&gt;Settings!$B$5,"Backlog","Delivered"),IF(S2064="Open",IF(R2064&gt;Settings!$B$5,"Pipeline","Overdue"),IF(S2064="Lost","Lost","UNMAPPED")))))</f>
        <v/>
      </c>
      <c r="U2064" s="40" t="n">
        <f aca="false">IF(T2064="Backlog",1,IF(OR(T2064="Pipeline",T2064="Overdue"),N(INDEX(Settings!$C$27:$C$36,MATCH(L2064,Settings!$A$27:$A$36,0))),0))</f>
        <v>0</v>
      </c>
      <c r="V2064" s="38" t="n">
        <f aca="false">Q2064*U2064</f>
        <v>0</v>
      </c>
      <c r="W2064" s="41" t="str">
        <f aca="false">IF($M2064="","",IF(T2064="Overdue",IF(Settings!$B$8="Yes",Settings!$B$7,""),IF(ISNUMBER(R2064),DATE(YEAR(R2064),MONTH(R2064),1),"")))</f>
        <v/>
      </c>
      <c r="X2064" s="38" t="n">
        <f aca="false">IF(AND(OR(T2064="Backlog",T2064="Pipeline",T2064="Overdue"),ISNUMBER(W2064)),IF(W2064&lt;=Settings!$B$6,V2064,0),0)</f>
        <v>0</v>
      </c>
      <c r="Y2064" s="38" t="n">
        <f aca="false">IF(AND(OR(T2064="Backlog",T2064="Pipeline",T2064="Overdue"),ISNUMBER(W2064)),IF(W2064&lt;=Settings!$B$6,Q2064,0),0)</f>
        <v>0</v>
      </c>
      <c r="Z2064" s="38" t="n">
        <f aca="false">IF(Y2064=0,0,IF(T2064="Backlog",Q2064,Q2064*Dashboard!$C$10))</f>
        <v>0</v>
      </c>
      <c r="AA2064" s="37" t="n">
        <f aca="false">IF($N2064="",0,IF(COUNTIF(Dashboard!$C$13:$C$22,$N2064)&gt;0,1,0))</f>
        <v>0</v>
      </c>
      <c r="AB2064" s="37" t="str">
        <f aca="false">IF($N2064="","",IF(COUNTIF($N$8:$N2064,$N2064)=1,MAX($AB$7:$AB2063)+1,""))</f>
        <v/>
      </c>
    </row>
    <row r="2065" customFormat="false" ht="15" hidden="false" customHeight="false" outlineLevel="0" collapsed="false">
      <c r="L2065" s="37" t="str">
        <f aca="false">IF(INDEX($A2065:$J2065,$L$6)&lt;&gt;"",TRIM(LEFT(INDEX($A2065:$J2065,$L$6),FIND("(",INDEX($A2065:$J2065,$L$6)&amp;"(")-1)),L2064)</f>
        <v>Building Value Proposition</v>
      </c>
      <c r="M2065" s="37" t="str">
        <f aca="false">IF(INDEX($A2065:$J2065,$M$6)="","",INDEX($A2065:$J2065,$M$6)&amp;"")</f>
        <v/>
      </c>
      <c r="N2065" s="37" t="str">
        <f aca="false">IF($M2065="","",TRIM(INDEX($A2065:$J2065,$N$6)&amp;""))</f>
        <v/>
      </c>
      <c r="O2065" s="37" t="str">
        <f aca="false">IF($M2065="","",TRIM(INDEX($A2065:$J2065,$O$6)&amp;""))</f>
        <v/>
      </c>
      <c r="P2065" s="37" t="str">
        <f aca="false">IF($M2065="","",IFERROR(IF(INDEX(Settings!$B$41:$B$50,MATCH(O2065,Settings!$A$41:$A$50,0))&amp;""="","UNMAPPED",INDEX(Settings!$B$41:$B$50,MATCH(O2065,Settings!$A$41:$A$50,0))&amp;""),"UNMAPPED"))</f>
        <v/>
      </c>
      <c r="Q2065" s="38" t="n">
        <f aca="false">IF($M2065="",0,N(INDEX($A2065:$J2065,$Q$6)))</f>
        <v>0</v>
      </c>
      <c r="R2065" s="39" t="str">
        <f aca="false">IF($M2065="","",INDEX($A2065:$J2065,$R$6))</f>
        <v/>
      </c>
      <c r="S2065" s="37" t="str">
        <f aca="false">IF($M2065="","",IFERROR(INDEX(Settings!$B$27:$B$36,MATCH(L2065,Settings!$A$27:$A$36,0))&amp;"","UNMAPPED"))</f>
        <v/>
      </c>
      <c r="T2065" s="37" t="str">
        <f aca="false">IF($M2065="","",IF(NOT(ISNUMBER(R2065)),"NO DATE",IF(S2065="Won",IF(R2065&gt;Settings!$B$5,"Backlog","Delivered"),IF(S2065="Open",IF(R2065&gt;Settings!$B$5,"Pipeline","Overdue"),IF(S2065="Lost","Lost","UNMAPPED")))))</f>
        <v/>
      </c>
      <c r="U2065" s="40" t="n">
        <f aca="false">IF(T2065="Backlog",1,IF(OR(T2065="Pipeline",T2065="Overdue"),N(INDEX(Settings!$C$27:$C$36,MATCH(L2065,Settings!$A$27:$A$36,0))),0))</f>
        <v>0</v>
      </c>
      <c r="V2065" s="38" t="n">
        <f aca="false">Q2065*U2065</f>
        <v>0</v>
      </c>
      <c r="W2065" s="41" t="str">
        <f aca="false">IF($M2065="","",IF(T2065="Overdue",IF(Settings!$B$8="Yes",Settings!$B$7,""),IF(ISNUMBER(R2065),DATE(YEAR(R2065),MONTH(R2065),1),"")))</f>
        <v/>
      </c>
      <c r="X2065" s="38" t="n">
        <f aca="false">IF(AND(OR(T2065="Backlog",T2065="Pipeline",T2065="Overdue"),ISNUMBER(W2065)),IF(W2065&lt;=Settings!$B$6,V2065,0),0)</f>
        <v>0</v>
      </c>
      <c r="Y2065" s="38" t="n">
        <f aca="false">IF(AND(OR(T2065="Backlog",T2065="Pipeline",T2065="Overdue"),ISNUMBER(W2065)),IF(W2065&lt;=Settings!$B$6,Q2065,0),0)</f>
        <v>0</v>
      </c>
      <c r="Z2065" s="38" t="n">
        <f aca="false">IF(Y2065=0,0,IF(T2065="Backlog",Q2065,Q2065*Dashboard!$C$10))</f>
        <v>0</v>
      </c>
      <c r="AA2065" s="37" t="n">
        <f aca="false">IF($N2065="",0,IF(COUNTIF(Dashboard!$C$13:$C$22,$N2065)&gt;0,1,0))</f>
        <v>0</v>
      </c>
      <c r="AB2065" s="37" t="str">
        <f aca="false">IF($N2065="","",IF(COUNTIF($N$8:$N2065,$N2065)=1,MAX($AB$7:$AB2064)+1,""))</f>
        <v/>
      </c>
    </row>
    <row r="2066" customFormat="false" ht="15" hidden="false" customHeight="false" outlineLevel="0" collapsed="false">
      <c r="L2066" s="37" t="str">
        <f aca="false">IF(INDEX($A2066:$J2066,$L$6)&lt;&gt;"",TRIM(LEFT(INDEX($A2066:$J2066,$L$6),FIND("(",INDEX($A2066:$J2066,$L$6)&amp;"(")-1)),L2065)</f>
        <v>Building Value Proposition</v>
      </c>
      <c r="M2066" s="37" t="str">
        <f aca="false">IF(INDEX($A2066:$J2066,$M$6)="","",INDEX($A2066:$J2066,$M$6)&amp;"")</f>
        <v/>
      </c>
      <c r="N2066" s="37" t="str">
        <f aca="false">IF($M2066="","",TRIM(INDEX($A2066:$J2066,$N$6)&amp;""))</f>
        <v/>
      </c>
      <c r="O2066" s="37" t="str">
        <f aca="false">IF($M2066="","",TRIM(INDEX($A2066:$J2066,$O$6)&amp;""))</f>
        <v/>
      </c>
      <c r="P2066" s="37" t="str">
        <f aca="false">IF($M2066="","",IFERROR(IF(INDEX(Settings!$B$41:$B$50,MATCH(O2066,Settings!$A$41:$A$50,0))&amp;""="","UNMAPPED",INDEX(Settings!$B$41:$B$50,MATCH(O2066,Settings!$A$41:$A$50,0))&amp;""),"UNMAPPED"))</f>
        <v/>
      </c>
      <c r="Q2066" s="38" t="n">
        <f aca="false">IF($M2066="",0,N(INDEX($A2066:$J2066,$Q$6)))</f>
        <v>0</v>
      </c>
      <c r="R2066" s="39" t="str">
        <f aca="false">IF($M2066="","",INDEX($A2066:$J2066,$R$6))</f>
        <v/>
      </c>
      <c r="S2066" s="37" t="str">
        <f aca="false">IF($M2066="","",IFERROR(INDEX(Settings!$B$27:$B$36,MATCH(L2066,Settings!$A$27:$A$36,0))&amp;"","UNMAPPED"))</f>
        <v/>
      </c>
      <c r="T2066" s="37" t="str">
        <f aca="false">IF($M2066="","",IF(NOT(ISNUMBER(R2066)),"NO DATE",IF(S2066="Won",IF(R2066&gt;Settings!$B$5,"Backlog","Delivered"),IF(S2066="Open",IF(R2066&gt;Settings!$B$5,"Pipeline","Overdue"),IF(S2066="Lost","Lost","UNMAPPED")))))</f>
        <v/>
      </c>
      <c r="U2066" s="40" t="n">
        <f aca="false">IF(T2066="Backlog",1,IF(OR(T2066="Pipeline",T2066="Overdue"),N(INDEX(Settings!$C$27:$C$36,MATCH(L2066,Settings!$A$27:$A$36,0))),0))</f>
        <v>0</v>
      </c>
      <c r="V2066" s="38" t="n">
        <f aca="false">Q2066*U2066</f>
        <v>0</v>
      </c>
      <c r="W2066" s="41" t="str">
        <f aca="false">IF($M2066="","",IF(T2066="Overdue",IF(Settings!$B$8="Yes",Settings!$B$7,""),IF(ISNUMBER(R2066),DATE(YEAR(R2066),MONTH(R2066),1),"")))</f>
        <v/>
      </c>
      <c r="X2066" s="38" t="n">
        <f aca="false">IF(AND(OR(T2066="Backlog",T2066="Pipeline",T2066="Overdue"),ISNUMBER(W2066)),IF(W2066&lt;=Settings!$B$6,V2066,0),0)</f>
        <v>0</v>
      </c>
      <c r="Y2066" s="38" t="n">
        <f aca="false">IF(AND(OR(T2066="Backlog",T2066="Pipeline",T2066="Overdue"),ISNUMBER(W2066)),IF(W2066&lt;=Settings!$B$6,Q2066,0),0)</f>
        <v>0</v>
      </c>
      <c r="Z2066" s="38" t="n">
        <f aca="false">IF(Y2066=0,0,IF(T2066="Backlog",Q2066,Q2066*Dashboard!$C$10))</f>
        <v>0</v>
      </c>
      <c r="AA2066" s="37" t="n">
        <f aca="false">IF($N2066="",0,IF(COUNTIF(Dashboard!$C$13:$C$22,$N2066)&gt;0,1,0))</f>
        <v>0</v>
      </c>
      <c r="AB2066" s="37" t="str">
        <f aca="false">IF($N2066="","",IF(COUNTIF($N$8:$N2066,$N2066)=1,MAX($AB$7:$AB2065)+1,""))</f>
        <v/>
      </c>
    </row>
    <row r="2067" customFormat="false" ht="15" hidden="false" customHeight="false" outlineLevel="0" collapsed="false">
      <c r="L2067" s="37" t="str">
        <f aca="false">IF(INDEX($A2067:$J2067,$L$6)&lt;&gt;"",TRIM(LEFT(INDEX($A2067:$J2067,$L$6),FIND("(",INDEX($A2067:$J2067,$L$6)&amp;"(")-1)),L2066)</f>
        <v>Building Value Proposition</v>
      </c>
      <c r="M2067" s="37" t="str">
        <f aca="false">IF(INDEX($A2067:$J2067,$M$6)="","",INDEX($A2067:$J2067,$M$6)&amp;"")</f>
        <v/>
      </c>
      <c r="N2067" s="37" t="str">
        <f aca="false">IF($M2067="","",TRIM(INDEX($A2067:$J2067,$N$6)&amp;""))</f>
        <v/>
      </c>
      <c r="O2067" s="37" t="str">
        <f aca="false">IF($M2067="","",TRIM(INDEX($A2067:$J2067,$O$6)&amp;""))</f>
        <v/>
      </c>
      <c r="P2067" s="37" t="str">
        <f aca="false">IF($M2067="","",IFERROR(IF(INDEX(Settings!$B$41:$B$50,MATCH(O2067,Settings!$A$41:$A$50,0))&amp;""="","UNMAPPED",INDEX(Settings!$B$41:$B$50,MATCH(O2067,Settings!$A$41:$A$50,0))&amp;""),"UNMAPPED"))</f>
        <v/>
      </c>
      <c r="Q2067" s="38" t="n">
        <f aca="false">IF($M2067="",0,N(INDEX($A2067:$J2067,$Q$6)))</f>
        <v>0</v>
      </c>
      <c r="R2067" s="39" t="str">
        <f aca="false">IF($M2067="","",INDEX($A2067:$J2067,$R$6))</f>
        <v/>
      </c>
      <c r="S2067" s="37" t="str">
        <f aca="false">IF($M2067="","",IFERROR(INDEX(Settings!$B$27:$B$36,MATCH(L2067,Settings!$A$27:$A$36,0))&amp;"","UNMAPPED"))</f>
        <v/>
      </c>
      <c r="T2067" s="37" t="str">
        <f aca="false">IF($M2067="","",IF(NOT(ISNUMBER(R2067)),"NO DATE",IF(S2067="Won",IF(R2067&gt;Settings!$B$5,"Backlog","Delivered"),IF(S2067="Open",IF(R2067&gt;Settings!$B$5,"Pipeline","Overdue"),IF(S2067="Lost","Lost","UNMAPPED")))))</f>
        <v/>
      </c>
      <c r="U2067" s="40" t="n">
        <f aca="false">IF(T2067="Backlog",1,IF(OR(T2067="Pipeline",T2067="Overdue"),N(INDEX(Settings!$C$27:$C$36,MATCH(L2067,Settings!$A$27:$A$36,0))),0))</f>
        <v>0</v>
      </c>
      <c r="V2067" s="38" t="n">
        <f aca="false">Q2067*U2067</f>
        <v>0</v>
      </c>
      <c r="W2067" s="41" t="str">
        <f aca="false">IF($M2067="","",IF(T2067="Overdue",IF(Settings!$B$8="Yes",Settings!$B$7,""),IF(ISNUMBER(R2067),DATE(YEAR(R2067),MONTH(R2067),1),"")))</f>
        <v/>
      </c>
      <c r="X2067" s="38" t="n">
        <f aca="false">IF(AND(OR(T2067="Backlog",T2067="Pipeline",T2067="Overdue"),ISNUMBER(W2067)),IF(W2067&lt;=Settings!$B$6,V2067,0),0)</f>
        <v>0</v>
      </c>
      <c r="Y2067" s="38" t="n">
        <f aca="false">IF(AND(OR(T2067="Backlog",T2067="Pipeline",T2067="Overdue"),ISNUMBER(W2067)),IF(W2067&lt;=Settings!$B$6,Q2067,0),0)</f>
        <v>0</v>
      </c>
      <c r="Z2067" s="38" t="n">
        <f aca="false">IF(Y2067=0,0,IF(T2067="Backlog",Q2067,Q2067*Dashboard!$C$10))</f>
        <v>0</v>
      </c>
      <c r="AA2067" s="37" t="n">
        <f aca="false">IF($N2067="",0,IF(COUNTIF(Dashboard!$C$13:$C$22,$N2067)&gt;0,1,0))</f>
        <v>0</v>
      </c>
      <c r="AB2067" s="37" t="str">
        <f aca="false">IF($N2067="","",IF(COUNTIF($N$8:$N2067,$N2067)=1,MAX($AB$7:$AB2066)+1,""))</f>
        <v/>
      </c>
    </row>
    <row r="2068" customFormat="false" ht="15" hidden="false" customHeight="false" outlineLevel="0" collapsed="false">
      <c r="L2068" s="37" t="str">
        <f aca="false">IF(INDEX($A2068:$J2068,$L$6)&lt;&gt;"",TRIM(LEFT(INDEX($A2068:$J2068,$L$6),FIND("(",INDEX($A2068:$J2068,$L$6)&amp;"(")-1)),L2067)</f>
        <v>Building Value Proposition</v>
      </c>
      <c r="M2068" s="37" t="str">
        <f aca="false">IF(INDEX($A2068:$J2068,$M$6)="","",INDEX($A2068:$J2068,$M$6)&amp;"")</f>
        <v/>
      </c>
      <c r="N2068" s="37" t="str">
        <f aca="false">IF($M2068="","",TRIM(INDEX($A2068:$J2068,$N$6)&amp;""))</f>
        <v/>
      </c>
      <c r="O2068" s="37" t="str">
        <f aca="false">IF($M2068="","",TRIM(INDEX($A2068:$J2068,$O$6)&amp;""))</f>
        <v/>
      </c>
      <c r="P2068" s="37" t="str">
        <f aca="false">IF($M2068="","",IFERROR(IF(INDEX(Settings!$B$41:$B$50,MATCH(O2068,Settings!$A$41:$A$50,0))&amp;""="","UNMAPPED",INDEX(Settings!$B$41:$B$50,MATCH(O2068,Settings!$A$41:$A$50,0))&amp;""),"UNMAPPED"))</f>
        <v/>
      </c>
      <c r="Q2068" s="38" t="n">
        <f aca="false">IF($M2068="",0,N(INDEX($A2068:$J2068,$Q$6)))</f>
        <v>0</v>
      </c>
      <c r="R2068" s="39" t="str">
        <f aca="false">IF($M2068="","",INDEX($A2068:$J2068,$R$6))</f>
        <v/>
      </c>
      <c r="S2068" s="37" t="str">
        <f aca="false">IF($M2068="","",IFERROR(INDEX(Settings!$B$27:$B$36,MATCH(L2068,Settings!$A$27:$A$36,0))&amp;"","UNMAPPED"))</f>
        <v/>
      </c>
      <c r="T2068" s="37" t="str">
        <f aca="false">IF($M2068="","",IF(NOT(ISNUMBER(R2068)),"NO DATE",IF(S2068="Won",IF(R2068&gt;Settings!$B$5,"Backlog","Delivered"),IF(S2068="Open",IF(R2068&gt;Settings!$B$5,"Pipeline","Overdue"),IF(S2068="Lost","Lost","UNMAPPED")))))</f>
        <v/>
      </c>
      <c r="U2068" s="40" t="n">
        <f aca="false">IF(T2068="Backlog",1,IF(OR(T2068="Pipeline",T2068="Overdue"),N(INDEX(Settings!$C$27:$C$36,MATCH(L2068,Settings!$A$27:$A$36,0))),0))</f>
        <v>0</v>
      </c>
      <c r="V2068" s="38" t="n">
        <f aca="false">Q2068*U2068</f>
        <v>0</v>
      </c>
      <c r="W2068" s="41" t="str">
        <f aca="false">IF($M2068="","",IF(T2068="Overdue",IF(Settings!$B$8="Yes",Settings!$B$7,""),IF(ISNUMBER(R2068),DATE(YEAR(R2068),MONTH(R2068),1),"")))</f>
        <v/>
      </c>
      <c r="X2068" s="38" t="n">
        <f aca="false">IF(AND(OR(T2068="Backlog",T2068="Pipeline",T2068="Overdue"),ISNUMBER(W2068)),IF(W2068&lt;=Settings!$B$6,V2068,0),0)</f>
        <v>0</v>
      </c>
      <c r="Y2068" s="38" t="n">
        <f aca="false">IF(AND(OR(T2068="Backlog",T2068="Pipeline",T2068="Overdue"),ISNUMBER(W2068)),IF(W2068&lt;=Settings!$B$6,Q2068,0),0)</f>
        <v>0</v>
      </c>
      <c r="Z2068" s="38" t="n">
        <f aca="false">IF(Y2068=0,0,IF(T2068="Backlog",Q2068,Q2068*Dashboard!$C$10))</f>
        <v>0</v>
      </c>
      <c r="AA2068" s="37" t="n">
        <f aca="false">IF($N2068="",0,IF(COUNTIF(Dashboard!$C$13:$C$22,$N2068)&gt;0,1,0))</f>
        <v>0</v>
      </c>
      <c r="AB2068" s="37" t="str">
        <f aca="false">IF($N2068="","",IF(COUNTIF($N$8:$N2068,$N2068)=1,MAX($AB$7:$AB2067)+1,""))</f>
        <v/>
      </c>
    </row>
    <row r="2069" customFormat="false" ht="15" hidden="false" customHeight="false" outlineLevel="0" collapsed="false">
      <c r="L2069" s="37" t="str">
        <f aca="false">IF(INDEX($A2069:$J2069,$L$6)&lt;&gt;"",TRIM(LEFT(INDEX($A2069:$J2069,$L$6),FIND("(",INDEX($A2069:$J2069,$L$6)&amp;"(")-1)),L2068)</f>
        <v>Building Value Proposition</v>
      </c>
      <c r="M2069" s="37" t="str">
        <f aca="false">IF(INDEX($A2069:$J2069,$M$6)="","",INDEX($A2069:$J2069,$M$6)&amp;"")</f>
        <v/>
      </c>
      <c r="N2069" s="37" t="str">
        <f aca="false">IF($M2069="","",TRIM(INDEX($A2069:$J2069,$N$6)&amp;""))</f>
        <v/>
      </c>
      <c r="O2069" s="37" t="str">
        <f aca="false">IF($M2069="","",TRIM(INDEX($A2069:$J2069,$O$6)&amp;""))</f>
        <v/>
      </c>
      <c r="P2069" s="37" t="str">
        <f aca="false">IF($M2069="","",IFERROR(IF(INDEX(Settings!$B$41:$B$50,MATCH(O2069,Settings!$A$41:$A$50,0))&amp;""="","UNMAPPED",INDEX(Settings!$B$41:$B$50,MATCH(O2069,Settings!$A$41:$A$50,0))&amp;""),"UNMAPPED"))</f>
        <v/>
      </c>
      <c r="Q2069" s="38" t="n">
        <f aca="false">IF($M2069="",0,N(INDEX($A2069:$J2069,$Q$6)))</f>
        <v>0</v>
      </c>
      <c r="R2069" s="39" t="str">
        <f aca="false">IF($M2069="","",INDEX($A2069:$J2069,$R$6))</f>
        <v/>
      </c>
      <c r="S2069" s="37" t="str">
        <f aca="false">IF($M2069="","",IFERROR(INDEX(Settings!$B$27:$B$36,MATCH(L2069,Settings!$A$27:$A$36,0))&amp;"","UNMAPPED"))</f>
        <v/>
      </c>
      <c r="T2069" s="37" t="str">
        <f aca="false">IF($M2069="","",IF(NOT(ISNUMBER(R2069)),"NO DATE",IF(S2069="Won",IF(R2069&gt;Settings!$B$5,"Backlog","Delivered"),IF(S2069="Open",IF(R2069&gt;Settings!$B$5,"Pipeline","Overdue"),IF(S2069="Lost","Lost","UNMAPPED")))))</f>
        <v/>
      </c>
      <c r="U2069" s="40" t="n">
        <f aca="false">IF(T2069="Backlog",1,IF(OR(T2069="Pipeline",T2069="Overdue"),N(INDEX(Settings!$C$27:$C$36,MATCH(L2069,Settings!$A$27:$A$36,0))),0))</f>
        <v>0</v>
      </c>
      <c r="V2069" s="38" t="n">
        <f aca="false">Q2069*U2069</f>
        <v>0</v>
      </c>
      <c r="W2069" s="41" t="str">
        <f aca="false">IF($M2069="","",IF(T2069="Overdue",IF(Settings!$B$8="Yes",Settings!$B$7,""),IF(ISNUMBER(R2069),DATE(YEAR(R2069),MONTH(R2069),1),"")))</f>
        <v/>
      </c>
      <c r="X2069" s="38" t="n">
        <f aca="false">IF(AND(OR(T2069="Backlog",T2069="Pipeline",T2069="Overdue"),ISNUMBER(W2069)),IF(W2069&lt;=Settings!$B$6,V2069,0),0)</f>
        <v>0</v>
      </c>
      <c r="Y2069" s="38" t="n">
        <f aca="false">IF(AND(OR(T2069="Backlog",T2069="Pipeline",T2069="Overdue"),ISNUMBER(W2069)),IF(W2069&lt;=Settings!$B$6,Q2069,0),0)</f>
        <v>0</v>
      </c>
      <c r="Z2069" s="38" t="n">
        <f aca="false">IF(Y2069=0,0,IF(T2069="Backlog",Q2069,Q2069*Dashboard!$C$10))</f>
        <v>0</v>
      </c>
      <c r="AA2069" s="37" t="n">
        <f aca="false">IF($N2069="",0,IF(COUNTIF(Dashboard!$C$13:$C$22,$N2069)&gt;0,1,0))</f>
        <v>0</v>
      </c>
      <c r="AB2069" s="37" t="str">
        <f aca="false">IF($N2069="","",IF(COUNTIF($N$8:$N2069,$N2069)=1,MAX($AB$7:$AB2068)+1,""))</f>
        <v/>
      </c>
    </row>
    <row r="2070" customFormat="false" ht="15" hidden="false" customHeight="false" outlineLevel="0" collapsed="false">
      <c r="L2070" s="37" t="str">
        <f aca="false">IF(INDEX($A2070:$J2070,$L$6)&lt;&gt;"",TRIM(LEFT(INDEX($A2070:$J2070,$L$6),FIND("(",INDEX($A2070:$J2070,$L$6)&amp;"(")-1)),L2069)</f>
        <v>Building Value Proposition</v>
      </c>
      <c r="M2070" s="37" t="str">
        <f aca="false">IF(INDEX($A2070:$J2070,$M$6)="","",INDEX($A2070:$J2070,$M$6)&amp;"")</f>
        <v/>
      </c>
      <c r="N2070" s="37" t="str">
        <f aca="false">IF($M2070="","",TRIM(INDEX($A2070:$J2070,$N$6)&amp;""))</f>
        <v/>
      </c>
      <c r="O2070" s="37" t="str">
        <f aca="false">IF($M2070="","",TRIM(INDEX($A2070:$J2070,$O$6)&amp;""))</f>
        <v/>
      </c>
      <c r="P2070" s="37" t="str">
        <f aca="false">IF($M2070="","",IFERROR(IF(INDEX(Settings!$B$41:$B$50,MATCH(O2070,Settings!$A$41:$A$50,0))&amp;""="","UNMAPPED",INDEX(Settings!$B$41:$B$50,MATCH(O2070,Settings!$A$41:$A$50,0))&amp;""),"UNMAPPED"))</f>
        <v/>
      </c>
      <c r="Q2070" s="38" t="n">
        <f aca="false">IF($M2070="",0,N(INDEX($A2070:$J2070,$Q$6)))</f>
        <v>0</v>
      </c>
      <c r="R2070" s="39" t="str">
        <f aca="false">IF($M2070="","",INDEX($A2070:$J2070,$R$6))</f>
        <v/>
      </c>
      <c r="S2070" s="37" t="str">
        <f aca="false">IF($M2070="","",IFERROR(INDEX(Settings!$B$27:$B$36,MATCH(L2070,Settings!$A$27:$A$36,0))&amp;"","UNMAPPED"))</f>
        <v/>
      </c>
      <c r="T2070" s="37" t="str">
        <f aca="false">IF($M2070="","",IF(NOT(ISNUMBER(R2070)),"NO DATE",IF(S2070="Won",IF(R2070&gt;Settings!$B$5,"Backlog","Delivered"),IF(S2070="Open",IF(R2070&gt;Settings!$B$5,"Pipeline","Overdue"),IF(S2070="Lost","Lost","UNMAPPED")))))</f>
        <v/>
      </c>
      <c r="U2070" s="40" t="n">
        <f aca="false">IF(T2070="Backlog",1,IF(OR(T2070="Pipeline",T2070="Overdue"),N(INDEX(Settings!$C$27:$C$36,MATCH(L2070,Settings!$A$27:$A$36,0))),0))</f>
        <v>0</v>
      </c>
      <c r="V2070" s="38" t="n">
        <f aca="false">Q2070*U2070</f>
        <v>0</v>
      </c>
      <c r="W2070" s="41" t="str">
        <f aca="false">IF($M2070="","",IF(T2070="Overdue",IF(Settings!$B$8="Yes",Settings!$B$7,""),IF(ISNUMBER(R2070),DATE(YEAR(R2070),MONTH(R2070),1),"")))</f>
        <v/>
      </c>
      <c r="X2070" s="38" t="n">
        <f aca="false">IF(AND(OR(T2070="Backlog",T2070="Pipeline",T2070="Overdue"),ISNUMBER(W2070)),IF(W2070&lt;=Settings!$B$6,V2070,0),0)</f>
        <v>0</v>
      </c>
      <c r="Y2070" s="38" t="n">
        <f aca="false">IF(AND(OR(T2070="Backlog",T2070="Pipeline",T2070="Overdue"),ISNUMBER(W2070)),IF(W2070&lt;=Settings!$B$6,Q2070,0),0)</f>
        <v>0</v>
      </c>
      <c r="Z2070" s="38" t="n">
        <f aca="false">IF(Y2070=0,0,IF(T2070="Backlog",Q2070,Q2070*Dashboard!$C$10))</f>
        <v>0</v>
      </c>
      <c r="AA2070" s="37" t="n">
        <f aca="false">IF($N2070="",0,IF(COUNTIF(Dashboard!$C$13:$C$22,$N2070)&gt;0,1,0))</f>
        <v>0</v>
      </c>
      <c r="AB2070" s="37" t="str">
        <f aca="false">IF($N2070="","",IF(COUNTIF($N$8:$N2070,$N2070)=1,MAX($AB$7:$AB2069)+1,""))</f>
        <v/>
      </c>
    </row>
    <row r="2071" customFormat="false" ht="15" hidden="false" customHeight="false" outlineLevel="0" collapsed="false">
      <c r="L2071" s="37" t="str">
        <f aca="false">IF(INDEX($A2071:$J2071,$L$6)&lt;&gt;"",TRIM(LEFT(INDEX($A2071:$J2071,$L$6),FIND("(",INDEX($A2071:$J2071,$L$6)&amp;"(")-1)),L2070)</f>
        <v>Building Value Proposition</v>
      </c>
      <c r="M2071" s="37" t="str">
        <f aca="false">IF(INDEX($A2071:$J2071,$M$6)="","",INDEX($A2071:$J2071,$M$6)&amp;"")</f>
        <v/>
      </c>
      <c r="N2071" s="37" t="str">
        <f aca="false">IF($M2071="","",TRIM(INDEX($A2071:$J2071,$N$6)&amp;""))</f>
        <v/>
      </c>
      <c r="O2071" s="37" t="str">
        <f aca="false">IF($M2071="","",TRIM(INDEX($A2071:$J2071,$O$6)&amp;""))</f>
        <v/>
      </c>
      <c r="P2071" s="37" t="str">
        <f aca="false">IF($M2071="","",IFERROR(IF(INDEX(Settings!$B$41:$B$50,MATCH(O2071,Settings!$A$41:$A$50,0))&amp;""="","UNMAPPED",INDEX(Settings!$B$41:$B$50,MATCH(O2071,Settings!$A$41:$A$50,0))&amp;""),"UNMAPPED"))</f>
        <v/>
      </c>
      <c r="Q2071" s="38" t="n">
        <f aca="false">IF($M2071="",0,N(INDEX($A2071:$J2071,$Q$6)))</f>
        <v>0</v>
      </c>
      <c r="R2071" s="39" t="str">
        <f aca="false">IF($M2071="","",INDEX($A2071:$J2071,$R$6))</f>
        <v/>
      </c>
      <c r="S2071" s="37" t="str">
        <f aca="false">IF($M2071="","",IFERROR(INDEX(Settings!$B$27:$B$36,MATCH(L2071,Settings!$A$27:$A$36,0))&amp;"","UNMAPPED"))</f>
        <v/>
      </c>
      <c r="T2071" s="37" t="str">
        <f aca="false">IF($M2071="","",IF(NOT(ISNUMBER(R2071)),"NO DATE",IF(S2071="Won",IF(R2071&gt;Settings!$B$5,"Backlog","Delivered"),IF(S2071="Open",IF(R2071&gt;Settings!$B$5,"Pipeline","Overdue"),IF(S2071="Lost","Lost","UNMAPPED")))))</f>
        <v/>
      </c>
      <c r="U2071" s="40" t="n">
        <f aca="false">IF(T2071="Backlog",1,IF(OR(T2071="Pipeline",T2071="Overdue"),N(INDEX(Settings!$C$27:$C$36,MATCH(L2071,Settings!$A$27:$A$36,0))),0))</f>
        <v>0</v>
      </c>
      <c r="V2071" s="38" t="n">
        <f aca="false">Q2071*U2071</f>
        <v>0</v>
      </c>
      <c r="W2071" s="41" t="str">
        <f aca="false">IF($M2071="","",IF(T2071="Overdue",IF(Settings!$B$8="Yes",Settings!$B$7,""),IF(ISNUMBER(R2071),DATE(YEAR(R2071),MONTH(R2071),1),"")))</f>
        <v/>
      </c>
      <c r="X2071" s="38" t="n">
        <f aca="false">IF(AND(OR(T2071="Backlog",T2071="Pipeline",T2071="Overdue"),ISNUMBER(W2071)),IF(W2071&lt;=Settings!$B$6,V2071,0),0)</f>
        <v>0</v>
      </c>
      <c r="Y2071" s="38" t="n">
        <f aca="false">IF(AND(OR(T2071="Backlog",T2071="Pipeline",T2071="Overdue"),ISNUMBER(W2071)),IF(W2071&lt;=Settings!$B$6,Q2071,0),0)</f>
        <v>0</v>
      </c>
      <c r="Z2071" s="38" t="n">
        <f aca="false">IF(Y2071=0,0,IF(T2071="Backlog",Q2071,Q2071*Dashboard!$C$10))</f>
        <v>0</v>
      </c>
      <c r="AA2071" s="37" t="n">
        <f aca="false">IF($N2071="",0,IF(COUNTIF(Dashboard!$C$13:$C$22,$N2071)&gt;0,1,0))</f>
        <v>0</v>
      </c>
      <c r="AB2071" s="37" t="str">
        <f aca="false">IF($N2071="","",IF(COUNTIF($N$8:$N2071,$N2071)=1,MAX($AB$7:$AB2070)+1,""))</f>
        <v/>
      </c>
    </row>
    <row r="2072" customFormat="false" ht="15" hidden="false" customHeight="false" outlineLevel="0" collapsed="false">
      <c r="L2072" s="37" t="str">
        <f aca="false">IF(INDEX($A2072:$J2072,$L$6)&lt;&gt;"",TRIM(LEFT(INDEX($A2072:$J2072,$L$6),FIND("(",INDEX($A2072:$J2072,$L$6)&amp;"(")-1)),L2071)</f>
        <v>Building Value Proposition</v>
      </c>
      <c r="M2072" s="37" t="str">
        <f aca="false">IF(INDEX($A2072:$J2072,$M$6)="","",INDEX($A2072:$J2072,$M$6)&amp;"")</f>
        <v/>
      </c>
      <c r="N2072" s="37" t="str">
        <f aca="false">IF($M2072="","",TRIM(INDEX($A2072:$J2072,$N$6)&amp;""))</f>
        <v/>
      </c>
      <c r="O2072" s="37" t="str">
        <f aca="false">IF($M2072="","",TRIM(INDEX($A2072:$J2072,$O$6)&amp;""))</f>
        <v/>
      </c>
      <c r="P2072" s="37" t="str">
        <f aca="false">IF($M2072="","",IFERROR(IF(INDEX(Settings!$B$41:$B$50,MATCH(O2072,Settings!$A$41:$A$50,0))&amp;""="","UNMAPPED",INDEX(Settings!$B$41:$B$50,MATCH(O2072,Settings!$A$41:$A$50,0))&amp;""),"UNMAPPED"))</f>
        <v/>
      </c>
      <c r="Q2072" s="38" t="n">
        <f aca="false">IF($M2072="",0,N(INDEX($A2072:$J2072,$Q$6)))</f>
        <v>0</v>
      </c>
      <c r="R2072" s="39" t="str">
        <f aca="false">IF($M2072="","",INDEX($A2072:$J2072,$R$6))</f>
        <v/>
      </c>
      <c r="S2072" s="37" t="str">
        <f aca="false">IF($M2072="","",IFERROR(INDEX(Settings!$B$27:$B$36,MATCH(L2072,Settings!$A$27:$A$36,0))&amp;"","UNMAPPED"))</f>
        <v/>
      </c>
      <c r="T2072" s="37" t="str">
        <f aca="false">IF($M2072="","",IF(NOT(ISNUMBER(R2072)),"NO DATE",IF(S2072="Won",IF(R2072&gt;Settings!$B$5,"Backlog","Delivered"),IF(S2072="Open",IF(R2072&gt;Settings!$B$5,"Pipeline","Overdue"),IF(S2072="Lost","Lost","UNMAPPED")))))</f>
        <v/>
      </c>
      <c r="U2072" s="40" t="n">
        <f aca="false">IF(T2072="Backlog",1,IF(OR(T2072="Pipeline",T2072="Overdue"),N(INDEX(Settings!$C$27:$C$36,MATCH(L2072,Settings!$A$27:$A$36,0))),0))</f>
        <v>0</v>
      </c>
      <c r="V2072" s="38" t="n">
        <f aca="false">Q2072*U2072</f>
        <v>0</v>
      </c>
      <c r="W2072" s="41" t="str">
        <f aca="false">IF($M2072="","",IF(T2072="Overdue",IF(Settings!$B$8="Yes",Settings!$B$7,""),IF(ISNUMBER(R2072),DATE(YEAR(R2072),MONTH(R2072),1),"")))</f>
        <v/>
      </c>
      <c r="X2072" s="38" t="n">
        <f aca="false">IF(AND(OR(T2072="Backlog",T2072="Pipeline",T2072="Overdue"),ISNUMBER(W2072)),IF(W2072&lt;=Settings!$B$6,V2072,0),0)</f>
        <v>0</v>
      </c>
      <c r="Y2072" s="38" t="n">
        <f aca="false">IF(AND(OR(T2072="Backlog",T2072="Pipeline",T2072="Overdue"),ISNUMBER(W2072)),IF(W2072&lt;=Settings!$B$6,Q2072,0),0)</f>
        <v>0</v>
      </c>
      <c r="Z2072" s="38" t="n">
        <f aca="false">IF(Y2072=0,0,IF(T2072="Backlog",Q2072,Q2072*Dashboard!$C$10))</f>
        <v>0</v>
      </c>
      <c r="AA2072" s="37" t="n">
        <f aca="false">IF($N2072="",0,IF(COUNTIF(Dashboard!$C$13:$C$22,$N2072)&gt;0,1,0))</f>
        <v>0</v>
      </c>
      <c r="AB2072" s="37" t="str">
        <f aca="false">IF($N2072="","",IF(COUNTIF($N$8:$N2072,$N2072)=1,MAX($AB$7:$AB2071)+1,""))</f>
        <v/>
      </c>
    </row>
    <row r="2073" customFormat="false" ht="15" hidden="false" customHeight="false" outlineLevel="0" collapsed="false">
      <c r="L2073" s="37" t="str">
        <f aca="false">IF(INDEX($A2073:$J2073,$L$6)&lt;&gt;"",TRIM(LEFT(INDEX($A2073:$J2073,$L$6),FIND("(",INDEX($A2073:$J2073,$L$6)&amp;"(")-1)),L2072)</f>
        <v>Building Value Proposition</v>
      </c>
      <c r="M2073" s="37" t="str">
        <f aca="false">IF(INDEX($A2073:$J2073,$M$6)="","",INDEX($A2073:$J2073,$M$6)&amp;"")</f>
        <v/>
      </c>
      <c r="N2073" s="37" t="str">
        <f aca="false">IF($M2073="","",TRIM(INDEX($A2073:$J2073,$N$6)&amp;""))</f>
        <v/>
      </c>
      <c r="O2073" s="37" t="str">
        <f aca="false">IF($M2073="","",TRIM(INDEX($A2073:$J2073,$O$6)&amp;""))</f>
        <v/>
      </c>
      <c r="P2073" s="37" t="str">
        <f aca="false">IF($M2073="","",IFERROR(IF(INDEX(Settings!$B$41:$B$50,MATCH(O2073,Settings!$A$41:$A$50,0))&amp;""="","UNMAPPED",INDEX(Settings!$B$41:$B$50,MATCH(O2073,Settings!$A$41:$A$50,0))&amp;""),"UNMAPPED"))</f>
        <v/>
      </c>
      <c r="Q2073" s="38" t="n">
        <f aca="false">IF($M2073="",0,N(INDEX($A2073:$J2073,$Q$6)))</f>
        <v>0</v>
      </c>
      <c r="R2073" s="39" t="str">
        <f aca="false">IF($M2073="","",INDEX($A2073:$J2073,$R$6))</f>
        <v/>
      </c>
      <c r="S2073" s="37" t="str">
        <f aca="false">IF($M2073="","",IFERROR(INDEX(Settings!$B$27:$B$36,MATCH(L2073,Settings!$A$27:$A$36,0))&amp;"","UNMAPPED"))</f>
        <v/>
      </c>
      <c r="T2073" s="37" t="str">
        <f aca="false">IF($M2073="","",IF(NOT(ISNUMBER(R2073)),"NO DATE",IF(S2073="Won",IF(R2073&gt;Settings!$B$5,"Backlog","Delivered"),IF(S2073="Open",IF(R2073&gt;Settings!$B$5,"Pipeline","Overdue"),IF(S2073="Lost","Lost","UNMAPPED")))))</f>
        <v/>
      </c>
      <c r="U2073" s="40" t="n">
        <f aca="false">IF(T2073="Backlog",1,IF(OR(T2073="Pipeline",T2073="Overdue"),N(INDEX(Settings!$C$27:$C$36,MATCH(L2073,Settings!$A$27:$A$36,0))),0))</f>
        <v>0</v>
      </c>
      <c r="V2073" s="38" t="n">
        <f aca="false">Q2073*U2073</f>
        <v>0</v>
      </c>
      <c r="W2073" s="41" t="str">
        <f aca="false">IF($M2073="","",IF(T2073="Overdue",IF(Settings!$B$8="Yes",Settings!$B$7,""),IF(ISNUMBER(R2073),DATE(YEAR(R2073),MONTH(R2073),1),"")))</f>
        <v/>
      </c>
      <c r="X2073" s="38" t="n">
        <f aca="false">IF(AND(OR(T2073="Backlog",T2073="Pipeline",T2073="Overdue"),ISNUMBER(W2073)),IF(W2073&lt;=Settings!$B$6,V2073,0),0)</f>
        <v>0</v>
      </c>
      <c r="Y2073" s="38" t="n">
        <f aca="false">IF(AND(OR(T2073="Backlog",T2073="Pipeline",T2073="Overdue"),ISNUMBER(W2073)),IF(W2073&lt;=Settings!$B$6,Q2073,0),0)</f>
        <v>0</v>
      </c>
      <c r="Z2073" s="38" t="n">
        <f aca="false">IF(Y2073=0,0,IF(T2073="Backlog",Q2073,Q2073*Dashboard!$C$10))</f>
        <v>0</v>
      </c>
      <c r="AA2073" s="37" t="n">
        <f aca="false">IF($N2073="",0,IF(COUNTIF(Dashboard!$C$13:$C$22,$N2073)&gt;0,1,0))</f>
        <v>0</v>
      </c>
      <c r="AB2073" s="37" t="str">
        <f aca="false">IF($N2073="","",IF(COUNTIF($N$8:$N2073,$N2073)=1,MAX($AB$7:$AB2072)+1,""))</f>
        <v/>
      </c>
    </row>
    <row r="2074" customFormat="false" ht="15" hidden="false" customHeight="false" outlineLevel="0" collapsed="false">
      <c r="L2074" s="37" t="str">
        <f aca="false">IF(INDEX($A2074:$J2074,$L$6)&lt;&gt;"",TRIM(LEFT(INDEX($A2074:$J2074,$L$6),FIND("(",INDEX($A2074:$J2074,$L$6)&amp;"(")-1)),L2073)</f>
        <v>Building Value Proposition</v>
      </c>
      <c r="M2074" s="37" t="str">
        <f aca="false">IF(INDEX($A2074:$J2074,$M$6)="","",INDEX($A2074:$J2074,$M$6)&amp;"")</f>
        <v/>
      </c>
      <c r="N2074" s="37" t="str">
        <f aca="false">IF($M2074="","",TRIM(INDEX($A2074:$J2074,$N$6)&amp;""))</f>
        <v/>
      </c>
      <c r="O2074" s="37" t="str">
        <f aca="false">IF($M2074="","",TRIM(INDEX($A2074:$J2074,$O$6)&amp;""))</f>
        <v/>
      </c>
      <c r="P2074" s="37" t="str">
        <f aca="false">IF($M2074="","",IFERROR(IF(INDEX(Settings!$B$41:$B$50,MATCH(O2074,Settings!$A$41:$A$50,0))&amp;""="","UNMAPPED",INDEX(Settings!$B$41:$B$50,MATCH(O2074,Settings!$A$41:$A$50,0))&amp;""),"UNMAPPED"))</f>
        <v/>
      </c>
      <c r="Q2074" s="38" t="n">
        <f aca="false">IF($M2074="",0,N(INDEX($A2074:$J2074,$Q$6)))</f>
        <v>0</v>
      </c>
      <c r="R2074" s="39" t="str">
        <f aca="false">IF($M2074="","",INDEX($A2074:$J2074,$R$6))</f>
        <v/>
      </c>
      <c r="S2074" s="37" t="str">
        <f aca="false">IF($M2074="","",IFERROR(INDEX(Settings!$B$27:$B$36,MATCH(L2074,Settings!$A$27:$A$36,0))&amp;"","UNMAPPED"))</f>
        <v/>
      </c>
      <c r="T2074" s="37" t="str">
        <f aca="false">IF($M2074="","",IF(NOT(ISNUMBER(R2074)),"NO DATE",IF(S2074="Won",IF(R2074&gt;Settings!$B$5,"Backlog","Delivered"),IF(S2074="Open",IF(R2074&gt;Settings!$B$5,"Pipeline","Overdue"),IF(S2074="Lost","Lost","UNMAPPED")))))</f>
        <v/>
      </c>
      <c r="U2074" s="40" t="n">
        <f aca="false">IF(T2074="Backlog",1,IF(OR(T2074="Pipeline",T2074="Overdue"),N(INDEX(Settings!$C$27:$C$36,MATCH(L2074,Settings!$A$27:$A$36,0))),0))</f>
        <v>0</v>
      </c>
      <c r="V2074" s="38" t="n">
        <f aca="false">Q2074*U2074</f>
        <v>0</v>
      </c>
      <c r="W2074" s="41" t="str">
        <f aca="false">IF($M2074="","",IF(T2074="Overdue",IF(Settings!$B$8="Yes",Settings!$B$7,""),IF(ISNUMBER(R2074),DATE(YEAR(R2074),MONTH(R2074),1),"")))</f>
        <v/>
      </c>
      <c r="X2074" s="38" t="n">
        <f aca="false">IF(AND(OR(T2074="Backlog",T2074="Pipeline",T2074="Overdue"),ISNUMBER(W2074)),IF(W2074&lt;=Settings!$B$6,V2074,0),0)</f>
        <v>0</v>
      </c>
      <c r="Y2074" s="38" t="n">
        <f aca="false">IF(AND(OR(T2074="Backlog",T2074="Pipeline",T2074="Overdue"),ISNUMBER(W2074)),IF(W2074&lt;=Settings!$B$6,Q2074,0),0)</f>
        <v>0</v>
      </c>
      <c r="Z2074" s="38" t="n">
        <f aca="false">IF(Y2074=0,0,IF(T2074="Backlog",Q2074,Q2074*Dashboard!$C$10))</f>
        <v>0</v>
      </c>
      <c r="AA2074" s="37" t="n">
        <f aca="false">IF($N2074="",0,IF(COUNTIF(Dashboard!$C$13:$C$22,$N2074)&gt;0,1,0))</f>
        <v>0</v>
      </c>
      <c r="AB2074" s="37" t="str">
        <f aca="false">IF($N2074="","",IF(COUNTIF($N$8:$N2074,$N2074)=1,MAX($AB$7:$AB2073)+1,""))</f>
        <v/>
      </c>
    </row>
    <row r="2075" customFormat="false" ht="15" hidden="false" customHeight="false" outlineLevel="0" collapsed="false">
      <c r="L2075" s="37" t="str">
        <f aca="false">IF(INDEX($A2075:$J2075,$L$6)&lt;&gt;"",TRIM(LEFT(INDEX($A2075:$J2075,$L$6),FIND("(",INDEX($A2075:$J2075,$L$6)&amp;"(")-1)),L2074)</f>
        <v>Building Value Proposition</v>
      </c>
      <c r="M2075" s="37" t="str">
        <f aca="false">IF(INDEX($A2075:$J2075,$M$6)="","",INDEX($A2075:$J2075,$M$6)&amp;"")</f>
        <v/>
      </c>
      <c r="N2075" s="37" t="str">
        <f aca="false">IF($M2075="","",TRIM(INDEX($A2075:$J2075,$N$6)&amp;""))</f>
        <v/>
      </c>
      <c r="O2075" s="37" t="str">
        <f aca="false">IF($M2075="","",TRIM(INDEX($A2075:$J2075,$O$6)&amp;""))</f>
        <v/>
      </c>
      <c r="P2075" s="37" t="str">
        <f aca="false">IF($M2075="","",IFERROR(IF(INDEX(Settings!$B$41:$B$50,MATCH(O2075,Settings!$A$41:$A$50,0))&amp;""="","UNMAPPED",INDEX(Settings!$B$41:$B$50,MATCH(O2075,Settings!$A$41:$A$50,0))&amp;""),"UNMAPPED"))</f>
        <v/>
      </c>
      <c r="Q2075" s="38" t="n">
        <f aca="false">IF($M2075="",0,N(INDEX($A2075:$J2075,$Q$6)))</f>
        <v>0</v>
      </c>
      <c r="R2075" s="39" t="str">
        <f aca="false">IF($M2075="","",INDEX($A2075:$J2075,$R$6))</f>
        <v/>
      </c>
      <c r="S2075" s="37" t="str">
        <f aca="false">IF($M2075="","",IFERROR(INDEX(Settings!$B$27:$B$36,MATCH(L2075,Settings!$A$27:$A$36,0))&amp;"","UNMAPPED"))</f>
        <v/>
      </c>
      <c r="T2075" s="37" t="str">
        <f aca="false">IF($M2075="","",IF(NOT(ISNUMBER(R2075)),"NO DATE",IF(S2075="Won",IF(R2075&gt;Settings!$B$5,"Backlog","Delivered"),IF(S2075="Open",IF(R2075&gt;Settings!$B$5,"Pipeline","Overdue"),IF(S2075="Lost","Lost","UNMAPPED")))))</f>
        <v/>
      </c>
      <c r="U2075" s="40" t="n">
        <f aca="false">IF(T2075="Backlog",1,IF(OR(T2075="Pipeline",T2075="Overdue"),N(INDEX(Settings!$C$27:$C$36,MATCH(L2075,Settings!$A$27:$A$36,0))),0))</f>
        <v>0</v>
      </c>
      <c r="V2075" s="38" t="n">
        <f aca="false">Q2075*U2075</f>
        <v>0</v>
      </c>
      <c r="W2075" s="41" t="str">
        <f aca="false">IF($M2075="","",IF(T2075="Overdue",IF(Settings!$B$8="Yes",Settings!$B$7,""),IF(ISNUMBER(R2075),DATE(YEAR(R2075),MONTH(R2075),1),"")))</f>
        <v/>
      </c>
      <c r="X2075" s="38" t="n">
        <f aca="false">IF(AND(OR(T2075="Backlog",T2075="Pipeline",T2075="Overdue"),ISNUMBER(W2075)),IF(W2075&lt;=Settings!$B$6,V2075,0),0)</f>
        <v>0</v>
      </c>
      <c r="Y2075" s="38" t="n">
        <f aca="false">IF(AND(OR(T2075="Backlog",T2075="Pipeline",T2075="Overdue"),ISNUMBER(W2075)),IF(W2075&lt;=Settings!$B$6,Q2075,0),0)</f>
        <v>0</v>
      </c>
      <c r="Z2075" s="38" t="n">
        <f aca="false">IF(Y2075=0,0,IF(T2075="Backlog",Q2075,Q2075*Dashboard!$C$10))</f>
        <v>0</v>
      </c>
      <c r="AA2075" s="37" t="n">
        <f aca="false">IF($N2075="",0,IF(COUNTIF(Dashboard!$C$13:$C$22,$N2075)&gt;0,1,0))</f>
        <v>0</v>
      </c>
      <c r="AB2075" s="37" t="str">
        <f aca="false">IF($N2075="","",IF(COUNTIF($N$8:$N2075,$N2075)=1,MAX($AB$7:$AB2074)+1,""))</f>
        <v/>
      </c>
    </row>
    <row r="2076" customFormat="false" ht="15" hidden="false" customHeight="false" outlineLevel="0" collapsed="false">
      <c r="L2076" s="37" t="str">
        <f aca="false">IF(INDEX($A2076:$J2076,$L$6)&lt;&gt;"",TRIM(LEFT(INDEX($A2076:$J2076,$L$6),FIND("(",INDEX($A2076:$J2076,$L$6)&amp;"(")-1)),L2075)</f>
        <v>Building Value Proposition</v>
      </c>
      <c r="M2076" s="37" t="str">
        <f aca="false">IF(INDEX($A2076:$J2076,$M$6)="","",INDEX($A2076:$J2076,$M$6)&amp;"")</f>
        <v/>
      </c>
      <c r="N2076" s="37" t="str">
        <f aca="false">IF($M2076="","",TRIM(INDEX($A2076:$J2076,$N$6)&amp;""))</f>
        <v/>
      </c>
      <c r="O2076" s="37" t="str">
        <f aca="false">IF($M2076="","",TRIM(INDEX($A2076:$J2076,$O$6)&amp;""))</f>
        <v/>
      </c>
      <c r="P2076" s="37" t="str">
        <f aca="false">IF($M2076="","",IFERROR(IF(INDEX(Settings!$B$41:$B$50,MATCH(O2076,Settings!$A$41:$A$50,0))&amp;""="","UNMAPPED",INDEX(Settings!$B$41:$B$50,MATCH(O2076,Settings!$A$41:$A$50,0))&amp;""),"UNMAPPED"))</f>
        <v/>
      </c>
      <c r="Q2076" s="38" t="n">
        <f aca="false">IF($M2076="",0,N(INDEX($A2076:$J2076,$Q$6)))</f>
        <v>0</v>
      </c>
      <c r="R2076" s="39" t="str">
        <f aca="false">IF($M2076="","",INDEX($A2076:$J2076,$R$6))</f>
        <v/>
      </c>
      <c r="S2076" s="37" t="str">
        <f aca="false">IF($M2076="","",IFERROR(INDEX(Settings!$B$27:$B$36,MATCH(L2076,Settings!$A$27:$A$36,0))&amp;"","UNMAPPED"))</f>
        <v/>
      </c>
      <c r="T2076" s="37" t="str">
        <f aca="false">IF($M2076="","",IF(NOT(ISNUMBER(R2076)),"NO DATE",IF(S2076="Won",IF(R2076&gt;Settings!$B$5,"Backlog","Delivered"),IF(S2076="Open",IF(R2076&gt;Settings!$B$5,"Pipeline","Overdue"),IF(S2076="Lost","Lost","UNMAPPED")))))</f>
        <v/>
      </c>
      <c r="U2076" s="40" t="n">
        <f aca="false">IF(T2076="Backlog",1,IF(OR(T2076="Pipeline",T2076="Overdue"),N(INDEX(Settings!$C$27:$C$36,MATCH(L2076,Settings!$A$27:$A$36,0))),0))</f>
        <v>0</v>
      </c>
      <c r="V2076" s="38" t="n">
        <f aca="false">Q2076*U2076</f>
        <v>0</v>
      </c>
      <c r="W2076" s="41" t="str">
        <f aca="false">IF($M2076="","",IF(T2076="Overdue",IF(Settings!$B$8="Yes",Settings!$B$7,""),IF(ISNUMBER(R2076),DATE(YEAR(R2076),MONTH(R2076),1),"")))</f>
        <v/>
      </c>
      <c r="X2076" s="38" t="n">
        <f aca="false">IF(AND(OR(T2076="Backlog",T2076="Pipeline",T2076="Overdue"),ISNUMBER(W2076)),IF(W2076&lt;=Settings!$B$6,V2076,0),0)</f>
        <v>0</v>
      </c>
      <c r="Y2076" s="38" t="n">
        <f aca="false">IF(AND(OR(T2076="Backlog",T2076="Pipeline",T2076="Overdue"),ISNUMBER(W2076)),IF(W2076&lt;=Settings!$B$6,Q2076,0),0)</f>
        <v>0</v>
      </c>
      <c r="Z2076" s="38" t="n">
        <f aca="false">IF(Y2076=0,0,IF(T2076="Backlog",Q2076,Q2076*Dashboard!$C$10))</f>
        <v>0</v>
      </c>
      <c r="AA2076" s="37" t="n">
        <f aca="false">IF($N2076="",0,IF(COUNTIF(Dashboard!$C$13:$C$22,$N2076)&gt;0,1,0))</f>
        <v>0</v>
      </c>
      <c r="AB2076" s="37" t="str">
        <f aca="false">IF($N2076="","",IF(COUNTIF($N$8:$N2076,$N2076)=1,MAX($AB$7:$AB2075)+1,""))</f>
        <v/>
      </c>
    </row>
    <row r="2077" customFormat="false" ht="15" hidden="false" customHeight="false" outlineLevel="0" collapsed="false">
      <c r="L2077" s="37" t="str">
        <f aca="false">IF(INDEX($A2077:$J2077,$L$6)&lt;&gt;"",TRIM(LEFT(INDEX($A2077:$J2077,$L$6),FIND("(",INDEX($A2077:$J2077,$L$6)&amp;"(")-1)),L2076)</f>
        <v>Building Value Proposition</v>
      </c>
      <c r="M2077" s="37" t="str">
        <f aca="false">IF(INDEX($A2077:$J2077,$M$6)="","",INDEX($A2077:$J2077,$M$6)&amp;"")</f>
        <v/>
      </c>
      <c r="N2077" s="37" t="str">
        <f aca="false">IF($M2077="","",TRIM(INDEX($A2077:$J2077,$N$6)&amp;""))</f>
        <v/>
      </c>
      <c r="O2077" s="37" t="str">
        <f aca="false">IF($M2077="","",TRIM(INDEX($A2077:$J2077,$O$6)&amp;""))</f>
        <v/>
      </c>
      <c r="P2077" s="37" t="str">
        <f aca="false">IF($M2077="","",IFERROR(IF(INDEX(Settings!$B$41:$B$50,MATCH(O2077,Settings!$A$41:$A$50,0))&amp;""="","UNMAPPED",INDEX(Settings!$B$41:$B$50,MATCH(O2077,Settings!$A$41:$A$50,0))&amp;""),"UNMAPPED"))</f>
        <v/>
      </c>
      <c r="Q2077" s="38" t="n">
        <f aca="false">IF($M2077="",0,N(INDEX($A2077:$J2077,$Q$6)))</f>
        <v>0</v>
      </c>
      <c r="R2077" s="39" t="str">
        <f aca="false">IF($M2077="","",INDEX($A2077:$J2077,$R$6))</f>
        <v/>
      </c>
      <c r="S2077" s="37" t="str">
        <f aca="false">IF($M2077="","",IFERROR(INDEX(Settings!$B$27:$B$36,MATCH(L2077,Settings!$A$27:$A$36,0))&amp;"","UNMAPPED"))</f>
        <v/>
      </c>
      <c r="T2077" s="37" t="str">
        <f aca="false">IF($M2077="","",IF(NOT(ISNUMBER(R2077)),"NO DATE",IF(S2077="Won",IF(R2077&gt;Settings!$B$5,"Backlog","Delivered"),IF(S2077="Open",IF(R2077&gt;Settings!$B$5,"Pipeline","Overdue"),IF(S2077="Lost","Lost","UNMAPPED")))))</f>
        <v/>
      </c>
      <c r="U2077" s="40" t="n">
        <f aca="false">IF(T2077="Backlog",1,IF(OR(T2077="Pipeline",T2077="Overdue"),N(INDEX(Settings!$C$27:$C$36,MATCH(L2077,Settings!$A$27:$A$36,0))),0))</f>
        <v>0</v>
      </c>
      <c r="V2077" s="38" t="n">
        <f aca="false">Q2077*U2077</f>
        <v>0</v>
      </c>
      <c r="W2077" s="41" t="str">
        <f aca="false">IF($M2077="","",IF(T2077="Overdue",IF(Settings!$B$8="Yes",Settings!$B$7,""),IF(ISNUMBER(R2077),DATE(YEAR(R2077),MONTH(R2077),1),"")))</f>
        <v/>
      </c>
      <c r="X2077" s="38" t="n">
        <f aca="false">IF(AND(OR(T2077="Backlog",T2077="Pipeline",T2077="Overdue"),ISNUMBER(W2077)),IF(W2077&lt;=Settings!$B$6,V2077,0),0)</f>
        <v>0</v>
      </c>
      <c r="Y2077" s="38" t="n">
        <f aca="false">IF(AND(OR(T2077="Backlog",T2077="Pipeline",T2077="Overdue"),ISNUMBER(W2077)),IF(W2077&lt;=Settings!$B$6,Q2077,0),0)</f>
        <v>0</v>
      </c>
      <c r="Z2077" s="38" t="n">
        <f aca="false">IF(Y2077=0,0,IF(T2077="Backlog",Q2077,Q2077*Dashboard!$C$10))</f>
        <v>0</v>
      </c>
      <c r="AA2077" s="37" t="n">
        <f aca="false">IF($N2077="",0,IF(COUNTIF(Dashboard!$C$13:$C$22,$N2077)&gt;0,1,0))</f>
        <v>0</v>
      </c>
      <c r="AB2077" s="37" t="str">
        <f aca="false">IF($N2077="","",IF(COUNTIF($N$8:$N2077,$N2077)=1,MAX($AB$7:$AB2076)+1,""))</f>
        <v/>
      </c>
    </row>
    <row r="2078" customFormat="false" ht="15" hidden="false" customHeight="false" outlineLevel="0" collapsed="false">
      <c r="L2078" s="37" t="str">
        <f aca="false">IF(INDEX($A2078:$J2078,$L$6)&lt;&gt;"",TRIM(LEFT(INDEX($A2078:$J2078,$L$6),FIND("(",INDEX($A2078:$J2078,$L$6)&amp;"(")-1)),L2077)</f>
        <v>Building Value Proposition</v>
      </c>
      <c r="M2078" s="37" t="str">
        <f aca="false">IF(INDEX($A2078:$J2078,$M$6)="","",INDEX($A2078:$J2078,$M$6)&amp;"")</f>
        <v/>
      </c>
      <c r="N2078" s="37" t="str">
        <f aca="false">IF($M2078="","",TRIM(INDEX($A2078:$J2078,$N$6)&amp;""))</f>
        <v/>
      </c>
      <c r="O2078" s="37" t="str">
        <f aca="false">IF($M2078="","",TRIM(INDEX($A2078:$J2078,$O$6)&amp;""))</f>
        <v/>
      </c>
      <c r="P2078" s="37" t="str">
        <f aca="false">IF($M2078="","",IFERROR(IF(INDEX(Settings!$B$41:$B$50,MATCH(O2078,Settings!$A$41:$A$50,0))&amp;""="","UNMAPPED",INDEX(Settings!$B$41:$B$50,MATCH(O2078,Settings!$A$41:$A$50,0))&amp;""),"UNMAPPED"))</f>
        <v/>
      </c>
      <c r="Q2078" s="38" t="n">
        <f aca="false">IF($M2078="",0,N(INDEX($A2078:$J2078,$Q$6)))</f>
        <v>0</v>
      </c>
      <c r="R2078" s="39" t="str">
        <f aca="false">IF($M2078="","",INDEX($A2078:$J2078,$R$6))</f>
        <v/>
      </c>
      <c r="S2078" s="37" t="str">
        <f aca="false">IF($M2078="","",IFERROR(INDEX(Settings!$B$27:$B$36,MATCH(L2078,Settings!$A$27:$A$36,0))&amp;"","UNMAPPED"))</f>
        <v/>
      </c>
      <c r="T2078" s="37" t="str">
        <f aca="false">IF($M2078="","",IF(NOT(ISNUMBER(R2078)),"NO DATE",IF(S2078="Won",IF(R2078&gt;Settings!$B$5,"Backlog","Delivered"),IF(S2078="Open",IF(R2078&gt;Settings!$B$5,"Pipeline","Overdue"),IF(S2078="Lost","Lost","UNMAPPED")))))</f>
        <v/>
      </c>
      <c r="U2078" s="40" t="n">
        <f aca="false">IF(T2078="Backlog",1,IF(OR(T2078="Pipeline",T2078="Overdue"),N(INDEX(Settings!$C$27:$C$36,MATCH(L2078,Settings!$A$27:$A$36,0))),0))</f>
        <v>0</v>
      </c>
      <c r="V2078" s="38" t="n">
        <f aca="false">Q2078*U2078</f>
        <v>0</v>
      </c>
      <c r="W2078" s="41" t="str">
        <f aca="false">IF($M2078="","",IF(T2078="Overdue",IF(Settings!$B$8="Yes",Settings!$B$7,""),IF(ISNUMBER(R2078),DATE(YEAR(R2078),MONTH(R2078),1),"")))</f>
        <v/>
      </c>
      <c r="X2078" s="38" t="n">
        <f aca="false">IF(AND(OR(T2078="Backlog",T2078="Pipeline",T2078="Overdue"),ISNUMBER(W2078)),IF(W2078&lt;=Settings!$B$6,V2078,0),0)</f>
        <v>0</v>
      </c>
      <c r="Y2078" s="38" t="n">
        <f aca="false">IF(AND(OR(T2078="Backlog",T2078="Pipeline",T2078="Overdue"),ISNUMBER(W2078)),IF(W2078&lt;=Settings!$B$6,Q2078,0),0)</f>
        <v>0</v>
      </c>
      <c r="Z2078" s="38" t="n">
        <f aca="false">IF(Y2078=0,0,IF(T2078="Backlog",Q2078,Q2078*Dashboard!$C$10))</f>
        <v>0</v>
      </c>
      <c r="AA2078" s="37" t="n">
        <f aca="false">IF($N2078="",0,IF(COUNTIF(Dashboard!$C$13:$C$22,$N2078)&gt;0,1,0))</f>
        <v>0</v>
      </c>
      <c r="AB2078" s="37" t="str">
        <f aca="false">IF($N2078="","",IF(COUNTIF($N$8:$N2078,$N2078)=1,MAX($AB$7:$AB2077)+1,""))</f>
        <v/>
      </c>
    </row>
    <row r="2079" customFormat="false" ht="15" hidden="false" customHeight="false" outlineLevel="0" collapsed="false">
      <c r="L2079" s="37" t="str">
        <f aca="false">IF(INDEX($A2079:$J2079,$L$6)&lt;&gt;"",TRIM(LEFT(INDEX($A2079:$J2079,$L$6),FIND("(",INDEX($A2079:$J2079,$L$6)&amp;"(")-1)),L2078)</f>
        <v>Building Value Proposition</v>
      </c>
      <c r="M2079" s="37" t="str">
        <f aca="false">IF(INDEX($A2079:$J2079,$M$6)="","",INDEX($A2079:$J2079,$M$6)&amp;"")</f>
        <v/>
      </c>
      <c r="N2079" s="37" t="str">
        <f aca="false">IF($M2079="","",TRIM(INDEX($A2079:$J2079,$N$6)&amp;""))</f>
        <v/>
      </c>
      <c r="O2079" s="37" t="str">
        <f aca="false">IF($M2079="","",TRIM(INDEX($A2079:$J2079,$O$6)&amp;""))</f>
        <v/>
      </c>
      <c r="P2079" s="37" t="str">
        <f aca="false">IF($M2079="","",IFERROR(IF(INDEX(Settings!$B$41:$B$50,MATCH(O2079,Settings!$A$41:$A$50,0))&amp;""="","UNMAPPED",INDEX(Settings!$B$41:$B$50,MATCH(O2079,Settings!$A$41:$A$50,0))&amp;""),"UNMAPPED"))</f>
        <v/>
      </c>
      <c r="Q2079" s="38" t="n">
        <f aca="false">IF($M2079="",0,N(INDEX($A2079:$J2079,$Q$6)))</f>
        <v>0</v>
      </c>
      <c r="R2079" s="39" t="str">
        <f aca="false">IF($M2079="","",INDEX($A2079:$J2079,$R$6))</f>
        <v/>
      </c>
      <c r="S2079" s="37" t="str">
        <f aca="false">IF($M2079="","",IFERROR(INDEX(Settings!$B$27:$B$36,MATCH(L2079,Settings!$A$27:$A$36,0))&amp;"","UNMAPPED"))</f>
        <v/>
      </c>
      <c r="T2079" s="37" t="str">
        <f aca="false">IF($M2079="","",IF(NOT(ISNUMBER(R2079)),"NO DATE",IF(S2079="Won",IF(R2079&gt;Settings!$B$5,"Backlog","Delivered"),IF(S2079="Open",IF(R2079&gt;Settings!$B$5,"Pipeline","Overdue"),IF(S2079="Lost","Lost","UNMAPPED")))))</f>
        <v/>
      </c>
      <c r="U2079" s="40" t="n">
        <f aca="false">IF(T2079="Backlog",1,IF(OR(T2079="Pipeline",T2079="Overdue"),N(INDEX(Settings!$C$27:$C$36,MATCH(L2079,Settings!$A$27:$A$36,0))),0))</f>
        <v>0</v>
      </c>
      <c r="V2079" s="38" t="n">
        <f aca="false">Q2079*U2079</f>
        <v>0</v>
      </c>
      <c r="W2079" s="41" t="str">
        <f aca="false">IF($M2079="","",IF(T2079="Overdue",IF(Settings!$B$8="Yes",Settings!$B$7,""),IF(ISNUMBER(R2079),DATE(YEAR(R2079),MONTH(R2079),1),"")))</f>
        <v/>
      </c>
      <c r="X2079" s="38" t="n">
        <f aca="false">IF(AND(OR(T2079="Backlog",T2079="Pipeline",T2079="Overdue"),ISNUMBER(W2079)),IF(W2079&lt;=Settings!$B$6,V2079,0),0)</f>
        <v>0</v>
      </c>
      <c r="Y2079" s="38" t="n">
        <f aca="false">IF(AND(OR(T2079="Backlog",T2079="Pipeline",T2079="Overdue"),ISNUMBER(W2079)),IF(W2079&lt;=Settings!$B$6,Q2079,0),0)</f>
        <v>0</v>
      </c>
      <c r="Z2079" s="38" t="n">
        <f aca="false">IF(Y2079=0,0,IF(T2079="Backlog",Q2079,Q2079*Dashboard!$C$10))</f>
        <v>0</v>
      </c>
      <c r="AA2079" s="37" t="n">
        <f aca="false">IF($N2079="",0,IF(COUNTIF(Dashboard!$C$13:$C$22,$N2079)&gt;0,1,0))</f>
        <v>0</v>
      </c>
      <c r="AB2079" s="37" t="str">
        <f aca="false">IF($N2079="","",IF(COUNTIF($N$8:$N2079,$N2079)=1,MAX($AB$7:$AB2078)+1,""))</f>
        <v/>
      </c>
    </row>
    <row r="2080" customFormat="false" ht="15" hidden="false" customHeight="false" outlineLevel="0" collapsed="false">
      <c r="L2080" s="37" t="str">
        <f aca="false">IF(INDEX($A2080:$J2080,$L$6)&lt;&gt;"",TRIM(LEFT(INDEX($A2080:$J2080,$L$6),FIND("(",INDEX($A2080:$J2080,$L$6)&amp;"(")-1)),L2079)</f>
        <v>Building Value Proposition</v>
      </c>
      <c r="M2080" s="37" t="str">
        <f aca="false">IF(INDEX($A2080:$J2080,$M$6)="","",INDEX($A2080:$J2080,$M$6)&amp;"")</f>
        <v/>
      </c>
      <c r="N2080" s="37" t="str">
        <f aca="false">IF($M2080="","",TRIM(INDEX($A2080:$J2080,$N$6)&amp;""))</f>
        <v/>
      </c>
      <c r="O2080" s="37" t="str">
        <f aca="false">IF($M2080="","",TRIM(INDEX($A2080:$J2080,$O$6)&amp;""))</f>
        <v/>
      </c>
      <c r="P2080" s="37" t="str">
        <f aca="false">IF($M2080="","",IFERROR(IF(INDEX(Settings!$B$41:$B$50,MATCH(O2080,Settings!$A$41:$A$50,0))&amp;""="","UNMAPPED",INDEX(Settings!$B$41:$B$50,MATCH(O2080,Settings!$A$41:$A$50,0))&amp;""),"UNMAPPED"))</f>
        <v/>
      </c>
      <c r="Q2080" s="38" t="n">
        <f aca="false">IF($M2080="",0,N(INDEX($A2080:$J2080,$Q$6)))</f>
        <v>0</v>
      </c>
      <c r="R2080" s="39" t="str">
        <f aca="false">IF($M2080="","",INDEX($A2080:$J2080,$R$6))</f>
        <v/>
      </c>
      <c r="S2080" s="37" t="str">
        <f aca="false">IF($M2080="","",IFERROR(INDEX(Settings!$B$27:$B$36,MATCH(L2080,Settings!$A$27:$A$36,0))&amp;"","UNMAPPED"))</f>
        <v/>
      </c>
      <c r="T2080" s="37" t="str">
        <f aca="false">IF($M2080="","",IF(NOT(ISNUMBER(R2080)),"NO DATE",IF(S2080="Won",IF(R2080&gt;Settings!$B$5,"Backlog","Delivered"),IF(S2080="Open",IF(R2080&gt;Settings!$B$5,"Pipeline","Overdue"),IF(S2080="Lost","Lost","UNMAPPED")))))</f>
        <v/>
      </c>
      <c r="U2080" s="40" t="n">
        <f aca="false">IF(T2080="Backlog",1,IF(OR(T2080="Pipeline",T2080="Overdue"),N(INDEX(Settings!$C$27:$C$36,MATCH(L2080,Settings!$A$27:$A$36,0))),0))</f>
        <v>0</v>
      </c>
      <c r="V2080" s="38" t="n">
        <f aca="false">Q2080*U2080</f>
        <v>0</v>
      </c>
      <c r="W2080" s="41" t="str">
        <f aca="false">IF($M2080="","",IF(T2080="Overdue",IF(Settings!$B$8="Yes",Settings!$B$7,""),IF(ISNUMBER(R2080),DATE(YEAR(R2080),MONTH(R2080),1),"")))</f>
        <v/>
      </c>
      <c r="X2080" s="38" t="n">
        <f aca="false">IF(AND(OR(T2080="Backlog",T2080="Pipeline",T2080="Overdue"),ISNUMBER(W2080)),IF(W2080&lt;=Settings!$B$6,V2080,0),0)</f>
        <v>0</v>
      </c>
      <c r="Y2080" s="38" t="n">
        <f aca="false">IF(AND(OR(T2080="Backlog",T2080="Pipeline",T2080="Overdue"),ISNUMBER(W2080)),IF(W2080&lt;=Settings!$B$6,Q2080,0),0)</f>
        <v>0</v>
      </c>
      <c r="Z2080" s="38" t="n">
        <f aca="false">IF(Y2080=0,0,IF(T2080="Backlog",Q2080,Q2080*Dashboard!$C$10))</f>
        <v>0</v>
      </c>
      <c r="AA2080" s="37" t="n">
        <f aca="false">IF($N2080="",0,IF(COUNTIF(Dashboard!$C$13:$C$22,$N2080)&gt;0,1,0))</f>
        <v>0</v>
      </c>
      <c r="AB2080" s="37" t="str">
        <f aca="false">IF($N2080="","",IF(COUNTIF($N$8:$N2080,$N2080)=1,MAX($AB$7:$AB2079)+1,""))</f>
        <v/>
      </c>
    </row>
    <row r="2081" customFormat="false" ht="15" hidden="false" customHeight="false" outlineLevel="0" collapsed="false">
      <c r="L2081" s="37" t="str">
        <f aca="false">IF(INDEX($A2081:$J2081,$L$6)&lt;&gt;"",TRIM(LEFT(INDEX($A2081:$J2081,$L$6),FIND("(",INDEX($A2081:$J2081,$L$6)&amp;"(")-1)),L2080)</f>
        <v>Building Value Proposition</v>
      </c>
      <c r="M2081" s="37" t="str">
        <f aca="false">IF(INDEX($A2081:$J2081,$M$6)="","",INDEX($A2081:$J2081,$M$6)&amp;"")</f>
        <v/>
      </c>
      <c r="N2081" s="37" t="str">
        <f aca="false">IF($M2081="","",TRIM(INDEX($A2081:$J2081,$N$6)&amp;""))</f>
        <v/>
      </c>
      <c r="O2081" s="37" t="str">
        <f aca="false">IF($M2081="","",TRIM(INDEX($A2081:$J2081,$O$6)&amp;""))</f>
        <v/>
      </c>
      <c r="P2081" s="37" t="str">
        <f aca="false">IF($M2081="","",IFERROR(IF(INDEX(Settings!$B$41:$B$50,MATCH(O2081,Settings!$A$41:$A$50,0))&amp;""="","UNMAPPED",INDEX(Settings!$B$41:$B$50,MATCH(O2081,Settings!$A$41:$A$50,0))&amp;""),"UNMAPPED"))</f>
        <v/>
      </c>
      <c r="Q2081" s="38" t="n">
        <f aca="false">IF($M2081="",0,N(INDEX($A2081:$J2081,$Q$6)))</f>
        <v>0</v>
      </c>
      <c r="R2081" s="39" t="str">
        <f aca="false">IF($M2081="","",INDEX($A2081:$J2081,$R$6))</f>
        <v/>
      </c>
      <c r="S2081" s="37" t="str">
        <f aca="false">IF($M2081="","",IFERROR(INDEX(Settings!$B$27:$B$36,MATCH(L2081,Settings!$A$27:$A$36,0))&amp;"","UNMAPPED"))</f>
        <v/>
      </c>
      <c r="T2081" s="37" t="str">
        <f aca="false">IF($M2081="","",IF(NOT(ISNUMBER(R2081)),"NO DATE",IF(S2081="Won",IF(R2081&gt;Settings!$B$5,"Backlog","Delivered"),IF(S2081="Open",IF(R2081&gt;Settings!$B$5,"Pipeline","Overdue"),IF(S2081="Lost","Lost","UNMAPPED")))))</f>
        <v/>
      </c>
      <c r="U2081" s="40" t="n">
        <f aca="false">IF(T2081="Backlog",1,IF(OR(T2081="Pipeline",T2081="Overdue"),N(INDEX(Settings!$C$27:$C$36,MATCH(L2081,Settings!$A$27:$A$36,0))),0))</f>
        <v>0</v>
      </c>
      <c r="V2081" s="38" t="n">
        <f aca="false">Q2081*U2081</f>
        <v>0</v>
      </c>
      <c r="W2081" s="41" t="str">
        <f aca="false">IF($M2081="","",IF(T2081="Overdue",IF(Settings!$B$8="Yes",Settings!$B$7,""),IF(ISNUMBER(R2081),DATE(YEAR(R2081),MONTH(R2081),1),"")))</f>
        <v/>
      </c>
      <c r="X2081" s="38" t="n">
        <f aca="false">IF(AND(OR(T2081="Backlog",T2081="Pipeline",T2081="Overdue"),ISNUMBER(W2081)),IF(W2081&lt;=Settings!$B$6,V2081,0),0)</f>
        <v>0</v>
      </c>
      <c r="Y2081" s="38" t="n">
        <f aca="false">IF(AND(OR(T2081="Backlog",T2081="Pipeline",T2081="Overdue"),ISNUMBER(W2081)),IF(W2081&lt;=Settings!$B$6,Q2081,0),0)</f>
        <v>0</v>
      </c>
      <c r="Z2081" s="38" t="n">
        <f aca="false">IF(Y2081=0,0,IF(T2081="Backlog",Q2081,Q2081*Dashboard!$C$10))</f>
        <v>0</v>
      </c>
      <c r="AA2081" s="37" t="n">
        <f aca="false">IF($N2081="",0,IF(COUNTIF(Dashboard!$C$13:$C$22,$N2081)&gt;0,1,0))</f>
        <v>0</v>
      </c>
      <c r="AB2081" s="37" t="str">
        <f aca="false">IF($N2081="","",IF(COUNTIF($N$8:$N2081,$N2081)=1,MAX($AB$7:$AB2080)+1,""))</f>
        <v/>
      </c>
    </row>
    <row r="2082" customFormat="false" ht="15" hidden="false" customHeight="false" outlineLevel="0" collapsed="false">
      <c r="L2082" s="37" t="str">
        <f aca="false">IF(INDEX($A2082:$J2082,$L$6)&lt;&gt;"",TRIM(LEFT(INDEX($A2082:$J2082,$L$6),FIND("(",INDEX($A2082:$J2082,$L$6)&amp;"(")-1)),L2081)</f>
        <v>Building Value Proposition</v>
      </c>
      <c r="M2082" s="37" t="str">
        <f aca="false">IF(INDEX($A2082:$J2082,$M$6)="","",INDEX($A2082:$J2082,$M$6)&amp;"")</f>
        <v/>
      </c>
      <c r="N2082" s="37" t="str">
        <f aca="false">IF($M2082="","",TRIM(INDEX($A2082:$J2082,$N$6)&amp;""))</f>
        <v/>
      </c>
      <c r="O2082" s="37" t="str">
        <f aca="false">IF($M2082="","",TRIM(INDEX($A2082:$J2082,$O$6)&amp;""))</f>
        <v/>
      </c>
      <c r="P2082" s="37" t="str">
        <f aca="false">IF($M2082="","",IFERROR(IF(INDEX(Settings!$B$41:$B$50,MATCH(O2082,Settings!$A$41:$A$50,0))&amp;""="","UNMAPPED",INDEX(Settings!$B$41:$B$50,MATCH(O2082,Settings!$A$41:$A$50,0))&amp;""),"UNMAPPED"))</f>
        <v/>
      </c>
      <c r="Q2082" s="38" t="n">
        <f aca="false">IF($M2082="",0,N(INDEX($A2082:$J2082,$Q$6)))</f>
        <v>0</v>
      </c>
      <c r="R2082" s="39" t="str">
        <f aca="false">IF($M2082="","",INDEX($A2082:$J2082,$R$6))</f>
        <v/>
      </c>
      <c r="S2082" s="37" t="str">
        <f aca="false">IF($M2082="","",IFERROR(INDEX(Settings!$B$27:$B$36,MATCH(L2082,Settings!$A$27:$A$36,0))&amp;"","UNMAPPED"))</f>
        <v/>
      </c>
      <c r="T2082" s="37" t="str">
        <f aca="false">IF($M2082="","",IF(NOT(ISNUMBER(R2082)),"NO DATE",IF(S2082="Won",IF(R2082&gt;Settings!$B$5,"Backlog","Delivered"),IF(S2082="Open",IF(R2082&gt;Settings!$B$5,"Pipeline","Overdue"),IF(S2082="Lost","Lost","UNMAPPED")))))</f>
        <v/>
      </c>
      <c r="U2082" s="40" t="n">
        <f aca="false">IF(T2082="Backlog",1,IF(OR(T2082="Pipeline",T2082="Overdue"),N(INDEX(Settings!$C$27:$C$36,MATCH(L2082,Settings!$A$27:$A$36,0))),0))</f>
        <v>0</v>
      </c>
      <c r="V2082" s="38" t="n">
        <f aca="false">Q2082*U2082</f>
        <v>0</v>
      </c>
      <c r="W2082" s="41" t="str">
        <f aca="false">IF($M2082="","",IF(T2082="Overdue",IF(Settings!$B$8="Yes",Settings!$B$7,""),IF(ISNUMBER(R2082),DATE(YEAR(R2082),MONTH(R2082),1),"")))</f>
        <v/>
      </c>
      <c r="X2082" s="38" t="n">
        <f aca="false">IF(AND(OR(T2082="Backlog",T2082="Pipeline",T2082="Overdue"),ISNUMBER(W2082)),IF(W2082&lt;=Settings!$B$6,V2082,0),0)</f>
        <v>0</v>
      </c>
      <c r="Y2082" s="38" t="n">
        <f aca="false">IF(AND(OR(T2082="Backlog",T2082="Pipeline",T2082="Overdue"),ISNUMBER(W2082)),IF(W2082&lt;=Settings!$B$6,Q2082,0),0)</f>
        <v>0</v>
      </c>
      <c r="Z2082" s="38" t="n">
        <f aca="false">IF(Y2082=0,0,IF(T2082="Backlog",Q2082,Q2082*Dashboard!$C$10))</f>
        <v>0</v>
      </c>
      <c r="AA2082" s="37" t="n">
        <f aca="false">IF($N2082="",0,IF(COUNTIF(Dashboard!$C$13:$C$22,$N2082)&gt;0,1,0))</f>
        <v>0</v>
      </c>
      <c r="AB2082" s="37" t="str">
        <f aca="false">IF($N2082="","",IF(COUNTIF($N$8:$N2082,$N2082)=1,MAX($AB$7:$AB2081)+1,""))</f>
        <v/>
      </c>
    </row>
    <row r="2083" customFormat="false" ht="15" hidden="false" customHeight="false" outlineLevel="0" collapsed="false">
      <c r="L2083" s="37" t="str">
        <f aca="false">IF(INDEX($A2083:$J2083,$L$6)&lt;&gt;"",TRIM(LEFT(INDEX($A2083:$J2083,$L$6),FIND("(",INDEX($A2083:$J2083,$L$6)&amp;"(")-1)),L2082)</f>
        <v>Building Value Proposition</v>
      </c>
      <c r="M2083" s="37" t="str">
        <f aca="false">IF(INDEX($A2083:$J2083,$M$6)="","",INDEX($A2083:$J2083,$M$6)&amp;"")</f>
        <v/>
      </c>
      <c r="N2083" s="37" t="str">
        <f aca="false">IF($M2083="","",TRIM(INDEX($A2083:$J2083,$N$6)&amp;""))</f>
        <v/>
      </c>
      <c r="O2083" s="37" t="str">
        <f aca="false">IF($M2083="","",TRIM(INDEX($A2083:$J2083,$O$6)&amp;""))</f>
        <v/>
      </c>
      <c r="P2083" s="37" t="str">
        <f aca="false">IF($M2083="","",IFERROR(IF(INDEX(Settings!$B$41:$B$50,MATCH(O2083,Settings!$A$41:$A$50,0))&amp;""="","UNMAPPED",INDEX(Settings!$B$41:$B$50,MATCH(O2083,Settings!$A$41:$A$50,0))&amp;""),"UNMAPPED"))</f>
        <v/>
      </c>
      <c r="Q2083" s="38" t="n">
        <f aca="false">IF($M2083="",0,N(INDEX($A2083:$J2083,$Q$6)))</f>
        <v>0</v>
      </c>
      <c r="R2083" s="39" t="str">
        <f aca="false">IF($M2083="","",INDEX($A2083:$J2083,$R$6))</f>
        <v/>
      </c>
      <c r="S2083" s="37" t="str">
        <f aca="false">IF($M2083="","",IFERROR(INDEX(Settings!$B$27:$B$36,MATCH(L2083,Settings!$A$27:$A$36,0))&amp;"","UNMAPPED"))</f>
        <v/>
      </c>
      <c r="T2083" s="37" t="str">
        <f aca="false">IF($M2083="","",IF(NOT(ISNUMBER(R2083)),"NO DATE",IF(S2083="Won",IF(R2083&gt;Settings!$B$5,"Backlog","Delivered"),IF(S2083="Open",IF(R2083&gt;Settings!$B$5,"Pipeline","Overdue"),IF(S2083="Lost","Lost","UNMAPPED")))))</f>
        <v/>
      </c>
      <c r="U2083" s="40" t="n">
        <f aca="false">IF(T2083="Backlog",1,IF(OR(T2083="Pipeline",T2083="Overdue"),N(INDEX(Settings!$C$27:$C$36,MATCH(L2083,Settings!$A$27:$A$36,0))),0))</f>
        <v>0</v>
      </c>
      <c r="V2083" s="38" t="n">
        <f aca="false">Q2083*U2083</f>
        <v>0</v>
      </c>
      <c r="W2083" s="41" t="str">
        <f aca="false">IF($M2083="","",IF(T2083="Overdue",IF(Settings!$B$8="Yes",Settings!$B$7,""),IF(ISNUMBER(R2083),DATE(YEAR(R2083),MONTH(R2083),1),"")))</f>
        <v/>
      </c>
      <c r="X2083" s="38" t="n">
        <f aca="false">IF(AND(OR(T2083="Backlog",T2083="Pipeline",T2083="Overdue"),ISNUMBER(W2083)),IF(W2083&lt;=Settings!$B$6,V2083,0),0)</f>
        <v>0</v>
      </c>
      <c r="Y2083" s="38" t="n">
        <f aca="false">IF(AND(OR(T2083="Backlog",T2083="Pipeline",T2083="Overdue"),ISNUMBER(W2083)),IF(W2083&lt;=Settings!$B$6,Q2083,0),0)</f>
        <v>0</v>
      </c>
      <c r="Z2083" s="38" t="n">
        <f aca="false">IF(Y2083=0,0,IF(T2083="Backlog",Q2083,Q2083*Dashboard!$C$10))</f>
        <v>0</v>
      </c>
      <c r="AA2083" s="37" t="n">
        <f aca="false">IF($N2083="",0,IF(COUNTIF(Dashboard!$C$13:$C$22,$N2083)&gt;0,1,0))</f>
        <v>0</v>
      </c>
      <c r="AB2083" s="37" t="str">
        <f aca="false">IF($N2083="","",IF(COUNTIF($N$8:$N2083,$N2083)=1,MAX($AB$7:$AB2082)+1,""))</f>
        <v/>
      </c>
    </row>
    <row r="2084" customFormat="false" ht="15" hidden="false" customHeight="false" outlineLevel="0" collapsed="false">
      <c r="L2084" s="37" t="str">
        <f aca="false">IF(INDEX($A2084:$J2084,$L$6)&lt;&gt;"",TRIM(LEFT(INDEX($A2084:$J2084,$L$6),FIND("(",INDEX($A2084:$J2084,$L$6)&amp;"(")-1)),L2083)</f>
        <v>Building Value Proposition</v>
      </c>
      <c r="M2084" s="37" t="str">
        <f aca="false">IF(INDEX($A2084:$J2084,$M$6)="","",INDEX($A2084:$J2084,$M$6)&amp;"")</f>
        <v/>
      </c>
      <c r="N2084" s="37" t="str">
        <f aca="false">IF($M2084="","",TRIM(INDEX($A2084:$J2084,$N$6)&amp;""))</f>
        <v/>
      </c>
      <c r="O2084" s="37" t="str">
        <f aca="false">IF($M2084="","",TRIM(INDEX($A2084:$J2084,$O$6)&amp;""))</f>
        <v/>
      </c>
      <c r="P2084" s="37" t="str">
        <f aca="false">IF($M2084="","",IFERROR(IF(INDEX(Settings!$B$41:$B$50,MATCH(O2084,Settings!$A$41:$A$50,0))&amp;""="","UNMAPPED",INDEX(Settings!$B$41:$B$50,MATCH(O2084,Settings!$A$41:$A$50,0))&amp;""),"UNMAPPED"))</f>
        <v/>
      </c>
      <c r="Q2084" s="38" t="n">
        <f aca="false">IF($M2084="",0,N(INDEX($A2084:$J2084,$Q$6)))</f>
        <v>0</v>
      </c>
      <c r="R2084" s="39" t="str">
        <f aca="false">IF($M2084="","",INDEX($A2084:$J2084,$R$6))</f>
        <v/>
      </c>
      <c r="S2084" s="37" t="str">
        <f aca="false">IF($M2084="","",IFERROR(INDEX(Settings!$B$27:$B$36,MATCH(L2084,Settings!$A$27:$A$36,0))&amp;"","UNMAPPED"))</f>
        <v/>
      </c>
      <c r="T2084" s="37" t="str">
        <f aca="false">IF($M2084="","",IF(NOT(ISNUMBER(R2084)),"NO DATE",IF(S2084="Won",IF(R2084&gt;Settings!$B$5,"Backlog","Delivered"),IF(S2084="Open",IF(R2084&gt;Settings!$B$5,"Pipeline","Overdue"),IF(S2084="Lost","Lost","UNMAPPED")))))</f>
        <v/>
      </c>
      <c r="U2084" s="40" t="n">
        <f aca="false">IF(T2084="Backlog",1,IF(OR(T2084="Pipeline",T2084="Overdue"),N(INDEX(Settings!$C$27:$C$36,MATCH(L2084,Settings!$A$27:$A$36,0))),0))</f>
        <v>0</v>
      </c>
      <c r="V2084" s="38" t="n">
        <f aca="false">Q2084*U2084</f>
        <v>0</v>
      </c>
      <c r="W2084" s="41" t="str">
        <f aca="false">IF($M2084="","",IF(T2084="Overdue",IF(Settings!$B$8="Yes",Settings!$B$7,""),IF(ISNUMBER(R2084),DATE(YEAR(R2084),MONTH(R2084),1),"")))</f>
        <v/>
      </c>
      <c r="X2084" s="38" t="n">
        <f aca="false">IF(AND(OR(T2084="Backlog",T2084="Pipeline",T2084="Overdue"),ISNUMBER(W2084)),IF(W2084&lt;=Settings!$B$6,V2084,0),0)</f>
        <v>0</v>
      </c>
      <c r="Y2084" s="38" t="n">
        <f aca="false">IF(AND(OR(T2084="Backlog",T2084="Pipeline",T2084="Overdue"),ISNUMBER(W2084)),IF(W2084&lt;=Settings!$B$6,Q2084,0),0)</f>
        <v>0</v>
      </c>
      <c r="Z2084" s="38" t="n">
        <f aca="false">IF(Y2084=0,0,IF(T2084="Backlog",Q2084,Q2084*Dashboard!$C$10))</f>
        <v>0</v>
      </c>
      <c r="AA2084" s="37" t="n">
        <f aca="false">IF($N2084="",0,IF(COUNTIF(Dashboard!$C$13:$C$22,$N2084)&gt;0,1,0))</f>
        <v>0</v>
      </c>
      <c r="AB2084" s="37" t="str">
        <f aca="false">IF($N2084="","",IF(COUNTIF($N$8:$N2084,$N2084)=1,MAX($AB$7:$AB2083)+1,""))</f>
        <v/>
      </c>
    </row>
    <row r="2085" customFormat="false" ht="15" hidden="false" customHeight="false" outlineLevel="0" collapsed="false">
      <c r="L2085" s="37" t="str">
        <f aca="false">IF(INDEX($A2085:$J2085,$L$6)&lt;&gt;"",TRIM(LEFT(INDEX($A2085:$J2085,$L$6),FIND("(",INDEX($A2085:$J2085,$L$6)&amp;"(")-1)),L2084)</f>
        <v>Building Value Proposition</v>
      </c>
      <c r="M2085" s="37" t="str">
        <f aca="false">IF(INDEX($A2085:$J2085,$M$6)="","",INDEX($A2085:$J2085,$M$6)&amp;"")</f>
        <v/>
      </c>
      <c r="N2085" s="37" t="str">
        <f aca="false">IF($M2085="","",TRIM(INDEX($A2085:$J2085,$N$6)&amp;""))</f>
        <v/>
      </c>
      <c r="O2085" s="37" t="str">
        <f aca="false">IF($M2085="","",TRIM(INDEX($A2085:$J2085,$O$6)&amp;""))</f>
        <v/>
      </c>
      <c r="P2085" s="37" t="str">
        <f aca="false">IF($M2085="","",IFERROR(IF(INDEX(Settings!$B$41:$B$50,MATCH(O2085,Settings!$A$41:$A$50,0))&amp;""="","UNMAPPED",INDEX(Settings!$B$41:$B$50,MATCH(O2085,Settings!$A$41:$A$50,0))&amp;""),"UNMAPPED"))</f>
        <v/>
      </c>
      <c r="Q2085" s="38" t="n">
        <f aca="false">IF($M2085="",0,N(INDEX($A2085:$J2085,$Q$6)))</f>
        <v>0</v>
      </c>
      <c r="R2085" s="39" t="str">
        <f aca="false">IF($M2085="","",INDEX($A2085:$J2085,$R$6))</f>
        <v/>
      </c>
      <c r="S2085" s="37" t="str">
        <f aca="false">IF($M2085="","",IFERROR(INDEX(Settings!$B$27:$B$36,MATCH(L2085,Settings!$A$27:$A$36,0))&amp;"","UNMAPPED"))</f>
        <v/>
      </c>
      <c r="T2085" s="37" t="str">
        <f aca="false">IF($M2085="","",IF(NOT(ISNUMBER(R2085)),"NO DATE",IF(S2085="Won",IF(R2085&gt;Settings!$B$5,"Backlog","Delivered"),IF(S2085="Open",IF(R2085&gt;Settings!$B$5,"Pipeline","Overdue"),IF(S2085="Lost","Lost","UNMAPPED")))))</f>
        <v/>
      </c>
      <c r="U2085" s="40" t="n">
        <f aca="false">IF(T2085="Backlog",1,IF(OR(T2085="Pipeline",T2085="Overdue"),N(INDEX(Settings!$C$27:$C$36,MATCH(L2085,Settings!$A$27:$A$36,0))),0))</f>
        <v>0</v>
      </c>
      <c r="V2085" s="38" t="n">
        <f aca="false">Q2085*U2085</f>
        <v>0</v>
      </c>
      <c r="W2085" s="41" t="str">
        <f aca="false">IF($M2085="","",IF(T2085="Overdue",IF(Settings!$B$8="Yes",Settings!$B$7,""),IF(ISNUMBER(R2085),DATE(YEAR(R2085),MONTH(R2085),1),"")))</f>
        <v/>
      </c>
      <c r="X2085" s="38" t="n">
        <f aca="false">IF(AND(OR(T2085="Backlog",T2085="Pipeline",T2085="Overdue"),ISNUMBER(W2085)),IF(W2085&lt;=Settings!$B$6,V2085,0),0)</f>
        <v>0</v>
      </c>
      <c r="Y2085" s="38" t="n">
        <f aca="false">IF(AND(OR(T2085="Backlog",T2085="Pipeline",T2085="Overdue"),ISNUMBER(W2085)),IF(W2085&lt;=Settings!$B$6,Q2085,0),0)</f>
        <v>0</v>
      </c>
      <c r="Z2085" s="38" t="n">
        <f aca="false">IF(Y2085=0,0,IF(T2085="Backlog",Q2085,Q2085*Dashboard!$C$10))</f>
        <v>0</v>
      </c>
      <c r="AA2085" s="37" t="n">
        <f aca="false">IF($N2085="",0,IF(COUNTIF(Dashboard!$C$13:$C$22,$N2085)&gt;0,1,0))</f>
        <v>0</v>
      </c>
      <c r="AB2085" s="37" t="str">
        <f aca="false">IF($N2085="","",IF(COUNTIF($N$8:$N2085,$N2085)=1,MAX($AB$7:$AB2084)+1,""))</f>
        <v/>
      </c>
    </row>
    <row r="2086" customFormat="false" ht="15" hidden="false" customHeight="false" outlineLevel="0" collapsed="false">
      <c r="L2086" s="37" t="str">
        <f aca="false">IF(INDEX($A2086:$J2086,$L$6)&lt;&gt;"",TRIM(LEFT(INDEX($A2086:$J2086,$L$6),FIND("(",INDEX($A2086:$J2086,$L$6)&amp;"(")-1)),L2085)</f>
        <v>Building Value Proposition</v>
      </c>
      <c r="M2086" s="37" t="str">
        <f aca="false">IF(INDEX($A2086:$J2086,$M$6)="","",INDEX($A2086:$J2086,$M$6)&amp;"")</f>
        <v/>
      </c>
      <c r="N2086" s="37" t="str">
        <f aca="false">IF($M2086="","",TRIM(INDEX($A2086:$J2086,$N$6)&amp;""))</f>
        <v/>
      </c>
      <c r="O2086" s="37" t="str">
        <f aca="false">IF($M2086="","",TRIM(INDEX($A2086:$J2086,$O$6)&amp;""))</f>
        <v/>
      </c>
      <c r="P2086" s="37" t="str">
        <f aca="false">IF($M2086="","",IFERROR(IF(INDEX(Settings!$B$41:$B$50,MATCH(O2086,Settings!$A$41:$A$50,0))&amp;""="","UNMAPPED",INDEX(Settings!$B$41:$B$50,MATCH(O2086,Settings!$A$41:$A$50,0))&amp;""),"UNMAPPED"))</f>
        <v/>
      </c>
      <c r="Q2086" s="38" t="n">
        <f aca="false">IF($M2086="",0,N(INDEX($A2086:$J2086,$Q$6)))</f>
        <v>0</v>
      </c>
      <c r="R2086" s="39" t="str">
        <f aca="false">IF($M2086="","",INDEX($A2086:$J2086,$R$6))</f>
        <v/>
      </c>
      <c r="S2086" s="37" t="str">
        <f aca="false">IF($M2086="","",IFERROR(INDEX(Settings!$B$27:$B$36,MATCH(L2086,Settings!$A$27:$A$36,0))&amp;"","UNMAPPED"))</f>
        <v/>
      </c>
      <c r="T2086" s="37" t="str">
        <f aca="false">IF($M2086="","",IF(NOT(ISNUMBER(R2086)),"NO DATE",IF(S2086="Won",IF(R2086&gt;Settings!$B$5,"Backlog","Delivered"),IF(S2086="Open",IF(R2086&gt;Settings!$B$5,"Pipeline","Overdue"),IF(S2086="Lost","Lost","UNMAPPED")))))</f>
        <v/>
      </c>
      <c r="U2086" s="40" t="n">
        <f aca="false">IF(T2086="Backlog",1,IF(OR(T2086="Pipeline",T2086="Overdue"),N(INDEX(Settings!$C$27:$C$36,MATCH(L2086,Settings!$A$27:$A$36,0))),0))</f>
        <v>0</v>
      </c>
      <c r="V2086" s="38" t="n">
        <f aca="false">Q2086*U2086</f>
        <v>0</v>
      </c>
      <c r="W2086" s="41" t="str">
        <f aca="false">IF($M2086="","",IF(T2086="Overdue",IF(Settings!$B$8="Yes",Settings!$B$7,""),IF(ISNUMBER(R2086),DATE(YEAR(R2086),MONTH(R2086),1),"")))</f>
        <v/>
      </c>
      <c r="X2086" s="38" t="n">
        <f aca="false">IF(AND(OR(T2086="Backlog",T2086="Pipeline",T2086="Overdue"),ISNUMBER(W2086)),IF(W2086&lt;=Settings!$B$6,V2086,0),0)</f>
        <v>0</v>
      </c>
      <c r="Y2086" s="38" t="n">
        <f aca="false">IF(AND(OR(T2086="Backlog",T2086="Pipeline",T2086="Overdue"),ISNUMBER(W2086)),IF(W2086&lt;=Settings!$B$6,Q2086,0),0)</f>
        <v>0</v>
      </c>
      <c r="Z2086" s="38" t="n">
        <f aca="false">IF(Y2086=0,0,IF(T2086="Backlog",Q2086,Q2086*Dashboard!$C$10))</f>
        <v>0</v>
      </c>
      <c r="AA2086" s="37" t="n">
        <f aca="false">IF($N2086="",0,IF(COUNTIF(Dashboard!$C$13:$C$22,$N2086)&gt;0,1,0))</f>
        <v>0</v>
      </c>
      <c r="AB2086" s="37" t="str">
        <f aca="false">IF($N2086="","",IF(COUNTIF($N$8:$N2086,$N2086)=1,MAX($AB$7:$AB2085)+1,""))</f>
        <v/>
      </c>
    </row>
    <row r="2087" customFormat="false" ht="15" hidden="false" customHeight="false" outlineLevel="0" collapsed="false">
      <c r="L2087" s="37" t="str">
        <f aca="false">IF(INDEX($A2087:$J2087,$L$6)&lt;&gt;"",TRIM(LEFT(INDEX($A2087:$J2087,$L$6),FIND("(",INDEX($A2087:$J2087,$L$6)&amp;"(")-1)),L2086)</f>
        <v>Building Value Proposition</v>
      </c>
      <c r="M2087" s="37" t="str">
        <f aca="false">IF(INDEX($A2087:$J2087,$M$6)="","",INDEX($A2087:$J2087,$M$6)&amp;"")</f>
        <v/>
      </c>
      <c r="N2087" s="37" t="str">
        <f aca="false">IF($M2087="","",TRIM(INDEX($A2087:$J2087,$N$6)&amp;""))</f>
        <v/>
      </c>
      <c r="O2087" s="37" t="str">
        <f aca="false">IF($M2087="","",TRIM(INDEX($A2087:$J2087,$O$6)&amp;""))</f>
        <v/>
      </c>
      <c r="P2087" s="37" t="str">
        <f aca="false">IF($M2087="","",IFERROR(IF(INDEX(Settings!$B$41:$B$50,MATCH(O2087,Settings!$A$41:$A$50,0))&amp;""="","UNMAPPED",INDEX(Settings!$B$41:$B$50,MATCH(O2087,Settings!$A$41:$A$50,0))&amp;""),"UNMAPPED"))</f>
        <v/>
      </c>
      <c r="Q2087" s="38" t="n">
        <f aca="false">IF($M2087="",0,N(INDEX($A2087:$J2087,$Q$6)))</f>
        <v>0</v>
      </c>
      <c r="R2087" s="39" t="str">
        <f aca="false">IF($M2087="","",INDEX($A2087:$J2087,$R$6))</f>
        <v/>
      </c>
      <c r="S2087" s="37" t="str">
        <f aca="false">IF($M2087="","",IFERROR(INDEX(Settings!$B$27:$B$36,MATCH(L2087,Settings!$A$27:$A$36,0))&amp;"","UNMAPPED"))</f>
        <v/>
      </c>
      <c r="T2087" s="37" t="str">
        <f aca="false">IF($M2087="","",IF(NOT(ISNUMBER(R2087)),"NO DATE",IF(S2087="Won",IF(R2087&gt;Settings!$B$5,"Backlog","Delivered"),IF(S2087="Open",IF(R2087&gt;Settings!$B$5,"Pipeline","Overdue"),IF(S2087="Lost","Lost","UNMAPPED")))))</f>
        <v/>
      </c>
      <c r="U2087" s="40" t="n">
        <f aca="false">IF(T2087="Backlog",1,IF(OR(T2087="Pipeline",T2087="Overdue"),N(INDEX(Settings!$C$27:$C$36,MATCH(L2087,Settings!$A$27:$A$36,0))),0))</f>
        <v>0</v>
      </c>
      <c r="V2087" s="38" t="n">
        <f aca="false">Q2087*U2087</f>
        <v>0</v>
      </c>
      <c r="W2087" s="41" t="str">
        <f aca="false">IF($M2087="","",IF(T2087="Overdue",IF(Settings!$B$8="Yes",Settings!$B$7,""),IF(ISNUMBER(R2087),DATE(YEAR(R2087),MONTH(R2087),1),"")))</f>
        <v/>
      </c>
      <c r="X2087" s="38" t="n">
        <f aca="false">IF(AND(OR(T2087="Backlog",T2087="Pipeline",T2087="Overdue"),ISNUMBER(W2087)),IF(W2087&lt;=Settings!$B$6,V2087,0),0)</f>
        <v>0</v>
      </c>
      <c r="Y2087" s="38" t="n">
        <f aca="false">IF(AND(OR(T2087="Backlog",T2087="Pipeline",T2087="Overdue"),ISNUMBER(W2087)),IF(W2087&lt;=Settings!$B$6,Q2087,0),0)</f>
        <v>0</v>
      </c>
      <c r="Z2087" s="38" t="n">
        <f aca="false">IF(Y2087=0,0,IF(T2087="Backlog",Q2087,Q2087*Dashboard!$C$10))</f>
        <v>0</v>
      </c>
      <c r="AA2087" s="37" t="n">
        <f aca="false">IF($N2087="",0,IF(COUNTIF(Dashboard!$C$13:$C$22,$N2087)&gt;0,1,0))</f>
        <v>0</v>
      </c>
      <c r="AB2087" s="37" t="str">
        <f aca="false">IF($N2087="","",IF(COUNTIF($N$8:$N2087,$N2087)=1,MAX($AB$7:$AB2086)+1,""))</f>
        <v/>
      </c>
    </row>
    <row r="2088" customFormat="false" ht="15" hidden="false" customHeight="false" outlineLevel="0" collapsed="false">
      <c r="L2088" s="37" t="str">
        <f aca="false">IF(INDEX($A2088:$J2088,$L$6)&lt;&gt;"",TRIM(LEFT(INDEX($A2088:$J2088,$L$6),FIND("(",INDEX($A2088:$J2088,$L$6)&amp;"(")-1)),L2087)</f>
        <v>Building Value Proposition</v>
      </c>
      <c r="M2088" s="37" t="str">
        <f aca="false">IF(INDEX($A2088:$J2088,$M$6)="","",INDEX($A2088:$J2088,$M$6)&amp;"")</f>
        <v/>
      </c>
      <c r="N2088" s="37" t="str">
        <f aca="false">IF($M2088="","",TRIM(INDEX($A2088:$J2088,$N$6)&amp;""))</f>
        <v/>
      </c>
      <c r="O2088" s="37" t="str">
        <f aca="false">IF($M2088="","",TRIM(INDEX($A2088:$J2088,$O$6)&amp;""))</f>
        <v/>
      </c>
      <c r="P2088" s="37" t="str">
        <f aca="false">IF($M2088="","",IFERROR(IF(INDEX(Settings!$B$41:$B$50,MATCH(O2088,Settings!$A$41:$A$50,0))&amp;""="","UNMAPPED",INDEX(Settings!$B$41:$B$50,MATCH(O2088,Settings!$A$41:$A$50,0))&amp;""),"UNMAPPED"))</f>
        <v/>
      </c>
      <c r="Q2088" s="38" t="n">
        <f aca="false">IF($M2088="",0,N(INDEX($A2088:$J2088,$Q$6)))</f>
        <v>0</v>
      </c>
      <c r="R2088" s="39" t="str">
        <f aca="false">IF($M2088="","",INDEX($A2088:$J2088,$R$6))</f>
        <v/>
      </c>
      <c r="S2088" s="37" t="str">
        <f aca="false">IF($M2088="","",IFERROR(INDEX(Settings!$B$27:$B$36,MATCH(L2088,Settings!$A$27:$A$36,0))&amp;"","UNMAPPED"))</f>
        <v/>
      </c>
      <c r="T2088" s="37" t="str">
        <f aca="false">IF($M2088="","",IF(NOT(ISNUMBER(R2088)),"NO DATE",IF(S2088="Won",IF(R2088&gt;Settings!$B$5,"Backlog","Delivered"),IF(S2088="Open",IF(R2088&gt;Settings!$B$5,"Pipeline","Overdue"),IF(S2088="Lost","Lost","UNMAPPED")))))</f>
        <v/>
      </c>
      <c r="U2088" s="40" t="n">
        <f aca="false">IF(T2088="Backlog",1,IF(OR(T2088="Pipeline",T2088="Overdue"),N(INDEX(Settings!$C$27:$C$36,MATCH(L2088,Settings!$A$27:$A$36,0))),0))</f>
        <v>0</v>
      </c>
      <c r="V2088" s="38" t="n">
        <f aca="false">Q2088*U2088</f>
        <v>0</v>
      </c>
      <c r="W2088" s="41" t="str">
        <f aca="false">IF($M2088="","",IF(T2088="Overdue",IF(Settings!$B$8="Yes",Settings!$B$7,""),IF(ISNUMBER(R2088),DATE(YEAR(R2088),MONTH(R2088),1),"")))</f>
        <v/>
      </c>
      <c r="X2088" s="38" t="n">
        <f aca="false">IF(AND(OR(T2088="Backlog",T2088="Pipeline",T2088="Overdue"),ISNUMBER(W2088)),IF(W2088&lt;=Settings!$B$6,V2088,0),0)</f>
        <v>0</v>
      </c>
      <c r="Y2088" s="38" t="n">
        <f aca="false">IF(AND(OR(T2088="Backlog",T2088="Pipeline",T2088="Overdue"),ISNUMBER(W2088)),IF(W2088&lt;=Settings!$B$6,Q2088,0),0)</f>
        <v>0</v>
      </c>
      <c r="Z2088" s="38" t="n">
        <f aca="false">IF(Y2088=0,0,IF(T2088="Backlog",Q2088,Q2088*Dashboard!$C$10))</f>
        <v>0</v>
      </c>
      <c r="AA2088" s="37" t="n">
        <f aca="false">IF($N2088="",0,IF(COUNTIF(Dashboard!$C$13:$C$22,$N2088)&gt;0,1,0))</f>
        <v>0</v>
      </c>
      <c r="AB2088" s="37" t="str">
        <f aca="false">IF($N2088="","",IF(COUNTIF($N$8:$N2088,$N2088)=1,MAX($AB$7:$AB2087)+1,""))</f>
        <v/>
      </c>
    </row>
    <row r="2089" customFormat="false" ht="15" hidden="false" customHeight="false" outlineLevel="0" collapsed="false">
      <c r="L2089" s="37" t="str">
        <f aca="false">IF(INDEX($A2089:$J2089,$L$6)&lt;&gt;"",TRIM(LEFT(INDEX($A2089:$J2089,$L$6),FIND("(",INDEX($A2089:$J2089,$L$6)&amp;"(")-1)),L2088)</f>
        <v>Building Value Proposition</v>
      </c>
      <c r="M2089" s="37" t="str">
        <f aca="false">IF(INDEX($A2089:$J2089,$M$6)="","",INDEX($A2089:$J2089,$M$6)&amp;"")</f>
        <v/>
      </c>
      <c r="N2089" s="37" t="str">
        <f aca="false">IF($M2089="","",TRIM(INDEX($A2089:$J2089,$N$6)&amp;""))</f>
        <v/>
      </c>
      <c r="O2089" s="37" t="str">
        <f aca="false">IF($M2089="","",TRIM(INDEX($A2089:$J2089,$O$6)&amp;""))</f>
        <v/>
      </c>
      <c r="P2089" s="37" t="str">
        <f aca="false">IF($M2089="","",IFERROR(IF(INDEX(Settings!$B$41:$B$50,MATCH(O2089,Settings!$A$41:$A$50,0))&amp;""="","UNMAPPED",INDEX(Settings!$B$41:$B$50,MATCH(O2089,Settings!$A$41:$A$50,0))&amp;""),"UNMAPPED"))</f>
        <v/>
      </c>
      <c r="Q2089" s="38" t="n">
        <f aca="false">IF($M2089="",0,N(INDEX($A2089:$J2089,$Q$6)))</f>
        <v>0</v>
      </c>
      <c r="R2089" s="39" t="str">
        <f aca="false">IF($M2089="","",INDEX($A2089:$J2089,$R$6))</f>
        <v/>
      </c>
      <c r="S2089" s="37" t="str">
        <f aca="false">IF($M2089="","",IFERROR(INDEX(Settings!$B$27:$B$36,MATCH(L2089,Settings!$A$27:$A$36,0))&amp;"","UNMAPPED"))</f>
        <v/>
      </c>
      <c r="T2089" s="37" t="str">
        <f aca="false">IF($M2089="","",IF(NOT(ISNUMBER(R2089)),"NO DATE",IF(S2089="Won",IF(R2089&gt;Settings!$B$5,"Backlog","Delivered"),IF(S2089="Open",IF(R2089&gt;Settings!$B$5,"Pipeline","Overdue"),IF(S2089="Lost","Lost","UNMAPPED")))))</f>
        <v/>
      </c>
      <c r="U2089" s="40" t="n">
        <f aca="false">IF(T2089="Backlog",1,IF(OR(T2089="Pipeline",T2089="Overdue"),N(INDEX(Settings!$C$27:$C$36,MATCH(L2089,Settings!$A$27:$A$36,0))),0))</f>
        <v>0</v>
      </c>
      <c r="V2089" s="38" t="n">
        <f aca="false">Q2089*U2089</f>
        <v>0</v>
      </c>
      <c r="W2089" s="41" t="str">
        <f aca="false">IF($M2089="","",IF(T2089="Overdue",IF(Settings!$B$8="Yes",Settings!$B$7,""),IF(ISNUMBER(R2089),DATE(YEAR(R2089),MONTH(R2089),1),"")))</f>
        <v/>
      </c>
      <c r="X2089" s="38" t="n">
        <f aca="false">IF(AND(OR(T2089="Backlog",T2089="Pipeline",T2089="Overdue"),ISNUMBER(W2089)),IF(W2089&lt;=Settings!$B$6,V2089,0),0)</f>
        <v>0</v>
      </c>
      <c r="Y2089" s="38" t="n">
        <f aca="false">IF(AND(OR(T2089="Backlog",T2089="Pipeline",T2089="Overdue"),ISNUMBER(W2089)),IF(W2089&lt;=Settings!$B$6,Q2089,0),0)</f>
        <v>0</v>
      </c>
      <c r="Z2089" s="38" t="n">
        <f aca="false">IF(Y2089=0,0,IF(T2089="Backlog",Q2089,Q2089*Dashboard!$C$10))</f>
        <v>0</v>
      </c>
      <c r="AA2089" s="37" t="n">
        <f aca="false">IF($N2089="",0,IF(COUNTIF(Dashboard!$C$13:$C$22,$N2089)&gt;0,1,0))</f>
        <v>0</v>
      </c>
      <c r="AB2089" s="37" t="str">
        <f aca="false">IF($N2089="","",IF(COUNTIF($N$8:$N2089,$N2089)=1,MAX($AB$7:$AB2088)+1,""))</f>
        <v/>
      </c>
    </row>
    <row r="2090" customFormat="false" ht="15" hidden="false" customHeight="false" outlineLevel="0" collapsed="false">
      <c r="L2090" s="37" t="str">
        <f aca="false">IF(INDEX($A2090:$J2090,$L$6)&lt;&gt;"",TRIM(LEFT(INDEX($A2090:$J2090,$L$6),FIND("(",INDEX($A2090:$J2090,$L$6)&amp;"(")-1)),L2089)</f>
        <v>Building Value Proposition</v>
      </c>
      <c r="M2090" s="37" t="str">
        <f aca="false">IF(INDEX($A2090:$J2090,$M$6)="","",INDEX($A2090:$J2090,$M$6)&amp;"")</f>
        <v/>
      </c>
      <c r="N2090" s="37" t="str">
        <f aca="false">IF($M2090="","",TRIM(INDEX($A2090:$J2090,$N$6)&amp;""))</f>
        <v/>
      </c>
      <c r="O2090" s="37" t="str">
        <f aca="false">IF($M2090="","",TRIM(INDEX($A2090:$J2090,$O$6)&amp;""))</f>
        <v/>
      </c>
      <c r="P2090" s="37" t="str">
        <f aca="false">IF($M2090="","",IFERROR(IF(INDEX(Settings!$B$41:$B$50,MATCH(O2090,Settings!$A$41:$A$50,0))&amp;""="","UNMAPPED",INDEX(Settings!$B$41:$B$50,MATCH(O2090,Settings!$A$41:$A$50,0))&amp;""),"UNMAPPED"))</f>
        <v/>
      </c>
      <c r="Q2090" s="38" t="n">
        <f aca="false">IF($M2090="",0,N(INDEX($A2090:$J2090,$Q$6)))</f>
        <v>0</v>
      </c>
      <c r="R2090" s="39" t="str">
        <f aca="false">IF($M2090="","",INDEX($A2090:$J2090,$R$6))</f>
        <v/>
      </c>
      <c r="S2090" s="37" t="str">
        <f aca="false">IF($M2090="","",IFERROR(INDEX(Settings!$B$27:$B$36,MATCH(L2090,Settings!$A$27:$A$36,0))&amp;"","UNMAPPED"))</f>
        <v/>
      </c>
      <c r="T2090" s="37" t="str">
        <f aca="false">IF($M2090="","",IF(NOT(ISNUMBER(R2090)),"NO DATE",IF(S2090="Won",IF(R2090&gt;Settings!$B$5,"Backlog","Delivered"),IF(S2090="Open",IF(R2090&gt;Settings!$B$5,"Pipeline","Overdue"),IF(S2090="Lost","Lost","UNMAPPED")))))</f>
        <v/>
      </c>
      <c r="U2090" s="40" t="n">
        <f aca="false">IF(T2090="Backlog",1,IF(OR(T2090="Pipeline",T2090="Overdue"),N(INDEX(Settings!$C$27:$C$36,MATCH(L2090,Settings!$A$27:$A$36,0))),0))</f>
        <v>0</v>
      </c>
      <c r="V2090" s="38" t="n">
        <f aca="false">Q2090*U2090</f>
        <v>0</v>
      </c>
      <c r="W2090" s="41" t="str">
        <f aca="false">IF($M2090="","",IF(T2090="Overdue",IF(Settings!$B$8="Yes",Settings!$B$7,""),IF(ISNUMBER(R2090),DATE(YEAR(R2090),MONTH(R2090),1),"")))</f>
        <v/>
      </c>
      <c r="X2090" s="38" t="n">
        <f aca="false">IF(AND(OR(T2090="Backlog",T2090="Pipeline",T2090="Overdue"),ISNUMBER(W2090)),IF(W2090&lt;=Settings!$B$6,V2090,0),0)</f>
        <v>0</v>
      </c>
      <c r="Y2090" s="38" t="n">
        <f aca="false">IF(AND(OR(T2090="Backlog",T2090="Pipeline",T2090="Overdue"),ISNUMBER(W2090)),IF(W2090&lt;=Settings!$B$6,Q2090,0),0)</f>
        <v>0</v>
      </c>
      <c r="Z2090" s="38" t="n">
        <f aca="false">IF(Y2090=0,0,IF(T2090="Backlog",Q2090,Q2090*Dashboard!$C$10))</f>
        <v>0</v>
      </c>
      <c r="AA2090" s="37" t="n">
        <f aca="false">IF($N2090="",0,IF(COUNTIF(Dashboard!$C$13:$C$22,$N2090)&gt;0,1,0))</f>
        <v>0</v>
      </c>
      <c r="AB2090" s="37" t="str">
        <f aca="false">IF($N2090="","",IF(COUNTIF($N$8:$N2090,$N2090)=1,MAX($AB$7:$AB2089)+1,""))</f>
        <v/>
      </c>
    </row>
    <row r="2091" customFormat="false" ht="15" hidden="false" customHeight="false" outlineLevel="0" collapsed="false">
      <c r="L2091" s="37" t="str">
        <f aca="false">IF(INDEX($A2091:$J2091,$L$6)&lt;&gt;"",TRIM(LEFT(INDEX($A2091:$J2091,$L$6),FIND("(",INDEX($A2091:$J2091,$L$6)&amp;"(")-1)),L2090)</f>
        <v>Building Value Proposition</v>
      </c>
      <c r="M2091" s="37" t="str">
        <f aca="false">IF(INDEX($A2091:$J2091,$M$6)="","",INDEX($A2091:$J2091,$M$6)&amp;"")</f>
        <v/>
      </c>
      <c r="N2091" s="37" t="str">
        <f aca="false">IF($M2091="","",TRIM(INDEX($A2091:$J2091,$N$6)&amp;""))</f>
        <v/>
      </c>
      <c r="O2091" s="37" t="str">
        <f aca="false">IF($M2091="","",TRIM(INDEX($A2091:$J2091,$O$6)&amp;""))</f>
        <v/>
      </c>
      <c r="P2091" s="37" t="str">
        <f aca="false">IF($M2091="","",IFERROR(IF(INDEX(Settings!$B$41:$B$50,MATCH(O2091,Settings!$A$41:$A$50,0))&amp;""="","UNMAPPED",INDEX(Settings!$B$41:$B$50,MATCH(O2091,Settings!$A$41:$A$50,0))&amp;""),"UNMAPPED"))</f>
        <v/>
      </c>
      <c r="Q2091" s="38" t="n">
        <f aca="false">IF($M2091="",0,N(INDEX($A2091:$J2091,$Q$6)))</f>
        <v>0</v>
      </c>
      <c r="R2091" s="39" t="str">
        <f aca="false">IF($M2091="","",INDEX($A2091:$J2091,$R$6))</f>
        <v/>
      </c>
      <c r="S2091" s="37" t="str">
        <f aca="false">IF($M2091="","",IFERROR(INDEX(Settings!$B$27:$B$36,MATCH(L2091,Settings!$A$27:$A$36,0))&amp;"","UNMAPPED"))</f>
        <v/>
      </c>
      <c r="T2091" s="37" t="str">
        <f aca="false">IF($M2091="","",IF(NOT(ISNUMBER(R2091)),"NO DATE",IF(S2091="Won",IF(R2091&gt;Settings!$B$5,"Backlog","Delivered"),IF(S2091="Open",IF(R2091&gt;Settings!$B$5,"Pipeline","Overdue"),IF(S2091="Lost","Lost","UNMAPPED")))))</f>
        <v/>
      </c>
      <c r="U2091" s="40" t="n">
        <f aca="false">IF(T2091="Backlog",1,IF(OR(T2091="Pipeline",T2091="Overdue"),N(INDEX(Settings!$C$27:$C$36,MATCH(L2091,Settings!$A$27:$A$36,0))),0))</f>
        <v>0</v>
      </c>
      <c r="V2091" s="38" t="n">
        <f aca="false">Q2091*U2091</f>
        <v>0</v>
      </c>
      <c r="W2091" s="41" t="str">
        <f aca="false">IF($M2091="","",IF(T2091="Overdue",IF(Settings!$B$8="Yes",Settings!$B$7,""),IF(ISNUMBER(R2091),DATE(YEAR(R2091),MONTH(R2091),1),"")))</f>
        <v/>
      </c>
      <c r="X2091" s="38" t="n">
        <f aca="false">IF(AND(OR(T2091="Backlog",T2091="Pipeline",T2091="Overdue"),ISNUMBER(W2091)),IF(W2091&lt;=Settings!$B$6,V2091,0),0)</f>
        <v>0</v>
      </c>
      <c r="Y2091" s="38" t="n">
        <f aca="false">IF(AND(OR(T2091="Backlog",T2091="Pipeline",T2091="Overdue"),ISNUMBER(W2091)),IF(W2091&lt;=Settings!$B$6,Q2091,0),0)</f>
        <v>0</v>
      </c>
      <c r="Z2091" s="38" t="n">
        <f aca="false">IF(Y2091=0,0,IF(T2091="Backlog",Q2091,Q2091*Dashboard!$C$10))</f>
        <v>0</v>
      </c>
      <c r="AA2091" s="37" t="n">
        <f aca="false">IF($N2091="",0,IF(COUNTIF(Dashboard!$C$13:$C$22,$N2091)&gt;0,1,0))</f>
        <v>0</v>
      </c>
      <c r="AB2091" s="37" t="str">
        <f aca="false">IF($N2091="","",IF(COUNTIF($N$8:$N2091,$N2091)=1,MAX($AB$7:$AB2090)+1,""))</f>
        <v/>
      </c>
    </row>
    <row r="2092" customFormat="false" ht="15" hidden="false" customHeight="false" outlineLevel="0" collapsed="false">
      <c r="L2092" s="37" t="str">
        <f aca="false">IF(INDEX($A2092:$J2092,$L$6)&lt;&gt;"",TRIM(LEFT(INDEX($A2092:$J2092,$L$6),FIND("(",INDEX($A2092:$J2092,$L$6)&amp;"(")-1)),L2091)</f>
        <v>Building Value Proposition</v>
      </c>
      <c r="M2092" s="37" t="str">
        <f aca="false">IF(INDEX($A2092:$J2092,$M$6)="","",INDEX($A2092:$J2092,$M$6)&amp;"")</f>
        <v/>
      </c>
      <c r="N2092" s="37" t="str">
        <f aca="false">IF($M2092="","",TRIM(INDEX($A2092:$J2092,$N$6)&amp;""))</f>
        <v/>
      </c>
      <c r="O2092" s="37" t="str">
        <f aca="false">IF($M2092="","",TRIM(INDEX($A2092:$J2092,$O$6)&amp;""))</f>
        <v/>
      </c>
      <c r="P2092" s="37" t="str">
        <f aca="false">IF($M2092="","",IFERROR(IF(INDEX(Settings!$B$41:$B$50,MATCH(O2092,Settings!$A$41:$A$50,0))&amp;""="","UNMAPPED",INDEX(Settings!$B$41:$B$50,MATCH(O2092,Settings!$A$41:$A$50,0))&amp;""),"UNMAPPED"))</f>
        <v/>
      </c>
      <c r="Q2092" s="38" t="n">
        <f aca="false">IF($M2092="",0,N(INDEX($A2092:$J2092,$Q$6)))</f>
        <v>0</v>
      </c>
      <c r="R2092" s="39" t="str">
        <f aca="false">IF($M2092="","",INDEX($A2092:$J2092,$R$6))</f>
        <v/>
      </c>
      <c r="S2092" s="37" t="str">
        <f aca="false">IF($M2092="","",IFERROR(INDEX(Settings!$B$27:$B$36,MATCH(L2092,Settings!$A$27:$A$36,0))&amp;"","UNMAPPED"))</f>
        <v/>
      </c>
      <c r="T2092" s="37" t="str">
        <f aca="false">IF($M2092="","",IF(NOT(ISNUMBER(R2092)),"NO DATE",IF(S2092="Won",IF(R2092&gt;Settings!$B$5,"Backlog","Delivered"),IF(S2092="Open",IF(R2092&gt;Settings!$B$5,"Pipeline","Overdue"),IF(S2092="Lost","Lost","UNMAPPED")))))</f>
        <v/>
      </c>
      <c r="U2092" s="40" t="n">
        <f aca="false">IF(T2092="Backlog",1,IF(OR(T2092="Pipeline",T2092="Overdue"),N(INDEX(Settings!$C$27:$C$36,MATCH(L2092,Settings!$A$27:$A$36,0))),0))</f>
        <v>0</v>
      </c>
      <c r="V2092" s="38" t="n">
        <f aca="false">Q2092*U2092</f>
        <v>0</v>
      </c>
      <c r="W2092" s="41" t="str">
        <f aca="false">IF($M2092="","",IF(T2092="Overdue",IF(Settings!$B$8="Yes",Settings!$B$7,""),IF(ISNUMBER(R2092),DATE(YEAR(R2092),MONTH(R2092),1),"")))</f>
        <v/>
      </c>
      <c r="X2092" s="38" t="n">
        <f aca="false">IF(AND(OR(T2092="Backlog",T2092="Pipeline",T2092="Overdue"),ISNUMBER(W2092)),IF(W2092&lt;=Settings!$B$6,V2092,0),0)</f>
        <v>0</v>
      </c>
      <c r="Y2092" s="38" t="n">
        <f aca="false">IF(AND(OR(T2092="Backlog",T2092="Pipeline",T2092="Overdue"),ISNUMBER(W2092)),IF(W2092&lt;=Settings!$B$6,Q2092,0),0)</f>
        <v>0</v>
      </c>
      <c r="Z2092" s="38" t="n">
        <f aca="false">IF(Y2092=0,0,IF(T2092="Backlog",Q2092,Q2092*Dashboard!$C$10))</f>
        <v>0</v>
      </c>
      <c r="AA2092" s="37" t="n">
        <f aca="false">IF($N2092="",0,IF(COUNTIF(Dashboard!$C$13:$C$22,$N2092)&gt;0,1,0))</f>
        <v>0</v>
      </c>
      <c r="AB2092" s="37" t="str">
        <f aca="false">IF($N2092="","",IF(COUNTIF($N$8:$N2092,$N2092)=1,MAX($AB$7:$AB2091)+1,""))</f>
        <v/>
      </c>
    </row>
    <row r="2093" customFormat="false" ht="15" hidden="false" customHeight="false" outlineLevel="0" collapsed="false">
      <c r="L2093" s="37" t="str">
        <f aca="false">IF(INDEX($A2093:$J2093,$L$6)&lt;&gt;"",TRIM(LEFT(INDEX($A2093:$J2093,$L$6),FIND("(",INDEX($A2093:$J2093,$L$6)&amp;"(")-1)),L2092)</f>
        <v>Building Value Proposition</v>
      </c>
      <c r="M2093" s="37" t="str">
        <f aca="false">IF(INDEX($A2093:$J2093,$M$6)="","",INDEX($A2093:$J2093,$M$6)&amp;"")</f>
        <v/>
      </c>
      <c r="N2093" s="37" t="str">
        <f aca="false">IF($M2093="","",TRIM(INDEX($A2093:$J2093,$N$6)&amp;""))</f>
        <v/>
      </c>
      <c r="O2093" s="37" t="str">
        <f aca="false">IF($M2093="","",TRIM(INDEX($A2093:$J2093,$O$6)&amp;""))</f>
        <v/>
      </c>
      <c r="P2093" s="37" t="str">
        <f aca="false">IF($M2093="","",IFERROR(IF(INDEX(Settings!$B$41:$B$50,MATCH(O2093,Settings!$A$41:$A$50,0))&amp;""="","UNMAPPED",INDEX(Settings!$B$41:$B$50,MATCH(O2093,Settings!$A$41:$A$50,0))&amp;""),"UNMAPPED"))</f>
        <v/>
      </c>
      <c r="Q2093" s="38" t="n">
        <f aca="false">IF($M2093="",0,N(INDEX($A2093:$J2093,$Q$6)))</f>
        <v>0</v>
      </c>
      <c r="R2093" s="39" t="str">
        <f aca="false">IF($M2093="","",INDEX($A2093:$J2093,$R$6))</f>
        <v/>
      </c>
      <c r="S2093" s="37" t="str">
        <f aca="false">IF($M2093="","",IFERROR(INDEX(Settings!$B$27:$B$36,MATCH(L2093,Settings!$A$27:$A$36,0))&amp;"","UNMAPPED"))</f>
        <v/>
      </c>
      <c r="T2093" s="37" t="str">
        <f aca="false">IF($M2093="","",IF(NOT(ISNUMBER(R2093)),"NO DATE",IF(S2093="Won",IF(R2093&gt;Settings!$B$5,"Backlog","Delivered"),IF(S2093="Open",IF(R2093&gt;Settings!$B$5,"Pipeline","Overdue"),IF(S2093="Lost","Lost","UNMAPPED")))))</f>
        <v/>
      </c>
      <c r="U2093" s="40" t="n">
        <f aca="false">IF(T2093="Backlog",1,IF(OR(T2093="Pipeline",T2093="Overdue"),N(INDEX(Settings!$C$27:$C$36,MATCH(L2093,Settings!$A$27:$A$36,0))),0))</f>
        <v>0</v>
      </c>
      <c r="V2093" s="38" t="n">
        <f aca="false">Q2093*U2093</f>
        <v>0</v>
      </c>
      <c r="W2093" s="41" t="str">
        <f aca="false">IF($M2093="","",IF(T2093="Overdue",IF(Settings!$B$8="Yes",Settings!$B$7,""),IF(ISNUMBER(R2093),DATE(YEAR(R2093),MONTH(R2093),1),"")))</f>
        <v/>
      </c>
      <c r="X2093" s="38" t="n">
        <f aca="false">IF(AND(OR(T2093="Backlog",T2093="Pipeline",T2093="Overdue"),ISNUMBER(W2093)),IF(W2093&lt;=Settings!$B$6,V2093,0),0)</f>
        <v>0</v>
      </c>
      <c r="Y2093" s="38" t="n">
        <f aca="false">IF(AND(OR(T2093="Backlog",T2093="Pipeline",T2093="Overdue"),ISNUMBER(W2093)),IF(W2093&lt;=Settings!$B$6,Q2093,0),0)</f>
        <v>0</v>
      </c>
      <c r="Z2093" s="38" t="n">
        <f aca="false">IF(Y2093=0,0,IF(T2093="Backlog",Q2093,Q2093*Dashboard!$C$10))</f>
        <v>0</v>
      </c>
      <c r="AA2093" s="37" t="n">
        <f aca="false">IF($N2093="",0,IF(COUNTIF(Dashboard!$C$13:$C$22,$N2093)&gt;0,1,0))</f>
        <v>0</v>
      </c>
      <c r="AB2093" s="37" t="str">
        <f aca="false">IF($N2093="","",IF(COUNTIF($N$8:$N2093,$N2093)=1,MAX($AB$7:$AB2092)+1,""))</f>
        <v/>
      </c>
    </row>
    <row r="2094" customFormat="false" ht="15" hidden="false" customHeight="false" outlineLevel="0" collapsed="false">
      <c r="L2094" s="37" t="str">
        <f aca="false">IF(INDEX($A2094:$J2094,$L$6)&lt;&gt;"",TRIM(LEFT(INDEX($A2094:$J2094,$L$6),FIND("(",INDEX($A2094:$J2094,$L$6)&amp;"(")-1)),L2093)</f>
        <v>Building Value Proposition</v>
      </c>
      <c r="M2094" s="37" t="str">
        <f aca="false">IF(INDEX($A2094:$J2094,$M$6)="","",INDEX($A2094:$J2094,$M$6)&amp;"")</f>
        <v/>
      </c>
      <c r="N2094" s="37" t="str">
        <f aca="false">IF($M2094="","",TRIM(INDEX($A2094:$J2094,$N$6)&amp;""))</f>
        <v/>
      </c>
      <c r="O2094" s="37" t="str">
        <f aca="false">IF($M2094="","",TRIM(INDEX($A2094:$J2094,$O$6)&amp;""))</f>
        <v/>
      </c>
      <c r="P2094" s="37" t="str">
        <f aca="false">IF($M2094="","",IFERROR(IF(INDEX(Settings!$B$41:$B$50,MATCH(O2094,Settings!$A$41:$A$50,0))&amp;""="","UNMAPPED",INDEX(Settings!$B$41:$B$50,MATCH(O2094,Settings!$A$41:$A$50,0))&amp;""),"UNMAPPED"))</f>
        <v/>
      </c>
      <c r="Q2094" s="38" t="n">
        <f aca="false">IF($M2094="",0,N(INDEX($A2094:$J2094,$Q$6)))</f>
        <v>0</v>
      </c>
      <c r="R2094" s="39" t="str">
        <f aca="false">IF($M2094="","",INDEX($A2094:$J2094,$R$6))</f>
        <v/>
      </c>
      <c r="S2094" s="37" t="str">
        <f aca="false">IF($M2094="","",IFERROR(INDEX(Settings!$B$27:$B$36,MATCH(L2094,Settings!$A$27:$A$36,0))&amp;"","UNMAPPED"))</f>
        <v/>
      </c>
      <c r="T2094" s="37" t="str">
        <f aca="false">IF($M2094="","",IF(NOT(ISNUMBER(R2094)),"NO DATE",IF(S2094="Won",IF(R2094&gt;Settings!$B$5,"Backlog","Delivered"),IF(S2094="Open",IF(R2094&gt;Settings!$B$5,"Pipeline","Overdue"),IF(S2094="Lost","Lost","UNMAPPED")))))</f>
        <v/>
      </c>
      <c r="U2094" s="40" t="n">
        <f aca="false">IF(T2094="Backlog",1,IF(OR(T2094="Pipeline",T2094="Overdue"),N(INDEX(Settings!$C$27:$C$36,MATCH(L2094,Settings!$A$27:$A$36,0))),0))</f>
        <v>0</v>
      </c>
      <c r="V2094" s="38" t="n">
        <f aca="false">Q2094*U2094</f>
        <v>0</v>
      </c>
      <c r="W2094" s="41" t="str">
        <f aca="false">IF($M2094="","",IF(T2094="Overdue",IF(Settings!$B$8="Yes",Settings!$B$7,""),IF(ISNUMBER(R2094),DATE(YEAR(R2094),MONTH(R2094),1),"")))</f>
        <v/>
      </c>
      <c r="X2094" s="38" t="n">
        <f aca="false">IF(AND(OR(T2094="Backlog",T2094="Pipeline",T2094="Overdue"),ISNUMBER(W2094)),IF(W2094&lt;=Settings!$B$6,V2094,0),0)</f>
        <v>0</v>
      </c>
      <c r="Y2094" s="38" t="n">
        <f aca="false">IF(AND(OR(T2094="Backlog",T2094="Pipeline",T2094="Overdue"),ISNUMBER(W2094)),IF(W2094&lt;=Settings!$B$6,Q2094,0),0)</f>
        <v>0</v>
      </c>
      <c r="Z2094" s="38" t="n">
        <f aca="false">IF(Y2094=0,0,IF(T2094="Backlog",Q2094,Q2094*Dashboard!$C$10))</f>
        <v>0</v>
      </c>
      <c r="AA2094" s="37" t="n">
        <f aca="false">IF($N2094="",0,IF(COUNTIF(Dashboard!$C$13:$C$22,$N2094)&gt;0,1,0))</f>
        <v>0</v>
      </c>
      <c r="AB2094" s="37" t="str">
        <f aca="false">IF($N2094="","",IF(COUNTIF($N$8:$N2094,$N2094)=1,MAX($AB$7:$AB2093)+1,""))</f>
        <v/>
      </c>
    </row>
    <row r="2095" customFormat="false" ht="15" hidden="false" customHeight="false" outlineLevel="0" collapsed="false">
      <c r="L2095" s="37" t="str">
        <f aca="false">IF(INDEX($A2095:$J2095,$L$6)&lt;&gt;"",TRIM(LEFT(INDEX($A2095:$J2095,$L$6),FIND("(",INDEX($A2095:$J2095,$L$6)&amp;"(")-1)),L2094)</f>
        <v>Building Value Proposition</v>
      </c>
      <c r="M2095" s="37" t="str">
        <f aca="false">IF(INDEX($A2095:$J2095,$M$6)="","",INDEX($A2095:$J2095,$M$6)&amp;"")</f>
        <v/>
      </c>
      <c r="N2095" s="37" t="str">
        <f aca="false">IF($M2095="","",TRIM(INDEX($A2095:$J2095,$N$6)&amp;""))</f>
        <v/>
      </c>
      <c r="O2095" s="37" t="str">
        <f aca="false">IF($M2095="","",TRIM(INDEX($A2095:$J2095,$O$6)&amp;""))</f>
        <v/>
      </c>
      <c r="P2095" s="37" t="str">
        <f aca="false">IF($M2095="","",IFERROR(IF(INDEX(Settings!$B$41:$B$50,MATCH(O2095,Settings!$A$41:$A$50,0))&amp;""="","UNMAPPED",INDEX(Settings!$B$41:$B$50,MATCH(O2095,Settings!$A$41:$A$50,0))&amp;""),"UNMAPPED"))</f>
        <v/>
      </c>
      <c r="Q2095" s="38" t="n">
        <f aca="false">IF($M2095="",0,N(INDEX($A2095:$J2095,$Q$6)))</f>
        <v>0</v>
      </c>
      <c r="R2095" s="39" t="str">
        <f aca="false">IF($M2095="","",INDEX($A2095:$J2095,$R$6))</f>
        <v/>
      </c>
      <c r="S2095" s="37" t="str">
        <f aca="false">IF($M2095="","",IFERROR(INDEX(Settings!$B$27:$B$36,MATCH(L2095,Settings!$A$27:$A$36,0))&amp;"","UNMAPPED"))</f>
        <v/>
      </c>
      <c r="T2095" s="37" t="str">
        <f aca="false">IF($M2095="","",IF(NOT(ISNUMBER(R2095)),"NO DATE",IF(S2095="Won",IF(R2095&gt;Settings!$B$5,"Backlog","Delivered"),IF(S2095="Open",IF(R2095&gt;Settings!$B$5,"Pipeline","Overdue"),IF(S2095="Lost","Lost","UNMAPPED")))))</f>
        <v/>
      </c>
      <c r="U2095" s="40" t="n">
        <f aca="false">IF(T2095="Backlog",1,IF(OR(T2095="Pipeline",T2095="Overdue"),N(INDEX(Settings!$C$27:$C$36,MATCH(L2095,Settings!$A$27:$A$36,0))),0))</f>
        <v>0</v>
      </c>
      <c r="V2095" s="38" t="n">
        <f aca="false">Q2095*U2095</f>
        <v>0</v>
      </c>
      <c r="W2095" s="41" t="str">
        <f aca="false">IF($M2095="","",IF(T2095="Overdue",IF(Settings!$B$8="Yes",Settings!$B$7,""),IF(ISNUMBER(R2095),DATE(YEAR(R2095),MONTH(R2095),1),"")))</f>
        <v/>
      </c>
      <c r="X2095" s="38" t="n">
        <f aca="false">IF(AND(OR(T2095="Backlog",T2095="Pipeline",T2095="Overdue"),ISNUMBER(W2095)),IF(W2095&lt;=Settings!$B$6,V2095,0),0)</f>
        <v>0</v>
      </c>
      <c r="Y2095" s="38" t="n">
        <f aca="false">IF(AND(OR(T2095="Backlog",T2095="Pipeline",T2095="Overdue"),ISNUMBER(W2095)),IF(W2095&lt;=Settings!$B$6,Q2095,0),0)</f>
        <v>0</v>
      </c>
      <c r="Z2095" s="38" t="n">
        <f aca="false">IF(Y2095=0,0,IF(T2095="Backlog",Q2095,Q2095*Dashboard!$C$10))</f>
        <v>0</v>
      </c>
      <c r="AA2095" s="37" t="n">
        <f aca="false">IF($N2095="",0,IF(COUNTIF(Dashboard!$C$13:$C$22,$N2095)&gt;0,1,0))</f>
        <v>0</v>
      </c>
      <c r="AB2095" s="37" t="str">
        <f aca="false">IF($N2095="","",IF(COUNTIF($N$8:$N2095,$N2095)=1,MAX($AB$7:$AB2094)+1,""))</f>
        <v/>
      </c>
    </row>
    <row r="2096" customFormat="false" ht="15" hidden="false" customHeight="false" outlineLevel="0" collapsed="false">
      <c r="L2096" s="37" t="str">
        <f aca="false">IF(INDEX($A2096:$J2096,$L$6)&lt;&gt;"",TRIM(LEFT(INDEX($A2096:$J2096,$L$6),FIND("(",INDEX($A2096:$J2096,$L$6)&amp;"(")-1)),L2095)</f>
        <v>Building Value Proposition</v>
      </c>
      <c r="M2096" s="37" t="str">
        <f aca="false">IF(INDEX($A2096:$J2096,$M$6)="","",INDEX($A2096:$J2096,$M$6)&amp;"")</f>
        <v/>
      </c>
      <c r="N2096" s="37" t="str">
        <f aca="false">IF($M2096="","",TRIM(INDEX($A2096:$J2096,$N$6)&amp;""))</f>
        <v/>
      </c>
      <c r="O2096" s="37" t="str">
        <f aca="false">IF($M2096="","",TRIM(INDEX($A2096:$J2096,$O$6)&amp;""))</f>
        <v/>
      </c>
      <c r="P2096" s="37" t="str">
        <f aca="false">IF($M2096="","",IFERROR(IF(INDEX(Settings!$B$41:$B$50,MATCH(O2096,Settings!$A$41:$A$50,0))&amp;""="","UNMAPPED",INDEX(Settings!$B$41:$B$50,MATCH(O2096,Settings!$A$41:$A$50,0))&amp;""),"UNMAPPED"))</f>
        <v/>
      </c>
      <c r="Q2096" s="38" t="n">
        <f aca="false">IF($M2096="",0,N(INDEX($A2096:$J2096,$Q$6)))</f>
        <v>0</v>
      </c>
      <c r="R2096" s="39" t="str">
        <f aca="false">IF($M2096="","",INDEX($A2096:$J2096,$R$6))</f>
        <v/>
      </c>
      <c r="S2096" s="37" t="str">
        <f aca="false">IF($M2096="","",IFERROR(INDEX(Settings!$B$27:$B$36,MATCH(L2096,Settings!$A$27:$A$36,0))&amp;"","UNMAPPED"))</f>
        <v/>
      </c>
      <c r="T2096" s="37" t="str">
        <f aca="false">IF($M2096="","",IF(NOT(ISNUMBER(R2096)),"NO DATE",IF(S2096="Won",IF(R2096&gt;Settings!$B$5,"Backlog","Delivered"),IF(S2096="Open",IF(R2096&gt;Settings!$B$5,"Pipeline","Overdue"),IF(S2096="Lost","Lost","UNMAPPED")))))</f>
        <v/>
      </c>
      <c r="U2096" s="40" t="n">
        <f aca="false">IF(T2096="Backlog",1,IF(OR(T2096="Pipeline",T2096="Overdue"),N(INDEX(Settings!$C$27:$C$36,MATCH(L2096,Settings!$A$27:$A$36,0))),0))</f>
        <v>0</v>
      </c>
      <c r="V2096" s="38" t="n">
        <f aca="false">Q2096*U2096</f>
        <v>0</v>
      </c>
      <c r="W2096" s="41" t="str">
        <f aca="false">IF($M2096="","",IF(T2096="Overdue",IF(Settings!$B$8="Yes",Settings!$B$7,""),IF(ISNUMBER(R2096),DATE(YEAR(R2096),MONTH(R2096),1),"")))</f>
        <v/>
      </c>
      <c r="X2096" s="38" t="n">
        <f aca="false">IF(AND(OR(T2096="Backlog",T2096="Pipeline",T2096="Overdue"),ISNUMBER(W2096)),IF(W2096&lt;=Settings!$B$6,V2096,0),0)</f>
        <v>0</v>
      </c>
      <c r="Y2096" s="38" t="n">
        <f aca="false">IF(AND(OR(T2096="Backlog",T2096="Pipeline",T2096="Overdue"),ISNUMBER(W2096)),IF(W2096&lt;=Settings!$B$6,Q2096,0),0)</f>
        <v>0</v>
      </c>
      <c r="Z2096" s="38" t="n">
        <f aca="false">IF(Y2096=0,0,IF(T2096="Backlog",Q2096,Q2096*Dashboard!$C$10))</f>
        <v>0</v>
      </c>
      <c r="AA2096" s="37" t="n">
        <f aca="false">IF($N2096="",0,IF(COUNTIF(Dashboard!$C$13:$C$22,$N2096)&gt;0,1,0))</f>
        <v>0</v>
      </c>
      <c r="AB2096" s="37" t="str">
        <f aca="false">IF($N2096="","",IF(COUNTIF($N$8:$N2096,$N2096)=1,MAX($AB$7:$AB2095)+1,""))</f>
        <v/>
      </c>
    </row>
    <row r="2097" customFormat="false" ht="15" hidden="false" customHeight="false" outlineLevel="0" collapsed="false">
      <c r="L2097" s="37" t="str">
        <f aca="false">IF(INDEX($A2097:$J2097,$L$6)&lt;&gt;"",TRIM(LEFT(INDEX($A2097:$J2097,$L$6),FIND("(",INDEX($A2097:$J2097,$L$6)&amp;"(")-1)),L2096)</f>
        <v>Building Value Proposition</v>
      </c>
      <c r="M2097" s="37" t="str">
        <f aca="false">IF(INDEX($A2097:$J2097,$M$6)="","",INDEX($A2097:$J2097,$M$6)&amp;"")</f>
        <v/>
      </c>
      <c r="N2097" s="37" t="str">
        <f aca="false">IF($M2097="","",TRIM(INDEX($A2097:$J2097,$N$6)&amp;""))</f>
        <v/>
      </c>
      <c r="O2097" s="37" t="str">
        <f aca="false">IF($M2097="","",TRIM(INDEX($A2097:$J2097,$O$6)&amp;""))</f>
        <v/>
      </c>
      <c r="P2097" s="37" t="str">
        <f aca="false">IF($M2097="","",IFERROR(IF(INDEX(Settings!$B$41:$B$50,MATCH(O2097,Settings!$A$41:$A$50,0))&amp;""="","UNMAPPED",INDEX(Settings!$B$41:$B$50,MATCH(O2097,Settings!$A$41:$A$50,0))&amp;""),"UNMAPPED"))</f>
        <v/>
      </c>
      <c r="Q2097" s="38" t="n">
        <f aca="false">IF($M2097="",0,N(INDEX($A2097:$J2097,$Q$6)))</f>
        <v>0</v>
      </c>
      <c r="R2097" s="39" t="str">
        <f aca="false">IF($M2097="","",INDEX($A2097:$J2097,$R$6))</f>
        <v/>
      </c>
      <c r="S2097" s="37" t="str">
        <f aca="false">IF($M2097="","",IFERROR(INDEX(Settings!$B$27:$B$36,MATCH(L2097,Settings!$A$27:$A$36,0))&amp;"","UNMAPPED"))</f>
        <v/>
      </c>
      <c r="T2097" s="37" t="str">
        <f aca="false">IF($M2097="","",IF(NOT(ISNUMBER(R2097)),"NO DATE",IF(S2097="Won",IF(R2097&gt;Settings!$B$5,"Backlog","Delivered"),IF(S2097="Open",IF(R2097&gt;Settings!$B$5,"Pipeline","Overdue"),IF(S2097="Lost","Lost","UNMAPPED")))))</f>
        <v/>
      </c>
      <c r="U2097" s="40" t="n">
        <f aca="false">IF(T2097="Backlog",1,IF(OR(T2097="Pipeline",T2097="Overdue"),N(INDEX(Settings!$C$27:$C$36,MATCH(L2097,Settings!$A$27:$A$36,0))),0))</f>
        <v>0</v>
      </c>
      <c r="V2097" s="38" t="n">
        <f aca="false">Q2097*U2097</f>
        <v>0</v>
      </c>
      <c r="W2097" s="41" t="str">
        <f aca="false">IF($M2097="","",IF(T2097="Overdue",IF(Settings!$B$8="Yes",Settings!$B$7,""),IF(ISNUMBER(R2097),DATE(YEAR(R2097),MONTH(R2097),1),"")))</f>
        <v/>
      </c>
      <c r="X2097" s="38" t="n">
        <f aca="false">IF(AND(OR(T2097="Backlog",T2097="Pipeline",T2097="Overdue"),ISNUMBER(W2097)),IF(W2097&lt;=Settings!$B$6,V2097,0),0)</f>
        <v>0</v>
      </c>
      <c r="Y2097" s="38" t="n">
        <f aca="false">IF(AND(OR(T2097="Backlog",T2097="Pipeline",T2097="Overdue"),ISNUMBER(W2097)),IF(W2097&lt;=Settings!$B$6,Q2097,0),0)</f>
        <v>0</v>
      </c>
      <c r="Z2097" s="38" t="n">
        <f aca="false">IF(Y2097=0,0,IF(T2097="Backlog",Q2097,Q2097*Dashboard!$C$10))</f>
        <v>0</v>
      </c>
      <c r="AA2097" s="37" t="n">
        <f aca="false">IF($N2097="",0,IF(COUNTIF(Dashboard!$C$13:$C$22,$N2097)&gt;0,1,0))</f>
        <v>0</v>
      </c>
      <c r="AB2097" s="37" t="str">
        <f aca="false">IF($N2097="","",IF(COUNTIF($N$8:$N2097,$N2097)=1,MAX($AB$7:$AB2096)+1,""))</f>
        <v/>
      </c>
    </row>
    <row r="2098" customFormat="false" ht="15" hidden="false" customHeight="false" outlineLevel="0" collapsed="false">
      <c r="L2098" s="37" t="str">
        <f aca="false">IF(INDEX($A2098:$J2098,$L$6)&lt;&gt;"",TRIM(LEFT(INDEX($A2098:$J2098,$L$6),FIND("(",INDEX($A2098:$J2098,$L$6)&amp;"(")-1)),L2097)</f>
        <v>Building Value Proposition</v>
      </c>
      <c r="M2098" s="37" t="str">
        <f aca="false">IF(INDEX($A2098:$J2098,$M$6)="","",INDEX($A2098:$J2098,$M$6)&amp;"")</f>
        <v/>
      </c>
      <c r="N2098" s="37" t="str">
        <f aca="false">IF($M2098="","",TRIM(INDEX($A2098:$J2098,$N$6)&amp;""))</f>
        <v/>
      </c>
      <c r="O2098" s="37" t="str">
        <f aca="false">IF($M2098="","",TRIM(INDEX($A2098:$J2098,$O$6)&amp;""))</f>
        <v/>
      </c>
      <c r="P2098" s="37" t="str">
        <f aca="false">IF($M2098="","",IFERROR(IF(INDEX(Settings!$B$41:$B$50,MATCH(O2098,Settings!$A$41:$A$50,0))&amp;""="","UNMAPPED",INDEX(Settings!$B$41:$B$50,MATCH(O2098,Settings!$A$41:$A$50,0))&amp;""),"UNMAPPED"))</f>
        <v/>
      </c>
      <c r="Q2098" s="38" t="n">
        <f aca="false">IF($M2098="",0,N(INDEX($A2098:$J2098,$Q$6)))</f>
        <v>0</v>
      </c>
      <c r="R2098" s="39" t="str">
        <f aca="false">IF($M2098="","",INDEX($A2098:$J2098,$R$6))</f>
        <v/>
      </c>
      <c r="S2098" s="37" t="str">
        <f aca="false">IF($M2098="","",IFERROR(INDEX(Settings!$B$27:$B$36,MATCH(L2098,Settings!$A$27:$A$36,0))&amp;"","UNMAPPED"))</f>
        <v/>
      </c>
      <c r="T2098" s="37" t="str">
        <f aca="false">IF($M2098="","",IF(NOT(ISNUMBER(R2098)),"NO DATE",IF(S2098="Won",IF(R2098&gt;Settings!$B$5,"Backlog","Delivered"),IF(S2098="Open",IF(R2098&gt;Settings!$B$5,"Pipeline","Overdue"),IF(S2098="Lost","Lost","UNMAPPED")))))</f>
        <v/>
      </c>
      <c r="U2098" s="40" t="n">
        <f aca="false">IF(T2098="Backlog",1,IF(OR(T2098="Pipeline",T2098="Overdue"),N(INDEX(Settings!$C$27:$C$36,MATCH(L2098,Settings!$A$27:$A$36,0))),0))</f>
        <v>0</v>
      </c>
      <c r="V2098" s="38" t="n">
        <f aca="false">Q2098*U2098</f>
        <v>0</v>
      </c>
      <c r="W2098" s="41" t="str">
        <f aca="false">IF($M2098="","",IF(T2098="Overdue",IF(Settings!$B$8="Yes",Settings!$B$7,""),IF(ISNUMBER(R2098),DATE(YEAR(R2098),MONTH(R2098),1),"")))</f>
        <v/>
      </c>
      <c r="X2098" s="38" t="n">
        <f aca="false">IF(AND(OR(T2098="Backlog",T2098="Pipeline",T2098="Overdue"),ISNUMBER(W2098)),IF(W2098&lt;=Settings!$B$6,V2098,0),0)</f>
        <v>0</v>
      </c>
      <c r="Y2098" s="38" t="n">
        <f aca="false">IF(AND(OR(T2098="Backlog",T2098="Pipeline",T2098="Overdue"),ISNUMBER(W2098)),IF(W2098&lt;=Settings!$B$6,Q2098,0),0)</f>
        <v>0</v>
      </c>
      <c r="Z2098" s="38" t="n">
        <f aca="false">IF(Y2098=0,0,IF(T2098="Backlog",Q2098,Q2098*Dashboard!$C$10))</f>
        <v>0</v>
      </c>
      <c r="AA2098" s="37" t="n">
        <f aca="false">IF($N2098="",0,IF(COUNTIF(Dashboard!$C$13:$C$22,$N2098)&gt;0,1,0))</f>
        <v>0</v>
      </c>
      <c r="AB2098" s="37" t="str">
        <f aca="false">IF($N2098="","",IF(COUNTIF($N$8:$N2098,$N2098)=1,MAX($AB$7:$AB2097)+1,""))</f>
        <v/>
      </c>
    </row>
    <row r="2099" customFormat="false" ht="15" hidden="false" customHeight="false" outlineLevel="0" collapsed="false">
      <c r="L2099" s="37" t="str">
        <f aca="false">IF(INDEX($A2099:$J2099,$L$6)&lt;&gt;"",TRIM(LEFT(INDEX($A2099:$J2099,$L$6),FIND("(",INDEX($A2099:$J2099,$L$6)&amp;"(")-1)),L2098)</f>
        <v>Building Value Proposition</v>
      </c>
      <c r="M2099" s="37" t="str">
        <f aca="false">IF(INDEX($A2099:$J2099,$M$6)="","",INDEX($A2099:$J2099,$M$6)&amp;"")</f>
        <v/>
      </c>
      <c r="N2099" s="37" t="str">
        <f aca="false">IF($M2099="","",TRIM(INDEX($A2099:$J2099,$N$6)&amp;""))</f>
        <v/>
      </c>
      <c r="O2099" s="37" t="str">
        <f aca="false">IF($M2099="","",TRIM(INDEX($A2099:$J2099,$O$6)&amp;""))</f>
        <v/>
      </c>
      <c r="P2099" s="37" t="str">
        <f aca="false">IF($M2099="","",IFERROR(IF(INDEX(Settings!$B$41:$B$50,MATCH(O2099,Settings!$A$41:$A$50,0))&amp;""="","UNMAPPED",INDEX(Settings!$B$41:$B$50,MATCH(O2099,Settings!$A$41:$A$50,0))&amp;""),"UNMAPPED"))</f>
        <v/>
      </c>
      <c r="Q2099" s="38" t="n">
        <f aca="false">IF($M2099="",0,N(INDEX($A2099:$J2099,$Q$6)))</f>
        <v>0</v>
      </c>
      <c r="R2099" s="39" t="str">
        <f aca="false">IF($M2099="","",INDEX($A2099:$J2099,$R$6))</f>
        <v/>
      </c>
      <c r="S2099" s="37" t="str">
        <f aca="false">IF($M2099="","",IFERROR(INDEX(Settings!$B$27:$B$36,MATCH(L2099,Settings!$A$27:$A$36,0))&amp;"","UNMAPPED"))</f>
        <v/>
      </c>
      <c r="T2099" s="37" t="str">
        <f aca="false">IF($M2099="","",IF(NOT(ISNUMBER(R2099)),"NO DATE",IF(S2099="Won",IF(R2099&gt;Settings!$B$5,"Backlog","Delivered"),IF(S2099="Open",IF(R2099&gt;Settings!$B$5,"Pipeline","Overdue"),IF(S2099="Lost","Lost","UNMAPPED")))))</f>
        <v/>
      </c>
      <c r="U2099" s="40" t="n">
        <f aca="false">IF(T2099="Backlog",1,IF(OR(T2099="Pipeline",T2099="Overdue"),N(INDEX(Settings!$C$27:$C$36,MATCH(L2099,Settings!$A$27:$A$36,0))),0))</f>
        <v>0</v>
      </c>
      <c r="V2099" s="38" t="n">
        <f aca="false">Q2099*U2099</f>
        <v>0</v>
      </c>
      <c r="W2099" s="41" t="str">
        <f aca="false">IF($M2099="","",IF(T2099="Overdue",IF(Settings!$B$8="Yes",Settings!$B$7,""),IF(ISNUMBER(R2099),DATE(YEAR(R2099),MONTH(R2099),1),"")))</f>
        <v/>
      </c>
      <c r="X2099" s="38" t="n">
        <f aca="false">IF(AND(OR(T2099="Backlog",T2099="Pipeline",T2099="Overdue"),ISNUMBER(W2099)),IF(W2099&lt;=Settings!$B$6,V2099,0),0)</f>
        <v>0</v>
      </c>
      <c r="Y2099" s="38" t="n">
        <f aca="false">IF(AND(OR(T2099="Backlog",T2099="Pipeline",T2099="Overdue"),ISNUMBER(W2099)),IF(W2099&lt;=Settings!$B$6,Q2099,0),0)</f>
        <v>0</v>
      </c>
      <c r="Z2099" s="38" t="n">
        <f aca="false">IF(Y2099=0,0,IF(T2099="Backlog",Q2099,Q2099*Dashboard!$C$10))</f>
        <v>0</v>
      </c>
      <c r="AA2099" s="37" t="n">
        <f aca="false">IF($N2099="",0,IF(COUNTIF(Dashboard!$C$13:$C$22,$N2099)&gt;0,1,0))</f>
        <v>0</v>
      </c>
      <c r="AB2099" s="37" t="str">
        <f aca="false">IF($N2099="","",IF(COUNTIF($N$8:$N2099,$N2099)=1,MAX($AB$7:$AB2098)+1,""))</f>
        <v/>
      </c>
    </row>
    <row r="2100" customFormat="false" ht="15" hidden="false" customHeight="false" outlineLevel="0" collapsed="false">
      <c r="L2100" s="37" t="str">
        <f aca="false">IF(INDEX($A2100:$J2100,$L$6)&lt;&gt;"",TRIM(LEFT(INDEX($A2100:$J2100,$L$6),FIND("(",INDEX($A2100:$J2100,$L$6)&amp;"(")-1)),L2099)</f>
        <v>Building Value Proposition</v>
      </c>
      <c r="M2100" s="37" t="str">
        <f aca="false">IF(INDEX($A2100:$J2100,$M$6)="","",INDEX($A2100:$J2100,$M$6)&amp;"")</f>
        <v/>
      </c>
      <c r="N2100" s="37" t="str">
        <f aca="false">IF($M2100="","",TRIM(INDEX($A2100:$J2100,$N$6)&amp;""))</f>
        <v/>
      </c>
      <c r="O2100" s="37" t="str">
        <f aca="false">IF($M2100="","",TRIM(INDEX($A2100:$J2100,$O$6)&amp;""))</f>
        <v/>
      </c>
      <c r="P2100" s="37" t="str">
        <f aca="false">IF($M2100="","",IFERROR(IF(INDEX(Settings!$B$41:$B$50,MATCH(O2100,Settings!$A$41:$A$50,0))&amp;""="","UNMAPPED",INDEX(Settings!$B$41:$B$50,MATCH(O2100,Settings!$A$41:$A$50,0))&amp;""),"UNMAPPED"))</f>
        <v/>
      </c>
      <c r="Q2100" s="38" t="n">
        <f aca="false">IF($M2100="",0,N(INDEX($A2100:$J2100,$Q$6)))</f>
        <v>0</v>
      </c>
      <c r="R2100" s="39" t="str">
        <f aca="false">IF($M2100="","",INDEX($A2100:$J2100,$R$6))</f>
        <v/>
      </c>
      <c r="S2100" s="37" t="str">
        <f aca="false">IF($M2100="","",IFERROR(INDEX(Settings!$B$27:$B$36,MATCH(L2100,Settings!$A$27:$A$36,0))&amp;"","UNMAPPED"))</f>
        <v/>
      </c>
      <c r="T2100" s="37" t="str">
        <f aca="false">IF($M2100="","",IF(NOT(ISNUMBER(R2100)),"NO DATE",IF(S2100="Won",IF(R2100&gt;Settings!$B$5,"Backlog","Delivered"),IF(S2100="Open",IF(R2100&gt;Settings!$B$5,"Pipeline","Overdue"),IF(S2100="Lost","Lost","UNMAPPED")))))</f>
        <v/>
      </c>
      <c r="U2100" s="40" t="n">
        <f aca="false">IF(T2100="Backlog",1,IF(OR(T2100="Pipeline",T2100="Overdue"),N(INDEX(Settings!$C$27:$C$36,MATCH(L2100,Settings!$A$27:$A$36,0))),0))</f>
        <v>0</v>
      </c>
      <c r="V2100" s="38" t="n">
        <f aca="false">Q2100*U2100</f>
        <v>0</v>
      </c>
      <c r="W2100" s="41" t="str">
        <f aca="false">IF($M2100="","",IF(T2100="Overdue",IF(Settings!$B$8="Yes",Settings!$B$7,""),IF(ISNUMBER(R2100),DATE(YEAR(R2100),MONTH(R2100),1),"")))</f>
        <v/>
      </c>
      <c r="X2100" s="38" t="n">
        <f aca="false">IF(AND(OR(T2100="Backlog",T2100="Pipeline",T2100="Overdue"),ISNUMBER(W2100)),IF(W2100&lt;=Settings!$B$6,V2100,0),0)</f>
        <v>0</v>
      </c>
      <c r="Y2100" s="38" t="n">
        <f aca="false">IF(AND(OR(T2100="Backlog",T2100="Pipeline",T2100="Overdue"),ISNUMBER(W2100)),IF(W2100&lt;=Settings!$B$6,Q2100,0),0)</f>
        <v>0</v>
      </c>
      <c r="Z2100" s="38" t="n">
        <f aca="false">IF(Y2100=0,0,IF(T2100="Backlog",Q2100,Q2100*Dashboard!$C$10))</f>
        <v>0</v>
      </c>
      <c r="AA2100" s="37" t="n">
        <f aca="false">IF($N2100="",0,IF(COUNTIF(Dashboard!$C$13:$C$22,$N2100)&gt;0,1,0))</f>
        <v>0</v>
      </c>
      <c r="AB2100" s="37" t="str">
        <f aca="false">IF($N2100="","",IF(COUNTIF($N$8:$N2100,$N2100)=1,MAX($AB$7:$AB2099)+1,""))</f>
        <v/>
      </c>
    </row>
    <row r="2101" customFormat="false" ht="15" hidden="false" customHeight="false" outlineLevel="0" collapsed="false">
      <c r="L2101" s="37" t="str">
        <f aca="false">IF(INDEX($A2101:$J2101,$L$6)&lt;&gt;"",TRIM(LEFT(INDEX($A2101:$J2101,$L$6),FIND("(",INDEX($A2101:$J2101,$L$6)&amp;"(")-1)),L2100)</f>
        <v>Building Value Proposition</v>
      </c>
      <c r="M2101" s="37" t="str">
        <f aca="false">IF(INDEX($A2101:$J2101,$M$6)="","",INDEX($A2101:$J2101,$M$6)&amp;"")</f>
        <v/>
      </c>
      <c r="N2101" s="37" t="str">
        <f aca="false">IF($M2101="","",TRIM(INDEX($A2101:$J2101,$N$6)&amp;""))</f>
        <v/>
      </c>
      <c r="O2101" s="37" t="str">
        <f aca="false">IF($M2101="","",TRIM(INDEX($A2101:$J2101,$O$6)&amp;""))</f>
        <v/>
      </c>
      <c r="P2101" s="37" t="str">
        <f aca="false">IF($M2101="","",IFERROR(IF(INDEX(Settings!$B$41:$B$50,MATCH(O2101,Settings!$A$41:$A$50,0))&amp;""="","UNMAPPED",INDEX(Settings!$B$41:$B$50,MATCH(O2101,Settings!$A$41:$A$50,0))&amp;""),"UNMAPPED"))</f>
        <v/>
      </c>
      <c r="Q2101" s="38" t="n">
        <f aca="false">IF($M2101="",0,N(INDEX($A2101:$J2101,$Q$6)))</f>
        <v>0</v>
      </c>
      <c r="R2101" s="39" t="str">
        <f aca="false">IF($M2101="","",INDEX($A2101:$J2101,$R$6))</f>
        <v/>
      </c>
      <c r="S2101" s="37" t="str">
        <f aca="false">IF($M2101="","",IFERROR(INDEX(Settings!$B$27:$B$36,MATCH(L2101,Settings!$A$27:$A$36,0))&amp;"","UNMAPPED"))</f>
        <v/>
      </c>
      <c r="T2101" s="37" t="str">
        <f aca="false">IF($M2101="","",IF(NOT(ISNUMBER(R2101)),"NO DATE",IF(S2101="Won",IF(R2101&gt;Settings!$B$5,"Backlog","Delivered"),IF(S2101="Open",IF(R2101&gt;Settings!$B$5,"Pipeline","Overdue"),IF(S2101="Lost","Lost","UNMAPPED")))))</f>
        <v/>
      </c>
      <c r="U2101" s="40" t="n">
        <f aca="false">IF(T2101="Backlog",1,IF(OR(T2101="Pipeline",T2101="Overdue"),N(INDEX(Settings!$C$27:$C$36,MATCH(L2101,Settings!$A$27:$A$36,0))),0))</f>
        <v>0</v>
      </c>
      <c r="V2101" s="38" t="n">
        <f aca="false">Q2101*U2101</f>
        <v>0</v>
      </c>
      <c r="W2101" s="41" t="str">
        <f aca="false">IF($M2101="","",IF(T2101="Overdue",IF(Settings!$B$8="Yes",Settings!$B$7,""),IF(ISNUMBER(R2101),DATE(YEAR(R2101),MONTH(R2101),1),"")))</f>
        <v/>
      </c>
      <c r="X2101" s="38" t="n">
        <f aca="false">IF(AND(OR(T2101="Backlog",T2101="Pipeline",T2101="Overdue"),ISNUMBER(W2101)),IF(W2101&lt;=Settings!$B$6,V2101,0),0)</f>
        <v>0</v>
      </c>
      <c r="Y2101" s="38" t="n">
        <f aca="false">IF(AND(OR(T2101="Backlog",T2101="Pipeline",T2101="Overdue"),ISNUMBER(W2101)),IF(W2101&lt;=Settings!$B$6,Q2101,0),0)</f>
        <v>0</v>
      </c>
      <c r="Z2101" s="38" t="n">
        <f aca="false">IF(Y2101=0,0,IF(T2101="Backlog",Q2101,Q2101*Dashboard!$C$10))</f>
        <v>0</v>
      </c>
      <c r="AA2101" s="37" t="n">
        <f aca="false">IF($N2101="",0,IF(COUNTIF(Dashboard!$C$13:$C$22,$N2101)&gt;0,1,0))</f>
        <v>0</v>
      </c>
      <c r="AB2101" s="37" t="str">
        <f aca="false">IF($N2101="","",IF(COUNTIF($N$8:$N2101,$N2101)=1,MAX($AB$7:$AB2100)+1,""))</f>
        <v/>
      </c>
    </row>
    <row r="2102" customFormat="false" ht="15" hidden="false" customHeight="false" outlineLevel="0" collapsed="false">
      <c r="L2102" s="37" t="str">
        <f aca="false">IF(INDEX($A2102:$J2102,$L$6)&lt;&gt;"",TRIM(LEFT(INDEX($A2102:$J2102,$L$6),FIND("(",INDEX($A2102:$J2102,$L$6)&amp;"(")-1)),L2101)</f>
        <v>Building Value Proposition</v>
      </c>
      <c r="M2102" s="37" t="str">
        <f aca="false">IF(INDEX($A2102:$J2102,$M$6)="","",INDEX($A2102:$J2102,$M$6)&amp;"")</f>
        <v/>
      </c>
      <c r="N2102" s="37" t="str">
        <f aca="false">IF($M2102="","",TRIM(INDEX($A2102:$J2102,$N$6)&amp;""))</f>
        <v/>
      </c>
      <c r="O2102" s="37" t="str">
        <f aca="false">IF($M2102="","",TRIM(INDEX($A2102:$J2102,$O$6)&amp;""))</f>
        <v/>
      </c>
      <c r="P2102" s="37" t="str">
        <f aca="false">IF($M2102="","",IFERROR(IF(INDEX(Settings!$B$41:$B$50,MATCH(O2102,Settings!$A$41:$A$50,0))&amp;""="","UNMAPPED",INDEX(Settings!$B$41:$B$50,MATCH(O2102,Settings!$A$41:$A$50,0))&amp;""),"UNMAPPED"))</f>
        <v/>
      </c>
      <c r="Q2102" s="38" t="n">
        <f aca="false">IF($M2102="",0,N(INDEX($A2102:$J2102,$Q$6)))</f>
        <v>0</v>
      </c>
      <c r="R2102" s="39" t="str">
        <f aca="false">IF($M2102="","",INDEX($A2102:$J2102,$R$6))</f>
        <v/>
      </c>
      <c r="S2102" s="37" t="str">
        <f aca="false">IF($M2102="","",IFERROR(INDEX(Settings!$B$27:$B$36,MATCH(L2102,Settings!$A$27:$A$36,0))&amp;"","UNMAPPED"))</f>
        <v/>
      </c>
      <c r="T2102" s="37" t="str">
        <f aca="false">IF($M2102="","",IF(NOT(ISNUMBER(R2102)),"NO DATE",IF(S2102="Won",IF(R2102&gt;Settings!$B$5,"Backlog","Delivered"),IF(S2102="Open",IF(R2102&gt;Settings!$B$5,"Pipeline","Overdue"),IF(S2102="Lost","Lost","UNMAPPED")))))</f>
        <v/>
      </c>
      <c r="U2102" s="40" t="n">
        <f aca="false">IF(T2102="Backlog",1,IF(OR(T2102="Pipeline",T2102="Overdue"),N(INDEX(Settings!$C$27:$C$36,MATCH(L2102,Settings!$A$27:$A$36,0))),0))</f>
        <v>0</v>
      </c>
      <c r="V2102" s="38" t="n">
        <f aca="false">Q2102*U2102</f>
        <v>0</v>
      </c>
      <c r="W2102" s="41" t="str">
        <f aca="false">IF($M2102="","",IF(T2102="Overdue",IF(Settings!$B$8="Yes",Settings!$B$7,""),IF(ISNUMBER(R2102),DATE(YEAR(R2102),MONTH(R2102),1),"")))</f>
        <v/>
      </c>
      <c r="X2102" s="38" t="n">
        <f aca="false">IF(AND(OR(T2102="Backlog",T2102="Pipeline",T2102="Overdue"),ISNUMBER(W2102)),IF(W2102&lt;=Settings!$B$6,V2102,0),0)</f>
        <v>0</v>
      </c>
      <c r="Y2102" s="38" t="n">
        <f aca="false">IF(AND(OR(T2102="Backlog",T2102="Pipeline",T2102="Overdue"),ISNUMBER(W2102)),IF(W2102&lt;=Settings!$B$6,Q2102,0),0)</f>
        <v>0</v>
      </c>
      <c r="Z2102" s="38" t="n">
        <f aca="false">IF(Y2102=0,0,IF(T2102="Backlog",Q2102,Q2102*Dashboard!$C$10))</f>
        <v>0</v>
      </c>
      <c r="AA2102" s="37" t="n">
        <f aca="false">IF($N2102="",0,IF(COUNTIF(Dashboard!$C$13:$C$22,$N2102)&gt;0,1,0))</f>
        <v>0</v>
      </c>
      <c r="AB2102" s="37" t="str">
        <f aca="false">IF($N2102="","",IF(COUNTIF($N$8:$N2102,$N2102)=1,MAX($AB$7:$AB2101)+1,""))</f>
        <v/>
      </c>
    </row>
    <row r="2103" customFormat="false" ht="15" hidden="false" customHeight="false" outlineLevel="0" collapsed="false">
      <c r="L2103" s="37" t="str">
        <f aca="false">IF(INDEX($A2103:$J2103,$L$6)&lt;&gt;"",TRIM(LEFT(INDEX($A2103:$J2103,$L$6),FIND("(",INDEX($A2103:$J2103,$L$6)&amp;"(")-1)),L2102)</f>
        <v>Building Value Proposition</v>
      </c>
      <c r="M2103" s="37" t="str">
        <f aca="false">IF(INDEX($A2103:$J2103,$M$6)="","",INDEX($A2103:$J2103,$M$6)&amp;"")</f>
        <v/>
      </c>
      <c r="N2103" s="37" t="str">
        <f aca="false">IF($M2103="","",TRIM(INDEX($A2103:$J2103,$N$6)&amp;""))</f>
        <v/>
      </c>
      <c r="O2103" s="37" t="str">
        <f aca="false">IF($M2103="","",TRIM(INDEX($A2103:$J2103,$O$6)&amp;""))</f>
        <v/>
      </c>
      <c r="P2103" s="37" t="str">
        <f aca="false">IF($M2103="","",IFERROR(IF(INDEX(Settings!$B$41:$B$50,MATCH(O2103,Settings!$A$41:$A$50,0))&amp;""="","UNMAPPED",INDEX(Settings!$B$41:$B$50,MATCH(O2103,Settings!$A$41:$A$50,0))&amp;""),"UNMAPPED"))</f>
        <v/>
      </c>
      <c r="Q2103" s="38" t="n">
        <f aca="false">IF($M2103="",0,N(INDEX($A2103:$J2103,$Q$6)))</f>
        <v>0</v>
      </c>
      <c r="R2103" s="39" t="str">
        <f aca="false">IF($M2103="","",INDEX($A2103:$J2103,$R$6))</f>
        <v/>
      </c>
      <c r="S2103" s="37" t="str">
        <f aca="false">IF($M2103="","",IFERROR(INDEX(Settings!$B$27:$B$36,MATCH(L2103,Settings!$A$27:$A$36,0))&amp;"","UNMAPPED"))</f>
        <v/>
      </c>
      <c r="T2103" s="37" t="str">
        <f aca="false">IF($M2103="","",IF(NOT(ISNUMBER(R2103)),"NO DATE",IF(S2103="Won",IF(R2103&gt;Settings!$B$5,"Backlog","Delivered"),IF(S2103="Open",IF(R2103&gt;Settings!$B$5,"Pipeline","Overdue"),IF(S2103="Lost","Lost","UNMAPPED")))))</f>
        <v/>
      </c>
      <c r="U2103" s="40" t="n">
        <f aca="false">IF(T2103="Backlog",1,IF(OR(T2103="Pipeline",T2103="Overdue"),N(INDEX(Settings!$C$27:$C$36,MATCH(L2103,Settings!$A$27:$A$36,0))),0))</f>
        <v>0</v>
      </c>
      <c r="V2103" s="38" t="n">
        <f aca="false">Q2103*U2103</f>
        <v>0</v>
      </c>
      <c r="W2103" s="41" t="str">
        <f aca="false">IF($M2103="","",IF(T2103="Overdue",IF(Settings!$B$8="Yes",Settings!$B$7,""),IF(ISNUMBER(R2103),DATE(YEAR(R2103),MONTH(R2103),1),"")))</f>
        <v/>
      </c>
      <c r="X2103" s="38" t="n">
        <f aca="false">IF(AND(OR(T2103="Backlog",T2103="Pipeline",T2103="Overdue"),ISNUMBER(W2103)),IF(W2103&lt;=Settings!$B$6,V2103,0),0)</f>
        <v>0</v>
      </c>
      <c r="Y2103" s="38" t="n">
        <f aca="false">IF(AND(OR(T2103="Backlog",T2103="Pipeline",T2103="Overdue"),ISNUMBER(W2103)),IF(W2103&lt;=Settings!$B$6,Q2103,0),0)</f>
        <v>0</v>
      </c>
      <c r="Z2103" s="38" t="n">
        <f aca="false">IF(Y2103=0,0,IF(T2103="Backlog",Q2103,Q2103*Dashboard!$C$10))</f>
        <v>0</v>
      </c>
      <c r="AA2103" s="37" t="n">
        <f aca="false">IF($N2103="",0,IF(COUNTIF(Dashboard!$C$13:$C$22,$N2103)&gt;0,1,0))</f>
        <v>0</v>
      </c>
      <c r="AB2103" s="37" t="str">
        <f aca="false">IF($N2103="","",IF(COUNTIF($N$8:$N2103,$N2103)=1,MAX($AB$7:$AB2102)+1,""))</f>
        <v/>
      </c>
    </row>
    <row r="2104" customFormat="false" ht="15" hidden="false" customHeight="false" outlineLevel="0" collapsed="false">
      <c r="L2104" s="37" t="str">
        <f aca="false">IF(INDEX($A2104:$J2104,$L$6)&lt;&gt;"",TRIM(LEFT(INDEX($A2104:$J2104,$L$6),FIND("(",INDEX($A2104:$J2104,$L$6)&amp;"(")-1)),L2103)</f>
        <v>Building Value Proposition</v>
      </c>
      <c r="M2104" s="37" t="str">
        <f aca="false">IF(INDEX($A2104:$J2104,$M$6)="","",INDEX($A2104:$J2104,$M$6)&amp;"")</f>
        <v/>
      </c>
      <c r="N2104" s="37" t="str">
        <f aca="false">IF($M2104="","",TRIM(INDEX($A2104:$J2104,$N$6)&amp;""))</f>
        <v/>
      </c>
      <c r="O2104" s="37" t="str">
        <f aca="false">IF($M2104="","",TRIM(INDEX($A2104:$J2104,$O$6)&amp;""))</f>
        <v/>
      </c>
      <c r="P2104" s="37" t="str">
        <f aca="false">IF($M2104="","",IFERROR(IF(INDEX(Settings!$B$41:$B$50,MATCH(O2104,Settings!$A$41:$A$50,0))&amp;""="","UNMAPPED",INDEX(Settings!$B$41:$B$50,MATCH(O2104,Settings!$A$41:$A$50,0))&amp;""),"UNMAPPED"))</f>
        <v/>
      </c>
      <c r="Q2104" s="38" t="n">
        <f aca="false">IF($M2104="",0,N(INDEX($A2104:$J2104,$Q$6)))</f>
        <v>0</v>
      </c>
      <c r="R2104" s="39" t="str">
        <f aca="false">IF($M2104="","",INDEX($A2104:$J2104,$R$6))</f>
        <v/>
      </c>
      <c r="S2104" s="37" t="str">
        <f aca="false">IF($M2104="","",IFERROR(INDEX(Settings!$B$27:$B$36,MATCH(L2104,Settings!$A$27:$A$36,0))&amp;"","UNMAPPED"))</f>
        <v/>
      </c>
      <c r="T2104" s="37" t="str">
        <f aca="false">IF($M2104="","",IF(NOT(ISNUMBER(R2104)),"NO DATE",IF(S2104="Won",IF(R2104&gt;Settings!$B$5,"Backlog","Delivered"),IF(S2104="Open",IF(R2104&gt;Settings!$B$5,"Pipeline","Overdue"),IF(S2104="Lost","Lost","UNMAPPED")))))</f>
        <v/>
      </c>
      <c r="U2104" s="40" t="n">
        <f aca="false">IF(T2104="Backlog",1,IF(OR(T2104="Pipeline",T2104="Overdue"),N(INDEX(Settings!$C$27:$C$36,MATCH(L2104,Settings!$A$27:$A$36,0))),0))</f>
        <v>0</v>
      </c>
      <c r="V2104" s="38" t="n">
        <f aca="false">Q2104*U2104</f>
        <v>0</v>
      </c>
      <c r="W2104" s="41" t="str">
        <f aca="false">IF($M2104="","",IF(T2104="Overdue",IF(Settings!$B$8="Yes",Settings!$B$7,""),IF(ISNUMBER(R2104),DATE(YEAR(R2104),MONTH(R2104),1),"")))</f>
        <v/>
      </c>
      <c r="X2104" s="38" t="n">
        <f aca="false">IF(AND(OR(T2104="Backlog",T2104="Pipeline",T2104="Overdue"),ISNUMBER(W2104)),IF(W2104&lt;=Settings!$B$6,V2104,0),0)</f>
        <v>0</v>
      </c>
      <c r="Y2104" s="38" t="n">
        <f aca="false">IF(AND(OR(T2104="Backlog",T2104="Pipeline",T2104="Overdue"),ISNUMBER(W2104)),IF(W2104&lt;=Settings!$B$6,Q2104,0),0)</f>
        <v>0</v>
      </c>
      <c r="Z2104" s="38" t="n">
        <f aca="false">IF(Y2104=0,0,IF(T2104="Backlog",Q2104,Q2104*Dashboard!$C$10))</f>
        <v>0</v>
      </c>
      <c r="AA2104" s="37" t="n">
        <f aca="false">IF($N2104="",0,IF(COUNTIF(Dashboard!$C$13:$C$22,$N2104)&gt;0,1,0))</f>
        <v>0</v>
      </c>
      <c r="AB2104" s="37" t="str">
        <f aca="false">IF($N2104="","",IF(COUNTIF($N$8:$N2104,$N2104)=1,MAX($AB$7:$AB2103)+1,""))</f>
        <v/>
      </c>
    </row>
    <row r="2105" customFormat="false" ht="15" hidden="false" customHeight="false" outlineLevel="0" collapsed="false">
      <c r="L2105" s="37" t="str">
        <f aca="false">IF(INDEX($A2105:$J2105,$L$6)&lt;&gt;"",TRIM(LEFT(INDEX($A2105:$J2105,$L$6),FIND("(",INDEX($A2105:$J2105,$L$6)&amp;"(")-1)),L2104)</f>
        <v>Building Value Proposition</v>
      </c>
      <c r="M2105" s="37" t="str">
        <f aca="false">IF(INDEX($A2105:$J2105,$M$6)="","",INDEX($A2105:$J2105,$M$6)&amp;"")</f>
        <v/>
      </c>
      <c r="N2105" s="37" t="str">
        <f aca="false">IF($M2105="","",TRIM(INDEX($A2105:$J2105,$N$6)&amp;""))</f>
        <v/>
      </c>
      <c r="O2105" s="37" t="str">
        <f aca="false">IF($M2105="","",TRIM(INDEX($A2105:$J2105,$O$6)&amp;""))</f>
        <v/>
      </c>
      <c r="P2105" s="37" t="str">
        <f aca="false">IF($M2105="","",IFERROR(IF(INDEX(Settings!$B$41:$B$50,MATCH(O2105,Settings!$A$41:$A$50,0))&amp;""="","UNMAPPED",INDEX(Settings!$B$41:$B$50,MATCH(O2105,Settings!$A$41:$A$50,0))&amp;""),"UNMAPPED"))</f>
        <v/>
      </c>
      <c r="Q2105" s="38" t="n">
        <f aca="false">IF($M2105="",0,N(INDEX($A2105:$J2105,$Q$6)))</f>
        <v>0</v>
      </c>
      <c r="R2105" s="39" t="str">
        <f aca="false">IF($M2105="","",INDEX($A2105:$J2105,$R$6))</f>
        <v/>
      </c>
      <c r="S2105" s="37" t="str">
        <f aca="false">IF($M2105="","",IFERROR(INDEX(Settings!$B$27:$B$36,MATCH(L2105,Settings!$A$27:$A$36,0))&amp;"","UNMAPPED"))</f>
        <v/>
      </c>
      <c r="T2105" s="37" t="str">
        <f aca="false">IF($M2105="","",IF(NOT(ISNUMBER(R2105)),"NO DATE",IF(S2105="Won",IF(R2105&gt;Settings!$B$5,"Backlog","Delivered"),IF(S2105="Open",IF(R2105&gt;Settings!$B$5,"Pipeline","Overdue"),IF(S2105="Lost","Lost","UNMAPPED")))))</f>
        <v/>
      </c>
      <c r="U2105" s="40" t="n">
        <f aca="false">IF(T2105="Backlog",1,IF(OR(T2105="Pipeline",T2105="Overdue"),N(INDEX(Settings!$C$27:$C$36,MATCH(L2105,Settings!$A$27:$A$36,0))),0))</f>
        <v>0</v>
      </c>
      <c r="V2105" s="38" t="n">
        <f aca="false">Q2105*U2105</f>
        <v>0</v>
      </c>
      <c r="W2105" s="41" t="str">
        <f aca="false">IF($M2105="","",IF(T2105="Overdue",IF(Settings!$B$8="Yes",Settings!$B$7,""),IF(ISNUMBER(R2105),DATE(YEAR(R2105),MONTH(R2105),1),"")))</f>
        <v/>
      </c>
      <c r="X2105" s="38" t="n">
        <f aca="false">IF(AND(OR(T2105="Backlog",T2105="Pipeline",T2105="Overdue"),ISNUMBER(W2105)),IF(W2105&lt;=Settings!$B$6,V2105,0),0)</f>
        <v>0</v>
      </c>
      <c r="Y2105" s="38" t="n">
        <f aca="false">IF(AND(OR(T2105="Backlog",T2105="Pipeline",T2105="Overdue"),ISNUMBER(W2105)),IF(W2105&lt;=Settings!$B$6,Q2105,0),0)</f>
        <v>0</v>
      </c>
      <c r="Z2105" s="38" t="n">
        <f aca="false">IF(Y2105=0,0,IF(T2105="Backlog",Q2105,Q2105*Dashboard!$C$10))</f>
        <v>0</v>
      </c>
      <c r="AA2105" s="37" t="n">
        <f aca="false">IF($N2105="",0,IF(COUNTIF(Dashboard!$C$13:$C$22,$N2105)&gt;0,1,0))</f>
        <v>0</v>
      </c>
      <c r="AB2105" s="37" t="str">
        <f aca="false">IF($N2105="","",IF(COUNTIF($N$8:$N2105,$N2105)=1,MAX($AB$7:$AB2104)+1,""))</f>
        <v/>
      </c>
    </row>
    <row r="2106" customFormat="false" ht="15" hidden="false" customHeight="false" outlineLevel="0" collapsed="false">
      <c r="L2106" s="37" t="str">
        <f aca="false">IF(INDEX($A2106:$J2106,$L$6)&lt;&gt;"",TRIM(LEFT(INDEX($A2106:$J2106,$L$6),FIND("(",INDEX($A2106:$J2106,$L$6)&amp;"(")-1)),L2105)</f>
        <v>Building Value Proposition</v>
      </c>
      <c r="M2106" s="37" t="str">
        <f aca="false">IF(INDEX($A2106:$J2106,$M$6)="","",INDEX($A2106:$J2106,$M$6)&amp;"")</f>
        <v/>
      </c>
      <c r="N2106" s="37" t="str">
        <f aca="false">IF($M2106="","",TRIM(INDEX($A2106:$J2106,$N$6)&amp;""))</f>
        <v/>
      </c>
      <c r="O2106" s="37" t="str">
        <f aca="false">IF($M2106="","",TRIM(INDEX($A2106:$J2106,$O$6)&amp;""))</f>
        <v/>
      </c>
      <c r="P2106" s="37" t="str">
        <f aca="false">IF($M2106="","",IFERROR(IF(INDEX(Settings!$B$41:$B$50,MATCH(O2106,Settings!$A$41:$A$50,0))&amp;""="","UNMAPPED",INDEX(Settings!$B$41:$B$50,MATCH(O2106,Settings!$A$41:$A$50,0))&amp;""),"UNMAPPED"))</f>
        <v/>
      </c>
      <c r="Q2106" s="38" t="n">
        <f aca="false">IF($M2106="",0,N(INDEX($A2106:$J2106,$Q$6)))</f>
        <v>0</v>
      </c>
      <c r="R2106" s="39" t="str">
        <f aca="false">IF($M2106="","",INDEX($A2106:$J2106,$R$6))</f>
        <v/>
      </c>
      <c r="S2106" s="37" t="str">
        <f aca="false">IF($M2106="","",IFERROR(INDEX(Settings!$B$27:$B$36,MATCH(L2106,Settings!$A$27:$A$36,0))&amp;"","UNMAPPED"))</f>
        <v/>
      </c>
      <c r="T2106" s="37" t="str">
        <f aca="false">IF($M2106="","",IF(NOT(ISNUMBER(R2106)),"NO DATE",IF(S2106="Won",IF(R2106&gt;Settings!$B$5,"Backlog","Delivered"),IF(S2106="Open",IF(R2106&gt;Settings!$B$5,"Pipeline","Overdue"),IF(S2106="Lost","Lost","UNMAPPED")))))</f>
        <v/>
      </c>
      <c r="U2106" s="40" t="n">
        <f aca="false">IF(T2106="Backlog",1,IF(OR(T2106="Pipeline",T2106="Overdue"),N(INDEX(Settings!$C$27:$C$36,MATCH(L2106,Settings!$A$27:$A$36,0))),0))</f>
        <v>0</v>
      </c>
      <c r="V2106" s="38" t="n">
        <f aca="false">Q2106*U2106</f>
        <v>0</v>
      </c>
      <c r="W2106" s="41" t="str">
        <f aca="false">IF($M2106="","",IF(T2106="Overdue",IF(Settings!$B$8="Yes",Settings!$B$7,""),IF(ISNUMBER(R2106),DATE(YEAR(R2106),MONTH(R2106),1),"")))</f>
        <v/>
      </c>
      <c r="X2106" s="38" t="n">
        <f aca="false">IF(AND(OR(T2106="Backlog",T2106="Pipeline",T2106="Overdue"),ISNUMBER(W2106)),IF(W2106&lt;=Settings!$B$6,V2106,0),0)</f>
        <v>0</v>
      </c>
      <c r="Y2106" s="38" t="n">
        <f aca="false">IF(AND(OR(T2106="Backlog",T2106="Pipeline",T2106="Overdue"),ISNUMBER(W2106)),IF(W2106&lt;=Settings!$B$6,Q2106,0),0)</f>
        <v>0</v>
      </c>
      <c r="Z2106" s="38" t="n">
        <f aca="false">IF(Y2106=0,0,IF(T2106="Backlog",Q2106,Q2106*Dashboard!$C$10))</f>
        <v>0</v>
      </c>
      <c r="AA2106" s="37" t="n">
        <f aca="false">IF($N2106="",0,IF(COUNTIF(Dashboard!$C$13:$C$22,$N2106)&gt;0,1,0))</f>
        <v>0</v>
      </c>
      <c r="AB2106" s="37" t="str">
        <f aca="false">IF($N2106="","",IF(COUNTIF($N$8:$N2106,$N2106)=1,MAX($AB$7:$AB2105)+1,""))</f>
        <v/>
      </c>
    </row>
    <row r="2107" customFormat="false" ht="15" hidden="false" customHeight="false" outlineLevel="0" collapsed="false">
      <c r="L2107" s="37" t="str">
        <f aca="false">IF(INDEX($A2107:$J2107,$L$6)&lt;&gt;"",TRIM(LEFT(INDEX($A2107:$J2107,$L$6),FIND("(",INDEX($A2107:$J2107,$L$6)&amp;"(")-1)),L2106)</f>
        <v>Building Value Proposition</v>
      </c>
      <c r="M2107" s="37" t="str">
        <f aca="false">IF(INDEX($A2107:$J2107,$M$6)="","",INDEX($A2107:$J2107,$M$6)&amp;"")</f>
        <v/>
      </c>
      <c r="N2107" s="37" t="str">
        <f aca="false">IF($M2107="","",TRIM(INDEX($A2107:$J2107,$N$6)&amp;""))</f>
        <v/>
      </c>
      <c r="O2107" s="37" t="str">
        <f aca="false">IF($M2107="","",TRIM(INDEX($A2107:$J2107,$O$6)&amp;""))</f>
        <v/>
      </c>
      <c r="P2107" s="37" t="str">
        <f aca="false">IF($M2107="","",IFERROR(IF(INDEX(Settings!$B$41:$B$50,MATCH(O2107,Settings!$A$41:$A$50,0))&amp;""="","UNMAPPED",INDEX(Settings!$B$41:$B$50,MATCH(O2107,Settings!$A$41:$A$50,0))&amp;""),"UNMAPPED"))</f>
        <v/>
      </c>
      <c r="Q2107" s="38" t="n">
        <f aca="false">IF($M2107="",0,N(INDEX($A2107:$J2107,$Q$6)))</f>
        <v>0</v>
      </c>
      <c r="R2107" s="39" t="str">
        <f aca="false">IF($M2107="","",INDEX($A2107:$J2107,$R$6))</f>
        <v/>
      </c>
      <c r="S2107" s="37" t="str">
        <f aca="false">IF($M2107="","",IFERROR(INDEX(Settings!$B$27:$B$36,MATCH(L2107,Settings!$A$27:$A$36,0))&amp;"","UNMAPPED"))</f>
        <v/>
      </c>
      <c r="T2107" s="37" t="str">
        <f aca="false">IF($M2107="","",IF(NOT(ISNUMBER(R2107)),"NO DATE",IF(S2107="Won",IF(R2107&gt;Settings!$B$5,"Backlog","Delivered"),IF(S2107="Open",IF(R2107&gt;Settings!$B$5,"Pipeline","Overdue"),IF(S2107="Lost","Lost","UNMAPPED")))))</f>
        <v/>
      </c>
      <c r="U2107" s="40" t="n">
        <f aca="false">IF(T2107="Backlog",1,IF(OR(T2107="Pipeline",T2107="Overdue"),N(INDEX(Settings!$C$27:$C$36,MATCH(L2107,Settings!$A$27:$A$36,0))),0))</f>
        <v>0</v>
      </c>
      <c r="V2107" s="38" t="n">
        <f aca="false">Q2107*U2107</f>
        <v>0</v>
      </c>
      <c r="W2107" s="41" t="str">
        <f aca="false">IF($M2107="","",IF(T2107="Overdue",IF(Settings!$B$8="Yes",Settings!$B$7,""),IF(ISNUMBER(R2107),DATE(YEAR(R2107),MONTH(R2107),1),"")))</f>
        <v/>
      </c>
      <c r="X2107" s="38" t="n">
        <f aca="false">IF(AND(OR(T2107="Backlog",T2107="Pipeline",T2107="Overdue"),ISNUMBER(W2107)),IF(W2107&lt;=Settings!$B$6,V2107,0),0)</f>
        <v>0</v>
      </c>
      <c r="Y2107" s="38" t="n">
        <f aca="false">IF(AND(OR(T2107="Backlog",T2107="Pipeline",T2107="Overdue"),ISNUMBER(W2107)),IF(W2107&lt;=Settings!$B$6,Q2107,0),0)</f>
        <v>0</v>
      </c>
      <c r="Z2107" s="38" t="n">
        <f aca="false">IF(Y2107=0,0,IF(T2107="Backlog",Q2107,Q2107*Dashboard!$C$10))</f>
        <v>0</v>
      </c>
      <c r="AA2107" s="37" t="n">
        <f aca="false">IF($N2107="",0,IF(COUNTIF(Dashboard!$C$13:$C$22,$N2107)&gt;0,1,0))</f>
        <v>0</v>
      </c>
      <c r="AB2107" s="37" t="str">
        <f aca="false">IF($N2107="","",IF(COUNTIF($N$8:$N2107,$N2107)=1,MAX($AB$7:$AB2106)+1,""))</f>
        <v/>
      </c>
    </row>
    <row r="2108" customFormat="false" ht="15" hidden="false" customHeight="false" outlineLevel="0" collapsed="false">
      <c r="L2108" s="37" t="str">
        <f aca="false">IF(INDEX($A2108:$J2108,$L$6)&lt;&gt;"",TRIM(LEFT(INDEX($A2108:$J2108,$L$6),FIND("(",INDEX($A2108:$J2108,$L$6)&amp;"(")-1)),L2107)</f>
        <v>Building Value Proposition</v>
      </c>
      <c r="M2108" s="37" t="str">
        <f aca="false">IF(INDEX($A2108:$J2108,$M$6)="","",INDEX($A2108:$J2108,$M$6)&amp;"")</f>
        <v/>
      </c>
      <c r="N2108" s="37" t="str">
        <f aca="false">IF($M2108="","",TRIM(INDEX($A2108:$J2108,$N$6)&amp;""))</f>
        <v/>
      </c>
      <c r="O2108" s="37" t="str">
        <f aca="false">IF($M2108="","",TRIM(INDEX($A2108:$J2108,$O$6)&amp;""))</f>
        <v/>
      </c>
      <c r="P2108" s="37" t="str">
        <f aca="false">IF($M2108="","",IFERROR(IF(INDEX(Settings!$B$41:$B$50,MATCH(O2108,Settings!$A$41:$A$50,0))&amp;""="","UNMAPPED",INDEX(Settings!$B$41:$B$50,MATCH(O2108,Settings!$A$41:$A$50,0))&amp;""),"UNMAPPED"))</f>
        <v/>
      </c>
      <c r="Q2108" s="38" t="n">
        <f aca="false">IF($M2108="",0,N(INDEX($A2108:$J2108,$Q$6)))</f>
        <v>0</v>
      </c>
      <c r="R2108" s="39" t="str">
        <f aca="false">IF($M2108="","",INDEX($A2108:$J2108,$R$6))</f>
        <v/>
      </c>
      <c r="S2108" s="37" t="str">
        <f aca="false">IF($M2108="","",IFERROR(INDEX(Settings!$B$27:$B$36,MATCH(L2108,Settings!$A$27:$A$36,0))&amp;"","UNMAPPED"))</f>
        <v/>
      </c>
      <c r="T2108" s="37" t="str">
        <f aca="false">IF($M2108="","",IF(NOT(ISNUMBER(R2108)),"NO DATE",IF(S2108="Won",IF(R2108&gt;Settings!$B$5,"Backlog","Delivered"),IF(S2108="Open",IF(R2108&gt;Settings!$B$5,"Pipeline","Overdue"),IF(S2108="Lost","Lost","UNMAPPED")))))</f>
        <v/>
      </c>
      <c r="U2108" s="40" t="n">
        <f aca="false">IF(T2108="Backlog",1,IF(OR(T2108="Pipeline",T2108="Overdue"),N(INDEX(Settings!$C$27:$C$36,MATCH(L2108,Settings!$A$27:$A$36,0))),0))</f>
        <v>0</v>
      </c>
      <c r="V2108" s="38" t="n">
        <f aca="false">Q2108*U2108</f>
        <v>0</v>
      </c>
      <c r="W2108" s="41" t="str">
        <f aca="false">IF($M2108="","",IF(T2108="Overdue",IF(Settings!$B$8="Yes",Settings!$B$7,""),IF(ISNUMBER(R2108),DATE(YEAR(R2108),MONTH(R2108),1),"")))</f>
        <v/>
      </c>
      <c r="X2108" s="38" t="n">
        <f aca="false">IF(AND(OR(T2108="Backlog",T2108="Pipeline",T2108="Overdue"),ISNUMBER(W2108)),IF(W2108&lt;=Settings!$B$6,V2108,0),0)</f>
        <v>0</v>
      </c>
      <c r="Y2108" s="38" t="n">
        <f aca="false">IF(AND(OR(T2108="Backlog",T2108="Pipeline",T2108="Overdue"),ISNUMBER(W2108)),IF(W2108&lt;=Settings!$B$6,Q2108,0),0)</f>
        <v>0</v>
      </c>
      <c r="Z2108" s="38" t="n">
        <f aca="false">IF(Y2108=0,0,IF(T2108="Backlog",Q2108,Q2108*Dashboard!$C$10))</f>
        <v>0</v>
      </c>
      <c r="AA2108" s="37" t="n">
        <f aca="false">IF($N2108="",0,IF(COUNTIF(Dashboard!$C$13:$C$22,$N2108)&gt;0,1,0))</f>
        <v>0</v>
      </c>
      <c r="AB2108" s="37" t="str">
        <f aca="false">IF($N2108="","",IF(COUNTIF($N$8:$N2108,$N2108)=1,MAX($AB$7:$AB2107)+1,""))</f>
        <v/>
      </c>
    </row>
    <row r="2109" customFormat="false" ht="15" hidden="false" customHeight="false" outlineLevel="0" collapsed="false">
      <c r="L2109" s="37" t="str">
        <f aca="false">IF(INDEX($A2109:$J2109,$L$6)&lt;&gt;"",TRIM(LEFT(INDEX($A2109:$J2109,$L$6),FIND("(",INDEX($A2109:$J2109,$L$6)&amp;"(")-1)),L2108)</f>
        <v>Building Value Proposition</v>
      </c>
      <c r="M2109" s="37" t="str">
        <f aca="false">IF(INDEX($A2109:$J2109,$M$6)="","",INDEX($A2109:$J2109,$M$6)&amp;"")</f>
        <v/>
      </c>
      <c r="N2109" s="37" t="str">
        <f aca="false">IF($M2109="","",TRIM(INDEX($A2109:$J2109,$N$6)&amp;""))</f>
        <v/>
      </c>
      <c r="O2109" s="37" t="str">
        <f aca="false">IF($M2109="","",TRIM(INDEX($A2109:$J2109,$O$6)&amp;""))</f>
        <v/>
      </c>
      <c r="P2109" s="37" t="str">
        <f aca="false">IF($M2109="","",IFERROR(IF(INDEX(Settings!$B$41:$B$50,MATCH(O2109,Settings!$A$41:$A$50,0))&amp;""="","UNMAPPED",INDEX(Settings!$B$41:$B$50,MATCH(O2109,Settings!$A$41:$A$50,0))&amp;""),"UNMAPPED"))</f>
        <v/>
      </c>
      <c r="Q2109" s="38" t="n">
        <f aca="false">IF($M2109="",0,N(INDEX($A2109:$J2109,$Q$6)))</f>
        <v>0</v>
      </c>
      <c r="R2109" s="39" t="str">
        <f aca="false">IF($M2109="","",INDEX($A2109:$J2109,$R$6))</f>
        <v/>
      </c>
      <c r="S2109" s="37" t="str">
        <f aca="false">IF($M2109="","",IFERROR(INDEX(Settings!$B$27:$B$36,MATCH(L2109,Settings!$A$27:$A$36,0))&amp;"","UNMAPPED"))</f>
        <v/>
      </c>
      <c r="T2109" s="37" t="str">
        <f aca="false">IF($M2109="","",IF(NOT(ISNUMBER(R2109)),"NO DATE",IF(S2109="Won",IF(R2109&gt;Settings!$B$5,"Backlog","Delivered"),IF(S2109="Open",IF(R2109&gt;Settings!$B$5,"Pipeline","Overdue"),IF(S2109="Lost","Lost","UNMAPPED")))))</f>
        <v/>
      </c>
      <c r="U2109" s="40" t="n">
        <f aca="false">IF(T2109="Backlog",1,IF(OR(T2109="Pipeline",T2109="Overdue"),N(INDEX(Settings!$C$27:$C$36,MATCH(L2109,Settings!$A$27:$A$36,0))),0))</f>
        <v>0</v>
      </c>
      <c r="V2109" s="38" t="n">
        <f aca="false">Q2109*U2109</f>
        <v>0</v>
      </c>
      <c r="W2109" s="41" t="str">
        <f aca="false">IF($M2109="","",IF(T2109="Overdue",IF(Settings!$B$8="Yes",Settings!$B$7,""),IF(ISNUMBER(R2109),DATE(YEAR(R2109),MONTH(R2109),1),"")))</f>
        <v/>
      </c>
      <c r="X2109" s="38" t="n">
        <f aca="false">IF(AND(OR(T2109="Backlog",T2109="Pipeline",T2109="Overdue"),ISNUMBER(W2109)),IF(W2109&lt;=Settings!$B$6,V2109,0),0)</f>
        <v>0</v>
      </c>
      <c r="Y2109" s="38" t="n">
        <f aca="false">IF(AND(OR(T2109="Backlog",T2109="Pipeline",T2109="Overdue"),ISNUMBER(W2109)),IF(W2109&lt;=Settings!$B$6,Q2109,0),0)</f>
        <v>0</v>
      </c>
      <c r="Z2109" s="38" t="n">
        <f aca="false">IF(Y2109=0,0,IF(T2109="Backlog",Q2109,Q2109*Dashboard!$C$10))</f>
        <v>0</v>
      </c>
      <c r="AA2109" s="37" t="n">
        <f aca="false">IF($N2109="",0,IF(COUNTIF(Dashboard!$C$13:$C$22,$N2109)&gt;0,1,0))</f>
        <v>0</v>
      </c>
      <c r="AB2109" s="37" t="str">
        <f aca="false">IF($N2109="","",IF(COUNTIF($N$8:$N2109,$N2109)=1,MAX($AB$7:$AB2108)+1,""))</f>
        <v/>
      </c>
    </row>
    <row r="2110" customFormat="false" ht="15" hidden="false" customHeight="false" outlineLevel="0" collapsed="false">
      <c r="L2110" s="37" t="str">
        <f aca="false">IF(INDEX($A2110:$J2110,$L$6)&lt;&gt;"",TRIM(LEFT(INDEX($A2110:$J2110,$L$6),FIND("(",INDEX($A2110:$J2110,$L$6)&amp;"(")-1)),L2109)</f>
        <v>Building Value Proposition</v>
      </c>
      <c r="M2110" s="37" t="str">
        <f aca="false">IF(INDEX($A2110:$J2110,$M$6)="","",INDEX($A2110:$J2110,$M$6)&amp;"")</f>
        <v/>
      </c>
      <c r="N2110" s="37" t="str">
        <f aca="false">IF($M2110="","",TRIM(INDEX($A2110:$J2110,$N$6)&amp;""))</f>
        <v/>
      </c>
      <c r="O2110" s="37" t="str">
        <f aca="false">IF($M2110="","",TRIM(INDEX($A2110:$J2110,$O$6)&amp;""))</f>
        <v/>
      </c>
      <c r="P2110" s="37" t="str">
        <f aca="false">IF($M2110="","",IFERROR(IF(INDEX(Settings!$B$41:$B$50,MATCH(O2110,Settings!$A$41:$A$50,0))&amp;""="","UNMAPPED",INDEX(Settings!$B$41:$B$50,MATCH(O2110,Settings!$A$41:$A$50,0))&amp;""),"UNMAPPED"))</f>
        <v/>
      </c>
      <c r="Q2110" s="38" t="n">
        <f aca="false">IF($M2110="",0,N(INDEX($A2110:$J2110,$Q$6)))</f>
        <v>0</v>
      </c>
      <c r="R2110" s="39" t="str">
        <f aca="false">IF($M2110="","",INDEX($A2110:$J2110,$R$6))</f>
        <v/>
      </c>
      <c r="S2110" s="37" t="str">
        <f aca="false">IF($M2110="","",IFERROR(INDEX(Settings!$B$27:$B$36,MATCH(L2110,Settings!$A$27:$A$36,0))&amp;"","UNMAPPED"))</f>
        <v/>
      </c>
      <c r="T2110" s="37" t="str">
        <f aca="false">IF($M2110="","",IF(NOT(ISNUMBER(R2110)),"NO DATE",IF(S2110="Won",IF(R2110&gt;Settings!$B$5,"Backlog","Delivered"),IF(S2110="Open",IF(R2110&gt;Settings!$B$5,"Pipeline","Overdue"),IF(S2110="Lost","Lost","UNMAPPED")))))</f>
        <v/>
      </c>
      <c r="U2110" s="40" t="n">
        <f aca="false">IF(T2110="Backlog",1,IF(OR(T2110="Pipeline",T2110="Overdue"),N(INDEX(Settings!$C$27:$C$36,MATCH(L2110,Settings!$A$27:$A$36,0))),0))</f>
        <v>0</v>
      </c>
      <c r="V2110" s="38" t="n">
        <f aca="false">Q2110*U2110</f>
        <v>0</v>
      </c>
      <c r="W2110" s="41" t="str">
        <f aca="false">IF($M2110="","",IF(T2110="Overdue",IF(Settings!$B$8="Yes",Settings!$B$7,""),IF(ISNUMBER(R2110),DATE(YEAR(R2110),MONTH(R2110),1),"")))</f>
        <v/>
      </c>
      <c r="X2110" s="38" t="n">
        <f aca="false">IF(AND(OR(T2110="Backlog",T2110="Pipeline",T2110="Overdue"),ISNUMBER(W2110)),IF(W2110&lt;=Settings!$B$6,V2110,0),0)</f>
        <v>0</v>
      </c>
      <c r="Y2110" s="38" t="n">
        <f aca="false">IF(AND(OR(T2110="Backlog",T2110="Pipeline",T2110="Overdue"),ISNUMBER(W2110)),IF(W2110&lt;=Settings!$B$6,Q2110,0),0)</f>
        <v>0</v>
      </c>
      <c r="Z2110" s="38" t="n">
        <f aca="false">IF(Y2110=0,0,IF(T2110="Backlog",Q2110,Q2110*Dashboard!$C$10))</f>
        <v>0</v>
      </c>
      <c r="AA2110" s="37" t="n">
        <f aca="false">IF($N2110="",0,IF(COUNTIF(Dashboard!$C$13:$C$22,$N2110)&gt;0,1,0))</f>
        <v>0</v>
      </c>
      <c r="AB2110" s="37" t="str">
        <f aca="false">IF($N2110="","",IF(COUNTIF($N$8:$N2110,$N2110)=1,MAX($AB$7:$AB2109)+1,""))</f>
        <v/>
      </c>
    </row>
    <row r="2111" customFormat="false" ht="15" hidden="false" customHeight="false" outlineLevel="0" collapsed="false">
      <c r="L2111" s="37" t="str">
        <f aca="false">IF(INDEX($A2111:$J2111,$L$6)&lt;&gt;"",TRIM(LEFT(INDEX($A2111:$J2111,$L$6),FIND("(",INDEX($A2111:$J2111,$L$6)&amp;"(")-1)),L2110)</f>
        <v>Building Value Proposition</v>
      </c>
      <c r="M2111" s="37" t="str">
        <f aca="false">IF(INDEX($A2111:$J2111,$M$6)="","",INDEX($A2111:$J2111,$M$6)&amp;"")</f>
        <v/>
      </c>
      <c r="N2111" s="37" t="str">
        <f aca="false">IF($M2111="","",TRIM(INDEX($A2111:$J2111,$N$6)&amp;""))</f>
        <v/>
      </c>
      <c r="O2111" s="37" t="str">
        <f aca="false">IF($M2111="","",TRIM(INDEX($A2111:$J2111,$O$6)&amp;""))</f>
        <v/>
      </c>
      <c r="P2111" s="37" t="str">
        <f aca="false">IF($M2111="","",IFERROR(IF(INDEX(Settings!$B$41:$B$50,MATCH(O2111,Settings!$A$41:$A$50,0))&amp;""="","UNMAPPED",INDEX(Settings!$B$41:$B$50,MATCH(O2111,Settings!$A$41:$A$50,0))&amp;""),"UNMAPPED"))</f>
        <v/>
      </c>
      <c r="Q2111" s="38" t="n">
        <f aca="false">IF($M2111="",0,N(INDEX($A2111:$J2111,$Q$6)))</f>
        <v>0</v>
      </c>
      <c r="R2111" s="39" t="str">
        <f aca="false">IF($M2111="","",INDEX($A2111:$J2111,$R$6))</f>
        <v/>
      </c>
      <c r="S2111" s="37" t="str">
        <f aca="false">IF($M2111="","",IFERROR(INDEX(Settings!$B$27:$B$36,MATCH(L2111,Settings!$A$27:$A$36,0))&amp;"","UNMAPPED"))</f>
        <v/>
      </c>
      <c r="T2111" s="37" t="str">
        <f aca="false">IF($M2111="","",IF(NOT(ISNUMBER(R2111)),"NO DATE",IF(S2111="Won",IF(R2111&gt;Settings!$B$5,"Backlog","Delivered"),IF(S2111="Open",IF(R2111&gt;Settings!$B$5,"Pipeline","Overdue"),IF(S2111="Lost","Lost","UNMAPPED")))))</f>
        <v/>
      </c>
      <c r="U2111" s="40" t="n">
        <f aca="false">IF(T2111="Backlog",1,IF(OR(T2111="Pipeline",T2111="Overdue"),N(INDEX(Settings!$C$27:$C$36,MATCH(L2111,Settings!$A$27:$A$36,0))),0))</f>
        <v>0</v>
      </c>
      <c r="V2111" s="38" t="n">
        <f aca="false">Q2111*U2111</f>
        <v>0</v>
      </c>
      <c r="W2111" s="41" t="str">
        <f aca="false">IF($M2111="","",IF(T2111="Overdue",IF(Settings!$B$8="Yes",Settings!$B$7,""),IF(ISNUMBER(R2111),DATE(YEAR(R2111),MONTH(R2111),1),"")))</f>
        <v/>
      </c>
      <c r="X2111" s="38" t="n">
        <f aca="false">IF(AND(OR(T2111="Backlog",T2111="Pipeline",T2111="Overdue"),ISNUMBER(W2111)),IF(W2111&lt;=Settings!$B$6,V2111,0),0)</f>
        <v>0</v>
      </c>
      <c r="Y2111" s="38" t="n">
        <f aca="false">IF(AND(OR(T2111="Backlog",T2111="Pipeline",T2111="Overdue"),ISNUMBER(W2111)),IF(W2111&lt;=Settings!$B$6,Q2111,0),0)</f>
        <v>0</v>
      </c>
      <c r="Z2111" s="38" t="n">
        <f aca="false">IF(Y2111=0,0,IF(T2111="Backlog",Q2111,Q2111*Dashboard!$C$10))</f>
        <v>0</v>
      </c>
      <c r="AA2111" s="37" t="n">
        <f aca="false">IF($N2111="",0,IF(COUNTIF(Dashboard!$C$13:$C$22,$N2111)&gt;0,1,0))</f>
        <v>0</v>
      </c>
      <c r="AB2111" s="37" t="str">
        <f aca="false">IF($N2111="","",IF(COUNTIF($N$8:$N2111,$N2111)=1,MAX($AB$7:$AB2110)+1,""))</f>
        <v/>
      </c>
    </row>
    <row r="2112" customFormat="false" ht="15" hidden="false" customHeight="false" outlineLevel="0" collapsed="false">
      <c r="L2112" s="37" t="str">
        <f aca="false">IF(INDEX($A2112:$J2112,$L$6)&lt;&gt;"",TRIM(LEFT(INDEX($A2112:$J2112,$L$6),FIND("(",INDEX($A2112:$J2112,$L$6)&amp;"(")-1)),L2111)</f>
        <v>Building Value Proposition</v>
      </c>
      <c r="M2112" s="37" t="str">
        <f aca="false">IF(INDEX($A2112:$J2112,$M$6)="","",INDEX($A2112:$J2112,$M$6)&amp;"")</f>
        <v/>
      </c>
      <c r="N2112" s="37" t="str">
        <f aca="false">IF($M2112="","",TRIM(INDEX($A2112:$J2112,$N$6)&amp;""))</f>
        <v/>
      </c>
      <c r="O2112" s="37" t="str">
        <f aca="false">IF($M2112="","",TRIM(INDEX($A2112:$J2112,$O$6)&amp;""))</f>
        <v/>
      </c>
      <c r="P2112" s="37" t="str">
        <f aca="false">IF($M2112="","",IFERROR(IF(INDEX(Settings!$B$41:$B$50,MATCH(O2112,Settings!$A$41:$A$50,0))&amp;""="","UNMAPPED",INDEX(Settings!$B$41:$B$50,MATCH(O2112,Settings!$A$41:$A$50,0))&amp;""),"UNMAPPED"))</f>
        <v/>
      </c>
      <c r="Q2112" s="38" t="n">
        <f aca="false">IF($M2112="",0,N(INDEX($A2112:$J2112,$Q$6)))</f>
        <v>0</v>
      </c>
      <c r="R2112" s="39" t="str">
        <f aca="false">IF($M2112="","",INDEX($A2112:$J2112,$R$6))</f>
        <v/>
      </c>
      <c r="S2112" s="37" t="str">
        <f aca="false">IF($M2112="","",IFERROR(INDEX(Settings!$B$27:$B$36,MATCH(L2112,Settings!$A$27:$A$36,0))&amp;"","UNMAPPED"))</f>
        <v/>
      </c>
      <c r="T2112" s="37" t="str">
        <f aca="false">IF($M2112="","",IF(NOT(ISNUMBER(R2112)),"NO DATE",IF(S2112="Won",IF(R2112&gt;Settings!$B$5,"Backlog","Delivered"),IF(S2112="Open",IF(R2112&gt;Settings!$B$5,"Pipeline","Overdue"),IF(S2112="Lost","Lost","UNMAPPED")))))</f>
        <v/>
      </c>
      <c r="U2112" s="40" t="n">
        <f aca="false">IF(T2112="Backlog",1,IF(OR(T2112="Pipeline",T2112="Overdue"),N(INDEX(Settings!$C$27:$C$36,MATCH(L2112,Settings!$A$27:$A$36,0))),0))</f>
        <v>0</v>
      </c>
      <c r="V2112" s="38" t="n">
        <f aca="false">Q2112*U2112</f>
        <v>0</v>
      </c>
      <c r="W2112" s="41" t="str">
        <f aca="false">IF($M2112="","",IF(T2112="Overdue",IF(Settings!$B$8="Yes",Settings!$B$7,""),IF(ISNUMBER(R2112),DATE(YEAR(R2112),MONTH(R2112),1),"")))</f>
        <v/>
      </c>
      <c r="X2112" s="38" t="n">
        <f aca="false">IF(AND(OR(T2112="Backlog",T2112="Pipeline",T2112="Overdue"),ISNUMBER(W2112)),IF(W2112&lt;=Settings!$B$6,V2112,0),0)</f>
        <v>0</v>
      </c>
      <c r="Y2112" s="38" t="n">
        <f aca="false">IF(AND(OR(T2112="Backlog",T2112="Pipeline",T2112="Overdue"),ISNUMBER(W2112)),IF(W2112&lt;=Settings!$B$6,Q2112,0),0)</f>
        <v>0</v>
      </c>
      <c r="Z2112" s="38" t="n">
        <f aca="false">IF(Y2112=0,0,IF(T2112="Backlog",Q2112,Q2112*Dashboard!$C$10))</f>
        <v>0</v>
      </c>
      <c r="AA2112" s="37" t="n">
        <f aca="false">IF($N2112="",0,IF(COUNTIF(Dashboard!$C$13:$C$22,$N2112)&gt;0,1,0))</f>
        <v>0</v>
      </c>
      <c r="AB2112" s="37" t="str">
        <f aca="false">IF($N2112="","",IF(COUNTIF($N$8:$N2112,$N2112)=1,MAX($AB$7:$AB2111)+1,""))</f>
        <v/>
      </c>
    </row>
    <row r="2113" customFormat="false" ht="15" hidden="false" customHeight="false" outlineLevel="0" collapsed="false">
      <c r="L2113" s="37" t="str">
        <f aca="false">IF(INDEX($A2113:$J2113,$L$6)&lt;&gt;"",TRIM(LEFT(INDEX($A2113:$J2113,$L$6),FIND("(",INDEX($A2113:$J2113,$L$6)&amp;"(")-1)),L2112)</f>
        <v>Building Value Proposition</v>
      </c>
      <c r="M2113" s="37" t="str">
        <f aca="false">IF(INDEX($A2113:$J2113,$M$6)="","",INDEX($A2113:$J2113,$M$6)&amp;"")</f>
        <v/>
      </c>
      <c r="N2113" s="37" t="str">
        <f aca="false">IF($M2113="","",TRIM(INDEX($A2113:$J2113,$N$6)&amp;""))</f>
        <v/>
      </c>
      <c r="O2113" s="37" t="str">
        <f aca="false">IF($M2113="","",TRIM(INDEX($A2113:$J2113,$O$6)&amp;""))</f>
        <v/>
      </c>
      <c r="P2113" s="37" t="str">
        <f aca="false">IF($M2113="","",IFERROR(IF(INDEX(Settings!$B$41:$B$50,MATCH(O2113,Settings!$A$41:$A$50,0))&amp;""="","UNMAPPED",INDEX(Settings!$B$41:$B$50,MATCH(O2113,Settings!$A$41:$A$50,0))&amp;""),"UNMAPPED"))</f>
        <v/>
      </c>
      <c r="Q2113" s="38" t="n">
        <f aca="false">IF($M2113="",0,N(INDEX($A2113:$J2113,$Q$6)))</f>
        <v>0</v>
      </c>
      <c r="R2113" s="39" t="str">
        <f aca="false">IF($M2113="","",INDEX($A2113:$J2113,$R$6))</f>
        <v/>
      </c>
      <c r="S2113" s="37" t="str">
        <f aca="false">IF($M2113="","",IFERROR(INDEX(Settings!$B$27:$B$36,MATCH(L2113,Settings!$A$27:$A$36,0))&amp;"","UNMAPPED"))</f>
        <v/>
      </c>
      <c r="T2113" s="37" t="str">
        <f aca="false">IF($M2113="","",IF(NOT(ISNUMBER(R2113)),"NO DATE",IF(S2113="Won",IF(R2113&gt;Settings!$B$5,"Backlog","Delivered"),IF(S2113="Open",IF(R2113&gt;Settings!$B$5,"Pipeline","Overdue"),IF(S2113="Lost","Lost","UNMAPPED")))))</f>
        <v/>
      </c>
      <c r="U2113" s="40" t="n">
        <f aca="false">IF(T2113="Backlog",1,IF(OR(T2113="Pipeline",T2113="Overdue"),N(INDEX(Settings!$C$27:$C$36,MATCH(L2113,Settings!$A$27:$A$36,0))),0))</f>
        <v>0</v>
      </c>
      <c r="V2113" s="38" t="n">
        <f aca="false">Q2113*U2113</f>
        <v>0</v>
      </c>
      <c r="W2113" s="41" t="str">
        <f aca="false">IF($M2113="","",IF(T2113="Overdue",IF(Settings!$B$8="Yes",Settings!$B$7,""),IF(ISNUMBER(R2113),DATE(YEAR(R2113),MONTH(R2113),1),"")))</f>
        <v/>
      </c>
      <c r="X2113" s="38" t="n">
        <f aca="false">IF(AND(OR(T2113="Backlog",T2113="Pipeline",T2113="Overdue"),ISNUMBER(W2113)),IF(W2113&lt;=Settings!$B$6,V2113,0),0)</f>
        <v>0</v>
      </c>
      <c r="Y2113" s="38" t="n">
        <f aca="false">IF(AND(OR(T2113="Backlog",T2113="Pipeline",T2113="Overdue"),ISNUMBER(W2113)),IF(W2113&lt;=Settings!$B$6,Q2113,0),0)</f>
        <v>0</v>
      </c>
      <c r="Z2113" s="38" t="n">
        <f aca="false">IF(Y2113=0,0,IF(T2113="Backlog",Q2113,Q2113*Dashboard!$C$10))</f>
        <v>0</v>
      </c>
      <c r="AA2113" s="37" t="n">
        <f aca="false">IF($N2113="",0,IF(COUNTIF(Dashboard!$C$13:$C$22,$N2113)&gt;0,1,0))</f>
        <v>0</v>
      </c>
      <c r="AB2113" s="37" t="str">
        <f aca="false">IF($N2113="","",IF(COUNTIF($N$8:$N2113,$N2113)=1,MAX($AB$7:$AB2112)+1,""))</f>
        <v/>
      </c>
    </row>
    <row r="2114" customFormat="false" ht="15" hidden="false" customHeight="false" outlineLevel="0" collapsed="false">
      <c r="L2114" s="37" t="str">
        <f aca="false">IF(INDEX($A2114:$J2114,$L$6)&lt;&gt;"",TRIM(LEFT(INDEX($A2114:$J2114,$L$6),FIND("(",INDEX($A2114:$J2114,$L$6)&amp;"(")-1)),L2113)</f>
        <v>Building Value Proposition</v>
      </c>
      <c r="M2114" s="37" t="str">
        <f aca="false">IF(INDEX($A2114:$J2114,$M$6)="","",INDEX($A2114:$J2114,$M$6)&amp;"")</f>
        <v/>
      </c>
      <c r="N2114" s="37" t="str">
        <f aca="false">IF($M2114="","",TRIM(INDEX($A2114:$J2114,$N$6)&amp;""))</f>
        <v/>
      </c>
      <c r="O2114" s="37" t="str">
        <f aca="false">IF($M2114="","",TRIM(INDEX($A2114:$J2114,$O$6)&amp;""))</f>
        <v/>
      </c>
      <c r="P2114" s="37" t="str">
        <f aca="false">IF($M2114="","",IFERROR(IF(INDEX(Settings!$B$41:$B$50,MATCH(O2114,Settings!$A$41:$A$50,0))&amp;""="","UNMAPPED",INDEX(Settings!$B$41:$B$50,MATCH(O2114,Settings!$A$41:$A$50,0))&amp;""),"UNMAPPED"))</f>
        <v/>
      </c>
      <c r="Q2114" s="38" t="n">
        <f aca="false">IF($M2114="",0,N(INDEX($A2114:$J2114,$Q$6)))</f>
        <v>0</v>
      </c>
      <c r="R2114" s="39" t="str">
        <f aca="false">IF($M2114="","",INDEX($A2114:$J2114,$R$6))</f>
        <v/>
      </c>
      <c r="S2114" s="37" t="str">
        <f aca="false">IF($M2114="","",IFERROR(INDEX(Settings!$B$27:$B$36,MATCH(L2114,Settings!$A$27:$A$36,0))&amp;"","UNMAPPED"))</f>
        <v/>
      </c>
      <c r="T2114" s="37" t="str">
        <f aca="false">IF($M2114="","",IF(NOT(ISNUMBER(R2114)),"NO DATE",IF(S2114="Won",IF(R2114&gt;Settings!$B$5,"Backlog","Delivered"),IF(S2114="Open",IF(R2114&gt;Settings!$B$5,"Pipeline","Overdue"),IF(S2114="Lost","Lost","UNMAPPED")))))</f>
        <v/>
      </c>
      <c r="U2114" s="40" t="n">
        <f aca="false">IF(T2114="Backlog",1,IF(OR(T2114="Pipeline",T2114="Overdue"),N(INDEX(Settings!$C$27:$C$36,MATCH(L2114,Settings!$A$27:$A$36,0))),0))</f>
        <v>0</v>
      </c>
      <c r="V2114" s="38" t="n">
        <f aca="false">Q2114*U2114</f>
        <v>0</v>
      </c>
      <c r="W2114" s="41" t="str">
        <f aca="false">IF($M2114="","",IF(T2114="Overdue",IF(Settings!$B$8="Yes",Settings!$B$7,""),IF(ISNUMBER(R2114),DATE(YEAR(R2114),MONTH(R2114),1),"")))</f>
        <v/>
      </c>
      <c r="X2114" s="38" t="n">
        <f aca="false">IF(AND(OR(T2114="Backlog",T2114="Pipeline",T2114="Overdue"),ISNUMBER(W2114)),IF(W2114&lt;=Settings!$B$6,V2114,0),0)</f>
        <v>0</v>
      </c>
      <c r="Y2114" s="38" t="n">
        <f aca="false">IF(AND(OR(T2114="Backlog",T2114="Pipeline",T2114="Overdue"),ISNUMBER(W2114)),IF(W2114&lt;=Settings!$B$6,Q2114,0),0)</f>
        <v>0</v>
      </c>
      <c r="Z2114" s="38" t="n">
        <f aca="false">IF(Y2114=0,0,IF(T2114="Backlog",Q2114,Q2114*Dashboard!$C$10))</f>
        <v>0</v>
      </c>
      <c r="AA2114" s="37" t="n">
        <f aca="false">IF($N2114="",0,IF(COUNTIF(Dashboard!$C$13:$C$22,$N2114)&gt;0,1,0))</f>
        <v>0</v>
      </c>
      <c r="AB2114" s="37" t="str">
        <f aca="false">IF($N2114="","",IF(COUNTIF($N$8:$N2114,$N2114)=1,MAX($AB$7:$AB2113)+1,""))</f>
        <v/>
      </c>
    </row>
    <row r="2115" customFormat="false" ht="15" hidden="false" customHeight="false" outlineLevel="0" collapsed="false">
      <c r="L2115" s="37" t="str">
        <f aca="false">IF(INDEX($A2115:$J2115,$L$6)&lt;&gt;"",TRIM(LEFT(INDEX($A2115:$J2115,$L$6),FIND("(",INDEX($A2115:$J2115,$L$6)&amp;"(")-1)),L2114)</f>
        <v>Building Value Proposition</v>
      </c>
      <c r="M2115" s="37" t="str">
        <f aca="false">IF(INDEX($A2115:$J2115,$M$6)="","",INDEX($A2115:$J2115,$M$6)&amp;"")</f>
        <v/>
      </c>
      <c r="N2115" s="37" t="str">
        <f aca="false">IF($M2115="","",TRIM(INDEX($A2115:$J2115,$N$6)&amp;""))</f>
        <v/>
      </c>
      <c r="O2115" s="37" t="str">
        <f aca="false">IF($M2115="","",TRIM(INDEX($A2115:$J2115,$O$6)&amp;""))</f>
        <v/>
      </c>
      <c r="P2115" s="37" t="str">
        <f aca="false">IF($M2115="","",IFERROR(IF(INDEX(Settings!$B$41:$B$50,MATCH(O2115,Settings!$A$41:$A$50,0))&amp;""="","UNMAPPED",INDEX(Settings!$B$41:$B$50,MATCH(O2115,Settings!$A$41:$A$50,0))&amp;""),"UNMAPPED"))</f>
        <v/>
      </c>
      <c r="Q2115" s="38" t="n">
        <f aca="false">IF($M2115="",0,N(INDEX($A2115:$J2115,$Q$6)))</f>
        <v>0</v>
      </c>
      <c r="R2115" s="39" t="str">
        <f aca="false">IF($M2115="","",INDEX($A2115:$J2115,$R$6))</f>
        <v/>
      </c>
      <c r="S2115" s="37" t="str">
        <f aca="false">IF($M2115="","",IFERROR(INDEX(Settings!$B$27:$B$36,MATCH(L2115,Settings!$A$27:$A$36,0))&amp;"","UNMAPPED"))</f>
        <v/>
      </c>
      <c r="T2115" s="37" t="str">
        <f aca="false">IF($M2115="","",IF(NOT(ISNUMBER(R2115)),"NO DATE",IF(S2115="Won",IF(R2115&gt;Settings!$B$5,"Backlog","Delivered"),IF(S2115="Open",IF(R2115&gt;Settings!$B$5,"Pipeline","Overdue"),IF(S2115="Lost","Lost","UNMAPPED")))))</f>
        <v/>
      </c>
      <c r="U2115" s="40" t="n">
        <f aca="false">IF(T2115="Backlog",1,IF(OR(T2115="Pipeline",T2115="Overdue"),N(INDEX(Settings!$C$27:$C$36,MATCH(L2115,Settings!$A$27:$A$36,0))),0))</f>
        <v>0</v>
      </c>
      <c r="V2115" s="38" t="n">
        <f aca="false">Q2115*U2115</f>
        <v>0</v>
      </c>
      <c r="W2115" s="41" t="str">
        <f aca="false">IF($M2115="","",IF(T2115="Overdue",IF(Settings!$B$8="Yes",Settings!$B$7,""),IF(ISNUMBER(R2115),DATE(YEAR(R2115),MONTH(R2115),1),"")))</f>
        <v/>
      </c>
      <c r="X2115" s="38" t="n">
        <f aca="false">IF(AND(OR(T2115="Backlog",T2115="Pipeline",T2115="Overdue"),ISNUMBER(W2115)),IF(W2115&lt;=Settings!$B$6,V2115,0),0)</f>
        <v>0</v>
      </c>
      <c r="Y2115" s="38" t="n">
        <f aca="false">IF(AND(OR(T2115="Backlog",T2115="Pipeline",T2115="Overdue"),ISNUMBER(W2115)),IF(W2115&lt;=Settings!$B$6,Q2115,0),0)</f>
        <v>0</v>
      </c>
      <c r="Z2115" s="38" t="n">
        <f aca="false">IF(Y2115=0,0,IF(T2115="Backlog",Q2115,Q2115*Dashboard!$C$10))</f>
        <v>0</v>
      </c>
      <c r="AA2115" s="37" t="n">
        <f aca="false">IF($N2115="",0,IF(COUNTIF(Dashboard!$C$13:$C$22,$N2115)&gt;0,1,0))</f>
        <v>0</v>
      </c>
      <c r="AB2115" s="37" t="str">
        <f aca="false">IF($N2115="","",IF(COUNTIF($N$8:$N2115,$N2115)=1,MAX($AB$7:$AB2114)+1,""))</f>
        <v/>
      </c>
    </row>
    <row r="2116" customFormat="false" ht="15" hidden="false" customHeight="false" outlineLevel="0" collapsed="false">
      <c r="L2116" s="37" t="str">
        <f aca="false">IF(INDEX($A2116:$J2116,$L$6)&lt;&gt;"",TRIM(LEFT(INDEX($A2116:$J2116,$L$6),FIND("(",INDEX($A2116:$J2116,$L$6)&amp;"(")-1)),L2115)</f>
        <v>Building Value Proposition</v>
      </c>
      <c r="M2116" s="37" t="str">
        <f aca="false">IF(INDEX($A2116:$J2116,$M$6)="","",INDEX($A2116:$J2116,$M$6)&amp;"")</f>
        <v/>
      </c>
      <c r="N2116" s="37" t="str">
        <f aca="false">IF($M2116="","",TRIM(INDEX($A2116:$J2116,$N$6)&amp;""))</f>
        <v/>
      </c>
      <c r="O2116" s="37" t="str">
        <f aca="false">IF($M2116="","",TRIM(INDEX($A2116:$J2116,$O$6)&amp;""))</f>
        <v/>
      </c>
      <c r="P2116" s="37" t="str">
        <f aca="false">IF($M2116="","",IFERROR(IF(INDEX(Settings!$B$41:$B$50,MATCH(O2116,Settings!$A$41:$A$50,0))&amp;""="","UNMAPPED",INDEX(Settings!$B$41:$B$50,MATCH(O2116,Settings!$A$41:$A$50,0))&amp;""),"UNMAPPED"))</f>
        <v/>
      </c>
      <c r="Q2116" s="38" t="n">
        <f aca="false">IF($M2116="",0,N(INDEX($A2116:$J2116,$Q$6)))</f>
        <v>0</v>
      </c>
      <c r="R2116" s="39" t="str">
        <f aca="false">IF($M2116="","",INDEX($A2116:$J2116,$R$6))</f>
        <v/>
      </c>
      <c r="S2116" s="37" t="str">
        <f aca="false">IF($M2116="","",IFERROR(INDEX(Settings!$B$27:$B$36,MATCH(L2116,Settings!$A$27:$A$36,0))&amp;"","UNMAPPED"))</f>
        <v/>
      </c>
      <c r="T2116" s="37" t="str">
        <f aca="false">IF($M2116="","",IF(NOT(ISNUMBER(R2116)),"NO DATE",IF(S2116="Won",IF(R2116&gt;Settings!$B$5,"Backlog","Delivered"),IF(S2116="Open",IF(R2116&gt;Settings!$B$5,"Pipeline","Overdue"),IF(S2116="Lost","Lost","UNMAPPED")))))</f>
        <v/>
      </c>
      <c r="U2116" s="40" t="n">
        <f aca="false">IF(T2116="Backlog",1,IF(OR(T2116="Pipeline",T2116="Overdue"),N(INDEX(Settings!$C$27:$C$36,MATCH(L2116,Settings!$A$27:$A$36,0))),0))</f>
        <v>0</v>
      </c>
      <c r="V2116" s="38" t="n">
        <f aca="false">Q2116*U2116</f>
        <v>0</v>
      </c>
      <c r="W2116" s="41" t="str">
        <f aca="false">IF($M2116="","",IF(T2116="Overdue",IF(Settings!$B$8="Yes",Settings!$B$7,""),IF(ISNUMBER(R2116),DATE(YEAR(R2116),MONTH(R2116),1),"")))</f>
        <v/>
      </c>
      <c r="X2116" s="38" t="n">
        <f aca="false">IF(AND(OR(T2116="Backlog",T2116="Pipeline",T2116="Overdue"),ISNUMBER(W2116)),IF(W2116&lt;=Settings!$B$6,V2116,0),0)</f>
        <v>0</v>
      </c>
      <c r="Y2116" s="38" t="n">
        <f aca="false">IF(AND(OR(T2116="Backlog",T2116="Pipeline",T2116="Overdue"),ISNUMBER(W2116)),IF(W2116&lt;=Settings!$B$6,Q2116,0),0)</f>
        <v>0</v>
      </c>
      <c r="Z2116" s="38" t="n">
        <f aca="false">IF(Y2116=0,0,IF(T2116="Backlog",Q2116,Q2116*Dashboard!$C$10))</f>
        <v>0</v>
      </c>
      <c r="AA2116" s="37" t="n">
        <f aca="false">IF($N2116="",0,IF(COUNTIF(Dashboard!$C$13:$C$22,$N2116)&gt;0,1,0))</f>
        <v>0</v>
      </c>
      <c r="AB2116" s="37" t="str">
        <f aca="false">IF($N2116="","",IF(COUNTIF($N$8:$N2116,$N2116)=1,MAX($AB$7:$AB2115)+1,""))</f>
        <v/>
      </c>
    </row>
    <row r="2117" customFormat="false" ht="15" hidden="false" customHeight="false" outlineLevel="0" collapsed="false">
      <c r="L2117" s="37" t="str">
        <f aca="false">IF(INDEX($A2117:$J2117,$L$6)&lt;&gt;"",TRIM(LEFT(INDEX($A2117:$J2117,$L$6),FIND("(",INDEX($A2117:$J2117,$L$6)&amp;"(")-1)),L2116)</f>
        <v>Building Value Proposition</v>
      </c>
      <c r="M2117" s="37" t="str">
        <f aca="false">IF(INDEX($A2117:$J2117,$M$6)="","",INDEX($A2117:$J2117,$M$6)&amp;"")</f>
        <v/>
      </c>
      <c r="N2117" s="37" t="str">
        <f aca="false">IF($M2117="","",TRIM(INDEX($A2117:$J2117,$N$6)&amp;""))</f>
        <v/>
      </c>
      <c r="O2117" s="37" t="str">
        <f aca="false">IF($M2117="","",TRIM(INDEX($A2117:$J2117,$O$6)&amp;""))</f>
        <v/>
      </c>
      <c r="P2117" s="37" t="str">
        <f aca="false">IF($M2117="","",IFERROR(IF(INDEX(Settings!$B$41:$B$50,MATCH(O2117,Settings!$A$41:$A$50,0))&amp;""="","UNMAPPED",INDEX(Settings!$B$41:$B$50,MATCH(O2117,Settings!$A$41:$A$50,0))&amp;""),"UNMAPPED"))</f>
        <v/>
      </c>
      <c r="Q2117" s="38" t="n">
        <f aca="false">IF($M2117="",0,N(INDEX($A2117:$J2117,$Q$6)))</f>
        <v>0</v>
      </c>
      <c r="R2117" s="39" t="str">
        <f aca="false">IF($M2117="","",INDEX($A2117:$J2117,$R$6))</f>
        <v/>
      </c>
      <c r="S2117" s="37" t="str">
        <f aca="false">IF($M2117="","",IFERROR(INDEX(Settings!$B$27:$B$36,MATCH(L2117,Settings!$A$27:$A$36,0))&amp;"","UNMAPPED"))</f>
        <v/>
      </c>
      <c r="T2117" s="37" t="str">
        <f aca="false">IF($M2117="","",IF(NOT(ISNUMBER(R2117)),"NO DATE",IF(S2117="Won",IF(R2117&gt;Settings!$B$5,"Backlog","Delivered"),IF(S2117="Open",IF(R2117&gt;Settings!$B$5,"Pipeline","Overdue"),IF(S2117="Lost","Lost","UNMAPPED")))))</f>
        <v/>
      </c>
      <c r="U2117" s="40" t="n">
        <f aca="false">IF(T2117="Backlog",1,IF(OR(T2117="Pipeline",T2117="Overdue"),N(INDEX(Settings!$C$27:$C$36,MATCH(L2117,Settings!$A$27:$A$36,0))),0))</f>
        <v>0</v>
      </c>
      <c r="V2117" s="38" t="n">
        <f aca="false">Q2117*U2117</f>
        <v>0</v>
      </c>
      <c r="W2117" s="41" t="str">
        <f aca="false">IF($M2117="","",IF(T2117="Overdue",IF(Settings!$B$8="Yes",Settings!$B$7,""),IF(ISNUMBER(R2117),DATE(YEAR(R2117),MONTH(R2117),1),"")))</f>
        <v/>
      </c>
      <c r="X2117" s="38" t="n">
        <f aca="false">IF(AND(OR(T2117="Backlog",T2117="Pipeline",T2117="Overdue"),ISNUMBER(W2117)),IF(W2117&lt;=Settings!$B$6,V2117,0),0)</f>
        <v>0</v>
      </c>
      <c r="Y2117" s="38" t="n">
        <f aca="false">IF(AND(OR(T2117="Backlog",T2117="Pipeline",T2117="Overdue"),ISNUMBER(W2117)),IF(W2117&lt;=Settings!$B$6,Q2117,0),0)</f>
        <v>0</v>
      </c>
      <c r="Z2117" s="38" t="n">
        <f aca="false">IF(Y2117=0,0,IF(T2117="Backlog",Q2117,Q2117*Dashboard!$C$10))</f>
        <v>0</v>
      </c>
      <c r="AA2117" s="37" t="n">
        <f aca="false">IF($N2117="",0,IF(COUNTIF(Dashboard!$C$13:$C$22,$N2117)&gt;0,1,0))</f>
        <v>0</v>
      </c>
      <c r="AB2117" s="37" t="str">
        <f aca="false">IF($N2117="","",IF(COUNTIF($N$8:$N2117,$N2117)=1,MAX($AB$7:$AB2116)+1,""))</f>
        <v/>
      </c>
    </row>
    <row r="2118" customFormat="false" ht="15" hidden="false" customHeight="false" outlineLevel="0" collapsed="false">
      <c r="L2118" s="37" t="str">
        <f aca="false">IF(INDEX($A2118:$J2118,$L$6)&lt;&gt;"",TRIM(LEFT(INDEX($A2118:$J2118,$L$6),FIND("(",INDEX($A2118:$J2118,$L$6)&amp;"(")-1)),L2117)</f>
        <v>Building Value Proposition</v>
      </c>
      <c r="M2118" s="37" t="str">
        <f aca="false">IF(INDEX($A2118:$J2118,$M$6)="","",INDEX($A2118:$J2118,$M$6)&amp;"")</f>
        <v/>
      </c>
      <c r="N2118" s="37" t="str">
        <f aca="false">IF($M2118="","",TRIM(INDEX($A2118:$J2118,$N$6)&amp;""))</f>
        <v/>
      </c>
      <c r="O2118" s="37" t="str">
        <f aca="false">IF($M2118="","",TRIM(INDEX($A2118:$J2118,$O$6)&amp;""))</f>
        <v/>
      </c>
      <c r="P2118" s="37" t="str">
        <f aca="false">IF($M2118="","",IFERROR(IF(INDEX(Settings!$B$41:$B$50,MATCH(O2118,Settings!$A$41:$A$50,0))&amp;""="","UNMAPPED",INDEX(Settings!$B$41:$B$50,MATCH(O2118,Settings!$A$41:$A$50,0))&amp;""),"UNMAPPED"))</f>
        <v/>
      </c>
      <c r="Q2118" s="38" t="n">
        <f aca="false">IF($M2118="",0,N(INDEX($A2118:$J2118,$Q$6)))</f>
        <v>0</v>
      </c>
      <c r="R2118" s="39" t="str">
        <f aca="false">IF($M2118="","",INDEX($A2118:$J2118,$R$6))</f>
        <v/>
      </c>
      <c r="S2118" s="37" t="str">
        <f aca="false">IF($M2118="","",IFERROR(INDEX(Settings!$B$27:$B$36,MATCH(L2118,Settings!$A$27:$A$36,0))&amp;"","UNMAPPED"))</f>
        <v/>
      </c>
      <c r="T2118" s="37" t="str">
        <f aca="false">IF($M2118="","",IF(NOT(ISNUMBER(R2118)),"NO DATE",IF(S2118="Won",IF(R2118&gt;Settings!$B$5,"Backlog","Delivered"),IF(S2118="Open",IF(R2118&gt;Settings!$B$5,"Pipeline","Overdue"),IF(S2118="Lost","Lost","UNMAPPED")))))</f>
        <v/>
      </c>
      <c r="U2118" s="40" t="n">
        <f aca="false">IF(T2118="Backlog",1,IF(OR(T2118="Pipeline",T2118="Overdue"),N(INDEX(Settings!$C$27:$C$36,MATCH(L2118,Settings!$A$27:$A$36,0))),0))</f>
        <v>0</v>
      </c>
      <c r="V2118" s="38" t="n">
        <f aca="false">Q2118*U2118</f>
        <v>0</v>
      </c>
      <c r="W2118" s="41" t="str">
        <f aca="false">IF($M2118="","",IF(T2118="Overdue",IF(Settings!$B$8="Yes",Settings!$B$7,""),IF(ISNUMBER(R2118),DATE(YEAR(R2118),MONTH(R2118),1),"")))</f>
        <v/>
      </c>
      <c r="X2118" s="38" t="n">
        <f aca="false">IF(AND(OR(T2118="Backlog",T2118="Pipeline",T2118="Overdue"),ISNUMBER(W2118)),IF(W2118&lt;=Settings!$B$6,V2118,0),0)</f>
        <v>0</v>
      </c>
      <c r="Y2118" s="38" t="n">
        <f aca="false">IF(AND(OR(T2118="Backlog",T2118="Pipeline",T2118="Overdue"),ISNUMBER(W2118)),IF(W2118&lt;=Settings!$B$6,Q2118,0),0)</f>
        <v>0</v>
      </c>
      <c r="Z2118" s="38" t="n">
        <f aca="false">IF(Y2118=0,0,IF(T2118="Backlog",Q2118,Q2118*Dashboard!$C$10))</f>
        <v>0</v>
      </c>
      <c r="AA2118" s="37" t="n">
        <f aca="false">IF($N2118="",0,IF(COUNTIF(Dashboard!$C$13:$C$22,$N2118)&gt;0,1,0))</f>
        <v>0</v>
      </c>
      <c r="AB2118" s="37" t="str">
        <f aca="false">IF($N2118="","",IF(COUNTIF($N$8:$N2118,$N2118)=1,MAX($AB$7:$AB2117)+1,""))</f>
        <v/>
      </c>
    </row>
    <row r="2119" customFormat="false" ht="15" hidden="false" customHeight="false" outlineLevel="0" collapsed="false">
      <c r="L2119" s="37" t="str">
        <f aca="false">IF(INDEX($A2119:$J2119,$L$6)&lt;&gt;"",TRIM(LEFT(INDEX($A2119:$J2119,$L$6),FIND("(",INDEX($A2119:$J2119,$L$6)&amp;"(")-1)),L2118)</f>
        <v>Building Value Proposition</v>
      </c>
      <c r="M2119" s="37" t="str">
        <f aca="false">IF(INDEX($A2119:$J2119,$M$6)="","",INDEX($A2119:$J2119,$M$6)&amp;"")</f>
        <v/>
      </c>
      <c r="N2119" s="37" t="str">
        <f aca="false">IF($M2119="","",TRIM(INDEX($A2119:$J2119,$N$6)&amp;""))</f>
        <v/>
      </c>
      <c r="O2119" s="37" t="str">
        <f aca="false">IF($M2119="","",TRIM(INDEX($A2119:$J2119,$O$6)&amp;""))</f>
        <v/>
      </c>
      <c r="P2119" s="37" t="str">
        <f aca="false">IF($M2119="","",IFERROR(IF(INDEX(Settings!$B$41:$B$50,MATCH(O2119,Settings!$A$41:$A$50,0))&amp;""="","UNMAPPED",INDEX(Settings!$B$41:$B$50,MATCH(O2119,Settings!$A$41:$A$50,0))&amp;""),"UNMAPPED"))</f>
        <v/>
      </c>
      <c r="Q2119" s="38" t="n">
        <f aca="false">IF($M2119="",0,N(INDEX($A2119:$J2119,$Q$6)))</f>
        <v>0</v>
      </c>
      <c r="R2119" s="39" t="str">
        <f aca="false">IF($M2119="","",INDEX($A2119:$J2119,$R$6))</f>
        <v/>
      </c>
      <c r="S2119" s="37" t="str">
        <f aca="false">IF($M2119="","",IFERROR(INDEX(Settings!$B$27:$B$36,MATCH(L2119,Settings!$A$27:$A$36,0))&amp;"","UNMAPPED"))</f>
        <v/>
      </c>
      <c r="T2119" s="37" t="str">
        <f aca="false">IF($M2119="","",IF(NOT(ISNUMBER(R2119)),"NO DATE",IF(S2119="Won",IF(R2119&gt;Settings!$B$5,"Backlog","Delivered"),IF(S2119="Open",IF(R2119&gt;Settings!$B$5,"Pipeline","Overdue"),IF(S2119="Lost","Lost","UNMAPPED")))))</f>
        <v/>
      </c>
      <c r="U2119" s="40" t="n">
        <f aca="false">IF(T2119="Backlog",1,IF(OR(T2119="Pipeline",T2119="Overdue"),N(INDEX(Settings!$C$27:$C$36,MATCH(L2119,Settings!$A$27:$A$36,0))),0))</f>
        <v>0</v>
      </c>
      <c r="V2119" s="38" t="n">
        <f aca="false">Q2119*U2119</f>
        <v>0</v>
      </c>
      <c r="W2119" s="41" t="str">
        <f aca="false">IF($M2119="","",IF(T2119="Overdue",IF(Settings!$B$8="Yes",Settings!$B$7,""),IF(ISNUMBER(R2119),DATE(YEAR(R2119),MONTH(R2119),1),"")))</f>
        <v/>
      </c>
      <c r="X2119" s="38" t="n">
        <f aca="false">IF(AND(OR(T2119="Backlog",T2119="Pipeline",T2119="Overdue"),ISNUMBER(W2119)),IF(W2119&lt;=Settings!$B$6,V2119,0),0)</f>
        <v>0</v>
      </c>
      <c r="Y2119" s="38" t="n">
        <f aca="false">IF(AND(OR(T2119="Backlog",T2119="Pipeline",T2119="Overdue"),ISNUMBER(W2119)),IF(W2119&lt;=Settings!$B$6,Q2119,0),0)</f>
        <v>0</v>
      </c>
      <c r="Z2119" s="38" t="n">
        <f aca="false">IF(Y2119=0,0,IF(T2119="Backlog",Q2119,Q2119*Dashboard!$C$10))</f>
        <v>0</v>
      </c>
      <c r="AA2119" s="37" t="n">
        <f aca="false">IF($N2119="",0,IF(COUNTIF(Dashboard!$C$13:$C$22,$N2119)&gt;0,1,0))</f>
        <v>0</v>
      </c>
      <c r="AB2119" s="37" t="str">
        <f aca="false">IF($N2119="","",IF(COUNTIF($N$8:$N2119,$N2119)=1,MAX($AB$7:$AB2118)+1,""))</f>
        <v/>
      </c>
    </row>
    <row r="2120" customFormat="false" ht="15" hidden="false" customHeight="false" outlineLevel="0" collapsed="false">
      <c r="L2120" s="37" t="str">
        <f aca="false">IF(INDEX($A2120:$J2120,$L$6)&lt;&gt;"",TRIM(LEFT(INDEX($A2120:$J2120,$L$6),FIND("(",INDEX($A2120:$J2120,$L$6)&amp;"(")-1)),L2119)</f>
        <v>Building Value Proposition</v>
      </c>
      <c r="M2120" s="37" t="str">
        <f aca="false">IF(INDEX($A2120:$J2120,$M$6)="","",INDEX($A2120:$J2120,$M$6)&amp;"")</f>
        <v/>
      </c>
      <c r="N2120" s="37" t="str">
        <f aca="false">IF($M2120="","",TRIM(INDEX($A2120:$J2120,$N$6)&amp;""))</f>
        <v/>
      </c>
      <c r="O2120" s="37" t="str">
        <f aca="false">IF($M2120="","",TRIM(INDEX($A2120:$J2120,$O$6)&amp;""))</f>
        <v/>
      </c>
      <c r="P2120" s="37" t="str">
        <f aca="false">IF($M2120="","",IFERROR(IF(INDEX(Settings!$B$41:$B$50,MATCH(O2120,Settings!$A$41:$A$50,0))&amp;""="","UNMAPPED",INDEX(Settings!$B$41:$B$50,MATCH(O2120,Settings!$A$41:$A$50,0))&amp;""),"UNMAPPED"))</f>
        <v/>
      </c>
      <c r="Q2120" s="38" t="n">
        <f aca="false">IF($M2120="",0,N(INDEX($A2120:$J2120,$Q$6)))</f>
        <v>0</v>
      </c>
      <c r="R2120" s="39" t="str">
        <f aca="false">IF($M2120="","",INDEX($A2120:$J2120,$R$6))</f>
        <v/>
      </c>
      <c r="S2120" s="37" t="str">
        <f aca="false">IF($M2120="","",IFERROR(INDEX(Settings!$B$27:$B$36,MATCH(L2120,Settings!$A$27:$A$36,0))&amp;"","UNMAPPED"))</f>
        <v/>
      </c>
      <c r="T2120" s="37" t="str">
        <f aca="false">IF($M2120="","",IF(NOT(ISNUMBER(R2120)),"NO DATE",IF(S2120="Won",IF(R2120&gt;Settings!$B$5,"Backlog","Delivered"),IF(S2120="Open",IF(R2120&gt;Settings!$B$5,"Pipeline","Overdue"),IF(S2120="Lost","Lost","UNMAPPED")))))</f>
        <v/>
      </c>
      <c r="U2120" s="40" t="n">
        <f aca="false">IF(T2120="Backlog",1,IF(OR(T2120="Pipeline",T2120="Overdue"),N(INDEX(Settings!$C$27:$C$36,MATCH(L2120,Settings!$A$27:$A$36,0))),0))</f>
        <v>0</v>
      </c>
      <c r="V2120" s="38" t="n">
        <f aca="false">Q2120*U2120</f>
        <v>0</v>
      </c>
      <c r="W2120" s="41" t="str">
        <f aca="false">IF($M2120="","",IF(T2120="Overdue",IF(Settings!$B$8="Yes",Settings!$B$7,""),IF(ISNUMBER(R2120),DATE(YEAR(R2120),MONTH(R2120),1),"")))</f>
        <v/>
      </c>
      <c r="X2120" s="38" t="n">
        <f aca="false">IF(AND(OR(T2120="Backlog",T2120="Pipeline",T2120="Overdue"),ISNUMBER(W2120)),IF(W2120&lt;=Settings!$B$6,V2120,0),0)</f>
        <v>0</v>
      </c>
      <c r="Y2120" s="38" t="n">
        <f aca="false">IF(AND(OR(T2120="Backlog",T2120="Pipeline",T2120="Overdue"),ISNUMBER(W2120)),IF(W2120&lt;=Settings!$B$6,Q2120,0),0)</f>
        <v>0</v>
      </c>
      <c r="Z2120" s="38" t="n">
        <f aca="false">IF(Y2120=0,0,IF(T2120="Backlog",Q2120,Q2120*Dashboard!$C$10))</f>
        <v>0</v>
      </c>
      <c r="AA2120" s="37" t="n">
        <f aca="false">IF($N2120="",0,IF(COUNTIF(Dashboard!$C$13:$C$22,$N2120)&gt;0,1,0))</f>
        <v>0</v>
      </c>
      <c r="AB2120" s="37" t="str">
        <f aca="false">IF($N2120="","",IF(COUNTIF($N$8:$N2120,$N2120)=1,MAX($AB$7:$AB2119)+1,""))</f>
        <v/>
      </c>
    </row>
    <row r="2121" customFormat="false" ht="15" hidden="false" customHeight="false" outlineLevel="0" collapsed="false">
      <c r="L2121" s="37" t="str">
        <f aca="false">IF(INDEX($A2121:$J2121,$L$6)&lt;&gt;"",TRIM(LEFT(INDEX($A2121:$J2121,$L$6),FIND("(",INDEX($A2121:$J2121,$L$6)&amp;"(")-1)),L2120)</f>
        <v>Building Value Proposition</v>
      </c>
      <c r="M2121" s="37" t="str">
        <f aca="false">IF(INDEX($A2121:$J2121,$M$6)="","",INDEX($A2121:$J2121,$M$6)&amp;"")</f>
        <v/>
      </c>
      <c r="N2121" s="37" t="str">
        <f aca="false">IF($M2121="","",TRIM(INDEX($A2121:$J2121,$N$6)&amp;""))</f>
        <v/>
      </c>
      <c r="O2121" s="37" t="str">
        <f aca="false">IF($M2121="","",TRIM(INDEX($A2121:$J2121,$O$6)&amp;""))</f>
        <v/>
      </c>
      <c r="P2121" s="37" t="str">
        <f aca="false">IF($M2121="","",IFERROR(IF(INDEX(Settings!$B$41:$B$50,MATCH(O2121,Settings!$A$41:$A$50,0))&amp;""="","UNMAPPED",INDEX(Settings!$B$41:$B$50,MATCH(O2121,Settings!$A$41:$A$50,0))&amp;""),"UNMAPPED"))</f>
        <v/>
      </c>
      <c r="Q2121" s="38" t="n">
        <f aca="false">IF($M2121="",0,N(INDEX($A2121:$J2121,$Q$6)))</f>
        <v>0</v>
      </c>
      <c r="R2121" s="39" t="str">
        <f aca="false">IF($M2121="","",INDEX($A2121:$J2121,$R$6))</f>
        <v/>
      </c>
      <c r="S2121" s="37" t="str">
        <f aca="false">IF($M2121="","",IFERROR(INDEX(Settings!$B$27:$B$36,MATCH(L2121,Settings!$A$27:$A$36,0))&amp;"","UNMAPPED"))</f>
        <v/>
      </c>
      <c r="T2121" s="37" t="str">
        <f aca="false">IF($M2121="","",IF(NOT(ISNUMBER(R2121)),"NO DATE",IF(S2121="Won",IF(R2121&gt;Settings!$B$5,"Backlog","Delivered"),IF(S2121="Open",IF(R2121&gt;Settings!$B$5,"Pipeline","Overdue"),IF(S2121="Lost","Lost","UNMAPPED")))))</f>
        <v/>
      </c>
      <c r="U2121" s="40" t="n">
        <f aca="false">IF(T2121="Backlog",1,IF(OR(T2121="Pipeline",T2121="Overdue"),N(INDEX(Settings!$C$27:$C$36,MATCH(L2121,Settings!$A$27:$A$36,0))),0))</f>
        <v>0</v>
      </c>
      <c r="V2121" s="38" t="n">
        <f aca="false">Q2121*U2121</f>
        <v>0</v>
      </c>
      <c r="W2121" s="41" t="str">
        <f aca="false">IF($M2121="","",IF(T2121="Overdue",IF(Settings!$B$8="Yes",Settings!$B$7,""),IF(ISNUMBER(R2121),DATE(YEAR(R2121),MONTH(R2121),1),"")))</f>
        <v/>
      </c>
      <c r="X2121" s="38" t="n">
        <f aca="false">IF(AND(OR(T2121="Backlog",T2121="Pipeline",T2121="Overdue"),ISNUMBER(W2121)),IF(W2121&lt;=Settings!$B$6,V2121,0),0)</f>
        <v>0</v>
      </c>
      <c r="Y2121" s="38" t="n">
        <f aca="false">IF(AND(OR(T2121="Backlog",T2121="Pipeline",T2121="Overdue"),ISNUMBER(W2121)),IF(W2121&lt;=Settings!$B$6,Q2121,0),0)</f>
        <v>0</v>
      </c>
      <c r="Z2121" s="38" t="n">
        <f aca="false">IF(Y2121=0,0,IF(T2121="Backlog",Q2121,Q2121*Dashboard!$C$10))</f>
        <v>0</v>
      </c>
      <c r="AA2121" s="37" t="n">
        <f aca="false">IF($N2121="",0,IF(COUNTIF(Dashboard!$C$13:$C$22,$N2121)&gt;0,1,0))</f>
        <v>0</v>
      </c>
      <c r="AB2121" s="37" t="str">
        <f aca="false">IF($N2121="","",IF(COUNTIF($N$8:$N2121,$N2121)=1,MAX($AB$7:$AB2120)+1,""))</f>
        <v/>
      </c>
    </row>
    <row r="2122" customFormat="false" ht="15" hidden="false" customHeight="false" outlineLevel="0" collapsed="false">
      <c r="L2122" s="37" t="str">
        <f aca="false">IF(INDEX($A2122:$J2122,$L$6)&lt;&gt;"",TRIM(LEFT(INDEX($A2122:$J2122,$L$6),FIND("(",INDEX($A2122:$J2122,$L$6)&amp;"(")-1)),L2121)</f>
        <v>Building Value Proposition</v>
      </c>
      <c r="M2122" s="37" t="str">
        <f aca="false">IF(INDEX($A2122:$J2122,$M$6)="","",INDEX($A2122:$J2122,$M$6)&amp;"")</f>
        <v/>
      </c>
      <c r="N2122" s="37" t="str">
        <f aca="false">IF($M2122="","",TRIM(INDEX($A2122:$J2122,$N$6)&amp;""))</f>
        <v/>
      </c>
      <c r="O2122" s="37" t="str">
        <f aca="false">IF($M2122="","",TRIM(INDEX($A2122:$J2122,$O$6)&amp;""))</f>
        <v/>
      </c>
      <c r="P2122" s="37" t="str">
        <f aca="false">IF($M2122="","",IFERROR(IF(INDEX(Settings!$B$41:$B$50,MATCH(O2122,Settings!$A$41:$A$50,0))&amp;""="","UNMAPPED",INDEX(Settings!$B$41:$B$50,MATCH(O2122,Settings!$A$41:$A$50,0))&amp;""),"UNMAPPED"))</f>
        <v/>
      </c>
      <c r="Q2122" s="38" t="n">
        <f aca="false">IF($M2122="",0,N(INDEX($A2122:$J2122,$Q$6)))</f>
        <v>0</v>
      </c>
      <c r="R2122" s="39" t="str">
        <f aca="false">IF($M2122="","",INDEX($A2122:$J2122,$R$6))</f>
        <v/>
      </c>
      <c r="S2122" s="37" t="str">
        <f aca="false">IF($M2122="","",IFERROR(INDEX(Settings!$B$27:$B$36,MATCH(L2122,Settings!$A$27:$A$36,0))&amp;"","UNMAPPED"))</f>
        <v/>
      </c>
      <c r="T2122" s="37" t="str">
        <f aca="false">IF($M2122="","",IF(NOT(ISNUMBER(R2122)),"NO DATE",IF(S2122="Won",IF(R2122&gt;Settings!$B$5,"Backlog","Delivered"),IF(S2122="Open",IF(R2122&gt;Settings!$B$5,"Pipeline","Overdue"),IF(S2122="Lost","Lost","UNMAPPED")))))</f>
        <v/>
      </c>
      <c r="U2122" s="40" t="n">
        <f aca="false">IF(T2122="Backlog",1,IF(OR(T2122="Pipeline",T2122="Overdue"),N(INDEX(Settings!$C$27:$C$36,MATCH(L2122,Settings!$A$27:$A$36,0))),0))</f>
        <v>0</v>
      </c>
      <c r="V2122" s="38" t="n">
        <f aca="false">Q2122*U2122</f>
        <v>0</v>
      </c>
      <c r="W2122" s="41" t="str">
        <f aca="false">IF($M2122="","",IF(T2122="Overdue",IF(Settings!$B$8="Yes",Settings!$B$7,""),IF(ISNUMBER(R2122),DATE(YEAR(R2122),MONTH(R2122),1),"")))</f>
        <v/>
      </c>
      <c r="X2122" s="38" t="n">
        <f aca="false">IF(AND(OR(T2122="Backlog",T2122="Pipeline",T2122="Overdue"),ISNUMBER(W2122)),IF(W2122&lt;=Settings!$B$6,V2122,0),0)</f>
        <v>0</v>
      </c>
      <c r="Y2122" s="38" t="n">
        <f aca="false">IF(AND(OR(T2122="Backlog",T2122="Pipeline",T2122="Overdue"),ISNUMBER(W2122)),IF(W2122&lt;=Settings!$B$6,Q2122,0),0)</f>
        <v>0</v>
      </c>
      <c r="Z2122" s="38" t="n">
        <f aca="false">IF(Y2122=0,0,IF(T2122="Backlog",Q2122,Q2122*Dashboard!$C$10))</f>
        <v>0</v>
      </c>
      <c r="AA2122" s="37" t="n">
        <f aca="false">IF($N2122="",0,IF(COUNTIF(Dashboard!$C$13:$C$22,$N2122)&gt;0,1,0))</f>
        <v>0</v>
      </c>
      <c r="AB2122" s="37" t="str">
        <f aca="false">IF($N2122="","",IF(COUNTIF($N$8:$N2122,$N2122)=1,MAX($AB$7:$AB2121)+1,""))</f>
        <v/>
      </c>
    </row>
    <row r="2123" customFormat="false" ht="15" hidden="false" customHeight="false" outlineLevel="0" collapsed="false">
      <c r="L2123" s="37" t="str">
        <f aca="false">IF(INDEX($A2123:$J2123,$L$6)&lt;&gt;"",TRIM(LEFT(INDEX($A2123:$J2123,$L$6),FIND("(",INDEX($A2123:$J2123,$L$6)&amp;"(")-1)),L2122)</f>
        <v>Building Value Proposition</v>
      </c>
      <c r="M2123" s="37" t="str">
        <f aca="false">IF(INDEX($A2123:$J2123,$M$6)="","",INDEX($A2123:$J2123,$M$6)&amp;"")</f>
        <v/>
      </c>
      <c r="N2123" s="37" t="str">
        <f aca="false">IF($M2123="","",TRIM(INDEX($A2123:$J2123,$N$6)&amp;""))</f>
        <v/>
      </c>
      <c r="O2123" s="37" t="str">
        <f aca="false">IF($M2123="","",TRIM(INDEX($A2123:$J2123,$O$6)&amp;""))</f>
        <v/>
      </c>
      <c r="P2123" s="37" t="str">
        <f aca="false">IF($M2123="","",IFERROR(IF(INDEX(Settings!$B$41:$B$50,MATCH(O2123,Settings!$A$41:$A$50,0))&amp;""="","UNMAPPED",INDEX(Settings!$B$41:$B$50,MATCH(O2123,Settings!$A$41:$A$50,0))&amp;""),"UNMAPPED"))</f>
        <v/>
      </c>
      <c r="Q2123" s="38" t="n">
        <f aca="false">IF($M2123="",0,N(INDEX($A2123:$J2123,$Q$6)))</f>
        <v>0</v>
      </c>
      <c r="R2123" s="39" t="str">
        <f aca="false">IF($M2123="","",INDEX($A2123:$J2123,$R$6))</f>
        <v/>
      </c>
      <c r="S2123" s="37" t="str">
        <f aca="false">IF($M2123="","",IFERROR(INDEX(Settings!$B$27:$B$36,MATCH(L2123,Settings!$A$27:$A$36,0))&amp;"","UNMAPPED"))</f>
        <v/>
      </c>
      <c r="T2123" s="37" t="str">
        <f aca="false">IF($M2123="","",IF(NOT(ISNUMBER(R2123)),"NO DATE",IF(S2123="Won",IF(R2123&gt;Settings!$B$5,"Backlog","Delivered"),IF(S2123="Open",IF(R2123&gt;Settings!$B$5,"Pipeline","Overdue"),IF(S2123="Lost","Lost","UNMAPPED")))))</f>
        <v/>
      </c>
      <c r="U2123" s="40" t="n">
        <f aca="false">IF(T2123="Backlog",1,IF(OR(T2123="Pipeline",T2123="Overdue"),N(INDEX(Settings!$C$27:$C$36,MATCH(L2123,Settings!$A$27:$A$36,0))),0))</f>
        <v>0</v>
      </c>
      <c r="V2123" s="38" t="n">
        <f aca="false">Q2123*U2123</f>
        <v>0</v>
      </c>
      <c r="W2123" s="41" t="str">
        <f aca="false">IF($M2123="","",IF(T2123="Overdue",IF(Settings!$B$8="Yes",Settings!$B$7,""),IF(ISNUMBER(R2123),DATE(YEAR(R2123),MONTH(R2123),1),"")))</f>
        <v/>
      </c>
      <c r="X2123" s="38" t="n">
        <f aca="false">IF(AND(OR(T2123="Backlog",T2123="Pipeline",T2123="Overdue"),ISNUMBER(W2123)),IF(W2123&lt;=Settings!$B$6,V2123,0),0)</f>
        <v>0</v>
      </c>
      <c r="Y2123" s="38" t="n">
        <f aca="false">IF(AND(OR(T2123="Backlog",T2123="Pipeline",T2123="Overdue"),ISNUMBER(W2123)),IF(W2123&lt;=Settings!$B$6,Q2123,0),0)</f>
        <v>0</v>
      </c>
      <c r="Z2123" s="38" t="n">
        <f aca="false">IF(Y2123=0,0,IF(T2123="Backlog",Q2123,Q2123*Dashboard!$C$10))</f>
        <v>0</v>
      </c>
      <c r="AA2123" s="37" t="n">
        <f aca="false">IF($N2123="",0,IF(COUNTIF(Dashboard!$C$13:$C$22,$N2123)&gt;0,1,0))</f>
        <v>0</v>
      </c>
      <c r="AB2123" s="37" t="str">
        <f aca="false">IF($N2123="","",IF(COUNTIF($N$8:$N2123,$N2123)=1,MAX($AB$7:$AB2122)+1,""))</f>
        <v/>
      </c>
    </row>
    <row r="2124" customFormat="false" ht="15" hidden="false" customHeight="false" outlineLevel="0" collapsed="false">
      <c r="L2124" s="37" t="str">
        <f aca="false">IF(INDEX($A2124:$J2124,$L$6)&lt;&gt;"",TRIM(LEFT(INDEX($A2124:$J2124,$L$6),FIND("(",INDEX($A2124:$J2124,$L$6)&amp;"(")-1)),L2123)</f>
        <v>Building Value Proposition</v>
      </c>
      <c r="M2124" s="37" t="str">
        <f aca="false">IF(INDEX($A2124:$J2124,$M$6)="","",INDEX($A2124:$J2124,$M$6)&amp;"")</f>
        <v/>
      </c>
      <c r="N2124" s="37" t="str">
        <f aca="false">IF($M2124="","",TRIM(INDEX($A2124:$J2124,$N$6)&amp;""))</f>
        <v/>
      </c>
      <c r="O2124" s="37" t="str">
        <f aca="false">IF($M2124="","",TRIM(INDEX($A2124:$J2124,$O$6)&amp;""))</f>
        <v/>
      </c>
      <c r="P2124" s="37" t="str">
        <f aca="false">IF($M2124="","",IFERROR(IF(INDEX(Settings!$B$41:$B$50,MATCH(O2124,Settings!$A$41:$A$50,0))&amp;""="","UNMAPPED",INDEX(Settings!$B$41:$B$50,MATCH(O2124,Settings!$A$41:$A$50,0))&amp;""),"UNMAPPED"))</f>
        <v/>
      </c>
      <c r="Q2124" s="38" t="n">
        <f aca="false">IF($M2124="",0,N(INDEX($A2124:$J2124,$Q$6)))</f>
        <v>0</v>
      </c>
      <c r="R2124" s="39" t="str">
        <f aca="false">IF($M2124="","",INDEX($A2124:$J2124,$R$6))</f>
        <v/>
      </c>
      <c r="S2124" s="37" t="str">
        <f aca="false">IF($M2124="","",IFERROR(INDEX(Settings!$B$27:$B$36,MATCH(L2124,Settings!$A$27:$A$36,0))&amp;"","UNMAPPED"))</f>
        <v/>
      </c>
      <c r="T2124" s="37" t="str">
        <f aca="false">IF($M2124="","",IF(NOT(ISNUMBER(R2124)),"NO DATE",IF(S2124="Won",IF(R2124&gt;Settings!$B$5,"Backlog","Delivered"),IF(S2124="Open",IF(R2124&gt;Settings!$B$5,"Pipeline","Overdue"),IF(S2124="Lost","Lost","UNMAPPED")))))</f>
        <v/>
      </c>
      <c r="U2124" s="40" t="n">
        <f aca="false">IF(T2124="Backlog",1,IF(OR(T2124="Pipeline",T2124="Overdue"),N(INDEX(Settings!$C$27:$C$36,MATCH(L2124,Settings!$A$27:$A$36,0))),0))</f>
        <v>0</v>
      </c>
      <c r="V2124" s="38" t="n">
        <f aca="false">Q2124*U2124</f>
        <v>0</v>
      </c>
      <c r="W2124" s="41" t="str">
        <f aca="false">IF($M2124="","",IF(T2124="Overdue",IF(Settings!$B$8="Yes",Settings!$B$7,""),IF(ISNUMBER(R2124),DATE(YEAR(R2124),MONTH(R2124),1),"")))</f>
        <v/>
      </c>
      <c r="X2124" s="38" t="n">
        <f aca="false">IF(AND(OR(T2124="Backlog",T2124="Pipeline",T2124="Overdue"),ISNUMBER(W2124)),IF(W2124&lt;=Settings!$B$6,V2124,0),0)</f>
        <v>0</v>
      </c>
      <c r="Y2124" s="38" t="n">
        <f aca="false">IF(AND(OR(T2124="Backlog",T2124="Pipeline",T2124="Overdue"),ISNUMBER(W2124)),IF(W2124&lt;=Settings!$B$6,Q2124,0),0)</f>
        <v>0</v>
      </c>
      <c r="Z2124" s="38" t="n">
        <f aca="false">IF(Y2124=0,0,IF(T2124="Backlog",Q2124,Q2124*Dashboard!$C$10))</f>
        <v>0</v>
      </c>
      <c r="AA2124" s="37" t="n">
        <f aca="false">IF($N2124="",0,IF(COUNTIF(Dashboard!$C$13:$C$22,$N2124)&gt;0,1,0))</f>
        <v>0</v>
      </c>
      <c r="AB2124" s="37" t="str">
        <f aca="false">IF($N2124="","",IF(COUNTIF($N$8:$N2124,$N2124)=1,MAX($AB$7:$AB2123)+1,""))</f>
        <v/>
      </c>
    </row>
    <row r="2125" customFormat="false" ht="15" hidden="false" customHeight="false" outlineLevel="0" collapsed="false">
      <c r="L2125" s="37" t="str">
        <f aca="false">IF(INDEX($A2125:$J2125,$L$6)&lt;&gt;"",TRIM(LEFT(INDEX($A2125:$J2125,$L$6),FIND("(",INDEX($A2125:$J2125,$L$6)&amp;"(")-1)),L2124)</f>
        <v>Building Value Proposition</v>
      </c>
      <c r="M2125" s="37" t="str">
        <f aca="false">IF(INDEX($A2125:$J2125,$M$6)="","",INDEX($A2125:$J2125,$M$6)&amp;"")</f>
        <v/>
      </c>
      <c r="N2125" s="37" t="str">
        <f aca="false">IF($M2125="","",TRIM(INDEX($A2125:$J2125,$N$6)&amp;""))</f>
        <v/>
      </c>
      <c r="O2125" s="37" t="str">
        <f aca="false">IF($M2125="","",TRIM(INDEX($A2125:$J2125,$O$6)&amp;""))</f>
        <v/>
      </c>
      <c r="P2125" s="37" t="str">
        <f aca="false">IF($M2125="","",IFERROR(IF(INDEX(Settings!$B$41:$B$50,MATCH(O2125,Settings!$A$41:$A$50,0))&amp;""="","UNMAPPED",INDEX(Settings!$B$41:$B$50,MATCH(O2125,Settings!$A$41:$A$50,0))&amp;""),"UNMAPPED"))</f>
        <v/>
      </c>
      <c r="Q2125" s="38" t="n">
        <f aca="false">IF($M2125="",0,N(INDEX($A2125:$J2125,$Q$6)))</f>
        <v>0</v>
      </c>
      <c r="R2125" s="39" t="str">
        <f aca="false">IF($M2125="","",INDEX($A2125:$J2125,$R$6))</f>
        <v/>
      </c>
      <c r="S2125" s="37" t="str">
        <f aca="false">IF($M2125="","",IFERROR(INDEX(Settings!$B$27:$B$36,MATCH(L2125,Settings!$A$27:$A$36,0))&amp;"","UNMAPPED"))</f>
        <v/>
      </c>
      <c r="T2125" s="37" t="str">
        <f aca="false">IF($M2125="","",IF(NOT(ISNUMBER(R2125)),"NO DATE",IF(S2125="Won",IF(R2125&gt;Settings!$B$5,"Backlog","Delivered"),IF(S2125="Open",IF(R2125&gt;Settings!$B$5,"Pipeline","Overdue"),IF(S2125="Lost","Lost","UNMAPPED")))))</f>
        <v/>
      </c>
      <c r="U2125" s="40" t="n">
        <f aca="false">IF(T2125="Backlog",1,IF(OR(T2125="Pipeline",T2125="Overdue"),N(INDEX(Settings!$C$27:$C$36,MATCH(L2125,Settings!$A$27:$A$36,0))),0))</f>
        <v>0</v>
      </c>
      <c r="V2125" s="38" t="n">
        <f aca="false">Q2125*U2125</f>
        <v>0</v>
      </c>
      <c r="W2125" s="41" t="str">
        <f aca="false">IF($M2125="","",IF(T2125="Overdue",IF(Settings!$B$8="Yes",Settings!$B$7,""),IF(ISNUMBER(R2125),DATE(YEAR(R2125),MONTH(R2125),1),"")))</f>
        <v/>
      </c>
      <c r="X2125" s="38" t="n">
        <f aca="false">IF(AND(OR(T2125="Backlog",T2125="Pipeline",T2125="Overdue"),ISNUMBER(W2125)),IF(W2125&lt;=Settings!$B$6,V2125,0),0)</f>
        <v>0</v>
      </c>
      <c r="Y2125" s="38" t="n">
        <f aca="false">IF(AND(OR(T2125="Backlog",T2125="Pipeline",T2125="Overdue"),ISNUMBER(W2125)),IF(W2125&lt;=Settings!$B$6,Q2125,0),0)</f>
        <v>0</v>
      </c>
      <c r="Z2125" s="38" t="n">
        <f aca="false">IF(Y2125=0,0,IF(T2125="Backlog",Q2125,Q2125*Dashboard!$C$10))</f>
        <v>0</v>
      </c>
      <c r="AA2125" s="37" t="n">
        <f aca="false">IF($N2125="",0,IF(COUNTIF(Dashboard!$C$13:$C$22,$N2125)&gt;0,1,0))</f>
        <v>0</v>
      </c>
      <c r="AB2125" s="37" t="str">
        <f aca="false">IF($N2125="","",IF(COUNTIF($N$8:$N2125,$N2125)=1,MAX($AB$7:$AB2124)+1,""))</f>
        <v/>
      </c>
    </row>
    <row r="2126" customFormat="false" ht="15" hidden="false" customHeight="false" outlineLevel="0" collapsed="false">
      <c r="L2126" s="37" t="str">
        <f aca="false">IF(INDEX($A2126:$J2126,$L$6)&lt;&gt;"",TRIM(LEFT(INDEX($A2126:$J2126,$L$6),FIND("(",INDEX($A2126:$J2126,$L$6)&amp;"(")-1)),L2125)</f>
        <v>Building Value Proposition</v>
      </c>
      <c r="M2126" s="37" t="str">
        <f aca="false">IF(INDEX($A2126:$J2126,$M$6)="","",INDEX($A2126:$J2126,$M$6)&amp;"")</f>
        <v/>
      </c>
      <c r="N2126" s="37" t="str">
        <f aca="false">IF($M2126="","",TRIM(INDEX($A2126:$J2126,$N$6)&amp;""))</f>
        <v/>
      </c>
      <c r="O2126" s="37" t="str">
        <f aca="false">IF($M2126="","",TRIM(INDEX($A2126:$J2126,$O$6)&amp;""))</f>
        <v/>
      </c>
      <c r="P2126" s="37" t="str">
        <f aca="false">IF($M2126="","",IFERROR(IF(INDEX(Settings!$B$41:$B$50,MATCH(O2126,Settings!$A$41:$A$50,0))&amp;""="","UNMAPPED",INDEX(Settings!$B$41:$B$50,MATCH(O2126,Settings!$A$41:$A$50,0))&amp;""),"UNMAPPED"))</f>
        <v/>
      </c>
      <c r="Q2126" s="38" t="n">
        <f aca="false">IF($M2126="",0,N(INDEX($A2126:$J2126,$Q$6)))</f>
        <v>0</v>
      </c>
      <c r="R2126" s="39" t="str">
        <f aca="false">IF($M2126="","",INDEX($A2126:$J2126,$R$6))</f>
        <v/>
      </c>
      <c r="S2126" s="37" t="str">
        <f aca="false">IF($M2126="","",IFERROR(INDEX(Settings!$B$27:$B$36,MATCH(L2126,Settings!$A$27:$A$36,0))&amp;"","UNMAPPED"))</f>
        <v/>
      </c>
      <c r="T2126" s="37" t="str">
        <f aca="false">IF($M2126="","",IF(NOT(ISNUMBER(R2126)),"NO DATE",IF(S2126="Won",IF(R2126&gt;Settings!$B$5,"Backlog","Delivered"),IF(S2126="Open",IF(R2126&gt;Settings!$B$5,"Pipeline","Overdue"),IF(S2126="Lost","Lost","UNMAPPED")))))</f>
        <v/>
      </c>
      <c r="U2126" s="40" t="n">
        <f aca="false">IF(T2126="Backlog",1,IF(OR(T2126="Pipeline",T2126="Overdue"),N(INDEX(Settings!$C$27:$C$36,MATCH(L2126,Settings!$A$27:$A$36,0))),0))</f>
        <v>0</v>
      </c>
      <c r="V2126" s="38" t="n">
        <f aca="false">Q2126*U2126</f>
        <v>0</v>
      </c>
      <c r="W2126" s="41" t="str">
        <f aca="false">IF($M2126="","",IF(T2126="Overdue",IF(Settings!$B$8="Yes",Settings!$B$7,""),IF(ISNUMBER(R2126),DATE(YEAR(R2126),MONTH(R2126),1),"")))</f>
        <v/>
      </c>
      <c r="X2126" s="38" t="n">
        <f aca="false">IF(AND(OR(T2126="Backlog",T2126="Pipeline",T2126="Overdue"),ISNUMBER(W2126)),IF(W2126&lt;=Settings!$B$6,V2126,0),0)</f>
        <v>0</v>
      </c>
      <c r="Y2126" s="38" t="n">
        <f aca="false">IF(AND(OR(T2126="Backlog",T2126="Pipeline",T2126="Overdue"),ISNUMBER(W2126)),IF(W2126&lt;=Settings!$B$6,Q2126,0),0)</f>
        <v>0</v>
      </c>
      <c r="Z2126" s="38" t="n">
        <f aca="false">IF(Y2126=0,0,IF(T2126="Backlog",Q2126,Q2126*Dashboard!$C$10))</f>
        <v>0</v>
      </c>
      <c r="AA2126" s="37" t="n">
        <f aca="false">IF($N2126="",0,IF(COUNTIF(Dashboard!$C$13:$C$22,$N2126)&gt;0,1,0))</f>
        <v>0</v>
      </c>
      <c r="AB2126" s="37" t="str">
        <f aca="false">IF($N2126="","",IF(COUNTIF($N$8:$N2126,$N2126)=1,MAX($AB$7:$AB2125)+1,""))</f>
        <v/>
      </c>
    </row>
    <row r="2127" customFormat="false" ht="15" hidden="false" customHeight="false" outlineLevel="0" collapsed="false">
      <c r="L2127" s="37" t="str">
        <f aca="false">IF(INDEX($A2127:$J2127,$L$6)&lt;&gt;"",TRIM(LEFT(INDEX($A2127:$J2127,$L$6),FIND("(",INDEX($A2127:$J2127,$L$6)&amp;"(")-1)),L2126)</f>
        <v>Building Value Proposition</v>
      </c>
      <c r="M2127" s="37" t="str">
        <f aca="false">IF(INDEX($A2127:$J2127,$M$6)="","",INDEX($A2127:$J2127,$M$6)&amp;"")</f>
        <v/>
      </c>
      <c r="N2127" s="37" t="str">
        <f aca="false">IF($M2127="","",TRIM(INDEX($A2127:$J2127,$N$6)&amp;""))</f>
        <v/>
      </c>
      <c r="O2127" s="37" t="str">
        <f aca="false">IF($M2127="","",TRIM(INDEX($A2127:$J2127,$O$6)&amp;""))</f>
        <v/>
      </c>
      <c r="P2127" s="37" t="str">
        <f aca="false">IF($M2127="","",IFERROR(IF(INDEX(Settings!$B$41:$B$50,MATCH(O2127,Settings!$A$41:$A$50,0))&amp;""="","UNMAPPED",INDEX(Settings!$B$41:$B$50,MATCH(O2127,Settings!$A$41:$A$50,0))&amp;""),"UNMAPPED"))</f>
        <v/>
      </c>
      <c r="Q2127" s="38" t="n">
        <f aca="false">IF($M2127="",0,N(INDEX($A2127:$J2127,$Q$6)))</f>
        <v>0</v>
      </c>
      <c r="R2127" s="39" t="str">
        <f aca="false">IF($M2127="","",INDEX($A2127:$J2127,$R$6))</f>
        <v/>
      </c>
      <c r="S2127" s="37" t="str">
        <f aca="false">IF($M2127="","",IFERROR(INDEX(Settings!$B$27:$B$36,MATCH(L2127,Settings!$A$27:$A$36,0))&amp;"","UNMAPPED"))</f>
        <v/>
      </c>
      <c r="T2127" s="37" t="str">
        <f aca="false">IF($M2127="","",IF(NOT(ISNUMBER(R2127)),"NO DATE",IF(S2127="Won",IF(R2127&gt;Settings!$B$5,"Backlog","Delivered"),IF(S2127="Open",IF(R2127&gt;Settings!$B$5,"Pipeline","Overdue"),IF(S2127="Lost","Lost","UNMAPPED")))))</f>
        <v/>
      </c>
      <c r="U2127" s="40" t="n">
        <f aca="false">IF(T2127="Backlog",1,IF(OR(T2127="Pipeline",T2127="Overdue"),N(INDEX(Settings!$C$27:$C$36,MATCH(L2127,Settings!$A$27:$A$36,0))),0))</f>
        <v>0</v>
      </c>
      <c r="V2127" s="38" t="n">
        <f aca="false">Q2127*U2127</f>
        <v>0</v>
      </c>
      <c r="W2127" s="41" t="str">
        <f aca="false">IF($M2127="","",IF(T2127="Overdue",IF(Settings!$B$8="Yes",Settings!$B$7,""),IF(ISNUMBER(R2127),DATE(YEAR(R2127),MONTH(R2127),1),"")))</f>
        <v/>
      </c>
      <c r="X2127" s="38" t="n">
        <f aca="false">IF(AND(OR(T2127="Backlog",T2127="Pipeline",T2127="Overdue"),ISNUMBER(W2127)),IF(W2127&lt;=Settings!$B$6,V2127,0),0)</f>
        <v>0</v>
      </c>
      <c r="Y2127" s="38" t="n">
        <f aca="false">IF(AND(OR(T2127="Backlog",T2127="Pipeline",T2127="Overdue"),ISNUMBER(W2127)),IF(W2127&lt;=Settings!$B$6,Q2127,0),0)</f>
        <v>0</v>
      </c>
      <c r="Z2127" s="38" t="n">
        <f aca="false">IF(Y2127=0,0,IF(T2127="Backlog",Q2127,Q2127*Dashboard!$C$10))</f>
        <v>0</v>
      </c>
      <c r="AA2127" s="37" t="n">
        <f aca="false">IF($N2127="",0,IF(COUNTIF(Dashboard!$C$13:$C$22,$N2127)&gt;0,1,0))</f>
        <v>0</v>
      </c>
      <c r="AB2127" s="37" t="str">
        <f aca="false">IF($N2127="","",IF(COUNTIF($N$8:$N2127,$N2127)=1,MAX($AB$7:$AB2126)+1,""))</f>
        <v/>
      </c>
    </row>
    <row r="2128" customFormat="false" ht="15" hidden="false" customHeight="false" outlineLevel="0" collapsed="false">
      <c r="L2128" s="37" t="str">
        <f aca="false">IF(INDEX($A2128:$J2128,$L$6)&lt;&gt;"",TRIM(LEFT(INDEX($A2128:$J2128,$L$6),FIND("(",INDEX($A2128:$J2128,$L$6)&amp;"(")-1)),L2127)</f>
        <v>Building Value Proposition</v>
      </c>
      <c r="M2128" s="37" t="str">
        <f aca="false">IF(INDEX($A2128:$J2128,$M$6)="","",INDEX($A2128:$J2128,$M$6)&amp;"")</f>
        <v/>
      </c>
      <c r="N2128" s="37" t="str">
        <f aca="false">IF($M2128="","",TRIM(INDEX($A2128:$J2128,$N$6)&amp;""))</f>
        <v/>
      </c>
      <c r="O2128" s="37" t="str">
        <f aca="false">IF($M2128="","",TRIM(INDEX($A2128:$J2128,$O$6)&amp;""))</f>
        <v/>
      </c>
      <c r="P2128" s="37" t="str">
        <f aca="false">IF($M2128="","",IFERROR(IF(INDEX(Settings!$B$41:$B$50,MATCH(O2128,Settings!$A$41:$A$50,0))&amp;""="","UNMAPPED",INDEX(Settings!$B$41:$B$50,MATCH(O2128,Settings!$A$41:$A$50,0))&amp;""),"UNMAPPED"))</f>
        <v/>
      </c>
      <c r="Q2128" s="38" t="n">
        <f aca="false">IF($M2128="",0,N(INDEX($A2128:$J2128,$Q$6)))</f>
        <v>0</v>
      </c>
      <c r="R2128" s="39" t="str">
        <f aca="false">IF($M2128="","",INDEX($A2128:$J2128,$R$6))</f>
        <v/>
      </c>
      <c r="S2128" s="37" t="str">
        <f aca="false">IF($M2128="","",IFERROR(INDEX(Settings!$B$27:$B$36,MATCH(L2128,Settings!$A$27:$A$36,0))&amp;"","UNMAPPED"))</f>
        <v/>
      </c>
      <c r="T2128" s="37" t="str">
        <f aca="false">IF($M2128="","",IF(NOT(ISNUMBER(R2128)),"NO DATE",IF(S2128="Won",IF(R2128&gt;Settings!$B$5,"Backlog","Delivered"),IF(S2128="Open",IF(R2128&gt;Settings!$B$5,"Pipeline","Overdue"),IF(S2128="Lost","Lost","UNMAPPED")))))</f>
        <v/>
      </c>
      <c r="U2128" s="40" t="n">
        <f aca="false">IF(T2128="Backlog",1,IF(OR(T2128="Pipeline",T2128="Overdue"),N(INDEX(Settings!$C$27:$C$36,MATCH(L2128,Settings!$A$27:$A$36,0))),0))</f>
        <v>0</v>
      </c>
      <c r="V2128" s="38" t="n">
        <f aca="false">Q2128*U2128</f>
        <v>0</v>
      </c>
      <c r="W2128" s="41" t="str">
        <f aca="false">IF($M2128="","",IF(T2128="Overdue",IF(Settings!$B$8="Yes",Settings!$B$7,""),IF(ISNUMBER(R2128),DATE(YEAR(R2128),MONTH(R2128),1),"")))</f>
        <v/>
      </c>
      <c r="X2128" s="38" t="n">
        <f aca="false">IF(AND(OR(T2128="Backlog",T2128="Pipeline",T2128="Overdue"),ISNUMBER(W2128)),IF(W2128&lt;=Settings!$B$6,V2128,0),0)</f>
        <v>0</v>
      </c>
      <c r="Y2128" s="38" t="n">
        <f aca="false">IF(AND(OR(T2128="Backlog",T2128="Pipeline",T2128="Overdue"),ISNUMBER(W2128)),IF(W2128&lt;=Settings!$B$6,Q2128,0),0)</f>
        <v>0</v>
      </c>
      <c r="Z2128" s="38" t="n">
        <f aca="false">IF(Y2128=0,0,IF(T2128="Backlog",Q2128,Q2128*Dashboard!$C$10))</f>
        <v>0</v>
      </c>
      <c r="AA2128" s="37" t="n">
        <f aca="false">IF($N2128="",0,IF(COUNTIF(Dashboard!$C$13:$C$22,$N2128)&gt;0,1,0))</f>
        <v>0</v>
      </c>
      <c r="AB2128" s="37" t="str">
        <f aca="false">IF($N2128="","",IF(COUNTIF($N$8:$N2128,$N2128)=1,MAX($AB$7:$AB2127)+1,""))</f>
        <v/>
      </c>
    </row>
    <row r="2129" customFormat="false" ht="15" hidden="false" customHeight="false" outlineLevel="0" collapsed="false">
      <c r="L2129" s="37" t="str">
        <f aca="false">IF(INDEX($A2129:$J2129,$L$6)&lt;&gt;"",TRIM(LEFT(INDEX($A2129:$J2129,$L$6),FIND("(",INDEX($A2129:$J2129,$L$6)&amp;"(")-1)),L2128)</f>
        <v>Building Value Proposition</v>
      </c>
      <c r="M2129" s="37" t="str">
        <f aca="false">IF(INDEX($A2129:$J2129,$M$6)="","",INDEX($A2129:$J2129,$M$6)&amp;"")</f>
        <v/>
      </c>
      <c r="N2129" s="37" t="str">
        <f aca="false">IF($M2129="","",TRIM(INDEX($A2129:$J2129,$N$6)&amp;""))</f>
        <v/>
      </c>
      <c r="O2129" s="37" t="str">
        <f aca="false">IF($M2129="","",TRIM(INDEX($A2129:$J2129,$O$6)&amp;""))</f>
        <v/>
      </c>
      <c r="P2129" s="37" t="str">
        <f aca="false">IF($M2129="","",IFERROR(IF(INDEX(Settings!$B$41:$B$50,MATCH(O2129,Settings!$A$41:$A$50,0))&amp;""="","UNMAPPED",INDEX(Settings!$B$41:$B$50,MATCH(O2129,Settings!$A$41:$A$50,0))&amp;""),"UNMAPPED"))</f>
        <v/>
      </c>
      <c r="Q2129" s="38" t="n">
        <f aca="false">IF($M2129="",0,N(INDEX($A2129:$J2129,$Q$6)))</f>
        <v>0</v>
      </c>
      <c r="R2129" s="39" t="str">
        <f aca="false">IF($M2129="","",INDEX($A2129:$J2129,$R$6))</f>
        <v/>
      </c>
      <c r="S2129" s="37" t="str">
        <f aca="false">IF($M2129="","",IFERROR(INDEX(Settings!$B$27:$B$36,MATCH(L2129,Settings!$A$27:$A$36,0))&amp;"","UNMAPPED"))</f>
        <v/>
      </c>
      <c r="T2129" s="37" t="str">
        <f aca="false">IF($M2129="","",IF(NOT(ISNUMBER(R2129)),"NO DATE",IF(S2129="Won",IF(R2129&gt;Settings!$B$5,"Backlog","Delivered"),IF(S2129="Open",IF(R2129&gt;Settings!$B$5,"Pipeline","Overdue"),IF(S2129="Lost","Lost","UNMAPPED")))))</f>
        <v/>
      </c>
      <c r="U2129" s="40" t="n">
        <f aca="false">IF(T2129="Backlog",1,IF(OR(T2129="Pipeline",T2129="Overdue"),N(INDEX(Settings!$C$27:$C$36,MATCH(L2129,Settings!$A$27:$A$36,0))),0))</f>
        <v>0</v>
      </c>
      <c r="V2129" s="38" t="n">
        <f aca="false">Q2129*U2129</f>
        <v>0</v>
      </c>
      <c r="W2129" s="41" t="str">
        <f aca="false">IF($M2129="","",IF(T2129="Overdue",IF(Settings!$B$8="Yes",Settings!$B$7,""),IF(ISNUMBER(R2129),DATE(YEAR(R2129),MONTH(R2129),1),"")))</f>
        <v/>
      </c>
      <c r="X2129" s="38" t="n">
        <f aca="false">IF(AND(OR(T2129="Backlog",T2129="Pipeline",T2129="Overdue"),ISNUMBER(W2129)),IF(W2129&lt;=Settings!$B$6,V2129,0),0)</f>
        <v>0</v>
      </c>
      <c r="Y2129" s="38" t="n">
        <f aca="false">IF(AND(OR(T2129="Backlog",T2129="Pipeline",T2129="Overdue"),ISNUMBER(W2129)),IF(W2129&lt;=Settings!$B$6,Q2129,0),0)</f>
        <v>0</v>
      </c>
      <c r="Z2129" s="38" t="n">
        <f aca="false">IF(Y2129=0,0,IF(T2129="Backlog",Q2129,Q2129*Dashboard!$C$10))</f>
        <v>0</v>
      </c>
      <c r="AA2129" s="37" t="n">
        <f aca="false">IF($N2129="",0,IF(COUNTIF(Dashboard!$C$13:$C$22,$N2129)&gt;0,1,0))</f>
        <v>0</v>
      </c>
      <c r="AB2129" s="37" t="str">
        <f aca="false">IF($N2129="","",IF(COUNTIF($N$8:$N2129,$N2129)=1,MAX($AB$7:$AB2128)+1,""))</f>
        <v/>
      </c>
    </row>
    <row r="2130" customFormat="false" ht="15" hidden="false" customHeight="false" outlineLevel="0" collapsed="false">
      <c r="L2130" s="37" t="str">
        <f aca="false">IF(INDEX($A2130:$J2130,$L$6)&lt;&gt;"",TRIM(LEFT(INDEX($A2130:$J2130,$L$6),FIND("(",INDEX($A2130:$J2130,$L$6)&amp;"(")-1)),L2129)</f>
        <v>Building Value Proposition</v>
      </c>
      <c r="M2130" s="37" t="str">
        <f aca="false">IF(INDEX($A2130:$J2130,$M$6)="","",INDEX($A2130:$J2130,$M$6)&amp;"")</f>
        <v/>
      </c>
      <c r="N2130" s="37" t="str">
        <f aca="false">IF($M2130="","",TRIM(INDEX($A2130:$J2130,$N$6)&amp;""))</f>
        <v/>
      </c>
      <c r="O2130" s="37" t="str">
        <f aca="false">IF($M2130="","",TRIM(INDEX($A2130:$J2130,$O$6)&amp;""))</f>
        <v/>
      </c>
      <c r="P2130" s="37" t="str">
        <f aca="false">IF($M2130="","",IFERROR(IF(INDEX(Settings!$B$41:$B$50,MATCH(O2130,Settings!$A$41:$A$50,0))&amp;""="","UNMAPPED",INDEX(Settings!$B$41:$B$50,MATCH(O2130,Settings!$A$41:$A$50,0))&amp;""),"UNMAPPED"))</f>
        <v/>
      </c>
      <c r="Q2130" s="38" t="n">
        <f aca="false">IF($M2130="",0,N(INDEX($A2130:$J2130,$Q$6)))</f>
        <v>0</v>
      </c>
      <c r="R2130" s="39" t="str">
        <f aca="false">IF($M2130="","",INDEX($A2130:$J2130,$R$6))</f>
        <v/>
      </c>
      <c r="S2130" s="37" t="str">
        <f aca="false">IF($M2130="","",IFERROR(INDEX(Settings!$B$27:$B$36,MATCH(L2130,Settings!$A$27:$A$36,0))&amp;"","UNMAPPED"))</f>
        <v/>
      </c>
      <c r="T2130" s="37" t="str">
        <f aca="false">IF($M2130="","",IF(NOT(ISNUMBER(R2130)),"NO DATE",IF(S2130="Won",IF(R2130&gt;Settings!$B$5,"Backlog","Delivered"),IF(S2130="Open",IF(R2130&gt;Settings!$B$5,"Pipeline","Overdue"),IF(S2130="Lost","Lost","UNMAPPED")))))</f>
        <v/>
      </c>
      <c r="U2130" s="40" t="n">
        <f aca="false">IF(T2130="Backlog",1,IF(OR(T2130="Pipeline",T2130="Overdue"),N(INDEX(Settings!$C$27:$C$36,MATCH(L2130,Settings!$A$27:$A$36,0))),0))</f>
        <v>0</v>
      </c>
      <c r="V2130" s="38" t="n">
        <f aca="false">Q2130*U2130</f>
        <v>0</v>
      </c>
      <c r="W2130" s="41" t="str">
        <f aca="false">IF($M2130="","",IF(T2130="Overdue",IF(Settings!$B$8="Yes",Settings!$B$7,""),IF(ISNUMBER(R2130),DATE(YEAR(R2130),MONTH(R2130),1),"")))</f>
        <v/>
      </c>
      <c r="X2130" s="38" t="n">
        <f aca="false">IF(AND(OR(T2130="Backlog",T2130="Pipeline",T2130="Overdue"),ISNUMBER(W2130)),IF(W2130&lt;=Settings!$B$6,V2130,0),0)</f>
        <v>0</v>
      </c>
      <c r="Y2130" s="38" t="n">
        <f aca="false">IF(AND(OR(T2130="Backlog",T2130="Pipeline",T2130="Overdue"),ISNUMBER(W2130)),IF(W2130&lt;=Settings!$B$6,Q2130,0),0)</f>
        <v>0</v>
      </c>
      <c r="Z2130" s="38" t="n">
        <f aca="false">IF(Y2130=0,0,IF(T2130="Backlog",Q2130,Q2130*Dashboard!$C$10))</f>
        <v>0</v>
      </c>
      <c r="AA2130" s="37" t="n">
        <f aca="false">IF($N2130="",0,IF(COUNTIF(Dashboard!$C$13:$C$22,$N2130)&gt;0,1,0))</f>
        <v>0</v>
      </c>
      <c r="AB2130" s="37" t="str">
        <f aca="false">IF($N2130="","",IF(COUNTIF($N$8:$N2130,$N2130)=1,MAX($AB$7:$AB2129)+1,""))</f>
        <v/>
      </c>
    </row>
    <row r="2131" customFormat="false" ht="15" hidden="false" customHeight="false" outlineLevel="0" collapsed="false">
      <c r="L2131" s="37" t="str">
        <f aca="false">IF(INDEX($A2131:$J2131,$L$6)&lt;&gt;"",TRIM(LEFT(INDEX($A2131:$J2131,$L$6),FIND("(",INDEX($A2131:$J2131,$L$6)&amp;"(")-1)),L2130)</f>
        <v>Building Value Proposition</v>
      </c>
      <c r="M2131" s="37" t="str">
        <f aca="false">IF(INDEX($A2131:$J2131,$M$6)="","",INDEX($A2131:$J2131,$M$6)&amp;"")</f>
        <v/>
      </c>
      <c r="N2131" s="37" t="str">
        <f aca="false">IF($M2131="","",TRIM(INDEX($A2131:$J2131,$N$6)&amp;""))</f>
        <v/>
      </c>
      <c r="O2131" s="37" t="str">
        <f aca="false">IF($M2131="","",TRIM(INDEX($A2131:$J2131,$O$6)&amp;""))</f>
        <v/>
      </c>
      <c r="P2131" s="37" t="str">
        <f aca="false">IF($M2131="","",IFERROR(IF(INDEX(Settings!$B$41:$B$50,MATCH(O2131,Settings!$A$41:$A$50,0))&amp;""="","UNMAPPED",INDEX(Settings!$B$41:$B$50,MATCH(O2131,Settings!$A$41:$A$50,0))&amp;""),"UNMAPPED"))</f>
        <v/>
      </c>
      <c r="Q2131" s="38" t="n">
        <f aca="false">IF($M2131="",0,N(INDEX($A2131:$J2131,$Q$6)))</f>
        <v>0</v>
      </c>
      <c r="R2131" s="39" t="str">
        <f aca="false">IF($M2131="","",INDEX($A2131:$J2131,$R$6))</f>
        <v/>
      </c>
      <c r="S2131" s="37" t="str">
        <f aca="false">IF($M2131="","",IFERROR(INDEX(Settings!$B$27:$B$36,MATCH(L2131,Settings!$A$27:$A$36,0))&amp;"","UNMAPPED"))</f>
        <v/>
      </c>
      <c r="T2131" s="37" t="str">
        <f aca="false">IF($M2131="","",IF(NOT(ISNUMBER(R2131)),"NO DATE",IF(S2131="Won",IF(R2131&gt;Settings!$B$5,"Backlog","Delivered"),IF(S2131="Open",IF(R2131&gt;Settings!$B$5,"Pipeline","Overdue"),IF(S2131="Lost","Lost","UNMAPPED")))))</f>
        <v/>
      </c>
      <c r="U2131" s="40" t="n">
        <f aca="false">IF(T2131="Backlog",1,IF(OR(T2131="Pipeline",T2131="Overdue"),N(INDEX(Settings!$C$27:$C$36,MATCH(L2131,Settings!$A$27:$A$36,0))),0))</f>
        <v>0</v>
      </c>
      <c r="V2131" s="38" t="n">
        <f aca="false">Q2131*U2131</f>
        <v>0</v>
      </c>
      <c r="W2131" s="41" t="str">
        <f aca="false">IF($M2131="","",IF(T2131="Overdue",IF(Settings!$B$8="Yes",Settings!$B$7,""),IF(ISNUMBER(R2131),DATE(YEAR(R2131),MONTH(R2131),1),"")))</f>
        <v/>
      </c>
      <c r="X2131" s="38" t="n">
        <f aca="false">IF(AND(OR(T2131="Backlog",T2131="Pipeline",T2131="Overdue"),ISNUMBER(W2131)),IF(W2131&lt;=Settings!$B$6,V2131,0),0)</f>
        <v>0</v>
      </c>
      <c r="Y2131" s="38" t="n">
        <f aca="false">IF(AND(OR(T2131="Backlog",T2131="Pipeline",T2131="Overdue"),ISNUMBER(W2131)),IF(W2131&lt;=Settings!$B$6,Q2131,0),0)</f>
        <v>0</v>
      </c>
      <c r="Z2131" s="38" t="n">
        <f aca="false">IF(Y2131=0,0,IF(T2131="Backlog",Q2131,Q2131*Dashboard!$C$10))</f>
        <v>0</v>
      </c>
      <c r="AA2131" s="37" t="n">
        <f aca="false">IF($N2131="",0,IF(COUNTIF(Dashboard!$C$13:$C$22,$N2131)&gt;0,1,0))</f>
        <v>0</v>
      </c>
      <c r="AB2131" s="37" t="str">
        <f aca="false">IF($N2131="","",IF(COUNTIF($N$8:$N2131,$N2131)=1,MAX($AB$7:$AB2130)+1,""))</f>
        <v/>
      </c>
    </row>
    <row r="2132" customFormat="false" ht="15" hidden="false" customHeight="false" outlineLevel="0" collapsed="false">
      <c r="L2132" s="37" t="str">
        <f aca="false">IF(INDEX($A2132:$J2132,$L$6)&lt;&gt;"",TRIM(LEFT(INDEX($A2132:$J2132,$L$6),FIND("(",INDEX($A2132:$J2132,$L$6)&amp;"(")-1)),L2131)</f>
        <v>Building Value Proposition</v>
      </c>
      <c r="M2132" s="37" t="str">
        <f aca="false">IF(INDEX($A2132:$J2132,$M$6)="","",INDEX($A2132:$J2132,$M$6)&amp;"")</f>
        <v/>
      </c>
      <c r="N2132" s="37" t="str">
        <f aca="false">IF($M2132="","",TRIM(INDEX($A2132:$J2132,$N$6)&amp;""))</f>
        <v/>
      </c>
      <c r="O2132" s="37" t="str">
        <f aca="false">IF($M2132="","",TRIM(INDEX($A2132:$J2132,$O$6)&amp;""))</f>
        <v/>
      </c>
      <c r="P2132" s="37" t="str">
        <f aca="false">IF($M2132="","",IFERROR(IF(INDEX(Settings!$B$41:$B$50,MATCH(O2132,Settings!$A$41:$A$50,0))&amp;""="","UNMAPPED",INDEX(Settings!$B$41:$B$50,MATCH(O2132,Settings!$A$41:$A$50,0))&amp;""),"UNMAPPED"))</f>
        <v/>
      </c>
      <c r="Q2132" s="38" t="n">
        <f aca="false">IF($M2132="",0,N(INDEX($A2132:$J2132,$Q$6)))</f>
        <v>0</v>
      </c>
      <c r="R2132" s="39" t="str">
        <f aca="false">IF($M2132="","",INDEX($A2132:$J2132,$R$6))</f>
        <v/>
      </c>
      <c r="S2132" s="37" t="str">
        <f aca="false">IF($M2132="","",IFERROR(INDEX(Settings!$B$27:$B$36,MATCH(L2132,Settings!$A$27:$A$36,0))&amp;"","UNMAPPED"))</f>
        <v/>
      </c>
      <c r="T2132" s="37" t="str">
        <f aca="false">IF($M2132="","",IF(NOT(ISNUMBER(R2132)),"NO DATE",IF(S2132="Won",IF(R2132&gt;Settings!$B$5,"Backlog","Delivered"),IF(S2132="Open",IF(R2132&gt;Settings!$B$5,"Pipeline","Overdue"),IF(S2132="Lost","Lost","UNMAPPED")))))</f>
        <v/>
      </c>
      <c r="U2132" s="40" t="n">
        <f aca="false">IF(T2132="Backlog",1,IF(OR(T2132="Pipeline",T2132="Overdue"),N(INDEX(Settings!$C$27:$C$36,MATCH(L2132,Settings!$A$27:$A$36,0))),0))</f>
        <v>0</v>
      </c>
      <c r="V2132" s="38" t="n">
        <f aca="false">Q2132*U2132</f>
        <v>0</v>
      </c>
      <c r="W2132" s="41" t="str">
        <f aca="false">IF($M2132="","",IF(T2132="Overdue",IF(Settings!$B$8="Yes",Settings!$B$7,""),IF(ISNUMBER(R2132),DATE(YEAR(R2132),MONTH(R2132),1),"")))</f>
        <v/>
      </c>
      <c r="X2132" s="38" t="n">
        <f aca="false">IF(AND(OR(T2132="Backlog",T2132="Pipeline",T2132="Overdue"),ISNUMBER(W2132)),IF(W2132&lt;=Settings!$B$6,V2132,0),0)</f>
        <v>0</v>
      </c>
      <c r="Y2132" s="38" t="n">
        <f aca="false">IF(AND(OR(T2132="Backlog",T2132="Pipeline",T2132="Overdue"),ISNUMBER(W2132)),IF(W2132&lt;=Settings!$B$6,Q2132,0),0)</f>
        <v>0</v>
      </c>
      <c r="Z2132" s="38" t="n">
        <f aca="false">IF(Y2132=0,0,IF(T2132="Backlog",Q2132,Q2132*Dashboard!$C$10))</f>
        <v>0</v>
      </c>
      <c r="AA2132" s="37" t="n">
        <f aca="false">IF($N2132="",0,IF(COUNTIF(Dashboard!$C$13:$C$22,$N2132)&gt;0,1,0))</f>
        <v>0</v>
      </c>
      <c r="AB2132" s="37" t="str">
        <f aca="false">IF($N2132="","",IF(COUNTIF($N$8:$N2132,$N2132)=1,MAX($AB$7:$AB2131)+1,""))</f>
        <v/>
      </c>
    </row>
    <row r="2133" customFormat="false" ht="15" hidden="false" customHeight="false" outlineLevel="0" collapsed="false">
      <c r="L2133" s="37" t="str">
        <f aca="false">IF(INDEX($A2133:$J2133,$L$6)&lt;&gt;"",TRIM(LEFT(INDEX($A2133:$J2133,$L$6),FIND("(",INDEX($A2133:$J2133,$L$6)&amp;"(")-1)),L2132)</f>
        <v>Building Value Proposition</v>
      </c>
      <c r="M2133" s="37" t="str">
        <f aca="false">IF(INDEX($A2133:$J2133,$M$6)="","",INDEX($A2133:$J2133,$M$6)&amp;"")</f>
        <v/>
      </c>
      <c r="N2133" s="37" t="str">
        <f aca="false">IF($M2133="","",TRIM(INDEX($A2133:$J2133,$N$6)&amp;""))</f>
        <v/>
      </c>
      <c r="O2133" s="37" t="str">
        <f aca="false">IF($M2133="","",TRIM(INDEX($A2133:$J2133,$O$6)&amp;""))</f>
        <v/>
      </c>
      <c r="P2133" s="37" t="str">
        <f aca="false">IF($M2133="","",IFERROR(IF(INDEX(Settings!$B$41:$B$50,MATCH(O2133,Settings!$A$41:$A$50,0))&amp;""="","UNMAPPED",INDEX(Settings!$B$41:$B$50,MATCH(O2133,Settings!$A$41:$A$50,0))&amp;""),"UNMAPPED"))</f>
        <v/>
      </c>
      <c r="Q2133" s="38" t="n">
        <f aca="false">IF($M2133="",0,N(INDEX($A2133:$J2133,$Q$6)))</f>
        <v>0</v>
      </c>
      <c r="R2133" s="39" t="str">
        <f aca="false">IF($M2133="","",INDEX($A2133:$J2133,$R$6))</f>
        <v/>
      </c>
      <c r="S2133" s="37" t="str">
        <f aca="false">IF($M2133="","",IFERROR(INDEX(Settings!$B$27:$B$36,MATCH(L2133,Settings!$A$27:$A$36,0))&amp;"","UNMAPPED"))</f>
        <v/>
      </c>
      <c r="T2133" s="37" t="str">
        <f aca="false">IF($M2133="","",IF(NOT(ISNUMBER(R2133)),"NO DATE",IF(S2133="Won",IF(R2133&gt;Settings!$B$5,"Backlog","Delivered"),IF(S2133="Open",IF(R2133&gt;Settings!$B$5,"Pipeline","Overdue"),IF(S2133="Lost","Lost","UNMAPPED")))))</f>
        <v/>
      </c>
      <c r="U2133" s="40" t="n">
        <f aca="false">IF(T2133="Backlog",1,IF(OR(T2133="Pipeline",T2133="Overdue"),N(INDEX(Settings!$C$27:$C$36,MATCH(L2133,Settings!$A$27:$A$36,0))),0))</f>
        <v>0</v>
      </c>
      <c r="V2133" s="38" t="n">
        <f aca="false">Q2133*U2133</f>
        <v>0</v>
      </c>
      <c r="W2133" s="41" t="str">
        <f aca="false">IF($M2133="","",IF(T2133="Overdue",IF(Settings!$B$8="Yes",Settings!$B$7,""),IF(ISNUMBER(R2133),DATE(YEAR(R2133),MONTH(R2133),1),"")))</f>
        <v/>
      </c>
      <c r="X2133" s="38" t="n">
        <f aca="false">IF(AND(OR(T2133="Backlog",T2133="Pipeline",T2133="Overdue"),ISNUMBER(W2133)),IF(W2133&lt;=Settings!$B$6,V2133,0),0)</f>
        <v>0</v>
      </c>
      <c r="Y2133" s="38" t="n">
        <f aca="false">IF(AND(OR(T2133="Backlog",T2133="Pipeline",T2133="Overdue"),ISNUMBER(W2133)),IF(W2133&lt;=Settings!$B$6,Q2133,0),0)</f>
        <v>0</v>
      </c>
      <c r="Z2133" s="38" t="n">
        <f aca="false">IF(Y2133=0,0,IF(T2133="Backlog",Q2133,Q2133*Dashboard!$C$10))</f>
        <v>0</v>
      </c>
      <c r="AA2133" s="37" t="n">
        <f aca="false">IF($N2133="",0,IF(COUNTIF(Dashboard!$C$13:$C$22,$N2133)&gt;0,1,0))</f>
        <v>0</v>
      </c>
      <c r="AB2133" s="37" t="str">
        <f aca="false">IF($N2133="","",IF(COUNTIF($N$8:$N2133,$N2133)=1,MAX($AB$7:$AB2132)+1,""))</f>
        <v/>
      </c>
    </row>
    <row r="2134" customFormat="false" ht="15" hidden="false" customHeight="false" outlineLevel="0" collapsed="false">
      <c r="L2134" s="37" t="str">
        <f aca="false">IF(INDEX($A2134:$J2134,$L$6)&lt;&gt;"",TRIM(LEFT(INDEX($A2134:$J2134,$L$6),FIND("(",INDEX($A2134:$J2134,$L$6)&amp;"(")-1)),L2133)</f>
        <v>Building Value Proposition</v>
      </c>
      <c r="M2134" s="37" t="str">
        <f aca="false">IF(INDEX($A2134:$J2134,$M$6)="","",INDEX($A2134:$J2134,$M$6)&amp;"")</f>
        <v/>
      </c>
      <c r="N2134" s="37" t="str">
        <f aca="false">IF($M2134="","",TRIM(INDEX($A2134:$J2134,$N$6)&amp;""))</f>
        <v/>
      </c>
      <c r="O2134" s="37" t="str">
        <f aca="false">IF($M2134="","",TRIM(INDEX($A2134:$J2134,$O$6)&amp;""))</f>
        <v/>
      </c>
      <c r="P2134" s="37" t="str">
        <f aca="false">IF($M2134="","",IFERROR(IF(INDEX(Settings!$B$41:$B$50,MATCH(O2134,Settings!$A$41:$A$50,0))&amp;""="","UNMAPPED",INDEX(Settings!$B$41:$B$50,MATCH(O2134,Settings!$A$41:$A$50,0))&amp;""),"UNMAPPED"))</f>
        <v/>
      </c>
      <c r="Q2134" s="38" t="n">
        <f aca="false">IF($M2134="",0,N(INDEX($A2134:$J2134,$Q$6)))</f>
        <v>0</v>
      </c>
      <c r="R2134" s="39" t="str">
        <f aca="false">IF($M2134="","",INDEX($A2134:$J2134,$R$6))</f>
        <v/>
      </c>
      <c r="S2134" s="37" t="str">
        <f aca="false">IF($M2134="","",IFERROR(INDEX(Settings!$B$27:$B$36,MATCH(L2134,Settings!$A$27:$A$36,0))&amp;"","UNMAPPED"))</f>
        <v/>
      </c>
      <c r="T2134" s="37" t="str">
        <f aca="false">IF($M2134="","",IF(NOT(ISNUMBER(R2134)),"NO DATE",IF(S2134="Won",IF(R2134&gt;Settings!$B$5,"Backlog","Delivered"),IF(S2134="Open",IF(R2134&gt;Settings!$B$5,"Pipeline","Overdue"),IF(S2134="Lost","Lost","UNMAPPED")))))</f>
        <v/>
      </c>
      <c r="U2134" s="40" t="n">
        <f aca="false">IF(T2134="Backlog",1,IF(OR(T2134="Pipeline",T2134="Overdue"),N(INDEX(Settings!$C$27:$C$36,MATCH(L2134,Settings!$A$27:$A$36,0))),0))</f>
        <v>0</v>
      </c>
      <c r="V2134" s="38" t="n">
        <f aca="false">Q2134*U2134</f>
        <v>0</v>
      </c>
      <c r="W2134" s="41" t="str">
        <f aca="false">IF($M2134="","",IF(T2134="Overdue",IF(Settings!$B$8="Yes",Settings!$B$7,""),IF(ISNUMBER(R2134),DATE(YEAR(R2134),MONTH(R2134),1),"")))</f>
        <v/>
      </c>
      <c r="X2134" s="38" t="n">
        <f aca="false">IF(AND(OR(T2134="Backlog",T2134="Pipeline",T2134="Overdue"),ISNUMBER(W2134)),IF(W2134&lt;=Settings!$B$6,V2134,0),0)</f>
        <v>0</v>
      </c>
      <c r="Y2134" s="38" t="n">
        <f aca="false">IF(AND(OR(T2134="Backlog",T2134="Pipeline",T2134="Overdue"),ISNUMBER(W2134)),IF(W2134&lt;=Settings!$B$6,Q2134,0),0)</f>
        <v>0</v>
      </c>
      <c r="Z2134" s="38" t="n">
        <f aca="false">IF(Y2134=0,0,IF(T2134="Backlog",Q2134,Q2134*Dashboard!$C$10))</f>
        <v>0</v>
      </c>
      <c r="AA2134" s="37" t="n">
        <f aca="false">IF($N2134="",0,IF(COUNTIF(Dashboard!$C$13:$C$22,$N2134)&gt;0,1,0))</f>
        <v>0</v>
      </c>
      <c r="AB2134" s="37" t="str">
        <f aca="false">IF($N2134="","",IF(COUNTIF($N$8:$N2134,$N2134)=1,MAX($AB$7:$AB2133)+1,""))</f>
        <v/>
      </c>
    </row>
    <row r="2135" customFormat="false" ht="15" hidden="false" customHeight="false" outlineLevel="0" collapsed="false">
      <c r="L2135" s="37" t="str">
        <f aca="false">IF(INDEX($A2135:$J2135,$L$6)&lt;&gt;"",TRIM(LEFT(INDEX($A2135:$J2135,$L$6),FIND("(",INDEX($A2135:$J2135,$L$6)&amp;"(")-1)),L2134)</f>
        <v>Building Value Proposition</v>
      </c>
      <c r="M2135" s="37" t="str">
        <f aca="false">IF(INDEX($A2135:$J2135,$M$6)="","",INDEX($A2135:$J2135,$M$6)&amp;"")</f>
        <v/>
      </c>
      <c r="N2135" s="37" t="str">
        <f aca="false">IF($M2135="","",TRIM(INDEX($A2135:$J2135,$N$6)&amp;""))</f>
        <v/>
      </c>
      <c r="O2135" s="37" t="str">
        <f aca="false">IF($M2135="","",TRIM(INDEX($A2135:$J2135,$O$6)&amp;""))</f>
        <v/>
      </c>
      <c r="P2135" s="37" t="str">
        <f aca="false">IF($M2135="","",IFERROR(IF(INDEX(Settings!$B$41:$B$50,MATCH(O2135,Settings!$A$41:$A$50,0))&amp;""="","UNMAPPED",INDEX(Settings!$B$41:$B$50,MATCH(O2135,Settings!$A$41:$A$50,0))&amp;""),"UNMAPPED"))</f>
        <v/>
      </c>
      <c r="Q2135" s="38" t="n">
        <f aca="false">IF($M2135="",0,N(INDEX($A2135:$J2135,$Q$6)))</f>
        <v>0</v>
      </c>
      <c r="R2135" s="39" t="str">
        <f aca="false">IF($M2135="","",INDEX($A2135:$J2135,$R$6))</f>
        <v/>
      </c>
      <c r="S2135" s="37" t="str">
        <f aca="false">IF($M2135="","",IFERROR(INDEX(Settings!$B$27:$B$36,MATCH(L2135,Settings!$A$27:$A$36,0))&amp;"","UNMAPPED"))</f>
        <v/>
      </c>
      <c r="T2135" s="37" t="str">
        <f aca="false">IF($M2135="","",IF(NOT(ISNUMBER(R2135)),"NO DATE",IF(S2135="Won",IF(R2135&gt;Settings!$B$5,"Backlog","Delivered"),IF(S2135="Open",IF(R2135&gt;Settings!$B$5,"Pipeline","Overdue"),IF(S2135="Lost","Lost","UNMAPPED")))))</f>
        <v/>
      </c>
      <c r="U2135" s="40" t="n">
        <f aca="false">IF(T2135="Backlog",1,IF(OR(T2135="Pipeline",T2135="Overdue"),N(INDEX(Settings!$C$27:$C$36,MATCH(L2135,Settings!$A$27:$A$36,0))),0))</f>
        <v>0</v>
      </c>
      <c r="V2135" s="38" t="n">
        <f aca="false">Q2135*U2135</f>
        <v>0</v>
      </c>
      <c r="W2135" s="41" t="str">
        <f aca="false">IF($M2135="","",IF(T2135="Overdue",IF(Settings!$B$8="Yes",Settings!$B$7,""),IF(ISNUMBER(R2135),DATE(YEAR(R2135),MONTH(R2135),1),"")))</f>
        <v/>
      </c>
      <c r="X2135" s="38" t="n">
        <f aca="false">IF(AND(OR(T2135="Backlog",T2135="Pipeline",T2135="Overdue"),ISNUMBER(W2135)),IF(W2135&lt;=Settings!$B$6,V2135,0),0)</f>
        <v>0</v>
      </c>
      <c r="Y2135" s="38" t="n">
        <f aca="false">IF(AND(OR(T2135="Backlog",T2135="Pipeline",T2135="Overdue"),ISNUMBER(W2135)),IF(W2135&lt;=Settings!$B$6,Q2135,0),0)</f>
        <v>0</v>
      </c>
      <c r="Z2135" s="38" t="n">
        <f aca="false">IF(Y2135=0,0,IF(T2135="Backlog",Q2135,Q2135*Dashboard!$C$10))</f>
        <v>0</v>
      </c>
      <c r="AA2135" s="37" t="n">
        <f aca="false">IF($N2135="",0,IF(COUNTIF(Dashboard!$C$13:$C$22,$N2135)&gt;0,1,0))</f>
        <v>0</v>
      </c>
      <c r="AB2135" s="37" t="str">
        <f aca="false">IF($N2135="","",IF(COUNTIF($N$8:$N2135,$N2135)=1,MAX($AB$7:$AB2134)+1,""))</f>
        <v/>
      </c>
    </row>
    <row r="2136" customFormat="false" ht="15" hidden="false" customHeight="false" outlineLevel="0" collapsed="false">
      <c r="L2136" s="37" t="str">
        <f aca="false">IF(INDEX($A2136:$J2136,$L$6)&lt;&gt;"",TRIM(LEFT(INDEX($A2136:$J2136,$L$6),FIND("(",INDEX($A2136:$J2136,$L$6)&amp;"(")-1)),L2135)</f>
        <v>Building Value Proposition</v>
      </c>
      <c r="M2136" s="37" t="str">
        <f aca="false">IF(INDEX($A2136:$J2136,$M$6)="","",INDEX($A2136:$J2136,$M$6)&amp;"")</f>
        <v/>
      </c>
      <c r="N2136" s="37" t="str">
        <f aca="false">IF($M2136="","",TRIM(INDEX($A2136:$J2136,$N$6)&amp;""))</f>
        <v/>
      </c>
      <c r="O2136" s="37" t="str">
        <f aca="false">IF($M2136="","",TRIM(INDEX($A2136:$J2136,$O$6)&amp;""))</f>
        <v/>
      </c>
      <c r="P2136" s="37" t="str">
        <f aca="false">IF($M2136="","",IFERROR(IF(INDEX(Settings!$B$41:$B$50,MATCH(O2136,Settings!$A$41:$A$50,0))&amp;""="","UNMAPPED",INDEX(Settings!$B$41:$B$50,MATCH(O2136,Settings!$A$41:$A$50,0))&amp;""),"UNMAPPED"))</f>
        <v/>
      </c>
      <c r="Q2136" s="38" t="n">
        <f aca="false">IF($M2136="",0,N(INDEX($A2136:$J2136,$Q$6)))</f>
        <v>0</v>
      </c>
      <c r="R2136" s="39" t="str">
        <f aca="false">IF($M2136="","",INDEX($A2136:$J2136,$R$6))</f>
        <v/>
      </c>
      <c r="S2136" s="37" t="str">
        <f aca="false">IF($M2136="","",IFERROR(INDEX(Settings!$B$27:$B$36,MATCH(L2136,Settings!$A$27:$A$36,0))&amp;"","UNMAPPED"))</f>
        <v/>
      </c>
      <c r="T2136" s="37" t="str">
        <f aca="false">IF($M2136="","",IF(NOT(ISNUMBER(R2136)),"NO DATE",IF(S2136="Won",IF(R2136&gt;Settings!$B$5,"Backlog","Delivered"),IF(S2136="Open",IF(R2136&gt;Settings!$B$5,"Pipeline","Overdue"),IF(S2136="Lost","Lost","UNMAPPED")))))</f>
        <v/>
      </c>
      <c r="U2136" s="40" t="n">
        <f aca="false">IF(T2136="Backlog",1,IF(OR(T2136="Pipeline",T2136="Overdue"),N(INDEX(Settings!$C$27:$C$36,MATCH(L2136,Settings!$A$27:$A$36,0))),0))</f>
        <v>0</v>
      </c>
      <c r="V2136" s="38" t="n">
        <f aca="false">Q2136*U2136</f>
        <v>0</v>
      </c>
      <c r="W2136" s="41" t="str">
        <f aca="false">IF($M2136="","",IF(T2136="Overdue",IF(Settings!$B$8="Yes",Settings!$B$7,""),IF(ISNUMBER(R2136),DATE(YEAR(R2136),MONTH(R2136),1),"")))</f>
        <v/>
      </c>
      <c r="X2136" s="38" t="n">
        <f aca="false">IF(AND(OR(T2136="Backlog",T2136="Pipeline",T2136="Overdue"),ISNUMBER(W2136)),IF(W2136&lt;=Settings!$B$6,V2136,0),0)</f>
        <v>0</v>
      </c>
      <c r="Y2136" s="38" t="n">
        <f aca="false">IF(AND(OR(T2136="Backlog",T2136="Pipeline",T2136="Overdue"),ISNUMBER(W2136)),IF(W2136&lt;=Settings!$B$6,Q2136,0),0)</f>
        <v>0</v>
      </c>
      <c r="Z2136" s="38" t="n">
        <f aca="false">IF(Y2136=0,0,IF(T2136="Backlog",Q2136,Q2136*Dashboard!$C$10))</f>
        <v>0</v>
      </c>
      <c r="AA2136" s="37" t="n">
        <f aca="false">IF($N2136="",0,IF(COUNTIF(Dashboard!$C$13:$C$22,$N2136)&gt;0,1,0))</f>
        <v>0</v>
      </c>
      <c r="AB2136" s="37" t="str">
        <f aca="false">IF($N2136="","",IF(COUNTIF($N$8:$N2136,$N2136)=1,MAX($AB$7:$AB2135)+1,""))</f>
        <v/>
      </c>
    </row>
    <row r="2137" customFormat="false" ht="15" hidden="false" customHeight="false" outlineLevel="0" collapsed="false">
      <c r="L2137" s="37" t="str">
        <f aca="false">IF(INDEX($A2137:$J2137,$L$6)&lt;&gt;"",TRIM(LEFT(INDEX($A2137:$J2137,$L$6),FIND("(",INDEX($A2137:$J2137,$L$6)&amp;"(")-1)),L2136)</f>
        <v>Building Value Proposition</v>
      </c>
      <c r="M2137" s="37" t="str">
        <f aca="false">IF(INDEX($A2137:$J2137,$M$6)="","",INDEX($A2137:$J2137,$M$6)&amp;"")</f>
        <v/>
      </c>
      <c r="N2137" s="37" t="str">
        <f aca="false">IF($M2137="","",TRIM(INDEX($A2137:$J2137,$N$6)&amp;""))</f>
        <v/>
      </c>
      <c r="O2137" s="37" t="str">
        <f aca="false">IF($M2137="","",TRIM(INDEX($A2137:$J2137,$O$6)&amp;""))</f>
        <v/>
      </c>
      <c r="P2137" s="37" t="str">
        <f aca="false">IF($M2137="","",IFERROR(IF(INDEX(Settings!$B$41:$B$50,MATCH(O2137,Settings!$A$41:$A$50,0))&amp;""="","UNMAPPED",INDEX(Settings!$B$41:$B$50,MATCH(O2137,Settings!$A$41:$A$50,0))&amp;""),"UNMAPPED"))</f>
        <v/>
      </c>
      <c r="Q2137" s="38" t="n">
        <f aca="false">IF($M2137="",0,N(INDEX($A2137:$J2137,$Q$6)))</f>
        <v>0</v>
      </c>
      <c r="R2137" s="39" t="str">
        <f aca="false">IF($M2137="","",INDEX($A2137:$J2137,$R$6))</f>
        <v/>
      </c>
      <c r="S2137" s="37" t="str">
        <f aca="false">IF($M2137="","",IFERROR(INDEX(Settings!$B$27:$B$36,MATCH(L2137,Settings!$A$27:$A$36,0))&amp;"","UNMAPPED"))</f>
        <v/>
      </c>
      <c r="T2137" s="37" t="str">
        <f aca="false">IF($M2137="","",IF(NOT(ISNUMBER(R2137)),"NO DATE",IF(S2137="Won",IF(R2137&gt;Settings!$B$5,"Backlog","Delivered"),IF(S2137="Open",IF(R2137&gt;Settings!$B$5,"Pipeline","Overdue"),IF(S2137="Lost","Lost","UNMAPPED")))))</f>
        <v/>
      </c>
      <c r="U2137" s="40" t="n">
        <f aca="false">IF(T2137="Backlog",1,IF(OR(T2137="Pipeline",T2137="Overdue"),N(INDEX(Settings!$C$27:$C$36,MATCH(L2137,Settings!$A$27:$A$36,0))),0))</f>
        <v>0</v>
      </c>
      <c r="V2137" s="38" t="n">
        <f aca="false">Q2137*U2137</f>
        <v>0</v>
      </c>
      <c r="W2137" s="41" t="str">
        <f aca="false">IF($M2137="","",IF(T2137="Overdue",IF(Settings!$B$8="Yes",Settings!$B$7,""),IF(ISNUMBER(R2137),DATE(YEAR(R2137),MONTH(R2137),1),"")))</f>
        <v/>
      </c>
      <c r="X2137" s="38" t="n">
        <f aca="false">IF(AND(OR(T2137="Backlog",T2137="Pipeline",T2137="Overdue"),ISNUMBER(W2137)),IF(W2137&lt;=Settings!$B$6,V2137,0),0)</f>
        <v>0</v>
      </c>
      <c r="Y2137" s="38" t="n">
        <f aca="false">IF(AND(OR(T2137="Backlog",T2137="Pipeline",T2137="Overdue"),ISNUMBER(W2137)),IF(W2137&lt;=Settings!$B$6,Q2137,0),0)</f>
        <v>0</v>
      </c>
      <c r="Z2137" s="38" t="n">
        <f aca="false">IF(Y2137=0,0,IF(T2137="Backlog",Q2137,Q2137*Dashboard!$C$10))</f>
        <v>0</v>
      </c>
      <c r="AA2137" s="37" t="n">
        <f aca="false">IF($N2137="",0,IF(COUNTIF(Dashboard!$C$13:$C$22,$N2137)&gt;0,1,0))</f>
        <v>0</v>
      </c>
      <c r="AB2137" s="37" t="str">
        <f aca="false">IF($N2137="","",IF(COUNTIF($N$8:$N2137,$N2137)=1,MAX($AB$7:$AB2136)+1,""))</f>
        <v/>
      </c>
    </row>
    <row r="2138" customFormat="false" ht="15" hidden="false" customHeight="false" outlineLevel="0" collapsed="false">
      <c r="L2138" s="37" t="str">
        <f aca="false">IF(INDEX($A2138:$J2138,$L$6)&lt;&gt;"",TRIM(LEFT(INDEX($A2138:$J2138,$L$6),FIND("(",INDEX($A2138:$J2138,$L$6)&amp;"(")-1)),L2137)</f>
        <v>Building Value Proposition</v>
      </c>
      <c r="M2138" s="37" t="str">
        <f aca="false">IF(INDEX($A2138:$J2138,$M$6)="","",INDEX($A2138:$J2138,$M$6)&amp;"")</f>
        <v/>
      </c>
      <c r="N2138" s="37" t="str">
        <f aca="false">IF($M2138="","",TRIM(INDEX($A2138:$J2138,$N$6)&amp;""))</f>
        <v/>
      </c>
      <c r="O2138" s="37" t="str">
        <f aca="false">IF($M2138="","",TRIM(INDEX($A2138:$J2138,$O$6)&amp;""))</f>
        <v/>
      </c>
      <c r="P2138" s="37" t="str">
        <f aca="false">IF($M2138="","",IFERROR(IF(INDEX(Settings!$B$41:$B$50,MATCH(O2138,Settings!$A$41:$A$50,0))&amp;""="","UNMAPPED",INDEX(Settings!$B$41:$B$50,MATCH(O2138,Settings!$A$41:$A$50,0))&amp;""),"UNMAPPED"))</f>
        <v/>
      </c>
      <c r="Q2138" s="38" t="n">
        <f aca="false">IF($M2138="",0,N(INDEX($A2138:$J2138,$Q$6)))</f>
        <v>0</v>
      </c>
      <c r="R2138" s="39" t="str">
        <f aca="false">IF($M2138="","",INDEX($A2138:$J2138,$R$6))</f>
        <v/>
      </c>
      <c r="S2138" s="37" t="str">
        <f aca="false">IF($M2138="","",IFERROR(INDEX(Settings!$B$27:$B$36,MATCH(L2138,Settings!$A$27:$A$36,0))&amp;"","UNMAPPED"))</f>
        <v/>
      </c>
      <c r="T2138" s="37" t="str">
        <f aca="false">IF($M2138="","",IF(NOT(ISNUMBER(R2138)),"NO DATE",IF(S2138="Won",IF(R2138&gt;Settings!$B$5,"Backlog","Delivered"),IF(S2138="Open",IF(R2138&gt;Settings!$B$5,"Pipeline","Overdue"),IF(S2138="Lost","Lost","UNMAPPED")))))</f>
        <v/>
      </c>
      <c r="U2138" s="40" t="n">
        <f aca="false">IF(T2138="Backlog",1,IF(OR(T2138="Pipeline",T2138="Overdue"),N(INDEX(Settings!$C$27:$C$36,MATCH(L2138,Settings!$A$27:$A$36,0))),0))</f>
        <v>0</v>
      </c>
      <c r="V2138" s="38" t="n">
        <f aca="false">Q2138*U2138</f>
        <v>0</v>
      </c>
      <c r="W2138" s="41" t="str">
        <f aca="false">IF($M2138="","",IF(T2138="Overdue",IF(Settings!$B$8="Yes",Settings!$B$7,""),IF(ISNUMBER(R2138),DATE(YEAR(R2138),MONTH(R2138),1),"")))</f>
        <v/>
      </c>
      <c r="X2138" s="38" t="n">
        <f aca="false">IF(AND(OR(T2138="Backlog",T2138="Pipeline",T2138="Overdue"),ISNUMBER(W2138)),IF(W2138&lt;=Settings!$B$6,V2138,0),0)</f>
        <v>0</v>
      </c>
      <c r="Y2138" s="38" t="n">
        <f aca="false">IF(AND(OR(T2138="Backlog",T2138="Pipeline",T2138="Overdue"),ISNUMBER(W2138)),IF(W2138&lt;=Settings!$B$6,Q2138,0),0)</f>
        <v>0</v>
      </c>
      <c r="Z2138" s="38" t="n">
        <f aca="false">IF(Y2138=0,0,IF(T2138="Backlog",Q2138,Q2138*Dashboard!$C$10))</f>
        <v>0</v>
      </c>
      <c r="AA2138" s="37" t="n">
        <f aca="false">IF($N2138="",0,IF(COUNTIF(Dashboard!$C$13:$C$22,$N2138)&gt;0,1,0))</f>
        <v>0</v>
      </c>
      <c r="AB2138" s="37" t="str">
        <f aca="false">IF($N2138="","",IF(COUNTIF($N$8:$N2138,$N2138)=1,MAX($AB$7:$AB2137)+1,""))</f>
        <v/>
      </c>
    </row>
    <row r="2139" customFormat="false" ht="15" hidden="false" customHeight="false" outlineLevel="0" collapsed="false">
      <c r="L2139" s="37" t="str">
        <f aca="false">IF(INDEX($A2139:$J2139,$L$6)&lt;&gt;"",TRIM(LEFT(INDEX($A2139:$J2139,$L$6),FIND("(",INDEX($A2139:$J2139,$L$6)&amp;"(")-1)),L2138)</f>
        <v>Building Value Proposition</v>
      </c>
      <c r="M2139" s="37" t="str">
        <f aca="false">IF(INDEX($A2139:$J2139,$M$6)="","",INDEX($A2139:$J2139,$M$6)&amp;"")</f>
        <v/>
      </c>
      <c r="N2139" s="37" t="str">
        <f aca="false">IF($M2139="","",TRIM(INDEX($A2139:$J2139,$N$6)&amp;""))</f>
        <v/>
      </c>
      <c r="O2139" s="37" t="str">
        <f aca="false">IF($M2139="","",TRIM(INDEX($A2139:$J2139,$O$6)&amp;""))</f>
        <v/>
      </c>
      <c r="P2139" s="37" t="str">
        <f aca="false">IF($M2139="","",IFERROR(IF(INDEX(Settings!$B$41:$B$50,MATCH(O2139,Settings!$A$41:$A$50,0))&amp;""="","UNMAPPED",INDEX(Settings!$B$41:$B$50,MATCH(O2139,Settings!$A$41:$A$50,0))&amp;""),"UNMAPPED"))</f>
        <v/>
      </c>
      <c r="Q2139" s="38" t="n">
        <f aca="false">IF($M2139="",0,N(INDEX($A2139:$J2139,$Q$6)))</f>
        <v>0</v>
      </c>
      <c r="R2139" s="39" t="str">
        <f aca="false">IF($M2139="","",INDEX($A2139:$J2139,$R$6))</f>
        <v/>
      </c>
      <c r="S2139" s="37" t="str">
        <f aca="false">IF($M2139="","",IFERROR(INDEX(Settings!$B$27:$B$36,MATCH(L2139,Settings!$A$27:$A$36,0))&amp;"","UNMAPPED"))</f>
        <v/>
      </c>
      <c r="T2139" s="37" t="str">
        <f aca="false">IF($M2139="","",IF(NOT(ISNUMBER(R2139)),"NO DATE",IF(S2139="Won",IF(R2139&gt;Settings!$B$5,"Backlog","Delivered"),IF(S2139="Open",IF(R2139&gt;Settings!$B$5,"Pipeline","Overdue"),IF(S2139="Lost","Lost","UNMAPPED")))))</f>
        <v/>
      </c>
      <c r="U2139" s="40" t="n">
        <f aca="false">IF(T2139="Backlog",1,IF(OR(T2139="Pipeline",T2139="Overdue"),N(INDEX(Settings!$C$27:$C$36,MATCH(L2139,Settings!$A$27:$A$36,0))),0))</f>
        <v>0</v>
      </c>
      <c r="V2139" s="38" t="n">
        <f aca="false">Q2139*U2139</f>
        <v>0</v>
      </c>
      <c r="W2139" s="41" t="str">
        <f aca="false">IF($M2139="","",IF(T2139="Overdue",IF(Settings!$B$8="Yes",Settings!$B$7,""),IF(ISNUMBER(R2139),DATE(YEAR(R2139),MONTH(R2139),1),"")))</f>
        <v/>
      </c>
      <c r="X2139" s="38" t="n">
        <f aca="false">IF(AND(OR(T2139="Backlog",T2139="Pipeline",T2139="Overdue"),ISNUMBER(W2139)),IF(W2139&lt;=Settings!$B$6,V2139,0),0)</f>
        <v>0</v>
      </c>
      <c r="Y2139" s="38" t="n">
        <f aca="false">IF(AND(OR(T2139="Backlog",T2139="Pipeline",T2139="Overdue"),ISNUMBER(W2139)),IF(W2139&lt;=Settings!$B$6,Q2139,0),0)</f>
        <v>0</v>
      </c>
      <c r="Z2139" s="38" t="n">
        <f aca="false">IF(Y2139=0,0,IF(T2139="Backlog",Q2139,Q2139*Dashboard!$C$10))</f>
        <v>0</v>
      </c>
      <c r="AA2139" s="37" t="n">
        <f aca="false">IF($N2139="",0,IF(COUNTIF(Dashboard!$C$13:$C$22,$N2139)&gt;0,1,0))</f>
        <v>0</v>
      </c>
      <c r="AB2139" s="37" t="str">
        <f aca="false">IF($N2139="","",IF(COUNTIF($N$8:$N2139,$N2139)=1,MAX($AB$7:$AB2138)+1,""))</f>
        <v/>
      </c>
    </row>
    <row r="2140" customFormat="false" ht="15" hidden="false" customHeight="false" outlineLevel="0" collapsed="false">
      <c r="L2140" s="37" t="str">
        <f aca="false">IF(INDEX($A2140:$J2140,$L$6)&lt;&gt;"",TRIM(LEFT(INDEX($A2140:$J2140,$L$6),FIND("(",INDEX($A2140:$J2140,$L$6)&amp;"(")-1)),L2139)</f>
        <v>Building Value Proposition</v>
      </c>
      <c r="M2140" s="37" t="str">
        <f aca="false">IF(INDEX($A2140:$J2140,$M$6)="","",INDEX($A2140:$J2140,$M$6)&amp;"")</f>
        <v/>
      </c>
      <c r="N2140" s="37" t="str">
        <f aca="false">IF($M2140="","",TRIM(INDEX($A2140:$J2140,$N$6)&amp;""))</f>
        <v/>
      </c>
      <c r="O2140" s="37" t="str">
        <f aca="false">IF($M2140="","",TRIM(INDEX($A2140:$J2140,$O$6)&amp;""))</f>
        <v/>
      </c>
      <c r="P2140" s="37" t="str">
        <f aca="false">IF($M2140="","",IFERROR(IF(INDEX(Settings!$B$41:$B$50,MATCH(O2140,Settings!$A$41:$A$50,0))&amp;""="","UNMAPPED",INDEX(Settings!$B$41:$B$50,MATCH(O2140,Settings!$A$41:$A$50,0))&amp;""),"UNMAPPED"))</f>
        <v/>
      </c>
      <c r="Q2140" s="38" t="n">
        <f aca="false">IF($M2140="",0,N(INDEX($A2140:$J2140,$Q$6)))</f>
        <v>0</v>
      </c>
      <c r="R2140" s="39" t="str">
        <f aca="false">IF($M2140="","",INDEX($A2140:$J2140,$R$6))</f>
        <v/>
      </c>
      <c r="S2140" s="37" t="str">
        <f aca="false">IF($M2140="","",IFERROR(INDEX(Settings!$B$27:$B$36,MATCH(L2140,Settings!$A$27:$A$36,0))&amp;"","UNMAPPED"))</f>
        <v/>
      </c>
      <c r="T2140" s="37" t="str">
        <f aca="false">IF($M2140="","",IF(NOT(ISNUMBER(R2140)),"NO DATE",IF(S2140="Won",IF(R2140&gt;Settings!$B$5,"Backlog","Delivered"),IF(S2140="Open",IF(R2140&gt;Settings!$B$5,"Pipeline","Overdue"),IF(S2140="Lost","Lost","UNMAPPED")))))</f>
        <v/>
      </c>
      <c r="U2140" s="40" t="n">
        <f aca="false">IF(T2140="Backlog",1,IF(OR(T2140="Pipeline",T2140="Overdue"),N(INDEX(Settings!$C$27:$C$36,MATCH(L2140,Settings!$A$27:$A$36,0))),0))</f>
        <v>0</v>
      </c>
      <c r="V2140" s="38" t="n">
        <f aca="false">Q2140*U2140</f>
        <v>0</v>
      </c>
      <c r="W2140" s="41" t="str">
        <f aca="false">IF($M2140="","",IF(T2140="Overdue",IF(Settings!$B$8="Yes",Settings!$B$7,""),IF(ISNUMBER(R2140),DATE(YEAR(R2140),MONTH(R2140),1),"")))</f>
        <v/>
      </c>
      <c r="X2140" s="38" t="n">
        <f aca="false">IF(AND(OR(T2140="Backlog",T2140="Pipeline",T2140="Overdue"),ISNUMBER(W2140)),IF(W2140&lt;=Settings!$B$6,V2140,0),0)</f>
        <v>0</v>
      </c>
      <c r="Y2140" s="38" t="n">
        <f aca="false">IF(AND(OR(T2140="Backlog",T2140="Pipeline",T2140="Overdue"),ISNUMBER(W2140)),IF(W2140&lt;=Settings!$B$6,Q2140,0),0)</f>
        <v>0</v>
      </c>
      <c r="Z2140" s="38" t="n">
        <f aca="false">IF(Y2140=0,0,IF(T2140="Backlog",Q2140,Q2140*Dashboard!$C$10))</f>
        <v>0</v>
      </c>
      <c r="AA2140" s="37" t="n">
        <f aca="false">IF($N2140="",0,IF(COUNTIF(Dashboard!$C$13:$C$22,$N2140)&gt;0,1,0))</f>
        <v>0</v>
      </c>
      <c r="AB2140" s="37" t="str">
        <f aca="false">IF($N2140="","",IF(COUNTIF($N$8:$N2140,$N2140)=1,MAX($AB$7:$AB2139)+1,""))</f>
        <v/>
      </c>
    </row>
    <row r="2141" customFormat="false" ht="15" hidden="false" customHeight="false" outlineLevel="0" collapsed="false">
      <c r="L2141" s="37" t="str">
        <f aca="false">IF(INDEX($A2141:$J2141,$L$6)&lt;&gt;"",TRIM(LEFT(INDEX($A2141:$J2141,$L$6),FIND("(",INDEX($A2141:$J2141,$L$6)&amp;"(")-1)),L2140)</f>
        <v>Building Value Proposition</v>
      </c>
      <c r="M2141" s="37" t="str">
        <f aca="false">IF(INDEX($A2141:$J2141,$M$6)="","",INDEX($A2141:$J2141,$M$6)&amp;"")</f>
        <v/>
      </c>
      <c r="N2141" s="37" t="str">
        <f aca="false">IF($M2141="","",TRIM(INDEX($A2141:$J2141,$N$6)&amp;""))</f>
        <v/>
      </c>
      <c r="O2141" s="37" t="str">
        <f aca="false">IF($M2141="","",TRIM(INDEX($A2141:$J2141,$O$6)&amp;""))</f>
        <v/>
      </c>
      <c r="P2141" s="37" t="str">
        <f aca="false">IF($M2141="","",IFERROR(IF(INDEX(Settings!$B$41:$B$50,MATCH(O2141,Settings!$A$41:$A$50,0))&amp;""="","UNMAPPED",INDEX(Settings!$B$41:$B$50,MATCH(O2141,Settings!$A$41:$A$50,0))&amp;""),"UNMAPPED"))</f>
        <v/>
      </c>
      <c r="Q2141" s="38" t="n">
        <f aca="false">IF($M2141="",0,N(INDEX($A2141:$J2141,$Q$6)))</f>
        <v>0</v>
      </c>
      <c r="R2141" s="39" t="str">
        <f aca="false">IF($M2141="","",INDEX($A2141:$J2141,$R$6))</f>
        <v/>
      </c>
      <c r="S2141" s="37" t="str">
        <f aca="false">IF($M2141="","",IFERROR(INDEX(Settings!$B$27:$B$36,MATCH(L2141,Settings!$A$27:$A$36,0))&amp;"","UNMAPPED"))</f>
        <v/>
      </c>
      <c r="T2141" s="37" t="str">
        <f aca="false">IF($M2141="","",IF(NOT(ISNUMBER(R2141)),"NO DATE",IF(S2141="Won",IF(R2141&gt;Settings!$B$5,"Backlog","Delivered"),IF(S2141="Open",IF(R2141&gt;Settings!$B$5,"Pipeline","Overdue"),IF(S2141="Lost","Lost","UNMAPPED")))))</f>
        <v/>
      </c>
      <c r="U2141" s="40" t="n">
        <f aca="false">IF(T2141="Backlog",1,IF(OR(T2141="Pipeline",T2141="Overdue"),N(INDEX(Settings!$C$27:$C$36,MATCH(L2141,Settings!$A$27:$A$36,0))),0))</f>
        <v>0</v>
      </c>
      <c r="V2141" s="38" t="n">
        <f aca="false">Q2141*U2141</f>
        <v>0</v>
      </c>
      <c r="W2141" s="41" t="str">
        <f aca="false">IF($M2141="","",IF(T2141="Overdue",IF(Settings!$B$8="Yes",Settings!$B$7,""),IF(ISNUMBER(R2141),DATE(YEAR(R2141),MONTH(R2141),1),"")))</f>
        <v/>
      </c>
      <c r="X2141" s="38" t="n">
        <f aca="false">IF(AND(OR(T2141="Backlog",T2141="Pipeline",T2141="Overdue"),ISNUMBER(W2141)),IF(W2141&lt;=Settings!$B$6,V2141,0),0)</f>
        <v>0</v>
      </c>
      <c r="Y2141" s="38" t="n">
        <f aca="false">IF(AND(OR(T2141="Backlog",T2141="Pipeline",T2141="Overdue"),ISNUMBER(W2141)),IF(W2141&lt;=Settings!$B$6,Q2141,0),0)</f>
        <v>0</v>
      </c>
      <c r="Z2141" s="38" t="n">
        <f aca="false">IF(Y2141=0,0,IF(T2141="Backlog",Q2141,Q2141*Dashboard!$C$10))</f>
        <v>0</v>
      </c>
      <c r="AA2141" s="37" t="n">
        <f aca="false">IF($N2141="",0,IF(COUNTIF(Dashboard!$C$13:$C$22,$N2141)&gt;0,1,0))</f>
        <v>0</v>
      </c>
      <c r="AB2141" s="37" t="str">
        <f aca="false">IF($N2141="","",IF(COUNTIF($N$8:$N2141,$N2141)=1,MAX($AB$7:$AB2140)+1,""))</f>
        <v/>
      </c>
    </row>
    <row r="2142" customFormat="false" ht="15" hidden="false" customHeight="false" outlineLevel="0" collapsed="false">
      <c r="L2142" s="37" t="str">
        <f aca="false">IF(INDEX($A2142:$J2142,$L$6)&lt;&gt;"",TRIM(LEFT(INDEX($A2142:$J2142,$L$6),FIND("(",INDEX($A2142:$J2142,$L$6)&amp;"(")-1)),L2141)</f>
        <v>Building Value Proposition</v>
      </c>
      <c r="M2142" s="37" t="str">
        <f aca="false">IF(INDEX($A2142:$J2142,$M$6)="","",INDEX($A2142:$J2142,$M$6)&amp;"")</f>
        <v/>
      </c>
      <c r="N2142" s="37" t="str">
        <f aca="false">IF($M2142="","",TRIM(INDEX($A2142:$J2142,$N$6)&amp;""))</f>
        <v/>
      </c>
      <c r="O2142" s="37" t="str">
        <f aca="false">IF($M2142="","",TRIM(INDEX($A2142:$J2142,$O$6)&amp;""))</f>
        <v/>
      </c>
      <c r="P2142" s="37" t="str">
        <f aca="false">IF($M2142="","",IFERROR(IF(INDEX(Settings!$B$41:$B$50,MATCH(O2142,Settings!$A$41:$A$50,0))&amp;""="","UNMAPPED",INDEX(Settings!$B$41:$B$50,MATCH(O2142,Settings!$A$41:$A$50,0))&amp;""),"UNMAPPED"))</f>
        <v/>
      </c>
      <c r="Q2142" s="38" t="n">
        <f aca="false">IF($M2142="",0,N(INDEX($A2142:$J2142,$Q$6)))</f>
        <v>0</v>
      </c>
      <c r="R2142" s="39" t="str">
        <f aca="false">IF($M2142="","",INDEX($A2142:$J2142,$R$6))</f>
        <v/>
      </c>
      <c r="S2142" s="37" t="str">
        <f aca="false">IF($M2142="","",IFERROR(INDEX(Settings!$B$27:$B$36,MATCH(L2142,Settings!$A$27:$A$36,0))&amp;"","UNMAPPED"))</f>
        <v/>
      </c>
      <c r="T2142" s="37" t="str">
        <f aca="false">IF($M2142="","",IF(NOT(ISNUMBER(R2142)),"NO DATE",IF(S2142="Won",IF(R2142&gt;Settings!$B$5,"Backlog","Delivered"),IF(S2142="Open",IF(R2142&gt;Settings!$B$5,"Pipeline","Overdue"),IF(S2142="Lost","Lost","UNMAPPED")))))</f>
        <v/>
      </c>
      <c r="U2142" s="40" t="n">
        <f aca="false">IF(T2142="Backlog",1,IF(OR(T2142="Pipeline",T2142="Overdue"),N(INDEX(Settings!$C$27:$C$36,MATCH(L2142,Settings!$A$27:$A$36,0))),0))</f>
        <v>0</v>
      </c>
      <c r="V2142" s="38" t="n">
        <f aca="false">Q2142*U2142</f>
        <v>0</v>
      </c>
      <c r="W2142" s="41" t="str">
        <f aca="false">IF($M2142="","",IF(T2142="Overdue",IF(Settings!$B$8="Yes",Settings!$B$7,""),IF(ISNUMBER(R2142),DATE(YEAR(R2142),MONTH(R2142),1),"")))</f>
        <v/>
      </c>
      <c r="X2142" s="38" t="n">
        <f aca="false">IF(AND(OR(T2142="Backlog",T2142="Pipeline",T2142="Overdue"),ISNUMBER(W2142)),IF(W2142&lt;=Settings!$B$6,V2142,0),0)</f>
        <v>0</v>
      </c>
      <c r="Y2142" s="38" t="n">
        <f aca="false">IF(AND(OR(T2142="Backlog",T2142="Pipeline",T2142="Overdue"),ISNUMBER(W2142)),IF(W2142&lt;=Settings!$B$6,Q2142,0),0)</f>
        <v>0</v>
      </c>
      <c r="Z2142" s="38" t="n">
        <f aca="false">IF(Y2142=0,0,IF(T2142="Backlog",Q2142,Q2142*Dashboard!$C$10))</f>
        <v>0</v>
      </c>
      <c r="AA2142" s="37" t="n">
        <f aca="false">IF($N2142="",0,IF(COUNTIF(Dashboard!$C$13:$C$22,$N2142)&gt;0,1,0))</f>
        <v>0</v>
      </c>
      <c r="AB2142" s="37" t="str">
        <f aca="false">IF($N2142="","",IF(COUNTIF($N$8:$N2142,$N2142)=1,MAX($AB$7:$AB2141)+1,""))</f>
        <v/>
      </c>
    </row>
    <row r="2143" customFormat="false" ht="15" hidden="false" customHeight="false" outlineLevel="0" collapsed="false">
      <c r="L2143" s="37" t="str">
        <f aca="false">IF(INDEX($A2143:$J2143,$L$6)&lt;&gt;"",TRIM(LEFT(INDEX($A2143:$J2143,$L$6),FIND("(",INDEX($A2143:$J2143,$L$6)&amp;"(")-1)),L2142)</f>
        <v>Building Value Proposition</v>
      </c>
      <c r="M2143" s="37" t="str">
        <f aca="false">IF(INDEX($A2143:$J2143,$M$6)="","",INDEX($A2143:$J2143,$M$6)&amp;"")</f>
        <v/>
      </c>
      <c r="N2143" s="37" t="str">
        <f aca="false">IF($M2143="","",TRIM(INDEX($A2143:$J2143,$N$6)&amp;""))</f>
        <v/>
      </c>
      <c r="O2143" s="37" t="str">
        <f aca="false">IF($M2143="","",TRIM(INDEX($A2143:$J2143,$O$6)&amp;""))</f>
        <v/>
      </c>
      <c r="P2143" s="37" t="str">
        <f aca="false">IF($M2143="","",IFERROR(IF(INDEX(Settings!$B$41:$B$50,MATCH(O2143,Settings!$A$41:$A$50,0))&amp;""="","UNMAPPED",INDEX(Settings!$B$41:$B$50,MATCH(O2143,Settings!$A$41:$A$50,0))&amp;""),"UNMAPPED"))</f>
        <v/>
      </c>
      <c r="Q2143" s="38" t="n">
        <f aca="false">IF($M2143="",0,N(INDEX($A2143:$J2143,$Q$6)))</f>
        <v>0</v>
      </c>
      <c r="R2143" s="39" t="str">
        <f aca="false">IF($M2143="","",INDEX($A2143:$J2143,$R$6))</f>
        <v/>
      </c>
      <c r="S2143" s="37" t="str">
        <f aca="false">IF($M2143="","",IFERROR(INDEX(Settings!$B$27:$B$36,MATCH(L2143,Settings!$A$27:$A$36,0))&amp;"","UNMAPPED"))</f>
        <v/>
      </c>
      <c r="T2143" s="37" t="str">
        <f aca="false">IF($M2143="","",IF(NOT(ISNUMBER(R2143)),"NO DATE",IF(S2143="Won",IF(R2143&gt;Settings!$B$5,"Backlog","Delivered"),IF(S2143="Open",IF(R2143&gt;Settings!$B$5,"Pipeline","Overdue"),IF(S2143="Lost","Lost","UNMAPPED")))))</f>
        <v/>
      </c>
      <c r="U2143" s="40" t="n">
        <f aca="false">IF(T2143="Backlog",1,IF(OR(T2143="Pipeline",T2143="Overdue"),N(INDEX(Settings!$C$27:$C$36,MATCH(L2143,Settings!$A$27:$A$36,0))),0))</f>
        <v>0</v>
      </c>
      <c r="V2143" s="38" t="n">
        <f aca="false">Q2143*U2143</f>
        <v>0</v>
      </c>
      <c r="W2143" s="41" t="str">
        <f aca="false">IF($M2143="","",IF(T2143="Overdue",IF(Settings!$B$8="Yes",Settings!$B$7,""),IF(ISNUMBER(R2143),DATE(YEAR(R2143),MONTH(R2143),1),"")))</f>
        <v/>
      </c>
      <c r="X2143" s="38" t="n">
        <f aca="false">IF(AND(OR(T2143="Backlog",T2143="Pipeline",T2143="Overdue"),ISNUMBER(W2143)),IF(W2143&lt;=Settings!$B$6,V2143,0),0)</f>
        <v>0</v>
      </c>
      <c r="Y2143" s="38" t="n">
        <f aca="false">IF(AND(OR(T2143="Backlog",T2143="Pipeline",T2143="Overdue"),ISNUMBER(W2143)),IF(W2143&lt;=Settings!$B$6,Q2143,0),0)</f>
        <v>0</v>
      </c>
      <c r="Z2143" s="38" t="n">
        <f aca="false">IF(Y2143=0,0,IF(T2143="Backlog",Q2143,Q2143*Dashboard!$C$10))</f>
        <v>0</v>
      </c>
      <c r="AA2143" s="37" t="n">
        <f aca="false">IF($N2143="",0,IF(COUNTIF(Dashboard!$C$13:$C$22,$N2143)&gt;0,1,0))</f>
        <v>0</v>
      </c>
      <c r="AB2143" s="37" t="str">
        <f aca="false">IF($N2143="","",IF(COUNTIF($N$8:$N2143,$N2143)=1,MAX($AB$7:$AB2142)+1,""))</f>
        <v/>
      </c>
    </row>
    <row r="2144" customFormat="false" ht="15" hidden="false" customHeight="false" outlineLevel="0" collapsed="false">
      <c r="L2144" s="37" t="str">
        <f aca="false">IF(INDEX($A2144:$J2144,$L$6)&lt;&gt;"",TRIM(LEFT(INDEX($A2144:$J2144,$L$6),FIND("(",INDEX($A2144:$J2144,$L$6)&amp;"(")-1)),L2143)</f>
        <v>Building Value Proposition</v>
      </c>
      <c r="M2144" s="37" t="str">
        <f aca="false">IF(INDEX($A2144:$J2144,$M$6)="","",INDEX($A2144:$J2144,$M$6)&amp;"")</f>
        <v/>
      </c>
      <c r="N2144" s="37" t="str">
        <f aca="false">IF($M2144="","",TRIM(INDEX($A2144:$J2144,$N$6)&amp;""))</f>
        <v/>
      </c>
      <c r="O2144" s="37" t="str">
        <f aca="false">IF($M2144="","",TRIM(INDEX($A2144:$J2144,$O$6)&amp;""))</f>
        <v/>
      </c>
      <c r="P2144" s="37" t="str">
        <f aca="false">IF($M2144="","",IFERROR(IF(INDEX(Settings!$B$41:$B$50,MATCH(O2144,Settings!$A$41:$A$50,0))&amp;""="","UNMAPPED",INDEX(Settings!$B$41:$B$50,MATCH(O2144,Settings!$A$41:$A$50,0))&amp;""),"UNMAPPED"))</f>
        <v/>
      </c>
      <c r="Q2144" s="38" t="n">
        <f aca="false">IF($M2144="",0,N(INDEX($A2144:$J2144,$Q$6)))</f>
        <v>0</v>
      </c>
      <c r="R2144" s="39" t="str">
        <f aca="false">IF($M2144="","",INDEX($A2144:$J2144,$R$6))</f>
        <v/>
      </c>
      <c r="S2144" s="37" t="str">
        <f aca="false">IF($M2144="","",IFERROR(INDEX(Settings!$B$27:$B$36,MATCH(L2144,Settings!$A$27:$A$36,0))&amp;"","UNMAPPED"))</f>
        <v/>
      </c>
      <c r="T2144" s="37" t="str">
        <f aca="false">IF($M2144="","",IF(NOT(ISNUMBER(R2144)),"NO DATE",IF(S2144="Won",IF(R2144&gt;Settings!$B$5,"Backlog","Delivered"),IF(S2144="Open",IF(R2144&gt;Settings!$B$5,"Pipeline","Overdue"),IF(S2144="Lost","Lost","UNMAPPED")))))</f>
        <v/>
      </c>
      <c r="U2144" s="40" t="n">
        <f aca="false">IF(T2144="Backlog",1,IF(OR(T2144="Pipeline",T2144="Overdue"),N(INDEX(Settings!$C$27:$C$36,MATCH(L2144,Settings!$A$27:$A$36,0))),0))</f>
        <v>0</v>
      </c>
      <c r="V2144" s="38" t="n">
        <f aca="false">Q2144*U2144</f>
        <v>0</v>
      </c>
      <c r="W2144" s="41" t="str">
        <f aca="false">IF($M2144="","",IF(T2144="Overdue",IF(Settings!$B$8="Yes",Settings!$B$7,""),IF(ISNUMBER(R2144),DATE(YEAR(R2144),MONTH(R2144),1),"")))</f>
        <v/>
      </c>
      <c r="X2144" s="38" t="n">
        <f aca="false">IF(AND(OR(T2144="Backlog",T2144="Pipeline",T2144="Overdue"),ISNUMBER(W2144)),IF(W2144&lt;=Settings!$B$6,V2144,0),0)</f>
        <v>0</v>
      </c>
      <c r="Y2144" s="38" t="n">
        <f aca="false">IF(AND(OR(T2144="Backlog",T2144="Pipeline",T2144="Overdue"),ISNUMBER(W2144)),IF(W2144&lt;=Settings!$B$6,Q2144,0),0)</f>
        <v>0</v>
      </c>
      <c r="Z2144" s="38" t="n">
        <f aca="false">IF(Y2144=0,0,IF(T2144="Backlog",Q2144,Q2144*Dashboard!$C$10))</f>
        <v>0</v>
      </c>
      <c r="AA2144" s="37" t="n">
        <f aca="false">IF($N2144="",0,IF(COUNTIF(Dashboard!$C$13:$C$22,$N2144)&gt;0,1,0))</f>
        <v>0</v>
      </c>
      <c r="AB2144" s="37" t="str">
        <f aca="false">IF($N2144="","",IF(COUNTIF($N$8:$N2144,$N2144)=1,MAX($AB$7:$AB2143)+1,""))</f>
        <v/>
      </c>
    </row>
    <row r="2145" customFormat="false" ht="15" hidden="false" customHeight="false" outlineLevel="0" collapsed="false">
      <c r="L2145" s="37" t="str">
        <f aca="false">IF(INDEX($A2145:$J2145,$L$6)&lt;&gt;"",TRIM(LEFT(INDEX($A2145:$J2145,$L$6),FIND("(",INDEX($A2145:$J2145,$L$6)&amp;"(")-1)),L2144)</f>
        <v>Building Value Proposition</v>
      </c>
      <c r="M2145" s="37" t="str">
        <f aca="false">IF(INDEX($A2145:$J2145,$M$6)="","",INDEX($A2145:$J2145,$M$6)&amp;"")</f>
        <v/>
      </c>
      <c r="N2145" s="37" t="str">
        <f aca="false">IF($M2145="","",TRIM(INDEX($A2145:$J2145,$N$6)&amp;""))</f>
        <v/>
      </c>
      <c r="O2145" s="37" t="str">
        <f aca="false">IF($M2145="","",TRIM(INDEX($A2145:$J2145,$O$6)&amp;""))</f>
        <v/>
      </c>
      <c r="P2145" s="37" t="str">
        <f aca="false">IF($M2145="","",IFERROR(IF(INDEX(Settings!$B$41:$B$50,MATCH(O2145,Settings!$A$41:$A$50,0))&amp;""="","UNMAPPED",INDEX(Settings!$B$41:$B$50,MATCH(O2145,Settings!$A$41:$A$50,0))&amp;""),"UNMAPPED"))</f>
        <v/>
      </c>
      <c r="Q2145" s="38" t="n">
        <f aca="false">IF($M2145="",0,N(INDEX($A2145:$J2145,$Q$6)))</f>
        <v>0</v>
      </c>
      <c r="R2145" s="39" t="str">
        <f aca="false">IF($M2145="","",INDEX($A2145:$J2145,$R$6))</f>
        <v/>
      </c>
      <c r="S2145" s="37" t="str">
        <f aca="false">IF($M2145="","",IFERROR(INDEX(Settings!$B$27:$B$36,MATCH(L2145,Settings!$A$27:$A$36,0))&amp;"","UNMAPPED"))</f>
        <v/>
      </c>
      <c r="T2145" s="37" t="str">
        <f aca="false">IF($M2145="","",IF(NOT(ISNUMBER(R2145)),"NO DATE",IF(S2145="Won",IF(R2145&gt;Settings!$B$5,"Backlog","Delivered"),IF(S2145="Open",IF(R2145&gt;Settings!$B$5,"Pipeline","Overdue"),IF(S2145="Lost","Lost","UNMAPPED")))))</f>
        <v/>
      </c>
      <c r="U2145" s="40" t="n">
        <f aca="false">IF(T2145="Backlog",1,IF(OR(T2145="Pipeline",T2145="Overdue"),N(INDEX(Settings!$C$27:$C$36,MATCH(L2145,Settings!$A$27:$A$36,0))),0))</f>
        <v>0</v>
      </c>
      <c r="V2145" s="38" t="n">
        <f aca="false">Q2145*U2145</f>
        <v>0</v>
      </c>
      <c r="W2145" s="41" t="str">
        <f aca="false">IF($M2145="","",IF(T2145="Overdue",IF(Settings!$B$8="Yes",Settings!$B$7,""),IF(ISNUMBER(R2145),DATE(YEAR(R2145),MONTH(R2145),1),"")))</f>
        <v/>
      </c>
      <c r="X2145" s="38" t="n">
        <f aca="false">IF(AND(OR(T2145="Backlog",T2145="Pipeline",T2145="Overdue"),ISNUMBER(W2145)),IF(W2145&lt;=Settings!$B$6,V2145,0),0)</f>
        <v>0</v>
      </c>
      <c r="Y2145" s="38" t="n">
        <f aca="false">IF(AND(OR(T2145="Backlog",T2145="Pipeline",T2145="Overdue"),ISNUMBER(W2145)),IF(W2145&lt;=Settings!$B$6,Q2145,0),0)</f>
        <v>0</v>
      </c>
      <c r="Z2145" s="38" t="n">
        <f aca="false">IF(Y2145=0,0,IF(T2145="Backlog",Q2145,Q2145*Dashboard!$C$10))</f>
        <v>0</v>
      </c>
      <c r="AA2145" s="37" t="n">
        <f aca="false">IF($N2145="",0,IF(COUNTIF(Dashboard!$C$13:$C$22,$N2145)&gt;0,1,0))</f>
        <v>0</v>
      </c>
      <c r="AB2145" s="37" t="str">
        <f aca="false">IF($N2145="","",IF(COUNTIF($N$8:$N2145,$N2145)=1,MAX($AB$7:$AB2144)+1,""))</f>
        <v/>
      </c>
    </row>
    <row r="2146" customFormat="false" ht="15" hidden="false" customHeight="false" outlineLevel="0" collapsed="false">
      <c r="L2146" s="37" t="str">
        <f aca="false">IF(INDEX($A2146:$J2146,$L$6)&lt;&gt;"",TRIM(LEFT(INDEX($A2146:$J2146,$L$6),FIND("(",INDEX($A2146:$J2146,$L$6)&amp;"(")-1)),L2145)</f>
        <v>Building Value Proposition</v>
      </c>
      <c r="M2146" s="37" t="str">
        <f aca="false">IF(INDEX($A2146:$J2146,$M$6)="","",INDEX($A2146:$J2146,$M$6)&amp;"")</f>
        <v/>
      </c>
      <c r="N2146" s="37" t="str">
        <f aca="false">IF($M2146="","",TRIM(INDEX($A2146:$J2146,$N$6)&amp;""))</f>
        <v/>
      </c>
      <c r="O2146" s="37" t="str">
        <f aca="false">IF($M2146="","",TRIM(INDEX($A2146:$J2146,$O$6)&amp;""))</f>
        <v/>
      </c>
      <c r="P2146" s="37" t="str">
        <f aca="false">IF($M2146="","",IFERROR(IF(INDEX(Settings!$B$41:$B$50,MATCH(O2146,Settings!$A$41:$A$50,0))&amp;""="","UNMAPPED",INDEX(Settings!$B$41:$B$50,MATCH(O2146,Settings!$A$41:$A$50,0))&amp;""),"UNMAPPED"))</f>
        <v/>
      </c>
      <c r="Q2146" s="38" t="n">
        <f aca="false">IF($M2146="",0,N(INDEX($A2146:$J2146,$Q$6)))</f>
        <v>0</v>
      </c>
      <c r="R2146" s="39" t="str">
        <f aca="false">IF($M2146="","",INDEX($A2146:$J2146,$R$6))</f>
        <v/>
      </c>
      <c r="S2146" s="37" t="str">
        <f aca="false">IF($M2146="","",IFERROR(INDEX(Settings!$B$27:$B$36,MATCH(L2146,Settings!$A$27:$A$36,0))&amp;"","UNMAPPED"))</f>
        <v/>
      </c>
      <c r="T2146" s="37" t="str">
        <f aca="false">IF($M2146="","",IF(NOT(ISNUMBER(R2146)),"NO DATE",IF(S2146="Won",IF(R2146&gt;Settings!$B$5,"Backlog","Delivered"),IF(S2146="Open",IF(R2146&gt;Settings!$B$5,"Pipeline","Overdue"),IF(S2146="Lost","Lost","UNMAPPED")))))</f>
        <v/>
      </c>
      <c r="U2146" s="40" t="n">
        <f aca="false">IF(T2146="Backlog",1,IF(OR(T2146="Pipeline",T2146="Overdue"),N(INDEX(Settings!$C$27:$C$36,MATCH(L2146,Settings!$A$27:$A$36,0))),0))</f>
        <v>0</v>
      </c>
      <c r="V2146" s="38" t="n">
        <f aca="false">Q2146*U2146</f>
        <v>0</v>
      </c>
      <c r="W2146" s="41" t="str">
        <f aca="false">IF($M2146="","",IF(T2146="Overdue",IF(Settings!$B$8="Yes",Settings!$B$7,""),IF(ISNUMBER(R2146),DATE(YEAR(R2146),MONTH(R2146),1),"")))</f>
        <v/>
      </c>
      <c r="X2146" s="38" t="n">
        <f aca="false">IF(AND(OR(T2146="Backlog",T2146="Pipeline",T2146="Overdue"),ISNUMBER(W2146)),IF(W2146&lt;=Settings!$B$6,V2146,0),0)</f>
        <v>0</v>
      </c>
      <c r="Y2146" s="38" t="n">
        <f aca="false">IF(AND(OR(T2146="Backlog",T2146="Pipeline",T2146="Overdue"),ISNUMBER(W2146)),IF(W2146&lt;=Settings!$B$6,Q2146,0),0)</f>
        <v>0</v>
      </c>
      <c r="Z2146" s="38" t="n">
        <f aca="false">IF(Y2146=0,0,IF(T2146="Backlog",Q2146,Q2146*Dashboard!$C$10))</f>
        <v>0</v>
      </c>
      <c r="AA2146" s="37" t="n">
        <f aca="false">IF($N2146="",0,IF(COUNTIF(Dashboard!$C$13:$C$22,$N2146)&gt;0,1,0))</f>
        <v>0</v>
      </c>
      <c r="AB2146" s="37" t="str">
        <f aca="false">IF($N2146="","",IF(COUNTIF($N$8:$N2146,$N2146)=1,MAX($AB$7:$AB2145)+1,""))</f>
        <v/>
      </c>
    </row>
    <row r="2147" customFormat="false" ht="15" hidden="false" customHeight="false" outlineLevel="0" collapsed="false">
      <c r="L2147" s="37" t="str">
        <f aca="false">IF(INDEX($A2147:$J2147,$L$6)&lt;&gt;"",TRIM(LEFT(INDEX($A2147:$J2147,$L$6),FIND("(",INDEX($A2147:$J2147,$L$6)&amp;"(")-1)),L2146)</f>
        <v>Building Value Proposition</v>
      </c>
      <c r="M2147" s="37" t="str">
        <f aca="false">IF(INDEX($A2147:$J2147,$M$6)="","",INDEX($A2147:$J2147,$M$6)&amp;"")</f>
        <v/>
      </c>
      <c r="N2147" s="37" t="str">
        <f aca="false">IF($M2147="","",TRIM(INDEX($A2147:$J2147,$N$6)&amp;""))</f>
        <v/>
      </c>
      <c r="O2147" s="37" t="str">
        <f aca="false">IF($M2147="","",TRIM(INDEX($A2147:$J2147,$O$6)&amp;""))</f>
        <v/>
      </c>
      <c r="P2147" s="37" t="str">
        <f aca="false">IF($M2147="","",IFERROR(IF(INDEX(Settings!$B$41:$B$50,MATCH(O2147,Settings!$A$41:$A$50,0))&amp;""="","UNMAPPED",INDEX(Settings!$B$41:$B$50,MATCH(O2147,Settings!$A$41:$A$50,0))&amp;""),"UNMAPPED"))</f>
        <v/>
      </c>
      <c r="Q2147" s="38" t="n">
        <f aca="false">IF($M2147="",0,N(INDEX($A2147:$J2147,$Q$6)))</f>
        <v>0</v>
      </c>
      <c r="R2147" s="39" t="str">
        <f aca="false">IF($M2147="","",INDEX($A2147:$J2147,$R$6))</f>
        <v/>
      </c>
      <c r="S2147" s="37" t="str">
        <f aca="false">IF($M2147="","",IFERROR(INDEX(Settings!$B$27:$B$36,MATCH(L2147,Settings!$A$27:$A$36,0))&amp;"","UNMAPPED"))</f>
        <v/>
      </c>
      <c r="T2147" s="37" t="str">
        <f aca="false">IF($M2147="","",IF(NOT(ISNUMBER(R2147)),"NO DATE",IF(S2147="Won",IF(R2147&gt;Settings!$B$5,"Backlog","Delivered"),IF(S2147="Open",IF(R2147&gt;Settings!$B$5,"Pipeline","Overdue"),IF(S2147="Lost","Lost","UNMAPPED")))))</f>
        <v/>
      </c>
      <c r="U2147" s="40" t="n">
        <f aca="false">IF(T2147="Backlog",1,IF(OR(T2147="Pipeline",T2147="Overdue"),N(INDEX(Settings!$C$27:$C$36,MATCH(L2147,Settings!$A$27:$A$36,0))),0))</f>
        <v>0</v>
      </c>
      <c r="V2147" s="38" t="n">
        <f aca="false">Q2147*U2147</f>
        <v>0</v>
      </c>
      <c r="W2147" s="41" t="str">
        <f aca="false">IF($M2147="","",IF(T2147="Overdue",IF(Settings!$B$8="Yes",Settings!$B$7,""),IF(ISNUMBER(R2147),DATE(YEAR(R2147),MONTH(R2147),1),"")))</f>
        <v/>
      </c>
      <c r="X2147" s="38" t="n">
        <f aca="false">IF(AND(OR(T2147="Backlog",T2147="Pipeline",T2147="Overdue"),ISNUMBER(W2147)),IF(W2147&lt;=Settings!$B$6,V2147,0),0)</f>
        <v>0</v>
      </c>
      <c r="Y2147" s="38" t="n">
        <f aca="false">IF(AND(OR(T2147="Backlog",T2147="Pipeline",T2147="Overdue"),ISNUMBER(W2147)),IF(W2147&lt;=Settings!$B$6,Q2147,0),0)</f>
        <v>0</v>
      </c>
      <c r="Z2147" s="38" t="n">
        <f aca="false">IF(Y2147=0,0,IF(T2147="Backlog",Q2147,Q2147*Dashboard!$C$10))</f>
        <v>0</v>
      </c>
      <c r="AA2147" s="37" t="n">
        <f aca="false">IF($N2147="",0,IF(COUNTIF(Dashboard!$C$13:$C$22,$N2147)&gt;0,1,0))</f>
        <v>0</v>
      </c>
      <c r="AB2147" s="37" t="str">
        <f aca="false">IF($N2147="","",IF(COUNTIF($N$8:$N2147,$N2147)=1,MAX($AB$7:$AB2146)+1,""))</f>
        <v/>
      </c>
    </row>
    <row r="2148" customFormat="false" ht="15" hidden="false" customHeight="false" outlineLevel="0" collapsed="false">
      <c r="L2148" s="37" t="str">
        <f aca="false">IF(INDEX($A2148:$J2148,$L$6)&lt;&gt;"",TRIM(LEFT(INDEX($A2148:$J2148,$L$6),FIND("(",INDEX($A2148:$J2148,$L$6)&amp;"(")-1)),L2147)</f>
        <v>Building Value Proposition</v>
      </c>
      <c r="M2148" s="37" t="str">
        <f aca="false">IF(INDEX($A2148:$J2148,$M$6)="","",INDEX($A2148:$J2148,$M$6)&amp;"")</f>
        <v/>
      </c>
      <c r="N2148" s="37" t="str">
        <f aca="false">IF($M2148="","",TRIM(INDEX($A2148:$J2148,$N$6)&amp;""))</f>
        <v/>
      </c>
      <c r="O2148" s="37" t="str">
        <f aca="false">IF($M2148="","",TRIM(INDEX($A2148:$J2148,$O$6)&amp;""))</f>
        <v/>
      </c>
      <c r="P2148" s="37" t="str">
        <f aca="false">IF($M2148="","",IFERROR(IF(INDEX(Settings!$B$41:$B$50,MATCH(O2148,Settings!$A$41:$A$50,0))&amp;""="","UNMAPPED",INDEX(Settings!$B$41:$B$50,MATCH(O2148,Settings!$A$41:$A$50,0))&amp;""),"UNMAPPED"))</f>
        <v/>
      </c>
      <c r="Q2148" s="38" t="n">
        <f aca="false">IF($M2148="",0,N(INDEX($A2148:$J2148,$Q$6)))</f>
        <v>0</v>
      </c>
      <c r="R2148" s="39" t="str">
        <f aca="false">IF($M2148="","",INDEX($A2148:$J2148,$R$6))</f>
        <v/>
      </c>
      <c r="S2148" s="37" t="str">
        <f aca="false">IF($M2148="","",IFERROR(INDEX(Settings!$B$27:$B$36,MATCH(L2148,Settings!$A$27:$A$36,0))&amp;"","UNMAPPED"))</f>
        <v/>
      </c>
      <c r="T2148" s="37" t="str">
        <f aca="false">IF($M2148="","",IF(NOT(ISNUMBER(R2148)),"NO DATE",IF(S2148="Won",IF(R2148&gt;Settings!$B$5,"Backlog","Delivered"),IF(S2148="Open",IF(R2148&gt;Settings!$B$5,"Pipeline","Overdue"),IF(S2148="Lost","Lost","UNMAPPED")))))</f>
        <v/>
      </c>
      <c r="U2148" s="40" t="n">
        <f aca="false">IF(T2148="Backlog",1,IF(OR(T2148="Pipeline",T2148="Overdue"),N(INDEX(Settings!$C$27:$C$36,MATCH(L2148,Settings!$A$27:$A$36,0))),0))</f>
        <v>0</v>
      </c>
      <c r="V2148" s="38" t="n">
        <f aca="false">Q2148*U2148</f>
        <v>0</v>
      </c>
      <c r="W2148" s="41" t="str">
        <f aca="false">IF($M2148="","",IF(T2148="Overdue",IF(Settings!$B$8="Yes",Settings!$B$7,""),IF(ISNUMBER(R2148),DATE(YEAR(R2148),MONTH(R2148),1),"")))</f>
        <v/>
      </c>
      <c r="X2148" s="38" t="n">
        <f aca="false">IF(AND(OR(T2148="Backlog",T2148="Pipeline",T2148="Overdue"),ISNUMBER(W2148)),IF(W2148&lt;=Settings!$B$6,V2148,0),0)</f>
        <v>0</v>
      </c>
      <c r="Y2148" s="38" t="n">
        <f aca="false">IF(AND(OR(T2148="Backlog",T2148="Pipeline",T2148="Overdue"),ISNUMBER(W2148)),IF(W2148&lt;=Settings!$B$6,Q2148,0),0)</f>
        <v>0</v>
      </c>
      <c r="Z2148" s="38" t="n">
        <f aca="false">IF(Y2148=0,0,IF(T2148="Backlog",Q2148,Q2148*Dashboard!$C$10))</f>
        <v>0</v>
      </c>
      <c r="AA2148" s="37" t="n">
        <f aca="false">IF($N2148="",0,IF(COUNTIF(Dashboard!$C$13:$C$22,$N2148)&gt;0,1,0))</f>
        <v>0</v>
      </c>
      <c r="AB2148" s="37" t="str">
        <f aca="false">IF($N2148="","",IF(COUNTIF($N$8:$N2148,$N2148)=1,MAX($AB$7:$AB2147)+1,""))</f>
        <v/>
      </c>
    </row>
    <row r="2149" customFormat="false" ht="15" hidden="false" customHeight="false" outlineLevel="0" collapsed="false">
      <c r="L2149" s="37" t="str">
        <f aca="false">IF(INDEX($A2149:$J2149,$L$6)&lt;&gt;"",TRIM(LEFT(INDEX($A2149:$J2149,$L$6),FIND("(",INDEX($A2149:$J2149,$L$6)&amp;"(")-1)),L2148)</f>
        <v>Building Value Proposition</v>
      </c>
      <c r="M2149" s="37" t="str">
        <f aca="false">IF(INDEX($A2149:$J2149,$M$6)="","",INDEX($A2149:$J2149,$M$6)&amp;"")</f>
        <v/>
      </c>
      <c r="N2149" s="37" t="str">
        <f aca="false">IF($M2149="","",TRIM(INDEX($A2149:$J2149,$N$6)&amp;""))</f>
        <v/>
      </c>
      <c r="O2149" s="37" t="str">
        <f aca="false">IF($M2149="","",TRIM(INDEX($A2149:$J2149,$O$6)&amp;""))</f>
        <v/>
      </c>
      <c r="P2149" s="37" t="str">
        <f aca="false">IF($M2149="","",IFERROR(IF(INDEX(Settings!$B$41:$B$50,MATCH(O2149,Settings!$A$41:$A$50,0))&amp;""="","UNMAPPED",INDEX(Settings!$B$41:$B$50,MATCH(O2149,Settings!$A$41:$A$50,0))&amp;""),"UNMAPPED"))</f>
        <v/>
      </c>
      <c r="Q2149" s="38" t="n">
        <f aca="false">IF($M2149="",0,N(INDEX($A2149:$J2149,$Q$6)))</f>
        <v>0</v>
      </c>
      <c r="R2149" s="39" t="str">
        <f aca="false">IF($M2149="","",INDEX($A2149:$J2149,$R$6))</f>
        <v/>
      </c>
      <c r="S2149" s="37" t="str">
        <f aca="false">IF($M2149="","",IFERROR(INDEX(Settings!$B$27:$B$36,MATCH(L2149,Settings!$A$27:$A$36,0))&amp;"","UNMAPPED"))</f>
        <v/>
      </c>
      <c r="T2149" s="37" t="str">
        <f aca="false">IF($M2149="","",IF(NOT(ISNUMBER(R2149)),"NO DATE",IF(S2149="Won",IF(R2149&gt;Settings!$B$5,"Backlog","Delivered"),IF(S2149="Open",IF(R2149&gt;Settings!$B$5,"Pipeline","Overdue"),IF(S2149="Lost","Lost","UNMAPPED")))))</f>
        <v/>
      </c>
      <c r="U2149" s="40" t="n">
        <f aca="false">IF(T2149="Backlog",1,IF(OR(T2149="Pipeline",T2149="Overdue"),N(INDEX(Settings!$C$27:$C$36,MATCH(L2149,Settings!$A$27:$A$36,0))),0))</f>
        <v>0</v>
      </c>
      <c r="V2149" s="38" t="n">
        <f aca="false">Q2149*U2149</f>
        <v>0</v>
      </c>
      <c r="W2149" s="41" t="str">
        <f aca="false">IF($M2149="","",IF(T2149="Overdue",IF(Settings!$B$8="Yes",Settings!$B$7,""),IF(ISNUMBER(R2149),DATE(YEAR(R2149),MONTH(R2149),1),"")))</f>
        <v/>
      </c>
      <c r="X2149" s="38" t="n">
        <f aca="false">IF(AND(OR(T2149="Backlog",T2149="Pipeline",T2149="Overdue"),ISNUMBER(W2149)),IF(W2149&lt;=Settings!$B$6,V2149,0),0)</f>
        <v>0</v>
      </c>
      <c r="Y2149" s="38" t="n">
        <f aca="false">IF(AND(OR(T2149="Backlog",T2149="Pipeline",T2149="Overdue"),ISNUMBER(W2149)),IF(W2149&lt;=Settings!$B$6,Q2149,0),0)</f>
        <v>0</v>
      </c>
      <c r="Z2149" s="38" t="n">
        <f aca="false">IF(Y2149=0,0,IF(T2149="Backlog",Q2149,Q2149*Dashboard!$C$10))</f>
        <v>0</v>
      </c>
      <c r="AA2149" s="37" t="n">
        <f aca="false">IF($N2149="",0,IF(COUNTIF(Dashboard!$C$13:$C$22,$N2149)&gt;0,1,0))</f>
        <v>0</v>
      </c>
      <c r="AB2149" s="37" t="str">
        <f aca="false">IF($N2149="","",IF(COUNTIF($N$8:$N2149,$N2149)=1,MAX($AB$7:$AB2148)+1,""))</f>
        <v/>
      </c>
    </row>
    <row r="2150" customFormat="false" ht="15" hidden="false" customHeight="false" outlineLevel="0" collapsed="false">
      <c r="L2150" s="37" t="str">
        <f aca="false">IF(INDEX($A2150:$J2150,$L$6)&lt;&gt;"",TRIM(LEFT(INDEX($A2150:$J2150,$L$6),FIND("(",INDEX($A2150:$J2150,$L$6)&amp;"(")-1)),L2149)</f>
        <v>Building Value Proposition</v>
      </c>
      <c r="M2150" s="37" t="str">
        <f aca="false">IF(INDEX($A2150:$J2150,$M$6)="","",INDEX($A2150:$J2150,$M$6)&amp;"")</f>
        <v/>
      </c>
      <c r="N2150" s="37" t="str">
        <f aca="false">IF($M2150="","",TRIM(INDEX($A2150:$J2150,$N$6)&amp;""))</f>
        <v/>
      </c>
      <c r="O2150" s="37" t="str">
        <f aca="false">IF($M2150="","",TRIM(INDEX($A2150:$J2150,$O$6)&amp;""))</f>
        <v/>
      </c>
      <c r="P2150" s="37" t="str">
        <f aca="false">IF($M2150="","",IFERROR(IF(INDEX(Settings!$B$41:$B$50,MATCH(O2150,Settings!$A$41:$A$50,0))&amp;""="","UNMAPPED",INDEX(Settings!$B$41:$B$50,MATCH(O2150,Settings!$A$41:$A$50,0))&amp;""),"UNMAPPED"))</f>
        <v/>
      </c>
      <c r="Q2150" s="38" t="n">
        <f aca="false">IF($M2150="",0,N(INDEX($A2150:$J2150,$Q$6)))</f>
        <v>0</v>
      </c>
      <c r="R2150" s="39" t="str">
        <f aca="false">IF($M2150="","",INDEX($A2150:$J2150,$R$6))</f>
        <v/>
      </c>
      <c r="S2150" s="37" t="str">
        <f aca="false">IF($M2150="","",IFERROR(INDEX(Settings!$B$27:$B$36,MATCH(L2150,Settings!$A$27:$A$36,0))&amp;"","UNMAPPED"))</f>
        <v/>
      </c>
      <c r="T2150" s="37" t="str">
        <f aca="false">IF($M2150="","",IF(NOT(ISNUMBER(R2150)),"NO DATE",IF(S2150="Won",IF(R2150&gt;Settings!$B$5,"Backlog","Delivered"),IF(S2150="Open",IF(R2150&gt;Settings!$B$5,"Pipeline","Overdue"),IF(S2150="Lost","Lost","UNMAPPED")))))</f>
        <v/>
      </c>
      <c r="U2150" s="40" t="n">
        <f aca="false">IF(T2150="Backlog",1,IF(OR(T2150="Pipeline",T2150="Overdue"),N(INDEX(Settings!$C$27:$C$36,MATCH(L2150,Settings!$A$27:$A$36,0))),0))</f>
        <v>0</v>
      </c>
      <c r="V2150" s="38" t="n">
        <f aca="false">Q2150*U2150</f>
        <v>0</v>
      </c>
      <c r="W2150" s="41" t="str">
        <f aca="false">IF($M2150="","",IF(T2150="Overdue",IF(Settings!$B$8="Yes",Settings!$B$7,""),IF(ISNUMBER(R2150),DATE(YEAR(R2150),MONTH(R2150),1),"")))</f>
        <v/>
      </c>
      <c r="X2150" s="38" t="n">
        <f aca="false">IF(AND(OR(T2150="Backlog",T2150="Pipeline",T2150="Overdue"),ISNUMBER(W2150)),IF(W2150&lt;=Settings!$B$6,V2150,0),0)</f>
        <v>0</v>
      </c>
      <c r="Y2150" s="38" t="n">
        <f aca="false">IF(AND(OR(T2150="Backlog",T2150="Pipeline",T2150="Overdue"),ISNUMBER(W2150)),IF(W2150&lt;=Settings!$B$6,Q2150,0),0)</f>
        <v>0</v>
      </c>
      <c r="Z2150" s="38" t="n">
        <f aca="false">IF(Y2150=0,0,IF(T2150="Backlog",Q2150,Q2150*Dashboard!$C$10))</f>
        <v>0</v>
      </c>
      <c r="AA2150" s="37" t="n">
        <f aca="false">IF($N2150="",0,IF(COUNTIF(Dashboard!$C$13:$C$22,$N2150)&gt;0,1,0))</f>
        <v>0</v>
      </c>
      <c r="AB2150" s="37" t="str">
        <f aca="false">IF($N2150="","",IF(COUNTIF($N$8:$N2150,$N2150)=1,MAX($AB$7:$AB2149)+1,""))</f>
        <v/>
      </c>
    </row>
    <row r="2151" customFormat="false" ht="15" hidden="false" customHeight="false" outlineLevel="0" collapsed="false">
      <c r="L2151" s="37" t="str">
        <f aca="false">IF(INDEX($A2151:$J2151,$L$6)&lt;&gt;"",TRIM(LEFT(INDEX($A2151:$J2151,$L$6),FIND("(",INDEX($A2151:$J2151,$L$6)&amp;"(")-1)),L2150)</f>
        <v>Building Value Proposition</v>
      </c>
      <c r="M2151" s="37" t="str">
        <f aca="false">IF(INDEX($A2151:$J2151,$M$6)="","",INDEX($A2151:$J2151,$M$6)&amp;"")</f>
        <v/>
      </c>
      <c r="N2151" s="37" t="str">
        <f aca="false">IF($M2151="","",TRIM(INDEX($A2151:$J2151,$N$6)&amp;""))</f>
        <v/>
      </c>
      <c r="O2151" s="37" t="str">
        <f aca="false">IF($M2151="","",TRIM(INDEX($A2151:$J2151,$O$6)&amp;""))</f>
        <v/>
      </c>
      <c r="P2151" s="37" t="str">
        <f aca="false">IF($M2151="","",IFERROR(IF(INDEX(Settings!$B$41:$B$50,MATCH(O2151,Settings!$A$41:$A$50,0))&amp;""="","UNMAPPED",INDEX(Settings!$B$41:$B$50,MATCH(O2151,Settings!$A$41:$A$50,0))&amp;""),"UNMAPPED"))</f>
        <v/>
      </c>
      <c r="Q2151" s="38" t="n">
        <f aca="false">IF($M2151="",0,N(INDEX($A2151:$J2151,$Q$6)))</f>
        <v>0</v>
      </c>
      <c r="R2151" s="39" t="str">
        <f aca="false">IF($M2151="","",INDEX($A2151:$J2151,$R$6))</f>
        <v/>
      </c>
      <c r="S2151" s="37" t="str">
        <f aca="false">IF($M2151="","",IFERROR(INDEX(Settings!$B$27:$B$36,MATCH(L2151,Settings!$A$27:$A$36,0))&amp;"","UNMAPPED"))</f>
        <v/>
      </c>
      <c r="T2151" s="37" t="str">
        <f aca="false">IF($M2151="","",IF(NOT(ISNUMBER(R2151)),"NO DATE",IF(S2151="Won",IF(R2151&gt;Settings!$B$5,"Backlog","Delivered"),IF(S2151="Open",IF(R2151&gt;Settings!$B$5,"Pipeline","Overdue"),IF(S2151="Lost","Lost","UNMAPPED")))))</f>
        <v/>
      </c>
      <c r="U2151" s="40" t="n">
        <f aca="false">IF(T2151="Backlog",1,IF(OR(T2151="Pipeline",T2151="Overdue"),N(INDEX(Settings!$C$27:$C$36,MATCH(L2151,Settings!$A$27:$A$36,0))),0))</f>
        <v>0</v>
      </c>
      <c r="V2151" s="38" t="n">
        <f aca="false">Q2151*U2151</f>
        <v>0</v>
      </c>
      <c r="W2151" s="41" t="str">
        <f aca="false">IF($M2151="","",IF(T2151="Overdue",IF(Settings!$B$8="Yes",Settings!$B$7,""),IF(ISNUMBER(R2151),DATE(YEAR(R2151),MONTH(R2151),1),"")))</f>
        <v/>
      </c>
      <c r="X2151" s="38" t="n">
        <f aca="false">IF(AND(OR(T2151="Backlog",T2151="Pipeline",T2151="Overdue"),ISNUMBER(W2151)),IF(W2151&lt;=Settings!$B$6,V2151,0),0)</f>
        <v>0</v>
      </c>
      <c r="Y2151" s="38" t="n">
        <f aca="false">IF(AND(OR(T2151="Backlog",T2151="Pipeline",T2151="Overdue"),ISNUMBER(W2151)),IF(W2151&lt;=Settings!$B$6,Q2151,0),0)</f>
        <v>0</v>
      </c>
      <c r="Z2151" s="38" t="n">
        <f aca="false">IF(Y2151=0,0,IF(T2151="Backlog",Q2151,Q2151*Dashboard!$C$10))</f>
        <v>0</v>
      </c>
      <c r="AA2151" s="37" t="n">
        <f aca="false">IF($N2151="",0,IF(COUNTIF(Dashboard!$C$13:$C$22,$N2151)&gt;0,1,0))</f>
        <v>0</v>
      </c>
      <c r="AB2151" s="37" t="str">
        <f aca="false">IF($N2151="","",IF(COUNTIF($N$8:$N2151,$N2151)=1,MAX($AB$7:$AB2150)+1,""))</f>
        <v/>
      </c>
    </row>
    <row r="2152" customFormat="false" ht="15" hidden="false" customHeight="false" outlineLevel="0" collapsed="false">
      <c r="L2152" s="37" t="str">
        <f aca="false">IF(INDEX($A2152:$J2152,$L$6)&lt;&gt;"",TRIM(LEFT(INDEX($A2152:$J2152,$L$6),FIND("(",INDEX($A2152:$J2152,$L$6)&amp;"(")-1)),L2151)</f>
        <v>Building Value Proposition</v>
      </c>
      <c r="M2152" s="37" t="str">
        <f aca="false">IF(INDEX($A2152:$J2152,$M$6)="","",INDEX($A2152:$J2152,$M$6)&amp;"")</f>
        <v/>
      </c>
      <c r="N2152" s="37" t="str">
        <f aca="false">IF($M2152="","",TRIM(INDEX($A2152:$J2152,$N$6)&amp;""))</f>
        <v/>
      </c>
      <c r="O2152" s="37" t="str">
        <f aca="false">IF($M2152="","",TRIM(INDEX($A2152:$J2152,$O$6)&amp;""))</f>
        <v/>
      </c>
      <c r="P2152" s="37" t="str">
        <f aca="false">IF($M2152="","",IFERROR(IF(INDEX(Settings!$B$41:$B$50,MATCH(O2152,Settings!$A$41:$A$50,0))&amp;""="","UNMAPPED",INDEX(Settings!$B$41:$B$50,MATCH(O2152,Settings!$A$41:$A$50,0))&amp;""),"UNMAPPED"))</f>
        <v/>
      </c>
      <c r="Q2152" s="38" t="n">
        <f aca="false">IF($M2152="",0,N(INDEX($A2152:$J2152,$Q$6)))</f>
        <v>0</v>
      </c>
      <c r="R2152" s="39" t="str">
        <f aca="false">IF($M2152="","",INDEX($A2152:$J2152,$R$6))</f>
        <v/>
      </c>
      <c r="S2152" s="37" t="str">
        <f aca="false">IF($M2152="","",IFERROR(INDEX(Settings!$B$27:$B$36,MATCH(L2152,Settings!$A$27:$A$36,0))&amp;"","UNMAPPED"))</f>
        <v/>
      </c>
      <c r="T2152" s="37" t="str">
        <f aca="false">IF($M2152="","",IF(NOT(ISNUMBER(R2152)),"NO DATE",IF(S2152="Won",IF(R2152&gt;Settings!$B$5,"Backlog","Delivered"),IF(S2152="Open",IF(R2152&gt;Settings!$B$5,"Pipeline","Overdue"),IF(S2152="Lost","Lost","UNMAPPED")))))</f>
        <v/>
      </c>
      <c r="U2152" s="40" t="n">
        <f aca="false">IF(T2152="Backlog",1,IF(OR(T2152="Pipeline",T2152="Overdue"),N(INDEX(Settings!$C$27:$C$36,MATCH(L2152,Settings!$A$27:$A$36,0))),0))</f>
        <v>0</v>
      </c>
      <c r="V2152" s="38" t="n">
        <f aca="false">Q2152*U2152</f>
        <v>0</v>
      </c>
      <c r="W2152" s="41" t="str">
        <f aca="false">IF($M2152="","",IF(T2152="Overdue",IF(Settings!$B$8="Yes",Settings!$B$7,""),IF(ISNUMBER(R2152),DATE(YEAR(R2152),MONTH(R2152),1),"")))</f>
        <v/>
      </c>
      <c r="X2152" s="38" t="n">
        <f aca="false">IF(AND(OR(T2152="Backlog",T2152="Pipeline",T2152="Overdue"),ISNUMBER(W2152)),IF(W2152&lt;=Settings!$B$6,V2152,0),0)</f>
        <v>0</v>
      </c>
      <c r="Y2152" s="38" t="n">
        <f aca="false">IF(AND(OR(T2152="Backlog",T2152="Pipeline",T2152="Overdue"),ISNUMBER(W2152)),IF(W2152&lt;=Settings!$B$6,Q2152,0),0)</f>
        <v>0</v>
      </c>
      <c r="Z2152" s="38" t="n">
        <f aca="false">IF(Y2152=0,0,IF(T2152="Backlog",Q2152,Q2152*Dashboard!$C$10))</f>
        <v>0</v>
      </c>
      <c r="AA2152" s="37" t="n">
        <f aca="false">IF($N2152="",0,IF(COUNTIF(Dashboard!$C$13:$C$22,$N2152)&gt;0,1,0))</f>
        <v>0</v>
      </c>
      <c r="AB2152" s="37" t="str">
        <f aca="false">IF($N2152="","",IF(COUNTIF($N$8:$N2152,$N2152)=1,MAX($AB$7:$AB2151)+1,""))</f>
        <v/>
      </c>
    </row>
    <row r="2153" customFormat="false" ht="15" hidden="false" customHeight="false" outlineLevel="0" collapsed="false">
      <c r="L2153" s="37" t="str">
        <f aca="false">IF(INDEX($A2153:$J2153,$L$6)&lt;&gt;"",TRIM(LEFT(INDEX($A2153:$J2153,$L$6),FIND("(",INDEX($A2153:$J2153,$L$6)&amp;"(")-1)),L2152)</f>
        <v>Building Value Proposition</v>
      </c>
      <c r="M2153" s="37" t="str">
        <f aca="false">IF(INDEX($A2153:$J2153,$M$6)="","",INDEX($A2153:$J2153,$M$6)&amp;"")</f>
        <v/>
      </c>
      <c r="N2153" s="37" t="str">
        <f aca="false">IF($M2153="","",TRIM(INDEX($A2153:$J2153,$N$6)&amp;""))</f>
        <v/>
      </c>
      <c r="O2153" s="37" t="str">
        <f aca="false">IF($M2153="","",TRIM(INDEX($A2153:$J2153,$O$6)&amp;""))</f>
        <v/>
      </c>
      <c r="P2153" s="37" t="str">
        <f aca="false">IF($M2153="","",IFERROR(IF(INDEX(Settings!$B$41:$B$50,MATCH(O2153,Settings!$A$41:$A$50,0))&amp;""="","UNMAPPED",INDEX(Settings!$B$41:$B$50,MATCH(O2153,Settings!$A$41:$A$50,0))&amp;""),"UNMAPPED"))</f>
        <v/>
      </c>
      <c r="Q2153" s="38" t="n">
        <f aca="false">IF($M2153="",0,N(INDEX($A2153:$J2153,$Q$6)))</f>
        <v>0</v>
      </c>
      <c r="R2153" s="39" t="str">
        <f aca="false">IF($M2153="","",INDEX($A2153:$J2153,$R$6))</f>
        <v/>
      </c>
      <c r="S2153" s="37" t="str">
        <f aca="false">IF($M2153="","",IFERROR(INDEX(Settings!$B$27:$B$36,MATCH(L2153,Settings!$A$27:$A$36,0))&amp;"","UNMAPPED"))</f>
        <v/>
      </c>
      <c r="T2153" s="37" t="str">
        <f aca="false">IF($M2153="","",IF(NOT(ISNUMBER(R2153)),"NO DATE",IF(S2153="Won",IF(R2153&gt;Settings!$B$5,"Backlog","Delivered"),IF(S2153="Open",IF(R2153&gt;Settings!$B$5,"Pipeline","Overdue"),IF(S2153="Lost","Lost","UNMAPPED")))))</f>
        <v/>
      </c>
      <c r="U2153" s="40" t="n">
        <f aca="false">IF(T2153="Backlog",1,IF(OR(T2153="Pipeline",T2153="Overdue"),N(INDEX(Settings!$C$27:$C$36,MATCH(L2153,Settings!$A$27:$A$36,0))),0))</f>
        <v>0</v>
      </c>
      <c r="V2153" s="38" t="n">
        <f aca="false">Q2153*U2153</f>
        <v>0</v>
      </c>
      <c r="W2153" s="41" t="str">
        <f aca="false">IF($M2153="","",IF(T2153="Overdue",IF(Settings!$B$8="Yes",Settings!$B$7,""),IF(ISNUMBER(R2153),DATE(YEAR(R2153),MONTH(R2153),1),"")))</f>
        <v/>
      </c>
      <c r="X2153" s="38" t="n">
        <f aca="false">IF(AND(OR(T2153="Backlog",T2153="Pipeline",T2153="Overdue"),ISNUMBER(W2153)),IF(W2153&lt;=Settings!$B$6,V2153,0),0)</f>
        <v>0</v>
      </c>
      <c r="Y2153" s="38" t="n">
        <f aca="false">IF(AND(OR(T2153="Backlog",T2153="Pipeline",T2153="Overdue"),ISNUMBER(W2153)),IF(W2153&lt;=Settings!$B$6,Q2153,0),0)</f>
        <v>0</v>
      </c>
      <c r="Z2153" s="38" t="n">
        <f aca="false">IF(Y2153=0,0,IF(T2153="Backlog",Q2153,Q2153*Dashboard!$C$10))</f>
        <v>0</v>
      </c>
      <c r="AA2153" s="37" t="n">
        <f aca="false">IF($N2153="",0,IF(COUNTIF(Dashboard!$C$13:$C$22,$N2153)&gt;0,1,0))</f>
        <v>0</v>
      </c>
      <c r="AB2153" s="37" t="str">
        <f aca="false">IF($N2153="","",IF(COUNTIF($N$8:$N2153,$N2153)=1,MAX($AB$7:$AB2152)+1,""))</f>
        <v/>
      </c>
    </row>
    <row r="2154" customFormat="false" ht="15" hidden="false" customHeight="false" outlineLevel="0" collapsed="false">
      <c r="L2154" s="37" t="str">
        <f aca="false">IF(INDEX($A2154:$J2154,$L$6)&lt;&gt;"",TRIM(LEFT(INDEX($A2154:$J2154,$L$6),FIND("(",INDEX($A2154:$J2154,$L$6)&amp;"(")-1)),L2153)</f>
        <v>Building Value Proposition</v>
      </c>
      <c r="M2154" s="37" t="str">
        <f aca="false">IF(INDEX($A2154:$J2154,$M$6)="","",INDEX($A2154:$J2154,$M$6)&amp;"")</f>
        <v/>
      </c>
      <c r="N2154" s="37" t="str">
        <f aca="false">IF($M2154="","",TRIM(INDEX($A2154:$J2154,$N$6)&amp;""))</f>
        <v/>
      </c>
      <c r="O2154" s="37" t="str">
        <f aca="false">IF($M2154="","",TRIM(INDEX($A2154:$J2154,$O$6)&amp;""))</f>
        <v/>
      </c>
      <c r="P2154" s="37" t="str">
        <f aca="false">IF($M2154="","",IFERROR(IF(INDEX(Settings!$B$41:$B$50,MATCH(O2154,Settings!$A$41:$A$50,0))&amp;""="","UNMAPPED",INDEX(Settings!$B$41:$B$50,MATCH(O2154,Settings!$A$41:$A$50,0))&amp;""),"UNMAPPED"))</f>
        <v/>
      </c>
      <c r="Q2154" s="38" t="n">
        <f aca="false">IF($M2154="",0,N(INDEX($A2154:$J2154,$Q$6)))</f>
        <v>0</v>
      </c>
      <c r="R2154" s="39" t="str">
        <f aca="false">IF($M2154="","",INDEX($A2154:$J2154,$R$6))</f>
        <v/>
      </c>
      <c r="S2154" s="37" t="str">
        <f aca="false">IF($M2154="","",IFERROR(INDEX(Settings!$B$27:$B$36,MATCH(L2154,Settings!$A$27:$A$36,0))&amp;"","UNMAPPED"))</f>
        <v/>
      </c>
      <c r="T2154" s="37" t="str">
        <f aca="false">IF($M2154="","",IF(NOT(ISNUMBER(R2154)),"NO DATE",IF(S2154="Won",IF(R2154&gt;Settings!$B$5,"Backlog","Delivered"),IF(S2154="Open",IF(R2154&gt;Settings!$B$5,"Pipeline","Overdue"),IF(S2154="Lost","Lost","UNMAPPED")))))</f>
        <v/>
      </c>
      <c r="U2154" s="40" t="n">
        <f aca="false">IF(T2154="Backlog",1,IF(OR(T2154="Pipeline",T2154="Overdue"),N(INDEX(Settings!$C$27:$C$36,MATCH(L2154,Settings!$A$27:$A$36,0))),0))</f>
        <v>0</v>
      </c>
      <c r="V2154" s="38" t="n">
        <f aca="false">Q2154*U2154</f>
        <v>0</v>
      </c>
      <c r="W2154" s="41" t="str">
        <f aca="false">IF($M2154="","",IF(T2154="Overdue",IF(Settings!$B$8="Yes",Settings!$B$7,""),IF(ISNUMBER(R2154),DATE(YEAR(R2154),MONTH(R2154),1),"")))</f>
        <v/>
      </c>
      <c r="X2154" s="38" t="n">
        <f aca="false">IF(AND(OR(T2154="Backlog",T2154="Pipeline",T2154="Overdue"),ISNUMBER(W2154)),IF(W2154&lt;=Settings!$B$6,V2154,0),0)</f>
        <v>0</v>
      </c>
      <c r="Y2154" s="38" t="n">
        <f aca="false">IF(AND(OR(T2154="Backlog",T2154="Pipeline",T2154="Overdue"),ISNUMBER(W2154)),IF(W2154&lt;=Settings!$B$6,Q2154,0),0)</f>
        <v>0</v>
      </c>
      <c r="Z2154" s="38" t="n">
        <f aca="false">IF(Y2154=0,0,IF(T2154="Backlog",Q2154,Q2154*Dashboard!$C$10))</f>
        <v>0</v>
      </c>
      <c r="AA2154" s="37" t="n">
        <f aca="false">IF($N2154="",0,IF(COUNTIF(Dashboard!$C$13:$C$22,$N2154)&gt;0,1,0))</f>
        <v>0</v>
      </c>
      <c r="AB2154" s="37" t="str">
        <f aca="false">IF($N2154="","",IF(COUNTIF($N$8:$N2154,$N2154)=1,MAX($AB$7:$AB2153)+1,""))</f>
        <v/>
      </c>
    </row>
    <row r="2155" customFormat="false" ht="15" hidden="false" customHeight="false" outlineLevel="0" collapsed="false">
      <c r="L2155" s="37" t="str">
        <f aca="false">IF(INDEX($A2155:$J2155,$L$6)&lt;&gt;"",TRIM(LEFT(INDEX($A2155:$J2155,$L$6),FIND("(",INDEX($A2155:$J2155,$L$6)&amp;"(")-1)),L2154)</f>
        <v>Building Value Proposition</v>
      </c>
      <c r="M2155" s="37" t="str">
        <f aca="false">IF(INDEX($A2155:$J2155,$M$6)="","",INDEX($A2155:$J2155,$M$6)&amp;"")</f>
        <v/>
      </c>
      <c r="N2155" s="37" t="str">
        <f aca="false">IF($M2155="","",TRIM(INDEX($A2155:$J2155,$N$6)&amp;""))</f>
        <v/>
      </c>
      <c r="O2155" s="37" t="str">
        <f aca="false">IF($M2155="","",TRIM(INDEX($A2155:$J2155,$O$6)&amp;""))</f>
        <v/>
      </c>
      <c r="P2155" s="37" t="str">
        <f aca="false">IF($M2155="","",IFERROR(IF(INDEX(Settings!$B$41:$B$50,MATCH(O2155,Settings!$A$41:$A$50,0))&amp;""="","UNMAPPED",INDEX(Settings!$B$41:$B$50,MATCH(O2155,Settings!$A$41:$A$50,0))&amp;""),"UNMAPPED"))</f>
        <v/>
      </c>
      <c r="Q2155" s="38" t="n">
        <f aca="false">IF($M2155="",0,N(INDEX($A2155:$J2155,$Q$6)))</f>
        <v>0</v>
      </c>
      <c r="R2155" s="39" t="str">
        <f aca="false">IF($M2155="","",INDEX($A2155:$J2155,$R$6))</f>
        <v/>
      </c>
      <c r="S2155" s="37" t="str">
        <f aca="false">IF($M2155="","",IFERROR(INDEX(Settings!$B$27:$B$36,MATCH(L2155,Settings!$A$27:$A$36,0))&amp;"","UNMAPPED"))</f>
        <v/>
      </c>
      <c r="T2155" s="37" t="str">
        <f aca="false">IF($M2155="","",IF(NOT(ISNUMBER(R2155)),"NO DATE",IF(S2155="Won",IF(R2155&gt;Settings!$B$5,"Backlog","Delivered"),IF(S2155="Open",IF(R2155&gt;Settings!$B$5,"Pipeline","Overdue"),IF(S2155="Lost","Lost","UNMAPPED")))))</f>
        <v/>
      </c>
      <c r="U2155" s="40" t="n">
        <f aca="false">IF(T2155="Backlog",1,IF(OR(T2155="Pipeline",T2155="Overdue"),N(INDEX(Settings!$C$27:$C$36,MATCH(L2155,Settings!$A$27:$A$36,0))),0))</f>
        <v>0</v>
      </c>
      <c r="V2155" s="38" t="n">
        <f aca="false">Q2155*U2155</f>
        <v>0</v>
      </c>
      <c r="W2155" s="41" t="str">
        <f aca="false">IF($M2155="","",IF(T2155="Overdue",IF(Settings!$B$8="Yes",Settings!$B$7,""),IF(ISNUMBER(R2155),DATE(YEAR(R2155),MONTH(R2155),1),"")))</f>
        <v/>
      </c>
      <c r="X2155" s="38" t="n">
        <f aca="false">IF(AND(OR(T2155="Backlog",T2155="Pipeline",T2155="Overdue"),ISNUMBER(W2155)),IF(W2155&lt;=Settings!$B$6,V2155,0),0)</f>
        <v>0</v>
      </c>
      <c r="Y2155" s="38" t="n">
        <f aca="false">IF(AND(OR(T2155="Backlog",T2155="Pipeline",T2155="Overdue"),ISNUMBER(W2155)),IF(W2155&lt;=Settings!$B$6,Q2155,0),0)</f>
        <v>0</v>
      </c>
      <c r="Z2155" s="38" t="n">
        <f aca="false">IF(Y2155=0,0,IF(T2155="Backlog",Q2155,Q2155*Dashboard!$C$10))</f>
        <v>0</v>
      </c>
      <c r="AA2155" s="37" t="n">
        <f aca="false">IF($N2155="",0,IF(COUNTIF(Dashboard!$C$13:$C$22,$N2155)&gt;0,1,0))</f>
        <v>0</v>
      </c>
      <c r="AB2155" s="37" t="str">
        <f aca="false">IF($N2155="","",IF(COUNTIF($N$8:$N2155,$N2155)=1,MAX($AB$7:$AB2154)+1,""))</f>
        <v/>
      </c>
    </row>
    <row r="2156" customFormat="false" ht="15" hidden="false" customHeight="false" outlineLevel="0" collapsed="false">
      <c r="L2156" s="37" t="str">
        <f aca="false">IF(INDEX($A2156:$J2156,$L$6)&lt;&gt;"",TRIM(LEFT(INDEX($A2156:$J2156,$L$6),FIND("(",INDEX($A2156:$J2156,$L$6)&amp;"(")-1)),L2155)</f>
        <v>Building Value Proposition</v>
      </c>
      <c r="M2156" s="37" t="str">
        <f aca="false">IF(INDEX($A2156:$J2156,$M$6)="","",INDEX($A2156:$J2156,$M$6)&amp;"")</f>
        <v/>
      </c>
      <c r="N2156" s="37" t="str">
        <f aca="false">IF($M2156="","",TRIM(INDEX($A2156:$J2156,$N$6)&amp;""))</f>
        <v/>
      </c>
      <c r="O2156" s="37" t="str">
        <f aca="false">IF($M2156="","",TRIM(INDEX($A2156:$J2156,$O$6)&amp;""))</f>
        <v/>
      </c>
      <c r="P2156" s="37" t="str">
        <f aca="false">IF($M2156="","",IFERROR(IF(INDEX(Settings!$B$41:$B$50,MATCH(O2156,Settings!$A$41:$A$50,0))&amp;""="","UNMAPPED",INDEX(Settings!$B$41:$B$50,MATCH(O2156,Settings!$A$41:$A$50,0))&amp;""),"UNMAPPED"))</f>
        <v/>
      </c>
      <c r="Q2156" s="38" t="n">
        <f aca="false">IF($M2156="",0,N(INDEX($A2156:$J2156,$Q$6)))</f>
        <v>0</v>
      </c>
      <c r="R2156" s="39" t="str">
        <f aca="false">IF($M2156="","",INDEX($A2156:$J2156,$R$6))</f>
        <v/>
      </c>
      <c r="S2156" s="37" t="str">
        <f aca="false">IF($M2156="","",IFERROR(INDEX(Settings!$B$27:$B$36,MATCH(L2156,Settings!$A$27:$A$36,0))&amp;"","UNMAPPED"))</f>
        <v/>
      </c>
      <c r="T2156" s="37" t="str">
        <f aca="false">IF($M2156="","",IF(NOT(ISNUMBER(R2156)),"NO DATE",IF(S2156="Won",IF(R2156&gt;Settings!$B$5,"Backlog","Delivered"),IF(S2156="Open",IF(R2156&gt;Settings!$B$5,"Pipeline","Overdue"),IF(S2156="Lost","Lost","UNMAPPED")))))</f>
        <v/>
      </c>
      <c r="U2156" s="40" t="n">
        <f aca="false">IF(T2156="Backlog",1,IF(OR(T2156="Pipeline",T2156="Overdue"),N(INDEX(Settings!$C$27:$C$36,MATCH(L2156,Settings!$A$27:$A$36,0))),0))</f>
        <v>0</v>
      </c>
      <c r="V2156" s="38" t="n">
        <f aca="false">Q2156*U2156</f>
        <v>0</v>
      </c>
      <c r="W2156" s="41" t="str">
        <f aca="false">IF($M2156="","",IF(T2156="Overdue",IF(Settings!$B$8="Yes",Settings!$B$7,""),IF(ISNUMBER(R2156),DATE(YEAR(R2156),MONTH(R2156),1),"")))</f>
        <v/>
      </c>
      <c r="X2156" s="38" t="n">
        <f aca="false">IF(AND(OR(T2156="Backlog",T2156="Pipeline",T2156="Overdue"),ISNUMBER(W2156)),IF(W2156&lt;=Settings!$B$6,V2156,0),0)</f>
        <v>0</v>
      </c>
      <c r="Y2156" s="38" t="n">
        <f aca="false">IF(AND(OR(T2156="Backlog",T2156="Pipeline",T2156="Overdue"),ISNUMBER(W2156)),IF(W2156&lt;=Settings!$B$6,Q2156,0),0)</f>
        <v>0</v>
      </c>
      <c r="Z2156" s="38" t="n">
        <f aca="false">IF(Y2156=0,0,IF(T2156="Backlog",Q2156,Q2156*Dashboard!$C$10))</f>
        <v>0</v>
      </c>
      <c r="AA2156" s="37" t="n">
        <f aca="false">IF($N2156="",0,IF(COUNTIF(Dashboard!$C$13:$C$22,$N2156)&gt;0,1,0))</f>
        <v>0</v>
      </c>
      <c r="AB2156" s="37" t="str">
        <f aca="false">IF($N2156="","",IF(COUNTIF($N$8:$N2156,$N2156)=1,MAX($AB$7:$AB2155)+1,""))</f>
        <v/>
      </c>
    </row>
    <row r="2157" customFormat="false" ht="15" hidden="false" customHeight="false" outlineLevel="0" collapsed="false">
      <c r="L2157" s="37" t="str">
        <f aca="false">IF(INDEX($A2157:$J2157,$L$6)&lt;&gt;"",TRIM(LEFT(INDEX($A2157:$J2157,$L$6),FIND("(",INDEX($A2157:$J2157,$L$6)&amp;"(")-1)),L2156)</f>
        <v>Building Value Proposition</v>
      </c>
      <c r="M2157" s="37" t="str">
        <f aca="false">IF(INDEX($A2157:$J2157,$M$6)="","",INDEX($A2157:$J2157,$M$6)&amp;"")</f>
        <v/>
      </c>
      <c r="N2157" s="37" t="str">
        <f aca="false">IF($M2157="","",TRIM(INDEX($A2157:$J2157,$N$6)&amp;""))</f>
        <v/>
      </c>
      <c r="O2157" s="37" t="str">
        <f aca="false">IF($M2157="","",TRIM(INDEX($A2157:$J2157,$O$6)&amp;""))</f>
        <v/>
      </c>
      <c r="P2157" s="37" t="str">
        <f aca="false">IF($M2157="","",IFERROR(IF(INDEX(Settings!$B$41:$B$50,MATCH(O2157,Settings!$A$41:$A$50,0))&amp;""="","UNMAPPED",INDEX(Settings!$B$41:$B$50,MATCH(O2157,Settings!$A$41:$A$50,0))&amp;""),"UNMAPPED"))</f>
        <v/>
      </c>
      <c r="Q2157" s="38" t="n">
        <f aca="false">IF($M2157="",0,N(INDEX($A2157:$J2157,$Q$6)))</f>
        <v>0</v>
      </c>
      <c r="R2157" s="39" t="str">
        <f aca="false">IF($M2157="","",INDEX($A2157:$J2157,$R$6))</f>
        <v/>
      </c>
      <c r="S2157" s="37" t="str">
        <f aca="false">IF($M2157="","",IFERROR(INDEX(Settings!$B$27:$B$36,MATCH(L2157,Settings!$A$27:$A$36,0))&amp;"","UNMAPPED"))</f>
        <v/>
      </c>
      <c r="T2157" s="37" t="str">
        <f aca="false">IF($M2157="","",IF(NOT(ISNUMBER(R2157)),"NO DATE",IF(S2157="Won",IF(R2157&gt;Settings!$B$5,"Backlog","Delivered"),IF(S2157="Open",IF(R2157&gt;Settings!$B$5,"Pipeline","Overdue"),IF(S2157="Lost","Lost","UNMAPPED")))))</f>
        <v/>
      </c>
      <c r="U2157" s="40" t="n">
        <f aca="false">IF(T2157="Backlog",1,IF(OR(T2157="Pipeline",T2157="Overdue"),N(INDEX(Settings!$C$27:$C$36,MATCH(L2157,Settings!$A$27:$A$36,0))),0))</f>
        <v>0</v>
      </c>
      <c r="V2157" s="38" t="n">
        <f aca="false">Q2157*U2157</f>
        <v>0</v>
      </c>
      <c r="W2157" s="41" t="str">
        <f aca="false">IF($M2157="","",IF(T2157="Overdue",IF(Settings!$B$8="Yes",Settings!$B$7,""),IF(ISNUMBER(R2157),DATE(YEAR(R2157),MONTH(R2157),1),"")))</f>
        <v/>
      </c>
      <c r="X2157" s="38" t="n">
        <f aca="false">IF(AND(OR(T2157="Backlog",T2157="Pipeline",T2157="Overdue"),ISNUMBER(W2157)),IF(W2157&lt;=Settings!$B$6,V2157,0),0)</f>
        <v>0</v>
      </c>
      <c r="Y2157" s="38" t="n">
        <f aca="false">IF(AND(OR(T2157="Backlog",T2157="Pipeline",T2157="Overdue"),ISNUMBER(W2157)),IF(W2157&lt;=Settings!$B$6,Q2157,0),0)</f>
        <v>0</v>
      </c>
      <c r="Z2157" s="38" t="n">
        <f aca="false">IF(Y2157=0,0,IF(T2157="Backlog",Q2157,Q2157*Dashboard!$C$10))</f>
        <v>0</v>
      </c>
      <c r="AA2157" s="37" t="n">
        <f aca="false">IF($N2157="",0,IF(COUNTIF(Dashboard!$C$13:$C$22,$N2157)&gt;0,1,0))</f>
        <v>0</v>
      </c>
      <c r="AB2157" s="37" t="str">
        <f aca="false">IF($N2157="","",IF(COUNTIF($N$8:$N2157,$N2157)=1,MAX($AB$7:$AB2156)+1,""))</f>
        <v/>
      </c>
    </row>
    <row r="2158" customFormat="false" ht="15" hidden="false" customHeight="false" outlineLevel="0" collapsed="false">
      <c r="L2158" s="37" t="str">
        <f aca="false">IF(INDEX($A2158:$J2158,$L$6)&lt;&gt;"",TRIM(LEFT(INDEX($A2158:$J2158,$L$6),FIND("(",INDEX($A2158:$J2158,$L$6)&amp;"(")-1)),L2157)</f>
        <v>Building Value Proposition</v>
      </c>
      <c r="M2158" s="37" t="str">
        <f aca="false">IF(INDEX($A2158:$J2158,$M$6)="","",INDEX($A2158:$J2158,$M$6)&amp;"")</f>
        <v/>
      </c>
      <c r="N2158" s="37" t="str">
        <f aca="false">IF($M2158="","",TRIM(INDEX($A2158:$J2158,$N$6)&amp;""))</f>
        <v/>
      </c>
      <c r="O2158" s="37" t="str">
        <f aca="false">IF($M2158="","",TRIM(INDEX($A2158:$J2158,$O$6)&amp;""))</f>
        <v/>
      </c>
      <c r="P2158" s="37" t="str">
        <f aca="false">IF($M2158="","",IFERROR(IF(INDEX(Settings!$B$41:$B$50,MATCH(O2158,Settings!$A$41:$A$50,0))&amp;""="","UNMAPPED",INDEX(Settings!$B$41:$B$50,MATCH(O2158,Settings!$A$41:$A$50,0))&amp;""),"UNMAPPED"))</f>
        <v/>
      </c>
      <c r="Q2158" s="38" t="n">
        <f aca="false">IF($M2158="",0,N(INDEX($A2158:$J2158,$Q$6)))</f>
        <v>0</v>
      </c>
      <c r="R2158" s="39" t="str">
        <f aca="false">IF($M2158="","",INDEX($A2158:$J2158,$R$6))</f>
        <v/>
      </c>
      <c r="S2158" s="37" t="str">
        <f aca="false">IF($M2158="","",IFERROR(INDEX(Settings!$B$27:$B$36,MATCH(L2158,Settings!$A$27:$A$36,0))&amp;"","UNMAPPED"))</f>
        <v/>
      </c>
      <c r="T2158" s="37" t="str">
        <f aca="false">IF($M2158="","",IF(NOT(ISNUMBER(R2158)),"NO DATE",IF(S2158="Won",IF(R2158&gt;Settings!$B$5,"Backlog","Delivered"),IF(S2158="Open",IF(R2158&gt;Settings!$B$5,"Pipeline","Overdue"),IF(S2158="Lost","Lost","UNMAPPED")))))</f>
        <v/>
      </c>
      <c r="U2158" s="40" t="n">
        <f aca="false">IF(T2158="Backlog",1,IF(OR(T2158="Pipeline",T2158="Overdue"),N(INDEX(Settings!$C$27:$C$36,MATCH(L2158,Settings!$A$27:$A$36,0))),0))</f>
        <v>0</v>
      </c>
      <c r="V2158" s="38" t="n">
        <f aca="false">Q2158*U2158</f>
        <v>0</v>
      </c>
      <c r="W2158" s="41" t="str">
        <f aca="false">IF($M2158="","",IF(T2158="Overdue",IF(Settings!$B$8="Yes",Settings!$B$7,""),IF(ISNUMBER(R2158),DATE(YEAR(R2158),MONTH(R2158),1),"")))</f>
        <v/>
      </c>
      <c r="X2158" s="38" t="n">
        <f aca="false">IF(AND(OR(T2158="Backlog",T2158="Pipeline",T2158="Overdue"),ISNUMBER(W2158)),IF(W2158&lt;=Settings!$B$6,V2158,0),0)</f>
        <v>0</v>
      </c>
      <c r="Y2158" s="38" t="n">
        <f aca="false">IF(AND(OR(T2158="Backlog",T2158="Pipeline",T2158="Overdue"),ISNUMBER(W2158)),IF(W2158&lt;=Settings!$B$6,Q2158,0),0)</f>
        <v>0</v>
      </c>
      <c r="Z2158" s="38" t="n">
        <f aca="false">IF(Y2158=0,0,IF(T2158="Backlog",Q2158,Q2158*Dashboard!$C$10))</f>
        <v>0</v>
      </c>
      <c r="AA2158" s="37" t="n">
        <f aca="false">IF($N2158="",0,IF(COUNTIF(Dashboard!$C$13:$C$22,$N2158)&gt;0,1,0))</f>
        <v>0</v>
      </c>
      <c r="AB2158" s="37" t="str">
        <f aca="false">IF($N2158="","",IF(COUNTIF($N$8:$N2158,$N2158)=1,MAX($AB$7:$AB2157)+1,""))</f>
        <v/>
      </c>
    </row>
    <row r="2159" customFormat="false" ht="15" hidden="false" customHeight="false" outlineLevel="0" collapsed="false">
      <c r="L2159" s="37" t="str">
        <f aca="false">IF(INDEX($A2159:$J2159,$L$6)&lt;&gt;"",TRIM(LEFT(INDEX($A2159:$J2159,$L$6),FIND("(",INDEX($A2159:$J2159,$L$6)&amp;"(")-1)),L2158)</f>
        <v>Building Value Proposition</v>
      </c>
      <c r="M2159" s="37" t="str">
        <f aca="false">IF(INDEX($A2159:$J2159,$M$6)="","",INDEX($A2159:$J2159,$M$6)&amp;"")</f>
        <v/>
      </c>
      <c r="N2159" s="37" t="str">
        <f aca="false">IF($M2159="","",TRIM(INDEX($A2159:$J2159,$N$6)&amp;""))</f>
        <v/>
      </c>
      <c r="O2159" s="37" t="str">
        <f aca="false">IF($M2159="","",TRIM(INDEX($A2159:$J2159,$O$6)&amp;""))</f>
        <v/>
      </c>
      <c r="P2159" s="37" t="str">
        <f aca="false">IF($M2159="","",IFERROR(IF(INDEX(Settings!$B$41:$B$50,MATCH(O2159,Settings!$A$41:$A$50,0))&amp;""="","UNMAPPED",INDEX(Settings!$B$41:$B$50,MATCH(O2159,Settings!$A$41:$A$50,0))&amp;""),"UNMAPPED"))</f>
        <v/>
      </c>
      <c r="Q2159" s="38" t="n">
        <f aca="false">IF($M2159="",0,N(INDEX($A2159:$J2159,$Q$6)))</f>
        <v>0</v>
      </c>
      <c r="R2159" s="39" t="str">
        <f aca="false">IF($M2159="","",INDEX($A2159:$J2159,$R$6))</f>
        <v/>
      </c>
      <c r="S2159" s="37" t="str">
        <f aca="false">IF($M2159="","",IFERROR(INDEX(Settings!$B$27:$B$36,MATCH(L2159,Settings!$A$27:$A$36,0))&amp;"","UNMAPPED"))</f>
        <v/>
      </c>
      <c r="T2159" s="37" t="str">
        <f aca="false">IF($M2159="","",IF(NOT(ISNUMBER(R2159)),"NO DATE",IF(S2159="Won",IF(R2159&gt;Settings!$B$5,"Backlog","Delivered"),IF(S2159="Open",IF(R2159&gt;Settings!$B$5,"Pipeline","Overdue"),IF(S2159="Lost","Lost","UNMAPPED")))))</f>
        <v/>
      </c>
      <c r="U2159" s="40" t="n">
        <f aca="false">IF(T2159="Backlog",1,IF(OR(T2159="Pipeline",T2159="Overdue"),N(INDEX(Settings!$C$27:$C$36,MATCH(L2159,Settings!$A$27:$A$36,0))),0))</f>
        <v>0</v>
      </c>
      <c r="V2159" s="38" t="n">
        <f aca="false">Q2159*U2159</f>
        <v>0</v>
      </c>
      <c r="W2159" s="41" t="str">
        <f aca="false">IF($M2159="","",IF(T2159="Overdue",IF(Settings!$B$8="Yes",Settings!$B$7,""),IF(ISNUMBER(R2159),DATE(YEAR(R2159),MONTH(R2159),1),"")))</f>
        <v/>
      </c>
      <c r="X2159" s="38" t="n">
        <f aca="false">IF(AND(OR(T2159="Backlog",T2159="Pipeline",T2159="Overdue"),ISNUMBER(W2159)),IF(W2159&lt;=Settings!$B$6,V2159,0),0)</f>
        <v>0</v>
      </c>
      <c r="Y2159" s="38" t="n">
        <f aca="false">IF(AND(OR(T2159="Backlog",T2159="Pipeline",T2159="Overdue"),ISNUMBER(W2159)),IF(W2159&lt;=Settings!$B$6,Q2159,0),0)</f>
        <v>0</v>
      </c>
      <c r="Z2159" s="38" t="n">
        <f aca="false">IF(Y2159=0,0,IF(T2159="Backlog",Q2159,Q2159*Dashboard!$C$10))</f>
        <v>0</v>
      </c>
      <c r="AA2159" s="37" t="n">
        <f aca="false">IF($N2159="",0,IF(COUNTIF(Dashboard!$C$13:$C$22,$N2159)&gt;0,1,0))</f>
        <v>0</v>
      </c>
      <c r="AB2159" s="37" t="str">
        <f aca="false">IF($N2159="","",IF(COUNTIF($N$8:$N2159,$N2159)=1,MAX($AB$7:$AB2158)+1,""))</f>
        <v/>
      </c>
    </row>
    <row r="2160" customFormat="false" ht="15" hidden="false" customHeight="false" outlineLevel="0" collapsed="false">
      <c r="L2160" s="37" t="str">
        <f aca="false">IF(INDEX($A2160:$J2160,$L$6)&lt;&gt;"",TRIM(LEFT(INDEX($A2160:$J2160,$L$6),FIND("(",INDEX($A2160:$J2160,$L$6)&amp;"(")-1)),L2159)</f>
        <v>Building Value Proposition</v>
      </c>
      <c r="M2160" s="37" t="str">
        <f aca="false">IF(INDEX($A2160:$J2160,$M$6)="","",INDEX($A2160:$J2160,$M$6)&amp;"")</f>
        <v/>
      </c>
      <c r="N2160" s="37" t="str">
        <f aca="false">IF($M2160="","",TRIM(INDEX($A2160:$J2160,$N$6)&amp;""))</f>
        <v/>
      </c>
      <c r="O2160" s="37" t="str">
        <f aca="false">IF($M2160="","",TRIM(INDEX($A2160:$J2160,$O$6)&amp;""))</f>
        <v/>
      </c>
      <c r="P2160" s="37" t="str">
        <f aca="false">IF($M2160="","",IFERROR(IF(INDEX(Settings!$B$41:$B$50,MATCH(O2160,Settings!$A$41:$A$50,0))&amp;""="","UNMAPPED",INDEX(Settings!$B$41:$B$50,MATCH(O2160,Settings!$A$41:$A$50,0))&amp;""),"UNMAPPED"))</f>
        <v/>
      </c>
      <c r="Q2160" s="38" t="n">
        <f aca="false">IF($M2160="",0,N(INDEX($A2160:$J2160,$Q$6)))</f>
        <v>0</v>
      </c>
      <c r="R2160" s="39" t="str">
        <f aca="false">IF($M2160="","",INDEX($A2160:$J2160,$R$6))</f>
        <v/>
      </c>
      <c r="S2160" s="37" t="str">
        <f aca="false">IF($M2160="","",IFERROR(INDEX(Settings!$B$27:$B$36,MATCH(L2160,Settings!$A$27:$A$36,0))&amp;"","UNMAPPED"))</f>
        <v/>
      </c>
      <c r="T2160" s="37" t="str">
        <f aca="false">IF($M2160="","",IF(NOT(ISNUMBER(R2160)),"NO DATE",IF(S2160="Won",IF(R2160&gt;Settings!$B$5,"Backlog","Delivered"),IF(S2160="Open",IF(R2160&gt;Settings!$B$5,"Pipeline","Overdue"),IF(S2160="Lost","Lost","UNMAPPED")))))</f>
        <v/>
      </c>
      <c r="U2160" s="40" t="n">
        <f aca="false">IF(T2160="Backlog",1,IF(OR(T2160="Pipeline",T2160="Overdue"),N(INDEX(Settings!$C$27:$C$36,MATCH(L2160,Settings!$A$27:$A$36,0))),0))</f>
        <v>0</v>
      </c>
      <c r="V2160" s="38" t="n">
        <f aca="false">Q2160*U2160</f>
        <v>0</v>
      </c>
      <c r="W2160" s="41" t="str">
        <f aca="false">IF($M2160="","",IF(T2160="Overdue",IF(Settings!$B$8="Yes",Settings!$B$7,""),IF(ISNUMBER(R2160),DATE(YEAR(R2160),MONTH(R2160),1),"")))</f>
        <v/>
      </c>
      <c r="X2160" s="38" t="n">
        <f aca="false">IF(AND(OR(T2160="Backlog",T2160="Pipeline",T2160="Overdue"),ISNUMBER(W2160)),IF(W2160&lt;=Settings!$B$6,V2160,0),0)</f>
        <v>0</v>
      </c>
      <c r="Y2160" s="38" t="n">
        <f aca="false">IF(AND(OR(T2160="Backlog",T2160="Pipeline",T2160="Overdue"),ISNUMBER(W2160)),IF(W2160&lt;=Settings!$B$6,Q2160,0),0)</f>
        <v>0</v>
      </c>
      <c r="Z2160" s="38" t="n">
        <f aca="false">IF(Y2160=0,0,IF(T2160="Backlog",Q2160,Q2160*Dashboard!$C$10))</f>
        <v>0</v>
      </c>
      <c r="AA2160" s="37" t="n">
        <f aca="false">IF($N2160="",0,IF(COUNTIF(Dashboard!$C$13:$C$22,$N2160)&gt;0,1,0))</f>
        <v>0</v>
      </c>
      <c r="AB2160" s="37" t="str">
        <f aca="false">IF($N2160="","",IF(COUNTIF($N$8:$N2160,$N2160)=1,MAX($AB$7:$AB2159)+1,""))</f>
        <v/>
      </c>
    </row>
    <row r="2161" customFormat="false" ht="15" hidden="false" customHeight="false" outlineLevel="0" collapsed="false">
      <c r="L2161" s="37" t="str">
        <f aca="false">IF(INDEX($A2161:$J2161,$L$6)&lt;&gt;"",TRIM(LEFT(INDEX($A2161:$J2161,$L$6),FIND("(",INDEX($A2161:$J2161,$L$6)&amp;"(")-1)),L2160)</f>
        <v>Building Value Proposition</v>
      </c>
      <c r="M2161" s="37" t="str">
        <f aca="false">IF(INDEX($A2161:$J2161,$M$6)="","",INDEX($A2161:$J2161,$M$6)&amp;"")</f>
        <v/>
      </c>
      <c r="N2161" s="37" t="str">
        <f aca="false">IF($M2161="","",TRIM(INDEX($A2161:$J2161,$N$6)&amp;""))</f>
        <v/>
      </c>
      <c r="O2161" s="37" t="str">
        <f aca="false">IF($M2161="","",TRIM(INDEX($A2161:$J2161,$O$6)&amp;""))</f>
        <v/>
      </c>
      <c r="P2161" s="37" t="str">
        <f aca="false">IF($M2161="","",IFERROR(IF(INDEX(Settings!$B$41:$B$50,MATCH(O2161,Settings!$A$41:$A$50,0))&amp;""="","UNMAPPED",INDEX(Settings!$B$41:$B$50,MATCH(O2161,Settings!$A$41:$A$50,0))&amp;""),"UNMAPPED"))</f>
        <v/>
      </c>
      <c r="Q2161" s="38" t="n">
        <f aca="false">IF($M2161="",0,N(INDEX($A2161:$J2161,$Q$6)))</f>
        <v>0</v>
      </c>
      <c r="R2161" s="39" t="str">
        <f aca="false">IF($M2161="","",INDEX($A2161:$J2161,$R$6))</f>
        <v/>
      </c>
      <c r="S2161" s="37" t="str">
        <f aca="false">IF($M2161="","",IFERROR(INDEX(Settings!$B$27:$B$36,MATCH(L2161,Settings!$A$27:$A$36,0))&amp;"","UNMAPPED"))</f>
        <v/>
      </c>
      <c r="T2161" s="37" t="str">
        <f aca="false">IF($M2161="","",IF(NOT(ISNUMBER(R2161)),"NO DATE",IF(S2161="Won",IF(R2161&gt;Settings!$B$5,"Backlog","Delivered"),IF(S2161="Open",IF(R2161&gt;Settings!$B$5,"Pipeline","Overdue"),IF(S2161="Lost","Lost","UNMAPPED")))))</f>
        <v/>
      </c>
      <c r="U2161" s="40" t="n">
        <f aca="false">IF(T2161="Backlog",1,IF(OR(T2161="Pipeline",T2161="Overdue"),N(INDEX(Settings!$C$27:$C$36,MATCH(L2161,Settings!$A$27:$A$36,0))),0))</f>
        <v>0</v>
      </c>
      <c r="V2161" s="38" t="n">
        <f aca="false">Q2161*U2161</f>
        <v>0</v>
      </c>
      <c r="W2161" s="41" t="str">
        <f aca="false">IF($M2161="","",IF(T2161="Overdue",IF(Settings!$B$8="Yes",Settings!$B$7,""),IF(ISNUMBER(R2161),DATE(YEAR(R2161),MONTH(R2161),1),"")))</f>
        <v/>
      </c>
      <c r="X2161" s="38" t="n">
        <f aca="false">IF(AND(OR(T2161="Backlog",T2161="Pipeline",T2161="Overdue"),ISNUMBER(W2161)),IF(W2161&lt;=Settings!$B$6,V2161,0),0)</f>
        <v>0</v>
      </c>
      <c r="Y2161" s="38" t="n">
        <f aca="false">IF(AND(OR(T2161="Backlog",T2161="Pipeline",T2161="Overdue"),ISNUMBER(W2161)),IF(W2161&lt;=Settings!$B$6,Q2161,0),0)</f>
        <v>0</v>
      </c>
      <c r="Z2161" s="38" t="n">
        <f aca="false">IF(Y2161=0,0,IF(T2161="Backlog",Q2161,Q2161*Dashboard!$C$10))</f>
        <v>0</v>
      </c>
      <c r="AA2161" s="37" t="n">
        <f aca="false">IF($N2161="",0,IF(COUNTIF(Dashboard!$C$13:$C$22,$N2161)&gt;0,1,0))</f>
        <v>0</v>
      </c>
      <c r="AB2161" s="37" t="str">
        <f aca="false">IF($N2161="","",IF(COUNTIF($N$8:$N2161,$N2161)=1,MAX($AB$7:$AB2160)+1,""))</f>
        <v/>
      </c>
    </row>
    <row r="2162" customFormat="false" ht="15" hidden="false" customHeight="false" outlineLevel="0" collapsed="false">
      <c r="L2162" s="37" t="str">
        <f aca="false">IF(INDEX($A2162:$J2162,$L$6)&lt;&gt;"",TRIM(LEFT(INDEX($A2162:$J2162,$L$6),FIND("(",INDEX($A2162:$J2162,$L$6)&amp;"(")-1)),L2161)</f>
        <v>Building Value Proposition</v>
      </c>
      <c r="M2162" s="37" t="str">
        <f aca="false">IF(INDEX($A2162:$J2162,$M$6)="","",INDEX($A2162:$J2162,$M$6)&amp;"")</f>
        <v/>
      </c>
      <c r="N2162" s="37" t="str">
        <f aca="false">IF($M2162="","",TRIM(INDEX($A2162:$J2162,$N$6)&amp;""))</f>
        <v/>
      </c>
      <c r="O2162" s="37" t="str">
        <f aca="false">IF($M2162="","",TRIM(INDEX($A2162:$J2162,$O$6)&amp;""))</f>
        <v/>
      </c>
      <c r="P2162" s="37" t="str">
        <f aca="false">IF($M2162="","",IFERROR(IF(INDEX(Settings!$B$41:$B$50,MATCH(O2162,Settings!$A$41:$A$50,0))&amp;""="","UNMAPPED",INDEX(Settings!$B$41:$B$50,MATCH(O2162,Settings!$A$41:$A$50,0))&amp;""),"UNMAPPED"))</f>
        <v/>
      </c>
      <c r="Q2162" s="38" t="n">
        <f aca="false">IF($M2162="",0,N(INDEX($A2162:$J2162,$Q$6)))</f>
        <v>0</v>
      </c>
      <c r="R2162" s="39" t="str">
        <f aca="false">IF($M2162="","",INDEX($A2162:$J2162,$R$6))</f>
        <v/>
      </c>
      <c r="S2162" s="37" t="str">
        <f aca="false">IF($M2162="","",IFERROR(INDEX(Settings!$B$27:$B$36,MATCH(L2162,Settings!$A$27:$A$36,0))&amp;"","UNMAPPED"))</f>
        <v/>
      </c>
      <c r="T2162" s="37" t="str">
        <f aca="false">IF($M2162="","",IF(NOT(ISNUMBER(R2162)),"NO DATE",IF(S2162="Won",IF(R2162&gt;Settings!$B$5,"Backlog","Delivered"),IF(S2162="Open",IF(R2162&gt;Settings!$B$5,"Pipeline","Overdue"),IF(S2162="Lost","Lost","UNMAPPED")))))</f>
        <v/>
      </c>
      <c r="U2162" s="40" t="n">
        <f aca="false">IF(T2162="Backlog",1,IF(OR(T2162="Pipeline",T2162="Overdue"),N(INDEX(Settings!$C$27:$C$36,MATCH(L2162,Settings!$A$27:$A$36,0))),0))</f>
        <v>0</v>
      </c>
      <c r="V2162" s="38" t="n">
        <f aca="false">Q2162*U2162</f>
        <v>0</v>
      </c>
      <c r="W2162" s="41" t="str">
        <f aca="false">IF($M2162="","",IF(T2162="Overdue",IF(Settings!$B$8="Yes",Settings!$B$7,""),IF(ISNUMBER(R2162),DATE(YEAR(R2162),MONTH(R2162),1),"")))</f>
        <v/>
      </c>
      <c r="X2162" s="38" t="n">
        <f aca="false">IF(AND(OR(T2162="Backlog",T2162="Pipeline",T2162="Overdue"),ISNUMBER(W2162)),IF(W2162&lt;=Settings!$B$6,V2162,0),0)</f>
        <v>0</v>
      </c>
      <c r="Y2162" s="38" t="n">
        <f aca="false">IF(AND(OR(T2162="Backlog",T2162="Pipeline",T2162="Overdue"),ISNUMBER(W2162)),IF(W2162&lt;=Settings!$B$6,Q2162,0),0)</f>
        <v>0</v>
      </c>
      <c r="Z2162" s="38" t="n">
        <f aca="false">IF(Y2162=0,0,IF(T2162="Backlog",Q2162,Q2162*Dashboard!$C$10))</f>
        <v>0</v>
      </c>
      <c r="AA2162" s="37" t="n">
        <f aca="false">IF($N2162="",0,IF(COUNTIF(Dashboard!$C$13:$C$22,$N2162)&gt;0,1,0))</f>
        <v>0</v>
      </c>
      <c r="AB2162" s="37" t="str">
        <f aca="false">IF($N2162="","",IF(COUNTIF($N$8:$N2162,$N2162)=1,MAX($AB$7:$AB2161)+1,""))</f>
        <v/>
      </c>
    </row>
    <row r="2163" customFormat="false" ht="15" hidden="false" customHeight="false" outlineLevel="0" collapsed="false">
      <c r="L2163" s="37" t="str">
        <f aca="false">IF(INDEX($A2163:$J2163,$L$6)&lt;&gt;"",TRIM(LEFT(INDEX($A2163:$J2163,$L$6),FIND("(",INDEX($A2163:$J2163,$L$6)&amp;"(")-1)),L2162)</f>
        <v>Building Value Proposition</v>
      </c>
      <c r="M2163" s="37" t="str">
        <f aca="false">IF(INDEX($A2163:$J2163,$M$6)="","",INDEX($A2163:$J2163,$M$6)&amp;"")</f>
        <v/>
      </c>
      <c r="N2163" s="37" t="str">
        <f aca="false">IF($M2163="","",TRIM(INDEX($A2163:$J2163,$N$6)&amp;""))</f>
        <v/>
      </c>
      <c r="O2163" s="37" t="str">
        <f aca="false">IF($M2163="","",TRIM(INDEX($A2163:$J2163,$O$6)&amp;""))</f>
        <v/>
      </c>
      <c r="P2163" s="37" t="str">
        <f aca="false">IF($M2163="","",IFERROR(IF(INDEX(Settings!$B$41:$B$50,MATCH(O2163,Settings!$A$41:$A$50,0))&amp;""="","UNMAPPED",INDEX(Settings!$B$41:$B$50,MATCH(O2163,Settings!$A$41:$A$50,0))&amp;""),"UNMAPPED"))</f>
        <v/>
      </c>
      <c r="Q2163" s="38" t="n">
        <f aca="false">IF($M2163="",0,N(INDEX($A2163:$J2163,$Q$6)))</f>
        <v>0</v>
      </c>
      <c r="R2163" s="39" t="str">
        <f aca="false">IF($M2163="","",INDEX($A2163:$J2163,$R$6))</f>
        <v/>
      </c>
      <c r="S2163" s="37" t="str">
        <f aca="false">IF($M2163="","",IFERROR(INDEX(Settings!$B$27:$B$36,MATCH(L2163,Settings!$A$27:$A$36,0))&amp;"","UNMAPPED"))</f>
        <v/>
      </c>
      <c r="T2163" s="37" t="str">
        <f aca="false">IF($M2163="","",IF(NOT(ISNUMBER(R2163)),"NO DATE",IF(S2163="Won",IF(R2163&gt;Settings!$B$5,"Backlog","Delivered"),IF(S2163="Open",IF(R2163&gt;Settings!$B$5,"Pipeline","Overdue"),IF(S2163="Lost","Lost","UNMAPPED")))))</f>
        <v/>
      </c>
      <c r="U2163" s="40" t="n">
        <f aca="false">IF(T2163="Backlog",1,IF(OR(T2163="Pipeline",T2163="Overdue"),N(INDEX(Settings!$C$27:$C$36,MATCH(L2163,Settings!$A$27:$A$36,0))),0))</f>
        <v>0</v>
      </c>
      <c r="V2163" s="38" t="n">
        <f aca="false">Q2163*U2163</f>
        <v>0</v>
      </c>
      <c r="W2163" s="41" t="str">
        <f aca="false">IF($M2163="","",IF(T2163="Overdue",IF(Settings!$B$8="Yes",Settings!$B$7,""),IF(ISNUMBER(R2163),DATE(YEAR(R2163),MONTH(R2163),1),"")))</f>
        <v/>
      </c>
      <c r="X2163" s="38" t="n">
        <f aca="false">IF(AND(OR(T2163="Backlog",T2163="Pipeline",T2163="Overdue"),ISNUMBER(W2163)),IF(W2163&lt;=Settings!$B$6,V2163,0),0)</f>
        <v>0</v>
      </c>
      <c r="Y2163" s="38" t="n">
        <f aca="false">IF(AND(OR(T2163="Backlog",T2163="Pipeline",T2163="Overdue"),ISNUMBER(W2163)),IF(W2163&lt;=Settings!$B$6,Q2163,0),0)</f>
        <v>0</v>
      </c>
      <c r="Z2163" s="38" t="n">
        <f aca="false">IF(Y2163=0,0,IF(T2163="Backlog",Q2163,Q2163*Dashboard!$C$10))</f>
        <v>0</v>
      </c>
      <c r="AA2163" s="37" t="n">
        <f aca="false">IF($N2163="",0,IF(COUNTIF(Dashboard!$C$13:$C$22,$N2163)&gt;0,1,0))</f>
        <v>0</v>
      </c>
      <c r="AB2163" s="37" t="str">
        <f aca="false">IF($N2163="","",IF(COUNTIF($N$8:$N2163,$N2163)=1,MAX($AB$7:$AB2162)+1,""))</f>
        <v/>
      </c>
    </row>
    <row r="2164" customFormat="false" ht="15" hidden="false" customHeight="false" outlineLevel="0" collapsed="false">
      <c r="L2164" s="37" t="str">
        <f aca="false">IF(INDEX($A2164:$J2164,$L$6)&lt;&gt;"",TRIM(LEFT(INDEX($A2164:$J2164,$L$6),FIND("(",INDEX($A2164:$J2164,$L$6)&amp;"(")-1)),L2163)</f>
        <v>Building Value Proposition</v>
      </c>
      <c r="M2164" s="37" t="str">
        <f aca="false">IF(INDEX($A2164:$J2164,$M$6)="","",INDEX($A2164:$J2164,$M$6)&amp;"")</f>
        <v/>
      </c>
      <c r="N2164" s="37" t="str">
        <f aca="false">IF($M2164="","",TRIM(INDEX($A2164:$J2164,$N$6)&amp;""))</f>
        <v/>
      </c>
      <c r="O2164" s="37" t="str">
        <f aca="false">IF($M2164="","",TRIM(INDEX($A2164:$J2164,$O$6)&amp;""))</f>
        <v/>
      </c>
      <c r="P2164" s="37" t="str">
        <f aca="false">IF($M2164="","",IFERROR(IF(INDEX(Settings!$B$41:$B$50,MATCH(O2164,Settings!$A$41:$A$50,0))&amp;""="","UNMAPPED",INDEX(Settings!$B$41:$B$50,MATCH(O2164,Settings!$A$41:$A$50,0))&amp;""),"UNMAPPED"))</f>
        <v/>
      </c>
      <c r="Q2164" s="38" t="n">
        <f aca="false">IF($M2164="",0,N(INDEX($A2164:$J2164,$Q$6)))</f>
        <v>0</v>
      </c>
      <c r="R2164" s="39" t="str">
        <f aca="false">IF($M2164="","",INDEX($A2164:$J2164,$R$6))</f>
        <v/>
      </c>
      <c r="S2164" s="37" t="str">
        <f aca="false">IF($M2164="","",IFERROR(INDEX(Settings!$B$27:$B$36,MATCH(L2164,Settings!$A$27:$A$36,0))&amp;"","UNMAPPED"))</f>
        <v/>
      </c>
      <c r="T2164" s="37" t="str">
        <f aca="false">IF($M2164="","",IF(NOT(ISNUMBER(R2164)),"NO DATE",IF(S2164="Won",IF(R2164&gt;Settings!$B$5,"Backlog","Delivered"),IF(S2164="Open",IF(R2164&gt;Settings!$B$5,"Pipeline","Overdue"),IF(S2164="Lost","Lost","UNMAPPED")))))</f>
        <v/>
      </c>
      <c r="U2164" s="40" t="n">
        <f aca="false">IF(T2164="Backlog",1,IF(OR(T2164="Pipeline",T2164="Overdue"),N(INDEX(Settings!$C$27:$C$36,MATCH(L2164,Settings!$A$27:$A$36,0))),0))</f>
        <v>0</v>
      </c>
      <c r="V2164" s="38" t="n">
        <f aca="false">Q2164*U2164</f>
        <v>0</v>
      </c>
      <c r="W2164" s="41" t="str">
        <f aca="false">IF($M2164="","",IF(T2164="Overdue",IF(Settings!$B$8="Yes",Settings!$B$7,""),IF(ISNUMBER(R2164),DATE(YEAR(R2164),MONTH(R2164),1),"")))</f>
        <v/>
      </c>
      <c r="X2164" s="38" t="n">
        <f aca="false">IF(AND(OR(T2164="Backlog",T2164="Pipeline",T2164="Overdue"),ISNUMBER(W2164)),IF(W2164&lt;=Settings!$B$6,V2164,0),0)</f>
        <v>0</v>
      </c>
      <c r="Y2164" s="38" t="n">
        <f aca="false">IF(AND(OR(T2164="Backlog",T2164="Pipeline",T2164="Overdue"),ISNUMBER(W2164)),IF(W2164&lt;=Settings!$B$6,Q2164,0),0)</f>
        <v>0</v>
      </c>
      <c r="Z2164" s="38" t="n">
        <f aca="false">IF(Y2164=0,0,IF(T2164="Backlog",Q2164,Q2164*Dashboard!$C$10))</f>
        <v>0</v>
      </c>
      <c r="AA2164" s="37" t="n">
        <f aca="false">IF($N2164="",0,IF(COUNTIF(Dashboard!$C$13:$C$22,$N2164)&gt;0,1,0))</f>
        <v>0</v>
      </c>
      <c r="AB2164" s="37" t="str">
        <f aca="false">IF($N2164="","",IF(COUNTIF($N$8:$N2164,$N2164)=1,MAX($AB$7:$AB2163)+1,""))</f>
        <v/>
      </c>
    </row>
    <row r="2165" customFormat="false" ht="15" hidden="false" customHeight="false" outlineLevel="0" collapsed="false">
      <c r="L2165" s="37" t="str">
        <f aca="false">IF(INDEX($A2165:$J2165,$L$6)&lt;&gt;"",TRIM(LEFT(INDEX($A2165:$J2165,$L$6),FIND("(",INDEX($A2165:$J2165,$L$6)&amp;"(")-1)),L2164)</f>
        <v>Building Value Proposition</v>
      </c>
      <c r="M2165" s="37" t="str">
        <f aca="false">IF(INDEX($A2165:$J2165,$M$6)="","",INDEX($A2165:$J2165,$M$6)&amp;"")</f>
        <v/>
      </c>
      <c r="N2165" s="37" t="str">
        <f aca="false">IF($M2165="","",TRIM(INDEX($A2165:$J2165,$N$6)&amp;""))</f>
        <v/>
      </c>
      <c r="O2165" s="37" t="str">
        <f aca="false">IF($M2165="","",TRIM(INDEX($A2165:$J2165,$O$6)&amp;""))</f>
        <v/>
      </c>
      <c r="P2165" s="37" t="str">
        <f aca="false">IF($M2165="","",IFERROR(IF(INDEX(Settings!$B$41:$B$50,MATCH(O2165,Settings!$A$41:$A$50,0))&amp;""="","UNMAPPED",INDEX(Settings!$B$41:$B$50,MATCH(O2165,Settings!$A$41:$A$50,0))&amp;""),"UNMAPPED"))</f>
        <v/>
      </c>
      <c r="Q2165" s="38" t="n">
        <f aca="false">IF($M2165="",0,N(INDEX($A2165:$J2165,$Q$6)))</f>
        <v>0</v>
      </c>
      <c r="R2165" s="39" t="str">
        <f aca="false">IF($M2165="","",INDEX($A2165:$J2165,$R$6))</f>
        <v/>
      </c>
      <c r="S2165" s="37" t="str">
        <f aca="false">IF($M2165="","",IFERROR(INDEX(Settings!$B$27:$B$36,MATCH(L2165,Settings!$A$27:$A$36,0))&amp;"","UNMAPPED"))</f>
        <v/>
      </c>
      <c r="T2165" s="37" t="str">
        <f aca="false">IF($M2165="","",IF(NOT(ISNUMBER(R2165)),"NO DATE",IF(S2165="Won",IF(R2165&gt;Settings!$B$5,"Backlog","Delivered"),IF(S2165="Open",IF(R2165&gt;Settings!$B$5,"Pipeline","Overdue"),IF(S2165="Lost","Lost","UNMAPPED")))))</f>
        <v/>
      </c>
      <c r="U2165" s="40" t="n">
        <f aca="false">IF(T2165="Backlog",1,IF(OR(T2165="Pipeline",T2165="Overdue"),N(INDEX(Settings!$C$27:$C$36,MATCH(L2165,Settings!$A$27:$A$36,0))),0))</f>
        <v>0</v>
      </c>
      <c r="V2165" s="38" t="n">
        <f aca="false">Q2165*U2165</f>
        <v>0</v>
      </c>
      <c r="W2165" s="41" t="str">
        <f aca="false">IF($M2165="","",IF(T2165="Overdue",IF(Settings!$B$8="Yes",Settings!$B$7,""),IF(ISNUMBER(R2165),DATE(YEAR(R2165),MONTH(R2165),1),"")))</f>
        <v/>
      </c>
      <c r="X2165" s="38" t="n">
        <f aca="false">IF(AND(OR(T2165="Backlog",T2165="Pipeline",T2165="Overdue"),ISNUMBER(W2165)),IF(W2165&lt;=Settings!$B$6,V2165,0),0)</f>
        <v>0</v>
      </c>
      <c r="Y2165" s="38" t="n">
        <f aca="false">IF(AND(OR(T2165="Backlog",T2165="Pipeline",T2165="Overdue"),ISNUMBER(W2165)),IF(W2165&lt;=Settings!$B$6,Q2165,0),0)</f>
        <v>0</v>
      </c>
      <c r="Z2165" s="38" t="n">
        <f aca="false">IF(Y2165=0,0,IF(T2165="Backlog",Q2165,Q2165*Dashboard!$C$10))</f>
        <v>0</v>
      </c>
      <c r="AA2165" s="37" t="n">
        <f aca="false">IF($N2165="",0,IF(COUNTIF(Dashboard!$C$13:$C$22,$N2165)&gt;0,1,0))</f>
        <v>0</v>
      </c>
      <c r="AB2165" s="37" t="str">
        <f aca="false">IF($N2165="","",IF(COUNTIF($N$8:$N2165,$N2165)=1,MAX($AB$7:$AB2164)+1,""))</f>
        <v/>
      </c>
    </row>
    <row r="2166" customFormat="false" ht="15" hidden="false" customHeight="false" outlineLevel="0" collapsed="false">
      <c r="L2166" s="37" t="str">
        <f aca="false">IF(INDEX($A2166:$J2166,$L$6)&lt;&gt;"",TRIM(LEFT(INDEX($A2166:$J2166,$L$6),FIND("(",INDEX($A2166:$J2166,$L$6)&amp;"(")-1)),L2165)</f>
        <v>Building Value Proposition</v>
      </c>
      <c r="M2166" s="37" t="str">
        <f aca="false">IF(INDEX($A2166:$J2166,$M$6)="","",INDEX($A2166:$J2166,$M$6)&amp;"")</f>
        <v/>
      </c>
      <c r="N2166" s="37" t="str">
        <f aca="false">IF($M2166="","",TRIM(INDEX($A2166:$J2166,$N$6)&amp;""))</f>
        <v/>
      </c>
      <c r="O2166" s="37" t="str">
        <f aca="false">IF($M2166="","",TRIM(INDEX($A2166:$J2166,$O$6)&amp;""))</f>
        <v/>
      </c>
      <c r="P2166" s="37" t="str">
        <f aca="false">IF($M2166="","",IFERROR(IF(INDEX(Settings!$B$41:$B$50,MATCH(O2166,Settings!$A$41:$A$50,0))&amp;""="","UNMAPPED",INDEX(Settings!$B$41:$B$50,MATCH(O2166,Settings!$A$41:$A$50,0))&amp;""),"UNMAPPED"))</f>
        <v/>
      </c>
      <c r="Q2166" s="38" t="n">
        <f aca="false">IF($M2166="",0,N(INDEX($A2166:$J2166,$Q$6)))</f>
        <v>0</v>
      </c>
      <c r="R2166" s="39" t="str">
        <f aca="false">IF($M2166="","",INDEX($A2166:$J2166,$R$6))</f>
        <v/>
      </c>
      <c r="S2166" s="37" t="str">
        <f aca="false">IF($M2166="","",IFERROR(INDEX(Settings!$B$27:$B$36,MATCH(L2166,Settings!$A$27:$A$36,0))&amp;"","UNMAPPED"))</f>
        <v/>
      </c>
      <c r="T2166" s="37" t="str">
        <f aca="false">IF($M2166="","",IF(NOT(ISNUMBER(R2166)),"NO DATE",IF(S2166="Won",IF(R2166&gt;Settings!$B$5,"Backlog","Delivered"),IF(S2166="Open",IF(R2166&gt;Settings!$B$5,"Pipeline","Overdue"),IF(S2166="Lost","Lost","UNMAPPED")))))</f>
        <v/>
      </c>
      <c r="U2166" s="40" t="n">
        <f aca="false">IF(T2166="Backlog",1,IF(OR(T2166="Pipeline",T2166="Overdue"),N(INDEX(Settings!$C$27:$C$36,MATCH(L2166,Settings!$A$27:$A$36,0))),0))</f>
        <v>0</v>
      </c>
      <c r="V2166" s="38" t="n">
        <f aca="false">Q2166*U2166</f>
        <v>0</v>
      </c>
      <c r="W2166" s="41" t="str">
        <f aca="false">IF($M2166="","",IF(T2166="Overdue",IF(Settings!$B$8="Yes",Settings!$B$7,""),IF(ISNUMBER(R2166),DATE(YEAR(R2166),MONTH(R2166),1),"")))</f>
        <v/>
      </c>
      <c r="X2166" s="38" t="n">
        <f aca="false">IF(AND(OR(T2166="Backlog",T2166="Pipeline",T2166="Overdue"),ISNUMBER(W2166)),IF(W2166&lt;=Settings!$B$6,V2166,0),0)</f>
        <v>0</v>
      </c>
      <c r="Y2166" s="38" t="n">
        <f aca="false">IF(AND(OR(T2166="Backlog",T2166="Pipeline",T2166="Overdue"),ISNUMBER(W2166)),IF(W2166&lt;=Settings!$B$6,Q2166,0),0)</f>
        <v>0</v>
      </c>
      <c r="Z2166" s="38" t="n">
        <f aca="false">IF(Y2166=0,0,IF(T2166="Backlog",Q2166,Q2166*Dashboard!$C$10))</f>
        <v>0</v>
      </c>
      <c r="AA2166" s="37" t="n">
        <f aca="false">IF($N2166="",0,IF(COUNTIF(Dashboard!$C$13:$C$22,$N2166)&gt;0,1,0))</f>
        <v>0</v>
      </c>
      <c r="AB2166" s="37" t="str">
        <f aca="false">IF($N2166="","",IF(COUNTIF($N$8:$N2166,$N2166)=1,MAX($AB$7:$AB2165)+1,""))</f>
        <v/>
      </c>
    </row>
    <row r="2167" customFormat="false" ht="15" hidden="false" customHeight="false" outlineLevel="0" collapsed="false">
      <c r="L2167" s="37" t="str">
        <f aca="false">IF(INDEX($A2167:$J2167,$L$6)&lt;&gt;"",TRIM(LEFT(INDEX($A2167:$J2167,$L$6),FIND("(",INDEX($A2167:$J2167,$L$6)&amp;"(")-1)),L2166)</f>
        <v>Building Value Proposition</v>
      </c>
      <c r="M2167" s="37" t="str">
        <f aca="false">IF(INDEX($A2167:$J2167,$M$6)="","",INDEX($A2167:$J2167,$M$6)&amp;"")</f>
        <v/>
      </c>
      <c r="N2167" s="37" t="str">
        <f aca="false">IF($M2167="","",TRIM(INDEX($A2167:$J2167,$N$6)&amp;""))</f>
        <v/>
      </c>
      <c r="O2167" s="37" t="str">
        <f aca="false">IF($M2167="","",TRIM(INDEX($A2167:$J2167,$O$6)&amp;""))</f>
        <v/>
      </c>
      <c r="P2167" s="37" t="str">
        <f aca="false">IF($M2167="","",IFERROR(IF(INDEX(Settings!$B$41:$B$50,MATCH(O2167,Settings!$A$41:$A$50,0))&amp;""="","UNMAPPED",INDEX(Settings!$B$41:$B$50,MATCH(O2167,Settings!$A$41:$A$50,0))&amp;""),"UNMAPPED"))</f>
        <v/>
      </c>
      <c r="Q2167" s="38" t="n">
        <f aca="false">IF($M2167="",0,N(INDEX($A2167:$J2167,$Q$6)))</f>
        <v>0</v>
      </c>
      <c r="R2167" s="39" t="str">
        <f aca="false">IF($M2167="","",INDEX($A2167:$J2167,$R$6))</f>
        <v/>
      </c>
      <c r="S2167" s="37" t="str">
        <f aca="false">IF($M2167="","",IFERROR(INDEX(Settings!$B$27:$B$36,MATCH(L2167,Settings!$A$27:$A$36,0))&amp;"","UNMAPPED"))</f>
        <v/>
      </c>
      <c r="T2167" s="37" t="str">
        <f aca="false">IF($M2167="","",IF(NOT(ISNUMBER(R2167)),"NO DATE",IF(S2167="Won",IF(R2167&gt;Settings!$B$5,"Backlog","Delivered"),IF(S2167="Open",IF(R2167&gt;Settings!$B$5,"Pipeline","Overdue"),IF(S2167="Lost","Lost","UNMAPPED")))))</f>
        <v/>
      </c>
      <c r="U2167" s="40" t="n">
        <f aca="false">IF(T2167="Backlog",1,IF(OR(T2167="Pipeline",T2167="Overdue"),N(INDEX(Settings!$C$27:$C$36,MATCH(L2167,Settings!$A$27:$A$36,0))),0))</f>
        <v>0</v>
      </c>
      <c r="V2167" s="38" t="n">
        <f aca="false">Q2167*U2167</f>
        <v>0</v>
      </c>
      <c r="W2167" s="41" t="str">
        <f aca="false">IF($M2167="","",IF(T2167="Overdue",IF(Settings!$B$8="Yes",Settings!$B$7,""),IF(ISNUMBER(R2167),DATE(YEAR(R2167),MONTH(R2167),1),"")))</f>
        <v/>
      </c>
      <c r="X2167" s="38" t="n">
        <f aca="false">IF(AND(OR(T2167="Backlog",T2167="Pipeline",T2167="Overdue"),ISNUMBER(W2167)),IF(W2167&lt;=Settings!$B$6,V2167,0),0)</f>
        <v>0</v>
      </c>
      <c r="Y2167" s="38" t="n">
        <f aca="false">IF(AND(OR(T2167="Backlog",T2167="Pipeline",T2167="Overdue"),ISNUMBER(W2167)),IF(W2167&lt;=Settings!$B$6,Q2167,0),0)</f>
        <v>0</v>
      </c>
      <c r="Z2167" s="38" t="n">
        <f aca="false">IF(Y2167=0,0,IF(T2167="Backlog",Q2167,Q2167*Dashboard!$C$10))</f>
        <v>0</v>
      </c>
      <c r="AA2167" s="37" t="n">
        <f aca="false">IF($N2167="",0,IF(COUNTIF(Dashboard!$C$13:$C$22,$N2167)&gt;0,1,0))</f>
        <v>0</v>
      </c>
      <c r="AB2167" s="37" t="str">
        <f aca="false">IF($N2167="","",IF(COUNTIF($N$8:$N2167,$N2167)=1,MAX($AB$7:$AB2166)+1,""))</f>
        <v/>
      </c>
    </row>
    <row r="2168" customFormat="false" ht="15" hidden="false" customHeight="false" outlineLevel="0" collapsed="false">
      <c r="L2168" s="37" t="str">
        <f aca="false">IF(INDEX($A2168:$J2168,$L$6)&lt;&gt;"",TRIM(LEFT(INDEX($A2168:$J2168,$L$6),FIND("(",INDEX($A2168:$J2168,$L$6)&amp;"(")-1)),L2167)</f>
        <v>Building Value Proposition</v>
      </c>
      <c r="M2168" s="37" t="str">
        <f aca="false">IF(INDEX($A2168:$J2168,$M$6)="","",INDEX($A2168:$J2168,$M$6)&amp;"")</f>
        <v/>
      </c>
      <c r="N2168" s="37" t="str">
        <f aca="false">IF($M2168="","",TRIM(INDEX($A2168:$J2168,$N$6)&amp;""))</f>
        <v/>
      </c>
      <c r="O2168" s="37" t="str">
        <f aca="false">IF($M2168="","",TRIM(INDEX($A2168:$J2168,$O$6)&amp;""))</f>
        <v/>
      </c>
      <c r="P2168" s="37" t="str">
        <f aca="false">IF($M2168="","",IFERROR(IF(INDEX(Settings!$B$41:$B$50,MATCH(O2168,Settings!$A$41:$A$50,0))&amp;""="","UNMAPPED",INDEX(Settings!$B$41:$B$50,MATCH(O2168,Settings!$A$41:$A$50,0))&amp;""),"UNMAPPED"))</f>
        <v/>
      </c>
      <c r="Q2168" s="38" t="n">
        <f aca="false">IF($M2168="",0,N(INDEX($A2168:$J2168,$Q$6)))</f>
        <v>0</v>
      </c>
      <c r="R2168" s="39" t="str">
        <f aca="false">IF($M2168="","",INDEX($A2168:$J2168,$R$6))</f>
        <v/>
      </c>
      <c r="S2168" s="37" t="str">
        <f aca="false">IF($M2168="","",IFERROR(INDEX(Settings!$B$27:$B$36,MATCH(L2168,Settings!$A$27:$A$36,0))&amp;"","UNMAPPED"))</f>
        <v/>
      </c>
      <c r="T2168" s="37" t="str">
        <f aca="false">IF($M2168="","",IF(NOT(ISNUMBER(R2168)),"NO DATE",IF(S2168="Won",IF(R2168&gt;Settings!$B$5,"Backlog","Delivered"),IF(S2168="Open",IF(R2168&gt;Settings!$B$5,"Pipeline","Overdue"),IF(S2168="Lost","Lost","UNMAPPED")))))</f>
        <v/>
      </c>
      <c r="U2168" s="40" t="n">
        <f aca="false">IF(T2168="Backlog",1,IF(OR(T2168="Pipeline",T2168="Overdue"),N(INDEX(Settings!$C$27:$C$36,MATCH(L2168,Settings!$A$27:$A$36,0))),0))</f>
        <v>0</v>
      </c>
      <c r="V2168" s="38" t="n">
        <f aca="false">Q2168*U2168</f>
        <v>0</v>
      </c>
      <c r="W2168" s="41" t="str">
        <f aca="false">IF($M2168="","",IF(T2168="Overdue",IF(Settings!$B$8="Yes",Settings!$B$7,""),IF(ISNUMBER(R2168),DATE(YEAR(R2168),MONTH(R2168),1),"")))</f>
        <v/>
      </c>
      <c r="X2168" s="38" t="n">
        <f aca="false">IF(AND(OR(T2168="Backlog",T2168="Pipeline",T2168="Overdue"),ISNUMBER(W2168)),IF(W2168&lt;=Settings!$B$6,V2168,0),0)</f>
        <v>0</v>
      </c>
      <c r="Y2168" s="38" t="n">
        <f aca="false">IF(AND(OR(T2168="Backlog",T2168="Pipeline",T2168="Overdue"),ISNUMBER(W2168)),IF(W2168&lt;=Settings!$B$6,Q2168,0),0)</f>
        <v>0</v>
      </c>
      <c r="Z2168" s="38" t="n">
        <f aca="false">IF(Y2168=0,0,IF(T2168="Backlog",Q2168,Q2168*Dashboard!$C$10))</f>
        <v>0</v>
      </c>
      <c r="AA2168" s="37" t="n">
        <f aca="false">IF($N2168="",0,IF(COUNTIF(Dashboard!$C$13:$C$22,$N2168)&gt;0,1,0))</f>
        <v>0</v>
      </c>
      <c r="AB2168" s="37" t="str">
        <f aca="false">IF($N2168="","",IF(COUNTIF($N$8:$N2168,$N2168)=1,MAX($AB$7:$AB2167)+1,""))</f>
        <v/>
      </c>
    </row>
    <row r="2169" customFormat="false" ht="15" hidden="false" customHeight="false" outlineLevel="0" collapsed="false">
      <c r="L2169" s="37" t="str">
        <f aca="false">IF(INDEX($A2169:$J2169,$L$6)&lt;&gt;"",TRIM(LEFT(INDEX($A2169:$J2169,$L$6),FIND("(",INDEX($A2169:$J2169,$L$6)&amp;"(")-1)),L2168)</f>
        <v>Building Value Proposition</v>
      </c>
      <c r="M2169" s="37" t="str">
        <f aca="false">IF(INDEX($A2169:$J2169,$M$6)="","",INDEX($A2169:$J2169,$M$6)&amp;"")</f>
        <v/>
      </c>
      <c r="N2169" s="37" t="str">
        <f aca="false">IF($M2169="","",TRIM(INDEX($A2169:$J2169,$N$6)&amp;""))</f>
        <v/>
      </c>
      <c r="O2169" s="37" t="str">
        <f aca="false">IF($M2169="","",TRIM(INDEX($A2169:$J2169,$O$6)&amp;""))</f>
        <v/>
      </c>
      <c r="P2169" s="37" t="str">
        <f aca="false">IF($M2169="","",IFERROR(IF(INDEX(Settings!$B$41:$B$50,MATCH(O2169,Settings!$A$41:$A$50,0))&amp;""="","UNMAPPED",INDEX(Settings!$B$41:$B$50,MATCH(O2169,Settings!$A$41:$A$50,0))&amp;""),"UNMAPPED"))</f>
        <v/>
      </c>
      <c r="Q2169" s="38" t="n">
        <f aca="false">IF($M2169="",0,N(INDEX($A2169:$J2169,$Q$6)))</f>
        <v>0</v>
      </c>
      <c r="R2169" s="39" t="str">
        <f aca="false">IF($M2169="","",INDEX($A2169:$J2169,$R$6))</f>
        <v/>
      </c>
      <c r="S2169" s="37" t="str">
        <f aca="false">IF($M2169="","",IFERROR(INDEX(Settings!$B$27:$B$36,MATCH(L2169,Settings!$A$27:$A$36,0))&amp;"","UNMAPPED"))</f>
        <v/>
      </c>
      <c r="T2169" s="37" t="str">
        <f aca="false">IF($M2169="","",IF(NOT(ISNUMBER(R2169)),"NO DATE",IF(S2169="Won",IF(R2169&gt;Settings!$B$5,"Backlog","Delivered"),IF(S2169="Open",IF(R2169&gt;Settings!$B$5,"Pipeline","Overdue"),IF(S2169="Lost","Lost","UNMAPPED")))))</f>
        <v/>
      </c>
      <c r="U2169" s="40" t="n">
        <f aca="false">IF(T2169="Backlog",1,IF(OR(T2169="Pipeline",T2169="Overdue"),N(INDEX(Settings!$C$27:$C$36,MATCH(L2169,Settings!$A$27:$A$36,0))),0))</f>
        <v>0</v>
      </c>
      <c r="V2169" s="38" t="n">
        <f aca="false">Q2169*U2169</f>
        <v>0</v>
      </c>
      <c r="W2169" s="41" t="str">
        <f aca="false">IF($M2169="","",IF(T2169="Overdue",IF(Settings!$B$8="Yes",Settings!$B$7,""),IF(ISNUMBER(R2169),DATE(YEAR(R2169),MONTH(R2169),1),"")))</f>
        <v/>
      </c>
      <c r="X2169" s="38" t="n">
        <f aca="false">IF(AND(OR(T2169="Backlog",T2169="Pipeline",T2169="Overdue"),ISNUMBER(W2169)),IF(W2169&lt;=Settings!$B$6,V2169,0),0)</f>
        <v>0</v>
      </c>
      <c r="Y2169" s="38" t="n">
        <f aca="false">IF(AND(OR(T2169="Backlog",T2169="Pipeline",T2169="Overdue"),ISNUMBER(W2169)),IF(W2169&lt;=Settings!$B$6,Q2169,0),0)</f>
        <v>0</v>
      </c>
      <c r="Z2169" s="38" t="n">
        <f aca="false">IF(Y2169=0,0,IF(T2169="Backlog",Q2169,Q2169*Dashboard!$C$10))</f>
        <v>0</v>
      </c>
      <c r="AA2169" s="37" t="n">
        <f aca="false">IF($N2169="",0,IF(COUNTIF(Dashboard!$C$13:$C$22,$N2169)&gt;0,1,0))</f>
        <v>0</v>
      </c>
      <c r="AB2169" s="37" t="str">
        <f aca="false">IF($N2169="","",IF(COUNTIF($N$8:$N2169,$N2169)=1,MAX($AB$7:$AB2168)+1,""))</f>
        <v/>
      </c>
    </row>
    <row r="2170" customFormat="false" ht="15" hidden="false" customHeight="false" outlineLevel="0" collapsed="false">
      <c r="L2170" s="37" t="str">
        <f aca="false">IF(INDEX($A2170:$J2170,$L$6)&lt;&gt;"",TRIM(LEFT(INDEX($A2170:$J2170,$L$6),FIND("(",INDEX($A2170:$J2170,$L$6)&amp;"(")-1)),L2169)</f>
        <v>Building Value Proposition</v>
      </c>
      <c r="M2170" s="37" t="str">
        <f aca="false">IF(INDEX($A2170:$J2170,$M$6)="","",INDEX($A2170:$J2170,$M$6)&amp;"")</f>
        <v/>
      </c>
      <c r="N2170" s="37" t="str">
        <f aca="false">IF($M2170="","",TRIM(INDEX($A2170:$J2170,$N$6)&amp;""))</f>
        <v/>
      </c>
      <c r="O2170" s="37" t="str">
        <f aca="false">IF($M2170="","",TRIM(INDEX($A2170:$J2170,$O$6)&amp;""))</f>
        <v/>
      </c>
      <c r="P2170" s="37" t="str">
        <f aca="false">IF($M2170="","",IFERROR(IF(INDEX(Settings!$B$41:$B$50,MATCH(O2170,Settings!$A$41:$A$50,0))&amp;""="","UNMAPPED",INDEX(Settings!$B$41:$B$50,MATCH(O2170,Settings!$A$41:$A$50,0))&amp;""),"UNMAPPED"))</f>
        <v/>
      </c>
      <c r="Q2170" s="38" t="n">
        <f aca="false">IF($M2170="",0,N(INDEX($A2170:$J2170,$Q$6)))</f>
        <v>0</v>
      </c>
      <c r="R2170" s="39" t="str">
        <f aca="false">IF($M2170="","",INDEX($A2170:$J2170,$R$6))</f>
        <v/>
      </c>
      <c r="S2170" s="37" t="str">
        <f aca="false">IF($M2170="","",IFERROR(INDEX(Settings!$B$27:$B$36,MATCH(L2170,Settings!$A$27:$A$36,0))&amp;"","UNMAPPED"))</f>
        <v/>
      </c>
      <c r="T2170" s="37" t="str">
        <f aca="false">IF($M2170="","",IF(NOT(ISNUMBER(R2170)),"NO DATE",IF(S2170="Won",IF(R2170&gt;Settings!$B$5,"Backlog","Delivered"),IF(S2170="Open",IF(R2170&gt;Settings!$B$5,"Pipeline","Overdue"),IF(S2170="Lost","Lost","UNMAPPED")))))</f>
        <v/>
      </c>
      <c r="U2170" s="40" t="n">
        <f aca="false">IF(T2170="Backlog",1,IF(OR(T2170="Pipeline",T2170="Overdue"),N(INDEX(Settings!$C$27:$C$36,MATCH(L2170,Settings!$A$27:$A$36,0))),0))</f>
        <v>0</v>
      </c>
      <c r="V2170" s="38" t="n">
        <f aca="false">Q2170*U2170</f>
        <v>0</v>
      </c>
      <c r="W2170" s="41" t="str">
        <f aca="false">IF($M2170="","",IF(T2170="Overdue",IF(Settings!$B$8="Yes",Settings!$B$7,""),IF(ISNUMBER(R2170),DATE(YEAR(R2170),MONTH(R2170),1),"")))</f>
        <v/>
      </c>
      <c r="X2170" s="38" t="n">
        <f aca="false">IF(AND(OR(T2170="Backlog",T2170="Pipeline",T2170="Overdue"),ISNUMBER(W2170)),IF(W2170&lt;=Settings!$B$6,V2170,0),0)</f>
        <v>0</v>
      </c>
      <c r="Y2170" s="38" t="n">
        <f aca="false">IF(AND(OR(T2170="Backlog",T2170="Pipeline",T2170="Overdue"),ISNUMBER(W2170)),IF(W2170&lt;=Settings!$B$6,Q2170,0),0)</f>
        <v>0</v>
      </c>
      <c r="Z2170" s="38" t="n">
        <f aca="false">IF(Y2170=0,0,IF(T2170="Backlog",Q2170,Q2170*Dashboard!$C$10))</f>
        <v>0</v>
      </c>
      <c r="AA2170" s="37" t="n">
        <f aca="false">IF($N2170="",0,IF(COUNTIF(Dashboard!$C$13:$C$22,$N2170)&gt;0,1,0))</f>
        <v>0</v>
      </c>
      <c r="AB2170" s="37" t="str">
        <f aca="false">IF($N2170="","",IF(COUNTIF($N$8:$N2170,$N2170)=1,MAX($AB$7:$AB2169)+1,""))</f>
        <v/>
      </c>
    </row>
    <row r="2171" customFormat="false" ht="15" hidden="false" customHeight="false" outlineLevel="0" collapsed="false">
      <c r="L2171" s="37" t="str">
        <f aca="false">IF(INDEX($A2171:$J2171,$L$6)&lt;&gt;"",TRIM(LEFT(INDEX($A2171:$J2171,$L$6),FIND("(",INDEX($A2171:$J2171,$L$6)&amp;"(")-1)),L2170)</f>
        <v>Building Value Proposition</v>
      </c>
      <c r="M2171" s="37" t="str">
        <f aca="false">IF(INDEX($A2171:$J2171,$M$6)="","",INDEX($A2171:$J2171,$M$6)&amp;"")</f>
        <v/>
      </c>
      <c r="N2171" s="37" t="str">
        <f aca="false">IF($M2171="","",TRIM(INDEX($A2171:$J2171,$N$6)&amp;""))</f>
        <v/>
      </c>
      <c r="O2171" s="37" t="str">
        <f aca="false">IF($M2171="","",TRIM(INDEX($A2171:$J2171,$O$6)&amp;""))</f>
        <v/>
      </c>
      <c r="P2171" s="37" t="str">
        <f aca="false">IF($M2171="","",IFERROR(IF(INDEX(Settings!$B$41:$B$50,MATCH(O2171,Settings!$A$41:$A$50,0))&amp;""="","UNMAPPED",INDEX(Settings!$B$41:$B$50,MATCH(O2171,Settings!$A$41:$A$50,0))&amp;""),"UNMAPPED"))</f>
        <v/>
      </c>
      <c r="Q2171" s="38" t="n">
        <f aca="false">IF($M2171="",0,N(INDEX($A2171:$J2171,$Q$6)))</f>
        <v>0</v>
      </c>
      <c r="R2171" s="39" t="str">
        <f aca="false">IF($M2171="","",INDEX($A2171:$J2171,$R$6))</f>
        <v/>
      </c>
      <c r="S2171" s="37" t="str">
        <f aca="false">IF($M2171="","",IFERROR(INDEX(Settings!$B$27:$B$36,MATCH(L2171,Settings!$A$27:$A$36,0))&amp;"","UNMAPPED"))</f>
        <v/>
      </c>
      <c r="T2171" s="37" t="str">
        <f aca="false">IF($M2171="","",IF(NOT(ISNUMBER(R2171)),"NO DATE",IF(S2171="Won",IF(R2171&gt;Settings!$B$5,"Backlog","Delivered"),IF(S2171="Open",IF(R2171&gt;Settings!$B$5,"Pipeline","Overdue"),IF(S2171="Lost","Lost","UNMAPPED")))))</f>
        <v/>
      </c>
      <c r="U2171" s="40" t="n">
        <f aca="false">IF(T2171="Backlog",1,IF(OR(T2171="Pipeline",T2171="Overdue"),N(INDEX(Settings!$C$27:$C$36,MATCH(L2171,Settings!$A$27:$A$36,0))),0))</f>
        <v>0</v>
      </c>
      <c r="V2171" s="38" t="n">
        <f aca="false">Q2171*U2171</f>
        <v>0</v>
      </c>
      <c r="W2171" s="41" t="str">
        <f aca="false">IF($M2171="","",IF(T2171="Overdue",IF(Settings!$B$8="Yes",Settings!$B$7,""),IF(ISNUMBER(R2171),DATE(YEAR(R2171),MONTH(R2171),1),"")))</f>
        <v/>
      </c>
      <c r="X2171" s="38" t="n">
        <f aca="false">IF(AND(OR(T2171="Backlog",T2171="Pipeline",T2171="Overdue"),ISNUMBER(W2171)),IF(W2171&lt;=Settings!$B$6,V2171,0),0)</f>
        <v>0</v>
      </c>
      <c r="Y2171" s="38" t="n">
        <f aca="false">IF(AND(OR(T2171="Backlog",T2171="Pipeline",T2171="Overdue"),ISNUMBER(W2171)),IF(W2171&lt;=Settings!$B$6,Q2171,0),0)</f>
        <v>0</v>
      </c>
      <c r="Z2171" s="38" t="n">
        <f aca="false">IF(Y2171=0,0,IF(T2171="Backlog",Q2171,Q2171*Dashboard!$C$10))</f>
        <v>0</v>
      </c>
      <c r="AA2171" s="37" t="n">
        <f aca="false">IF($N2171="",0,IF(COUNTIF(Dashboard!$C$13:$C$22,$N2171)&gt;0,1,0))</f>
        <v>0</v>
      </c>
      <c r="AB2171" s="37" t="str">
        <f aca="false">IF($N2171="","",IF(COUNTIF($N$8:$N2171,$N2171)=1,MAX($AB$7:$AB2170)+1,""))</f>
        <v/>
      </c>
    </row>
    <row r="2172" customFormat="false" ht="15" hidden="false" customHeight="false" outlineLevel="0" collapsed="false">
      <c r="L2172" s="37" t="str">
        <f aca="false">IF(INDEX($A2172:$J2172,$L$6)&lt;&gt;"",TRIM(LEFT(INDEX($A2172:$J2172,$L$6),FIND("(",INDEX($A2172:$J2172,$L$6)&amp;"(")-1)),L2171)</f>
        <v>Building Value Proposition</v>
      </c>
      <c r="M2172" s="37" t="str">
        <f aca="false">IF(INDEX($A2172:$J2172,$M$6)="","",INDEX($A2172:$J2172,$M$6)&amp;"")</f>
        <v/>
      </c>
      <c r="N2172" s="37" t="str">
        <f aca="false">IF($M2172="","",TRIM(INDEX($A2172:$J2172,$N$6)&amp;""))</f>
        <v/>
      </c>
      <c r="O2172" s="37" t="str">
        <f aca="false">IF($M2172="","",TRIM(INDEX($A2172:$J2172,$O$6)&amp;""))</f>
        <v/>
      </c>
      <c r="P2172" s="37" t="str">
        <f aca="false">IF($M2172="","",IFERROR(IF(INDEX(Settings!$B$41:$B$50,MATCH(O2172,Settings!$A$41:$A$50,0))&amp;""="","UNMAPPED",INDEX(Settings!$B$41:$B$50,MATCH(O2172,Settings!$A$41:$A$50,0))&amp;""),"UNMAPPED"))</f>
        <v/>
      </c>
      <c r="Q2172" s="38" t="n">
        <f aca="false">IF($M2172="",0,N(INDEX($A2172:$J2172,$Q$6)))</f>
        <v>0</v>
      </c>
      <c r="R2172" s="39" t="str">
        <f aca="false">IF($M2172="","",INDEX($A2172:$J2172,$R$6))</f>
        <v/>
      </c>
      <c r="S2172" s="37" t="str">
        <f aca="false">IF($M2172="","",IFERROR(INDEX(Settings!$B$27:$B$36,MATCH(L2172,Settings!$A$27:$A$36,0))&amp;"","UNMAPPED"))</f>
        <v/>
      </c>
      <c r="T2172" s="37" t="str">
        <f aca="false">IF($M2172="","",IF(NOT(ISNUMBER(R2172)),"NO DATE",IF(S2172="Won",IF(R2172&gt;Settings!$B$5,"Backlog","Delivered"),IF(S2172="Open",IF(R2172&gt;Settings!$B$5,"Pipeline","Overdue"),IF(S2172="Lost","Lost","UNMAPPED")))))</f>
        <v/>
      </c>
      <c r="U2172" s="40" t="n">
        <f aca="false">IF(T2172="Backlog",1,IF(OR(T2172="Pipeline",T2172="Overdue"),N(INDEX(Settings!$C$27:$C$36,MATCH(L2172,Settings!$A$27:$A$36,0))),0))</f>
        <v>0</v>
      </c>
      <c r="V2172" s="38" t="n">
        <f aca="false">Q2172*U2172</f>
        <v>0</v>
      </c>
      <c r="W2172" s="41" t="str">
        <f aca="false">IF($M2172="","",IF(T2172="Overdue",IF(Settings!$B$8="Yes",Settings!$B$7,""),IF(ISNUMBER(R2172),DATE(YEAR(R2172),MONTH(R2172),1),"")))</f>
        <v/>
      </c>
      <c r="X2172" s="38" t="n">
        <f aca="false">IF(AND(OR(T2172="Backlog",T2172="Pipeline",T2172="Overdue"),ISNUMBER(W2172)),IF(W2172&lt;=Settings!$B$6,V2172,0),0)</f>
        <v>0</v>
      </c>
      <c r="Y2172" s="38" t="n">
        <f aca="false">IF(AND(OR(T2172="Backlog",T2172="Pipeline",T2172="Overdue"),ISNUMBER(W2172)),IF(W2172&lt;=Settings!$B$6,Q2172,0),0)</f>
        <v>0</v>
      </c>
      <c r="Z2172" s="38" t="n">
        <f aca="false">IF(Y2172=0,0,IF(T2172="Backlog",Q2172,Q2172*Dashboard!$C$10))</f>
        <v>0</v>
      </c>
      <c r="AA2172" s="37" t="n">
        <f aca="false">IF($N2172="",0,IF(COUNTIF(Dashboard!$C$13:$C$22,$N2172)&gt;0,1,0))</f>
        <v>0</v>
      </c>
      <c r="AB2172" s="37" t="str">
        <f aca="false">IF($N2172="","",IF(COUNTIF($N$8:$N2172,$N2172)=1,MAX($AB$7:$AB2171)+1,""))</f>
        <v/>
      </c>
    </row>
    <row r="2173" customFormat="false" ht="15" hidden="false" customHeight="false" outlineLevel="0" collapsed="false">
      <c r="L2173" s="37" t="str">
        <f aca="false">IF(INDEX($A2173:$J2173,$L$6)&lt;&gt;"",TRIM(LEFT(INDEX($A2173:$J2173,$L$6),FIND("(",INDEX($A2173:$J2173,$L$6)&amp;"(")-1)),L2172)</f>
        <v>Building Value Proposition</v>
      </c>
      <c r="M2173" s="37" t="str">
        <f aca="false">IF(INDEX($A2173:$J2173,$M$6)="","",INDEX($A2173:$J2173,$M$6)&amp;"")</f>
        <v/>
      </c>
      <c r="N2173" s="37" t="str">
        <f aca="false">IF($M2173="","",TRIM(INDEX($A2173:$J2173,$N$6)&amp;""))</f>
        <v/>
      </c>
      <c r="O2173" s="37" t="str">
        <f aca="false">IF($M2173="","",TRIM(INDEX($A2173:$J2173,$O$6)&amp;""))</f>
        <v/>
      </c>
      <c r="P2173" s="37" t="str">
        <f aca="false">IF($M2173="","",IFERROR(IF(INDEX(Settings!$B$41:$B$50,MATCH(O2173,Settings!$A$41:$A$50,0))&amp;""="","UNMAPPED",INDEX(Settings!$B$41:$B$50,MATCH(O2173,Settings!$A$41:$A$50,0))&amp;""),"UNMAPPED"))</f>
        <v/>
      </c>
      <c r="Q2173" s="38" t="n">
        <f aca="false">IF($M2173="",0,N(INDEX($A2173:$J2173,$Q$6)))</f>
        <v>0</v>
      </c>
      <c r="R2173" s="39" t="str">
        <f aca="false">IF($M2173="","",INDEX($A2173:$J2173,$R$6))</f>
        <v/>
      </c>
      <c r="S2173" s="37" t="str">
        <f aca="false">IF($M2173="","",IFERROR(INDEX(Settings!$B$27:$B$36,MATCH(L2173,Settings!$A$27:$A$36,0))&amp;"","UNMAPPED"))</f>
        <v/>
      </c>
      <c r="T2173" s="37" t="str">
        <f aca="false">IF($M2173="","",IF(NOT(ISNUMBER(R2173)),"NO DATE",IF(S2173="Won",IF(R2173&gt;Settings!$B$5,"Backlog","Delivered"),IF(S2173="Open",IF(R2173&gt;Settings!$B$5,"Pipeline","Overdue"),IF(S2173="Lost","Lost","UNMAPPED")))))</f>
        <v/>
      </c>
      <c r="U2173" s="40" t="n">
        <f aca="false">IF(T2173="Backlog",1,IF(OR(T2173="Pipeline",T2173="Overdue"),N(INDEX(Settings!$C$27:$C$36,MATCH(L2173,Settings!$A$27:$A$36,0))),0))</f>
        <v>0</v>
      </c>
      <c r="V2173" s="38" t="n">
        <f aca="false">Q2173*U2173</f>
        <v>0</v>
      </c>
      <c r="W2173" s="41" t="str">
        <f aca="false">IF($M2173="","",IF(T2173="Overdue",IF(Settings!$B$8="Yes",Settings!$B$7,""),IF(ISNUMBER(R2173),DATE(YEAR(R2173),MONTH(R2173),1),"")))</f>
        <v/>
      </c>
      <c r="X2173" s="38" t="n">
        <f aca="false">IF(AND(OR(T2173="Backlog",T2173="Pipeline",T2173="Overdue"),ISNUMBER(W2173)),IF(W2173&lt;=Settings!$B$6,V2173,0),0)</f>
        <v>0</v>
      </c>
      <c r="Y2173" s="38" t="n">
        <f aca="false">IF(AND(OR(T2173="Backlog",T2173="Pipeline",T2173="Overdue"),ISNUMBER(W2173)),IF(W2173&lt;=Settings!$B$6,Q2173,0),0)</f>
        <v>0</v>
      </c>
      <c r="Z2173" s="38" t="n">
        <f aca="false">IF(Y2173=0,0,IF(T2173="Backlog",Q2173,Q2173*Dashboard!$C$10))</f>
        <v>0</v>
      </c>
      <c r="AA2173" s="37" t="n">
        <f aca="false">IF($N2173="",0,IF(COUNTIF(Dashboard!$C$13:$C$22,$N2173)&gt;0,1,0))</f>
        <v>0</v>
      </c>
      <c r="AB2173" s="37" t="str">
        <f aca="false">IF($N2173="","",IF(COUNTIF($N$8:$N2173,$N2173)=1,MAX($AB$7:$AB2172)+1,""))</f>
        <v/>
      </c>
    </row>
    <row r="2174" customFormat="false" ht="15" hidden="false" customHeight="false" outlineLevel="0" collapsed="false">
      <c r="L2174" s="37" t="str">
        <f aca="false">IF(INDEX($A2174:$J2174,$L$6)&lt;&gt;"",TRIM(LEFT(INDEX($A2174:$J2174,$L$6),FIND("(",INDEX($A2174:$J2174,$L$6)&amp;"(")-1)),L2173)</f>
        <v>Building Value Proposition</v>
      </c>
      <c r="M2174" s="37" t="str">
        <f aca="false">IF(INDEX($A2174:$J2174,$M$6)="","",INDEX($A2174:$J2174,$M$6)&amp;"")</f>
        <v/>
      </c>
      <c r="N2174" s="37" t="str">
        <f aca="false">IF($M2174="","",TRIM(INDEX($A2174:$J2174,$N$6)&amp;""))</f>
        <v/>
      </c>
      <c r="O2174" s="37" t="str">
        <f aca="false">IF($M2174="","",TRIM(INDEX($A2174:$J2174,$O$6)&amp;""))</f>
        <v/>
      </c>
      <c r="P2174" s="37" t="str">
        <f aca="false">IF($M2174="","",IFERROR(IF(INDEX(Settings!$B$41:$B$50,MATCH(O2174,Settings!$A$41:$A$50,0))&amp;""="","UNMAPPED",INDEX(Settings!$B$41:$B$50,MATCH(O2174,Settings!$A$41:$A$50,0))&amp;""),"UNMAPPED"))</f>
        <v/>
      </c>
      <c r="Q2174" s="38" t="n">
        <f aca="false">IF($M2174="",0,N(INDEX($A2174:$J2174,$Q$6)))</f>
        <v>0</v>
      </c>
      <c r="R2174" s="39" t="str">
        <f aca="false">IF($M2174="","",INDEX($A2174:$J2174,$R$6))</f>
        <v/>
      </c>
      <c r="S2174" s="37" t="str">
        <f aca="false">IF($M2174="","",IFERROR(INDEX(Settings!$B$27:$B$36,MATCH(L2174,Settings!$A$27:$A$36,0))&amp;"","UNMAPPED"))</f>
        <v/>
      </c>
      <c r="T2174" s="37" t="str">
        <f aca="false">IF($M2174="","",IF(NOT(ISNUMBER(R2174)),"NO DATE",IF(S2174="Won",IF(R2174&gt;Settings!$B$5,"Backlog","Delivered"),IF(S2174="Open",IF(R2174&gt;Settings!$B$5,"Pipeline","Overdue"),IF(S2174="Lost","Lost","UNMAPPED")))))</f>
        <v/>
      </c>
      <c r="U2174" s="40" t="n">
        <f aca="false">IF(T2174="Backlog",1,IF(OR(T2174="Pipeline",T2174="Overdue"),N(INDEX(Settings!$C$27:$C$36,MATCH(L2174,Settings!$A$27:$A$36,0))),0))</f>
        <v>0</v>
      </c>
      <c r="V2174" s="38" t="n">
        <f aca="false">Q2174*U2174</f>
        <v>0</v>
      </c>
      <c r="W2174" s="41" t="str">
        <f aca="false">IF($M2174="","",IF(T2174="Overdue",IF(Settings!$B$8="Yes",Settings!$B$7,""),IF(ISNUMBER(R2174),DATE(YEAR(R2174),MONTH(R2174),1),"")))</f>
        <v/>
      </c>
      <c r="X2174" s="38" t="n">
        <f aca="false">IF(AND(OR(T2174="Backlog",T2174="Pipeline",T2174="Overdue"),ISNUMBER(W2174)),IF(W2174&lt;=Settings!$B$6,V2174,0),0)</f>
        <v>0</v>
      </c>
      <c r="Y2174" s="38" t="n">
        <f aca="false">IF(AND(OR(T2174="Backlog",T2174="Pipeline",T2174="Overdue"),ISNUMBER(W2174)),IF(W2174&lt;=Settings!$B$6,Q2174,0),0)</f>
        <v>0</v>
      </c>
      <c r="Z2174" s="38" t="n">
        <f aca="false">IF(Y2174=0,0,IF(T2174="Backlog",Q2174,Q2174*Dashboard!$C$10))</f>
        <v>0</v>
      </c>
      <c r="AA2174" s="37" t="n">
        <f aca="false">IF($N2174="",0,IF(COUNTIF(Dashboard!$C$13:$C$22,$N2174)&gt;0,1,0))</f>
        <v>0</v>
      </c>
      <c r="AB2174" s="37" t="str">
        <f aca="false">IF($N2174="","",IF(COUNTIF($N$8:$N2174,$N2174)=1,MAX($AB$7:$AB2173)+1,""))</f>
        <v/>
      </c>
    </row>
    <row r="2175" customFormat="false" ht="15" hidden="false" customHeight="false" outlineLevel="0" collapsed="false">
      <c r="L2175" s="37" t="str">
        <f aca="false">IF(INDEX($A2175:$J2175,$L$6)&lt;&gt;"",TRIM(LEFT(INDEX($A2175:$J2175,$L$6),FIND("(",INDEX($A2175:$J2175,$L$6)&amp;"(")-1)),L2174)</f>
        <v>Building Value Proposition</v>
      </c>
      <c r="M2175" s="37" t="str">
        <f aca="false">IF(INDEX($A2175:$J2175,$M$6)="","",INDEX($A2175:$J2175,$M$6)&amp;"")</f>
        <v/>
      </c>
      <c r="N2175" s="37" t="str">
        <f aca="false">IF($M2175="","",TRIM(INDEX($A2175:$J2175,$N$6)&amp;""))</f>
        <v/>
      </c>
      <c r="O2175" s="37" t="str">
        <f aca="false">IF($M2175="","",TRIM(INDEX($A2175:$J2175,$O$6)&amp;""))</f>
        <v/>
      </c>
      <c r="P2175" s="37" t="str">
        <f aca="false">IF($M2175="","",IFERROR(IF(INDEX(Settings!$B$41:$B$50,MATCH(O2175,Settings!$A$41:$A$50,0))&amp;""="","UNMAPPED",INDEX(Settings!$B$41:$B$50,MATCH(O2175,Settings!$A$41:$A$50,0))&amp;""),"UNMAPPED"))</f>
        <v/>
      </c>
      <c r="Q2175" s="38" t="n">
        <f aca="false">IF($M2175="",0,N(INDEX($A2175:$J2175,$Q$6)))</f>
        <v>0</v>
      </c>
      <c r="R2175" s="39" t="str">
        <f aca="false">IF($M2175="","",INDEX($A2175:$J2175,$R$6))</f>
        <v/>
      </c>
      <c r="S2175" s="37" t="str">
        <f aca="false">IF($M2175="","",IFERROR(INDEX(Settings!$B$27:$B$36,MATCH(L2175,Settings!$A$27:$A$36,0))&amp;"","UNMAPPED"))</f>
        <v/>
      </c>
      <c r="T2175" s="37" t="str">
        <f aca="false">IF($M2175="","",IF(NOT(ISNUMBER(R2175)),"NO DATE",IF(S2175="Won",IF(R2175&gt;Settings!$B$5,"Backlog","Delivered"),IF(S2175="Open",IF(R2175&gt;Settings!$B$5,"Pipeline","Overdue"),IF(S2175="Lost","Lost","UNMAPPED")))))</f>
        <v/>
      </c>
      <c r="U2175" s="40" t="n">
        <f aca="false">IF(T2175="Backlog",1,IF(OR(T2175="Pipeline",T2175="Overdue"),N(INDEX(Settings!$C$27:$C$36,MATCH(L2175,Settings!$A$27:$A$36,0))),0))</f>
        <v>0</v>
      </c>
      <c r="V2175" s="38" t="n">
        <f aca="false">Q2175*U2175</f>
        <v>0</v>
      </c>
      <c r="W2175" s="41" t="str">
        <f aca="false">IF($M2175="","",IF(T2175="Overdue",IF(Settings!$B$8="Yes",Settings!$B$7,""),IF(ISNUMBER(R2175),DATE(YEAR(R2175),MONTH(R2175),1),"")))</f>
        <v/>
      </c>
      <c r="X2175" s="38" t="n">
        <f aca="false">IF(AND(OR(T2175="Backlog",T2175="Pipeline",T2175="Overdue"),ISNUMBER(W2175)),IF(W2175&lt;=Settings!$B$6,V2175,0),0)</f>
        <v>0</v>
      </c>
      <c r="Y2175" s="38" t="n">
        <f aca="false">IF(AND(OR(T2175="Backlog",T2175="Pipeline",T2175="Overdue"),ISNUMBER(W2175)),IF(W2175&lt;=Settings!$B$6,Q2175,0),0)</f>
        <v>0</v>
      </c>
      <c r="Z2175" s="38" t="n">
        <f aca="false">IF(Y2175=0,0,IF(T2175="Backlog",Q2175,Q2175*Dashboard!$C$10))</f>
        <v>0</v>
      </c>
      <c r="AA2175" s="37" t="n">
        <f aca="false">IF($N2175="",0,IF(COUNTIF(Dashboard!$C$13:$C$22,$N2175)&gt;0,1,0))</f>
        <v>0</v>
      </c>
      <c r="AB2175" s="37" t="str">
        <f aca="false">IF($N2175="","",IF(COUNTIF($N$8:$N2175,$N2175)=1,MAX($AB$7:$AB2174)+1,""))</f>
        <v/>
      </c>
    </row>
    <row r="2176" customFormat="false" ht="15" hidden="false" customHeight="false" outlineLevel="0" collapsed="false">
      <c r="L2176" s="37" t="str">
        <f aca="false">IF(INDEX($A2176:$J2176,$L$6)&lt;&gt;"",TRIM(LEFT(INDEX($A2176:$J2176,$L$6),FIND("(",INDEX($A2176:$J2176,$L$6)&amp;"(")-1)),L2175)</f>
        <v>Building Value Proposition</v>
      </c>
      <c r="M2176" s="37" t="str">
        <f aca="false">IF(INDEX($A2176:$J2176,$M$6)="","",INDEX($A2176:$J2176,$M$6)&amp;"")</f>
        <v/>
      </c>
      <c r="N2176" s="37" t="str">
        <f aca="false">IF($M2176="","",TRIM(INDEX($A2176:$J2176,$N$6)&amp;""))</f>
        <v/>
      </c>
      <c r="O2176" s="37" t="str">
        <f aca="false">IF($M2176="","",TRIM(INDEX($A2176:$J2176,$O$6)&amp;""))</f>
        <v/>
      </c>
      <c r="P2176" s="37" t="str">
        <f aca="false">IF($M2176="","",IFERROR(IF(INDEX(Settings!$B$41:$B$50,MATCH(O2176,Settings!$A$41:$A$50,0))&amp;""="","UNMAPPED",INDEX(Settings!$B$41:$B$50,MATCH(O2176,Settings!$A$41:$A$50,0))&amp;""),"UNMAPPED"))</f>
        <v/>
      </c>
      <c r="Q2176" s="38" t="n">
        <f aca="false">IF($M2176="",0,N(INDEX($A2176:$J2176,$Q$6)))</f>
        <v>0</v>
      </c>
      <c r="R2176" s="39" t="str">
        <f aca="false">IF($M2176="","",INDEX($A2176:$J2176,$R$6))</f>
        <v/>
      </c>
      <c r="S2176" s="37" t="str">
        <f aca="false">IF($M2176="","",IFERROR(INDEX(Settings!$B$27:$B$36,MATCH(L2176,Settings!$A$27:$A$36,0))&amp;"","UNMAPPED"))</f>
        <v/>
      </c>
      <c r="T2176" s="37" t="str">
        <f aca="false">IF($M2176="","",IF(NOT(ISNUMBER(R2176)),"NO DATE",IF(S2176="Won",IF(R2176&gt;Settings!$B$5,"Backlog","Delivered"),IF(S2176="Open",IF(R2176&gt;Settings!$B$5,"Pipeline","Overdue"),IF(S2176="Lost","Lost","UNMAPPED")))))</f>
        <v/>
      </c>
      <c r="U2176" s="40" t="n">
        <f aca="false">IF(T2176="Backlog",1,IF(OR(T2176="Pipeline",T2176="Overdue"),N(INDEX(Settings!$C$27:$C$36,MATCH(L2176,Settings!$A$27:$A$36,0))),0))</f>
        <v>0</v>
      </c>
      <c r="V2176" s="38" t="n">
        <f aca="false">Q2176*U2176</f>
        <v>0</v>
      </c>
      <c r="W2176" s="41" t="str">
        <f aca="false">IF($M2176="","",IF(T2176="Overdue",IF(Settings!$B$8="Yes",Settings!$B$7,""),IF(ISNUMBER(R2176),DATE(YEAR(R2176),MONTH(R2176),1),"")))</f>
        <v/>
      </c>
      <c r="X2176" s="38" t="n">
        <f aca="false">IF(AND(OR(T2176="Backlog",T2176="Pipeline",T2176="Overdue"),ISNUMBER(W2176)),IF(W2176&lt;=Settings!$B$6,V2176,0),0)</f>
        <v>0</v>
      </c>
      <c r="Y2176" s="38" t="n">
        <f aca="false">IF(AND(OR(T2176="Backlog",T2176="Pipeline",T2176="Overdue"),ISNUMBER(W2176)),IF(W2176&lt;=Settings!$B$6,Q2176,0),0)</f>
        <v>0</v>
      </c>
      <c r="Z2176" s="38" t="n">
        <f aca="false">IF(Y2176=0,0,IF(T2176="Backlog",Q2176,Q2176*Dashboard!$C$10))</f>
        <v>0</v>
      </c>
      <c r="AA2176" s="37" t="n">
        <f aca="false">IF($N2176="",0,IF(COUNTIF(Dashboard!$C$13:$C$22,$N2176)&gt;0,1,0))</f>
        <v>0</v>
      </c>
      <c r="AB2176" s="37" t="str">
        <f aca="false">IF($N2176="","",IF(COUNTIF($N$8:$N2176,$N2176)=1,MAX($AB$7:$AB2175)+1,""))</f>
        <v/>
      </c>
    </row>
    <row r="2177" customFormat="false" ht="15" hidden="false" customHeight="false" outlineLevel="0" collapsed="false">
      <c r="L2177" s="37" t="str">
        <f aca="false">IF(INDEX($A2177:$J2177,$L$6)&lt;&gt;"",TRIM(LEFT(INDEX($A2177:$J2177,$L$6),FIND("(",INDEX($A2177:$J2177,$L$6)&amp;"(")-1)),L2176)</f>
        <v>Building Value Proposition</v>
      </c>
      <c r="M2177" s="37" t="str">
        <f aca="false">IF(INDEX($A2177:$J2177,$M$6)="","",INDEX($A2177:$J2177,$M$6)&amp;"")</f>
        <v/>
      </c>
      <c r="N2177" s="37" t="str">
        <f aca="false">IF($M2177="","",TRIM(INDEX($A2177:$J2177,$N$6)&amp;""))</f>
        <v/>
      </c>
      <c r="O2177" s="37" t="str">
        <f aca="false">IF($M2177="","",TRIM(INDEX($A2177:$J2177,$O$6)&amp;""))</f>
        <v/>
      </c>
      <c r="P2177" s="37" t="str">
        <f aca="false">IF($M2177="","",IFERROR(IF(INDEX(Settings!$B$41:$B$50,MATCH(O2177,Settings!$A$41:$A$50,0))&amp;""="","UNMAPPED",INDEX(Settings!$B$41:$B$50,MATCH(O2177,Settings!$A$41:$A$50,0))&amp;""),"UNMAPPED"))</f>
        <v/>
      </c>
      <c r="Q2177" s="38" t="n">
        <f aca="false">IF($M2177="",0,N(INDEX($A2177:$J2177,$Q$6)))</f>
        <v>0</v>
      </c>
      <c r="R2177" s="39" t="str">
        <f aca="false">IF($M2177="","",INDEX($A2177:$J2177,$R$6))</f>
        <v/>
      </c>
      <c r="S2177" s="37" t="str">
        <f aca="false">IF($M2177="","",IFERROR(INDEX(Settings!$B$27:$B$36,MATCH(L2177,Settings!$A$27:$A$36,0))&amp;"","UNMAPPED"))</f>
        <v/>
      </c>
      <c r="T2177" s="37" t="str">
        <f aca="false">IF($M2177="","",IF(NOT(ISNUMBER(R2177)),"NO DATE",IF(S2177="Won",IF(R2177&gt;Settings!$B$5,"Backlog","Delivered"),IF(S2177="Open",IF(R2177&gt;Settings!$B$5,"Pipeline","Overdue"),IF(S2177="Lost","Lost","UNMAPPED")))))</f>
        <v/>
      </c>
      <c r="U2177" s="40" t="n">
        <f aca="false">IF(T2177="Backlog",1,IF(OR(T2177="Pipeline",T2177="Overdue"),N(INDEX(Settings!$C$27:$C$36,MATCH(L2177,Settings!$A$27:$A$36,0))),0))</f>
        <v>0</v>
      </c>
      <c r="V2177" s="38" t="n">
        <f aca="false">Q2177*U2177</f>
        <v>0</v>
      </c>
      <c r="W2177" s="41" t="str">
        <f aca="false">IF($M2177="","",IF(T2177="Overdue",IF(Settings!$B$8="Yes",Settings!$B$7,""),IF(ISNUMBER(R2177),DATE(YEAR(R2177),MONTH(R2177),1),"")))</f>
        <v/>
      </c>
      <c r="X2177" s="38" t="n">
        <f aca="false">IF(AND(OR(T2177="Backlog",T2177="Pipeline",T2177="Overdue"),ISNUMBER(W2177)),IF(W2177&lt;=Settings!$B$6,V2177,0),0)</f>
        <v>0</v>
      </c>
      <c r="Y2177" s="38" t="n">
        <f aca="false">IF(AND(OR(T2177="Backlog",T2177="Pipeline",T2177="Overdue"),ISNUMBER(W2177)),IF(W2177&lt;=Settings!$B$6,Q2177,0),0)</f>
        <v>0</v>
      </c>
      <c r="Z2177" s="38" t="n">
        <f aca="false">IF(Y2177=0,0,IF(T2177="Backlog",Q2177,Q2177*Dashboard!$C$10))</f>
        <v>0</v>
      </c>
      <c r="AA2177" s="37" t="n">
        <f aca="false">IF($N2177="",0,IF(COUNTIF(Dashboard!$C$13:$C$22,$N2177)&gt;0,1,0))</f>
        <v>0</v>
      </c>
      <c r="AB2177" s="37" t="str">
        <f aca="false">IF($N2177="","",IF(COUNTIF($N$8:$N2177,$N2177)=1,MAX($AB$7:$AB2176)+1,""))</f>
        <v/>
      </c>
    </row>
    <row r="2178" customFormat="false" ht="15" hidden="false" customHeight="false" outlineLevel="0" collapsed="false">
      <c r="L2178" s="37" t="str">
        <f aca="false">IF(INDEX($A2178:$J2178,$L$6)&lt;&gt;"",TRIM(LEFT(INDEX($A2178:$J2178,$L$6),FIND("(",INDEX($A2178:$J2178,$L$6)&amp;"(")-1)),L2177)</f>
        <v>Building Value Proposition</v>
      </c>
      <c r="M2178" s="37" t="str">
        <f aca="false">IF(INDEX($A2178:$J2178,$M$6)="","",INDEX($A2178:$J2178,$M$6)&amp;"")</f>
        <v/>
      </c>
      <c r="N2178" s="37" t="str">
        <f aca="false">IF($M2178="","",TRIM(INDEX($A2178:$J2178,$N$6)&amp;""))</f>
        <v/>
      </c>
      <c r="O2178" s="37" t="str">
        <f aca="false">IF($M2178="","",TRIM(INDEX($A2178:$J2178,$O$6)&amp;""))</f>
        <v/>
      </c>
      <c r="P2178" s="37" t="str">
        <f aca="false">IF($M2178="","",IFERROR(IF(INDEX(Settings!$B$41:$B$50,MATCH(O2178,Settings!$A$41:$A$50,0))&amp;""="","UNMAPPED",INDEX(Settings!$B$41:$B$50,MATCH(O2178,Settings!$A$41:$A$50,0))&amp;""),"UNMAPPED"))</f>
        <v/>
      </c>
      <c r="Q2178" s="38" t="n">
        <f aca="false">IF($M2178="",0,N(INDEX($A2178:$J2178,$Q$6)))</f>
        <v>0</v>
      </c>
      <c r="R2178" s="39" t="str">
        <f aca="false">IF($M2178="","",INDEX($A2178:$J2178,$R$6))</f>
        <v/>
      </c>
      <c r="S2178" s="37" t="str">
        <f aca="false">IF($M2178="","",IFERROR(INDEX(Settings!$B$27:$B$36,MATCH(L2178,Settings!$A$27:$A$36,0))&amp;"","UNMAPPED"))</f>
        <v/>
      </c>
      <c r="T2178" s="37" t="str">
        <f aca="false">IF($M2178="","",IF(NOT(ISNUMBER(R2178)),"NO DATE",IF(S2178="Won",IF(R2178&gt;Settings!$B$5,"Backlog","Delivered"),IF(S2178="Open",IF(R2178&gt;Settings!$B$5,"Pipeline","Overdue"),IF(S2178="Lost","Lost","UNMAPPED")))))</f>
        <v/>
      </c>
      <c r="U2178" s="40" t="n">
        <f aca="false">IF(T2178="Backlog",1,IF(OR(T2178="Pipeline",T2178="Overdue"),N(INDEX(Settings!$C$27:$C$36,MATCH(L2178,Settings!$A$27:$A$36,0))),0))</f>
        <v>0</v>
      </c>
      <c r="V2178" s="38" t="n">
        <f aca="false">Q2178*U2178</f>
        <v>0</v>
      </c>
      <c r="W2178" s="41" t="str">
        <f aca="false">IF($M2178="","",IF(T2178="Overdue",IF(Settings!$B$8="Yes",Settings!$B$7,""),IF(ISNUMBER(R2178),DATE(YEAR(R2178),MONTH(R2178),1),"")))</f>
        <v/>
      </c>
      <c r="X2178" s="38" t="n">
        <f aca="false">IF(AND(OR(T2178="Backlog",T2178="Pipeline",T2178="Overdue"),ISNUMBER(W2178)),IF(W2178&lt;=Settings!$B$6,V2178,0),0)</f>
        <v>0</v>
      </c>
      <c r="Y2178" s="38" t="n">
        <f aca="false">IF(AND(OR(T2178="Backlog",T2178="Pipeline",T2178="Overdue"),ISNUMBER(W2178)),IF(W2178&lt;=Settings!$B$6,Q2178,0),0)</f>
        <v>0</v>
      </c>
      <c r="Z2178" s="38" t="n">
        <f aca="false">IF(Y2178=0,0,IF(T2178="Backlog",Q2178,Q2178*Dashboard!$C$10))</f>
        <v>0</v>
      </c>
      <c r="AA2178" s="37" t="n">
        <f aca="false">IF($N2178="",0,IF(COUNTIF(Dashboard!$C$13:$C$22,$N2178)&gt;0,1,0))</f>
        <v>0</v>
      </c>
      <c r="AB2178" s="37" t="str">
        <f aca="false">IF($N2178="","",IF(COUNTIF($N$8:$N2178,$N2178)=1,MAX($AB$7:$AB2177)+1,""))</f>
        <v/>
      </c>
    </row>
    <row r="2179" customFormat="false" ht="15" hidden="false" customHeight="false" outlineLevel="0" collapsed="false">
      <c r="L2179" s="37" t="str">
        <f aca="false">IF(INDEX($A2179:$J2179,$L$6)&lt;&gt;"",TRIM(LEFT(INDEX($A2179:$J2179,$L$6),FIND("(",INDEX($A2179:$J2179,$L$6)&amp;"(")-1)),L2178)</f>
        <v>Building Value Proposition</v>
      </c>
      <c r="M2179" s="37" t="str">
        <f aca="false">IF(INDEX($A2179:$J2179,$M$6)="","",INDEX($A2179:$J2179,$M$6)&amp;"")</f>
        <v/>
      </c>
      <c r="N2179" s="37" t="str">
        <f aca="false">IF($M2179="","",TRIM(INDEX($A2179:$J2179,$N$6)&amp;""))</f>
        <v/>
      </c>
      <c r="O2179" s="37" t="str">
        <f aca="false">IF($M2179="","",TRIM(INDEX($A2179:$J2179,$O$6)&amp;""))</f>
        <v/>
      </c>
      <c r="P2179" s="37" t="str">
        <f aca="false">IF($M2179="","",IFERROR(IF(INDEX(Settings!$B$41:$B$50,MATCH(O2179,Settings!$A$41:$A$50,0))&amp;""="","UNMAPPED",INDEX(Settings!$B$41:$B$50,MATCH(O2179,Settings!$A$41:$A$50,0))&amp;""),"UNMAPPED"))</f>
        <v/>
      </c>
      <c r="Q2179" s="38" t="n">
        <f aca="false">IF($M2179="",0,N(INDEX($A2179:$J2179,$Q$6)))</f>
        <v>0</v>
      </c>
      <c r="R2179" s="39" t="str">
        <f aca="false">IF($M2179="","",INDEX($A2179:$J2179,$R$6))</f>
        <v/>
      </c>
      <c r="S2179" s="37" t="str">
        <f aca="false">IF($M2179="","",IFERROR(INDEX(Settings!$B$27:$B$36,MATCH(L2179,Settings!$A$27:$A$36,0))&amp;"","UNMAPPED"))</f>
        <v/>
      </c>
      <c r="T2179" s="37" t="str">
        <f aca="false">IF($M2179="","",IF(NOT(ISNUMBER(R2179)),"NO DATE",IF(S2179="Won",IF(R2179&gt;Settings!$B$5,"Backlog","Delivered"),IF(S2179="Open",IF(R2179&gt;Settings!$B$5,"Pipeline","Overdue"),IF(S2179="Lost","Lost","UNMAPPED")))))</f>
        <v/>
      </c>
      <c r="U2179" s="40" t="n">
        <f aca="false">IF(T2179="Backlog",1,IF(OR(T2179="Pipeline",T2179="Overdue"),N(INDEX(Settings!$C$27:$C$36,MATCH(L2179,Settings!$A$27:$A$36,0))),0))</f>
        <v>0</v>
      </c>
      <c r="V2179" s="38" t="n">
        <f aca="false">Q2179*U2179</f>
        <v>0</v>
      </c>
      <c r="W2179" s="41" t="str">
        <f aca="false">IF($M2179="","",IF(T2179="Overdue",IF(Settings!$B$8="Yes",Settings!$B$7,""),IF(ISNUMBER(R2179),DATE(YEAR(R2179),MONTH(R2179),1),"")))</f>
        <v/>
      </c>
      <c r="X2179" s="38" t="n">
        <f aca="false">IF(AND(OR(T2179="Backlog",T2179="Pipeline",T2179="Overdue"),ISNUMBER(W2179)),IF(W2179&lt;=Settings!$B$6,V2179,0),0)</f>
        <v>0</v>
      </c>
      <c r="Y2179" s="38" t="n">
        <f aca="false">IF(AND(OR(T2179="Backlog",T2179="Pipeline",T2179="Overdue"),ISNUMBER(W2179)),IF(W2179&lt;=Settings!$B$6,Q2179,0),0)</f>
        <v>0</v>
      </c>
      <c r="Z2179" s="38" t="n">
        <f aca="false">IF(Y2179=0,0,IF(T2179="Backlog",Q2179,Q2179*Dashboard!$C$10))</f>
        <v>0</v>
      </c>
      <c r="AA2179" s="37" t="n">
        <f aca="false">IF($N2179="",0,IF(COUNTIF(Dashboard!$C$13:$C$22,$N2179)&gt;0,1,0))</f>
        <v>0</v>
      </c>
      <c r="AB2179" s="37" t="str">
        <f aca="false">IF($N2179="","",IF(COUNTIF($N$8:$N2179,$N2179)=1,MAX($AB$7:$AB2178)+1,""))</f>
        <v/>
      </c>
    </row>
    <row r="2180" customFormat="false" ht="15" hidden="false" customHeight="false" outlineLevel="0" collapsed="false">
      <c r="L2180" s="37" t="str">
        <f aca="false">IF(INDEX($A2180:$J2180,$L$6)&lt;&gt;"",TRIM(LEFT(INDEX($A2180:$J2180,$L$6),FIND("(",INDEX($A2180:$J2180,$L$6)&amp;"(")-1)),L2179)</f>
        <v>Building Value Proposition</v>
      </c>
      <c r="M2180" s="37" t="str">
        <f aca="false">IF(INDEX($A2180:$J2180,$M$6)="","",INDEX($A2180:$J2180,$M$6)&amp;"")</f>
        <v/>
      </c>
      <c r="N2180" s="37" t="str">
        <f aca="false">IF($M2180="","",TRIM(INDEX($A2180:$J2180,$N$6)&amp;""))</f>
        <v/>
      </c>
      <c r="O2180" s="37" t="str">
        <f aca="false">IF($M2180="","",TRIM(INDEX($A2180:$J2180,$O$6)&amp;""))</f>
        <v/>
      </c>
      <c r="P2180" s="37" t="str">
        <f aca="false">IF($M2180="","",IFERROR(IF(INDEX(Settings!$B$41:$B$50,MATCH(O2180,Settings!$A$41:$A$50,0))&amp;""="","UNMAPPED",INDEX(Settings!$B$41:$B$50,MATCH(O2180,Settings!$A$41:$A$50,0))&amp;""),"UNMAPPED"))</f>
        <v/>
      </c>
      <c r="Q2180" s="38" t="n">
        <f aca="false">IF($M2180="",0,N(INDEX($A2180:$J2180,$Q$6)))</f>
        <v>0</v>
      </c>
      <c r="R2180" s="39" t="str">
        <f aca="false">IF($M2180="","",INDEX($A2180:$J2180,$R$6))</f>
        <v/>
      </c>
      <c r="S2180" s="37" t="str">
        <f aca="false">IF($M2180="","",IFERROR(INDEX(Settings!$B$27:$B$36,MATCH(L2180,Settings!$A$27:$A$36,0))&amp;"","UNMAPPED"))</f>
        <v/>
      </c>
      <c r="T2180" s="37" t="str">
        <f aca="false">IF($M2180="","",IF(NOT(ISNUMBER(R2180)),"NO DATE",IF(S2180="Won",IF(R2180&gt;Settings!$B$5,"Backlog","Delivered"),IF(S2180="Open",IF(R2180&gt;Settings!$B$5,"Pipeline","Overdue"),IF(S2180="Lost","Lost","UNMAPPED")))))</f>
        <v/>
      </c>
      <c r="U2180" s="40" t="n">
        <f aca="false">IF(T2180="Backlog",1,IF(OR(T2180="Pipeline",T2180="Overdue"),N(INDEX(Settings!$C$27:$C$36,MATCH(L2180,Settings!$A$27:$A$36,0))),0))</f>
        <v>0</v>
      </c>
      <c r="V2180" s="38" t="n">
        <f aca="false">Q2180*U2180</f>
        <v>0</v>
      </c>
      <c r="W2180" s="41" t="str">
        <f aca="false">IF($M2180="","",IF(T2180="Overdue",IF(Settings!$B$8="Yes",Settings!$B$7,""),IF(ISNUMBER(R2180),DATE(YEAR(R2180),MONTH(R2180),1),"")))</f>
        <v/>
      </c>
      <c r="X2180" s="38" t="n">
        <f aca="false">IF(AND(OR(T2180="Backlog",T2180="Pipeline",T2180="Overdue"),ISNUMBER(W2180)),IF(W2180&lt;=Settings!$B$6,V2180,0),0)</f>
        <v>0</v>
      </c>
      <c r="Y2180" s="38" t="n">
        <f aca="false">IF(AND(OR(T2180="Backlog",T2180="Pipeline",T2180="Overdue"),ISNUMBER(W2180)),IF(W2180&lt;=Settings!$B$6,Q2180,0),0)</f>
        <v>0</v>
      </c>
      <c r="Z2180" s="38" t="n">
        <f aca="false">IF(Y2180=0,0,IF(T2180="Backlog",Q2180,Q2180*Dashboard!$C$10))</f>
        <v>0</v>
      </c>
      <c r="AA2180" s="37" t="n">
        <f aca="false">IF($N2180="",0,IF(COUNTIF(Dashboard!$C$13:$C$22,$N2180)&gt;0,1,0))</f>
        <v>0</v>
      </c>
      <c r="AB2180" s="37" t="str">
        <f aca="false">IF($N2180="","",IF(COUNTIF($N$8:$N2180,$N2180)=1,MAX($AB$7:$AB2179)+1,""))</f>
        <v/>
      </c>
    </row>
    <row r="2181" customFormat="false" ht="15" hidden="false" customHeight="false" outlineLevel="0" collapsed="false">
      <c r="L2181" s="37" t="str">
        <f aca="false">IF(INDEX($A2181:$J2181,$L$6)&lt;&gt;"",TRIM(LEFT(INDEX($A2181:$J2181,$L$6),FIND("(",INDEX($A2181:$J2181,$L$6)&amp;"(")-1)),L2180)</f>
        <v>Building Value Proposition</v>
      </c>
      <c r="M2181" s="37" t="str">
        <f aca="false">IF(INDEX($A2181:$J2181,$M$6)="","",INDEX($A2181:$J2181,$M$6)&amp;"")</f>
        <v/>
      </c>
      <c r="N2181" s="37" t="str">
        <f aca="false">IF($M2181="","",TRIM(INDEX($A2181:$J2181,$N$6)&amp;""))</f>
        <v/>
      </c>
      <c r="O2181" s="37" t="str">
        <f aca="false">IF($M2181="","",TRIM(INDEX($A2181:$J2181,$O$6)&amp;""))</f>
        <v/>
      </c>
      <c r="P2181" s="37" t="str">
        <f aca="false">IF($M2181="","",IFERROR(IF(INDEX(Settings!$B$41:$B$50,MATCH(O2181,Settings!$A$41:$A$50,0))&amp;""="","UNMAPPED",INDEX(Settings!$B$41:$B$50,MATCH(O2181,Settings!$A$41:$A$50,0))&amp;""),"UNMAPPED"))</f>
        <v/>
      </c>
      <c r="Q2181" s="38" t="n">
        <f aca="false">IF($M2181="",0,N(INDEX($A2181:$J2181,$Q$6)))</f>
        <v>0</v>
      </c>
      <c r="R2181" s="39" t="str">
        <f aca="false">IF($M2181="","",INDEX($A2181:$J2181,$R$6))</f>
        <v/>
      </c>
      <c r="S2181" s="37" t="str">
        <f aca="false">IF($M2181="","",IFERROR(INDEX(Settings!$B$27:$B$36,MATCH(L2181,Settings!$A$27:$A$36,0))&amp;"","UNMAPPED"))</f>
        <v/>
      </c>
      <c r="T2181" s="37" t="str">
        <f aca="false">IF($M2181="","",IF(NOT(ISNUMBER(R2181)),"NO DATE",IF(S2181="Won",IF(R2181&gt;Settings!$B$5,"Backlog","Delivered"),IF(S2181="Open",IF(R2181&gt;Settings!$B$5,"Pipeline","Overdue"),IF(S2181="Lost","Lost","UNMAPPED")))))</f>
        <v/>
      </c>
      <c r="U2181" s="40" t="n">
        <f aca="false">IF(T2181="Backlog",1,IF(OR(T2181="Pipeline",T2181="Overdue"),N(INDEX(Settings!$C$27:$C$36,MATCH(L2181,Settings!$A$27:$A$36,0))),0))</f>
        <v>0</v>
      </c>
      <c r="V2181" s="38" t="n">
        <f aca="false">Q2181*U2181</f>
        <v>0</v>
      </c>
      <c r="W2181" s="41" t="str">
        <f aca="false">IF($M2181="","",IF(T2181="Overdue",IF(Settings!$B$8="Yes",Settings!$B$7,""),IF(ISNUMBER(R2181),DATE(YEAR(R2181),MONTH(R2181),1),"")))</f>
        <v/>
      </c>
      <c r="X2181" s="38" t="n">
        <f aca="false">IF(AND(OR(T2181="Backlog",T2181="Pipeline",T2181="Overdue"),ISNUMBER(W2181)),IF(W2181&lt;=Settings!$B$6,V2181,0),0)</f>
        <v>0</v>
      </c>
      <c r="Y2181" s="38" t="n">
        <f aca="false">IF(AND(OR(T2181="Backlog",T2181="Pipeline",T2181="Overdue"),ISNUMBER(W2181)),IF(W2181&lt;=Settings!$B$6,Q2181,0),0)</f>
        <v>0</v>
      </c>
      <c r="Z2181" s="38" t="n">
        <f aca="false">IF(Y2181=0,0,IF(T2181="Backlog",Q2181,Q2181*Dashboard!$C$10))</f>
        <v>0</v>
      </c>
      <c r="AA2181" s="37" t="n">
        <f aca="false">IF($N2181="",0,IF(COUNTIF(Dashboard!$C$13:$C$22,$N2181)&gt;0,1,0))</f>
        <v>0</v>
      </c>
      <c r="AB2181" s="37" t="str">
        <f aca="false">IF($N2181="","",IF(COUNTIF($N$8:$N2181,$N2181)=1,MAX($AB$7:$AB2180)+1,""))</f>
        <v/>
      </c>
    </row>
    <row r="2182" customFormat="false" ht="15" hidden="false" customHeight="false" outlineLevel="0" collapsed="false">
      <c r="L2182" s="37" t="str">
        <f aca="false">IF(INDEX($A2182:$J2182,$L$6)&lt;&gt;"",TRIM(LEFT(INDEX($A2182:$J2182,$L$6),FIND("(",INDEX($A2182:$J2182,$L$6)&amp;"(")-1)),L2181)</f>
        <v>Building Value Proposition</v>
      </c>
      <c r="M2182" s="37" t="str">
        <f aca="false">IF(INDEX($A2182:$J2182,$M$6)="","",INDEX($A2182:$J2182,$M$6)&amp;"")</f>
        <v/>
      </c>
      <c r="N2182" s="37" t="str">
        <f aca="false">IF($M2182="","",TRIM(INDEX($A2182:$J2182,$N$6)&amp;""))</f>
        <v/>
      </c>
      <c r="O2182" s="37" t="str">
        <f aca="false">IF($M2182="","",TRIM(INDEX($A2182:$J2182,$O$6)&amp;""))</f>
        <v/>
      </c>
      <c r="P2182" s="37" t="str">
        <f aca="false">IF($M2182="","",IFERROR(IF(INDEX(Settings!$B$41:$B$50,MATCH(O2182,Settings!$A$41:$A$50,0))&amp;""="","UNMAPPED",INDEX(Settings!$B$41:$B$50,MATCH(O2182,Settings!$A$41:$A$50,0))&amp;""),"UNMAPPED"))</f>
        <v/>
      </c>
      <c r="Q2182" s="38" t="n">
        <f aca="false">IF($M2182="",0,N(INDEX($A2182:$J2182,$Q$6)))</f>
        <v>0</v>
      </c>
      <c r="R2182" s="39" t="str">
        <f aca="false">IF($M2182="","",INDEX($A2182:$J2182,$R$6))</f>
        <v/>
      </c>
      <c r="S2182" s="37" t="str">
        <f aca="false">IF($M2182="","",IFERROR(INDEX(Settings!$B$27:$B$36,MATCH(L2182,Settings!$A$27:$A$36,0))&amp;"","UNMAPPED"))</f>
        <v/>
      </c>
      <c r="T2182" s="37" t="str">
        <f aca="false">IF($M2182="","",IF(NOT(ISNUMBER(R2182)),"NO DATE",IF(S2182="Won",IF(R2182&gt;Settings!$B$5,"Backlog","Delivered"),IF(S2182="Open",IF(R2182&gt;Settings!$B$5,"Pipeline","Overdue"),IF(S2182="Lost","Lost","UNMAPPED")))))</f>
        <v/>
      </c>
      <c r="U2182" s="40" t="n">
        <f aca="false">IF(T2182="Backlog",1,IF(OR(T2182="Pipeline",T2182="Overdue"),N(INDEX(Settings!$C$27:$C$36,MATCH(L2182,Settings!$A$27:$A$36,0))),0))</f>
        <v>0</v>
      </c>
      <c r="V2182" s="38" t="n">
        <f aca="false">Q2182*U2182</f>
        <v>0</v>
      </c>
      <c r="W2182" s="41" t="str">
        <f aca="false">IF($M2182="","",IF(T2182="Overdue",IF(Settings!$B$8="Yes",Settings!$B$7,""),IF(ISNUMBER(R2182),DATE(YEAR(R2182),MONTH(R2182),1),"")))</f>
        <v/>
      </c>
      <c r="X2182" s="38" t="n">
        <f aca="false">IF(AND(OR(T2182="Backlog",T2182="Pipeline",T2182="Overdue"),ISNUMBER(W2182)),IF(W2182&lt;=Settings!$B$6,V2182,0),0)</f>
        <v>0</v>
      </c>
      <c r="Y2182" s="38" t="n">
        <f aca="false">IF(AND(OR(T2182="Backlog",T2182="Pipeline",T2182="Overdue"),ISNUMBER(W2182)),IF(W2182&lt;=Settings!$B$6,Q2182,0),0)</f>
        <v>0</v>
      </c>
      <c r="Z2182" s="38" t="n">
        <f aca="false">IF(Y2182=0,0,IF(T2182="Backlog",Q2182,Q2182*Dashboard!$C$10))</f>
        <v>0</v>
      </c>
      <c r="AA2182" s="37" t="n">
        <f aca="false">IF($N2182="",0,IF(COUNTIF(Dashboard!$C$13:$C$22,$N2182)&gt;0,1,0))</f>
        <v>0</v>
      </c>
      <c r="AB2182" s="37" t="str">
        <f aca="false">IF($N2182="","",IF(COUNTIF($N$8:$N2182,$N2182)=1,MAX($AB$7:$AB2181)+1,""))</f>
        <v/>
      </c>
    </row>
    <row r="2183" customFormat="false" ht="15" hidden="false" customHeight="false" outlineLevel="0" collapsed="false">
      <c r="L2183" s="37" t="str">
        <f aca="false">IF(INDEX($A2183:$J2183,$L$6)&lt;&gt;"",TRIM(LEFT(INDEX($A2183:$J2183,$L$6),FIND("(",INDEX($A2183:$J2183,$L$6)&amp;"(")-1)),L2182)</f>
        <v>Building Value Proposition</v>
      </c>
      <c r="M2183" s="37" t="str">
        <f aca="false">IF(INDEX($A2183:$J2183,$M$6)="","",INDEX($A2183:$J2183,$M$6)&amp;"")</f>
        <v/>
      </c>
      <c r="N2183" s="37" t="str">
        <f aca="false">IF($M2183="","",TRIM(INDEX($A2183:$J2183,$N$6)&amp;""))</f>
        <v/>
      </c>
      <c r="O2183" s="37" t="str">
        <f aca="false">IF($M2183="","",TRIM(INDEX($A2183:$J2183,$O$6)&amp;""))</f>
        <v/>
      </c>
      <c r="P2183" s="37" t="str">
        <f aca="false">IF($M2183="","",IFERROR(IF(INDEX(Settings!$B$41:$B$50,MATCH(O2183,Settings!$A$41:$A$50,0))&amp;""="","UNMAPPED",INDEX(Settings!$B$41:$B$50,MATCH(O2183,Settings!$A$41:$A$50,0))&amp;""),"UNMAPPED"))</f>
        <v/>
      </c>
      <c r="Q2183" s="38" t="n">
        <f aca="false">IF($M2183="",0,N(INDEX($A2183:$J2183,$Q$6)))</f>
        <v>0</v>
      </c>
      <c r="R2183" s="39" t="str">
        <f aca="false">IF($M2183="","",INDEX($A2183:$J2183,$R$6))</f>
        <v/>
      </c>
      <c r="S2183" s="37" t="str">
        <f aca="false">IF($M2183="","",IFERROR(INDEX(Settings!$B$27:$B$36,MATCH(L2183,Settings!$A$27:$A$36,0))&amp;"","UNMAPPED"))</f>
        <v/>
      </c>
      <c r="T2183" s="37" t="str">
        <f aca="false">IF($M2183="","",IF(NOT(ISNUMBER(R2183)),"NO DATE",IF(S2183="Won",IF(R2183&gt;Settings!$B$5,"Backlog","Delivered"),IF(S2183="Open",IF(R2183&gt;Settings!$B$5,"Pipeline","Overdue"),IF(S2183="Lost","Lost","UNMAPPED")))))</f>
        <v/>
      </c>
      <c r="U2183" s="40" t="n">
        <f aca="false">IF(T2183="Backlog",1,IF(OR(T2183="Pipeline",T2183="Overdue"),N(INDEX(Settings!$C$27:$C$36,MATCH(L2183,Settings!$A$27:$A$36,0))),0))</f>
        <v>0</v>
      </c>
      <c r="V2183" s="38" t="n">
        <f aca="false">Q2183*U2183</f>
        <v>0</v>
      </c>
      <c r="W2183" s="41" t="str">
        <f aca="false">IF($M2183="","",IF(T2183="Overdue",IF(Settings!$B$8="Yes",Settings!$B$7,""),IF(ISNUMBER(R2183),DATE(YEAR(R2183),MONTH(R2183),1),"")))</f>
        <v/>
      </c>
      <c r="X2183" s="38" t="n">
        <f aca="false">IF(AND(OR(T2183="Backlog",T2183="Pipeline",T2183="Overdue"),ISNUMBER(W2183)),IF(W2183&lt;=Settings!$B$6,V2183,0),0)</f>
        <v>0</v>
      </c>
      <c r="Y2183" s="38" t="n">
        <f aca="false">IF(AND(OR(T2183="Backlog",T2183="Pipeline",T2183="Overdue"),ISNUMBER(W2183)),IF(W2183&lt;=Settings!$B$6,Q2183,0),0)</f>
        <v>0</v>
      </c>
      <c r="Z2183" s="38" t="n">
        <f aca="false">IF(Y2183=0,0,IF(T2183="Backlog",Q2183,Q2183*Dashboard!$C$10))</f>
        <v>0</v>
      </c>
      <c r="AA2183" s="37" t="n">
        <f aca="false">IF($N2183="",0,IF(COUNTIF(Dashboard!$C$13:$C$22,$N2183)&gt;0,1,0))</f>
        <v>0</v>
      </c>
      <c r="AB2183" s="37" t="str">
        <f aca="false">IF($N2183="","",IF(COUNTIF($N$8:$N2183,$N2183)=1,MAX($AB$7:$AB2182)+1,""))</f>
        <v/>
      </c>
    </row>
    <row r="2184" customFormat="false" ht="15" hidden="false" customHeight="false" outlineLevel="0" collapsed="false">
      <c r="L2184" s="37" t="str">
        <f aca="false">IF(INDEX($A2184:$J2184,$L$6)&lt;&gt;"",TRIM(LEFT(INDEX($A2184:$J2184,$L$6),FIND("(",INDEX($A2184:$J2184,$L$6)&amp;"(")-1)),L2183)</f>
        <v>Building Value Proposition</v>
      </c>
      <c r="M2184" s="37" t="str">
        <f aca="false">IF(INDEX($A2184:$J2184,$M$6)="","",INDEX($A2184:$J2184,$M$6)&amp;"")</f>
        <v/>
      </c>
      <c r="N2184" s="37" t="str">
        <f aca="false">IF($M2184="","",TRIM(INDEX($A2184:$J2184,$N$6)&amp;""))</f>
        <v/>
      </c>
      <c r="O2184" s="37" t="str">
        <f aca="false">IF($M2184="","",TRIM(INDEX($A2184:$J2184,$O$6)&amp;""))</f>
        <v/>
      </c>
      <c r="P2184" s="37" t="str">
        <f aca="false">IF($M2184="","",IFERROR(IF(INDEX(Settings!$B$41:$B$50,MATCH(O2184,Settings!$A$41:$A$50,0))&amp;""="","UNMAPPED",INDEX(Settings!$B$41:$B$50,MATCH(O2184,Settings!$A$41:$A$50,0))&amp;""),"UNMAPPED"))</f>
        <v/>
      </c>
      <c r="Q2184" s="38" t="n">
        <f aca="false">IF($M2184="",0,N(INDEX($A2184:$J2184,$Q$6)))</f>
        <v>0</v>
      </c>
      <c r="R2184" s="39" t="str">
        <f aca="false">IF($M2184="","",INDEX($A2184:$J2184,$R$6))</f>
        <v/>
      </c>
      <c r="S2184" s="37" t="str">
        <f aca="false">IF($M2184="","",IFERROR(INDEX(Settings!$B$27:$B$36,MATCH(L2184,Settings!$A$27:$A$36,0))&amp;"","UNMAPPED"))</f>
        <v/>
      </c>
      <c r="T2184" s="37" t="str">
        <f aca="false">IF($M2184="","",IF(NOT(ISNUMBER(R2184)),"NO DATE",IF(S2184="Won",IF(R2184&gt;Settings!$B$5,"Backlog","Delivered"),IF(S2184="Open",IF(R2184&gt;Settings!$B$5,"Pipeline","Overdue"),IF(S2184="Lost","Lost","UNMAPPED")))))</f>
        <v/>
      </c>
      <c r="U2184" s="40" t="n">
        <f aca="false">IF(T2184="Backlog",1,IF(OR(T2184="Pipeline",T2184="Overdue"),N(INDEX(Settings!$C$27:$C$36,MATCH(L2184,Settings!$A$27:$A$36,0))),0))</f>
        <v>0</v>
      </c>
      <c r="V2184" s="38" t="n">
        <f aca="false">Q2184*U2184</f>
        <v>0</v>
      </c>
      <c r="W2184" s="41" t="str">
        <f aca="false">IF($M2184="","",IF(T2184="Overdue",IF(Settings!$B$8="Yes",Settings!$B$7,""),IF(ISNUMBER(R2184),DATE(YEAR(R2184),MONTH(R2184),1),"")))</f>
        <v/>
      </c>
      <c r="X2184" s="38" t="n">
        <f aca="false">IF(AND(OR(T2184="Backlog",T2184="Pipeline",T2184="Overdue"),ISNUMBER(W2184)),IF(W2184&lt;=Settings!$B$6,V2184,0),0)</f>
        <v>0</v>
      </c>
      <c r="Y2184" s="38" t="n">
        <f aca="false">IF(AND(OR(T2184="Backlog",T2184="Pipeline",T2184="Overdue"),ISNUMBER(W2184)),IF(W2184&lt;=Settings!$B$6,Q2184,0),0)</f>
        <v>0</v>
      </c>
      <c r="Z2184" s="38" t="n">
        <f aca="false">IF(Y2184=0,0,IF(T2184="Backlog",Q2184,Q2184*Dashboard!$C$10))</f>
        <v>0</v>
      </c>
      <c r="AA2184" s="37" t="n">
        <f aca="false">IF($N2184="",0,IF(COUNTIF(Dashboard!$C$13:$C$22,$N2184)&gt;0,1,0))</f>
        <v>0</v>
      </c>
      <c r="AB2184" s="37" t="str">
        <f aca="false">IF($N2184="","",IF(COUNTIF($N$8:$N2184,$N2184)=1,MAX($AB$7:$AB2183)+1,""))</f>
        <v/>
      </c>
    </row>
    <row r="2185" customFormat="false" ht="15" hidden="false" customHeight="false" outlineLevel="0" collapsed="false">
      <c r="L2185" s="37" t="str">
        <f aca="false">IF(INDEX($A2185:$J2185,$L$6)&lt;&gt;"",TRIM(LEFT(INDEX($A2185:$J2185,$L$6),FIND("(",INDEX($A2185:$J2185,$L$6)&amp;"(")-1)),L2184)</f>
        <v>Building Value Proposition</v>
      </c>
      <c r="M2185" s="37" t="str">
        <f aca="false">IF(INDEX($A2185:$J2185,$M$6)="","",INDEX($A2185:$J2185,$M$6)&amp;"")</f>
        <v/>
      </c>
      <c r="N2185" s="37" t="str">
        <f aca="false">IF($M2185="","",TRIM(INDEX($A2185:$J2185,$N$6)&amp;""))</f>
        <v/>
      </c>
      <c r="O2185" s="37" t="str">
        <f aca="false">IF($M2185="","",TRIM(INDEX($A2185:$J2185,$O$6)&amp;""))</f>
        <v/>
      </c>
      <c r="P2185" s="37" t="str">
        <f aca="false">IF($M2185="","",IFERROR(IF(INDEX(Settings!$B$41:$B$50,MATCH(O2185,Settings!$A$41:$A$50,0))&amp;""="","UNMAPPED",INDEX(Settings!$B$41:$B$50,MATCH(O2185,Settings!$A$41:$A$50,0))&amp;""),"UNMAPPED"))</f>
        <v/>
      </c>
      <c r="Q2185" s="38" t="n">
        <f aca="false">IF($M2185="",0,N(INDEX($A2185:$J2185,$Q$6)))</f>
        <v>0</v>
      </c>
      <c r="R2185" s="39" t="str">
        <f aca="false">IF($M2185="","",INDEX($A2185:$J2185,$R$6))</f>
        <v/>
      </c>
      <c r="S2185" s="37" t="str">
        <f aca="false">IF($M2185="","",IFERROR(INDEX(Settings!$B$27:$B$36,MATCH(L2185,Settings!$A$27:$A$36,0))&amp;"","UNMAPPED"))</f>
        <v/>
      </c>
      <c r="T2185" s="37" t="str">
        <f aca="false">IF($M2185="","",IF(NOT(ISNUMBER(R2185)),"NO DATE",IF(S2185="Won",IF(R2185&gt;Settings!$B$5,"Backlog","Delivered"),IF(S2185="Open",IF(R2185&gt;Settings!$B$5,"Pipeline","Overdue"),IF(S2185="Lost","Lost","UNMAPPED")))))</f>
        <v/>
      </c>
      <c r="U2185" s="40" t="n">
        <f aca="false">IF(T2185="Backlog",1,IF(OR(T2185="Pipeline",T2185="Overdue"),N(INDEX(Settings!$C$27:$C$36,MATCH(L2185,Settings!$A$27:$A$36,0))),0))</f>
        <v>0</v>
      </c>
      <c r="V2185" s="38" t="n">
        <f aca="false">Q2185*U2185</f>
        <v>0</v>
      </c>
      <c r="W2185" s="41" t="str">
        <f aca="false">IF($M2185="","",IF(T2185="Overdue",IF(Settings!$B$8="Yes",Settings!$B$7,""),IF(ISNUMBER(R2185),DATE(YEAR(R2185),MONTH(R2185),1),"")))</f>
        <v/>
      </c>
      <c r="X2185" s="38" t="n">
        <f aca="false">IF(AND(OR(T2185="Backlog",T2185="Pipeline",T2185="Overdue"),ISNUMBER(W2185)),IF(W2185&lt;=Settings!$B$6,V2185,0),0)</f>
        <v>0</v>
      </c>
      <c r="Y2185" s="38" t="n">
        <f aca="false">IF(AND(OR(T2185="Backlog",T2185="Pipeline",T2185="Overdue"),ISNUMBER(W2185)),IF(W2185&lt;=Settings!$B$6,Q2185,0),0)</f>
        <v>0</v>
      </c>
      <c r="Z2185" s="38" t="n">
        <f aca="false">IF(Y2185=0,0,IF(T2185="Backlog",Q2185,Q2185*Dashboard!$C$10))</f>
        <v>0</v>
      </c>
      <c r="AA2185" s="37" t="n">
        <f aca="false">IF($N2185="",0,IF(COUNTIF(Dashboard!$C$13:$C$22,$N2185)&gt;0,1,0))</f>
        <v>0</v>
      </c>
      <c r="AB2185" s="37" t="str">
        <f aca="false">IF($N2185="","",IF(COUNTIF($N$8:$N2185,$N2185)=1,MAX($AB$7:$AB2184)+1,""))</f>
        <v/>
      </c>
    </row>
    <row r="2186" customFormat="false" ht="15" hidden="false" customHeight="false" outlineLevel="0" collapsed="false">
      <c r="L2186" s="37" t="str">
        <f aca="false">IF(INDEX($A2186:$J2186,$L$6)&lt;&gt;"",TRIM(LEFT(INDEX($A2186:$J2186,$L$6),FIND("(",INDEX($A2186:$J2186,$L$6)&amp;"(")-1)),L2185)</f>
        <v>Building Value Proposition</v>
      </c>
      <c r="M2186" s="37" t="str">
        <f aca="false">IF(INDEX($A2186:$J2186,$M$6)="","",INDEX($A2186:$J2186,$M$6)&amp;"")</f>
        <v/>
      </c>
      <c r="N2186" s="37" t="str">
        <f aca="false">IF($M2186="","",TRIM(INDEX($A2186:$J2186,$N$6)&amp;""))</f>
        <v/>
      </c>
      <c r="O2186" s="37" t="str">
        <f aca="false">IF($M2186="","",TRIM(INDEX($A2186:$J2186,$O$6)&amp;""))</f>
        <v/>
      </c>
      <c r="P2186" s="37" t="str">
        <f aca="false">IF($M2186="","",IFERROR(IF(INDEX(Settings!$B$41:$B$50,MATCH(O2186,Settings!$A$41:$A$50,0))&amp;""="","UNMAPPED",INDEX(Settings!$B$41:$B$50,MATCH(O2186,Settings!$A$41:$A$50,0))&amp;""),"UNMAPPED"))</f>
        <v/>
      </c>
      <c r="Q2186" s="38" t="n">
        <f aca="false">IF($M2186="",0,N(INDEX($A2186:$J2186,$Q$6)))</f>
        <v>0</v>
      </c>
      <c r="R2186" s="39" t="str">
        <f aca="false">IF($M2186="","",INDEX($A2186:$J2186,$R$6))</f>
        <v/>
      </c>
      <c r="S2186" s="37" t="str">
        <f aca="false">IF($M2186="","",IFERROR(INDEX(Settings!$B$27:$B$36,MATCH(L2186,Settings!$A$27:$A$36,0))&amp;"","UNMAPPED"))</f>
        <v/>
      </c>
      <c r="T2186" s="37" t="str">
        <f aca="false">IF($M2186="","",IF(NOT(ISNUMBER(R2186)),"NO DATE",IF(S2186="Won",IF(R2186&gt;Settings!$B$5,"Backlog","Delivered"),IF(S2186="Open",IF(R2186&gt;Settings!$B$5,"Pipeline","Overdue"),IF(S2186="Lost","Lost","UNMAPPED")))))</f>
        <v/>
      </c>
      <c r="U2186" s="40" t="n">
        <f aca="false">IF(T2186="Backlog",1,IF(OR(T2186="Pipeline",T2186="Overdue"),N(INDEX(Settings!$C$27:$C$36,MATCH(L2186,Settings!$A$27:$A$36,0))),0))</f>
        <v>0</v>
      </c>
      <c r="V2186" s="38" t="n">
        <f aca="false">Q2186*U2186</f>
        <v>0</v>
      </c>
      <c r="W2186" s="41" t="str">
        <f aca="false">IF($M2186="","",IF(T2186="Overdue",IF(Settings!$B$8="Yes",Settings!$B$7,""),IF(ISNUMBER(R2186),DATE(YEAR(R2186),MONTH(R2186),1),"")))</f>
        <v/>
      </c>
      <c r="X2186" s="38" t="n">
        <f aca="false">IF(AND(OR(T2186="Backlog",T2186="Pipeline",T2186="Overdue"),ISNUMBER(W2186)),IF(W2186&lt;=Settings!$B$6,V2186,0),0)</f>
        <v>0</v>
      </c>
      <c r="Y2186" s="38" t="n">
        <f aca="false">IF(AND(OR(T2186="Backlog",T2186="Pipeline",T2186="Overdue"),ISNUMBER(W2186)),IF(W2186&lt;=Settings!$B$6,Q2186,0),0)</f>
        <v>0</v>
      </c>
      <c r="Z2186" s="38" t="n">
        <f aca="false">IF(Y2186=0,0,IF(T2186="Backlog",Q2186,Q2186*Dashboard!$C$10))</f>
        <v>0</v>
      </c>
      <c r="AA2186" s="37" t="n">
        <f aca="false">IF($N2186="",0,IF(COUNTIF(Dashboard!$C$13:$C$22,$N2186)&gt;0,1,0))</f>
        <v>0</v>
      </c>
      <c r="AB2186" s="37" t="str">
        <f aca="false">IF($N2186="","",IF(COUNTIF($N$8:$N2186,$N2186)=1,MAX($AB$7:$AB2185)+1,""))</f>
        <v/>
      </c>
    </row>
    <row r="2187" customFormat="false" ht="15" hidden="false" customHeight="false" outlineLevel="0" collapsed="false">
      <c r="L2187" s="37" t="str">
        <f aca="false">IF(INDEX($A2187:$J2187,$L$6)&lt;&gt;"",TRIM(LEFT(INDEX($A2187:$J2187,$L$6),FIND("(",INDEX($A2187:$J2187,$L$6)&amp;"(")-1)),L2186)</f>
        <v>Building Value Proposition</v>
      </c>
      <c r="M2187" s="37" t="str">
        <f aca="false">IF(INDEX($A2187:$J2187,$M$6)="","",INDEX($A2187:$J2187,$M$6)&amp;"")</f>
        <v/>
      </c>
      <c r="N2187" s="37" t="str">
        <f aca="false">IF($M2187="","",TRIM(INDEX($A2187:$J2187,$N$6)&amp;""))</f>
        <v/>
      </c>
      <c r="O2187" s="37" t="str">
        <f aca="false">IF($M2187="","",TRIM(INDEX($A2187:$J2187,$O$6)&amp;""))</f>
        <v/>
      </c>
      <c r="P2187" s="37" t="str">
        <f aca="false">IF($M2187="","",IFERROR(IF(INDEX(Settings!$B$41:$B$50,MATCH(O2187,Settings!$A$41:$A$50,0))&amp;""="","UNMAPPED",INDEX(Settings!$B$41:$B$50,MATCH(O2187,Settings!$A$41:$A$50,0))&amp;""),"UNMAPPED"))</f>
        <v/>
      </c>
      <c r="Q2187" s="38" t="n">
        <f aca="false">IF($M2187="",0,N(INDEX($A2187:$J2187,$Q$6)))</f>
        <v>0</v>
      </c>
      <c r="R2187" s="39" t="str">
        <f aca="false">IF($M2187="","",INDEX($A2187:$J2187,$R$6))</f>
        <v/>
      </c>
      <c r="S2187" s="37" t="str">
        <f aca="false">IF($M2187="","",IFERROR(INDEX(Settings!$B$27:$B$36,MATCH(L2187,Settings!$A$27:$A$36,0))&amp;"","UNMAPPED"))</f>
        <v/>
      </c>
      <c r="T2187" s="37" t="str">
        <f aca="false">IF($M2187="","",IF(NOT(ISNUMBER(R2187)),"NO DATE",IF(S2187="Won",IF(R2187&gt;Settings!$B$5,"Backlog","Delivered"),IF(S2187="Open",IF(R2187&gt;Settings!$B$5,"Pipeline","Overdue"),IF(S2187="Lost","Lost","UNMAPPED")))))</f>
        <v/>
      </c>
      <c r="U2187" s="40" t="n">
        <f aca="false">IF(T2187="Backlog",1,IF(OR(T2187="Pipeline",T2187="Overdue"),N(INDEX(Settings!$C$27:$C$36,MATCH(L2187,Settings!$A$27:$A$36,0))),0))</f>
        <v>0</v>
      </c>
      <c r="V2187" s="38" t="n">
        <f aca="false">Q2187*U2187</f>
        <v>0</v>
      </c>
      <c r="W2187" s="41" t="str">
        <f aca="false">IF($M2187="","",IF(T2187="Overdue",IF(Settings!$B$8="Yes",Settings!$B$7,""),IF(ISNUMBER(R2187),DATE(YEAR(R2187),MONTH(R2187),1),"")))</f>
        <v/>
      </c>
      <c r="X2187" s="38" t="n">
        <f aca="false">IF(AND(OR(T2187="Backlog",T2187="Pipeline",T2187="Overdue"),ISNUMBER(W2187)),IF(W2187&lt;=Settings!$B$6,V2187,0),0)</f>
        <v>0</v>
      </c>
      <c r="Y2187" s="38" t="n">
        <f aca="false">IF(AND(OR(T2187="Backlog",T2187="Pipeline",T2187="Overdue"),ISNUMBER(W2187)),IF(W2187&lt;=Settings!$B$6,Q2187,0),0)</f>
        <v>0</v>
      </c>
      <c r="Z2187" s="38" t="n">
        <f aca="false">IF(Y2187=0,0,IF(T2187="Backlog",Q2187,Q2187*Dashboard!$C$10))</f>
        <v>0</v>
      </c>
      <c r="AA2187" s="37" t="n">
        <f aca="false">IF($N2187="",0,IF(COUNTIF(Dashboard!$C$13:$C$22,$N2187)&gt;0,1,0))</f>
        <v>0</v>
      </c>
      <c r="AB2187" s="37" t="str">
        <f aca="false">IF($N2187="","",IF(COUNTIF($N$8:$N2187,$N2187)=1,MAX($AB$7:$AB2186)+1,""))</f>
        <v/>
      </c>
    </row>
    <row r="2188" customFormat="false" ht="15" hidden="false" customHeight="false" outlineLevel="0" collapsed="false">
      <c r="L2188" s="37" t="str">
        <f aca="false">IF(INDEX($A2188:$J2188,$L$6)&lt;&gt;"",TRIM(LEFT(INDEX($A2188:$J2188,$L$6),FIND("(",INDEX($A2188:$J2188,$L$6)&amp;"(")-1)),L2187)</f>
        <v>Building Value Proposition</v>
      </c>
      <c r="M2188" s="37" t="str">
        <f aca="false">IF(INDEX($A2188:$J2188,$M$6)="","",INDEX($A2188:$J2188,$M$6)&amp;"")</f>
        <v/>
      </c>
      <c r="N2188" s="37" t="str">
        <f aca="false">IF($M2188="","",TRIM(INDEX($A2188:$J2188,$N$6)&amp;""))</f>
        <v/>
      </c>
      <c r="O2188" s="37" t="str">
        <f aca="false">IF($M2188="","",TRIM(INDEX($A2188:$J2188,$O$6)&amp;""))</f>
        <v/>
      </c>
      <c r="P2188" s="37" t="str">
        <f aca="false">IF($M2188="","",IFERROR(IF(INDEX(Settings!$B$41:$B$50,MATCH(O2188,Settings!$A$41:$A$50,0))&amp;""="","UNMAPPED",INDEX(Settings!$B$41:$B$50,MATCH(O2188,Settings!$A$41:$A$50,0))&amp;""),"UNMAPPED"))</f>
        <v/>
      </c>
      <c r="Q2188" s="38" t="n">
        <f aca="false">IF($M2188="",0,N(INDEX($A2188:$J2188,$Q$6)))</f>
        <v>0</v>
      </c>
      <c r="R2188" s="39" t="str">
        <f aca="false">IF($M2188="","",INDEX($A2188:$J2188,$R$6))</f>
        <v/>
      </c>
      <c r="S2188" s="37" t="str">
        <f aca="false">IF($M2188="","",IFERROR(INDEX(Settings!$B$27:$B$36,MATCH(L2188,Settings!$A$27:$A$36,0))&amp;"","UNMAPPED"))</f>
        <v/>
      </c>
      <c r="T2188" s="37" t="str">
        <f aca="false">IF($M2188="","",IF(NOT(ISNUMBER(R2188)),"NO DATE",IF(S2188="Won",IF(R2188&gt;Settings!$B$5,"Backlog","Delivered"),IF(S2188="Open",IF(R2188&gt;Settings!$B$5,"Pipeline","Overdue"),IF(S2188="Lost","Lost","UNMAPPED")))))</f>
        <v/>
      </c>
      <c r="U2188" s="40" t="n">
        <f aca="false">IF(T2188="Backlog",1,IF(OR(T2188="Pipeline",T2188="Overdue"),N(INDEX(Settings!$C$27:$C$36,MATCH(L2188,Settings!$A$27:$A$36,0))),0))</f>
        <v>0</v>
      </c>
      <c r="V2188" s="38" t="n">
        <f aca="false">Q2188*U2188</f>
        <v>0</v>
      </c>
      <c r="W2188" s="41" t="str">
        <f aca="false">IF($M2188="","",IF(T2188="Overdue",IF(Settings!$B$8="Yes",Settings!$B$7,""),IF(ISNUMBER(R2188),DATE(YEAR(R2188),MONTH(R2188),1),"")))</f>
        <v/>
      </c>
      <c r="X2188" s="38" t="n">
        <f aca="false">IF(AND(OR(T2188="Backlog",T2188="Pipeline",T2188="Overdue"),ISNUMBER(W2188)),IF(W2188&lt;=Settings!$B$6,V2188,0),0)</f>
        <v>0</v>
      </c>
      <c r="Y2188" s="38" t="n">
        <f aca="false">IF(AND(OR(T2188="Backlog",T2188="Pipeline",T2188="Overdue"),ISNUMBER(W2188)),IF(W2188&lt;=Settings!$B$6,Q2188,0),0)</f>
        <v>0</v>
      </c>
      <c r="Z2188" s="38" t="n">
        <f aca="false">IF(Y2188=0,0,IF(T2188="Backlog",Q2188,Q2188*Dashboard!$C$10))</f>
        <v>0</v>
      </c>
      <c r="AA2188" s="37" t="n">
        <f aca="false">IF($N2188="",0,IF(COUNTIF(Dashboard!$C$13:$C$22,$N2188)&gt;0,1,0))</f>
        <v>0</v>
      </c>
      <c r="AB2188" s="37" t="str">
        <f aca="false">IF($N2188="","",IF(COUNTIF($N$8:$N2188,$N2188)=1,MAX($AB$7:$AB2187)+1,""))</f>
        <v/>
      </c>
    </row>
    <row r="2189" customFormat="false" ht="15" hidden="false" customHeight="false" outlineLevel="0" collapsed="false">
      <c r="L2189" s="37" t="str">
        <f aca="false">IF(INDEX($A2189:$J2189,$L$6)&lt;&gt;"",TRIM(LEFT(INDEX($A2189:$J2189,$L$6),FIND("(",INDEX($A2189:$J2189,$L$6)&amp;"(")-1)),L2188)</f>
        <v>Building Value Proposition</v>
      </c>
      <c r="M2189" s="37" t="str">
        <f aca="false">IF(INDEX($A2189:$J2189,$M$6)="","",INDEX($A2189:$J2189,$M$6)&amp;"")</f>
        <v/>
      </c>
      <c r="N2189" s="37" t="str">
        <f aca="false">IF($M2189="","",TRIM(INDEX($A2189:$J2189,$N$6)&amp;""))</f>
        <v/>
      </c>
      <c r="O2189" s="37" t="str">
        <f aca="false">IF($M2189="","",TRIM(INDEX($A2189:$J2189,$O$6)&amp;""))</f>
        <v/>
      </c>
      <c r="P2189" s="37" t="str">
        <f aca="false">IF($M2189="","",IFERROR(IF(INDEX(Settings!$B$41:$B$50,MATCH(O2189,Settings!$A$41:$A$50,0))&amp;""="","UNMAPPED",INDEX(Settings!$B$41:$B$50,MATCH(O2189,Settings!$A$41:$A$50,0))&amp;""),"UNMAPPED"))</f>
        <v/>
      </c>
      <c r="Q2189" s="38" t="n">
        <f aca="false">IF($M2189="",0,N(INDEX($A2189:$J2189,$Q$6)))</f>
        <v>0</v>
      </c>
      <c r="R2189" s="39" t="str">
        <f aca="false">IF($M2189="","",INDEX($A2189:$J2189,$R$6))</f>
        <v/>
      </c>
      <c r="S2189" s="37" t="str">
        <f aca="false">IF($M2189="","",IFERROR(INDEX(Settings!$B$27:$B$36,MATCH(L2189,Settings!$A$27:$A$36,0))&amp;"","UNMAPPED"))</f>
        <v/>
      </c>
      <c r="T2189" s="37" t="str">
        <f aca="false">IF($M2189="","",IF(NOT(ISNUMBER(R2189)),"NO DATE",IF(S2189="Won",IF(R2189&gt;Settings!$B$5,"Backlog","Delivered"),IF(S2189="Open",IF(R2189&gt;Settings!$B$5,"Pipeline","Overdue"),IF(S2189="Lost","Lost","UNMAPPED")))))</f>
        <v/>
      </c>
      <c r="U2189" s="40" t="n">
        <f aca="false">IF(T2189="Backlog",1,IF(OR(T2189="Pipeline",T2189="Overdue"),N(INDEX(Settings!$C$27:$C$36,MATCH(L2189,Settings!$A$27:$A$36,0))),0))</f>
        <v>0</v>
      </c>
      <c r="V2189" s="38" t="n">
        <f aca="false">Q2189*U2189</f>
        <v>0</v>
      </c>
      <c r="W2189" s="41" t="str">
        <f aca="false">IF($M2189="","",IF(T2189="Overdue",IF(Settings!$B$8="Yes",Settings!$B$7,""),IF(ISNUMBER(R2189),DATE(YEAR(R2189),MONTH(R2189),1),"")))</f>
        <v/>
      </c>
      <c r="X2189" s="38" t="n">
        <f aca="false">IF(AND(OR(T2189="Backlog",T2189="Pipeline",T2189="Overdue"),ISNUMBER(W2189)),IF(W2189&lt;=Settings!$B$6,V2189,0),0)</f>
        <v>0</v>
      </c>
      <c r="Y2189" s="38" t="n">
        <f aca="false">IF(AND(OR(T2189="Backlog",T2189="Pipeline",T2189="Overdue"),ISNUMBER(W2189)),IF(W2189&lt;=Settings!$B$6,Q2189,0),0)</f>
        <v>0</v>
      </c>
      <c r="Z2189" s="38" t="n">
        <f aca="false">IF(Y2189=0,0,IF(T2189="Backlog",Q2189,Q2189*Dashboard!$C$10))</f>
        <v>0</v>
      </c>
      <c r="AA2189" s="37" t="n">
        <f aca="false">IF($N2189="",0,IF(COUNTIF(Dashboard!$C$13:$C$22,$N2189)&gt;0,1,0))</f>
        <v>0</v>
      </c>
      <c r="AB2189" s="37" t="str">
        <f aca="false">IF($N2189="","",IF(COUNTIF($N$8:$N2189,$N2189)=1,MAX($AB$7:$AB2188)+1,""))</f>
        <v/>
      </c>
    </row>
    <row r="2190" customFormat="false" ht="15" hidden="false" customHeight="false" outlineLevel="0" collapsed="false">
      <c r="L2190" s="37" t="str">
        <f aca="false">IF(INDEX($A2190:$J2190,$L$6)&lt;&gt;"",TRIM(LEFT(INDEX($A2190:$J2190,$L$6),FIND("(",INDEX($A2190:$J2190,$L$6)&amp;"(")-1)),L2189)</f>
        <v>Building Value Proposition</v>
      </c>
      <c r="M2190" s="37" t="str">
        <f aca="false">IF(INDEX($A2190:$J2190,$M$6)="","",INDEX($A2190:$J2190,$M$6)&amp;"")</f>
        <v/>
      </c>
      <c r="N2190" s="37" t="str">
        <f aca="false">IF($M2190="","",TRIM(INDEX($A2190:$J2190,$N$6)&amp;""))</f>
        <v/>
      </c>
      <c r="O2190" s="37" t="str">
        <f aca="false">IF($M2190="","",TRIM(INDEX($A2190:$J2190,$O$6)&amp;""))</f>
        <v/>
      </c>
      <c r="P2190" s="37" t="str">
        <f aca="false">IF($M2190="","",IFERROR(IF(INDEX(Settings!$B$41:$B$50,MATCH(O2190,Settings!$A$41:$A$50,0))&amp;""="","UNMAPPED",INDEX(Settings!$B$41:$B$50,MATCH(O2190,Settings!$A$41:$A$50,0))&amp;""),"UNMAPPED"))</f>
        <v/>
      </c>
      <c r="Q2190" s="38" t="n">
        <f aca="false">IF($M2190="",0,N(INDEX($A2190:$J2190,$Q$6)))</f>
        <v>0</v>
      </c>
      <c r="R2190" s="39" t="str">
        <f aca="false">IF($M2190="","",INDEX($A2190:$J2190,$R$6))</f>
        <v/>
      </c>
      <c r="S2190" s="37" t="str">
        <f aca="false">IF($M2190="","",IFERROR(INDEX(Settings!$B$27:$B$36,MATCH(L2190,Settings!$A$27:$A$36,0))&amp;"","UNMAPPED"))</f>
        <v/>
      </c>
      <c r="T2190" s="37" t="str">
        <f aca="false">IF($M2190="","",IF(NOT(ISNUMBER(R2190)),"NO DATE",IF(S2190="Won",IF(R2190&gt;Settings!$B$5,"Backlog","Delivered"),IF(S2190="Open",IF(R2190&gt;Settings!$B$5,"Pipeline","Overdue"),IF(S2190="Lost","Lost","UNMAPPED")))))</f>
        <v/>
      </c>
      <c r="U2190" s="40" t="n">
        <f aca="false">IF(T2190="Backlog",1,IF(OR(T2190="Pipeline",T2190="Overdue"),N(INDEX(Settings!$C$27:$C$36,MATCH(L2190,Settings!$A$27:$A$36,0))),0))</f>
        <v>0</v>
      </c>
      <c r="V2190" s="38" t="n">
        <f aca="false">Q2190*U2190</f>
        <v>0</v>
      </c>
      <c r="W2190" s="41" t="str">
        <f aca="false">IF($M2190="","",IF(T2190="Overdue",IF(Settings!$B$8="Yes",Settings!$B$7,""),IF(ISNUMBER(R2190),DATE(YEAR(R2190),MONTH(R2190),1),"")))</f>
        <v/>
      </c>
      <c r="X2190" s="38" t="n">
        <f aca="false">IF(AND(OR(T2190="Backlog",T2190="Pipeline",T2190="Overdue"),ISNUMBER(W2190)),IF(W2190&lt;=Settings!$B$6,V2190,0),0)</f>
        <v>0</v>
      </c>
      <c r="Y2190" s="38" t="n">
        <f aca="false">IF(AND(OR(T2190="Backlog",T2190="Pipeline",T2190="Overdue"),ISNUMBER(W2190)),IF(W2190&lt;=Settings!$B$6,Q2190,0),0)</f>
        <v>0</v>
      </c>
      <c r="Z2190" s="38" t="n">
        <f aca="false">IF(Y2190=0,0,IF(T2190="Backlog",Q2190,Q2190*Dashboard!$C$10))</f>
        <v>0</v>
      </c>
      <c r="AA2190" s="37" t="n">
        <f aca="false">IF($N2190="",0,IF(COUNTIF(Dashboard!$C$13:$C$22,$N2190)&gt;0,1,0))</f>
        <v>0</v>
      </c>
      <c r="AB2190" s="37" t="str">
        <f aca="false">IF($N2190="","",IF(COUNTIF($N$8:$N2190,$N2190)=1,MAX($AB$7:$AB2189)+1,""))</f>
        <v/>
      </c>
    </row>
    <row r="2191" customFormat="false" ht="15" hidden="false" customHeight="false" outlineLevel="0" collapsed="false">
      <c r="L2191" s="37" t="str">
        <f aca="false">IF(INDEX($A2191:$J2191,$L$6)&lt;&gt;"",TRIM(LEFT(INDEX($A2191:$J2191,$L$6),FIND("(",INDEX($A2191:$J2191,$L$6)&amp;"(")-1)),L2190)</f>
        <v>Building Value Proposition</v>
      </c>
      <c r="M2191" s="37" t="str">
        <f aca="false">IF(INDEX($A2191:$J2191,$M$6)="","",INDEX($A2191:$J2191,$M$6)&amp;"")</f>
        <v/>
      </c>
      <c r="N2191" s="37" t="str">
        <f aca="false">IF($M2191="","",TRIM(INDEX($A2191:$J2191,$N$6)&amp;""))</f>
        <v/>
      </c>
      <c r="O2191" s="37" t="str">
        <f aca="false">IF($M2191="","",TRIM(INDEX($A2191:$J2191,$O$6)&amp;""))</f>
        <v/>
      </c>
      <c r="P2191" s="37" t="str">
        <f aca="false">IF($M2191="","",IFERROR(IF(INDEX(Settings!$B$41:$B$50,MATCH(O2191,Settings!$A$41:$A$50,0))&amp;""="","UNMAPPED",INDEX(Settings!$B$41:$B$50,MATCH(O2191,Settings!$A$41:$A$50,0))&amp;""),"UNMAPPED"))</f>
        <v/>
      </c>
      <c r="Q2191" s="38" t="n">
        <f aca="false">IF($M2191="",0,N(INDEX($A2191:$J2191,$Q$6)))</f>
        <v>0</v>
      </c>
      <c r="R2191" s="39" t="str">
        <f aca="false">IF($M2191="","",INDEX($A2191:$J2191,$R$6))</f>
        <v/>
      </c>
      <c r="S2191" s="37" t="str">
        <f aca="false">IF($M2191="","",IFERROR(INDEX(Settings!$B$27:$B$36,MATCH(L2191,Settings!$A$27:$A$36,0))&amp;"","UNMAPPED"))</f>
        <v/>
      </c>
      <c r="T2191" s="37" t="str">
        <f aca="false">IF($M2191="","",IF(NOT(ISNUMBER(R2191)),"NO DATE",IF(S2191="Won",IF(R2191&gt;Settings!$B$5,"Backlog","Delivered"),IF(S2191="Open",IF(R2191&gt;Settings!$B$5,"Pipeline","Overdue"),IF(S2191="Lost","Lost","UNMAPPED")))))</f>
        <v/>
      </c>
      <c r="U2191" s="40" t="n">
        <f aca="false">IF(T2191="Backlog",1,IF(OR(T2191="Pipeline",T2191="Overdue"),N(INDEX(Settings!$C$27:$C$36,MATCH(L2191,Settings!$A$27:$A$36,0))),0))</f>
        <v>0</v>
      </c>
      <c r="V2191" s="38" t="n">
        <f aca="false">Q2191*U2191</f>
        <v>0</v>
      </c>
      <c r="W2191" s="41" t="str">
        <f aca="false">IF($M2191="","",IF(T2191="Overdue",IF(Settings!$B$8="Yes",Settings!$B$7,""),IF(ISNUMBER(R2191),DATE(YEAR(R2191),MONTH(R2191),1),"")))</f>
        <v/>
      </c>
      <c r="X2191" s="38" t="n">
        <f aca="false">IF(AND(OR(T2191="Backlog",T2191="Pipeline",T2191="Overdue"),ISNUMBER(W2191)),IF(W2191&lt;=Settings!$B$6,V2191,0),0)</f>
        <v>0</v>
      </c>
      <c r="Y2191" s="38" t="n">
        <f aca="false">IF(AND(OR(T2191="Backlog",T2191="Pipeline",T2191="Overdue"),ISNUMBER(W2191)),IF(W2191&lt;=Settings!$B$6,Q2191,0),0)</f>
        <v>0</v>
      </c>
      <c r="Z2191" s="38" t="n">
        <f aca="false">IF(Y2191=0,0,IF(T2191="Backlog",Q2191,Q2191*Dashboard!$C$10))</f>
        <v>0</v>
      </c>
      <c r="AA2191" s="37" t="n">
        <f aca="false">IF($N2191="",0,IF(COUNTIF(Dashboard!$C$13:$C$22,$N2191)&gt;0,1,0))</f>
        <v>0</v>
      </c>
      <c r="AB2191" s="37" t="str">
        <f aca="false">IF($N2191="","",IF(COUNTIF($N$8:$N2191,$N2191)=1,MAX($AB$7:$AB2190)+1,""))</f>
        <v/>
      </c>
    </row>
    <row r="2192" customFormat="false" ht="15" hidden="false" customHeight="false" outlineLevel="0" collapsed="false">
      <c r="L2192" s="37" t="str">
        <f aca="false">IF(INDEX($A2192:$J2192,$L$6)&lt;&gt;"",TRIM(LEFT(INDEX($A2192:$J2192,$L$6),FIND("(",INDEX($A2192:$J2192,$L$6)&amp;"(")-1)),L2191)</f>
        <v>Building Value Proposition</v>
      </c>
      <c r="M2192" s="37" t="str">
        <f aca="false">IF(INDEX($A2192:$J2192,$M$6)="","",INDEX($A2192:$J2192,$M$6)&amp;"")</f>
        <v/>
      </c>
      <c r="N2192" s="37" t="str">
        <f aca="false">IF($M2192="","",TRIM(INDEX($A2192:$J2192,$N$6)&amp;""))</f>
        <v/>
      </c>
      <c r="O2192" s="37" t="str">
        <f aca="false">IF($M2192="","",TRIM(INDEX($A2192:$J2192,$O$6)&amp;""))</f>
        <v/>
      </c>
      <c r="P2192" s="37" t="str">
        <f aca="false">IF($M2192="","",IFERROR(IF(INDEX(Settings!$B$41:$B$50,MATCH(O2192,Settings!$A$41:$A$50,0))&amp;""="","UNMAPPED",INDEX(Settings!$B$41:$B$50,MATCH(O2192,Settings!$A$41:$A$50,0))&amp;""),"UNMAPPED"))</f>
        <v/>
      </c>
      <c r="Q2192" s="38" t="n">
        <f aca="false">IF($M2192="",0,N(INDEX($A2192:$J2192,$Q$6)))</f>
        <v>0</v>
      </c>
      <c r="R2192" s="39" t="str">
        <f aca="false">IF($M2192="","",INDEX($A2192:$J2192,$R$6))</f>
        <v/>
      </c>
      <c r="S2192" s="37" t="str">
        <f aca="false">IF($M2192="","",IFERROR(INDEX(Settings!$B$27:$B$36,MATCH(L2192,Settings!$A$27:$A$36,0))&amp;"","UNMAPPED"))</f>
        <v/>
      </c>
      <c r="T2192" s="37" t="str">
        <f aca="false">IF($M2192="","",IF(NOT(ISNUMBER(R2192)),"NO DATE",IF(S2192="Won",IF(R2192&gt;Settings!$B$5,"Backlog","Delivered"),IF(S2192="Open",IF(R2192&gt;Settings!$B$5,"Pipeline","Overdue"),IF(S2192="Lost","Lost","UNMAPPED")))))</f>
        <v/>
      </c>
      <c r="U2192" s="40" t="n">
        <f aca="false">IF(T2192="Backlog",1,IF(OR(T2192="Pipeline",T2192="Overdue"),N(INDEX(Settings!$C$27:$C$36,MATCH(L2192,Settings!$A$27:$A$36,0))),0))</f>
        <v>0</v>
      </c>
      <c r="V2192" s="38" t="n">
        <f aca="false">Q2192*U2192</f>
        <v>0</v>
      </c>
      <c r="W2192" s="41" t="str">
        <f aca="false">IF($M2192="","",IF(T2192="Overdue",IF(Settings!$B$8="Yes",Settings!$B$7,""),IF(ISNUMBER(R2192),DATE(YEAR(R2192),MONTH(R2192),1),"")))</f>
        <v/>
      </c>
      <c r="X2192" s="38" t="n">
        <f aca="false">IF(AND(OR(T2192="Backlog",T2192="Pipeline",T2192="Overdue"),ISNUMBER(W2192)),IF(W2192&lt;=Settings!$B$6,V2192,0),0)</f>
        <v>0</v>
      </c>
      <c r="Y2192" s="38" t="n">
        <f aca="false">IF(AND(OR(T2192="Backlog",T2192="Pipeline",T2192="Overdue"),ISNUMBER(W2192)),IF(W2192&lt;=Settings!$B$6,Q2192,0),0)</f>
        <v>0</v>
      </c>
      <c r="Z2192" s="38" t="n">
        <f aca="false">IF(Y2192=0,0,IF(T2192="Backlog",Q2192,Q2192*Dashboard!$C$10))</f>
        <v>0</v>
      </c>
      <c r="AA2192" s="37" t="n">
        <f aca="false">IF($N2192="",0,IF(COUNTIF(Dashboard!$C$13:$C$22,$N2192)&gt;0,1,0))</f>
        <v>0</v>
      </c>
      <c r="AB2192" s="37" t="str">
        <f aca="false">IF($N2192="","",IF(COUNTIF($N$8:$N2192,$N2192)=1,MAX($AB$7:$AB2191)+1,""))</f>
        <v/>
      </c>
    </row>
    <row r="2193" customFormat="false" ht="15" hidden="false" customHeight="false" outlineLevel="0" collapsed="false">
      <c r="L2193" s="37" t="str">
        <f aca="false">IF(INDEX($A2193:$J2193,$L$6)&lt;&gt;"",TRIM(LEFT(INDEX($A2193:$J2193,$L$6),FIND("(",INDEX($A2193:$J2193,$L$6)&amp;"(")-1)),L2192)</f>
        <v>Building Value Proposition</v>
      </c>
      <c r="M2193" s="37" t="str">
        <f aca="false">IF(INDEX($A2193:$J2193,$M$6)="","",INDEX($A2193:$J2193,$M$6)&amp;"")</f>
        <v/>
      </c>
      <c r="N2193" s="37" t="str">
        <f aca="false">IF($M2193="","",TRIM(INDEX($A2193:$J2193,$N$6)&amp;""))</f>
        <v/>
      </c>
      <c r="O2193" s="37" t="str">
        <f aca="false">IF($M2193="","",TRIM(INDEX($A2193:$J2193,$O$6)&amp;""))</f>
        <v/>
      </c>
      <c r="P2193" s="37" t="str">
        <f aca="false">IF($M2193="","",IFERROR(IF(INDEX(Settings!$B$41:$B$50,MATCH(O2193,Settings!$A$41:$A$50,0))&amp;""="","UNMAPPED",INDEX(Settings!$B$41:$B$50,MATCH(O2193,Settings!$A$41:$A$50,0))&amp;""),"UNMAPPED"))</f>
        <v/>
      </c>
      <c r="Q2193" s="38" t="n">
        <f aca="false">IF($M2193="",0,N(INDEX($A2193:$J2193,$Q$6)))</f>
        <v>0</v>
      </c>
      <c r="R2193" s="39" t="str">
        <f aca="false">IF($M2193="","",INDEX($A2193:$J2193,$R$6))</f>
        <v/>
      </c>
      <c r="S2193" s="37" t="str">
        <f aca="false">IF($M2193="","",IFERROR(INDEX(Settings!$B$27:$B$36,MATCH(L2193,Settings!$A$27:$A$36,0))&amp;"","UNMAPPED"))</f>
        <v/>
      </c>
      <c r="T2193" s="37" t="str">
        <f aca="false">IF($M2193="","",IF(NOT(ISNUMBER(R2193)),"NO DATE",IF(S2193="Won",IF(R2193&gt;Settings!$B$5,"Backlog","Delivered"),IF(S2193="Open",IF(R2193&gt;Settings!$B$5,"Pipeline","Overdue"),IF(S2193="Lost","Lost","UNMAPPED")))))</f>
        <v/>
      </c>
      <c r="U2193" s="40" t="n">
        <f aca="false">IF(T2193="Backlog",1,IF(OR(T2193="Pipeline",T2193="Overdue"),N(INDEX(Settings!$C$27:$C$36,MATCH(L2193,Settings!$A$27:$A$36,0))),0))</f>
        <v>0</v>
      </c>
      <c r="V2193" s="38" t="n">
        <f aca="false">Q2193*U2193</f>
        <v>0</v>
      </c>
      <c r="W2193" s="41" t="str">
        <f aca="false">IF($M2193="","",IF(T2193="Overdue",IF(Settings!$B$8="Yes",Settings!$B$7,""),IF(ISNUMBER(R2193),DATE(YEAR(R2193),MONTH(R2193),1),"")))</f>
        <v/>
      </c>
      <c r="X2193" s="38" t="n">
        <f aca="false">IF(AND(OR(T2193="Backlog",T2193="Pipeline",T2193="Overdue"),ISNUMBER(W2193)),IF(W2193&lt;=Settings!$B$6,V2193,0),0)</f>
        <v>0</v>
      </c>
      <c r="Y2193" s="38" t="n">
        <f aca="false">IF(AND(OR(T2193="Backlog",T2193="Pipeline",T2193="Overdue"),ISNUMBER(W2193)),IF(W2193&lt;=Settings!$B$6,Q2193,0),0)</f>
        <v>0</v>
      </c>
      <c r="Z2193" s="38" t="n">
        <f aca="false">IF(Y2193=0,0,IF(T2193="Backlog",Q2193,Q2193*Dashboard!$C$10))</f>
        <v>0</v>
      </c>
      <c r="AA2193" s="37" t="n">
        <f aca="false">IF($N2193="",0,IF(COUNTIF(Dashboard!$C$13:$C$22,$N2193)&gt;0,1,0))</f>
        <v>0</v>
      </c>
      <c r="AB2193" s="37" t="str">
        <f aca="false">IF($N2193="","",IF(COUNTIF($N$8:$N2193,$N2193)=1,MAX($AB$7:$AB2192)+1,""))</f>
        <v/>
      </c>
    </row>
    <row r="2194" customFormat="false" ht="15" hidden="false" customHeight="false" outlineLevel="0" collapsed="false">
      <c r="L2194" s="37" t="str">
        <f aca="false">IF(INDEX($A2194:$J2194,$L$6)&lt;&gt;"",TRIM(LEFT(INDEX($A2194:$J2194,$L$6),FIND("(",INDEX($A2194:$J2194,$L$6)&amp;"(")-1)),L2193)</f>
        <v>Building Value Proposition</v>
      </c>
      <c r="M2194" s="37" t="str">
        <f aca="false">IF(INDEX($A2194:$J2194,$M$6)="","",INDEX($A2194:$J2194,$M$6)&amp;"")</f>
        <v/>
      </c>
      <c r="N2194" s="37" t="str">
        <f aca="false">IF($M2194="","",TRIM(INDEX($A2194:$J2194,$N$6)&amp;""))</f>
        <v/>
      </c>
      <c r="O2194" s="37" t="str">
        <f aca="false">IF($M2194="","",TRIM(INDEX($A2194:$J2194,$O$6)&amp;""))</f>
        <v/>
      </c>
      <c r="P2194" s="37" t="str">
        <f aca="false">IF($M2194="","",IFERROR(IF(INDEX(Settings!$B$41:$B$50,MATCH(O2194,Settings!$A$41:$A$50,0))&amp;""="","UNMAPPED",INDEX(Settings!$B$41:$B$50,MATCH(O2194,Settings!$A$41:$A$50,0))&amp;""),"UNMAPPED"))</f>
        <v/>
      </c>
      <c r="Q2194" s="38" t="n">
        <f aca="false">IF($M2194="",0,N(INDEX($A2194:$J2194,$Q$6)))</f>
        <v>0</v>
      </c>
      <c r="R2194" s="39" t="str">
        <f aca="false">IF($M2194="","",INDEX($A2194:$J2194,$R$6))</f>
        <v/>
      </c>
      <c r="S2194" s="37" t="str">
        <f aca="false">IF($M2194="","",IFERROR(INDEX(Settings!$B$27:$B$36,MATCH(L2194,Settings!$A$27:$A$36,0))&amp;"","UNMAPPED"))</f>
        <v/>
      </c>
      <c r="T2194" s="37" t="str">
        <f aca="false">IF($M2194="","",IF(NOT(ISNUMBER(R2194)),"NO DATE",IF(S2194="Won",IF(R2194&gt;Settings!$B$5,"Backlog","Delivered"),IF(S2194="Open",IF(R2194&gt;Settings!$B$5,"Pipeline","Overdue"),IF(S2194="Lost","Lost","UNMAPPED")))))</f>
        <v/>
      </c>
      <c r="U2194" s="40" t="n">
        <f aca="false">IF(T2194="Backlog",1,IF(OR(T2194="Pipeline",T2194="Overdue"),N(INDEX(Settings!$C$27:$C$36,MATCH(L2194,Settings!$A$27:$A$36,0))),0))</f>
        <v>0</v>
      </c>
      <c r="V2194" s="38" t="n">
        <f aca="false">Q2194*U2194</f>
        <v>0</v>
      </c>
      <c r="W2194" s="41" t="str">
        <f aca="false">IF($M2194="","",IF(T2194="Overdue",IF(Settings!$B$8="Yes",Settings!$B$7,""),IF(ISNUMBER(R2194),DATE(YEAR(R2194),MONTH(R2194),1),"")))</f>
        <v/>
      </c>
      <c r="X2194" s="38" t="n">
        <f aca="false">IF(AND(OR(T2194="Backlog",T2194="Pipeline",T2194="Overdue"),ISNUMBER(W2194)),IF(W2194&lt;=Settings!$B$6,V2194,0),0)</f>
        <v>0</v>
      </c>
      <c r="Y2194" s="38" t="n">
        <f aca="false">IF(AND(OR(T2194="Backlog",T2194="Pipeline",T2194="Overdue"),ISNUMBER(W2194)),IF(W2194&lt;=Settings!$B$6,Q2194,0),0)</f>
        <v>0</v>
      </c>
      <c r="Z2194" s="38" t="n">
        <f aca="false">IF(Y2194=0,0,IF(T2194="Backlog",Q2194,Q2194*Dashboard!$C$10))</f>
        <v>0</v>
      </c>
      <c r="AA2194" s="37" t="n">
        <f aca="false">IF($N2194="",0,IF(COUNTIF(Dashboard!$C$13:$C$22,$N2194)&gt;0,1,0))</f>
        <v>0</v>
      </c>
      <c r="AB2194" s="37" t="str">
        <f aca="false">IF($N2194="","",IF(COUNTIF($N$8:$N2194,$N2194)=1,MAX($AB$7:$AB2193)+1,""))</f>
        <v/>
      </c>
    </row>
    <row r="2195" customFormat="false" ht="15" hidden="false" customHeight="false" outlineLevel="0" collapsed="false">
      <c r="L2195" s="37" t="str">
        <f aca="false">IF(INDEX($A2195:$J2195,$L$6)&lt;&gt;"",TRIM(LEFT(INDEX($A2195:$J2195,$L$6),FIND("(",INDEX($A2195:$J2195,$L$6)&amp;"(")-1)),L2194)</f>
        <v>Building Value Proposition</v>
      </c>
      <c r="M2195" s="37" t="str">
        <f aca="false">IF(INDEX($A2195:$J2195,$M$6)="","",INDEX($A2195:$J2195,$M$6)&amp;"")</f>
        <v/>
      </c>
      <c r="N2195" s="37" t="str">
        <f aca="false">IF($M2195="","",TRIM(INDEX($A2195:$J2195,$N$6)&amp;""))</f>
        <v/>
      </c>
      <c r="O2195" s="37" t="str">
        <f aca="false">IF($M2195="","",TRIM(INDEX($A2195:$J2195,$O$6)&amp;""))</f>
        <v/>
      </c>
      <c r="P2195" s="37" t="str">
        <f aca="false">IF($M2195="","",IFERROR(IF(INDEX(Settings!$B$41:$B$50,MATCH(O2195,Settings!$A$41:$A$50,0))&amp;""="","UNMAPPED",INDEX(Settings!$B$41:$B$50,MATCH(O2195,Settings!$A$41:$A$50,0))&amp;""),"UNMAPPED"))</f>
        <v/>
      </c>
      <c r="Q2195" s="38" t="n">
        <f aca="false">IF($M2195="",0,N(INDEX($A2195:$J2195,$Q$6)))</f>
        <v>0</v>
      </c>
      <c r="R2195" s="39" t="str">
        <f aca="false">IF($M2195="","",INDEX($A2195:$J2195,$R$6))</f>
        <v/>
      </c>
      <c r="S2195" s="37" t="str">
        <f aca="false">IF($M2195="","",IFERROR(INDEX(Settings!$B$27:$B$36,MATCH(L2195,Settings!$A$27:$A$36,0))&amp;"","UNMAPPED"))</f>
        <v/>
      </c>
      <c r="T2195" s="37" t="str">
        <f aca="false">IF($M2195="","",IF(NOT(ISNUMBER(R2195)),"NO DATE",IF(S2195="Won",IF(R2195&gt;Settings!$B$5,"Backlog","Delivered"),IF(S2195="Open",IF(R2195&gt;Settings!$B$5,"Pipeline","Overdue"),IF(S2195="Lost","Lost","UNMAPPED")))))</f>
        <v/>
      </c>
      <c r="U2195" s="40" t="n">
        <f aca="false">IF(T2195="Backlog",1,IF(OR(T2195="Pipeline",T2195="Overdue"),N(INDEX(Settings!$C$27:$C$36,MATCH(L2195,Settings!$A$27:$A$36,0))),0))</f>
        <v>0</v>
      </c>
      <c r="V2195" s="38" t="n">
        <f aca="false">Q2195*U2195</f>
        <v>0</v>
      </c>
      <c r="W2195" s="41" t="str">
        <f aca="false">IF($M2195="","",IF(T2195="Overdue",IF(Settings!$B$8="Yes",Settings!$B$7,""),IF(ISNUMBER(R2195),DATE(YEAR(R2195),MONTH(R2195),1),"")))</f>
        <v/>
      </c>
      <c r="X2195" s="38" t="n">
        <f aca="false">IF(AND(OR(T2195="Backlog",T2195="Pipeline",T2195="Overdue"),ISNUMBER(W2195)),IF(W2195&lt;=Settings!$B$6,V2195,0),0)</f>
        <v>0</v>
      </c>
      <c r="Y2195" s="38" t="n">
        <f aca="false">IF(AND(OR(T2195="Backlog",T2195="Pipeline",T2195="Overdue"),ISNUMBER(W2195)),IF(W2195&lt;=Settings!$B$6,Q2195,0),0)</f>
        <v>0</v>
      </c>
      <c r="Z2195" s="38" t="n">
        <f aca="false">IF(Y2195=0,0,IF(T2195="Backlog",Q2195,Q2195*Dashboard!$C$10))</f>
        <v>0</v>
      </c>
      <c r="AA2195" s="37" t="n">
        <f aca="false">IF($N2195="",0,IF(COUNTIF(Dashboard!$C$13:$C$22,$N2195)&gt;0,1,0))</f>
        <v>0</v>
      </c>
      <c r="AB2195" s="37" t="str">
        <f aca="false">IF($N2195="","",IF(COUNTIF($N$8:$N2195,$N2195)=1,MAX($AB$7:$AB2194)+1,""))</f>
        <v/>
      </c>
    </row>
    <row r="2196" customFormat="false" ht="15" hidden="false" customHeight="false" outlineLevel="0" collapsed="false">
      <c r="L2196" s="37" t="str">
        <f aca="false">IF(INDEX($A2196:$J2196,$L$6)&lt;&gt;"",TRIM(LEFT(INDEX($A2196:$J2196,$L$6),FIND("(",INDEX($A2196:$J2196,$L$6)&amp;"(")-1)),L2195)</f>
        <v>Building Value Proposition</v>
      </c>
      <c r="M2196" s="37" t="str">
        <f aca="false">IF(INDEX($A2196:$J2196,$M$6)="","",INDEX($A2196:$J2196,$M$6)&amp;"")</f>
        <v/>
      </c>
      <c r="N2196" s="37" t="str">
        <f aca="false">IF($M2196="","",TRIM(INDEX($A2196:$J2196,$N$6)&amp;""))</f>
        <v/>
      </c>
      <c r="O2196" s="37" t="str">
        <f aca="false">IF($M2196="","",TRIM(INDEX($A2196:$J2196,$O$6)&amp;""))</f>
        <v/>
      </c>
      <c r="P2196" s="37" t="str">
        <f aca="false">IF($M2196="","",IFERROR(IF(INDEX(Settings!$B$41:$B$50,MATCH(O2196,Settings!$A$41:$A$50,0))&amp;""="","UNMAPPED",INDEX(Settings!$B$41:$B$50,MATCH(O2196,Settings!$A$41:$A$50,0))&amp;""),"UNMAPPED"))</f>
        <v/>
      </c>
      <c r="Q2196" s="38" t="n">
        <f aca="false">IF($M2196="",0,N(INDEX($A2196:$J2196,$Q$6)))</f>
        <v>0</v>
      </c>
      <c r="R2196" s="39" t="str">
        <f aca="false">IF($M2196="","",INDEX($A2196:$J2196,$R$6))</f>
        <v/>
      </c>
      <c r="S2196" s="37" t="str">
        <f aca="false">IF($M2196="","",IFERROR(INDEX(Settings!$B$27:$B$36,MATCH(L2196,Settings!$A$27:$A$36,0))&amp;"","UNMAPPED"))</f>
        <v/>
      </c>
      <c r="T2196" s="37" t="str">
        <f aca="false">IF($M2196="","",IF(NOT(ISNUMBER(R2196)),"NO DATE",IF(S2196="Won",IF(R2196&gt;Settings!$B$5,"Backlog","Delivered"),IF(S2196="Open",IF(R2196&gt;Settings!$B$5,"Pipeline","Overdue"),IF(S2196="Lost","Lost","UNMAPPED")))))</f>
        <v/>
      </c>
      <c r="U2196" s="40" t="n">
        <f aca="false">IF(T2196="Backlog",1,IF(OR(T2196="Pipeline",T2196="Overdue"),N(INDEX(Settings!$C$27:$C$36,MATCH(L2196,Settings!$A$27:$A$36,0))),0))</f>
        <v>0</v>
      </c>
      <c r="V2196" s="38" t="n">
        <f aca="false">Q2196*U2196</f>
        <v>0</v>
      </c>
      <c r="W2196" s="41" t="str">
        <f aca="false">IF($M2196="","",IF(T2196="Overdue",IF(Settings!$B$8="Yes",Settings!$B$7,""),IF(ISNUMBER(R2196),DATE(YEAR(R2196),MONTH(R2196),1),"")))</f>
        <v/>
      </c>
      <c r="X2196" s="38" t="n">
        <f aca="false">IF(AND(OR(T2196="Backlog",T2196="Pipeline",T2196="Overdue"),ISNUMBER(W2196)),IF(W2196&lt;=Settings!$B$6,V2196,0),0)</f>
        <v>0</v>
      </c>
      <c r="Y2196" s="38" t="n">
        <f aca="false">IF(AND(OR(T2196="Backlog",T2196="Pipeline",T2196="Overdue"),ISNUMBER(W2196)),IF(W2196&lt;=Settings!$B$6,Q2196,0),0)</f>
        <v>0</v>
      </c>
      <c r="Z2196" s="38" t="n">
        <f aca="false">IF(Y2196=0,0,IF(T2196="Backlog",Q2196,Q2196*Dashboard!$C$10))</f>
        <v>0</v>
      </c>
      <c r="AA2196" s="37" t="n">
        <f aca="false">IF($N2196="",0,IF(COUNTIF(Dashboard!$C$13:$C$22,$N2196)&gt;0,1,0))</f>
        <v>0</v>
      </c>
      <c r="AB2196" s="37" t="str">
        <f aca="false">IF($N2196="","",IF(COUNTIF($N$8:$N2196,$N2196)=1,MAX($AB$7:$AB2195)+1,""))</f>
        <v/>
      </c>
    </row>
    <row r="2197" customFormat="false" ht="15" hidden="false" customHeight="false" outlineLevel="0" collapsed="false">
      <c r="L2197" s="37" t="str">
        <f aca="false">IF(INDEX($A2197:$J2197,$L$6)&lt;&gt;"",TRIM(LEFT(INDEX($A2197:$J2197,$L$6),FIND("(",INDEX($A2197:$J2197,$L$6)&amp;"(")-1)),L2196)</f>
        <v>Building Value Proposition</v>
      </c>
      <c r="M2197" s="37" t="str">
        <f aca="false">IF(INDEX($A2197:$J2197,$M$6)="","",INDEX($A2197:$J2197,$M$6)&amp;"")</f>
        <v/>
      </c>
      <c r="N2197" s="37" t="str">
        <f aca="false">IF($M2197="","",TRIM(INDEX($A2197:$J2197,$N$6)&amp;""))</f>
        <v/>
      </c>
      <c r="O2197" s="37" t="str">
        <f aca="false">IF($M2197="","",TRIM(INDEX($A2197:$J2197,$O$6)&amp;""))</f>
        <v/>
      </c>
      <c r="P2197" s="37" t="str">
        <f aca="false">IF($M2197="","",IFERROR(IF(INDEX(Settings!$B$41:$B$50,MATCH(O2197,Settings!$A$41:$A$50,0))&amp;""="","UNMAPPED",INDEX(Settings!$B$41:$B$50,MATCH(O2197,Settings!$A$41:$A$50,0))&amp;""),"UNMAPPED"))</f>
        <v/>
      </c>
      <c r="Q2197" s="38" t="n">
        <f aca="false">IF($M2197="",0,N(INDEX($A2197:$J2197,$Q$6)))</f>
        <v>0</v>
      </c>
      <c r="R2197" s="39" t="str">
        <f aca="false">IF($M2197="","",INDEX($A2197:$J2197,$R$6))</f>
        <v/>
      </c>
      <c r="S2197" s="37" t="str">
        <f aca="false">IF($M2197="","",IFERROR(INDEX(Settings!$B$27:$B$36,MATCH(L2197,Settings!$A$27:$A$36,0))&amp;"","UNMAPPED"))</f>
        <v/>
      </c>
      <c r="T2197" s="37" t="str">
        <f aca="false">IF($M2197="","",IF(NOT(ISNUMBER(R2197)),"NO DATE",IF(S2197="Won",IF(R2197&gt;Settings!$B$5,"Backlog","Delivered"),IF(S2197="Open",IF(R2197&gt;Settings!$B$5,"Pipeline","Overdue"),IF(S2197="Lost","Lost","UNMAPPED")))))</f>
        <v/>
      </c>
      <c r="U2197" s="40" t="n">
        <f aca="false">IF(T2197="Backlog",1,IF(OR(T2197="Pipeline",T2197="Overdue"),N(INDEX(Settings!$C$27:$C$36,MATCH(L2197,Settings!$A$27:$A$36,0))),0))</f>
        <v>0</v>
      </c>
      <c r="V2197" s="38" t="n">
        <f aca="false">Q2197*U2197</f>
        <v>0</v>
      </c>
      <c r="W2197" s="41" t="str">
        <f aca="false">IF($M2197="","",IF(T2197="Overdue",IF(Settings!$B$8="Yes",Settings!$B$7,""),IF(ISNUMBER(R2197),DATE(YEAR(R2197),MONTH(R2197),1),"")))</f>
        <v/>
      </c>
      <c r="X2197" s="38" t="n">
        <f aca="false">IF(AND(OR(T2197="Backlog",T2197="Pipeline",T2197="Overdue"),ISNUMBER(W2197)),IF(W2197&lt;=Settings!$B$6,V2197,0),0)</f>
        <v>0</v>
      </c>
      <c r="Y2197" s="38" t="n">
        <f aca="false">IF(AND(OR(T2197="Backlog",T2197="Pipeline",T2197="Overdue"),ISNUMBER(W2197)),IF(W2197&lt;=Settings!$B$6,Q2197,0),0)</f>
        <v>0</v>
      </c>
      <c r="Z2197" s="38" t="n">
        <f aca="false">IF(Y2197=0,0,IF(T2197="Backlog",Q2197,Q2197*Dashboard!$C$10))</f>
        <v>0</v>
      </c>
      <c r="AA2197" s="37" t="n">
        <f aca="false">IF($N2197="",0,IF(COUNTIF(Dashboard!$C$13:$C$22,$N2197)&gt;0,1,0))</f>
        <v>0</v>
      </c>
      <c r="AB2197" s="37" t="str">
        <f aca="false">IF($N2197="","",IF(COUNTIF($N$8:$N2197,$N2197)=1,MAX($AB$7:$AB2196)+1,""))</f>
        <v/>
      </c>
    </row>
    <row r="2198" customFormat="false" ht="15" hidden="false" customHeight="false" outlineLevel="0" collapsed="false">
      <c r="L2198" s="37" t="str">
        <f aca="false">IF(INDEX($A2198:$J2198,$L$6)&lt;&gt;"",TRIM(LEFT(INDEX($A2198:$J2198,$L$6),FIND("(",INDEX($A2198:$J2198,$L$6)&amp;"(")-1)),L2197)</f>
        <v>Building Value Proposition</v>
      </c>
      <c r="M2198" s="37" t="str">
        <f aca="false">IF(INDEX($A2198:$J2198,$M$6)="","",INDEX($A2198:$J2198,$M$6)&amp;"")</f>
        <v/>
      </c>
      <c r="N2198" s="37" t="str">
        <f aca="false">IF($M2198="","",TRIM(INDEX($A2198:$J2198,$N$6)&amp;""))</f>
        <v/>
      </c>
      <c r="O2198" s="37" t="str">
        <f aca="false">IF($M2198="","",TRIM(INDEX($A2198:$J2198,$O$6)&amp;""))</f>
        <v/>
      </c>
      <c r="P2198" s="37" t="str">
        <f aca="false">IF($M2198="","",IFERROR(IF(INDEX(Settings!$B$41:$B$50,MATCH(O2198,Settings!$A$41:$A$50,0))&amp;""="","UNMAPPED",INDEX(Settings!$B$41:$B$50,MATCH(O2198,Settings!$A$41:$A$50,0))&amp;""),"UNMAPPED"))</f>
        <v/>
      </c>
      <c r="Q2198" s="38" t="n">
        <f aca="false">IF($M2198="",0,N(INDEX($A2198:$J2198,$Q$6)))</f>
        <v>0</v>
      </c>
      <c r="R2198" s="39" t="str">
        <f aca="false">IF($M2198="","",INDEX($A2198:$J2198,$R$6))</f>
        <v/>
      </c>
      <c r="S2198" s="37" t="str">
        <f aca="false">IF($M2198="","",IFERROR(INDEX(Settings!$B$27:$B$36,MATCH(L2198,Settings!$A$27:$A$36,0))&amp;"","UNMAPPED"))</f>
        <v/>
      </c>
      <c r="T2198" s="37" t="str">
        <f aca="false">IF($M2198="","",IF(NOT(ISNUMBER(R2198)),"NO DATE",IF(S2198="Won",IF(R2198&gt;Settings!$B$5,"Backlog","Delivered"),IF(S2198="Open",IF(R2198&gt;Settings!$B$5,"Pipeline","Overdue"),IF(S2198="Lost","Lost","UNMAPPED")))))</f>
        <v/>
      </c>
      <c r="U2198" s="40" t="n">
        <f aca="false">IF(T2198="Backlog",1,IF(OR(T2198="Pipeline",T2198="Overdue"),N(INDEX(Settings!$C$27:$C$36,MATCH(L2198,Settings!$A$27:$A$36,0))),0))</f>
        <v>0</v>
      </c>
      <c r="V2198" s="38" t="n">
        <f aca="false">Q2198*U2198</f>
        <v>0</v>
      </c>
      <c r="W2198" s="41" t="str">
        <f aca="false">IF($M2198="","",IF(T2198="Overdue",IF(Settings!$B$8="Yes",Settings!$B$7,""),IF(ISNUMBER(R2198),DATE(YEAR(R2198),MONTH(R2198),1),"")))</f>
        <v/>
      </c>
      <c r="X2198" s="38" t="n">
        <f aca="false">IF(AND(OR(T2198="Backlog",T2198="Pipeline",T2198="Overdue"),ISNUMBER(W2198)),IF(W2198&lt;=Settings!$B$6,V2198,0),0)</f>
        <v>0</v>
      </c>
      <c r="Y2198" s="38" t="n">
        <f aca="false">IF(AND(OR(T2198="Backlog",T2198="Pipeline",T2198="Overdue"),ISNUMBER(W2198)),IF(W2198&lt;=Settings!$B$6,Q2198,0),0)</f>
        <v>0</v>
      </c>
      <c r="Z2198" s="38" t="n">
        <f aca="false">IF(Y2198=0,0,IF(T2198="Backlog",Q2198,Q2198*Dashboard!$C$10))</f>
        <v>0</v>
      </c>
      <c r="AA2198" s="37" t="n">
        <f aca="false">IF($N2198="",0,IF(COUNTIF(Dashboard!$C$13:$C$22,$N2198)&gt;0,1,0))</f>
        <v>0</v>
      </c>
      <c r="AB2198" s="37" t="str">
        <f aca="false">IF($N2198="","",IF(COUNTIF($N$8:$N2198,$N2198)=1,MAX($AB$7:$AB2197)+1,""))</f>
        <v/>
      </c>
    </row>
    <row r="2199" customFormat="false" ht="15" hidden="false" customHeight="false" outlineLevel="0" collapsed="false">
      <c r="L2199" s="37" t="str">
        <f aca="false">IF(INDEX($A2199:$J2199,$L$6)&lt;&gt;"",TRIM(LEFT(INDEX($A2199:$J2199,$L$6),FIND("(",INDEX($A2199:$J2199,$L$6)&amp;"(")-1)),L2198)</f>
        <v>Building Value Proposition</v>
      </c>
      <c r="M2199" s="37" t="str">
        <f aca="false">IF(INDEX($A2199:$J2199,$M$6)="","",INDEX($A2199:$J2199,$M$6)&amp;"")</f>
        <v/>
      </c>
      <c r="N2199" s="37" t="str">
        <f aca="false">IF($M2199="","",TRIM(INDEX($A2199:$J2199,$N$6)&amp;""))</f>
        <v/>
      </c>
      <c r="O2199" s="37" t="str">
        <f aca="false">IF($M2199="","",TRIM(INDEX($A2199:$J2199,$O$6)&amp;""))</f>
        <v/>
      </c>
      <c r="P2199" s="37" t="str">
        <f aca="false">IF($M2199="","",IFERROR(IF(INDEX(Settings!$B$41:$B$50,MATCH(O2199,Settings!$A$41:$A$50,0))&amp;""="","UNMAPPED",INDEX(Settings!$B$41:$B$50,MATCH(O2199,Settings!$A$41:$A$50,0))&amp;""),"UNMAPPED"))</f>
        <v/>
      </c>
      <c r="Q2199" s="38" t="n">
        <f aca="false">IF($M2199="",0,N(INDEX($A2199:$J2199,$Q$6)))</f>
        <v>0</v>
      </c>
      <c r="R2199" s="39" t="str">
        <f aca="false">IF($M2199="","",INDEX($A2199:$J2199,$R$6))</f>
        <v/>
      </c>
      <c r="S2199" s="37" t="str">
        <f aca="false">IF($M2199="","",IFERROR(INDEX(Settings!$B$27:$B$36,MATCH(L2199,Settings!$A$27:$A$36,0))&amp;"","UNMAPPED"))</f>
        <v/>
      </c>
      <c r="T2199" s="37" t="str">
        <f aca="false">IF($M2199="","",IF(NOT(ISNUMBER(R2199)),"NO DATE",IF(S2199="Won",IF(R2199&gt;Settings!$B$5,"Backlog","Delivered"),IF(S2199="Open",IF(R2199&gt;Settings!$B$5,"Pipeline","Overdue"),IF(S2199="Lost","Lost","UNMAPPED")))))</f>
        <v/>
      </c>
      <c r="U2199" s="40" t="n">
        <f aca="false">IF(T2199="Backlog",1,IF(OR(T2199="Pipeline",T2199="Overdue"),N(INDEX(Settings!$C$27:$C$36,MATCH(L2199,Settings!$A$27:$A$36,0))),0))</f>
        <v>0</v>
      </c>
      <c r="V2199" s="38" t="n">
        <f aca="false">Q2199*U2199</f>
        <v>0</v>
      </c>
      <c r="W2199" s="41" t="str">
        <f aca="false">IF($M2199="","",IF(T2199="Overdue",IF(Settings!$B$8="Yes",Settings!$B$7,""),IF(ISNUMBER(R2199),DATE(YEAR(R2199),MONTH(R2199),1),"")))</f>
        <v/>
      </c>
      <c r="X2199" s="38" t="n">
        <f aca="false">IF(AND(OR(T2199="Backlog",T2199="Pipeline",T2199="Overdue"),ISNUMBER(W2199)),IF(W2199&lt;=Settings!$B$6,V2199,0),0)</f>
        <v>0</v>
      </c>
      <c r="Y2199" s="38" t="n">
        <f aca="false">IF(AND(OR(T2199="Backlog",T2199="Pipeline",T2199="Overdue"),ISNUMBER(W2199)),IF(W2199&lt;=Settings!$B$6,Q2199,0),0)</f>
        <v>0</v>
      </c>
      <c r="Z2199" s="38" t="n">
        <f aca="false">IF(Y2199=0,0,IF(T2199="Backlog",Q2199,Q2199*Dashboard!$C$10))</f>
        <v>0</v>
      </c>
      <c r="AA2199" s="37" t="n">
        <f aca="false">IF($N2199="",0,IF(COUNTIF(Dashboard!$C$13:$C$22,$N2199)&gt;0,1,0))</f>
        <v>0</v>
      </c>
      <c r="AB2199" s="37" t="str">
        <f aca="false">IF($N2199="","",IF(COUNTIF($N$8:$N2199,$N2199)=1,MAX($AB$7:$AB2198)+1,""))</f>
        <v/>
      </c>
    </row>
    <row r="2200" customFormat="false" ht="15" hidden="false" customHeight="false" outlineLevel="0" collapsed="false">
      <c r="L2200" s="37" t="str">
        <f aca="false">IF(INDEX($A2200:$J2200,$L$6)&lt;&gt;"",TRIM(LEFT(INDEX($A2200:$J2200,$L$6),FIND("(",INDEX($A2200:$J2200,$L$6)&amp;"(")-1)),L2199)</f>
        <v>Building Value Proposition</v>
      </c>
      <c r="M2200" s="37" t="str">
        <f aca="false">IF(INDEX($A2200:$J2200,$M$6)="","",INDEX($A2200:$J2200,$M$6)&amp;"")</f>
        <v/>
      </c>
      <c r="N2200" s="37" t="str">
        <f aca="false">IF($M2200="","",TRIM(INDEX($A2200:$J2200,$N$6)&amp;""))</f>
        <v/>
      </c>
      <c r="O2200" s="37" t="str">
        <f aca="false">IF($M2200="","",TRIM(INDEX($A2200:$J2200,$O$6)&amp;""))</f>
        <v/>
      </c>
      <c r="P2200" s="37" t="str">
        <f aca="false">IF($M2200="","",IFERROR(IF(INDEX(Settings!$B$41:$B$50,MATCH(O2200,Settings!$A$41:$A$50,0))&amp;""="","UNMAPPED",INDEX(Settings!$B$41:$B$50,MATCH(O2200,Settings!$A$41:$A$50,0))&amp;""),"UNMAPPED"))</f>
        <v/>
      </c>
      <c r="Q2200" s="38" t="n">
        <f aca="false">IF($M2200="",0,N(INDEX($A2200:$J2200,$Q$6)))</f>
        <v>0</v>
      </c>
      <c r="R2200" s="39" t="str">
        <f aca="false">IF($M2200="","",INDEX($A2200:$J2200,$R$6))</f>
        <v/>
      </c>
      <c r="S2200" s="37" t="str">
        <f aca="false">IF($M2200="","",IFERROR(INDEX(Settings!$B$27:$B$36,MATCH(L2200,Settings!$A$27:$A$36,0))&amp;"","UNMAPPED"))</f>
        <v/>
      </c>
      <c r="T2200" s="37" t="str">
        <f aca="false">IF($M2200="","",IF(NOT(ISNUMBER(R2200)),"NO DATE",IF(S2200="Won",IF(R2200&gt;Settings!$B$5,"Backlog","Delivered"),IF(S2200="Open",IF(R2200&gt;Settings!$B$5,"Pipeline","Overdue"),IF(S2200="Lost","Lost","UNMAPPED")))))</f>
        <v/>
      </c>
      <c r="U2200" s="40" t="n">
        <f aca="false">IF(T2200="Backlog",1,IF(OR(T2200="Pipeline",T2200="Overdue"),N(INDEX(Settings!$C$27:$C$36,MATCH(L2200,Settings!$A$27:$A$36,0))),0))</f>
        <v>0</v>
      </c>
      <c r="V2200" s="38" t="n">
        <f aca="false">Q2200*U2200</f>
        <v>0</v>
      </c>
      <c r="W2200" s="41" t="str">
        <f aca="false">IF($M2200="","",IF(T2200="Overdue",IF(Settings!$B$8="Yes",Settings!$B$7,""),IF(ISNUMBER(R2200),DATE(YEAR(R2200),MONTH(R2200),1),"")))</f>
        <v/>
      </c>
      <c r="X2200" s="38" t="n">
        <f aca="false">IF(AND(OR(T2200="Backlog",T2200="Pipeline",T2200="Overdue"),ISNUMBER(W2200)),IF(W2200&lt;=Settings!$B$6,V2200,0),0)</f>
        <v>0</v>
      </c>
      <c r="Y2200" s="38" t="n">
        <f aca="false">IF(AND(OR(T2200="Backlog",T2200="Pipeline",T2200="Overdue"),ISNUMBER(W2200)),IF(W2200&lt;=Settings!$B$6,Q2200,0),0)</f>
        <v>0</v>
      </c>
      <c r="Z2200" s="38" t="n">
        <f aca="false">IF(Y2200=0,0,IF(T2200="Backlog",Q2200,Q2200*Dashboard!$C$10))</f>
        <v>0</v>
      </c>
      <c r="AA2200" s="37" t="n">
        <f aca="false">IF($N2200="",0,IF(COUNTIF(Dashboard!$C$13:$C$22,$N2200)&gt;0,1,0))</f>
        <v>0</v>
      </c>
      <c r="AB2200" s="37" t="str">
        <f aca="false">IF($N2200="","",IF(COUNTIF($N$8:$N2200,$N2200)=1,MAX($AB$7:$AB2199)+1,""))</f>
        <v/>
      </c>
    </row>
    <row r="2201" customFormat="false" ht="15" hidden="false" customHeight="false" outlineLevel="0" collapsed="false">
      <c r="L2201" s="37" t="str">
        <f aca="false">IF(INDEX($A2201:$J2201,$L$6)&lt;&gt;"",TRIM(LEFT(INDEX($A2201:$J2201,$L$6),FIND("(",INDEX($A2201:$J2201,$L$6)&amp;"(")-1)),L2200)</f>
        <v>Building Value Proposition</v>
      </c>
      <c r="M2201" s="37" t="str">
        <f aca="false">IF(INDEX($A2201:$J2201,$M$6)="","",INDEX($A2201:$J2201,$M$6)&amp;"")</f>
        <v/>
      </c>
      <c r="N2201" s="37" t="str">
        <f aca="false">IF($M2201="","",TRIM(INDEX($A2201:$J2201,$N$6)&amp;""))</f>
        <v/>
      </c>
      <c r="O2201" s="37" t="str">
        <f aca="false">IF($M2201="","",TRIM(INDEX($A2201:$J2201,$O$6)&amp;""))</f>
        <v/>
      </c>
      <c r="P2201" s="37" t="str">
        <f aca="false">IF($M2201="","",IFERROR(IF(INDEX(Settings!$B$41:$B$50,MATCH(O2201,Settings!$A$41:$A$50,0))&amp;""="","UNMAPPED",INDEX(Settings!$B$41:$B$50,MATCH(O2201,Settings!$A$41:$A$50,0))&amp;""),"UNMAPPED"))</f>
        <v/>
      </c>
      <c r="Q2201" s="38" t="n">
        <f aca="false">IF($M2201="",0,N(INDEX($A2201:$J2201,$Q$6)))</f>
        <v>0</v>
      </c>
      <c r="R2201" s="39" t="str">
        <f aca="false">IF($M2201="","",INDEX($A2201:$J2201,$R$6))</f>
        <v/>
      </c>
      <c r="S2201" s="37" t="str">
        <f aca="false">IF($M2201="","",IFERROR(INDEX(Settings!$B$27:$B$36,MATCH(L2201,Settings!$A$27:$A$36,0))&amp;"","UNMAPPED"))</f>
        <v/>
      </c>
      <c r="T2201" s="37" t="str">
        <f aca="false">IF($M2201="","",IF(NOT(ISNUMBER(R2201)),"NO DATE",IF(S2201="Won",IF(R2201&gt;Settings!$B$5,"Backlog","Delivered"),IF(S2201="Open",IF(R2201&gt;Settings!$B$5,"Pipeline","Overdue"),IF(S2201="Lost","Lost","UNMAPPED")))))</f>
        <v/>
      </c>
      <c r="U2201" s="40" t="n">
        <f aca="false">IF(T2201="Backlog",1,IF(OR(T2201="Pipeline",T2201="Overdue"),N(INDEX(Settings!$C$27:$C$36,MATCH(L2201,Settings!$A$27:$A$36,0))),0))</f>
        <v>0</v>
      </c>
      <c r="V2201" s="38" t="n">
        <f aca="false">Q2201*U2201</f>
        <v>0</v>
      </c>
      <c r="W2201" s="41" t="str">
        <f aca="false">IF($M2201="","",IF(T2201="Overdue",IF(Settings!$B$8="Yes",Settings!$B$7,""),IF(ISNUMBER(R2201),DATE(YEAR(R2201),MONTH(R2201),1),"")))</f>
        <v/>
      </c>
      <c r="X2201" s="38" t="n">
        <f aca="false">IF(AND(OR(T2201="Backlog",T2201="Pipeline",T2201="Overdue"),ISNUMBER(W2201)),IF(W2201&lt;=Settings!$B$6,V2201,0),0)</f>
        <v>0</v>
      </c>
      <c r="Y2201" s="38" t="n">
        <f aca="false">IF(AND(OR(T2201="Backlog",T2201="Pipeline",T2201="Overdue"),ISNUMBER(W2201)),IF(W2201&lt;=Settings!$B$6,Q2201,0),0)</f>
        <v>0</v>
      </c>
      <c r="Z2201" s="38" t="n">
        <f aca="false">IF(Y2201=0,0,IF(T2201="Backlog",Q2201,Q2201*Dashboard!$C$10))</f>
        <v>0</v>
      </c>
      <c r="AA2201" s="37" t="n">
        <f aca="false">IF($N2201="",0,IF(COUNTIF(Dashboard!$C$13:$C$22,$N2201)&gt;0,1,0))</f>
        <v>0</v>
      </c>
      <c r="AB2201" s="37" t="str">
        <f aca="false">IF($N2201="","",IF(COUNTIF($N$8:$N2201,$N2201)=1,MAX($AB$7:$AB2200)+1,""))</f>
        <v/>
      </c>
    </row>
    <row r="2202" customFormat="false" ht="15" hidden="false" customHeight="false" outlineLevel="0" collapsed="false">
      <c r="L2202" s="37" t="str">
        <f aca="false">IF(INDEX($A2202:$J2202,$L$6)&lt;&gt;"",TRIM(LEFT(INDEX($A2202:$J2202,$L$6),FIND("(",INDEX($A2202:$J2202,$L$6)&amp;"(")-1)),L2201)</f>
        <v>Building Value Proposition</v>
      </c>
      <c r="M2202" s="37" t="str">
        <f aca="false">IF(INDEX($A2202:$J2202,$M$6)="","",INDEX($A2202:$J2202,$M$6)&amp;"")</f>
        <v/>
      </c>
      <c r="N2202" s="37" t="str">
        <f aca="false">IF($M2202="","",TRIM(INDEX($A2202:$J2202,$N$6)&amp;""))</f>
        <v/>
      </c>
      <c r="O2202" s="37" t="str">
        <f aca="false">IF($M2202="","",TRIM(INDEX($A2202:$J2202,$O$6)&amp;""))</f>
        <v/>
      </c>
      <c r="P2202" s="37" t="str">
        <f aca="false">IF($M2202="","",IFERROR(IF(INDEX(Settings!$B$41:$B$50,MATCH(O2202,Settings!$A$41:$A$50,0))&amp;""="","UNMAPPED",INDEX(Settings!$B$41:$B$50,MATCH(O2202,Settings!$A$41:$A$50,0))&amp;""),"UNMAPPED"))</f>
        <v/>
      </c>
      <c r="Q2202" s="38" t="n">
        <f aca="false">IF($M2202="",0,N(INDEX($A2202:$J2202,$Q$6)))</f>
        <v>0</v>
      </c>
      <c r="R2202" s="39" t="str">
        <f aca="false">IF($M2202="","",INDEX($A2202:$J2202,$R$6))</f>
        <v/>
      </c>
      <c r="S2202" s="37" t="str">
        <f aca="false">IF($M2202="","",IFERROR(INDEX(Settings!$B$27:$B$36,MATCH(L2202,Settings!$A$27:$A$36,0))&amp;"","UNMAPPED"))</f>
        <v/>
      </c>
      <c r="T2202" s="37" t="str">
        <f aca="false">IF($M2202="","",IF(NOT(ISNUMBER(R2202)),"NO DATE",IF(S2202="Won",IF(R2202&gt;Settings!$B$5,"Backlog","Delivered"),IF(S2202="Open",IF(R2202&gt;Settings!$B$5,"Pipeline","Overdue"),IF(S2202="Lost","Lost","UNMAPPED")))))</f>
        <v/>
      </c>
      <c r="U2202" s="40" t="n">
        <f aca="false">IF(T2202="Backlog",1,IF(OR(T2202="Pipeline",T2202="Overdue"),N(INDEX(Settings!$C$27:$C$36,MATCH(L2202,Settings!$A$27:$A$36,0))),0))</f>
        <v>0</v>
      </c>
      <c r="V2202" s="38" t="n">
        <f aca="false">Q2202*U2202</f>
        <v>0</v>
      </c>
      <c r="W2202" s="41" t="str">
        <f aca="false">IF($M2202="","",IF(T2202="Overdue",IF(Settings!$B$8="Yes",Settings!$B$7,""),IF(ISNUMBER(R2202),DATE(YEAR(R2202),MONTH(R2202),1),"")))</f>
        <v/>
      </c>
      <c r="X2202" s="38" t="n">
        <f aca="false">IF(AND(OR(T2202="Backlog",T2202="Pipeline",T2202="Overdue"),ISNUMBER(W2202)),IF(W2202&lt;=Settings!$B$6,V2202,0),0)</f>
        <v>0</v>
      </c>
      <c r="Y2202" s="38" t="n">
        <f aca="false">IF(AND(OR(T2202="Backlog",T2202="Pipeline",T2202="Overdue"),ISNUMBER(W2202)),IF(W2202&lt;=Settings!$B$6,Q2202,0),0)</f>
        <v>0</v>
      </c>
      <c r="Z2202" s="38" t="n">
        <f aca="false">IF(Y2202=0,0,IF(T2202="Backlog",Q2202,Q2202*Dashboard!$C$10))</f>
        <v>0</v>
      </c>
      <c r="AA2202" s="37" t="n">
        <f aca="false">IF($N2202="",0,IF(COUNTIF(Dashboard!$C$13:$C$22,$N2202)&gt;0,1,0))</f>
        <v>0</v>
      </c>
      <c r="AB2202" s="37" t="str">
        <f aca="false">IF($N2202="","",IF(COUNTIF($N$8:$N2202,$N2202)=1,MAX($AB$7:$AB2201)+1,""))</f>
        <v/>
      </c>
    </row>
    <row r="2203" customFormat="false" ht="15" hidden="false" customHeight="false" outlineLevel="0" collapsed="false">
      <c r="L2203" s="37" t="str">
        <f aca="false">IF(INDEX($A2203:$J2203,$L$6)&lt;&gt;"",TRIM(LEFT(INDEX($A2203:$J2203,$L$6),FIND("(",INDEX($A2203:$J2203,$L$6)&amp;"(")-1)),L2202)</f>
        <v>Building Value Proposition</v>
      </c>
      <c r="M2203" s="37" t="str">
        <f aca="false">IF(INDEX($A2203:$J2203,$M$6)="","",INDEX($A2203:$J2203,$M$6)&amp;"")</f>
        <v/>
      </c>
      <c r="N2203" s="37" t="str">
        <f aca="false">IF($M2203="","",TRIM(INDEX($A2203:$J2203,$N$6)&amp;""))</f>
        <v/>
      </c>
      <c r="O2203" s="37" t="str">
        <f aca="false">IF($M2203="","",TRIM(INDEX($A2203:$J2203,$O$6)&amp;""))</f>
        <v/>
      </c>
      <c r="P2203" s="37" t="str">
        <f aca="false">IF($M2203="","",IFERROR(IF(INDEX(Settings!$B$41:$B$50,MATCH(O2203,Settings!$A$41:$A$50,0))&amp;""="","UNMAPPED",INDEX(Settings!$B$41:$B$50,MATCH(O2203,Settings!$A$41:$A$50,0))&amp;""),"UNMAPPED"))</f>
        <v/>
      </c>
      <c r="Q2203" s="38" t="n">
        <f aca="false">IF($M2203="",0,N(INDEX($A2203:$J2203,$Q$6)))</f>
        <v>0</v>
      </c>
      <c r="R2203" s="39" t="str">
        <f aca="false">IF($M2203="","",INDEX($A2203:$J2203,$R$6))</f>
        <v/>
      </c>
      <c r="S2203" s="37" t="str">
        <f aca="false">IF($M2203="","",IFERROR(INDEX(Settings!$B$27:$B$36,MATCH(L2203,Settings!$A$27:$A$36,0))&amp;"","UNMAPPED"))</f>
        <v/>
      </c>
      <c r="T2203" s="37" t="str">
        <f aca="false">IF($M2203="","",IF(NOT(ISNUMBER(R2203)),"NO DATE",IF(S2203="Won",IF(R2203&gt;Settings!$B$5,"Backlog","Delivered"),IF(S2203="Open",IF(R2203&gt;Settings!$B$5,"Pipeline","Overdue"),IF(S2203="Lost","Lost","UNMAPPED")))))</f>
        <v/>
      </c>
      <c r="U2203" s="40" t="n">
        <f aca="false">IF(T2203="Backlog",1,IF(OR(T2203="Pipeline",T2203="Overdue"),N(INDEX(Settings!$C$27:$C$36,MATCH(L2203,Settings!$A$27:$A$36,0))),0))</f>
        <v>0</v>
      </c>
      <c r="V2203" s="38" t="n">
        <f aca="false">Q2203*U2203</f>
        <v>0</v>
      </c>
      <c r="W2203" s="41" t="str">
        <f aca="false">IF($M2203="","",IF(T2203="Overdue",IF(Settings!$B$8="Yes",Settings!$B$7,""),IF(ISNUMBER(R2203),DATE(YEAR(R2203),MONTH(R2203),1),"")))</f>
        <v/>
      </c>
      <c r="X2203" s="38" t="n">
        <f aca="false">IF(AND(OR(T2203="Backlog",T2203="Pipeline",T2203="Overdue"),ISNUMBER(W2203)),IF(W2203&lt;=Settings!$B$6,V2203,0),0)</f>
        <v>0</v>
      </c>
      <c r="Y2203" s="38" t="n">
        <f aca="false">IF(AND(OR(T2203="Backlog",T2203="Pipeline",T2203="Overdue"),ISNUMBER(W2203)),IF(W2203&lt;=Settings!$B$6,Q2203,0),0)</f>
        <v>0</v>
      </c>
      <c r="Z2203" s="38" t="n">
        <f aca="false">IF(Y2203=0,0,IF(T2203="Backlog",Q2203,Q2203*Dashboard!$C$10))</f>
        <v>0</v>
      </c>
      <c r="AA2203" s="37" t="n">
        <f aca="false">IF($N2203="",0,IF(COUNTIF(Dashboard!$C$13:$C$22,$N2203)&gt;0,1,0))</f>
        <v>0</v>
      </c>
      <c r="AB2203" s="37" t="str">
        <f aca="false">IF($N2203="","",IF(COUNTIF($N$8:$N2203,$N2203)=1,MAX($AB$7:$AB2202)+1,""))</f>
        <v/>
      </c>
    </row>
    <row r="2204" customFormat="false" ht="15" hidden="false" customHeight="false" outlineLevel="0" collapsed="false">
      <c r="L2204" s="37" t="str">
        <f aca="false">IF(INDEX($A2204:$J2204,$L$6)&lt;&gt;"",TRIM(LEFT(INDEX($A2204:$J2204,$L$6),FIND("(",INDEX($A2204:$J2204,$L$6)&amp;"(")-1)),L2203)</f>
        <v>Building Value Proposition</v>
      </c>
      <c r="M2204" s="37" t="str">
        <f aca="false">IF(INDEX($A2204:$J2204,$M$6)="","",INDEX($A2204:$J2204,$M$6)&amp;"")</f>
        <v/>
      </c>
      <c r="N2204" s="37" t="str">
        <f aca="false">IF($M2204="","",TRIM(INDEX($A2204:$J2204,$N$6)&amp;""))</f>
        <v/>
      </c>
      <c r="O2204" s="37" t="str">
        <f aca="false">IF($M2204="","",TRIM(INDEX($A2204:$J2204,$O$6)&amp;""))</f>
        <v/>
      </c>
      <c r="P2204" s="37" t="str">
        <f aca="false">IF($M2204="","",IFERROR(IF(INDEX(Settings!$B$41:$B$50,MATCH(O2204,Settings!$A$41:$A$50,0))&amp;""="","UNMAPPED",INDEX(Settings!$B$41:$B$50,MATCH(O2204,Settings!$A$41:$A$50,0))&amp;""),"UNMAPPED"))</f>
        <v/>
      </c>
      <c r="Q2204" s="38" t="n">
        <f aca="false">IF($M2204="",0,N(INDEX($A2204:$J2204,$Q$6)))</f>
        <v>0</v>
      </c>
      <c r="R2204" s="39" t="str">
        <f aca="false">IF($M2204="","",INDEX($A2204:$J2204,$R$6))</f>
        <v/>
      </c>
      <c r="S2204" s="37" t="str">
        <f aca="false">IF($M2204="","",IFERROR(INDEX(Settings!$B$27:$B$36,MATCH(L2204,Settings!$A$27:$A$36,0))&amp;"","UNMAPPED"))</f>
        <v/>
      </c>
      <c r="T2204" s="37" t="str">
        <f aca="false">IF($M2204="","",IF(NOT(ISNUMBER(R2204)),"NO DATE",IF(S2204="Won",IF(R2204&gt;Settings!$B$5,"Backlog","Delivered"),IF(S2204="Open",IF(R2204&gt;Settings!$B$5,"Pipeline","Overdue"),IF(S2204="Lost","Lost","UNMAPPED")))))</f>
        <v/>
      </c>
      <c r="U2204" s="40" t="n">
        <f aca="false">IF(T2204="Backlog",1,IF(OR(T2204="Pipeline",T2204="Overdue"),N(INDEX(Settings!$C$27:$C$36,MATCH(L2204,Settings!$A$27:$A$36,0))),0))</f>
        <v>0</v>
      </c>
      <c r="V2204" s="38" t="n">
        <f aca="false">Q2204*U2204</f>
        <v>0</v>
      </c>
      <c r="W2204" s="41" t="str">
        <f aca="false">IF($M2204="","",IF(T2204="Overdue",IF(Settings!$B$8="Yes",Settings!$B$7,""),IF(ISNUMBER(R2204),DATE(YEAR(R2204),MONTH(R2204),1),"")))</f>
        <v/>
      </c>
      <c r="X2204" s="38" t="n">
        <f aca="false">IF(AND(OR(T2204="Backlog",T2204="Pipeline",T2204="Overdue"),ISNUMBER(W2204)),IF(W2204&lt;=Settings!$B$6,V2204,0),0)</f>
        <v>0</v>
      </c>
      <c r="Y2204" s="38" t="n">
        <f aca="false">IF(AND(OR(T2204="Backlog",T2204="Pipeline",T2204="Overdue"),ISNUMBER(W2204)),IF(W2204&lt;=Settings!$B$6,Q2204,0),0)</f>
        <v>0</v>
      </c>
      <c r="Z2204" s="38" t="n">
        <f aca="false">IF(Y2204=0,0,IF(T2204="Backlog",Q2204,Q2204*Dashboard!$C$10))</f>
        <v>0</v>
      </c>
      <c r="AA2204" s="37" t="n">
        <f aca="false">IF($N2204="",0,IF(COUNTIF(Dashboard!$C$13:$C$22,$N2204)&gt;0,1,0))</f>
        <v>0</v>
      </c>
      <c r="AB2204" s="37" t="str">
        <f aca="false">IF($N2204="","",IF(COUNTIF($N$8:$N2204,$N2204)=1,MAX($AB$7:$AB2203)+1,""))</f>
        <v/>
      </c>
    </row>
    <row r="2205" customFormat="false" ht="15" hidden="false" customHeight="false" outlineLevel="0" collapsed="false">
      <c r="L2205" s="37" t="str">
        <f aca="false">IF(INDEX($A2205:$J2205,$L$6)&lt;&gt;"",TRIM(LEFT(INDEX($A2205:$J2205,$L$6),FIND("(",INDEX($A2205:$J2205,$L$6)&amp;"(")-1)),L2204)</f>
        <v>Building Value Proposition</v>
      </c>
      <c r="M2205" s="37" t="str">
        <f aca="false">IF(INDEX($A2205:$J2205,$M$6)="","",INDEX($A2205:$J2205,$M$6)&amp;"")</f>
        <v/>
      </c>
      <c r="N2205" s="37" t="str">
        <f aca="false">IF($M2205="","",TRIM(INDEX($A2205:$J2205,$N$6)&amp;""))</f>
        <v/>
      </c>
      <c r="O2205" s="37" t="str">
        <f aca="false">IF($M2205="","",TRIM(INDEX($A2205:$J2205,$O$6)&amp;""))</f>
        <v/>
      </c>
      <c r="P2205" s="37" t="str">
        <f aca="false">IF($M2205="","",IFERROR(IF(INDEX(Settings!$B$41:$B$50,MATCH(O2205,Settings!$A$41:$A$50,0))&amp;""="","UNMAPPED",INDEX(Settings!$B$41:$B$50,MATCH(O2205,Settings!$A$41:$A$50,0))&amp;""),"UNMAPPED"))</f>
        <v/>
      </c>
      <c r="Q2205" s="38" t="n">
        <f aca="false">IF($M2205="",0,N(INDEX($A2205:$J2205,$Q$6)))</f>
        <v>0</v>
      </c>
      <c r="R2205" s="39" t="str">
        <f aca="false">IF($M2205="","",INDEX($A2205:$J2205,$R$6))</f>
        <v/>
      </c>
      <c r="S2205" s="37" t="str">
        <f aca="false">IF($M2205="","",IFERROR(INDEX(Settings!$B$27:$B$36,MATCH(L2205,Settings!$A$27:$A$36,0))&amp;"","UNMAPPED"))</f>
        <v/>
      </c>
      <c r="T2205" s="37" t="str">
        <f aca="false">IF($M2205="","",IF(NOT(ISNUMBER(R2205)),"NO DATE",IF(S2205="Won",IF(R2205&gt;Settings!$B$5,"Backlog","Delivered"),IF(S2205="Open",IF(R2205&gt;Settings!$B$5,"Pipeline","Overdue"),IF(S2205="Lost","Lost","UNMAPPED")))))</f>
        <v/>
      </c>
      <c r="U2205" s="40" t="n">
        <f aca="false">IF(T2205="Backlog",1,IF(OR(T2205="Pipeline",T2205="Overdue"),N(INDEX(Settings!$C$27:$C$36,MATCH(L2205,Settings!$A$27:$A$36,0))),0))</f>
        <v>0</v>
      </c>
      <c r="V2205" s="38" t="n">
        <f aca="false">Q2205*U2205</f>
        <v>0</v>
      </c>
      <c r="W2205" s="41" t="str">
        <f aca="false">IF($M2205="","",IF(T2205="Overdue",IF(Settings!$B$8="Yes",Settings!$B$7,""),IF(ISNUMBER(R2205),DATE(YEAR(R2205),MONTH(R2205),1),"")))</f>
        <v/>
      </c>
      <c r="X2205" s="38" t="n">
        <f aca="false">IF(AND(OR(T2205="Backlog",T2205="Pipeline",T2205="Overdue"),ISNUMBER(W2205)),IF(W2205&lt;=Settings!$B$6,V2205,0),0)</f>
        <v>0</v>
      </c>
      <c r="Y2205" s="38" t="n">
        <f aca="false">IF(AND(OR(T2205="Backlog",T2205="Pipeline",T2205="Overdue"),ISNUMBER(W2205)),IF(W2205&lt;=Settings!$B$6,Q2205,0),0)</f>
        <v>0</v>
      </c>
      <c r="Z2205" s="38" t="n">
        <f aca="false">IF(Y2205=0,0,IF(T2205="Backlog",Q2205,Q2205*Dashboard!$C$10))</f>
        <v>0</v>
      </c>
      <c r="AA2205" s="37" t="n">
        <f aca="false">IF($N2205="",0,IF(COUNTIF(Dashboard!$C$13:$C$22,$N2205)&gt;0,1,0))</f>
        <v>0</v>
      </c>
      <c r="AB2205" s="37" t="str">
        <f aca="false">IF($N2205="","",IF(COUNTIF($N$8:$N2205,$N2205)=1,MAX($AB$7:$AB2204)+1,""))</f>
        <v/>
      </c>
    </row>
    <row r="2206" customFormat="false" ht="15" hidden="false" customHeight="false" outlineLevel="0" collapsed="false">
      <c r="L2206" s="37" t="str">
        <f aca="false">IF(INDEX($A2206:$J2206,$L$6)&lt;&gt;"",TRIM(LEFT(INDEX($A2206:$J2206,$L$6),FIND("(",INDEX($A2206:$J2206,$L$6)&amp;"(")-1)),L2205)</f>
        <v>Building Value Proposition</v>
      </c>
      <c r="M2206" s="37" t="str">
        <f aca="false">IF(INDEX($A2206:$J2206,$M$6)="","",INDEX($A2206:$J2206,$M$6)&amp;"")</f>
        <v/>
      </c>
      <c r="N2206" s="37" t="str">
        <f aca="false">IF($M2206="","",TRIM(INDEX($A2206:$J2206,$N$6)&amp;""))</f>
        <v/>
      </c>
      <c r="O2206" s="37" t="str">
        <f aca="false">IF($M2206="","",TRIM(INDEX($A2206:$J2206,$O$6)&amp;""))</f>
        <v/>
      </c>
      <c r="P2206" s="37" t="str">
        <f aca="false">IF($M2206="","",IFERROR(IF(INDEX(Settings!$B$41:$B$50,MATCH(O2206,Settings!$A$41:$A$50,0))&amp;""="","UNMAPPED",INDEX(Settings!$B$41:$B$50,MATCH(O2206,Settings!$A$41:$A$50,0))&amp;""),"UNMAPPED"))</f>
        <v/>
      </c>
      <c r="Q2206" s="38" t="n">
        <f aca="false">IF($M2206="",0,N(INDEX($A2206:$J2206,$Q$6)))</f>
        <v>0</v>
      </c>
      <c r="R2206" s="39" t="str">
        <f aca="false">IF($M2206="","",INDEX($A2206:$J2206,$R$6))</f>
        <v/>
      </c>
      <c r="S2206" s="37" t="str">
        <f aca="false">IF($M2206="","",IFERROR(INDEX(Settings!$B$27:$B$36,MATCH(L2206,Settings!$A$27:$A$36,0))&amp;"","UNMAPPED"))</f>
        <v/>
      </c>
      <c r="T2206" s="37" t="str">
        <f aca="false">IF($M2206="","",IF(NOT(ISNUMBER(R2206)),"NO DATE",IF(S2206="Won",IF(R2206&gt;Settings!$B$5,"Backlog","Delivered"),IF(S2206="Open",IF(R2206&gt;Settings!$B$5,"Pipeline","Overdue"),IF(S2206="Lost","Lost","UNMAPPED")))))</f>
        <v/>
      </c>
      <c r="U2206" s="40" t="n">
        <f aca="false">IF(T2206="Backlog",1,IF(OR(T2206="Pipeline",T2206="Overdue"),N(INDEX(Settings!$C$27:$C$36,MATCH(L2206,Settings!$A$27:$A$36,0))),0))</f>
        <v>0</v>
      </c>
      <c r="V2206" s="38" t="n">
        <f aca="false">Q2206*U2206</f>
        <v>0</v>
      </c>
      <c r="W2206" s="41" t="str">
        <f aca="false">IF($M2206="","",IF(T2206="Overdue",IF(Settings!$B$8="Yes",Settings!$B$7,""),IF(ISNUMBER(R2206),DATE(YEAR(R2206),MONTH(R2206),1),"")))</f>
        <v/>
      </c>
      <c r="X2206" s="38" t="n">
        <f aca="false">IF(AND(OR(T2206="Backlog",T2206="Pipeline",T2206="Overdue"),ISNUMBER(W2206)),IF(W2206&lt;=Settings!$B$6,V2206,0),0)</f>
        <v>0</v>
      </c>
      <c r="Y2206" s="38" t="n">
        <f aca="false">IF(AND(OR(T2206="Backlog",T2206="Pipeline",T2206="Overdue"),ISNUMBER(W2206)),IF(W2206&lt;=Settings!$B$6,Q2206,0),0)</f>
        <v>0</v>
      </c>
      <c r="Z2206" s="38" t="n">
        <f aca="false">IF(Y2206=0,0,IF(T2206="Backlog",Q2206,Q2206*Dashboard!$C$10))</f>
        <v>0</v>
      </c>
      <c r="AA2206" s="37" t="n">
        <f aca="false">IF($N2206="",0,IF(COUNTIF(Dashboard!$C$13:$C$22,$N2206)&gt;0,1,0))</f>
        <v>0</v>
      </c>
      <c r="AB2206" s="37" t="str">
        <f aca="false">IF($N2206="","",IF(COUNTIF($N$8:$N2206,$N2206)=1,MAX($AB$7:$AB2205)+1,""))</f>
        <v/>
      </c>
    </row>
    <row r="2207" customFormat="false" ht="15" hidden="false" customHeight="false" outlineLevel="0" collapsed="false">
      <c r="L2207" s="37" t="str">
        <f aca="false">IF(INDEX($A2207:$J2207,$L$6)&lt;&gt;"",TRIM(LEFT(INDEX($A2207:$J2207,$L$6),FIND("(",INDEX($A2207:$J2207,$L$6)&amp;"(")-1)),L2206)</f>
        <v>Building Value Proposition</v>
      </c>
      <c r="M2207" s="37" t="str">
        <f aca="false">IF(INDEX($A2207:$J2207,$M$6)="","",INDEX($A2207:$J2207,$M$6)&amp;"")</f>
        <v/>
      </c>
      <c r="N2207" s="37" t="str">
        <f aca="false">IF($M2207="","",TRIM(INDEX($A2207:$J2207,$N$6)&amp;""))</f>
        <v/>
      </c>
      <c r="O2207" s="37" t="str">
        <f aca="false">IF($M2207="","",TRIM(INDEX($A2207:$J2207,$O$6)&amp;""))</f>
        <v/>
      </c>
      <c r="P2207" s="37" t="str">
        <f aca="false">IF($M2207="","",IFERROR(IF(INDEX(Settings!$B$41:$B$50,MATCH(O2207,Settings!$A$41:$A$50,0))&amp;""="","UNMAPPED",INDEX(Settings!$B$41:$B$50,MATCH(O2207,Settings!$A$41:$A$50,0))&amp;""),"UNMAPPED"))</f>
        <v/>
      </c>
      <c r="Q2207" s="38" t="n">
        <f aca="false">IF($M2207="",0,N(INDEX($A2207:$J2207,$Q$6)))</f>
        <v>0</v>
      </c>
      <c r="R2207" s="39" t="str">
        <f aca="false">IF($M2207="","",INDEX($A2207:$J2207,$R$6))</f>
        <v/>
      </c>
      <c r="S2207" s="37" t="str">
        <f aca="false">IF($M2207="","",IFERROR(INDEX(Settings!$B$27:$B$36,MATCH(L2207,Settings!$A$27:$A$36,0))&amp;"","UNMAPPED"))</f>
        <v/>
      </c>
      <c r="T2207" s="37" t="str">
        <f aca="false">IF($M2207="","",IF(NOT(ISNUMBER(R2207)),"NO DATE",IF(S2207="Won",IF(R2207&gt;Settings!$B$5,"Backlog","Delivered"),IF(S2207="Open",IF(R2207&gt;Settings!$B$5,"Pipeline","Overdue"),IF(S2207="Lost","Lost","UNMAPPED")))))</f>
        <v/>
      </c>
      <c r="U2207" s="40" t="n">
        <f aca="false">IF(T2207="Backlog",1,IF(OR(T2207="Pipeline",T2207="Overdue"),N(INDEX(Settings!$C$27:$C$36,MATCH(L2207,Settings!$A$27:$A$36,0))),0))</f>
        <v>0</v>
      </c>
      <c r="V2207" s="38" t="n">
        <f aca="false">Q2207*U2207</f>
        <v>0</v>
      </c>
      <c r="W2207" s="41" t="str">
        <f aca="false">IF($M2207="","",IF(T2207="Overdue",IF(Settings!$B$8="Yes",Settings!$B$7,""),IF(ISNUMBER(R2207),DATE(YEAR(R2207),MONTH(R2207),1),"")))</f>
        <v/>
      </c>
      <c r="X2207" s="38" t="n">
        <f aca="false">IF(AND(OR(T2207="Backlog",T2207="Pipeline",T2207="Overdue"),ISNUMBER(W2207)),IF(W2207&lt;=Settings!$B$6,V2207,0),0)</f>
        <v>0</v>
      </c>
      <c r="Y2207" s="38" t="n">
        <f aca="false">IF(AND(OR(T2207="Backlog",T2207="Pipeline",T2207="Overdue"),ISNUMBER(W2207)),IF(W2207&lt;=Settings!$B$6,Q2207,0),0)</f>
        <v>0</v>
      </c>
      <c r="Z2207" s="38" t="n">
        <f aca="false">IF(Y2207=0,0,IF(T2207="Backlog",Q2207,Q2207*Dashboard!$C$10))</f>
        <v>0</v>
      </c>
      <c r="AA2207" s="37" t="n">
        <f aca="false">IF($N2207="",0,IF(COUNTIF(Dashboard!$C$13:$C$22,$N2207)&gt;0,1,0))</f>
        <v>0</v>
      </c>
      <c r="AB2207" s="37" t="str">
        <f aca="false">IF($N2207="","",IF(COUNTIF($N$8:$N2207,$N2207)=1,MAX($AB$7:$AB2206)+1,""))</f>
        <v/>
      </c>
    </row>
    <row r="2208" customFormat="false" ht="15" hidden="false" customHeight="false" outlineLevel="0" collapsed="false">
      <c r="L2208" s="37" t="str">
        <f aca="false">IF(INDEX($A2208:$J2208,$L$6)&lt;&gt;"",TRIM(LEFT(INDEX($A2208:$J2208,$L$6),FIND("(",INDEX($A2208:$J2208,$L$6)&amp;"(")-1)),L2207)</f>
        <v>Building Value Proposition</v>
      </c>
      <c r="M2208" s="37" t="str">
        <f aca="false">IF(INDEX($A2208:$J2208,$M$6)="","",INDEX($A2208:$J2208,$M$6)&amp;"")</f>
        <v/>
      </c>
      <c r="N2208" s="37" t="str">
        <f aca="false">IF($M2208="","",TRIM(INDEX($A2208:$J2208,$N$6)&amp;""))</f>
        <v/>
      </c>
      <c r="O2208" s="37" t="str">
        <f aca="false">IF($M2208="","",TRIM(INDEX($A2208:$J2208,$O$6)&amp;""))</f>
        <v/>
      </c>
      <c r="P2208" s="37" t="str">
        <f aca="false">IF($M2208="","",IFERROR(IF(INDEX(Settings!$B$41:$B$50,MATCH(O2208,Settings!$A$41:$A$50,0))&amp;""="","UNMAPPED",INDEX(Settings!$B$41:$B$50,MATCH(O2208,Settings!$A$41:$A$50,0))&amp;""),"UNMAPPED"))</f>
        <v/>
      </c>
      <c r="Q2208" s="38" t="n">
        <f aca="false">IF($M2208="",0,N(INDEX($A2208:$J2208,$Q$6)))</f>
        <v>0</v>
      </c>
      <c r="R2208" s="39" t="str">
        <f aca="false">IF($M2208="","",INDEX($A2208:$J2208,$R$6))</f>
        <v/>
      </c>
      <c r="S2208" s="37" t="str">
        <f aca="false">IF($M2208="","",IFERROR(INDEX(Settings!$B$27:$B$36,MATCH(L2208,Settings!$A$27:$A$36,0))&amp;"","UNMAPPED"))</f>
        <v/>
      </c>
      <c r="T2208" s="37" t="str">
        <f aca="false">IF($M2208="","",IF(NOT(ISNUMBER(R2208)),"NO DATE",IF(S2208="Won",IF(R2208&gt;Settings!$B$5,"Backlog","Delivered"),IF(S2208="Open",IF(R2208&gt;Settings!$B$5,"Pipeline","Overdue"),IF(S2208="Lost","Lost","UNMAPPED")))))</f>
        <v/>
      </c>
      <c r="U2208" s="40" t="n">
        <f aca="false">IF(T2208="Backlog",1,IF(OR(T2208="Pipeline",T2208="Overdue"),N(INDEX(Settings!$C$27:$C$36,MATCH(L2208,Settings!$A$27:$A$36,0))),0))</f>
        <v>0</v>
      </c>
      <c r="V2208" s="38" t="n">
        <f aca="false">Q2208*U2208</f>
        <v>0</v>
      </c>
      <c r="W2208" s="41" t="str">
        <f aca="false">IF($M2208="","",IF(T2208="Overdue",IF(Settings!$B$8="Yes",Settings!$B$7,""),IF(ISNUMBER(R2208),DATE(YEAR(R2208),MONTH(R2208),1),"")))</f>
        <v/>
      </c>
      <c r="X2208" s="38" t="n">
        <f aca="false">IF(AND(OR(T2208="Backlog",T2208="Pipeline",T2208="Overdue"),ISNUMBER(W2208)),IF(W2208&lt;=Settings!$B$6,V2208,0),0)</f>
        <v>0</v>
      </c>
      <c r="Y2208" s="38" t="n">
        <f aca="false">IF(AND(OR(T2208="Backlog",T2208="Pipeline",T2208="Overdue"),ISNUMBER(W2208)),IF(W2208&lt;=Settings!$B$6,Q2208,0),0)</f>
        <v>0</v>
      </c>
      <c r="Z2208" s="38" t="n">
        <f aca="false">IF(Y2208=0,0,IF(T2208="Backlog",Q2208,Q2208*Dashboard!$C$10))</f>
        <v>0</v>
      </c>
      <c r="AA2208" s="37" t="n">
        <f aca="false">IF($N2208="",0,IF(COUNTIF(Dashboard!$C$13:$C$22,$N2208)&gt;0,1,0))</f>
        <v>0</v>
      </c>
      <c r="AB2208" s="37" t="str">
        <f aca="false">IF($N2208="","",IF(COUNTIF($N$8:$N2208,$N2208)=1,MAX($AB$7:$AB2207)+1,""))</f>
        <v/>
      </c>
    </row>
    <row r="2209" customFormat="false" ht="15" hidden="false" customHeight="false" outlineLevel="0" collapsed="false">
      <c r="L2209" s="37" t="str">
        <f aca="false">IF(INDEX($A2209:$J2209,$L$6)&lt;&gt;"",TRIM(LEFT(INDEX($A2209:$J2209,$L$6),FIND("(",INDEX($A2209:$J2209,$L$6)&amp;"(")-1)),L2208)</f>
        <v>Building Value Proposition</v>
      </c>
      <c r="M2209" s="37" t="str">
        <f aca="false">IF(INDEX($A2209:$J2209,$M$6)="","",INDEX($A2209:$J2209,$M$6)&amp;"")</f>
        <v/>
      </c>
      <c r="N2209" s="37" t="str">
        <f aca="false">IF($M2209="","",TRIM(INDEX($A2209:$J2209,$N$6)&amp;""))</f>
        <v/>
      </c>
      <c r="O2209" s="37" t="str">
        <f aca="false">IF($M2209="","",TRIM(INDEX($A2209:$J2209,$O$6)&amp;""))</f>
        <v/>
      </c>
      <c r="P2209" s="37" t="str">
        <f aca="false">IF($M2209="","",IFERROR(IF(INDEX(Settings!$B$41:$B$50,MATCH(O2209,Settings!$A$41:$A$50,0))&amp;""="","UNMAPPED",INDEX(Settings!$B$41:$B$50,MATCH(O2209,Settings!$A$41:$A$50,0))&amp;""),"UNMAPPED"))</f>
        <v/>
      </c>
      <c r="Q2209" s="38" t="n">
        <f aca="false">IF($M2209="",0,N(INDEX($A2209:$J2209,$Q$6)))</f>
        <v>0</v>
      </c>
      <c r="R2209" s="39" t="str">
        <f aca="false">IF($M2209="","",INDEX($A2209:$J2209,$R$6))</f>
        <v/>
      </c>
      <c r="S2209" s="37" t="str">
        <f aca="false">IF($M2209="","",IFERROR(INDEX(Settings!$B$27:$B$36,MATCH(L2209,Settings!$A$27:$A$36,0))&amp;"","UNMAPPED"))</f>
        <v/>
      </c>
      <c r="T2209" s="37" t="str">
        <f aca="false">IF($M2209="","",IF(NOT(ISNUMBER(R2209)),"NO DATE",IF(S2209="Won",IF(R2209&gt;Settings!$B$5,"Backlog","Delivered"),IF(S2209="Open",IF(R2209&gt;Settings!$B$5,"Pipeline","Overdue"),IF(S2209="Lost","Lost","UNMAPPED")))))</f>
        <v/>
      </c>
      <c r="U2209" s="40" t="n">
        <f aca="false">IF(T2209="Backlog",1,IF(OR(T2209="Pipeline",T2209="Overdue"),N(INDEX(Settings!$C$27:$C$36,MATCH(L2209,Settings!$A$27:$A$36,0))),0))</f>
        <v>0</v>
      </c>
      <c r="V2209" s="38" t="n">
        <f aca="false">Q2209*U2209</f>
        <v>0</v>
      </c>
      <c r="W2209" s="41" t="str">
        <f aca="false">IF($M2209="","",IF(T2209="Overdue",IF(Settings!$B$8="Yes",Settings!$B$7,""),IF(ISNUMBER(R2209),DATE(YEAR(R2209),MONTH(R2209),1),"")))</f>
        <v/>
      </c>
      <c r="X2209" s="38" t="n">
        <f aca="false">IF(AND(OR(T2209="Backlog",T2209="Pipeline",T2209="Overdue"),ISNUMBER(W2209)),IF(W2209&lt;=Settings!$B$6,V2209,0),0)</f>
        <v>0</v>
      </c>
      <c r="Y2209" s="38" t="n">
        <f aca="false">IF(AND(OR(T2209="Backlog",T2209="Pipeline",T2209="Overdue"),ISNUMBER(W2209)),IF(W2209&lt;=Settings!$B$6,Q2209,0),0)</f>
        <v>0</v>
      </c>
      <c r="Z2209" s="38" t="n">
        <f aca="false">IF(Y2209=0,0,IF(T2209="Backlog",Q2209,Q2209*Dashboard!$C$10))</f>
        <v>0</v>
      </c>
      <c r="AA2209" s="37" t="n">
        <f aca="false">IF($N2209="",0,IF(COUNTIF(Dashboard!$C$13:$C$22,$N2209)&gt;0,1,0))</f>
        <v>0</v>
      </c>
      <c r="AB2209" s="37" t="str">
        <f aca="false">IF($N2209="","",IF(COUNTIF($N$8:$N2209,$N2209)=1,MAX($AB$7:$AB2208)+1,""))</f>
        <v/>
      </c>
    </row>
    <row r="2210" customFormat="false" ht="15" hidden="false" customHeight="false" outlineLevel="0" collapsed="false">
      <c r="L2210" s="37" t="str">
        <f aca="false">IF(INDEX($A2210:$J2210,$L$6)&lt;&gt;"",TRIM(LEFT(INDEX($A2210:$J2210,$L$6),FIND("(",INDEX($A2210:$J2210,$L$6)&amp;"(")-1)),L2209)</f>
        <v>Building Value Proposition</v>
      </c>
      <c r="M2210" s="37" t="str">
        <f aca="false">IF(INDEX($A2210:$J2210,$M$6)="","",INDEX($A2210:$J2210,$M$6)&amp;"")</f>
        <v/>
      </c>
      <c r="N2210" s="37" t="str">
        <f aca="false">IF($M2210="","",TRIM(INDEX($A2210:$J2210,$N$6)&amp;""))</f>
        <v/>
      </c>
      <c r="O2210" s="37" t="str">
        <f aca="false">IF($M2210="","",TRIM(INDEX($A2210:$J2210,$O$6)&amp;""))</f>
        <v/>
      </c>
      <c r="P2210" s="37" t="str">
        <f aca="false">IF($M2210="","",IFERROR(IF(INDEX(Settings!$B$41:$B$50,MATCH(O2210,Settings!$A$41:$A$50,0))&amp;""="","UNMAPPED",INDEX(Settings!$B$41:$B$50,MATCH(O2210,Settings!$A$41:$A$50,0))&amp;""),"UNMAPPED"))</f>
        <v/>
      </c>
      <c r="Q2210" s="38" t="n">
        <f aca="false">IF($M2210="",0,N(INDEX($A2210:$J2210,$Q$6)))</f>
        <v>0</v>
      </c>
      <c r="R2210" s="39" t="str">
        <f aca="false">IF($M2210="","",INDEX($A2210:$J2210,$R$6))</f>
        <v/>
      </c>
      <c r="S2210" s="37" t="str">
        <f aca="false">IF($M2210="","",IFERROR(INDEX(Settings!$B$27:$B$36,MATCH(L2210,Settings!$A$27:$A$36,0))&amp;"","UNMAPPED"))</f>
        <v/>
      </c>
      <c r="T2210" s="37" t="str">
        <f aca="false">IF($M2210="","",IF(NOT(ISNUMBER(R2210)),"NO DATE",IF(S2210="Won",IF(R2210&gt;Settings!$B$5,"Backlog","Delivered"),IF(S2210="Open",IF(R2210&gt;Settings!$B$5,"Pipeline","Overdue"),IF(S2210="Lost","Lost","UNMAPPED")))))</f>
        <v/>
      </c>
      <c r="U2210" s="40" t="n">
        <f aca="false">IF(T2210="Backlog",1,IF(OR(T2210="Pipeline",T2210="Overdue"),N(INDEX(Settings!$C$27:$C$36,MATCH(L2210,Settings!$A$27:$A$36,0))),0))</f>
        <v>0</v>
      </c>
      <c r="V2210" s="38" t="n">
        <f aca="false">Q2210*U2210</f>
        <v>0</v>
      </c>
      <c r="W2210" s="41" t="str">
        <f aca="false">IF($M2210="","",IF(T2210="Overdue",IF(Settings!$B$8="Yes",Settings!$B$7,""),IF(ISNUMBER(R2210),DATE(YEAR(R2210),MONTH(R2210),1),"")))</f>
        <v/>
      </c>
      <c r="X2210" s="38" t="n">
        <f aca="false">IF(AND(OR(T2210="Backlog",T2210="Pipeline",T2210="Overdue"),ISNUMBER(W2210)),IF(W2210&lt;=Settings!$B$6,V2210,0),0)</f>
        <v>0</v>
      </c>
      <c r="Y2210" s="38" t="n">
        <f aca="false">IF(AND(OR(T2210="Backlog",T2210="Pipeline",T2210="Overdue"),ISNUMBER(W2210)),IF(W2210&lt;=Settings!$B$6,Q2210,0),0)</f>
        <v>0</v>
      </c>
      <c r="Z2210" s="38" t="n">
        <f aca="false">IF(Y2210=0,0,IF(T2210="Backlog",Q2210,Q2210*Dashboard!$C$10))</f>
        <v>0</v>
      </c>
      <c r="AA2210" s="37" t="n">
        <f aca="false">IF($N2210="",0,IF(COUNTIF(Dashboard!$C$13:$C$22,$N2210)&gt;0,1,0))</f>
        <v>0</v>
      </c>
      <c r="AB2210" s="37" t="str">
        <f aca="false">IF($N2210="","",IF(COUNTIF($N$8:$N2210,$N2210)=1,MAX($AB$7:$AB2209)+1,""))</f>
        <v/>
      </c>
    </row>
    <row r="2211" customFormat="false" ht="15" hidden="false" customHeight="false" outlineLevel="0" collapsed="false">
      <c r="L2211" s="37" t="str">
        <f aca="false">IF(INDEX($A2211:$J2211,$L$6)&lt;&gt;"",TRIM(LEFT(INDEX($A2211:$J2211,$L$6),FIND("(",INDEX($A2211:$J2211,$L$6)&amp;"(")-1)),L2210)</f>
        <v>Building Value Proposition</v>
      </c>
      <c r="M2211" s="37" t="str">
        <f aca="false">IF(INDEX($A2211:$J2211,$M$6)="","",INDEX($A2211:$J2211,$M$6)&amp;"")</f>
        <v/>
      </c>
      <c r="N2211" s="37" t="str">
        <f aca="false">IF($M2211="","",TRIM(INDEX($A2211:$J2211,$N$6)&amp;""))</f>
        <v/>
      </c>
      <c r="O2211" s="37" t="str">
        <f aca="false">IF($M2211="","",TRIM(INDEX($A2211:$J2211,$O$6)&amp;""))</f>
        <v/>
      </c>
      <c r="P2211" s="37" t="str">
        <f aca="false">IF($M2211="","",IFERROR(IF(INDEX(Settings!$B$41:$B$50,MATCH(O2211,Settings!$A$41:$A$50,0))&amp;""="","UNMAPPED",INDEX(Settings!$B$41:$B$50,MATCH(O2211,Settings!$A$41:$A$50,0))&amp;""),"UNMAPPED"))</f>
        <v/>
      </c>
      <c r="Q2211" s="38" t="n">
        <f aca="false">IF($M2211="",0,N(INDEX($A2211:$J2211,$Q$6)))</f>
        <v>0</v>
      </c>
      <c r="R2211" s="39" t="str">
        <f aca="false">IF($M2211="","",INDEX($A2211:$J2211,$R$6))</f>
        <v/>
      </c>
      <c r="S2211" s="37" t="str">
        <f aca="false">IF($M2211="","",IFERROR(INDEX(Settings!$B$27:$B$36,MATCH(L2211,Settings!$A$27:$A$36,0))&amp;"","UNMAPPED"))</f>
        <v/>
      </c>
      <c r="T2211" s="37" t="str">
        <f aca="false">IF($M2211="","",IF(NOT(ISNUMBER(R2211)),"NO DATE",IF(S2211="Won",IF(R2211&gt;Settings!$B$5,"Backlog","Delivered"),IF(S2211="Open",IF(R2211&gt;Settings!$B$5,"Pipeline","Overdue"),IF(S2211="Lost","Lost","UNMAPPED")))))</f>
        <v/>
      </c>
      <c r="U2211" s="40" t="n">
        <f aca="false">IF(T2211="Backlog",1,IF(OR(T2211="Pipeline",T2211="Overdue"),N(INDEX(Settings!$C$27:$C$36,MATCH(L2211,Settings!$A$27:$A$36,0))),0))</f>
        <v>0</v>
      </c>
      <c r="V2211" s="38" t="n">
        <f aca="false">Q2211*U2211</f>
        <v>0</v>
      </c>
      <c r="W2211" s="41" t="str">
        <f aca="false">IF($M2211="","",IF(T2211="Overdue",IF(Settings!$B$8="Yes",Settings!$B$7,""),IF(ISNUMBER(R2211),DATE(YEAR(R2211),MONTH(R2211),1),"")))</f>
        <v/>
      </c>
      <c r="X2211" s="38" t="n">
        <f aca="false">IF(AND(OR(T2211="Backlog",T2211="Pipeline",T2211="Overdue"),ISNUMBER(W2211)),IF(W2211&lt;=Settings!$B$6,V2211,0),0)</f>
        <v>0</v>
      </c>
      <c r="Y2211" s="38" t="n">
        <f aca="false">IF(AND(OR(T2211="Backlog",T2211="Pipeline",T2211="Overdue"),ISNUMBER(W2211)),IF(W2211&lt;=Settings!$B$6,Q2211,0),0)</f>
        <v>0</v>
      </c>
      <c r="Z2211" s="38" t="n">
        <f aca="false">IF(Y2211=0,0,IF(T2211="Backlog",Q2211,Q2211*Dashboard!$C$10))</f>
        <v>0</v>
      </c>
      <c r="AA2211" s="37" t="n">
        <f aca="false">IF($N2211="",0,IF(COUNTIF(Dashboard!$C$13:$C$22,$N2211)&gt;0,1,0))</f>
        <v>0</v>
      </c>
      <c r="AB2211" s="37" t="str">
        <f aca="false">IF($N2211="","",IF(COUNTIF($N$8:$N2211,$N2211)=1,MAX($AB$7:$AB2210)+1,""))</f>
        <v/>
      </c>
    </row>
    <row r="2212" customFormat="false" ht="15" hidden="false" customHeight="false" outlineLevel="0" collapsed="false">
      <c r="L2212" s="37" t="str">
        <f aca="false">IF(INDEX($A2212:$J2212,$L$6)&lt;&gt;"",TRIM(LEFT(INDEX($A2212:$J2212,$L$6),FIND("(",INDEX($A2212:$J2212,$L$6)&amp;"(")-1)),L2211)</f>
        <v>Building Value Proposition</v>
      </c>
      <c r="M2212" s="37" t="str">
        <f aca="false">IF(INDEX($A2212:$J2212,$M$6)="","",INDEX($A2212:$J2212,$M$6)&amp;"")</f>
        <v/>
      </c>
      <c r="N2212" s="37" t="str">
        <f aca="false">IF($M2212="","",TRIM(INDEX($A2212:$J2212,$N$6)&amp;""))</f>
        <v/>
      </c>
      <c r="O2212" s="37" t="str">
        <f aca="false">IF($M2212="","",TRIM(INDEX($A2212:$J2212,$O$6)&amp;""))</f>
        <v/>
      </c>
      <c r="P2212" s="37" t="str">
        <f aca="false">IF($M2212="","",IFERROR(IF(INDEX(Settings!$B$41:$B$50,MATCH(O2212,Settings!$A$41:$A$50,0))&amp;""="","UNMAPPED",INDEX(Settings!$B$41:$B$50,MATCH(O2212,Settings!$A$41:$A$50,0))&amp;""),"UNMAPPED"))</f>
        <v/>
      </c>
      <c r="Q2212" s="38" t="n">
        <f aca="false">IF($M2212="",0,N(INDEX($A2212:$J2212,$Q$6)))</f>
        <v>0</v>
      </c>
      <c r="R2212" s="39" t="str">
        <f aca="false">IF($M2212="","",INDEX($A2212:$J2212,$R$6))</f>
        <v/>
      </c>
      <c r="S2212" s="37" t="str">
        <f aca="false">IF($M2212="","",IFERROR(INDEX(Settings!$B$27:$B$36,MATCH(L2212,Settings!$A$27:$A$36,0))&amp;"","UNMAPPED"))</f>
        <v/>
      </c>
      <c r="T2212" s="37" t="str">
        <f aca="false">IF($M2212="","",IF(NOT(ISNUMBER(R2212)),"NO DATE",IF(S2212="Won",IF(R2212&gt;Settings!$B$5,"Backlog","Delivered"),IF(S2212="Open",IF(R2212&gt;Settings!$B$5,"Pipeline","Overdue"),IF(S2212="Lost","Lost","UNMAPPED")))))</f>
        <v/>
      </c>
      <c r="U2212" s="40" t="n">
        <f aca="false">IF(T2212="Backlog",1,IF(OR(T2212="Pipeline",T2212="Overdue"),N(INDEX(Settings!$C$27:$C$36,MATCH(L2212,Settings!$A$27:$A$36,0))),0))</f>
        <v>0</v>
      </c>
      <c r="V2212" s="38" t="n">
        <f aca="false">Q2212*U2212</f>
        <v>0</v>
      </c>
      <c r="W2212" s="41" t="str">
        <f aca="false">IF($M2212="","",IF(T2212="Overdue",IF(Settings!$B$8="Yes",Settings!$B$7,""),IF(ISNUMBER(R2212),DATE(YEAR(R2212),MONTH(R2212),1),"")))</f>
        <v/>
      </c>
      <c r="X2212" s="38" t="n">
        <f aca="false">IF(AND(OR(T2212="Backlog",T2212="Pipeline",T2212="Overdue"),ISNUMBER(W2212)),IF(W2212&lt;=Settings!$B$6,V2212,0),0)</f>
        <v>0</v>
      </c>
      <c r="Y2212" s="38" t="n">
        <f aca="false">IF(AND(OR(T2212="Backlog",T2212="Pipeline",T2212="Overdue"),ISNUMBER(W2212)),IF(W2212&lt;=Settings!$B$6,Q2212,0),0)</f>
        <v>0</v>
      </c>
      <c r="Z2212" s="38" t="n">
        <f aca="false">IF(Y2212=0,0,IF(T2212="Backlog",Q2212,Q2212*Dashboard!$C$10))</f>
        <v>0</v>
      </c>
      <c r="AA2212" s="37" t="n">
        <f aca="false">IF($N2212="",0,IF(COUNTIF(Dashboard!$C$13:$C$22,$N2212)&gt;0,1,0))</f>
        <v>0</v>
      </c>
      <c r="AB2212" s="37" t="str">
        <f aca="false">IF($N2212="","",IF(COUNTIF($N$8:$N2212,$N2212)=1,MAX($AB$7:$AB2211)+1,""))</f>
        <v/>
      </c>
    </row>
    <row r="2213" customFormat="false" ht="15" hidden="false" customHeight="false" outlineLevel="0" collapsed="false">
      <c r="L2213" s="37" t="str">
        <f aca="false">IF(INDEX($A2213:$J2213,$L$6)&lt;&gt;"",TRIM(LEFT(INDEX($A2213:$J2213,$L$6),FIND("(",INDEX($A2213:$J2213,$L$6)&amp;"(")-1)),L2212)</f>
        <v>Building Value Proposition</v>
      </c>
      <c r="M2213" s="37" t="str">
        <f aca="false">IF(INDEX($A2213:$J2213,$M$6)="","",INDEX($A2213:$J2213,$M$6)&amp;"")</f>
        <v/>
      </c>
      <c r="N2213" s="37" t="str">
        <f aca="false">IF($M2213="","",TRIM(INDEX($A2213:$J2213,$N$6)&amp;""))</f>
        <v/>
      </c>
      <c r="O2213" s="37" t="str">
        <f aca="false">IF($M2213="","",TRIM(INDEX($A2213:$J2213,$O$6)&amp;""))</f>
        <v/>
      </c>
      <c r="P2213" s="37" t="str">
        <f aca="false">IF($M2213="","",IFERROR(IF(INDEX(Settings!$B$41:$B$50,MATCH(O2213,Settings!$A$41:$A$50,0))&amp;""="","UNMAPPED",INDEX(Settings!$B$41:$B$50,MATCH(O2213,Settings!$A$41:$A$50,0))&amp;""),"UNMAPPED"))</f>
        <v/>
      </c>
      <c r="Q2213" s="38" t="n">
        <f aca="false">IF($M2213="",0,N(INDEX($A2213:$J2213,$Q$6)))</f>
        <v>0</v>
      </c>
      <c r="R2213" s="39" t="str">
        <f aca="false">IF($M2213="","",INDEX($A2213:$J2213,$R$6))</f>
        <v/>
      </c>
      <c r="S2213" s="37" t="str">
        <f aca="false">IF($M2213="","",IFERROR(INDEX(Settings!$B$27:$B$36,MATCH(L2213,Settings!$A$27:$A$36,0))&amp;"","UNMAPPED"))</f>
        <v/>
      </c>
      <c r="T2213" s="37" t="str">
        <f aca="false">IF($M2213="","",IF(NOT(ISNUMBER(R2213)),"NO DATE",IF(S2213="Won",IF(R2213&gt;Settings!$B$5,"Backlog","Delivered"),IF(S2213="Open",IF(R2213&gt;Settings!$B$5,"Pipeline","Overdue"),IF(S2213="Lost","Lost","UNMAPPED")))))</f>
        <v/>
      </c>
      <c r="U2213" s="40" t="n">
        <f aca="false">IF(T2213="Backlog",1,IF(OR(T2213="Pipeline",T2213="Overdue"),N(INDEX(Settings!$C$27:$C$36,MATCH(L2213,Settings!$A$27:$A$36,0))),0))</f>
        <v>0</v>
      </c>
      <c r="V2213" s="38" t="n">
        <f aca="false">Q2213*U2213</f>
        <v>0</v>
      </c>
      <c r="W2213" s="41" t="str">
        <f aca="false">IF($M2213="","",IF(T2213="Overdue",IF(Settings!$B$8="Yes",Settings!$B$7,""),IF(ISNUMBER(R2213),DATE(YEAR(R2213),MONTH(R2213),1),"")))</f>
        <v/>
      </c>
      <c r="X2213" s="38" t="n">
        <f aca="false">IF(AND(OR(T2213="Backlog",T2213="Pipeline",T2213="Overdue"),ISNUMBER(W2213)),IF(W2213&lt;=Settings!$B$6,V2213,0),0)</f>
        <v>0</v>
      </c>
      <c r="Y2213" s="38" t="n">
        <f aca="false">IF(AND(OR(T2213="Backlog",T2213="Pipeline",T2213="Overdue"),ISNUMBER(W2213)),IF(W2213&lt;=Settings!$B$6,Q2213,0),0)</f>
        <v>0</v>
      </c>
      <c r="Z2213" s="38" t="n">
        <f aca="false">IF(Y2213=0,0,IF(T2213="Backlog",Q2213,Q2213*Dashboard!$C$10))</f>
        <v>0</v>
      </c>
      <c r="AA2213" s="37" t="n">
        <f aca="false">IF($N2213="",0,IF(COUNTIF(Dashboard!$C$13:$C$22,$N2213)&gt;0,1,0))</f>
        <v>0</v>
      </c>
      <c r="AB2213" s="37" t="str">
        <f aca="false">IF($N2213="","",IF(COUNTIF($N$8:$N2213,$N2213)=1,MAX($AB$7:$AB2212)+1,""))</f>
        <v/>
      </c>
    </row>
    <row r="2214" customFormat="false" ht="15" hidden="false" customHeight="false" outlineLevel="0" collapsed="false">
      <c r="L2214" s="37" t="str">
        <f aca="false">IF(INDEX($A2214:$J2214,$L$6)&lt;&gt;"",TRIM(LEFT(INDEX($A2214:$J2214,$L$6),FIND("(",INDEX($A2214:$J2214,$L$6)&amp;"(")-1)),L2213)</f>
        <v>Building Value Proposition</v>
      </c>
      <c r="M2214" s="37" t="str">
        <f aca="false">IF(INDEX($A2214:$J2214,$M$6)="","",INDEX($A2214:$J2214,$M$6)&amp;"")</f>
        <v/>
      </c>
      <c r="N2214" s="37" t="str">
        <f aca="false">IF($M2214="","",TRIM(INDEX($A2214:$J2214,$N$6)&amp;""))</f>
        <v/>
      </c>
      <c r="O2214" s="37" t="str">
        <f aca="false">IF($M2214="","",TRIM(INDEX($A2214:$J2214,$O$6)&amp;""))</f>
        <v/>
      </c>
      <c r="P2214" s="37" t="str">
        <f aca="false">IF($M2214="","",IFERROR(IF(INDEX(Settings!$B$41:$B$50,MATCH(O2214,Settings!$A$41:$A$50,0))&amp;""="","UNMAPPED",INDEX(Settings!$B$41:$B$50,MATCH(O2214,Settings!$A$41:$A$50,0))&amp;""),"UNMAPPED"))</f>
        <v/>
      </c>
      <c r="Q2214" s="38" t="n">
        <f aca="false">IF($M2214="",0,N(INDEX($A2214:$J2214,$Q$6)))</f>
        <v>0</v>
      </c>
      <c r="R2214" s="39" t="str">
        <f aca="false">IF($M2214="","",INDEX($A2214:$J2214,$R$6))</f>
        <v/>
      </c>
      <c r="S2214" s="37" t="str">
        <f aca="false">IF($M2214="","",IFERROR(INDEX(Settings!$B$27:$B$36,MATCH(L2214,Settings!$A$27:$A$36,0))&amp;"","UNMAPPED"))</f>
        <v/>
      </c>
      <c r="T2214" s="37" t="str">
        <f aca="false">IF($M2214="","",IF(NOT(ISNUMBER(R2214)),"NO DATE",IF(S2214="Won",IF(R2214&gt;Settings!$B$5,"Backlog","Delivered"),IF(S2214="Open",IF(R2214&gt;Settings!$B$5,"Pipeline","Overdue"),IF(S2214="Lost","Lost","UNMAPPED")))))</f>
        <v/>
      </c>
      <c r="U2214" s="40" t="n">
        <f aca="false">IF(T2214="Backlog",1,IF(OR(T2214="Pipeline",T2214="Overdue"),N(INDEX(Settings!$C$27:$C$36,MATCH(L2214,Settings!$A$27:$A$36,0))),0))</f>
        <v>0</v>
      </c>
      <c r="V2214" s="38" t="n">
        <f aca="false">Q2214*U2214</f>
        <v>0</v>
      </c>
      <c r="W2214" s="41" t="str">
        <f aca="false">IF($M2214="","",IF(T2214="Overdue",IF(Settings!$B$8="Yes",Settings!$B$7,""),IF(ISNUMBER(R2214),DATE(YEAR(R2214),MONTH(R2214),1),"")))</f>
        <v/>
      </c>
      <c r="X2214" s="38" t="n">
        <f aca="false">IF(AND(OR(T2214="Backlog",T2214="Pipeline",T2214="Overdue"),ISNUMBER(W2214)),IF(W2214&lt;=Settings!$B$6,V2214,0),0)</f>
        <v>0</v>
      </c>
      <c r="Y2214" s="38" t="n">
        <f aca="false">IF(AND(OR(T2214="Backlog",T2214="Pipeline",T2214="Overdue"),ISNUMBER(W2214)),IF(W2214&lt;=Settings!$B$6,Q2214,0),0)</f>
        <v>0</v>
      </c>
      <c r="Z2214" s="38" t="n">
        <f aca="false">IF(Y2214=0,0,IF(T2214="Backlog",Q2214,Q2214*Dashboard!$C$10))</f>
        <v>0</v>
      </c>
      <c r="AA2214" s="37" t="n">
        <f aca="false">IF($N2214="",0,IF(COUNTIF(Dashboard!$C$13:$C$22,$N2214)&gt;0,1,0))</f>
        <v>0</v>
      </c>
      <c r="AB2214" s="37" t="str">
        <f aca="false">IF($N2214="","",IF(COUNTIF($N$8:$N2214,$N2214)=1,MAX($AB$7:$AB2213)+1,""))</f>
        <v/>
      </c>
    </row>
    <row r="2215" customFormat="false" ht="15" hidden="false" customHeight="false" outlineLevel="0" collapsed="false">
      <c r="L2215" s="37" t="str">
        <f aca="false">IF(INDEX($A2215:$J2215,$L$6)&lt;&gt;"",TRIM(LEFT(INDEX($A2215:$J2215,$L$6),FIND("(",INDEX($A2215:$J2215,$L$6)&amp;"(")-1)),L2214)</f>
        <v>Building Value Proposition</v>
      </c>
      <c r="M2215" s="37" t="str">
        <f aca="false">IF(INDEX($A2215:$J2215,$M$6)="","",INDEX($A2215:$J2215,$M$6)&amp;"")</f>
        <v/>
      </c>
      <c r="N2215" s="37" t="str">
        <f aca="false">IF($M2215="","",TRIM(INDEX($A2215:$J2215,$N$6)&amp;""))</f>
        <v/>
      </c>
      <c r="O2215" s="37" t="str">
        <f aca="false">IF($M2215="","",TRIM(INDEX($A2215:$J2215,$O$6)&amp;""))</f>
        <v/>
      </c>
      <c r="P2215" s="37" t="str">
        <f aca="false">IF($M2215="","",IFERROR(IF(INDEX(Settings!$B$41:$B$50,MATCH(O2215,Settings!$A$41:$A$50,0))&amp;""="","UNMAPPED",INDEX(Settings!$B$41:$B$50,MATCH(O2215,Settings!$A$41:$A$50,0))&amp;""),"UNMAPPED"))</f>
        <v/>
      </c>
      <c r="Q2215" s="38" t="n">
        <f aca="false">IF($M2215="",0,N(INDEX($A2215:$J2215,$Q$6)))</f>
        <v>0</v>
      </c>
      <c r="R2215" s="39" t="str">
        <f aca="false">IF($M2215="","",INDEX($A2215:$J2215,$R$6))</f>
        <v/>
      </c>
      <c r="S2215" s="37" t="str">
        <f aca="false">IF($M2215="","",IFERROR(INDEX(Settings!$B$27:$B$36,MATCH(L2215,Settings!$A$27:$A$36,0))&amp;"","UNMAPPED"))</f>
        <v/>
      </c>
      <c r="T2215" s="37" t="str">
        <f aca="false">IF($M2215="","",IF(NOT(ISNUMBER(R2215)),"NO DATE",IF(S2215="Won",IF(R2215&gt;Settings!$B$5,"Backlog","Delivered"),IF(S2215="Open",IF(R2215&gt;Settings!$B$5,"Pipeline","Overdue"),IF(S2215="Lost","Lost","UNMAPPED")))))</f>
        <v/>
      </c>
      <c r="U2215" s="40" t="n">
        <f aca="false">IF(T2215="Backlog",1,IF(OR(T2215="Pipeline",T2215="Overdue"),N(INDEX(Settings!$C$27:$C$36,MATCH(L2215,Settings!$A$27:$A$36,0))),0))</f>
        <v>0</v>
      </c>
      <c r="V2215" s="38" t="n">
        <f aca="false">Q2215*U2215</f>
        <v>0</v>
      </c>
      <c r="W2215" s="41" t="str">
        <f aca="false">IF($M2215="","",IF(T2215="Overdue",IF(Settings!$B$8="Yes",Settings!$B$7,""),IF(ISNUMBER(R2215),DATE(YEAR(R2215),MONTH(R2215),1),"")))</f>
        <v/>
      </c>
      <c r="X2215" s="38" t="n">
        <f aca="false">IF(AND(OR(T2215="Backlog",T2215="Pipeline",T2215="Overdue"),ISNUMBER(W2215)),IF(W2215&lt;=Settings!$B$6,V2215,0),0)</f>
        <v>0</v>
      </c>
      <c r="Y2215" s="38" t="n">
        <f aca="false">IF(AND(OR(T2215="Backlog",T2215="Pipeline",T2215="Overdue"),ISNUMBER(W2215)),IF(W2215&lt;=Settings!$B$6,Q2215,0),0)</f>
        <v>0</v>
      </c>
      <c r="Z2215" s="38" t="n">
        <f aca="false">IF(Y2215=0,0,IF(T2215="Backlog",Q2215,Q2215*Dashboard!$C$10))</f>
        <v>0</v>
      </c>
      <c r="AA2215" s="37" t="n">
        <f aca="false">IF($N2215="",0,IF(COUNTIF(Dashboard!$C$13:$C$22,$N2215)&gt;0,1,0))</f>
        <v>0</v>
      </c>
      <c r="AB2215" s="37" t="str">
        <f aca="false">IF($N2215="","",IF(COUNTIF($N$8:$N2215,$N2215)=1,MAX($AB$7:$AB2214)+1,""))</f>
        <v/>
      </c>
    </row>
    <row r="2216" customFormat="false" ht="15" hidden="false" customHeight="false" outlineLevel="0" collapsed="false">
      <c r="L2216" s="37" t="str">
        <f aca="false">IF(INDEX($A2216:$J2216,$L$6)&lt;&gt;"",TRIM(LEFT(INDEX($A2216:$J2216,$L$6),FIND("(",INDEX($A2216:$J2216,$L$6)&amp;"(")-1)),L2215)</f>
        <v>Building Value Proposition</v>
      </c>
      <c r="M2216" s="37" t="str">
        <f aca="false">IF(INDEX($A2216:$J2216,$M$6)="","",INDEX($A2216:$J2216,$M$6)&amp;"")</f>
        <v/>
      </c>
      <c r="N2216" s="37" t="str">
        <f aca="false">IF($M2216="","",TRIM(INDEX($A2216:$J2216,$N$6)&amp;""))</f>
        <v/>
      </c>
      <c r="O2216" s="37" t="str">
        <f aca="false">IF($M2216="","",TRIM(INDEX($A2216:$J2216,$O$6)&amp;""))</f>
        <v/>
      </c>
      <c r="P2216" s="37" t="str">
        <f aca="false">IF($M2216="","",IFERROR(IF(INDEX(Settings!$B$41:$B$50,MATCH(O2216,Settings!$A$41:$A$50,0))&amp;""="","UNMAPPED",INDEX(Settings!$B$41:$B$50,MATCH(O2216,Settings!$A$41:$A$50,0))&amp;""),"UNMAPPED"))</f>
        <v/>
      </c>
      <c r="Q2216" s="38" t="n">
        <f aca="false">IF($M2216="",0,N(INDEX($A2216:$J2216,$Q$6)))</f>
        <v>0</v>
      </c>
      <c r="R2216" s="39" t="str">
        <f aca="false">IF($M2216="","",INDEX($A2216:$J2216,$R$6))</f>
        <v/>
      </c>
      <c r="S2216" s="37" t="str">
        <f aca="false">IF($M2216="","",IFERROR(INDEX(Settings!$B$27:$B$36,MATCH(L2216,Settings!$A$27:$A$36,0))&amp;"","UNMAPPED"))</f>
        <v/>
      </c>
      <c r="T2216" s="37" t="str">
        <f aca="false">IF($M2216="","",IF(NOT(ISNUMBER(R2216)),"NO DATE",IF(S2216="Won",IF(R2216&gt;Settings!$B$5,"Backlog","Delivered"),IF(S2216="Open",IF(R2216&gt;Settings!$B$5,"Pipeline","Overdue"),IF(S2216="Lost","Lost","UNMAPPED")))))</f>
        <v/>
      </c>
      <c r="U2216" s="40" t="n">
        <f aca="false">IF(T2216="Backlog",1,IF(OR(T2216="Pipeline",T2216="Overdue"),N(INDEX(Settings!$C$27:$C$36,MATCH(L2216,Settings!$A$27:$A$36,0))),0))</f>
        <v>0</v>
      </c>
      <c r="V2216" s="38" t="n">
        <f aca="false">Q2216*U2216</f>
        <v>0</v>
      </c>
      <c r="W2216" s="41" t="str">
        <f aca="false">IF($M2216="","",IF(T2216="Overdue",IF(Settings!$B$8="Yes",Settings!$B$7,""),IF(ISNUMBER(R2216),DATE(YEAR(R2216),MONTH(R2216),1),"")))</f>
        <v/>
      </c>
      <c r="X2216" s="38" t="n">
        <f aca="false">IF(AND(OR(T2216="Backlog",T2216="Pipeline",T2216="Overdue"),ISNUMBER(W2216)),IF(W2216&lt;=Settings!$B$6,V2216,0),0)</f>
        <v>0</v>
      </c>
      <c r="Y2216" s="38" t="n">
        <f aca="false">IF(AND(OR(T2216="Backlog",T2216="Pipeline",T2216="Overdue"),ISNUMBER(W2216)),IF(W2216&lt;=Settings!$B$6,Q2216,0),0)</f>
        <v>0</v>
      </c>
      <c r="Z2216" s="38" t="n">
        <f aca="false">IF(Y2216=0,0,IF(T2216="Backlog",Q2216,Q2216*Dashboard!$C$10))</f>
        <v>0</v>
      </c>
      <c r="AA2216" s="37" t="n">
        <f aca="false">IF($N2216="",0,IF(COUNTIF(Dashboard!$C$13:$C$22,$N2216)&gt;0,1,0))</f>
        <v>0</v>
      </c>
      <c r="AB2216" s="37" t="str">
        <f aca="false">IF($N2216="","",IF(COUNTIF($N$8:$N2216,$N2216)=1,MAX($AB$7:$AB2215)+1,""))</f>
        <v/>
      </c>
    </row>
    <row r="2217" customFormat="false" ht="15" hidden="false" customHeight="false" outlineLevel="0" collapsed="false">
      <c r="L2217" s="37" t="str">
        <f aca="false">IF(INDEX($A2217:$J2217,$L$6)&lt;&gt;"",TRIM(LEFT(INDEX($A2217:$J2217,$L$6),FIND("(",INDEX($A2217:$J2217,$L$6)&amp;"(")-1)),L2216)</f>
        <v>Building Value Proposition</v>
      </c>
      <c r="M2217" s="37" t="str">
        <f aca="false">IF(INDEX($A2217:$J2217,$M$6)="","",INDEX($A2217:$J2217,$M$6)&amp;"")</f>
        <v/>
      </c>
      <c r="N2217" s="37" t="str">
        <f aca="false">IF($M2217="","",TRIM(INDEX($A2217:$J2217,$N$6)&amp;""))</f>
        <v/>
      </c>
      <c r="O2217" s="37" t="str">
        <f aca="false">IF($M2217="","",TRIM(INDEX($A2217:$J2217,$O$6)&amp;""))</f>
        <v/>
      </c>
      <c r="P2217" s="37" t="str">
        <f aca="false">IF($M2217="","",IFERROR(IF(INDEX(Settings!$B$41:$B$50,MATCH(O2217,Settings!$A$41:$A$50,0))&amp;""="","UNMAPPED",INDEX(Settings!$B$41:$B$50,MATCH(O2217,Settings!$A$41:$A$50,0))&amp;""),"UNMAPPED"))</f>
        <v/>
      </c>
      <c r="Q2217" s="38" t="n">
        <f aca="false">IF($M2217="",0,N(INDEX($A2217:$J2217,$Q$6)))</f>
        <v>0</v>
      </c>
      <c r="R2217" s="39" t="str">
        <f aca="false">IF($M2217="","",INDEX($A2217:$J2217,$R$6))</f>
        <v/>
      </c>
      <c r="S2217" s="37" t="str">
        <f aca="false">IF($M2217="","",IFERROR(INDEX(Settings!$B$27:$B$36,MATCH(L2217,Settings!$A$27:$A$36,0))&amp;"","UNMAPPED"))</f>
        <v/>
      </c>
      <c r="T2217" s="37" t="str">
        <f aca="false">IF($M2217="","",IF(NOT(ISNUMBER(R2217)),"NO DATE",IF(S2217="Won",IF(R2217&gt;Settings!$B$5,"Backlog","Delivered"),IF(S2217="Open",IF(R2217&gt;Settings!$B$5,"Pipeline","Overdue"),IF(S2217="Lost","Lost","UNMAPPED")))))</f>
        <v/>
      </c>
      <c r="U2217" s="40" t="n">
        <f aca="false">IF(T2217="Backlog",1,IF(OR(T2217="Pipeline",T2217="Overdue"),N(INDEX(Settings!$C$27:$C$36,MATCH(L2217,Settings!$A$27:$A$36,0))),0))</f>
        <v>0</v>
      </c>
      <c r="V2217" s="38" t="n">
        <f aca="false">Q2217*U2217</f>
        <v>0</v>
      </c>
      <c r="W2217" s="41" t="str">
        <f aca="false">IF($M2217="","",IF(T2217="Overdue",IF(Settings!$B$8="Yes",Settings!$B$7,""),IF(ISNUMBER(R2217),DATE(YEAR(R2217),MONTH(R2217),1),"")))</f>
        <v/>
      </c>
      <c r="X2217" s="38" t="n">
        <f aca="false">IF(AND(OR(T2217="Backlog",T2217="Pipeline",T2217="Overdue"),ISNUMBER(W2217)),IF(W2217&lt;=Settings!$B$6,V2217,0),0)</f>
        <v>0</v>
      </c>
      <c r="Y2217" s="38" t="n">
        <f aca="false">IF(AND(OR(T2217="Backlog",T2217="Pipeline",T2217="Overdue"),ISNUMBER(W2217)),IF(W2217&lt;=Settings!$B$6,Q2217,0),0)</f>
        <v>0</v>
      </c>
      <c r="Z2217" s="38" t="n">
        <f aca="false">IF(Y2217=0,0,IF(T2217="Backlog",Q2217,Q2217*Dashboard!$C$10))</f>
        <v>0</v>
      </c>
      <c r="AA2217" s="37" t="n">
        <f aca="false">IF($N2217="",0,IF(COUNTIF(Dashboard!$C$13:$C$22,$N2217)&gt;0,1,0))</f>
        <v>0</v>
      </c>
      <c r="AB2217" s="37" t="str">
        <f aca="false">IF($N2217="","",IF(COUNTIF($N$8:$N2217,$N2217)=1,MAX($AB$7:$AB2216)+1,""))</f>
        <v/>
      </c>
    </row>
    <row r="2218" customFormat="false" ht="15" hidden="false" customHeight="false" outlineLevel="0" collapsed="false">
      <c r="L2218" s="37" t="str">
        <f aca="false">IF(INDEX($A2218:$J2218,$L$6)&lt;&gt;"",TRIM(LEFT(INDEX($A2218:$J2218,$L$6),FIND("(",INDEX($A2218:$J2218,$L$6)&amp;"(")-1)),L2217)</f>
        <v>Building Value Proposition</v>
      </c>
      <c r="M2218" s="37" t="str">
        <f aca="false">IF(INDEX($A2218:$J2218,$M$6)="","",INDEX($A2218:$J2218,$M$6)&amp;"")</f>
        <v/>
      </c>
      <c r="N2218" s="37" t="str">
        <f aca="false">IF($M2218="","",TRIM(INDEX($A2218:$J2218,$N$6)&amp;""))</f>
        <v/>
      </c>
      <c r="O2218" s="37" t="str">
        <f aca="false">IF($M2218="","",TRIM(INDEX($A2218:$J2218,$O$6)&amp;""))</f>
        <v/>
      </c>
      <c r="P2218" s="37" t="str">
        <f aca="false">IF($M2218="","",IFERROR(IF(INDEX(Settings!$B$41:$B$50,MATCH(O2218,Settings!$A$41:$A$50,0))&amp;""="","UNMAPPED",INDEX(Settings!$B$41:$B$50,MATCH(O2218,Settings!$A$41:$A$50,0))&amp;""),"UNMAPPED"))</f>
        <v/>
      </c>
      <c r="Q2218" s="38" t="n">
        <f aca="false">IF($M2218="",0,N(INDEX($A2218:$J2218,$Q$6)))</f>
        <v>0</v>
      </c>
      <c r="R2218" s="39" t="str">
        <f aca="false">IF($M2218="","",INDEX($A2218:$J2218,$R$6))</f>
        <v/>
      </c>
      <c r="S2218" s="37" t="str">
        <f aca="false">IF($M2218="","",IFERROR(INDEX(Settings!$B$27:$B$36,MATCH(L2218,Settings!$A$27:$A$36,0))&amp;"","UNMAPPED"))</f>
        <v/>
      </c>
      <c r="T2218" s="37" t="str">
        <f aca="false">IF($M2218="","",IF(NOT(ISNUMBER(R2218)),"NO DATE",IF(S2218="Won",IF(R2218&gt;Settings!$B$5,"Backlog","Delivered"),IF(S2218="Open",IF(R2218&gt;Settings!$B$5,"Pipeline","Overdue"),IF(S2218="Lost","Lost","UNMAPPED")))))</f>
        <v/>
      </c>
      <c r="U2218" s="40" t="n">
        <f aca="false">IF(T2218="Backlog",1,IF(OR(T2218="Pipeline",T2218="Overdue"),N(INDEX(Settings!$C$27:$C$36,MATCH(L2218,Settings!$A$27:$A$36,0))),0))</f>
        <v>0</v>
      </c>
      <c r="V2218" s="38" t="n">
        <f aca="false">Q2218*U2218</f>
        <v>0</v>
      </c>
      <c r="W2218" s="41" t="str">
        <f aca="false">IF($M2218="","",IF(T2218="Overdue",IF(Settings!$B$8="Yes",Settings!$B$7,""),IF(ISNUMBER(R2218),DATE(YEAR(R2218),MONTH(R2218),1),"")))</f>
        <v/>
      </c>
      <c r="X2218" s="38" t="n">
        <f aca="false">IF(AND(OR(T2218="Backlog",T2218="Pipeline",T2218="Overdue"),ISNUMBER(W2218)),IF(W2218&lt;=Settings!$B$6,V2218,0),0)</f>
        <v>0</v>
      </c>
      <c r="Y2218" s="38" t="n">
        <f aca="false">IF(AND(OR(T2218="Backlog",T2218="Pipeline",T2218="Overdue"),ISNUMBER(W2218)),IF(W2218&lt;=Settings!$B$6,Q2218,0),0)</f>
        <v>0</v>
      </c>
      <c r="Z2218" s="38" t="n">
        <f aca="false">IF(Y2218=0,0,IF(T2218="Backlog",Q2218,Q2218*Dashboard!$C$10))</f>
        <v>0</v>
      </c>
      <c r="AA2218" s="37" t="n">
        <f aca="false">IF($N2218="",0,IF(COUNTIF(Dashboard!$C$13:$C$22,$N2218)&gt;0,1,0))</f>
        <v>0</v>
      </c>
      <c r="AB2218" s="37" t="str">
        <f aca="false">IF($N2218="","",IF(COUNTIF($N$8:$N2218,$N2218)=1,MAX($AB$7:$AB2217)+1,""))</f>
        <v/>
      </c>
    </row>
    <row r="2219" customFormat="false" ht="15" hidden="false" customHeight="false" outlineLevel="0" collapsed="false">
      <c r="L2219" s="37" t="str">
        <f aca="false">IF(INDEX($A2219:$J2219,$L$6)&lt;&gt;"",TRIM(LEFT(INDEX($A2219:$J2219,$L$6),FIND("(",INDEX($A2219:$J2219,$L$6)&amp;"(")-1)),L2218)</f>
        <v>Building Value Proposition</v>
      </c>
      <c r="M2219" s="37" t="str">
        <f aca="false">IF(INDEX($A2219:$J2219,$M$6)="","",INDEX($A2219:$J2219,$M$6)&amp;"")</f>
        <v/>
      </c>
      <c r="N2219" s="37" t="str">
        <f aca="false">IF($M2219="","",TRIM(INDEX($A2219:$J2219,$N$6)&amp;""))</f>
        <v/>
      </c>
      <c r="O2219" s="37" t="str">
        <f aca="false">IF($M2219="","",TRIM(INDEX($A2219:$J2219,$O$6)&amp;""))</f>
        <v/>
      </c>
      <c r="P2219" s="37" t="str">
        <f aca="false">IF($M2219="","",IFERROR(IF(INDEX(Settings!$B$41:$B$50,MATCH(O2219,Settings!$A$41:$A$50,0))&amp;""="","UNMAPPED",INDEX(Settings!$B$41:$B$50,MATCH(O2219,Settings!$A$41:$A$50,0))&amp;""),"UNMAPPED"))</f>
        <v/>
      </c>
      <c r="Q2219" s="38" t="n">
        <f aca="false">IF($M2219="",0,N(INDEX($A2219:$J2219,$Q$6)))</f>
        <v>0</v>
      </c>
      <c r="R2219" s="39" t="str">
        <f aca="false">IF($M2219="","",INDEX($A2219:$J2219,$R$6))</f>
        <v/>
      </c>
      <c r="S2219" s="37" t="str">
        <f aca="false">IF($M2219="","",IFERROR(INDEX(Settings!$B$27:$B$36,MATCH(L2219,Settings!$A$27:$A$36,0))&amp;"","UNMAPPED"))</f>
        <v/>
      </c>
      <c r="T2219" s="37" t="str">
        <f aca="false">IF($M2219="","",IF(NOT(ISNUMBER(R2219)),"NO DATE",IF(S2219="Won",IF(R2219&gt;Settings!$B$5,"Backlog","Delivered"),IF(S2219="Open",IF(R2219&gt;Settings!$B$5,"Pipeline","Overdue"),IF(S2219="Lost","Lost","UNMAPPED")))))</f>
        <v/>
      </c>
      <c r="U2219" s="40" t="n">
        <f aca="false">IF(T2219="Backlog",1,IF(OR(T2219="Pipeline",T2219="Overdue"),N(INDEX(Settings!$C$27:$C$36,MATCH(L2219,Settings!$A$27:$A$36,0))),0))</f>
        <v>0</v>
      </c>
      <c r="V2219" s="38" t="n">
        <f aca="false">Q2219*U2219</f>
        <v>0</v>
      </c>
      <c r="W2219" s="41" t="str">
        <f aca="false">IF($M2219="","",IF(T2219="Overdue",IF(Settings!$B$8="Yes",Settings!$B$7,""),IF(ISNUMBER(R2219),DATE(YEAR(R2219),MONTH(R2219),1),"")))</f>
        <v/>
      </c>
      <c r="X2219" s="38" t="n">
        <f aca="false">IF(AND(OR(T2219="Backlog",T2219="Pipeline",T2219="Overdue"),ISNUMBER(W2219)),IF(W2219&lt;=Settings!$B$6,V2219,0),0)</f>
        <v>0</v>
      </c>
      <c r="Y2219" s="38" t="n">
        <f aca="false">IF(AND(OR(T2219="Backlog",T2219="Pipeline",T2219="Overdue"),ISNUMBER(W2219)),IF(W2219&lt;=Settings!$B$6,Q2219,0),0)</f>
        <v>0</v>
      </c>
      <c r="Z2219" s="38" t="n">
        <f aca="false">IF(Y2219=0,0,IF(T2219="Backlog",Q2219,Q2219*Dashboard!$C$10))</f>
        <v>0</v>
      </c>
      <c r="AA2219" s="37" t="n">
        <f aca="false">IF($N2219="",0,IF(COUNTIF(Dashboard!$C$13:$C$22,$N2219)&gt;0,1,0))</f>
        <v>0</v>
      </c>
      <c r="AB2219" s="37" t="str">
        <f aca="false">IF($N2219="","",IF(COUNTIF($N$8:$N2219,$N2219)=1,MAX($AB$7:$AB2218)+1,""))</f>
        <v/>
      </c>
    </row>
    <row r="2220" customFormat="false" ht="15" hidden="false" customHeight="false" outlineLevel="0" collapsed="false">
      <c r="L2220" s="37" t="str">
        <f aca="false">IF(INDEX($A2220:$J2220,$L$6)&lt;&gt;"",TRIM(LEFT(INDEX($A2220:$J2220,$L$6),FIND("(",INDEX($A2220:$J2220,$L$6)&amp;"(")-1)),L2219)</f>
        <v>Building Value Proposition</v>
      </c>
      <c r="M2220" s="37" t="str">
        <f aca="false">IF(INDEX($A2220:$J2220,$M$6)="","",INDEX($A2220:$J2220,$M$6)&amp;"")</f>
        <v/>
      </c>
      <c r="N2220" s="37" t="str">
        <f aca="false">IF($M2220="","",TRIM(INDEX($A2220:$J2220,$N$6)&amp;""))</f>
        <v/>
      </c>
      <c r="O2220" s="37" t="str">
        <f aca="false">IF($M2220="","",TRIM(INDEX($A2220:$J2220,$O$6)&amp;""))</f>
        <v/>
      </c>
      <c r="P2220" s="37" t="str">
        <f aca="false">IF($M2220="","",IFERROR(IF(INDEX(Settings!$B$41:$B$50,MATCH(O2220,Settings!$A$41:$A$50,0))&amp;""="","UNMAPPED",INDEX(Settings!$B$41:$B$50,MATCH(O2220,Settings!$A$41:$A$50,0))&amp;""),"UNMAPPED"))</f>
        <v/>
      </c>
      <c r="Q2220" s="38" t="n">
        <f aca="false">IF($M2220="",0,N(INDEX($A2220:$J2220,$Q$6)))</f>
        <v>0</v>
      </c>
      <c r="R2220" s="39" t="str">
        <f aca="false">IF($M2220="","",INDEX($A2220:$J2220,$R$6))</f>
        <v/>
      </c>
      <c r="S2220" s="37" t="str">
        <f aca="false">IF($M2220="","",IFERROR(INDEX(Settings!$B$27:$B$36,MATCH(L2220,Settings!$A$27:$A$36,0))&amp;"","UNMAPPED"))</f>
        <v/>
      </c>
      <c r="T2220" s="37" t="str">
        <f aca="false">IF($M2220="","",IF(NOT(ISNUMBER(R2220)),"NO DATE",IF(S2220="Won",IF(R2220&gt;Settings!$B$5,"Backlog","Delivered"),IF(S2220="Open",IF(R2220&gt;Settings!$B$5,"Pipeline","Overdue"),IF(S2220="Lost","Lost","UNMAPPED")))))</f>
        <v/>
      </c>
      <c r="U2220" s="40" t="n">
        <f aca="false">IF(T2220="Backlog",1,IF(OR(T2220="Pipeline",T2220="Overdue"),N(INDEX(Settings!$C$27:$C$36,MATCH(L2220,Settings!$A$27:$A$36,0))),0))</f>
        <v>0</v>
      </c>
      <c r="V2220" s="38" t="n">
        <f aca="false">Q2220*U2220</f>
        <v>0</v>
      </c>
      <c r="W2220" s="41" t="str">
        <f aca="false">IF($M2220="","",IF(T2220="Overdue",IF(Settings!$B$8="Yes",Settings!$B$7,""),IF(ISNUMBER(R2220),DATE(YEAR(R2220),MONTH(R2220),1),"")))</f>
        <v/>
      </c>
      <c r="X2220" s="38" t="n">
        <f aca="false">IF(AND(OR(T2220="Backlog",T2220="Pipeline",T2220="Overdue"),ISNUMBER(W2220)),IF(W2220&lt;=Settings!$B$6,V2220,0),0)</f>
        <v>0</v>
      </c>
      <c r="Y2220" s="38" t="n">
        <f aca="false">IF(AND(OR(T2220="Backlog",T2220="Pipeline",T2220="Overdue"),ISNUMBER(W2220)),IF(W2220&lt;=Settings!$B$6,Q2220,0),0)</f>
        <v>0</v>
      </c>
      <c r="Z2220" s="38" t="n">
        <f aca="false">IF(Y2220=0,0,IF(T2220="Backlog",Q2220,Q2220*Dashboard!$C$10))</f>
        <v>0</v>
      </c>
      <c r="AA2220" s="37" t="n">
        <f aca="false">IF($N2220="",0,IF(COUNTIF(Dashboard!$C$13:$C$22,$N2220)&gt;0,1,0))</f>
        <v>0</v>
      </c>
      <c r="AB2220" s="37" t="str">
        <f aca="false">IF($N2220="","",IF(COUNTIF($N$8:$N2220,$N2220)=1,MAX($AB$7:$AB2219)+1,""))</f>
        <v/>
      </c>
    </row>
    <row r="2221" customFormat="false" ht="15" hidden="false" customHeight="false" outlineLevel="0" collapsed="false">
      <c r="L2221" s="37" t="str">
        <f aca="false">IF(INDEX($A2221:$J2221,$L$6)&lt;&gt;"",TRIM(LEFT(INDEX($A2221:$J2221,$L$6),FIND("(",INDEX($A2221:$J2221,$L$6)&amp;"(")-1)),L2220)</f>
        <v>Building Value Proposition</v>
      </c>
      <c r="M2221" s="37" t="str">
        <f aca="false">IF(INDEX($A2221:$J2221,$M$6)="","",INDEX($A2221:$J2221,$M$6)&amp;"")</f>
        <v/>
      </c>
      <c r="N2221" s="37" t="str">
        <f aca="false">IF($M2221="","",TRIM(INDEX($A2221:$J2221,$N$6)&amp;""))</f>
        <v/>
      </c>
      <c r="O2221" s="37" t="str">
        <f aca="false">IF($M2221="","",TRIM(INDEX($A2221:$J2221,$O$6)&amp;""))</f>
        <v/>
      </c>
      <c r="P2221" s="37" t="str">
        <f aca="false">IF($M2221="","",IFERROR(IF(INDEX(Settings!$B$41:$B$50,MATCH(O2221,Settings!$A$41:$A$50,0))&amp;""="","UNMAPPED",INDEX(Settings!$B$41:$B$50,MATCH(O2221,Settings!$A$41:$A$50,0))&amp;""),"UNMAPPED"))</f>
        <v/>
      </c>
      <c r="Q2221" s="38" t="n">
        <f aca="false">IF($M2221="",0,N(INDEX($A2221:$J2221,$Q$6)))</f>
        <v>0</v>
      </c>
      <c r="R2221" s="39" t="str">
        <f aca="false">IF($M2221="","",INDEX($A2221:$J2221,$R$6))</f>
        <v/>
      </c>
      <c r="S2221" s="37" t="str">
        <f aca="false">IF($M2221="","",IFERROR(INDEX(Settings!$B$27:$B$36,MATCH(L2221,Settings!$A$27:$A$36,0))&amp;"","UNMAPPED"))</f>
        <v/>
      </c>
      <c r="T2221" s="37" t="str">
        <f aca="false">IF($M2221="","",IF(NOT(ISNUMBER(R2221)),"NO DATE",IF(S2221="Won",IF(R2221&gt;Settings!$B$5,"Backlog","Delivered"),IF(S2221="Open",IF(R2221&gt;Settings!$B$5,"Pipeline","Overdue"),IF(S2221="Lost","Lost","UNMAPPED")))))</f>
        <v/>
      </c>
      <c r="U2221" s="40" t="n">
        <f aca="false">IF(T2221="Backlog",1,IF(OR(T2221="Pipeline",T2221="Overdue"),N(INDEX(Settings!$C$27:$C$36,MATCH(L2221,Settings!$A$27:$A$36,0))),0))</f>
        <v>0</v>
      </c>
      <c r="V2221" s="38" t="n">
        <f aca="false">Q2221*U2221</f>
        <v>0</v>
      </c>
      <c r="W2221" s="41" t="str">
        <f aca="false">IF($M2221="","",IF(T2221="Overdue",IF(Settings!$B$8="Yes",Settings!$B$7,""),IF(ISNUMBER(R2221),DATE(YEAR(R2221),MONTH(R2221),1),"")))</f>
        <v/>
      </c>
      <c r="X2221" s="38" t="n">
        <f aca="false">IF(AND(OR(T2221="Backlog",T2221="Pipeline",T2221="Overdue"),ISNUMBER(W2221)),IF(W2221&lt;=Settings!$B$6,V2221,0),0)</f>
        <v>0</v>
      </c>
      <c r="Y2221" s="38" t="n">
        <f aca="false">IF(AND(OR(T2221="Backlog",T2221="Pipeline",T2221="Overdue"),ISNUMBER(W2221)),IF(W2221&lt;=Settings!$B$6,Q2221,0),0)</f>
        <v>0</v>
      </c>
      <c r="Z2221" s="38" t="n">
        <f aca="false">IF(Y2221=0,0,IF(T2221="Backlog",Q2221,Q2221*Dashboard!$C$10))</f>
        <v>0</v>
      </c>
      <c r="AA2221" s="37" t="n">
        <f aca="false">IF($N2221="",0,IF(COUNTIF(Dashboard!$C$13:$C$22,$N2221)&gt;0,1,0))</f>
        <v>0</v>
      </c>
      <c r="AB2221" s="37" t="str">
        <f aca="false">IF($N2221="","",IF(COUNTIF($N$8:$N2221,$N2221)=1,MAX($AB$7:$AB2220)+1,""))</f>
        <v/>
      </c>
    </row>
    <row r="2222" customFormat="false" ht="15" hidden="false" customHeight="false" outlineLevel="0" collapsed="false">
      <c r="L2222" s="37" t="str">
        <f aca="false">IF(INDEX($A2222:$J2222,$L$6)&lt;&gt;"",TRIM(LEFT(INDEX($A2222:$J2222,$L$6),FIND("(",INDEX($A2222:$J2222,$L$6)&amp;"(")-1)),L2221)</f>
        <v>Building Value Proposition</v>
      </c>
      <c r="M2222" s="37" t="str">
        <f aca="false">IF(INDEX($A2222:$J2222,$M$6)="","",INDEX($A2222:$J2222,$M$6)&amp;"")</f>
        <v/>
      </c>
      <c r="N2222" s="37" t="str">
        <f aca="false">IF($M2222="","",TRIM(INDEX($A2222:$J2222,$N$6)&amp;""))</f>
        <v/>
      </c>
      <c r="O2222" s="37" t="str">
        <f aca="false">IF($M2222="","",TRIM(INDEX($A2222:$J2222,$O$6)&amp;""))</f>
        <v/>
      </c>
      <c r="P2222" s="37" t="str">
        <f aca="false">IF($M2222="","",IFERROR(IF(INDEX(Settings!$B$41:$B$50,MATCH(O2222,Settings!$A$41:$A$50,0))&amp;""="","UNMAPPED",INDEX(Settings!$B$41:$B$50,MATCH(O2222,Settings!$A$41:$A$50,0))&amp;""),"UNMAPPED"))</f>
        <v/>
      </c>
      <c r="Q2222" s="38" t="n">
        <f aca="false">IF($M2222="",0,N(INDEX($A2222:$J2222,$Q$6)))</f>
        <v>0</v>
      </c>
      <c r="R2222" s="39" t="str">
        <f aca="false">IF($M2222="","",INDEX($A2222:$J2222,$R$6))</f>
        <v/>
      </c>
      <c r="S2222" s="37" t="str">
        <f aca="false">IF($M2222="","",IFERROR(INDEX(Settings!$B$27:$B$36,MATCH(L2222,Settings!$A$27:$A$36,0))&amp;"","UNMAPPED"))</f>
        <v/>
      </c>
      <c r="T2222" s="37" t="str">
        <f aca="false">IF($M2222="","",IF(NOT(ISNUMBER(R2222)),"NO DATE",IF(S2222="Won",IF(R2222&gt;Settings!$B$5,"Backlog","Delivered"),IF(S2222="Open",IF(R2222&gt;Settings!$B$5,"Pipeline","Overdue"),IF(S2222="Lost","Lost","UNMAPPED")))))</f>
        <v/>
      </c>
      <c r="U2222" s="40" t="n">
        <f aca="false">IF(T2222="Backlog",1,IF(OR(T2222="Pipeline",T2222="Overdue"),N(INDEX(Settings!$C$27:$C$36,MATCH(L2222,Settings!$A$27:$A$36,0))),0))</f>
        <v>0</v>
      </c>
      <c r="V2222" s="38" t="n">
        <f aca="false">Q2222*U2222</f>
        <v>0</v>
      </c>
      <c r="W2222" s="41" t="str">
        <f aca="false">IF($M2222="","",IF(T2222="Overdue",IF(Settings!$B$8="Yes",Settings!$B$7,""),IF(ISNUMBER(R2222),DATE(YEAR(R2222),MONTH(R2222),1),"")))</f>
        <v/>
      </c>
      <c r="X2222" s="38" t="n">
        <f aca="false">IF(AND(OR(T2222="Backlog",T2222="Pipeline",T2222="Overdue"),ISNUMBER(W2222)),IF(W2222&lt;=Settings!$B$6,V2222,0),0)</f>
        <v>0</v>
      </c>
      <c r="Y2222" s="38" t="n">
        <f aca="false">IF(AND(OR(T2222="Backlog",T2222="Pipeline",T2222="Overdue"),ISNUMBER(W2222)),IF(W2222&lt;=Settings!$B$6,Q2222,0),0)</f>
        <v>0</v>
      </c>
      <c r="Z2222" s="38" t="n">
        <f aca="false">IF(Y2222=0,0,IF(T2222="Backlog",Q2222,Q2222*Dashboard!$C$10))</f>
        <v>0</v>
      </c>
      <c r="AA2222" s="37" t="n">
        <f aca="false">IF($N2222="",0,IF(COUNTIF(Dashboard!$C$13:$C$22,$N2222)&gt;0,1,0))</f>
        <v>0</v>
      </c>
      <c r="AB2222" s="37" t="str">
        <f aca="false">IF($N2222="","",IF(COUNTIF($N$8:$N2222,$N2222)=1,MAX($AB$7:$AB2221)+1,""))</f>
        <v/>
      </c>
    </row>
    <row r="2223" customFormat="false" ht="15" hidden="false" customHeight="false" outlineLevel="0" collapsed="false">
      <c r="L2223" s="37" t="str">
        <f aca="false">IF(INDEX($A2223:$J2223,$L$6)&lt;&gt;"",TRIM(LEFT(INDEX($A2223:$J2223,$L$6),FIND("(",INDEX($A2223:$J2223,$L$6)&amp;"(")-1)),L2222)</f>
        <v>Building Value Proposition</v>
      </c>
      <c r="M2223" s="37" t="str">
        <f aca="false">IF(INDEX($A2223:$J2223,$M$6)="","",INDEX($A2223:$J2223,$M$6)&amp;"")</f>
        <v/>
      </c>
      <c r="N2223" s="37" t="str">
        <f aca="false">IF($M2223="","",TRIM(INDEX($A2223:$J2223,$N$6)&amp;""))</f>
        <v/>
      </c>
      <c r="O2223" s="37" t="str">
        <f aca="false">IF($M2223="","",TRIM(INDEX($A2223:$J2223,$O$6)&amp;""))</f>
        <v/>
      </c>
      <c r="P2223" s="37" t="str">
        <f aca="false">IF($M2223="","",IFERROR(IF(INDEX(Settings!$B$41:$B$50,MATCH(O2223,Settings!$A$41:$A$50,0))&amp;""="","UNMAPPED",INDEX(Settings!$B$41:$B$50,MATCH(O2223,Settings!$A$41:$A$50,0))&amp;""),"UNMAPPED"))</f>
        <v/>
      </c>
      <c r="Q2223" s="38" t="n">
        <f aca="false">IF($M2223="",0,N(INDEX($A2223:$J2223,$Q$6)))</f>
        <v>0</v>
      </c>
      <c r="R2223" s="39" t="str">
        <f aca="false">IF($M2223="","",INDEX($A2223:$J2223,$R$6))</f>
        <v/>
      </c>
      <c r="S2223" s="37" t="str">
        <f aca="false">IF($M2223="","",IFERROR(INDEX(Settings!$B$27:$B$36,MATCH(L2223,Settings!$A$27:$A$36,0))&amp;"","UNMAPPED"))</f>
        <v/>
      </c>
      <c r="T2223" s="37" t="str">
        <f aca="false">IF($M2223="","",IF(NOT(ISNUMBER(R2223)),"NO DATE",IF(S2223="Won",IF(R2223&gt;Settings!$B$5,"Backlog","Delivered"),IF(S2223="Open",IF(R2223&gt;Settings!$B$5,"Pipeline","Overdue"),IF(S2223="Lost","Lost","UNMAPPED")))))</f>
        <v/>
      </c>
      <c r="U2223" s="40" t="n">
        <f aca="false">IF(T2223="Backlog",1,IF(OR(T2223="Pipeline",T2223="Overdue"),N(INDEX(Settings!$C$27:$C$36,MATCH(L2223,Settings!$A$27:$A$36,0))),0))</f>
        <v>0</v>
      </c>
      <c r="V2223" s="38" t="n">
        <f aca="false">Q2223*U2223</f>
        <v>0</v>
      </c>
      <c r="W2223" s="41" t="str">
        <f aca="false">IF($M2223="","",IF(T2223="Overdue",IF(Settings!$B$8="Yes",Settings!$B$7,""),IF(ISNUMBER(R2223),DATE(YEAR(R2223),MONTH(R2223),1),"")))</f>
        <v/>
      </c>
      <c r="X2223" s="38" t="n">
        <f aca="false">IF(AND(OR(T2223="Backlog",T2223="Pipeline",T2223="Overdue"),ISNUMBER(W2223)),IF(W2223&lt;=Settings!$B$6,V2223,0),0)</f>
        <v>0</v>
      </c>
      <c r="Y2223" s="38" t="n">
        <f aca="false">IF(AND(OR(T2223="Backlog",T2223="Pipeline",T2223="Overdue"),ISNUMBER(W2223)),IF(W2223&lt;=Settings!$B$6,Q2223,0),0)</f>
        <v>0</v>
      </c>
      <c r="Z2223" s="38" t="n">
        <f aca="false">IF(Y2223=0,0,IF(T2223="Backlog",Q2223,Q2223*Dashboard!$C$10))</f>
        <v>0</v>
      </c>
      <c r="AA2223" s="37" t="n">
        <f aca="false">IF($N2223="",0,IF(COUNTIF(Dashboard!$C$13:$C$22,$N2223)&gt;0,1,0))</f>
        <v>0</v>
      </c>
      <c r="AB2223" s="37" t="str">
        <f aca="false">IF($N2223="","",IF(COUNTIF($N$8:$N2223,$N2223)=1,MAX($AB$7:$AB2222)+1,""))</f>
        <v/>
      </c>
    </row>
    <row r="2224" customFormat="false" ht="15" hidden="false" customHeight="false" outlineLevel="0" collapsed="false">
      <c r="L2224" s="37" t="str">
        <f aca="false">IF(INDEX($A2224:$J2224,$L$6)&lt;&gt;"",TRIM(LEFT(INDEX($A2224:$J2224,$L$6),FIND("(",INDEX($A2224:$J2224,$L$6)&amp;"(")-1)),L2223)</f>
        <v>Building Value Proposition</v>
      </c>
      <c r="M2224" s="37" t="str">
        <f aca="false">IF(INDEX($A2224:$J2224,$M$6)="","",INDEX($A2224:$J2224,$M$6)&amp;"")</f>
        <v/>
      </c>
      <c r="N2224" s="37" t="str">
        <f aca="false">IF($M2224="","",TRIM(INDEX($A2224:$J2224,$N$6)&amp;""))</f>
        <v/>
      </c>
      <c r="O2224" s="37" t="str">
        <f aca="false">IF($M2224="","",TRIM(INDEX($A2224:$J2224,$O$6)&amp;""))</f>
        <v/>
      </c>
      <c r="P2224" s="37" t="str">
        <f aca="false">IF($M2224="","",IFERROR(IF(INDEX(Settings!$B$41:$B$50,MATCH(O2224,Settings!$A$41:$A$50,0))&amp;""="","UNMAPPED",INDEX(Settings!$B$41:$B$50,MATCH(O2224,Settings!$A$41:$A$50,0))&amp;""),"UNMAPPED"))</f>
        <v/>
      </c>
      <c r="Q2224" s="38" t="n">
        <f aca="false">IF($M2224="",0,N(INDEX($A2224:$J2224,$Q$6)))</f>
        <v>0</v>
      </c>
      <c r="R2224" s="39" t="str">
        <f aca="false">IF($M2224="","",INDEX($A2224:$J2224,$R$6))</f>
        <v/>
      </c>
      <c r="S2224" s="37" t="str">
        <f aca="false">IF($M2224="","",IFERROR(INDEX(Settings!$B$27:$B$36,MATCH(L2224,Settings!$A$27:$A$36,0))&amp;"","UNMAPPED"))</f>
        <v/>
      </c>
      <c r="T2224" s="37" t="str">
        <f aca="false">IF($M2224="","",IF(NOT(ISNUMBER(R2224)),"NO DATE",IF(S2224="Won",IF(R2224&gt;Settings!$B$5,"Backlog","Delivered"),IF(S2224="Open",IF(R2224&gt;Settings!$B$5,"Pipeline","Overdue"),IF(S2224="Lost","Lost","UNMAPPED")))))</f>
        <v/>
      </c>
      <c r="U2224" s="40" t="n">
        <f aca="false">IF(T2224="Backlog",1,IF(OR(T2224="Pipeline",T2224="Overdue"),N(INDEX(Settings!$C$27:$C$36,MATCH(L2224,Settings!$A$27:$A$36,0))),0))</f>
        <v>0</v>
      </c>
      <c r="V2224" s="38" t="n">
        <f aca="false">Q2224*U2224</f>
        <v>0</v>
      </c>
      <c r="W2224" s="41" t="str">
        <f aca="false">IF($M2224="","",IF(T2224="Overdue",IF(Settings!$B$8="Yes",Settings!$B$7,""),IF(ISNUMBER(R2224),DATE(YEAR(R2224),MONTH(R2224),1),"")))</f>
        <v/>
      </c>
      <c r="X2224" s="38" t="n">
        <f aca="false">IF(AND(OR(T2224="Backlog",T2224="Pipeline",T2224="Overdue"),ISNUMBER(W2224)),IF(W2224&lt;=Settings!$B$6,V2224,0),0)</f>
        <v>0</v>
      </c>
      <c r="Y2224" s="38" t="n">
        <f aca="false">IF(AND(OR(T2224="Backlog",T2224="Pipeline",T2224="Overdue"),ISNUMBER(W2224)),IF(W2224&lt;=Settings!$B$6,Q2224,0),0)</f>
        <v>0</v>
      </c>
      <c r="Z2224" s="38" t="n">
        <f aca="false">IF(Y2224=0,0,IF(T2224="Backlog",Q2224,Q2224*Dashboard!$C$10))</f>
        <v>0</v>
      </c>
      <c r="AA2224" s="37" t="n">
        <f aca="false">IF($N2224="",0,IF(COUNTIF(Dashboard!$C$13:$C$22,$N2224)&gt;0,1,0))</f>
        <v>0</v>
      </c>
      <c r="AB2224" s="37" t="str">
        <f aca="false">IF($N2224="","",IF(COUNTIF($N$8:$N2224,$N2224)=1,MAX($AB$7:$AB2223)+1,""))</f>
        <v/>
      </c>
    </row>
    <row r="2225" customFormat="false" ht="15" hidden="false" customHeight="false" outlineLevel="0" collapsed="false">
      <c r="L2225" s="37" t="str">
        <f aca="false">IF(INDEX($A2225:$J2225,$L$6)&lt;&gt;"",TRIM(LEFT(INDEX($A2225:$J2225,$L$6),FIND("(",INDEX($A2225:$J2225,$L$6)&amp;"(")-1)),L2224)</f>
        <v>Building Value Proposition</v>
      </c>
      <c r="M2225" s="37" t="str">
        <f aca="false">IF(INDEX($A2225:$J2225,$M$6)="","",INDEX($A2225:$J2225,$M$6)&amp;"")</f>
        <v/>
      </c>
      <c r="N2225" s="37" t="str">
        <f aca="false">IF($M2225="","",TRIM(INDEX($A2225:$J2225,$N$6)&amp;""))</f>
        <v/>
      </c>
      <c r="O2225" s="37" t="str">
        <f aca="false">IF($M2225="","",TRIM(INDEX($A2225:$J2225,$O$6)&amp;""))</f>
        <v/>
      </c>
      <c r="P2225" s="37" t="str">
        <f aca="false">IF($M2225="","",IFERROR(IF(INDEX(Settings!$B$41:$B$50,MATCH(O2225,Settings!$A$41:$A$50,0))&amp;""="","UNMAPPED",INDEX(Settings!$B$41:$B$50,MATCH(O2225,Settings!$A$41:$A$50,0))&amp;""),"UNMAPPED"))</f>
        <v/>
      </c>
      <c r="Q2225" s="38" t="n">
        <f aca="false">IF($M2225="",0,N(INDEX($A2225:$J2225,$Q$6)))</f>
        <v>0</v>
      </c>
      <c r="R2225" s="39" t="str">
        <f aca="false">IF($M2225="","",INDEX($A2225:$J2225,$R$6))</f>
        <v/>
      </c>
      <c r="S2225" s="37" t="str">
        <f aca="false">IF($M2225="","",IFERROR(INDEX(Settings!$B$27:$B$36,MATCH(L2225,Settings!$A$27:$A$36,0))&amp;"","UNMAPPED"))</f>
        <v/>
      </c>
      <c r="T2225" s="37" t="str">
        <f aca="false">IF($M2225="","",IF(NOT(ISNUMBER(R2225)),"NO DATE",IF(S2225="Won",IF(R2225&gt;Settings!$B$5,"Backlog","Delivered"),IF(S2225="Open",IF(R2225&gt;Settings!$B$5,"Pipeline","Overdue"),IF(S2225="Lost","Lost","UNMAPPED")))))</f>
        <v/>
      </c>
      <c r="U2225" s="40" t="n">
        <f aca="false">IF(T2225="Backlog",1,IF(OR(T2225="Pipeline",T2225="Overdue"),N(INDEX(Settings!$C$27:$C$36,MATCH(L2225,Settings!$A$27:$A$36,0))),0))</f>
        <v>0</v>
      </c>
      <c r="V2225" s="38" t="n">
        <f aca="false">Q2225*U2225</f>
        <v>0</v>
      </c>
      <c r="W2225" s="41" t="str">
        <f aca="false">IF($M2225="","",IF(T2225="Overdue",IF(Settings!$B$8="Yes",Settings!$B$7,""),IF(ISNUMBER(R2225),DATE(YEAR(R2225),MONTH(R2225),1),"")))</f>
        <v/>
      </c>
      <c r="X2225" s="38" t="n">
        <f aca="false">IF(AND(OR(T2225="Backlog",T2225="Pipeline",T2225="Overdue"),ISNUMBER(W2225)),IF(W2225&lt;=Settings!$B$6,V2225,0),0)</f>
        <v>0</v>
      </c>
      <c r="Y2225" s="38" t="n">
        <f aca="false">IF(AND(OR(T2225="Backlog",T2225="Pipeline",T2225="Overdue"),ISNUMBER(W2225)),IF(W2225&lt;=Settings!$B$6,Q2225,0),0)</f>
        <v>0</v>
      </c>
      <c r="Z2225" s="38" t="n">
        <f aca="false">IF(Y2225=0,0,IF(T2225="Backlog",Q2225,Q2225*Dashboard!$C$10))</f>
        <v>0</v>
      </c>
      <c r="AA2225" s="37" t="n">
        <f aca="false">IF($N2225="",0,IF(COUNTIF(Dashboard!$C$13:$C$22,$N2225)&gt;0,1,0))</f>
        <v>0</v>
      </c>
      <c r="AB2225" s="37" t="str">
        <f aca="false">IF($N2225="","",IF(COUNTIF($N$8:$N2225,$N2225)=1,MAX($AB$7:$AB2224)+1,""))</f>
        <v/>
      </c>
    </row>
    <row r="2226" customFormat="false" ht="15" hidden="false" customHeight="false" outlineLevel="0" collapsed="false">
      <c r="L2226" s="37" t="str">
        <f aca="false">IF(INDEX($A2226:$J2226,$L$6)&lt;&gt;"",TRIM(LEFT(INDEX($A2226:$J2226,$L$6),FIND("(",INDEX($A2226:$J2226,$L$6)&amp;"(")-1)),L2225)</f>
        <v>Building Value Proposition</v>
      </c>
      <c r="M2226" s="37" t="str">
        <f aca="false">IF(INDEX($A2226:$J2226,$M$6)="","",INDEX($A2226:$J2226,$M$6)&amp;"")</f>
        <v/>
      </c>
      <c r="N2226" s="37" t="str">
        <f aca="false">IF($M2226="","",TRIM(INDEX($A2226:$J2226,$N$6)&amp;""))</f>
        <v/>
      </c>
      <c r="O2226" s="37" t="str">
        <f aca="false">IF($M2226="","",TRIM(INDEX($A2226:$J2226,$O$6)&amp;""))</f>
        <v/>
      </c>
      <c r="P2226" s="37" t="str">
        <f aca="false">IF($M2226="","",IFERROR(IF(INDEX(Settings!$B$41:$B$50,MATCH(O2226,Settings!$A$41:$A$50,0))&amp;""="","UNMAPPED",INDEX(Settings!$B$41:$B$50,MATCH(O2226,Settings!$A$41:$A$50,0))&amp;""),"UNMAPPED"))</f>
        <v/>
      </c>
      <c r="Q2226" s="38" t="n">
        <f aca="false">IF($M2226="",0,N(INDEX($A2226:$J2226,$Q$6)))</f>
        <v>0</v>
      </c>
      <c r="R2226" s="39" t="str">
        <f aca="false">IF($M2226="","",INDEX($A2226:$J2226,$R$6))</f>
        <v/>
      </c>
      <c r="S2226" s="37" t="str">
        <f aca="false">IF($M2226="","",IFERROR(INDEX(Settings!$B$27:$B$36,MATCH(L2226,Settings!$A$27:$A$36,0))&amp;"","UNMAPPED"))</f>
        <v/>
      </c>
      <c r="T2226" s="37" t="str">
        <f aca="false">IF($M2226="","",IF(NOT(ISNUMBER(R2226)),"NO DATE",IF(S2226="Won",IF(R2226&gt;Settings!$B$5,"Backlog","Delivered"),IF(S2226="Open",IF(R2226&gt;Settings!$B$5,"Pipeline","Overdue"),IF(S2226="Lost","Lost","UNMAPPED")))))</f>
        <v/>
      </c>
      <c r="U2226" s="40" t="n">
        <f aca="false">IF(T2226="Backlog",1,IF(OR(T2226="Pipeline",T2226="Overdue"),N(INDEX(Settings!$C$27:$C$36,MATCH(L2226,Settings!$A$27:$A$36,0))),0))</f>
        <v>0</v>
      </c>
      <c r="V2226" s="38" t="n">
        <f aca="false">Q2226*U2226</f>
        <v>0</v>
      </c>
      <c r="W2226" s="41" t="str">
        <f aca="false">IF($M2226="","",IF(T2226="Overdue",IF(Settings!$B$8="Yes",Settings!$B$7,""),IF(ISNUMBER(R2226),DATE(YEAR(R2226),MONTH(R2226),1),"")))</f>
        <v/>
      </c>
      <c r="X2226" s="38" t="n">
        <f aca="false">IF(AND(OR(T2226="Backlog",T2226="Pipeline",T2226="Overdue"),ISNUMBER(W2226)),IF(W2226&lt;=Settings!$B$6,V2226,0),0)</f>
        <v>0</v>
      </c>
      <c r="Y2226" s="38" t="n">
        <f aca="false">IF(AND(OR(T2226="Backlog",T2226="Pipeline",T2226="Overdue"),ISNUMBER(W2226)),IF(W2226&lt;=Settings!$B$6,Q2226,0),0)</f>
        <v>0</v>
      </c>
      <c r="Z2226" s="38" t="n">
        <f aca="false">IF(Y2226=0,0,IF(T2226="Backlog",Q2226,Q2226*Dashboard!$C$10))</f>
        <v>0</v>
      </c>
      <c r="AA2226" s="37" t="n">
        <f aca="false">IF($N2226="",0,IF(COUNTIF(Dashboard!$C$13:$C$22,$N2226)&gt;0,1,0))</f>
        <v>0</v>
      </c>
      <c r="AB2226" s="37" t="str">
        <f aca="false">IF($N2226="","",IF(COUNTIF($N$8:$N2226,$N2226)=1,MAX($AB$7:$AB2225)+1,""))</f>
        <v/>
      </c>
    </row>
    <row r="2227" customFormat="false" ht="15" hidden="false" customHeight="false" outlineLevel="0" collapsed="false">
      <c r="L2227" s="37" t="str">
        <f aca="false">IF(INDEX($A2227:$J2227,$L$6)&lt;&gt;"",TRIM(LEFT(INDEX($A2227:$J2227,$L$6),FIND("(",INDEX($A2227:$J2227,$L$6)&amp;"(")-1)),L2226)</f>
        <v>Building Value Proposition</v>
      </c>
      <c r="M2227" s="37" t="str">
        <f aca="false">IF(INDEX($A2227:$J2227,$M$6)="","",INDEX($A2227:$J2227,$M$6)&amp;"")</f>
        <v/>
      </c>
      <c r="N2227" s="37" t="str">
        <f aca="false">IF($M2227="","",TRIM(INDEX($A2227:$J2227,$N$6)&amp;""))</f>
        <v/>
      </c>
      <c r="O2227" s="37" t="str">
        <f aca="false">IF($M2227="","",TRIM(INDEX($A2227:$J2227,$O$6)&amp;""))</f>
        <v/>
      </c>
      <c r="P2227" s="37" t="str">
        <f aca="false">IF($M2227="","",IFERROR(IF(INDEX(Settings!$B$41:$B$50,MATCH(O2227,Settings!$A$41:$A$50,0))&amp;""="","UNMAPPED",INDEX(Settings!$B$41:$B$50,MATCH(O2227,Settings!$A$41:$A$50,0))&amp;""),"UNMAPPED"))</f>
        <v/>
      </c>
      <c r="Q2227" s="38" t="n">
        <f aca="false">IF($M2227="",0,N(INDEX($A2227:$J2227,$Q$6)))</f>
        <v>0</v>
      </c>
      <c r="R2227" s="39" t="str">
        <f aca="false">IF($M2227="","",INDEX($A2227:$J2227,$R$6))</f>
        <v/>
      </c>
      <c r="S2227" s="37" t="str">
        <f aca="false">IF($M2227="","",IFERROR(INDEX(Settings!$B$27:$B$36,MATCH(L2227,Settings!$A$27:$A$36,0))&amp;"","UNMAPPED"))</f>
        <v/>
      </c>
      <c r="T2227" s="37" t="str">
        <f aca="false">IF($M2227="","",IF(NOT(ISNUMBER(R2227)),"NO DATE",IF(S2227="Won",IF(R2227&gt;Settings!$B$5,"Backlog","Delivered"),IF(S2227="Open",IF(R2227&gt;Settings!$B$5,"Pipeline","Overdue"),IF(S2227="Lost","Lost","UNMAPPED")))))</f>
        <v/>
      </c>
      <c r="U2227" s="40" t="n">
        <f aca="false">IF(T2227="Backlog",1,IF(OR(T2227="Pipeline",T2227="Overdue"),N(INDEX(Settings!$C$27:$C$36,MATCH(L2227,Settings!$A$27:$A$36,0))),0))</f>
        <v>0</v>
      </c>
      <c r="V2227" s="38" t="n">
        <f aca="false">Q2227*U2227</f>
        <v>0</v>
      </c>
      <c r="W2227" s="41" t="str">
        <f aca="false">IF($M2227="","",IF(T2227="Overdue",IF(Settings!$B$8="Yes",Settings!$B$7,""),IF(ISNUMBER(R2227),DATE(YEAR(R2227),MONTH(R2227),1),"")))</f>
        <v/>
      </c>
      <c r="X2227" s="38" t="n">
        <f aca="false">IF(AND(OR(T2227="Backlog",T2227="Pipeline",T2227="Overdue"),ISNUMBER(W2227)),IF(W2227&lt;=Settings!$B$6,V2227,0),0)</f>
        <v>0</v>
      </c>
      <c r="Y2227" s="38" t="n">
        <f aca="false">IF(AND(OR(T2227="Backlog",T2227="Pipeline",T2227="Overdue"),ISNUMBER(W2227)),IF(W2227&lt;=Settings!$B$6,Q2227,0),0)</f>
        <v>0</v>
      </c>
      <c r="Z2227" s="38" t="n">
        <f aca="false">IF(Y2227=0,0,IF(T2227="Backlog",Q2227,Q2227*Dashboard!$C$10))</f>
        <v>0</v>
      </c>
      <c r="AA2227" s="37" t="n">
        <f aca="false">IF($N2227="",0,IF(COUNTIF(Dashboard!$C$13:$C$22,$N2227)&gt;0,1,0))</f>
        <v>0</v>
      </c>
      <c r="AB2227" s="37" t="str">
        <f aca="false">IF($N2227="","",IF(COUNTIF($N$8:$N2227,$N2227)=1,MAX($AB$7:$AB2226)+1,""))</f>
        <v/>
      </c>
    </row>
    <row r="2228" customFormat="false" ht="15" hidden="false" customHeight="false" outlineLevel="0" collapsed="false">
      <c r="L2228" s="37" t="str">
        <f aca="false">IF(INDEX($A2228:$J2228,$L$6)&lt;&gt;"",TRIM(LEFT(INDEX($A2228:$J2228,$L$6),FIND("(",INDEX($A2228:$J2228,$L$6)&amp;"(")-1)),L2227)</f>
        <v>Building Value Proposition</v>
      </c>
      <c r="M2228" s="37" t="str">
        <f aca="false">IF(INDEX($A2228:$J2228,$M$6)="","",INDEX($A2228:$J2228,$M$6)&amp;"")</f>
        <v/>
      </c>
      <c r="N2228" s="37" t="str">
        <f aca="false">IF($M2228="","",TRIM(INDEX($A2228:$J2228,$N$6)&amp;""))</f>
        <v/>
      </c>
      <c r="O2228" s="37" t="str">
        <f aca="false">IF($M2228="","",TRIM(INDEX($A2228:$J2228,$O$6)&amp;""))</f>
        <v/>
      </c>
      <c r="P2228" s="37" t="str">
        <f aca="false">IF($M2228="","",IFERROR(IF(INDEX(Settings!$B$41:$B$50,MATCH(O2228,Settings!$A$41:$A$50,0))&amp;""="","UNMAPPED",INDEX(Settings!$B$41:$B$50,MATCH(O2228,Settings!$A$41:$A$50,0))&amp;""),"UNMAPPED"))</f>
        <v/>
      </c>
      <c r="Q2228" s="38" t="n">
        <f aca="false">IF($M2228="",0,N(INDEX($A2228:$J2228,$Q$6)))</f>
        <v>0</v>
      </c>
      <c r="R2228" s="39" t="str">
        <f aca="false">IF($M2228="","",INDEX($A2228:$J2228,$R$6))</f>
        <v/>
      </c>
      <c r="S2228" s="37" t="str">
        <f aca="false">IF($M2228="","",IFERROR(INDEX(Settings!$B$27:$B$36,MATCH(L2228,Settings!$A$27:$A$36,0))&amp;"","UNMAPPED"))</f>
        <v/>
      </c>
      <c r="T2228" s="37" t="str">
        <f aca="false">IF($M2228="","",IF(NOT(ISNUMBER(R2228)),"NO DATE",IF(S2228="Won",IF(R2228&gt;Settings!$B$5,"Backlog","Delivered"),IF(S2228="Open",IF(R2228&gt;Settings!$B$5,"Pipeline","Overdue"),IF(S2228="Lost","Lost","UNMAPPED")))))</f>
        <v/>
      </c>
      <c r="U2228" s="40" t="n">
        <f aca="false">IF(T2228="Backlog",1,IF(OR(T2228="Pipeline",T2228="Overdue"),N(INDEX(Settings!$C$27:$C$36,MATCH(L2228,Settings!$A$27:$A$36,0))),0))</f>
        <v>0</v>
      </c>
      <c r="V2228" s="38" t="n">
        <f aca="false">Q2228*U2228</f>
        <v>0</v>
      </c>
      <c r="W2228" s="41" t="str">
        <f aca="false">IF($M2228="","",IF(T2228="Overdue",IF(Settings!$B$8="Yes",Settings!$B$7,""),IF(ISNUMBER(R2228),DATE(YEAR(R2228),MONTH(R2228),1),"")))</f>
        <v/>
      </c>
      <c r="X2228" s="38" t="n">
        <f aca="false">IF(AND(OR(T2228="Backlog",T2228="Pipeline",T2228="Overdue"),ISNUMBER(W2228)),IF(W2228&lt;=Settings!$B$6,V2228,0),0)</f>
        <v>0</v>
      </c>
      <c r="Y2228" s="38" t="n">
        <f aca="false">IF(AND(OR(T2228="Backlog",T2228="Pipeline",T2228="Overdue"),ISNUMBER(W2228)),IF(W2228&lt;=Settings!$B$6,Q2228,0),0)</f>
        <v>0</v>
      </c>
      <c r="Z2228" s="38" t="n">
        <f aca="false">IF(Y2228=0,0,IF(T2228="Backlog",Q2228,Q2228*Dashboard!$C$10))</f>
        <v>0</v>
      </c>
      <c r="AA2228" s="37" t="n">
        <f aca="false">IF($N2228="",0,IF(COUNTIF(Dashboard!$C$13:$C$22,$N2228)&gt;0,1,0))</f>
        <v>0</v>
      </c>
      <c r="AB2228" s="37" t="str">
        <f aca="false">IF($N2228="","",IF(COUNTIF($N$8:$N2228,$N2228)=1,MAX($AB$7:$AB2227)+1,""))</f>
        <v/>
      </c>
    </row>
    <row r="2229" customFormat="false" ht="15" hidden="false" customHeight="false" outlineLevel="0" collapsed="false">
      <c r="L2229" s="37" t="str">
        <f aca="false">IF(INDEX($A2229:$J2229,$L$6)&lt;&gt;"",TRIM(LEFT(INDEX($A2229:$J2229,$L$6),FIND("(",INDEX($A2229:$J2229,$L$6)&amp;"(")-1)),L2228)</f>
        <v>Building Value Proposition</v>
      </c>
      <c r="M2229" s="37" t="str">
        <f aca="false">IF(INDEX($A2229:$J2229,$M$6)="","",INDEX($A2229:$J2229,$M$6)&amp;"")</f>
        <v/>
      </c>
      <c r="N2229" s="37" t="str">
        <f aca="false">IF($M2229="","",TRIM(INDEX($A2229:$J2229,$N$6)&amp;""))</f>
        <v/>
      </c>
      <c r="O2229" s="37" t="str">
        <f aca="false">IF($M2229="","",TRIM(INDEX($A2229:$J2229,$O$6)&amp;""))</f>
        <v/>
      </c>
      <c r="P2229" s="37" t="str">
        <f aca="false">IF($M2229="","",IFERROR(IF(INDEX(Settings!$B$41:$B$50,MATCH(O2229,Settings!$A$41:$A$50,0))&amp;""="","UNMAPPED",INDEX(Settings!$B$41:$B$50,MATCH(O2229,Settings!$A$41:$A$50,0))&amp;""),"UNMAPPED"))</f>
        <v/>
      </c>
      <c r="Q2229" s="38" t="n">
        <f aca="false">IF($M2229="",0,N(INDEX($A2229:$J2229,$Q$6)))</f>
        <v>0</v>
      </c>
      <c r="R2229" s="39" t="str">
        <f aca="false">IF($M2229="","",INDEX($A2229:$J2229,$R$6))</f>
        <v/>
      </c>
      <c r="S2229" s="37" t="str">
        <f aca="false">IF($M2229="","",IFERROR(INDEX(Settings!$B$27:$B$36,MATCH(L2229,Settings!$A$27:$A$36,0))&amp;"","UNMAPPED"))</f>
        <v/>
      </c>
      <c r="T2229" s="37" t="str">
        <f aca="false">IF($M2229="","",IF(NOT(ISNUMBER(R2229)),"NO DATE",IF(S2229="Won",IF(R2229&gt;Settings!$B$5,"Backlog","Delivered"),IF(S2229="Open",IF(R2229&gt;Settings!$B$5,"Pipeline","Overdue"),IF(S2229="Lost","Lost","UNMAPPED")))))</f>
        <v/>
      </c>
      <c r="U2229" s="40" t="n">
        <f aca="false">IF(T2229="Backlog",1,IF(OR(T2229="Pipeline",T2229="Overdue"),N(INDEX(Settings!$C$27:$C$36,MATCH(L2229,Settings!$A$27:$A$36,0))),0))</f>
        <v>0</v>
      </c>
      <c r="V2229" s="38" t="n">
        <f aca="false">Q2229*U2229</f>
        <v>0</v>
      </c>
      <c r="W2229" s="41" t="str">
        <f aca="false">IF($M2229="","",IF(T2229="Overdue",IF(Settings!$B$8="Yes",Settings!$B$7,""),IF(ISNUMBER(R2229),DATE(YEAR(R2229),MONTH(R2229),1),"")))</f>
        <v/>
      </c>
      <c r="X2229" s="38" t="n">
        <f aca="false">IF(AND(OR(T2229="Backlog",T2229="Pipeline",T2229="Overdue"),ISNUMBER(W2229)),IF(W2229&lt;=Settings!$B$6,V2229,0),0)</f>
        <v>0</v>
      </c>
      <c r="Y2229" s="38" t="n">
        <f aca="false">IF(AND(OR(T2229="Backlog",T2229="Pipeline",T2229="Overdue"),ISNUMBER(W2229)),IF(W2229&lt;=Settings!$B$6,Q2229,0),0)</f>
        <v>0</v>
      </c>
      <c r="Z2229" s="38" t="n">
        <f aca="false">IF(Y2229=0,0,IF(T2229="Backlog",Q2229,Q2229*Dashboard!$C$10))</f>
        <v>0</v>
      </c>
      <c r="AA2229" s="37" t="n">
        <f aca="false">IF($N2229="",0,IF(COUNTIF(Dashboard!$C$13:$C$22,$N2229)&gt;0,1,0))</f>
        <v>0</v>
      </c>
      <c r="AB2229" s="37" t="str">
        <f aca="false">IF($N2229="","",IF(COUNTIF($N$8:$N2229,$N2229)=1,MAX($AB$7:$AB2228)+1,""))</f>
        <v/>
      </c>
    </row>
    <row r="2230" customFormat="false" ht="15" hidden="false" customHeight="false" outlineLevel="0" collapsed="false">
      <c r="L2230" s="37" t="str">
        <f aca="false">IF(INDEX($A2230:$J2230,$L$6)&lt;&gt;"",TRIM(LEFT(INDEX($A2230:$J2230,$L$6),FIND("(",INDEX($A2230:$J2230,$L$6)&amp;"(")-1)),L2229)</f>
        <v>Building Value Proposition</v>
      </c>
      <c r="M2230" s="37" t="str">
        <f aca="false">IF(INDEX($A2230:$J2230,$M$6)="","",INDEX($A2230:$J2230,$M$6)&amp;"")</f>
        <v/>
      </c>
      <c r="N2230" s="37" t="str">
        <f aca="false">IF($M2230="","",TRIM(INDEX($A2230:$J2230,$N$6)&amp;""))</f>
        <v/>
      </c>
      <c r="O2230" s="37" t="str">
        <f aca="false">IF($M2230="","",TRIM(INDEX($A2230:$J2230,$O$6)&amp;""))</f>
        <v/>
      </c>
      <c r="P2230" s="37" t="str">
        <f aca="false">IF($M2230="","",IFERROR(IF(INDEX(Settings!$B$41:$B$50,MATCH(O2230,Settings!$A$41:$A$50,0))&amp;""="","UNMAPPED",INDEX(Settings!$B$41:$B$50,MATCH(O2230,Settings!$A$41:$A$50,0))&amp;""),"UNMAPPED"))</f>
        <v/>
      </c>
      <c r="Q2230" s="38" t="n">
        <f aca="false">IF($M2230="",0,N(INDEX($A2230:$J2230,$Q$6)))</f>
        <v>0</v>
      </c>
      <c r="R2230" s="39" t="str">
        <f aca="false">IF($M2230="","",INDEX($A2230:$J2230,$R$6))</f>
        <v/>
      </c>
      <c r="S2230" s="37" t="str">
        <f aca="false">IF($M2230="","",IFERROR(INDEX(Settings!$B$27:$B$36,MATCH(L2230,Settings!$A$27:$A$36,0))&amp;"","UNMAPPED"))</f>
        <v/>
      </c>
      <c r="T2230" s="37" t="str">
        <f aca="false">IF($M2230="","",IF(NOT(ISNUMBER(R2230)),"NO DATE",IF(S2230="Won",IF(R2230&gt;Settings!$B$5,"Backlog","Delivered"),IF(S2230="Open",IF(R2230&gt;Settings!$B$5,"Pipeline","Overdue"),IF(S2230="Lost","Lost","UNMAPPED")))))</f>
        <v/>
      </c>
      <c r="U2230" s="40" t="n">
        <f aca="false">IF(T2230="Backlog",1,IF(OR(T2230="Pipeline",T2230="Overdue"),N(INDEX(Settings!$C$27:$C$36,MATCH(L2230,Settings!$A$27:$A$36,0))),0))</f>
        <v>0</v>
      </c>
      <c r="V2230" s="38" t="n">
        <f aca="false">Q2230*U2230</f>
        <v>0</v>
      </c>
      <c r="W2230" s="41" t="str">
        <f aca="false">IF($M2230="","",IF(T2230="Overdue",IF(Settings!$B$8="Yes",Settings!$B$7,""),IF(ISNUMBER(R2230),DATE(YEAR(R2230),MONTH(R2230),1),"")))</f>
        <v/>
      </c>
      <c r="X2230" s="38" t="n">
        <f aca="false">IF(AND(OR(T2230="Backlog",T2230="Pipeline",T2230="Overdue"),ISNUMBER(W2230)),IF(W2230&lt;=Settings!$B$6,V2230,0),0)</f>
        <v>0</v>
      </c>
      <c r="Y2230" s="38" t="n">
        <f aca="false">IF(AND(OR(T2230="Backlog",T2230="Pipeline",T2230="Overdue"),ISNUMBER(W2230)),IF(W2230&lt;=Settings!$B$6,Q2230,0),0)</f>
        <v>0</v>
      </c>
      <c r="Z2230" s="38" t="n">
        <f aca="false">IF(Y2230=0,0,IF(T2230="Backlog",Q2230,Q2230*Dashboard!$C$10))</f>
        <v>0</v>
      </c>
      <c r="AA2230" s="37" t="n">
        <f aca="false">IF($N2230="",0,IF(COUNTIF(Dashboard!$C$13:$C$22,$N2230)&gt;0,1,0))</f>
        <v>0</v>
      </c>
      <c r="AB2230" s="37" t="str">
        <f aca="false">IF($N2230="","",IF(COUNTIF($N$8:$N2230,$N2230)=1,MAX($AB$7:$AB2229)+1,""))</f>
        <v/>
      </c>
    </row>
    <row r="2231" customFormat="false" ht="15" hidden="false" customHeight="false" outlineLevel="0" collapsed="false">
      <c r="L2231" s="37" t="str">
        <f aca="false">IF(INDEX($A2231:$J2231,$L$6)&lt;&gt;"",TRIM(LEFT(INDEX($A2231:$J2231,$L$6),FIND("(",INDEX($A2231:$J2231,$L$6)&amp;"(")-1)),L2230)</f>
        <v>Building Value Proposition</v>
      </c>
      <c r="M2231" s="37" t="str">
        <f aca="false">IF(INDEX($A2231:$J2231,$M$6)="","",INDEX($A2231:$J2231,$M$6)&amp;"")</f>
        <v/>
      </c>
      <c r="N2231" s="37" t="str">
        <f aca="false">IF($M2231="","",TRIM(INDEX($A2231:$J2231,$N$6)&amp;""))</f>
        <v/>
      </c>
      <c r="O2231" s="37" t="str">
        <f aca="false">IF($M2231="","",TRIM(INDEX($A2231:$J2231,$O$6)&amp;""))</f>
        <v/>
      </c>
      <c r="P2231" s="37" t="str">
        <f aca="false">IF($M2231="","",IFERROR(IF(INDEX(Settings!$B$41:$B$50,MATCH(O2231,Settings!$A$41:$A$50,0))&amp;""="","UNMAPPED",INDEX(Settings!$B$41:$B$50,MATCH(O2231,Settings!$A$41:$A$50,0))&amp;""),"UNMAPPED"))</f>
        <v/>
      </c>
      <c r="Q2231" s="38" t="n">
        <f aca="false">IF($M2231="",0,N(INDEX($A2231:$J2231,$Q$6)))</f>
        <v>0</v>
      </c>
      <c r="R2231" s="39" t="str">
        <f aca="false">IF($M2231="","",INDEX($A2231:$J2231,$R$6))</f>
        <v/>
      </c>
      <c r="S2231" s="37" t="str">
        <f aca="false">IF($M2231="","",IFERROR(INDEX(Settings!$B$27:$B$36,MATCH(L2231,Settings!$A$27:$A$36,0))&amp;"","UNMAPPED"))</f>
        <v/>
      </c>
      <c r="T2231" s="37" t="str">
        <f aca="false">IF($M2231="","",IF(NOT(ISNUMBER(R2231)),"NO DATE",IF(S2231="Won",IF(R2231&gt;Settings!$B$5,"Backlog","Delivered"),IF(S2231="Open",IF(R2231&gt;Settings!$B$5,"Pipeline","Overdue"),IF(S2231="Lost","Lost","UNMAPPED")))))</f>
        <v/>
      </c>
      <c r="U2231" s="40" t="n">
        <f aca="false">IF(T2231="Backlog",1,IF(OR(T2231="Pipeline",T2231="Overdue"),N(INDEX(Settings!$C$27:$C$36,MATCH(L2231,Settings!$A$27:$A$36,0))),0))</f>
        <v>0</v>
      </c>
      <c r="V2231" s="38" t="n">
        <f aca="false">Q2231*U2231</f>
        <v>0</v>
      </c>
      <c r="W2231" s="41" t="str">
        <f aca="false">IF($M2231="","",IF(T2231="Overdue",IF(Settings!$B$8="Yes",Settings!$B$7,""),IF(ISNUMBER(R2231),DATE(YEAR(R2231),MONTH(R2231),1),"")))</f>
        <v/>
      </c>
      <c r="X2231" s="38" t="n">
        <f aca="false">IF(AND(OR(T2231="Backlog",T2231="Pipeline",T2231="Overdue"),ISNUMBER(W2231)),IF(W2231&lt;=Settings!$B$6,V2231,0),0)</f>
        <v>0</v>
      </c>
      <c r="Y2231" s="38" t="n">
        <f aca="false">IF(AND(OR(T2231="Backlog",T2231="Pipeline",T2231="Overdue"),ISNUMBER(W2231)),IF(W2231&lt;=Settings!$B$6,Q2231,0),0)</f>
        <v>0</v>
      </c>
      <c r="Z2231" s="38" t="n">
        <f aca="false">IF(Y2231=0,0,IF(T2231="Backlog",Q2231,Q2231*Dashboard!$C$10))</f>
        <v>0</v>
      </c>
      <c r="AA2231" s="37" t="n">
        <f aca="false">IF($N2231="",0,IF(COUNTIF(Dashboard!$C$13:$C$22,$N2231)&gt;0,1,0))</f>
        <v>0</v>
      </c>
      <c r="AB2231" s="37" t="str">
        <f aca="false">IF($N2231="","",IF(COUNTIF($N$8:$N2231,$N2231)=1,MAX($AB$7:$AB2230)+1,""))</f>
        <v/>
      </c>
    </row>
    <row r="2232" customFormat="false" ht="15" hidden="false" customHeight="false" outlineLevel="0" collapsed="false">
      <c r="L2232" s="37" t="str">
        <f aca="false">IF(INDEX($A2232:$J2232,$L$6)&lt;&gt;"",TRIM(LEFT(INDEX($A2232:$J2232,$L$6),FIND("(",INDEX($A2232:$J2232,$L$6)&amp;"(")-1)),L2231)</f>
        <v>Building Value Proposition</v>
      </c>
      <c r="M2232" s="37" t="str">
        <f aca="false">IF(INDEX($A2232:$J2232,$M$6)="","",INDEX($A2232:$J2232,$M$6)&amp;"")</f>
        <v/>
      </c>
      <c r="N2232" s="37" t="str">
        <f aca="false">IF($M2232="","",TRIM(INDEX($A2232:$J2232,$N$6)&amp;""))</f>
        <v/>
      </c>
      <c r="O2232" s="37" t="str">
        <f aca="false">IF($M2232="","",TRIM(INDEX($A2232:$J2232,$O$6)&amp;""))</f>
        <v/>
      </c>
      <c r="P2232" s="37" t="str">
        <f aca="false">IF($M2232="","",IFERROR(IF(INDEX(Settings!$B$41:$B$50,MATCH(O2232,Settings!$A$41:$A$50,0))&amp;""="","UNMAPPED",INDEX(Settings!$B$41:$B$50,MATCH(O2232,Settings!$A$41:$A$50,0))&amp;""),"UNMAPPED"))</f>
        <v/>
      </c>
      <c r="Q2232" s="38" t="n">
        <f aca="false">IF($M2232="",0,N(INDEX($A2232:$J2232,$Q$6)))</f>
        <v>0</v>
      </c>
      <c r="R2232" s="39" t="str">
        <f aca="false">IF($M2232="","",INDEX($A2232:$J2232,$R$6))</f>
        <v/>
      </c>
      <c r="S2232" s="37" t="str">
        <f aca="false">IF($M2232="","",IFERROR(INDEX(Settings!$B$27:$B$36,MATCH(L2232,Settings!$A$27:$A$36,0))&amp;"","UNMAPPED"))</f>
        <v/>
      </c>
      <c r="T2232" s="37" t="str">
        <f aca="false">IF($M2232="","",IF(NOT(ISNUMBER(R2232)),"NO DATE",IF(S2232="Won",IF(R2232&gt;Settings!$B$5,"Backlog","Delivered"),IF(S2232="Open",IF(R2232&gt;Settings!$B$5,"Pipeline","Overdue"),IF(S2232="Lost","Lost","UNMAPPED")))))</f>
        <v/>
      </c>
      <c r="U2232" s="40" t="n">
        <f aca="false">IF(T2232="Backlog",1,IF(OR(T2232="Pipeline",T2232="Overdue"),N(INDEX(Settings!$C$27:$C$36,MATCH(L2232,Settings!$A$27:$A$36,0))),0))</f>
        <v>0</v>
      </c>
      <c r="V2232" s="38" t="n">
        <f aca="false">Q2232*U2232</f>
        <v>0</v>
      </c>
      <c r="W2232" s="41" t="str">
        <f aca="false">IF($M2232="","",IF(T2232="Overdue",IF(Settings!$B$8="Yes",Settings!$B$7,""),IF(ISNUMBER(R2232),DATE(YEAR(R2232),MONTH(R2232),1),"")))</f>
        <v/>
      </c>
      <c r="X2232" s="38" t="n">
        <f aca="false">IF(AND(OR(T2232="Backlog",T2232="Pipeline",T2232="Overdue"),ISNUMBER(W2232)),IF(W2232&lt;=Settings!$B$6,V2232,0),0)</f>
        <v>0</v>
      </c>
      <c r="Y2232" s="38" t="n">
        <f aca="false">IF(AND(OR(T2232="Backlog",T2232="Pipeline",T2232="Overdue"),ISNUMBER(W2232)),IF(W2232&lt;=Settings!$B$6,Q2232,0),0)</f>
        <v>0</v>
      </c>
      <c r="Z2232" s="38" t="n">
        <f aca="false">IF(Y2232=0,0,IF(T2232="Backlog",Q2232,Q2232*Dashboard!$C$10))</f>
        <v>0</v>
      </c>
      <c r="AA2232" s="37" t="n">
        <f aca="false">IF($N2232="",0,IF(COUNTIF(Dashboard!$C$13:$C$22,$N2232)&gt;0,1,0))</f>
        <v>0</v>
      </c>
      <c r="AB2232" s="37" t="str">
        <f aca="false">IF($N2232="","",IF(COUNTIF($N$8:$N2232,$N2232)=1,MAX($AB$7:$AB2231)+1,""))</f>
        <v/>
      </c>
    </row>
    <row r="2233" customFormat="false" ht="15" hidden="false" customHeight="false" outlineLevel="0" collapsed="false">
      <c r="L2233" s="37" t="str">
        <f aca="false">IF(INDEX($A2233:$J2233,$L$6)&lt;&gt;"",TRIM(LEFT(INDEX($A2233:$J2233,$L$6),FIND("(",INDEX($A2233:$J2233,$L$6)&amp;"(")-1)),L2232)</f>
        <v>Building Value Proposition</v>
      </c>
      <c r="M2233" s="37" t="str">
        <f aca="false">IF(INDEX($A2233:$J2233,$M$6)="","",INDEX($A2233:$J2233,$M$6)&amp;"")</f>
        <v/>
      </c>
      <c r="N2233" s="37" t="str">
        <f aca="false">IF($M2233="","",TRIM(INDEX($A2233:$J2233,$N$6)&amp;""))</f>
        <v/>
      </c>
      <c r="O2233" s="37" t="str">
        <f aca="false">IF($M2233="","",TRIM(INDEX($A2233:$J2233,$O$6)&amp;""))</f>
        <v/>
      </c>
      <c r="P2233" s="37" t="str">
        <f aca="false">IF($M2233="","",IFERROR(IF(INDEX(Settings!$B$41:$B$50,MATCH(O2233,Settings!$A$41:$A$50,0))&amp;""="","UNMAPPED",INDEX(Settings!$B$41:$B$50,MATCH(O2233,Settings!$A$41:$A$50,0))&amp;""),"UNMAPPED"))</f>
        <v/>
      </c>
      <c r="Q2233" s="38" t="n">
        <f aca="false">IF($M2233="",0,N(INDEX($A2233:$J2233,$Q$6)))</f>
        <v>0</v>
      </c>
      <c r="R2233" s="39" t="str">
        <f aca="false">IF($M2233="","",INDEX($A2233:$J2233,$R$6))</f>
        <v/>
      </c>
      <c r="S2233" s="37" t="str">
        <f aca="false">IF($M2233="","",IFERROR(INDEX(Settings!$B$27:$B$36,MATCH(L2233,Settings!$A$27:$A$36,0))&amp;"","UNMAPPED"))</f>
        <v/>
      </c>
      <c r="T2233" s="37" t="str">
        <f aca="false">IF($M2233="","",IF(NOT(ISNUMBER(R2233)),"NO DATE",IF(S2233="Won",IF(R2233&gt;Settings!$B$5,"Backlog","Delivered"),IF(S2233="Open",IF(R2233&gt;Settings!$B$5,"Pipeline","Overdue"),IF(S2233="Lost","Lost","UNMAPPED")))))</f>
        <v/>
      </c>
      <c r="U2233" s="40" t="n">
        <f aca="false">IF(T2233="Backlog",1,IF(OR(T2233="Pipeline",T2233="Overdue"),N(INDEX(Settings!$C$27:$C$36,MATCH(L2233,Settings!$A$27:$A$36,0))),0))</f>
        <v>0</v>
      </c>
      <c r="V2233" s="38" t="n">
        <f aca="false">Q2233*U2233</f>
        <v>0</v>
      </c>
      <c r="W2233" s="41" t="str">
        <f aca="false">IF($M2233="","",IF(T2233="Overdue",IF(Settings!$B$8="Yes",Settings!$B$7,""),IF(ISNUMBER(R2233),DATE(YEAR(R2233),MONTH(R2233),1),"")))</f>
        <v/>
      </c>
      <c r="X2233" s="38" t="n">
        <f aca="false">IF(AND(OR(T2233="Backlog",T2233="Pipeline",T2233="Overdue"),ISNUMBER(W2233)),IF(W2233&lt;=Settings!$B$6,V2233,0),0)</f>
        <v>0</v>
      </c>
      <c r="Y2233" s="38" t="n">
        <f aca="false">IF(AND(OR(T2233="Backlog",T2233="Pipeline",T2233="Overdue"),ISNUMBER(W2233)),IF(W2233&lt;=Settings!$B$6,Q2233,0),0)</f>
        <v>0</v>
      </c>
      <c r="Z2233" s="38" t="n">
        <f aca="false">IF(Y2233=0,0,IF(T2233="Backlog",Q2233,Q2233*Dashboard!$C$10))</f>
        <v>0</v>
      </c>
      <c r="AA2233" s="37" t="n">
        <f aca="false">IF($N2233="",0,IF(COUNTIF(Dashboard!$C$13:$C$22,$N2233)&gt;0,1,0))</f>
        <v>0</v>
      </c>
      <c r="AB2233" s="37" t="str">
        <f aca="false">IF($N2233="","",IF(COUNTIF($N$8:$N2233,$N2233)=1,MAX($AB$7:$AB2232)+1,""))</f>
        <v/>
      </c>
    </row>
    <row r="2234" customFormat="false" ht="15" hidden="false" customHeight="false" outlineLevel="0" collapsed="false">
      <c r="L2234" s="37" t="str">
        <f aca="false">IF(INDEX($A2234:$J2234,$L$6)&lt;&gt;"",TRIM(LEFT(INDEX($A2234:$J2234,$L$6),FIND("(",INDEX($A2234:$J2234,$L$6)&amp;"(")-1)),L2233)</f>
        <v>Building Value Proposition</v>
      </c>
      <c r="M2234" s="37" t="str">
        <f aca="false">IF(INDEX($A2234:$J2234,$M$6)="","",INDEX($A2234:$J2234,$M$6)&amp;"")</f>
        <v/>
      </c>
      <c r="N2234" s="37" t="str">
        <f aca="false">IF($M2234="","",TRIM(INDEX($A2234:$J2234,$N$6)&amp;""))</f>
        <v/>
      </c>
      <c r="O2234" s="37" t="str">
        <f aca="false">IF($M2234="","",TRIM(INDEX($A2234:$J2234,$O$6)&amp;""))</f>
        <v/>
      </c>
      <c r="P2234" s="37" t="str">
        <f aca="false">IF($M2234="","",IFERROR(IF(INDEX(Settings!$B$41:$B$50,MATCH(O2234,Settings!$A$41:$A$50,0))&amp;""="","UNMAPPED",INDEX(Settings!$B$41:$B$50,MATCH(O2234,Settings!$A$41:$A$50,0))&amp;""),"UNMAPPED"))</f>
        <v/>
      </c>
      <c r="Q2234" s="38" t="n">
        <f aca="false">IF($M2234="",0,N(INDEX($A2234:$J2234,$Q$6)))</f>
        <v>0</v>
      </c>
      <c r="R2234" s="39" t="str">
        <f aca="false">IF($M2234="","",INDEX($A2234:$J2234,$R$6))</f>
        <v/>
      </c>
      <c r="S2234" s="37" t="str">
        <f aca="false">IF($M2234="","",IFERROR(INDEX(Settings!$B$27:$B$36,MATCH(L2234,Settings!$A$27:$A$36,0))&amp;"","UNMAPPED"))</f>
        <v/>
      </c>
      <c r="T2234" s="37" t="str">
        <f aca="false">IF($M2234="","",IF(NOT(ISNUMBER(R2234)),"NO DATE",IF(S2234="Won",IF(R2234&gt;Settings!$B$5,"Backlog","Delivered"),IF(S2234="Open",IF(R2234&gt;Settings!$B$5,"Pipeline","Overdue"),IF(S2234="Lost","Lost","UNMAPPED")))))</f>
        <v/>
      </c>
      <c r="U2234" s="40" t="n">
        <f aca="false">IF(T2234="Backlog",1,IF(OR(T2234="Pipeline",T2234="Overdue"),N(INDEX(Settings!$C$27:$C$36,MATCH(L2234,Settings!$A$27:$A$36,0))),0))</f>
        <v>0</v>
      </c>
      <c r="V2234" s="38" t="n">
        <f aca="false">Q2234*U2234</f>
        <v>0</v>
      </c>
      <c r="W2234" s="41" t="str">
        <f aca="false">IF($M2234="","",IF(T2234="Overdue",IF(Settings!$B$8="Yes",Settings!$B$7,""),IF(ISNUMBER(R2234),DATE(YEAR(R2234),MONTH(R2234),1),"")))</f>
        <v/>
      </c>
      <c r="X2234" s="38" t="n">
        <f aca="false">IF(AND(OR(T2234="Backlog",T2234="Pipeline",T2234="Overdue"),ISNUMBER(W2234)),IF(W2234&lt;=Settings!$B$6,V2234,0),0)</f>
        <v>0</v>
      </c>
      <c r="Y2234" s="38" t="n">
        <f aca="false">IF(AND(OR(T2234="Backlog",T2234="Pipeline",T2234="Overdue"),ISNUMBER(W2234)),IF(W2234&lt;=Settings!$B$6,Q2234,0),0)</f>
        <v>0</v>
      </c>
      <c r="Z2234" s="38" t="n">
        <f aca="false">IF(Y2234=0,0,IF(T2234="Backlog",Q2234,Q2234*Dashboard!$C$10))</f>
        <v>0</v>
      </c>
      <c r="AA2234" s="37" t="n">
        <f aca="false">IF($N2234="",0,IF(COUNTIF(Dashboard!$C$13:$C$22,$N2234)&gt;0,1,0))</f>
        <v>0</v>
      </c>
      <c r="AB2234" s="37" t="str">
        <f aca="false">IF($N2234="","",IF(COUNTIF($N$8:$N2234,$N2234)=1,MAX($AB$7:$AB2233)+1,""))</f>
        <v/>
      </c>
    </row>
    <row r="2235" customFormat="false" ht="15" hidden="false" customHeight="false" outlineLevel="0" collapsed="false">
      <c r="L2235" s="37" t="str">
        <f aca="false">IF(INDEX($A2235:$J2235,$L$6)&lt;&gt;"",TRIM(LEFT(INDEX($A2235:$J2235,$L$6),FIND("(",INDEX($A2235:$J2235,$L$6)&amp;"(")-1)),L2234)</f>
        <v>Building Value Proposition</v>
      </c>
      <c r="M2235" s="37" t="str">
        <f aca="false">IF(INDEX($A2235:$J2235,$M$6)="","",INDEX($A2235:$J2235,$M$6)&amp;"")</f>
        <v/>
      </c>
      <c r="N2235" s="37" t="str">
        <f aca="false">IF($M2235="","",TRIM(INDEX($A2235:$J2235,$N$6)&amp;""))</f>
        <v/>
      </c>
      <c r="O2235" s="37" t="str">
        <f aca="false">IF($M2235="","",TRIM(INDEX($A2235:$J2235,$O$6)&amp;""))</f>
        <v/>
      </c>
      <c r="P2235" s="37" t="str">
        <f aca="false">IF($M2235="","",IFERROR(IF(INDEX(Settings!$B$41:$B$50,MATCH(O2235,Settings!$A$41:$A$50,0))&amp;""="","UNMAPPED",INDEX(Settings!$B$41:$B$50,MATCH(O2235,Settings!$A$41:$A$50,0))&amp;""),"UNMAPPED"))</f>
        <v/>
      </c>
      <c r="Q2235" s="38" t="n">
        <f aca="false">IF($M2235="",0,N(INDEX($A2235:$J2235,$Q$6)))</f>
        <v>0</v>
      </c>
      <c r="R2235" s="39" t="str">
        <f aca="false">IF($M2235="","",INDEX($A2235:$J2235,$R$6))</f>
        <v/>
      </c>
      <c r="S2235" s="37" t="str">
        <f aca="false">IF($M2235="","",IFERROR(INDEX(Settings!$B$27:$B$36,MATCH(L2235,Settings!$A$27:$A$36,0))&amp;"","UNMAPPED"))</f>
        <v/>
      </c>
      <c r="T2235" s="37" t="str">
        <f aca="false">IF($M2235="","",IF(NOT(ISNUMBER(R2235)),"NO DATE",IF(S2235="Won",IF(R2235&gt;Settings!$B$5,"Backlog","Delivered"),IF(S2235="Open",IF(R2235&gt;Settings!$B$5,"Pipeline","Overdue"),IF(S2235="Lost","Lost","UNMAPPED")))))</f>
        <v/>
      </c>
      <c r="U2235" s="40" t="n">
        <f aca="false">IF(T2235="Backlog",1,IF(OR(T2235="Pipeline",T2235="Overdue"),N(INDEX(Settings!$C$27:$C$36,MATCH(L2235,Settings!$A$27:$A$36,0))),0))</f>
        <v>0</v>
      </c>
      <c r="V2235" s="38" t="n">
        <f aca="false">Q2235*U2235</f>
        <v>0</v>
      </c>
      <c r="W2235" s="41" t="str">
        <f aca="false">IF($M2235="","",IF(T2235="Overdue",IF(Settings!$B$8="Yes",Settings!$B$7,""),IF(ISNUMBER(R2235),DATE(YEAR(R2235),MONTH(R2235),1),"")))</f>
        <v/>
      </c>
      <c r="X2235" s="38" t="n">
        <f aca="false">IF(AND(OR(T2235="Backlog",T2235="Pipeline",T2235="Overdue"),ISNUMBER(W2235)),IF(W2235&lt;=Settings!$B$6,V2235,0),0)</f>
        <v>0</v>
      </c>
      <c r="Y2235" s="38" t="n">
        <f aca="false">IF(AND(OR(T2235="Backlog",T2235="Pipeline",T2235="Overdue"),ISNUMBER(W2235)),IF(W2235&lt;=Settings!$B$6,Q2235,0),0)</f>
        <v>0</v>
      </c>
      <c r="Z2235" s="38" t="n">
        <f aca="false">IF(Y2235=0,0,IF(T2235="Backlog",Q2235,Q2235*Dashboard!$C$10))</f>
        <v>0</v>
      </c>
      <c r="AA2235" s="37" t="n">
        <f aca="false">IF($N2235="",0,IF(COUNTIF(Dashboard!$C$13:$C$22,$N2235)&gt;0,1,0))</f>
        <v>0</v>
      </c>
      <c r="AB2235" s="37" t="str">
        <f aca="false">IF($N2235="","",IF(COUNTIF($N$8:$N2235,$N2235)=1,MAX($AB$7:$AB2234)+1,""))</f>
        <v/>
      </c>
    </row>
    <row r="2236" customFormat="false" ht="15" hidden="false" customHeight="false" outlineLevel="0" collapsed="false">
      <c r="L2236" s="37" t="str">
        <f aca="false">IF(INDEX($A2236:$J2236,$L$6)&lt;&gt;"",TRIM(LEFT(INDEX($A2236:$J2236,$L$6),FIND("(",INDEX($A2236:$J2236,$L$6)&amp;"(")-1)),L2235)</f>
        <v>Building Value Proposition</v>
      </c>
      <c r="M2236" s="37" t="str">
        <f aca="false">IF(INDEX($A2236:$J2236,$M$6)="","",INDEX($A2236:$J2236,$M$6)&amp;"")</f>
        <v/>
      </c>
      <c r="N2236" s="37" t="str">
        <f aca="false">IF($M2236="","",TRIM(INDEX($A2236:$J2236,$N$6)&amp;""))</f>
        <v/>
      </c>
      <c r="O2236" s="37" t="str">
        <f aca="false">IF($M2236="","",TRIM(INDEX($A2236:$J2236,$O$6)&amp;""))</f>
        <v/>
      </c>
      <c r="P2236" s="37" t="str">
        <f aca="false">IF($M2236="","",IFERROR(IF(INDEX(Settings!$B$41:$B$50,MATCH(O2236,Settings!$A$41:$A$50,0))&amp;""="","UNMAPPED",INDEX(Settings!$B$41:$B$50,MATCH(O2236,Settings!$A$41:$A$50,0))&amp;""),"UNMAPPED"))</f>
        <v/>
      </c>
      <c r="Q2236" s="38" t="n">
        <f aca="false">IF($M2236="",0,N(INDEX($A2236:$J2236,$Q$6)))</f>
        <v>0</v>
      </c>
      <c r="R2236" s="39" t="str">
        <f aca="false">IF($M2236="","",INDEX($A2236:$J2236,$R$6))</f>
        <v/>
      </c>
      <c r="S2236" s="37" t="str">
        <f aca="false">IF($M2236="","",IFERROR(INDEX(Settings!$B$27:$B$36,MATCH(L2236,Settings!$A$27:$A$36,0))&amp;"","UNMAPPED"))</f>
        <v/>
      </c>
      <c r="T2236" s="37" t="str">
        <f aca="false">IF($M2236="","",IF(NOT(ISNUMBER(R2236)),"NO DATE",IF(S2236="Won",IF(R2236&gt;Settings!$B$5,"Backlog","Delivered"),IF(S2236="Open",IF(R2236&gt;Settings!$B$5,"Pipeline","Overdue"),IF(S2236="Lost","Lost","UNMAPPED")))))</f>
        <v/>
      </c>
      <c r="U2236" s="40" t="n">
        <f aca="false">IF(T2236="Backlog",1,IF(OR(T2236="Pipeline",T2236="Overdue"),N(INDEX(Settings!$C$27:$C$36,MATCH(L2236,Settings!$A$27:$A$36,0))),0))</f>
        <v>0</v>
      </c>
      <c r="V2236" s="38" t="n">
        <f aca="false">Q2236*U2236</f>
        <v>0</v>
      </c>
      <c r="W2236" s="41" t="str">
        <f aca="false">IF($M2236="","",IF(T2236="Overdue",IF(Settings!$B$8="Yes",Settings!$B$7,""),IF(ISNUMBER(R2236),DATE(YEAR(R2236),MONTH(R2236),1),"")))</f>
        <v/>
      </c>
      <c r="X2236" s="38" t="n">
        <f aca="false">IF(AND(OR(T2236="Backlog",T2236="Pipeline",T2236="Overdue"),ISNUMBER(W2236)),IF(W2236&lt;=Settings!$B$6,V2236,0),0)</f>
        <v>0</v>
      </c>
      <c r="Y2236" s="38" t="n">
        <f aca="false">IF(AND(OR(T2236="Backlog",T2236="Pipeline",T2236="Overdue"),ISNUMBER(W2236)),IF(W2236&lt;=Settings!$B$6,Q2236,0),0)</f>
        <v>0</v>
      </c>
      <c r="Z2236" s="38" t="n">
        <f aca="false">IF(Y2236=0,0,IF(T2236="Backlog",Q2236,Q2236*Dashboard!$C$10))</f>
        <v>0</v>
      </c>
      <c r="AA2236" s="37" t="n">
        <f aca="false">IF($N2236="",0,IF(COUNTIF(Dashboard!$C$13:$C$22,$N2236)&gt;0,1,0))</f>
        <v>0</v>
      </c>
      <c r="AB2236" s="37" t="str">
        <f aca="false">IF($N2236="","",IF(COUNTIF($N$8:$N2236,$N2236)=1,MAX($AB$7:$AB2235)+1,""))</f>
        <v/>
      </c>
    </row>
    <row r="2237" customFormat="false" ht="15" hidden="false" customHeight="false" outlineLevel="0" collapsed="false">
      <c r="L2237" s="37" t="str">
        <f aca="false">IF(INDEX($A2237:$J2237,$L$6)&lt;&gt;"",TRIM(LEFT(INDEX($A2237:$J2237,$L$6),FIND("(",INDEX($A2237:$J2237,$L$6)&amp;"(")-1)),L2236)</f>
        <v>Building Value Proposition</v>
      </c>
      <c r="M2237" s="37" t="str">
        <f aca="false">IF(INDEX($A2237:$J2237,$M$6)="","",INDEX($A2237:$J2237,$M$6)&amp;"")</f>
        <v/>
      </c>
      <c r="N2237" s="37" t="str">
        <f aca="false">IF($M2237="","",TRIM(INDEX($A2237:$J2237,$N$6)&amp;""))</f>
        <v/>
      </c>
      <c r="O2237" s="37" t="str">
        <f aca="false">IF($M2237="","",TRIM(INDEX($A2237:$J2237,$O$6)&amp;""))</f>
        <v/>
      </c>
      <c r="P2237" s="37" t="str">
        <f aca="false">IF($M2237="","",IFERROR(IF(INDEX(Settings!$B$41:$B$50,MATCH(O2237,Settings!$A$41:$A$50,0))&amp;""="","UNMAPPED",INDEX(Settings!$B$41:$B$50,MATCH(O2237,Settings!$A$41:$A$50,0))&amp;""),"UNMAPPED"))</f>
        <v/>
      </c>
      <c r="Q2237" s="38" t="n">
        <f aca="false">IF($M2237="",0,N(INDEX($A2237:$J2237,$Q$6)))</f>
        <v>0</v>
      </c>
      <c r="R2237" s="39" t="str">
        <f aca="false">IF($M2237="","",INDEX($A2237:$J2237,$R$6))</f>
        <v/>
      </c>
      <c r="S2237" s="37" t="str">
        <f aca="false">IF($M2237="","",IFERROR(INDEX(Settings!$B$27:$B$36,MATCH(L2237,Settings!$A$27:$A$36,0))&amp;"","UNMAPPED"))</f>
        <v/>
      </c>
      <c r="T2237" s="37" t="str">
        <f aca="false">IF($M2237="","",IF(NOT(ISNUMBER(R2237)),"NO DATE",IF(S2237="Won",IF(R2237&gt;Settings!$B$5,"Backlog","Delivered"),IF(S2237="Open",IF(R2237&gt;Settings!$B$5,"Pipeline","Overdue"),IF(S2237="Lost","Lost","UNMAPPED")))))</f>
        <v/>
      </c>
      <c r="U2237" s="40" t="n">
        <f aca="false">IF(T2237="Backlog",1,IF(OR(T2237="Pipeline",T2237="Overdue"),N(INDEX(Settings!$C$27:$C$36,MATCH(L2237,Settings!$A$27:$A$36,0))),0))</f>
        <v>0</v>
      </c>
      <c r="V2237" s="38" t="n">
        <f aca="false">Q2237*U2237</f>
        <v>0</v>
      </c>
      <c r="W2237" s="41" t="str">
        <f aca="false">IF($M2237="","",IF(T2237="Overdue",IF(Settings!$B$8="Yes",Settings!$B$7,""),IF(ISNUMBER(R2237),DATE(YEAR(R2237),MONTH(R2237),1),"")))</f>
        <v/>
      </c>
      <c r="X2237" s="38" t="n">
        <f aca="false">IF(AND(OR(T2237="Backlog",T2237="Pipeline",T2237="Overdue"),ISNUMBER(W2237)),IF(W2237&lt;=Settings!$B$6,V2237,0),0)</f>
        <v>0</v>
      </c>
      <c r="Y2237" s="38" t="n">
        <f aca="false">IF(AND(OR(T2237="Backlog",T2237="Pipeline",T2237="Overdue"),ISNUMBER(W2237)),IF(W2237&lt;=Settings!$B$6,Q2237,0),0)</f>
        <v>0</v>
      </c>
      <c r="Z2237" s="38" t="n">
        <f aca="false">IF(Y2237=0,0,IF(T2237="Backlog",Q2237,Q2237*Dashboard!$C$10))</f>
        <v>0</v>
      </c>
      <c r="AA2237" s="37" t="n">
        <f aca="false">IF($N2237="",0,IF(COUNTIF(Dashboard!$C$13:$C$22,$N2237)&gt;0,1,0))</f>
        <v>0</v>
      </c>
      <c r="AB2237" s="37" t="str">
        <f aca="false">IF($N2237="","",IF(COUNTIF($N$8:$N2237,$N2237)=1,MAX($AB$7:$AB2236)+1,""))</f>
        <v/>
      </c>
    </row>
    <row r="2238" customFormat="false" ht="15" hidden="false" customHeight="false" outlineLevel="0" collapsed="false">
      <c r="L2238" s="37" t="str">
        <f aca="false">IF(INDEX($A2238:$J2238,$L$6)&lt;&gt;"",TRIM(LEFT(INDEX($A2238:$J2238,$L$6),FIND("(",INDEX($A2238:$J2238,$L$6)&amp;"(")-1)),L2237)</f>
        <v>Building Value Proposition</v>
      </c>
      <c r="M2238" s="37" t="str">
        <f aca="false">IF(INDEX($A2238:$J2238,$M$6)="","",INDEX($A2238:$J2238,$M$6)&amp;"")</f>
        <v/>
      </c>
      <c r="N2238" s="37" t="str">
        <f aca="false">IF($M2238="","",TRIM(INDEX($A2238:$J2238,$N$6)&amp;""))</f>
        <v/>
      </c>
      <c r="O2238" s="37" t="str">
        <f aca="false">IF($M2238="","",TRIM(INDEX($A2238:$J2238,$O$6)&amp;""))</f>
        <v/>
      </c>
      <c r="P2238" s="37" t="str">
        <f aca="false">IF($M2238="","",IFERROR(IF(INDEX(Settings!$B$41:$B$50,MATCH(O2238,Settings!$A$41:$A$50,0))&amp;""="","UNMAPPED",INDEX(Settings!$B$41:$B$50,MATCH(O2238,Settings!$A$41:$A$50,0))&amp;""),"UNMAPPED"))</f>
        <v/>
      </c>
      <c r="Q2238" s="38" t="n">
        <f aca="false">IF($M2238="",0,N(INDEX($A2238:$J2238,$Q$6)))</f>
        <v>0</v>
      </c>
      <c r="R2238" s="39" t="str">
        <f aca="false">IF($M2238="","",INDEX($A2238:$J2238,$R$6))</f>
        <v/>
      </c>
      <c r="S2238" s="37" t="str">
        <f aca="false">IF($M2238="","",IFERROR(INDEX(Settings!$B$27:$B$36,MATCH(L2238,Settings!$A$27:$A$36,0))&amp;"","UNMAPPED"))</f>
        <v/>
      </c>
      <c r="T2238" s="37" t="str">
        <f aca="false">IF($M2238="","",IF(NOT(ISNUMBER(R2238)),"NO DATE",IF(S2238="Won",IF(R2238&gt;Settings!$B$5,"Backlog","Delivered"),IF(S2238="Open",IF(R2238&gt;Settings!$B$5,"Pipeline","Overdue"),IF(S2238="Lost","Lost","UNMAPPED")))))</f>
        <v/>
      </c>
      <c r="U2238" s="40" t="n">
        <f aca="false">IF(T2238="Backlog",1,IF(OR(T2238="Pipeline",T2238="Overdue"),N(INDEX(Settings!$C$27:$C$36,MATCH(L2238,Settings!$A$27:$A$36,0))),0))</f>
        <v>0</v>
      </c>
      <c r="V2238" s="38" t="n">
        <f aca="false">Q2238*U2238</f>
        <v>0</v>
      </c>
      <c r="W2238" s="41" t="str">
        <f aca="false">IF($M2238="","",IF(T2238="Overdue",IF(Settings!$B$8="Yes",Settings!$B$7,""),IF(ISNUMBER(R2238),DATE(YEAR(R2238),MONTH(R2238),1),"")))</f>
        <v/>
      </c>
      <c r="X2238" s="38" t="n">
        <f aca="false">IF(AND(OR(T2238="Backlog",T2238="Pipeline",T2238="Overdue"),ISNUMBER(W2238)),IF(W2238&lt;=Settings!$B$6,V2238,0),0)</f>
        <v>0</v>
      </c>
      <c r="Y2238" s="38" t="n">
        <f aca="false">IF(AND(OR(T2238="Backlog",T2238="Pipeline",T2238="Overdue"),ISNUMBER(W2238)),IF(W2238&lt;=Settings!$B$6,Q2238,0),0)</f>
        <v>0</v>
      </c>
      <c r="Z2238" s="38" t="n">
        <f aca="false">IF(Y2238=0,0,IF(T2238="Backlog",Q2238,Q2238*Dashboard!$C$10))</f>
        <v>0</v>
      </c>
      <c r="AA2238" s="37" t="n">
        <f aca="false">IF($N2238="",0,IF(COUNTIF(Dashboard!$C$13:$C$22,$N2238)&gt;0,1,0))</f>
        <v>0</v>
      </c>
      <c r="AB2238" s="37" t="str">
        <f aca="false">IF($N2238="","",IF(COUNTIF($N$8:$N2238,$N2238)=1,MAX($AB$7:$AB2237)+1,""))</f>
        <v/>
      </c>
    </row>
    <row r="2239" customFormat="false" ht="15" hidden="false" customHeight="false" outlineLevel="0" collapsed="false">
      <c r="L2239" s="37" t="str">
        <f aca="false">IF(INDEX($A2239:$J2239,$L$6)&lt;&gt;"",TRIM(LEFT(INDEX($A2239:$J2239,$L$6),FIND("(",INDEX($A2239:$J2239,$L$6)&amp;"(")-1)),L2238)</f>
        <v>Building Value Proposition</v>
      </c>
      <c r="M2239" s="37" t="str">
        <f aca="false">IF(INDEX($A2239:$J2239,$M$6)="","",INDEX($A2239:$J2239,$M$6)&amp;"")</f>
        <v/>
      </c>
      <c r="N2239" s="37" t="str">
        <f aca="false">IF($M2239="","",TRIM(INDEX($A2239:$J2239,$N$6)&amp;""))</f>
        <v/>
      </c>
      <c r="O2239" s="37" t="str">
        <f aca="false">IF($M2239="","",TRIM(INDEX($A2239:$J2239,$O$6)&amp;""))</f>
        <v/>
      </c>
      <c r="P2239" s="37" t="str">
        <f aca="false">IF($M2239="","",IFERROR(IF(INDEX(Settings!$B$41:$B$50,MATCH(O2239,Settings!$A$41:$A$50,0))&amp;""="","UNMAPPED",INDEX(Settings!$B$41:$B$50,MATCH(O2239,Settings!$A$41:$A$50,0))&amp;""),"UNMAPPED"))</f>
        <v/>
      </c>
      <c r="Q2239" s="38" t="n">
        <f aca="false">IF($M2239="",0,N(INDEX($A2239:$J2239,$Q$6)))</f>
        <v>0</v>
      </c>
      <c r="R2239" s="39" t="str">
        <f aca="false">IF($M2239="","",INDEX($A2239:$J2239,$R$6))</f>
        <v/>
      </c>
      <c r="S2239" s="37" t="str">
        <f aca="false">IF($M2239="","",IFERROR(INDEX(Settings!$B$27:$B$36,MATCH(L2239,Settings!$A$27:$A$36,0))&amp;"","UNMAPPED"))</f>
        <v/>
      </c>
      <c r="T2239" s="37" t="str">
        <f aca="false">IF($M2239="","",IF(NOT(ISNUMBER(R2239)),"NO DATE",IF(S2239="Won",IF(R2239&gt;Settings!$B$5,"Backlog","Delivered"),IF(S2239="Open",IF(R2239&gt;Settings!$B$5,"Pipeline","Overdue"),IF(S2239="Lost","Lost","UNMAPPED")))))</f>
        <v/>
      </c>
      <c r="U2239" s="40" t="n">
        <f aca="false">IF(T2239="Backlog",1,IF(OR(T2239="Pipeline",T2239="Overdue"),N(INDEX(Settings!$C$27:$C$36,MATCH(L2239,Settings!$A$27:$A$36,0))),0))</f>
        <v>0</v>
      </c>
      <c r="V2239" s="38" t="n">
        <f aca="false">Q2239*U2239</f>
        <v>0</v>
      </c>
      <c r="W2239" s="41" t="str">
        <f aca="false">IF($M2239="","",IF(T2239="Overdue",IF(Settings!$B$8="Yes",Settings!$B$7,""),IF(ISNUMBER(R2239),DATE(YEAR(R2239),MONTH(R2239),1),"")))</f>
        <v/>
      </c>
      <c r="X2239" s="38" t="n">
        <f aca="false">IF(AND(OR(T2239="Backlog",T2239="Pipeline",T2239="Overdue"),ISNUMBER(W2239)),IF(W2239&lt;=Settings!$B$6,V2239,0),0)</f>
        <v>0</v>
      </c>
      <c r="Y2239" s="38" t="n">
        <f aca="false">IF(AND(OR(T2239="Backlog",T2239="Pipeline",T2239="Overdue"),ISNUMBER(W2239)),IF(W2239&lt;=Settings!$B$6,Q2239,0),0)</f>
        <v>0</v>
      </c>
      <c r="Z2239" s="38" t="n">
        <f aca="false">IF(Y2239=0,0,IF(T2239="Backlog",Q2239,Q2239*Dashboard!$C$10))</f>
        <v>0</v>
      </c>
      <c r="AA2239" s="37" t="n">
        <f aca="false">IF($N2239="",0,IF(COUNTIF(Dashboard!$C$13:$C$22,$N2239)&gt;0,1,0))</f>
        <v>0</v>
      </c>
      <c r="AB2239" s="37" t="str">
        <f aca="false">IF($N2239="","",IF(COUNTIF($N$8:$N2239,$N2239)=1,MAX($AB$7:$AB2238)+1,""))</f>
        <v/>
      </c>
    </row>
    <row r="2240" customFormat="false" ht="15" hidden="false" customHeight="false" outlineLevel="0" collapsed="false">
      <c r="L2240" s="37" t="str">
        <f aca="false">IF(INDEX($A2240:$J2240,$L$6)&lt;&gt;"",TRIM(LEFT(INDEX($A2240:$J2240,$L$6),FIND("(",INDEX($A2240:$J2240,$L$6)&amp;"(")-1)),L2239)</f>
        <v>Building Value Proposition</v>
      </c>
      <c r="M2240" s="37" t="str">
        <f aca="false">IF(INDEX($A2240:$J2240,$M$6)="","",INDEX($A2240:$J2240,$M$6)&amp;"")</f>
        <v/>
      </c>
      <c r="N2240" s="37" t="str">
        <f aca="false">IF($M2240="","",TRIM(INDEX($A2240:$J2240,$N$6)&amp;""))</f>
        <v/>
      </c>
      <c r="O2240" s="37" t="str">
        <f aca="false">IF($M2240="","",TRIM(INDEX($A2240:$J2240,$O$6)&amp;""))</f>
        <v/>
      </c>
      <c r="P2240" s="37" t="str">
        <f aca="false">IF($M2240="","",IFERROR(IF(INDEX(Settings!$B$41:$B$50,MATCH(O2240,Settings!$A$41:$A$50,0))&amp;""="","UNMAPPED",INDEX(Settings!$B$41:$B$50,MATCH(O2240,Settings!$A$41:$A$50,0))&amp;""),"UNMAPPED"))</f>
        <v/>
      </c>
      <c r="Q2240" s="38" t="n">
        <f aca="false">IF($M2240="",0,N(INDEX($A2240:$J2240,$Q$6)))</f>
        <v>0</v>
      </c>
      <c r="R2240" s="39" t="str">
        <f aca="false">IF($M2240="","",INDEX($A2240:$J2240,$R$6))</f>
        <v/>
      </c>
      <c r="S2240" s="37" t="str">
        <f aca="false">IF($M2240="","",IFERROR(INDEX(Settings!$B$27:$B$36,MATCH(L2240,Settings!$A$27:$A$36,0))&amp;"","UNMAPPED"))</f>
        <v/>
      </c>
      <c r="T2240" s="37" t="str">
        <f aca="false">IF($M2240="","",IF(NOT(ISNUMBER(R2240)),"NO DATE",IF(S2240="Won",IF(R2240&gt;Settings!$B$5,"Backlog","Delivered"),IF(S2240="Open",IF(R2240&gt;Settings!$B$5,"Pipeline","Overdue"),IF(S2240="Lost","Lost","UNMAPPED")))))</f>
        <v/>
      </c>
      <c r="U2240" s="40" t="n">
        <f aca="false">IF(T2240="Backlog",1,IF(OR(T2240="Pipeline",T2240="Overdue"),N(INDEX(Settings!$C$27:$C$36,MATCH(L2240,Settings!$A$27:$A$36,0))),0))</f>
        <v>0</v>
      </c>
      <c r="V2240" s="38" t="n">
        <f aca="false">Q2240*U2240</f>
        <v>0</v>
      </c>
      <c r="W2240" s="41" t="str">
        <f aca="false">IF($M2240="","",IF(T2240="Overdue",IF(Settings!$B$8="Yes",Settings!$B$7,""),IF(ISNUMBER(R2240),DATE(YEAR(R2240),MONTH(R2240),1),"")))</f>
        <v/>
      </c>
      <c r="X2240" s="38" t="n">
        <f aca="false">IF(AND(OR(T2240="Backlog",T2240="Pipeline",T2240="Overdue"),ISNUMBER(W2240)),IF(W2240&lt;=Settings!$B$6,V2240,0),0)</f>
        <v>0</v>
      </c>
      <c r="Y2240" s="38" t="n">
        <f aca="false">IF(AND(OR(T2240="Backlog",T2240="Pipeline",T2240="Overdue"),ISNUMBER(W2240)),IF(W2240&lt;=Settings!$B$6,Q2240,0),0)</f>
        <v>0</v>
      </c>
      <c r="Z2240" s="38" t="n">
        <f aca="false">IF(Y2240=0,0,IF(T2240="Backlog",Q2240,Q2240*Dashboard!$C$10))</f>
        <v>0</v>
      </c>
      <c r="AA2240" s="37" t="n">
        <f aca="false">IF($N2240="",0,IF(COUNTIF(Dashboard!$C$13:$C$22,$N2240)&gt;0,1,0))</f>
        <v>0</v>
      </c>
      <c r="AB2240" s="37" t="str">
        <f aca="false">IF($N2240="","",IF(COUNTIF($N$8:$N2240,$N2240)=1,MAX($AB$7:$AB2239)+1,""))</f>
        <v/>
      </c>
    </row>
    <row r="2241" customFormat="false" ht="15" hidden="false" customHeight="false" outlineLevel="0" collapsed="false">
      <c r="L2241" s="37" t="str">
        <f aca="false">IF(INDEX($A2241:$J2241,$L$6)&lt;&gt;"",TRIM(LEFT(INDEX($A2241:$J2241,$L$6),FIND("(",INDEX($A2241:$J2241,$L$6)&amp;"(")-1)),L2240)</f>
        <v>Building Value Proposition</v>
      </c>
      <c r="M2241" s="37" t="str">
        <f aca="false">IF(INDEX($A2241:$J2241,$M$6)="","",INDEX($A2241:$J2241,$M$6)&amp;"")</f>
        <v/>
      </c>
      <c r="N2241" s="37" t="str">
        <f aca="false">IF($M2241="","",TRIM(INDEX($A2241:$J2241,$N$6)&amp;""))</f>
        <v/>
      </c>
      <c r="O2241" s="37" t="str">
        <f aca="false">IF($M2241="","",TRIM(INDEX($A2241:$J2241,$O$6)&amp;""))</f>
        <v/>
      </c>
      <c r="P2241" s="37" t="str">
        <f aca="false">IF($M2241="","",IFERROR(IF(INDEX(Settings!$B$41:$B$50,MATCH(O2241,Settings!$A$41:$A$50,0))&amp;""="","UNMAPPED",INDEX(Settings!$B$41:$B$50,MATCH(O2241,Settings!$A$41:$A$50,0))&amp;""),"UNMAPPED"))</f>
        <v/>
      </c>
      <c r="Q2241" s="38" t="n">
        <f aca="false">IF($M2241="",0,N(INDEX($A2241:$J2241,$Q$6)))</f>
        <v>0</v>
      </c>
      <c r="R2241" s="39" t="str">
        <f aca="false">IF($M2241="","",INDEX($A2241:$J2241,$R$6))</f>
        <v/>
      </c>
      <c r="S2241" s="37" t="str">
        <f aca="false">IF($M2241="","",IFERROR(INDEX(Settings!$B$27:$B$36,MATCH(L2241,Settings!$A$27:$A$36,0))&amp;"","UNMAPPED"))</f>
        <v/>
      </c>
      <c r="T2241" s="37" t="str">
        <f aca="false">IF($M2241="","",IF(NOT(ISNUMBER(R2241)),"NO DATE",IF(S2241="Won",IF(R2241&gt;Settings!$B$5,"Backlog","Delivered"),IF(S2241="Open",IF(R2241&gt;Settings!$B$5,"Pipeline","Overdue"),IF(S2241="Lost","Lost","UNMAPPED")))))</f>
        <v/>
      </c>
      <c r="U2241" s="40" t="n">
        <f aca="false">IF(T2241="Backlog",1,IF(OR(T2241="Pipeline",T2241="Overdue"),N(INDEX(Settings!$C$27:$C$36,MATCH(L2241,Settings!$A$27:$A$36,0))),0))</f>
        <v>0</v>
      </c>
      <c r="V2241" s="38" t="n">
        <f aca="false">Q2241*U2241</f>
        <v>0</v>
      </c>
      <c r="W2241" s="41" t="str">
        <f aca="false">IF($M2241="","",IF(T2241="Overdue",IF(Settings!$B$8="Yes",Settings!$B$7,""),IF(ISNUMBER(R2241),DATE(YEAR(R2241),MONTH(R2241),1),"")))</f>
        <v/>
      </c>
      <c r="X2241" s="38" t="n">
        <f aca="false">IF(AND(OR(T2241="Backlog",T2241="Pipeline",T2241="Overdue"),ISNUMBER(W2241)),IF(W2241&lt;=Settings!$B$6,V2241,0),0)</f>
        <v>0</v>
      </c>
      <c r="Y2241" s="38" t="n">
        <f aca="false">IF(AND(OR(T2241="Backlog",T2241="Pipeline",T2241="Overdue"),ISNUMBER(W2241)),IF(W2241&lt;=Settings!$B$6,Q2241,0),0)</f>
        <v>0</v>
      </c>
      <c r="Z2241" s="38" t="n">
        <f aca="false">IF(Y2241=0,0,IF(T2241="Backlog",Q2241,Q2241*Dashboard!$C$10))</f>
        <v>0</v>
      </c>
      <c r="AA2241" s="37" t="n">
        <f aca="false">IF($N2241="",0,IF(COUNTIF(Dashboard!$C$13:$C$22,$N2241)&gt;0,1,0))</f>
        <v>0</v>
      </c>
      <c r="AB2241" s="37" t="str">
        <f aca="false">IF($N2241="","",IF(COUNTIF($N$8:$N2241,$N2241)=1,MAX($AB$7:$AB2240)+1,""))</f>
        <v/>
      </c>
    </row>
    <row r="2242" customFormat="false" ht="15" hidden="false" customHeight="false" outlineLevel="0" collapsed="false">
      <c r="L2242" s="37" t="str">
        <f aca="false">IF(INDEX($A2242:$J2242,$L$6)&lt;&gt;"",TRIM(LEFT(INDEX($A2242:$J2242,$L$6),FIND("(",INDEX($A2242:$J2242,$L$6)&amp;"(")-1)),L2241)</f>
        <v>Building Value Proposition</v>
      </c>
      <c r="M2242" s="37" t="str">
        <f aca="false">IF(INDEX($A2242:$J2242,$M$6)="","",INDEX($A2242:$J2242,$M$6)&amp;"")</f>
        <v/>
      </c>
      <c r="N2242" s="37" t="str">
        <f aca="false">IF($M2242="","",TRIM(INDEX($A2242:$J2242,$N$6)&amp;""))</f>
        <v/>
      </c>
      <c r="O2242" s="37" t="str">
        <f aca="false">IF($M2242="","",TRIM(INDEX($A2242:$J2242,$O$6)&amp;""))</f>
        <v/>
      </c>
      <c r="P2242" s="37" t="str">
        <f aca="false">IF($M2242="","",IFERROR(IF(INDEX(Settings!$B$41:$B$50,MATCH(O2242,Settings!$A$41:$A$50,0))&amp;""="","UNMAPPED",INDEX(Settings!$B$41:$B$50,MATCH(O2242,Settings!$A$41:$A$50,0))&amp;""),"UNMAPPED"))</f>
        <v/>
      </c>
      <c r="Q2242" s="38" t="n">
        <f aca="false">IF($M2242="",0,N(INDEX($A2242:$J2242,$Q$6)))</f>
        <v>0</v>
      </c>
      <c r="R2242" s="39" t="str">
        <f aca="false">IF($M2242="","",INDEX($A2242:$J2242,$R$6))</f>
        <v/>
      </c>
      <c r="S2242" s="37" t="str">
        <f aca="false">IF($M2242="","",IFERROR(INDEX(Settings!$B$27:$B$36,MATCH(L2242,Settings!$A$27:$A$36,0))&amp;"","UNMAPPED"))</f>
        <v/>
      </c>
      <c r="T2242" s="37" t="str">
        <f aca="false">IF($M2242="","",IF(NOT(ISNUMBER(R2242)),"NO DATE",IF(S2242="Won",IF(R2242&gt;Settings!$B$5,"Backlog","Delivered"),IF(S2242="Open",IF(R2242&gt;Settings!$B$5,"Pipeline","Overdue"),IF(S2242="Lost","Lost","UNMAPPED")))))</f>
        <v/>
      </c>
      <c r="U2242" s="40" t="n">
        <f aca="false">IF(T2242="Backlog",1,IF(OR(T2242="Pipeline",T2242="Overdue"),N(INDEX(Settings!$C$27:$C$36,MATCH(L2242,Settings!$A$27:$A$36,0))),0))</f>
        <v>0</v>
      </c>
      <c r="V2242" s="38" t="n">
        <f aca="false">Q2242*U2242</f>
        <v>0</v>
      </c>
      <c r="W2242" s="41" t="str">
        <f aca="false">IF($M2242="","",IF(T2242="Overdue",IF(Settings!$B$8="Yes",Settings!$B$7,""),IF(ISNUMBER(R2242),DATE(YEAR(R2242),MONTH(R2242),1),"")))</f>
        <v/>
      </c>
      <c r="X2242" s="38" t="n">
        <f aca="false">IF(AND(OR(T2242="Backlog",T2242="Pipeline",T2242="Overdue"),ISNUMBER(W2242)),IF(W2242&lt;=Settings!$B$6,V2242,0),0)</f>
        <v>0</v>
      </c>
      <c r="Y2242" s="38" t="n">
        <f aca="false">IF(AND(OR(T2242="Backlog",T2242="Pipeline",T2242="Overdue"),ISNUMBER(W2242)),IF(W2242&lt;=Settings!$B$6,Q2242,0),0)</f>
        <v>0</v>
      </c>
      <c r="Z2242" s="38" t="n">
        <f aca="false">IF(Y2242=0,0,IF(T2242="Backlog",Q2242,Q2242*Dashboard!$C$10))</f>
        <v>0</v>
      </c>
      <c r="AA2242" s="37" t="n">
        <f aca="false">IF($N2242="",0,IF(COUNTIF(Dashboard!$C$13:$C$22,$N2242)&gt;0,1,0))</f>
        <v>0</v>
      </c>
      <c r="AB2242" s="37" t="str">
        <f aca="false">IF($N2242="","",IF(COUNTIF($N$8:$N2242,$N2242)=1,MAX($AB$7:$AB2241)+1,""))</f>
        <v/>
      </c>
    </row>
    <row r="2243" customFormat="false" ht="15" hidden="false" customHeight="false" outlineLevel="0" collapsed="false">
      <c r="L2243" s="37" t="str">
        <f aca="false">IF(INDEX($A2243:$J2243,$L$6)&lt;&gt;"",TRIM(LEFT(INDEX($A2243:$J2243,$L$6),FIND("(",INDEX($A2243:$J2243,$L$6)&amp;"(")-1)),L2242)</f>
        <v>Building Value Proposition</v>
      </c>
      <c r="M2243" s="37" t="str">
        <f aca="false">IF(INDEX($A2243:$J2243,$M$6)="","",INDEX($A2243:$J2243,$M$6)&amp;"")</f>
        <v/>
      </c>
      <c r="N2243" s="37" t="str">
        <f aca="false">IF($M2243="","",TRIM(INDEX($A2243:$J2243,$N$6)&amp;""))</f>
        <v/>
      </c>
      <c r="O2243" s="37" t="str">
        <f aca="false">IF($M2243="","",TRIM(INDEX($A2243:$J2243,$O$6)&amp;""))</f>
        <v/>
      </c>
      <c r="P2243" s="37" t="str">
        <f aca="false">IF($M2243="","",IFERROR(IF(INDEX(Settings!$B$41:$B$50,MATCH(O2243,Settings!$A$41:$A$50,0))&amp;""="","UNMAPPED",INDEX(Settings!$B$41:$B$50,MATCH(O2243,Settings!$A$41:$A$50,0))&amp;""),"UNMAPPED"))</f>
        <v/>
      </c>
      <c r="Q2243" s="38" t="n">
        <f aca="false">IF($M2243="",0,N(INDEX($A2243:$J2243,$Q$6)))</f>
        <v>0</v>
      </c>
      <c r="R2243" s="39" t="str">
        <f aca="false">IF($M2243="","",INDEX($A2243:$J2243,$R$6))</f>
        <v/>
      </c>
      <c r="S2243" s="37" t="str">
        <f aca="false">IF($M2243="","",IFERROR(INDEX(Settings!$B$27:$B$36,MATCH(L2243,Settings!$A$27:$A$36,0))&amp;"","UNMAPPED"))</f>
        <v/>
      </c>
      <c r="T2243" s="37" t="str">
        <f aca="false">IF($M2243="","",IF(NOT(ISNUMBER(R2243)),"NO DATE",IF(S2243="Won",IF(R2243&gt;Settings!$B$5,"Backlog","Delivered"),IF(S2243="Open",IF(R2243&gt;Settings!$B$5,"Pipeline","Overdue"),IF(S2243="Lost","Lost","UNMAPPED")))))</f>
        <v/>
      </c>
      <c r="U2243" s="40" t="n">
        <f aca="false">IF(T2243="Backlog",1,IF(OR(T2243="Pipeline",T2243="Overdue"),N(INDEX(Settings!$C$27:$C$36,MATCH(L2243,Settings!$A$27:$A$36,0))),0))</f>
        <v>0</v>
      </c>
      <c r="V2243" s="38" t="n">
        <f aca="false">Q2243*U2243</f>
        <v>0</v>
      </c>
      <c r="W2243" s="41" t="str">
        <f aca="false">IF($M2243="","",IF(T2243="Overdue",IF(Settings!$B$8="Yes",Settings!$B$7,""),IF(ISNUMBER(R2243),DATE(YEAR(R2243),MONTH(R2243),1),"")))</f>
        <v/>
      </c>
      <c r="X2243" s="38" t="n">
        <f aca="false">IF(AND(OR(T2243="Backlog",T2243="Pipeline",T2243="Overdue"),ISNUMBER(W2243)),IF(W2243&lt;=Settings!$B$6,V2243,0),0)</f>
        <v>0</v>
      </c>
      <c r="Y2243" s="38" t="n">
        <f aca="false">IF(AND(OR(T2243="Backlog",T2243="Pipeline",T2243="Overdue"),ISNUMBER(W2243)),IF(W2243&lt;=Settings!$B$6,Q2243,0),0)</f>
        <v>0</v>
      </c>
      <c r="Z2243" s="38" t="n">
        <f aca="false">IF(Y2243=0,0,IF(T2243="Backlog",Q2243,Q2243*Dashboard!$C$10))</f>
        <v>0</v>
      </c>
      <c r="AA2243" s="37" t="n">
        <f aca="false">IF($N2243="",0,IF(COUNTIF(Dashboard!$C$13:$C$22,$N2243)&gt;0,1,0))</f>
        <v>0</v>
      </c>
      <c r="AB2243" s="37" t="str">
        <f aca="false">IF($N2243="","",IF(COUNTIF($N$8:$N2243,$N2243)=1,MAX($AB$7:$AB2242)+1,""))</f>
        <v/>
      </c>
    </row>
    <row r="2244" customFormat="false" ht="15" hidden="false" customHeight="false" outlineLevel="0" collapsed="false">
      <c r="L2244" s="37" t="str">
        <f aca="false">IF(INDEX($A2244:$J2244,$L$6)&lt;&gt;"",TRIM(LEFT(INDEX($A2244:$J2244,$L$6),FIND("(",INDEX($A2244:$J2244,$L$6)&amp;"(")-1)),L2243)</f>
        <v>Building Value Proposition</v>
      </c>
      <c r="M2244" s="37" t="str">
        <f aca="false">IF(INDEX($A2244:$J2244,$M$6)="","",INDEX($A2244:$J2244,$M$6)&amp;"")</f>
        <v/>
      </c>
      <c r="N2244" s="37" t="str">
        <f aca="false">IF($M2244="","",TRIM(INDEX($A2244:$J2244,$N$6)&amp;""))</f>
        <v/>
      </c>
      <c r="O2244" s="37" t="str">
        <f aca="false">IF($M2244="","",TRIM(INDEX($A2244:$J2244,$O$6)&amp;""))</f>
        <v/>
      </c>
      <c r="P2244" s="37" t="str">
        <f aca="false">IF($M2244="","",IFERROR(IF(INDEX(Settings!$B$41:$B$50,MATCH(O2244,Settings!$A$41:$A$50,0))&amp;""="","UNMAPPED",INDEX(Settings!$B$41:$B$50,MATCH(O2244,Settings!$A$41:$A$50,0))&amp;""),"UNMAPPED"))</f>
        <v/>
      </c>
      <c r="Q2244" s="38" t="n">
        <f aca="false">IF($M2244="",0,N(INDEX($A2244:$J2244,$Q$6)))</f>
        <v>0</v>
      </c>
      <c r="R2244" s="39" t="str">
        <f aca="false">IF($M2244="","",INDEX($A2244:$J2244,$R$6))</f>
        <v/>
      </c>
      <c r="S2244" s="37" t="str">
        <f aca="false">IF($M2244="","",IFERROR(INDEX(Settings!$B$27:$B$36,MATCH(L2244,Settings!$A$27:$A$36,0))&amp;"","UNMAPPED"))</f>
        <v/>
      </c>
      <c r="T2244" s="37" t="str">
        <f aca="false">IF($M2244="","",IF(NOT(ISNUMBER(R2244)),"NO DATE",IF(S2244="Won",IF(R2244&gt;Settings!$B$5,"Backlog","Delivered"),IF(S2244="Open",IF(R2244&gt;Settings!$B$5,"Pipeline","Overdue"),IF(S2244="Lost","Lost","UNMAPPED")))))</f>
        <v/>
      </c>
      <c r="U2244" s="40" t="n">
        <f aca="false">IF(T2244="Backlog",1,IF(OR(T2244="Pipeline",T2244="Overdue"),N(INDEX(Settings!$C$27:$C$36,MATCH(L2244,Settings!$A$27:$A$36,0))),0))</f>
        <v>0</v>
      </c>
      <c r="V2244" s="38" t="n">
        <f aca="false">Q2244*U2244</f>
        <v>0</v>
      </c>
      <c r="W2244" s="41" t="str">
        <f aca="false">IF($M2244="","",IF(T2244="Overdue",IF(Settings!$B$8="Yes",Settings!$B$7,""),IF(ISNUMBER(R2244),DATE(YEAR(R2244),MONTH(R2244),1),"")))</f>
        <v/>
      </c>
      <c r="X2244" s="38" t="n">
        <f aca="false">IF(AND(OR(T2244="Backlog",T2244="Pipeline",T2244="Overdue"),ISNUMBER(W2244)),IF(W2244&lt;=Settings!$B$6,V2244,0),0)</f>
        <v>0</v>
      </c>
      <c r="Y2244" s="38" t="n">
        <f aca="false">IF(AND(OR(T2244="Backlog",T2244="Pipeline",T2244="Overdue"),ISNUMBER(W2244)),IF(W2244&lt;=Settings!$B$6,Q2244,0),0)</f>
        <v>0</v>
      </c>
      <c r="Z2244" s="38" t="n">
        <f aca="false">IF(Y2244=0,0,IF(T2244="Backlog",Q2244,Q2244*Dashboard!$C$10))</f>
        <v>0</v>
      </c>
      <c r="AA2244" s="37" t="n">
        <f aca="false">IF($N2244="",0,IF(COUNTIF(Dashboard!$C$13:$C$22,$N2244)&gt;0,1,0))</f>
        <v>0</v>
      </c>
      <c r="AB2244" s="37" t="str">
        <f aca="false">IF($N2244="","",IF(COUNTIF($N$8:$N2244,$N2244)=1,MAX($AB$7:$AB2243)+1,""))</f>
        <v/>
      </c>
    </row>
    <row r="2245" customFormat="false" ht="15" hidden="false" customHeight="false" outlineLevel="0" collapsed="false">
      <c r="L2245" s="37" t="str">
        <f aca="false">IF(INDEX($A2245:$J2245,$L$6)&lt;&gt;"",TRIM(LEFT(INDEX($A2245:$J2245,$L$6),FIND("(",INDEX($A2245:$J2245,$L$6)&amp;"(")-1)),L2244)</f>
        <v>Building Value Proposition</v>
      </c>
      <c r="M2245" s="37" t="str">
        <f aca="false">IF(INDEX($A2245:$J2245,$M$6)="","",INDEX($A2245:$J2245,$M$6)&amp;"")</f>
        <v/>
      </c>
      <c r="N2245" s="37" t="str">
        <f aca="false">IF($M2245="","",TRIM(INDEX($A2245:$J2245,$N$6)&amp;""))</f>
        <v/>
      </c>
      <c r="O2245" s="37" t="str">
        <f aca="false">IF($M2245="","",TRIM(INDEX($A2245:$J2245,$O$6)&amp;""))</f>
        <v/>
      </c>
      <c r="P2245" s="37" t="str">
        <f aca="false">IF($M2245="","",IFERROR(IF(INDEX(Settings!$B$41:$B$50,MATCH(O2245,Settings!$A$41:$A$50,0))&amp;""="","UNMAPPED",INDEX(Settings!$B$41:$B$50,MATCH(O2245,Settings!$A$41:$A$50,0))&amp;""),"UNMAPPED"))</f>
        <v/>
      </c>
      <c r="Q2245" s="38" t="n">
        <f aca="false">IF($M2245="",0,N(INDEX($A2245:$J2245,$Q$6)))</f>
        <v>0</v>
      </c>
      <c r="R2245" s="39" t="str">
        <f aca="false">IF($M2245="","",INDEX($A2245:$J2245,$R$6))</f>
        <v/>
      </c>
      <c r="S2245" s="37" t="str">
        <f aca="false">IF($M2245="","",IFERROR(INDEX(Settings!$B$27:$B$36,MATCH(L2245,Settings!$A$27:$A$36,0))&amp;"","UNMAPPED"))</f>
        <v/>
      </c>
      <c r="T2245" s="37" t="str">
        <f aca="false">IF($M2245="","",IF(NOT(ISNUMBER(R2245)),"NO DATE",IF(S2245="Won",IF(R2245&gt;Settings!$B$5,"Backlog","Delivered"),IF(S2245="Open",IF(R2245&gt;Settings!$B$5,"Pipeline","Overdue"),IF(S2245="Lost","Lost","UNMAPPED")))))</f>
        <v/>
      </c>
      <c r="U2245" s="40" t="n">
        <f aca="false">IF(T2245="Backlog",1,IF(OR(T2245="Pipeline",T2245="Overdue"),N(INDEX(Settings!$C$27:$C$36,MATCH(L2245,Settings!$A$27:$A$36,0))),0))</f>
        <v>0</v>
      </c>
      <c r="V2245" s="38" t="n">
        <f aca="false">Q2245*U2245</f>
        <v>0</v>
      </c>
      <c r="W2245" s="41" t="str">
        <f aca="false">IF($M2245="","",IF(T2245="Overdue",IF(Settings!$B$8="Yes",Settings!$B$7,""),IF(ISNUMBER(R2245),DATE(YEAR(R2245),MONTH(R2245),1),"")))</f>
        <v/>
      </c>
      <c r="X2245" s="38" t="n">
        <f aca="false">IF(AND(OR(T2245="Backlog",T2245="Pipeline",T2245="Overdue"),ISNUMBER(W2245)),IF(W2245&lt;=Settings!$B$6,V2245,0),0)</f>
        <v>0</v>
      </c>
      <c r="Y2245" s="38" t="n">
        <f aca="false">IF(AND(OR(T2245="Backlog",T2245="Pipeline",T2245="Overdue"),ISNUMBER(W2245)),IF(W2245&lt;=Settings!$B$6,Q2245,0),0)</f>
        <v>0</v>
      </c>
      <c r="Z2245" s="38" t="n">
        <f aca="false">IF(Y2245=0,0,IF(T2245="Backlog",Q2245,Q2245*Dashboard!$C$10))</f>
        <v>0</v>
      </c>
      <c r="AA2245" s="37" t="n">
        <f aca="false">IF($N2245="",0,IF(COUNTIF(Dashboard!$C$13:$C$22,$N2245)&gt;0,1,0))</f>
        <v>0</v>
      </c>
      <c r="AB2245" s="37" t="str">
        <f aca="false">IF($N2245="","",IF(COUNTIF($N$8:$N2245,$N2245)=1,MAX($AB$7:$AB2244)+1,""))</f>
        <v/>
      </c>
    </row>
    <row r="2246" customFormat="false" ht="15" hidden="false" customHeight="false" outlineLevel="0" collapsed="false">
      <c r="L2246" s="37" t="str">
        <f aca="false">IF(INDEX($A2246:$J2246,$L$6)&lt;&gt;"",TRIM(LEFT(INDEX($A2246:$J2246,$L$6),FIND("(",INDEX($A2246:$J2246,$L$6)&amp;"(")-1)),L2245)</f>
        <v>Building Value Proposition</v>
      </c>
      <c r="M2246" s="37" t="str">
        <f aca="false">IF(INDEX($A2246:$J2246,$M$6)="","",INDEX($A2246:$J2246,$M$6)&amp;"")</f>
        <v/>
      </c>
      <c r="N2246" s="37" t="str">
        <f aca="false">IF($M2246="","",TRIM(INDEX($A2246:$J2246,$N$6)&amp;""))</f>
        <v/>
      </c>
      <c r="O2246" s="37" t="str">
        <f aca="false">IF($M2246="","",TRIM(INDEX($A2246:$J2246,$O$6)&amp;""))</f>
        <v/>
      </c>
      <c r="P2246" s="37" t="str">
        <f aca="false">IF($M2246="","",IFERROR(IF(INDEX(Settings!$B$41:$B$50,MATCH(O2246,Settings!$A$41:$A$50,0))&amp;""="","UNMAPPED",INDEX(Settings!$B$41:$B$50,MATCH(O2246,Settings!$A$41:$A$50,0))&amp;""),"UNMAPPED"))</f>
        <v/>
      </c>
      <c r="Q2246" s="38" t="n">
        <f aca="false">IF($M2246="",0,N(INDEX($A2246:$J2246,$Q$6)))</f>
        <v>0</v>
      </c>
      <c r="R2246" s="39" t="str">
        <f aca="false">IF($M2246="","",INDEX($A2246:$J2246,$R$6))</f>
        <v/>
      </c>
      <c r="S2246" s="37" t="str">
        <f aca="false">IF($M2246="","",IFERROR(INDEX(Settings!$B$27:$B$36,MATCH(L2246,Settings!$A$27:$A$36,0))&amp;"","UNMAPPED"))</f>
        <v/>
      </c>
      <c r="T2246" s="37" t="str">
        <f aca="false">IF($M2246="","",IF(NOT(ISNUMBER(R2246)),"NO DATE",IF(S2246="Won",IF(R2246&gt;Settings!$B$5,"Backlog","Delivered"),IF(S2246="Open",IF(R2246&gt;Settings!$B$5,"Pipeline","Overdue"),IF(S2246="Lost","Lost","UNMAPPED")))))</f>
        <v/>
      </c>
      <c r="U2246" s="40" t="n">
        <f aca="false">IF(T2246="Backlog",1,IF(OR(T2246="Pipeline",T2246="Overdue"),N(INDEX(Settings!$C$27:$C$36,MATCH(L2246,Settings!$A$27:$A$36,0))),0))</f>
        <v>0</v>
      </c>
      <c r="V2246" s="38" t="n">
        <f aca="false">Q2246*U2246</f>
        <v>0</v>
      </c>
      <c r="W2246" s="41" t="str">
        <f aca="false">IF($M2246="","",IF(T2246="Overdue",IF(Settings!$B$8="Yes",Settings!$B$7,""),IF(ISNUMBER(R2246),DATE(YEAR(R2246),MONTH(R2246),1),"")))</f>
        <v/>
      </c>
      <c r="X2246" s="38" t="n">
        <f aca="false">IF(AND(OR(T2246="Backlog",T2246="Pipeline",T2246="Overdue"),ISNUMBER(W2246)),IF(W2246&lt;=Settings!$B$6,V2246,0),0)</f>
        <v>0</v>
      </c>
      <c r="Y2246" s="38" t="n">
        <f aca="false">IF(AND(OR(T2246="Backlog",T2246="Pipeline",T2246="Overdue"),ISNUMBER(W2246)),IF(W2246&lt;=Settings!$B$6,Q2246,0),0)</f>
        <v>0</v>
      </c>
      <c r="Z2246" s="38" t="n">
        <f aca="false">IF(Y2246=0,0,IF(T2246="Backlog",Q2246,Q2246*Dashboard!$C$10))</f>
        <v>0</v>
      </c>
      <c r="AA2246" s="37" t="n">
        <f aca="false">IF($N2246="",0,IF(COUNTIF(Dashboard!$C$13:$C$22,$N2246)&gt;0,1,0))</f>
        <v>0</v>
      </c>
      <c r="AB2246" s="37" t="str">
        <f aca="false">IF($N2246="","",IF(COUNTIF($N$8:$N2246,$N2246)=1,MAX($AB$7:$AB2245)+1,""))</f>
        <v/>
      </c>
    </row>
    <row r="2247" customFormat="false" ht="15" hidden="false" customHeight="false" outlineLevel="0" collapsed="false">
      <c r="L2247" s="37" t="str">
        <f aca="false">IF(INDEX($A2247:$J2247,$L$6)&lt;&gt;"",TRIM(LEFT(INDEX($A2247:$J2247,$L$6),FIND("(",INDEX($A2247:$J2247,$L$6)&amp;"(")-1)),L2246)</f>
        <v>Building Value Proposition</v>
      </c>
      <c r="M2247" s="37" t="str">
        <f aca="false">IF(INDEX($A2247:$J2247,$M$6)="","",INDEX($A2247:$J2247,$M$6)&amp;"")</f>
        <v/>
      </c>
      <c r="N2247" s="37" t="str">
        <f aca="false">IF($M2247="","",TRIM(INDEX($A2247:$J2247,$N$6)&amp;""))</f>
        <v/>
      </c>
      <c r="O2247" s="37" t="str">
        <f aca="false">IF($M2247="","",TRIM(INDEX($A2247:$J2247,$O$6)&amp;""))</f>
        <v/>
      </c>
      <c r="P2247" s="37" t="str">
        <f aca="false">IF($M2247="","",IFERROR(IF(INDEX(Settings!$B$41:$B$50,MATCH(O2247,Settings!$A$41:$A$50,0))&amp;""="","UNMAPPED",INDEX(Settings!$B$41:$B$50,MATCH(O2247,Settings!$A$41:$A$50,0))&amp;""),"UNMAPPED"))</f>
        <v/>
      </c>
      <c r="Q2247" s="38" t="n">
        <f aca="false">IF($M2247="",0,N(INDEX($A2247:$J2247,$Q$6)))</f>
        <v>0</v>
      </c>
      <c r="R2247" s="39" t="str">
        <f aca="false">IF($M2247="","",INDEX($A2247:$J2247,$R$6))</f>
        <v/>
      </c>
      <c r="S2247" s="37" t="str">
        <f aca="false">IF($M2247="","",IFERROR(INDEX(Settings!$B$27:$B$36,MATCH(L2247,Settings!$A$27:$A$36,0))&amp;"","UNMAPPED"))</f>
        <v/>
      </c>
      <c r="T2247" s="37" t="str">
        <f aca="false">IF($M2247="","",IF(NOT(ISNUMBER(R2247)),"NO DATE",IF(S2247="Won",IF(R2247&gt;Settings!$B$5,"Backlog","Delivered"),IF(S2247="Open",IF(R2247&gt;Settings!$B$5,"Pipeline","Overdue"),IF(S2247="Lost","Lost","UNMAPPED")))))</f>
        <v/>
      </c>
      <c r="U2247" s="40" t="n">
        <f aca="false">IF(T2247="Backlog",1,IF(OR(T2247="Pipeline",T2247="Overdue"),N(INDEX(Settings!$C$27:$C$36,MATCH(L2247,Settings!$A$27:$A$36,0))),0))</f>
        <v>0</v>
      </c>
      <c r="V2247" s="38" t="n">
        <f aca="false">Q2247*U2247</f>
        <v>0</v>
      </c>
      <c r="W2247" s="41" t="str">
        <f aca="false">IF($M2247="","",IF(T2247="Overdue",IF(Settings!$B$8="Yes",Settings!$B$7,""),IF(ISNUMBER(R2247),DATE(YEAR(R2247),MONTH(R2247),1),"")))</f>
        <v/>
      </c>
      <c r="X2247" s="38" t="n">
        <f aca="false">IF(AND(OR(T2247="Backlog",T2247="Pipeline",T2247="Overdue"),ISNUMBER(W2247)),IF(W2247&lt;=Settings!$B$6,V2247,0),0)</f>
        <v>0</v>
      </c>
      <c r="Y2247" s="38" t="n">
        <f aca="false">IF(AND(OR(T2247="Backlog",T2247="Pipeline",T2247="Overdue"),ISNUMBER(W2247)),IF(W2247&lt;=Settings!$B$6,Q2247,0),0)</f>
        <v>0</v>
      </c>
      <c r="Z2247" s="38" t="n">
        <f aca="false">IF(Y2247=0,0,IF(T2247="Backlog",Q2247,Q2247*Dashboard!$C$10))</f>
        <v>0</v>
      </c>
      <c r="AA2247" s="37" t="n">
        <f aca="false">IF($N2247="",0,IF(COUNTIF(Dashboard!$C$13:$C$22,$N2247)&gt;0,1,0))</f>
        <v>0</v>
      </c>
      <c r="AB2247" s="37" t="str">
        <f aca="false">IF($N2247="","",IF(COUNTIF($N$8:$N2247,$N2247)=1,MAX($AB$7:$AB2246)+1,""))</f>
        <v/>
      </c>
    </row>
    <row r="2248" customFormat="false" ht="15" hidden="false" customHeight="false" outlineLevel="0" collapsed="false">
      <c r="L2248" s="37" t="str">
        <f aca="false">IF(INDEX($A2248:$J2248,$L$6)&lt;&gt;"",TRIM(LEFT(INDEX($A2248:$J2248,$L$6),FIND("(",INDEX($A2248:$J2248,$L$6)&amp;"(")-1)),L2247)</f>
        <v>Building Value Proposition</v>
      </c>
      <c r="M2248" s="37" t="str">
        <f aca="false">IF(INDEX($A2248:$J2248,$M$6)="","",INDEX($A2248:$J2248,$M$6)&amp;"")</f>
        <v/>
      </c>
      <c r="N2248" s="37" t="str">
        <f aca="false">IF($M2248="","",TRIM(INDEX($A2248:$J2248,$N$6)&amp;""))</f>
        <v/>
      </c>
      <c r="O2248" s="37" t="str">
        <f aca="false">IF($M2248="","",TRIM(INDEX($A2248:$J2248,$O$6)&amp;""))</f>
        <v/>
      </c>
      <c r="P2248" s="37" t="str">
        <f aca="false">IF($M2248="","",IFERROR(IF(INDEX(Settings!$B$41:$B$50,MATCH(O2248,Settings!$A$41:$A$50,0))&amp;""="","UNMAPPED",INDEX(Settings!$B$41:$B$50,MATCH(O2248,Settings!$A$41:$A$50,0))&amp;""),"UNMAPPED"))</f>
        <v/>
      </c>
      <c r="Q2248" s="38" t="n">
        <f aca="false">IF($M2248="",0,N(INDEX($A2248:$J2248,$Q$6)))</f>
        <v>0</v>
      </c>
      <c r="R2248" s="39" t="str">
        <f aca="false">IF($M2248="","",INDEX($A2248:$J2248,$R$6))</f>
        <v/>
      </c>
      <c r="S2248" s="37" t="str">
        <f aca="false">IF($M2248="","",IFERROR(INDEX(Settings!$B$27:$B$36,MATCH(L2248,Settings!$A$27:$A$36,0))&amp;"","UNMAPPED"))</f>
        <v/>
      </c>
      <c r="T2248" s="37" t="str">
        <f aca="false">IF($M2248="","",IF(NOT(ISNUMBER(R2248)),"NO DATE",IF(S2248="Won",IF(R2248&gt;Settings!$B$5,"Backlog","Delivered"),IF(S2248="Open",IF(R2248&gt;Settings!$B$5,"Pipeline","Overdue"),IF(S2248="Lost","Lost","UNMAPPED")))))</f>
        <v/>
      </c>
      <c r="U2248" s="40" t="n">
        <f aca="false">IF(T2248="Backlog",1,IF(OR(T2248="Pipeline",T2248="Overdue"),N(INDEX(Settings!$C$27:$C$36,MATCH(L2248,Settings!$A$27:$A$36,0))),0))</f>
        <v>0</v>
      </c>
      <c r="V2248" s="38" t="n">
        <f aca="false">Q2248*U2248</f>
        <v>0</v>
      </c>
      <c r="W2248" s="41" t="str">
        <f aca="false">IF($M2248="","",IF(T2248="Overdue",IF(Settings!$B$8="Yes",Settings!$B$7,""),IF(ISNUMBER(R2248),DATE(YEAR(R2248),MONTH(R2248),1),"")))</f>
        <v/>
      </c>
      <c r="X2248" s="38" t="n">
        <f aca="false">IF(AND(OR(T2248="Backlog",T2248="Pipeline",T2248="Overdue"),ISNUMBER(W2248)),IF(W2248&lt;=Settings!$B$6,V2248,0),0)</f>
        <v>0</v>
      </c>
      <c r="Y2248" s="38" t="n">
        <f aca="false">IF(AND(OR(T2248="Backlog",T2248="Pipeline",T2248="Overdue"),ISNUMBER(W2248)),IF(W2248&lt;=Settings!$B$6,Q2248,0),0)</f>
        <v>0</v>
      </c>
      <c r="Z2248" s="38" t="n">
        <f aca="false">IF(Y2248=0,0,IF(T2248="Backlog",Q2248,Q2248*Dashboard!$C$10))</f>
        <v>0</v>
      </c>
      <c r="AA2248" s="37" t="n">
        <f aca="false">IF($N2248="",0,IF(COUNTIF(Dashboard!$C$13:$C$22,$N2248)&gt;0,1,0))</f>
        <v>0</v>
      </c>
      <c r="AB2248" s="37" t="str">
        <f aca="false">IF($N2248="","",IF(COUNTIF($N$8:$N2248,$N2248)=1,MAX($AB$7:$AB2247)+1,""))</f>
        <v/>
      </c>
    </row>
    <row r="2249" customFormat="false" ht="15" hidden="false" customHeight="false" outlineLevel="0" collapsed="false">
      <c r="L2249" s="37" t="str">
        <f aca="false">IF(INDEX($A2249:$J2249,$L$6)&lt;&gt;"",TRIM(LEFT(INDEX($A2249:$J2249,$L$6),FIND("(",INDEX($A2249:$J2249,$L$6)&amp;"(")-1)),L2248)</f>
        <v>Building Value Proposition</v>
      </c>
      <c r="M2249" s="37" t="str">
        <f aca="false">IF(INDEX($A2249:$J2249,$M$6)="","",INDEX($A2249:$J2249,$M$6)&amp;"")</f>
        <v/>
      </c>
      <c r="N2249" s="37" t="str">
        <f aca="false">IF($M2249="","",TRIM(INDEX($A2249:$J2249,$N$6)&amp;""))</f>
        <v/>
      </c>
      <c r="O2249" s="37" t="str">
        <f aca="false">IF($M2249="","",TRIM(INDEX($A2249:$J2249,$O$6)&amp;""))</f>
        <v/>
      </c>
      <c r="P2249" s="37" t="str">
        <f aca="false">IF($M2249="","",IFERROR(IF(INDEX(Settings!$B$41:$B$50,MATCH(O2249,Settings!$A$41:$A$50,0))&amp;""="","UNMAPPED",INDEX(Settings!$B$41:$B$50,MATCH(O2249,Settings!$A$41:$A$50,0))&amp;""),"UNMAPPED"))</f>
        <v/>
      </c>
      <c r="Q2249" s="38" t="n">
        <f aca="false">IF($M2249="",0,N(INDEX($A2249:$J2249,$Q$6)))</f>
        <v>0</v>
      </c>
      <c r="R2249" s="39" t="str">
        <f aca="false">IF($M2249="","",INDEX($A2249:$J2249,$R$6))</f>
        <v/>
      </c>
      <c r="S2249" s="37" t="str">
        <f aca="false">IF($M2249="","",IFERROR(INDEX(Settings!$B$27:$B$36,MATCH(L2249,Settings!$A$27:$A$36,0))&amp;"","UNMAPPED"))</f>
        <v/>
      </c>
      <c r="T2249" s="37" t="str">
        <f aca="false">IF($M2249="","",IF(NOT(ISNUMBER(R2249)),"NO DATE",IF(S2249="Won",IF(R2249&gt;Settings!$B$5,"Backlog","Delivered"),IF(S2249="Open",IF(R2249&gt;Settings!$B$5,"Pipeline","Overdue"),IF(S2249="Lost","Lost","UNMAPPED")))))</f>
        <v/>
      </c>
      <c r="U2249" s="40" t="n">
        <f aca="false">IF(T2249="Backlog",1,IF(OR(T2249="Pipeline",T2249="Overdue"),N(INDEX(Settings!$C$27:$C$36,MATCH(L2249,Settings!$A$27:$A$36,0))),0))</f>
        <v>0</v>
      </c>
      <c r="V2249" s="38" t="n">
        <f aca="false">Q2249*U2249</f>
        <v>0</v>
      </c>
      <c r="W2249" s="41" t="str">
        <f aca="false">IF($M2249="","",IF(T2249="Overdue",IF(Settings!$B$8="Yes",Settings!$B$7,""),IF(ISNUMBER(R2249),DATE(YEAR(R2249),MONTH(R2249),1),"")))</f>
        <v/>
      </c>
      <c r="X2249" s="38" t="n">
        <f aca="false">IF(AND(OR(T2249="Backlog",T2249="Pipeline",T2249="Overdue"),ISNUMBER(W2249)),IF(W2249&lt;=Settings!$B$6,V2249,0),0)</f>
        <v>0</v>
      </c>
      <c r="Y2249" s="38" t="n">
        <f aca="false">IF(AND(OR(T2249="Backlog",T2249="Pipeline",T2249="Overdue"),ISNUMBER(W2249)),IF(W2249&lt;=Settings!$B$6,Q2249,0),0)</f>
        <v>0</v>
      </c>
      <c r="Z2249" s="38" t="n">
        <f aca="false">IF(Y2249=0,0,IF(T2249="Backlog",Q2249,Q2249*Dashboard!$C$10))</f>
        <v>0</v>
      </c>
      <c r="AA2249" s="37" t="n">
        <f aca="false">IF($N2249="",0,IF(COUNTIF(Dashboard!$C$13:$C$22,$N2249)&gt;0,1,0))</f>
        <v>0</v>
      </c>
      <c r="AB2249" s="37" t="str">
        <f aca="false">IF($N2249="","",IF(COUNTIF($N$8:$N2249,$N2249)=1,MAX($AB$7:$AB2248)+1,""))</f>
        <v/>
      </c>
    </row>
    <row r="2250" customFormat="false" ht="15" hidden="false" customHeight="false" outlineLevel="0" collapsed="false">
      <c r="L2250" s="37" t="str">
        <f aca="false">IF(INDEX($A2250:$J2250,$L$6)&lt;&gt;"",TRIM(LEFT(INDEX($A2250:$J2250,$L$6),FIND("(",INDEX($A2250:$J2250,$L$6)&amp;"(")-1)),L2249)</f>
        <v>Building Value Proposition</v>
      </c>
      <c r="M2250" s="37" t="str">
        <f aca="false">IF(INDEX($A2250:$J2250,$M$6)="","",INDEX($A2250:$J2250,$M$6)&amp;"")</f>
        <v/>
      </c>
      <c r="N2250" s="37" t="str">
        <f aca="false">IF($M2250="","",TRIM(INDEX($A2250:$J2250,$N$6)&amp;""))</f>
        <v/>
      </c>
      <c r="O2250" s="37" t="str">
        <f aca="false">IF($M2250="","",TRIM(INDEX($A2250:$J2250,$O$6)&amp;""))</f>
        <v/>
      </c>
      <c r="P2250" s="37" t="str">
        <f aca="false">IF($M2250="","",IFERROR(IF(INDEX(Settings!$B$41:$B$50,MATCH(O2250,Settings!$A$41:$A$50,0))&amp;""="","UNMAPPED",INDEX(Settings!$B$41:$B$50,MATCH(O2250,Settings!$A$41:$A$50,0))&amp;""),"UNMAPPED"))</f>
        <v/>
      </c>
      <c r="Q2250" s="38" t="n">
        <f aca="false">IF($M2250="",0,N(INDEX($A2250:$J2250,$Q$6)))</f>
        <v>0</v>
      </c>
      <c r="R2250" s="39" t="str">
        <f aca="false">IF($M2250="","",INDEX($A2250:$J2250,$R$6))</f>
        <v/>
      </c>
      <c r="S2250" s="37" t="str">
        <f aca="false">IF($M2250="","",IFERROR(INDEX(Settings!$B$27:$B$36,MATCH(L2250,Settings!$A$27:$A$36,0))&amp;"","UNMAPPED"))</f>
        <v/>
      </c>
      <c r="T2250" s="37" t="str">
        <f aca="false">IF($M2250="","",IF(NOT(ISNUMBER(R2250)),"NO DATE",IF(S2250="Won",IF(R2250&gt;Settings!$B$5,"Backlog","Delivered"),IF(S2250="Open",IF(R2250&gt;Settings!$B$5,"Pipeline","Overdue"),IF(S2250="Lost","Lost","UNMAPPED")))))</f>
        <v/>
      </c>
      <c r="U2250" s="40" t="n">
        <f aca="false">IF(T2250="Backlog",1,IF(OR(T2250="Pipeline",T2250="Overdue"),N(INDEX(Settings!$C$27:$C$36,MATCH(L2250,Settings!$A$27:$A$36,0))),0))</f>
        <v>0</v>
      </c>
      <c r="V2250" s="38" t="n">
        <f aca="false">Q2250*U2250</f>
        <v>0</v>
      </c>
      <c r="W2250" s="41" t="str">
        <f aca="false">IF($M2250="","",IF(T2250="Overdue",IF(Settings!$B$8="Yes",Settings!$B$7,""),IF(ISNUMBER(R2250),DATE(YEAR(R2250),MONTH(R2250),1),"")))</f>
        <v/>
      </c>
      <c r="X2250" s="38" t="n">
        <f aca="false">IF(AND(OR(T2250="Backlog",T2250="Pipeline",T2250="Overdue"),ISNUMBER(W2250)),IF(W2250&lt;=Settings!$B$6,V2250,0),0)</f>
        <v>0</v>
      </c>
      <c r="Y2250" s="38" t="n">
        <f aca="false">IF(AND(OR(T2250="Backlog",T2250="Pipeline",T2250="Overdue"),ISNUMBER(W2250)),IF(W2250&lt;=Settings!$B$6,Q2250,0),0)</f>
        <v>0</v>
      </c>
      <c r="Z2250" s="38" t="n">
        <f aca="false">IF(Y2250=0,0,IF(T2250="Backlog",Q2250,Q2250*Dashboard!$C$10))</f>
        <v>0</v>
      </c>
      <c r="AA2250" s="37" t="n">
        <f aca="false">IF($N2250="",0,IF(COUNTIF(Dashboard!$C$13:$C$22,$N2250)&gt;0,1,0))</f>
        <v>0</v>
      </c>
      <c r="AB2250" s="37" t="str">
        <f aca="false">IF($N2250="","",IF(COUNTIF($N$8:$N2250,$N2250)=1,MAX($AB$7:$AB2249)+1,""))</f>
        <v/>
      </c>
    </row>
    <row r="2251" customFormat="false" ht="15" hidden="false" customHeight="false" outlineLevel="0" collapsed="false">
      <c r="L2251" s="37" t="str">
        <f aca="false">IF(INDEX($A2251:$J2251,$L$6)&lt;&gt;"",TRIM(LEFT(INDEX($A2251:$J2251,$L$6),FIND("(",INDEX($A2251:$J2251,$L$6)&amp;"(")-1)),L2250)</f>
        <v>Building Value Proposition</v>
      </c>
      <c r="M2251" s="37" t="str">
        <f aca="false">IF(INDEX($A2251:$J2251,$M$6)="","",INDEX($A2251:$J2251,$M$6)&amp;"")</f>
        <v/>
      </c>
      <c r="N2251" s="37" t="str">
        <f aca="false">IF($M2251="","",TRIM(INDEX($A2251:$J2251,$N$6)&amp;""))</f>
        <v/>
      </c>
      <c r="O2251" s="37" t="str">
        <f aca="false">IF($M2251="","",TRIM(INDEX($A2251:$J2251,$O$6)&amp;""))</f>
        <v/>
      </c>
      <c r="P2251" s="37" t="str">
        <f aca="false">IF($M2251="","",IFERROR(IF(INDEX(Settings!$B$41:$B$50,MATCH(O2251,Settings!$A$41:$A$50,0))&amp;""="","UNMAPPED",INDEX(Settings!$B$41:$B$50,MATCH(O2251,Settings!$A$41:$A$50,0))&amp;""),"UNMAPPED"))</f>
        <v/>
      </c>
      <c r="Q2251" s="38" t="n">
        <f aca="false">IF($M2251="",0,N(INDEX($A2251:$J2251,$Q$6)))</f>
        <v>0</v>
      </c>
      <c r="R2251" s="39" t="str">
        <f aca="false">IF($M2251="","",INDEX($A2251:$J2251,$R$6))</f>
        <v/>
      </c>
      <c r="S2251" s="37" t="str">
        <f aca="false">IF($M2251="","",IFERROR(INDEX(Settings!$B$27:$B$36,MATCH(L2251,Settings!$A$27:$A$36,0))&amp;"","UNMAPPED"))</f>
        <v/>
      </c>
      <c r="T2251" s="37" t="str">
        <f aca="false">IF($M2251="","",IF(NOT(ISNUMBER(R2251)),"NO DATE",IF(S2251="Won",IF(R2251&gt;Settings!$B$5,"Backlog","Delivered"),IF(S2251="Open",IF(R2251&gt;Settings!$B$5,"Pipeline","Overdue"),IF(S2251="Lost","Lost","UNMAPPED")))))</f>
        <v/>
      </c>
      <c r="U2251" s="40" t="n">
        <f aca="false">IF(T2251="Backlog",1,IF(OR(T2251="Pipeline",T2251="Overdue"),N(INDEX(Settings!$C$27:$C$36,MATCH(L2251,Settings!$A$27:$A$36,0))),0))</f>
        <v>0</v>
      </c>
      <c r="V2251" s="38" t="n">
        <f aca="false">Q2251*U2251</f>
        <v>0</v>
      </c>
      <c r="W2251" s="41" t="str">
        <f aca="false">IF($M2251="","",IF(T2251="Overdue",IF(Settings!$B$8="Yes",Settings!$B$7,""),IF(ISNUMBER(R2251),DATE(YEAR(R2251),MONTH(R2251),1),"")))</f>
        <v/>
      </c>
      <c r="X2251" s="38" t="n">
        <f aca="false">IF(AND(OR(T2251="Backlog",T2251="Pipeline",T2251="Overdue"),ISNUMBER(W2251)),IF(W2251&lt;=Settings!$B$6,V2251,0),0)</f>
        <v>0</v>
      </c>
      <c r="Y2251" s="38" t="n">
        <f aca="false">IF(AND(OR(T2251="Backlog",T2251="Pipeline",T2251="Overdue"),ISNUMBER(W2251)),IF(W2251&lt;=Settings!$B$6,Q2251,0),0)</f>
        <v>0</v>
      </c>
      <c r="Z2251" s="38" t="n">
        <f aca="false">IF(Y2251=0,0,IF(T2251="Backlog",Q2251,Q2251*Dashboard!$C$10))</f>
        <v>0</v>
      </c>
      <c r="AA2251" s="37" t="n">
        <f aca="false">IF($N2251="",0,IF(COUNTIF(Dashboard!$C$13:$C$22,$N2251)&gt;0,1,0))</f>
        <v>0</v>
      </c>
      <c r="AB2251" s="37" t="str">
        <f aca="false">IF($N2251="","",IF(COUNTIF($N$8:$N2251,$N2251)=1,MAX($AB$7:$AB2250)+1,""))</f>
        <v/>
      </c>
    </row>
    <row r="2252" customFormat="false" ht="15" hidden="false" customHeight="false" outlineLevel="0" collapsed="false">
      <c r="L2252" s="37" t="str">
        <f aca="false">IF(INDEX($A2252:$J2252,$L$6)&lt;&gt;"",TRIM(LEFT(INDEX($A2252:$J2252,$L$6),FIND("(",INDEX($A2252:$J2252,$L$6)&amp;"(")-1)),L2251)</f>
        <v>Building Value Proposition</v>
      </c>
      <c r="M2252" s="37" t="str">
        <f aca="false">IF(INDEX($A2252:$J2252,$M$6)="","",INDEX($A2252:$J2252,$M$6)&amp;"")</f>
        <v/>
      </c>
      <c r="N2252" s="37" t="str">
        <f aca="false">IF($M2252="","",TRIM(INDEX($A2252:$J2252,$N$6)&amp;""))</f>
        <v/>
      </c>
      <c r="O2252" s="37" t="str">
        <f aca="false">IF($M2252="","",TRIM(INDEX($A2252:$J2252,$O$6)&amp;""))</f>
        <v/>
      </c>
      <c r="P2252" s="37" t="str">
        <f aca="false">IF($M2252="","",IFERROR(IF(INDEX(Settings!$B$41:$B$50,MATCH(O2252,Settings!$A$41:$A$50,0))&amp;""="","UNMAPPED",INDEX(Settings!$B$41:$B$50,MATCH(O2252,Settings!$A$41:$A$50,0))&amp;""),"UNMAPPED"))</f>
        <v/>
      </c>
      <c r="Q2252" s="38" t="n">
        <f aca="false">IF($M2252="",0,N(INDEX($A2252:$J2252,$Q$6)))</f>
        <v>0</v>
      </c>
      <c r="R2252" s="39" t="str">
        <f aca="false">IF($M2252="","",INDEX($A2252:$J2252,$R$6))</f>
        <v/>
      </c>
      <c r="S2252" s="37" t="str">
        <f aca="false">IF($M2252="","",IFERROR(INDEX(Settings!$B$27:$B$36,MATCH(L2252,Settings!$A$27:$A$36,0))&amp;"","UNMAPPED"))</f>
        <v/>
      </c>
      <c r="T2252" s="37" t="str">
        <f aca="false">IF($M2252="","",IF(NOT(ISNUMBER(R2252)),"NO DATE",IF(S2252="Won",IF(R2252&gt;Settings!$B$5,"Backlog","Delivered"),IF(S2252="Open",IF(R2252&gt;Settings!$B$5,"Pipeline","Overdue"),IF(S2252="Lost","Lost","UNMAPPED")))))</f>
        <v/>
      </c>
      <c r="U2252" s="40" t="n">
        <f aca="false">IF(T2252="Backlog",1,IF(OR(T2252="Pipeline",T2252="Overdue"),N(INDEX(Settings!$C$27:$C$36,MATCH(L2252,Settings!$A$27:$A$36,0))),0))</f>
        <v>0</v>
      </c>
      <c r="V2252" s="38" t="n">
        <f aca="false">Q2252*U2252</f>
        <v>0</v>
      </c>
      <c r="W2252" s="41" t="str">
        <f aca="false">IF($M2252="","",IF(T2252="Overdue",IF(Settings!$B$8="Yes",Settings!$B$7,""),IF(ISNUMBER(R2252),DATE(YEAR(R2252),MONTH(R2252),1),"")))</f>
        <v/>
      </c>
      <c r="X2252" s="38" t="n">
        <f aca="false">IF(AND(OR(T2252="Backlog",T2252="Pipeline",T2252="Overdue"),ISNUMBER(W2252)),IF(W2252&lt;=Settings!$B$6,V2252,0),0)</f>
        <v>0</v>
      </c>
      <c r="Y2252" s="38" t="n">
        <f aca="false">IF(AND(OR(T2252="Backlog",T2252="Pipeline",T2252="Overdue"),ISNUMBER(W2252)),IF(W2252&lt;=Settings!$B$6,Q2252,0),0)</f>
        <v>0</v>
      </c>
      <c r="Z2252" s="38" t="n">
        <f aca="false">IF(Y2252=0,0,IF(T2252="Backlog",Q2252,Q2252*Dashboard!$C$10))</f>
        <v>0</v>
      </c>
      <c r="AA2252" s="37" t="n">
        <f aca="false">IF($N2252="",0,IF(COUNTIF(Dashboard!$C$13:$C$22,$N2252)&gt;0,1,0))</f>
        <v>0</v>
      </c>
      <c r="AB2252" s="37" t="str">
        <f aca="false">IF($N2252="","",IF(COUNTIF($N$8:$N2252,$N2252)=1,MAX($AB$7:$AB2251)+1,""))</f>
        <v/>
      </c>
    </row>
    <row r="2253" customFormat="false" ht="15" hidden="false" customHeight="false" outlineLevel="0" collapsed="false">
      <c r="L2253" s="37" t="str">
        <f aca="false">IF(INDEX($A2253:$J2253,$L$6)&lt;&gt;"",TRIM(LEFT(INDEX($A2253:$J2253,$L$6),FIND("(",INDEX($A2253:$J2253,$L$6)&amp;"(")-1)),L2252)</f>
        <v>Building Value Proposition</v>
      </c>
      <c r="M2253" s="37" t="str">
        <f aca="false">IF(INDEX($A2253:$J2253,$M$6)="","",INDEX($A2253:$J2253,$M$6)&amp;"")</f>
        <v/>
      </c>
      <c r="N2253" s="37" t="str">
        <f aca="false">IF($M2253="","",TRIM(INDEX($A2253:$J2253,$N$6)&amp;""))</f>
        <v/>
      </c>
      <c r="O2253" s="37" t="str">
        <f aca="false">IF($M2253="","",TRIM(INDEX($A2253:$J2253,$O$6)&amp;""))</f>
        <v/>
      </c>
      <c r="P2253" s="37" t="str">
        <f aca="false">IF($M2253="","",IFERROR(IF(INDEX(Settings!$B$41:$B$50,MATCH(O2253,Settings!$A$41:$A$50,0))&amp;""="","UNMAPPED",INDEX(Settings!$B$41:$B$50,MATCH(O2253,Settings!$A$41:$A$50,0))&amp;""),"UNMAPPED"))</f>
        <v/>
      </c>
      <c r="Q2253" s="38" t="n">
        <f aca="false">IF($M2253="",0,N(INDEX($A2253:$J2253,$Q$6)))</f>
        <v>0</v>
      </c>
      <c r="R2253" s="39" t="str">
        <f aca="false">IF($M2253="","",INDEX($A2253:$J2253,$R$6))</f>
        <v/>
      </c>
      <c r="S2253" s="37" t="str">
        <f aca="false">IF($M2253="","",IFERROR(INDEX(Settings!$B$27:$B$36,MATCH(L2253,Settings!$A$27:$A$36,0))&amp;"","UNMAPPED"))</f>
        <v/>
      </c>
      <c r="T2253" s="37" t="str">
        <f aca="false">IF($M2253="","",IF(NOT(ISNUMBER(R2253)),"NO DATE",IF(S2253="Won",IF(R2253&gt;Settings!$B$5,"Backlog","Delivered"),IF(S2253="Open",IF(R2253&gt;Settings!$B$5,"Pipeline","Overdue"),IF(S2253="Lost","Lost","UNMAPPED")))))</f>
        <v/>
      </c>
      <c r="U2253" s="40" t="n">
        <f aca="false">IF(T2253="Backlog",1,IF(OR(T2253="Pipeline",T2253="Overdue"),N(INDEX(Settings!$C$27:$C$36,MATCH(L2253,Settings!$A$27:$A$36,0))),0))</f>
        <v>0</v>
      </c>
      <c r="V2253" s="38" t="n">
        <f aca="false">Q2253*U2253</f>
        <v>0</v>
      </c>
      <c r="W2253" s="41" t="str">
        <f aca="false">IF($M2253="","",IF(T2253="Overdue",IF(Settings!$B$8="Yes",Settings!$B$7,""),IF(ISNUMBER(R2253),DATE(YEAR(R2253),MONTH(R2253),1),"")))</f>
        <v/>
      </c>
      <c r="X2253" s="38" t="n">
        <f aca="false">IF(AND(OR(T2253="Backlog",T2253="Pipeline",T2253="Overdue"),ISNUMBER(W2253)),IF(W2253&lt;=Settings!$B$6,V2253,0),0)</f>
        <v>0</v>
      </c>
      <c r="Y2253" s="38" t="n">
        <f aca="false">IF(AND(OR(T2253="Backlog",T2253="Pipeline",T2253="Overdue"),ISNUMBER(W2253)),IF(W2253&lt;=Settings!$B$6,Q2253,0),0)</f>
        <v>0</v>
      </c>
      <c r="Z2253" s="38" t="n">
        <f aca="false">IF(Y2253=0,0,IF(T2253="Backlog",Q2253,Q2253*Dashboard!$C$10))</f>
        <v>0</v>
      </c>
      <c r="AA2253" s="37" t="n">
        <f aca="false">IF($N2253="",0,IF(COUNTIF(Dashboard!$C$13:$C$22,$N2253)&gt;0,1,0))</f>
        <v>0</v>
      </c>
      <c r="AB2253" s="37" t="str">
        <f aca="false">IF($N2253="","",IF(COUNTIF($N$8:$N2253,$N2253)=1,MAX($AB$7:$AB2252)+1,""))</f>
        <v/>
      </c>
    </row>
    <row r="2254" customFormat="false" ht="15" hidden="false" customHeight="false" outlineLevel="0" collapsed="false">
      <c r="L2254" s="37" t="str">
        <f aca="false">IF(INDEX($A2254:$J2254,$L$6)&lt;&gt;"",TRIM(LEFT(INDEX($A2254:$J2254,$L$6),FIND("(",INDEX($A2254:$J2254,$L$6)&amp;"(")-1)),L2253)</f>
        <v>Building Value Proposition</v>
      </c>
      <c r="M2254" s="37" t="str">
        <f aca="false">IF(INDEX($A2254:$J2254,$M$6)="","",INDEX($A2254:$J2254,$M$6)&amp;"")</f>
        <v/>
      </c>
      <c r="N2254" s="37" t="str">
        <f aca="false">IF($M2254="","",TRIM(INDEX($A2254:$J2254,$N$6)&amp;""))</f>
        <v/>
      </c>
      <c r="O2254" s="37" t="str">
        <f aca="false">IF($M2254="","",TRIM(INDEX($A2254:$J2254,$O$6)&amp;""))</f>
        <v/>
      </c>
      <c r="P2254" s="37" t="str">
        <f aca="false">IF($M2254="","",IFERROR(IF(INDEX(Settings!$B$41:$B$50,MATCH(O2254,Settings!$A$41:$A$50,0))&amp;""="","UNMAPPED",INDEX(Settings!$B$41:$B$50,MATCH(O2254,Settings!$A$41:$A$50,0))&amp;""),"UNMAPPED"))</f>
        <v/>
      </c>
      <c r="Q2254" s="38" t="n">
        <f aca="false">IF($M2254="",0,N(INDEX($A2254:$J2254,$Q$6)))</f>
        <v>0</v>
      </c>
      <c r="R2254" s="39" t="str">
        <f aca="false">IF($M2254="","",INDEX($A2254:$J2254,$R$6))</f>
        <v/>
      </c>
      <c r="S2254" s="37" t="str">
        <f aca="false">IF($M2254="","",IFERROR(INDEX(Settings!$B$27:$B$36,MATCH(L2254,Settings!$A$27:$A$36,0))&amp;"","UNMAPPED"))</f>
        <v/>
      </c>
      <c r="T2254" s="37" t="str">
        <f aca="false">IF($M2254="","",IF(NOT(ISNUMBER(R2254)),"NO DATE",IF(S2254="Won",IF(R2254&gt;Settings!$B$5,"Backlog","Delivered"),IF(S2254="Open",IF(R2254&gt;Settings!$B$5,"Pipeline","Overdue"),IF(S2254="Lost","Lost","UNMAPPED")))))</f>
        <v/>
      </c>
      <c r="U2254" s="40" t="n">
        <f aca="false">IF(T2254="Backlog",1,IF(OR(T2254="Pipeline",T2254="Overdue"),N(INDEX(Settings!$C$27:$C$36,MATCH(L2254,Settings!$A$27:$A$36,0))),0))</f>
        <v>0</v>
      </c>
      <c r="V2254" s="38" t="n">
        <f aca="false">Q2254*U2254</f>
        <v>0</v>
      </c>
      <c r="W2254" s="41" t="str">
        <f aca="false">IF($M2254="","",IF(T2254="Overdue",IF(Settings!$B$8="Yes",Settings!$B$7,""),IF(ISNUMBER(R2254),DATE(YEAR(R2254),MONTH(R2254),1),"")))</f>
        <v/>
      </c>
      <c r="X2254" s="38" t="n">
        <f aca="false">IF(AND(OR(T2254="Backlog",T2254="Pipeline",T2254="Overdue"),ISNUMBER(W2254)),IF(W2254&lt;=Settings!$B$6,V2254,0),0)</f>
        <v>0</v>
      </c>
      <c r="Y2254" s="38" t="n">
        <f aca="false">IF(AND(OR(T2254="Backlog",T2254="Pipeline",T2254="Overdue"),ISNUMBER(W2254)),IF(W2254&lt;=Settings!$B$6,Q2254,0),0)</f>
        <v>0</v>
      </c>
      <c r="Z2254" s="38" t="n">
        <f aca="false">IF(Y2254=0,0,IF(T2254="Backlog",Q2254,Q2254*Dashboard!$C$10))</f>
        <v>0</v>
      </c>
      <c r="AA2254" s="37" t="n">
        <f aca="false">IF($N2254="",0,IF(COUNTIF(Dashboard!$C$13:$C$22,$N2254)&gt;0,1,0))</f>
        <v>0</v>
      </c>
      <c r="AB2254" s="37" t="str">
        <f aca="false">IF($N2254="","",IF(COUNTIF($N$8:$N2254,$N2254)=1,MAX($AB$7:$AB2253)+1,""))</f>
        <v/>
      </c>
    </row>
    <row r="2255" customFormat="false" ht="15" hidden="false" customHeight="false" outlineLevel="0" collapsed="false">
      <c r="L2255" s="37" t="str">
        <f aca="false">IF(INDEX($A2255:$J2255,$L$6)&lt;&gt;"",TRIM(LEFT(INDEX($A2255:$J2255,$L$6),FIND("(",INDEX($A2255:$J2255,$L$6)&amp;"(")-1)),L2254)</f>
        <v>Building Value Proposition</v>
      </c>
      <c r="M2255" s="37" t="str">
        <f aca="false">IF(INDEX($A2255:$J2255,$M$6)="","",INDEX($A2255:$J2255,$M$6)&amp;"")</f>
        <v/>
      </c>
      <c r="N2255" s="37" t="str">
        <f aca="false">IF($M2255="","",TRIM(INDEX($A2255:$J2255,$N$6)&amp;""))</f>
        <v/>
      </c>
      <c r="O2255" s="37" t="str">
        <f aca="false">IF($M2255="","",TRIM(INDEX($A2255:$J2255,$O$6)&amp;""))</f>
        <v/>
      </c>
      <c r="P2255" s="37" t="str">
        <f aca="false">IF($M2255="","",IFERROR(IF(INDEX(Settings!$B$41:$B$50,MATCH(O2255,Settings!$A$41:$A$50,0))&amp;""="","UNMAPPED",INDEX(Settings!$B$41:$B$50,MATCH(O2255,Settings!$A$41:$A$50,0))&amp;""),"UNMAPPED"))</f>
        <v/>
      </c>
      <c r="Q2255" s="38" t="n">
        <f aca="false">IF($M2255="",0,N(INDEX($A2255:$J2255,$Q$6)))</f>
        <v>0</v>
      </c>
      <c r="R2255" s="39" t="str">
        <f aca="false">IF($M2255="","",INDEX($A2255:$J2255,$R$6))</f>
        <v/>
      </c>
      <c r="S2255" s="37" t="str">
        <f aca="false">IF($M2255="","",IFERROR(INDEX(Settings!$B$27:$B$36,MATCH(L2255,Settings!$A$27:$A$36,0))&amp;"","UNMAPPED"))</f>
        <v/>
      </c>
      <c r="T2255" s="37" t="str">
        <f aca="false">IF($M2255="","",IF(NOT(ISNUMBER(R2255)),"NO DATE",IF(S2255="Won",IF(R2255&gt;Settings!$B$5,"Backlog","Delivered"),IF(S2255="Open",IF(R2255&gt;Settings!$B$5,"Pipeline","Overdue"),IF(S2255="Lost","Lost","UNMAPPED")))))</f>
        <v/>
      </c>
      <c r="U2255" s="40" t="n">
        <f aca="false">IF(T2255="Backlog",1,IF(OR(T2255="Pipeline",T2255="Overdue"),N(INDEX(Settings!$C$27:$C$36,MATCH(L2255,Settings!$A$27:$A$36,0))),0))</f>
        <v>0</v>
      </c>
      <c r="V2255" s="38" t="n">
        <f aca="false">Q2255*U2255</f>
        <v>0</v>
      </c>
      <c r="W2255" s="41" t="str">
        <f aca="false">IF($M2255="","",IF(T2255="Overdue",IF(Settings!$B$8="Yes",Settings!$B$7,""),IF(ISNUMBER(R2255),DATE(YEAR(R2255),MONTH(R2255),1),"")))</f>
        <v/>
      </c>
      <c r="X2255" s="38" t="n">
        <f aca="false">IF(AND(OR(T2255="Backlog",T2255="Pipeline",T2255="Overdue"),ISNUMBER(W2255)),IF(W2255&lt;=Settings!$B$6,V2255,0),0)</f>
        <v>0</v>
      </c>
      <c r="Y2255" s="38" t="n">
        <f aca="false">IF(AND(OR(T2255="Backlog",T2255="Pipeline",T2255="Overdue"),ISNUMBER(W2255)),IF(W2255&lt;=Settings!$B$6,Q2255,0),0)</f>
        <v>0</v>
      </c>
      <c r="Z2255" s="38" t="n">
        <f aca="false">IF(Y2255=0,0,IF(T2255="Backlog",Q2255,Q2255*Dashboard!$C$10))</f>
        <v>0</v>
      </c>
      <c r="AA2255" s="37" t="n">
        <f aca="false">IF($N2255="",0,IF(COUNTIF(Dashboard!$C$13:$C$22,$N2255)&gt;0,1,0))</f>
        <v>0</v>
      </c>
      <c r="AB2255" s="37" t="str">
        <f aca="false">IF($N2255="","",IF(COUNTIF($N$8:$N2255,$N2255)=1,MAX($AB$7:$AB2254)+1,""))</f>
        <v/>
      </c>
    </row>
    <row r="2256" customFormat="false" ht="15" hidden="false" customHeight="false" outlineLevel="0" collapsed="false">
      <c r="L2256" s="37" t="str">
        <f aca="false">IF(INDEX($A2256:$J2256,$L$6)&lt;&gt;"",TRIM(LEFT(INDEX($A2256:$J2256,$L$6),FIND("(",INDEX($A2256:$J2256,$L$6)&amp;"(")-1)),L2255)</f>
        <v>Building Value Proposition</v>
      </c>
      <c r="M2256" s="37" t="str">
        <f aca="false">IF(INDEX($A2256:$J2256,$M$6)="","",INDEX($A2256:$J2256,$M$6)&amp;"")</f>
        <v/>
      </c>
      <c r="N2256" s="37" t="str">
        <f aca="false">IF($M2256="","",TRIM(INDEX($A2256:$J2256,$N$6)&amp;""))</f>
        <v/>
      </c>
      <c r="O2256" s="37" t="str">
        <f aca="false">IF($M2256="","",TRIM(INDEX($A2256:$J2256,$O$6)&amp;""))</f>
        <v/>
      </c>
      <c r="P2256" s="37" t="str">
        <f aca="false">IF($M2256="","",IFERROR(IF(INDEX(Settings!$B$41:$B$50,MATCH(O2256,Settings!$A$41:$A$50,0))&amp;""="","UNMAPPED",INDEX(Settings!$B$41:$B$50,MATCH(O2256,Settings!$A$41:$A$50,0))&amp;""),"UNMAPPED"))</f>
        <v/>
      </c>
      <c r="Q2256" s="38" t="n">
        <f aca="false">IF($M2256="",0,N(INDEX($A2256:$J2256,$Q$6)))</f>
        <v>0</v>
      </c>
      <c r="R2256" s="39" t="str">
        <f aca="false">IF($M2256="","",INDEX($A2256:$J2256,$R$6))</f>
        <v/>
      </c>
      <c r="S2256" s="37" t="str">
        <f aca="false">IF($M2256="","",IFERROR(INDEX(Settings!$B$27:$B$36,MATCH(L2256,Settings!$A$27:$A$36,0))&amp;"","UNMAPPED"))</f>
        <v/>
      </c>
      <c r="T2256" s="37" t="str">
        <f aca="false">IF($M2256="","",IF(NOT(ISNUMBER(R2256)),"NO DATE",IF(S2256="Won",IF(R2256&gt;Settings!$B$5,"Backlog","Delivered"),IF(S2256="Open",IF(R2256&gt;Settings!$B$5,"Pipeline","Overdue"),IF(S2256="Lost","Lost","UNMAPPED")))))</f>
        <v/>
      </c>
      <c r="U2256" s="40" t="n">
        <f aca="false">IF(T2256="Backlog",1,IF(OR(T2256="Pipeline",T2256="Overdue"),N(INDEX(Settings!$C$27:$C$36,MATCH(L2256,Settings!$A$27:$A$36,0))),0))</f>
        <v>0</v>
      </c>
      <c r="V2256" s="38" t="n">
        <f aca="false">Q2256*U2256</f>
        <v>0</v>
      </c>
      <c r="W2256" s="41" t="str">
        <f aca="false">IF($M2256="","",IF(T2256="Overdue",IF(Settings!$B$8="Yes",Settings!$B$7,""),IF(ISNUMBER(R2256),DATE(YEAR(R2256),MONTH(R2256),1),"")))</f>
        <v/>
      </c>
      <c r="X2256" s="38" t="n">
        <f aca="false">IF(AND(OR(T2256="Backlog",T2256="Pipeline",T2256="Overdue"),ISNUMBER(W2256)),IF(W2256&lt;=Settings!$B$6,V2256,0),0)</f>
        <v>0</v>
      </c>
      <c r="Y2256" s="38" t="n">
        <f aca="false">IF(AND(OR(T2256="Backlog",T2256="Pipeline",T2256="Overdue"),ISNUMBER(W2256)),IF(W2256&lt;=Settings!$B$6,Q2256,0),0)</f>
        <v>0</v>
      </c>
      <c r="Z2256" s="38" t="n">
        <f aca="false">IF(Y2256=0,0,IF(T2256="Backlog",Q2256,Q2256*Dashboard!$C$10))</f>
        <v>0</v>
      </c>
      <c r="AA2256" s="37" t="n">
        <f aca="false">IF($N2256="",0,IF(COUNTIF(Dashboard!$C$13:$C$22,$N2256)&gt;0,1,0))</f>
        <v>0</v>
      </c>
      <c r="AB2256" s="37" t="str">
        <f aca="false">IF($N2256="","",IF(COUNTIF($N$8:$N2256,$N2256)=1,MAX($AB$7:$AB2255)+1,""))</f>
        <v/>
      </c>
    </row>
    <row r="2257" customFormat="false" ht="15" hidden="false" customHeight="false" outlineLevel="0" collapsed="false">
      <c r="L2257" s="37" t="str">
        <f aca="false">IF(INDEX($A2257:$J2257,$L$6)&lt;&gt;"",TRIM(LEFT(INDEX($A2257:$J2257,$L$6),FIND("(",INDEX($A2257:$J2257,$L$6)&amp;"(")-1)),L2256)</f>
        <v>Building Value Proposition</v>
      </c>
      <c r="M2257" s="37" t="str">
        <f aca="false">IF(INDEX($A2257:$J2257,$M$6)="","",INDEX($A2257:$J2257,$M$6)&amp;"")</f>
        <v/>
      </c>
      <c r="N2257" s="37" t="str">
        <f aca="false">IF($M2257="","",TRIM(INDEX($A2257:$J2257,$N$6)&amp;""))</f>
        <v/>
      </c>
      <c r="O2257" s="37" t="str">
        <f aca="false">IF($M2257="","",TRIM(INDEX($A2257:$J2257,$O$6)&amp;""))</f>
        <v/>
      </c>
      <c r="P2257" s="37" t="str">
        <f aca="false">IF($M2257="","",IFERROR(IF(INDEX(Settings!$B$41:$B$50,MATCH(O2257,Settings!$A$41:$A$50,0))&amp;""="","UNMAPPED",INDEX(Settings!$B$41:$B$50,MATCH(O2257,Settings!$A$41:$A$50,0))&amp;""),"UNMAPPED"))</f>
        <v/>
      </c>
      <c r="Q2257" s="38" t="n">
        <f aca="false">IF($M2257="",0,N(INDEX($A2257:$J2257,$Q$6)))</f>
        <v>0</v>
      </c>
      <c r="R2257" s="39" t="str">
        <f aca="false">IF($M2257="","",INDEX($A2257:$J2257,$R$6))</f>
        <v/>
      </c>
      <c r="S2257" s="37" t="str">
        <f aca="false">IF($M2257="","",IFERROR(INDEX(Settings!$B$27:$B$36,MATCH(L2257,Settings!$A$27:$A$36,0))&amp;"","UNMAPPED"))</f>
        <v/>
      </c>
      <c r="T2257" s="37" t="str">
        <f aca="false">IF($M2257="","",IF(NOT(ISNUMBER(R2257)),"NO DATE",IF(S2257="Won",IF(R2257&gt;Settings!$B$5,"Backlog","Delivered"),IF(S2257="Open",IF(R2257&gt;Settings!$B$5,"Pipeline","Overdue"),IF(S2257="Lost","Lost","UNMAPPED")))))</f>
        <v/>
      </c>
      <c r="U2257" s="40" t="n">
        <f aca="false">IF(T2257="Backlog",1,IF(OR(T2257="Pipeline",T2257="Overdue"),N(INDEX(Settings!$C$27:$C$36,MATCH(L2257,Settings!$A$27:$A$36,0))),0))</f>
        <v>0</v>
      </c>
      <c r="V2257" s="38" t="n">
        <f aca="false">Q2257*U2257</f>
        <v>0</v>
      </c>
      <c r="W2257" s="41" t="str">
        <f aca="false">IF($M2257="","",IF(T2257="Overdue",IF(Settings!$B$8="Yes",Settings!$B$7,""),IF(ISNUMBER(R2257),DATE(YEAR(R2257),MONTH(R2257),1),"")))</f>
        <v/>
      </c>
      <c r="X2257" s="38" t="n">
        <f aca="false">IF(AND(OR(T2257="Backlog",T2257="Pipeline",T2257="Overdue"),ISNUMBER(W2257)),IF(W2257&lt;=Settings!$B$6,V2257,0),0)</f>
        <v>0</v>
      </c>
      <c r="Y2257" s="38" t="n">
        <f aca="false">IF(AND(OR(T2257="Backlog",T2257="Pipeline",T2257="Overdue"),ISNUMBER(W2257)),IF(W2257&lt;=Settings!$B$6,Q2257,0),0)</f>
        <v>0</v>
      </c>
      <c r="Z2257" s="38" t="n">
        <f aca="false">IF(Y2257=0,0,IF(T2257="Backlog",Q2257,Q2257*Dashboard!$C$10))</f>
        <v>0</v>
      </c>
      <c r="AA2257" s="37" t="n">
        <f aca="false">IF($N2257="",0,IF(COUNTIF(Dashboard!$C$13:$C$22,$N2257)&gt;0,1,0))</f>
        <v>0</v>
      </c>
      <c r="AB2257" s="37" t="str">
        <f aca="false">IF($N2257="","",IF(COUNTIF($N$8:$N2257,$N2257)=1,MAX($AB$7:$AB2256)+1,""))</f>
        <v/>
      </c>
    </row>
    <row r="2258" customFormat="false" ht="15" hidden="false" customHeight="false" outlineLevel="0" collapsed="false">
      <c r="L2258" s="37" t="str">
        <f aca="false">IF(INDEX($A2258:$J2258,$L$6)&lt;&gt;"",TRIM(LEFT(INDEX($A2258:$J2258,$L$6),FIND("(",INDEX($A2258:$J2258,$L$6)&amp;"(")-1)),L2257)</f>
        <v>Building Value Proposition</v>
      </c>
      <c r="M2258" s="37" t="str">
        <f aca="false">IF(INDEX($A2258:$J2258,$M$6)="","",INDEX($A2258:$J2258,$M$6)&amp;"")</f>
        <v/>
      </c>
      <c r="N2258" s="37" t="str">
        <f aca="false">IF($M2258="","",TRIM(INDEX($A2258:$J2258,$N$6)&amp;""))</f>
        <v/>
      </c>
      <c r="O2258" s="37" t="str">
        <f aca="false">IF($M2258="","",TRIM(INDEX($A2258:$J2258,$O$6)&amp;""))</f>
        <v/>
      </c>
      <c r="P2258" s="37" t="str">
        <f aca="false">IF($M2258="","",IFERROR(IF(INDEX(Settings!$B$41:$B$50,MATCH(O2258,Settings!$A$41:$A$50,0))&amp;""="","UNMAPPED",INDEX(Settings!$B$41:$B$50,MATCH(O2258,Settings!$A$41:$A$50,0))&amp;""),"UNMAPPED"))</f>
        <v/>
      </c>
      <c r="Q2258" s="38" t="n">
        <f aca="false">IF($M2258="",0,N(INDEX($A2258:$J2258,$Q$6)))</f>
        <v>0</v>
      </c>
      <c r="R2258" s="39" t="str">
        <f aca="false">IF($M2258="","",INDEX($A2258:$J2258,$R$6))</f>
        <v/>
      </c>
      <c r="S2258" s="37" t="str">
        <f aca="false">IF($M2258="","",IFERROR(INDEX(Settings!$B$27:$B$36,MATCH(L2258,Settings!$A$27:$A$36,0))&amp;"","UNMAPPED"))</f>
        <v/>
      </c>
      <c r="T2258" s="37" t="str">
        <f aca="false">IF($M2258="","",IF(NOT(ISNUMBER(R2258)),"NO DATE",IF(S2258="Won",IF(R2258&gt;Settings!$B$5,"Backlog","Delivered"),IF(S2258="Open",IF(R2258&gt;Settings!$B$5,"Pipeline","Overdue"),IF(S2258="Lost","Lost","UNMAPPED")))))</f>
        <v/>
      </c>
      <c r="U2258" s="40" t="n">
        <f aca="false">IF(T2258="Backlog",1,IF(OR(T2258="Pipeline",T2258="Overdue"),N(INDEX(Settings!$C$27:$C$36,MATCH(L2258,Settings!$A$27:$A$36,0))),0))</f>
        <v>0</v>
      </c>
      <c r="V2258" s="38" t="n">
        <f aca="false">Q2258*U2258</f>
        <v>0</v>
      </c>
      <c r="W2258" s="41" t="str">
        <f aca="false">IF($M2258="","",IF(T2258="Overdue",IF(Settings!$B$8="Yes",Settings!$B$7,""),IF(ISNUMBER(R2258),DATE(YEAR(R2258),MONTH(R2258),1),"")))</f>
        <v/>
      </c>
      <c r="X2258" s="38" t="n">
        <f aca="false">IF(AND(OR(T2258="Backlog",T2258="Pipeline",T2258="Overdue"),ISNUMBER(W2258)),IF(W2258&lt;=Settings!$B$6,V2258,0),0)</f>
        <v>0</v>
      </c>
      <c r="Y2258" s="38" t="n">
        <f aca="false">IF(AND(OR(T2258="Backlog",T2258="Pipeline",T2258="Overdue"),ISNUMBER(W2258)),IF(W2258&lt;=Settings!$B$6,Q2258,0),0)</f>
        <v>0</v>
      </c>
      <c r="Z2258" s="38" t="n">
        <f aca="false">IF(Y2258=0,0,IF(T2258="Backlog",Q2258,Q2258*Dashboard!$C$10))</f>
        <v>0</v>
      </c>
      <c r="AA2258" s="37" t="n">
        <f aca="false">IF($N2258="",0,IF(COUNTIF(Dashboard!$C$13:$C$22,$N2258)&gt;0,1,0))</f>
        <v>0</v>
      </c>
      <c r="AB2258" s="37" t="str">
        <f aca="false">IF($N2258="","",IF(COUNTIF($N$8:$N2258,$N2258)=1,MAX($AB$7:$AB2257)+1,""))</f>
        <v/>
      </c>
    </row>
    <row r="2259" customFormat="false" ht="15" hidden="false" customHeight="false" outlineLevel="0" collapsed="false">
      <c r="L2259" s="37" t="str">
        <f aca="false">IF(INDEX($A2259:$J2259,$L$6)&lt;&gt;"",TRIM(LEFT(INDEX($A2259:$J2259,$L$6),FIND("(",INDEX($A2259:$J2259,$L$6)&amp;"(")-1)),L2258)</f>
        <v>Building Value Proposition</v>
      </c>
      <c r="M2259" s="37" t="str">
        <f aca="false">IF(INDEX($A2259:$J2259,$M$6)="","",INDEX($A2259:$J2259,$M$6)&amp;"")</f>
        <v/>
      </c>
      <c r="N2259" s="37" t="str">
        <f aca="false">IF($M2259="","",TRIM(INDEX($A2259:$J2259,$N$6)&amp;""))</f>
        <v/>
      </c>
      <c r="O2259" s="37" t="str">
        <f aca="false">IF($M2259="","",TRIM(INDEX($A2259:$J2259,$O$6)&amp;""))</f>
        <v/>
      </c>
      <c r="P2259" s="37" t="str">
        <f aca="false">IF($M2259="","",IFERROR(IF(INDEX(Settings!$B$41:$B$50,MATCH(O2259,Settings!$A$41:$A$50,0))&amp;""="","UNMAPPED",INDEX(Settings!$B$41:$B$50,MATCH(O2259,Settings!$A$41:$A$50,0))&amp;""),"UNMAPPED"))</f>
        <v/>
      </c>
      <c r="Q2259" s="38" t="n">
        <f aca="false">IF($M2259="",0,N(INDEX($A2259:$J2259,$Q$6)))</f>
        <v>0</v>
      </c>
      <c r="R2259" s="39" t="str">
        <f aca="false">IF($M2259="","",INDEX($A2259:$J2259,$R$6))</f>
        <v/>
      </c>
      <c r="S2259" s="37" t="str">
        <f aca="false">IF($M2259="","",IFERROR(INDEX(Settings!$B$27:$B$36,MATCH(L2259,Settings!$A$27:$A$36,0))&amp;"","UNMAPPED"))</f>
        <v/>
      </c>
      <c r="T2259" s="37" t="str">
        <f aca="false">IF($M2259="","",IF(NOT(ISNUMBER(R2259)),"NO DATE",IF(S2259="Won",IF(R2259&gt;Settings!$B$5,"Backlog","Delivered"),IF(S2259="Open",IF(R2259&gt;Settings!$B$5,"Pipeline","Overdue"),IF(S2259="Lost","Lost","UNMAPPED")))))</f>
        <v/>
      </c>
      <c r="U2259" s="40" t="n">
        <f aca="false">IF(T2259="Backlog",1,IF(OR(T2259="Pipeline",T2259="Overdue"),N(INDEX(Settings!$C$27:$C$36,MATCH(L2259,Settings!$A$27:$A$36,0))),0))</f>
        <v>0</v>
      </c>
      <c r="V2259" s="38" t="n">
        <f aca="false">Q2259*U2259</f>
        <v>0</v>
      </c>
      <c r="W2259" s="41" t="str">
        <f aca="false">IF($M2259="","",IF(T2259="Overdue",IF(Settings!$B$8="Yes",Settings!$B$7,""),IF(ISNUMBER(R2259),DATE(YEAR(R2259),MONTH(R2259),1),"")))</f>
        <v/>
      </c>
      <c r="X2259" s="38" t="n">
        <f aca="false">IF(AND(OR(T2259="Backlog",T2259="Pipeline",T2259="Overdue"),ISNUMBER(W2259)),IF(W2259&lt;=Settings!$B$6,V2259,0),0)</f>
        <v>0</v>
      </c>
      <c r="Y2259" s="38" t="n">
        <f aca="false">IF(AND(OR(T2259="Backlog",T2259="Pipeline",T2259="Overdue"),ISNUMBER(W2259)),IF(W2259&lt;=Settings!$B$6,Q2259,0),0)</f>
        <v>0</v>
      </c>
      <c r="Z2259" s="38" t="n">
        <f aca="false">IF(Y2259=0,0,IF(T2259="Backlog",Q2259,Q2259*Dashboard!$C$10))</f>
        <v>0</v>
      </c>
      <c r="AA2259" s="37" t="n">
        <f aca="false">IF($N2259="",0,IF(COUNTIF(Dashboard!$C$13:$C$22,$N2259)&gt;0,1,0))</f>
        <v>0</v>
      </c>
      <c r="AB2259" s="37" t="str">
        <f aca="false">IF($N2259="","",IF(COUNTIF($N$8:$N2259,$N2259)=1,MAX($AB$7:$AB2258)+1,""))</f>
        <v/>
      </c>
    </row>
    <row r="2260" customFormat="false" ht="15" hidden="false" customHeight="false" outlineLevel="0" collapsed="false">
      <c r="L2260" s="37" t="str">
        <f aca="false">IF(INDEX($A2260:$J2260,$L$6)&lt;&gt;"",TRIM(LEFT(INDEX($A2260:$J2260,$L$6),FIND("(",INDEX($A2260:$J2260,$L$6)&amp;"(")-1)),L2259)</f>
        <v>Building Value Proposition</v>
      </c>
      <c r="M2260" s="37" t="str">
        <f aca="false">IF(INDEX($A2260:$J2260,$M$6)="","",INDEX($A2260:$J2260,$M$6)&amp;"")</f>
        <v/>
      </c>
      <c r="N2260" s="37" t="str">
        <f aca="false">IF($M2260="","",TRIM(INDEX($A2260:$J2260,$N$6)&amp;""))</f>
        <v/>
      </c>
      <c r="O2260" s="37" t="str">
        <f aca="false">IF($M2260="","",TRIM(INDEX($A2260:$J2260,$O$6)&amp;""))</f>
        <v/>
      </c>
      <c r="P2260" s="37" t="str">
        <f aca="false">IF($M2260="","",IFERROR(IF(INDEX(Settings!$B$41:$B$50,MATCH(O2260,Settings!$A$41:$A$50,0))&amp;""="","UNMAPPED",INDEX(Settings!$B$41:$B$50,MATCH(O2260,Settings!$A$41:$A$50,0))&amp;""),"UNMAPPED"))</f>
        <v/>
      </c>
      <c r="Q2260" s="38" t="n">
        <f aca="false">IF($M2260="",0,N(INDEX($A2260:$J2260,$Q$6)))</f>
        <v>0</v>
      </c>
      <c r="R2260" s="39" t="str">
        <f aca="false">IF($M2260="","",INDEX($A2260:$J2260,$R$6))</f>
        <v/>
      </c>
      <c r="S2260" s="37" t="str">
        <f aca="false">IF($M2260="","",IFERROR(INDEX(Settings!$B$27:$B$36,MATCH(L2260,Settings!$A$27:$A$36,0))&amp;"","UNMAPPED"))</f>
        <v/>
      </c>
      <c r="T2260" s="37" t="str">
        <f aca="false">IF($M2260="","",IF(NOT(ISNUMBER(R2260)),"NO DATE",IF(S2260="Won",IF(R2260&gt;Settings!$B$5,"Backlog","Delivered"),IF(S2260="Open",IF(R2260&gt;Settings!$B$5,"Pipeline","Overdue"),IF(S2260="Lost","Lost","UNMAPPED")))))</f>
        <v/>
      </c>
      <c r="U2260" s="40" t="n">
        <f aca="false">IF(T2260="Backlog",1,IF(OR(T2260="Pipeline",T2260="Overdue"),N(INDEX(Settings!$C$27:$C$36,MATCH(L2260,Settings!$A$27:$A$36,0))),0))</f>
        <v>0</v>
      </c>
      <c r="V2260" s="38" t="n">
        <f aca="false">Q2260*U2260</f>
        <v>0</v>
      </c>
      <c r="W2260" s="41" t="str">
        <f aca="false">IF($M2260="","",IF(T2260="Overdue",IF(Settings!$B$8="Yes",Settings!$B$7,""),IF(ISNUMBER(R2260),DATE(YEAR(R2260),MONTH(R2260),1),"")))</f>
        <v/>
      </c>
      <c r="X2260" s="38" t="n">
        <f aca="false">IF(AND(OR(T2260="Backlog",T2260="Pipeline",T2260="Overdue"),ISNUMBER(W2260)),IF(W2260&lt;=Settings!$B$6,V2260,0),0)</f>
        <v>0</v>
      </c>
      <c r="Y2260" s="38" t="n">
        <f aca="false">IF(AND(OR(T2260="Backlog",T2260="Pipeline",T2260="Overdue"),ISNUMBER(W2260)),IF(W2260&lt;=Settings!$B$6,Q2260,0),0)</f>
        <v>0</v>
      </c>
      <c r="Z2260" s="38" t="n">
        <f aca="false">IF(Y2260=0,0,IF(T2260="Backlog",Q2260,Q2260*Dashboard!$C$10))</f>
        <v>0</v>
      </c>
      <c r="AA2260" s="37" t="n">
        <f aca="false">IF($N2260="",0,IF(COUNTIF(Dashboard!$C$13:$C$22,$N2260)&gt;0,1,0))</f>
        <v>0</v>
      </c>
      <c r="AB2260" s="37" t="str">
        <f aca="false">IF($N2260="","",IF(COUNTIF($N$8:$N2260,$N2260)=1,MAX($AB$7:$AB2259)+1,""))</f>
        <v/>
      </c>
    </row>
    <row r="2261" customFormat="false" ht="15" hidden="false" customHeight="false" outlineLevel="0" collapsed="false">
      <c r="L2261" s="37" t="str">
        <f aca="false">IF(INDEX($A2261:$J2261,$L$6)&lt;&gt;"",TRIM(LEFT(INDEX($A2261:$J2261,$L$6),FIND("(",INDEX($A2261:$J2261,$L$6)&amp;"(")-1)),L2260)</f>
        <v>Building Value Proposition</v>
      </c>
      <c r="M2261" s="37" t="str">
        <f aca="false">IF(INDEX($A2261:$J2261,$M$6)="","",INDEX($A2261:$J2261,$M$6)&amp;"")</f>
        <v/>
      </c>
      <c r="N2261" s="37" t="str">
        <f aca="false">IF($M2261="","",TRIM(INDEX($A2261:$J2261,$N$6)&amp;""))</f>
        <v/>
      </c>
      <c r="O2261" s="37" t="str">
        <f aca="false">IF($M2261="","",TRIM(INDEX($A2261:$J2261,$O$6)&amp;""))</f>
        <v/>
      </c>
      <c r="P2261" s="37" t="str">
        <f aca="false">IF($M2261="","",IFERROR(IF(INDEX(Settings!$B$41:$B$50,MATCH(O2261,Settings!$A$41:$A$50,0))&amp;""="","UNMAPPED",INDEX(Settings!$B$41:$B$50,MATCH(O2261,Settings!$A$41:$A$50,0))&amp;""),"UNMAPPED"))</f>
        <v/>
      </c>
      <c r="Q2261" s="38" t="n">
        <f aca="false">IF($M2261="",0,N(INDEX($A2261:$J2261,$Q$6)))</f>
        <v>0</v>
      </c>
      <c r="R2261" s="39" t="str">
        <f aca="false">IF($M2261="","",INDEX($A2261:$J2261,$R$6))</f>
        <v/>
      </c>
      <c r="S2261" s="37" t="str">
        <f aca="false">IF($M2261="","",IFERROR(INDEX(Settings!$B$27:$B$36,MATCH(L2261,Settings!$A$27:$A$36,0))&amp;"","UNMAPPED"))</f>
        <v/>
      </c>
      <c r="T2261" s="37" t="str">
        <f aca="false">IF($M2261="","",IF(NOT(ISNUMBER(R2261)),"NO DATE",IF(S2261="Won",IF(R2261&gt;Settings!$B$5,"Backlog","Delivered"),IF(S2261="Open",IF(R2261&gt;Settings!$B$5,"Pipeline","Overdue"),IF(S2261="Lost","Lost","UNMAPPED")))))</f>
        <v/>
      </c>
      <c r="U2261" s="40" t="n">
        <f aca="false">IF(T2261="Backlog",1,IF(OR(T2261="Pipeline",T2261="Overdue"),N(INDEX(Settings!$C$27:$C$36,MATCH(L2261,Settings!$A$27:$A$36,0))),0))</f>
        <v>0</v>
      </c>
      <c r="V2261" s="38" t="n">
        <f aca="false">Q2261*U2261</f>
        <v>0</v>
      </c>
      <c r="W2261" s="41" t="str">
        <f aca="false">IF($M2261="","",IF(T2261="Overdue",IF(Settings!$B$8="Yes",Settings!$B$7,""),IF(ISNUMBER(R2261),DATE(YEAR(R2261),MONTH(R2261),1),"")))</f>
        <v/>
      </c>
      <c r="X2261" s="38" t="n">
        <f aca="false">IF(AND(OR(T2261="Backlog",T2261="Pipeline",T2261="Overdue"),ISNUMBER(W2261)),IF(W2261&lt;=Settings!$B$6,V2261,0),0)</f>
        <v>0</v>
      </c>
      <c r="Y2261" s="38" t="n">
        <f aca="false">IF(AND(OR(T2261="Backlog",T2261="Pipeline",T2261="Overdue"),ISNUMBER(W2261)),IF(W2261&lt;=Settings!$B$6,Q2261,0),0)</f>
        <v>0</v>
      </c>
      <c r="Z2261" s="38" t="n">
        <f aca="false">IF(Y2261=0,0,IF(T2261="Backlog",Q2261,Q2261*Dashboard!$C$10))</f>
        <v>0</v>
      </c>
      <c r="AA2261" s="37" t="n">
        <f aca="false">IF($N2261="",0,IF(COUNTIF(Dashboard!$C$13:$C$22,$N2261)&gt;0,1,0))</f>
        <v>0</v>
      </c>
      <c r="AB2261" s="37" t="str">
        <f aca="false">IF($N2261="","",IF(COUNTIF($N$8:$N2261,$N2261)=1,MAX($AB$7:$AB2260)+1,""))</f>
        <v/>
      </c>
    </row>
    <row r="2262" customFormat="false" ht="15" hidden="false" customHeight="false" outlineLevel="0" collapsed="false">
      <c r="L2262" s="37" t="str">
        <f aca="false">IF(INDEX($A2262:$J2262,$L$6)&lt;&gt;"",TRIM(LEFT(INDEX($A2262:$J2262,$L$6),FIND("(",INDEX($A2262:$J2262,$L$6)&amp;"(")-1)),L2261)</f>
        <v>Building Value Proposition</v>
      </c>
      <c r="M2262" s="37" t="str">
        <f aca="false">IF(INDEX($A2262:$J2262,$M$6)="","",INDEX($A2262:$J2262,$M$6)&amp;"")</f>
        <v/>
      </c>
      <c r="N2262" s="37" t="str">
        <f aca="false">IF($M2262="","",TRIM(INDEX($A2262:$J2262,$N$6)&amp;""))</f>
        <v/>
      </c>
      <c r="O2262" s="37" t="str">
        <f aca="false">IF($M2262="","",TRIM(INDEX($A2262:$J2262,$O$6)&amp;""))</f>
        <v/>
      </c>
      <c r="P2262" s="37" t="str">
        <f aca="false">IF($M2262="","",IFERROR(IF(INDEX(Settings!$B$41:$B$50,MATCH(O2262,Settings!$A$41:$A$50,0))&amp;""="","UNMAPPED",INDEX(Settings!$B$41:$B$50,MATCH(O2262,Settings!$A$41:$A$50,0))&amp;""),"UNMAPPED"))</f>
        <v/>
      </c>
      <c r="Q2262" s="38" t="n">
        <f aca="false">IF($M2262="",0,N(INDEX($A2262:$J2262,$Q$6)))</f>
        <v>0</v>
      </c>
      <c r="R2262" s="39" t="str">
        <f aca="false">IF($M2262="","",INDEX($A2262:$J2262,$R$6))</f>
        <v/>
      </c>
      <c r="S2262" s="37" t="str">
        <f aca="false">IF($M2262="","",IFERROR(INDEX(Settings!$B$27:$B$36,MATCH(L2262,Settings!$A$27:$A$36,0))&amp;"","UNMAPPED"))</f>
        <v/>
      </c>
      <c r="T2262" s="37" t="str">
        <f aca="false">IF($M2262="","",IF(NOT(ISNUMBER(R2262)),"NO DATE",IF(S2262="Won",IF(R2262&gt;Settings!$B$5,"Backlog","Delivered"),IF(S2262="Open",IF(R2262&gt;Settings!$B$5,"Pipeline","Overdue"),IF(S2262="Lost","Lost","UNMAPPED")))))</f>
        <v/>
      </c>
      <c r="U2262" s="40" t="n">
        <f aca="false">IF(T2262="Backlog",1,IF(OR(T2262="Pipeline",T2262="Overdue"),N(INDEX(Settings!$C$27:$C$36,MATCH(L2262,Settings!$A$27:$A$36,0))),0))</f>
        <v>0</v>
      </c>
      <c r="V2262" s="38" t="n">
        <f aca="false">Q2262*U2262</f>
        <v>0</v>
      </c>
      <c r="W2262" s="41" t="str">
        <f aca="false">IF($M2262="","",IF(T2262="Overdue",IF(Settings!$B$8="Yes",Settings!$B$7,""),IF(ISNUMBER(R2262),DATE(YEAR(R2262),MONTH(R2262),1),"")))</f>
        <v/>
      </c>
      <c r="X2262" s="38" t="n">
        <f aca="false">IF(AND(OR(T2262="Backlog",T2262="Pipeline",T2262="Overdue"),ISNUMBER(W2262)),IF(W2262&lt;=Settings!$B$6,V2262,0),0)</f>
        <v>0</v>
      </c>
      <c r="Y2262" s="38" t="n">
        <f aca="false">IF(AND(OR(T2262="Backlog",T2262="Pipeline",T2262="Overdue"),ISNUMBER(W2262)),IF(W2262&lt;=Settings!$B$6,Q2262,0),0)</f>
        <v>0</v>
      </c>
      <c r="Z2262" s="38" t="n">
        <f aca="false">IF(Y2262=0,0,IF(T2262="Backlog",Q2262,Q2262*Dashboard!$C$10))</f>
        <v>0</v>
      </c>
      <c r="AA2262" s="37" t="n">
        <f aca="false">IF($N2262="",0,IF(COUNTIF(Dashboard!$C$13:$C$22,$N2262)&gt;0,1,0))</f>
        <v>0</v>
      </c>
      <c r="AB2262" s="37" t="str">
        <f aca="false">IF($N2262="","",IF(COUNTIF($N$8:$N2262,$N2262)=1,MAX($AB$7:$AB2261)+1,""))</f>
        <v/>
      </c>
    </row>
    <row r="2263" customFormat="false" ht="15" hidden="false" customHeight="false" outlineLevel="0" collapsed="false">
      <c r="L2263" s="37" t="str">
        <f aca="false">IF(INDEX($A2263:$J2263,$L$6)&lt;&gt;"",TRIM(LEFT(INDEX($A2263:$J2263,$L$6),FIND("(",INDEX($A2263:$J2263,$L$6)&amp;"(")-1)),L2262)</f>
        <v>Building Value Proposition</v>
      </c>
      <c r="M2263" s="37" t="str">
        <f aca="false">IF(INDEX($A2263:$J2263,$M$6)="","",INDEX($A2263:$J2263,$M$6)&amp;"")</f>
        <v/>
      </c>
      <c r="N2263" s="37" t="str">
        <f aca="false">IF($M2263="","",TRIM(INDEX($A2263:$J2263,$N$6)&amp;""))</f>
        <v/>
      </c>
      <c r="O2263" s="37" t="str">
        <f aca="false">IF($M2263="","",TRIM(INDEX($A2263:$J2263,$O$6)&amp;""))</f>
        <v/>
      </c>
      <c r="P2263" s="37" t="str">
        <f aca="false">IF($M2263="","",IFERROR(IF(INDEX(Settings!$B$41:$B$50,MATCH(O2263,Settings!$A$41:$A$50,0))&amp;""="","UNMAPPED",INDEX(Settings!$B$41:$B$50,MATCH(O2263,Settings!$A$41:$A$50,0))&amp;""),"UNMAPPED"))</f>
        <v/>
      </c>
      <c r="Q2263" s="38" t="n">
        <f aca="false">IF($M2263="",0,N(INDEX($A2263:$J2263,$Q$6)))</f>
        <v>0</v>
      </c>
      <c r="R2263" s="39" t="str">
        <f aca="false">IF($M2263="","",INDEX($A2263:$J2263,$R$6))</f>
        <v/>
      </c>
      <c r="S2263" s="37" t="str">
        <f aca="false">IF($M2263="","",IFERROR(INDEX(Settings!$B$27:$B$36,MATCH(L2263,Settings!$A$27:$A$36,0))&amp;"","UNMAPPED"))</f>
        <v/>
      </c>
      <c r="T2263" s="37" t="str">
        <f aca="false">IF($M2263="","",IF(NOT(ISNUMBER(R2263)),"NO DATE",IF(S2263="Won",IF(R2263&gt;Settings!$B$5,"Backlog","Delivered"),IF(S2263="Open",IF(R2263&gt;Settings!$B$5,"Pipeline","Overdue"),IF(S2263="Lost","Lost","UNMAPPED")))))</f>
        <v/>
      </c>
      <c r="U2263" s="40" t="n">
        <f aca="false">IF(T2263="Backlog",1,IF(OR(T2263="Pipeline",T2263="Overdue"),N(INDEX(Settings!$C$27:$C$36,MATCH(L2263,Settings!$A$27:$A$36,0))),0))</f>
        <v>0</v>
      </c>
      <c r="V2263" s="38" t="n">
        <f aca="false">Q2263*U2263</f>
        <v>0</v>
      </c>
      <c r="W2263" s="41" t="str">
        <f aca="false">IF($M2263="","",IF(T2263="Overdue",IF(Settings!$B$8="Yes",Settings!$B$7,""),IF(ISNUMBER(R2263),DATE(YEAR(R2263),MONTH(R2263),1),"")))</f>
        <v/>
      </c>
      <c r="X2263" s="38" t="n">
        <f aca="false">IF(AND(OR(T2263="Backlog",T2263="Pipeline",T2263="Overdue"),ISNUMBER(W2263)),IF(W2263&lt;=Settings!$B$6,V2263,0),0)</f>
        <v>0</v>
      </c>
      <c r="Y2263" s="38" t="n">
        <f aca="false">IF(AND(OR(T2263="Backlog",T2263="Pipeline",T2263="Overdue"),ISNUMBER(W2263)),IF(W2263&lt;=Settings!$B$6,Q2263,0),0)</f>
        <v>0</v>
      </c>
      <c r="Z2263" s="38" t="n">
        <f aca="false">IF(Y2263=0,0,IF(T2263="Backlog",Q2263,Q2263*Dashboard!$C$10))</f>
        <v>0</v>
      </c>
      <c r="AA2263" s="37" t="n">
        <f aca="false">IF($N2263="",0,IF(COUNTIF(Dashboard!$C$13:$C$22,$N2263)&gt;0,1,0))</f>
        <v>0</v>
      </c>
      <c r="AB2263" s="37" t="str">
        <f aca="false">IF($N2263="","",IF(COUNTIF($N$8:$N2263,$N2263)=1,MAX($AB$7:$AB2262)+1,""))</f>
        <v/>
      </c>
    </row>
    <row r="2264" customFormat="false" ht="15" hidden="false" customHeight="false" outlineLevel="0" collapsed="false">
      <c r="L2264" s="37" t="str">
        <f aca="false">IF(INDEX($A2264:$J2264,$L$6)&lt;&gt;"",TRIM(LEFT(INDEX($A2264:$J2264,$L$6),FIND("(",INDEX($A2264:$J2264,$L$6)&amp;"(")-1)),L2263)</f>
        <v>Building Value Proposition</v>
      </c>
      <c r="M2264" s="37" t="str">
        <f aca="false">IF(INDEX($A2264:$J2264,$M$6)="","",INDEX($A2264:$J2264,$M$6)&amp;"")</f>
        <v/>
      </c>
      <c r="N2264" s="37" t="str">
        <f aca="false">IF($M2264="","",TRIM(INDEX($A2264:$J2264,$N$6)&amp;""))</f>
        <v/>
      </c>
      <c r="O2264" s="37" t="str">
        <f aca="false">IF($M2264="","",TRIM(INDEX($A2264:$J2264,$O$6)&amp;""))</f>
        <v/>
      </c>
      <c r="P2264" s="37" t="str">
        <f aca="false">IF($M2264="","",IFERROR(IF(INDEX(Settings!$B$41:$B$50,MATCH(O2264,Settings!$A$41:$A$50,0))&amp;""="","UNMAPPED",INDEX(Settings!$B$41:$B$50,MATCH(O2264,Settings!$A$41:$A$50,0))&amp;""),"UNMAPPED"))</f>
        <v/>
      </c>
      <c r="Q2264" s="38" t="n">
        <f aca="false">IF($M2264="",0,N(INDEX($A2264:$J2264,$Q$6)))</f>
        <v>0</v>
      </c>
      <c r="R2264" s="39" t="str">
        <f aca="false">IF($M2264="","",INDEX($A2264:$J2264,$R$6))</f>
        <v/>
      </c>
      <c r="S2264" s="37" t="str">
        <f aca="false">IF($M2264="","",IFERROR(INDEX(Settings!$B$27:$B$36,MATCH(L2264,Settings!$A$27:$A$36,0))&amp;"","UNMAPPED"))</f>
        <v/>
      </c>
      <c r="T2264" s="37" t="str">
        <f aca="false">IF($M2264="","",IF(NOT(ISNUMBER(R2264)),"NO DATE",IF(S2264="Won",IF(R2264&gt;Settings!$B$5,"Backlog","Delivered"),IF(S2264="Open",IF(R2264&gt;Settings!$B$5,"Pipeline","Overdue"),IF(S2264="Lost","Lost","UNMAPPED")))))</f>
        <v/>
      </c>
      <c r="U2264" s="40" t="n">
        <f aca="false">IF(T2264="Backlog",1,IF(OR(T2264="Pipeline",T2264="Overdue"),N(INDEX(Settings!$C$27:$C$36,MATCH(L2264,Settings!$A$27:$A$36,0))),0))</f>
        <v>0</v>
      </c>
      <c r="V2264" s="38" t="n">
        <f aca="false">Q2264*U2264</f>
        <v>0</v>
      </c>
      <c r="W2264" s="41" t="str">
        <f aca="false">IF($M2264="","",IF(T2264="Overdue",IF(Settings!$B$8="Yes",Settings!$B$7,""),IF(ISNUMBER(R2264),DATE(YEAR(R2264),MONTH(R2264),1),"")))</f>
        <v/>
      </c>
      <c r="X2264" s="38" t="n">
        <f aca="false">IF(AND(OR(T2264="Backlog",T2264="Pipeline",T2264="Overdue"),ISNUMBER(W2264)),IF(W2264&lt;=Settings!$B$6,V2264,0),0)</f>
        <v>0</v>
      </c>
      <c r="Y2264" s="38" t="n">
        <f aca="false">IF(AND(OR(T2264="Backlog",T2264="Pipeline",T2264="Overdue"),ISNUMBER(W2264)),IF(W2264&lt;=Settings!$B$6,Q2264,0),0)</f>
        <v>0</v>
      </c>
      <c r="Z2264" s="38" t="n">
        <f aca="false">IF(Y2264=0,0,IF(T2264="Backlog",Q2264,Q2264*Dashboard!$C$10))</f>
        <v>0</v>
      </c>
      <c r="AA2264" s="37" t="n">
        <f aca="false">IF($N2264="",0,IF(COUNTIF(Dashboard!$C$13:$C$22,$N2264)&gt;0,1,0))</f>
        <v>0</v>
      </c>
      <c r="AB2264" s="37" t="str">
        <f aca="false">IF($N2264="","",IF(COUNTIF($N$8:$N2264,$N2264)=1,MAX($AB$7:$AB2263)+1,""))</f>
        <v/>
      </c>
    </row>
    <row r="2265" customFormat="false" ht="15" hidden="false" customHeight="false" outlineLevel="0" collapsed="false">
      <c r="L2265" s="37" t="str">
        <f aca="false">IF(INDEX($A2265:$J2265,$L$6)&lt;&gt;"",TRIM(LEFT(INDEX($A2265:$J2265,$L$6),FIND("(",INDEX($A2265:$J2265,$L$6)&amp;"(")-1)),L2264)</f>
        <v>Building Value Proposition</v>
      </c>
      <c r="M2265" s="37" t="str">
        <f aca="false">IF(INDEX($A2265:$J2265,$M$6)="","",INDEX($A2265:$J2265,$M$6)&amp;"")</f>
        <v/>
      </c>
      <c r="N2265" s="37" t="str">
        <f aca="false">IF($M2265="","",TRIM(INDEX($A2265:$J2265,$N$6)&amp;""))</f>
        <v/>
      </c>
      <c r="O2265" s="37" t="str">
        <f aca="false">IF($M2265="","",TRIM(INDEX($A2265:$J2265,$O$6)&amp;""))</f>
        <v/>
      </c>
      <c r="P2265" s="37" t="str">
        <f aca="false">IF($M2265="","",IFERROR(IF(INDEX(Settings!$B$41:$B$50,MATCH(O2265,Settings!$A$41:$A$50,0))&amp;""="","UNMAPPED",INDEX(Settings!$B$41:$B$50,MATCH(O2265,Settings!$A$41:$A$50,0))&amp;""),"UNMAPPED"))</f>
        <v/>
      </c>
      <c r="Q2265" s="38" t="n">
        <f aca="false">IF($M2265="",0,N(INDEX($A2265:$J2265,$Q$6)))</f>
        <v>0</v>
      </c>
      <c r="R2265" s="39" t="str">
        <f aca="false">IF($M2265="","",INDEX($A2265:$J2265,$R$6))</f>
        <v/>
      </c>
      <c r="S2265" s="37" t="str">
        <f aca="false">IF($M2265="","",IFERROR(INDEX(Settings!$B$27:$B$36,MATCH(L2265,Settings!$A$27:$A$36,0))&amp;"","UNMAPPED"))</f>
        <v/>
      </c>
      <c r="T2265" s="37" t="str">
        <f aca="false">IF($M2265="","",IF(NOT(ISNUMBER(R2265)),"NO DATE",IF(S2265="Won",IF(R2265&gt;Settings!$B$5,"Backlog","Delivered"),IF(S2265="Open",IF(R2265&gt;Settings!$B$5,"Pipeline","Overdue"),IF(S2265="Lost","Lost","UNMAPPED")))))</f>
        <v/>
      </c>
      <c r="U2265" s="40" t="n">
        <f aca="false">IF(T2265="Backlog",1,IF(OR(T2265="Pipeline",T2265="Overdue"),N(INDEX(Settings!$C$27:$C$36,MATCH(L2265,Settings!$A$27:$A$36,0))),0))</f>
        <v>0</v>
      </c>
      <c r="V2265" s="38" t="n">
        <f aca="false">Q2265*U2265</f>
        <v>0</v>
      </c>
      <c r="W2265" s="41" t="str">
        <f aca="false">IF($M2265="","",IF(T2265="Overdue",IF(Settings!$B$8="Yes",Settings!$B$7,""),IF(ISNUMBER(R2265),DATE(YEAR(R2265),MONTH(R2265),1),"")))</f>
        <v/>
      </c>
      <c r="X2265" s="38" t="n">
        <f aca="false">IF(AND(OR(T2265="Backlog",T2265="Pipeline",T2265="Overdue"),ISNUMBER(W2265)),IF(W2265&lt;=Settings!$B$6,V2265,0),0)</f>
        <v>0</v>
      </c>
      <c r="Y2265" s="38" t="n">
        <f aca="false">IF(AND(OR(T2265="Backlog",T2265="Pipeline",T2265="Overdue"),ISNUMBER(W2265)),IF(W2265&lt;=Settings!$B$6,Q2265,0),0)</f>
        <v>0</v>
      </c>
      <c r="Z2265" s="38" t="n">
        <f aca="false">IF(Y2265=0,0,IF(T2265="Backlog",Q2265,Q2265*Dashboard!$C$10))</f>
        <v>0</v>
      </c>
      <c r="AA2265" s="37" t="n">
        <f aca="false">IF($N2265="",0,IF(COUNTIF(Dashboard!$C$13:$C$22,$N2265)&gt;0,1,0))</f>
        <v>0</v>
      </c>
      <c r="AB2265" s="37" t="str">
        <f aca="false">IF($N2265="","",IF(COUNTIF($N$8:$N2265,$N2265)=1,MAX($AB$7:$AB2264)+1,""))</f>
        <v/>
      </c>
    </row>
    <row r="2266" customFormat="false" ht="15" hidden="false" customHeight="false" outlineLevel="0" collapsed="false">
      <c r="L2266" s="37" t="str">
        <f aca="false">IF(INDEX($A2266:$J2266,$L$6)&lt;&gt;"",TRIM(LEFT(INDEX($A2266:$J2266,$L$6),FIND("(",INDEX($A2266:$J2266,$L$6)&amp;"(")-1)),L2265)</f>
        <v>Building Value Proposition</v>
      </c>
      <c r="M2266" s="37" t="str">
        <f aca="false">IF(INDEX($A2266:$J2266,$M$6)="","",INDEX($A2266:$J2266,$M$6)&amp;"")</f>
        <v/>
      </c>
      <c r="N2266" s="37" t="str">
        <f aca="false">IF($M2266="","",TRIM(INDEX($A2266:$J2266,$N$6)&amp;""))</f>
        <v/>
      </c>
      <c r="O2266" s="37" t="str">
        <f aca="false">IF($M2266="","",TRIM(INDEX($A2266:$J2266,$O$6)&amp;""))</f>
        <v/>
      </c>
      <c r="P2266" s="37" t="str">
        <f aca="false">IF($M2266="","",IFERROR(IF(INDEX(Settings!$B$41:$B$50,MATCH(O2266,Settings!$A$41:$A$50,0))&amp;""="","UNMAPPED",INDEX(Settings!$B$41:$B$50,MATCH(O2266,Settings!$A$41:$A$50,0))&amp;""),"UNMAPPED"))</f>
        <v/>
      </c>
      <c r="Q2266" s="38" t="n">
        <f aca="false">IF($M2266="",0,N(INDEX($A2266:$J2266,$Q$6)))</f>
        <v>0</v>
      </c>
      <c r="R2266" s="39" t="str">
        <f aca="false">IF($M2266="","",INDEX($A2266:$J2266,$R$6))</f>
        <v/>
      </c>
      <c r="S2266" s="37" t="str">
        <f aca="false">IF($M2266="","",IFERROR(INDEX(Settings!$B$27:$B$36,MATCH(L2266,Settings!$A$27:$A$36,0))&amp;"","UNMAPPED"))</f>
        <v/>
      </c>
      <c r="T2266" s="37" t="str">
        <f aca="false">IF($M2266="","",IF(NOT(ISNUMBER(R2266)),"NO DATE",IF(S2266="Won",IF(R2266&gt;Settings!$B$5,"Backlog","Delivered"),IF(S2266="Open",IF(R2266&gt;Settings!$B$5,"Pipeline","Overdue"),IF(S2266="Lost","Lost","UNMAPPED")))))</f>
        <v/>
      </c>
      <c r="U2266" s="40" t="n">
        <f aca="false">IF(T2266="Backlog",1,IF(OR(T2266="Pipeline",T2266="Overdue"),N(INDEX(Settings!$C$27:$C$36,MATCH(L2266,Settings!$A$27:$A$36,0))),0))</f>
        <v>0</v>
      </c>
      <c r="V2266" s="38" t="n">
        <f aca="false">Q2266*U2266</f>
        <v>0</v>
      </c>
      <c r="W2266" s="41" t="str">
        <f aca="false">IF($M2266="","",IF(T2266="Overdue",IF(Settings!$B$8="Yes",Settings!$B$7,""),IF(ISNUMBER(R2266),DATE(YEAR(R2266),MONTH(R2266),1),"")))</f>
        <v/>
      </c>
      <c r="X2266" s="38" t="n">
        <f aca="false">IF(AND(OR(T2266="Backlog",T2266="Pipeline",T2266="Overdue"),ISNUMBER(W2266)),IF(W2266&lt;=Settings!$B$6,V2266,0),0)</f>
        <v>0</v>
      </c>
      <c r="Y2266" s="38" t="n">
        <f aca="false">IF(AND(OR(T2266="Backlog",T2266="Pipeline",T2266="Overdue"),ISNUMBER(W2266)),IF(W2266&lt;=Settings!$B$6,Q2266,0),0)</f>
        <v>0</v>
      </c>
      <c r="Z2266" s="38" t="n">
        <f aca="false">IF(Y2266=0,0,IF(T2266="Backlog",Q2266,Q2266*Dashboard!$C$10))</f>
        <v>0</v>
      </c>
      <c r="AA2266" s="37" t="n">
        <f aca="false">IF($N2266="",0,IF(COUNTIF(Dashboard!$C$13:$C$22,$N2266)&gt;0,1,0))</f>
        <v>0</v>
      </c>
      <c r="AB2266" s="37" t="str">
        <f aca="false">IF($N2266="","",IF(COUNTIF($N$8:$N2266,$N2266)=1,MAX($AB$7:$AB2265)+1,""))</f>
        <v/>
      </c>
    </row>
    <row r="2267" customFormat="false" ht="15" hidden="false" customHeight="false" outlineLevel="0" collapsed="false">
      <c r="L2267" s="37" t="str">
        <f aca="false">IF(INDEX($A2267:$J2267,$L$6)&lt;&gt;"",TRIM(LEFT(INDEX($A2267:$J2267,$L$6),FIND("(",INDEX($A2267:$J2267,$L$6)&amp;"(")-1)),L2266)</f>
        <v>Building Value Proposition</v>
      </c>
      <c r="M2267" s="37" t="str">
        <f aca="false">IF(INDEX($A2267:$J2267,$M$6)="","",INDEX($A2267:$J2267,$M$6)&amp;"")</f>
        <v/>
      </c>
      <c r="N2267" s="37" t="str">
        <f aca="false">IF($M2267="","",TRIM(INDEX($A2267:$J2267,$N$6)&amp;""))</f>
        <v/>
      </c>
      <c r="O2267" s="37" t="str">
        <f aca="false">IF($M2267="","",TRIM(INDEX($A2267:$J2267,$O$6)&amp;""))</f>
        <v/>
      </c>
      <c r="P2267" s="37" t="str">
        <f aca="false">IF($M2267="","",IFERROR(IF(INDEX(Settings!$B$41:$B$50,MATCH(O2267,Settings!$A$41:$A$50,0))&amp;""="","UNMAPPED",INDEX(Settings!$B$41:$B$50,MATCH(O2267,Settings!$A$41:$A$50,0))&amp;""),"UNMAPPED"))</f>
        <v/>
      </c>
      <c r="Q2267" s="38" t="n">
        <f aca="false">IF($M2267="",0,N(INDEX($A2267:$J2267,$Q$6)))</f>
        <v>0</v>
      </c>
      <c r="R2267" s="39" t="str">
        <f aca="false">IF($M2267="","",INDEX($A2267:$J2267,$R$6))</f>
        <v/>
      </c>
      <c r="S2267" s="37" t="str">
        <f aca="false">IF($M2267="","",IFERROR(INDEX(Settings!$B$27:$B$36,MATCH(L2267,Settings!$A$27:$A$36,0))&amp;"","UNMAPPED"))</f>
        <v/>
      </c>
      <c r="T2267" s="37" t="str">
        <f aca="false">IF($M2267="","",IF(NOT(ISNUMBER(R2267)),"NO DATE",IF(S2267="Won",IF(R2267&gt;Settings!$B$5,"Backlog","Delivered"),IF(S2267="Open",IF(R2267&gt;Settings!$B$5,"Pipeline","Overdue"),IF(S2267="Lost","Lost","UNMAPPED")))))</f>
        <v/>
      </c>
      <c r="U2267" s="40" t="n">
        <f aca="false">IF(T2267="Backlog",1,IF(OR(T2267="Pipeline",T2267="Overdue"),N(INDEX(Settings!$C$27:$C$36,MATCH(L2267,Settings!$A$27:$A$36,0))),0))</f>
        <v>0</v>
      </c>
      <c r="V2267" s="38" t="n">
        <f aca="false">Q2267*U2267</f>
        <v>0</v>
      </c>
      <c r="W2267" s="41" t="str">
        <f aca="false">IF($M2267="","",IF(T2267="Overdue",IF(Settings!$B$8="Yes",Settings!$B$7,""),IF(ISNUMBER(R2267),DATE(YEAR(R2267),MONTH(R2267),1),"")))</f>
        <v/>
      </c>
      <c r="X2267" s="38" t="n">
        <f aca="false">IF(AND(OR(T2267="Backlog",T2267="Pipeline",T2267="Overdue"),ISNUMBER(W2267)),IF(W2267&lt;=Settings!$B$6,V2267,0),0)</f>
        <v>0</v>
      </c>
      <c r="Y2267" s="38" t="n">
        <f aca="false">IF(AND(OR(T2267="Backlog",T2267="Pipeline",T2267="Overdue"),ISNUMBER(W2267)),IF(W2267&lt;=Settings!$B$6,Q2267,0),0)</f>
        <v>0</v>
      </c>
      <c r="Z2267" s="38" t="n">
        <f aca="false">IF(Y2267=0,0,IF(T2267="Backlog",Q2267,Q2267*Dashboard!$C$10))</f>
        <v>0</v>
      </c>
      <c r="AA2267" s="37" t="n">
        <f aca="false">IF($N2267="",0,IF(COUNTIF(Dashboard!$C$13:$C$22,$N2267)&gt;0,1,0))</f>
        <v>0</v>
      </c>
      <c r="AB2267" s="37" t="str">
        <f aca="false">IF($N2267="","",IF(COUNTIF($N$8:$N2267,$N2267)=1,MAX($AB$7:$AB2266)+1,""))</f>
        <v/>
      </c>
    </row>
    <row r="2268" customFormat="false" ht="15" hidden="false" customHeight="false" outlineLevel="0" collapsed="false">
      <c r="L2268" s="37" t="str">
        <f aca="false">IF(INDEX($A2268:$J2268,$L$6)&lt;&gt;"",TRIM(LEFT(INDEX($A2268:$J2268,$L$6),FIND("(",INDEX($A2268:$J2268,$L$6)&amp;"(")-1)),L2267)</f>
        <v>Building Value Proposition</v>
      </c>
      <c r="M2268" s="37" t="str">
        <f aca="false">IF(INDEX($A2268:$J2268,$M$6)="","",INDEX($A2268:$J2268,$M$6)&amp;"")</f>
        <v/>
      </c>
      <c r="N2268" s="37" t="str">
        <f aca="false">IF($M2268="","",TRIM(INDEX($A2268:$J2268,$N$6)&amp;""))</f>
        <v/>
      </c>
      <c r="O2268" s="37" t="str">
        <f aca="false">IF($M2268="","",TRIM(INDEX($A2268:$J2268,$O$6)&amp;""))</f>
        <v/>
      </c>
      <c r="P2268" s="37" t="str">
        <f aca="false">IF($M2268="","",IFERROR(IF(INDEX(Settings!$B$41:$B$50,MATCH(O2268,Settings!$A$41:$A$50,0))&amp;""="","UNMAPPED",INDEX(Settings!$B$41:$B$50,MATCH(O2268,Settings!$A$41:$A$50,0))&amp;""),"UNMAPPED"))</f>
        <v/>
      </c>
      <c r="Q2268" s="38" t="n">
        <f aca="false">IF($M2268="",0,N(INDEX($A2268:$J2268,$Q$6)))</f>
        <v>0</v>
      </c>
      <c r="R2268" s="39" t="str">
        <f aca="false">IF($M2268="","",INDEX($A2268:$J2268,$R$6))</f>
        <v/>
      </c>
      <c r="S2268" s="37" t="str">
        <f aca="false">IF($M2268="","",IFERROR(INDEX(Settings!$B$27:$B$36,MATCH(L2268,Settings!$A$27:$A$36,0))&amp;"","UNMAPPED"))</f>
        <v/>
      </c>
      <c r="T2268" s="37" t="str">
        <f aca="false">IF($M2268="","",IF(NOT(ISNUMBER(R2268)),"NO DATE",IF(S2268="Won",IF(R2268&gt;Settings!$B$5,"Backlog","Delivered"),IF(S2268="Open",IF(R2268&gt;Settings!$B$5,"Pipeline","Overdue"),IF(S2268="Lost","Lost","UNMAPPED")))))</f>
        <v/>
      </c>
      <c r="U2268" s="40" t="n">
        <f aca="false">IF(T2268="Backlog",1,IF(OR(T2268="Pipeline",T2268="Overdue"),N(INDEX(Settings!$C$27:$C$36,MATCH(L2268,Settings!$A$27:$A$36,0))),0))</f>
        <v>0</v>
      </c>
      <c r="V2268" s="38" t="n">
        <f aca="false">Q2268*U2268</f>
        <v>0</v>
      </c>
      <c r="W2268" s="41" t="str">
        <f aca="false">IF($M2268="","",IF(T2268="Overdue",IF(Settings!$B$8="Yes",Settings!$B$7,""),IF(ISNUMBER(R2268),DATE(YEAR(R2268),MONTH(R2268),1),"")))</f>
        <v/>
      </c>
      <c r="X2268" s="38" t="n">
        <f aca="false">IF(AND(OR(T2268="Backlog",T2268="Pipeline",T2268="Overdue"),ISNUMBER(W2268)),IF(W2268&lt;=Settings!$B$6,V2268,0),0)</f>
        <v>0</v>
      </c>
      <c r="Y2268" s="38" t="n">
        <f aca="false">IF(AND(OR(T2268="Backlog",T2268="Pipeline",T2268="Overdue"),ISNUMBER(W2268)),IF(W2268&lt;=Settings!$B$6,Q2268,0),0)</f>
        <v>0</v>
      </c>
      <c r="Z2268" s="38" t="n">
        <f aca="false">IF(Y2268=0,0,IF(T2268="Backlog",Q2268,Q2268*Dashboard!$C$10))</f>
        <v>0</v>
      </c>
      <c r="AA2268" s="37" t="n">
        <f aca="false">IF($N2268="",0,IF(COUNTIF(Dashboard!$C$13:$C$22,$N2268)&gt;0,1,0))</f>
        <v>0</v>
      </c>
      <c r="AB2268" s="37" t="str">
        <f aca="false">IF($N2268="","",IF(COUNTIF($N$8:$N2268,$N2268)=1,MAX($AB$7:$AB2267)+1,""))</f>
        <v/>
      </c>
    </row>
    <row r="2269" customFormat="false" ht="15" hidden="false" customHeight="false" outlineLevel="0" collapsed="false">
      <c r="L2269" s="37" t="str">
        <f aca="false">IF(INDEX($A2269:$J2269,$L$6)&lt;&gt;"",TRIM(LEFT(INDEX($A2269:$J2269,$L$6),FIND("(",INDEX($A2269:$J2269,$L$6)&amp;"(")-1)),L2268)</f>
        <v>Building Value Proposition</v>
      </c>
      <c r="M2269" s="37" t="str">
        <f aca="false">IF(INDEX($A2269:$J2269,$M$6)="","",INDEX($A2269:$J2269,$M$6)&amp;"")</f>
        <v/>
      </c>
      <c r="N2269" s="37" t="str">
        <f aca="false">IF($M2269="","",TRIM(INDEX($A2269:$J2269,$N$6)&amp;""))</f>
        <v/>
      </c>
      <c r="O2269" s="37" t="str">
        <f aca="false">IF($M2269="","",TRIM(INDEX($A2269:$J2269,$O$6)&amp;""))</f>
        <v/>
      </c>
      <c r="P2269" s="37" t="str">
        <f aca="false">IF($M2269="","",IFERROR(IF(INDEX(Settings!$B$41:$B$50,MATCH(O2269,Settings!$A$41:$A$50,0))&amp;""="","UNMAPPED",INDEX(Settings!$B$41:$B$50,MATCH(O2269,Settings!$A$41:$A$50,0))&amp;""),"UNMAPPED"))</f>
        <v/>
      </c>
      <c r="Q2269" s="38" t="n">
        <f aca="false">IF($M2269="",0,N(INDEX($A2269:$J2269,$Q$6)))</f>
        <v>0</v>
      </c>
      <c r="R2269" s="39" t="str">
        <f aca="false">IF($M2269="","",INDEX($A2269:$J2269,$R$6))</f>
        <v/>
      </c>
      <c r="S2269" s="37" t="str">
        <f aca="false">IF($M2269="","",IFERROR(INDEX(Settings!$B$27:$B$36,MATCH(L2269,Settings!$A$27:$A$36,0))&amp;"","UNMAPPED"))</f>
        <v/>
      </c>
      <c r="T2269" s="37" t="str">
        <f aca="false">IF($M2269="","",IF(NOT(ISNUMBER(R2269)),"NO DATE",IF(S2269="Won",IF(R2269&gt;Settings!$B$5,"Backlog","Delivered"),IF(S2269="Open",IF(R2269&gt;Settings!$B$5,"Pipeline","Overdue"),IF(S2269="Lost","Lost","UNMAPPED")))))</f>
        <v/>
      </c>
      <c r="U2269" s="40" t="n">
        <f aca="false">IF(T2269="Backlog",1,IF(OR(T2269="Pipeline",T2269="Overdue"),N(INDEX(Settings!$C$27:$C$36,MATCH(L2269,Settings!$A$27:$A$36,0))),0))</f>
        <v>0</v>
      </c>
      <c r="V2269" s="38" t="n">
        <f aca="false">Q2269*U2269</f>
        <v>0</v>
      </c>
      <c r="W2269" s="41" t="str">
        <f aca="false">IF($M2269="","",IF(T2269="Overdue",IF(Settings!$B$8="Yes",Settings!$B$7,""),IF(ISNUMBER(R2269),DATE(YEAR(R2269),MONTH(R2269),1),"")))</f>
        <v/>
      </c>
      <c r="X2269" s="38" t="n">
        <f aca="false">IF(AND(OR(T2269="Backlog",T2269="Pipeline",T2269="Overdue"),ISNUMBER(W2269)),IF(W2269&lt;=Settings!$B$6,V2269,0),0)</f>
        <v>0</v>
      </c>
      <c r="Y2269" s="38" t="n">
        <f aca="false">IF(AND(OR(T2269="Backlog",T2269="Pipeline",T2269="Overdue"),ISNUMBER(W2269)),IF(W2269&lt;=Settings!$B$6,Q2269,0),0)</f>
        <v>0</v>
      </c>
      <c r="Z2269" s="38" t="n">
        <f aca="false">IF(Y2269=0,0,IF(T2269="Backlog",Q2269,Q2269*Dashboard!$C$10))</f>
        <v>0</v>
      </c>
      <c r="AA2269" s="37" t="n">
        <f aca="false">IF($N2269="",0,IF(COUNTIF(Dashboard!$C$13:$C$22,$N2269)&gt;0,1,0))</f>
        <v>0</v>
      </c>
      <c r="AB2269" s="37" t="str">
        <f aca="false">IF($N2269="","",IF(COUNTIF($N$8:$N2269,$N2269)=1,MAX($AB$7:$AB2268)+1,""))</f>
        <v/>
      </c>
    </row>
    <row r="2270" customFormat="false" ht="15" hidden="false" customHeight="false" outlineLevel="0" collapsed="false">
      <c r="L2270" s="37" t="str">
        <f aca="false">IF(INDEX($A2270:$J2270,$L$6)&lt;&gt;"",TRIM(LEFT(INDEX($A2270:$J2270,$L$6),FIND("(",INDEX($A2270:$J2270,$L$6)&amp;"(")-1)),L2269)</f>
        <v>Building Value Proposition</v>
      </c>
      <c r="M2270" s="37" t="str">
        <f aca="false">IF(INDEX($A2270:$J2270,$M$6)="","",INDEX($A2270:$J2270,$M$6)&amp;"")</f>
        <v/>
      </c>
      <c r="N2270" s="37" t="str">
        <f aca="false">IF($M2270="","",TRIM(INDEX($A2270:$J2270,$N$6)&amp;""))</f>
        <v/>
      </c>
      <c r="O2270" s="37" t="str">
        <f aca="false">IF($M2270="","",TRIM(INDEX($A2270:$J2270,$O$6)&amp;""))</f>
        <v/>
      </c>
      <c r="P2270" s="37" t="str">
        <f aca="false">IF($M2270="","",IFERROR(IF(INDEX(Settings!$B$41:$B$50,MATCH(O2270,Settings!$A$41:$A$50,0))&amp;""="","UNMAPPED",INDEX(Settings!$B$41:$B$50,MATCH(O2270,Settings!$A$41:$A$50,0))&amp;""),"UNMAPPED"))</f>
        <v/>
      </c>
      <c r="Q2270" s="38" t="n">
        <f aca="false">IF($M2270="",0,N(INDEX($A2270:$J2270,$Q$6)))</f>
        <v>0</v>
      </c>
      <c r="R2270" s="39" t="str">
        <f aca="false">IF($M2270="","",INDEX($A2270:$J2270,$R$6))</f>
        <v/>
      </c>
      <c r="S2270" s="37" t="str">
        <f aca="false">IF($M2270="","",IFERROR(INDEX(Settings!$B$27:$B$36,MATCH(L2270,Settings!$A$27:$A$36,0))&amp;"","UNMAPPED"))</f>
        <v/>
      </c>
      <c r="T2270" s="37" t="str">
        <f aca="false">IF($M2270="","",IF(NOT(ISNUMBER(R2270)),"NO DATE",IF(S2270="Won",IF(R2270&gt;Settings!$B$5,"Backlog","Delivered"),IF(S2270="Open",IF(R2270&gt;Settings!$B$5,"Pipeline","Overdue"),IF(S2270="Lost","Lost","UNMAPPED")))))</f>
        <v/>
      </c>
      <c r="U2270" s="40" t="n">
        <f aca="false">IF(T2270="Backlog",1,IF(OR(T2270="Pipeline",T2270="Overdue"),N(INDEX(Settings!$C$27:$C$36,MATCH(L2270,Settings!$A$27:$A$36,0))),0))</f>
        <v>0</v>
      </c>
      <c r="V2270" s="38" t="n">
        <f aca="false">Q2270*U2270</f>
        <v>0</v>
      </c>
      <c r="W2270" s="41" t="str">
        <f aca="false">IF($M2270="","",IF(T2270="Overdue",IF(Settings!$B$8="Yes",Settings!$B$7,""),IF(ISNUMBER(R2270),DATE(YEAR(R2270),MONTH(R2270),1),"")))</f>
        <v/>
      </c>
      <c r="X2270" s="38" t="n">
        <f aca="false">IF(AND(OR(T2270="Backlog",T2270="Pipeline",T2270="Overdue"),ISNUMBER(W2270)),IF(W2270&lt;=Settings!$B$6,V2270,0),0)</f>
        <v>0</v>
      </c>
      <c r="Y2270" s="38" t="n">
        <f aca="false">IF(AND(OR(T2270="Backlog",T2270="Pipeline",T2270="Overdue"),ISNUMBER(W2270)),IF(W2270&lt;=Settings!$B$6,Q2270,0),0)</f>
        <v>0</v>
      </c>
      <c r="Z2270" s="38" t="n">
        <f aca="false">IF(Y2270=0,0,IF(T2270="Backlog",Q2270,Q2270*Dashboard!$C$10))</f>
        <v>0</v>
      </c>
      <c r="AA2270" s="37" t="n">
        <f aca="false">IF($N2270="",0,IF(COUNTIF(Dashboard!$C$13:$C$22,$N2270)&gt;0,1,0))</f>
        <v>0</v>
      </c>
      <c r="AB2270" s="37" t="str">
        <f aca="false">IF($N2270="","",IF(COUNTIF($N$8:$N2270,$N2270)=1,MAX($AB$7:$AB2269)+1,""))</f>
        <v/>
      </c>
    </row>
    <row r="2271" customFormat="false" ht="15" hidden="false" customHeight="false" outlineLevel="0" collapsed="false">
      <c r="L2271" s="37" t="str">
        <f aca="false">IF(INDEX($A2271:$J2271,$L$6)&lt;&gt;"",TRIM(LEFT(INDEX($A2271:$J2271,$L$6),FIND("(",INDEX($A2271:$J2271,$L$6)&amp;"(")-1)),L2270)</f>
        <v>Building Value Proposition</v>
      </c>
      <c r="M2271" s="37" t="str">
        <f aca="false">IF(INDEX($A2271:$J2271,$M$6)="","",INDEX($A2271:$J2271,$M$6)&amp;"")</f>
        <v/>
      </c>
      <c r="N2271" s="37" t="str">
        <f aca="false">IF($M2271="","",TRIM(INDEX($A2271:$J2271,$N$6)&amp;""))</f>
        <v/>
      </c>
      <c r="O2271" s="37" t="str">
        <f aca="false">IF($M2271="","",TRIM(INDEX($A2271:$J2271,$O$6)&amp;""))</f>
        <v/>
      </c>
      <c r="P2271" s="37" t="str">
        <f aca="false">IF($M2271="","",IFERROR(IF(INDEX(Settings!$B$41:$B$50,MATCH(O2271,Settings!$A$41:$A$50,0))&amp;""="","UNMAPPED",INDEX(Settings!$B$41:$B$50,MATCH(O2271,Settings!$A$41:$A$50,0))&amp;""),"UNMAPPED"))</f>
        <v/>
      </c>
      <c r="Q2271" s="38" t="n">
        <f aca="false">IF($M2271="",0,N(INDEX($A2271:$J2271,$Q$6)))</f>
        <v>0</v>
      </c>
      <c r="R2271" s="39" t="str">
        <f aca="false">IF($M2271="","",INDEX($A2271:$J2271,$R$6))</f>
        <v/>
      </c>
      <c r="S2271" s="37" t="str">
        <f aca="false">IF($M2271="","",IFERROR(INDEX(Settings!$B$27:$B$36,MATCH(L2271,Settings!$A$27:$A$36,0))&amp;"","UNMAPPED"))</f>
        <v/>
      </c>
      <c r="T2271" s="37" t="str">
        <f aca="false">IF($M2271="","",IF(NOT(ISNUMBER(R2271)),"NO DATE",IF(S2271="Won",IF(R2271&gt;Settings!$B$5,"Backlog","Delivered"),IF(S2271="Open",IF(R2271&gt;Settings!$B$5,"Pipeline","Overdue"),IF(S2271="Lost","Lost","UNMAPPED")))))</f>
        <v/>
      </c>
      <c r="U2271" s="40" t="n">
        <f aca="false">IF(T2271="Backlog",1,IF(OR(T2271="Pipeline",T2271="Overdue"),N(INDEX(Settings!$C$27:$C$36,MATCH(L2271,Settings!$A$27:$A$36,0))),0))</f>
        <v>0</v>
      </c>
      <c r="V2271" s="38" t="n">
        <f aca="false">Q2271*U2271</f>
        <v>0</v>
      </c>
      <c r="W2271" s="41" t="str">
        <f aca="false">IF($M2271="","",IF(T2271="Overdue",IF(Settings!$B$8="Yes",Settings!$B$7,""),IF(ISNUMBER(R2271),DATE(YEAR(R2271),MONTH(R2271),1),"")))</f>
        <v/>
      </c>
      <c r="X2271" s="38" t="n">
        <f aca="false">IF(AND(OR(T2271="Backlog",T2271="Pipeline",T2271="Overdue"),ISNUMBER(W2271)),IF(W2271&lt;=Settings!$B$6,V2271,0),0)</f>
        <v>0</v>
      </c>
      <c r="Y2271" s="38" t="n">
        <f aca="false">IF(AND(OR(T2271="Backlog",T2271="Pipeline",T2271="Overdue"),ISNUMBER(W2271)),IF(W2271&lt;=Settings!$B$6,Q2271,0),0)</f>
        <v>0</v>
      </c>
      <c r="Z2271" s="38" t="n">
        <f aca="false">IF(Y2271=0,0,IF(T2271="Backlog",Q2271,Q2271*Dashboard!$C$10))</f>
        <v>0</v>
      </c>
      <c r="AA2271" s="37" t="n">
        <f aca="false">IF($N2271="",0,IF(COUNTIF(Dashboard!$C$13:$C$22,$N2271)&gt;0,1,0))</f>
        <v>0</v>
      </c>
      <c r="AB2271" s="37" t="str">
        <f aca="false">IF($N2271="","",IF(COUNTIF($N$8:$N2271,$N2271)=1,MAX($AB$7:$AB2270)+1,""))</f>
        <v/>
      </c>
    </row>
    <row r="2272" customFormat="false" ht="15" hidden="false" customHeight="false" outlineLevel="0" collapsed="false">
      <c r="L2272" s="37" t="str">
        <f aca="false">IF(INDEX($A2272:$J2272,$L$6)&lt;&gt;"",TRIM(LEFT(INDEX($A2272:$J2272,$L$6),FIND("(",INDEX($A2272:$J2272,$L$6)&amp;"(")-1)),L2271)</f>
        <v>Building Value Proposition</v>
      </c>
      <c r="M2272" s="37" t="str">
        <f aca="false">IF(INDEX($A2272:$J2272,$M$6)="","",INDEX($A2272:$J2272,$M$6)&amp;"")</f>
        <v/>
      </c>
      <c r="N2272" s="37" t="str">
        <f aca="false">IF($M2272="","",TRIM(INDEX($A2272:$J2272,$N$6)&amp;""))</f>
        <v/>
      </c>
      <c r="O2272" s="37" t="str">
        <f aca="false">IF($M2272="","",TRIM(INDEX($A2272:$J2272,$O$6)&amp;""))</f>
        <v/>
      </c>
      <c r="P2272" s="37" t="str">
        <f aca="false">IF($M2272="","",IFERROR(IF(INDEX(Settings!$B$41:$B$50,MATCH(O2272,Settings!$A$41:$A$50,0))&amp;""="","UNMAPPED",INDEX(Settings!$B$41:$B$50,MATCH(O2272,Settings!$A$41:$A$50,0))&amp;""),"UNMAPPED"))</f>
        <v/>
      </c>
      <c r="Q2272" s="38" t="n">
        <f aca="false">IF($M2272="",0,N(INDEX($A2272:$J2272,$Q$6)))</f>
        <v>0</v>
      </c>
      <c r="R2272" s="39" t="str">
        <f aca="false">IF($M2272="","",INDEX($A2272:$J2272,$R$6))</f>
        <v/>
      </c>
      <c r="S2272" s="37" t="str">
        <f aca="false">IF($M2272="","",IFERROR(INDEX(Settings!$B$27:$B$36,MATCH(L2272,Settings!$A$27:$A$36,0))&amp;"","UNMAPPED"))</f>
        <v/>
      </c>
      <c r="T2272" s="37" t="str">
        <f aca="false">IF($M2272="","",IF(NOT(ISNUMBER(R2272)),"NO DATE",IF(S2272="Won",IF(R2272&gt;Settings!$B$5,"Backlog","Delivered"),IF(S2272="Open",IF(R2272&gt;Settings!$B$5,"Pipeline","Overdue"),IF(S2272="Lost","Lost","UNMAPPED")))))</f>
        <v/>
      </c>
      <c r="U2272" s="40" t="n">
        <f aca="false">IF(T2272="Backlog",1,IF(OR(T2272="Pipeline",T2272="Overdue"),N(INDEX(Settings!$C$27:$C$36,MATCH(L2272,Settings!$A$27:$A$36,0))),0))</f>
        <v>0</v>
      </c>
      <c r="V2272" s="38" t="n">
        <f aca="false">Q2272*U2272</f>
        <v>0</v>
      </c>
      <c r="W2272" s="41" t="str">
        <f aca="false">IF($M2272="","",IF(T2272="Overdue",IF(Settings!$B$8="Yes",Settings!$B$7,""),IF(ISNUMBER(R2272),DATE(YEAR(R2272),MONTH(R2272),1),"")))</f>
        <v/>
      </c>
      <c r="X2272" s="38" t="n">
        <f aca="false">IF(AND(OR(T2272="Backlog",T2272="Pipeline",T2272="Overdue"),ISNUMBER(W2272)),IF(W2272&lt;=Settings!$B$6,V2272,0),0)</f>
        <v>0</v>
      </c>
      <c r="Y2272" s="38" t="n">
        <f aca="false">IF(AND(OR(T2272="Backlog",T2272="Pipeline",T2272="Overdue"),ISNUMBER(W2272)),IF(W2272&lt;=Settings!$B$6,Q2272,0),0)</f>
        <v>0</v>
      </c>
      <c r="Z2272" s="38" t="n">
        <f aca="false">IF(Y2272=0,0,IF(T2272="Backlog",Q2272,Q2272*Dashboard!$C$10))</f>
        <v>0</v>
      </c>
      <c r="AA2272" s="37" t="n">
        <f aca="false">IF($N2272="",0,IF(COUNTIF(Dashboard!$C$13:$C$22,$N2272)&gt;0,1,0))</f>
        <v>0</v>
      </c>
      <c r="AB2272" s="37" t="str">
        <f aca="false">IF($N2272="","",IF(COUNTIF($N$8:$N2272,$N2272)=1,MAX($AB$7:$AB2271)+1,""))</f>
        <v/>
      </c>
    </row>
    <row r="2273" customFormat="false" ht="15" hidden="false" customHeight="false" outlineLevel="0" collapsed="false">
      <c r="L2273" s="37" t="str">
        <f aca="false">IF(INDEX($A2273:$J2273,$L$6)&lt;&gt;"",TRIM(LEFT(INDEX($A2273:$J2273,$L$6),FIND("(",INDEX($A2273:$J2273,$L$6)&amp;"(")-1)),L2272)</f>
        <v>Building Value Proposition</v>
      </c>
      <c r="M2273" s="37" t="str">
        <f aca="false">IF(INDEX($A2273:$J2273,$M$6)="","",INDEX($A2273:$J2273,$M$6)&amp;"")</f>
        <v/>
      </c>
      <c r="N2273" s="37" t="str">
        <f aca="false">IF($M2273="","",TRIM(INDEX($A2273:$J2273,$N$6)&amp;""))</f>
        <v/>
      </c>
      <c r="O2273" s="37" t="str">
        <f aca="false">IF($M2273="","",TRIM(INDEX($A2273:$J2273,$O$6)&amp;""))</f>
        <v/>
      </c>
      <c r="P2273" s="37" t="str">
        <f aca="false">IF($M2273="","",IFERROR(IF(INDEX(Settings!$B$41:$B$50,MATCH(O2273,Settings!$A$41:$A$50,0))&amp;""="","UNMAPPED",INDEX(Settings!$B$41:$B$50,MATCH(O2273,Settings!$A$41:$A$50,0))&amp;""),"UNMAPPED"))</f>
        <v/>
      </c>
      <c r="Q2273" s="38" t="n">
        <f aca="false">IF($M2273="",0,N(INDEX($A2273:$J2273,$Q$6)))</f>
        <v>0</v>
      </c>
      <c r="R2273" s="39" t="str">
        <f aca="false">IF($M2273="","",INDEX($A2273:$J2273,$R$6))</f>
        <v/>
      </c>
      <c r="S2273" s="37" t="str">
        <f aca="false">IF($M2273="","",IFERROR(INDEX(Settings!$B$27:$B$36,MATCH(L2273,Settings!$A$27:$A$36,0))&amp;"","UNMAPPED"))</f>
        <v/>
      </c>
      <c r="T2273" s="37" t="str">
        <f aca="false">IF($M2273="","",IF(NOT(ISNUMBER(R2273)),"NO DATE",IF(S2273="Won",IF(R2273&gt;Settings!$B$5,"Backlog","Delivered"),IF(S2273="Open",IF(R2273&gt;Settings!$B$5,"Pipeline","Overdue"),IF(S2273="Lost","Lost","UNMAPPED")))))</f>
        <v/>
      </c>
      <c r="U2273" s="40" t="n">
        <f aca="false">IF(T2273="Backlog",1,IF(OR(T2273="Pipeline",T2273="Overdue"),N(INDEX(Settings!$C$27:$C$36,MATCH(L2273,Settings!$A$27:$A$36,0))),0))</f>
        <v>0</v>
      </c>
      <c r="V2273" s="38" t="n">
        <f aca="false">Q2273*U2273</f>
        <v>0</v>
      </c>
      <c r="W2273" s="41" t="str">
        <f aca="false">IF($M2273="","",IF(T2273="Overdue",IF(Settings!$B$8="Yes",Settings!$B$7,""),IF(ISNUMBER(R2273),DATE(YEAR(R2273),MONTH(R2273),1),"")))</f>
        <v/>
      </c>
      <c r="X2273" s="38" t="n">
        <f aca="false">IF(AND(OR(T2273="Backlog",T2273="Pipeline",T2273="Overdue"),ISNUMBER(W2273)),IF(W2273&lt;=Settings!$B$6,V2273,0),0)</f>
        <v>0</v>
      </c>
      <c r="Y2273" s="38" t="n">
        <f aca="false">IF(AND(OR(T2273="Backlog",T2273="Pipeline",T2273="Overdue"),ISNUMBER(W2273)),IF(W2273&lt;=Settings!$B$6,Q2273,0),0)</f>
        <v>0</v>
      </c>
      <c r="Z2273" s="38" t="n">
        <f aca="false">IF(Y2273=0,0,IF(T2273="Backlog",Q2273,Q2273*Dashboard!$C$10))</f>
        <v>0</v>
      </c>
      <c r="AA2273" s="37" t="n">
        <f aca="false">IF($N2273="",0,IF(COUNTIF(Dashboard!$C$13:$C$22,$N2273)&gt;0,1,0))</f>
        <v>0</v>
      </c>
      <c r="AB2273" s="37" t="str">
        <f aca="false">IF($N2273="","",IF(COUNTIF($N$8:$N2273,$N2273)=1,MAX($AB$7:$AB2272)+1,""))</f>
        <v/>
      </c>
    </row>
    <row r="2274" customFormat="false" ht="15" hidden="false" customHeight="false" outlineLevel="0" collapsed="false">
      <c r="L2274" s="37" t="str">
        <f aca="false">IF(INDEX($A2274:$J2274,$L$6)&lt;&gt;"",TRIM(LEFT(INDEX($A2274:$J2274,$L$6),FIND("(",INDEX($A2274:$J2274,$L$6)&amp;"(")-1)),L2273)</f>
        <v>Building Value Proposition</v>
      </c>
      <c r="M2274" s="37" t="str">
        <f aca="false">IF(INDEX($A2274:$J2274,$M$6)="","",INDEX($A2274:$J2274,$M$6)&amp;"")</f>
        <v/>
      </c>
      <c r="N2274" s="37" t="str">
        <f aca="false">IF($M2274="","",TRIM(INDEX($A2274:$J2274,$N$6)&amp;""))</f>
        <v/>
      </c>
      <c r="O2274" s="37" t="str">
        <f aca="false">IF($M2274="","",TRIM(INDEX($A2274:$J2274,$O$6)&amp;""))</f>
        <v/>
      </c>
      <c r="P2274" s="37" t="str">
        <f aca="false">IF($M2274="","",IFERROR(IF(INDEX(Settings!$B$41:$B$50,MATCH(O2274,Settings!$A$41:$A$50,0))&amp;""="","UNMAPPED",INDEX(Settings!$B$41:$B$50,MATCH(O2274,Settings!$A$41:$A$50,0))&amp;""),"UNMAPPED"))</f>
        <v/>
      </c>
      <c r="Q2274" s="38" t="n">
        <f aca="false">IF($M2274="",0,N(INDEX($A2274:$J2274,$Q$6)))</f>
        <v>0</v>
      </c>
      <c r="R2274" s="39" t="str">
        <f aca="false">IF($M2274="","",INDEX($A2274:$J2274,$R$6))</f>
        <v/>
      </c>
      <c r="S2274" s="37" t="str">
        <f aca="false">IF($M2274="","",IFERROR(INDEX(Settings!$B$27:$B$36,MATCH(L2274,Settings!$A$27:$A$36,0))&amp;"","UNMAPPED"))</f>
        <v/>
      </c>
      <c r="T2274" s="37" t="str">
        <f aca="false">IF($M2274="","",IF(NOT(ISNUMBER(R2274)),"NO DATE",IF(S2274="Won",IF(R2274&gt;Settings!$B$5,"Backlog","Delivered"),IF(S2274="Open",IF(R2274&gt;Settings!$B$5,"Pipeline","Overdue"),IF(S2274="Lost","Lost","UNMAPPED")))))</f>
        <v/>
      </c>
      <c r="U2274" s="40" t="n">
        <f aca="false">IF(T2274="Backlog",1,IF(OR(T2274="Pipeline",T2274="Overdue"),N(INDEX(Settings!$C$27:$C$36,MATCH(L2274,Settings!$A$27:$A$36,0))),0))</f>
        <v>0</v>
      </c>
      <c r="V2274" s="38" t="n">
        <f aca="false">Q2274*U2274</f>
        <v>0</v>
      </c>
      <c r="W2274" s="41" t="str">
        <f aca="false">IF($M2274="","",IF(T2274="Overdue",IF(Settings!$B$8="Yes",Settings!$B$7,""),IF(ISNUMBER(R2274),DATE(YEAR(R2274),MONTH(R2274),1),"")))</f>
        <v/>
      </c>
      <c r="X2274" s="38" t="n">
        <f aca="false">IF(AND(OR(T2274="Backlog",T2274="Pipeline",T2274="Overdue"),ISNUMBER(W2274)),IF(W2274&lt;=Settings!$B$6,V2274,0),0)</f>
        <v>0</v>
      </c>
      <c r="Y2274" s="38" t="n">
        <f aca="false">IF(AND(OR(T2274="Backlog",T2274="Pipeline",T2274="Overdue"),ISNUMBER(W2274)),IF(W2274&lt;=Settings!$B$6,Q2274,0),0)</f>
        <v>0</v>
      </c>
      <c r="Z2274" s="38" t="n">
        <f aca="false">IF(Y2274=0,0,IF(T2274="Backlog",Q2274,Q2274*Dashboard!$C$10))</f>
        <v>0</v>
      </c>
      <c r="AA2274" s="37" t="n">
        <f aca="false">IF($N2274="",0,IF(COUNTIF(Dashboard!$C$13:$C$22,$N2274)&gt;0,1,0))</f>
        <v>0</v>
      </c>
      <c r="AB2274" s="37" t="str">
        <f aca="false">IF($N2274="","",IF(COUNTIF($N$8:$N2274,$N2274)=1,MAX($AB$7:$AB2273)+1,""))</f>
        <v/>
      </c>
    </row>
    <row r="2275" customFormat="false" ht="15" hidden="false" customHeight="false" outlineLevel="0" collapsed="false">
      <c r="L2275" s="37" t="str">
        <f aca="false">IF(INDEX($A2275:$J2275,$L$6)&lt;&gt;"",TRIM(LEFT(INDEX($A2275:$J2275,$L$6),FIND("(",INDEX($A2275:$J2275,$L$6)&amp;"(")-1)),L2274)</f>
        <v>Building Value Proposition</v>
      </c>
      <c r="M2275" s="37" t="str">
        <f aca="false">IF(INDEX($A2275:$J2275,$M$6)="","",INDEX($A2275:$J2275,$M$6)&amp;"")</f>
        <v/>
      </c>
      <c r="N2275" s="37" t="str">
        <f aca="false">IF($M2275="","",TRIM(INDEX($A2275:$J2275,$N$6)&amp;""))</f>
        <v/>
      </c>
      <c r="O2275" s="37" t="str">
        <f aca="false">IF($M2275="","",TRIM(INDEX($A2275:$J2275,$O$6)&amp;""))</f>
        <v/>
      </c>
      <c r="P2275" s="37" t="str">
        <f aca="false">IF($M2275="","",IFERROR(IF(INDEX(Settings!$B$41:$B$50,MATCH(O2275,Settings!$A$41:$A$50,0))&amp;""="","UNMAPPED",INDEX(Settings!$B$41:$B$50,MATCH(O2275,Settings!$A$41:$A$50,0))&amp;""),"UNMAPPED"))</f>
        <v/>
      </c>
      <c r="Q2275" s="38" t="n">
        <f aca="false">IF($M2275="",0,N(INDEX($A2275:$J2275,$Q$6)))</f>
        <v>0</v>
      </c>
      <c r="R2275" s="39" t="str">
        <f aca="false">IF($M2275="","",INDEX($A2275:$J2275,$R$6))</f>
        <v/>
      </c>
      <c r="S2275" s="37" t="str">
        <f aca="false">IF($M2275="","",IFERROR(INDEX(Settings!$B$27:$B$36,MATCH(L2275,Settings!$A$27:$A$36,0))&amp;"","UNMAPPED"))</f>
        <v/>
      </c>
      <c r="T2275" s="37" t="str">
        <f aca="false">IF($M2275="","",IF(NOT(ISNUMBER(R2275)),"NO DATE",IF(S2275="Won",IF(R2275&gt;Settings!$B$5,"Backlog","Delivered"),IF(S2275="Open",IF(R2275&gt;Settings!$B$5,"Pipeline","Overdue"),IF(S2275="Lost","Lost","UNMAPPED")))))</f>
        <v/>
      </c>
      <c r="U2275" s="40" t="n">
        <f aca="false">IF(T2275="Backlog",1,IF(OR(T2275="Pipeline",T2275="Overdue"),N(INDEX(Settings!$C$27:$C$36,MATCH(L2275,Settings!$A$27:$A$36,0))),0))</f>
        <v>0</v>
      </c>
      <c r="V2275" s="38" t="n">
        <f aca="false">Q2275*U2275</f>
        <v>0</v>
      </c>
      <c r="W2275" s="41" t="str">
        <f aca="false">IF($M2275="","",IF(T2275="Overdue",IF(Settings!$B$8="Yes",Settings!$B$7,""),IF(ISNUMBER(R2275),DATE(YEAR(R2275),MONTH(R2275),1),"")))</f>
        <v/>
      </c>
      <c r="X2275" s="38" t="n">
        <f aca="false">IF(AND(OR(T2275="Backlog",T2275="Pipeline",T2275="Overdue"),ISNUMBER(W2275)),IF(W2275&lt;=Settings!$B$6,V2275,0),0)</f>
        <v>0</v>
      </c>
      <c r="Y2275" s="38" t="n">
        <f aca="false">IF(AND(OR(T2275="Backlog",T2275="Pipeline",T2275="Overdue"),ISNUMBER(W2275)),IF(W2275&lt;=Settings!$B$6,Q2275,0),0)</f>
        <v>0</v>
      </c>
      <c r="Z2275" s="38" t="n">
        <f aca="false">IF(Y2275=0,0,IF(T2275="Backlog",Q2275,Q2275*Dashboard!$C$10))</f>
        <v>0</v>
      </c>
      <c r="AA2275" s="37" t="n">
        <f aca="false">IF($N2275="",0,IF(COUNTIF(Dashboard!$C$13:$C$22,$N2275)&gt;0,1,0))</f>
        <v>0</v>
      </c>
      <c r="AB2275" s="37" t="str">
        <f aca="false">IF($N2275="","",IF(COUNTIF($N$8:$N2275,$N2275)=1,MAX($AB$7:$AB2274)+1,""))</f>
        <v/>
      </c>
    </row>
    <row r="2276" customFormat="false" ht="15" hidden="false" customHeight="false" outlineLevel="0" collapsed="false">
      <c r="L2276" s="37" t="str">
        <f aca="false">IF(INDEX($A2276:$J2276,$L$6)&lt;&gt;"",TRIM(LEFT(INDEX($A2276:$J2276,$L$6),FIND("(",INDEX($A2276:$J2276,$L$6)&amp;"(")-1)),L2275)</f>
        <v>Building Value Proposition</v>
      </c>
      <c r="M2276" s="37" t="str">
        <f aca="false">IF(INDEX($A2276:$J2276,$M$6)="","",INDEX($A2276:$J2276,$M$6)&amp;"")</f>
        <v/>
      </c>
      <c r="N2276" s="37" t="str">
        <f aca="false">IF($M2276="","",TRIM(INDEX($A2276:$J2276,$N$6)&amp;""))</f>
        <v/>
      </c>
      <c r="O2276" s="37" t="str">
        <f aca="false">IF($M2276="","",TRIM(INDEX($A2276:$J2276,$O$6)&amp;""))</f>
        <v/>
      </c>
      <c r="P2276" s="37" t="str">
        <f aca="false">IF($M2276="","",IFERROR(IF(INDEX(Settings!$B$41:$B$50,MATCH(O2276,Settings!$A$41:$A$50,0))&amp;""="","UNMAPPED",INDEX(Settings!$B$41:$B$50,MATCH(O2276,Settings!$A$41:$A$50,0))&amp;""),"UNMAPPED"))</f>
        <v/>
      </c>
      <c r="Q2276" s="38" t="n">
        <f aca="false">IF($M2276="",0,N(INDEX($A2276:$J2276,$Q$6)))</f>
        <v>0</v>
      </c>
      <c r="R2276" s="39" t="str">
        <f aca="false">IF($M2276="","",INDEX($A2276:$J2276,$R$6))</f>
        <v/>
      </c>
      <c r="S2276" s="37" t="str">
        <f aca="false">IF($M2276="","",IFERROR(INDEX(Settings!$B$27:$B$36,MATCH(L2276,Settings!$A$27:$A$36,0))&amp;"","UNMAPPED"))</f>
        <v/>
      </c>
      <c r="T2276" s="37" t="str">
        <f aca="false">IF($M2276="","",IF(NOT(ISNUMBER(R2276)),"NO DATE",IF(S2276="Won",IF(R2276&gt;Settings!$B$5,"Backlog","Delivered"),IF(S2276="Open",IF(R2276&gt;Settings!$B$5,"Pipeline","Overdue"),IF(S2276="Lost","Lost","UNMAPPED")))))</f>
        <v/>
      </c>
      <c r="U2276" s="40" t="n">
        <f aca="false">IF(T2276="Backlog",1,IF(OR(T2276="Pipeline",T2276="Overdue"),N(INDEX(Settings!$C$27:$C$36,MATCH(L2276,Settings!$A$27:$A$36,0))),0))</f>
        <v>0</v>
      </c>
      <c r="V2276" s="38" t="n">
        <f aca="false">Q2276*U2276</f>
        <v>0</v>
      </c>
      <c r="W2276" s="41" t="str">
        <f aca="false">IF($M2276="","",IF(T2276="Overdue",IF(Settings!$B$8="Yes",Settings!$B$7,""),IF(ISNUMBER(R2276),DATE(YEAR(R2276),MONTH(R2276),1),"")))</f>
        <v/>
      </c>
      <c r="X2276" s="38" t="n">
        <f aca="false">IF(AND(OR(T2276="Backlog",T2276="Pipeline",T2276="Overdue"),ISNUMBER(W2276)),IF(W2276&lt;=Settings!$B$6,V2276,0),0)</f>
        <v>0</v>
      </c>
      <c r="Y2276" s="38" t="n">
        <f aca="false">IF(AND(OR(T2276="Backlog",T2276="Pipeline",T2276="Overdue"),ISNUMBER(W2276)),IF(W2276&lt;=Settings!$B$6,Q2276,0),0)</f>
        <v>0</v>
      </c>
      <c r="Z2276" s="38" t="n">
        <f aca="false">IF(Y2276=0,0,IF(T2276="Backlog",Q2276,Q2276*Dashboard!$C$10))</f>
        <v>0</v>
      </c>
      <c r="AA2276" s="37" t="n">
        <f aca="false">IF($N2276="",0,IF(COUNTIF(Dashboard!$C$13:$C$22,$N2276)&gt;0,1,0))</f>
        <v>0</v>
      </c>
      <c r="AB2276" s="37" t="str">
        <f aca="false">IF($N2276="","",IF(COUNTIF($N$8:$N2276,$N2276)=1,MAX($AB$7:$AB2275)+1,""))</f>
        <v/>
      </c>
    </row>
    <row r="2277" customFormat="false" ht="15" hidden="false" customHeight="false" outlineLevel="0" collapsed="false">
      <c r="L2277" s="37" t="str">
        <f aca="false">IF(INDEX($A2277:$J2277,$L$6)&lt;&gt;"",TRIM(LEFT(INDEX($A2277:$J2277,$L$6),FIND("(",INDEX($A2277:$J2277,$L$6)&amp;"(")-1)),L2276)</f>
        <v>Building Value Proposition</v>
      </c>
      <c r="M2277" s="37" t="str">
        <f aca="false">IF(INDEX($A2277:$J2277,$M$6)="","",INDEX($A2277:$J2277,$M$6)&amp;"")</f>
        <v/>
      </c>
      <c r="N2277" s="37" t="str">
        <f aca="false">IF($M2277="","",TRIM(INDEX($A2277:$J2277,$N$6)&amp;""))</f>
        <v/>
      </c>
      <c r="O2277" s="37" t="str">
        <f aca="false">IF($M2277="","",TRIM(INDEX($A2277:$J2277,$O$6)&amp;""))</f>
        <v/>
      </c>
      <c r="P2277" s="37" t="str">
        <f aca="false">IF($M2277="","",IFERROR(IF(INDEX(Settings!$B$41:$B$50,MATCH(O2277,Settings!$A$41:$A$50,0))&amp;""="","UNMAPPED",INDEX(Settings!$B$41:$B$50,MATCH(O2277,Settings!$A$41:$A$50,0))&amp;""),"UNMAPPED"))</f>
        <v/>
      </c>
      <c r="Q2277" s="38" t="n">
        <f aca="false">IF($M2277="",0,N(INDEX($A2277:$J2277,$Q$6)))</f>
        <v>0</v>
      </c>
      <c r="R2277" s="39" t="str">
        <f aca="false">IF($M2277="","",INDEX($A2277:$J2277,$R$6))</f>
        <v/>
      </c>
      <c r="S2277" s="37" t="str">
        <f aca="false">IF($M2277="","",IFERROR(INDEX(Settings!$B$27:$B$36,MATCH(L2277,Settings!$A$27:$A$36,0))&amp;"","UNMAPPED"))</f>
        <v/>
      </c>
      <c r="T2277" s="37" t="str">
        <f aca="false">IF($M2277="","",IF(NOT(ISNUMBER(R2277)),"NO DATE",IF(S2277="Won",IF(R2277&gt;Settings!$B$5,"Backlog","Delivered"),IF(S2277="Open",IF(R2277&gt;Settings!$B$5,"Pipeline","Overdue"),IF(S2277="Lost","Lost","UNMAPPED")))))</f>
        <v/>
      </c>
      <c r="U2277" s="40" t="n">
        <f aca="false">IF(T2277="Backlog",1,IF(OR(T2277="Pipeline",T2277="Overdue"),N(INDEX(Settings!$C$27:$C$36,MATCH(L2277,Settings!$A$27:$A$36,0))),0))</f>
        <v>0</v>
      </c>
      <c r="V2277" s="38" t="n">
        <f aca="false">Q2277*U2277</f>
        <v>0</v>
      </c>
      <c r="W2277" s="41" t="str">
        <f aca="false">IF($M2277="","",IF(T2277="Overdue",IF(Settings!$B$8="Yes",Settings!$B$7,""),IF(ISNUMBER(R2277),DATE(YEAR(R2277),MONTH(R2277),1),"")))</f>
        <v/>
      </c>
      <c r="X2277" s="38" t="n">
        <f aca="false">IF(AND(OR(T2277="Backlog",T2277="Pipeline",T2277="Overdue"),ISNUMBER(W2277)),IF(W2277&lt;=Settings!$B$6,V2277,0),0)</f>
        <v>0</v>
      </c>
      <c r="Y2277" s="38" t="n">
        <f aca="false">IF(AND(OR(T2277="Backlog",T2277="Pipeline",T2277="Overdue"),ISNUMBER(W2277)),IF(W2277&lt;=Settings!$B$6,Q2277,0),0)</f>
        <v>0</v>
      </c>
      <c r="Z2277" s="38" t="n">
        <f aca="false">IF(Y2277=0,0,IF(T2277="Backlog",Q2277,Q2277*Dashboard!$C$10))</f>
        <v>0</v>
      </c>
      <c r="AA2277" s="37" t="n">
        <f aca="false">IF($N2277="",0,IF(COUNTIF(Dashboard!$C$13:$C$22,$N2277)&gt;0,1,0))</f>
        <v>0</v>
      </c>
      <c r="AB2277" s="37" t="str">
        <f aca="false">IF($N2277="","",IF(COUNTIF($N$8:$N2277,$N2277)=1,MAX($AB$7:$AB2276)+1,""))</f>
        <v/>
      </c>
    </row>
    <row r="2278" customFormat="false" ht="15" hidden="false" customHeight="false" outlineLevel="0" collapsed="false">
      <c r="L2278" s="37" t="str">
        <f aca="false">IF(INDEX($A2278:$J2278,$L$6)&lt;&gt;"",TRIM(LEFT(INDEX($A2278:$J2278,$L$6),FIND("(",INDEX($A2278:$J2278,$L$6)&amp;"(")-1)),L2277)</f>
        <v>Building Value Proposition</v>
      </c>
      <c r="M2278" s="37" t="str">
        <f aca="false">IF(INDEX($A2278:$J2278,$M$6)="","",INDEX($A2278:$J2278,$M$6)&amp;"")</f>
        <v/>
      </c>
      <c r="N2278" s="37" t="str">
        <f aca="false">IF($M2278="","",TRIM(INDEX($A2278:$J2278,$N$6)&amp;""))</f>
        <v/>
      </c>
      <c r="O2278" s="37" t="str">
        <f aca="false">IF($M2278="","",TRIM(INDEX($A2278:$J2278,$O$6)&amp;""))</f>
        <v/>
      </c>
      <c r="P2278" s="37" t="str">
        <f aca="false">IF($M2278="","",IFERROR(IF(INDEX(Settings!$B$41:$B$50,MATCH(O2278,Settings!$A$41:$A$50,0))&amp;""="","UNMAPPED",INDEX(Settings!$B$41:$B$50,MATCH(O2278,Settings!$A$41:$A$50,0))&amp;""),"UNMAPPED"))</f>
        <v/>
      </c>
      <c r="Q2278" s="38" t="n">
        <f aca="false">IF($M2278="",0,N(INDEX($A2278:$J2278,$Q$6)))</f>
        <v>0</v>
      </c>
      <c r="R2278" s="39" t="str">
        <f aca="false">IF($M2278="","",INDEX($A2278:$J2278,$R$6))</f>
        <v/>
      </c>
      <c r="S2278" s="37" t="str">
        <f aca="false">IF($M2278="","",IFERROR(INDEX(Settings!$B$27:$B$36,MATCH(L2278,Settings!$A$27:$A$36,0))&amp;"","UNMAPPED"))</f>
        <v/>
      </c>
      <c r="T2278" s="37" t="str">
        <f aca="false">IF($M2278="","",IF(NOT(ISNUMBER(R2278)),"NO DATE",IF(S2278="Won",IF(R2278&gt;Settings!$B$5,"Backlog","Delivered"),IF(S2278="Open",IF(R2278&gt;Settings!$B$5,"Pipeline","Overdue"),IF(S2278="Lost","Lost","UNMAPPED")))))</f>
        <v/>
      </c>
      <c r="U2278" s="40" t="n">
        <f aca="false">IF(T2278="Backlog",1,IF(OR(T2278="Pipeline",T2278="Overdue"),N(INDEX(Settings!$C$27:$C$36,MATCH(L2278,Settings!$A$27:$A$36,0))),0))</f>
        <v>0</v>
      </c>
      <c r="V2278" s="38" t="n">
        <f aca="false">Q2278*U2278</f>
        <v>0</v>
      </c>
      <c r="W2278" s="41" t="str">
        <f aca="false">IF($M2278="","",IF(T2278="Overdue",IF(Settings!$B$8="Yes",Settings!$B$7,""),IF(ISNUMBER(R2278),DATE(YEAR(R2278),MONTH(R2278),1),"")))</f>
        <v/>
      </c>
      <c r="X2278" s="38" t="n">
        <f aca="false">IF(AND(OR(T2278="Backlog",T2278="Pipeline",T2278="Overdue"),ISNUMBER(W2278)),IF(W2278&lt;=Settings!$B$6,V2278,0),0)</f>
        <v>0</v>
      </c>
      <c r="Y2278" s="38" t="n">
        <f aca="false">IF(AND(OR(T2278="Backlog",T2278="Pipeline",T2278="Overdue"),ISNUMBER(W2278)),IF(W2278&lt;=Settings!$B$6,Q2278,0),0)</f>
        <v>0</v>
      </c>
      <c r="Z2278" s="38" t="n">
        <f aca="false">IF(Y2278=0,0,IF(T2278="Backlog",Q2278,Q2278*Dashboard!$C$10))</f>
        <v>0</v>
      </c>
      <c r="AA2278" s="37" t="n">
        <f aca="false">IF($N2278="",0,IF(COUNTIF(Dashboard!$C$13:$C$22,$N2278)&gt;0,1,0))</f>
        <v>0</v>
      </c>
      <c r="AB2278" s="37" t="str">
        <f aca="false">IF($N2278="","",IF(COUNTIF($N$8:$N2278,$N2278)=1,MAX($AB$7:$AB2277)+1,""))</f>
        <v/>
      </c>
    </row>
    <row r="2279" customFormat="false" ht="15" hidden="false" customHeight="false" outlineLevel="0" collapsed="false">
      <c r="L2279" s="37" t="str">
        <f aca="false">IF(INDEX($A2279:$J2279,$L$6)&lt;&gt;"",TRIM(LEFT(INDEX($A2279:$J2279,$L$6),FIND("(",INDEX($A2279:$J2279,$L$6)&amp;"(")-1)),L2278)</f>
        <v>Building Value Proposition</v>
      </c>
      <c r="M2279" s="37" t="str">
        <f aca="false">IF(INDEX($A2279:$J2279,$M$6)="","",INDEX($A2279:$J2279,$M$6)&amp;"")</f>
        <v/>
      </c>
      <c r="N2279" s="37" t="str">
        <f aca="false">IF($M2279="","",TRIM(INDEX($A2279:$J2279,$N$6)&amp;""))</f>
        <v/>
      </c>
      <c r="O2279" s="37" t="str">
        <f aca="false">IF($M2279="","",TRIM(INDEX($A2279:$J2279,$O$6)&amp;""))</f>
        <v/>
      </c>
      <c r="P2279" s="37" t="str">
        <f aca="false">IF($M2279="","",IFERROR(IF(INDEX(Settings!$B$41:$B$50,MATCH(O2279,Settings!$A$41:$A$50,0))&amp;""="","UNMAPPED",INDEX(Settings!$B$41:$B$50,MATCH(O2279,Settings!$A$41:$A$50,0))&amp;""),"UNMAPPED"))</f>
        <v/>
      </c>
      <c r="Q2279" s="38" t="n">
        <f aca="false">IF($M2279="",0,N(INDEX($A2279:$J2279,$Q$6)))</f>
        <v>0</v>
      </c>
      <c r="R2279" s="39" t="str">
        <f aca="false">IF($M2279="","",INDEX($A2279:$J2279,$R$6))</f>
        <v/>
      </c>
      <c r="S2279" s="37" t="str">
        <f aca="false">IF($M2279="","",IFERROR(INDEX(Settings!$B$27:$B$36,MATCH(L2279,Settings!$A$27:$A$36,0))&amp;"","UNMAPPED"))</f>
        <v/>
      </c>
      <c r="T2279" s="37" t="str">
        <f aca="false">IF($M2279="","",IF(NOT(ISNUMBER(R2279)),"NO DATE",IF(S2279="Won",IF(R2279&gt;Settings!$B$5,"Backlog","Delivered"),IF(S2279="Open",IF(R2279&gt;Settings!$B$5,"Pipeline","Overdue"),IF(S2279="Lost","Lost","UNMAPPED")))))</f>
        <v/>
      </c>
      <c r="U2279" s="40" t="n">
        <f aca="false">IF(T2279="Backlog",1,IF(OR(T2279="Pipeline",T2279="Overdue"),N(INDEX(Settings!$C$27:$C$36,MATCH(L2279,Settings!$A$27:$A$36,0))),0))</f>
        <v>0</v>
      </c>
      <c r="V2279" s="38" t="n">
        <f aca="false">Q2279*U2279</f>
        <v>0</v>
      </c>
      <c r="W2279" s="41" t="str">
        <f aca="false">IF($M2279="","",IF(T2279="Overdue",IF(Settings!$B$8="Yes",Settings!$B$7,""),IF(ISNUMBER(R2279),DATE(YEAR(R2279),MONTH(R2279),1),"")))</f>
        <v/>
      </c>
      <c r="X2279" s="38" t="n">
        <f aca="false">IF(AND(OR(T2279="Backlog",T2279="Pipeline",T2279="Overdue"),ISNUMBER(W2279)),IF(W2279&lt;=Settings!$B$6,V2279,0),0)</f>
        <v>0</v>
      </c>
      <c r="Y2279" s="38" t="n">
        <f aca="false">IF(AND(OR(T2279="Backlog",T2279="Pipeline",T2279="Overdue"),ISNUMBER(W2279)),IF(W2279&lt;=Settings!$B$6,Q2279,0),0)</f>
        <v>0</v>
      </c>
      <c r="Z2279" s="38" t="n">
        <f aca="false">IF(Y2279=0,0,IF(T2279="Backlog",Q2279,Q2279*Dashboard!$C$10))</f>
        <v>0</v>
      </c>
      <c r="AA2279" s="37" t="n">
        <f aca="false">IF($N2279="",0,IF(COUNTIF(Dashboard!$C$13:$C$22,$N2279)&gt;0,1,0))</f>
        <v>0</v>
      </c>
      <c r="AB2279" s="37" t="str">
        <f aca="false">IF($N2279="","",IF(COUNTIF($N$8:$N2279,$N2279)=1,MAX($AB$7:$AB2278)+1,""))</f>
        <v/>
      </c>
    </row>
    <row r="2280" customFormat="false" ht="15" hidden="false" customHeight="false" outlineLevel="0" collapsed="false">
      <c r="L2280" s="37" t="str">
        <f aca="false">IF(INDEX($A2280:$J2280,$L$6)&lt;&gt;"",TRIM(LEFT(INDEX($A2280:$J2280,$L$6),FIND("(",INDEX($A2280:$J2280,$L$6)&amp;"(")-1)),L2279)</f>
        <v>Building Value Proposition</v>
      </c>
      <c r="M2280" s="37" t="str">
        <f aca="false">IF(INDEX($A2280:$J2280,$M$6)="","",INDEX($A2280:$J2280,$M$6)&amp;"")</f>
        <v/>
      </c>
      <c r="N2280" s="37" t="str">
        <f aca="false">IF($M2280="","",TRIM(INDEX($A2280:$J2280,$N$6)&amp;""))</f>
        <v/>
      </c>
      <c r="O2280" s="37" t="str">
        <f aca="false">IF($M2280="","",TRIM(INDEX($A2280:$J2280,$O$6)&amp;""))</f>
        <v/>
      </c>
      <c r="P2280" s="37" t="str">
        <f aca="false">IF($M2280="","",IFERROR(IF(INDEX(Settings!$B$41:$B$50,MATCH(O2280,Settings!$A$41:$A$50,0))&amp;""="","UNMAPPED",INDEX(Settings!$B$41:$B$50,MATCH(O2280,Settings!$A$41:$A$50,0))&amp;""),"UNMAPPED"))</f>
        <v/>
      </c>
      <c r="Q2280" s="38" t="n">
        <f aca="false">IF($M2280="",0,N(INDEX($A2280:$J2280,$Q$6)))</f>
        <v>0</v>
      </c>
      <c r="R2280" s="39" t="str">
        <f aca="false">IF($M2280="","",INDEX($A2280:$J2280,$R$6))</f>
        <v/>
      </c>
      <c r="S2280" s="37" t="str">
        <f aca="false">IF($M2280="","",IFERROR(INDEX(Settings!$B$27:$B$36,MATCH(L2280,Settings!$A$27:$A$36,0))&amp;"","UNMAPPED"))</f>
        <v/>
      </c>
      <c r="T2280" s="37" t="str">
        <f aca="false">IF($M2280="","",IF(NOT(ISNUMBER(R2280)),"NO DATE",IF(S2280="Won",IF(R2280&gt;Settings!$B$5,"Backlog","Delivered"),IF(S2280="Open",IF(R2280&gt;Settings!$B$5,"Pipeline","Overdue"),IF(S2280="Lost","Lost","UNMAPPED")))))</f>
        <v/>
      </c>
      <c r="U2280" s="40" t="n">
        <f aca="false">IF(T2280="Backlog",1,IF(OR(T2280="Pipeline",T2280="Overdue"),N(INDEX(Settings!$C$27:$C$36,MATCH(L2280,Settings!$A$27:$A$36,0))),0))</f>
        <v>0</v>
      </c>
      <c r="V2280" s="38" t="n">
        <f aca="false">Q2280*U2280</f>
        <v>0</v>
      </c>
      <c r="W2280" s="41" t="str">
        <f aca="false">IF($M2280="","",IF(T2280="Overdue",IF(Settings!$B$8="Yes",Settings!$B$7,""),IF(ISNUMBER(R2280),DATE(YEAR(R2280),MONTH(R2280),1),"")))</f>
        <v/>
      </c>
      <c r="X2280" s="38" t="n">
        <f aca="false">IF(AND(OR(T2280="Backlog",T2280="Pipeline",T2280="Overdue"),ISNUMBER(W2280)),IF(W2280&lt;=Settings!$B$6,V2280,0),0)</f>
        <v>0</v>
      </c>
      <c r="Y2280" s="38" t="n">
        <f aca="false">IF(AND(OR(T2280="Backlog",T2280="Pipeline",T2280="Overdue"),ISNUMBER(W2280)),IF(W2280&lt;=Settings!$B$6,Q2280,0),0)</f>
        <v>0</v>
      </c>
      <c r="Z2280" s="38" t="n">
        <f aca="false">IF(Y2280=0,0,IF(T2280="Backlog",Q2280,Q2280*Dashboard!$C$10))</f>
        <v>0</v>
      </c>
      <c r="AA2280" s="37" t="n">
        <f aca="false">IF($N2280="",0,IF(COUNTIF(Dashboard!$C$13:$C$22,$N2280)&gt;0,1,0))</f>
        <v>0</v>
      </c>
      <c r="AB2280" s="37" t="str">
        <f aca="false">IF($N2280="","",IF(COUNTIF($N$8:$N2280,$N2280)=1,MAX($AB$7:$AB2279)+1,""))</f>
        <v/>
      </c>
    </row>
    <row r="2281" customFormat="false" ht="15" hidden="false" customHeight="false" outlineLevel="0" collapsed="false">
      <c r="L2281" s="37" t="str">
        <f aca="false">IF(INDEX($A2281:$J2281,$L$6)&lt;&gt;"",TRIM(LEFT(INDEX($A2281:$J2281,$L$6),FIND("(",INDEX($A2281:$J2281,$L$6)&amp;"(")-1)),L2280)</f>
        <v>Building Value Proposition</v>
      </c>
      <c r="M2281" s="37" t="str">
        <f aca="false">IF(INDEX($A2281:$J2281,$M$6)="","",INDEX($A2281:$J2281,$M$6)&amp;"")</f>
        <v/>
      </c>
      <c r="N2281" s="37" t="str">
        <f aca="false">IF($M2281="","",TRIM(INDEX($A2281:$J2281,$N$6)&amp;""))</f>
        <v/>
      </c>
      <c r="O2281" s="37" t="str">
        <f aca="false">IF($M2281="","",TRIM(INDEX($A2281:$J2281,$O$6)&amp;""))</f>
        <v/>
      </c>
      <c r="P2281" s="37" t="str">
        <f aca="false">IF($M2281="","",IFERROR(IF(INDEX(Settings!$B$41:$B$50,MATCH(O2281,Settings!$A$41:$A$50,0))&amp;""="","UNMAPPED",INDEX(Settings!$B$41:$B$50,MATCH(O2281,Settings!$A$41:$A$50,0))&amp;""),"UNMAPPED"))</f>
        <v/>
      </c>
      <c r="Q2281" s="38" t="n">
        <f aca="false">IF($M2281="",0,N(INDEX($A2281:$J2281,$Q$6)))</f>
        <v>0</v>
      </c>
      <c r="R2281" s="39" t="str">
        <f aca="false">IF($M2281="","",INDEX($A2281:$J2281,$R$6))</f>
        <v/>
      </c>
      <c r="S2281" s="37" t="str">
        <f aca="false">IF($M2281="","",IFERROR(INDEX(Settings!$B$27:$B$36,MATCH(L2281,Settings!$A$27:$A$36,0))&amp;"","UNMAPPED"))</f>
        <v/>
      </c>
      <c r="T2281" s="37" t="str">
        <f aca="false">IF($M2281="","",IF(NOT(ISNUMBER(R2281)),"NO DATE",IF(S2281="Won",IF(R2281&gt;Settings!$B$5,"Backlog","Delivered"),IF(S2281="Open",IF(R2281&gt;Settings!$B$5,"Pipeline","Overdue"),IF(S2281="Lost","Lost","UNMAPPED")))))</f>
        <v/>
      </c>
      <c r="U2281" s="40" t="n">
        <f aca="false">IF(T2281="Backlog",1,IF(OR(T2281="Pipeline",T2281="Overdue"),N(INDEX(Settings!$C$27:$C$36,MATCH(L2281,Settings!$A$27:$A$36,0))),0))</f>
        <v>0</v>
      </c>
      <c r="V2281" s="38" t="n">
        <f aca="false">Q2281*U2281</f>
        <v>0</v>
      </c>
      <c r="W2281" s="41" t="str">
        <f aca="false">IF($M2281="","",IF(T2281="Overdue",IF(Settings!$B$8="Yes",Settings!$B$7,""),IF(ISNUMBER(R2281),DATE(YEAR(R2281),MONTH(R2281),1),"")))</f>
        <v/>
      </c>
      <c r="X2281" s="38" t="n">
        <f aca="false">IF(AND(OR(T2281="Backlog",T2281="Pipeline",T2281="Overdue"),ISNUMBER(W2281)),IF(W2281&lt;=Settings!$B$6,V2281,0),0)</f>
        <v>0</v>
      </c>
      <c r="Y2281" s="38" t="n">
        <f aca="false">IF(AND(OR(T2281="Backlog",T2281="Pipeline",T2281="Overdue"),ISNUMBER(W2281)),IF(W2281&lt;=Settings!$B$6,Q2281,0),0)</f>
        <v>0</v>
      </c>
      <c r="Z2281" s="38" t="n">
        <f aca="false">IF(Y2281=0,0,IF(T2281="Backlog",Q2281,Q2281*Dashboard!$C$10))</f>
        <v>0</v>
      </c>
      <c r="AA2281" s="37" t="n">
        <f aca="false">IF($N2281="",0,IF(COUNTIF(Dashboard!$C$13:$C$22,$N2281)&gt;0,1,0))</f>
        <v>0</v>
      </c>
      <c r="AB2281" s="37" t="str">
        <f aca="false">IF($N2281="","",IF(COUNTIF($N$8:$N2281,$N2281)=1,MAX($AB$7:$AB2280)+1,""))</f>
        <v/>
      </c>
    </row>
    <row r="2282" customFormat="false" ht="15" hidden="false" customHeight="false" outlineLevel="0" collapsed="false">
      <c r="L2282" s="37" t="str">
        <f aca="false">IF(INDEX($A2282:$J2282,$L$6)&lt;&gt;"",TRIM(LEFT(INDEX($A2282:$J2282,$L$6),FIND("(",INDEX($A2282:$J2282,$L$6)&amp;"(")-1)),L2281)</f>
        <v>Building Value Proposition</v>
      </c>
      <c r="M2282" s="37" t="str">
        <f aca="false">IF(INDEX($A2282:$J2282,$M$6)="","",INDEX($A2282:$J2282,$M$6)&amp;"")</f>
        <v/>
      </c>
      <c r="N2282" s="37" t="str">
        <f aca="false">IF($M2282="","",TRIM(INDEX($A2282:$J2282,$N$6)&amp;""))</f>
        <v/>
      </c>
      <c r="O2282" s="37" t="str">
        <f aca="false">IF($M2282="","",TRIM(INDEX($A2282:$J2282,$O$6)&amp;""))</f>
        <v/>
      </c>
      <c r="P2282" s="37" t="str">
        <f aca="false">IF($M2282="","",IFERROR(IF(INDEX(Settings!$B$41:$B$50,MATCH(O2282,Settings!$A$41:$A$50,0))&amp;""="","UNMAPPED",INDEX(Settings!$B$41:$B$50,MATCH(O2282,Settings!$A$41:$A$50,0))&amp;""),"UNMAPPED"))</f>
        <v/>
      </c>
      <c r="Q2282" s="38" t="n">
        <f aca="false">IF($M2282="",0,N(INDEX($A2282:$J2282,$Q$6)))</f>
        <v>0</v>
      </c>
      <c r="R2282" s="39" t="str">
        <f aca="false">IF($M2282="","",INDEX($A2282:$J2282,$R$6))</f>
        <v/>
      </c>
      <c r="S2282" s="37" t="str">
        <f aca="false">IF($M2282="","",IFERROR(INDEX(Settings!$B$27:$B$36,MATCH(L2282,Settings!$A$27:$A$36,0))&amp;"","UNMAPPED"))</f>
        <v/>
      </c>
      <c r="T2282" s="37" t="str">
        <f aca="false">IF($M2282="","",IF(NOT(ISNUMBER(R2282)),"NO DATE",IF(S2282="Won",IF(R2282&gt;Settings!$B$5,"Backlog","Delivered"),IF(S2282="Open",IF(R2282&gt;Settings!$B$5,"Pipeline","Overdue"),IF(S2282="Lost","Lost","UNMAPPED")))))</f>
        <v/>
      </c>
      <c r="U2282" s="40" t="n">
        <f aca="false">IF(T2282="Backlog",1,IF(OR(T2282="Pipeline",T2282="Overdue"),N(INDEX(Settings!$C$27:$C$36,MATCH(L2282,Settings!$A$27:$A$36,0))),0))</f>
        <v>0</v>
      </c>
      <c r="V2282" s="38" t="n">
        <f aca="false">Q2282*U2282</f>
        <v>0</v>
      </c>
      <c r="W2282" s="41" t="str">
        <f aca="false">IF($M2282="","",IF(T2282="Overdue",IF(Settings!$B$8="Yes",Settings!$B$7,""),IF(ISNUMBER(R2282),DATE(YEAR(R2282),MONTH(R2282),1),"")))</f>
        <v/>
      </c>
      <c r="X2282" s="38" t="n">
        <f aca="false">IF(AND(OR(T2282="Backlog",T2282="Pipeline",T2282="Overdue"),ISNUMBER(W2282)),IF(W2282&lt;=Settings!$B$6,V2282,0),0)</f>
        <v>0</v>
      </c>
      <c r="Y2282" s="38" t="n">
        <f aca="false">IF(AND(OR(T2282="Backlog",T2282="Pipeline",T2282="Overdue"),ISNUMBER(W2282)),IF(W2282&lt;=Settings!$B$6,Q2282,0),0)</f>
        <v>0</v>
      </c>
      <c r="Z2282" s="38" t="n">
        <f aca="false">IF(Y2282=0,0,IF(T2282="Backlog",Q2282,Q2282*Dashboard!$C$10))</f>
        <v>0</v>
      </c>
      <c r="AA2282" s="37" t="n">
        <f aca="false">IF($N2282="",0,IF(COUNTIF(Dashboard!$C$13:$C$22,$N2282)&gt;0,1,0))</f>
        <v>0</v>
      </c>
      <c r="AB2282" s="37" t="str">
        <f aca="false">IF($N2282="","",IF(COUNTIF($N$8:$N2282,$N2282)=1,MAX($AB$7:$AB2281)+1,""))</f>
        <v/>
      </c>
    </row>
    <row r="2283" customFormat="false" ht="15" hidden="false" customHeight="false" outlineLevel="0" collapsed="false">
      <c r="L2283" s="37" t="str">
        <f aca="false">IF(INDEX($A2283:$J2283,$L$6)&lt;&gt;"",TRIM(LEFT(INDEX($A2283:$J2283,$L$6),FIND("(",INDEX($A2283:$J2283,$L$6)&amp;"(")-1)),L2282)</f>
        <v>Building Value Proposition</v>
      </c>
      <c r="M2283" s="37" t="str">
        <f aca="false">IF(INDEX($A2283:$J2283,$M$6)="","",INDEX($A2283:$J2283,$M$6)&amp;"")</f>
        <v/>
      </c>
      <c r="N2283" s="37" t="str">
        <f aca="false">IF($M2283="","",TRIM(INDEX($A2283:$J2283,$N$6)&amp;""))</f>
        <v/>
      </c>
      <c r="O2283" s="37" t="str">
        <f aca="false">IF($M2283="","",TRIM(INDEX($A2283:$J2283,$O$6)&amp;""))</f>
        <v/>
      </c>
      <c r="P2283" s="37" t="str">
        <f aca="false">IF($M2283="","",IFERROR(IF(INDEX(Settings!$B$41:$B$50,MATCH(O2283,Settings!$A$41:$A$50,0))&amp;""="","UNMAPPED",INDEX(Settings!$B$41:$B$50,MATCH(O2283,Settings!$A$41:$A$50,0))&amp;""),"UNMAPPED"))</f>
        <v/>
      </c>
      <c r="Q2283" s="38" t="n">
        <f aca="false">IF($M2283="",0,N(INDEX($A2283:$J2283,$Q$6)))</f>
        <v>0</v>
      </c>
      <c r="R2283" s="39" t="str">
        <f aca="false">IF($M2283="","",INDEX($A2283:$J2283,$R$6))</f>
        <v/>
      </c>
      <c r="S2283" s="37" t="str">
        <f aca="false">IF($M2283="","",IFERROR(INDEX(Settings!$B$27:$B$36,MATCH(L2283,Settings!$A$27:$A$36,0))&amp;"","UNMAPPED"))</f>
        <v/>
      </c>
      <c r="T2283" s="37" t="str">
        <f aca="false">IF($M2283="","",IF(NOT(ISNUMBER(R2283)),"NO DATE",IF(S2283="Won",IF(R2283&gt;Settings!$B$5,"Backlog","Delivered"),IF(S2283="Open",IF(R2283&gt;Settings!$B$5,"Pipeline","Overdue"),IF(S2283="Lost","Lost","UNMAPPED")))))</f>
        <v/>
      </c>
      <c r="U2283" s="40" t="n">
        <f aca="false">IF(T2283="Backlog",1,IF(OR(T2283="Pipeline",T2283="Overdue"),N(INDEX(Settings!$C$27:$C$36,MATCH(L2283,Settings!$A$27:$A$36,0))),0))</f>
        <v>0</v>
      </c>
      <c r="V2283" s="38" t="n">
        <f aca="false">Q2283*U2283</f>
        <v>0</v>
      </c>
      <c r="W2283" s="41" t="str">
        <f aca="false">IF($M2283="","",IF(T2283="Overdue",IF(Settings!$B$8="Yes",Settings!$B$7,""),IF(ISNUMBER(R2283),DATE(YEAR(R2283),MONTH(R2283),1),"")))</f>
        <v/>
      </c>
      <c r="X2283" s="38" t="n">
        <f aca="false">IF(AND(OR(T2283="Backlog",T2283="Pipeline",T2283="Overdue"),ISNUMBER(W2283)),IF(W2283&lt;=Settings!$B$6,V2283,0),0)</f>
        <v>0</v>
      </c>
      <c r="Y2283" s="38" t="n">
        <f aca="false">IF(AND(OR(T2283="Backlog",T2283="Pipeline",T2283="Overdue"),ISNUMBER(W2283)),IF(W2283&lt;=Settings!$B$6,Q2283,0),0)</f>
        <v>0</v>
      </c>
      <c r="Z2283" s="38" t="n">
        <f aca="false">IF(Y2283=0,0,IF(T2283="Backlog",Q2283,Q2283*Dashboard!$C$10))</f>
        <v>0</v>
      </c>
      <c r="AA2283" s="37" t="n">
        <f aca="false">IF($N2283="",0,IF(COUNTIF(Dashboard!$C$13:$C$22,$N2283)&gt;0,1,0))</f>
        <v>0</v>
      </c>
      <c r="AB2283" s="37" t="str">
        <f aca="false">IF($N2283="","",IF(COUNTIF($N$8:$N2283,$N2283)=1,MAX($AB$7:$AB2282)+1,""))</f>
        <v/>
      </c>
    </row>
    <row r="2284" customFormat="false" ht="15" hidden="false" customHeight="false" outlineLevel="0" collapsed="false">
      <c r="L2284" s="37" t="str">
        <f aca="false">IF(INDEX($A2284:$J2284,$L$6)&lt;&gt;"",TRIM(LEFT(INDEX($A2284:$J2284,$L$6),FIND("(",INDEX($A2284:$J2284,$L$6)&amp;"(")-1)),L2283)</f>
        <v>Building Value Proposition</v>
      </c>
      <c r="M2284" s="37" t="str">
        <f aca="false">IF(INDEX($A2284:$J2284,$M$6)="","",INDEX($A2284:$J2284,$M$6)&amp;"")</f>
        <v/>
      </c>
      <c r="N2284" s="37" t="str">
        <f aca="false">IF($M2284="","",TRIM(INDEX($A2284:$J2284,$N$6)&amp;""))</f>
        <v/>
      </c>
      <c r="O2284" s="37" t="str">
        <f aca="false">IF($M2284="","",TRIM(INDEX($A2284:$J2284,$O$6)&amp;""))</f>
        <v/>
      </c>
      <c r="P2284" s="37" t="str">
        <f aca="false">IF($M2284="","",IFERROR(IF(INDEX(Settings!$B$41:$B$50,MATCH(O2284,Settings!$A$41:$A$50,0))&amp;""="","UNMAPPED",INDEX(Settings!$B$41:$B$50,MATCH(O2284,Settings!$A$41:$A$50,0))&amp;""),"UNMAPPED"))</f>
        <v/>
      </c>
      <c r="Q2284" s="38" t="n">
        <f aca="false">IF($M2284="",0,N(INDEX($A2284:$J2284,$Q$6)))</f>
        <v>0</v>
      </c>
      <c r="R2284" s="39" t="str">
        <f aca="false">IF($M2284="","",INDEX($A2284:$J2284,$R$6))</f>
        <v/>
      </c>
      <c r="S2284" s="37" t="str">
        <f aca="false">IF($M2284="","",IFERROR(INDEX(Settings!$B$27:$B$36,MATCH(L2284,Settings!$A$27:$A$36,0))&amp;"","UNMAPPED"))</f>
        <v/>
      </c>
      <c r="T2284" s="37" t="str">
        <f aca="false">IF($M2284="","",IF(NOT(ISNUMBER(R2284)),"NO DATE",IF(S2284="Won",IF(R2284&gt;Settings!$B$5,"Backlog","Delivered"),IF(S2284="Open",IF(R2284&gt;Settings!$B$5,"Pipeline","Overdue"),IF(S2284="Lost","Lost","UNMAPPED")))))</f>
        <v/>
      </c>
      <c r="U2284" s="40" t="n">
        <f aca="false">IF(T2284="Backlog",1,IF(OR(T2284="Pipeline",T2284="Overdue"),N(INDEX(Settings!$C$27:$C$36,MATCH(L2284,Settings!$A$27:$A$36,0))),0))</f>
        <v>0</v>
      </c>
      <c r="V2284" s="38" t="n">
        <f aca="false">Q2284*U2284</f>
        <v>0</v>
      </c>
      <c r="W2284" s="41" t="str">
        <f aca="false">IF($M2284="","",IF(T2284="Overdue",IF(Settings!$B$8="Yes",Settings!$B$7,""),IF(ISNUMBER(R2284),DATE(YEAR(R2284),MONTH(R2284),1),"")))</f>
        <v/>
      </c>
      <c r="X2284" s="38" t="n">
        <f aca="false">IF(AND(OR(T2284="Backlog",T2284="Pipeline",T2284="Overdue"),ISNUMBER(W2284)),IF(W2284&lt;=Settings!$B$6,V2284,0),0)</f>
        <v>0</v>
      </c>
      <c r="Y2284" s="38" t="n">
        <f aca="false">IF(AND(OR(T2284="Backlog",T2284="Pipeline",T2284="Overdue"),ISNUMBER(W2284)),IF(W2284&lt;=Settings!$B$6,Q2284,0),0)</f>
        <v>0</v>
      </c>
      <c r="Z2284" s="38" t="n">
        <f aca="false">IF(Y2284=0,0,IF(T2284="Backlog",Q2284,Q2284*Dashboard!$C$10))</f>
        <v>0</v>
      </c>
      <c r="AA2284" s="37" t="n">
        <f aca="false">IF($N2284="",0,IF(COUNTIF(Dashboard!$C$13:$C$22,$N2284)&gt;0,1,0))</f>
        <v>0</v>
      </c>
      <c r="AB2284" s="37" t="str">
        <f aca="false">IF($N2284="","",IF(COUNTIF($N$8:$N2284,$N2284)=1,MAX($AB$7:$AB2283)+1,""))</f>
        <v/>
      </c>
    </row>
    <row r="2285" customFormat="false" ht="15" hidden="false" customHeight="false" outlineLevel="0" collapsed="false">
      <c r="L2285" s="37" t="str">
        <f aca="false">IF(INDEX($A2285:$J2285,$L$6)&lt;&gt;"",TRIM(LEFT(INDEX($A2285:$J2285,$L$6),FIND("(",INDEX($A2285:$J2285,$L$6)&amp;"(")-1)),L2284)</f>
        <v>Building Value Proposition</v>
      </c>
      <c r="M2285" s="37" t="str">
        <f aca="false">IF(INDEX($A2285:$J2285,$M$6)="","",INDEX($A2285:$J2285,$M$6)&amp;"")</f>
        <v/>
      </c>
      <c r="N2285" s="37" t="str">
        <f aca="false">IF($M2285="","",TRIM(INDEX($A2285:$J2285,$N$6)&amp;""))</f>
        <v/>
      </c>
      <c r="O2285" s="37" t="str">
        <f aca="false">IF($M2285="","",TRIM(INDEX($A2285:$J2285,$O$6)&amp;""))</f>
        <v/>
      </c>
      <c r="P2285" s="37" t="str">
        <f aca="false">IF($M2285="","",IFERROR(IF(INDEX(Settings!$B$41:$B$50,MATCH(O2285,Settings!$A$41:$A$50,0))&amp;""="","UNMAPPED",INDEX(Settings!$B$41:$B$50,MATCH(O2285,Settings!$A$41:$A$50,0))&amp;""),"UNMAPPED"))</f>
        <v/>
      </c>
      <c r="Q2285" s="38" t="n">
        <f aca="false">IF($M2285="",0,N(INDEX($A2285:$J2285,$Q$6)))</f>
        <v>0</v>
      </c>
      <c r="R2285" s="39" t="str">
        <f aca="false">IF($M2285="","",INDEX($A2285:$J2285,$R$6))</f>
        <v/>
      </c>
      <c r="S2285" s="37" t="str">
        <f aca="false">IF($M2285="","",IFERROR(INDEX(Settings!$B$27:$B$36,MATCH(L2285,Settings!$A$27:$A$36,0))&amp;"","UNMAPPED"))</f>
        <v/>
      </c>
      <c r="T2285" s="37" t="str">
        <f aca="false">IF($M2285="","",IF(NOT(ISNUMBER(R2285)),"NO DATE",IF(S2285="Won",IF(R2285&gt;Settings!$B$5,"Backlog","Delivered"),IF(S2285="Open",IF(R2285&gt;Settings!$B$5,"Pipeline","Overdue"),IF(S2285="Lost","Lost","UNMAPPED")))))</f>
        <v/>
      </c>
      <c r="U2285" s="40" t="n">
        <f aca="false">IF(T2285="Backlog",1,IF(OR(T2285="Pipeline",T2285="Overdue"),N(INDEX(Settings!$C$27:$C$36,MATCH(L2285,Settings!$A$27:$A$36,0))),0))</f>
        <v>0</v>
      </c>
      <c r="V2285" s="38" t="n">
        <f aca="false">Q2285*U2285</f>
        <v>0</v>
      </c>
      <c r="W2285" s="41" t="str">
        <f aca="false">IF($M2285="","",IF(T2285="Overdue",IF(Settings!$B$8="Yes",Settings!$B$7,""),IF(ISNUMBER(R2285),DATE(YEAR(R2285),MONTH(R2285),1),"")))</f>
        <v/>
      </c>
      <c r="X2285" s="38" t="n">
        <f aca="false">IF(AND(OR(T2285="Backlog",T2285="Pipeline",T2285="Overdue"),ISNUMBER(W2285)),IF(W2285&lt;=Settings!$B$6,V2285,0),0)</f>
        <v>0</v>
      </c>
      <c r="Y2285" s="38" t="n">
        <f aca="false">IF(AND(OR(T2285="Backlog",T2285="Pipeline",T2285="Overdue"),ISNUMBER(W2285)),IF(W2285&lt;=Settings!$B$6,Q2285,0),0)</f>
        <v>0</v>
      </c>
      <c r="Z2285" s="38" t="n">
        <f aca="false">IF(Y2285=0,0,IF(T2285="Backlog",Q2285,Q2285*Dashboard!$C$10))</f>
        <v>0</v>
      </c>
      <c r="AA2285" s="37" t="n">
        <f aca="false">IF($N2285="",0,IF(COUNTIF(Dashboard!$C$13:$C$22,$N2285)&gt;0,1,0))</f>
        <v>0</v>
      </c>
      <c r="AB2285" s="37" t="str">
        <f aca="false">IF($N2285="","",IF(COUNTIF($N$8:$N2285,$N2285)=1,MAX($AB$7:$AB2284)+1,""))</f>
        <v/>
      </c>
    </row>
    <row r="2286" customFormat="false" ht="15" hidden="false" customHeight="false" outlineLevel="0" collapsed="false">
      <c r="L2286" s="37" t="str">
        <f aca="false">IF(INDEX($A2286:$J2286,$L$6)&lt;&gt;"",TRIM(LEFT(INDEX($A2286:$J2286,$L$6),FIND("(",INDEX($A2286:$J2286,$L$6)&amp;"(")-1)),L2285)</f>
        <v>Building Value Proposition</v>
      </c>
      <c r="M2286" s="37" t="str">
        <f aca="false">IF(INDEX($A2286:$J2286,$M$6)="","",INDEX($A2286:$J2286,$M$6)&amp;"")</f>
        <v/>
      </c>
      <c r="N2286" s="37" t="str">
        <f aca="false">IF($M2286="","",TRIM(INDEX($A2286:$J2286,$N$6)&amp;""))</f>
        <v/>
      </c>
      <c r="O2286" s="37" t="str">
        <f aca="false">IF($M2286="","",TRIM(INDEX($A2286:$J2286,$O$6)&amp;""))</f>
        <v/>
      </c>
      <c r="P2286" s="37" t="str">
        <f aca="false">IF($M2286="","",IFERROR(IF(INDEX(Settings!$B$41:$B$50,MATCH(O2286,Settings!$A$41:$A$50,0))&amp;""="","UNMAPPED",INDEX(Settings!$B$41:$B$50,MATCH(O2286,Settings!$A$41:$A$50,0))&amp;""),"UNMAPPED"))</f>
        <v/>
      </c>
      <c r="Q2286" s="38" t="n">
        <f aca="false">IF($M2286="",0,N(INDEX($A2286:$J2286,$Q$6)))</f>
        <v>0</v>
      </c>
      <c r="R2286" s="39" t="str">
        <f aca="false">IF($M2286="","",INDEX($A2286:$J2286,$R$6))</f>
        <v/>
      </c>
      <c r="S2286" s="37" t="str">
        <f aca="false">IF($M2286="","",IFERROR(INDEX(Settings!$B$27:$B$36,MATCH(L2286,Settings!$A$27:$A$36,0))&amp;"","UNMAPPED"))</f>
        <v/>
      </c>
      <c r="T2286" s="37" t="str">
        <f aca="false">IF($M2286="","",IF(NOT(ISNUMBER(R2286)),"NO DATE",IF(S2286="Won",IF(R2286&gt;Settings!$B$5,"Backlog","Delivered"),IF(S2286="Open",IF(R2286&gt;Settings!$B$5,"Pipeline","Overdue"),IF(S2286="Lost","Lost","UNMAPPED")))))</f>
        <v/>
      </c>
      <c r="U2286" s="40" t="n">
        <f aca="false">IF(T2286="Backlog",1,IF(OR(T2286="Pipeline",T2286="Overdue"),N(INDEX(Settings!$C$27:$C$36,MATCH(L2286,Settings!$A$27:$A$36,0))),0))</f>
        <v>0</v>
      </c>
      <c r="V2286" s="38" t="n">
        <f aca="false">Q2286*U2286</f>
        <v>0</v>
      </c>
      <c r="W2286" s="41" t="str">
        <f aca="false">IF($M2286="","",IF(T2286="Overdue",IF(Settings!$B$8="Yes",Settings!$B$7,""),IF(ISNUMBER(R2286),DATE(YEAR(R2286),MONTH(R2286),1),"")))</f>
        <v/>
      </c>
      <c r="X2286" s="38" t="n">
        <f aca="false">IF(AND(OR(T2286="Backlog",T2286="Pipeline",T2286="Overdue"),ISNUMBER(W2286)),IF(W2286&lt;=Settings!$B$6,V2286,0),0)</f>
        <v>0</v>
      </c>
      <c r="Y2286" s="38" t="n">
        <f aca="false">IF(AND(OR(T2286="Backlog",T2286="Pipeline",T2286="Overdue"),ISNUMBER(W2286)),IF(W2286&lt;=Settings!$B$6,Q2286,0),0)</f>
        <v>0</v>
      </c>
      <c r="Z2286" s="38" t="n">
        <f aca="false">IF(Y2286=0,0,IF(T2286="Backlog",Q2286,Q2286*Dashboard!$C$10))</f>
        <v>0</v>
      </c>
      <c r="AA2286" s="37" t="n">
        <f aca="false">IF($N2286="",0,IF(COUNTIF(Dashboard!$C$13:$C$22,$N2286)&gt;0,1,0))</f>
        <v>0</v>
      </c>
      <c r="AB2286" s="37" t="str">
        <f aca="false">IF($N2286="","",IF(COUNTIF($N$8:$N2286,$N2286)=1,MAX($AB$7:$AB2285)+1,""))</f>
        <v/>
      </c>
    </row>
    <row r="2287" customFormat="false" ht="15" hidden="false" customHeight="false" outlineLevel="0" collapsed="false">
      <c r="L2287" s="37" t="str">
        <f aca="false">IF(INDEX($A2287:$J2287,$L$6)&lt;&gt;"",TRIM(LEFT(INDEX($A2287:$J2287,$L$6),FIND("(",INDEX($A2287:$J2287,$L$6)&amp;"(")-1)),L2286)</f>
        <v>Building Value Proposition</v>
      </c>
      <c r="M2287" s="37" t="str">
        <f aca="false">IF(INDEX($A2287:$J2287,$M$6)="","",INDEX($A2287:$J2287,$M$6)&amp;"")</f>
        <v/>
      </c>
      <c r="N2287" s="37" t="str">
        <f aca="false">IF($M2287="","",TRIM(INDEX($A2287:$J2287,$N$6)&amp;""))</f>
        <v/>
      </c>
      <c r="O2287" s="37" t="str">
        <f aca="false">IF($M2287="","",TRIM(INDEX($A2287:$J2287,$O$6)&amp;""))</f>
        <v/>
      </c>
      <c r="P2287" s="37" t="str">
        <f aca="false">IF($M2287="","",IFERROR(IF(INDEX(Settings!$B$41:$B$50,MATCH(O2287,Settings!$A$41:$A$50,0))&amp;""="","UNMAPPED",INDEX(Settings!$B$41:$B$50,MATCH(O2287,Settings!$A$41:$A$50,0))&amp;""),"UNMAPPED"))</f>
        <v/>
      </c>
      <c r="Q2287" s="38" t="n">
        <f aca="false">IF($M2287="",0,N(INDEX($A2287:$J2287,$Q$6)))</f>
        <v>0</v>
      </c>
      <c r="R2287" s="39" t="str">
        <f aca="false">IF($M2287="","",INDEX($A2287:$J2287,$R$6))</f>
        <v/>
      </c>
      <c r="S2287" s="37" t="str">
        <f aca="false">IF($M2287="","",IFERROR(INDEX(Settings!$B$27:$B$36,MATCH(L2287,Settings!$A$27:$A$36,0))&amp;"","UNMAPPED"))</f>
        <v/>
      </c>
      <c r="T2287" s="37" t="str">
        <f aca="false">IF($M2287="","",IF(NOT(ISNUMBER(R2287)),"NO DATE",IF(S2287="Won",IF(R2287&gt;Settings!$B$5,"Backlog","Delivered"),IF(S2287="Open",IF(R2287&gt;Settings!$B$5,"Pipeline","Overdue"),IF(S2287="Lost","Lost","UNMAPPED")))))</f>
        <v/>
      </c>
      <c r="U2287" s="40" t="n">
        <f aca="false">IF(T2287="Backlog",1,IF(OR(T2287="Pipeline",T2287="Overdue"),N(INDEX(Settings!$C$27:$C$36,MATCH(L2287,Settings!$A$27:$A$36,0))),0))</f>
        <v>0</v>
      </c>
      <c r="V2287" s="38" t="n">
        <f aca="false">Q2287*U2287</f>
        <v>0</v>
      </c>
      <c r="W2287" s="41" t="str">
        <f aca="false">IF($M2287="","",IF(T2287="Overdue",IF(Settings!$B$8="Yes",Settings!$B$7,""),IF(ISNUMBER(R2287),DATE(YEAR(R2287),MONTH(R2287),1),"")))</f>
        <v/>
      </c>
      <c r="X2287" s="38" t="n">
        <f aca="false">IF(AND(OR(T2287="Backlog",T2287="Pipeline",T2287="Overdue"),ISNUMBER(W2287)),IF(W2287&lt;=Settings!$B$6,V2287,0),0)</f>
        <v>0</v>
      </c>
      <c r="Y2287" s="38" t="n">
        <f aca="false">IF(AND(OR(T2287="Backlog",T2287="Pipeline",T2287="Overdue"),ISNUMBER(W2287)),IF(W2287&lt;=Settings!$B$6,Q2287,0),0)</f>
        <v>0</v>
      </c>
      <c r="Z2287" s="38" t="n">
        <f aca="false">IF(Y2287=0,0,IF(T2287="Backlog",Q2287,Q2287*Dashboard!$C$10))</f>
        <v>0</v>
      </c>
      <c r="AA2287" s="37" t="n">
        <f aca="false">IF($N2287="",0,IF(COUNTIF(Dashboard!$C$13:$C$22,$N2287)&gt;0,1,0))</f>
        <v>0</v>
      </c>
      <c r="AB2287" s="37" t="str">
        <f aca="false">IF($N2287="","",IF(COUNTIF($N$8:$N2287,$N2287)=1,MAX($AB$7:$AB2286)+1,""))</f>
        <v/>
      </c>
    </row>
    <row r="2288" customFormat="false" ht="15" hidden="false" customHeight="false" outlineLevel="0" collapsed="false">
      <c r="L2288" s="37" t="str">
        <f aca="false">IF(INDEX($A2288:$J2288,$L$6)&lt;&gt;"",TRIM(LEFT(INDEX($A2288:$J2288,$L$6),FIND("(",INDEX($A2288:$J2288,$L$6)&amp;"(")-1)),L2287)</f>
        <v>Building Value Proposition</v>
      </c>
      <c r="M2288" s="37" t="str">
        <f aca="false">IF(INDEX($A2288:$J2288,$M$6)="","",INDEX($A2288:$J2288,$M$6)&amp;"")</f>
        <v/>
      </c>
      <c r="N2288" s="37" t="str">
        <f aca="false">IF($M2288="","",TRIM(INDEX($A2288:$J2288,$N$6)&amp;""))</f>
        <v/>
      </c>
      <c r="O2288" s="37" t="str">
        <f aca="false">IF($M2288="","",TRIM(INDEX($A2288:$J2288,$O$6)&amp;""))</f>
        <v/>
      </c>
      <c r="P2288" s="37" t="str">
        <f aca="false">IF($M2288="","",IFERROR(IF(INDEX(Settings!$B$41:$B$50,MATCH(O2288,Settings!$A$41:$A$50,0))&amp;""="","UNMAPPED",INDEX(Settings!$B$41:$B$50,MATCH(O2288,Settings!$A$41:$A$50,0))&amp;""),"UNMAPPED"))</f>
        <v/>
      </c>
      <c r="Q2288" s="38" t="n">
        <f aca="false">IF($M2288="",0,N(INDEX($A2288:$J2288,$Q$6)))</f>
        <v>0</v>
      </c>
      <c r="R2288" s="39" t="str">
        <f aca="false">IF($M2288="","",INDEX($A2288:$J2288,$R$6))</f>
        <v/>
      </c>
      <c r="S2288" s="37" t="str">
        <f aca="false">IF($M2288="","",IFERROR(INDEX(Settings!$B$27:$B$36,MATCH(L2288,Settings!$A$27:$A$36,0))&amp;"","UNMAPPED"))</f>
        <v/>
      </c>
      <c r="T2288" s="37" t="str">
        <f aca="false">IF($M2288="","",IF(NOT(ISNUMBER(R2288)),"NO DATE",IF(S2288="Won",IF(R2288&gt;Settings!$B$5,"Backlog","Delivered"),IF(S2288="Open",IF(R2288&gt;Settings!$B$5,"Pipeline","Overdue"),IF(S2288="Lost","Lost","UNMAPPED")))))</f>
        <v/>
      </c>
      <c r="U2288" s="40" t="n">
        <f aca="false">IF(T2288="Backlog",1,IF(OR(T2288="Pipeline",T2288="Overdue"),N(INDEX(Settings!$C$27:$C$36,MATCH(L2288,Settings!$A$27:$A$36,0))),0))</f>
        <v>0</v>
      </c>
      <c r="V2288" s="38" t="n">
        <f aca="false">Q2288*U2288</f>
        <v>0</v>
      </c>
      <c r="W2288" s="41" t="str">
        <f aca="false">IF($M2288="","",IF(T2288="Overdue",IF(Settings!$B$8="Yes",Settings!$B$7,""),IF(ISNUMBER(R2288),DATE(YEAR(R2288),MONTH(R2288),1),"")))</f>
        <v/>
      </c>
      <c r="X2288" s="38" t="n">
        <f aca="false">IF(AND(OR(T2288="Backlog",T2288="Pipeline",T2288="Overdue"),ISNUMBER(W2288)),IF(W2288&lt;=Settings!$B$6,V2288,0),0)</f>
        <v>0</v>
      </c>
      <c r="Y2288" s="38" t="n">
        <f aca="false">IF(AND(OR(T2288="Backlog",T2288="Pipeline",T2288="Overdue"),ISNUMBER(W2288)),IF(W2288&lt;=Settings!$B$6,Q2288,0),0)</f>
        <v>0</v>
      </c>
      <c r="Z2288" s="38" t="n">
        <f aca="false">IF(Y2288=0,0,IF(T2288="Backlog",Q2288,Q2288*Dashboard!$C$10))</f>
        <v>0</v>
      </c>
      <c r="AA2288" s="37" t="n">
        <f aca="false">IF($N2288="",0,IF(COUNTIF(Dashboard!$C$13:$C$22,$N2288)&gt;0,1,0))</f>
        <v>0</v>
      </c>
      <c r="AB2288" s="37" t="str">
        <f aca="false">IF($N2288="","",IF(COUNTIF($N$8:$N2288,$N2288)=1,MAX($AB$7:$AB2287)+1,""))</f>
        <v/>
      </c>
    </row>
    <row r="2289" customFormat="false" ht="15" hidden="false" customHeight="false" outlineLevel="0" collapsed="false">
      <c r="L2289" s="37" t="str">
        <f aca="false">IF(INDEX($A2289:$J2289,$L$6)&lt;&gt;"",TRIM(LEFT(INDEX($A2289:$J2289,$L$6),FIND("(",INDEX($A2289:$J2289,$L$6)&amp;"(")-1)),L2288)</f>
        <v>Building Value Proposition</v>
      </c>
      <c r="M2289" s="37" t="str">
        <f aca="false">IF(INDEX($A2289:$J2289,$M$6)="","",INDEX($A2289:$J2289,$M$6)&amp;"")</f>
        <v/>
      </c>
      <c r="N2289" s="37" t="str">
        <f aca="false">IF($M2289="","",TRIM(INDEX($A2289:$J2289,$N$6)&amp;""))</f>
        <v/>
      </c>
      <c r="O2289" s="37" t="str">
        <f aca="false">IF($M2289="","",TRIM(INDEX($A2289:$J2289,$O$6)&amp;""))</f>
        <v/>
      </c>
      <c r="P2289" s="37" t="str">
        <f aca="false">IF($M2289="","",IFERROR(IF(INDEX(Settings!$B$41:$B$50,MATCH(O2289,Settings!$A$41:$A$50,0))&amp;""="","UNMAPPED",INDEX(Settings!$B$41:$B$50,MATCH(O2289,Settings!$A$41:$A$50,0))&amp;""),"UNMAPPED"))</f>
        <v/>
      </c>
      <c r="Q2289" s="38" t="n">
        <f aca="false">IF($M2289="",0,N(INDEX($A2289:$J2289,$Q$6)))</f>
        <v>0</v>
      </c>
      <c r="R2289" s="39" t="str">
        <f aca="false">IF($M2289="","",INDEX($A2289:$J2289,$R$6))</f>
        <v/>
      </c>
      <c r="S2289" s="37" t="str">
        <f aca="false">IF($M2289="","",IFERROR(INDEX(Settings!$B$27:$B$36,MATCH(L2289,Settings!$A$27:$A$36,0))&amp;"","UNMAPPED"))</f>
        <v/>
      </c>
      <c r="T2289" s="37" t="str">
        <f aca="false">IF($M2289="","",IF(NOT(ISNUMBER(R2289)),"NO DATE",IF(S2289="Won",IF(R2289&gt;Settings!$B$5,"Backlog","Delivered"),IF(S2289="Open",IF(R2289&gt;Settings!$B$5,"Pipeline","Overdue"),IF(S2289="Lost","Lost","UNMAPPED")))))</f>
        <v/>
      </c>
      <c r="U2289" s="40" t="n">
        <f aca="false">IF(T2289="Backlog",1,IF(OR(T2289="Pipeline",T2289="Overdue"),N(INDEX(Settings!$C$27:$C$36,MATCH(L2289,Settings!$A$27:$A$36,0))),0))</f>
        <v>0</v>
      </c>
      <c r="V2289" s="38" t="n">
        <f aca="false">Q2289*U2289</f>
        <v>0</v>
      </c>
      <c r="W2289" s="41" t="str">
        <f aca="false">IF($M2289="","",IF(T2289="Overdue",IF(Settings!$B$8="Yes",Settings!$B$7,""),IF(ISNUMBER(R2289),DATE(YEAR(R2289),MONTH(R2289),1),"")))</f>
        <v/>
      </c>
      <c r="X2289" s="38" t="n">
        <f aca="false">IF(AND(OR(T2289="Backlog",T2289="Pipeline",T2289="Overdue"),ISNUMBER(W2289)),IF(W2289&lt;=Settings!$B$6,V2289,0),0)</f>
        <v>0</v>
      </c>
      <c r="Y2289" s="38" t="n">
        <f aca="false">IF(AND(OR(T2289="Backlog",T2289="Pipeline",T2289="Overdue"),ISNUMBER(W2289)),IF(W2289&lt;=Settings!$B$6,Q2289,0),0)</f>
        <v>0</v>
      </c>
      <c r="Z2289" s="38" t="n">
        <f aca="false">IF(Y2289=0,0,IF(T2289="Backlog",Q2289,Q2289*Dashboard!$C$10))</f>
        <v>0</v>
      </c>
      <c r="AA2289" s="37" t="n">
        <f aca="false">IF($N2289="",0,IF(COUNTIF(Dashboard!$C$13:$C$22,$N2289)&gt;0,1,0))</f>
        <v>0</v>
      </c>
      <c r="AB2289" s="37" t="str">
        <f aca="false">IF($N2289="","",IF(COUNTIF($N$8:$N2289,$N2289)=1,MAX($AB$7:$AB2288)+1,""))</f>
        <v/>
      </c>
    </row>
    <row r="2290" customFormat="false" ht="15" hidden="false" customHeight="false" outlineLevel="0" collapsed="false">
      <c r="L2290" s="37" t="str">
        <f aca="false">IF(INDEX($A2290:$J2290,$L$6)&lt;&gt;"",TRIM(LEFT(INDEX($A2290:$J2290,$L$6),FIND("(",INDEX($A2290:$J2290,$L$6)&amp;"(")-1)),L2289)</f>
        <v>Building Value Proposition</v>
      </c>
      <c r="M2290" s="37" t="str">
        <f aca="false">IF(INDEX($A2290:$J2290,$M$6)="","",INDEX($A2290:$J2290,$M$6)&amp;"")</f>
        <v/>
      </c>
      <c r="N2290" s="37" t="str">
        <f aca="false">IF($M2290="","",TRIM(INDEX($A2290:$J2290,$N$6)&amp;""))</f>
        <v/>
      </c>
      <c r="O2290" s="37" t="str">
        <f aca="false">IF($M2290="","",TRIM(INDEX($A2290:$J2290,$O$6)&amp;""))</f>
        <v/>
      </c>
      <c r="P2290" s="37" t="str">
        <f aca="false">IF($M2290="","",IFERROR(IF(INDEX(Settings!$B$41:$B$50,MATCH(O2290,Settings!$A$41:$A$50,0))&amp;""="","UNMAPPED",INDEX(Settings!$B$41:$B$50,MATCH(O2290,Settings!$A$41:$A$50,0))&amp;""),"UNMAPPED"))</f>
        <v/>
      </c>
      <c r="Q2290" s="38" t="n">
        <f aca="false">IF($M2290="",0,N(INDEX($A2290:$J2290,$Q$6)))</f>
        <v>0</v>
      </c>
      <c r="R2290" s="39" t="str">
        <f aca="false">IF($M2290="","",INDEX($A2290:$J2290,$R$6))</f>
        <v/>
      </c>
      <c r="S2290" s="37" t="str">
        <f aca="false">IF($M2290="","",IFERROR(INDEX(Settings!$B$27:$B$36,MATCH(L2290,Settings!$A$27:$A$36,0))&amp;"","UNMAPPED"))</f>
        <v/>
      </c>
      <c r="T2290" s="37" t="str">
        <f aca="false">IF($M2290="","",IF(NOT(ISNUMBER(R2290)),"NO DATE",IF(S2290="Won",IF(R2290&gt;Settings!$B$5,"Backlog","Delivered"),IF(S2290="Open",IF(R2290&gt;Settings!$B$5,"Pipeline","Overdue"),IF(S2290="Lost","Lost","UNMAPPED")))))</f>
        <v/>
      </c>
      <c r="U2290" s="40" t="n">
        <f aca="false">IF(T2290="Backlog",1,IF(OR(T2290="Pipeline",T2290="Overdue"),N(INDEX(Settings!$C$27:$C$36,MATCH(L2290,Settings!$A$27:$A$36,0))),0))</f>
        <v>0</v>
      </c>
      <c r="V2290" s="38" t="n">
        <f aca="false">Q2290*U2290</f>
        <v>0</v>
      </c>
      <c r="W2290" s="41" t="str">
        <f aca="false">IF($M2290="","",IF(T2290="Overdue",IF(Settings!$B$8="Yes",Settings!$B$7,""),IF(ISNUMBER(R2290),DATE(YEAR(R2290),MONTH(R2290),1),"")))</f>
        <v/>
      </c>
      <c r="X2290" s="38" t="n">
        <f aca="false">IF(AND(OR(T2290="Backlog",T2290="Pipeline",T2290="Overdue"),ISNUMBER(W2290)),IF(W2290&lt;=Settings!$B$6,V2290,0),0)</f>
        <v>0</v>
      </c>
      <c r="Y2290" s="38" t="n">
        <f aca="false">IF(AND(OR(T2290="Backlog",T2290="Pipeline",T2290="Overdue"),ISNUMBER(W2290)),IF(W2290&lt;=Settings!$B$6,Q2290,0),0)</f>
        <v>0</v>
      </c>
      <c r="Z2290" s="38" t="n">
        <f aca="false">IF(Y2290=0,0,IF(T2290="Backlog",Q2290,Q2290*Dashboard!$C$10))</f>
        <v>0</v>
      </c>
      <c r="AA2290" s="37" t="n">
        <f aca="false">IF($N2290="",0,IF(COUNTIF(Dashboard!$C$13:$C$22,$N2290)&gt;0,1,0))</f>
        <v>0</v>
      </c>
      <c r="AB2290" s="37" t="str">
        <f aca="false">IF($N2290="","",IF(COUNTIF($N$8:$N2290,$N2290)=1,MAX($AB$7:$AB2289)+1,""))</f>
        <v/>
      </c>
    </row>
    <row r="2291" customFormat="false" ht="15" hidden="false" customHeight="false" outlineLevel="0" collapsed="false">
      <c r="L2291" s="37" t="str">
        <f aca="false">IF(INDEX($A2291:$J2291,$L$6)&lt;&gt;"",TRIM(LEFT(INDEX($A2291:$J2291,$L$6),FIND("(",INDEX($A2291:$J2291,$L$6)&amp;"(")-1)),L2290)</f>
        <v>Building Value Proposition</v>
      </c>
      <c r="M2291" s="37" t="str">
        <f aca="false">IF(INDEX($A2291:$J2291,$M$6)="","",INDEX($A2291:$J2291,$M$6)&amp;"")</f>
        <v/>
      </c>
      <c r="N2291" s="37" t="str">
        <f aca="false">IF($M2291="","",TRIM(INDEX($A2291:$J2291,$N$6)&amp;""))</f>
        <v/>
      </c>
      <c r="O2291" s="37" t="str">
        <f aca="false">IF($M2291="","",TRIM(INDEX($A2291:$J2291,$O$6)&amp;""))</f>
        <v/>
      </c>
      <c r="P2291" s="37" t="str">
        <f aca="false">IF($M2291="","",IFERROR(IF(INDEX(Settings!$B$41:$B$50,MATCH(O2291,Settings!$A$41:$A$50,0))&amp;""="","UNMAPPED",INDEX(Settings!$B$41:$B$50,MATCH(O2291,Settings!$A$41:$A$50,0))&amp;""),"UNMAPPED"))</f>
        <v/>
      </c>
      <c r="Q2291" s="38" t="n">
        <f aca="false">IF($M2291="",0,N(INDEX($A2291:$J2291,$Q$6)))</f>
        <v>0</v>
      </c>
      <c r="R2291" s="39" t="str">
        <f aca="false">IF($M2291="","",INDEX($A2291:$J2291,$R$6))</f>
        <v/>
      </c>
      <c r="S2291" s="37" t="str">
        <f aca="false">IF($M2291="","",IFERROR(INDEX(Settings!$B$27:$B$36,MATCH(L2291,Settings!$A$27:$A$36,0))&amp;"","UNMAPPED"))</f>
        <v/>
      </c>
      <c r="T2291" s="37" t="str">
        <f aca="false">IF($M2291="","",IF(NOT(ISNUMBER(R2291)),"NO DATE",IF(S2291="Won",IF(R2291&gt;Settings!$B$5,"Backlog","Delivered"),IF(S2291="Open",IF(R2291&gt;Settings!$B$5,"Pipeline","Overdue"),IF(S2291="Lost","Lost","UNMAPPED")))))</f>
        <v/>
      </c>
      <c r="U2291" s="40" t="n">
        <f aca="false">IF(T2291="Backlog",1,IF(OR(T2291="Pipeline",T2291="Overdue"),N(INDEX(Settings!$C$27:$C$36,MATCH(L2291,Settings!$A$27:$A$36,0))),0))</f>
        <v>0</v>
      </c>
      <c r="V2291" s="38" t="n">
        <f aca="false">Q2291*U2291</f>
        <v>0</v>
      </c>
      <c r="W2291" s="41" t="str">
        <f aca="false">IF($M2291="","",IF(T2291="Overdue",IF(Settings!$B$8="Yes",Settings!$B$7,""),IF(ISNUMBER(R2291),DATE(YEAR(R2291),MONTH(R2291),1),"")))</f>
        <v/>
      </c>
      <c r="X2291" s="38" t="n">
        <f aca="false">IF(AND(OR(T2291="Backlog",T2291="Pipeline",T2291="Overdue"),ISNUMBER(W2291)),IF(W2291&lt;=Settings!$B$6,V2291,0),0)</f>
        <v>0</v>
      </c>
      <c r="Y2291" s="38" t="n">
        <f aca="false">IF(AND(OR(T2291="Backlog",T2291="Pipeline",T2291="Overdue"),ISNUMBER(W2291)),IF(W2291&lt;=Settings!$B$6,Q2291,0),0)</f>
        <v>0</v>
      </c>
      <c r="Z2291" s="38" t="n">
        <f aca="false">IF(Y2291=0,0,IF(T2291="Backlog",Q2291,Q2291*Dashboard!$C$10))</f>
        <v>0</v>
      </c>
      <c r="AA2291" s="37" t="n">
        <f aca="false">IF($N2291="",0,IF(COUNTIF(Dashboard!$C$13:$C$22,$N2291)&gt;0,1,0))</f>
        <v>0</v>
      </c>
      <c r="AB2291" s="37" t="str">
        <f aca="false">IF($N2291="","",IF(COUNTIF($N$8:$N2291,$N2291)=1,MAX($AB$7:$AB2290)+1,""))</f>
        <v/>
      </c>
    </row>
    <row r="2292" customFormat="false" ht="15" hidden="false" customHeight="false" outlineLevel="0" collapsed="false">
      <c r="L2292" s="37" t="str">
        <f aca="false">IF(INDEX($A2292:$J2292,$L$6)&lt;&gt;"",TRIM(LEFT(INDEX($A2292:$J2292,$L$6),FIND("(",INDEX($A2292:$J2292,$L$6)&amp;"(")-1)),L2291)</f>
        <v>Building Value Proposition</v>
      </c>
      <c r="M2292" s="37" t="str">
        <f aca="false">IF(INDEX($A2292:$J2292,$M$6)="","",INDEX($A2292:$J2292,$M$6)&amp;"")</f>
        <v/>
      </c>
      <c r="N2292" s="37" t="str">
        <f aca="false">IF($M2292="","",TRIM(INDEX($A2292:$J2292,$N$6)&amp;""))</f>
        <v/>
      </c>
      <c r="O2292" s="37" t="str">
        <f aca="false">IF($M2292="","",TRIM(INDEX($A2292:$J2292,$O$6)&amp;""))</f>
        <v/>
      </c>
      <c r="P2292" s="37" t="str">
        <f aca="false">IF($M2292="","",IFERROR(IF(INDEX(Settings!$B$41:$B$50,MATCH(O2292,Settings!$A$41:$A$50,0))&amp;""="","UNMAPPED",INDEX(Settings!$B$41:$B$50,MATCH(O2292,Settings!$A$41:$A$50,0))&amp;""),"UNMAPPED"))</f>
        <v/>
      </c>
      <c r="Q2292" s="38" t="n">
        <f aca="false">IF($M2292="",0,N(INDEX($A2292:$J2292,$Q$6)))</f>
        <v>0</v>
      </c>
      <c r="R2292" s="39" t="str">
        <f aca="false">IF($M2292="","",INDEX($A2292:$J2292,$R$6))</f>
        <v/>
      </c>
      <c r="S2292" s="37" t="str">
        <f aca="false">IF($M2292="","",IFERROR(INDEX(Settings!$B$27:$B$36,MATCH(L2292,Settings!$A$27:$A$36,0))&amp;"","UNMAPPED"))</f>
        <v/>
      </c>
      <c r="T2292" s="37" t="str">
        <f aca="false">IF($M2292="","",IF(NOT(ISNUMBER(R2292)),"NO DATE",IF(S2292="Won",IF(R2292&gt;Settings!$B$5,"Backlog","Delivered"),IF(S2292="Open",IF(R2292&gt;Settings!$B$5,"Pipeline","Overdue"),IF(S2292="Lost","Lost","UNMAPPED")))))</f>
        <v/>
      </c>
      <c r="U2292" s="40" t="n">
        <f aca="false">IF(T2292="Backlog",1,IF(OR(T2292="Pipeline",T2292="Overdue"),N(INDEX(Settings!$C$27:$C$36,MATCH(L2292,Settings!$A$27:$A$36,0))),0))</f>
        <v>0</v>
      </c>
      <c r="V2292" s="38" t="n">
        <f aca="false">Q2292*U2292</f>
        <v>0</v>
      </c>
      <c r="W2292" s="41" t="str">
        <f aca="false">IF($M2292="","",IF(T2292="Overdue",IF(Settings!$B$8="Yes",Settings!$B$7,""),IF(ISNUMBER(R2292),DATE(YEAR(R2292),MONTH(R2292),1),"")))</f>
        <v/>
      </c>
      <c r="X2292" s="38" t="n">
        <f aca="false">IF(AND(OR(T2292="Backlog",T2292="Pipeline",T2292="Overdue"),ISNUMBER(W2292)),IF(W2292&lt;=Settings!$B$6,V2292,0),0)</f>
        <v>0</v>
      </c>
      <c r="Y2292" s="38" t="n">
        <f aca="false">IF(AND(OR(T2292="Backlog",T2292="Pipeline",T2292="Overdue"),ISNUMBER(W2292)),IF(W2292&lt;=Settings!$B$6,Q2292,0),0)</f>
        <v>0</v>
      </c>
      <c r="Z2292" s="38" t="n">
        <f aca="false">IF(Y2292=0,0,IF(T2292="Backlog",Q2292,Q2292*Dashboard!$C$10))</f>
        <v>0</v>
      </c>
      <c r="AA2292" s="37" t="n">
        <f aca="false">IF($N2292="",0,IF(COUNTIF(Dashboard!$C$13:$C$22,$N2292)&gt;0,1,0))</f>
        <v>0</v>
      </c>
      <c r="AB2292" s="37" t="str">
        <f aca="false">IF($N2292="","",IF(COUNTIF($N$8:$N2292,$N2292)=1,MAX($AB$7:$AB2291)+1,""))</f>
        <v/>
      </c>
    </row>
    <row r="2293" customFormat="false" ht="15" hidden="false" customHeight="false" outlineLevel="0" collapsed="false">
      <c r="L2293" s="37" t="str">
        <f aca="false">IF(INDEX($A2293:$J2293,$L$6)&lt;&gt;"",TRIM(LEFT(INDEX($A2293:$J2293,$L$6),FIND("(",INDEX($A2293:$J2293,$L$6)&amp;"(")-1)),L2292)</f>
        <v>Building Value Proposition</v>
      </c>
      <c r="M2293" s="37" t="str">
        <f aca="false">IF(INDEX($A2293:$J2293,$M$6)="","",INDEX($A2293:$J2293,$M$6)&amp;"")</f>
        <v/>
      </c>
      <c r="N2293" s="37" t="str">
        <f aca="false">IF($M2293="","",TRIM(INDEX($A2293:$J2293,$N$6)&amp;""))</f>
        <v/>
      </c>
      <c r="O2293" s="37" t="str">
        <f aca="false">IF($M2293="","",TRIM(INDEX($A2293:$J2293,$O$6)&amp;""))</f>
        <v/>
      </c>
      <c r="P2293" s="37" t="str">
        <f aca="false">IF($M2293="","",IFERROR(IF(INDEX(Settings!$B$41:$B$50,MATCH(O2293,Settings!$A$41:$A$50,0))&amp;""="","UNMAPPED",INDEX(Settings!$B$41:$B$50,MATCH(O2293,Settings!$A$41:$A$50,0))&amp;""),"UNMAPPED"))</f>
        <v/>
      </c>
      <c r="Q2293" s="38" t="n">
        <f aca="false">IF($M2293="",0,N(INDEX($A2293:$J2293,$Q$6)))</f>
        <v>0</v>
      </c>
      <c r="R2293" s="39" t="str">
        <f aca="false">IF($M2293="","",INDEX($A2293:$J2293,$R$6))</f>
        <v/>
      </c>
      <c r="S2293" s="37" t="str">
        <f aca="false">IF($M2293="","",IFERROR(INDEX(Settings!$B$27:$B$36,MATCH(L2293,Settings!$A$27:$A$36,0))&amp;"","UNMAPPED"))</f>
        <v/>
      </c>
      <c r="T2293" s="37" t="str">
        <f aca="false">IF($M2293="","",IF(NOT(ISNUMBER(R2293)),"NO DATE",IF(S2293="Won",IF(R2293&gt;Settings!$B$5,"Backlog","Delivered"),IF(S2293="Open",IF(R2293&gt;Settings!$B$5,"Pipeline","Overdue"),IF(S2293="Lost","Lost","UNMAPPED")))))</f>
        <v/>
      </c>
      <c r="U2293" s="40" t="n">
        <f aca="false">IF(T2293="Backlog",1,IF(OR(T2293="Pipeline",T2293="Overdue"),N(INDEX(Settings!$C$27:$C$36,MATCH(L2293,Settings!$A$27:$A$36,0))),0))</f>
        <v>0</v>
      </c>
      <c r="V2293" s="38" t="n">
        <f aca="false">Q2293*U2293</f>
        <v>0</v>
      </c>
      <c r="W2293" s="41" t="str">
        <f aca="false">IF($M2293="","",IF(T2293="Overdue",IF(Settings!$B$8="Yes",Settings!$B$7,""),IF(ISNUMBER(R2293),DATE(YEAR(R2293),MONTH(R2293),1),"")))</f>
        <v/>
      </c>
      <c r="X2293" s="38" t="n">
        <f aca="false">IF(AND(OR(T2293="Backlog",T2293="Pipeline",T2293="Overdue"),ISNUMBER(W2293)),IF(W2293&lt;=Settings!$B$6,V2293,0),0)</f>
        <v>0</v>
      </c>
      <c r="Y2293" s="38" t="n">
        <f aca="false">IF(AND(OR(T2293="Backlog",T2293="Pipeline",T2293="Overdue"),ISNUMBER(W2293)),IF(W2293&lt;=Settings!$B$6,Q2293,0),0)</f>
        <v>0</v>
      </c>
      <c r="Z2293" s="38" t="n">
        <f aca="false">IF(Y2293=0,0,IF(T2293="Backlog",Q2293,Q2293*Dashboard!$C$10))</f>
        <v>0</v>
      </c>
      <c r="AA2293" s="37" t="n">
        <f aca="false">IF($N2293="",0,IF(COUNTIF(Dashboard!$C$13:$C$22,$N2293)&gt;0,1,0))</f>
        <v>0</v>
      </c>
      <c r="AB2293" s="37" t="str">
        <f aca="false">IF($N2293="","",IF(COUNTIF($N$8:$N2293,$N2293)=1,MAX($AB$7:$AB2292)+1,""))</f>
        <v/>
      </c>
    </row>
    <row r="2294" customFormat="false" ht="15" hidden="false" customHeight="false" outlineLevel="0" collapsed="false">
      <c r="L2294" s="37" t="str">
        <f aca="false">IF(INDEX($A2294:$J2294,$L$6)&lt;&gt;"",TRIM(LEFT(INDEX($A2294:$J2294,$L$6),FIND("(",INDEX($A2294:$J2294,$L$6)&amp;"(")-1)),L2293)</f>
        <v>Building Value Proposition</v>
      </c>
      <c r="M2294" s="37" t="str">
        <f aca="false">IF(INDEX($A2294:$J2294,$M$6)="","",INDEX($A2294:$J2294,$M$6)&amp;"")</f>
        <v/>
      </c>
      <c r="N2294" s="37" t="str">
        <f aca="false">IF($M2294="","",TRIM(INDEX($A2294:$J2294,$N$6)&amp;""))</f>
        <v/>
      </c>
      <c r="O2294" s="37" t="str">
        <f aca="false">IF($M2294="","",TRIM(INDEX($A2294:$J2294,$O$6)&amp;""))</f>
        <v/>
      </c>
      <c r="P2294" s="37" t="str">
        <f aca="false">IF($M2294="","",IFERROR(IF(INDEX(Settings!$B$41:$B$50,MATCH(O2294,Settings!$A$41:$A$50,0))&amp;""="","UNMAPPED",INDEX(Settings!$B$41:$B$50,MATCH(O2294,Settings!$A$41:$A$50,0))&amp;""),"UNMAPPED"))</f>
        <v/>
      </c>
      <c r="Q2294" s="38" t="n">
        <f aca="false">IF($M2294="",0,N(INDEX($A2294:$J2294,$Q$6)))</f>
        <v>0</v>
      </c>
      <c r="R2294" s="39" t="str">
        <f aca="false">IF($M2294="","",INDEX($A2294:$J2294,$R$6))</f>
        <v/>
      </c>
      <c r="S2294" s="37" t="str">
        <f aca="false">IF($M2294="","",IFERROR(INDEX(Settings!$B$27:$B$36,MATCH(L2294,Settings!$A$27:$A$36,0))&amp;"","UNMAPPED"))</f>
        <v/>
      </c>
      <c r="T2294" s="37" t="str">
        <f aca="false">IF($M2294="","",IF(NOT(ISNUMBER(R2294)),"NO DATE",IF(S2294="Won",IF(R2294&gt;Settings!$B$5,"Backlog","Delivered"),IF(S2294="Open",IF(R2294&gt;Settings!$B$5,"Pipeline","Overdue"),IF(S2294="Lost","Lost","UNMAPPED")))))</f>
        <v/>
      </c>
      <c r="U2294" s="40" t="n">
        <f aca="false">IF(T2294="Backlog",1,IF(OR(T2294="Pipeline",T2294="Overdue"),N(INDEX(Settings!$C$27:$C$36,MATCH(L2294,Settings!$A$27:$A$36,0))),0))</f>
        <v>0</v>
      </c>
      <c r="V2294" s="38" t="n">
        <f aca="false">Q2294*U2294</f>
        <v>0</v>
      </c>
      <c r="W2294" s="41" t="str">
        <f aca="false">IF($M2294="","",IF(T2294="Overdue",IF(Settings!$B$8="Yes",Settings!$B$7,""),IF(ISNUMBER(R2294),DATE(YEAR(R2294),MONTH(R2294),1),"")))</f>
        <v/>
      </c>
      <c r="X2294" s="38" t="n">
        <f aca="false">IF(AND(OR(T2294="Backlog",T2294="Pipeline",T2294="Overdue"),ISNUMBER(W2294)),IF(W2294&lt;=Settings!$B$6,V2294,0),0)</f>
        <v>0</v>
      </c>
      <c r="Y2294" s="38" t="n">
        <f aca="false">IF(AND(OR(T2294="Backlog",T2294="Pipeline",T2294="Overdue"),ISNUMBER(W2294)),IF(W2294&lt;=Settings!$B$6,Q2294,0),0)</f>
        <v>0</v>
      </c>
      <c r="Z2294" s="38" t="n">
        <f aca="false">IF(Y2294=0,0,IF(T2294="Backlog",Q2294,Q2294*Dashboard!$C$10))</f>
        <v>0</v>
      </c>
      <c r="AA2294" s="37" t="n">
        <f aca="false">IF($N2294="",0,IF(COUNTIF(Dashboard!$C$13:$C$22,$N2294)&gt;0,1,0))</f>
        <v>0</v>
      </c>
      <c r="AB2294" s="37" t="str">
        <f aca="false">IF($N2294="","",IF(COUNTIF($N$8:$N2294,$N2294)=1,MAX($AB$7:$AB2293)+1,""))</f>
        <v/>
      </c>
    </row>
    <row r="2295" customFormat="false" ht="15" hidden="false" customHeight="false" outlineLevel="0" collapsed="false">
      <c r="L2295" s="37" t="str">
        <f aca="false">IF(INDEX($A2295:$J2295,$L$6)&lt;&gt;"",TRIM(LEFT(INDEX($A2295:$J2295,$L$6),FIND("(",INDEX($A2295:$J2295,$L$6)&amp;"(")-1)),L2294)</f>
        <v>Building Value Proposition</v>
      </c>
      <c r="M2295" s="37" t="str">
        <f aca="false">IF(INDEX($A2295:$J2295,$M$6)="","",INDEX($A2295:$J2295,$M$6)&amp;"")</f>
        <v/>
      </c>
      <c r="N2295" s="37" t="str">
        <f aca="false">IF($M2295="","",TRIM(INDEX($A2295:$J2295,$N$6)&amp;""))</f>
        <v/>
      </c>
      <c r="O2295" s="37" t="str">
        <f aca="false">IF($M2295="","",TRIM(INDEX($A2295:$J2295,$O$6)&amp;""))</f>
        <v/>
      </c>
      <c r="P2295" s="37" t="str">
        <f aca="false">IF($M2295="","",IFERROR(IF(INDEX(Settings!$B$41:$B$50,MATCH(O2295,Settings!$A$41:$A$50,0))&amp;""="","UNMAPPED",INDEX(Settings!$B$41:$B$50,MATCH(O2295,Settings!$A$41:$A$50,0))&amp;""),"UNMAPPED"))</f>
        <v/>
      </c>
      <c r="Q2295" s="38" t="n">
        <f aca="false">IF($M2295="",0,N(INDEX($A2295:$J2295,$Q$6)))</f>
        <v>0</v>
      </c>
      <c r="R2295" s="39" t="str">
        <f aca="false">IF($M2295="","",INDEX($A2295:$J2295,$R$6))</f>
        <v/>
      </c>
      <c r="S2295" s="37" t="str">
        <f aca="false">IF($M2295="","",IFERROR(INDEX(Settings!$B$27:$B$36,MATCH(L2295,Settings!$A$27:$A$36,0))&amp;"","UNMAPPED"))</f>
        <v/>
      </c>
      <c r="T2295" s="37" t="str">
        <f aca="false">IF($M2295="","",IF(NOT(ISNUMBER(R2295)),"NO DATE",IF(S2295="Won",IF(R2295&gt;Settings!$B$5,"Backlog","Delivered"),IF(S2295="Open",IF(R2295&gt;Settings!$B$5,"Pipeline","Overdue"),IF(S2295="Lost","Lost","UNMAPPED")))))</f>
        <v/>
      </c>
      <c r="U2295" s="40" t="n">
        <f aca="false">IF(T2295="Backlog",1,IF(OR(T2295="Pipeline",T2295="Overdue"),N(INDEX(Settings!$C$27:$C$36,MATCH(L2295,Settings!$A$27:$A$36,0))),0))</f>
        <v>0</v>
      </c>
      <c r="V2295" s="38" t="n">
        <f aca="false">Q2295*U2295</f>
        <v>0</v>
      </c>
      <c r="W2295" s="41" t="str">
        <f aca="false">IF($M2295="","",IF(T2295="Overdue",IF(Settings!$B$8="Yes",Settings!$B$7,""),IF(ISNUMBER(R2295),DATE(YEAR(R2295),MONTH(R2295),1),"")))</f>
        <v/>
      </c>
      <c r="X2295" s="38" t="n">
        <f aca="false">IF(AND(OR(T2295="Backlog",T2295="Pipeline",T2295="Overdue"),ISNUMBER(W2295)),IF(W2295&lt;=Settings!$B$6,V2295,0),0)</f>
        <v>0</v>
      </c>
      <c r="Y2295" s="38" t="n">
        <f aca="false">IF(AND(OR(T2295="Backlog",T2295="Pipeline",T2295="Overdue"),ISNUMBER(W2295)),IF(W2295&lt;=Settings!$B$6,Q2295,0),0)</f>
        <v>0</v>
      </c>
      <c r="Z2295" s="38" t="n">
        <f aca="false">IF(Y2295=0,0,IF(T2295="Backlog",Q2295,Q2295*Dashboard!$C$10))</f>
        <v>0</v>
      </c>
      <c r="AA2295" s="37" t="n">
        <f aca="false">IF($N2295="",0,IF(COUNTIF(Dashboard!$C$13:$C$22,$N2295)&gt;0,1,0))</f>
        <v>0</v>
      </c>
      <c r="AB2295" s="37" t="str">
        <f aca="false">IF($N2295="","",IF(COUNTIF($N$8:$N2295,$N2295)=1,MAX($AB$7:$AB2294)+1,""))</f>
        <v/>
      </c>
    </row>
    <row r="2296" customFormat="false" ht="15" hidden="false" customHeight="false" outlineLevel="0" collapsed="false">
      <c r="L2296" s="37" t="str">
        <f aca="false">IF(INDEX($A2296:$J2296,$L$6)&lt;&gt;"",TRIM(LEFT(INDEX($A2296:$J2296,$L$6),FIND("(",INDEX($A2296:$J2296,$L$6)&amp;"(")-1)),L2295)</f>
        <v>Building Value Proposition</v>
      </c>
      <c r="M2296" s="37" t="str">
        <f aca="false">IF(INDEX($A2296:$J2296,$M$6)="","",INDEX($A2296:$J2296,$M$6)&amp;"")</f>
        <v/>
      </c>
      <c r="N2296" s="37" t="str">
        <f aca="false">IF($M2296="","",TRIM(INDEX($A2296:$J2296,$N$6)&amp;""))</f>
        <v/>
      </c>
      <c r="O2296" s="37" t="str">
        <f aca="false">IF($M2296="","",TRIM(INDEX($A2296:$J2296,$O$6)&amp;""))</f>
        <v/>
      </c>
      <c r="P2296" s="37" t="str">
        <f aca="false">IF($M2296="","",IFERROR(IF(INDEX(Settings!$B$41:$B$50,MATCH(O2296,Settings!$A$41:$A$50,0))&amp;""="","UNMAPPED",INDEX(Settings!$B$41:$B$50,MATCH(O2296,Settings!$A$41:$A$50,0))&amp;""),"UNMAPPED"))</f>
        <v/>
      </c>
      <c r="Q2296" s="38" t="n">
        <f aca="false">IF($M2296="",0,N(INDEX($A2296:$J2296,$Q$6)))</f>
        <v>0</v>
      </c>
      <c r="R2296" s="39" t="str">
        <f aca="false">IF($M2296="","",INDEX($A2296:$J2296,$R$6))</f>
        <v/>
      </c>
      <c r="S2296" s="37" t="str">
        <f aca="false">IF($M2296="","",IFERROR(INDEX(Settings!$B$27:$B$36,MATCH(L2296,Settings!$A$27:$A$36,0))&amp;"","UNMAPPED"))</f>
        <v/>
      </c>
      <c r="T2296" s="37" t="str">
        <f aca="false">IF($M2296="","",IF(NOT(ISNUMBER(R2296)),"NO DATE",IF(S2296="Won",IF(R2296&gt;Settings!$B$5,"Backlog","Delivered"),IF(S2296="Open",IF(R2296&gt;Settings!$B$5,"Pipeline","Overdue"),IF(S2296="Lost","Lost","UNMAPPED")))))</f>
        <v/>
      </c>
      <c r="U2296" s="40" t="n">
        <f aca="false">IF(T2296="Backlog",1,IF(OR(T2296="Pipeline",T2296="Overdue"),N(INDEX(Settings!$C$27:$C$36,MATCH(L2296,Settings!$A$27:$A$36,0))),0))</f>
        <v>0</v>
      </c>
      <c r="V2296" s="38" t="n">
        <f aca="false">Q2296*U2296</f>
        <v>0</v>
      </c>
      <c r="W2296" s="41" t="str">
        <f aca="false">IF($M2296="","",IF(T2296="Overdue",IF(Settings!$B$8="Yes",Settings!$B$7,""),IF(ISNUMBER(R2296),DATE(YEAR(R2296),MONTH(R2296),1),"")))</f>
        <v/>
      </c>
      <c r="X2296" s="38" t="n">
        <f aca="false">IF(AND(OR(T2296="Backlog",T2296="Pipeline",T2296="Overdue"),ISNUMBER(W2296)),IF(W2296&lt;=Settings!$B$6,V2296,0),0)</f>
        <v>0</v>
      </c>
      <c r="Y2296" s="38" t="n">
        <f aca="false">IF(AND(OR(T2296="Backlog",T2296="Pipeline",T2296="Overdue"),ISNUMBER(W2296)),IF(W2296&lt;=Settings!$B$6,Q2296,0),0)</f>
        <v>0</v>
      </c>
      <c r="Z2296" s="38" t="n">
        <f aca="false">IF(Y2296=0,0,IF(T2296="Backlog",Q2296,Q2296*Dashboard!$C$10))</f>
        <v>0</v>
      </c>
      <c r="AA2296" s="37" t="n">
        <f aca="false">IF($N2296="",0,IF(COUNTIF(Dashboard!$C$13:$C$22,$N2296)&gt;0,1,0))</f>
        <v>0</v>
      </c>
      <c r="AB2296" s="37" t="str">
        <f aca="false">IF($N2296="","",IF(COUNTIF($N$8:$N2296,$N2296)=1,MAX($AB$7:$AB2295)+1,""))</f>
        <v/>
      </c>
    </row>
    <row r="2297" customFormat="false" ht="15" hidden="false" customHeight="false" outlineLevel="0" collapsed="false">
      <c r="L2297" s="37" t="str">
        <f aca="false">IF(INDEX($A2297:$J2297,$L$6)&lt;&gt;"",TRIM(LEFT(INDEX($A2297:$J2297,$L$6),FIND("(",INDEX($A2297:$J2297,$L$6)&amp;"(")-1)),L2296)</f>
        <v>Building Value Proposition</v>
      </c>
      <c r="M2297" s="37" t="str">
        <f aca="false">IF(INDEX($A2297:$J2297,$M$6)="","",INDEX($A2297:$J2297,$M$6)&amp;"")</f>
        <v/>
      </c>
      <c r="N2297" s="37" t="str">
        <f aca="false">IF($M2297="","",TRIM(INDEX($A2297:$J2297,$N$6)&amp;""))</f>
        <v/>
      </c>
      <c r="O2297" s="37" t="str">
        <f aca="false">IF($M2297="","",TRIM(INDEX($A2297:$J2297,$O$6)&amp;""))</f>
        <v/>
      </c>
      <c r="P2297" s="37" t="str">
        <f aca="false">IF($M2297="","",IFERROR(IF(INDEX(Settings!$B$41:$B$50,MATCH(O2297,Settings!$A$41:$A$50,0))&amp;""="","UNMAPPED",INDEX(Settings!$B$41:$B$50,MATCH(O2297,Settings!$A$41:$A$50,0))&amp;""),"UNMAPPED"))</f>
        <v/>
      </c>
      <c r="Q2297" s="38" t="n">
        <f aca="false">IF($M2297="",0,N(INDEX($A2297:$J2297,$Q$6)))</f>
        <v>0</v>
      </c>
      <c r="R2297" s="39" t="str">
        <f aca="false">IF($M2297="","",INDEX($A2297:$J2297,$R$6))</f>
        <v/>
      </c>
      <c r="S2297" s="37" t="str">
        <f aca="false">IF($M2297="","",IFERROR(INDEX(Settings!$B$27:$B$36,MATCH(L2297,Settings!$A$27:$A$36,0))&amp;"","UNMAPPED"))</f>
        <v/>
      </c>
      <c r="T2297" s="37" t="str">
        <f aca="false">IF($M2297="","",IF(NOT(ISNUMBER(R2297)),"NO DATE",IF(S2297="Won",IF(R2297&gt;Settings!$B$5,"Backlog","Delivered"),IF(S2297="Open",IF(R2297&gt;Settings!$B$5,"Pipeline","Overdue"),IF(S2297="Lost","Lost","UNMAPPED")))))</f>
        <v/>
      </c>
      <c r="U2297" s="40" t="n">
        <f aca="false">IF(T2297="Backlog",1,IF(OR(T2297="Pipeline",T2297="Overdue"),N(INDEX(Settings!$C$27:$C$36,MATCH(L2297,Settings!$A$27:$A$36,0))),0))</f>
        <v>0</v>
      </c>
      <c r="V2297" s="38" t="n">
        <f aca="false">Q2297*U2297</f>
        <v>0</v>
      </c>
      <c r="W2297" s="41" t="str">
        <f aca="false">IF($M2297="","",IF(T2297="Overdue",IF(Settings!$B$8="Yes",Settings!$B$7,""),IF(ISNUMBER(R2297),DATE(YEAR(R2297),MONTH(R2297),1),"")))</f>
        <v/>
      </c>
      <c r="X2297" s="38" t="n">
        <f aca="false">IF(AND(OR(T2297="Backlog",T2297="Pipeline",T2297="Overdue"),ISNUMBER(W2297)),IF(W2297&lt;=Settings!$B$6,V2297,0),0)</f>
        <v>0</v>
      </c>
      <c r="Y2297" s="38" t="n">
        <f aca="false">IF(AND(OR(T2297="Backlog",T2297="Pipeline",T2297="Overdue"),ISNUMBER(W2297)),IF(W2297&lt;=Settings!$B$6,Q2297,0),0)</f>
        <v>0</v>
      </c>
      <c r="Z2297" s="38" t="n">
        <f aca="false">IF(Y2297=0,0,IF(T2297="Backlog",Q2297,Q2297*Dashboard!$C$10))</f>
        <v>0</v>
      </c>
      <c r="AA2297" s="37" t="n">
        <f aca="false">IF($N2297="",0,IF(COUNTIF(Dashboard!$C$13:$C$22,$N2297)&gt;0,1,0))</f>
        <v>0</v>
      </c>
      <c r="AB2297" s="37" t="str">
        <f aca="false">IF($N2297="","",IF(COUNTIF($N$8:$N2297,$N2297)=1,MAX($AB$7:$AB2296)+1,""))</f>
        <v/>
      </c>
    </row>
    <row r="2298" customFormat="false" ht="15" hidden="false" customHeight="false" outlineLevel="0" collapsed="false">
      <c r="L2298" s="37" t="str">
        <f aca="false">IF(INDEX($A2298:$J2298,$L$6)&lt;&gt;"",TRIM(LEFT(INDEX($A2298:$J2298,$L$6),FIND("(",INDEX($A2298:$J2298,$L$6)&amp;"(")-1)),L2297)</f>
        <v>Building Value Proposition</v>
      </c>
      <c r="M2298" s="37" t="str">
        <f aca="false">IF(INDEX($A2298:$J2298,$M$6)="","",INDEX($A2298:$J2298,$M$6)&amp;"")</f>
        <v/>
      </c>
      <c r="N2298" s="37" t="str">
        <f aca="false">IF($M2298="","",TRIM(INDEX($A2298:$J2298,$N$6)&amp;""))</f>
        <v/>
      </c>
      <c r="O2298" s="37" t="str">
        <f aca="false">IF($M2298="","",TRIM(INDEX($A2298:$J2298,$O$6)&amp;""))</f>
        <v/>
      </c>
      <c r="P2298" s="37" t="str">
        <f aca="false">IF($M2298="","",IFERROR(IF(INDEX(Settings!$B$41:$B$50,MATCH(O2298,Settings!$A$41:$A$50,0))&amp;""="","UNMAPPED",INDEX(Settings!$B$41:$B$50,MATCH(O2298,Settings!$A$41:$A$50,0))&amp;""),"UNMAPPED"))</f>
        <v/>
      </c>
      <c r="Q2298" s="38" t="n">
        <f aca="false">IF($M2298="",0,N(INDEX($A2298:$J2298,$Q$6)))</f>
        <v>0</v>
      </c>
      <c r="R2298" s="39" t="str">
        <f aca="false">IF($M2298="","",INDEX($A2298:$J2298,$R$6))</f>
        <v/>
      </c>
      <c r="S2298" s="37" t="str">
        <f aca="false">IF($M2298="","",IFERROR(INDEX(Settings!$B$27:$B$36,MATCH(L2298,Settings!$A$27:$A$36,0))&amp;"","UNMAPPED"))</f>
        <v/>
      </c>
      <c r="T2298" s="37" t="str">
        <f aca="false">IF($M2298="","",IF(NOT(ISNUMBER(R2298)),"NO DATE",IF(S2298="Won",IF(R2298&gt;Settings!$B$5,"Backlog","Delivered"),IF(S2298="Open",IF(R2298&gt;Settings!$B$5,"Pipeline","Overdue"),IF(S2298="Lost","Lost","UNMAPPED")))))</f>
        <v/>
      </c>
      <c r="U2298" s="40" t="n">
        <f aca="false">IF(T2298="Backlog",1,IF(OR(T2298="Pipeline",T2298="Overdue"),N(INDEX(Settings!$C$27:$C$36,MATCH(L2298,Settings!$A$27:$A$36,0))),0))</f>
        <v>0</v>
      </c>
      <c r="V2298" s="38" t="n">
        <f aca="false">Q2298*U2298</f>
        <v>0</v>
      </c>
      <c r="W2298" s="41" t="str">
        <f aca="false">IF($M2298="","",IF(T2298="Overdue",IF(Settings!$B$8="Yes",Settings!$B$7,""),IF(ISNUMBER(R2298),DATE(YEAR(R2298),MONTH(R2298),1),"")))</f>
        <v/>
      </c>
      <c r="X2298" s="38" t="n">
        <f aca="false">IF(AND(OR(T2298="Backlog",T2298="Pipeline",T2298="Overdue"),ISNUMBER(W2298)),IF(W2298&lt;=Settings!$B$6,V2298,0),0)</f>
        <v>0</v>
      </c>
      <c r="Y2298" s="38" t="n">
        <f aca="false">IF(AND(OR(T2298="Backlog",T2298="Pipeline",T2298="Overdue"),ISNUMBER(W2298)),IF(W2298&lt;=Settings!$B$6,Q2298,0),0)</f>
        <v>0</v>
      </c>
      <c r="Z2298" s="38" t="n">
        <f aca="false">IF(Y2298=0,0,IF(T2298="Backlog",Q2298,Q2298*Dashboard!$C$10))</f>
        <v>0</v>
      </c>
      <c r="AA2298" s="37" t="n">
        <f aca="false">IF($N2298="",0,IF(COUNTIF(Dashboard!$C$13:$C$22,$N2298)&gt;0,1,0))</f>
        <v>0</v>
      </c>
      <c r="AB2298" s="37" t="str">
        <f aca="false">IF($N2298="","",IF(COUNTIF($N$8:$N2298,$N2298)=1,MAX($AB$7:$AB2297)+1,""))</f>
        <v/>
      </c>
    </row>
    <row r="2299" customFormat="false" ht="15" hidden="false" customHeight="false" outlineLevel="0" collapsed="false">
      <c r="L2299" s="37" t="str">
        <f aca="false">IF(INDEX($A2299:$J2299,$L$6)&lt;&gt;"",TRIM(LEFT(INDEX($A2299:$J2299,$L$6),FIND("(",INDEX($A2299:$J2299,$L$6)&amp;"(")-1)),L2298)</f>
        <v>Building Value Proposition</v>
      </c>
      <c r="M2299" s="37" t="str">
        <f aca="false">IF(INDEX($A2299:$J2299,$M$6)="","",INDEX($A2299:$J2299,$M$6)&amp;"")</f>
        <v/>
      </c>
      <c r="N2299" s="37" t="str">
        <f aca="false">IF($M2299="","",TRIM(INDEX($A2299:$J2299,$N$6)&amp;""))</f>
        <v/>
      </c>
      <c r="O2299" s="37" t="str">
        <f aca="false">IF($M2299="","",TRIM(INDEX($A2299:$J2299,$O$6)&amp;""))</f>
        <v/>
      </c>
      <c r="P2299" s="37" t="str">
        <f aca="false">IF($M2299="","",IFERROR(IF(INDEX(Settings!$B$41:$B$50,MATCH(O2299,Settings!$A$41:$A$50,0))&amp;""="","UNMAPPED",INDEX(Settings!$B$41:$B$50,MATCH(O2299,Settings!$A$41:$A$50,0))&amp;""),"UNMAPPED"))</f>
        <v/>
      </c>
      <c r="Q2299" s="38" t="n">
        <f aca="false">IF($M2299="",0,N(INDEX($A2299:$J2299,$Q$6)))</f>
        <v>0</v>
      </c>
      <c r="R2299" s="39" t="str">
        <f aca="false">IF($M2299="","",INDEX($A2299:$J2299,$R$6))</f>
        <v/>
      </c>
      <c r="S2299" s="37" t="str">
        <f aca="false">IF($M2299="","",IFERROR(INDEX(Settings!$B$27:$B$36,MATCH(L2299,Settings!$A$27:$A$36,0))&amp;"","UNMAPPED"))</f>
        <v/>
      </c>
      <c r="T2299" s="37" t="str">
        <f aca="false">IF($M2299="","",IF(NOT(ISNUMBER(R2299)),"NO DATE",IF(S2299="Won",IF(R2299&gt;Settings!$B$5,"Backlog","Delivered"),IF(S2299="Open",IF(R2299&gt;Settings!$B$5,"Pipeline","Overdue"),IF(S2299="Lost","Lost","UNMAPPED")))))</f>
        <v/>
      </c>
      <c r="U2299" s="40" t="n">
        <f aca="false">IF(T2299="Backlog",1,IF(OR(T2299="Pipeline",T2299="Overdue"),N(INDEX(Settings!$C$27:$C$36,MATCH(L2299,Settings!$A$27:$A$36,0))),0))</f>
        <v>0</v>
      </c>
      <c r="V2299" s="38" t="n">
        <f aca="false">Q2299*U2299</f>
        <v>0</v>
      </c>
      <c r="W2299" s="41" t="str">
        <f aca="false">IF($M2299="","",IF(T2299="Overdue",IF(Settings!$B$8="Yes",Settings!$B$7,""),IF(ISNUMBER(R2299),DATE(YEAR(R2299),MONTH(R2299),1),"")))</f>
        <v/>
      </c>
      <c r="X2299" s="38" t="n">
        <f aca="false">IF(AND(OR(T2299="Backlog",T2299="Pipeline",T2299="Overdue"),ISNUMBER(W2299)),IF(W2299&lt;=Settings!$B$6,V2299,0),0)</f>
        <v>0</v>
      </c>
      <c r="Y2299" s="38" t="n">
        <f aca="false">IF(AND(OR(T2299="Backlog",T2299="Pipeline",T2299="Overdue"),ISNUMBER(W2299)),IF(W2299&lt;=Settings!$B$6,Q2299,0),0)</f>
        <v>0</v>
      </c>
      <c r="Z2299" s="38" t="n">
        <f aca="false">IF(Y2299=0,0,IF(T2299="Backlog",Q2299,Q2299*Dashboard!$C$10))</f>
        <v>0</v>
      </c>
      <c r="AA2299" s="37" t="n">
        <f aca="false">IF($N2299="",0,IF(COUNTIF(Dashboard!$C$13:$C$22,$N2299)&gt;0,1,0))</f>
        <v>0</v>
      </c>
      <c r="AB2299" s="37" t="str">
        <f aca="false">IF($N2299="","",IF(COUNTIF($N$8:$N2299,$N2299)=1,MAX($AB$7:$AB2298)+1,""))</f>
        <v/>
      </c>
    </row>
    <row r="2300" customFormat="false" ht="15" hidden="false" customHeight="false" outlineLevel="0" collapsed="false">
      <c r="L2300" s="37" t="str">
        <f aca="false">IF(INDEX($A2300:$J2300,$L$6)&lt;&gt;"",TRIM(LEFT(INDEX($A2300:$J2300,$L$6),FIND("(",INDEX($A2300:$J2300,$L$6)&amp;"(")-1)),L2299)</f>
        <v>Building Value Proposition</v>
      </c>
      <c r="M2300" s="37" t="str">
        <f aca="false">IF(INDEX($A2300:$J2300,$M$6)="","",INDEX($A2300:$J2300,$M$6)&amp;"")</f>
        <v/>
      </c>
      <c r="N2300" s="37" t="str">
        <f aca="false">IF($M2300="","",TRIM(INDEX($A2300:$J2300,$N$6)&amp;""))</f>
        <v/>
      </c>
      <c r="O2300" s="37" t="str">
        <f aca="false">IF($M2300="","",TRIM(INDEX($A2300:$J2300,$O$6)&amp;""))</f>
        <v/>
      </c>
      <c r="P2300" s="37" t="str">
        <f aca="false">IF($M2300="","",IFERROR(IF(INDEX(Settings!$B$41:$B$50,MATCH(O2300,Settings!$A$41:$A$50,0))&amp;""="","UNMAPPED",INDEX(Settings!$B$41:$B$50,MATCH(O2300,Settings!$A$41:$A$50,0))&amp;""),"UNMAPPED"))</f>
        <v/>
      </c>
      <c r="Q2300" s="38" t="n">
        <f aca="false">IF($M2300="",0,N(INDEX($A2300:$J2300,$Q$6)))</f>
        <v>0</v>
      </c>
      <c r="R2300" s="39" t="str">
        <f aca="false">IF($M2300="","",INDEX($A2300:$J2300,$R$6))</f>
        <v/>
      </c>
      <c r="S2300" s="37" t="str">
        <f aca="false">IF($M2300="","",IFERROR(INDEX(Settings!$B$27:$B$36,MATCH(L2300,Settings!$A$27:$A$36,0))&amp;"","UNMAPPED"))</f>
        <v/>
      </c>
      <c r="T2300" s="37" t="str">
        <f aca="false">IF($M2300="","",IF(NOT(ISNUMBER(R2300)),"NO DATE",IF(S2300="Won",IF(R2300&gt;Settings!$B$5,"Backlog","Delivered"),IF(S2300="Open",IF(R2300&gt;Settings!$B$5,"Pipeline","Overdue"),IF(S2300="Lost","Lost","UNMAPPED")))))</f>
        <v/>
      </c>
      <c r="U2300" s="40" t="n">
        <f aca="false">IF(T2300="Backlog",1,IF(OR(T2300="Pipeline",T2300="Overdue"),N(INDEX(Settings!$C$27:$C$36,MATCH(L2300,Settings!$A$27:$A$36,0))),0))</f>
        <v>0</v>
      </c>
      <c r="V2300" s="38" t="n">
        <f aca="false">Q2300*U2300</f>
        <v>0</v>
      </c>
      <c r="W2300" s="41" t="str">
        <f aca="false">IF($M2300="","",IF(T2300="Overdue",IF(Settings!$B$8="Yes",Settings!$B$7,""),IF(ISNUMBER(R2300),DATE(YEAR(R2300),MONTH(R2300),1),"")))</f>
        <v/>
      </c>
      <c r="X2300" s="38" t="n">
        <f aca="false">IF(AND(OR(T2300="Backlog",T2300="Pipeline",T2300="Overdue"),ISNUMBER(W2300)),IF(W2300&lt;=Settings!$B$6,V2300,0),0)</f>
        <v>0</v>
      </c>
      <c r="Y2300" s="38" t="n">
        <f aca="false">IF(AND(OR(T2300="Backlog",T2300="Pipeline",T2300="Overdue"),ISNUMBER(W2300)),IF(W2300&lt;=Settings!$B$6,Q2300,0),0)</f>
        <v>0</v>
      </c>
      <c r="Z2300" s="38" t="n">
        <f aca="false">IF(Y2300=0,0,IF(T2300="Backlog",Q2300,Q2300*Dashboard!$C$10))</f>
        <v>0</v>
      </c>
      <c r="AA2300" s="37" t="n">
        <f aca="false">IF($N2300="",0,IF(COUNTIF(Dashboard!$C$13:$C$22,$N2300)&gt;0,1,0))</f>
        <v>0</v>
      </c>
      <c r="AB2300" s="37" t="str">
        <f aca="false">IF($N2300="","",IF(COUNTIF($N$8:$N2300,$N2300)=1,MAX($AB$7:$AB2299)+1,""))</f>
        <v/>
      </c>
    </row>
    <row r="2301" customFormat="false" ht="15" hidden="false" customHeight="false" outlineLevel="0" collapsed="false">
      <c r="L2301" s="37" t="str">
        <f aca="false">IF(INDEX($A2301:$J2301,$L$6)&lt;&gt;"",TRIM(LEFT(INDEX($A2301:$J2301,$L$6),FIND("(",INDEX($A2301:$J2301,$L$6)&amp;"(")-1)),L2300)</f>
        <v>Building Value Proposition</v>
      </c>
      <c r="M2301" s="37" t="str">
        <f aca="false">IF(INDEX($A2301:$J2301,$M$6)="","",INDEX($A2301:$J2301,$M$6)&amp;"")</f>
        <v/>
      </c>
      <c r="N2301" s="37" t="str">
        <f aca="false">IF($M2301="","",TRIM(INDEX($A2301:$J2301,$N$6)&amp;""))</f>
        <v/>
      </c>
      <c r="O2301" s="37" t="str">
        <f aca="false">IF($M2301="","",TRIM(INDEX($A2301:$J2301,$O$6)&amp;""))</f>
        <v/>
      </c>
      <c r="P2301" s="37" t="str">
        <f aca="false">IF($M2301="","",IFERROR(IF(INDEX(Settings!$B$41:$B$50,MATCH(O2301,Settings!$A$41:$A$50,0))&amp;""="","UNMAPPED",INDEX(Settings!$B$41:$B$50,MATCH(O2301,Settings!$A$41:$A$50,0))&amp;""),"UNMAPPED"))</f>
        <v/>
      </c>
      <c r="Q2301" s="38" t="n">
        <f aca="false">IF($M2301="",0,N(INDEX($A2301:$J2301,$Q$6)))</f>
        <v>0</v>
      </c>
      <c r="R2301" s="39" t="str">
        <f aca="false">IF($M2301="","",INDEX($A2301:$J2301,$R$6))</f>
        <v/>
      </c>
      <c r="S2301" s="37" t="str">
        <f aca="false">IF($M2301="","",IFERROR(INDEX(Settings!$B$27:$B$36,MATCH(L2301,Settings!$A$27:$A$36,0))&amp;"","UNMAPPED"))</f>
        <v/>
      </c>
      <c r="T2301" s="37" t="str">
        <f aca="false">IF($M2301="","",IF(NOT(ISNUMBER(R2301)),"NO DATE",IF(S2301="Won",IF(R2301&gt;Settings!$B$5,"Backlog","Delivered"),IF(S2301="Open",IF(R2301&gt;Settings!$B$5,"Pipeline","Overdue"),IF(S2301="Lost","Lost","UNMAPPED")))))</f>
        <v/>
      </c>
      <c r="U2301" s="40" t="n">
        <f aca="false">IF(T2301="Backlog",1,IF(OR(T2301="Pipeline",T2301="Overdue"),N(INDEX(Settings!$C$27:$C$36,MATCH(L2301,Settings!$A$27:$A$36,0))),0))</f>
        <v>0</v>
      </c>
      <c r="V2301" s="38" t="n">
        <f aca="false">Q2301*U2301</f>
        <v>0</v>
      </c>
      <c r="W2301" s="41" t="str">
        <f aca="false">IF($M2301="","",IF(T2301="Overdue",IF(Settings!$B$8="Yes",Settings!$B$7,""),IF(ISNUMBER(R2301),DATE(YEAR(R2301),MONTH(R2301),1),"")))</f>
        <v/>
      </c>
      <c r="X2301" s="38" t="n">
        <f aca="false">IF(AND(OR(T2301="Backlog",T2301="Pipeline",T2301="Overdue"),ISNUMBER(W2301)),IF(W2301&lt;=Settings!$B$6,V2301,0),0)</f>
        <v>0</v>
      </c>
      <c r="Y2301" s="38" t="n">
        <f aca="false">IF(AND(OR(T2301="Backlog",T2301="Pipeline",T2301="Overdue"),ISNUMBER(W2301)),IF(W2301&lt;=Settings!$B$6,Q2301,0),0)</f>
        <v>0</v>
      </c>
      <c r="Z2301" s="38" t="n">
        <f aca="false">IF(Y2301=0,0,IF(T2301="Backlog",Q2301,Q2301*Dashboard!$C$10))</f>
        <v>0</v>
      </c>
      <c r="AA2301" s="37" t="n">
        <f aca="false">IF($N2301="",0,IF(COUNTIF(Dashboard!$C$13:$C$22,$N2301)&gt;0,1,0))</f>
        <v>0</v>
      </c>
      <c r="AB2301" s="37" t="str">
        <f aca="false">IF($N2301="","",IF(COUNTIF($N$8:$N2301,$N2301)=1,MAX($AB$7:$AB2300)+1,""))</f>
        <v/>
      </c>
    </row>
    <row r="2302" customFormat="false" ht="15" hidden="false" customHeight="false" outlineLevel="0" collapsed="false">
      <c r="L2302" s="37" t="str">
        <f aca="false">IF(INDEX($A2302:$J2302,$L$6)&lt;&gt;"",TRIM(LEFT(INDEX($A2302:$J2302,$L$6),FIND("(",INDEX($A2302:$J2302,$L$6)&amp;"(")-1)),L2301)</f>
        <v>Building Value Proposition</v>
      </c>
      <c r="M2302" s="37" t="str">
        <f aca="false">IF(INDEX($A2302:$J2302,$M$6)="","",INDEX($A2302:$J2302,$M$6)&amp;"")</f>
        <v/>
      </c>
      <c r="N2302" s="37" t="str">
        <f aca="false">IF($M2302="","",TRIM(INDEX($A2302:$J2302,$N$6)&amp;""))</f>
        <v/>
      </c>
      <c r="O2302" s="37" t="str">
        <f aca="false">IF($M2302="","",TRIM(INDEX($A2302:$J2302,$O$6)&amp;""))</f>
        <v/>
      </c>
      <c r="P2302" s="37" t="str">
        <f aca="false">IF($M2302="","",IFERROR(IF(INDEX(Settings!$B$41:$B$50,MATCH(O2302,Settings!$A$41:$A$50,0))&amp;""="","UNMAPPED",INDEX(Settings!$B$41:$B$50,MATCH(O2302,Settings!$A$41:$A$50,0))&amp;""),"UNMAPPED"))</f>
        <v/>
      </c>
      <c r="Q2302" s="38" t="n">
        <f aca="false">IF($M2302="",0,N(INDEX($A2302:$J2302,$Q$6)))</f>
        <v>0</v>
      </c>
      <c r="R2302" s="39" t="str">
        <f aca="false">IF($M2302="","",INDEX($A2302:$J2302,$R$6))</f>
        <v/>
      </c>
      <c r="S2302" s="37" t="str">
        <f aca="false">IF($M2302="","",IFERROR(INDEX(Settings!$B$27:$B$36,MATCH(L2302,Settings!$A$27:$A$36,0))&amp;"","UNMAPPED"))</f>
        <v/>
      </c>
      <c r="T2302" s="37" t="str">
        <f aca="false">IF($M2302="","",IF(NOT(ISNUMBER(R2302)),"NO DATE",IF(S2302="Won",IF(R2302&gt;Settings!$B$5,"Backlog","Delivered"),IF(S2302="Open",IF(R2302&gt;Settings!$B$5,"Pipeline","Overdue"),IF(S2302="Lost","Lost","UNMAPPED")))))</f>
        <v/>
      </c>
      <c r="U2302" s="40" t="n">
        <f aca="false">IF(T2302="Backlog",1,IF(OR(T2302="Pipeline",T2302="Overdue"),N(INDEX(Settings!$C$27:$C$36,MATCH(L2302,Settings!$A$27:$A$36,0))),0))</f>
        <v>0</v>
      </c>
      <c r="V2302" s="38" t="n">
        <f aca="false">Q2302*U2302</f>
        <v>0</v>
      </c>
      <c r="W2302" s="41" t="str">
        <f aca="false">IF($M2302="","",IF(T2302="Overdue",IF(Settings!$B$8="Yes",Settings!$B$7,""),IF(ISNUMBER(R2302),DATE(YEAR(R2302),MONTH(R2302),1),"")))</f>
        <v/>
      </c>
      <c r="X2302" s="38" t="n">
        <f aca="false">IF(AND(OR(T2302="Backlog",T2302="Pipeline",T2302="Overdue"),ISNUMBER(W2302)),IF(W2302&lt;=Settings!$B$6,V2302,0),0)</f>
        <v>0</v>
      </c>
      <c r="Y2302" s="38" t="n">
        <f aca="false">IF(AND(OR(T2302="Backlog",T2302="Pipeline",T2302="Overdue"),ISNUMBER(W2302)),IF(W2302&lt;=Settings!$B$6,Q2302,0),0)</f>
        <v>0</v>
      </c>
      <c r="Z2302" s="38" t="n">
        <f aca="false">IF(Y2302=0,0,IF(T2302="Backlog",Q2302,Q2302*Dashboard!$C$10))</f>
        <v>0</v>
      </c>
      <c r="AA2302" s="37" t="n">
        <f aca="false">IF($N2302="",0,IF(COUNTIF(Dashboard!$C$13:$C$22,$N2302)&gt;0,1,0))</f>
        <v>0</v>
      </c>
      <c r="AB2302" s="37" t="str">
        <f aca="false">IF($N2302="","",IF(COUNTIF($N$8:$N2302,$N2302)=1,MAX($AB$7:$AB2301)+1,""))</f>
        <v/>
      </c>
    </row>
    <row r="2303" customFormat="false" ht="15" hidden="false" customHeight="false" outlineLevel="0" collapsed="false">
      <c r="L2303" s="37" t="str">
        <f aca="false">IF(INDEX($A2303:$J2303,$L$6)&lt;&gt;"",TRIM(LEFT(INDEX($A2303:$J2303,$L$6),FIND("(",INDEX($A2303:$J2303,$L$6)&amp;"(")-1)),L2302)</f>
        <v>Building Value Proposition</v>
      </c>
      <c r="M2303" s="37" t="str">
        <f aca="false">IF(INDEX($A2303:$J2303,$M$6)="","",INDEX($A2303:$J2303,$M$6)&amp;"")</f>
        <v/>
      </c>
      <c r="N2303" s="37" t="str">
        <f aca="false">IF($M2303="","",TRIM(INDEX($A2303:$J2303,$N$6)&amp;""))</f>
        <v/>
      </c>
      <c r="O2303" s="37" t="str">
        <f aca="false">IF($M2303="","",TRIM(INDEX($A2303:$J2303,$O$6)&amp;""))</f>
        <v/>
      </c>
      <c r="P2303" s="37" t="str">
        <f aca="false">IF($M2303="","",IFERROR(IF(INDEX(Settings!$B$41:$B$50,MATCH(O2303,Settings!$A$41:$A$50,0))&amp;""="","UNMAPPED",INDEX(Settings!$B$41:$B$50,MATCH(O2303,Settings!$A$41:$A$50,0))&amp;""),"UNMAPPED"))</f>
        <v/>
      </c>
      <c r="Q2303" s="38" t="n">
        <f aca="false">IF($M2303="",0,N(INDEX($A2303:$J2303,$Q$6)))</f>
        <v>0</v>
      </c>
      <c r="R2303" s="39" t="str">
        <f aca="false">IF($M2303="","",INDEX($A2303:$J2303,$R$6))</f>
        <v/>
      </c>
      <c r="S2303" s="37" t="str">
        <f aca="false">IF($M2303="","",IFERROR(INDEX(Settings!$B$27:$B$36,MATCH(L2303,Settings!$A$27:$A$36,0))&amp;"","UNMAPPED"))</f>
        <v/>
      </c>
      <c r="T2303" s="37" t="str">
        <f aca="false">IF($M2303="","",IF(NOT(ISNUMBER(R2303)),"NO DATE",IF(S2303="Won",IF(R2303&gt;Settings!$B$5,"Backlog","Delivered"),IF(S2303="Open",IF(R2303&gt;Settings!$B$5,"Pipeline","Overdue"),IF(S2303="Lost","Lost","UNMAPPED")))))</f>
        <v/>
      </c>
      <c r="U2303" s="40" t="n">
        <f aca="false">IF(T2303="Backlog",1,IF(OR(T2303="Pipeline",T2303="Overdue"),N(INDEX(Settings!$C$27:$C$36,MATCH(L2303,Settings!$A$27:$A$36,0))),0))</f>
        <v>0</v>
      </c>
      <c r="V2303" s="38" t="n">
        <f aca="false">Q2303*U2303</f>
        <v>0</v>
      </c>
      <c r="W2303" s="41" t="str">
        <f aca="false">IF($M2303="","",IF(T2303="Overdue",IF(Settings!$B$8="Yes",Settings!$B$7,""),IF(ISNUMBER(R2303),DATE(YEAR(R2303),MONTH(R2303),1),"")))</f>
        <v/>
      </c>
      <c r="X2303" s="38" t="n">
        <f aca="false">IF(AND(OR(T2303="Backlog",T2303="Pipeline",T2303="Overdue"),ISNUMBER(W2303)),IF(W2303&lt;=Settings!$B$6,V2303,0),0)</f>
        <v>0</v>
      </c>
      <c r="Y2303" s="38" t="n">
        <f aca="false">IF(AND(OR(T2303="Backlog",T2303="Pipeline",T2303="Overdue"),ISNUMBER(W2303)),IF(W2303&lt;=Settings!$B$6,Q2303,0),0)</f>
        <v>0</v>
      </c>
      <c r="Z2303" s="38" t="n">
        <f aca="false">IF(Y2303=0,0,IF(T2303="Backlog",Q2303,Q2303*Dashboard!$C$10))</f>
        <v>0</v>
      </c>
      <c r="AA2303" s="37" t="n">
        <f aca="false">IF($N2303="",0,IF(COUNTIF(Dashboard!$C$13:$C$22,$N2303)&gt;0,1,0))</f>
        <v>0</v>
      </c>
      <c r="AB2303" s="37" t="str">
        <f aca="false">IF($N2303="","",IF(COUNTIF($N$8:$N2303,$N2303)=1,MAX($AB$7:$AB2302)+1,""))</f>
        <v/>
      </c>
    </row>
    <row r="2304" customFormat="false" ht="15" hidden="false" customHeight="false" outlineLevel="0" collapsed="false">
      <c r="L2304" s="37" t="str">
        <f aca="false">IF(INDEX($A2304:$J2304,$L$6)&lt;&gt;"",TRIM(LEFT(INDEX($A2304:$J2304,$L$6),FIND("(",INDEX($A2304:$J2304,$L$6)&amp;"(")-1)),L2303)</f>
        <v>Building Value Proposition</v>
      </c>
      <c r="M2304" s="37" t="str">
        <f aca="false">IF(INDEX($A2304:$J2304,$M$6)="","",INDEX($A2304:$J2304,$M$6)&amp;"")</f>
        <v/>
      </c>
      <c r="N2304" s="37" t="str">
        <f aca="false">IF($M2304="","",TRIM(INDEX($A2304:$J2304,$N$6)&amp;""))</f>
        <v/>
      </c>
      <c r="O2304" s="37" t="str">
        <f aca="false">IF($M2304="","",TRIM(INDEX($A2304:$J2304,$O$6)&amp;""))</f>
        <v/>
      </c>
      <c r="P2304" s="37" t="str">
        <f aca="false">IF($M2304="","",IFERROR(IF(INDEX(Settings!$B$41:$B$50,MATCH(O2304,Settings!$A$41:$A$50,0))&amp;""="","UNMAPPED",INDEX(Settings!$B$41:$B$50,MATCH(O2304,Settings!$A$41:$A$50,0))&amp;""),"UNMAPPED"))</f>
        <v/>
      </c>
      <c r="Q2304" s="38" t="n">
        <f aca="false">IF($M2304="",0,N(INDEX($A2304:$J2304,$Q$6)))</f>
        <v>0</v>
      </c>
      <c r="R2304" s="39" t="str">
        <f aca="false">IF($M2304="","",INDEX($A2304:$J2304,$R$6))</f>
        <v/>
      </c>
      <c r="S2304" s="37" t="str">
        <f aca="false">IF($M2304="","",IFERROR(INDEX(Settings!$B$27:$B$36,MATCH(L2304,Settings!$A$27:$A$36,0))&amp;"","UNMAPPED"))</f>
        <v/>
      </c>
      <c r="T2304" s="37" t="str">
        <f aca="false">IF($M2304="","",IF(NOT(ISNUMBER(R2304)),"NO DATE",IF(S2304="Won",IF(R2304&gt;Settings!$B$5,"Backlog","Delivered"),IF(S2304="Open",IF(R2304&gt;Settings!$B$5,"Pipeline","Overdue"),IF(S2304="Lost","Lost","UNMAPPED")))))</f>
        <v/>
      </c>
      <c r="U2304" s="40" t="n">
        <f aca="false">IF(T2304="Backlog",1,IF(OR(T2304="Pipeline",T2304="Overdue"),N(INDEX(Settings!$C$27:$C$36,MATCH(L2304,Settings!$A$27:$A$36,0))),0))</f>
        <v>0</v>
      </c>
      <c r="V2304" s="38" t="n">
        <f aca="false">Q2304*U2304</f>
        <v>0</v>
      </c>
      <c r="W2304" s="41" t="str">
        <f aca="false">IF($M2304="","",IF(T2304="Overdue",IF(Settings!$B$8="Yes",Settings!$B$7,""),IF(ISNUMBER(R2304),DATE(YEAR(R2304),MONTH(R2304),1),"")))</f>
        <v/>
      </c>
      <c r="X2304" s="38" t="n">
        <f aca="false">IF(AND(OR(T2304="Backlog",T2304="Pipeline",T2304="Overdue"),ISNUMBER(W2304)),IF(W2304&lt;=Settings!$B$6,V2304,0),0)</f>
        <v>0</v>
      </c>
      <c r="Y2304" s="38" t="n">
        <f aca="false">IF(AND(OR(T2304="Backlog",T2304="Pipeline",T2304="Overdue"),ISNUMBER(W2304)),IF(W2304&lt;=Settings!$B$6,Q2304,0),0)</f>
        <v>0</v>
      </c>
      <c r="Z2304" s="38" t="n">
        <f aca="false">IF(Y2304=0,0,IF(T2304="Backlog",Q2304,Q2304*Dashboard!$C$10))</f>
        <v>0</v>
      </c>
      <c r="AA2304" s="37" t="n">
        <f aca="false">IF($N2304="",0,IF(COUNTIF(Dashboard!$C$13:$C$22,$N2304)&gt;0,1,0))</f>
        <v>0</v>
      </c>
      <c r="AB2304" s="37" t="str">
        <f aca="false">IF($N2304="","",IF(COUNTIF($N$8:$N2304,$N2304)=1,MAX($AB$7:$AB2303)+1,""))</f>
        <v/>
      </c>
    </row>
    <row r="2305" customFormat="false" ht="15" hidden="false" customHeight="false" outlineLevel="0" collapsed="false">
      <c r="L2305" s="37" t="str">
        <f aca="false">IF(INDEX($A2305:$J2305,$L$6)&lt;&gt;"",TRIM(LEFT(INDEX($A2305:$J2305,$L$6),FIND("(",INDEX($A2305:$J2305,$L$6)&amp;"(")-1)),L2304)</f>
        <v>Building Value Proposition</v>
      </c>
      <c r="M2305" s="37" t="str">
        <f aca="false">IF(INDEX($A2305:$J2305,$M$6)="","",INDEX($A2305:$J2305,$M$6)&amp;"")</f>
        <v/>
      </c>
      <c r="N2305" s="37" t="str">
        <f aca="false">IF($M2305="","",TRIM(INDEX($A2305:$J2305,$N$6)&amp;""))</f>
        <v/>
      </c>
      <c r="O2305" s="37" t="str">
        <f aca="false">IF($M2305="","",TRIM(INDEX($A2305:$J2305,$O$6)&amp;""))</f>
        <v/>
      </c>
      <c r="P2305" s="37" t="str">
        <f aca="false">IF($M2305="","",IFERROR(IF(INDEX(Settings!$B$41:$B$50,MATCH(O2305,Settings!$A$41:$A$50,0))&amp;""="","UNMAPPED",INDEX(Settings!$B$41:$B$50,MATCH(O2305,Settings!$A$41:$A$50,0))&amp;""),"UNMAPPED"))</f>
        <v/>
      </c>
      <c r="Q2305" s="38" t="n">
        <f aca="false">IF($M2305="",0,N(INDEX($A2305:$J2305,$Q$6)))</f>
        <v>0</v>
      </c>
      <c r="R2305" s="39" t="str">
        <f aca="false">IF($M2305="","",INDEX($A2305:$J2305,$R$6))</f>
        <v/>
      </c>
      <c r="S2305" s="37" t="str">
        <f aca="false">IF($M2305="","",IFERROR(INDEX(Settings!$B$27:$B$36,MATCH(L2305,Settings!$A$27:$A$36,0))&amp;"","UNMAPPED"))</f>
        <v/>
      </c>
      <c r="T2305" s="37" t="str">
        <f aca="false">IF($M2305="","",IF(NOT(ISNUMBER(R2305)),"NO DATE",IF(S2305="Won",IF(R2305&gt;Settings!$B$5,"Backlog","Delivered"),IF(S2305="Open",IF(R2305&gt;Settings!$B$5,"Pipeline","Overdue"),IF(S2305="Lost","Lost","UNMAPPED")))))</f>
        <v/>
      </c>
      <c r="U2305" s="40" t="n">
        <f aca="false">IF(T2305="Backlog",1,IF(OR(T2305="Pipeline",T2305="Overdue"),N(INDEX(Settings!$C$27:$C$36,MATCH(L2305,Settings!$A$27:$A$36,0))),0))</f>
        <v>0</v>
      </c>
      <c r="V2305" s="38" t="n">
        <f aca="false">Q2305*U2305</f>
        <v>0</v>
      </c>
      <c r="W2305" s="41" t="str">
        <f aca="false">IF($M2305="","",IF(T2305="Overdue",IF(Settings!$B$8="Yes",Settings!$B$7,""),IF(ISNUMBER(R2305),DATE(YEAR(R2305),MONTH(R2305),1),"")))</f>
        <v/>
      </c>
      <c r="X2305" s="38" t="n">
        <f aca="false">IF(AND(OR(T2305="Backlog",T2305="Pipeline",T2305="Overdue"),ISNUMBER(W2305)),IF(W2305&lt;=Settings!$B$6,V2305,0),0)</f>
        <v>0</v>
      </c>
      <c r="Y2305" s="38" t="n">
        <f aca="false">IF(AND(OR(T2305="Backlog",T2305="Pipeline",T2305="Overdue"),ISNUMBER(W2305)),IF(W2305&lt;=Settings!$B$6,Q2305,0),0)</f>
        <v>0</v>
      </c>
      <c r="Z2305" s="38" t="n">
        <f aca="false">IF(Y2305=0,0,IF(T2305="Backlog",Q2305,Q2305*Dashboard!$C$10))</f>
        <v>0</v>
      </c>
      <c r="AA2305" s="37" t="n">
        <f aca="false">IF($N2305="",0,IF(COUNTIF(Dashboard!$C$13:$C$22,$N2305)&gt;0,1,0))</f>
        <v>0</v>
      </c>
      <c r="AB2305" s="37" t="str">
        <f aca="false">IF($N2305="","",IF(COUNTIF($N$8:$N2305,$N2305)=1,MAX($AB$7:$AB2304)+1,""))</f>
        <v/>
      </c>
    </row>
    <row r="2306" customFormat="false" ht="15" hidden="false" customHeight="false" outlineLevel="0" collapsed="false">
      <c r="L2306" s="37" t="str">
        <f aca="false">IF(INDEX($A2306:$J2306,$L$6)&lt;&gt;"",TRIM(LEFT(INDEX($A2306:$J2306,$L$6),FIND("(",INDEX($A2306:$J2306,$L$6)&amp;"(")-1)),L2305)</f>
        <v>Building Value Proposition</v>
      </c>
      <c r="M2306" s="37" t="str">
        <f aca="false">IF(INDEX($A2306:$J2306,$M$6)="","",INDEX($A2306:$J2306,$M$6)&amp;"")</f>
        <v/>
      </c>
      <c r="N2306" s="37" t="str">
        <f aca="false">IF($M2306="","",TRIM(INDEX($A2306:$J2306,$N$6)&amp;""))</f>
        <v/>
      </c>
      <c r="O2306" s="37" t="str">
        <f aca="false">IF($M2306="","",TRIM(INDEX($A2306:$J2306,$O$6)&amp;""))</f>
        <v/>
      </c>
      <c r="P2306" s="37" t="str">
        <f aca="false">IF($M2306="","",IFERROR(IF(INDEX(Settings!$B$41:$B$50,MATCH(O2306,Settings!$A$41:$A$50,0))&amp;""="","UNMAPPED",INDEX(Settings!$B$41:$B$50,MATCH(O2306,Settings!$A$41:$A$50,0))&amp;""),"UNMAPPED"))</f>
        <v/>
      </c>
      <c r="Q2306" s="38" t="n">
        <f aca="false">IF($M2306="",0,N(INDEX($A2306:$J2306,$Q$6)))</f>
        <v>0</v>
      </c>
      <c r="R2306" s="39" t="str">
        <f aca="false">IF($M2306="","",INDEX($A2306:$J2306,$R$6))</f>
        <v/>
      </c>
      <c r="S2306" s="37" t="str">
        <f aca="false">IF($M2306="","",IFERROR(INDEX(Settings!$B$27:$B$36,MATCH(L2306,Settings!$A$27:$A$36,0))&amp;"","UNMAPPED"))</f>
        <v/>
      </c>
      <c r="T2306" s="37" t="str">
        <f aca="false">IF($M2306="","",IF(NOT(ISNUMBER(R2306)),"NO DATE",IF(S2306="Won",IF(R2306&gt;Settings!$B$5,"Backlog","Delivered"),IF(S2306="Open",IF(R2306&gt;Settings!$B$5,"Pipeline","Overdue"),IF(S2306="Lost","Lost","UNMAPPED")))))</f>
        <v/>
      </c>
      <c r="U2306" s="40" t="n">
        <f aca="false">IF(T2306="Backlog",1,IF(OR(T2306="Pipeline",T2306="Overdue"),N(INDEX(Settings!$C$27:$C$36,MATCH(L2306,Settings!$A$27:$A$36,0))),0))</f>
        <v>0</v>
      </c>
      <c r="V2306" s="38" t="n">
        <f aca="false">Q2306*U2306</f>
        <v>0</v>
      </c>
      <c r="W2306" s="41" t="str">
        <f aca="false">IF($M2306="","",IF(T2306="Overdue",IF(Settings!$B$8="Yes",Settings!$B$7,""),IF(ISNUMBER(R2306),DATE(YEAR(R2306),MONTH(R2306),1),"")))</f>
        <v/>
      </c>
      <c r="X2306" s="38" t="n">
        <f aca="false">IF(AND(OR(T2306="Backlog",T2306="Pipeline",T2306="Overdue"),ISNUMBER(W2306)),IF(W2306&lt;=Settings!$B$6,V2306,0),0)</f>
        <v>0</v>
      </c>
      <c r="Y2306" s="38" t="n">
        <f aca="false">IF(AND(OR(T2306="Backlog",T2306="Pipeline",T2306="Overdue"),ISNUMBER(W2306)),IF(W2306&lt;=Settings!$B$6,Q2306,0),0)</f>
        <v>0</v>
      </c>
      <c r="Z2306" s="38" t="n">
        <f aca="false">IF(Y2306=0,0,IF(T2306="Backlog",Q2306,Q2306*Dashboard!$C$10))</f>
        <v>0</v>
      </c>
      <c r="AA2306" s="37" t="n">
        <f aca="false">IF($N2306="",0,IF(COUNTIF(Dashboard!$C$13:$C$22,$N2306)&gt;0,1,0))</f>
        <v>0</v>
      </c>
      <c r="AB2306" s="37" t="str">
        <f aca="false">IF($N2306="","",IF(COUNTIF($N$8:$N2306,$N2306)=1,MAX($AB$7:$AB2305)+1,""))</f>
        <v/>
      </c>
    </row>
    <row r="2307" customFormat="false" ht="15" hidden="false" customHeight="false" outlineLevel="0" collapsed="false">
      <c r="L2307" s="37" t="str">
        <f aca="false">IF(INDEX($A2307:$J2307,$L$6)&lt;&gt;"",TRIM(LEFT(INDEX($A2307:$J2307,$L$6),FIND("(",INDEX($A2307:$J2307,$L$6)&amp;"(")-1)),L2306)</f>
        <v>Building Value Proposition</v>
      </c>
      <c r="M2307" s="37" t="str">
        <f aca="false">IF(INDEX($A2307:$J2307,$M$6)="","",INDEX($A2307:$J2307,$M$6)&amp;"")</f>
        <v/>
      </c>
      <c r="N2307" s="37" t="str">
        <f aca="false">IF($M2307="","",TRIM(INDEX($A2307:$J2307,$N$6)&amp;""))</f>
        <v/>
      </c>
      <c r="O2307" s="37" t="str">
        <f aca="false">IF($M2307="","",TRIM(INDEX($A2307:$J2307,$O$6)&amp;""))</f>
        <v/>
      </c>
      <c r="P2307" s="37" t="str">
        <f aca="false">IF($M2307="","",IFERROR(IF(INDEX(Settings!$B$41:$B$50,MATCH(O2307,Settings!$A$41:$A$50,0))&amp;""="","UNMAPPED",INDEX(Settings!$B$41:$B$50,MATCH(O2307,Settings!$A$41:$A$50,0))&amp;""),"UNMAPPED"))</f>
        <v/>
      </c>
      <c r="Q2307" s="38" t="n">
        <f aca="false">IF($M2307="",0,N(INDEX($A2307:$J2307,$Q$6)))</f>
        <v>0</v>
      </c>
      <c r="R2307" s="39" t="str">
        <f aca="false">IF($M2307="","",INDEX($A2307:$J2307,$R$6))</f>
        <v/>
      </c>
      <c r="S2307" s="37" t="str">
        <f aca="false">IF($M2307="","",IFERROR(INDEX(Settings!$B$27:$B$36,MATCH(L2307,Settings!$A$27:$A$36,0))&amp;"","UNMAPPED"))</f>
        <v/>
      </c>
      <c r="T2307" s="37" t="str">
        <f aca="false">IF($M2307="","",IF(NOT(ISNUMBER(R2307)),"NO DATE",IF(S2307="Won",IF(R2307&gt;Settings!$B$5,"Backlog","Delivered"),IF(S2307="Open",IF(R2307&gt;Settings!$B$5,"Pipeline","Overdue"),IF(S2307="Lost","Lost","UNMAPPED")))))</f>
        <v/>
      </c>
      <c r="U2307" s="40" t="n">
        <f aca="false">IF(T2307="Backlog",1,IF(OR(T2307="Pipeline",T2307="Overdue"),N(INDEX(Settings!$C$27:$C$36,MATCH(L2307,Settings!$A$27:$A$36,0))),0))</f>
        <v>0</v>
      </c>
      <c r="V2307" s="38" t="n">
        <f aca="false">Q2307*U2307</f>
        <v>0</v>
      </c>
      <c r="W2307" s="41" t="str">
        <f aca="false">IF($M2307="","",IF(T2307="Overdue",IF(Settings!$B$8="Yes",Settings!$B$7,""),IF(ISNUMBER(R2307),DATE(YEAR(R2307),MONTH(R2307),1),"")))</f>
        <v/>
      </c>
      <c r="X2307" s="38" t="n">
        <f aca="false">IF(AND(OR(T2307="Backlog",T2307="Pipeline",T2307="Overdue"),ISNUMBER(W2307)),IF(W2307&lt;=Settings!$B$6,V2307,0),0)</f>
        <v>0</v>
      </c>
      <c r="Y2307" s="38" t="n">
        <f aca="false">IF(AND(OR(T2307="Backlog",T2307="Pipeline",T2307="Overdue"),ISNUMBER(W2307)),IF(W2307&lt;=Settings!$B$6,Q2307,0),0)</f>
        <v>0</v>
      </c>
      <c r="Z2307" s="38" t="n">
        <f aca="false">IF(Y2307=0,0,IF(T2307="Backlog",Q2307,Q2307*Dashboard!$C$10))</f>
        <v>0</v>
      </c>
      <c r="AA2307" s="37" t="n">
        <f aca="false">IF($N2307="",0,IF(COUNTIF(Dashboard!$C$13:$C$22,$N2307)&gt;0,1,0))</f>
        <v>0</v>
      </c>
      <c r="AB2307" s="37" t="str">
        <f aca="false">IF($N2307="","",IF(COUNTIF($N$8:$N2307,$N2307)=1,MAX($AB$7:$AB2306)+1,""))</f>
        <v/>
      </c>
    </row>
    <row r="2308" customFormat="false" ht="15" hidden="false" customHeight="false" outlineLevel="0" collapsed="false">
      <c r="L2308" s="37" t="str">
        <f aca="false">IF(INDEX($A2308:$J2308,$L$6)&lt;&gt;"",TRIM(LEFT(INDEX($A2308:$J2308,$L$6),FIND("(",INDEX($A2308:$J2308,$L$6)&amp;"(")-1)),L2307)</f>
        <v>Building Value Proposition</v>
      </c>
      <c r="M2308" s="37" t="str">
        <f aca="false">IF(INDEX($A2308:$J2308,$M$6)="","",INDEX($A2308:$J2308,$M$6)&amp;"")</f>
        <v/>
      </c>
      <c r="N2308" s="37" t="str">
        <f aca="false">IF($M2308="","",TRIM(INDEX($A2308:$J2308,$N$6)&amp;""))</f>
        <v/>
      </c>
      <c r="O2308" s="37" t="str">
        <f aca="false">IF($M2308="","",TRIM(INDEX($A2308:$J2308,$O$6)&amp;""))</f>
        <v/>
      </c>
      <c r="P2308" s="37" t="str">
        <f aca="false">IF($M2308="","",IFERROR(IF(INDEX(Settings!$B$41:$B$50,MATCH(O2308,Settings!$A$41:$A$50,0))&amp;""="","UNMAPPED",INDEX(Settings!$B$41:$B$50,MATCH(O2308,Settings!$A$41:$A$50,0))&amp;""),"UNMAPPED"))</f>
        <v/>
      </c>
      <c r="Q2308" s="38" t="n">
        <f aca="false">IF($M2308="",0,N(INDEX($A2308:$J2308,$Q$6)))</f>
        <v>0</v>
      </c>
      <c r="R2308" s="39" t="str">
        <f aca="false">IF($M2308="","",INDEX($A2308:$J2308,$R$6))</f>
        <v/>
      </c>
      <c r="S2308" s="37" t="str">
        <f aca="false">IF($M2308="","",IFERROR(INDEX(Settings!$B$27:$B$36,MATCH(L2308,Settings!$A$27:$A$36,0))&amp;"","UNMAPPED"))</f>
        <v/>
      </c>
      <c r="T2308" s="37" t="str">
        <f aca="false">IF($M2308="","",IF(NOT(ISNUMBER(R2308)),"NO DATE",IF(S2308="Won",IF(R2308&gt;Settings!$B$5,"Backlog","Delivered"),IF(S2308="Open",IF(R2308&gt;Settings!$B$5,"Pipeline","Overdue"),IF(S2308="Lost","Lost","UNMAPPED")))))</f>
        <v/>
      </c>
      <c r="U2308" s="40" t="n">
        <f aca="false">IF(T2308="Backlog",1,IF(OR(T2308="Pipeline",T2308="Overdue"),N(INDEX(Settings!$C$27:$C$36,MATCH(L2308,Settings!$A$27:$A$36,0))),0))</f>
        <v>0</v>
      </c>
      <c r="V2308" s="38" t="n">
        <f aca="false">Q2308*U2308</f>
        <v>0</v>
      </c>
      <c r="W2308" s="41" t="str">
        <f aca="false">IF($M2308="","",IF(T2308="Overdue",IF(Settings!$B$8="Yes",Settings!$B$7,""),IF(ISNUMBER(R2308),DATE(YEAR(R2308),MONTH(R2308),1),"")))</f>
        <v/>
      </c>
      <c r="X2308" s="38" t="n">
        <f aca="false">IF(AND(OR(T2308="Backlog",T2308="Pipeline",T2308="Overdue"),ISNUMBER(W2308)),IF(W2308&lt;=Settings!$B$6,V2308,0),0)</f>
        <v>0</v>
      </c>
      <c r="Y2308" s="38" t="n">
        <f aca="false">IF(AND(OR(T2308="Backlog",T2308="Pipeline",T2308="Overdue"),ISNUMBER(W2308)),IF(W2308&lt;=Settings!$B$6,Q2308,0),0)</f>
        <v>0</v>
      </c>
      <c r="Z2308" s="38" t="n">
        <f aca="false">IF(Y2308=0,0,IF(T2308="Backlog",Q2308,Q2308*Dashboard!$C$10))</f>
        <v>0</v>
      </c>
      <c r="AA2308" s="37" t="n">
        <f aca="false">IF($N2308="",0,IF(COUNTIF(Dashboard!$C$13:$C$22,$N2308)&gt;0,1,0))</f>
        <v>0</v>
      </c>
      <c r="AB2308" s="37" t="str">
        <f aca="false">IF($N2308="","",IF(COUNTIF($N$8:$N2308,$N2308)=1,MAX($AB$7:$AB2307)+1,""))</f>
        <v/>
      </c>
    </row>
    <row r="2309" customFormat="false" ht="15" hidden="false" customHeight="false" outlineLevel="0" collapsed="false">
      <c r="L2309" s="37" t="str">
        <f aca="false">IF(INDEX($A2309:$J2309,$L$6)&lt;&gt;"",TRIM(LEFT(INDEX($A2309:$J2309,$L$6),FIND("(",INDEX($A2309:$J2309,$L$6)&amp;"(")-1)),L2308)</f>
        <v>Building Value Proposition</v>
      </c>
      <c r="M2309" s="37" t="str">
        <f aca="false">IF(INDEX($A2309:$J2309,$M$6)="","",INDEX($A2309:$J2309,$M$6)&amp;"")</f>
        <v/>
      </c>
      <c r="N2309" s="37" t="str">
        <f aca="false">IF($M2309="","",TRIM(INDEX($A2309:$J2309,$N$6)&amp;""))</f>
        <v/>
      </c>
      <c r="O2309" s="37" t="str">
        <f aca="false">IF($M2309="","",TRIM(INDEX($A2309:$J2309,$O$6)&amp;""))</f>
        <v/>
      </c>
      <c r="P2309" s="37" t="str">
        <f aca="false">IF($M2309="","",IFERROR(IF(INDEX(Settings!$B$41:$B$50,MATCH(O2309,Settings!$A$41:$A$50,0))&amp;""="","UNMAPPED",INDEX(Settings!$B$41:$B$50,MATCH(O2309,Settings!$A$41:$A$50,0))&amp;""),"UNMAPPED"))</f>
        <v/>
      </c>
      <c r="Q2309" s="38" t="n">
        <f aca="false">IF($M2309="",0,N(INDEX($A2309:$J2309,$Q$6)))</f>
        <v>0</v>
      </c>
      <c r="R2309" s="39" t="str">
        <f aca="false">IF($M2309="","",INDEX($A2309:$J2309,$R$6))</f>
        <v/>
      </c>
      <c r="S2309" s="37" t="str">
        <f aca="false">IF($M2309="","",IFERROR(INDEX(Settings!$B$27:$B$36,MATCH(L2309,Settings!$A$27:$A$36,0))&amp;"","UNMAPPED"))</f>
        <v/>
      </c>
      <c r="T2309" s="37" t="str">
        <f aca="false">IF($M2309="","",IF(NOT(ISNUMBER(R2309)),"NO DATE",IF(S2309="Won",IF(R2309&gt;Settings!$B$5,"Backlog","Delivered"),IF(S2309="Open",IF(R2309&gt;Settings!$B$5,"Pipeline","Overdue"),IF(S2309="Lost","Lost","UNMAPPED")))))</f>
        <v/>
      </c>
      <c r="U2309" s="40" t="n">
        <f aca="false">IF(T2309="Backlog",1,IF(OR(T2309="Pipeline",T2309="Overdue"),N(INDEX(Settings!$C$27:$C$36,MATCH(L2309,Settings!$A$27:$A$36,0))),0))</f>
        <v>0</v>
      </c>
      <c r="V2309" s="38" t="n">
        <f aca="false">Q2309*U2309</f>
        <v>0</v>
      </c>
      <c r="W2309" s="41" t="str">
        <f aca="false">IF($M2309="","",IF(T2309="Overdue",IF(Settings!$B$8="Yes",Settings!$B$7,""),IF(ISNUMBER(R2309),DATE(YEAR(R2309),MONTH(R2309),1),"")))</f>
        <v/>
      </c>
      <c r="X2309" s="38" t="n">
        <f aca="false">IF(AND(OR(T2309="Backlog",T2309="Pipeline",T2309="Overdue"),ISNUMBER(W2309)),IF(W2309&lt;=Settings!$B$6,V2309,0),0)</f>
        <v>0</v>
      </c>
      <c r="Y2309" s="38" t="n">
        <f aca="false">IF(AND(OR(T2309="Backlog",T2309="Pipeline",T2309="Overdue"),ISNUMBER(W2309)),IF(W2309&lt;=Settings!$B$6,Q2309,0),0)</f>
        <v>0</v>
      </c>
      <c r="Z2309" s="38" t="n">
        <f aca="false">IF(Y2309=0,0,IF(T2309="Backlog",Q2309,Q2309*Dashboard!$C$10))</f>
        <v>0</v>
      </c>
      <c r="AA2309" s="37" t="n">
        <f aca="false">IF($N2309="",0,IF(COUNTIF(Dashboard!$C$13:$C$22,$N2309)&gt;0,1,0))</f>
        <v>0</v>
      </c>
      <c r="AB2309" s="37" t="str">
        <f aca="false">IF($N2309="","",IF(COUNTIF($N$8:$N2309,$N2309)=1,MAX($AB$7:$AB2308)+1,""))</f>
        <v/>
      </c>
    </row>
    <row r="2310" customFormat="false" ht="15" hidden="false" customHeight="false" outlineLevel="0" collapsed="false">
      <c r="L2310" s="37" t="str">
        <f aca="false">IF(INDEX($A2310:$J2310,$L$6)&lt;&gt;"",TRIM(LEFT(INDEX($A2310:$J2310,$L$6),FIND("(",INDEX($A2310:$J2310,$L$6)&amp;"(")-1)),L2309)</f>
        <v>Building Value Proposition</v>
      </c>
      <c r="M2310" s="37" t="str">
        <f aca="false">IF(INDEX($A2310:$J2310,$M$6)="","",INDEX($A2310:$J2310,$M$6)&amp;"")</f>
        <v/>
      </c>
      <c r="N2310" s="37" t="str">
        <f aca="false">IF($M2310="","",TRIM(INDEX($A2310:$J2310,$N$6)&amp;""))</f>
        <v/>
      </c>
      <c r="O2310" s="37" t="str">
        <f aca="false">IF($M2310="","",TRIM(INDEX($A2310:$J2310,$O$6)&amp;""))</f>
        <v/>
      </c>
      <c r="P2310" s="37" t="str">
        <f aca="false">IF($M2310="","",IFERROR(IF(INDEX(Settings!$B$41:$B$50,MATCH(O2310,Settings!$A$41:$A$50,0))&amp;""="","UNMAPPED",INDEX(Settings!$B$41:$B$50,MATCH(O2310,Settings!$A$41:$A$50,0))&amp;""),"UNMAPPED"))</f>
        <v/>
      </c>
      <c r="Q2310" s="38" t="n">
        <f aca="false">IF($M2310="",0,N(INDEX($A2310:$J2310,$Q$6)))</f>
        <v>0</v>
      </c>
      <c r="R2310" s="39" t="str">
        <f aca="false">IF($M2310="","",INDEX($A2310:$J2310,$R$6))</f>
        <v/>
      </c>
      <c r="S2310" s="37" t="str">
        <f aca="false">IF($M2310="","",IFERROR(INDEX(Settings!$B$27:$B$36,MATCH(L2310,Settings!$A$27:$A$36,0))&amp;"","UNMAPPED"))</f>
        <v/>
      </c>
      <c r="T2310" s="37" t="str">
        <f aca="false">IF($M2310="","",IF(NOT(ISNUMBER(R2310)),"NO DATE",IF(S2310="Won",IF(R2310&gt;Settings!$B$5,"Backlog","Delivered"),IF(S2310="Open",IF(R2310&gt;Settings!$B$5,"Pipeline","Overdue"),IF(S2310="Lost","Lost","UNMAPPED")))))</f>
        <v/>
      </c>
      <c r="U2310" s="40" t="n">
        <f aca="false">IF(T2310="Backlog",1,IF(OR(T2310="Pipeline",T2310="Overdue"),N(INDEX(Settings!$C$27:$C$36,MATCH(L2310,Settings!$A$27:$A$36,0))),0))</f>
        <v>0</v>
      </c>
      <c r="V2310" s="38" t="n">
        <f aca="false">Q2310*U2310</f>
        <v>0</v>
      </c>
      <c r="W2310" s="41" t="str">
        <f aca="false">IF($M2310="","",IF(T2310="Overdue",IF(Settings!$B$8="Yes",Settings!$B$7,""),IF(ISNUMBER(R2310),DATE(YEAR(R2310),MONTH(R2310),1),"")))</f>
        <v/>
      </c>
      <c r="X2310" s="38" t="n">
        <f aca="false">IF(AND(OR(T2310="Backlog",T2310="Pipeline",T2310="Overdue"),ISNUMBER(W2310)),IF(W2310&lt;=Settings!$B$6,V2310,0),0)</f>
        <v>0</v>
      </c>
      <c r="Y2310" s="38" t="n">
        <f aca="false">IF(AND(OR(T2310="Backlog",T2310="Pipeline",T2310="Overdue"),ISNUMBER(W2310)),IF(W2310&lt;=Settings!$B$6,Q2310,0),0)</f>
        <v>0</v>
      </c>
      <c r="Z2310" s="38" t="n">
        <f aca="false">IF(Y2310=0,0,IF(T2310="Backlog",Q2310,Q2310*Dashboard!$C$10))</f>
        <v>0</v>
      </c>
      <c r="AA2310" s="37" t="n">
        <f aca="false">IF($N2310="",0,IF(COUNTIF(Dashboard!$C$13:$C$22,$N2310)&gt;0,1,0))</f>
        <v>0</v>
      </c>
      <c r="AB2310" s="37" t="str">
        <f aca="false">IF($N2310="","",IF(COUNTIF($N$8:$N2310,$N2310)=1,MAX($AB$7:$AB2309)+1,""))</f>
        <v/>
      </c>
    </row>
    <row r="2311" customFormat="false" ht="15" hidden="false" customHeight="false" outlineLevel="0" collapsed="false">
      <c r="L2311" s="37" t="str">
        <f aca="false">IF(INDEX($A2311:$J2311,$L$6)&lt;&gt;"",TRIM(LEFT(INDEX($A2311:$J2311,$L$6),FIND("(",INDEX($A2311:$J2311,$L$6)&amp;"(")-1)),L2310)</f>
        <v>Building Value Proposition</v>
      </c>
      <c r="M2311" s="37" t="str">
        <f aca="false">IF(INDEX($A2311:$J2311,$M$6)="","",INDEX($A2311:$J2311,$M$6)&amp;"")</f>
        <v/>
      </c>
      <c r="N2311" s="37" t="str">
        <f aca="false">IF($M2311="","",TRIM(INDEX($A2311:$J2311,$N$6)&amp;""))</f>
        <v/>
      </c>
      <c r="O2311" s="37" t="str">
        <f aca="false">IF($M2311="","",TRIM(INDEX($A2311:$J2311,$O$6)&amp;""))</f>
        <v/>
      </c>
      <c r="P2311" s="37" t="str">
        <f aca="false">IF($M2311="","",IFERROR(IF(INDEX(Settings!$B$41:$B$50,MATCH(O2311,Settings!$A$41:$A$50,0))&amp;""="","UNMAPPED",INDEX(Settings!$B$41:$B$50,MATCH(O2311,Settings!$A$41:$A$50,0))&amp;""),"UNMAPPED"))</f>
        <v/>
      </c>
      <c r="Q2311" s="38" t="n">
        <f aca="false">IF($M2311="",0,N(INDEX($A2311:$J2311,$Q$6)))</f>
        <v>0</v>
      </c>
      <c r="R2311" s="39" t="str">
        <f aca="false">IF($M2311="","",INDEX($A2311:$J2311,$R$6))</f>
        <v/>
      </c>
      <c r="S2311" s="37" t="str">
        <f aca="false">IF($M2311="","",IFERROR(INDEX(Settings!$B$27:$B$36,MATCH(L2311,Settings!$A$27:$A$36,0))&amp;"","UNMAPPED"))</f>
        <v/>
      </c>
      <c r="T2311" s="37" t="str">
        <f aca="false">IF($M2311="","",IF(NOT(ISNUMBER(R2311)),"NO DATE",IF(S2311="Won",IF(R2311&gt;Settings!$B$5,"Backlog","Delivered"),IF(S2311="Open",IF(R2311&gt;Settings!$B$5,"Pipeline","Overdue"),IF(S2311="Lost","Lost","UNMAPPED")))))</f>
        <v/>
      </c>
      <c r="U2311" s="40" t="n">
        <f aca="false">IF(T2311="Backlog",1,IF(OR(T2311="Pipeline",T2311="Overdue"),N(INDEX(Settings!$C$27:$C$36,MATCH(L2311,Settings!$A$27:$A$36,0))),0))</f>
        <v>0</v>
      </c>
      <c r="V2311" s="38" t="n">
        <f aca="false">Q2311*U2311</f>
        <v>0</v>
      </c>
      <c r="W2311" s="41" t="str">
        <f aca="false">IF($M2311="","",IF(T2311="Overdue",IF(Settings!$B$8="Yes",Settings!$B$7,""),IF(ISNUMBER(R2311),DATE(YEAR(R2311),MONTH(R2311),1),"")))</f>
        <v/>
      </c>
      <c r="X2311" s="38" t="n">
        <f aca="false">IF(AND(OR(T2311="Backlog",T2311="Pipeline",T2311="Overdue"),ISNUMBER(W2311)),IF(W2311&lt;=Settings!$B$6,V2311,0),0)</f>
        <v>0</v>
      </c>
      <c r="Y2311" s="38" t="n">
        <f aca="false">IF(AND(OR(T2311="Backlog",T2311="Pipeline",T2311="Overdue"),ISNUMBER(W2311)),IF(W2311&lt;=Settings!$B$6,Q2311,0),0)</f>
        <v>0</v>
      </c>
      <c r="Z2311" s="38" t="n">
        <f aca="false">IF(Y2311=0,0,IF(T2311="Backlog",Q2311,Q2311*Dashboard!$C$10))</f>
        <v>0</v>
      </c>
      <c r="AA2311" s="37" t="n">
        <f aca="false">IF($N2311="",0,IF(COUNTIF(Dashboard!$C$13:$C$22,$N2311)&gt;0,1,0))</f>
        <v>0</v>
      </c>
      <c r="AB2311" s="37" t="str">
        <f aca="false">IF($N2311="","",IF(COUNTIF($N$8:$N2311,$N2311)=1,MAX($AB$7:$AB2310)+1,""))</f>
        <v/>
      </c>
    </row>
    <row r="2312" customFormat="false" ht="15" hidden="false" customHeight="false" outlineLevel="0" collapsed="false">
      <c r="L2312" s="37" t="str">
        <f aca="false">IF(INDEX($A2312:$J2312,$L$6)&lt;&gt;"",TRIM(LEFT(INDEX($A2312:$J2312,$L$6),FIND("(",INDEX($A2312:$J2312,$L$6)&amp;"(")-1)),L2311)</f>
        <v>Building Value Proposition</v>
      </c>
      <c r="M2312" s="37" t="str">
        <f aca="false">IF(INDEX($A2312:$J2312,$M$6)="","",INDEX($A2312:$J2312,$M$6)&amp;"")</f>
        <v/>
      </c>
      <c r="N2312" s="37" t="str">
        <f aca="false">IF($M2312="","",TRIM(INDEX($A2312:$J2312,$N$6)&amp;""))</f>
        <v/>
      </c>
      <c r="O2312" s="37" t="str">
        <f aca="false">IF($M2312="","",TRIM(INDEX($A2312:$J2312,$O$6)&amp;""))</f>
        <v/>
      </c>
      <c r="P2312" s="37" t="str">
        <f aca="false">IF($M2312="","",IFERROR(IF(INDEX(Settings!$B$41:$B$50,MATCH(O2312,Settings!$A$41:$A$50,0))&amp;""="","UNMAPPED",INDEX(Settings!$B$41:$B$50,MATCH(O2312,Settings!$A$41:$A$50,0))&amp;""),"UNMAPPED"))</f>
        <v/>
      </c>
      <c r="Q2312" s="38" t="n">
        <f aca="false">IF($M2312="",0,N(INDEX($A2312:$J2312,$Q$6)))</f>
        <v>0</v>
      </c>
      <c r="R2312" s="39" t="str">
        <f aca="false">IF($M2312="","",INDEX($A2312:$J2312,$R$6))</f>
        <v/>
      </c>
      <c r="S2312" s="37" t="str">
        <f aca="false">IF($M2312="","",IFERROR(INDEX(Settings!$B$27:$B$36,MATCH(L2312,Settings!$A$27:$A$36,0))&amp;"","UNMAPPED"))</f>
        <v/>
      </c>
      <c r="T2312" s="37" t="str">
        <f aca="false">IF($M2312="","",IF(NOT(ISNUMBER(R2312)),"NO DATE",IF(S2312="Won",IF(R2312&gt;Settings!$B$5,"Backlog","Delivered"),IF(S2312="Open",IF(R2312&gt;Settings!$B$5,"Pipeline","Overdue"),IF(S2312="Lost","Lost","UNMAPPED")))))</f>
        <v/>
      </c>
      <c r="U2312" s="40" t="n">
        <f aca="false">IF(T2312="Backlog",1,IF(OR(T2312="Pipeline",T2312="Overdue"),N(INDEX(Settings!$C$27:$C$36,MATCH(L2312,Settings!$A$27:$A$36,0))),0))</f>
        <v>0</v>
      </c>
      <c r="V2312" s="38" t="n">
        <f aca="false">Q2312*U2312</f>
        <v>0</v>
      </c>
      <c r="W2312" s="41" t="str">
        <f aca="false">IF($M2312="","",IF(T2312="Overdue",IF(Settings!$B$8="Yes",Settings!$B$7,""),IF(ISNUMBER(R2312),DATE(YEAR(R2312),MONTH(R2312),1),"")))</f>
        <v/>
      </c>
      <c r="X2312" s="38" t="n">
        <f aca="false">IF(AND(OR(T2312="Backlog",T2312="Pipeline",T2312="Overdue"),ISNUMBER(W2312)),IF(W2312&lt;=Settings!$B$6,V2312,0),0)</f>
        <v>0</v>
      </c>
      <c r="Y2312" s="38" t="n">
        <f aca="false">IF(AND(OR(T2312="Backlog",T2312="Pipeline",T2312="Overdue"),ISNUMBER(W2312)),IF(W2312&lt;=Settings!$B$6,Q2312,0),0)</f>
        <v>0</v>
      </c>
      <c r="Z2312" s="38" t="n">
        <f aca="false">IF(Y2312=0,0,IF(T2312="Backlog",Q2312,Q2312*Dashboard!$C$10))</f>
        <v>0</v>
      </c>
      <c r="AA2312" s="37" t="n">
        <f aca="false">IF($N2312="",0,IF(COUNTIF(Dashboard!$C$13:$C$22,$N2312)&gt;0,1,0))</f>
        <v>0</v>
      </c>
      <c r="AB2312" s="37" t="str">
        <f aca="false">IF($N2312="","",IF(COUNTIF($N$8:$N2312,$N2312)=1,MAX($AB$7:$AB2311)+1,""))</f>
        <v/>
      </c>
    </row>
    <row r="2313" customFormat="false" ht="15" hidden="false" customHeight="false" outlineLevel="0" collapsed="false">
      <c r="L2313" s="37" t="str">
        <f aca="false">IF(INDEX($A2313:$J2313,$L$6)&lt;&gt;"",TRIM(LEFT(INDEX($A2313:$J2313,$L$6),FIND("(",INDEX($A2313:$J2313,$L$6)&amp;"(")-1)),L2312)</f>
        <v>Building Value Proposition</v>
      </c>
      <c r="M2313" s="37" t="str">
        <f aca="false">IF(INDEX($A2313:$J2313,$M$6)="","",INDEX($A2313:$J2313,$M$6)&amp;"")</f>
        <v/>
      </c>
      <c r="N2313" s="37" t="str">
        <f aca="false">IF($M2313="","",TRIM(INDEX($A2313:$J2313,$N$6)&amp;""))</f>
        <v/>
      </c>
      <c r="O2313" s="37" t="str">
        <f aca="false">IF($M2313="","",TRIM(INDEX($A2313:$J2313,$O$6)&amp;""))</f>
        <v/>
      </c>
      <c r="P2313" s="37" t="str">
        <f aca="false">IF($M2313="","",IFERROR(IF(INDEX(Settings!$B$41:$B$50,MATCH(O2313,Settings!$A$41:$A$50,0))&amp;""="","UNMAPPED",INDEX(Settings!$B$41:$B$50,MATCH(O2313,Settings!$A$41:$A$50,0))&amp;""),"UNMAPPED"))</f>
        <v/>
      </c>
      <c r="Q2313" s="38" t="n">
        <f aca="false">IF($M2313="",0,N(INDEX($A2313:$J2313,$Q$6)))</f>
        <v>0</v>
      </c>
      <c r="R2313" s="39" t="str">
        <f aca="false">IF($M2313="","",INDEX($A2313:$J2313,$R$6))</f>
        <v/>
      </c>
      <c r="S2313" s="37" t="str">
        <f aca="false">IF($M2313="","",IFERROR(INDEX(Settings!$B$27:$B$36,MATCH(L2313,Settings!$A$27:$A$36,0))&amp;"","UNMAPPED"))</f>
        <v/>
      </c>
      <c r="T2313" s="37" t="str">
        <f aca="false">IF($M2313="","",IF(NOT(ISNUMBER(R2313)),"NO DATE",IF(S2313="Won",IF(R2313&gt;Settings!$B$5,"Backlog","Delivered"),IF(S2313="Open",IF(R2313&gt;Settings!$B$5,"Pipeline","Overdue"),IF(S2313="Lost","Lost","UNMAPPED")))))</f>
        <v/>
      </c>
      <c r="U2313" s="40" t="n">
        <f aca="false">IF(T2313="Backlog",1,IF(OR(T2313="Pipeline",T2313="Overdue"),N(INDEX(Settings!$C$27:$C$36,MATCH(L2313,Settings!$A$27:$A$36,0))),0))</f>
        <v>0</v>
      </c>
      <c r="V2313" s="38" t="n">
        <f aca="false">Q2313*U2313</f>
        <v>0</v>
      </c>
      <c r="W2313" s="41" t="str">
        <f aca="false">IF($M2313="","",IF(T2313="Overdue",IF(Settings!$B$8="Yes",Settings!$B$7,""),IF(ISNUMBER(R2313),DATE(YEAR(R2313),MONTH(R2313),1),"")))</f>
        <v/>
      </c>
      <c r="X2313" s="38" t="n">
        <f aca="false">IF(AND(OR(T2313="Backlog",T2313="Pipeline",T2313="Overdue"),ISNUMBER(W2313)),IF(W2313&lt;=Settings!$B$6,V2313,0),0)</f>
        <v>0</v>
      </c>
      <c r="Y2313" s="38" t="n">
        <f aca="false">IF(AND(OR(T2313="Backlog",T2313="Pipeline",T2313="Overdue"),ISNUMBER(W2313)),IF(W2313&lt;=Settings!$B$6,Q2313,0),0)</f>
        <v>0</v>
      </c>
      <c r="Z2313" s="38" t="n">
        <f aca="false">IF(Y2313=0,0,IF(T2313="Backlog",Q2313,Q2313*Dashboard!$C$10))</f>
        <v>0</v>
      </c>
      <c r="AA2313" s="37" t="n">
        <f aca="false">IF($N2313="",0,IF(COUNTIF(Dashboard!$C$13:$C$22,$N2313)&gt;0,1,0))</f>
        <v>0</v>
      </c>
      <c r="AB2313" s="37" t="str">
        <f aca="false">IF($N2313="","",IF(COUNTIF($N$8:$N2313,$N2313)=1,MAX($AB$7:$AB2312)+1,""))</f>
        <v/>
      </c>
    </row>
    <row r="2314" customFormat="false" ht="15" hidden="false" customHeight="false" outlineLevel="0" collapsed="false">
      <c r="L2314" s="37" t="str">
        <f aca="false">IF(INDEX($A2314:$J2314,$L$6)&lt;&gt;"",TRIM(LEFT(INDEX($A2314:$J2314,$L$6),FIND("(",INDEX($A2314:$J2314,$L$6)&amp;"(")-1)),L2313)</f>
        <v>Building Value Proposition</v>
      </c>
      <c r="M2314" s="37" t="str">
        <f aca="false">IF(INDEX($A2314:$J2314,$M$6)="","",INDEX($A2314:$J2314,$M$6)&amp;"")</f>
        <v/>
      </c>
      <c r="N2314" s="37" t="str">
        <f aca="false">IF($M2314="","",TRIM(INDEX($A2314:$J2314,$N$6)&amp;""))</f>
        <v/>
      </c>
      <c r="O2314" s="37" t="str">
        <f aca="false">IF($M2314="","",TRIM(INDEX($A2314:$J2314,$O$6)&amp;""))</f>
        <v/>
      </c>
      <c r="P2314" s="37" t="str">
        <f aca="false">IF($M2314="","",IFERROR(IF(INDEX(Settings!$B$41:$B$50,MATCH(O2314,Settings!$A$41:$A$50,0))&amp;""="","UNMAPPED",INDEX(Settings!$B$41:$B$50,MATCH(O2314,Settings!$A$41:$A$50,0))&amp;""),"UNMAPPED"))</f>
        <v/>
      </c>
      <c r="Q2314" s="38" t="n">
        <f aca="false">IF($M2314="",0,N(INDEX($A2314:$J2314,$Q$6)))</f>
        <v>0</v>
      </c>
      <c r="R2314" s="39" t="str">
        <f aca="false">IF($M2314="","",INDEX($A2314:$J2314,$R$6))</f>
        <v/>
      </c>
      <c r="S2314" s="37" t="str">
        <f aca="false">IF($M2314="","",IFERROR(INDEX(Settings!$B$27:$B$36,MATCH(L2314,Settings!$A$27:$A$36,0))&amp;"","UNMAPPED"))</f>
        <v/>
      </c>
      <c r="T2314" s="37" t="str">
        <f aca="false">IF($M2314="","",IF(NOT(ISNUMBER(R2314)),"NO DATE",IF(S2314="Won",IF(R2314&gt;Settings!$B$5,"Backlog","Delivered"),IF(S2314="Open",IF(R2314&gt;Settings!$B$5,"Pipeline","Overdue"),IF(S2314="Lost","Lost","UNMAPPED")))))</f>
        <v/>
      </c>
      <c r="U2314" s="40" t="n">
        <f aca="false">IF(T2314="Backlog",1,IF(OR(T2314="Pipeline",T2314="Overdue"),N(INDEX(Settings!$C$27:$C$36,MATCH(L2314,Settings!$A$27:$A$36,0))),0))</f>
        <v>0</v>
      </c>
      <c r="V2314" s="38" t="n">
        <f aca="false">Q2314*U2314</f>
        <v>0</v>
      </c>
      <c r="W2314" s="41" t="str">
        <f aca="false">IF($M2314="","",IF(T2314="Overdue",IF(Settings!$B$8="Yes",Settings!$B$7,""),IF(ISNUMBER(R2314),DATE(YEAR(R2314),MONTH(R2314),1),"")))</f>
        <v/>
      </c>
      <c r="X2314" s="38" t="n">
        <f aca="false">IF(AND(OR(T2314="Backlog",T2314="Pipeline",T2314="Overdue"),ISNUMBER(W2314)),IF(W2314&lt;=Settings!$B$6,V2314,0),0)</f>
        <v>0</v>
      </c>
      <c r="Y2314" s="38" t="n">
        <f aca="false">IF(AND(OR(T2314="Backlog",T2314="Pipeline",T2314="Overdue"),ISNUMBER(W2314)),IF(W2314&lt;=Settings!$B$6,Q2314,0),0)</f>
        <v>0</v>
      </c>
      <c r="Z2314" s="38" t="n">
        <f aca="false">IF(Y2314=0,0,IF(T2314="Backlog",Q2314,Q2314*Dashboard!$C$10))</f>
        <v>0</v>
      </c>
      <c r="AA2314" s="37" t="n">
        <f aca="false">IF($N2314="",0,IF(COUNTIF(Dashboard!$C$13:$C$22,$N2314)&gt;0,1,0))</f>
        <v>0</v>
      </c>
      <c r="AB2314" s="37" t="str">
        <f aca="false">IF($N2314="","",IF(COUNTIF($N$8:$N2314,$N2314)=1,MAX($AB$7:$AB2313)+1,""))</f>
        <v/>
      </c>
    </row>
    <row r="2315" customFormat="false" ht="15" hidden="false" customHeight="false" outlineLevel="0" collapsed="false">
      <c r="L2315" s="37" t="str">
        <f aca="false">IF(INDEX($A2315:$J2315,$L$6)&lt;&gt;"",TRIM(LEFT(INDEX($A2315:$J2315,$L$6),FIND("(",INDEX($A2315:$J2315,$L$6)&amp;"(")-1)),L2314)</f>
        <v>Building Value Proposition</v>
      </c>
      <c r="M2315" s="37" t="str">
        <f aca="false">IF(INDEX($A2315:$J2315,$M$6)="","",INDEX($A2315:$J2315,$M$6)&amp;"")</f>
        <v/>
      </c>
      <c r="N2315" s="37" t="str">
        <f aca="false">IF($M2315="","",TRIM(INDEX($A2315:$J2315,$N$6)&amp;""))</f>
        <v/>
      </c>
      <c r="O2315" s="37" t="str">
        <f aca="false">IF($M2315="","",TRIM(INDEX($A2315:$J2315,$O$6)&amp;""))</f>
        <v/>
      </c>
      <c r="P2315" s="37" t="str">
        <f aca="false">IF($M2315="","",IFERROR(IF(INDEX(Settings!$B$41:$B$50,MATCH(O2315,Settings!$A$41:$A$50,0))&amp;""="","UNMAPPED",INDEX(Settings!$B$41:$B$50,MATCH(O2315,Settings!$A$41:$A$50,0))&amp;""),"UNMAPPED"))</f>
        <v/>
      </c>
      <c r="Q2315" s="38" t="n">
        <f aca="false">IF($M2315="",0,N(INDEX($A2315:$J2315,$Q$6)))</f>
        <v>0</v>
      </c>
      <c r="R2315" s="39" t="str">
        <f aca="false">IF($M2315="","",INDEX($A2315:$J2315,$R$6))</f>
        <v/>
      </c>
      <c r="S2315" s="37" t="str">
        <f aca="false">IF($M2315="","",IFERROR(INDEX(Settings!$B$27:$B$36,MATCH(L2315,Settings!$A$27:$A$36,0))&amp;"","UNMAPPED"))</f>
        <v/>
      </c>
      <c r="T2315" s="37" t="str">
        <f aca="false">IF($M2315="","",IF(NOT(ISNUMBER(R2315)),"NO DATE",IF(S2315="Won",IF(R2315&gt;Settings!$B$5,"Backlog","Delivered"),IF(S2315="Open",IF(R2315&gt;Settings!$B$5,"Pipeline","Overdue"),IF(S2315="Lost","Lost","UNMAPPED")))))</f>
        <v/>
      </c>
      <c r="U2315" s="40" t="n">
        <f aca="false">IF(T2315="Backlog",1,IF(OR(T2315="Pipeline",T2315="Overdue"),N(INDEX(Settings!$C$27:$C$36,MATCH(L2315,Settings!$A$27:$A$36,0))),0))</f>
        <v>0</v>
      </c>
      <c r="V2315" s="38" t="n">
        <f aca="false">Q2315*U2315</f>
        <v>0</v>
      </c>
      <c r="W2315" s="41" t="str">
        <f aca="false">IF($M2315="","",IF(T2315="Overdue",IF(Settings!$B$8="Yes",Settings!$B$7,""),IF(ISNUMBER(R2315),DATE(YEAR(R2315),MONTH(R2315),1),"")))</f>
        <v/>
      </c>
      <c r="X2315" s="38" t="n">
        <f aca="false">IF(AND(OR(T2315="Backlog",T2315="Pipeline",T2315="Overdue"),ISNUMBER(W2315)),IF(W2315&lt;=Settings!$B$6,V2315,0),0)</f>
        <v>0</v>
      </c>
      <c r="Y2315" s="38" t="n">
        <f aca="false">IF(AND(OR(T2315="Backlog",T2315="Pipeline",T2315="Overdue"),ISNUMBER(W2315)),IF(W2315&lt;=Settings!$B$6,Q2315,0),0)</f>
        <v>0</v>
      </c>
      <c r="Z2315" s="38" t="n">
        <f aca="false">IF(Y2315=0,0,IF(T2315="Backlog",Q2315,Q2315*Dashboard!$C$10))</f>
        <v>0</v>
      </c>
      <c r="AA2315" s="37" t="n">
        <f aca="false">IF($N2315="",0,IF(COUNTIF(Dashboard!$C$13:$C$22,$N2315)&gt;0,1,0))</f>
        <v>0</v>
      </c>
      <c r="AB2315" s="37" t="str">
        <f aca="false">IF($N2315="","",IF(COUNTIF($N$8:$N2315,$N2315)=1,MAX($AB$7:$AB2314)+1,""))</f>
        <v/>
      </c>
    </row>
    <row r="2316" customFormat="false" ht="15" hidden="false" customHeight="false" outlineLevel="0" collapsed="false">
      <c r="L2316" s="37" t="str">
        <f aca="false">IF(INDEX($A2316:$J2316,$L$6)&lt;&gt;"",TRIM(LEFT(INDEX($A2316:$J2316,$L$6),FIND("(",INDEX($A2316:$J2316,$L$6)&amp;"(")-1)),L2315)</f>
        <v>Building Value Proposition</v>
      </c>
      <c r="M2316" s="37" t="str">
        <f aca="false">IF(INDEX($A2316:$J2316,$M$6)="","",INDEX($A2316:$J2316,$M$6)&amp;"")</f>
        <v/>
      </c>
      <c r="N2316" s="37" t="str">
        <f aca="false">IF($M2316="","",TRIM(INDEX($A2316:$J2316,$N$6)&amp;""))</f>
        <v/>
      </c>
      <c r="O2316" s="37" t="str">
        <f aca="false">IF($M2316="","",TRIM(INDEX($A2316:$J2316,$O$6)&amp;""))</f>
        <v/>
      </c>
      <c r="P2316" s="37" t="str">
        <f aca="false">IF($M2316="","",IFERROR(IF(INDEX(Settings!$B$41:$B$50,MATCH(O2316,Settings!$A$41:$A$50,0))&amp;""="","UNMAPPED",INDEX(Settings!$B$41:$B$50,MATCH(O2316,Settings!$A$41:$A$50,0))&amp;""),"UNMAPPED"))</f>
        <v/>
      </c>
      <c r="Q2316" s="38" t="n">
        <f aca="false">IF($M2316="",0,N(INDEX($A2316:$J2316,$Q$6)))</f>
        <v>0</v>
      </c>
      <c r="R2316" s="39" t="str">
        <f aca="false">IF($M2316="","",INDEX($A2316:$J2316,$R$6))</f>
        <v/>
      </c>
      <c r="S2316" s="37" t="str">
        <f aca="false">IF($M2316="","",IFERROR(INDEX(Settings!$B$27:$B$36,MATCH(L2316,Settings!$A$27:$A$36,0))&amp;"","UNMAPPED"))</f>
        <v/>
      </c>
      <c r="T2316" s="37" t="str">
        <f aca="false">IF($M2316="","",IF(NOT(ISNUMBER(R2316)),"NO DATE",IF(S2316="Won",IF(R2316&gt;Settings!$B$5,"Backlog","Delivered"),IF(S2316="Open",IF(R2316&gt;Settings!$B$5,"Pipeline","Overdue"),IF(S2316="Lost","Lost","UNMAPPED")))))</f>
        <v/>
      </c>
      <c r="U2316" s="40" t="n">
        <f aca="false">IF(T2316="Backlog",1,IF(OR(T2316="Pipeline",T2316="Overdue"),N(INDEX(Settings!$C$27:$C$36,MATCH(L2316,Settings!$A$27:$A$36,0))),0))</f>
        <v>0</v>
      </c>
      <c r="V2316" s="38" t="n">
        <f aca="false">Q2316*U2316</f>
        <v>0</v>
      </c>
      <c r="W2316" s="41" t="str">
        <f aca="false">IF($M2316="","",IF(T2316="Overdue",IF(Settings!$B$8="Yes",Settings!$B$7,""),IF(ISNUMBER(R2316),DATE(YEAR(R2316),MONTH(R2316),1),"")))</f>
        <v/>
      </c>
      <c r="X2316" s="38" t="n">
        <f aca="false">IF(AND(OR(T2316="Backlog",T2316="Pipeline",T2316="Overdue"),ISNUMBER(W2316)),IF(W2316&lt;=Settings!$B$6,V2316,0),0)</f>
        <v>0</v>
      </c>
      <c r="Y2316" s="38" t="n">
        <f aca="false">IF(AND(OR(T2316="Backlog",T2316="Pipeline",T2316="Overdue"),ISNUMBER(W2316)),IF(W2316&lt;=Settings!$B$6,Q2316,0),0)</f>
        <v>0</v>
      </c>
      <c r="Z2316" s="38" t="n">
        <f aca="false">IF(Y2316=0,0,IF(T2316="Backlog",Q2316,Q2316*Dashboard!$C$10))</f>
        <v>0</v>
      </c>
      <c r="AA2316" s="37" t="n">
        <f aca="false">IF($N2316="",0,IF(COUNTIF(Dashboard!$C$13:$C$22,$N2316)&gt;0,1,0))</f>
        <v>0</v>
      </c>
      <c r="AB2316" s="37" t="str">
        <f aca="false">IF($N2316="","",IF(COUNTIF($N$8:$N2316,$N2316)=1,MAX($AB$7:$AB2315)+1,""))</f>
        <v/>
      </c>
    </row>
    <row r="2317" customFormat="false" ht="15" hidden="false" customHeight="false" outlineLevel="0" collapsed="false">
      <c r="L2317" s="37" t="str">
        <f aca="false">IF(INDEX($A2317:$J2317,$L$6)&lt;&gt;"",TRIM(LEFT(INDEX($A2317:$J2317,$L$6),FIND("(",INDEX($A2317:$J2317,$L$6)&amp;"(")-1)),L2316)</f>
        <v>Building Value Proposition</v>
      </c>
      <c r="M2317" s="37" t="str">
        <f aca="false">IF(INDEX($A2317:$J2317,$M$6)="","",INDEX($A2317:$J2317,$M$6)&amp;"")</f>
        <v/>
      </c>
      <c r="N2317" s="37" t="str">
        <f aca="false">IF($M2317="","",TRIM(INDEX($A2317:$J2317,$N$6)&amp;""))</f>
        <v/>
      </c>
      <c r="O2317" s="37" t="str">
        <f aca="false">IF($M2317="","",TRIM(INDEX($A2317:$J2317,$O$6)&amp;""))</f>
        <v/>
      </c>
      <c r="P2317" s="37" t="str">
        <f aca="false">IF($M2317="","",IFERROR(IF(INDEX(Settings!$B$41:$B$50,MATCH(O2317,Settings!$A$41:$A$50,0))&amp;""="","UNMAPPED",INDEX(Settings!$B$41:$B$50,MATCH(O2317,Settings!$A$41:$A$50,0))&amp;""),"UNMAPPED"))</f>
        <v/>
      </c>
      <c r="Q2317" s="38" t="n">
        <f aca="false">IF($M2317="",0,N(INDEX($A2317:$J2317,$Q$6)))</f>
        <v>0</v>
      </c>
      <c r="R2317" s="39" t="str">
        <f aca="false">IF($M2317="","",INDEX($A2317:$J2317,$R$6))</f>
        <v/>
      </c>
      <c r="S2317" s="37" t="str">
        <f aca="false">IF($M2317="","",IFERROR(INDEX(Settings!$B$27:$B$36,MATCH(L2317,Settings!$A$27:$A$36,0))&amp;"","UNMAPPED"))</f>
        <v/>
      </c>
      <c r="T2317" s="37" t="str">
        <f aca="false">IF($M2317="","",IF(NOT(ISNUMBER(R2317)),"NO DATE",IF(S2317="Won",IF(R2317&gt;Settings!$B$5,"Backlog","Delivered"),IF(S2317="Open",IF(R2317&gt;Settings!$B$5,"Pipeline","Overdue"),IF(S2317="Lost","Lost","UNMAPPED")))))</f>
        <v/>
      </c>
      <c r="U2317" s="40" t="n">
        <f aca="false">IF(T2317="Backlog",1,IF(OR(T2317="Pipeline",T2317="Overdue"),N(INDEX(Settings!$C$27:$C$36,MATCH(L2317,Settings!$A$27:$A$36,0))),0))</f>
        <v>0</v>
      </c>
      <c r="V2317" s="38" t="n">
        <f aca="false">Q2317*U2317</f>
        <v>0</v>
      </c>
      <c r="W2317" s="41" t="str">
        <f aca="false">IF($M2317="","",IF(T2317="Overdue",IF(Settings!$B$8="Yes",Settings!$B$7,""),IF(ISNUMBER(R2317),DATE(YEAR(R2317),MONTH(R2317),1),"")))</f>
        <v/>
      </c>
      <c r="X2317" s="38" t="n">
        <f aca="false">IF(AND(OR(T2317="Backlog",T2317="Pipeline",T2317="Overdue"),ISNUMBER(W2317)),IF(W2317&lt;=Settings!$B$6,V2317,0),0)</f>
        <v>0</v>
      </c>
      <c r="Y2317" s="38" t="n">
        <f aca="false">IF(AND(OR(T2317="Backlog",T2317="Pipeline",T2317="Overdue"),ISNUMBER(W2317)),IF(W2317&lt;=Settings!$B$6,Q2317,0),0)</f>
        <v>0</v>
      </c>
      <c r="Z2317" s="38" t="n">
        <f aca="false">IF(Y2317=0,0,IF(T2317="Backlog",Q2317,Q2317*Dashboard!$C$10))</f>
        <v>0</v>
      </c>
      <c r="AA2317" s="37" t="n">
        <f aca="false">IF($N2317="",0,IF(COUNTIF(Dashboard!$C$13:$C$22,$N2317)&gt;0,1,0))</f>
        <v>0</v>
      </c>
      <c r="AB2317" s="37" t="str">
        <f aca="false">IF($N2317="","",IF(COUNTIF($N$8:$N2317,$N2317)=1,MAX($AB$7:$AB2316)+1,""))</f>
        <v/>
      </c>
    </row>
    <row r="2318" customFormat="false" ht="15" hidden="false" customHeight="false" outlineLevel="0" collapsed="false">
      <c r="L2318" s="37" t="str">
        <f aca="false">IF(INDEX($A2318:$J2318,$L$6)&lt;&gt;"",TRIM(LEFT(INDEX($A2318:$J2318,$L$6),FIND("(",INDEX($A2318:$J2318,$L$6)&amp;"(")-1)),L2317)</f>
        <v>Building Value Proposition</v>
      </c>
      <c r="M2318" s="37" t="str">
        <f aca="false">IF(INDEX($A2318:$J2318,$M$6)="","",INDEX($A2318:$J2318,$M$6)&amp;"")</f>
        <v/>
      </c>
      <c r="N2318" s="37" t="str">
        <f aca="false">IF($M2318="","",TRIM(INDEX($A2318:$J2318,$N$6)&amp;""))</f>
        <v/>
      </c>
      <c r="O2318" s="37" t="str">
        <f aca="false">IF($M2318="","",TRIM(INDEX($A2318:$J2318,$O$6)&amp;""))</f>
        <v/>
      </c>
      <c r="P2318" s="37" t="str">
        <f aca="false">IF($M2318="","",IFERROR(IF(INDEX(Settings!$B$41:$B$50,MATCH(O2318,Settings!$A$41:$A$50,0))&amp;""="","UNMAPPED",INDEX(Settings!$B$41:$B$50,MATCH(O2318,Settings!$A$41:$A$50,0))&amp;""),"UNMAPPED"))</f>
        <v/>
      </c>
      <c r="Q2318" s="38" t="n">
        <f aca="false">IF($M2318="",0,N(INDEX($A2318:$J2318,$Q$6)))</f>
        <v>0</v>
      </c>
      <c r="R2318" s="39" t="str">
        <f aca="false">IF($M2318="","",INDEX($A2318:$J2318,$R$6))</f>
        <v/>
      </c>
      <c r="S2318" s="37" t="str">
        <f aca="false">IF($M2318="","",IFERROR(INDEX(Settings!$B$27:$B$36,MATCH(L2318,Settings!$A$27:$A$36,0))&amp;"","UNMAPPED"))</f>
        <v/>
      </c>
      <c r="T2318" s="37" t="str">
        <f aca="false">IF($M2318="","",IF(NOT(ISNUMBER(R2318)),"NO DATE",IF(S2318="Won",IF(R2318&gt;Settings!$B$5,"Backlog","Delivered"),IF(S2318="Open",IF(R2318&gt;Settings!$B$5,"Pipeline","Overdue"),IF(S2318="Lost","Lost","UNMAPPED")))))</f>
        <v/>
      </c>
      <c r="U2318" s="40" t="n">
        <f aca="false">IF(T2318="Backlog",1,IF(OR(T2318="Pipeline",T2318="Overdue"),N(INDEX(Settings!$C$27:$C$36,MATCH(L2318,Settings!$A$27:$A$36,0))),0))</f>
        <v>0</v>
      </c>
      <c r="V2318" s="38" t="n">
        <f aca="false">Q2318*U2318</f>
        <v>0</v>
      </c>
      <c r="W2318" s="41" t="str">
        <f aca="false">IF($M2318="","",IF(T2318="Overdue",IF(Settings!$B$8="Yes",Settings!$B$7,""),IF(ISNUMBER(R2318),DATE(YEAR(R2318),MONTH(R2318),1),"")))</f>
        <v/>
      </c>
      <c r="X2318" s="38" t="n">
        <f aca="false">IF(AND(OR(T2318="Backlog",T2318="Pipeline",T2318="Overdue"),ISNUMBER(W2318)),IF(W2318&lt;=Settings!$B$6,V2318,0),0)</f>
        <v>0</v>
      </c>
      <c r="Y2318" s="38" t="n">
        <f aca="false">IF(AND(OR(T2318="Backlog",T2318="Pipeline",T2318="Overdue"),ISNUMBER(W2318)),IF(W2318&lt;=Settings!$B$6,Q2318,0),0)</f>
        <v>0</v>
      </c>
      <c r="Z2318" s="38" t="n">
        <f aca="false">IF(Y2318=0,0,IF(T2318="Backlog",Q2318,Q2318*Dashboard!$C$10))</f>
        <v>0</v>
      </c>
      <c r="AA2318" s="37" t="n">
        <f aca="false">IF($N2318="",0,IF(COUNTIF(Dashboard!$C$13:$C$22,$N2318)&gt;0,1,0))</f>
        <v>0</v>
      </c>
      <c r="AB2318" s="37" t="str">
        <f aca="false">IF($N2318="","",IF(COUNTIF($N$8:$N2318,$N2318)=1,MAX($AB$7:$AB2317)+1,""))</f>
        <v/>
      </c>
    </row>
    <row r="2319" customFormat="false" ht="15" hidden="false" customHeight="false" outlineLevel="0" collapsed="false">
      <c r="L2319" s="37" t="str">
        <f aca="false">IF(INDEX($A2319:$J2319,$L$6)&lt;&gt;"",TRIM(LEFT(INDEX($A2319:$J2319,$L$6),FIND("(",INDEX($A2319:$J2319,$L$6)&amp;"(")-1)),L2318)</f>
        <v>Building Value Proposition</v>
      </c>
      <c r="M2319" s="37" t="str">
        <f aca="false">IF(INDEX($A2319:$J2319,$M$6)="","",INDEX($A2319:$J2319,$M$6)&amp;"")</f>
        <v/>
      </c>
      <c r="N2319" s="37" t="str">
        <f aca="false">IF($M2319="","",TRIM(INDEX($A2319:$J2319,$N$6)&amp;""))</f>
        <v/>
      </c>
      <c r="O2319" s="37" t="str">
        <f aca="false">IF($M2319="","",TRIM(INDEX($A2319:$J2319,$O$6)&amp;""))</f>
        <v/>
      </c>
      <c r="P2319" s="37" t="str">
        <f aca="false">IF($M2319="","",IFERROR(IF(INDEX(Settings!$B$41:$B$50,MATCH(O2319,Settings!$A$41:$A$50,0))&amp;""="","UNMAPPED",INDEX(Settings!$B$41:$B$50,MATCH(O2319,Settings!$A$41:$A$50,0))&amp;""),"UNMAPPED"))</f>
        <v/>
      </c>
      <c r="Q2319" s="38" t="n">
        <f aca="false">IF($M2319="",0,N(INDEX($A2319:$J2319,$Q$6)))</f>
        <v>0</v>
      </c>
      <c r="R2319" s="39" t="str">
        <f aca="false">IF($M2319="","",INDEX($A2319:$J2319,$R$6))</f>
        <v/>
      </c>
      <c r="S2319" s="37" t="str">
        <f aca="false">IF($M2319="","",IFERROR(INDEX(Settings!$B$27:$B$36,MATCH(L2319,Settings!$A$27:$A$36,0))&amp;"","UNMAPPED"))</f>
        <v/>
      </c>
      <c r="T2319" s="37" t="str">
        <f aca="false">IF($M2319="","",IF(NOT(ISNUMBER(R2319)),"NO DATE",IF(S2319="Won",IF(R2319&gt;Settings!$B$5,"Backlog","Delivered"),IF(S2319="Open",IF(R2319&gt;Settings!$B$5,"Pipeline","Overdue"),IF(S2319="Lost","Lost","UNMAPPED")))))</f>
        <v/>
      </c>
      <c r="U2319" s="40" t="n">
        <f aca="false">IF(T2319="Backlog",1,IF(OR(T2319="Pipeline",T2319="Overdue"),N(INDEX(Settings!$C$27:$C$36,MATCH(L2319,Settings!$A$27:$A$36,0))),0))</f>
        <v>0</v>
      </c>
      <c r="V2319" s="38" t="n">
        <f aca="false">Q2319*U2319</f>
        <v>0</v>
      </c>
      <c r="W2319" s="41" t="str">
        <f aca="false">IF($M2319="","",IF(T2319="Overdue",IF(Settings!$B$8="Yes",Settings!$B$7,""),IF(ISNUMBER(R2319),DATE(YEAR(R2319),MONTH(R2319),1),"")))</f>
        <v/>
      </c>
      <c r="X2319" s="38" t="n">
        <f aca="false">IF(AND(OR(T2319="Backlog",T2319="Pipeline",T2319="Overdue"),ISNUMBER(W2319)),IF(W2319&lt;=Settings!$B$6,V2319,0),0)</f>
        <v>0</v>
      </c>
      <c r="Y2319" s="38" t="n">
        <f aca="false">IF(AND(OR(T2319="Backlog",T2319="Pipeline",T2319="Overdue"),ISNUMBER(W2319)),IF(W2319&lt;=Settings!$B$6,Q2319,0),0)</f>
        <v>0</v>
      </c>
      <c r="Z2319" s="38" t="n">
        <f aca="false">IF(Y2319=0,0,IF(T2319="Backlog",Q2319,Q2319*Dashboard!$C$10))</f>
        <v>0</v>
      </c>
      <c r="AA2319" s="37" t="n">
        <f aca="false">IF($N2319="",0,IF(COUNTIF(Dashboard!$C$13:$C$22,$N2319)&gt;0,1,0))</f>
        <v>0</v>
      </c>
      <c r="AB2319" s="37" t="str">
        <f aca="false">IF($N2319="","",IF(COUNTIF($N$8:$N2319,$N2319)=1,MAX($AB$7:$AB2318)+1,""))</f>
        <v/>
      </c>
    </row>
    <row r="2320" customFormat="false" ht="15" hidden="false" customHeight="false" outlineLevel="0" collapsed="false">
      <c r="L2320" s="37" t="str">
        <f aca="false">IF(INDEX($A2320:$J2320,$L$6)&lt;&gt;"",TRIM(LEFT(INDEX($A2320:$J2320,$L$6),FIND("(",INDEX($A2320:$J2320,$L$6)&amp;"(")-1)),L2319)</f>
        <v>Building Value Proposition</v>
      </c>
      <c r="M2320" s="37" t="str">
        <f aca="false">IF(INDEX($A2320:$J2320,$M$6)="","",INDEX($A2320:$J2320,$M$6)&amp;"")</f>
        <v/>
      </c>
      <c r="N2320" s="37" t="str">
        <f aca="false">IF($M2320="","",TRIM(INDEX($A2320:$J2320,$N$6)&amp;""))</f>
        <v/>
      </c>
      <c r="O2320" s="37" t="str">
        <f aca="false">IF($M2320="","",TRIM(INDEX($A2320:$J2320,$O$6)&amp;""))</f>
        <v/>
      </c>
      <c r="P2320" s="37" t="str">
        <f aca="false">IF($M2320="","",IFERROR(IF(INDEX(Settings!$B$41:$B$50,MATCH(O2320,Settings!$A$41:$A$50,0))&amp;""="","UNMAPPED",INDEX(Settings!$B$41:$B$50,MATCH(O2320,Settings!$A$41:$A$50,0))&amp;""),"UNMAPPED"))</f>
        <v/>
      </c>
      <c r="Q2320" s="38" t="n">
        <f aca="false">IF($M2320="",0,N(INDEX($A2320:$J2320,$Q$6)))</f>
        <v>0</v>
      </c>
      <c r="R2320" s="39" t="str">
        <f aca="false">IF($M2320="","",INDEX($A2320:$J2320,$R$6))</f>
        <v/>
      </c>
      <c r="S2320" s="37" t="str">
        <f aca="false">IF($M2320="","",IFERROR(INDEX(Settings!$B$27:$B$36,MATCH(L2320,Settings!$A$27:$A$36,0))&amp;"","UNMAPPED"))</f>
        <v/>
      </c>
      <c r="T2320" s="37" t="str">
        <f aca="false">IF($M2320="","",IF(NOT(ISNUMBER(R2320)),"NO DATE",IF(S2320="Won",IF(R2320&gt;Settings!$B$5,"Backlog","Delivered"),IF(S2320="Open",IF(R2320&gt;Settings!$B$5,"Pipeline","Overdue"),IF(S2320="Lost","Lost","UNMAPPED")))))</f>
        <v/>
      </c>
      <c r="U2320" s="40" t="n">
        <f aca="false">IF(T2320="Backlog",1,IF(OR(T2320="Pipeline",T2320="Overdue"),N(INDEX(Settings!$C$27:$C$36,MATCH(L2320,Settings!$A$27:$A$36,0))),0))</f>
        <v>0</v>
      </c>
      <c r="V2320" s="38" t="n">
        <f aca="false">Q2320*U2320</f>
        <v>0</v>
      </c>
      <c r="W2320" s="41" t="str">
        <f aca="false">IF($M2320="","",IF(T2320="Overdue",IF(Settings!$B$8="Yes",Settings!$B$7,""),IF(ISNUMBER(R2320),DATE(YEAR(R2320),MONTH(R2320),1),"")))</f>
        <v/>
      </c>
      <c r="X2320" s="38" t="n">
        <f aca="false">IF(AND(OR(T2320="Backlog",T2320="Pipeline",T2320="Overdue"),ISNUMBER(W2320)),IF(W2320&lt;=Settings!$B$6,V2320,0),0)</f>
        <v>0</v>
      </c>
      <c r="Y2320" s="38" t="n">
        <f aca="false">IF(AND(OR(T2320="Backlog",T2320="Pipeline",T2320="Overdue"),ISNUMBER(W2320)),IF(W2320&lt;=Settings!$B$6,Q2320,0),0)</f>
        <v>0</v>
      </c>
      <c r="Z2320" s="38" t="n">
        <f aca="false">IF(Y2320=0,0,IF(T2320="Backlog",Q2320,Q2320*Dashboard!$C$10))</f>
        <v>0</v>
      </c>
      <c r="AA2320" s="37" t="n">
        <f aca="false">IF($N2320="",0,IF(COUNTIF(Dashboard!$C$13:$C$22,$N2320)&gt;0,1,0))</f>
        <v>0</v>
      </c>
      <c r="AB2320" s="37" t="str">
        <f aca="false">IF($N2320="","",IF(COUNTIF($N$8:$N2320,$N2320)=1,MAX($AB$7:$AB2319)+1,""))</f>
        <v/>
      </c>
    </row>
    <row r="2321" customFormat="false" ht="15" hidden="false" customHeight="false" outlineLevel="0" collapsed="false">
      <c r="L2321" s="37" t="str">
        <f aca="false">IF(INDEX($A2321:$J2321,$L$6)&lt;&gt;"",TRIM(LEFT(INDEX($A2321:$J2321,$L$6),FIND("(",INDEX($A2321:$J2321,$L$6)&amp;"(")-1)),L2320)</f>
        <v>Building Value Proposition</v>
      </c>
      <c r="M2321" s="37" t="str">
        <f aca="false">IF(INDEX($A2321:$J2321,$M$6)="","",INDEX($A2321:$J2321,$M$6)&amp;"")</f>
        <v/>
      </c>
      <c r="N2321" s="37" t="str">
        <f aca="false">IF($M2321="","",TRIM(INDEX($A2321:$J2321,$N$6)&amp;""))</f>
        <v/>
      </c>
      <c r="O2321" s="37" t="str">
        <f aca="false">IF($M2321="","",TRIM(INDEX($A2321:$J2321,$O$6)&amp;""))</f>
        <v/>
      </c>
      <c r="P2321" s="37" t="str">
        <f aca="false">IF($M2321="","",IFERROR(IF(INDEX(Settings!$B$41:$B$50,MATCH(O2321,Settings!$A$41:$A$50,0))&amp;""="","UNMAPPED",INDEX(Settings!$B$41:$B$50,MATCH(O2321,Settings!$A$41:$A$50,0))&amp;""),"UNMAPPED"))</f>
        <v/>
      </c>
      <c r="Q2321" s="38" t="n">
        <f aca="false">IF($M2321="",0,N(INDEX($A2321:$J2321,$Q$6)))</f>
        <v>0</v>
      </c>
      <c r="R2321" s="39" t="str">
        <f aca="false">IF($M2321="","",INDEX($A2321:$J2321,$R$6))</f>
        <v/>
      </c>
      <c r="S2321" s="37" t="str">
        <f aca="false">IF($M2321="","",IFERROR(INDEX(Settings!$B$27:$B$36,MATCH(L2321,Settings!$A$27:$A$36,0))&amp;"","UNMAPPED"))</f>
        <v/>
      </c>
      <c r="T2321" s="37" t="str">
        <f aca="false">IF($M2321="","",IF(NOT(ISNUMBER(R2321)),"NO DATE",IF(S2321="Won",IF(R2321&gt;Settings!$B$5,"Backlog","Delivered"),IF(S2321="Open",IF(R2321&gt;Settings!$B$5,"Pipeline","Overdue"),IF(S2321="Lost","Lost","UNMAPPED")))))</f>
        <v/>
      </c>
      <c r="U2321" s="40" t="n">
        <f aca="false">IF(T2321="Backlog",1,IF(OR(T2321="Pipeline",T2321="Overdue"),N(INDEX(Settings!$C$27:$C$36,MATCH(L2321,Settings!$A$27:$A$36,0))),0))</f>
        <v>0</v>
      </c>
      <c r="V2321" s="38" t="n">
        <f aca="false">Q2321*U2321</f>
        <v>0</v>
      </c>
      <c r="W2321" s="41" t="str">
        <f aca="false">IF($M2321="","",IF(T2321="Overdue",IF(Settings!$B$8="Yes",Settings!$B$7,""),IF(ISNUMBER(R2321),DATE(YEAR(R2321),MONTH(R2321),1),"")))</f>
        <v/>
      </c>
      <c r="X2321" s="38" t="n">
        <f aca="false">IF(AND(OR(T2321="Backlog",T2321="Pipeline",T2321="Overdue"),ISNUMBER(W2321)),IF(W2321&lt;=Settings!$B$6,V2321,0),0)</f>
        <v>0</v>
      </c>
      <c r="Y2321" s="38" t="n">
        <f aca="false">IF(AND(OR(T2321="Backlog",T2321="Pipeline",T2321="Overdue"),ISNUMBER(W2321)),IF(W2321&lt;=Settings!$B$6,Q2321,0),0)</f>
        <v>0</v>
      </c>
      <c r="Z2321" s="38" t="n">
        <f aca="false">IF(Y2321=0,0,IF(T2321="Backlog",Q2321,Q2321*Dashboard!$C$10))</f>
        <v>0</v>
      </c>
      <c r="AA2321" s="37" t="n">
        <f aca="false">IF($N2321="",0,IF(COUNTIF(Dashboard!$C$13:$C$22,$N2321)&gt;0,1,0))</f>
        <v>0</v>
      </c>
      <c r="AB2321" s="37" t="str">
        <f aca="false">IF($N2321="","",IF(COUNTIF($N$8:$N2321,$N2321)=1,MAX($AB$7:$AB2320)+1,""))</f>
        <v/>
      </c>
    </row>
    <row r="2322" customFormat="false" ht="15" hidden="false" customHeight="false" outlineLevel="0" collapsed="false">
      <c r="L2322" s="37" t="str">
        <f aca="false">IF(INDEX($A2322:$J2322,$L$6)&lt;&gt;"",TRIM(LEFT(INDEX($A2322:$J2322,$L$6),FIND("(",INDEX($A2322:$J2322,$L$6)&amp;"(")-1)),L2321)</f>
        <v>Building Value Proposition</v>
      </c>
      <c r="M2322" s="37" t="str">
        <f aca="false">IF(INDEX($A2322:$J2322,$M$6)="","",INDEX($A2322:$J2322,$M$6)&amp;"")</f>
        <v/>
      </c>
      <c r="N2322" s="37" t="str">
        <f aca="false">IF($M2322="","",TRIM(INDEX($A2322:$J2322,$N$6)&amp;""))</f>
        <v/>
      </c>
      <c r="O2322" s="37" t="str">
        <f aca="false">IF($M2322="","",TRIM(INDEX($A2322:$J2322,$O$6)&amp;""))</f>
        <v/>
      </c>
      <c r="P2322" s="37" t="str">
        <f aca="false">IF($M2322="","",IFERROR(IF(INDEX(Settings!$B$41:$B$50,MATCH(O2322,Settings!$A$41:$A$50,0))&amp;""="","UNMAPPED",INDEX(Settings!$B$41:$B$50,MATCH(O2322,Settings!$A$41:$A$50,0))&amp;""),"UNMAPPED"))</f>
        <v/>
      </c>
      <c r="Q2322" s="38" t="n">
        <f aca="false">IF($M2322="",0,N(INDEX($A2322:$J2322,$Q$6)))</f>
        <v>0</v>
      </c>
      <c r="R2322" s="39" t="str">
        <f aca="false">IF($M2322="","",INDEX($A2322:$J2322,$R$6))</f>
        <v/>
      </c>
      <c r="S2322" s="37" t="str">
        <f aca="false">IF($M2322="","",IFERROR(INDEX(Settings!$B$27:$B$36,MATCH(L2322,Settings!$A$27:$A$36,0))&amp;"","UNMAPPED"))</f>
        <v/>
      </c>
      <c r="T2322" s="37" t="str">
        <f aca="false">IF($M2322="","",IF(NOT(ISNUMBER(R2322)),"NO DATE",IF(S2322="Won",IF(R2322&gt;Settings!$B$5,"Backlog","Delivered"),IF(S2322="Open",IF(R2322&gt;Settings!$B$5,"Pipeline","Overdue"),IF(S2322="Lost","Lost","UNMAPPED")))))</f>
        <v/>
      </c>
      <c r="U2322" s="40" t="n">
        <f aca="false">IF(T2322="Backlog",1,IF(OR(T2322="Pipeline",T2322="Overdue"),N(INDEX(Settings!$C$27:$C$36,MATCH(L2322,Settings!$A$27:$A$36,0))),0))</f>
        <v>0</v>
      </c>
      <c r="V2322" s="38" t="n">
        <f aca="false">Q2322*U2322</f>
        <v>0</v>
      </c>
      <c r="W2322" s="41" t="str">
        <f aca="false">IF($M2322="","",IF(T2322="Overdue",IF(Settings!$B$8="Yes",Settings!$B$7,""),IF(ISNUMBER(R2322),DATE(YEAR(R2322),MONTH(R2322),1),"")))</f>
        <v/>
      </c>
      <c r="X2322" s="38" t="n">
        <f aca="false">IF(AND(OR(T2322="Backlog",T2322="Pipeline",T2322="Overdue"),ISNUMBER(W2322)),IF(W2322&lt;=Settings!$B$6,V2322,0),0)</f>
        <v>0</v>
      </c>
      <c r="Y2322" s="38" t="n">
        <f aca="false">IF(AND(OR(T2322="Backlog",T2322="Pipeline",T2322="Overdue"),ISNUMBER(W2322)),IF(W2322&lt;=Settings!$B$6,Q2322,0),0)</f>
        <v>0</v>
      </c>
      <c r="Z2322" s="38" t="n">
        <f aca="false">IF(Y2322=0,0,IF(T2322="Backlog",Q2322,Q2322*Dashboard!$C$10))</f>
        <v>0</v>
      </c>
      <c r="AA2322" s="37" t="n">
        <f aca="false">IF($N2322="",0,IF(COUNTIF(Dashboard!$C$13:$C$22,$N2322)&gt;0,1,0))</f>
        <v>0</v>
      </c>
      <c r="AB2322" s="37" t="str">
        <f aca="false">IF($N2322="","",IF(COUNTIF($N$8:$N2322,$N2322)=1,MAX($AB$7:$AB2321)+1,""))</f>
        <v/>
      </c>
    </row>
    <row r="2323" customFormat="false" ht="15" hidden="false" customHeight="false" outlineLevel="0" collapsed="false">
      <c r="L2323" s="37" t="str">
        <f aca="false">IF(INDEX($A2323:$J2323,$L$6)&lt;&gt;"",TRIM(LEFT(INDEX($A2323:$J2323,$L$6),FIND("(",INDEX($A2323:$J2323,$L$6)&amp;"(")-1)),L2322)</f>
        <v>Building Value Proposition</v>
      </c>
      <c r="M2323" s="37" t="str">
        <f aca="false">IF(INDEX($A2323:$J2323,$M$6)="","",INDEX($A2323:$J2323,$M$6)&amp;"")</f>
        <v/>
      </c>
      <c r="N2323" s="37" t="str">
        <f aca="false">IF($M2323="","",TRIM(INDEX($A2323:$J2323,$N$6)&amp;""))</f>
        <v/>
      </c>
      <c r="O2323" s="37" t="str">
        <f aca="false">IF($M2323="","",TRIM(INDEX($A2323:$J2323,$O$6)&amp;""))</f>
        <v/>
      </c>
      <c r="P2323" s="37" t="str">
        <f aca="false">IF($M2323="","",IFERROR(IF(INDEX(Settings!$B$41:$B$50,MATCH(O2323,Settings!$A$41:$A$50,0))&amp;""="","UNMAPPED",INDEX(Settings!$B$41:$B$50,MATCH(O2323,Settings!$A$41:$A$50,0))&amp;""),"UNMAPPED"))</f>
        <v/>
      </c>
      <c r="Q2323" s="38" t="n">
        <f aca="false">IF($M2323="",0,N(INDEX($A2323:$J2323,$Q$6)))</f>
        <v>0</v>
      </c>
      <c r="R2323" s="39" t="str">
        <f aca="false">IF($M2323="","",INDEX($A2323:$J2323,$R$6))</f>
        <v/>
      </c>
      <c r="S2323" s="37" t="str">
        <f aca="false">IF($M2323="","",IFERROR(INDEX(Settings!$B$27:$B$36,MATCH(L2323,Settings!$A$27:$A$36,0))&amp;"","UNMAPPED"))</f>
        <v/>
      </c>
      <c r="T2323" s="37" t="str">
        <f aca="false">IF($M2323="","",IF(NOT(ISNUMBER(R2323)),"NO DATE",IF(S2323="Won",IF(R2323&gt;Settings!$B$5,"Backlog","Delivered"),IF(S2323="Open",IF(R2323&gt;Settings!$B$5,"Pipeline","Overdue"),IF(S2323="Lost","Lost","UNMAPPED")))))</f>
        <v/>
      </c>
      <c r="U2323" s="40" t="n">
        <f aca="false">IF(T2323="Backlog",1,IF(OR(T2323="Pipeline",T2323="Overdue"),N(INDEX(Settings!$C$27:$C$36,MATCH(L2323,Settings!$A$27:$A$36,0))),0))</f>
        <v>0</v>
      </c>
      <c r="V2323" s="38" t="n">
        <f aca="false">Q2323*U2323</f>
        <v>0</v>
      </c>
      <c r="W2323" s="41" t="str">
        <f aca="false">IF($M2323="","",IF(T2323="Overdue",IF(Settings!$B$8="Yes",Settings!$B$7,""),IF(ISNUMBER(R2323),DATE(YEAR(R2323),MONTH(R2323),1),"")))</f>
        <v/>
      </c>
      <c r="X2323" s="38" t="n">
        <f aca="false">IF(AND(OR(T2323="Backlog",T2323="Pipeline",T2323="Overdue"),ISNUMBER(W2323)),IF(W2323&lt;=Settings!$B$6,V2323,0),0)</f>
        <v>0</v>
      </c>
      <c r="Y2323" s="38" t="n">
        <f aca="false">IF(AND(OR(T2323="Backlog",T2323="Pipeline",T2323="Overdue"),ISNUMBER(W2323)),IF(W2323&lt;=Settings!$B$6,Q2323,0),0)</f>
        <v>0</v>
      </c>
      <c r="Z2323" s="38" t="n">
        <f aca="false">IF(Y2323=0,0,IF(T2323="Backlog",Q2323,Q2323*Dashboard!$C$10))</f>
        <v>0</v>
      </c>
      <c r="AA2323" s="37" t="n">
        <f aca="false">IF($N2323="",0,IF(COUNTIF(Dashboard!$C$13:$C$22,$N2323)&gt;0,1,0))</f>
        <v>0</v>
      </c>
      <c r="AB2323" s="37" t="str">
        <f aca="false">IF($N2323="","",IF(COUNTIF($N$8:$N2323,$N2323)=1,MAX($AB$7:$AB2322)+1,""))</f>
        <v/>
      </c>
    </row>
    <row r="2324" customFormat="false" ht="15" hidden="false" customHeight="false" outlineLevel="0" collapsed="false">
      <c r="L2324" s="37" t="str">
        <f aca="false">IF(INDEX($A2324:$J2324,$L$6)&lt;&gt;"",TRIM(LEFT(INDEX($A2324:$J2324,$L$6),FIND("(",INDEX($A2324:$J2324,$L$6)&amp;"(")-1)),L2323)</f>
        <v>Building Value Proposition</v>
      </c>
      <c r="M2324" s="37" t="str">
        <f aca="false">IF(INDEX($A2324:$J2324,$M$6)="","",INDEX($A2324:$J2324,$M$6)&amp;"")</f>
        <v/>
      </c>
      <c r="N2324" s="37" t="str">
        <f aca="false">IF($M2324="","",TRIM(INDEX($A2324:$J2324,$N$6)&amp;""))</f>
        <v/>
      </c>
      <c r="O2324" s="37" t="str">
        <f aca="false">IF($M2324="","",TRIM(INDEX($A2324:$J2324,$O$6)&amp;""))</f>
        <v/>
      </c>
      <c r="P2324" s="37" t="str">
        <f aca="false">IF($M2324="","",IFERROR(IF(INDEX(Settings!$B$41:$B$50,MATCH(O2324,Settings!$A$41:$A$50,0))&amp;""="","UNMAPPED",INDEX(Settings!$B$41:$B$50,MATCH(O2324,Settings!$A$41:$A$50,0))&amp;""),"UNMAPPED"))</f>
        <v/>
      </c>
      <c r="Q2324" s="38" t="n">
        <f aca="false">IF($M2324="",0,N(INDEX($A2324:$J2324,$Q$6)))</f>
        <v>0</v>
      </c>
      <c r="R2324" s="39" t="str">
        <f aca="false">IF($M2324="","",INDEX($A2324:$J2324,$R$6))</f>
        <v/>
      </c>
      <c r="S2324" s="37" t="str">
        <f aca="false">IF($M2324="","",IFERROR(INDEX(Settings!$B$27:$B$36,MATCH(L2324,Settings!$A$27:$A$36,0))&amp;"","UNMAPPED"))</f>
        <v/>
      </c>
      <c r="T2324" s="37" t="str">
        <f aca="false">IF($M2324="","",IF(NOT(ISNUMBER(R2324)),"NO DATE",IF(S2324="Won",IF(R2324&gt;Settings!$B$5,"Backlog","Delivered"),IF(S2324="Open",IF(R2324&gt;Settings!$B$5,"Pipeline","Overdue"),IF(S2324="Lost","Lost","UNMAPPED")))))</f>
        <v/>
      </c>
      <c r="U2324" s="40" t="n">
        <f aca="false">IF(T2324="Backlog",1,IF(OR(T2324="Pipeline",T2324="Overdue"),N(INDEX(Settings!$C$27:$C$36,MATCH(L2324,Settings!$A$27:$A$36,0))),0))</f>
        <v>0</v>
      </c>
      <c r="V2324" s="38" t="n">
        <f aca="false">Q2324*U2324</f>
        <v>0</v>
      </c>
      <c r="W2324" s="41" t="str">
        <f aca="false">IF($M2324="","",IF(T2324="Overdue",IF(Settings!$B$8="Yes",Settings!$B$7,""),IF(ISNUMBER(R2324),DATE(YEAR(R2324),MONTH(R2324),1),"")))</f>
        <v/>
      </c>
      <c r="X2324" s="38" t="n">
        <f aca="false">IF(AND(OR(T2324="Backlog",T2324="Pipeline",T2324="Overdue"),ISNUMBER(W2324)),IF(W2324&lt;=Settings!$B$6,V2324,0),0)</f>
        <v>0</v>
      </c>
      <c r="Y2324" s="38" t="n">
        <f aca="false">IF(AND(OR(T2324="Backlog",T2324="Pipeline",T2324="Overdue"),ISNUMBER(W2324)),IF(W2324&lt;=Settings!$B$6,Q2324,0),0)</f>
        <v>0</v>
      </c>
      <c r="Z2324" s="38" t="n">
        <f aca="false">IF(Y2324=0,0,IF(T2324="Backlog",Q2324,Q2324*Dashboard!$C$10))</f>
        <v>0</v>
      </c>
      <c r="AA2324" s="37" t="n">
        <f aca="false">IF($N2324="",0,IF(COUNTIF(Dashboard!$C$13:$C$22,$N2324)&gt;0,1,0))</f>
        <v>0</v>
      </c>
      <c r="AB2324" s="37" t="str">
        <f aca="false">IF($N2324="","",IF(COUNTIF($N$8:$N2324,$N2324)=1,MAX($AB$7:$AB2323)+1,""))</f>
        <v/>
      </c>
    </row>
    <row r="2325" customFormat="false" ht="15" hidden="false" customHeight="false" outlineLevel="0" collapsed="false">
      <c r="L2325" s="37" t="str">
        <f aca="false">IF(INDEX($A2325:$J2325,$L$6)&lt;&gt;"",TRIM(LEFT(INDEX($A2325:$J2325,$L$6),FIND("(",INDEX($A2325:$J2325,$L$6)&amp;"(")-1)),L2324)</f>
        <v>Building Value Proposition</v>
      </c>
      <c r="M2325" s="37" t="str">
        <f aca="false">IF(INDEX($A2325:$J2325,$M$6)="","",INDEX($A2325:$J2325,$M$6)&amp;"")</f>
        <v/>
      </c>
      <c r="N2325" s="37" t="str">
        <f aca="false">IF($M2325="","",TRIM(INDEX($A2325:$J2325,$N$6)&amp;""))</f>
        <v/>
      </c>
      <c r="O2325" s="37" t="str">
        <f aca="false">IF($M2325="","",TRIM(INDEX($A2325:$J2325,$O$6)&amp;""))</f>
        <v/>
      </c>
      <c r="P2325" s="37" t="str">
        <f aca="false">IF($M2325="","",IFERROR(IF(INDEX(Settings!$B$41:$B$50,MATCH(O2325,Settings!$A$41:$A$50,0))&amp;""="","UNMAPPED",INDEX(Settings!$B$41:$B$50,MATCH(O2325,Settings!$A$41:$A$50,0))&amp;""),"UNMAPPED"))</f>
        <v/>
      </c>
      <c r="Q2325" s="38" t="n">
        <f aca="false">IF($M2325="",0,N(INDEX($A2325:$J2325,$Q$6)))</f>
        <v>0</v>
      </c>
      <c r="R2325" s="39" t="str">
        <f aca="false">IF($M2325="","",INDEX($A2325:$J2325,$R$6))</f>
        <v/>
      </c>
      <c r="S2325" s="37" t="str">
        <f aca="false">IF($M2325="","",IFERROR(INDEX(Settings!$B$27:$B$36,MATCH(L2325,Settings!$A$27:$A$36,0))&amp;"","UNMAPPED"))</f>
        <v/>
      </c>
      <c r="T2325" s="37" t="str">
        <f aca="false">IF($M2325="","",IF(NOT(ISNUMBER(R2325)),"NO DATE",IF(S2325="Won",IF(R2325&gt;Settings!$B$5,"Backlog","Delivered"),IF(S2325="Open",IF(R2325&gt;Settings!$B$5,"Pipeline","Overdue"),IF(S2325="Lost","Lost","UNMAPPED")))))</f>
        <v/>
      </c>
      <c r="U2325" s="40" t="n">
        <f aca="false">IF(T2325="Backlog",1,IF(OR(T2325="Pipeline",T2325="Overdue"),N(INDEX(Settings!$C$27:$C$36,MATCH(L2325,Settings!$A$27:$A$36,0))),0))</f>
        <v>0</v>
      </c>
      <c r="V2325" s="38" t="n">
        <f aca="false">Q2325*U2325</f>
        <v>0</v>
      </c>
      <c r="W2325" s="41" t="str">
        <f aca="false">IF($M2325="","",IF(T2325="Overdue",IF(Settings!$B$8="Yes",Settings!$B$7,""),IF(ISNUMBER(R2325),DATE(YEAR(R2325),MONTH(R2325),1),"")))</f>
        <v/>
      </c>
      <c r="X2325" s="38" t="n">
        <f aca="false">IF(AND(OR(T2325="Backlog",T2325="Pipeline",T2325="Overdue"),ISNUMBER(W2325)),IF(W2325&lt;=Settings!$B$6,V2325,0),0)</f>
        <v>0</v>
      </c>
      <c r="Y2325" s="38" t="n">
        <f aca="false">IF(AND(OR(T2325="Backlog",T2325="Pipeline",T2325="Overdue"),ISNUMBER(W2325)),IF(W2325&lt;=Settings!$B$6,Q2325,0),0)</f>
        <v>0</v>
      </c>
      <c r="Z2325" s="38" t="n">
        <f aca="false">IF(Y2325=0,0,IF(T2325="Backlog",Q2325,Q2325*Dashboard!$C$10))</f>
        <v>0</v>
      </c>
      <c r="AA2325" s="37" t="n">
        <f aca="false">IF($N2325="",0,IF(COUNTIF(Dashboard!$C$13:$C$22,$N2325)&gt;0,1,0))</f>
        <v>0</v>
      </c>
      <c r="AB2325" s="37" t="str">
        <f aca="false">IF($N2325="","",IF(COUNTIF($N$8:$N2325,$N2325)=1,MAX($AB$7:$AB2324)+1,""))</f>
        <v/>
      </c>
    </row>
    <row r="2326" customFormat="false" ht="15" hidden="false" customHeight="false" outlineLevel="0" collapsed="false">
      <c r="L2326" s="37" t="str">
        <f aca="false">IF(INDEX($A2326:$J2326,$L$6)&lt;&gt;"",TRIM(LEFT(INDEX($A2326:$J2326,$L$6),FIND("(",INDEX($A2326:$J2326,$L$6)&amp;"(")-1)),L2325)</f>
        <v>Building Value Proposition</v>
      </c>
      <c r="M2326" s="37" t="str">
        <f aca="false">IF(INDEX($A2326:$J2326,$M$6)="","",INDEX($A2326:$J2326,$M$6)&amp;"")</f>
        <v/>
      </c>
      <c r="N2326" s="37" t="str">
        <f aca="false">IF($M2326="","",TRIM(INDEX($A2326:$J2326,$N$6)&amp;""))</f>
        <v/>
      </c>
      <c r="O2326" s="37" t="str">
        <f aca="false">IF($M2326="","",TRIM(INDEX($A2326:$J2326,$O$6)&amp;""))</f>
        <v/>
      </c>
      <c r="P2326" s="37" t="str">
        <f aca="false">IF($M2326="","",IFERROR(IF(INDEX(Settings!$B$41:$B$50,MATCH(O2326,Settings!$A$41:$A$50,0))&amp;""="","UNMAPPED",INDEX(Settings!$B$41:$B$50,MATCH(O2326,Settings!$A$41:$A$50,0))&amp;""),"UNMAPPED"))</f>
        <v/>
      </c>
      <c r="Q2326" s="38" t="n">
        <f aca="false">IF($M2326="",0,N(INDEX($A2326:$J2326,$Q$6)))</f>
        <v>0</v>
      </c>
      <c r="R2326" s="39" t="str">
        <f aca="false">IF($M2326="","",INDEX($A2326:$J2326,$R$6))</f>
        <v/>
      </c>
      <c r="S2326" s="37" t="str">
        <f aca="false">IF($M2326="","",IFERROR(INDEX(Settings!$B$27:$B$36,MATCH(L2326,Settings!$A$27:$A$36,0))&amp;"","UNMAPPED"))</f>
        <v/>
      </c>
      <c r="T2326" s="37" t="str">
        <f aca="false">IF($M2326="","",IF(NOT(ISNUMBER(R2326)),"NO DATE",IF(S2326="Won",IF(R2326&gt;Settings!$B$5,"Backlog","Delivered"),IF(S2326="Open",IF(R2326&gt;Settings!$B$5,"Pipeline","Overdue"),IF(S2326="Lost","Lost","UNMAPPED")))))</f>
        <v/>
      </c>
      <c r="U2326" s="40" t="n">
        <f aca="false">IF(T2326="Backlog",1,IF(OR(T2326="Pipeline",T2326="Overdue"),N(INDEX(Settings!$C$27:$C$36,MATCH(L2326,Settings!$A$27:$A$36,0))),0))</f>
        <v>0</v>
      </c>
      <c r="V2326" s="38" t="n">
        <f aca="false">Q2326*U2326</f>
        <v>0</v>
      </c>
      <c r="W2326" s="41" t="str">
        <f aca="false">IF($M2326="","",IF(T2326="Overdue",IF(Settings!$B$8="Yes",Settings!$B$7,""),IF(ISNUMBER(R2326),DATE(YEAR(R2326),MONTH(R2326),1),"")))</f>
        <v/>
      </c>
      <c r="X2326" s="38" t="n">
        <f aca="false">IF(AND(OR(T2326="Backlog",T2326="Pipeline",T2326="Overdue"),ISNUMBER(W2326)),IF(W2326&lt;=Settings!$B$6,V2326,0),0)</f>
        <v>0</v>
      </c>
      <c r="Y2326" s="38" t="n">
        <f aca="false">IF(AND(OR(T2326="Backlog",T2326="Pipeline",T2326="Overdue"),ISNUMBER(W2326)),IF(W2326&lt;=Settings!$B$6,Q2326,0),0)</f>
        <v>0</v>
      </c>
      <c r="Z2326" s="38" t="n">
        <f aca="false">IF(Y2326=0,0,IF(T2326="Backlog",Q2326,Q2326*Dashboard!$C$10))</f>
        <v>0</v>
      </c>
      <c r="AA2326" s="37" t="n">
        <f aca="false">IF($N2326="",0,IF(COUNTIF(Dashboard!$C$13:$C$22,$N2326)&gt;0,1,0))</f>
        <v>0</v>
      </c>
      <c r="AB2326" s="37" t="str">
        <f aca="false">IF($N2326="","",IF(COUNTIF($N$8:$N2326,$N2326)=1,MAX($AB$7:$AB2325)+1,""))</f>
        <v/>
      </c>
    </row>
    <row r="2327" customFormat="false" ht="15" hidden="false" customHeight="false" outlineLevel="0" collapsed="false">
      <c r="L2327" s="37" t="str">
        <f aca="false">IF(INDEX($A2327:$J2327,$L$6)&lt;&gt;"",TRIM(LEFT(INDEX($A2327:$J2327,$L$6),FIND("(",INDEX($A2327:$J2327,$L$6)&amp;"(")-1)),L2326)</f>
        <v>Building Value Proposition</v>
      </c>
      <c r="M2327" s="37" t="str">
        <f aca="false">IF(INDEX($A2327:$J2327,$M$6)="","",INDEX($A2327:$J2327,$M$6)&amp;"")</f>
        <v/>
      </c>
      <c r="N2327" s="37" t="str">
        <f aca="false">IF($M2327="","",TRIM(INDEX($A2327:$J2327,$N$6)&amp;""))</f>
        <v/>
      </c>
      <c r="O2327" s="37" t="str">
        <f aca="false">IF($M2327="","",TRIM(INDEX($A2327:$J2327,$O$6)&amp;""))</f>
        <v/>
      </c>
      <c r="P2327" s="37" t="str">
        <f aca="false">IF($M2327="","",IFERROR(IF(INDEX(Settings!$B$41:$B$50,MATCH(O2327,Settings!$A$41:$A$50,0))&amp;""="","UNMAPPED",INDEX(Settings!$B$41:$B$50,MATCH(O2327,Settings!$A$41:$A$50,0))&amp;""),"UNMAPPED"))</f>
        <v/>
      </c>
      <c r="Q2327" s="38" t="n">
        <f aca="false">IF($M2327="",0,N(INDEX($A2327:$J2327,$Q$6)))</f>
        <v>0</v>
      </c>
      <c r="R2327" s="39" t="str">
        <f aca="false">IF($M2327="","",INDEX($A2327:$J2327,$R$6))</f>
        <v/>
      </c>
      <c r="S2327" s="37" t="str">
        <f aca="false">IF($M2327="","",IFERROR(INDEX(Settings!$B$27:$B$36,MATCH(L2327,Settings!$A$27:$A$36,0))&amp;"","UNMAPPED"))</f>
        <v/>
      </c>
      <c r="T2327" s="37" t="str">
        <f aca="false">IF($M2327="","",IF(NOT(ISNUMBER(R2327)),"NO DATE",IF(S2327="Won",IF(R2327&gt;Settings!$B$5,"Backlog","Delivered"),IF(S2327="Open",IF(R2327&gt;Settings!$B$5,"Pipeline","Overdue"),IF(S2327="Lost","Lost","UNMAPPED")))))</f>
        <v/>
      </c>
      <c r="U2327" s="40" t="n">
        <f aca="false">IF(T2327="Backlog",1,IF(OR(T2327="Pipeline",T2327="Overdue"),N(INDEX(Settings!$C$27:$C$36,MATCH(L2327,Settings!$A$27:$A$36,0))),0))</f>
        <v>0</v>
      </c>
      <c r="V2327" s="38" t="n">
        <f aca="false">Q2327*U2327</f>
        <v>0</v>
      </c>
      <c r="W2327" s="41" t="str">
        <f aca="false">IF($M2327="","",IF(T2327="Overdue",IF(Settings!$B$8="Yes",Settings!$B$7,""),IF(ISNUMBER(R2327),DATE(YEAR(R2327),MONTH(R2327),1),"")))</f>
        <v/>
      </c>
      <c r="X2327" s="38" t="n">
        <f aca="false">IF(AND(OR(T2327="Backlog",T2327="Pipeline",T2327="Overdue"),ISNUMBER(W2327)),IF(W2327&lt;=Settings!$B$6,V2327,0),0)</f>
        <v>0</v>
      </c>
      <c r="Y2327" s="38" t="n">
        <f aca="false">IF(AND(OR(T2327="Backlog",T2327="Pipeline",T2327="Overdue"),ISNUMBER(W2327)),IF(W2327&lt;=Settings!$B$6,Q2327,0),0)</f>
        <v>0</v>
      </c>
      <c r="Z2327" s="38" t="n">
        <f aca="false">IF(Y2327=0,0,IF(T2327="Backlog",Q2327,Q2327*Dashboard!$C$10))</f>
        <v>0</v>
      </c>
      <c r="AA2327" s="37" t="n">
        <f aca="false">IF($N2327="",0,IF(COUNTIF(Dashboard!$C$13:$C$22,$N2327)&gt;0,1,0))</f>
        <v>0</v>
      </c>
      <c r="AB2327" s="37" t="str">
        <f aca="false">IF($N2327="","",IF(COUNTIF($N$8:$N2327,$N2327)=1,MAX($AB$7:$AB2326)+1,""))</f>
        <v/>
      </c>
    </row>
    <row r="2328" customFormat="false" ht="15" hidden="false" customHeight="false" outlineLevel="0" collapsed="false">
      <c r="L2328" s="37" t="str">
        <f aca="false">IF(INDEX($A2328:$J2328,$L$6)&lt;&gt;"",TRIM(LEFT(INDEX($A2328:$J2328,$L$6),FIND("(",INDEX($A2328:$J2328,$L$6)&amp;"(")-1)),L2327)</f>
        <v>Building Value Proposition</v>
      </c>
      <c r="M2328" s="37" t="str">
        <f aca="false">IF(INDEX($A2328:$J2328,$M$6)="","",INDEX($A2328:$J2328,$M$6)&amp;"")</f>
        <v/>
      </c>
      <c r="N2328" s="37" t="str">
        <f aca="false">IF($M2328="","",TRIM(INDEX($A2328:$J2328,$N$6)&amp;""))</f>
        <v/>
      </c>
      <c r="O2328" s="37" t="str">
        <f aca="false">IF($M2328="","",TRIM(INDEX($A2328:$J2328,$O$6)&amp;""))</f>
        <v/>
      </c>
      <c r="P2328" s="37" t="str">
        <f aca="false">IF($M2328="","",IFERROR(IF(INDEX(Settings!$B$41:$B$50,MATCH(O2328,Settings!$A$41:$A$50,0))&amp;""="","UNMAPPED",INDEX(Settings!$B$41:$B$50,MATCH(O2328,Settings!$A$41:$A$50,0))&amp;""),"UNMAPPED"))</f>
        <v/>
      </c>
      <c r="Q2328" s="38" t="n">
        <f aca="false">IF($M2328="",0,N(INDEX($A2328:$J2328,$Q$6)))</f>
        <v>0</v>
      </c>
      <c r="R2328" s="39" t="str">
        <f aca="false">IF($M2328="","",INDEX($A2328:$J2328,$R$6))</f>
        <v/>
      </c>
      <c r="S2328" s="37" t="str">
        <f aca="false">IF($M2328="","",IFERROR(INDEX(Settings!$B$27:$B$36,MATCH(L2328,Settings!$A$27:$A$36,0))&amp;"","UNMAPPED"))</f>
        <v/>
      </c>
      <c r="T2328" s="37" t="str">
        <f aca="false">IF($M2328="","",IF(NOT(ISNUMBER(R2328)),"NO DATE",IF(S2328="Won",IF(R2328&gt;Settings!$B$5,"Backlog","Delivered"),IF(S2328="Open",IF(R2328&gt;Settings!$B$5,"Pipeline","Overdue"),IF(S2328="Lost","Lost","UNMAPPED")))))</f>
        <v/>
      </c>
      <c r="U2328" s="40" t="n">
        <f aca="false">IF(T2328="Backlog",1,IF(OR(T2328="Pipeline",T2328="Overdue"),N(INDEX(Settings!$C$27:$C$36,MATCH(L2328,Settings!$A$27:$A$36,0))),0))</f>
        <v>0</v>
      </c>
      <c r="V2328" s="38" t="n">
        <f aca="false">Q2328*U2328</f>
        <v>0</v>
      </c>
      <c r="W2328" s="41" t="str">
        <f aca="false">IF($M2328="","",IF(T2328="Overdue",IF(Settings!$B$8="Yes",Settings!$B$7,""),IF(ISNUMBER(R2328),DATE(YEAR(R2328),MONTH(R2328),1),"")))</f>
        <v/>
      </c>
      <c r="X2328" s="38" t="n">
        <f aca="false">IF(AND(OR(T2328="Backlog",T2328="Pipeline",T2328="Overdue"),ISNUMBER(W2328)),IF(W2328&lt;=Settings!$B$6,V2328,0),0)</f>
        <v>0</v>
      </c>
      <c r="Y2328" s="38" t="n">
        <f aca="false">IF(AND(OR(T2328="Backlog",T2328="Pipeline",T2328="Overdue"),ISNUMBER(W2328)),IF(W2328&lt;=Settings!$B$6,Q2328,0),0)</f>
        <v>0</v>
      </c>
      <c r="Z2328" s="38" t="n">
        <f aca="false">IF(Y2328=0,0,IF(T2328="Backlog",Q2328,Q2328*Dashboard!$C$10))</f>
        <v>0</v>
      </c>
      <c r="AA2328" s="37" t="n">
        <f aca="false">IF($N2328="",0,IF(COUNTIF(Dashboard!$C$13:$C$22,$N2328)&gt;0,1,0))</f>
        <v>0</v>
      </c>
      <c r="AB2328" s="37" t="str">
        <f aca="false">IF($N2328="","",IF(COUNTIF($N$8:$N2328,$N2328)=1,MAX($AB$7:$AB2327)+1,""))</f>
        <v/>
      </c>
    </row>
    <row r="2329" customFormat="false" ht="15" hidden="false" customHeight="false" outlineLevel="0" collapsed="false">
      <c r="L2329" s="37" t="str">
        <f aca="false">IF(INDEX($A2329:$J2329,$L$6)&lt;&gt;"",TRIM(LEFT(INDEX($A2329:$J2329,$L$6),FIND("(",INDEX($A2329:$J2329,$L$6)&amp;"(")-1)),L2328)</f>
        <v>Building Value Proposition</v>
      </c>
      <c r="M2329" s="37" t="str">
        <f aca="false">IF(INDEX($A2329:$J2329,$M$6)="","",INDEX($A2329:$J2329,$M$6)&amp;"")</f>
        <v/>
      </c>
      <c r="N2329" s="37" t="str">
        <f aca="false">IF($M2329="","",TRIM(INDEX($A2329:$J2329,$N$6)&amp;""))</f>
        <v/>
      </c>
      <c r="O2329" s="37" t="str">
        <f aca="false">IF($M2329="","",TRIM(INDEX($A2329:$J2329,$O$6)&amp;""))</f>
        <v/>
      </c>
      <c r="P2329" s="37" t="str">
        <f aca="false">IF($M2329="","",IFERROR(IF(INDEX(Settings!$B$41:$B$50,MATCH(O2329,Settings!$A$41:$A$50,0))&amp;""="","UNMAPPED",INDEX(Settings!$B$41:$B$50,MATCH(O2329,Settings!$A$41:$A$50,0))&amp;""),"UNMAPPED"))</f>
        <v/>
      </c>
      <c r="Q2329" s="38" t="n">
        <f aca="false">IF($M2329="",0,N(INDEX($A2329:$J2329,$Q$6)))</f>
        <v>0</v>
      </c>
      <c r="R2329" s="39" t="str">
        <f aca="false">IF($M2329="","",INDEX($A2329:$J2329,$R$6))</f>
        <v/>
      </c>
      <c r="S2329" s="37" t="str">
        <f aca="false">IF($M2329="","",IFERROR(INDEX(Settings!$B$27:$B$36,MATCH(L2329,Settings!$A$27:$A$36,0))&amp;"","UNMAPPED"))</f>
        <v/>
      </c>
      <c r="T2329" s="37" t="str">
        <f aca="false">IF($M2329="","",IF(NOT(ISNUMBER(R2329)),"NO DATE",IF(S2329="Won",IF(R2329&gt;Settings!$B$5,"Backlog","Delivered"),IF(S2329="Open",IF(R2329&gt;Settings!$B$5,"Pipeline","Overdue"),IF(S2329="Lost","Lost","UNMAPPED")))))</f>
        <v/>
      </c>
      <c r="U2329" s="40" t="n">
        <f aca="false">IF(T2329="Backlog",1,IF(OR(T2329="Pipeline",T2329="Overdue"),N(INDEX(Settings!$C$27:$C$36,MATCH(L2329,Settings!$A$27:$A$36,0))),0))</f>
        <v>0</v>
      </c>
      <c r="V2329" s="38" t="n">
        <f aca="false">Q2329*U2329</f>
        <v>0</v>
      </c>
      <c r="W2329" s="41" t="str">
        <f aca="false">IF($M2329="","",IF(T2329="Overdue",IF(Settings!$B$8="Yes",Settings!$B$7,""),IF(ISNUMBER(R2329),DATE(YEAR(R2329),MONTH(R2329),1),"")))</f>
        <v/>
      </c>
      <c r="X2329" s="38" t="n">
        <f aca="false">IF(AND(OR(T2329="Backlog",T2329="Pipeline",T2329="Overdue"),ISNUMBER(W2329)),IF(W2329&lt;=Settings!$B$6,V2329,0),0)</f>
        <v>0</v>
      </c>
      <c r="Y2329" s="38" t="n">
        <f aca="false">IF(AND(OR(T2329="Backlog",T2329="Pipeline",T2329="Overdue"),ISNUMBER(W2329)),IF(W2329&lt;=Settings!$B$6,Q2329,0),0)</f>
        <v>0</v>
      </c>
      <c r="Z2329" s="38" t="n">
        <f aca="false">IF(Y2329=0,0,IF(T2329="Backlog",Q2329,Q2329*Dashboard!$C$10))</f>
        <v>0</v>
      </c>
      <c r="AA2329" s="37" t="n">
        <f aca="false">IF($N2329="",0,IF(COUNTIF(Dashboard!$C$13:$C$22,$N2329)&gt;0,1,0))</f>
        <v>0</v>
      </c>
      <c r="AB2329" s="37" t="str">
        <f aca="false">IF($N2329="","",IF(COUNTIF($N$8:$N2329,$N2329)=1,MAX($AB$7:$AB2328)+1,""))</f>
        <v/>
      </c>
    </row>
    <row r="2330" customFormat="false" ht="15" hidden="false" customHeight="false" outlineLevel="0" collapsed="false">
      <c r="L2330" s="37" t="str">
        <f aca="false">IF(INDEX($A2330:$J2330,$L$6)&lt;&gt;"",TRIM(LEFT(INDEX($A2330:$J2330,$L$6),FIND("(",INDEX($A2330:$J2330,$L$6)&amp;"(")-1)),L2329)</f>
        <v>Building Value Proposition</v>
      </c>
      <c r="M2330" s="37" t="str">
        <f aca="false">IF(INDEX($A2330:$J2330,$M$6)="","",INDEX($A2330:$J2330,$M$6)&amp;"")</f>
        <v/>
      </c>
      <c r="N2330" s="37" t="str">
        <f aca="false">IF($M2330="","",TRIM(INDEX($A2330:$J2330,$N$6)&amp;""))</f>
        <v/>
      </c>
      <c r="O2330" s="37" t="str">
        <f aca="false">IF($M2330="","",TRIM(INDEX($A2330:$J2330,$O$6)&amp;""))</f>
        <v/>
      </c>
      <c r="P2330" s="37" t="str">
        <f aca="false">IF($M2330="","",IFERROR(IF(INDEX(Settings!$B$41:$B$50,MATCH(O2330,Settings!$A$41:$A$50,0))&amp;""="","UNMAPPED",INDEX(Settings!$B$41:$B$50,MATCH(O2330,Settings!$A$41:$A$50,0))&amp;""),"UNMAPPED"))</f>
        <v/>
      </c>
      <c r="Q2330" s="38" t="n">
        <f aca="false">IF($M2330="",0,N(INDEX($A2330:$J2330,$Q$6)))</f>
        <v>0</v>
      </c>
      <c r="R2330" s="39" t="str">
        <f aca="false">IF($M2330="","",INDEX($A2330:$J2330,$R$6))</f>
        <v/>
      </c>
      <c r="S2330" s="37" t="str">
        <f aca="false">IF($M2330="","",IFERROR(INDEX(Settings!$B$27:$B$36,MATCH(L2330,Settings!$A$27:$A$36,0))&amp;"","UNMAPPED"))</f>
        <v/>
      </c>
      <c r="T2330" s="37" t="str">
        <f aca="false">IF($M2330="","",IF(NOT(ISNUMBER(R2330)),"NO DATE",IF(S2330="Won",IF(R2330&gt;Settings!$B$5,"Backlog","Delivered"),IF(S2330="Open",IF(R2330&gt;Settings!$B$5,"Pipeline","Overdue"),IF(S2330="Lost","Lost","UNMAPPED")))))</f>
        <v/>
      </c>
      <c r="U2330" s="40" t="n">
        <f aca="false">IF(T2330="Backlog",1,IF(OR(T2330="Pipeline",T2330="Overdue"),N(INDEX(Settings!$C$27:$C$36,MATCH(L2330,Settings!$A$27:$A$36,0))),0))</f>
        <v>0</v>
      </c>
      <c r="V2330" s="38" t="n">
        <f aca="false">Q2330*U2330</f>
        <v>0</v>
      </c>
      <c r="W2330" s="41" t="str">
        <f aca="false">IF($M2330="","",IF(T2330="Overdue",IF(Settings!$B$8="Yes",Settings!$B$7,""),IF(ISNUMBER(R2330),DATE(YEAR(R2330),MONTH(R2330),1),"")))</f>
        <v/>
      </c>
      <c r="X2330" s="38" t="n">
        <f aca="false">IF(AND(OR(T2330="Backlog",T2330="Pipeline",T2330="Overdue"),ISNUMBER(W2330)),IF(W2330&lt;=Settings!$B$6,V2330,0),0)</f>
        <v>0</v>
      </c>
      <c r="Y2330" s="38" t="n">
        <f aca="false">IF(AND(OR(T2330="Backlog",T2330="Pipeline",T2330="Overdue"),ISNUMBER(W2330)),IF(W2330&lt;=Settings!$B$6,Q2330,0),0)</f>
        <v>0</v>
      </c>
      <c r="Z2330" s="38" t="n">
        <f aca="false">IF(Y2330=0,0,IF(T2330="Backlog",Q2330,Q2330*Dashboard!$C$10))</f>
        <v>0</v>
      </c>
      <c r="AA2330" s="37" t="n">
        <f aca="false">IF($N2330="",0,IF(COUNTIF(Dashboard!$C$13:$C$22,$N2330)&gt;0,1,0))</f>
        <v>0</v>
      </c>
      <c r="AB2330" s="37" t="str">
        <f aca="false">IF($N2330="","",IF(COUNTIF($N$8:$N2330,$N2330)=1,MAX($AB$7:$AB2329)+1,""))</f>
        <v/>
      </c>
    </row>
    <row r="2331" customFormat="false" ht="15" hidden="false" customHeight="false" outlineLevel="0" collapsed="false">
      <c r="L2331" s="37" t="str">
        <f aca="false">IF(INDEX($A2331:$J2331,$L$6)&lt;&gt;"",TRIM(LEFT(INDEX($A2331:$J2331,$L$6),FIND("(",INDEX($A2331:$J2331,$L$6)&amp;"(")-1)),L2330)</f>
        <v>Building Value Proposition</v>
      </c>
      <c r="M2331" s="37" t="str">
        <f aca="false">IF(INDEX($A2331:$J2331,$M$6)="","",INDEX($A2331:$J2331,$M$6)&amp;"")</f>
        <v/>
      </c>
      <c r="N2331" s="37" t="str">
        <f aca="false">IF($M2331="","",TRIM(INDEX($A2331:$J2331,$N$6)&amp;""))</f>
        <v/>
      </c>
      <c r="O2331" s="37" t="str">
        <f aca="false">IF($M2331="","",TRIM(INDEX($A2331:$J2331,$O$6)&amp;""))</f>
        <v/>
      </c>
      <c r="P2331" s="37" t="str">
        <f aca="false">IF($M2331="","",IFERROR(IF(INDEX(Settings!$B$41:$B$50,MATCH(O2331,Settings!$A$41:$A$50,0))&amp;""="","UNMAPPED",INDEX(Settings!$B$41:$B$50,MATCH(O2331,Settings!$A$41:$A$50,0))&amp;""),"UNMAPPED"))</f>
        <v/>
      </c>
      <c r="Q2331" s="38" t="n">
        <f aca="false">IF($M2331="",0,N(INDEX($A2331:$J2331,$Q$6)))</f>
        <v>0</v>
      </c>
      <c r="R2331" s="39" t="str">
        <f aca="false">IF($M2331="","",INDEX($A2331:$J2331,$R$6))</f>
        <v/>
      </c>
      <c r="S2331" s="37" t="str">
        <f aca="false">IF($M2331="","",IFERROR(INDEX(Settings!$B$27:$B$36,MATCH(L2331,Settings!$A$27:$A$36,0))&amp;"","UNMAPPED"))</f>
        <v/>
      </c>
      <c r="T2331" s="37" t="str">
        <f aca="false">IF($M2331="","",IF(NOT(ISNUMBER(R2331)),"NO DATE",IF(S2331="Won",IF(R2331&gt;Settings!$B$5,"Backlog","Delivered"),IF(S2331="Open",IF(R2331&gt;Settings!$B$5,"Pipeline","Overdue"),IF(S2331="Lost","Lost","UNMAPPED")))))</f>
        <v/>
      </c>
      <c r="U2331" s="40" t="n">
        <f aca="false">IF(T2331="Backlog",1,IF(OR(T2331="Pipeline",T2331="Overdue"),N(INDEX(Settings!$C$27:$C$36,MATCH(L2331,Settings!$A$27:$A$36,0))),0))</f>
        <v>0</v>
      </c>
      <c r="V2331" s="38" t="n">
        <f aca="false">Q2331*U2331</f>
        <v>0</v>
      </c>
      <c r="W2331" s="41" t="str">
        <f aca="false">IF($M2331="","",IF(T2331="Overdue",IF(Settings!$B$8="Yes",Settings!$B$7,""),IF(ISNUMBER(R2331),DATE(YEAR(R2331),MONTH(R2331),1),"")))</f>
        <v/>
      </c>
      <c r="X2331" s="38" t="n">
        <f aca="false">IF(AND(OR(T2331="Backlog",T2331="Pipeline",T2331="Overdue"),ISNUMBER(W2331)),IF(W2331&lt;=Settings!$B$6,V2331,0),0)</f>
        <v>0</v>
      </c>
      <c r="Y2331" s="38" t="n">
        <f aca="false">IF(AND(OR(T2331="Backlog",T2331="Pipeline",T2331="Overdue"),ISNUMBER(W2331)),IF(W2331&lt;=Settings!$B$6,Q2331,0),0)</f>
        <v>0</v>
      </c>
      <c r="Z2331" s="38" t="n">
        <f aca="false">IF(Y2331=0,0,IF(T2331="Backlog",Q2331,Q2331*Dashboard!$C$10))</f>
        <v>0</v>
      </c>
      <c r="AA2331" s="37" t="n">
        <f aca="false">IF($N2331="",0,IF(COUNTIF(Dashboard!$C$13:$C$22,$N2331)&gt;0,1,0))</f>
        <v>0</v>
      </c>
      <c r="AB2331" s="37" t="str">
        <f aca="false">IF($N2331="","",IF(COUNTIF($N$8:$N2331,$N2331)=1,MAX($AB$7:$AB2330)+1,""))</f>
        <v/>
      </c>
    </row>
    <row r="2332" customFormat="false" ht="15" hidden="false" customHeight="false" outlineLevel="0" collapsed="false">
      <c r="L2332" s="37" t="str">
        <f aca="false">IF(INDEX($A2332:$J2332,$L$6)&lt;&gt;"",TRIM(LEFT(INDEX($A2332:$J2332,$L$6),FIND("(",INDEX($A2332:$J2332,$L$6)&amp;"(")-1)),L2331)</f>
        <v>Building Value Proposition</v>
      </c>
      <c r="M2332" s="37" t="str">
        <f aca="false">IF(INDEX($A2332:$J2332,$M$6)="","",INDEX($A2332:$J2332,$M$6)&amp;"")</f>
        <v/>
      </c>
      <c r="N2332" s="37" t="str">
        <f aca="false">IF($M2332="","",TRIM(INDEX($A2332:$J2332,$N$6)&amp;""))</f>
        <v/>
      </c>
      <c r="O2332" s="37" t="str">
        <f aca="false">IF($M2332="","",TRIM(INDEX($A2332:$J2332,$O$6)&amp;""))</f>
        <v/>
      </c>
      <c r="P2332" s="37" t="str">
        <f aca="false">IF($M2332="","",IFERROR(IF(INDEX(Settings!$B$41:$B$50,MATCH(O2332,Settings!$A$41:$A$50,0))&amp;""="","UNMAPPED",INDEX(Settings!$B$41:$B$50,MATCH(O2332,Settings!$A$41:$A$50,0))&amp;""),"UNMAPPED"))</f>
        <v/>
      </c>
      <c r="Q2332" s="38" t="n">
        <f aca="false">IF($M2332="",0,N(INDEX($A2332:$J2332,$Q$6)))</f>
        <v>0</v>
      </c>
      <c r="R2332" s="39" t="str">
        <f aca="false">IF($M2332="","",INDEX($A2332:$J2332,$R$6))</f>
        <v/>
      </c>
      <c r="S2332" s="37" t="str">
        <f aca="false">IF($M2332="","",IFERROR(INDEX(Settings!$B$27:$B$36,MATCH(L2332,Settings!$A$27:$A$36,0))&amp;"","UNMAPPED"))</f>
        <v/>
      </c>
      <c r="T2332" s="37" t="str">
        <f aca="false">IF($M2332="","",IF(NOT(ISNUMBER(R2332)),"NO DATE",IF(S2332="Won",IF(R2332&gt;Settings!$B$5,"Backlog","Delivered"),IF(S2332="Open",IF(R2332&gt;Settings!$B$5,"Pipeline","Overdue"),IF(S2332="Lost","Lost","UNMAPPED")))))</f>
        <v/>
      </c>
      <c r="U2332" s="40" t="n">
        <f aca="false">IF(T2332="Backlog",1,IF(OR(T2332="Pipeline",T2332="Overdue"),N(INDEX(Settings!$C$27:$C$36,MATCH(L2332,Settings!$A$27:$A$36,0))),0))</f>
        <v>0</v>
      </c>
      <c r="V2332" s="38" t="n">
        <f aca="false">Q2332*U2332</f>
        <v>0</v>
      </c>
      <c r="W2332" s="41" t="str">
        <f aca="false">IF($M2332="","",IF(T2332="Overdue",IF(Settings!$B$8="Yes",Settings!$B$7,""),IF(ISNUMBER(R2332),DATE(YEAR(R2332),MONTH(R2332),1),"")))</f>
        <v/>
      </c>
      <c r="X2332" s="38" t="n">
        <f aca="false">IF(AND(OR(T2332="Backlog",T2332="Pipeline",T2332="Overdue"),ISNUMBER(W2332)),IF(W2332&lt;=Settings!$B$6,V2332,0),0)</f>
        <v>0</v>
      </c>
      <c r="Y2332" s="38" t="n">
        <f aca="false">IF(AND(OR(T2332="Backlog",T2332="Pipeline",T2332="Overdue"),ISNUMBER(W2332)),IF(W2332&lt;=Settings!$B$6,Q2332,0),0)</f>
        <v>0</v>
      </c>
      <c r="Z2332" s="38" t="n">
        <f aca="false">IF(Y2332=0,0,IF(T2332="Backlog",Q2332,Q2332*Dashboard!$C$10))</f>
        <v>0</v>
      </c>
      <c r="AA2332" s="37" t="n">
        <f aca="false">IF($N2332="",0,IF(COUNTIF(Dashboard!$C$13:$C$22,$N2332)&gt;0,1,0))</f>
        <v>0</v>
      </c>
      <c r="AB2332" s="37" t="str">
        <f aca="false">IF($N2332="","",IF(COUNTIF($N$8:$N2332,$N2332)=1,MAX($AB$7:$AB2331)+1,""))</f>
        <v/>
      </c>
    </row>
    <row r="2333" customFormat="false" ht="15" hidden="false" customHeight="false" outlineLevel="0" collapsed="false">
      <c r="L2333" s="37" t="str">
        <f aca="false">IF(INDEX($A2333:$J2333,$L$6)&lt;&gt;"",TRIM(LEFT(INDEX($A2333:$J2333,$L$6),FIND("(",INDEX($A2333:$J2333,$L$6)&amp;"(")-1)),L2332)</f>
        <v>Building Value Proposition</v>
      </c>
      <c r="M2333" s="37" t="str">
        <f aca="false">IF(INDEX($A2333:$J2333,$M$6)="","",INDEX($A2333:$J2333,$M$6)&amp;"")</f>
        <v/>
      </c>
      <c r="N2333" s="37" t="str">
        <f aca="false">IF($M2333="","",TRIM(INDEX($A2333:$J2333,$N$6)&amp;""))</f>
        <v/>
      </c>
      <c r="O2333" s="37" t="str">
        <f aca="false">IF($M2333="","",TRIM(INDEX($A2333:$J2333,$O$6)&amp;""))</f>
        <v/>
      </c>
      <c r="P2333" s="37" t="str">
        <f aca="false">IF($M2333="","",IFERROR(IF(INDEX(Settings!$B$41:$B$50,MATCH(O2333,Settings!$A$41:$A$50,0))&amp;""="","UNMAPPED",INDEX(Settings!$B$41:$B$50,MATCH(O2333,Settings!$A$41:$A$50,0))&amp;""),"UNMAPPED"))</f>
        <v/>
      </c>
      <c r="Q2333" s="38" t="n">
        <f aca="false">IF($M2333="",0,N(INDEX($A2333:$J2333,$Q$6)))</f>
        <v>0</v>
      </c>
      <c r="R2333" s="39" t="str">
        <f aca="false">IF($M2333="","",INDEX($A2333:$J2333,$R$6))</f>
        <v/>
      </c>
      <c r="S2333" s="37" t="str">
        <f aca="false">IF($M2333="","",IFERROR(INDEX(Settings!$B$27:$B$36,MATCH(L2333,Settings!$A$27:$A$36,0))&amp;"","UNMAPPED"))</f>
        <v/>
      </c>
      <c r="T2333" s="37" t="str">
        <f aca="false">IF($M2333="","",IF(NOT(ISNUMBER(R2333)),"NO DATE",IF(S2333="Won",IF(R2333&gt;Settings!$B$5,"Backlog","Delivered"),IF(S2333="Open",IF(R2333&gt;Settings!$B$5,"Pipeline","Overdue"),IF(S2333="Lost","Lost","UNMAPPED")))))</f>
        <v/>
      </c>
      <c r="U2333" s="40" t="n">
        <f aca="false">IF(T2333="Backlog",1,IF(OR(T2333="Pipeline",T2333="Overdue"),N(INDEX(Settings!$C$27:$C$36,MATCH(L2333,Settings!$A$27:$A$36,0))),0))</f>
        <v>0</v>
      </c>
      <c r="V2333" s="38" t="n">
        <f aca="false">Q2333*U2333</f>
        <v>0</v>
      </c>
      <c r="W2333" s="41" t="str">
        <f aca="false">IF($M2333="","",IF(T2333="Overdue",IF(Settings!$B$8="Yes",Settings!$B$7,""),IF(ISNUMBER(R2333),DATE(YEAR(R2333),MONTH(R2333),1),"")))</f>
        <v/>
      </c>
      <c r="X2333" s="38" t="n">
        <f aca="false">IF(AND(OR(T2333="Backlog",T2333="Pipeline",T2333="Overdue"),ISNUMBER(W2333)),IF(W2333&lt;=Settings!$B$6,V2333,0),0)</f>
        <v>0</v>
      </c>
      <c r="Y2333" s="38" t="n">
        <f aca="false">IF(AND(OR(T2333="Backlog",T2333="Pipeline",T2333="Overdue"),ISNUMBER(W2333)),IF(W2333&lt;=Settings!$B$6,Q2333,0),0)</f>
        <v>0</v>
      </c>
      <c r="Z2333" s="38" t="n">
        <f aca="false">IF(Y2333=0,0,IF(T2333="Backlog",Q2333,Q2333*Dashboard!$C$10))</f>
        <v>0</v>
      </c>
      <c r="AA2333" s="37" t="n">
        <f aca="false">IF($N2333="",0,IF(COUNTIF(Dashboard!$C$13:$C$22,$N2333)&gt;0,1,0))</f>
        <v>0</v>
      </c>
      <c r="AB2333" s="37" t="str">
        <f aca="false">IF($N2333="","",IF(COUNTIF($N$8:$N2333,$N2333)=1,MAX($AB$7:$AB2332)+1,""))</f>
        <v/>
      </c>
    </row>
    <row r="2334" customFormat="false" ht="15" hidden="false" customHeight="false" outlineLevel="0" collapsed="false">
      <c r="L2334" s="37" t="str">
        <f aca="false">IF(INDEX($A2334:$J2334,$L$6)&lt;&gt;"",TRIM(LEFT(INDEX($A2334:$J2334,$L$6),FIND("(",INDEX($A2334:$J2334,$L$6)&amp;"(")-1)),L2333)</f>
        <v>Building Value Proposition</v>
      </c>
      <c r="M2334" s="37" t="str">
        <f aca="false">IF(INDEX($A2334:$J2334,$M$6)="","",INDEX($A2334:$J2334,$M$6)&amp;"")</f>
        <v/>
      </c>
      <c r="N2334" s="37" t="str">
        <f aca="false">IF($M2334="","",TRIM(INDEX($A2334:$J2334,$N$6)&amp;""))</f>
        <v/>
      </c>
      <c r="O2334" s="37" t="str">
        <f aca="false">IF($M2334="","",TRIM(INDEX($A2334:$J2334,$O$6)&amp;""))</f>
        <v/>
      </c>
      <c r="P2334" s="37" t="str">
        <f aca="false">IF($M2334="","",IFERROR(IF(INDEX(Settings!$B$41:$B$50,MATCH(O2334,Settings!$A$41:$A$50,0))&amp;""="","UNMAPPED",INDEX(Settings!$B$41:$B$50,MATCH(O2334,Settings!$A$41:$A$50,0))&amp;""),"UNMAPPED"))</f>
        <v/>
      </c>
      <c r="Q2334" s="38" t="n">
        <f aca="false">IF($M2334="",0,N(INDEX($A2334:$J2334,$Q$6)))</f>
        <v>0</v>
      </c>
      <c r="R2334" s="39" t="str">
        <f aca="false">IF($M2334="","",INDEX($A2334:$J2334,$R$6))</f>
        <v/>
      </c>
      <c r="S2334" s="37" t="str">
        <f aca="false">IF($M2334="","",IFERROR(INDEX(Settings!$B$27:$B$36,MATCH(L2334,Settings!$A$27:$A$36,0))&amp;"","UNMAPPED"))</f>
        <v/>
      </c>
      <c r="T2334" s="37" t="str">
        <f aca="false">IF($M2334="","",IF(NOT(ISNUMBER(R2334)),"NO DATE",IF(S2334="Won",IF(R2334&gt;Settings!$B$5,"Backlog","Delivered"),IF(S2334="Open",IF(R2334&gt;Settings!$B$5,"Pipeline","Overdue"),IF(S2334="Lost","Lost","UNMAPPED")))))</f>
        <v/>
      </c>
      <c r="U2334" s="40" t="n">
        <f aca="false">IF(T2334="Backlog",1,IF(OR(T2334="Pipeline",T2334="Overdue"),N(INDEX(Settings!$C$27:$C$36,MATCH(L2334,Settings!$A$27:$A$36,0))),0))</f>
        <v>0</v>
      </c>
      <c r="V2334" s="38" t="n">
        <f aca="false">Q2334*U2334</f>
        <v>0</v>
      </c>
      <c r="W2334" s="41" t="str">
        <f aca="false">IF($M2334="","",IF(T2334="Overdue",IF(Settings!$B$8="Yes",Settings!$B$7,""),IF(ISNUMBER(R2334),DATE(YEAR(R2334),MONTH(R2334),1),"")))</f>
        <v/>
      </c>
      <c r="X2334" s="38" t="n">
        <f aca="false">IF(AND(OR(T2334="Backlog",T2334="Pipeline",T2334="Overdue"),ISNUMBER(W2334)),IF(W2334&lt;=Settings!$B$6,V2334,0),0)</f>
        <v>0</v>
      </c>
      <c r="Y2334" s="38" t="n">
        <f aca="false">IF(AND(OR(T2334="Backlog",T2334="Pipeline",T2334="Overdue"),ISNUMBER(W2334)),IF(W2334&lt;=Settings!$B$6,Q2334,0),0)</f>
        <v>0</v>
      </c>
      <c r="Z2334" s="38" t="n">
        <f aca="false">IF(Y2334=0,0,IF(T2334="Backlog",Q2334,Q2334*Dashboard!$C$10))</f>
        <v>0</v>
      </c>
      <c r="AA2334" s="37" t="n">
        <f aca="false">IF($N2334="",0,IF(COUNTIF(Dashboard!$C$13:$C$22,$N2334)&gt;0,1,0))</f>
        <v>0</v>
      </c>
      <c r="AB2334" s="37" t="str">
        <f aca="false">IF($N2334="","",IF(COUNTIF($N$8:$N2334,$N2334)=1,MAX($AB$7:$AB2333)+1,""))</f>
        <v/>
      </c>
    </row>
    <row r="2335" customFormat="false" ht="15" hidden="false" customHeight="false" outlineLevel="0" collapsed="false">
      <c r="L2335" s="37" t="str">
        <f aca="false">IF(INDEX($A2335:$J2335,$L$6)&lt;&gt;"",TRIM(LEFT(INDEX($A2335:$J2335,$L$6),FIND("(",INDEX($A2335:$J2335,$L$6)&amp;"(")-1)),L2334)</f>
        <v>Building Value Proposition</v>
      </c>
      <c r="M2335" s="37" t="str">
        <f aca="false">IF(INDEX($A2335:$J2335,$M$6)="","",INDEX($A2335:$J2335,$M$6)&amp;"")</f>
        <v/>
      </c>
      <c r="N2335" s="37" t="str">
        <f aca="false">IF($M2335="","",TRIM(INDEX($A2335:$J2335,$N$6)&amp;""))</f>
        <v/>
      </c>
      <c r="O2335" s="37" t="str">
        <f aca="false">IF($M2335="","",TRIM(INDEX($A2335:$J2335,$O$6)&amp;""))</f>
        <v/>
      </c>
      <c r="P2335" s="37" t="str">
        <f aca="false">IF($M2335="","",IFERROR(IF(INDEX(Settings!$B$41:$B$50,MATCH(O2335,Settings!$A$41:$A$50,0))&amp;""="","UNMAPPED",INDEX(Settings!$B$41:$B$50,MATCH(O2335,Settings!$A$41:$A$50,0))&amp;""),"UNMAPPED"))</f>
        <v/>
      </c>
      <c r="Q2335" s="38" t="n">
        <f aca="false">IF($M2335="",0,N(INDEX($A2335:$J2335,$Q$6)))</f>
        <v>0</v>
      </c>
      <c r="R2335" s="39" t="str">
        <f aca="false">IF($M2335="","",INDEX($A2335:$J2335,$R$6))</f>
        <v/>
      </c>
      <c r="S2335" s="37" t="str">
        <f aca="false">IF($M2335="","",IFERROR(INDEX(Settings!$B$27:$B$36,MATCH(L2335,Settings!$A$27:$A$36,0))&amp;"","UNMAPPED"))</f>
        <v/>
      </c>
      <c r="T2335" s="37" t="str">
        <f aca="false">IF($M2335="","",IF(NOT(ISNUMBER(R2335)),"NO DATE",IF(S2335="Won",IF(R2335&gt;Settings!$B$5,"Backlog","Delivered"),IF(S2335="Open",IF(R2335&gt;Settings!$B$5,"Pipeline","Overdue"),IF(S2335="Lost","Lost","UNMAPPED")))))</f>
        <v/>
      </c>
      <c r="U2335" s="40" t="n">
        <f aca="false">IF(T2335="Backlog",1,IF(OR(T2335="Pipeline",T2335="Overdue"),N(INDEX(Settings!$C$27:$C$36,MATCH(L2335,Settings!$A$27:$A$36,0))),0))</f>
        <v>0</v>
      </c>
      <c r="V2335" s="38" t="n">
        <f aca="false">Q2335*U2335</f>
        <v>0</v>
      </c>
      <c r="W2335" s="41" t="str">
        <f aca="false">IF($M2335="","",IF(T2335="Overdue",IF(Settings!$B$8="Yes",Settings!$B$7,""),IF(ISNUMBER(R2335),DATE(YEAR(R2335),MONTH(R2335),1),"")))</f>
        <v/>
      </c>
      <c r="X2335" s="38" t="n">
        <f aca="false">IF(AND(OR(T2335="Backlog",T2335="Pipeline",T2335="Overdue"),ISNUMBER(W2335)),IF(W2335&lt;=Settings!$B$6,V2335,0),0)</f>
        <v>0</v>
      </c>
      <c r="Y2335" s="38" t="n">
        <f aca="false">IF(AND(OR(T2335="Backlog",T2335="Pipeline",T2335="Overdue"),ISNUMBER(W2335)),IF(W2335&lt;=Settings!$B$6,Q2335,0),0)</f>
        <v>0</v>
      </c>
      <c r="Z2335" s="38" t="n">
        <f aca="false">IF(Y2335=0,0,IF(T2335="Backlog",Q2335,Q2335*Dashboard!$C$10))</f>
        <v>0</v>
      </c>
      <c r="AA2335" s="37" t="n">
        <f aca="false">IF($N2335="",0,IF(COUNTIF(Dashboard!$C$13:$C$22,$N2335)&gt;0,1,0))</f>
        <v>0</v>
      </c>
      <c r="AB2335" s="37" t="str">
        <f aca="false">IF($N2335="","",IF(COUNTIF($N$8:$N2335,$N2335)=1,MAX($AB$7:$AB2334)+1,""))</f>
        <v/>
      </c>
    </row>
    <row r="2336" customFormat="false" ht="15" hidden="false" customHeight="false" outlineLevel="0" collapsed="false">
      <c r="L2336" s="37" t="str">
        <f aca="false">IF(INDEX($A2336:$J2336,$L$6)&lt;&gt;"",TRIM(LEFT(INDEX($A2336:$J2336,$L$6),FIND("(",INDEX($A2336:$J2336,$L$6)&amp;"(")-1)),L2335)</f>
        <v>Building Value Proposition</v>
      </c>
      <c r="M2336" s="37" t="str">
        <f aca="false">IF(INDEX($A2336:$J2336,$M$6)="","",INDEX($A2336:$J2336,$M$6)&amp;"")</f>
        <v/>
      </c>
      <c r="N2336" s="37" t="str">
        <f aca="false">IF($M2336="","",TRIM(INDEX($A2336:$J2336,$N$6)&amp;""))</f>
        <v/>
      </c>
      <c r="O2336" s="37" t="str">
        <f aca="false">IF($M2336="","",TRIM(INDEX($A2336:$J2336,$O$6)&amp;""))</f>
        <v/>
      </c>
      <c r="P2336" s="37" t="str">
        <f aca="false">IF($M2336="","",IFERROR(IF(INDEX(Settings!$B$41:$B$50,MATCH(O2336,Settings!$A$41:$A$50,0))&amp;""="","UNMAPPED",INDEX(Settings!$B$41:$B$50,MATCH(O2336,Settings!$A$41:$A$50,0))&amp;""),"UNMAPPED"))</f>
        <v/>
      </c>
      <c r="Q2336" s="38" t="n">
        <f aca="false">IF($M2336="",0,N(INDEX($A2336:$J2336,$Q$6)))</f>
        <v>0</v>
      </c>
      <c r="R2336" s="39" t="str">
        <f aca="false">IF($M2336="","",INDEX($A2336:$J2336,$R$6))</f>
        <v/>
      </c>
      <c r="S2336" s="37" t="str">
        <f aca="false">IF($M2336="","",IFERROR(INDEX(Settings!$B$27:$B$36,MATCH(L2336,Settings!$A$27:$A$36,0))&amp;"","UNMAPPED"))</f>
        <v/>
      </c>
      <c r="T2336" s="37" t="str">
        <f aca="false">IF($M2336="","",IF(NOT(ISNUMBER(R2336)),"NO DATE",IF(S2336="Won",IF(R2336&gt;Settings!$B$5,"Backlog","Delivered"),IF(S2336="Open",IF(R2336&gt;Settings!$B$5,"Pipeline","Overdue"),IF(S2336="Lost","Lost","UNMAPPED")))))</f>
        <v/>
      </c>
      <c r="U2336" s="40" t="n">
        <f aca="false">IF(T2336="Backlog",1,IF(OR(T2336="Pipeline",T2336="Overdue"),N(INDEX(Settings!$C$27:$C$36,MATCH(L2336,Settings!$A$27:$A$36,0))),0))</f>
        <v>0</v>
      </c>
      <c r="V2336" s="38" t="n">
        <f aca="false">Q2336*U2336</f>
        <v>0</v>
      </c>
      <c r="W2336" s="41" t="str">
        <f aca="false">IF($M2336="","",IF(T2336="Overdue",IF(Settings!$B$8="Yes",Settings!$B$7,""),IF(ISNUMBER(R2336),DATE(YEAR(R2336),MONTH(R2336),1),"")))</f>
        <v/>
      </c>
      <c r="X2336" s="38" t="n">
        <f aca="false">IF(AND(OR(T2336="Backlog",T2336="Pipeline",T2336="Overdue"),ISNUMBER(W2336)),IF(W2336&lt;=Settings!$B$6,V2336,0),0)</f>
        <v>0</v>
      </c>
      <c r="Y2336" s="38" t="n">
        <f aca="false">IF(AND(OR(T2336="Backlog",T2336="Pipeline",T2336="Overdue"),ISNUMBER(W2336)),IF(W2336&lt;=Settings!$B$6,Q2336,0),0)</f>
        <v>0</v>
      </c>
      <c r="Z2336" s="38" t="n">
        <f aca="false">IF(Y2336=0,0,IF(T2336="Backlog",Q2336,Q2336*Dashboard!$C$10))</f>
        <v>0</v>
      </c>
      <c r="AA2336" s="37" t="n">
        <f aca="false">IF($N2336="",0,IF(COUNTIF(Dashboard!$C$13:$C$22,$N2336)&gt;0,1,0))</f>
        <v>0</v>
      </c>
      <c r="AB2336" s="37" t="str">
        <f aca="false">IF($N2336="","",IF(COUNTIF($N$8:$N2336,$N2336)=1,MAX($AB$7:$AB2335)+1,""))</f>
        <v/>
      </c>
    </row>
    <row r="2337" customFormat="false" ht="15" hidden="false" customHeight="false" outlineLevel="0" collapsed="false">
      <c r="L2337" s="37" t="str">
        <f aca="false">IF(INDEX($A2337:$J2337,$L$6)&lt;&gt;"",TRIM(LEFT(INDEX($A2337:$J2337,$L$6),FIND("(",INDEX($A2337:$J2337,$L$6)&amp;"(")-1)),L2336)</f>
        <v>Building Value Proposition</v>
      </c>
      <c r="M2337" s="37" t="str">
        <f aca="false">IF(INDEX($A2337:$J2337,$M$6)="","",INDEX($A2337:$J2337,$M$6)&amp;"")</f>
        <v/>
      </c>
      <c r="N2337" s="37" t="str">
        <f aca="false">IF($M2337="","",TRIM(INDEX($A2337:$J2337,$N$6)&amp;""))</f>
        <v/>
      </c>
      <c r="O2337" s="37" t="str">
        <f aca="false">IF($M2337="","",TRIM(INDEX($A2337:$J2337,$O$6)&amp;""))</f>
        <v/>
      </c>
      <c r="P2337" s="37" t="str">
        <f aca="false">IF($M2337="","",IFERROR(IF(INDEX(Settings!$B$41:$B$50,MATCH(O2337,Settings!$A$41:$A$50,0))&amp;""="","UNMAPPED",INDEX(Settings!$B$41:$B$50,MATCH(O2337,Settings!$A$41:$A$50,0))&amp;""),"UNMAPPED"))</f>
        <v/>
      </c>
      <c r="Q2337" s="38" t="n">
        <f aca="false">IF($M2337="",0,N(INDEX($A2337:$J2337,$Q$6)))</f>
        <v>0</v>
      </c>
      <c r="R2337" s="39" t="str">
        <f aca="false">IF($M2337="","",INDEX($A2337:$J2337,$R$6))</f>
        <v/>
      </c>
      <c r="S2337" s="37" t="str">
        <f aca="false">IF($M2337="","",IFERROR(INDEX(Settings!$B$27:$B$36,MATCH(L2337,Settings!$A$27:$A$36,0))&amp;"","UNMAPPED"))</f>
        <v/>
      </c>
      <c r="T2337" s="37" t="str">
        <f aca="false">IF($M2337="","",IF(NOT(ISNUMBER(R2337)),"NO DATE",IF(S2337="Won",IF(R2337&gt;Settings!$B$5,"Backlog","Delivered"),IF(S2337="Open",IF(R2337&gt;Settings!$B$5,"Pipeline","Overdue"),IF(S2337="Lost","Lost","UNMAPPED")))))</f>
        <v/>
      </c>
      <c r="U2337" s="40" t="n">
        <f aca="false">IF(T2337="Backlog",1,IF(OR(T2337="Pipeline",T2337="Overdue"),N(INDEX(Settings!$C$27:$C$36,MATCH(L2337,Settings!$A$27:$A$36,0))),0))</f>
        <v>0</v>
      </c>
      <c r="V2337" s="38" t="n">
        <f aca="false">Q2337*U2337</f>
        <v>0</v>
      </c>
      <c r="W2337" s="41" t="str">
        <f aca="false">IF($M2337="","",IF(T2337="Overdue",IF(Settings!$B$8="Yes",Settings!$B$7,""),IF(ISNUMBER(R2337),DATE(YEAR(R2337),MONTH(R2337),1),"")))</f>
        <v/>
      </c>
      <c r="X2337" s="38" t="n">
        <f aca="false">IF(AND(OR(T2337="Backlog",T2337="Pipeline",T2337="Overdue"),ISNUMBER(W2337)),IF(W2337&lt;=Settings!$B$6,V2337,0),0)</f>
        <v>0</v>
      </c>
      <c r="Y2337" s="38" t="n">
        <f aca="false">IF(AND(OR(T2337="Backlog",T2337="Pipeline",T2337="Overdue"),ISNUMBER(W2337)),IF(W2337&lt;=Settings!$B$6,Q2337,0),0)</f>
        <v>0</v>
      </c>
      <c r="Z2337" s="38" t="n">
        <f aca="false">IF(Y2337=0,0,IF(T2337="Backlog",Q2337,Q2337*Dashboard!$C$10))</f>
        <v>0</v>
      </c>
      <c r="AA2337" s="37" t="n">
        <f aca="false">IF($N2337="",0,IF(COUNTIF(Dashboard!$C$13:$C$22,$N2337)&gt;0,1,0))</f>
        <v>0</v>
      </c>
      <c r="AB2337" s="37" t="str">
        <f aca="false">IF($N2337="","",IF(COUNTIF($N$8:$N2337,$N2337)=1,MAX($AB$7:$AB2336)+1,""))</f>
        <v/>
      </c>
    </row>
    <row r="2338" customFormat="false" ht="15" hidden="false" customHeight="false" outlineLevel="0" collapsed="false">
      <c r="L2338" s="37" t="str">
        <f aca="false">IF(INDEX($A2338:$J2338,$L$6)&lt;&gt;"",TRIM(LEFT(INDEX($A2338:$J2338,$L$6),FIND("(",INDEX($A2338:$J2338,$L$6)&amp;"(")-1)),L2337)</f>
        <v>Building Value Proposition</v>
      </c>
      <c r="M2338" s="37" t="str">
        <f aca="false">IF(INDEX($A2338:$J2338,$M$6)="","",INDEX($A2338:$J2338,$M$6)&amp;"")</f>
        <v/>
      </c>
      <c r="N2338" s="37" t="str">
        <f aca="false">IF($M2338="","",TRIM(INDEX($A2338:$J2338,$N$6)&amp;""))</f>
        <v/>
      </c>
      <c r="O2338" s="37" t="str">
        <f aca="false">IF($M2338="","",TRIM(INDEX($A2338:$J2338,$O$6)&amp;""))</f>
        <v/>
      </c>
      <c r="P2338" s="37" t="str">
        <f aca="false">IF($M2338="","",IFERROR(IF(INDEX(Settings!$B$41:$B$50,MATCH(O2338,Settings!$A$41:$A$50,0))&amp;""="","UNMAPPED",INDEX(Settings!$B$41:$B$50,MATCH(O2338,Settings!$A$41:$A$50,0))&amp;""),"UNMAPPED"))</f>
        <v/>
      </c>
      <c r="Q2338" s="38" t="n">
        <f aca="false">IF($M2338="",0,N(INDEX($A2338:$J2338,$Q$6)))</f>
        <v>0</v>
      </c>
      <c r="R2338" s="39" t="str">
        <f aca="false">IF($M2338="","",INDEX($A2338:$J2338,$R$6))</f>
        <v/>
      </c>
      <c r="S2338" s="37" t="str">
        <f aca="false">IF($M2338="","",IFERROR(INDEX(Settings!$B$27:$B$36,MATCH(L2338,Settings!$A$27:$A$36,0))&amp;"","UNMAPPED"))</f>
        <v/>
      </c>
      <c r="T2338" s="37" t="str">
        <f aca="false">IF($M2338="","",IF(NOT(ISNUMBER(R2338)),"NO DATE",IF(S2338="Won",IF(R2338&gt;Settings!$B$5,"Backlog","Delivered"),IF(S2338="Open",IF(R2338&gt;Settings!$B$5,"Pipeline","Overdue"),IF(S2338="Lost","Lost","UNMAPPED")))))</f>
        <v/>
      </c>
      <c r="U2338" s="40" t="n">
        <f aca="false">IF(T2338="Backlog",1,IF(OR(T2338="Pipeline",T2338="Overdue"),N(INDEX(Settings!$C$27:$C$36,MATCH(L2338,Settings!$A$27:$A$36,0))),0))</f>
        <v>0</v>
      </c>
      <c r="V2338" s="38" t="n">
        <f aca="false">Q2338*U2338</f>
        <v>0</v>
      </c>
      <c r="W2338" s="41" t="str">
        <f aca="false">IF($M2338="","",IF(T2338="Overdue",IF(Settings!$B$8="Yes",Settings!$B$7,""),IF(ISNUMBER(R2338),DATE(YEAR(R2338),MONTH(R2338),1),"")))</f>
        <v/>
      </c>
      <c r="X2338" s="38" t="n">
        <f aca="false">IF(AND(OR(T2338="Backlog",T2338="Pipeline",T2338="Overdue"),ISNUMBER(W2338)),IF(W2338&lt;=Settings!$B$6,V2338,0),0)</f>
        <v>0</v>
      </c>
      <c r="Y2338" s="38" t="n">
        <f aca="false">IF(AND(OR(T2338="Backlog",T2338="Pipeline",T2338="Overdue"),ISNUMBER(W2338)),IF(W2338&lt;=Settings!$B$6,Q2338,0),0)</f>
        <v>0</v>
      </c>
      <c r="Z2338" s="38" t="n">
        <f aca="false">IF(Y2338=0,0,IF(T2338="Backlog",Q2338,Q2338*Dashboard!$C$10))</f>
        <v>0</v>
      </c>
      <c r="AA2338" s="37" t="n">
        <f aca="false">IF($N2338="",0,IF(COUNTIF(Dashboard!$C$13:$C$22,$N2338)&gt;0,1,0))</f>
        <v>0</v>
      </c>
      <c r="AB2338" s="37" t="str">
        <f aca="false">IF($N2338="","",IF(COUNTIF($N$8:$N2338,$N2338)=1,MAX($AB$7:$AB2337)+1,""))</f>
        <v/>
      </c>
    </row>
    <row r="2339" customFormat="false" ht="15" hidden="false" customHeight="false" outlineLevel="0" collapsed="false">
      <c r="L2339" s="37" t="str">
        <f aca="false">IF(INDEX($A2339:$J2339,$L$6)&lt;&gt;"",TRIM(LEFT(INDEX($A2339:$J2339,$L$6),FIND("(",INDEX($A2339:$J2339,$L$6)&amp;"(")-1)),L2338)</f>
        <v>Building Value Proposition</v>
      </c>
      <c r="M2339" s="37" t="str">
        <f aca="false">IF(INDEX($A2339:$J2339,$M$6)="","",INDEX($A2339:$J2339,$M$6)&amp;"")</f>
        <v/>
      </c>
      <c r="N2339" s="37" t="str">
        <f aca="false">IF($M2339="","",TRIM(INDEX($A2339:$J2339,$N$6)&amp;""))</f>
        <v/>
      </c>
      <c r="O2339" s="37" t="str">
        <f aca="false">IF($M2339="","",TRIM(INDEX($A2339:$J2339,$O$6)&amp;""))</f>
        <v/>
      </c>
      <c r="P2339" s="37" t="str">
        <f aca="false">IF($M2339="","",IFERROR(IF(INDEX(Settings!$B$41:$B$50,MATCH(O2339,Settings!$A$41:$A$50,0))&amp;""="","UNMAPPED",INDEX(Settings!$B$41:$B$50,MATCH(O2339,Settings!$A$41:$A$50,0))&amp;""),"UNMAPPED"))</f>
        <v/>
      </c>
      <c r="Q2339" s="38" t="n">
        <f aca="false">IF($M2339="",0,N(INDEX($A2339:$J2339,$Q$6)))</f>
        <v>0</v>
      </c>
      <c r="R2339" s="39" t="str">
        <f aca="false">IF($M2339="","",INDEX($A2339:$J2339,$R$6))</f>
        <v/>
      </c>
      <c r="S2339" s="37" t="str">
        <f aca="false">IF($M2339="","",IFERROR(INDEX(Settings!$B$27:$B$36,MATCH(L2339,Settings!$A$27:$A$36,0))&amp;"","UNMAPPED"))</f>
        <v/>
      </c>
      <c r="T2339" s="37" t="str">
        <f aca="false">IF($M2339="","",IF(NOT(ISNUMBER(R2339)),"NO DATE",IF(S2339="Won",IF(R2339&gt;Settings!$B$5,"Backlog","Delivered"),IF(S2339="Open",IF(R2339&gt;Settings!$B$5,"Pipeline","Overdue"),IF(S2339="Lost","Lost","UNMAPPED")))))</f>
        <v/>
      </c>
      <c r="U2339" s="40" t="n">
        <f aca="false">IF(T2339="Backlog",1,IF(OR(T2339="Pipeline",T2339="Overdue"),N(INDEX(Settings!$C$27:$C$36,MATCH(L2339,Settings!$A$27:$A$36,0))),0))</f>
        <v>0</v>
      </c>
      <c r="V2339" s="38" t="n">
        <f aca="false">Q2339*U2339</f>
        <v>0</v>
      </c>
      <c r="W2339" s="41" t="str">
        <f aca="false">IF($M2339="","",IF(T2339="Overdue",IF(Settings!$B$8="Yes",Settings!$B$7,""),IF(ISNUMBER(R2339),DATE(YEAR(R2339),MONTH(R2339),1),"")))</f>
        <v/>
      </c>
      <c r="X2339" s="38" t="n">
        <f aca="false">IF(AND(OR(T2339="Backlog",T2339="Pipeline",T2339="Overdue"),ISNUMBER(W2339)),IF(W2339&lt;=Settings!$B$6,V2339,0),0)</f>
        <v>0</v>
      </c>
      <c r="Y2339" s="38" t="n">
        <f aca="false">IF(AND(OR(T2339="Backlog",T2339="Pipeline",T2339="Overdue"),ISNUMBER(W2339)),IF(W2339&lt;=Settings!$B$6,Q2339,0),0)</f>
        <v>0</v>
      </c>
      <c r="Z2339" s="38" t="n">
        <f aca="false">IF(Y2339=0,0,IF(T2339="Backlog",Q2339,Q2339*Dashboard!$C$10))</f>
        <v>0</v>
      </c>
      <c r="AA2339" s="37" t="n">
        <f aca="false">IF($N2339="",0,IF(COUNTIF(Dashboard!$C$13:$C$22,$N2339)&gt;0,1,0))</f>
        <v>0</v>
      </c>
      <c r="AB2339" s="37" t="str">
        <f aca="false">IF($N2339="","",IF(COUNTIF($N$8:$N2339,$N2339)=1,MAX($AB$7:$AB2338)+1,""))</f>
        <v/>
      </c>
    </row>
    <row r="2340" customFormat="false" ht="15" hidden="false" customHeight="false" outlineLevel="0" collapsed="false">
      <c r="L2340" s="37" t="str">
        <f aca="false">IF(INDEX($A2340:$J2340,$L$6)&lt;&gt;"",TRIM(LEFT(INDEX($A2340:$J2340,$L$6),FIND("(",INDEX($A2340:$J2340,$L$6)&amp;"(")-1)),L2339)</f>
        <v>Building Value Proposition</v>
      </c>
      <c r="M2340" s="37" t="str">
        <f aca="false">IF(INDEX($A2340:$J2340,$M$6)="","",INDEX($A2340:$J2340,$M$6)&amp;"")</f>
        <v/>
      </c>
      <c r="N2340" s="37" t="str">
        <f aca="false">IF($M2340="","",TRIM(INDEX($A2340:$J2340,$N$6)&amp;""))</f>
        <v/>
      </c>
      <c r="O2340" s="37" t="str">
        <f aca="false">IF($M2340="","",TRIM(INDEX($A2340:$J2340,$O$6)&amp;""))</f>
        <v/>
      </c>
      <c r="P2340" s="37" t="str">
        <f aca="false">IF($M2340="","",IFERROR(IF(INDEX(Settings!$B$41:$B$50,MATCH(O2340,Settings!$A$41:$A$50,0))&amp;""="","UNMAPPED",INDEX(Settings!$B$41:$B$50,MATCH(O2340,Settings!$A$41:$A$50,0))&amp;""),"UNMAPPED"))</f>
        <v/>
      </c>
      <c r="Q2340" s="38" t="n">
        <f aca="false">IF($M2340="",0,N(INDEX($A2340:$J2340,$Q$6)))</f>
        <v>0</v>
      </c>
      <c r="R2340" s="39" t="str">
        <f aca="false">IF($M2340="","",INDEX($A2340:$J2340,$R$6))</f>
        <v/>
      </c>
      <c r="S2340" s="37" t="str">
        <f aca="false">IF($M2340="","",IFERROR(INDEX(Settings!$B$27:$B$36,MATCH(L2340,Settings!$A$27:$A$36,0))&amp;"","UNMAPPED"))</f>
        <v/>
      </c>
      <c r="T2340" s="37" t="str">
        <f aca="false">IF($M2340="","",IF(NOT(ISNUMBER(R2340)),"NO DATE",IF(S2340="Won",IF(R2340&gt;Settings!$B$5,"Backlog","Delivered"),IF(S2340="Open",IF(R2340&gt;Settings!$B$5,"Pipeline","Overdue"),IF(S2340="Lost","Lost","UNMAPPED")))))</f>
        <v/>
      </c>
      <c r="U2340" s="40" t="n">
        <f aca="false">IF(T2340="Backlog",1,IF(OR(T2340="Pipeline",T2340="Overdue"),N(INDEX(Settings!$C$27:$C$36,MATCH(L2340,Settings!$A$27:$A$36,0))),0))</f>
        <v>0</v>
      </c>
      <c r="V2340" s="38" t="n">
        <f aca="false">Q2340*U2340</f>
        <v>0</v>
      </c>
      <c r="W2340" s="41" t="str">
        <f aca="false">IF($M2340="","",IF(T2340="Overdue",IF(Settings!$B$8="Yes",Settings!$B$7,""),IF(ISNUMBER(R2340),DATE(YEAR(R2340),MONTH(R2340),1),"")))</f>
        <v/>
      </c>
      <c r="X2340" s="38" t="n">
        <f aca="false">IF(AND(OR(T2340="Backlog",T2340="Pipeline",T2340="Overdue"),ISNUMBER(W2340)),IF(W2340&lt;=Settings!$B$6,V2340,0),0)</f>
        <v>0</v>
      </c>
      <c r="Y2340" s="38" t="n">
        <f aca="false">IF(AND(OR(T2340="Backlog",T2340="Pipeline",T2340="Overdue"),ISNUMBER(W2340)),IF(W2340&lt;=Settings!$B$6,Q2340,0),0)</f>
        <v>0</v>
      </c>
      <c r="Z2340" s="38" t="n">
        <f aca="false">IF(Y2340=0,0,IF(T2340="Backlog",Q2340,Q2340*Dashboard!$C$10))</f>
        <v>0</v>
      </c>
      <c r="AA2340" s="37" t="n">
        <f aca="false">IF($N2340="",0,IF(COUNTIF(Dashboard!$C$13:$C$22,$N2340)&gt;0,1,0))</f>
        <v>0</v>
      </c>
      <c r="AB2340" s="37" t="str">
        <f aca="false">IF($N2340="","",IF(COUNTIF($N$8:$N2340,$N2340)=1,MAX($AB$7:$AB2339)+1,""))</f>
        <v/>
      </c>
    </row>
    <row r="2341" customFormat="false" ht="15" hidden="false" customHeight="false" outlineLevel="0" collapsed="false">
      <c r="L2341" s="37" t="str">
        <f aca="false">IF(INDEX($A2341:$J2341,$L$6)&lt;&gt;"",TRIM(LEFT(INDEX($A2341:$J2341,$L$6),FIND("(",INDEX($A2341:$J2341,$L$6)&amp;"(")-1)),L2340)</f>
        <v>Building Value Proposition</v>
      </c>
      <c r="M2341" s="37" t="str">
        <f aca="false">IF(INDEX($A2341:$J2341,$M$6)="","",INDEX($A2341:$J2341,$M$6)&amp;"")</f>
        <v/>
      </c>
      <c r="N2341" s="37" t="str">
        <f aca="false">IF($M2341="","",TRIM(INDEX($A2341:$J2341,$N$6)&amp;""))</f>
        <v/>
      </c>
      <c r="O2341" s="37" t="str">
        <f aca="false">IF($M2341="","",TRIM(INDEX($A2341:$J2341,$O$6)&amp;""))</f>
        <v/>
      </c>
      <c r="P2341" s="37" t="str">
        <f aca="false">IF($M2341="","",IFERROR(IF(INDEX(Settings!$B$41:$B$50,MATCH(O2341,Settings!$A$41:$A$50,0))&amp;""="","UNMAPPED",INDEX(Settings!$B$41:$B$50,MATCH(O2341,Settings!$A$41:$A$50,0))&amp;""),"UNMAPPED"))</f>
        <v/>
      </c>
      <c r="Q2341" s="38" t="n">
        <f aca="false">IF($M2341="",0,N(INDEX($A2341:$J2341,$Q$6)))</f>
        <v>0</v>
      </c>
      <c r="R2341" s="39" t="str">
        <f aca="false">IF($M2341="","",INDEX($A2341:$J2341,$R$6))</f>
        <v/>
      </c>
      <c r="S2341" s="37" t="str">
        <f aca="false">IF($M2341="","",IFERROR(INDEX(Settings!$B$27:$B$36,MATCH(L2341,Settings!$A$27:$A$36,0))&amp;"","UNMAPPED"))</f>
        <v/>
      </c>
      <c r="T2341" s="37" t="str">
        <f aca="false">IF($M2341="","",IF(NOT(ISNUMBER(R2341)),"NO DATE",IF(S2341="Won",IF(R2341&gt;Settings!$B$5,"Backlog","Delivered"),IF(S2341="Open",IF(R2341&gt;Settings!$B$5,"Pipeline","Overdue"),IF(S2341="Lost","Lost","UNMAPPED")))))</f>
        <v/>
      </c>
      <c r="U2341" s="40" t="n">
        <f aca="false">IF(T2341="Backlog",1,IF(OR(T2341="Pipeline",T2341="Overdue"),N(INDEX(Settings!$C$27:$C$36,MATCH(L2341,Settings!$A$27:$A$36,0))),0))</f>
        <v>0</v>
      </c>
      <c r="V2341" s="38" t="n">
        <f aca="false">Q2341*U2341</f>
        <v>0</v>
      </c>
      <c r="W2341" s="41" t="str">
        <f aca="false">IF($M2341="","",IF(T2341="Overdue",IF(Settings!$B$8="Yes",Settings!$B$7,""),IF(ISNUMBER(R2341),DATE(YEAR(R2341),MONTH(R2341),1),"")))</f>
        <v/>
      </c>
      <c r="X2341" s="38" t="n">
        <f aca="false">IF(AND(OR(T2341="Backlog",T2341="Pipeline",T2341="Overdue"),ISNUMBER(W2341)),IF(W2341&lt;=Settings!$B$6,V2341,0),0)</f>
        <v>0</v>
      </c>
      <c r="Y2341" s="38" t="n">
        <f aca="false">IF(AND(OR(T2341="Backlog",T2341="Pipeline",T2341="Overdue"),ISNUMBER(W2341)),IF(W2341&lt;=Settings!$B$6,Q2341,0),0)</f>
        <v>0</v>
      </c>
      <c r="Z2341" s="38" t="n">
        <f aca="false">IF(Y2341=0,0,IF(T2341="Backlog",Q2341,Q2341*Dashboard!$C$10))</f>
        <v>0</v>
      </c>
      <c r="AA2341" s="37" t="n">
        <f aca="false">IF($N2341="",0,IF(COUNTIF(Dashboard!$C$13:$C$22,$N2341)&gt;0,1,0))</f>
        <v>0</v>
      </c>
      <c r="AB2341" s="37" t="str">
        <f aca="false">IF($N2341="","",IF(COUNTIF($N$8:$N2341,$N2341)=1,MAX($AB$7:$AB2340)+1,""))</f>
        <v/>
      </c>
    </row>
    <row r="2342" customFormat="false" ht="15" hidden="false" customHeight="false" outlineLevel="0" collapsed="false">
      <c r="L2342" s="37" t="str">
        <f aca="false">IF(INDEX($A2342:$J2342,$L$6)&lt;&gt;"",TRIM(LEFT(INDEX($A2342:$J2342,$L$6),FIND("(",INDEX($A2342:$J2342,$L$6)&amp;"(")-1)),L2341)</f>
        <v>Building Value Proposition</v>
      </c>
      <c r="M2342" s="37" t="str">
        <f aca="false">IF(INDEX($A2342:$J2342,$M$6)="","",INDEX($A2342:$J2342,$M$6)&amp;"")</f>
        <v/>
      </c>
      <c r="N2342" s="37" t="str">
        <f aca="false">IF($M2342="","",TRIM(INDEX($A2342:$J2342,$N$6)&amp;""))</f>
        <v/>
      </c>
      <c r="O2342" s="37" t="str">
        <f aca="false">IF($M2342="","",TRIM(INDEX($A2342:$J2342,$O$6)&amp;""))</f>
        <v/>
      </c>
      <c r="P2342" s="37" t="str">
        <f aca="false">IF($M2342="","",IFERROR(IF(INDEX(Settings!$B$41:$B$50,MATCH(O2342,Settings!$A$41:$A$50,0))&amp;""="","UNMAPPED",INDEX(Settings!$B$41:$B$50,MATCH(O2342,Settings!$A$41:$A$50,0))&amp;""),"UNMAPPED"))</f>
        <v/>
      </c>
      <c r="Q2342" s="38" t="n">
        <f aca="false">IF($M2342="",0,N(INDEX($A2342:$J2342,$Q$6)))</f>
        <v>0</v>
      </c>
      <c r="R2342" s="39" t="str">
        <f aca="false">IF($M2342="","",INDEX($A2342:$J2342,$R$6))</f>
        <v/>
      </c>
      <c r="S2342" s="37" t="str">
        <f aca="false">IF($M2342="","",IFERROR(INDEX(Settings!$B$27:$B$36,MATCH(L2342,Settings!$A$27:$A$36,0))&amp;"","UNMAPPED"))</f>
        <v/>
      </c>
      <c r="T2342" s="37" t="str">
        <f aca="false">IF($M2342="","",IF(NOT(ISNUMBER(R2342)),"NO DATE",IF(S2342="Won",IF(R2342&gt;Settings!$B$5,"Backlog","Delivered"),IF(S2342="Open",IF(R2342&gt;Settings!$B$5,"Pipeline","Overdue"),IF(S2342="Lost","Lost","UNMAPPED")))))</f>
        <v/>
      </c>
      <c r="U2342" s="40" t="n">
        <f aca="false">IF(T2342="Backlog",1,IF(OR(T2342="Pipeline",T2342="Overdue"),N(INDEX(Settings!$C$27:$C$36,MATCH(L2342,Settings!$A$27:$A$36,0))),0))</f>
        <v>0</v>
      </c>
      <c r="V2342" s="38" t="n">
        <f aca="false">Q2342*U2342</f>
        <v>0</v>
      </c>
      <c r="W2342" s="41" t="str">
        <f aca="false">IF($M2342="","",IF(T2342="Overdue",IF(Settings!$B$8="Yes",Settings!$B$7,""),IF(ISNUMBER(R2342),DATE(YEAR(R2342),MONTH(R2342),1),"")))</f>
        <v/>
      </c>
      <c r="X2342" s="38" t="n">
        <f aca="false">IF(AND(OR(T2342="Backlog",T2342="Pipeline",T2342="Overdue"),ISNUMBER(W2342)),IF(W2342&lt;=Settings!$B$6,V2342,0),0)</f>
        <v>0</v>
      </c>
      <c r="Y2342" s="38" t="n">
        <f aca="false">IF(AND(OR(T2342="Backlog",T2342="Pipeline",T2342="Overdue"),ISNUMBER(W2342)),IF(W2342&lt;=Settings!$B$6,Q2342,0),0)</f>
        <v>0</v>
      </c>
      <c r="Z2342" s="38" t="n">
        <f aca="false">IF(Y2342=0,0,IF(T2342="Backlog",Q2342,Q2342*Dashboard!$C$10))</f>
        <v>0</v>
      </c>
      <c r="AA2342" s="37" t="n">
        <f aca="false">IF($N2342="",0,IF(COUNTIF(Dashboard!$C$13:$C$22,$N2342)&gt;0,1,0))</f>
        <v>0</v>
      </c>
      <c r="AB2342" s="37" t="str">
        <f aca="false">IF($N2342="","",IF(COUNTIF($N$8:$N2342,$N2342)=1,MAX($AB$7:$AB2341)+1,""))</f>
        <v/>
      </c>
    </row>
    <row r="2343" customFormat="false" ht="15" hidden="false" customHeight="false" outlineLevel="0" collapsed="false">
      <c r="L2343" s="37" t="str">
        <f aca="false">IF(INDEX($A2343:$J2343,$L$6)&lt;&gt;"",TRIM(LEFT(INDEX($A2343:$J2343,$L$6),FIND("(",INDEX($A2343:$J2343,$L$6)&amp;"(")-1)),L2342)</f>
        <v>Building Value Proposition</v>
      </c>
      <c r="M2343" s="37" t="str">
        <f aca="false">IF(INDEX($A2343:$J2343,$M$6)="","",INDEX($A2343:$J2343,$M$6)&amp;"")</f>
        <v/>
      </c>
      <c r="N2343" s="37" t="str">
        <f aca="false">IF($M2343="","",TRIM(INDEX($A2343:$J2343,$N$6)&amp;""))</f>
        <v/>
      </c>
      <c r="O2343" s="37" t="str">
        <f aca="false">IF($M2343="","",TRIM(INDEX($A2343:$J2343,$O$6)&amp;""))</f>
        <v/>
      </c>
      <c r="P2343" s="37" t="str">
        <f aca="false">IF($M2343="","",IFERROR(IF(INDEX(Settings!$B$41:$B$50,MATCH(O2343,Settings!$A$41:$A$50,0))&amp;""="","UNMAPPED",INDEX(Settings!$B$41:$B$50,MATCH(O2343,Settings!$A$41:$A$50,0))&amp;""),"UNMAPPED"))</f>
        <v/>
      </c>
      <c r="Q2343" s="38" t="n">
        <f aca="false">IF($M2343="",0,N(INDEX($A2343:$J2343,$Q$6)))</f>
        <v>0</v>
      </c>
      <c r="R2343" s="39" t="str">
        <f aca="false">IF($M2343="","",INDEX($A2343:$J2343,$R$6))</f>
        <v/>
      </c>
      <c r="S2343" s="37" t="str">
        <f aca="false">IF($M2343="","",IFERROR(INDEX(Settings!$B$27:$B$36,MATCH(L2343,Settings!$A$27:$A$36,0))&amp;"","UNMAPPED"))</f>
        <v/>
      </c>
      <c r="T2343" s="37" t="str">
        <f aca="false">IF($M2343="","",IF(NOT(ISNUMBER(R2343)),"NO DATE",IF(S2343="Won",IF(R2343&gt;Settings!$B$5,"Backlog","Delivered"),IF(S2343="Open",IF(R2343&gt;Settings!$B$5,"Pipeline","Overdue"),IF(S2343="Lost","Lost","UNMAPPED")))))</f>
        <v/>
      </c>
      <c r="U2343" s="40" t="n">
        <f aca="false">IF(T2343="Backlog",1,IF(OR(T2343="Pipeline",T2343="Overdue"),N(INDEX(Settings!$C$27:$C$36,MATCH(L2343,Settings!$A$27:$A$36,0))),0))</f>
        <v>0</v>
      </c>
      <c r="V2343" s="38" t="n">
        <f aca="false">Q2343*U2343</f>
        <v>0</v>
      </c>
      <c r="W2343" s="41" t="str">
        <f aca="false">IF($M2343="","",IF(T2343="Overdue",IF(Settings!$B$8="Yes",Settings!$B$7,""),IF(ISNUMBER(R2343),DATE(YEAR(R2343),MONTH(R2343),1),"")))</f>
        <v/>
      </c>
      <c r="X2343" s="38" t="n">
        <f aca="false">IF(AND(OR(T2343="Backlog",T2343="Pipeline",T2343="Overdue"),ISNUMBER(W2343)),IF(W2343&lt;=Settings!$B$6,V2343,0),0)</f>
        <v>0</v>
      </c>
      <c r="Y2343" s="38" t="n">
        <f aca="false">IF(AND(OR(T2343="Backlog",T2343="Pipeline",T2343="Overdue"),ISNUMBER(W2343)),IF(W2343&lt;=Settings!$B$6,Q2343,0),0)</f>
        <v>0</v>
      </c>
      <c r="Z2343" s="38" t="n">
        <f aca="false">IF(Y2343=0,0,IF(T2343="Backlog",Q2343,Q2343*Dashboard!$C$10))</f>
        <v>0</v>
      </c>
      <c r="AA2343" s="37" t="n">
        <f aca="false">IF($N2343="",0,IF(COUNTIF(Dashboard!$C$13:$C$22,$N2343)&gt;0,1,0))</f>
        <v>0</v>
      </c>
      <c r="AB2343" s="37" t="str">
        <f aca="false">IF($N2343="","",IF(COUNTIF($N$8:$N2343,$N2343)=1,MAX($AB$7:$AB2342)+1,""))</f>
        <v/>
      </c>
    </row>
    <row r="2344" customFormat="false" ht="15" hidden="false" customHeight="false" outlineLevel="0" collapsed="false">
      <c r="L2344" s="37" t="str">
        <f aca="false">IF(INDEX($A2344:$J2344,$L$6)&lt;&gt;"",TRIM(LEFT(INDEX($A2344:$J2344,$L$6),FIND("(",INDEX($A2344:$J2344,$L$6)&amp;"(")-1)),L2343)</f>
        <v>Building Value Proposition</v>
      </c>
      <c r="M2344" s="37" t="str">
        <f aca="false">IF(INDEX($A2344:$J2344,$M$6)="","",INDEX($A2344:$J2344,$M$6)&amp;"")</f>
        <v/>
      </c>
      <c r="N2344" s="37" t="str">
        <f aca="false">IF($M2344="","",TRIM(INDEX($A2344:$J2344,$N$6)&amp;""))</f>
        <v/>
      </c>
      <c r="O2344" s="37" t="str">
        <f aca="false">IF($M2344="","",TRIM(INDEX($A2344:$J2344,$O$6)&amp;""))</f>
        <v/>
      </c>
      <c r="P2344" s="37" t="str">
        <f aca="false">IF($M2344="","",IFERROR(IF(INDEX(Settings!$B$41:$B$50,MATCH(O2344,Settings!$A$41:$A$50,0))&amp;""="","UNMAPPED",INDEX(Settings!$B$41:$B$50,MATCH(O2344,Settings!$A$41:$A$50,0))&amp;""),"UNMAPPED"))</f>
        <v/>
      </c>
      <c r="Q2344" s="38" t="n">
        <f aca="false">IF($M2344="",0,N(INDEX($A2344:$J2344,$Q$6)))</f>
        <v>0</v>
      </c>
      <c r="R2344" s="39" t="str">
        <f aca="false">IF($M2344="","",INDEX($A2344:$J2344,$R$6))</f>
        <v/>
      </c>
      <c r="S2344" s="37" t="str">
        <f aca="false">IF($M2344="","",IFERROR(INDEX(Settings!$B$27:$B$36,MATCH(L2344,Settings!$A$27:$A$36,0))&amp;"","UNMAPPED"))</f>
        <v/>
      </c>
      <c r="T2344" s="37" t="str">
        <f aca="false">IF($M2344="","",IF(NOT(ISNUMBER(R2344)),"NO DATE",IF(S2344="Won",IF(R2344&gt;Settings!$B$5,"Backlog","Delivered"),IF(S2344="Open",IF(R2344&gt;Settings!$B$5,"Pipeline","Overdue"),IF(S2344="Lost","Lost","UNMAPPED")))))</f>
        <v/>
      </c>
      <c r="U2344" s="40" t="n">
        <f aca="false">IF(T2344="Backlog",1,IF(OR(T2344="Pipeline",T2344="Overdue"),N(INDEX(Settings!$C$27:$C$36,MATCH(L2344,Settings!$A$27:$A$36,0))),0))</f>
        <v>0</v>
      </c>
      <c r="V2344" s="38" t="n">
        <f aca="false">Q2344*U2344</f>
        <v>0</v>
      </c>
      <c r="W2344" s="41" t="str">
        <f aca="false">IF($M2344="","",IF(T2344="Overdue",IF(Settings!$B$8="Yes",Settings!$B$7,""),IF(ISNUMBER(R2344),DATE(YEAR(R2344),MONTH(R2344),1),"")))</f>
        <v/>
      </c>
      <c r="X2344" s="38" t="n">
        <f aca="false">IF(AND(OR(T2344="Backlog",T2344="Pipeline",T2344="Overdue"),ISNUMBER(W2344)),IF(W2344&lt;=Settings!$B$6,V2344,0),0)</f>
        <v>0</v>
      </c>
      <c r="Y2344" s="38" t="n">
        <f aca="false">IF(AND(OR(T2344="Backlog",T2344="Pipeline",T2344="Overdue"),ISNUMBER(W2344)),IF(W2344&lt;=Settings!$B$6,Q2344,0),0)</f>
        <v>0</v>
      </c>
      <c r="Z2344" s="38" t="n">
        <f aca="false">IF(Y2344=0,0,IF(T2344="Backlog",Q2344,Q2344*Dashboard!$C$10))</f>
        <v>0</v>
      </c>
      <c r="AA2344" s="37" t="n">
        <f aca="false">IF($N2344="",0,IF(COUNTIF(Dashboard!$C$13:$C$22,$N2344)&gt;0,1,0))</f>
        <v>0</v>
      </c>
      <c r="AB2344" s="37" t="str">
        <f aca="false">IF($N2344="","",IF(COUNTIF($N$8:$N2344,$N2344)=1,MAX($AB$7:$AB2343)+1,""))</f>
        <v/>
      </c>
    </row>
    <row r="2345" customFormat="false" ht="15" hidden="false" customHeight="false" outlineLevel="0" collapsed="false">
      <c r="L2345" s="37" t="str">
        <f aca="false">IF(INDEX($A2345:$J2345,$L$6)&lt;&gt;"",TRIM(LEFT(INDEX($A2345:$J2345,$L$6),FIND("(",INDEX($A2345:$J2345,$L$6)&amp;"(")-1)),L2344)</f>
        <v>Building Value Proposition</v>
      </c>
      <c r="M2345" s="37" t="str">
        <f aca="false">IF(INDEX($A2345:$J2345,$M$6)="","",INDEX($A2345:$J2345,$M$6)&amp;"")</f>
        <v/>
      </c>
      <c r="N2345" s="37" t="str">
        <f aca="false">IF($M2345="","",TRIM(INDEX($A2345:$J2345,$N$6)&amp;""))</f>
        <v/>
      </c>
      <c r="O2345" s="37" t="str">
        <f aca="false">IF($M2345="","",TRIM(INDEX($A2345:$J2345,$O$6)&amp;""))</f>
        <v/>
      </c>
      <c r="P2345" s="37" t="str">
        <f aca="false">IF($M2345="","",IFERROR(IF(INDEX(Settings!$B$41:$B$50,MATCH(O2345,Settings!$A$41:$A$50,0))&amp;""="","UNMAPPED",INDEX(Settings!$B$41:$B$50,MATCH(O2345,Settings!$A$41:$A$50,0))&amp;""),"UNMAPPED"))</f>
        <v/>
      </c>
      <c r="Q2345" s="38" t="n">
        <f aca="false">IF($M2345="",0,N(INDEX($A2345:$J2345,$Q$6)))</f>
        <v>0</v>
      </c>
      <c r="R2345" s="39" t="str">
        <f aca="false">IF($M2345="","",INDEX($A2345:$J2345,$R$6))</f>
        <v/>
      </c>
      <c r="S2345" s="37" t="str">
        <f aca="false">IF($M2345="","",IFERROR(INDEX(Settings!$B$27:$B$36,MATCH(L2345,Settings!$A$27:$A$36,0))&amp;"","UNMAPPED"))</f>
        <v/>
      </c>
      <c r="T2345" s="37" t="str">
        <f aca="false">IF($M2345="","",IF(NOT(ISNUMBER(R2345)),"NO DATE",IF(S2345="Won",IF(R2345&gt;Settings!$B$5,"Backlog","Delivered"),IF(S2345="Open",IF(R2345&gt;Settings!$B$5,"Pipeline","Overdue"),IF(S2345="Lost","Lost","UNMAPPED")))))</f>
        <v/>
      </c>
      <c r="U2345" s="40" t="n">
        <f aca="false">IF(T2345="Backlog",1,IF(OR(T2345="Pipeline",T2345="Overdue"),N(INDEX(Settings!$C$27:$C$36,MATCH(L2345,Settings!$A$27:$A$36,0))),0))</f>
        <v>0</v>
      </c>
      <c r="V2345" s="38" t="n">
        <f aca="false">Q2345*U2345</f>
        <v>0</v>
      </c>
      <c r="W2345" s="41" t="str">
        <f aca="false">IF($M2345="","",IF(T2345="Overdue",IF(Settings!$B$8="Yes",Settings!$B$7,""),IF(ISNUMBER(R2345),DATE(YEAR(R2345),MONTH(R2345),1),"")))</f>
        <v/>
      </c>
      <c r="X2345" s="38" t="n">
        <f aca="false">IF(AND(OR(T2345="Backlog",T2345="Pipeline",T2345="Overdue"),ISNUMBER(W2345)),IF(W2345&lt;=Settings!$B$6,V2345,0),0)</f>
        <v>0</v>
      </c>
      <c r="Y2345" s="38" t="n">
        <f aca="false">IF(AND(OR(T2345="Backlog",T2345="Pipeline",T2345="Overdue"),ISNUMBER(W2345)),IF(W2345&lt;=Settings!$B$6,Q2345,0),0)</f>
        <v>0</v>
      </c>
      <c r="Z2345" s="38" t="n">
        <f aca="false">IF(Y2345=0,0,IF(T2345="Backlog",Q2345,Q2345*Dashboard!$C$10))</f>
        <v>0</v>
      </c>
      <c r="AA2345" s="37" t="n">
        <f aca="false">IF($N2345="",0,IF(COUNTIF(Dashboard!$C$13:$C$22,$N2345)&gt;0,1,0))</f>
        <v>0</v>
      </c>
      <c r="AB2345" s="37" t="str">
        <f aca="false">IF($N2345="","",IF(COUNTIF($N$8:$N2345,$N2345)=1,MAX($AB$7:$AB2344)+1,""))</f>
        <v/>
      </c>
    </row>
    <row r="2346" customFormat="false" ht="15" hidden="false" customHeight="false" outlineLevel="0" collapsed="false">
      <c r="L2346" s="37" t="str">
        <f aca="false">IF(INDEX($A2346:$J2346,$L$6)&lt;&gt;"",TRIM(LEFT(INDEX($A2346:$J2346,$L$6),FIND("(",INDEX($A2346:$J2346,$L$6)&amp;"(")-1)),L2345)</f>
        <v>Building Value Proposition</v>
      </c>
      <c r="M2346" s="37" t="str">
        <f aca="false">IF(INDEX($A2346:$J2346,$M$6)="","",INDEX($A2346:$J2346,$M$6)&amp;"")</f>
        <v/>
      </c>
      <c r="N2346" s="37" t="str">
        <f aca="false">IF($M2346="","",TRIM(INDEX($A2346:$J2346,$N$6)&amp;""))</f>
        <v/>
      </c>
      <c r="O2346" s="37" t="str">
        <f aca="false">IF($M2346="","",TRIM(INDEX($A2346:$J2346,$O$6)&amp;""))</f>
        <v/>
      </c>
      <c r="P2346" s="37" t="str">
        <f aca="false">IF($M2346="","",IFERROR(IF(INDEX(Settings!$B$41:$B$50,MATCH(O2346,Settings!$A$41:$A$50,0))&amp;""="","UNMAPPED",INDEX(Settings!$B$41:$B$50,MATCH(O2346,Settings!$A$41:$A$50,0))&amp;""),"UNMAPPED"))</f>
        <v/>
      </c>
      <c r="Q2346" s="38" t="n">
        <f aca="false">IF($M2346="",0,N(INDEX($A2346:$J2346,$Q$6)))</f>
        <v>0</v>
      </c>
      <c r="R2346" s="39" t="str">
        <f aca="false">IF($M2346="","",INDEX($A2346:$J2346,$R$6))</f>
        <v/>
      </c>
      <c r="S2346" s="37" t="str">
        <f aca="false">IF($M2346="","",IFERROR(INDEX(Settings!$B$27:$B$36,MATCH(L2346,Settings!$A$27:$A$36,0))&amp;"","UNMAPPED"))</f>
        <v/>
      </c>
      <c r="T2346" s="37" t="str">
        <f aca="false">IF($M2346="","",IF(NOT(ISNUMBER(R2346)),"NO DATE",IF(S2346="Won",IF(R2346&gt;Settings!$B$5,"Backlog","Delivered"),IF(S2346="Open",IF(R2346&gt;Settings!$B$5,"Pipeline","Overdue"),IF(S2346="Lost","Lost","UNMAPPED")))))</f>
        <v/>
      </c>
      <c r="U2346" s="40" t="n">
        <f aca="false">IF(T2346="Backlog",1,IF(OR(T2346="Pipeline",T2346="Overdue"),N(INDEX(Settings!$C$27:$C$36,MATCH(L2346,Settings!$A$27:$A$36,0))),0))</f>
        <v>0</v>
      </c>
      <c r="V2346" s="38" t="n">
        <f aca="false">Q2346*U2346</f>
        <v>0</v>
      </c>
      <c r="W2346" s="41" t="str">
        <f aca="false">IF($M2346="","",IF(T2346="Overdue",IF(Settings!$B$8="Yes",Settings!$B$7,""),IF(ISNUMBER(R2346),DATE(YEAR(R2346),MONTH(R2346),1),"")))</f>
        <v/>
      </c>
      <c r="X2346" s="38" t="n">
        <f aca="false">IF(AND(OR(T2346="Backlog",T2346="Pipeline",T2346="Overdue"),ISNUMBER(W2346)),IF(W2346&lt;=Settings!$B$6,V2346,0),0)</f>
        <v>0</v>
      </c>
      <c r="Y2346" s="38" t="n">
        <f aca="false">IF(AND(OR(T2346="Backlog",T2346="Pipeline",T2346="Overdue"),ISNUMBER(W2346)),IF(W2346&lt;=Settings!$B$6,Q2346,0),0)</f>
        <v>0</v>
      </c>
      <c r="Z2346" s="38" t="n">
        <f aca="false">IF(Y2346=0,0,IF(T2346="Backlog",Q2346,Q2346*Dashboard!$C$10))</f>
        <v>0</v>
      </c>
      <c r="AA2346" s="37" t="n">
        <f aca="false">IF($N2346="",0,IF(COUNTIF(Dashboard!$C$13:$C$22,$N2346)&gt;0,1,0))</f>
        <v>0</v>
      </c>
      <c r="AB2346" s="37" t="str">
        <f aca="false">IF($N2346="","",IF(COUNTIF($N$8:$N2346,$N2346)=1,MAX($AB$7:$AB2345)+1,""))</f>
        <v/>
      </c>
    </row>
    <row r="2347" customFormat="false" ht="15" hidden="false" customHeight="false" outlineLevel="0" collapsed="false">
      <c r="L2347" s="37" t="str">
        <f aca="false">IF(INDEX($A2347:$J2347,$L$6)&lt;&gt;"",TRIM(LEFT(INDEX($A2347:$J2347,$L$6),FIND("(",INDEX($A2347:$J2347,$L$6)&amp;"(")-1)),L2346)</f>
        <v>Building Value Proposition</v>
      </c>
      <c r="M2347" s="37" t="str">
        <f aca="false">IF(INDEX($A2347:$J2347,$M$6)="","",INDEX($A2347:$J2347,$M$6)&amp;"")</f>
        <v/>
      </c>
      <c r="N2347" s="37" t="str">
        <f aca="false">IF($M2347="","",TRIM(INDEX($A2347:$J2347,$N$6)&amp;""))</f>
        <v/>
      </c>
      <c r="O2347" s="37" t="str">
        <f aca="false">IF($M2347="","",TRIM(INDEX($A2347:$J2347,$O$6)&amp;""))</f>
        <v/>
      </c>
      <c r="P2347" s="37" t="str">
        <f aca="false">IF($M2347="","",IFERROR(IF(INDEX(Settings!$B$41:$B$50,MATCH(O2347,Settings!$A$41:$A$50,0))&amp;""="","UNMAPPED",INDEX(Settings!$B$41:$B$50,MATCH(O2347,Settings!$A$41:$A$50,0))&amp;""),"UNMAPPED"))</f>
        <v/>
      </c>
      <c r="Q2347" s="38" t="n">
        <f aca="false">IF($M2347="",0,N(INDEX($A2347:$J2347,$Q$6)))</f>
        <v>0</v>
      </c>
      <c r="R2347" s="39" t="str">
        <f aca="false">IF($M2347="","",INDEX($A2347:$J2347,$R$6))</f>
        <v/>
      </c>
      <c r="S2347" s="37" t="str">
        <f aca="false">IF($M2347="","",IFERROR(INDEX(Settings!$B$27:$B$36,MATCH(L2347,Settings!$A$27:$A$36,0))&amp;"","UNMAPPED"))</f>
        <v/>
      </c>
      <c r="T2347" s="37" t="str">
        <f aca="false">IF($M2347="","",IF(NOT(ISNUMBER(R2347)),"NO DATE",IF(S2347="Won",IF(R2347&gt;Settings!$B$5,"Backlog","Delivered"),IF(S2347="Open",IF(R2347&gt;Settings!$B$5,"Pipeline","Overdue"),IF(S2347="Lost","Lost","UNMAPPED")))))</f>
        <v/>
      </c>
      <c r="U2347" s="40" t="n">
        <f aca="false">IF(T2347="Backlog",1,IF(OR(T2347="Pipeline",T2347="Overdue"),N(INDEX(Settings!$C$27:$C$36,MATCH(L2347,Settings!$A$27:$A$36,0))),0))</f>
        <v>0</v>
      </c>
      <c r="V2347" s="38" t="n">
        <f aca="false">Q2347*U2347</f>
        <v>0</v>
      </c>
      <c r="W2347" s="41" t="str">
        <f aca="false">IF($M2347="","",IF(T2347="Overdue",IF(Settings!$B$8="Yes",Settings!$B$7,""),IF(ISNUMBER(R2347),DATE(YEAR(R2347),MONTH(R2347),1),"")))</f>
        <v/>
      </c>
      <c r="X2347" s="38" t="n">
        <f aca="false">IF(AND(OR(T2347="Backlog",T2347="Pipeline",T2347="Overdue"),ISNUMBER(W2347)),IF(W2347&lt;=Settings!$B$6,V2347,0),0)</f>
        <v>0</v>
      </c>
      <c r="Y2347" s="38" t="n">
        <f aca="false">IF(AND(OR(T2347="Backlog",T2347="Pipeline",T2347="Overdue"),ISNUMBER(W2347)),IF(W2347&lt;=Settings!$B$6,Q2347,0),0)</f>
        <v>0</v>
      </c>
      <c r="Z2347" s="38" t="n">
        <f aca="false">IF(Y2347=0,0,IF(T2347="Backlog",Q2347,Q2347*Dashboard!$C$10))</f>
        <v>0</v>
      </c>
      <c r="AA2347" s="37" t="n">
        <f aca="false">IF($N2347="",0,IF(COUNTIF(Dashboard!$C$13:$C$22,$N2347)&gt;0,1,0))</f>
        <v>0</v>
      </c>
      <c r="AB2347" s="37" t="str">
        <f aca="false">IF($N2347="","",IF(COUNTIF($N$8:$N2347,$N2347)=1,MAX($AB$7:$AB2346)+1,""))</f>
        <v/>
      </c>
    </row>
    <row r="2348" customFormat="false" ht="15" hidden="false" customHeight="false" outlineLevel="0" collapsed="false">
      <c r="L2348" s="37" t="str">
        <f aca="false">IF(INDEX($A2348:$J2348,$L$6)&lt;&gt;"",TRIM(LEFT(INDEX($A2348:$J2348,$L$6),FIND("(",INDEX($A2348:$J2348,$L$6)&amp;"(")-1)),L2347)</f>
        <v>Building Value Proposition</v>
      </c>
      <c r="M2348" s="37" t="str">
        <f aca="false">IF(INDEX($A2348:$J2348,$M$6)="","",INDEX($A2348:$J2348,$M$6)&amp;"")</f>
        <v/>
      </c>
      <c r="N2348" s="37" t="str">
        <f aca="false">IF($M2348="","",TRIM(INDEX($A2348:$J2348,$N$6)&amp;""))</f>
        <v/>
      </c>
      <c r="O2348" s="37" t="str">
        <f aca="false">IF($M2348="","",TRIM(INDEX($A2348:$J2348,$O$6)&amp;""))</f>
        <v/>
      </c>
      <c r="P2348" s="37" t="str">
        <f aca="false">IF($M2348="","",IFERROR(IF(INDEX(Settings!$B$41:$B$50,MATCH(O2348,Settings!$A$41:$A$50,0))&amp;""="","UNMAPPED",INDEX(Settings!$B$41:$B$50,MATCH(O2348,Settings!$A$41:$A$50,0))&amp;""),"UNMAPPED"))</f>
        <v/>
      </c>
      <c r="Q2348" s="38" t="n">
        <f aca="false">IF($M2348="",0,N(INDEX($A2348:$J2348,$Q$6)))</f>
        <v>0</v>
      </c>
      <c r="R2348" s="39" t="str">
        <f aca="false">IF($M2348="","",INDEX($A2348:$J2348,$R$6))</f>
        <v/>
      </c>
      <c r="S2348" s="37" t="str">
        <f aca="false">IF($M2348="","",IFERROR(INDEX(Settings!$B$27:$B$36,MATCH(L2348,Settings!$A$27:$A$36,0))&amp;"","UNMAPPED"))</f>
        <v/>
      </c>
      <c r="T2348" s="37" t="str">
        <f aca="false">IF($M2348="","",IF(NOT(ISNUMBER(R2348)),"NO DATE",IF(S2348="Won",IF(R2348&gt;Settings!$B$5,"Backlog","Delivered"),IF(S2348="Open",IF(R2348&gt;Settings!$B$5,"Pipeline","Overdue"),IF(S2348="Lost","Lost","UNMAPPED")))))</f>
        <v/>
      </c>
      <c r="U2348" s="40" t="n">
        <f aca="false">IF(T2348="Backlog",1,IF(OR(T2348="Pipeline",T2348="Overdue"),N(INDEX(Settings!$C$27:$C$36,MATCH(L2348,Settings!$A$27:$A$36,0))),0))</f>
        <v>0</v>
      </c>
      <c r="V2348" s="38" t="n">
        <f aca="false">Q2348*U2348</f>
        <v>0</v>
      </c>
      <c r="W2348" s="41" t="str">
        <f aca="false">IF($M2348="","",IF(T2348="Overdue",IF(Settings!$B$8="Yes",Settings!$B$7,""),IF(ISNUMBER(R2348),DATE(YEAR(R2348),MONTH(R2348),1),"")))</f>
        <v/>
      </c>
      <c r="X2348" s="38" t="n">
        <f aca="false">IF(AND(OR(T2348="Backlog",T2348="Pipeline",T2348="Overdue"),ISNUMBER(W2348)),IF(W2348&lt;=Settings!$B$6,V2348,0),0)</f>
        <v>0</v>
      </c>
      <c r="Y2348" s="38" t="n">
        <f aca="false">IF(AND(OR(T2348="Backlog",T2348="Pipeline",T2348="Overdue"),ISNUMBER(W2348)),IF(W2348&lt;=Settings!$B$6,Q2348,0),0)</f>
        <v>0</v>
      </c>
      <c r="Z2348" s="38" t="n">
        <f aca="false">IF(Y2348=0,0,IF(T2348="Backlog",Q2348,Q2348*Dashboard!$C$10))</f>
        <v>0</v>
      </c>
      <c r="AA2348" s="37" t="n">
        <f aca="false">IF($N2348="",0,IF(COUNTIF(Dashboard!$C$13:$C$22,$N2348)&gt;0,1,0))</f>
        <v>0</v>
      </c>
      <c r="AB2348" s="37" t="str">
        <f aca="false">IF($N2348="","",IF(COUNTIF($N$8:$N2348,$N2348)=1,MAX($AB$7:$AB2347)+1,""))</f>
        <v/>
      </c>
    </row>
    <row r="2349" customFormat="false" ht="15" hidden="false" customHeight="false" outlineLevel="0" collapsed="false">
      <c r="L2349" s="37" t="str">
        <f aca="false">IF(INDEX($A2349:$J2349,$L$6)&lt;&gt;"",TRIM(LEFT(INDEX($A2349:$J2349,$L$6),FIND("(",INDEX($A2349:$J2349,$L$6)&amp;"(")-1)),L2348)</f>
        <v>Building Value Proposition</v>
      </c>
      <c r="M2349" s="37" t="str">
        <f aca="false">IF(INDEX($A2349:$J2349,$M$6)="","",INDEX($A2349:$J2349,$M$6)&amp;"")</f>
        <v/>
      </c>
      <c r="N2349" s="37" t="str">
        <f aca="false">IF($M2349="","",TRIM(INDEX($A2349:$J2349,$N$6)&amp;""))</f>
        <v/>
      </c>
      <c r="O2349" s="37" t="str">
        <f aca="false">IF($M2349="","",TRIM(INDEX($A2349:$J2349,$O$6)&amp;""))</f>
        <v/>
      </c>
      <c r="P2349" s="37" t="str">
        <f aca="false">IF($M2349="","",IFERROR(IF(INDEX(Settings!$B$41:$B$50,MATCH(O2349,Settings!$A$41:$A$50,0))&amp;""="","UNMAPPED",INDEX(Settings!$B$41:$B$50,MATCH(O2349,Settings!$A$41:$A$50,0))&amp;""),"UNMAPPED"))</f>
        <v/>
      </c>
      <c r="Q2349" s="38" t="n">
        <f aca="false">IF($M2349="",0,N(INDEX($A2349:$J2349,$Q$6)))</f>
        <v>0</v>
      </c>
      <c r="R2349" s="39" t="str">
        <f aca="false">IF($M2349="","",INDEX($A2349:$J2349,$R$6))</f>
        <v/>
      </c>
      <c r="S2349" s="37" t="str">
        <f aca="false">IF($M2349="","",IFERROR(INDEX(Settings!$B$27:$B$36,MATCH(L2349,Settings!$A$27:$A$36,0))&amp;"","UNMAPPED"))</f>
        <v/>
      </c>
      <c r="T2349" s="37" t="str">
        <f aca="false">IF($M2349="","",IF(NOT(ISNUMBER(R2349)),"NO DATE",IF(S2349="Won",IF(R2349&gt;Settings!$B$5,"Backlog","Delivered"),IF(S2349="Open",IF(R2349&gt;Settings!$B$5,"Pipeline","Overdue"),IF(S2349="Lost","Lost","UNMAPPED")))))</f>
        <v/>
      </c>
      <c r="U2349" s="40" t="n">
        <f aca="false">IF(T2349="Backlog",1,IF(OR(T2349="Pipeline",T2349="Overdue"),N(INDEX(Settings!$C$27:$C$36,MATCH(L2349,Settings!$A$27:$A$36,0))),0))</f>
        <v>0</v>
      </c>
      <c r="V2349" s="38" t="n">
        <f aca="false">Q2349*U2349</f>
        <v>0</v>
      </c>
      <c r="W2349" s="41" t="str">
        <f aca="false">IF($M2349="","",IF(T2349="Overdue",IF(Settings!$B$8="Yes",Settings!$B$7,""),IF(ISNUMBER(R2349),DATE(YEAR(R2349),MONTH(R2349),1),"")))</f>
        <v/>
      </c>
      <c r="X2349" s="38" t="n">
        <f aca="false">IF(AND(OR(T2349="Backlog",T2349="Pipeline",T2349="Overdue"),ISNUMBER(W2349)),IF(W2349&lt;=Settings!$B$6,V2349,0),0)</f>
        <v>0</v>
      </c>
      <c r="Y2349" s="38" t="n">
        <f aca="false">IF(AND(OR(T2349="Backlog",T2349="Pipeline",T2349="Overdue"),ISNUMBER(W2349)),IF(W2349&lt;=Settings!$B$6,Q2349,0),0)</f>
        <v>0</v>
      </c>
      <c r="Z2349" s="38" t="n">
        <f aca="false">IF(Y2349=0,0,IF(T2349="Backlog",Q2349,Q2349*Dashboard!$C$10))</f>
        <v>0</v>
      </c>
      <c r="AA2349" s="37" t="n">
        <f aca="false">IF($N2349="",0,IF(COUNTIF(Dashboard!$C$13:$C$22,$N2349)&gt;0,1,0))</f>
        <v>0</v>
      </c>
      <c r="AB2349" s="37" t="str">
        <f aca="false">IF($N2349="","",IF(COUNTIF($N$8:$N2349,$N2349)=1,MAX($AB$7:$AB2348)+1,""))</f>
        <v/>
      </c>
    </row>
    <row r="2350" customFormat="false" ht="15" hidden="false" customHeight="false" outlineLevel="0" collapsed="false">
      <c r="L2350" s="37" t="str">
        <f aca="false">IF(INDEX($A2350:$J2350,$L$6)&lt;&gt;"",TRIM(LEFT(INDEX($A2350:$J2350,$L$6),FIND("(",INDEX($A2350:$J2350,$L$6)&amp;"(")-1)),L2349)</f>
        <v>Building Value Proposition</v>
      </c>
      <c r="M2350" s="37" t="str">
        <f aca="false">IF(INDEX($A2350:$J2350,$M$6)="","",INDEX($A2350:$J2350,$M$6)&amp;"")</f>
        <v/>
      </c>
      <c r="N2350" s="37" t="str">
        <f aca="false">IF($M2350="","",TRIM(INDEX($A2350:$J2350,$N$6)&amp;""))</f>
        <v/>
      </c>
      <c r="O2350" s="37" t="str">
        <f aca="false">IF($M2350="","",TRIM(INDEX($A2350:$J2350,$O$6)&amp;""))</f>
        <v/>
      </c>
      <c r="P2350" s="37" t="str">
        <f aca="false">IF($M2350="","",IFERROR(IF(INDEX(Settings!$B$41:$B$50,MATCH(O2350,Settings!$A$41:$A$50,0))&amp;""="","UNMAPPED",INDEX(Settings!$B$41:$B$50,MATCH(O2350,Settings!$A$41:$A$50,0))&amp;""),"UNMAPPED"))</f>
        <v/>
      </c>
      <c r="Q2350" s="38" t="n">
        <f aca="false">IF($M2350="",0,N(INDEX($A2350:$J2350,$Q$6)))</f>
        <v>0</v>
      </c>
      <c r="R2350" s="39" t="str">
        <f aca="false">IF($M2350="","",INDEX($A2350:$J2350,$R$6))</f>
        <v/>
      </c>
      <c r="S2350" s="37" t="str">
        <f aca="false">IF($M2350="","",IFERROR(INDEX(Settings!$B$27:$B$36,MATCH(L2350,Settings!$A$27:$A$36,0))&amp;"","UNMAPPED"))</f>
        <v/>
      </c>
      <c r="T2350" s="37" t="str">
        <f aca="false">IF($M2350="","",IF(NOT(ISNUMBER(R2350)),"NO DATE",IF(S2350="Won",IF(R2350&gt;Settings!$B$5,"Backlog","Delivered"),IF(S2350="Open",IF(R2350&gt;Settings!$B$5,"Pipeline","Overdue"),IF(S2350="Lost","Lost","UNMAPPED")))))</f>
        <v/>
      </c>
      <c r="U2350" s="40" t="n">
        <f aca="false">IF(T2350="Backlog",1,IF(OR(T2350="Pipeline",T2350="Overdue"),N(INDEX(Settings!$C$27:$C$36,MATCH(L2350,Settings!$A$27:$A$36,0))),0))</f>
        <v>0</v>
      </c>
      <c r="V2350" s="38" t="n">
        <f aca="false">Q2350*U2350</f>
        <v>0</v>
      </c>
      <c r="W2350" s="41" t="str">
        <f aca="false">IF($M2350="","",IF(T2350="Overdue",IF(Settings!$B$8="Yes",Settings!$B$7,""),IF(ISNUMBER(R2350),DATE(YEAR(R2350),MONTH(R2350),1),"")))</f>
        <v/>
      </c>
      <c r="X2350" s="38" t="n">
        <f aca="false">IF(AND(OR(T2350="Backlog",T2350="Pipeline",T2350="Overdue"),ISNUMBER(W2350)),IF(W2350&lt;=Settings!$B$6,V2350,0),0)</f>
        <v>0</v>
      </c>
      <c r="Y2350" s="38" t="n">
        <f aca="false">IF(AND(OR(T2350="Backlog",T2350="Pipeline",T2350="Overdue"),ISNUMBER(W2350)),IF(W2350&lt;=Settings!$B$6,Q2350,0),0)</f>
        <v>0</v>
      </c>
      <c r="Z2350" s="38" t="n">
        <f aca="false">IF(Y2350=0,0,IF(T2350="Backlog",Q2350,Q2350*Dashboard!$C$10))</f>
        <v>0</v>
      </c>
      <c r="AA2350" s="37" t="n">
        <f aca="false">IF($N2350="",0,IF(COUNTIF(Dashboard!$C$13:$C$22,$N2350)&gt;0,1,0))</f>
        <v>0</v>
      </c>
      <c r="AB2350" s="37" t="str">
        <f aca="false">IF($N2350="","",IF(COUNTIF($N$8:$N2350,$N2350)=1,MAX($AB$7:$AB2349)+1,""))</f>
        <v/>
      </c>
    </row>
    <row r="2351" customFormat="false" ht="15" hidden="false" customHeight="false" outlineLevel="0" collapsed="false">
      <c r="L2351" s="37" t="str">
        <f aca="false">IF(INDEX($A2351:$J2351,$L$6)&lt;&gt;"",TRIM(LEFT(INDEX($A2351:$J2351,$L$6),FIND("(",INDEX($A2351:$J2351,$L$6)&amp;"(")-1)),L2350)</f>
        <v>Building Value Proposition</v>
      </c>
      <c r="M2351" s="37" t="str">
        <f aca="false">IF(INDEX($A2351:$J2351,$M$6)="","",INDEX($A2351:$J2351,$M$6)&amp;"")</f>
        <v/>
      </c>
      <c r="N2351" s="37" t="str">
        <f aca="false">IF($M2351="","",TRIM(INDEX($A2351:$J2351,$N$6)&amp;""))</f>
        <v/>
      </c>
      <c r="O2351" s="37" t="str">
        <f aca="false">IF($M2351="","",TRIM(INDEX($A2351:$J2351,$O$6)&amp;""))</f>
        <v/>
      </c>
      <c r="P2351" s="37" t="str">
        <f aca="false">IF($M2351="","",IFERROR(IF(INDEX(Settings!$B$41:$B$50,MATCH(O2351,Settings!$A$41:$A$50,0))&amp;""="","UNMAPPED",INDEX(Settings!$B$41:$B$50,MATCH(O2351,Settings!$A$41:$A$50,0))&amp;""),"UNMAPPED"))</f>
        <v/>
      </c>
      <c r="Q2351" s="38" t="n">
        <f aca="false">IF($M2351="",0,N(INDEX($A2351:$J2351,$Q$6)))</f>
        <v>0</v>
      </c>
      <c r="R2351" s="39" t="str">
        <f aca="false">IF($M2351="","",INDEX($A2351:$J2351,$R$6))</f>
        <v/>
      </c>
      <c r="S2351" s="37" t="str">
        <f aca="false">IF($M2351="","",IFERROR(INDEX(Settings!$B$27:$B$36,MATCH(L2351,Settings!$A$27:$A$36,0))&amp;"","UNMAPPED"))</f>
        <v/>
      </c>
      <c r="T2351" s="37" t="str">
        <f aca="false">IF($M2351="","",IF(NOT(ISNUMBER(R2351)),"NO DATE",IF(S2351="Won",IF(R2351&gt;Settings!$B$5,"Backlog","Delivered"),IF(S2351="Open",IF(R2351&gt;Settings!$B$5,"Pipeline","Overdue"),IF(S2351="Lost","Lost","UNMAPPED")))))</f>
        <v/>
      </c>
      <c r="U2351" s="40" t="n">
        <f aca="false">IF(T2351="Backlog",1,IF(OR(T2351="Pipeline",T2351="Overdue"),N(INDEX(Settings!$C$27:$C$36,MATCH(L2351,Settings!$A$27:$A$36,0))),0))</f>
        <v>0</v>
      </c>
      <c r="V2351" s="38" t="n">
        <f aca="false">Q2351*U2351</f>
        <v>0</v>
      </c>
      <c r="W2351" s="41" t="str">
        <f aca="false">IF($M2351="","",IF(T2351="Overdue",IF(Settings!$B$8="Yes",Settings!$B$7,""),IF(ISNUMBER(R2351),DATE(YEAR(R2351),MONTH(R2351),1),"")))</f>
        <v/>
      </c>
      <c r="X2351" s="38" t="n">
        <f aca="false">IF(AND(OR(T2351="Backlog",T2351="Pipeline",T2351="Overdue"),ISNUMBER(W2351)),IF(W2351&lt;=Settings!$B$6,V2351,0),0)</f>
        <v>0</v>
      </c>
      <c r="Y2351" s="38" t="n">
        <f aca="false">IF(AND(OR(T2351="Backlog",T2351="Pipeline",T2351="Overdue"),ISNUMBER(W2351)),IF(W2351&lt;=Settings!$B$6,Q2351,0),0)</f>
        <v>0</v>
      </c>
      <c r="Z2351" s="38" t="n">
        <f aca="false">IF(Y2351=0,0,IF(T2351="Backlog",Q2351,Q2351*Dashboard!$C$10))</f>
        <v>0</v>
      </c>
      <c r="AA2351" s="37" t="n">
        <f aca="false">IF($N2351="",0,IF(COUNTIF(Dashboard!$C$13:$C$22,$N2351)&gt;0,1,0))</f>
        <v>0</v>
      </c>
      <c r="AB2351" s="37" t="str">
        <f aca="false">IF($N2351="","",IF(COUNTIF($N$8:$N2351,$N2351)=1,MAX($AB$7:$AB2350)+1,""))</f>
        <v/>
      </c>
    </row>
    <row r="2352" customFormat="false" ht="15" hidden="false" customHeight="false" outlineLevel="0" collapsed="false">
      <c r="L2352" s="37" t="str">
        <f aca="false">IF(INDEX($A2352:$J2352,$L$6)&lt;&gt;"",TRIM(LEFT(INDEX($A2352:$J2352,$L$6),FIND("(",INDEX($A2352:$J2352,$L$6)&amp;"(")-1)),L2351)</f>
        <v>Building Value Proposition</v>
      </c>
      <c r="M2352" s="37" t="str">
        <f aca="false">IF(INDEX($A2352:$J2352,$M$6)="","",INDEX($A2352:$J2352,$M$6)&amp;"")</f>
        <v/>
      </c>
      <c r="N2352" s="37" t="str">
        <f aca="false">IF($M2352="","",TRIM(INDEX($A2352:$J2352,$N$6)&amp;""))</f>
        <v/>
      </c>
      <c r="O2352" s="37" t="str">
        <f aca="false">IF($M2352="","",TRIM(INDEX($A2352:$J2352,$O$6)&amp;""))</f>
        <v/>
      </c>
      <c r="P2352" s="37" t="str">
        <f aca="false">IF($M2352="","",IFERROR(IF(INDEX(Settings!$B$41:$B$50,MATCH(O2352,Settings!$A$41:$A$50,0))&amp;""="","UNMAPPED",INDEX(Settings!$B$41:$B$50,MATCH(O2352,Settings!$A$41:$A$50,0))&amp;""),"UNMAPPED"))</f>
        <v/>
      </c>
      <c r="Q2352" s="38" t="n">
        <f aca="false">IF($M2352="",0,N(INDEX($A2352:$J2352,$Q$6)))</f>
        <v>0</v>
      </c>
      <c r="R2352" s="39" t="str">
        <f aca="false">IF($M2352="","",INDEX($A2352:$J2352,$R$6))</f>
        <v/>
      </c>
      <c r="S2352" s="37" t="str">
        <f aca="false">IF($M2352="","",IFERROR(INDEX(Settings!$B$27:$B$36,MATCH(L2352,Settings!$A$27:$A$36,0))&amp;"","UNMAPPED"))</f>
        <v/>
      </c>
      <c r="T2352" s="37" t="str">
        <f aca="false">IF($M2352="","",IF(NOT(ISNUMBER(R2352)),"NO DATE",IF(S2352="Won",IF(R2352&gt;Settings!$B$5,"Backlog","Delivered"),IF(S2352="Open",IF(R2352&gt;Settings!$B$5,"Pipeline","Overdue"),IF(S2352="Lost","Lost","UNMAPPED")))))</f>
        <v/>
      </c>
      <c r="U2352" s="40" t="n">
        <f aca="false">IF(T2352="Backlog",1,IF(OR(T2352="Pipeline",T2352="Overdue"),N(INDEX(Settings!$C$27:$C$36,MATCH(L2352,Settings!$A$27:$A$36,0))),0))</f>
        <v>0</v>
      </c>
      <c r="V2352" s="38" t="n">
        <f aca="false">Q2352*U2352</f>
        <v>0</v>
      </c>
      <c r="W2352" s="41" t="str">
        <f aca="false">IF($M2352="","",IF(T2352="Overdue",IF(Settings!$B$8="Yes",Settings!$B$7,""),IF(ISNUMBER(R2352),DATE(YEAR(R2352),MONTH(R2352),1),"")))</f>
        <v/>
      </c>
      <c r="X2352" s="38" t="n">
        <f aca="false">IF(AND(OR(T2352="Backlog",T2352="Pipeline",T2352="Overdue"),ISNUMBER(W2352)),IF(W2352&lt;=Settings!$B$6,V2352,0),0)</f>
        <v>0</v>
      </c>
      <c r="Y2352" s="38" t="n">
        <f aca="false">IF(AND(OR(T2352="Backlog",T2352="Pipeline",T2352="Overdue"),ISNUMBER(W2352)),IF(W2352&lt;=Settings!$B$6,Q2352,0),0)</f>
        <v>0</v>
      </c>
      <c r="Z2352" s="38" t="n">
        <f aca="false">IF(Y2352=0,0,IF(T2352="Backlog",Q2352,Q2352*Dashboard!$C$10))</f>
        <v>0</v>
      </c>
      <c r="AA2352" s="37" t="n">
        <f aca="false">IF($N2352="",0,IF(COUNTIF(Dashboard!$C$13:$C$22,$N2352)&gt;0,1,0))</f>
        <v>0</v>
      </c>
      <c r="AB2352" s="37" t="str">
        <f aca="false">IF($N2352="","",IF(COUNTIF($N$8:$N2352,$N2352)=1,MAX($AB$7:$AB2351)+1,""))</f>
        <v/>
      </c>
    </row>
    <row r="2353" customFormat="false" ht="15" hidden="false" customHeight="false" outlineLevel="0" collapsed="false">
      <c r="L2353" s="37" t="str">
        <f aca="false">IF(INDEX($A2353:$J2353,$L$6)&lt;&gt;"",TRIM(LEFT(INDEX($A2353:$J2353,$L$6),FIND("(",INDEX($A2353:$J2353,$L$6)&amp;"(")-1)),L2352)</f>
        <v>Building Value Proposition</v>
      </c>
      <c r="M2353" s="37" t="str">
        <f aca="false">IF(INDEX($A2353:$J2353,$M$6)="","",INDEX($A2353:$J2353,$M$6)&amp;"")</f>
        <v/>
      </c>
      <c r="N2353" s="37" t="str">
        <f aca="false">IF($M2353="","",TRIM(INDEX($A2353:$J2353,$N$6)&amp;""))</f>
        <v/>
      </c>
      <c r="O2353" s="37" t="str">
        <f aca="false">IF($M2353="","",TRIM(INDEX($A2353:$J2353,$O$6)&amp;""))</f>
        <v/>
      </c>
      <c r="P2353" s="37" t="str">
        <f aca="false">IF($M2353="","",IFERROR(IF(INDEX(Settings!$B$41:$B$50,MATCH(O2353,Settings!$A$41:$A$50,0))&amp;""="","UNMAPPED",INDEX(Settings!$B$41:$B$50,MATCH(O2353,Settings!$A$41:$A$50,0))&amp;""),"UNMAPPED"))</f>
        <v/>
      </c>
      <c r="Q2353" s="38" t="n">
        <f aca="false">IF($M2353="",0,N(INDEX($A2353:$J2353,$Q$6)))</f>
        <v>0</v>
      </c>
      <c r="R2353" s="39" t="str">
        <f aca="false">IF($M2353="","",INDEX($A2353:$J2353,$R$6))</f>
        <v/>
      </c>
      <c r="S2353" s="37" t="str">
        <f aca="false">IF($M2353="","",IFERROR(INDEX(Settings!$B$27:$B$36,MATCH(L2353,Settings!$A$27:$A$36,0))&amp;"","UNMAPPED"))</f>
        <v/>
      </c>
      <c r="T2353" s="37" t="str">
        <f aca="false">IF($M2353="","",IF(NOT(ISNUMBER(R2353)),"NO DATE",IF(S2353="Won",IF(R2353&gt;Settings!$B$5,"Backlog","Delivered"),IF(S2353="Open",IF(R2353&gt;Settings!$B$5,"Pipeline","Overdue"),IF(S2353="Lost","Lost","UNMAPPED")))))</f>
        <v/>
      </c>
      <c r="U2353" s="40" t="n">
        <f aca="false">IF(T2353="Backlog",1,IF(OR(T2353="Pipeline",T2353="Overdue"),N(INDEX(Settings!$C$27:$C$36,MATCH(L2353,Settings!$A$27:$A$36,0))),0))</f>
        <v>0</v>
      </c>
      <c r="V2353" s="38" t="n">
        <f aca="false">Q2353*U2353</f>
        <v>0</v>
      </c>
      <c r="W2353" s="41" t="str">
        <f aca="false">IF($M2353="","",IF(T2353="Overdue",IF(Settings!$B$8="Yes",Settings!$B$7,""),IF(ISNUMBER(R2353),DATE(YEAR(R2353),MONTH(R2353),1),"")))</f>
        <v/>
      </c>
      <c r="X2353" s="38" t="n">
        <f aca="false">IF(AND(OR(T2353="Backlog",T2353="Pipeline",T2353="Overdue"),ISNUMBER(W2353)),IF(W2353&lt;=Settings!$B$6,V2353,0),0)</f>
        <v>0</v>
      </c>
      <c r="Y2353" s="38" t="n">
        <f aca="false">IF(AND(OR(T2353="Backlog",T2353="Pipeline",T2353="Overdue"),ISNUMBER(W2353)),IF(W2353&lt;=Settings!$B$6,Q2353,0),0)</f>
        <v>0</v>
      </c>
      <c r="Z2353" s="38" t="n">
        <f aca="false">IF(Y2353=0,0,IF(T2353="Backlog",Q2353,Q2353*Dashboard!$C$10))</f>
        <v>0</v>
      </c>
      <c r="AA2353" s="37" t="n">
        <f aca="false">IF($N2353="",0,IF(COUNTIF(Dashboard!$C$13:$C$22,$N2353)&gt;0,1,0))</f>
        <v>0</v>
      </c>
      <c r="AB2353" s="37" t="str">
        <f aca="false">IF($N2353="","",IF(COUNTIF($N$8:$N2353,$N2353)=1,MAX($AB$7:$AB2352)+1,""))</f>
        <v/>
      </c>
    </row>
    <row r="2354" customFormat="false" ht="15" hidden="false" customHeight="false" outlineLevel="0" collapsed="false">
      <c r="L2354" s="37" t="str">
        <f aca="false">IF(INDEX($A2354:$J2354,$L$6)&lt;&gt;"",TRIM(LEFT(INDEX($A2354:$J2354,$L$6),FIND("(",INDEX($A2354:$J2354,$L$6)&amp;"(")-1)),L2353)</f>
        <v>Building Value Proposition</v>
      </c>
      <c r="M2354" s="37" t="str">
        <f aca="false">IF(INDEX($A2354:$J2354,$M$6)="","",INDEX($A2354:$J2354,$M$6)&amp;"")</f>
        <v/>
      </c>
      <c r="N2354" s="37" t="str">
        <f aca="false">IF($M2354="","",TRIM(INDEX($A2354:$J2354,$N$6)&amp;""))</f>
        <v/>
      </c>
      <c r="O2354" s="37" t="str">
        <f aca="false">IF($M2354="","",TRIM(INDEX($A2354:$J2354,$O$6)&amp;""))</f>
        <v/>
      </c>
      <c r="P2354" s="37" t="str">
        <f aca="false">IF($M2354="","",IFERROR(IF(INDEX(Settings!$B$41:$B$50,MATCH(O2354,Settings!$A$41:$A$50,0))&amp;""="","UNMAPPED",INDEX(Settings!$B$41:$B$50,MATCH(O2354,Settings!$A$41:$A$50,0))&amp;""),"UNMAPPED"))</f>
        <v/>
      </c>
      <c r="Q2354" s="38" t="n">
        <f aca="false">IF($M2354="",0,N(INDEX($A2354:$J2354,$Q$6)))</f>
        <v>0</v>
      </c>
      <c r="R2354" s="39" t="str">
        <f aca="false">IF($M2354="","",INDEX($A2354:$J2354,$R$6))</f>
        <v/>
      </c>
      <c r="S2354" s="37" t="str">
        <f aca="false">IF($M2354="","",IFERROR(INDEX(Settings!$B$27:$B$36,MATCH(L2354,Settings!$A$27:$A$36,0))&amp;"","UNMAPPED"))</f>
        <v/>
      </c>
      <c r="T2354" s="37" t="str">
        <f aca="false">IF($M2354="","",IF(NOT(ISNUMBER(R2354)),"NO DATE",IF(S2354="Won",IF(R2354&gt;Settings!$B$5,"Backlog","Delivered"),IF(S2354="Open",IF(R2354&gt;Settings!$B$5,"Pipeline","Overdue"),IF(S2354="Lost","Lost","UNMAPPED")))))</f>
        <v/>
      </c>
      <c r="U2354" s="40" t="n">
        <f aca="false">IF(T2354="Backlog",1,IF(OR(T2354="Pipeline",T2354="Overdue"),N(INDEX(Settings!$C$27:$C$36,MATCH(L2354,Settings!$A$27:$A$36,0))),0))</f>
        <v>0</v>
      </c>
      <c r="V2354" s="38" t="n">
        <f aca="false">Q2354*U2354</f>
        <v>0</v>
      </c>
      <c r="W2354" s="41" t="str">
        <f aca="false">IF($M2354="","",IF(T2354="Overdue",IF(Settings!$B$8="Yes",Settings!$B$7,""),IF(ISNUMBER(R2354),DATE(YEAR(R2354),MONTH(R2354),1),"")))</f>
        <v/>
      </c>
      <c r="X2354" s="38" t="n">
        <f aca="false">IF(AND(OR(T2354="Backlog",T2354="Pipeline",T2354="Overdue"),ISNUMBER(W2354)),IF(W2354&lt;=Settings!$B$6,V2354,0),0)</f>
        <v>0</v>
      </c>
      <c r="Y2354" s="38" t="n">
        <f aca="false">IF(AND(OR(T2354="Backlog",T2354="Pipeline",T2354="Overdue"),ISNUMBER(W2354)),IF(W2354&lt;=Settings!$B$6,Q2354,0),0)</f>
        <v>0</v>
      </c>
      <c r="Z2354" s="38" t="n">
        <f aca="false">IF(Y2354=0,0,IF(T2354="Backlog",Q2354,Q2354*Dashboard!$C$10))</f>
        <v>0</v>
      </c>
      <c r="AA2354" s="37" t="n">
        <f aca="false">IF($N2354="",0,IF(COUNTIF(Dashboard!$C$13:$C$22,$N2354)&gt;0,1,0))</f>
        <v>0</v>
      </c>
      <c r="AB2354" s="37" t="str">
        <f aca="false">IF($N2354="","",IF(COUNTIF($N$8:$N2354,$N2354)=1,MAX($AB$7:$AB2353)+1,""))</f>
        <v/>
      </c>
    </row>
    <row r="2355" customFormat="false" ht="15" hidden="false" customHeight="false" outlineLevel="0" collapsed="false">
      <c r="L2355" s="37" t="str">
        <f aca="false">IF(INDEX($A2355:$J2355,$L$6)&lt;&gt;"",TRIM(LEFT(INDEX($A2355:$J2355,$L$6),FIND("(",INDEX($A2355:$J2355,$L$6)&amp;"(")-1)),L2354)</f>
        <v>Building Value Proposition</v>
      </c>
      <c r="M2355" s="37" t="str">
        <f aca="false">IF(INDEX($A2355:$J2355,$M$6)="","",INDEX($A2355:$J2355,$M$6)&amp;"")</f>
        <v/>
      </c>
      <c r="N2355" s="37" t="str">
        <f aca="false">IF($M2355="","",TRIM(INDEX($A2355:$J2355,$N$6)&amp;""))</f>
        <v/>
      </c>
      <c r="O2355" s="37" t="str">
        <f aca="false">IF($M2355="","",TRIM(INDEX($A2355:$J2355,$O$6)&amp;""))</f>
        <v/>
      </c>
      <c r="P2355" s="37" t="str">
        <f aca="false">IF($M2355="","",IFERROR(IF(INDEX(Settings!$B$41:$B$50,MATCH(O2355,Settings!$A$41:$A$50,0))&amp;""="","UNMAPPED",INDEX(Settings!$B$41:$B$50,MATCH(O2355,Settings!$A$41:$A$50,0))&amp;""),"UNMAPPED"))</f>
        <v/>
      </c>
      <c r="Q2355" s="38" t="n">
        <f aca="false">IF($M2355="",0,N(INDEX($A2355:$J2355,$Q$6)))</f>
        <v>0</v>
      </c>
      <c r="R2355" s="39" t="str">
        <f aca="false">IF($M2355="","",INDEX($A2355:$J2355,$R$6))</f>
        <v/>
      </c>
      <c r="S2355" s="37" t="str">
        <f aca="false">IF($M2355="","",IFERROR(INDEX(Settings!$B$27:$B$36,MATCH(L2355,Settings!$A$27:$A$36,0))&amp;"","UNMAPPED"))</f>
        <v/>
      </c>
      <c r="T2355" s="37" t="str">
        <f aca="false">IF($M2355="","",IF(NOT(ISNUMBER(R2355)),"NO DATE",IF(S2355="Won",IF(R2355&gt;Settings!$B$5,"Backlog","Delivered"),IF(S2355="Open",IF(R2355&gt;Settings!$B$5,"Pipeline","Overdue"),IF(S2355="Lost","Lost","UNMAPPED")))))</f>
        <v/>
      </c>
      <c r="U2355" s="40" t="n">
        <f aca="false">IF(T2355="Backlog",1,IF(OR(T2355="Pipeline",T2355="Overdue"),N(INDEX(Settings!$C$27:$C$36,MATCH(L2355,Settings!$A$27:$A$36,0))),0))</f>
        <v>0</v>
      </c>
      <c r="V2355" s="38" t="n">
        <f aca="false">Q2355*U2355</f>
        <v>0</v>
      </c>
      <c r="W2355" s="41" t="str">
        <f aca="false">IF($M2355="","",IF(T2355="Overdue",IF(Settings!$B$8="Yes",Settings!$B$7,""),IF(ISNUMBER(R2355),DATE(YEAR(R2355),MONTH(R2355),1),"")))</f>
        <v/>
      </c>
      <c r="X2355" s="38" t="n">
        <f aca="false">IF(AND(OR(T2355="Backlog",T2355="Pipeline",T2355="Overdue"),ISNUMBER(W2355)),IF(W2355&lt;=Settings!$B$6,V2355,0),0)</f>
        <v>0</v>
      </c>
      <c r="Y2355" s="38" t="n">
        <f aca="false">IF(AND(OR(T2355="Backlog",T2355="Pipeline",T2355="Overdue"),ISNUMBER(W2355)),IF(W2355&lt;=Settings!$B$6,Q2355,0),0)</f>
        <v>0</v>
      </c>
      <c r="Z2355" s="38" t="n">
        <f aca="false">IF(Y2355=0,0,IF(T2355="Backlog",Q2355,Q2355*Dashboard!$C$10))</f>
        <v>0</v>
      </c>
      <c r="AA2355" s="37" t="n">
        <f aca="false">IF($N2355="",0,IF(COUNTIF(Dashboard!$C$13:$C$22,$N2355)&gt;0,1,0))</f>
        <v>0</v>
      </c>
      <c r="AB2355" s="37" t="str">
        <f aca="false">IF($N2355="","",IF(COUNTIF($N$8:$N2355,$N2355)=1,MAX($AB$7:$AB2354)+1,""))</f>
        <v/>
      </c>
    </row>
    <row r="2356" customFormat="false" ht="15" hidden="false" customHeight="false" outlineLevel="0" collapsed="false">
      <c r="L2356" s="37" t="str">
        <f aca="false">IF(INDEX($A2356:$J2356,$L$6)&lt;&gt;"",TRIM(LEFT(INDEX($A2356:$J2356,$L$6),FIND("(",INDEX($A2356:$J2356,$L$6)&amp;"(")-1)),L2355)</f>
        <v>Building Value Proposition</v>
      </c>
      <c r="M2356" s="37" t="str">
        <f aca="false">IF(INDEX($A2356:$J2356,$M$6)="","",INDEX($A2356:$J2356,$M$6)&amp;"")</f>
        <v/>
      </c>
      <c r="N2356" s="37" t="str">
        <f aca="false">IF($M2356="","",TRIM(INDEX($A2356:$J2356,$N$6)&amp;""))</f>
        <v/>
      </c>
      <c r="O2356" s="37" t="str">
        <f aca="false">IF($M2356="","",TRIM(INDEX($A2356:$J2356,$O$6)&amp;""))</f>
        <v/>
      </c>
      <c r="P2356" s="37" t="str">
        <f aca="false">IF($M2356="","",IFERROR(IF(INDEX(Settings!$B$41:$B$50,MATCH(O2356,Settings!$A$41:$A$50,0))&amp;""="","UNMAPPED",INDEX(Settings!$B$41:$B$50,MATCH(O2356,Settings!$A$41:$A$50,0))&amp;""),"UNMAPPED"))</f>
        <v/>
      </c>
      <c r="Q2356" s="38" t="n">
        <f aca="false">IF($M2356="",0,N(INDEX($A2356:$J2356,$Q$6)))</f>
        <v>0</v>
      </c>
      <c r="R2356" s="39" t="str">
        <f aca="false">IF($M2356="","",INDEX($A2356:$J2356,$R$6))</f>
        <v/>
      </c>
      <c r="S2356" s="37" t="str">
        <f aca="false">IF($M2356="","",IFERROR(INDEX(Settings!$B$27:$B$36,MATCH(L2356,Settings!$A$27:$A$36,0))&amp;"","UNMAPPED"))</f>
        <v/>
      </c>
      <c r="T2356" s="37" t="str">
        <f aca="false">IF($M2356="","",IF(NOT(ISNUMBER(R2356)),"NO DATE",IF(S2356="Won",IF(R2356&gt;Settings!$B$5,"Backlog","Delivered"),IF(S2356="Open",IF(R2356&gt;Settings!$B$5,"Pipeline","Overdue"),IF(S2356="Lost","Lost","UNMAPPED")))))</f>
        <v/>
      </c>
      <c r="U2356" s="40" t="n">
        <f aca="false">IF(T2356="Backlog",1,IF(OR(T2356="Pipeline",T2356="Overdue"),N(INDEX(Settings!$C$27:$C$36,MATCH(L2356,Settings!$A$27:$A$36,0))),0))</f>
        <v>0</v>
      </c>
      <c r="V2356" s="38" t="n">
        <f aca="false">Q2356*U2356</f>
        <v>0</v>
      </c>
      <c r="W2356" s="41" t="str">
        <f aca="false">IF($M2356="","",IF(T2356="Overdue",IF(Settings!$B$8="Yes",Settings!$B$7,""),IF(ISNUMBER(R2356),DATE(YEAR(R2356),MONTH(R2356),1),"")))</f>
        <v/>
      </c>
      <c r="X2356" s="38" t="n">
        <f aca="false">IF(AND(OR(T2356="Backlog",T2356="Pipeline",T2356="Overdue"),ISNUMBER(W2356)),IF(W2356&lt;=Settings!$B$6,V2356,0),0)</f>
        <v>0</v>
      </c>
      <c r="Y2356" s="38" t="n">
        <f aca="false">IF(AND(OR(T2356="Backlog",T2356="Pipeline",T2356="Overdue"),ISNUMBER(W2356)),IF(W2356&lt;=Settings!$B$6,Q2356,0),0)</f>
        <v>0</v>
      </c>
      <c r="Z2356" s="38" t="n">
        <f aca="false">IF(Y2356=0,0,IF(T2356="Backlog",Q2356,Q2356*Dashboard!$C$10))</f>
        <v>0</v>
      </c>
      <c r="AA2356" s="37" t="n">
        <f aca="false">IF($N2356="",0,IF(COUNTIF(Dashboard!$C$13:$C$22,$N2356)&gt;0,1,0))</f>
        <v>0</v>
      </c>
      <c r="AB2356" s="37" t="str">
        <f aca="false">IF($N2356="","",IF(COUNTIF($N$8:$N2356,$N2356)=1,MAX($AB$7:$AB2355)+1,""))</f>
        <v/>
      </c>
    </row>
    <row r="2357" customFormat="false" ht="15" hidden="false" customHeight="false" outlineLevel="0" collapsed="false">
      <c r="L2357" s="37" t="str">
        <f aca="false">IF(INDEX($A2357:$J2357,$L$6)&lt;&gt;"",TRIM(LEFT(INDEX($A2357:$J2357,$L$6),FIND("(",INDEX($A2357:$J2357,$L$6)&amp;"(")-1)),L2356)</f>
        <v>Building Value Proposition</v>
      </c>
      <c r="M2357" s="37" t="str">
        <f aca="false">IF(INDEX($A2357:$J2357,$M$6)="","",INDEX($A2357:$J2357,$M$6)&amp;"")</f>
        <v/>
      </c>
      <c r="N2357" s="37" t="str">
        <f aca="false">IF($M2357="","",TRIM(INDEX($A2357:$J2357,$N$6)&amp;""))</f>
        <v/>
      </c>
      <c r="O2357" s="37" t="str">
        <f aca="false">IF($M2357="","",TRIM(INDEX($A2357:$J2357,$O$6)&amp;""))</f>
        <v/>
      </c>
      <c r="P2357" s="37" t="str">
        <f aca="false">IF($M2357="","",IFERROR(IF(INDEX(Settings!$B$41:$B$50,MATCH(O2357,Settings!$A$41:$A$50,0))&amp;""="","UNMAPPED",INDEX(Settings!$B$41:$B$50,MATCH(O2357,Settings!$A$41:$A$50,0))&amp;""),"UNMAPPED"))</f>
        <v/>
      </c>
      <c r="Q2357" s="38" t="n">
        <f aca="false">IF($M2357="",0,N(INDEX($A2357:$J2357,$Q$6)))</f>
        <v>0</v>
      </c>
      <c r="R2357" s="39" t="str">
        <f aca="false">IF($M2357="","",INDEX($A2357:$J2357,$R$6))</f>
        <v/>
      </c>
      <c r="S2357" s="37" t="str">
        <f aca="false">IF($M2357="","",IFERROR(INDEX(Settings!$B$27:$B$36,MATCH(L2357,Settings!$A$27:$A$36,0))&amp;"","UNMAPPED"))</f>
        <v/>
      </c>
      <c r="T2357" s="37" t="str">
        <f aca="false">IF($M2357="","",IF(NOT(ISNUMBER(R2357)),"NO DATE",IF(S2357="Won",IF(R2357&gt;Settings!$B$5,"Backlog","Delivered"),IF(S2357="Open",IF(R2357&gt;Settings!$B$5,"Pipeline","Overdue"),IF(S2357="Lost","Lost","UNMAPPED")))))</f>
        <v/>
      </c>
      <c r="U2357" s="40" t="n">
        <f aca="false">IF(T2357="Backlog",1,IF(OR(T2357="Pipeline",T2357="Overdue"),N(INDEX(Settings!$C$27:$C$36,MATCH(L2357,Settings!$A$27:$A$36,0))),0))</f>
        <v>0</v>
      </c>
      <c r="V2357" s="38" t="n">
        <f aca="false">Q2357*U2357</f>
        <v>0</v>
      </c>
      <c r="W2357" s="41" t="str">
        <f aca="false">IF($M2357="","",IF(T2357="Overdue",IF(Settings!$B$8="Yes",Settings!$B$7,""),IF(ISNUMBER(R2357),DATE(YEAR(R2357),MONTH(R2357),1),"")))</f>
        <v/>
      </c>
      <c r="X2357" s="38" t="n">
        <f aca="false">IF(AND(OR(T2357="Backlog",T2357="Pipeline",T2357="Overdue"),ISNUMBER(W2357)),IF(W2357&lt;=Settings!$B$6,V2357,0),0)</f>
        <v>0</v>
      </c>
      <c r="Y2357" s="38" t="n">
        <f aca="false">IF(AND(OR(T2357="Backlog",T2357="Pipeline",T2357="Overdue"),ISNUMBER(W2357)),IF(W2357&lt;=Settings!$B$6,Q2357,0),0)</f>
        <v>0</v>
      </c>
      <c r="Z2357" s="38" t="n">
        <f aca="false">IF(Y2357=0,0,IF(T2357="Backlog",Q2357,Q2357*Dashboard!$C$10))</f>
        <v>0</v>
      </c>
      <c r="AA2357" s="37" t="n">
        <f aca="false">IF($N2357="",0,IF(COUNTIF(Dashboard!$C$13:$C$22,$N2357)&gt;0,1,0))</f>
        <v>0</v>
      </c>
      <c r="AB2357" s="37" t="str">
        <f aca="false">IF($N2357="","",IF(COUNTIF($N$8:$N2357,$N2357)=1,MAX($AB$7:$AB2356)+1,""))</f>
        <v/>
      </c>
    </row>
    <row r="2358" customFormat="false" ht="15" hidden="false" customHeight="false" outlineLevel="0" collapsed="false">
      <c r="L2358" s="37" t="str">
        <f aca="false">IF(INDEX($A2358:$J2358,$L$6)&lt;&gt;"",TRIM(LEFT(INDEX($A2358:$J2358,$L$6),FIND("(",INDEX($A2358:$J2358,$L$6)&amp;"(")-1)),L2357)</f>
        <v>Building Value Proposition</v>
      </c>
      <c r="M2358" s="37" t="str">
        <f aca="false">IF(INDEX($A2358:$J2358,$M$6)="","",INDEX($A2358:$J2358,$M$6)&amp;"")</f>
        <v/>
      </c>
      <c r="N2358" s="37" t="str">
        <f aca="false">IF($M2358="","",TRIM(INDEX($A2358:$J2358,$N$6)&amp;""))</f>
        <v/>
      </c>
      <c r="O2358" s="37" t="str">
        <f aca="false">IF($M2358="","",TRIM(INDEX($A2358:$J2358,$O$6)&amp;""))</f>
        <v/>
      </c>
      <c r="P2358" s="37" t="str">
        <f aca="false">IF($M2358="","",IFERROR(IF(INDEX(Settings!$B$41:$B$50,MATCH(O2358,Settings!$A$41:$A$50,0))&amp;""="","UNMAPPED",INDEX(Settings!$B$41:$B$50,MATCH(O2358,Settings!$A$41:$A$50,0))&amp;""),"UNMAPPED"))</f>
        <v/>
      </c>
      <c r="Q2358" s="38" t="n">
        <f aca="false">IF($M2358="",0,N(INDEX($A2358:$J2358,$Q$6)))</f>
        <v>0</v>
      </c>
      <c r="R2358" s="39" t="str">
        <f aca="false">IF($M2358="","",INDEX($A2358:$J2358,$R$6))</f>
        <v/>
      </c>
      <c r="S2358" s="37" t="str">
        <f aca="false">IF($M2358="","",IFERROR(INDEX(Settings!$B$27:$B$36,MATCH(L2358,Settings!$A$27:$A$36,0))&amp;"","UNMAPPED"))</f>
        <v/>
      </c>
      <c r="T2358" s="37" t="str">
        <f aca="false">IF($M2358="","",IF(NOT(ISNUMBER(R2358)),"NO DATE",IF(S2358="Won",IF(R2358&gt;Settings!$B$5,"Backlog","Delivered"),IF(S2358="Open",IF(R2358&gt;Settings!$B$5,"Pipeline","Overdue"),IF(S2358="Lost","Lost","UNMAPPED")))))</f>
        <v/>
      </c>
      <c r="U2358" s="40" t="n">
        <f aca="false">IF(T2358="Backlog",1,IF(OR(T2358="Pipeline",T2358="Overdue"),N(INDEX(Settings!$C$27:$C$36,MATCH(L2358,Settings!$A$27:$A$36,0))),0))</f>
        <v>0</v>
      </c>
      <c r="V2358" s="38" t="n">
        <f aca="false">Q2358*U2358</f>
        <v>0</v>
      </c>
      <c r="W2358" s="41" t="str">
        <f aca="false">IF($M2358="","",IF(T2358="Overdue",IF(Settings!$B$8="Yes",Settings!$B$7,""),IF(ISNUMBER(R2358),DATE(YEAR(R2358),MONTH(R2358),1),"")))</f>
        <v/>
      </c>
      <c r="X2358" s="38" t="n">
        <f aca="false">IF(AND(OR(T2358="Backlog",T2358="Pipeline",T2358="Overdue"),ISNUMBER(W2358)),IF(W2358&lt;=Settings!$B$6,V2358,0),0)</f>
        <v>0</v>
      </c>
      <c r="Y2358" s="38" t="n">
        <f aca="false">IF(AND(OR(T2358="Backlog",T2358="Pipeline",T2358="Overdue"),ISNUMBER(W2358)),IF(W2358&lt;=Settings!$B$6,Q2358,0),0)</f>
        <v>0</v>
      </c>
      <c r="Z2358" s="38" t="n">
        <f aca="false">IF(Y2358=0,0,IF(T2358="Backlog",Q2358,Q2358*Dashboard!$C$10))</f>
        <v>0</v>
      </c>
      <c r="AA2358" s="37" t="n">
        <f aca="false">IF($N2358="",0,IF(COUNTIF(Dashboard!$C$13:$C$22,$N2358)&gt;0,1,0))</f>
        <v>0</v>
      </c>
      <c r="AB2358" s="37" t="str">
        <f aca="false">IF($N2358="","",IF(COUNTIF($N$8:$N2358,$N2358)=1,MAX($AB$7:$AB2357)+1,""))</f>
        <v/>
      </c>
    </row>
    <row r="2359" customFormat="false" ht="15" hidden="false" customHeight="false" outlineLevel="0" collapsed="false">
      <c r="L2359" s="37" t="str">
        <f aca="false">IF(INDEX($A2359:$J2359,$L$6)&lt;&gt;"",TRIM(LEFT(INDEX($A2359:$J2359,$L$6),FIND("(",INDEX($A2359:$J2359,$L$6)&amp;"(")-1)),L2358)</f>
        <v>Building Value Proposition</v>
      </c>
      <c r="M2359" s="37" t="str">
        <f aca="false">IF(INDEX($A2359:$J2359,$M$6)="","",INDEX($A2359:$J2359,$M$6)&amp;"")</f>
        <v/>
      </c>
      <c r="N2359" s="37" t="str">
        <f aca="false">IF($M2359="","",TRIM(INDEX($A2359:$J2359,$N$6)&amp;""))</f>
        <v/>
      </c>
      <c r="O2359" s="37" t="str">
        <f aca="false">IF($M2359="","",TRIM(INDEX($A2359:$J2359,$O$6)&amp;""))</f>
        <v/>
      </c>
      <c r="P2359" s="37" t="str">
        <f aca="false">IF($M2359="","",IFERROR(IF(INDEX(Settings!$B$41:$B$50,MATCH(O2359,Settings!$A$41:$A$50,0))&amp;""="","UNMAPPED",INDEX(Settings!$B$41:$B$50,MATCH(O2359,Settings!$A$41:$A$50,0))&amp;""),"UNMAPPED"))</f>
        <v/>
      </c>
      <c r="Q2359" s="38" t="n">
        <f aca="false">IF($M2359="",0,N(INDEX($A2359:$J2359,$Q$6)))</f>
        <v>0</v>
      </c>
      <c r="R2359" s="39" t="str">
        <f aca="false">IF($M2359="","",INDEX($A2359:$J2359,$R$6))</f>
        <v/>
      </c>
      <c r="S2359" s="37" t="str">
        <f aca="false">IF($M2359="","",IFERROR(INDEX(Settings!$B$27:$B$36,MATCH(L2359,Settings!$A$27:$A$36,0))&amp;"","UNMAPPED"))</f>
        <v/>
      </c>
      <c r="T2359" s="37" t="str">
        <f aca="false">IF($M2359="","",IF(NOT(ISNUMBER(R2359)),"NO DATE",IF(S2359="Won",IF(R2359&gt;Settings!$B$5,"Backlog","Delivered"),IF(S2359="Open",IF(R2359&gt;Settings!$B$5,"Pipeline","Overdue"),IF(S2359="Lost","Lost","UNMAPPED")))))</f>
        <v/>
      </c>
      <c r="U2359" s="40" t="n">
        <f aca="false">IF(T2359="Backlog",1,IF(OR(T2359="Pipeline",T2359="Overdue"),N(INDEX(Settings!$C$27:$C$36,MATCH(L2359,Settings!$A$27:$A$36,0))),0))</f>
        <v>0</v>
      </c>
      <c r="V2359" s="38" t="n">
        <f aca="false">Q2359*U2359</f>
        <v>0</v>
      </c>
      <c r="W2359" s="41" t="str">
        <f aca="false">IF($M2359="","",IF(T2359="Overdue",IF(Settings!$B$8="Yes",Settings!$B$7,""),IF(ISNUMBER(R2359),DATE(YEAR(R2359),MONTH(R2359),1),"")))</f>
        <v/>
      </c>
      <c r="X2359" s="38" t="n">
        <f aca="false">IF(AND(OR(T2359="Backlog",T2359="Pipeline",T2359="Overdue"),ISNUMBER(W2359)),IF(W2359&lt;=Settings!$B$6,V2359,0),0)</f>
        <v>0</v>
      </c>
      <c r="Y2359" s="38" t="n">
        <f aca="false">IF(AND(OR(T2359="Backlog",T2359="Pipeline",T2359="Overdue"),ISNUMBER(W2359)),IF(W2359&lt;=Settings!$B$6,Q2359,0),0)</f>
        <v>0</v>
      </c>
      <c r="Z2359" s="38" t="n">
        <f aca="false">IF(Y2359=0,0,IF(T2359="Backlog",Q2359,Q2359*Dashboard!$C$10))</f>
        <v>0</v>
      </c>
      <c r="AA2359" s="37" t="n">
        <f aca="false">IF($N2359="",0,IF(COUNTIF(Dashboard!$C$13:$C$22,$N2359)&gt;0,1,0))</f>
        <v>0</v>
      </c>
      <c r="AB2359" s="37" t="str">
        <f aca="false">IF($N2359="","",IF(COUNTIF($N$8:$N2359,$N2359)=1,MAX($AB$7:$AB2358)+1,""))</f>
        <v/>
      </c>
    </row>
    <row r="2360" customFormat="false" ht="15" hidden="false" customHeight="false" outlineLevel="0" collapsed="false">
      <c r="L2360" s="37" t="str">
        <f aca="false">IF(INDEX($A2360:$J2360,$L$6)&lt;&gt;"",TRIM(LEFT(INDEX($A2360:$J2360,$L$6),FIND("(",INDEX($A2360:$J2360,$L$6)&amp;"(")-1)),L2359)</f>
        <v>Building Value Proposition</v>
      </c>
      <c r="M2360" s="37" t="str">
        <f aca="false">IF(INDEX($A2360:$J2360,$M$6)="","",INDEX($A2360:$J2360,$M$6)&amp;"")</f>
        <v/>
      </c>
      <c r="N2360" s="37" t="str">
        <f aca="false">IF($M2360="","",TRIM(INDEX($A2360:$J2360,$N$6)&amp;""))</f>
        <v/>
      </c>
      <c r="O2360" s="37" t="str">
        <f aca="false">IF($M2360="","",TRIM(INDEX($A2360:$J2360,$O$6)&amp;""))</f>
        <v/>
      </c>
      <c r="P2360" s="37" t="str">
        <f aca="false">IF($M2360="","",IFERROR(IF(INDEX(Settings!$B$41:$B$50,MATCH(O2360,Settings!$A$41:$A$50,0))&amp;""="","UNMAPPED",INDEX(Settings!$B$41:$B$50,MATCH(O2360,Settings!$A$41:$A$50,0))&amp;""),"UNMAPPED"))</f>
        <v/>
      </c>
      <c r="Q2360" s="38" t="n">
        <f aca="false">IF($M2360="",0,N(INDEX($A2360:$J2360,$Q$6)))</f>
        <v>0</v>
      </c>
      <c r="R2360" s="39" t="str">
        <f aca="false">IF($M2360="","",INDEX($A2360:$J2360,$R$6))</f>
        <v/>
      </c>
      <c r="S2360" s="37" t="str">
        <f aca="false">IF($M2360="","",IFERROR(INDEX(Settings!$B$27:$B$36,MATCH(L2360,Settings!$A$27:$A$36,0))&amp;"","UNMAPPED"))</f>
        <v/>
      </c>
      <c r="T2360" s="37" t="str">
        <f aca="false">IF($M2360="","",IF(NOT(ISNUMBER(R2360)),"NO DATE",IF(S2360="Won",IF(R2360&gt;Settings!$B$5,"Backlog","Delivered"),IF(S2360="Open",IF(R2360&gt;Settings!$B$5,"Pipeline","Overdue"),IF(S2360="Lost","Lost","UNMAPPED")))))</f>
        <v/>
      </c>
      <c r="U2360" s="40" t="n">
        <f aca="false">IF(T2360="Backlog",1,IF(OR(T2360="Pipeline",T2360="Overdue"),N(INDEX(Settings!$C$27:$C$36,MATCH(L2360,Settings!$A$27:$A$36,0))),0))</f>
        <v>0</v>
      </c>
      <c r="V2360" s="38" t="n">
        <f aca="false">Q2360*U2360</f>
        <v>0</v>
      </c>
      <c r="W2360" s="41" t="str">
        <f aca="false">IF($M2360="","",IF(T2360="Overdue",IF(Settings!$B$8="Yes",Settings!$B$7,""),IF(ISNUMBER(R2360),DATE(YEAR(R2360),MONTH(R2360),1),"")))</f>
        <v/>
      </c>
      <c r="X2360" s="38" t="n">
        <f aca="false">IF(AND(OR(T2360="Backlog",T2360="Pipeline",T2360="Overdue"),ISNUMBER(W2360)),IF(W2360&lt;=Settings!$B$6,V2360,0),0)</f>
        <v>0</v>
      </c>
      <c r="Y2360" s="38" t="n">
        <f aca="false">IF(AND(OR(T2360="Backlog",T2360="Pipeline",T2360="Overdue"),ISNUMBER(W2360)),IF(W2360&lt;=Settings!$B$6,Q2360,0),0)</f>
        <v>0</v>
      </c>
      <c r="Z2360" s="38" t="n">
        <f aca="false">IF(Y2360=0,0,IF(T2360="Backlog",Q2360,Q2360*Dashboard!$C$10))</f>
        <v>0</v>
      </c>
      <c r="AA2360" s="37" t="n">
        <f aca="false">IF($N2360="",0,IF(COUNTIF(Dashboard!$C$13:$C$22,$N2360)&gt;0,1,0))</f>
        <v>0</v>
      </c>
      <c r="AB2360" s="37" t="str">
        <f aca="false">IF($N2360="","",IF(COUNTIF($N$8:$N2360,$N2360)=1,MAX($AB$7:$AB2359)+1,""))</f>
        <v/>
      </c>
    </row>
    <row r="2361" customFormat="false" ht="15" hidden="false" customHeight="false" outlineLevel="0" collapsed="false">
      <c r="L2361" s="37" t="str">
        <f aca="false">IF(INDEX($A2361:$J2361,$L$6)&lt;&gt;"",TRIM(LEFT(INDEX($A2361:$J2361,$L$6),FIND("(",INDEX($A2361:$J2361,$L$6)&amp;"(")-1)),L2360)</f>
        <v>Building Value Proposition</v>
      </c>
      <c r="M2361" s="37" t="str">
        <f aca="false">IF(INDEX($A2361:$J2361,$M$6)="","",INDEX($A2361:$J2361,$M$6)&amp;"")</f>
        <v/>
      </c>
      <c r="N2361" s="37" t="str">
        <f aca="false">IF($M2361="","",TRIM(INDEX($A2361:$J2361,$N$6)&amp;""))</f>
        <v/>
      </c>
      <c r="O2361" s="37" t="str">
        <f aca="false">IF($M2361="","",TRIM(INDEX($A2361:$J2361,$O$6)&amp;""))</f>
        <v/>
      </c>
      <c r="P2361" s="37" t="str">
        <f aca="false">IF($M2361="","",IFERROR(IF(INDEX(Settings!$B$41:$B$50,MATCH(O2361,Settings!$A$41:$A$50,0))&amp;""="","UNMAPPED",INDEX(Settings!$B$41:$B$50,MATCH(O2361,Settings!$A$41:$A$50,0))&amp;""),"UNMAPPED"))</f>
        <v/>
      </c>
      <c r="Q2361" s="38" t="n">
        <f aca="false">IF($M2361="",0,N(INDEX($A2361:$J2361,$Q$6)))</f>
        <v>0</v>
      </c>
      <c r="R2361" s="39" t="str">
        <f aca="false">IF($M2361="","",INDEX($A2361:$J2361,$R$6))</f>
        <v/>
      </c>
      <c r="S2361" s="37" t="str">
        <f aca="false">IF($M2361="","",IFERROR(INDEX(Settings!$B$27:$B$36,MATCH(L2361,Settings!$A$27:$A$36,0))&amp;"","UNMAPPED"))</f>
        <v/>
      </c>
      <c r="T2361" s="37" t="str">
        <f aca="false">IF($M2361="","",IF(NOT(ISNUMBER(R2361)),"NO DATE",IF(S2361="Won",IF(R2361&gt;Settings!$B$5,"Backlog","Delivered"),IF(S2361="Open",IF(R2361&gt;Settings!$B$5,"Pipeline","Overdue"),IF(S2361="Lost","Lost","UNMAPPED")))))</f>
        <v/>
      </c>
      <c r="U2361" s="40" t="n">
        <f aca="false">IF(T2361="Backlog",1,IF(OR(T2361="Pipeline",T2361="Overdue"),N(INDEX(Settings!$C$27:$C$36,MATCH(L2361,Settings!$A$27:$A$36,0))),0))</f>
        <v>0</v>
      </c>
      <c r="V2361" s="38" t="n">
        <f aca="false">Q2361*U2361</f>
        <v>0</v>
      </c>
      <c r="W2361" s="41" t="str">
        <f aca="false">IF($M2361="","",IF(T2361="Overdue",IF(Settings!$B$8="Yes",Settings!$B$7,""),IF(ISNUMBER(R2361),DATE(YEAR(R2361),MONTH(R2361),1),"")))</f>
        <v/>
      </c>
      <c r="X2361" s="38" t="n">
        <f aca="false">IF(AND(OR(T2361="Backlog",T2361="Pipeline",T2361="Overdue"),ISNUMBER(W2361)),IF(W2361&lt;=Settings!$B$6,V2361,0),0)</f>
        <v>0</v>
      </c>
      <c r="Y2361" s="38" t="n">
        <f aca="false">IF(AND(OR(T2361="Backlog",T2361="Pipeline",T2361="Overdue"),ISNUMBER(W2361)),IF(W2361&lt;=Settings!$B$6,Q2361,0),0)</f>
        <v>0</v>
      </c>
      <c r="Z2361" s="38" t="n">
        <f aca="false">IF(Y2361=0,0,IF(T2361="Backlog",Q2361,Q2361*Dashboard!$C$10))</f>
        <v>0</v>
      </c>
      <c r="AA2361" s="37" t="n">
        <f aca="false">IF($N2361="",0,IF(COUNTIF(Dashboard!$C$13:$C$22,$N2361)&gt;0,1,0))</f>
        <v>0</v>
      </c>
      <c r="AB2361" s="37" t="str">
        <f aca="false">IF($N2361="","",IF(COUNTIF($N$8:$N2361,$N2361)=1,MAX($AB$7:$AB2360)+1,""))</f>
        <v/>
      </c>
    </row>
    <row r="2362" customFormat="false" ht="15" hidden="false" customHeight="false" outlineLevel="0" collapsed="false">
      <c r="L2362" s="37" t="str">
        <f aca="false">IF(INDEX($A2362:$J2362,$L$6)&lt;&gt;"",TRIM(LEFT(INDEX($A2362:$J2362,$L$6),FIND("(",INDEX($A2362:$J2362,$L$6)&amp;"(")-1)),L2361)</f>
        <v>Building Value Proposition</v>
      </c>
      <c r="M2362" s="37" t="str">
        <f aca="false">IF(INDEX($A2362:$J2362,$M$6)="","",INDEX($A2362:$J2362,$M$6)&amp;"")</f>
        <v/>
      </c>
      <c r="N2362" s="37" t="str">
        <f aca="false">IF($M2362="","",TRIM(INDEX($A2362:$J2362,$N$6)&amp;""))</f>
        <v/>
      </c>
      <c r="O2362" s="37" t="str">
        <f aca="false">IF($M2362="","",TRIM(INDEX($A2362:$J2362,$O$6)&amp;""))</f>
        <v/>
      </c>
      <c r="P2362" s="37" t="str">
        <f aca="false">IF($M2362="","",IFERROR(IF(INDEX(Settings!$B$41:$B$50,MATCH(O2362,Settings!$A$41:$A$50,0))&amp;""="","UNMAPPED",INDEX(Settings!$B$41:$B$50,MATCH(O2362,Settings!$A$41:$A$50,0))&amp;""),"UNMAPPED"))</f>
        <v/>
      </c>
      <c r="Q2362" s="38" t="n">
        <f aca="false">IF($M2362="",0,N(INDEX($A2362:$J2362,$Q$6)))</f>
        <v>0</v>
      </c>
      <c r="R2362" s="39" t="str">
        <f aca="false">IF($M2362="","",INDEX($A2362:$J2362,$R$6))</f>
        <v/>
      </c>
      <c r="S2362" s="37" t="str">
        <f aca="false">IF($M2362="","",IFERROR(INDEX(Settings!$B$27:$B$36,MATCH(L2362,Settings!$A$27:$A$36,0))&amp;"","UNMAPPED"))</f>
        <v/>
      </c>
      <c r="T2362" s="37" t="str">
        <f aca="false">IF($M2362="","",IF(NOT(ISNUMBER(R2362)),"NO DATE",IF(S2362="Won",IF(R2362&gt;Settings!$B$5,"Backlog","Delivered"),IF(S2362="Open",IF(R2362&gt;Settings!$B$5,"Pipeline","Overdue"),IF(S2362="Lost","Lost","UNMAPPED")))))</f>
        <v/>
      </c>
      <c r="U2362" s="40" t="n">
        <f aca="false">IF(T2362="Backlog",1,IF(OR(T2362="Pipeline",T2362="Overdue"),N(INDEX(Settings!$C$27:$C$36,MATCH(L2362,Settings!$A$27:$A$36,0))),0))</f>
        <v>0</v>
      </c>
      <c r="V2362" s="38" t="n">
        <f aca="false">Q2362*U2362</f>
        <v>0</v>
      </c>
      <c r="W2362" s="41" t="str">
        <f aca="false">IF($M2362="","",IF(T2362="Overdue",IF(Settings!$B$8="Yes",Settings!$B$7,""),IF(ISNUMBER(R2362),DATE(YEAR(R2362),MONTH(R2362),1),"")))</f>
        <v/>
      </c>
      <c r="X2362" s="38" t="n">
        <f aca="false">IF(AND(OR(T2362="Backlog",T2362="Pipeline",T2362="Overdue"),ISNUMBER(W2362)),IF(W2362&lt;=Settings!$B$6,V2362,0),0)</f>
        <v>0</v>
      </c>
      <c r="Y2362" s="38" t="n">
        <f aca="false">IF(AND(OR(T2362="Backlog",T2362="Pipeline",T2362="Overdue"),ISNUMBER(W2362)),IF(W2362&lt;=Settings!$B$6,Q2362,0),0)</f>
        <v>0</v>
      </c>
      <c r="Z2362" s="38" t="n">
        <f aca="false">IF(Y2362=0,0,IF(T2362="Backlog",Q2362,Q2362*Dashboard!$C$10))</f>
        <v>0</v>
      </c>
      <c r="AA2362" s="37" t="n">
        <f aca="false">IF($N2362="",0,IF(COUNTIF(Dashboard!$C$13:$C$22,$N2362)&gt;0,1,0))</f>
        <v>0</v>
      </c>
      <c r="AB2362" s="37" t="str">
        <f aca="false">IF($N2362="","",IF(COUNTIF($N$8:$N2362,$N2362)=1,MAX($AB$7:$AB2361)+1,""))</f>
        <v/>
      </c>
    </row>
    <row r="2363" customFormat="false" ht="15" hidden="false" customHeight="false" outlineLevel="0" collapsed="false">
      <c r="L2363" s="37" t="str">
        <f aca="false">IF(INDEX($A2363:$J2363,$L$6)&lt;&gt;"",TRIM(LEFT(INDEX($A2363:$J2363,$L$6),FIND("(",INDEX($A2363:$J2363,$L$6)&amp;"(")-1)),L2362)</f>
        <v>Building Value Proposition</v>
      </c>
      <c r="M2363" s="37" t="str">
        <f aca="false">IF(INDEX($A2363:$J2363,$M$6)="","",INDEX($A2363:$J2363,$M$6)&amp;"")</f>
        <v/>
      </c>
      <c r="N2363" s="37" t="str">
        <f aca="false">IF($M2363="","",TRIM(INDEX($A2363:$J2363,$N$6)&amp;""))</f>
        <v/>
      </c>
      <c r="O2363" s="37" t="str">
        <f aca="false">IF($M2363="","",TRIM(INDEX($A2363:$J2363,$O$6)&amp;""))</f>
        <v/>
      </c>
      <c r="P2363" s="37" t="str">
        <f aca="false">IF($M2363="","",IFERROR(IF(INDEX(Settings!$B$41:$B$50,MATCH(O2363,Settings!$A$41:$A$50,0))&amp;""="","UNMAPPED",INDEX(Settings!$B$41:$B$50,MATCH(O2363,Settings!$A$41:$A$50,0))&amp;""),"UNMAPPED"))</f>
        <v/>
      </c>
      <c r="Q2363" s="38" t="n">
        <f aca="false">IF($M2363="",0,N(INDEX($A2363:$J2363,$Q$6)))</f>
        <v>0</v>
      </c>
      <c r="R2363" s="39" t="str">
        <f aca="false">IF($M2363="","",INDEX($A2363:$J2363,$R$6))</f>
        <v/>
      </c>
      <c r="S2363" s="37" t="str">
        <f aca="false">IF($M2363="","",IFERROR(INDEX(Settings!$B$27:$B$36,MATCH(L2363,Settings!$A$27:$A$36,0))&amp;"","UNMAPPED"))</f>
        <v/>
      </c>
      <c r="T2363" s="37" t="str">
        <f aca="false">IF($M2363="","",IF(NOT(ISNUMBER(R2363)),"NO DATE",IF(S2363="Won",IF(R2363&gt;Settings!$B$5,"Backlog","Delivered"),IF(S2363="Open",IF(R2363&gt;Settings!$B$5,"Pipeline","Overdue"),IF(S2363="Lost","Lost","UNMAPPED")))))</f>
        <v/>
      </c>
      <c r="U2363" s="40" t="n">
        <f aca="false">IF(T2363="Backlog",1,IF(OR(T2363="Pipeline",T2363="Overdue"),N(INDEX(Settings!$C$27:$C$36,MATCH(L2363,Settings!$A$27:$A$36,0))),0))</f>
        <v>0</v>
      </c>
      <c r="V2363" s="38" t="n">
        <f aca="false">Q2363*U2363</f>
        <v>0</v>
      </c>
      <c r="W2363" s="41" t="str">
        <f aca="false">IF($M2363="","",IF(T2363="Overdue",IF(Settings!$B$8="Yes",Settings!$B$7,""),IF(ISNUMBER(R2363),DATE(YEAR(R2363),MONTH(R2363),1),"")))</f>
        <v/>
      </c>
      <c r="X2363" s="38" t="n">
        <f aca="false">IF(AND(OR(T2363="Backlog",T2363="Pipeline",T2363="Overdue"),ISNUMBER(W2363)),IF(W2363&lt;=Settings!$B$6,V2363,0),0)</f>
        <v>0</v>
      </c>
      <c r="Y2363" s="38" t="n">
        <f aca="false">IF(AND(OR(T2363="Backlog",T2363="Pipeline",T2363="Overdue"),ISNUMBER(W2363)),IF(W2363&lt;=Settings!$B$6,Q2363,0),0)</f>
        <v>0</v>
      </c>
      <c r="Z2363" s="38" t="n">
        <f aca="false">IF(Y2363=0,0,IF(T2363="Backlog",Q2363,Q2363*Dashboard!$C$10))</f>
        <v>0</v>
      </c>
      <c r="AA2363" s="37" t="n">
        <f aca="false">IF($N2363="",0,IF(COUNTIF(Dashboard!$C$13:$C$22,$N2363)&gt;0,1,0))</f>
        <v>0</v>
      </c>
      <c r="AB2363" s="37" t="str">
        <f aca="false">IF($N2363="","",IF(COUNTIF($N$8:$N2363,$N2363)=1,MAX($AB$7:$AB2362)+1,""))</f>
        <v/>
      </c>
    </row>
    <row r="2364" customFormat="false" ht="15" hidden="false" customHeight="false" outlineLevel="0" collapsed="false">
      <c r="L2364" s="37" t="str">
        <f aca="false">IF(INDEX($A2364:$J2364,$L$6)&lt;&gt;"",TRIM(LEFT(INDEX($A2364:$J2364,$L$6),FIND("(",INDEX($A2364:$J2364,$L$6)&amp;"(")-1)),L2363)</f>
        <v>Building Value Proposition</v>
      </c>
      <c r="M2364" s="37" t="str">
        <f aca="false">IF(INDEX($A2364:$J2364,$M$6)="","",INDEX($A2364:$J2364,$M$6)&amp;"")</f>
        <v/>
      </c>
      <c r="N2364" s="37" t="str">
        <f aca="false">IF($M2364="","",TRIM(INDEX($A2364:$J2364,$N$6)&amp;""))</f>
        <v/>
      </c>
      <c r="O2364" s="37" t="str">
        <f aca="false">IF($M2364="","",TRIM(INDEX($A2364:$J2364,$O$6)&amp;""))</f>
        <v/>
      </c>
      <c r="P2364" s="37" t="str">
        <f aca="false">IF($M2364="","",IFERROR(IF(INDEX(Settings!$B$41:$B$50,MATCH(O2364,Settings!$A$41:$A$50,0))&amp;""="","UNMAPPED",INDEX(Settings!$B$41:$B$50,MATCH(O2364,Settings!$A$41:$A$50,0))&amp;""),"UNMAPPED"))</f>
        <v/>
      </c>
      <c r="Q2364" s="38" t="n">
        <f aca="false">IF($M2364="",0,N(INDEX($A2364:$J2364,$Q$6)))</f>
        <v>0</v>
      </c>
      <c r="R2364" s="39" t="str">
        <f aca="false">IF($M2364="","",INDEX($A2364:$J2364,$R$6))</f>
        <v/>
      </c>
      <c r="S2364" s="37" t="str">
        <f aca="false">IF($M2364="","",IFERROR(INDEX(Settings!$B$27:$B$36,MATCH(L2364,Settings!$A$27:$A$36,0))&amp;"","UNMAPPED"))</f>
        <v/>
      </c>
      <c r="T2364" s="37" t="str">
        <f aca="false">IF($M2364="","",IF(NOT(ISNUMBER(R2364)),"NO DATE",IF(S2364="Won",IF(R2364&gt;Settings!$B$5,"Backlog","Delivered"),IF(S2364="Open",IF(R2364&gt;Settings!$B$5,"Pipeline","Overdue"),IF(S2364="Lost","Lost","UNMAPPED")))))</f>
        <v/>
      </c>
      <c r="U2364" s="40" t="n">
        <f aca="false">IF(T2364="Backlog",1,IF(OR(T2364="Pipeline",T2364="Overdue"),N(INDEX(Settings!$C$27:$C$36,MATCH(L2364,Settings!$A$27:$A$36,0))),0))</f>
        <v>0</v>
      </c>
      <c r="V2364" s="38" t="n">
        <f aca="false">Q2364*U2364</f>
        <v>0</v>
      </c>
      <c r="W2364" s="41" t="str">
        <f aca="false">IF($M2364="","",IF(T2364="Overdue",IF(Settings!$B$8="Yes",Settings!$B$7,""),IF(ISNUMBER(R2364),DATE(YEAR(R2364),MONTH(R2364),1),"")))</f>
        <v/>
      </c>
      <c r="X2364" s="38" t="n">
        <f aca="false">IF(AND(OR(T2364="Backlog",T2364="Pipeline",T2364="Overdue"),ISNUMBER(W2364)),IF(W2364&lt;=Settings!$B$6,V2364,0),0)</f>
        <v>0</v>
      </c>
      <c r="Y2364" s="38" t="n">
        <f aca="false">IF(AND(OR(T2364="Backlog",T2364="Pipeline",T2364="Overdue"),ISNUMBER(W2364)),IF(W2364&lt;=Settings!$B$6,Q2364,0),0)</f>
        <v>0</v>
      </c>
      <c r="Z2364" s="38" t="n">
        <f aca="false">IF(Y2364=0,0,IF(T2364="Backlog",Q2364,Q2364*Dashboard!$C$10))</f>
        <v>0</v>
      </c>
      <c r="AA2364" s="37" t="n">
        <f aca="false">IF($N2364="",0,IF(COUNTIF(Dashboard!$C$13:$C$22,$N2364)&gt;0,1,0))</f>
        <v>0</v>
      </c>
      <c r="AB2364" s="37" t="str">
        <f aca="false">IF($N2364="","",IF(COUNTIF($N$8:$N2364,$N2364)=1,MAX($AB$7:$AB2363)+1,""))</f>
        <v/>
      </c>
    </row>
    <row r="2365" customFormat="false" ht="15" hidden="false" customHeight="false" outlineLevel="0" collapsed="false">
      <c r="L2365" s="37" t="str">
        <f aca="false">IF(INDEX($A2365:$J2365,$L$6)&lt;&gt;"",TRIM(LEFT(INDEX($A2365:$J2365,$L$6),FIND("(",INDEX($A2365:$J2365,$L$6)&amp;"(")-1)),L2364)</f>
        <v>Building Value Proposition</v>
      </c>
      <c r="M2365" s="37" t="str">
        <f aca="false">IF(INDEX($A2365:$J2365,$M$6)="","",INDEX($A2365:$J2365,$M$6)&amp;"")</f>
        <v/>
      </c>
      <c r="N2365" s="37" t="str">
        <f aca="false">IF($M2365="","",TRIM(INDEX($A2365:$J2365,$N$6)&amp;""))</f>
        <v/>
      </c>
      <c r="O2365" s="37" t="str">
        <f aca="false">IF($M2365="","",TRIM(INDEX($A2365:$J2365,$O$6)&amp;""))</f>
        <v/>
      </c>
      <c r="P2365" s="37" t="str">
        <f aca="false">IF($M2365="","",IFERROR(IF(INDEX(Settings!$B$41:$B$50,MATCH(O2365,Settings!$A$41:$A$50,0))&amp;""="","UNMAPPED",INDEX(Settings!$B$41:$B$50,MATCH(O2365,Settings!$A$41:$A$50,0))&amp;""),"UNMAPPED"))</f>
        <v/>
      </c>
      <c r="Q2365" s="38" t="n">
        <f aca="false">IF($M2365="",0,N(INDEX($A2365:$J2365,$Q$6)))</f>
        <v>0</v>
      </c>
      <c r="R2365" s="39" t="str">
        <f aca="false">IF($M2365="","",INDEX($A2365:$J2365,$R$6))</f>
        <v/>
      </c>
      <c r="S2365" s="37" t="str">
        <f aca="false">IF($M2365="","",IFERROR(INDEX(Settings!$B$27:$B$36,MATCH(L2365,Settings!$A$27:$A$36,0))&amp;"","UNMAPPED"))</f>
        <v/>
      </c>
      <c r="T2365" s="37" t="str">
        <f aca="false">IF($M2365="","",IF(NOT(ISNUMBER(R2365)),"NO DATE",IF(S2365="Won",IF(R2365&gt;Settings!$B$5,"Backlog","Delivered"),IF(S2365="Open",IF(R2365&gt;Settings!$B$5,"Pipeline","Overdue"),IF(S2365="Lost","Lost","UNMAPPED")))))</f>
        <v/>
      </c>
      <c r="U2365" s="40" t="n">
        <f aca="false">IF(T2365="Backlog",1,IF(OR(T2365="Pipeline",T2365="Overdue"),N(INDEX(Settings!$C$27:$C$36,MATCH(L2365,Settings!$A$27:$A$36,0))),0))</f>
        <v>0</v>
      </c>
      <c r="V2365" s="38" t="n">
        <f aca="false">Q2365*U2365</f>
        <v>0</v>
      </c>
      <c r="W2365" s="41" t="str">
        <f aca="false">IF($M2365="","",IF(T2365="Overdue",IF(Settings!$B$8="Yes",Settings!$B$7,""),IF(ISNUMBER(R2365),DATE(YEAR(R2365),MONTH(R2365),1),"")))</f>
        <v/>
      </c>
      <c r="X2365" s="38" t="n">
        <f aca="false">IF(AND(OR(T2365="Backlog",T2365="Pipeline",T2365="Overdue"),ISNUMBER(W2365)),IF(W2365&lt;=Settings!$B$6,V2365,0),0)</f>
        <v>0</v>
      </c>
      <c r="Y2365" s="38" t="n">
        <f aca="false">IF(AND(OR(T2365="Backlog",T2365="Pipeline",T2365="Overdue"),ISNUMBER(W2365)),IF(W2365&lt;=Settings!$B$6,Q2365,0),0)</f>
        <v>0</v>
      </c>
      <c r="Z2365" s="38" t="n">
        <f aca="false">IF(Y2365=0,0,IF(T2365="Backlog",Q2365,Q2365*Dashboard!$C$10))</f>
        <v>0</v>
      </c>
      <c r="AA2365" s="37" t="n">
        <f aca="false">IF($N2365="",0,IF(COUNTIF(Dashboard!$C$13:$C$22,$N2365)&gt;0,1,0))</f>
        <v>0</v>
      </c>
      <c r="AB2365" s="37" t="str">
        <f aca="false">IF($N2365="","",IF(COUNTIF($N$8:$N2365,$N2365)=1,MAX($AB$7:$AB2364)+1,""))</f>
        <v/>
      </c>
    </row>
    <row r="2366" customFormat="false" ht="15" hidden="false" customHeight="false" outlineLevel="0" collapsed="false">
      <c r="L2366" s="37" t="str">
        <f aca="false">IF(INDEX($A2366:$J2366,$L$6)&lt;&gt;"",TRIM(LEFT(INDEX($A2366:$J2366,$L$6),FIND("(",INDEX($A2366:$J2366,$L$6)&amp;"(")-1)),L2365)</f>
        <v>Building Value Proposition</v>
      </c>
      <c r="M2366" s="37" t="str">
        <f aca="false">IF(INDEX($A2366:$J2366,$M$6)="","",INDEX($A2366:$J2366,$M$6)&amp;"")</f>
        <v/>
      </c>
      <c r="N2366" s="37" t="str">
        <f aca="false">IF($M2366="","",TRIM(INDEX($A2366:$J2366,$N$6)&amp;""))</f>
        <v/>
      </c>
      <c r="O2366" s="37" t="str">
        <f aca="false">IF($M2366="","",TRIM(INDEX($A2366:$J2366,$O$6)&amp;""))</f>
        <v/>
      </c>
      <c r="P2366" s="37" t="str">
        <f aca="false">IF($M2366="","",IFERROR(IF(INDEX(Settings!$B$41:$B$50,MATCH(O2366,Settings!$A$41:$A$50,0))&amp;""="","UNMAPPED",INDEX(Settings!$B$41:$B$50,MATCH(O2366,Settings!$A$41:$A$50,0))&amp;""),"UNMAPPED"))</f>
        <v/>
      </c>
      <c r="Q2366" s="38" t="n">
        <f aca="false">IF($M2366="",0,N(INDEX($A2366:$J2366,$Q$6)))</f>
        <v>0</v>
      </c>
      <c r="R2366" s="39" t="str">
        <f aca="false">IF($M2366="","",INDEX($A2366:$J2366,$R$6))</f>
        <v/>
      </c>
      <c r="S2366" s="37" t="str">
        <f aca="false">IF($M2366="","",IFERROR(INDEX(Settings!$B$27:$B$36,MATCH(L2366,Settings!$A$27:$A$36,0))&amp;"","UNMAPPED"))</f>
        <v/>
      </c>
      <c r="T2366" s="37" t="str">
        <f aca="false">IF($M2366="","",IF(NOT(ISNUMBER(R2366)),"NO DATE",IF(S2366="Won",IF(R2366&gt;Settings!$B$5,"Backlog","Delivered"),IF(S2366="Open",IF(R2366&gt;Settings!$B$5,"Pipeline","Overdue"),IF(S2366="Lost","Lost","UNMAPPED")))))</f>
        <v/>
      </c>
      <c r="U2366" s="40" t="n">
        <f aca="false">IF(T2366="Backlog",1,IF(OR(T2366="Pipeline",T2366="Overdue"),N(INDEX(Settings!$C$27:$C$36,MATCH(L2366,Settings!$A$27:$A$36,0))),0))</f>
        <v>0</v>
      </c>
      <c r="V2366" s="38" t="n">
        <f aca="false">Q2366*U2366</f>
        <v>0</v>
      </c>
      <c r="W2366" s="41" t="str">
        <f aca="false">IF($M2366="","",IF(T2366="Overdue",IF(Settings!$B$8="Yes",Settings!$B$7,""),IF(ISNUMBER(R2366),DATE(YEAR(R2366),MONTH(R2366),1),"")))</f>
        <v/>
      </c>
      <c r="X2366" s="38" t="n">
        <f aca="false">IF(AND(OR(T2366="Backlog",T2366="Pipeline",T2366="Overdue"),ISNUMBER(W2366)),IF(W2366&lt;=Settings!$B$6,V2366,0),0)</f>
        <v>0</v>
      </c>
      <c r="Y2366" s="38" t="n">
        <f aca="false">IF(AND(OR(T2366="Backlog",T2366="Pipeline",T2366="Overdue"),ISNUMBER(W2366)),IF(W2366&lt;=Settings!$B$6,Q2366,0),0)</f>
        <v>0</v>
      </c>
      <c r="Z2366" s="38" t="n">
        <f aca="false">IF(Y2366=0,0,IF(T2366="Backlog",Q2366,Q2366*Dashboard!$C$10))</f>
        <v>0</v>
      </c>
      <c r="AA2366" s="37" t="n">
        <f aca="false">IF($N2366="",0,IF(COUNTIF(Dashboard!$C$13:$C$22,$N2366)&gt;0,1,0))</f>
        <v>0</v>
      </c>
      <c r="AB2366" s="37" t="str">
        <f aca="false">IF($N2366="","",IF(COUNTIF($N$8:$N2366,$N2366)=1,MAX($AB$7:$AB2365)+1,""))</f>
        <v/>
      </c>
    </row>
    <row r="2367" customFormat="false" ht="15" hidden="false" customHeight="false" outlineLevel="0" collapsed="false">
      <c r="L2367" s="37" t="str">
        <f aca="false">IF(INDEX($A2367:$J2367,$L$6)&lt;&gt;"",TRIM(LEFT(INDEX($A2367:$J2367,$L$6),FIND("(",INDEX($A2367:$J2367,$L$6)&amp;"(")-1)),L2366)</f>
        <v>Building Value Proposition</v>
      </c>
      <c r="M2367" s="37" t="str">
        <f aca="false">IF(INDEX($A2367:$J2367,$M$6)="","",INDEX($A2367:$J2367,$M$6)&amp;"")</f>
        <v/>
      </c>
      <c r="N2367" s="37" t="str">
        <f aca="false">IF($M2367="","",TRIM(INDEX($A2367:$J2367,$N$6)&amp;""))</f>
        <v/>
      </c>
      <c r="O2367" s="37" t="str">
        <f aca="false">IF($M2367="","",TRIM(INDEX($A2367:$J2367,$O$6)&amp;""))</f>
        <v/>
      </c>
      <c r="P2367" s="37" t="str">
        <f aca="false">IF($M2367="","",IFERROR(IF(INDEX(Settings!$B$41:$B$50,MATCH(O2367,Settings!$A$41:$A$50,0))&amp;""="","UNMAPPED",INDEX(Settings!$B$41:$B$50,MATCH(O2367,Settings!$A$41:$A$50,0))&amp;""),"UNMAPPED"))</f>
        <v/>
      </c>
      <c r="Q2367" s="38" t="n">
        <f aca="false">IF($M2367="",0,N(INDEX($A2367:$J2367,$Q$6)))</f>
        <v>0</v>
      </c>
      <c r="R2367" s="39" t="str">
        <f aca="false">IF($M2367="","",INDEX($A2367:$J2367,$R$6))</f>
        <v/>
      </c>
      <c r="S2367" s="37" t="str">
        <f aca="false">IF($M2367="","",IFERROR(INDEX(Settings!$B$27:$B$36,MATCH(L2367,Settings!$A$27:$A$36,0))&amp;"","UNMAPPED"))</f>
        <v/>
      </c>
      <c r="T2367" s="37" t="str">
        <f aca="false">IF($M2367="","",IF(NOT(ISNUMBER(R2367)),"NO DATE",IF(S2367="Won",IF(R2367&gt;Settings!$B$5,"Backlog","Delivered"),IF(S2367="Open",IF(R2367&gt;Settings!$B$5,"Pipeline","Overdue"),IF(S2367="Lost","Lost","UNMAPPED")))))</f>
        <v/>
      </c>
      <c r="U2367" s="40" t="n">
        <f aca="false">IF(T2367="Backlog",1,IF(OR(T2367="Pipeline",T2367="Overdue"),N(INDEX(Settings!$C$27:$C$36,MATCH(L2367,Settings!$A$27:$A$36,0))),0))</f>
        <v>0</v>
      </c>
      <c r="V2367" s="38" t="n">
        <f aca="false">Q2367*U2367</f>
        <v>0</v>
      </c>
      <c r="W2367" s="41" t="str">
        <f aca="false">IF($M2367="","",IF(T2367="Overdue",IF(Settings!$B$8="Yes",Settings!$B$7,""),IF(ISNUMBER(R2367),DATE(YEAR(R2367),MONTH(R2367),1),"")))</f>
        <v/>
      </c>
      <c r="X2367" s="38" t="n">
        <f aca="false">IF(AND(OR(T2367="Backlog",T2367="Pipeline",T2367="Overdue"),ISNUMBER(W2367)),IF(W2367&lt;=Settings!$B$6,V2367,0),0)</f>
        <v>0</v>
      </c>
      <c r="Y2367" s="38" t="n">
        <f aca="false">IF(AND(OR(T2367="Backlog",T2367="Pipeline",T2367="Overdue"),ISNUMBER(W2367)),IF(W2367&lt;=Settings!$B$6,Q2367,0),0)</f>
        <v>0</v>
      </c>
      <c r="Z2367" s="38" t="n">
        <f aca="false">IF(Y2367=0,0,IF(T2367="Backlog",Q2367,Q2367*Dashboard!$C$10))</f>
        <v>0</v>
      </c>
      <c r="AA2367" s="37" t="n">
        <f aca="false">IF($N2367="",0,IF(COUNTIF(Dashboard!$C$13:$C$22,$N2367)&gt;0,1,0))</f>
        <v>0</v>
      </c>
      <c r="AB2367" s="37" t="str">
        <f aca="false">IF($N2367="","",IF(COUNTIF($N$8:$N2367,$N2367)=1,MAX($AB$7:$AB2366)+1,""))</f>
        <v/>
      </c>
    </row>
    <row r="2368" customFormat="false" ht="15" hidden="false" customHeight="false" outlineLevel="0" collapsed="false">
      <c r="L2368" s="37" t="str">
        <f aca="false">IF(INDEX($A2368:$J2368,$L$6)&lt;&gt;"",TRIM(LEFT(INDEX($A2368:$J2368,$L$6),FIND("(",INDEX($A2368:$J2368,$L$6)&amp;"(")-1)),L2367)</f>
        <v>Building Value Proposition</v>
      </c>
      <c r="M2368" s="37" t="str">
        <f aca="false">IF(INDEX($A2368:$J2368,$M$6)="","",INDEX($A2368:$J2368,$M$6)&amp;"")</f>
        <v/>
      </c>
      <c r="N2368" s="37" t="str">
        <f aca="false">IF($M2368="","",TRIM(INDEX($A2368:$J2368,$N$6)&amp;""))</f>
        <v/>
      </c>
      <c r="O2368" s="37" t="str">
        <f aca="false">IF($M2368="","",TRIM(INDEX($A2368:$J2368,$O$6)&amp;""))</f>
        <v/>
      </c>
      <c r="P2368" s="37" t="str">
        <f aca="false">IF($M2368="","",IFERROR(IF(INDEX(Settings!$B$41:$B$50,MATCH(O2368,Settings!$A$41:$A$50,0))&amp;""="","UNMAPPED",INDEX(Settings!$B$41:$B$50,MATCH(O2368,Settings!$A$41:$A$50,0))&amp;""),"UNMAPPED"))</f>
        <v/>
      </c>
      <c r="Q2368" s="38" t="n">
        <f aca="false">IF($M2368="",0,N(INDEX($A2368:$J2368,$Q$6)))</f>
        <v>0</v>
      </c>
      <c r="R2368" s="39" t="str">
        <f aca="false">IF($M2368="","",INDEX($A2368:$J2368,$R$6))</f>
        <v/>
      </c>
      <c r="S2368" s="37" t="str">
        <f aca="false">IF($M2368="","",IFERROR(INDEX(Settings!$B$27:$B$36,MATCH(L2368,Settings!$A$27:$A$36,0))&amp;"","UNMAPPED"))</f>
        <v/>
      </c>
      <c r="T2368" s="37" t="str">
        <f aca="false">IF($M2368="","",IF(NOT(ISNUMBER(R2368)),"NO DATE",IF(S2368="Won",IF(R2368&gt;Settings!$B$5,"Backlog","Delivered"),IF(S2368="Open",IF(R2368&gt;Settings!$B$5,"Pipeline","Overdue"),IF(S2368="Lost","Lost","UNMAPPED")))))</f>
        <v/>
      </c>
      <c r="U2368" s="40" t="n">
        <f aca="false">IF(T2368="Backlog",1,IF(OR(T2368="Pipeline",T2368="Overdue"),N(INDEX(Settings!$C$27:$C$36,MATCH(L2368,Settings!$A$27:$A$36,0))),0))</f>
        <v>0</v>
      </c>
      <c r="V2368" s="38" t="n">
        <f aca="false">Q2368*U2368</f>
        <v>0</v>
      </c>
      <c r="W2368" s="41" t="str">
        <f aca="false">IF($M2368="","",IF(T2368="Overdue",IF(Settings!$B$8="Yes",Settings!$B$7,""),IF(ISNUMBER(R2368),DATE(YEAR(R2368),MONTH(R2368),1),"")))</f>
        <v/>
      </c>
      <c r="X2368" s="38" t="n">
        <f aca="false">IF(AND(OR(T2368="Backlog",T2368="Pipeline",T2368="Overdue"),ISNUMBER(W2368)),IF(W2368&lt;=Settings!$B$6,V2368,0),0)</f>
        <v>0</v>
      </c>
      <c r="Y2368" s="38" t="n">
        <f aca="false">IF(AND(OR(T2368="Backlog",T2368="Pipeline",T2368="Overdue"),ISNUMBER(W2368)),IF(W2368&lt;=Settings!$B$6,Q2368,0),0)</f>
        <v>0</v>
      </c>
      <c r="Z2368" s="38" t="n">
        <f aca="false">IF(Y2368=0,0,IF(T2368="Backlog",Q2368,Q2368*Dashboard!$C$10))</f>
        <v>0</v>
      </c>
      <c r="AA2368" s="37" t="n">
        <f aca="false">IF($N2368="",0,IF(COUNTIF(Dashboard!$C$13:$C$22,$N2368)&gt;0,1,0))</f>
        <v>0</v>
      </c>
      <c r="AB2368" s="37" t="str">
        <f aca="false">IF($N2368="","",IF(COUNTIF($N$8:$N2368,$N2368)=1,MAX($AB$7:$AB2367)+1,""))</f>
        <v/>
      </c>
    </row>
    <row r="2369" customFormat="false" ht="15" hidden="false" customHeight="false" outlineLevel="0" collapsed="false">
      <c r="L2369" s="37" t="str">
        <f aca="false">IF(INDEX($A2369:$J2369,$L$6)&lt;&gt;"",TRIM(LEFT(INDEX($A2369:$J2369,$L$6),FIND("(",INDEX($A2369:$J2369,$L$6)&amp;"(")-1)),L2368)</f>
        <v>Building Value Proposition</v>
      </c>
      <c r="M2369" s="37" t="str">
        <f aca="false">IF(INDEX($A2369:$J2369,$M$6)="","",INDEX($A2369:$J2369,$M$6)&amp;"")</f>
        <v/>
      </c>
      <c r="N2369" s="37" t="str">
        <f aca="false">IF($M2369="","",TRIM(INDEX($A2369:$J2369,$N$6)&amp;""))</f>
        <v/>
      </c>
      <c r="O2369" s="37" t="str">
        <f aca="false">IF($M2369="","",TRIM(INDEX($A2369:$J2369,$O$6)&amp;""))</f>
        <v/>
      </c>
      <c r="P2369" s="37" t="str">
        <f aca="false">IF($M2369="","",IFERROR(IF(INDEX(Settings!$B$41:$B$50,MATCH(O2369,Settings!$A$41:$A$50,0))&amp;""="","UNMAPPED",INDEX(Settings!$B$41:$B$50,MATCH(O2369,Settings!$A$41:$A$50,0))&amp;""),"UNMAPPED"))</f>
        <v/>
      </c>
      <c r="Q2369" s="38" t="n">
        <f aca="false">IF($M2369="",0,N(INDEX($A2369:$J2369,$Q$6)))</f>
        <v>0</v>
      </c>
      <c r="R2369" s="39" t="str">
        <f aca="false">IF($M2369="","",INDEX($A2369:$J2369,$R$6))</f>
        <v/>
      </c>
      <c r="S2369" s="37" t="str">
        <f aca="false">IF($M2369="","",IFERROR(INDEX(Settings!$B$27:$B$36,MATCH(L2369,Settings!$A$27:$A$36,0))&amp;"","UNMAPPED"))</f>
        <v/>
      </c>
      <c r="T2369" s="37" t="str">
        <f aca="false">IF($M2369="","",IF(NOT(ISNUMBER(R2369)),"NO DATE",IF(S2369="Won",IF(R2369&gt;Settings!$B$5,"Backlog","Delivered"),IF(S2369="Open",IF(R2369&gt;Settings!$B$5,"Pipeline","Overdue"),IF(S2369="Lost","Lost","UNMAPPED")))))</f>
        <v/>
      </c>
      <c r="U2369" s="40" t="n">
        <f aca="false">IF(T2369="Backlog",1,IF(OR(T2369="Pipeline",T2369="Overdue"),N(INDEX(Settings!$C$27:$C$36,MATCH(L2369,Settings!$A$27:$A$36,0))),0))</f>
        <v>0</v>
      </c>
      <c r="V2369" s="38" t="n">
        <f aca="false">Q2369*U2369</f>
        <v>0</v>
      </c>
      <c r="W2369" s="41" t="str">
        <f aca="false">IF($M2369="","",IF(T2369="Overdue",IF(Settings!$B$8="Yes",Settings!$B$7,""),IF(ISNUMBER(R2369),DATE(YEAR(R2369),MONTH(R2369),1),"")))</f>
        <v/>
      </c>
      <c r="X2369" s="38" t="n">
        <f aca="false">IF(AND(OR(T2369="Backlog",T2369="Pipeline",T2369="Overdue"),ISNUMBER(W2369)),IF(W2369&lt;=Settings!$B$6,V2369,0),0)</f>
        <v>0</v>
      </c>
      <c r="Y2369" s="38" t="n">
        <f aca="false">IF(AND(OR(T2369="Backlog",T2369="Pipeline",T2369="Overdue"),ISNUMBER(W2369)),IF(W2369&lt;=Settings!$B$6,Q2369,0),0)</f>
        <v>0</v>
      </c>
      <c r="Z2369" s="38" t="n">
        <f aca="false">IF(Y2369=0,0,IF(T2369="Backlog",Q2369,Q2369*Dashboard!$C$10))</f>
        <v>0</v>
      </c>
      <c r="AA2369" s="37" t="n">
        <f aca="false">IF($N2369="",0,IF(COUNTIF(Dashboard!$C$13:$C$22,$N2369)&gt;0,1,0))</f>
        <v>0</v>
      </c>
      <c r="AB2369" s="37" t="str">
        <f aca="false">IF($N2369="","",IF(COUNTIF($N$8:$N2369,$N2369)=1,MAX($AB$7:$AB2368)+1,""))</f>
        <v/>
      </c>
    </row>
    <row r="2370" customFormat="false" ht="15" hidden="false" customHeight="false" outlineLevel="0" collapsed="false">
      <c r="L2370" s="37" t="str">
        <f aca="false">IF(INDEX($A2370:$J2370,$L$6)&lt;&gt;"",TRIM(LEFT(INDEX($A2370:$J2370,$L$6),FIND("(",INDEX($A2370:$J2370,$L$6)&amp;"(")-1)),L2369)</f>
        <v>Building Value Proposition</v>
      </c>
      <c r="M2370" s="37" t="str">
        <f aca="false">IF(INDEX($A2370:$J2370,$M$6)="","",INDEX($A2370:$J2370,$M$6)&amp;"")</f>
        <v/>
      </c>
      <c r="N2370" s="37" t="str">
        <f aca="false">IF($M2370="","",TRIM(INDEX($A2370:$J2370,$N$6)&amp;""))</f>
        <v/>
      </c>
      <c r="O2370" s="37" t="str">
        <f aca="false">IF($M2370="","",TRIM(INDEX($A2370:$J2370,$O$6)&amp;""))</f>
        <v/>
      </c>
      <c r="P2370" s="37" t="str">
        <f aca="false">IF($M2370="","",IFERROR(IF(INDEX(Settings!$B$41:$B$50,MATCH(O2370,Settings!$A$41:$A$50,0))&amp;""="","UNMAPPED",INDEX(Settings!$B$41:$B$50,MATCH(O2370,Settings!$A$41:$A$50,0))&amp;""),"UNMAPPED"))</f>
        <v/>
      </c>
      <c r="Q2370" s="38" t="n">
        <f aca="false">IF($M2370="",0,N(INDEX($A2370:$J2370,$Q$6)))</f>
        <v>0</v>
      </c>
      <c r="R2370" s="39" t="str">
        <f aca="false">IF($M2370="","",INDEX($A2370:$J2370,$R$6))</f>
        <v/>
      </c>
      <c r="S2370" s="37" t="str">
        <f aca="false">IF($M2370="","",IFERROR(INDEX(Settings!$B$27:$B$36,MATCH(L2370,Settings!$A$27:$A$36,0))&amp;"","UNMAPPED"))</f>
        <v/>
      </c>
      <c r="T2370" s="37" t="str">
        <f aca="false">IF($M2370="","",IF(NOT(ISNUMBER(R2370)),"NO DATE",IF(S2370="Won",IF(R2370&gt;Settings!$B$5,"Backlog","Delivered"),IF(S2370="Open",IF(R2370&gt;Settings!$B$5,"Pipeline","Overdue"),IF(S2370="Lost","Lost","UNMAPPED")))))</f>
        <v/>
      </c>
      <c r="U2370" s="40" t="n">
        <f aca="false">IF(T2370="Backlog",1,IF(OR(T2370="Pipeline",T2370="Overdue"),N(INDEX(Settings!$C$27:$C$36,MATCH(L2370,Settings!$A$27:$A$36,0))),0))</f>
        <v>0</v>
      </c>
      <c r="V2370" s="38" t="n">
        <f aca="false">Q2370*U2370</f>
        <v>0</v>
      </c>
      <c r="W2370" s="41" t="str">
        <f aca="false">IF($M2370="","",IF(T2370="Overdue",IF(Settings!$B$8="Yes",Settings!$B$7,""),IF(ISNUMBER(R2370),DATE(YEAR(R2370),MONTH(R2370),1),"")))</f>
        <v/>
      </c>
      <c r="X2370" s="38" t="n">
        <f aca="false">IF(AND(OR(T2370="Backlog",T2370="Pipeline",T2370="Overdue"),ISNUMBER(W2370)),IF(W2370&lt;=Settings!$B$6,V2370,0),0)</f>
        <v>0</v>
      </c>
      <c r="Y2370" s="38" t="n">
        <f aca="false">IF(AND(OR(T2370="Backlog",T2370="Pipeline",T2370="Overdue"),ISNUMBER(W2370)),IF(W2370&lt;=Settings!$B$6,Q2370,0),0)</f>
        <v>0</v>
      </c>
      <c r="Z2370" s="38" t="n">
        <f aca="false">IF(Y2370=0,0,IF(T2370="Backlog",Q2370,Q2370*Dashboard!$C$10))</f>
        <v>0</v>
      </c>
      <c r="AA2370" s="37" t="n">
        <f aca="false">IF($N2370="",0,IF(COUNTIF(Dashboard!$C$13:$C$22,$N2370)&gt;0,1,0))</f>
        <v>0</v>
      </c>
      <c r="AB2370" s="37" t="str">
        <f aca="false">IF($N2370="","",IF(COUNTIF($N$8:$N2370,$N2370)=1,MAX($AB$7:$AB2369)+1,""))</f>
        <v/>
      </c>
    </row>
    <row r="2371" customFormat="false" ht="15" hidden="false" customHeight="false" outlineLevel="0" collapsed="false">
      <c r="L2371" s="37" t="str">
        <f aca="false">IF(INDEX($A2371:$J2371,$L$6)&lt;&gt;"",TRIM(LEFT(INDEX($A2371:$J2371,$L$6),FIND("(",INDEX($A2371:$J2371,$L$6)&amp;"(")-1)),L2370)</f>
        <v>Building Value Proposition</v>
      </c>
      <c r="M2371" s="37" t="str">
        <f aca="false">IF(INDEX($A2371:$J2371,$M$6)="","",INDEX($A2371:$J2371,$M$6)&amp;"")</f>
        <v/>
      </c>
      <c r="N2371" s="37" t="str">
        <f aca="false">IF($M2371="","",TRIM(INDEX($A2371:$J2371,$N$6)&amp;""))</f>
        <v/>
      </c>
      <c r="O2371" s="37" t="str">
        <f aca="false">IF($M2371="","",TRIM(INDEX($A2371:$J2371,$O$6)&amp;""))</f>
        <v/>
      </c>
      <c r="P2371" s="37" t="str">
        <f aca="false">IF($M2371="","",IFERROR(IF(INDEX(Settings!$B$41:$B$50,MATCH(O2371,Settings!$A$41:$A$50,0))&amp;""="","UNMAPPED",INDEX(Settings!$B$41:$B$50,MATCH(O2371,Settings!$A$41:$A$50,0))&amp;""),"UNMAPPED"))</f>
        <v/>
      </c>
      <c r="Q2371" s="38" t="n">
        <f aca="false">IF($M2371="",0,N(INDEX($A2371:$J2371,$Q$6)))</f>
        <v>0</v>
      </c>
      <c r="R2371" s="39" t="str">
        <f aca="false">IF($M2371="","",INDEX($A2371:$J2371,$R$6))</f>
        <v/>
      </c>
      <c r="S2371" s="37" t="str">
        <f aca="false">IF($M2371="","",IFERROR(INDEX(Settings!$B$27:$B$36,MATCH(L2371,Settings!$A$27:$A$36,0))&amp;"","UNMAPPED"))</f>
        <v/>
      </c>
      <c r="T2371" s="37" t="str">
        <f aca="false">IF($M2371="","",IF(NOT(ISNUMBER(R2371)),"NO DATE",IF(S2371="Won",IF(R2371&gt;Settings!$B$5,"Backlog","Delivered"),IF(S2371="Open",IF(R2371&gt;Settings!$B$5,"Pipeline","Overdue"),IF(S2371="Lost","Lost","UNMAPPED")))))</f>
        <v/>
      </c>
      <c r="U2371" s="40" t="n">
        <f aca="false">IF(T2371="Backlog",1,IF(OR(T2371="Pipeline",T2371="Overdue"),N(INDEX(Settings!$C$27:$C$36,MATCH(L2371,Settings!$A$27:$A$36,0))),0))</f>
        <v>0</v>
      </c>
      <c r="V2371" s="38" t="n">
        <f aca="false">Q2371*U2371</f>
        <v>0</v>
      </c>
      <c r="W2371" s="41" t="str">
        <f aca="false">IF($M2371="","",IF(T2371="Overdue",IF(Settings!$B$8="Yes",Settings!$B$7,""),IF(ISNUMBER(R2371),DATE(YEAR(R2371),MONTH(R2371),1),"")))</f>
        <v/>
      </c>
      <c r="X2371" s="38" t="n">
        <f aca="false">IF(AND(OR(T2371="Backlog",T2371="Pipeline",T2371="Overdue"),ISNUMBER(W2371)),IF(W2371&lt;=Settings!$B$6,V2371,0),0)</f>
        <v>0</v>
      </c>
      <c r="Y2371" s="38" t="n">
        <f aca="false">IF(AND(OR(T2371="Backlog",T2371="Pipeline",T2371="Overdue"),ISNUMBER(W2371)),IF(W2371&lt;=Settings!$B$6,Q2371,0),0)</f>
        <v>0</v>
      </c>
      <c r="Z2371" s="38" t="n">
        <f aca="false">IF(Y2371=0,0,IF(T2371="Backlog",Q2371,Q2371*Dashboard!$C$10))</f>
        <v>0</v>
      </c>
      <c r="AA2371" s="37" t="n">
        <f aca="false">IF($N2371="",0,IF(COUNTIF(Dashboard!$C$13:$C$22,$N2371)&gt;0,1,0))</f>
        <v>0</v>
      </c>
      <c r="AB2371" s="37" t="str">
        <f aca="false">IF($N2371="","",IF(COUNTIF($N$8:$N2371,$N2371)=1,MAX($AB$7:$AB2370)+1,""))</f>
        <v/>
      </c>
    </row>
    <row r="2372" customFormat="false" ht="15" hidden="false" customHeight="false" outlineLevel="0" collapsed="false">
      <c r="L2372" s="37" t="str">
        <f aca="false">IF(INDEX($A2372:$J2372,$L$6)&lt;&gt;"",TRIM(LEFT(INDEX($A2372:$J2372,$L$6),FIND("(",INDEX($A2372:$J2372,$L$6)&amp;"(")-1)),L2371)</f>
        <v>Building Value Proposition</v>
      </c>
      <c r="M2372" s="37" t="str">
        <f aca="false">IF(INDEX($A2372:$J2372,$M$6)="","",INDEX($A2372:$J2372,$M$6)&amp;"")</f>
        <v/>
      </c>
      <c r="N2372" s="37" t="str">
        <f aca="false">IF($M2372="","",TRIM(INDEX($A2372:$J2372,$N$6)&amp;""))</f>
        <v/>
      </c>
      <c r="O2372" s="37" t="str">
        <f aca="false">IF($M2372="","",TRIM(INDEX($A2372:$J2372,$O$6)&amp;""))</f>
        <v/>
      </c>
      <c r="P2372" s="37" t="str">
        <f aca="false">IF($M2372="","",IFERROR(IF(INDEX(Settings!$B$41:$B$50,MATCH(O2372,Settings!$A$41:$A$50,0))&amp;""="","UNMAPPED",INDEX(Settings!$B$41:$B$50,MATCH(O2372,Settings!$A$41:$A$50,0))&amp;""),"UNMAPPED"))</f>
        <v/>
      </c>
      <c r="Q2372" s="38" t="n">
        <f aca="false">IF($M2372="",0,N(INDEX($A2372:$J2372,$Q$6)))</f>
        <v>0</v>
      </c>
      <c r="R2372" s="39" t="str">
        <f aca="false">IF($M2372="","",INDEX($A2372:$J2372,$R$6))</f>
        <v/>
      </c>
      <c r="S2372" s="37" t="str">
        <f aca="false">IF($M2372="","",IFERROR(INDEX(Settings!$B$27:$B$36,MATCH(L2372,Settings!$A$27:$A$36,0))&amp;"","UNMAPPED"))</f>
        <v/>
      </c>
      <c r="T2372" s="37" t="str">
        <f aca="false">IF($M2372="","",IF(NOT(ISNUMBER(R2372)),"NO DATE",IF(S2372="Won",IF(R2372&gt;Settings!$B$5,"Backlog","Delivered"),IF(S2372="Open",IF(R2372&gt;Settings!$B$5,"Pipeline","Overdue"),IF(S2372="Lost","Lost","UNMAPPED")))))</f>
        <v/>
      </c>
      <c r="U2372" s="40" t="n">
        <f aca="false">IF(T2372="Backlog",1,IF(OR(T2372="Pipeline",T2372="Overdue"),N(INDEX(Settings!$C$27:$C$36,MATCH(L2372,Settings!$A$27:$A$36,0))),0))</f>
        <v>0</v>
      </c>
      <c r="V2372" s="38" t="n">
        <f aca="false">Q2372*U2372</f>
        <v>0</v>
      </c>
      <c r="W2372" s="41" t="str">
        <f aca="false">IF($M2372="","",IF(T2372="Overdue",IF(Settings!$B$8="Yes",Settings!$B$7,""),IF(ISNUMBER(R2372),DATE(YEAR(R2372),MONTH(R2372),1),"")))</f>
        <v/>
      </c>
      <c r="X2372" s="38" t="n">
        <f aca="false">IF(AND(OR(T2372="Backlog",T2372="Pipeline",T2372="Overdue"),ISNUMBER(W2372)),IF(W2372&lt;=Settings!$B$6,V2372,0),0)</f>
        <v>0</v>
      </c>
      <c r="Y2372" s="38" t="n">
        <f aca="false">IF(AND(OR(T2372="Backlog",T2372="Pipeline",T2372="Overdue"),ISNUMBER(W2372)),IF(W2372&lt;=Settings!$B$6,Q2372,0),0)</f>
        <v>0</v>
      </c>
      <c r="Z2372" s="38" t="n">
        <f aca="false">IF(Y2372=0,0,IF(T2372="Backlog",Q2372,Q2372*Dashboard!$C$10))</f>
        <v>0</v>
      </c>
      <c r="AA2372" s="37" t="n">
        <f aca="false">IF($N2372="",0,IF(COUNTIF(Dashboard!$C$13:$C$22,$N2372)&gt;0,1,0))</f>
        <v>0</v>
      </c>
      <c r="AB2372" s="37" t="str">
        <f aca="false">IF($N2372="","",IF(COUNTIF($N$8:$N2372,$N2372)=1,MAX($AB$7:$AB2371)+1,""))</f>
        <v/>
      </c>
    </row>
    <row r="2373" customFormat="false" ht="15" hidden="false" customHeight="false" outlineLevel="0" collapsed="false">
      <c r="L2373" s="37" t="str">
        <f aca="false">IF(INDEX($A2373:$J2373,$L$6)&lt;&gt;"",TRIM(LEFT(INDEX($A2373:$J2373,$L$6),FIND("(",INDEX($A2373:$J2373,$L$6)&amp;"(")-1)),L2372)</f>
        <v>Building Value Proposition</v>
      </c>
      <c r="M2373" s="37" t="str">
        <f aca="false">IF(INDEX($A2373:$J2373,$M$6)="","",INDEX($A2373:$J2373,$M$6)&amp;"")</f>
        <v/>
      </c>
      <c r="N2373" s="37" t="str">
        <f aca="false">IF($M2373="","",TRIM(INDEX($A2373:$J2373,$N$6)&amp;""))</f>
        <v/>
      </c>
      <c r="O2373" s="37" t="str">
        <f aca="false">IF($M2373="","",TRIM(INDEX($A2373:$J2373,$O$6)&amp;""))</f>
        <v/>
      </c>
      <c r="P2373" s="37" t="str">
        <f aca="false">IF($M2373="","",IFERROR(IF(INDEX(Settings!$B$41:$B$50,MATCH(O2373,Settings!$A$41:$A$50,0))&amp;""="","UNMAPPED",INDEX(Settings!$B$41:$B$50,MATCH(O2373,Settings!$A$41:$A$50,0))&amp;""),"UNMAPPED"))</f>
        <v/>
      </c>
      <c r="Q2373" s="38" t="n">
        <f aca="false">IF($M2373="",0,N(INDEX($A2373:$J2373,$Q$6)))</f>
        <v>0</v>
      </c>
      <c r="R2373" s="39" t="str">
        <f aca="false">IF($M2373="","",INDEX($A2373:$J2373,$R$6))</f>
        <v/>
      </c>
      <c r="S2373" s="37" t="str">
        <f aca="false">IF($M2373="","",IFERROR(INDEX(Settings!$B$27:$B$36,MATCH(L2373,Settings!$A$27:$A$36,0))&amp;"","UNMAPPED"))</f>
        <v/>
      </c>
      <c r="T2373" s="37" t="str">
        <f aca="false">IF($M2373="","",IF(NOT(ISNUMBER(R2373)),"NO DATE",IF(S2373="Won",IF(R2373&gt;Settings!$B$5,"Backlog","Delivered"),IF(S2373="Open",IF(R2373&gt;Settings!$B$5,"Pipeline","Overdue"),IF(S2373="Lost","Lost","UNMAPPED")))))</f>
        <v/>
      </c>
      <c r="U2373" s="40" t="n">
        <f aca="false">IF(T2373="Backlog",1,IF(OR(T2373="Pipeline",T2373="Overdue"),N(INDEX(Settings!$C$27:$C$36,MATCH(L2373,Settings!$A$27:$A$36,0))),0))</f>
        <v>0</v>
      </c>
      <c r="V2373" s="38" t="n">
        <f aca="false">Q2373*U2373</f>
        <v>0</v>
      </c>
      <c r="W2373" s="41" t="str">
        <f aca="false">IF($M2373="","",IF(T2373="Overdue",IF(Settings!$B$8="Yes",Settings!$B$7,""),IF(ISNUMBER(R2373),DATE(YEAR(R2373),MONTH(R2373),1),"")))</f>
        <v/>
      </c>
      <c r="X2373" s="38" t="n">
        <f aca="false">IF(AND(OR(T2373="Backlog",T2373="Pipeline",T2373="Overdue"),ISNUMBER(W2373)),IF(W2373&lt;=Settings!$B$6,V2373,0),0)</f>
        <v>0</v>
      </c>
      <c r="Y2373" s="38" t="n">
        <f aca="false">IF(AND(OR(T2373="Backlog",T2373="Pipeline",T2373="Overdue"),ISNUMBER(W2373)),IF(W2373&lt;=Settings!$B$6,Q2373,0),0)</f>
        <v>0</v>
      </c>
      <c r="Z2373" s="38" t="n">
        <f aca="false">IF(Y2373=0,0,IF(T2373="Backlog",Q2373,Q2373*Dashboard!$C$10))</f>
        <v>0</v>
      </c>
      <c r="AA2373" s="37" t="n">
        <f aca="false">IF($N2373="",0,IF(COUNTIF(Dashboard!$C$13:$C$22,$N2373)&gt;0,1,0))</f>
        <v>0</v>
      </c>
      <c r="AB2373" s="37" t="str">
        <f aca="false">IF($N2373="","",IF(COUNTIF($N$8:$N2373,$N2373)=1,MAX($AB$7:$AB2372)+1,""))</f>
        <v/>
      </c>
    </row>
    <row r="2374" customFormat="false" ht="15" hidden="false" customHeight="false" outlineLevel="0" collapsed="false">
      <c r="L2374" s="37" t="str">
        <f aca="false">IF(INDEX($A2374:$J2374,$L$6)&lt;&gt;"",TRIM(LEFT(INDEX($A2374:$J2374,$L$6),FIND("(",INDEX($A2374:$J2374,$L$6)&amp;"(")-1)),L2373)</f>
        <v>Building Value Proposition</v>
      </c>
      <c r="M2374" s="37" t="str">
        <f aca="false">IF(INDEX($A2374:$J2374,$M$6)="","",INDEX($A2374:$J2374,$M$6)&amp;"")</f>
        <v/>
      </c>
      <c r="N2374" s="37" t="str">
        <f aca="false">IF($M2374="","",TRIM(INDEX($A2374:$J2374,$N$6)&amp;""))</f>
        <v/>
      </c>
      <c r="O2374" s="37" t="str">
        <f aca="false">IF($M2374="","",TRIM(INDEX($A2374:$J2374,$O$6)&amp;""))</f>
        <v/>
      </c>
      <c r="P2374" s="37" t="str">
        <f aca="false">IF($M2374="","",IFERROR(IF(INDEX(Settings!$B$41:$B$50,MATCH(O2374,Settings!$A$41:$A$50,0))&amp;""="","UNMAPPED",INDEX(Settings!$B$41:$B$50,MATCH(O2374,Settings!$A$41:$A$50,0))&amp;""),"UNMAPPED"))</f>
        <v/>
      </c>
      <c r="Q2374" s="38" t="n">
        <f aca="false">IF($M2374="",0,N(INDEX($A2374:$J2374,$Q$6)))</f>
        <v>0</v>
      </c>
      <c r="R2374" s="39" t="str">
        <f aca="false">IF($M2374="","",INDEX($A2374:$J2374,$R$6))</f>
        <v/>
      </c>
      <c r="S2374" s="37" t="str">
        <f aca="false">IF($M2374="","",IFERROR(INDEX(Settings!$B$27:$B$36,MATCH(L2374,Settings!$A$27:$A$36,0))&amp;"","UNMAPPED"))</f>
        <v/>
      </c>
      <c r="T2374" s="37" t="str">
        <f aca="false">IF($M2374="","",IF(NOT(ISNUMBER(R2374)),"NO DATE",IF(S2374="Won",IF(R2374&gt;Settings!$B$5,"Backlog","Delivered"),IF(S2374="Open",IF(R2374&gt;Settings!$B$5,"Pipeline","Overdue"),IF(S2374="Lost","Lost","UNMAPPED")))))</f>
        <v/>
      </c>
      <c r="U2374" s="40" t="n">
        <f aca="false">IF(T2374="Backlog",1,IF(OR(T2374="Pipeline",T2374="Overdue"),N(INDEX(Settings!$C$27:$C$36,MATCH(L2374,Settings!$A$27:$A$36,0))),0))</f>
        <v>0</v>
      </c>
      <c r="V2374" s="38" t="n">
        <f aca="false">Q2374*U2374</f>
        <v>0</v>
      </c>
      <c r="W2374" s="41" t="str">
        <f aca="false">IF($M2374="","",IF(T2374="Overdue",IF(Settings!$B$8="Yes",Settings!$B$7,""),IF(ISNUMBER(R2374),DATE(YEAR(R2374),MONTH(R2374),1),"")))</f>
        <v/>
      </c>
      <c r="X2374" s="38" t="n">
        <f aca="false">IF(AND(OR(T2374="Backlog",T2374="Pipeline",T2374="Overdue"),ISNUMBER(W2374)),IF(W2374&lt;=Settings!$B$6,V2374,0),0)</f>
        <v>0</v>
      </c>
      <c r="Y2374" s="38" t="n">
        <f aca="false">IF(AND(OR(T2374="Backlog",T2374="Pipeline",T2374="Overdue"),ISNUMBER(W2374)),IF(W2374&lt;=Settings!$B$6,Q2374,0),0)</f>
        <v>0</v>
      </c>
      <c r="Z2374" s="38" t="n">
        <f aca="false">IF(Y2374=0,0,IF(T2374="Backlog",Q2374,Q2374*Dashboard!$C$10))</f>
        <v>0</v>
      </c>
      <c r="AA2374" s="37" t="n">
        <f aca="false">IF($N2374="",0,IF(COUNTIF(Dashboard!$C$13:$C$22,$N2374)&gt;0,1,0))</f>
        <v>0</v>
      </c>
      <c r="AB2374" s="37" t="str">
        <f aca="false">IF($N2374="","",IF(COUNTIF($N$8:$N2374,$N2374)=1,MAX($AB$7:$AB2373)+1,""))</f>
        <v/>
      </c>
    </row>
    <row r="2375" customFormat="false" ht="15" hidden="false" customHeight="false" outlineLevel="0" collapsed="false">
      <c r="L2375" s="37" t="str">
        <f aca="false">IF(INDEX($A2375:$J2375,$L$6)&lt;&gt;"",TRIM(LEFT(INDEX($A2375:$J2375,$L$6),FIND("(",INDEX($A2375:$J2375,$L$6)&amp;"(")-1)),L2374)</f>
        <v>Building Value Proposition</v>
      </c>
      <c r="M2375" s="37" t="str">
        <f aca="false">IF(INDEX($A2375:$J2375,$M$6)="","",INDEX($A2375:$J2375,$M$6)&amp;"")</f>
        <v/>
      </c>
      <c r="N2375" s="37" t="str">
        <f aca="false">IF($M2375="","",TRIM(INDEX($A2375:$J2375,$N$6)&amp;""))</f>
        <v/>
      </c>
      <c r="O2375" s="37" t="str">
        <f aca="false">IF($M2375="","",TRIM(INDEX($A2375:$J2375,$O$6)&amp;""))</f>
        <v/>
      </c>
      <c r="P2375" s="37" t="str">
        <f aca="false">IF($M2375="","",IFERROR(IF(INDEX(Settings!$B$41:$B$50,MATCH(O2375,Settings!$A$41:$A$50,0))&amp;""="","UNMAPPED",INDEX(Settings!$B$41:$B$50,MATCH(O2375,Settings!$A$41:$A$50,0))&amp;""),"UNMAPPED"))</f>
        <v/>
      </c>
      <c r="Q2375" s="38" t="n">
        <f aca="false">IF($M2375="",0,N(INDEX($A2375:$J2375,$Q$6)))</f>
        <v>0</v>
      </c>
      <c r="R2375" s="39" t="str">
        <f aca="false">IF($M2375="","",INDEX($A2375:$J2375,$R$6))</f>
        <v/>
      </c>
      <c r="S2375" s="37" t="str">
        <f aca="false">IF($M2375="","",IFERROR(INDEX(Settings!$B$27:$B$36,MATCH(L2375,Settings!$A$27:$A$36,0))&amp;"","UNMAPPED"))</f>
        <v/>
      </c>
      <c r="T2375" s="37" t="str">
        <f aca="false">IF($M2375="","",IF(NOT(ISNUMBER(R2375)),"NO DATE",IF(S2375="Won",IF(R2375&gt;Settings!$B$5,"Backlog","Delivered"),IF(S2375="Open",IF(R2375&gt;Settings!$B$5,"Pipeline","Overdue"),IF(S2375="Lost","Lost","UNMAPPED")))))</f>
        <v/>
      </c>
      <c r="U2375" s="40" t="n">
        <f aca="false">IF(T2375="Backlog",1,IF(OR(T2375="Pipeline",T2375="Overdue"),N(INDEX(Settings!$C$27:$C$36,MATCH(L2375,Settings!$A$27:$A$36,0))),0))</f>
        <v>0</v>
      </c>
      <c r="V2375" s="38" t="n">
        <f aca="false">Q2375*U2375</f>
        <v>0</v>
      </c>
      <c r="W2375" s="41" t="str">
        <f aca="false">IF($M2375="","",IF(T2375="Overdue",IF(Settings!$B$8="Yes",Settings!$B$7,""),IF(ISNUMBER(R2375),DATE(YEAR(R2375),MONTH(R2375),1),"")))</f>
        <v/>
      </c>
      <c r="X2375" s="38" t="n">
        <f aca="false">IF(AND(OR(T2375="Backlog",T2375="Pipeline",T2375="Overdue"),ISNUMBER(W2375)),IF(W2375&lt;=Settings!$B$6,V2375,0),0)</f>
        <v>0</v>
      </c>
      <c r="Y2375" s="38" t="n">
        <f aca="false">IF(AND(OR(T2375="Backlog",T2375="Pipeline",T2375="Overdue"),ISNUMBER(W2375)),IF(W2375&lt;=Settings!$B$6,Q2375,0),0)</f>
        <v>0</v>
      </c>
      <c r="Z2375" s="38" t="n">
        <f aca="false">IF(Y2375=0,0,IF(T2375="Backlog",Q2375,Q2375*Dashboard!$C$10))</f>
        <v>0</v>
      </c>
      <c r="AA2375" s="37" t="n">
        <f aca="false">IF($N2375="",0,IF(COUNTIF(Dashboard!$C$13:$C$22,$N2375)&gt;0,1,0))</f>
        <v>0</v>
      </c>
      <c r="AB2375" s="37" t="str">
        <f aca="false">IF($N2375="","",IF(COUNTIF($N$8:$N2375,$N2375)=1,MAX($AB$7:$AB2374)+1,""))</f>
        <v/>
      </c>
    </row>
    <row r="2376" customFormat="false" ht="15" hidden="false" customHeight="false" outlineLevel="0" collapsed="false">
      <c r="L2376" s="37" t="str">
        <f aca="false">IF(INDEX($A2376:$J2376,$L$6)&lt;&gt;"",TRIM(LEFT(INDEX($A2376:$J2376,$L$6),FIND("(",INDEX($A2376:$J2376,$L$6)&amp;"(")-1)),L2375)</f>
        <v>Building Value Proposition</v>
      </c>
      <c r="M2376" s="37" t="str">
        <f aca="false">IF(INDEX($A2376:$J2376,$M$6)="","",INDEX($A2376:$J2376,$M$6)&amp;"")</f>
        <v/>
      </c>
      <c r="N2376" s="37" t="str">
        <f aca="false">IF($M2376="","",TRIM(INDEX($A2376:$J2376,$N$6)&amp;""))</f>
        <v/>
      </c>
      <c r="O2376" s="37" t="str">
        <f aca="false">IF($M2376="","",TRIM(INDEX($A2376:$J2376,$O$6)&amp;""))</f>
        <v/>
      </c>
      <c r="P2376" s="37" t="str">
        <f aca="false">IF($M2376="","",IFERROR(IF(INDEX(Settings!$B$41:$B$50,MATCH(O2376,Settings!$A$41:$A$50,0))&amp;""="","UNMAPPED",INDEX(Settings!$B$41:$B$50,MATCH(O2376,Settings!$A$41:$A$50,0))&amp;""),"UNMAPPED"))</f>
        <v/>
      </c>
      <c r="Q2376" s="38" t="n">
        <f aca="false">IF($M2376="",0,N(INDEX($A2376:$J2376,$Q$6)))</f>
        <v>0</v>
      </c>
      <c r="R2376" s="39" t="str">
        <f aca="false">IF($M2376="","",INDEX($A2376:$J2376,$R$6))</f>
        <v/>
      </c>
      <c r="S2376" s="37" t="str">
        <f aca="false">IF($M2376="","",IFERROR(INDEX(Settings!$B$27:$B$36,MATCH(L2376,Settings!$A$27:$A$36,0))&amp;"","UNMAPPED"))</f>
        <v/>
      </c>
      <c r="T2376" s="37" t="str">
        <f aca="false">IF($M2376="","",IF(NOT(ISNUMBER(R2376)),"NO DATE",IF(S2376="Won",IF(R2376&gt;Settings!$B$5,"Backlog","Delivered"),IF(S2376="Open",IF(R2376&gt;Settings!$B$5,"Pipeline","Overdue"),IF(S2376="Lost","Lost","UNMAPPED")))))</f>
        <v/>
      </c>
      <c r="U2376" s="40" t="n">
        <f aca="false">IF(T2376="Backlog",1,IF(OR(T2376="Pipeline",T2376="Overdue"),N(INDEX(Settings!$C$27:$C$36,MATCH(L2376,Settings!$A$27:$A$36,0))),0))</f>
        <v>0</v>
      </c>
      <c r="V2376" s="38" t="n">
        <f aca="false">Q2376*U2376</f>
        <v>0</v>
      </c>
      <c r="W2376" s="41" t="str">
        <f aca="false">IF($M2376="","",IF(T2376="Overdue",IF(Settings!$B$8="Yes",Settings!$B$7,""),IF(ISNUMBER(R2376),DATE(YEAR(R2376),MONTH(R2376),1),"")))</f>
        <v/>
      </c>
      <c r="X2376" s="38" t="n">
        <f aca="false">IF(AND(OR(T2376="Backlog",T2376="Pipeline",T2376="Overdue"),ISNUMBER(W2376)),IF(W2376&lt;=Settings!$B$6,V2376,0),0)</f>
        <v>0</v>
      </c>
      <c r="Y2376" s="38" t="n">
        <f aca="false">IF(AND(OR(T2376="Backlog",T2376="Pipeline",T2376="Overdue"),ISNUMBER(W2376)),IF(W2376&lt;=Settings!$B$6,Q2376,0),0)</f>
        <v>0</v>
      </c>
      <c r="Z2376" s="38" t="n">
        <f aca="false">IF(Y2376=0,0,IF(T2376="Backlog",Q2376,Q2376*Dashboard!$C$10))</f>
        <v>0</v>
      </c>
      <c r="AA2376" s="37" t="n">
        <f aca="false">IF($N2376="",0,IF(COUNTIF(Dashboard!$C$13:$C$22,$N2376)&gt;0,1,0))</f>
        <v>0</v>
      </c>
      <c r="AB2376" s="37" t="str">
        <f aca="false">IF($N2376="","",IF(COUNTIF($N$8:$N2376,$N2376)=1,MAX($AB$7:$AB2375)+1,""))</f>
        <v/>
      </c>
    </row>
    <row r="2377" customFormat="false" ht="15" hidden="false" customHeight="false" outlineLevel="0" collapsed="false">
      <c r="L2377" s="37" t="str">
        <f aca="false">IF(INDEX($A2377:$J2377,$L$6)&lt;&gt;"",TRIM(LEFT(INDEX($A2377:$J2377,$L$6),FIND("(",INDEX($A2377:$J2377,$L$6)&amp;"(")-1)),L2376)</f>
        <v>Building Value Proposition</v>
      </c>
      <c r="M2377" s="37" t="str">
        <f aca="false">IF(INDEX($A2377:$J2377,$M$6)="","",INDEX($A2377:$J2377,$M$6)&amp;"")</f>
        <v/>
      </c>
      <c r="N2377" s="37" t="str">
        <f aca="false">IF($M2377="","",TRIM(INDEX($A2377:$J2377,$N$6)&amp;""))</f>
        <v/>
      </c>
      <c r="O2377" s="37" t="str">
        <f aca="false">IF($M2377="","",TRIM(INDEX($A2377:$J2377,$O$6)&amp;""))</f>
        <v/>
      </c>
      <c r="P2377" s="37" t="str">
        <f aca="false">IF($M2377="","",IFERROR(IF(INDEX(Settings!$B$41:$B$50,MATCH(O2377,Settings!$A$41:$A$50,0))&amp;""="","UNMAPPED",INDEX(Settings!$B$41:$B$50,MATCH(O2377,Settings!$A$41:$A$50,0))&amp;""),"UNMAPPED"))</f>
        <v/>
      </c>
      <c r="Q2377" s="38" t="n">
        <f aca="false">IF($M2377="",0,N(INDEX($A2377:$J2377,$Q$6)))</f>
        <v>0</v>
      </c>
      <c r="R2377" s="39" t="str">
        <f aca="false">IF($M2377="","",INDEX($A2377:$J2377,$R$6))</f>
        <v/>
      </c>
      <c r="S2377" s="37" t="str">
        <f aca="false">IF($M2377="","",IFERROR(INDEX(Settings!$B$27:$B$36,MATCH(L2377,Settings!$A$27:$A$36,0))&amp;"","UNMAPPED"))</f>
        <v/>
      </c>
      <c r="T2377" s="37" t="str">
        <f aca="false">IF($M2377="","",IF(NOT(ISNUMBER(R2377)),"NO DATE",IF(S2377="Won",IF(R2377&gt;Settings!$B$5,"Backlog","Delivered"),IF(S2377="Open",IF(R2377&gt;Settings!$B$5,"Pipeline","Overdue"),IF(S2377="Lost","Lost","UNMAPPED")))))</f>
        <v/>
      </c>
      <c r="U2377" s="40" t="n">
        <f aca="false">IF(T2377="Backlog",1,IF(OR(T2377="Pipeline",T2377="Overdue"),N(INDEX(Settings!$C$27:$C$36,MATCH(L2377,Settings!$A$27:$A$36,0))),0))</f>
        <v>0</v>
      </c>
      <c r="V2377" s="38" t="n">
        <f aca="false">Q2377*U2377</f>
        <v>0</v>
      </c>
      <c r="W2377" s="41" t="str">
        <f aca="false">IF($M2377="","",IF(T2377="Overdue",IF(Settings!$B$8="Yes",Settings!$B$7,""),IF(ISNUMBER(R2377),DATE(YEAR(R2377),MONTH(R2377),1),"")))</f>
        <v/>
      </c>
      <c r="X2377" s="38" t="n">
        <f aca="false">IF(AND(OR(T2377="Backlog",T2377="Pipeline",T2377="Overdue"),ISNUMBER(W2377)),IF(W2377&lt;=Settings!$B$6,V2377,0),0)</f>
        <v>0</v>
      </c>
      <c r="Y2377" s="38" t="n">
        <f aca="false">IF(AND(OR(T2377="Backlog",T2377="Pipeline",T2377="Overdue"),ISNUMBER(W2377)),IF(W2377&lt;=Settings!$B$6,Q2377,0),0)</f>
        <v>0</v>
      </c>
      <c r="Z2377" s="38" t="n">
        <f aca="false">IF(Y2377=0,0,IF(T2377="Backlog",Q2377,Q2377*Dashboard!$C$10))</f>
        <v>0</v>
      </c>
      <c r="AA2377" s="37" t="n">
        <f aca="false">IF($N2377="",0,IF(COUNTIF(Dashboard!$C$13:$C$22,$N2377)&gt;0,1,0))</f>
        <v>0</v>
      </c>
      <c r="AB2377" s="37" t="str">
        <f aca="false">IF($N2377="","",IF(COUNTIF($N$8:$N2377,$N2377)=1,MAX($AB$7:$AB2376)+1,""))</f>
        <v/>
      </c>
    </row>
    <row r="2378" customFormat="false" ht="15" hidden="false" customHeight="false" outlineLevel="0" collapsed="false">
      <c r="L2378" s="37" t="str">
        <f aca="false">IF(INDEX($A2378:$J2378,$L$6)&lt;&gt;"",TRIM(LEFT(INDEX($A2378:$J2378,$L$6),FIND("(",INDEX($A2378:$J2378,$L$6)&amp;"(")-1)),L2377)</f>
        <v>Building Value Proposition</v>
      </c>
      <c r="M2378" s="37" t="str">
        <f aca="false">IF(INDEX($A2378:$J2378,$M$6)="","",INDEX($A2378:$J2378,$M$6)&amp;"")</f>
        <v/>
      </c>
      <c r="N2378" s="37" t="str">
        <f aca="false">IF($M2378="","",TRIM(INDEX($A2378:$J2378,$N$6)&amp;""))</f>
        <v/>
      </c>
      <c r="O2378" s="37" t="str">
        <f aca="false">IF($M2378="","",TRIM(INDEX($A2378:$J2378,$O$6)&amp;""))</f>
        <v/>
      </c>
      <c r="P2378" s="37" t="str">
        <f aca="false">IF($M2378="","",IFERROR(IF(INDEX(Settings!$B$41:$B$50,MATCH(O2378,Settings!$A$41:$A$50,0))&amp;""="","UNMAPPED",INDEX(Settings!$B$41:$B$50,MATCH(O2378,Settings!$A$41:$A$50,0))&amp;""),"UNMAPPED"))</f>
        <v/>
      </c>
      <c r="Q2378" s="38" t="n">
        <f aca="false">IF($M2378="",0,N(INDEX($A2378:$J2378,$Q$6)))</f>
        <v>0</v>
      </c>
      <c r="R2378" s="39" t="str">
        <f aca="false">IF($M2378="","",INDEX($A2378:$J2378,$R$6))</f>
        <v/>
      </c>
      <c r="S2378" s="37" t="str">
        <f aca="false">IF($M2378="","",IFERROR(INDEX(Settings!$B$27:$B$36,MATCH(L2378,Settings!$A$27:$A$36,0))&amp;"","UNMAPPED"))</f>
        <v/>
      </c>
      <c r="T2378" s="37" t="str">
        <f aca="false">IF($M2378="","",IF(NOT(ISNUMBER(R2378)),"NO DATE",IF(S2378="Won",IF(R2378&gt;Settings!$B$5,"Backlog","Delivered"),IF(S2378="Open",IF(R2378&gt;Settings!$B$5,"Pipeline","Overdue"),IF(S2378="Lost","Lost","UNMAPPED")))))</f>
        <v/>
      </c>
      <c r="U2378" s="40" t="n">
        <f aca="false">IF(T2378="Backlog",1,IF(OR(T2378="Pipeline",T2378="Overdue"),N(INDEX(Settings!$C$27:$C$36,MATCH(L2378,Settings!$A$27:$A$36,0))),0))</f>
        <v>0</v>
      </c>
      <c r="V2378" s="38" t="n">
        <f aca="false">Q2378*U2378</f>
        <v>0</v>
      </c>
      <c r="W2378" s="41" t="str">
        <f aca="false">IF($M2378="","",IF(T2378="Overdue",IF(Settings!$B$8="Yes",Settings!$B$7,""),IF(ISNUMBER(R2378),DATE(YEAR(R2378),MONTH(R2378),1),"")))</f>
        <v/>
      </c>
      <c r="X2378" s="38" t="n">
        <f aca="false">IF(AND(OR(T2378="Backlog",T2378="Pipeline",T2378="Overdue"),ISNUMBER(W2378)),IF(W2378&lt;=Settings!$B$6,V2378,0),0)</f>
        <v>0</v>
      </c>
      <c r="Y2378" s="38" t="n">
        <f aca="false">IF(AND(OR(T2378="Backlog",T2378="Pipeline",T2378="Overdue"),ISNUMBER(W2378)),IF(W2378&lt;=Settings!$B$6,Q2378,0),0)</f>
        <v>0</v>
      </c>
      <c r="Z2378" s="38" t="n">
        <f aca="false">IF(Y2378=0,0,IF(T2378="Backlog",Q2378,Q2378*Dashboard!$C$10))</f>
        <v>0</v>
      </c>
      <c r="AA2378" s="37" t="n">
        <f aca="false">IF($N2378="",0,IF(COUNTIF(Dashboard!$C$13:$C$22,$N2378)&gt;0,1,0))</f>
        <v>0</v>
      </c>
      <c r="AB2378" s="37" t="str">
        <f aca="false">IF($N2378="","",IF(COUNTIF($N$8:$N2378,$N2378)=1,MAX($AB$7:$AB2377)+1,""))</f>
        <v/>
      </c>
    </row>
    <row r="2379" customFormat="false" ht="15" hidden="false" customHeight="false" outlineLevel="0" collapsed="false">
      <c r="L2379" s="37" t="str">
        <f aca="false">IF(INDEX($A2379:$J2379,$L$6)&lt;&gt;"",TRIM(LEFT(INDEX($A2379:$J2379,$L$6),FIND("(",INDEX($A2379:$J2379,$L$6)&amp;"(")-1)),L2378)</f>
        <v>Building Value Proposition</v>
      </c>
      <c r="M2379" s="37" t="str">
        <f aca="false">IF(INDEX($A2379:$J2379,$M$6)="","",INDEX($A2379:$J2379,$M$6)&amp;"")</f>
        <v/>
      </c>
      <c r="N2379" s="37" t="str">
        <f aca="false">IF($M2379="","",TRIM(INDEX($A2379:$J2379,$N$6)&amp;""))</f>
        <v/>
      </c>
      <c r="O2379" s="37" t="str">
        <f aca="false">IF($M2379="","",TRIM(INDEX($A2379:$J2379,$O$6)&amp;""))</f>
        <v/>
      </c>
      <c r="P2379" s="37" t="str">
        <f aca="false">IF($M2379="","",IFERROR(IF(INDEX(Settings!$B$41:$B$50,MATCH(O2379,Settings!$A$41:$A$50,0))&amp;""="","UNMAPPED",INDEX(Settings!$B$41:$B$50,MATCH(O2379,Settings!$A$41:$A$50,0))&amp;""),"UNMAPPED"))</f>
        <v/>
      </c>
      <c r="Q2379" s="38" t="n">
        <f aca="false">IF($M2379="",0,N(INDEX($A2379:$J2379,$Q$6)))</f>
        <v>0</v>
      </c>
      <c r="R2379" s="39" t="str">
        <f aca="false">IF($M2379="","",INDEX($A2379:$J2379,$R$6))</f>
        <v/>
      </c>
      <c r="S2379" s="37" t="str">
        <f aca="false">IF($M2379="","",IFERROR(INDEX(Settings!$B$27:$B$36,MATCH(L2379,Settings!$A$27:$A$36,0))&amp;"","UNMAPPED"))</f>
        <v/>
      </c>
      <c r="T2379" s="37" t="str">
        <f aca="false">IF($M2379="","",IF(NOT(ISNUMBER(R2379)),"NO DATE",IF(S2379="Won",IF(R2379&gt;Settings!$B$5,"Backlog","Delivered"),IF(S2379="Open",IF(R2379&gt;Settings!$B$5,"Pipeline","Overdue"),IF(S2379="Lost","Lost","UNMAPPED")))))</f>
        <v/>
      </c>
      <c r="U2379" s="40" t="n">
        <f aca="false">IF(T2379="Backlog",1,IF(OR(T2379="Pipeline",T2379="Overdue"),N(INDEX(Settings!$C$27:$C$36,MATCH(L2379,Settings!$A$27:$A$36,0))),0))</f>
        <v>0</v>
      </c>
      <c r="V2379" s="38" t="n">
        <f aca="false">Q2379*U2379</f>
        <v>0</v>
      </c>
      <c r="W2379" s="41" t="str">
        <f aca="false">IF($M2379="","",IF(T2379="Overdue",IF(Settings!$B$8="Yes",Settings!$B$7,""),IF(ISNUMBER(R2379),DATE(YEAR(R2379),MONTH(R2379),1),"")))</f>
        <v/>
      </c>
      <c r="X2379" s="38" t="n">
        <f aca="false">IF(AND(OR(T2379="Backlog",T2379="Pipeline",T2379="Overdue"),ISNUMBER(W2379)),IF(W2379&lt;=Settings!$B$6,V2379,0),0)</f>
        <v>0</v>
      </c>
      <c r="Y2379" s="38" t="n">
        <f aca="false">IF(AND(OR(T2379="Backlog",T2379="Pipeline",T2379="Overdue"),ISNUMBER(W2379)),IF(W2379&lt;=Settings!$B$6,Q2379,0),0)</f>
        <v>0</v>
      </c>
      <c r="Z2379" s="38" t="n">
        <f aca="false">IF(Y2379=0,0,IF(T2379="Backlog",Q2379,Q2379*Dashboard!$C$10))</f>
        <v>0</v>
      </c>
      <c r="AA2379" s="37" t="n">
        <f aca="false">IF($N2379="",0,IF(COUNTIF(Dashboard!$C$13:$C$22,$N2379)&gt;0,1,0))</f>
        <v>0</v>
      </c>
      <c r="AB2379" s="37" t="str">
        <f aca="false">IF($N2379="","",IF(COUNTIF($N$8:$N2379,$N2379)=1,MAX($AB$7:$AB2378)+1,""))</f>
        <v/>
      </c>
    </row>
    <row r="2380" customFormat="false" ht="15" hidden="false" customHeight="false" outlineLevel="0" collapsed="false">
      <c r="L2380" s="37" t="str">
        <f aca="false">IF(INDEX($A2380:$J2380,$L$6)&lt;&gt;"",TRIM(LEFT(INDEX($A2380:$J2380,$L$6),FIND("(",INDEX($A2380:$J2380,$L$6)&amp;"(")-1)),L2379)</f>
        <v>Building Value Proposition</v>
      </c>
      <c r="M2380" s="37" t="str">
        <f aca="false">IF(INDEX($A2380:$J2380,$M$6)="","",INDEX($A2380:$J2380,$M$6)&amp;"")</f>
        <v/>
      </c>
      <c r="N2380" s="37" t="str">
        <f aca="false">IF($M2380="","",TRIM(INDEX($A2380:$J2380,$N$6)&amp;""))</f>
        <v/>
      </c>
      <c r="O2380" s="37" t="str">
        <f aca="false">IF($M2380="","",TRIM(INDEX($A2380:$J2380,$O$6)&amp;""))</f>
        <v/>
      </c>
      <c r="P2380" s="37" t="str">
        <f aca="false">IF($M2380="","",IFERROR(IF(INDEX(Settings!$B$41:$B$50,MATCH(O2380,Settings!$A$41:$A$50,0))&amp;""="","UNMAPPED",INDEX(Settings!$B$41:$B$50,MATCH(O2380,Settings!$A$41:$A$50,0))&amp;""),"UNMAPPED"))</f>
        <v/>
      </c>
      <c r="Q2380" s="38" t="n">
        <f aca="false">IF($M2380="",0,N(INDEX($A2380:$J2380,$Q$6)))</f>
        <v>0</v>
      </c>
      <c r="R2380" s="39" t="str">
        <f aca="false">IF($M2380="","",INDEX($A2380:$J2380,$R$6))</f>
        <v/>
      </c>
      <c r="S2380" s="37" t="str">
        <f aca="false">IF($M2380="","",IFERROR(INDEX(Settings!$B$27:$B$36,MATCH(L2380,Settings!$A$27:$A$36,0))&amp;"","UNMAPPED"))</f>
        <v/>
      </c>
      <c r="T2380" s="37" t="str">
        <f aca="false">IF($M2380="","",IF(NOT(ISNUMBER(R2380)),"NO DATE",IF(S2380="Won",IF(R2380&gt;Settings!$B$5,"Backlog","Delivered"),IF(S2380="Open",IF(R2380&gt;Settings!$B$5,"Pipeline","Overdue"),IF(S2380="Lost","Lost","UNMAPPED")))))</f>
        <v/>
      </c>
      <c r="U2380" s="40" t="n">
        <f aca="false">IF(T2380="Backlog",1,IF(OR(T2380="Pipeline",T2380="Overdue"),N(INDEX(Settings!$C$27:$C$36,MATCH(L2380,Settings!$A$27:$A$36,0))),0))</f>
        <v>0</v>
      </c>
      <c r="V2380" s="38" t="n">
        <f aca="false">Q2380*U2380</f>
        <v>0</v>
      </c>
      <c r="W2380" s="41" t="str">
        <f aca="false">IF($M2380="","",IF(T2380="Overdue",IF(Settings!$B$8="Yes",Settings!$B$7,""),IF(ISNUMBER(R2380),DATE(YEAR(R2380),MONTH(R2380),1),"")))</f>
        <v/>
      </c>
      <c r="X2380" s="38" t="n">
        <f aca="false">IF(AND(OR(T2380="Backlog",T2380="Pipeline",T2380="Overdue"),ISNUMBER(W2380)),IF(W2380&lt;=Settings!$B$6,V2380,0),0)</f>
        <v>0</v>
      </c>
      <c r="Y2380" s="38" t="n">
        <f aca="false">IF(AND(OR(T2380="Backlog",T2380="Pipeline",T2380="Overdue"),ISNUMBER(W2380)),IF(W2380&lt;=Settings!$B$6,Q2380,0),0)</f>
        <v>0</v>
      </c>
      <c r="Z2380" s="38" t="n">
        <f aca="false">IF(Y2380=0,0,IF(T2380="Backlog",Q2380,Q2380*Dashboard!$C$10))</f>
        <v>0</v>
      </c>
      <c r="AA2380" s="37" t="n">
        <f aca="false">IF($N2380="",0,IF(COUNTIF(Dashboard!$C$13:$C$22,$N2380)&gt;0,1,0))</f>
        <v>0</v>
      </c>
      <c r="AB2380" s="37" t="str">
        <f aca="false">IF($N2380="","",IF(COUNTIF($N$8:$N2380,$N2380)=1,MAX($AB$7:$AB2379)+1,""))</f>
        <v/>
      </c>
    </row>
    <row r="2381" customFormat="false" ht="15" hidden="false" customHeight="false" outlineLevel="0" collapsed="false">
      <c r="L2381" s="37" t="str">
        <f aca="false">IF(INDEX($A2381:$J2381,$L$6)&lt;&gt;"",TRIM(LEFT(INDEX($A2381:$J2381,$L$6),FIND("(",INDEX($A2381:$J2381,$L$6)&amp;"(")-1)),L2380)</f>
        <v>Building Value Proposition</v>
      </c>
      <c r="M2381" s="37" t="str">
        <f aca="false">IF(INDEX($A2381:$J2381,$M$6)="","",INDEX($A2381:$J2381,$M$6)&amp;"")</f>
        <v/>
      </c>
      <c r="N2381" s="37" t="str">
        <f aca="false">IF($M2381="","",TRIM(INDEX($A2381:$J2381,$N$6)&amp;""))</f>
        <v/>
      </c>
      <c r="O2381" s="37" t="str">
        <f aca="false">IF($M2381="","",TRIM(INDEX($A2381:$J2381,$O$6)&amp;""))</f>
        <v/>
      </c>
      <c r="P2381" s="37" t="str">
        <f aca="false">IF($M2381="","",IFERROR(IF(INDEX(Settings!$B$41:$B$50,MATCH(O2381,Settings!$A$41:$A$50,0))&amp;""="","UNMAPPED",INDEX(Settings!$B$41:$B$50,MATCH(O2381,Settings!$A$41:$A$50,0))&amp;""),"UNMAPPED"))</f>
        <v/>
      </c>
      <c r="Q2381" s="38" t="n">
        <f aca="false">IF($M2381="",0,N(INDEX($A2381:$J2381,$Q$6)))</f>
        <v>0</v>
      </c>
      <c r="R2381" s="39" t="str">
        <f aca="false">IF($M2381="","",INDEX($A2381:$J2381,$R$6))</f>
        <v/>
      </c>
      <c r="S2381" s="37" t="str">
        <f aca="false">IF($M2381="","",IFERROR(INDEX(Settings!$B$27:$B$36,MATCH(L2381,Settings!$A$27:$A$36,0))&amp;"","UNMAPPED"))</f>
        <v/>
      </c>
      <c r="T2381" s="37" t="str">
        <f aca="false">IF($M2381="","",IF(NOT(ISNUMBER(R2381)),"NO DATE",IF(S2381="Won",IF(R2381&gt;Settings!$B$5,"Backlog","Delivered"),IF(S2381="Open",IF(R2381&gt;Settings!$B$5,"Pipeline","Overdue"),IF(S2381="Lost","Lost","UNMAPPED")))))</f>
        <v/>
      </c>
      <c r="U2381" s="40" t="n">
        <f aca="false">IF(T2381="Backlog",1,IF(OR(T2381="Pipeline",T2381="Overdue"),N(INDEX(Settings!$C$27:$C$36,MATCH(L2381,Settings!$A$27:$A$36,0))),0))</f>
        <v>0</v>
      </c>
      <c r="V2381" s="38" t="n">
        <f aca="false">Q2381*U2381</f>
        <v>0</v>
      </c>
      <c r="W2381" s="41" t="str">
        <f aca="false">IF($M2381="","",IF(T2381="Overdue",IF(Settings!$B$8="Yes",Settings!$B$7,""),IF(ISNUMBER(R2381),DATE(YEAR(R2381),MONTH(R2381),1),"")))</f>
        <v/>
      </c>
      <c r="X2381" s="38" t="n">
        <f aca="false">IF(AND(OR(T2381="Backlog",T2381="Pipeline",T2381="Overdue"),ISNUMBER(W2381)),IF(W2381&lt;=Settings!$B$6,V2381,0),0)</f>
        <v>0</v>
      </c>
      <c r="Y2381" s="38" t="n">
        <f aca="false">IF(AND(OR(T2381="Backlog",T2381="Pipeline",T2381="Overdue"),ISNUMBER(W2381)),IF(W2381&lt;=Settings!$B$6,Q2381,0),0)</f>
        <v>0</v>
      </c>
      <c r="Z2381" s="38" t="n">
        <f aca="false">IF(Y2381=0,0,IF(T2381="Backlog",Q2381,Q2381*Dashboard!$C$10))</f>
        <v>0</v>
      </c>
      <c r="AA2381" s="37" t="n">
        <f aca="false">IF($N2381="",0,IF(COUNTIF(Dashboard!$C$13:$C$22,$N2381)&gt;0,1,0))</f>
        <v>0</v>
      </c>
      <c r="AB2381" s="37" t="str">
        <f aca="false">IF($N2381="","",IF(COUNTIF($N$8:$N2381,$N2381)=1,MAX($AB$7:$AB2380)+1,""))</f>
        <v/>
      </c>
    </row>
    <row r="2382" customFormat="false" ht="15" hidden="false" customHeight="false" outlineLevel="0" collapsed="false">
      <c r="L2382" s="37" t="str">
        <f aca="false">IF(INDEX($A2382:$J2382,$L$6)&lt;&gt;"",TRIM(LEFT(INDEX($A2382:$J2382,$L$6),FIND("(",INDEX($A2382:$J2382,$L$6)&amp;"(")-1)),L2381)</f>
        <v>Building Value Proposition</v>
      </c>
      <c r="M2382" s="37" t="str">
        <f aca="false">IF(INDEX($A2382:$J2382,$M$6)="","",INDEX($A2382:$J2382,$M$6)&amp;"")</f>
        <v/>
      </c>
      <c r="N2382" s="37" t="str">
        <f aca="false">IF($M2382="","",TRIM(INDEX($A2382:$J2382,$N$6)&amp;""))</f>
        <v/>
      </c>
      <c r="O2382" s="37" t="str">
        <f aca="false">IF($M2382="","",TRIM(INDEX($A2382:$J2382,$O$6)&amp;""))</f>
        <v/>
      </c>
      <c r="P2382" s="37" t="str">
        <f aca="false">IF($M2382="","",IFERROR(IF(INDEX(Settings!$B$41:$B$50,MATCH(O2382,Settings!$A$41:$A$50,0))&amp;""="","UNMAPPED",INDEX(Settings!$B$41:$B$50,MATCH(O2382,Settings!$A$41:$A$50,0))&amp;""),"UNMAPPED"))</f>
        <v/>
      </c>
      <c r="Q2382" s="38" t="n">
        <f aca="false">IF($M2382="",0,N(INDEX($A2382:$J2382,$Q$6)))</f>
        <v>0</v>
      </c>
      <c r="R2382" s="39" t="str">
        <f aca="false">IF($M2382="","",INDEX($A2382:$J2382,$R$6))</f>
        <v/>
      </c>
      <c r="S2382" s="37" t="str">
        <f aca="false">IF($M2382="","",IFERROR(INDEX(Settings!$B$27:$B$36,MATCH(L2382,Settings!$A$27:$A$36,0))&amp;"","UNMAPPED"))</f>
        <v/>
      </c>
      <c r="T2382" s="37" t="str">
        <f aca="false">IF($M2382="","",IF(NOT(ISNUMBER(R2382)),"NO DATE",IF(S2382="Won",IF(R2382&gt;Settings!$B$5,"Backlog","Delivered"),IF(S2382="Open",IF(R2382&gt;Settings!$B$5,"Pipeline","Overdue"),IF(S2382="Lost","Lost","UNMAPPED")))))</f>
        <v/>
      </c>
      <c r="U2382" s="40" t="n">
        <f aca="false">IF(T2382="Backlog",1,IF(OR(T2382="Pipeline",T2382="Overdue"),N(INDEX(Settings!$C$27:$C$36,MATCH(L2382,Settings!$A$27:$A$36,0))),0))</f>
        <v>0</v>
      </c>
      <c r="V2382" s="38" t="n">
        <f aca="false">Q2382*U2382</f>
        <v>0</v>
      </c>
      <c r="W2382" s="41" t="str">
        <f aca="false">IF($M2382="","",IF(T2382="Overdue",IF(Settings!$B$8="Yes",Settings!$B$7,""),IF(ISNUMBER(R2382),DATE(YEAR(R2382),MONTH(R2382),1),"")))</f>
        <v/>
      </c>
      <c r="X2382" s="38" t="n">
        <f aca="false">IF(AND(OR(T2382="Backlog",T2382="Pipeline",T2382="Overdue"),ISNUMBER(W2382)),IF(W2382&lt;=Settings!$B$6,V2382,0),0)</f>
        <v>0</v>
      </c>
      <c r="Y2382" s="38" t="n">
        <f aca="false">IF(AND(OR(T2382="Backlog",T2382="Pipeline",T2382="Overdue"),ISNUMBER(W2382)),IF(W2382&lt;=Settings!$B$6,Q2382,0),0)</f>
        <v>0</v>
      </c>
      <c r="Z2382" s="38" t="n">
        <f aca="false">IF(Y2382=0,0,IF(T2382="Backlog",Q2382,Q2382*Dashboard!$C$10))</f>
        <v>0</v>
      </c>
      <c r="AA2382" s="37" t="n">
        <f aca="false">IF($N2382="",0,IF(COUNTIF(Dashboard!$C$13:$C$22,$N2382)&gt;0,1,0))</f>
        <v>0</v>
      </c>
      <c r="AB2382" s="37" t="str">
        <f aca="false">IF($N2382="","",IF(COUNTIF($N$8:$N2382,$N2382)=1,MAX($AB$7:$AB2381)+1,""))</f>
        <v/>
      </c>
    </row>
    <row r="2383" customFormat="false" ht="15" hidden="false" customHeight="false" outlineLevel="0" collapsed="false">
      <c r="L2383" s="37" t="str">
        <f aca="false">IF(INDEX($A2383:$J2383,$L$6)&lt;&gt;"",TRIM(LEFT(INDEX($A2383:$J2383,$L$6),FIND("(",INDEX($A2383:$J2383,$L$6)&amp;"(")-1)),L2382)</f>
        <v>Building Value Proposition</v>
      </c>
      <c r="M2383" s="37" t="str">
        <f aca="false">IF(INDEX($A2383:$J2383,$M$6)="","",INDEX($A2383:$J2383,$M$6)&amp;"")</f>
        <v/>
      </c>
      <c r="N2383" s="37" t="str">
        <f aca="false">IF($M2383="","",TRIM(INDEX($A2383:$J2383,$N$6)&amp;""))</f>
        <v/>
      </c>
      <c r="O2383" s="37" t="str">
        <f aca="false">IF($M2383="","",TRIM(INDEX($A2383:$J2383,$O$6)&amp;""))</f>
        <v/>
      </c>
      <c r="P2383" s="37" t="str">
        <f aca="false">IF($M2383="","",IFERROR(IF(INDEX(Settings!$B$41:$B$50,MATCH(O2383,Settings!$A$41:$A$50,0))&amp;""="","UNMAPPED",INDEX(Settings!$B$41:$B$50,MATCH(O2383,Settings!$A$41:$A$50,0))&amp;""),"UNMAPPED"))</f>
        <v/>
      </c>
      <c r="Q2383" s="38" t="n">
        <f aca="false">IF($M2383="",0,N(INDEX($A2383:$J2383,$Q$6)))</f>
        <v>0</v>
      </c>
      <c r="R2383" s="39" t="str">
        <f aca="false">IF($M2383="","",INDEX($A2383:$J2383,$R$6))</f>
        <v/>
      </c>
      <c r="S2383" s="37" t="str">
        <f aca="false">IF($M2383="","",IFERROR(INDEX(Settings!$B$27:$B$36,MATCH(L2383,Settings!$A$27:$A$36,0))&amp;"","UNMAPPED"))</f>
        <v/>
      </c>
      <c r="T2383" s="37" t="str">
        <f aca="false">IF($M2383="","",IF(NOT(ISNUMBER(R2383)),"NO DATE",IF(S2383="Won",IF(R2383&gt;Settings!$B$5,"Backlog","Delivered"),IF(S2383="Open",IF(R2383&gt;Settings!$B$5,"Pipeline","Overdue"),IF(S2383="Lost","Lost","UNMAPPED")))))</f>
        <v/>
      </c>
      <c r="U2383" s="40" t="n">
        <f aca="false">IF(T2383="Backlog",1,IF(OR(T2383="Pipeline",T2383="Overdue"),N(INDEX(Settings!$C$27:$C$36,MATCH(L2383,Settings!$A$27:$A$36,0))),0))</f>
        <v>0</v>
      </c>
      <c r="V2383" s="38" t="n">
        <f aca="false">Q2383*U2383</f>
        <v>0</v>
      </c>
      <c r="W2383" s="41" t="str">
        <f aca="false">IF($M2383="","",IF(T2383="Overdue",IF(Settings!$B$8="Yes",Settings!$B$7,""),IF(ISNUMBER(R2383),DATE(YEAR(R2383),MONTH(R2383),1),"")))</f>
        <v/>
      </c>
      <c r="X2383" s="38" t="n">
        <f aca="false">IF(AND(OR(T2383="Backlog",T2383="Pipeline",T2383="Overdue"),ISNUMBER(W2383)),IF(W2383&lt;=Settings!$B$6,V2383,0),0)</f>
        <v>0</v>
      </c>
      <c r="Y2383" s="38" t="n">
        <f aca="false">IF(AND(OR(T2383="Backlog",T2383="Pipeline",T2383="Overdue"),ISNUMBER(W2383)),IF(W2383&lt;=Settings!$B$6,Q2383,0),0)</f>
        <v>0</v>
      </c>
      <c r="Z2383" s="38" t="n">
        <f aca="false">IF(Y2383=0,0,IF(T2383="Backlog",Q2383,Q2383*Dashboard!$C$10))</f>
        <v>0</v>
      </c>
      <c r="AA2383" s="37" t="n">
        <f aca="false">IF($N2383="",0,IF(COUNTIF(Dashboard!$C$13:$C$22,$N2383)&gt;0,1,0))</f>
        <v>0</v>
      </c>
      <c r="AB2383" s="37" t="str">
        <f aca="false">IF($N2383="","",IF(COUNTIF($N$8:$N2383,$N2383)=1,MAX($AB$7:$AB2382)+1,""))</f>
        <v/>
      </c>
    </row>
    <row r="2384" customFormat="false" ht="15" hidden="false" customHeight="false" outlineLevel="0" collapsed="false">
      <c r="L2384" s="37" t="str">
        <f aca="false">IF(INDEX($A2384:$J2384,$L$6)&lt;&gt;"",TRIM(LEFT(INDEX($A2384:$J2384,$L$6),FIND("(",INDEX($A2384:$J2384,$L$6)&amp;"(")-1)),L2383)</f>
        <v>Building Value Proposition</v>
      </c>
      <c r="M2384" s="37" t="str">
        <f aca="false">IF(INDEX($A2384:$J2384,$M$6)="","",INDEX($A2384:$J2384,$M$6)&amp;"")</f>
        <v/>
      </c>
      <c r="N2384" s="37" t="str">
        <f aca="false">IF($M2384="","",TRIM(INDEX($A2384:$J2384,$N$6)&amp;""))</f>
        <v/>
      </c>
      <c r="O2384" s="37" t="str">
        <f aca="false">IF($M2384="","",TRIM(INDEX($A2384:$J2384,$O$6)&amp;""))</f>
        <v/>
      </c>
      <c r="P2384" s="37" t="str">
        <f aca="false">IF($M2384="","",IFERROR(IF(INDEX(Settings!$B$41:$B$50,MATCH(O2384,Settings!$A$41:$A$50,0))&amp;""="","UNMAPPED",INDEX(Settings!$B$41:$B$50,MATCH(O2384,Settings!$A$41:$A$50,0))&amp;""),"UNMAPPED"))</f>
        <v/>
      </c>
      <c r="Q2384" s="38" t="n">
        <f aca="false">IF($M2384="",0,N(INDEX($A2384:$J2384,$Q$6)))</f>
        <v>0</v>
      </c>
      <c r="R2384" s="39" t="str">
        <f aca="false">IF($M2384="","",INDEX($A2384:$J2384,$R$6))</f>
        <v/>
      </c>
      <c r="S2384" s="37" t="str">
        <f aca="false">IF($M2384="","",IFERROR(INDEX(Settings!$B$27:$B$36,MATCH(L2384,Settings!$A$27:$A$36,0))&amp;"","UNMAPPED"))</f>
        <v/>
      </c>
      <c r="T2384" s="37" t="str">
        <f aca="false">IF($M2384="","",IF(NOT(ISNUMBER(R2384)),"NO DATE",IF(S2384="Won",IF(R2384&gt;Settings!$B$5,"Backlog","Delivered"),IF(S2384="Open",IF(R2384&gt;Settings!$B$5,"Pipeline","Overdue"),IF(S2384="Lost","Lost","UNMAPPED")))))</f>
        <v/>
      </c>
      <c r="U2384" s="40" t="n">
        <f aca="false">IF(T2384="Backlog",1,IF(OR(T2384="Pipeline",T2384="Overdue"),N(INDEX(Settings!$C$27:$C$36,MATCH(L2384,Settings!$A$27:$A$36,0))),0))</f>
        <v>0</v>
      </c>
      <c r="V2384" s="38" t="n">
        <f aca="false">Q2384*U2384</f>
        <v>0</v>
      </c>
      <c r="W2384" s="41" t="str">
        <f aca="false">IF($M2384="","",IF(T2384="Overdue",IF(Settings!$B$8="Yes",Settings!$B$7,""),IF(ISNUMBER(R2384),DATE(YEAR(R2384),MONTH(R2384),1),"")))</f>
        <v/>
      </c>
      <c r="X2384" s="38" t="n">
        <f aca="false">IF(AND(OR(T2384="Backlog",T2384="Pipeline",T2384="Overdue"),ISNUMBER(W2384)),IF(W2384&lt;=Settings!$B$6,V2384,0),0)</f>
        <v>0</v>
      </c>
      <c r="Y2384" s="38" t="n">
        <f aca="false">IF(AND(OR(T2384="Backlog",T2384="Pipeline",T2384="Overdue"),ISNUMBER(W2384)),IF(W2384&lt;=Settings!$B$6,Q2384,0),0)</f>
        <v>0</v>
      </c>
      <c r="Z2384" s="38" t="n">
        <f aca="false">IF(Y2384=0,0,IF(T2384="Backlog",Q2384,Q2384*Dashboard!$C$10))</f>
        <v>0</v>
      </c>
      <c r="AA2384" s="37" t="n">
        <f aca="false">IF($N2384="",0,IF(COUNTIF(Dashboard!$C$13:$C$22,$N2384)&gt;0,1,0))</f>
        <v>0</v>
      </c>
      <c r="AB2384" s="37" t="str">
        <f aca="false">IF($N2384="","",IF(COUNTIF($N$8:$N2384,$N2384)=1,MAX($AB$7:$AB2383)+1,""))</f>
        <v/>
      </c>
    </row>
    <row r="2385" customFormat="false" ht="15" hidden="false" customHeight="false" outlineLevel="0" collapsed="false">
      <c r="L2385" s="37" t="str">
        <f aca="false">IF(INDEX($A2385:$J2385,$L$6)&lt;&gt;"",TRIM(LEFT(INDEX($A2385:$J2385,$L$6),FIND("(",INDEX($A2385:$J2385,$L$6)&amp;"(")-1)),L2384)</f>
        <v>Building Value Proposition</v>
      </c>
      <c r="M2385" s="37" t="str">
        <f aca="false">IF(INDEX($A2385:$J2385,$M$6)="","",INDEX($A2385:$J2385,$M$6)&amp;"")</f>
        <v/>
      </c>
      <c r="N2385" s="37" t="str">
        <f aca="false">IF($M2385="","",TRIM(INDEX($A2385:$J2385,$N$6)&amp;""))</f>
        <v/>
      </c>
      <c r="O2385" s="37" t="str">
        <f aca="false">IF($M2385="","",TRIM(INDEX($A2385:$J2385,$O$6)&amp;""))</f>
        <v/>
      </c>
      <c r="P2385" s="37" t="str">
        <f aca="false">IF($M2385="","",IFERROR(IF(INDEX(Settings!$B$41:$B$50,MATCH(O2385,Settings!$A$41:$A$50,0))&amp;""="","UNMAPPED",INDEX(Settings!$B$41:$B$50,MATCH(O2385,Settings!$A$41:$A$50,0))&amp;""),"UNMAPPED"))</f>
        <v/>
      </c>
      <c r="Q2385" s="38" t="n">
        <f aca="false">IF($M2385="",0,N(INDEX($A2385:$J2385,$Q$6)))</f>
        <v>0</v>
      </c>
      <c r="R2385" s="39" t="str">
        <f aca="false">IF($M2385="","",INDEX($A2385:$J2385,$R$6))</f>
        <v/>
      </c>
      <c r="S2385" s="37" t="str">
        <f aca="false">IF($M2385="","",IFERROR(INDEX(Settings!$B$27:$B$36,MATCH(L2385,Settings!$A$27:$A$36,0))&amp;"","UNMAPPED"))</f>
        <v/>
      </c>
      <c r="T2385" s="37" t="str">
        <f aca="false">IF($M2385="","",IF(NOT(ISNUMBER(R2385)),"NO DATE",IF(S2385="Won",IF(R2385&gt;Settings!$B$5,"Backlog","Delivered"),IF(S2385="Open",IF(R2385&gt;Settings!$B$5,"Pipeline","Overdue"),IF(S2385="Lost","Lost","UNMAPPED")))))</f>
        <v/>
      </c>
      <c r="U2385" s="40" t="n">
        <f aca="false">IF(T2385="Backlog",1,IF(OR(T2385="Pipeline",T2385="Overdue"),N(INDEX(Settings!$C$27:$C$36,MATCH(L2385,Settings!$A$27:$A$36,0))),0))</f>
        <v>0</v>
      </c>
      <c r="V2385" s="38" t="n">
        <f aca="false">Q2385*U2385</f>
        <v>0</v>
      </c>
      <c r="W2385" s="41" t="str">
        <f aca="false">IF($M2385="","",IF(T2385="Overdue",IF(Settings!$B$8="Yes",Settings!$B$7,""),IF(ISNUMBER(R2385),DATE(YEAR(R2385),MONTH(R2385),1),"")))</f>
        <v/>
      </c>
      <c r="X2385" s="38" t="n">
        <f aca="false">IF(AND(OR(T2385="Backlog",T2385="Pipeline",T2385="Overdue"),ISNUMBER(W2385)),IF(W2385&lt;=Settings!$B$6,V2385,0),0)</f>
        <v>0</v>
      </c>
      <c r="Y2385" s="38" t="n">
        <f aca="false">IF(AND(OR(T2385="Backlog",T2385="Pipeline",T2385="Overdue"),ISNUMBER(W2385)),IF(W2385&lt;=Settings!$B$6,Q2385,0),0)</f>
        <v>0</v>
      </c>
      <c r="Z2385" s="38" t="n">
        <f aca="false">IF(Y2385=0,0,IF(T2385="Backlog",Q2385,Q2385*Dashboard!$C$10))</f>
        <v>0</v>
      </c>
      <c r="AA2385" s="37" t="n">
        <f aca="false">IF($N2385="",0,IF(COUNTIF(Dashboard!$C$13:$C$22,$N2385)&gt;0,1,0))</f>
        <v>0</v>
      </c>
      <c r="AB2385" s="37" t="str">
        <f aca="false">IF($N2385="","",IF(COUNTIF($N$8:$N2385,$N2385)=1,MAX($AB$7:$AB2384)+1,""))</f>
        <v/>
      </c>
    </row>
    <row r="2386" customFormat="false" ht="15" hidden="false" customHeight="false" outlineLevel="0" collapsed="false">
      <c r="L2386" s="37" t="str">
        <f aca="false">IF(INDEX($A2386:$J2386,$L$6)&lt;&gt;"",TRIM(LEFT(INDEX($A2386:$J2386,$L$6),FIND("(",INDEX($A2386:$J2386,$L$6)&amp;"(")-1)),L2385)</f>
        <v>Building Value Proposition</v>
      </c>
      <c r="M2386" s="37" t="str">
        <f aca="false">IF(INDEX($A2386:$J2386,$M$6)="","",INDEX($A2386:$J2386,$M$6)&amp;"")</f>
        <v/>
      </c>
      <c r="N2386" s="37" t="str">
        <f aca="false">IF($M2386="","",TRIM(INDEX($A2386:$J2386,$N$6)&amp;""))</f>
        <v/>
      </c>
      <c r="O2386" s="37" t="str">
        <f aca="false">IF($M2386="","",TRIM(INDEX($A2386:$J2386,$O$6)&amp;""))</f>
        <v/>
      </c>
      <c r="P2386" s="37" t="str">
        <f aca="false">IF($M2386="","",IFERROR(IF(INDEX(Settings!$B$41:$B$50,MATCH(O2386,Settings!$A$41:$A$50,0))&amp;""="","UNMAPPED",INDEX(Settings!$B$41:$B$50,MATCH(O2386,Settings!$A$41:$A$50,0))&amp;""),"UNMAPPED"))</f>
        <v/>
      </c>
      <c r="Q2386" s="38" t="n">
        <f aca="false">IF($M2386="",0,N(INDEX($A2386:$J2386,$Q$6)))</f>
        <v>0</v>
      </c>
      <c r="R2386" s="39" t="str">
        <f aca="false">IF($M2386="","",INDEX($A2386:$J2386,$R$6))</f>
        <v/>
      </c>
      <c r="S2386" s="37" t="str">
        <f aca="false">IF($M2386="","",IFERROR(INDEX(Settings!$B$27:$B$36,MATCH(L2386,Settings!$A$27:$A$36,0))&amp;"","UNMAPPED"))</f>
        <v/>
      </c>
      <c r="T2386" s="37" t="str">
        <f aca="false">IF($M2386="","",IF(NOT(ISNUMBER(R2386)),"NO DATE",IF(S2386="Won",IF(R2386&gt;Settings!$B$5,"Backlog","Delivered"),IF(S2386="Open",IF(R2386&gt;Settings!$B$5,"Pipeline","Overdue"),IF(S2386="Lost","Lost","UNMAPPED")))))</f>
        <v/>
      </c>
      <c r="U2386" s="40" t="n">
        <f aca="false">IF(T2386="Backlog",1,IF(OR(T2386="Pipeline",T2386="Overdue"),N(INDEX(Settings!$C$27:$C$36,MATCH(L2386,Settings!$A$27:$A$36,0))),0))</f>
        <v>0</v>
      </c>
      <c r="V2386" s="38" t="n">
        <f aca="false">Q2386*U2386</f>
        <v>0</v>
      </c>
      <c r="W2386" s="41" t="str">
        <f aca="false">IF($M2386="","",IF(T2386="Overdue",IF(Settings!$B$8="Yes",Settings!$B$7,""),IF(ISNUMBER(R2386),DATE(YEAR(R2386),MONTH(R2386),1),"")))</f>
        <v/>
      </c>
      <c r="X2386" s="38" t="n">
        <f aca="false">IF(AND(OR(T2386="Backlog",T2386="Pipeline",T2386="Overdue"),ISNUMBER(W2386)),IF(W2386&lt;=Settings!$B$6,V2386,0),0)</f>
        <v>0</v>
      </c>
      <c r="Y2386" s="38" t="n">
        <f aca="false">IF(AND(OR(T2386="Backlog",T2386="Pipeline",T2386="Overdue"),ISNUMBER(W2386)),IF(W2386&lt;=Settings!$B$6,Q2386,0),0)</f>
        <v>0</v>
      </c>
      <c r="Z2386" s="38" t="n">
        <f aca="false">IF(Y2386=0,0,IF(T2386="Backlog",Q2386,Q2386*Dashboard!$C$10))</f>
        <v>0</v>
      </c>
      <c r="AA2386" s="37" t="n">
        <f aca="false">IF($N2386="",0,IF(COUNTIF(Dashboard!$C$13:$C$22,$N2386)&gt;0,1,0))</f>
        <v>0</v>
      </c>
      <c r="AB2386" s="37" t="str">
        <f aca="false">IF($N2386="","",IF(COUNTIF($N$8:$N2386,$N2386)=1,MAX($AB$7:$AB2385)+1,""))</f>
        <v/>
      </c>
    </row>
    <row r="2387" customFormat="false" ht="15" hidden="false" customHeight="false" outlineLevel="0" collapsed="false">
      <c r="L2387" s="37" t="str">
        <f aca="false">IF(INDEX($A2387:$J2387,$L$6)&lt;&gt;"",TRIM(LEFT(INDEX($A2387:$J2387,$L$6),FIND("(",INDEX($A2387:$J2387,$L$6)&amp;"(")-1)),L2386)</f>
        <v>Building Value Proposition</v>
      </c>
      <c r="M2387" s="37" t="str">
        <f aca="false">IF(INDEX($A2387:$J2387,$M$6)="","",INDEX($A2387:$J2387,$M$6)&amp;"")</f>
        <v/>
      </c>
      <c r="N2387" s="37" t="str">
        <f aca="false">IF($M2387="","",TRIM(INDEX($A2387:$J2387,$N$6)&amp;""))</f>
        <v/>
      </c>
      <c r="O2387" s="37" t="str">
        <f aca="false">IF($M2387="","",TRIM(INDEX($A2387:$J2387,$O$6)&amp;""))</f>
        <v/>
      </c>
      <c r="P2387" s="37" t="str">
        <f aca="false">IF($M2387="","",IFERROR(IF(INDEX(Settings!$B$41:$B$50,MATCH(O2387,Settings!$A$41:$A$50,0))&amp;""="","UNMAPPED",INDEX(Settings!$B$41:$B$50,MATCH(O2387,Settings!$A$41:$A$50,0))&amp;""),"UNMAPPED"))</f>
        <v/>
      </c>
      <c r="Q2387" s="38" t="n">
        <f aca="false">IF($M2387="",0,N(INDEX($A2387:$J2387,$Q$6)))</f>
        <v>0</v>
      </c>
      <c r="R2387" s="39" t="str">
        <f aca="false">IF($M2387="","",INDEX($A2387:$J2387,$R$6))</f>
        <v/>
      </c>
      <c r="S2387" s="37" t="str">
        <f aca="false">IF($M2387="","",IFERROR(INDEX(Settings!$B$27:$B$36,MATCH(L2387,Settings!$A$27:$A$36,0))&amp;"","UNMAPPED"))</f>
        <v/>
      </c>
      <c r="T2387" s="37" t="str">
        <f aca="false">IF($M2387="","",IF(NOT(ISNUMBER(R2387)),"NO DATE",IF(S2387="Won",IF(R2387&gt;Settings!$B$5,"Backlog","Delivered"),IF(S2387="Open",IF(R2387&gt;Settings!$B$5,"Pipeline","Overdue"),IF(S2387="Lost","Lost","UNMAPPED")))))</f>
        <v/>
      </c>
      <c r="U2387" s="40" t="n">
        <f aca="false">IF(T2387="Backlog",1,IF(OR(T2387="Pipeline",T2387="Overdue"),N(INDEX(Settings!$C$27:$C$36,MATCH(L2387,Settings!$A$27:$A$36,0))),0))</f>
        <v>0</v>
      </c>
      <c r="V2387" s="38" t="n">
        <f aca="false">Q2387*U2387</f>
        <v>0</v>
      </c>
      <c r="W2387" s="41" t="str">
        <f aca="false">IF($M2387="","",IF(T2387="Overdue",IF(Settings!$B$8="Yes",Settings!$B$7,""),IF(ISNUMBER(R2387),DATE(YEAR(R2387),MONTH(R2387),1),"")))</f>
        <v/>
      </c>
      <c r="X2387" s="38" t="n">
        <f aca="false">IF(AND(OR(T2387="Backlog",T2387="Pipeline",T2387="Overdue"),ISNUMBER(W2387)),IF(W2387&lt;=Settings!$B$6,V2387,0),0)</f>
        <v>0</v>
      </c>
      <c r="Y2387" s="38" t="n">
        <f aca="false">IF(AND(OR(T2387="Backlog",T2387="Pipeline",T2387="Overdue"),ISNUMBER(W2387)),IF(W2387&lt;=Settings!$B$6,Q2387,0),0)</f>
        <v>0</v>
      </c>
      <c r="Z2387" s="38" t="n">
        <f aca="false">IF(Y2387=0,0,IF(T2387="Backlog",Q2387,Q2387*Dashboard!$C$10))</f>
        <v>0</v>
      </c>
      <c r="AA2387" s="37" t="n">
        <f aca="false">IF($N2387="",0,IF(COUNTIF(Dashboard!$C$13:$C$22,$N2387)&gt;0,1,0))</f>
        <v>0</v>
      </c>
      <c r="AB2387" s="37" t="str">
        <f aca="false">IF($N2387="","",IF(COUNTIF($N$8:$N2387,$N2387)=1,MAX($AB$7:$AB2386)+1,""))</f>
        <v/>
      </c>
    </row>
    <row r="2388" customFormat="false" ht="15" hidden="false" customHeight="false" outlineLevel="0" collapsed="false">
      <c r="L2388" s="37" t="str">
        <f aca="false">IF(INDEX($A2388:$J2388,$L$6)&lt;&gt;"",TRIM(LEFT(INDEX($A2388:$J2388,$L$6),FIND("(",INDEX($A2388:$J2388,$L$6)&amp;"(")-1)),L2387)</f>
        <v>Building Value Proposition</v>
      </c>
      <c r="M2388" s="37" t="str">
        <f aca="false">IF(INDEX($A2388:$J2388,$M$6)="","",INDEX($A2388:$J2388,$M$6)&amp;"")</f>
        <v/>
      </c>
      <c r="N2388" s="37" t="str">
        <f aca="false">IF($M2388="","",TRIM(INDEX($A2388:$J2388,$N$6)&amp;""))</f>
        <v/>
      </c>
      <c r="O2388" s="37" t="str">
        <f aca="false">IF($M2388="","",TRIM(INDEX($A2388:$J2388,$O$6)&amp;""))</f>
        <v/>
      </c>
      <c r="P2388" s="37" t="str">
        <f aca="false">IF($M2388="","",IFERROR(IF(INDEX(Settings!$B$41:$B$50,MATCH(O2388,Settings!$A$41:$A$50,0))&amp;""="","UNMAPPED",INDEX(Settings!$B$41:$B$50,MATCH(O2388,Settings!$A$41:$A$50,0))&amp;""),"UNMAPPED"))</f>
        <v/>
      </c>
      <c r="Q2388" s="38" t="n">
        <f aca="false">IF($M2388="",0,N(INDEX($A2388:$J2388,$Q$6)))</f>
        <v>0</v>
      </c>
      <c r="R2388" s="39" t="str">
        <f aca="false">IF($M2388="","",INDEX($A2388:$J2388,$R$6))</f>
        <v/>
      </c>
      <c r="S2388" s="37" t="str">
        <f aca="false">IF($M2388="","",IFERROR(INDEX(Settings!$B$27:$B$36,MATCH(L2388,Settings!$A$27:$A$36,0))&amp;"","UNMAPPED"))</f>
        <v/>
      </c>
      <c r="T2388" s="37" t="str">
        <f aca="false">IF($M2388="","",IF(NOT(ISNUMBER(R2388)),"NO DATE",IF(S2388="Won",IF(R2388&gt;Settings!$B$5,"Backlog","Delivered"),IF(S2388="Open",IF(R2388&gt;Settings!$B$5,"Pipeline","Overdue"),IF(S2388="Lost","Lost","UNMAPPED")))))</f>
        <v/>
      </c>
      <c r="U2388" s="40" t="n">
        <f aca="false">IF(T2388="Backlog",1,IF(OR(T2388="Pipeline",T2388="Overdue"),N(INDEX(Settings!$C$27:$C$36,MATCH(L2388,Settings!$A$27:$A$36,0))),0))</f>
        <v>0</v>
      </c>
      <c r="V2388" s="38" t="n">
        <f aca="false">Q2388*U2388</f>
        <v>0</v>
      </c>
      <c r="W2388" s="41" t="str">
        <f aca="false">IF($M2388="","",IF(T2388="Overdue",IF(Settings!$B$8="Yes",Settings!$B$7,""),IF(ISNUMBER(R2388),DATE(YEAR(R2388),MONTH(R2388),1),"")))</f>
        <v/>
      </c>
      <c r="X2388" s="38" t="n">
        <f aca="false">IF(AND(OR(T2388="Backlog",T2388="Pipeline",T2388="Overdue"),ISNUMBER(W2388)),IF(W2388&lt;=Settings!$B$6,V2388,0),0)</f>
        <v>0</v>
      </c>
      <c r="Y2388" s="38" t="n">
        <f aca="false">IF(AND(OR(T2388="Backlog",T2388="Pipeline",T2388="Overdue"),ISNUMBER(W2388)),IF(W2388&lt;=Settings!$B$6,Q2388,0),0)</f>
        <v>0</v>
      </c>
      <c r="Z2388" s="38" t="n">
        <f aca="false">IF(Y2388=0,0,IF(T2388="Backlog",Q2388,Q2388*Dashboard!$C$10))</f>
        <v>0</v>
      </c>
      <c r="AA2388" s="37" t="n">
        <f aca="false">IF($N2388="",0,IF(COUNTIF(Dashboard!$C$13:$C$22,$N2388)&gt;0,1,0))</f>
        <v>0</v>
      </c>
      <c r="AB2388" s="37" t="str">
        <f aca="false">IF($N2388="","",IF(COUNTIF($N$8:$N2388,$N2388)=1,MAX($AB$7:$AB2387)+1,""))</f>
        <v/>
      </c>
    </row>
    <row r="2389" customFormat="false" ht="15" hidden="false" customHeight="false" outlineLevel="0" collapsed="false">
      <c r="L2389" s="37" t="str">
        <f aca="false">IF(INDEX($A2389:$J2389,$L$6)&lt;&gt;"",TRIM(LEFT(INDEX($A2389:$J2389,$L$6),FIND("(",INDEX($A2389:$J2389,$L$6)&amp;"(")-1)),L2388)</f>
        <v>Building Value Proposition</v>
      </c>
      <c r="M2389" s="37" t="str">
        <f aca="false">IF(INDEX($A2389:$J2389,$M$6)="","",INDEX($A2389:$J2389,$M$6)&amp;"")</f>
        <v/>
      </c>
      <c r="N2389" s="37" t="str">
        <f aca="false">IF($M2389="","",TRIM(INDEX($A2389:$J2389,$N$6)&amp;""))</f>
        <v/>
      </c>
      <c r="O2389" s="37" t="str">
        <f aca="false">IF($M2389="","",TRIM(INDEX($A2389:$J2389,$O$6)&amp;""))</f>
        <v/>
      </c>
      <c r="P2389" s="37" t="str">
        <f aca="false">IF($M2389="","",IFERROR(IF(INDEX(Settings!$B$41:$B$50,MATCH(O2389,Settings!$A$41:$A$50,0))&amp;""="","UNMAPPED",INDEX(Settings!$B$41:$B$50,MATCH(O2389,Settings!$A$41:$A$50,0))&amp;""),"UNMAPPED"))</f>
        <v/>
      </c>
      <c r="Q2389" s="38" t="n">
        <f aca="false">IF($M2389="",0,N(INDEX($A2389:$J2389,$Q$6)))</f>
        <v>0</v>
      </c>
      <c r="R2389" s="39" t="str">
        <f aca="false">IF($M2389="","",INDEX($A2389:$J2389,$R$6))</f>
        <v/>
      </c>
      <c r="S2389" s="37" t="str">
        <f aca="false">IF($M2389="","",IFERROR(INDEX(Settings!$B$27:$B$36,MATCH(L2389,Settings!$A$27:$A$36,0))&amp;"","UNMAPPED"))</f>
        <v/>
      </c>
      <c r="T2389" s="37" t="str">
        <f aca="false">IF($M2389="","",IF(NOT(ISNUMBER(R2389)),"NO DATE",IF(S2389="Won",IF(R2389&gt;Settings!$B$5,"Backlog","Delivered"),IF(S2389="Open",IF(R2389&gt;Settings!$B$5,"Pipeline","Overdue"),IF(S2389="Lost","Lost","UNMAPPED")))))</f>
        <v/>
      </c>
      <c r="U2389" s="40" t="n">
        <f aca="false">IF(T2389="Backlog",1,IF(OR(T2389="Pipeline",T2389="Overdue"),N(INDEX(Settings!$C$27:$C$36,MATCH(L2389,Settings!$A$27:$A$36,0))),0))</f>
        <v>0</v>
      </c>
      <c r="V2389" s="38" t="n">
        <f aca="false">Q2389*U2389</f>
        <v>0</v>
      </c>
      <c r="W2389" s="41" t="str">
        <f aca="false">IF($M2389="","",IF(T2389="Overdue",IF(Settings!$B$8="Yes",Settings!$B$7,""),IF(ISNUMBER(R2389),DATE(YEAR(R2389),MONTH(R2389),1),"")))</f>
        <v/>
      </c>
      <c r="X2389" s="38" t="n">
        <f aca="false">IF(AND(OR(T2389="Backlog",T2389="Pipeline",T2389="Overdue"),ISNUMBER(W2389)),IF(W2389&lt;=Settings!$B$6,V2389,0),0)</f>
        <v>0</v>
      </c>
      <c r="Y2389" s="38" t="n">
        <f aca="false">IF(AND(OR(T2389="Backlog",T2389="Pipeline",T2389="Overdue"),ISNUMBER(W2389)),IF(W2389&lt;=Settings!$B$6,Q2389,0),0)</f>
        <v>0</v>
      </c>
      <c r="Z2389" s="38" t="n">
        <f aca="false">IF(Y2389=0,0,IF(T2389="Backlog",Q2389,Q2389*Dashboard!$C$10))</f>
        <v>0</v>
      </c>
      <c r="AA2389" s="37" t="n">
        <f aca="false">IF($N2389="",0,IF(COUNTIF(Dashboard!$C$13:$C$22,$N2389)&gt;0,1,0))</f>
        <v>0</v>
      </c>
      <c r="AB2389" s="37" t="str">
        <f aca="false">IF($N2389="","",IF(COUNTIF($N$8:$N2389,$N2389)=1,MAX($AB$7:$AB2388)+1,""))</f>
        <v/>
      </c>
    </row>
    <row r="2390" customFormat="false" ht="15" hidden="false" customHeight="false" outlineLevel="0" collapsed="false">
      <c r="L2390" s="37" t="str">
        <f aca="false">IF(INDEX($A2390:$J2390,$L$6)&lt;&gt;"",TRIM(LEFT(INDEX($A2390:$J2390,$L$6),FIND("(",INDEX($A2390:$J2390,$L$6)&amp;"(")-1)),L2389)</f>
        <v>Building Value Proposition</v>
      </c>
      <c r="M2390" s="37" t="str">
        <f aca="false">IF(INDEX($A2390:$J2390,$M$6)="","",INDEX($A2390:$J2390,$M$6)&amp;"")</f>
        <v/>
      </c>
      <c r="N2390" s="37" t="str">
        <f aca="false">IF($M2390="","",TRIM(INDEX($A2390:$J2390,$N$6)&amp;""))</f>
        <v/>
      </c>
      <c r="O2390" s="37" t="str">
        <f aca="false">IF($M2390="","",TRIM(INDEX($A2390:$J2390,$O$6)&amp;""))</f>
        <v/>
      </c>
      <c r="P2390" s="37" t="str">
        <f aca="false">IF($M2390="","",IFERROR(IF(INDEX(Settings!$B$41:$B$50,MATCH(O2390,Settings!$A$41:$A$50,0))&amp;""="","UNMAPPED",INDEX(Settings!$B$41:$B$50,MATCH(O2390,Settings!$A$41:$A$50,0))&amp;""),"UNMAPPED"))</f>
        <v/>
      </c>
      <c r="Q2390" s="38" t="n">
        <f aca="false">IF($M2390="",0,N(INDEX($A2390:$J2390,$Q$6)))</f>
        <v>0</v>
      </c>
      <c r="R2390" s="39" t="str">
        <f aca="false">IF($M2390="","",INDEX($A2390:$J2390,$R$6))</f>
        <v/>
      </c>
      <c r="S2390" s="37" t="str">
        <f aca="false">IF($M2390="","",IFERROR(INDEX(Settings!$B$27:$B$36,MATCH(L2390,Settings!$A$27:$A$36,0))&amp;"","UNMAPPED"))</f>
        <v/>
      </c>
      <c r="T2390" s="37" t="str">
        <f aca="false">IF($M2390="","",IF(NOT(ISNUMBER(R2390)),"NO DATE",IF(S2390="Won",IF(R2390&gt;Settings!$B$5,"Backlog","Delivered"),IF(S2390="Open",IF(R2390&gt;Settings!$B$5,"Pipeline","Overdue"),IF(S2390="Lost","Lost","UNMAPPED")))))</f>
        <v/>
      </c>
      <c r="U2390" s="40" t="n">
        <f aca="false">IF(T2390="Backlog",1,IF(OR(T2390="Pipeline",T2390="Overdue"),N(INDEX(Settings!$C$27:$C$36,MATCH(L2390,Settings!$A$27:$A$36,0))),0))</f>
        <v>0</v>
      </c>
      <c r="V2390" s="38" t="n">
        <f aca="false">Q2390*U2390</f>
        <v>0</v>
      </c>
      <c r="W2390" s="41" t="str">
        <f aca="false">IF($M2390="","",IF(T2390="Overdue",IF(Settings!$B$8="Yes",Settings!$B$7,""),IF(ISNUMBER(R2390),DATE(YEAR(R2390),MONTH(R2390),1),"")))</f>
        <v/>
      </c>
      <c r="X2390" s="38" t="n">
        <f aca="false">IF(AND(OR(T2390="Backlog",T2390="Pipeline",T2390="Overdue"),ISNUMBER(W2390)),IF(W2390&lt;=Settings!$B$6,V2390,0),0)</f>
        <v>0</v>
      </c>
      <c r="Y2390" s="38" t="n">
        <f aca="false">IF(AND(OR(T2390="Backlog",T2390="Pipeline",T2390="Overdue"),ISNUMBER(W2390)),IF(W2390&lt;=Settings!$B$6,Q2390,0),0)</f>
        <v>0</v>
      </c>
      <c r="Z2390" s="38" t="n">
        <f aca="false">IF(Y2390=0,0,IF(T2390="Backlog",Q2390,Q2390*Dashboard!$C$10))</f>
        <v>0</v>
      </c>
      <c r="AA2390" s="37" t="n">
        <f aca="false">IF($N2390="",0,IF(COUNTIF(Dashboard!$C$13:$C$22,$N2390)&gt;0,1,0))</f>
        <v>0</v>
      </c>
      <c r="AB2390" s="37" t="str">
        <f aca="false">IF($N2390="","",IF(COUNTIF($N$8:$N2390,$N2390)=1,MAX($AB$7:$AB2389)+1,""))</f>
        <v/>
      </c>
    </row>
    <row r="2391" customFormat="false" ht="15" hidden="false" customHeight="false" outlineLevel="0" collapsed="false">
      <c r="L2391" s="37" t="str">
        <f aca="false">IF(INDEX($A2391:$J2391,$L$6)&lt;&gt;"",TRIM(LEFT(INDEX($A2391:$J2391,$L$6),FIND("(",INDEX($A2391:$J2391,$L$6)&amp;"(")-1)),L2390)</f>
        <v>Building Value Proposition</v>
      </c>
      <c r="M2391" s="37" t="str">
        <f aca="false">IF(INDEX($A2391:$J2391,$M$6)="","",INDEX($A2391:$J2391,$M$6)&amp;"")</f>
        <v/>
      </c>
      <c r="N2391" s="37" t="str">
        <f aca="false">IF($M2391="","",TRIM(INDEX($A2391:$J2391,$N$6)&amp;""))</f>
        <v/>
      </c>
      <c r="O2391" s="37" t="str">
        <f aca="false">IF($M2391="","",TRIM(INDEX($A2391:$J2391,$O$6)&amp;""))</f>
        <v/>
      </c>
      <c r="P2391" s="37" t="str">
        <f aca="false">IF($M2391="","",IFERROR(IF(INDEX(Settings!$B$41:$B$50,MATCH(O2391,Settings!$A$41:$A$50,0))&amp;""="","UNMAPPED",INDEX(Settings!$B$41:$B$50,MATCH(O2391,Settings!$A$41:$A$50,0))&amp;""),"UNMAPPED"))</f>
        <v/>
      </c>
      <c r="Q2391" s="38" t="n">
        <f aca="false">IF($M2391="",0,N(INDEX($A2391:$J2391,$Q$6)))</f>
        <v>0</v>
      </c>
      <c r="R2391" s="39" t="str">
        <f aca="false">IF($M2391="","",INDEX($A2391:$J2391,$R$6))</f>
        <v/>
      </c>
      <c r="S2391" s="37" t="str">
        <f aca="false">IF($M2391="","",IFERROR(INDEX(Settings!$B$27:$B$36,MATCH(L2391,Settings!$A$27:$A$36,0))&amp;"","UNMAPPED"))</f>
        <v/>
      </c>
      <c r="T2391" s="37" t="str">
        <f aca="false">IF($M2391="","",IF(NOT(ISNUMBER(R2391)),"NO DATE",IF(S2391="Won",IF(R2391&gt;Settings!$B$5,"Backlog","Delivered"),IF(S2391="Open",IF(R2391&gt;Settings!$B$5,"Pipeline","Overdue"),IF(S2391="Lost","Lost","UNMAPPED")))))</f>
        <v/>
      </c>
      <c r="U2391" s="40" t="n">
        <f aca="false">IF(T2391="Backlog",1,IF(OR(T2391="Pipeline",T2391="Overdue"),N(INDEX(Settings!$C$27:$C$36,MATCH(L2391,Settings!$A$27:$A$36,0))),0))</f>
        <v>0</v>
      </c>
      <c r="V2391" s="38" t="n">
        <f aca="false">Q2391*U2391</f>
        <v>0</v>
      </c>
      <c r="W2391" s="41" t="str">
        <f aca="false">IF($M2391="","",IF(T2391="Overdue",IF(Settings!$B$8="Yes",Settings!$B$7,""),IF(ISNUMBER(R2391),DATE(YEAR(R2391),MONTH(R2391),1),"")))</f>
        <v/>
      </c>
      <c r="X2391" s="38" t="n">
        <f aca="false">IF(AND(OR(T2391="Backlog",T2391="Pipeline",T2391="Overdue"),ISNUMBER(W2391)),IF(W2391&lt;=Settings!$B$6,V2391,0),0)</f>
        <v>0</v>
      </c>
      <c r="Y2391" s="38" t="n">
        <f aca="false">IF(AND(OR(T2391="Backlog",T2391="Pipeline",T2391="Overdue"),ISNUMBER(W2391)),IF(W2391&lt;=Settings!$B$6,Q2391,0),0)</f>
        <v>0</v>
      </c>
      <c r="Z2391" s="38" t="n">
        <f aca="false">IF(Y2391=0,0,IF(T2391="Backlog",Q2391,Q2391*Dashboard!$C$10))</f>
        <v>0</v>
      </c>
      <c r="AA2391" s="37" t="n">
        <f aca="false">IF($N2391="",0,IF(COUNTIF(Dashboard!$C$13:$C$22,$N2391)&gt;0,1,0))</f>
        <v>0</v>
      </c>
      <c r="AB2391" s="37" t="str">
        <f aca="false">IF($N2391="","",IF(COUNTIF($N$8:$N2391,$N2391)=1,MAX($AB$7:$AB2390)+1,""))</f>
        <v/>
      </c>
    </row>
    <row r="2392" customFormat="false" ht="15" hidden="false" customHeight="false" outlineLevel="0" collapsed="false">
      <c r="L2392" s="37" t="str">
        <f aca="false">IF(INDEX($A2392:$J2392,$L$6)&lt;&gt;"",TRIM(LEFT(INDEX($A2392:$J2392,$L$6),FIND("(",INDEX($A2392:$J2392,$L$6)&amp;"(")-1)),L2391)</f>
        <v>Building Value Proposition</v>
      </c>
      <c r="M2392" s="37" t="str">
        <f aca="false">IF(INDEX($A2392:$J2392,$M$6)="","",INDEX($A2392:$J2392,$M$6)&amp;"")</f>
        <v/>
      </c>
      <c r="N2392" s="37" t="str">
        <f aca="false">IF($M2392="","",TRIM(INDEX($A2392:$J2392,$N$6)&amp;""))</f>
        <v/>
      </c>
      <c r="O2392" s="37" t="str">
        <f aca="false">IF($M2392="","",TRIM(INDEX($A2392:$J2392,$O$6)&amp;""))</f>
        <v/>
      </c>
      <c r="P2392" s="37" t="str">
        <f aca="false">IF($M2392="","",IFERROR(IF(INDEX(Settings!$B$41:$B$50,MATCH(O2392,Settings!$A$41:$A$50,0))&amp;""="","UNMAPPED",INDEX(Settings!$B$41:$B$50,MATCH(O2392,Settings!$A$41:$A$50,0))&amp;""),"UNMAPPED"))</f>
        <v/>
      </c>
      <c r="Q2392" s="38" t="n">
        <f aca="false">IF($M2392="",0,N(INDEX($A2392:$J2392,$Q$6)))</f>
        <v>0</v>
      </c>
      <c r="R2392" s="39" t="str">
        <f aca="false">IF($M2392="","",INDEX($A2392:$J2392,$R$6))</f>
        <v/>
      </c>
      <c r="S2392" s="37" t="str">
        <f aca="false">IF($M2392="","",IFERROR(INDEX(Settings!$B$27:$B$36,MATCH(L2392,Settings!$A$27:$A$36,0))&amp;"","UNMAPPED"))</f>
        <v/>
      </c>
      <c r="T2392" s="37" t="str">
        <f aca="false">IF($M2392="","",IF(NOT(ISNUMBER(R2392)),"NO DATE",IF(S2392="Won",IF(R2392&gt;Settings!$B$5,"Backlog","Delivered"),IF(S2392="Open",IF(R2392&gt;Settings!$B$5,"Pipeline","Overdue"),IF(S2392="Lost","Lost","UNMAPPED")))))</f>
        <v/>
      </c>
      <c r="U2392" s="40" t="n">
        <f aca="false">IF(T2392="Backlog",1,IF(OR(T2392="Pipeline",T2392="Overdue"),N(INDEX(Settings!$C$27:$C$36,MATCH(L2392,Settings!$A$27:$A$36,0))),0))</f>
        <v>0</v>
      </c>
      <c r="V2392" s="38" t="n">
        <f aca="false">Q2392*U2392</f>
        <v>0</v>
      </c>
      <c r="W2392" s="41" t="str">
        <f aca="false">IF($M2392="","",IF(T2392="Overdue",IF(Settings!$B$8="Yes",Settings!$B$7,""),IF(ISNUMBER(R2392),DATE(YEAR(R2392),MONTH(R2392),1),"")))</f>
        <v/>
      </c>
      <c r="X2392" s="38" t="n">
        <f aca="false">IF(AND(OR(T2392="Backlog",T2392="Pipeline",T2392="Overdue"),ISNUMBER(W2392)),IF(W2392&lt;=Settings!$B$6,V2392,0),0)</f>
        <v>0</v>
      </c>
      <c r="Y2392" s="38" t="n">
        <f aca="false">IF(AND(OR(T2392="Backlog",T2392="Pipeline",T2392="Overdue"),ISNUMBER(W2392)),IF(W2392&lt;=Settings!$B$6,Q2392,0),0)</f>
        <v>0</v>
      </c>
      <c r="Z2392" s="38" t="n">
        <f aca="false">IF(Y2392=0,0,IF(T2392="Backlog",Q2392,Q2392*Dashboard!$C$10))</f>
        <v>0</v>
      </c>
      <c r="AA2392" s="37" t="n">
        <f aca="false">IF($N2392="",0,IF(COUNTIF(Dashboard!$C$13:$C$22,$N2392)&gt;0,1,0))</f>
        <v>0</v>
      </c>
      <c r="AB2392" s="37" t="str">
        <f aca="false">IF($N2392="","",IF(COUNTIF($N$8:$N2392,$N2392)=1,MAX($AB$7:$AB2391)+1,""))</f>
        <v/>
      </c>
    </row>
    <row r="2393" customFormat="false" ht="15" hidden="false" customHeight="false" outlineLevel="0" collapsed="false">
      <c r="L2393" s="37" t="str">
        <f aca="false">IF(INDEX($A2393:$J2393,$L$6)&lt;&gt;"",TRIM(LEFT(INDEX($A2393:$J2393,$L$6),FIND("(",INDEX($A2393:$J2393,$L$6)&amp;"(")-1)),L2392)</f>
        <v>Building Value Proposition</v>
      </c>
      <c r="M2393" s="37" t="str">
        <f aca="false">IF(INDEX($A2393:$J2393,$M$6)="","",INDEX($A2393:$J2393,$M$6)&amp;"")</f>
        <v/>
      </c>
      <c r="N2393" s="37" t="str">
        <f aca="false">IF($M2393="","",TRIM(INDEX($A2393:$J2393,$N$6)&amp;""))</f>
        <v/>
      </c>
      <c r="O2393" s="37" t="str">
        <f aca="false">IF($M2393="","",TRIM(INDEX($A2393:$J2393,$O$6)&amp;""))</f>
        <v/>
      </c>
      <c r="P2393" s="37" t="str">
        <f aca="false">IF($M2393="","",IFERROR(IF(INDEX(Settings!$B$41:$B$50,MATCH(O2393,Settings!$A$41:$A$50,0))&amp;""="","UNMAPPED",INDEX(Settings!$B$41:$B$50,MATCH(O2393,Settings!$A$41:$A$50,0))&amp;""),"UNMAPPED"))</f>
        <v/>
      </c>
      <c r="Q2393" s="38" t="n">
        <f aca="false">IF($M2393="",0,N(INDEX($A2393:$J2393,$Q$6)))</f>
        <v>0</v>
      </c>
      <c r="R2393" s="39" t="str">
        <f aca="false">IF($M2393="","",INDEX($A2393:$J2393,$R$6))</f>
        <v/>
      </c>
      <c r="S2393" s="37" t="str">
        <f aca="false">IF($M2393="","",IFERROR(INDEX(Settings!$B$27:$B$36,MATCH(L2393,Settings!$A$27:$A$36,0))&amp;"","UNMAPPED"))</f>
        <v/>
      </c>
      <c r="T2393" s="37" t="str">
        <f aca="false">IF($M2393="","",IF(NOT(ISNUMBER(R2393)),"NO DATE",IF(S2393="Won",IF(R2393&gt;Settings!$B$5,"Backlog","Delivered"),IF(S2393="Open",IF(R2393&gt;Settings!$B$5,"Pipeline","Overdue"),IF(S2393="Lost","Lost","UNMAPPED")))))</f>
        <v/>
      </c>
      <c r="U2393" s="40" t="n">
        <f aca="false">IF(T2393="Backlog",1,IF(OR(T2393="Pipeline",T2393="Overdue"),N(INDEX(Settings!$C$27:$C$36,MATCH(L2393,Settings!$A$27:$A$36,0))),0))</f>
        <v>0</v>
      </c>
      <c r="V2393" s="38" t="n">
        <f aca="false">Q2393*U2393</f>
        <v>0</v>
      </c>
      <c r="W2393" s="41" t="str">
        <f aca="false">IF($M2393="","",IF(T2393="Overdue",IF(Settings!$B$8="Yes",Settings!$B$7,""),IF(ISNUMBER(R2393),DATE(YEAR(R2393),MONTH(R2393),1),"")))</f>
        <v/>
      </c>
      <c r="X2393" s="38" t="n">
        <f aca="false">IF(AND(OR(T2393="Backlog",T2393="Pipeline",T2393="Overdue"),ISNUMBER(W2393)),IF(W2393&lt;=Settings!$B$6,V2393,0),0)</f>
        <v>0</v>
      </c>
      <c r="Y2393" s="38" t="n">
        <f aca="false">IF(AND(OR(T2393="Backlog",T2393="Pipeline",T2393="Overdue"),ISNUMBER(W2393)),IF(W2393&lt;=Settings!$B$6,Q2393,0),0)</f>
        <v>0</v>
      </c>
      <c r="Z2393" s="38" t="n">
        <f aca="false">IF(Y2393=0,0,IF(T2393="Backlog",Q2393,Q2393*Dashboard!$C$10))</f>
        <v>0</v>
      </c>
      <c r="AA2393" s="37" t="n">
        <f aca="false">IF($N2393="",0,IF(COUNTIF(Dashboard!$C$13:$C$22,$N2393)&gt;0,1,0))</f>
        <v>0</v>
      </c>
      <c r="AB2393" s="37" t="str">
        <f aca="false">IF($N2393="","",IF(COUNTIF($N$8:$N2393,$N2393)=1,MAX($AB$7:$AB2392)+1,""))</f>
        <v/>
      </c>
    </row>
    <row r="2394" customFormat="false" ht="15" hidden="false" customHeight="false" outlineLevel="0" collapsed="false">
      <c r="L2394" s="37" t="str">
        <f aca="false">IF(INDEX($A2394:$J2394,$L$6)&lt;&gt;"",TRIM(LEFT(INDEX($A2394:$J2394,$L$6),FIND("(",INDEX($A2394:$J2394,$L$6)&amp;"(")-1)),L2393)</f>
        <v>Building Value Proposition</v>
      </c>
      <c r="M2394" s="37" t="str">
        <f aca="false">IF(INDEX($A2394:$J2394,$M$6)="","",INDEX($A2394:$J2394,$M$6)&amp;"")</f>
        <v/>
      </c>
      <c r="N2394" s="37" t="str">
        <f aca="false">IF($M2394="","",TRIM(INDEX($A2394:$J2394,$N$6)&amp;""))</f>
        <v/>
      </c>
      <c r="O2394" s="37" t="str">
        <f aca="false">IF($M2394="","",TRIM(INDEX($A2394:$J2394,$O$6)&amp;""))</f>
        <v/>
      </c>
      <c r="P2394" s="37" t="str">
        <f aca="false">IF($M2394="","",IFERROR(IF(INDEX(Settings!$B$41:$B$50,MATCH(O2394,Settings!$A$41:$A$50,0))&amp;""="","UNMAPPED",INDEX(Settings!$B$41:$B$50,MATCH(O2394,Settings!$A$41:$A$50,0))&amp;""),"UNMAPPED"))</f>
        <v/>
      </c>
      <c r="Q2394" s="38" t="n">
        <f aca="false">IF($M2394="",0,N(INDEX($A2394:$J2394,$Q$6)))</f>
        <v>0</v>
      </c>
      <c r="R2394" s="39" t="str">
        <f aca="false">IF($M2394="","",INDEX($A2394:$J2394,$R$6))</f>
        <v/>
      </c>
      <c r="S2394" s="37" t="str">
        <f aca="false">IF($M2394="","",IFERROR(INDEX(Settings!$B$27:$B$36,MATCH(L2394,Settings!$A$27:$A$36,0))&amp;"","UNMAPPED"))</f>
        <v/>
      </c>
      <c r="T2394" s="37" t="str">
        <f aca="false">IF($M2394="","",IF(NOT(ISNUMBER(R2394)),"NO DATE",IF(S2394="Won",IF(R2394&gt;Settings!$B$5,"Backlog","Delivered"),IF(S2394="Open",IF(R2394&gt;Settings!$B$5,"Pipeline","Overdue"),IF(S2394="Lost","Lost","UNMAPPED")))))</f>
        <v/>
      </c>
      <c r="U2394" s="40" t="n">
        <f aca="false">IF(T2394="Backlog",1,IF(OR(T2394="Pipeline",T2394="Overdue"),N(INDEX(Settings!$C$27:$C$36,MATCH(L2394,Settings!$A$27:$A$36,0))),0))</f>
        <v>0</v>
      </c>
      <c r="V2394" s="38" t="n">
        <f aca="false">Q2394*U2394</f>
        <v>0</v>
      </c>
      <c r="W2394" s="41" t="str">
        <f aca="false">IF($M2394="","",IF(T2394="Overdue",IF(Settings!$B$8="Yes",Settings!$B$7,""),IF(ISNUMBER(R2394),DATE(YEAR(R2394),MONTH(R2394),1),"")))</f>
        <v/>
      </c>
      <c r="X2394" s="38" t="n">
        <f aca="false">IF(AND(OR(T2394="Backlog",T2394="Pipeline",T2394="Overdue"),ISNUMBER(W2394)),IF(W2394&lt;=Settings!$B$6,V2394,0),0)</f>
        <v>0</v>
      </c>
      <c r="Y2394" s="38" t="n">
        <f aca="false">IF(AND(OR(T2394="Backlog",T2394="Pipeline",T2394="Overdue"),ISNUMBER(W2394)),IF(W2394&lt;=Settings!$B$6,Q2394,0),0)</f>
        <v>0</v>
      </c>
      <c r="Z2394" s="38" t="n">
        <f aca="false">IF(Y2394=0,0,IF(T2394="Backlog",Q2394,Q2394*Dashboard!$C$10))</f>
        <v>0</v>
      </c>
      <c r="AA2394" s="37" t="n">
        <f aca="false">IF($N2394="",0,IF(COUNTIF(Dashboard!$C$13:$C$22,$N2394)&gt;0,1,0))</f>
        <v>0</v>
      </c>
      <c r="AB2394" s="37" t="str">
        <f aca="false">IF($N2394="","",IF(COUNTIF($N$8:$N2394,$N2394)=1,MAX($AB$7:$AB2393)+1,""))</f>
        <v/>
      </c>
    </row>
    <row r="2395" customFormat="false" ht="15" hidden="false" customHeight="false" outlineLevel="0" collapsed="false">
      <c r="L2395" s="37" t="str">
        <f aca="false">IF(INDEX($A2395:$J2395,$L$6)&lt;&gt;"",TRIM(LEFT(INDEX($A2395:$J2395,$L$6),FIND("(",INDEX($A2395:$J2395,$L$6)&amp;"(")-1)),L2394)</f>
        <v>Building Value Proposition</v>
      </c>
      <c r="M2395" s="37" t="str">
        <f aca="false">IF(INDEX($A2395:$J2395,$M$6)="","",INDEX($A2395:$J2395,$M$6)&amp;"")</f>
        <v/>
      </c>
      <c r="N2395" s="37" t="str">
        <f aca="false">IF($M2395="","",TRIM(INDEX($A2395:$J2395,$N$6)&amp;""))</f>
        <v/>
      </c>
      <c r="O2395" s="37" t="str">
        <f aca="false">IF($M2395="","",TRIM(INDEX($A2395:$J2395,$O$6)&amp;""))</f>
        <v/>
      </c>
      <c r="P2395" s="37" t="str">
        <f aca="false">IF($M2395="","",IFERROR(IF(INDEX(Settings!$B$41:$B$50,MATCH(O2395,Settings!$A$41:$A$50,0))&amp;""="","UNMAPPED",INDEX(Settings!$B$41:$B$50,MATCH(O2395,Settings!$A$41:$A$50,0))&amp;""),"UNMAPPED"))</f>
        <v/>
      </c>
      <c r="Q2395" s="38" t="n">
        <f aca="false">IF($M2395="",0,N(INDEX($A2395:$J2395,$Q$6)))</f>
        <v>0</v>
      </c>
      <c r="R2395" s="39" t="str">
        <f aca="false">IF($M2395="","",INDEX($A2395:$J2395,$R$6))</f>
        <v/>
      </c>
      <c r="S2395" s="37" t="str">
        <f aca="false">IF($M2395="","",IFERROR(INDEX(Settings!$B$27:$B$36,MATCH(L2395,Settings!$A$27:$A$36,0))&amp;"","UNMAPPED"))</f>
        <v/>
      </c>
      <c r="T2395" s="37" t="str">
        <f aca="false">IF($M2395="","",IF(NOT(ISNUMBER(R2395)),"NO DATE",IF(S2395="Won",IF(R2395&gt;Settings!$B$5,"Backlog","Delivered"),IF(S2395="Open",IF(R2395&gt;Settings!$B$5,"Pipeline","Overdue"),IF(S2395="Lost","Lost","UNMAPPED")))))</f>
        <v/>
      </c>
      <c r="U2395" s="40" t="n">
        <f aca="false">IF(T2395="Backlog",1,IF(OR(T2395="Pipeline",T2395="Overdue"),N(INDEX(Settings!$C$27:$C$36,MATCH(L2395,Settings!$A$27:$A$36,0))),0))</f>
        <v>0</v>
      </c>
      <c r="V2395" s="38" t="n">
        <f aca="false">Q2395*U2395</f>
        <v>0</v>
      </c>
      <c r="W2395" s="41" t="str">
        <f aca="false">IF($M2395="","",IF(T2395="Overdue",IF(Settings!$B$8="Yes",Settings!$B$7,""),IF(ISNUMBER(R2395),DATE(YEAR(R2395),MONTH(R2395),1),"")))</f>
        <v/>
      </c>
      <c r="X2395" s="38" t="n">
        <f aca="false">IF(AND(OR(T2395="Backlog",T2395="Pipeline",T2395="Overdue"),ISNUMBER(W2395)),IF(W2395&lt;=Settings!$B$6,V2395,0),0)</f>
        <v>0</v>
      </c>
      <c r="Y2395" s="38" t="n">
        <f aca="false">IF(AND(OR(T2395="Backlog",T2395="Pipeline",T2395="Overdue"),ISNUMBER(W2395)),IF(W2395&lt;=Settings!$B$6,Q2395,0),0)</f>
        <v>0</v>
      </c>
      <c r="Z2395" s="38" t="n">
        <f aca="false">IF(Y2395=0,0,IF(T2395="Backlog",Q2395,Q2395*Dashboard!$C$10))</f>
        <v>0</v>
      </c>
      <c r="AA2395" s="37" t="n">
        <f aca="false">IF($N2395="",0,IF(COUNTIF(Dashboard!$C$13:$C$22,$N2395)&gt;0,1,0))</f>
        <v>0</v>
      </c>
      <c r="AB2395" s="37" t="str">
        <f aca="false">IF($N2395="","",IF(COUNTIF($N$8:$N2395,$N2395)=1,MAX($AB$7:$AB2394)+1,""))</f>
        <v/>
      </c>
    </row>
    <row r="2396" customFormat="false" ht="15" hidden="false" customHeight="false" outlineLevel="0" collapsed="false">
      <c r="L2396" s="37" t="str">
        <f aca="false">IF(INDEX($A2396:$J2396,$L$6)&lt;&gt;"",TRIM(LEFT(INDEX($A2396:$J2396,$L$6),FIND("(",INDEX($A2396:$J2396,$L$6)&amp;"(")-1)),L2395)</f>
        <v>Building Value Proposition</v>
      </c>
      <c r="M2396" s="37" t="str">
        <f aca="false">IF(INDEX($A2396:$J2396,$M$6)="","",INDEX($A2396:$J2396,$M$6)&amp;"")</f>
        <v/>
      </c>
      <c r="N2396" s="37" t="str">
        <f aca="false">IF($M2396="","",TRIM(INDEX($A2396:$J2396,$N$6)&amp;""))</f>
        <v/>
      </c>
      <c r="O2396" s="37" t="str">
        <f aca="false">IF($M2396="","",TRIM(INDEX($A2396:$J2396,$O$6)&amp;""))</f>
        <v/>
      </c>
      <c r="P2396" s="37" t="str">
        <f aca="false">IF($M2396="","",IFERROR(IF(INDEX(Settings!$B$41:$B$50,MATCH(O2396,Settings!$A$41:$A$50,0))&amp;""="","UNMAPPED",INDEX(Settings!$B$41:$B$50,MATCH(O2396,Settings!$A$41:$A$50,0))&amp;""),"UNMAPPED"))</f>
        <v/>
      </c>
      <c r="Q2396" s="38" t="n">
        <f aca="false">IF($M2396="",0,N(INDEX($A2396:$J2396,$Q$6)))</f>
        <v>0</v>
      </c>
      <c r="R2396" s="39" t="str">
        <f aca="false">IF($M2396="","",INDEX($A2396:$J2396,$R$6))</f>
        <v/>
      </c>
      <c r="S2396" s="37" t="str">
        <f aca="false">IF($M2396="","",IFERROR(INDEX(Settings!$B$27:$B$36,MATCH(L2396,Settings!$A$27:$A$36,0))&amp;"","UNMAPPED"))</f>
        <v/>
      </c>
      <c r="T2396" s="37" t="str">
        <f aca="false">IF($M2396="","",IF(NOT(ISNUMBER(R2396)),"NO DATE",IF(S2396="Won",IF(R2396&gt;Settings!$B$5,"Backlog","Delivered"),IF(S2396="Open",IF(R2396&gt;Settings!$B$5,"Pipeline","Overdue"),IF(S2396="Lost","Lost","UNMAPPED")))))</f>
        <v/>
      </c>
      <c r="U2396" s="40" t="n">
        <f aca="false">IF(T2396="Backlog",1,IF(OR(T2396="Pipeline",T2396="Overdue"),N(INDEX(Settings!$C$27:$C$36,MATCH(L2396,Settings!$A$27:$A$36,0))),0))</f>
        <v>0</v>
      </c>
      <c r="V2396" s="38" t="n">
        <f aca="false">Q2396*U2396</f>
        <v>0</v>
      </c>
      <c r="W2396" s="41" t="str">
        <f aca="false">IF($M2396="","",IF(T2396="Overdue",IF(Settings!$B$8="Yes",Settings!$B$7,""),IF(ISNUMBER(R2396),DATE(YEAR(R2396),MONTH(R2396),1),"")))</f>
        <v/>
      </c>
      <c r="X2396" s="38" t="n">
        <f aca="false">IF(AND(OR(T2396="Backlog",T2396="Pipeline",T2396="Overdue"),ISNUMBER(W2396)),IF(W2396&lt;=Settings!$B$6,V2396,0),0)</f>
        <v>0</v>
      </c>
      <c r="Y2396" s="38" t="n">
        <f aca="false">IF(AND(OR(T2396="Backlog",T2396="Pipeline",T2396="Overdue"),ISNUMBER(W2396)),IF(W2396&lt;=Settings!$B$6,Q2396,0),0)</f>
        <v>0</v>
      </c>
      <c r="Z2396" s="38" t="n">
        <f aca="false">IF(Y2396=0,0,IF(T2396="Backlog",Q2396,Q2396*Dashboard!$C$10))</f>
        <v>0</v>
      </c>
      <c r="AA2396" s="37" t="n">
        <f aca="false">IF($N2396="",0,IF(COUNTIF(Dashboard!$C$13:$C$22,$N2396)&gt;0,1,0))</f>
        <v>0</v>
      </c>
      <c r="AB2396" s="37" t="str">
        <f aca="false">IF($N2396="","",IF(COUNTIF($N$8:$N2396,$N2396)=1,MAX($AB$7:$AB2395)+1,""))</f>
        <v/>
      </c>
    </row>
    <row r="2397" customFormat="false" ht="15" hidden="false" customHeight="false" outlineLevel="0" collapsed="false">
      <c r="L2397" s="37" t="str">
        <f aca="false">IF(INDEX($A2397:$J2397,$L$6)&lt;&gt;"",TRIM(LEFT(INDEX($A2397:$J2397,$L$6),FIND("(",INDEX($A2397:$J2397,$L$6)&amp;"(")-1)),L2396)</f>
        <v>Building Value Proposition</v>
      </c>
      <c r="M2397" s="37" t="str">
        <f aca="false">IF(INDEX($A2397:$J2397,$M$6)="","",INDEX($A2397:$J2397,$M$6)&amp;"")</f>
        <v/>
      </c>
      <c r="N2397" s="37" t="str">
        <f aca="false">IF($M2397="","",TRIM(INDEX($A2397:$J2397,$N$6)&amp;""))</f>
        <v/>
      </c>
      <c r="O2397" s="37" t="str">
        <f aca="false">IF($M2397="","",TRIM(INDEX($A2397:$J2397,$O$6)&amp;""))</f>
        <v/>
      </c>
      <c r="P2397" s="37" t="str">
        <f aca="false">IF($M2397="","",IFERROR(IF(INDEX(Settings!$B$41:$B$50,MATCH(O2397,Settings!$A$41:$A$50,0))&amp;""="","UNMAPPED",INDEX(Settings!$B$41:$B$50,MATCH(O2397,Settings!$A$41:$A$50,0))&amp;""),"UNMAPPED"))</f>
        <v/>
      </c>
      <c r="Q2397" s="38" t="n">
        <f aca="false">IF($M2397="",0,N(INDEX($A2397:$J2397,$Q$6)))</f>
        <v>0</v>
      </c>
      <c r="R2397" s="39" t="str">
        <f aca="false">IF($M2397="","",INDEX($A2397:$J2397,$R$6))</f>
        <v/>
      </c>
      <c r="S2397" s="37" t="str">
        <f aca="false">IF($M2397="","",IFERROR(INDEX(Settings!$B$27:$B$36,MATCH(L2397,Settings!$A$27:$A$36,0))&amp;"","UNMAPPED"))</f>
        <v/>
      </c>
      <c r="T2397" s="37" t="str">
        <f aca="false">IF($M2397="","",IF(NOT(ISNUMBER(R2397)),"NO DATE",IF(S2397="Won",IF(R2397&gt;Settings!$B$5,"Backlog","Delivered"),IF(S2397="Open",IF(R2397&gt;Settings!$B$5,"Pipeline","Overdue"),IF(S2397="Lost","Lost","UNMAPPED")))))</f>
        <v/>
      </c>
      <c r="U2397" s="40" t="n">
        <f aca="false">IF(T2397="Backlog",1,IF(OR(T2397="Pipeline",T2397="Overdue"),N(INDEX(Settings!$C$27:$C$36,MATCH(L2397,Settings!$A$27:$A$36,0))),0))</f>
        <v>0</v>
      </c>
      <c r="V2397" s="38" t="n">
        <f aca="false">Q2397*U2397</f>
        <v>0</v>
      </c>
      <c r="W2397" s="41" t="str">
        <f aca="false">IF($M2397="","",IF(T2397="Overdue",IF(Settings!$B$8="Yes",Settings!$B$7,""),IF(ISNUMBER(R2397),DATE(YEAR(R2397),MONTH(R2397),1),"")))</f>
        <v/>
      </c>
      <c r="X2397" s="38" t="n">
        <f aca="false">IF(AND(OR(T2397="Backlog",T2397="Pipeline",T2397="Overdue"),ISNUMBER(W2397)),IF(W2397&lt;=Settings!$B$6,V2397,0),0)</f>
        <v>0</v>
      </c>
      <c r="Y2397" s="38" t="n">
        <f aca="false">IF(AND(OR(T2397="Backlog",T2397="Pipeline",T2397="Overdue"),ISNUMBER(W2397)),IF(W2397&lt;=Settings!$B$6,Q2397,0),0)</f>
        <v>0</v>
      </c>
      <c r="Z2397" s="38" t="n">
        <f aca="false">IF(Y2397=0,0,IF(T2397="Backlog",Q2397,Q2397*Dashboard!$C$10))</f>
        <v>0</v>
      </c>
      <c r="AA2397" s="37" t="n">
        <f aca="false">IF($N2397="",0,IF(COUNTIF(Dashboard!$C$13:$C$22,$N2397)&gt;0,1,0))</f>
        <v>0</v>
      </c>
      <c r="AB2397" s="37" t="str">
        <f aca="false">IF($N2397="","",IF(COUNTIF($N$8:$N2397,$N2397)=1,MAX($AB$7:$AB2396)+1,""))</f>
        <v/>
      </c>
    </row>
    <row r="2398" customFormat="false" ht="15" hidden="false" customHeight="false" outlineLevel="0" collapsed="false">
      <c r="L2398" s="37" t="str">
        <f aca="false">IF(INDEX($A2398:$J2398,$L$6)&lt;&gt;"",TRIM(LEFT(INDEX($A2398:$J2398,$L$6),FIND("(",INDEX($A2398:$J2398,$L$6)&amp;"(")-1)),L2397)</f>
        <v>Building Value Proposition</v>
      </c>
      <c r="M2398" s="37" t="str">
        <f aca="false">IF(INDEX($A2398:$J2398,$M$6)="","",INDEX($A2398:$J2398,$M$6)&amp;"")</f>
        <v/>
      </c>
      <c r="N2398" s="37" t="str">
        <f aca="false">IF($M2398="","",TRIM(INDEX($A2398:$J2398,$N$6)&amp;""))</f>
        <v/>
      </c>
      <c r="O2398" s="37" t="str">
        <f aca="false">IF($M2398="","",TRIM(INDEX($A2398:$J2398,$O$6)&amp;""))</f>
        <v/>
      </c>
      <c r="P2398" s="37" t="str">
        <f aca="false">IF($M2398="","",IFERROR(IF(INDEX(Settings!$B$41:$B$50,MATCH(O2398,Settings!$A$41:$A$50,0))&amp;""="","UNMAPPED",INDEX(Settings!$B$41:$B$50,MATCH(O2398,Settings!$A$41:$A$50,0))&amp;""),"UNMAPPED"))</f>
        <v/>
      </c>
      <c r="Q2398" s="38" t="n">
        <f aca="false">IF($M2398="",0,N(INDEX($A2398:$J2398,$Q$6)))</f>
        <v>0</v>
      </c>
      <c r="R2398" s="39" t="str">
        <f aca="false">IF($M2398="","",INDEX($A2398:$J2398,$R$6))</f>
        <v/>
      </c>
      <c r="S2398" s="37" t="str">
        <f aca="false">IF($M2398="","",IFERROR(INDEX(Settings!$B$27:$B$36,MATCH(L2398,Settings!$A$27:$A$36,0))&amp;"","UNMAPPED"))</f>
        <v/>
      </c>
      <c r="T2398" s="37" t="str">
        <f aca="false">IF($M2398="","",IF(NOT(ISNUMBER(R2398)),"NO DATE",IF(S2398="Won",IF(R2398&gt;Settings!$B$5,"Backlog","Delivered"),IF(S2398="Open",IF(R2398&gt;Settings!$B$5,"Pipeline","Overdue"),IF(S2398="Lost","Lost","UNMAPPED")))))</f>
        <v/>
      </c>
      <c r="U2398" s="40" t="n">
        <f aca="false">IF(T2398="Backlog",1,IF(OR(T2398="Pipeline",T2398="Overdue"),N(INDEX(Settings!$C$27:$C$36,MATCH(L2398,Settings!$A$27:$A$36,0))),0))</f>
        <v>0</v>
      </c>
      <c r="V2398" s="38" t="n">
        <f aca="false">Q2398*U2398</f>
        <v>0</v>
      </c>
      <c r="W2398" s="41" t="str">
        <f aca="false">IF($M2398="","",IF(T2398="Overdue",IF(Settings!$B$8="Yes",Settings!$B$7,""),IF(ISNUMBER(R2398),DATE(YEAR(R2398),MONTH(R2398),1),"")))</f>
        <v/>
      </c>
      <c r="X2398" s="38" t="n">
        <f aca="false">IF(AND(OR(T2398="Backlog",T2398="Pipeline",T2398="Overdue"),ISNUMBER(W2398)),IF(W2398&lt;=Settings!$B$6,V2398,0),0)</f>
        <v>0</v>
      </c>
      <c r="Y2398" s="38" t="n">
        <f aca="false">IF(AND(OR(T2398="Backlog",T2398="Pipeline",T2398="Overdue"),ISNUMBER(W2398)),IF(W2398&lt;=Settings!$B$6,Q2398,0),0)</f>
        <v>0</v>
      </c>
      <c r="Z2398" s="38" t="n">
        <f aca="false">IF(Y2398=0,0,IF(T2398="Backlog",Q2398,Q2398*Dashboard!$C$10))</f>
        <v>0</v>
      </c>
      <c r="AA2398" s="37" t="n">
        <f aca="false">IF($N2398="",0,IF(COUNTIF(Dashboard!$C$13:$C$22,$N2398)&gt;0,1,0))</f>
        <v>0</v>
      </c>
      <c r="AB2398" s="37" t="str">
        <f aca="false">IF($N2398="","",IF(COUNTIF($N$8:$N2398,$N2398)=1,MAX($AB$7:$AB2397)+1,""))</f>
        <v/>
      </c>
    </row>
    <row r="2399" customFormat="false" ht="15" hidden="false" customHeight="false" outlineLevel="0" collapsed="false">
      <c r="L2399" s="37" t="str">
        <f aca="false">IF(INDEX($A2399:$J2399,$L$6)&lt;&gt;"",TRIM(LEFT(INDEX($A2399:$J2399,$L$6),FIND("(",INDEX($A2399:$J2399,$L$6)&amp;"(")-1)),L2398)</f>
        <v>Building Value Proposition</v>
      </c>
      <c r="M2399" s="37" t="str">
        <f aca="false">IF(INDEX($A2399:$J2399,$M$6)="","",INDEX($A2399:$J2399,$M$6)&amp;"")</f>
        <v/>
      </c>
      <c r="N2399" s="37" t="str">
        <f aca="false">IF($M2399="","",TRIM(INDEX($A2399:$J2399,$N$6)&amp;""))</f>
        <v/>
      </c>
      <c r="O2399" s="37" t="str">
        <f aca="false">IF($M2399="","",TRIM(INDEX($A2399:$J2399,$O$6)&amp;""))</f>
        <v/>
      </c>
      <c r="P2399" s="37" t="str">
        <f aca="false">IF($M2399="","",IFERROR(IF(INDEX(Settings!$B$41:$B$50,MATCH(O2399,Settings!$A$41:$A$50,0))&amp;""="","UNMAPPED",INDEX(Settings!$B$41:$B$50,MATCH(O2399,Settings!$A$41:$A$50,0))&amp;""),"UNMAPPED"))</f>
        <v/>
      </c>
      <c r="Q2399" s="38" t="n">
        <f aca="false">IF($M2399="",0,N(INDEX($A2399:$J2399,$Q$6)))</f>
        <v>0</v>
      </c>
      <c r="R2399" s="39" t="str">
        <f aca="false">IF($M2399="","",INDEX($A2399:$J2399,$R$6))</f>
        <v/>
      </c>
      <c r="S2399" s="37" t="str">
        <f aca="false">IF($M2399="","",IFERROR(INDEX(Settings!$B$27:$B$36,MATCH(L2399,Settings!$A$27:$A$36,0))&amp;"","UNMAPPED"))</f>
        <v/>
      </c>
      <c r="T2399" s="37" t="str">
        <f aca="false">IF($M2399="","",IF(NOT(ISNUMBER(R2399)),"NO DATE",IF(S2399="Won",IF(R2399&gt;Settings!$B$5,"Backlog","Delivered"),IF(S2399="Open",IF(R2399&gt;Settings!$B$5,"Pipeline","Overdue"),IF(S2399="Lost","Lost","UNMAPPED")))))</f>
        <v/>
      </c>
      <c r="U2399" s="40" t="n">
        <f aca="false">IF(T2399="Backlog",1,IF(OR(T2399="Pipeline",T2399="Overdue"),N(INDEX(Settings!$C$27:$C$36,MATCH(L2399,Settings!$A$27:$A$36,0))),0))</f>
        <v>0</v>
      </c>
      <c r="V2399" s="38" t="n">
        <f aca="false">Q2399*U2399</f>
        <v>0</v>
      </c>
      <c r="W2399" s="41" t="str">
        <f aca="false">IF($M2399="","",IF(T2399="Overdue",IF(Settings!$B$8="Yes",Settings!$B$7,""),IF(ISNUMBER(R2399),DATE(YEAR(R2399),MONTH(R2399),1),"")))</f>
        <v/>
      </c>
      <c r="X2399" s="38" t="n">
        <f aca="false">IF(AND(OR(T2399="Backlog",T2399="Pipeline",T2399="Overdue"),ISNUMBER(W2399)),IF(W2399&lt;=Settings!$B$6,V2399,0),0)</f>
        <v>0</v>
      </c>
      <c r="Y2399" s="38" t="n">
        <f aca="false">IF(AND(OR(T2399="Backlog",T2399="Pipeline",T2399="Overdue"),ISNUMBER(W2399)),IF(W2399&lt;=Settings!$B$6,Q2399,0),0)</f>
        <v>0</v>
      </c>
      <c r="Z2399" s="38" t="n">
        <f aca="false">IF(Y2399=0,0,IF(T2399="Backlog",Q2399,Q2399*Dashboard!$C$10))</f>
        <v>0</v>
      </c>
      <c r="AA2399" s="37" t="n">
        <f aca="false">IF($N2399="",0,IF(COUNTIF(Dashboard!$C$13:$C$22,$N2399)&gt;0,1,0))</f>
        <v>0</v>
      </c>
      <c r="AB2399" s="37" t="str">
        <f aca="false">IF($N2399="","",IF(COUNTIF($N$8:$N2399,$N2399)=1,MAX($AB$7:$AB2398)+1,""))</f>
        <v/>
      </c>
    </row>
    <row r="2400" customFormat="false" ht="15" hidden="false" customHeight="false" outlineLevel="0" collapsed="false">
      <c r="L2400" s="37" t="str">
        <f aca="false">IF(INDEX($A2400:$J2400,$L$6)&lt;&gt;"",TRIM(LEFT(INDEX($A2400:$J2400,$L$6),FIND("(",INDEX($A2400:$J2400,$L$6)&amp;"(")-1)),L2399)</f>
        <v>Building Value Proposition</v>
      </c>
      <c r="M2400" s="37" t="str">
        <f aca="false">IF(INDEX($A2400:$J2400,$M$6)="","",INDEX($A2400:$J2400,$M$6)&amp;"")</f>
        <v/>
      </c>
      <c r="N2400" s="37" t="str">
        <f aca="false">IF($M2400="","",TRIM(INDEX($A2400:$J2400,$N$6)&amp;""))</f>
        <v/>
      </c>
      <c r="O2400" s="37" t="str">
        <f aca="false">IF($M2400="","",TRIM(INDEX($A2400:$J2400,$O$6)&amp;""))</f>
        <v/>
      </c>
      <c r="P2400" s="37" t="str">
        <f aca="false">IF($M2400="","",IFERROR(IF(INDEX(Settings!$B$41:$B$50,MATCH(O2400,Settings!$A$41:$A$50,0))&amp;""="","UNMAPPED",INDEX(Settings!$B$41:$B$50,MATCH(O2400,Settings!$A$41:$A$50,0))&amp;""),"UNMAPPED"))</f>
        <v/>
      </c>
      <c r="Q2400" s="38" t="n">
        <f aca="false">IF($M2400="",0,N(INDEX($A2400:$J2400,$Q$6)))</f>
        <v>0</v>
      </c>
      <c r="R2400" s="39" t="str">
        <f aca="false">IF($M2400="","",INDEX($A2400:$J2400,$R$6))</f>
        <v/>
      </c>
      <c r="S2400" s="37" t="str">
        <f aca="false">IF($M2400="","",IFERROR(INDEX(Settings!$B$27:$B$36,MATCH(L2400,Settings!$A$27:$A$36,0))&amp;"","UNMAPPED"))</f>
        <v/>
      </c>
      <c r="T2400" s="37" t="str">
        <f aca="false">IF($M2400="","",IF(NOT(ISNUMBER(R2400)),"NO DATE",IF(S2400="Won",IF(R2400&gt;Settings!$B$5,"Backlog","Delivered"),IF(S2400="Open",IF(R2400&gt;Settings!$B$5,"Pipeline","Overdue"),IF(S2400="Lost","Lost","UNMAPPED")))))</f>
        <v/>
      </c>
      <c r="U2400" s="40" t="n">
        <f aca="false">IF(T2400="Backlog",1,IF(OR(T2400="Pipeline",T2400="Overdue"),N(INDEX(Settings!$C$27:$C$36,MATCH(L2400,Settings!$A$27:$A$36,0))),0))</f>
        <v>0</v>
      </c>
      <c r="V2400" s="38" t="n">
        <f aca="false">Q2400*U2400</f>
        <v>0</v>
      </c>
      <c r="W2400" s="41" t="str">
        <f aca="false">IF($M2400="","",IF(T2400="Overdue",IF(Settings!$B$8="Yes",Settings!$B$7,""),IF(ISNUMBER(R2400),DATE(YEAR(R2400),MONTH(R2400),1),"")))</f>
        <v/>
      </c>
      <c r="X2400" s="38" t="n">
        <f aca="false">IF(AND(OR(T2400="Backlog",T2400="Pipeline",T2400="Overdue"),ISNUMBER(W2400)),IF(W2400&lt;=Settings!$B$6,V2400,0),0)</f>
        <v>0</v>
      </c>
      <c r="Y2400" s="38" t="n">
        <f aca="false">IF(AND(OR(T2400="Backlog",T2400="Pipeline",T2400="Overdue"),ISNUMBER(W2400)),IF(W2400&lt;=Settings!$B$6,Q2400,0),0)</f>
        <v>0</v>
      </c>
      <c r="Z2400" s="38" t="n">
        <f aca="false">IF(Y2400=0,0,IF(T2400="Backlog",Q2400,Q2400*Dashboard!$C$10))</f>
        <v>0</v>
      </c>
      <c r="AA2400" s="37" t="n">
        <f aca="false">IF($N2400="",0,IF(COUNTIF(Dashboard!$C$13:$C$22,$N2400)&gt;0,1,0))</f>
        <v>0</v>
      </c>
      <c r="AB2400" s="37" t="str">
        <f aca="false">IF($N2400="","",IF(COUNTIF($N$8:$N2400,$N2400)=1,MAX($AB$7:$AB2399)+1,""))</f>
        <v/>
      </c>
    </row>
    <row r="2401" customFormat="false" ht="15" hidden="false" customHeight="false" outlineLevel="0" collapsed="false">
      <c r="L2401" s="37" t="str">
        <f aca="false">IF(INDEX($A2401:$J2401,$L$6)&lt;&gt;"",TRIM(LEFT(INDEX($A2401:$J2401,$L$6),FIND("(",INDEX($A2401:$J2401,$L$6)&amp;"(")-1)),L2400)</f>
        <v>Building Value Proposition</v>
      </c>
      <c r="M2401" s="37" t="str">
        <f aca="false">IF(INDEX($A2401:$J2401,$M$6)="","",INDEX($A2401:$J2401,$M$6)&amp;"")</f>
        <v/>
      </c>
      <c r="N2401" s="37" t="str">
        <f aca="false">IF($M2401="","",TRIM(INDEX($A2401:$J2401,$N$6)&amp;""))</f>
        <v/>
      </c>
      <c r="O2401" s="37" t="str">
        <f aca="false">IF($M2401="","",TRIM(INDEX($A2401:$J2401,$O$6)&amp;""))</f>
        <v/>
      </c>
      <c r="P2401" s="37" t="str">
        <f aca="false">IF($M2401="","",IFERROR(IF(INDEX(Settings!$B$41:$B$50,MATCH(O2401,Settings!$A$41:$A$50,0))&amp;""="","UNMAPPED",INDEX(Settings!$B$41:$B$50,MATCH(O2401,Settings!$A$41:$A$50,0))&amp;""),"UNMAPPED"))</f>
        <v/>
      </c>
      <c r="Q2401" s="38" t="n">
        <f aca="false">IF($M2401="",0,N(INDEX($A2401:$J2401,$Q$6)))</f>
        <v>0</v>
      </c>
      <c r="R2401" s="39" t="str">
        <f aca="false">IF($M2401="","",INDEX($A2401:$J2401,$R$6))</f>
        <v/>
      </c>
      <c r="S2401" s="37" t="str">
        <f aca="false">IF($M2401="","",IFERROR(INDEX(Settings!$B$27:$B$36,MATCH(L2401,Settings!$A$27:$A$36,0))&amp;"","UNMAPPED"))</f>
        <v/>
      </c>
      <c r="T2401" s="37" t="str">
        <f aca="false">IF($M2401="","",IF(NOT(ISNUMBER(R2401)),"NO DATE",IF(S2401="Won",IF(R2401&gt;Settings!$B$5,"Backlog","Delivered"),IF(S2401="Open",IF(R2401&gt;Settings!$B$5,"Pipeline","Overdue"),IF(S2401="Lost","Lost","UNMAPPED")))))</f>
        <v/>
      </c>
      <c r="U2401" s="40" t="n">
        <f aca="false">IF(T2401="Backlog",1,IF(OR(T2401="Pipeline",T2401="Overdue"),N(INDEX(Settings!$C$27:$C$36,MATCH(L2401,Settings!$A$27:$A$36,0))),0))</f>
        <v>0</v>
      </c>
      <c r="V2401" s="38" t="n">
        <f aca="false">Q2401*U2401</f>
        <v>0</v>
      </c>
      <c r="W2401" s="41" t="str">
        <f aca="false">IF($M2401="","",IF(T2401="Overdue",IF(Settings!$B$8="Yes",Settings!$B$7,""),IF(ISNUMBER(R2401),DATE(YEAR(R2401),MONTH(R2401),1),"")))</f>
        <v/>
      </c>
      <c r="X2401" s="38" t="n">
        <f aca="false">IF(AND(OR(T2401="Backlog",T2401="Pipeline",T2401="Overdue"),ISNUMBER(W2401)),IF(W2401&lt;=Settings!$B$6,V2401,0),0)</f>
        <v>0</v>
      </c>
      <c r="Y2401" s="38" t="n">
        <f aca="false">IF(AND(OR(T2401="Backlog",T2401="Pipeline",T2401="Overdue"),ISNUMBER(W2401)),IF(W2401&lt;=Settings!$B$6,Q2401,0),0)</f>
        <v>0</v>
      </c>
      <c r="Z2401" s="38" t="n">
        <f aca="false">IF(Y2401=0,0,IF(T2401="Backlog",Q2401,Q2401*Dashboard!$C$10))</f>
        <v>0</v>
      </c>
      <c r="AA2401" s="37" t="n">
        <f aca="false">IF($N2401="",0,IF(COUNTIF(Dashboard!$C$13:$C$22,$N2401)&gt;0,1,0))</f>
        <v>0</v>
      </c>
      <c r="AB2401" s="37" t="str">
        <f aca="false">IF($N2401="","",IF(COUNTIF($N$8:$N2401,$N2401)=1,MAX($AB$7:$AB2400)+1,""))</f>
        <v/>
      </c>
    </row>
    <row r="2402" customFormat="false" ht="15" hidden="false" customHeight="false" outlineLevel="0" collapsed="false">
      <c r="L2402" s="37" t="str">
        <f aca="false">IF(INDEX($A2402:$J2402,$L$6)&lt;&gt;"",TRIM(LEFT(INDEX($A2402:$J2402,$L$6),FIND("(",INDEX($A2402:$J2402,$L$6)&amp;"(")-1)),L2401)</f>
        <v>Building Value Proposition</v>
      </c>
      <c r="M2402" s="37" t="str">
        <f aca="false">IF(INDEX($A2402:$J2402,$M$6)="","",INDEX($A2402:$J2402,$M$6)&amp;"")</f>
        <v/>
      </c>
      <c r="N2402" s="37" t="str">
        <f aca="false">IF($M2402="","",TRIM(INDEX($A2402:$J2402,$N$6)&amp;""))</f>
        <v/>
      </c>
      <c r="O2402" s="37" t="str">
        <f aca="false">IF($M2402="","",TRIM(INDEX($A2402:$J2402,$O$6)&amp;""))</f>
        <v/>
      </c>
      <c r="P2402" s="37" t="str">
        <f aca="false">IF($M2402="","",IFERROR(IF(INDEX(Settings!$B$41:$B$50,MATCH(O2402,Settings!$A$41:$A$50,0))&amp;""="","UNMAPPED",INDEX(Settings!$B$41:$B$50,MATCH(O2402,Settings!$A$41:$A$50,0))&amp;""),"UNMAPPED"))</f>
        <v/>
      </c>
      <c r="Q2402" s="38" t="n">
        <f aca="false">IF($M2402="",0,N(INDEX($A2402:$J2402,$Q$6)))</f>
        <v>0</v>
      </c>
      <c r="R2402" s="39" t="str">
        <f aca="false">IF($M2402="","",INDEX($A2402:$J2402,$R$6))</f>
        <v/>
      </c>
      <c r="S2402" s="37" t="str">
        <f aca="false">IF($M2402="","",IFERROR(INDEX(Settings!$B$27:$B$36,MATCH(L2402,Settings!$A$27:$A$36,0))&amp;"","UNMAPPED"))</f>
        <v/>
      </c>
      <c r="T2402" s="37" t="str">
        <f aca="false">IF($M2402="","",IF(NOT(ISNUMBER(R2402)),"NO DATE",IF(S2402="Won",IF(R2402&gt;Settings!$B$5,"Backlog","Delivered"),IF(S2402="Open",IF(R2402&gt;Settings!$B$5,"Pipeline","Overdue"),IF(S2402="Lost","Lost","UNMAPPED")))))</f>
        <v/>
      </c>
      <c r="U2402" s="40" t="n">
        <f aca="false">IF(T2402="Backlog",1,IF(OR(T2402="Pipeline",T2402="Overdue"),N(INDEX(Settings!$C$27:$C$36,MATCH(L2402,Settings!$A$27:$A$36,0))),0))</f>
        <v>0</v>
      </c>
      <c r="V2402" s="38" t="n">
        <f aca="false">Q2402*U2402</f>
        <v>0</v>
      </c>
      <c r="W2402" s="41" t="str">
        <f aca="false">IF($M2402="","",IF(T2402="Overdue",IF(Settings!$B$8="Yes",Settings!$B$7,""),IF(ISNUMBER(R2402),DATE(YEAR(R2402),MONTH(R2402),1),"")))</f>
        <v/>
      </c>
      <c r="X2402" s="38" t="n">
        <f aca="false">IF(AND(OR(T2402="Backlog",T2402="Pipeline",T2402="Overdue"),ISNUMBER(W2402)),IF(W2402&lt;=Settings!$B$6,V2402,0),0)</f>
        <v>0</v>
      </c>
      <c r="Y2402" s="38" t="n">
        <f aca="false">IF(AND(OR(T2402="Backlog",T2402="Pipeline",T2402="Overdue"),ISNUMBER(W2402)),IF(W2402&lt;=Settings!$B$6,Q2402,0),0)</f>
        <v>0</v>
      </c>
      <c r="Z2402" s="38" t="n">
        <f aca="false">IF(Y2402=0,0,IF(T2402="Backlog",Q2402,Q2402*Dashboard!$C$10))</f>
        <v>0</v>
      </c>
      <c r="AA2402" s="37" t="n">
        <f aca="false">IF($N2402="",0,IF(COUNTIF(Dashboard!$C$13:$C$22,$N2402)&gt;0,1,0))</f>
        <v>0</v>
      </c>
      <c r="AB2402" s="37" t="str">
        <f aca="false">IF($N2402="","",IF(COUNTIF($N$8:$N2402,$N2402)=1,MAX($AB$7:$AB2401)+1,""))</f>
        <v/>
      </c>
    </row>
    <row r="2403" customFormat="false" ht="15" hidden="false" customHeight="false" outlineLevel="0" collapsed="false">
      <c r="L2403" s="37" t="str">
        <f aca="false">IF(INDEX($A2403:$J2403,$L$6)&lt;&gt;"",TRIM(LEFT(INDEX($A2403:$J2403,$L$6),FIND("(",INDEX($A2403:$J2403,$L$6)&amp;"(")-1)),L2402)</f>
        <v>Building Value Proposition</v>
      </c>
      <c r="M2403" s="37" t="str">
        <f aca="false">IF(INDEX($A2403:$J2403,$M$6)="","",INDEX($A2403:$J2403,$M$6)&amp;"")</f>
        <v/>
      </c>
      <c r="N2403" s="37" t="str">
        <f aca="false">IF($M2403="","",TRIM(INDEX($A2403:$J2403,$N$6)&amp;""))</f>
        <v/>
      </c>
      <c r="O2403" s="37" t="str">
        <f aca="false">IF($M2403="","",TRIM(INDEX($A2403:$J2403,$O$6)&amp;""))</f>
        <v/>
      </c>
      <c r="P2403" s="37" t="str">
        <f aca="false">IF($M2403="","",IFERROR(IF(INDEX(Settings!$B$41:$B$50,MATCH(O2403,Settings!$A$41:$A$50,0))&amp;""="","UNMAPPED",INDEX(Settings!$B$41:$B$50,MATCH(O2403,Settings!$A$41:$A$50,0))&amp;""),"UNMAPPED"))</f>
        <v/>
      </c>
      <c r="Q2403" s="38" t="n">
        <f aca="false">IF($M2403="",0,N(INDEX($A2403:$J2403,$Q$6)))</f>
        <v>0</v>
      </c>
      <c r="R2403" s="39" t="str">
        <f aca="false">IF($M2403="","",INDEX($A2403:$J2403,$R$6))</f>
        <v/>
      </c>
      <c r="S2403" s="37" t="str">
        <f aca="false">IF($M2403="","",IFERROR(INDEX(Settings!$B$27:$B$36,MATCH(L2403,Settings!$A$27:$A$36,0))&amp;"","UNMAPPED"))</f>
        <v/>
      </c>
      <c r="T2403" s="37" t="str">
        <f aca="false">IF($M2403="","",IF(NOT(ISNUMBER(R2403)),"NO DATE",IF(S2403="Won",IF(R2403&gt;Settings!$B$5,"Backlog","Delivered"),IF(S2403="Open",IF(R2403&gt;Settings!$B$5,"Pipeline","Overdue"),IF(S2403="Lost","Lost","UNMAPPED")))))</f>
        <v/>
      </c>
      <c r="U2403" s="40" t="n">
        <f aca="false">IF(T2403="Backlog",1,IF(OR(T2403="Pipeline",T2403="Overdue"),N(INDEX(Settings!$C$27:$C$36,MATCH(L2403,Settings!$A$27:$A$36,0))),0))</f>
        <v>0</v>
      </c>
      <c r="V2403" s="38" t="n">
        <f aca="false">Q2403*U2403</f>
        <v>0</v>
      </c>
      <c r="W2403" s="41" t="str">
        <f aca="false">IF($M2403="","",IF(T2403="Overdue",IF(Settings!$B$8="Yes",Settings!$B$7,""),IF(ISNUMBER(R2403),DATE(YEAR(R2403),MONTH(R2403),1),"")))</f>
        <v/>
      </c>
      <c r="X2403" s="38" t="n">
        <f aca="false">IF(AND(OR(T2403="Backlog",T2403="Pipeline",T2403="Overdue"),ISNUMBER(W2403)),IF(W2403&lt;=Settings!$B$6,V2403,0),0)</f>
        <v>0</v>
      </c>
      <c r="Y2403" s="38" t="n">
        <f aca="false">IF(AND(OR(T2403="Backlog",T2403="Pipeline",T2403="Overdue"),ISNUMBER(W2403)),IF(W2403&lt;=Settings!$B$6,Q2403,0),0)</f>
        <v>0</v>
      </c>
      <c r="Z2403" s="38" t="n">
        <f aca="false">IF(Y2403=0,0,IF(T2403="Backlog",Q2403,Q2403*Dashboard!$C$10))</f>
        <v>0</v>
      </c>
      <c r="AA2403" s="37" t="n">
        <f aca="false">IF($N2403="",0,IF(COUNTIF(Dashboard!$C$13:$C$22,$N2403)&gt;0,1,0))</f>
        <v>0</v>
      </c>
      <c r="AB2403" s="37" t="str">
        <f aca="false">IF($N2403="","",IF(COUNTIF($N$8:$N2403,$N2403)=1,MAX($AB$7:$AB2402)+1,""))</f>
        <v/>
      </c>
    </row>
    <row r="2404" customFormat="false" ht="15" hidden="false" customHeight="false" outlineLevel="0" collapsed="false">
      <c r="L2404" s="37" t="str">
        <f aca="false">IF(INDEX($A2404:$J2404,$L$6)&lt;&gt;"",TRIM(LEFT(INDEX($A2404:$J2404,$L$6),FIND("(",INDEX($A2404:$J2404,$L$6)&amp;"(")-1)),L2403)</f>
        <v>Building Value Proposition</v>
      </c>
      <c r="M2404" s="37" t="str">
        <f aca="false">IF(INDEX($A2404:$J2404,$M$6)="","",INDEX($A2404:$J2404,$M$6)&amp;"")</f>
        <v/>
      </c>
      <c r="N2404" s="37" t="str">
        <f aca="false">IF($M2404="","",TRIM(INDEX($A2404:$J2404,$N$6)&amp;""))</f>
        <v/>
      </c>
      <c r="O2404" s="37" t="str">
        <f aca="false">IF($M2404="","",TRIM(INDEX($A2404:$J2404,$O$6)&amp;""))</f>
        <v/>
      </c>
      <c r="P2404" s="37" t="str">
        <f aca="false">IF($M2404="","",IFERROR(IF(INDEX(Settings!$B$41:$B$50,MATCH(O2404,Settings!$A$41:$A$50,0))&amp;""="","UNMAPPED",INDEX(Settings!$B$41:$B$50,MATCH(O2404,Settings!$A$41:$A$50,0))&amp;""),"UNMAPPED"))</f>
        <v/>
      </c>
      <c r="Q2404" s="38" t="n">
        <f aca="false">IF($M2404="",0,N(INDEX($A2404:$J2404,$Q$6)))</f>
        <v>0</v>
      </c>
      <c r="R2404" s="39" t="str">
        <f aca="false">IF($M2404="","",INDEX($A2404:$J2404,$R$6))</f>
        <v/>
      </c>
      <c r="S2404" s="37" t="str">
        <f aca="false">IF($M2404="","",IFERROR(INDEX(Settings!$B$27:$B$36,MATCH(L2404,Settings!$A$27:$A$36,0))&amp;"","UNMAPPED"))</f>
        <v/>
      </c>
      <c r="T2404" s="37" t="str">
        <f aca="false">IF($M2404="","",IF(NOT(ISNUMBER(R2404)),"NO DATE",IF(S2404="Won",IF(R2404&gt;Settings!$B$5,"Backlog","Delivered"),IF(S2404="Open",IF(R2404&gt;Settings!$B$5,"Pipeline","Overdue"),IF(S2404="Lost","Lost","UNMAPPED")))))</f>
        <v/>
      </c>
      <c r="U2404" s="40" t="n">
        <f aca="false">IF(T2404="Backlog",1,IF(OR(T2404="Pipeline",T2404="Overdue"),N(INDEX(Settings!$C$27:$C$36,MATCH(L2404,Settings!$A$27:$A$36,0))),0))</f>
        <v>0</v>
      </c>
      <c r="V2404" s="38" t="n">
        <f aca="false">Q2404*U2404</f>
        <v>0</v>
      </c>
      <c r="W2404" s="41" t="str">
        <f aca="false">IF($M2404="","",IF(T2404="Overdue",IF(Settings!$B$8="Yes",Settings!$B$7,""),IF(ISNUMBER(R2404),DATE(YEAR(R2404),MONTH(R2404),1),"")))</f>
        <v/>
      </c>
      <c r="X2404" s="38" t="n">
        <f aca="false">IF(AND(OR(T2404="Backlog",T2404="Pipeline",T2404="Overdue"),ISNUMBER(W2404)),IF(W2404&lt;=Settings!$B$6,V2404,0),0)</f>
        <v>0</v>
      </c>
      <c r="Y2404" s="38" t="n">
        <f aca="false">IF(AND(OR(T2404="Backlog",T2404="Pipeline",T2404="Overdue"),ISNUMBER(W2404)),IF(W2404&lt;=Settings!$B$6,Q2404,0),0)</f>
        <v>0</v>
      </c>
      <c r="Z2404" s="38" t="n">
        <f aca="false">IF(Y2404=0,0,IF(T2404="Backlog",Q2404,Q2404*Dashboard!$C$10))</f>
        <v>0</v>
      </c>
      <c r="AA2404" s="37" t="n">
        <f aca="false">IF($N2404="",0,IF(COUNTIF(Dashboard!$C$13:$C$22,$N2404)&gt;0,1,0))</f>
        <v>0</v>
      </c>
      <c r="AB2404" s="37" t="str">
        <f aca="false">IF($N2404="","",IF(COUNTIF($N$8:$N2404,$N2404)=1,MAX($AB$7:$AB2403)+1,""))</f>
        <v/>
      </c>
    </row>
    <row r="2405" customFormat="false" ht="15" hidden="false" customHeight="false" outlineLevel="0" collapsed="false">
      <c r="L2405" s="37" t="str">
        <f aca="false">IF(INDEX($A2405:$J2405,$L$6)&lt;&gt;"",TRIM(LEFT(INDEX($A2405:$J2405,$L$6),FIND("(",INDEX($A2405:$J2405,$L$6)&amp;"(")-1)),L2404)</f>
        <v>Building Value Proposition</v>
      </c>
      <c r="M2405" s="37" t="str">
        <f aca="false">IF(INDEX($A2405:$J2405,$M$6)="","",INDEX($A2405:$J2405,$M$6)&amp;"")</f>
        <v/>
      </c>
      <c r="N2405" s="37" t="str">
        <f aca="false">IF($M2405="","",TRIM(INDEX($A2405:$J2405,$N$6)&amp;""))</f>
        <v/>
      </c>
      <c r="O2405" s="37" t="str">
        <f aca="false">IF($M2405="","",TRIM(INDEX($A2405:$J2405,$O$6)&amp;""))</f>
        <v/>
      </c>
      <c r="P2405" s="37" t="str">
        <f aca="false">IF($M2405="","",IFERROR(IF(INDEX(Settings!$B$41:$B$50,MATCH(O2405,Settings!$A$41:$A$50,0))&amp;""="","UNMAPPED",INDEX(Settings!$B$41:$B$50,MATCH(O2405,Settings!$A$41:$A$50,0))&amp;""),"UNMAPPED"))</f>
        <v/>
      </c>
      <c r="Q2405" s="38" t="n">
        <f aca="false">IF($M2405="",0,N(INDEX($A2405:$J2405,$Q$6)))</f>
        <v>0</v>
      </c>
      <c r="R2405" s="39" t="str">
        <f aca="false">IF($M2405="","",INDEX($A2405:$J2405,$R$6))</f>
        <v/>
      </c>
      <c r="S2405" s="37" t="str">
        <f aca="false">IF($M2405="","",IFERROR(INDEX(Settings!$B$27:$B$36,MATCH(L2405,Settings!$A$27:$A$36,0))&amp;"","UNMAPPED"))</f>
        <v/>
      </c>
      <c r="T2405" s="37" t="str">
        <f aca="false">IF($M2405="","",IF(NOT(ISNUMBER(R2405)),"NO DATE",IF(S2405="Won",IF(R2405&gt;Settings!$B$5,"Backlog","Delivered"),IF(S2405="Open",IF(R2405&gt;Settings!$B$5,"Pipeline","Overdue"),IF(S2405="Lost","Lost","UNMAPPED")))))</f>
        <v/>
      </c>
      <c r="U2405" s="40" t="n">
        <f aca="false">IF(T2405="Backlog",1,IF(OR(T2405="Pipeline",T2405="Overdue"),N(INDEX(Settings!$C$27:$C$36,MATCH(L2405,Settings!$A$27:$A$36,0))),0))</f>
        <v>0</v>
      </c>
      <c r="V2405" s="38" t="n">
        <f aca="false">Q2405*U2405</f>
        <v>0</v>
      </c>
      <c r="W2405" s="41" t="str">
        <f aca="false">IF($M2405="","",IF(T2405="Overdue",IF(Settings!$B$8="Yes",Settings!$B$7,""),IF(ISNUMBER(R2405),DATE(YEAR(R2405),MONTH(R2405),1),"")))</f>
        <v/>
      </c>
      <c r="X2405" s="38" t="n">
        <f aca="false">IF(AND(OR(T2405="Backlog",T2405="Pipeline",T2405="Overdue"),ISNUMBER(W2405)),IF(W2405&lt;=Settings!$B$6,V2405,0),0)</f>
        <v>0</v>
      </c>
      <c r="Y2405" s="38" t="n">
        <f aca="false">IF(AND(OR(T2405="Backlog",T2405="Pipeline",T2405="Overdue"),ISNUMBER(W2405)),IF(W2405&lt;=Settings!$B$6,Q2405,0),0)</f>
        <v>0</v>
      </c>
      <c r="Z2405" s="38" t="n">
        <f aca="false">IF(Y2405=0,0,IF(T2405="Backlog",Q2405,Q2405*Dashboard!$C$10))</f>
        <v>0</v>
      </c>
      <c r="AA2405" s="37" t="n">
        <f aca="false">IF($N2405="",0,IF(COUNTIF(Dashboard!$C$13:$C$22,$N2405)&gt;0,1,0))</f>
        <v>0</v>
      </c>
      <c r="AB2405" s="37" t="str">
        <f aca="false">IF($N2405="","",IF(COUNTIF($N$8:$N2405,$N2405)=1,MAX($AB$7:$AB2404)+1,""))</f>
        <v/>
      </c>
    </row>
    <row r="2406" customFormat="false" ht="15" hidden="false" customHeight="false" outlineLevel="0" collapsed="false">
      <c r="L2406" s="37" t="str">
        <f aca="false">IF(INDEX($A2406:$J2406,$L$6)&lt;&gt;"",TRIM(LEFT(INDEX($A2406:$J2406,$L$6),FIND("(",INDEX($A2406:$J2406,$L$6)&amp;"(")-1)),L2405)</f>
        <v>Building Value Proposition</v>
      </c>
      <c r="M2406" s="37" t="str">
        <f aca="false">IF(INDEX($A2406:$J2406,$M$6)="","",INDEX($A2406:$J2406,$M$6)&amp;"")</f>
        <v/>
      </c>
      <c r="N2406" s="37" t="str">
        <f aca="false">IF($M2406="","",TRIM(INDEX($A2406:$J2406,$N$6)&amp;""))</f>
        <v/>
      </c>
      <c r="O2406" s="37" t="str">
        <f aca="false">IF($M2406="","",TRIM(INDEX($A2406:$J2406,$O$6)&amp;""))</f>
        <v/>
      </c>
      <c r="P2406" s="37" t="str">
        <f aca="false">IF($M2406="","",IFERROR(IF(INDEX(Settings!$B$41:$B$50,MATCH(O2406,Settings!$A$41:$A$50,0))&amp;""="","UNMAPPED",INDEX(Settings!$B$41:$B$50,MATCH(O2406,Settings!$A$41:$A$50,0))&amp;""),"UNMAPPED"))</f>
        <v/>
      </c>
      <c r="Q2406" s="38" t="n">
        <f aca="false">IF($M2406="",0,N(INDEX($A2406:$J2406,$Q$6)))</f>
        <v>0</v>
      </c>
      <c r="R2406" s="39" t="str">
        <f aca="false">IF($M2406="","",INDEX($A2406:$J2406,$R$6))</f>
        <v/>
      </c>
      <c r="S2406" s="37" t="str">
        <f aca="false">IF($M2406="","",IFERROR(INDEX(Settings!$B$27:$B$36,MATCH(L2406,Settings!$A$27:$A$36,0))&amp;"","UNMAPPED"))</f>
        <v/>
      </c>
      <c r="T2406" s="37" t="str">
        <f aca="false">IF($M2406="","",IF(NOT(ISNUMBER(R2406)),"NO DATE",IF(S2406="Won",IF(R2406&gt;Settings!$B$5,"Backlog","Delivered"),IF(S2406="Open",IF(R2406&gt;Settings!$B$5,"Pipeline","Overdue"),IF(S2406="Lost","Lost","UNMAPPED")))))</f>
        <v/>
      </c>
      <c r="U2406" s="40" t="n">
        <f aca="false">IF(T2406="Backlog",1,IF(OR(T2406="Pipeline",T2406="Overdue"),N(INDEX(Settings!$C$27:$C$36,MATCH(L2406,Settings!$A$27:$A$36,0))),0))</f>
        <v>0</v>
      </c>
      <c r="V2406" s="38" t="n">
        <f aca="false">Q2406*U2406</f>
        <v>0</v>
      </c>
      <c r="W2406" s="41" t="str">
        <f aca="false">IF($M2406="","",IF(T2406="Overdue",IF(Settings!$B$8="Yes",Settings!$B$7,""),IF(ISNUMBER(R2406),DATE(YEAR(R2406),MONTH(R2406),1),"")))</f>
        <v/>
      </c>
      <c r="X2406" s="38" t="n">
        <f aca="false">IF(AND(OR(T2406="Backlog",T2406="Pipeline",T2406="Overdue"),ISNUMBER(W2406)),IF(W2406&lt;=Settings!$B$6,V2406,0),0)</f>
        <v>0</v>
      </c>
      <c r="Y2406" s="38" t="n">
        <f aca="false">IF(AND(OR(T2406="Backlog",T2406="Pipeline",T2406="Overdue"),ISNUMBER(W2406)),IF(W2406&lt;=Settings!$B$6,Q2406,0),0)</f>
        <v>0</v>
      </c>
      <c r="Z2406" s="38" t="n">
        <f aca="false">IF(Y2406=0,0,IF(T2406="Backlog",Q2406,Q2406*Dashboard!$C$10))</f>
        <v>0</v>
      </c>
      <c r="AA2406" s="37" t="n">
        <f aca="false">IF($N2406="",0,IF(COUNTIF(Dashboard!$C$13:$C$22,$N2406)&gt;0,1,0))</f>
        <v>0</v>
      </c>
      <c r="AB2406" s="37" t="str">
        <f aca="false">IF($N2406="","",IF(COUNTIF($N$8:$N2406,$N2406)=1,MAX($AB$7:$AB2405)+1,""))</f>
        <v/>
      </c>
    </row>
    <row r="2407" customFormat="false" ht="15" hidden="false" customHeight="false" outlineLevel="0" collapsed="false">
      <c r="L2407" s="37" t="str">
        <f aca="false">IF(INDEX($A2407:$J2407,$L$6)&lt;&gt;"",TRIM(LEFT(INDEX($A2407:$J2407,$L$6),FIND("(",INDEX($A2407:$J2407,$L$6)&amp;"(")-1)),L2406)</f>
        <v>Building Value Proposition</v>
      </c>
      <c r="M2407" s="37" t="str">
        <f aca="false">IF(INDEX($A2407:$J2407,$M$6)="","",INDEX($A2407:$J2407,$M$6)&amp;"")</f>
        <v/>
      </c>
      <c r="N2407" s="37" t="str">
        <f aca="false">IF($M2407="","",TRIM(INDEX($A2407:$J2407,$N$6)&amp;""))</f>
        <v/>
      </c>
      <c r="O2407" s="37" t="str">
        <f aca="false">IF($M2407="","",TRIM(INDEX($A2407:$J2407,$O$6)&amp;""))</f>
        <v/>
      </c>
      <c r="P2407" s="37" t="str">
        <f aca="false">IF($M2407="","",IFERROR(IF(INDEX(Settings!$B$41:$B$50,MATCH(O2407,Settings!$A$41:$A$50,0))&amp;""="","UNMAPPED",INDEX(Settings!$B$41:$B$50,MATCH(O2407,Settings!$A$41:$A$50,0))&amp;""),"UNMAPPED"))</f>
        <v/>
      </c>
      <c r="Q2407" s="38" t="n">
        <f aca="false">IF($M2407="",0,N(INDEX($A2407:$J2407,$Q$6)))</f>
        <v>0</v>
      </c>
      <c r="R2407" s="39" t="str">
        <f aca="false">IF($M2407="","",INDEX($A2407:$J2407,$R$6))</f>
        <v/>
      </c>
      <c r="S2407" s="37" t="str">
        <f aca="false">IF($M2407="","",IFERROR(INDEX(Settings!$B$27:$B$36,MATCH(L2407,Settings!$A$27:$A$36,0))&amp;"","UNMAPPED"))</f>
        <v/>
      </c>
      <c r="T2407" s="37" t="str">
        <f aca="false">IF($M2407="","",IF(NOT(ISNUMBER(R2407)),"NO DATE",IF(S2407="Won",IF(R2407&gt;Settings!$B$5,"Backlog","Delivered"),IF(S2407="Open",IF(R2407&gt;Settings!$B$5,"Pipeline","Overdue"),IF(S2407="Lost","Lost","UNMAPPED")))))</f>
        <v/>
      </c>
      <c r="U2407" s="40" t="n">
        <f aca="false">IF(T2407="Backlog",1,IF(OR(T2407="Pipeline",T2407="Overdue"),N(INDEX(Settings!$C$27:$C$36,MATCH(L2407,Settings!$A$27:$A$36,0))),0))</f>
        <v>0</v>
      </c>
      <c r="V2407" s="38" t="n">
        <f aca="false">Q2407*U2407</f>
        <v>0</v>
      </c>
      <c r="W2407" s="41" t="str">
        <f aca="false">IF($M2407="","",IF(T2407="Overdue",IF(Settings!$B$8="Yes",Settings!$B$7,""),IF(ISNUMBER(R2407),DATE(YEAR(R2407),MONTH(R2407),1),"")))</f>
        <v/>
      </c>
      <c r="X2407" s="38" t="n">
        <f aca="false">IF(AND(OR(T2407="Backlog",T2407="Pipeline",T2407="Overdue"),ISNUMBER(W2407)),IF(W2407&lt;=Settings!$B$6,V2407,0),0)</f>
        <v>0</v>
      </c>
      <c r="Y2407" s="38" t="n">
        <f aca="false">IF(AND(OR(T2407="Backlog",T2407="Pipeline",T2407="Overdue"),ISNUMBER(W2407)),IF(W2407&lt;=Settings!$B$6,Q2407,0),0)</f>
        <v>0</v>
      </c>
      <c r="Z2407" s="38" t="n">
        <f aca="false">IF(Y2407=0,0,IF(T2407="Backlog",Q2407,Q2407*Dashboard!$C$10))</f>
        <v>0</v>
      </c>
      <c r="AA2407" s="37" t="n">
        <f aca="false">IF($N2407="",0,IF(COUNTIF(Dashboard!$C$13:$C$22,$N2407)&gt;0,1,0))</f>
        <v>0</v>
      </c>
      <c r="AB2407" s="37" t="str">
        <f aca="false">IF($N2407="","",IF(COUNTIF($N$8:$N2407,$N2407)=1,MAX($AB$7:$AB2406)+1,""))</f>
        <v/>
      </c>
    </row>
    <row r="2408" customFormat="false" ht="15" hidden="false" customHeight="false" outlineLevel="0" collapsed="false">
      <c r="L2408" s="37" t="str">
        <f aca="false">IF(INDEX($A2408:$J2408,$L$6)&lt;&gt;"",TRIM(LEFT(INDEX($A2408:$J2408,$L$6),FIND("(",INDEX($A2408:$J2408,$L$6)&amp;"(")-1)),L2407)</f>
        <v>Building Value Proposition</v>
      </c>
      <c r="M2408" s="37" t="str">
        <f aca="false">IF(INDEX($A2408:$J2408,$M$6)="","",INDEX($A2408:$J2408,$M$6)&amp;"")</f>
        <v/>
      </c>
      <c r="N2408" s="37" t="str">
        <f aca="false">IF($M2408="","",TRIM(INDEX($A2408:$J2408,$N$6)&amp;""))</f>
        <v/>
      </c>
      <c r="O2408" s="37" t="str">
        <f aca="false">IF($M2408="","",TRIM(INDEX($A2408:$J2408,$O$6)&amp;""))</f>
        <v/>
      </c>
      <c r="P2408" s="37" t="str">
        <f aca="false">IF($M2408="","",IFERROR(IF(INDEX(Settings!$B$41:$B$50,MATCH(O2408,Settings!$A$41:$A$50,0))&amp;""="","UNMAPPED",INDEX(Settings!$B$41:$B$50,MATCH(O2408,Settings!$A$41:$A$50,0))&amp;""),"UNMAPPED"))</f>
        <v/>
      </c>
      <c r="Q2408" s="38" t="n">
        <f aca="false">IF($M2408="",0,N(INDEX($A2408:$J2408,$Q$6)))</f>
        <v>0</v>
      </c>
      <c r="R2408" s="39" t="str">
        <f aca="false">IF($M2408="","",INDEX($A2408:$J2408,$R$6))</f>
        <v/>
      </c>
      <c r="S2408" s="37" t="str">
        <f aca="false">IF($M2408="","",IFERROR(INDEX(Settings!$B$27:$B$36,MATCH(L2408,Settings!$A$27:$A$36,0))&amp;"","UNMAPPED"))</f>
        <v/>
      </c>
      <c r="T2408" s="37" t="str">
        <f aca="false">IF($M2408="","",IF(NOT(ISNUMBER(R2408)),"NO DATE",IF(S2408="Won",IF(R2408&gt;Settings!$B$5,"Backlog","Delivered"),IF(S2408="Open",IF(R2408&gt;Settings!$B$5,"Pipeline","Overdue"),IF(S2408="Lost","Lost","UNMAPPED")))))</f>
        <v/>
      </c>
      <c r="U2408" s="40" t="n">
        <f aca="false">IF(T2408="Backlog",1,IF(OR(T2408="Pipeline",T2408="Overdue"),N(INDEX(Settings!$C$27:$C$36,MATCH(L2408,Settings!$A$27:$A$36,0))),0))</f>
        <v>0</v>
      </c>
      <c r="V2408" s="38" t="n">
        <f aca="false">Q2408*U2408</f>
        <v>0</v>
      </c>
      <c r="W2408" s="41" t="str">
        <f aca="false">IF($M2408="","",IF(T2408="Overdue",IF(Settings!$B$8="Yes",Settings!$B$7,""),IF(ISNUMBER(R2408),DATE(YEAR(R2408),MONTH(R2408),1),"")))</f>
        <v/>
      </c>
      <c r="X2408" s="38" t="n">
        <f aca="false">IF(AND(OR(T2408="Backlog",T2408="Pipeline",T2408="Overdue"),ISNUMBER(W2408)),IF(W2408&lt;=Settings!$B$6,V2408,0),0)</f>
        <v>0</v>
      </c>
      <c r="Y2408" s="38" t="n">
        <f aca="false">IF(AND(OR(T2408="Backlog",T2408="Pipeline",T2408="Overdue"),ISNUMBER(W2408)),IF(W2408&lt;=Settings!$B$6,Q2408,0),0)</f>
        <v>0</v>
      </c>
      <c r="Z2408" s="38" t="n">
        <f aca="false">IF(Y2408=0,0,IF(T2408="Backlog",Q2408,Q2408*Dashboard!$C$10))</f>
        <v>0</v>
      </c>
      <c r="AA2408" s="37" t="n">
        <f aca="false">IF($N2408="",0,IF(COUNTIF(Dashboard!$C$13:$C$22,$N2408)&gt;0,1,0))</f>
        <v>0</v>
      </c>
      <c r="AB2408" s="37" t="str">
        <f aca="false">IF($N2408="","",IF(COUNTIF($N$8:$N2408,$N2408)=1,MAX($AB$7:$AB2407)+1,""))</f>
        <v/>
      </c>
    </row>
    <row r="2409" customFormat="false" ht="15" hidden="false" customHeight="false" outlineLevel="0" collapsed="false">
      <c r="L2409" s="37" t="str">
        <f aca="false">IF(INDEX($A2409:$J2409,$L$6)&lt;&gt;"",TRIM(LEFT(INDEX($A2409:$J2409,$L$6),FIND("(",INDEX($A2409:$J2409,$L$6)&amp;"(")-1)),L2408)</f>
        <v>Building Value Proposition</v>
      </c>
      <c r="M2409" s="37" t="str">
        <f aca="false">IF(INDEX($A2409:$J2409,$M$6)="","",INDEX($A2409:$J2409,$M$6)&amp;"")</f>
        <v/>
      </c>
      <c r="N2409" s="37" t="str">
        <f aca="false">IF($M2409="","",TRIM(INDEX($A2409:$J2409,$N$6)&amp;""))</f>
        <v/>
      </c>
      <c r="O2409" s="37" t="str">
        <f aca="false">IF($M2409="","",TRIM(INDEX($A2409:$J2409,$O$6)&amp;""))</f>
        <v/>
      </c>
      <c r="P2409" s="37" t="str">
        <f aca="false">IF($M2409="","",IFERROR(IF(INDEX(Settings!$B$41:$B$50,MATCH(O2409,Settings!$A$41:$A$50,0))&amp;""="","UNMAPPED",INDEX(Settings!$B$41:$B$50,MATCH(O2409,Settings!$A$41:$A$50,0))&amp;""),"UNMAPPED"))</f>
        <v/>
      </c>
      <c r="Q2409" s="38" t="n">
        <f aca="false">IF($M2409="",0,N(INDEX($A2409:$J2409,$Q$6)))</f>
        <v>0</v>
      </c>
      <c r="R2409" s="39" t="str">
        <f aca="false">IF($M2409="","",INDEX($A2409:$J2409,$R$6))</f>
        <v/>
      </c>
      <c r="S2409" s="37" t="str">
        <f aca="false">IF($M2409="","",IFERROR(INDEX(Settings!$B$27:$B$36,MATCH(L2409,Settings!$A$27:$A$36,0))&amp;"","UNMAPPED"))</f>
        <v/>
      </c>
      <c r="T2409" s="37" t="str">
        <f aca="false">IF($M2409="","",IF(NOT(ISNUMBER(R2409)),"NO DATE",IF(S2409="Won",IF(R2409&gt;Settings!$B$5,"Backlog","Delivered"),IF(S2409="Open",IF(R2409&gt;Settings!$B$5,"Pipeline","Overdue"),IF(S2409="Lost","Lost","UNMAPPED")))))</f>
        <v/>
      </c>
      <c r="U2409" s="40" t="n">
        <f aca="false">IF(T2409="Backlog",1,IF(OR(T2409="Pipeline",T2409="Overdue"),N(INDEX(Settings!$C$27:$C$36,MATCH(L2409,Settings!$A$27:$A$36,0))),0))</f>
        <v>0</v>
      </c>
      <c r="V2409" s="38" t="n">
        <f aca="false">Q2409*U2409</f>
        <v>0</v>
      </c>
      <c r="W2409" s="41" t="str">
        <f aca="false">IF($M2409="","",IF(T2409="Overdue",IF(Settings!$B$8="Yes",Settings!$B$7,""),IF(ISNUMBER(R2409),DATE(YEAR(R2409),MONTH(R2409),1),"")))</f>
        <v/>
      </c>
      <c r="X2409" s="38" t="n">
        <f aca="false">IF(AND(OR(T2409="Backlog",T2409="Pipeline",T2409="Overdue"),ISNUMBER(W2409)),IF(W2409&lt;=Settings!$B$6,V2409,0),0)</f>
        <v>0</v>
      </c>
      <c r="Y2409" s="38" t="n">
        <f aca="false">IF(AND(OR(T2409="Backlog",T2409="Pipeline",T2409="Overdue"),ISNUMBER(W2409)),IF(W2409&lt;=Settings!$B$6,Q2409,0),0)</f>
        <v>0</v>
      </c>
      <c r="Z2409" s="38" t="n">
        <f aca="false">IF(Y2409=0,0,IF(T2409="Backlog",Q2409,Q2409*Dashboard!$C$10))</f>
        <v>0</v>
      </c>
      <c r="AA2409" s="37" t="n">
        <f aca="false">IF($N2409="",0,IF(COUNTIF(Dashboard!$C$13:$C$22,$N2409)&gt;0,1,0))</f>
        <v>0</v>
      </c>
      <c r="AB2409" s="37" t="str">
        <f aca="false">IF($N2409="","",IF(COUNTIF($N$8:$N2409,$N2409)=1,MAX($AB$7:$AB2408)+1,""))</f>
        <v/>
      </c>
    </row>
    <row r="2410" customFormat="false" ht="15" hidden="false" customHeight="false" outlineLevel="0" collapsed="false">
      <c r="L2410" s="37" t="str">
        <f aca="false">IF(INDEX($A2410:$J2410,$L$6)&lt;&gt;"",TRIM(LEFT(INDEX($A2410:$J2410,$L$6),FIND("(",INDEX($A2410:$J2410,$L$6)&amp;"(")-1)),L2409)</f>
        <v>Building Value Proposition</v>
      </c>
      <c r="M2410" s="37" t="str">
        <f aca="false">IF(INDEX($A2410:$J2410,$M$6)="","",INDEX($A2410:$J2410,$M$6)&amp;"")</f>
        <v/>
      </c>
      <c r="N2410" s="37" t="str">
        <f aca="false">IF($M2410="","",TRIM(INDEX($A2410:$J2410,$N$6)&amp;""))</f>
        <v/>
      </c>
      <c r="O2410" s="37" t="str">
        <f aca="false">IF($M2410="","",TRIM(INDEX($A2410:$J2410,$O$6)&amp;""))</f>
        <v/>
      </c>
      <c r="P2410" s="37" t="str">
        <f aca="false">IF($M2410="","",IFERROR(IF(INDEX(Settings!$B$41:$B$50,MATCH(O2410,Settings!$A$41:$A$50,0))&amp;""="","UNMAPPED",INDEX(Settings!$B$41:$B$50,MATCH(O2410,Settings!$A$41:$A$50,0))&amp;""),"UNMAPPED"))</f>
        <v/>
      </c>
      <c r="Q2410" s="38" t="n">
        <f aca="false">IF($M2410="",0,N(INDEX($A2410:$J2410,$Q$6)))</f>
        <v>0</v>
      </c>
      <c r="R2410" s="39" t="str">
        <f aca="false">IF($M2410="","",INDEX($A2410:$J2410,$R$6))</f>
        <v/>
      </c>
      <c r="S2410" s="37" t="str">
        <f aca="false">IF($M2410="","",IFERROR(INDEX(Settings!$B$27:$B$36,MATCH(L2410,Settings!$A$27:$A$36,0))&amp;"","UNMAPPED"))</f>
        <v/>
      </c>
      <c r="T2410" s="37" t="str">
        <f aca="false">IF($M2410="","",IF(NOT(ISNUMBER(R2410)),"NO DATE",IF(S2410="Won",IF(R2410&gt;Settings!$B$5,"Backlog","Delivered"),IF(S2410="Open",IF(R2410&gt;Settings!$B$5,"Pipeline","Overdue"),IF(S2410="Lost","Lost","UNMAPPED")))))</f>
        <v/>
      </c>
      <c r="U2410" s="40" t="n">
        <f aca="false">IF(T2410="Backlog",1,IF(OR(T2410="Pipeline",T2410="Overdue"),N(INDEX(Settings!$C$27:$C$36,MATCH(L2410,Settings!$A$27:$A$36,0))),0))</f>
        <v>0</v>
      </c>
      <c r="V2410" s="38" t="n">
        <f aca="false">Q2410*U2410</f>
        <v>0</v>
      </c>
      <c r="W2410" s="41" t="str">
        <f aca="false">IF($M2410="","",IF(T2410="Overdue",IF(Settings!$B$8="Yes",Settings!$B$7,""),IF(ISNUMBER(R2410),DATE(YEAR(R2410),MONTH(R2410),1),"")))</f>
        <v/>
      </c>
      <c r="X2410" s="38" t="n">
        <f aca="false">IF(AND(OR(T2410="Backlog",T2410="Pipeline",T2410="Overdue"),ISNUMBER(W2410)),IF(W2410&lt;=Settings!$B$6,V2410,0),0)</f>
        <v>0</v>
      </c>
      <c r="Y2410" s="38" t="n">
        <f aca="false">IF(AND(OR(T2410="Backlog",T2410="Pipeline",T2410="Overdue"),ISNUMBER(W2410)),IF(W2410&lt;=Settings!$B$6,Q2410,0),0)</f>
        <v>0</v>
      </c>
      <c r="Z2410" s="38" t="n">
        <f aca="false">IF(Y2410=0,0,IF(T2410="Backlog",Q2410,Q2410*Dashboard!$C$10))</f>
        <v>0</v>
      </c>
      <c r="AA2410" s="37" t="n">
        <f aca="false">IF($N2410="",0,IF(COUNTIF(Dashboard!$C$13:$C$22,$N2410)&gt;0,1,0))</f>
        <v>0</v>
      </c>
      <c r="AB2410" s="37" t="str">
        <f aca="false">IF($N2410="","",IF(COUNTIF($N$8:$N2410,$N2410)=1,MAX($AB$7:$AB2409)+1,""))</f>
        <v/>
      </c>
    </row>
    <row r="2411" customFormat="false" ht="15" hidden="false" customHeight="false" outlineLevel="0" collapsed="false">
      <c r="L2411" s="37" t="str">
        <f aca="false">IF(INDEX($A2411:$J2411,$L$6)&lt;&gt;"",TRIM(LEFT(INDEX($A2411:$J2411,$L$6),FIND("(",INDEX($A2411:$J2411,$L$6)&amp;"(")-1)),L2410)</f>
        <v>Building Value Proposition</v>
      </c>
      <c r="M2411" s="37" t="str">
        <f aca="false">IF(INDEX($A2411:$J2411,$M$6)="","",INDEX($A2411:$J2411,$M$6)&amp;"")</f>
        <v/>
      </c>
      <c r="N2411" s="37" t="str">
        <f aca="false">IF($M2411="","",TRIM(INDEX($A2411:$J2411,$N$6)&amp;""))</f>
        <v/>
      </c>
      <c r="O2411" s="37" t="str">
        <f aca="false">IF($M2411="","",TRIM(INDEX($A2411:$J2411,$O$6)&amp;""))</f>
        <v/>
      </c>
      <c r="P2411" s="37" t="str">
        <f aca="false">IF($M2411="","",IFERROR(IF(INDEX(Settings!$B$41:$B$50,MATCH(O2411,Settings!$A$41:$A$50,0))&amp;""="","UNMAPPED",INDEX(Settings!$B$41:$B$50,MATCH(O2411,Settings!$A$41:$A$50,0))&amp;""),"UNMAPPED"))</f>
        <v/>
      </c>
      <c r="Q2411" s="38" t="n">
        <f aca="false">IF($M2411="",0,N(INDEX($A2411:$J2411,$Q$6)))</f>
        <v>0</v>
      </c>
      <c r="R2411" s="39" t="str">
        <f aca="false">IF($M2411="","",INDEX($A2411:$J2411,$R$6))</f>
        <v/>
      </c>
      <c r="S2411" s="37" t="str">
        <f aca="false">IF($M2411="","",IFERROR(INDEX(Settings!$B$27:$B$36,MATCH(L2411,Settings!$A$27:$A$36,0))&amp;"","UNMAPPED"))</f>
        <v/>
      </c>
      <c r="T2411" s="37" t="str">
        <f aca="false">IF($M2411="","",IF(NOT(ISNUMBER(R2411)),"NO DATE",IF(S2411="Won",IF(R2411&gt;Settings!$B$5,"Backlog","Delivered"),IF(S2411="Open",IF(R2411&gt;Settings!$B$5,"Pipeline","Overdue"),IF(S2411="Lost","Lost","UNMAPPED")))))</f>
        <v/>
      </c>
      <c r="U2411" s="40" t="n">
        <f aca="false">IF(T2411="Backlog",1,IF(OR(T2411="Pipeline",T2411="Overdue"),N(INDEX(Settings!$C$27:$C$36,MATCH(L2411,Settings!$A$27:$A$36,0))),0))</f>
        <v>0</v>
      </c>
      <c r="V2411" s="38" t="n">
        <f aca="false">Q2411*U2411</f>
        <v>0</v>
      </c>
      <c r="W2411" s="41" t="str">
        <f aca="false">IF($M2411="","",IF(T2411="Overdue",IF(Settings!$B$8="Yes",Settings!$B$7,""),IF(ISNUMBER(R2411),DATE(YEAR(R2411),MONTH(R2411),1),"")))</f>
        <v/>
      </c>
      <c r="X2411" s="38" t="n">
        <f aca="false">IF(AND(OR(T2411="Backlog",T2411="Pipeline",T2411="Overdue"),ISNUMBER(W2411)),IF(W2411&lt;=Settings!$B$6,V2411,0),0)</f>
        <v>0</v>
      </c>
      <c r="Y2411" s="38" t="n">
        <f aca="false">IF(AND(OR(T2411="Backlog",T2411="Pipeline",T2411="Overdue"),ISNUMBER(W2411)),IF(W2411&lt;=Settings!$B$6,Q2411,0),0)</f>
        <v>0</v>
      </c>
      <c r="Z2411" s="38" t="n">
        <f aca="false">IF(Y2411=0,0,IF(T2411="Backlog",Q2411,Q2411*Dashboard!$C$10))</f>
        <v>0</v>
      </c>
      <c r="AA2411" s="37" t="n">
        <f aca="false">IF($N2411="",0,IF(COUNTIF(Dashboard!$C$13:$C$22,$N2411)&gt;0,1,0))</f>
        <v>0</v>
      </c>
      <c r="AB2411" s="37" t="str">
        <f aca="false">IF($N2411="","",IF(COUNTIF($N$8:$N2411,$N2411)=1,MAX($AB$7:$AB2410)+1,""))</f>
        <v/>
      </c>
    </row>
    <row r="2412" customFormat="false" ht="15" hidden="false" customHeight="false" outlineLevel="0" collapsed="false">
      <c r="L2412" s="37" t="str">
        <f aca="false">IF(INDEX($A2412:$J2412,$L$6)&lt;&gt;"",TRIM(LEFT(INDEX($A2412:$J2412,$L$6),FIND("(",INDEX($A2412:$J2412,$L$6)&amp;"(")-1)),L2411)</f>
        <v>Building Value Proposition</v>
      </c>
      <c r="M2412" s="37" t="str">
        <f aca="false">IF(INDEX($A2412:$J2412,$M$6)="","",INDEX($A2412:$J2412,$M$6)&amp;"")</f>
        <v/>
      </c>
      <c r="N2412" s="37" t="str">
        <f aca="false">IF($M2412="","",TRIM(INDEX($A2412:$J2412,$N$6)&amp;""))</f>
        <v/>
      </c>
      <c r="O2412" s="37" t="str">
        <f aca="false">IF($M2412="","",TRIM(INDEX($A2412:$J2412,$O$6)&amp;""))</f>
        <v/>
      </c>
      <c r="P2412" s="37" t="str">
        <f aca="false">IF($M2412="","",IFERROR(IF(INDEX(Settings!$B$41:$B$50,MATCH(O2412,Settings!$A$41:$A$50,0))&amp;""="","UNMAPPED",INDEX(Settings!$B$41:$B$50,MATCH(O2412,Settings!$A$41:$A$50,0))&amp;""),"UNMAPPED"))</f>
        <v/>
      </c>
      <c r="Q2412" s="38" t="n">
        <f aca="false">IF($M2412="",0,N(INDEX($A2412:$J2412,$Q$6)))</f>
        <v>0</v>
      </c>
      <c r="R2412" s="39" t="str">
        <f aca="false">IF($M2412="","",INDEX($A2412:$J2412,$R$6))</f>
        <v/>
      </c>
      <c r="S2412" s="37" t="str">
        <f aca="false">IF($M2412="","",IFERROR(INDEX(Settings!$B$27:$B$36,MATCH(L2412,Settings!$A$27:$A$36,0))&amp;"","UNMAPPED"))</f>
        <v/>
      </c>
      <c r="T2412" s="37" t="str">
        <f aca="false">IF($M2412="","",IF(NOT(ISNUMBER(R2412)),"NO DATE",IF(S2412="Won",IF(R2412&gt;Settings!$B$5,"Backlog","Delivered"),IF(S2412="Open",IF(R2412&gt;Settings!$B$5,"Pipeline","Overdue"),IF(S2412="Lost","Lost","UNMAPPED")))))</f>
        <v/>
      </c>
      <c r="U2412" s="40" t="n">
        <f aca="false">IF(T2412="Backlog",1,IF(OR(T2412="Pipeline",T2412="Overdue"),N(INDEX(Settings!$C$27:$C$36,MATCH(L2412,Settings!$A$27:$A$36,0))),0))</f>
        <v>0</v>
      </c>
      <c r="V2412" s="38" t="n">
        <f aca="false">Q2412*U2412</f>
        <v>0</v>
      </c>
      <c r="W2412" s="41" t="str">
        <f aca="false">IF($M2412="","",IF(T2412="Overdue",IF(Settings!$B$8="Yes",Settings!$B$7,""),IF(ISNUMBER(R2412),DATE(YEAR(R2412),MONTH(R2412),1),"")))</f>
        <v/>
      </c>
      <c r="X2412" s="38" t="n">
        <f aca="false">IF(AND(OR(T2412="Backlog",T2412="Pipeline",T2412="Overdue"),ISNUMBER(W2412)),IF(W2412&lt;=Settings!$B$6,V2412,0),0)</f>
        <v>0</v>
      </c>
      <c r="Y2412" s="38" t="n">
        <f aca="false">IF(AND(OR(T2412="Backlog",T2412="Pipeline",T2412="Overdue"),ISNUMBER(W2412)),IF(W2412&lt;=Settings!$B$6,Q2412,0),0)</f>
        <v>0</v>
      </c>
      <c r="Z2412" s="38" t="n">
        <f aca="false">IF(Y2412=0,0,IF(T2412="Backlog",Q2412,Q2412*Dashboard!$C$10))</f>
        <v>0</v>
      </c>
      <c r="AA2412" s="37" t="n">
        <f aca="false">IF($N2412="",0,IF(COUNTIF(Dashboard!$C$13:$C$22,$N2412)&gt;0,1,0))</f>
        <v>0</v>
      </c>
      <c r="AB2412" s="37" t="str">
        <f aca="false">IF($N2412="","",IF(COUNTIF($N$8:$N2412,$N2412)=1,MAX($AB$7:$AB2411)+1,""))</f>
        <v/>
      </c>
    </row>
    <row r="2413" customFormat="false" ht="15" hidden="false" customHeight="false" outlineLevel="0" collapsed="false">
      <c r="L2413" s="37" t="str">
        <f aca="false">IF(INDEX($A2413:$J2413,$L$6)&lt;&gt;"",TRIM(LEFT(INDEX($A2413:$J2413,$L$6),FIND("(",INDEX($A2413:$J2413,$L$6)&amp;"(")-1)),L2412)</f>
        <v>Building Value Proposition</v>
      </c>
      <c r="M2413" s="37" t="str">
        <f aca="false">IF(INDEX($A2413:$J2413,$M$6)="","",INDEX($A2413:$J2413,$M$6)&amp;"")</f>
        <v/>
      </c>
      <c r="N2413" s="37" t="str">
        <f aca="false">IF($M2413="","",TRIM(INDEX($A2413:$J2413,$N$6)&amp;""))</f>
        <v/>
      </c>
      <c r="O2413" s="37" t="str">
        <f aca="false">IF($M2413="","",TRIM(INDEX($A2413:$J2413,$O$6)&amp;""))</f>
        <v/>
      </c>
      <c r="P2413" s="37" t="str">
        <f aca="false">IF($M2413="","",IFERROR(IF(INDEX(Settings!$B$41:$B$50,MATCH(O2413,Settings!$A$41:$A$50,0))&amp;""="","UNMAPPED",INDEX(Settings!$B$41:$B$50,MATCH(O2413,Settings!$A$41:$A$50,0))&amp;""),"UNMAPPED"))</f>
        <v/>
      </c>
      <c r="Q2413" s="38" t="n">
        <f aca="false">IF($M2413="",0,N(INDEX($A2413:$J2413,$Q$6)))</f>
        <v>0</v>
      </c>
      <c r="R2413" s="39" t="str">
        <f aca="false">IF($M2413="","",INDEX($A2413:$J2413,$R$6))</f>
        <v/>
      </c>
      <c r="S2413" s="37" t="str">
        <f aca="false">IF($M2413="","",IFERROR(INDEX(Settings!$B$27:$B$36,MATCH(L2413,Settings!$A$27:$A$36,0))&amp;"","UNMAPPED"))</f>
        <v/>
      </c>
      <c r="T2413" s="37" t="str">
        <f aca="false">IF($M2413="","",IF(NOT(ISNUMBER(R2413)),"NO DATE",IF(S2413="Won",IF(R2413&gt;Settings!$B$5,"Backlog","Delivered"),IF(S2413="Open",IF(R2413&gt;Settings!$B$5,"Pipeline","Overdue"),IF(S2413="Lost","Lost","UNMAPPED")))))</f>
        <v/>
      </c>
      <c r="U2413" s="40" t="n">
        <f aca="false">IF(T2413="Backlog",1,IF(OR(T2413="Pipeline",T2413="Overdue"),N(INDEX(Settings!$C$27:$C$36,MATCH(L2413,Settings!$A$27:$A$36,0))),0))</f>
        <v>0</v>
      </c>
      <c r="V2413" s="38" t="n">
        <f aca="false">Q2413*U2413</f>
        <v>0</v>
      </c>
      <c r="W2413" s="41" t="str">
        <f aca="false">IF($M2413="","",IF(T2413="Overdue",IF(Settings!$B$8="Yes",Settings!$B$7,""),IF(ISNUMBER(R2413),DATE(YEAR(R2413),MONTH(R2413),1),"")))</f>
        <v/>
      </c>
      <c r="X2413" s="38" t="n">
        <f aca="false">IF(AND(OR(T2413="Backlog",T2413="Pipeline",T2413="Overdue"),ISNUMBER(W2413)),IF(W2413&lt;=Settings!$B$6,V2413,0),0)</f>
        <v>0</v>
      </c>
      <c r="Y2413" s="38" t="n">
        <f aca="false">IF(AND(OR(T2413="Backlog",T2413="Pipeline",T2413="Overdue"),ISNUMBER(W2413)),IF(W2413&lt;=Settings!$B$6,Q2413,0),0)</f>
        <v>0</v>
      </c>
      <c r="Z2413" s="38" t="n">
        <f aca="false">IF(Y2413=0,0,IF(T2413="Backlog",Q2413,Q2413*Dashboard!$C$10))</f>
        <v>0</v>
      </c>
      <c r="AA2413" s="37" t="n">
        <f aca="false">IF($N2413="",0,IF(COUNTIF(Dashboard!$C$13:$C$22,$N2413)&gt;0,1,0))</f>
        <v>0</v>
      </c>
      <c r="AB2413" s="37" t="str">
        <f aca="false">IF($N2413="","",IF(COUNTIF($N$8:$N2413,$N2413)=1,MAX($AB$7:$AB2412)+1,""))</f>
        <v/>
      </c>
    </row>
    <row r="2414" customFormat="false" ht="15" hidden="false" customHeight="false" outlineLevel="0" collapsed="false">
      <c r="L2414" s="37" t="str">
        <f aca="false">IF(INDEX($A2414:$J2414,$L$6)&lt;&gt;"",TRIM(LEFT(INDEX($A2414:$J2414,$L$6),FIND("(",INDEX($A2414:$J2414,$L$6)&amp;"(")-1)),L2413)</f>
        <v>Building Value Proposition</v>
      </c>
      <c r="M2414" s="37" t="str">
        <f aca="false">IF(INDEX($A2414:$J2414,$M$6)="","",INDEX($A2414:$J2414,$M$6)&amp;"")</f>
        <v/>
      </c>
      <c r="N2414" s="37" t="str">
        <f aca="false">IF($M2414="","",TRIM(INDEX($A2414:$J2414,$N$6)&amp;""))</f>
        <v/>
      </c>
      <c r="O2414" s="37" t="str">
        <f aca="false">IF($M2414="","",TRIM(INDEX($A2414:$J2414,$O$6)&amp;""))</f>
        <v/>
      </c>
      <c r="P2414" s="37" t="str">
        <f aca="false">IF($M2414="","",IFERROR(IF(INDEX(Settings!$B$41:$B$50,MATCH(O2414,Settings!$A$41:$A$50,0))&amp;""="","UNMAPPED",INDEX(Settings!$B$41:$B$50,MATCH(O2414,Settings!$A$41:$A$50,0))&amp;""),"UNMAPPED"))</f>
        <v/>
      </c>
      <c r="Q2414" s="38" t="n">
        <f aca="false">IF($M2414="",0,N(INDEX($A2414:$J2414,$Q$6)))</f>
        <v>0</v>
      </c>
      <c r="R2414" s="39" t="str">
        <f aca="false">IF($M2414="","",INDEX($A2414:$J2414,$R$6))</f>
        <v/>
      </c>
      <c r="S2414" s="37" t="str">
        <f aca="false">IF($M2414="","",IFERROR(INDEX(Settings!$B$27:$B$36,MATCH(L2414,Settings!$A$27:$A$36,0))&amp;"","UNMAPPED"))</f>
        <v/>
      </c>
      <c r="T2414" s="37" t="str">
        <f aca="false">IF($M2414="","",IF(NOT(ISNUMBER(R2414)),"NO DATE",IF(S2414="Won",IF(R2414&gt;Settings!$B$5,"Backlog","Delivered"),IF(S2414="Open",IF(R2414&gt;Settings!$B$5,"Pipeline","Overdue"),IF(S2414="Lost","Lost","UNMAPPED")))))</f>
        <v/>
      </c>
      <c r="U2414" s="40" t="n">
        <f aca="false">IF(T2414="Backlog",1,IF(OR(T2414="Pipeline",T2414="Overdue"),N(INDEX(Settings!$C$27:$C$36,MATCH(L2414,Settings!$A$27:$A$36,0))),0))</f>
        <v>0</v>
      </c>
      <c r="V2414" s="38" t="n">
        <f aca="false">Q2414*U2414</f>
        <v>0</v>
      </c>
      <c r="W2414" s="41" t="str">
        <f aca="false">IF($M2414="","",IF(T2414="Overdue",IF(Settings!$B$8="Yes",Settings!$B$7,""),IF(ISNUMBER(R2414),DATE(YEAR(R2414),MONTH(R2414),1),"")))</f>
        <v/>
      </c>
      <c r="X2414" s="38" t="n">
        <f aca="false">IF(AND(OR(T2414="Backlog",T2414="Pipeline",T2414="Overdue"),ISNUMBER(W2414)),IF(W2414&lt;=Settings!$B$6,V2414,0),0)</f>
        <v>0</v>
      </c>
      <c r="Y2414" s="38" t="n">
        <f aca="false">IF(AND(OR(T2414="Backlog",T2414="Pipeline",T2414="Overdue"),ISNUMBER(W2414)),IF(W2414&lt;=Settings!$B$6,Q2414,0),0)</f>
        <v>0</v>
      </c>
      <c r="Z2414" s="38" t="n">
        <f aca="false">IF(Y2414=0,0,IF(T2414="Backlog",Q2414,Q2414*Dashboard!$C$10))</f>
        <v>0</v>
      </c>
      <c r="AA2414" s="37" t="n">
        <f aca="false">IF($N2414="",0,IF(COUNTIF(Dashboard!$C$13:$C$22,$N2414)&gt;0,1,0))</f>
        <v>0</v>
      </c>
      <c r="AB2414" s="37" t="str">
        <f aca="false">IF($N2414="","",IF(COUNTIF($N$8:$N2414,$N2414)=1,MAX($AB$7:$AB2413)+1,""))</f>
        <v/>
      </c>
    </row>
    <row r="2415" customFormat="false" ht="15" hidden="false" customHeight="false" outlineLevel="0" collapsed="false">
      <c r="L2415" s="37" t="str">
        <f aca="false">IF(INDEX($A2415:$J2415,$L$6)&lt;&gt;"",TRIM(LEFT(INDEX($A2415:$J2415,$L$6),FIND("(",INDEX($A2415:$J2415,$L$6)&amp;"(")-1)),L2414)</f>
        <v>Building Value Proposition</v>
      </c>
      <c r="M2415" s="37" t="str">
        <f aca="false">IF(INDEX($A2415:$J2415,$M$6)="","",INDEX($A2415:$J2415,$M$6)&amp;"")</f>
        <v/>
      </c>
      <c r="N2415" s="37" t="str">
        <f aca="false">IF($M2415="","",TRIM(INDEX($A2415:$J2415,$N$6)&amp;""))</f>
        <v/>
      </c>
      <c r="O2415" s="37" t="str">
        <f aca="false">IF($M2415="","",TRIM(INDEX($A2415:$J2415,$O$6)&amp;""))</f>
        <v/>
      </c>
      <c r="P2415" s="37" t="str">
        <f aca="false">IF($M2415="","",IFERROR(IF(INDEX(Settings!$B$41:$B$50,MATCH(O2415,Settings!$A$41:$A$50,0))&amp;""="","UNMAPPED",INDEX(Settings!$B$41:$B$50,MATCH(O2415,Settings!$A$41:$A$50,0))&amp;""),"UNMAPPED"))</f>
        <v/>
      </c>
      <c r="Q2415" s="38" t="n">
        <f aca="false">IF($M2415="",0,N(INDEX($A2415:$J2415,$Q$6)))</f>
        <v>0</v>
      </c>
      <c r="R2415" s="39" t="str">
        <f aca="false">IF($M2415="","",INDEX($A2415:$J2415,$R$6))</f>
        <v/>
      </c>
      <c r="S2415" s="37" t="str">
        <f aca="false">IF($M2415="","",IFERROR(INDEX(Settings!$B$27:$B$36,MATCH(L2415,Settings!$A$27:$A$36,0))&amp;"","UNMAPPED"))</f>
        <v/>
      </c>
      <c r="T2415" s="37" t="str">
        <f aca="false">IF($M2415="","",IF(NOT(ISNUMBER(R2415)),"NO DATE",IF(S2415="Won",IF(R2415&gt;Settings!$B$5,"Backlog","Delivered"),IF(S2415="Open",IF(R2415&gt;Settings!$B$5,"Pipeline","Overdue"),IF(S2415="Lost","Lost","UNMAPPED")))))</f>
        <v/>
      </c>
      <c r="U2415" s="40" t="n">
        <f aca="false">IF(T2415="Backlog",1,IF(OR(T2415="Pipeline",T2415="Overdue"),N(INDEX(Settings!$C$27:$C$36,MATCH(L2415,Settings!$A$27:$A$36,0))),0))</f>
        <v>0</v>
      </c>
      <c r="V2415" s="38" t="n">
        <f aca="false">Q2415*U2415</f>
        <v>0</v>
      </c>
      <c r="W2415" s="41" t="str">
        <f aca="false">IF($M2415="","",IF(T2415="Overdue",IF(Settings!$B$8="Yes",Settings!$B$7,""),IF(ISNUMBER(R2415),DATE(YEAR(R2415),MONTH(R2415),1),"")))</f>
        <v/>
      </c>
      <c r="X2415" s="38" t="n">
        <f aca="false">IF(AND(OR(T2415="Backlog",T2415="Pipeline",T2415="Overdue"),ISNUMBER(W2415)),IF(W2415&lt;=Settings!$B$6,V2415,0),0)</f>
        <v>0</v>
      </c>
      <c r="Y2415" s="38" t="n">
        <f aca="false">IF(AND(OR(T2415="Backlog",T2415="Pipeline",T2415="Overdue"),ISNUMBER(W2415)),IF(W2415&lt;=Settings!$B$6,Q2415,0),0)</f>
        <v>0</v>
      </c>
      <c r="Z2415" s="38" t="n">
        <f aca="false">IF(Y2415=0,0,IF(T2415="Backlog",Q2415,Q2415*Dashboard!$C$10))</f>
        <v>0</v>
      </c>
      <c r="AA2415" s="37" t="n">
        <f aca="false">IF($N2415="",0,IF(COUNTIF(Dashboard!$C$13:$C$22,$N2415)&gt;0,1,0))</f>
        <v>0</v>
      </c>
      <c r="AB2415" s="37" t="str">
        <f aca="false">IF($N2415="","",IF(COUNTIF($N$8:$N2415,$N2415)=1,MAX($AB$7:$AB2414)+1,""))</f>
        <v/>
      </c>
    </row>
    <row r="2416" customFormat="false" ht="15" hidden="false" customHeight="false" outlineLevel="0" collapsed="false">
      <c r="L2416" s="37" t="str">
        <f aca="false">IF(INDEX($A2416:$J2416,$L$6)&lt;&gt;"",TRIM(LEFT(INDEX($A2416:$J2416,$L$6),FIND("(",INDEX($A2416:$J2416,$L$6)&amp;"(")-1)),L2415)</f>
        <v>Building Value Proposition</v>
      </c>
      <c r="M2416" s="37" t="str">
        <f aca="false">IF(INDEX($A2416:$J2416,$M$6)="","",INDEX($A2416:$J2416,$M$6)&amp;"")</f>
        <v/>
      </c>
      <c r="N2416" s="37" t="str">
        <f aca="false">IF($M2416="","",TRIM(INDEX($A2416:$J2416,$N$6)&amp;""))</f>
        <v/>
      </c>
      <c r="O2416" s="37" t="str">
        <f aca="false">IF($M2416="","",TRIM(INDEX($A2416:$J2416,$O$6)&amp;""))</f>
        <v/>
      </c>
      <c r="P2416" s="37" t="str">
        <f aca="false">IF($M2416="","",IFERROR(IF(INDEX(Settings!$B$41:$B$50,MATCH(O2416,Settings!$A$41:$A$50,0))&amp;""="","UNMAPPED",INDEX(Settings!$B$41:$B$50,MATCH(O2416,Settings!$A$41:$A$50,0))&amp;""),"UNMAPPED"))</f>
        <v/>
      </c>
      <c r="Q2416" s="38" t="n">
        <f aca="false">IF($M2416="",0,N(INDEX($A2416:$J2416,$Q$6)))</f>
        <v>0</v>
      </c>
      <c r="R2416" s="39" t="str">
        <f aca="false">IF($M2416="","",INDEX($A2416:$J2416,$R$6))</f>
        <v/>
      </c>
      <c r="S2416" s="37" t="str">
        <f aca="false">IF($M2416="","",IFERROR(INDEX(Settings!$B$27:$B$36,MATCH(L2416,Settings!$A$27:$A$36,0))&amp;"","UNMAPPED"))</f>
        <v/>
      </c>
      <c r="T2416" s="37" t="str">
        <f aca="false">IF($M2416="","",IF(NOT(ISNUMBER(R2416)),"NO DATE",IF(S2416="Won",IF(R2416&gt;Settings!$B$5,"Backlog","Delivered"),IF(S2416="Open",IF(R2416&gt;Settings!$B$5,"Pipeline","Overdue"),IF(S2416="Lost","Lost","UNMAPPED")))))</f>
        <v/>
      </c>
      <c r="U2416" s="40" t="n">
        <f aca="false">IF(T2416="Backlog",1,IF(OR(T2416="Pipeline",T2416="Overdue"),N(INDEX(Settings!$C$27:$C$36,MATCH(L2416,Settings!$A$27:$A$36,0))),0))</f>
        <v>0</v>
      </c>
      <c r="V2416" s="38" t="n">
        <f aca="false">Q2416*U2416</f>
        <v>0</v>
      </c>
      <c r="W2416" s="41" t="str">
        <f aca="false">IF($M2416="","",IF(T2416="Overdue",IF(Settings!$B$8="Yes",Settings!$B$7,""),IF(ISNUMBER(R2416),DATE(YEAR(R2416),MONTH(R2416),1),"")))</f>
        <v/>
      </c>
      <c r="X2416" s="38" t="n">
        <f aca="false">IF(AND(OR(T2416="Backlog",T2416="Pipeline",T2416="Overdue"),ISNUMBER(W2416)),IF(W2416&lt;=Settings!$B$6,V2416,0),0)</f>
        <v>0</v>
      </c>
      <c r="Y2416" s="38" t="n">
        <f aca="false">IF(AND(OR(T2416="Backlog",T2416="Pipeline",T2416="Overdue"),ISNUMBER(W2416)),IF(W2416&lt;=Settings!$B$6,Q2416,0),0)</f>
        <v>0</v>
      </c>
      <c r="Z2416" s="38" t="n">
        <f aca="false">IF(Y2416=0,0,IF(T2416="Backlog",Q2416,Q2416*Dashboard!$C$10))</f>
        <v>0</v>
      </c>
      <c r="AA2416" s="37" t="n">
        <f aca="false">IF($N2416="",0,IF(COUNTIF(Dashboard!$C$13:$C$22,$N2416)&gt;0,1,0))</f>
        <v>0</v>
      </c>
      <c r="AB2416" s="37" t="str">
        <f aca="false">IF($N2416="","",IF(COUNTIF($N$8:$N2416,$N2416)=1,MAX($AB$7:$AB2415)+1,""))</f>
        <v/>
      </c>
    </row>
    <row r="2417" customFormat="false" ht="15" hidden="false" customHeight="false" outlineLevel="0" collapsed="false">
      <c r="L2417" s="37" t="str">
        <f aca="false">IF(INDEX($A2417:$J2417,$L$6)&lt;&gt;"",TRIM(LEFT(INDEX($A2417:$J2417,$L$6),FIND("(",INDEX($A2417:$J2417,$L$6)&amp;"(")-1)),L2416)</f>
        <v>Building Value Proposition</v>
      </c>
      <c r="M2417" s="37" t="str">
        <f aca="false">IF(INDEX($A2417:$J2417,$M$6)="","",INDEX($A2417:$J2417,$M$6)&amp;"")</f>
        <v/>
      </c>
      <c r="N2417" s="37" t="str">
        <f aca="false">IF($M2417="","",TRIM(INDEX($A2417:$J2417,$N$6)&amp;""))</f>
        <v/>
      </c>
      <c r="O2417" s="37" t="str">
        <f aca="false">IF($M2417="","",TRIM(INDEX($A2417:$J2417,$O$6)&amp;""))</f>
        <v/>
      </c>
      <c r="P2417" s="37" t="str">
        <f aca="false">IF($M2417="","",IFERROR(IF(INDEX(Settings!$B$41:$B$50,MATCH(O2417,Settings!$A$41:$A$50,0))&amp;""="","UNMAPPED",INDEX(Settings!$B$41:$B$50,MATCH(O2417,Settings!$A$41:$A$50,0))&amp;""),"UNMAPPED"))</f>
        <v/>
      </c>
      <c r="Q2417" s="38" t="n">
        <f aca="false">IF($M2417="",0,N(INDEX($A2417:$J2417,$Q$6)))</f>
        <v>0</v>
      </c>
      <c r="R2417" s="39" t="str">
        <f aca="false">IF($M2417="","",INDEX($A2417:$J2417,$R$6))</f>
        <v/>
      </c>
      <c r="S2417" s="37" t="str">
        <f aca="false">IF($M2417="","",IFERROR(INDEX(Settings!$B$27:$B$36,MATCH(L2417,Settings!$A$27:$A$36,0))&amp;"","UNMAPPED"))</f>
        <v/>
      </c>
      <c r="T2417" s="37" t="str">
        <f aca="false">IF($M2417="","",IF(NOT(ISNUMBER(R2417)),"NO DATE",IF(S2417="Won",IF(R2417&gt;Settings!$B$5,"Backlog","Delivered"),IF(S2417="Open",IF(R2417&gt;Settings!$B$5,"Pipeline","Overdue"),IF(S2417="Lost","Lost","UNMAPPED")))))</f>
        <v/>
      </c>
      <c r="U2417" s="40" t="n">
        <f aca="false">IF(T2417="Backlog",1,IF(OR(T2417="Pipeline",T2417="Overdue"),N(INDEX(Settings!$C$27:$C$36,MATCH(L2417,Settings!$A$27:$A$36,0))),0))</f>
        <v>0</v>
      </c>
      <c r="V2417" s="38" t="n">
        <f aca="false">Q2417*U2417</f>
        <v>0</v>
      </c>
      <c r="W2417" s="41" t="str">
        <f aca="false">IF($M2417="","",IF(T2417="Overdue",IF(Settings!$B$8="Yes",Settings!$B$7,""),IF(ISNUMBER(R2417),DATE(YEAR(R2417),MONTH(R2417),1),"")))</f>
        <v/>
      </c>
      <c r="X2417" s="38" t="n">
        <f aca="false">IF(AND(OR(T2417="Backlog",T2417="Pipeline",T2417="Overdue"),ISNUMBER(W2417)),IF(W2417&lt;=Settings!$B$6,V2417,0),0)</f>
        <v>0</v>
      </c>
      <c r="Y2417" s="38" t="n">
        <f aca="false">IF(AND(OR(T2417="Backlog",T2417="Pipeline",T2417="Overdue"),ISNUMBER(W2417)),IF(W2417&lt;=Settings!$B$6,Q2417,0),0)</f>
        <v>0</v>
      </c>
      <c r="Z2417" s="38" t="n">
        <f aca="false">IF(Y2417=0,0,IF(T2417="Backlog",Q2417,Q2417*Dashboard!$C$10))</f>
        <v>0</v>
      </c>
      <c r="AA2417" s="37" t="n">
        <f aca="false">IF($N2417="",0,IF(COUNTIF(Dashboard!$C$13:$C$22,$N2417)&gt;0,1,0))</f>
        <v>0</v>
      </c>
      <c r="AB2417" s="37" t="str">
        <f aca="false">IF($N2417="","",IF(COUNTIF($N$8:$N2417,$N2417)=1,MAX($AB$7:$AB2416)+1,""))</f>
        <v/>
      </c>
    </row>
    <row r="2418" customFormat="false" ht="15" hidden="false" customHeight="false" outlineLevel="0" collapsed="false">
      <c r="L2418" s="37" t="str">
        <f aca="false">IF(INDEX($A2418:$J2418,$L$6)&lt;&gt;"",TRIM(LEFT(INDEX($A2418:$J2418,$L$6),FIND("(",INDEX($A2418:$J2418,$L$6)&amp;"(")-1)),L2417)</f>
        <v>Building Value Proposition</v>
      </c>
      <c r="M2418" s="37" t="str">
        <f aca="false">IF(INDEX($A2418:$J2418,$M$6)="","",INDEX($A2418:$J2418,$M$6)&amp;"")</f>
        <v/>
      </c>
      <c r="N2418" s="37" t="str">
        <f aca="false">IF($M2418="","",TRIM(INDEX($A2418:$J2418,$N$6)&amp;""))</f>
        <v/>
      </c>
      <c r="O2418" s="37" t="str">
        <f aca="false">IF($M2418="","",TRIM(INDEX($A2418:$J2418,$O$6)&amp;""))</f>
        <v/>
      </c>
      <c r="P2418" s="37" t="str">
        <f aca="false">IF($M2418="","",IFERROR(IF(INDEX(Settings!$B$41:$B$50,MATCH(O2418,Settings!$A$41:$A$50,0))&amp;""="","UNMAPPED",INDEX(Settings!$B$41:$B$50,MATCH(O2418,Settings!$A$41:$A$50,0))&amp;""),"UNMAPPED"))</f>
        <v/>
      </c>
      <c r="Q2418" s="38" t="n">
        <f aca="false">IF($M2418="",0,N(INDEX($A2418:$J2418,$Q$6)))</f>
        <v>0</v>
      </c>
      <c r="R2418" s="39" t="str">
        <f aca="false">IF($M2418="","",INDEX($A2418:$J2418,$R$6))</f>
        <v/>
      </c>
      <c r="S2418" s="37" t="str">
        <f aca="false">IF($M2418="","",IFERROR(INDEX(Settings!$B$27:$B$36,MATCH(L2418,Settings!$A$27:$A$36,0))&amp;"","UNMAPPED"))</f>
        <v/>
      </c>
      <c r="T2418" s="37" t="str">
        <f aca="false">IF($M2418="","",IF(NOT(ISNUMBER(R2418)),"NO DATE",IF(S2418="Won",IF(R2418&gt;Settings!$B$5,"Backlog","Delivered"),IF(S2418="Open",IF(R2418&gt;Settings!$B$5,"Pipeline","Overdue"),IF(S2418="Lost","Lost","UNMAPPED")))))</f>
        <v/>
      </c>
      <c r="U2418" s="40" t="n">
        <f aca="false">IF(T2418="Backlog",1,IF(OR(T2418="Pipeline",T2418="Overdue"),N(INDEX(Settings!$C$27:$C$36,MATCH(L2418,Settings!$A$27:$A$36,0))),0))</f>
        <v>0</v>
      </c>
      <c r="V2418" s="38" t="n">
        <f aca="false">Q2418*U2418</f>
        <v>0</v>
      </c>
      <c r="W2418" s="41" t="str">
        <f aca="false">IF($M2418="","",IF(T2418="Overdue",IF(Settings!$B$8="Yes",Settings!$B$7,""),IF(ISNUMBER(R2418),DATE(YEAR(R2418),MONTH(R2418),1),"")))</f>
        <v/>
      </c>
      <c r="X2418" s="38" t="n">
        <f aca="false">IF(AND(OR(T2418="Backlog",T2418="Pipeline",T2418="Overdue"),ISNUMBER(W2418)),IF(W2418&lt;=Settings!$B$6,V2418,0),0)</f>
        <v>0</v>
      </c>
      <c r="Y2418" s="38" t="n">
        <f aca="false">IF(AND(OR(T2418="Backlog",T2418="Pipeline",T2418="Overdue"),ISNUMBER(W2418)),IF(W2418&lt;=Settings!$B$6,Q2418,0),0)</f>
        <v>0</v>
      </c>
      <c r="Z2418" s="38" t="n">
        <f aca="false">IF(Y2418=0,0,IF(T2418="Backlog",Q2418,Q2418*Dashboard!$C$10))</f>
        <v>0</v>
      </c>
      <c r="AA2418" s="37" t="n">
        <f aca="false">IF($N2418="",0,IF(COUNTIF(Dashboard!$C$13:$C$22,$N2418)&gt;0,1,0))</f>
        <v>0</v>
      </c>
      <c r="AB2418" s="37" t="str">
        <f aca="false">IF($N2418="","",IF(COUNTIF($N$8:$N2418,$N2418)=1,MAX($AB$7:$AB2417)+1,""))</f>
        <v/>
      </c>
    </row>
    <row r="2419" customFormat="false" ht="15" hidden="false" customHeight="false" outlineLevel="0" collapsed="false">
      <c r="L2419" s="37" t="str">
        <f aca="false">IF(INDEX($A2419:$J2419,$L$6)&lt;&gt;"",TRIM(LEFT(INDEX($A2419:$J2419,$L$6),FIND("(",INDEX($A2419:$J2419,$L$6)&amp;"(")-1)),L2418)</f>
        <v>Building Value Proposition</v>
      </c>
      <c r="M2419" s="37" t="str">
        <f aca="false">IF(INDEX($A2419:$J2419,$M$6)="","",INDEX($A2419:$J2419,$M$6)&amp;"")</f>
        <v/>
      </c>
      <c r="N2419" s="37" t="str">
        <f aca="false">IF($M2419="","",TRIM(INDEX($A2419:$J2419,$N$6)&amp;""))</f>
        <v/>
      </c>
      <c r="O2419" s="37" t="str">
        <f aca="false">IF($M2419="","",TRIM(INDEX($A2419:$J2419,$O$6)&amp;""))</f>
        <v/>
      </c>
      <c r="P2419" s="37" t="str">
        <f aca="false">IF($M2419="","",IFERROR(IF(INDEX(Settings!$B$41:$B$50,MATCH(O2419,Settings!$A$41:$A$50,0))&amp;""="","UNMAPPED",INDEX(Settings!$B$41:$B$50,MATCH(O2419,Settings!$A$41:$A$50,0))&amp;""),"UNMAPPED"))</f>
        <v/>
      </c>
      <c r="Q2419" s="38" t="n">
        <f aca="false">IF($M2419="",0,N(INDEX($A2419:$J2419,$Q$6)))</f>
        <v>0</v>
      </c>
      <c r="R2419" s="39" t="str">
        <f aca="false">IF($M2419="","",INDEX($A2419:$J2419,$R$6))</f>
        <v/>
      </c>
      <c r="S2419" s="37" t="str">
        <f aca="false">IF($M2419="","",IFERROR(INDEX(Settings!$B$27:$B$36,MATCH(L2419,Settings!$A$27:$A$36,0))&amp;"","UNMAPPED"))</f>
        <v/>
      </c>
      <c r="T2419" s="37" t="str">
        <f aca="false">IF($M2419="","",IF(NOT(ISNUMBER(R2419)),"NO DATE",IF(S2419="Won",IF(R2419&gt;Settings!$B$5,"Backlog","Delivered"),IF(S2419="Open",IF(R2419&gt;Settings!$B$5,"Pipeline","Overdue"),IF(S2419="Lost","Lost","UNMAPPED")))))</f>
        <v/>
      </c>
      <c r="U2419" s="40" t="n">
        <f aca="false">IF(T2419="Backlog",1,IF(OR(T2419="Pipeline",T2419="Overdue"),N(INDEX(Settings!$C$27:$C$36,MATCH(L2419,Settings!$A$27:$A$36,0))),0))</f>
        <v>0</v>
      </c>
      <c r="V2419" s="38" t="n">
        <f aca="false">Q2419*U2419</f>
        <v>0</v>
      </c>
      <c r="W2419" s="41" t="str">
        <f aca="false">IF($M2419="","",IF(T2419="Overdue",IF(Settings!$B$8="Yes",Settings!$B$7,""),IF(ISNUMBER(R2419),DATE(YEAR(R2419),MONTH(R2419),1),"")))</f>
        <v/>
      </c>
      <c r="X2419" s="38" t="n">
        <f aca="false">IF(AND(OR(T2419="Backlog",T2419="Pipeline",T2419="Overdue"),ISNUMBER(W2419)),IF(W2419&lt;=Settings!$B$6,V2419,0),0)</f>
        <v>0</v>
      </c>
      <c r="Y2419" s="38" t="n">
        <f aca="false">IF(AND(OR(T2419="Backlog",T2419="Pipeline",T2419="Overdue"),ISNUMBER(W2419)),IF(W2419&lt;=Settings!$B$6,Q2419,0),0)</f>
        <v>0</v>
      </c>
      <c r="Z2419" s="38" t="n">
        <f aca="false">IF(Y2419=0,0,IF(T2419="Backlog",Q2419,Q2419*Dashboard!$C$10))</f>
        <v>0</v>
      </c>
      <c r="AA2419" s="37" t="n">
        <f aca="false">IF($N2419="",0,IF(COUNTIF(Dashboard!$C$13:$C$22,$N2419)&gt;0,1,0))</f>
        <v>0</v>
      </c>
      <c r="AB2419" s="37" t="str">
        <f aca="false">IF($N2419="","",IF(COUNTIF($N$8:$N2419,$N2419)=1,MAX($AB$7:$AB2418)+1,""))</f>
        <v/>
      </c>
    </row>
    <row r="2420" customFormat="false" ht="15" hidden="false" customHeight="false" outlineLevel="0" collapsed="false">
      <c r="L2420" s="37" t="str">
        <f aca="false">IF(INDEX($A2420:$J2420,$L$6)&lt;&gt;"",TRIM(LEFT(INDEX($A2420:$J2420,$L$6),FIND("(",INDEX($A2420:$J2420,$L$6)&amp;"(")-1)),L2419)</f>
        <v>Building Value Proposition</v>
      </c>
      <c r="M2420" s="37" t="str">
        <f aca="false">IF(INDEX($A2420:$J2420,$M$6)="","",INDEX($A2420:$J2420,$M$6)&amp;"")</f>
        <v/>
      </c>
      <c r="N2420" s="37" t="str">
        <f aca="false">IF($M2420="","",TRIM(INDEX($A2420:$J2420,$N$6)&amp;""))</f>
        <v/>
      </c>
      <c r="O2420" s="37" t="str">
        <f aca="false">IF($M2420="","",TRIM(INDEX($A2420:$J2420,$O$6)&amp;""))</f>
        <v/>
      </c>
      <c r="P2420" s="37" t="str">
        <f aca="false">IF($M2420="","",IFERROR(IF(INDEX(Settings!$B$41:$B$50,MATCH(O2420,Settings!$A$41:$A$50,0))&amp;""="","UNMAPPED",INDEX(Settings!$B$41:$B$50,MATCH(O2420,Settings!$A$41:$A$50,0))&amp;""),"UNMAPPED"))</f>
        <v/>
      </c>
      <c r="Q2420" s="38" t="n">
        <f aca="false">IF($M2420="",0,N(INDEX($A2420:$J2420,$Q$6)))</f>
        <v>0</v>
      </c>
      <c r="R2420" s="39" t="str">
        <f aca="false">IF($M2420="","",INDEX($A2420:$J2420,$R$6))</f>
        <v/>
      </c>
      <c r="S2420" s="37" t="str">
        <f aca="false">IF($M2420="","",IFERROR(INDEX(Settings!$B$27:$B$36,MATCH(L2420,Settings!$A$27:$A$36,0))&amp;"","UNMAPPED"))</f>
        <v/>
      </c>
      <c r="T2420" s="37" t="str">
        <f aca="false">IF($M2420="","",IF(NOT(ISNUMBER(R2420)),"NO DATE",IF(S2420="Won",IF(R2420&gt;Settings!$B$5,"Backlog","Delivered"),IF(S2420="Open",IF(R2420&gt;Settings!$B$5,"Pipeline","Overdue"),IF(S2420="Lost","Lost","UNMAPPED")))))</f>
        <v/>
      </c>
      <c r="U2420" s="40" t="n">
        <f aca="false">IF(T2420="Backlog",1,IF(OR(T2420="Pipeline",T2420="Overdue"),N(INDEX(Settings!$C$27:$C$36,MATCH(L2420,Settings!$A$27:$A$36,0))),0))</f>
        <v>0</v>
      </c>
      <c r="V2420" s="38" t="n">
        <f aca="false">Q2420*U2420</f>
        <v>0</v>
      </c>
      <c r="W2420" s="41" t="str">
        <f aca="false">IF($M2420="","",IF(T2420="Overdue",IF(Settings!$B$8="Yes",Settings!$B$7,""),IF(ISNUMBER(R2420),DATE(YEAR(R2420),MONTH(R2420),1),"")))</f>
        <v/>
      </c>
      <c r="X2420" s="38" t="n">
        <f aca="false">IF(AND(OR(T2420="Backlog",T2420="Pipeline",T2420="Overdue"),ISNUMBER(W2420)),IF(W2420&lt;=Settings!$B$6,V2420,0),0)</f>
        <v>0</v>
      </c>
      <c r="Y2420" s="38" t="n">
        <f aca="false">IF(AND(OR(T2420="Backlog",T2420="Pipeline",T2420="Overdue"),ISNUMBER(W2420)),IF(W2420&lt;=Settings!$B$6,Q2420,0),0)</f>
        <v>0</v>
      </c>
      <c r="Z2420" s="38" t="n">
        <f aca="false">IF(Y2420=0,0,IF(T2420="Backlog",Q2420,Q2420*Dashboard!$C$10))</f>
        <v>0</v>
      </c>
      <c r="AA2420" s="37" t="n">
        <f aca="false">IF($N2420="",0,IF(COUNTIF(Dashboard!$C$13:$C$22,$N2420)&gt;0,1,0))</f>
        <v>0</v>
      </c>
      <c r="AB2420" s="37" t="str">
        <f aca="false">IF($N2420="","",IF(COUNTIF($N$8:$N2420,$N2420)=1,MAX($AB$7:$AB2419)+1,""))</f>
        <v/>
      </c>
    </row>
    <row r="2421" customFormat="false" ht="15" hidden="false" customHeight="false" outlineLevel="0" collapsed="false">
      <c r="L2421" s="37" t="str">
        <f aca="false">IF(INDEX($A2421:$J2421,$L$6)&lt;&gt;"",TRIM(LEFT(INDEX($A2421:$J2421,$L$6),FIND("(",INDEX($A2421:$J2421,$L$6)&amp;"(")-1)),L2420)</f>
        <v>Building Value Proposition</v>
      </c>
      <c r="M2421" s="37" t="str">
        <f aca="false">IF(INDEX($A2421:$J2421,$M$6)="","",INDEX($A2421:$J2421,$M$6)&amp;"")</f>
        <v/>
      </c>
      <c r="N2421" s="37" t="str">
        <f aca="false">IF($M2421="","",TRIM(INDEX($A2421:$J2421,$N$6)&amp;""))</f>
        <v/>
      </c>
      <c r="O2421" s="37" t="str">
        <f aca="false">IF($M2421="","",TRIM(INDEX($A2421:$J2421,$O$6)&amp;""))</f>
        <v/>
      </c>
      <c r="P2421" s="37" t="str">
        <f aca="false">IF($M2421="","",IFERROR(IF(INDEX(Settings!$B$41:$B$50,MATCH(O2421,Settings!$A$41:$A$50,0))&amp;""="","UNMAPPED",INDEX(Settings!$B$41:$B$50,MATCH(O2421,Settings!$A$41:$A$50,0))&amp;""),"UNMAPPED"))</f>
        <v/>
      </c>
      <c r="Q2421" s="38" t="n">
        <f aca="false">IF($M2421="",0,N(INDEX($A2421:$J2421,$Q$6)))</f>
        <v>0</v>
      </c>
      <c r="R2421" s="39" t="str">
        <f aca="false">IF($M2421="","",INDEX($A2421:$J2421,$R$6))</f>
        <v/>
      </c>
      <c r="S2421" s="37" t="str">
        <f aca="false">IF($M2421="","",IFERROR(INDEX(Settings!$B$27:$B$36,MATCH(L2421,Settings!$A$27:$A$36,0))&amp;"","UNMAPPED"))</f>
        <v/>
      </c>
      <c r="T2421" s="37" t="str">
        <f aca="false">IF($M2421="","",IF(NOT(ISNUMBER(R2421)),"NO DATE",IF(S2421="Won",IF(R2421&gt;Settings!$B$5,"Backlog","Delivered"),IF(S2421="Open",IF(R2421&gt;Settings!$B$5,"Pipeline","Overdue"),IF(S2421="Lost","Lost","UNMAPPED")))))</f>
        <v/>
      </c>
      <c r="U2421" s="40" t="n">
        <f aca="false">IF(T2421="Backlog",1,IF(OR(T2421="Pipeline",T2421="Overdue"),N(INDEX(Settings!$C$27:$C$36,MATCH(L2421,Settings!$A$27:$A$36,0))),0))</f>
        <v>0</v>
      </c>
      <c r="V2421" s="38" t="n">
        <f aca="false">Q2421*U2421</f>
        <v>0</v>
      </c>
      <c r="W2421" s="41" t="str">
        <f aca="false">IF($M2421="","",IF(T2421="Overdue",IF(Settings!$B$8="Yes",Settings!$B$7,""),IF(ISNUMBER(R2421),DATE(YEAR(R2421),MONTH(R2421),1),"")))</f>
        <v/>
      </c>
      <c r="X2421" s="38" t="n">
        <f aca="false">IF(AND(OR(T2421="Backlog",T2421="Pipeline",T2421="Overdue"),ISNUMBER(W2421)),IF(W2421&lt;=Settings!$B$6,V2421,0),0)</f>
        <v>0</v>
      </c>
      <c r="Y2421" s="38" t="n">
        <f aca="false">IF(AND(OR(T2421="Backlog",T2421="Pipeline",T2421="Overdue"),ISNUMBER(W2421)),IF(W2421&lt;=Settings!$B$6,Q2421,0),0)</f>
        <v>0</v>
      </c>
      <c r="Z2421" s="38" t="n">
        <f aca="false">IF(Y2421=0,0,IF(T2421="Backlog",Q2421,Q2421*Dashboard!$C$10))</f>
        <v>0</v>
      </c>
      <c r="AA2421" s="37" t="n">
        <f aca="false">IF($N2421="",0,IF(COUNTIF(Dashboard!$C$13:$C$22,$N2421)&gt;0,1,0))</f>
        <v>0</v>
      </c>
      <c r="AB2421" s="37" t="str">
        <f aca="false">IF($N2421="","",IF(COUNTIF($N$8:$N2421,$N2421)=1,MAX($AB$7:$AB2420)+1,""))</f>
        <v/>
      </c>
    </row>
    <row r="2422" customFormat="false" ht="15" hidden="false" customHeight="false" outlineLevel="0" collapsed="false">
      <c r="L2422" s="37" t="str">
        <f aca="false">IF(INDEX($A2422:$J2422,$L$6)&lt;&gt;"",TRIM(LEFT(INDEX($A2422:$J2422,$L$6),FIND("(",INDEX($A2422:$J2422,$L$6)&amp;"(")-1)),L2421)</f>
        <v>Building Value Proposition</v>
      </c>
      <c r="M2422" s="37" t="str">
        <f aca="false">IF(INDEX($A2422:$J2422,$M$6)="","",INDEX($A2422:$J2422,$M$6)&amp;"")</f>
        <v/>
      </c>
      <c r="N2422" s="37" t="str">
        <f aca="false">IF($M2422="","",TRIM(INDEX($A2422:$J2422,$N$6)&amp;""))</f>
        <v/>
      </c>
      <c r="O2422" s="37" t="str">
        <f aca="false">IF($M2422="","",TRIM(INDEX($A2422:$J2422,$O$6)&amp;""))</f>
        <v/>
      </c>
      <c r="P2422" s="37" t="str">
        <f aca="false">IF($M2422="","",IFERROR(IF(INDEX(Settings!$B$41:$B$50,MATCH(O2422,Settings!$A$41:$A$50,0))&amp;""="","UNMAPPED",INDEX(Settings!$B$41:$B$50,MATCH(O2422,Settings!$A$41:$A$50,0))&amp;""),"UNMAPPED"))</f>
        <v/>
      </c>
      <c r="Q2422" s="38" t="n">
        <f aca="false">IF($M2422="",0,N(INDEX($A2422:$J2422,$Q$6)))</f>
        <v>0</v>
      </c>
      <c r="R2422" s="39" t="str">
        <f aca="false">IF($M2422="","",INDEX($A2422:$J2422,$R$6))</f>
        <v/>
      </c>
      <c r="S2422" s="37" t="str">
        <f aca="false">IF($M2422="","",IFERROR(INDEX(Settings!$B$27:$B$36,MATCH(L2422,Settings!$A$27:$A$36,0))&amp;"","UNMAPPED"))</f>
        <v/>
      </c>
      <c r="T2422" s="37" t="str">
        <f aca="false">IF($M2422="","",IF(NOT(ISNUMBER(R2422)),"NO DATE",IF(S2422="Won",IF(R2422&gt;Settings!$B$5,"Backlog","Delivered"),IF(S2422="Open",IF(R2422&gt;Settings!$B$5,"Pipeline","Overdue"),IF(S2422="Lost","Lost","UNMAPPED")))))</f>
        <v/>
      </c>
      <c r="U2422" s="40" t="n">
        <f aca="false">IF(T2422="Backlog",1,IF(OR(T2422="Pipeline",T2422="Overdue"),N(INDEX(Settings!$C$27:$C$36,MATCH(L2422,Settings!$A$27:$A$36,0))),0))</f>
        <v>0</v>
      </c>
      <c r="V2422" s="38" t="n">
        <f aca="false">Q2422*U2422</f>
        <v>0</v>
      </c>
      <c r="W2422" s="41" t="str">
        <f aca="false">IF($M2422="","",IF(T2422="Overdue",IF(Settings!$B$8="Yes",Settings!$B$7,""),IF(ISNUMBER(R2422),DATE(YEAR(R2422),MONTH(R2422),1),"")))</f>
        <v/>
      </c>
      <c r="X2422" s="38" t="n">
        <f aca="false">IF(AND(OR(T2422="Backlog",T2422="Pipeline",T2422="Overdue"),ISNUMBER(W2422)),IF(W2422&lt;=Settings!$B$6,V2422,0),0)</f>
        <v>0</v>
      </c>
      <c r="Y2422" s="38" t="n">
        <f aca="false">IF(AND(OR(T2422="Backlog",T2422="Pipeline",T2422="Overdue"),ISNUMBER(W2422)),IF(W2422&lt;=Settings!$B$6,Q2422,0),0)</f>
        <v>0</v>
      </c>
      <c r="Z2422" s="38" t="n">
        <f aca="false">IF(Y2422=0,0,IF(T2422="Backlog",Q2422,Q2422*Dashboard!$C$10))</f>
        <v>0</v>
      </c>
      <c r="AA2422" s="37" t="n">
        <f aca="false">IF($N2422="",0,IF(COUNTIF(Dashboard!$C$13:$C$22,$N2422)&gt;0,1,0))</f>
        <v>0</v>
      </c>
      <c r="AB2422" s="37" t="str">
        <f aca="false">IF($N2422="","",IF(COUNTIF($N$8:$N2422,$N2422)=1,MAX($AB$7:$AB2421)+1,""))</f>
        <v/>
      </c>
    </row>
    <row r="2423" customFormat="false" ht="15" hidden="false" customHeight="false" outlineLevel="0" collapsed="false">
      <c r="L2423" s="37" t="str">
        <f aca="false">IF(INDEX($A2423:$J2423,$L$6)&lt;&gt;"",TRIM(LEFT(INDEX($A2423:$J2423,$L$6),FIND("(",INDEX($A2423:$J2423,$L$6)&amp;"(")-1)),L2422)</f>
        <v>Building Value Proposition</v>
      </c>
      <c r="M2423" s="37" t="str">
        <f aca="false">IF(INDEX($A2423:$J2423,$M$6)="","",INDEX($A2423:$J2423,$M$6)&amp;"")</f>
        <v/>
      </c>
      <c r="N2423" s="37" t="str">
        <f aca="false">IF($M2423="","",TRIM(INDEX($A2423:$J2423,$N$6)&amp;""))</f>
        <v/>
      </c>
      <c r="O2423" s="37" t="str">
        <f aca="false">IF($M2423="","",TRIM(INDEX($A2423:$J2423,$O$6)&amp;""))</f>
        <v/>
      </c>
      <c r="P2423" s="37" t="str">
        <f aca="false">IF($M2423="","",IFERROR(IF(INDEX(Settings!$B$41:$B$50,MATCH(O2423,Settings!$A$41:$A$50,0))&amp;""="","UNMAPPED",INDEX(Settings!$B$41:$B$50,MATCH(O2423,Settings!$A$41:$A$50,0))&amp;""),"UNMAPPED"))</f>
        <v/>
      </c>
      <c r="Q2423" s="38" t="n">
        <f aca="false">IF($M2423="",0,N(INDEX($A2423:$J2423,$Q$6)))</f>
        <v>0</v>
      </c>
      <c r="R2423" s="39" t="str">
        <f aca="false">IF($M2423="","",INDEX($A2423:$J2423,$R$6))</f>
        <v/>
      </c>
      <c r="S2423" s="37" t="str">
        <f aca="false">IF($M2423="","",IFERROR(INDEX(Settings!$B$27:$B$36,MATCH(L2423,Settings!$A$27:$A$36,0))&amp;"","UNMAPPED"))</f>
        <v/>
      </c>
      <c r="T2423" s="37" t="str">
        <f aca="false">IF($M2423="","",IF(NOT(ISNUMBER(R2423)),"NO DATE",IF(S2423="Won",IF(R2423&gt;Settings!$B$5,"Backlog","Delivered"),IF(S2423="Open",IF(R2423&gt;Settings!$B$5,"Pipeline","Overdue"),IF(S2423="Lost","Lost","UNMAPPED")))))</f>
        <v/>
      </c>
      <c r="U2423" s="40" t="n">
        <f aca="false">IF(T2423="Backlog",1,IF(OR(T2423="Pipeline",T2423="Overdue"),N(INDEX(Settings!$C$27:$C$36,MATCH(L2423,Settings!$A$27:$A$36,0))),0))</f>
        <v>0</v>
      </c>
      <c r="V2423" s="38" t="n">
        <f aca="false">Q2423*U2423</f>
        <v>0</v>
      </c>
      <c r="W2423" s="41" t="str">
        <f aca="false">IF($M2423="","",IF(T2423="Overdue",IF(Settings!$B$8="Yes",Settings!$B$7,""),IF(ISNUMBER(R2423),DATE(YEAR(R2423),MONTH(R2423),1),"")))</f>
        <v/>
      </c>
      <c r="X2423" s="38" t="n">
        <f aca="false">IF(AND(OR(T2423="Backlog",T2423="Pipeline",T2423="Overdue"),ISNUMBER(W2423)),IF(W2423&lt;=Settings!$B$6,V2423,0),0)</f>
        <v>0</v>
      </c>
      <c r="Y2423" s="38" t="n">
        <f aca="false">IF(AND(OR(T2423="Backlog",T2423="Pipeline",T2423="Overdue"),ISNUMBER(W2423)),IF(W2423&lt;=Settings!$B$6,Q2423,0),0)</f>
        <v>0</v>
      </c>
      <c r="Z2423" s="38" t="n">
        <f aca="false">IF(Y2423=0,0,IF(T2423="Backlog",Q2423,Q2423*Dashboard!$C$10))</f>
        <v>0</v>
      </c>
      <c r="AA2423" s="37" t="n">
        <f aca="false">IF($N2423="",0,IF(COUNTIF(Dashboard!$C$13:$C$22,$N2423)&gt;0,1,0))</f>
        <v>0</v>
      </c>
      <c r="AB2423" s="37" t="str">
        <f aca="false">IF($N2423="","",IF(COUNTIF($N$8:$N2423,$N2423)=1,MAX($AB$7:$AB2422)+1,""))</f>
        <v/>
      </c>
    </row>
    <row r="2424" customFormat="false" ht="15" hidden="false" customHeight="false" outlineLevel="0" collapsed="false">
      <c r="L2424" s="37" t="str">
        <f aca="false">IF(INDEX($A2424:$J2424,$L$6)&lt;&gt;"",TRIM(LEFT(INDEX($A2424:$J2424,$L$6),FIND("(",INDEX($A2424:$J2424,$L$6)&amp;"(")-1)),L2423)</f>
        <v>Building Value Proposition</v>
      </c>
      <c r="M2424" s="37" t="str">
        <f aca="false">IF(INDEX($A2424:$J2424,$M$6)="","",INDEX($A2424:$J2424,$M$6)&amp;"")</f>
        <v/>
      </c>
      <c r="N2424" s="37" t="str">
        <f aca="false">IF($M2424="","",TRIM(INDEX($A2424:$J2424,$N$6)&amp;""))</f>
        <v/>
      </c>
      <c r="O2424" s="37" t="str">
        <f aca="false">IF($M2424="","",TRIM(INDEX($A2424:$J2424,$O$6)&amp;""))</f>
        <v/>
      </c>
      <c r="P2424" s="37" t="str">
        <f aca="false">IF($M2424="","",IFERROR(IF(INDEX(Settings!$B$41:$B$50,MATCH(O2424,Settings!$A$41:$A$50,0))&amp;""="","UNMAPPED",INDEX(Settings!$B$41:$B$50,MATCH(O2424,Settings!$A$41:$A$50,0))&amp;""),"UNMAPPED"))</f>
        <v/>
      </c>
      <c r="Q2424" s="38" t="n">
        <f aca="false">IF($M2424="",0,N(INDEX($A2424:$J2424,$Q$6)))</f>
        <v>0</v>
      </c>
      <c r="R2424" s="39" t="str">
        <f aca="false">IF($M2424="","",INDEX($A2424:$J2424,$R$6))</f>
        <v/>
      </c>
      <c r="S2424" s="37" t="str">
        <f aca="false">IF($M2424="","",IFERROR(INDEX(Settings!$B$27:$B$36,MATCH(L2424,Settings!$A$27:$A$36,0))&amp;"","UNMAPPED"))</f>
        <v/>
      </c>
      <c r="T2424" s="37" t="str">
        <f aca="false">IF($M2424="","",IF(NOT(ISNUMBER(R2424)),"NO DATE",IF(S2424="Won",IF(R2424&gt;Settings!$B$5,"Backlog","Delivered"),IF(S2424="Open",IF(R2424&gt;Settings!$B$5,"Pipeline","Overdue"),IF(S2424="Lost","Lost","UNMAPPED")))))</f>
        <v/>
      </c>
      <c r="U2424" s="40" t="n">
        <f aca="false">IF(T2424="Backlog",1,IF(OR(T2424="Pipeline",T2424="Overdue"),N(INDEX(Settings!$C$27:$C$36,MATCH(L2424,Settings!$A$27:$A$36,0))),0))</f>
        <v>0</v>
      </c>
      <c r="V2424" s="38" t="n">
        <f aca="false">Q2424*U2424</f>
        <v>0</v>
      </c>
      <c r="W2424" s="41" t="str">
        <f aca="false">IF($M2424="","",IF(T2424="Overdue",IF(Settings!$B$8="Yes",Settings!$B$7,""),IF(ISNUMBER(R2424),DATE(YEAR(R2424),MONTH(R2424),1),"")))</f>
        <v/>
      </c>
      <c r="X2424" s="38" t="n">
        <f aca="false">IF(AND(OR(T2424="Backlog",T2424="Pipeline",T2424="Overdue"),ISNUMBER(W2424)),IF(W2424&lt;=Settings!$B$6,V2424,0),0)</f>
        <v>0</v>
      </c>
      <c r="Y2424" s="38" t="n">
        <f aca="false">IF(AND(OR(T2424="Backlog",T2424="Pipeline",T2424="Overdue"),ISNUMBER(W2424)),IF(W2424&lt;=Settings!$B$6,Q2424,0),0)</f>
        <v>0</v>
      </c>
      <c r="Z2424" s="38" t="n">
        <f aca="false">IF(Y2424=0,0,IF(T2424="Backlog",Q2424,Q2424*Dashboard!$C$10))</f>
        <v>0</v>
      </c>
      <c r="AA2424" s="37" t="n">
        <f aca="false">IF($N2424="",0,IF(COUNTIF(Dashboard!$C$13:$C$22,$N2424)&gt;0,1,0))</f>
        <v>0</v>
      </c>
      <c r="AB2424" s="37" t="str">
        <f aca="false">IF($N2424="","",IF(COUNTIF($N$8:$N2424,$N2424)=1,MAX($AB$7:$AB2423)+1,""))</f>
        <v/>
      </c>
    </row>
    <row r="2425" customFormat="false" ht="15" hidden="false" customHeight="false" outlineLevel="0" collapsed="false">
      <c r="L2425" s="37" t="str">
        <f aca="false">IF(INDEX($A2425:$J2425,$L$6)&lt;&gt;"",TRIM(LEFT(INDEX($A2425:$J2425,$L$6),FIND("(",INDEX($A2425:$J2425,$L$6)&amp;"(")-1)),L2424)</f>
        <v>Building Value Proposition</v>
      </c>
      <c r="M2425" s="37" t="str">
        <f aca="false">IF(INDEX($A2425:$J2425,$M$6)="","",INDEX($A2425:$J2425,$M$6)&amp;"")</f>
        <v/>
      </c>
      <c r="N2425" s="37" t="str">
        <f aca="false">IF($M2425="","",TRIM(INDEX($A2425:$J2425,$N$6)&amp;""))</f>
        <v/>
      </c>
      <c r="O2425" s="37" t="str">
        <f aca="false">IF($M2425="","",TRIM(INDEX($A2425:$J2425,$O$6)&amp;""))</f>
        <v/>
      </c>
      <c r="P2425" s="37" t="str">
        <f aca="false">IF($M2425="","",IFERROR(IF(INDEX(Settings!$B$41:$B$50,MATCH(O2425,Settings!$A$41:$A$50,0))&amp;""="","UNMAPPED",INDEX(Settings!$B$41:$B$50,MATCH(O2425,Settings!$A$41:$A$50,0))&amp;""),"UNMAPPED"))</f>
        <v/>
      </c>
      <c r="Q2425" s="38" t="n">
        <f aca="false">IF($M2425="",0,N(INDEX($A2425:$J2425,$Q$6)))</f>
        <v>0</v>
      </c>
      <c r="R2425" s="39" t="str">
        <f aca="false">IF($M2425="","",INDEX($A2425:$J2425,$R$6))</f>
        <v/>
      </c>
      <c r="S2425" s="37" t="str">
        <f aca="false">IF($M2425="","",IFERROR(INDEX(Settings!$B$27:$B$36,MATCH(L2425,Settings!$A$27:$A$36,0))&amp;"","UNMAPPED"))</f>
        <v/>
      </c>
      <c r="T2425" s="37" t="str">
        <f aca="false">IF($M2425="","",IF(NOT(ISNUMBER(R2425)),"NO DATE",IF(S2425="Won",IF(R2425&gt;Settings!$B$5,"Backlog","Delivered"),IF(S2425="Open",IF(R2425&gt;Settings!$B$5,"Pipeline","Overdue"),IF(S2425="Lost","Lost","UNMAPPED")))))</f>
        <v/>
      </c>
      <c r="U2425" s="40" t="n">
        <f aca="false">IF(T2425="Backlog",1,IF(OR(T2425="Pipeline",T2425="Overdue"),N(INDEX(Settings!$C$27:$C$36,MATCH(L2425,Settings!$A$27:$A$36,0))),0))</f>
        <v>0</v>
      </c>
      <c r="V2425" s="38" t="n">
        <f aca="false">Q2425*U2425</f>
        <v>0</v>
      </c>
      <c r="W2425" s="41" t="str">
        <f aca="false">IF($M2425="","",IF(T2425="Overdue",IF(Settings!$B$8="Yes",Settings!$B$7,""),IF(ISNUMBER(R2425),DATE(YEAR(R2425),MONTH(R2425),1),"")))</f>
        <v/>
      </c>
      <c r="X2425" s="38" t="n">
        <f aca="false">IF(AND(OR(T2425="Backlog",T2425="Pipeline",T2425="Overdue"),ISNUMBER(W2425)),IF(W2425&lt;=Settings!$B$6,V2425,0),0)</f>
        <v>0</v>
      </c>
      <c r="Y2425" s="38" t="n">
        <f aca="false">IF(AND(OR(T2425="Backlog",T2425="Pipeline",T2425="Overdue"),ISNUMBER(W2425)),IF(W2425&lt;=Settings!$B$6,Q2425,0),0)</f>
        <v>0</v>
      </c>
      <c r="Z2425" s="38" t="n">
        <f aca="false">IF(Y2425=0,0,IF(T2425="Backlog",Q2425,Q2425*Dashboard!$C$10))</f>
        <v>0</v>
      </c>
      <c r="AA2425" s="37" t="n">
        <f aca="false">IF($N2425="",0,IF(COUNTIF(Dashboard!$C$13:$C$22,$N2425)&gt;0,1,0))</f>
        <v>0</v>
      </c>
      <c r="AB2425" s="37" t="str">
        <f aca="false">IF($N2425="","",IF(COUNTIF($N$8:$N2425,$N2425)=1,MAX($AB$7:$AB2424)+1,""))</f>
        <v/>
      </c>
    </row>
    <row r="2426" customFormat="false" ht="15" hidden="false" customHeight="false" outlineLevel="0" collapsed="false">
      <c r="L2426" s="37" t="str">
        <f aca="false">IF(INDEX($A2426:$J2426,$L$6)&lt;&gt;"",TRIM(LEFT(INDEX($A2426:$J2426,$L$6),FIND("(",INDEX($A2426:$J2426,$L$6)&amp;"(")-1)),L2425)</f>
        <v>Building Value Proposition</v>
      </c>
      <c r="M2426" s="37" t="str">
        <f aca="false">IF(INDEX($A2426:$J2426,$M$6)="","",INDEX($A2426:$J2426,$M$6)&amp;"")</f>
        <v/>
      </c>
      <c r="N2426" s="37" t="str">
        <f aca="false">IF($M2426="","",TRIM(INDEX($A2426:$J2426,$N$6)&amp;""))</f>
        <v/>
      </c>
      <c r="O2426" s="37" t="str">
        <f aca="false">IF($M2426="","",TRIM(INDEX($A2426:$J2426,$O$6)&amp;""))</f>
        <v/>
      </c>
      <c r="P2426" s="37" t="str">
        <f aca="false">IF($M2426="","",IFERROR(IF(INDEX(Settings!$B$41:$B$50,MATCH(O2426,Settings!$A$41:$A$50,0))&amp;""="","UNMAPPED",INDEX(Settings!$B$41:$B$50,MATCH(O2426,Settings!$A$41:$A$50,0))&amp;""),"UNMAPPED"))</f>
        <v/>
      </c>
      <c r="Q2426" s="38" t="n">
        <f aca="false">IF($M2426="",0,N(INDEX($A2426:$J2426,$Q$6)))</f>
        <v>0</v>
      </c>
      <c r="R2426" s="39" t="str">
        <f aca="false">IF($M2426="","",INDEX($A2426:$J2426,$R$6))</f>
        <v/>
      </c>
      <c r="S2426" s="37" t="str">
        <f aca="false">IF($M2426="","",IFERROR(INDEX(Settings!$B$27:$B$36,MATCH(L2426,Settings!$A$27:$A$36,0))&amp;"","UNMAPPED"))</f>
        <v/>
      </c>
      <c r="T2426" s="37" t="str">
        <f aca="false">IF($M2426="","",IF(NOT(ISNUMBER(R2426)),"NO DATE",IF(S2426="Won",IF(R2426&gt;Settings!$B$5,"Backlog","Delivered"),IF(S2426="Open",IF(R2426&gt;Settings!$B$5,"Pipeline","Overdue"),IF(S2426="Lost","Lost","UNMAPPED")))))</f>
        <v/>
      </c>
      <c r="U2426" s="40" t="n">
        <f aca="false">IF(T2426="Backlog",1,IF(OR(T2426="Pipeline",T2426="Overdue"),N(INDEX(Settings!$C$27:$C$36,MATCH(L2426,Settings!$A$27:$A$36,0))),0))</f>
        <v>0</v>
      </c>
      <c r="V2426" s="38" t="n">
        <f aca="false">Q2426*U2426</f>
        <v>0</v>
      </c>
      <c r="W2426" s="41" t="str">
        <f aca="false">IF($M2426="","",IF(T2426="Overdue",IF(Settings!$B$8="Yes",Settings!$B$7,""),IF(ISNUMBER(R2426),DATE(YEAR(R2426),MONTH(R2426),1),"")))</f>
        <v/>
      </c>
      <c r="X2426" s="38" t="n">
        <f aca="false">IF(AND(OR(T2426="Backlog",T2426="Pipeline",T2426="Overdue"),ISNUMBER(W2426)),IF(W2426&lt;=Settings!$B$6,V2426,0),0)</f>
        <v>0</v>
      </c>
      <c r="Y2426" s="38" t="n">
        <f aca="false">IF(AND(OR(T2426="Backlog",T2426="Pipeline",T2426="Overdue"),ISNUMBER(W2426)),IF(W2426&lt;=Settings!$B$6,Q2426,0),0)</f>
        <v>0</v>
      </c>
      <c r="Z2426" s="38" t="n">
        <f aca="false">IF(Y2426=0,0,IF(T2426="Backlog",Q2426,Q2426*Dashboard!$C$10))</f>
        <v>0</v>
      </c>
      <c r="AA2426" s="37" t="n">
        <f aca="false">IF($N2426="",0,IF(COUNTIF(Dashboard!$C$13:$C$22,$N2426)&gt;0,1,0))</f>
        <v>0</v>
      </c>
      <c r="AB2426" s="37" t="str">
        <f aca="false">IF($N2426="","",IF(COUNTIF($N$8:$N2426,$N2426)=1,MAX($AB$7:$AB2425)+1,""))</f>
        <v/>
      </c>
    </row>
    <row r="2427" customFormat="false" ht="15" hidden="false" customHeight="false" outlineLevel="0" collapsed="false">
      <c r="L2427" s="37" t="str">
        <f aca="false">IF(INDEX($A2427:$J2427,$L$6)&lt;&gt;"",TRIM(LEFT(INDEX($A2427:$J2427,$L$6),FIND("(",INDEX($A2427:$J2427,$L$6)&amp;"(")-1)),L2426)</f>
        <v>Building Value Proposition</v>
      </c>
      <c r="M2427" s="37" t="str">
        <f aca="false">IF(INDEX($A2427:$J2427,$M$6)="","",INDEX($A2427:$J2427,$M$6)&amp;"")</f>
        <v/>
      </c>
      <c r="N2427" s="37" t="str">
        <f aca="false">IF($M2427="","",TRIM(INDEX($A2427:$J2427,$N$6)&amp;""))</f>
        <v/>
      </c>
      <c r="O2427" s="37" t="str">
        <f aca="false">IF($M2427="","",TRIM(INDEX($A2427:$J2427,$O$6)&amp;""))</f>
        <v/>
      </c>
      <c r="P2427" s="37" t="str">
        <f aca="false">IF($M2427="","",IFERROR(IF(INDEX(Settings!$B$41:$B$50,MATCH(O2427,Settings!$A$41:$A$50,0))&amp;""="","UNMAPPED",INDEX(Settings!$B$41:$B$50,MATCH(O2427,Settings!$A$41:$A$50,0))&amp;""),"UNMAPPED"))</f>
        <v/>
      </c>
      <c r="Q2427" s="38" t="n">
        <f aca="false">IF($M2427="",0,N(INDEX($A2427:$J2427,$Q$6)))</f>
        <v>0</v>
      </c>
      <c r="R2427" s="39" t="str">
        <f aca="false">IF($M2427="","",INDEX($A2427:$J2427,$R$6))</f>
        <v/>
      </c>
      <c r="S2427" s="37" t="str">
        <f aca="false">IF($M2427="","",IFERROR(INDEX(Settings!$B$27:$B$36,MATCH(L2427,Settings!$A$27:$A$36,0))&amp;"","UNMAPPED"))</f>
        <v/>
      </c>
      <c r="T2427" s="37" t="str">
        <f aca="false">IF($M2427="","",IF(NOT(ISNUMBER(R2427)),"NO DATE",IF(S2427="Won",IF(R2427&gt;Settings!$B$5,"Backlog","Delivered"),IF(S2427="Open",IF(R2427&gt;Settings!$B$5,"Pipeline","Overdue"),IF(S2427="Lost","Lost","UNMAPPED")))))</f>
        <v/>
      </c>
      <c r="U2427" s="40" t="n">
        <f aca="false">IF(T2427="Backlog",1,IF(OR(T2427="Pipeline",T2427="Overdue"),N(INDEX(Settings!$C$27:$C$36,MATCH(L2427,Settings!$A$27:$A$36,0))),0))</f>
        <v>0</v>
      </c>
      <c r="V2427" s="38" t="n">
        <f aca="false">Q2427*U2427</f>
        <v>0</v>
      </c>
      <c r="W2427" s="41" t="str">
        <f aca="false">IF($M2427="","",IF(T2427="Overdue",IF(Settings!$B$8="Yes",Settings!$B$7,""),IF(ISNUMBER(R2427),DATE(YEAR(R2427),MONTH(R2427),1),"")))</f>
        <v/>
      </c>
      <c r="X2427" s="38" t="n">
        <f aca="false">IF(AND(OR(T2427="Backlog",T2427="Pipeline",T2427="Overdue"),ISNUMBER(W2427)),IF(W2427&lt;=Settings!$B$6,V2427,0),0)</f>
        <v>0</v>
      </c>
      <c r="Y2427" s="38" t="n">
        <f aca="false">IF(AND(OR(T2427="Backlog",T2427="Pipeline",T2427="Overdue"),ISNUMBER(W2427)),IF(W2427&lt;=Settings!$B$6,Q2427,0),0)</f>
        <v>0</v>
      </c>
      <c r="Z2427" s="38" t="n">
        <f aca="false">IF(Y2427=0,0,IF(T2427="Backlog",Q2427,Q2427*Dashboard!$C$10))</f>
        <v>0</v>
      </c>
      <c r="AA2427" s="37" t="n">
        <f aca="false">IF($N2427="",0,IF(COUNTIF(Dashboard!$C$13:$C$22,$N2427)&gt;0,1,0))</f>
        <v>0</v>
      </c>
      <c r="AB2427" s="37" t="str">
        <f aca="false">IF($N2427="","",IF(COUNTIF($N$8:$N2427,$N2427)=1,MAX($AB$7:$AB2426)+1,""))</f>
        <v/>
      </c>
    </row>
    <row r="2428" customFormat="false" ht="15" hidden="false" customHeight="false" outlineLevel="0" collapsed="false">
      <c r="L2428" s="37" t="str">
        <f aca="false">IF(INDEX($A2428:$J2428,$L$6)&lt;&gt;"",TRIM(LEFT(INDEX($A2428:$J2428,$L$6),FIND("(",INDEX($A2428:$J2428,$L$6)&amp;"(")-1)),L2427)</f>
        <v>Building Value Proposition</v>
      </c>
      <c r="M2428" s="37" t="str">
        <f aca="false">IF(INDEX($A2428:$J2428,$M$6)="","",INDEX($A2428:$J2428,$M$6)&amp;"")</f>
        <v/>
      </c>
      <c r="N2428" s="37" t="str">
        <f aca="false">IF($M2428="","",TRIM(INDEX($A2428:$J2428,$N$6)&amp;""))</f>
        <v/>
      </c>
      <c r="O2428" s="37" t="str">
        <f aca="false">IF($M2428="","",TRIM(INDEX($A2428:$J2428,$O$6)&amp;""))</f>
        <v/>
      </c>
      <c r="P2428" s="37" t="str">
        <f aca="false">IF($M2428="","",IFERROR(IF(INDEX(Settings!$B$41:$B$50,MATCH(O2428,Settings!$A$41:$A$50,0))&amp;""="","UNMAPPED",INDEX(Settings!$B$41:$B$50,MATCH(O2428,Settings!$A$41:$A$50,0))&amp;""),"UNMAPPED"))</f>
        <v/>
      </c>
      <c r="Q2428" s="38" t="n">
        <f aca="false">IF($M2428="",0,N(INDEX($A2428:$J2428,$Q$6)))</f>
        <v>0</v>
      </c>
      <c r="R2428" s="39" t="str">
        <f aca="false">IF($M2428="","",INDEX($A2428:$J2428,$R$6))</f>
        <v/>
      </c>
      <c r="S2428" s="37" t="str">
        <f aca="false">IF($M2428="","",IFERROR(INDEX(Settings!$B$27:$B$36,MATCH(L2428,Settings!$A$27:$A$36,0))&amp;"","UNMAPPED"))</f>
        <v/>
      </c>
      <c r="T2428" s="37" t="str">
        <f aca="false">IF($M2428="","",IF(NOT(ISNUMBER(R2428)),"NO DATE",IF(S2428="Won",IF(R2428&gt;Settings!$B$5,"Backlog","Delivered"),IF(S2428="Open",IF(R2428&gt;Settings!$B$5,"Pipeline","Overdue"),IF(S2428="Lost","Lost","UNMAPPED")))))</f>
        <v/>
      </c>
      <c r="U2428" s="40" t="n">
        <f aca="false">IF(T2428="Backlog",1,IF(OR(T2428="Pipeline",T2428="Overdue"),N(INDEX(Settings!$C$27:$C$36,MATCH(L2428,Settings!$A$27:$A$36,0))),0))</f>
        <v>0</v>
      </c>
      <c r="V2428" s="38" t="n">
        <f aca="false">Q2428*U2428</f>
        <v>0</v>
      </c>
      <c r="W2428" s="41" t="str">
        <f aca="false">IF($M2428="","",IF(T2428="Overdue",IF(Settings!$B$8="Yes",Settings!$B$7,""),IF(ISNUMBER(R2428),DATE(YEAR(R2428),MONTH(R2428),1),"")))</f>
        <v/>
      </c>
      <c r="X2428" s="38" t="n">
        <f aca="false">IF(AND(OR(T2428="Backlog",T2428="Pipeline",T2428="Overdue"),ISNUMBER(W2428)),IF(W2428&lt;=Settings!$B$6,V2428,0),0)</f>
        <v>0</v>
      </c>
      <c r="Y2428" s="38" t="n">
        <f aca="false">IF(AND(OR(T2428="Backlog",T2428="Pipeline",T2428="Overdue"),ISNUMBER(W2428)),IF(W2428&lt;=Settings!$B$6,Q2428,0),0)</f>
        <v>0</v>
      </c>
      <c r="Z2428" s="38" t="n">
        <f aca="false">IF(Y2428=0,0,IF(T2428="Backlog",Q2428,Q2428*Dashboard!$C$10))</f>
        <v>0</v>
      </c>
      <c r="AA2428" s="37" t="n">
        <f aca="false">IF($N2428="",0,IF(COUNTIF(Dashboard!$C$13:$C$22,$N2428)&gt;0,1,0))</f>
        <v>0</v>
      </c>
      <c r="AB2428" s="37" t="str">
        <f aca="false">IF($N2428="","",IF(COUNTIF($N$8:$N2428,$N2428)=1,MAX($AB$7:$AB2427)+1,""))</f>
        <v/>
      </c>
    </row>
    <row r="2429" customFormat="false" ht="15" hidden="false" customHeight="false" outlineLevel="0" collapsed="false">
      <c r="L2429" s="37" t="str">
        <f aca="false">IF(INDEX($A2429:$J2429,$L$6)&lt;&gt;"",TRIM(LEFT(INDEX($A2429:$J2429,$L$6),FIND("(",INDEX($A2429:$J2429,$L$6)&amp;"(")-1)),L2428)</f>
        <v>Building Value Proposition</v>
      </c>
      <c r="M2429" s="37" t="str">
        <f aca="false">IF(INDEX($A2429:$J2429,$M$6)="","",INDEX($A2429:$J2429,$M$6)&amp;"")</f>
        <v/>
      </c>
      <c r="N2429" s="37" t="str">
        <f aca="false">IF($M2429="","",TRIM(INDEX($A2429:$J2429,$N$6)&amp;""))</f>
        <v/>
      </c>
      <c r="O2429" s="37" t="str">
        <f aca="false">IF($M2429="","",TRIM(INDEX($A2429:$J2429,$O$6)&amp;""))</f>
        <v/>
      </c>
      <c r="P2429" s="37" t="str">
        <f aca="false">IF($M2429="","",IFERROR(IF(INDEX(Settings!$B$41:$B$50,MATCH(O2429,Settings!$A$41:$A$50,0))&amp;""="","UNMAPPED",INDEX(Settings!$B$41:$B$50,MATCH(O2429,Settings!$A$41:$A$50,0))&amp;""),"UNMAPPED"))</f>
        <v/>
      </c>
      <c r="Q2429" s="38" t="n">
        <f aca="false">IF($M2429="",0,N(INDEX($A2429:$J2429,$Q$6)))</f>
        <v>0</v>
      </c>
      <c r="R2429" s="39" t="str">
        <f aca="false">IF($M2429="","",INDEX($A2429:$J2429,$R$6))</f>
        <v/>
      </c>
      <c r="S2429" s="37" t="str">
        <f aca="false">IF($M2429="","",IFERROR(INDEX(Settings!$B$27:$B$36,MATCH(L2429,Settings!$A$27:$A$36,0))&amp;"","UNMAPPED"))</f>
        <v/>
      </c>
      <c r="T2429" s="37" t="str">
        <f aca="false">IF($M2429="","",IF(NOT(ISNUMBER(R2429)),"NO DATE",IF(S2429="Won",IF(R2429&gt;Settings!$B$5,"Backlog","Delivered"),IF(S2429="Open",IF(R2429&gt;Settings!$B$5,"Pipeline","Overdue"),IF(S2429="Lost","Lost","UNMAPPED")))))</f>
        <v/>
      </c>
      <c r="U2429" s="40" t="n">
        <f aca="false">IF(T2429="Backlog",1,IF(OR(T2429="Pipeline",T2429="Overdue"),N(INDEX(Settings!$C$27:$C$36,MATCH(L2429,Settings!$A$27:$A$36,0))),0))</f>
        <v>0</v>
      </c>
      <c r="V2429" s="38" t="n">
        <f aca="false">Q2429*U2429</f>
        <v>0</v>
      </c>
      <c r="W2429" s="41" t="str">
        <f aca="false">IF($M2429="","",IF(T2429="Overdue",IF(Settings!$B$8="Yes",Settings!$B$7,""),IF(ISNUMBER(R2429),DATE(YEAR(R2429),MONTH(R2429),1),"")))</f>
        <v/>
      </c>
      <c r="X2429" s="38" t="n">
        <f aca="false">IF(AND(OR(T2429="Backlog",T2429="Pipeline",T2429="Overdue"),ISNUMBER(W2429)),IF(W2429&lt;=Settings!$B$6,V2429,0),0)</f>
        <v>0</v>
      </c>
      <c r="Y2429" s="38" t="n">
        <f aca="false">IF(AND(OR(T2429="Backlog",T2429="Pipeline",T2429="Overdue"),ISNUMBER(W2429)),IF(W2429&lt;=Settings!$B$6,Q2429,0),0)</f>
        <v>0</v>
      </c>
      <c r="Z2429" s="38" t="n">
        <f aca="false">IF(Y2429=0,0,IF(T2429="Backlog",Q2429,Q2429*Dashboard!$C$10))</f>
        <v>0</v>
      </c>
      <c r="AA2429" s="37" t="n">
        <f aca="false">IF($N2429="",0,IF(COUNTIF(Dashboard!$C$13:$C$22,$N2429)&gt;0,1,0))</f>
        <v>0</v>
      </c>
      <c r="AB2429" s="37" t="str">
        <f aca="false">IF($N2429="","",IF(COUNTIF($N$8:$N2429,$N2429)=1,MAX($AB$7:$AB2428)+1,""))</f>
        <v/>
      </c>
    </row>
    <row r="2430" customFormat="false" ht="15" hidden="false" customHeight="false" outlineLevel="0" collapsed="false">
      <c r="L2430" s="37" t="str">
        <f aca="false">IF(INDEX($A2430:$J2430,$L$6)&lt;&gt;"",TRIM(LEFT(INDEX($A2430:$J2430,$L$6),FIND("(",INDEX($A2430:$J2430,$L$6)&amp;"(")-1)),L2429)</f>
        <v>Building Value Proposition</v>
      </c>
      <c r="M2430" s="37" t="str">
        <f aca="false">IF(INDEX($A2430:$J2430,$M$6)="","",INDEX($A2430:$J2430,$M$6)&amp;"")</f>
        <v/>
      </c>
      <c r="N2430" s="37" t="str">
        <f aca="false">IF($M2430="","",TRIM(INDEX($A2430:$J2430,$N$6)&amp;""))</f>
        <v/>
      </c>
      <c r="O2430" s="37" t="str">
        <f aca="false">IF($M2430="","",TRIM(INDEX($A2430:$J2430,$O$6)&amp;""))</f>
        <v/>
      </c>
      <c r="P2430" s="37" t="str">
        <f aca="false">IF($M2430="","",IFERROR(IF(INDEX(Settings!$B$41:$B$50,MATCH(O2430,Settings!$A$41:$A$50,0))&amp;""="","UNMAPPED",INDEX(Settings!$B$41:$B$50,MATCH(O2430,Settings!$A$41:$A$50,0))&amp;""),"UNMAPPED"))</f>
        <v/>
      </c>
      <c r="Q2430" s="38" t="n">
        <f aca="false">IF($M2430="",0,N(INDEX($A2430:$J2430,$Q$6)))</f>
        <v>0</v>
      </c>
      <c r="R2430" s="39" t="str">
        <f aca="false">IF($M2430="","",INDEX($A2430:$J2430,$R$6))</f>
        <v/>
      </c>
      <c r="S2430" s="37" t="str">
        <f aca="false">IF($M2430="","",IFERROR(INDEX(Settings!$B$27:$B$36,MATCH(L2430,Settings!$A$27:$A$36,0))&amp;"","UNMAPPED"))</f>
        <v/>
      </c>
      <c r="T2430" s="37" t="str">
        <f aca="false">IF($M2430="","",IF(NOT(ISNUMBER(R2430)),"NO DATE",IF(S2430="Won",IF(R2430&gt;Settings!$B$5,"Backlog","Delivered"),IF(S2430="Open",IF(R2430&gt;Settings!$B$5,"Pipeline","Overdue"),IF(S2430="Lost","Lost","UNMAPPED")))))</f>
        <v/>
      </c>
      <c r="U2430" s="40" t="n">
        <f aca="false">IF(T2430="Backlog",1,IF(OR(T2430="Pipeline",T2430="Overdue"),N(INDEX(Settings!$C$27:$C$36,MATCH(L2430,Settings!$A$27:$A$36,0))),0))</f>
        <v>0</v>
      </c>
      <c r="V2430" s="38" t="n">
        <f aca="false">Q2430*U2430</f>
        <v>0</v>
      </c>
      <c r="W2430" s="41" t="str">
        <f aca="false">IF($M2430="","",IF(T2430="Overdue",IF(Settings!$B$8="Yes",Settings!$B$7,""),IF(ISNUMBER(R2430),DATE(YEAR(R2430),MONTH(R2430),1),"")))</f>
        <v/>
      </c>
      <c r="X2430" s="38" t="n">
        <f aca="false">IF(AND(OR(T2430="Backlog",T2430="Pipeline",T2430="Overdue"),ISNUMBER(W2430)),IF(W2430&lt;=Settings!$B$6,V2430,0),0)</f>
        <v>0</v>
      </c>
      <c r="Y2430" s="38" t="n">
        <f aca="false">IF(AND(OR(T2430="Backlog",T2430="Pipeline",T2430="Overdue"),ISNUMBER(W2430)),IF(W2430&lt;=Settings!$B$6,Q2430,0),0)</f>
        <v>0</v>
      </c>
      <c r="Z2430" s="38" t="n">
        <f aca="false">IF(Y2430=0,0,IF(T2430="Backlog",Q2430,Q2430*Dashboard!$C$10))</f>
        <v>0</v>
      </c>
      <c r="AA2430" s="37" t="n">
        <f aca="false">IF($N2430="",0,IF(COUNTIF(Dashboard!$C$13:$C$22,$N2430)&gt;0,1,0))</f>
        <v>0</v>
      </c>
      <c r="AB2430" s="37" t="str">
        <f aca="false">IF($N2430="","",IF(COUNTIF($N$8:$N2430,$N2430)=1,MAX($AB$7:$AB2429)+1,""))</f>
        <v/>
      </c>
    </row>
    <row r="2431" customFormat="false" ht="15" hidden="false" customHeight="false" outlineLevel="0" collapsed="false">
      <c r="L2431" s="37" t="str">
        <f aca="false">IF(INDEX($A2431:$J2431,$L$6)&lt;&gt;"",TRIM(LEFT(INDEX($A2431:$J2431,$L$6),FIND("(",INDEX($A2431:$J2431,$L$6)&amp;"(")-1)),L2430)</f>
        <v>Building Value Proposition</v>
      </c>
      <c r="M2431" s="37" t="str">
        <f aca="false">IF(INDEX($A2431:$J2431,$M$6)="","",INDEX($A2431:$J2431,$M$6)&amp;"")</f>
        <v/>
      </c>
      <c r="N2431" s="37" t="str">
        <f aca="false">IF($M2431="","",TRIM(INDEX($A2431:$J2431,$N$6)&amp;""))</f>
        <v/>
      </c>
      <c r="O2431" s="37" t="str">
        <f aca="false">IF($M2431="","",TRIM(INDEX($A2431:$J2431,$O$6)&amp;""))</f>
        <v/>
      </c>
      <c r="P2431" s="37" t="str">
        <f aca="false">IF($M2431="","",IFERROR(IF(INDEX(Settings!$B$41:$B$50,MATCH(O2431,Settings!$A$41:$A$50,0))&amp;""="","UNMAPPED",INDEX(Settings!$B$41:$B$50,MATCH(O2431,Settings!$A$41:$A$50,0))&amp;""),"UNMAPPED"))</f>
        <v/>
      </c>
      <c r="Q2431" s="38" t="n">
        <f aca="false">IF($M2431="",0,N(INDEX($A2431:$J2431,$Q$6)))</f>
        <v>0</v>
      </c>
      <c r="R2431" s="39" t="str">
        <f aca="false">IF($M2431="","",INDEX($A2431:$J2431,$R$6))</f>
        <v/>
      </c>
      <c r="S2431" s="37" t="str">
        <f aca="false">IF($M2431="","",IFERROR(INDEX(Settings!$B$27:$B$36,MATCH(L2431,Settings!$A$27:$A$36,0))&amp;"","UNMAPPED"))</f>
        <v/>
      </c>
      <c r="T2431" s="37" t="str">
        <f aca="false">IF($M2431="","",IF(NOT(ISNUMBER(R2431)),"NO DATE",IF(S2431="Won",IF(R2431&gt;Settings!$B$5,"Backlog","Delivered"),IF(S2431="Open",IF(R2431&gt;Settings!$B$5,"Pipeline","Overdue"),IF(S2431="Lost","Lost","UNMAPPED")))))</f>
        <v/>
      </c>
      <c r="U2431" s="40" t="n">
        <f aca="false">IF(T2431="Backlog",1,IF(OR(T2431="Pipeline",T2431="Overdue"),N(INDEX(Settings!$C$27:$C$36,MATCH(L2431,Settings!$A$27:$A$36,0))),0))</f>
        <v>0</v>
      </c>
      <c r="V2431" s="38" t="n">
        <f aca="false">Q2431*U2431</f>
        <v>0</v>
      </c>
      <c r="W2431" s="41" t="str">
        <f aca="false">IF($M2431="","",IF(T2431="Overdue",IF(Settings!$B$8="Yes",Settings!$B$7,""),IF(ISNUMBER(R2431),DATE(YEAR(R2431),MONTH(R2431),1),"")))</f>
        <v/>
      </c>
      <c r="X2431" s="38" t="n">
        <f aca="false">IF(AND(OR(T2431="Backlog",T2431="Pipeline",T2431="Overdue"),ISNUMBER(W2431)),IF(W2431&lt;=Settings!$B$6,V2431,0),0)</f>
        <v>0</v>
      </c>
      <c r="Y2431" s="38" t="n">
        <f aca="false">IF(AND(OR(T2431="Backlog",T2431="Pipeline",T2431="Overdue"),ISNUMBER(W2431)),IF(W2431&lt;=Settings!$B$6,Q2431,0),0)</f>
        <v>0</v>
      </c>
      <c r="Z2431" s="38" t="n">
        <f aca="false">IF(Y2431=0,0,IF(T2431="Backlog",Q2431,Q2431*Dashboard!$C$10))</f>
        <v>0</v>
      </c>
      <c r="AA2431" s="37" t="n">
        <f aca="false">IF($N2431="",0,IF(COUNTIF(Dashboard!$C$13:$C$22,$N2431)&gt;0,1,0))</f>
        <v>0</v>
      </c>
      <c r="AB2431" s="37" t="str">
        <f aca="false">IF($N2431="","",IF(COUNTIF($N$8:$N2431,$N2431)=1,MAX($AB$7:$AB2430)+1,""))</f>
        <v/>
      </c>
    </row>
    <row r="2432" customFormat="false" ht="15" hidden="false" customHeight="false" outlineLevel="0" collapsed="false">
      <c r="L2432" s="37" t="str">
        <f aca="false">IF(INDEX($A2432:$J2432,$L$6)&lt;&gt;"",TRIM(LEFT(INDEX($A2432:$J2432,$L$6),FIND("(",INDEX($A2432:$J2432,$L$6)&amp;"(")-1)),L2431)</f>
        <v>Building Value Proposition</v>
      </c>
      <c r="M2432" s="37" t="str">
        <f aca="false">IF(INDEX($A2432:$J2432,$M$6)="","",INDEX($A2432:$J2432,$M$6)&amp;"")</f>
        <v/>
      </c>
      <c r="N2432" s="37" t="str">
        <f aca="false">IF($M2432="","",TRIM(INDEX($A2432:$J2432,$N$6)&amp;""))</f>
        <v/>
      </c>
      <c r="O2432" s="37" t="str">
        <f aca="false">IF($M2432="","",TRIM(INDEX($A2432:$J2432,$O$6)&amp;""))</f>
        <v/>
      </c>
      <c r="P2432" s="37" t="str">
        <f aca="false">IF($M2432="","",IFERROR(IF(INDEX(Settings!$B$41:$B$50,MATCH(O2432,Settings!$A$41:$A$50,0))&amp;""="","UNMAPPED",INDEX(Settings!$B$41:$B$50,MATCH(O2432,Settings!$A$41:$A$50,0))&amp;""),"UNMAPPED"))</f>
        <v/>
      </c>
      <c r="Q2432" s="38" t="n">
        <f aca="false">IF($M2432="",0,N(INDEX($A2432:$J2432,$Q$6)))</f>
        <v>0</v>
      </c>
      <c r="R2432" s="39" t="str">
        <f aca="false">IF($M2432="","",INDEX($A2432:$J2432,$R$6))</f>
        <v/>
      </c>
      <c r="S2432" s="37" t="str">
        <f aca="false">IF($M2432="","",IFERROR(INDEX(Settings!$B$27:$B$36,MATCH(L2432,Settings!$A$27:$A$36,0))&amp;"","UNMAPPED"))</f>
        <v/>
      </c>
      <c r="T2432" s="37" t="str">
        <f aca="false">IF($M2432="","",IF(NOT(ISNUMBER(R2432)),"NO DATE",IF(S2432="Won",IF(R2432&gt;Settings!$B$5,"Backlog","Delivered"),IF(S2432="Open",IF(R2432&gt;Settings!$B$5,"Pipeline","Overdue"),IF(S2432="Lost","Lost","UNMAPPED")))))</f>
        <v/>
      </c>
      <c r="U2432" s="40" t="n">
        <f aca="false">IF(T2432="Backlog",1,IF(OR(T2432="Pipeline",T2432="Overdue"),N(INDEX(Settings!$C$27:$C$36,MATCH(L2432,Settings!$A$27:$A$36,0))),0))</f>
        <v>0</v>
      </c>
      <c r="V2432" s="38" t="n">
        <f aca="false">Q2432*U2432</f>
        <v>0</v>
      </c>
      <c r="W2432" s="41" t="str">
        <f aca="false">IF($M2432="","",IF(T2432="Overdue",IF(Settings!$B$8="Yes",Settings!$B$7,""),IF(ISNUMBER(R2432),DATE(YEAR(R2432),MONTH(R2432),1),"")))</f>
        <v/>
      </c>
      <c r="X2432" s="38" t="n">
        <f aca="false">IF(AND(OR(T2432="Backlog",T2432="Pipeline",T2432="Overdue"),ISNUMBER(W2432)),IF(W2432&lt;=Settings!$B$6,V2432,0),0)</f>
        <v>0</v>
      </c>
      <c r="Y2432" s="38" t="n">
        <f aca="false">IF(AND(OR(T2432="Backlog",T2432="Pipeline",T2432="Overdue"),ISNUMBER(W2432)),IF(W2432&lt;=Settings!$B$6,Q2432,0),0)</f>
        <v>0</v>
      </c>
      <c r="Z2432" s="38" t="n">
        <f aca="false">IF(Y2432=0,0,IF(T2432="Backlog",Q2432,Q2432*Dashboard!$C$10))</f>
        <v>0</v>
      </c>
      <c r="AA2432" s="37" t="n">
        <f aca="false">IF($N2432="",0,IF(COUNTIF(Dashboard!$C$13:$C$22,$N2432)&gt;0,1,0))</f>
        <v>0</v>
      </c>
      <c r="AB2432" s="37" t="str">
        <f aca="false">IF($N2432="","",IF(COUNTIF($N$8:$N2432,$N2432)=1,MAX($AB$7:$AB2431)+1,""))</f>
        <v/>
      </c>
    </row>
    <row r="2433" customFormat="false" ht="15" hidden="false" customHeight="false" outlineLevel="0" collapsed="false">
      <c r="L2433" s="37" t="str">
        <f aca="false">IF(INDEX($A2433:$J2433,$L$6)&lt;&gt;"",TRIM(LEFT(INDEX($A2433:$J2433,$L$6),FIND("(",INDEX($A2433:$J2433,$L$6)&amp;"(")-1)),L2432)</f>
        <v>Building Value Proposition</v>
      </c>
      <c r="M2433" s="37" t="str">
        <f aca="false">IF(INDEX($A2433:$J2433,$M$6)="","",INDEX($A2433:$J2433,$M$6)&amp;"")</f>
        <v/>
      </c>
      <c r="N2433" s="37" t="str">
        <f aca="false">IF($M2433="","",TRIM(INDEX($A2433:$J2433,$N$6)&amp;""))</f>
        <v/>
      </c>
      <c r="O2433" s="37" t="str">
        <f aca="false">IF($M2433="","",TRIM(INDEX($A2433:$J2433,$O$6)&amp;""))</f>
        <v/>
      </c>
      <c r="P2433" s="37" t="str">
        <f aca="false">IF($M2433="","",IFERROR(IF(INDEX(Settings!$B$41:$B$50,MATCH(O2433,Settings!$A$41:$A$50,0))&amp;""="","UNMAPPED",INDEX(Settings!$B$41:$B$50,MATCH(O2433,Settings!$A$41:$A$50,0))&amp;""),"UNMAPPED"))</f>
        <v/>
      </c>
      <c r="Q2433" s="38" t="n">
        <f aca="false">IF($M2433="",0,N(INDEX($A2433:$J2433,$Q$6)))</f>
        <v>0</v>
      </c>
      <c r="R2433" s="39" t="str">
        <f aca="false">IF($M2433="","",INDEX($A2433:$J2433,$R$6))</f>
        <v/>
      </c>
      <c r="S2433" s="37" t="str">
        <f aca="false">IF($M2433="","",IFERROR(INDEX(Settings!$B$27:$B$36,MATCH(L2433,Settings!$A$27:$A$36,0))&amp;"","UNMAPPED"))</f>
        <v/>
      </c>
      <c r="T2433" s="37" t="str">
        <f aca="false">IF($M2433="","",IF(NOT(ISNUMBER(R2433)),"NO DATE",IF(S2433="Won",IF(R2433&gt;Settings!$B$5,"Backlog","Delivered"),IF(S2433="Open",IF(R2433&gt;Settings!$B$5,"Pipeline","Overdue"),IF(S2433="Lost","Lost","UNMAPPED")))))</f>
        <v/>
      </c>
      <c r="U2433" s="40" t="n">
        <f aca="false">IF(T2433="Backlog",1,IF(OR(T2433="Pipeline",T2433="Overdue"),N(INDEX(Settings!$C$27:$C$36,MATCH(L2433,Settings!$A$27:$A$36,0))),0))</f>
        <v>0</v>
      </c>
      <c r="V2433" s="38" t="n">
        <f aca="false">Q2433*U2433</f>
        <v>0</v>
      </c>
      <c r="W2433" s="41" t="str">
        <f aca="false">IF($M2433="","",IF(T2433="Overdue",IF(Settings!$B$8="Yes",Settings!$B$7,""),IF(ISNUMBER(R2433),DATE(YEAR(R2433),MONTH(R2433),1),"")))</f>
        <v/>
      </c>
      <c r="X2433" s="38" t="n">
        <f aca="false">IF(AND(OR(T2433="Backlog",T2433="Pipeline",T2433="Overdue"),ISNUMBER(W2433)),IF(W2433&lt;=Settings!$B$6,V2433,0),0)</f>
        <v>0</v>
      </c>
      <c r="Y2433" s="38" t="n">
        <f aca="false">IF(AND(OR(T2433="Backlog",T2433="Pipeline",T2433="Overdue"),ISNUMBER(W2433)),IF(W2433&lt;=Settings!$B$6,Q2433,0),0)</f>
        <v>0</v>
      </c>
      <c r="Z2433" s="38" t="n">
        <f aca="false">IF(Y2433=0,0,IF(T2433="Backlog",Q2433,Q2433*Dashboard!$C$10))</f>
        <v>0</v>
      </c>
      <c r="AA2433" s="37" t="n">
        <f aca="false">IF($N2433="",0,IF(COUNTIF(Dashboard!$C$13:$C$22,$N2433)&gt;0,1,0))</f>
        <v>0</v>
      </c>
      <c r="AB2433" s="37" t="str">
        <f aca="false">IF($N2433="","",IF(COUNTIF($N$8:$N2433,$N2433)=1,MAX($AB$7:$AB2432)+1,""))</f>
        <v/>
      </c>
    </row>
    <row r="2434" customFormat="false" ht="15" hidden="false" customHeight="false" outlineLevel="0" collapsed="false">
      <c r="L2434" s="37" t="str">
        <f aca="false">IF(INDEX($A2434:$J2434,$L$6)&lt;&gt;"",TRIM(LEFT(INDEX($A2434:$J2434,$L$6),FIND("(",INDEX($A2434:$J2434,$L$6)&amp;"(")-1)),L2433)</f>
        <v>Building Value Proposition</v>
      </c>
      <c r="M2434" s="37" t="str">
        <f aca="false">IF(INDEX($A2434:$J2434,$M$6)="","",INDEX($A2434:$J2434,$M$6)&amp;"")</f>
        <v/>
      </c>
      <c r="N2434" s="37" t="str">
        <f aca="false">IF($M2434="","",TRIM(INDEX($A2434:$J2434,$N$6)&amp;""))</f>
        <v/>
      </c>
      <c r="O2434" s="37" t="str">
        <f aca="false">IF($M2434="","",TRIM(INDEX($A2434:$J2434,$O$6)&amp;""))</f>
        <v/>
      </c>
      <c r="P2434" s="37" t="str">
        <f aca="false">IF($M2434="","",IFERROR(IF(INDEX(Settings!$B$41:$B$50,MATCH(O2434,Settings!$A$41:$A$50,0))&amp;""="","UNMAPPED",INDEX(Settings!$B$41:$B$50,MATCH(O2434,Settings!$A$41:$A$50,0))&amp;""),"UNMAPPED"))</f>
        <v/>
      </c>
      <c r="Q2434" s="38" t="n">
        <f aca="false">IF($M2434="",0,N(INDEX($A2434:$J2434,$Q$6)))</f>
        <v>0</v>
      </c>
      <c r="R2434" s="39" t="str">
        <f aca="false">IF($M2434="","",INDEX($A2434:$J2434,$R$6))</f>
        <v/>
      </c>
      <c r="S2434" s="37" t="str">
        <f aca="false">IF($M2434="","",IFERROR(INDEX(Settings!$B$27:$B$36,MATCH(L2434,Settings!$A$27:$A$36,0))&amp;"","UNMAPPED"))</f>
        <v/>
      </c>
      <c r="T2434" s="37" t="str">
        <f aca="false">IF($M2434="","",IF(NOT(ISNUMBER(R2434)),"NO DATE",IF(S2434="Won",IF(R2434&gt;Settings!$B$5,"Backlog","Delivered"),IF(S2434="Open",IF(R2434&gt;Settings!$B$5,"Pipeline","Overdue"),IF(S2434="Lost","Lost","UNMAPPED")))))</f>
        <v/>
      </c>
      <c r="U2434" s="40" t="n">
        <f aca="false">IF(T2434="Backlog",1,IF(OR(T2434="Pipeline",T2434="Overdue"),N(INDEX(Settings!$C$27:$C$36,MATCH(L2434,Settings!$A$27:$A$36,0))),0))</f>
        <v>0</v>
      </c>
      <c r="V2434" s="38" t="n">
        <f aca="false">Q2434*U2434</f>
        <v>0</v>
      </c>
      <c r="W2434" s="41" t="str">
        <f aca="false">IF($M2434="","",IF(T2434="Overdue",IF(Settings!$B$8="Yes",Settings!$B$7,""),IF(ISNUMBER(R2434),DATE(YEAR(R2434),MONTH(R2434),1),"")))</f>
        <v/>
      </c>
      <c r="X2434" s="38" t="n">
        <f aca="false">IF(AND(OR(T2434="Backlog",T2434="Pipeline",T2434="Overdue"),ISNUMBER(W2434)),IF(W2434&lt;=Settings!$B$6,V2434,0),0)</f>
        <v>0</v>
      </c>
      <c r="Y2434" s="38" t="n">
        <f aca="false">IF(AND(OR(T2434="Backlog",T2434="Pipeline",T2434="Overdue"),ISNUMBER(W2434)),IF(W2434&lt;=Settings!$B$6,Q2434,0),0)</f>
        <v>0</v>
      </c>
      <c r="Z2434" s="38" t="n">
        <f aca="false">IF(Y2434=0,0,IF(T2434="Backlog",Q2434,Q2434*Dashboard!$C$10))</f>
        <v>0</v>
      </c>
      <c r="AA2434" s="37" t="n">
        <f aca="false">IF($N2434="",0,IF(COUNTIF(Dashboard!$C$13:$C$22,$N2434)&gt;0,1,0))</f>
        <v>0</v>
      </c>
      <c r="AB2434" s="37" t="str">
        <f aca="false">IF($N2434="","",IF(COUNTIF($N$8:$N2434,$N2434)=1,MAX($AB$7:$AB2433)+1,""))</f>
        <v/>
      </c>
    </row>
    <row r="2435" customFormat="false" ht="15" hidden="false" customHeight="false" outlineLevel="0" collapsed="false">
      <c r="L2435" s="37" t="str">
        <f aca="false">IF(INDEX($A2435:$J2435,$L$6)&lt;&gt;"",TRIM(LEFT(INDEX($A2435:$J2435,$L$6),FIND("(",INDEX($A2435:$J2435,$L$6)&amp;"(")-1)),L2434)</f>
        <v>Building Value Proposition</v>
      </c>
      <c r="M2435" s="37" t="str">
        <f aca="false">IF(INDEX($A2435:$J2435,$M$6)="","",INDEX($A2435:$J2435,$M$6)&amp;"")</f>
        <v/>
      </c>
      <c r="N2435" s="37" t="str">
        <f aca="false">IF($M2435="","",TRIM(INDEX($A2435:$J2435,$N$6)&amp;""))</f>
        <v/>
      </c>
      <c r="O2435" s="37" t="str">
        <f aca="false">IF($M2435="","",TRIM(INDEX($A2435:$J2435,$O$6)&amp;""))</f>
        <v/>
      </c>
      <c r="P2435" s="37" t="str">
        <f aca="false">IF($M2435="","",IFERROR(IF(INDEX(Settings!$B$41:$B$50,MATCH(O2435,Settings!$A$41:$A$50,0))&amp;""="","UNMAPPED",INDEX(Settings!$B$41:$B$50,MATCH(O2435,Settings!$A$41:$A$50,0))&amp;""),"UNMAPPED"))</f>
        <v/>
      </c>
      <c r="Q2435" s="38" t="n">
        <f aca="false">IF($M2435="",0,N(INDEX($A2435:$J2435,$Q$6)))</f>
        <v>0</v>
      </c>
      <c r="R2435" s="39" t="str">
        <f aca="false">IF($M2435="","",INDEX($A2435:$J2435,$R$6))</f>
        <v/>
      </c>
      <c r="S2435" s="37" t="str">
        <f aca="false">IF($M2435="","",IFERROR(INDEX(Settings!$B$27:$B$36,MATCH(L2435,Settings!$A$27:$A$36,0))&amp;"","UNMAPPED"))</f>
        <v/>
      </c>
      <c r="T2435" s="37" t="str">
        <f aca="false">IF($M2435="","",IF(NOT(ISNUMBER(R2435)),"NO DATE",IF(S2435="Won",IF(R2435&gt;Settings!$B$5,"Backlog","Delivered"),IF(S2435="Open",IF(R2435&gt;Settings!$B$5,"Pipeline","Overdue"),IF(S2435="Lost","Lost","UNMAPPED")))))</f>
        <v/>
      </c>
      <c r="U2435" s="40" t="n">
        <f aca="false">IF(T2435="Backlog",1,IF(OR(T2435="Pipeline",T2435="Overdue"),N(INDEX(Settings!$C$27:$C$36,MATCH(L2435,Settings!$A$27:$A$36,0))),0))</f>
        <v>0</v>
      </c>
      <c r="V2435" s="38" t="n">
        <f aca="false">Q2435*U2435</f>
        <v>0</v>
      </c>
      <c r="W2435" s="41" t="str">
        <f aca="false">IF($M2435="","",IF(T2435="Overdue",IF(Settings!$B$8="Yes",Settings!$B$7,""),IF(ISNUMBER(R2435),DATE(YEAR(R2435),MONTH(R2435),1),"")))</f>
        <v/>
      </c>
      <c r="X2435" s="38" t="n">
        <f aca="false">IF(AND(OR(T2435="Backlog",T2435="Pipeline",T2435="Overdue"),ISNUMBER(W2435)),IF(W2435&lt;=Settings!$B$6,V2435,0),0)</f>
        <v>0</v>
      </c>
      <c r="Y2435" s="38" t="n">
        <f aca="false">IF(AND(OR(T2435="Backlog",T2435="Pipeline",T2435="Overdue"),ISNUMBER(W2435)),IF(W2435&lt;=Settings!$B$6,Q2435,0),0)</f>
        <v>0</v>
      </c>
      <c r="Z2435" s="38" t="n">
        <f aca="false">IF(Y2435=0,0,IF(T2435="Backlog",Q2435,Q2435*Dashboard!$C$10))</f>
        <v>0</v>
      </c>
      <c r="AA2435" s="37" t="n">
        <f aca="false">IF($N2435="",0,IF(COUNTIF(Dashboard!$C$13:$C$22,$N2435)&gt;0,1,0))</f>
        <v>0</v>
      </c>
      <c r="AB2435" s="37" t="str">
        <f aca="false">IF($N2435="","",IF(COUNTIF($N$8:$N2435,$N2435)=1,MAX($AB$7:$AB2434)+1,""))</f>
        <v/>
      </c>
    </row>
    <row r="2436" customFormat="false" ht="15" hidden="false" customHeight="false" outlineLevel="0" collapsed="false">
      <c r="L2436" s="37" t="str">
        <f aca="false">IF(INDEX($A2436:$J2436,$L$6)&lt;&gt;"",TRIM(LEFT(INDEX($A2436:$J2436,$L$6),FIND("(",INDEX($A2436:$J2436,$L$6)&amp;"(")-1)),L2435)</f>
        <v>Building Value Proposition</v>
      </c>
      <c r="M2436" s="37" t="str">
        <f aca="false">IF(INDEX($A2436:$J2436,$M$6)="","",INDEX($A2436:$J2436,$M$6)&amp;"")</f>
        <v/>
      </c>
      <c r="N2436" s="37" t="str">
        <f aca="false">IF($M2436="","",TRIM(INDEX($A2436:$J2436,$N$6)&amp;""))</f>
        <v/>
      </c>
      <c r="O2436" s="37" t="str">
        <f aca="false">IF($M2436="","",TRIM(INDEX($A2436:$J2436,$O$6)&amp;""))</f>
        <v/>
      </c>
      <c r="P2436" s="37" t="str">
        <f aca="false">IF($M2436="","",IFERROR(IF(INDEX(Settings!$B$41:$B$50,MATCH(O2436,Settings!$A$41:$A$50,0))&amp;""="","UNMAPPED",INDEX(Settings!$B$41:$B$50,MATCH(O2436,Settings!$A$41:$A$50,0))&amp;""),"UNMAPPED"))</f>
        <v/>
      </c>
      <c r="Q2436" s="38" t="n">
        <f aca="false">IF($M2436="",0,N(INDEX($A2436:$J2436,$Q$6)))</f>
        <v>0</v>
      </c>
      <c r="R2436" s="39" t="str">
        <f aca="false">IF($M2436="","",INDEX($A2436:$J2436,$R$6))</f>
        <v/>
      </c>
      <c r="S2436" s="37" t="str">
        <f aca="false">IF($M2436="","",IFERROR(INDEX(Settings!$B$27:$B$36,MATCH(L2436,Settings!$A$27:$A$36,0))&amp;"","UNMAPPED"))</f>
        <v/>
      </c>
      <c r="T2436" s="37" t="str">
        <f aca="false">IF($M2436="","",IF(NOT(ISNUMBER(R2436)),"NO DATE",IF(S2436="Won",IF(R2436&gt;Settings!$B$5,"Backlog","Delivered"),IF(S2436="Open",IF(R2436&gt;Settings!$B$5,"Pipeline","Overdue"),IF(S2436="Lost","Lost","UNMAPPED")))))</f>
        <v/>
      </c>
      <c r="U2436" s="40" t="n">
        <f aca="false">IF(T2436="Backlog",1,IF(OR(T2436="Pipeline",T2436="Overdue"),N(INDEX(Settings!$C$27:$C$36,MATCH(L2436,Settings!$A$27:$A$36,0))),0))</f>
        <v>0</v>
      </c>
      <c r="V2436" s="38" t="n">
        <f aca="false">Q2436*U2436</f>
        <v>0</v>
      </c>
      <c r="W2436" s="41" t="str">
        <f aca="false">IF($M2436="","",IF(T2436="Overdue",IF(Settings!$B$8="Yes",Settings!$B$7,""),IF(ISNUMBER(R2436),DATE(YEAR(R2436),MONTH(R2436),1),"")))</f>
        <v/>
      </c>
      <c r="X2436" s="38" t="n">
        <f aca="false">IF(AND(OR(T2436="Backlog",T2436="Pipeline",T2436="Overdue"),ISNUMBER(W2436)),IF(W2436&lt;=Settings!$B$6,V2436,0),0)</f>
        <v>0</v>
      </c>
      <c r="Y2436" s="38" t="n">
        <f aca="false">IF(AND(OR(T2436="Backlog",T2436="Pipeline",T2436="Overdue"),ISNUMBER(W2436)),IF(W2436&lt;=Settings!$B$6,Q2436,0),0)</f>
        <v>0</v>
      </c>
      <c r="Z2436" s="38" t="n">
        <f aca="false">IF(Y2436=0,0,IF(T2436="Backlog",Q2436,Q2436*Dashboard!$C$10))</f>
        <v>0</v>
      </c>
      <c r="AA2436" s="37" t="n">
        <f aca="false">IF($N2436="",0,IF(COUNTIF(Dashboard!$C$13:$C$22,$N2436)&gt;0,1,0))</f>
        <v>0</v>
      </c>
      <c r="AB2436" s="37" t="str">
        <f aca="false">IF($N2436="","",IF(COUNTIF($N$8:$N2436,$N2436)=1,MAX($AB$7:$AB2435)+1,""))</f>
        <v/>
      </c>
    </row>
    <row r="2437" customFormat="false" ht="15" hidden="false" customHeight="false" outlineLevel="0" collapsed="false">
      <c r="L2437" s="37" t="str">
        <f aca="false">IF(INDEX($A2437:$J2437,$L$6)&lt;&gt;"",TRIM(LEFT(INDEX($A2437:$J2437,$L$6),FIND("(",INDEX($A2437:$J2437,$L$6)&amp;"(")-1)),L2436)</f>
        <v>Building Value Proposition</v>
      </c>
      <c r="M2437" s="37" t="str">
        <f aca="false">IF(INDEX($A2437:$J2437,$M$6)="","",INDEX($A2437:$J2437,$M$6)&amp;"")</f>
        <v/>
      </c>
      <c r="N2437" s="37" t="str">
        <f aca="false">IF($M2437="","",TRIM(INDEX($A2437:$J2437,$N$6)&amp;""))</f>
        <v/>
      </c>
      <c r="O2437" s="37" t="str">
        <f aca="false">IF($M2437="","",TRIM(INDEX($A2437:$J2437,$O$6)&amp;""))</f>
        <v/>
      </c>
      <c r="P2437" s="37" t="str">
        <f aca="false">IF($M2437="","",IFERROR(IF(INDEX(Settings!$B$41:$B$50,MATCH(O2437,Settings!$A$41:$A$50,0))&amp;""="","UNMAPPED",INDEX(Settings!$B$41:$B$50,MATCH(O2437,Settings!$A$41:$A$50,0))&amp;""),"UNMAPPED"))</f>
        <v/>
      </c>
      <c r="Q2437" s="38" t="n">
        <f aca="false">IF($M2437="",0,N(INDEX($A2437:$J2437,$Q$6)))</f>
        <v>0</v>
      </c>
      <c r="R2437" s="39" t="str">
        <f aca="false">IF($M2437="","",INDEX($A2437:$J2437,$R$6))</f>
        <v/>
      </c>
      <c r="S2437" s="37" t="str">
        <f aca="false">IF($M2437="","",IFERROR(INDEX(Settings!$B$27:$B$36,MATCH(L2437,Settings!$A$27:$A$36,0))&amp;"","UNMAPPED"))</f>
        <v/>
      </c>
      <c r="T2437" s="37" t="str">
        <f aca="false">IF($M2437="","",IF(NOT(ISNUMBER(R2437)),"NO DATE",IF(S2437="Won",IF(R2437&gt;Settings!$B$5,"Backlog","Delivered"),IF(S2437="Open",IF(R2437&gt;Settings!$B$5,"Pipeline","Overdue"),IF(S2437="Lost","Lost","UNMAPPED")))))</f>
        <v/>
      </c>
      <c r="U2437" s="40" t="n">
        <f aca="false">IF(T2437="Backlog",1,IF(OR(T2437="Pipeline",T2437="Overdue"),N(INDEX(Settings!$C$27:$C$36,MATCH(L2437,Settings!$A$27:$A$36,0))),0))</f>
        <v>0</v>
      </c>
      <c r="V2437" s="38" t="n">
        <f aca="false">Q2437*U2437</f>
        <v>0</v>
      </c>
      <c r="W2437" s="41" t="str">
        <f aca="false">IF($M2437="","",IF(T2437="Overdue",IF(Settings!$B$8="Yes",Settings!$B$7,""),IF(ISNUMBER(R2437),DATE(YEAR(R2437),MONTH(R2437),1),"")))</f>
        <v/>
      </c>
      <c r="X2437" s="38" t="n">
        <f aca="false">IF(AND(OR(T2437="Backlog",T2437="Pipeline",T2437="Overdue"),ISNUMBER(W2437)),IF(W2437&lt;=Settings!$B$6,V2437,0),0)</f>
        <v>0</v>
      </c>
      <c r="Y2437" s="38" t="n">
        <f aca="false">IF(AND(OR(T2437="Backlog",T2437="Pipeline",T2437="Overdue"),ISNUMBER(W2437)),IF(W2437&lt;=Settings!$B$6,Q2437,0),0)</f>
        <v>0</v>
      </c>
      <c r="Z2437" s="38" t="n">
        <f aca="false">IF(Y2437=0,0,IF(T2437="Backlog",Q2437,Q2437*Dashboard!$C$10))</f>
        <v>0</v>
      </c>
      <c r="AA2437" s="37" t="n">
        <f aca="false">IF($N2437="",0,IF(COUNTIF(Dashboard!$C$13:$C$22,$N2437)&gt;0,1,0))</f>
        <v>0</v>
      </c>
      <c r="AB2437" s="37" t="str">
        <f aca="false">IF($N2437="","",IF(COUNTIF($N$8:$N2437,$N2437)=1,MAX($AB$7:$AB2436)+1,""))</f>
        <v/>
      </c>
    </row>
    <row r="2438" customFormat="false" ht="15" hidden="false" customHeight="false" outlineLevel="0" collapsed="false">
      <c r="L2438" s="37" t="str">
        <f aca="false">IF(INDEX($A2438:$J2438,$L$6)&lt;&gt;"",TRIM(LEFT(INDEX($A2438:$J2438,$L$6),FIND("(",INDEX($A2438:$J2438,$L$6)&amp;"(")-1)),L2437)</f>
        <v>Building Value Proposition</v>
      </c>
      <c r="M2438" s="37" t="str">
        <f aca="false">IF(INDEX($A2438:$J2438,$M$6)="","",INDEX($A2438:$J2438,$M$6)&amp;"")</f>
        <v/>
      </c>
      <c r="N2438" s="37" t="str">
        <f aca="false">IF($M2438="","",TRIM(INDEX($A2438:$J2438,$N$6)&amp;""))</f>
        <v/>
      </c>
      <c r="O2438" s="37" t="str">
        <f aca="false">IF($M2438="","",TRIM(INDEX($A2438:$J2438,$O$6)&amp;""))</f>
        <v/>
      </c>
      <c r="P2438" s="37" t="str">
        <f aca="false">IF($M2438="","",IFERROR(IF(INDEX(Settings!$B$41:$B$50,MATCH(O2438,Settings!$A$41:$A$50,0))&amp;""="","UNMAPPED",INDEX(Settings!$B$41:$B$50,MATCH(O2438,Settings!$A$41:$A$50,0))&amp;""),"UNMAPPED"))</f>
        <v/>
      </c>
      <c r="Q2438" s="38" t="n">
        <f aca="false">IF($M2438="",0,N(INDEX($A2438:$J2438,$Q$6)))</f>
        <v>0</v>
      </c>
      <c r="R2438" s="39" t="str">
        <f aca="false">IF($M2438="","",INDEX($A2438:$J2438,$R$6))</f>
        <v/>
      </c>
      <c r="S2438" s="37" t="str">
        <f aca="false">IF($M2438="","",IFERROR(INDEX(Settings!$B$27:$B$36,MATCH(L2438,Settings!$A$27:$A$36,0))&amp;"","UNMAPPED"))</f>
        <v/>
      </c>
      <c r="T2438" s="37" t="str">
        <f aca="false">IF($M2438="","",IF(NOT(ISNUMBER(R2438)),"NO DATE",IF(S2438="Won",IF(R2438&gt;Settings!$B$5,"Backlog","Delivered"),IF(S2438="Open",IF(R2438&gt;Settings!$B$5,"Pipeline","Overdue"),IF(S2438="Lost","Lost","UNMAPPED")))))</f>
        <v/>
      </c>
      <c r="U2438" s="40" t="n">
        <f aca="false">IF(T2438="Backlog",1,IF(OR(T2438="Pipeline",T2438="Overdue"),N(INDEX(Settings!$C$27:$C$36,MATCH(L2438,Settings!$A$27:$A$36,0))),0))</f>
        <v>0</v>
      </c>
      <c r="V2438" s="38" t="n">
        <f aca="false">Q2438*U2438</f>
        <v>0</v>
      </c>
      <c r="W2438" s="41" t="str">
        <f aca="false">IF($M2438="","",IF(T2438="Overdue",IF(Settings!$B$8="Yes",Settings!$B$7,""),IF(ISNUMBER(R2438),DATE(YEAR(R2438),MONTH(R2438),1),"")))</f>
        <v/>
      </c>
      <c r="X2438" s="38" t="n">
        <f aca="false">IF(AND(OR(T2438="Backlog",T2438="Pipeline",T2438="Overdue"),ISNUMBER(W2438)),IF(W2438&lt;=Settings!$B$6,V2438,0),0)</f>
        <v>0</v>
      </c>
      <c r="Y2438" s="38" t="n">
        <f aca="false">IF(AND(OR(T2438="Backlog",T2438="Pipeline",T2438="Overdue"),ISNUMBER(W2438)),IF(W2438&lt;=Settings!$B$6,Q2438,0),0)</f>
        <v>0</v>
      </c>
      <c r="Z2438" s="38" t="n">
        <f aca="false">IF(Y2438=0,0,IF(T2438="Backlog",Q2438,Q2438*Dashboard!$C$10))</f>
        <v>0</v>
      </c>
      <c r="AA2438" s="37" t="n">
        <f aca="false">IF($N2438="",0,IF(COUNTIF(Dashboard!$C$13:$C$22,$N2438)&gt;0,1,0))</f>
        <v>0</v>
      </c>
      <c r="AB2438" s="37" t="str">
        <f aca="false">IF($N2438="","",IF(COUNTIF($N$8:$N2438,$N2438)=1,MAX($AB$7:$AB2437)+1,""))</f>
        <v/>
      </c>
    </row>
    <row r="2439" customFormat="false" ht="15" hidden="false" customHeight="false" outlineLevel="0" collapsed="false">
      <c r="L2439" s="37" t="str">
        <f aca="false">IF(INDEX($A2439:$J2439,$L$6)&lt;&gt;"",TRIM(LEFT(INDEX($A2439:$J2439,$L$6),FIND("(",INDEX($A2439:$J2439,$L$6)&amp;"(")-1)),L2438)</f>
        <v>Building Value Proposition</v>
      </c>
      <c r="M2439" s="37" t="str">
        <f aca="false">IF(INDEX($A2439:$J2439,$M$6)="","",INDEX($A2439:$J2439,$M$6)&amp;"")</f>
        <v/>
      </c>
      <c r="N2439" s="37" t="str">
        <f aca="false">IF($M2439="","",TRIM(INDEX($A2439:$J2439,$N$6)&amp;""))</f>
        <v/>
      </c>
      <c r="O2439" s="37" t="str">
        <f aca="false">IF($M2439="","",TRIM(INDEX($A2439:$J2439,$O$6)&amp;""))</f>
        <v/>
      </c>
      <c r="P2439" s="37" t="str">
        <f aca="false">IF($M2439="","",IFERROR(IF(INDEX(Settings!$B$41:$B$50,MATCH(O2439,Settings!$A$41:$A$50,0))&amp;""="","UNMAPPED",INDEX(Settings!$B$41:$B$50,MATCH(O2439,Settings!$A$41:$A$50,0))&amp;""),"UNMAPPED"))</f>
        <v/>
      </c>
      <c r="Q2439" s="38" t="n">
        <f aca="false">IF($M2439="",0,N(INDEX($A2439:$J2439,$Q$6)))</f>
        <v>0</v>
      </c>
      <c r="R2439" s="39" t="str">
        <f aca="false">IF($M2439="","",INDEX($A2439:$J2439,$R$6))</f>
        <v/>
      </c>
      <c r="S2439" s="37" t="str">
        <f aca="false">IF($M2439="","",IFERROR(INDEX(Settings!$B$27:$B$36,MATCH(L2439,Settings!$A$27:$A$36,0))&amp;"","UNMAPPED"))</f>
        <v/>
      </c>
      <c r="T2439" s="37" t="str">
        <f aca="false">IF($M2439="","",IF(NOT(ISNUMBER(R2439)),"NO DATE",IF(S2439="Won",IF(R2439&gt;Settings!$B$5,"Backlog","Delivered"),IF(S2439="Open",IF(R2439&gt;Settings!$B$5,"Pipeline","Overdue"),IF(S2439="Lost","Lost","UNMAPPED")))))</f>
        <v/>
      </c>
      <c r="U2439" s="40" t="n">
        <f aca="false">IF(T2439="Backlog",1,IF(OR(T2439="Pipeline",T2439="Overdue"),N(INDEX(Settings!$C$27:$C$36,MATCH(L2439,Settings!$A$27:$A$36,0))),0))</f>
        <v>0</v>
      </c>
      <c r="V2439" s="38" t="n">
        <f aca="false">Q2439*U2439</f>
        <v>0</v>
      </c>
      <c r="W2439" s="41" t="str">
        <f aca="false">IF($M2439="","",IF(T2439="Overdue",IF(Settings!$B$8="Yes",Settings!$B$7,""),IF(ISNUMBER(R2439),DATE(YEAR(R2439),MONTH(R2439),1),"")))</f>
        <v/>
      </c>
      <c r="X2439" s="38" t="n">
        <f aca="false">IF(AND(OR(T2439="Backlog",T2439="Pipeline",T2439="Overdue"),ISNUMBER(W2439)),IF(W2439&lt;=Settings!$B$6,V2439,0),0)</f>
        <v>0</v>
      </c>
      <c r="Y2439" s="38" t="n">
        <f aca="false">IF(AND(OR(T2439="Backlog",T2439="Pipeline",T2439="Overdue"),ISNUMBER(W2439)),IF(W2439&lt;=Settings!$B$6,Q2439,0),0)</f>
        <v>0</v>
      </c>
      <c r="Z2439" s="38" t="n">
        <f aca="false">IF(Y2439=0,0,IF(T2439="Backlog",Q2439,Q2439*Dashboard!$C$10))</f>
        <v>0</v>
      </c>
      <c r="AA2439" s="37" t="n">
        <f aca="false">IF($N2439="",0,IF(COUNTIF(Dashboard!$C$13:$C$22,$N2439)&gt;0,1,0))</f>
        <v>0</v>
      </c>
      <c r="AB2439" s="37" t="str">
        <f aca="false">IF($N2439="","",IF(COUNTIF($N$8:$N2439,$N2439)=1,MAX($AB$7:$AB2438)+1,""))</f>
        <v/>
      </c>
    </row>
    <row r="2440" customFormat="false" ht="15" hidden="false" customHeight="false" outlineLevel="0" collapsed="false">
      <c r="L2440" s="37" t="str">
        <f aca="false">IF(INDEX($A2440:$J2440,$L$6)&lt;&gt;"",TRIM(LEFT(INDEX($A2440:$J2440,$L$6),FIND("(",INDEX($A2440:$J2440,$L$6)&amp;"(")-1)),L2439)</f>
        <v>Building Value Proposition</v>
      </c>
      <c r="M2440" s="37" t="str">
        <f aca="false">IF(INDEX($A2440:$J2440,$M$6)="","",INDEX($A2440:$J2440,$M$6)&amp;"")</f>
        <v/>
      </c>
      <c r="N2440" s="37" t="str">
        <f aca="false">IF($M2440="","",TRIM(INDEX($A2440:$J2440,$N$6)&amp;""))</f>
        <v/>
      </c>
      <c r="O2440" s="37" t="str">
        <f aca="false">IF($M2440="","",TRIM(INDEX($A2440:$J2440,$O$6)&amp;""))</f>
        <v/>
      </c>
      <c r="P2440" s="37" t="str">
        <f aca="false">IF($M2440="","",IFERROR(IF(INDEX(Settings!$B$41:$B$50,MATCH(O2440,Settings!$A$41:$A$50,0))&amp;""="","UNMAPPED",INDEX(Settings!$B$41:$B$50,MATCH(O2440,Settings!$A$41:$A$50,0))&amp;""),"UNMAPPED"))</f>
        <v/>
      </c>
      <c r="Q2440" s="38" t="n">
        <f aca="false">IF($M2440="",0,N(INDEX($A2440:$J2440,$Q$6)))</f>
        <v>0</v>
      </c>
      <c r="R2440" s="39" t="str">
        <f aca="false">IF($M2440="","",INDEX($A2440:$J2440,$R$6))</f>
        <v/>
      </c>
      <c r="S2440" s="37" t="str">
        <f aca="false">IF($M2440="","",IFERROR(INDEX(Settings!$B$27:$B$36,MATCH(L2440,Settings!$A$27:$A$36,0))&amp;"","UNMAPPED"))</f>
        <v/>
      </c>
      <c r="T2440" s="37" t="str">
        <f aca="false">IF($M2440="","",IF(NOT(ISNUMBER(R2440)),"NO DATE",IF(S2440="Won",IF(R2440&gt;Settings!$B$5,"Backlog","Delivered"),IF(S2440="Open",IF(R2440&gt;Settings!$B$5,"Pipeline","Overdue"),IF(S2440="Lost","Lost","UNMAPPED")))))</f>
        <v/>
      </c>
      <c r="U2440" s="40" t="n">
        <f aca="false">IF(T2440="Backlog",1,IF(OR(T2440="Pipeline",T2440="Overdue"),N(INDEX(Settings!$C$27:$C$36,MATCH(L2440,Settings!$A$27:$A$36,0))),0))</f>
        <v>0</v>
      </c>
      <c r="V2440" s="38" t="n">
        <f aca="false">Q2440*U2440</f>
        <v>0</v>
      </c>
      <c r="W2440" s="41" t="str">
        <f aca="false">IF($M2440="","",IF(T2440="Overdue",IF(Settings!$B$8="Yes",Settings!$B$7,""),IF(ISNUMBER(R2440),DATE(YEAR(R2440),MONTH(R2440),1),"")))</f>
        <v/>
      </c>
      <c r="X2440" s="38" t="n">
        <f aca="false">IF(AND(OR(T2440="Backlog",T2440="Pipeline",T2440="Overdue"),ISNUMBER(W2440)),IF(W2440&lt;=Settings!$B$6,V2440,0),0)</f>
        <v>0</v>
      </c>
      <c r="Y2440" s="38" t="n">
        <f aca="false">IF(AND(OR(T2440="Backlog",T2440="Pipeline",T2440="Overdue"),ISNUMBER(W2440)),IF(W2440&lt;=Settings!$B$6,Q2440,0),0)</f>
        <v>0</v>
      </c>
      <c r="Z2440" s="38" t="n">
        <f aca="false">IF(Y2440=0,0,IF(T2440="Backlog",Q2440,Q2440*Dashboard!$C$10))</f>
        <v>0</v>
      </c>
      <c r="AA2440" s="37" t="n">
        <f aca="false">IF($N2440="",0,IF(COUNTIF(Dashboard!$C$13:$C$22,$N2440)&gt;0,1,0))</f>
        <v>0</v>
      </c>
      <c r="AB2440" s="37" t="str">
        <f aca="false">IF($N2440="","",IF(COUNTIF($N$8:$N2440,$N2440)=1,MAX($AB$7:$AB2439)+1,""))</f>
        <v/>
      </c>
    </row>
    <row r="2441" customFormat="false" ht="15" hidden="false" customHeight="false" outlineLevel="0" collapsed="false">
      <c r="L2441" s="37" t="str">
        <f aca="false">IF(INDEX($A2441:$J2441,$L$6)&lt;&gt;"",TRIM(LEFT(INDEX($A2441:$J2441,$L$6),FIND("(",INDEX($A2441:$J2441,$L$6)&amp;"(")-1)),L2440)</f>
        <v>Building Value Proposition</v>
      </c>
      <c r="M2441" s="37" t="str">
        <f aca="false">IF(INDEX($A2441:$J2441,$M$6)="","",INDEX($A2441:$J2441,$M$6)&amp;"")</f>
        <v/>
      </c>
      <c r="N2441" s="37" t="str">
        <f aca="false">IF($M2441="","",TRIM(INDEX($A2441:$J2441,$N$6)&amp;""))</f>
        <v/>
      </c>
      <c r="O2441" s="37" t="str">
        <f aca="false">IF($M2441="","",TRIM(INDEX($A2441:$J2441,$O$6)&amp;""))</f>
        <v/>
      </c>
      <c r="P2441" s="37" t="str">
        <f aca="false">IF($M2441="","",IFERROR(IF(INDEX(Settings!$B$41:$B$50,MATCH(O2441,Settings!$A$41:$A$50,0))&amp;""="","UNMAPPED",INDEX(Settings!$B$41:$B$50,MATCH(O2441,Settings!$A$41:$A$50,0))&amp;""),"UNMAPPED"))</f>
        <v/>
      </c>
      <c r="Q2441" s="38" t="n">
        <f aca="false">IF($M2441="",0,N(INDEX($A2441:$J2441,$Q$6)))</f>
        <v>0</v>
      </c>
      <c r="R2441" s="39" t="str">
        <f aca="false">IF($M2441="","",INDEX($A2441:$J2441,$R$6))</f>
        <v/>
      </c>
      <c r="S2441" s="37" t="str">
        <f aca="false">IF($M2441="","",IFERROR(INDEX(Settings!$B$27:$B$36,MATCH(L2441,Settings!$A$27:$A$36,0))&amp;"","UNMAPPED"))</f>
        <v/>
      </c>
      <c r="T2441" s="37" t="str">
        <f aca="false">IF($M2441="","",IF(NOT(ISNUMBER(R2441)),"NO DATE",IF(S2441="Won",IF(R2441&gt;Settings!$B$5,"Backlog","Delivered"),IF(S2441="Open",IF(R2441&gt;Settings!$B$5,"Pipeline","Overdue"),IF(S2441="Lost","Lost","UNMAPPED")))))</f>
        <v/>
      </c>
      <c r="U2441" s="40" t="n">
        <f aca="false">IF(T2441="Backlog",1,IF(OR(T2441="Pipeline",T2441="Overdue"),N(INDEX(Settings!$C$27:$C$36,MATCH(L2441,Settings!$A$27:$A$36,0))),0))</f>
        <v>0</v>
      </c>
      <c r="V2441" s="38" t="n">
        <f aca="false">Q2441*U2441</f>
        <v>0</v>
      </c>
      <c r="W2441" s="41" t="str">
        <f aca="false">IF($M2441="","",IF(T2441="Overdue",IF(Settings!$B$8="Yes",Settings!$B$7,""),IF(ISNUMBER(R2441),DATE(YEAR(R2441),MONTH(R2441),1),"")))</f>
        <v/>
      </c>
      <c r="X2441" s="38" t="n">
        <f aca="false">IF(AND(OR(T2441="Backlog",T2441="Pipeline",T2441="Overdue"),ISNUMBER(W2441)),IF(W2441&lt;=Settings!$B$6,V2441,0),0)</f>
        <v>0</v>
      </c>
      <c r="Y2441" s="38" t="n">
        <f aca="false">IF(AND(OR(T2441="Backlog",T2441="Pipeline",T2441="Overdue"),ISNUMBER(W2441)),IF(W2441&lt;=Settings!$B$6,Q2441,0),0)</f>
        <v>0</v>
      </c>
      <c r="Z2441" s="38" t="n">
        <f aca="false">IF(Y2441=0,0,IF(T2441="Backlog",Q2441,Q2441*Dashboard!$C$10))</f>
        <v>0</v>
      </c>
      <c r="AA2441" s="37" t="n">
        <f aca="false">IF($N2441="",0,IF(COUNTIF(Dashboard!$C$13:$C$22,$N2441)&gt;0,1,0))</f>
        <v>0</v>
      </c>
      <c r="AB2441" s="37" t="str">
        <f aca="false">IF($N2441="","",IF(COUNTIF($N$8:$N2441,$N2441)=1,MAX($AB$7:$AB2440)+1,""))</f>
        <v/>
      </c>
    </row>
    <row r="2442" customFormat="false" ht="15" hidden="false" customHeight="false" outlineLevel="0" collapsed="false">
      <c r="L2442" s="37" t="str">
        <f aca="false">IF(INDEX($A2442:$J2442,$L$6)&lt;&gt;"",TRIM(LEFT(INDEX($A2442:$J2442,$L$6),FIND("(",INDEX($A2442:$J2442,$L$6)&amp;"(")-1)),L2441)</f>
        <v>Building Value Proposition</v>
      </c>
      <c r="M2442" s="37" t="str">
        <f aca="false">IF(INDEX($A2442:$J2442,$M$6)="","",INDEX($A2442:$J2442,$M$6)&amp;"")</f>
        <v/>
      </c>
      <c r="N2442" s="37" t="str">
        <f aca="false">IF($M2442="","",TRIM(INDEX($A2442:$J2442,$N$6)&amp;""))</f>
        <v/>
      </c>
      <c r="O2442" s="37" t="str">
        <f aca="false">IF($M2442="","",TRIM(INDEX($A2442:$J2442,$O$6)&amp;""))</f>
        <v/>
      </c>
      <c r="P2442" s="37" t="str">
        <f aca="false">IF($M2442="","",IFERROR(IF(INDEX(Settings!$B$41:$B$50,MATCH(O2442,Settings!$A$41:$A$50,0))&amp;""="","UNMAPPED",INDEX(Settings!$B$41:$B$50,MATCH(O2442,Settings!$A$41:$A$50,0))&amp;""),"UNMAPPED"))</f>
        <v/>
      </c>
      <c r="Q2442" s="38" t="n">
        <f aca="false">IF($M2442="",0,N(INDEX($A2442:$J2442,$Q$6)))</f>
        <v>0</v>
      </c>
      <c r="R2442" s="39" t="str">
        <f aca="false">IF($M2442="","",INDEX($A2442:$J2442,$R$6))</f>
        <v/>
      </c>
      <c r="S2442" s="37" t="str">
        <f aca="false">IF($M2442="","",IFERROR(INDEX(Settings!$B$27:$B$36,MATCH(L2442,Settings!$A$27:$A$36,0))&amp;"","UNMAPPED"))</f>
        <v/>
      </c>
      <c r="T2442" s="37" t="str">
        <f aca="false">IF($M2442="","",IF(NOT(ISNUMBER(R2442)),"NO DATE",IF(S2442="Won",IF(R2442&gt;Settings!$B$5,"Backlog","Delivered"),IF(S2442="Open",IF(R2442&gt;Settings!$B$5,"Pipeline","Overdue"),IF(S2442="Lost","Lost","UNMAPPED")))))</f>
        <v/>
      </c>
      <c r="U2442" s="40" t="n">
        <f aca="false">IF(T2442="Backlog",1,IF(OR(T2442="Pipeline",T2442="Overdue"),N(INDEX(Settings!$C$27:$C$36,MATCH(L2442,Settings!$A$27:$A$36,0))),0))</f>
        <v>0</v>
      </c>
      <c r="V2442" s="38" t="n">
        <f aca="false">Q2442*U2442</f>
        <v>0</v>
      </c>
      <c r="W2442" s="41" t="str">
        <f aca="false">IF($M2442="","",IF(T2442="Overdue",IF(Settings!$B$8="Yes",Settings!$B$7,""),IF(ISNUMBER(R2442),DATE(YEAR(R2442),MONTH(R2442),1),"")))</f>
        <v/>
      </c>
      <c r="X2442" s="38" t="n">
        <f aca="false">IF(AND(OR(T2442="Backlog",T2442="Pipeline",T2442="Overdue"),ISNUMBER(W2442)),IF(W2442&lt;=Settings!$B$6,V2442,0),0)</f>
        <v>0</v>
      </c>
      <c r="Y2442" s="38" t="n">
        <f aca="false">IF(AND(OR(T2442="Backlog",T2442="Pipeline",T2442="Overdue"),ISNUMBER(W2442)),IF(W2442&lt;=Settings!$B$6,Q2442,0),0)</f>
        <v>0</v>
      </c>
      <c r="Z2442" s="38" t="n">
        <f aca="false">IF(Y2442=0,0,IF(T2442="Backlog",Q2442,Q2442*Dashboard!$C$10))</f>
        <v>0</v>
      </c>
      <c r="AA2442" s="37" t="n">
        <f aca="false">IF($N2442="",0,IF(COUNTIF(Dashboard!$C$13:$C$22,$N2442)&gt;0,1,0))</f>
        <v>0</v>
      </c>
      <c r="AB2442" s="37" t="str">
        <f aca="false">IF($N2442="","",IF(COUNTIF($N$8:$N2442,$N2442)=1,MAX($AB$7:$AB2441)+1,""))</f>
        <v/>
      </c>
    </row>
    <row r="2443" customFormat="false" ht="15" hidden="false" customHeight="false" outlineLevel="0" collapsed="false">
      <c r="L2443" s="37" t="str">
        <f aca="false">IF(INDEX($A2443:$J2443,$L$6)&lt;&gt;"",TRIM(LEFT(INDEX($A2443:$J2443,$L$6),FIND("(",INDEX($A2443:$J2443,$L$6)&amp;"(")-1)),L2442)</f>
        <v>Building Value Proposition</v>
      </c>
      <c r="M2443" s="37" t="str">
        <f aca="false">IF(INDEX($A2443:$J2443,$M$6)="","",INDEX($A2443:$J2443,$M$6)&amp;"")</f>
        <v/>
      </c>
      <c r="N2443" s="37" t="str">
        <f aca="false">IF($M2443="","",TRIM(INDEX($A2443:$J2443,$N$6)&amp;""))</f>
        <v/>
      </c>
      <c r="O2443" s="37" t="str">
        <f aca="false">IF($M2443="","",TRIM(INDEX($A2443:$J2443,$O$6)&amp;""))</f>
        <v/>
      </c>
      <c r="P2443" s="37" t="str">
        <f aca="false">IF($M2443="","",IFERROR(IF(INDEX(Settings!$B$41:$B$50,MATCH(O2443,Settings!$A$41:$A$50,0))&amp;""="","UNMAPPED",INDEX(Settings!$B$41:$B$50,MATCH(O2443,Settings!$A$41:$A$50,0))&amp;""),"UNMAPPED"))</f>
        <v/>
      </c>
      <c r="Q2443" s="38" t="n">
        <f aca="false">IF($M2443="",0,N(INDEX($A2443:$J2443,$Q$6)))</f>
        <v>0</v>
      </c>
      <c r="R2443" s="39" t="str">
        <f aca="false">IF($M2443="","",INDEX($A2443:$J2443,$R$6))</f>
        <v/>
      </c>
      <c r="S2443" s="37" t="str">
        <f aca="false">IF($M2443="","",IFERROR(INDEX(Settings!$B$27:$B$36,MATCH(L2443,Settings!$A$27:$A$36,0))&amp;"","UNMAPPED"))</f>
        <v/>
      </c>
      <c r="T2443" s="37" t="str">
        <f aca="false">IF($M2443="","",IF(NOT(ISNUMBER(R2443)),"NO DATE",IF(S2443="Won",IF(R2443&gt;Settings!$B$5,"Backlog","Delivered"),IF(S2443="Open",IF(R2443&gt;Settings!$B$5,"Pipeline","Overdue"),IF(S2443="Lost","Lost","UNMAPPED")))))</f>
        <v/>
      </c>
      <c r="U2443" s="40" t="n">
        <f aca="false">IF(T2443="Backlog",1,IF(OR(T2443="Pipeline",T2443="Overdue"),N(INDEX(Settings!$C$27:$C$36,MATCH(L2443,Settings!$A$27:$A$36,0))),0))</f>
        <v>0</v>
      </c>
      <c r="V2443" s="38" t="n">
        <f aca="false">Q2443*U2443</f>
        <v>0</v>
      </c>
      <c r="W2443" s="41" t="str">
        <f aca="false">IF($M2443="","",IF(T2443="Overdue",IF(Settings!$B$8="Yes",Settings!$B$7,""),IF(ISNUMBER(R2443),DATE(YEAR(R2443),MONTH(R2443),1),"")))</f>
        <v/>
      </c>
      <c r="X2443" s="38" t="n">
        <f aca="false">IF(AND(OR(T2443="Backlog",T2443="Pipeline",T2443="Overdue"),ISNUMBER(W2443)),IF(W2443&lt;=Settings!$B$6,V2443,0),0)</f>
        <v>0</v>
      </c>
      <c r="Y2443" s="38" t="n">
        <f aca="false">IF(AND(OR(T2443="Backlog",T2443="Pipeline",T2443="Overdue"),ISNUMBER(W2443)),IF(W2443&lt;=Settings!$B$6,Q2443,0),0)</f>
        <v>0</v>
      </c>
      <c r="Z2443" s="38" t="n">
        <f aca="false">IF(Y2443=0,0,IF(T2443="Backlog",Q2443,Q2443*Dashboard!$C$10))</f>
        <v>0</v>
      </c>
      <c r="AA2443" s="37" t="n">
        <f aca="false">IF($N2443="",0,IF(COUNTIF(Dashboard!$C$13:$C$22,$N2443)&gt;0,1,0))</f>
        <v>0</v>
      </c>
      <c r="AB2443" s="37" t="str">
        <f aca="false">IF($N2443="","",IF(COUNTIF($N$8:$N2443,$N2443)=1,MAX($AB$7:$AB2442)+1,""))</f>
        <v/>
      </c>
    </row>
    <row r="2444" customFormat="false" ht="15" hidden="false" customHeight="false" outlineLevel="0" collapsed="false">
      <c r="L2444" s="37" t="str">
        <f aca="false">IF(INDEX($A2444:$J2444,$L$6)&lt;&gt;"",TRIM(LEFT(INDEX($A2444:$J2444,$L$6),FIND("(",INDEX($A2444:$J2444,$L$6)&amp;"(")-1)),L2443)</f>
        <v>Building Value Proposition</v>
      </c>
      <c r="M2444" s="37" t="str">
        <f aca="false">IF(INDEX($A2444:$J2444,$M$6)="","",INDEX($A2444:$J2444,$M$6)&amp;"")</f>
        <v/>
      </c>
      <c r="N2444" s="37" t="str">
        <f aca="false">IF($M2444="","",TRIM(INDEX($A2444:$J2444,$N$6)&amp;""))</f>
        <v/>
      </c>
      <c r="O2444" s="37" t="str">
        <f aca="false">IF($M2444="","",TRIM(INDEX($A2444:$J2444,$O$6)&amp;""))</f>
        <v/>
      </c>
      <c r="P2444" s="37" t="str">
        <f aca="false">IF($M2444="","",IFERROR(IF(INDEX(Settings!$B$41:$B$50,MATCH(O2444,Settings!$A$41:$A$50,0))&amp;""="","UNMAPPED",INDEX(Settings!$B$41:$B$50,MATCH(O2444,Settings!$A$41:$A$50,0))&amp;""),"UNMAPPED"))</f>
        <v/>
      </c>
      <c r="Q2444" s="38" t="n">
        <f aca="false">IF($M2444="",0,N(INDEX($A2444:$J2444,$Q$6)))</f>
        <v>0</v>
      </c>
      <c r="R2444" s="39" t="str">
        <f aca="false">IF($M2444="","",INDEX($A2444:$J2444,$R$6))</f>
        <v/>
      </c>
      <c r="S2444" s="37" t="str">
        <f aca="false">IF($M2444="","",IFERROR(INDEX(Settings!$B$27:$B$36,MATCH(L2444,Settings!$A$27:$A$36,0))&amp;"","UNMAPPED"))</f>
        <v/>
      </c>
      <c r="T2444" s="37" t="str">
        <f aca="false">IF($M2444="","",IF(NOT(ISNUMBER(R2444)),"NO DATE",IF(S2444="Won",IF(R2444&gt;Settings!$B$5,"Backlog","Delivered"),IF(S2444="Open",IF(R2444&gt;Settings!$B$5,"Pipeline","Overdue"),IF(S2444="Lost","Lost","UNMAPPED")))))</f>
        <v/>
      </c>
      <c r="U2444" s="40" t="n">
        <f aca="false">IF(T2444="Backlog",1,IF(OR(T2444="Pipeline",T2444="Overdue"),N(INDEX(Settings!$C$27:$C$36,MATCH(L2444,Settings!$A$27:$A$36,0))),0))</f>
        <v>0</v>
      </c>
      <c r="V2444" s="38" t="n">
        <f aca="false">Q2444*U2444</f>
        <v>0</v>
      </c>
      <c r="W2444" s="41" t="str">
        <f aca="false">IF($M2444="","",IF(T2444="Overdue",IF(Settings!$B$8="Yes",Settings!$B$7,""),IF(ISNUMBER(R2444),DATE(YEAR(R2444),MONTH(R2444),1),"")))</f>
        <v/>
      </c>
      <c r="X2444" s="38" t="n">
        <f aca="false">IF(AND(OR(T2444="Backlog",T2444="Pipeline",T2444="Overdue"),ISNUMBER(W2444)),IF(W2444&lt;=Settings!$B$6,V2444,0),0)</f>
        <v>0</v>
      </c>
      <c r="Y2444" s="38" t="n">
        <f aca="false">IF(AND(OR(T2444="Backlog",T2444="Pipeline",T2444="Overdue"),ISNUMBER(W2444)),IF(W2444&lt;=Settings!$B$6,Q2444,0),0)</f>
        <v>0</v>
      </c>
      <c r="Z2444" s="38" t="n">
        <f aca="false">IF(Y2444=0,0,IF(T2444="Backlog",Q2444,Q2444*Dashboard!$C$10))</f>
        <v>0</v>
      </c>
      <c r="AA2444" s="37" t="n">
        <f aca="false">IF($N2444="",0,IF(COUNTIF(Dashboard!$C$13:$C$22,$N2444)&gt;0,1,0))</f>
        <v>0</v>
      </c>
      <c r="AB2444" s="37" t="str">
        <f aca="false">IF($N2444="","",IF(COUNTIF($N$8:$N2444,$N2444)=1,MAX($AB$7:$AB2443)+1,""))</f>
        <v/>
      </c>
    </row>
    <row r="2445" customFormat="false" ht="15" hidden="false" customHeight="false" outlineLevel="0" collapsed="false">
      <c r="L2445" s="37" t="str">
        <f aca="false">IF(INDEX($A2445:$J2445,$L$6)&lt;&gt;"",TRIM(LEFT(INDEX($A2445:$J2445,$L$6),FIND("(",INDEX($A2445:$J2445,$L$6)&amp;"(")-1)),L2444)</f>
        <v>Building Value Proposition</v>
      </c>
      <c r="M2445" s="37" t="str">
        <f aca="false">IF(INDEX($A2445:$J2445,$M$6)="","",INDEX($A2445:$J2445,$M$6)&amp;"")</f>
        <v/>
      </c>
      <c r="N2445" s="37" t="str">
        <f aca="false">IF($M2445="","",TRIM(INDEX($A2445:$J2445,$N$6)&amp;""))</f>
        <v/>
      </c>
      <c r="O2445" s="37" t="str">
        <f aca="false">IF($M2445="","",TRIM(INDEX($A2445:$J2445,$O$6)&amp;""))</f>
        <v/>
      </c>
      <c r="P2445" s="37" t="str">
        <f aca="false">IF($M2445="","",IFERROR(IF(INDEX(Settings!$B$41:$B$50,MATCH(O2445,Settings!$A$41:$A$50,0))&amp;""="","UNMAPPED",INDEX(Settings!$B$41:$B$50,MATCH(O2445,Settings!$A$41:$A$50,0))&amp;""),"UNMAPPED"))</f>
        <v/>
      </c>
      <c r="Q2445" s="38" t="n">
        <f aca="false">IF($M2445="",0,N(INDEX($A2445:$J2445,$Q$6)))</f>
        <v>0</v>
      </c>
      <c r="R2445" s="39" t="str">
        <f aca="false">IF($M2445="","",INDEX($A2445:$J2445,$R$6))</f>
        <v/>
      </c>
      <c r="S2445" s="37" t="str">
        <f aca="false">IF($M2445="","",IFERROR(INDEX(Settings!$B$27:$B$36,MATCH(L2445,Settings!$A$27:$A$36,0))&amp;"","UNMAPPED"))</f>
        <v/>
      </c>
      <c r="T2445" s="37" t="str">
        <f aca="false">IF($M2445="","",IF(NOT(ISNUMBER(R2445)),"NO DATE",IF(S2445="Won",IF(R2445&gt;Settings!$B$5,"Backlog","Delivered"),IF(S2445="Open",IF(R2445&gt;Settings!$B$5,"Pipeline","Overdue"),IF(S2445="Lost","Lost","UNMAPPED")))))</f>
        <v/>
      </c>
      <c r="U2445" s="40" t="n">
        <f aca="false">IF(T2445="Backlog",1,IF(OR(T2445="Pipeline",T2445="Overdue"),N(INDEX(Settings!$C$27:$C$36,MATCH(L2445,Settings!$A$27:$A$36,0))),0))</f>
        <v>0</v>
      </c>
      <c r="V2445" s="38" t="n">
        <f aca="false">Q2445*U2445</f>
        <v>0</v>
      </c>
      <c r="W2445" s="41" t="str">
        <f aca="false">IF($M2445="","",IF(T2445="Overdue",IF(Settings!$B$8="Yes",Settings!$B$7,""),IF(ISNUMBER(R2445),DATE(YEAR(R2445),MONTH(R2445),1),"")))</f>
        <v/>
      </c>
      <c r="X2445" s="38" t="n">
        <f aca="false">IF(AND(OR(T2445="Backlog",T2445="Pipeline",T2445="Overdue"),ISNUMBER(W2445)),IF(W2445&lt;=Settings!$B$6,V2445,0),0)</f>
        <v>0</v>
      </c>
      <c r="Y2445" s="38" t="n">
        <f aca="false">IF(AND(OR(T2445="Backlog",T2445="Pipeline",T2445="Overdue"),ISNUMBER(W2445)),IF(W2445&lt;=Settings!$B$6,Q2445,0),0)</f>
        <v>0</v>
      </c>
      <c r="Z2445" s="38" t="n">
        <f aca="false">IF(Y2445=0,0,IF(T2445="Backlog",Q2445,Q2445*Dashboard!$C$10))</f>
        <v>0</v>
      </c>
      <c r="AA2445" s="37" t="n">
        <f aca="false">IF($N2445="",0,IF(COUNTIF(Dashboard!$C$13:$C$22,$N2445)&gt;0,1,0))</f>
        <v>0</v>
      </c>
      <c r="AB2445" s="37" t="str">
        <f aca="false">IF($N2445="","",IF(COUNTIF($N$8:$N2445,$N2445)=1,MAX($AB$7:$AB2444)+1,""))</f>
        <v/>
      </c>
    </row>
    <row r="2446" customFormat="false" ht="15" hidden="false" customHeight="false" outlineLevel="0" collapsed="false">
      <c r="L2446" s="37" t="str">
        <f aca="false">IF(INDEX($A2446:$J2446,$L$6)&lt;&gt;"",TRIM(LEFT(INDEX($A2446:$J2446,$L$6),FIND("(",INDEX($A2446:$J2446,$L$6)&amp;"(")-1)),L2445)</f>
        <v>Building Value Proposition</v>
      </c>
      <c r="M2446" s="37" t="str">
        <f aca="false">IF(INDEX($A2446:$J2446,$M$6)="","",INDEX($A2446:$J2446,$M$6)&amp;"")</f>
        <v/>
      </c>
      <c r="N2446" s="37" t="str">
        <f aca="false">IF($M2446="","",TRIM(INDEX($A2446:$J2446,$N$6)&amp;""))</f>
        <v/>
      </c>
      <c r="O2446" s="37" t="str">
        <f aca="false">IF($M2446="","",TRIM(INDEX($A2446:$J2446,$O$6)&amp;""))</f>
        <v/>
      </c>
      <c r="P2446" s="37" t="str">
        <f aca="false">IF($M2446="","",IFERROR(IF(INDEX(Settings!$B$41:$B$50,MATCH(O2446,Settings!$A$41:$A$50,0))&amp;""="","UNMAPPED",INDEX(Settings!$B$41:$B$50,MATCH(O2446,Settings!$A$41:$A$50,0))&amp;""),"UNMAPPED"))</f>
        <v/>
      </c>
      <c r="Q2446" s="38" t="n">
        <f aca="false">IF($M2446="",0,N(INDEX($A2446:$J2446,$Q$6)))</f>
        <v>0</v>
      </c>
      <c r="R2446" s="39" t="str">
        <f aca="false">IF($M2446="","",INDEX($A2446:$J2446,$R$6))</f>
        <v/>
      </c>
      <c r="S2446" s="37" t="str">
        <f aca="false">IF($M2446="","",IFERROR(INDEX(Settings!$B$27:$B$36,MATCH(L2446,Settings!$A$27:$A$36,0))&amp;"","UNMAPPED"))</f>
        <v/>
      </c>
      <c r="T2446" s="37" t="str">
        <f aca="false">IF($M2446="","",IF(NOT(ISNUMBER(R2446)),"NO DATE",IF(S2446="Won",IF(R2446&gt;Settings!$B$5,"Backlog","Delivered"),IF(S2446="Open",IF(R2446&gt;Settings!$B$5,"Pipeline","Overdue"),IF(S2446="Lost","Lost","UNMAPPED")))))</f>
        <v/>
      </c>
      <c r="U2446" s="40" t="n">
        <f aca="false">IF(T2446="Backlog",1,IF(OR(T2446="Pipeline",T2446="Overdue"),N(INDEX(Settings!$C$27:$C$36,MATCH(L2446,Settings!$A$27:$A$36,0))),0))</f>
        <v>0</v>
      </c>
      <c r="V2446" s="38" t="n">
        <f aca="false">Q2446*U2446</f>
        <v>0</v>
      </c>
      <c r="W2446" s="41" t="str">
        <f aca="false">IF($M2446="","",IF(T2446="Overdue",IF(Settings!$B$8="Yes",Settings!$B$7,""),IF(ISNUMBER(R2446),DATE(YEAR(R2446),MONTH(R2446),1),"")))</f>
        <v/>
      </c>
      <c r="X2446" s="38" t="n">
        <f aca="false">IF(AND(OR(T2446="Backlog",T2446="Pipeline",T2446="Overdue"),ISNUMBER(W2446)),IF(W2446&lt;=Settings!$B$6,V2446,0),0)</f>
        <v>0</v>
      </c>
      <c r="Y2446" s="38" t="n">
        <f aca="false">IF(AND(OR(T2446="Backlog",T2446="Pipeline",T2446="Overdue"),ISNUMBER(W2446)),IF(W2446&lt;=Settings!$B$6,Q2446,0),0)</f>
        <v>0</v>
      </c>
      <c r="Z2446" s="38" t="n">
        <f aca="false">IF(Y2446=0,0,IF(T2446="Backlog",Q2446,Q2446*Dashboard!$C$10))</f>
        <v>0</v>
      </c>
      <c r="AA2446" s="37" t="n">
        <f aca="false">IF($N2446="",0,IF(COUNTIF(Dashboard!$C$13:$C$22,$N2446)&gt;0,1,0))</f>
        <v>0</v>
      </c>
      <c r="AB2446" s="37" t="str">
        <f aca="false">IF($N2446="","",IF(COUNTIF($N$8:$N2446,$N2446)=1,MAX($AB$7:$AB2445)+1,""))</f>
        <v/>
      </c>
    </row>
    <row r="2447" customFormat="false" ht="15" hidden="false" customHeight="false" outlineLevel="0" collapsed="false">
      <c r="L2447" s="37" t="str">
        <f aca="false">IF(INDEX($A2447:$J2447,$L$6)&lt;&gt;"",TRIM(LEFT(INDEX($A2447:$J2447,$L$6),FIND("(",INDEX($A2447:$J2447,$L$6)&amp;"(")-1)),L2446)</f>
        <v>Building Value Proposition</v>
      </c>
      <c r="M2447" s="37" t="str">
        <f aca="false">IF(INDEX($A2447:$J2447,$M$6)="","",INDEX($A2447:$J2447,$M$6)&amp;"")</f>
        <v/>
      </c>
      <c r="N2447" s="37" t="str">
        <f aca="false">IF($M2447="","",TRIM(INDEX($A2447:$J2447,$N$6)&amp;""))</f>
        <v/>
      </c>
      <c r="O2447" s="37" t="str">
        <f aca="false">IF($M2447="","",TRIM(INDEX($A2447:$J2447,$O$6)&amp;""))</f>
        <v/>
      </c>
      <c r="P2447" s="37" t="str">
        <f aca="false">IF($M2447="","",IFERROR(IF(INDEX(Settings!$B$41:$B$50,MATCH(O2447,Settings!$A$41:$A$50,0))&amp;""="","UNMAPPED",INDEX(Settings!$B$41:$B$50,MATCH(O2447,Settings!$A$41:$A$50,0))&amp;""),"UNMAPPED"))</f>
        <v/>
      </c>
      <c r="Q2447" s="38" t="n">
        <f aca="false">IF($M2447="",0,N(INDEX($A2447:$J2447,$Q$6)))</f>
        <v>0</v>
      </c>
      <c r="R2447" s="39" t="str">
        <f aca="false">IF($M2447="","",INDEX($A2447:$J2447,$R$6))</f>
        <v/>
      </c>
      <c r="S2447" s="37" t="str">
        <f aca="false">IF($M2447="","",IFERROR(INDEX(Settings!$B$27:$B$36,MATCH(L2447,Settings!$A$27:$A$36,0))&amp;"","UNMAPPED"))</f>
        <v/>
      </c>
      <c r="T2447" s="37" t="str">
        <f aca="false">IF($M2447="","",IF(NOT(ISNUMBER(R2447)),"NO DATE",IF(S2447="Won",IF(R2447&gt;Settings!$B$5,"Backlog","Delivered"),IF(S2447="Open",IF(R2447&gt;Settings!$B$5,"Pipeline","Overdue"),IF(S2447="Lost","Lost","UNMAPPED")))))</f>
        <v/>
      </c>
      <c r="U2447" s="40" t="n">
        <f aca="false">IF(T2447="Backlog",1,IF(OR(T2447="Pipeline",T2447="Overdue"),N(INDEX(Settings!$C$27:$C$36,MATCH(L2447,Settings!$A$27:$A$36,0))),0))</f>
        <v>0</v>
      </c>
      <c r="V2447" s="38" t="n">
        <f aca="false">Q2447*U2447</f>
        <v>0</v>
      </c>
      <c r="W2447" s="41" t="str">
        <f aca="false">IF($M2447="","",IF(T2447="Overdue",IF(Settings!$B$8="Yes",Settings!$B$7,""),IF(ISNUMBER(R2447),DATE(YEAR(R2447),MONTH(R2447),1),"")))</f>
        <v/>
      </c>
      <c r="X2447" s="38" t="n">
        <f aca="false">IF(AND(OR(T2447="Backlog",T2447="Pipeline",T2447="Overdue"),ISNUMBER(W2447)),IF(W2447&lt;=Settings!$B$6,V2447,0),0)</f>
        <v>0</v>
      </c>
      <c r="Y2447" s="38" t="n">
        <f aca="false">IF(AND(OR(T2447="Backlog",T2447="Pipeline",T2447="Overdue"),ISNUMBER(W2447)),IF(W2447&lt;=Settings!$B$6,Q2447,0),0)</f>
        <v>0</v>
      </c>
      <c r="Z2447" s="38" t="n">
        <f aca="false">IF(Y2447=0,0,IF(T2447="Backlog",Q2447,Q2447*Dashboard!$C$10))</f>
        <v>0</v>
      </c>
      <c r="AA2447" s="37" t="n">
        <f aca="false">IF($N2447="",0,IF(COUNTIF(Dashboard!$C$13:$C$22,$N2447)&gt;0,1,0))</f>
        <v>0</v>
      </c>
      <c r="AB2447" s="37" t="str">
        <f aca="false">IF($N2447="","",IF(COUNTIF($N$8:$N2447,$N2447)=1,MAX($AB$7:$AB2446)+1,""))</f>
        <v/>
      </c>
    </row>
    <row r="2448" customFormat="false" ht="15" hidden="false" customHeight="false" outlineLevel="0" collapsed="false">
      <c r="L2448" s="37" t="str">
        <f aca="false">IF(INDEX($A2448:$J2448,$L$6)&lt;&gt;"",TRIM(LEFT(INDEX($A2448:$J2448,$L$6),FIND("(",INDEX($A2448:$J2448,$L$6)&amp;"(")-1)),L2447)</f>
        <v>Building Value Proposition</v>
      </c>
      <c r="M2448" s="37" t="str">
        <f aca="false">IF(INDEX($A2448:$J2448,$M$6)="","",INDEX($A2448:$J2448,$M$6)&amp;"")</f>
        <v/>
      </c>
      <c r="N2448" s="37" t="str">
        <f aca="false">IF($M2448="","",TRIM(INDEX($A2448:$J2448,$N$6)&amp;""))</f>
        <v/>
      </c>
      <c r="O2448" s="37" t="str">
        <f aca="false">IF($M2448="","",TRIM(INDEX($A2448:$J2448,$O$6)&amp;""))</f>
        <v/>
      </c>
      <c r="P2448" s="37" t="str">
        <f aca="false">IF($M2448="","",IFERROR(IF(INDEX(Settings!$B$41:$B$50,MATCH(O2448,Settings!$A$41:$A$50,0))&amp;""="","UNMAPPED",INDEX(Settings!$B$41:$B$50,MATCH(O2448,Settings!$A$41:$A$50,0))&amp;""),"UNMAPPED"))</f>
        <v/>
      </c>
      <c r="Q2448" s="38" t="n">
        <f aca="false">IF($M2448="",0,N(INDEX($A2448:$J2448,$Q$6)))</f>
        <v>0</v>
      </c>
      <c r="R2448" s="39" t="str">
        <f aca="false">IF($M2448="","",INDEX($A2448:$J2448,$R$6))</f>
        <v/>
      </c>
      <c r="S2448" s="37" t="str">
        <f aca="false">IF($M2448="","",IFERROR(INDEX(Settings!$B$27:$B$36,MATCH(L2448,Settings!$A$27:$A$36,0))&amp;"","UNMAPPED"))</f>
        <v/>
      </c>
      <c r="T2448" s="37" t="str">
        <f aca="false">IF($M2448="","",IF(NOT(ISNUMBER(R2448)),"NO DATE",IF(S2448="Won",IF(R2448&gt;Settings!$B$5,"Backlog","Delivered"),IF(S2448="Open",IF(R2448&gt;Settings!$B$5,"Pipeline","Overdue"),IF(S2448="Lost","Lost","UNMAPPED")))))</f>
        <v/>
      </c>
      <c r="U2448" s="40" t="n">
        <f aca="false">IF(T2448="Backlog",1,IF(OR(T2448="Pipeline",T2448="Overdue"),N(INDEX(Settings!$C$27:$C$36,MATCH(L2448,Settings!$A$27:$A$36,0))),0))</f>
        <v>0</v>
      </c>
      <c r="V2448" s="38" t="n">
        <f aca="false">Q2448*U2448</f>
        <v>0</v>
      </c>
      <c r="W2448" s="41" t="str">
        <f aca="false">IF($M2448="","",IF(T2448="Overdue",IF(Settings!$B$8="Yes",Settings!$B$7,""),IF(ISNUMBER(R2448),DATE(YEAR(R2448),MONTH(R2448),1),"")))</f>
        <v/>
      </c>
      <c r="X2448" s="38" t="n">
        <f aca="false">IF(AND(OR(T2448="Backlog",T2448="Pipeline",T2448="Overdue"),ISNUMBER(W2448)),IF(W2448&lt;=Settings!$B$6,V2448,0),0)</f>
        <v>0</v>
      </c>
      <c r="Y2448" s="38" t="n">
        <f aca="false">IF(AND(OR(T2448="Backlog",T2448="Pipeline",T2448="Overdue"),ISNUMBER(W2448)),IF(W2448&lt;=Settings!$B$6,Q2448,0),0)</f>
        <v>0</v>
      </c>
      <c r="Z2448" s="38" t="n">
        <f aca="false">IF(Y2448=0,0,IF(T2448="Backlog",Q2448,Q2448*Dashboard!$C$10))</f>
        <v>0</v>
      </c>
      <c r="AA2448" s="37" t="n">
        <f aca="false">IF($N2448="",0,IF(COUNTIF(Dashboard!$C$13:$C$22,$N2448)&gt;0,1,0))</f>
        <v>0</v>
      </c>
      <c r="AB2448" s="37" t="str">
        <f aca="false">IF($N2448="","",IF(COUNTIF($N$8:$N2448,$N2448)=1,MAX($AB$7:$AB2447)+1,""))</f>
        <v/>
      </c>
    </row>
    <row r="2449" customFormat="false" ht="15" hidden="false" customHeight="false" outlineLevel="0" collapsed="false">
      <c r="L2449" s="37" t="str">
        <f aca="false">IF(INDEX($A2449:$J2449,$L$6)&lt;&gt;"",TRIM(LEFT(INDEX($A2449:$J2449,$L$6),FIND("(",INDEX($A2449:$J2449,$L$6)&amp;"(")-1)),L2448)</f>
        <v>Building Value Proposition</v>
      </c>
      <c r="M2449" s="37" t="str">
        <f aca="false">IF(INDEX($A2449:$J2449,$M$6)="","",INDEX($A2449:$J2449,$M$6)&amp;"")</f>
        <v/>
      </c>
      <c r="N2449" s="37" t="str">
        <f aca="false">IF($M2449="","",TRIM(INDEX($A2449:$J2449,$N$6)&amp;""))</f>
        <v/>
      </c>
      <c r="O2449" s="37" t="str">
        <f aca="false">IF($M2449="","",TRIM(INDEX($A2449:$J2449,$O$6)&amp;""))</f>
        <v/>
      </c>
      <c r="P2449" s="37" t="str">
        <f aca="false">IF($M2449="","",IFERROR(IF(INDEX(Settings!$B$41:$B$50,MATCH(O2449,Settings!$A$41:$A$50,0))&amp;""="","UNMAPPED",INDEX(Settings!$B$41:$B$50,MATCH(O2449,Settings!$A$41:$A$50,0))&amp;""),"UNMAPPED"))</f>
        <v/>
      </c>
      <c r="Q2449" s="38" t="n">
        <f aca="false">IF($M2449="",0,N(INDEX($A2449:$J2449,$Q$6)))</f>
        <v>0</v>
      </c>
      <c r="R2449" s="39" t="str">
        <f aca="false">IF($M2449="","",INDEX($A2449:$J2449,$R$6))</f>
        <v/>
      </c>
      <c r="S2449" s="37" t="str">
        <f aca="false">IF($M2449="","",IFERROR(INDEX(Settings!$B$27:$B$36,MATCH(L2449,Settings!$A$27:$A$36,0))&amp;"","UNMAPPED"))</f>
        <v/>
      </c>
      <c r="T2449" s="37" t="str">
        <f aca="false">IF($M2449="","",IF(NOT(ISNUMBER(R2449)),"NO DATE",IF(S2449="Won",IF(R2449&gt;Settings!$B$5,"Backlog","Delivered"),IF(S2449="Open",IF(R2449&gt;Settings!$B$5,"Pipeline","Overdue"),IF(S2449="Lost","Lost","UNMAPPED")))))</f>
        <v/>
      </c>
      <c r="U2449" s="40" t="n">
        <f aca="false">IF(T2449="Backlog",1,IF(OR(T2449="Pipeline",T2449="Overdue"),N(INDEX(Settings!$C$27:$C$36,MATCH(L2449,Settings!$A$27:$A$36,0))),0))</f>
        <v>0</v>
      </c>
      <c r="V2449" s="38" t="n">
        <f aca="false">Q2449*U2449</f>
        <v>0</v>
      </c>
      <c r="W2449" s="41" t="str">
        <f aca="false">IF($M2449="","",IF(T2449="Overdue",IF(Settings!$B$8="Yes",Settings!$B$7,""),IF(ISNUMBER(R2449),DATE(YEAR(R2449),MONTH(R2449),1),"")))</f>
        <v/>
      </c>
      <c r="X2449" s="38" t="n">
        <f aca="false">IF(AND(OR(T2449="Backlog",T2449="Pipeline",T2449="Overdue"),ISNUMBER(W2449)),IF(W2449&lt;=Settings!$B$6,V2449,0),0)</f>
        <v>0</v>
      </c>
      <c r="Y2449" s="38" t="n">
        <f aca="false">IF(AND(OR(T2449="Backlog",T2449="Pipeline",T2449="Overdue"),ISNUMBER(W2449)),IF(W2449&lt;=Settings!$B$6,Q2449,0),0)</f>
        <v>0</v>
      </c>
      <c r="Z2449" s="38" t="n">
        <f aca="false">IF(Y2449=0,0,IF(T2449="Backlog",Q2449,Q2449*Dashboard!$C$10))</f>
        <v>0</v>
      </c>
      <c r="AA2449" s="37" t="n">
        <f aca="false">IF($N2449="",0,IF(COUNTIF(Dashboard!$C$13:$C$22,$N2449)&gt;0,1,0))</f>
        <v>0</v>
      </c>
      <c r="AB2449" s="37" t="str">
        <f aca="false">IF($N2449="","",IF(COUNTIF($N$8:$N2449,$N2449)=1,MAX($AB$7:$AB2448)+1,""))</f>
        <v/>
      </c>
    </row>
    <row r="2450" customFormat="false" ht="15" hidden="false" customHeight="false" outlineLevel="0" collapsed="false">
      <c r="L2450" s="37" t="str">
        <f aca="false">IF(INDEX($A2450:$J2450,$L$6)&lt;&gt;"",TRIM(LEFT(INDEX($A2450:$J2450,$L$6),FIND("(",INDEX($A2450:$J2450,$L$6)&amp;"(")-1)),L2449)</f>
        <v>Building Value Proposition</v>
      </c>
      <c r="M2450" s="37" t="str">
        <f aca="false">IF(INDEX($A2450:$J2450,$M$6)="","",INDEX($A2450:$J2450,$M$6)&amp;"")</f>
        <v/>
      </c>
      <c r="N2450" s="37" t="str">
        <f aca="false">IF($M2450="","",TRIM(INDEX($A2450:$J2450,$N$6)&amp;""))</f>
        <v/>
      </c>
      <c r="O2450" s="37" t="str">
        <f aca="false">IF($M2450="","",TRIM(INDEX($A2450:$J2450,$O$6)&amp;""))</f>
        <v/>
      </c>
      <c r="P2450" s="37" t="str">
        <f aca="false">IF($M2450="","",IFERROR(IF(INDEX(Settings!$B$41:$B$50,MATCH(O2450,Settings!$A$41:$A$50,0))&amp;""="","UNMAPPED",INDEX(Settings!$B$41:$B$50,MATCH(O2450,Settings!$A$41:$A$50,0))&amp;""),"UNMAPPED"))</f>
        <v/>
      </c>
      <c r="Q2450" s="38" t="n">
        <f aca="false">IF($M2450="",0,N(INDEX($A2450:$J2450,$Q$6)))</f>
        <v>0</v>
      </c>
      <c r="R2450" s="39" t="str">
        <f aca="false">IF($M2450="","",INDEX($A2450:$J2450,$R$6))</f>
        <v/>
      </c>
      <c r="S2450" s="37" t="str">
        <f aca="false">IF($M2450="","",IFERROR(INDEX(Settings!$B$27:$B$36,MATCH(L2450,Settings!$A$27:$A$36,0))&amp;"","UNMAPPED"))</f>
        <v/>
      </c>
      <c r="T2450" s="37" t="str">
        <f aca="false">IF($M2450="","",IF(NOT(ISNUMBER(R2450)),"NO DATE",IF(S2450="Won",IF(R2450&gt;Settings!$B$5,"Backlog","Delivered"),IF(S2450="Open",IF(R2450&gt;Settings!$B$5,"Pipeline","Overdue"),IF(S2450="Lost","Lost","UNMAPPED")))))</f>
        <v/>
      </c>
      <c r="U2450" s="40" t="n">
        <f aca="false">IF(T2450="Backlog",1,IF(OR(T2450="Pipeline",T2450="Overdue"),N(INDEX(Settings!$C$27:$C$36,MATCH(L2450,Settings!$A$27:$A$36,0))),0))</f>
        <v>0</v>
      </c>
      <c r="V2450" s="38" t="n">
        <f aca="false">Q2450*U2450</f>
        <v>0</v>
      </c>
      <c r="W2450" s="41" t="str">
        <f aca="false">IF($M2450="","",IF(T2450="Overdue",IF(Settings!$B$8="Yes",Settings!$B$7,""),IF(ISNUMBER(R2450),DATE(YEAR(R2450),MONTH(R2450),1),"")))</f>
        <v/>
      </c>
      <c r="X2450" s="38" t="n">
        <f aca="false">IF(AND(OR(T2450="Backlog",T2450="Pipeline",T2450="Overdue"),ISNUMBER(W2450)),IF(W2450&lt;=Settings!$B$6,V2450,0),0)</f>
        <v>0</v>
      </c>
      <c r="Y2450" s="38" t="n">
        <f aca="false">IF(AND(OR(T2450="Backlog",T2450="Pipeline",T2450="Overdue"),ISNUMBER(W2450)),IF(W2450&lt;=Settings!$B$6,Q2450,0),0)</f>
        <v>0</v>
      </c>
      <c r="Z2450" s="38" t="n">
        <f aca="false">IF(Y2450=0,0,IF(T2450="Backlog",Q2450,Q2450*Dashboard!$C$10))</f>
        <v>0</v>
      </c>
      <c r="AA2450" s="37" t="n">
        <f aca="false">IF($N2450="",0,IF(COUNTIF(Dashboard!$C$13:$C$22,$N2450)&gt;0,1,0))</f>
        <v>0</v>
      </c>
      <c r="AB2450" s="37" t="str">
        <f aca="false">IF($N2450="","",IF(COUNTIF($N$8:$N2450,$N2450)=1,MAX($AB$7:$AB2449)+1,""))</f>
        <v/>
      </c>
    </row>
    <row r="2451" customFormat="false" ht="15" hidden="false" customHeight="false" outlineLevel="0" collapsed="false">
      <c r="L2451" s="37" t="str">
        <f aca="false">IF(INDEX($A2451:$J2451,$L$6)&lt;&gt;"",TRIM(LEFT(INDEX($A2451:$J2451,$L$6),FIND("(",INDEX($A2451:$J2451,$L$6)&amp;"(")-1)),L2450)</f>
        <v>Building Value Proposition</v>
      </c>
      <c r="M2451" s="37" t="str">
        <f aca="false">IF(INDEX($A2451:$J2451,$M$6)="","",INDEX($A2451:$J2451,$M$6)&amp;"")</f>
        <v/>
      </c>
      <c r="N2451" s="37" t="str">
        <f aca="false">IF($M2451="","",TRIM(INDEX($A2451:$J2451,$N$6)&amp;""))</f>
        <v/>
      </c>
      <c r="O2451" s="37" t="str">
        <f aca="false">IF($M2451="","",TRIM(INDEX($A2451:$J2451,$O$6)&amp;""))</f>
        <v/>
      </c>
      <c r="P2451" s="37" t="str">
        <f aca="false">IF($M2451="","",IFERROR(IF(INDEX(Settings!$B$41:$B$50,MATCH(O2451,Settings!$A$41:$A$50,0))&amp;""="","UNMAPPED",INDEX(Settings!$B$41:$B$50,MATCH(O2451,Settings!$A$41:$A$50,0))&amp;""),"UNMAPPED"))</f>
        <v/>
      </c>
      <c r="Q2451" s="38" t="n">
        <f aca="false">IF($M2451="",0,N(INDEX($A2451:$J2451,$Q$6)))</f>
        <v>0</v>
      </c>
      <c r="R2451" s="39" t="str">
        <f aca="false">IF($M2451="","",INDEX($A2451:$J2451,$R$6))</f>
        <v/>
      </c>
      <c r="S2451" s="37" t="str">
        <f aca="false">IF($M2451="","",IFERROR(INDEX(Settings!$B$27:$B$36,MATCH(L2451,Settings!$A$27:$A$36,0))&amp;"","UNMAPPED"))</f>
        <v/>
      </c>
      <c r="T2451" s="37" t="str">
        <f aca="false">IF($M2451="","",IF(NOT(ISNUMBER(R2451)),"NO DATE",IF(S2451="Won",IF(R2451&gt;Settings!$B$5,"Backlog","Delivered"),IF(S2451="Open",IF(R2451&gt;Settings!$B$5,"Pipeline","Overdue"),IF(S2451="Lost","Lost","UNMAPPED")))))</f>
        <v/>
      </c>
      <c r="U2451" s="40" t="n">
        <f aca="false">IF(T2451="Backlog",1,IF(OR(T2451="Pipeline",T2451="Overdue"),N(INDEX(Settings!$C$27:$C$36,MATCH(L2451,Settings!$A$27:$A$36,0))),0))</f>
        <v>0</v>
      </c>
      <c r="V2451" s="38" t="n">
        <f aca="false">Q2451*U2451</f>
        <v>0</v>
      </c>
      <c r="W2451" s="41" t="str">
        <f aca="false">IF($M2451="","",IF(T2451="Overdue",IF(Settings!$B$8="Yes",Settings!$B$7,""),IF(ISNUMBER(R2451),DATE(YEAR(R2451),MONTH(R2451),1),"")))</f>
        <v/>
      </c>
      <c r="X2451" s="38" t="n">
        <f aca="false">IF(AND(OR(T2451="Backlog",T2451="Pipeline",T2451="Overdue"),ISNUMBER(W2451)),IF(W2451&lt;=Settings!$B$6,V2451,0),0)</f>
        <v>0</v>
      </c>
      <c r="Y2451" s="38" t="n">
        <f aca="false">IF(AND(OR(T2451="Backlog",T2451="Pipeline",T2451="Overdue"),ISNUMBER(W2451)),IF(W2451&lt;=Settings!$B$6,Q2451,0),0)</f>
        <v>0</v>
      </c>
      <c r="Z2451" s="38" t="n">
        <f aca="false">IF(Y2451=0,0,IF(T2451="Backlog",Q2451,Q2451*Dashboard!$C$10))</f>
        <v>0</v>
      </c>
      <c r="AA2451" s="37" t="n">
        <f aca="false">IF($N2451="",0,IF(COUNTIF(Dashboard!$C$13:$C$22,$N2451)&gt;0,1,0))</f>
        <v>0</v>
      </c>
      <c r="AB2451" s="37" t="str">
        <f aca="false">IF($N2451="","",IF(COUNTIF($N$8:$N2451,$N2451)=1,MAX($AB$7:$AB2450)+1,""))</f>
        <v/>
      </c>
    </row>
    <row r="2452" customFormat="false" ht="15" hidden="false" customHeight="false" outlineLevel="0" collapsed="false">
      <c r="L2452" s="37" t="str">
        <f aca="false">IF(INDEX($A2452:$J2452,$L$6)&lt;&gt;"",TRIM(LEFT(INDEX($A2452:$J2452,$L$6),FIND("(",INDEX($A2452:$J2452,$L$6)&amp;"(")-1)),L2451)</f>
        <v>Building Value Proposition</v>
      </c>
      <c r="M2452" s="37" t="str">
        <f aca="false">IF(INDEX($A2452:$J2452,$M$6)="","",INDEX($A2452:$J2452,$M$6)&amp;"")</f>
        <v/>
      </c>
      <c r="N2452" s="37" t="str">
        <f aca="false">IF($M2452="","",TRIM(INDEX($A2452:$J2452,$N$6)&amp;""))</f>
        <v/>
      </c>
      <c r="O2452" s="37" t="str">
        <f aca="false">IF($M2452="","",TRIM(INDEX($A2452:$J2452,$O$6)&amp;""))</f>
        <v/>
      </c>
      <c r="P2452" s="37" t="str">
        <f aca="false">IF($M2452="","",IFERROR(IF(INDEX(Settings!$B$41:$B$50,MATCH(O2452,Settings!$A$41:$A$50,0))&amp;""="","UNMAPPED",INDEX(Settings!$B$41:$B$50,MATCH(O2452,Settings!$A$41:$A$50,0))&amp;""),"UNMAPPED"))</f>
        <v/>
      </c>
      <c r="Q2452" s="38" t="n">
        <f aca="false">IF($M2452="",0,N(INDEX($A2452:$J2452,$Q$6)))</f>
        <v>0</v>
      </c>
      <c r="R2452" s="39" t="str">
        <f aca="false">IF($M2452="","",INDEX($A2452:$J2452,$R$6))</f>
        <v/>
      </c>
      <c r="S2452" s="37" t="str">
        <f aca="false">IF($M2452="","",IFERROR(INDEX(Settings!$B$27:$B$36,MATCH(L2452,Settings!$A$27:$A$36,0))&amp;"","UNMAPPED"))</f>
        <v/>
      </c>
      <c r="T2452" s="37" t="str">
        <f aca="false">IF($M2452="","",IF(NOT(ISNUMBER(R2452)),"NO DATE",IF(S2452="Won",IF(R2452&gt;Settings!$B$5,"Backlog","Delivered"),IF(S2452="Open",IF(R2452&gt;Settings!$B$5,"Pipeline","Overdue"),IF(S2452="Lost","Lost","UNMAPPED")))))</f>
        <v/>
      </c>
      <c r="U2452" s="40" t="n">
        <f aca="false">IF(T2452="Backlog",1,IF(OR(T2452="Pipeline",T2452="Overdue"),N(INDEX(Settings!$C$27:$C$36,MATCH(L2452,Settings!$A$27:$A$36,0))),0))</f>
        <v>0</v>
      </c>
      <c r="V2452" s="38" t="n">
        <f aca="false">Q2452*U2452</f>
        <v>0</v>
      </c>
      <c r="W2452" s="41" t="str">
        <f aca="false">IF($M2452="","",IF(T2452="Overdue",IF(Settings!$B$8="Yes",Settings!$B$7,""),IF(ISNUMBER(R2452),DATE(YEAR(R2452),MONTH(R2452),1),"")))</f>
        <v/>
      </c>
      <c r="X2452" s="38" t="n">
        <f aca="false">IF(AND(OR(T2452="Backlog",T2452="Pipeline",T2452="Overdue"),ISNUMBER(W2452)),IF(W2452&lt;=Settings!$B$6,V2452,0),0)</f>
        <v>0</v>
      </c>
      <c r="Y2452" s="38" t="n">
        <f aca="false">IF(AND(OR(T2452="Backlog",T2452="Pipeline",T2452="Overdue"),ISNUMBER(W2452)),IF(W2452&lt;=Settings!$B$6,Q2452,0),0)</f>
        <v>0</v>
      </c>
      <c r="Z2452" s="38" t="n">
        <f aca="false">IF(Y2452=0,0,IF(T2452="Backlog",Q2452,Q2452*Dashboard!$C$10))</f>
        <v>0</v>
      </c>
      <c r="AA2452" s="37" t="n">
        <f aca="false">IF($N2452="",0,IF(COUNTIF(Dashboard!$C$13:$C$22,$N2452)&gt;0,1,0))</f>
        <v>0</v>
      </c>
      <c r="AB2452" s="37" t="str">
        <f aca="false">IF($N2452="","",IF(COUNTIF($N$8:$N2452,$N2452)=1,MAX($AB$7:$AB2451)+1,""))</f>
        <v/>
      </c>
    </row>
    <row r="2453" customFormat="false" ht="15" hidden="false" customHeight="false" outlineLevel="0" collapsed="false">
      <c r="L2453" s="37" t="str">
        <f aca="false">IF(INDEX($A2453:$J2453,$L$6)&lt;&gt;"",TRIM(LEFT(INDEX($A2453:$J2453,$L$6),FIND("(",INDEX($A2453:$J2453,$L$6)&amp;"(")-1)),L2452)</f>
        <v>Building Value Proposition</v>
      </c>
      <c r="M2453" s="37" t="str">
        <f aca="false">IF(INDEX($A2453:$J2453,$M$6)="","",INDEX($A2453:$J2453,$M$6)&amp;"")</f>
        <v/>
      </c>
      <c r="N2453" s="37" t="str">
        <f aca="false">IF($M2453="","",TRIM(INDEX($A2453:$J2453,$N$6)&amp;""))</f>
        <v/>
      </c>
      <c r="O2453" s="37" t="str">
        <f aca="false">IF($M2453="","",TRIM(INDEX($A2453:$J2453,$O$6)&amp;""))</f>
        <v/>
      </c>
      <c r="P2453" s="37" t="str">
        <f aca="false">IF($M2453="","",IFERROR(IF(INDEX(Settings!$B$41:$B$50,MATCH(O2453,Settings!$A$41:$A$50,0))&amp;""="","UNMAPPED",INDEX(Settings!$B$41:$B$50,MATCH(O2453,Settings!$A$41:$A$50,0))&amp;""),"UNMAPPED"))</f>
        <v/>
      </c>
      <c r="Q2453" s="38" t="n">
        <f aca="false">IF($M2453="",0,N(INDEX($A2453:$J2453,$Q$6)))</f>
        <v>0</v>
      </c>
      <c r="R2453" s="39" t="str">
        <f aca="false">IF($M2453="","",INDEX($A2453:$J2453,$R$6))</f>
        <v/>
      </c>
      <c r="S2453" s="37" t="str">
        <f aca="false">IF($M2453="","",IFERROR(INDEX(Settings!$B$27:$B$36,MATCH(L2453,Settings!$A$27:$A$36,0))&amp;"","UNMAPPED"))</f>
        <v/>
      </c>
      <c r="T2453" s="37" t="str">
        <f aca="false">IF($M2453="","",IF(NOT(ISNUMBER(R2453)),"NO DATE",IF(S2453="Won",IF(R2453&gt;Settings!$B$5,"Backlog","Delivered"),IF(S2453="Open",IF(R2453&gt;Settings!$B$5,"Pipeline","Overdue"),IF(S2453="Lost","Lost","UNMAPPED")))))</f>
        <v/>
      </c>
      <c r="U2453" s="40" t="n">
        <f aca="false">IF(T2453="Backlog",1,IF(OR(T2453="Pipeline",T2453="Overdue"),N(INDEX(Settings!$C$27:$C$36,MATCH(L2453,Settings!$A$27:$A$36,0))),0))</f>
        <v>0</v>
      </c>
      <c r="V2453" s="38" t="n">
        <f aca="false">Q2453*U2453</f>
        <v>0</v>
      </c>
      <c r="W2453" s="41" t="str">
        <f aca="false">IF($M2453="","",IF(T2453="Overdue",IF(Settings!$B$8="Yes",Settings!$B$7,""),IF(ISNUMBER(R2453),DATE(YEAR(R2453),MONTH(R2453),1),"")))</f>
        <v/>
      </c>
      <c r="X2453" s="38" t="n">
        <f aca="false">IF(AND(OR(T2453="Backlog",T2453="Pipeline",T2453="Overdue"),ISNUMBER(W2453)),IF(W2453&lt;=Settings!$B$6,V2453,0),0)</f>
        <v>0</v>
      </c>
      <c r="Y2453" s="38" t="n">
        <f aca="false">IF(AND(OR(T2453="Backlog",T2453="Pipeline",T2453="Overdue"),ISNUMBER(W2453)),IF(W2453&lt;=Settings!$B$6,Q2453,0),0)</f>
        <v>0</v>
      </c>
      <c r="Z2453" s="38" t="n">
        <f aca="false">IF(Y2453=0,0,IF(T2453="Backlog",Q2453,Q2453*Dashboard!$C$10))</f>
        <v>0</v>
      </c>
      <c r="AA2453" s="37" t="n">
        <f aca="false">IF($N2453="",0,IF(COUNTIF(Dashboard!$C$13:$C$22,$N2453)&gt;0,1,0))</f>
        <v>0</v>
      </c>
      <c r="AB2453" s="37" t="str">
        <f aca="false">IF($N2453="","",IF(COUNTIF($N$8:$N2453,$N2453)=1,MAX($AB$7:$AB2452)+1,""))</f>
        <v/>
      </c>
    </row>
    <row r="2454" customFormat="false" ht="15" hidden="false" customHeight="false" outlineLevel="0" collapsed="false">
      <c r="L2454" s="37" t="str">
        <f aca="false">IF(INDEX($A2454:$J2454,$L$6)&lt;&gt;"",TRIM(LEFT(INDEX($A2454:$J2454,$L$6),FIND("(",INDEX($A2454:$J2454,$L$6)&amp;"(")-1)),L2453)</f>
        <v>Building Value Proposition</v>
      </c>
      <c r="M2454" s="37" t="str">
        <f aca="false">IF(INDEX($A2454:$J2454,$M$6)="","",INDEX($A2454:$J2454,$M$6)&amp;"")</f>
        <v/>
      </c>
      <c r="N2454" s="37" t="str">
        <f aca="false">IF($M2454="","",TRIM(INDEX($A2454:$J2454,$N$6)&amp;""))</f>
        <v/>
      </c>
      <c r="O2454" s="37" t="str">
        <f aca="false">IF($M2454="","",TRIM(INDEX($A2454:$J2454,$O$6)&amp;""))</f>
        <v/>
      </c>
      <c r="P2454" s="37" t="str">
        <f aca="false">IF($M2454="","",IFERROR(IF(INDEX(Settings!$B$41:$B$50,MATCH(O2454,Settings!$A$41:$A$50,0))&amp;""="","UNMAPPED",INDEX(Settings!$B$41:$B$50,MATCH(O2454,Settings!$A$41:$A$50,0))&amp;""),"UNMAPPED"))</f>
        <v/>
      </c>
      <c r="Q2454" s="38" t="n">
        <f aca="false">IF($M2454="",0,N(INDEX($A2454:$J2454,$Q$6)))</f>
        <v>0</v>
      </c>
      <c r="R2454" s="39" t="str">
        <f aca="false">IF($M2454="","",INDEX($A2454:$J2454,$R$6))</f>
        <v/>
      </c>
      <c r="S2454" s="37" t="str">
        <f aca="false">IF($M2454="","",IFERROR(INDEX(Settings!$B$27:$B$36,MATCH(L2454,Settings!$A$27:$A$36,0))&amp;"","UNMAPPED"))</f>
        <v/>
      </c>
      <c r="T2454" s="37" t="str">
        <f aca="false">IF($M2454="","",IF(NOT(ISNUMBER(R2454)),"NO DATE",IF(S2454="Won",IF(R2454&gt;Settings!$B$5,"Backlog","Delivered"),IF(S2454="Open",IF(R2454&gt;Settings!$B$5,"Pipeline","Overdue"),IF(S2454="Lost","Lost","UNMAPPED")))))</f>
        <v/>
      </c>
      <c r="U2454" s="40" t="n">
        <f aca="false">IF(T2454="Backlog",1,IF(OR(T2454="Pipeline",T2454="Overdue"),N(INDEX(Settings!$C$27:$C$36,MATCH(L2454,Settings!$A$27:$A$36,0))),0))</f>
        <v>0</v>
      </c>
      <c r="V2454" s="38" t="n">
        <f aca="false">Q2454*U2454</f>
        <v>0</v>
      </c>
      <c r="W2454" s="41" t="str">
        <f aca="false">IF($M2454="","",IF(T2454="Overdue",IF(Settings!$B$8="Yes",Settings!$B$7,""),IF(ISNUMBER(R2454),DATE(YEAR(R2454),MONTH(R2454),1),"")))</f>
        <v/>
      </c>
      <c r="X2454" s="38" t="n">
        <f aca="false">IF(AND(OR(T2454="Backlog",T2454="Pipeline",T2454="Overdue"),ISNUMBER(W2454)),IF(W2454&lt;=Settings!$B$6,V2454,0),0)</f>
        <v>0</v>
      </c>
      <c r="Y2454" s="38" t="n">
        <f aca="false">IF(AND(OR(T2454="Backlog",T2454="Pipeline",T2454="Overdue"),ISNUMBER(W2454)),IF(W2454&lt;=Settings!$B$6,Q2454,0),0)</f>
        <v>0</v>
      </c>
      <c r="Z2454" s="38" t="n">
        <f aca="false">IF(Y2454=0,0,IF(T2454="Backlog",Q2454,Q2454*Dashboard!$C$10))</f>
        <v>0</v>
      </c>
      <c r="AA2454" s="37" t="n">
        <f aca="false">IF($N2454="",0,IF(COUNTIF(Dashboard!$C$13:$C$22,$N2454)&gt;0,1,0))</f>
        <v>0</v>
      </c>
      <c r="AB2454" s="37" t="str">
        <f aca="false">IF($N2454="","",IF(COUNTIF($N$8:$N2454,$N2454)=1,MAX($AB$7:$AB2453)+1,""))</f>
        <v/>
      </c>
    </row>
    <row r="2455" customFormat="false" ht="15" hidden="false" customHeight="false" outlineLevel="0" collapsed="false">
      <c r="L2455" s="37" t="str">
        <f aca="false">IF(INDEX($A2455:$J2455,$L$6)&lt;&gt;"",TRIM(LEFT(INDEX($A2455:$J2455,$L$6),FIND("(",INDEX($A2455:$J2455,$L$6)&amp;"(")-1)),L2454)</f>
        <v>Building Value Proposition</v>
      </c>
      <c r="M2455" s="37" t="str">
        <f aca="false">IF(INDEX($A2455:$J2455,$M$6)="","",INDEX($A2455:$J2455,$M$6)&amp;"")</f>
        <v/>
      </c>
      <c r="N2455" s="37" t="str">
        <f aca="false">IF($M2455="","",TRIM(INDEX($A2455:$J2455,$N$6)&amp;""))</f>
        <v/>
      </c>
      <c r="O2455" s="37" t="str">
        <f aca="false">IF($M2455="","",TRIM(INDEX($A2455:$J2455,$O$6)&amp;""))</f>
        <v/>
      </c>
      <c r="P2455" s="37" t="str">
        <f aca="false">IF($M2455="","",IFERROR(IF(INDEX(Settings!$B$41:$B$50,MATCH(O2455,Settings!$A$41:$A$50,0))&amp;""="","UNMAPPED",INDEX(Settings!$B$41:$B$50,MATCH(O2455,Settings!$A$41:$A$50,0))&amp;""),"UNMAPPED"))</f>
        <v/>
      </c>
      <c r="Q2455" s="38" t="n">
        <f aca="false">IF($M2455="",0,N(INDEX($A2455:$J2455,$Q$6)))</f>
        <v>0</v>
      </c>
      <c r="R2455" s="39" t="str">
        <f aca="false">IF($M2455="","",INDEX($A2455:$J2455,$R$6))</f>
        <v/>
      </c>
      <c r="S2455" s="37" t="str">
        <f aca="false">IF($M2455="","",IFERROR(INDEX(Settings!$B$27:$B$36,MATCH(L2455,Settings!$A$27:$A$36,0))&amp;"","UNMAPPED"))</f>
        <v/>
      </c>
      <c r="T2455" s="37" t="str">
        <f aca="false">IF($M2455="","",IF(NOT(ISNUMBER(R2455)),"NO DATE",IF(S2455="Won",IF(R2455&gt;Settings!$B$5,"Backlog","Delivered"),IF(S2455="Open",IF(R2455&gt;Settings!$B$5,"Pipeline","Overdue"),IF(S2455="Lost","Lost","UNMAPPED")))))</f>
        <v/>
      </c>
      <c r="U2455" s="40" t="n">
        <f aca="false">IF(T2455="Backlog",1,IF(OR(T2455="Pipeline",T2455="Overdue"),N(INDEX(Settings!$C$27:$C$36,MATCH(L2455,Settings!$A$27:$A$36,0))),0))</f>
        <v>0</v>
      </c>
      <c r="V2455" s="38" t="n">
        <f aca="false">Q2455*U2455</f>
        <v>0</v>
      </c>
      <c r="W2455" s="41" t="str">
        <f aca="false">IF($M2455="","",IF(T2455="Overdue",IF(Settings!$B$8="Yes",Settings!$B$7,""),IF(ISNUMBER(R2455),DATE(YEAR(R2455),MONTH(R2455),1),"")))</f>
        <v/>
      </c>
      <c r="X2455" s="38" t="n">
        <f aca="false">IF(AND(OR(T2455="Backlog",T2455="Pipeline",T2455="Overdue"),ISNUMBER(W2455)),IF(W2455&lt;=Settings!$B$6,V2455,0),0)</f>
        <v>0</v>
      </c>
      <c r="Y2455" s="38" t="n">
        <f aca="false">IF(AND(OR(T2455="Backlog",T2455="Pipeline",T2455="Overdue"),ISNUMBER(W2455)),IF(W2455&lt;=Settings!$B$6,Q2455,0),0)</f>
        <v>0</v>
      </c>
      <c r="Z2455" s="38" t="n">
        <f aca="false">IF(Y2455=0,0,IF(T2455="Backlog",Q2455,Q2455*Dashboard!$C$10))</f>
        <v>0</v>
      </c>
      <c r="AA2455" s="37" t="n">
        <f aca="false">IF($N2455="",0,IF(COUNTIF(Dashboard!$C$13:$C$22,$N2455)&gt;0,1,0))</f>
        <v>0</v>
      </c>
      <c r="AB2455" s="37" t="str">
        <f aca="false">IF($N2455="","",IF(COUNTIF($N$8:$N2455,$N2455)=1,MAX($AB$7:$AB2454)+1,""))</f>
        <v/>
      </c>
    </row>
    <row r="2456" customFormat="false" ht="15" hidden="false" customHeight="false" outlineLevel="0" collapsed="false">
      <c r="L2456" s="37" t="str">
        <f aca="false">IF(INDEX($A2456:$J2456,$L$6)&lt;&gt;"",TRIM(LEFT(INDEX($A2456:$J2456,$L$6),FIND("(",INDEX($A2456:$J2456,$L$6)&amp;"(")-1)),L2455)</f>
        <v>Building Value Proposition</v>
      </c>
      <c r="M2456" s="37" t="str">
        <f aca="false">IF(INDEX($A2456:$J2456,$M$6)="","",INDEX($A2456:$J2456,$M$6)&amp;"")</f>
        <v/>
      </c>
      <c r="N2456" s="37" t="str">
        <f aca="false">IF($M2456="","",TRIM(INDEX($A2456:$J2456,$N$6)&amp;""))</f>
        <v/>
      </c>
      <c r="O2456" s="37" t="str">
        <f aca="false">IF($M2456="","",TRIM(INDEX($A2456:$J2456,$O$6)&amp;""))</f>
        <v/>
      </c>
      <c r="P2456" s="37" t="str">
        <f aca="false">IF($M2456="","",IFERROR(IF(INDEX(Settings!$B$41:$B$50,MATCH(O2456,Settings!$A$41:$A$50,0))&amp;""="","UNMAPPED",INDEX(Settings!$B$41:$B$50,MATCH(O2456,Settings!$A$41:$A$50,0))&amp;""),"UNMAPPED"))</f>
        <v/>
      </c>
      <c r="Q2456" s="38" t="n">
        <f aca="false">IF($M2456="",0,N(INDEX($A2456:$J2456,$Q$6)))</f>
        <v>0</v>
      </c>
      <c r="R2456" s="39" t="str">
        <f aca="false">IF($M2456="","",INDEX($A2456:$J2456,$R$6))</f>
        <v/>
      </c>
      <c r="S2456" s="37" t="str">
        <f aca="false">IF($M2456="","",IFERROR(INDEX(Settings!$B$27:$B$36,MATCH(L2456,Settings!$A$27:$A$36,0))&amp;"","UNMAPPED"))</f>
        <v/>
      </c>
      <c r="T2456" s="37" t="str">
        <f aca="false">IF($M2456="","",IF(NOT(ISNUMBER(R2456)),"NO DATE",IF(S2456="Won",IF(R2456&gt;Settings!$B$5,"Backlog","Delivered"),IF(S2456="Open",IF(R2456&gt;Settings!$B$5,"Pipeline","Overdue"),IF(S2456="Lost","Lost","UNMAPPED")))))</f>
        <v/>
      </c>
      <c r="U2456" s="40" t="n">
        <f aca="false">IF(T2456="Backlog",1,IF(OR(T2456="Pipeline",T2456="Overdue"),N(INDEX(Settings!$C$27:$C$36,MATCH(L2456,Settings!$A$27:$A$36,0))),0))</f>
        <v>0</v>
      </c>
      <c r="V2456" s="38" t="n">
        <f aca="false">Q2456*U2456</f>
        <v>0</v>
      </c>
      <c r="W2456" s="41" t="str">
        <f aca="false">IF($M2456="","",IF(T2456="Overdue",IF(Settings!$B$8="Yes",Settings!$B$7,""),IF(ISNUMBER(R2456),DATE(YEAR(R2456),MONTH(R2456),1),"")))</f>
        <v/>
      </c>
      <c r="X2456" s="38" t="n">
        <f aca="false">IF(AND(OR(T2456="Backlog",T2456="Pipeline",T2456="Overdue"),ISNUMBER(W2456)),IF(W2456&lt;=Settings!$B$6,V2456,0),0)</f>
        <v>0</v>
      </c>
      <c r="Y2456" s="38" t="n">
        <f aca="false">IF(AND(OR(T2456="Backlog",T2456="Pipeline",T2456="Overdue"),ISNUMBER(W2456)),IF(W2456&lt;=Settings!$B$6,Q2456,0),0)</f>
        <v>0</v>
      </c>
      <c r="Z2456" s="38" t="n">
        <f aca="false">IF(Y2456=0,0,IF(T2456="Backlog",Q2456,Q2456*Dashboard!$C$10))</f>
        <v>0</v>
      </c>
      <c r="AA2456" s="37" t="n">
        <f aca="false">IF($N2456="",0,IF(COUNTIF(Dashboard!$C$13:$C$22,$N2456)&gt;0,1,0))</f>
        <v>0</v>
      </c>
      <c r="AB2456" s="37" t="str">
        <f aca="false">IF($N2456="","",IF(COUNTIF($N$8:$N2456,$N2456)=1,MAX($AB$7:$AB2455)+1,""))</f>
        <v/>
      </c>
    </row>
    <row r="2457" customFormat="false" ht="15" hidden="false" customHeight="false" outlineLevel="0" collapsed="false">
      <c r="L2457" s="37" t="str">
        <f aca="false">IF(INDEX($A2457:$J2457,$L$6)&lt;&gt;"",TRIM(LEFT(INDEX($A2457:$J2457,$L$6),FIND("(",INDEX($A2457:$J2457,$L$6)&amp;"(")-1)),L2456)</f>
        <v>Building Value Proposition</v>
      </c>
      <c r="M2457" s="37" t="str">
        <f aca="false">IF(INDEX($A2457:$J2457,$M$6)="","",INDEX($A2457:$J2457,$M$6)&amp;"")</f>
        <v/>
      </c>
      <c r="N2457" s="37" t="str">
        <f aca="false">IF($M2457="","",TRIM(INDEX($A2457:$J2457,$N$6)&amp;""))</f>
        <v/>
      </c>
      <c r="O2457" s="37" t="str">
        <f aca="false">IF($M2457="","",TRIM(INDEX($A2457:$J2457,$O$6)&amp;""))</f>
        <v/>
      </c>
      <c r="P2457" s="37" t="str">
        <f aca="false">IF($M2457="","",IFERROR(IF(INDEX(Settings!$B$41:$B$50,MATCH(O2457,Settings!$A$41:$A$50,0))&amp;""="","UNMAPPED",INDEX(Settings!$B$41:$B$50,MATCH(O2457,Settings!$A$41:$A$50,0))&amp;""),"UNMAPPED"))</f>
        <v/>
      </c>
      <c r="Q2457" s="38" t="n">
        <f aca="false">IF($M2457="",0,N(INDEX($A2457:$J2457,$Q$6)))</f>
        <v>0</v>
      </c>
      <c r="R2457" s="39" t="str">
        <f aca="false">IF($M2457="","",INDEX($A2457:$J2457,$R$6))</f>
        <v/>
      </c>
      <c r="S2457" s="37" t="str">
        <f aca="false">IF($M2457="","",IFERROR(INDEX(Settings!$B$27:$B$36,MATCH(L2457,Settings!$A$27:$A$36,0))&amp;"","UNMAPPED"))</f>
        <v/>
      </c>
      <c r="T2457" s="37" t="str">
        <f aca="false">IF($M2457="","",IF(NOT(ISNUMBER(R2457)),"NO DATE",IF(S2457="Won",IF(R2457&gt;Settings!$B$5,"Backlog","Delivered"),IF(S2457="Open",IF(R2457&gt;Settings!$B$5,"Pipeline","Overdue"),IF(S2457="Lost","Lost","UNMAPPED")))))</f>
        <v/>
      </c>
      <c r="U2457" s="40" t="n">
        <f aca="false">IF(T2457="Backlog",1,IF(OR(T2457="Pipeline",T2457="Overdue"),N(INDEX(Settings!$C$27:$C$36,MATCH(L2457,Settings!$A$27:$A$36,0))),0))</f>
        <v>0</v>
      </c>
      <c r="V2457" s="38" t="n">
        <f aca="false">Q2457*U2457</f>
        <v>0</v>
      </c>
      <c r="W2457" s="41" t="str">
        <f aca="false">IF($M2457="","",IF(T2457="Overdue",IF(Settings!$B$8="Yes",Settings!$B$7,""),IF(ISNUMBER(R2457),DATE(YEAR(R2457),MONTH(R2457),1),"")))</f>
        <v/>
      </c>
      <c r="X2457" s="38" t="n">
        <f aca="false">IF(AND(OR(T2457="Backlog",T2457="Pipeline",T2457="Overdue"),ISNUMBER(W2457)),IF(W2457&lt;=Settings!$B$6,V2457,0),0)</f>
        <v>0</v>
      </c>
      <c r="Y2457" s="38" t="n">
        <f aca="false">IF(AND(OR(T2457="Backlog",T2457="Pipeline",T2457="Overdue"),ISNUMBER(W2457)),IF(W2457&lt;=Settings!$B$6,Q2457,0),0)</f>
        <v>0</v>
      </c>
      <c r="Z2457" s="38" t="n">
        <f aca="false">IF(Y2457=0,0,IF(T2457="Backlog",Q2457,Q2457*Dashboard!$C$10))</f>
        <v>0</v>
      </c>
      <c r="AA2457" s="37" t="n">
        <f aca="false">IF($N2457="",0,IF(COUNTIF(Dashboard!$C$13:$C$22,$N2457)&gt;0,1,0))</f>
        <v>0</v>
      </c>
      <c r="AB2457" s="37" t="str">
        <f aca="false">IF($N2457="","",IF(COUNTIF($N$8:$N2457,$N2457)=1,MAX($AB$7:$AB2456)+1,""))</f>
        <v/>
      </c>
    </row>
    <row r="2458" customFormat="false" ht="15" hidden="false" customHeight="false" outlineLevel="0" collapsed="false">
      <c r="L2458" s="37" t="str">
        <f aca="false">IF(INDEX($A2458:$J2458,$L$6)&lt;&gt;"",TRIM(LEFT(INDEX($A2458:$J2458,$L$6),FIND("(",INDEX($A2458:$J2458,$L$6)&amp;"(")-1)),L2457)</f>
        <v>Building Value Proposition</v>
      </c>
      <c r="M2458" s="37" t="str">
        <f aca="false">IF(INDEX($A2458:$J2458,$M$6)="","",INDEX($A2458:$J2458,$M$6)&amp;"")</f>
        <v/>
      </c>
      <c r="N2458" s="37" t="str">
        <f aca="false">IF($M2458="","",TRIM(INDEX($A2458:$J2458,$N$6)&amp;""))</f>
        <v/>
      </c>
      <c r="O2458" s="37" t="str">
        <f aca="false">IF($M2458="","",TRIM(INDEX($A2458:$J2458,$O$6)&amp;""))</f>
        <v/>
      </c>
      <c r="P2458" s="37" t="str">
        <f aca="false">IF($M2458="","",IFERROR(IF(INDEX(Settings!$B$41:$B$50,MATCH(O2458,Settings!$A$41:$A$50,0))&amp;""="","UNMAPPED",INDEX(Settings!$B$41:$B$50,MATCH(O2458,Settings!$A$41:$A$50,0))&amp;""),"UNMAPPED"))</f>
        <v/>
      </c>
      <c r="Q2458" s="38" t="n">
        <f aca="false">IF($M2458="",0,N(INDEX($A2458:$J2458,$Q$6)))</f>
        <v>0</v>
      </c>
      <c r="R2458" s="39" t="str">
        <f aca="false">IF($M2458="","",INDEX($A2458:$J2458,$R$6))</f>
        <v/>
      </c>
      <c r="S2458" s="37" t="str">
        <f aca="false">IF($M2458="","",IFERROR(INDEX(Settings!$B$27:$B$36,MATCH(L2458,Settings!$A$27:$A$36,0))&amp;"","UNMAPPED"))</f>
        <v/>
      </c>
      <c r="T2458" s="37" t="str">
        <f aca="false">IF($M2458="","",IF(NOT(ISNUMBER(R2458)),"NO DATE",IF(S2458="Won",IF(R2458&gt;Settings!$B$5,"Backlog","Delivered"),IF(S2458="Open",IF(R2458&gt;Settings!$B$5,"Pipeline","Overdue"),IF(S2458="Lost","Lost","UNMAPPED")))))</f>
        <v/>
      </c>
      <c r="U2458" s="40" t="n">
        <f aca="false">IF(T2458="Backlog",1,IF(OR(T2458="Pipeline",T2458="Overdue"),N(INDEX(Settings!$C$27:$C$36,MATCH(L2458,Settings!$A$27:$A$36,0))),0))</f>
        <v>0</v>
      </c>
      <c r="V2458" s="38" t="n">
        <f aca="false">Q2458*U2458</f>
        <v>0</v>
      </c>
      <c r="W2458" s="41" t="str">
        <f aca="false">IF($M2458="","",IF(T2458="Overdue",IF(Settings!$B$8="Yes",Settings!$B$7,""),IF(ISNUMBER(R2458),DATE(YEAR(R2458),MONTH(R2458),1),"")))</f>
        <v/>
      </c>
      <c r="X2458" s="38" t="n">
        <f aca="false">IF(AND(OR(T2458="Backlog",T2458="Pipeline",T2458="Overdue"),ISNUMBER(W2458)),IF(W2458&lt;=Settings!$B$6,V2458,0),0)</f>
        <v>0</v>
      </c>
      <c r="Y2458" s="38" t="n">
        <f aca="false">IF(AND(OR(T2458="Backlog",T2458="Pipeline",T2458="Overdue"),ISNUMBER(W2458)),IF(W2458&lt;=Settings!$B$6,Q2458,0),0)</f>
        <v>0</v>
      </c>
      <c r="Z2458" s="38" t="n">
        <f aca="false">IF(Y2458=0,0,IF(T2458="Backlog",Q2458,Q2458*Dashboard!$C$10))</f>
        <v>0</v>
      </c>
      <c r="AA2458" s="37" t="n">
        <f aca="false">IF($N2458="",0,IF(COUNTIF(Dashboard!$C$13:$C$22,$N2458)&gt;0,1,0))</f>
        <v>0</v>
      </c>
      <c r="AB2458" s="37" t="str">
        <f aca="false">IF($N2458="","",IF(COUNTIF($N$8:$N2458,$N2458)=1,MAX($AB$7:$AB2457)+1,""))</f>
        <v/>
      </c>
    </row>
    <row r="2459" customFormat="false" ht="15" hidden="false" customHeight="false" outlineLevel="0" collapsed="false">
      <c r="L2459" s="37" t="str">
        <f aca="false">IF(INDEX($A2459:$J2459,$L$6)&lt;&gt;"",TRIM(LEFT(INDEX($A2459:$J2459,$L$6),FIND("(",INDEX($A2459:$J2459,$L$6)&amp;"(")-1)),L2458)</f>
        <v>Building Value Proposition</v>
      </c>
      <c r="M2459" s="37" t="str">
        <f aca="false">IF(INDEX($A2459:$J2459,$M$6)="","",INDEX($A2459:$J2459,$M$6)&amp;"")</f>
        <v/>
      </c>
      <c r="N2459" s="37" t="str">
        <f aca="false">IF($M2459="","",TRIM(INDEX($A2459:$J2459,$N$6)&amp;""))</f>
        <v/>
      </c>
      <c r="O2459" s="37" t="str">
        <f aca="false">IF($M2459="","",TRIM(INDEX($A2459:$J2459,$O$6)&amp;""))</f>
        <v/>
      </c>
      <c r="P2459" s="37" t="str">
        <f aca="false">IF($M2459="","",IFERROR(IF(INDEX(Settings!$B$41:$B$50,MATCH(O2459,Settings!$A$41:$A$50,0))&amp;""="","UNMAPPED",INDEX(Settings!$B$41:$B$50,MATCH(O2459,Settings!$A$41:$A$50,0))&amp;""),"UNMAPPED"))</f>
        <v/>
      </c>
      <c r="Q2459" s="38" t="n">
        <f aca="false">IF($M2459="",0,N(INDEX($A2459:$J2459,$Q$6)))</f>
        <v>0</v>
      </c>
      <c r="R2459" s="39" t="str">
        <f aca="false">IF($M2459="","",INDEX($A2459:$J2459,$R$6))</f>
        <v/>
      </c>
      <c r="S2459" s="37" t="str">
        <f aca="false">IF($M2459="","",IFERROR(INDEX(Settings!$B$27:$B$36,MATCH(L2459,Settings!$A$27:$A$36,0))&amp;"","UNMAPPED"))</f>
        <v/>
      </c>
      <c r="T2459" s="37" t="str">
        <f aca="false">IF($M2459="","",IF(NOT(ISNUMBER(R2459)),"NO DATE",IF(S2459="Won",IF(R2459&gt;Settings!$B$5,"Backlog","Delivered"),IF(S2459="Open",IF(R2459&gt;Settings!$B$5,"Pipeline","Overdue"),IF(S2459="Lost","Lost","UNMAPPED")))))</f>
        <v/>
      </c>
      <c r="U2459" s="40" t="n">
        <f aca="false">IF(T2459="Backlog",1,IF(OR(T2459="Pipeline",T2459="Overdue"),N(INDEX(Settings!$C$27:$C$36,MATCH(L2459,Settings!$A$27:$A$36,0))),0))</f>
        <v>0</v>
      </c>
      <c r="V2459" s="38" t="n">
        <f aca="false">Q2459*U2459</f>
        <v>0</v>
      </c>
      <c r="W2459" s="41" t="str">
        <f aca="false">IF($M2459="","",IF(T2459="Overdue",IF(Settings!$B$8="Yes",Settings!$B$7,""),IF(ISNUMBER(R2459),DATE(YEAR(R2459),MONTH(R2459),1),"")))</f>
        <v/>
      </c>
      <c r="X2459" s="38" t="n">
        <f aca="false">IF(AND(OR(T2459="Backlog",T2459="Pipeline",T2459="Overdue"),ISNUMBER(W2459)),IF(W2459&lt;=Settings!$B$6,V2459,0),0)</f>
        <v>0</v>
      </c>
      <c r="Y2459" s="38" t="n">
        <f aca="false">IF(AND(OR(T2459="Backlog",T2459="Pipeline",T2459="Overdue"),ISNUMBER(W2459)),IF(W2459&lt;=Settings!$B$6,Q2459,0),0)</f>
        <v>0</v>
      </c>
      <c r="Z2459" s="38" t="n">
        <f aca="false">IF(Y2459=0,0,IF(T2459="Backlog",Q2459,Q2459*Dashboard!$C$10))</f>
        <v>0</v>
      </c>
      <c r="AA2459" s="37" t="n">
        <f aca="false">IF($N2459="",0,IF(COUNTIF(Dashboard!$C$13:$C$22,$N2459)&gt;0,1,0))</f>
        <v>0</v>
      </c>
      <c r="AB2459" s="37" t="str">
        <f aca="false">IF($N2459="","",IF(COUNTIF($N$8:$N2459,$N2459)=1,MAX($AB$7:$AB2458)+1,""))</f>
        <v/>
      </c>
    </row>
    <row r="2460" customFormat="false" ht="15" hidden="false" customHeight="false" outlineLevel="0" collapsed="false">
      <c r="L2460" s="37" t="str">
        <f aca="false">IF(INDEX($A2460:$J2460,$L$6)&lt;&gt;"",TRIM(LEFT(INDEX($A2460:$J2460,$L$6),FIND("(",INDEX($A2460:$J2460,$L$6)&amp;"(")-1)),L2459)</f>
        <v>Building Value Proposition</v>
      </c>
      <c r="M2460" s="37" t="str">
        <f aca="false">IF(INDEX($A2460:$J2460,$M$6)="","",INDEX($A2460:$J2460,$M$6)&amp;"")</f>
        <v/>
      </c>
      <c r="N2460" s="37" t="str">
        <f aca="false">IF($M2460="","",TRIM(INDEX($A2460:$J2460,$N$6)&amp;""))</f>
        <v/>
      </c>
      <c r="O2460" s="37" t="str">
        <f aca="false">IF($M2460="","",TRIM(INDEX($A2460:$J2460,$O$6)&amp;""))</f>
        <v/>
      </c>
      <c r="P2460" s="37" t="str">
        <f aca="false">IF($M2460="","",IFERROR(IF(INDEX(Settings!$B$41:$B$50,MATCH(O2460,Settings!$A$41:$A$50,0))&amp;""="","UNMAPPED",INDEX(Settings!$B$41:$B$50,MATCH(O2460,Settings!$A$41:$A$50,0))&amp;""),"UNMAPPED"))</f>
        <v/>
      </c>
      <c r="Q2460" s="38" t="n">
        <f aca="false">IF($M2460="",0,N(INDEX($A2460:$J2460,$Q$6)))</f>
        <v>0</v>
      </c>
      <c r="R2460" s="39" t="str">
        <f aca="false">IF($M2460="","",INDEX($A2460:$J2460,$R$6))</f>
        <v/>
      </c>
      <c r="S2460" s="37" t="str">
        <f aca="false">IF($M2460="","",IFERROR(INDEX(Settings!$B$27:$B$36,MATCH(L2460,Settings!$A$27:$A$36,0))&amp;"","UNMAPPED"))</f>
        <v/>
      </c>
      <c r="T2460" s="37" t="str">
        <f aca="false">IF($M2460="","",IF(NOT(ISNUMBER(R2460)),"NO DATE",IF(S2460="Won",IF(R2460&gt;Settings!$B$5,"Backlog","Delivered"),IF(S2460="Open",IF(R2460&gt;Settings!$B$5,"Pipeline","Overdue"),IF(S2460="Lost","Lost","UNMAPPED")))))</f>
        <v/>
      </c>
      <c r="U2460" s="40" t="n">
        <f aca="false">IF(T2460="Backlog",1,IF(OR(T2460="Pipeline",T2460="Overdue"),N(INDEX(Settings!$C$27:$C$36,MATCH(L2460,Settings!$A$27:$A$36,0))),0))</f>
        <v>0</v>
      </c>
      <c r="V2460" s="38" t="n">
        <f aca="false">Q2460*U2460</f>
        <v>0</v>
      </c>
      <c r="W2460" s="41" t="str">
        <f aca="false">IF($M2460="","",IF(T2460="Overdue",IF(Settings!$B$8="Yes",Settings!$B$7,""),IF(ISNUMBER(R2460),DATE(YEAR(R2460),MONTH(R2460),1),"")))</f>
        <v/>
      </c>
      <c r="X2460" s="38" t="n">
        <f aca="false">IF(AND(OR(T2460="Backlog",T2460="Pipeline",T2460="Overdue"),ISNUMBER(W2460)),IF(W2460&lt;=Settings!$B$6,V2460,0),0)</f>
        <v>0</v>
      </c>
      <c r="Y2460" s="38" t="n">
        <f aca="false">IF(AND(OR(T2460="Backlog",T2460="Pipeline",T2460="Overdue"),ISNUMBER(W2460)),IF(W2460&lt;=Settings!$B$6,Q2460,0),0)</f>
        <v>0</v>
      </c>
      <c r="Z2460" s="38" t="n">
        <f aca="false">IF(Y2460=0,0,IF(T2460="Backlog",Q2460,Q2460*Dashboard!$C$10))</f>
        <v>0</v>
      </c>
      <c r="AA2460" s="37" t="n">
        <f aca="false">IF($N2460="",0,IF(COUNTIF(Dashboard!$C$13:$C$22,$N2460)&gt;0,1,0))</f>
        <v>0</v>
      </c>
      <c r="AB2460" s="37" t="str">
        <f aca="false">IF($N2460="","",IF(COUNTIF($N$8:$N2460,$N2460)=1,MAX($AB$7:$AB2459)+1,""))</f>
        <v/>
      </c>
    </row>
    <row r="2461" customFormat="false" ht="15" hidden="false" customHeight="false" outlineLevel="0" collapsed="false">
      <c r="L2461" s="37" t="str">
        <f aca="false">IF(INDEX($A2461:$J2461,$L$6)&lt;&gt;"",TRIM(LEFT(INDEX($A2461:$J2461,$L$6),FIND("(",INDEX($A2461:$J2461,$L$6)&amp;"(")-1)),L2460)</f>
        <v>Building Value Proposition</v>
      </c>
      <c r="M2461" s="37" t="str">
        <f aca="false">IF(INDEX($A2461:$J2461,$M$6)="","",INDEX($A2461:$J2461,$M$6)&amp;"")</f>
        <v/>
      </c>
      <c r="N2461" s="37" t="str">
        <f aca="false">IF($M2461="","",TRIM(INDEX($A2461:$J2461,$N$6)&amp;""))</f>
        <v/>
      </c>
      <c r="O2461" s="37" t="str">
        <f aca="false">IF($M2461="","",TRIM(INDEX($A2461:$J2461,$O$6)&amp;""))</f>
        <v/>
      </c>
      <c r="P2461" s="37" t="str">
        <f aca="false">IF($M2461="","",IFERROR(IF(INDEX(Settings!$B$41:$B$50,MATCH(O2461,Settings!$A$41:$A$50,0))&amp;""="","UNMAPPED",INDEX(Settings!$B$41:$B$50,MATCH(O2461,Settings!$A$41:$A$50,0))&amp;""),"UNMAPPED"))</f>
        <v/>
      </c>
      <c r="Q2461" s="38" t="n">
        <f aca="false">IF($M2461="",0,N(INDEX($A2461:$J2461,$Q$6)))</f>
        <v>0</v>
      </c>
      <c r="R2461" s="39" t="str">
        <f aca="false">IF($M2461="","",INDEX($A2461:$J2461,$R$6))</f>
        <v/>
      </c>
      <c r="S2461" s="37" t="str">
        <f aca="false">IF($M2461="","",IFERROR(INDEX(Settings!$B$27:$B$36,MATCH(L2461,Settings!$A$27:$A$36,0))&amp;"","UNMAPPED"))</f>
        <v/>
      </c>
      <c r="T2461" s="37" t="str">
        <f aca="false">IF($M2461="","",IF(NOT(ISNUMBER(R2461)),"NO DATE",IF(S2461="Won",IF(R2461&gt;Settings!$B$5,"Backlog","Delivered"),IF(S2461="Open",IF(R2461&gt;Settings!$B$5,"Pipeline","Overdue"),IF(S2461="Lost","Lost","UNMAPPED")))))</f>
        <v/>
      </c>
      <c r="U2461" s="40" t="n">
        <f aca="false">IF(T2461="Backlog",1,IF(OR(T2461="Pipeline",T2461="Overdue"),N(INDEX(Settings!$C$27:$C$36,MATCH(L2461,Settings!$A$27:$A$36,0))),0))</f>
        <v>0</v>
      </c>
      <c r="V2461" s="38" t="n">
        <f aca="false">Q2461*U2461</f>
        <v>0</v>
      </c>
      <c r="W2461" s="41" t="str">
        <f aca="false">IF($M2461="","",IF(T2461="Overdue",IF(Settings!$B$8="Yes",Settings!$B$7,""),IF(ISNUMBER(R2461),DATE(YEAR(R2461),MONTH(R2461),1),"")))</f>
        <v/>
      </c>
      <c r="X2461" s="38" t="n">
        <f aca="false">IF(AND(OR(T2461="Backlog",T2461="Pipeline",T2461="Overdue"),ISNUMBER(W2461)),IF(W2461&lt;=Settings!$B$6,V2461,0),0)</f>
        <v>0</v>
      </c>
      <c r="Y2461" s="38" t="n">
        <f aca="false">IF(AND(OR(T2461="Backlog",T2461="Pipeline",T2461="Overdue"),ISNUMBER(W2461)),IF(W2461&lt;=Settings!$B$6,Q2461,0),0)</f>
        <v>0</v>
      </c>
      <c r="Z2461" s="38" t="n">
        <f aca="false">IF(Y2461=0,0,IF(T2461="Backlog",Q2461,Q2461*Dashboard!$C$10))</f>
        <v>0</v>
      </c>
      <c r="AA2461" s="37" t="n">
        <f aca="false">IF($N2461="",0,IF(COUNTIF(Dashboard!$C$13:$C$22,$N2461)&gt;0,1,0))</f>
        <v>0</v>
      </c>
      <c r="AB2461" s="37" t="str">
        <f aca="false">IF($N2461="","",IF(COUNTIF($N$8:$N2461,$N2461)=1,MAX($AB$7:$AB2460)+1,""))</f>
        <v/>
      </c>
    </row>
    <row r="2462" customFormat="false" ht="15" hidden="false" customHeight="false" outlineLevel="0" collapsed="false">
      <c r="L2462" s="37" t="str">
        <f aca="false">IF(INDEX($A2462:$J2462,$L$6)&lt;&gt;"",TRIM(LEFT(INDEX($A2462:$J2462,$L$6),FIND("(",INDEX($A2462:$J2462,$L$6)&amp;"(")-1)),L2461)</f>
        <v>Building Value Proposition</v>
      </c>
      <c r="M2462" s="37" t="str">
        <f aca="false">IF(INDEX($A2462:$J2462,$M$6)="","",INDEX($A2462:$J2462,$M$6)&amp;"")</f>
        <v/>
      </c>
      <c r="N2462" s="37" t="str">
        <f aca="false">IF($M2462="","",TRIM(INDEX($A2462:$J2462,$N$6)&amp;""))</f>
        <v/>
      </c>
      <c r="O2462" s="37" t="str">
        <f aca="false">IF($M2462="","",TRIM(INDEX($A2462:$J2462,$O$6)&amp;""))</f>
        <v/>
      </c>
      <c r="P2462" s="37" t="str">
        <f aca="false">IF($M2462="","",IFERROR(IF(INDEX(Settings!$B$41:$B$50,MATCH(O2462,Settings!$A$41:$A$50,0))&amp;""="","UNMAPPED",INDEX(Settings!$B$41:$B$50,MATCH(O2462,Settings!$A$41:$A$50,0))&amp;""),"UNMAPPED"))</f>
        <v/>
      </c>
      <c r="Q2462" s="38" t="n">
        <f aca="false">IF($M2462="",0,N(INDEX($A2462:$J2462,$Q$6)))</f>
        <v>0</v>
      </c>
      <c r="R2462" s="39" t="str">
        <f aca="false">IF($M2462="","",INDEX($A2462:$J2462,$R$6))</f>
        <v/>
      </c>
      <c r="S2462" s="37" t="str">
        <f aca="false">IF($M2462="","",IFERROR(INDEX(Settings!$B$27:$B$36,MATCH(L2462,Settings!$A$27:$A$36,0))&amp;"","UNMAPPED"))</f>
        <v/>
      </c>
      <c r="T2462" s="37" t="str">
        <f aca="false">IF($M2462="","",IF(NOT(ISNUMBER(R2462)),"NO DATE",IF(S2462="Won",IF(R2462&gt;Settings!$B$5,"Backlog","Delivered"),IF(S2462="Open",IF(R2462&gt;Settings!$B$5,"Pipeline","Overdue"),IF(S2462="Lost","Lost","UNMAPPED")))))</f>
        <v/>
      </c>
      <c r="U2462" s="40" t="n">
        <f aca="false">IF(T2462="Backlog",1,IF(OR(T2462="Pipeline",T2462="Overdue"),N(INDEX(Settings!$C$27:$C$36,MATCH(L2462,Settings!$A$27:$A$36,0))),0))</f>
        <v>0</v>
      </c>
      <c r="V2462" s="38" t="n">
        <f aca="false">Q2462*U2462</f>
        <v>0</v>
      </c>
      <c r="W2462" s="41" t="str">
        <f aca="false">IF($M2462="","",IF(T2462="Overdue",IF(Settings!$B$8="Yes",Settings!$B$7,""),IF(ISNUMBER(R2462),DATE(YEAR(R2462),MONTH(R2462),1),"")))</f>
        <v/>
      </c>
      <c r="X2462" s="38" t="n">
        <f aca="false">IF(AND(OR(T2462="Backlog",T2462="Pipeline",T2462="Overdue"),ISNUMBER(W2462)),IF(W2462&lt;=Settings!$B$6,V2462,0),0)</f>
        <v>0</v>
      </c>
      <c r="Y2462" s="38" t="n">
        <f aca="false">IF(AND(OR(T2462="Backlog",T2462="Pipeline",T2462="Overdue"),ISNUMBER(W2462)),IF(W2462&lt;=Settings!$B$6,Q2462,0),0)</f>
        <v>0</v>
      </c>
      <c r="Z2462" s="38" t="n">
        <f aca="false">IF(Y2462=0,0,IF(T2462="Backlog",Q2462,Q2462*Dashboard!$C$10))</f>
        <v>0</v>
      </c>
      <c r="AA2462" s="37" t="n">
        <f aca="false">IF($N2462="",0,IF(COUNTIF(Dashboard!$C$13:$C$22,$N2462)&gt;0,1,0))</f>
        <v>0</v>
      </c>
      <c r="AB2462" s="37" t="str">
        <f aca="false">IF($N2462="","",IF(COUNTIF($N$8:$N2462,$N2462)=1,MAX($AB$7:$AB2461)+1,""))</f>
        <v/>
      </c>
    </row>
    <row r="2463" customFormat="false" ht="15" hidden="false" customHeight="false" outlineLevel="0" collapsed="false">
      <c r="L2463" s="37" t="str">
        <f aca="false">IF(INDEX($A2463:$J2463,$L$6)&lt;&gt;"",TRIM(LEFT(INDEX($A2463:$J2463,$L$6),FIND("(",INDEX($A2463:$J2463,$L$6)&amp;"(")-1)),L2462)</f>
        <v>Building Value Proposition</v>
      </c>
      <c r="M2463" s="37" t="str">
        <f aca="false">IF(INDEX($A2463:$J2463,$M$6)="","",INDEX($A2463:$J2463,$M$6)&amp;"")</f>
        <v/>
      </c>
      <c r="N2463" s="37" t="str">
        <f aca="false">IF($M2463="","",TRIM(INDEX($A2463:$J2463,$N$6)&amp;""))</f>
        <v/>
      </c>
      <c r="O2463" s="37" t="str">
        <f aca="false">IF($M2463="","",TRIM(INDEX($A2463:$J2463,$O$6)&amp;""))</f>
        <v/>
      </c>
      <c r="P2463" s="37" t="str">
        <f aca="false">IF($M2463="","",IFERROR(IF(INDEX(Settings!$B$41:$B$50,MATCH(O2463,Settings!$A$41:$A$50,0))&amp;""="","UNMAPPED",INDEX(Settings!$B$41:$B$50,MATCH(O2463,Settings!$A$41:$A$50,0))&amp;""),"UNMAPPED"))</f>
        <v/>
      </c>
      <c r="Q2463" s="38" t="n">
        <f aca="false">IF($M2463="",0,N(INDEX($A2463:$J2463,$Q$6)))</f>
        <v>0</v>
      </c>
      <c r="R2463" s="39" t="str">
        <f aca="false">IF($M2463="","",INDEX($A2463:$J2463,$R$6))</f>
        <v/>
      </c>
      <c r="S2463" s="37" t="str">
        <f aca="false">IF($M2463="","",IFERROR(INDEX(Settings!$B$27:$B$36,MATCH(L2463,Settings!$A$27:$A$36,0))&amp;"","UNMAPPED"))</f>
        <v/>
      </c>
      <c r="T2463" s="37" t="str">
        <f aca="false">IF($M2463="","",IF(NOT(ISNUMBER(R2463)),"NO DATE",IF(S2463="Won",IF(R2463&gt;Settings!$B$5,"Backlog","Delivered"),IF(S2463="Open",IF(R2463&gt;Settings!$B$5,"Pipeline","Overdue"),IF(S2463="Lost","Lost","UNMAPPED")))))</f>
        <v/>
      </c>
      <c r="U2463" s="40" t="n">
        <f aca="false">IF(T2463="Backlog",1,IF(OR(T2463="Pipeline",T2463="Overdue"),N(INDEX(Settings!$C$27:$C$36,MATCH(L2463,Settings!$A$27:$A$36,0))),0))</f>
        <v>0</v>
      </c>
      <c r="V2463" s="38" t="n">
        <f aca="false">Q2463*U2463</f>
        <v>0</v>
      </c>
      <c r="W2463" s="41" t="str">
        <f aca="false">IF($M2463="","",IF(T2463="Overdue",IF(Settings!$B$8="Yes",Settings!$B$7,""),IF(ISNUMBER(R2463),DATE(YEAR(R2463),MONTH(R2463),1),"")))</f>
        <v/>
      </c>
      <c r="X2463" s="38" t="n">
        <f aca="false">IF(AND(OR(T2463="Backlog",T2463="Pipeline",T2463="Overdue"),ISNUMBER(W2463)),IF(W2463&lt;=Settings!$B$6,V2463,0),0)</f>
        <v>0</v>
      </c>
      <c r="Y2463" s="38" t="n">
        <f aca="false">IF(AND(OR(T2463="Backlog",T2463="Pipeline",T2463="Overdue"),ISNUMBER(W2463)),IF(W2463&lt;=Settings!$B$6,Q2463,0),0)</f>
        <v>0</v>
      </c>
      <c r="Z2463" s="38" t="n">
        <f aca="false">IF(Y2463=0,0,IF(T2463="Backlog",Q2463,Q2463*Dashboard!$C$10))</f>
        <v>0</v>
      </c>
      <c r="AA2463" s="37" t="n">
        <f aca="false">IF($N2463="",0,IF(COUNTIF(Dashboard!$C$13:$C$22,$N2463)&gt;0,1,0))</f>
        <v>0</v>
      </c>
      <c r="AB2463" s="37" t="str">
        <f aca="false">IF($N2463="","",IF(COUNTIF($N$8:$N2463,$N2463)=1,MAX($AB$7:$AB2462)+1,""))</f>
        <v/>
      </c>
    </row>
    <row r="2464" customFormat="false" ht="15" hidden="false" customHeight="false" outlineLevel="0" collapsed="false">
      <c r="L2464" s="37" t="str">
        <f aca="false">IF(INDEX($A2464:$J2464,$L$6)&lt;&gt;"",TRIM(LEFT(INDEX($A2464:$J2464,$L$6),FIND("(",INDEX($A2464:$J2464,$L$6)&amp;"(")-1)),L2463)</f>
        <v>Building Value Proposition</v>
      </c>
      <c r="M2464" s="37" t="str">
        <f aca="false">IF(INDEX($A2464:$J2464,$M$6)="","",INDEX($A2464:$J2464,$M$6)&amp;"")</f>
        <v/>
      </c>
      <c r="N2464" s="37" t="str">
        <f aca="false">IF($M2464="","",TRIM(INDEX($A2464:$J2464,$N$6)&amp;""))</f>
        <v/>
      </c>
      <c r="O2464" s="37" t="str">
        <f aca="false">IF($M2464="","",TRIM(INDEX($A2464:$J2464,$O$6)&amp;""))</f>
        <v/>
      </c>
      <c r="P2464" s="37" t="str">
        <f aca="false">IF($M2464="","",IFERROR(IF(INDEX(Settings!$B$41:$B$50,MATCH(O2464,Settings!$A$41:$A$50,0))&amp;""="","UNMAPPED",INDEX(Settings!$B$41:$B$50,MATCH(O2464,Settings!$A$41:$A$50,0))&amp;""),"UNMAPPED"))</f>
        <v/>
      </c>
      <c r="Q2464" s="38" t="n">
        <f aca="false">IF($M2464="",0,N(INDEX($A2464:$J2464,$Q$6)))</f>
        <v>0</v>
      </c>
      <c r="R2464" s="39" t="str">
        <f aca="false">IF($M2464="","",INDEX($A2464:$J2464,$R$6))</f>
        <v/>
      </c>
      <c r="S2464" s="37" t="str">
        <f aca="false">IF($M2464="","",IFERROR(INDEX(Settings!$B$27:$B$36,MATCH(L2464,Settings!$A$27:$A$36,0))&amp;"","UNMAPPED"))</f>
        <v/>
      </c>
      <c r="T2464" s="37" t="str">
        <f aca="false">IF($M2464="","",IF(NOT(ISNUMBER(R2464)),"NO DATE",IF(S2464="Won",IF(R2464&gt;Settings!$B$5,"Backlog","Delivered"),IF(S2464="Open",IF(R2464&gt;Settings!$B$5,"Pipeline","Overdue"),IF(S2464="Lost","Lost","UNMAPPED")))))</f>
        <v/>
      </c>
      <c r="U2464" s="40" t="n">
        <f aca="false">IF(T2464="Backlog",1,IF(OR(T2464="Pipeline",T2464="Overdue"),N(INDEX(Settings!$C$27:$C$36,MATCH(L2464,Settings!$A$27:$A$36,0))),0))</f>
        <v>0</v>
      </c>
      <c r="V2464" s="38" t="n">
        <f aca="false">Q2464*U2464</f>
        <v>0</v>
      </c>
      <c r="W2464" s="41" t="str">
        <f aca="false">IF($M2464="","",IF(T2464="Overdue",IF(Settings!$B$8="Yes",Settings!$B$7,""),IF(ISNUMBER(R2464),DATE(YEAR(R2464),MONTH(R2464),1),"")))</f>
        <v/>
      </c>
      <c r="X2464" s="38" t="n">
        <f aca="false">IF(AND(OR(T2464="Backlog",T2464="Pipeline",T2464="Overdue"),ISNUMBER(W2464)),IF(W2464&lt;=Settings!$B$6,V2464,0),0)</f>
        <v>0</v>
      </c>
      <c r="Y2464" s="38" t="n">
        <f aca="false">IF(AND(OR(T2464="Backlog",T2464="Pipeline",T2464="Overdue"),ISNUMBER(W2464)),IF(W2464&lt;=Settings!$B$6,Q2464,0),0)</f>
        <v>0</v>
      </c>
      <c r="Z2464" s="38" t="n">
        <f aca="false">IF(Y2464=0,0,IF(T2464="Backlog",Q2464,Q2464*Dashboard!$C$10))</f>
        <v>0</v>
      </c>
      <c r="AA2464" s="37" t="n">
        <f aca="false">IF($N2464="",0,IF(COUNTIF(Dashboard!$C$13:$C$22,$N2464)&gt;0,1,0))</f>
        <v>0</v>
      </c>
      <c r="AB2464" s="37" t="str">
        <f aca="false">IF($N2464="","",IF(COUNTIF($N$8:$N2464,$N2464)=1,MAX($AB$7:$AB2463)+1,""))</f>
        <v/>
      </c>
    </row>
    <row r="2465" customFormat="false" ht="15" hidden="false" customHeight="false" outlineLevel="0" collapsed="false">
      <c r="L2465" s="37" t="str">
        <f aca="false">IF(INDEX($A2465:$J2465,$L$6)&lt;&gt;"",TRIM(LEFT(INDEX($A2465:$J2465,$L$6),FIND("(",INDEX($A2465:$J2465,$L$6)&amp;"(")-1)),L2464)</f>
        <v>Building Value Proposition</v>
      </c>
      <c r="M2465" s="37" t="str">
        <f aca="false">IF(INDEX($A2465:$J2465,$M$6)="","",INDEX($A2465:$J2465,$M$6)&amp;"")</f>
        <v/>
      </c>
      <c r="N2465" s="37" t="str">
        <f aca="false">IF($M2465="","",TRIM(INDEX($A2465:$J2465,$N$6)&amp;""))</f>
        <v/>
      </c>
      <c r="O2465" s="37" t="str">
        <f aca="false">IF($M2465="","",TRIM(INDEX($A2465:$J2465,$O$6)&amp;""))</f>
        <v/>
      </c>
      <c r="P2465" s="37" t="str">
        <f aca="false">IF($M2465="","",IFERROR(IF(INDEX(Settings!$B$41:$B$50,MATCH(O2465,Settings!$A$41:$A$50,0))&amp;""="","UNMAPPED",INDEX(Settings!$B$41:$B$50,MATCH(O2465,Settings!$A$41:$A$50,0))&amp;""),"UNMAPPED"))</f>
        <v/>
      </c>
      <c r="Q2465" s="38" t="n">
        <f aca="false">IF($M2465="",0,N(INDEX($A2465:$J2465,$Q$6)))</f>
        <v>0</v>
      </c>
      <c r="R2465" s="39" t="str">
        <f aca="false">IF($M2465="","",INDEX($A2465:$J2465,$R$6))</f>
        <v/>
      </c>
      <c r="S2465" s="37" t="str">
        <f aca="false">IF($M2465="","",IFERROR(INDEX(Settings!$B$27:$B$36,MATCH(L2465,Settings!$A$27:$A$36,0))&amp;"","UNMAPPED"))</f>
        <v/>
      </c>
      <c r="T2465" s="37" t="str">
        <f aca="false">IF($M2465="","",IF(NOT(ISNUMBER(R2465)),"NO DATE",IF(S2465="Won",IF(R2465&gt;Settings!$B$5,"Backlog","Delivered"),IF(S2465="Open",IF(R2465&gt;Settings!$B$5,"Pipeline","Overdue"),IF(S2465="Lost","Lost","UNMAPPED")))))</f>
        <v/>
      </c>
      <c r="U2465" s="40" t="n">
        <f aca="false">IF(T2465="Backlog",1,IF(OR(T2465="Pipeline",T2465="Overdue"),N(INDEX(Settings!$C$27:$C$36,MATCH(L2465,Settings!$A$27:$A$36,0))),0))</f>
        <v>0</v>
      </c>
      <c r="V2465" s="38" t="n">
        <f aca="false">Q2465*U2465</f>
        <v>0</v>
      </c>
      <c r="W2465" s="41" t="str">
        <f aca="false">IF($M2465="","",IF(T2465="Overdue",IF(Settings!$B$8="Yes",Settings!$B$7,""),IF(ISNUMBER(R2465),DATE(YEAR(R2465),MONTH(R2465),1),"")))</f>
        <v/>
      </c>
      <c r="X2465" s="38" t="n">
        <f aca="false">IF(AND(OR(T2465="Backlog",T2465="Pipeline",T2465="Overdue"),ISNUMBER(W2465)),IF(W2465&lt;=Settings!$B$6,V2465,0),0)</f>
        <v>0</v>
      </c>
      <c r="Y2465" s="38" t="n">
        <f aca="false">IF(AND(OR(T2465="Backlog",T2465="Pipeline",T2465="Overdue"),ISNUMBER(W2465)),IF(W2465&lt;=Settings!$B$6,Q2465,0),0)</f>
        <v>0</v>
      </c>
      <c r="Z2465" s="38" t="n">
        <f aca="false">IF(Y2465=0,0,IF(T2465="Backlog",Q2465,Q2465*Dashboard!$C$10))</f>
        <v>0</v>
      </c>
      <c r="AA2465" s="37" t="n">
        <f aca="false">IF($N2465="",0,IF(COUNTIF(Dashboard!$C$13:$C$22,$N2465)&gt;0,1,0))</f>
        <v>0</v>
      </c>
      <c r="AB2465" s="37" t="str">
        <f aca="false">IF($N2465="","",IF(COUNTIF($N$8:$N2465,$N2465)=1,MAX($AB$7:$AB2464)+1,""))</f>
        <v/>
      </c>
    </row>
    <row r="2466" customFormat="false" ht="15" hidden="false" customHeight="false" outlineLevel="0" collapsed="false">
      <c r="L2466" s="37" t="str">
        <f aca="false">IF(INDEX($A2466:$J2466,$L$6)&lt;&gt;"",TRIM(LEFT(INDEX($A2466:$J2466,$L$6),FIND("(",INDEX($A2466:$J2466,$L$6)&amp;"(")-1)),L2465)</f>
        <v>Building Value Proposition</v>
      </c>
      <c r="M2466" s="37" t="str">
        <f aca="false">IF(INDEX($A2466:$J2466,$M$6)="","",INDEX($A2466:$J2466,$M$6)&amp;"")</f>
        <v/>
      </c>
      <c r="N2466" s="37" t="str">
        <f aca="false">IF($M2466="","",TRIM(INDEX($A2466:$J2466,$N$6)&amp;""))</f>
        <v/>
      </c>
      <c r="O2466" s="37" t="str">
        <f aca="false">IF($M2466="","",TRIM(INDEX($A2466:$J2466,$O$6)&amp;""))</f>
        <v/>
      </c>
      <c r="P2466" s="37" t="str">
        <f aca="false">IF($M2466="","",IFERROR(IF(INDEX(Settings!$B$41:$B$50,MATCH(O2466,Settings!$A$41:$A$50,0))&amp;""="","UNMAPPED",INDEX(Settings!$B$41:$B$50,MATCH(O2466,Settings!$A$41:$A$50,0))&amp;""),"UNMAPPED"))</f>
        <v/>
      </c>
      <c r="Q2466" s="38" t="n">
        <f aca="false">IF($M2466="",0,N(INDEX($A2466:$J2466,$Q$6)))</f>
        <v>0</v>
      </c>
      <c r="R2466" s="39" t="str">
        <f aca="false">IF($M2466="","",INDEX($A2466:$J2466,$R$6))</f>
        <v/>
      </c>
      <c r="S2466" s="37" t="str">
        <f aca="false">IF($M2466="","",IFERROR(INDEX(Settings!$B$27:$B$36,MATCH(L2466,Settings!$A$27:$A$36,0))&amp;"","UNMAPPED"))</f>
        <v/>
      </c>
      <c r="T2466" s="37" t="str">
        <f aca="false">IF($M2466="","",IF(NOT(ISNUMBER(R2466)),"NO DATE",IF(S2466="Won",IF(R2466&gt;Settings!$B$5,"Backlog","Delivered"),IF(S2466="Open",IF(R2466&gt;Settings!$B$5,"Pipeline","Overdue"),IF(S2466="Lost","Lost","UNMAPPED")))))</f>
        <v/>
      </c>
      <c r="U2466" s="40" t="n">
        <f aca="false">IF(T2466="Backlog",1,IF(OR(T2466="Pipeline",T2466="Overdue"),N(INDEX(Settings!$C$27:$C$36,MATCH(L2466,Settings!$A$27:$A$36,0))),0))</f>
        <v>0</v>
      </c>
      <c r="V2466" s="38" t="n">
        <f aca="false">Q2466*U2466</f>
        <v>0</v>
      </c>
      <c r="W2466" s="41" t="str">
        <f aca="false">IF($M2466="","",IF(T2466="Overdue",IF(Settings!$B$8="Yes",Settings!$B$7,""),IF(ISNUMBER(R2466),DATE(YEAR(R2466),MONTH(R2466),1),"")))</f>
        <v/>
      </c>
      <c r="X2466" s="38" t="n">
        <f aca="false">IF(AND(OR(T2466="Backlog",T2466="Pipeline",T2466="Overdue"),ISNUMBER(W2466)),IF(W2466&lt;=Settings!$B$6,V2466,0),0)</f>
        <v>0</v>
      </c>
      <c r="Y2466" s="38" t="n">
        <f aca="false">IF(AND(OR(T2466="Backlog",T2466="Pipeline",T2466="Overdue"),ISNUMBER(W2466)),IF(W2466&lt;=Settings!$B$6,Q2466,0),0)</f>
        <v>0</v>
      </c>
      <c r="Z2466" s="38" t="n">
        <f aca="false">IF(Y2466=0,0,IF(T2466="Backlog",Q2466,Q2466*Dashboard!$C$10))</f>
        <v>0</v>
      </c>
      <c r="AA2466" s="37" t="n">
        <f aca="false">IF($N2466="",0,IF(COUNTIF(Dashboard!$C$13:$C$22,$N2466)&gt;0,1,0))</f>
        <v>0</v>
      </c>
      <c r="AB2466" s="37" t="str">
        <f aca="false">IF($N2466="","",IF(COUNTIF($N$8:$N2466,$N2466)=1,MAX($AB$7:$AB2465)+1,""))</f>
        <v/>
      </c>
    </row>
    <row r="2467" customFormat="false" ht="15" hidden="false" customHeight="false" outlineLevel="0" collapsed="false">
      <c r="L2467" s="37" t="str">
        <f aca="false">IF(INDEX($A2467:$J2467,$L$6)&lt;&gt;"",TRIM(LEFT(INDEX($A2467:$J2467,$L$6),FIND("(",INDEX($A2467:$J2467,$L$6)&amp;"(")-1)),L2466)</f>
        <v>Building Value Proposition</v>
      </c>
      <c r="M2467" s="37" t="str">
        <f aca="false">IF(INDEX($A2467:$J2467,$M$6)="","",INDEX($A2467:$J2467,$M$6)&amp;"")</f>
        <v/>
      </c>
      <c r="N2467" s="37" t="str">
        <f aca="false">IF($M2467="","",TRIM(INDEX($A2467:$J2467,$N$6)&amp;""))</f>
        <v/>
      </c>
      <c r="O2467" s="37" t="str">
        <f aca="false">IF($M2467="","",TRIM(INDEX($A2467:$J2467,$O$6)&amp;""))</f>
        <v/>
      </c>
      <c r="P2467" s="37" t="str">
        <f aca="false">IF($M2467="","",IFERROR(IF(INDEX(Settings!$B$41:$B$50,MATCH(O2467,Settings!$A$41:$A$50,0))&amp;""="","UNMAPPED",INDEX(Settings!$B$41:$B$50,MATCH(O2467,Settings!$A$41:$A$50,0))&amp;""),"UNMAPPED"))</f>
        <v/>
      </c>
      <c r="Q2467" s="38" t="n">
        <f aca="false">IF($M2467="",0,N(INDEX($A2467:$J2467,$Q$6)))</f>
        <v>0</v>
      </c>
      <c r="R2467" s="39" t="str">
        <f aca="false">IF($M2467="","",INDEX($A2467:$J2467,$R$6))</f>
        <v/>
      </c>
      <c r="S2467" s="37" t="str">
        <f aca="false">IF($M2467="","",IFERROR(INDEX(Settings!$B$27:$B$36,MATCH(L2467,Settings!$A$27:$A$36,0))&amp;"","UNMAPPED"))</f>
        <v/>
      </c>
      <c r="T2467" s="37" t="str">
        <f aca="false">IF($M2467="","",IF(NOT(ISNUMBER(R2467)),"NO DATE",IF(S2467="Won",IF(R2467&gt;Settings!$B$5,"Backlog","Delivered"),IF(S2467="Open",IF(R2467&gt;Settings!$B$5,"Pipeline","Overdue"),IF(S2467="Lost","Lost","UNMAPPED")))))</f>
        <v/>
      </c>
      <c r="U2467" s="40" t="n">
        <f aca="false">IF(T2467="Backlog",1,IF(OR(T2467="Pipeline",T2467="Overdue"),N(INDEX(Settings!$C$27:$C$36,MATCH(L2467,Settings!$A$27:$A$36,0))),0))</f>
        <v>0</v>
      </c>
      <c r="V2467" s="38" t="n">
        <f aca="false">Q2467*U2467</f>
        <v>0</v>
      </c>
      <c r="W2467" s="41" t="str">
        <f aca="false">IF($M2467="","",IF(T2467="Overdue",IF(Settings!$B$8="Yes",Settings!$B$7,""),IF(ISNUMBER(R2467),DATE(YEAR(R2467),MONTH(R2467),1),"")))</f>
        <v/>
      </c>
      <c r="X2467" s="38" t="n">
        <f aca="false">IF(AND(OR(T2467="Backlog",T2467="Pipeline",T2467="Overdue"),ISNUMBER(W2467)),IF(W2467&lt;=Settings!$B$6,V2467,0),0)</f>
        <v>0</v>
      </c>
      <c r="Y2467" s="38" t="n">
        <f aca="false">IF(AND(OR(T2467="Backlog",T2467="Pipeline",T2467="Overdue"),ISNUMBER(W2467)),IF(W2467&lt;=Settings!$B$6,Q2467,0),0)</f>
        <v>0</v>
      </c>
      <c r="Z2467" s="38" t="n">
        <f aca="false">IF(Y2467=0,0,IF(T2467="Backlog",Q2467,Q2467*Dashboard!$C$10))</f>
        <v>0</v>
      </c>
      <c r="AA2467" s="37" t="n">
        <f aca="false">IF($N2467="",0,IF(COUNTIF(Dashboard!$C$13:$C$22,$N2467)&gt;0,1,0))</f>
        <v>0</v>
      </c>
      <c r="AB2467" s="37" t="str">
        <f aca="false">IF($N2467="","",IF(COUNTIF($N$8:$N2467,$N2467)=1,MAX($AB$7:$AB2466)+1,""))</f>
        <v/>
      </c>
    </row>
    <row r="2468" customFormat="false" ht="15" hidden="false" customHeight="false" outlineLevel="0" collapsed="false">
      <c r="L2468" s="37" t="str">
        <f aca="false">IF(INDEX($A2468:$J2468,$L$6)&lt;&gt;"",TRIM(LEFT(INDEX($A2468:$J2468,$L$6),FIND("(",INDEX($A2468:$J2468,$L$6)&amp;"(")-1)),L2467)</f>
        <v>Building Value Proposition</v>
      </c>
      <c r="M2468" s="37" t="str">
        <f aca="false">IF(INDEX($A2468:$J2468,$M$6)="","",INDEX($A2468:$J2468,$M$6)&amp;"")</f>
        <v/>
      </c>
      <c r="N2468" s="37" t="str">
        <f aca="false">IF($M2468="","",TRIM(INDEX($A2468:$J2468,$N$6)&amp;""))</f>
        <v/>
      </c>
      <c r="O2468" s="37" t="str">
        <f aca="false">IF($M2468="","",TRIM(INDEX($A2468:$J2468,$O$6)&amp;""))</f>
        <v/>
      </c>
      <c r="P2468" s="37" t="str">
        <f aca="false">IF($M2468="","",IFERROR(IF(INDEX(Settings!$B$41:$B$50,MATCH(O2468,Settings!$A$41:$A$50,0))&amp;""="","UNMAPPED",INDEX(Settings!$B$41:$B$50,MATCH(O2468,Settings!$A$41:$A$50,0))&amp;""),"UNMAPPED"))</f>
        <v/>
      </c>
      <c r="Q2468" s="38" t="n">
        <f aca="false">IF($M2468="",0,N(INDEX($A2468:$J2468,$Q$6)))</f>
        <v>0</v>
      </c>
      <c r="R2468" s="39" t="str">
        <f aca="false">IF($M2468="","",INDEX($A2468:$J2468,$R$6))</f>
        <v/>
      </c>
      <c r="S2468" s="37" t="str">
        <f aca="false">IF($M2468="","",IFERROR(INDEX(Settings!$B$27:$B$36,MATCH(L2468,Settings!$A$27:$A$36,0))&amp;"","UNMAPPED"))</f>
        <v/>
      </c>
      <c r="T2468" s="37" t="str">
        <f aca="false">IF($M2468="","",IF(NOT(ISNUMBER(R2468)),"NO DATE",IF(S2468="Won",IF(R2468&gt;Settings!$B$5,"Backlog","Delivered"),IF(S2468="Open",IF(R2468&gt;Settings!$B$5,"Pipeline","Overdue"),IF(S2468="Lost","Lost","UNMAPPED")))))</f>
        <v/>
      </c>
      <c r="U2468" s="40" t="n">
        <f aca="false">IF(T2468="Backlog",1,IF(OR(T2468="Pipeline",T2468="Overdue"),N(INDEX(Settings!$C$27:$C$36,MATCH(L2468,Settings!$A$27:$A$36,0))),0))</f>
        <v>0</v>
      </c>
      <c r="V2468" s="38" t="n">
        <f aca="false">Q2468*U2468</f>
        <v>0</v>
      </c>
      <c r="W2468" s="41" t="str">
        <f aca="false">IF($M2468="","",IF(T2468="Overdue",IF(Settings!$B$8="Yes",Settings!$B$7,""),IF(ISNUMBER(R2468),DATE(YEAR(R2468),MONTH(R2468),1),"")))</f>
        <v/>
      </c>
      <c r="X2468" s="38" t="n">
        <f aca="false">IF(AND(OR(T2468="Backlog",T2468="Pipeline",T2468="Overdue"),ISNUMBER(W2468)),IF(W2468&lt;=Settings!$B$6,V2468,0),0)</f>
        <v>0</v>
      </c>
      <c r="Y2468" s="38" t="n">
        <f aca="false">IF(AND(OR(T2468="Backlog",T2468="Pipeline",T2468="Overdue"),ISNUMBER(W2468)),IF(W2468&lt;=Settings!$B$6,Q2468,0),0)</f>
        <v>0</v>
      </c>
      <c r="Z2468" s="38" t="n">
        <f aca="false">IF(Y2468=0,0,IF(T2468="Backlog",Q2468,Q2468*Dashboard!$C$10))</f>
        <v>0</v>
      </c>
      <c r="AA2468" s="37" t="n">
        <f aca="false">IF($N2468="",0,IF(COUNTIF(Dashboard!$C$13:$C$22,$N2468)&gt;0,1,0))</f>
        <v>0</v>
      </c>
      <c r="AB2468" s="37" t="str">
        <f aca="false">IF($N2468="","",IF(COUNTIF($N$8:$N2468,$N2468)=1,MAX($AB$7:$AB2467)+1,""))</f>
        <v/>
      </c>
    </row>
    <row r="2469" customFormat="false" ht="15" hidden="false" customHeight="false" outlineLevel="0" collapsed="false">
      <c r="L2469" s="37" t="str">
        <f aca="false">IF(INDEX($A2469:$J2469,$L$6)&lt;&gt;"",TRIM(LEFT(INDEX($A2469:$J2469,$L$6),FIND("(",INDEX($A2469:$J2469,$L$6)&amp;"(")-1)),L2468)</f>
        <v>Building Value Proposition</v>
      </c>
      <c r="M2469" s="37" t="str">
        <f aca="false">IF(INDEX($A2469:$J2469,$M$6)="","",INDEX($A2469:$J2469,$M$6)&amp;"")</f>
        <v/>
      </c>
      <c r="N2469" s="37" t="str">
        <f aca="false">IF($M2469="","",TRIM(INDEX($A2469:$J2469,$N$6)&amp;""))</f>
        <v/>
      </c>
      <c r="O2469" s="37" t="str">
        <f aca="false">IF($M2469="","",TRIM(INDEX($A2469:$J2469,$O$6)&amp;""))</f>
        <v/>
      </c>
      <c r="P2469" s="37" t="str">
        <f aca="false">IF($M2469="","",IFERROR(IF(INDEX(Settings!$B$41:$B$50,MATCH(O2469,Settings!$A$41:$A$50,0))&amp;""="","UNMAPPED",INDEX(Settings!$B$41:$B$50,MATCH(O2469,Settings!$A$41:$A$50,0))&amp;""),"UNMAPPED"))</f>
        <v/>
      </c>
      <c r="Q2469" s="38" t="n">
        <f aca="false">IF($M2469="",0,N(INDEX($A2469:$J2469,$Q$6)))</f>
        <v>0</v>
      </c>
      <c r="R2469" s="39" t="str">
        <f aca="false">IF($M2469="","",INDEX($A2469:$J2469,$R$6))</f>
        <v/>
      </c>
      <c r="S2469" s="37" t="str">
        <f aca="false">IF($M2469="","",IFERROR(INDEX(Settings!$B$27:$B$36,MATCH(L2469,Settings!$A$27:$A$36,0))&amp;"","UNMAPPED"))</f>
        <v/>
      </c>
      <c r="T2469" s="37" t="str">
        <f aca="false">IF($M2469="","",IF(NOT(ISNUMBER(R2469)),"NO DATE",IF(S2469="Won",IF(R2469&gt;Settings!$B$5,"Backlog","Delivered"),IF(S2469="Open",IF(R2469&gt;Settings!$B$5,"Pipeline","Overdue"),IF(S2469="Lost","Lost","UNMAPPED")))))</f>
        <v/>
      </c>
      <c r="U2469" s="40" t="n">
        <f aca="false">IF(T2469="Backlog",1,IF(OR(T2469="Pipeline",T2469="Overdue"),N(INDEX(Settings!$C$27:$C$36,MATCH(L2469,Settings!$A$27:$A$36,0))),0))</f>
        <v>0</v>
      </c>
      <c r="V2469" s="38" t="n">
        <f aca="false">Q2469*U2469</f>
        <v>0</v>
      </c>
      <c r="W2469" s="41" t="str">
        <f aca="false">IF($M2469="","",IF(T2469="Overdue",IF(Settings!$B$8="Yes",Settings!$B$7,""),IF(ISNUMBER(R2469),DATE(YEAR(R2469),MONTH(R2469),1),"")))</f>
        <v/>
      </c>
      <c r="X2469" s="38" t="n">
        <f aca="false">IF(AND(OR(T2469="Backlog",T2469="Pipeline",T2469="Overdue"),ISNUMBER(W2469)),IF(W2469&lt;=Settings!$B$6,V2469,0),0)</f>
        <v>0</v>
      </c>
      <c r="Y2469" s="38" t="n">
        <f aca="false">IF(AND(OR(T2469="Backlog",T2469="Pipeline",T2469="Overdue"),ISNUMBER(W2469)),IF(W2469&lt;=Settings!$B$6,Q2469,0),0)</f>
        <v>0</v>
      </c>
      <c r="Z2469" s="38" t="n">
        <f aca="false">IF(Y2469=0,0,IF(T2469="Backlog",Q2469,Q2469*Dashboard!$C$10))</f>
        <v>0</v>
      </c>
      <c r="AA2469" s="37" t="n">
        <f aca="false">IF($N2469="",0,IF(COUNTIF(Dashboard!$C$13:$C$22,$N2469)&gt;0,1,0))</f>
        <v>0</v>
      </c>
      <c r="AB2469" s="37" t="str">
        <f aca="false">IF($N2469="","",IF(COUNTIF($N$8:$N2469,$N2469)=1,MAX($AB$7:$AB2468)+1,""))</f>
        <v/>
      </c>
    </row>
    <row r="2470" customFormat="false" ht="15" hidden="false" customHeight="false" outlineLevel="0" collapsed="false">
      <c r="L2470" s="37" t="str">
        <f aca="false">IF(INDEX($A2470:$J2470,$L$6)&lt;&gt;"",TRIM(LEFT(INDEX($A2470:$J2470,$L$6),FIND("(",INDEX($A2470:$J2470,$L$6)&amp;"(")-1)),L2469)</f>
        <v>Building Value Proposition</v>
      </c>
      <c r="M2470" s="37" t="str">
        <f aca="false">IF(INDEX($A2470:$J2470,$M$6)="","",INDEX($A2470:$J2470,$M$6)&amp;"")</f>
        <v/>
      </c>
      <c r="N2470" s="37" t="str">
        <f aca="false">IF($M2470="","",TRIM(INDEX($A2470:$J2470,$N$6)&amp;""))</f>
        <v/>
      </c>
      <c r="O2470" s="37" t="str">
        <f aca="false">IF($M2470="","",TRIM(INDEX($A2470:$J2470,$O$6)&amp;""))</f>
        <v/>
      </c>
      <c r="P2470" s="37" t="str">
        <f aca="false">IF($M2470="","",IFERROR(IF(INDEX(Settings!$B$41:$B$50,MATCH(O2470,Settings!$A$41:$A$50,0))&amp;""="","UNMAPPED",INDEX(Settings!$B$41:$B$50,MATCH(O2470,Settings!$A$41:$A$50,0))&amp;""),"UNMAPPED"))</f>
        <v/>
      </c>
      <c r="Q2470" s="38" t="n">
        <f aca="false">IF($M2470="",0,N(INDEX($A2470:$J2470,$Q$6)))</f>
        <v>0</v>
      </c>
      <c r="R2470" s="39" t="str">
        <f aca="false">IF($M2470="","",INDEX($A2470:$J2470,$R$6))</f>
        <v/>
      </c>
      <c r="S2470" s="37" t="str">
        <f aca="false">IF($M2470="","",IFERROR(INDEX(Settings!$B$27:$B$36,MATCH(L2470,Settings!$A$27:$A$36,0))&amp;"","UNMAPPED"))</f>
        <v/>
      </c>
      <c r="T2470" s="37" t="str">
        <f aca="false">IF($M2470="","",IF(NOT(ISNUMBER(R2470)),"NO DATE",IF(S2470="Won",IF(R2470&gt;Settings!$B$5,"Backlog","Delivered"),IF(S2470="Open",IF(R2470&gt;Settings!$B$5,"Pipeline","Overdue"),IF(S2470="Lost","Lost","UNMAPPED")))))</f>
        <v/>
      </c>
      <c r="U2470" s="40" t="n">
        <f aca="false">IF(T2470="Backlog",1,IF(OR(T2470="Pipeline",T2470="Overdue"),N(INDEX(Settings!$C$27:$C$36,MATCH(L2470,Settings!$A$27:$A$36,0))),0))</f>
        <v>0</v>
      </c>
      <c r="V2470" s="38" t="n">
        <f aca="false">Q2470*U2470</f>
        <v>0</v>
      </c>
      <c r="W2470" s="41" t="str">
        <f aca="false">IF($M2470="","",IF(T2470="Overdue",IF(Settings!$B$8="Yes",Settings!$B$7,""),IF(ISNUMBER(R2470),DATE(YEAR(R2470),MONTH(R2470),1),"")))</f>
        <v/>
      </c>
      <c r="X2470" s="38" t="n">
        <f aca="false">IF(AND(OR(T2470="Backlog",T2470="Pipeline",T2470="Overdue"),ISNUMBER(W2470)),IF(W2470&lt;=Settings!$B$6,V2470,0),0)</f>
        <v>0</v>
      </c>
      <c r="Y2470" s="38" t="n">
        <f aca="false">IF(AND(OR(T2470="Backlog",T2470="Pipeline",T2470="Overdue"),ISNUMBER(W2470)),IF(W2470&lt;=Settings!$B$6,Q2470,0),0)</f>
        <v>0</v>
      </c>
      <c r="Z2470" s="38" t="n">
        <f aca="false">IF(Y2470=0,0,IF(T2470="Backlog",Q2470,Q2470*Dashboard!$C$10))</f>
        <v>0</v>
      </c>
      <c r="AA2470" s="37" t="n">
        <f aca="false">IF($N2470="",0,IF(COUNTIF(Dashboard!$C$13:$C$22,$N2470)&gt;0,1,0))</f>
        <v>0</v>
      </c>
      <c r="AB2470" s="37" t="str">
        <f aca="false">IF($N2470="","",IF(COUNTIF($N$8:$N2470,$N2470)=1,MAX($AB$7:$AB2469)+1,""))</f>
        <v/>
      </c>
    </row>
    <row r="2471" customFormat="false" ht="15" hidden="false" customHeight="false" outlineLevel="0" collapsed="false">
      <c r="L2471" s="37" t="str">
        <f aca="false">IF(INDEX($A2471:$J2471,$L$6)&lt;&gt;"",TRIM(LEFT(INDEX($A2471:$J2471,$L$6),FIND("(",INDEX($A2471:$J2471,$L$6)&amp;"(")-1)),L2470)</f>
        <v>Building Value Proposition</v>
      </c>
      <c r="M2471" s="37" t="str">
        <f aca="false">IF(INDEX($A2471:$J2471,$M$6)="","",INDEX($A2471:$J2471,$M$6)&amp;"")</f>
        <v/>
      </c>
      <c r="N2471" s="37" t="str">
        <f aca="false">IF($M2471="","",TRIM(INDEX($A2471:$J2471,$N$6)&amp;""))</f>
        <v/>
      </c>
      <c r="O2471" s="37" t="str">
        <f aca="false">IF($M2471="","",TRIM(INDEX($A2471:$J2471,$O$6)&amp;""))</f>
        <v/>
      </c>
      <c r="P2471" s="37" t="str">
        <f aca="false">IF($M2471="","",IFERROR(IF(INDEX(Settings!$B$41:$B$50,MATCH(O2471,Settings!$A$41:$A$50,0))&amp;""="","UNMAPPED",INDEX(Settings!$B$41:$B$50,MATCH(O2471,Settings!$A$41:$A$50,0))&amp;""),"UNMAPPED"))</f>
        <v/>
      </c>
      <c r="Q2471" s="38" t="n">
        <f aca="false">IF($M2471="",0,N(INDEX($A2471:$J2471,$Q$6)))</f>
        <v>0</v>
      </c>
      <c r="R2471" s="39" t="str">
        <f aca="false">IF($M2471="","",INDEX($A2471:$J2471,$R$6))</f>
        <v/>
      </c>
      <c r="S2471" s="37" t="str">
        <f aca="false">IF($M2471="","",IFERROR(INDEX(Settings!$B$27:$B$36,MATCH(L2471,Settings!$A$27:$A$36,0))&amp;"","UNMAPPED"))</f>
        <v/>
      </c>
      <c r="T2471" s="37" t="str">
        <f aca="false">IF($M2471="","",IF(NOT(ISNUMBER(R2471)),"NO DATE",IF(S2471="Won",IF(R2471&gt;Settings!$B$5,"Backlog","Delivered"),IF(S2471="Open",IF(R2471&gt;Settings!$B$5,"Pipeline","Overdue"),IF(S2471="Lost","Lost","UNMAPPED")))))</f>
        <v/>
      </c>
      <c r="U2471" s="40" t="n">
        <f aca="false">IF(T2471="Backlog",1,IF(OR(T2471="Pipeline",T2471="Overdue"),N(INDEX(Settings!$C$27:$C$36,MATCH(L2471,Settings!$A$27:$A$36,0))),0))</f>
        <v>0</v>
      </c>
      <c r="V2471" s="38" t="n">
        <f aca="false">Q2471*U2471</f>
        <v>0</v>
      </c>
      <c r="W2471" s="41" t="str">
        <f aca="false">IF($M2471="","",IF(T2471="Overdue",IF(Settings!$B$8="Yes",Settings!$B$7,""),IF(ISNUMBER(R2471),DATE(YEAR(R2471),MONTH(R2471),1),"")))</f>
        <v/>
      </c>
      <c r="X2471" s="38" t="n">
        <f aca="false">IF(AND(OR(T2471="Backlog",T2471="Pipeline",T2471="Overdue"),ISNUMBER(W2471)),IF(W2471&lt;=Settings!$B$6,V2471,0),0)</f>
        <v>0</v>
      </c>
      <c r="Y2471" s="38" t="n">
        <f aca="false">IF(AND(OR(T2471="Backlog",T2471="Pipeline",T2471="Overdue"),ISNUMBER(W2471)),IF(W2471&lt;=Settings!$B$6,Q2471,0),0)</f>
        <v>0</v>
      </c>
      <c r="Z2471" s="38" t="n">
        <f aca="false">IF(Y2471=0,0,IF(T2471="Backlog",Q2471,Q2471*Dashboard!$C$10))</f>
        <v>0</v>
      </c>
      <c r="AA2471" s="37" t="n">
        <f aca="false">IF($N2471="",0,IF(COUNTIF(Dashboard!$C$13:$C$22,$N2471)&gt;0,1,0))</f>
        <v>0</v>
      </c>
      <c r="AB2471" s="37" t="str">
        <f aca="false">IF($N2471="","",IF(COUNTIF($N$8:$N2471,$N2471)=1,MAX($AB$7:$AB2470)+1,""))</f>
        <v/>
      </c>
    </row>
    <row r="2472" customFormat="false" ht="15" hidden="false" customHeight="false" outlineLevel="0" collapsed="false">
      <c r="L2472" s="37" t="str">
        <f aca="false">IF(INDEX($A2472:$J2472,$L$6)&lt;&gt;"",TRIM(LEFT(INDEX($A2472:$J2472,$L$6),FIND("(",INDEX($A2472:$J2472,$L$6)&amp;"(")-1)),L2471)</f>
        <v>Building Value Proposition</v>
      </c>
      <c r="M2472" s="37" t="str">
        <f aca="false">IF(INDEX($A2472:$J2472,$M$6)="","",INDEX($A2472:$J2472,$M$6)&amp;"")</f>
        <v/>
      </c>
      <c r="N2472" s="37" t="str">
        <f aca="false">IF($M2472="","",TRIM(INDEX($A2472:$J2472,$N$6)&amp;""))</f>
        <v/>
      </c>
      <c r="O2472" s="37" t="str">
        <f aca="false">IF($M2472="","",TRIM(INDEX($A2472:$J2472,$O$6)&amp;""))</f>
        <v/>
      </c>
      <c r="P2472" s="37" t="str">
        <f aca="false">IF($M2472="","",IFERROR(IF(INDEX(Settings!$B$41:$B$50,MATCH(O2472,Settings!$A$41:$A$50,0))&amp;""="","UNMAPPED",INDEX(Settings!$B$41:$B$50,MATCH(O2472,Settings!$A$41:$A$50,0))&amp;""),"UNMAPPED"))</f>
        <v/>
      </c>
      <c r="Q2472" s="38" t="n">
        <f aca="false">IF($M2472="",0,N(INDEX($A2472:$J2472,$Q$6)))</f>
        <v>0</v>
      </c>
      <c r="R2472" s="39" t="str">
        <f aca="false">IF($M2472="","",INDEX($A2472:$J2472,$R$6))</f>
        <v/>
      </c>
      <c r="S2472" s="37" t="str">
        <f aca="false">IF($M2472="","",IFERROR(INDEX(Settings!$B$27:$B$36,MATCH(L2472,Settings!$A$27:$A$36,0))&amp;"","UNMAPPED"))</f>
        <v/>
      </c>
      <c r="T2472" s="37" t="str">
        <f aca="false">IF($M2472="","",IF(NOT(ISNUMBER(R2472)),"NO DATE",IF(S2472="Won",IF(R2472&gt;Settings!$B$5,"Backlog","Delivered"),IF(S2472="Open",IF(R2472&gt;Settings!$B$5,"Pipeline","Overdue"),IF(S2472="Lost","Lost","UNMAPPED")))))</f>
        <v/>
      </c>
      <c r="U2472" s="40" t="n">
        <f aca="false">IF(T2472="Backlog",1,IF(OR(T2472="Pipeline",T2472="Overdue"),N(INDEX(Settings!$C$27:$C$36,MATCH(L2472,Settings!$A$27:$A$36,0))),0))</f>
        <v>0</v>
      </c>
      <c r="V2472" s="38" t="n">
        <f aca="false">Q2472*U2472</f>
        <v>0</v>
      </c>
      <c r="W2472" s="41" t="str">
        <f aca="false">IF($M2472="","",IF(T2472="Overdue",IF(Settings!$B$8="Yes",Settings!$B$7,""),IF(ISNUMBER(R2472),DATE(YEAR(R2472),MONTH(R2472),1),"")))</f>
        <v/>
      </c>
      <c r="X2472" s="38" t="n">
        <f aca="false">IF(AND(OR(T2472="Backlog",T2472="Pipeline",T2472="Overdue"),ISNUMBER(W2472)),IF(W2472&lt;=Settings!$B$6,V2472,0),0)</f>
        <v>0</v>
      </c>
      <c r="Y2472" s="38" t="n">
        <f aca="false">IF(AND(OR(T2472="Backlog",T2472="Pipeline",T2472="Overdue"),ISNUMBER(W2472)),IF(W2472&lt;=Settings!$B$6,Q2472,0),0)</f>
        <v>0</v>
      </c>
      <c r="Z2472" s="38" t="n">
        <f aca="false">IF(Y2472=0,0,IF(T2472="Backlog",Q2472,Q2472*Dashboard!$C$10))</f>
        <v>0</v>
      </c>
      <c r="AA2472" s="37" t="n">
        <f aca="false">IF($N2472="",0,IF(COUNTIF(Dashboard!$C$13:$C$22,$N2472)&gt;0,1,0))</f>
        <v>0</v>
      </c>
      <c r="AB2472" s="37" t="str">
        <f aca="false">IF($N2472="","",IF(COUNTIF($N$8:$N2472,$N2472)=1,MAX($AB$7:$AB2471)+1,""))</f>
        <v/>
      </c>
    </row>
    <row r="2473" customFormat="false" ht="15" hidden="false" customHeight="false" outlineLevel="0" collapsed="false">
      <c r="L2473" s="37" t="str">
        <f aca="false">IF(INDEX($A2473:$J2473,$L$6)&lt;&gt;"",TRIM(LEFT(INDEX($A2473:$J2473,$L$6),FIND("(",INDEX($A2473:$J2473,$L$6)&amp;"(")-1)),L2472)</f>
        <v>Building Value Proposition</v>
      </c>
      <c r="M2473" s="37" t="str">
        <f aca="false">IF(INDEX($A2473:$J2473,$M$6)="","",INDEX($A2473:$J2473,$M$6)&amp;"")</f>
        <v/>
      </c>
      <c r="N2473" s="37" t="str">
        <f aca="false">IF($M2473="","",TRIM(INDEX($A2473:$J2473,$N$6)&amp;""))</f>
        <v/>
      </c>
      <c r="O2473" s="37" t="str">
        <f aca="false">IF($M2473="","",TRIM(INDEX($A2473:$J2473,$O$6)&amp;""))</f>
        <v/>
      </c>
      <c r="P2473" s="37" t="str">
        <f aca="false">IF($M2473="","",IFERROR(IF(INDEX(Settings!$B$41:$B$50,MATCH(O2473,Settings!$A$41:$A$50,0))&amp;""="","UNMAPPED",INDEX(Settings!$B$41:$B$50,MATCH(O2473,Settings!$A$41:$A$50,0))&amp;""),"UNMAPPED"))</f>
        <v/>
      </c>
      <c r="Q2473" s="38" t="n">
        <f aca="false">IF($M2473="",0,N(INDEX($A2473:$J2473,$Q$6)))</f>
        <v>0</v>
      </c>
      <c r="R2473" s="39" t="str">
        <f aca="false">IF($M2473="","",INDEX($A2473:$J2473,$R$6))</f>
        <v/>
      </c>
      <c r="S2473" s="37" t="str">
        <f aca="false">IF($M2473="","",IFERROR(INDEX(Settings!$B$27:$B$36,MATCH(L2473,Settings!$A$27:$A$36,0))&amp;"","UNMAPPED"))</f>
        <v/>
      </c>
      <c r="T2473" s="37" t="str">
        <f aca="false">IF($M2473="","",IF(NOT(ISNUMBER(R2473)),"NO DATE",IF(S2473="Won",IF(R2473&gt;Settings!$B$5,"Backlog","Delivered"),IF(S2473="Open",IF(R2473&gt;Settings!$B$5,"Pipeline","Overdue"),IF(S2473="Lost","Lost","UNMAPPED")))))</f>
        <v/>
      </c>
      <c r="U2473" s="40" t="n">
        <f aca="false">IF(T2473="Backlog",1,IF(OR(T2473="Pipeline",T2473="Overdue"),N(INDEX(Settings!$C$27:$C$36,MATCH(L2473,Settings!$A$27:$A$36,0))),0))</f>
        <v>0</v>
      </c>
      <c r="V2473" s="38" t="n">
        <f aca="false">Q2473*U2473</f>
        <v>0</v>
      </c>
      <c r="W2473" s="41" t="str">
        <f aca="false">IF($M2473="","",IF(T2473="Overdue",IF(Settings!$B$8="Yes",Settings!$B$7,""),IF(ISNUMBER(R2473),DATE(YEAR(R2473),MONTH(R2473),1),"")))</f>
        <v/>
      </c>
      <c r="X2473" s="38" t="n">
        <f aca="false">IF(AND(OR(T2473="Backlog",T2473="Pipeline",T2473="Overdue"),ISNUMBER(W2473)),IF(W2473&lt;=Settings!$B$6,V2473,0),0)</f>
        <v>0</v>
      </c>
      <c r="Y2473" s="38" t="n">
        <f aca="false">IF(AND(OR(T2473="Backlog",T2473="Pipeline",T2473="Overdue"),ISNUMBER(W2473)),IF(W2473&lt;=Settings!$B$6,Q2473,0),0)</f>
        <v>0</v>
      </c>
      <c r="Z2473" s="38" t="n">
        <f aca="false">IF(Y2473=0,0,IF(T2473="Backlog",Q2473,Q2473*Dashboard!$C$10))</f>
        <v>0</v>
      </c>
      <c r="AA2473" s="37" t="n">
        <f aca="false">IF($N2473="",0,IF(COUNTIF(Dashboard!$C$13:$C$22,$N2473)&gt;0,1,0))</f>
        <v>0</v>
      </c>
      <c r="AB2473" s="37" t="str">
        <f aca="false">IF($N2473="","",IF(COUNTIF($N$8:$N2473,$N2473)=1,MAX($AB$7:$AB2472)+1,""))</f>
        <v/>
      </c>
    </row>
    <row r="2474" customFormat="false" ht="15" hidden="false" customHeight="false" outlineLevel="0" collapsed="false">
      <c r="L2474" s="37" t="str">
        <f aca="false">IF(INDEX($A2474:$J2474,$L$6)&lt;&gt;"",TRIM(LEFT(INDEX($A2474:$J2474,$L$6),FIND("(",INDEX($A2474:$J2474,$L$6)&amp;"(")-1)),L2473)</f>
        <v>Building Value Proposition</v>
      </c>
      <c r="M2474" s="37" t="str">
        <f aca="false">IF(INDEX($A2474:$J2474,$M$6)="","",INDEX($A2474:$J2474,$M$6)&amp;"")</f>
        <v/>
      </c>
      <c r="N2474" s="37" t="str">
        <f aca="false">IF($M2474="","",TRIM(INDEX($A2474:$J2474,$N$6)&amp;""))</f>
        <v/>
      </c>
      <c r="O2474" s="37" t="str">
        <f aca="false">IF($M2474="","",TRIM(INDEX($A2474:$J2474,$O$6)&amp;""))</f>
        <v/>
      </c>
      <c r="P2474" s="37" t="str">
        <f aca="false">IF($M2474="","",IFERROR(IF(INDEX(Settings!$B$41:$B$50,MATCH(O2474,Settings!$A$41:$A$50,0))&amp;""="","UNMAPPED",INDEX(Settings!$B$41:$B$50,MATCH(O2474,Settings!$A$41:$A$50,0))&amp;""),"UNMAPPED"))</f>
        <v/>
      </c>
      <c r="Q2474" s="38" t="n">
        <f aca="false">IF($M2474="",0,N(INDEX($A2474:$J2474,$Q$6)))</f>
        <v>0</v>
      </c>
      <c r="R2474" s="39" t="str">
        <f aca="false">IF($M2474="","",INDEX($A2474:$J2474,$R$6))</f>
        <v/>
      </c>
      <c r="S2474" s="37" t="str">
        <f aca="false">IF($M2474="","",IFERROR(INDEX(Settings!$B$27:$B$36,MATCH(L2474,Settings!$A$27:$A$36,0))&amp;"","UNMAPPED"))</f>
        <v/>
      </c>
      <c r="T2474" s="37" t="str">
        <f aca="false">IF($M2474="","",IF(NOT(ISNUMBER(R2474)),"NO DATE",IF(S2474="Won",IF(R2474&gt;Settings!$B$5,"Backlog","Delivered"),IF(S2474="Open",IF(R2474&gt;Settings!$B$5,"Pipeline","Overdue"),IF(S2474="Lost","Lost","UNMAPPED")))))</f>
        <v/>
      </c>
      <c r="U2474" s="40" t="n">
        <f aca="false">IF(T2474="Backlog",1,IF(OR(T2474="Pipeline",T2474="Overdue"),N(INDEX(Settings!$C$27:$C$36,MATCH(L2474,Settings!$A$27:$A$36,0))),0))</f>
        <v>0</v>
      </c>
      <c r="V2474" s="38" t="n">
        <f aca="false">Q2474*U2474</f>
        <v>0</v>
      </c>
      <c r="W2474" s="41" t="str">
        <f aca="false">IF($M2474="","",IF(T2474="Overdue",IF(Settings!$B$8="Yes",Settings!$B$7,""),IF(ISNUMBER(R2474),DATE(YEAR(R2474),MONTH(R2474),1),"")))</f>
        <v/>
      </c>
      <c r="X2474" s="38" t="n">
        <f aca="false">IF(AND(OR(T2474="Backlog",T2474="Pipeline",T2474="Overdue"),ISNUMBER(W2474)),IF(W2474&lt;=Settings!$B$6,V2474,0),0)</f>
        <v>0</v>
      </c>
      <c r="Y2474" s="38" t="n">
        <f aca="false">IF(AND(OR(T2474="Backlog",T2474="Pipeline",T2474="Overdue"),ISNUMBER(W2474)),IF(W2474&lt;=Settings!$B$6,Q2474,0),0)</f>
        <v>0</v>
      </c>
      <c r="Z2474" s="38" t="n">
        <f aca="false">IF(Y2474=0,0,IF(T2474="Backlog",Q2474,Q2474*Dashboard!$C$10))</f>
        <v>0</v>
      </c>
      <c r="AA2474" s="37" t="n">
        <f aca="false">IF($N2474="",0,IF(COUNTIF(Dashboard!$C$13:$C$22,$N2474)&gt;0,1,0))</f>
        <v>0</v>
      </c>
      <c r="AB2474" s="37" t="str">
        <f aca="false">IF($N2474="","",IF(COUNTIF($N$8:$N2474,$N2474)=1,MAX($AB$7:$AB2473)+1,""))</f>
        <v/>
      </c>
    </row>
    <row r="2475" customFormat="false" ht="15" hidden="false" customHeight="false" outlineLevel="0" collapsed="false">
      <c r="L2475" s="37" t="str">
        <f aca="false">IF(INDEX($A2475:$J2475,$L$6)&lt;&gt;"",TRIM(LEFT(INDEX($A2475:$J2475,$L$6),FIND("(",INDEX($A2475:$J2475,$L$6)&amp;"(")-1)),L2474)</f>
        <v>Building Value Proposition</v>
      </c>
      <c r="M2475" s="37" t="str">
        <f aca="false">IF(INDEX($A2475:$J2475,$M$6)="","",INDEX($A2475:$J2475,$M$6)&amp;"")</f>
        <v/>
      </c>
      <c r="N2475" s="37" t="str">
        <f aca="false">IF($M2475="","",TRIM(INDEX($A2475:$J2475,$N$6)&amp;""))</f>
        <v/>
      </c>
      <c r="O2475" s="37" t="str">
        <f aca="false">IF($M2475="","",TRIM(INDEX($A2475:$J2475,$O$6)&amp;""))</f>
        <v/>
      </c>
      <c r="P2475" s="37" t="str">
        <f aca="false">IF($M2475="","",IFERROR(IF(INDEX(Settings!$B$41:$B$50,MATCH(O2475,Settings!$A$41:$A$50,0))&amp;""="","UNMAPPED",INDEX(Settings!$B$41:$B$50,MATCH(O2475,Settings!$A$41:$A$50,0))&amp;""),"UNMAPPED"))</f>
        <v/>
      </c>
      <c r="Q2475" s="38" t="n">
        <f aca="false">IF($M2475="",0,N(INDEX($A2475:$J2475,$Q$6)))</f>
        <v>0</v>
      </c>
      <c r="R2475" s="39" t="str">
        <f aca="false">IF($M2475="","",INDEX($A2475:$J2475,$R$6))</f>
        <v/>
      </c>
      <c r="S2475" s="37" t="str">
        <f aca="false">IF($M2475="","",IFERROR(INDEX(Settings!$B$27:$B$36,MATCH(L2475,Settings!$A$27:$A$36,0))&amp;"","UNMAPPED"))</f>
        <v/>
      </c>
      <c r="T2475" s="37" t="str">
        <f aca="false">IF($M2475="","",IF(NOT(ISNUMBER(R2475)),"NO DATE",IF(S2475="Won",IF(R2475&gt;Settings!$B$5,"Backlog","Delivered"),IF(S2475="Open",IF(R2475&gt;Settings!$B$5,"Pipeline","Overdue"),IF(S2475="Lost","Lost","UNMAPPED")))))</f>
        <v/>
      </c>
      <c r="U2475" s="40" t="n">
        <f aca="false">IF(T2475="Backlog",1,IF(OR(T2475="Pipeline",T2475="Overdue"),N(INDEX(Settings!$C$27:$C$36,MATCH(L2475,Settings!$A$27:$A$36,0))),0))</f>
        <v>0</v>
      </c>
      <c r="V2475" s="38" t="n">
        <f aca="false">Q2475*U2475</f>
        <v>0</v>
      </c>
      <c r="W2475" s="41" t="str">
        <f aca="false">IF($M2475="","",IF(T2475="Overdue",IF(Settings!$B$8="Yes",Settings!$B$7,""),IF(ISNUMBER(R2475),DATE(YEAR(R2475),MONTH(R2475),1),"")))</f>
        <v/>
      </c>
      <c r="X2475" s="38" t="n">
        <f aca="false">IF(AND(OR(T2475="Backlog",T2475="Pipeline",T2475="Overdue"),ISNUMBER(W2475)),IF(W2475&lt;=Settings!$B$6,V2475,0),0)</f>
        <v>0</v>
      </c>
      <c r="Y2475" s="38" t="n">
        <f aca="false">IF(AND(OR(T2475="Backlog",T2475="Pipeline",T2475="Overdue"),ISNUMBER(W2475)),IF(W2475&lt;=Settings!$B$6,Q2475,0),0)</f>
        <v>0</v>
      </c>
      <c r="Z2475" s="38" t="n">
        <f aca="false">IF(Y2475=0,0,IF(T2475="Backlog",Q2475,Q2475*Dashboard!$C$10))</f>
        <v>0</v>
      </c>
      <c r="AA2475" s="37" t="n">
        <f aca="false">IF($N2475="",0,IF(COUNTIF(Dashboard!$C$13:$C$22,$N2475)&gt;0,1,0))</f>
        <v>0</v>
      </c>
      <c r="AB2475" s="37" t="str">
        <f aca="false">IF($N2475="","",IF(COUNTIF($N$8:$N2475,$N2475)=1,MAX($AB$7:$AB2474)+1,""))</f>
        <v/>
      </c>
    </row>
    <row r="2476" customFormat="false" ht="15" hidden="false" customHeight="false" outlineLevel="0" collapsed="false">
      <c r="L2476" s="37" t="str">
        <f aca="false">IF(INDEX($A2476:$J2476,$L$6)&lt;&gt;"",TRIM(LEFT(INDEX($A2476:$J2476,$L$6),FIND("(",INDEX($A2476:$J2476,$L$6)&amp;"(")-1)),L2475)</f>
        <v>Building Value Proposition</v>
      </c>
      <c r="M2476" s="37" t="str">
        <f aca="false">IF(INDEX($A2476:$J2476,$M$6)="","",INDEX($A2476:$J2476,$M$6)&amp;"")</f>
        <v/>
      </c>
      <c r="N2476" s="37" t="str">
        <f aca="false">IF($M2476="","",TRIM(INDEX($A2476:$J2476,$N$6)&amp;""))</f>
        <v/>
      </c>
      <c r="O2476" s="37" t="str">
        <f aca="false">IF($M2476="","",TRIM(INDEX($A2476:$J2476,$O$6)&amp;""))</f>
        <v/>
      </c>
      <c r="P2476" s="37" t="str">
        <f aca="false">IF($M2476="","",IFERROR(IF(INDEX(Settings!$B$41:$B$50,MATCH(O2476,Settings!$A$41:$A$50,0))&amp;""="","UNMAPPED",INDEX(Settings!$B$41:$B$50,MATCH(O2476,Settings!$A$41:$A$50,0))&amp;""),"UNMAPPED"))</f>
        <v/>
      </c>
      <c r="Q2476" s="38" t="n">
        <f aca="false">IF($M2476="",0,N(INDEX($A2476:$J2476,$Q$6)))</f>
        <v>0</v>
      </c>
      <c r="R2476" s="39" t="str">
        <f aca="false">IF($M2476="","",INDEX($A2476:$J2476,$R$6))</f>
        <v/>
      </c>
      <c r="S2476" s="37" t="str">
        <f aca="false">IF($M2476="","",IFERROR(INDEX(Settings!$B$27:$B$36,MATCH(L2476,Settings!$A$27:$A$36,0))&amp;"","UNMAPPED"))</f>
        <v/>
      </c>
      <c r="T2476" s="37" t="str">
        <f aca="false">IF($M2476="","",IF(NOT(ISNUMBER(R2476)),"NO DATE",IF(S2476="Won",IF(R2476&gt;Settings!$B$5,"Backlog","Delivered"),IF(S2476="Open",IF(R2476&gt;Settings!$B$5,"Pipeline","Overdue"),IF(S2476="Lost","Lost","UNMAPPED")))))</f>
        <v/>
      </c>
      <c r="U2476" s="40" t="n">
        <f aca="false">IF(T2476="Backlog",1,IF(OR(T2476="Pipeline",T2476="Overdue"),N(INDEX(Settings!$C$27:$C$36,MATCH(L2476,Settings!$A$27:$A$36,0))),0))</f>
        <v>0</v>
      </c>
      <c r="V2476" s="38" t="n">
        <f aca="false">Q2476*U2476</f>
        <v>0</v>
      </c>
      <c r="W2476" s="41" t="str">
        <f aca="false">IF($M2476="","",IF(T2476="Overdue",IF(Settings!$B$8="Yes",Settings!$B$7,""),IF(ISNUMBER(R2476),DATE(YEAR(R2476),MONTH(R2476),1),"")))</f>
        <v/>
      </c>
      <c r="X2476" s="38" t="n">
        <f aca="false">IF(AND(OR(T2476="Backlog",T2476="Pipeline",T2476="Overdue"),ISNUMBER(W2476)),IF(W2476&lt;=Settings!$B$6,V2476,0),0)</f>
        <v>0</v>
      </c>
      <c r="Y2476" s="38" t="n">
        <f aca="false">IF(AND(OR(T2476="Backlog",T2476="Pipeline",T2476="Overdue"),ISNUMBER(W2476)),IF(W2476&lt;=Settings!$B$6,Q2476,0),0)</f>
        <v>0</v>
      </c>
      <c r="Z2476" s="38" t="n">
        <f aca="false">IF(Y2476=0,0,IF(T2476="Backlog",Q2476,Q2476*Dashboard!$C$10))</f>
        <v>0</v>
      </c>
      <c r="AA2476" s="37" t="n">
        <f aca="false">IF($N2476="",0,IF(COUNTIF(Dashboard!$C$13:$C$22,$N2476)&gt;0,1,0))</f>
        <v>0</v>
      </c>
      <c r="AB2476" s="37" t="str">
        <f aca="false">IF($N2476="","",IF(COUNTIF($N$8:$N2476,$N2476)=1,MAX($AB$7:$AB2475)+1,""))</f>
        <v/>
      </c>
    </row>
    <row r="2477" customFormat="false" ht="15" hidden="false" customHeight="false" outlineLevel="0" collapsed="false">
      <c r="L2477" s="37" t="str">
        <f aca="false">IF(INDEX($A2477:$J2477,$L$6)&lt;&gt;"",TRIM(LEFT(INDEX($A2477:$J2477,$L$6),FIND("(",INDEX($A2477:$J2477,$L$6)&amp;"(")-1)),L2476)</f>
        <v>Building Value Proposition</v>
      </c>
      <c r="M2477" s="37" t="str">
        <f aca="false">IF(INDEX($A2477:$J2477,$M$6)="","",INDEX($A2477:$J2477,$M$6)&amp;"")</f>
        <v/>
      </c>
      <c r="N2477" s="37" t="str">
        <f aca="false">IF($M2477="","",TRIM(INDEX($A2477:$J2477,$N$6)&amp;""))</f>
        <v/>
      </c>
      <c r="O2477" s="37" t="str">
        <f aca="false">IF($M2477="","",TRIM(INDEX($A2477:$J2477,$O$6)&amp;""))</f>
        <v/>
      </c>
      <c r="P2477" s="37" t="str">
        <f aca="false">IF($M2477="","",IFERROR(IF(INDEX(Settings!$B$41:$B$50,MATCH(O2477,Settings!$A$41:$A$50,0))&amp;""="","UNMAPPED",INDEX(Settings!$B$41:$B$50,MATCH(O2477,Settings!$A$41:$A$50,0))&amp;""),"UNMAPPED"))</f>
        <v/>
      </c>
      <c r="Q2477" s="38" t="n">
        <f aca="false">IF($M2477="",0,N(INDEX($A2477:$J2477,$Q$6)))</f>
        <v>0</v>
      </c>
      <c r="R2477" s="39" t="str">
        <f aca="false">IF($M2477="","",INDEX($A2477:$J2477,$R$6))</f>
        <v/>
      </c>
      <c r="S2477" s="37" t="str">
        <f aca="false">IF($M2477="","",IFERROR(INDEX(Settings!$B$27:$B$36,MATCH(L2477,Settings!$A$27:$A$36,0))&amp;"","UNMAPPED"))</f>
        <v/>
      </c>
      <c r="T2477" s="37" t="str">
        <f aca="false">IF($M2477="","",IF(NOT(ISNUMBER(R2477)),"NO DATE",IF(S2477="Won",IF(R2477&gt;Settings!$B$5,"Backlog","Delivered"),IF(S2477="Open",IF(R2477&gt;Settings!$B$5,"Pipeline","Overdue"),IF(S2477="Lost","Lost","UNMAPPED")))))</f>
        <v/>
      </c>
      <c r="U2477" s="40" t="n">
        <f aca="false">IF(T2477="Backlog",1,IF(OR(T2477="Pipeline",T2477="Overdue"),N(INDEX(Settings!$C$27:$C$36,MATCH(L2477,Settings!$A$27:$A$36,0))),0))</f>
        <v>0</v>
      </c>
      <c r="V2477" s="38" t="n">
        <f aca="false">Q2477*U2477</f>
        <v>0</v>
      </c>
      <c r="W2477" s="41" t="str">
        <f aca="false">IF($M2477="","",IF(T2477="Overdue",IF(Settings!$B$8="Yes",Settings!$B$7,""),IF(ISNUMBER(R2477),DATE(YEAR(R2477),MONTH(R2477),1),"")))</f>
        <v/>
      </c>
      <c r="X2477" s="38" t="n">
        <f aca="false">IF(AND(OR(T2477="Backlog",T2477="Pipeline",T2477="Overdue"),ISNUMBER(W2477)),IF(W2477&lt;=Settings!$B$6,V2477,0),0)</f>
        <v>0</v>
      </c>
      <c r="Y2477" s="38" t="n">
        <f aca="false">IF(AND(OR(T2477="Backlog",T2477="Pipeline",T2477="Overdue"),ISNUMBER(W2477)),IF(W2477&lt;=Settings!$B$6,Q2477,0),0)</f>
        <v>0</v>
      </c>
      <c r="Z2477" s="38" t="n">
        <f aca="false">IF(Y2477=0,0,IF(T2477="Backlog",Q2477,Q2477*Dashboard!$C$10))</f>
        <v>0</v>
      </c>
      <c r="AA2477" s="37" t="n">
        <f aca="false">IF($N2477="",0,IF(COUNTIF(Dashboard!$C$13:$C$22,$N2477)&gt;0,1,0))</f>
        <v>0</v>
      </c>
      <c r="AB2477" s="37" t="str">
        <f aca="false">IF($N2477="","",IF(COUNTIF($N$8:$N2477,$N2477)=1,MAX($AB$7:$AB2476)+1,""))</f>
        <v/>
      </c>
    </row>
    <row r="2478" customFormat="false" ht="15" hidden="false" customHeight="false" outlineLevel="0" collapsed="false">
      <c r="L2478" s="37" t="str">
        <f aca="false">IF(INDEX($A2478:$J2478,$L$6)&lt;&gt;"",TRIM(LEFT(INDEX($A2478:$J2478,$L$6),FIND("(",INDEX($A2478:$J2478,$L$6)&amp;"(")-1)),L2477)</f>
        <v>Building Value Proposition</v>
      </c>
      <c r="M2478" s="37" t="str">
        <f aca="false">IF(INDEX($A2478:$J2478,$M$6)="","",INDEX($A2478:$J2478,$M$6)&amp;"")</f>
        <v/>
      </c>
      <c r="N2478" s="37" t="str">
        <f aca="false">IF($M2478="","",TRIM(INDEX($A2478:$J2478,$N$6)&amp;""))</f>
        <v/>
      </c>
      <c r="O2478" s="37" t="str">
        <f aca="false">IF($M2478="","",TRIM(INDEX($A2478:$J2478,$O$6)&amp;""))</f>
        <v/>
      </c>
      <c r="P2478" s="37" t="str">
        <f aca="false">IF($M2478="","",IFERROR(IF(INDEX(Settings!$B$41:$B$50,MATCH(O2478,Settings!$A$41:$A$50,0))&amp;""="","UNMAPPED",INDEX(Settings!$B$41:$B$50,MATCH(O2478,Settings!$A$41:$A$50,0))&amp;""),"UNMAPPED"))</f>
        <v/>
      </c>
      <c r="Q2478" s="38" t="n">
        <f aca="false">IF($M2478="",0,N(INDEX($A2478:$J2478,$Q$6)))</f>
        <v>0</v>
      </c>
      <c r="R2478" s="39" t="str">
        <f aca="false">IF($M2478="","",INDEX($A2478:$J2478,$R$6))</f>
        <v/>
      </c>
      <c r="S2478" s="37" t="str">
        <f aca="false">IF($M2478="","",IFERROR(INDEX(Settings!$B$27:$B$36,MATCH(L2478,Settings!$A$27:$A$36,0))&amp;"","UNMAPPED"))</f>
        <v/>
      </c>
      <c r="T2478" s="37" t="str">
        <f aca="false">IF($M2478="","",IF(NOT(ISNUMBER(R2478)),"NO DATE",IF(S2478="Won",IF(R2478&gt;Settings!$B$5,"Backlog","Delivered"),IF(S2478="Open",IF(R2478&gt;Settings!$B$5,"Pipeline","Overdue"),IF(S2478="Lost","Lost","UNMAPPED")))))</f>
        <v/>
      </c>
      <c r="U2478" s="40" t="n">
        <f aca="false">IF(T2478="Backlog",1,IF(OR(T2478="Pipeline",T2478="Overdue"),N(INDEX(Settings!$C$27:$C$36,MATCH(L2478,Settings!$A$27:$A$36,0))),0))</f>
        <v>0</v>
      </c>
      <c r="V2478" s="38" t="n">
        <f aca="false">Q2478*U2478</f>
        <v>0</v>
      </c>
      <c r="W2478" s="41" t="str">
        <f aca="false">IF($M2478="","",IF(T2478="Overdue",IF(Settings!$B$8="Yes",Settings!$B$7,""),IF(ISNUMBER(R2478),DATE(YEAR(R2478),MONTH(R2478),1),"")))</f>
        <v/>
      </c>
      <c r="X2478" s="38" t="n">
        <f aca="false">IF(AND(OR(T2478="Backlog",T2478="Pipeline",T2478="Overdue"),ISNUMBER(W2478)),IF(W2478&lt;=Settings!$B$6,V2478,0),0)</f>
        <v>0</v>
      </c>
      <c r="Y2478" s="38" t="n">
        <f aca="false">IF(AND(OR(T2478="Backlog",T2478="Pipeline",T2478="Overdue"),ISNUMBER(W2478)),IF(W2478&lt;=Settings!$B$6,Q2478,0),0)</f>
        <v>0</v>
      </c>
      <c r="Z2478" s="38" t="n">
        <f aca="false">IF(Y2478=0,0,IF(T2478="Backlog",Q2478,Q2478*Dashboard!$C$10))</f>
        <v>0</v>
      </c>
      <c r="AA2478" s="37" t="n">
        <f aca="false">IF($N2478="",0,IF(COUNTIF(Dashboard!$C$13:$C$22,$N2478)&gt;0,1,0))</f>
        <v>0</v>
      </c>
      <c r="AB2478" s="37" t="str">
        <f aca="false">IF($N2478="","",IF(COUNTIF($N$8:$N2478,$N2478)=1,MAX($AB$7:$AB2477)+1,""))</f>
        <v/>
      </c>
    </row>
    <row r="2479" customFormat="false" ht="15" hidden="false" customHeight="false" outlineLevel="0" collapsed="false">
      <c r="L2479" s="37" t="str">
        <f aca="false">IF(INDEX($A2479:$J2479,$L$6)&lt;&gt;"",TRIM(LEFT(INDEX($A2479:$J2479,$L$6),FIND("(",INDEX($A2479:$J2479,$L$6)&amp;"(")-1)),L2478)</f>
        <v>Building Value Proposition</v>
      </c>
      <c r="M2479" s="37" t="str">
        <f aca="false">IF(INDEX($A2479:$J2479,$M$6)="","",INDEX($A2479:$J2479,$M$6)&amp;"")</f>
        <v/>
      </c>
      <c r="N2479" s="37" t="str">
        <f aca="false">IF($M2479="","",TRIM(INDEX($A2479:$J2479,$N$6)&amp;""))</f>
        <v/>
      </c>
      <c r="O2479" s="37" t="str">
        <f aca="false">IF($M2479="","",TRIM(INDEX($A2479:$J2479,$O$6)&amp;""))</f>
        <v/>
      </c>
      <c r="P2479" s="37" t="str">
        <f aca="false">IF($M2479="","",IFERROR(IF(INDEX(Settings!$B$41:$B$50,MATCH(O2479,Settings!$A$41:$A$50,0))&amp;""="","UNMAPPED",INDEX(Settings!$B$41:$B$50,MATCH(O2479,Settings!$A$41:$A$50,0))&amp;""),"UNMAPPED"))</f>
        <v/>
      </c>
      <c r="Q2479" s="38" t="n">
        <f aca="false">IF($M2479="",0,N(INDEX($A2479:$J2479,$Q$6)))</f>
        <v>0</v>
      </c>
      <c r="R2479" s="39" t="str">
        <f aca="false">IF($M2479="","",INDEX($A2479:$J2479,$R$6))</f>
        <v/>
      </c>
      <c r="S2479" s="37" t="str">
        <f aca="false">IF($M2479="","",IFERROR(INDEX(Settings!$B$27:$B$36,MATCH(L2479,Settings!$A$27:$A$36,0))&amp;"","UNMAPPED"))</f>
        <v/>
      </c>
      <c r="T2479" s="37" t="str">
        <f aca="false">IF($M2479="","",IF(NOT(ISNUMBER(R2479)),"NO DATE",IF(S2479="Won",IF(R2479&gt;Settings!$B$5,"Backlog","Delivered"),IF(S2479="Open",IF(R2479&gt;Settings!$B$5,"Pipeline","Overdue"),IF(S2479="Lost","Lost","UNMAPPED")))))</f>
        <v/>
      </c>
      <c r="U2479" s="40" t="n">
        <f aca="false">IF(T2479="Backlog",1,IF(OR(T2479="Pipeline",T2479="Overdue"),N(INDEX(Settings!$C$27:$C$36,MATCH(L2479,Settings!$A$27:$A$36,0))),0))</f>
        <v>0</v>
      </c>
      <c r="V2479" s="38" t="n">
        <f aca="false">Q2479*U2479</f>
        <v>0</v>
      </c>
      <c r="W2479" s="41" t="str">
        <f aca="false">IF($M2479="","",IF(T2479="Overdue",IF(Settings!$B$8="Yes",Settings!$B$7,""),IF(ISNUMBER(R2479),DATE(YEAR(R2479),MONTH(R2479),1),"")))</f>
        <v/>
      </c>
      <c r="X2479" s="38" t="n">
        <f aca="false">IF(AND(OR(T2479="Backlog",T2479="Pipeline",T2479="Overdue"),ISNUMBER(W2479)),IF(W2479&lt;=Settings!$B$6,V2479,0),0)</f>
        <v>0</v>
      </c>
      <c r="Y2479" s="38" t="n">
        <f aca="false">IF(AND(OR(T2479="Backlog",T2479="Pipeline",T2479="Overdue"),ISNUMBER(W2479)),IF(W2479&lt;=Settings!$B$6,Q2479,0),0)</f>
        <v>0</v>
      </c>
      <c r="Z2479" s="38" t="n">
        <f aca="false">IF(Y2479=0,0,IF(T2479="Backlog",Q2479,Q2479*Dashboard!$C$10))</f>
        <v>0</v>
      </c>
      <c r="AA2479" s="37" t="n">
        <f aca="false">IF($N2479="",0,IF(COUNTIF(Dashboard!$C$13:$C$22,$N2479)&gt;0,1,0))</f>
        <v>0</v>
      </c>
      <c r="AB2479" s="37" t="str">
        <f aca="false">IF($N2479="","",IF(COUNTIF($N$8:$N2479,$N2479)=1,MAX($AB$7:$AB2478)+1,""))</f>
        <v/>
      </c>
    </row>
    <row r="2480" customFormat="false" ht="15" hidden="false" customHeight="false" outlineLevel="0" collapsed="false">
      <c r="L2480" s="37" t="str">
        <f aca="false">IF(INDEX($A2480:$J2480,$L$6)&lt;&gt;"",TRIM(LEFT(INDEX($A2480:$J2480,$L$6),FIND("(",INDEX($A2480:$J2480,$L$6)&amp;"(")-1)),L2479)</f>
        <v>Building Value Proposition</v>
      </c>
      <c r="M2480" s="37" t="str">
        <f aca="false">IF(INDEX($A2480:$J2480,$M$6)="","",INDEX($A2480:$J2480,$M$6)&amp;"")</f>
        <v/>
      </c>
      <c r="N2480" s="37" t="str">
        <f aca="false">IF($M2480="","",TRIM(INDEX($A2480:$J2480,$N$6)&amp;""))</f>
        <v/>
      </c>
      <c r="O2480" s="37" t="str">
        <f aca="false">IF($M2480="","",TRIM(INDEX($A2480:$J2480,$O$6)&amp;""))</f>
        <v/>
      </c>
      <c r="P2480" s="37" t="str">
        <f aca="false">IF($M2480="","",IFERROR(IF(INDEX(Settings!$B$41:$B$50,MATCH(O2480,Settings!$A$41:$A$50,0))&amp;""="","UNMAPPED",INDEX(Settings!$B$41:$B$50,MATCH(O2480,Settings!$A$41:$A$50,0))&amp;""),"UNMAPPED"))</f>
        <v/>
      </c>
      <c r="Q2480" s="38" t="n">
        <f aca="false">IF($M2480="",0,N(INDEX($A2480:$J2480,$Q$6)))</f>
        <v>0</v>
      </c>
      <c r="R2480" s="39" t="str">
        <f aca="false">IF($M2480="","",INDEX($A2480:$J2480,$R$6))</f>
        <v/>
      </c>
      <c r="S2480" s="37" t="str">
        <f aca="false">IF($M2480="","",IFERROR(INDEX(Settings!$B$27:$B$36,MATCH(L2480,Settings!$A$27:$A$36,0))&amp;"","UNMAPPED"))</f>
        <v/>
      </c>
      <c r="T2480" s="37" t="str">
        <f aca="false">IF($M2480="","",IF(NOT(ISNUMBER(R2480)),"NO DATE",IF(S2480="Won",IF(R2480&gt;Settings!$B$5,"Backlog","Delivered"),IF(S2480="Open",IF(R2480&gt;Settings!$B$5,"Pipeline","Overdue"),IF(S2480="Lost","Lost","UNMAPPED")))))</f>
        <v/>
      </c>
      <c r="U2480" s="40" t="n">
        <f aca="false">IF(T2480="Backlog",1,IF(OR(T2480="Pipeline",T2480="Overdue"),N(INDEX(Settings!$C$27:$C$36,MATCH(L2480,Settings!$A$27:$A$36,0))),0))</f>
        <v>0</v>
      </c>
      <c r="V2480" s="38" t="n">
        <f aca="false">Q2480*U2480</f>
        <v>0</v>
      </c>
      <c r="W2480" s="41" t="str">
        <f aca="false">IF($M2480="","",IF(T2480="Overdue",IF(Settings!$B$8="Yes",Settings!$B$7,""),IF(ISNUMBER(R2480),DATE(YEAR(R2480),MONTH(R2480),1),"")))</f>
        <v/>
      </c>
      <c r="X2480" s="38" t="n">
        <f aca="false">IF(AND(OR(T2480="Backlog",T2480="Pipeline",T2480="Overdue"),ISNUMBER(W2480)),IF(W2480&lt;=Settings!$B$6,V2480,0),0)</f>
        <v>0</v>
      </c>
      <c r="Y2480" s="38" t="n">
        <f aca="false">IF(AND(OR(T2480="Backlog",T2480="Pipeline",T2480="Overdue"),ISNUMBER(W2480)),IF(W2480&lt;=Settings!$B$6,Q2480,0),0)</f>
        <v>0</v>
      </c>
      <c r="Z2480" s="38" t="n">
        <f aca="false">IF(Y2480=0,0,IF(T2480="Backlog",Q2480,Q2480*Dashboard!$C$10))</f>
        <v>0</v>
      </c>
      <c r="AA2480" s="37" t="n">
        <f aca="false">IF($N2480="",0,IF(COUNTIF(Dashboard!$C$13:$C$22,$N2480)&gt;0,1,0))</f>
        <v>0</v>
      </c>
      <c r="AB2480" s="37" t="str">
        <f aca="false">IF($N2480="","",IF(COUNTIF($N$8:$N2480,$N2480)=1,MAX($AB$7:$AB2479)+1,""))</f>
        <v/>
      </c>
    </row>
    <row r="2481" customFormat="false" ht="15" hidden="false" customHeight="false" outlineLevel="0" collapsed="false">
      <c r="L2481" s="37" t="str">
        <f aca="false">IF(INDEX($A2481:$J2481,$L$6)&lt;&gt;"",TRIM(LEFT(INDEX($A2481:$J2481,$L$6),FIND("(",INDEX($A2481:$J2481,$L$6)&amp;"(")-1)),L2480)</f>
        <v>Building Value Proposition</v>
      </c>
      <c r="M2481" s="37" t="str">
        <f aca="false">IF(INDEX($A2481:$J2481,$M$6)="","",INDEX($A2481:$J2481,$M$6)&amp;"")</f>
        <v/>
      </c>
      <c r="N2481" s="37" t="str">
        <f aca="false">IF($M2481="","",TRIM(INDEX($A2481:$J2481,$N$6)&amp;""))</f>
        <v/>
      </c>
      <c r="O2481" s="37" t="str">
        <f aca="false">IF($M2481="","",TRIM(INDEX($A2481:$J2481,$O$6)&amp;""))</f>
        <v/>
      </c>
      <c r="P2481" s="37" t="str">
        <f aca="false">IF($M2481="","",IFERROR(IF(INDEX(Settings!$B$41:$B$50,MATCH(O2481,Settings!$A$41:$A$50,0))&amp;""="","UNMAPPED",INDEX(Settings!$B$41:$B$50,MATCH(O2481,Settings!$A$41:$A$50,0))&amp;""),"UNMAPPED"))</f>
        <v/>
      </c>
      <c r="Q2481" s="38" t="n">
        <f aca="false">IF($M2481="",0,N(INDEX($A2481:$J2481,$Q$6)))</f>
        <v>0</v>
      </c>
      <c r="R2481" s="39" t="str">
        <f aca="false">IF($M2481="","",INDEX($A2481:$J2481,$R$6))</f>
        <v/>
      </c>
      <c r="S2481" s="37" t="str">
        <f aca="false">IF($M2481="","",IFERROR(INDEX(Settings!$B$27:$B$36,MATCH(L2481,Settings!$A$27:$A$36,0))&amp;"","UNMAPPED"))</f>
        <v/>
      </c>
      <c r="T2481" s="37" t="str">
        <f aca="false">IF($M2481="","",IF(NOT(ISNUMBER(R2481)),"NO DATE",IF(S2481="Won",IF(R2481&gt;Settings!$B$5,"Backlog","Delivered"),IF(S2481="Open",IF(R2481&gt;Settings!$B$5,"Pipeline","Overdue"),IF(S2481="Lost","Lost","UNMAPPED")))))</f>
        <v/>
      </c>
      <c r="U2481" s="40" t="n">
        <f aca="false">IF(T2481="Backlog",1,IF(OR(T2481="Pipeline",T2481="Overdue"),N(INDEX(Settings!$C$27:$C$36,MATCH(L2481,Settings!$A$27:$A$36,0))),0))</f>
        <v>0</v>
      </c>
      <c r="V2481" s="38" t="n">
        <f aca="false">Q2481*U2481</f>
        <v>0</v>
      </c>
      <c r="W2481" s="41" t="str">
        <f aca="false">IF($M2481="","",IF(T2481="Overdue",IF(Settings!$B$8="Yes",Settings!$B$7,""),IF(ISNUMBER(R2481),DATE(YEAR(R2481),MONTH(R2481),1),"")))</f>
        <v/>
      </c>
      <c r="X2481" s="38" t="n">
        <f aca="false">IF(AND(OR(T2481="Backlog",T2481="Pipeline",T2481="Overdue"),ISNUMBER(W2481)),IF(W2481&lt;=Settings!$B$6,V2481,0),0)</f>
        <v>0</v>
      </c>
      <c r="Y2481" s="38" t="n">
        <f aca="false">IF(AND(OR(T2481="Backlog",T2481="Pipeline",T2481="Overdue"),ISNUMBER(W2481)),IF(W2481&lt;=Settings!$B$6,Q2481,0),0)</f>
        <v>0</v>
      </c>
      <c r="Z2481" s="38" t="n">
        <f aca="false">IF(Y2481=0,0,IF(T2481="Backlog",Q2481,Q2481*Dashboard!$C$10))</f>
        <v>0</v>
      </c>
      <c r="AA2481" s="37" t="n">
        <f aca="false">IF($N2481="",0,IF(COUNTIF(Dashboard!$C$13:$C$22,$N2481)&gt;0,1,0))</f>
        <v>0</v>
      </c>
      <c r="AB2481" s="37" t="str">
        <f aca="false">IF($N2481="","",IF(COUNTIF($N$8:$N2481,$N2481)=1,MAX($AB$7:$AB2480)+1,""))</f>
        <v/>
      </c>
    </row>
    <row r="2482" customFormat="false" ht="15" hidden="false" customHeight="false" outlineLevel="0" collapsed="false">
      <c r="L2482" s="37" t="str">
        <f aca="false">IF(INDEX($A2482:$J2482,$L$6)&lt;&gt;"",TRIM(LEFT(INDEX($A2482:$J2482,$L$6),FIND("(",INDEX($A2482:$J2482,$L$6)&amp;"(")-1)),L2481)</f>
        <v>Building Value Proposition</v>
      </c>
      <c r="M2482" s="37" t="str">
        <f aca="false">IF(INDEX($A2482:$J2482,$M$6)="","",INDEX($A2482:$J2482,$M$6)&amp;"")</f>
        <v/>
      </c>
      <c r="N2482" s="37" t="str">
        <f aca="false">IF($M2482="","",TRIM(INDEX($A2482:$J2482,$N$6)&amp;""))</f>
        <v/>
      </c>
      <c r="O2482" s="37" t="str">
        <f aca="false">IF($M2482="","",TRIM(INDEX($A2482:$J2482,$O$6)&amp;""))</f>
        <v/>
      </c>
      <c r="P2482" s="37" t="str">
        <f aca="false">IF($M2482="","",IFERROR(IF(INDEX(Settings!$B$41:$B$50,MATCH(O2482,Settings!$A$41:$A$50,0))&amp;""="","UNMAPPED",INDEX(Settings!$B$41:$B$50,MATCH(O2482,Settings!$A$41:$A$50,0))&amp;""),"UNMAPPED"))</f>
        <v/>
      </c>
      <c r="Q2482" s="38" t="n">
        <f aca="false">IF($M2482="",0,N(INDEX($A2482:$J2482,$Q$6)))</f>
        <v>0</v>
      </c>
      <c r="R2482" s="39" t="str">
        <f aca="false">IF($M2482="","",INDEX($A2482:$J2482,$R$6))</f>
        <v/>
      </c>
      <c r="S2482" s="37" t="str">
        <f aca="false">IF($M2482="","",IFERROR(INDEX(Settings!$B$27:$B$36,MATCH(L2482,Settings!$A$27:$A$36,0))&amp;"","UNMAPPED"))</f>
        <v/>
      </c>
      <c r="T2482" s="37" t="str">
        <f aca="false">IF($M2482="","",IF(NOT(ISNUMBER(R2482)),"NO DATE",IF(S2482="Won",IF(R2482&gt;Settings!$B$5,"Backlog","Delivered"),IF(S2482="Open",IF(R2482&gt;Settings!$B$5,"Pipeline","Overdue"),IF(S2482="Lost","Lost","UNMAPPED")))))</f>
        <v/>
      </c>
      <c r="U2482" s="40" t="n">
        <f aca="false">IF(T2482="Backlog",1,IF(OR(T2482="Pipeline",T2482="Overdue"),N(INDEX(Settings!$C$27:$C$36,MATCH(L2482,Settings!$A$27:$A$36,0))),0))</f>
        <v>0</v>
      </c>
      <c r="V2482" s="38" t="n">
        <f aca="false">Q2482*U2482</f>
        <v>0</v>
      </c>
      <c r="W2482" s="41" t="str">
        <f aca="false">IF($M2482="","",IF(T2482="Overdue",IF(Settings!$B$8="Yes",Settings!$B$7,""),IF(ISNUMBER(R2482),DATE(YEAR(R2482),MONTH(R2482),1),"")))</f>
        <v/>
      </c>
      <c r="X2482" s="38" t="n">
        <f aca="false">IF(AND(OR(T2482="Backlog",T2482="Pipeline",T2482="Overdue"),ISNUMBER(W2482)),IF(W2482&lt;=Settings!$B$6,V2482,0),0)</f>
        <v>0</v>
      </c>
      <c r="Y2482" s="38" t="n">
        <f aca="false">IF(AND(OR(T2482="Backlog",T2482="Pipeline",T2482="Overdue"),ISNUMBER(W2482)),IF(W2482&lt;=Settings!$B$6,Q2482,0),0)</f>
        <v>0</v>
      </c>
      <c r="Z2482" s="38" t="n">
        <f aca="false">IF(Y2482=0,0,IF(T2482="Backlog",Q2482,Q2482*Dashboard!$C$10))</f>
        <v>0</v>
      </c>
      <c r="AA2482" s="37" t="n">
        <f aca="false">IF($N2482="",0,IF(COUNTIF(Dashboard!$C$13:$C$22,$N2482)&gt;0,1,0))</f>
        <v>0</v>
      </c>
      <c r="AB2482" s="37" t="str">
        <f aca="false">IF($N2482="","",IF(COUNTIF($N$8:$N2482,$N2482)=1,MAX($AB$7:$AB2481)+1,""))</f>
        <v/>
      </c>
    </row>
    <row r="2483" customFormat="false" ht="15" hidden="false" customHeight="false" outlineLevel="0" collapsed="false">
      <c r="L2483" s="37" t="str">
        <f aca="false">IF(INDEX($A2483:$J2483,$L$6)&lt;&gt;"",TRIM(LEFT(INDEX($A2483:$J2483,$L$6),FIND("(",INDEX($A2483:$J2483,$L$6)&amp;"(")-1)),L2482)</f>
        <v>Building Value Proposition</v>
      </c>
      <c r="M2483" s="37" t="str">
        <f aca="false">IF(INDEX($A2483:$J2483,$M$6)="","",INDEX($A2483:$J2483,$M$6)&amp;"")</f>
        <v/>
      </c>
      <c r="N2483" s="37" t="str">
        <f aca="false">IF($M2483="","",TRIM(INDEX($A2483:$J2483,$N$6)&amp;""))</f>
        <v/>
      </c>
      <c r="O2483" s="37" t="str">
        <f aca="false">IF($M2483="","",TRIM(INDEX($A2483:$J2483,$O$6)&amp;""))</f>
        <v/>
      </c>
      <c r="P2483" s="37" t="str">
        <f aca="false">IF($M2483="","",IFERROR(IF(INDEX(Settings!$B$41:$B$50,MATCH(O2483,Settings!$A$41:$A$50,0))&amp;""="","UNMAPPED",INDEX(Settings!$B$41:$B$50,MATCH(O2483,Settings!$A$41:$A$50,0))&amp;""),"UNMAPPED"))</f>
        <v/>
      </c>
      <c r="Q2483" s="38" t="n">
        <f aca="false">IF($M2483="",0,N(INDEX($A2483:$J2483,$Q$6)))</f>
        <v>0</v>
      </c>
      <c r="R2483" s="39" t="str">
        <f aca="false">IF($M2483="","",INDEX($A2483:$J2483,$R$6))</f>
        <v/>
      </c>
      <c r="S2483" s="37" t="str">
        <f aca="false">IF($M2483="","",IFERROR(INDEX(Settings!$B$27:$B$36,MATCH(L2483,Settings!$A$27:$A$36,0))&amp;"","UNMAPPED"))</f>
        <v/>
      </c>
      <c r="T2483" s="37" t="str">
        <f aca="false">IF($M2483="","",IF(NOT(ISNUMBER(R2483)),"NO DATE",IF(S2483="Won",IF(R2483&gt;Settings!$B$5,"Backlog","Delivered"),IF(S2483="Open",IF(R2483&gt;Settings!$B$5,"Pipeline","Overdue"),IF(S2483="Lost","Lost","UNMAPPED")))))</f>
        <v/>
      </c>
      <c r="U2483" s="40" t="n">
        <f aca="false">IF(T2483="Backlog",1,IF(OR(T2483="Pipeline",T2483="Overdue"),N(INDEX(Settings!$C$27:$C$36,MATCH(L2483,Settings!$A$27:$A$36,0))),0))</f>
        <v>0</v>
      </c>
      <c r="V2483" s="38" t="n">
        <f aca="false">Q2483*U2483</f>
        <v>0</v>
      </c>
      <c r="W2483" s="41" t="str">
        <f aca="false">IF($M2483="","",IF(T2483="Overdue",IF(Settings!$B$8="Yes",Settings!$B$7,""),IF(ISNUMBER(R2483),DATE(YEAR(R2483),MONTH(R2483),1),"")))</f>
        <v/>
      </c>
      <c r="X2483" s="38" t="n">
        <f aca="false">IF(AND(OR(T2483="Backlog",T2483="Pipeline",T2483="Overdue"),ISNUMBER(W2483)),IF(W2483&lt;=Settings!$B$6,V2483,0),0)</f>
        <v>0</v>
      </c>
      <c r="Y2483" s="38" t="n">
        <f aca="false">IF(AND(OR(T2483="Backlog",T2483="Pipeline",T2483="Overdue"),ISNUMBER(W2483)),IF(W2483&lt;=Settings!$B$6,Q2483,0),0)</f>
        <v>0</v>
      </c>
      <c r="Z2483" s="38" t="n">
        <f aca="false">IF(Y2483=0,0,IF(T2483="Backlog",Q2483,Q2483*Dashboard!$C$10))</f>
        <v>0</v>
      </c>
      <c r="AA2483" s="37" t="n">
        <f aca="false">IF($N2483="",0,IF(COUNTIF(Dashboard!$C$13:$C$22,$N2483)&gt;0,1,0))</f>
        <v>0</v>
      </c>
      <c r="AB2483" s="37" t="str">
        <f aca="false">IF($N2483="","",IF(COUNTIF($N$8:$N2483,$N2483)=1,MAX($AB$7:$AB2482)+1,""))</f>
        <v/>
      </c>
    </row>
    <row r="2484" customFormat="false" ht="15" hidden="false" customHeight="false" outlineLevel="0" collapsed="false">
      <c r="L2484" s="37" t="str">
        <f aca="false">IF(INDEX($A2484:$J2484,$L$6)&lt;&gt;"",TRIM(LEFT(INDEX($A2484:$J2484,$L$6),FIND("(",INDEX($A2484:$J2484,$L$6)&amp;"(")-1)),L2483)</f>
        <v>Building Value Proposition</v>
      </c>
      <c r="M2484" s="37" t="str">
        <f aca="false">IF(INDEX($A2484:$J2484,$M$6)="","",INDEX($A2484:$J2484,$M$6)&amp;"")</f>
        <v/>
      </c>
      <c r="N2484" s="37" t="str">
        <f aca="false">IF($M2484="","",TRIM(INDEX($A2484:$J2484,$N$6)&amp;""))</f>
        <v/>
      </c>
      <c r="O2484" s="37" t="str">
        <f aca="false">IF($M2484="","",TRIM(INDEX($A2484:$J2484,$O$6)&amp;""))</f>
        <v/>
      </c>
      <c r="P2484" s="37" t="str">
        <f aca="false">IF($M2484="","",IFERROR(IF(INDEX(Settings!$B$41:$B$50,MATCH(O2484,Settings!$A$41:$A$50,0))&amp;""="","UNMAPPED",INDEX(Settings!$B$41:$B$50,MATCH(O2484,Settings!$A$41:$A$50,0))&amp;""),"UNMAPPED"))</f>
        <v/>
      </c>
      <c r="Q2484" s="38" t="n">
        <f aca="false">IF($M2484="",0,N(INDEX($A2484:$J2484,$Q$6)))</f>
        <v>0</v>
      </c>
      <c r="R2484" s="39" t="str">
        <f aca="false">IF($M2484="","",INDEX($A2484:$J2484,$R$6))</f>
        <v/>
      </c>
      <c r="S2484" s="37" t="str">
        <f aca="false">IF($M2484="","",IFERROR(INDEX(Settings!$B$27:$B$36,MATCH(L2484,Settings!$A$27:$A$36,0))&amp;"","UNMAPPED"))</f>
        <v/>
      </c>
      <c r="T2484" s="37" t="str">
        <f aca="false">IF($M2484="","",IF(NOT(ISNUMBER(R2484)),"NO DATE",IF(S2484="Won",IF(R2484&gt;Settings!$B$5,"Backlog","Delivered"),IF(S2484="Open",IF(R2484&gt;Settings!$B$5,"Pipeline","Overdue"),IF(S2484="Lost","Lost","UNMAPPED")))))</f>
        <v/>
      </c>
      <c r="U2484" s="40" t="n">
        <f aca="false">IF(T2484="Backlog",1,IF(OR(T2484="Pipeline",T2484="Overdue"),N(INDEX(Settings!$C$27:$C$36,MATCH(L2484,Settings!$A$27:$A$36,0))),0))</f>
        <v>0</v>
      </c>
      <c r="V2484" s="38" t="n">
        <f aca="false">Q2484*U2484</f>
        <v>0</v>
      </c>
      <c r="W2484" s="41" t="str">
        <f aca="false">IF($M2484="","",IF(T2484="Overdue",IF(Settings!$B$8="Yes",Settings!$B$7,""),IF(ISNUMBER(R2484),DATE(YEAR(R2484),MONTH(R2484),1),"")))</f>
        <v/>
      </c>
      <c r="X2484" s="38" t="n">
        <f aca="false">IF(AND(OR(T2484="Backlog",T2484="Pipeline",T2484="Overdue"),ISNUMBER(W2484)),IF(W2484&lt;=Settings!$B$6,V2484,0),0)</f>
        <v>0</v>
      </c>
      <c r="Y2484" s="38" t="n">
        <f aca="false">IF(AND(OR(T2484="Backlog",T2484="Pipeline",T2484="Overdue"),ISNUMBER(W2484)),IF(W2484&lt;=Settings!$B$6,Q2484,0),0)</f>
        <v>0</v>
      </c>
      <c r="Z2484" s="38" t="n">
        <f aca="false">IF(Y2484=0,0,IF(T2484="Backlog",Q2484,Q2484*Dashboard!$C$10))</f>
        <v>0</v>
      </c>
      <c r="AA2484" s="37" t="n">
        <f aca="false">IF($N2484="",0,IF(COUNTIF(Dashboard!$C$13:$C$22,$N2484)&gt;0,1,0))</f>
        <v>0</v>
      </c>
      <c r="AB2484" s="37" t="str">
        <f aca="false">IF($N2484="","",IF(COUNTIF($N$8:$N2484,$N2484)=1,MAX($AB$7:$AB2483)+1,""))</f>
        <v/>
      </c>
    </row>
    <row r="2485" customFormat="false" ht="15" hidden="false" customHeight="false" outlineLevel="0" collapsed="false">
      <c r="L2485" s="37" t="str">
        <f aca="false">IF(INDEX($A2485:$J2485,$L$6)&lt;&gt;"",TRIM(LEFT(INDEX($A2485:$J2485,$L$6),FIND("(",INDEX($A2485:$J2485,$L$6)&amp;"(")-1)),L2484)</f>
        <v>Building Value Proposition</v>
      </c>
      <c r="M2485" s="37" t="str">
        <f aca="false">IF(INDEX($A2485:$J2485,$M$6)="","",INDEX($A2485:$J2485,$M$6)&amp;"")</f>
        <v/>
      </c>
      <c r="N2485" s="37" t="str">
        <f aca="false">IF($M2485="","",TRIM(INDEX($A2485:$J2485,$N$6)&amp;""))</f>
        <v/>
      </c>
      <c r="O2485" s="37" t="str">
        <f aca="false">IF($M2485="","",TRIM(INDEX($A2485:$J2485,$O$6)&amp;""))</f>
        <v/>
      </c>
      <c r="P2485" s="37" t="str">
        <f aca="false">IF($M2485="","",IFERROR(IF(INDEX(Settings!$B$41:$B$50,MATCH(O2485,Settings!$A$41:$A$50,0))&amp;""="","UNMAPPED",INDEX(Settings!$B$41:$B$50,MATCH(O2485,Settings!$A$41:$A$50,0))&amp;""),"UNMAPPED"))</f>
        <v/>
      </c>
      <c r="Q2485" s="38" t="n">
        <f aca="false">IF($M2485="",0,N(INDEX($A2485:$J2485,$Q$6)))</f>
        <v>0</v>
      </c>
      <c r="R2485" s="39" t="str">
        <f aca="false">IF($M2485="","",INDEX($A2485:$J2485,$R$6))</f>
        <v/>
      </c>
      <c r="S2485" s="37" t="str">
        <f aca="false">IF($M2485="","",IFERROR(INDEX(Settings!$B$27:$B$36,MATCH(L2485,Settings!$A$27:$A$36,0))&amp;"","UNMAPPED"))</f>
        <v/>
      </c>
      <c r="T2485" s="37" t="str">
        <f aca="false">IF($M2485="","",IF(NOT(ISNUMBER(R2485)),"NO DATE",IF(S2485="Won",IF(R2485&gt;Settings!$B$5,"Backlog","Delivered"),IF(S2485="Open",IF(R2485&gt;Settings!$B$5,"Pipeline","Overdue"),IF(S2485="Lost","Lost","UNMAPPED")))))</f>
        <v/>
      </c>
      <c r="U2485" s="40" t="n">
        <f aca="false">IF(T2485="Backlog",1,IF(OR(T2485="Pipeline",T2485="Overdue"),N(INDEX(Settings!$C$27:$C$36,MATCH(L2485,Settings!$A$27:$A$36,0))),0))</f>
        <v>0</v>
      </c>
      <c r="V2485" s="38" t="n">
        <f aca="false">Q2485*U2485</f>
        <v>0</v>
      </c>
      <c r="W2485" s="41" t="str">
        <f aca="false">IF($M2485="","",IF(T2485="Overdue",IF(Settings!$B$8="Yes",Settings!$B$7,""),IF(ISNUMBER(R2485),DATE(YEAR(R2485),MONTH(R2485),1),"")))</f>
        <v/>
      </c>
      <c r="X2485" s="38" t="n">
        <f aca="false">IF(AND(OR(T2485="Backlog",T2485="Pipeline",T2485="Overdue"),ISNUMBER(W2485)),IF(W2485&lt;=Settings!$B$6,V2485,0),0)</f>
        <v>0</v>
      </c>
      <c r="Y2485" s="38" t="n">
        <f aca="false">IF(AND(OR(T2485="Backlog",T2485="Pipeline",T2485="Overdue"),ISNUMBER(W2485)),IF(W2485&lt;=Settings!$B$6,Q2485,0),0)</f>
        <v>0</v>
      </c>
      <c r="Z2485" s="38" t="n">
        <f aca="false">IF(Y2485=0,0,IF(T2485="Backlog",Q2485,Q2485*Dashboard!$C$10))</f>
        <v>0</v>
      </c>
      <c r="AA2485" s="37" t="n">
        <f aca="false">IF($N2485="",0,IF(COUNTIF(Dashboard!$C$13:$C$22,$N2485)&gt;0,1,0))</f>
        <v>0</v>
      </c>
      <c r="AB2485" s="37" t="str">
        <f aca="false">IF($N2485="","",IF(COUNTIF($N$8:$N2485,$N2485)=1,MAX($AB$7:$AB2484)+1,""))</f>
        <v/>
      </c>
    </row>
    <row r="2486" customFormat="false" ht="15" hidden="false" customHeight="false" outlineLevel="0" collapsed="false">
      <c r="L2486" s="37" t="str">
        <f aca="false">IF(INDEX($A2486:$J2486,$L$6)&lt;&gt;"",TRIM(LEFT(INDEX($A2486:$J2486,$L$6),FIND("(",INDEX($A2486:$J2486,$L$6)&amp;"(")-1)),L2485)</f>
        <v>Building Value Proposition</v>
      </c>
      <c r="M2486" s="37" t="str">
        <f aca="false">IF(INDEX($A2486:$J2486,$M$6)="","",INDEX($A2486:$J2486,$M$6)&amp;"")</f>
        <v/>
      </c>
      <c r="N2486" s="37" t="str">
        <f aca="false">IF($M2486="","",TRIM(INDEX($A2486:$J2486,$N$6)&amp;""))</f>
        <v/>
      </c>
      <c r="O2486" s="37" t="str">
        <f aca="false">IF($M2486="","",TRIM(INDEX($A2486:$J2486,$O$6)&amp;""))</f>
        <v/>
      </c>
      <c r="P2486" s="37" t="str">
        <f aca="false">IF($M2486="","",IFERROR(IF(INDEX(Settings!$B$41:$B$50,MATCH(O2486,Settings!$A$41:$A$50,0))&amp;""="","UNMAPPED",INDEX(Settings!$B$41:$B$50,MATCH(O2486,Settings!$A$41:$A$50,0))&amp;""),"UNMAPPED"))</f>
        <v/>
      </c>
      <c r="Q2486" s="38" t="n">
        <f aca="false">IF($M2486="",0,N(INDEX($A2486:$J2486,$Q$6)))</f>
        <v>0</v>
      </c>
      <c r="R2486" s="39" t="str">
        <f aca="false">IF($M2486="","",INDEX($A2486:$J2486,$R$6))</f>
        <v/>
      </c>
      <c r="S2486" s="37" t="str">
        <f aca="false">IF($M2486="","",IFERROR(INDEX(Settings!$B$27:$B$36,MATCH(L2486,Settings!$A$27:$A$36,0))&amp;"","UNMAPPED"))</f>
        <v/>
      </c>
      <c r="T2486" s="37" t="str">
        <f aca="false">IF($M2486="","",IF(NOT(ISNUMBER(R2486)),"NO DATE",IF(S2486="Won",IF(R2486&gt;Settings!$B$5,"Backlog","Delivered"),IF(S2486="Open",IF(R2486&gt;Settings!$B$5,"Pipeline","Overdue"),IF(S2486="Lost","Lost","UNMAPPED")))))</f>
        <v/>
      </c>
      <c r="U2486" s="40" t="n">
        <f aca="false">IF(T2486="Backlog",1,IF(OR(T2486="Pipeline",T2486="Overdue"),N(INDEX(Settings!$C$27:$C$36,MATCH(L2486,Settings!$A$27:$A$36,0))),0))</f>
        <v>0</v>
      </c>
      <c r="V2486" s="38" t="n">
        <f aca="false">Q2486*U2486</f>
        <v>0</v>
      </c>
      <c r="W2486" s="41" t="str">
        <f aca="false">IF($M2486="","",IF(T2486="Overdue",IF(Settings!$B$8="Yes",Settings!$B$7,""),IF(ISNUMBER(R2486),DATE(YEAR(R2486),MONTH(R2486),1),"")))</f>
        <v/>
      </c>
      <c r="X2486" s="38" t="n">
        <f aca="false">IF(AND(OR(T2486="Backlog",T2486="Pipeline",T2486="Overdue"),ISNUMBER(W2486)),IF(W2486&lt;=Settings!$B$6,V2486,0),0)</f>
        <v>0</v>
      </c>
      <c r="Y2486" s="38" t="n">
        <f aca="false">IF(AND(OR(T2486="Backlog",T2486="Pipeline",T2486="Overdue"),ISNUMBER(W2486)),IF(W2486&lt;=Settings!$B$6,Q2486,0),0)</f>
        <v>0</v>
      </c>
      <c r="Z2486" s="38" t="n">
        <f aca="false">IF(Y2486=0,0,IF(T2486="Backlog",Q2486,Q2486*Dashboard!$C$10))</f>
        <v>0</v>
      </c>
      <c r="AA2486" s="37" t="n">
        <f aca="false">IF($N2486="",0,IF(COUNTIF(Dashboard!$C$13:$C$22,$N2486)&gt;0,1,0))</f>
        <v>0</v>
      </c>
      <c r="AB2486" s="37" t="str">
        <f aca="false">IF($N2486="","",IF(COUNTIF($N$8:$N2486,$N2486)=1,MAX($AB$7:$AB2485)+1,""))</f>
        <v/>
      </c>
    </row>
    <row r="2487" customFormat="false" ht="15" hidden="false" customHeight="false" outlineLevel="0" collapsed="false">
      <c r="L2487" s="37" t="str">
        <f aca="false">IF(INDEX($A2487:$J2487,$L$6)&lt;&gt;"",TRIM(LEFT(INDEX($A2487:$J2487,$L$6),FIND("(",INDEX($A2487:$J2487,$L$6)&amp;"(")-1)),L2486)</f>
        <v>Building Value Proposition</v>
      </c>
      <c r="M2487" s="37" t="str">
        <f aca="false">IF(INDEX($A2487:$J2487,$M$6)="","",INDEX($A2487:$J2487,$M$6)&amp;"")</f>
        <v/>
      </c>
      <c r="N2487" s="37" t="str">
        <f aca="false">IF($M2487="","",TRIM(INDEX($A2487:$J2487,$N$6)&amp;""))</f>
        <v/>
      </c>
      <c r="O2487" s="37" t="str">
        <f aca="false">IF($M2487="","",TRIM(INDEX($A2487:$J2487,$O$6)&amp;""))</f>
        <v/>
      </c>
      <c r="P2487" s="37" t="str">
        <f aca="false">IF($M2487="","",IFERROR(IF(INDEX(Settings!$B$41:$B$50,MATCH(O2487,Settings!$A$41:$A$50,0))&amp;""="","UNMAPPED",INDEX(Settings!$B$41:$B$50,MATCH(O2487,Settings!$A$41:$A$50,0))&amp;""),"UNMAPPED"))</f>
        <v/>
      </c>
      <c r="Q2487" s="38" t="n">
        <f aca="false">IF($M2487="",0,N(INDEX($A2487:$J2487,$Q$6)))</f>
        <v>0</v>
      </c>
      <c r="R2487" s="39" t="str">
        <f aca="false">IF($M2487="","",INDEX($A2487:$J2487,$R$6))</f>
        <v/>
      </c>
      <c r="S2487" s="37" t="str">
        <f aca="false">IF($M2487="","",IFERROR(INDEX(Settings!$B$27:$B$36,MATCH(L2487,Settings!$A$27:$A$36,0))&amp;"","UNMAPPED"))</f>
        <v/>
      </c>
      <c r="T2487" s="37" t="str">
        <f aca="false">IF($M2487="","",IF(NOT(ISNUMBER(R2487)),"NO DATE",IF(S2487="Won",IF(R2487&gt;Settings!$B$5,"Backlog","Delivered"),IF(S2487="Open",IF(R2487&gt;Settings!$B$5,"Pipeline","Overdue"),IF(S2487="Lost","Lost","UNMAPPED")))))</f>
        <v/>
      </c>
      <c r="U2487" s="40" t="n">
        <f aca="false">IF(T2487="Backlog",1,IF(OR(T2487="Pipeline",T2487="Overdue"),N(INDEX(Settings!$C$27:$C$36,MATCH(L2487,Settings!$A$27:$A$36,0))),0))</f>
        <v>0</v>
      </c>
      <c r="V2487" s="38" t="n">
        <f aca="false">Q2487*U2487</f>
        <v>0</v>
      </c>
      <c r="W2487" s="41" t="str">
        <f aca="false">IF($M2487="","",IF(T2487="Overdue",IF(Settings!$B$8="Yes",Settings!$B$7,""),IF(ISNUMBER(R2487),DATE(YEAR(R2487),MONTH(R2487),1),"")))</f>
        <v/>
      </c>
      <c r="X2487" s="38" t="n">
        <f aca="false">IF(AND(OR(T2487="Backlog",T2487="Pipeline",T2487="Overdue"),ISNUMBER(W2487)),IF(W2487&lt;=Settings!$B$6,V2487,0),0)</f>
        <v>0</v>
      </c>
      <c r="Y2487" s="38" t="n">
        <f aca="false">IF(AND(OR(T2487="Backlog",T2487="Pipeline",T2487="Overdue"),ISNUMBER(W2487)),IF(W2487&lt;=Settings!$B$6,Q2487,0),0)</f>
        <v>0</v>
      </c>
      <c r="Z2487" s="38" t="n">
        <f aca="false">IF(Y2487=0,0,IF(T2487="Backlog",Q2487,Q2487*Dashboard!$C$10))</f>
        <v>0</v>
      </c>
      <c r="AA2487" s="37" t="n">
        <f aca="false">IF($N2487="",0,IF(COUNTIF(Dashboard!$C$13:$C$22,$N2487)&gt;0,1,0))</f>
        <v>0</v>
      </c>
      <c r="AB2487" s="37" t="str">
        <f aca="false">IF($N2487="","",IF(COUNTIF($N$8:$N2487,$N2487)=1,MAX($AB$7:$AB2486)+1,""))</f>
        <v/>
      </c>
    </row>
    <row r="2488" customFormat="false" ht="15" hidden="false" customHeight="false" outlineLevel="0" collapsed="false">
      <c r="L2488" s="37" t="str">
        <f aca="false">IF(INDEX($A2488:$J2488,$L$6)&lt;&gt;"",TRIM(LEFT(INDEX($A2488:$J2488,$L$6),FIND("(",INDEX($A2488:$J2488,$L$6)&amp;"(")-1)),L2487)</f>
        <v>Building Value Proposition</v>
      </c>
      <c r="M2488" s="37" t="str">
        <f aca="false">IF(INDEX($A2488:$J2488,$M$6)="","",INDEX($A2488:$J2488,$M$6)&amp;"")</f>
        <v/>
      </c>
      <c r="N2488" s="37" t="str">
        <f aca="false">IF($M2488="","",TRIM(INDEX($A2488:$J2488,$N$6)&amp;""))</f>
        <v/>
      </c>
      <c r="O2488" s="37" t="str">
        <f aca="false">IF($M2488="","",TRIM(INDEX($A2488:$J2488,$O$6)&amp;""))</f>
        <v/>
      </c>
      <c r="P2488" s="37" t="str">
        <f aca="false">IF($M2488="","",IFERROR(IF(INDEX(Settings!$B$41:$B$50,MATCH(O2488,Settings!$A$41:$A$50,0))&amp;""="","UNMAPPED",INDEX(Settings!$B$41:$B$50,MATCH(O2488,Settings!$A$41:$A$50,0))&amp;""),"UNMAPPED"))</f>
        <v/>
      </c>
      <c r="Q2488" s="38" t="n">
        <f aca="false">IF($M2488="",0,N(INDEX($A2488:$J2488,$Q$6)))</f>
        <v>0</v>
      </c>
      <c r="R2488" s="39" t="str">
        <f aca="false">IF($M2488="","",INDEX($A2488:$J2488,$R$6))</f>
        <v/>
      </c>
      <c r="S2488" s="37" t="str">
        <f aca="false">IF($M2488="","",IFERROR(INDEX(Settings!$B$27:$B$36,MATCH(L2488,Settings!$A$27:$A$36,0))&amp;"","UNMAPPED"))</f>
        <v/>
      </c>
      <c r="T2488" s="37" t="str">
        <f aca="false">IF($M2488="","",IF(NOT(ISNUMBER(R2488)),"NO DATE",IF(S2488="Won",IF(R2488&gt;Settings!$B$5,"Backlog","Delivered"),IF(S2488="Open",IF(R2488&gt;Settings!$B$5,"Pipeline","Overdue"),IF(S2488="Lost","Lost","UNMAPPED")))))</f>
        <v/>
      </c>
      <c r="U2488" s="40" t="n">
        <f aca="false">IF(T2488="Backlog",1,IF(OR(T2488="Pipeline",T2488="Overdue"),N(INDEX(Settings!$C$27:$C$36,MATCH(L2488,Settings!$A$27:$A$36,0))),0))</f>
        <v>0</v>
      </c>
      <c r="V2488" s="38" t="n">
        <f aca="false">Q2488*U2488</f>
        <v>0</v>
      </c>
      <c r="W2488" s="41" t="str">
        <f aca="false">IF($M2488="","",IF(T2488="Overdue",IF(Settings!$B$8="Yes",Settings!$B$7,""),IF(ISNUMBER(R2488),DATE(YEAR(R2488),MONTH(R2488),1),"")))</f>
        <v/>
      </c>
      <c r="X2488" s="38" t="n">
        <f aca="false">IF(AND(OR(T2488="Backlog",T2488="Pipeline",T2488="Overdue"),ISNUMBER(W2488)),IF(W2488&lt;=Settings!$B$6,V2488,0),0)</f>
        <v>0</v>
      </c>
      <c r="Y2488" s="38" t="n">
        <f aca="false">IF(AND(OR(T2488="Backlog",T2488="Pipeline",T2488="Overdue"),ISNUMBER(W2488)),IF(W2488&lt;=Settings!$B$6,Q2488,0),0)</f>
        <v>0</v>
      </c>
      <c r="Z2488" s="38" t="n">
        <f aca="false">IF(Y2488=0,0,IF(T2488="Backlog",Q2488,Q2488*Dashboard!$C$10))</f>
        <v>0</v>
      </c>
      <c r="AA2488" s="37" t="n">
        <f aca="false">IF($N2488="",0,IF(COUNTIF(Dashboard!$C$13:$C$22,$N2488)&gt;0,1,0))</f>
        <v>0</v>
      </c>
      <c r="AB2488" s="37" t="str">
        <f aca="false">IF($N2488="","",IF(COUNTIF($N$8:$N2488,$N2488)=1,MAX($AB$7:$AB2487)+1,""))</f>
        <v/>
      </c>
    </row>
    <row r="2489" customFormat="false" ht="15" hidden="false" customHeight="false" outlineLevel="0" collapsed="false">
      <c r="L2489" s="37" t="str">
        <f aca="false">IF(INDEX($A2489:$J2489,$L$6)&lt;&gt;"",TRIM(LEFT(INDEX($A2489:$J2489,$L$6),FIND("(",INDEX($A2489:$J2489,$L$6)&amp;"(")-1)),L2488)</f>
        <v>Building Value Proposition</v>
      </c>
      <c r="M2489" s="37" t="str">
        <f aca="false">IF(INDEX($A2489:$J2489,$M$6)="","",INDEX($A2489:$J2489,$M$6)&amp;"")</f>
        <v/>
      </c>
      <c r="N2489" s="37" t="str">
        <f aca="false">IF($M2489="","",TRIM(INDEX($A2489:$J2489,$N$6)&amp;""))</f>
        <v/>
      </c>
      <c r="O2489" s="37" t="str">
        <f aca="false">IF($M2489="","",TRIM(INDEX($A2489:$J2489,$O$6)&amp;""))</f>
        <v/>
      </c>
      <c r="P2489" s="37" t="str">
        <f aca="false">IF($M2489="","",IFERROR(IF(INDEX(Settings!$B$41:$B$50,MATCH(O2489,Settings!$A$41:$A$50,0))&amp;""="","UNMAPPED",INDEX(Settings!$B$41:$B$50,MATCH(O2489,Settings!$A$41:$A$50,0))&amp;""),"UNMAPPED"))</f>
        <v/>
      </c>
      <c r="Q2489" s="38" t="n">
        <f aca="false">IF($M2489="",0,N(INDEX($A2489:$J2489,$Q$6)))</f>
        <v>0</v>
      </c>
      <c r="R2489" s="39" t="str">
        <f aca="false">IF($M2489="","",INDEX($A2489:$J2489,$R$6))</f>
        <v/>
      </c>
      <c r="S2489" s="37" t="str">
        <f aca="false">IF($M2489="","",IFERROR(INDEX(Settings!$B$27:$B$36,MATCH(L2489,Settings!$A$27:$A$36,0))&amp;"","UNMAPPED"))</f>
        <v/>
      </c>
      <c r="T2489" s="37" t="str">
        <f aca="false">IF($M2489="","",IF(NOT(ISNUMBER(R2489)),"NO DATE",IF(S2489="Won",IF(R2489&gt;Settings!$B$5,"Backlog","Delivered"),IF(S2489="Open",IF(R2489&gt;Settings!$B$5,"Pipeline","Overdue"),IF(S2489="Lost","Lost","UNMAPPED")))))</f>
        <v/>
      </c>
      <c r="U2489" s="40" t="n">
        <f aca="false">IF(T2489="Backlog",1,IF(OR(T2489="Pipeline",T2489="Overdue"),N(INDEX(Settings!$C$27:$C$36,MATCH(L2489,Settings!$A$27:$A$36,0))),0))</f>
        <v>0</v>
      </c>
      <c r="V2489" s="38" t="n">
        <f aca="false">Q2489*U2489</f>
        <v>0</v>
      </c>
      <c r="W2489" s="41" t="str">
        <f aca="false">IF($M2489="","",IF(T2489="Overdue",IF(Settings!$B$8="Yes",Settings!$B$7,""),IF(ISNUMBER(R2489),DATE(YEAR(R2489),MONTH(R2489),1),"")))</f>
        <v/>
      </c>
      <c r="X2489" s="38" t="n">
        <f aca="false">IF(AND(OR(T2489="Backlog",T2489="Pipeline",T2489="Overdue"),ISNUMBER(W2489)),IF(W2489&lt;=Settings!$B$6,V2489,0),0)</f>
        <v>0</v>
      </c>
      <c r="Y2489" s="38" t="n">
        <f aca="false">IF(AND(OR(T2489="Backlog",T2489="Pipeline",T2489="Overdue"),ISNUMBER(W2489)),IF(W2489&lt;=Settings!$B$6,Q2489,0),0)</f>
        <v>0</v>
      </c>
      <c r="Z2489" s="38" t="n">
        <f aca="false">IF(Y2489=0,0,IF(T2489="Backlog",Q2489,Q2489*Dashboard!$C$10))</f>
        <v>0</v>
      </c>
      <c r="AA2489" s="37" t="n">
        <f aca="false">IF($N2489="",0,IF(COUNTIF(Dashboard!$C$13:$C$22,$N2489)&gt;0,1,0))</f>
        <v>0</v>
      </c>
      <c r="AB2489" s="37" t="str">
        <f aca="false">IF($N2489="","",IF(COUNTIF($N$8:$N2489,$N2489)=1,MAX($AB$7:$AB2488)+1,""))</f>
        <v/>
      </c>
    </row>
    <row r="2490" customFormat="false" ht="15" hidden="false" customHeight="false" outlineLevel="0" collapsed="false">
      <c r="L2490" s="37" t="str">
        <f aca="false">IF(INDEX($A2490:$J2490,$L$6)&lt;&gt;"",TRIM(LEFT(INDEX($A2490:$J2490,$L$6),FIND("(",INDEX($A2490:$J2490,$L$6)&amp;"(")-1)),L2489)</f>
        <v>Building Value Proposition</v>
      </c>
      <c r="M2490" s="37" t="str">
        <f aca="false">IF(INDEX($A2490:$J2490,$M$6)="","",INDEX($A2490:$J2490,$M$6)&amp;"")</f>
        <v/>
      </c>
      <c r="N2490" s="37" t="str">
        <f aca="false">IF($M2490="","",TRIM(INDEX($A2490:$J2490,$N$6)&amp;""))</f>
        <v/>
      </c>
      <c r="O2490" s="37" t="str">
        <f aca="false">IF($M2490="","",TRIM(INDEX($A2490:$J2490,$O$6)&amp;""))</f>
        <v/>
      </c>
      <c r="P2490" s="37" t="str">
        <f aca="false">IF($M2490="","",IFERROR(IF(INDEX(Settings!$B$41:$B$50,MATCH(O2490,Settings!$A$41:$A$50,0))&amp;""="","UNMAPPED",INDEX(Settings!$B$41:$B$50,MATCH(O2490,Settings!$A$41:$A$50,0))&amp;""),"UNMAPPED"))</f>
        <v/>
      </c>
      <c r="Q2490" s="38" t="n">
        <f aca="false">IF($M2490="",0,N(INDEX($A2490:$J2490,$Q$6)))</f>
        <v>0</v>
      </c>
      <c r="R2490" s="39" t="str">
        <f aca="false">IF($M2490="","",INDEX($A2490:$J2490,$R$6))</f>
        <v/>
      </c>
      <c r="S2490" s="37" t="str">
        <f aca="false">IF($M2490="","",IFERROR(INDEX(Settings!$B$27:$B$36,MATCH(L2490,Settings!$A$27:$A$36,0))&amp;"","UNMAPPED"))</f>
        <v/>
      </c>
      <c r="T2490" s="37" t="str">
        <f aca="false">IF($M2490="","",IF(NOT(ISNUMBER(R2490)),"NO DATE",IF(S2490="Won",IF(R2490&gt;Settings!$B$5,"Backlog","Delivered"),IF(S2490="Open",IF(R2490&gt;Settings!$B$5,"Pipeline","Overdue"),IF(S2490="Lost","Lost","UNMAPPED")))))</f>
        <v/>
      </c>
      <c r="U2490" s="40" t="n">
        <f aca="false">IF(T2490="Backlog",1,IF(OR(T2490="Pipeline",T2490="Overdue"),N(INDEX(Settings!$C$27:$C$36,MATCH(L2490,Settings!$A$27:$A$36,0))),0))</f>
        <v>0</v>
      </c>
      <c r="V2490" s="38" t="n">
        <f aca="false">Q2490*U2490</f>
        <v>0</v>
      </c>
      <c r="W2490" s="41" t="str">
        <f aca="false">IF($M2490="","",IF(T2490="Overdue",IF(Settings!$B$8="Yes",Settings!$B$7,""),IF(ISNUMBER(R2490),DATE(YEAR(R2490),MONTH(R2490),1),"")))</f>
        <v/>
      </c>
      <c r="X2490" s="38" t="n">
        <f aca="false">IF(AND(OR(T2490="Backlog",T2490="Pipeline",T2490="Overdue"),ISNUMBER(W2490)),IF(W2490&lt;=Settings!$B$6,V2490,0),0)</f>
        <v>0</v>
      </c>
      <c r="Y2490" s="38" t="n">
        <f aca="false">IF(AND(OR(T2490="Backlog",T2490="Pipeline",T2490="Overdue"),ISNUMBER(W2490)),IF(W2490&lt;=Settings!$B$6,Q2490,0),0)</f>
        <v>0</v>
      </c>
      <c r="Z2490" s="38" t="n">
        <f aca="false">IF(Y2490=0,0,IF(T2490="Backlog",Q2490,Q2490*Dashboard!$C$10))</f>
        <v>0</v>
      </c>
      <c r="AA2490" s="37" t="n">
        <f aca="false">IF($N2490="",0,IF(COUNTIF(Dashboard!$C$13:$C$22,$N2490)&gt;0,1,0))</f>
        <v>0</v>
      </c>
      <c r="AB2490" s="37" t="str">
        <f aca="false">IF($N2490="","",IF(COUNTIF($N$8:$N2490,$N2490)=1,MAX($AB$7:$AB2489)+1,""))</f>
        <v/>
      </c>
    </row>
    <row r="2491" customFormat="false" ht="15" hidden="false" customHeight="false" outlineLevel="0" collapsed="false">
      <c r="L2491" s="37" t="str">
        <f aca="false">IF(INDEX($A2491:$J2491,$L$6)&lt;&gt;"",TRIM(LEFT(INDEX($A2491:$J2491,$L$6),FIND("(",INDEX($A2491:$J2491,$L$6)&amp;"(")-1)),L2490)</f>
        <v>Building Value Proposition</v>
      </c>
      <c r="M2491" s="37" t="str">
        <f aca="false">IF(INDEX($A2491:$J2491,$M$6)="","",INDEX($A2491:$J2491,$M$6)&amp;"")</f>
        <v/>
      </c>
      <c r="N2491" s="37" t="str">
        <f aca="false">IF($M2491="","",TRIM(INDEX($A2491:$J2491,$N$6)&amp;""))</f>
        <v/>
      </c>
      <c r="O2491" s="37" t="str">
        <f aca="false">IF($M2491="","",TRIM(INDEX($A2491:$J2491,$O$6)&amp;""))</f>
        <v/>
      </c>
      <c r="P2491" s="37" t="str">
        <f aca="false">IF($M2491="","",IFERROR(IF(INDEX(Settings!$B$41:$B$50,MATCH(O2491,Settings!$A$41:$A$50,0))&amp;""="","UNMAPPED",INDEX(Settings!$B$41:$B$50,MATCH(O2491,Settings!$A$41:$A$50,0))&amp;""),"UNMAPPED"))</f>
        <v/>
      </c>
      <c r="Q2491" s="38" t="n">
        <f aca="false">IF($M2491="",0,N(INDEX($A2491:$J2491,$Q$6)))</f>
        <v>0</v>
      </c>
      <c r="R2491" s="39" t="str">
        <f aca="false">IF($M2491="","",INDEX($A2491:$J2491,$R$6))</f>
        <v/>
      </c>
      <c r="S2491" s="37" t="str">
        <f aca="false">IF($M2491="","",IFERROR(INDEX(Settings!$B$27:$B$36,MATCH(L2491,Settings!$A$27:$A$36,0))&amp;"","UNMAPPED"))</f>
        <v/>
      </c>
      <c r="T2491" s="37" t="str">
        <f aca="false">IF($M2491="","",IF(NOT(ISNUMBER(R2491)),"NO DATE",IF(S2491="Won",IF(R2491&gt;Settings!$B$5,"Backlog","Delivered"),IF(S2491="Open",IF(R2491&gt;Settings!$B$5,"Pipeline","Overdue"),IF(S2491="Lost","Lost","UNMAPPED")))))</f>
        <v/>
      </c>
      <c r="U2491" s="40" t="n">
        <f aca="false">IF(T2491="Backlog",1,IF(OR(T2491="Pipeline",T2491="Overdue"),N(INDEX(Settings!$C$27:$C$36,MATCH(L2491,Settings!$A$27:$A$36,0))),0))</f>
        <v>0</v>
      </c>
      <c r="V2491" s="38" t="n">
        <f aca="false">Q2491*U2491</f>
        <v>0</v>
      </c>
      <c r="W2491" s="41" t="str">
        <f aca="false">IF($M2491="","",IF(T2491="Overdue",IF(Settings!$B$8="Yes",Settings!$B$7,""),IF(ISNUMBER(R2491),DATE(YEAR(R2491),MONTH(R2491),1),"")))</f>
        <v/>
      </c>
      <c r="X2491" s="38" t="n">
        <f aca="false">IF(AND(OR(T2491="Backlog",T2491="Pipeline",T2491="Overdue"),ISNUMBER(W2491)),IF(W2491&lt;=Settings!$B$6,V2491,0),0)</f>
        <v>0</v>
      </c>
      <c r="Y2491" s="38" t="n">
        <f aca="false">IF(AND(OR(T2491="Backlog",T2491="Pipeline",T2491="Overdue"),ISNUMBER(W2491)),IF(W2491&lt;=Settings!$B$6,Q2491,0),0)</f>
        <v>0</v>
      </c>
      <c r="Z2491" s="38" t="n">
        <f aca="false">IF(Y2491=0,0,IF(T2491="Backlog",Q2491,Q2491*Dashboard!$C$10))</f>
        <v>0</v>
      </c>
      <c r="AA2491" s="37" t="n">
        <f aca="false">IF($N2491="",0,IF(COUNTIF(Dashboard!$C$13:$C$22,$N2491)&gt;0,1,0))</f>
        <v>0</v>
      </c>
      <c r="AB2491" s="37" t="str">
        <f aca="false">IF($N2491="","",IF(COUNTIF($N$8:$N2491,$N2491)=1,MAX($AB$7:$AB2490)+1,""))</f>
        <v/>
      </c>
    </row>
    <row r="2492" customFormat="false" ht="15" hidden="false" customHeight="false" outlineLevel="0" collapsed="false">
      <c r="L2492" s="37" t="str">
        <f aca="false">IF(INDEX($A2492:$J2492,$L$6)&lt;&gt;"",TRIM(LEFT(INDEX($A2492:$J2492,$L$6),FIND("(",INDEX($A2492:$J2492,$L$6)&amp;"(")-1)),L2491)</f>
        <v>Building Value Proposition</v>
      </c>
      <c r="M2492" s="37" t="str">
        <f aca="false">IF(INDEX($A2492:$J2492,$M$6)="","",INDEX($A2492:$J2492,$M$6)&amp;"")</f>
        <v/>
      </c>
      <c r="N2492" s="37" t="str">
        <f aca="false">IF($M2492="","",TRIM(INDEX($A2492:$J2492,$N$6)&amp;""))</f>
        <v/>
      </c>
      <c r="O2492" s="37" t="str">
        <f aca="false">IF($M2492="","",TRIM(INDEX($A2492:$J2492,$O$6)&amp;""))</f>
        <v/>
      </c>
      <c r="P2492" s="37" t="str">
        <f aca="false">IF($M2492="","",IFERROR(IF(INDEX(Settings!$B$41:$B$50,MATCH(O2492,Settings!$A$41:$A$50,0))&amp;""="","UNMAPPED",INDEX(Settings!$B$41:$B$50,MATCH(O2492,Settings!$A$41:$A$50,0))&amp;""),"UNMAPPED"))</f>
        <v/>
      </c>
      <c r="Q2492" s="38" t="n">
        <f aca="false">IF($M2492="",0,N(INDEX($A2492:$J2492,$Q$6)))</f>
        <v>0</v>
      </c>
      <c r="R2492" s="39" t="str">
        <f aca="false">IF($M2492="","",INDEX($A2492:$J2492,$R$6))</f>
        <v/>
      </c>
      <c r="S2492" s="37" t="str">
        <f aca="false">IF($M2492="","",IFERROR(INDEX(Settings!$B$27:$B$36,MATCH(L2492,Settings!$A$27:$A$36,0))&amp;"","UNMAPPED"))</f>
        <v/>
      </c>
      <c r="T2492" s="37" t="str">
        <f aca="false">IF($M2492="","",IF(NOT(ISNUMBER(R2492)),"NO DATE",IF(S2492="Won",IF(R2492&gt;Settings!$B$5,"Backlog","Delivered"),IF(S2492="Open",IF(R2492&gt;Settings!$B$5,"Pipeline","Overdue"),IF(S2492="Lost","Lost","UNMAPPED")))))</f>
        <v/>
      </c>
      <c r="U2492" s="40" t="n">
        <f aca="false">IF(T2492="Backlog",1,IF(OR(T2492="Pipeline",T2492="Overdue"),N(INDEX(Settings!$C$27:$C$36,MATCH(L2492,Settings!$A$27:$A$36,0))),0))</f>
        <v>0</v>
      </c>
      <c r="V2492" s="38" t="n">
        <f aca="false">Q2492*U2492</f>
        <v>0</v>
      </c>
      <c r="W2492" s="41" t="str">
        <f aca="false">IF($M2492="","",IF(T2492="Overdue",IF(Settings!$B$8="Yes",Settings!$B$7,""),IF(ISNUMBER(R2492),DATE(YEAR(R2492),MONTH(R2492),1),"")))</f>
        <v/>
      </c>
      <c r="X2492" s="38" t="n">
        <f aca="false">IF(AND(OR(T2492="Backlog",T2492="Pipeline",T2492="Overdue"),ISNUMBER(W2492)),IF(W2492&lt;=Settings!$B$6,V2492,0),0)</f>
        <v>0</v>
      </c>
      <c r="Y2492" s="38" t="n">
        <f aca="false">IF(AND(OR(T2492="Backlog",T2492="Pipeline",T2492="Overdue"),ISNUMBER(W2492)),IF(W2492&lt;=Settings!$B$6,Q2492,0),0)</f>
        <v>0</v>
      </c>
      <c r="Z2492" s="38" t="n">
        <f aca="false">IF(Y2492=0,0,IF(T2492="Backlog",Q2492,Q2492*Dashboard!$C$10))</f>
        <v>0</v>
      </c>
      <c r="AA2492" s="37" t="n">
        <f aca="false">IF($N2492="",0,IF(COUNTIF(Dashboard!$C$13:$C$22,$N2492)&gt;0,1,0))</f>
        <v>0</v>
      </c>
      <c r="AB2492" s="37" t="str">
        <f aca="false">IF($N2492="","",IF(COUNTIF($N$8:$N2492,$N2492)=1,MAX($AB$7:$AB2491)+1,""))</f>
        <v/>
      </c>
    </row>
    <row r="2493" customFormat="false" ht="15" hidden="false" customHeight="false" outlineLevel="0" collapsed="false">
      <c r="L2493" s="37" t="str">
        <f aca="false">IF(INDEX($A2493:$J2493,$L$6)&lt;&gt;"",TRIM(LEFT(INDEX($A2493:$J2493,$L$6),FIND("(",INDEX($A2493:$J2493,$L$6)&amp;"(")-1)),L2492)</f>
        <v>Building Value Proposition</v>
      </c>
      <c r="M2493" s="37" t="str">
        <f aca="false">IF(INDEX($A2493:$J2493,$M$6)="","",INDEX($A2493:$J2493,$M$6)&amp;"")</f>
        <v/>
      </c>
      <c r="N2493" s="37" t="str">
        <f aca="false">IF($M2493="","",TRIM(INDEX($A2493:$J2493,$N$6)&amp;""))</f>
        <v/>
      </c>
      <c r="O2493" s="37" t="str">
        <f aca="false">IF($M2493="","",TRIM(INDEX($A2493:$J2493,$O$6)&amp;""))</f>
        <v/>
      </c>
      <c r="P2493" s="37" t="str">
        <f aca="false">IF($M2493="","",IFERROR(IF(INDEX(Settings!$B$41:$B$50,MATCH(O2493,Settings!$A$41:$A$50,0))&amp;""="","UNMAPPED",INDEX(Settings!$B$41:$B$50,MATCH(O2493,Settings!$A$41:$A$50,0))&amp;""),"UNMAPPED"))</f>
        <v/>
      </c>
      <c r="Q2493" s="38" t="n">
        <f aca="false">IF($M2493="",0,N(INDEX($A2493:$J2493,$Q$6)))</f>
        <v>0</v>
      </c>
      <c r="R2493" s="39" t="str">
        <f aca="false">IF($M2493="","",INDEX($A2493:$J2493,$R$6))</f>
        <v/>
      </c>
      <c r="S2493" s="37" t="str">
        <f aca="false">IF($M2493="","",IFERROR(INDEX(Settings!$B$27:$B$36,MATCH(L2493,Settings!$A$27:$A$36,0))&amp;"","UNMAPPED"))</f>
        <v/>
      </c>
      <c r="T2493" s="37" t="str">
        <f aca="false">IF($M2493="","",IF(NOT(ISNUMBER(R2493)),"NO DATE",IF(S2493="Won",IF(R2493&gt;Settings!$B$5,"Backlog","Delivered"),IF(S2493="Open",IF(R2493&gt;Settings!$B$5,"Pipeline","Overdue"),IF(S2493="Lost","Lost","UNMAPPED")))))</f>
        <v/>
      </c>
      <c r="U2493" s="40" t="n">
        <f aca="false">IF(T2493="Backlog",1,IF(OR(T2493="Pipeline",T2493="Overdue"),N(INDEX(Settings!$C$27:$C$36,MATCH(L2493,Settings!$A$27:$A$36,0))),0))</f>
        <v>0</v>
      </c>
      <c r="V2493" s="38" t="n">
        <f aca="false">Q2493*U2493</f>
        <v>0</v>
      </c>
      <c r="W2493" s="41" t="str">
        <f aca="false">IF($M2493="","",IF(T2493="Overdue",IF(Settings!$B$8="Yes",Settings!$B$7,""),IF(ISNUMBER(R2493),DATE(YEAR(R2493),MONTH(R2493),1),"")))</f>
        <v/>
      </c>
      <c r="X2493" s="38" t="n">
        <f aca="false">IF(AND(OR(T2493="Backlog",T2493="Pipeline",T2493="Overdue"),ISNUMBER(W2493)),IF(W2493&lt;=Settings!$B$6,V2493,0),0)</f>
        <v>0</v>
      </c>
      <c r="Y2493" s="38" t="n">
        <f aca="false">IF(AND(OR(T2493="Backlog",T2493="Pipeline",T2493="Overdue"),ISNUMBER(W2493)),IF(W2493&lt;=Settings!$B$6,Q2493,0),0)</f>
        <v>0</v>
      </c>
      <c r="Z2493" s="38" t="n">
        <f aca="false">IF(Y2493=0,0,IF(T2493="Backlog",Q2493,Q2493*Dashboard!$C$10))</f>
        <v>0</v>
      </c>
      <c r="AA2493" s="37" t="n">
        <f aca="false">IF($N2493="",0,IF(COUNTIF(Dashboard!$C$13:$C$22,$N2493)&gt;0,1,0))</f>
        <v>0</v>
      </c>
      <c r="AB2493" s="37" t="str">
        <f aca="false">IF($N2493="","",IF(COUNTIF($N$8:$N2493,$N2493)=1,MAX($AB$7:$AB2492)+1,""))</f>
        <v/>
      </c>
    </row>
    <row r="2494" customFormat="false" ht="15" hidden="false" customHeight="false" outlineLevel="0" collapsed="false">
      <c r="L2494" s="37" t="str">
        <f aca="false">IF(INDEX($A2494:$J2494,$L$6)&lt;&gt;"",TRIM(LEFT(INDEX($A2494:$J2494,$L$6),FIND("(",INDEX($A2494:$J2494,$L$6)&amp;"(")-1)),L2493)</f>
        <v>Building Value Proposition</v>
      </c>
      <c r="M2494" s="37" t="str">
        <f aca="false">IF(INDEX($A2494:$J2494,$M$6)="","",INDEX($A2494:$J2494,$M$6)&amp;"")</f>
        <v/>
      </c>
      <c r="N2494" s="37" t="str">
        <f aca="false">IF($M2494="","",TRIM(INDEX($A2494:$J2494,$N$6)&amp;""))</f>
        <v/>
      </c>
      <c r="O2494" s="37" t="str">
        <f aca="false">IF($M2494="","",TRIM(INDEX($A2494:$J2494,$O$6)&amp;""))</f>
        <v/>
      </c>
      <c r="P2494" s="37" t="str">
        <f aca="false">IF($M2494="","",IFERROR(IF(INDEX(Settings!$B$41:$B$50,MATCH(O2494,Settings!$A$41:$A$50,0))&amp;""="","UNMAPPED",INDEX(Settings!$B$41:$B$50,MATCH(O2494,Settings!$A$41:$A$50,0))&amp;""),"UNMAPPED"))</f>
        <v/>
      </c>
      <c r="Q2494" s="38" t="n">
        <f aca="false">IF($M2494="",0,N(INDEX($A2494:$J2494,$Q$6)))</f>
        <v>0</v>
      </c>
      <c r="R2494" s="39" t="str">
        <f aca="false">IF($M2494="","",INDEX($A2494:$J2494,$R$6))</f>
        <v/>
      </c>
      <c r="S2494" s="37" t="str">
        <f aca="false">IF($M2494="","",IFERROR(INDEX(Settings!$B$27:$B$36,MATCH(L2494,Settings!$A$27:$A$36,0))&amp;"","UNMAPPED"))</f>
        <v/>
      </c>
      <c r="T2494" s="37" t="str">
        <f aca="false">IF($M2494="","",IF(NOT(ISNUMBER(R2494)),"NO DATE",IF(S2494="Won",IF(R2494&gt;Settings!$B$5,"Backlog","Delivered"),IF(S2494="Open",IF(R2494&gt;Settings!$B$5,"Pipeline","Overdue"),IF(S2494="Lost","Lost","UNMAPPED")))))</f>
        <v/>
      </c>
      <c r="U2494" s="40" t="n">
        <f aca="false">IF(T2494="Backlog",1,IF(OR(T2494="Pipeline",T2494="Overdue"),N(INDEX(Settings!$C$27:$C$36,MATCH(L2494,Settings!$A$27:$A$36,0))),0))</f>
        <v>0</v>
      </c>
      <c r="V2494" s="38" t="n">
        <f aca="false">Q2494*U2494</f>
        <v>0</v>
      </c>
      <c r="W2494" s="41" t="str">
        <f aca="false">IF($M2494="","",IF(T2494="Overdue",IF(Settings!$B$8="Yes",Settings!$B$7,""),IF(ISNUMBER(R2494),DATE(YEAR(R2494),MONTH(R2494),1),"")))</f>
        <v/>
      </c>
      <c r="X2494" s="38" t="n">
        <f aca="false">IF(AND(OR(T2494="Backlog",T2494="Pipeline",T2494="Overdue"),ISNUMBER(W2494)),IF(W2494&lt;=Settings!$B$6,V2494,0),0)</f>
        <v>0</v>
      </c>
      <c r="Y2494" s="38" t="n">
        <f aca="false">IF(AND(OR(T2494="Backlog",T2494="Pipeline",T2494="Overdue"),ISNUMBER(W2494)),IF(W2494&lt;=Settings!$B$6,Q2494,0),0)</f>
        <v>0</v>
      </c>
      <c r="Z2494" s="38" t="n">
        <f aca="false">IF(Y2494=0,0,IF(T2494="Backlog",Q2494,Q2494*Dashboard!$C$10))</f>
        <v>0</v>
      </c>
      <c r="AA2494" s="37" t="n">
        <f aca="false">IF($N2494="",0,IF(COUNTIF(Dashboard!$C$13:$C$22,$N2494)&gt;0,1,0))</f>
        <v>0</v>
      </c>
      <c r="AB2494" s="37" t="str">
        <f aca="false">IF($N2494="","",IF(COUNTIF($N$8:$N2494,$N2494)=1,MAX($AB$7:$AB2493)+1,""))</f>
        <v/>
      </c>
    </row>
    <row r="2495" customFormat="false" ht="15" hidden="false" customHeight="false" outlineLevel="0" collapsed="false">
      <c r="L2495" s="37" t="str">
        <f aca="false">IF(INDEX($A2495:$J2495,$L$6)&lt;&gt;"",TRIM(LEFT(INDEX($A2495:$J2495,$L$6),FIND("(",INDEX($A2495:$J2495,$L$6)&amp;"(")-1)),L2494)</f>
        <v>Building Value Proposition</v>
      </c>
      <c r="M2495" s="37" t="str">
        <f aca="false">IF(INDEX($A2495:$J2495,$M$6)="","",INDEX($A2495:$J2495,$M$6)&amp;"")</f>
        <v/>
      </c>
      <c r="N2495" s="37" t="str">
        <f aca="false">IF($M2495="","",TRIM(INDEX($A2495:$J2495,$N$6)&amp;""))</f>
        <v/>
      </c>
      <c r="O2495" s="37" t="str">
        <f aca="false">IF($M2495="","",TRIM(INDEX($A2495:$J2495,$O$6)&amp;""))</f>
        <v/>
      </c>
      <c r="P2495" s="37" t="str">
        <f aca="false">IF($M2495="","",IFERROR(IF(INDEX(Settings!$B$41:$B$50,MATCH(O2495,Settings!$A$41:$A$50,0))&amp;""="","UNMAPPED",INDEX(Settings!$B$41:$B$50,MATCH(O2495,Settings!$A$41:$A$50,0))&amp;""),"UNMAPPED"))</f>
        <v/>
      </c>
      <c r="Q2495" s="38" t="n">
        <f aca="false">IF($M2495="",0,N(INDEX($A2495:$J2495,$Q$6)))</f>
        <v>0</v>
      </c>
      <c r="R2495" s="39" t="str">
        <f aca="false">IF($M2495="","",INDEX($A2495:$J2495,$R$6))</f>
        <v/>
      </c>
      <c r="S2495" s="37" t="str">
        <f aca="false">IF($M2495="","",IFERROR(INDEX(Settings!$B$27:$B$36,MATCH(L2495,Settings!$A$27:$A$36,0))&amp;"","UNMAPPED"))</f>
        <v/>
      </c>
      <c r="T2495" s="37" t="str">
        <f aca="false">IF($M2495="","",IF(NOT(ISNUMBER(R2495)),"NO DATE",IF(S2495="Won",IF(R2495&gt;Settings!$B$5,"Backlog","Delivered"),IF(S2495="Open",IF(R2495&gt;Settings!$B$5,"Pipeline","Overdue"),IF(S2495="Lost","Lost","UNMAPPED")))))</f>
        <v/>
      </c>
      <c r="U2495" s="40" t="n">
        <f aca="false">IF(T2495="Backlog",1,IF(OR(T2495="Pipeline",T2495="Overdue"),N(INDEX(Settings!$C$27:$C$36,MATCH(L2495,Settings!$A$27:$A$36,0))),0))</f>
        <v>0</v>
      </c>
      <c r="V2495" s="38" t="n">
        <f aca="false">Q2495*U2495</f>
        <v>0</v>
      </c>
      <c r="W2495" s="41" t="str">
        <f aca="false">IF($M2495="","",IF(T2495="Overdue",IF(Settings!$B$8="Yes",Settings!$B$7,""),IF(ISNUMBER(R2495),DATE(YEAR(R2495),MONTH(R2495),1),"")))</f>
        <v/>
      </c>
      <c r="X2495" s="38" t="n">
        <f aca="false">IF(AND(OR(T2495="Backlog",T2495="Pipeline",T2495="Overdue"),ISNUMBER(W2495)),IF(W2495&lt;=Settings!$B$6,V2495,0),0)</f>
        <v>0</v>
      </c>
      <c r="Y2495" s="38" t="n">
        <f aca="false">IF(AND(OR(T2495="Backlog",T2495="Pipeline",T2495="Overdue"),ISNUMBER(W2495)),IF(W2495&lt;=Settings!$B$6,Q2495,0),0)</f>
        <v>0</v>
      </c>
      <c r="Z2495" s="38" t="n">
        <f aca="false">IF(Y2495=0,0,IF(T2495="Backlog",Q2495,Q2495*Dashboard!$C$10))</f>
        <v>0</v>
      </c>
      <c r="AA2495" s="37" t="n">
        <f aca="false">IF($N2495="",0,IF(COUNTIF(Dashboard!$C$13:$C$22,$N2495)&gt;0,1,0))</f>
        <v>0</v>
      </c>
      <c r="AB2495" s="37" t="str">
        <f aca="false">IF($N2495="","",IF(COUNTIF($N$8:$N2495,$N2495)=1,MAX($AB$7:$AB2494)+1,""))</f>
        <v/>
      </c>
    </row>
    <row r="2496" customFormat="false" ht="15" hidden="false" customHeight="false" outlineLevel="0" collapsed="false">
      <c r="L2496" s="37" t="str">
        <f aca="false">IF(INDEX($A2496:$J2496,$L$6)&lt;&gt;"",TRIM(LEFT(INDEX($A2496:$J2496,$L$6),FIND("(",INDEX($A2496:$J2496,$L$6)&amp;"(")-1)),L2495)</f>
        <v>Building Value Proposition</v>
      </c>
      <c r="M2496" s="37" t="str">
        <f aca="false">IF(INDEX($A2496:$J2496,$M$6)="","",INDEX($A2496:$J2496,$M$6)&amp;"")</f>
        <v/>
      </c>
      <c r="N2496" s="37" t="str">
        <f aca="false">IF($M2496="","",TRIM(INDEX($A2496:$J2496,$N$6)&amp;""))</f>
        <v/>
      </c>
      <c r="O2496" s="37" t="str">
        <f aca="false">IF($M2496="","",TRIM(INDEX($A2496:$J2496,$O$6)&amp;""))</f>
        <v/>
      </c>
      <c r="P2496" s="37" t="str">
        <f aca="false">IF($M2496="","",IFERROR(IF(INDEX(Settings!$B$41:$B$50,MATCH(O2496,Settings!$A$41:$A$50,0))&amp;""="","UNMAPPED",INDEX(Settings!$B$41:$B$50,MATCH(O2496,Settings!$A$41:$A$50,0))&amp;""),"UNMAPPED"))</f>
        <v/>
      </c>
      <c r="Q2496" s="38" t="n">
        <f aca="false">IF($M2496="",0,N(INDEX($A2496:$J2496,$Q$6)))</f>
        <v>0</v>
      </c>
      <c r="R2496" s="39" t="str">
        <f aca="false">IF($M2496="","",INDEX($A2496:$J2496,$R$6))</f>
        <v/>
      </c>
      <c r="S2496" s="37" t="str">
        <f aca="false">IF($M2496="","",IFERROR(INDEX(Settings!$B$27:$B$36,MATCH(L2496,Settings!$A$27:$A$36,0))&amp;"","UNMAPPED"))</f>
        <v/>
      </c>
      <c r="T2496" s="37" t="str">
        <f aca="false">IF($M2496="","",IF(NOT(ISNUMBER(R2496)),"NO DATE",IF(S2496="Won",IF(R2496&gt;Settings!$B$5,"Backlog","Delivered"),IF(S2496="Open",IF(R2496&gt;Settings!$B$5,"Pipeline","Overdue"),IF(S2496="Lost","Lost","UNMAPPED")))))</f>
        <v/>
      </c>
      <c r="U2496" s="40" t="n">
        <f aca="false">IF(T2496="Backlog",1,IF(OR(T2496="Pipeline",T2496="Overdue"),N(INDEX(Settings!$C$27:$C$36,MATCH(L2496,Settings!$A$27:$A$36,0))),0))</f>
        <v>0</v>
      </c>
      <c r="V2496" s="38" t="n">
        <f aca="false">Q2496*U2496</f>
        <v>0</v>
      </c>
      <c r="W2496" s="41" t="str">
        <f aca="false">IF($M2496="","",IF(T2496="Overdue",IF(Settings!$B$8="Yes",Settings!$B$7,""),IF(ISNUMBER(R2496),DATE(YEAR(R2496),MONTH(R2496),1),"")))</f>
        <v/>
      </c>
      <c r="X2496" s="38" t="n">
        <f aca="false">IF(AND(OR(T2496="Backlog",T2496="Pipeline",T2496="Overdue"),ISNUMBER(W2496)),IF(W2496&lt;=Settings!$B$6,V2496,0),0)</f>
        <v>0</v>
      </c>
      <c r="Y2496" s="38" t="n">
        <f aca="false">IF(AND(OR(T2496="Backlog",T2496="Pipeline",T2496="Overdue"),ISNUMBER(W2496)),IF(W2496&lt;=Settings!$B$6,Q2496,0),0)</f>
        <v>0</v>
      </c>
      <c r="Z2496" s="38" t="n">
        <f aca="false">IF(Y2496=0,0,IF(T2496="Backlog",Q2496,Q2496*Dashboard!$C$10))</f>
        <v>0</v>
      </c>
      <c r="AA2496" s="37" t="n">
        <f aca="false">IF($N2496="",0,IF(COUNTIF(Dashboard!$C$13:$C$22,$N2496)&gt;0,1,0))</f>
        <v>0</v>
      </c>
      <c r="AB2496" s="37" t="str">
        <f aca="false">IF($N2496="","",IF(COUNTIF($N$8:$N2496,$N2496)=1,MAX($AB$7:$AB2495)+1,""))</f>
        <v/>
      </c>
    </row>
    <row r="2497" customFormat="false" ht="15" hidden="false" customHeight="false" outlineLevel="0" collapsed="false">
      <c r="L2497" s="37" t="str">
        <f aca="false">IF(INDEX($A2497:$J2497,$L$6)&lt;&gt;"",TRIM(LEFT(INDEX($A2497:$J2497,$L$6),FIND("(",INDEX($A2497:$J2497,$L$6)&amp;"(")-1)),L2496)</f>
        <v>Building Value Proposition</v>
      </c>
      <c r="M2497" s="37" t="str">
        <f aca="false">IF(INDEX($A2497:$J2497,$M$6)="","",INDEX($A2497:$J2497,$M$6)&amp;"")</f>
        <v/>
      </c>
      <c r="N2497" s="37" t="str">
        <f aca="false">IF($M2497="","",TRIM(INDEX($A2497:$J2497,$N$6)&amp;""))</f>
        <v/>
      </c>
      <c r="O2497" s="37" t="str">
        <f aca="false">IF($M2497="","",TRIM(INDEX($A2497:$J2497,$O$6)&amp;""))</f>
        <v/>
      </c>
      <c r="P2497" s="37" t="str">
        <f aca="false">IF($M2497="","",IFERROR(IF(INDEX(Settings!$B$41:$B$50,MATCH(O2497,Settings!$A$41:$A$50,0))&amp;""="","UNMAPPED",INDEX(Settings!$B$41:$B$50,MATCH(O2497,Settings!$A$41:$A$50,0))&amp;""),"UNMAPPED"))</f>
        <v/>
      </c>
      <c r="Q2497" s="38" t="n">
        <f aca="false">IF($M2497="",0,N(INDEX($A2497:$J2497,$Q$6)))</f>
        <v>0</v>
      </c>
      <c r="R2497" s="39" t="str">
        <f aca="false">IF($M2497="","",INDEX($A2497:$J2497,$R$6))</f>
        <v/>
      </c>
      <c r="S2497" s="37" t="str">
        <f aca="false">IF($M2497="","",IFERROR(INDEX(Settings!$B$27:$B$36,MATCH(L2497,Settings!$A$27:$A$36,0))&amp;"","UNMAPPED"))</f>
        <v/>
      </c>
      <c r="T2497" s="37" t="str">
        <f aca="false">IF($M2497="","",IF(NOT(ISNUMBER(R2497)),"NO DATE",IF(S2497="Won",IF(R2497&gt;Settings!$B$5,"Backlog","Delivered"),IF(S2497="Open",IF(R2497&gt;Settings!$B$5,"Pipeline","Overdue"),IF(S2497="Lost","Lost","UNMAPPED")))))</f>
        <v/>
      </c>
      <c r="U2497" s="40" t="n">
        <f aca="false">IF(T2497="Backlog",1,IF(OR(T2497="Pipeline",T2497="Overdue"),N(INDEX(Settings!$C$27:$C$36,MATCH(L2497,Settings!$A$27:$A$36,0))),0))</f>
        <v>0</v>
      </c>
      <c r="V2497" s="38" t="n">
        <f aca="false">Q2497*U2497</f>
        <v>0</v>
      </c>
      <c r="W2497" s="41" t="str">
        <f aca="false">IF($M2497="","",IF(T2497="Overdue",IF(Settings!$B$8="Yes",Settings!$B$7,""),IF(ISNUMBER(R2497),DATE(YEAR(R2497),MONTH(R2497),1),"")))</f>
        <v/>
      </c>
      <c r="X2497" s="38" t="n">
        <f aca="false">IF(AND(OR(T2497="Backlog",T2497="Pipeline",T2497="Overdue"),ISNUMBER(W2497)),IF(W2497&lt;=Settings!$B$6,V2497,0),0)</f>
        <v>0</v>
      </c>
      <c r="Y2497" s="38" t="n">
        <f aca="false">IF(AND(OR(T2497="Backlog",T2497="Pipeline",T2497="Overdue"),ISNUMBER(W2497)),IF(W2497&lt;=Settings!$B$6,Q2497,0),0)</f>
        <v>0</v>
      </c>
      <c r="Z2497" s="38" t="n">
        <f aca="false">IF(Y2497=0,0,IF(T2497="Backlog",Q2497,Q2497*Dashboard!$C$10))</f>
        <v>0</v>
      </c>
      <c r="AA2497" s="37" t="n">
        <f aca="false">IF($N2497="",0,IF(COUNTIF(Dashboard!$C$13:$C$22,$N2497)&gt;0,1,0))</f>
        <v>0</v>
      </c>
      <c r="AB2497" s="37" t="str">
        <f aca="false">IF($N2497="","",IF(COUNTIF($N$8:$N2497,$N2497)=1,MAX($AB$7:$AB2496)+1,""))</f>
        <v/>
      </c>
    </row>
    <row r="2498" customFormat="false" ht="15" hidden="false" customHeight="false" outlineLevel="0" collapsed="false">
      <c r="L2498" s="37" t="str">
        <f aca="false">IF(INDEX($A2498:$J2498,$L$6)&lt;&gt;"",TRIM(LEFT(INDEX($A2498:$J2498,$L$6),FIND("(",INDEX($A2498:$J2498,$L$6)&amp;"(")-1)),L2497)</f>
        <v>Building Value Proposition</v>
      </c>
      <c r="M2498" s="37" t="str">
        <f aca="false">IF(INDEX($A2498:$J2498,$M$6)="","",INDEX($A2498:$J2498,$M$6)&amp;"")</f>
        <v/>
      </c>
      <c r="N2498" s="37" t="str">
        <f aca="false">IF($M2498="","",TRIM(INDEX($A2498:$J2498,$N$6)&amp;""))</f>
        <v/>
      </c>
      <c r="O2498" s="37" t="str">
        <f aca="false">IF($M2498="","",TRIM(INDEX($A2498:$J2498,$O$6)&amp;""))</f>
        <v/>
      </c>
      <c r="P2498" s="37" t="str">
        <f aca="false">IF($M2498="","",IFERROR(IF(INDEX(Settings!$B$41:$B$50,MATCH(O2498,Settings!$A$41:$A$50,0))&amp;""="","UNMAPPED",INDEX(Settings!$B$41:$B$50,MATCH(O2498,Settings!$A$41:$A$50,0))&amp;""),"UNMAPPED"))</f>
        <v/>
      </c>
      <c r="Q2498" s="38" t="n">
        <f aca="false">IF($M2498="",0,N(INDEX($A2498:$J2498,$Q$6)))</f>
        <v>0</v>
      </c>
      <c r="R2498" s="39" t="str">
        <f aca="false">IF($M2498="","",INDEX($A2498:$J2498,$R$6))</f>
        <v/>
      </c>
      <c r="S2498" s="37" t="str">
        <f aca="false">IF($M2498="","",IFERROR(INDEX(Settings!$B$27:$B$36,MATCH(L2498,Settings!$A$27:$A$36,0))&amp;"","UNMAPPED"))</f>
        <v/>
      </c>
      <c r="T2498" s="37" t="str">
        <f aca="false">IF($M2498="","",IF(NOT(ISNUMBER(R2498)),"NO DATE",IF(S2498="Won",IF(R2498&gt;Settings!$B$5,"Backlog","Delivered"),IF(S2498="Open",IF(R2498&gt;Settings!$B$5,"Pipeline","Overdue"),IF(S2498="Lost","Lost","UNMAPPED")))))</f>
        <v/>
      </c>
      <c r="U2498" s="40" t="n">
        <f aca="false">IF(T2498="Backlog",1,IF(OR(T2498="Pipeline",T2498="Overdue"),N(INDEX(Settings!$C$27:$C$36,MATCH(L2498,Settings!$A$27:$A$36,0))),0))</f>
        <v>0</v>
      </c>
      <c r="V2498" s="38" t="n">
        <f aca="false">Q2498*U2498</f>
        <v>0</v>
      </c>
      <c r="W2498" s="41" t="str">
        <f aca="false">IF($M2498="","",IF(T2498="Overdue",IF(Settings!$B$8="Yes",Settings!$B$7,""),IF(ISNUMBER(R2498),DATE(YEAR(R2498),MONTH(R2498),1),"")))</f>
        <v/>
      </c>
      <c r="X2498" s="38" t="n">
        <f aca="false">IF(AND(OR(T2498="Backlog",T2498="Pipeline",T2498="Overdue"),ISNUMBER(W2498)),IF(W2498&lt;=Settings!$B$6,V2498,0),0)</f>
        <v>0</v>
      </c>
      <c r="Y2498" s="38" t="n">
        <f aca="false">IF(AND(OR(T2498="Backlog",T2498="Pipeline",T2498="Overdue"),ISNUMBER(W2498)),IF(W2498&lt;=Settings!$B$6,Q2498,0),0)</f>
        <v>0</v>
      </c>
      <c r="Z2498" s="38" t="n">
        <f aca="false">IF(Y2498=0,0,IF(T2498="Backlog",Q2498,Q2498*Dashboard!$C$10))</f>
        <v>0</v>
      </c>
      <c r="AA2498" s="37" t="n">
        <f aca="false">IF($N2498="",0,IF(COUNTIF(Dashboard!$C$13:$C$22,$N2498)&gt;0,1,0))</f>
        <v>0</v>
      </c>
      <c r="AB2498" s="37" t="str">
        <f aca="false">IF($N2498="","",IF(COUNTIF($N$8:$N2498,$N2498)=1,MAX($AB$7:$AB2497)+1,""))</f>
        <v/>
      </c>
    </row>
    <row r="2499" customFormat="false" ht="15" hidden="false" customHeight="false" outlineLevel="0" collapsed="false">
      <c r="L2499" s="37" t="str">
        <f aca="false">IF(INDEX($A2499:$J2499,$L$6)&lt;&gt;"",TRIM(LEFT(INDEX($A2499:$J2499,$L$6),FIND("(",INDEX($A2499:$J2499,$L$6)&amp;"(")-1)),L2498)</f>
        <v>Building Value Proposition</v>
      </c>
      <c r="M2499" s="37" t="str">
        <f aca="false">IF(INDEX($A2499:$J2499,$M$6)="","",INDEX($A2499:$J2499,$M$6)&amp;"")</f>
        <v/>
      </c>
      <c r="N2499" s="37" t="str">
        <f aca="false">IF($M2499="","",TRIM(INDEX($A2499:$J2499,$N$6)&amp;""))</f>
        <v/>
      </c>
      <c r="O2499" s="37" t="str">
        <f aca="false">IF($M2499="","",TRIM(INDEX($A2499:$J2499,$O$6)&amp;""))</f>
        <v/>
      </c>
      <c r="P2499" s="37" t="str">
        <f aca="false">IF($M2499="","",IFERROR(IF(INDEX(Settings!$B$41:$B$50,MATCH(O2499,Settings!$A$41:$A$50,0))&amp;""="","UNMAPPED",INDEX(Settings!$B$41:$B$50,MATCH(O2499,Settings!$A$41:$A$50,0))&amp;""),"UNMAPPED"))</f>
        <v/>
      </c>
      <c r="Q2499" s="38" t="n">
        <f aca="false">IF($M2499="",0,N(INDEX($A2499:$J2499,$Q$6)))</f>
        <v>0</v>
      </c>
      <c r="R2499" s="39" t="str">
        <f aca="false">IF($M2499="","",INDEX($A2499:$J2499,$R$6))</f>
        <v/>
      </c>
      <c r="S2499" s="37" t="str">
        <f aca="false">IF($M2499="","",IFERROR(INDEX(Settings!$B$27:$B$36,MATCH(L2499,Settings!$A$27:$A$36,0))&amp;"","UNMAPPED"))</f>
        <v/>
      </c>
      <c r="T2499" s="37" t="str">
        <f aca="false">IF($M2499="","",IF(NOT(ISNUMBER(R2499)),"NO DATE",IF(S2499="Won",IF(R2499&gt;Settings!$B$5,"Backlog","Delivered"),IF(S2499="Open",IF(R2499&gt;Settings!$B$5,"Pipeline","Overdue"),IF(S2499="Lost","Lost","UNMAPPED")))))</f>
        <v/>
      </c>
      <c r="U2499" s="40" t="n">
        <f aca="false">IF(T2499="Backlog",1,IF(OR(T2499="Pipeline",T2499="Overdue"),N(INDEX(Settings!$C$27:$C$36,MATCH(L2499,Settings!$A$27:$A$36,0))),0))</f>
        <v>0</v>
      </c>
      <c r="V2499" s="38" t="n">
        <f aca="false">Q2499*U2499</f>
        <v>0</v>
      </c>
      <c r="W2499" s="41" t="str">
        <f aca="false">IF($M2499="","",IF(T2499="Overdue",IF(Settings!$B$8="Yes",Settings!$B$7,""),IF(ISNUMBER(R2499),DATE(YEAR(R2499),MONTH(R2499),1),"")))</f>
        <v/>
      </c>
      <c r="X2499" s="38" t="n">
        <f aca="false">IF(AND(OR(T2499="Backlog",T2499="Pipeline",T2499="Overdue"),ISNUMBER(W2499)),IF(W2499&lt;=Settings!$B$6,V2499,0),0)</f>
        <v>0</v>
      </c>
      <c r="Y2499" s="38" t="n">
        <f aca="false">IF(AND(OR(T2499="Backlog",T2499="Pipeline",T2499="Overdue"),ISNUMBER(W2499)),IF(W2499&lt;=Settings!$B$6,Q2499,0),0)</f>
        <v>0</v>
      </c>
      <c r="Z2499" s="38" t="n">
        <f aca="false">IF(Y2499=0,0,IF(T2499="Backlog",Q2499,Q2499*Dashboard!$C$10))</f>
        <v>0</v>
      </c>
      <c r="AA2499" s="37" t="n">
        <f aca="false">IF($N2499="",0,IF(COUNTIF(Dashboard!$C$13:$C$22,$N2499)&gt;0,1,0))</f>
        <v>0</v>
      </c>
      <c r="AB2499" s="37" t="str">
        <f aca="false">IF($N2499="","",IF(COUNTIF($N$8:$N2499,$N2499)=1,MAX($AB$7:$AB2498)+1,""))</f>
        <v/>
      </c>
    </row>
    <row r="2500" customFormat="false" ht="15" hidden="false" customHeight="false" outlineLevel="0" collapsed="false">
      <c r="L2500" s="37" t="str">
        <f aca="false">IF(INDEX($A2500:$J2500,$L$6)&lt;&gt;"",TRIM(LEFT(INDEX($A2500:$J2500,$L$6),FIND("(",INDEX($A2500:$J2500,$L$6)&amp;"(")-1)),L2499)</f>
        <v>Building Value Proposition</v>
      </c>
      <c r="M2500" s="37" t="str">
        <f aca="false">IF(INDEX($A2500:$J2500,$M$6)="","",INDEX($A2500:$J2500,$M$6)&amp;"")</f>
        <v/>
      </c>
      <c r="N2500" s="37" t="str">
        <f aca="false">IF($M2500="","",TRIM(INDEX($A2500:$J2500,$N$6)&amp;""))</f>
        <v/>
      </c>
      <c r="O2500" s="37" t="str">
        <f aca="false">IF($M2500="","",TRIM(INDEX($A2500:$J2500,$O$6)&amp;""))</f>
        <v/>
      </c>
      <c r="P2500" s="37" t="str">
        <f aca="false">IF($M2500="","",IFERROR(IF(INDEX(Settings!$B$41:$B$50,MATCH(O2500,Settings!$A$41:$A$50,0))&amp;""="","UNMAPPED",INDEX(Settings!$B$41:$B$50,MATCH(O2500,Settings!$A$41:$A$50,0))&amp;""),"UNMAPPED"))</f>
        <v/>
      </c>
      <c r="Q2500" s="38" t="n">
        <f aca="false">IF($M2500="",0,N(INDEX($A2500:$J2500,$Q$6)))</f>
        <v>0</v>
      </c>
      <c r="R2500" s="39" t="str">
        <f aca="false">IF($M2500="","",INDEX($A2500:$J2500,$R$6))</f>
        <v/>
      </c>
      <c r="S2500" s="37" t="str">
        <f aca="false">IF($M2500="","",IFERROR(INDEX(Settings!$B$27:$B$36,MATCH(L2500,Settings!$A$27:$A$36,0))&amp;"","UNMAPPED"))</f>
        <v/>
      </c>
      <c r="T2500" s="37" t="str">
        <f aca="false">IF($M2500="","",IF(NOT(ISNUMBER(R2500)),"NO DATE",IF(S2500="Won",IF(R2500&gt;Settings!$B$5,"Backlog","Delivered"),IF(S2500="Open",IF(R2500&gt;Settings!$B$5,"Pipeline","Overdue"),IF(S2500="Lost","Lost","UNMAPPED")))))</f>
        <v/>
      </c>
      <c r="U2500" s="40" t="n">
        <f aca="false">IF(T2500="Backlog",1,IF(OR(T2500="Pipeline",T2500="Overdue"),N(INDEX(Settings!$C$27:$C$36,MATCH(L2500,Settings!$A$27:$A$36,0))),0))</f>
        <v>0</v>
      </c>
      <c r="V2500" s="38" t="n">
        <f aca="false">Q2500*U2500</f>
        <v>0</v>
      </c>
      <c r="W2500" s="41" t="str">
        <f aca="false">IF($M2500="","",IF(T2500="Overdue",IF(Settings!$B$8="Yes",Settings!$B$7,""),IF(ISNUMBER(R2500),DATE(YEAR(R2500),MONTH(R2500),1),"")))</f>
        <v/>
      </c>
      <c r="X2500" s="38" t="n">
        <f aca="false">IF(AND(OR(T2500="Backlog",T2500="Pipeline",T2500="Overdue"),ISNUMBER(W2500)),IF(W2500&lt;=Settings!$B$6,V2500,0),0)</f>
        <v>0</v>
      </c>
      <c r="Y2500" s="38" t="n">
        <f aca="false">IF(AND(OR(T2500="Backlog",T2500="Pipeline",T2500="Overdue"),ISNUMBER(W2500)),IF(W2500&lt;=Settings!$B$6,Q2500,0),0)</f>
        <v>0</v>
      </c>
      <c r="Z2500" s="38" t="n">
        <f aca="false">IF(Y2500=0,0,IF(T2500="Backlog",Q2500,Q2500*Dashboard!$C$10))</f>
        <v>0</v>
      </c>
      <c r="AA2500" s="37" t="n">
        <f aca="false">IF($N2500="",0,IF(COUNTIF(Dashboard!$C$13:$C$22,$N2500)&gt;0,1,0))</f>
        <v>0</v>
      </c>
      <c r="AB2500" s="37" t="str">
        <f aca="false">IF($N2500="","",IF(COUNTIF($N$8:$N2500,$N2500)=1,MAX($AB$7:$AB2499)+1,""))</f>
        <v/>
      </c>
    </row>
    <row r="2501" customFormat="false" ht="15" hidden="false" customHeight="false" outlineLevel="0" collapsed="false">
      <c r="L2501" s="37" t="str">
        <f aca="false">IF(INDEX($A2501:$J2501,$L$6)&lt;&gt;"",TRIM(LEFT(INDEX($A2501:$J2501,$L$6),FIND("(",INDEX($A2501:$J2501,$L$6)&amp;"(")-1)),L2500)</f>
        <v>Building Value Proposition</v>
      </c>
      <c r="M2501" s="37" t="str">
        <f aca="false">IF(INDEX($A2501:$J2501,$M$6)="","",INDEX($A2501:$J2501,$M$6)&amp;"")</f>
        <v/>
      </c>
      <c r="N2501" s="37" t="str">
        <f aca="false">IF($M2501="","",TRIM(INDEX($A2501:$J2501,$N$6)&amp;""))</f>
        <v/>
      </c>
      <c r="O2501" s="37" t="str">
        <f aca="false">IF($M2501="","",TRIM(INDEX($A2501:$J2501,$O$6)&amp;""))</f>
        <v/>
      </c>
      <c r="P2501" s="37" t="str">
        <f aca="false">IF($M2501="","",IFERROR(IF(INDEX(Settings!$B$41:$B$50,MATCH(O2501,Settings!$A$41:$A$50,0))&amp;""="","UNMAPPED",INDEX(Settings!$B$41:$B$50,MATCH(O2501,Settings!$A$41:$A$50,0))&amp;""),"UNMAPPED"))</f>
        <v/>
      </c>
      <c r="Q2501" s="38" t="n">
        <f aca="false">IF($M2501="",0,N(INDEX($A2501:$J2501,$Q$6)))</f>
        <v>0</v>
      </c>
      <c r="R2501" s="39" t="str">
        <f aca="false">IF($M2501="","",INDEX($A2501:$J2501,$R$6))</f>
        <v/>
      </c>
      <c r="S2501" s="37" t="str">
        <f aca="false">IF($M2501="","",IFERROR(INDEX(Settings!$B$27:$B$36,MATCH(L2501,Settings!$A$27:$A$36,0))&amp;"","UNMAPPED"))</f>
        <v/>
      </c>
      <c r="T2501" s="37" t="str">
        <f aca="false">IF($M2501="","",IF(NOT(ISNUMBER(R2501)),"NO DATE",IF(S2501="Won",IF(R2501&gt;Settings!$B$5,"Backlog","Delivered"),IF(S2501="Open",IF(R2501&gt;Settings!$B$5,"Pipeline","Overdue"),IF(S2501="Lost","Lost","UNMAPPED")))))</f>
        <v/>
      </c>
      <c r="U2501" s="40" t="n">
        <f aca="false">IF(T2501="Backlog",1,IF(OR(T2501="Pipeline",T2501="Overdue"),N(INDEX(Settings!$C$27:$C$36,MATCH(L2501,Settings!$A$27:$A$36,0))),0))</f>
        <v>0</v>
      </c>
      <c r="V2501" s="38" t="n">
        <f aca="false">Q2501*U2501</f>
        <v>0</v>
      </c>
      <c r="W2501" s="41" t="str">
        <f aca="false">IF($M2501="","",IF(T2501="Overdue",IF(Settings!$B$8="Yes",Settings!$B$7,""),IF(ISNUMBER(R2501),DATE(YEAR(R2501),MONTH(R2501),1),"")))</f>
        <v/>
      </c>
      <c r="X2501" s="38" t="n">
        <f aca="false">IF(AND(OR(T2501="Backlog",T2501="Pipeline",T2501="Overdue"),ISNUMBER(W2501)),IF(W2501&lt;=Settings!$B$6,V2501,0),0)</f>
        <v>0</v>
      </c>
      <c r="Y2501" s="38" t="n">
        <f aca="false">IF(AND(OR(T2501="Backlog",T2501="Pipeline",T2501="Overdue"),ISNUMBER(W2501)),IF(W2501&lt;=Settings!$B$6,Q2501,0),0)</f>
        <v>0</v>
      </c>
      <c r="Z2501" s="38" t="n">
        <f aca="false">IF(Y2501=0,0,IF(T2501="Backlog",Q2501,Q2501*Dashboard!$C$10))</f>
        <v>0</v>
      </c>
      <c r="AA2501" s="37" t="n">
        <f aca="false">IF($N2501="",0,IF(COUNTIF(Dashboard!$C$13:$C$22,$N2501)&gt;0,1,0))</f>
        <v>0</v>
      </c>
      <c r="AB2501" s="37" t="str">
        <f aca="false">IF($N2501="","",IF(COUNTIF($N$8:$N2501,$N2501)=1,MAX($AB$7:$AB2500)+1,""))</f>
        <v/>
      </c>
    </row>
    <row r="2502" customFormat="false" ht="15" hidden="false" customHeight="false" outlineLevel="0" collapsed="false">
      <c r="L2502" s="37" t="str">
        <f aca="false">IF(INDEX($A2502:$J2502,$L$6)&lt;&gt;"",TRIM(LEFT(INDEX($A2502:$J2502,$L$6),FIND("(",INDEX($A2502:$J2502,$L$6)&amp;"(")-1)),L2501)</f>
        <v>Building Value Proposition</v>
      </c>
      <c r="M2502" s="37" t="str">
        <f aca="false">IF(INDEX($A2502:$J2502,$M$6)="","",INDEX($A2502:$J2502,$M$6)&amp;"")</f>
        <v/>
      </c>
      <c r="N2502" s="37" t="str">
        <f aca="false">IF($M2502="","",TRIM(INDEX($A2502:$J2502,$N$6)&amp;""))</f>
        <v/>
      </c>
      <c r="O2502" s="37" t="str">
        <f aca="false">IF($M2502="","",TRIM(INDEX($A2502:$J2502,$O$6)&amp;""))</f>
        <v/>
      </c>
      <c r="P2502" s="37" t="str">
        <f aca="false">IF($M2502="","",IFERROR(IF(INDEX(Settings!$B$41:$B$50,MATCH(O2502,Settings!$A$41:$A$50,0))&amp;""="","UNMAPPED",INDEX(Settings!$B$41:$B$50,MATCH(O2502,Settings!$A$41:$A$50,0))&amp;""),"UNMAPPED"))</f>
        <v/>
      </c>
      <c r="Q2502" s="38" t="n">
        <f aca="false">IF($M2502="",0,N(INDEX($A2502:$J2502,$Q$6)))</f>
        <v>0</v>
      </c>
      <c r="R2502" s="39" t="str">
        <f aca="false">IF($M2502="","",INDEX($A2502:$J2502,$R$6))</f>
        <v/>
      </c>
      <c r="S2502" s="37" t="str">
        <f aca="false">IF($M2502="","",IFERROR(INDEX(Settings!$B$27:$B$36,MATCH(L2502,Settings!$A$27:$A$36,0))&amp;"","UNMAPPED"))</f>
        <v/>
      </c>
      <c r="T2502" s="37" t="str">
        <f aca="false">IF($M2502="","",IF(NOT(ISNUMBER(R2502)),"NO DATE",IF(S2502="Won",IF(R2502&gt;Settings!$B$5,"Backlog","Delivered"),IF(S2502="Open",IF(R2502&gt;Settings!$B$5,"Pipeline","Overdue"),IF(S2502="Lost","Lost","UNMAPPED")))))</f>
        <v/>
      </c>
      <c r="U2502" s="40" t="n">
        <f aca="false">IF(T2502="Backlog",1,IF(OR(T2502="Pipeline",T2502="Overdue"),N(INDEX(Settings!$C$27:$C$36,MATCH(L2502,Settings!$A$27:$A$36,0))),0))</f>
        <v>0</v>
      </c>
      <c r="V2502" s="38" t="n">
        <f aca="false">Q2502*U2502</f>
        <v>0</v>
      </c>
      <c r="W2502" s="41" t="str">
        <f aca="false">IF($M2502="","",IF(T2502="Overdue",IF(Settings!$B$8="Yes",Settings!$B$7,""),IF(ISNUMBER(R2502),DATE(YEAR(R2502),MONTH(R2502),1),"")))</f>
        <v/>
      </c>
      <c r="X2502" s="38" t="n">
        <f aca="false">IF(AND(OR(T2502="Backlog",T2502="Pipeline",T2502="Overdue"),ISNUMBER(W2502)),IF(W2502&lt;=Settings!$B$6,V2502,0),0)</f>
        <v>0</v>
      </c>
      <c r="Y2502" s="38" t="n">
        <f aca="false">IF(AND(OR(T2502="Backlog",T2502="Pipeline",T2502="Overdue"),ISNUMBER(W2502)),IF(W2502&lt;=Settings!$B$6,Q2502,0),0)</f>
        <v>0</v>
      </c>
      <c r="Z2502" s="38" t="n">
        <f aca="false">IF(Y2502=0,0,IF(T2502="Backlog",Q2502,Q2502*Dashboard!$C$10))</f>
        <v>0</v>
      </c>
      <c r="AA2502" s="37" t="n">
        <f aca="false">IF($N2502="",0,IF(COUNTIF(Dashboard!$C$13:$C$22,$N2502)&gt;0,1,0))</f>
        <v>0</v>
      </c>
      <c r="AB2502" s="37" t="str">
        <f aca="false">IF($N2502="","",IF(COUNTIF($N$8:$N2502,$N2502)=1,MAX($AB$7:$AB2501)+1,""))</f>
        <v/>
      </c>
    </row>
    <row r="2503" customFormat="false" ht="15" hidden="false" customHeight="false" outlineLevel="0" collapsed="false">
      <c r="L2503" s="37" t="str">
        <f aca="false">IF(INDEX($A2503:$J2503,$L$6)&lt;&gt;"",TRIM(LEFT(INDEX($A2503:$J2503,$L$6),FIND("(",INDEX($A2503:$J2503,$L$6)&amp;"(")-1)),L2502)</f>
        <v>Building Value Proposition</v>
      </c>
      <c r="M2503" s="37" t="str">
        <f aca="false">IF(INDEX($A2503:$J2503,$M$6)="","",INDEX($A2503:$J2503,$M$6)&amp;"")</f>
        <v/>
      </c>
      <c r="N2503" s="37" t="str">
        <f aca="false">IF($M2503="","",TRIM(INDEX($A2503:$J2503,$N$6)&amp;""))</f>
        <v/>
      </c>
      <c r="O2503" s="37" t="str">
        <f aca="false">IF($M2503="","",TRIM(INDEX($A2503:$J2503,$O$6)&amp;""))</f>
        <v/>
      </c>
      <c r="P2503" s="37" t="str">
        <f aca="false">IF($M2503="","",IFERROR(IF(INDEX(Settings!$B$41:$B$50,MATCH(O2503,Settings!$A$41:$A$50,0))&amp;""="","UNMAPPED",INDEX(Settings!$B$41:$B$50,MATCH(O2503,Settings!$A$41:$A$50,0))&amp;""),"UNMAPPED"))</f>
        <v/>
      </c>
      <c r="Q2503" s="38" t="n">
        <f aca="false">IF($M2503="",0,N(INDEX($A2503:$J2503,$Q$6)))</f>
        <v>0</v>
      </c>
      <c r="R2503" s="39" t="str">
        <f aca="false">IF($M2503="","",INDEX($A2503:$J2503,$R$6))</f>
        <v/>
      </c>
      <c r="S2503" s="37" t="str">
        <f aca="false">IF($M2503="","",IFERROR(INDEX(Settings!$B$27:$B$36,MATCH(L2503,Settings!$A$27:$A$36,0))&amp;"","UNMAPPED"))</f>
        <v/>
      </c>
      <c r="T2503" s="37" t="str">
        <f aca="false">IF($M2503="","",IF(NOT(ISNUMBER(R2503)),"NO DATE",IF(S2503="Won",IF(R2503&gt;Settings!$B$5,"Backlog","Delivered"),IF(S2503="Open",IF(R2503&gt;Settings!$B$5,"Pipeline","Overdue"),IF(S2503="Lost","Lost","UNMAPPED")))))</f>
        <v/>
      </c>
      <c r="U2503" s="40" t="n">
        <f aca="false">IF(T2503="Backlog",1,IF(OR(T2503="Pipeline",T2503="Overdue"),N(INDEX(Settings!$C$27:$C$36,MATCH(L2503,Settings!$A$27:$A$36,0))),0))</f>
        <v>0</v>
      </c>
      <c r="V2503" s="38" t="n">
        <f aca="false">Q2503*U2503</f>
        <v>0</v>
      </c>
      <c r="W2503" s="41" t="str">
        <f aca="false">IF($M2503="","",IF(T2503="Overdue",IF(Settings!$B$8="Yes",Settings!$B$7,""),IF(ISNUMBER(R2503),DATE(YEAR(R2503),MONTH(R2503),1),"")))</f>
        <v/>
      </c>
      <c r="X2503" s="38" t="n">
        <f aca="false">IF(AND(OR(T2503="Backlog",T2503="Pipeline",T2503="Overdue"),ISNUMBER(W2503)),IF(W2503&lt;=Settings!$B$6,V2503,0),0)</f>
        <v>0</v>
      </c>
      <c r="Y2503" s="38" t="n">
        <f aca="false">IF(AND(OR(T2503="Backlog",T2503="Pipeline",T2503="Overdue"),ISNUMBER(W2503)),IF(W2503&lt;=Settings!$B$6,Q2503,0),0)</f>
        <v>0</v>
      </c>
      <c r="Z2503" s="38" t="n">
        <f aca="false">IF(Y2503=0,0,IF(T2503="Backlog",Q2503,Q2503*Dashboard!$C$10))</f>
        <v>0</v>
      </c>
      <c r="AA2503" s="37" t="n">
        <f aca="false">IF($N2503="",0,IF(COUNTIF(Dashboard!$C$13:$C$22,$N2503)&gt;0,1,0))</f>
        <v>0</v>
      </c>
      <c r="AB2503" s="37" t="str">
        <f aca="false">IF($N2503="","",IF(COUNTIF($N$8:$N2503,$N2503)=1,MAX($AB$7:$AB2502)+1,""))</f>
        <v/>
      </c>
    </row>
    <row r="2504" customFormat="false" ht="15" hidden="false" customHeight="false" outlineLevel="0" collapsed="false">
      <c r="L2504" s="37" t="str">
        <f aca="false">IF(INDEX($A2504:$J2504,$L$6)&lt;&gt;"",TRIM(LEFT(INDEX($A2504:$J2504,$L$6),FIND("(",INDEX($A2504:$J2504,$L$6)&amp;"(")-1)),L2503)</f>
        <v>Building Value Proposition</v>
      </c>
      <c r="M2504" s="37" t="str">
        <f aca="false">IF(INDEX($A2504:$J2504,$M$6)="","",INDEX($A2504:$J2504,$M$6)&amp;"")</f>
        <v/>
      </c>
      <c r="N2504" s="37" t="str">
        <f aca="false">IF($M2504="","",TRIM(INDEX($A2504:$J2504,$N$6)&amp;""))</f>
        <v/>
      </c>
      <c r="O2504" s="37" t="str">
        <f aca="false">IF($M2504="","",TRIM(INDEX($A2504:$J2504,$O$6)&amp;""))</f>
        <v/>
      </c>
      <c r="P2504" s="37" t="str">
        <f aca="false">IF($M2504="","",IFERROR(IF(INDEX(Settings!$B$41:$B$50,MATCH(O2504,Settings!$A$41:$A$50,0))&amp;""="","UNMAPPED",INDEX(Settings!$B$41:$B$50,MATCH(O2504,Settings!$A$41:$A$50,0))&amp;""),"UNMAPPED"))</f>
        <v/>
      </c>
      <c r="Q2504" s="38" t="n">
        <f aca="false">IF($M2504="",0,N(INDEX($A2504:$J2504,$Q$6)))</f>
        <v>0</v>
      </c>
      <c r="R2504" s="39" t="str">
        <f aca="false">IF($M2504="","",INDEX($A2504:$J2504,$R$6))</f>
        <v/>
      </c>
      <c r="S2504" s="37" t="str">
        <f aca="false">IF($M2504="","",IFERROR(INDEX(Settings!$B$27:$B$36,MATCH(L2504,Settings!$A$27:$A$36,0))&amp;"","UNMAPPED"))</f>
        <v/>
      </c>
      <c r="T2504" s="37" t="str">
        <f aca="false">IF($M2504="","",IF(NOT(ISNUMBER(R2504)),"NO DATE",IF(S2504="Won",IF(R2504&gt;Settings!$B$5,"Backlog","Delivered"),IF(S2504="Open",IF(R2504&gt;Settings!$B$5,"Pipeline","Overdue"),IF(S2504="Lost","Lost","UNMAPPED")))))</f>
        <v/>
      </c>
      <c r="U2504" s="40" t="n">
        <f aca="false">IF(T2504="Backlog",1,IF(OR(T2504="Pipeline",T2504="Overdue"),N(INDEX(Settings!$C$27:$C$36,MATCH(L2504,Settings!$A$27:$A$36,0))),0))</f>
        <v>0</v>
      </c>
      <c r="V2504" s="38" t="n">
        <f aca="false">Q2504*U2504</f>
        <v>0</v>
      </c>
      <c r="W2504" s="41" t="str">
        <f aca="false">IF($M2504="","",IF(T2504="Overdue",IF(Settings!$B$8="Yes",Settings!$B$7,""),IF(ISNUMBER(R2504),DATE(YEAR(R2504),MONTH(R2504),1),"")))</f>
        <v/>
      </c>
      <c r="X2504" s="38" t="n">
        <f aca="false">IF(AND(OR(T2504="Backlog",T2504="Pipeline",T2504="Overdue"),ISNUMBER(W2504)),IF(W2504&lt;=Settings!$B$6,V2504,0),0)</f>
        <v>0</v>
      </c>
      <c r="Y2504" s="38" t="n">
        <f aca="false">IF(AND(OR(T2504="Backlog",T2504="Pipeline",T2504="Overdue"),ISNUMBER(W2504)),IF(W2504&lt;=Settings!$B$6,Q2504,0),0)</f>
        <v>0</v>
      </c>
      <c r="Z2504" s="38" t="n">
        <f aca="false">IF(Y2504=0,0,IF(T2504="Backlog",Q2504,Q2504*Dashboard!$C$10))</f>
        <v>0</v>
      </c>
      <c r="AA2504" s="37" t="n">
        <f aca="false">IF($N2504="",0,IF(COUNTIF(Dashboard!$C$13:$C$22,$N2504)&gt;0,1,0))</f>
        <v>0</v>
      </c>
      <c r="AB2504" s="37" t="str">
        <f aca="false">IF($N2504="","",IF(COUNTIF($N$8:$N2504,$N2504)=1,MAX($AB$7:$AB2503)+1,""))</f>
        <v/>
      </c>
    </row>
    <row r="2505" customFormat="false" ht="15" hidden="false" customHeight="false" outlineLevel="0" collapsed="false">
      <c r="L2505" s="37" t="str">
        <f aca="false">IF(INDEX($A2505:$J2505,$L$6)&lt;&gt;"",TRIM(LEFT(INDEX($A2505:$J2505,$L$6),FIND("(",INDEX($A2505:$J2505,$L$6)&amp;"(")-1)),L2504)</f>
        <v>Building Value Proposition</v>
      </c>
      <c r="M2505" s="37" t="str">
        <f aca="false">IF(INDEX($A2505:$J2505,$M$6)="","",INDEX($A2505:$J2505,$M$6)&amp;"")</f>
        <v/>
      </c>
      <c r="N2505" s="37" t="str">
        <f aca="false">IF($M2505="","",TRIM(INDEX($A2505:$J2505,$N$6)&amp;""))</f>
        <v/>
      </c>
      <c r="O2505" s="37" t="str">
        <f aca="false">IF($M2505="","",TRIM(INDEX($A2505:$J2505,$O$6)&amp;""))</f>
        <v/>
      </c>
      <c r="P2505" s="37" t="str">
        <f aca="false">IF($M2505="","",IFERROR(IF(INDEX(Settings!$B$41:$B$50,MATCH(O2505,Settings!$A$41:$A$50,0))&amp;""="","UNMAPPED",INDEX(Settings!$B$41:$B$50,MATCH(O2505,Settings!$A$41:$A$50,0))&amp;""),"UNMAPPED"))</f>
        <v/>
      </c>
      <c r="Q2505" s="38" t="n">
        <f aca="false">IF($M2505="",0,N(INDEX($A2505:$J2505,$Q$6)))</f>
        <v>0</v>
      </c>
      <c r="R2505" s="39" t="str">
        <f aca="false">IF($M2505="","",INDEX($A2505:$J2505,$R$6))</f>
        <v/>
      </c>
      <c r="S2505" s="37" t="str">
        <f aca="false">IF($M2505="","",IFERROR(INDEX(Settings!$B$27:$B$36,MATCH(L2505,Settings!$A$27:$A$36,0))&amp;"","UNMAPPED"))</f>
        <v/>
      </c>
      <c r="T2505" s="37" t="str">
        <f aca="false">IF($M2505="","",IF(NOT(ISNUMBER(R2505)),"NO DATE",IF(S2505="Won",IF(R2505&gt;Settings!$B$5,"Backlog","Delivered"),IF(S2505="Open",IF(R2505&gt;Settings!$B$5,"Pipeline","Overdue"),IF(S2505="Lost","Lost","UNMAPPED")))))</f>
        <v/>
      </c>
      <c r="U2505" s="40" t="n">
        <f aca="false">IF(T2505="Backlog",1,IF(OR(T2505="Pipeline",T2505="Overdue"),N(INDEX(Settings!$C$27:$C$36,MATCH(L2505,Settings!$A$27:$A$36,0))),0))</f>
        <v>0</v>
      </c>
      <c r="V2505" s="38" t="n">
        <f aca="false">Q2505*U2505</f>
        <v>0</v>
      </c>
      <c r="W2505" s="41" t="str">
        <f aca="false">IF($M2505="","",IF(T2505="Overdue",IF(Settings!$B$8="Yes",Settings!$B$7,""),IF(ISNUMBER(R2505),DATE(YEAR(R2505),MONTH(R2505),1),"")))</f>
        <v/>
      </c>
      <c r="X2505" s="38" t="n">
        <f aca="false">IF(AND(OR(T2505="Backlog",T2505="Pipeline",T2505="Overdue"),ISNUMBER(W2505)),IF(W2505&lt;=Settings!$B$6,V2505,0),0)</f>
        <v>0</v>
      </c>
      <c r="Y2505" s="38" t="n">
        <f aca="false">IF(AND(OR(T2505="Backlog",T2505="Pipeline",T2505="Overdue"),ISNUMBER(W2505)),IF(W2505&lt;=Settings!$B$6,Q2505,0),0)</f>
        <v>0</v>
      </c>
      <c r="Z2505" s="38" t="n">
        <f aca="false">IF(Y2505=0,0,IF(T2505="Backlog",Q2505,Q2505*Dashboard!$C$10))</f>
        <v>0</v>
      </c>
      <c r="AA2505" s="37" t="n">
        <f aca="false">IF($N2505="",0,IF(COUNTIF(Dashboard!$C$13:$C$22,$N2505)&gt;0,1,0))</f>
        <v>0</v>
      </c>
      <c r="AB2505" s="37" t="str">
        <f aca="false">IF($N2505="","",IF(COUNTIF($N$8:$N2505,$N2505)=1,MAX($AB$7:$AB2504)+1,""))</f>
        <v/>
      </c>
    </row>
    <row r="2506" customFormat="false" ht="15" hidden="false" customHeight="false" outlineLevel="0" collapsed="false">
      <c r="L2506" s="37" t="str">
        <f aca="false">IF(INDEX($A2506:$J2506,$L$6)&lt;&gt;"",TRIM(LEFT(INDEX($A2506:$J2506,$L$6),FIND("(",INDEX($A2506:$J2506,$L$6)&amp;"(")-1)),L2505)</f>
        <v>Building Value Proposition</v>
      </c>
      <c r="M2506" s="37" t="str">
        <f aca="false">IF(INDEX($A2506:$J2506,$M$6)="","",INDEX($A2506:$J2506,$M$6)&amp;"")</f>
        <v/>
      </c>
      <c r="N2506" s="37" t="str">
        <f aca="false">IF($M2506="","",TRIM(INDEX($A2506:$J2506,$N$6)&amp;""))</f>
        <v/>
      </c>
      <c r="O2506" s="37" t="str">
        <f aca="false">IF($M2506="","",TRIM(INDEX($A2506:$J2506,$O$6)&amp;""))</f>
        <v/>
      </c>
      <c r="P2506" s="37" t="str">
        <f aca="false">IF($M2506="","",IFERROR(IF(INDEX(Settings!$B$41:$B$50,MATCH(O2506,Settings!$A$41:$A$50,0))&amp;""="","UNMAPPED",INDEX(Settings!$B$41:$B$50,MATCH(O2506,Settings!$A$41:$A$50,0))&amp;""),"UNMAPPED"))</f>
        <v/>
      </c>
      <c r="Q2506" s="38" t="n">
        <f aca="false">IF($M2506="",0,N(INDEX($A2506:$J2506,$Q$6)))</f>
        <v>0</v>
      </c>
      <c r="R2506" s="39" t="str">
        <f aca="false">IF($M2506="","",INDEX($A2506:$J2506,$R$6))</f>
        <v/>
      </c>
      <c r="S2506" s="37" t="str">
        <f aca="false">IF($M2506="","",IFERROR(INDEX(Settings!$B$27:$B$36,MATCH(L2506,Settings!$A$27:$A$36,0))&amp;"","UNMAPPED"))</f>
        <v/>
      </c>
      <c r="T2506" s="37" t="str">
        <f aca="false">IF($M2506="","",IF(NOT(ISNUMBER(R2506)),"NO DATE",IF(S2506="Won",IF(R2506&gt;Settings!$B$5,"Backlog","Delivered"),IF(S2506="Open",IF(R2506&gt;Settings!$B$5,"Pipeline","Overdue"),IF(S2506="Lost","Lost","UNMAPPED")))))</f>
        <v/>
      </c>
      <c r="U2506" s="40" t="n">
        <f aca="false">IF(T2506="Backlog",1,IF(OR(T2506="Pipeline",T2506="Overdue"),N(INDEX(Settings!$C$27:$C$36,MATCH(L2506,Settings!$A$27:$A$36,0))),0))</f>
        <v>0</v>
      </c>
      <c r="V2506" s="38" t="n">
        <f aca="false">Q2506*U2506</f>
        <v>0</v>
      </c>
      <c r="W2506" s="41" t="str">
        <f aca="false">IF($M2506="","",IF(T2506="Overdue",IF(Settings!$B$8="Yes",Settings!$B$7,""),IF(ISNUMBER(R2506),DATE(YEAR(R2506),MONTH(R2506),1),"")))</f>
        <v/>
      </c>
      <c r="X2506" s="38" t="n">
        <f aca="false">IF(AND(OR(T2506="Backlog",T2506="Pipeline",T2506="Overdue"),ISNUMBER(W2506)),IF(W2506&lt;=Settings!$B$6,V2506,0),0)</f>
        <v>0</v>
      </c>
      <c r="Y2506" s="38" t="n">
        <f aca="false">IF(AND(OR(T2506="Backlog",T2506="Pipeline",T2506="Overdue"),ISNUMBER(W2506)),IF(W2506&lt;=Settings!$B$6,Q2506,0),0)</f>
        <v>0</v>
      </c>
      <c r="Z2506" s="38" t="n">
        <f aca="false">IF(Y2506=0,0,IF(T2506="Backlog",Q2506,Q2506*Dashboard!$C$10))</f>
        <v>0</v>
      </c>
      <c r="AA2506" s="37" t="n">
        <f aca="false">IF($N2506="",0,IF(COUNTIF(Dashboard!$C$13:$C$22,$N2506)&gt;0,1,0))</f>
        <v>0</v>
      </c>
      <c r="AB2506" s="37" t="str">
        <f aca="false">IF($N2506="","",IF(COUNTIF($N$8:$N2506,$N2506)=1,MAX($AB$7:$AB2505)+1,""))</f>
        <v/>
      </c>
    </row>
    <row r="2507" customFormat="false" ht="15" hidden="false" customHeight="false" outlineLevel="0" collapsed="false">
      <c r="L2507" s="37" t="str">
        <f aca="false">IF(INDEX($A2507:$J2507,$L$6)&lt;&gt;"",TRIM(LEFT(INDEX($A2507:$J2507,$L$6),FIND("(",INDEX($A2507:$J2507,$L$6)&amp;"(")-1)),L2506)</f>
        <v>Building Value Proposition</v>
      </c>
      <c r="M2507" s="37" t="str">
        <f aca="false">IF(INDEX($A2507:$J2507,$M$6)="","",INDEX($A2507:$J2507,$M$6)&amp;"")</f>
        <v/>
      </c>
      <c r="N2507" s="37" t="str">
        <f aca="false">IF($M2507="","",TRIM(INDEX($A2507:$J2507,$N$6)&amp;""))</f>
        <v/>
      </c>
      <c r="O2507" s="37" t="str">
        <f aca="false">IF($M2507="","",TRIM(INDEX($A2507:$J2507,$O$6)&amp;""))</f>
        <v/>
      </c>
      <c r="P2507" s="37" t="str">
        <f aca="false">IF($M2507="","",IFERROR(IF(INDEX(Settings!$B$41:$B$50,MATCH(O2507,Settings!$A$41:$A$50,0))&amp;""="","UNMAPPED",INDEX(Settings!$B$41:$B$50,MATCH(O2507,Settings!$A$41:$A$50,0))&amp;""),"UNMAPPED"))</f>
        <v/>
      </c>
      <c r="Q2507" s="38" t="n">
        <f aca="false">IF($M2507="",0,N(INDEX($A2507:$J2507,$Q$6)))</f>
        <v>0</v>
      </c>
      <c r="R2507" s="39" t="str">
        <f aca="false">IF($M2507="","",INDEX($A2507:$J2507,$R$6))</f>
        <v/>
      </c>
      <c r="S2507" s="37" t="str">
        <f aca="false">IF($M2507="","",IFERROR(INDEX(Settings!$B$27:$B$36,MATCH(L2507,Settings!$A$27:$A$36,0))&amp;"","UNMAPPED"))</f>
        <v/>
      </c>
      <c r="T2507" s="37" t="str">
        <f aca="false">IF($M2507="","",IF(NOT(ISNUMBER(R2507)),"NO DATE",IF(S2507="Won",IF(R2507&gt;Settings!$B$5,"Backlog","Delivered"),IF(S2507="Open",IF(R2507&gt;Settings!$B$5,"Pipeline","Overdue"),IF(S2507="Lost","Lost","UNMAPPED")))))</f>
        <v/>
      </c>
      <c r="U2507" s="40" t="n">
        <f aca="false">IF(T2507="Backlog",1,IF(OR(T2507="Pipeline",T2507="Overdue"),N(INDEX(Settings!$C$27:$C$36,MATCH(L2507,Settings!$A$27:$A$36,0))),0))</f>
        <v>0</v>
      </c>
      <c r="V2507" s="38" t="n">
        <f aca="false">Q2507*U2507</f>
        <v>0</v>
      </c>
      <c r="W2507" s="41" t="str">
        <f aca="false">IF($M2507="","",IF(T2507="Overdue",IF(Settings!$B$8="Yes",Settings!$B$7,""),IF(ISNUMBER(R2507),DATE(YEAR(R2507),MONTH(R2507),1),"")))</f>
        <v/>
      </c>
      <c r="X2507" s="38" t="n">
        <f aca="false">IF(AND(OR(T2507="Backlog",T2507="Pipeline",T2507="Overdue"),ISNUMBER(W2507)),IF(W2507&lt;=Settings!$B$6,V2507,0),0)</f>
        <v>0</v>
      </c>
      <c r="Y2507" s="38" t="n">
        <f aca="false">IF(AND(OR(T2507="Backlog",T2507="Pipeline",T2507="Overdue"),ISNUMBER(W2507)),IF(W2507&lt;=Settings!$B$6,Q2507,0),0)</f>
        <v>0</v>
      </c>
      <c r="Z2507" s="38" t="n">
        <f aca="false">IF(Y2507=0,0,IF(T2507="Backlog",Q2507,Q2507*Dashboard!$C$10))</f>
        <v>0</v>
      </c>
      <c r="AA2507" s="37" t="n">
        <f aca="false">IF($N2507="",0,IF(COUNTIF(Dashboard!$C$13:$C$22,$N2507)&gt;0,1,0))</f>
        <v>0</v>
      </c>
      <c r="AB2507" s="37" t="str">
        <f aca="false">IF($N2507="","",IF(COUNTIF($N$8:$N2507,$N2507)=1,MAX($AB$7:$AB2506)+1,""))</f>
        <v/>
      </c>
    </row>
    <row r="2508" customFormat="false" ht="15" hidden="false" customHeight="false" outlineLevel="0" collapsed="false">
      <c r="L2508" s="37" t="str">
        <f aca="false">IF(INDEX($A2508:$J2508,$L$6)&lt;&gt;"",TRIM(LEFT(INDEX($A2508:$J2508,$L$6),FIND("(",INDEX($A2508:$J2508,$L$6)&amp;"(")-1)),L2507)</f>
        <v>Building Value Proposition</v>
      </c>
      <c r="M2508" s="37" t="str">
        <f aca="false">IF(INDEX($A2508:$J2508,$M$6)="","",INDEX($A2508:$J2508,$M$6)&amp;"")</f>
        <v/>
      </c>
      <c r="N2508" s="37" t="str">
        <f aca="false">IF($M2508="","",TRIM(INDEX($A2508:$J2508,$N$6)&amp;""))</f>
        <v/>
      </c>
      <c r="O2508" s="37" t="str">
        <f aca="false">IF($M2508="","",TRIM(INDEX($A2508:$J2508,$O$6)&amp;""))</f>
        <v/>
      </c>
      <c r="P2508" s="37" t="str">
        <f aca="false">IF($M2508="","",IFERROR(IF(INDEX(Settings!$B$41:$B$50,MATCH(O2508,Settings!$A$41:$A$50,0))&amp;""="","UNMAPPED",INDEX(Settings!$B$41:$B$50,MATCH(O2508,Settings!$A$41:$A$50,0))&amp;""),"UNMAPPED"))</f>
        <v/>
      </c>
      <c r="Q2508" s="38" t="n">
        <f aca="false">IF($M2508="",0,N(INDEX($A2508:$J2508,$Q$6)))</f>
        <v>0</v>
      </c>
      <c r="R2508" s="39" t="str">
        <f aca="false">IF($M2508="","",INDEX($A2508:$J2508,$R$6))</f>
        <v/>
      </c>
      <c r="S2508" s="37" t="str">
        <f aca="false">IF($M2508="","",IFERROR(INDEX(Settings!$B$27:$B$36,MATCH(L2508,Settings!$A$27:$A$36,0))&amp;"","UNMAPPED"))</f>
        <v/>
      </c>
      <c r="T2508" s="37" t="str">
        <f aca="false">IF($M2508="","",IF(NOT(ISNUMBER(R2508)),"NO DATE",IF(S2508="Won",IF(R2508&gt;Settings!$B$5,"Backlog","Delivered"),IF(S2508="Open",IF(R2508&gt;Settings!$B$5,"Pipeline","Overdue"),IF(S2508="Lost","Lost","UNMAPPED")))))</f>
        <v/>
      </c>
      <c r="U2508" s="40" t="n">
        <f aca="false">IF(T2508="Backlog",1,IF(OR(T2508="Pipeline",T2508="Overdue"),N(INDEX(Settings!$C$27:$C$36,MATCH(L2508,Settings!$A$27:$A$36,0))),0))</f>
        <v>0</v>
      </c>
      <c r="V2508" s="38" t="n">
        <f aca="false">Q2508*U2508</f>
        <v>0</v>
      </c>
      <c r="W2508" s="41" t="str">
        <f aca="false">IF($M2508="","",IF(T2508="Overdue",IF(Settings!$B$8="Yes",Settings!$B$7,""),IF(ISNUMBER(R2508),DATE(YEAR(R2508),MONTH(R2508),1),"")))</f>
        <v/>
      </c>
      <c r="X2508" s="38" t="n">
        <f aca="false">IF(AND(OR(T2508="Backlog",T2508="Pipeline",T2508="Overdue"),ISNUMBER(W2508)),IF(W2508&lt;=Settings!$B$6,V2508,0),0)</f>
        <v>0</v>
      </c>
      <c r="Y2508" s="38" t="n">
        <f aca="false">IF(AND(OR(T2508="Backlog",T2508="Pipeline",T2508="Overdue"),ISNUMBER(W2508)),IF(W2508&lt;=Settings!$B$6,Q2508,0),0)</f>
        <v>0</v>
      </c>
      <c r="Z2508" s="38" t="n">
        <f aca="false">IF(Y2508=0,0,IF(T2508="Backlog",Q2508,Q2508*Dashboard!$C$10))</f>
        <v>0</v>
      </c>
      <c r="AA2508" s="37" t="n">
        <f aca="false">IF($N2508="",0,IF(COUNTIF(Dashboard!$C$13:$C$22,$N2508)&gt;0,1,0))</f>
        <v>0</v>
      </c>
      <c r="AB2508" s="37" t="str">
        <f aca="false">IF($N2508="","",IF(COUNTIF($N$8:$N2508,$N2508)=1,MAX($AB$7:$AB2507)+1,""))</f>
        <v/>
      </c>
    </row>
    <row r="2509" customFormat="false" ht="15" hidden="false" customHeight="false" outlineLevel="0" collapsed="false">
      <c r="L2509" s="37" t="str">
        <f aca="false">IF(INDEX($A2509:$J2509,$L$6)&lt;&gt;"",TRIM(LEFT(INDEX($A2509:$J2509,$L$6),FIND("(",INDEX($A2509:$J2509,$L$6)&amp;"(")-1)),L2508)</f>
        <v>Building Value Proposition</v>
      </c>
      <c r="M2509" s="37" t="str">
        <f aca="false">IF(INDEX($A2509:$J2509,$M$6)="","",INDEX($A2509:$J2509,$M$6)&amp;"")</f>
        <v/>
      </c>
      <c r="N2509" s="37" t="str">
        <f aca="false">IF($M2509="","",TRIM(INDEX($A2509:$J2509,$N$6)&amp;""))</f>
        <v/>
      </c>
      <c r="O2509" s="37" t="str">
        <f aca="false">IF($M2509="","",TRIM(INDEX($A2509:$J2509,$O$6)&amp;""))</f>
        <v/>
      </c>
      <c r="P2509" s="37" t="str">
        <f aca="false">IF($M2509="","",IFERROR(IF(INDEX(Settings!$B$41:$B$50,MATCH(O2509,Settings!$A$41:$A$50,0))&amp;""="","UNMAPPED",INDEX(Settings!$B$41:$B$50,MATCH(O2509,Settings!$A$41:$A$50,0))&amp;""),"UNMAPPED"))</f>
        <v/>
      </c>
      <c r="Q2509" s="38" t="n">
        <f aca="false">IF($M2509="",0,N(INDEX($A2509:$J2509,$Q$6)))</f>
        <v>0</v>
      </c>
      <c r="R2509" s="39" t="str">
        <f aca="false">IF($M2509="","",INDEX($A2509:$J2509,$R$6))</f>
        <v/>
      </c>
      <c r="S2509" s="37" t="str">
        <f aca="false">IF($M2509="","",IFERROR(INDEX(Settings!$B$27:$B$36,MATCH(L2509,Settings!$A$27:$A$36,0))&amp;"","UNMAPPED"))</f>
        <v/>
      </c>
      <c r="T2509" s="37" t="str">
        <f aca="false">IF($M2509="","",IF(NOT(ISNUMBER(R2509)),"NO DATE",IF(S2509="Won",IF(R2509&gt;Settings!$B$5,"Backlog","Delivered"),IF(S2509="Open",IF(R2509&gt;Settings!$B$5,"Pipeline","Overdue"),IF(S2509="Lost","Lost","UNMAPPED")))))</f>
        <v/>
      </c>
      <c r="U2509" s="40" t="n">
        <f aca="false">IF(T2509="Backlog",1,IF(OR(T2509="Pipeline",T2509="Overdue"),N(INDEX(Settings!$C$27:$C$36,MATCH(L2509,Settings!$A$27:$A$36,0))),0))</f>
        <v>0</v>
      </c>
      <c r="V2509" s="38" t="n">
        <f aca="false">Q2509*U2509</f>
        <v>0</v>
      </c>
      <c r="W2509" s="41" t="str">
        <f aca="false">IF($M2509="","",IF(T2509="Overdue",IF(Settings!$B$8="Yes",Settings!$B$7,""),IF(ISNUMBER(R2509),DATE(YEAR(R2509),MONTH(R2509),1),"")))</f>
        <v/>
      </c>
      <c r="X2509" s="38" t="n">
        <f aca="false">IF(AND(OR(T2509="Backlog",T2509="Pipeline",T2509="Overdue"),ISNUMBER(W2509)),IF(W2509&lt;=Settings!$B$6,V2509,0),0)</f>
        <v>0</v>
      </c>
      <c r="Y2509" s="38" t="n">
        <f aca="false">IF(AND(OR(T2509="Backlog",T2509="Pipeline",T2509="Overdue"),ISNUMBER(W2509)),IF(W2509&lt;=Settings!$B$6,Q2509,0),0)</f>
        <v>0</v>
      </c>
      <c r="Z2509" s="38" t="n">
        <f aca="false">IF(Y2509=0,0,IF(T2509="Backlog",Q2509,Q2509*Dashboard!$C$10))</f>
        <v>0</v>
      </c>
      <c r="AA2509" s="37" t="n">
        <f aca="false">IF($N2509="",0,IF(COUNTIF(Dashboard!$C$13:$C$22,$N2509)&gt;0,1,0))</f>
        <v>0</v>
      </c>
      <c r="AB2509" s="37" t="str">
        <f aca="false">IF($N2509="","",IF(COUNTIF($N$8:$N2509,$N2509)=1,MAX($AB$7:$AB2508)+1,""))</f>
        <v/>
      </c>
    </row>
    <row r="2510" customFormat="false" ht="15" hidden="false" customHeight="false" outlineLevel="0" collapsed="false">
      <c r="L2510" s="37" t="str">
        <f aca="false">IF(INDEX($A2510:$J2510,$L$6)&lt;&gt;"",TRIM(LEFT(INDEX($A2510:$J2510,$L$6),FIND("(",INDEX($A2510:$J2510,$L$6)&amp;"(")-1)),L2509)</f>
        <v>Building Value Proposition</v>
      </c>
      <c r="M2510" s="37" t="str">
        <f aca="false">IF(INDEX($A2510:$J2510,$M$6)="","",INDEX($A2510:$J2510,$M$6)&amp;"")</f>
        <v/>
      </c>
      <c r="N2510" s="37" t="str">
        <f aca="false">IF($M2510="","",TRIM(INDEX($A2510:$J2510,$N$6)&amp;""))</f>
        <v/>
      </c>
      <c r="O2510" s="37" t="str">
        <f aca="false">IF($M2510="","",TRIM(INDEX($A2510:$J2510,$O$6)&amp;""))</f>
        <v/>
      </c>
      <c r="P2510" s="37" t="str">
        <f aca="false">IF($M2510="","",IFERROR(IF(INDEX(Settings!$B$41:$B$50,MATCH(O2510,Settings!$A$41:$A$50,0))&amp;""="","UNMAPPED",INDEX(Settings!$B$41:$B$50,MATCH(O2510,Settings!$A$41:$A$50,0))&amp;""),"UNMAPPED"))</f>
        <v/>
      </c>
      <c r="Q2510" s="38" t="n">
        <f aca="false">IF($M2510="",0,N(INDEX($A2510:$J2510,$Q$6)))</f>
        <v>0</v>
      </c>
      <c r="R2510" s="39" t="str">
        <f aca="false">IF($M2510="","",INDEX($A2510:$J2510,$R$6))</f>
        <v/>
      </c>
      <c r="S2510" s="37" t="str">
        <f aca="false">IF($M2510="","",IFERROR(INDEX(Settings!$B$27:$B$36,MATCH(L2510,Settings!$A$27:$A$36,0))&amp;"","UNMAPPED"))</f>
        <v/>
      </c>
      <c r="T2510" s="37" t="str">
        <f aca="false">IF($M2510="","",IF(NOT(ISNUMBER(R2510)),"NO DATE",IF(S2510="Won",IF(R2510&gt;Settings!$B$5,"Backlog","Delivered"),IF(S2510="Open",IF(R2510&gt;Settings!$B$5,"Pipeline","Overdue"),IF(S2510="Lost","Lost","UNMAPPED")))))</f>
        <v/>
      </c>
      <c r="U2510" s="40" t="n">
        <f aca="false">IF(T2510="Backlog",1,IF(OR(T2510="Pipeline",T2510="Overdue"),N(INDEX(Settings!$C$27:$C$36,MATCH(L2510,Settings!$A$27:$A$36,0))),0))</f>
        <v>0</v>
      </c>
      <c r="V2510" s="38" t="n">
        <f aca="false">Q2510*U2510</f>
        <v>0</v>
      </c>
      <c r="W2510" s="41" t="str">
        <f aca="false">IF($M2510="","",IF(T2510="Overdue",IF(Settings!$B$8="Yes",Settings!$B$7,""),IF(ISNUMBER(R2510),DATE(YEAR(R2510),MONTH(R2510),1),"")))</f>
        <v/>
      </c>
      <c r="X2510" s="38" t="n">
        <f aca="false">IF(AND(OR(T2510="Backlog",T2510="Pipeline",T2510="Overdue"),ISNUMBER(W2510)),IF(W2510&lt;=Settings!$B$6,V2510,0),0)</f>
        <v>0</v>
      </c>
      <c r="Y2510" s="38" t="n">
        <f aca="false">IF(AND(OR(T2510="Backlog",T2510="Pipeline",T2510="Overdue"),ISNUMBER(W2510)),IF(W2510&lt;=Settings!$B$6,Q2510,0),0)</f>
        <v>0</v>
      </c>
      <c r="Z2510" s="38" t="n">
        <f aca="false">IF(Y2510=0,0,IF(T2510="Backlog",Q2510,Q2510*Dashboard!$C$10))</f>
        <v>0</v>
      </c>
      <c r="AA2510" s="37" t="n">
        <f aca="false">IF($N2510="",0,IF(COUNTIF(Dashboard!$C$13:$C$22,$N2510)&gt;0,1,0))</f>
        <v>0</v>
      </c>
      <c r="AB2510" s="37" t="str">
        <f aca="false">IF($N2510="","",IF(COUNTIF($N$8:$N2510,$N2510)=1,MAX($AB$7:$AB2509)+1,""))</f>
        <v/>
      </c>
    </row>
    <row r="2511" customFormat="false" ht="15" hidden="false" customHeight="false" outlineLevel="0" collapsed="false">
      <c r="L2511" s="37" t="str">
        <f aca="false">IF(INDEX($A2511:$J2511,$L$6)&lt;&gt;"",TRIM(LEFT(INDEX($A2511:$J2511,$L$6),FIND("(",INDEX($A2511:$J2511,$L$6)&amp;"(")-1)),L2510)</f>
        <v>Building Value Proposition</v>
      </c>
      <c r="M2511" s="37" t="str">
        <f aca="false">IF(INDEX($A2511:$J2511,$M$6)="","",INDEX($A2511:$J2511,$M$6)&amp;"")</f>
        <v/>
      </c>
      <c r="N2511" s="37" t="str">
        <f aca="false">IF($M2511="","",TRIM(INDEX($A2511:$J2511,$N$6)&amp;""))</f>
        <v/>
      </c>
      <c r="O2511" s="37" t="str">
        <f aca="false">IF($M2511="","",TRIM(INDEX($A2511:$J2511,$O$6)&amp;""))</f>
        <v/>
      </c>
      <c r="P2511" s="37" t="str">
        <f aca="false">IF($M2511="","",IFERROR(IF(INDEX(Settings!$B$41:$B$50,MATCH(O2511,Settings!$A$41:$A$50,0))&amp;""="","UNMAPPED",INDEX(Settings!$B$41:$B$50,MATCH(O2511,Settings!$A$41:$A$50,0))&amp;""),"UNMAPPED"))</f>
        <v/>
      </c>
      <c r="Q2511" s="38" t="n">
        <f aca="false">IF($M2511="",0,N(INDEX($A2511:$J2511,$Q$6)))</f>
        <v>0</v>
      </c>
      <c r="R2511" s="39" t="str">
        <f aca="false">IF($M2511="","",INDEX($A2511:$J2511,$R$6))</f>
        <v/>
      </c>
      <c r="S2511" s="37" t="str">
        <f aca="false">IF($M2511="","",IFERROR(INDEX(Settings!$B$27:$B$36,MATCH(L2511,Settings!$A$27:$A$36,0))&amp;"","UNMAPPED"))</f>
        <v/>
      </c>
      <c r="T2511" s="37" t="str">
        <f aca="false">IF($M2511="","",IF(NOT(ISNUMBER(R2511)),"NO DATE",IF(S2511="Won",IF(R2511&gt;Settings!$B$5,"Backlog","Delivered"),IF(S2511="Open",IF(R2511&gt;Settings!$B$5,"Pipeline","Overdue"),IF(S2511="Lost","Lost","UNMAPPED")))))</f>
        <v/>
      </c>
      <c r="U2511" s="40" t="n">
        <f aca="false">IF(T2511="Backlog",1,IF(OR(T2511="Pipeline",T2511="Overdue"),N(INDEX(Settings!$C$27:$C$36,MATCH(L2511,Settings!$A$27:$A$36,0))),0))</f>
        <v>0</v>
      </c>
      <c r="V2511" s="38" t="n">
        <f aca="false">Q2511*U2511</f>
        <v>0</v>
      </c>
      <c r="W2511" s="41" t="str">
        <f aca="false">IF($M2511="","",IF(T2511="Overdue",IF(Settings!$B$8="Yes",Settings!$B$7,""),IF(ISNUMBER(R2511),DATE(YEAR(R2511),MONTH(R2511),1),"")))</f>
        <v/>
      </c>
      <c r="X2511" s="38" t="n">
        <f aca="false">IF(AND(OR(T2511="Backlog",T2511="Pipeline",T2511="Overdue"),ISNUMBER(W2511)),IF(W2511&lt;=Settings!$B$6,V2511,0),0)</f>
        <v>0</v>
      </c>
      <c r="Y2511" s="38" t="n">
        <f aca="false">IF(AND(OR(T2511="Backlog",T2511="Pipeline",T2511="Overdue"),ISNUMBER(W2511)),IF(W2511&lt;=Settings!$B$6,Q2511,0),0)</f>
        <v>0</v>
      </c>
      <c r="Z2511" s="38" t="n">
        <f aca="false">IF(Y2511=0,0,IF(T2511="Backlog",Q2511,Q2511*Dashboard!$C$10))</f>
        <v>0</v>
      </c>
      <c r="AA2511" s="37" t="n">
        <f aca="false">IF($N2511="",0,IF(COUNTIF(Dashboard!$C$13:$C$22,$N2511)&gt;0,1,0))</f>
        <v>0</v>
      </c>
      <c r="AB2511" s="37" t="str">
        <f aca="false">IF($N2511="","",IF(COUNTIF($N$8:$N2511,$N2511)=1,MAX($AB$7:$AB2510)+1,""))</f>
        <v/>
      </c>
    </row>
    <row r="2512" customFormat="false" ht="15" hidden="false" customHeight="false" outlineLevel="0" collapsed="false">
      <c r="L2512" s="37" t="str">
        <f aca="false">IF(INDEX($A2512:$J2512,$L$6)&lt;&gt;"",TRIM(LEFT(INDEX($A2512:$J2512,$L$6),FIND("(",INDEX($A2512:$J2512,$L$6)&amp;"(")-1)),L2511)</f>
        <v>Building Value Proposition</v>
      </c>
      <c r="M2512" s="37" t="str">
        <f aca="false">IF(INDEX($A2512:$J2512,$M$6)="","",INDEX($A2512:$J2512,$M$6)&amp;"")</f>
        <v/>
      </c>
      <c r="N2512" s="37" t="str">
        <f aca="false">IF($M2512="","",TRIM(INDEX($A2512:$J2512,$N$6)&amp;""))</f>
        <v/>
      </c>
      <c r="O2512" s="37" t="str">
        <f aca="false">IF($M2512="","",TRIM(INDEX($A2512:$J2512,$O$6)&amp;""))</f>
        <v/>
      </c>
      <c r="P2512" s="37" t="str">
        <f aca="false">IF($M2512="","",IFERROR(IF(INDEX(Settings!$B$41:$B$50,MATCH(O2512,Settings!$A$41:$A$50,0))&amp;""="","UNMAPPED",INDEX(Settings!$B$41:$B$50,MATCH(O2512,Settings!$A$41:$A$50,0))&amp;""),"UNMAPPED"))</f>
        <v/>
      </c>
      <c r="Q2512" s="38" t="n">
        <f aca="false">IF($M2512="",0,N(INDEX($A2512:$J2512,$Q$6)))</f>
        <v>0</v>
      </c>
      <c r="R2512" s="39" t="str">
        <f aca="false">IF($M2512="","",INDEX($A2512:$J2512,$R$6))</f>
        <v/>
      </c>
      <c r="S2512" s="37" t="str">
        <f aca="false">IF($M2512="","",IFERROR(INDEX(Settings!$B$27:$B$36,MATCH(L2512,Settings!$A$27:$A$36,0))&amp;"","UNMAPPED"))</f>
        <v/>
      </c>
      <c r="T2512" s="37" t="str">
        <f aca="false">IF($M2512="","",IF(NOT(ISNUMBER(R2512)),"NO DATE",IF(S2512="Won",IF(R2512&gt;Settings!$B$5,"Backlog","Delivered"),IF(S2512="Open",IF(R2512&gt;Settings!$B$5,"Pipeline","Overdue"),IF(S2512="Lost","Lost","UNMAPPED")))))</f>
        <v/>
      </c>
      <c r="U2512" s="40" t="n">
        <f aca="false">IF(T2512="Backlog",1,IF(OR(T2512="Pipeline",T2512="Overdue"),N(INDEX(Settings!$C$27:$C$36,MATCH(L2512,Settings!$A$27:$A$36,0))),0))</f>
        <v>0</v>
      </c>
      <c r="V2512" s="38" t="n">
        <f aca="false">Q2512*U2512</f>
        <v>0</v>
      </c>
      <c r="W2512" s="41" t="str">
        <f aca="false">IF($M2512="","",IF(T2512="Overdue",IF(Settings!$B$8="Yes",Settings!$B$7,""),IF(ISNUMBER(R2512),DATE(YEAR(R2512),MONTH(R2512),1),"")))</f>
        <v/>
      </c>
      <c r="X2512" s="38" t="n">
        <f aca="false">IF(AND(OR(T2512="Backlog",T2512="Pipeline",T2512="Overdue"),ISNUMBER(W2512)),IF(W2512&lt;=Settings!$B$6,V2512,0),0)</f>
        <v>0</v>
      </c>
      <c r="Y2512" s="38" t="n">
        <f aca="false">IF(AND(OR(T2512="Backlog",T2512="Pipeline",T2512="Overdue"),ISNUMBER(W2512)),IF(W2512&lt;=Settings!$B$6,Q2512,0),0)</f>
        <v>0</v>
      </c>
      <c r="Z2512" s="38" t="n">
        <f aca="false">IF(Y2512=0,0,IF(T2512="Backlog",Q2512,Q2512*Dashboard!$C$10))</f>
        <v>0</v>
      </c>
      <c r="AA2512" s="37" t="n">
        <f aca="false">IF($N2512="",0,IF(COUNTIF(Dashboard!$C$13:$C$22,$N2512)&gt;0,1,0))</f>
        <v>0</v>
      </c>
      <c r="AB2512" s="37" t="str">
        <f aca="false">IF($N2512="","",IF(COUNTIF($N$8:$N2512,$N2512)=1,MAX($AB$7:$AB2511)+1,""))</f>
        <v/>
      </c>
    </row>
    <row r="2513" customFormat="false" ht="15" hidden="false" customHeight="false" outlineLevel="0" collapsed="false">
      <c r="L2513" s="37" t="str">
        <f aca="false">IF(INDEX($A2513:$J2513,$L$6)&lt;&gt;"",TRIM(LEFT(INDEX($A2513:$J2513,$L$6),FIND("(",INDEX($A2513:$J2513,$L$6)&amp;"(")-1)),L2512)</f>
        <v>Building Value Proposition</v>
      </c>
      <c r="M2513" s="37" t="str">
        <f aca="false">IF(INDEX($A2513:$J2513,$M$6)="","",INDEX($A2513:$J2513,$M$6)&amp;"")</f>
        <v/>
      </c>
      <c r="N2513" s="37" t="str">
        <f aca="false">IF($M2513="","",TRIM(INDEX($A2513:$J2513,$N$6)&amp;""))</f>
        <v/>
      </c>
      <c r="O2513" s="37" t="str">
        <f aca="false">IF($M2513="","",TRIM(INDEX($A2513:$J2513,$O$6)&amp;""))</f>
        <v/>
      </c>
      <c r="P2513" s="37" t="str">
        <f aca="false">IF($M2513="","",IFERROR(IF(INDEX(Settings!$B$41:$B$50,MATCH(O2513,Settings!$A$41:$A$50,0))&amp;""="","UNMAPPED",INDEX(Settings!$B$41:$B$50,MATCH(O2513,Settings!$A$41:$A$50,0))&amp;""),"UNMAPPED"))</f>
        <v/>
      </c>
      <c r="Q2513" s="38" t="n">
        <f aca="false">IF($M2513="",0,N(INDEX($A2513:$J2513,$Q$6)))</f>
        <v>0</v>
      </c>
      <c r="R2513" s="39" t="str">
        <f aca="false">IF($M2513="","",INDEX($A2513:$J2513,$R$6))</f>
        <v/>
      </c>
      <c r="S2513" s="37" t="str">
        <f aca="false">IF($M2513="","",IFERROR(INDEX(Settings!$B$27:$B$36,MATCH(L2513,Settings!$A$27:$A$36,0))&amp;"","UNMAPPED"))</f>
        <v/>
      </c>
      <c r="T2513" s="37" t="str">
        <f aca="false">IF($M2513="","",IF(NOT(ISNUMBER(R2513)),"NO DATE",IF(S2513="Won",IF(R2513&gt;Settings!$B$5,"Backlog","Delivered"),IF(S2513="Open",IF(R2513&gt;Settings!$B$5,"Pipeline","Overdue"),IF(S2513="Lost","Lost","UNMAPPED")))))</f>
        <v/>
      </c>
      <c r="U2513" s="40" t="n">
        <f aca="false">IF(T2513="Backlog",1,IF(OR(T2513="Pipeline",T2513="Overdue"),N(INDEX(Settings!$C$27:$C$36,MATCH(L2513,Settings!$A$27:$A$36,0))),0))</f>
        <v>0</v>
      </c>
      <c r="V2513" s="38" t="n">
        <f aca="false">Q2513*U2513</f>
        <v>0</v>
      </c>
      <c r="W2513" s="41" t="str">
        <f aca="false">IF($M2513="","",IF(T2513="Overdue",IF(Settings!$B$8="Yes",Settings!$B$7,""),IF(ISNUMBER(R2513),DATE(YEAR(R2513),MONTH(R2513),1),"")))</f>
        <v/>
      </c>
      <c r="X2513" s="38" t="n">
        <f aca="false">IF(AND(OR(T2513="Backlog",T2513="Pipeline",T2513="Overdue"),ISNUMBER(W2513)),IF(W2513&lt;=Settings!$B$6,V2513,0),0)</f>
        <v>0</v>
      </c>
      <c r="Y2513" s="38" t="n">
        <f aca="false">IF(AND(OR(T2513="Backlog",T2513="Pipeline",T2513="Overdue"),ISNUMBER(W2513)),IF(W2513&lt;=Settings!$B$6,Q2513,0),0)</f>
        <v>0</v>
      </c>
      <c r="Z2513" s="38" t="n">
        <f aca="false">IF(Y2513=0,0,IF(T2513="Backlog",Q2513,Q2513*Dashboard!$C$10))</f>
        <v>0</v>
      </c>
      <c r="AA2513" s="37" t="n">
        <f aca="false">IF($N2513="",0,IF(COUNTIF(Dashboard!$C$13:$C$22,$N2513)&gt;0,1,0))</f>
        <v>0</v>
      </c>
      <c r="AB2513" s="37" t="str">
        <f aca="false">IF($N2513="","",IF(COUNTIF($N$8:$N2513,$N2513)=1,MAX($AB$7:$AB2512)+1,""))</f>
        <v/>
      </c>
    </row>
    <row r="2514" customFormat="false" ht="15" hidden="false" customHeight="false" outlineLevel="0" collapsed="false">
      <c r="L2514" s="37" t="str">
        <f aca="false">IF(INDEX($A2514:$J2514,$L$6)&lt;&gt;"",TRIM(LEFT(INDEX($A2514:$J2514,$L$6),FIND("(",INDEX($A2514:$J2514,$L$6)&amp;"(")-1)),L2513)</f>
        <v>Building Value Proposition</v>
      </c>
      <c r="M2514" s="37" t="str">
        <f aca="false">IF(INDEX($A2514:$J2514,$M$6)="","",INDEX($A2514:$J2514,$M$6)&amp;"")</f>
        <v/>
      </c>
      <c r="N2514" s="37" t="str">
        <f aca="false">IF($M2514="","",TRIM(INDEX($A2514:$J2514,$N$6)&amp;""))</f>
        <v/>
      </c>
      <c r="O2514" s="37" t="str">
        <f aca="false">IF($M2514="","",TRIM(INDEX($A2514:$J2514,$O$6)&amp;""))</f>
        <v/>
      </c>
      <c r="P2514" s="37" t="str">
        <f aca="false">IF($M2514="","",IFERROR(IF(INDEX(Settings!$B$41:$B$50,MATCH(O2514,Settings!$A$41:$A$50,0))&amp;""="","UNMAPPED",INDEX(Settings!$B$41:$B$50,MATCH(O2514,Settings!$A$41:$A$50,0))&amp;""),"UNMAPPED"))</f>
        <v/>
      </c>
      <c r="Q2514" s="38" t="n">
        <f aca="false">IF($M2514="",0,N(INDEX($A2514:$J2514,$Q$6)))</f>
        <v>0</v>
      </c>
      <c r="R2514" s="39" t="str">
        <f aca="false">IF($M2514="","",INDEX($A2514:$J2514,$R$6))</f>
        <v/>
      </c>
      <c r="S2514" s="37" t="str">
        <f aca="false">IF($M2514="","",IFERROR(INDEX(Settings!$B$27:$B$36,MATCH(L2514,Settings!$A$27:$A$36,0))&amp;"","UNMAPPED"))</f>
        <v/>
      </c>
      <c r="T2514" s="37" t="str">
        <f aca="false">IF($M2514="","",IF(NOT(ISNUMBER(R2514)),"NO DATE",IF(S2514="Won",IF(R2514&gt;Settings!$B$5,"Backlog","Delivered"),IF(S2514="Open",IF(R2514&gt;Settings!$B$5,"Pipeline","Overdue"),IF(S2514="Lost","Lost","UNMAPPED")))))</f>
        <v/>
      </c>
      <c r="U2514" s="40" t="n">
        <f aca="false">IF(T2514="Backlog",1,IF(OR(T2514="Pipeline",T2514="Overdue"),N(INDEX(Settings!$C$27:$C$36,MATCH(L2514,Settings!$A$27:$A$36,0))),0))</f>
        <v>0</v>
      </c>
      <c r="V2514" s="38" t="n">
        <f aca="false">Q2514*U2514</f>
        <v>0</v>
      </c>
      <c r="W2514" s="41" t="str">
        <f aca="false">IF($M2514="","",IF(T2514="Overdue",IF(Settings!$B$8="Yes",Settings!$B$7,""),IF(ISNUMBER(R2514),DATE(YEAR(R2514),MONTH(R2514),1),"")))</f>
        <v/>
      </c>
      <c r="X2514" s="38" t="n">
        <f aca="false">IF(AND(OR(T2514="Backlog",T2514="Pipeline",T2514="Overdue"),ISNUMBER(W2514)),IF(W2514&lt;=Settings!$B$6,V2514,0),0)</f>
        <v>0</v>
      </c>
      <c r="Y2514" s="38" t="n">
        <f aca="false">IF(AND(OR(T2514="Backlog",T2514="Pipeline",T2514="Overdue"),ISNUMBER(W2514)),IF(W2514&lt;=Settings!$B$6,Q2514,0),0)</f>
        <v>0</v>
      </c>
      <c r="Z2514" s="38" t="n">
        <f aca="false">IF(Y2514=0,0,IF(T2514="Backlog",Q2514,Q2514*Dashboard!$C$10))</f>
        <v>0</v>
      </c>
      <c r="AA2514" s="37" t="n">
        <f aca="false">IF($N2514="",0,IF(COUNTIF(Dashboard!$C$13:$C$22,$N2514)&gt;0,1,0))</f>
        <v>0</v>
      </c>
      <c r="AB2514" s="37" t="str">
        <f aca="false">IF($N2514="","",IF(COUNTIF($N$8:$N2514,$N2514)=1,MAX($AB$7:$AB2513)+1,""))</f>
        <v/>
      </c>
    </row>
    <row r="2515" customFormat="false" ht="15" hidden="false" customHeight="false" outlineLevel="0" collapsed="false">
      <c r="L2515" s="37" t="str">
        <f aca="false">IF(INDEX($A2515:$J2515,$L$6)&lt;&gt;"",TRIM(LEFT(INDEX($A2515:$J2515,$L$6),FIND("(",INDEX($A2515:$J2515,$L$6)&amp;"(")-1)),L2514)</f>
        <v>Building Value Proposition</v>
      </c>
      <c r="M2515" s="37" t="str">
        <f aca="false">IF(INDEX($A2515:$J2515,$M$6)="","",INDEX($A2515:$J2515,$M$6)&amp;"")</f>
        <v/>
      </c>
      <c r="N2515" s="37" t="str">
        <f aca="false">IF($M2515="","",TRIM(INDEX($A2515:$J2515,$N$6)&amp;""))</f>
        <v/>
      </c>
      <c r="O2515" s="37" t="str">
        <f aca="false">IF($M2515="","",TRIM(INDEX($A2515:$J2515,$O$6)&amp;""))</f>
        <v/>
      </c>
      <c r="P2515" s="37" t="str">
        <f aca="false">IF($M2515="","",IFERROR(IF(INDEX(Settings!$B$41:$B$50,MATCH(O2515,Settings!$A$41:$A$50,0))&amp;""="","UNMAPPED",INDEX(Settings!$B$41:$B$50,MATCH(O2515,Settings!$A$41:$A$50,0))&amp;""),"UNMAPPED"))</f>
        <v/>
      </c>
      <c r="Q2515" s="38" t="n">
        <f aca="false">IF($M2515="",0,N(INDEX($A2515:$J2515,$Q$6)))</f>
        <v>0</v>
      </c>
      <c r="R2515" s="39" t="str">
        <f aca="false">IF($M2515="","",INDEX($A2515:$J2515,$R$6))</f>
        <v/>
      </c>
      <c r="S2515" s="37" t="str">
        <f aca="false">IF($M2515="","",IFERROR(INDEX(Settings!$B$27:$B$36,MATCH(L2515,Settings!$A$27:$A$36,0))&amp;"","UNMAPPED"))</f>
        <v/>
      </c>
      <c r="T2515" s="37" t="str">
        <f aca="false">IF($M2515="","",IF(NOT(ISNUMBER(R2515)),"NO DATE",IF(S2515="Won",IF(R2515&gt;Settings!$B$5,"Backlog","Delivered"),IF(S2515="Open",IF(R2515&gt;Settings!$B$5,"Pipeline","Overdue"),IF(S2515="Lost","Lost","UNMAPPED")))))</f>
        <v/>
      </c>
      <c r="U2515" s="40" t="n">
        <f aca="false">IF(T2515="Backlog",1,IF(OR(T2515="Pipeline",T2515="Overdue"),N(INDEX(Settings!$C$27:$C$36,MATCH(L2515,Settings!$A$27:$A$36,0))),0))</f>
        <v>0</v>
      </c>
      <c r="V2515" s="38" t="n">
        <f aca="false">Q2515*U2515</f>
        <v>0</v>
      </c>
      <c r="W2515" s="41" t="str">
        <f aca="false">IF($M2515="","",IF(T2515="Overdue",IF(Settings!$B$8="Yes",Settings!$B$7,""),IF(ISNUMBER(R2515),DATE(YEAR(R2515),MONTH(R2515),1),"")))</f>
        <v/>
      </c>
      <c r="X2515" s="38" t="n">
        <f aca="false">IF(AND(OR(T2515="Backlog",T2515="Pipeline",T2515="Overdue"),ISNUMBER(W2515)),IF(W2515&lt;=Settings!$B$6,V2515,0),0)</f>
        <v>0</v>
      </c>
      <c r="Y2515" s="38" t="n">
        <f aca="false">IF(AND(OR(T2515="Backlog",T2515="Pipeline",T2515="Overdue"),ISNUMBER(W2515)),IF(W2515&lt;=Settings!$B$6,Q2515,0),0)</f>
        <v>0</v>
      </c>
      <c r="Z2515" s="38" t="n">
        <f aca="false">IF(Y2515=0,0,IF(T2515="Backlog",Q2515,Q2515*Dashboard!$C$10))</f>
        <v>0</v>
      </c>
      <c r="AA2515" s="37" t="n">
        <f aca="false">IF($N2515="",0,IF(COUNTIF(Dashboard!$C$13:$C$22,$N2515)&gt;0,1,0))</f>
        <v>0</v>
      </c>
      <c r="AB2515" s="37" t="str">
        <f aca="false">IF($N2515="","",IF(COUNTIF($N$8:$N2515,$N2515)=1,MAX($AB$7:$AB2514)+1,""))</f>
        <v/>
      </c>
    </row>
    <row r="2516" customFormat="false" ht="15" hidden="false" customHeight="false" outlineLevel="0" collapsed="false">
      <c r="L2516" s="37" t="str">
        <f aca="false">IF(INDEX($A2516:$J2516,$L$6)&lt;&gt;"",TRIM(LEFT(INDEX($A2516:$J2516,$L$6),FIND("(",INDEX($A2516:$J2516,$L$6)&amp;"(")-1)),L2515)</f>
        <v>Building Value Proposition</v>
      </c>
      <c r="M2516" s="37" t="str">
        <f aca="false">IF(INDEX($A2516:$J2516,$M$6)="","",INDEX($A2516:$J2516,$M$6)&amp;"")</f>
        <v/>
      </c>
      <c r="N2516" s="37" t="str">
        <f aca="false">IF($M2516="","",TRIM(INDEX($A2516:$J2516,$N$6)&amp;""))</f>
        <v/>
      </c>
      <c r="O2516" s="37" t="str">
        <f aca="false">IF($M2516="","",TRIM(INDEX($A2516:$J2516,$O$6)&amp;""))</f>
        <v/>
      </c>
      <c r="P2516" s="37" t="str">
        <f aca="false">IF($M2516="","",IFERROR(IF(INDEX(Settings!$B$41:$B$50,MATCH(O2516,Settings!$A$41:$A$50,0))&amp;""="","UNMAPPED",INDEX(Settings!$B$41:$B$50,MATCH(O2516,Settings!$A$41:$A$50,0))&amp;""),"UNMAPPED"))</f>
        <v/>
      </c>
      <c r="Q2516" s="38" t="n">
        <f aca="false">IF($M2516="",0,N(INDEX($A2516:$J2516,$Q$6)))</f>
        <v>0</v>
      </c>
      <c r="R2516" s="39" t="str">
        <f aca="false">IF($M2516="","",INDEX($A2516:$J2516,$R$6))</f>
        <v/>
      </c>
      <c r="S2516" s="37" t="str">
        <f aca="false">IF($M2516="","",IFERROR(INDEX(Settings!$B$27:$B$36,MATCH(L2516,Settings!$A$27:$A$36,0))&amp;"","UNMAPPED"))</f>
        <v/>
      </c>
      <c r="T2516" s="37" t="str">
        <f aca="false">IF($M2516="","",IF(NOT(ISNUMBER(R2516)),"NO DATE",IF(S2516="Won",IF(R2516&gt;Settings!$B$5,"Backlog","Delivered"),IF(S2516="Open",IF(R2516&gt;Settings!$B$5,"Pipeline","Overdue"),IF(S2516="Lost","Lost","UNMAPPED")))))</f>
        <v/>
      </c>
      <c r="U2516" s="40" t="n">
        <f aca="false">IF(T2516="Backlog",1,IF(OR(T2516="Pipeline",T2516="Overdue"),N(INDEX(Settings!$C$27:$C$36,MATCH(L2516,Settings!$A$27:$A$36,0))),0))</f>
        <v>0</v>
      </c>
      <c r="V2516" s="38" t="n">
        <f aca="false">Q2516*U2516</f>
        <v>0</v>
      </c>
      <c r="W2516" s="41" t="str">
        <f aca="false">IF($M2516="","",IF(T2516="Overdue",IF(Settings!$B$8="Yes",Settings!$B$7,""),IF(ISNUMBER(R2516),DATE(YEAR(R2516),MONTH(R2516),1),"")))</f>
        <v/>
      </c>
      <c r="X2516" s="38" t="n">
        <f aca="false">IF(AND(OR(T2516="Backlog",T2516="Pipeline",T2516="Overdue"),ISNUMBER(W2516)),IF(W2516&lt;=Settings!$B$6,V2516,0),0)</f>
        <v>0</v>
      </c>
      <c r="Y2516" s="38" t="n">
        <f aca="false">IF(AND(OR(T2516="Backlog",T2516="Pipeline",T2516="Overdue"),ISNUMBER(W2516)),IF(W2516&lt;=Settings!$B$6,Q2516,0),0)</f>
        <v>0</v>
      </c>
      <c r="Z2516" s="38" t="n">
        <f aca="false">IF(Y2516=0,0,IF(T2516="Backlog",Q2516,Q2516*Dashboard!$C$10))</f>
        <v>0</v>
      </c>
      <c r="AA2516" s="37" t="n">
        <f aca="false">IF($N2516="",0,IF(COUNTIF(Dashboard!$C$13:$C$22,$N2516)&gt;0,1,0))</f>
        <v>0</v>
      </c>
      <c r="AB2516" s="37" t="str">
        <f aca="false">IF($N2516="","",IF(COUNTIF($N$8:$N2516,$N2516)=1,MAX($AB$7:$AB2515)+1,""))</f>
        <v/>
      </c>
    </row>
    <row r="2517" customFormat="false" ht="15" hidden="false" customHeight="false" outlineLevel="0" collapsed="false">
      <c r="L2517" s="37" t="str">
        <f aca="false">IF(INDEX($A2517:$J2517,$L$6)&lt;&gt;"",TRIM(LEFT(INDEX($A2517:$J2517,$L$6),FIND("(",INDEX($A2517:$J2517,$L$6)&amp;"(")-1)),L2516)</f>
        <v>Building Value Proposition</v>
      </c>
      <c r="M2517" s="37" t="str">
        <f aca="false">IF(INDEX($A2517:$J2517,$M$6)="","",INDEX($A2517:$J2517,$M$6)&amp;"")</f>
        <v/>
      </c>
      <c r="N2517" s="37" t="str">
        <f aca="false">IF($M2517="","",TRIM(INDEX($A2517:$J2517,$N$6)&amp;""))</f>
        <v/>
      </c>
      <c r="O2517" s="37" t="str">
        <f aca="false">IF($M2517="","",TRIM(INDEX($A2517:$J2517,$O$6)&amp;""))</f>
        <v/>
      </c>
      <c r="P2517" s="37" t="str">
        <f aca="false">IF($M2517="","",IFERROR(IF(INDEX(Settings!$B$41:$B$50,MATCH(O2517,Settings!$A$41:$A$50,0))&amp;""="","UNMAPPED",INDEX(Settings!$B$41:$B$50,MATCH(O2517,Settings!$A$41:$A$50,0))&amp;""),"UNMAPPED"))</f>
        <v/>
      </c>
      <c r="Q2517" s="38" t="n">
        <f aca="false">IF($M2517="",0,N(INDEX($A2517:$J2517,$Q$6)))</f>
        <v>0</v>
      </c>
      <c r="R2517" s="39" t="str">
        <f aca="false">IF($M2517="","",INDEX($A2517:$J2517,$R$6))</f>
        <v/>
      </c>
      <c r="S2517" s="37" t="str">
        <f aca="false">IF($M2517="","",IFERROR(INDEX(Settings!$B$27:$B$36,MATCH(L2517,Settings!$A$27:$A$36,0))&amp;"","UNMAPPED"))</f>
        <v/>
      </c>
      <c r="T2517" s="37" t="str">
        <f aca="false">IF($M2517="","",IF(NOT(ISNUMBER(R2517)),"NO DATE",IF(S2517="Won",IF(R2517&gt;Settings!$B$5,"Backlog","Delivered"),IF(S2517="Open",IF(R2517&gt;Settings!$B$5,"Pipeline","Overdue"),IF(S2517="Lost","Lost","UNMAPPED")))))</f>
        <v/>
      </c>
      <c r="U2517" s="40" t="n">
        <f aca="false">IF(T2517="Backlog",1,IF(OR(T2517="Pipeline",T2517="Overdue"),N(INDEX(Settings!$C$27:$C$36,MATCH(L2517,Settings!$A$27:$A$36,0))),0))</f>
        <v>0</v>
      </c>
      <c r="V2517" s="38" t="n">
        <f aca="false">Q2517*U2517</f>
        <v>0</v>
      </c>
      <c r="W2517" s="41" t="str">
        <f aca="false">IF($M2517="","",IF(T2517="Overdue",IF(Settings!$B$8="Yes",Settings!$B$7,""),IF(ISNUMBER(R2517),DATE(YEAR(R2517),MONTH(R2517),1),"")))</f>
        <v/>
      </c>
      <c r="X2517" s="38" t="n">
        <f aca="false">IF(AND(OR(T2517="Backlog",T2517="Pipeline",T2517="Overdue"),ISNUMBER(W2517)),IF(W2517&lt;=Settings!$B$6,V2517,0),0)</f>
        <v>0</v>
      </c>
      <c r="Y2517" s="38" t="n">
        <f aca="false">IF(AND(OR(T2517="Backlog",T2517="Pipeline",T2517="Overdue"),ISNUMBER(W2517)),IF(W2517&lt;=Settings!$B$6,Q2517,0),0)</f>
        <v>0</v>
      </c>
      <c r="Z2517" s="38" t="n">
        <f aca="false">IF(Y2517=0,0,IF(T2517="Backlog",Q2517,Q2517*Dashboard!$C$10))</f>
        <v>0</v>
      </c>
      <c r="AA2517" s="37" t="n">
        <f aca="false">IF($N2517="",0,IF(COUNTIF(Dashboard!$C$13:$C$22,$N2517)&gt;0,1,0))</f>
        <v>0</v>
      </c>
      <c r="AB2517" s="37" t="str">
        <f aca="false">IF($N2517="","",IF(COUNTIF($N$8:$N2517,$N2517)=1,MAX($AB$7:$AB2516)+1,""))</f>
        <v/>
      </c>
    </row>
    <row r="2518" customFormat="false" ht="15" hidden="false" customHeight="false" outlineLevel="0" collapsed="false">
      <c r="L2518" s="37" t="str">
        <f aca="false">IF(INDEX($A2518:$J2518,$L$6)&lt;&gt;"",TRIM(LEFT(INDEX($A2518:$J2518,$L$6),FIND("(",INDEX($A2518:$J2518,$L$6)&amp;"(")-1)),L2517)</f>
        <v>Building Value Proposition</v>
      </c>
      <c r="M2518" s="37" t="str">
        <f aca="false">IF(INDEX($A2518:$J2518,$M$6)="","",INDEX($A2518:$J2518,$M$6)&amp;"")</f>
        <v/>
      </c>
      <c r="N2518" s="37" t="str">
        <f aca="false">IF($M2518="","",TRIM(INDEX($A2518:$J2518,$N$6)&amp;""))</f>
        <v/>
      </c>
      <c r="O2518" s="37" t="str">
        <f aca="false">IF($M2518="","",TRIM(INDEX($A2518:$J2518,$O$6)&amp;""))</f>
        <v/>
      </c>
      <c r="P2518" s="37" t="str">
        <f aca="false">IF($M2518="","",IFERROR(IF(INDEX(Settings!$B$41:$B$50,MATCH(O2518,Settings!$A$41:$A$50,0))&amp;""="","UNMAPPED",INDEX(Settings!$B$41:$B$50,MATCH(O2518,Settings!$A$41:$A$50,0))&amp;""),"UNMAPPED"))</f>
        <v/>
      </c>
      <c r="Q2518" s="38" t="n">
        <f aca="false">IF($M2518="",0,N(INDEX($A2518:$J2518,$Q$6)))</f>
        <v>0</v>
      </c>
      <c r="R2518" s="39" t="str">
        <f aca="false">IF($M2518="","",INDEX($A2518:$J2518,$R$6))</f>
        <v/>
      </c>
      <c r="S2518" s="37" t="str">
        <f aca="false">IF($M2518="","",IFERROR(INDEX(Settings!$B$27:$B$36,MATCH(L2518,Settings!$A$27:$A$36,0))&amp;"","UNMAPPED"))</f>
        <v/>
      </c>
      <c r="T2518" s="37" t="str">
        <f aca="false">IF($M2518="","",IF(NOT(ISNUMBER(R2518)),"NO DATE",IF(S2518="Won",IF(R2518&gt;Settings!$B$5,"Backlog","Delivered"),IF(S2518="Open",IF(R2518&gt;Settings!$B$5,"Pipeline","Overdue"),IF(S2518="Lost","Lost","UNMAPPED")))))</f>
        <v/>
      </c>
      <c r="U2518" s="40" t="n">
        <f aca="false">IF(T2518="Backlog",1,IF(OR(T2518="Pipeline",T2518="Overdue"),N(INDEX(Settings!$C$27:$C$36,MATCH(L2518,Settings!$A$27:$A$36,0))),0))</f>
        <v>0</v>
      </c>
      <c r="V2518" s="38" t="n">
        <f aca="false">Q2518*U2518</f>
        <v>0</v>
      </c>
      <c r="W2518" s="41" t="str">
        <f aca="false">IF($M2518="","",IF(T2518="Overdue",IF(Settings!$B$8="Yes",Settings!$B$7,""),IF(ISNUMBER(R2518),DATE(YEAR(R2518),MONTH(R2518),1),"")))</f>
        <v/>
      </c>
      <c r="X2518" s="38" t="n">
        <f aca="false">IF(AND(OR(T2518="Backlog",T2518="Pipeline",T2518="Overdue"),ISNUMBER(W2518)),IF(W2518&lt;=Settings!$B$6,V2518,0),0)</f>
        <v>0</v>
      </c>
      <c r="Y2518" s="38" t="n">
        <f aca="false">IF(AND(OR(T2518="Backlog",T2518="Pipeline",T2518="Overdue"),ISNUMBER(W2518)),IF(W2518&lt;=Settings!$B$6,Q2518,0),0)</f>
        <v>0</v>
      </c>
      <c r="Z2518" s="38" t="n">
        <f aca="false">IF(Y2518=0,0,IF(T2518="Backlog",Q2518,Q2518*Dashboard!$C$10))</f>
        <v>0</v>
      </c>
      <c r="AA2518" s="37" t="n">
        <f aca="false">IF($N2518="",0,IF(COUNTIF(Dashboard!$C$13:$C$22,$N2518)&gt;0,1,0))</f>
        <v>0</v>
      </c>
      <c r="AB2518" s="37" t="str">
        <f aca="false">IF($N2518="","",IF(COUNTIF($N$8:$N2518,$N2518)=1,MAX($AB$7:$AB2517)+1,""))</f>
        <v/>
      </c>
    </row>
    <row r="2519" customFormat="false" ht="15" hidden="false" customHeight="false" outlineLevel="0" collapsed="false">
      <c r="L2519" s="37" t="str">
        <f aca="false">IF(INDEX($A2519:$J2519,$L$6)&lt;&gt;"",TRIM(LEFT(INDEX($A2519:$J2519,$L$6),FIND("(",INDEX($A2519:$J2519,$L$6)&amp;"(")-1)),L2518)</f>
        <v>Building Value Proposition</v>
      </c>
      <c r="M2519" s="37" t="str">
        <f aca="false">IF(INDEX($A2519:$J2519,$M$6)="","",INDEX($A2519:$J2519,$M$6)&amp;"")</f>
        <v/>
      </c>
      <c r="N2519" s="37" t="str">
        <f aca="false">IF($M2519="","",TRIM(INDEX($A2519:$J2519,$N$6)&amp;""))</f>
        <v/>
      </c>
      <c r="O2519" s="37" t="str">
        <f aca="false">IF($M2519="","",TRIM(INDEX($A2519:$J2519,$O$6)&amp;""))</f>
        <v/>
      </c>
      <c r="P2519" s="37" t="str">
        <f aca="false">IF($M2519="","",IFERROR(IF(INDEX(Settings!$B$41:$B$50,MATCH(O2519,Settings!$A$41:$A$50,0))&amp;""="","UNMAPPED",INDEX(Settings!$B$41:$B$50,MATCH(O2519,Settings!$A$41:$A$50,0))&amp;""),"UNMAPPED"))</f>
        <v/>
      </c>
      <c r="Q2519" s="38" t="n">
        <f aca="false">IF($M2519="",0,N(INDEX($A2519:$J2519,$Q$6)))</f>
        <v>0</v>
      </c>
      <c r="R2519" s="39" t="str">
        <f aca="false">IF($M2519="","",INDEX($A2519:$J2519,$R$6))</f>
        <v/>
      </c>
      <c r="S2519" s="37" t="str">
        <f aca="false">IF($M2519="","",IFERROR(INDEX(Settings!$B$27:$B$36,MATCH(L2519,Settings!$A$27:$A$36,0))&amp;"","UNMAPPED"))</f>
        <v/>
      </c>
      <c r="T2519" s="37" t="str">
        <f aca="false">IF($M2519="","",IF(NOT(ISNUMBER(R2519)),"NO DATE",IF(S2519="Won",IF(R2519&gt;Settings!$B$5,"Backlog","Delivered"),IF(S2519="Open",IF(R2519&gt;Settings!$B$5,"Pipeline","Overdue"),IF(S2519="Lost","Lost","UNMAPPED")))))</f>
        <v/>
      </c>
      <c r="U2519" s="40" t="n">
        <f aca="false">IF(T2519="Backlog",1,IF(OR(T2519="Pipeline",T2519="Overdue"),N(INDEX(Settings!$C$27:$C$36,MATCH(L2519,Settings!$A$27:$A$36,0))),0))</f>
        <v>0</v>
      </c>
      <c r="V2519" s="38" t="n">
        <f aca="false">Q2519*U2519</f>
        <v>0</v>
      </c>
      <c r="W2519" s="41" t="str">
        <f aca="false">IF($M2519="","",IF(T2519="Overdue",IF(Settings!$B$8="Yes",Settings!$B$7,""),IF(ISNUMBER(R2519),DATE(YEAR(R2519),MONTH(R2519),1),"")))</f>
        <v/>
      </c>
      <c r="X2519" s="38" t="n">
        <f aca="false">IF(AND(OR(T2519="Backlog",T2519="Pipeline",T2519="Overdue"),ISNUMBER(W2519)),IF(W2519&lt;=Settings!$B$6,V2519,0),0)</f>
        <v>0</v>
      </c>
      <c r="Y2519" s="38" t="n">
        <f aca="false">IF(AND(OR(T2519="Backlog",T2519="Pipeline",T2519="Overdue"),ISNUMBER(W2519)),IF(W2519&lt;=Settings!$B$6,Q2519,0),0)</f>
        <v>0</v>
      </c>
      <c r="Z2519" s="38" t="n">
        <f aca="false">IF(Y2519=0,0,IF(T2519="Backlog",Q2519,Q2519*Dashboard!$C$10))</f>
        <v>0</v>
      </c>
      <c r="AA2519" s="37" t="n">
        <f aca="false">IF($N2519="",0,IF(COUNTIF(Dashboard!$C$13:$C$22,$N2519)&gt;0,1,0))</f>
        <v>0</v>
      </c>
      <c r="AB2519" s="37" t="str">
        <f aca="false">IF($N2519="","",IF(COUNTIF($N$8:$N2519,$N2519)=1,MAX($AB$7:$AB2518)+1,""))</f>
        <v/>
      </c>
    </row>
    <row r="2520" customFormat="false" ht="15" hidden="false" customHeight="false" outlineLevel="0" collapsed="false">
      <c r="L2520" s="37" t="str">
        <f aca="false">IF(INDEX($A2520:$J2520,$L$6)&lt;&gt;"",TRIM(LEFT(INDEX($A2520:$J2520,$L$6),FIND("(",INDEX($A2520:$J2520,$L$6)&amp;"(")-1)),L2519)</f>
        <v>Building Value Proposition</v>
      </c>
      <c r="M2520" s="37" t="str">
        <f aca="false">IF(INDEX($A2520:$J2520,$M$6)="","",INDEX($A2520:$J2520,$M$6)&amp;"")</f>
        <v/>
      </c>
      <c r="N2520" s="37" t="str">
        <f aca="false">IF($M2520="","",TRIM(INDEX($A2520:$J2520,$N$6)&amp;""))</f>
        <v/>
      </c>
      <c r="O2520" s="37" t="str">
        <f aca="false">IF($M2520="","",TRIM(INDEX($A2520:$J2520,$O$6)&amp;""))</f>
        <v/>
      </c>
      <c r="P2520" s="37" t="str">
        <f aca="false">IF($M2520="","",IFERROR(IF(INDEX(Settings!$B$41:$B$50,MATCH(O2520,Settings!$A$41:$A$50,0))&amp;""="","UNMAPPED",INDEX(Settings!$B$41:$B$50,MATCH(O2520,Settings!$A$41:$A$50,0))&amp;""),"UNMAPPED"))</f>
        <v/>
      </c>
      <c r="Q2520" s="38" t="n">
        <f aca="false">IF($M2520="",0,N(INDEX($A2520:$J2520,$Q$6)))</f>
        <v>0</v>
      </c>
      <c r="R2520" s="39" t="str">
        <f aca="false">IF($M2520="","",INDEX($A2520:$J2520,$R$6))</f>
        <v/>
      </c>
      <c r="S2520" s="37" t="str">
        <f aca="false">IF($M2520="","",IFERROR(INDEX(Settings!$B$27:$B$36,MATCH(L2520,Settings!$A$27:$A$36,0))&amp;"","UNMAPPED"))</f>
        <v/>
      </c>
      <c r="T2520" s="37" t="str">
        <f aca="false">IF($M2520="","",IF(NOT(ISNUMBER(R2520)),"NO DATE",IF(S2520="Won",IF(R2520&gt;Settings!$B$5,"Backlog","Delivered"),IF(S2520="Open",IF(R2520&gt;Settings!$B$5,"Pipeline","Overdue"),IF(S2520="Lost","Lost","UNMAPPED")))))</f>
        <v/>
      </c>
      <c r="U2520" s="40" t="n">
        <f aca="false">IF(T2520="Backlog",1,IF(OR(T2520="Pipeline",T2520="Overdue"),N(INDEX(Settings!$C$27:$C$36,MATCH(L2520,Settings!$A$27:$A$36,0))),0))</f>
        <v>0</v>
      </c>
      <c r="V2520" s="38" t="n">
        <f aca="false">Q2520*U2520</f>
        <v>0</v>
      </c>
      <c r="W2520" s="41" t="str">
        <f aca="false">IF($M2520="","",IF(T2520="Overdue",IF(Settings!$B$8="Yes",Settings!$B$7,""),IF(ISNUMBER(R2520),DATE(YEAR(R2520),MONTH(R2520),1),"")))</f>
        <v/>
      </c>
      <c r="X2520" s="38" t="n">
        <f aca="false">IF(AND(OR(T2520="Backlog",T2520="Pipeline",T2520="Overdue"),ISNUMBER(W2520)),IF(W2520&lt;=Settings!$B$6,V2520,0),0)</f>
        <v>0</v>
      </c>
      <c r="Y2520" s="38" t="n">
        <f aca="false">IF(AND(OR(T2520="Backlog",T2520="Pipeline",T2520="Overdue"),ISNUMBER(W2520)),IF(W2520&lt;=Settings!$B$6,Q2520,0),0)</f>
        <v>0</v>
      </c>
      <c r="Z2520" s="38" t="n">
        <f aca="false">IF(Y2520=0,0,IF(T2520="Backlog",Q2520,Q2520*Dashboard!$C$10))</f>
        <v>0</v>
      </c>
      <c r="AA2520" s="37" t="n">
        <f aca="false">IF($N2520="",0,IF(COUNTIF(Dashboard!$C$13:$C$22,$N2520)&gt;0,1,0))</f>
        <v>0</v>
      </c>
      <c r="AB2520" s="37" t="str">
        <f aca="false">IF($N2520="","",IF(COUNTIF($N$8:$N2520,$N2520)=1,MAX($AB$7:$AB2519)+1,""))</f>
        <v/>
      </c>
    </row>
    <row r="2521" customFormat="false" ht="15" hidden="false" customHeight="false" outlineLevel="0" collapsed="false">
      <c r="L2521" s="37" t="str">
        <f aca="false">IF(INDEX($A2521:$J2521,$L$6)&lt;&gt;"",TRIM(LEFT(INDEX($A2521:$J2521,$L$6),FIND("(",INDEX($A2521:$J2521,$L$6)&amp;"(")-1)),L2520)</f>
        <v>Building Value Proposition</v>
      </c>
      <c r="M2521" s="37" t="str">
        <f aca="false">IF(INDEX($A2521:$J2521,$M$6)="","",INDEX($A2521:$J2521,$M$6)&amp;"")</f>
        <v/>
      </c>
      <c r="N2521" s="37" t="str">
        <f aca="false">IF($M2521="","",TRIM(INDEX($A2521:$J2521,$N$6)&amp;""))</f>
        <v/>
      </c>
      <c r="O2521" s="37" t="str">
        <f aca="false">IF($M2521="","",TRIM(INDEX($A2521:$J2521,$O$6)&amp;""))</f>
        <v/>
      </c>
      <c r="P2521" s="37" t="str">
        <f aca="false">IF($M2521="","",IFERROR(IF(INDEX(Settings!$B$41:$B$50,MATCH(O2521,Settings!$A$41:$A$50,0))&amp;""="","UNMAPPED",INDEX(Settings!$B$41:$B$50,MATCH(O2521,Settings!$A$41:$A$50,0))&amp;""),"UNMAPPED"))</f>
        <v/>
      </c>
      <c r="Q2521" s="38" t="n">
        <f aca="false">IF($M2521="",0,N(INDEX($A2521:$J2521,$Q$6)))</f>
        <v>0</v>
      </c>
      <c r="R2521" s="39" t="str">
        <f aca="false">IF($M2521="","",INDEX($A2521:$J2521,$R$6))</f>
        <v/>
      </c>
      <c r="S2521" s="37" t="str">
        <f aca="false">IF($M2521="","",IFERROR(INDEX(Settings!$B$27:$B$36,MATCH(L2521,Settings!$A$27:$A$36,0))&amp;"","UNMAPPED"))</f>
        <v/>
      </c>
      <c r="T2521" s="37" t="str">
        <f aca="false">IF($M2521="","",IF(NOT(ISNUMBER(R2521)),"NO DATE",IF(S2521="Won",IF(R2521&gt;Settings!$B$5,"Backlog","Delivered"),IF(S2521="Open",IF(R2521&gt;Settings!$B$5,"Pipeline","Overdue"),IF(S2521="Lost","Lost","UNMAPPED")))))</f>
        <v/>
      </c>
      <c r="U2521" s="40" t="n">
        <f aca="false">IF(T2521="Backlog",1,IF(OR(T2521="Pipeline",T2521="Overdue"),N(INDEX(Settings!$C$27:$C$36,MATCH(L2521,Settings!$A$27:$A$36,0))),0))</f>
        <v>0</v>
      </c>
      <c r="V2521" s="38" t="n">
        <f aca="false">Q2521*U2521</f>
        <v>0</v>
      </c>
      <c r="W2521" s="41" t="str">
        <f aca="false">IF($M2521="","",IF(T2521="Overdue",IF(Settings!$B$8="Yes",Settings!$B$7,""),IF(ISNUMBER(R2521),DATE(YEAR(R2521),MONTH(R2521),1),"")))</f>
        <v/>
      </c>
      <c r="X2521" s="38" t="n">
        <f aca="false">IF(AND(OR(T2521="Backlog",T2521="Pipeline",T2521="Overdue"),ISNUMBER(W2521)),IF(W2521&lt;=Settings!$B$6,V2521,0),0)</f>
        <v>0</v>
      </c>
      <c r="Y2521" s="38" t="n">
        <f aca="false">IF(AND(OR(T2521="Backlog",T2521="Pipeline",T2521="Overdue"),ISNUMBER(W2521)),IF(W2521&lt;=Settings!$B$6,Q2521,0),0)</f>
        <v>0</v>
      </c>
      <c r="Z2521" s="38" t="n">
        <f aca="false">IF(Y2521=0,0,IF(T2521="Backlog",Q2521,Q2521*Dashboard!$C$10))</f>
        <v>0</v>
      </c>
      <c r="AA2521" s="37" t="n">
        <f aca="false">IF($N2521="",0,IF(COUNTIF(Dashboard!$C$13:$C$22,$N2521)&gt;0,1,0))</f>
        <v>0</v>
      </c>
      <c r="AB2521" s="37" t="str">
        <f aca="false">IF($N2521="","",IF(COUNTIF($N$8:$N2521,$N2521)=1,MAX($AB$7:$AB2520)+1,""))</f>
        <v/>
      </c>
    </row>
    <row r="2522" customFormat="false" ht="15" hidden="false" customHeight="false" outlineLevel="0" collapsed="false">
      <c r="L2522" s="37" t="str">
        <f aca="false">IF(INDEX($A2522:$J2522,$L$6)&lt;&gt;"",TRIM(LEFT(INDEX($A2522:$J2522,$L$6),FIND("(",INDEX($A2522:$J2522,$L$6)&amp;"(")-1)),L2521)</f>
        <v>Building Value Proposition</v>
      </c>
      <c r="M2522" s="37" t="str">
        <f aca="false">IF(INDEX($A2522:$J2522,$M$6)="","",INDEX($A2522:$J2522,$M$6)&amp;"")</f>
        <v/>
      </c>
      <c r="N2522" s="37" t="str">
        <f aca="false">IF($M2522="","",TRIM(INDEX($A2522:$J2522,$N$6)&amp;""))</f>
        <v/>
      </c>
      <c r="O2522" s="37" t="str">
        <f aca="false">IF($M2522="","",TRIM(INDEX($A2522:$J2522,$O$6)&amp;""))</f>
        <v/>
      </c>
      <c r="P2522" s="37" t="str">
        <f aca="false">IF($M2522="","",IFERROR(IF(INDEX(Settings!$B$41:$B$50,MATCH(O2522,Settings!$A$41:$A$50,0))&amp;""="","UNMAPPED",INDEX(Settings!$B$41:$B$50,MATCH(O2522,Settings!$A$41:$A$50,0))&amp;""),"UNMAPPED"))</f>
        <v/>
      </c>
      <c r="Q2522" s="38" t="n">
        <f aca="false">IF($M2522="",0,N(INDEX($A2522:$J2522,$Q$6)))</f>
        <v>0</v>
      </c>
      <c r="R2522" s="39" t="str">
        <f aca="false">IF($M2522="","",INDEX($A2522:$J2522,$R$6))</f>
        <v/>
      </c>
      <c r="S2522" s="37" t="str">
        <f aca="false">IF($M2522="","",IFERROR(INDEX(Settings!$B$27:$B$36,MATCH(L2522,Settings!$A$27:$A$36,0))&amp;"","UNMAPPED"))</f>
        <v/>
      </c>
      <c r="T2522" s="37" t="str">
        <f aca="false">IF($M2522="","",IF(NOT(ISNUMBER(R2522)),"NO DATE",IF(S2522="Won",IF(R2522&gt;Settings!$B$5,"Backlog","Delivered"),IF(S2522="Open",IF(R2522&gt;Settings!$B$5,"Pipeline","Overdue"),IF(S2522="Lost","Lost","UNMAPPED")))))</f>
        <v/>
      </c>
      <c r="U2522" s="40" t="n">
        <f aca="false">IF(T2522="Backlog",1,IF(OR(T2522="Pipeline",T2522="Overdue"),N(INDEX(Settings!$C$27:$C$36,MATCH(L2522,Settings!$A$27:$A$36,0))),0))</f>
        <v>0</v>
      </c>
      <c r="V2522" s="38" t="n">
        <f aca="false">Q2522*U2522</f>
        <v>0</v>
      </c>
      <c r="W2522" s="41" t="str">
        <f aca="false">IF($M2522="","",IF(T2522="Overdue",IF(Settings!$B$8="Yes",Settings!$B$7,""),IF(ISNUMBER(R2522),DATE(YEAR(R2522),MONTH(R2522),1),"")))</f>
        <v/>
      </c>
      <c r="X2522" s="38" t="n">
        <f aca="false">IF(AND(OR(T2522="Backlog",T2522="Pipeline",T2522="Overdue"),ISNUMBER(W2522)),IF(W2522&lt;=Settings!$B$6,V2522,0),0)</f>
        <v>0</v>
      </c>
      <c r="Y2522" s="38" t="n">
        <f aca="false">IF(AND(OR(T2522="Backlog",T2522="Pipeline",T2522="Overdue"),ISNUMBER(W2522)),IF(W2522&lt;=Settings!$B$6,Q2522,0),0)</f>
        <v>0</v>
      </c>
      <c r="Z2522" s="38" t="n">
        <f aca="false">IF(Y2522=0,0,IF(T2522="Backlog",Q2522,Q2522*Dashboard!$C$10))</f>
        <v>0</v>
      </c>
      <c r="AA2522" s="37" t="n">
        <f aca="false">IF($N2522="",0,IF(COUNTIF(Dashboard!$C$13:$C$22,$N2522)&gt;0,1,0))</f>
        <v>0</v>
      </c>
      <c r="AB2522" s="37" t="str">
        <f aca="false">IF($N2522="","",IF(COUNTIF($N$8:$N2522,$N2522)=1,MAX($AB$7:$AB2521)+1,""))</f>
        <v/>
      </c>
    </row>
    <row r="2523" customFormat="false" ht="15" hidden="false" customHeight="false" outlineLevel="0" collapsed="false">
      <c r="L2523" s="37" t="str">
        <f aca="false">IF(INDEX($A2523:$J2523,$L$6)&lt;&gt;"",TRIM(LEFT(INDEX($A2523:$J2523,$L$6),FIND("(",INDEX($A2523:$J2523,$L$6)&amp;"(")-1)),L2522)</f>
        <v>Building Value Proposition</v>
      </c>
      <c r="M2523" s="37" t="str">
        <f aca="false">IF(INDEX($A2523:$J2523,$M$6)="","",INDEX($A2523:$J2523,$M$6)&amp;"")</f>
        <v/>
      </c>
      <c r="N2523" s="37" t="str">
        <f aca="false">IF($M2523="","",TRIM(INDEX($A2523:$J2523,$N$6)&amp;""))</f>
        <v/>
      </c>
      <c r="O2523" s="37" t="str">
        <f aca="false">IF($M2523="","",TRIM(INDEX($A2523:$J2523,$O$6)&amp;""))</f>
        <v/>
      </c>
      <c r="P2523" s="37" t="str">
        <f aca="false">IF($M2523="","",IFERROR(IF(INDEX(Settings!$B$41:$B$50,MATCH(O2523,Settings!$A$41:$A$50,0))&amp;""="","UNMAPPED",INDEX(Settings!$B$41:$B$50,MATCH(O2523,Settings!$A$41:$A$50,0))&amp;""),"UNMAPPED"))</f>
        <v/>
      </c>
      <c r="Q2523" s="38" t="n">
        <f aca="false">IF($M2523="",0,N(INDEX($A2523:$J2523,$Q$6)))</f>
        <v>0</v>
      </c>
      <c r="R2523" s="39" t="str">
        <f aca="false">IF($M2523="","",INDEX($A2523:$J2523,$R$6))</f>
        <v/>
      </c>
      <c r="S2523" s="37" t="str">
        <f aca="false">IF($M2523="","",IFERROR(INDEX(Settings!$B$27:$B$36,MATCH(L2523,Settings!$A$27:$A$36,0))&amp;"","UNMAPPED"))</f>
        <v/>
      </c>
      <c r="T2523" s="37" t="str">
        <f aca="false">IF($M2523="","",IF(NOT(ISNUMBER(R2523)),"NO DATE",IF(S2523="Won",IF(R2523&gt;Settings!$B$5,"Backlog","Delivered"),IF(S2523="Open",IF(R2523&gt;Settings!$B$5,"Pipeline","Overdue"),IF(S2523="Lost","Lost","UNMAPPED")))))</f>
        <v/>
      </c>
      <c r="U2523" s="40" t="n">
        <f aca="false">IF(T2523="Backlog",1,IF(OR(T2523="Pipeline",T2523="Overdue"),N(INDEX(Settings!$C$27:$C$36,MATCH(L2523,Settings!$A$27:$A$36,0))),0))</f>
        <v>0</v>
      </c>
      <c r="V2523" s="38" t="n">
        <f aca="false">Q2523*U2523</f>
        <v>0</v>
      </c>
      <c r="W2523" s="41" t="str">
        <f aca="false">IF($M2523="","",IF(T2523="Overdue",IF(Settings!$B$8="Yes",Settings!$B$7,""),IF(ISNUMBER(R2523),DATE(YEAR(R2523),MONTH(R2523),1),"")))</f>
        <v/>
      </c>
      <c r="X2523" s="38" t="n">
        <f aca="false">IF(AND(OR(T2523="Backlog",T2523="Pipeline",T2523="Overdue"),ISNUMBER(W2523)),IF(W2523&lt;=Settings!$B$6,V2523,0),0)</f>
        <v>0</v>
      </c>
      <c r="Y2523" s="38" t="n">
        <f aca="false">IF(AND(OR(T2523="Backlog",T2523="Pipeline",T2523="Overdue"),ISNUMBER(W2523)),IF(W2523&lt;=Settings!$B$6,Q2523,0),0)</f>
        <v>0</v>
      </c>
      <c r="Z2523" s="38" t="n">
        <f aca="false">IF(Y2523=0,0,IF(T2523="Backlog",Q2523,Q2523*Dashboard!$C$10))</f>
        <v>0</v>
      </c>
      <c r="AA2523" s="37" t="n">
        <f aca="false">IF($N2523="",0,IF(COUNTIF(Dashboard!$C$13:$C$22,$N2523)&gt;0,1,0))</f>
        <v>0</v>
      </c>
      <c r="AB2523" s="37" t="str">
        <f aca="false">IF($N2523="","",IF(COUNTIF($N$8:$N2523,$N2523)=1,MAX($AB$7:$AB2522)+1,""))</f>
        <v/>
      </c>
    </row>
    <row r="2524" customFormat="false" ht="15" hidden="false" customHeight="false" outlineLevel="0" collapsed="false">
      <c r="L2524" s="37" t="str">
        <f aca="false">IF(INDEX($A2524:$J2524,$L$6)&lt;&gt;"",TRIM(LEFT(INDEX($A2524:$J2524,$L$6),FIND("(",INDEX($A2524:$J2524,$L$6)&amp;"(")-1)),L2523)</f>
        <v>Building Value Proposition</v>
      </c>
      <c r="M2524" s="37" t="str">
        <f aca="false">IF(INDEX($A2524:$J2524,$M$6)="","",INDEX($A2524:$J2524,$M$6)&amp;"")</f>
        <v/>
      </c>
      <c r="N2524" s="37" t="str">
        <f aca="false">IF($M2524="","",TRIM(INDEX($A2524:$J2524,$N$6)&amp;""))</f>
        <v/>
      </c>
      <c r="O2524" s="37" t="str">
        <f aca="false">IF($M2524="","",TRIM(INDEX($A2524:$J2524,$O$6)&amp;""))</f>
        <v/>
      </c>
      <c r="P2524" s="37" t="str">
        <f aca="false">IF($M2524="","",IFERROR(IF(INDEX(Settings!$B$41:$B$50,MATCH(O2524,Settings!$A$41:$A$50,0))&amp;""="","UNMAPPED",INDEX(Settings!$B$41:$B$50,MATCH(O2524,Settings!$A$41:$A$50,0))&amp;""),"UNMAPPED"))</f>
        <v/>
      </c>
      <c r="Q2524" s="38" t="n">
        <f aca="false">IF($M2524="",0,N(INDEX($A2524:$J2524,$Q$6)))</f>
        <v>0</v>
      </c>
      <c r="R2524" s="39" t="str">
        <f aca="false">IF($M2524="","",INDEX($A2524:$J2524,$R$6))</f>
        <v/>
      </c>
      <c r="S2524" s="37" t="str">
        <f aca="false">IF($M2524="","",IFERROR(INDEX(Settings!$B$27:$B$36,MATCH(L2524,Settings!$A$27:$A$36,0))&amp;"","UNMAPPED"))</f>
        <v/>
      </c>
      <c r="T2524" s="37" t="str">
        <f aca="false">IF($M2524="","",IF(NOT(ISNUMBER(R2524)),"NO DATE",IF(S2524="Won",IF(R2524&gt;Settings!$B$5,"Backlog","Delivered"),IF(S2524="Open",IF(R2524&gt;Settings!$B$5,"Pipeline","Overdue"),IF(S2524="Lost","Lost","UNMAPPED")))))</f>
        <v/>
      </c>
      <c r="U2524" s="40" t="n">
        <f aca="false">IF(T2524="Backlog",1,IF(OR(T2524="Pipeline",T2524="Overdue"),N(INDEX(Settings!$C$27:$C$36,MATCH(L2524,Settings!$A$27:$A$36,0))),0))</f>
        <v>0</v>
      </c>
      <c r="V2524" s="38" t="n">
        <f aca="false">Q2524*U2524</f>
        <v>0</v>
      </c>
      <c r="W2524" s="41" t="str">
        <f aca="false">IF($M2524="","",IF(T2524="Overdue",IF(Settings!$B$8="Yes",Settings!$B$7,""),IF(ISNUMBER(R2524),DATE(YEAR(R2524),MONTH(R2524),1),"")))</f>
        <v/>
      </c>
      <c r="X2524" s="38" t="n">
        <f aca="false">IF(AND(OR(T2524="Backlog",T2524="Pipeline",T2524="Overdue"),ISNUMBER(W2524)),IF(W2524&lt;=Settings!$B$6,V2524,0),0)</f>
        <v>0</v>
      </c>
      <c r="Y2524" s="38" t="n">
        <f aca="false">IF(AND(OR(T2524="Backlog",T2524="Pipeline",T2524="Overdue"),ISNUMBER(W2524)),IF(W2524&lt;=Settings!$B$6,Q2524,0),0)</f>
        <v>0</v>
      </c>
      <c r="Z2524" s="38" t="n">
        <f aca="false">IF(Y2524=0,0,IF(T2524="Backlog",Q2524,Q2524*Dashboard!$C$10))</f>
        <v>0</v>
      </c>
      <c r="AA2524" s="37" t="n">
        <f aca="false">IF($N2524="",0,IF(COUNTIF(Dashboard!$C$13:$C$22,$N2524)&gt;0,1,0))</f>
        <v>0</v>
      </c>
      <c r="AB2524" s="37" t="str">
        <f aca="false">IF($N2524="","",IF(COUNTIF($N$8:$N2524,$N2524)=1,MAX($AB$7:$AB2523)+1,""))</f>
        <v/>
      </c>
    </row>
    <row r="2525" customFormat="false" ht="15" hidden="false" customHeight="false" outlineLevel="0" collapsed="false">
      <c r="L2525" s="37" t="str">
        <f aca="false">IF(INDEX($A2525:$J2525,$L$6)&lt;&gt;"",TRIM(LEFT(INDEX($A2525:$J2525,$L$6),FIND("(",INDEX($A2525:$J2525,$L$6)&amp;"(")-1)),L2524)</f>
        <v>Building Value Proposition</v>
      </c>
      <c r="M2525" s="37" t="str">
        <f aca="false">IF(INDEX($A2525:$J2525,$M$6)="","",INDEX($A2525:$J2525,$M$6)&amp;"")</f>
        <v/>
      </c>
      <c r="N2525" s="37" t="str">
        <f aca="false">IF($M2525="","",TRIM(INDEX($A2525:$J2525,$N$6)&amp;""))</f>
        <v/>
      </c>
      <c r="O2525" s="37" t="str">
        <f aca="false">IF($M2525="","",TRIM(INDEX($A2525:$J2525,$O$6)&amp;""))</f>
        <v/>
      </c>
      <c r="P2525" s="37" t="str">
        <f aca="false">IF($M2525="","",IFERROR(IF(INDEX(Settings!$B$41:$B$50,MATCH(O2525,Settings!$A$41:$A$50,0))&amp;""="","UNMAPPED",INDEX(Settings!$B$41:$B$50,MATCH(O2525,Settings!$A$41:$A$50,0))&amp;""),"UNMAPPED"))</f>
        <v/>
      </c>
      <c r="Q2525" s="38" t="n">
        <f aca="false">IF($M2525="",0,N(INDEX($A2525:$J2525,$Q$6)))</f>
        <v>0</v>
      </c>
      <c r="R2525" s="39" t="str">
        <f aca="false">IF($M2525="","",INDEX($A2525:$J2525,$R$6))</f>
        <v/>
      </c>
      <c r="S2525" s="37" t="str">
        <f aca="false">IF($M2525="","",IFERROR(INDEX(Settings!$B$27:$B$36,MATCH(L2525,Settings!$A$27:$A$36,0))&amp;"","UNMAPPED"))</f>
        <v/>
      </c>
      <c r="T2525" s="37" t="str">
        <f aca="false">IF($M2525="","",IF(NOT(ISNUMBER(R2525)),"NO DATE",IF(S2525="Won",IF(R2525&gt;Settings!$B$5,"Backlog","Delivered"),IF(S2525="Open",IF(R2525&gt;Settings!$B$5,"Pipeline","Overdue"),IF(S2525="Lost","Lost","UNMAPPED")))))</f>
        <v/>
      </c>
      <c r="U2525" s="40" t="n">
        <f aca="false">IF(T2525="Backlog",1,IF(OR(T2525="Pipeline",T2525="Overdue"),N(INDEX(Settings!$C$27:$C$36,MATCH(L2525,Settings!$A$27:$A$36,0))),0))</f>
        <v>0</v>
      </c>
      <c r="V2525" s="38" t="n">
        <f aca="false">Q2525*U2525</f>
        <v>0</v>
      </c>
      <c r="W2525" s="41" t="str">
        <f aca="false">IF($M2525="","",IF(T2525="Overdue",IF(Settings!$B$8="Yes",Settings!$B$7,""),IF(ISNUMBER(R2525),DATE(YEAR(R2525),MONTH(R2525),1),"")))</f>
        <v/>
      </c>
      <c r="X2525" s="38" t="n">
        <f aca="false">IF(AND(OR(T2525="Backlog",T2525="Pipeline",T2525="Overdue"),ISNUMBER(W2525)),IF(W2525&lt;=Settings!$B$6,V2525,0),0)</f>
        <v>0</v>
      </c>
      <c r="Y2525" s="38" t="n">
        <f aca="false">IF(AND(OR(T2525="Backlog",T2525="Pipeline",T2525="Overdue"),ISNUMBER(W2525)),IF(W2525&lt;=Settings!$B$6,Q2525,0),0)</f>
        <v>0</v>
      </c>
      <c r="Z2525" s="38" t="n">
        <f aca="false">IF(Y2525=0,0,IF(T2525="Backlog",Q2525,Q2525*Dashboard!$C$10))</f>
        <v>0</v>
      </c>
      <c r="AA2525" s="37" t="n">
        <f aca="false">IF($N2525="",0,IF(COUNTIF(Dashboard!$C$13:$C$22,$N2525)&gt;0,1,0))</f>
        <v>0</v>
      </c>
      <c r="AB2525" s="37" t="str">
        <f aca="false">IF($N2525="","",IF(COUNTIF($N$8:$N2525,$N2525)=1,MAX($AB$7:$AB2524)+1,""))</f>
        <v/>
      </c>
    </row>
    <row r="2526" customFormat="false" ht="15" hidden="false" customHeight="false" outlineLevel="0" collapsed="false">
      <c r="L2526" s="37" t="str">
        <f aca="false">IF(INDEX($A2526:$J2526,$L$6)&lt;&gt;"",TRIM(LEFT(INDEX($A2526:$J2526,$L$6),FIND("(",INDEX($A2526:$J2526,$L$6)&amp;"(")-1)),L2525)</f>
        <v>Building Value Proposition</v>
      </c>
      <c r="M2526" s="37" t="str">
        <f aca="false">IF(INDEX($A2526:$J2526,$M$6)="","",INDEX($A2526:$J2526,$M$6)&amp;"")</f>
        <v/>
      </c>
      <c r="N2526" s="37" t="str">
        <f aca="false">IF($M2526="","",TRIM(INDEX($A2526:$J2526,$N$6)&amp;""))</f>
        <v/>
      </c>
      <c r="O2526" s="37" t="str">
        <f aca="false">IF($M2526="","",TRIM(INDEX($A2526:$J2526,$O$6)&amp;""))</f>
        <v/>
      </c>
      <c r="P2526" s="37" t="str">
        <f aca="false">IF($M2526="","",IFERROR(IF(INDEX(Settings!$B$41:$B$50,MATCH(O2526,Settings!$A$41:$A$50,0))&amp;""="","UNMAPPED",INDEX(Settings!$B$41:$B$50,MATCH(O2526,Settings!$A$41:$A$50,0))&amp;""),"UNMAPPED"))</f>
        <v/>
      </c>
      <c r="Q2526" s="38" t="n">
        <f aca="false">IF($M2526="",0,N(INDEX($A2526:$J2526,$Q$6)))</f>
        <v>0</v>
      </c>
      <c r="R2526" s="39" t="str">
        <f aca="false">IF($M2526="","",INDEX($A2526:$J2526,$R$6))</f>
        <v/>
      </c>
      <c r="S2526" s="37" t="str">
        <f aca="false">IF($M2526="","",IFERROR(INDEX(Settings!$B$27:$B$36,MATCH(L2526,Settings!$A$27:$A$36,0))&amp;"","UNMAPPED"))</f>
        <v/>
      </c>
      <c r="T2526" s="37" t="str">
        <f aca="false">IF($M2526="","",IF(NOT(ISNUMBER(R2526)),"NO DATE",IF(S2526="Won",IF(R2526&gt;Settings!$B$5,"Backlog","Delivered"),IF(S2526="Open",IF(R2526&gt;Settings!$B$5,"Pipeline","Overdue"),IF(S2526="Lost","Lost","UNMAPPED")))))</f>
        <v/>
      </c>
      <c r="U2526" s="40" t="n">
        <f aca="false">IF(T2526="Backlog",1,IF(OR(T2526="Pipeline",T2526="Overdue"),N(INDEX(Settings!$C$27:$C$36,MATCH(L2526,Settings!$A$27:$A$36,0))),0))</f>
        <v>0</v>
      </c>
      <c r="V2526" s="38" t="n">
        <f aca="false">Q2526*U2526</f>
        <v>0</v>
      </c>
      <c r="W2526" s="41" t="str">
        <f aca="false">IF($M2526="","",IF(T2526="Overdue",IF(Settings!$B$8="Yes",Settings!$B$7,""),IF(ISNUMBER(R2526),DATE(YEAR(R2526),MONTH(R2526),1),"")))</f>
        <v/>
      </c>
      <c r="X2526" s="38" t="n">
        <f aca="false">IF(AND(OR(T2526="Backlog",T2526="Pipeline",T2526="Overdue"),ISNUMBER(W2526)),IF(W2526&lt;=Settings!$B$6,V2526,0),0)</f>
        <v>0</v>
      </c>
      <c r="Y2526" s="38" t="n">
        <f aca="false">IF(AND(OR(T2526="Backlog",T2526="Pipeline",T2526="Overdue"),ISNUMBER(W2526)),IF(W2526&lt;=Settings!$B$6,Q2526,0),0)</f>
        <v>0</v>
      </c>
      <c r="Z2526" s="38" t="n">
        <f aca="false">IF(Y2526=0,0,IF(T2526="Backlog",Q2526,Q2526*Dashboard!$C$10))</f>
        <v>0</v>
      </c>
      <c r="AA2526" s="37" t="n">
        <f aca="false">IF($N2526="",0,IF(COUNTIF(Dashboard!$C$13:$C$22,$N2526)&gt;0,1,0))</f>
        <v>0</v>
      </c>
      <c r="AB2526" s="37" t="str">
        <f aca="false">IF($N2526="","",IF(COUNTIF($N$8:$N2526,$N2526)=1,MAX($AB$7:$AB2525)+1,""))</f>
        <v/>
      </c>
    </row>
    <row r="2527" customFormat="false" ht="15" hidden="false" customHeight="false" outlineLevel="0" collapsed="false">
      <c r="L2527" s="37" t="str">
        <f aca="false">IF(INDEX($A2527:$J2527,$L$6)&lt;&gt;"",TRIM(LEFT(INDEX($A2527:$J2527,$L$6),FIND("(",INDEX($A2527:$J2527,$L$6)&amp;"(")-1)),L2526)</f>
        <v>Building Value Proposition</v>
      </c>
      <c r="M2527" s="37" t="str">
        <f aca="false">IF(INDEX($A2527:$J2527,$M$6)="","",INDEX($A2527:$J2527,$M$6)&amp;"")</f>
        <v/>
      </c>
      <c r="N2527" s="37" t="str">
        <f aca="false">IF($M2527="","",TRIM(INDEX($A2527:$J2527,$N$6)&amp;""))</f>
        <v/>
      </c>
      <c r="O2527" s="37" t="str">
        <f aca="false">IF($M2527="","",TRIM(INDEX($A2527:$J2527,$O$6)&amp;""))</f>
        <v/>
      </c>
      <c r="P2527" s="37" t="str">
        <f aca="false">IF($M2527="","",IFERROR(IF(INDEX(Settings!$B$41:$B$50,MATCH(O2527,Settings!$A$41:$A$50,0))&amp;""="","UNMAPPED",INDEX(Settings!$B$41:$B$50,MATCH(O2527,Settings!$A$41:$A$50,0))&amp;""),"UNMAPPED"))</f>
        <v/>
      </c>
      <c r="Q2527" s="38" t="n">
        <f aca="false">IF($M2527="",0,N(INDEX($A2527:$J2527,$Q$6)))</f>
        <v>0</v>
      </c>
      <c r="R2527" s="39" t="str">
        <f aca="false">IF($M2527="","",INDEX($A2527:$J2527,$R$6))</f>
        <v/>
      </c>
      <c r="S2527" s="37" t="str">
        <f aca="false">IF($M2527="","",IFERROR(INDEX(Settings!$B$27:$B$36,MATCH(L2527,Settings!$A$27:$A$36,0))&amp;"","UNMAPPED"))</f>
        <v/>
      </c>
      <c r="T2527" s="37" t="str">
        <f aca="false">IF($M2527="","",IF(NOT(ISNUMBER(R2527)),"NO DATE",IF(S2527="Won",IF(R2527&gt;Settings!$B$5,"Backlog","Delivered"),IF(S2527="Open",IF(R2527&gt;Settings!$B$5,"Pipeline","Overdue"),IF(S2527="Lost","Lost","UNMAPPED")))))</f>
        <v/>
      </c>
      <c r="U2527" s="40" t="n">
        <f aca="false">IF(T2527="Backlog",1,IF(OR(T2527="Pipeline",T2527="Overdue"),N(INDEX(Settings!$C$27:$C$36,MATCH(L2527,Settings!$A$27:$A$36,0))),0))</f>
        <v>0</v>
      </c>
      <c r="V2527" s="38" t="n">
        <f aca="false">Q2527*U2527</f>
        <v>0</v>
      </c>
      <c r="W2527" s="41" t="str">
        <f aca="false">IF($M2527="","",IF(T2527="Overdue",IF(Settings!$B$8="Yes",Settings!$B$7,""),IF(ISNUMBER(R2527),DATE(YEAR(R2527),MONTH(R2527),1),"")))</f>
        <v/>
      </c>
      <c r="X2527" s="38" t="n">
        <f aca="false">IF(AND(OR(T2527="Backlog",T2527="Pipeline",T2527="Overdue"),ISNUMBER(W2527)),IF(W2527&lt;=Settings!$B$6,V2527,0),0)</f>
        <v>0</v>
      </c>
      <c r="Y2527" s="38" t="n">
        <f aca="false">IF(AND(OR(T2527="Backlog",T2527="Pipeline",T2527="Overdue"),ISNUMBER(W2527)),IF(W2527&lt;=Settings!$B$6,Q2527,0),0)</f>
        <v>0</v>
      </c>
      <c r="Z2527" s="38" t="n">
        <f aca="false">IF(Y2527=0,0,IF(T2527="Backlog",Q2527,Q2527*Dashboard!$C$10))</f>
        <v>0</v>
      </c>
      <c r="AA2527" s="37" t="n">
        <f aca="false">IF($N2527="",0,IF(COUNTIF(Dashboard!$C$13:$C$22,$N2527)&gt;0,1,0))</f>
        <v>0</v>
      </c>
      <c r="AB2527" s="37" t="str">
        <f aca="false">IF($N2527="","",IF(COUNTIF($N$8:$N2527,$N2527)=1,MAX($AB$7:$AB2526)+1,""))</f>
        <v/>
      </c>
    </row>
    <row r="2528" customFormat="false" ht="15" hidden="false" customHeight="false" outlineLevel="0" collapsed="false">
      <c r="L2528" s="37" t="str">
        <f aca="false">IF(INDEX($A2528:$J2528,$L$6)&lt;&gt;"",TRIM(LEFT(INDEX($A2528:$J2528,$L$6),FIND("(",INDEX($A2528:$J2528,$L$6)&amp;"(")-1)),L2527)</f>
        <v>Building Value Proposition</v>
      </c>
      <c r="M2528" s="37" t="str">
        <f aca="false">IF(INDEX($A2528:$J2528,$M$6)="","",INDEX($A2528:$J2528,$M$6)&amp;"")</f>
        <v/>
      </c>
      <c r="N2528" s="37" t="str">
        <f aca="false">IF($M2528="","",TRIM(INDEX($A2528:$J2528,$N$6)&amp;""))</f>
        <v/>
      </c>
      <c r="O2528" s="37" t="str">
        <f aca="false">IF($M2528="","",TRIM(INDEX($A2528:$J2528,$O$6)&amp;""))</f>
        <v/>
      </c>
      <c r="P2528" s="37" t="str">
        <f aca="false">IF($M2528="","",IFERROR(IF(INDEX(Settings!$B$41:$B$50,MATCH(O2528,Settings!$A$41:$A$50,0))&amp;""="","UNMAPPED",INDEX(Settings!$B$41:$B$50,MATCH(O2528,Settings!$A$41:$A$50,0))&amp;""),"UNMAPPED"))</f>
        <v/>
      </c>
      <c r="Q2528" s="38" t="n">
        <f aca="false">IF($M2528="",0,N(INDEX($A2528:$J2528,$Q$6)))</f>
        <v>0</v>
      </c>
      <c r="R2528" s="39" t="str">
        <f aca="false">IF($M2528="","",INDEX($A2528:$J2528,$R$6))</f>
        <v/>
      </c>
      <c r="S2528" s="37" t="str">
        <f aca="false">IF($M2528="","",IFERROR(INDEX(Settings!$B$27:$B$36,MATCH(L2528,Settings!$A$27:$A$36,0))&amp;"","UNMAPPED"))</f>
        <v/>
      </c>
      <c r="T2528" s="37" t="str">
        <f aca="false">IF($M2528="","",IF(NOT(ISNUMBER(R2528)),"NO DATE",IF(S2528="Won",IF(R2528&gt;Settings!$B$5,"Backlog","Delivered"),IF(S2528="Open",IF(R2528&gt;Settings!$B$5,"Pipeline","Overdue"),IF(S2528="Lost","Lost","UNMAPPED")))))</f>
        <v/>
      </c>
      <c r="U2528" s="40" t="n">
        <f aca="false">IF(T2528="Backlog",1,IF(OR(T2528="Pipeline",T2528="Overdue"),N(INDEX(Settings!$C$27:$C$36,MATCH(L2528,Settings!$A$27:$A$36,0))),0))</f>
        <v>0</v>
      </c>
      <c r="V2528" s="38" t="n">
        <f aca="false">Q2528*U2528</f>
        <v>0</v>
      </c>
      <c r="W2528" s="41" t="str">
        <f aca="false">IF($M2528="","",IF(T2528="Overdue",IF(Settings!$B$8="Yes",Settings!$B$7,""),IF(ISNUMBER(R2528),DATE(YEAR(R2528),MONTH(R2528),1),"")))</f>
        <v/>
      </c>
      <c r="X2528" s="38" t="n">
        <f aca="false">IF(AND(OR(T2528="Backlog",T2528="Pipeline",T2528="Overdue"),ISNUMBER(W2528)),IF(W2528&lt;=Settings!$B$6,V2528,0),0)</f>
        <v>0</v>
      </c>
      <c r="Y2528" s="38" t="n">
        <f aca="false">IF(AND(OR(T2528="Backlog",T2528="Pipeline",T2528="Overdue"),ISNUMBER(W2528)),IF(W2528&lt;=Settings!$B$6,Q2528,0),0)</f>
        <v>0</v>
      </c>
      <c r="Z2528" s="38" t="n">
        <f aca="false">IF(Y2528=0,0,IF(T2528="Backlog",Q2528,Q2528*Dashboard!$C$10))</f>
        <v>0</v>
      </c>
      <c r="AA2528" s="37" t="n">
        <f aca="false">IF($N2528="",0,IF(COUNTIF(Dashboard!$C$13:$C$22,$N2528)&gt;0,1,0))</f>
        <v>0</v>
      </c>
      <c r="AB2528" s="37" t="str">
        <f aca="false">IF($N2528="","",IF(COUNTIF($N$8:$N2528,$N2528)=1,MAX($AB$7:$AB2527)+1,""))</f>
        <v/>
      </c>
    </row>
    <row r="2529" customFormat="false" ht="15" hidden="false" customHeight="false" outlineLevel="0" collapsed="false">
      <c r="L2529" s="37" t="str">
        <f aca="false">IF(INDEX($A2529:$J2529,$L$6)&lt;&gt;"",TRIM(LEFT(INDEX($A2529:$J2529,$L$6),FIND("(",INDEX($A2529:$J2529,$L$6)&amp;"(")-1)),L2528)</f>
        <v>Building Value Proposition</v>
      </c>
      <c r="M2529" s="37" t="str">
        <f aca="false">IF(INDEX($A2529:$J2529,$M$6)="","",INDEX($A2529:$J2529,$M$6)&amp;"")</f>
        <v/>
      </c>
      <c r="N2529" s="37" t="str">
        <f aca="false">IF($M2529="","",TRIM(INDEX($A2529:$J2529,$N$6)&amp;""))</f>
        <v/>
      </c>
      <c r="O2529" s="37" t="str">
        <f aca="false">IF($M2529="","",TRIM(INDEX($A2529:$J2529,$O$6)&amp;""))</f>
        <v/>
      </c>
      <c r="P2529" s="37" t="str">
        <f aca="false">IF($M2529="","",IFERROR(IF(INDEX(Settings!$B$41:$B$50,MATCH(O2529,Settings!$A$41:$A$50,0))&amp;""="","UNMAPPED",INDEX(Settings!$B$41:$B$50,MATCH(O2529,Settings!$A$41:$A$50,0))&amp;""),"UNMAPPED"))</f>
        <v/>
      </c>
      <c r="Q2529" s="38" t="n">
        <f aca="false">IF($M2529="",0,N(INDEX($A2529:$J2529,$Q$6)))</f>
        <v>0</v>
      </c>
      <c r="R2529" s="39" t="str">
        <f aca="false">IF($M2529="","",INDEX($A2529:$J2529,$R$6))</f>
        <v/>
      </c>
      <c r="S2529" s="37" t="str">
        <f aca="false">IF($M2529="","",IFERROR(INDEX(Settings!$B$27:$B$36,MATCH(L2529,Settings!$A$27:$A$36,0))&amp;"","UNMAPPED"))</f>
        <v/>
      </c>
      <c r="T2529" s="37" t="str">
        <f aca="false">IF($M2529="","",IF(NOT(ISNUMBER(R2529)),"NO DATE",IF(S2529="Won",IF(R2529&gt;Settings!$B$5,"Backlog","Delivered"),IF(S2529="Open",IF(R2529&gt;Settings!$B$5,"Pipeline","Overdue"),IF(S2529="Lost","Lost","UNMAPPED")))))</f>
        <v/>
      </c>
      <c r="U2529" s="40" t="n">
        <f aca="false">IF(T2529="Backlog",1,IF(OR(T2529="Pipeline",T2529="Overdue"),N(INDEX(Settings!$C$27:$C$36,MATCH(L2529,Settings!$A$27:$A$36,0))),0))</f>
        <v>0</v>
      </c>
      <c r="V2529" s="38" t="n">
        <f aca="false">Q2529*U2529</f>
        <v>0</v>
      </c>
      <c r="W2529" s="41" t="str">
        <f aca="false">IF($M2529="","",IF(T2529="Overdue",IF(Settings!$B$8="Yes",Settings!$B$7,""),IF(ISNUMBER(R2529),DATE(YEAR(R2529),MONTH(R2529),1),"")))</f>
        <v/>
      </c>
      <c r="X2529" s="38" t="n">
        <f aca="false">IF(AND(OR(T2529="Backlog",T2529="Pipeline",T2529="Overdue"),ISNUMBER(W2529)),IF(W2529&lt;=Settings!$B$6,V2529,0),0)</f>
        <v>0</v>
      </c>
      <c r="Y2529" s="38" t="n">
        <f aca="false">IF(AND(OR(T2529="Backlog",T2529="Pipeline",T2529="Overdue"),ISNUMBER(W2529)),IF(W2529&lt;=Settings!$B$6,Q2529,0),0)</f>
        <v>0</v>
      </c>
      <c r="Z2529" s="38" t="n">
        <f aca="false">IF(Y2529=0,0,IF(T2529="Backlog",Q2529,Q2529*Dashboard!$C$10))</f>
        <v>0</v>
      </c>
      <c r="AA2529" s="37" t="n">
        <f aca="false">IF($N2529="",0,IF(COUNTIF(Dashboard!$C$13:$C$22,$N2529)&gt;0,1,0))</f>
        <v>0</v>
      </c>
      <c r="AB2529" s="37" t="str">
        <f aca="false">IF($N2529="","",IF(COUNTIF($N$8:$N2529,$N2529)=1,MAX($AB$7:$AB2528)+1,""))</f>
        <v/>
      </c>
    </row>
    <row r="2530" customFormat="false" ht="15" hidden="false" customHeight="false" outlineLevel="0" collapsed="false">
      <c r="L2530" s="37" t="str">
        <f aca="false">IF(INDEX($A2530:$J2530,$L$6)&lt;&gt;"",TRIM(LEFT(INDEX($A2530:$J2530,$L$6),FIND("(",INDEX($A2530:$J2530,$L$6)&amp;"(")-1)),L2529)</f>
        <v>Building Value Proposition</v>
      </c>
      <c r="M2530" s="37" t="str">
        <f aca="false">IF(INDEX($A2530:$J2530,$M$6)="","",INDEX($A2530:$J2530,$M$6)&amp;"")</f>
        <v/>
      </c>
      <c r="N2530" s="37" t="str">
        <f aca="false">IF($M2530="","",TRIM(INDEX($A2530:$J2530,$N$6)&amp;""))</f>
        <v/>
      </c>
      <c r="O2530" s="37" t="str">
        <f aca="false">IF($M2530="","",TRIM(INDEX($A2530:$J2530,$O$6)&amp;""))</f>
        <v/>
      </c>
      <c r="P2530" s="37" t="str">
        <f aca="false">IF($M2530="","",IFERROR(IF(INDEX(Settings!$B$41:$B$50,MATCH(O2530,Settings!$A$41:$A$50,0))&amp;""="","UNMAPPED",INDEX(Settings!$B$41:$B$50,MATCH(O2530,Settings!$A$41:$A$50,0))&amp;""),"UNMAPPED"))</f>
        <v/>
      </c>
      <c r="Q2530" s="38" t="n">
        <f aca="false">IF($M2530="",0,N(INDEX($A2530:$J2530,$Q$6)))</f>
        <v>0</v>
      </c>
      <c r="R2530" s="39" t="str">
        <f aca="false">IF($M2530="","",INDEX($A2530:$J2530,$R$6))</f>
        <v/>
      </c>
      <c r="S2530" s="37" t="str">
        <f aca="false">IF($M2530="","",IFERROR(INDEX(Settings!$B$27:$B$36,MATCH(L2530,Settings!$A$27:$A$36,0))&amp;"","UNMAPPED"))</f>
        <v/>
      </c>
      <c r="T2530" s="37" t="str">
        <f aca="false">IF($M2530="","",IF(NOT(ISNUMBER(R2530)),"NO DATE",IF(S2530="Won",IF(R2530&gt;Settings!$B$5,"Backlog","Delivered"),IF(S2530="Open",IF(R2530&gt;Settings!$B$5,"Pipeline","Overdue"),IF(S2530="Lost","Lost","UNMAPPED")))))</f>
        <v/>
      </c>
      <c r="U2530" s="40" t="n">
        <f aca="false">IF(T2530="Backlog",1,IF(OR(T2530="Pipeline",T2530="Overdue"),N(INDEX(Settings!$C$27:$C$36,MATCH(L2530,Settings!$A$27:$A$36,0))),0))</f>
        <v>0</v>
      </c>
      <c r="V2530" s="38" t="n">
        <f aca="false">Q2530*U2530</f>
        <v>0</v>
      </c>
      <c r="W2530" s="41" t="str">
        <f aca="false">IF($M2530="","",IF(T2530="Overdue",IF(Settings!$B$8="Yes",Settings!$B$7,""),IF(ISNUMBER(R2530),DATE(YEAR(R2530),MONTH(R2530),1),"")))</f>
        <v/>
      </c>
      <c r="X2530" s="38" t="n">
        <f aca="false">IF(AND(OR(T2530="Backlog",T2530="Pipeline",T2530="Overdue"),ISNUMBER(W2530)),IF(W2530&lt;=Settings!$B$6,V2530,0),0)</f>
        <v>0</v>
      </c>
      <c r="Y2530" s="38" t="n">
        <f aca="false">IF(AND(OR(T2530="Backlog",T2530="Pipeline",T2530="Overdue"),ISNUMBER(W2530)),IF(W2530&lt;=Settings!$B$6,Q2530,0),0)</f>
        <v>0</v>
      </c>
      <c r="Z2530" s="38" t="n">
        <f aca="false">IF(Y2530=0,0,IF(T2530="Backlog",Q2530,Q2530*Dashboard!$C$10))</f>
        <v>0</v>
      </c>
      <c r="AA2530" s="37" t="n">
        <f aca="false">IF($N2530="",0,IF(COUNTIF(Dashboard!$C$13:$C$22,$N2530)&gt;0,1,0))</f>
        <v>0</v>
      </c>
      <c r="AB2530" s="37" t="str">
        <f aca="false">IF($N2530="","",IF(COUNTIF($N$8:$N2530,$N2530)=1,MAX($AB$7:$AB2529)+1,""))</f>
        <v/>
      </c>
    </row>
    <row r="2531" customFormat="false" ht="15" hidden="false" customHeight="false" outlineLevel="0" collapsed="false">
      <c r="L2531" s="37" t="str">
        <f aca="false">IF(INDEX($A2531:$J2531,$L$6)&lt;&gt;"",TRIM(LEFT(INDEX($A2531:$J2531,$L$6),FIND("(",INDEX($A2531:$J2531,$L$6)&amp;"(")-1)),L2530)</f>
        <v>Building Value Proposition</v>
      </c>
      <c r="M2531" s="37" t="str">
        <f aca="false">IF(INDEX($A2531:$J2531,$M$6)="","",INDEX($A2531:$J2531,$M$6)&amp;"")</f>
        <v/>
      </c>
      <c r="N2531" s="37" t="str">
        <f aca="false">IF($M2531="","",TRIM(INDEX($A2531:$J2531,$N$6)&amp;""))</f>
        <v/>
      </c>
      <c r="O2531" s="37" t="str">
        <f aca="false">IF($M2531="","",TRIM(INDEX($A2531:$J2531,$O$6)&amp;""))</f>
        <v/>
      </c>
      <c r="P2531" s="37" t="str">
        <f aca="false">IF($M2531="","",IFERROR(IF(INDEX(Settings!$B$41:$B$50,MATCH(O2531,Settings!$A$41:$A$50,0))&amp;""="","UNMAPPED",INDEX(Settings!$B$41:$B$50,MATCH(O2531,Settings!$A$41:$A$50,0))&amp;""),"UNMAPPED"))</f>
        <v/>
      </c>
      <c r="Q2531" s="38" t="n">
        <f aca="false">IF($M2531="",0,N(INDEX($A2531:$J2531,$Q$6)))</f>
        <v>0</v>
      </c>
      <c r="R2531" s="39" t="str">
        <f aca="false">IF($M2531="","",INDEX($A2531:$J2531,$R$6))</f>
        <v/>
      </c>
      <c r="S2531" s="37" t="str">
        <f aca="false">IF($M2531="","",IFERROR(INDEX(Settings!$B$27:$B$36,MATCH(L2531,Settings!$A$27:$A$36,0))&amp;"","UNMAPPED"))</f>
        <v/>
      </c>
      <c r="T2531" s="37" t="str">
        <f aca="false">IF($M2531="","",IF(NOT(ISNUMBER(R2531)),"NO DATE",IF(S2531="Won",IF(R2531&gt;Settings!$B$5,"Backlog","Delivered"),IF(S2531="Open",IF(R2531&gt;Settings!$B$5,"Pipeline","Overdue"),IF(S2531="Lost","Lost","UNMAPPED")))))</f>
        <v/>
      </c>
      <c r="U2531" s="40" t="n">
        <f aca="false">IF(T2531="Backlog",1,IF(OR(T2531="Pipeline",T2531="Overdue"),N(INDEX(Settings!$C$27:$C$36,MATCH(L2531,Settings!$A$27:$A$36,0))),0))</f>
        <v>0</v>
      </c>
      <c r="V2531" s="38" t="n">
        <f aca="false">Q2531*U2531</f>
        <v>0</v>
      </c>
      <c r="W2531" s="41" t="str">
        <f aca="false">IF($M2531="","",IF(T2531="Overdue",IF(Settings!$B$8="Yes",Settings!$B$7,""),IF(ISNUMBER(R2531),DATE(YEAR(R2531),MONTH(R2531),1),"")))</f>
        <v/>
      </c>
      <c r="X2531" s="38" t="n">
        <f aca="false">IF(AND(OR(T2531="Backlog",T2531="Pipeline",T2531="Overdue"),ISNUMBER(W2531)),IF(W2531&lt;=Settings!$B$6,V2531,0),0)</f>
        <v>0</v>
      </c>
      <c r="Y2531" s="38" t="n">
        <f aca="false">IF(AND(OR(T2531="Backlog",T2531="Pipeline",T2531="Overdue"),ISNUMBER(W2531)),IF(W2531&lt;=Settings!$B$6,Q2531,0),0)</f>
        <v>0</v>
      </c>
      <c r="Z2531" s="38" t="n">
        <f aca="false">IF(Y2531=0,0,IF(T2531="Backlog",Q2531,Q2531*Dashboard!$C$10))</f>
        <v>0</v>
      </c>
      <c r="AA2531" s="37" t="n">
        <f aca="false">IF($N2531="",0,IF(COUNTIF(Dashboard!$C$13:$C$22,$N2531)&gt;0,1,0))</f>
        <v>0</v>
      </c>
      <c r="AB2531" s="37" t="str">
        <f aca="false">IF($N2531="","",IF(COUNTIF($N$8:$N2531,$N2531)=1,MAX($AB$7:$AB2530)+1,""))</f>
        <v/>
      </c>
    </row>
    <row r="2532" customFormat="false" ht="15" hidden="false" customHeight="false" outlineLevel="0" collapsed="false">
      <c r="L2532" s="37" t="str">
        <f aca="false">IF(INDEX($A2532:$J2532,$L$6)&lt;&gt;"",TRIM(LEFT(INDEX($A2532:$J2532,$L$6),FIND("(",INDEX($A2532:$J2532,$L$6)&amp;"(")-1)),L2531)</f>
        <v>Building Value Proposition</v>
      </c>
      <c r="M2532" s="37" t="str">
        <f aca="false">IF(INDEX($A2532:$J2532,$M$6)="","",INDEX($A2532:$J2532,$M$6)&amp;"")</f>
        <v/>
      </c>
      <c r="N2532" s="37" t="str">
        <f aca="false">IF($M2532="","",TRIM(INDEX($A2532:$J2532,$N$6)&amp;""))</f>
        <v/>
      </c>
      <c r="O2532" s="37" t="str">
        <f aca="false">IF($M2532="","",TRIM(INDEX($A2532:$J2532,$O$6)&amp;""))</f>
        <v/>
      </c>
      <c r="P2532" s="37" t="str">
        <f aca="false">IF($M2532="","",IFERROR(IF(INDEX(Settings!$B$41:$B$50,MATCH(O2532,Settings!$A$41:$A$50,0))&amp;""="","UNMAPPED",INDEX(Settings!$B$41:$B$50,MATCH(O2532,Settings!$A$41:$A$50,0))&amp;""),"UNMAPPED"))</f>
        <v/>
      </c>
      <c r="Q2532" s="38" t="n">
        <f aca="false">IF($M2532="",0,N(INDEX($A2532:$J2532,$Q$6)))</f>
        <v>0</v>
      </c>
      <c r="R2532" s="39" t="str">
        <f aca="false">IF($M2532="","",INDEX($A2532:$J2532,$R$6))</f>
        <v/>
      </c>
      <c r="S2532" s="37" t="str">
        <f aca="false">IF($M2532="","",IFERROR(INDEX(Settings!$B$27:$B$36,MATCH(L2532,Settings!$A$27:$A$36,0))&amp;"","UNMAPPED"))</f>
        <v/>
      </c>
      <c r="T2532" s="37" t="str">
        <f aca="false">IF($M2532="","",IF(NOT(ISNUMBER(R2532)),"NO DATE",IF(S2532="Won",IF(R2532&gt;Settings!$B$5,"Backlog","Delivered"),IF(S2532="Open",IF(R2532&gt;Settings!$B$5,"Pipeline","Overdue"),IF(S2532="Lost","Lost","UNMAPPED")))))</f>
        <v/>
      </c>
      <c r="U2532" s="40" t="n">
        <f aca="false">IF(T2532="Backlog",1,IF(OR(T2532="Pipeline",T2532="Overdue"),N(INDEX(Settings!$C$27:$C$36,MATCH(L2532,Settings!$A$27:$A$36,0))),0))</f>
        <v>0</v>
      </c>
      <c r="V2532" s="38" t="n">
        <f aca="false">Q2532*U2532</f>
        <v>0</v>
      </c>
      <c r="W2532" s="41" t="str">
        <f aca="false">IF($M2532="","",IF(T2532="Overdue",IF(Settings!$B$8="Yes",Settings!$B$7,""),IF(ISNUMBER(R2532),DATE(YEAR(R2532),MONTH(R2532),1),"")))</f>
        <v/>
      </c>
      <c r="X2532" s="38" t="n">
        <f aca="false">IF(AND(OR(T2532="Backlog",T2532="Pipeline",T2532="Overdue"),ISNUMBER(W2532)),IF(W2532&lt;=Settings!$B$6,V2532,0),0)</f>
        <v>0</v>
      </c>
      <c r="Y2532" s="38" t="n">
        <f aca="false">IF(AND(OR(T2532="Backlog",T2532="Pipeline",T2532="Overdue"),ISNUMBER(W2532)),IF(W2532&lt;=Settings!$B$6,Q2532,0),0)</f>
        <v>0</v>
      </c>
      <c r="Z2532" s="38" t="n">
        <f aca="false">IF(Y2532=0,0,IF(T2532="Backlog",Q2532,Q2532*Dashboard!$C$10))</f>
        <v>0</v>
      </c>
      <c r="AA2532" s="37" t="n">
        <f aca="false">IF($N2532="",0,IF(COUNTIF(Dashboard!$C$13:$C$22,$N2532)&gt;0,1,0))</f>
        <v>0</v>
      </c>
      <c r="AB2532" s="37" t="str">
        <f aca="false">IF($N2532="","",IF(COUNTIF($N$8:$N2532,$N2532)=1,MAX($AB$7:$AB2531)+1,""))</f>
        <v/>
      </c>
    </row>
    <row r="2533" customFormat="false" ht="15" hidden="false" customHeight="false" outlineLevel="0" collapsed="false">
      <c r="L2533" s="37" t="str">
        <f aca="false">IF(INDEX($A2533:$J2533,$L$6)&lt;&gt;"",TRIM(LEFT(INDEX($A2533:$J2533,$L$6),FIND("(",INDEX($A2533:$J2533,$L$6)&amp;"(")-1)),L2532)</f>
        <v>Building Value Proposition</v>
      </c>
      <c r="M2533" s="37" t="str">
        <f aca="false">IF(INDEX($A2533:$J2533,$M$6)="","",INDEX($A2533:$J2533,$M$6)&amp;"")</f>
        <v/>
      </c>
      <c r="N2533" s="37" t="str">
        <f aca="false">IF($M2533="","",TRIM(INDEX($A2533:$J2533,$N$6)&amp;""))</f>
        <v/>
      </c>
      <c r="O2533" s="37" t="str">
        <f aca="false">IF($M2533="","",TRIM(INDEX($A2533:$J2533,$O$6)&amp;""))</f>
        <v/>
      </c>
      <c r="P2533" s="37" t="str">
        <f aca="false">IF($M2533="","",IFERROR(IF(INDEX(Settings!$B$41:$B$50,MATCH(O2533,Settings!$A$41:$A$50,0))&amp;""="","UNMAPPED",INDEX(Settings!$B$41:$B$50,MATCH(O2533,Settings!$A$41:$A$50,0))&amp;""),"UNMAPPED"))</f>
        <v/>
      </c>
      <c r="Q2533" s="38" t="n">
        <f aca="false">IF($M2533="",0,N(INDEX($A2533:$J2533,$Q$6)))</f>
        <v>0</v>
      </c>
      <c r="R2533" s="39" t="str">
        <f aca="false">IF($M2533="","",INDEX($A2533:$J2533,$R$6))</f>
        <v/>
      </c>
      <c r="S2533" s="37" t="str">
        <f aca="false">IF($M2533="","",IFERROR(INDEX(Settings!$B$27:$B$36,MATCH(L2533,Settings!$A$27:$A$36,0))&amp;"","UNMAPPED"))</f>
        <v/>
      </c>
      <c r="T2533" s="37" t="str">
        <f aca="false">IF($M2533="","",IF(NOT(ISNUMBER(R2533)),"NO DATE",IF(S2533="Won",IF(R2533&gt;Settings!$B$5,"Backlog","Delivered"),IF(S2533="Open",IF(R2533&gt;Settings!$B$5,"Pipeline","Overdue"),IF(S2533="Lost","Lost","UNMAPPED")))))</f>
        <v/>
      </c>
      <c r="U2533" s="40" t="n">
        <f aca="false">IF(T2533="Backlog",1,IF(OR(T2533="Pipeline",T2533="Overdue"),N(INDEX(Settings!$C$27:$C$36,MATCH(L2533,Settings!$A$27:$A$36,0))),0))</f>
        <v>0</v>
      </c>
      <c r="V2533" s="38" t="n">
        <f aca="false">Q2533*U2533</f>
        <v>0</v>
      </c>
      <c r="W2533" s="41" t="str">
        <f aca="false">IF($M2533="","",IF(T2533="Overdue",IF(Settings!$B$8="Yes",Settings!$B$7,""),IF(ISNUMBER(R2533),DATE(YEAR(R2533),MONTH(R2533),1),"")))</f>
        <v/>
      </c>
      <c r="X2533" s="38" t="n">
        <f aca="false">IF(AND(OR(T2533="Backlog",T2533="Pipeline",T2533="Overdue"),ISNUMBER(W2533)),IF(W2533&lt;=Settings!$B$6,V2533,0),0)</f>
        <v>0</v>
      </c>
      <c r="Y2533" s="38" t="n">
        <f aca="false">IF(AND(OR(T2533="Backlog",T2533="Pipeline",T2533="Overdue"),ISNUMBER(W2533)),IF(W2533&lt;=Settings!$B$6,Q2533,0),0)</f>
        <v>0</v>
      </c>
      <c r="Z2533" s="38" t="n">
        <f aca="false">IF(Y2533=0,0,IF(T2533="Backlog",Q2533,Q2533*Dashboard!$C$10))</f>
        <v>0</v>
      </c>
      <c r="AA2533" s="37" t="n">
        <f aca="false">IF($N2533="",0,IF(COUNTIF(Dashboard!$C$13:$C$22,$N2533)&gt;0,1,0))</f>
        <v>0</v>
      </c>
      <c r="AB2533" s="37" t="str">
        <f aca="false">IF($N2533="","",IF(COUNTIF($N$8:$N2533,$N2533)=1,MAX($AB$7:$AB2532)+1,""))</f>
        <v/>
      </c>
    </row>
    <row r="2534" customFormat="false" ht="15" hidden="false" customHeight="false" outlineLevel="0" collapsed="false">
      <c r="L2534" s="37" t="str">
        <f aca="false">IF(INDEX($A2534:$J2534,$L$6)&lt;&gt;"",TRIM(LEFT(INDEX($A2534:$J2534,$L$6),FIND("(",INDEX($A2534:$J2534,$L$6)&amp;"(")-1)),L2533)</f>
        <v>Building Value Proposition</v>
      </c>
      <c r="M2534" s="37" t="str">
        <f aca="false">IF(INDEX($A2534:$J2534,$M$6)="","",INDEX($A2534:$J2534,$M$6)&amp;"")</f>
        <v/>
      </c>
      <c r="N2534" s="37" t="str">
        <f aca="false">IF($M2534="","",TRIM(INDEX($A2534:$J2534,$N$6)&amp;""))</f>
        <v/>
      </c>
      <c r="O2534" s="37" t="str">
        <f aca="false">IF($M2534="","",TRIM(INDEX($A2534:$J2534,$O$6)&amp;""))</f>
        <v/>
      </c>
      <c r="P2534" s="37" t="str">
        <f aca="false">IF($M2534="","",IFERROR(IF(INDEX(Settings!$B$41:$B$50,MATCH(O2534,Settings!$A$41:$A$50,0))&amp;""="","UNMAPPED",INDEX(Settings!$B$41:$B$50,MATCH(O2534,Settings!$A$41:$A$50,0))&amp;""),"UNMAPPED"))</f>
        <v/>
      </c>
      <c r="Q2534" s="38" t="n">
        <f aca="false">IF($M2534="",0,N(INDEX($A2534:$J2534,$Q$6)))</f>
        <v>0</v>
      </c>
      <c r="R2534" s="39" t="str">
        <f aca="false">IF($M2534="","",INDEX($A2534:$J2534,$R$6))</f>
        <v/>
      </c>
      <c r="S2534" s="37" t="str">
        <f aca="false">IF($M2534="","",IFERROR(INDEX(Settings!$B$27:$B$36,MATCH(L2534,Settings!$A$27:$A$36,0))&amp;"","UNMAPPED"))</f>
        <v/>
      </c>
      <c r="T2534" s="37" t="str">
        <f aca="false">IF($M2534="","",IF(NOT(ISNUMBER(R2534)),"NO DATE",IF(S2534="Won",IF(R2534&gt;Settings!$B$5,"Backlog","Delivered"),IF(S2534="Open",IF(R2534&gt;Settings!$B$5,"Pipeline","Overdue"),IF(S2534="Lost","Lost","UNMAPPED")))))</f>
        <v/>
      </c>
      <c r="U2534" s="40" t="n">
        <f aca="false">IF(T2534="Backlog",1,IF(OR(T2534="Pipeline",T2534="Overdue"),N(INDEX(Settings!$C$27:$C$36,MATCH(L2534,Settings!$A$27:$A$36,0))),0))</f>
        <v>0</v>
      </c>
      <c r="V2534" s="38" t="n">
        <f aca="false">Q2534*U2534</f>
        <v>0</v>
      </c>
      <c r="W2534" s="41" t="str">
        <f aca="false">IF($M2534="","",IF(T2534="Overdue",IF(Settings!$B$8="Yes",Settings!$B$7,""),IF(ISNUMBER(R2534),DATE(YEAR(R2534),MONTH(R2534),1),"")))</f>
        <v/>
      </c>
      <c r="X2534" s="38" t="n">
        <f aca="false">IF(AND(OR(T2534="Backlog",T2534="Pipeline",T2534="Overdue"),ISNUMBER(W2534)),IF(W2534&lt;=Settings!$B$6,V2534,0),0)</f>
        <v>0</v>
      </c>
      <c r="Y2534" s="38" t="n">
        <f aca="false">IF(AND(OR(T2534="Backlog",T2534="Pipeline",T2534="Overdue"),ISNUMBER(W2534)),IF(W2534&lt;=Settings!$B$6,Q2534,0),0)</f>
        <v>0</v>
      </c>
      <c r="Z2534" s="38" t="n">
        <f aca="false">IF(Y2534=0,0,IF(T2534="Backlog",Q2534,Q2534*Dashboard!$C$10))</f>
        <v>0</v>
      </c>
      <c r="AA2534" s="37" t="n">
        <f aca="false">IF($N2534="",0,IF(COUNTIF(Dashboard!$C$13:$C$22,$N2534)&gt;0,1,0))</f>
        <v>0</v>
      </c>
      <c r="AB2534" s="37" t="str">
        <f aca="false">IF($N2534="","",IF(COUNTIF($N$8:$N2534,$N2534)=1,MAX($AB$7:$AB2533)+1,""))</f>
        <v/>
      </c>
    </row>
    <row r="2535" customFormat="false" ht="15" hidden="false" customHeight="false" outlineLevel="0" collapsed="false">
      <c r="L2535" s="37" t="str">
        <f aca="false">IF(INDEX($A2535:$J2535,$L$6)&lt;&gt;"",TRIM(LEFT(INDEX($A2535:$J2535,$L$6),FIND("(",INDEX($A2535:$J2535,$L$6)&amp;"(")-1)),L2534)</f>
        <v>Building Value Proposition</v>
      </c>
      <c r="M2535" s="37" t="str">
        <f aca="false">IF(INDEX($A2535:$J2535,$M$6)="","",INDEX($A2535:$J2535,$M$6)&amp;"")</f>
        <v/>
      </c>
      <c r="N2535" s="37" t="str">
        <f aca="false">IF($M2535="","",TRIM(INDEX($A2535:$J2535,$N$6)&amp;""))</f>
        <v/>
      </c>
      <c r="O2535" s="37" t="str">
        <f aca="false">IF($M2535="","",TRIM(INDEX($A2535:$J2535,$O$6)&amp;""))</f>
        <v/>
      </c>
      <c r="P2535" s="37" t="str">
        <f aca="false">IF($M2535="","",IFERROR(IF(INDEX(Settings!$B$41:$B$50,MATCH(O2535,Settings!$A$41:$A$50,0))&amp;""="","UNMAPPED",INDEX(Settings!$B$41:$B$50,MATCH(O2535,Settings!$A$41:$A$50,0))&amp;""),"UNMAPPED"))</f>
        <v/>
      </c>
      <c r="Q2535" s="38" t="n">
        <f aca="false">IF($M2535="",0,N(INDEX($A2535:$J2535,$Q$6)))</f>
        <v>0</v>
      </c>
      <c r="R2535" s="39" t="str">
        <f aca="false">IF($M2535="","",INDEX($A2535:$J2535,$R$6))</f>
        <v/>
      </c>
      <c r="S2535" s="37" t="str">
        <f aca="false">IF($M2535="","",IFERROR(INDEX(Settings!$B$27:$B$36,MATCH(L2535,Settings!$A$27:$A$36,0))&amp;"","UNMAPPED"))</f>
        <v/>
      </c>
      <c r="T2535" s="37" t="str">
        <f aca="false">IF($M2535="","",IF(NOT(ISNUMBER(R2535)),"NO DATE",IF(S2535="Won",IF(R2535&gt;Settings!$B$5,"Backlog","Delivered"),IF(S2535="Open",IF(R2535&gt;Settings!$B$5,"Pipeline","Overdue"),IF(S2535="Lost","Lost","UNMAPPED")))))</f>
        <v/>
      </c>
      <c r="U2535" s="40" t="n">
        <f aca="false">IF(T2535="Backlog",1,IF(OR(T2535="Pipeline",T2535="Overdue"),N(INDEX(Settings!$C$27:$C$36,MATCH(L2535,Settings!$A$27:$A$36,0))),0))</f>
        <v>0</v>
      </c>
      <c r="V2535" s="38" t="n">
        <f aca="false">Q2535*U2535</f>
        <v>0</v>
      </c>
      <c r="W2535" s="41" t="str">
        <f aca="false">IF($M2535="","",IF(T2535="Overdue",IF(Settings!$B$8="Yes",Settings!$B$7,""),IF(ISNUMBER(R2535),DATE(YEAR(R2535),MONTH(R2535),1),"")))</f>
        <v/>
      </c>
      <c r="X2535" s="38" t="n">
        <f aca="false">IF(AND(OR(T2535="Backlog",T2535="Pipeline",T2535="Overdue"),ISNUMBER(W2535)),IF(W2535&lt;=Settings!$B$6,V2535,0),0)</f>
        <v>0</v>
      </c>
      <c r="Y2535" s="38" t="n">
        <f aca="false">IF(AND(OR(T2535="Backlog",T2535="Pipeline",T2535="Overdue"),ISNUMBER(W2535)),IF(W2535&lt;=Settings!$B$6,Q2535,0),0)</f>
        <v>0</v>
      </c>
      <c r="Z2535" s="38" t="n">
        <f aca="false">IF(Y2535=0,0,IF(T2535="Backlog",Q2535,Q2535*Dashboard!$C$10))</f>
        <v>0</v>
      </c>
      <c r="AA2535" s="37" t="n">
        <f aca="false">IF($N2535="",0,IF(COUNTIF(Dashboard!$C$13:$C$22,$N2535)&gt;0,1,0))</f>
        <v>0</v>
      </c>
      <c r="AB2535" s="37" t="str">
        <f aca="false">IF($N2535="","",IF(COUNTIF($N$8:$N2535,$N2535)=1,MAX($AB$7:$AB2534)+1,""))</f>
        <v/>
      </c>
    </row>
    <row r="2536" customFormat="false" ht="15" hidden="false" customHeight="false" outlineLevel="0" collapsed="false">
      <c r="L2536" s="37" t="str">
        <f aca="false">IF(INDEX($A2536:$J2536,$L$6)&lt;&gt;"",TRIM(LEFT(INDEX($A2536:$J2536,$L$6),FIND("(",INDEX($A2536:$J2536,$L$6)&amp;"(")-1)),L2535)</f>
        <v>Building Value Proposition</v>
      </c>
      <c r="M2536" s="37" t="str">
        <f aca="false">IF(INDEX($A2536:$J2536,$M$6)="","",INDEX($A2536:$J2536,$M$6)&amp;"")</f>
        <v/>
      </c>
      <c r="N2536" s="37" t="str">
        <f aca="false">IF($M2536="","",TRIM(INDEX($A2536:$J2536,$N$6)&amp;""))</f>
        <v/>
      </c>
      <c r="O2536" s="37" t="str">
        <f aca="false">IF($M2536="","",TRIM(INDEX($A2536:$J2536,$O$6)&amp;""))</f>
        <v/>
      </c>
      <c r="P2536" s="37" t="str">
        <f aca="false">IF($M2536="","",IFERROR(IF(INDEX(Settings!$B$41:$B$50,MATCH(O2536,Settings!$A$41:$A$50,0))&amp;""="","UNMAPPED",INDEX(Settings!$B$41:$B$50,MATCH(O2536,Settings!$A$41:$A$50,0))&amp;""),"UNMAPPED"))</f>
        <v/>
      </c>
      <c r="Q2536" s="38" t="n">
        <f aca="false">IF($M2536="",0,N(INDEX($A2536:$J2536,$Q$6)))</f>
        <v>0</v>
      </c>
      <c r="R2536" s="39" t="str">
        <f aca="false">IF($M2536="","",INDEX($A2536:$J2536,$R$6))</f>
        <v/>
      </c>
      <c r="S2536" s="37" t="str">
        <f aca="false">IF($M2536="","",IFERROR(INDEX(Settings!$B$27:$B$36,MATCH(L2536,Settings!$A$27:$A$36,0))&amp;"","UNMAPPED"))</f>
        <v/>
      </c>
      <c r="T2536" s="37" t="str">
        <f aca="false">IF($M2536="","",IF(NOT(ISNUMBER(R2536)),"NO DATE",IF(S2536="Won",IF(R2536&gt;Settings!$B$5,"Backlog","Delivered"),IF(S2536="Open",IF(R2536&gt;Settings!$B$5,"Pipeline","Overdue"),IF(S2536="Lost","Lost","UNMAPPED")))))</f>
        <v/>
      </c>
      <c r="U2536" s="40" t="n">
        <f aca="false">IF(T2536="Backlog",1,IF(OR(T2536="Pipeline",T2536="Overdue"),N(INDEX(Settings!$C$27:$C$36,MATCH(L2536,Settings!$A$27:$A$36,0))),0))</f>
        <v>0</v>
      </c>
      <c r="V2536" s="38" t="n">
        <f aca="false">Q2536*U2536</f>
        <v>0</v>
      </c>
      <c r="W2536" s="41" t="str">
        <f aca="false">IF($M2536="","",IF(T2536="Overdue",IF(Settings!$B$8="Yes",Settings!$B$7,""),IF(ISNUMBER(R2536),DATE(YEAR(R2536),MONTH(R2536),1),"")))</f>
        <v/>
      </c>
      <c r="X2536" s="38" t="n">
        <f aca="false">IF(AND(OR(T2536="Backlog",T2536="Pipeline",T2536="Overdue"),ISNUMBER(W2536)),IF(W2536&lt;=Settings!$B$6,V2536,0),0)</f>
        <v>0</v>
      </c>
      <c r="Y2536" s="38" t="n">
        <f aca="false">IF(AND(OR(T2536="Backlog",T2536="Pipeline",T2536="Overdue"),ISNUMBER(W2536)),IF(W2536&lt;=Settings!$B$6,Q2536,0),0)</f>
        <v>0</v>
      </c>
      <c r="Z2536" s="38" t="n">
        <f aca="false">IF(Y2536=0,0,IF(T2536="Backlog",Q2536,Q2536*Dashboard!$C$10))</f>
        <v>0</v>
      </c>
      <c r="AA2536" s="37" t="n">
        <f aca="false">IF($N2536="",0,IF(COUNTIF(Dashboard!$C$13:$C$22,$N2536)&gt;0,1,0))</f>
        <v>0</v>
      </c>
      <c r="AB2536" s="37" t="str">
        <f aca="false">IF($N2536="","",IF(COUNTIF($N$8:$N2536,$N2536)=1,MAX($AB$7:$AB2535)+1,""))</f>
        <v/>
      </c>
    </row>
    <row r="2537" customFormat="false" ht="15" hidden="false" customHeight="false" outlineLevel="0" collapsed="false">
      <c r="L2537" s="37" t="str">
        <f aca="false">IF(INDEX($A2537:$J2537,$L$6)&lt;&gt;"",TRIM(LEFT(INDEX($A2537:$J2537,$L$6),FIND("(",INDEX($A2537:$J2537,$L$6)&amp;"(")-1)),L2536)</f>
        <v>Building Value Proposition</v>
      </c>
      <c r="M2537" s="37" t="str">
        <f aca="false">IF(INDEX($A2537:$J2537,$M$6)="","",INDEX($A2537:$J2537,$M$6)&amp;"")</f>
        <v/>
      </c>
      <c r="N2537" s="37" t="str">
        <f aca="false">IF($M2537="","",TRIM(INDEX($A2537:$J2537,$N$6)&amp;""))</f>
        <v/>
      </c>
      <c r="O2537" s="37" t="str">
        <f aca="false">IF($M2537="","",TRIM(INDEX($A2537:$J2537,$O$6)&amp;""))</f>
        <v/>
      </c>
      <c r="P2537" s="37" t="str">
        <f aca="false">IF($M2537="","",IFERROR(IF(INDEX(Settings!$B$41:$B$50,MATCH(O2537,Settings!$A$41:$A$50,0))&amp;""="","UNMAPPED",INDEX(Settings!$B$41:$B$50,MATCH(O2537,Settings!$A$41:$A$50,0))&amp;""),"UNMAPPED"))</f>
        <v/>
      </c>
      <c r="Q2537" s="38" t="n">
        <f aca="false">IF($M2537="",0,N(INDEX($A2537:$J2537,$Q$6)))</f>
        <v>0</v>
      </c>
      <c r="R2537" s="39" t="str">
        <f aca="false">IF($M2537="","",INDEX($A2537:$J2537,$R$6))</f>
        <v/>
      </c>
      <c r="S2537" s="37" t="str">
        <f aca="false">IF($M2537="","",IFERROR(INDEX(Settings!$B$27:$B$36,MATCH(L2537,Settings!$A$27:$A$36,0))&amp;"","UNMAPPED"))</f>
        <v/>
      </c>
      <c r="T2537" s="37" t="str">
        <f aca="false">IF($M2537="","",IF(NOT(ISNUMBER(R2537)),"NO DATE",IF(S2537="Won",IF(R2537&gt;Settings!$B$5,"Backlog","Delivered"),IF(S2537="Open",IF(R2537&gt;Settings!$B$5,"Pipeline","Overdue"),IF(S2537="Lost","Lost","UNMAPPED")))))</f>
        <v/>
      </c>
      <c r="U2537" s="40" t="n">
        <f aca="false">IF(T2537="Backlog",1,IF(OR(T2537="Pipeline",T2537="Overdue"),N(INDEX(Settings!$C$27:$C$36,MATCH(L2537,Settings!$A$27:$A$36,0))),0))</f>
        <v>0</v>
      </c>
      <c r="V2537" s="38" t="n">
        <f aca="false">Q2537*U2537</f>
        <v>0</v>
      </c>
      <c r="W2537" s="41" t="str">
        <f aca="false">IF($M2537="","",IF(T2537="Overdue",IF(Settings!$B$8="Yes",Settings!$B$7,""),IF(ISNUMBER(R2537),DATE(YEAR(R2537),MONTH(R2537),1),"")))</f>
        <v/>
      </c>
      <c r="X2537" s="38" t="n">
        <f aca="false">IF(AND(OR(T2537="Backlog",T2537="Pipeline",T2537="Overdue"),ISNUMBER(W2537)),IF(W2537&lt;=Settings!$B$6,V2537,0),0)</f>
        <v>0</v>
      </c>
      <c r="Y2537" s="38" t="n">
        <f aca="false">IF(AND(OR(T2537="Backlog",T2537="Pipeline",T2537="Overdue"),ISNUMBER(W2537)),IF(W2537&lt;=Settings!$B$6,Q2537,0),0)</f>
        <v>0</v>
      </c>
      <c r="Z2537" s="38" t="n">
        <f aca="false">IF(Y2537=0,0,IF(T2537="Backlog",Q2537,Q2537*Dashboard!$C$10))</f>
        <v>0</v>
      </c>
      <c r="AA2537" s="37" t="n">
        <f aca="false">IF($N2537="",0,IF(COUNTIF(Dashboard!$C$13:$C$22,$N2537)&gt;0,1,0))</f>
        <v>0</v>
      </c>
      <c r="AB2537" s="37" t="str">
        <f aca="false">IF($N2537="","",IF(COUNTIF($N$8:$N2537,$N2537)=1,MAX($AB$7:$AB2536)+1,""))</f>
        <v/>
      </c>
    </row>
    <row r="2538" customFormat="false" ht="15" hidden="false" customHeight="false" outlineLevel="0" collapsed="false">
      <c r="L2538" s="37" t="str">
        <f aca="false">IF(INDEX($A2538:$J2538,$L$6)&lt;&gt;"",TRIM(LEFT(INDEX($A2538:$J2538,$L$6),FIND("(",INDEX($A2538:$J2538,$L$6)&amp;"(")-1)),L2537)</f>
        <v>Building Value Proposition</v>
      </c>
      <c r="M2538" s="37" t="str">
        <f aca="false">IF(INDEX($A2538:$J2538,$M$6)="","",INDEX($A2538:$J2538,$M$6)&amp;"")</f>
        <v/>
      </c>
      <c r="N2538" s="37" t="str">
        <f aca="false">IF($M2538="","",TRIM(INDEX($A2538:$J2538,$N$6)&amp;""))</f>
        <v/>
      </c>
      <c r="O2538" s="37" t="str">
        <f aca="false">IF($M2538="","",TRIM(INDEX($A2538:$J2538,$O$6)&amp;""))</f>
        <v/>
      </c>
      <c r="P2538" s="37" t="str">
        <f aca="false">IF($M2538="","",IFERROR(IF(INDEX(Settings!$B$41:$B$50,MATCH(O2538,Settings!$A$41:$A$50,0))&amp;""="","UNMAPPED",INDEX(Settings!$B$41:$B$50,MATCH(O2538,Settings!$A$41:$A$50,0))&amp;""),"UNMAPPED"))</f>
        <v/>
      </c>
      <c r="Q2538" s="38" t="n">
        <f aca="false">IF($M2538="",0,N(INDEX($A2538:$J2538,$Q$6)))</f>
        <v>0</v>
      </c>
      <c r="R2538" s="39" t="str">
        <f aca="false">IF($M2538="","",INDEX($A2538:$J2538,$R$6))</f>
        <v/>
      </c>
      <c r="S2538" s="37" t="str">
        <f aca="false">IF($M2538="","",IFERROR(INDEX(Settings!$B$27:$B$36,MATCH(L2538,Settings!$A$27:$A$36,0))&amp;"","UNMAPPED"))</f>
        <v/>
      </c>
      <c r="T2538" s="37" t="str">
        <f aca="false">IF($M2538="","",IF(NOT(ISNUMBER(R2538)),"NO DATE",IF(S2538="Won",IF(R2538&gt;Settings!$B$5,"Backlog","Delivered"),IF(S2538="Open",IF(R2538&gt;Settings!$B$5,"Pipeline","Overdue"),IF(S2538="Lost","Lost","UNMAPPED")))))</f>
        <v/>
      </c>
      <c r="U2538" s="40" t="n">
        <f aca="false">IF(T2538="Backlog",1,IF(OR(T2538="Pipeline",T2538="Overdue"),N(INDEX(Settings!$C$27:$C$36,MATCH(L2538,Settings!$A$27:$A$36,0))),0))</f>
        <v>0</v>
      </c>
      <c r="V2538" s="38" t="n">
        <f aca="false">Q2538*U2538</f>
        <v>0</v>
      </c>
      <c r="W2538" s="41" t="str">
        <f aca="false">IF($M2538="","",IF(T2538="Overdue",IF(Settings!$B$8="Yes",Settings!$B$7,""),IF(ISNUMBER(R2538),DATE(YEAR(R2538),MONTH(R2538),1),"")))</f>
        <v/>
      </c>
      <c r="X2538" s="38" t="n">
        <f aca="false">IF(AND(OR(T2538="Backlog",T2538="Pipeline",T2538="Overdue"),ISNUMBER(W2538)),IF(W2538&lt;=Settings!$B$6,V2538,0),0)</f>
        <v>0</v>
      </c>
      <c r="Y2538" s="38" t="n">
        <f aca="false">IF(AND(OR(T2538="Backlog",T2538="Pipeline",T2538="Overdue"),ISNUMBER(W2538)),IF(W2538&lt;=Settings!$B$6,Q2538,0),0)</f>
        <v>0</v>
      </c>
      <c r="Z2538" s="38" t="n">
        <f aca="false">IF(Y2538=0,0,IF(T2538="Backlog",Q2538,Q2538*Dashboard!$C$10))</f>
        <v>0</v>
      </c>
      <c r="AA2538" s="37" t="n">
        <f aca="false">IF($N2538="",0,IF(COUNTIF(Dashboard!$C$13:$C$22,$N2538)&gt;0,1,0))</f>
        <v>0</v>
      </c>
      <c r="AB2538" s="37" t="str">
        <f aca="false">IF($N2538="","",IF(COUNTIF($N$8:$N2538,$N2538)=1,MAX($AB$7:$AB2537)+1,""))</f>
        <v/>
      </c>
    </row>
    <row r="2539" customFormat="false" ht="15" hidden="false" customHeight="false" outlineLevel="0" collapsed="false">
      <c r="L2539" s="37" t="str">
        <f aca="false">IF(INDEX($A2539:$J2539,$L$6)&lt;&gt;"",TRIM(LEFT(INDEX($A2539:$J2539,$L$6),FIND("(",INDEX($A2539:$J2539,$L$6)&amp;"(")-1)),L2538)</f>
        <v>Building Value Proposition</v>
      </c>
      <c r="M2539" s="37" t="str">
        <f aca="false">IF(INDEX($A2539:$J2539,$M$6)="","",INDEX($A2539:$J2539,$M$6)&amp;"")</f>
        <v/>
      </c>
      <c r="N2539" s="37" t="str">
        <f aca="false">IF($M2539="","",TRIM(INDEX($A2539:$J2539,$N$6)&amp;""))</f>
        <v/>
      </c>
      <c r="O2539" s="37" t="str">
        <f aca="false">IF($M2539="","",TRIM(INDEX($A2539:$J2539,$O$6)&amp;""))</f>
        <v/>
      </c>
      <c r="P2539" s="37" t="str">
        <f aca="false">IF($M2539="","",IFERROR(IF(INDEX(Settings!$B$41:$B$50,MATCH(O2539,Settings!$A$41:$A$50,0))&amp;""="","UNMAPPED",INDEX(Settings!$B$41:$B$50,MATCH(O2539,Settings!$A$41:$A$50,0))&amp;""),"UNMAPPED"))</f>
        <v/>
      </c>
      <c r="Q2539" s="38" t="n">
        <f aca="false">IF($M2539="",0,N(INDEX($A2539:$J2539,$Q$6)))</f>
        <v>0</v>
      </c>
      <c r="R2539" s="39" t="str">
        <f aca="false">IF($M2539="","",INDEX($A2539:$J2539,$R$6))</f>
        <v/>
      </c>
      <c r="S2539" s="37" t="str">
        <f aca="false">IF($M2539="","",IFERROR(INDEX(Settings!$B$27:$B$36,MATCH(L2539,Settings!$A$27:$A$36,0))&amp;"","UNMAPPED"))</f>
        <v/>
      </c>
      <c r="T2539" s="37" t="str">
        <f aca="false">IF($M2539="","",IF(NOT(ISNUMBER(R2539)),"NO DATE",IF(S2539="Won",IF(R2539&gt;Settings!$B$5,"Backlog","Delivered"),IF(S2539="Open",IF(R2539&gt;Settings!$B$5,"Pipeline","Overdue"),IF(S2539="Lost","Lost","UNMAPPED")))))</f>
        <v/>
      </c>
      <c r="U2539" s="40" t="n">
        <f aca="false">IF(T2539="Backlog",1,IF(OR(T2539="Pipeline",T2539="Overdue"),N(INDEX(Settings!$C$27:$C$36,MATCH(L2539,Settings!$A$27:$A$36,0))),0))</f>
        <v>0</v>
      </c>
      <c r="V2539" s="38" t="n">
        <f aca="false">Q2539*U2539</f>
        <v>0</v>
      </c>
      <c r="W2539" s="41" t="str">
        <f aca="false">IF($M2539="","",IF(T2539="Overdue",IF(Settings!$B$8="Yes",Settings!$B$7,""),IF(ISNUMBER(R2539),DATE(YEAR(R2539),MONTH(R2539),1),"")))</f>
        <v/>
      </c>
      <c r="X2539" s="38" t="n">
        <f aca="false">IF(AND(OR(T2539="Backlog",T2539="Pipeline",T2539="Overdue"),ISNUMBER(W2539)),IF(W2539&lt;=Settings!$B$6,V2539,0),0)</f>
        <v>0</v>
      </c>
      <c r="Y2539" s="38" t="n">
        <f aca="false">IF(AND(OR(T2539="Backlog",T2539="Pipeline",T2539="Overdue"),ISNUMBER(W2539)),IF(W2539&lt;=Settings!$B$6,Q2539,0),0)</f>
        <v>0</v>
      </c>
      <c r="Z2539" s="38" t="n">
        <f aca="false">IF(Y2539=0,0,IF(T2539="Backlog",Q2539,Q2539*Dashboard!$C$10))</f>
        <v>0</v>
      </c>
      <c r="AA2539" s="37" t="n">
        <f aca="false">IF($N2539="",0,IF(COUNTIF(Dashboard!$C$13:$C$22,$N2539)&gt;0,1,0))</f>
        <v>0</v>
      </c>
      <c r="AB2539" s="37" t="str">
        <f aca="false">IF($N2539="","",IF(COUNTIF($N$8:$N2539,$N2539)=1,MAX($AB$7:$AB2538)+1,""))</f>
        <v/>
      </c>
    </row>
    <row r="2540" customFormat="false" ht="15" hidden="false" customHeight="false" outlineLevel="0" collapsed="false">
      <c r="L2540" s="37" t="str">
        <f aca="false">IF(INDEX($A2540:$J2540,$L$6)&lt;&gt;"",TRIM(LEFT(INDEX($A2540:$J2540,$L$6),FIND("(",INDEX($A2540:$J2540,$L$6)&amp;"(")-1)),L2539)</f>
        <v>Building Value Proposition</v>
      </c>
      <c r="M2540" s="37" t="str">
        <f aca="false">IF(INDEX($A2540:$J2540,$M$6)="","",INDEX($A2540:$J2540,$M$6)&amp;"")</f>
        <v/>
      </c>
      <c r="N2540" s="37" t="str">
        <f aca="false">IF($M2540="","",TRIM(INDEX($A2540:$J2540,$N$6)&amp;""))</f>
        <v/>
      </c>
      <c r="O2540" s="37" t="str">
        <f aca="false">IF($M2540="","",TRIM(INDEX($A2540:$J2540,$O$6)&amp;""))</f>
        <v/>
      </c>
      <c r="P2540" s="37" t="str">
        <f aca="false">IF($M2540="","",IFERROR(IF(INDEX(Settings!$B$41:$B$50,MATCH(O2540,Settings!$A$41:$A$50,0))&amp;""="","UNMAPPED",INDEX(Settings!$B$41:$B$50,MATCH(O2540,Settings!$A$41:$A$50,0))&amp;""),"UNMAPPED"))</f>
        <v/>
      </c>
      <c r="Q2540" s="38" t="n">
        <f aca="false">IF($M2540="",0,N(INDEX($A2540:$J2540,$Q$6)))</f>
        <v>0</v>
      </c>
      <c r="R2540" s="39" t="str">
        <f aca="false">IF($M2540="","",INDEX($A2540:$J2540,$R$6))</f>
        <v/>
      </c>
      <c r="S2540" s="37" t="str">
        <f aca="false">IF($M2540="","",IFERROR(INDEX(Settings!$B$27:$B$36,MATCH(L2540,Settings!$A$27:$A$36,0))&amp;"","UNMAPPED"))</f>
        <v/>
      </c>
      <c r="T2540" s="37" t="str">
        <f aca="false">IF($M2540="","",IF(NOT(ISNUMBER(R2540)),"NO DATE",IF(S2540="Won",IF(R2540&gt;Settings!$B$5,"Backlog","Delivered"),IF(S2540="Open",IF(R2540&gt;Settings!$B$5,"Pipeline","Overdue"),IF(S2540="Lost","Lost","UNMAPPED")))))</f>
        <v/>
      </c>
      <c r="U2540" s="40" t="n">
        <f aca="false">IF(T2540="Backlog",1,IF(OR(T2540="Pipeline",T2540="Overdue"),N(INDEX(Settings!$C$27:$C$36,MATCH(L2540,Settings!$A$27:$A$36,0))),0))</f>
        <v>0</v>
      </c>
      <c r="V2540" s="38" t="n">
        <f aca="false">Q2540*U2540</f>
        <v>0</v>
      </c>
      <c r="W2540" s="41" t="str">
        <f aca="false">IF($M2540="","",IF(T2540="Overdue",IF(Settings!$B$8="Yes",Settings!$B$7,""),IF(ISNUMBER(R2540),DATE(YEAR(R2540),MONTH(R2540),1),"")))</f>
        <v/>
      </c>
      <c r="X2540" s="38" t="n">
        <f aca="false">IF(AND(OR(T2540="Backlog",T2540="Pipeline",T2540="Overdue"),ISNUMBER(W2540)),IF(W2540&lt;=Settings!$B$6,V2540,0),0)</f>
        <v>0</v>
      </c>
      <c r="Y2540" s="38" t="n">
        <f aca="false">IF(AND(OR(T2540="Backlog",T2540="Pipeline",T2540="Overdue"),ISNUMBER(W2540)),IF(W2540&lt;=Settings!$B$6,Q2540,0),0)</f>
        <v>0</v>
      </c>
      <c r="Z2540" s="38" t="n">
        <f aca="false">IF(Y2540=0,0,IF(T2540="Backlog",Q2540,Q2540*Dashboard!$C$10))</f>
        <v>0</v>
      </c>
      <c r="AA2540" s="37" t="n">
        <f aca="false">IF($N2540="",0,IF(COUNTIF(Dashboard!$C$13:$C$22,$N2540)&gt;0,1,0))</f>
        <v>0</v>
      </c>
      <c r="AB2540" s="37" t="str">
        <f aca="false">IF($N2540="","",IF(COUNTIF($N$8:$N2540,$N2540)=1,MAX($AB$7:$AB2539)+1,""))</f>
        <v/>
      </c>
    </row>
    <row r="2541" customFormat="false" ht="15" hidden="false" customHeight="false" outlineLevel="0" collapsed="false">
      <c r="L2541" s="37" t="str">
        <f aca="false">IF(INDEX($A2541:$J2541,$L$6)&lt;&gt;"",TRIM(LEFT(INDEX($A2541:$J2541,$L$6),FIND("(",INDEX($A2541:$J2541,$L$6)&amp;"(")-1)),L2540)</f>
        <v>Building Value Proposition</v>
      </c>
      <c r="M2541" s="37" t="str">
        <f aca="false">IF(INDEX($A2541:$J2541,$M$6)="","",INDEX($A2541:$J2541,$M$6)&amp;"")</f>
        <v/>
      </c>
      <c r="N2541" s="37" t="str">
        <f aca="false">IF($M2541="","",TRIM(INDEX($A2541:$J2541,$N$6)&amp;""))</f>
        <v/>
      </c>
      <c r="O2541" s="37" t="str">
        <f aca="false">IF($M2541="","",TRIM(INDEX($A2541:$J2541,$O$6)&amp;""))</f>
        <v/>
      </c>
      <c r="P2541" s="37" t="str">
        <f aca="false">IF($M2541="","",IFERROR(IF(INDEX(Settings!$B$41:$B$50,MATCH(O2541,Settings!$A$41:$A$50,0))&amp;""="","UNMAPPED",INDEX(Settings!$B$41:$B$50,MATCH(O2541,Settings!$A$41:$A$50,0))&amp;""),"UNMAPPED"))</f>
        <v/>
      </c>
      <c r="Q2541" s="38" t="n">
        <f aca="false">IF($M2541="",0,N(INDEX($A2541:$J2541,$Q$6)))</f>
        <v>0</v>
      </c>
      <c r="R2541" s="39" t="str">
        <f aca="false">IF($M2541="","",INDEX($A2541:$J2541,$R$6))</f>
        <v/>
      </c>
      <c r="S2541" s="37" t="str">
        <f aca="false">IF($M2541="","",IFERROR(INDEX(Settings!$B$27:$B$36,MATCH(L2541,Settings!$A$27:$A$36,0))&amp;"","UNMAPPED"))</f>
        <v/>
      </c>
      <c r="T2541" s="37" t="str">
        <f aca="false">IF($M2541="","",IF(NOT(ISNUMBER(R2541)),"NO DATE",IF(S2541="Won",IF(R2541&gt;Settings!$B$5,"Backlog","Delivered"),IF(S2541="Open",IF(R2541&gt;Settings!$B$5,"Pipeline","Overdue"),IF(S2541="Lost","Lost","UNMAPPED")))))</f>
        <v/>
      </c>
      <c r="U2541" s="40" t="n">
        <f aca="false">IF(T2541="Backlog",1,IF(OR(T2541="Pipeline",T2541="Overdue"),N(INDEX(Settings!$C$27:$C$36,MATCH(L2541,Settings!$A$27:$A$36,0))),0))</f>
        <v>0</v>
      </c>
      <c r="V2541" s="38" t="n">
        <f aca="false">Q2541*U2541</f>
        <v>0</v>
      </c>
      <c r="W2541" s="41" t="str">
        <f aca="false">IF($M2541="","",IF(T2541="Overdue",IF(Settings!$B$8="Yes",Settings!$B$7,""),IF(ISNUMBER(R2541),DATE(YEAR(R2541),MONTH(R2541),1),"")))</f>
        <v/>
      </c>
      <c r="X2541" s="38" t="n">
        <f aca="false">IF(AND(OR(T2541="Backlog",T2541="Pipeline",T2541="Overdue"),ISNUMBER(W2541)),IF(W2541&lt;=Settings!$B$6,V2541,0),0)</f>
        <v>0</v>
      </c>
      <c r="Y2541" s="38" t="n">
        <f aca="false">IF(AND(OR(T2541="Backlog",T2541="Pipeline",T2541="Overdue"),ISNUMBER(W2541)),IF(W2541&lt;=Settings!$B$6,Q2541,0),0)</f>
        <v>0</v>
      </c>
      <c r="Z2541" s="38" t="n">
        <f aca="false">IF(Y2541=0,0,IF(T2541="Backlog",Q2541,Q2541*Dashboard!$C$10))</f>
        <v>0</v>
      </c>
      <c r="AA2541" s="37" t="n">
        <f aca="false">IF($N2541="",0,IF(COUNTIF(Dashboard!$C$13:$C$22,$N2541)&gt;0,1,0))</f>
        <v>0</v>
      </c>
      <c r="AB2541" s="37" t="str">
        <f aca="false">IF($N2541="","",IF(COUNTIF($N$8:$N2541,$N2541)=1,MAX($AB$7:$AB2540)+1,""))</f>
        <v/>
      </c>
    </row>
    <row r="2542" customFormat="false" ht="15" hidden="false" customHeight="false" outlineLevel="0" collapsed="false">
      <c r="L2542" s="37" t="str">
        <f aca="false">IF(INDEX($A2542:$J2542,$L$6)&lt;&gt;"",TRIM(LEFT(INDEX($A2542:$J2542,$L$6),FIND("(",INDEX($A2542:$J2542,$L$6)&amp;"(")-1)),L2541)</f>
        <v>Building Value Proposition</v>
      </c>
      <c r="M2542" s="37" t="str">
        <f aca="false">IF(INDEX($A2542:$J2542,$M$6)="","",INDEX($A2542:$J2542,$M$6)&amp;"")</f>
        <v/>
      </c>
      <c r="N2542" s="37" t="str">
        <f aca="false">IF($M2542="","",TRIM(INDEX($A2542:$J2542,$N$6)&amp;""))</f>
        <v/>
      </c>
      <c r="O2542" s="37" t="str">
        <f aca="false">IF($M2542="","",TRIM(INDEX($A2542:$J2542,$O$6)&amp;""))</f>
        <v/>
      </c>
      <c r="P2542" s="37" t="str">
        <f aca="false">IF($M2542="","",IFERROR(IF(INDEX(Settings!$B$41:$B$50,MATCH(O2542,Settings!$A$41:$A$50,0))&amp;""="","UNMAPPED",INDEX(Settings!$B$41:$B$50,MATCH(O2542,Settings!$A$41:$A$50,0))&amp;""),"UNMAPPED"))</f>
        <v/>
      </c>
      <c r="Q2542" s="38" t="n">
        <f aca="false">IF($M2542="",0,N(INDEX($A2542:$J2542,$Q$6)))</f>
        <v>0</v>
      </c>
      <c r="R2542" s="39" t="str">
        <f aca="false">IF($M2542="","",INDEX($A2542:$J2542,$R$6))</f>
        <v/>
      </c>
      <c r="S2542" s="37" t="str">
        <f aca="false">IF($M2542="","",IFERROR(INDEX(Settings!$B$27:$B$36,MATCH(L2542,Settings!$A$27:$A$36,0))&amp;"","UNMAPPED"))</f>
        <v/>
      </c>
      <c r="T2542" s="37" t="str">
        <f aca="false">IF($M2542="","",IF(NOT(ISNUMBER(R2542)),"NO DATE",IF(S2542="Won",IF(R2542&gt;Settings!$B$5,"Backlog","Delivered"),IF(S2542="Open",IF(R2542&gt;Settings!$B$5,"Pipeline","Overdue"),IF(S2542="Lost","Lost","UNMAPPED")))))</f>
        <v/>
      </c>
      <c r="U2542" s="40" t="n">
        <f aca="false">IF(T2542="Backlog",1,IF(OR(T2542="Pipeline",T2542="Overdue"),N(INDEX(Settings!$C$27:$C$36,MATCH(L2542,Settings!$A$27:$A$36,0))),0))</f>
        <v>0</v>
      </c>
      <c r="V2542" s="38" t="n">
        <f aca="false">Q2542*U2542</f>
        <v>0</v>
      </c>
      <c r="W2542" s="41" t="str">
        <f aca="false">IF($M2542="","",IF(T2542="Overdue",IF(Settings!$B$8="Yes",Settings!$B$7,""),IF(ISNUMBER(R2542),DATE(YEAR(R2542),MONTH(R2542),1),"")))</f>
        <v/>
      </c>
      <c r="X2542" s="38" t="n">
        <f aca="false">IF(AND(OR(T2542="Backlog",T2542="Pipeline",T2542="Overdue"),ISNUMBER(W2542)),IF(W2542&lt;=Settings!$B$6,V2542,0),0)</f>
        <v>0</v>
      </c>
      <c r="Y2542" s="38" t="n">
        <f aca="false">IF(AND(OR(T2542="Backlog",T2542="Pipeline",T2542="Overdue"),ISNUMBER(W2542)),IF(W2542&lt;=Settings!$B$6,Q2542,0),0)</f>
        <v>0</v>
      </c>
      <c r="Z2542" s="38" t="n">
        <f aca="false">IF(Y2542=0,0,IF(T2542="Backlog",Q2542,Q2542*Dashboard!$C$10))</f>
        <v>0</v>
      </c>
      <c r="AA2542" s="37" t="n">
        <f aca="false">IF($N2542="",0,IF(COUNTIF(Dashboard!$C$13:$C$22,$N2542)&gt;0,1,0))</f>
        <v>0</v>
      </c>
      <c r="AB2542" s="37" t="str">
        <f aca="false">IF($N2542="","",IF(COUNTIF($N$8:$N2542,$N2542)=1,MAX($AB$7:$AB2541)+1,""))</f>
        <v/>
      </c>
    </row>
    <row r="2543" customFormat="false" ht="15" hidden="false" customHeight="false" outlineLevel="0" collapsed="false">
      <c r="L2543" s="37" t="str">
        <f aca="false">IF(INDEX($A2543:$J2543,$L$6)&lt;&gt;"",TRIM(LEFT(INDEX($A2543:$J2543,$L$6),FIND("(",INDEX($A2543:$J2543,$L$6)&amp;"(")-1)),L2542)</f>
        <v>Building Value Proposition</v>
      </c>
      <c r="M2543" s="37" t="str">
        <f aca="false">IF(INDEX($A2543:$J2543,$M$6)="","",INDEX($A2543:$J2543,$M$6)&amp;"")</f>
        <v/>
      </c>
      <c r="N2543" s="37" t="str">
        <f aca="false">IF($M2543="","",TRIM(INDEX($A2543:$J2543,$N$6)&amp;""))</f>
        <v/>
      </c>
      <c r="O2543" s="37" t="str">
        <f aca="false">IF($M2543="","",TRIM(INDEX($A2543:$J2543,$O$6)&amp;""))</f>
        <v/>
      </c>
      <c r="P2543" s="37" t="str">
        <f aca="false">IF($M2543="","",IFERROR(IF(INDEX(Settings!$B$41:$B$50,MATCH(O2543,Settings!$A$41:$A$50,0))&amp;""="","UNMAPPED",INDEX(Settings!$B$41:$B$50,MATCH(O2543,Settings!$A$41:$A$50,0))&amp;""),"UNMAPPED"))</f>
        <v/>
      </c>
      <c r="Q2543" s="38" t="n">
        <f aca="false">IF($M2543="",0,N(INDEX($A2543:$J2543,$Q$6)))</f>
        <v>0</v>
      </c>
      <c r="R2543" s="39" t="str">
        <f aca="false">IF($M2543="","",INDEX($A2543:$J2543,$R$6))</f>
        <v/>
      </c>
      <c r="S2543" s="37" t="str">
        <f aca="false">IF($M2543="","",IFERROR(INDEX(Settings!$B$27:$B$36,MATCH(L2543,Settings!$A$27:$A$36,0))&amp;"","UNMAPPED"))</f>
        <v/>
      </c>
      <c r="T2543" s="37" t="str">
        <f aca="false">IF($M2543="","",IF(NOT(ISNUMBER(R2543)),"NO DATE",IF(S2543="Won",IF(R2543&gt;Settings!$B$5,"Backlog","Delivered"),IF(S2543="Open",IF(R2543&gt;Settings!$B$5,"Pipeline","Overdue"),IF(S2543="Lost","Lost","UNMAPPED")))))</f>
        <v/>
      </c>
      <c r="U2543" s="40" t="n">
        <f aca="false">IF(T2543="Backlog",1,IF(OR(T2543="Pipeline",T2543="Overdue"),N(INDEX(Settings!$C$27:$C$36,MATCH(L2543,Settings!$A$27:$A$36,0))),0))</f>
        <v>0</v>
      </c>
      <c r="V2543" s="38" t="n">
        <f aca="false">Q2543*U2543</f>
        <v>0</v>
      </c>
      <c r="W2543" s="41" t="str">
        <f aca="false">IF($M2543="","",IF(T2543="Overdue",IF(Settings!$B$8="Yes",Settings!$B$7,""),IF(ISNUMBER(R2543),DATE(YEAR(R2543),MONTH(R2543),1),"")))</f>
        <v/>
      </c>
      <c r="X2543" s="38" t="n">
        <f aca="false">IF(AND(OR(T2543="Backlog",T2543="Pipeline",T2543="Overdue"),ISNUMBER(W2543)),IF(W2543&lt;=Settings!$B$6,V2543,0),0)</f>
        <v>0</v>
      </c>
      <c r="Y2543" s="38" t="n">
        <f aca="false">IF(AND(OR(T2543="Backlog",T2543="Pipeline",T2543="Overdue"),ISNUMBER(W2543)),IF(W2543&lt;=Settings!$B$6,Q2543,0),0)</f>
        <v>0</v>
      </c>
      <c r="Z2543" s="38" t="n">
        <f aca="false">IF(Y2543=0,0,IF(T2543="Backlog",Q2543,Q2543*Dashboard!$C$10))</f>
        <v>0</v>
      </c>
      <c r="AA2543" s="37" t="n">
        <f aca="false">IF($N2543="",0,IF(COUNTIF(Dashboard!$C$13:$C$22,$N2543)&gt;0,1,0))</f>
        <v>0</v>
      </c>
      <c r="AB2543" s="37" t="str">
        <f aca="false">IF($N2543="","",IF(COUNTIF($N$8:$N2543,$N2543)=1,MAX($AB$7:$AB2542)+1,""))</f>
        <v/>
      </c>
    </row>
    <row r="2544" customFormat="false" ht="15" hidden="false" customHeight="false" outlineLevel="0" collapsed="false">
      <c r="L2544" s="37" t="str">
        <f aca="false">IF(INDEX($A2544:$J2544,$L$6)&lt;&gt;"",TRIM(LEFT(INDEX($A2544:$J2544,$L$6),FIND("(",INDEX($A2544:$J2544,$L$6)&amp;"(")-1)),L2543)</f>
        <v>Building Value Proposition</v>
      </c>
      <c r="M2544" s="37" t="str">
        <f aca="false">IF(INDEX($A2544:$J2544,$M$6)="","",INDEX($A2544:$J2544,$M$6)&amp;"")</f>
        <v/>
      </c>
      <c r="N2544" s="37" t="str">
        <f aca="false">IF($M2544="","",TRIM(INDEX($A2544:$J2544,$N$6)&amp;""))</f>
        <v/>
      </c>
      <c r="O2544" s="37" t="str">
        <f aca="false">IF($M2544="","",TRIM(INDEX($A2544:$J2544,$O$6)&amp;""))</f>
        <v/>
      </c>
      <c r="P2544" s="37" t="str">
        <f aca="false">IF($M2544="","",IFERROR(IF(INDEX(Settings!$B$41:$B$50,MATCH(O2544,Settings!$A$41:$A$50,0))&amp;""="","UNMAPPED",INDEX(Settings!$B$41:$B$50,MATCH(O2544,Settings!$A$41:$A$50,0))&amp;""),"UNMAPPED"))</f>
        <v/>
      </c>
      <c r="Q2544" s="38" t="n">
        <f aca="false">IF($M2544="",0,N(INDEX($A2544:$J2544,$Q$6)))</f>
        <v>0</v>
      </c>
      <c r="R2544" s="39" t="str">
        <f aca="false">IF($M2544="","",INDEX($A2544:$J2544,$R$6))</f>
        <v/>
      </c>
      <c r="S2544" s="37" t="str">
        <f aca="false">IF($M2544="","",IFERROR(INDEX(Settings!$B$27:$B$36,MATCH(L2544,Settings!$A$27:$A$36,0))&amp;"","UNMAPPED"))</f>
        <v/>
      </c>
      <c r="T2544" s="37" t="str">
        <f aca="false">IF($M2544="","",IF(NOT(ISNUMBER(R2544)),"NO DATE",IF(S2544="Won",IF(R2544&gt;Settings!$B$5,"Backlog","Delivered"),IF(S2544="Open",IF(R2544&gt;Settings!$B$5,"Pipeline","Overdue"),IF(S2544="Lost","Lost","UNMAPPED")))))</f>
        <v/>
      </c>
      <c r="U2544" s="40" t="n">
        <f aca="false">IF(T2544="Backlog",1,IF(OR(T2544="Pipeline",T2544="Overdue"),N(INDEX(Settings!$C$27:$C$36,MATCH(L2544,Settings!$A$27:$A$36,0))),0))</f>
        <v>0</v>
      </c>
      <c r="V2544" s="38" t="n">
        <f aca="false">Q2544*U2544</f>
        <v>0</v>
      </c>
      <c r="W2544" s="41" t="str">
        <f aca="false">IF($M2544="","",IF(T2544="Overdue",IF(Settings!$B$8="Yes",Settings!$B$7,""),IF(ISNUMBER(R2544),DATE(YEAR(R2544),MONTH(R2544),1),"")))</f>
        <v/>
      </c>
      <c r="X2544" s="38" t="n">
        <f aca="false">IF(AND(OR(T2544="Backlog",T2544="Pipeline",T2544="Overdue"),ISNUMBER(W2544)),IF(W2544&lt;=Settings!$B$6,V2544,0),0)</f>
        <v>0</v>
      </c>
      <c r="Y2544" s="38" t="n">
        <f aca="false">IF(AND(OR(T2544="Backlog",T2544="Pipeline",T2544="Overdue"),ISNUMBER(W2544)),IF(W2544&lt;=Settings!$B$6,Q2544,0),0)</f>
        <v>0</v>
      </c>
      <c r="Z2544" s="38" t="n">
        <f aca="false">IF(Y2544=0,0,IF(T2544="Backlog",Q2544,Q2544*Dashboard!$C$10))</f>
        <v>0</v>
      </c>
      <c r="AA2544" s="37" t="n">
        <f aca="false">IF($N2544="",0,IF(COUNTIF(Dashboard!$C$13:$C$22,$N2544)&gt;0,1,0))</f>
        <v>0</v>
      </c>
      <c r="AB2544" s="37" t="str">
        <f aca="false">IF($N2544="","",IF(COUNTIF($N$8:$N2544,$N2544)=1,MAX($AB$7:$AB2543)+1,""))</f>
        <v/>
      </c>
    </row>
    <row r="2545" customFormat="false" ht="15" hidden="false" customHeight="false" outlineLevel="0" collapsed="false">
      <c r="L2545" s="37" t="str">
        <f aca="false">IF(INDEX($A2545:$J2545,$L$6)&lt;&gt;"",TRIM(LEFT(INDEX($A2545:$J2545,$L$6),FIND("(",INDEX($A2545:$J2545,$L$6)&amp;"(")-1)),L2544)</f>
        <v>Building Value Proposition</v>
      </c>
      <c r="M2545" s="37" t="str">
        <f aca="false">IF(INDEX($A2545:$J2545,$M$6)="","",INDEX($A2545:$J2545,$M$6)&amp;"")</f>
        <v/>
      </c>
      <c r="N2545" s="37" t="str">
        <f aca="false">IF($M2545="","",TRIM(INDEX($A2545:$J2545,$N$6)&amp;""))</f>
        <v/>
      </c>
      <c r="O2545" s="37" t="str">
        <f aca="false">IF($M2545="","",TRIM(INDEX($A2545:$J2545,$O$6)&amp;""))</f>
        <v/>
      </c>
      <c r="P2545" s="37" t="str">
        <f aca="false">IF($M2545="","",IFERROR(IF(INDEX(Settings!$B$41:$B$50,MATCH(O2545,Settings!$A$41:$A$50,0))&amp;""="","UNMAPPED",INDEX(Settings!$B$41:$B$50,MATCH(O2545,Settings!$A$41:$A$50,0))&amp;""),"UNMAPPED"))</f>
        <v/>
      </c>
      <c r="Q2545" s="38" t="n">
        <f aca="false">IF($M2545="",0,N(INDEX($A2545:$J2545,$Q$6)))</f>
        <v>0</v>
      </c>
      <c r="R2545" s="39" t="str">
        <f aca="false">IF($M2545="","",INDEX($A2545:$J2545,$R$6))</f>
        <v/>
      </c>
      <c r="S2545" s="37" t="str">
        <f aca="false">IF($M2545="","",IFERROR(INDEX(Settings!$B$27:$B$36,MATCH(L2545,Settings!$A$27:$A$36,0))&amp;"","UNMAPPED"))</f>
        <v/>
      </c>
      <c r="T2545" s="37" t="str">
        <f aca="false">IF($M2545="","",IF(NOT(ISNUMBER(R2545)),"NO DATE",IF(S2545="Won",IF(R2545&gt;Settings!$B$5,"Backlog","Delivered"),IF(S2545="Open",IF(R2545&gt;Settings!$B$5,"Pipeline","Overdue"),IF(S2545="Lost","Lost","UNMAPPED")))))</f>
        <v/>
      </c>
      <c r="U2545" s="40" t="n">
        <f aca="false">IF(T2545="Backlog",1,IF(OR(T2545="Pipeline",T2545="Overdue"),N(INDEX(Settings!$C$27:$C$36,MATCH(L2545,Settings!$A$27:$A$36,0))),0))</f>
        <v>0</v>
      </c>
      <c r="V2545" s="38" t="n">
        <f aca="false">Q2545*U2545</f>
        <v>0</v>
      </c>
      <c r="W2545" s="41" t="str">
        <f aca="false">IF($M2545="","",IF(T2545="Overdue",IF(Settings!$B$8="Yes",Settings!$B$7,""),IF(ISNUMBER(R2545),DATE(YEAR(R2545),MONTH(R2545),1),"")))</f>
        <v/>
      </c>
      <c r="X2545" s="38" t="n">
        <f aca="false">IF(AND(OR(T2545="Backlog",T2545="Pipeline",T2545="Overdue"),ISNUMBER(W2545)),IF(W2545&lt;=Settings!$B$6,V2545,0),0)</f>
        <v>0</v>
      </c>
      <c r="Y2545" s="38" t="n">
        <f aca="false">IF(AND(OR(T2545="Backlog",T2545="Pipeline",T2545="Overdue"),ISNUMBER(W2545)),IF(W2545&lt;=Settings!$B$6,Q2545,0),0)</f>
        <v>0</v>
      </c>
      <c r="Z2545" s="38" t="n">
        <f aca="false">IF(Y2545=0,0,IF(T2545="Backlog",Q2545,Q2545*Dashboard!$C$10))</f>
        <v>0</v>
      </c>
      <c r="AA2545" s="37" t="n">
        <f aca="false">IF($N2545="",0,IF(COUNTIF(Dashboard!$C$13:$C$22,$N2545)&gt;0,1,0))</f>
        <v>0</v>
      </c>
      <c r="AB2545" s="37" t="str">
        <f aca="false">IF($N2545="","",IF(COUNTIF($N$8:$N2545,$N2545)=1,MAX($AB$7:$AB2544)+1,""))</f>
        <v/>
      </c>
    </row>
    <row r="2546" customFormat="false" ht="15" hidden="false" customHeight="false" outlineLevel="0" collapsed="false">
      <c r="L2546" s="37" t="str">
        <f aca="false">IF(INDEX($A2546:$J2546,$L$6)&lt;&gt;"",TRIM(LEFT(INDEX($A2546:$J2546,$L$6),FIND("(",INDEX($A2546:$J2546,$L$6)&amp;"(")-1)),L2545)</f>
        <v>Building Value Proposition</v>
      </c>
      <c r="M2546" s="37" t="str">
        <f aca="false">IF(INDEX($A2546:$J2546,$M$6)="","",INDEX($A2546:$J2546,$M$6)&amp;"")</f>
        <v/>
      </c>
      <c r="N2546" s="37" t="str">
        <f aca="false">IF($M2546="","",TRIM(INDEX($A2546:$J2546,$N$6)&amp;""))</f>
        <v/>
      </c>
      <c r="O2546" s="37" t="str">
        <f aca="false">IF($M2546="","",TRIM(INDEX($A2546:$J2546,$O$6)&amp;""))</f>
        <v/>
      </c>
      <c r="P2546" s="37" t="str">
        <f aca="false">IF($M2546="","",IFERROR(IF(INDEX(Settings!$B$41:$B$50,MATCH(O2546,Settings!$A$41:$A$50,0))&amp;""="","UNMAPPED",INDEX(Settings!$B$41:$B$50,MATCH(O2546,Settings!$A$41:$A$50,0))&amp;""),"UNMAPPED"))</f>
        <v/>
      </c>
      <c r="Q2546" s="38" t="n">
        <f aca="false">IF($M2546="",0,N(INDEX($A2546:$J2546,$Q$6)))</f>
        <v>0</v>
      </c>
      <c r="R2546" s="39" t="str">
        <f aca="false">IF($M2546="","",INDEX($A2546:$J2546,$R$6))</f>
        <v/>
      </c>
      <c r="S2546" s="37" t="str">
        <f aca="false">IF($M2546="","",IFERROR(INDEX(Settings!$B$27:$B$36,MATCH(L2546,Settings!$A$27:$A$36,0))&amp;"","UNMAPPED"))</f>
        <v/>
      </c>
      <c r="T2546" s="37" t="str">
        <f aca="false">IF($M2546="","",IF(NOT(ISNUMBER(R2546)),"NO DATE",IF(S2546="Won",IF(R2546&gt;Settings!$B$5,"Backlog","Delivered"),IF(S2546="Open",IF(R2546&gt;Settings!$B$5,"Pipeline","Overdue"),IF(S2546="Lost","Lost","UNMAPPED")))))</f>
        <v/>
      </c>
      <c r="U2546" s="40" t="n">
        <f aca="false">IF(T2546="Backlog",1,IF(OR(T2546="Pipeline",T2546="Overdue"),N(INDEX(Settings!$C$27:$C$36,MATCH(L2546,Settings!$A$27:$A$36,0))),0))</f>
        <v>0</v>
      </c>
      <c r="V2546" s="38" t="n">
        <f aca="false">Q2546*U2546</f>
        <v>0</v>
      </c>
      <c r="W2546" s="41" t="str">
        <f aca="false">IF($M2546="","",IF(T2546="Overdue",IF(Settings!$B$8="Yes",Settings!$B$7,""),IF(ISNUMBER(R2546),DATE(YEAR(R2546),MONTH(R2546),1),"")))</f>
        <v/>
      </c>
      <c r="X2546" s="38" t="n">
        <f aca="false">IF(AND(OR(T2546="Backlog",T2546="Pipeline",T2546="Overdue"),ISNUMBER(W2546)),IF(W2546&lt;=Settings!$B$6,V2546,0),0)</f>
        <v>0</v>
      </c>
      <c r="Y2546" s="38" t="n">
        <f aca="false">IF(AND(OR(T2546="Backlog",T2546="Pipeline",T2546="Overdue"),ISNUMBER(W2546)),IF(W2546&lt;=Settings!$B$6,Q2546,0),0)</f>
        <v>0</v>
      </c>
      <c r="Z2546" s="38" t="n">
        <f aca="false">IF(Y2546=0,0,IF(T2546="Backlog",Q2546,Q2546*Dashboard!$C$10))</f>
        <v>0</v>
      </c>
      <c r="AA2546" s="37" t="n">
        <f aca="false">IF($N2546="",0,IF(COUNTIF(Dashboard!$C$13:$C$22,$N2546)&gt;0,1,0))</f>
        <v>0</v>
      </c>
      <c r="AB2546" s="37" t="str">
        <f aca="false">IF($N2546="","",IF(COUNTIF($N$8:$N2546,$N2546)=1,MAX($AB$7:$AB2545)+1,""))</f>
        <v/>
      </c>
    </row>
    <row r="2547" customFormat="false" ht="15" hidden="false" customHeight="false" outlineLevel="0" collapsed="false">
      <c r="L2547" s="37" t="str">
        <f aca="false">IF(INDEX($A2547:$J2547,$L$6)&lt;&gt;"",TRIM(LEFT(INDEX($A2547:$J2547,$L$6),FIND("(",INDEX($A2547:$J2547,$L$6)&amp;"(")-1)),L2546)</f>
        <v>Building Value Proposition</v>
      </c>
      <c r="M2547" s="37" t="str">
        <f aca="false">IF(INDEX($A2547:$J2547,$M$6)="","",INDEX($A2547:$J2547,$M$6)&amp;"")</f>
        <v/>
      </c>
      <c r="N2547" s="37" t="str">
        <f aca="false">IF($M2547="","",TRIM(INDEX($A2547:$J2547,$N$6)&amp;""))</f>
        <v/>
      </c>
      <c r="O2547" s="37" t="str">
        <f aca="false">IF($M2547="","",TRIM(INDEX($A2547:$J2547,$O$6)&amp;""))</f>
        <v/>
      </c>
      <c r="P2547" s="37" t="str">
        <f aca="false">IF($M2547="","",IFERROR(IF(INDEX(Settings!$B$41:$B$50,MATCH(O2547,Settings!$A$41:$A$50,0))&amp;""="","UNMAPPED",INDEX(Settings!$B$41:$B$50,MATCH(O2547,Settings!$A$41:$A$50,0))&amp;""),"UNMAPPED"))</f>
        <v/>
      </c>
      <c r="Q2547" s="38" t="n">
        <f aca="false">IF($M2547="",0,N(INDEX($A2547:$J2547,$Q$6)))</f>
        <v>0</v>
      </c>
      <c r="R2547" s="39" t="str">
        <f aca="false">IF($M2547="","",INDEX($A2547:$J2547,$R$6))</f>
        <v/>
      </c>
      <c r="S2547" s="37" t="str">
        <f aca="false">IF($M2547="","",IFERROR(INDEX(Settings!$B$27:$B$36,MATCH(L2547,Settings!$A$27:$A$36,0))&amp;"","UNMAPPED"))</f>
        <v/>
      </c>
      <c r="T2547" s="37" t="str">
        <f aca="false">IF($M2547="","",IF(NOT(ISNUMBER(R2547)),"NO DATE",IF(S2547="Won",IF(R2547&gt;Settings!$B$5,"Backlog","Delivered"),IF(S2547="Open",IF(R2547&gt;Settings!$B$5,"Pipeline","Overdue"),IF(S2547="Lost","Lost","UNMAPPED")))))</f>
        <v/>
      </c>
      <c r="U2547" s="40" t="n">
        <f aca="false">IF(T2547="Backlog",1,IF(OR(T2547="Pipeline",T2547="Overdue"),N(INDEX(Settings!$C$27:$C$36,MATCH(L2547,Settings!$A$27:$A$36,0))),0))</f>
        <v>0</v>
      </c>
      <c r="V2547" s="38" t="n">
        <f aca="false">Q2547*U2547</f>
        <v>0</v>
      </c>
      <c r="W2547" s="41" t="str">
        <f aca="false">IF($M2547="","",IF(T2547="Overdue",IF(Settings!$B$8="Yes",Settings!$B$7,""),IF(ISNUMBER(R2547),DATE(YEAR(R2547),MONTH(R2547),1),"")))</f>
        <v/>
      </c>
      <c r="X2547" s="38" t="n">
        <f aca="false">IF(AND(OR(T2547="Backlog",T2547="Pipeline",T2547="Overdue"),ISNUMBER(W2547)),IF(W2547&lt;=Settings!$B$6,V2547,0),0)</f>
        <v>0</v>
      </c>
      <c r="Y2547" s="38" t="n">
        <f aca="false">IF(AND(OR(T2547="Backlog",T2547="Pipeline",T2547="Overdue"),ISNUMBER(W2547)),IF(W2547&lt;=Settings!$B$6,Q2547,0),0)</f>
        <v>0</v>
      </c>
      <c r="Z2547" s="38" t="n">
        <f aca="false">IF(Y2547=0,0,IF(T2547="Backlog",Q2547,Q2547*Dashboard!$C$10))</f>
        <v>0</v>
      </c>
      <c r="AA2547" s="37" t="n">
        <f aca="false">IF($N2547="",0,IF(COUNTIF(Dashboard!$C$13:$C$22,$N2547)&gt;0,1,0))</f>
        <v>0</v>
      </c>
      <c r="AB2547" s="37" t="str">
        <f aca="false">IF($N2547="","",IF(COUNTIF($N$8:$N2547,$N2547)=1,MAX($AB$7:$AB2546)+1,""))</f>
        <v/>
      </c>
    </row>
    <row r="2548" customFormat="false" ht="15" hidden="false" customHeight="false" outlineLevel="0" collapsed="false">
      <c r="L2548" s="37" t="str">
        <f aca="false">IF(INDEX($A2548:$J2548,$L$6)&lt;&gt;"",TRIM(LEFT(INDEX($A2548:$J2548,$L$6),FIND("(",INDEX($A2548:$J2548,$L$6)&amp;"(")-1)),L2547)</f>
        <v>Building Value Proposition</v>
      </c>
      <c r="M2548" s="37" t="str">
        <f aca="false">IF(INDEX($A2548:$J2548,$M$6)="","",INDEX($A2548:$J2548,$M$6)&amp;"")</f>
        <v/>
      </c>
      <c r="N2548" s="37" t="str">
        <f aca="false">IF($M2548="","",TRIM(INDEX($A2548:$J2548,$N$6)&amp;""))</f>
        <v/>
      </c>
      <c r="O2548" s="37" t="str">
        <f aca="false">IF($M2548="","",TRIM(INDEX($A2548:$J2548,$O$6)&amp;""))</f>
        <v/>
      </c>
      <c r="P2548" s="37" t="str">
        <f aca="false">IF($M2548="","",IFERROR(IF(INDEX(Settings!$B$41:$B$50,MATCH(O2548,Settings!$A$41:$A$50,0))&amp;""="","UNMAPPED",INDEX(Settings!$B$41:$B$50,MATCH(O2548,Settings!$A$41:$A$50,0))&amp;""),"UNMAPPED"))</f>
        <v/>
      </c>
      <c r="Q2548" s="38" t="n">
        <f aca="false">IF($M2548="",0,N(INDEX($A2548:$J2548,$Q$6)))</f>
        <v>0</v>
      </c>
      <c r="R2548" s="39" t="str">
        <f aca="false">IF($M2548="","",INDEX($A2548:$J2548,$R$6))</f>
        <v/>
      </c>
      <c r="S2548" s="37" t="str">
        <f aca="false">IF($M2548="","",IFERROR(INDEX(Settings!$B$27:$B$36,MATCH(L2548,Settings!$A$27:$A$36,0))&amp;"","UNMAPPED"))</f>
        <v/>
      </c>
      <c r="T2548" s="37" t="str">
        <f aca="false">IF($M2548="","",IF(NOT(ISNUMBER(R2548)),"NO DATE",IF(S2548="Won",IF(R2548&gt;Settings!$B$5,"Backlog","Delivered"),IF(S2548="Open",IF(R2548&gt;Settings!$B$5,"Pipeline","Overdue"),IF(S2548="Lost","Lost","UNMAPPED")))))</f>
        <v/>
      </c>
      <c r="U2548" s="40" t="n">
        <f aca="false">IF(T2548="Backlog",1,IF(OR(T2548="Pipeline",T2548="Overdue"),N(INDEX(Settings!$C$27:$C$36,MATCH(L2548,Settings!$A$27:$A$36,0))),0))</f>
        <v>0</v>
      </c>
      <c r="V2548" s="38" t="n">
        <f aca="false">Q2548*U2548</f>
        <v>0</v>
      </c>
      <c r="W2548" s="41" t="str">
        <f aca="false">IF($M2548="","",IF(T2548="Overdue",IF(Settings!$B$8="Yes",Settings!$B$7,""),IF(ISNUMBER(R2548),DATE(YEAR(R2548),MONTH(R2548),1),"")))</f>
        <v/>
      </c>
      <c r="X2548" s="38" t="n">
        <f aca="false">IF(AND(OR(T2548="Backlog",T2548="Pipeline",T2548="Overdue"),ISNUMBER(W2548)),IF(W2548&lt;=Settings!$B$6,V2548,0),0)</f>
        <v>0</v>
      </c>
      <c r="Y2548" s="38" t="n">
        <f aca="false">IF(AND(OR(T2548="Backlog",T2548="Pipeline",T2548="Overdue"),ISNUMBER(W2548)),IF(W2548&lt;=Settings!$B$6,Q2548,0),0)</f>
        <v>0</v>
      </c>
      <c r="Z2548" s="38" t="n">
        <f aca="false">IF(Y2548=0,0,IF(T2548="Backlog",Q2548,Q2548*Dashboard!$C$10))</f>
        <v>0</v>
      </c>
      <c r="AA2548" s="37" t="n">
        <f aca="false">IF($N2548="",0,IF(COUNTIF(Dashboard!$C$13:$C$22,$N2548)&gt;0,1,0))</f>
        <v>0</v>
      </c>
      <c r="AB2548" s="37" t="str">
        <f aca="false">IF($N2548="","",IF(COUNTIF($N$8:$N2548,$N2548)=1,MAX($AB$7:$AB2547)+1,""))</f>
        <v/>
      </c>
    </row>
    <row r="2549" customFormat="false" ht="15" hidden="false" customHeight="false" outlineLevel="0" collapsed="false">
      <c r="L2549" s="37" t="str">
        <f aca="false">IF(INDEX($A2549:$J2549,$L$6)&lt;&gt;"",TRIM(LEFT(INDEX($A2549:$J2549,$L$6),FIND("(",INDEX($A2549:$J2549,$L$6)&amp;"(")-1)),L2548)</f>
        <v>Building Value Proposition</v>
      </c>
      <c r="M2549" s="37" t="str">
        <f aca="false">IF(INDEX($A2549:$J2549,$M$6)="","",INDEX($A2549:$J2549,$M$6)&amp;"")</f>
        <v/>
      </c>
      <c r="N2549" s="37" t="str">
        <f aca="false">IF($M2549="","",TRIM(INDEX($A2549:$J2549,$N$6)&amp;""))</f>
        <v/>
      </c>
      <c r="O2549" s="37" t="str">
        <f aca="false">IF($M2549="","",TRIM(INDEX($A2549:$J2549,$O$6)&amp;""))</f>
        <v/>
      </c>
      <c r="P2549" s="37" t="str">
        <f aca="false">IF($M2549="","",IFERROR(IF(INDEX(Settings!$B$41:$B$50,MATCH(O2549,Settings!$A$41:$A$50,0))&amp;""="","UNMAPPED",INDEX(Settings!$B$41:$B$50,MATCH(O2549,Settings!$A$41:$A$50,0))&amp;""),"UNMAPPED"))</f>
        <v/>
      </c>
      <c r="Q2549" s="38" t="n">
        <f aca="false">IF($M2549="",0,N(INDEX($A2549:$J2549,$Q$6)))</f>
        <v>0</v>
      </c>
      <c r="R2549" s="39" t="str">
        <f aca="false">IF($M2549="","",INDEX($A2549:$J2549,$R$6))</f>
        <v/>
      </c>
      <c r="S2549" s="37" t="str">
        <f aca="false">IF($M2549="","",IFERROR(INDEX(Settings!$B$27:$B$36,MATCH(L2549,Settings!$A$27:$A$36,0))&amp;"","UNMAPPED"))</f>
        <v/>
      </c>
      <c r="T2549" s="37" t="str">
        <f aca="false">IF($M2549="","",IF(NOT(ISNUMBER(R2549)),"NO DATE",IF(S2549="Won",IF(R2549&gt;Settings!$B$5,"Backlog","Delivered"),IF(S2549="Open",IF(R2549&gt;Settings!$B$5,"Pipeline","Overdue"),IF(S2549="Lost","Lost","UNMAPPED")))))</f>
        <v/>
      </c>
      <c r="U2549" s="40" t="n">
        <f aca="false">IF(T2549="Backlog",1,IF(OR(T2549="Pipeline",T2549="Overdue"),N(INDEX(Settings!$C$27:$C$36,MATCH(L2549,Settings!$A$27:$A$36,0))),0))</f>
        <v>0</v>
      </c>
      <c r="V2549" s="38" t="n">
        <f aca="false">Q2549*U2549</f>
        <v>0</v>
      </c>
      <c r="W2549" s="41" t="str">
        <f aca="false">IF($M2549="","",IF(T2549="Overdue",IF(Settings!$B$8="Yes",Settings!$B$7,""),IF(ISNUMBER(R2549),DATE(YEAR(R2549),MONTH(R2549),1),"")))</f>
        <v/>
      </c>
      <c r="X2549" s="38" t="n">
        <f aca="false">IF(AND(OR(T2549="Backlog",T2549="Pipeline",T2549="Overdue"),ISNUMBER(W2549)),IF(W2549&lt;=Settings!$B$6,V2549,0),0)</f>
        <v>0</v>
      </c>
      <c r="Y2549" s="38" t="n">
        <f aca="false">IF(AND(OR(T2549="Backlog",T2549="Pipeline",T2549="Overdue"),ISNUMBER(W2549)),IF(W2549&lt;=Settings!$B$6,Q2549,0),0)</f>
        <v>0</v>
      </c>
      <c r="Z2549" s="38" t="n">
        <f aca="false">IF(Y2549=0,0,IF(T2549="Backlog",Q2549,Q2549*Dashboard!$C$10))</f>
        <v>0</v>
      </c>
      <c r="AA2549" s="37" t="n">
        <f aca="false">IF($N2549="",0,IF(COUNTIF(Dashboard!$C$13:$C$22,$N2549)&gt;0,1,0))</f>
        <v>0</v>
      </c>
      <c r="AB2549" s="37" t="str">
        <f aca="false">IF($N2549="","",IF(COUNTIF($N$8:$N2549,$N2549)=1,MAX($AB$7:$AB2548)+1,""))</f>
        <v/>
      </c>
    </row>
    <row r="2550" customFormat="false" ht="15" hidden="false" customHeight="false" outlineLevel="0" collapsed="false">
      <c r="L2550" s="37" t="str">
        <f aca="false">IF(INDEX($A2550:$J2550,$L$6)&lt;&gt;"",TRIM(LEFT(INDEX($A2550:$J2550,$L$6),FIND("(",INDEX($A2550:$J2550,$L$6)&amp;"(")-1)),L2549)</f>
        <v>Building Value Proposition</v>
      </c>
      <c r="M2550" s="37" t="str">
        <f aca="false">IF(INDEX($A2550:$J2550,$M$6)="","",INDEX($A2550:$J2550,$M$6)&amp;"")</f>
        <v/>
      </c>
      <c r="N2550" s="37" t="str">
        <f aca="false">IF($M2550="","",TRIM(INDEX($A2550:$J2550,$N$6)&amp;""))</f>
        <v/>
      </c>
      <c r="O2550" s="37" t="str">
        <f aca="false">IF($M2550="","",TRIM(INDEX($A2550:$J2550,$O$6)&amp;""))</f>
        <v/>
      </c>
      <c r="P2550" s="37" t="str">
        <f aca="false">IF($M2550="","",IFERROR(IF(INDEX(Settings!$B$41:$B$50,MATCH(O2550,Settings!$A$41:$A$50,0))&amp;""="","UNMAPPED",INDEX(Settings!$B$41:$B$50,MATCH(O2550,Settings!$A$41:$A$50,0))&amp;""),"UNMAPPED"))</f>
        <v/>
      </c>
      <c r="Q2550" s="38" t="n">
        <f aca="false">IF($M2550="",0,N(INDEX($A2550:$J2550,$Q$6)))</f>
        <v>0</v>
      </c>
      <c r="R2550" s="39" t="str">
        <f aca="false">IF($M2550="","",INDEX($A2550:$J2550,$R$6))</f>
        <v/>
      </c>
      <c r="S2550" s="37" t="str">
        <f aca="false">IF($M2550="","",IFERROR(INDEX(Settings!$B$27:$B$36,MATCH(L2550,Settings!$A$27:$A$36,0))&amp;"","UNMAPPED"))</f>
        <v/>
      </c>
      <c r="T2550" s="37" t="str">
        <f aca="false">IF($M2550="","",IF(NOT(ISNUMBER(R2550)),"NO DATE",IF(S2550="Won",IF(R2550&gt;Settings!$B$5,"Backlog","Delivered"),IF(S2550="Open",IF(R2550&gt;Settings!$B$5,"Pipeline","Overdue"),IF(S2550="Lost","Lost","UNMAPPED")))))</f>
        <v/>
      </c>
      <c r="U2550" s="40" t="n">
        <f aca="false">IF(T2550="Backlog",1,IF(OR(T2550="Pipeline",T2550="Overdue"),N(INDEX(Settings!$C$27:$C$36,MATCH(L2550,Settings!$A$27:$A$36,0))),0))</f>
        <v>0</v>
      </c>
      <c r="V2550" s="38" t="n">
        <f aca="false">Q2550*U2550</f>
        <v>0</v>
      </c>
      <c r="W2550" s="41" t="str">
        <f aca="false">IF($M2550="","",IF(T2550="Overdue",IF(Settings!$B$8="Yes",Settings!$B$7,""),IF(ISNUMBER(R2550),DATE(YEAR(R2550),MONTH(R2550),1),"")))</f>
        <v/>
      </c>
      <c r="X2550" s="38" t="n">
        <f aca="false">IF(AND(OR(T2550="Backlog",T2550="Pipeline",T2550="Overdue"),ISNUMBER(W2550)),IF(W2550&lt;=Settings!$B$6,V2550,0),0)</f>
        <v>0</v>
      </c>
      <c r="Y2550" s="38" t="n">
        <f aca="false">IF(AND(OR(T2550="Backlog",T2550="Pipeline",T2550="Overdue"),ISNUMBER(W2550)),IF(W2550&lt;=Settings!$B$6,Q2550,0),0)</f>
        <v>0</v>
      </c>
      <c r="Z2550" s="38" t="n">
        <f aca="false">IF(Y2550=0,0,IF(T2550="Backlog",Q2550,Q2550*Dashboard!$C$10))</f>
        <v>0</v>
      </c>
      <c r="AA2550" s="37" t="n">
        <f aca="false">IF($N2550="",0,IF(COUNTIF(Dashboard!$C$13:$C$22,$N2550)&gt;0,1,0))</f>
        <v>0</v>
      </c>
      <c r="AB2550" s="37" t="str">
        <f aca="false">IF($N2550="","",IF(COUNTIF($N$8:$N2550,$N2550)=1,MAX($AB$7:$AB2549)+1,""))</f>
        <v/>
      </c>
    </row>
    <row r="2551" customFormat="false" ht="15" hidden="false" customHeight="false" outlineLevel="0" collapsed="false">
      <c r="L2551" s="37" t="str">
        <f aca="false">IF(INDEX($A2551:$J2551,$L$6)&lt;&gt;"",TRIM(LEFT(INDEX($A2551:$J2551,$L$6),FIND("(",INDEX($A2551:$J2551,$L$6)&amp;"(")-1)),L2550)</f>
        <v>Building Value Proposition</v>
      </c>
      <c r="M2551" s="37" t="str">
        <f aca="false">IF(INDEX($A2551:$J2551,$M$6)="","",INDEX($A2551:$J2551,$M$6)&amp;"")</f>
        <v/>
      </c>
      <c r="N2551" s="37" t="str">
        <f aca="false">IF($M2551="","",TRIM(INDEX($A2551:$J2551,$N$6)&amp;""))</f>
        <v/>
      </c>
      <c r="O2551" s="37" t="str">
        <f aca="false">IF($M2551="","",TRIM(INDEX($A2551:$J2551,$O$6)&amp;""))</f>
        <v/>
      </c>
      <c r="P2551" s="37" t="str">
        <f aca="false">IF($M2551="","",IFERROR(IF(INDEX(Settings!$B$41:$B$50,MATCH(O2551,Settings!$A$41:$A$50,0))&amp;""="","UNMAPPED",INDEX(Settings!$B$41:$B$50,MATCH(O2551,Settings!$A$41:$A$50,0))&amp;""),"UNMAPPED"))</f>
        <v/>
      </c>
      <c r="Q2551" s="38" t="n">
        <f aca="false">IF($M2551="",0,N(INDEX($A2551:$J2551,$Q$6)))</f>
        <v>0</v>
      </c>
      <c r="R2551" s="39" t="str">
        <f aca="false">IF($M2551="","",INDEX($A2551:$J2551,$R$6))</f>
        <v/>
      </c>
      <c r="S2551" s="37" t="str">
        <f aca="false">IF($M2551="","",IFERROR(INDEX(Settings!$B$27:$B$36,MATCH(L2551,Settings!$A$27:$A$36,0))&amp;"","UNMAPPED"))</f>
        <v/>
      </c>
      <c r="T2551" s="37" t="str">
        <f aca="false">IF($M2551="","",IF(NOT(ISNUMBER(R2551)),"NO DATE",IF(S2551="Won",IF(R2551&gt;Settings!$B$5,"Backlog","Delivered"),IF(S2551="Open",IF(R2551&gt;Settings!$B$5,"Pipeline","Overdue"),IF(S2551="Lost","Lost","UNMAPPED")))))</f>
        <v/>
      </c>
      <c r="U2551" s="40" t="n">
        <f aca="false">IF(T2551="Backlog",1,IF(OR(T2551="Pipeline",T2551="Overdue"),N(INDEX(Settings!$C$27:$C$36,MATCH(L2551,Settings!$A$27:$A$36,0))),0))</f>
        <v>0</v>
      </c>
      <c r="V2551" s="38" t="n">
        <f aca="false">Q2551*U2551</f>
        <v>0</v>
      </c>
      <c r="W2551" s="41" t="str">
        <f aca="false">IF($M2551="","",IF(T2551="Overdue",IF(Settings!$B$8="Yes",Settings!$B$7,""),IF(ISNUMBER(R2551),DATE(YEAR(R2551),MONTH(R2551),1),"")))</f>
        <v/>
      </c>
      <c r="X2551" s="38" t="n">
        <f aca="false">IF(AND(OR(T2551="Backlog",T2551="Pipeline",T2551="Overdue"),ISNUMBER(W2551)),IF(W2551&lt;=Settings!$B$6,V2551,0),0)</f>
        <v>0</v>
      </c>
      <c r="Y2551" s="38" t="n">
        <f aca="false">IF(AND(OR(T2551="Backlog",T2551="Pipeline",T2551="Overdue"),ISNUMBER(W2551)),IF(W2551&lt;=Settings!$B$6,Q2551,0),0)</f>
        <v>0</v>
      </c>
      <c r="Z2551" s="38" t="n">
        <f aca="false">IF(Y2551=0,0,IF(T2551="Backlog",Q2551,Q2551*Dashboard!$C$10))</f>
        <v>0</v>
      </c>
      <c r="AA2551" s="37" t="n">
        <f aca="false">IF($N2551="",0,IF(COUNTIF(Dashboard!$C$13:$C$22,$N2551)&gt;0,1,0))</f>
        <v>0</v>
      </c>
      <c r="AB2551" s="37" t="str">
        <f aca="false">IF($N2551="","",IF(COUNTIF($N$8:$N2551,$N2551)=1,MAX($AB$7:$AB2550)+1,""))</f>
        <v/>
      </c>
    </row>
    <row r="2552" customFormat="false" ht="15" hidden="false" customHeight="false" outlineLevel="0" collapsed="false">
      <c r="L2552" s="37" t="str">
        <f aca="false">IF(INDEX($A2552:$J2552,$L$6)&lt;&gt;"",TRIM(LEFT(INDEX($A2552:$J2552,$L$6),FIND("(",INDEX($A2552:$J2552,$L$6)&amp;"(")-1)),L2551)</f>
        <v>Building Value Proposition</v>
      </c>
      <c r="M2552" s="37" t="str">
        <f aca="false">IF(INDEX($A2552:$J2552,$M$6)="","",INDEX($A2552:$J2552,$M$6)&amp;"")</f>
        <v/>
      </c>
      <c r="N2552" s="37" t="str">
        <f aca="false">IF($M2552="","",TRIM(INDEX($A2552:$J2552,$N$6)&amp;""))</f>
        <v/>
      </c>
      <c r="O2552" s="37" t="str">
        <f aca="false">IF($M2552="","",TRIM(INDEX($A2552:$J2552,$O$6)&amp;""))</f>
        <v/>
      </c>
      <c r="P2552" s="37" t="str">
        <f aca="false">IF($M2552="","",IFERROR(IF(INDEX(Settings!$B$41:$B$50,MATCH(O2552,Settings!$A$41:$A$50,0))&amp;""="","UNMAPPED",INDEX(Settings!$B$41:$B$50,MATCH(O2552,Settings!$A$41:$A$50,0))&amp;""),"UNMAPPED"))</f>
        <v/>
      </c>
      <c r="Q2552" s="38" t="n">
        <f aca="false">IF($M2552="",0,N(INDEX($A2552:$J2552,$Q$6)))</f>
        <v>0</v>
      </c>
      <c r="R2552" s="39" t="str">
        <f aca="false">IF($M2552="","",INDEX($A2552:$J2552,$R$6))</f>
        <v/>
      </c>
      <c r="S2552" s="37" t="str">
        <f aca="false">IF($M2552="","",IFERROR(INDEX(Settings!$B$27:$B$36,MATCH(L2552,Settings!$A$27:$A$36,0))&amp;"","UNMAPPED"))</f>
        <v/>
      </c>
      <c r="T2552" s="37" t="str">
        <f aca="false">IF($M2552="","",IF(NOT(ISNUMBER(R2552)),"NO DATE",IF(S2552="Won",IF(R2552&gt;Settings!$B$5,"Backlog","Delivered"),IF(S2552="Open",IF(R2552&gt;Settings!$B$5,"Pipeline","Overdue"),IF(S2552="Lost","Lost","UNMAPPED")))))</f>
        <v/>
      </c>
      <c r="U2552" s="40" t="n">
        <f aca="false">IF(T2552="Backlog",1,IF(OR(T2552="Pipeline",T2552="Overdue"),N(INDEX(Settings!$C$27:$C$36,MATCH(L2552,Settings!$A$27:$A$36,0))),0))</f>
        <v>0</v>
      </c>
      <c r="V2552" s="38" t="n">
        <f aca="false">Q2552*U2552</f>
        <v>0</v>
      </c>
      <c r="W2552" s="41" t="str">
        <f aca="false">IF($M2552="","",IF(T2552="Overdue",IF(Settings!$B$8="Yes",Settings!$B$7,""),IF(ISNUMBER(R2552),DATE(YEAR(R2552),MONTH(R2552),1),"")))</f>
        <v/>
      </c>
      <c r="X2552" s="38" t="n">
        <f aca="false">IF(AND(OR(T2552="Backlog",T2552="Pipeline",T2552="Overdue"),ISNUMBER(W2552)),IF(W2552&lt;=Settings!$B$6,V2552,0),0)</f>
        <v>0</v>
      </c>
      <c r="Y2552" s="38" t="n">
        <f aca="false">IF(AND(OR(T2552="Backlog",T2552="Pipeline",T2552="Overdue"),ISNUMBER(W2552)),IF(W2552&lt;=Settings!$B$6,Q2552,0),0)</f>
        <v>0</v>
      </c>
      <c r="Z2552" s="38" t="n">
        <f aca="false">IF(Y2552=0,0,IF(T2552="Backlog",Q2552,Q2552*Dashboard!$C$10))</f>
        <v>0</v>
      </c>
      <c r="AA2552" s="37" t="n">
        <f aca="false">IF($N2552="",0,IF(COUNTIF(Dashboard!$C$13:$C$22,$N2552)&gt;0,1,0))</f>
        <v>0</v>
      </c>
      <c r="AB2552" s="37" t="str">
        <f aca="false">IF($N2552="","",IF(COUNTIF($N$8:$N2552,$N2552)=1,MAX($AB$7:$AB2551)+1,""))</f>
        <v/>
      </c>
    </row>
    <row r="2553" customFormat="false" ht="15" hidden="false" customHeight="false" outlineLevel="0" collapsed="false">
      <c r="L2553" s="37" t="str">
        <f aca="false">IF(INDEX($A2553:$J2553,$L$6)&lt;&gt;"",TRIM(LEFT(INDEX($A2553:$J2553,$L$6),FIND("(",INDEX($A2553:$J2553,$L$6)&amp;"(")-1)),L2552)</f>
        <v>Building Value Proposition</v>
      </c>
      <c r="M2553" s="37" t="str">
        <f aca="false">IF(INDEX($A2553:$J2553,$M$6)="","",INDEX($A2553:$J2553,$M$6)&amp;"")</f>
        <v/>
      </c>
      <c r="N2553" s="37" t="str">
        <f aca="false">IF($M2553="","",TRIM(INDEX($A2553:$J2553,$N$6)&amp;""))</f>
        <v/>
      </c>
      <c r="O2553" s="37" t="str">
        <f aca="false">IF($M2553="","",TRIM(INDEX($A2553:$J2553,$O$6)&amp;""))</f>
        <v/>
      </c>
      <c r="P2553" s="37" t="str">
        <f aca="false">IF($M2553="","",IFERROR(IF(INDEX(Settings!$B$41:$B$50,MATCH(O2553,Settings!$A$41:$A$50,0))&amp;""="","UNMAPPED",INDEX(Settings!$B$41:$B$50,MATCH(O2553,Settings!$A$41:$A$50,0))&amp;""),"UNMAPPED"))</f>
        <v/>
      </c>
      <c r="Q2553" s="38" t="n">
        <f aca="false">IF($M2553="",0,N(INDEX($A2553:$J2553,$Q$6)))</f>
        <v>0</v>
      </c>
      <c r="R2553" s="39" t="str">
        <f aca="false">IF($M2553="","",INDEX($A2553:$J2553,$R$6))</f>
        <v/>
      </c>
      <c r="S2553" s="37" t="str">
        <f aca="false">IF($M2553="","",IFERROR(INDEX(Settings!$B$27:$B$36,MATCH(L2553,Settings!$A$27:$A$36,0))&amp;"","UNMAPPED"))</f>
        <v/>
      </c>
      <c r="T2553" s="37" t="str">
        <f aca="false">IF($M2553="","",IF(NOT(ISNUMBER(R2553)),"NO DATE",IF(S2553="Won",IF(R2553&gt;Settings!$B$5,"Backlog","Delivered"),IF(S2553="Open",IF(R2553&gt;Settings!$B$5,"Pipeline","Overdue"),IF(S2553="Lost","Lost","UNMAPPED")))))</f>
        <v/>
      </c>
      <c r="U2553" s="40" t="n">
        <f aca="false">IF(T2553="Backlog",1,IF(OR(T2553="Pipeline",T2553="Overdue"),N(INDEX(Settings!$C$27:$C$36,MATCH(L2553,Settings!$A$27:$A$36,0))),0))</f>
        <v>0</v>
      </c>
      <c r="V2553" s="38" t="n">
        <f aca="false">Q2553*U2553</f>
        <v>0</v>
      </c>
      <c r="W2553" s="41" t="str">
        <f aca="false">IF($M2553="","",IF(T2553="Overdue",IF(Settings!$B$8="Yes",Settings!$B$7,""),IF(ISNUMBER(R2553),DATE(YEAR(R2553),MONTH(R2553),1),"")))</f>
        <v/>
      </c>
      <c r="X2553" s="38" t="n">
        <f aca="false">IF(AND(OR(T2553="Backlog",T2553="Pipeline",T2553="Overdue"),ISNUMBER(W2553)),IF(W2553&lt;=Settings!$B$6,V2553,0),0)</f>
        <v>0</v>
      </c>
      <c r="Y2553" s="38" t="n">
        <f aca="false">IF(AND(OR(T2553="Backlog",T2553="Pipeline",T2553="Overdue"),ISNUMBER(W2553)),IF(W2553&lt;=Settings!$B$6,Q2553,0),0)</f>
        <v>0</v>
      </c>
      <c r="Z2553" s="38" t="n">
        <f aca="false">IF(Y2553=0,0,IF(T2553="Backlog",Q2553,Q2553*Dashboard!$C$10))</f>
        <v>0</v>
      </c>
      <c r="AA2553" s="37" t="n">
        <f aca="false">IF($N2553="",0,IF(COUNTIF(Dashboard!$C$13:$C$22,$N2553)&gt;0,1,0))</f>
        <v>0</v>
      </c>
      <c r="AB2553" s="37" t="str">
        <f aca="false">IF($N2553="","",IF(COUNTIF($N$8:$N2553,$N2553)=1,MAX($AB$7:$AB2552)+1,""))</f>
        <v/>
      </c>
    </row>
    <row r="2554" customFormat="false" ht="15" hidden="false" customHeight="false" outlineLevel="0" collapsed="false">
      <c r="L2554" s="37" t="str">
        <f aca="false">IF(INDEX($A2554:$J2554,$L$6)&lt;&gt;"",TRIM(LEFT(INDEX($A2554:$J2554,$L$6),FIND("(",INDEX($A2554:$J2554,$L$6)&amp;"(")-1)),L2553)</f>
        <v>Building Value Proposition</v>
      </c>
      <c r="M2554" s="37" t="str">
        <f aca="false">IF(INDEX($A2554:$J2554,$M$6)="","",INDEX($A2554:$J2554,$M$6)&amp;"")</f>
        <v/>
      </c>
      <c r="N2554" s="37" t="str">
        <f aca="false">IF($M2554="","",TRIM(INDEX($A2554:$J2554,$N$6)&amp;""))</f>
        <v/>
      </c>
      <c r="O2554" s="37" t="str">
        <f aca="false">IF($M2554="","",TRIM(INDEX($A2554:$J2554,$O$6)&amp;""))</f>
        <v/>
      </c>
      <c r="P2554" s="37" t="str">
        <f aca="false">IF($M2554="","",IFERROR(IF(INDEX(Settings!$B$41:$B$50,MATCH(O2554,Settings!$A$41:$A$50,0))&amp;""="","UNMAPPED",INDEX(Settings!$B$41:$B$50,MATCH(O2554,Settings!$A$41:$A$50,0))&amp;""),"UNMAPPED"))</f>
        <v/>
      </c>
      <c r="Q2554" s="38" t="n">
        <f aca="false">IF($M2554="",0,N(INDEX($A2554:$J2554,$Q$6)))</f>
        <v>0</v>
      </c>
      <c r="R2554" s="39" t="str">
        <f aca="false">IF($M2554="","",INDEX($A2554:$J2554,$R$6))</f>
        <v/>
      </c>
      <c r="S2554" s="37" t="str">
        <f aca="false">IF($M2554="","",IFERROR(INDEX(Settings!$B$27:$B$36,MATCH(L2554,Settings!$A$27:$A$36,0))&amp;"","UNMAPPED"))</f>
        <v/>
      </c>
      <c r="T2554" s="37" t="str">
        <f aca="false">IF($M2554="","",IF(NOT(ISNUMBER(R2554)),"NO DATE",IF(S2554="Won",IF(R2554&gt;Settings!$B$5,"Backlog","Delivered"),IF(S2554="Open",IF(R2554&gt;Settings!$B$5,"Pipeline","Overdue"),IF(S2554="Lost","Lost","UNMAPPED")))))</f>
        <v/>
      </c>
      <c r="U2554" s="40" t="n">
        <f aca="false">IF(T2554="Backlog",1,IF(OR(T2554="Pipeline",T2554="Overdue"),N(INDEX(Settings!$C$27:$C$36,MATCH(L2554,Settings!$A$27:$A$36,0))),0))</f>
        <v>0</v>
      </c>
      <c r="V2554" s="38" t="n">
        <f aca="false">Q2554*U2554</f>
        <v>0</v>
      </c>
      <c r="W2554" s="41" t="str">
        <f aca="false">IF($M2554="","",IF(T2554="Overdue",IF(Settings!$B$8="Yes",Settings!$B$7,""),IF(ISNUMBER(R2554),DATE(YEAR(R2554),MONTH(R2554),1),"")))</f>
        <v/>
      </c>
      <c r="X2554" s="38" t="n">
        <f aca="false">IF(AND(OR(T2554="Backlog",T2554="Pipeline",T2554="Overdue"),ISNUMBER(W2554)),IF(W2554&lt;=Settings!$B$6,V2554,0),0)</f>
        <v>0</v>
      </c>
      <c r="Y2554" s="38" t="n">
        <f aca="false">IF(AND(OR(T2554="Backlog",T2554="Pipeline",T2554="Overdue"),ISNUMBER(W2554)),IF(W2554&lt;=Settings!$B$6,Q2554,0),0)</f>
        <v>0</v>
      </c>
      <c r="Z2554" s="38" t="n">
        <f aca="false">IF(Y2554=0,0,IF(T2554="Backlog",Q2554,Q2554*Dashboard!$C$10))</f>
        <v>0</v>
      </c>
      <c r="AA2554" s="37" t="n">
        <f aca="false">IF($N2554="",0,IF(COUNTIF(Dashboard!$C$13:$C$22,$N2554)&gt;0,1,0))</f>
        <v>0</v>
      </c>
      <c r="AB2554" s="37" t="str">
        <f aca="false">IF($N2554="","",IF(COUNTIF($N$8:$N2554,$N2554)=1,MAX($AB$7:$AB2553)+1,""))</f>
        <v/>
      </c>
    </row>
    <row r="2555" customFormat="false" ht="15" hidden="false" customHeight="false" outlineLevel="0" collapsed="false">
      <c r="L2555" s="37" t="str">
        <f aca="false">IF(INDEX($A2555:$J2555,$L$6)&lt;&gt;"",TRIM(LEFT(INDEX($A2555:$J2555,$L$6),FIND("(",INDEX($A2555:$J2555,$L$6)&amp;"(")-1)),L2554)</f>
        <v>Building Value Proposition</v>
      </c>
      <c r="M2555" s="37" t="str">
        <f aca="false">IF(INDEX($A2555:$J2555,$M$6)="","",INDEX($A2555:$J2555,$M$6)&amp;"")</f>
        <v/>
      </c>
      <c r="N2555" s="37" t="str">
        <f aca="false">IF($M2555="","",TRIM(INDEX($A2555:$J2555,$N$6)&amp;""))</f>
        <v/>
      </c>
      <c r="O2555" s="37" t="str">
        <f aca="false">IF($M2555="","",TRIM(INDEX($A2555:$J2555,$O$6)&amp;""))</f>
        <v/>
      </c>
      <c r="P2555" s="37" t="str">
        <f aca="false">IF($M2555="","",IFERROR(IF(INDEX(Settings!$B$41:$B$50,MATCH(O2555,Settings!$A$41:$A$50,0))&amp;""="","UNMAPPED",INDEX(Settings!$B$41:$B$50,MATCH(O2555,Settings!$A$41:$A$50,0))&amp;""),"UNMAPPED"))</f>
        <v/>
      </c>
      <c r="Q2555" s="38" t="n">
        <f aca="false">IF($M2555="",0,N(INDEX($A2555:$J2555,$Q$6)))</f>
        <v>0</v>
      </c>
      <c r="R2555" s="39" t="str">
        <f aca="false">IF($M2555="","",INDEX($A2555:$J2555,$R$6))</f>
        <v/>
      </c>
      <c r="S2555" s="37" t="str">
        <f aca="false">IF($M2555="","",IFERROR(INDEX(Settings!$B$27:$B$36,MATCH(L2555,Settings!$A$27:$A$36,0))&amp;"","UNMAPPED"))</f>
        <v/>
      </c>
      <c r="T2555" s="37" t="str">
        <f aca="false">IF($M2555="","",IF(NOT(ISNUMBER(R2555)),"NO DATE",IF(S2555="Won",IF(R2555&gt;Settings!$B$5,"Backlog","Delivered"),IF(S2555="Open",IF(R2555&gt;Settings!$B$5,"Pipeline","Overdue"),IF(S2555="Lost","Lost","UNMAPPED")))))</f>
        <v/>
      </c>
      <c r="U2555" s="40" t="n">
        <f aca="false">IF(T2555="Backlog",1,IF(OR(T2555="Pipeline",T2555="Overdue"),N(INDEX(Settings!$C$27:$C$36,MATCH(L2555,Settings!$A$27:$A$36,0))),0))</f>
        <v>0</v>
      </c>
      <c r="V2555" s="38" t="n">
        <f aca="false">Q2555*U2555</f>
        <v>0</v>
      </c>
      <c r="W2555" s="41" t="str">
        <f aca="false">IF($M2555="","",IF(T2555="Overdue",IF(Settings!$B$8="Yes",Settings!$B$7,""),IF(ISNUMBER(R2555),DATE(YEAR(R2555),MONTH(R2555),1),"")))</f>
        <v/>
      </c>
      <c r="X2555" s="38" t="n">
        <f aca="false">IF(AND(OR(T2555="Backlog",T2555="Pipeline",T2555="Overdue"),ISNUMBER(W2555)),IF(W2555&lt;=Settings!$B$6,V2555,0),0)</f>
        <v>0</v>
      </c>
      <c r="Y2555" s="38" t="n">
        <f aca="false">IF(AND(OR(T2555="Backlog",T2555="Pipeline",T2555="Overdue"),ISNUMBER(W2555)),IF(W2555&lt;=Settings!$B$6,Q2555,0),0)</f>
        <v>0</v>
      </c>
      <c r="Z2555" s="38" t="n">
        <f aca="false">IF(Y2555=0,0,IF(T2555="Backlog",Q2555,Q2555*Dashboard!$C$10))</f>
        <v>0</v>
      </c>
      <c r="AA2555" s="37" t="n">
        <f aca="false">IF($N2555="",0,IF(COUNTIF(Dashboard!$C$13:$C$22,$N2555)&gt;0,1,0))</f>
        <v>0</v>
      </c>
      <c r="AB2555" s="37" t="str">
        <f aca="false">IF($N2555="","",IF(COUNTIF($N$8:$N2555,$N2555)=1,MAX($AB$7:$AB2554)+1,""))</f>
        <v/>
      </c>
    </row>
    <row r="2556" customFormat="false" ht="15" hidden="false" customHeight="false" outlineLevel="0" collapsed="false">
      <c r="L2556" s="37" t="str">
        <f aca="false">IF(INDEX($A2556:$J2556,$L$6)&lt;&gt;"",TRIM(LEFT(INDEX($A2556:$J2556,$L$6),FIND("(",INDEX($A2556:$J2556,$L$6)&amp;"(")-1)),L2555)</f>
        <v>Building Value Proposition</v>
      </c>
      <c r="M2556" s="37" t="str">
        <f aca="false">IF(INDEX($A2556:$J2556,$M$6)="","",INDEX($A2556:$J2556,$M$6)&amp;"")</f>
        <v/>
      </c>
      <c r="N2556" s="37" t="str">
        <f aca="false">IF($M2556="","",TRIM(INDEX($A2556:$J2556,$N$6)&amp;""))</f>
        <v/>
      </c>
      <c r="O2556" s="37" t="str">
        <f aca="false">IF($M2556="","",TRIM(INDEX($A2556:$J2556,$O$6)&amp;""))</f>
        <v/>
      </c>
      <c r="P2556" s="37" t="str">
        <f aca="false">IF($M2556="","",IFERROR(IF(INDEX(Settings!$B$41:$B$50,MATCH(O2556,Settings!$A$41:$A$50,0))&amp;""="","UNMAPPED",INDEX(Settings!$B$41:$B$50,MATCH(O2556,Settings!$A$41:$A$50,0))&amp;""),"UNMAPPED"))</f>
        <v/>
      </c>
      <c r="Q2556" s="38" t="n">
        <f aca="false">IF($M2556="",0,N(INDEX($A2556:$J2556,$Q$6)))</f>
        <v>0</v>
      </c>
      <c r="R2556" s="39" t="str">
        <f aca="false">IF($M2556="","",INDEX($A2556:$J2556,$R$6))</f>
        <v/>
      </c>
      <c r="S2556" s="37" t="str">
        <f aca="false">IF($M2556="","",IFERROR(INDEX(Settings!$B$27:$B$36,MATCH(L2556,Settings!$A$27:$A$36,0))&amp;"","UNMAPPED"))</f>
        <v/>
      </c>
      <c r="T2556" s="37" t="str">
        <f aca="false">IF($M2556="","",IF(NOT(ISNUMBER(R2556)),"NO DATE",IF(S2556="Won",IF(R2556&gt;Settings!$B$5,"Backlog","Delivered"),IF(S2556="Open",IF(R2556&gt;Settings!$B$5,"Pipeline","Overdue"),IF(S2556="Lost","Lost","UNMAPPED")))))</f>
        <v/>
      </c>
      <c r="U2556" s="40" t="n">
        <f aca="false">IF(T2556="Backlog",1,IF(OR(T2556="Pipeline",T2556="Overdue"),N(INDEX(Settings!$C$27:$C$36,MATCH(L2556,Settings!$A$27:$A$36,0))),0))</f>
        <v>0</v>
      </c>
      <c r="V2556" s="38" t="n">
        <f aca="false">Q2556*U2556</f>
        <v>0</v>
      </c>
      <c r="W2556" s="41" t="str">
        <f aca="false">IF($M2556="","",IF(T2556="Overdue",IF(Settings!$B$8="Yes",Settings!$B$7,""),IF(ISNUMBER(R2556),DATE(YEAR(R2556),MONTH(R2556),1),"")))</f>
        <v/>
      </c>
      <c r="X2556" s="38" t="n">
        <f aca="false">IF(AND(OR(T2556="Backlog",T2556="Pipeline",T2556="Overdue"),ISNUMBER(W2556)),IF(W2556&lt;=Settings!$B$6,V2556,0),0)</f>
        <v>0</v>
      </c>
      <c r="Y2556" s="38" t="n">
        <f aca="false">IF(AND(OR(T2556="Backlog",T2556="Pipeline",T2556="Overdue"),ISNUMBER(W2556)),IF(W2556&lt;=Settings!$B$6,Q2556,0),0)</f>
        <v>0</v>
      </c>
      <c r="Z2556" s="38" t="n">
        <f aca="false">IF(Y2556=0,0,IF(T2556="Backlog",Q2556,Q2556*Dashboard!$C$10))</f>
        <v>0</v>
      </c>
      <c r="AA2556" s="37" t="n">
        <f aca="false">IF($N2556="",0,IF(COUNTIF(Dashboard!$C$13:$C$22,$N2556)&gt;0,1,0))</f>
        <v>0</v>
      </c>
      <c r="AB2556" s="37" t="str">
        <f aca="false">IF($N2556="","",IF(COUNTIF($N$8:$N2556,$N2556)=1,MAX($AB$7:$AB2555)+1,""))</f>
        <v/>
      </c>
    </row>
    <row r="2557" customFormat="false" ht="15" hidden="false" customHeight="false" outlineLevel="0" collapsed="false">
      <c r="L2557" s="37" t="str">
        <f aca="false">IF(INDEX($A2557:$J2557,$L$6)&lt;&gt;"",TRIM(LEFT(INDEX($A2557:$J2557,$L$6),FIND("(",INDEX($A2557:$J2557,$L$6)&amp;"(")-1)),L2556)</f>
        <v>Building Value Proposition</v>
      </c>
      <c r="M2557" s="37" t="str">
        <f aca="false">IF(INDEX($A2557:$J2557,$M$6)="","",INDEX($A2557:$J2557,$M$6)&amp;"")</f>
        <v/>
      </c>
      <c r="N2557" s="37" t="str">
        <f aca="false">IF($M2557="","",TRIM(INDEX($A2557:$J2557,$N$6)&amp;""))</f>
        <v/>
      </c>
      <c r="O2557" s="37" t="str">
        <f aca="false">IF($M2557="","",TRIM(INDEX($A2557:$J2557,$O$6)&amp;""))</f>
        <v/>
      </c>
      <c r="P2557" s="37" t="str">
        <f aca="false">IF($M2557="","",IFERROR(IF(INDEX(Settings!$B$41:$B$50,MATCH(O2557,Settings!$A$41:$A$50,0))&amp;""="","UNMAPPED",INDEX(Settings!$B$41:$B$50,MATCH(O2557,Settings!$A$41:$A$50,0))&amp;""),"UNMAPPED"))</f>
        <v/>
      </c>
      <c r="Q2557" s="38" t="n">
        <f aca="false">IF($M2557="",0,N(INDEX($A2557:$J2557,$Q$6)))</f>
        <v>0</v>
      </c>
      <c r="R2557" s="39" t="str">
        <f aca="false">IF($M2557="","",INDEX($A2557:$J2557,$R$6))</f>
        <v/>
      </c>
      <c r="S2557" s="37" t="str">
        <f aca="false">IF($M2557="","",IFERROR(INDEX(Settings!$B$27:$B$36,MATCH(L2557,Settings!$A$27:$A$36,0))&amp;"","UNMAPPED"))</f>
        <v/>
      </c>
      <c r="T2557" s="37" t="str">
        <f aca="false">IF($M2557="","",IF(NOT(ISNUMBER(R2557)),"NO DATE",IF(S2557="Won",IF(R2557&gt;Settings!$B$5,"Backlog","Delivered"),IF(S2557="Open",IF(R2557&gt;Settings!$B$5,"Pipeline","Overdue"),IF(S2557="Lost","Lost","UNMAPPED")))))</f>
        <v/>
      </c>
      <c r="U2557" s="40" t="n">
        <f aca="false">IF(T2557="Backlog",1,IF(OR(T2557="Pipeline",T2557="Overdue"),N(INDEX(Settings!$C$27:$C$36,MATCH(L2557,Settings!$A$27:$A$36,0))),0))</f>
        <v>0</v>
      </c>
      <c r="V2557" s="38" t="n">
        <f aca="false">Q2557*U2557</f>
        <v>0</v>
      </c>
      <c r="W2557" s="41" t="str">
        <f aca="false">IF($M2557="","",IF(T2557="Overdue",IF(Settings!$B$8="Yes",Settings!$B$7,""),IF(ISNUMBER(R2557),DATE(YEAR(R2557),MONTH(R2557),1),"")))</f>
        <v/>
      </c>
      <c r="X2557" s="38" t="n">
        <f aca="false">IF(AND(OR(T2557="Backlog",T2557="Pipeline",T2557="Overdue"),ISNUMBER(W2557)),IF(W2557&lt;=Settings!$B$6,V2557,0),0)</f>
        <v>0</v>
      </c>
      <c r="Y2557" s="38" t="n">
        <f aca="false">IF(AND(OR(T2557="Backlog",T2557="Pipeline",T2557="Overdue"),ISNUMBER(W2557)),IF(W2557&lt;=Settings!$B$6,Q2557,0),0)</f>
        <v>0</v>
      </c>
      <c r="Z2557" s="38" t="n">
        <f aca="false">IF(Y2557=0,0,IF(T2557="Backlog",Q2557,Q2557*Dashboard!$C$10))</f>
        <v>0</v>
      </c>
      <c r="AA2557" s="37" t="n">
        <f aca="false">IF($N2557="",0,IF(COUNTIF(Dashboard!$C$13:$C$22,$N2557)&gt;0,1,0))</f>
        <v>0</v>
      </c>
      <c r="AB2557" s="37" t="str">
        <f aca="false">IF($N2557="","",IF(COUNTIF($N$8:$N2557,$N2557)=1,MAX($AB$7:$AB2556)+1,""))</f>
        <v/>
      </c>
    </row>
    <row r="2558" customFormat="false" ht="15" hidden="false" customHeight="false" outlineLevel="0" collapsed="false">
      <c r="L2558" s="37" t="str">
        <f aca="false">IF(INDEX($A2558:$J2558,$L$6)&lt;&gt;"",TRIM(LEFT(INDEX($A2558:$J2558,$L$6),FIND("(",INDEX($A2558:$J2558,$L$6)&amp;"(")-1)),L2557)</f>
        <v>Building Value Proposition</v>
      </c>
      <c r="M2558" s="37" t="str">
        <f aca="false">IF(INDEX($A2558:$J2558,$M$6)="","",INDEX($A2558:$J2558,$M$6)&amp;"")</f>
        <v/>
      </c>
      <c r="N2558" s="37" t="str">
        <f aca="false">IF($M2558="","",TRIM(INDEX($A2558:$J2558,$N$6)&amp;""))</f>
        <v/>
      </c>
      <c r="O2558" s="37" t="str">
        <f aca="false">IF($M2558="","",TRIM(INDEX($A2558:$J2558,$O$6)&amp;""))</f>
        <v/>
      </c>
      <c r="P2558" s="37" t="str">
        <f aca="false">IF($M2558="","",IFERROR(IF(INDEX(Settings!$B$41:$B$50,MATCH(O2558,Settings!$A$41:$A$50,0))&amp;""="","UNMAPPED",INDEX(Settings!$B$41:$B$50,MATCH(O2558,Settings!$A$41:$A$50,0))&amp;""),"UNMAPPED"))</f>
        <v/>
      </c>
      <c r="Q2558" s="38" t="n">
        <f aca="false">IF($M2558="",0,N(INDEX($A2558:$J2558,$Q$6)))</f>
        <v>0</v>
      </c>
      <c r="R2558" s="39" t="str">
        <f aca="false">IF($M2558="","",INDEX($A2558:$J2558,$R$6))</f>
        <v/>
      </c>
      <c r="S2558" s="37" t="str">
        <f aca="false">IF($M2558="","",IFERROR(INDEX(Settings!$B$27:$B$36,MATCH(L2558,Settings!$A$27:$A$36,0))&amp;"","UNMAPPED"))</f>
        <v/>
      </c>
      <c r="T2558" s="37" t="str">
        <f aca="false">IF($M2558="","",IF(NOT(ISNUMBER(R2558)),"NO DATE",IF(S2558="Won",IF(R2558&gt;Settings!$B$5,"Backlog","Delivered"),IF(S2558="Open",IF(R2558&gt;Settings!$B$5,"Pipeline","Overdue"),IF(S2558="Lost","Lost","UNMAPPED")))))</f>
        <v/>
      </c>
      <c r="U2558" s="40" t="n">
        <f aca="false">IF(T2558="Backlog",1,IF(OR(T2558="Pipeline",T2558="Overdue"),N(INDEX(Settings!$C$27:$C$36,MATCH(L2558,Settings!$A$27:$A$36,0))),0))</f>
        <v>0</v>
      </c>
      <c r="V2558" s="38" t="n">
        <f aca="false">Q2558*U2558</f>
        <v>0</v>
      </c>
      <c r="W2558" s="41" t="str">
        <f aca="false">IF($M2558="","",IF(T2558="Overdue",IF(Settings!$B$8="Yes",Settings!$B$7,""),IF(ISNUMBER(R2558),DATE(YEAR(R2558),MONTH(R2558),1),"")))</f>
        <v/>
      </c>
      <c r="X2558" s="38" t="n">
        <f aca="false">IF(AND(OR(T2558="Backlog",T2558="Pipeline",T2558="Overdue"),ISNUMBER(W2558)),IF(W2558&lt;=Settings!$B$6,V2558,0),0)</f>
        <v>0</v>
      </c>
      <c r="Y2558" s="38" t="n">
        <f aca="false">IF(AND(OR(T2558="Backlog",T2558="Pipeline",T2558="Overdue"),ISNUMBER(W2558)),IF(W2558&lt;=Settings!$B$6,Q2558,0),0)</f>
        <v>0</v>
      </c>
      <c r="Z2558" s="38" t="n">
        <f aca="false">IF(Y2558=0,0,IF(T2558="Backlog",Q2558,Q2558*Dashboard!$C$10))</f>
        <v>0</v>
      </c>
      <c r="AA2558" s="37" t="n">
        <f aca="false">IF($N2558="",0,IF(COUNTIF(Dashboard!$C$13:$C$22,$N2558)&gt;0,1,0))</f>
        <v>0</v>
      </c>
      <c r="AB2558" s="37" t="str">
        <f aca="false">IF($N2558="","",IF(COUNTIF($N$8:$N2558,$N2558)=1,MAX($AB$7:$AB2557)+1,""))</f>
        <v/>
      </c>
    </row>
    <row r="2559" customFormat="false" ht="15" hidden="false" customHeight="false" outlineLevel="0" collapsed="false">
      <c r="L2559" s="37" t="str">
        <f aca="false">IF(INDEX($A2559:$J2559,$L$6)&lt;&gt;"",TRIM(LEFT(INDEX($A2559:$J2559,$L$6),FIND("(",INDEX($A2559:$J2559,$L$6)&amp;"(")-1)),L2558)</f>
        <v>Building Value Proposition</v>
      </c>
      <c r="M2559" s="37" t="str">
        <f aca="false">IF(INDEX($A2559:$J2559,$M$6)="","",INDEX($A2559:$J2559,$M$6)&amp;"")</f>
        <v/>
      </c>
      <c r="N2559" s="37" t="str">
        <f aca="false">IF($M2559="","",TRIM(INDEX($A2559:$J2559,$N$6)&amp;""))</f>
        <v/>
      </c>
      <c r="O2559" s="37" t="str">
        <f aca="false">IF($M2559="","",TRIM(INDEX($A2559:$J2559,$O$6)&amp;""))</f>
        <v/>
      </c>
      <c r="P2559" s="37" t="str">
        <f aca="false">IF($M2559="","",IFERROR(IF(INDEX(Settings!$B$41:$B$50,MATCH(O2559,Settings!$A$41:$A$50,0))&amp;""="","UNMAPPED",INDEX(Settings!$B$41:$B$50,MATCH(O2559,Settings!$A$41:$A$50,0))&amp;""),"UNMAPPED"))</f>
        <v/>
      </c>
      <c r="Q2559" s="38" t="n">
        <f aca="false">IF($M2559="",0,N(INDEX($A2559:$J2559,$Q$6)))</f>
        <v>0</v>
      </c>
      <c r="R2559" s="39" t="str">
        <f aca="false">IF($M2559="","",INDEX($A2559:$J2559,$R$6))</f>
        <v/>
      </c>
      <c r="S2559" s="37" t="str">
        <f aca="false">IF($M2559="","",IFERROR(INDEX(Settings!$B$27:$B$36,MATCH(L2559,Settings!$A$27:$A$36,0))&amp;"","UNMAPPED"))</f>
        <v/>
      </c>
      <c r="T2559" s="37" t="str">
        <f aca="false">IF($M2559="","",IF(NOT(ISNUMBER(R2559)),"NO DATE",IF(S2559="Won",IF(R2559&gt;Settings!$B$5,"Backlog","Delivered"),IF(S2559="Open",IF(R2559&gt;Settings!$B$5,"Pipeline","Overdue"),IF(S2559="Lost","Lost","UNMAPPED")))))</f>
        <v/>
      </c>
      <c r="U2559" s="40" t="n">
        <f aca="false">IF(T2559="Backlog",1,IF(OR(T2559="Pipeline",T2559="Overdue"),N(INDEX(Settings!$C$27:$C$36,MATCH(L2559,Settings!$A$27:$A$36,0))),0))</f>
        <v>0</v>
      </c>
      <c r="V2559" s="38" t="n">
        <f aca="false">Q2559*U2559</f>
        <v>0</v>
      </c>
      <c r="W2559" s="41" t="str">
        <f aca="false">IF($M2559="","",IF(T2559="Overdue",IF(Settings!$B$8="Yes",Settings!$B$7,""),IF(ISNUMBER(R2559),DATE(YEAR(R2559),MONTH(R2559),1),"")))</f>
        <v/>
      </c>
      <c r="X2559" s="38" t="n">
        <f aca="false">IF(AND(OR(T2559="Backlog",T2559="Pipeline",T2559="Overdue"),ISNUMBER(W2559)),IF(W2559&lt;=Settings!$B$6,V2559,0),0)</f>
        <v>0</v>
      </c>
      <c r="Y2559" s="38" t="n">
        <f aca="false">IF(AND(OR(T2559="Backlog",T2559="Pipeline",T2559="Overdue"),ISNUMBER(W2559)),IF(W2559&lt;=Settings!$B$6,Q2559,0),0)</f>
        <v>0</v>
      </c>
      <c r="Z2559" s="38" t="n">
        <f aca="false">IF(Y2559=0,0,IF(T2559="Backlog",Q2559,Q2559*Dashboard!$C$10))</f>
        <v>0</v>
      </c>
      <c r="AA2559" s="37" t="n">
        <f aca="false">IF($N2559="",0,IF(COUNTIF(Dashboard!$C$13:$C$22,$N2559)&gt;0,1,0))</f>
        <v>0</v>
      </c>
      <c r="AB2559" s="37" t="str">
        <f aca="false">IF($N2559="","",IF(COUNTIF($N$8:$N2559,$N2559)=1,MAX($AB$7:$AB2558)+1,""))</f>
        <v/>
      </c>
    </row>
    <row r="2560" customFormat="false" ht="15" hidden="false" customHeight="false" outlineLevel="0" collapsed="false">
      <c r="L2560" s="37" t="str">
        <f aca="false">IF(INDEX($A2560:$J2560,$L$6)&lt;&gt;"",TRIM(LEFT(INDEX($A2560:$J2560,$L$6),FIND("(",INDEX($A2560:$J2560,$L$6)&amp;"(")-1)),L2559)</f>
        <v>Building Value Proposition</v>
      </c>
      <c r="M2560" s="37" t="str">
        <f aca="false">IF(INDEX($A2560:$J2560,$M$6)="","",INDEX($A2560:$J2560,$M$6)&amp;"")</f>
        <v/>
      </c>
      <c r="N2560" s="37" t="str">
        <f aca="false">IF($M2560="","",TRIM(INDEX($A2560:$J2560,$N$6)&amp;""))</f>
        <v/>
      </c>
      <c r="O2560" s="37" t="str">
        <f aca="false">IF($M2560="","",TRIM(INDEX($A2560:$J2560,$O$6)&amp;""))</f>
        <v/>
      </c>
      <c r="P2560" s="37" t="str">
        <f aca="false">IF($M2560="","",IFERROR(IF(INDEX(Settings!$B$41:$B$50,MATCH(O2560,Settings!$A$41:$A$50,0))&amp;""="","UNMAPPED",INDEX(Settings!$B$41:$B$50,MATCH(O2560,Settings!$A$41:$A$50,0))&amp;""),"UNMAPPED"))</f>
        <v/>
      </c>
      <c r="Q2560" s="38" t="n">
        <f aca="false">IF($M2560="",0,N(INDEX($A2560:$J2560,$Q$6)))</f>
        <v>0</v>
      </c>
      <c r="R2560" s="39" t="str">
        <f aca="false">IF($M2560="","",INDEX($A2560:$J2560,$R$6))</f>
        <v/>
      </c>
      <c r="S2560" s="37" t="str">
        <f aca="false">IF($M2560="","",IFERROR(INDEX(Settings!$B$27:$B$36,MATCH(L2560,Settings!$A$27:$A$36,0))&amp;"","UNMAPPED"))</f>
        <v/>
      </c>
      <c r="T2560" s="37" t="str">
        <f aca="false">IF($M2560="","",IF(NOT(ISNUMBER(R2560)),"NO DATE",IF(S2560="Won",IF(R2560&gt;Settings!$B$5,"Backlog","Delivered"),IF(S2560="Open",IF(R2560&gt;Settings!$B$5,"Pipeline","Overdue"),IF(S2560="Lost","Lost","UNMAPPED")))))</f>
        <v/>
      </c>
      <c r="U2560" s="40" t="n">
        <f aca="false">IF(T2560="Backlog",1,IF(OR(T2560="Pipeline",T2560="Overdue"),N(INDEX(Settings!$C$27:$C$36,MATCH(L2560,Settings!$A$27:$A$36,0))),0))</f>
        <v>0</v>
      </c>
      <c r="V2560" s="38" t="n">
        <f aca="false">Q2560*U2560</f>
        <v>0</v>
      </c>
      <c r="W2560" s="41" t="str">
        <f aca="false">IF($M2560="","",IF(T2560="Overdue",IF(Settings!$B$8="Yes",Settings!$B$7,""),IF(ISNUMBER(R2560),DATE(YEAR(R2560),MONTH(R2560),1),"")))</f>
        <v/>
      </c>
      <c r="X2560" s="38" t="n">
        <f aca="false">IF(AND(OR(T2560="Backlog",T2560="Pipeline",T2560="Overdue"),ISNUMBER(W2560)),IF(W2560&lt;=Settings!$B$6,V2560,0),0)</f>
        <v>0</v>
      </c>
      <c r="Y2560" s="38" t="n">
        <f aca="false">IF(AND(OR(T2560="Backlog",T2560="Pipeline",T2560="Overdue"),ISNUMBER(W2560)),IF(W2560&lt;=Settings!$B$6,Q2560,0),0)</f>
        <v>0</v>
      </c>
      <c r="Z2560" s="38" t="n">
        <f aca="false">IF(Y2560=0,0,IF(T2560="Backlog",Q2560,Q2560*Dashboard!$C$10))</f>
        <v>0</v>
      </c>
      <c r="AA2560" s="37" t="n">
        <f aca="false">IF($N2560="",0,IF(COUNTIF(Dashboard!$C$13:$C$22,$N2560)&gt;0,1,0))</f>
        <v>0</v>
      </c>
      <c r="AB2560" s="37" t="str">
        <f aca="false">IF($N2560="","",IF(COUNTIF($N$8:$N2560,$N2560)=1,MAX($AB$7:$AB2559)+1,""))</f>
        <v/>
      </c>
    </row>
    <row r="2561" customFormat="false" ht="15" hidden="false" customHeight="false" outlineLevel="0" collapsed="false">
      <c r="L2561" s="37" t="str">
        <f aca="false">IF(INDEX($A2561:$J2561,$L$6)&lt;&gt;"",TRIM(LEFT(INDEX($A2561:$J2561,$L$6),FIND("(",INDEX($A2561:$J2561,$L$6)&amp;"(")-1)),L2560)</f>
        <v>Building Value Proposition</v>
      </c>
      <c r="M2561" s="37" t="str">
        <f aca="false">IF(INDEX($A2561:$J2561,$M$6)="","",INDEX($A2561:$J2561,$M$6)&amp;"")</f>
        <v/>
      </c>
      <c r="N2561" s="37" t="str">
        <f aca="false">IF($M2561="","",TRIM(INDEX($A2561:$J2561,$N$6)&amp;""))</f>
        <v/>
      </c>
      <c r="O2561" s="37" t="str">
        <f aca="false">IF($M2561="","",TRIM(INDEX($A2561:$J2561,$O$6)&amp;""))</f>
        <v/>
      </c>
      <c r="P2561" s="37" t="str">
        <f aca="false">IF($M2561="","",IFERROR(IF(INDEX(Settings!$B$41:$B$50,MATCH(O2561,Settings!$A$41:$A$50,0))&amp;""="","UNMAPPED",INDEX(Settings!$B$41:$B$50,MATCH(O2561,Settings!$A$41:$A$50,0))&amp;""),"UNMAPPED"))</f>
        <v/>
      </c>
      <c r="Q2561" s="38" t="n">
        <f aca="false">IF($M2561="",0,N(INDEX($A2561:$J2561,$Q$6)))</f>
        <v>0</v>
      </c>
      <c r="R2561" s="39" t="str">
        <f aca="false">IF($M2561="","",INDEX($A2561:$J2561,$R$6))</f>
        <v/>
      </c>
      <c r="S2561" s="37" t="str">
        <f aca="false">IF($M2561="","",IFERROR(INDEX(Settings!$B$27:$B$36,MATCH(L2561,Settings!$A$27:$A$36,0))&amp;"","UNMAPPED"))</f>
        <v/>
      </c>
      <c r="T2561" s="37" t="str">
        <f aca="false">IF($M2561="","",IF(NOT(ISNUMBER(R2561)),"NO DATE",IF(S2561="Won",IF(R2561&gt;Settings!$B$5,"Backlog","Delivered"),IF(S2561="Open",IF(R2561&gt;Settings!$B$5,"Pipeline","Overdue"),IF(S2561="Lost","Lost","UNMAPPED")))))</f>
        <v/>
      </c>
      <c r="U2561" s="40" t="n">
        <f aca="false">IF(T2561="Backlog",1,IF(OR(T2561="Pipeline",T2561="Overdue"),N(INDEX(Settings!$C$27:$C$36,MATCH(L2561,Settings!$A$27:$A$36,0))),0))</f>
        <v>0</v>
      </c>
      <c r="V2561" s="38" t="n">
        <f aca="false">Q2561*U2561</f>
        <v>0</v>
      </c>
      <c r="W2561" s="41" t="str">
        <f aca="false">IF($M2561="","",IF(T2561="Overdue",IF(Settings!$B$8="Yes",Settings!$B$7,""),IF(ISNUMBER(R2561),DATE(YEAR(R2561),MONTH(R2561),1),"")))</f>
        <v/>
      </c>
      <c r="X2561" s="38" t="n">
        <f aca="false">IF(AND(OR(T2561="Backlog",T2561="Pipeline",T2561="Overdue"),ISNUMBER(W2561)),IF(W2561&lt;=Settings!$B$6,V2561,0),0)</f>
        <v>0</v>
      </c>
      <c r="Y2561" s="38" t="n">
        <f aca="false">IF(AND(OR(T2561="Backlog",T2561="Pipeline",T2561="Overdue"),ISNUMBER(W2561)),IF(W2561&lt;=Settings!$B$6,Q2561,0),0)</f>
        <v>0</v>
      </c>
      <c r="Z2561" s="38" t="n">
        <f aca="false">IF(Y2561=0,0,IF(T2561="Backlog",Q2561,Q2561*Dashboard!$C$10))</f>
        <v>0</v>
      </c>
      <c r="AA2561" s="37" t="n">
        <f aca="false">IF($N2561="",0,IF(COUNTIF(Dashboard!$C$13:$C$22,$N2561)&gt;0,1,0))</f>
        <v>0</v>
      </c>
      <c r="AB2561" s="37" t="str">
        <f aca="false">IF($N2561="","",IF(COUNTIF($N$8:$N2561,$N2561)=1,MAX($AB$7:$AB2560)+1,""))</f>
        <v/>
      </c>
    </row>
    <row r="2562" customFormat="false" ht="15" hidden="false" customHeight="false" outlineLevel="0" collapsed="false">
      <c r="L2562" s="37" t="str">
        <f aca="false">IF(INDEX($A2562:$J2562,$L$6)&lt;&gt;"",TRIM(LEFT(INDEX($A2562:$J2562,$L$6),FIND("(",INDEX($A2562:$J2562,$L$6)&amp;"(")-1)),L2561)</f>
        <v>Building Value Proposition</v>
      </c>
      <c r="M2562" s="37" t="str">
        <f aca="false">IF(INDEX($A2562:$J2562,$M$6)="","",INDEX($A2562:$J2562,$M$6)&amp;"")</f>
        <v/>
      </c>
      <c r="N2562" s="37" t="str">
        <f aca="false">IF($M2562="","",TRIM(INDEX($A2562:$J2562,$N$6)&amp;""))</f>
        <v/>
      </c>
      <c r="O2562" s="37" t="str">
        <f aca="false">IF($M2562="","",TRIM(INDEX($A2562:$J2562,$O$6)&amp;""))</f>
        <v/>
      </c>
      <c r="P2562" s="37" t="str">
        <f aca="false">IF($M2562="","",IFERROR(IF(INDEX(Settings!$B$41:$B$50,MATCH(O2562,Settings!$A$41:$A$50,0))&amp;""="","UNMAPPED",INDEX(Settings!$B$41:$B$50,MATCH(O2562,Settings!$A$41:$A$50,0))&amp;""),"UNMAPPED"))</f>
        <v/>
      </c>
      <c r="Q2562" s="38" t="n">
        <f aca="false">IF($M2562="",0,N(INDEX($A2562:$J2562,$Q$6)))</f>
        <v>0</v>
      </c>
      <c r="R2562" s="39" t="str">
        <f aca="false">IF($M2562="","",INDEX($A2562:$J2562,$R$6))</f>
        <v/>
      </c>
      <c r="S2562" s="37" t="str">
        <f aca="false">IF($M2562="","",IFERROR(INDEX(Settings!$B$27:$B$36,MATCH(L2562,Settings!$A$27:$A$36,0))&amp;"","UNMAPPED"))</f>
        <v/>
      </c>
      <c r="T2562" s="37" t="str">
        <f aca="false">IF($M2562="","",IF(NOT(ISNUMBER(R2562)),"NO DATE",IF(S2562="Won",IF(R2562&gt;Settings!$B$5,"Backlog","Delivered"),IF(S2562="Open",IF(R2562&gt;Settings!$B$5,"Pipeline","Overdue"),IF(S2562="Lost","Lost","UNMAPPED")))))</f>
        <v/>
      </c>
      <c r="U2562" s="40" t="n">
        <f aca="false">IF(T2562="Backlog",1,IF(OR(T2562="Pipeline",T2562="Overdue"),N(INDEX(Settings!$C$27:$C$36,MATCH(L2562,Settings!$A$27:$A$36,0))),0))</f>
        <v>0</v>
      </c>
      <c r="V2562" s="38" t="n">
        <f aca="false">Q2562*U2562</f>
        <v>0</v>
      </c>
      <c r="W2562" s="41" t="str">
        <f aca="false">IF($M2562="","",IF(T2562="Overdue",IF(Settings!$B$8="Yes",Settings!$B$7,""),IF(ISNUMBER(R2562),DATE(YEAR(R2562),MONTH(R2562),1),"")))</f>
        <v/>
      </c>
      <c r="X2562" s="38" t="n">
        <f aca="false">IF(AND(OR(T2562="Backlog",T2562="Pipeline",T2562="Overdue"),ISNUMBER(W2562)),IF(W2562&lt;=Settings!$B$6,V2562,0),0)</f>
        <v>0</v>
      </c>
      <c r="Y2562" s="38" t="n">
        <f aca="false">IF(AND(OR(T2562="Backlog",T2562="Pipeline",T2562="Overdue"),ISNUMBER(W2562)),IF(W2562&lt;=Settings!$B$6,Q2562,0),0)</f>
        <v>0</v>
      </c>
      <c r="Z2562" s="38" t="n">
        <f aca="false">IF(Y2562=0,0,IF(T2562="Backlog",Q2562,Q2562*Dashboard!$C$10))</f>
        <v>0</v>
      </c>
      <c r="AA2562" s="37" t="n">
        <f aca="false">IF($N2562="",0,IF(COUNTIF(Dashboard!$C$13:$C$22,$N2562)&gt;0,1,0))</f>
        <v>0</v>
      </c>
      <c r="AB2562" s="37" t="str">
        <f aca="false">IF($N2562="","",IF(COUNTIF($N$8:$N2562,$N2562)=1,MAX($AB$7:$AB2561)+1,""))</f>
        <v/>
      </c>
    </row>
    <row r="2563" customFormat="false" ht="15" hidden="false" customHeight="false" outlineLevel="0" collapsed="false">
      <c r="L2563" s="37" t="str">
        <f aca="false">IF(INDEX($A2563:$J2563,$L$6)&lt;&gt;"",TRIM(LEFT(INDEX($A2563:$J2563,$L$6),FIND("(",INDEX($A2563:$J2563,$L$6)&amp;"(")-1)),L2562)</f>
        <v>Building Value Proposition</v>
      </c>
      <c r="M2563" s="37" t="str">
        <f aca="false">IF(INDEX($A2563:$J2563,$M$6)="","",INDEX($A2563:$J2563,$M$6)&amp;"")</f>
        <v/>
      </c>
      <c r="N2563" s="37" t="str">
        <f aca="false">IF($M2563="","",TRIM(INDEX($A2563:$J2563,$N$6)&amp;""))</f>
        <v/>
      </c>
      <c r="O2563" s="37" t="str">
        <f aca="false">IF($M2563="","",TRIM(INDEX($A2563:$J2563,$O$6)&amp;""))</f>
        <v/>
      </c>
      <c r="P2563" s="37" t="str">
        <f aca="false">IF($M2563="","",IFERROR(IF(INDEX(Settings!$B$41:$B$50,MATCH(O2563,Settings!$A$41:$A$50,0))&amp;""="","UNMAPPED",INDEX(Settings!$B$41:$B$50,MATCH(O2563,Settings!$A$41:$A$50,0))&amp;""),"UNMAPPED"))</f>
        <v/>
      </c>
      <c r="Q2563" s="38" t="n">
        <f aca="false">IF($M2563="",0,N(INDEX($A2563:$J2563,$Q$6)))</f>
        <v>0</v>
      </c>
      <c r="R2563" s="39" t="str">
        <f aca="false">IF($M2563="","",INDEX($A2563:$J2563,$R$6))</f>
        <v/>
      </c>
      <c r="S2563" s="37" t="str">
        <f aca="false">IF($M2563="","",IFERROR(INDEX(Settings!$B$27:$B$36,MATCH(L2563,Settings!$A$27:$A$36,0))&amp;"","UNMAPPED"))</f>
        <v/>
      </c>
      <c r="T2563" s="37" t="str">
        <f aca="false">IF($M2563="","",IF(NOT(ISNUMBER(R2563)),"NO DATE",IF(S2563="Won",IF(R2563&gt;Settings!$B$5,"Backlog","Delivered"),IF(S2563="Open",IF(R2563&gt;Settings!$B$5,"Pipeline","Overdue"),IF(S2563="Lost","Lost","UNMAPPED")))))</f>
        <v/>
      </c>
      <c r="U2563" s="40" t="n">
        <f aca="false">IF(T2563="Backlog",1,IF(OR(T2563="Pipeline",T2563="Overdue"),N(INDEX(Settings!$C$27:$C$36,MATCH(L2563,Settings!$A$27:$A$36,0))),0))</f>
        <v>0</v>
      </c>
      <c r="V2563" s="38" t="n">
        <f aca="false">Q2563*U2563</f>
        <v>0</v>
      </c>
      <c r="W2563" s="41" t="str">
        <f aca="false">IF($M2563="","",IF(T2563="Overdue",IF(Settings!$B$8="Yes",Settings!$B$7,""),IF(ISNUMBER(R2563),DATE(YEAR(R2563),MONTH(R2563),1),"")))</f>
        <v/>
      </c>
      <c r="X2563" s="38" t="n">
        <f aca="false">IF(AND(OR(T2563="Backlog",T2563="Pipeline",T2563="Overdue"),ISNUMBER(W2563)),IF(W2563&lt;=Settings!$B$6,V2563,0),0)</f>
        <v>0</v>
      </c>
      <c r="Y2563" s="38" t="n">
        <f aca="false">IF(AND(OR(T2563="Backlog",T2563="Pipeline",T2563="Overdue"),ISNUMBER(W2563)),IF(W2563&lt;=Settings!$B$6,Q2563,0),0)</f>
        <v>0</v>
      </c>
      <c r="Z2563" s="38" t="n">
        <f aca="false">IF(Y2563=0,0,IF(T2563="Backlog",Q2563,Q2563*Dashboard!$C$10))</f>
        <v>0</v>
      </c>
      <c r="AA2563" s="37" t="n">
        <f aca="false">IF($N2563="",0,IF(COUNTIF(Dashboard!$C$13:$C$22,$N2563)&gt;0,1,0))</f>
        <v>0</v>
      </c>
      <c r="AB2563" s="37" t="str">
        <f aca="false">IF($N2563="","",IF(COUNTIF($N$8:$N2563,$N2563)=1,MAX($AB$7:$AB2562)+1,""))</f>
        <v/>
      </c>
    </row>
    <row r="2564" customFormat="false" ht="15" hidden="false" customHeight="false" outlineLevel="0" collapsed="false">
      <c r="L2564" s="37" t="str">
        <f aca="false">IF(INDEX($A2564:$J2564,$L$6)&lt;&gt;"",TRIM(LEFT(INDEX($A2564:$J2564,$L$6),FIND("(",INDEX($A2564:$J2564,$L$6)&amp;"(")-1)),L2563)</f>
        <v>Building Value Proposition</v>
      </c>
      <c r="M2564" s="37" t="str">
        <f aca="false">IF(INDEX($A2564:$J2564,$M$6)="","",INDEX($A2564:$J2564,$M$6)&amp;"")</f>
        <v/>
      </c>
      <c r="N2564" s="37" t="str">
        <f aca="false">IF($M2564="","",TRIM(INDEX($A2564:$J2564,$N$6)&amp;""))</f>
        <v/>
      </c>
      <c r="O2564" s="37" t="str">
        <f aca="false">IF($M2564="","",TRIM(INDEX($A2564:$J2564,$O$6)&amp;""))</f>
        <v/>
      </c>
      <c r="P2564" s="37" t="str">
        <f aca="false">IF($M2564="","",IFERROR(IF(INDEX(Settings!$B$41:$B$50,MATCH(O2564,Settings!$A$41:$A$50,0))&amp;""="","UNMAPPED",INDEX(Settings!$B$41:$B$50,MATCH(O2564,Settings!$A$41:$A$50,0))&amp;""),"UNMAPPED"))</f>
        <v/>
      </c>
      <c r="Q2564" s="38" t="n">
        <f aca="false">IF($M2564="",0,N(INDEX($A2564:$J2564,$Q$6)))</f>
        <v>0</v>
      </c>
      <c r="R2564" s="39" t="str">
        <f aca="false">IF($M2564="","",INDEX($A2564:$J2564,$R$6))</f>
        <v/>
      </c>
      <c r="S2564" s="37" t="str">
        <f aca="false">IF($M2564="","",IFERROR(INDEX(Settings!$B$27:$B$36,MATCH(L2564,Settings!$A$27:$A$36,0))&amp;"","UNMAPPED"))</f>
        <v/>
      </c>
      <c r="T2564" s="37" t="str">
        <f aca="false">IF($M2564="","",IF(NOT(ISNUMBER(R2564)),"NO DATE",IF(S2564="Won",IF(R2564&gt;Settings!$B$5,"Backlog","Delivered"),IF(S2564="Open",IF(R2564&gt;Settings!$B$5,"Pipeline","Overdue"),IF(S2564="Lost","Lost","UNMAPPED")))))</f>
        <v/>
      </c>
      <c r="U2564" s="40" t="n">
        <f aca="false">IF(T2564="Backlog",1,IF(OR(T2564="Pipeline",T2564="Overdue"),N(INDEX(Settings!$C$27:$C$36,MATCH(L2564,Settings!$A$27:$A$36,0))),0))</f>
        <v>0</v>
      </c>
      <c r="V2564" s="38" t="n">
        <f aca="false">Q2564*U2564</f>
        <v>0</v>
      </c>
      <c r="W2564" s="41" t="str">
        <f aca="false">IF($M2564="","",IF(T2564="Overdue",IF(Settings!$B$8="Yes",Settings!$B$7,""),IF(ISNUMBER(R2564),DATE(YEAR(R2564),MONTH(R2564),1),"")))</f>
        <v/>
      </c>
      <c r="X2564" s="38" t="n">
        <f aca="false">IF(AND(OR(T2564="Backlog",T2564="Pipeline",T2564="Overdue"),ISNUMBER(W2564)),IF(W2564&lt;=Settings!$B$6,V2564,0),0)</f>
        <v>0</v>
      </c>
      <c r="Y2564" s="38" t="n">
        <f aca="false">IF(AND(OR(T2564="Backlog",T2564="Pipeline",T2564="Overdue"),ISNUMBER(W2564)),IF(W2564&lt;=Settings!$B$6,Q2564,0),0)</f>
        <v>0</v>
      </c>
      <c r="Z2564" s="38" t="n">
        <f aca="false">IF(Y2564=0,0,IF(T2564="Backlog",Q2564,Q2564*Dashboard!$C$10))</f>
        <v>0</v>
      </c>
      <c r="AA2564" s="37" t="n">
        <f aca="false">IF($N2564="",0,IF(COUNTIF(Dashboard!$C$13:$C$22,$N2564)&gt;0,1,0))</f>
        <v>0</v>
      </c>
      <c r="AB2564" s="37" t="str">
        <f aca="false">IF($N2564="","",IF(COUNTIF($N$8:$N2564,$N2564)=1,MAX($AB$7:$AB2563)+1,""))</f>
        <v/>
      </c>
    </row>
    <row r="2565" customFormat="false" ht="15" hidden="false" customHeight="false" outlineLevel="0" collapsed="false">
      <c r="L2565" s="37" t="str">
        <f aca="false">IF(INDEX($A2565:$J2565,$L$6)&lt;&gt;"",TRIM(LEFT(INDEX($A2565:$J2565,$L$6),FIND("(",INDEX($A2565:$J2565,$L$6)&amp;"(")-1)),L2564)</f>
        <v>Building Value Proposition</v>
      </c>
      <c r="M2565" s="37" t="str">
        <f aca="false">IF(INDEX($A2565:$J2565,$M$6)="","",INDEX($A2565:$J2565,$M$6)&amp;"")</f>
        <v/>
      </c>
      <c r="N2565" s="37" t="str">
        <f aca="false">IF($M2565="","",TRIM(INDEX($A2565:$J2565,$N$6)&amp;""))</f>
        <v/>
      </c>
      <c r="O2565" s="37" t="str">
        <f aca="false">IF($M2565="","",TRIM(INDEX($A2565:$J2565,$O$6)&amp;""))</f>
        <v/>
      </c>
      <c r="P2565" s="37" t="str">
        <f aca="false">IF($M2565="","",IFERROR(IF(INDEX(Settings!$B$41:$B$50,MATCH(O2565,Settings!$A$41:$A$50,0))&amp;""="","UNMAPPED",INDEX(Settings!$B$41:$B$50,MATCH(O2565,Settings!$A$41:$A$50,0))&amp;""),"UNMAPPED"))</f>
        <v/>
      </c>
      <c r="Q2565" s="38" t="n">
        <f aca="false">IF($M2565="",0,N(INDEX($A2565:$J2565,$Q$6)))</f>
        <v>0</v>
      </c>
      <c r="R2565" s="39" t="str">
        <f aca="false">IF($M2565="","",INDEX($A2565:$J2565,$R$6))</f>
        <v/>
      </c>
      <c r="S2565" s="37" t="str">
        <f aca="false">IF($M2565="","",IFERROR(INDEX(Settings!$B$27:$B$36,MATCH(L2565,Settings!$A$27:$A$36,0))&amp;"","UNMAPPED"))</f>
        <v/>
      </c>
      <c r="T2565" s="37" t="str">
        <f aca="false">IF($M2565="","",IF(NOT(ISNUMBER(R2565)),"NO DATE",IF(S2565="Won",IF(R2565&gt;Settings!$B$5,"Backlog","Delivered"),IF(S2565="Open",IF(R2565&gt;Settings!$B$5,"Pipeline","Overdue"),IF(S2565="Lost","Lost","UNMAPPED")))))</f>
        <v/>
      </c>
      <c r="U2565" s="40" t="n">
        <f aca="false">IF(T2565="Backlog",1,IF(OR(T2565="Pipeline",T2565="Overdue"),N(INDEX(Settings!$C$27:$C$36,MATCH(L2565,Settings!$A$27:$A$36,0))),0))</f>
        <v>0</v>
      </c>
      <c r="V2565" s="38" t="n">
        <f aca="false">Q2565*U2565</f>
        <v>0</v>
      </c>
      <c r="W2565" s="41" t="str">
        <f aca="false">IF($M2565="","",IF(T2565="Overdue",IF(Settings!$B$8="Yes",Settings!$B$7,""),IF(ISNUMBER(R2565),DATE(YEAR(R2565),MONTH(R2565),1),"")))</f>
        <v/>
      </c>
      <c r="X2565" s="38" t="n">
        <f aca="false">IF(AND(OR(T2565="Backlog",T2565="Pipeline",T2565="Overdue"),ISNUMBER(W2565)),IF(W2565&lt;=Settings!$B$6,V2565,0),0)</f>
        <v>0</v>
      </c>
      <c r="Y2565" s="38" t="n">
        <f aca="false">IF(AND(OR(T2565="Backlog",T2565="Pipeline",T2565="Overdue"),ISNUMBER(W2565)),IF(W2565&lt;=Settings!$B$6,Q2565,0),0)</f>
        <v>0</v>
      </c>
      <c r="Z2565" s="38" t="n">
        <f aca="false">IF(Y2565=0,0,IF(T2565="Backlog",Q2565,Q2565*Dashboard!$C$10))</f>
        <v>0</v>
      </c>
      <c r="AA2565" s="37" t="n">
        <f aca="false">IF($N2565="",0,IF(COUNTIF(Dashboard!$C$13:$C$22,$N2565)&gt;0,1,0))</f>
        <v>0</v>
      </c>
      <c r="AB2565" s="37" t="str">
        <f aca="false">IF($N2565="","",IF(COUNTIF($N$8:$N2565,$N2565)=1,MAX($AB$7:$AB2564)+1,""))</f>
        <v/>
      </c>
    </row>
    <row r="2566" customFormat="false" ht="15" hidden="false" customHeight="false" outlineLevel="0" collapsed="false">
      <c r="L2566" s="37" t="str">
        <f aca="false">IF(INDEX($A2566:$J2566,$L$6)&lt;&gt;"",TRIM(LEFT(INDEX($A2566:$J2566,$L$6),FIND("(",INDEX($A2566:$J2566,$L$6)&amp;"(")-1)),L2565)</f>
        <v>Building Value Proposition</v>
      </c>
      <c r="M2566" s="37" t="str">
        <f aca="false">IF(INDEX($A2566:$J2566,$M$6)="","",INDEX($A2566:$J2566,$M$6)&amp;"")</f>
        <v/>
      </c>
      <c r="N2566" s="37" t="str">
        <f aca="false">IF($M2566="","",TRIM(INDEX($A2566:$J2566,$N$6)&amp;""))</f>
        <v/>
      </c>
      <c r="O2566" s="37" t="str">
        <f aca="false">IF($M2566="","",TRIM(INDEX($A2566:$J2566,$O$6)&amp;""))</f>
        <v/>
      </c>
      <c r="P2566" s="37" t="str">
        <f aca="false">IF($M2566="","",IFERROR(IF(INDEX(Settings!$B$41:$B$50,MATCH(O2566,Settings!$A$41:$A$50,0))&amp;""="","UNMAPPED",INDEX(Settings!$B$41:$B$50,MATCH(O2566,Settings!$A$41:$A$50,0))&amp;""),"UNMAPPED"))</f>
        <v/>
      </c>
      <c r="Q2566" s="38" t="n">
        <f aca="false">IF($M2566="",0,N(INDEX($A2566:$J2566,$Q$6)))</f>
        <v>0</v>
      </c>
      <c r="R2566" s="39" t="str">
        <f aca="false">IF($M2566="","",INDEX($A2566:$J2566,$R$6))</f>
        <v/>
      </c>
      <c r="S2566" s="37" t="str">
        <f aca="false">IF($M2566="","",IFERROR(INDEX(Settings!$B$27:$B$36,MATCH(L2566,Settings!$A$27:$A$36,0))&amp;"","UNMAPPED"))</f>
        <v/>
      </c>
      <c r="T2566" s="37" t="str">
        <f aca="false">IF($M2566="","",IF(NOT(ISNUMBER(R2566)),"NO DATE",IF(S2566="Won",IF(R2566&gt;Settings!$B$5,"Backlog","Delivered"),IF(S2566="Open",IF(R2566&gt;Settings!$B$5,"Pipeline","Overdue"),IF(S2566="Lost","Lost","UNMAPPED")))))</f>
        <v/>
      </c>
      <c r="U2566" s="40" t="n">
        <f aca="false">IF(T2566="Backlog",1,IF(OR(T2566="Pipeline",T2566="Overdue"),N(INDEX(Settings!$C$27:$C$36,MATCH(L2566,Settings!$A$27:$A$36,0))),0))</f>
        <v>0</v>
      </c>
      <c r="V2566" s="38" t="n">
        <f aca="false">Q2566*U2566</f>
        <v>0</v>
      </c>
      <c r="W2566" s="41" t="str">
        <f aca="false">IF($M2566="","",IF(T2566="Overdue",IF(Settings!$B$8="Yes",Settings!$B$7,""),IF(ISNUMBER(R2566),DATE(YEAR(R2566),MONTH(R2566),1),"")))</f>
        <v/>
      </c>
      <c r="X2566" s="38" t="n">
        <f aca="false">IF(AND(OR(T2566="Backlog",T2566="Pipeline",T2566="Overdue"),ISNUMBER(W2566)),IF(W2566&lt;=Settings!$B$6,V2566,0),0)</f>
        <v>0</v>
      </c>
      <c r="Y2566" s="38" t="n">
        <f aca="false">IF(AND(OR(T2566="Backlog",T2566="Pipeline",T2566="Overdue"),ISNUMBER(W2566)),IF(W2566&lt;=Settings!$B$6,Q2566,0),0)</f>
        <v>0</v>
      </c>
      <c r="Z2566" s="38" t="n">
        <f aca="false">IF(Y2566=0,0,IF(T2566="Backlog",Q2566,Q2566*Dashboard!$C$10))</f>
        <v>0</v>
      </c>
      <c r="AA2566" s="37" t="n">
        <f aca="false">IF($N2566="",0,IF(COUNTIF(Dashboard!$C$13:$C$22,$N2566)&gt;0,1,0))</f>
        <v>0</v>
      </c>
      <c r="AB2566" s="37" t="str">
        <f aca="false">IF($N2566="","",IF(COUNTIF($N$8:$N2566,$N2566)=1,MAX($AB$7:$AB2565)+1,""))</f>
        <v/>
      </c>
    </row>
    <row r="2567" customFormat="false" ht="15" hidden="false" customHeight="false" outlineLevel="0" collapsed="false">
      <c r="L2567" s="37" t="str">
        <f aca="false">IF(INDEX($A2567:$J2567,$L$6)&lt;&gt;"",TRIM(LEFT(INDEX($A2567:$J2567,$L$6),FIND("(",INDEX($A2567:$J2567,$L$6)&amp;"(")-1)),L2566)</f>
        <v>Building Value Proposition</v>
      </c>
      <c r="M2567" s="37" t="str">
        <f aca="false">IF(INDEX($A2567:$J2567,$M$6)="","",INDEX($A2567:$J2567,$M$6)&amp;"")</f>
        <v/>
      </c>
      <c r="N2567" s="37" t="str">
        <f aca="false">IF($M2567="","",TRIM(INDEX($A2567:$J2567,$N$6)&amp;""))</f>
        <v/>
      </c>
      <c r="O2567" s="37" t="str">
        <f aca="false">IF($M2567="","",TRIM(INDEX($A2567:$J2567,$O$6)&amp;""))</f>
        <v/>
      </c>
      <c r="P2567" s="37" t="str">
        <f aca="false">IF($M2567="","",IFERROR(IF(INDEX(Settings!$B$41:$B$50,MATCH(O2567,Settings!$A$41:$A$50,0))&amp;""="","UNMAPPED",INDEX(Settings!$B$41:$B$50,MATCH(O2567,Settings!$A$41:$A$50,0))&amp;""),"UNMAPPED"))</f>
        <v/>
      </c>
      <c r="Q2567" s="38" t="n">
        <f aca="false">IF($M2567="",0,N(INDEX($A2567:$J2567,$Q$6)))</f>
        <v>0</v>
      </c>
      <c r="R2567" s="39" t="str">
        <f aca="false">IF($M2567="","",INDEX($A2567:$J2567,$R$6))</f>
        <v/>
      </c>
      <c r="S2567" s="37" t="str">
        <f aca="false">IF($M2567="","",IFERROR(INDEX(Settings!$B$27:$B$36,MATCH(L2567,Settings!$A$27:$A$36,0))&amp;"","UNMAPPED"))</f>
        <v/>
      </c>
      <c r="T2567" s="37" t="str">
        <f aca="false">IF($M2567="","",IF(NOT(ISNUMBER(R2567)),"NO DATE",IF(S2567="Won",IF(R2567&gt;Settings!$B$5,"Backlog","Delivered"),IF(S2567="Open",IF(R2567&gt;Settings!$B$5,"Pipeline","Overdue"),IF(S2567="Lost","Lost","UNMAPPED")))))</f>
        <v/>
      </c>
      <c r="U2567" s="40" t="n">
        <f aca="false">IF(T2567="Backlog",1,IF(OR(T2567="Pipeline",T2567="Overdue"),N(INDEX(Settings!$C$27:$C$36,MATCH(L2567,Settings!$A$27:$A$36,0))),0))</f>
        <v>0</v>
      </c>
      <c r="V2567" s="38" t="n">
        <f aca="false">Q2567*U2567</f>
        <v>0</v>
      </c>
      <c r="W2567" s="41" t="str">
        <f aca="false">IF($M2567="","",IF(T2567="Overdue",IF(Settings!$B$8="Yes",Settings!$B$7,""),IF(ISNUMBER(R2567),DATE(YEAR(R2567),MONTH(R2567),1),"")))</f>
        <v/>
      </c>
      <c r="X2567" s="38" t="n">
        <f aca="false">IF(AND(OR(T2567="Backlog",T2567="Pipeline",T2567="Overdue"),ISNUMBER(W2567)),IF(W2567&lt;=Settings!$B$6,V2567,0),0)</f>
        <v>0</v>
      </c>
      <c r="Y2567" s="38" t="n">
        <f aca="false">IF(AND(OR(T2567="Backlog",T2567="Pipeline",T2567="Overdue"),ISNUMBER(W2567)),IF(W2567&lt;=Settings!$B$6,Q2567,0),0)</f>
        <v>0</v>
      </c>
      <c r="Z2567" s="38" t="n">
        <f aca="false">IF(Y2567=0,0,IF(T2567="Backlog",Q2567,Q2567*Dashboard!$C$10))</f>
        <v>0</v>
      </c>
      <c r="AA2567" s="37" t="n">
        <f aca="false">IF($N2567="",0,IF(COUNTIF(Dashboard!$C$13:$C$22,$N2567)&gt;0,1,0))</f>
        <v>0</v>
      </c>
      <c r="AB2567" s="37" t="str">
        <f aca="false">IF($N2567="","",IF(COUNTIF($N$8:$N2567,$N2567)=1,MAX($AB$7:$AB2566)+1,""))</f>
        <v/>
      </c>
    </row>
    <row r="2568" customFormat="false" ht="15" hidden="false" customHeight="false" outlineLevel="0" collapsed="false">
      <c r="L2568" s="37" t="str">
        <f aca="false">IF(INDEX($A2568:$J2568,$L$6)&lt;&gt;"",TRIM(LEFT(INDEX($A2568:$J2568,$L$6),FIND("(",INDEX($A2568:$J2568,$L$6)&amp;"(")-1)),L2567)</f>
        <v>Building Value Proposition</v>
      </c>
      <c r="M2568" s="37" t="str">
        <f aca="false">IF(INDEX($A2568:$J2568,$M$6)="","",INDEX($A2568:$J2568,$M$6)&amp;"")</f>
        <v/>
      </c>
      <c r="N2568" s="37" t="str">
        <f aca="false">IF($M2568="","",TRIM(INDEX($A2568:$J2568,$N$6)&amp;""))</f>
        <v/>
      </c>
      <c r="O2568" s="37" t="str">
        <f aca="false">IF($M2568="","",TRIM(INDEX($A2568:$J2568,$O$6)&amp;""))</f>
        <v/>
      </c>
      <c r="P2568" s="37" t="str">
        <f aca="false">IF($M2568="","",IFERROR(IF(INDEX(Settings!$B$41:$B$50,MATCH(O2568,Settings!$A$41:$A$50,0))&amp;""="","UNMAPPED",INDEX(Settings!$B$41:$B$50,MATCH(O2568,Settings!$A$41:$A$50,0))&amp;""),"UNMAPPED"))</f>
        <v/>
      </c>
      <c r="Q2568" s="38" t="n">
        <f aca="false">IF($M2568="",0,N(INDEX($A2568:$J2568,$Q$6)))</f>
        <v>0</v>
      </c>
      <c r="R2568" s="39" t="str">
        <f aca="false">IF($M2568="","",INDEX($A2568:$J2568,$R$6))</f>
        <v/>
      </c>
      <c r="S2568" s="37" t="str">
        <f aca="false">IF($M2568="","",IFERROR(INDEX(Settings!$B$27:$B$36,MATCH(L2568,Settings!$A$27:$A$36,0))&amp;"","UNMAPPED"))</f>
        <v/>
      </c>
      <c r="T2568" s="37" t="str">
        <f aca="false">IF($M2568="","",IF(NOT(ISNUMBER(R2568)),"NO DATE",IF(S2568="Won",IF(R2568&gt;Settings!$B$5,"Backlog","Delivered"),IF(S2568="Open",IF(R2568&gt;Settings!$B$5,"Pipeline","Overdue"),IF(S2568="Lost","Lost","UNMAPPED")))))</f>
        <v/>
      </c>
      <c r="U2568" s="40" t="n">
        <f aca="false">IF(T2568="Backlog",1,IF(OR(T2568="Pipeline",T2568="Overdue"),N(INDEX(Settings!$C$27:$C$36,MATCH(L2568,Settings!$A$27:$A$36,0))),0))</f>
        <v>0</v>
      </c>
      <c r="V2568" s="38" t="n">
        <f aca="false">Q2568*U2568</f>
        <v>0</v>
      </c>
      <c r="W2568" s="41" t="str">
        <f aca="false">IF($M2568="","",IF(T2568="Overdue",IF(Settings!$B$8="Yes",Settings!$B$7,""),IF(ISNUMBER(R2568),DATE(YEAR(R2568),MONTH(R2568),1),"")))</f>
        <v/>
      </c>
      <c r="X2568" s="38" t="n">
        <f aca="false">IF(AND(OR(T2568="Backlog",T2568="Pipeline",T2568="Overdue"),ISNUMBER(W2568)),IF(W2568&lt;=Settings!$B$6,V2568,0),0)</f>
        <v>0</v>
      </c>
      <c r="Y2568" s="38" t="n">
        <f aca="false">IF(AND(OR(T2568="Backlog",T2568="Pipeline",T2568="Overdue"),ISNUMBER(W2568)),IF(W2568&lt;=Settings!$B$6,Q2568,0),0)</f>
        <v>0</v>
      </c>
      <c r="Z2568" s="38" t="n">
        <f aca="false">IF(Y2568=0,0,IF(T2568="Backlog",Q2568,Q2568*Dashboard!$C$10))</f>
        <v>0</v>
      </c>
      <c r="AA2568" s="37" t="n">
        <f aca="false">IF($N2568="",0,IF(COUNTIF(Dashboard!$C$13:$C$22,$N2568)&gt;0,1,0))</f>
        <v>0</v>
      </c>
      <c r="AB2568" s="37" t="str">
        <f aca="false">IF($N2568="","",IF(COUNTIF($N$8:$N2568,$N2568)=1,MAX($AB$7:$AB2567)+1,""))</f>
        <v/>
      </c>
    </row>
    <row r="2569" customFormat="false" ht="15" hidden="false" customHeight="false" outlineLevel="0" collapsed="false">
      <c r="L2569" s="37" t="str">
        <f aca="false">IF(INDEX($A2569:$J2569,$L$6)&lt;&gt;"",TRIM(LEFT(INDEX($A2569:$J2569,$L$6),FIND("(",INDEX($A2569:$J2569,$L$6)&amp;"(")-1)),L2568)</f>
        <v>Building Value Proposition</v>
      </c>
      <c r="M2569" s="37" t="str">
        <f aca="false">IF(INDEX($A2569:$J2569,$M$6)="","",INDEX($A2569:$J2569,$M$6)&amp;"")</f>
        <v/>
      </c>
      <c r="N2569" s="37" t="str">
        <f aca="false">IF($M2569="","",TRIM(INDEX($A2569:$J2569,$N$6)&amp;""))</f>
        <v/>
      </c>
      <c r="O2569" s="37" t="str">
        <f aca="false">IF($M2569="","",TRIM(INDEX($A2569:$J2569,$O$6)&amp;""))</f>
        <v/>
      </c>
      <c r="P2569" s="37" t="str">
        <f aca="false">IF($M2569="","",IFERROR(IF(INDEX(Settings!$B$41:$B$50,MATCH(O2569,Settings!$A$41:$A$50,0))&amp;""="","UNMAPPED",INDEX(Settings!$B$41:$B$50,MATCH(O2569,Settings!$A$41:$A$50,0))&amp;""),"UNMAPPED"))</f>
        <v/>
      </c>
      <c r="Q2569" s="38" t="n">
        <f aca="false">IF($M2569="",0,N(INDEX($A2569:$J2569,$Q$6)))</f>
        <v>0</v>
      </c>
      <c r="R2569" s="39" t="str">
        <f aca="false">IF($M2569="","",INDEX($A2569:$J2569,$R$6))</f>
        <v/>
      </c>
      <c r="S2569" s="37" t="str">
        <f aca="false">IF($M2569="","",IFERROR(INDEX(Settings!$B$27:$B$36,MATCH(L2569,Settings!$A$27:$A$36,0))&amp;"","UNMAPPED"))</f>
        <v/>
      </c>
      <c r="T2569" s="37" t="str">
        <f aca="false">IF($M2569="","",IF(NOT(ISNUMBER(R2569)),"NO DATE",IF(S2569="Won",IF(R2569&gt;Settings!$B$5,"Backlog","Delivered"),IF(S2569="Open",IF(R2569&gt;Settings!$B$5,"Pipeline","Overdue"),IF(S2569="Lost","Lost","UNMAPPED")))))</f>
        <v/>
      </c>
      <c r="U2569" s="40" t="n">
        <f aca="false">IF(T2569="Backlog",1,IF(OR(T2569="Pipeline",T2569="Overdue"),N(INDEX(Settings!$C$27:$C$36,MATCH(L2569,Settings!$A$27:$A$36,0))),0))</f>
        <v>0</v>
      </c>
      <c r="V2569" s="38" t="n">
        <f aca="false">Q2569*U2569</f>
        <v>0</v>
      </c>
      <c r="W2569" s="41" t="str">
        <f aca="false">IF($M2569="","",IF(T2569="Overdue",IF(Settings!$B$8="Yes",Settings!$B$7,""),IF(ISNUMBER(R2569),DATE(YEAR(R2569),MONTH(R2569),1),"")))</f>
        <v/>
      </c>
      <c r="X2569" s="38" t="n">
        <f aca="false">IF(AND(OR(T2569="Backlog",T2569="Pipeline",T2569="Overdue"),ISNUMBER(W2569)),IF(W2569&lt;=Settings!$B$6,V2569,0),0)</f>
        <v>0</v>
      </c>
      <c r="Y2569" s="38" t="n">
        <f aca="false">IF(AND(OR(T2569="Backlog",T2569="Pipeline",T2569="Overdue"),ISNUMBER(W2569)),IF(W2569&lt;=Settings!$B$6,Q2569,0),0)</f>
        <v>0</v>
      </c>
      <c r="Z2569" s="38" t="n">
        <f aca="false">IF(Y2569=0,0,IF(T2569="Backlog",Q2569,Q2569*Dashboard!$C$10))</f>
        <v>0</v>
      </c>
      <c r="AA2569" s="37" t="n">
        <f aca="false">IF($N2569="",0,IF(COUNTIF(Dashboard!$C$13:$C$22,$N2569)&gt;0,1,0))</f>
        <v>0</v>
      </c>
      <c r="AB2569" s="37" t="str">
        <f aca="false">IF($N2569="","",IF(COUNTIF($N$8:$N2569,$N2569)=1,MAX($AB$7:$AB2568)+1,""))</f>
        <v/>
      </c>
    </row>
    <row r="2570" customFormat="false" ht="15" hidden="false" customHeight="false" outlineLevel="0" collapsed="false">
      <c r="L2570" s="37" t="str">
        <f aca="false">IF(INDEX($A2570:$J2570,$L$6)&lt;&gt;"",TRIM(LEFT(INDEX($A2570:$J2570,$L$6),FIND("(",INDEX($A2570:$J2570,$L$6)&amp;"(")-1)),L2569)</f>
        <v>Building Value Proposition</v>
      </c>
      <c r="M2570" s="37" t="str">
        <f aca="false">IF(INDEX($A2570:$J2570,$M$6)="","",INDEX($A2570:$J2570,$M$6)&amp;"")</f>
        <v/>
      </c>
      <c r="N2570" s="37" t="str">
        <f aca="false">IF($M2570="","",TRIM(INDEX($A2570:$J2570,$N$6)&amp;""))</f>
        <v/>
      </c>
      <c r="O2570" s="37" t="str">
        <f aca="false">IF($M2570="","",TRIM(INDEX($A2570:$J2570,$O$6)&amp;""))</f>
        <v/>
      </c>
      <c r="P2570" s="37" t="str">
        <f aca="false">IF($M2570="","",IFERROR(IF(INDEX(Settings!$B$41:$B$50,MATCH(O2570,Settings!$A$41:$A$50,0))&amp;""="","UNMAPPED",INDEX(Settings!$B$41:$B$50,MATCH(O2570,Settings!$A$41:$A$50,0))&amp;""),"UNMAPPED"))</f>
        <v/>
      </c>
      <c r="Q2570" s="38" t="n">
        <f aca="false">IF($M2570="",0,N(INDEX($A2570:$J2570,$Q$6)))</f>
        <v>0</v>
      </c>
      <c r="R2570" s="39" t="str">
        <f aca="false">IF($M2570="","",INDEX($A2570:$J2570,$R$6))</f>
        <v/>
      </c>
      <c r="S2570" s="37" t="str">
        <f aca="false">IF($M2570="","",IFERROR(INDEX(Settings!$B$27:$B$36,MATCH(L2570,Settings!$A$27:$A$36,0))&amp;"","UNMAPPED"))</f>
        <v/>
      </c>
      <c r="T2570" s="37" t="str">
        <f aca="false">IF($M2570="","",IF(NOT(ISNUMBER(R2570)),"NO DATE",IF(S2570="Won",IF(R2570&gt;Settings!$B$5,"Backlog","Delivered"),IF(S2570="Open",IF(R2570&gt;Settings!$B$5,"Pipeline","Overdue"),IF(S2570="Lost","Lost","UNMAPPED")))))</f>
        <v/>
      </c>
      <c r="U2570" s="40" t="n">
        <f aca="false">IF(T2570="Backlog",1,IF(OR(T2570="Pipeline",T2570="Overdue"),N(INDEX(Settings!$C$27:$C$36,MATCH(L2570,Settings!$A$27:$A$36,0))),0))</f>
        <v>0</v>
      </c>
      <c r="V2570" s="38" t="n">
        <f aca="false">Q2570*U2570</f>
        <v>0</v>
      </c>
      <c r="W2570" s="41" t="str">
        <f aca="false">IF($M2570="","",IF(T2570="Overdue",IF(Settings!$B$8="Yes",Settings!$B$7,""),IF(ISNUMBER(R2570),DATE(YEAR(R2570),MONTH(R2570),1),"")))</f>
        <v/>
      </c>
      <c r="X2570" s="38" t="n">
        <f aca="false">IF(AND(OR(T2570="Backlog",T2570="Pipeline",T2570="Overdue"),ISNUMBER(W2570)),IF(W2570&lt;=Settings!$B$6,V2570,0),0)</f>
        <v>0</v>
      </c>
      <c r="Y2570" s="38" t="n">
        <f aca="false">IF(AND(OR(T2570="Backlog",T2570="Pipeline",T2570="Overdue"),ISNUMBER(W2570)),IF(W2570&lt;=Settings!$B$6,Q2570,0),0)</f>
        <v>0</v>
      </c>
      <c r="Z2570" s="38" t="n">
        <f aca="false">IF(Y2570=0,0,IF(T2570="Backlog",Q2570,Q2570*Dashboard!$C$10))</f>
        <v>0</v>
      </c>
      <c r="AA2570" s="37" t="n">
        <f aca="false">IF($N2570="",0,IF(COUNTIF(Dashboard!$C$13:$C$22,$N2570)&gt;0,1,0))</f>
        <v>0</v>
      </c>
      <c r="AB2570" s="37" t="str">
        <f aca="false">IF($N2570="","",IF(COUNTIF($N$8:$N2570,$N2570)=1,MAX($AB$7:$AB2569)+1,""))</f>
        <v/>
      </c>
    </row>
    <row r="2571" customFormat="false" ht="15" hidden="false" customHeight="false" outlineLevel="0" collapsed="false">
      <c r="L2571" s="37" t="str">
        <f aca="false">IF(INDEX($A2571:$J2571,$L$6)&lt;&gt;"",TRIM(LEFT(INDEX($A2571:$J2571,$L$6),FIND("(",INDEX($A2571:$J2571,$L$6)&amp;"(")-1)),L2570)</f>
        <v>Building Value Proposition</v>
      </c>
      <c r="M2571" s="37" t="str">
        <f aca="false">IF(INDEX($A2571:$J2571,$M$6)="","",INDEX($A2571:$J2571,$M$6)&amp;"")</f>
        <v/>
      </c>
      <c r="N2571" s="37" t="str">
        <f aca="false">IF($M2571="","",TRIM(INDEX($A2571:$J2571,$N$6)&amp;""))</f>
        <v/>
      </c>
      <c r="O2571" s="37" t="str">
        <f aca="false">IF($M2571="","",TRIM(INDEX($A2571:$J2571,$O$6)&amp;""))</f>
        <v/>
      </c>
      <c r="P2571" s="37" t="str">
        <f aca="false">IF($M2571="","",IFERROR(IF(INDEX(Settings!$B$41:$B$50,MATCH(O2571,Settings!$A$41:$A$50,0))&amp;""="","UNMAPPED",INDEX(Settings!$B$41:$B$50,MATCH(O2571,Settings!$A$41:$A$50,0))&amp;""),"UNMAPPED"))</f>
        <v/>
      </c>
      <c r="Q2571" s="38" t="n">
        <f aca="false">IF($M2571="",0,N(INDEX($A2571:$J2571,$Q$6)))</f>
        <v>0</v>
      </c>
      <c r="R2571" s="39" t="str">
        <f aca="false">IF($M2571="","",INDEX($A2571:$J2571,$R$6))</f>
        <v/>
      </c>
      <c r="S2571" s="37" t="str">
        <f aca="false">IF($M2571="","",IFERROR(INDEX(Settings!$B$27:$B$36,MATCH(L2571,Settings!$A$27:$A$36,0))&amp;"","UNMAPPED"))</f>
        <v/>
      </c>
      <c r="T2571" s="37" t="str">
        <f aca="false">IF($M2571="","",IF(NOT(ISNUMBER(R2571)),"NO DATE",IF(S2571="Won",IF(R2571&gt;Settings!$B$5,"Backlog","Delivered"),IF(S2571="Open",IF(R2571&gt;Settings!$B$5,"Pipeline","Overdue"),IF(S2571="Lost","Lost","UNMAPPED")))))</f>
        <v/>
      </c>
      <c r="U2571" s="40" t="n">
        <f aca="false">IF(T2571="Backlog",1,IF(OR(T2571="Pipeline",T2571="Overdue"),N(INDEX(Settings!$C$27:$C$36,MATCH(L2571,Settings!$A$27:$A$36,0))),0))</f>
        <v>0</v>
      </c>
      <c r="V2571" s="38" t="n">
        <f aca="false">Q2571*U2571</f>
        <v>0</v>
      </c>
      <c r="W2571" s="41" t="str">
        <f aca="false">IF($M2571="","",IF(T2571="Overdue",IF(Settings!$B$8="Yes",Settings!$B$7,""),IF(ISNUMBER(R2571),DATE(YEAR(R2571),MONTH(R2571),1),"")))</f>
        <v/>
      </c>
      <c r="X2571" s="38" t="n">
        <f aca="false">IF(AND(OR(T2571="Backlog",T2571="Pipeline",T2571="Overdue"),ISNUMBER(W2571)),IF(W2571&lt;=Settings!$B$6,V2571,0),0)</f>
        <v>0</v>
      </c>
      <c r="Y2571" s="38" t="n">
        <f aca="false">IF(AND(OR(T2571="Backlog",T2571="Pipeline",T2571="Overdue"),ISNUMBER(W2571)),IF(W2571&lt;=Settings!$B$6,Q2571,0),0)</f>
        <v>0</v>
      </c>
      <c r="Z2571" s="38" t="n">
        <f aca="false">IF(Y2571=0,0,IF(T2571="Backlog",Q2571,Q2571*Dashboard!$C$10))</f>
        <v>0</v>
      </c>
      <c r="AA2571" s="37" t="n">
        <f aca="false">IF($N2571="",0,IF(COUNTIF(Dashboard!$C$13:$C$22,$N2571)&gt;0,1,0))</f>
        <v>0</v>
      </c>
      <c r="AB2571" s="37" t="str">
        <f aca="false">IF($N2571="","",IF(COUNTIF($N$8:$N2571,$N2571)=1,MAX($AB$7:$AB2570)+1,""))</f>
        <v/>
      </c>
    </row>
    <row r="2572" customFormat="false" ht="15" hidden="false" customHeight="false" outlineLevel="0" collapsed="false">
      <c r="L2572" s="37" t="str">
        <f aca="false">IF(INDEX($A2572:$J2572,$L$6)&lt;&gt;"",TRIM(LEFT(INDEX($A2572:$J2572,$L$6),FIND("(",INDEX($A2572:$J2572,$L$6)&amp;"(")-1)),L2571)</f>
        <v>Building Value Proposition</v>
      </c>
      <c r="M2572" s="37" t="str">
        <f aca="false">IF(INDEX($A2572:$J2572,$M$6)="","",INDEX($A2572:$J2572,$M$6)&amp;"")</f>
        <v/>
      </c>
      <c r="N2572" s="37" t="str">
        <f aca="false">IF($M2572="","",TRIM(INDEX($A2572:$J2572,$N$6)&amp;""))</f>
        <v/>
      </c>
      <c r="O2572" s="37" t="str">
        <f aca="false">IF($M2572="","",TRIM(INDEX($A2572:$J2572,$O$6)&amp;""))</f>
        <v/>
      </c>
      <c r="P2572" s="37" t="str">
        <f aca="false">IF($M2572="","",IFERROR(IF(INDEX(Settings!$B$41:$B$50,MATCH(O2572,Settings!$A$41:$A$50,0))&amp;""="","UNMAPPED",INDEX(Settings!$B$41:$B$50,MATCH(O2572,Settings!$A$41:$A$50,0))&amp;""),"UNMAPPED"))</f>
        <v/>
      </c>
      <c r="Q2572" s="38" t="n">
        <f aca="false">IF($M2572="",0,N(INDEX($A2572:$J2572,$Q$6)))</f>
        <v>0</v>
      </c>
      <c r="R2572" s="39" t="str">
        <f aca="false">IF($M2572="","",INDEX($A2572:$J2572,$R$6))</f>
        <v/>
      </c>
      <c r="S2572" s="37" t="str">
        <f aca="false">IF($M2572="","",IFERROR(INDEX(Settings!$B$27:$B$36,MATCH(L2572,Settings!$A$27:$A$36,0))&amp;"","UNMAPPED"))</f>
        <v/>
      </c>
      <c r="T2572" s="37" t="str">
        <f aca="false">IF($M2572="","",IF(NOT(ISNUMBER(R2572)),"NO DATE",IF(S2572="Won",IF(R2572&gt;Settings!$B$5,"Backlog","Delivered"),IF(S2572="Open",IF(R2572&gt;Settings!$B$5,"Pipeline","Overdue"),IF(S2572="Lost","Lost","UNMAPPED")))))</f>
        <v/>
      </c>
      <c r="U2572" s="40" t="n">
        <f aca="false">IF(T2572="Backlog",1,IF(OR(T2572="Pipeline",T2572="Overdue"),N(INDEX(Settings!$C$27:$C$36,MATCH(L2572,Settings!$A$27:$A$36,0))),0))</f>
        <v>0</v>
      </c>
      <c r="V2572" s="38" t="n">
        <f aca="false">Q2572*U2572</f>
        <v>0</v>
      </c>
      <c r="W2572" s="41" t="str">
        <f aca="false">IF($M2572="","",IF(T2572="Overdue",IF(Settings!$B$8="Yes",Settings!$B$7,""),IF(ISNUMBER(R2572),DATE(YEAR(R2572),MONTH(R2572),1),"")))</f>
        <v/>
      </c>
      <c r="X2572" s="38" t="n">
        <f aca="false">IF(AND(OR(T2572="Backlog",T2572="Pipeline",T2572="Overdue"),ISNUMBER(W2572)),IF(W2572&lt;=Settings!$B$6,V2572,0),0)</f>
        <v>0</v>
      </c>
      <c r="Y2572" s="38" t="n">
        <f aca="false">IF(AND(OR(T2572="Backlog",T2572="Pipeline",T2572="Overdue"),ISNUMBER(W2572)),IF(W2572&lt;=Settings!$B$6,Q2572,0),0)</f>
        <v>0</v>
      </c>
      <c r="Z2572" s="38" t="n">
        <f aca="false">IF(Y2572=0,0,IF(T2572="Backlog",Q2572,Q2572*Dashboard!$C$10))</f>
        <v>0</v>
      </c>
      <c r="AA2572" s="37" t="n">
        <f aca="false">IF($N2572="",0,IF(COUNTIF(Dashboard!$C$13:$C$22,$N2572)&gt;0,1,0))</f>
        <v>0</v>
      </c>
      <c r="AB2572" s="37" t="str">
        <f aca="false">IF($N2572="","",IF(COUNTIF($N$8:$N2572,$N2572)=1,MAX($AB$7:$AB2571)+1,""))</f>
        <v/>
      </c>
    </row>
    <row r="2573" customFormat="false" ht="15" hidden="false" customHeight="false" outlineLevel="0" collapsed="false">
      <c r="L2573" s="37" t="str">
        <f aca="false">IF(INDEX($A2573:$J2573,$L$6)&lt;&gt;"",TRIM(LEFT(INDEX($A2573:$J2573,$L$6),FIND("(",INDEX($A2573:$J2573,$L$6)&amp;"(")-1)),L2572)</f>
        <v>Building Value Proposition</v>
      </c>
      <c r="M2573" s="37" t="str">
        <f aca="false">IF(INDEX($A2573:$J2573,$M$6)="","",INDEX($A2573:$J2573,$M$6)&amp;"")</f>
        <v/>
      </c>
      <c r="N2573" s="37" t="str">
        <f aca="false">IF($M2573="","",TRIM(INDEX($A2573:$J2573,$N$6)&amp;""))</f>
        <v/>
      </c>
      <c r="O2573" s="37" t="str">
        <f aca="false">IF($M2573="","",TRIM(INDEX($A2573:$J2573,$O$6)&amp;""))</f>
        <v/>
      </c>
      <c r="P2573" s="37" t="str">
        <f aca="false">IF($M2573="","",IFERROR(IF(INDEX(Settings!$B$41:$B$50,MATCH(O2573,Settings!$A$41:$A$50,0))&amp;""="","UNMAPPED",INDEX(Settings!$B$41:$B$50,MATCH(O2573,Settings!$A$41:$A$50,0))&amp;""),"UNMAPPED"))</f>
        <v/>
      </c>
      <c r="Q2573" s="38" t="n">
        <f aca="false">IF($M2573="",0,N(INDEX($A2573:$J2573,$Q$6)))</f>
        <v>0</v>
      </c>
      <c r="R2573" s="39" t="str">
        <f aca="false">IF($M2573="","",INDEX($A2573:$J2573,$R$6))</f>
        <v/>
      </c>
      <c r="S2573" s="37" t="str">
        <f aca="false">IF($M2573="","",IFERROR(INDEX(Settings!$B$27:$B$36,MATCH(L2573,Settings!$A$27:$A$36,0))&amp;"","UNMAPPED"))</f>
        <v/>
      </c>
      <c r="T2573" s="37" t="str">
        <f aca="false">IF($M2573="","",IF(NOT(ISNUMBER(R2573)),"NO DATE",IF(S2573="Won",IF(R2573&gt;Settings!$B$5,"Backlog","Delivered"),IF(S2573="Open",IF(R2573&gt;Settings!$B$5,"Pipeline","Overdue"),IF(S2573="Lost","Lost","UNMAPPED")))))</f>
        <v/>
      </c>
      <c r="U2573" s="40" t="n">
        <f aca="false">IF(T2573="Backlog",1,IF(OR(T2573="Pipeline",T2573="Overdue"),N(INDEX(Settings!$C$27:$C$36,MATCH(L2573,Settings!$A$27:$A$36,0))),0))</f>
        <v>0</v>
      </c>
      <c r="V2573" s="38" t="n">
        <f aca="false">Q2573*U2573</f>
        <v>0</v>
      </c>
      <c r="W2573" s="41" t="str">
        <f aca="false">IF($M2573="","",IF(T2573="Overdue",IF(Settings!$B$8="Yes",Settings!$B$7,""),IF(ISNUMBER(R2573),DATE(YEAR(R2573),MONTH(R2573),1),"")))</f>
        <v/>
      </c>
      <c r="X2573" s="38" t="n">
        <f aca="false">IF(AND(OR(T2573="Backlog",T2573="Pipeline",T2573="Overdue"),ISNUMBER(W2573)),IF(W2573&lt;=Settings!$B$6,V2573,0),0)</f>
        <v>0</v>
      </c>
      <c r="Y2573" s="38" t="n">
        <f aca="false">IF(AND(OR(T2573="Backlog",T2573="Pipeline",T2573="Overdue"),ISNUMBER(W2573)),IF(W2573&lt;=Settings!$B$6,Q2573,0),0)</f>
        <v>0</v>
      </c>
      <c r="Z2573" s="38" t="n">
        <f aca="false">IF(Y2573=0,0,IF(T2573="Backlog",Q2573,Q2573*Dashboard!$C$10))</f>
        <v>0</v>
      </c>
      <c r="AA2573" s="37" t="n">
        <f aca="false">IF($N2573="",0,IF(COUNTIF(Dashboard!$C$13:$C$22,$N2573)&gt;0,1,0))</f>
        <v>0</v>
      </c>
      <c r="AB2573" s="37" t="str">
        <f aca="false">IF($N2573="","",IF(COUNTIF($N$8:$N2573,$N2573)=1,MAX($AB$7:$AB2572)+1,""))</f>
        <v/>
      </c>
    </row>
    <row r="2574" customFormat="false" ht="15" hidden="false" customHeight="false" outlineLevel="0" collapsed="false">
      <c r="L2574" s="37" t="str">
        <f aca="false">IF(INDEX($A2574:$J2574,$L$6)&lt;&gt;"",TRIM(LEFT(INDEX($A2574:$J2574,$L$6),FIND("(",INDEX($A2574:$J2574,$L$6)&amp;"(")-1)),L2573)</f>
        <v>Building Value Proposition</v>
      </c>
      <c r="M2574" s="37" t="str">
        <f aca="false">IF(INDEX($A2574:$J2574,$M$6)="","",INDEX($A2574:$J2574,$M$6)&amp;"")</f>
        <v/>
      </c>
      <c r="N2574" s="37" t="str">
        <f aca="false">IF($M2574="","",TRIM(INDEX($A2574:$J2574,$N$6)&amp;""))</f>
        <v/>
      </c>
      <c r="O2574" s="37" t="str">
        <f aca="false">IF($M2574="","",TRIM(INDEX($A2574:$J2574,$O$6)&amp;""))</f>
        <v/>
      </c>
      <c r="P2574" s="37" t="str">
        <f aca="false">IF($M2574="","",IFERROR(IF(INDEX(Settings!$B$41:$B$50,MATCH(O2574,Settings!$A$41:$A$50,0))&amp;""="","UNMAPPED",INDEX(Settings!$B$41:$B$50,MATCH(O2574,Settings!$A$41:$A$50,0))&amp;""),"UNMAPPED"))</f>
        <v/>
      </c>
      <c r="Q2574" s="38" t="n">
        <f aca="false">IF($M2574="",0,N(INDEX($A2574:$J2574,$Q$6)))</f>
        <v>0</v>
      </c>
      <c r="R2574" s="39" t="str">
        <f aca="false">IF($M2574="","",INDEX($A2574:$J2574,$R$6))</f>
        <v/>
      </c>
      <c r="S2574" s="37" t="str">
        <f aca="false">IF($M2574="","",IFERROR(INDEX(Settings!$B$27:$B$36,MATCH(L2574,Settings!$A$27:$A$36,0))&amp;"","UNMAPPED"))</f>
        <v/>
      </c>
      <c r="T2574" s="37" t="str">
        <f aca="false">IF($M2574="","",IF(NOT(ISNUMBER(R2574)),"NO DATE",IF(S2574="Won",IF(R2574&gt;Settings!$B$5,"Backlog","Delivered"),IF(S2574="Open",IF(R2574&gt;Settings!$B$5,"Pipeline","Overdue"),IF(S2574="Lost","Lost","UNMAPPED")))))</f>
        <v/>
      </c>
      <c r="U2574" s="40" t="n">
        <f aca="false">IF(T2574="Backlog",1,IF(OR(T2574="Pipeline",T2574="Overdue"),N(INDEX(Settings!$C$27:$C$36,MATCH(L2574,Settings!$A$27:$A$36,0))),0))</f>
        <v>0</v>
      </c>
      <c r="V2574" s="38" t="n">
        <f aca="false">Q2574*U2574</f>
        <v>0</v>
      </c>
      <c r="W2574" s="41" t="str">
        <f aca="false">IF($M2574="","",IF(T2574="Overdue",IF(Settings!$B$8="Yes",Settings!$B$7,""),IF(ISNUMBER(R2574),DATE(YEAR(R2574),MONTH(R2574),1),"")))</f>
        <v/>
      </c>
      <c r="X2574" s="38" t="n">
        <f aca="false">IF(AND(OR(T2574="Backlog",T2574="Pipeline",T2574="Overdue"),ISNUMBER(W2574)),IF(W2574&lt;=Settings!$B$6,V2574,0),0)</f>
        <v>0</v>
      </c>
      <c r="Y2574" s="38" t="n">
        <f aca="false">IF(AND(OR(T2574="Backlog",T2574="Pipeline",T2574="Overdue"),ISNUMBER(W2574)),IF(W2574&lt;=Settings!$B$6,Q2574,0),0)</f>
        <v>0</v>
      </c>
      <c r="Z2574" s="38" t="n">
        <f aca="false">IF(Y2574=0,0,IF(T2574="Backlog",Q2574,Q2574*Dashboard!$C$10))</f>
        <v>0</v>
      </c>
      <c r="AA2574" s="37" t="n">
        <f aca="false">IF($N2574="",0,IF(COUNTIF(Dashboard!$C$13:$C$22,$N2574)&gt;0,1,0))</f>
        <v>0</v>
      </c>
      <c r="AB2574" s="37" t="str">
        <f aca="false">IF($N2574="","",IF(COUNTIF($N$8:$N2574,$N2574)=1,MAX($AB$7:$AB2573)+1,""))</f>
        <v/>
      </c>
    </row>
    <row r="2575" customFormat="false" ht="15" hidden="false" customHeight="false" outlineLevel="0" collapsed="false">
      <c r="L2575" s="37" t="str">
        <f aca="false">IF(INDEX($A2575:$J2575,$L$6)&lt;&gt;"",TRIM(LEFT(INDEX($A2575:$J2575,$L$6),FIND("(",INDEX($A2575:$J2575,$L$6)&amp;"(")-1)),L2574)</f>
        <v>Building Value Proposition</v>
      </c>
      <c r="M2575" s="37" t="str">
        <f aca="false">IF(INDEX($A2575:$J2575,$M$6)="","",INDEX($A2575:$J2575,$M$6)&amp;"")</f>
        <v/>
      </c>
      <c r="N2575" s="37" t="str">
        <f aca="false">IF($M2575="","",TRIM(INDEX($A2575:$J2575,$N$6)&amp;""))</f>
        <v/>
      </c>
      <c r="O2575" s="37" t="str">
        <f aca="false">IF($M2575="","",TRIM(INDEX($A2575:$J2575,$O$6)&amp;""))</f>
        <v/>
      </c>
      <c r="P2575" s="37" t="str">
        <f aca="false">IF($M2575="","",IFERROR(IF(INDEX(Settings!$B$41:$B$50,MATCH(O2575,Settings!$A$41:$A$50,0))&amp;""="","UNMAPPED",INDEX(Settings!$B$41:$B$50,MATCH(O2575,Settings!$A$41:$A$50,0))&amp;""),"UNMAPPED"))</f>
        <v/>
      </c>
      <c r="Q2575" s="38" t="n">
        <f aca="false">IF($M2575="",0,N(INDEX($A2575:$J2575,$Q$6)))</f>
        <v>0</v>
      </c>
      <c r="R2575" s="39" t="str">
        <f aca="false">IF($M2575="","",INDEX($A2575:$J2575,$R$6))</f>
        <v/>
      </c>
      <c r="S2575" s="37" t="str">
        <f aca="false">IF($M2575="","",IFERROR(INDEX(Settings!$B$27:$B$36,MATCH(L2575,Settings!$A$27:$A$36,0))&amp;"","UNMAPPED"))</f>
        <v/>
      </c>
      <c r="T2575" s="37" t="str">
        <f aca="false">IF($M2575="","",IF(NOT(ISNUMBER(R2575)),"NO DATE",IF(S2575="Won",IF(R2575&gt;Settings!$B$5,"Backlog","Delivered"),IF(S2575="Open",IF(R2575&gt;Settings!$B$5,"Pipeline","Overdue"),IF(S2575="Lost","Lost","UNMAPPED")))))</f>
        <v/>
      </c>
      <c r="U2575" s="40" t="n">
        <f aca="false">IF(T2575="Backlog",1,IF(OR(T2575="Pipeline",T2575="Overdue"),N(INDEX(Settings!$C$27:$C$36,MATCH(L2575,Settings!$A$27:$A$36,0))),0))</f>
        <v>0</v>
      </c>
      <c r="V2575" s="38" t="n">
        <f aca="false">Q2575*U2575</f>
        <v>0</v>
      </c>
      <c r="W2575" s="41" t="str">
        <f aca="false">IF($M2575="","",IF(T2575="Overdue",IF(Settings!$B$8="Yes",Settings!$B$7,""),IF(ISNUMBER(R2575),DATE(YEAR(R2575),MONTH(R2575),1),"")))</f>
        <v/>
      </c>
      <c r="X2575" s="38" t="n">
        <f aca="false">IF(AND(OR(T2575="Backlog",T2575="Pipeline",T2575="Overdue"),ISNUMBER(W2575)),IF(W2575&lt;=Settings!$B$6,V2575,0),0)</f>
        <v>0</v>
      </c>
      <c r="Y2575" s="38" t="n">
        <f aca="false">IF(AND(OR(T2575="Backlog",T2575="Pipeline",T2575="Overdue"),ISNUMBER(W2575)),IF(W2575&lt;=Settings!$B$6,Q2575,0),0)</f>
        <v>0</v>
      </c>
      <c r="Z2575" s="38" t="n">
        <f aca="false">IF(Y2575=0,0,IF(T2575="Backlog",Q2575,Q2575*Dashboard!$C$10))</f>
        <v>0</v>
      </c>
      <c r="AA2575" s="37" t="n">
        <f aca="false">IF($N2575="",0,IF(COUNTIF(Dashboard!$C$13:$C$22,$N2575)&gt;0,1,0))</f>
        <v>0</v>
      </c>
      <c r="AB2575" s="37" t="str">
        <f aca="false">IF($N2575="","",IF(COUNTIF($N$8:$N2575,$N2575)=1,MAX($AB$7:$AB2574)+1,""))</f>
        <v/>
      </c>
    </row>
    <row r="2576" customFormat="false" ht="15" hidden="false" customHeight="false" outlineLevel="0" collapsed="false">
      <c r="L2576" s="37" t="str">
        <f aca="false">IF(INDEX($A2576:$J2576,$L$6)&lt;&gt;"",TRIM(LEFT(INDEX($A2576:$J2576,$L$6),FIND("(",INDEX($A2576:$J2576,$L$6)&amp;"(")-1)),L2575)</f>
        <v>Building Value Proposition</v>
      </c>
      <c r="M2576" s="37" t="str">
        <f aca="false">IF(INDEX($A2576:$J2576,$M$6)="","",INDEX($A2576:$J2576,$M$6)&amp;"")</f>
        <v/>
      </c>
      <c r="N2576" s="37" t="str">
        <f aca="false">IF($M2576="","",TRIM(INDEX($A2576:$J2576,$N$6)&amp;""))</f>
        <v/>
      </c>
      <c r="O2576" s="37" t="str">
        <f aca="false">IF($M2576="","",TRIM(INDEX($A2576:$J2576,$O$6)&amp;""))</f>
        <v/>
      </c>
      <c r="P2576" s="37" t="str">
        <f aca="false">IF($M2576="","",IFERROR(IF(INDEX(Settings!$B$41:$B$50,MATCH(O2576,Settings!$A$41:$A$50,0))&amp;""="","UNMAPPED",INDEX(Settings!$B$41:$B$50,MATCH(O2576,Settings!$A$41:$A$50,0))&amp;""),"UNMAPPED"))</f>
        <v/>
      </c>
      <c r="Q2576" s="38" t="n">
        <f aca="false">IF($M2576="",0,N(INDEX($A2576:$J2576,$Q$6)))</f>
        <v>0</v>
      </c>
      <c r="R2576" s="39" t="str">
        <f aca="false">IF($M2576="","",INDEX($A2576:$J2576,$R$6))</f>
        <v/>
      </c>
      <c r="S2576" s="37" t="str">
        <f aca="false">IF($M2576="","",IFERROR(INDEX(Settings!$B$27:$B$36,MATCH(L2576,Settings!$A$27:$A$36,0))&amp;"","UNMAPPED"))</f>
        <v/>
      </c>
      <c r="T2576" s="37" t="str">
        <f aca="false">IF($M2576="","",IF(NOT(ISNUMBER(R2576)),"NO DATE",IF(S2576="Won",IF(R2576&gt;Settings!$B$5,"Backlog","Delivered"),IF(S2576="Open",IF(R2576&gt;Settings!$B$5,"Pipeline","Overdue"),IF(S2576="Lost","Lost","UNMAPPED")))))</f>
        <v/>
      </c>
      <c r="U2576" s="40" t="n">
        <f aca="false">IF(T2576="Backlog",1,IF(OR(T2576="Pipeline",T2576="Overdue"),N(INDEX(Settings!$C$27:$C$36,MATCH(L2576,Settings!$A$27:$A$36,0))),0))</f>
        <v>0</v>
      </c>
      <c r="V2576" s="38" t="n">
        <f aca="false">Q2576*U2576</f>
        <v>0</v>
      </c>
      <c r="W2576" s="41" t="str">
        <f aca="false">IF($M2576="","",IF(T2576="Overdue",IF(Settings!$B$8="Yes",Settings!$B$7,""),IF(ISNUMBER(R2576),DATE(YEAR(R2576),MONTH(R2576),1),"")))</f>
        <v/>
      </c>
      <c r="X2576" s="38" t="n">
        <f aca="false">IF(AND(OR(T2576="Backlog",T2576="Pipeline",T2576="Overdue"),ISNUMBER(W2576)),IF(W2576&lt;=Settings!$B$6,V2576,0),0)</f>
        <v>0</v>
      </c>
      <c r="Y2576" s="38" t="n">
        <f aca="false">IF(AND(OR(T2576="Backlog",T2576="Pipeline",T2576="Overdue"),ISNUMBER(W2576)),IF(W2576&lt;=Settings!$B$6,Q2576,0),0)</f>
        <v>0</v>
      </c>
      <c r="Z2576" s="38" t="n">
        <f aca="false">IF(Y2576=0,0,IF(T2576="Backlog",Q2576,Q2576*Dashboard!$C$10))</f>
        <v>0</v>
      </c>
      <c r="AA2576" s="37" t="n">
        <f aca="false">IF($N2576="",0,IF(COUNTIF(Dashboard!$C$13:$C$22,$N2576)&gt;0,1,0))</f>
        <v>0</v>
      </c>
      <c r="AB2576" s="37" t="str">
        <f aca="false">IF($N2576="","",IF(COUNTIF($N$8:$N2576,$N2576)=1,MAX($AB$7:$AB2575)+1,""))</f>
        <v/>
      </c>
    </row>
    <row r="2577" customFormat="false" ht="15" hidden="false" customHeight="false" outlineLevel="0" collapsed="false">
      <c r="L2577" s="37" t="str">
        <f aca="false">IF(INDEX($A2577:$J2577,$L$6)&lt;&gt;"",TRIM(LEFT(INDEX($A2577:$J2577,$L$6),FIND("(",INDEX($A2577:$J2577,$L$6)&amp;"(")-1)),L2576)</f>
        <v>Building Value Proposition</v>
      </c>
      <c r="M2577" s="37" t="str">
        <f aca="false">IF(INDEX($A2577:$J2577,$M$6)="","",INDEX($A2577:$J2577,$M$6)&amp;"")</f>
        <v/>
      </c>
      <c r="N2577" s="37" t="str">
        <f aca="false">IF($M2577="","",TRIM(INDEX($A2577:$J2577,$N$6)&amp;""))</f>
        <v/>
      </c>
      <c r="O2577" s="37" t="str">
        <f aca="false">IF($M2577="","",TRIM(INDEX($A2577:$J2577,$O$6)&amp;""))</f>
        <v/>
      </c>
      <c r="P2577" s="37" t="str">
        <f aca="false">IF($M2577="","",IFERROR(IF(INDEX(Settings!$B$41:$B$50,MATCH(O2577,Settings!$A$41:$A$50,0))&amp;""="","UNMAPPED",INDEX(Settings!$B$41:$B$50,MATCH(O2577,Settings!$A$41:$A$50,0))&amp;""),"UNMAPPED"))</f>
        <v/>
      </c>
      <c r="Q2577" s="38" t="n">
        <f aca="false">IF($M2577="",0,N(INDEX($A2577:$J2577,$Q$6)))</f>
        <v>0</v>
      </c>
      <c r="R2577" s="39" t="str">
        <f aca="false">IF($M2577="","",INDEX($A2577:$J2577,$R$6))</f>
        <v/>
      </c>
      <c r="S2577" s="37" t="str">
        <f aca="false">IF($M2577="","",IFERROR(INDEX(Settings!$B$27:$B$36,MATCH(L2577,Settings!$A$27:$A$36,0))&amp;"","UNMAPPED"))</f>
        <v/>
      </c>
      <c r="T2577" s="37" t="str">
        <f aca="false">IF($M2577="","",IF(NOT(ISNUMBER(R2577)),"NO DATE",IF(S2577="Won",IF(R2577&gt;Settings!$B$5,"Backlog","Delivered"),IF(S2577="Open",IF(R2577&gt;Settings!$B$5,"Pipeline","Overdue"),IF(S2577="Lost","Lost","UNMAPPED")))))</f>
        <v/>
      </c>
      <c r="U2577" s="40" t="n">
        <f aca="false">IF(T2577="Backlog",1,IF(OR(T2577="Pipeline",T2577="Overdue"),N(INDEX(Settings!$C$27:$C$36,MATCH(L2577,Settings!$A$27:$A$36,0))),0))</f>
        <v>0</v>
      </c>
      <c r="V2577" s="38" t="n">
        <f aca="false">Q2577*U2577</f>
        <v>0</v>
      </c>
      <c r="W2577" s="41" t="str">
        <f aca="false">IF($M2577="","",IF(T2577="Overdue",IF(Settings!$B$8="Yes",Settings!$B$7,""),IF(ISNUMBER(R2577),DATE(YEAR(R2577),MONTH(R2577),1),"")))</f>
        <v/>
      </c>
      <c r="X2577" s="38" t="n">
        <f aca="false">IF(AND(OR(T2577="Backlog",T2577="Pipeline",T2577="Overdue"),ISNUMBER(W2577)),IF(W2577&lt;=Settings!$B$6,V2577,0),0)</f>
        <v>0</v>
      </c>
      <c r="Y2577" s="38" t="n">
        <f aca="false">IF(AND(OR(T2577="Backlog",T2577="Pipeline",T2577="Overdue"),ISNUMBER(W2577)),IF(W2577&lt;=Settings!$B$6,Q2577,0),0)</f>
        <v>0</v>
      </c>
      <c r="Z2577" s="38" t="n">
        <f aca="false">IF(Y2577=0,0,IF(T2577="Backlog",Q2577,Q2577*Dashboard!$C$10))</f>
        <v>0</v>
      </c>
      <c r="AA2577" s="37" t="n">
        <f aca="false">IF($N2577="",0,IF(COUNTIF(Dashboard!$C$13:$C$22,$N2577)&gt;0,1,0))</f>
        <v>0</v>
      </c>
      <c r="AB2577" s="37" t="str">
        <f aca="false">IF($N2577="","",IF(COUNTIF($N$8:$N2577,$N2577)=1,MAX($AB$7:$AB2576)+1,""))</f>
        <v/>
      </c>
    </row>
    <row r="2578" customFormat="false" ht="15" hidden="false" customHeight="false" outlineLevel="0" collapsed="false">
      <c r="L2578" s="37" t="str">
        <f aca="false">IF(INDEX($A2578:$J2578,$L$6)&lt;&gt;"",TRIM(LEFT(INDEX($A2578:$J2578,$L$6),FIND("(",INDEX($A2578:$J2578,$L$6)&amp;"(")-1)),L2577)</f>
        <v>Building Value Proposition</v>
      </c>
      <c r="M2578" s="37" t="str">
        <f aca="false">IF(INDEX($A2578:$J2578,$M$6)="","",INDEX($A2578:$J2578,$M$6)&amp;"")</f>
        <v/>
      </c>
      <c r="N2578" s="37" t="str">
        <f aca="false">IF($M2578="","",TRIM(INDEX($A2578:$J2578,$N$6)&amp;""))</f>
        <v/>
      </c>
      <c r="O2578" s="37" t="str">
        <f aca="false">IF($M2578="","",TRIM(INDEX($A2578:$J2578,$O$6)&amp;""))</f>
        <v/>
      </c>
      <c r="P2578" s="37" t="str">
        <f aca="false">IF($M2578="","",IFERROR(IF(INDEX(Settings!$B$41:$B$50,MATCH(O2578,Settings!$A$41:$A$50,0))&amp;""="","UNMAPPED",INDEX(Settings!$B$41:$B$50,MATCH(O2578,Settings!$A$41:$A$50,0))&amp;""),"UNMAPPED"))</f>
        <v/>
      </c>
      <c r="Q2578" s="38" t="n">
        <f aca="false">IF($M2578="",0,N(INDEX($A2578:$J2578,$Q$6)))</f>
        <v>0</v>
      </c>
      <c r="R2578" s="39" t="str">
        <f aca="false">IF($M2578="","",INDEX($A2578:$J2578,$R$6))</f>
        <v/>
      </c>
      <c r="S2578" s="37" t="str">
        <f aca="false">IF($M2578="","",IFERROR(INDEX(Settings!$B$27:$B$36,MATCH(L2578,Settings!$A$27:$A$36,0))&amp;"","UNMAPPED"))</f>
        <v/>
      </c>
      <c r="T2578" s="37" t="str">
        <f aca="false">IF($M2578="","",IF(NOT(ISNUMBER(R2578)),"NO DATE",IF(S2578="Won",IF(R2578&gt;Settings!$B$5,"Backlog","Delivered"),IF(S2578="Open",IF(R2578&gt;Settings!$B$5,"Pipeline","Overdue"),IF(S2578="Lost","Lost","UNMAPPED")))))</f>
        <v/>
      </c>
      <c r="U2578" s="40" t="n">
        <f aca="false">IF(T2578="Backlog",1,IF(OR(T2578="Pipeline",T2578="Overdue"),N(INDEX(Settings!$C$27:$C$36,MATCH(L2578,Settings!$A$27:$A$36,0))),0))</f>
        <v>0</v>
      </c>
      <c r="V2578" s="38" t="n">
        <f aca="false">Q2578*U2578</f>
        <v>0</v>
      </c>
      <c r="W2578" s="41" t="str">
        <f aca="false">IF($M2578="","",IF(T2578="Overdue",IF(Settings!$B$8="Yes",Settings!$B$7,""),IF(ISNUMBER(R2578),DATE(YEAR(R2578),MONTH(R2578),1),"")))</f>
        <v/>
      </c>
      <c r="X2578" s="38" t="n">
        <f aca="false">IF(AND(OR(T2578="Backlog",T2578="Pipeline",T2578="Overdue"),ISNUMBER(W2578)),IF(W2578&lt;=Settings!$B$6,V2578,0),0)</f>
        <v>0</v>
      </c>
      <c r="Y2578" s="38" t="n">
        <f aca="false">IF(AND(OR(T2578="Backlog",T2578="Pipeline",T2578="Overdue"),ISNUMBER(W2578)),IF(W2578&lt;=Settings!$B$6,Q2578,0),0)</f>
        <v>0</v>
      </c>
      <c r="Z2578" s="38" t="n">
        <f aca="false">IF(Y2578=0,0,IF(T2578="Backlog",Q2578,Q2578*Dashboard!$C$10))</f>
        <v>0</v>
      </c>
      <c r="AA2578" s="37" t="n">
        <f aca="false">IF($N2578="",0,IF(COUNTIF(Dashboard!$C$13:$C$22,$N2578)&gt;0,1,0))</f>
        <v>0</v>
      </c>
      <c r="AB2578" s="37" t="str">
        <f aca="false">IF($N2578="","",IF(COUNTIF($N$8:$N2578,$N2578)=1,MAX($AB$7:$AB2577)+1,""))</f>
        <v/>
      </c>
    </row>
    <row r="2579" customFormat="false" ht="15" hidden="false" customHeight="false" outlineLevel="0" collapsed="false">
      <c r="L2579" s="37" t="str">
        <f aca="false">IF(INDEX($A2579:$J2579,$L$6)&lt;&gt;"",TRIM(LEFT(INDEX($A2579:$J2579,$L$6),FIND("(",INDEX($A2579:$J2579,$L$6)&amp;"(")-1)),L2578)</f>
        <v>Building Value Proposition</v>
      </c>
      <c r="M2579" s="37" t="str">
        <f aca="false">IF(INDEX($A2579:$J2579,$M$6)="","",INDEX($A2579:$J2579,$M$6)&amp;"")</f>
        <v/>
      </c>
      <c r="N2579" s="37" t="str">
        <f aca="false">IF($M2579="","",TRIM(INDEX($A2579:$J2579,$N$6)&amp;""))</f>
        <v/>
      </c>
      <c r="O2579" s="37" t="str">
        <f aca="false">IF($M2579="","",TRIM(INDEX($A2579:$J2579,$O$6)&amp;""))</f>
        <v/>
      </c>
      <c r="P2579" s="37" t="str">
        <f aca="false">IF($M2579="","",IFERROR(IF(INDEX(Settings!$B$41:$B$50,MATCH(O2579,Settings!$A$41:$A$50,0))&amp;""="","UNMAPPED",INDEX(Settings!$B$41:$B$50,MATCH(O2579,Settings!$A$41:$A$50,0))&amp;""),"UNMAPPED"))</f>
        <v/>
      </c>
      <c r="Q2579" s="38" t="n">
        <f aca="false">IF($M2579="",0,N(INDEX($A2579:$J2579,$Q$6)))</f>
        <v>0</v>
      </c>
      <c r="R2579" s="39" t="str">
        <f aca="false">IF($M2579="","",INDEX($A2579:$J2579,$R$6))</f>
        <v/>
      </c>
      <c r="S2579" s="37" t="str">
        <f aca="false">IF($M2579="","",IFERROR(INDEX(Settings!$B$27:$B$36,MATCH(L2579,Settings!$A$27:$A$36,0))&amp;"","UNMAPPED"))</f>
        <v/>
      </c>
      <c r="T2579" s="37" t="str">
        <f aca="false">IF($M2579="","",IF(NOT(ISNUMBER(R2579)),"NO DATE",IF(S2579="Won",IF(R2579&gt;Settings!$B$5,"Backlog","Delivered"),IF(S2579="Open",IF(R2579&gt;Settings!$B$5,"Pipeline","Overdue"),IF(S2579="Lost","Lost","UNMAPPED")))))</f>
        <v/>
      </c>
      <c r="U2579" s="40" t="n">
        <f aca="false">IF(T2579="Backlog",1,IF(OR(T2579="Pipeline",T2579="Overdue"),N(INDEX(Settings!$C$27:$C$36,MATCH(L2579,Settings!$A$27:$A$36,0))),0))</f>
        <v>0</v>
      </c>
      <c r="V2579" s="38" t="n">
        <f aca="false">Q2579*U2579</f>
        <v>0</v>
      </c>
      <c r="W2579" s="41" t="str">
        <f aca="false">IF($M2579="","",IF(T2579="Overdue",IF(Settings!$B$8="Yes",Settings!$B$7,""),IF(ISNUMBER(R2579),DATE(YEAR(R2579),MONTH(R2579),1),"")))</f>
        <v/>
      </c>
      <c r="X2579" s="38" t="n">
        <f aca="false">IF(AND(OR(T2579="Backlog",T2579="Pipeline",T2579="Overdue"),ISNUMBER(W2579)),IF(W2579&lt;=Settings!$B$6,V2579,0),0)</f>
        <v>0</v>
      </c>
      <c r="Y2579" s="38" t="n">
        <f aca="false">IF(AND(OR(T2579="Backlog",T2579="Pipeline",T2579="Overdue"),ISNUMBER(W2579)),IF(W2579&lt;=Settings!$B$6,Q2579,0),0)</f>
        <v>0</v>
      </c>
      <c r="Z2579" s="38" t="n">
        <f aca="false">IF(Y2579=0,0,IF(T2579="Backlog",Q2579,Q2579*Dashboard!$C$10))</f>
        <v>0</v>
      </c>
      <c r="AA2579" s="37" t="n">
        <f aca="false">IF($N2579="",0,IF(COUNTIF(Dashboard!$C$13:$C$22,$N2579)&gt;0,1,0))</f>
        <v>0</v>
      </c>
      <c r="AB2579" s="37" t="str">
        <f aca="false">IF($N2579="","",IF(COUNTIF($N$8:$N2579,$N2579)=1,MAX($AB$7:$AB2578)+1,""))</f>
        <v/>
      </c>
    </row>
    <row r="2580" customFormat="false" ht="15" hidden="false" customHeight="false" outlineLevel="0" collapsed="false">
      <c r="L2580" s="37" t="str">
        <f aca="false">IF(INDEX($A2580:$J2580,$L$6)&lt;&gt;"",TRIM(LEFT(INDEX($A2580:$J2580,$L$6),FIND("(",INDEX($A2580:$J2580,$L$6)&amp;"(")-1)),L2579)</f>
        <v>Building Value Proposition</v>
      </c>
      <c r="M2580" s="37" t="str">
        <f aca="false">IF(INDEX($A2580:$J2580,$M$6)="","",INDEX($A2580:$J2580,$M$6)&amp;"")</f>
        <v/>
      </c>
      <c r="N2580" s="37" t="str">
        <f aca="false">IF($M2580="","",TRIM(INDEX($A2580:$J2580,$N$6)&amp;""))</f>
        <v/>
      </c>
      <c r="O2580" s="37" t="str">
        <f aca="false">IF($M2580="","",TRIM(INDEX($A2580:$J2580,$O$6)&amp;""))</f>
        <v/>
      </c>
      <c r="P2580" s="37" t="str">
        <f aca="false">IF($M2580="","",IFERROR(IF(INDEX(Settings!$B$41:$B$50,MATCH(O2580,Settings!$A$41:$A$50,0))&amp;""="","UNMAPPED",INDEX(Settings!$B$41:$B$50,MATCH(O2580,Settings!$A$41:$A$50,0))&amp;""),"UNMAPPED"))</f>
        <v/>
      </c>
      <c r="Q2580" s="38" t="n">
        <f aca="false">IF($M2580="",0,N(INDEX($A2580:$J2580,$Q$6)))</f>
        <v>0</v>
      </c>
      <c r="R2580" s="39" t="str">
        <f aca="false">IF($M2580="","",INDEX($A2580:$J2580,$R$6))</f>
        <v/>
      </c>
      <c r="S2580" s="37" t="str">
        <f aca="false">IF($M2580="","",IFERROR(INDEX(Settings!$B$27:$B$36,MATCH(L2580,Settings!$A$27:$A$36,0))&amp;"","UNMAPPED"))</f>
        <v/>
      </c>
      <c r="T2580" s="37" t="str">
        <f aca="false">IF($M2580="","",IF(NOT(ISNUMBER(R2580)),"NO DATE",IF(S2580="Won",IF(R2580&gt;Settings!$B$5,"Backlog","Delivered"),IF(S2580="Open",IF(R2580&gt;Settings!$B$5,"Pipeline","Overdue"),IF(S2580="Lost","Lost","UNMAPPED")))))</f>
        <v/>
      </c>
      <c r="U2580" s="40" t="n">
        <f aca="false">IF(T2580="Backlog",1,IF(OR(T2580="Pipeline",T2580="Overdue"),N(INDEX(Settings!$C$27:$C$36,MATCH(L2580,Settings!$A$27:$A$36,0))),0))</f>
        <v>0</v>
      </c>
      <c r="V2580" s="38" t="n">
        <f aca="false">Q2580*U2580</f>
        <v>0</v>
      </c>
      <c r="W2580" s="41" t="str">
        <f aca="false">IF($M2580="","",IF(T2580="Overdue",IF(Settings!$B$8="Yes",Settings!$B$7,""),IF(ISNUMBER(R2580),DATE(YEAR(R2580),MONTH(R2580),1),"")))</f>
        <v/>
      </c>
      <c r="X2580" s="38" t="n">
        <f aca="false">IF(AND(OR(T2580="Backlog",T2580="Pipeline",T2580="Overdue"),ISNUMBER(W2580)),IF(W2580&lt;=Settings!$B$6,V2580,0),0)</f>
        <v>0</v>
      </c>
      <c r="Y2580" s="38" t="n">
        <f aca="false">IF(AND(OR(T2580="Backlog",T2580="Pipeline",T2580="Overdue"),ISNUMBER(W2580)),IF(W2580&lt;=Settings!$B$6,Q2580,0),0)</f>
        <v>0</v>
      </c>
      <c r="Z2580" s="38" t="n">
        <f aca="false">IF(Y2580=0,0,IF(T2580="Backlog",Q2580,Q2580*Dashboard!$C$10))</f>
        <v>0</v>
      </c>
      <c r="AA2580" s="37" t="n">
        <f aca="false">IF($N2580="",0,IF(COUNTIF(Dashboard!$C$13:$C$22,$N2580)&gt;0,1,0))</f>
        <v>0</v>
      </c>
      <c r="AB2580" s="37" t="str">
        <f aca="false">IF($N2580="","",IF(COUNTIF($N$8:$N2580,$N2580)=1,MAX($AB$7:$AB2579)+1,""))</f>
        <v/>
      </c>
    </row>
    <row r="2581" customFormat="false" ht="15" hidden="false" customHeight="false" outlineLevel="0" collapsed="false">
      <c r="L2581" s="37" t="str">
        <f aca="false">IF(INDEX($A2581:$J2581,$L$6)&lt;&gt;"",TRIM(LEFT(INDEX($A2581:$J2581,$L$6),FIND("(",INDEX($A2581:$J2581,$L$6)&amp;"(")-1)),L2580)</f>
        <v>Building Value Proposition</v>
      </c>
      <c r="M2581" s="37" t="str">
        <f aca="false">IF(INDEX($A2581:$J2581,$M$6)="","",INDEX($A2581:$J2581,$M$6)&amp;"")</f>
        <v/>
      </c>
      <c r="N2581" s="37" t="str">
        <f aca="false">IF($M2581="","",TRIM(INDEX($A2581:$J2581,$N$6)&amp;""))</f>
        <v/>
      </c>
      <c r="O2581" s="37" t="str">
        <f aca="false">IF($M2581="","",TRIM(INDEX($A2581:$J2581,$O$6)&amp;""))</f>
        <v/>
      </c>
      <c r="P2581" s="37" t="str">
        <f aca="false">IF($M2581="","",IFERROR(IF(INDEX(Settings!$B$41:$B$50,MATCH(O2581,Settings!$A$41:$A$50,0))&amp;""="","UNMAPPED",INDEX(Settings!$B$41:$B$50,MATCH(O2581,Settings!$A$41:$A$50,0))&amp;""),"UNMAPPED"))</f>
        <v/>
      </c>
      <c r="Q2581" s="38" t="n">
        <f aca="false">IF($M2581="",0,N(INDEX($A2581:$J2581,$Q$6)))</f>
        <v>0</v>
      </c>
      <c r="R2581" s="39" t="str">
        <f aca="false">IF($M2581="","",INDEX($A2581:$J2581,$R$6))</f>
        <v/>
      </c>
      <c r="S2581" s="37" t="str">
        <f aca="false">IF($M2581="","",IFERROR(INDEX(Settings!$B$27:$B$36,MATCH(L2581,Settings!$A$27:$A$36,0))&amp;"","UNMAPPED"))</f>
        <v/>
      </c>
      <c r="T2581" s="37" t="str">
        <f aca="false">IF($M2581="","",IF(NOT(ISNUMBER(R2581)),"NO DATE",IF(S2581="Won",IF(R2581&gt;Settings!$B$5,"Backlog","Delivered"),IF(S2581="Open",IF(R2581&gt;Settings!$B$5,"Pipeline","Overdue"),IF(S2581="Lost","Lost","UNMAPPED")))))</f>
        <v/>
      </c>
      <c r="U2581" s="40" t="n">
        <f aca="false">IF(T2581="Backlog",1,IF(OR(T2581="Pipeline",T2581="Overdue"),N(INDEX(Settings!$C$27:$C$36,MATCH(L2581,Settings!$A$27:$A$36,0))),0))</f>
        <v>0</v>
      </c>
      <c r="V2581" s="38" t="n">
        <f aca="false">Q2581*U2581</f>
        <v>0</v>
      </c>
      <c r="W2581" s="41" t="str">
        <f aca="false">IF($M2581="","",IF(T2581="Overdue",IF(Settings!$B$8="Yes",Settings!$B$7,""),IF(ISNUMBER(R2581),DATE(YEAR(R2581),MONTH(R2581),1),"")))</f>
        <v/>
      </c>
      <c r="X2581" s="38" t="n">
        <f aca="false">IF(AND(OR(T2581="Backlog",T2581="Pipeline",T2581="Overdue"),ISNUMBER(W2581)),IF(W2581&lt;=Settings!$B$6,V2581,0),0)</f>
        <v>0</v>
      </c>
      <c r="Y2581" s="38" t="n">
        <f aca="false">IF(AND(OR(T2581="Backlog",T2581="Pipeline",T2581="Overdue"),ISNUMBER(W2581)),IF(W2581&lt;=Settings!$B$6,Q2581,0),0)</f>
        <v>0</v>
      </c>
      <c r="Z2581" s="38" t="n">
        <f aca="false">IF(Y2581=0,0,IF(T2581="Backlog",Q2581,Q2581*Dashboard!$C$10))</f>
        <v>0</v>
      </c>
      <c r="AA2581" s="37" t="n">
        <f aca="false">IF($N2581="",0,IF(COUNTIF(Dashboard!$C$13:$C$22,$N2581)&gt;0,1,0))</f>
        <v>0</v>
      </c>
      <c r="AB2581" s="37" t="str">
        <f aca="false">IF($N2581="","",IF(COUNTIF($N$8:$N2581,$N2581)=1,MAX($AB$7:$AB2580)+1,""))</f>
        <v/>
      </c>
    </row>
    <row r="2582" customFormat="false" ht="15" hidden="false" customHeight="false" outlineLevel="0" collapsed="false">
      <c r="L2582" s="37" t="str">
        <f aca="false">IF(INDEX($A2582:$J2582,$L$6)&lt;&gt;"",TRIM(LEFT(INDEX($A2582:$J2582,$L$6),FIND("(",INDEX($A2582:$J2582,$L$6)&amp;"(")-1)),L2581)</f>
        <v>Building Value Proposition</v>
      </c>
      <c r="M2582" s="37" t="str">
        <f aca="false">IF(INDEX($A2582:$J2582,$M$6)="","",INDEX($A2582:$J2582,$M$6)&amp;"")</f>
        <v/>
      </c>
      <c r="N2582" s="37" t="str">
        <f aca="false">IF($M2582="","",TRIM(INDEX($A2582:$J2582,$N$6)&amp;""))</f>
        <v/>
      </c>
      <c r="O2582" s="37" t="str">
        <f aca="false">IF($M2582="","",TRIM(INDEX($A2582:$J2582,$O$6)&amp;""))</f>
        <v/>
      </c>
      <c r="P2582" s="37" t="str">
        <f aca="false">IF($M2582="","",IFERROR(IF(INDEX(Settings!$B$41:$B$50,MATCH(O2582,Settings!$A$41:$A$50,0))&amp;""="","UNMAPPED",INDEX(Settings!$B$41:$B$50,MATCH(O2582,Settings!$A$41:$A$50,0))&amp;""),"UNMAPPED"))</f>
        <v/>
      </c>
      <c r="Q2582" s="38" t="n">
        <f aca="false">IF($M2582="",0,N(INDEX($A2582:$J2582,$Q$6)))</f>
        <v>0</v>
      </c>
      <c r="R2582" s="39" t="str">
        <f aca="false">IF($M2582="","",INDEX($A2582:$J2582,$R$6))</f>
        <v/>
      </c>
      <c r="S2582" s="37" t="str">
        <f aca="false">IF($M2582="","",IFERROR(INDEX(Settings!$B$27:$B$36,MATCH(L2582,Settings!$A$27:$A$36,0))&amp;"","UNMAPPED"))</f>
        <v/>
      </c>
      <c r="T2582" s="37" t="str">
        <f aca="false">IF($M2582="","",IF(NOT(ISNUMBER(R2582)),"NO DATE",IF(S2582="Won",IF(R2582&gt;Settings!$B$5,"Backlog","Delivered"),IF(S2582="Open",IF(R2582&gt;Settings!$B$5,"Pipeline","Overdue"),IF(S2582="Lost","Lost","UNMAPPED")))))</f>
        <v/>
      </c>
      <c r="U2582" s="40" t="n">
        <f aca="false">IF(T2582="Backlog",1,IF(OR(T2582="Pipeline",T2582="Overdue"),N(INDEX(Settings!$C$27:$C$36,MATCH(L2582,Settings!$A$27:$A$36,0))),0))</f>
        <v>0</v>
      </c>
      <c r="V2582" s="38" t="n">
        <f aca="false">Q2582*U2582</f>
        <v>0</v>
      </c>
      <c r="W2582" s="41" t="str">
        <f aca="false">IF($M2582="","",IF(T2582="Overdue",IF(Settings!$B$8="Yes",Settings!$B$7,""),IF(ISNUMBER(R2582),DATE(YEAR(R2582),MONTH(R2582),1),"")))</f>
        <v/>
      </c>
      <c r="X2582" s="38" t="n">
        <f aca="false">IF(AND(OR(T2582="Backlog",T2582="Pipeline",T2582="Overdue"),ISNUMBER(W2582)),IF(W2582&lt;=Settings!$B$6,V2582,0),0)</f>
        <v>0</v>
      </c>
      <c r="Y2582" s="38" t="n">
        <f aca="false">IF(AND(OR(T2582="Backlog",T2582="Pipeline",T2582="Overdue"),ISNUMBER(W2582)),IF(W2582&lt;=Settings!$B$6,Q2582,0),0)</f>
        <v>0</v>
      </c>
      <c r="Z2582" s="38" t="n">
        <f aca="false">IF(Y2582=0,0,IF(T2582="Backlog",Q2582,Q2582*Dashboard!$C$10))</f>
        <v>0</v>
      </c>
      <c r="AA2582" s="37" t="n">
        <f aca="false">IF($N2582="",0,IF(COUNTIF(Dashboard!$C$13:$C$22,$N2582)&gt;0,1,0))</f>
        <v>0</v>
      </c>
      <c r="AB2582" s="37" t="str">
        <f aca="false">IF($N2582="","",IF(COUNTIF($N$8:$N2582,$N2582)=1,MAX($AB$7:$AB2581)+1,""))</f>
        <v/>
      </c>
    </row>
    <row r="2583" customFormat="false" ht="15" hidden="false" customHeight="false" outlineLevel="0" collapsed="false">
      <c r="L2583" s="37" t="str">
        <f aca="false">IF(INDEX($A2583:$J2583,$L$6)&lt;&gt;"",TRIM(LEFT(INDEX($A2583:$J2583,$L$6),FIND("(",INDEX($A2583:$J2583,$L$6)&amp;"(")-1)),L2582)</f>
        <v>Building Value Proposition</v>
      </c>
      <c r="M2583" s="37" t="str">
        <f aca="false">IF(INDEX($A2583:$J2583,$M$6)="","",INDEX($A2583:$J2583,$M$6)&amp;"")</f>
        <v/>
      </c>
      <c r="N2583" s="37" t="str">
        <f aca="false">IF($M2583="","",TRIM(INDEX($A2583:$J2583,$N$6)&amp;""))</f>
        <v/>
      </c>
      <c r="O2583" s="37" t="str">
        <f aca="false">IF($M2583="","",TRIM(INDEX($A2583:$J2583,$O$6)&amp;""))</f>
        <v/>
      </c>
      <c r="P2583" s="37" t="str">
        <f aca="false">IF($M2583="","",IFERROR(IF(INDEX(Settings!$B$41:$B$50,MATCH(O2583,Settings!$A$41:$A$50,0))&amp;""="","UNMAPPED",INDEX(Settings!$B$41:$B$50,MATCH(O2583,Settings!$A$41:$A$50,0))&amp;""),"UNMAPPED"))</f>
        <v/>
      </c>
      <c r="Q2583" s="38" t="n">
        <f aca="false">IF($M2583="",0,N(INDEX($A2583:$J2583,$Q$6)))</f>
        <v>0</v>
      </c>
      <c r="R2583" s="39" t="str">
        <f aca="false">IF($M2583="","",INDEX($A2583:$J2583,$R$6))</f>
        <v/>
      </c>
      <c r="S2583" s="37" t="str">
        <f aca="false">IF($M2583="","",IFERROR(INDEX(Settings!$B$27:$B$36,MATCH(L2583,Settings!$A$27:$A$36,0))&amp;"","UNMAPPED"))</f>
        <v/>
      </c>
      <c r="T2583" s="37" t="str">
        <f aca="false">IF($M2583="","",IF(NOT(ISNUMBER(R2583)),"NO DATE",IF(S2583="Won",IF(R2583&gt;Settings!$B$5,"Backlog","Delivered"),IF(S2583="Open",IF(R2583&gt;Settings!$B$5,"Pipeline","Overdue"),IF(S2583="Lost","Lost","UNMAPPED")))))</f>
        <v/>
      </c>
      <c r="U2583" s="40" t="n">
        <f aca="false">IF(T2583="Backlog",1,IF(OR(T2583="Pipeline",T2583="Overdue"),N(INDEX(Settings!$C$27:$C$36,MATCH(L2583,Settings!$A$27:$A$36,0))),0))</f>
        <v>0</v>
      </c>
      <c r="V2583" s="38" t="n">
        <f aca="false">Q2583*U2583</f>
        <v>0</v>
      </c>
      <c r="W2583" s="41" t="str">
        <f aca="false">IF($M2583="","",IF(T2583="Overdue",IF(Settings!$B$8="Yes",Settings!$B$7,""),IF(ISNUMBER(R2583),DATE(YEAR(R2583),MONTH(R2583),1),"")))</f>
        <v/>
      </c>
      <c r="X2583" s="38" t="n">
        <f aca="false">IF(AND(OR(T2583="Backlog",T2583="Pipeline",T2583="Overdue"),ISNUMBER(W2583)),IF(W2583&lt;=Settings!$B$6,V2583,0),0)</f>
        <v>0</v>
      </c>
      <c r="Y2583" s="38" t="n">
        <f aca="false">IF(AND(OR(T2583="Backlog",T2583="Pipeline",T2583="Overdue"),ISNUMBER(W2583)),IF(W2583&lt;=Settings!$B$6,Q2583,0),0)</f>
        <v>0</v>
      </c>
      <c r="Z2583" s="38" t="n">
        <f aca="false">IF(Y2583=0,0,IF(T2583="Backlog",Q2583,Q2583*Dashboard!$C$10))</f>
        <v>0</v>
      </c>
      <c r="AA2583" s="37" t="n">
        <f aca="false">IF($N2583="",0,IF(COUNTIF(Dashboard!$C$13:$C$22,$N2583)&gt;0,1,0))</f>
        <v>0</v>
      </c>
      <c r="AB2583" s="37" t="str">
        <f aca="false">IF($N2583="","",IF(COUNTIF($N$8:$N2583,$N2583)=1,MAX($AB$7:$AB2582)+1,""))</f>
        <v/>
      </c>
    </row>
    <row r="2584" customFormat="false" ht="15" hidden="false" customHeight="false" outlineLevel="0" collapsed="false">
      <c r="L2584" s="37" t="str">
        <f aca="false">IF(INDEX($A2584:$J2584,$L$6)&lt;&gt;"",TRIM(LEFT(INDEX($A2584:$J2584,$L$6),FIND("(",INDEX($A2584:$J2584,$L$6)&amp;"(")-1)),L2583)</f>
        <v>Building Value Proposition</v>
      </c>
      <c r="M2584" s="37" t="str">
        <f aca="false">IF(INDEX($A2584:$J2584,$M$6)="","",INDEX($A2584:$J2584,$M$6)&amp;"")</f>
        <v/>
      </c>
      <c r="N2584" s="37" t="str">
        <f aca="false">IF($M2584="","",TRIM(INDEX($A2584:$J2584,$N$6)&amp;""))</f>
        <v/>
      </c>
      <c r="O2584" s="37" t="str">
        <f aca="false">IF($M2584="","",TRIM(INDEX($A2584:$J2584,$O$6)&amp;""))</f>
        <v/>
      </c>
      <c r="P2584" s="37" t="str">
        <f aca="false">IF($M2584="","",IFERROR(IF(INDEX(Settings!$B$41:$B$50,MATCH(O2584,Settings!$A$41:$A$50,0))&amp;""="","UNMAPPED",INDEX(Settings!$B$41:$B$50,MATCH(O2584,Settings!$A$41:$A$50,0))&amp;""),"UNMAPPED"))</f>
        <v/>
      </c>
      <c r="Q2584" s="38" t="n">
        <f aca="false">IF($M2584="",0,N(INDEX($A2584:$J2584,$Q$6)))</f>
        <v>0</v>
      </c>
      <c r="R2584" s="39" t="str">
        <f aca="false">IF($M2584="","",INDEX($A2584:$J2584,$R$6))</f>
        <v/>
      </c>
      <c r="S2584" s="37" t="str">
        <f aca="false">IF($M2584="","",IFERROR(INDEX(Settings!$B$27:$B$36,MATCH(L2584,Settings!$A$27:$A$36,0))&amp;"","UNMAPPED"))</f>
        <v/>
      </c>
      <c r="T2584" s="37" t="str">
        <f aca="false">IF($M2584="","",IF(NOT(ISNUMBER(R2584)),"NO DATE",IF(S2584="Won",IF(R2584&gt;Settings!$B$5,"Backlog","Delivered"),IF(S2584="Open",IF(R2584&gt;Settings!$B$5,"Pipeline","Overdue"),IF(S2584="Lost","Lost","UNMAPPED")))))</f>
        <v/>
      </c>
      <c r="U2584" s="40" t="n">
        <f aca="false">IF(T2584="Backlog",1,IF(OR(T2584="Pipeline",T2584="Overdue"),N(INDEX(Settings!$C$27:$C$36,MATCH(L2584,Settings!$A$27:$A$36,0))),0))</f>
        <v>0</v>
      </c>
      <c r="V2584" s="38" t="n">
        <f aca="false">Q2584*U2584</f>
        <v>0</v>
      </c>
      <c r="W2584" s="41" t="str">
        <f aca="false">IF($M2584="","",IF(T2584="Overdue",IF(Settings!$B$8="Yes",Settings!$B$7,""),IF(ISNUMBER(R2584),DATE(YEAR(R2584),MONTH(R2584),1),"")))</f>
        <v/>
      </c>
      <c r="X2584" s="38" t="n">
        <f aca="false">IF(AND(OR(T2584="Backlog",T2584="Pipeline",T2584="Overdue"),ISNUMBER(W2584)),IF(W2584&lt;=Settings!$B$6,V2584,0),0)</f>
        <v>0</v>
      </c>
      <c r="Y2584" s="38" t="n">
        <f aca="false">IF(AND(OR(T2584="Backlog",T2584="Pipeline",T2584="Overdue"),ISNUMBER(W2584)),IF(W2584&lt;=Settings!$B$6,Q2584,0),0)</f>
        <v>0</v>
      </c>
      <c r="Z2584" s="38" t="n">
        <f aca="false">IF(Y2584=0,0,IF(T2584="Backlog",Q2584,Q2584*Dashboard!$C$10))</f>
        <v>0</v>
      </c>
      <c r="AA2584" s="37" t="n">
        <f aca="false">IF($N2584="",0,IF(COUNTIF(Dashboard!$C$13:$C$22,$N2584)&gt;0,1,0))</f>
        <v>0</v>
      </c>
      <c r="AB2584" s="37" t="str">
        <f aca="false">IF($N2584="","",IF(COUNTIF($N$8:$N2584,$N2584)=1,MAX($AB$7:$AB2583)+1,""))</f>
        <v/>
      </c>
    </row>
    <row r="2585" customFormat="false" ht="15" hidden="false" customHeight="false" outlineLevel="0" collapsed="false">
      <c r="L2585" s="37" t="str">
        <f aca="false">IF(INDEX($A2585:$J2585,$L$6)&lt;&gt;"",TRIM(LEFT(INDEX($A2585:$J2585,$L$6),FIND("(",INDEX($A2585:$J2585,$L$6)&amp;"(")-1)),L2584)</f>
        <v>Building Value Proposition</v>
      </c>
      <c r="M2585" s="37" t="str">
        <f aca="false">IF(INDEX($A2585:$J2585,$M$6)="","",INDEX($A2585:$J2585,$M$6)&amp;"")</f>
        <v/>
      </c>
      <c r="N2585" s="37" t="str">
        <f aca="false">IF($M2585="","",TRIM(INDEX($A2585:$J2585,$N$6)&amp;""))</f>
        <v/>
      </c>
      <c r="O2585" s="37" t="str">
        <f aca="false">IF($M2585="","",TRIM(INDEX($A2585:$J2585,$O$6)&amp;""))</f>
        <v/>
      </c>
      <c r="P2585" s="37" t="str">
        <f aca="false">IF($M2585="","",IFERROR(IF(INDEX(Settings!$B$41:$B$50,MATCH(O2585,Settings!$A$41:$A$50,0))&amp;""="","UNMAPPED",INDEX(Settings!$B$41:$B$50,MATCH(O2585,Settings!$A$41:$A$50,0))&amp;""),"UNMAPPED"))</f>
        <v/>
      </c>
      <c r="Q2585" s="38" t="n">
        <f aca="false">IF($M2585="",0,N(INDEX($A2585:$J2585,$Q$6)))</f>
        <v>0</v>
      </c>
      <c r="R2585" s="39" t="str">
        <f aca="false">IF($M2585="","",INDEX($A2585:$J2585,$R$6))</f>
        <v/>
      </c>
      <c r="S2585" s="37" t="str">
        <f aca="false">IF($M2585="","",IFERROR(INDEX(Settings!$B$27:$B$36,MATCH(L2585,Settings!$A$27:$A$36,0))&amp;"","UNMAPPED"))</f>
        <v/>
      </c>
      <c r="T2585" s="37" t="str">
        <f aca="false">IF($M2585="","",IF(NOT(ISNUMBER(R2585)),"NO DATE",IF(S2585="Won",IF(R2585&gt;Settings!$B$5,"Backlog","Delivered"),IF(S2585="Open",IF(R2585&gt;Settings!$B$5,"Pipeline","Overdue"),IF(S2585="Lost","Lost","UNMAPPED")))))</f>
        <v/>
      </c>
      <c r="U2585" s="40" t="n">
        <f aca="false">IF(T2585="Backlog",1,IF(OR(T2585="Pipeline",T2585="Overdue"),N(INDEX(Settings!$C$27:$C$36,MATCH(L2585,Settings!$A$27:$A$36,0))),0))</f>
        <v>0</v>
      </c>
      <c r="V2585" s="38" t="n">
        <f aca="false">Q2585*U2585</f>
        <v>0</v>
      </c>
      <c r="W2585" s="41" t="str">
        <f aca="false">IF($M2585="","",IF(T2585="Overdue",IF(Settings!$B$8="Yes",Settings!$B$7,""),IF(ISNUMBER(R2585),DATE(YEAR(R2585),MONTH(R2585),1),"")))</f>
        <v/>
      </c>
      <c r="X2585" s="38" t="n">
        <f aca="false">IF(AND(OR(T2585="Backlog",T2585="Pipeline",T2585="Overdue"),ISNUMBER(W2585)),IF(W2585&lt;=Settings!$B$6,V2585,0),0)</f>
        <v>0</v>
      </c>
      <c r="Y2585" s="38" t="n">
        <f aca="false">IF(AND(OR(T2585="Backlog",T2585="Pipeline",T2585="Overdue"),ISNUMBER(W2585)),IF(W2585&lt;=Settings!$B$6,Q2585,0),0)</f>
        <v>0</v>
      </c>
      <c r="Z2585" s="38" t="n">
        <f aca="false">IF(Y2585=0,0,IF(T2585="Backlog",Q2585,Q2585*Dashboard!$C$10))</f>
        <v>0</v>
      </c>
      <c r="AA2585" s="37" t="n">
        <f aca="false">IF($N2585="",0,IF(COUNTIF(Dashboard!$C$13:$C$22,$N2585)&gt;0,1,0))</f>
        <v>0</v>
      </c>
      <c r="AB2585" s="37" t="str">
        <f aca="false">IF($N2585="","",IF(COUNTIF($N$8:$N2585,$N2585)=1,MAX($AB$7:$AB2584)+1,""))</f>
        <v/>
      </c>
    </row>
    <row r="2586" customFormat="false" ht="15" hidden="false" customHeight="false" outlineLevel="0" collapsed="false">
      <c r="L2586" s="37" t="str">
        <f aca="false">IF(INDEX($A2586:$J2586,$L$6)&lt;&gt;"",TRIM(LEFT(INDEX($A2586:$J2586,$L$6),FIND("(",INDEX($A2586:$J2586,$L$6)&amp;"(")-1)),L2585)</f>
        <v>Building Value Proposition</v>
      </c>
      <c r="M2586" s="37" t="str">
        <f aca="false">IF(INDEX($A2586:$J2586,$M$6)="","",INDEX($A2586:$J2586,$M$6)&amp;"")</f>
        <v/>
      </c>
      <c r="N2586" s="37" t="str">
        <f aca="false">IF($M2586="","",TRIM(INDEX($A2586:$J2586,$N$6)&amp;""))</f>
        <v/>
      </c>
      <c r="O2586" s="37" t="str">
        <f aca="false">IF($M2586="","",TRIM(INDEX($A2586:$J2586,$O$6)&amp;""))</f>
        <v/>
      </c>
      <c r="P2586" s="37" t="str">
        <f aca="false">IF($M2586="","",IFERROR(IF(INDEX(Settings!$B$41:$B$50,MATCH(O2586,Settings!$A$41:$A$50,0))&amp;""="","UNMAPPED",INDEX(Settings!$B$41:$B$50,MATCH(O2586,Settings!$A$41:$A$50,0))&amp;""),"UNMAPPED"))</f>
        <v/>
      </c>
      <c r="Q2586" s="38" t="n">
        <f aca="false">IF($M2586="",0,N(INDEX($A2586:$J2586,$Q$6)))</f>
        <v>0</v>
      </c>
      <c r="R2586" s="39" t="str">
        <f aca="false">IF($M2586="","",INDEX($A2586:$J2586,$R$6))</f>
        <v/>
      </c>
      <c r="S2586" s="37" t="str">
        <f aca="false">IF($M2586="","",IFERROR(INDEX(Settings!$B$27:$B$36,MATCH(L2586,Settings!$A$27:$A$36,0))&amp;"","UNMAPPED"))</f>
        <v/>
      </c>
      <c r="T2586" s="37" t="str">
        <f aca="false">IF($M2586="","",IF(NOT(ISNUMBER(R2586)),"NO DATE",IF(S2586="Won",IF(R2586&gt;Settings!$B$5,"Backlog","Delivered"),IF(S2586="Open",IF(R2586&gt;Settings!$B$5,"Pipeline","Overdue"),IF(S2586="Lost","Lost","UNMAPPED")))))</f>
        <v/>
      </c>
      <c r="U2586" s="40" t="n">
        <f aca="false">IF(T2586="Backlog",1,IF(OR(T2586="Pipeline",T2586="Overdue"),N(INDEX(Settings!$C$27:$C$36,MATCH(L2586,Settings!$A$27:$A$36,0))),0))</f>
        <v>0</v>
      </c>
      <c r="V2586" s="38" t="n">
        <f aca="false">Q2586*U2586</f>
        <v>0</v>
      </c>
      <c r="W2586" s="41" t="str">
        <f aca="false">IF($M2586="","",IF(T2586="Overdue",IF(Settings!$B$8="Yes",Settings!$B$7,""),IF(ISNUMBER(R2586),DATE(YEAR(R2586),MONTH(R2586),1),"")))</f>
        <v/>
      </c>
      <c r="X2586" s="38" t="n">
        <f aca="false">IF(AND(OR(T2586="Backlog",T2586="Pipeline",T2586="Overdue"),ISNUMBER(W2586)),IF(W2586&lt;=Settings!$B$6,V2586,0),0)</f>
        <v>0</v>
      </c>
      <c r="Y2586" s="38" t="n">
        <f aca="false">IF(AND(OR(T2586="Backlog",T2586="Pipeline",T2586="Overdue"),ISNUMBER(W2586)),IF(W2586&lt;=Settings!$B$6,Q2586,0),0)</f>
        <v>0</v>
      </c>
      <c r="Z2586" s="38" t="n">
        <f aca="false">IF(Y2586=0,0,IF(T2586="Backlog",Q2586,Q2586*Dashboard!$C$10))</f>
        <v>0</v>
      </c>
      <c r="AA2586" s="37" t="n">
        <f aca="false">IF($N2586="",0,IF(COUNTIF(Dashboard!$C$13:$C$22,$N2586)&gt;0,1,0))</f>
        <v>0</v>
      </c>
      <c r="AB2586" s="37" t="str">
        <f aca="false">IF($N2586="","",IF(COUNTIF($N$8:$N2586,$N2586)=1,MAX($AB$7:$AB2585)+1,""))</f>
        <v/>
      </c>
    </row>
    <row r="2587" customFormat="false" ht="15" hidden="false" customHeight="false" outlineLevel="0" collapsed="false">
      <c r="L2587" s="37" t="str">
        <f aca="false">IF(INDEX($A2587:$J2587,$L$6)&lt;&gt;"",TRIM(LEFT(INDEX($A2587:$J2587,$L$6),FIND("(",INDEX($A2587:$J2587,$L$6)&amp;"(")-1)),L2586)</f>
        <v>Building Value Proposition</v>
      </c>
      <c r="M2587" s="37" t="str">
        <f aca="false">IF(INDEX($A2587:$J2587,$M$6)="","",INDEX($A2587:$J2587,$M$6)&amp;"")</f>
        <v/>
      </c>
      <c r="N2587" s="37" t="str">
        <f aca="false">IF($M2587="","",TRIM(INDEX($A2587:$J2587,$N$6)&amp;""))</f>
        <v/>
      </c>
      <c r="O2587" s="37" t="str">
        <f aca="false">IF($M2587="","",TRIM(INDEX($A2587:$J2587,$O$6)&amp;""))</f>
        <v/>
      </c>
      <c r="P2587" s="37" t="str">
        <f aca="false">IF($M2587="","",IFERROR(IF(INDEX(Settings!$B$41:$B$50,MATCH(O2587,Settings!$A$41:$A$50,0))&amp;""="","UNMAPPED",INDEX(Settings!$B$41:$B$50,MATCH(O2587,Settings!$A$41:$A$50,0))&amp;""),"UNMAPPED"))</f>
        <v/>
      </c>
      <c r="Q2587" s="38" t="n">
        <f aca="false">IF($M2587="",0,N(INDEX($A2587:$J2587,$Q$6)))</f>
        <v>0</v>
      </c>
      <c r="R2587" s="39" t="str">
        <f aca="false">IF($M2587="","",INDEX($A2587:$J2587,$R$6))</f>
        <v/>
      </c>
      <c r="S2587" s="37" t="str">
        <f aca="false">IF($M2587="","",IFERROR(INDEX(Settings!$B$27:$B$36,MATCH(L2587,Settings!$A$27:$A$36,0))&amp;"","UNMAPPED"))</f>
        <v/>
      </c>
      <c r="T2587" s="37" t="str">
        <f aca="false">IF($M2587="","",IF(NOT(ISNUMBER(R2587)),"NO DATE",IF(S2587="Won",IF(R2587&gt;Settings!$B$5,"Backlog","Delivered"),IF(S2587="Open",IF(R2587&gt;Settings!$B$5,"Pipeline","Overdue"),IF(S2587="Lost","Lost","UNMAPPED")))))</f>
        <v/>
      </c>
      <c r="U2587" s="40" t="n">
        <f aca="false">IF(T2587="Backlog",1,IF(OR(T2587="Pipeline",T2587="Overdue"),N(INDEX(Settings!$C$27:$C$36,MATCH(L2587,Settings!$A$27:$A$36,0))),0))</f>
        <v>0</v>
      </c>
      <c r="V2587" s="38" t="n">
        <f aca="false">Q2587*U2587</f>
        <v>0</v>
      </c>
      <c r="W2587" s="41" t="str">
        <f aca="false">IF($M2587="","",IF(T2587="Overdue",IF(Settings!$B$8="Yes",Settings!$B$7,""),IF(ISNUMBER(R2587),DATE(YEAR(R2587),MONTH(R2587),1),"")))</f>
        <v/>
      </c>
      <c r="X2587" s="38" t="n">
        <f aca="false">IF(AND(OR(T2587="Backlog",T2587="Pipeline",T2587="Overdue"),ISNUMBER(W2587)),IF(W2587&lt;=Settings!$B$6,V2587,0),0)</f>
        <v>0</v>
      </c>
      <c r="Y2587" s="38" t="n">
        <f aca="false">IF(AND(OR(T2587="Backlog",T2587="Pipeline",T2587="Overdue"),ISNUMBER(W2587)),IF(W2587&lt;=Settings!$B$6,Q2587,0),0)</f>
        <v>0</v>
      </c>
      <c r="Z2587" s="38" t="n">
        <f aca="false">IF(Y2587=0,0,IF(T2587="Backlog",Q2587,Q2587*Dashboard!$C$10))</f>
        <v>0</v>
      </c>
      <c r="AA2587" s="37" t="n">
        <f aca="false">IF($N2587="",0,IF(COUNTIF(Dashboard!$C$13:$C$22,$N2587)&gt;0,1,0))</f>
        <v>0</v>
      </c>
      <c r="AB2587" s="37" t="str">
        <f aca="false">IF($N2587="","",IF(COUNTIF($N$8:$N2587,$N2587)=1,MAX($AB$7:$AB2586)+1,""))</f>
        <v/>
      </c>
    </row>
    <row r="2588" customFormat="false" ht="15" hidden="false" customHeight="false" outlineLevel="0" collapsed="false">
      <c r="L2588" s="37" t="str">
        <f aca="false">IF(INDEX($A2588:$J2588,$L$6)&lt;&gt;"",TRIM(LEFT(INDEX($A2588:$J2588,$L$6),FIND("(",INDEX($A2588:$J2588,$L$6)&amp;"(")-1)),L2587)</f>
        <v>Building Value Proposition</v>
      </c>
      <c r="M2588" s="37" t="str">
        <f aca="false">IF(INDEX($A2588:$J2588,$M$6)="","",INDEX($A2588:$J2588,$M$6)&amp;"")</f>
        <v/>
      </c>
      <c r="N2588" s="37" t="str">
        <f aca="false">IF($M2588="","",TRIM(INDEX($A2588:$J2588,$N$6)&amp;""))</f>
        <v/>
      </c>
      <c r="O2588" s="37" t="str">
        <f aca="false">IF($M2588="","",TRIM(INDEX($A2588:$J2588,$O$6)&amp;""))</f>
        <v/>
      </c>
      <c r="P2588" s="37" t="str">
        <f aca="false">IF($M2588="","",IFERROR(IF(INDEX(Settings!$B$41:$B$50,MATCH(O2588,Settings!$A$41:$A$50,0))&amp;""="","UNMAPPED",INDEX(Settings!$B$41:$B$50,MATCH(O2588,Settings!$A$41:$A$50,0))&amp;""),"UNMAPPED"))</f>
        <v/>
      </c>
      <c r="Q2588" s="38" t="n">
        <f aca="false">IF($M2588="",0,N(INDEX($A2588:$J2588,$Q$6)))</f>
        <v>0</v>
      </c>
      <c r="R2588" s="39" t="str">
        <f aca="false">IF($M2588="","",INDEX($A2588:$J2588,$R$6))</f>
        <v/>
      </c>
      <c r="S2588" s="37" t="str">
        <f aca="false">IF($M2588="","",IFERROR(INDEX(Settings!$B$27:$B$36,MATCH(L2588,Settings!$A$27:$A$36,0))&amp;"","UNMAPPED"))</f>
        <v/>
      </c>
      <c r="T2588" s="37" t="str">
        <f aca="false">IF($M2588="","",IF(NOT(ISNUMBER(R2588)),"NO DATE",IF(S2588="Won",IF(R2588&gt;Settings!$B$5,"Backlog","Delivered"),IF(S2588="Open",IF(R2588&gt;Settings!$B$5,"Pipeline","Overdue"),IF(S2588="Lost","Lost","UNMAPPED")))))</f>
        <v/>
      </c>
      <c r="U2588" s="40" t="n">
        <f aca="false">IF(T2588="Backlog",1,IF(OR(T2588="Pipeline",T2588="Overdue"),N(INDEX(Settings!$C$27:$C$36,MATCH(L2588,Settings!$A$27:$A$36,0))),0))</f>
        <v>0</v>
      </c>
      <c r="V2588" s="38" t="n">
        <f aca="false">Q2588*U2588</f>
        <v>0</v>
      </c>
      <c r="W2588" s="41" t="str">
        <f aca="false">IF($M2588="","",IF(T2588="Overdue",IF(Settings!$B$8="Yes",Settings!$B$7,""),IF(ISNUMBER(R2588),DATE(YEAR(R2588),MONTH(R2588),1),"")))</f>
        <v/>
      </c>
      <c r="X2588" s="38" t="n">
        <f aca="false">IF(AND(OR(T2588="Backlog",T2588="Pipeline",T2588="Overdue"),ISNUMBER(W2588)),IF(W2588&lt;=Settings!$B$6,V2588,0),0)</f>
        <v>0</v>
      </c>
      <c r="Y2588" s="38" t="n">
        <f aca="false">IF(AND(OR(T2588="Backlog",T2588="Pipeline",T2588="Overdue"),ISNUMBER(W2588)),IF(W2588&lt;=Settings!$B$6,Q2588,0),0)</f>
        <v>0</v>
      </c>
      <c r="Z2588" s="38" t="n">
        <f aca="false">IF(Y2588=0,0,IF(T2588="Backlog",Q2588,Q2588*Dashboard!$C$10))</f>
        <v>0</v>
      </c>
      <c r="AA2588" s="37" t="n">
        <f aca="false">IF($N2588="",0,IF(COUNTIF(Dashboard!$C$13:$C$22,$N2588)&gt;0,1,0))</f>
        <v>0</v>
      </c>
      <c r="AB2588" s="37" t="str">
        <f aca="false">IF($N2588="","",IF(COUNTIF($N$8:$N2588,$N2588)=1,MAX($AB$7:$AB2587)+1,""))</f>
        <v/>
      </c>
    </row>
    <row r="2589" customFormat="false" ht="15" hidden="false" customHeight="false" outlineLevel="0" collapsed="false">
      <c r="L2589" s="37" t="str">
        <f aca="false">IF(INDEX($A2589:$J2589,$L$6)&lt;&gt;"",TRIM(LEFT(INDEX($A2589:$J2589,$L$6),FIND("(",INDEX($A2589:$J2589,$L$6)&amp;"(")-1)),L2588)</f>
        <v>Building Value Proposition</v>
      </c>
      <c r="M2589" s="37" t="str">
        <f aca="false">IF(INDEX($A2589:$J2589,$M$6)="","",INDEX($A2589:$J2589,$M$6)&amp;"")</f>
        <v/>
      </c>
      <c r="N2589" s="37" t="str">
        <f aca="false">IF($M2589="","",TRIM(INDEX($A2589:$J2589,$N$6)&amp;""))</f>
        <v/>
      </c>
      <c r="O2589" s="37" t="str">
        <f aca="false">IF($M2589="","",TRIM(INDEX($A2589:$J2589,$O$6)&amp;""))</f>
        <v/>
      </c>
      <c r="P2589" s="37" t="str">
        <f aca="false">IF($M2589="","",IFERROR(IF(INDEX(Settings!$B$41:$B$50,MATCH(O2589,Settings!$A$41:$A$50,0))&amp;""="","UNMAPPED",INDEX(Settings!$B$41:$B$50,MATCH(O2589,Settings!$A$41:$A$50,0))&amp;""),"UNMAPPED"))</f>
        <v/>
      </c>
      <c r="Q2589" s="38" t="n">
        <f aca="false">IF($M2589="",0,N(INDEX($A2589:$J2589,$Q$6)))</f>
        <v>0</v>
      </c>
      <c r="R2589" s="39" t="str">
        <f aca="false">IF($M2589="","",INDEX($A2589:$J2589,$R$6))</f>
        <v/>
      </c>
      <c r="S2589" s="37" t="str">
        <f aca="false">IF($M2589="","",IFERROR(INDEX(Settings!$B$27:$B$36,MATCH(L2589,Settings!$A$27:$A$36,0))&amp;"","UNMAPPED"))</f>
        <v/>
      </c>
      <c r="T2589" s="37" t="str">
        <f aca="false">IF($M2589="","",IF(NOT(ISNUMBER(R2589)),"NO DATE",IF(S2589="Won",IF(R2589&gt;Settings!$B$5,"Backlog","Delivered"),IF(S2589="Open",IF(R2589&gt;Settings!$B$5,"Pipeline","Overdue"),IF(S2589="Lost","Lost","UNMAPPED")))))</f>
        <v/>
      </c>
      <c r="U2589" s="40" t="n">
        <f aca="false">IF(T2589="Backlog",1,IF(OR(T2589="Pipeline",T2589="Overdue"),N(INDEX(Settings!$C$27:$C$36,MATCH(L2589,Settings!$A$27:$A$36,0))),0))</f>
        <v>0</v>
      </c>
      <c r="V2589" s="38" t="n">
        <f aca="false">Q2589*U2589</f>
        <v>0</v>
      </c>
      <c r="W2589" s="41" t="str">
        <f aca="false">IF($M2589="","",IF(T2589="Overdue",IF(Settings!$B$8="Yes",Settings!$B$7,""),IF(ISNUMBER(R2589),DATE(YEAR(R2589),MONTH(R2589),1),"")))</f>
        <v/>
      </c>
      <c r="X2589" s="38" t="n">
        <f aca="false">IF(AND(OR(T2589="Backlog",T2589="Pipeline",T2589="Overdue"),ISNUMBER(W2589)),IF(W2589&lt;=Settings!$B$6,V2589,0),0)</f>
        <v>0</v>
      </c>
      <c r="Y2589" s="38" t="n">
        <f aca="false">IF(AND(OR(T2589="Backlog",T2589="Pipeline",T2589="Overdue"),ISNUMBER(W2589)),IF(W2589&lt;=Settings!$B$6,Q2589,0),0)</f>
        <v>0</v>
      </c>
      <c r="Z2589" s="38" t="n">
        <f aca="false">IF(Y2589=0,0,IF(T2589="Backlog",Q2589,Q2589*Dashboard!$C$10))</f>
        <v>0</v>
      </c>
      <c r="AA2589" s="37" t="n">
        <f aca="false">IF($N2589="",0,IF(COUNTIF(Dashboard!$C$13:$C$22,$N2589)&gt;0,1,0))</f>
        <v>0</v>
      </c>
      <c r="AB2589" s="37" t="str">
        <f aca="false">IF($N2589="","",IF(COUNTIF($N$8:$N2589,$N2589)=1,MAX($AB$7:$AB2588)+1,""))</f>
        <v/>
      </c>
    </row>
    <row r="2590" customFormat="false" ht="15" hidden="false" customHeight="false" outlineLevel="0" collapsed="false">
      <c r="L2590" s="37" t="str">
        <f aca="false">IF(INDEX($A2590:$J2590,$L$6)&lt;&gt;"",TRIM(LEFT(INDEX($A2590:$J2590,$L$6),FIND("(",INDEX($A2590:$J2590,$L$6)&amp;"(")-1)),L2589)</f>
        <v>Building Value Proposition</v>
      </c>
      <c r="M2590" s="37" t="str">
        <f aca="false">IF(INDEX($A2590:$J2590,$M$6)="","",INDEX($A2590:$J2590,$M$6)&amp;"")</f>
        <v/>
      </c>
      <c r="N2590" s="37" t="str">
        <f aca="false">IF($M2590="","",TRIM(INDEX($A2590:$J2590,$N$6)&amp;""))</f>
        <v/>
      </c>
      <c r="O2590" s="37" t="str">
        <f aca="false">IF($M2590="","",TRIM(INDEX($A2590:$J2590,$O$6)&amp;""))</f>
        <v/>
      </c>
      <c r="P2590" s="37" t="str">
        <f aca="false">IF($M2590="","",IFERROR(IF(INDEX(Settings!$B$41:$B$50,MATCH(O2590,Settings!$A$41:$A$50,0))&amp;""="","UNMAPPED",INDEX(Settings!$B$41:$B$50,MATCH(O2590,Settings!$A$41:$A$50,0))&amp;""),"UNMAPPED"))</f>
        <v/>
      </c>
      <c r="Q2590" s="38" t="n">
        <f aca="false">IF($M2590="",0,N(INDEX($A2590:$J2590,$Q$6)))</f>
        <v>0</v>
      </c>
      <c r="R2590" s="39" t="str">
        <f aca="false">IF($M2590="","",INDEX($A2590:$J2590,$R$6))</f>
        <v/>
      </c>
      <c r="S2590" s="37" t="str">
        <f aca="false">IF($M2590="","",IFERROR(INDEX(Settings!$B$27:$B$36,MATCH(L2590,Settings!$A$27:$A$36,0))&amp;"","UNMAPPED"))</f>
        <v/>
      </c>
      <c r="T2590" s="37" t="str">
        <f aca="false">IF($M2590="","",IF(NOT(ISNUMBER(R2590)),"NO DATE",IF(S2590="Won",IF(R2590&gt;Settings!$B$5,"Backlog","Delivered"),IF(S2590="Open",IF(R2590&gt;Settings!$B$5,"Pipeline","Overdue"),IF(S2590="Lost","Lost","UNMAPPED")))))</f>
        <v/>
      </c>
      <c r="U2590" s="40" t="n">
        <f aca="false">IF(T2590="Backlog",1,IF(OR(T2590="Pipeline",T2590="Overdue"),N(INDEX(Settings!$C$27:$C$36,MATCH(L2590,Settings!$A$27:$A$36,0))),0))</f>
        <v>0</v>
      </c>
      <c r="V2590" s="38" t="n">
        <f aca="false">Q2590*U2590</f>
        <v>0</v>
      </c>
      <c r="W2590" s="41" t="str">
        <f aca="false">IF($M2590="","",IF(T2590="Overdue",IF(Settings!$B$8="Yes",Settings!$B$7,""),IF(ISNUMBER(R2590),DATE(YEAR(R2590),MONTH(R2590),1),"")))</f>
        <v/>
      </c>
      <c r="X2590" s="38" t="n">
        <f aca="false">IF(AND(OR(T2590="Backlog",T2590="Pipeline",T2590="Overdue"),ISNUMBER(W2590)),IF(W2590&lt;=Settings!$B$6,V2590,0),0)</f>
        <v>0</v>
      </c>
      <c r="Y2590" s="38" t="n">
        <f aca="false">IF(AND(OR(T2590="Backlog",T2590="Pipeline",T2590="Overdue"),ISNUMBER(W2590)),IF(W2590&lt;=Settings!$B$6,Q2590,0),0)</f>
        <v>0</v>
      </c>
      <c r="Z2590" s="38" t="n">
        <f aca="false">IF(Y2590=0,0,IF(T2590="Backlog",Q2590,Q2590*Dashboard!$C$10))</f>
        <v>0</v>
      </c>
      <c r="AA2590" s="37" t="n">
        <f aca="false">IF($N2590="",0,IF(COUNTIF(Dashboard!$C$13:$C$22,$N2590)&gt;0,1,0))</f>
        <v>0</v>
      </c>
      <c r="AB2590" s="37" t="str">
        <f aca="false">IF($N2590="","",IF(COUNTIF($N$8:$N2590,$N2590)=1,MAX($AB$7:$AB2589)+1,""))</f>
        <v/>
      </c>
    </row>
    <row r="2591" customFormat="false" ht="15" hidden="false" customHeight="false" outlineLevel="0" collapsed="false">
      <c r="L2591" s="37" t="str">
        <f aca="false">IF(INDEX($A2591:$J2591,$L$6)&lt;&gt;"",TRIM(LEFT(INDEX($A2591:$J2591,$L$6),FIND("(",INDEX($A2591:$J2591,$L$6)&amp;"(")-1)),L2590)</f>
        <v>Building Value Proposition</v>
      </c>
      <c r="M2591" s="37" t="str">
        <f aca="false">IF(INDEX($A2591:$J2591,$M$6)="","",INDEX($A2591:$J2591,$M$6)&amp;"")</f>
        <v/>
      </c>
      <c r="N2591" s="37" t="str">
        <f aca="false">IF($M2591="","",TRIM(INDEX($A2591:$J2591,$N$6)&amp;""))</f>
        <v/>
      </c>
      <c r="O2591" s="37" t="str">
        <f aca="false">IF($M2591="","",TRIM(INDEX($A2591:$J2591,$O$6)&amp;""))</f>
        <v/>
      </c>
      <c r="P2591" s="37" t="str">
        <f aca="false">IF($M2591="","",IFERROR(IF(INDEX(Settings!$B$41:$B$50,MATCH(O2591,Settings!$A$41:$A$50,0))&amp;""="","UNMAPPED",INDEX(Settings!$B$41:$B$50,MATCH(O2591,Settings!$A$41:$A$50,0))&amp;""),"UNMAPPED"))</f>
        <v/>
      </c>
      <c r="Q2591" s="38" t="n">
        <f aca="false">IF($M2591="",0,N(INDEX($A2591:$J2591,$Q$6)))</f>
        <v>0</v>
      </c>
      <c r="R2591" s="39" t="str">
        <f aca="false">IF($M2591="","",INDEX($A2591:$J2591,$R$6))</f>
        <v/>
      </c>
      <c r="S2591" s="37" t="str">
        <f aca="false">IF($M2591="","",IFERROR(INDEX(Settings!$B$27:$B$36,MATCH(L2591,Settings!$A$27:$A$36,0))&amp;"","UNMAPPED"))</f>
        <v/>
      </c>
      <c r="T2591" s="37" t="str">
        <f aca="false">IF($M2591="","",IF(NOT(ISNUMBER(R2591)),"NO DATE",IF(S2591="Won",IF(R2591&gt;Settings!$B$5,"Backlog","Delivered"),IF(S2591="Open",IF(R2591&gt;Settings!$B$5,"Pipeline","Overdue"),IF(S2591="Lost","Lost","UNMAPPED")))))</f>
        <v/>
      </c>
      <c r="U2591" s="40" t="n">
        <f aca="false">IF(T2591="Backlog",1,IF(OR(T2591="Pipeline",T2591="Overdue"),N(INDEX(Settings!$C$27:$C$36,MATCH(L2591,Settings!$A$27:$A$36,0))),0))</f>
        <v>0</v>
      </c>
      <c r="V2591" s="38" t="n">
        <f aca="false">Q2591*U2591</f>
        <v>0</v>
      </c>
      <c r="W2591" s="41" t="str">
        <f aca="false">IF($M2591="","",IF(T2591="Overdue",IF(Settings!$B$8="Yes",Settings!$B$7,""),IF(ISNUMBER(R2591),DATE(YEAR(R2591),MONTH(R2591),1),"")))</f>
        <v/>
      </c>
      <c r="X2591" s="38" t="n">
        <f aca="false">IF(AND(OR(T2591="Backlog",T2591="Pipeline",T2591="Overdue"),ISNUMBER(W2591)),IF(W2591&lt;=Settings!$B$6,V2591,0),0)</f>
        <v>0</v>
      </c>
      <c r="Y2591" s="38" t="n">
        <f aca="false">IF(AND(OR(T2591="Backlog",T2591="Pipeline",T2591="Overdue"),ISNUMBER(W2591)),IF(W2591&lt;=Settings!$B$6,Q2591,0),0)</f>
        <v>0</v>
      </c>
      <c r="Z2591" s="38" t="n">
        <f aca="false">IF(Y2591=0,0,IF(T2591="Backlog",Q2591,Q2591*Dashboard!$C$10))</f>
        <v>0</v>
      </c>
      <c r="AA2591" s="37" t="n">
        <f aca="false">IF($N2591="",0,IF(COUNTIF(Dashboard!$C$13:$C$22,$N2591)&gt;0,1,0))</f>
        <v>0</v>
      </c>
      <c r="AB2591" s="37" t="str">
        <f aca="false">IF($N2591="","",IF(COUNTIF($N$8:$N2591,$N2591)=1,MAX($AB$7:$AB2590)+1,""))</f>
        <v/>
      </c>
    </row>
    <row r="2592" customFormat="false" ht="15" hidden="false" customHeight="false" outlineLevel="0" collapsed="false">
      <c r="L2592" s="37" t="str">
        <f aca="false">IF(INDEX($A2592:$J2592,$L$6)&lt;&gt;"",TRIM(LEFT(INDEX($A2592:$J2592,$L$6),FIND("(",INDEX($A2592:$J2592,$L$6)&amp;"(")-1)),L2591)</f>
        <v>Building Value Proposition</v>
      </c>
      <c r="M2592" s="37" t="str">
        <f aca="false">IF(INDEX($A2592:$J2592,$M$6)="","",INDEX($A2592:$J2592,$M$6)&amp;"")</f>
        <v/>
      </c>
      <c r="N2592" s="37" t="str">
        <f aca="false">IF($M2592="","",TRIM(INDEX($A2592:$J2592,$N$6)&amp;""))</f>
        <v/>
      </c>
      <c r="O2592" s="37" t="str">
        <f aca="false">IF($M2592="","",TRIM(INDEX($A2592:$J2592,$O$6)&amp;""))</f>
        <v/>
      </c>
      <c r="P2592" s="37" t="str">
        <f aca="false">IF($M2592="","",IFERROR(IF(INDEX(Settings!$B$41:$B$50,MATCH(O2592,Settings!$A$41:$A$50,0))&amp;""="","UNMAPPED",INDEX(Settings!$B$41:$B$50,MATCH(O2592,Settings!$A$41:$A$50,0))&amp;""),"UNMAPPED"))</f>
        <v/>
      </c>
      <c r="Q2592" s="38" t="n">
        <f aca="false">IF($M2592="",0,N(INDEX($A2592:$J2592,$Q$6)))</f>
        <v>0</v>
      </c>
      <c r="R2592" s="39" t="str">
        <f aca="false">IF($M2592="","",INDEX($A2592:$J2592,$R$6))</f>
        <v/>
      </c>
      <c r="S2592" s="37" t="str">
        <f aca="false">IF($M2592="","",IFERROR(INDEX(Settings!$B$27:$B$36,MATCH(L2592,Settings!$A$27:$A$36,0))&amp;"","UNMAPPED"))</f>
        <v/>
      </c>
      <c r="T2592" s="37" t="str">
        <f aca="false">IF($M2592="","",IF(NOT(ISNUMBER(R2592)),"NO DATE",IF(S2592="Won",IF(R2592&gt;Settings!$B$5,"Backlog","Delivered"),IF(S2592="Open",IF(R2592&gt;Settings!$B$5,"Pipeline","Overdue"),IF(S2592="Lost","Lost","UNMAPPED")))))</f>
        <v/>
      </c>
      <c r="U2592" s="40" t="n">
        <f aca="false">IF(T2592="Backlog",1,IF(OR(T2592="Pipeline",T2592="Overdue"),N(INDEX(Settings!$C$27:$C$36,MATCH(L2592,Settings!$A$27:$A$36,0))),0))</f>
        <v>0</v>
      </c>
      <c r="V2592" s="38" t="n">
        <f aca="false">Q2592*U2592</f>
        <v>0</v>
      </c>
      <c r="W2592" s="41" t="str">
        <f aca="false">IF($M2592="","",IF(T2592="Overdue",IF(Settings!$B$8="Yes",Settings!$B$7,""),IF(ISNUMBER(R2592),DATE(YEAR(R2592),MONTH(R2592),1),"")))</f>
        <v/>
      </c>
      <c r="X2592" s="38" t="n">
        <f aca="false">IF(AND(OR(T2592="Backlog",T2592="Pipeline",T2592="Overdue"),ISNUMBER(W2592)),IF(W2592&lt;=Settings!$B$6,V2592,0),0)</f>
        <v>0</v>
      </c>
      <c r="Y2592" s="38" t="n">
        <f aca="false">IF(AND(OR(T2592="Backlog",T2592="Pipeline",T2592="Overdue"),ISNUMBER(W2592)),IF(W2592&lt;=Settings!$B$6,Q2592,0),0)</f>
        <v>0</v>
      </c>
      <c r="Z2592" s="38" t="n">
        <f aca="false">IF(Y2592=0,0,IF(T2592="Backlog",Q2592,Q2592*Dashboard!$C$10))</f>
        <v>0</v>
      </c>
      <c r="AA2592" s="37" t="n">
        <f aca="false">IF($N2592="",0,IF(COUNTIF(Dashboard!$C$13:$C$22,$N2592)&gt;0,1,0))</f>
        <v>0</v>
      </c>
      <c r="AB2592" s="37" t="str">
        <f aca="false">IF($N2592="","",IF(COUNTIF($N$8:$N2592,$N2592)=1,MAX($AB$7:$AB2591)+1,""))</f>
        <v/>
      </c>
    </row>
    <row r="2593" customFormat="false" ht="15" hidden="false" customHeight="false" outlineLevel="0" collapsed="false">
      <c r="L2593" s="37" t="str">
        <f aca="false">IF(INDEX($A2593:$J2593,$L$6)&lt;&gt;"",TRIM(LEFT(INDEX($A2593:$J2593,$L$6),FIND("(",INDEX($A2593:$J2593,$L$6)&amp;"(")-1)),L2592)</f>
        <v>Building Value Proposition</v>
      </c>
      <c r="M2593" s="37" t="str">
        <f aca="false">IF(INDEX($A2593:$J2593,$M$6)="","",INDEX($A2593:$J2593,$M$6)&amp;"")</f>
        <v/>
      </c>
      <c r="N2593" s="37" t="str">
        <f aca="false">IF($M2593="","",TRIM(INDEX($A2593:$J2593,$N$6)&amp;""))</f>
        <v/>
      </c>
      <c r="O2593" s="37" t="str">
        <f aca="false">IF($M2593="","",TRIM(INDEX($A2593:$J2593,$O$6)&amp;""))</f>
        <v/>
      </c>
      <c r="P2593" s="37" t="str">
        <f aca="false">IF($M2593="","",IFERROR(IF(INDEX(Settings!$B$41:$B$50,MATCH(O2593,Settings!$A$41:$A$50,0))&amp;""="","UNMAPPED",INDEX(Settings!$B$41:$B$50,MATCH(O2593,Settings!$A$41:$A$50,0))&amp;""),"UNMAPPED"))</f>
        <v/>
      </c>
      <c r="Q2593" s="38" t="n">
        <f aca="false">IF($M2593="",0,N(INDEX($A2593:$J2593,$Q$6)))</f>
        <v>0</v>
      </c>
      <c r="R2593" s="39" t="str">
        <f aca="false">IF($M2593="","",INDEX($A2593:$J2593,$R$6))</f>
        <v/>
      </c>
      <c r="S2593" s="37" t="str">
        <f aca="false">IF($M2593="","",IFERROR(INDEX(Settings!$B$27:$B$36,MATCH(L2593,Settings!$A$27:$A$36,0))&amp;"","UNMAPPED"))</f>
        <v/>
      </c>
      <c r="T2593" s="37" t="str">
        <f aca="false">IF($M2593="","",IF(NOT(ISNUMBER(R2593)),"NO DATE",IF(S2593="Won",IF(R2593&gt;Settings!$B$5,"Backlog","Delivered"),IF(S2593="Open",IF(R2593&gt;Settings!$B$5,"Pipeline","Overdue"),IF(S2593="Lost","Lost","UNMAPPED")))))</f>
        <v/>
      </c>
      <c r="U2593" s="40" t="n">
        <f aca="false">IF(T2593="Backlog",1,IF(OR(T2593="Pipeline",T2593="Overdue"),N(INDEX(Settings!$C$27:$C$36,MATCH(L2593,Settings!$A$27:$A$36,0))),0))</f>
        <v>0</v>
      </c>
      <c r="V2593" s="38" t="n">
        <f aca="false">Q2593*U2593</f>
        <v>0</v>
      </c>
      <c r="W2593" s="41" t="str">
        <f aca="false">IF($M2593="","",IF(T2593="Overdue",IF(Settings!$B$8="Yes",Settings!$B$7,""),IF(ISNUMBER(R2593),DATE(YEAR(R2593),MONTH(R2593),1),"")))</f>
        <v/>
      </c>
      <c r="X2593" s="38" t="n">
        <f aca="false">IF(AND(OR(T2593="Backlog",T2593="Pipeline",T2593="Overdue"),ISNUMBER(W2593)),IF(W2593&lt;=Settings!$B$6,V2593,0),0)</f>
        <v>0</v>
      </c>
      <c r="Y2593" s="38" t="n">
        <f aca="false">IF(AND(OR(T2593="Backlog",T2593="Pipeline",T2593="Overdue"),ISNUMBER(W2593)),IF(W2593&lt;=Settings!$B$6,Q2593,0),0)</f>
        <v>0</v>
      </c>
      <c r="Z2593" s="38" t="n">
        <f aca="false">IF(Y2593=0,0,IF(T2593="Backlog",Q2593,Q2593*Dashboard!$C$10))</f>
        <v>0</v>
      </c>
      <c r="AA2593" s="37" t="n">
        <f aca="false">IF($N2593="",0,IF(COUNTIF(Dashboard!$C$13:$C$22,$N2593)&gt;0,1,0))</f>
        <v>0</v>
      </c>
      <c r="AB2593" s="37" t="str">
        <f aca="false">IF($N2593="","",IF(COUNTIF($N$8:$N2593,$N2593)=1,MAX($AB$7:$AB2592)+1,""))</f>
        <v/>
      </c>
    </row>
    <row r="2594" customFormat="false" ht="15" hidden="false" customHeight="false" outlineLevel="0" collapsed="false">
      <c r="L2594" s="37" t="str">
        <f aca="false">IF(INDEX($A2594:$J2594,$L$6)&lt;&gt;"",TRIM(LEFT(INDEX($A2594:$J2594,$L$6),FIND("(",INDEX($A2594:$J2594,$L$6)&amp;"(")-1)),L2593)</f>
        <v>Building Value Proposition</v>
      </c>
      <c r="M2594" s="37" t="str">
        <f aca="false">IF(INDEX($A2594:$J2594,$M$6)="","",INDEX($A2594:$J2594,$M$6)&amp;"")</f>
        <v/>
      </c>
      <c r="N2594" s="37" t="str">
        <f aca="false">IF($M2594="","",TRIM(INDEX($A2594:$J2594,$N$6)&amp;""))</f>
        <v/>
      </c>
      <c r="O2594" s="37" t="str">
        <f aca="false">IF($M2594="","",TRIM(INDEX($A2594:$J2594,$O$6)&amp;""))</f>
        <v/>
      </c>
      <c r="P2594" s="37" t="str">
        <f aca="false">IF($M2594="","",IFERROR(IF(INDEX(Settings!$B$41:$B$50,MATCH(O2594,Settings!$A$41:$A$50,0))&amp;""="","UNMAPPED",INDEX(Settings!$B$41:$B$50,MATCH(O2594,Settings!$A$41:$A$50,0))&amp;""),"UNMAPPED"))</f>
        <v/>
      </c>
      <c r="Q2594" s="38" t="n">
        <f aca="false">IF($M2594="",0,N(INDEX($A2594:$J2594,$Q$6)))</f>
        <v>0</v>
      </c>
      <c r="R2594" s="39" t="str">
        <f aca="false">IF($M2594="","",INDEX($A2594:$J2594,$R$6))</f>
        <v/>
      </c>
      <c r="S2594" s="37" t="str">
        <f aca="false">IF($M2594="","",IFERROR(INDEX(Settings!$B$27:$B$36,MATCH(L2594,Settings!$A$27:$A$36,0))&amp;"","UNMAPPED"))</f>
        <v/>
      </c>
      <c r="T2594" s="37" t="str">
        <f aca="false">IF($M2594="","",IF(NOT(ISNUMBER(R2594)),"NO DATE",IF(S2594="Won",IF(R2594&gt;Settings!$B$5,"Backlog","Delivered"),IF(S2594="Open",IF(R2594&gt;Settings!$B$5,"Pipeline","Overdue"),IF(S2594="Lost","Lost","UNMAPPED")))))</f>
        <v/>
      </c>
      <c r="U2594" s="40" t="n">
        <f aca="false">IF(T2594="Backlog",1,IF(OR(T2594="Pipeline",T2594="Overdue"),N(INDEX(Settings!$C$27:$C$36,MATCH(L2594,Settings!$A$27:$A$36,0))),0))</f>
        <v>0</v>
      </c>
      <c r="V2594" s="38" t="n">
        <f aca="false">Q2594*U2594</f>
        <v>0</v>
      </c>
      <c r="W2594" s="41" t="str">
        <f aca="false">IF($M2594="","",IF(T2594="Overdue",IF(Settings!$B$8="Yes",Settings!$B$7,""),IF(ISNUMBER(R2594),DATE(YEAR(R2594),MONTH(R2594),1),"")))</f>
        <v/>
      </c>
      <c r="X2594" s="38" t="n">
        <f aca="false">IF(AND(OR(T2594="Backlog",T2594="Pipeline",T2594="Overdue"),ISNUMBER(W2594)),IF(W2594&lt;=Settings!$B$6,V2594,0),0)</f>
        <v>0</v>
      </c>
      <c r="Y2594" s="38" t="n">
        <f aca="false">IF(AND(OR(T2594="Backlog",T2594="Pipeline",T2594="Overdue"),ISNUMBER(W2594)),IF(W2594&lt;=Settings!$B$6,Q2594,0),0)</f>
        <v>0</v>
      </c>
      <c r="Z2594" s="38" t="n">
        <f aca="false">IF(Y2594=0,0,IF(T2594="Backlog",Q2594,Q2594*Dashboard!$C$10))</f>
        <v>0</v>
      </c>
      <c r="AA2594" s="37" t="n">
        <f aca="false">IF($N2594="",0,IF(COUNTIF(Dashboard!$C$13:$C$22,$N2594)&gt;0,1,0))</f>
        <v>0</v>
      </c>
      <c r="AB2594" s="37" t="str">
        <f aca="false">IF($N2594="","",IF(COUNTIF($N$8:$N2594,$N2594)=1,MAX($AB$7:$AB2593)+1,""))</f>
        <v/>
      </c>
    </row>
    <row r="2595" customFormat="false" ht="15" hidden="false" customHeight="false" outlineLevel="0" collapsed="false">
      <c r="L2595" s="37" t="str">
        <f aca="false">IF(INDEX($A2595:$J2595,$L$6)&lt;&gt;"",TRIM(LEFT(INDEX($A2595:$J2595,$L$6),FIND("(",INDEX($A2595:$J2595,$L$6)&amp;"(")-1)),L2594)</f>
        <v>Building Value Proposition</v>
      </c>
      <c r="M2595" s="37" t="str">
        <f aca="false">IF(INDEX($A2595:$J2595,$M$6)="","",INDEX($A2595:$J2595,$M$6)&amp;"")</f>
        <v/>
      </c>
      <c r="N2595" s="37" t="str">
        <f aca="false">IF($M2595="","",TRIM(INDEX($A2595:$J2595,$N$6)&amp;""))</f>
        <v/>
      </c>
      <c r="O2595" s="37" t="str">
        <f aca="false">IF($M2595="","",TRIM(INDEX($A2595:$J2595,$O$6)&amp;""))</f>
        <v/>
      </c>
      <c r="P2595" s="37" t="str">
        <f aca="false">IF($M2595="","",IFERROR(IF(INDEX(Settings!$B$41:$B$50,MATCH(O2595,Settings!$A$41:$A$50,0))&amp;""="","UNMAPPED",INDEX(Settings!$B$41:$B$50,MATCH(O2595,Settings!$A$41:$A$50,0))&amp;""),"UNMAPPED"))</f>
        <v/>
      </c>
      <c r="Q2595" s="38" t="n">
        <f aca="false">IF($M2595="",0,N(INDEX($A2595:$J2595,$Q$6)))</f>
        <v>0</v>
      </c>
      <c r="R2595" s="39" t="str">
        <f aca="false">IF($M2595="","",INDEX($A2595:$J2595,$R$6))</f>
        <v/>
      </c>
      <c r="S2595" s="37" t="str">
        <f aca="false">IF($M2595="","",IFERROR(INDEX(Settings!$B$27:$B$36,MATCH(L2595,Settings!$A$27:$A$36,0))&amp;"","UNMAPPED"))</f>
        <v/>
      </c>
      <c r="T2595" s="37" t="str">
        <f aca="false">IF($M2595="","",IF(NOT(ISNUMBER(R2595)),"NO DATE",IF(S2595="Won",IF(R2595&gt;Settings!$B$5,"Backlog","Delivered"),IF(S2595="Open",IF(R2595&gt;Settings!$B$5,"Pipeline","Overdue"),IF(S2595="Lost","Lost","UNMAPPED")))))</f>
        <v/>
      </c>
      <c r="U2595" s="40" t="n">
        <f aca="false">IF(T2595="Backlog",1,IF(OR(T2595="Pipeline",T2595="Overdue"),N(INDEX(Settings!$C$27:$C$36,MATCH(L2595,Settings!$A$27:$A$36,0))),0))</f>
        <v>0</v>
      </c>
      <c r="V2595" s="38" t="n">
        <f aca="false">Q2595*U2595</f>
        <v>0</v>
      </c>
      <c r="W2595" s="41" t="str">
        <f aca="false">IF($M2595="","",IF(T2595="Overdue",IF(Settings!$B$8="Yes",Settings!$B$7,""),IF(ISNUMBER(R2595),DATE(YEAR(R2595),MONTH(R2595),1),"")))</f>
        <v/>
      </c>
      <c r="X2595" s="38" t="n">
        <f aca="false">IF(AND(OR(T2595="Backlog",T2595="Pipeline",T2595="Overdue"),ISNUMBER(W2595)),IF(W2595&lt;=Settings!$B$6,V2595,0),0)</f>
        <v>0</v>
      </c>
      <c r="Y2595" s="38" t="n">
        <f aca="false">IF(AND(OR(T2595="Backlog",T2595="Pipeline",T2595="Overdue"),ISNUMBER(W2595)),IF(W2595&lt;=Settings!$B$6,Q2595,0),0)</f>
        <v>0</v>
      </c>
      <c r="Z2595" s="38" t="n">
        <f aca="false">IF(Y2595=0,0,IF(T2595="Backlog",Q2595,Q2595*Dashboard!$C$10))</f>
        <v>0</v>
      </c>
      <c r="AA2595" s="37" t="n">
        <f aca="false">IF($N2595="",0,IF(COUNTIF(Dashboard!$C$13:$C$22,$N2595)&gt;0,1,0))</f>
        <v>0</v>
      </c>
      <c r="AB2595" s="37" t="str">
        <f aca="false">IF($N2595="","",IF(COUNTIF($N$8:$N2595,$N2595)=1,MAX($AB$7:$AB2594)+1,""))</f>
        <v/>
      </c>
    </row>
    <row r="2596" customFormat="false" ht="15" hidden="false" customHeight="false" outlineLevel="0" collapsed="false">
      <c r="L2596" s="37" t="str">
        <f aca="false">IF(INDEX($A2596:$J2596,$L$6)&lt;&gt;"",TRIM(LEFT(INDEX($A2596:$J2596,$L$6),FIND("(",INDEX($A2596:$J2596,$L$6)&amp;"(")-1)),L2595)</f>
        <v>Building Value Proposition</v>
      </c>
      <c r="M2596" s="37" t="str">
        <f aca="false">IF(INDEX($A2596:$J2596,$M$6)="","",INDEX($A2596:$J2596,$M$6)&amp;"")</f>
        <v/>
      </c>
      <c r="N2596" s="37" t="str">
        <f aca="false">IF($M2596="","",TRIM(INDEX($A2596:$J2596,$N$6)&amp;""))</f>
        <v/>
      </c>
      <c r="O2596" s="37" t="str">
        <f aca="false">IF($M2596="","",TRIM(INDEX($A2596:$J2596,$O$6)&amp;""))</f>
        <v/>
      </c>
      <c r="P2596" s="37" t="str">
        <f aca="false">IF($M2596="","",IFERROR(IF(INDEX(Settings!$B$41:$B$50,MATCH(O2596,Settings!$A$41:$A$50,0))&amp;""="","UNMAPPED",INDEX(Settings!$B$41:$B$50,MATCH(O2596,Settings!$A$41:$A$50,0))&amp;""),"UNMAPPED"))</f>
        <v/>
      </c>
      <c r="Q2596" s="38" t="n">
        <f aca="false">IF($M2596="",0,N(INDEX($A2596:$J2596,$Q$6)))</f>
        <v>0</v>
      </c>
      <c r="R2596" s="39" t="str">
        <f aca="false">IF($M2596="","",INDEX($A2596:$J2596,$R$6))</f>
        <v/>
      </c>
      <c r="S2596" s="37" t="str">
        <f aca="false">IF($M2596="","",IFERROR(INDEX(Settings!$B$27:$B$36,MATCH(L2596,Settings!$A$27:$A$36,0))&amp;"","UNMAPPED"))</f>
        <v/>
      </c>
      <c r="T2596" s="37" t="str">
        <f aca="false">IF($M2596="","",IF(NOT(ISNUMBER(R2596)),"NO DATE",IF(S2596="Won",IF(R2596&gt;Settings!$B$5,"Backlog","Delivered"),IF(S2596="Open",IF(R2596&gt;Settings!$B$5,"Pipeline","Overdue"),IF(S2596="Lost","Lost","UNMAPPED")))))</f>
        <v/>
      </c>
      <c r="U2596" s="40" t="n">
        <f aca="false">IF(T2596="Backlog",1,IF(OR(T2596="Pipeline",T2596="Overdue"),N(INDEX(Settings!$C$27:$C$36,MATCH(L2596,Settings!$A$27:$A$36,0))),0))</f>
        <v>0</v>
      </c>
      <c r="V2596" s="38" t="n">
        <f aca="false">Q2596*U2596</f>
        <v>0</v>
      </c>
      <c r="W2596" s="41" t="str">
        <f aca="false">IF($M2596="","",IF(T2596="Overdue",IF(Settings!$B$8="Yes",Settings!$B$7,""),IF(ISNUMBER(R2596),DATE(YEAR(R2596),MONTH(R2596),1),"")))</f>
        <v/>
      </c>
      <c r="X2596" s="38" t="n">
        <f aca="false">IF(AND(OR(T2596="Backlog",T2596="Pipeline",T2596="Overdue"),ISNUMBER(W2596)),IF(W2596&lt;=Settings!$B$6,V2596,0),0)</f>
        <v>0</v>
      </c>
      <c r="Y2596" s="38" t="n">
        <f aca="false">IF(AND(OR(T2596="Backlog",T2596="Pipeline",T2596="Overdue"),ISNUMBER(W2596)),IF(W2596&lt;=Settings!$B$6,Q2596,0),0)</f>
        <v>0</v>
      </c>
      <c r="Z2596" s="38" t="n">
        <f aca="false">IF(Y2596=0,0,IF(T2596="Backlog",Q2596,Q2596*Dashboard!$C$10))</f>
        <v>0</v>
      </c>
      <c r="AA2596" s="37" t="n">
        <f aca="false">IF($N2596="",0,IF(COUNTIF(Dashboard!$C$13:$C$22,$N2596)&gt;0,1,0))</f>
        <v>0</v>
      </c>
      <c r="AB2596" s="37" t="str">
        <f aca="false">IF($N2596="","",IF(COUNTIF($N$8:$N2596,$N2596)=1,MAX($AB$7:$AB2595)+1,""))</f>
        <v/>
      </c>
    </row>
    <row r="2597" customFormat="false" ht="15" hidden="false" customHeight="false" outlineLevel="0" collapsed="false">
      <c r="L2597" s="37" t="str">
        <f aca="false">IF(INDEX($A2597:$J2597,$L$6)&lt;&gt;"",TRIM(LEFT(INDEX($A2597:$J2597,$L$6),FIND("(",INDEX($A2597:$J2597,$L$6)&amp;"(")-1)),L2596)</f>
        <v>Building Value Proposition</v>
      </c>
      <c r="M2597" s="37" t="str">
        <f aca="false">IF(INDEX($A2597:$J2597,$M$6)="","",INDEX($A2597:$J2597,$M$6)&amp;"")</f>
        <v/>
      </c>
      <c r="N2597" s="37" t="str">
        <f aca="false">IF($M2597="","",TRIM(INDEX($A2597:$J2597,$N$6)&amp;""))</f>
        <v/>
      </c>
      <c r="O2597" s="37" t="str">
        <f aca="false">IF($M2597="","",TRIM(INDEX($A2597:$J2597,$O$6)&amp;""))</f>
        <v/>
      </c>
      <c r="P2597" s="37" t="str">
        <f aca="false">IF($M2597="","",IFERROR(IF(INDEX(Settings!$B$41:$B$50,MATCH(O2597,Settings!$A$41:$A$50,0))&amp;""="","UNMAPPED",INDEX(Settings!$B$41:$B$50,MATCH(O2597,Settings!$A$41:$A$50,0))&amp;""),"UNMAPPED"))</f>
        <v/>
      </c>
      <c r="Q2597" s="38" t="n">
        <f aca="false">IF($M2597="",0,N(INDEX($A2597:$J2597,$Q$6)))</f>
        <v>0</v>
      </c>
      <c r="R2597" s="39" t="str">
        <f aca="false">IF($M2597="","",INDEX($A2597:$J2597,$R$6))</f>
        <v/>
      </c>
      <c r="S2597" s="37" t="str">
        <f aca="false">IF($M2597="","",IFERROR(INDEX(Settings!$B$27:$B$36,MATCH(L2597,Settings!$A$27:$A$36,0))&amp;"","UNMAPPED"))</f>
        <v/>
      </c>
      <c r="T2597" s="37" t="str">
        <f aca="false">IF($M2597="","",IF(NOT(ISNUMBER(R2597)),"NO DATE",IF(S2597="Won",IF(R2597&gt;Settings!$B$5,"Backlog","Delivered"),IF(S2597="Open",IF(R2597&gt;Settings!$B$5,"Pipeline","Overdue"),IF(S2597="Lost","Lost","UNMAPPED")))))</f>
        <v/>
      </c>
      <c r="U2597" s="40" t="n">
        <f aca="false">IF(T2597="Backlog",1,IF(OR(T2597="Pipeline",T2597="Overdue"),N(INDEX(Settings!$C$27:$C$36,MATCH(L2597,Settings!$A$27:$A$36,0))),0))</f>
        <v>0</v>
      </c>
      <c r="V2597" s="38" t="n">
        <f aca="false">Q2597*U2597</f>
        <v>0</v>
      </c>
      <c r="W2597" s="41" t="str">
        <f aca="false">IF($M2597="","",IF(T2597="Overdue",IF(Settings!$B$8="Yes",Settings!$B$7,""),IF(ISNUMBER(R2597),DATE(YEAR(R2597),MONTH(R2597),1),"")))</f>
        <v/>
      </c>
      <c r="X2597" s="38" t="n">
        <f aca="false">IF(AND(OR(T2597="Backlog",T2597="Pipeline",T2597="Overdue"),ISNUMBER(W2597)),IF(W2597&lt;=Settings!$B$6,V2597,0),0)</f>
        <v>0</v>
      </c>
      <c r="Y2597" s="38" t="n">
        <f aca="false">IF(AND(OR(T2597="Backlog",T2597="Pipeline",T2597="Overdue"),ISNUMBER(W2597)),IF(W2597&lt;=Settings!$B$6,Q2597,0),0)</f>
        <v>0</v>
      </c>
      <c r="Z2597" s="38" t="n">
        <f aca="false">IF(Y2597=0,0,IF(T2597="Backlog",Q2597,Q2597*Dashboard!$C$10))</f>
        <v>0</v>
      </c>
      <c r="AA2597" s="37" t="n">
        <f aca="false">IF($N2597="",0,IF(COUNTIF(Dashboard!$C$13:$C$22,$N2597)&gt;0,1,0))</f>
        <v>0</v>
      </c>
      <c r="AB2597" s="37" t="str">
        <f aca="false">IF($N2597="","",IF(COUNTIF($N$8:$N2597,$N2597)=1,MAX($AB$7:$AB2596)+1,""))</f>
        <v/>
      </c>
    </row>
    <row r="2598" customFormat="false" ht="15" hidden="false" customHeight="false" outlineLevel="0" collapsed="false">
      <c r="L2598" s="37" t="str">
        <f aca="false">IF(INDEX($A2598:$J2598,$L$6)&lt;&gt;"",TRIM(LEFT(INDEX($A2598:$J2598,$L$6),FIND("(",INDEX($A2598:$J2598,$L$6)&amp;"(")-1)),L2597)</f>
        <v>Building Value Proposition</v>
      </c>
      <c r="M2598" s="37" t="str">
        <f aca="false">IF(INDEX($A2598:$J2598,$M$6)="","",INDEX($A2598:$J2598,$M$6)&amp;"")</f>
        <v/>
      </c>
      <c r="N2598" s="37" t="str">
        <f aca="false">IF($M2598="","",TRIM(INDEX($A2598:$J2598,$N$6)&amp;""))</f>
        <v/>
      </c>
      <c r="O2598" s="37" t="str">
        <f aca="false">IF($M2598="","",TRIM(INDEX($A2598:$J2598,$O$6)&amp;""))</f>
        <v/>
      </c>
      <c r="P2598" s="37" t="str">
        <f aca="false">IF($M2598="","",IFERROR(IF(INDEX(Settings!$B$41:$B$50,MATCH(O2598,Settings!$A$41:$A$50,0))&amp;""="","UNMAPPED",INDEX(Settings!$B$41:$B$50,MATCH(O2598,Settings!$A$41:$A$50,0))&amp;""),"UNMAPPED"))</f>
        <v/>
      </c>
      <c r="Q2598" s="38" t="n">
        <f aca="false">IF($M2598="",0,N(INDEX($A2598:$J2598,$Q$6)))</f>
        <v>0</v>
      </c>
      <c r="R2598" s="39" t="str">
        <f aca="false">IF($M2598="","",INDEX($A2598:$J2598,$R$6))</f>
        <v/>
      </c>
      <c r="S2598" s="37" t="str">
        <f aca="false">IF($M2598="","",IFERROR(INDEX(Settings!$B$27:$B$36,MATCH(L2598,Settings!$A$27:$A$36,0))&amp;"","UNMAPPED"))</f>
        <v/>
      </c>
      <c r="T2598" s="37" t="str">
        <f aca="false">IF($M2598="","",IF(NOT(ISNUMBER(R2598)),"NO DATE",IF(S2598="Won",IF(R2598&gt;Settings!$B$5,"Backlog","Delivered"),IF(S2598="Open",IF(R2598&gt;Settings!$B$5,"Pipeline","Overdue"),IF(S2598="Lost","Lost","UNMAPPED")))))</f>
        <v/>
      </c>
      <c r="U2598" s="40" t="n">
        <f aca="false">IF(T2598="Backlog",1,IF(OR(T2598="Pipeline",T2598="Overdue"),N(INDEX(Settings!$C$27:$C$36,MATCH(L2598,Settings!$A$27:$A$36,0))),0))</f>
        <v>0</v>
      </c>
      <c r="V2598" s="38" t="n">
        <f aca="false">Q2598*U2598</f>
        <v>0</v>
      </c>
      <c r="W2598" s="41" t="str">
        <f aca="false">IF($M2598="","",IF(T2598="Overdue",IF(Settings!$B$8="Yes",Settings!$B$7,""),IF(ISNUMBER(R2598),DATE(YEAR(R2598),MONTH(R2598),1),"")))</f>
        <v/>
      </c>
      <c r="X2598" s="38" t="n">
        <f aca="false">IF(AND(OR(T2598="Backlog",T2598="Pipeline",T2598="Overdue"),ISNUMBER(W2598)),IF(W2598&lt;=Settings!$B$6,V2598,0),0)</f>
        <v>0</v>
      </c>
      <c r="Y2598" s="38" t="n">
        <f aca="false">IF(AND(OR(T2598="Backlog",T2598="Pipeline",T2598="Overdue"),ISNUMBER(W2598)),IF(W2598&lt;=Settings!$B$6,Q2598,0),0)</f>
        <v>0</v>
      </c>
      <c r="Z2598" s="38" t="n">
        <f aca="false">IF(Y2598=0,0,IF(T2598="Backlog",Q2598,Q2598*Dashboard!$C$10))</f>
        <v>0</v>
      </c>
      <c r="AA2598" s="37" t="n">
        <f aca="false">IF($N2598="",0,IF(COUNTIF(Dashboard!$C$13:$C$22,$N2598)&gt;0,1,0))</f>
        <v>0</v>
      </c>
      <c r="AB2598" s="37" t="str">
        <f aca="false">IF($N2598="","",IF(COUNTIF($N$8:$N2598,$N2598)=1,MAX($AB$7:$AB2597)+1,""))</f>
        <v/>
      </c>
    </row>
    <row r="2599" customFormat="false" ht="15" hidden="false" customHeight="false" outlineLevel="0" collapsed="false">
      <c r="L2599" s="37" t="str">
        <f aca="false">IF(INDEX($A2599:$J2599,$L$6)&lt;&gt;"",TRIM(LEFT(INDEX($A2599:$J2599,$L$6),FIND("(",INDEX($A2599:$J2599,$L$6)&amp;"(")-1)),L2598)</f>
        <v>Building Value Proposition</v>
      </c>
      <c r="M2599" s="37" t="str">
        <f aca="false">IF(INDEX($A2599:$J2599,$M$6)="","",INDEX($A2599:$J2599,$M$6)&amp;"")</f>
        <v/>
      </c>
      <c r="N2599" s="37" t="str">
        <f aca="false">IF($M2599="","",TRIM(INDEX($A2599:$J2599,$N$6)&amp;""))</f>
        <v/>
      </c>
      <c r="O2599" s="37" t="str">
        <f aca="false">IF($M2599="","",TRIM(INDEX($A2599:$J2599,$O$6)&amp;""))</f>
        <v/>
      </c>
      <c r="P2599" s="37" t="str">
        <f aca="false">IF($M2599="","",IFERROR(IF(INDEX(Settings!$B$41:$B$50,MATCH(O2599,Settings!$A$41:$A$50,0))&amp;""="","UNMAPPED",INDEX(Settings!$B$41:$B$50,MATCH(O2599,Settings!$A$41:$A$50,0))&amp;""),"UNMAPPED"))</f>
        <v/>
      </c>
      <c r="Q2599" s="38" t="n">
        <f aca="false">IF($M2599="",0,N(INDEX($A2599:$J2599,$Q$6)))</f>
        <v>0</v>
      </c>
      <c r="R2599" s="39" t="str">
        <f aca="false">IF($M2599="","",INDEX($A2599:$J2599,$R$6))</f>
        <v/>
      </c>
      <c r="S2599" s="37" t="str">
        <f aca="false">IF($M2599="","",IFERROR(INDEX(Settings!$B$27:$B$36,MATCH(L2599,Settings!$A$27:$A$36,0))&amp;"","UNMAPPED"))</f>
        <v/>
      </c>
      <c r="T2599" s="37" t="str">
        <f aca="false">IF($M2599="","",IF(NOT(ISNUMBER(R2599)),"NO DATE",IF(S2599="Won",IF(R2599&gt;Settings!$B$5,"Backlog","Delivered"),IF(S2599="Open",IF(R2599&gt;Settings!$B$5,"Pipeline","Overdue"),IF(S2599="Lost","Lost","UNMAPPED")))))</f>
        <v/>
      </c>
      <c r="U2599" s="40" t="n">
        <f aca="false">IF(T2599="Backlog",1,IF(OR(T2599="Pipeline",T2599="Overdue"),N(INDEX(Settings!$C$27:$C$36,MATCH(L2599,Settings!$A$27:$A$36,0))),0))</f>
        <v>0</v>
      </c>
      <c r="V2599" s="38" t="n">
        <f aca="false">Q2599*U2599</f>
        <v>0</v>
      </c>
      <c r="W2599" s="41" t="str">
        <f aca="false">IF($M2599="","",IF(T2599="Overdue",IF(Settings!$B$8="Yes",Settings!$B$7,""),IF(ISNUMBER(R2599),DATE(YEAR(R2599),MONTH(R2599),1),"")))</f>
        <v/>
      </c>
      <c r="X2599" s="38" t="n">
        <f aca="false">IF(AND(OR(T2599="Backlog",T2599="Pipeline",T2599="Overdue"),ISNUMBER(W2599)),IF(W2599&lt;=Settings!$B$6,V2599,0),0)</f>
        <v>0</v>
      </c>
      <c r="Y2599" s="38" t="n">
        <f aca="false">IF(AND(OR(T2599="Backlog",T2599="Pipeline",T2599="Overdue"),ISNUMBER(W2599)),IF(W2599&lt;=Settings!$B$6,Q2599,0),0)</f>
        <v>0</v>
      </c>
      <c r="Z2599" s="38" t="n">
        <f aca="false">IF(Y2599=0,0,IF(T2599="Backlog",Q2599,Q2599*Dashboard!$C$10))</f>
        <v>0</v>
      </c>
      <c r="AA2599" s="37" t="n">
        <f aca="false">IF($N2599="",0,IF(COUNTIF(Dashboard!$C$13:$C$22,$N2599)&gt;0,1,0))</f>
        <v>0</v>
      </c>
      <c r="AB2599" s="37" t="str">
        <f aca="false">IF($N2599="","",IF(COUNTIF($N$8:$N2599,$N2599)=1,MAX($AB$7:$AB2598)+1,""))</f>
        <v/>
      </c>
    </row>
    <row r="2600" customFormat="false" ht="15" hidden="false" customHeight="false" outlineLevel="0" collapsed="false">
      <c r="L2600" s="37" t="str">
        <f aca="false">IF(INDEX($A2600:$J2600,$L$6)&lt;&gt;"",TRIM(LEFT(INDEX($A2600:$J2600,$L$6),FIND("(",INDEX($A2600:$J2600,$L$6)&amp;"(")-1)),L2599)</f>
        <v>Building Value Proposition</v>
      </c>
      <c r="M2600" s="37" t="str">
        <f aca="false">IF(INDEX($A2600:$J2600,$M$6)="","",INDEX($A2600:$J2600,$M$6)&amp;"")</f>
        <v/>
      </c>
      <c r="N2600" s="37" t="str">
        <f aca="false">IF($M2600="","",TRIM(INDEX($A2600:$J2600,$N$6)&amp;""))</f>
        <v/>
      </c>
      <c r="O2600" s="37" t="str">
        <f aca="false">IF($M2600="","",TRIM(INDEX($A2600:$J2600,$O$6)&amp;""))</f>
        <v/>
      </c>
      <c r="P2600" s="37" t="str">
        <f aca="false">IF($M2600="","",IFERROR(IF(INDEX(Settings!$B$41:$B$50,MATCH(O2600,Settings!$A$41:$A$50,0))&amp;""="","UNMAPPED",INDEX(Settings!$B$41:$B$50,MATCH(O2600,Settings!$A$41:$A$50,0))&amp;""),"UNMAPPED"))</f>
        <v/>
      </c>
      <c r="Q2600" s="38" t="n">
        <f aca="false">IF($M2600="",0,N(INDEX($A2600:$J2600,$Q$6)))</f>
        <v>0</v>
      </c>
      <c r="R2600" s="39" t="str">
        <f aca="false">IF($M2600="","",INDEX($A2600:$J2600,$R$6))</f>
        <v/>
      </c>
      <c r="S2600" s="37" t="str">
        <f aca="false">IF($M2600="","",IFERROR(INDEX(Settings!$B$27:$B$36,MATCH(L2600,Settings!$A$27:$A$36,0))&amp;"","UNMAPPED"))</f>
        <v/>
      </c>
      <c r="T2600" s="37" t="str">
        <f aca="false">IF($M2600="","",IF(NOT(ISNUMBER(R2600)),"NO DATE",IF(S2600="Won",IF(R2600&gt;Settings!$B$5,"Backlog","Delivered"),IF(S2600="Open",IF(R2600&gt;Settings!$B$5,"Pipeline","Overdue"),IF(S2600="Lost","Lost","UNMAPPED")))))</f>
        <v/>
      </c>
      <c r="U2600" s="40" t="n">
        <f aca="false">IF(T2600="Backlog",1,IF(OR(T2600="Pipeline",T2600="Overdue"),N(INDEX(Settings!$C$27:$C$36,MATCH(L2600,Settings!$A$27:$A$36,0))),0))</f>
        <v>0</v>
      </c>
      <c r="V2600" s="38" t="n">
        <f aca="false">Q2600*U2600</f>
        <v>0</v>
      </c>
      <c r="W2600" s="41" t="str">
        <f aca="false">IF($M2600="","",IF(T2600="Overdue",IF(Settings!$B$8="Yes",Settings!$B$7,""),IF(ISNUMBER(R2600),DATE(YEAR(R2600),MONTH(R2600),1),"")))</f>
        <v/>
      </c>
      <c r="X2600" s="38" t="n">
        <f aca="false">IF(AND(OR(T2600="Backlog",T2600="Pipeline",T2600="Overdue"),ISNUMBER(W2600)),IF(W2600&lt;=Settings!$B$6,V2600,0),0)</f>
        <v>0</v>
      </c>
      <c r="Y2600" s="38" t="n">
        <f aca="false">IF(AND(OR(T2600="Backlog",T2600="Pipeline",T2600="Overdue"),ISNUMBER(W2600)),IF(W2600&lt;=Settings!$B$6,Q2600,0),0)</f>
        <v>0</v>
      </c>
      <c r="Z2600" s="38" t="n">
        <f aca="false">IF(Y2600=0,0,IF(T2600="Backlog",Q2600,Q2600*Dashboard!$C$10))</f>
        <v>0</v>
      </c>
      <c r="AA2600" s="37" t="n">
        <f aca="false">IF($N2600="",0,IF(COUNTIF(Dashboard!$C$13:$C$22,$N2600)&gt;0,1,0))</f>
        <v>0</v>
      </c>
      <c r="AB2600" s="37" t="str">
        <f aca="false">IF($N2600="","",IF(COUNTIF($N$8:$N2600,$N2600)=1,MAX($AB$7:$AB2599)+1,""))</f>
        <v/>
      </c>
    </row>
    <row r="2601" customFormat="false" ht="15" hidden="false" customHeight="false" outlineLevel="0" collapsed="false">
      <c r="L2601" s="37" t="str">
        <f aca="false">IF(INDEX($A2601:$J2601,$L$6)&lt;&gt;"",TRIM(LEFT(INDEX($A2601:$J2601,$L$6),FIND("(",INDEX($A2601:$J2601,$L$6)&amp;"(")-1)),L2600)</f>
        <v>Building Value Proposition</v>
      </c>
      <c r="M2601" s="37" t="str">
        <f aca="false">IF(INDEX($A2601:$J2601,$M$6)="","",INDEX($A2601:$J2601,$M$6)&amp;"")</f>
        <v/>
      </c>
      <c r="N2601" s="37" t="str">
        <f aca="false">IF($M2601="","",TRIM(INDEX($A2601:$J2601,$N$6)&amp;""))</f>
        <v/>
      </c>
      <c r="O2601" s="37" t="str">
        <f aca="false">IF($M2601="","",TRIM(INDEX($A2601:$J2601,$O$6)&amp;""))</f>
        <v/>
      </c>
      <c r="P2601" s="37" t="str">
        <f aca="false">IF($M2601="","",IFERROR(IF(INDEX(Settings!$B$41:$B$50,MATCH(O2601,Settings!$A$41:$A$50,0))&amp;""="","UNMAPPED",INDEX(Settings!$B$41:$B$50,MATCH(O2601,Settings!$A$41:$A$50,0))&amp;""),"UNMAPPED"))</f>
        <v/>
      </c>
      <c r="Q2601" s="38" t="n">
        <f aca="false">IF($M2601="",0,N(INDEX($A2601:$J2601,$Q$6)))</f>
        <v>0</v>
      </c>
      <c r="R2601" s="39" t="str">
        <f aca="false">IF($M2601="","",INDEX($A2601:$J2601,$R$6))</f>
        <v/>
      </c>
      <c r="S2601" s="37" t="str">
        <f aca="false">IF($M2601="","",IFERROR(INDEX(Settings!$B$27:$B$36,MATCH(L2601,Settings!$A$27:$A$36,0))&amp;"","UNMAPPED"))</f>
        <v/>
      </c>
      <c r="T2601" s="37" t="str">
        <f aca="false">IF($M2601="","",IF(NOT(ISNUMBER(R2601)),"NO DATE",IF(S2601="Won",IF(R2601&gt;Settings!$B$5,"Backlog","Delivered"),IF(S2601="Open",IF(R2601&gt;Settings!$B$5,"Pipeline","Overdue"),IF(S2601="Lost","Lost","UNMAPPED")))))</f>
        <v/>
      </c>
      <c r="U2601" s="40" t="n">
        <f aca="false">IF(T2601="Backlog",1,IF(OR(T2601="Pipeline",T2601="Overdue"),N(INDEX(Settings!$C$27:$C$36,MATCH(L2601,Settings!$A$27:$A$36,0))),0))</f>
        <v>0</v>
      </c>
      <c r="V2601" s="38" t="n">
        <f aca="false">Q2601*U2601</f>
        <v>0</v>
      </c>
      <c r="W2601" s="41" t="str">
        <f aca="false">IF($M2601="","",IF(T2601="Overdue",IF(Settings!$B$8="Yes",Settings!$B$7,""),IF(ISNUMBER(R2601),DATE(YEAR(R2601),MONTH(R2601),1),"")))</f>
        <v/>
      </c>
      <c r="X2601" s="38" t="n">
        <f aca="false">IF(AND(OR(T2601="Backlog",T2601="Pipeline",T2601="Overdue"),ISNUMBER(W2601)),IF(W2601&lt;=Settings!$B$6,V2601,0),0)</f>
        <v>0</v>
      </c>
      <c r="Y2601" s="38" t="n">
        <f aca="false">IF(AND(OR(T2601="Backlog",T2601="Pipeline",T2601="Overdue"),ISNUMBER(W2601)),IF(W2601&lt;=Settings!$B$6,Q2601,0),0)</f>
        <v>0</v>
      </c>
      <c r="Z2601" s="38" t="n">
        <f aca="false">IF(Y2601=0,0,IF(T2601="Backlog",Q2601,Q2601*Dashboard!$C$10))</f>
        <v>0</v>
      </c>
      <c r="AA2601" s="37" t="n">
        <f aca="false">IF($N2601="",0,IF(COUNTIF(Dashboard!$C$13:$C$22,$N2601)&gt;0,1,0))</f>
        <v>0</v>
      </c>
      <c r="AB2601" s="37" t="str">
        <f aca="false">IF($N2601="","",IF(COUNTIF($N$8:$N2601,$N2601)=1,MAX($AB$7:$AB2600)+1,""))</f>
        <v/>
      </c>
    </row>
    <row r="2602" customFormat="false" ht="15" hidden="false" customHeight="false" outlineLevel="0" collapsed="false">
      <c r="L2602" s="37" t="str">
        <f aca="false">IF(INDEX($A2602:$J2602,$L$6)&lt;&gt;"",TRIM(LEFT(INDEX($A2602:$J2602,$L$6),FIND("(",INDEX($A2602:$J2602,$L$6)&amp;"(")-1)),L2601)</f>
        <v>Building Value Proposition</v>
      </c>
      <c r="M2602" s="37" t="str">
        <f aca="false">IF(INDEX($A2602:$J2602,$M$6)="","",INDEX($A2602:$J2602,$M$6)&amp;"")</f>
        <v/>
      </c>
      <c r="N2602" s="37" t="str">
        <f aca="false">IF($M2602="","",TRIM(INDEX($A2602:$J2602,$N$6)&amp;""))</f>
        <v/>
      </c>
      <c r="O2602" s="37" t="str">
        <f aca="false">IF($M2602="","",TRIM(INDEX($A2602:$J2602,$O$6)&amp;""))</f>
        <v/>
      </c>
      <c r="P2602" s="37" t="str">
        <f aca="false">IF($M2602="","",IFERROR(IF(INDEX(Settings!$B$41:$B$50,MATCH(O2602,Settings!$A$41:$A$50,0))&amp;""="","UNMAPPED",INDEX(Settings!$B$41:$B$50,MATCH(O2602,Settings!$A$41:$A$50,0))&amp;""),"UNMAPPED"))</f>
        <v/>
      </c>
      <c r="Q2602" s="38" t="n">
        <f aca="false">IF($M2602="",0,N(INDEX($A2602:$J2602,$Q$6)))</f>
        <v>0</v>
      </c>
      <c r="R2602" s="39" t="str">
        <f aca="false">IF($M2602="","",INDEX($A2602:$J2602,$R$6))</f>
        <v/>
      </c>
      <c r="S2602" s="37" t="str">
        <f aca="false">IF($M2602="","",IFERROR(INDEX(Settings!$B$27:$B$36,MATCH(L2602,Settings!$A$27:$A$36,0))&amp;"","UNMAPPED"))</f>
        <v/>
      </c>
      <c r="T2602" s="37" t="str">
        <f aca="false">IF($M2602="","",IF(NOT(ISNUMBER(R2602)),"NO DATE",IF(S2602="Won",IF(R2602&gt;Settings!$B$5,"Backlog","Delivered"),IF(S2602="Open",IF(R2602&gt;Settings!$B$5,"Pipeline","Overdue"),IF(S2602="Lost","Lost","UNMAPPED")))))</f>
        <v/>
      </c>
      <c r="U2602" s="40" t="n">
        <f aca="false">IF(T2602="Backlog",1,IF(OR(T2602="Pipeline",T2602="Overdue"),N(INDEX(Settings!$C$27:$C$36,MATCH(L2602,Settings!$A$27:$A$36,0))),0))</f>
        <v>0</v>
      </c>
      <c r="V2602" s="38" t="n">
        <f aca="false">Q2602*U2602</f>
        <v>0</v>
      </c>
      <c r="W2602" s="41" t="str">
        <f aca="false">IF($M2602="","",IF(T2602="Overdue",IF(Settings!$B$8="Yes",Settings!$B$7,""),IF(ISNUMBER(R2602),DATE(YEAR(R2602),MONTH(R2602),1),"")))</f>
        <v/>
      </c>
      <c r="X2602" s="38" t="n">
        <f aca="false">IF(AND(OR(T2602="Backlog",T2602="Pipeline",T2602="Overdue"),ISNUMBER(W2602)),IF(W2602&lt;=Settings!$B$6,V2602,0),0)</f>
        <v>0</v>
      </c>
      <c r="Y2602" s="38" t="n">
        <f aca="false">IF(AND(OR(T2602="Backlog",T2602="Pipeline",T2602="Overdue"),ISNUMBER(W2602)),IF(W2602&lt;=Settings!$B$6,Q2602,0),0)</f>
        <v>0</v>
      </c>
      <c r="Z2602" s="38" t="n">
        <f aca="false">IF(Y2602=0,0,IF(T2602="Backlog",Q2602,Q2602*Dashboard!$C$10))</f>
        <v>0</v>
      </c>
      <c r="AA2602" s="37" t="n">
        <f aca="false">IF($N2602="",0,IF(COUNTIF(Dashboard!$C$13:$C$22,$N2602)&gt;0,1,0))</f>
        <v>0</v>
      </c>
      <c r="AB2602" s="37" t="str">
        <f aca="false">IF($N2602="","",IF(COUNTIF($N$8:$N2602,$N2602)=1,MAX($AB$7:$AB2601)+1,""))</f>
        <v/>
      </c>
    </row>
    <row r="2603" customFormat="false" ht="15" hidden="false" customHeight="false" outlineLevel="0" collapsed="false">
      <c r="L2603" s="37" t="str">
        <f aca="false">IF(INDEX($A2603:$J2603,$L$6)&lt;&gt;"",TRIM(LEFT(INDEX($A2603:$J2603,$L$6),FIND("(",INDEX($A2603:$J2603,$L$6)&amp;"(")-1)),L2602)</f>
        <v>Building Value Proposition</v>
      </c>
      <c r="M2603" s="37" t="str">
        <f aca="false">IF(INDEX($A2603:$J2603,$M$6)="","",INDEX($A2603:$J2603,$M$6)&amp;"")</f>
        <v/>
      </c>
      <c r="N2603" s="37" t="str">
        <f aca="false">IF($M2603="","",TRIM(INDEX($A2603:$J2603,$N$6)&amp;""))</f>
        <v/>
      </c>
      <c r="O2603" s="37" t="str">
        <f aca="false">IF($M2603="","",TRIM(INDEX($A2603:$J2603,$O$6)&amp;""))</f>
        <v/>
      </c>
      <c r="P2603" s="37" t="str">
        <f aca="false">IF($M2603="","",IFERROR(IF(INDEX(Settings!$B$41:$B$50,MATCH(O2603,Settings!$A$41:$A$50,0))&amp;""="","UNMAPPED",INDEX(Settings!$B$41:$B$50,MATCH(O2603,Settings!$A$41:$A$50,0))&amp;""),"UNMAPPED"))</f>
        <v/>
      </c>
      <c r="Q2603" s="38" t="n">
        <f aca="false">IF($M2603="",0,N(INDEX($A2603:$J2603,$Q$6)))</f>
        <v>0</v>
      </c>
      <c r="R2603" s="39" t="str">
        <f aca="false">IF($M2603="","",INDEX($A2603:$J2603,$R$6))</f>
        <v/>
      </c>
      <c r="S2603" s="37" t="str">
        <f aca="false">IF($M2603="","",IFERROR(INDEX(Settings!$B$27:$B$36,MATCH(L2603,Settings!$A$27:$A$36,0))&amp;"","UNMAPPED"))</f>
        <v/>
      </c>
      <c r="T2603" s="37" t="str">
        <f aca="false">IF($M2603="","",IF(NOT(ISNUMBER(R2603)),"NO DATE",IF(S2603="Won",IF(R2603&gt;Settings!$B$5,"Backlog","Delivered"),IF(S2603="Open",IF(R2603&gt;Settings!$B$5,"Pipeline","Overdue"),IF(S2603="Lost","Lost","UNMAPPED")))))</f>
        <v/>
      </c>
      <c r="U2603" s="40" t="n">
        <f aca="false">IF(T2603="Backlog",1,IF(OR(T2603="Pipeline",T2603="Overdue"),N(INDEX(Settings!$C$27:$C$36,MATCH(L2603,Settings!$A$27:$A$36,0))),0))</f>
        <v>0</v>
      </c>
      <c r="V2603" s="38" t="n">
        <f aca="false">Q2603*U2603</f>
        <v>0</v>
      </c>
      <c r="W2603" s="41" t="str">
        <f aca="false">IF($M2603="","",IF(T2603="Overdue",IF(Settings!$B$8="Yes",Settings!$B$7,""),IF(ISNUMBER(R2603),DATE(YEAR(R2603),MONTH(R2603),1),"")))</f>
        <v/>
      </c>
      <c r="X2603" s="38" t="n">
        <f aca="false">IF(AND(OR(T2603="Backlog",T2603="Pipeline",T2603="Overdue"),ISNUMBER(W2603)),IF(W2603&lt;=Settings!$B$6,V2603,0),0)</f>
        <v>0</v>
      </c>
      <c r="Y2603" s="38" t="n">
        <f aca="false">IF(AND(OR(T2603="Backlog",T2603="Pipeline",T2603="Overdue"),ISNUMBER(W2603)),IF(W2603&lt;=Settings!$B$6,Q2603,0),0)</f>
        <v>0</v>
      </c>
      <c r="Z2603" s="38" t="n">
        <f aca="false">IF(Y2603=0,0,IF(T2603="Backlog",Q2603,Q2603*Dashboard!$C$10))</f>
        <v>0</v>
      </c>
      <c r="AA2603" s="37" t="n">
        <f aca="false">IF($N2603="",0,IF(COUNTIF(Dashboard!$C$13:$C$22,$N2603)&gt;0,1,0))</f>
        <v>0</v>
      </c>
      <c r="AB2603" s="37" t="str">
        <f aca="false">IF($N2603="","",IF(COUNTIF($N$8:$N2603,$N2603)=1,MAX($AB$7:$AB2602)+1,""))</f>
        <v/>
      </c>
    </row>
    <row r="2604" customFormat="false" ht="15" hidden="false" customHeight="false" outlineLevel="0" collapsed="false">
      <c r="L2604" s="37" t="str">
        <f aca="false">IF(INDEX($A2604:$J2604,$L$6)&lt;&gt;"",TRIM(LEFT(INDEX($A2604:$J2604,$L$6),FIND("(",INDEX($A2604:$J2604,$L$6)&amp;"(")-1)),L2603)</f>
        <v>Building Value Proposition</v>
      </c>
      <c r="M2604" s="37" t="str">
        <f aca="false">IF(INDEX($A2604:$J2604,$M$6)="","",INDEX($A2604:$J2604,$M$6)&amp;"")</f>
        <v/>
      </c>
      <c r="N2604" s="37" t="str">
        <f aca="false">IF($M2604="","",TRIM(INDEX($A2604:$J2604,$N$6)&amp;""))</f>
        <v/>
      </c>
      <c r="O2604" s="37" t="str">
        <f aca="false">IF($M2604="","",TRIM(INDEX($A2604:$J2604,$O$6)&amp;""))</f>
        <v/>
      </c>
      <c r="P2604" s="37" t="str">
        <f aca="false">IF($M2604="","",IFERROR(IF(INDEX(Settings!$B$41:$B$50,MATCH(O2604,Settings!$A$41:$A$50,0))&amp;""="","UNMAPPED",INDEX(Settings!$B$41:$B$50,MATCH(O2604,Settings!$A$41:$A$50,0))&amp;""),"UNMAPPED"))</f>
        <v/>
      </c>
      <c r="Q2604" s="38" t="n">
        <f aca="false">IF($M2604="",0,N(INDEX($A2604:$J2604,$Q$6)))</f>
        <v>0</v>
      </c>
      <c r="R2604" s="39" t="str">
        <f aca="false">IF($M2604="","",INDEX($A2604:$J2604,$R$6))</f>
        <v/>
      </c>
      <c r="S2604" s="37" t="str">
        <f aca="false">IF($M2604="","",IFERROR(INDEX(Settings!$B$27:$B$36,MATCH(L2604,Settings!$A$27:$A$36,0))&amp;"","UNMAPPED"))</f>
        <v/>
      </c>
      <c r="T2604" s="37" t="str">
        <f aca="false">IF($M2604="","",IF(NOT(ISNUMBER(R2604)),"NO DATE",IF(S2604="Won",IF(R2604&gt;Settings!$B$5,"Backlog","Delivered"),IF(S2604="Open",IF(R2604&gt;Settings!$B$5,"Pipeline","Overdue"),IF(S2604="Lost","Lost","UNMAPPED")))))</f>
        <v/>
      </c>
      <c r="U2604" s="40" t="n">
        <f aca="false">IF(T2604="Backlog",1,IF(OR(T2604="Pipeline",T2604="Overdue"),N(INDEX(Settings!$C$27:$C$36,MATCH(L2604,Settings!$A$27:$A$36,0))),0))</f>
        <v>0</v>
      </c>
      <c r="V2604" s="38" t="n">
        <f aca="false">Q2604*U2604</f>
        <v>0</v>
      </c>
      <c r="W2604" s="41" t="str">
        <f aca="false">IF($M2604="","",IF(T2604="Overdue",IF(Settings!$B$8="Yes",Settings!$B$7,""),IF(ISNUMBER(R2604),DATE(YEAR(R2604),MONTH(R2604),1),"")))</f>
        <v/>
      </c>
      <c r="X2604" s="38" t="n">
        <f aca="false">IF(AND(OR(T2604="Backlog",T2604="Pipeline",T2604="Overdue"),ISNUMBER(W2604)),IF(W2604&lt;=Settings!$B$6,V2604,0),0)</f>
        <v>0</v>
      </c>
      <c r="Y2604" s="38" t="n">
        <f aca="false">IF(AND(OR(T2604="Backlog",T2604="Pipeline",T2604="Overdue"),ISNUMBER(W2604)),IF(W2604&lt;=Settings!$B$6,Q2604,0),0)</f>
        <v>0</v>
      </c>
      <c r="Z2604" s="38" t="n">
        <f aca="false">IF(Y2604=0,0,IF(T2604="Backlog",Q2604,Q2604*Dashboard!$C$10))</f>
        <v>0</v>
      </c>
      <c r="AA2604" s="37" t="n">
        <f aca="false">IF($N2604="",0,IF(COUNTIF(Dashboard!$C$13:$C$22,$N2604)&gt;0,1,0))</f>
        <v>0</v>
      </c>
      <c r="AB2604" s="37" t="str">
        <f aca="false">IF($N2604="","",IF(COUNTIF($N$8:$N2604,$N2604)=1,MAX($AB$7:$AB2603)+1,""))</f>
        <v/>
      </c>
    </row>
    <row r="2605" customFormat="false" ht="15" hidden="false" customHeight="false" outlineLevel="0" collapsed="false">
      <c r="L2605" s="37" t="str">
        <f aca="false">IF(INDEX($A2605:$J2605,$L$6)&lt;&gt;"",TRIM(LEFT(INDEX($A2605:$J2605,$L$6),FIND("(",INDEX($A2605:$J2605,$L$6)&amp;"(")-1)),L2604)</f>
        <v>Building Value Proposition</v>
      </c>
      <c r="M2605" s="37" t="str">
        <f aca="false">IF(INDEX($A2605:$J2605,$M$6)="","",INDEX($A2605:$J2605,$M$6)&amp;"")</f>
        <v/>
      </c>
      <c r="N2605" s="37" t="str">
        <f aca="false">IF($M2605="","",TRIM(INDEX($A2605:$J2605,$N$6)&amp;""))</f>
        <v/>
      </c>
      <c r="O2605" s="37" t="str">
        <f aca="false">IF($M2605="","",TRIM(INDEX($A2605:$J2605,$O$6)&amp;""))</f>
        <v/>
      </c>
      <c r="P2605" s="37" t="str">
        <f aca="false">IF($M2605="","",IFERROR(IF(INDEX(Settings!$B$41:$B$50,MATCH(O2605,Settings!$A$41:$A$50,0))&amp;""="","UNMAPPED",INDEX(Settings!$B$41:$B$50,MATCH(O2605,Settings!$A$41:$A$50,0))&amp;""),"UNMAPPED"))</f>
        <v/>
      </c>
      <c r="Q2605" s="38" t="n">
        <f aca="false">IF($M2605="",0,N(INDEX($A2605:$J2605,$Q$6)))</f>
        <v>0</v>
      </c>
      <c r="R2605" s="39" t="str">
        <f aca="false">IF($M2605="","",INDEX($A2605:$J2605,$R$6))</f>
        <v/>
      </c>
      <c r="S2605" s="37" t="str">
        <f aca="false">IF($M2605="","",IFERROR(INDEX(Settings!$B$27:$B$36,MATCH(L2605,Settings!$A$27:$A$36,0))&amp;"","UNMAPPED"))</f>
        <v/>
      </c>
      <c r="T2605" s="37" t="str">
        <f aca="false">IF($M2605="","",IF(NOT(ISNUMBER(R2605)),"NO DATE",IF(S2605="Won",IF(R2605&gt;Settings!$B$5,"Backlog","Delivered"),IF(S2605="Open",IF(R2605&gt;Settings!$B$5,"Pipeline","Overdue"),IF(S2605="Lost","Lost","UNMAPPED")))))</f>
        <v/>
      </c>
      <c r="U2605" s="40" t="n">
        <f aca="false">IF(T2605="Backlog",1,IF(OR(T2605="Pipeline",T2605="Overdue"),N(INDEX(Settings!$C$27:$C$36,MATCH(L2605,Settings!$A$27:$A$36,0))),0))</f>
        <v>0</v>
      </c>
      <c r="V2605" s="38" t="n">
        <f aca="false">Q2605*U2605</f>
        <v>0</v>
      </c>
      <c r="W2605" s="41" t="str">
        <f aca="false">IF($M2605="","",IF(T2605="Overdue",IF(Settings!$B$8="Yes",Settings!$B$7,""),IF(ISNUMBER(R2605),DATE(YEAR(R2605),MONTH(R2605),1),"")))</f>
        <v/>
      </c>
      <c r="X2605" s="38" t="n">
        <f aca="false">IF(AND(OR(T2605="Backlog",T2605="Pipeline",T2605="Overdue"),ISNUMBER(W2605)),IF(W2605&lt;=Settings!$B$6,V2605,0),0)</f>
        <v>0</v>
      </c>
      <c r="Y2605" s="38" t="n">
        <f aca="false">IF(AND(OR(T2605="Backlog",T2605="Pipeline",T2605="Overdue"),ISNUMBER(W2605)),IF(W2605&lt;=Settings!$B$6,Q2605,0),0)</f>
        <v>0</v>
      </c>
      <c r="Z2605" s="38" t="n">
        <f aca="false">IF(Y2605=0,0,IF(T2605="Backlog",Q2605,Q2605*Dashboard!$C$10))</f>
        <v>0</v>
      </c>
      <c r="AA2605" s="37" t="n">
        <f aca="false">IF($N2605="",0,IF(COUNTIF(Dashboard!$C$13:$C$22,$N2605)&gt;0,1,0))</f>
        <v>0</v>
      </c>
      <c r="AB2605" s="37" t="str">
        <f aca="false">IF($N2605="","",IF(COUNTIF($N$8:$N2605,$N2605)=1,MAX($AB$7:$AB2604)+1,""))</f>
        <v/>
      </c>
    </row>
    <row r="2606" customFormat="false" ht="15" hidden="false" customHeight="false" outlineLevel="0" collapsed="false">
      <c r="L2606" s="37" t="str">
        <f aca="false">IF(INDEX($A2606:$J2606,$L$6)&lt;&gt;"",TRIM(LEFT(INDEX($A2606:$J2606,$L$6),FIND("(",INDEX($A2606:$J2606,$L$6)&amp;"(")-1)),L2605)</f>
        <v>Building Value Proposition</v>
      </c>
      <c r="M2606" s="37" t="str">
        <f aca="false">IF(INDEX($A2606:$J2606,$M$6)="","",INDEX($A2606:$J2606,$M$6)&amp;"")</f>
        <v/>
      </c>
      <c r="N2606" s="37" t="str">
        <f aca="false">IF($M2606="","",TRIM(INDEX($A2606:$J2606,$N$6)&amp;""))</f>
        <v/>
      </c>
      <c r="O2606" s="37" t="str">
        <f aca="false">IF($M2606="","",TRIM(INDEX($A2606:$J2606,$O$6)&amp;""))</f>
        <v/>
      </c>
      <c r="P2606" s="37" t="str">
        <f aca="false">IF($M2606="","",IFERROR(IF(INDEX(Settings!$B$41:$B$50,MATCH(O2606,Settings!$A$41:$A$50,0))&amp;""="","UNMAPPED",INDEX(Settings!$B$41:$B$50,MATCH(O2606,Settings!$A$41:$A$50,0))&amp;""),"UNMAPPED"))</f>
        <v/>
      </c>
      <c r="Q2606" s="38" t="n">
        <f aca="false">IF($M2606="",0,N(INDEX($A2606:$J2606,$Q$6)))</f>
        <v>0</v>
      </c>
      <c r="R2606" s="39" t="str">
        <f aca="false">IF($M2606="","",INDEX($A2606:$J2606,$R$6))</f>
        <v/>
      </c>
      <c r="S2606" s="37" t="str">
        <f aca="false">IF($M2606="","",IFERROR(INDEX(Settings!$B$27:$B$36,MATCH(L2606,Settings!$A$27:$A$36,0))&amp;"","UNMAPPED"))</f>
        <v/>
      </c>
      <c r="T2606" s="37" t="str">
        <f aca="false">IF($M2606="","",IF(NOT(ISNUMBER(R2606)),"NO DATE",IF(S2606="Won",IF(R2606&gt;Settings!$B$5,"Backlog","Delivered"),IF(S2606="Open",IF(R2606&gt;Settings!$B$5,"Pipeline","Overdue"),IF(S2606="Lost","Lost","UNMAPPED")))))</f>
        <v/>
      </c>
      <c r="U2606" s="40" t="n">
        <f aca="false">IF(T2606="Backlog",1,IF(OR(T2606="Pipeline",T2606="Overdue"),N(INDEX(Settings!$C$27:$C$36,MATCH(L2606,Settings!$A$27:$A$36,0))),0))</f>
        <v>0</v>
      </c>
      <c r="V2606" s="38" t="n">
        <f aca="false">Q2606*U2606</f>
        <v>0</v>
      </c>
      <c r="W2606" s="41" t="str">
        <f aca="false">IF($M2606="","",IF(T2606="Overdue",IF(Settings!$B$8="Yes",Settings!$B$7,""),IF(ISNUMBER(R2606),DATE(YEAR(R2606),MONTH(R2606),1),"")))</f>
        <v/>
      </c>
      <c r="X2606" s="38" t="n">
        <f aca="false">IF(AND(OR(T2606="Backlog",T2606="Pipeline",T2606="Overdue"),ISNUMBER(W2606)),IF(W2606&lt;=Settings!$B$6,V2606,0),0)</f>
        <v>0</v>
      </c>
      <c r="Y2606" s="38" t="n">
        <f aca="false">IF(AND(OR(T2606="Backlog",T2606="Pipeline",T2606="Overdue"),ISNUMBER(W2606)),IF(W2606&lt;=Settings!$B$6,Q2606,0),0)</f>
        <v>0</v>
      </c>
      <c r="Z2606" s="38" t="n">
        <f aca="false">IF(Y2606=0,0,IF(T2606="Backlog",Q2606,Q2606*Dashboard!$C$10))</f>
        <v>0</v>
      </c>
      <c r="AA2606" s="37" t="n">
        <f aca="false">IF($N2606="",0,IF(COUNTIF(Dashboard!$C$13:$C$22,$N2606)&gt;0,1,0))</f>
        <v>0</v>
      </c>
      <c r="AB2606" s="37" t="str">
        <f aca="false">IF($N2606="","",IF(COUNTIF($N$8:$N2606,$N2606)=1,MAX($AB$7:$AB2605)+1,""))</f>
        <v/>
      </c>
    </row>
    <row r="2607" customFormat="false" ht="15" hidden="false" customHeight="false" outlineLevel="0" collapsed="false">
      <c r="L2607" s="37" t="str">
        <f aca="false">IF(INDEX($A2607:$J2607,$L$6)&lt;&gt;"",TRIM(LEFT(INDEX($A2607:$J2607,$L$6),FIND("(",INDEX($A2607:$J2607,$L$6)&amp;"(")-1)),L2606)</f>
        <v>Building Value Proposition</v>
      </c>
      <c r="M2607" s="37" t="str">
        <f aca="false">IF(INDEX($A2607:$J2607,$M$6)="","",INDEX($A2607:$J2607,$M$6)&amp;"")</f>
        <v/>
      </c>
      <c r="N2607" s="37" t="str">
        <f aca="false">IF($M2607="","",TRIM(INDEX($A2607:$J2607,$N$6)&amp;""))</f>
        <v/>
      </c>
      <c r="O2607" s="37" t="str">
        <f aca="false">IF($M2607="","",TRIM(INDEX($A2607:$J2607,$O$6)&amp;""))</f>
        <v/>
      </c>
      <c r="P2607" s="37" t="str">
        <f aca="false">IF($M2607="","",IFERROR(IF(INDEX(Settings!$B$41:$B$50,MATCH(O2607,Settings!$A$41:$A$50,0))&amp;""="","UNMAPPED",INDEX(Settings!$B$41:$B$50,MATCH(O2607,Settings!$A$41:$A$50,0))&amp;""),"UNMAPPED"))</f>
        <v/>
      </c>
      <c r="Q2607" s="38" t="n">
        <f aca="false">IF($M2607="",0,N(INDEX($A2607:$J2607,$Q$6)))</f>
        <v>0</v>
      </c>
      <c r="R2607" s="39" t="str">
        <f aca="false">IF($M2607="","",INDEX($A2607:$J2607,$R$6))</f>
        <v/>
      </c>
      <c r="S2607" s="37" t="str">
        <f aca="false">IF($M2607="","",IFERROR(INDEX(Settings!$B$27:$B$36,MATCH(L2607,Settings!$A$27:$A$36,0))&amp;"","UNMAPPED"))</f>
        <v/>
      </c>
      <c r="T2607" s="37" t="str">
        <f aca="false">IF($M2607="","",IF(NOT(ISNUMBER(R2607)),"NO DATE",IF(S2607="Won",IF(R2607&gt;Settings!$B$5,"Backlog","Delivered"),IF(S2607="Open",IF(R2607&gt;Settings!$B$5,"Pipeline","Overdue"),IF(S2607="Lost","Lost","UNMAPPED")))))</f>
        <v/>
      </c>
      <c r="U2607" s="40" t="n">
        <f aca="false">IF(T2607="Backlog",1,IF(OR(T2607="Pipeline",T2607="Overdue"),N(INDEX(Settings!$C$27:$C$36,MATCH(L2607,Settings!$A$27:$A$36,0))),0))</f>
        <v>0</v>
      </c>
      <c r="V2607" s="38" t="n">
        <f aca="false">Q2607*U2607</f>
        <v>0</v>
      </c>
      <c r="W2607" s="41" t="str">
        <f aca="false">IF($M2607="","",IF(T2607="Overdue",IF(Settings!$B$8="Yes",Settings!$B$7,""),IF(ISNUMBER(R2607),DATE(YEAR(R2607),MONTH(R2607),1),"")))</f>
        <v/>
      </c>
      <c r="X2607" s="38" t="n">
        <f aca="false">IF(AND(OR(T2607="Backlog",T2607="Pipeline",T2607="Overdue"),ISNUMBER(W2607)),IF(W2607&lt;=Settings!$B$6,V2607,0),0)</f>
        <v>0</v>
      </c>
      <c r="Y2607" s="38" t="n">
        <f aca="false">IF(AND(OR(T2607="Backlog",T2607="Pipeline",T2607="Overdue"),ISNUMBER(W2607)),IF(W2607&lt;=Settings!$B$6,Q2607,0),0)</f>
        <v>0</v>
      </c>
      <c r="Z2607" s="38" t="n">
        <f aca="false">IF(Y2607=0,0,IF(T2607="Backlog",Q2607,Q2607*Dashboard!$C$10))</f>
        <v>0</v>
      </c>
      <c r="AA2607" s="37" t="n">
        <f aca="false">IF($N2607="",0,IF(COUNTIF(Dashboard!$C$13:$C$22,$N2607)&gt;0,1,0))</f>
        <v>0</v>
      </c>
      <c r="AB2607" s="37" t="str">
        <f aca="false">IF($N2607="","",IF(COUNTIF($N$8:$N2607,$N2607)=1,MAX($AB$7:$AB2606)+1,""))</f>
        <v/>
      </c>
    </row>
    <row r="2608" customFormat="false" ht="15" hidden="false" customHeight="false" outlineLevel="0" collapsed="false">
      <c r="L2608" s="37" t="str">
        <f aca="false">IF(INDEX($A2608:$J2608,$L$6)&lt;&gt;"",TRIM(LEFT(INDEX($A2608:$J2608,$L$6),FIND("(",INDEX($A2608:$J2608,$L$6)&amp;"(")-1)),L2607)</f>
        <v>Building Value Proposition</v>
      </c>
      <c r="M2608" s="37" t="str">
        <f aca="false">IF(INDEX($A2608:$J2608,$M$6)="","",INDEX($A2608:$J2608,$M$6)&amp;"")</f>
        <v/>
      </c>
      <c r="N2608" s="37" t="str">
        <f aca="false">IF($M2608="","",TRIM(INDEX($A2608:$J2608,$N$6)&amp;""))</f>
        <v/>
      </c>
      <c r="O2608" s="37" t="str">
        <f aca="false">IF($M2608="","",TRIM(INDEX($A2608:$J2608,$O$6)&amp;""))</f>
        <v/>
      </c>
      <c r="P2608" s="37" t="str">
        <f aca="false">IF($M2608="","",IFERROR(IF(INDEX(Settings!$B$41:$B$50,MATCH(O2608,Settings!$A$41:$A$50,0))&amp;""="","UNMAPPED",INDEX(Settings!$B$41:$B$50,MATCH(O2608,Settings!$A$41:$A$50,0))&amp;""),"UNMAPPED"))</f>
        <v/>
      </c>
      <c r="Q2608" s="38" t="n">
        <f aca="false">IF($M2608="",0,N(INDEX($A2608:$J2608,$Q$6)))</f>
        <v>0</v>
      </c>
      <c r="R2608" s="39" t="str">
        <f aca="false">IF($M2608="","",INDEX($A2608:$J2608,$R$6))</f>
        <v/>
      </c>
      <c r="S2608" s="37" t="str">
        <f aca="false">IF($M2608="","",IFERROR(INDEX(Settings!$B$27:$B$36,MATCH(L2608,Settings!$A$27:$A$36,0))&amp;"","UNMAPPED"))</f>
        <v/>
      </c>
      <c r="T2608" s="37" t="str">
        <f aca="false">IF($M2608="","",IF(NOT(ISNUMBER(R2608)),"NO DATE",IF(S2608="Won",IF(R2608&gt;Settings!$B$5,"Backlog","Delivered"),IF(S2608="Open",IF(R2608&gt;Settings!$B$5,"Pipeline","Overdue"),IF(S2608="Lost","Lost","UNMAPPED")))))</f>
        <v/>
      </c>
      <c r="U2608" s="40" t="n">
        <f aca="false">IF(T2608="Backlog",1,IF(OR(T2608="Pipeline",T2608="Overdue"),N(INDEX(Settings!$C$27:$C$36,MATCH(L2608,Settings!$A$27:$A$36,0))),0))</f>
        <v>0</v>
      </c>
      <c r="V2608" s="38" t="n">
        <f aca="false">Q2608*U2608</f>
        <v>0</v>
      </c>
      <c r="W2608" s="41" t="str">
        <f aca="false">IF($M2608="","",IF(T2608="Overdue",IF(Settings!$B$8="Yes",Settings!$B$7,""),IF(ISNUMBER(R2608),DATE(YEAR(R2608),MONTH(R2608),1),"")))</f>
        <v/>
      </c>
      <c r="X2608" s="38" t="n">
        <f aca="false">IF(AND(OR(T2608="Backlog",T2608="Pipeline",T2608="Overdue"),ISNUMBER(W2608)),IF(W2608&lt;=Settings!$B$6,V2608,0),0)</f>
        <v>0</v>
      </c>
      <c r="Y2608" s="38" t="n">
        <f aca="false">IF(AND(OR(T2608="Backlog",T2608="Pipeline",T2608="Overdue"),ISNUMBER(W2608)),IF(W2608&lt;=Settings!$B$6,Q2608,0),0)</f>
        <v>0</v>
      </c>
      <c r="Z2608" s="38" t="n">
        <f aca="false">IF(Y2608=0,0,IF(T2608="Backlog",Q2608,Q2608*Dashboard!$C$10))</f>
        <v>0</v>
      </c>
      <c r="AA2608" s="37" t="n">
        <f aca="false">IF($N2608="",0,IF(COUNTIF(Dashboard!$C$13:$C$22,$N2608)&gt;0,1,0))</f>
        <v>0</v>
      </c>
      <c r="AB2608" s="37" t="str">
        <f aca="false">IF($N2608="","",IF(COUNTIF($N$8:$N2608,$N2608)=1,MAX($AB$7:$AB2607)+1,""))</f>
        <v/>
      </c>
    </row>
    <row r="2609" customFormat="false" ht="15" hidden="false" customHeight="false" outlineLevel="0" collapsed="false">
      <c r="L2609" s="37" t="str">
        <f aca="false">IF(INDEX($A2609:$J2609,$L$6)&lt;&gt;"",TRIM(LEFT(INDEX($A2609:$J2609,$L$6),FIND("(",INDEX($A2609:$J2609,$L$6)&amp;"(")-1)),L2608)</f>
        <v>Building Value Proposition</v>
      </c>
      <c r="M2609" s="37" t="str">
        <f aca="false">IF(INDEX($A2609:$J2609,$M$6)="","",INDEX($A2609:$J2609,$M$6)&amp;"")</f>
        <v/>
      </c>
      <c r="N2609" s="37" t="str">
        <f aca="false">IF($M2609="","",TRIM(INDEX($A2609:$J2609,$N$6)&amp;""))</f>
        <v/>
      </c>
      <c r="O2609" s="37" t="str">
        <f aca="false">IF($M2609="","",TRIM(INDEX($A2609:$J2609,$O$6)&amp;""))</f>
        <v/>
      </c>
      <c r="P2609" s="37" t="str">
        <f aca="false">IF($M2609="","",IFERROR(IF(INDEX(Settings!$B$41:$B$50,MATCH(O2609,Settings!$A$41:$A$50,0))&amp;""="","UNMAPPED",INDEX(Settings!$B$41:$B$50,MATCH(O2609,Settings!$A$41:$A$50,0))&amp;""),"UNMAPPED"))</f>
        <v/>
      </c>
      <c r="Q2609" s="38" t="n">
        <f aca="false">IF($M2609="",0,N(INDEX($A2609:$J2609,$Q$6)))</f>
        <v>0</v>
      </c>
      <c r="R2609" s="39" t="str">
        <f aca="false">IF($M2609="","",INDEX($A2609:$J2609,$R$6))</f>
        <v/>
      </c>
      <c r="S2609" s="37" t="str">
        <f aca="false">IF($M2609="","",IFERROR(INDEX(Settings!$B$27:$B$36,MATCH(L2609,Settings!$A$27:$A$36,0))&amp;"","UNMAPPED"))</f>
        <v/>
      </c>
      <c r="T2609" s="37" t="str">
        <f aca="false">IF($M2609="","",IF(NOT(ISNUMBER(R2609)),"NO DATE",IF(S2609="Won",IF(R2609&gt;Settings!$B$5,"Backlog","Delivered"),IF(S2609="Open",IF(R2609&gt;Settings!$B$5,"Pipeline","Overdue"),IF(S2609="Lost","Lost","UNMAPPED")))))</f>
        <v/>
      </c>
      <c r="U2609" s="40" t="n">
        <f aca="false">IF(T2609="Backlog",1,IF(OR(T2609="Pipeline",T2609="Overdue"),N(INDEX(Settings!$C$27:$C$36,MATCH(L2609,Settings!$A$27:$A$36,0))),0))</f>
        <v>0</v>
      </c>
      <c r="V2609" s="38" t="n">
        <f aca="false">Q2609*U2609</f>
        <v>0</v>
      </c>
      <c r="W2609" s="41" t="str">
        <f aca="false">IF($M2609="","",IF(T2609="Overdue",IF(Settings!$B$8="Yes",Settings!$B$7,""),IF(ISNUMBER(R2609),DATE(YEAR(R2609),MONTH(R2609),1),"")))</f>
        <v/>
      </c>
      <c r="X2609" s="38" t="n">
        <f aca="false">IF(AND(OR(T2609="Backlog",T2609="Pipeline",T2609="Overdue"),ISNUMBER(W2609)),IF(W2609&lt;=Settings!$B$6,V2609,0),0)</f>
        <v>0</v>
      </c>
      <c r="Y2609" s="38" t="n">
        <f aca="false">IF(AND(OR(T2609="Backlog",T2609="Pipeline",T2609="Overdue"),ISNUMBER(W2609)),IF(W2609&lt;=Settings!$B$6,Q2609,0),0)</f>
        <v>0</v>
      </c>
      <c r="Z2609" s="38" t="n">
        <f aca="false">IF(Y2609=0,0,IF(T2609="Backlog",Q2609,Q2609*Dashboard!$C$10))</f>
        <v>0</v>
      </c>
      <c r="AA2609" s="37" t="n">
        <f aca="false">IF($N2609="",0,IF(COUNTIF(Dashboard!$C$13:$C$22,$N2609)&gt;0,1,0))</f>
        <v>0</v>
      </c>
      <c r="AB2609" s="37" t="str">
        <f aca="false">IF($N2609="","",IF(COUNTIF($N$8:$N2609,$N2609)=1,MAX($AB$7:$AB2608)+1,""))</f>
        <v/>
      </c>
    </row>
    <row r="2610" customFormat="false" ht="15" hidden="false" customHeight="false" outlineLevel="0" collapsed="false">
      <c r="L2610" s="37" t="str">
        <f aca="false">IF(INDEX($A2610:$J2610,$L$6)&lt;&gt;"",TRIM(LEFT(INDEX($A2610:$J2610,$L$6),FIND("(",INDEX($A2610:$J2610,$L$6)&amp;"(")-1)),L2609)</f>
        <v>Building Value Proposition</v>
      </c>
      <c r="M2610" s="37" t="str">
        <f aca="false">IF(INDEX($A2610:$J2610,$M$6)="","",INDEX($A2610:$J2610,$M$6)&amp;"")</f>
        <v/>
      </c>
      <c r="N2610" s="37" t="str">
        <f aca="false">IF($M2610="","",TRIM(INDEX($A2610:$J2610,$N$6)&amp;""))</f>
        <v/>
      </c>
      <c r="O2610" s="37" t="str">
        <f aca="false">IF($M2610="","",TRIM(INDEX($A2610:$J2610,$O$6)&amp;""))</f>
        <v/>
      </c>
      <c r="P2610" s="37" t="str">
        <f aca="false">IF($M2610="","",IFERROR(IF(INDEX(Settings!$B$41:$B$50,MATCH(O2610,Settings!$A$41:$A$50,0))&amp;""="","UNMAPPED",INDEX(Settings!$B$41:$B$50,MATCH(O2610,Settings!$A$41:$A$50,0))&amp;""),"UNMAPPED"))</f>
        <v/>
      </c>
      <c r="Q2610" s="38" t="n">
        <f aca="false">IF($M2610="",0,N(INDEX($A2610:$J2610,$Q$6)))</f>
        <v>0</v>
      </c>
      <c r="R2610" s="39" t="str">
        <f aca="false">IF($M2610="","",INDEX($A2610:$J2610,$R$6))</f>
        <v/>
      </c>
      <c r="S2610" s="37" t="str">
        <f aca="false">IF($M2610="","",IFERROR(INDEX(Settings!$B$27:$B$36,MATCH(L2610,Settings!$A$27:$A$36,0))&amp;"","UNMAPPED"))</f>
        <v/>
      </c>
      <c r="T2610" s="37" t="str">
        <f aca="false">IF($M2610="","",IF(NOT(ISNUMBER(R2610)),"NO DATE",IF(S2610="Won",IF(R2610&gt;Settings!$B$5,"Backlog","Delivered"),IF(S2610="Open",IF(R2610&gt;Settings!$B$5,"Pipeline","Overdue"),IF(S2610="Lost","Lost","UNMAPPED")))))</f>
        <v/>
      </c>
      <c r="U2610" s="40" t="n">
        <f aca="false">IF(T2610="Backlog",1,IF(OR(T2610="Pipeline",T2610="Overdue"),N(INDEX(Settings!$C$27:$C$36,MATCH(L2610,Settings!$A$27:$A$36,0))),0))</f>
        <v>0</v>
      </c>
      <c r="V2610" s="38" t="n">
        <f aca="false">Q2610*U2610</f>
        <v>0</v>
      </c>
      <c r="W2610" s="41" t="str">
        <f aca="false">IF($M2610="","",IF(T2610="Overdue",IF(Settings!$B$8="Yes",Settings!$B$7,""),IF(ISNUMBER(R2610),DATE(YEAR(R2610),MONTH(R2610),1),"")))</f>
        <v/>
      </c>
      <c r="X2610" s="38" t="n">
        <f aca="false">IF(AND(OR(T2610="Backlog",T2610="Pipeline",T2610="Overdue"),ISNUMBER(W2610)),IF(W2610&lt;=Settings!$B$6,V2610,0),0)</f>
        <v>0</v>
      </c>
      <c r="Y2610" s="38" t="n">
        <f aca="false">IF(AND(OR(T2610="Backlog",T2610="Pipeline",T2610="Overdue"),ISNUMBER(W2610)),IF(W2610&lt;=Settings!$B$6,Q2610,0),0)</f>
        <v>0</v>
      </c>
      <c r="Z2610" s="38" t="n">
        <f aca="false">IF(Y2610=0,0,IF(T2610="Backlog",Q2610,Q2610*Dashboard!$C$10))</f>
        <v>0</v>
      </c>
      <c r="AA2610" s="37" t="n">
        <f aca="false">IF($N2610="",0,IF(COUNTIF(Dashboard!$C$13:$C$22,$N2610)&gt;0,1,0))</f>
        <v>0</v>
      </c>
      <c r="AB2610" s="37" t="str">
        <f aca="false">IF($N2610="","",IF(COUNTIF($N$8:$N2610,$N2610)=1,MAX($AB$7:$AB2609)+1,""))</f>
        <v/>
      </c>
    </row>
    <row r="2611" customFormat="false" ht="15" hidden="false" customHeight="false" outlineLevel="0" collapsed="false">
      <c r="L2611" s="37" t="str">
        <f aca="false">IF(INDEX($A2611:$J2611,$L$6)&lt;&gt;"",TRIM(LEFT(INDEX($A2611:$J2611,$L$6),FIND("(",INDEX($A2611:$J2611,$L$6)&amp;"(")-1)),L2610)</f>
        <v>Building Value Proposition</v>
      </c>
      <c r="M2611" s="37" t="str">
        <f aca="false">IF(INDEX($A2611:$J2611,$M$6)="","",INDEX($A2611:$J2611,$M$6)&amp;"")</f>
        <v/>
      </c>
      <c r="N2611" s="37" t="str">
        <f aca="false">IF($M2611="","",TRIM(INDEX($A2611:$J2611,$N$6)&amp;""))</f>
        <v/>
      </c>
      <c r="O2611" s="37" t="str">
        <f aca="false">IF($M2611="","",TRIM(INDEX($A2611:$J2611,$O$6)&amp;""))</f>
        <v/>
      </c>
      <c r="P2611" s="37" t="str">
        <f aca="false">IF($M2611="","",IFERROR(IF(INDEX(Settings!$B$41:$B$50,MATCH(O2611,Settings!$A$41:$A$50,0))&amp;""="","UNMAPPED",INDEX(Settings!$B$41:$B$50,MATCH(O2611,Settings!$A$41:$A$50,0))&amp;""),"UNMAPPED"))</f>
        <v/>
      </c>
      <c r="Q2611" s="38" t="n">
        <f aca="false">IF($M2611="",0,N(INDEX($A2611:$J2611,$Q$6)))</f>
        <v>0</v>
      </c>
      <c r="R2611" s="39" t="str">
        <f aca="false">IF($M2611="","",INDEX($A2611:$J2611,$R$6))</f>
        <v/>
      </c>
      <c r="S2611" s="37" t="str">
        <f aca="false">IF($M2611="","",IFERROR(INDEX(Settings!$B$27:$B$36,MATCH(L2611,Settings!$A$27:$A$36,0))&amp;"","UNMAPPED"))</f>
        <v/>
      </c>
      <c r="T2611" s="37" t="str">
        <f aca="false">IF($M2611="","",IF(NOT(ISNUMBER(R2611)),"NO DATE",IF(S2611="Won",IF(R2611&gt;Settings!$B$5,"Backlog","Delivered"),IF(S2611="Open",IF(R2611&gt;Settings!$B$5,"Pipeline","Overdue"),IF(S2611="Lost","Lost","UNMAPPED")))))</f>
        <v/>
      </c>
      <c r="U2611" s="40" t="n">
        <f aca="false">IF(T2611="Backlog",1,IF(OR(T2611="Pipeline",T2611="Overdue"),N(INDEX(Settings!$C$27:$C$36,MATCH(L2611,Settings!$A$27:$A$36,0))),0))</f>
        <v>0</v>
      </c>
      <c r="V2611" s="38" t="n">
        <f aca="false">Q2611*U2611</f>
        <v>0</v>
      </c>
      <c r="W2611" s="41" t="str">
        <f aca="false">IF($M2611="","",IF(T2611="Overdue",IF(Settings!$B$8="Yes",Settings!$B$7,""),IF(ISNUMBER(R2611),DATE(YEAR(R2611),MONTH(R2611),1),"")))</f>
        <v/>
      </c>
      <c r="X2611" s="38" t="n">
        <f aca="false">IF(AND(OR(T2611="Backlog",T2611="Pipeline",T2611="Overdue"),ISNUMBER(W2611)),IF(W2611&lt;=Settings!$B$6,V2611,0),0)</f>
        <v>0</v>
      </c>
      <c r="Y2611" s="38" t="n">
        <f aca="false">IF(AND(OR(T2611="Backlog",T2611="Pipeline",T2611="Overdue"),ISNUMBER(W2611)),IF(W2611&lt;=Settings!$B$6,Q2611,0),0)</f>
        <v>0</v>
      </c>
      <c r="Z2611" s="38" t="n">
        <f aca="false">IF(Y2611=0,0,IF(T2611="Backlog",Q2611,Q2611*Dashboard!$C$10))</f>
        <v>0</v>
      </c>
      <c r="AA2611" s="37" t="n">
        <f aca="false">IF($N2611="",0,IF(COUNTIF(Dashboard!$C$13:$C$22,$N2611)&gt;0,1,0))</f>
        <v>0</v>
      </c>
      <c r="AB2611" s="37" t="str">
        <f aca="false">IF($N2611="","",IF(COUNTIF($N$8:$N2611,$N2611)=1,MAX($AB$7:$AB2610)+1,""))</f>
        <v/>
      </c>
    </row>
    <row r="2612" customFormat="false" ht="15" hidden="false" customHeight="false" outlineLevel="0" collapsed="false">
      <c r="L2612" s="37" t="str">
        <f aca="false">IF(INDEX($A2612:$J2612,$L$6)&lt;&gt;"",TRIM(LEFT(INDEX($A2612:$J2612,$L$6),FIND("(",INDEX($A2612:$J2612,$L$6)&amp;"(")-1)),L2611)</f>
        <v>Building Value Proposition</v>
      </c>
      <c r="M2612" s="37" t="str">
        <f aca="false">IF(INDEX($A2612:$J2612,$M$6)="","",INDEX($A2612:$J2612,$M$6)&amp;"")</f>
        <v/>
      </c>
      <c r="N2612" s="37" t="str">
        <f aca="false">IF($M2612="","",TRIM(INDEX($A2612:$J2612,$N$6)&amp;""))</f>
        <v/>
      </c>
      <c r="O2612" s="37" t="str">
        <f aca="false">IF($M2612="","",TRIM(INDEX($A2612:$J2612,$O$6)&amp;""))</f>
        <v/>
      </c>
      <c r="P2612" s="37" t="str">
        <f aca="false">IF($M2612="","",IFERROR(IF(INDEX(Settings!$B$41:$B$50,MATCH(O2612,Settings!$A$41:$A$50,0))&amp;""="","UNMAPPED",INDEX(Settings!$B$41:$B$50,MATCH(O2612,Settings!$A$41:$A$50,0))&amp;""),"UNMAPPED"))</f>
        <v/>
      </c>
      <c r="Q2612" s="38" t="n">
        <f aca="false">IF($M2612="",0,N(INDEX($A2612:$J2612,$Q$6)))</f>
        <v>0</v>
      </c>
      <c r="R2612" s="39" t="str">
        <f aca="false">IF($M2612="","",INDEX($A2612:$J2612,$R$6))</f>
        <v/>
      </c>
      <c r="S2612" s="37" t="str">
        <f aca="false">IF($M2612="","",IFERROR(INDEX(Settings!$B$27:$B$36,MATCH(L2612,Settings!$A$27:$A$36,0))&amp;"","UNMAPPED"))</f>
        <v/>
      </c>
      <c r="T2612" s="37" t="str">
        <f aca="false">IF($M2612="","",IF(NOT(ISNUMBER(R2612)),"NO DATE",IF(S2612="Won",IF(R2612&gt;Settings!$B$5,"Backlog","Delivered"),IF(S2612="Open",IF(R2612&gt;Settings!$B$5,"Pipeline","Overdue"),IF(S2612="Lost","Lost","UNMAPPED")))))</f>
        <v/>
      </c>
      <c r="U2612" s="40" t="n">
        <f aca="false">IF(T2612="Backlog",1,IF(OR(T2612="Pipeline",T2612="Overdue"),N(INDEX(Settings!$C$27:$C$36,MATCH(L2612,Settings!$A$27:$A$36,0))),0))</f>
        <v>0</v>
      </c>
      <c r="V2612" s="38" t="n">
        <f aca="false">Q2612*U2612</f>
        <v>0</v>
      </c>
      <c r="W2612" s="41" t="str">
        <f aca="false">IF($M2612="","",IF(T2612="Overdue",IF(Settings!$B$8="Yes",Settings!$B$7,""),IF(ISNUMBER(R2612),DATE(YEAR(R2612),MONTH(R2612),1),"")))</f>
        <v/>
      </c>
      <c r="X2612" s="38" t="n">
        <f aca="false">IF(AND(OR(T2612="Backlog",T2612="Pipeline",T2612="Overdue"),ISNUMBER(W2612)),IF(W2612&lt;=Settings!$B$6,V2612,0),0)</f>
        <v>0</v>
      </c>
      <c r="Y2612" s="38" t="n">
        <f aca="false">IF(AND(OR(T2612="Backlog",T2612="Pipeline",T2612="Overdue"),ISNUMBER(W2612)),IF(W2612&lt;=Settings!$B$6,Q2612,0),0)</f>
        <v>0</v>
      </c>
      <c r="Z2612" s="38" t="n">
        <f aca="false">IF(Y2612=0,0,IF(T2612="Backlog",Q2612,Q2612*Dashboard!$C$10))</f>
        <v>0</v>
      </c>
      <c r="AA2612" s="37" t="n">
        <f aca="false">IF($N2612="",0,IF(COUNTIF(Dashboard!$C$13:$C$22,$N2612)&gt;0,1,0))</f>
        <v>0</v>
      </c>
      <c r="AB2612" s="37" t="str">
        <f aca="false">IF($N2612="","",IF(COUNTIF($N$8:$N2612,$N2612)=1,MAX($AB$7:$AB2611)+1,""))</f>
        <v/>
      </c>
    </row>
    <row r="2613" customFormat="false" ht="15" hidden="false" customHeight="false" outlineLevel="0" collapsed="false">
      <c r="L2613" s="37" t="str">
        <f aca="false">IF(INDEX($A2613:$J2613,$L$6)&lt;&gt;"",TRIM(LEFT(INDEX($A2613:$J2613,$L$6),FIND("(",INDEX($A2613:$J2613,$L$6)&amp;"(")-1)),L2612)</f>
        <v>Building Value Proposition</v>
      </c>
      <c r="M2613" s="37" t="str">
        <f aca="false">IF(INDEX($A2613:$J2613,$M$6)="","",INDEX($A2613:$J2613,$M$6)&amp;"")</f>
        <v/>
      </c>
      <c r="N2613" s="37" t="str">
        <f aca="false">IF($M2613="","",TRIM(INDEX($A2613:$J2613,$N$6)&amp;""))</f>
        <v/>
      </c>
      <c r="O2613" s="37" t="str">
        <f aca="false">IF($M2613="","",TRIM(INDEX($A2613:$J2613,$O$6)&amp;""))</f>
        <v/>
      </c>
      <c r="P2613" s="37" t="str">
        <f aca="false">IF($M2613="","",IFERROR(IF(INDEX(Settings!$B$41:$B$50,MATCH(O2613,Settings!$A$41:$A$50,0))&amp;""="","UNMAPPED",INDEX(Settings!$B$41:$B$50,MATCH(O2613,Settings!$A$41:$A$50,0))&amp;""),"UNMAPPED"))</f>
        <v/>
      </c>
      <c r="Q2613" s="38" t="n">
        <f aca="false">IF($M2613="",0,N(INDEX($A2613:$J2613,$Q$6)))</f>
        <v>0</v>
      </c>
      <c r="R2613" s="39" t="str">
        <f aca="false">IF($M2613="","",INDEX($A2613:$J2613,$R$6))</f>
        <v/>
      </c>
      <c r="S2613" s="37" t="str">
        <f aca="false">IF($M2613="","",IFERROR(INDEX(Settings!$B$27:$B$36,MATCH(L2613,Settings!$A$27:$A$36,0))&amp;"","UNMAPPED"))</f>
        <v/>
      </c>
      <c r="T2613" s="37" t="str">
        <f aca="false">IF($M2613="","",IF(NOT(ISNUMBER(R2613)),"NO DATE",IF(S2613="Won",IF(R2613&gt;Settings!$B$5,"Backlog","Delivered"),IF(S2613="Open",IF(R2613&gt;Settings!$B$5,"Pipeline","Overdue"),IF(S2613="Lost","Lost","UNMAPPED")))))</f>
        <v/>
      </c>
      <c r="U2613" s="40" t="n">
        <f aca="false">IF(T2613="Backlog",1,IF(OR(T2613="Pipeline",T2613="Overdue"),N(INDEX(Settings!$C$27:$C$36,MATCH(L2613,Settings!$A$27:$A$36,0))),0))</f>
        <v>0</v>
      </c>
      <c r="V2613" s="38" t="n">
        <f aca="false">Q2613*U2613</f>
        <v>0</v>
      </c>
      <c r="W2613" s="41" t="str">
        <f aca="false">IF($M2613="","",IF(T2613="Overdue",IF(Settings!$B$8="Yes",Settings!$B$7,""),IF(ISNUMBER(R2613),DATE(YEAR(R2613),MONTH(R2613),1),"")))</f>
        <v/>
      </c>
      <c r="X2613" s="38" t="n">
        <f aca="false">IF(AND(OR(T2613="Backlog",T2613="Pipeline",T2613="Overdue"),ISNUMBER(W2613)),IF(W2613&lt;=Settings!$B$6,V2613,0),0)</f>
        <v>0</v>
      </c>
      <c r="Y2613" s="38" t="n">
        <f aca="false">IF(AND(OR(T2613="Backlog",T2613="Pipeline",T2613="Overdue"),ISNUMBER(W2613)),IF(W2613&lt;=Settings!$B$6,Q2613,0),0)</f>
        <v>0</v>
      </c>
      <c r="Z2613" s="38" t="n">
        <f aca="false">IF(Y2613=0,0,IF(T2613="Backlog",Q2613,Q2613*Dashboard!$C$10))</f>
        <v>0</v>
      </c>
      <c r="AA2613" s="37" t="n">
        <f aca="false">IF($N2613="",0,IF(COUNTIF(Dashboard!$C$13:$C$22,$N2613)&gt;0,1,0))</f>
        <v>0</v>
      </c>
      <c r="AB2613" s="37" t="str">
        <f aca="false">IF($N2613="","",IF(COUNTIF($N$8:$N2613,$N2613)=1,MAX($AB$7:$AB2612)+1,""))</f>
        <v/>
      </c>
    </row>
    <row r="2614" customFormat="false" ht="15" hidden="false" customHeight="false" outlineLevel="0" collapsed="false">
      <c r="L2614" s="37" t="str">
        <f aca="false">IF(INDEX($A2614:$J2614,$L$6)&lt;&gt;"",TRIM(LEFT(INDEX($A2614:$J2614,$L$6),FIND("(",INDEX($A2614:$J2614,$L$6)&amp;"(")-1)),L2613)</f>
        <v>Building Value Proposition</v>
      </c>
      <c r="M2614" s="37" t="str">
        <f aca="false">IF(INDEX($A2614:$J2614,$M$6)="","",INDEX($A2614:$J2614,$M$6)&amp;"")</f>
        <v/>
      </c>
      <c r="N2614" s="37" t="str">
        <f aca="false">IF($M2614="","",TRIM(INDEX($A2614:$J2614,$N$6)&amp;""))</f>
        <v/>
      </c>
      <c r="O2614" s="37" t="str">
        <f aca="false">IF($M2614="","",TRIM(INDEX($A2614:$J2614,$O$6)&amp;""))</f>
        <v/>
      </c>
      <c r="P2614" s="37" t="str">
        <f aca="false">IF($M2614="","",IFERROR(IF(INDEX(Settings!$B$41:$B$50,MATCH(O2614,Settings!$A$41:$A$50,0))&amp;""="","UNMAPPED",INDEX(Settings!$B$41:$B$50,MATCH(O2614,Settings!$A$41:$A$50,0))&amp;""),"UNMAPPED"))</f>
        <v/>
      </c>
      <c r="Q2614" s="38" t="n">
        <f aca="false">IF($M2614="",0,N(INDEX($A2614:$J2614,$Q$6)))</f>
        <v>0</v>
      </c>
      <c r="R2614" s="39" t="str">
        <f aca="false">IF($M2614="","",INDEX($A2614:$J2614,$R$6))</f>
        <v/>
      </c>
      <c r="S2614" s="37" t="str">
        <f aca="false">IF($M2614="","",IFERROR(INDEX(Settings!$B$27:$B$36,MATCH(L2614,Settings!$A$27:$A$36,0))&amp;"","UNMAPPED"))</f>
        <v/>
      </c>
      <c r="T2614" s="37" t="str">
        <f aca="false">IF($M2614="","",IF(NOT(ISNUMBER(R2614)),"NO DATE",IF(S2614="Won",IF(R2614&gt;Settings!$B$5,"Backlog","Delivered"),IF(S2614="Open",IF(R2614&gt;Settings!$B$5,"Pipeline","Overdue"),IF(S2614="Lost","Lost","UNMAPPED")))))</f>
        <v/>
      </c>
      <c r="U2614" s="40" t="n">
        <f aca="false">IF(T2614="Backlog",1,IF(OR(T2614="Pipeline",T2614="Overdue"),N(INDEX(Settings!$C$27:$C$36,MATCH(L2614,Settings!$A$27:$A$36,0))),0))</f>
        <v>0</v>
      </c>
      <c r="V2614" s="38" t="n">
        <f aca="false">Q2614*U2614</f>
        <v>0</v>
      </c>
      <c r="W2614" s="41" t="str">
        <f aca="false">IF($M2614="","",IF(T2614="Overdue",IF(Settings!$B$8="Yes",Settings!$B$7,""),IF(ISNUMBER(R2614),DATE(YEAR(R2614),MONTH(R2614),1),"")))</f>
        <v/>
      </c>
      <c r="X2614" s="38" t="n">
        <f aca="false">IF(AND(OR(T2614="Backlog",T2614="Pipeline",T2614="Overdue"),ISNUMBER(W2614)),IF(W2614&lt;=Settings!$B$6,V2614,0),0)</f>
        <v>0</v>
      </c>
      <c r="Y2614" s="38" t="n">
        <f aca="false">IF(AND(OR(T2614="Backlog",T2614="Pipeline",T2614="Overdue"),ISNUMBER(W2614)),IF(W2614&lt;=Settings!$B$6,Q2614,0),0)</f>
        <v>0</v>
      </c>
      <c r="Z2614" s="38" t="n">
        <f aca="false">IF(Y2614=0,0,IF(T2614="Backlog",Q2614,Q2614*Dashboard!$C$10))</f>
        <v>0</v>
      </c>
      <c r="AA2614" s="37" t="n">
        <f aca="false">IF($N2614="",0,IF(COUNTIF(Dashboard!$C$13:$C$22,$N2614)&gt;0,1,0))</f>
        <v>0</v>
      </c>
      <c r="AB2614" s="37" t="str">
        <f aca="false">IF($N2614="","",IF(COUNTIF($N$8:$N2614,$N2614)=1,MAX($AB$7:$AB2613)+1,""))</f>
        <v/>
      </c>
    </row>
    <row r="2615" customFormat="false" ht="15" hidden="false" customHeight="false" outlineLevel="0" collapsed="false">
      <c r="L2615" s="37" t="str">
        <f aca="false">IF(INDEX($A2615:$J2615,$L$6)&lt;&gt;"",TRIM(LEFT(INDEX($A2615:$J2615,$L$6),FIND("(",INDEX($A2615:$J2615,$L$6)&amp;"(")-1)),L2614)</f>
        <v>Building Value Proposition</v>
      </c>
      <c r="M2615" s="37" t="str">
        <f aca="false">IF(INDEX($A2615:$J2615,$M$6)="","",INDEX($A2615:$J2615,$M$6)&amp;"")</f>
        <v/>
      </c>
      <c r="N2615" s="37" t="str">
        <f aca="false">IF($M2615="","",TRIM(INDEX($A2615:$J2615,$N$6)&amp;""))</f>
        <v/>
      </c>
      <c r="O2615" s="37" t="str">
        <f aca="false">IF($M2615="","",TRIM(INDEX($A2615:$J2615,$O$6)&amp;""))</f>
        <v/>
      </c>
      <c r="P2615" s="37" t="str">
        <f aca="false">IF($M2615="","",IFERROR(IF(INDEX(Settings!$B$41:$B$50,MATCH(O2615,Settings!$A$41:$A$50,0))&amp;""="","UNMAPPED",INDEX(Settings!$B$41:$B$50,MATCH(O2615,Settings!$A$41:$A$50,0))&amp;""),"UNMAPPED"))</f>
        <v/>
      </c>
      <c r="Q2615" s="38" t="n">
        <f aca="false">IF($M2615="",0,N(INDEX($A2615:$J2615,$Q$6)))</f>
        <v>0</v>
      </c>
      <c r="R2615" s="39" t="str">
        <f aca="false">IF($M2615="","",INDEX($A2615:$J2615,$R$6))</f>
        <v/>
      </c>
      <c r="S2615" s="37" t="str">
        <f aca="false">IF($M2615="","",IFERROR(INDEX(Settings!$B$27:$B$36,MATCH(L2615,Settings!$A$27:$A$36,0))&amp;"","UNMAPPED"))</f>
        <v/>
      </c>
      <c r="T2615" s="37" t="str">
        <f aca="false">IF($M2615="","",IF(NOT(ISNUMBER(R2615)),"NO DATE",IF(S2615="Won",IF(R2615&gt;Settings!$B$5,"Backlog","Delivered"),IF(S2615="Open",IF(R2615&gt;Settings!$B$5,"Pipeline","Overdue"),IF(S2615="Lost","Lost","UNMAPPED")))))</f>
        <v/>
      </c>
      <c r="U2615" s="40" t="n">
        <f aca="false">IF(T2615="Backlog",1,IF(OR(T2615="Pipeline",T2615="Overdue"),N(INDEX(Settings!$C$27:$C$36,MATCH(L2615,Settings!$A$27:$A$36,0))),0))</f>
        <v>0</v>
      </c>
      <c r="V2615" s="38" t="n">
        <f aca="false">Q2615*U2615</f>
        <v>0</v>
      </c>
      <c r="W2615" s="41" t="str">
        <f aca="false">IF($M2615="","",IF(T2615="Overdue",IF(Settings!$B$8="Yes",Settings!$B$7,""),IF(ISNUMBER(R2615),DATE(YEAR(R2615),MONTH(R2615),1),"")))</f>
        <v/>
      </c>
      <c r="X2615" s="38" t="n">
        <f aca="false">IF(AND(OR(T2615="Backlog",T2615="Pipeline",T2615="Overdue"),ISNUMBER(W2615)),IF(W2615&lt;=Settings!$B$6,V2615,0),0)</f>
        <v>0</v>
      </c>
      <c r="Y2615" s="38" t="n">
        <f aca="false">IF(AND(OR(T2615="Backlog",T2615="Pipeline",T2615="Overdue"),ISNUMBER(W2615)),IF(W2615&lt;=Settings!$B$6,Q2615,0),0)</f>
        <v>0</v>
      </c>
      <c r="Z2615" s="38" t="n">
        <f aca="false">IF(Y2615=0,0,IF(T2615="Backlog",Q2615,Q2615*Dashboard!$C$10))</f>
        <v>0</v>
      </c>
      <c r="AA2615" s="37" t="n">
        <f aca="false">IF($N2615="",0,IF(COUNTIF(Dashboard!$C$13:$C$22,$N2615)&gt;0,1,0))</f>
        <v>0</v>
      </c>
      <c r="AB2615" s="37" t="str">
        <f aca="false">IF($N2615="","",IF(COUNTIF($N$8:$N2615,$N2615)=1,MAX($AB$7:$AB2614)+1,""))</f>
        <v/>
      </c>
    </row>
    <row r="2616" customFormat="false" ht="15" hidden="false" customHeight="false" outlineLevel="0" collapsed="false">
      <c r="L2616" s="37" t="str">
        <f aca="false">IF(INDEX($A2616:$J2616,$L$6)&lt;&gt;"",TRIM(LEFT(INDEX($A2616:$J2616,$L$6),FIND("(",INDEX($A2616:$J2616,$L$6)&amp;"(")-1)),L2615)</f>
        <v>Building Value Proposition</v>
      </c>
      <c r="M2616" s="37" t="str">
        <f aca="false">IF(INDEX($A2616:$J2616,$M$6)="","",INDEX($A2616:$J2616,$M$6)&amp;"")</f>
        <v/>
      </c>
      <c r="N2616" s="37" t="str">
        <f aca="false">IF($M2616="","",TRIM(INDEX($A2616:$J2616,$N$6)&amp;""))</f>
        <v/>
      </c>
      <c r="O2616" s="37" t="str">
        <f aca="false">IF($M2616="","",TRIM(INDEX($A2616:$J2616,$O$6)&amp;""))</f>
        <v/>
      </c>
      <c r="P2616" s="37" t="str">
        <f aca="false">IF($M2616="","",IFERROR(IF(INDEX(Settings!$B$41:$B$50,MATCH(O2616,Settings!$A$41:$A$50,0))&amp;""="","UNMAPPED",INDEX(Settings!$B$41:$B$50,MATCH(O2616,Settings!$A$41:$A$50,0))&amp;""),"UNMAPPED"))</f>
        <v/>
      </c>
      <c r="Q2616" s="38" t="n">
        <f aca="false">IF($M2616="",0,N(INDEX($A2616:$J2616,$Q$6)))</f>
        <v>0</v>
      </c>
      <c r="R2616" s="39" t="str">
        <f aca="false">IF($M2616="","",INDEX($A2616:$J2616,$R$6))</f>
        <v/>
      </c>
      <c r="S2616" s="37" t="str">
        <f aca="false">IF($M2616="","",IFERROR(INDEX(Settings!$B$27:$B$36,MATCH(L2616,Settings!$A$27:$A$36,0))&amp;"","UNMAPPED"))</f>
        <v/>
      </c>
      <c r="T2616" s="37" t="str">
        <f aca="false">IF($M2616="","",IF(NOT(ISNUMBER(R2616)),"NO DATE",IF(S2616="Won",IF(R2616&gt;Settings!$B$5,"Backlog","Delivered"),IF(S2616="Open",IF(R2616&gt;Settings!$B$5,"Pipeline","Overdue"),IF(S2616="Lost","Lost","UNMAPPED")))))</f>
        <v/>
      </c>
      <c r="U2616" s="40" t="n">
        <f aca="false">IF(T2616="Backlog",1,IF(OR(T2616="Pipeline",T2616="Overdue"),N(INDEX(Settings!$C$27:$C$36,MATCH(L2616,Settings!$A$27:$A$36,0))),0))</f>
        <v>0</v>
      </c>
      <c r="V2616" s="38" t="n">
        <f aca="false">Q2616*U2616</f>
        <v>0</v>
      </c>
      <c r="W2616" s="41" t="str">
        <f aca="false">IF($M2616="","",IF(T2616="Overdue",IF(Settings!$B$8="Yes",Settings!$B$7,""),IF(ISNUMBER(R2616),DATE(YEAR(R2616),MONTH(R2616),1),"")))</f>
        <v/>
      </c>
      <c r="X2616" s="38" t="n">
        <f aca="false">IF(AND(OR(T2616="Backlog",T2616="Pipeline",T2616="Overdue"),ISNUMBER(W2616)),IF(W2616&lt;=Settings!$B$6,V2616,0),0)</f>
        <v>0</v>
      </c>
      <c r="Y2616" s="38" t="n">
        <f aca="false">IF(AND(OR(T2616="Backlog",T2616="Pipeline",T2616="Overdue"),ISNUMBER(W2616)),IF(W2616&lt;=Settings!$B$6,Q2616,0),0)</f>
        <v>0</v>
      </c>
      <c r="Z2616" s="38" t="n">
        <f aca="false">IF(Y2616=0,0,IF(T2616="Backlog",Q2616,Q2616*Dashboard!$C$10))</f>
        <v>0</v>
      </c>
      <c r="AA2616" s="37" t="n">
        <f aca="false">IF($N2616="",0,IF(COUNTIF(Dashboard!$C$13:$C$22,$N2616)&gt;0,1,0))</f>
        <v>0</v>
      </c>
      <c r="AB2616" s="37" t="str">
        <f aca="false">IF($N2616="","",IF(COUNTIF($N$8:$N2616,$N2616)=1,MAX($AB$7:$AB2615)+1,""))</f>
        <v/>
      </c>
    </row>
    <row r="2617" customFormat="false" ht="15" hidden="false" customHeight="false" outlineLevel="0" collapsed="false">
      <c r="L2617" s="37" t="str">
        <f aca="false">IF(INDEX($A2617:$J2617,$L$6)&lt;&gt;"",TRIM(LEFT(INDEX($A2617:$J2617,$L$6),FIND("(",INDEX($A2617:$J2617,$L$6)&amp;"(")-1)),L2616)</f>
        <v>Building Value Proposition</v>
      </c>
      <c r="M2617" s="37" t="str">
        <f aca="false">IF(INDEX($A2617:$J2617,$M$6)="","",INDEX($A2617:$J2617,$M$6)&amp;"")</f>
        <v/>
      </c>
      <c r="N2617" s="37" t="str">
        <f aca="false">IF($M2617="","",TRIM(INDEX($A2617:$J2617,$N$6)&amp;""))</f>
        <v/>
      </c>
      <c r="O2617" s="37" t="str">
        <f aca="false">IF($M2617="","",TRIM(INDEX($A2617:$J2617,$O$6)&amp;""))</f>
        <v/>
      </c>
      <c r="P2617" s="37" t="str">
        <f aca="false">IF($M2617="","",IFERROR(IF(INDEX(Settings!$B$41:$B$50,MATCH(O2617,Settings!$A$41:$A$50,0))&amp;""="","UNMAPPED",INDEX(Settings!$B$41:$B$50,MATCH(O2617,Settings!$A$41:$A$50,0))&amp;""),"UNMAPPED"))</f>
        <v/>
      </c>
      <c r="Q2617" s="38" t="n">
        <f aca="false">IF($M2617="",0,N(INDEX($A2617:$J2617,$Q$6)))</f>
        <v>0</v>
      </c>
      <c r="R2617" s="39" t="str">
        <f aca="false">IF($M2617="","",INDEX($A2617:$J2617,$R$6))</f>
        <v/>
      </c>
      <c r="S2617" s="37" t="str">
        <f aca="false">IF($M2617="","",IFERROR(INDEX(Settings!$B$27:$B$36,MATCH(L2617,Settings!$A$27:$A$36,0))&amp;"","UNMAPPED"))</f>
        <v/>
      </c>
      <c r="T2617" s="37" t="str">
        <f aca="false">IF($M2617="","",IF(NOT(ISNUMBER(R2617)),"NO DATE",IF(S2617="Won",IF(R2617&gt;Settings!$B$5,"Backlog","Delivered"),IF(S2617="Open",IF(R2617&gt;Settings!$B$5,"Pipeline","Overdue"),IF(S2617="Lost","Lost","UNMAPPED")))))</f>
        <v/>
      </c>
      <c r="U2617" s="40" t="n">
        <f aca="false">IF(T2617="Backlog",1,IF(OR(T2617="Pipeline",T2617="Overdue"),N(INDEX(Settings!$C$27:$C$36,MATCH(L2617,Settings!$A$27:$A$36,0))),0))</f>
        <v>0</v>
      </c>
      <c r="V2617" s="38" t="n">
        <f aca="false">Q2617*U2617</f>
        <v>0</v>
      </c>
      <c r="W2617" s="41" t="str">
        <f aca="false">IF($M2617="","",IF(T2617="Overdue",IF(Settings!$B$8="Yes",Settings!$B$7,""),IF(ISNUMBER(R2617),DATE(YEAR(R2617),MONTH(R2617),1),"")))</f>
        <v/>
      </c>
      <c r="X2617" s="38" t="n">
        <f aca="false">IF(AND(OR(T2617="Backlog",T2617="Pipeline",T2617="Overdue"),ISNUMBER(W2617)),IF(W2617&lt;=Settings!$B$6,V2617,0),0)</f>
        <v>0</v>
      </c>
      <c r="Y2617" s="38" t="n">
        <f aca="false">IF(AND(OR(T2617="Backlog",T2617="Pipeline",T2617="Overdue"),ISNUMBER(W2617)),IF(W2617&lt;=Settings!$B$6,Q2617,0),0)</f>
        <v>0</v>
      </c>
      <c r="Z2617" s="38" t="n">
        <f aca="false">IF(Y2617=0,0,IF(T2617="Backlog",Q2617,Q2617*Dashboard!$C$10))</f>
        <v>0</v>
      </c>
      <c r="AA2617" s="37" t="n">
        <f aca="false">IF($N2617="",0,IF(COUNTIF(Dashboard!$C$13:$C$22,$N2617)&gt;0,1,0))</f>
        <v>0</v>
      </c>
      <c r="AB2617" s="37" t="str">
        <f aca="false">IF($N2617="","",IF(COUNTIF($N$8:$N2617,$N2617)=1,MAX($AB$7:$AB2616)+1,""))</f>
        <v/>
      </c>
    </row>
    <row r="2618" customFormat="false" ht="15" hidden="false" customHeight="false" outlineLevel="0" collapsed="false">
      <c r="L2618" s="37" t="str">
        <f aca="false">IF(INDEX($A2618:$J2618,$L$6)&lt;&gt;"",TRIM(LEFT(INDEX($A2618:$J2618,$L$6),FIND("(",INDEX($A2618:$J2618,$L$6)&amp;"(")-1)),L2617)</f>
        <v>Building Value Proposition</v>
      </c>
      <c r="M2618" s="37" t="str">
        <f aca="false">IF(INDEX($A2618:$J2618,$M$6)="","",INDEX($A2618:$J2618,$M$6)&amp;"")</f>
        <v/>
      </c>
      <c r="N2618" s="37" t="str">
        <f aca="false">IF($M2618="","",TRIM(INDEX($A2618:$J2618,$N$6)&amp;""))</f>
        <v/>
      </c>
      <c r="O2618" s="37" t="str">
        <f aca="false">IF($M2618="","",TRIM(INDEX($A2618:$J2618,$O$6)&amp;""))</f>
        <v/>
      </c>
      <c r="P2618" s="37" t="str">
        <f aca="false">IF($M2618="","",IFERROR(IF(INDEX(Settings!$B$41:$B$50,MATCH(O2618,Settings!$A$41:$A$50,0))&amp;""="","UNMAPPED",INDEX(Settings!$B$41:$B$50,MATCH(O2618,Settings!$A$41:$A$50,0))&amp;""),"UNMAPPED"))</f>
        <v/>
      </c>
      <c r="Q2618" s="38" t="n">
        <f aca="false">IF($M2618="",0,N(INDEX($A2618:$J2618,$Q$6)))</f>
        <v>0</v>
      </c>
      <c r="R2618" s="39" t="str">
        <f aca="false">IF($M2618="","",INDEX($A2618:$J2618,$R$6))</f>
        <v/>
      </c>
      <c r="S2618" s="37" t="str">
        <f aca="false">IF($M2618="","",IFERROR(INDEX(Settings!$B$27:$B$36,MATCH(L2618,Settings!$A$27:$A$36,0))&amp;"","UNMAPPED"))</f>
        <v/>
      </c>
      <c r="T2618" s="37" t="str">
        <f aca="false">IF($M2618="","",IF(NOT(ISNUMBER(R2618)),"NO DATE",IF(S2618="Won",IF(R2618&gt;Settings!$B$5,"Backlog","Delivered"),IF(S2618="Open",IF(R2618&gt;Settings!$B$5,"Pipeline","Overdue"),IF(S2618="Lost","Lost","UNMAPPED")))))</f>
        <v/>
      </c>
      <c r="U2618" s="40" t="n">
        <f aca="false">IF(T2618="Backlog",1,IF(OR(T2618="Pipeline",T2618="Overdue"),N(INDEX(Settings!$C$27:$C$36,MATCH(L2618,Settings!$A$27:$A$36,0))),0))</f>
        <v>0</v>
      </c>
      <c r="V2618" s="38" t="n">
        <f aca="false">Q2618*U2618</f>
        <v>0</v>
      </c>
      <c r="W2618" s="41" t="str">
        <f aca="false">IF($M2618="","",IF(T2618="Overdue",IF(Settings!$B$8="Yes",Settings!$B$7,""),IF(ISNUMBER(R2618),DATE(YEAR(R2618),MONTH(R2618),1),"")))</f>
        <v/>
      </c>
      <c r="X2618" s="38" t="n">
        <f aca="false">IF(AND(OR(T2618="Backlog",T2618="Pipeline",T2618="Overdue"),ISNUMBER(W2618)),IF(W2618&lt;=Settings!$B$6,V2618,0),0)</f>
        <v>0</v>
      </c>
      <c r="Y2618" s="38" t="n">
        <f aca="false">IF(AND(OR(T2618="Backlog",T2618="Pipeline",T2618="Overdue"),ISNUMBER(W2618)),IF(W2618&lt;=Settings!$B$6,Q2618,0),0)</f>
        <v>0</v>
      </c>
      <c r="Z2618" s="38" t="n">
        <f aca="false">IF(Y2618=0,0,IF(T2618="Backlog",Q2618,Q2618*Dashboard!$C$10))</f>
        <v>0</v>
      </c>
      <c r="AA2618" s="37" t="n">
        <f aca="false">IF($N2618="",0,IF(COUNTIF(Dashboard!$C$13:$C$22,$N2618)&gt;0,1,0))</f>
        <v>0</v>
      </c>
      <c r="AB2618" s="37" t="str">
        <f aca="false">IF($N2618="","",IF(COUNTIF($N$8:$N2618,$N2618)=1,MAX($AB$7:$AB2617)+1,""))</f>
        <v/>
      </c>
    </row>
    <row r="2619" customFormat="false" ht="15" hidden="false" customHeight="false" outlineLevel="0" collapsed="false">
      <c r="L2619" s="37" t="str">
        <f aca="false">IF(INDEX($A2619:$J2619,$L$6)&lt;&gt;"",TRIM(LEFT(INDEX($A2619:$J2619,$L$6),FIND("(",INDEX($A2619:$J2619,$L$6)&amp;"(")-1)),L2618)</f>
        <v>Building Value Proposition</v>
      </c>
      <c r="M2619" s="37" t="str">
        <f aca="false">IF(INDEX($A2619:$J2619,$M$6)="","",INDEX($A2619:$J2619,$M$6)&amp;"")</f>
        <v/>
      </c>
      <c r="N2619" s="37" t="str">
        <f aca="false">IF($M2619="","",TRIM(INDEX($A2619:$J2619,$N$6)&amp;""))</f>
        <v/>
      </c>
      <c r="O2619" s="37" t="str">
        <f aca="false">IF($M2619="","",TRIM(INDEX($A2619:$J2619,$O$6)&amp;""))</f>
        <v/>
      </c>
      <c r="P2619" s="37" t="str">
        <f aca="false">IF($M2619="","",IFERROR(IF(INDEX(Settings!$B$41:$B$50,MATCH(O2619,Settings!$A$41:$A$50,0))&amp;""="","UNMAPPED",INDEX(Settings!$B$41:$B$50,MATCH(O2619,Settings!$A$41:$A$50,0))&amp;""),"UNMAPPED"))</f>
        <v/>
      </c>
      <c r="Q2619" s="38" t="n">
        <f aca="false">IF($M2619="",0,N(INDEX($A2619:$J2619,$Q$6)))</f>
        <v>0</v>
      </c>
      <c r="R2619" s="39" t="str">
        <f aca="false">IF($M2619="","",INDEX($A2619:$J2619,$R$6))</f>
        <v/>
      </c>
      <c r="S2619" s="37" t="str">
        <f aca="false">IF($M2619="","",IFERROR(INDEX(Settings!$B$27:$B$36,MATCH(L2619,Settings!$A$27:$A$36,0))&amp;"","UNMAPPED"))</f>
        <v/>
      </c>
      <c r="T2619" s="37" t="str">
        <f aca="false">IF($M2619="","",IF(NOT(ISNUMBER(R2619)),"NO DATE",IF(S2619="Won",IF(R2619&gt;Settings!$B$5,"Backlog","Delivered"),IF(S2619="Open",IF(R2619&gt;Settings!$B$5,"Pipeline","Overdue"),IF(S2619="Lost","Lost","UNMAPPED")))))</f>
        <v/>
      </c>
      <c r="U2619" s="40" t="n">
        <f aca="false">IF(T2619="Backlog",1,IF(OR(T2619="Pipeline",T2619="Overdue"),N(INDEX(Settings!$C$27:$C$36,MATCH(L2619,Settings!$A$27:$A$36,0))),0))</f>
        <v>0</v>
      </c>
      <c r="V2619" s="38" t="n">
        <f aca="false">Q2619*U2619</f>
        <v>0</v>
      </c>
      <c r="W2619" s="41" t="str">
        <f aca="false">IF($M2619="","",IF(T2619="Overdue",IF(Settings!$B$8="Yes",Settings!$B$7,""),IF(ISNUMBER(R2619),DATE(YEAR(R2619),MONTH(R2619),1),"")))</f>
        <v/>
      </c>
      <c r="X2619" s="38" t="n">
        <f aca="false">IF(AND(OR(T2619="Backlog",T2619="Pipeline",T2619="Overdue"),ISNUMBER(W2619)),IF(W2619&lt;=Settings!$B$6,V2619,0),0)</f>
        <v>0</v>
      </c>
      <c r="Y2619" s="38" t="n">
        <f aca="false">IF(AND(OR(T2619="Backlog",T2619="Pipeline",T2619="Overdue"),ISNUMBER(W2619)),IF(W2619&lt;=Settings!$B$6,Q2619,0),0)</f>
        <v>0</v>
      </c>
      <c r="Z2619" s="38" t="n">
        <f aca="false">IF(Y2619=0,0,IF(T2619="Backlog",Q2619,Q2619*Dashboard!$C$10))</f>
        <v>0</v>
      </c>
      <c r="AA2619" s="37" t="n">
        <f aca="false">IF($N2619="",0,IF(COUNTIF(Dashboard!$C$13:$C$22,$N2619)&gt;0,1,0))</f>
        <v>0</v>
      </c>
      <c r="AB2619" s="37" t="str">
        <f aca="false">IF($N2619="","",IF(COUNTIF($N$8:$N2619,$N2619)=1,MAX($AB$7:$AB2618)+1,""))</f>
        <v/>
      </c>
    </row>
    <row r="2620" customFormat="false" ht="15" hidden="false" customHeight="false" outlineLevel="0" collapsed="false">
      <c r="L2620" s="37" t="str">
        <f aca="false">IF(INDEX($A2620:$J2620,$L$6)&lt;&gt;"",TRIM(LEFT(INDEX($A2620:$J2620,$L$6),FIND("(",INDEX($A2620:$J2620,$L$6)&amp;"(")-1)),L2619)</f>
        <v>Building Value Proposition</v>
      </c>
      <c r="M2620" s="37" t="str">
        <f aca="false">IF(INDEX($A2620:$J2620,$M$6)="","",INDEX($A2620:$J2620,$M$6)&amp;"")</f>
        <v/>
      </c>
      <c r="N2620" s="37" t="str">
        <f aca="false">IF($M2620="","",TRIM(INDEX($A2620:$J2620,$N$6)&amp;""))</f>
        <v/>
      </c>
      <c r="O2620" s="37" t="str">
        <f aca="false">IF($M2620="","",TRIM(INDEX($A2620:$J2620,$O$6)&amp;""))</f>
        <v/>
      </c>
      <c r="P2620" s="37" t="str">
        <f aca="false">IF($M2620="","",IFERROR(IF(INDEX(Settings!$B$41:$B$50,MATCH(O2620,Settings!$A$41:$A$50,0))&amp;""="","UNMAPPED",INDEX(Settings!$B$41:$B$50,MATCH(O2620,Settings!$A$41:$A$50,0))&amp;""),"UNMAPPED"))</f>
        <v/>
      </c>
      <c r="Q2620" s="38" t="n">
        <f aca="false">IF($M2620="",0,N(INDEX($A2620:$J2620,$Q$6)))</f>
        <v>0</v>
      </c>
      <c r="R2620" s="39" t="str">
        <f aca="false">IF($M2620="","",INDEX($A2620:$J2620,$R$6))</f>
        <v/>
      </c>
      <c r="S2620" s="37" t="str">
        <f aca="false">IF($M2620="","",IFERROR(INDEX(Settings!$B$27:$B$36,MATCH(L2620,Settings!$A$27:$A$36,0))&amp;"","UNMAPPED"))</f>
        <v/>
      </c>
      <c r="T2620" s="37" t="str">
        <f aca="false">IF($M2620="","",IF(NOT(ISNUMBER(R2620)),"NO DATE",IF(S2620="Won",IF(R2620&gt;Settings!$B$5,"Backlog","Delivered"),IF(S2620="Open",IF(R2620&gt;Settings!$B$5,"Pipeline","Overdue"),IF(S2620="Lost","Lost","UNMAPPED")))))</f>
        <v/>
      </c>
      <c r="U2620" s="40" t="n">
        <f aca="false">IF(T2620="Backlog",1,IF(OR(T2620="Pipeline",T2620="Overdue"),N(INDEX(Settings!$C$27:$C$36,MATCH(L2620,Settings!$A$27:$A$36,0))),0))</f>
        <v>0</v>
      </c>
      <c r="V2620" s="38" t="n">
        <f aca="false">Q2620*U2620</f>
        <v>0</v>
      </c>
      <c r="W2620" s="41" t="str">
        <f aca="false">IF($M2620="","",IF(T2620="Overdue",IF(Settings!$B$8="Yes",Settings!$B$7,""),IF(ISNUMBER(R2620),DATE(YEAR(R2620),MONTH(R2620),1),"")))</f>
        <v/>
      </c>
      <c r="X2620" s="38" t="n">
        <f aca="false">IF(AND(OR(T2620="Backlog",T2620="Pipeline",T2620="Overdue"),ISNUMBER(W2620)),IF(W2620&lt;=Settings!$B$6,V2620,0),0)</f>
        <v>0</v>
      </c>
      <c r="Y2620" s="38" t="n">
        <f aca="false">IF(AND(OR(T2620="Backlog",T2620="Pipeline",T2620="Overdue"),ISNUMBER(W2620)),IF(W2620&lt;=Settings!$B$6,Q2620,0),0)</f>
        <v>0</v>
      </c>
      <c r="Z2620" s="38" t="n">
        <f aca="false">IF(Y2620=0,0,IF(T2620="Backlog",Q2620,Q2620*Dashboard!$C$10))</f>
        <v>0</v>
      </c>
      <c r="AA2620" s="37" t="n">
        <f aca="false">IF($N2620="",0,IF(COUNTIF(Dashboard!$C$13:$C$22,$N2620)&gt;0,1,0))</f>
        <v>0</v>
      </c>
      <c r="AB2620" s="37" t="str">
        <f aca="false">IF($N2620="","",IF(COUNTIF($N$8:$N2620,$N2620)=1,MAX($AB$7:$AB2619)+1,""))</f>
        <v/>
      </c>
    </row>
    <row r="2621" customFormat="false" ht="15" hidden="false" customHeight="false" outlineLevel="0" collapsed="false">
      <c r="L2621" s="37" t="str">
        <f aca="false">IF(INDEX($A2621:$J2621,$L$6)&lt;&gt;"",TRIM(LEFT(INDEX($A2621:$J2621,$L$6),FIND("(",INDEX($A2621:$J2621,$L$6)&amp;"(")-1)),L2620)</f>
        <v>Building Value Proposition</v>
      </c>
      <c r="M2621" s="37" t="str">
        <f aca="false">IF(INDEX($A2621:$J2621,$M$6)="","",INDEX($A2621:$J2621,$M$6)&amp;"")</f>
        <v/>
      </c>
      <c r="N2621" s="37" t="str">
        <f aca="false">IF($M2621="","",TRIM(INDEX($A2621:$J2621,$N$6)&amp;""))</f>
        <v/>
      </c>
      <c r="O2621" s="37" t="str">
        <f aca="false">IF($M2621="","",TRIM(INDEX($A2621:$J2621,$O$6)&amp;""))</f>
        <v/>
      </c>
      <c r="P2621" s="37" t="str">
        <f aca="false">IF($M2621="","",IFERROR(IF(INDEX(Settings!$B$41:$B$50,MATCH(O2621,Settings!$A$41:$A$50,0))&amp;""="","UNMAPPED",INDEX(Settings!$B$41:$B$50,MATCH(O2621,Settings!$A$41:$A$50,0))&amp;""),"UNMAPPED"))</f>
        <v/>
      </c>
      <c r="Q2621" s="38" t="n">
        <f aca="false">IF($M2621="",0,N(INDEX($A2621:$J2621,$Q$6)))</f>
        <v>0</v>
      </c>
      <c r="R2621" s="39" t="str">
        <f aca="false">IF($M2621="","",INDEX($A2621:$J2621,$R$6))</f>
        <v/>
      </c>
      <c r="S2621" s="37" t="str">
        <f aca="false">IF($M2621="","",IFERROR(INDEX(Settings!$B$27:$B$36,MATCH(L2621,Settings!$A$27:$A$36,0))&amp;"","UNMAPPED"))</f>
        <v/>
      </c>
      <c r="T2621" s="37" t="str">
        <f aca="false">IF($M2621="","",IF(NOT(ISNUMBER(R2621)),"NO DATE",IF(S2621="Won",IF(R2621&gt;Settings!$B$5,"Backlog","Delivered"),IF(S2621="Open",IF(R2621&gt;Settings!$B$5,"Pipeline","Overdue"),IF(S2621="Lost","Lost","UNMAPPED")))))</f>
        <v/>
      </c>
      <c r="U2621" s="40" t="n">
        <f aca="false">IF(T2621="Backlog",1,IF(OR(T2621="Pipeline",T2621="Overdue"),N(INDEX(Settings!$C$27:$C$36,MATCH(L2621,Settings!$A$27:$A$36,0))),0))</f>
        <v>0</v>
      </c>
      <c r="V2621" s="38" t="n">
        <f aca="false">Q2621*U2621</f>
        <v>0</v>
      </c>
      <c r="W2621" s="41" t="str">
        <f aca="false">IF($M2621="","",IF(T2621="Overdue",IF(Settings!$B$8="Yes",Settings!$B$7,""),IF(ISNUMBER(R2621),DATE(YEAR(R2621),MONTH(R2621),1),"")))</f>
        <v/>
      </c>
      <c r="X2621" s="38" t="n">
        <f aca="false">IF(AND(OR(T2621="Backlog",T2621="Pipeline",T2621="Overdue"),ISNUMBER(W2621)),IF(W2621&lt;=Settings!$B$6,V2621,0),0)</f>
        <v>0</v>
      </c>
      <c r="Y2621" s="38" t="n">
        <f aca="false">IF(AND(OR(T2621="Backlog",T2621="Pipeline",T2621="Overdue"),ISNUMBER(W2621)),IF(W2621&lt;=Settings!$B$6,Q2621,0),0)</f>
        <v>0</v>
      </c>
      <c r="Z2621" s="38" t="n">
        <f aca="false">IF(Y2621=0,0,IF(T2621="Backlog",Q2621,Q2621*Dashboard!$C$10))</f>
        <v>0</v>
      </c>
      <c r="AA2621" s="37" t="n">
        <f aca="false">IF($N2621="",0,IF(COUNTIF(Dashboard!$C$13:$C$22,$N2621)&gt;0,1,0))</f>
        <v>0</v>
      </c>
      <c r="AB2621" s="37" t="str">
        <f aca="false">IF($N2621="","",IF(COUNTIF($N$8:$N2621,$N2621)=1,MAX($AB$7:$AB2620)+1,""))</f>
        <v/>
      </c>
    </row>
    <row r="2622" customFormat="false" ht="15" hidden="false" customHeight="false" outlineLevel="0" collapsed="false">
      <c r="L2622" s="37" t="str">
        <f aca="false">IF(INDEX($A2622:$J2622,$L$6)&lt;&gt;"",TRIM(LEFT(INDEX($A2622:$J2622,$L$6),FIND("(",INDEX($A2622:$J2622,$L$6)&amp;"(")-1)),L2621)</f>
        <v>Building Value Proposition</v>
      </c>
      <c r="M2622" s="37" t="str">
        <f aca="false">IF(INDEX($A2622:$J2622,$M$6)="","",INDEX($A2622:$J2622,$M$6)&amp;"")</f>
        <v/>
      </c>
      <c r="N2622" s="37" t="str">
        <f aca="false">IF($M2622="","",TRIM(INDEX($A2622:$J2622,$N$6)&amp;""))</f>
        <v/>
      </c>
      <c r="O2622" s="37" t="str">
        <f aca="false">IF($M2622="","",TRIM(INDEX($A2622:$J2622,$O$6)&amp;""))</f>
        <v/>
      </c>
      <c r="P2622" s="37" t="str">
        <f aca="false">IF($M2622="","",IFERROR(IF(INDEX(Settings!$B$41:$B$50,MATCH(O2622,Settings!$A$41:$A$50,0))&amp;""="","UNMAPPED",INDEX(Settings!$B$41:$B$50,MATCH(O2622,Settings!$A$41:$A$50,0))&amp;""),"UNMAPPED"))</f>
        <v/>
      </c>
      <c r="Q2622" s="38" t="n">
        <f aca="false">IF($M2622="",0,N(INDEX($A2622:$J2622,$Q$6)))</f>
        <v>0</v>
      </c>
      <c r="R2622" s="39" t="str">
        <f aca="false">IF($M2622="","",INDEX($A2622:$J2622,$R$6))</f>
        <v/>
      </c>
      <c r="S2622" s="37" t="str">
        <f aca="false">IF($M2622="","",IFERROR(INDEX(Settings!$B$27:$B$36,MATCH(L2622,Settings!$A$27:$A$36,0))&amp;"","UNMAPPED"))</f>
        <v/>
      </c>
      <c r="T2622" s="37" t="str">
        <f aca="false">IF($M2622="","",IF(NOT(ISNUMBER(R2622)),"NO DATE",IF(S2622="Won",IF(R2622&gt;Settings!$B$5,"Backlog","Delivered"),IF(S2622="Open",IF(R2622&gt;Settings!$B$5,"Pipeline","Overdue"),IF(S2622="Lost","Lost","UNMAPPED")))))</f>
        <v/>
      </c>
      <c r="U2622" s="40" t="n">
        <f aca="false">IF(T2622="Backlog",1,IF(OR(T2622="Pipeline",T2622="Overdue"),N(INDEX(Settings!$C$27:$C$36,MATCH(L2622,Settings!$A$27:$A$36,0))),0))</f>
        <v>0</v>
      </c>
      <c r="V2622" s="38" t="n">
        <f aca="false">Q2622*U2622</f>
        <v>0</v>
      </c>
      <c r="W2622" s="41" t="str">
        <f aca="false">IF($M2622="","",IF(T2622="Overdue",IF(Settings!$B$8="Yes",Settings!$B$7,""),IF(ISNUMBER(R2622),DATE(YEAR(R2622),MONTH(R2622),1),"")))</f>
        <v/>
      </c>
      <c r="X2622" s="38" t="n">
        <f aca="false">IF(AND(OR(T2622="Backlog",T2622="Pipeline",T2622="Overdue"),ISNUMBER(W2622)),IF(W2622&lt;=Settings!$B$6,V2622,0),0)</f>
        <v>0</v>
      </c>
      <c r="Y2622" s="38" t="n">
        <f aca="false">IF(AND(OR(T2622="Backlog",T2622="Pipeline",T2622="Overdue"),ISNUMBER(W2622)),IF(W2622&lt;=Settings!$B$6,Q2622,0),0)</f>
        <v>0</v>
      </c>
      <c r="Z2622" s="38" t="n">
        <f aca="false">IF(Y2622=0,0,IF(T2622="Backlog",Q2622,Q2622*Dashboard!$C$10))</f>
        <v>0</v>
      </c>
      <c r="AA2622" s="37" t="n">
        <f aca="false">IF($N2622="",0,IF(COUNTIF(Dashboard!$C$13:$C$22,$N2622)&gt;0,1,0))</f>
        <v>0</v>
      </c>
      <c r="AB2622" s="37" t="str">
        <f aca="false">IF($N2622="","",IF(COUNTIF($N$8:$N2622,$N2622)=1,MAX($AB$7:$AB2621)+1,""))</f>
        <v/>
      </c>
    </row>
    <row r="2623" customFormat="false" ht="15" hidden="false" customHeight="false" outlineLevel="0" collapsed="false">
      <c r="L2623" s="37" t="str">
        <f aca="false">IF(INDEX($A2623:$J2623,$L$6)&lt;&gt;"",TRIM(LEFT(INDEX($A2623:$J2623,$L$6),FIND("(",INDEX($A2623:$J2623,$L$6)&amp;"(")-1)),L2622)</f>
        <v>Building Value Proposition</v>
      </c>
      <c r="M2623" s="37" t="str">
        <f aca="false">IF(INDEX($A2623:$J2623,$M$6)="","",INDEX($A2623:$J2623,$M$6)&amp;"")</f>
        <v/>
      </c>
      <c r="N2623" s="37" t="str">
        <f aca="false">IF($M2623="","",TRIM(INDEX($A2623:$J2623,$N$6)&amp;""))</f>
        <v/>
      </c>
      <c r="O2623" s="37" t="str">
        <f aca="false">IF($M2623="","",TRIM(INDEX($A2623:$J2623,$O$6)&amp;""))</f>
        <v/>
      </c>
      <c r="P2623" s="37" t="str">
        <f aca="false">IF($M2623="","",IFERROR(IF(INDEX(Settings!$B$41:$B$50,MATCH(O2623,Settings!$A$41:$A$50,0))&amp;""="","UNMAPPED",INDEX(Settings!$B$41:$B$50,MATCH(O2623,Settings!$A$41:$A$50,0))&amp;""),"UNMAPPED"))</f>
        <v/>
      </c>
      <c r="Q2623" s="38" t="n">
        <f aca="false">IF($M2623="",0,N(INDEX($A2623:$J2623,$Q$6)))</f>
        <v>0</v>
      </c>
      <c r="R2623" s="39" t="str">
        <f aca="false">IF($M2623="","",INDEX($A2623:$J2623,$R$6))</f>
        <v/>
      </c>
      <c r="S2623" s="37" t="str">
        <f aca="false">IF($M2623="","",IFERROR(INDEX(Settings!$B$27:$B$36,MATCH(L2623,Settings!$A$27:$A$36,0))&amp;"","UNMAPPED"))</f>
        <v/>
      </c>
      <c r="T2623" s="37" t="str">
        <f aca="false">IF($M2623="","",IF(NOT(ISNUMBER(R2623)),"NO DATE",IF(S2623="Won",IF(R2623&gt;Settings!$B$5,"Backlog","Delivered"),IF(S2623="Open",IF(R2623&gt;Settings!$B$5,"Pipeline","Overdue"),IF(S2623="Lost","Lost","UNMAPPED")))))</f>
        <v/>
      </c>
      <c r="U2623" s="40" t="n">
        <f aca="false">IF(T2623="Backlog",1,IF(OR(T2623="Pipeline",T2623="Overdue"),N(INDEX(Settings!$C$27:$C$36,MATCH(L2623,Settings!$A$27:$A$36,0))),0))</f>
        <v>0</v>
      </c>
      <c r="V2623" s="38" t="n">
        <f aca="false">Q2623*U2623</f>
        <v>0</v>
      </c>
      <c r="W2623" s="41" t="str">
        <f aca="false">IF($M2623="","",IF(T2623="Overdue",IF(Settings!$B$8="Yes",Settings!$B$7,""),IF(ISNUMBER(R2623),DATE(YEAR(R2623),MONTH(R2623),1),"")))</f>
        <v/>
      </c>
      <c r="X2623" s="38" t="n">
        <f aca="false">IF(AND(OR(T2623="Backlog",T2623="Pipeline",T2623="Overdue"),ISNUMBER(W2623)),IF(W2623&lt;=Settings!$B$6,V2623,0),0)</f>
        <v>0</v>
      </c>
      <c r="Y2623" s="38" t="n">
        <f aca="false">IF(AND(OR(T2623="Backlog",T2623="Pipeline",T2623="Overdue"),ISNUMBER(W2623)),IF(W2623&lt;=Settings!$B$6,Q2623,0),0)</f>
        <v>0</v>
      </c>
      <c r="Z2623" s="38" t="n">
        <f aca="false">IF(Y2623=0,0,IF(T2623="Backlog",Q2623,Q2623*Dashboard!$C$10))</f>
        <v>0</v>
      </c>
      <c r="AA2623" s="37" t="n">
        <f aca="false">IF($N2623="",0,IF(COUNTIF(Dashboard!$C$13:$C$22,$N2623)&gt;0,1,0))</f>
        <v>0</v>
      </c>
      <c r="AB2623" s="37" t="str">
        <f aca="false">IF($N2623="","",IF(COUNTIF($N$8:$N2623,$N2623)=1,MAX($AB$7:$AB2622)+1,""))</f>
        <v/>
      </c>
    </row>
    <row r="2624" customFormat="false" ht="15" hidden="false" customHeight="false" outlineLevel="0" collapsed="false">
      <c r="L2624" s="37" t="str">
        <f aca="false">IF(INDEX($A2624:$J2624,$L$6)&lt;&gt;"",TRIM(LEFT(INDEX($A2624:$J2624,$L$6),FIND("(",INDEX($A2624:$J2624,$L$6)&amp;"(")-1)),L2623)</f>
        <v>Building Value Proposition</v>
      </c>
      <c r="M2624" s="37" t="str">
        <f aca="false">IF(INDEX($A2624:$J2624,$M$6)="","",INDEX($A2624:$J2624,$M$6)&amp;"")</f>
        <v/>
      </c>
      <c r="N2624" s="37" t="str">
        <f aca="false">IF($M2624="","",TRIM(INDEX($A2624:$J2624,$N$6)&amp;""))</f>
        <v/>
      </c>
      <c r="O2624" s="37" t="str">
        <f aca="false">IF($M2624="","",TRIM(INDEX($A2624:$J2624,$O$6)&amp;""))</f>
        <v/>
      </c>
      <c r="P2624" s="37" t="str">
        <f aca="false">IF($M2624="","",IFERROR(IF(INDEX(Settings!$B$41:$B$50,MATCH(O2624,Settings!$A$41:$A$50,0))&amp;""="","UNMAPPED",INDEX(Settings!$B$41:$B$50,MATCH(O2624,Settings!$A$41:$A$50,0))&amp;""),"UNMAPPED"))</f>
        <v/>
      </c>
      <c r="Q2624" s="38" t="n">
        <f aca="false">IF($M2624="",0,N(INDEX($A2624:$J2624,$Q$6)))</f>
        <v>0</v>
      </c>
      <c r="R2624" s="39" t="str">
        <f aca="false">IF($M2624="","",INDEX($A2624:$J2624,$R$6))</f>
        <v/>
      </c>
      <c r="S2624" s="37" t="str">
        <f aca="false">IF($M2624="","",IFERROR(INDEX(Settings!$B$27:$B$36,MATCH(L2624,Settings!$A$27:$A$36,0))&amp;"","UNMAPPED"))</f>
        <v/>
      </c>
      <c r="T2624" s="37" t="str">
        <f aca="false">IF($M2624="","",IF(NOT(ISNUMBER(R2624)),"NO DATE",IF(S2624="Won",IF(R2624&gt;Settings!$B$5,"Backlog","Delivered"),IF(S2624="Open",IF(R2624&gt;Settings!$B$5,"Pipeline","Overdue"),IF(S2624="Lost","Lost","UNMAPPED")))))</f>
        <v/>
      </c>
      <c r="U2624" s="40" t="n">
        <f aca="false">IF(T2624="Backlog",1,IF(OR(T2624="Pipeline",T2624="Overdue"),N(INDEX(Settings!$C$27:$C$36,MATCH(L2624,Settings!$A$27:$A$36,0))),0))</f>
        <v>0</v>
      </c>
      <c r="V2624" s="38" t="n">
        <f aca="false">Q2624*U2624</f>
        <v>0</v>
      </c>
      <c r="W2624" s="41" t="str">
        <f aca="false">IF($M2624="","",IF(T2624="Overdue",IF(Settings!$B$8="Yes",Settings!$B$7,""),IF(ISNUMBER(R2624),DATE(YEAR(R2624),MONTH(R2624),1),"")))</f>
        <v/>
      </c>
      <c r="X2624" s="38" t="n">
        <f aca="false">IF(AND(OR(T2624="Backlog",T2624="Pipeline",T2624="Overdue"),ISNUMBER(W2624)),IF(W2624&lt;=Settings!$B$6,V2624,0),0)</f>
        <v>0</v>
      </c>
      <c r="Y2624" s="38" t="n">
        <f aca="false">IF(AND(OR(T2624="Backlog",T2624="Pipeline",T2624="Overdue"),ISNUMBER(W2624)),IF(W2624&lt;=Settings!$B$6,Q2624,0),0)</f>
        <v>0</v>
      </c>
      <c r="Z2624" s="38" t="n">
        <f aca="false">IF(Y2624=0,0,IF(T2624="Backlog",Q2624,Q2624*Dashboard!$C$10))</f>
        <v>0</v>
      </c>
      <c r="AA2624" s="37" t="n">
        <f aca="false">IF($N2624="",0,IF(COUNTIF(Dashboard!$C$13:$C$22,$N2624)&gt;0,1,0))</f>
        <v>0</v>
      </c>
      <c r="AB2624" s="37" t="str">
        <f aca="false">IF($N2624="","",IF(COUNTIF($N$8:$N2624,$N2624)=1,MAX($AB$7:$AB2623)+1,""))</f>
        <v/>
      </c>
    </row>
    <row r="2625" customFormat="false" ht="15" hidden="false" customHeight="false" outlineLevel="0" collapsed="false">
      <c r="L2625" s="37" t="str">
        <f aca="false">IF(INDEX($A2625:$J2625,$L$6)&lt;&gt;"",TRIM(LEFT(INDEX($A2625:$J2625,$L$6),FIND("(",INDEX($A2625:$J2625,$L$6)&amp;"(")-1)),L2624)</f>
        <v>Building Value Proposition</v>
      </c>
      <c r="M2625" s="37" t="str">
        <f aca="false">IF(INDEX($A2625:$J2625,$M$6)="","",INDEX($A2625:$J2625,$M$6)&amp;"")</f>
        <v/>
      </c>
      <c r="N2625" s="37" t="str">
        <f aca="false">IF($M2625="","",TRIM(INDEX($A2625:$J2625,$N$6)&amp;""))</f>
        <v/>
      </c>
      <c r="O2625" s="37" t="str">
        <f aca="false">IF($M2625="","",TRIM(INDEX($A2625:$J2625,$O$6)&amp;""))</f>
        <v/>
      </c>
      <c r="P2625" s="37" t="str">
        <f aca="false">IF($M2625="","",IFERROR(IF(INDEX(Settings!$B$41:$B$50,MATCH(O2625,Settings!$A$41:$A$50,0))&amp;""="","UNMAPPED",INDEX(Settings!$B$41:$B$50,MATCH(O2625,Settings!$A$41:$A$50,0))&amp;""),"UNMAPPED"))</f>
        <v/>
      </c>
      <c r="Q2625" s="38" t="n">
        <f aca="false">IF($M2625="",0,N(INDEX($A2625:$J2625,$Q$6)))</f>
        <v>0</v>
      </c>
      <c r="R2625" s="39" t="str">
        <f aca="false">IF($M2625="","",INDEX($A2625:$J2625,$R$6))</f>
        <v/>
      </c>
      <c r="S2625" s="37" t="str">
        <f aca="false">IF($M2625="","",IFERROR(INDEX(Settings!$B$27:$B$36,MATCH(L2625,Settings!$A$27:$A$36,0))&amp;"","UNMAPPED"))</f>
        <v/>
      </c>
      <c r="T2625" s="37" t="str">
        <f aca="false">IF($M2625="","",IF(NOT(ISNUMBER(R2625)),"NO DATE",IF(S2625="Won",IF(R2625&gt;Settings!$B$5,"Backlog","Delivered"),IF(S2625="Open",IF(R2625&gt;Settings!$B$5,"Pipeline","Overdue"),IF(S2625="Lost","Lost","UNMAPPED")))))</f>
        <v/>
      </c>
      <c r="U2625" s="40" t="n">
        <f aca="false">IF(T2625="Backlog",1,IF(OR(T2625="Pipeline",T2625="Overdue"),N(INDEX(Settings!$C$27:$C$36,MATCH(L2625,Settings!$A$27:$A$36,0))),0))</f>
        <v>0</v>
      </c>
      <c r="V2625" s="38" t="n">
        <f aca="false">Q2625*U2625</f>
        <v>0</v>
      </c>
      <c r="W2625" s="41" t="str">
        <f aca="false">IF($M2625="","",IF(T2625="Overdue",IF(Settings!$B$8="Yes",Settings!$B$7,""),IF(ISNUMBER(R2625),DATE(YEAR(R2625),MONTH(R2625),1),"")))</f>
        <v/>
      </c>
      <c r="X2625" s="38" t="n">
        <f aca="false">IF(AND(OR(T2625="Backlog",T2625="Pipeline",T2625="Overdue"),ISNUMBER(W2625)),IF(W2625&lt;=Settings!$B$6,V2625,0),0)</f>
        <v>0</v>
      </c>
      <c r="Y2625" s="38" t="n">
        <f aca="false">IF(AND(OR(T2625="Backlog",T2625="Pipeline",T2625="Overdue"),ISNUMBER(W2625)),IF(W2625&lt;=Settings!$B$6,Q2625,0),0)</f>
        <v>0</v>
      </c>
      <c r="Z2625" s="38" t="n">
        <f aca="false">IF(Y2625=0,0,IF(T2625="Backlog",Q2625,Q2625*Dashboard!$C$10))</f>
        <v>0</v>
      </c>
      <c r="AA2625" s="37" t="n">
        <f aca="false">IF($N2625="",0,IF(COUNTIF(Dashboard!$C$13:$C$22,$N2625)&gt;0,1,0))</f>
        <v>0</v>
      </c>
      <c r="AB2625" s="37" t="str">
        <f aca="false">IF($N2625="","",IF(COUNTIF($N$8:$N2625,$N2625)=1,MAX($AB$7:$AB2624)+1,""))</f>
        <v/>
      </c>
    </row>
    <row r="2626" customFormat="false" ht="15" hidden="false" customHeight="false" outlineLevel="0" collapsed="false">
      <c r="L2626" s="37" t="str">
        <f aca="false">IF(INDEX($A2626:$J2626,$L$6)&lt;&gt;"",TRIM(LEFT(INDEX($A2626:$J2626,$L$6),FIND("(",INDEX($A2626:$J2626,$L$6)&amp;"(")-1)),L2625)</f>
        <v>Building Value Proposition</v>
      </c>
      <c r="M2626" s="37" t="str">
        <f aca="false">IF(INDEX($A2626:$J2626,$M$6)="","",INDEX($A2626:$J2626,$M$6)&amp;"")</f>
        <v/>
      </c>
      <c r="N2626" s="37" t="str">
        <f aca="false">IF($M2626="","",TRIM(INDEX($A2626:$J2626,$N$6)&amp;""))</f>
        <v/>
      </c>
      <c r="O2626" s="37" t="str">
        <f aca="false">IF($M2626="","",TRIM(INDEX($A2626:$J2626,$O$6)&amp;""))</f>
        <v/>
      </c>
      <c r="P2626" s="37" t="str">
        <f aca="false">IF($M2626="","",IFERROR(IF(INDEX(Settings!$B$41:$B$50,MATCH(O2626,Settings!$A$41:$A$50,0))&amp;""="","UNMAPPED",INDEX(Settings!$B$41:$B$50,MATCH(O2626,Settings!$A$41:$A$50,0))&amp;""),"UNMAPPED"))</f>
        <v/>
      </c>
      <c r="Q2626" s="38" t="n">
        <f aca="false">IF($M2626="",0,N(INDEX($A2626:$J2626,$Q$6)))</f>
        <v>0</v>
      </c>
      <c r="R2626" s="39" t="str">
        <f aca="false">IF($M2626="","",INDEX($A2626:$J2626,$R$6))</f>
        <v/>
      </c>
      <c r="S2626" s="37" t="str">
        <f aca="false">IF($M2626="","",IFERROR(INDEX(Settings!$B$27:$B$36,MATCH(L2626,Settings!$A$27:$A$36,0))&amp;"","UNMAPPED"))</f>
        <v/>
      </c>
      <c r="T2626" s="37" t="str">
        <f aca="false">IF($M2626="","",IF(NOT(ISNUMBER(R2626)),"NO DATE",IF(S2626="Won",IF(R2626&gt;Settings!$B$5,"Backlog","Delivered"),IF(S2626="Open",IF(R2626&gt;Settings!$B$5,"Pipeline","Overdue"),IF(S2626="Lost","Lost","UNMAPPED")))))</f>
        <v/>
      </c>
      <c r="U2626" s="40" t="n">
        <f aca="false">IF(T2626="Backlog",1,IF(OR(T2626="Pipeline",T2626="Overdue"),N(INDEX(Settings!$C$27:$C$36,MATCH(L2626,Settings!$A$27:$A$36,0))),0))</f>
        <v>0</v>
      </c>
      <c r="V2626" s="38" t="n">
        <f aca="false">Q2626*U2626</f>
        <v>0</v>
      </c>
      <c r="W2626" s="41" t="str">
        <f aca="false">IF($M2626="","",IF(T2626="Overdue",IF(Settings!$B$8="Yes",Settings!$B$7,""),IF(ISNUMBER(R2626),DATE(YEAR(R2626),MONTH(R2626),1),"")))</f>
        <v/>
      </c>
      <c r="X2626" s="38" t="n">
        <f aca="false">IF(AND(OR(T2626="Backlog",T2626="Pipeline",T2626="Overdue"),ISNUMBER(W2626)),IF(W2626&lt;=Settings!$B$6,V2626,0),0)</f>
        <v>0</v>
      </c>
      <c r="Y2626" s="38" t="n">
        <f aca="false">IF(AND(OR(T2626="Backlog",T2626="Pipeline",T2626="Overdue"),ISNUMBER(W2626)),IF(W2626&lt;=Settings!$B$6,Q2626,0),0)</f>
        <v>0</v>
      </c>
      <c r="Z2626" s="38" t="n">
        <f aca="false">IF(Y2626=0,0,IF(T2626="Backlog",Q2626,Q2626*Dashboard!$C$10))</f>
        <v>0</v>
      </c>
      <c r="AA2626" s="37" t="n">
        <f aca="false">IF($N2626="",0,IF(COUNTIF(Dashboard!$C$13:$C$22,$N2626)&gt;0,1,0))</f>
        <v>0</v>
      </c>
      <c r="AB2626" s="37" t="str">
        <f aca="false">IF($N2626="","",IF(COUNTIF($N$8:$N2626,$N2626)=1,MAX($AB$7:$AB2625)+1,""))</f>
        <v/>
      </c>
    </row>
    <row r="2627" customFormat="false" ht="15" hidden="false" customHeight="false" outlineLevel="0" collapsed="false">
      <c r="L2627" s="37" t="str">
        <f aca="false">IF(INDEX($A2627:$J2627,$L$6)&lt;&gt;"",TRIM(LEFT(INDEX($A2627:$J2627,$L$6),FIND("(",INDEX($A2627:$J2627,$L$6)&amp;"(")-1)),L2626)</f>
        <v>Building Value Proposition</v>
      </c>
      <c r="M2627" s="37" t="str">
        <f aca="false">IF(INDEX($A2627:$J2627,$M$6)="","",INDEX($A2627:$J2627,$M$6)&amp;"")</f>
        <v/>
      </c>
      <c r="N2627" s="37" t="str">
        <f aca="false">IF($M2627="","",TRIM(INDEX($A2627:$J2627,$N$6)&amp;""))</f>
        <v/>
      </c>
      <c r="O2627" s="37" t="str">
        <f aca="false">IF($M2627="","",TRIM(INDEX($A2627:$J2627,$O$6)&amp;""))</f>
        <v/>
      </c>
      <c r="P2627" s="37" t="str">
        <f aca="false">IF($M2627="","",IFERROR(IF(INDEX(Settings!$B$41:$B$50,MATCH(O2627,Settings!$A$41:$A$50,0))&amp;""="","UNMAPPED",INDEX(Settings!$B$41:$B$50,MATCH(O2627,Settings!$A$41:$A$50,0))&amp;""),"UNMAPPED"))</f>
        <v/>
      </c>
      <c r="Q2627" s="38" t="n">
        <f aca="false">IF($M2627="",0,N(INDEX($A2627:$J2627,$Q$6)))</f>
        <v>0</v>
      </c>
      <c r="R2627" s="39" t="str">
        <f aca="false">IF($M2627="","",INDEX($A2627:$J2627,$R$6))</f>
        <v/>
      </c>
      <c r="S2627" s="37" t="str">
        <f aca="false">IF($M2627="","",IFERROR(INDEX(Settings!$B$27:$B$36,MATCH(L2627,Settings!$A$27:$A$36,0))&amp;"","UNMAPPED"))</f>
        <v/>
      </c>
      <c r="T2627" s="37" t="str">
        <f aca="false">IF($M2627="","",IF(NOT(ISNUMBER(R2627)),"NO DATE",IF(S2627="Won",IF(R2627&gt;Settings!$B$5,"Backlog","Delivered"),IF(S2627="Open",IF(R2627&gt;Settings!$B$5,"Pipeline","Overdue"),IF(S2627="Lost","Lost","UNMAPPED")))))</f>
        <v/>
      </c>
      <c r="U2627" s="40" t="n">
        <f aca="false">IF(T2627="Backlog",1,IF(OR(T2627="Pipeline",T2627="Overdue"),N(INDEX(Settings!$C$27:$C$36,MATCH(L2627,Settings!$A$27:$A$36,0))),0))</f>
        <v>0</v>
      </c>
      <c r="V2627" s="38" t="n">
        <f aca="false">Q2627*U2627</f>
        <v>0</v>
      </c>
      <c r="W2627" s="41" t="str">
        <f aca="false">IF($M2627="","",IF(T2627="Overdue",IF(Settings!$B$8="Yes",Settings!$B$7,""),IF(ISNUMBER(R2627),DATE(YEAR(R2627),MONTH(R2627),1),"")))</f>
        <v/>
      </c>
      <c r="X2627" s="38" t="n">
        <f aca="false">IF(AND(OR(T2627="Backlog",T2627="Pipeline",T2627="Overdue"),ISNUMBER(W2627)),IF(W2627&lt;=Settings!$B$6,V2627,0),0)</f>
        <v>0</v>
      </c>
      <c r="Y2627" s="38" t="n">
        <f aca="false">IF(AND(OR(T2627="Backlog",T2627="Pipeline",T2627="Overdue"),ISNUMBER(W2627)),IF(W2627&lt;=Settings!$B$6,Q2627,0),0)</f>
        <v>0</v>
      </c>
      <c r="Z2627" s="38" t="n">
        <f aca="false">IF(Y2627=0,0,IF(T2627="Backlog",Q2627,Q2627*Dashboard!$C$10))</f>
        <v>0</v>
      </c>
      <c r="AA2627" s="37" t="n">
        <f aca="false">IF($N2627="",0,IF(COUNTIF(Dashboard!$C$13:$C$22,$N2627)&gt;0,1,0))</f>
        <v>0</v>
      </c>
      <c r="AB2627" s="37" t="str">
        <f aca="false">IF($N2627="","",IF(COUNTIF($N$8:$N2627,$N2627)=1,MAX($AB$7:$AB2626)+1,""))</f>
        <v/>
      </c>
    </row>
    <row r="2628" customFormat="false" ht="15" hidden="false" customHeight="false" outlineLevel="0" collapsed="false">
      <c r="L2628" s="37" t="str">
        <f aca="false">IF(INDEX($A2628:$J2628,$L$6)&lt;&gt;"",TRIM(LEFT(INDEX($A2628:$J2628,$L$6),FIND("(",INDEX($A2628:$J2628,$L$6)&amp;"(")-1)),L2627)</f>
        <v>Building Value Proposition</v>
      </c>
      <c r="M2628" s="37" t="str">
        <f aca="false">IF(INDEX($A2628:$J2628,$M$6)="","",INDEX($A2628:$J2628,$M$6)&amp;"")</f>
        <v/>
      </c>
      <c r="N2628" s="37" t="str">
        <f aca="false">IF($M2628="","",TRIM(INDEX($A2628:$J2628,$N$6)&amp;""))</f>
        <v/>
      </c>
      <c r="O2628" s="37" t="str">
        <f aca="false">IF($M2628="","",TRIM(INDEX($A2628:$J2628,$O$6)&amp;""))</f>
        <v/>
      </c>
      <c r="P2628" s="37" t="str">
        <f aca="false">IF($M2628="","",IFERROR(IF(INDEX(Settings!$B$41:$B$50,MATCH(O2628,Settings!$A$41:$A$50,0))&amp;""="","UNMAPPED",INDEX(Settings!$B$41:$B$50,MATCH(O2628,Settings!$A$41:$A$50,0))&amp;""),"UNMAPPED"))</f>
        <v/>
      </c>
      <c r="Q2628" s="38" t="n">
        <f aca="false">IF($M2628="",0,N(INDEX($A2628:$J2628,$Q$6)))</f>
        <v>0</v>
      </c>
      <c r="R2628" s="39" t="str">
        <f aca="false">IF($M2628="","",INDEX($A2628:$J2628,$R$6))</f>
        <v/>
      </c>
      <c r="S2628" s="37" t="str">
        <f aca="false">IF($M2628="","",IFERROR(INDEX(Settings!$B$27:$B$36,MATCH(L2628,Settings!$A$27:$A$36,0))&amp;"","UNMAPPED"))</f>
        <v/>
      </c>
      <c r="T2628" s="37" t="str">
        <f aca="false">IF($M2628="","",IF(NOT(ISNUMBER(R2628)),"NO DATE",IF(S2628="Won",IF(R2628&gt;Settings!$B$5,"Backlog","Delivered"),IF(S2628="Open",IF(R2628&gt;Settings!$B$5,"Pipeline","Overdue"),IF(S2628="Lost","Lost","UNMAPPED")))))</f>
        <v/>
      </c>
      <c r="U2628" s="40" t="n">
        <f aca="false">IF(T2628="Backlog",1,IF(OR(T2628="Pipeline",T2628="Overdue"),N(INDEX(Settings!$C$27:$C$36,MATCH(L2628,Settings!$A$27:$A$36,0))),0))</f>
        <v>0</v>
      </c>
      <c r="V2628" s="38" t="n">
        <f aca="false">Q2628*U2628</f>
        <v>0</v>
      </c>
      <c r="W2628" s="41" t="str">
        <f aca="false">IF($M2628="","",IF(T2628="Overdue",IF(Settings!$B$8="Yes",Settings!$B$7,""),IF(ISNUMBER(R2628),DATE(YEAR(R2628),MONTH(R2628),1),"")))</f>
        <v/>
      </c>
      <c r="X2628" s="38" t="n">
        <f aca="false">IF(AND(OR(T2628="Backlog",T2628="Pipeline",T2628="Overdue"),ISNUMBER(W2628)),IF(W2628&lt;=Settings!$B$6,V2628,0),0)</f>
        <v>0</v>
      </c>
      <c r="Y2628" s="38" t="n">
        <f aca="false">IF(AND(OR(T2628="Backlog",T2628="Pipeline",T2628="Overdue"),ISNUMBER(W2628)),IF(W2628&lt;=Settings!$B$6,Q2628,0),0)</f>
        <v>0</v>
      </c>
      <c r="Z2628" s="38" t="n">
        <f aca="false">IF(Y2628=0,0,IF(T2628="Backlog",Q2628,Q2628*Dashboard!$C$10))</f>
        <v>0</v>
      </c>
      <c r="AA2628" s="37" t="n">
        <f aca="false">IF($N2628="",0,IF(COUNTIF(Dashboard!$C$13:$C$22,$N2628)&gt;0,1,0))</f>
        <v>0</v>
      </c>
      <c r="AB2628" s="37" t="str">
        <f aca="false">IF($N2628="","",IF(COUNTIF($N$8:$N2628,$N2628)=1,MAX($AB$7:$AB2627)+1,""))</f>
        <v/>
      </c>
    </row>
    <row r="2629" customFormat="false" ht="15" hidden="false" customHeight="false" outlineLevel="0" collapsed="false">
      <c r="L2629" s="37" t="str">
        <f aca="false">IF(INDEX($A2629:$J2629,$L$6)&lt;&gt;"",TRIM(LEFT(INDEX($A2629:$J2629,$L$6),FIND("(",INDEX($A2629:$J2629,$L$6)&amp;"(")-1)),L2628)</f>
        <v>Building Value Proposition</v>
      </c>
      <c r="M2629" s="37" t="str">
        <f aca="false">IF(INDEX($A2629:$J2629,$M$6)="","",INDEX($A2629:$J2629,$M$6)&amp;"")</f>
        <v/>
      </c>
      <c r="N2629" s="37" t="str">
        <f aca="false">IF($M2629="","",TRIM(INDEX($A2629:$J2629,$N$6)&amp;""))</f>
        <v/>
      </c>
      <c r="O2629" s="37" t="str">
        <f aca="false">IF($M2629="","",TRIM(INDEX($A2629:$J2629,$O$6)&amp;""))</f>
        <v/>
      </c>
      <c r="P2629" s="37" t="str">
        <f aca="false">IF($M2629="","",IFERROR(IF(INDEX(Settings!$B$41:$B$50,MATCH(O2629,Settings!$A$41:$A$50,0))&amp;""="","UNMAPPED",INDEX(Settings!$B$41:$B$50,MATCH(O2629,Settings!$A$41:$A$50,0))&amp;""),"UNMAPPED"))</f>
        <v/>
      </c>
      <c r="Q2629" s="38" t="n">
        <f aca="false">IF($M2629="",0,N(INDEX($A2629:$J2629,$Q$6)))</f>
        <v>0</v>
      </c>
      <c r="R2629" s="39" t="str">
        <f aca="false">IF($M2629="","",INDEX($A2629:$J2629,$R$6))</f>
        <v/>
      </c>
      <c r="S2629" s="37" t="str">
        <f aca="false">IF($M2629="","",IFERROR(INDEX(Settings!$B$27:$B$36,MATCH(L2629,Settings!$A$27:$A$36,0))&amp;"","UNMAPPED"))</f>
        <v/>
      </c>
      <c r="T2629" s="37" t="str">
        <f aca="false">IF($M2629="","",IF(NOT(ISNUMBER(R2629)),"NO DATE",IF(S2629="Won",IF(R2629&gt;Settings!$B$5,"Backlog","Delivered"),IF(S2629="Open",IF(R2629&gt;Settings!$B$5,"Pipeline","Overdue"),IF(S2629="Lost","Lost","UNMAPPED")))))</f>
        <v/>
      </c>
      <c r="U2629" s="40" t="n">
        <f aca="false">IF(T2629="Backlog",1,IF(OR(T2629="Pipeline",T2629="Overdue"),N(INDEX(Settings!$C$27:$C$36,MATCH(L2629,Settings!$A$27:$A$36,0))),0))</f>
        <v>0</v>
      </c>
      <c r="V2629" s="38" t="n">
        <f aca="false">Q2629*U2629</f>
        <v>0</v>
      </c>
      <c r="W2629" s="41" t="str">
        <f aca="false">IF($M2629="","",IF(T2629="Overdue",IF(Settings!$B$8="Yes",Settings!$B$7,""),IF(ISNUMBER(R2629),DATE(YEAR(R2629),MONTH(R2629),1),"")))</f>
        <v/>
      </c>
      <c r="X2629" s="38" t="n">
        <f aca="false">IF(AND(OR(T2629="Backlog",T2629="Pipeline",T2629="Overdue"),ISNUMBER(W2629)),IF(W2629&lt;=Settings!$B$6,V2629,0),0)</f>
        <v>0</v>
      </c>
      <c r="Y2629" s="38" t="n">
        <f aca="false">IF(AND(OR(T2629="Backlog",T2629="Pipeline",T2629="Overdue"),ISNUMBER(W2629)),IF(W2629&lt;=Settings!$B$6,Q2629,0),0)</f>
        <v>0</v>
      </c>
      <c r="Z2629" s="38" t="n">
        <f aca="false">IF(Y2629=0,0,IF(T2629="Backlog",Q2629,Q2629*Dashboard!$C$10))</f>
        <v>0</v>
      </c>
      <c r="AA2629" s="37" t="n">
        <f aca="false">IF($N2629="",0,IF(COUNTIF(Dashboard!$C$13:$C$22,$N2629)&gt;0,1,0))</f>
        <v>0</v>
      </c>
      <c r="AB2629" s="37" t="str">
        <f aca="false">IF($N2629="","",IF(COUNTIF($N$8:$N2629,$N2629)=1,MAX($AB$7:$AB2628)+1,""))</f>
        <v/>
      </c>
    </row>
    <row r="2630" customFormat="false" ht="15" hidden="false" customHeight="false" outlineLevel="0" collapsed="false">
      <c r="L2630" s="37" t="str">
        <f aca="false">IF(INDEX($A2630:$J2630,$L$6)&lt;&gt;"",TRIM(LEFT(INDEX($A2630:$J2630,$L$6),FIND("(",INDEX($A2630:$J2630,$L$6)&amp;"(")-1)),L2629)</f>
        <v>Building Value Proposition</v>
      </c>
      <c r="M2630" s="37" t="str">
        <f aca="false">IF(INDEX($A2630:$J2630,$M$6)="","",INDEX($A2630:$J2630,$M$6)&amp;"")</f>
        <v/>
      </c>
      <c r="N2630" s="37" t="str">
        <f aca="false">IF($M2630="","",TRIM(INDEX($A2630:$J2630,$N$6)&amp;""))</f>
        <v/>
      </c>
      <c r="O2630" s="37" t="str">
        <f aca="false">IF($M2630="","",TRIM(INDEX($A2630:$J2630,$O$6)&amp;""))</f>
        <v/>
      </c>
      <c r="P2630" s="37" t="str">
        <f aca="false">IF($M2630="","",IFERROR(IF(INDEX(Settings!$B$41:$B$50,MATCH(O2630,Settings!$A$41:$A$50,0))&amp;""="","UNMAPPED",INDEX(Settings!$B$41:$B$50,MATCH(O2630,Settings!$A$41:$A$50,0))&amp;""),"UNMAPPED"))</f>
        <v/>
      </c>
      <c r="Q2630" s="38" t="n">
        <f aca="false">IF($M2630="",0,N(INDEX($A2630:$J2630,$Q$6)))</f>
        <v>0</v>
      </c>
      <c r="R2630" s="39" t="str">
        <f aca="false">IF($M2630="","",INDEX($A2630:$J2630,$R$6))</f>
        <v/>
      </c>
      <c r="S2630" s="37" t="str">
        <f aca="false">IF($M2630="","",IFERROR(INDEX(Settings!$B$27:$B$36,MATCH(L2630,Settings!$A$27:$A$36,0))&amp;"","UNMAPPED"))</f>
        <v/>
      </c>
      <c r="T2630" s="37" t="str">
        <f aca="false">IF($M2630="","",IF(NOT(ISNUMBER(R2630)),"NO DATE",IF(S2630="Won",IF(R2630&gt;Settings!$B$5,"Backlog","Delivered"),IF(S2630="Open",IF(R2630&gt;Settings!$B$5,"Pipeline","Overdue"),IF(S2630="Lost","Lost","UNMAPPED")))))</f>
        <v/>
      </c>
      <c r="U2630" s="40" t="n">
        <f aca="false">IF(T2630="Backlog",1,IF(OR(T2630="Pipeline",T2630="Overdue"),N(INDEX(Settings!$C$27:$C$36,MATCH(L2630,Settings!$A$27:$A$36,0))),0))</f>
        <v>0</v>
      </c>
      <c r="V2630" s="38" t="n">
        <f aca="false">Q2630*U2630</f>
        <v>0</v>
      </c>
      <c r="W2630" s="41" t="str">
        <f aca="false">IF($M2630="","",IF(T2630="Overdue",IF(Settings!$B$8="Yes",Settings!$B$7,""),IF(ISNUMBER(R2630),DATE(YEAR(R2630),MONTH(R2630),1),"")))</f>
        <v/>
      </c>
      <c r="X2630" s="38" t="n">
        <f aca="false">IF(AND(OR(T2630="Backlog",T2630="Pipeline",T2630="Overdue"),ISNUMBER(W2630)),IF(W2630&lt;=Settings!$B$6,V2630,0),0)</f>
        <v>0</v>
      </c>
      <c r="Y2630" s="38" t="n">
        <f aca="false">IF(AND(OR(T2630="Backlog",T2630="Pipeline",T2630="Overdue"),ISNUMBER(W2630)),IF(W2630&lt;=Settings!$B$6,Q2630,0),0)</f>
        <v>0</v>
      </c>
      <c r="Z2630" s="38" t="n">
        <f aca="false">IF(Y2630=0,0,IF(T2630="Backlog",Q2630,Q2630*Dashboard!$C$10))</f>
        <v>0</v>
      </c>
      <c r="AA2630" s="37" t="n">
        <f aca="false">IF($N2630="",0,IF(COUNTIF(Dashboard!$C$13:$C$22,$N2630)&gt;0,1,0))</f>
        <v>0</v>
      </c>
      <c r="AB2630" s="37" t="str">
        <f aca="false">IF($N2630="","",IF(COUNTIF($N$8:$N2630,$N2630)=1,MAX($AB$7:$AB2629)+1,""))</f>
        <v/>
      </c>
    </row>
    <row r="2631" customFormat="false" ht="15" hidden="false" customHeight="false" outlineLevel="0" collapsed="false">
      <c r="L2631" s="37" t="str">
        <f aca="false">IF(INDEX($A2631:$J2631,$L$6)&lt;&gt;"",TRIM(LEFT(INDEX($A2631:$J2631,$L$6),FIND("(",INDEX($A2631:$J2631,$L$6)&amp;"(")-1)),L2630)</f>
        <v>Building Value Proposition</v>
      </c>
      <c r="M2631" s="37" t="str">
        <f aca="false">IF(INDEX($A2631:$J2631,$M$6)="","",INDEX($A2631:$J2631,$M$6)&amp;"")</f>
        <v/>
      </c>
      <c r="N2631" s="37" t="str">
        <f aca="false">IF($M2631="","",TRIM(INDEX($A2631:$J2631,$N$6)&amp;""))</f>
        <v/>
      </c>
      <c r="O2631" s="37" t="str">
        <f aca="false">IF($M2631="","",TRIM(INDEX($A2631:$J2631,$O$6)&amp;""))</f>
        <v/>
      </c>
      <c r="P2631" s="37" t="str">
        <f aca="false">IF($M2631="","",IFERROR(IF(INDEX(Settings!$B$41:$B$50,MATCH(O2631,Settings!$A$41:$A$50,0))&amp;""="","UNMAPPED",INDEX(Settings!$B$41:$B$50,MATCH(O2631,Settings!$A$41:$A$50,0))&amp;""),"UNMAPPED"))</f>
        <v/>
      </c>
      <c r="Q2631" s="38" t="n">
        <f aca="false">IF($M2631="",0,N(INDEX($A2631:$J2631,$Q$6)))</f>
        <v>0</v>
      </c>
      <c r="R2631" s="39" t="str">
        <f aca="false">IF($M2631="","",INDEX($A2631:$J2631,$R$6))</f>
        <v/>
      </c>
      <c r="S2631" s="37" t="str">
        <f aca="false">IF($M2631="","",IFERROR(INDEX(Settings!$B$27:$B$36,MATCH(L2631,Settings!$A$27:$A$36,0))&amp;"","UNMAPPED"))</f>
        <v/>
      </c>
      <c r="T2631" s="37" t="str">
        <f aca="false">IF($M2631="","",IF(NOT(ISNUMBER(R2631)),"NO DATE",IF(S2631="Won",IF(R2631&gt;Settings!$B$5,"Backlog","Delivered"),IF(S2631="Open",IF(R2631&gt;Settings!$B$5,"Pipeline","Overdue"),IF(S2631="Lost","Lost","UNMAPPED")))))</f>
        <v/>
      </c>
      <c r="U2631" s="40" t="n">
        <f aca="false">IF(T2631="Backlog",1,IF(OR(T2631="Pipeline",T2631="Overdue"),N(INDEX(Settings!$C$27:$C$36,MATCH(L2631,Settings!$A$27:$A$36,0))),0))</f>
        <v>0</v>
      </c>
      <c r="V2631" s="38" t="n">
        <f aca="false">Q2631*U2631</f>
        <v>0</v>
      </c>
      <c r="W2631" s="41" t="str">
        <f aca="false">IF($M2631="","",IF(T2631="Overdue",IF(Settings!$B$8="Yes",Settings!$B$7,""),IF(ISNUMBER(R2631),DATE(YEAR(R2631),MONTH(R2631),1),"")))</f>
        <v/>
      </c>
      <c r="X2631" s="38" t="n">
        <f aca="false">IF(AND(OR(T2631="Backlog",T2631="Pipeline",T2631="Overdue"),ISNUMBER(W2631)),IF(W2631&lt;=Settings!$B$6,V2631,0),0)</f>
        <v>0</v>
      </c>
      <c r="Y2631" s="38" t="n">
        <f aca="false">IF(AND(OR(T2631="Backlog",T2631="Pipeline",T2631="Overdue"),ISNUMBER(W2631)),IF(W2631&lt;=Settings!$B$6,Q2631,0),0)</f>
        <v>0</v>
      </c>
      <c r="Z2631" s="38" t="n">
        <f aca="false">IF(Y2631=0,0,IF(T2631="Backlog",Q2631,Q2631*Dashboard!$C$10))</f>
        <v>0</v>
      </c>
      <c r="AA2631" s="37" t="n">
        <f aca="false">IF($N2631="",0,IF(COUNTIF(Dashboard!$C$13:$C$22,$N2631)&gt;0,1,0))</f>
        <v>0</v>
      </c>
      <c r="AB2631" s="37" t="str">
        <f aca="false">IF($N2631="","",IF(COUNTIF($N$8:$N2631,$N2631)=1,MAX($AB$7:$AB2630)+1,""))</f>
        <v/>
      </c>
    </row>
    <row r="2632" customFormat="false" ht="15" hidden="false" customHeight="false" outlineLevel="0" collapsed="false">
      <c r="L2632" s="37" t="str">
        <f aca="false">IF(INDEX($A2632:$J2632,$L$6)&lt;&gt;"",TRIM(LEFT(INDEX($A2632:$J2632,$L$6),FIND("(",INDEX($A2632:$J2632,$L$6)&amp;"(")-1)),L2631)</f>
        <v>Building Value Proposition</v>
      </c>
      <c r="M2632" s="37" t="str">
        <f aca="false">IF(INDEX($A2632:$J2632,$M$6)="","",INDEX($A2632:$J2632,$M$6)&amp;"")</f>
        <v/>
      </c>
      <c r="N2632" s="37" t="str">
        <f aca="false">IF($M2632="","",TRIM(INDEX($A2632:$J2632,$N$6)&amp;""))</f>
        <v/>
      </c>
      <c r="O2632" s="37" t="str">
        <f aca="false">IF($M2632="","",TRIM(INDEX($A2632:$J2632,$O$6)&amp;""))</f>
        <v/>
      </c>
      <c r="P2632" s="37" t="str">
        <f aca="false">IF($M2632="","",IFERROR(IF(INDEX(Settings!$B$41:$B$50,MATCH(O2632,Settings!$A$41:$A$50,0))&amp;""="","UNMAPPED",INDEX(Settings!$B$41:$B$50,MATCH(O2632,Settings!$A$41:$A$50,0))&amp;""),"UNMAPPED"))</f>
        <v/>
      </c>
      <c r="Q2632" s="38" t="n">
        <f aca="false">IF($M2632="",0,N(INDEX($A2632:$J2632,$Q$6)))</f>
        <v>0</v>
      </c>
      <c r="R2632" s="39" t="str">
        <f aca="false">IF($M2632="","",INDEX($A2632:$J2632,$R$6))</f>
        <v/>
      </c>
      <c r="S2632" s="37" t="str">
        <f aca="false">IF($M2632="","",IFERROR(INDEX(Settings!$B$27:$B$36,MATCH(L2632,Settings!$A$27:$A$36,0))&amp;"","UNMAPPED"))</f>
        <v/>
      </c>
      <c r="T2632" s="37" t="str">
        <f aca="false">IF($M2632="","",IF(NOT(ISNUMBER(R2632)),"NO DATE",IF(S2632="Won",IF(R2632&gt;Settings!$B$5,"Backlog","Delivered"),IF(S2632="Open",IF(R2632&gt;Settings!$B$5,"Pipeline","Overdue"),IF(S2632="Lost","Lost","UNMAPPED")))))</f>
        <v/>
      </c>
      <c r="U2632" s="40" t="n">
        <f aca="false">IF(T2632="Backlog",1,IF(OR(T2632="Pipeline",T2632="Overdue"),N(INDEX(Settings!$C$27:$C$36,MATCH(L2632,Settings!$A$27:$A$36,0))),0))</f>
        <v>0</v>
      </c>
      <c r="V2632" s="38" t="n">
        <f aca="false">Q2632*U2632</f>
        <v>0</v>
      </c>
      <c r="W2632" s="41" t="str">
        <f aca="false">IF($M2632="","",IF(T2632="Overdue",IF(Settings!$B$8="Yes",Settings!$B$7,""),IF(ISNUMBER(R2632),DATE(YEAR(R2632),MONTH(R2632),1),"")))</f>
        <v/>
      </c>
      <c r="X2632" s="38" t="n">
        <f aca="false">IF(AND(OR(T2632="Backlog",T2632="Pipeline",T2632="Overdue"),ISNUMBER(W2632)),IF(W2632&lt;=Settings!$B$6,V2632,0),0)</f>
        <v>0</v>
      </c>
      <c r="Y2632" s="38" t="n">
        <f aca="false">IF(AND(OR(T2632="Backlog",T2632="Pipeline",T2632="Overdue"),ISNUMBER(W2632)),IF(W2632&lt;=Settings!$B$6,Q2632,0),0)</f>
        <v>0</v>
      </c>
      <c r="Z2632" s="38" t="n">
        <f aca="false">IF(Y2632=0,0,IF(T2632="Backlog",Q2632,Q2632*Dashboard!$C$10))</f>
        <v>0</v>
      </c>
      <c r="AA2632" s="37" t="n">
        <f aca="false">IF($N2632="",0,IF(COUNTIF(Dashboard!$C$13:$C$22,$N2632)&gt;0,1,0))</f>
        <v>0</v>
      </c>
      <c r="AB2632" s="37" t="str">
        <f aca="false">IF($N2632="","",IF(COUNTIF($N$8:$N2632,$N2632)=1,MAX($AB$7:$AB2631)+1,""))</f>
        <v/>
      </c>
    </row>
    <row r="2633" customFormat="false" ht="15" hidden="false" customHeight="false" outlineLevel="0" collapsed="false">
      <c r="L2633" s="37" t="str">
        <f aca="false">IF(INDEX($A2633:$J2633,$L$6)&lt;&gt;"",TRIM(LEFT(INDEX($A2633:$J2633,$L$6),FIND("(",INDEX($A2633:$J2633,$L$6)&amp;"(")-1)),L2632)</f>
        <v>Building Value Proposition</v>
      </c>
      <c r="M2633" s="37" t="str">
        <f aca="false">IF(INDEX($A2633:$J2633,$M$6)="","",INDEX($A2633:$J2633,$M$6)&amp;"")</f>
        <v/>
      </c>
      <c r="N2633" s="37" t="str">
        <f aca="false">IF($M2633="","",TRIM(INDEX($A2633:$J2633,$N$6)&amp;""))</f>
        <v/>
      </c>
      <c r="O2633" s="37" t="str">
        <f aca="false">IF($M2633="","",TRIM(INDEX($A2633:$J2633,$O$6)&amp;""))</f>
        <v/>
      </c>
      <c r="P2633" s="37" t="str">
        <f aca="false">IF($M2633="","",IFERROR(IF(INDEX(Settings!$B$41:$B$50,MATCH(O2633,Settings!$A$41:$A$50,0))&amp;""="","UNMAPPED",INDEX(Settings!$B$41:$B$50,MATCH(O2633,Settings!$A$41:$A$50,0))&amp;""),"UNMAPPED"))</f>
        <v/>
      </c>
      <c r="Q2633" s="38" t="n">
        <f aca="false">IF($M2633="",0,N(INDEX($A2633:$J2633,$Q$6)))</f>
        <v>0</v>
      </c>
      <c r="R2633" s="39" t="str">
        <f aca="false">IF($M2633="","",INDEX($A2633:$J2633,$R$6))</f>
        <v/>
      </c>
      <c r="S2633" s="37" t="str">
        <f aca="false">IF($M2633="","",IFERROR(INDEX(Settings!$B$27:$B$36,MATCH(L2633,Settings!$A$27:$A$36,0))&amp;"","UNMAPPED"))</f>
        <v/>
      </c>
      <c r="T2633" s="37" t="str">
        <f aca="false">IF($M2633="","",IF(NOT(ISNUMBER(R2633)),"NO DATE",IF(S2633="Won",IF(R2633&gt;Settings!$B$5,"Backlog","Delivered"),IF(S2633="Open",IF(R2633&gt;Settings!$B$5,"Pipeline","Overdue"),IF(S2633="Lost","Lost","UNMAPPED")))))</f>
        <v/>
      </c>
      <c r="U2633" s="40" t="n">
        <f aca="false">IF(T2633="Backlog",1,IF(OR(T2633="Pipeline",T2633="Overdue"),N(INDEX(Settings!$C$27:$C$36,MATCH(L2633,Settings!$A$27:$A$36,0))),0))</f>
        <v>0</v>
      </c>
      <c r="V2633" s="38" t="n">
        <f aca="false">Q2633*U2633</f>
        <v>0</v>
      </c>
      <c r="W2633" s="41" t="str">
        <f aca="false">IF($M2633="","",IF(T2633="Overdue",IF(Settings!$B$8="Yes",Settings!$B$7,""),IF(ISNUMBER(R2633),DATE(YEAR(R2633),MONTH(R2633),1),"")))</f>
        <v/>
      </c>
      <c r="X2633" s="38" t="n">
        <f aca="false">IF(AND(OR(T2633="Backlog",T2633="Pipeline",T2633="Overdue"),ISNUMBER(W2633)),IF(W2633&lt;=Settings!$B$6,V2633,0),0)</f>
        <v>0</v>
      </c>
      <c r="Y2633" s="38" t="n">
        <f aca="false">IF(AND(OR(T2633="Backlog",T2633="Pipeline",T2633="Overdue"),ISNUMBER(W2633)),IF(W2633&lt;=Settings!$B$6,Q2633,0),0)</f>
        <v>0</v>
      </c>
      <c r="Z2633" s="38" t="n">
        <f aca="false">IF(Y2633=0,0,IF(T2633="Backlog",Q2633,Q2633*Dashboard!$C$10))</f>
        <v>0</v>
      </c>
      <c r="AA2633" s="37" t="n">
        <f aca="false">IF($N2633="",0,IF(COUNTIF(Dashboard!$C$13:$C$22,$N2633)&gt;0,1,0))</f>
        <v>0</v>
      </c>
      <c r="AB2633" s="37" t="str">
        <f aca="false">IF($N2633="","",IF(COUNTIF($N$8:$N2633,$N2633)=1,MAX($AB$7:$AB2632)+1,""))</f>
        <v/>
      </c>
    </row>
    <row r="2634" customFormat="false" ht="15" hidden="false" customHeight="false" outlineLevel="0" collapsed="false">
      <c r="L2634" s="37" t="str">
        <f aca="false">IF(INDEX($A2634:$J2634,$L$6)&lt;&gt;"",TRIM(LEFT(INDEX($A2634:$J2634,$L$6),FIND("(",INDEX($A2634:$J2634,$L$6)&amp;"(")-1)),L2633)</f>
        <v>Building Value Proposition</v>
      </c>
      <c r="M2634" s="37" t="str">
        <f aca="false">IF(INDEX($A2634:$J2634,$M$6)="","",INDEX($A2634:$J2634,$M$6)&amp;"")</f>
        <v/>
      </c>
      <c r="N2634" s="37" t="str">
        <f aca="false">IF($M2634="","",TRIM(INDEX($A2634:$J2634,$N$6)&amp;""))</f>
        <v/>
      </c>
      <c r="O2634" s="37" t="str">
        <f aca="false">IF($M2634="","",TRIM(INDEX($A2634:$J2634,$O$6)&amp;""))</f>
        <v/>
      </c>
      <c r="P2634" s="37" t="str">
        <f aca="false">IF($M2634="","",IFERROR(IF(INDEX(Settings!$B$41:$B$50,MATCH(O2634,Settings!$A$41:$A$50,0))&amp;""="","UNMAPPED",INDEX(Settings!$B$41:$B$50,MATCH(O2634,Settings!$A$41:$A$50,0))&amp;""),"UNMAPPED"))</f>
        <v/>
      </c>
      <c r="Q2634" s="38" t="n">
        <f aca="false">IF($M2634="",0,N(INDEX($A2634:$J2634,$Q$6)))</f>
        <v>0</v>
      </c>
      <c r="R2634" s="39" t="str">
        <f aca="false">IF($M2634="","",INDEX($A2634:$J2634,$R$6))</f>
        <v/>
      </c>
      <c r="S2634" s="37" t="str">
        <f aca="false">IF($M2634="","",IFERROR(INDEX(Settings!$B$27:$B$36,MATCH(L2634,Settings!$A$27:$A$36,0))&amp;"","UNMAPPED"))</f>
        <v/>
      </c>
      <c r="T2634" s="37" t="str">
        <f aca="false">IF($M2634="","",IF(NOT(ISNUMBER(R2634)),"NO DATE",IF(S2634="Won",IF(R2634&gt;Settings!$B$5,"Backlog","Delivered"),IF(S2634="Open",IF(R2634&gt;Settings!$B$5,"Pipeline","Overdue"),IF(S2634="Lost","Lost","UNMAPPED")))))</f>
        <v/>
      </c>
      <c r="U2634" s="40" t="n">
        <f aca="false">IF(T2634="Backlog",1,IF(OR(T2634="Pipeline",T2634="Overdue"),N(INDEX(Settings!$C$27:$C$36,MATCH(L2634,Settings!$A$27:$A$36,0))),0))</f>
        <v>0</v>
      </c>
      <c r="V2634" s="38" t="n">
        <f aca="false">Q2634*U2634</f>
        <v>0</v>
      </c>
      <c r="W2634" s="41" t="str">
        <f aca="false">IF($M2634="","",IF(T2634="Overdue",IF(Settings!$B$8="Yes",Settings!$B$7,""),IF(ISNUMBER(R2634),DATE(YEAR(R2634),MONTH(R2634),1),"")))</f>
        <v/>
      </c>
      <c r="X2634" s="38" t="n">
        <f aca="false">IF(AND(OR(T2634="Backlog",T2634="Pipeline",T2634="Overdue"),ISNUMBER(W2634)),IF(W2634&lt;=Settings!$B$6,V2634,0),0)</f>
        <v>0</v>
      </c>
      <c r="Y2634" s="38" t="n">
        <f aca="false">IF(AND(OR(T2634="Backlog",T2634="Pipeline",T2634="Overdue"),ISNUMBER(W2634)),IF(W2634&lt;=Settings!$B$6,Q2634,0),0)</f>
        <v>0</v>
      </c>
      <c r="Z2634" s="38" t="n">
        <f aca="false">IF(Y2634=0,0,IF(T2634="Backlog",Q2634,Q2634*Dashboard!$C$10))</f>
        <v>0</v>
      </c>
      <c r="AA2634" s="37" t="n">
        <f aca="false">IF($N2634="",0,IF(COUNTIF(Dashboard!$C$13:$C$22,$N2634)&gt;0,1,0))</f>
        <v>0</v>
      </c>
      <c r="AB2634" s="37" t="str">
        <f aca="false">IF($N2634="","",IF(COUNTIF($N$8:$N2634,$N2634)=1,MAX($AB$7:$AB2633)+1,""))</f>
        <v/>
      </c>
    </row>
    <row r="2635" customFormat="false" ht="15" hidden="false" customHeight="false" outlineLevel="0" collapsed="false">
      <c r="L2635" s="37" t="str">
        <f aca="false">IF(INDEX($A2635:$J2635,$L$6)&lt;&gt;"",TRIM(LEFT(INDEX($A2635:$J2635,$L$6),FIND("(",INDEX($A2635:$J2635,$L$6)&amp;"(")-1)),L2634)</f>
        <v>Building Value Proposition</v>
      </c>
      <c r="M2635" s="37" t="str">
        <f aca="false">IF(INDEX($A2635:$J2635,$M$6)="","",INDEX($A2635:$J2635,$M$6)&amp;"")</f>
        <v/>
      </c>
      <c r="N2635" s="37" t="str">
        <f aca="false">IF($M2635="","",TRIM(INDEX($A2635:$J2635,$N$6)&amp;""))</f>
        <v/>
      </c>
      <c r="O2635" s="37" t="str">
        <f aca="false">IF($M2635="","",TRIM(INDEX($A2635:$J2635,$O$6)&amp;""))</f>
        <v/>
      </c>
      <c r="P2635" s="37" t="str">
        <f aca="false">IF($M2635="","",IFERROR(IF(INDEX(Settings!$B$41:$B$50,MATCH(O2635,Settings!$A$41:$A$50,0))&amp;""="","UNMAPPED",INDEX(Settings!$B$41:$B$50,MATCH(O2635,Settings!$A$41:$A$50,0))&amp;""),"UNMAPPED"))</f>
        <v/>
      </c>
      <c r="Q2635" s="38" t="n">
        <f aca="false">IF($M2635="",0,N(INDEX($A2635:$J2635,$Q$6)))</f>
        <v>0</v>
      </c>
      <c r="R2635" s="39" t="str">
        <f aca="false">IF($M2635="","",INDEX($A2635:$J2635,$R$6))</f>
        <v/>
      </c>
      <c r="S2635" s="37" t="str">
        <f aca="false">IF($M2635="","",IFERROR(INDEX(Settings!$B$27:$B$36,MATCH(L2635,Settings!$A$27:$A$36,0))&amp;"","UNMAPPED"))</f>
        <v/>
      </c>
      <c r="T2635" s="37" t="str">
        <f aca="false">IF($M2635="","",IF(NOT(ISNUMBER(R2635)),"NO DATE",IF(S2635="Won",IF(R2635&gt;Settings!$B$5,"Backlog","Delivered"),IF(S2635="Open",IF(R2635&gt;Settings!$B$5,"Pipeline","Overdue"),IF(S2635="Lost","Lost","UNMAPPED")))))</f>
        <v/>
      </c>
      <c r="U2635" s="40" t="n">
        <f aca="false">IF(T2635="Backlog",1,IF(OR(T2635="Pipeline",T2635="Overdue"),N(INDEX(Settings!$C$27:$C$36,MATCH(L2635,Settings!$A$27:$A$36,0))),0))</f>
        <v>0</v>
      </c>
      <c r="V2635" s="38" t="n">
        <f aca="false">Q2635*U2635</f>
        <v>0</v>
      </c>
      <c r="W2635" s="41" t="str">
        <f aca="false">IF($M2635="","",IF(T2635="Overdue",IF(Settings!$B$8="Yes",Settings!$B$7,""),IF(ISNUMBER(R2635),DATE(YEAR(R2635),MONTH(R2635),1),"")))</f>
        <v/>
      </c>
      <c r="X2635" s="38" t="n">
        <f aca="false">IF(AND(OR(T2635="Backlog",T2635="Pipeline",T2635="Overdue"),ISNUMBER(W2635)),IF(W2635&lt;=Settings!$B$6,V2635,0),0)</f>
        <v>0</v>
      </c>
      <c r="Y2635" s="38" t="n">
        <f aca="false">IF(AND(OR(T2635="Backlog",T2635="Pipeline",T2635="Overdue"),ISNUMBER(W2635)),IF(W2635&lt;=Settings!$B$6,Q2635,0),0)</f>
        <v>0</v>
      </c>
      <c r="Z2635" s="38" t="n">
        <f aca="false">IF(Y2635=0,0,IF(T2635="Backlog",Q2635,Q2635*Dashboard!$C$10))</f>
        <v>0</v>
      </c>
      <c r="AA2635" s="37" t="n">
        <f aca="false">IF($N2635="",0,IF(COUNTIF(Dashboard!$C$13:$C$22,$N2635)&gt;0,1,0))</f>
        <v>0</v>
      </c>
      <c r="AB2635" s="37" t="str">
        <f aca="false">IF($N2635="","",IF(COUNTIF($N$8:$N2635,$N2635)=1,MAX($AB$7:$AB2634)+1,""))</f>
        <v/>
      </c>
    </row>
    <row r="2636" customFormat="false" ht="15" hidden="false" customHeight="false" outlineLevel="0" collapsed="false">
      <c r="L2636" s="37" t="str">
        <f aca="false">IF(INDEX($A2636:$J2636,$L$6)&lt;&gt;"",TRIM(LEFT(INDEX($A2636:$J2636,$L$6),FIND("(",INDEX($A2636:$J2636,$L$6)&amp;"(")-1)),L2635)</f>
        <v>Building Value Proposition</v>
      </c>
      <c r="M2636" s="37" t="str">
        <f aca="false">IF(INDEX($A2636:$J2636,$M$6)="","",INDEX($A2636:$J2636,$M$6)&amp;"")</f>
        <v/>
      </c>
      <c r="N2636" s="37" t="str">
        <f aca="false">IF($M2636="","",TRIM(INDEX($A2636:$J2636,$N$6)&amp;""))</f>
        <v/>
      </c>
      <c r="O2636" s="37" t="str">
        <f aca="false">IF($M2636="","",TRIM(INDEX($A2636:$J2636,$O$6)&amp;""))</f>
        <v/>
      </c>
      <c r="P2636" s="37" t="str">
        <f aca="false">IF($M2636="","",IFERROR(IF(INDEX(Settings!$B$41:$B$50,MATCH(O2636,Settings!$A$41:$A$50,0))&amp;""="","UNMAPPED",INDEX(Settings!$B$41:$B$50,MATCH(O2636,Settings!$A$41:$A$50,0))&amp;""),"UNMAPPED"))</f>
        <v/>
      </c>
      <c r="Q2636" s="38" t="n">
        <f aca="false">IF($M2636="",0,N(INDEX($A2636:$J2636,$Q$6)))</f>
        <v>0</v>
      </c>
      <c r="R2636" s="39" t="str">
        <f aca="false">IF($M2636="","",INDEX($A2636:$J2636,$R$6))</f>
        <v/>
      </c>
      <c r="S2636" s="37" t="str">
        <f aca="false">IF($M2636="","",IFERROR(INDEX(Settings!$B$27:$B$36,MATCH(L2636,Settings!$A$27:$A$36,0))&amp;"","UNMAPPED"))</f>
        <v/>
      </c>
      <c r="T2636" s="37" t="str">
        <f aca="false">IF($M2636="","",IF(NOT(ISNUMBER(R2636)),"NO DATE",IF(S2636="Won",IF(R2636&gt;Settings!$B$5,"Backlog","Delivered"),IF(S2636="Open",IF(R2636&gt;Settings!$B$5,"Pipeline","Overdue"),IF(S2636="Lost","Lost","UNMAPPED")))))</f>
        <v/>
      </c>
      <c r="U2636" s="40" t="n">
        <f aca="false">IF(T2636="Backlog",1,IF(OR(T2636="Pipeline",T2636="Overdue"),N(INDEX(Settings!$C$27:$C$36,MATCH(L2636,Settings!$A$27:$A$36,0))),0))</f>
        <v>0</v>
      </c>
      <c r="V2636" s="38" t="n">
        <f aca="false">Q2636*U2636</f>
        <v>0</v>
      </c>
      <c r="W2636" s="41" t="str">
        <f aca="false">IF($M2636="","",IF(T2636="Overdue",IF(Settings!$B$8="Yes",Settings!$B$7,""),IF(ISNUMBER(R2636),DATE(YEAR(R2636),MONTH(R2636),1),"")))</f>
        <v/>
      </c>
      <c r="X2636" s="38" t="n">
        <f aca="false">IF(AND(OR(T2636="Backlog",T2636="Pipeline",T2636="Overdue"),ISNUMBER(W2636)),IF(W2636&lt;=Settings!$B$6,V2636,0),0)</f>
        <v>0</v>
      </c>
      <c r="Y2636" s="38" t="n">
        <f aca="false">IF(AND(OR(T2636="Backlog",T2636="Pipeline",T2636="Overdue"),ISNUMBER(W2636)),IF(W2636&lt;=Settings!$B$6,Q2636,0),0)</f>
        <v>0</v>
      </c>
      <c r="Z2636" s="38" t="n">
        <f aca="false">IF(Y2636=0,0,IF(T2636="Backlog",Q2636,Q2636*Dashboard!$C$10))</f>
        <v>0</v>
      </c>
      <c r="AA2636" s="37" t="n">
        <f aca="false">IF($N2636="",0,IF(COUNTIF(Dashboard!$C$13:$C$22,$N2636)&gt;0,1,0))</f>
        <v>0</v>
      </c>
      <c r="AB2636" s="37" t="str">
        <f aca="false">IF($N2636="","",IF(COUNTIF($N$8:$N2636,$N2636)=1,MAX($AB$7:$AB2635)+1,""))</f>
        <v/>
      </c>
    </row>
    <row r="2637" customFormat="false" ht="15" hidden="false" customHeight="false" outlineLevel="0" collapsed="false">
      <c r="L2637" s="37" t="str">
        <f aca="false">IF(INDEX($A2637:$J2637,$L$6)&lt;&gt;"",TRIM(LEFT(INDEX($A2637:$J2637,$L$6),FIND("(",INDEX($A2637:$J2637,$L$6)&amp;"(")-1)),L2636)</f>
        <v>Building Value Proposition</v>
      </c>
      <c r="M2637" s="37" t="str">
        <f aca="false">IF(INDEX($A2637:$J2637,$M$6)="","",INDEX($A2637:$J2637,$M$6)&amp;"")</f>
        <v/>
      </c>
      <c r="N2637" s="37" t="str">
        <f aca="false">IF($M2637="","",TRIM(INDEX($A2637:$J2637,$N$6)&amp;""))</f>
        <v/>
      </c>
      <c r="O2637" s="37" t="str">
        <f aca="false">IF($M2637="","",TRIM(INDEX($A2637:$J2637,$O$6)&amp;""))</f>
        <v/>
      </c>
      <c r="P2637" s="37" t="str">
        <f aca="false">IF($M2637="","",IFERROR(IF(INDEX(Settings!$B$41:$B$50,MATCH(O2637,Settings!$A$41:$A$50,0))&amp;""="","UNMAPPED",INDEX(Settings!$B$41:$B$50,MATCH(O2637,Settings!$A$41:$A$50,0))&amp;""),"UNMAPPED"))</f>
        <v/>
      </c>
      <c r="Q2637" s="38" t="n">
        <f aca="false">IF($M2637="",0,N(INDEX($A2637:$J2637,$Q$6)))</f>
        <v>0</v>
      </c>
      <c r="R2637" s="39" t="str">
        <f aca="false">IF($M2637="","",INDEX($A2637:$J2637,$R$6))</f>
        <v/>
      </c>
      <c r="S2637" s="37" t="str">
        <f aca="false">IF($M2637="","",IFERROR(INDEX(Settings!$B$27:$B$36,MATCH(L2637,Settings!$A$27:$A$36,0))&amp;"","UNMAPPED"))</f>
        <v/>
      </c>
      <c r="T2637" s="37" t="str">
        <f aca="false">IF($M2637="","",IF(NOT(ISNUMBER(R2637)),"NO DATE",IF(S2637="Won",IF(R2637&gt;Settings!$B$5,"Backlog","Delivered"),IF(S2637="Open",IF(R2637&gt;Settings!$B$5,"Pipeline","Overdue"),IF(S2637="Lost","Lost","UNMAPPED")))))</f>
        <v/>
      </c>
      <c r="U2637" s="40" t="n">
        <f aca="false">IF(T2637="Backlog",1,IF(OR(T2637="Pipeline",T2637="Overdue"),N(INDEX(Settings!$C$27:$C$36,MATCH(L2637,Settings!$A$27:$A$36,0))),0))</f>
        <v>0</v>
      </c>
      <c r="V2637" s="38" t="n">
        <f aca="false">Q2637*U2637</f>
        <v>0</v>
      </c>
      <c r="W2637" s="41" t="str">
        <f aca="false">IF($M2637="","",IF(T2637="Overdue",IF(Settings!$B$8="Yes",Settings!$B$7,""),IF(ISNUMBER(R2637),DATE(YEAR(R2637),MONTH(R2637),1),"")))</f>
        <v/>
      </c>
      <c r="X2637" s="38" t="n">
        <f aca="false">IF(AND(OR(T2637="Backlog",T2637="Pipeline",T2637="Overdue"),ISNUMBER(W2637)),IF(W2637&lt;=Settings!$B$6,V2637,0),0)</f>
        <v>0</v>
      </c>
      <c r="Y2637" s="38" t="n">
        <f aca="false">IF(AND(OR(T2637="Backlog",T2637="Pipeline",T2637="Overdue"),ISNUMBER(W2637)),IF(W2637&lt;=Settings!$B$6,Q2637,0),0)</f>
        <v>0</v>
      </c>
      <c r="Z2637" s="38" t="n">
        <f aca="false">IF(Y2637=0,0,IF(T2637="Backlog",Q2637,Q2637*Dashboard!$C$10))</f>
        <v>0</v>
      </c>
      <c r="AA2637" s="37" t="n">
        <f aca="false">IF($N2637="",0,IF(COUNTIF(Dashboard!$C$13:$C$22,$N2637)&gt;0,1,0))</f>
        <v>0</v>
      </c>
      <c r="AB2637" s="37" t="str">
        <f aca="false">IF($N2637="","",IF(COUNTIF($N$8:$N2637,$N2637)=1,MAX($AB$7:$AB2636)+1,""))</f>
        <v/>
      </c>
    </row>
    <row r="2638" customFormat="false" ht="15" hidden="false" customHeight="false" outlineLevel="0" collapsed="false">
      <c r="L2638" s="37" t="str">
        <f aca="false">IF(INDEX($A2638:$J2638,$L$6)&lt;&gt;"",TRIM(LEFT(INDEX($A2638:$J2638,$L$6),FIND("(",INDEX($A2638:$J2638,$L$6)&amp;"(")-1)),L2637)</f>
        <v>Building Value Proposition</v>
      </c>
      <c r="M2638" s="37" t="str">
        <f aca="false">IF(INDEX($A2638:$J2638,$M$6)="","",INDEX($A2638:$J2638,$M$6)&amp;"")</f>
        <v/>
      </c>
      <c r="N2638" s="37" t="str">
        <f aca="false">IF($M2638="","",TRIM(INDEX($A2638:$J2638,$N$6)&amp;""))</f>
        <v/>
      </c>
      <c r="O2638" s="37" t="str">
        <f aca="false">IF($M2638="","",TRIM(INDEX($A2638:$J2638,$O$6)&amp;""))</f>
        <v/>
      </c>
      <c r="P2638" s="37" t="str">
        <f aca="false">IF($M2638="","",IFERROR(IF(INDEX(Settings!$B$41:$B$50,MATCH(O2638,Settings!$A$41:$A$50,0))&amp;""="","UNMAPPED",INDEX(Settings!$B$41:$B$50,MATCH(O2638,Settings!$A$41:$A$50,0))&amp;""),"UNMAPPED"))</f>
        <v/>
      </c>
      <c r="Q2638" s="38" t="n">
        <f aca="false">IF($M2638="",0,N(INDEX($A2638:$J2638,$Q$6)))</f>
        <v>0</v>
      </c>
      <c r="R2638" s="39" t="str">
        <f aca="false">IF($M2638="","",INDEX($A2638:$J2638,$R$6))</f>
        <v/>
      </c>
      <c r="S2638" s="37" t="str">
        <f aca="false">IF($M2638="","",IFERROR(INDEX(Settings!$B$27:$B$36,MATCH(L2638,Settings!$A$27:$A$36,0))&amp;"","UNMAPPED"))</f>
        <v/>
      </c>
      <c r="T2638" s="37" t="str">
        <f aca="false">IF($M2638="","",IF(NOT(ISNUMBER(R2638)),"NO DATE",IF(S2638="Won",IF(R2638&gt;Settings!$B$5,"Backlog","Delivered"),IF(S2638="Open",IF(R2638&gt;Settings!$B$5,"Pipeline","Overdue"),IF(S2638="Lost","Lost","UNMAPPED")))))</f>
        <v/>
      </c>
      <c r="U2638" s="40" t="n">
        <f aca="false">IF(T2638="Backlog",1,IF(OR(T2638="Pipeline",T2638="Overdue"),N(INDEX(Settings!$C$27:$C$36,MATCH(L2638,Settings!$A$27:$A$36,0))),0))</f>
        <v>0</v>
      </c>
      <c r="V2638" s="38" t="n">
        <f aca="false">Q2638*U2638</f>
        <v>0</v>
      </c>
      <c r="W2638" s="41" t="str">
        <f aca="false">IF($M2638="","",IF(T2638="Overdue",IF(Settings!$B$8="Yes",Settings!$B$7,""),IF(ISNUMBER(R2638),DATE(YEAR(R2638),MONTH(R2638),1),"")))</f>
        <v/>
      </c>
      <c r="X2638" s="38" t="n">
        <f aca="false">IF(AND(OR(T2638="Backlog",T2638="Pipeline",T2638="Overdue"),ISNUMBER(W2638)),IF(W2638&lt;=Settings!$B$6,V2638,0),0)</f>
        <v>0</v>
      </c>
      <c r="Y2638" s="38" t="n">
        <f aca="false">IF(AND(OR(T2638="Backlog",T2638="Pipeline",T2638="Overdue"),ISNUMBER(W2638)),IF(W2638&lt;=Settings!$B$6,Q2638,0),0)</f>
        <v>0</v>
      </c>
      <c r="Z2638" s="38" t="n">
        <f aca="false">IF(Y2638=0,0,IF(T2638="Backlog",Q2638,Q2638*Dashboard!$C$10))</f>
        <v>0</v>
      </c>
      <c r="AA2638" s="37" t="n">
        <f aca="false">IF($N2638="",0,IF(COUNTIF(Dashboard!$C$13:$C$22,$N2638)&gt;0,1,0))</f>
        <v>0</v>
      </c>
      <c r="AB2638" s="37" t="str">
        <f aca="false">IF($N2638="","",IF(COUNTIF($N$8:$N2638,$N2638)=1,MAX($AB$7:$AB2637)+1,""))</f>
        <v/>
      </c>
    </row>
    <row r="2639" customFormat="false" ht="15" hidden="false" customHeight="false" outlineLevel="0" collapsed="false">
      <c r="L2639" s="37" t="str">
        <f aca="false">IF(INDEX($A2639:$J2639,$L$6)&lt;&gt;"",TRIM(LEFT(INDEX($A2639:$J2639,$L$6),FIND("(",INDEX($A2639:$J2639,$L$6)&amp;"(")-1)),L2638)</f>
        <v>Building Value Proposition</v>
      </c>
      <c r="M2639" s="37" t="str">
        <f aca="false">IF(INDEX($A2639:$J2639,$M$6)="","",INDEX($A2639:$J2639,$M$6)&amp;"")</f>
        <v/>
      </c>
      <c r="N2639" s="37" t="str">
        <f aca="false">IF($M2639="","",TRIM(INDEX($A2639:$J2639,$N$6)&amp;""))</f>
        <v/>
      </c>
      <c r="O2639" s="37" t="str">
        <f aca="false">IF($M2639="","",TRIM(INDEX($A2639:$J2639,$O$6)&amp;""))</f>
        <v/>
      </c>
      <c r="P2639" s="37" t="str">
        <f aca="false">IF($M2639="","",IFERROR(IF(INDEX(Settings!$B$41:$B$50,MATCH(O2639,Settings!$A$41:$A$50,0))&amp;""="","UNMAPPED",INDEX(Settings!$B$41:$B$50,MATCH(O2639,Settings!$A$41:$A$50,0))&amp;""),"UNMAPPED"))</f>
        <v/>
      </c>
      <c r="Q2639" s="38" t="n">
        <f aca="false">IF($M2639="",0,N(INDEX($A2639:$J2639,$Q$6)))</f>
        <v>0</v>
      </c>
      <c r="R2639" s="39" t="str">
        <f aca="false">IF($M2639="","",INDEX($A2639:$J2639,$R$6))</f>
        <v/>
      </c>
      <c r="S2639" s="37" t="str">
        <f aca="false">IF($M2639="","",IFERROR(INDEX(Settings!$B$27:$B$36,MATCH(L2639,Settings!$A$27:$A$36,0))&amp;"","UNMAPPED"))</f>
        <v/>
      </c>
      <c r="T2639" s="37" t="str">
        <f aca="false">IF($M2639="","",IF(NOT(ISNUMBER(R2639)),"NO DATE",IF(S2639="Won",IF(R2639&gt;Settings!$B$5,"Backlog","Delivered"),IF(S2639="Open",IF(R2639&gt;Settings!$B$5,"Pipeline","Overdue"),IF(S2639="Lost","Lost","UNMAPPED")))))</f>
        <v/>
      </c>
      <c r="U2639" s="40" t="n">
        <f aca="false">IF(T2639="Backlog",1,IF(OR(T2639="Pipeline",T2639="Overdue"),N(INDEX(Settings!$C$27:$C$36,MATCH(L2639,Settings!$A$27:$A$36,0))),0))</f>
        <v>0</v>
      </c>
      <c r="V2639" s="38" t="n">
        <f aca="false">Q2639*U2639</f>
        <v>0</v>
      </c>
      <c r="W2639" s="41" t="str">
        <f aca="false">IF($M2639="","",IF(T2639="Overdue",IF(Settings!$B$8="Yes",Settings!$B$7,""),IF(ISNUMBER(R2639),DATE(YEAR(R2639),MONTH(R2639),1),"")))</f>
        <v/>
      </c>
      <c r="X2639" s="38" t="n">
        <f aca="false">IF(AND(OR(T2639="Backlog",T2639="Pipeline",T2639="Overdue"),ISNUMBER(W2639)),IF(W2639&lt;=Settings!$B$6,V2639,0),0)</f>
        <v>0</v>
      </c>
      <c r="Y2639" s="38" t="n">
        <f aca="false">IF(AND(OR(T2639="Backlog",T2639="Pipeline",T2639="Overdue"),ISNUMBER(W2639)),IF(W2639&lt;=Settings!$B$6,Q2639,0),0)</f>
        <v>0</v>
      </c>
      <c r="Z2639" s="38" t="n">
        <f aca="false">IF(Y2639=0,0,IF(T2639="Backlog",Q2639,Q2639*Dashboard!$C$10))</f>
        <v>0</v>
      </c>
      <c r="AA2639" s="37" t="n">
        <f aca="false">IF($N2639="",0,IF(COUNTIF(Dashboard!$C$13:$C$22,$N2639)&gt;0,1,0))</f>
        <v>0</v>
      </c>
      <c r="AB2639" s="37" t="str">
        <f aca="false">IF($N2639="","",IF(COUNTIF($N$8:$N2639,$N2639)=1,MAX($AB$7:$AB2638)+1,""))</f>
        <v/>
      </c>
    </row>
    <row r="2640" customFormat="false" ht="15" hidden="false" customHeight="false" outlineLevel="0" collapsed="false">
      <c r="L2640" s="37" t="str">
        <f aca="false">IF(INDEX($A2640:$J2640,$L$6)&lt;&gt;"",TRIM(LEFT(INDEX($A2640:$J2640,$L$6),FIND("(",INDEX($A2640:$J2640,$L$6)&amp;"(")-1)),L2639)</f>
        <v>Building Value Proposition</v>
      </c>
      <c r="M2640" s="37" t="str">
        <f aca="false">IF(INDEX($A2640:$J2640,$M$6)="","",INDEX($A2640:$J2640,$M$6)&amp;"")</f>
        <v/>
      </c>
      <c r="N2640" s="37" t="str">
        <f aca="false">IF($M2640="","",TRIM(INDEX($A2640:$J2640,$N$6)&amp;""))</f>
        <v/>
      </c>
      <c r="O2640" s="37" t="str">
        <f aca="false">IF($M2640="","",TRIM(INDEX($A2640:$J2640,$O$6)&amp;""))</f>
        <v/>
      </c>
      <c r="P2640" s="37" t="str">
        <f aca="false">IF($M2640="","",IFERROR(IF(INDEX(Settings!$B$41:$B$50,MATCH(O2640,Settings!$A$41:$A$50,0))&amp;""="","UNMAPPED",INDEX(Settings!$B$41:$B$50,MATCH(O2640,Settings!$A$41:$A$50,0))&amp;""),"UNMAPPED"))</f>
        <v/>
      </c>
      <c r="Q2640" s="38" t="n">
        <f aca="false">IF($M2640="",0,N(INDEX($A2640:$J2640,$Q$6)))</f>
        <v>0</v>
      </c>
      <c r="R2640" s="39" t="str">
        <f aca="false">IF($M2640="","",INDEX($A2640:$J2640,$R$6))</f>
        <v/>
      </c>
      <c r="S2640" s="37" t="str">
        <f aca="false">IF($M2640="","",IFERROR(INDEX(Settings!$B$27:$B$36,MATCH(L2640,Settings!$A$27:$A$36,0))&amp;"","UNMAPPED"))</f>
        <v/>
      </c>
      <c r="T2640" s="37" t="str">
        <f aca="false">IF($M2640="","",IF(NOT(ISNUMBER(R2640)),"NO DATE",IF(S2640="Won",IF(R2640&gt;Settings!$B$5,"Backlog","Delivered"),IF(S2640="Open",IF(R2640&gt;Settings!$B$5,"Pipeline","Overdue"),IF(S2640="Lost","Lost","UNMAPPED")))))</f>
        <v/>
      </c>
      <c r="U2640" s="40" t="n">
        <f aca="false">IF(T2640="Backlog",1,IF(OR(T2640="Pipeline",T2640="Overdue"),N(INDEX(Settings!$C$27:$C$36,MATCH(L2640,Settings!$A$27:$A$36,0))),0))</f>
        <v>0</v>
      </c>
      <c r="V2640" s="38" t="n">
        <f aca="false">Q2640*U2640</f>
        <v>0</v>
      </c>
      <c r="W2640" s="41" t="str">
        <f aca="false">IF($M2640="","",IF(T2640="Overdue",IF(Settings!$B$8="Yes",Settings!$B$7,""),IF(ISNUMBER(R2640),DATE(YEAR(R2640),MONTH(R2640),1),"")))</f>
        <v/>
      </c>
      <c r="X2640" s="38" t="n">
        <f aca="false">IF(AND(OR(T2640="Backlog",T2640="Pipeline",T2640="Overdue"),ISNUMBER(W2640)),IF(W2640&lt;=Settings!$B$6,V2640,0),0)</f>
        <v>0</v>
      </c>
      <c r="Y2640" s="38" t="n">
        <f aca="false">IF(AND(OR(T2640="Backlog",T2640="Pipeline",T2640="Overdue"),ISNUMBER(W2640)),IF(W2640&lt;=Settings!$B$6,Q2640,0),0)</f>
        <v>0</v>
      </c>
      <c r="Z2640" s="38" t="n">
        <f aca="false">IF(Y2640=0,0,IF(T2640="Backlog",Q2640,Q2640*Dashboard!$C$10))</f>
        <v>0</v>
      </c>
      <c r="AA2640" s="37" t="n">
        <f aca="false">IF($N2640="",0,IF(COUNTIF(Dashboard!$C$13:$C$22,$N2640)&gt;0,1,0))</f>
        <v>0</v>
      </c>
      <c r="AB2640" s="37" t="str">
        <f aca="false">IF($N2640="","",IF(COUNTIF($N$8:$N2640,$N2640)=1,MAX($AB$7:$AB2639)+1,""))</f>
        <v/>
      </c>
    </row>
    <row r="2641" customFormat="false" ht="15" hidden="false" customHeight="false" outlineLevel="0" collapsed="false">
      <c r="L2641" s="37" t="str">
        <f aca="false">IF(INDEX($A2641:$J2641,$L$6)&lt;&gt;"",TRIM(LEFT(INDEX($A2641:$J2641,$L$6),FIND("(",INDEX($A2641:$J2641,$L$6)&amp;"(")-1)),L2640)</f>
        <v>Building Value Proposition</v>
      </c>
      <c r="M2641" s="37" t="str">
        <f aca="false">IF(INDEX($A2641:$J2641,$M$6)="","",INDEX($A2641:$J2641,$M$6)&amp;"")</f>
        <v/>
      </c>
      <c r="N2641" s="37" t="str">
        <f aca="false">IF($M2641="","",TRIM(INDEX($A2641:$J2641,$N$6)&amp;""))</f>
        <v/>
      </c>
      <c r="O2641" s="37" t="str">
        <f aca="false">IF($M2641="","",TRIM(INDEX($A2641:$J2641,$O$6)&amp;""))</f>
        <v/>
      </c>
      <c r="P2641" s="37" t="str">
        <f aca="false">IF($M2641="","",IFERROR(IF(INDEX(Settings!$B$41:$B$50,MATCH(O2641,Settings!$A$41:$A$50,0))&amp;""="","UNMAPPED",INDEX(Settings!$B$41:$B$50,MATCH(O2641,Settings!$A$41:$A$50,0))&amp;""),"UNMAPPED"))</f>
        <v/>
      </c>
      <c r="Q2641" s="38" t="n">
        <f aca="false">IF($M2641="",0,N(INDEX($A2641:$J2641,$Q$6)))</f>
        <v>0</v>
      </c>
      <c r="R2641" s="39" t="str">
        <f aca="false">IF($M2641="","",INDEX($A2641:$J2641,$R$6))</f>
        <v/>
      </c>
      <c r="S2641" s="37" t="str">
        <f aca="false">IF($M2641="","",IFERROR(INDEX(Settings!$B$27:$B$36,MATCH(L2641,Settings!$A$27:$A$36,0))&amp;"","UNMAPPED"))</f>
        <v/>
      </c>
      <c r="T2641" s="37" t="str">
        <f aca="false">IF($M2641="","",IF(NOT(ISNUMBER(R2641)),"NO DATE",IF(S2641="Won",IF(R2641&gt;Settings!$B$5,"Backlog","Delivered"),IF(S2641="Open",IF(R2641&gt;Settings!$B$5,"Pipeline","Overdue"),IF(S2641="Lost","Lost","UNMAPPED")))))</f>
        <v/>
      </c>
      <c r="U2641" s="40" t="n">
        <f aca="false">IF(T2641="Backlog",1,IF(OR(T2641="Pipeline",T2641="Overdue"),N(INDEX(Settings!$C$27:$C$36,MATCH(L2641,Settings!$A$27:$A$36,0))),0))</f>
        <v>0</v>
      </c>
      <c r="V2641" s="38" t="n">
        <f aca="false">Q2641*U2641</f>
        <v>0</v>
      </c>
      <c r="W2641" s="41" t="str">
        <f aca="false">IF($M2641="","",IF(T2641="Overdue",IF(Settings!$B$8="Yes",Settings!$B$7,""),IF(ISNUMBER(R2641),DATE(YEAR(R2641),MONTH(R2641),1),"")))</f>
        <v/>
      </c>
      <c r="X2641" s="38" t="n">
        <f aca="false">IF(AND(OR(T2641="Backlog",T2641="Pipeline",T2641="Overdue"),ISNUMBER(W2641)),IF(W2641&lt;=Settings!$B$6,V2641,0),0)</f>
        <v>0</v>
      </c>
      <c r="Y2641" s="38" t="n">
        <f aca="false">IF(AND(OR(T2641="Backlog",T2641="Pipeline",T2641="Overdue"),ISNUMBER(W2641)),IF(W2641&lt;=Settings!$B$6,Q2641,0),0)</f>
        <v>0</v>
      </c>
      <c r="Z2641" s="38" t="n">
        <f aca="false">IF(Y2641=0,0,IF(T2641="Backlog",Q2641,Q2641*Dashboard!$C$10))</f>
        <v>0</v>
      </c>
      <c r="AA2641" s="37" t="n">
        <f aca="false">IF($N2641="",0,IF(COUNTIF(Dashboard!$C$13:$C$22,$N2641)&gt;0,1,0))</f>
        <v>0</v>
      </c>
      <c r="AB2641" s="37" t="str">
        <f aca="false">IF($N2641="","",IF(COUNTIF($N$8:$N2641,$N2641)=1,MAX($AB$7:$AB2640)+1,""))</f>
        <v/>
      </c>
    </row>
    <row r="2642" customFormat="false" ht="15" hidden="false" customHeight="false" outlineLevel="0" collapsed="false">
      <c r="L2642" s="37" t="str">
        <f aca="false">IF(INDEX($A2642:$J2642,$L$6)&lt;&gt;"",TRIM(LEFT(INDEX($A2642:$J2642,$L$6),FIND("(",INDEX($A2642:$J2642,$L$6)&amp;"(")-1)),L2641)</f>
        <v>Building Value Proposition</v>
      </c>
      <c r="M2642" s="37" t="str">
        <f aca="false">IF(INDEX($A2642:$J2642,$M$6)="","",INDEX($A2642:$J2642,$M$6)&amp;"")</f>
        <v/>
      </c>
      <c r="N2642" s="37" t="str">
        <f aca="false">IF($M2642="","",TRIM(INDEX($A2642:$J2642,$N$6)&amp;""))</f>
        <v/>
      </c>
      <c r="O2642" s="37" t="str">
        <f aca="false">IF($M2642="","",TRIM(INDEX($A2642:$J2642,$O$6)&amp;""))</f>
        <v/>
      </c>
      <c r="P2642" s="37" t="str">
        <f aca="false">IF($M2642="","",IFERROR(IF(INDEX(Settings!$B$41:$B$50,MATCH(O2642,Settings!$A$41:$A$50,0))&amp;""="","UNMAPPED",INDEX(Settings!$B$41:$B$50,MATCH(O2642,Settings!$A$41:$A$50,0))&amp;""),"UNMAPPED"))</f>
        <v/>
      </c>
      <c r="Q2642" s="38" t="n">
        <f aca="false">IF($M2642="",0,N(INDEX($A2642:$J2642,$Q$6)))</f>
        <v>0</v>
      </c>
      <c r="R2642" s="39" t="str">
        <f aca="false">IF($M2642="","",INDEX($A2642:$J2642,$R$6))</f>
        <v/>
      </c>
      <c r="S2642" s="37" t="str">
        <f aca="false">IF($M2642="","",IFERROR(INDEX(Settings!$B$27:$B$36,MATCH(L2642,Settings!$A$27:$A$36,0))&amp;"","UNMAPPED"))</f>
        <v/>
      </c>
      <c r="T2642" s="37" t="str">
        <f aca="false">IF($M2642="","",IF(NOT(ISNUMBER(R2642)),"NO DATE",IF(S2642="Won",IF(R2642&gt;Settings!$B$5,"Backlog","Delivered"),IF(S2642="Open",IF(R2642&gt;Settings!$B$5,"Pipeline","Overdue"),IF(S2642="Lost","Lost","UNMAPPED")))))</f>
        <v/>
      </c>
      <c r="U2642" s="40" t="n">
        <f aca="false">IF(T2642="Backlog",1,IF(OR(T2642="Pipeline",T2642="Overdue"),N(INDEX(Settings!$C$27:$C$36,MATCH(L2642,Settings!$A$27:$A$36,0))),0))</f>
        <v>0</v>
      </c>
      <c r="V2642" s="38" t="n">
        <f aca="false">Q2642*U2642</f>
        <v>0</v>
      </c>
      <c r="W2642" s="41" t="str">
        <f aca="false">IF($M2642="","",IF(T2642="Overdue",IF(Settings!$B$8="Yes",Settings!$B$7,""),IF(ISNUMBER(R2642),DATE(YEAR(R2642),MONTH(R2642),1),"")))</f>
        <v/>
      </c>
      <c r="X2642" s="38" t="n">
        <f aca="false">IF(AND(OR(T2642="Backlog",T2642="Pipeline",T2642="Overdue"),ISNUMBER(W2642)),IF(W2642&lt;=Settings!$B$6,V2642,0),0)</f>
        <v>0</v>
      </c>
      <c r="Y2642" s="38" t="n">
        <f aca="false">IF(AND(OR(T2642="Backlog",T2642="Pipeline",T2642="Overdue"),ISNUMBER(W2642)),IF(W2642&lt;=Settings!$B$6,Q2642,0),0)</f>
        <v>0</v>
      </c>
      <c r="Z2642" s="38" t="n">
        <f aca="false">IF(Y2642=0,0,IF(T2642="Backlog",Q2642,Q2642*Dashboard!$C$10))</f>
        <v>0</v>
      </c>
      <c r="AA2642" s="37" t="n">
        <f aca="false">IF($N2642="",0,IF(COUNTIF(Dashboard!$C$13:$C$22,$N2642)&gt;0,1,0))</f>
        <v>0</v>
      </c>
      <c r="AB2642" s="37" t="str">
        <f aca="false">IF($N2642="","",IF(COUNTIF($N$8:$N2642,$N2642)=1,MAX($AB$7:$AB2641)+1,""))</f>
        <v/>
      </c>
    </row>
    <row r="2643" customFormat="false" ht="15" hidden="false" customHeight="false" outlineLevel="0" collapsed="false">
      <c r="L2643" s="37" t="str">
        <f aca="false">IF(INDEX($A2643:$J2643,$L$6)&lt;&gt;"",TRIM(LEFT(INDEX($A2643:$J2643,$L$6),FIND("(",INDEX($A2643:$J2643,$L$6)&amp;"(")-1)),L2642)</f>
        <v>Building Value Proposition</v>
      </c>
      <c r="M2643" s="37" t="str">
        <f aca="false">IF(INDEX($A2643:$J2643,$M$6)="","",INDEX($A2643:$J2643,$M$6)&amp;"")</f>
        <v/>
      </c>
      <c r="N2643" s="37" t="str">
        <f aca="false">IF($M2643="","",TRIM(INDEX($A2643:$J2643,$N$6)&amp;""))</f>
        <v/>
      </c>
      <c r="O2643" s="37" t="str">
        <f aca="false">IF($M2643="","",TRIM(INDEX($A2643:$J2643,$O$6)&amp;""))</f>
        <v/>
      </c>
      <c r="P2643" s="37" t="str">
        <f aca="false">IF($M2643="","",IFERROR(IF(INDEX(Settings!$B$41:$B$50,MATCH(O2643,Settings!$A$41:$A$50,0))&amp;""="","UNMAPPED",INDEX(Settings!$B$41:$B$50,MATCH(O2643,Settings!$A$41:$A$50,0))&amp;""),"UNMAPPED"))</f>
        <v/>
      </c>
      <c r="Q2643" s="38" t="n">
        <f aca="false">IF($M2643="",0,N(INDEX($A2643:$J2643,$Q$6)))</f>
        <v>0</v>
      </c>
      <c r="R2643" s="39" t="str">
        <f aca="false">IF($M2643="","",INDEX($A2643:$J2643,$R$6))</f>
        <v/>
      </c>
      <c r="S2643" s="37" t="str">
        <f aca="false">IF($M2643="","",IFERROR(INDEX(Settings!$B$27:$B$36,MATCH(L2643,Settings!$A$27:$A$36,0))&amp;"","UNMAPPED"))</f>
        <v/>
      </c>
      <c r="T2643" s="37" t="str">
        <f aca="false">IF($M2643="","",IF(NOT(ISNUMBER(R2643)),"NO DATE",IF(S2643="Won",IF(R2643&gt;Settings!$B$5,"Backlog","Delivered"),IF(S2643="Open",IF(R2643&gt;Settings!$B$5,"Pipeline","Overdue"),IF(S2643="Lost","Lost","UNMAPPED")))))</f>
        <v/>
      </c>
      <c r="U2643" s="40" t="n">
        <f aca="false">IF(T2643="Backlog",1,IF(OR(T2643="Pipeline",T2643="Overdue"),N(INDEX(Settings!$C$27:$C$36,MATCH(L2643,Settings!$A$27:$A$36,0))),0))</f>
        <v>0</v>
      </c>
      <c r="V2643" s="38" t="n">
        <f aca="false">Q2643*U2643</f>
        <v>0</v>
      </c>
      <c r="W2643" s="41" t="str">
        <f aca="false">IF($M2643="","",IF(T2643="Overdue",IF(Settings!$B$8="Yes",Settings!$B$7,""),IF(ISNUMBER(R2643),DATE(YEAR(R2643),MONTH(R2643),1),"")))</f>
        <v/>
      </c>
      <c r="X2643" s="38" t="n">
        <f aca="false">IF(AND(OR(T2643="Backlog",T2643="Pipeline",T2643="Overdue"),ISNUMBER(W2643)),IF(W2643&lt;=Settings!$B$6,V2643,0),0)</f>
        <v>0</v>
      </c>
      <c r="Y2643" s="38" t="n">
        <f aca="false">IF(AND(OR(T2643="Backlog",T2643="Pipeline",T2643="Overdue"),ISNUMBER(W2643)),IF(W2643&lt;=Settings!$B$6,Q2643,0),0)</f>
        <v>0</v>
      </c>
      <c r="Z2643" s="38" t="n">
        <f aca="false">IF(Y2643=0,0,IF(T2643="Backlog",Q2643,Q2643*Dashboard!$C$10))</f>
        <v>0</v>
      </c>
      <c r="AA2643" s="37" t="n">
        <f aca="false">IF($N2643="",0,IF(COUNTIF(Dashboard!$C$13:$C$22,$N2643)&gt;0,1,0))</f>
        <v>0</v>
      </c>
      <c r="AB2643" s="37" t="str">
        <f aca="false">IF($N2643="","",IF(COUNTIF($N$8:$N2643,$N2643)=1,MAX($AB$7:$AB2642)+1,""))</f>
        <v/>
      </c>
    </row>
    <row r="2644" customFormat="false" ht="15" hidden="false" customHeight="false" outlineLevel="0" collapsed="false">
      <c r="L2644" s="37" t="str">
        <f aca="false">IF(INDEX($A2644:$J2644,$L$6)&lt;&gt;"",TRIM(LEFT(INDEX($A2644:$J2644,$L$6),FIND("(",INDEX($A2644:$J2644,$L$6)&amp;"(")-1)),L2643)</f>
        <v>Building Value Proposition</v>
      </c>
      <c r="M2644" s="37" t="str">
        <f aca="false">IF(INDEX($A2644:$J2644,$M$6)="","",INDEX($A2644:$J2644,$M$6)&amp;"")</f>
        <v/>
      </c>
      <c r="N2644" s="37" t="str">
        <f aca="false">IF($M2644="","",TRIM(INDEX($A2644:$J2644,$N$6)&amp;""))</f>
        <v/>
      </c>
      <c r="O2644" s="37" t="str">
        <f aca="false">IF($M2644="","",TRIM(INDEX($A2644:$J2644,$O$6)&amp;""))</f>
        <v/>
      </c>
      <c r="P2644" s="37" t="str">
        <f aca="false">IF($M2644="","",IFERROR(IF(INDEX(Settings!$B$41:$B$50,MATCH(O2644,Settings!$A$41:$A$50,0))&amp;""="","UNMAPPED",INDEX(Settings!$B$41:$B$50,MATCH(O2644,Settings!$A$41:$A$50,0))&amp;""),"UNMAPPED"))</f>
        <v/>
      </c>
      <c r="Q2644" s="38" t="n">
        <f aca="false">IF($M2644="",0,N(INDEX($A2644:$J2644,$Q$6)))</f>
        <v>0</v>
      </c>
      <c r="R2644" s="39" t="str">
        <f aca="false">IF($M2644="","",INDEX($A2644:$J2644,$R$6))</f>
        <v/>
      </c>
      <c r="S2644" s="37" t="str">
        <f aca="false">IF($M2644="","",IFERROR(INDEX(Settings!$B$27:$B$36,MATCH(L2644,Settings!$A$27:$A$36,0))&amp;"","UNMAPPED"))</f>
        <v/>
      </c>
      <c r="T2644" s="37" t="str">
        <f aca="false">IF($M2644="","",IF(NOT(ISNUMBER(R2644)),"NO DATE",IF(S2644="Won",IF(R2644&gt;Settings!$B$5,"Backlog","Delivered"),IF(S2644="Open",IF(R2644&gt;Settings!$B$5,"Pipeline","Overdue"),IF(S2644="Lost","Lost","UNMAPPED")))))</f>
        <v/>
      </c>
      <c r="U2644" s="40" t="n">
        <f aca="false">IF(T2644="Backlog",1,IF(OR(T2644="Pipeline",T2644="Overdue"),N(INDEX(Settings!$C$27:$C$36,MATCH(L2644,Settings!$A$27:$A$36,0))),0))</f>
        <v>0</v>
      </c>
      <c r="V2644" s="38" t="n">
        <f aca="false">Q2644*U2644</f>
        <v>0</v>
      </c>
      <c r="W2644" s="41" t="str">
        <f aca="false">IF($M2644="","",IF(T2644="Overdue",IF(Settings!$B$8="Yes",Settings!$B$7,""),IF(ISNUMBER(R2644),DATE(YEAR(R2644),MONTH(R2644),1),"")))</f>
        <v/>
      </c>
      <c r="X2644" s="38" t="n">
        <f aca="false">IF(AND(OR(T2644="Backlog",T2644="Pipeline",T2644="Overdue"),ISNUMBER(W2644)),IF(W2644&lt;=Settings!$B$6,V2644,0),0)</f>
        <v>0</v>
      </c>
      <c r="Y2644" s="38" t="n">
        <f aca="false">IF(AND(OR(T2644="Backlog",T2644="Pipeline",T2644="Overdue"),ISNUMBER(W2644)),IF(W2644&lt;=Settings!$B$6,Q2644,0),0)</f>
        <v>0</v>
      </c>
      <c r="Z2644" s="38" t="n">
        <f aca="false">IF(Y2644=0,0,IF(T2644="Backlog",Q2644,Q2644*Dashboard!$C$10))</f>
        <v>0</v>
      </c>
      <c r="AA2644" s="37" t="n">
        <f aca="false">IF($N2644="",0,IF(COUNTIF(Dashboard!$C$13:$C$22,$N2644)&gt;0,1,0))</f>
        <v>0</v>
      </c>
      <c r="AB2644" s="37" t="str">
        <f aca="false">IF($N2644="","",IF(COUNTIF($N$8:$N2644,$N2644)=1,MAX($AB$7:$AB2643)+1,""))</f>
        <v/>
      </c>
    </row>
    <row r="2645" customFormat="false" ht="15" hidden="false" customHeight="false" outlineLevel="0" collapsed="false">
      <c r="L2645" s="37" t="str">
        <f aca="false">IF(INDEX($A2645:$J2645,$L$6)&lt;&gt;"",TRIM(LEFT(INDEX($A2645:$J2645,$L$6),FIND("(",INDEX($A2645:$J2645,$L$6)&amp;"(")-1)),L2644)</f>
        <v>Building Value Proposition</v>
      </c>
      <c r="M2645" s="37" t="str">
        <f aca="false">IF(INDEX($A2645:$J2645,$M$6)="","",INDEX($A2645:$J2645,$M$6)&amp;"")</f>
        <v/>
      </c>
      <c r="N2645" s="37" t="str">
        <f aca="false">IF($M2645="","",TRIM(INDEX($A2645:$J2645,$N$6)&amp;""))</f>
        <v/>
      </c>
      <c r="O2645" s="37" t="str">
        <f aca="false">IF($M2645="","",TRIM(INDEX($A2645:$J2645,$O$6)&amp;""))</f>
        <v/>
      </c>
      <c r="P2645" s="37" t="str">
        <f aca="false">IF($M2645="","",IFERROR(IF(INDEX(Settings!$B$41:$B$50,MATCH(O2645,Settings!$A$41:$A$50,0))&amp;""="","UNMAPPED",INDEX(Settings!$B$41:$B$50,MATCH(O2645,Settings!$A$41:$A$50,0))&amp;""),"UNMAPPED"))</f>
        <v/>
      </c>
      <c r="Q2645" s="38" t="n">
        <f aca="false">IF($M2645="",0,N(INDEX($A2645:$J2645,$Q$6)))</f>
        <v>0</v>
      </c>
      <c r="R2645" s="39" t="str">
        <f aca="false">IF($M2645="","",INDEX($A2645:$J2645,$R$6))</f>
        <v/>
      </c>
      <c r="S2645" s="37" t="str">
        <f aca="false">IF($M2645="","",IFERROR(INDEX(Settings!$B$27:$B$36,MATCH(L2645,Settings!$A$27:$A$36,0))&amp;"","UNMAPPED"))</f>
        <v/>
      </c>
      <c r="T2645" s="37" t="str">
        <f aca="false">IF($M2645="","",IF(NOT(ISNUMBER(R2645)),"NO DATE",IF(S2645="Won",IF(R2645&gt;Settings!$B$5,"Backlog","Delivered"),IF(S2645="Open",IF(R2645&gt;Settings!$B$5,"Pipeline","Overdue"),IF(S2645="Lost","Lost","UNMAPPED")))))</f>
        <v/>
      </c>
      <c r="U2645" s="40" t="n">
        <f aca="false">IF(T2645="Backlog",1,IF(OR(T2645="Pipeline",T2645="Overdue"),N(INDEX(Settings!$C$27:$C$36,MATCH(L2645,Settings!$A$27:$A$36,0))),0))</f>
        <v>0</v>
      </c>
      <c r="V2645" s="38" t="n">
        <f aca="false">Q2645*U2645</f>
        <v>0</v>
      </c>
      <c r="W2645" s="41" t="str">
        <f aca="false">IF($M2645="","",IF(T2645="Overdue",IF(Settings!$B$8="Yes",Settings!$B$7,""),IF(ISNUMBER(R2645),DATE(YEAR(R2645),MONTH(R2645),1),"")))</f>
        <v/>
      </c>
      <c r="X2645" s="38" t="n">
        <f aca="false">IF(AND(OR(T2645="Backlog",T2645="Pipeline",T2645="Overdue"),ISNUMBER(W2645)),IF(W2645&lt;=Settings!$B$6,V2645,0),0)</f>
        <v>0</v>
      </c>
      <c r="Y2645" s="38" t="n">
        <f aca="false">IF(AND(OR(T2645="Backlog",T2645="Pipeline",T2645="Overdue"),ISNUMBER(W2645)),IF(W2645&lt;=Settings!$B$6,Q2645,0),0)</f>
        <v>0</v>
      </c>
      <c r="Z2645" s="38" t="n">
        <f aca="false">IF(Y2645=0,0,IF(T2645="Backlog",Q2645,Q2645*Dashboard!$C$10))</f>
        <v>0</v>
      </c>
      <c r="AA2645" s="37" t="n">
        <f aca="false">IF($N2645="",0,IF(COUNTIF(Dashboard!$C$13:$C$22,$N2645)&gt;0,1,0))</f>
        <v>0</v>
      </c>
      <c r="AB2645" s="37" t="str">
        <f aca="false">IF($N2645="","",IF(COUNTIF($N$8:$N2645,$N2645)=1,MAX($AB$7:$AB2644)+1,""))</f>
        <v/>
      </c>
    </row>
    <row r="2646" customFormat="false" ht="15" hidden="false" customHeight="false" outlineLevel="0" collapsed="false">
      <c r="L2646" s="37" t="str">
        <f aca="false">IF(INDEX($A2646:$J2646,$L$6)&lt;&gt;"",TRIM(LEFT(INDEX($A2646:$J2646,$L$6),FIND("(",INDEX($A2646:$J2646,$L$6)&amp;"(")-1)),L2645)</f>
        <v>Building Value Proposition</v>
      </c>
      <c r="M2646" s="37" t="str">
        <f aca="false">IF(INDEX($A2646:$J2646,$M$6)="","",INDEX($A2646:$J2646,$M$6)&amp;"")</f>
        <v/>
      </c>
      <c r="N2646" s="37" t="str">
        <f aca="false">IF($M2646="","",TRIM(INDEX($A2646:$J2646,$N$6)&amp;""))</f>
        <v/>
      </c>
      <c r="O2646" s="37" t="str">
        <f aca="false">IF($M2646="","",TRIM(INDEX($A2646:$J2646,$O$6)&amp;""))</f>
        <v/>
      </c>
      <c r="P2646" s="37" t="str">
        <f aca="false">IF($M2646="","",IFERROR(IF(INDEX(Settings!$B$41:$B$50,MATCH(O2646,Settings!$A$41:$A$50,0))&amp;""="","UNMAPPED",INDEX(Settings!$B$41:$B$50,MATCH(O2646,Settings!$A$41:$A$50,0))&amp;""),"UNMAPPED"))</f>
        <v/>
      </c>
      <c r="Q2646" s="38" t="n">
        <f aca="false">IF($M2646="",0,N(INDEX($A2646:$J2646,$Q$6)))</f>
        <v>0</v>
      </c>
      <c r="R2646" s="39" t="str">
        <f aca="false">IF($M2646="","",INDEX($A2646:$J2646,$R$6))</f>
        <v/>
      </c>
      <c r="S2646" s="37" t="str">
        <f aca="false">IF($M2646="","",IFERROR(INDEX(Settings!$B$27:$B$36,MATCH(L2646,Settings!$A$27:$A$36,0))&amp;"","UNMAPPED"))</f>
        <v/>
      </c>
      <c r="T2646" s="37" t="str">
        <f aca="false">IF($M2646="","",IF(NOT(ISNUMBER(R2646)),"NO DATE",IF(S2646="Won",IF(R2646&gt;Settings!$B$5,"Backlog","Delivered"),IF(S2646="Open",IF(R2646&gt;Settings!$B$5,"Pipeline","Overdue"),IF(S2646="Lost","Lost","UNMAPPED")))))</f>
        <v/>
      </c>
      <c r="U2646" s="40" t="n">
        <f aca="false">IF(T2646="Backlog",1,IF(OR(T2646="Pipeline",T2646="Overdue"),N(INDEX(Settings!$C$27:$C$36,MATCH(L2646,Settings!$A$27:$A$36,0))),0))</f>
        <v>0</v>
      </c>
      <c r="V2646" s="38" t="n">
        <f aca="false">Q2646*U2646</f>
        <v>0</v>
      </c>
      <c r="W2646" s="41" t="str">
        <f aca="false">IF($M2646="","",IF(T2646="Overdue",IF(Settings!$B$8="Yes",Settings!$B$7,""),IF(ISNUMBER(R2646),DATE(YEAR(R2646),MONTH(R2646),1),"")))</f>
        <v/>
      </c>
      <c r="X2646" s="38" t="n">
        <f aca="false">IF(AND(OR(T2646="Backlog",T2646="Pipeline",T2646="Overdue"),ISNUMBER(W2646)),IF(W2646&lt;=Settings!$B$6,V2646,0),0)</f>
        <v>0</v>
      </c>
      <c r="Y2646" s="38" t="n">
        <f aca="false">IF(AND(OR(T2646="Backlog",T2646="Pipeline",T2646="Overdue"),ISNUMBER(W2646)),IF(W2646&lt;=Settings!$B$6,Q2646,0),0)</f>
        <v>0</v>
      </c>
      <c r="Z2646" s="38" t="n">
        <f aca="false">IF(Y2646=0,0,IF(T2646="Backlog",Q2646,Q2646*Dashboard!$C$10))</f>
        <v>0</v>
      </c>
      <c r="AA2646" s="37" t="n">
        <f aca="false">IF($N2646="",0,IF(COUNTIF(Dashboard!$C$13:$C$22,$N2646)&gt;0,1,0))</f>
        <v>0</v>
      </c>
      <c r="AB2646" s="37" t="str">
        <f aca="false">IF($N2646="","",IF(COUNTIF($N$8:$N2646,$N2646)=1,MAX($AB$7:$AB2645)+1,""))</f>
        <v/>
      </c>
    </row>
    <row r="2647" customFormat="false" ht="15" hidden="false" customHeight="false" outlineLevel="0" collapsed="false">
      <c r="L2647" s="37" t="str">
        <f aca="false">IF(INDEX($A2647:$J2647,$L$6)&lt;&gt;"",TRIM(LEFT(INDEX($A2647:$J2647,$L$6),FIND("(",INDEX($A2647:$J2647,$L$6)&amp;"(")-1)),L2646)</f>
        <v>Building Value Proposition</v>
      </c>
      <c r="M2647" s="37" t="str">
        <f aca="false">IF(INDEX($A2647:$J2647,$M$6)="","",INDEX($A2647:$J2647,$M$6)&amp;"")</f>
        <v/>
      </c>
      <c r="N2647" s="37" t="str">
        <f aca="false">IF($M2647="","",TRIM(INDEX($A2647:$J2647,$N$6)&amp;""))</f>
        <v/>
      </c>
      <c r="O2647" s="37" t="str">
        <f aca="false">IF($M2647="","",TRIM(INDEX($A2647:$J2647,$O$6)&amp;""))</f>
        <v/>
      </c>
      <c r="P2647" s="37" t="str">
        <f aca="false">IF($M2647="","",IFERROR(IF(INDEX(Settings!$B$41:$B$50,MATCH(O2647,Settings!$A$41:$A$50,0))&amp;""="","UNMAPPED",INDEX(Settings!$B$41:$B$50,MATCH(O2647,Settings!$A$41:$A$50,0))&amp;""),"UNMAPPED"))</f>
        <v/>
      </c>
      <c r="Q2647" s="38" t="n">
        <f aca="false">IF($M2647="",0,N(INDEX($A2647:$J2647,$Q$6)))</f>
        <v>0</v>
      </c>
      <c r="R2647" s="39" t="str">
        <f aca="false">IF($M2647="","",INDEX($A2647:$J2647,$R$6))</f>
        <v/>
      </c>
      <c r="S2647" s="37" t="str">
        <f aca="false">IF($M2647="","",IFERROR(INDEX(Settings!$B$27:$B$36,MATCH(L2647,Settings!$A$27:$A$36,0))&amp;"","UNMAPPED"))</f>
        <v/>
      </c>
      <c r="T2647" s="37" t="str">
        <f aca="false">IF($M2647="","",IF(NOT(ISNUMBER(R2647)),"NO DATE",IF(S2647="Won",IF(R2647&gt;Settings!$B$5,"Backlog","Delivered"),IF(S2647="Open",IF(R2647&gt;Settings!$B$5,"Pipeline","Overdue"),IF(S2647="Lost","Lost","UNMAPPED")))))</f>
        <v/>
      </c>
      <c r="U2647" s="40" t="n">
        <f aca="false">IF(T2647="Backlog",1,IF(OR(T2647="Pipeline",T2647="Overdue"),N(INDEX(Settings!$C$27:$C$36,MATCH(L2647,Settings!$A$27:$A$36,0))),0))</f>
        <v>0</v>
      </c>
      <c r="V2647" s="38" t="n">
        <f aca="false">Q2647*U2647</f>
        <v>0</v>
      </c>
      <c r="W2647" s="41" t="str">
        <f aca="false">IF($M2647="","",IF(T2647="Overdue",IF(Settings!$B$8="Yes",Settings!$B$7,""),IF(ISNUMBER(R2647),DATE(YEAR(R2647),MONTH(R2647),1),"")))</f>
        <v/>
      </c>
      <c r="X2647" s="38" t="n">
        <f aca="false">IF(AND(OR(T2647="Backlog",T2647="Pipeline",T2647="Overdue"),ISNUMBER(W2647)),IF(W2647&lt;=Settings!$B$6,V2647,0),0)</f>
        <v>0</v>
      </c>
      <c r="Y2647" s="38" t="n">
        <f aca="false">IF(AND(OR(T2647="Backlog",T2647="Pipeline",T2647="Overdue"),ISNUMBER(W2647)),IF(W2647&lt;=Settings!$B$6,Q2647,0),0)</f>
        <v>0</v>
      </c>
      <c r="Z2647" s="38" t="n">
        <f aca="false">IF(Y2647=0,0,IF(T2647="Backlog",Q2647,Q2647*Dashboard!$C$10))</f>
        <v>0</v>
      </c>
      <c r="AA2647" s="37" t="n">
        <f aca="false">IF($N2647="",0,IF(COUNTIF(Dashboard!$C$13:$C$22,$N2647)&gt;0,1,0))</f>
        <v>0</v>
      </c>
      <c r="AB2647" s="37" t="str">
        <f aca="false">IF($N2647="","",IF(COUNTIF($N$8:$N2647,$N2647)=1,MAX($AB$7:$AB2646)+1,""))</f>
        <v/>
      </c>
    </row>
    <row r="2648" customFormat="false" ht="15" hidden="false" customHeight="false" outlineLevel="0" collapsed="false">
      <c r="L2648" s="37" t="str">
        <f aca="false">IF(INDEX($A2648:$J2648,$L$6)&lt;&gt;"",TRIM(LEFT(INDEX($A2648:$J2648,$L$6),FIND("(",INDEX($A2648:$J2648,$L$6)&amp;"(")-1)),L2647)</f>
        <v>Building Value Proposition</v>
      </c>
      <c r="M2648" s="37" t="str">
        <f aca="false">IF(INDEX($A2648:$J2648,$M$6)="","",INDEX($A2648:$J2648,$M$6)&amp;"")</f>
        <v/>
      </c>
      <c r="N2648" s="37" t="str">
        <f aca="false">IF($M2648="","",TRIM(INDEX($A2648:$J2648,$N$6)&amp;""))</f>
        <v/>
      </c>
      <c r="O2648" s="37" t="str">
        <f aca="false">IF($M2648="","",TRIM(INDEX($A2648:$J2648,$O$6)&amp;""))</f>
        <v/>
      </c>
      <c r="P2648" s="37" t="str">
        <f aca="false">IF($M2648="","",IFERROR(IF(INDEX(Settings!$B$41:$B$50,MATCH(O2648,Settings!$A$41:$A$50,0))&amp;""="","UNMAPPED",INDEX(Settings!$B$41:$B$50,MATCH(O2648,Settings!$A$41:$A$50,0))&amp;""),"UNMAPPED"))</f>
        <v/>
      </c>
      <c r="Q2648" s="38" t="n">
        <f aca="false">IF($M2648="",0,N(INDEX($A2648:$J2648,$Q$6)))</f>
        <v>0</v>
      </c>
      <c r="R2648" s="39" t="str">
        <f aca="false">IF($M2648="","",INDEX($A2648:$J2648,$R$6))</f>
        <v/>
      </c>
      <c r="S2648" s="37" t="str">
        <f aca="false">IF($M2648="","",IFERROR(INDEX(Settings!$B$27:$B$36,MATCH(L2648,Settings!$A$27:$A$36,0))&amp;"","UNMAPPED"))</f>
        <v/>
      </c>
      <c r="T2648" s="37" t="str">
        <f aca="false">IF($M2648="","",IF(NOT(ISNUMBER(R2648)),"NO DATE",IF(S2648="Won",IF(R2648&gt;Settings!$B$5,"Backlog","Delivered"),IF(S2648="Open",IF(R2648&gt;Settings!$B$5,"Pipeline","Overdue"),IF(S2648="Lost","Lost","UNMAPPED")))))</f>
        <v/>
      </c>
      <c r="U2648" s="40" t="n">
        <f aca="false">IF(T2648="Backlog",1,IF(OR(T2648="Pipeline",T2648="Overdue"),N(INDEX(Settings!$C$27:$C$36,MATCH(L2648,Settings!$A$27:$A$36,0))),0))</f>
        <v>0</v>
      </c>
      <c r="V2648" s="38" t="n">
        <f aca="false">Q2648*U2648</f>
        <v>0</v>
      </c>
      <c r="W2648" s="41" t="str">
        <f aca="false">IF($M2648="","",IF(T2648="Overdue",IF(Settings!$B$8="Yes",Settings!$B$7,""),IF(ISNUMBER(R2648),DATE(YEAR(R2648),MONTH(R2648),1),"")))</f>
        <v/>
      </c>
      <c r="X2648" s="38" t="n">
        <f aca="false">IF(AND(OR(T2648="Backlog",T2648="Pipeline",T2648="Overdue"),ISNUMBER(W2648)),IF(W2648&lt;=Settings!$B$6,V2648,0),0)</f>
        <v>0</v>
      </c>
      <c r="Y2648" s="38" t="n">
        <f aca="false">IF(AND(OR(T2648="Backlog",T2648="Pipeline",T2648="Overdue"),ISNUMBER(W2648)),IF(W2648&lt;=Settings!$B$6,Q2648,0),0)</f>
        <v>0</v>
      </c>
      <c r="Z2648" s="38" t="n">
        <f aca="false">IF(Y2648=0,0,IF(T2648="Backlog",Q2648,Q2648*Dashboard!$C$10))</f>
        <v>0</v>
      </c>
      <c r="AA2648" s="37" t="n">
        <f aca="false">IF($N2648="",0,IF(COUNTIF(Dashboard!$C$13:$C$22,$N2648)&gt;0,1,0))</f>
        <v>0</v>
      </c>
      <c r="AB2648" s="37" t="str">
        <f aca="false">IF($N2648="","",IF(COUNTIF($N$8:$N2648,$N2648)=1,MAX($AB$7:$AB2647)+1,""))</f>
        <v/>
      </c>
    </row>
    <row r="2649" customFormat="false" ht="15" hidden="false" customHeight="false" outlineLevel="0" collapsed="false">
      <c r="L2649" s="37" t="str">
        <f aca="false">IF(INDEX($A2649:$J2649,$L$6)&lt;&gt;"",TRIM(LEFT(INDEX($A2649:$J2649,$L$6),FIND("(",INDEX($A2649:$J2649,$L$6)&amp;"(")-1)),L2648)</f>
        <v>Building Value Proposition</v>
      </c>
      <c r="M2649" s="37" t="str">
        <f aca="false">IF(INDEX($A2649:$J2649,$M$6)="","",INDEX($A2649:$J2649,$M$6)&amp;"")</f>
        <v/>
      </c>
      <c r="N2649" s="37" t="str">
        <f aca="false">IF($M2649="","",TRIM(INDEX($A2649:$J2649,$N$6)&amp;""))</f>
        <v/>
      </c>
      <c r="O2649" s="37" t="str">
        <f aca="false">IF($M2649="","",TRIM(INDEX($A2649:$J2649,$O$6)&amp;""))</f>
        <v/>
      </c>
      <c r="P2649" s="37" t="str">
        <f aca="false">IF($M2649="","",IFERROR(IF(INDEX(Settings!$B$41:$B$50,MATCH(O2649,Settings!$A$41:$A$50,0))&amp;""="","UNMAPPED",INDEX(Settings!$B$41:$B$50,MATCH(O2649,Settings!$A$41:$A$50,0))&amp;""),"UNMAPPED"))</f>
        <v/>
      </c>
      <c r="Q2649" s="38" t="n">
        <f aca="false">IF($M2649="",0,N(INDEX($A2649:$J2649,$Q$6)))</f>
        <v>0</v>
      </c>
      <c r="R2649" s="39" t="str">
        <f aca="false">IF($M2649="","",INDEX($A2649:$J2649,$R$6))</f>
        <v/>
      </c>
      <c r="S2649" s="37" t="str">
        <f aca="false">IF($M2649="","",IFERROR(INDEX(Settings!$B$27:$B$36,MATCH(L2649,Settings!$A$27:$A$36,0))&amp;"","UNMAPPED"))</f>
        <v/>
      </c>
      <c r="T2649" s="37" t="str">
        <f aca="false">IF($M2649="","",IF(NOT(ISNUMBER(R2649)),"NO DATE",IF(S2649="Won",IF(R2649&gt;Settings!$B$5,"Backlog","Delivered"),IF(S2649="Open",IF(R2649&gt;Settings!$B$5,"Pipeline","Overdue"),IF(S2649="Lost","Lost","UNMAPPED")))))</f>
        <v/>
      </c>
      <c r="U2649" s="40" t="n">
        <f aca="false">IF(T2649="Backlog",1,IF(OR(T2649="Pipeline",T2649="Overdue"),N(INDEX(Settings!$C$27:$C$36,MATCH(L2649,Settings!$A$27:$A$36,0))),0))</f>
        <v>0</v>
      </c>
      <c r="V2649" s="38" t="n">
        <f aca="false">Q2649*U2649</f>
        <v>0</v>
      </c>
      <c r="W2649" s="41" t="str">
        <f aca="false">IF($M2649="","",IF(T2649="Overdue",IF(Settings!$B$8="Yes",Settings!$B$7,""),IF(ISNUMBER(R2649),DATE(YEAR(R2649),MONTH(R2649),1),"")))</f>
        <v/>
      </c>
      <c r="X2649" s="38" t="n">
        <f aca="false">IF(AND(OR(T2649="Backlog",T2649="Pipeline",T2649="Overdue"),ISNUMBER(W2649)),IF(W2649&lt;=Settings!$B$6,V2649,0),0)</f>
        <v>0</v>
      </c>
      <c r="Y2649" s="38" t="n">
        <f aca="false">IF(AND(OR(T2649="Backlog",T2649="Pipeline",T2649="Overdue"),ISNUMBER(W2649)),IF(W2649&lt;=Settings!$B$6,Q2649,0),0)</f>
        <v>0</v>
      </c>
      <c r="Z2649" s="38" t="n">
        <f aca="false">IF(Y2649=0,0,IF(T2649="Backlog",Q2649,Q2649*Dashboard!$C$10))</f>
        <v>0</v>
      </c>
      <c r="AA2649" s="37" t="n">
        <f aca="false">IF($N2649="",0,IF(COUNTIF(Dashboard!$C$13:$C$22,$N2649)&gt;0,1,0))</f>
        <v>0</v>
      </c>
      <c r="AB2649" s="37" t="str">
        <f aca="false">IF($N2649="","",IF(COUNTIF($N$8:$N2649,$N2649)=1,MAX($AB$7:$AB2648)+1,""))</f>
        <v/>
      </c>
    </row>
    <row r="2650" customFormat="false" ht="15" hidden="false" customHeight="false" outlineLevel="0" collapsed="false">
      <c r="L2650" s="37" t="str">
        <f aca="false">IF(INDEX($A2650:$J2650,$L$6)&lt;&gt;"",TRIM(LEFT(INDEX($A2650:$J2650,$L$6),FIND("(",INDEX($A2650:$J2650,$L$6)&amp;"(")-1)),L2649)</f>
        <v>Building Value Proposition</v>
      </c>
      <c r="M2650" s="37" t="str">
        <f aca="false">IF(INDEX($A2650:$J2650,$M$6)="","",INDEX($A2650:$J2650,$M$6)&amp;"")</f>
        <v/>
      </c>
      <c r="N2650" s="37" t="str">
        <f aca="false">IF($M2650="","",TRIM(INDEX($A2650:$J2650,$N$6)&amp;""))</f>
        <v/>
      </c>
      <c r="O2650" s="37" t="str">
        <f aca="false">IF($M2650="","",TRIM(INDEX($A2650:$J2650,$O$6)&amp;""))</f>
        <v/>
      </c>
      <c r="P2650" s="37" t="str">
        <f aca="false">IF($M2650="","",IFERROR(IF(INDEX(Settings!$B$41:$B$50,MATCH(O2650,Settings!$A$41:$A$50,0))&amp;""="","UNMAPPED",INDEX(Settings!$B$41:$B$50,MATCH(O2650,Settings!$A$41:$A$50,0))&amp;""),"UNMAPPED"))</f>
        <v/>
      </c>
      <c r="Q2650" s="38" t="n">
        <f aca="false">IF($M2650="",0,N(INDEX($A2650:$J2650,$Q$6)))</f>
        <v>0</v>
      </c>
      <c r="R2650" s="39" t="str">
        <f aca="false">IF($M2650="","",INDEX($A2650:$J2650,$R$6))</f>
        <v/>
      </c>
      <c r="S2650" s="37" t="str">
        <f aca="false">IF($M2650="","",IFERROR(INDEX(Settings!$B$27:$B$36,MATCH(L2650,Settings!$A$27:$A$36,0))&amp;"","UNMAPPED"))</f>
        <v/>
      </c>
      <c r="T2650" s="37" t="str">
        <f aca="false">IF($M2650="","",IF(NOT(ISNUMBER(R2650)),"NO DATE",IF(S2650="Won",IF(R2650&gt;Settings!$B$5,"Backlog","Delivered"),IF(S2650="Open",IF(R2650&gt;Settings!$B$5,"Pipeline","Overdue"),IF(S2650="Lost","Lost","UNMAPPED")))))</f>
        <v/>
      </c>
      <c r="U2650" s="40" t="n">
        <f aca="false">IF(T2650="Backlog",1,IF(OR(T2650="Pipeline",T2650="Overdue"),N(INDEX(Settings!$C$27:$C$36,MATCH(L2650,Settings!$A$27:$A$36,0))),0))</f>
        <v>0</v>
      </c>
      <c r="V2650" s="38" t="n">
        <f aca="false">Q2650*U2650</f>
        <v>0</v>
      </c>
      <c r="W2650" s="41" t="str">
        <f aca="false">IF($M2650="","",IF(T2650="Overdue",IF(Settings!$B$8="Yes",Settings!$B$7,""),IF(ISNUMBER(R2650),DATE(YEAR(R2650),MONTH(R2650),1),"")))</f>
        <v/>
      </c>
      <c r="X2650" s="38" t="n">
        <f aca="false">IF(AND(OR(T2650="Backlog",T2650="Pipeline",T2650="Overdue"),ISNUMBER(W2650)),IF(W2650&lt;=Settings!$B$6,V2650,0),0)</f>
        <v>0</v>
      </c>
      <c r="Y2650" s="38" t="n">
        <f aca="false">IF(AND(OR(T2650="Backlog",T2650="Pipeline",T2650="Overdue"),ISNUMBER(W2650)),IF(W2650&lt;=Settings!$B$6,Q2650,0),0)</f>
        <v>0</v>
      </c>
      <c r="Z2650" s="38" t="n">
        <f aca="false">IF(Y2650=0,0,IF(T2650="Backlog",Q2650,Q2650*Dashboard!$C$10))</f>
        <v>0</v>
      </c>
      <c r="AA2650" s="37" t="n">
        <f aca="false">IF($N2650="",0,IF(COUNTIF(Dashboard!$C$13:$C$22,$N2650)&gt;0,1,0))</f>
        <v>0</v>
      </c>
      <c r="AB2650" s="37" t="str">
        <f aca="false">IF($N2650="","",IF(COUNTIF($N$8:$N2650,$N2650)=1,MAX($AB$7:$AB2649)+1,""))</f>
        <v/>
      </c>
    </row>
    <row r="2651" customFormat="false" ht="15" hidden="false" customHeight="false" outlineLevel="0" collapsed="false">
      <c r="L2651" s="37" t="str">
        <f aca="false">IF(INDEX($A2651:$J2651,$L$6)&lt;&gt;"",TRIM(LEFT(INDEX($A2651:$J2651,$L$6),FIND("(",INDEX($A2651:$J2651,$L$6)&amp;"(")-1)),L2650)</f>
        <v>Building Value Proposition</v>
      </c>
      <c r="M2651" s="37" t="str">
        <f aca="false">IF(INDEX($A2651:$J2651,$M$6)="","",INDEX($A2651:$J2651,$M$6)&amp;"")</f>
        <v/>
      </c>
      <c r="N2651" s="37" t="str">
        <f aca="false">IF($M2651="","",TRIM(INDEX($A2651:$J2651,$N$6)&amp;""))</f>
        <v/>
      </c>
      <c r="O2651" s="37" t="str">
        <f aca="false">IF($M2651="","",TRIM(INDEX($A2651:$J2651,$O$6)&amp;""))</f>
        <v/>
      </c>
      <c r="P2651" s="37" t="str">
        <f aca="false">IF($M2651="","",IFERROR(IF(INDEX(Settings!$B$41:$B$50,MATCH(O2651,Settings!$A$41:$A$50,0))&amp;""="","UNMAPPED",INDEX(Settings!$B$41:$B$50,MATCH(O2651,Settings!$A$41:$A$50,0))&amp;""),"UNMAPPED"))</f>
        <v/>
      </c>
      <c r="Q2651" s="38" t="n">
        <f aca="false">IF($M2651="",0,N(INDEX($A2651:$J2651,$Q$6)))</f>
        <v>0</v>
      </c>
      <c r="R2651" s="39" t="str">
        <f aca="false">IF($M2651="","",INDEX($A2651:$J2651,$R$6))</f>
        <v/>
      </c>
      <c r="S2651" s="37" t="str">
        <f aca="false">IF($M2651="","",IFERROR(INDEX(Settings!$B$27:$B$36,MATCH(L2651,Settings!$A$27:$A$36,0))&amp;"","UNMAPPED"))</f>
        <v/>
      </c>
      <c r="T2651" s="37" t="str">
        <f aca="false">IF($M2651="","",IF(NOT(ISNUMBER(R2651)),"NO DATE",IF(S2651="Won",IF(R2651&gt;Settings!$B$5,"Backlog","Delivered"),IF(S2651="Open",IF(R2651&gt;Settings!$B$5,"Pipeline","Overdue"),IF(S2651="Lost","Lost","UNMAPPED")))))</f>
        <v/>
      </c>
      <c r="U2651" s="40" t="n">
        <f aca="false">IF(T2651="Backlog",1,IF(OR(T2651="Pipeline",T2651="Overdue"),N(INDEX(Settings!$C$27:$C$36,MATCH(L2651,Settings!$A$27:$A$36,0))),0))</f>
        <v>0</v>
      </c>
      <c r="V2651" s="38" t="n">
        <f aca="false">Q2651*U2651</f>
        <v>0</v>
      </c>
      <c r="W2651" s="41" t="str">
        <f aca="false">IF($M2651="","",IF(T2651="Overdue",IF(Settings!$B$8="Yes",Settings!$B$7,""),IF(ISNUMBER(R2651),DATE(YEAR(R2651),MONTH(R2651),1),"")))</f>
        <v/>
      </c>
      <c r="X2651" s="38" t="n">
        <f aca="false">IF(AND(OR(T2651="Backlog",T2651="Pipeline",T2651="Overdue"),ISNUMBER(W2651)),IF(W2651&lt;=Settings!$B$6,V2651,0),0)</f>
        <v>0</v>
      </c>
      <c r="Y2651" s="38" t="n">
        <f aca="false">IF(AND(OR(T2651="Backlog",T2651="Pipeline",T2651="Overdue"),ISNUMBER(W2651)),IF(W2651&lt;=Settings!$B$6,Q2651,0),0)</f>
        <v>0</v>
      </c>
      <c r="Z2651" s="38" t="n">
        <f aca="false">IF(Y2651=0,0,IF(T2651="Backlog",Q2651,Q2651*Dashboard!$C$10))</f>
        <v>0</v>
      </c>
      <c r="AA2651" s="37" t="n">
        <f aca="false">IF($N2651="",0,IF(COUNTIF(Dashboard!$C$13:$C$22,$N2651)&gt;0,1,0))</f>
        <v>0</v>
      </c>
      <c r="AB2651" s="37" t="str">
        <f aca="false">IF($N2651="","",IF(COUNTIF($N$8:$N2651,$N2651)=1,MAX($AB$7:$AB2650)+1,""))</f>
        <v/>
      </c>
    </row>
    <row r="2652" customFormat="false" ht="15" hidden="false" customHeight="false" outlineLevel="0" collapsed="false">
      <c r="L2652" s="37" t="str">
        <f aca="false">IF(INDEX($A2652:$J2652,$L$6)&lt;&gt;"",TRIM(LEFT(INDEX($A2652:$J2652,$L$6),FIND("(",INDEX($A2652:$J2652,$L$6)&amp;"(")-1)),L2651)</f>
        <v>Building Value Proposition</v>
      </c>
      <c r="M2652" s="37" t="str">
        <f aca="false">IF(INDEX($A2652:$J2652,$M$6)="","",INDEX($A2652:$J2652,$M$6)&amp;"")</f>
        <v/>
      </c>
      <c r="N2652" s="37" t="str">
        <f aca="false">IF($M2652="","",TRIM(INDEX($A2652:$J2652,$N$6)&amp;""))</f>
        <v/>
      </c>
      <c r="O2652" s="37" t="str">
        <f aca="false">IF($M2652="","",TRIM(INDEX($A2652:$J2652,$O$6)&amp;""))</f>
        <v/>
      </c>
      <c r="P2652" s="37" t="str">
        <f aca="false">IF($M2652="","",IFERROR(IF(INDEX(Settings!$B$41:$B$50,MATCH(O2652,Settings!$A$41:$A$50,0))&amp;""="","UNMAPPED",INDEX(Settings!$B$41:$B$50,MATCH(O2652,Settings!$A$41:$A$50,0))&amp;""),"UNMAPPED"))</f>
        <v/>
      </c>
      <c r="Q2652" s="38" t="n">
        <f aca="false">IF($M2652="",0,N(INDEX($A2652:$J2652,$Q$6)))</f>
        <v>0</v>
      </c>
      <c r="R2652" s="39" t="str">
        <f aca="false">IF($M2652="","",INDEX($A2652:$J2652,$R$6))</f>
        <v/>
      </c>
      <c r="S2652" s="37" t="str">
        <f aca="false">IF($M2652="","",IFERROR(INDEX(Settings!$B$27:$B$36,MATCH(L2652,Settings!$A$27:$A$36,0))&amp;"","UNMAPPED"))</f>
        <v/>
      </c>
      <c r="T2652" s="37" t="str">
        <f aca="false">IF($M2652="","",IF(NOT(ISNUMBER(R2652)),"NO DATE",IF(S2652="Won",IF(R2652&gt;Settings!$B$5,"Backlog","Delivered"),IF(S2652="Open",IF(R2652&gt;Settings!$B$5,"Pipeline","Overdue"),IF(S2652="Lost","Lost","UNMAPPED")))))</f>
        <v/>
      </c>
      <c r="U2652" s="40" t="n">
        <f aca="false">IF(T2652="Backlog",1,IF(OR(T2652="Pipeline",T2652="Overdue"),N(INDEX(Settings!$C$27:$C$36,MATCH(L2652,Settings!$A$27:$A$36,0))),0))</f>
        <v>0</v>
      </c>
      <c r="V2652" s="38" t="n">
        <f aca="false">Q2652*U2652</f>
        <v>0</v>
      </c>
      <c r="W2652" s="41" t="str">
        <f aca="false">IF($M2652="","",IF(T2652="Overdue",IF(Settings!$B$8="Yes",Settings!$B$7,""),IF(ISNUMBER(R2652),DATE(YEAR(R2652),MONTH(R2652),1),"")))</f>
        <v/>
      </c>
      <c r="X2652" s="38" t="n">
        <f aca="false">IF(AND(OR(T2652="Backlog",T2652="Pipeline",T2652="Overdue"),ISNUMBER(W2652)),IF(W2652&lt;=Settings!$B$6,V2652,0),0)</f>
        <v>0</v>
      </c>
      <c r="Y2652" s="38" t="n">
        <f aca="false">IF(AND(OR(T2652="Backlog",T2652="Pipeline",T2652="Overdue"),ISNUMBER(W2652)),IF(W2652&lt;=Settings!$B$6,Q2652,0),0)</f>
        <v>0</v>
      </c>
      <c r="Z2652" s="38" t="n">
        <f aca="false">IF(Y2652=0,0,IF(T2652="Backlog",Q2652,Q2652*Dashboard!$C$10))</f>
        <v>0</v>
      </c>
      <c r="AA2652" s="37" t="n">
        <f aca="false">IF($N2652="",0,IF(COUNTIF(Dashboard!$C$13:$C$22,$N2652)&gt;0,1,0))</f>
        <v>0</v>
      </c>
      <c r="AB2652" s="37" t="str">
        <f aca="false">IF($N2652="","",IF(COUNTIF($N$8:$N2652,$N2652)=1,MAX($AB$7:$AB2651)+1,""))</f>
        <v/>
      </c>
    </row>
    <row r="2653" customFormat="false" ht="15" hidden="false" customHeight="false" outlineLevel="0" collapsed="false">
      <c r="L2653" s="37" t="str">
        <f aca="false">IF(INDEX($A2653:$J2653,$L$6)&lt;&gt;"",TRIM(LEFT(INDEX($A2653:$J2653,$L$6),FIND("(",INDEX($A2653:$J2653,$L$6)&amp;"(")-1)),L2652)</f>
        <v>Building Value Proposition</v>
      </c>
      <c r="M2653" s="37" t="str">
        <f aca="false">IF(INDEX($A2653:$J2653,$M$6)="","",INDEX($A2653:$J2653,$M$6)&amp;"")</f>
        <v/>
      </c>
      <c r="N2653" s="37" t="str">
        <f aca="false">IF($M2653="","",TRIM(INDEX($A2653:$J2653,$N$6)&amp;""))</f>
        <v/>
      </c>
      <c r="O2653" s="37" t="str">
        <f aca="false">IF($M2653="","",TRIM(INDEX($A2653:$J2653,$O$6)&amp;""))</f>
        <v/>
      </c>
      <c r="P2653" s="37" t="str">
        <f aca="false">IF($M2653="","",IFERROR(IF(INDEX(Settings!$B$41:$B$50,MATCH(O2653,Settings!$A$41:$A$50,0))&amp;""="","UNMAPPED",INDEX(Settings!$B$41:$B$50,MATCH(O2653,Settings!$A$41:$A$50,0))&amp;""),"UNMAPPED"))</f>
        <v/>
      </c>
      <c r="Q2653" s="38" t="n">
        <f aca="false">IF($M2653="",0,N(INDEX($A2653:$J2653,$Q$6)))</f>
        <v>0</v>
      </c>
      <c r="R2653" s="39" t="str">
        <f aca="false">IF($M2653="","",INDEX($A2653:$J2653,$R$6))</f>
        <v/>
      </c>
      <c r="S2653" s="37" t="str">
        <f aca="false">IF($M2653="","",IFERROR(INDEX(Settings!$B$27:$B$36,MATCH(L2653,Settings!$A$27:$A$36,0))&amp;"","UNMAPPED"))</f>
        <v/>
      </c>
      <c r="T2653" s="37" t="str">
        <f aca="false">IF($M2653="","",IF(NOT(ISNUMBER(R2653)),"NO DATE",IF(S2653="Won",IF(R2653&gt;Settings!$B$5,"Backlog","Delivered"),IF(S2653="Open",IF(R2653&gt;Settings!$B$5,"Pipeline","Overdue"),IF(S2653="Lost","Lost","UNMAPPED")))))</f>
        <v/>
      </c>
      <c r="U2653" s="40" t="n">
        <f aca="false">IF(T2653="Backlog",1,IF(OR(T2653="Pipeline",T2653="Overdue"),N(INDEX(Settings!$C$27:$C$36,MATCH(L2653,Settings!$A$27:$A$36,0))),0))</f>
        <v>0</v>
      </c>
      <c r="V2653" s="38" t="n">
        <f aca="false">Q2653*U2653</f>
        <v>0</v>
      </c>
      <c r="W2653" s="41" t="str">
        <f aca="false">IF($M2653="","",IF(T2653="Overdue",IF(Settings!$B$8="Yes",Settings!$B$7,""),IF(ISNUMBER(R2653),DATE(YEAR(R2653),MONTH(R2653),1),"")))</f>
        <v/>
      </c>
      <c r="X2653" s="38" t="n">
        <f aca="false">IF(AND(OR(T2653="Backlog",T2653="Pipeline",T2653="Overdue"),ISNUMBER(W2653)),IF(W2653&lt;=Settings!$B$6,V2653,0),0)</f>
        <v>0</v>
      </c>
      <c r="Y2653" s="38" t="n">
        <f aca="false">IF(AND(OR(T2653="Backlog",T2653="Pipeline",T2653="Overdue"),ISNUMBER(W2653)),IF(W2653&lt;=Settings!$B$6,Q2653,0),0)</f>
        <v>0</v>
      </c>
      <c r="Z2653" s="38" t="n">
        <f aca="false">IF(Y2653=0,0,IF(T2653="Backlog",Q2653,Q2653*Dashboard!$C$10))</f>
        <v>0</v>
      </c>
      <c r="AA2653" s="37" t="n">
        <f aca="false">IF($N2653="",0,IF(COUNTIF(Dashboard!$C$13:$C$22,$N2653)&gt;0,1,0))</f>
        <v>0</v>
      </c>
      <c r="AB2653" s="37" t="str">
        <f aca="false">IF($N2653="","",IF(COUNTIF($N$8:$N2653,$N2653)=1,MAX($AB$7:$AB2652)+1,""))</f>
        <v/>
      </c>
    </row>
    <row r="2654" customFormat="false" ht="15" hidden="false" customHeight="false" outlineLevel="0" collapsed="false">
      <c r="L2654" s="37" t="str">
        <f aca="false">IF(INDEX($A2654:$J2654,$L$6)&lt;&gt;"",TRIM(LEFT(INDEX($A2654:$J2654,$L$6),FIND("(",INDEX($A2654:$J2654,$L$6)&amp;"(")-1)),L2653)</f>
        <v>Building Value Proposition</v>
      </c>
      <c r="M2654" s="37" t="str">
        <f aca="false">IF(INDEX($A2654:$J2654,$M$6)="","",INDEX($A2654:$J2654,$M$6)&amp;"")</f>
        <v/>
      </c>
      <c r="N2654" s="37" t="str">
        <f aca="false">IF($M2654="","",TRIM(INDEX($A2654:$J2654,$N$6)&amp;""))</f>
        <v/>
      </c>
      <c r="O2654" s="37" t="str">
        <f aca="false">IF($M2654="","",TRIM(INDEX($A2654:$J2654,$O$6)&amp;""))</f>
        <v/>
      </c>
      <c r="P2654" s="37" t="str">
        <f aca="false">IF($M2654="","",IFERROR(IF(INDEX(Settings!$B$41:$B$50,MATCH(O2654,Settings!$A$41:$A$50,0))&amp;""="","UNMAPPED",INDEX(Settings!$B$41:$B$50,MATCH(O2654,Settings!$A$41:$A$50,0))&amp;""),"UNMAPPED"))</f>
        <v/>
      </c>
      <c r="Q2654" s="38" t="n">
        <f aca="false">IF($M2654="",0,N(INDEX($A2654:$J2654,$Q$6)))</f>
        <v>0</v>
      </c>
      <c r="R2654" s="39" t="str">
        <f aca="false">IF($M2654="","",INDEX($A2654:$J2654,$R$6))</f>
        <v/>
      </c>
      <c r="S2654" s="37" t="str">
        <f aca="false">IF($M2654="","",IFERROR(INDEX(Settings!$B$27:$B$36,MATCH(L2654,Settings!$A$27:$A$36,0))&amp;"","UNMAPPED"))</f>
        <v/>
      </c>
      <c r="T2654" s="37" t="str">
        <f aca="false">IF($M2654="","",IF(NOT(ISNUMBER(R2654)),"NO DATE",IF(S2654="Won",IF(R2654&gt;Settings!$B$5,"Backlog","Delivered"),IF(S2654="Open",IF(R2654&gt;Settings!$B$5,"Pipeline","Overdue"),IF(S2654="Lost","Lost","UNMAPPED")))))</f>
        <v/>
      </c>
      <c r="U2654" s="40" t="n">
        <f aca="false">IF(T2654="Backlog",1,IF(OR(T2654="Pipeline",T2654="Overdue"),N(INDEX(Settings!$C$27:$C$36,MATCH(L2654,Settings!$A$27:$A$36,0))),0))</f>
        <v>0</v>
      </c>
      <c r="V2654" s="38" t="n">
        <f aca="false">Q2654*U2654</f>
        <v>0</v>
      </c>
      <c r="W2654" s="41" t="str">
        <f aca="false">IF($M2654="","",IF(T2654="Overdue",IF(Settings!$B$8="Yes",Settings!$B$7,""),IF(ISNUMBER(R2654),DATE(YEAR(R2654),MONTH(R2654),1),"")))</f>
        <v/>
      </c>
      <c r="X2654" s="38" t="n">
        <f aca="false">IF(AND(OR(T2654="Backlog",T2654="Pipeline",T2654="Overdue"),ISNUMBER(W2654)),IF(W2654&lt;=Settings!$B$6,V2654,0),0)</f>
        <v>0</v>
      </c>
      <c r="Y2654" s="38" t="n">
        <f aca="false">IF(AND(OR(T2654="Backlog",T2654="Pipeline",T2654="Overdue"),ISNUMBER(W2654)),IF(W2654&lt;=Settings!$B$6,Q2654,0),0)</f>
        <v>0</v>
      </c>
      <c r="Z2654" s="38" t="n">
        <f aca="false">IF(Y2654=0,0,IF(T2654="Backlog",Q2654,Q2654*Dashboard!$C$10))</f>
        <v>0</v>
      </c>
      <c r="AA2654" s="37" t="n">
        <f aca="false">IF($N2654="",0,IF(COUNTIF(Dashboard!$C$13:$C$22,$N2654)&gt;0,1,0))</f>
        <v>0</v>
      </c>
      <c r="AB2654" s="37" t="str">
        <f aca="false">IF($N2654="","",IF(COUNTIF($N$8:$N2654,$N2654)=1,MAX($AB$7:$AB2653)+1,""))</f>
        <v/>
      </c>
    </row>
    <row r="2655" customFormat="false" ht="15" hidden="false" customHeight="false" outlineLevel="0" collapsed="false">
      <c r="L2655" s="37" t="str">
        <f aca="false">IF(INDEX($A2655:$J2655,$L$6)&lt;&gt;"",TRIM(LEFT(INDEX($A2655:$J2655,$L$6),FIND("(",INDEX($A2655:$J2655,$L$6)&amp;"(")-1)),L2654)</f>
        <v>Building Value Proposition</v>
      </c>
      <c r="M2655" s="37" t="str">
        <f aca="false">IF(INDEX($A2655:$J2655,$M$6)="","",INDEX($A2655:$J2655,$M$6)&amp;"")</f>
        <v/>
      </c>
      <c r="N2655" s="37" t="str">
        <f aca="false">IF($M2655="","",TRIM(INDEX($A2655:$J2655,$N$6)&amp;""))</f>
        <v/>
      </c>
      <c r="O2655" s="37" t="str">
        <f aca="false">IF($M2655="","",TRIM(INDEX($A2655:$J2655,$O$6)&amp;""))</f>
        <v/>
      </c>
      <c r="P2655" s="37" t="str">
        <f aca="false">IF($M2655="","",IFERROR(IF(INDEX(Settings!$B$41:$B$50,MATCH(O2655,Settings!$A$41:$A$50,0))&amp;""="","UNMAPPED",INDEX(Settings!$B$41:$B$50,MATCH(O2655,Settings!$A$41:$A$50,0))&amp;""),"UNMAPPED"))</f>
        <v/>
      </c>
      <c r="Q2655" s="38" t="n">
        <f aca="false">IF($M2655="",0,N(INDEX($A2655:$J2655,$Q$6)))</f>
        <v>0</v>
      </c>
      <c r="R2655" s="39" t="str">
        <f aca="false">IF($M2655="","",INDEX($A2655:$J2655,$R$6))</f>
        <v/>
      </c>
      <c r="S2655" s="37" t="str">
        <f aca="false">IF($M2655="","",IFERROR(INDEX(Settings!$B$27:$B$36,MATCH(L2655,Settings!$A$27:$A$36,0))&amp;"","UNMAPPED"))</f>
        <v/>
      </c>
      <c r="T2655" s="37" t="str">
        <f aca="false">IF($M2655="","",IF(NOT(ISNUMBER(R2655)),"NO DATE",IF(S2655="Won",IF(R2655&gt;Settings!$B$5,"Backlog","Delivered"),IF(S2655="Open",IF(R2655&gt;Settings!$B$5,"Pipeline","Overdue"),IF(S2655="Lost","Lost","UNMAPPED")))))</f>
        <v/>
      </c>
      <c r="U2655" s="40" t="n">
        <f aca="false">IF(T2655="Backlog",1,IF(OR(T2655="Pipeline",T2655="Overdue"),N(INDEX(Settings!$C$27:$C$36,MATCH(L2655,Settings!$A$27:$A$36,0))),0))</f>
        <v>0</v>
      </c>
      <c r="V2655" s="38" t="n">
        <f aca="false">Q2655*U2655</f>
        <v>0</v>
      </c>
      <c r="W2655" s="41" t="str">
        <f aca="false">IF($M2655="","",IF(T2655="Overdue",IF(Settings!$B$8="Yes",Settings!$B$7,""),IF(ISNUMBER(R2655),DATE(YEAR(R2655),MONTH(R2655),1),"")))</f>
        <v/>
      </c>
      <c r="X2655" s="38" t="n">
        <f aca="false">IF(AND(OR(T2655="Backlog",T2655="Pipeline",T2655="Overdue"),ISNUMBER(W2655)),IF(W2655&lt;=Settings!$B$6,V2655,0),0)</f>
        <v>0</v>
      </c>
      <c r="Y2655" s="38" t="n">
        <f aca="false">IF(AND(OR(T2655="Backlog",T2655="Pipeline",T2655="Overdue"),ISNUMBER(W2655)),IF(W2655&lt;=Settings!$B$6,Q2655,0),0)</f>
        <v>0</v>
      </c>
      <c r="Z2655" s="38" t="n">
        <f aca="false">IF(Y2655=0,0,IF(T2655="Backlog",Q2655,Q2655*Dashboard!$C$10))</f>
        <v>0</v>
      </c>
      <c r="AA2655" s="37" t="n">
        <f aca="false">IF($N2655="",0,IF(COUNTIF(Dashboard!$C$13:$C$22,$N2655)&gt;0,1,0))</f>
        <v>0</v>
      </c>
      <c r="AB2655" s="37" t="str">
        <f aca="false">IF($N2655="","",IF(COUNTIF($N$8:$N2655,$N2655)=1,MAX($AB$7:$AB2654)+1,""))</f>
        <v/>
      </c>
    </row>
    <row r="2656" customFormat="false" ht="15" hidden="false" customHeight="false" outlineLevel="0" collapsed="false">
      <c r="L2656" s="37" t="str">
        <f aca="false">IF(INDEX($A2656:$J2656,$L$6)&lt;&gt;"",TRIM(LEFT(INDEX($A2656:$J2656,$L$6),FIND("(",INDEX($A2656:$J2656,$L$6)&amp;"(")-1)),L2655)</f>
        <v>Building Value Proposition</v>
      </c>
      <c r="M2656" s="37" t="str">
        <f aca="false">IF(INDEX($A2656:$J2656,$M$6)="","",INDEX($A2656:$J2656,$M$6)&amp;"")</f>
        <v/>
      </c>
      <c r="N2656" s="37" t="str">
        <f aca="false">IF($M2656="","",TRIM(INDEX($A2656:$J2656,$N$6)&amp;""))</f>
        <v/>
      </c>
      <c r="O2656" s="37" t="str">
        <f aca="false">IF($M2656="","",TRIM(INDEX($A2656:$J2656,$O$6)&amp;""))</f>
        <v/>
      </c>
      <c r="P2656" s="37" t="str">
        <f aca="false">IF($M2656="","",IFERROR(IF(INDEX(Settings!$B$41:$B$50,MATCH(O2656,Settings!$A$41:$A$50,0))&amp;""="","UNMAPPED",INDEX(Settings!$B$41:$B$50,MATCH(O2656,Settings!$A$41:$A$50,0))&amp;""),"UNMAPPED"))</f>
        <v/>
      </c>
      <c r="Q2656" s="38" t="n">
        <f aca="false">IF($M2656="",0,N(INDEX($A2656:$J2656,$Q$6)))</f>
        <v>0</v>
      </c>
      <c r="R2656" s="39" t="str">
        <f aca="false">IF($M2656="","",INDEX($A2656:$J2656,$R$6))</f>
        <v/>
      </c>
      <c r="S2656" s="37" t="str">
        <f aca="false">IF($M2656="","",IFERROR(INDEX(Settings!$B$27:$B$36,MATCH(L2656,Settings!$A$27:$A$36,0))&amp;"","UNMAPPED"))</f>
        <v/>
      </c>
      <c r="T2656" s="37" t="str">
        <f aca="false">IF($M2656="","",IF(NOT(ISNUMBER(R2656)),"NO DATE",IF(S2656="Won",IF(R2656&gt;Settings!$B$5,"Backlog","Delivered"),IF(S2656="Open",IF(R2656&gt;Settings!$B$5,"Pipeline","Overdue"),IF(S2656="Lost","Lost","UNMAPPED")))))</f>
        <v/>
      </c>
      <c r="U2656" s="40" t="n">
        <f aca="false">IF(T2656="Backlog",1,IF(OR(T2656="Pipeline",T2656="Overdue"),N(INDEX(Settings!$C$27:$C$36,MATCH(L2656,Settings!$A$27:$A$36,0))),0))</f>
        <v>0</v>
      </c>
      <c r="V2656" s="38" t="n">
        <f aca="false">Q2656*U2656</f>
        <v>0</v>
      </c>
      <c r="W2656" s="41" t="str">
        <f aca="false">IF($M2656="","",IF(T2656="Overdue",IF(Settings!$B$8="Yes",Settings!$B$7,""),IF(ISNUMBER(R2656),DATE(YEAR(R2656),MONTH(R2656),1),"")))</f>
        <v/>
      </c>
      <c r="X2656" s="38" t="n">
        <f aca="false">IF(AND(OR(T2656="Backlog",T2656="Pipeline",T2656="Overdue"),ISNUMBER(W2656)),IF(W2656&lt;=Settings!$B$6,V2656,0),0)</f>
        <v>0</v>
      </c>
      <c r="Y2656" s="38" t="n">
        <f aca="false">IF(AND(OR(T2656="Backlog",T2656="Pipeline",T2656="Overdue"),ISNUMBER(W2656)),IF(W2656&lt;=Settings!$B$6,Q2656,0),0)</f>
        <v>0</v>
      </c>
      <c r="Z2656" s="38" t="n">
        <f aca="false">IF(Y2656=0,0,IF(T2656="Backlog",Q2656,Q2656*Dashboard!$C$10))</f>
        <v>0</v>
      </c>
      <c r="AA2656" s="37" t="n">
        <f aca="false">IF($N2656="",0,IF(COUNTIF(Dashboard!$C$13:$C$22,$N2656)&gt;0,1,0))</f>
        <v>0</v>
      </c>
      <c r="AB2656" s="37" t="str">
        <f aca="false">IF($N2656="","",IF(COUNTIF($N$8:$N2656,$N2656)=1,MAX($AB$7:$AB2655)+1,""))</f>
        <v/>
      </c>
    </row>
    <row r="2657" customFormat="false" ht="15" hidden="false" customHeight="false" outlineLevel="0" collapsed="false">
      <c r="L2657" s="37" t="str">
        <f aca="false">IF(INDEX($A2657:$J2657,$L$6)&lt;&gt;"",TRIM(LEFT(INDEX($A2657:$J2657,$L$6),FIND("(",INDEX($A2657:$J2657,$L$6)&amp;"(")-1)),L2656)</f>
        <v>Building Value Proposition</v>
      </c>
      <c r="M2657" s="37" t="str">
        <f aca="false">IF(INDEX($A2657:$J2657,$M$6)="","",INDEX($A2657:$J2657,$M$6)&amp;"")</f>
        <v/>
      </c>
      <c r="N2657" s="37" t="str">
        <f aca="false">IF($M2657="","",TRIM(INDEX($A2657:$J2657,$N$6)&amp;""))</f>
        <v/>
      </c>
      <c r="O2657" s="37" t="str">
        <f aca="false">IF($M2657="","",TRIM(INDEX($A2657:$J2657,$O$6)&amp;""))</f>
        <v/>
      </c>
      <c r="P2657" s="37" t="str">
        <f aca="false">IF($M2657="","",IFERROR(IF(INDEX(Settings!$B$41:$B$50,MATCH(O2657,Settings!$A$41:$A$50,0))&amp;""="","UNMAPPED",INDEX(Settings!$B$41:$B$50,MATCH(O2657,Settings!$A$41:$A$50,0))&amp;""),"UNMAPPED"))</f>
        <v/>
      </c>
      <c r="Q2657" s="38" t="n">
        <f aca="false">IF($M2657="",0,N(INDEX($A2657:$J2657,$Q$6)))</f>
        <v>0</v>
      </c>
      <c r="R2657" s="39" t="str">
        <f aca="false">IF($M2657="","",INDEX($A2657:$J2657,$R$6))</f>
        <v/>
      </c>
      <c r="S2657" s="37" t="str">
        <f aca="false">IF($M2657="","",IFERROR(INDEX(Settings!$B$27:$B$36,MATCH(L2657,Settings!$A$27:$A$36,0))&amp;"","UNMAPPED"))</f>
        <v/>
      </c>
      <c r="T2657" s="37" t="str">
        <f aca="false">IF($M2657="","",IF(NOT(ISNUMBER(R2657)),"NO DATE",IF(S2657="Won",IF(R2657&gt;Settings!$B$5,"Backlog","Delivered"),IF(S2657="Open",IF(R2657&gt;Settings!$B$5,"Pipeline","Overdue"),IF(S2657="Lost","Lost","UNMAPPED")))))</f>
        <v/>
      </c>
      <c r="U2657" s="40" t="n">
        <f aca="false">IF(T2657="Backlog",1,IF(OR(T2657="Pipeline",T2657="Overdue"),N(INDEX(Settings!$C$27:$C$36,MATCH(L2657,Settings!$A$27:$A$36,0))),0))</f>
        <v>0</v>
      </c>
      <c r="V2657" s="38" t="n">
        <f aca="false">Q2657*U2657</f>
        <v>0</v>
      </c>
      <c r="W2657" s="41" t="str">
        <f aca="false">IF($M2657="","",IF(T2657="Overdue",IF(Settings!$B$8="Yes",Settings!$B$7,""),IF(ISNUMBER(R2657),DATE(YEAR(R2657),MONTH(R2657),1),"")))</f>
        <v/>
      </c>
      <c r="X2657" s="38" t="n">
        <f aca="false">IF(AND(OR(T2657="Backlog",T2657="Pipeline",T2657="Overdue"),ISNUMBER(W2657)),IF(W2657&lt;=Settings!$B$6,V2657,0),0)</f>
        <v>0</v>
      </c>
      <c r="Y2657" s="38" t="n">
        <f aca="false">IF(AND(OR(T2657="Backlog",T2657="Pipeline",T2657="Overdue"),ISNUMBER(W2657)),IF(W2657&lt;=Settings!$B$6,Q2657,0),0)</f>
        <v>0</v>
      </c>
      <c r="Z2657" s="38" t="n">
        <f aca="false">IF(Y2657=0,0,IF(T2657="Backlog",Q2657,Q2657*Dashboard!$C$10))</f>
        <v>0</v>
      </c>
      <c r="AA2657" s="37" t="n">
        <f aca="false">IF($N2657="",0,IF(COUNTIF(Dashboard!$C$13:$C$22,$N2657)&gt;0,1,0))</f>
        <v>0</v>
      </c>
      <c r="AB2657" s="37" t="str">
        <f aca="false">IF($N2657="","",IF(COUNTIF($N$8:$N2657,$N2657)=1,MAX($AB$7:$AB2656)+1,""))</f>
        <v/>
      </c>
    </row>
    <row r="2658" customFormat="false" ht="15" hidden="false" customHeight="false" outlineLevel="0" collapsed="false">
      <c r="L2658" s="37" t="str">
        <f aca="false">IF(INDEX($A2658:$J2658,$L$6)&lt;&gt;"",TRIM(LEFT(INDEX($A2658:$J2658,$L$6),FIND("(",INDEX($A2658:$J2658,$L$6)&amp;"(")-1)),L2657)</f>
        <v>Building Value Proposition</v>
      </c>
      <c r="M2658" s="37" t="str">
        <f aca="false">IF(INDEX($A2658:$J2658,$M$6)="","",INDEX($A2658:$J2658,$M$6)&amp;"")</f>
        <v/>
      </c>
      <c r="N2658" s="37" t="str">
        <f aca="false">IF($M2658="","",TRIM(INDEX($A2658:$J2658,$N$6)&amp;""))</f>
        <v/>
      </c>
      <c r="O2658" s="37" t="str">
        <f aca="false">IF($M2658="","",TRIM(INDEX($A2658:$J2658,$O$6)&amp;""))</f>
        <v/>
      </c>
      <c r="P2658" s="37" t="str">
        <f aca="false">IF($M2658="","",IFERROR(IF(INDEX(Settings!$B$41:$B$50,MATCH(O2658,Settings!$A$41:$A$50,0))&amp;""="","UNMAPPED",INDEX(Settings!$B$41:$B$50,MATCH(O2658,Settings!$A$41:$A$50,0))&amp;""),"UNMAPPED"))</f>
        <v/>
      </c>
      <c r="Q2658" s="38" t="n">
        <f aca="false">IF($M2658="",0,N(INDEX($A2658:$J2658,$Q$6)))</f>
        <v>0</v>
      </c>
      <c r="R2658" s="39" t="str">
        <f aca="false">IF($M2658="","",INDEX($A2658:$J2658,$R$6))</f>
        <v/>
      </c>
      <c r="S2658" s="37" t="str">
        <f aca="false">IF($M2658="","",IFERROR(INDEX(Settings!$B$27:$B$36,MATCH(L2658,Settings!$A$27:$A$36,0))&amp;"","UNMAPPED"))</f>
        <v/>
      </c>
      <c r="T2658" s="37" t="str">
        <f aca="false">IF($M2658="","",IF(NOT(ISNUMBER(R2658)),"NO DATE",IF(S2658="Won",IF(R2658&gt;Settings!$B$5,"Backlog","Delivered"),IF(S2658="Open",IF(R2658&gt;Settings!$B$5,"Pipeline","Overdue"),IF(S2658="Lost","Lost","UNMAPPED")))))</f>
        <v/>
      </c>
      <c r="U2658" s="40" t="n">
        <f aca="false">IF(T2658="Backlog",1,IF(OR(T2658="Pipeline",T2658="Overdue"),N(INDEX(Settings!$C$27:$C$36,MATCH(L2658,Settings!$A$27:$A$36,0))),0))</f>
        <v>0</v>
      </c>
      <c r="V2658" s="38" t="n">
        <f aca="false">Q2658*U2658</f>
        <v>0</v>
      </c>
      <c r="W2658" s="41" t="str">
        <f aca="false">IF($M2658="","",IF(T2658="Overdue",IF(Settings!$B$8="Yes",Settings!$B$7,""),IF(ISNUMBER(R2658),DATE(YEAR(R2658),MONTH(R2658),1),"")))</f>
        <v/>
      </c>
      <c r="X2658" s="38" t="n">
        <f aca="false">IF(AND(OR(T2658="Backlog",T2658="Pipeline",T2658="Overdue"),ISNUMBER(W2658)),IF(W2658&lt;=Settings!$B$6,V2658,0),0)</f>
        <v>0</v>
      </c>
      <c r="Y2658" s="38" t="n">
        <f aca="false">IF(AND(OR(T2658="Backlog",T2658="Pipeline",T2658="Overdue"),ISNUMBER(W2658)),IF(W2658&lt;=Settings!$B$6,Q2658,0),0)</f>
        <v>0</v>
      </c>
      <c r="Z2658" s="38" t="n">
        <f aca="false">IF(Y2658=0,0,IF(T2658="Backlog",Q2658,Q2658*Dashboard!$C$10))</f>
        <v>0</v>
      </c>
      <c r="AA2658" s="37" t="n">
        <f aca="false">IF($N2658="",0,IF(COUNTIF(Dashboard!$C$13:$C$22,$N2658)&gt;0,1,0))</f>
        <v>0</v>
      </c>
      <c r="AB2658" s="37" t="str">
        <f aca="false">IF($N2658="","",IF(COUNTIF($N$8:$N2658,$N2658)=1,MAX($AB$7:$AB2657)+1,""))</f>
        <v/>
      </c>
    </row>
    <row r="2659" customFormat="false" ht="15" hidden="false" customHeight="false" outlineLevel="0" collapsed="false">
      <c r="L2659" s="37" t="str">
        <f aca="false">IF(INDEX($A2659:$J2659,$L$6)&lt;&gt;"",TRIM(LEFT(INDEX($A2659:$J2659,$L$6),FIND("(",INDEX($A2659:$J2659,$L$6)&amp;"(")-1)),L2658)</f>
        <v>Building Value Proposition</v>
      </c>
      <c r="M2659" s="37" t="str">
        <f aca="false">IF(INDEX($A2659:$J2659,$M$6)="","",INDEX($A2659:$J2659,$M$6)&amp;"")</f>
        <v/>
      </c>
      <c r="N2659" s="37" t="str">
        <f aca="false">IF($M2659="","",TRIM(INDEX($A2659:$J2659,$N$6)&amp;""))</f>
        <v/>
      </c>
      <c r="O2659" s="37" t="str">
        <f aca="false">IF($M2659="","",TRIM(INDEX($A2659:$J2659,$O$6)&amp;""))</f>
        <v/>
      </c>
      <c r="P2659" s="37" t="str">
        <f aca="false">IF($M2659="","",IFERROR(IF(INDEX(Settings!$B$41:$B$50,MATCH(O2659,Settings!$A$41:$A$50,0))&amp;""="","UNMAPPED",INDEX(Settings!$B$41:$B$50,MATCH(O2659,Settings!$A$41:$A$50,0))&amp;""),"UNMAPPED"))</f>
        <v/>
      </c>
      <c r="Q2659" s="38" t="n">
        <f aca="false">IF($M2659="",0,N(INDEX($A2659:$J2659,$Q$6)))</f>
        <v>0</v>
      </c>
      <c r="R2659" s="39" t="str">
        <f aca="false">IF($M2659="","",INDEX($A2659:$J2659,$R$6))</f>
        <v/>
      </c>
      <c r="S2659" s="37" t="str">
        <f aca="false">IF($M2659="","",IFERROR(INDEX(Settings!$B$27:$B$36,MATCH(L2659,Settings!$A$27:$A$36,0))&amp;"","UNMAPPED"))</f>
        <v/>
      </c>
      <c r="T2659" s="37" t="str">
        <f aca="false">IF($M2659="","",IF(NOT(ISNUMBER(R2659)),"NO DATE",IF(S2659="Won",IF(R2659&gt;Settings!$B$5,"Backlog","Delivered"),IF(S2659="Open",IF(R2659&gt;Settings!$B$5,"Pipeline","Overdue"),IF(S2659="Lost","Lost","UNMAPPED")))))</f>
        <v/>
      </c>
      <c r="U2659" s="40" t="n">
        <f aca="false">IF(T2659="Backlog",1,IF(OR(T2659="Pipeline",T2659="Overdue"),N(INDEX(Settings!$C$27:$C$36,MATCH(L2659,Settings!$A$27:$A$36,0))),0))</f>
        <v>0</v>
      </c>
      <c r="V2659" s="38" t="n">
        <f aca="false">Q2659*U2659</f>
        <v>0</v>
      </c>
      <c r="W2659" s="41" t="str">
        <f aca="false">IF($M2659="","",IF(T2659="Overdue",IF(Settings!$B$8="Yes",Settings!$B$7,""),IF(ISNUMBER(R2659),DATE(YEAR(R2659),MONTH(R2659),1),"")))</f>
        <v/>
      </c>
      <c r="X2659" s="38" t="n">
        <f aca="false">IF(AND(OR(T2659="Backlog",T2659="Pipeline",T2659="Overdue"),ISNUMBER(W2659)),IF(W2659&lt;=Settings!$B$6,V2659,0),0)</f>
        <v>0</v>
      </c>
      <c r="Y2659" s="38" t="n">
        <f aca="false">IF(AND(OR(T2659="Backlog",T2659="Pipeline",T2659="Overdue"),ISNUMBER(W2659)),IF(W2659&lt;=Settings!$B$6,Q2659,0),0)</f>
        <v>0</v>
      </c>
      <c r="Z2659" s="38" t="n">
        <f aca="false">IF(Y2659=0,0,IF(T2659="Backlog",Q2659,Q2659*Dashboard!$C$10))</f>
        <v>0</v>
      </c>
      <c r="AA2659" s="37" t="n">
        <f aca="false">IF($N2659="",0,IF(COUNTIF(Dashboard!$C$13:$C$22,$N2659)&gt;0,1,0))</f>
        <v>0</v>
      </c>
      <c r="AB2659" s="37" t="str">
        <f aca="false">IF($N2659="","",IF(COUNTIF($N$8:$N2659,$N2659)=1,MAX($AB$7:$AB2658)+1,""))</f>
        <v/>
      </c>
    </row>
    <row r="2660" customFormat="false" ht="15" hidden="false" customHeight="false" outlineLevel="0" collapsed="false">
      <c r="L2660" s="37" t="str">
        <f aca="false">IF(INDEX($A2660:$J2660,$L$6)&lt;&gt;"",TRIM(LEFT(INDEX($A2660:$J2660,$L$6),FIND("(",INDEX($A2660:$J2660,$L$6)&amp;"(")-1)),L2659)</f>
        <v>Building Value Proposition</v>
      </c>
      <c r="M2660" s="37" t="str">
        <f aca="false">IF(INDEX($A2660:$J2660,$M$6)="","",INDEX($A2660:$J2660,$M$6)&amp;"")</f>
        <v/>
      </c>
      <c r="N2660" s="37" t="str">
        <f aca="false">IF($M2660="","",TRIM(INDEX($A2660:$J2660,$N$6)&amp;""))</f>
        <v/>
      </c>
      <c r="O2660" s="37" t="str">
        <f aca="false">IF($M2660="","",TRIM(INDEX($A2660:$J2660,$O$6)&amp;""))</f>
        <v/>
      </c>
      <c r="P2660" s="37" t="str">
        <f aca="false">IF($M2660="","",IFERROR(IF(INDEX(Settings!$B$41:$B$50,MATCH(O2660,Settings!$A$41:$A$50,0))&amp;""="","UNMAPPED",INDEX(Settings!$B$41:$B$50,MATCH(O2660,Settings!$A$41:$A$50,0))&amp;""),"UNMAPPED"))</f>
        <v/>
      </c>
      <c r="Q2660" s="38" t="n">
        <f aca="false">IF($M2660="",0,N(INDEX($A2660:$J2660,$Q$6)))</f>
        <v>0</v>
      </c>
      <c r="R2660" s="39" t="str">
        <f aca="false">IF($M2660="","",INDEX($A2660:$J2660,$R$6))</f>
        <v/>
      </c>
      <c r="S2660" s="37" t="str">
        <f aca="false">IF($M2660="","",IFERROR(INDEX(Settings!$B$27:$B$36,MATCH(L2660,Settings!$A$27:$A$36,0))&amp;"","UNMAPPED"))</f>
        <v/>
      </c>
      <c r="T2660" s="37" t="str">
        <f aca="false">IF($M2660="","",IF(NOT(ISNUMBER(R2660)),"NO DATE",IF(S2660="Won",IF(R2660&gt;Settings!$B$5,"Backlog","Delivered"),IF(S2660="Open",IF(R2660&gt;Settings!$B$5,"Pipeline","Overdue"),IF(S2660="Lost","Lost","UNMAPPED")))))</f>
        <v/>
      </c>
      <c r="U2660" s="40" t="n">
        <f aca="false">IF(T2660="Backlog",1,IF(OR(T2660="Pipeline",T2660="Overdue"),N(INDEX(Settings!$C$27:$C$36,MATCH(L2660,Settings!$A$27:$A$36,0))),0))</f>
        <v>0</v>
      </c>
      <c r="V2660" s="38" t="n">
        <f aca="false">Q2660*U2660</f>
        <v>0</v>
      </c>
      <c r="W2660" s="41" t="str">
        <f aca="false">IF($M2660="","",IF(T2660="Overdue",IF(Settings!$B$8="Yes",Settings!$B$7,""),IF(ISNUMBER(R2660),DATE(YEAR(R2660),MONTH(R2660),1),"")))</f>
        <v/>
      </c>
      <c r="X2660" s="38" t="n">
        <f aca="false">IF(AND(OR(T2660="Backlog",T2660="Pipeline",T2660="Overdue"),ISNUMBER(W2660)),IF(W2660&lt;=Settings!$B$6,V2660,0),0)</f>
        <v>0</v>
      </c>
      <c r="Y2660" s="38" t="n">
        <f aca="false">IF(AND(OR(T2660="Backlog",T2660="Pipeline",T2660="Overdue"),ISNUMBER(W2660)),IF(W2660&lt;=Settings!$B$6,Q2660,0),0)</f>
        <v>0</v>
      </c>
      <c r="Z2660" s="38" t="n">
        <f aca="false">IF(Y2660=0,0,IF(T2660="Backlog",Q2660,Q2660*Dashboard!$C$10))</f>
        <v>0</v>
      </c>
      <c r="AA2660" s="37" t="n">
        <f aca="false">IF($N2660="",0,IF(COUNTIF(Dashboard!$C$13:$C$22,$N2660)&gt;0,1,0))</f>
        <v>0</v>
      </c>
      <c r="AB2660" s="37" t="str">
        <f aca="false">IF($N2660="","",IF(COUNTIF($N$8:$N2660,$N2660)=1,MAX($AB$7:$AB2659)+1,""))</f>
        <v/>
      </c>
    </row>
    <row r="2661" customFormat="false" ht="15" hidden="false" customHeight="false" outlineLevel="0" collapsed="false">
      <c r="L2661" s="37" t="str">
        <f aca="false">IF(INDEX($A2661:$J2661,$L$6)&lt;&gt;"",TRIM(LEFT(INDEX($A2661:$J2661,$L$6),FIND("(",INDEX($A2661:$J2661,$L$6)&amp;"(")-1)),L2660)</f>
        <v>Building Value Proposition</v>
      </c>
      <c r="M2661" s="37" t="str">
        <f aca="false">IF(INDEX($A2661:$J2661,$M$6)="","",INDEX($A2661:$J2661,$M$6)&amp;"")</f>
        <v/>
      </c>
      <c r="N2661" s="37" t="str">
        <f aca="false">IF($M2661="","",TRIM(INDEX($A2661:$J2661,$N$6)&amp;""))</f>
        <v/>
      </c>
      <c r="O2661" s="37" t="str">
        <f aca="false">IF($M2661="","",TRIM(INDEX($A2661:$J2661,$O$6)&amp;""))</f>
        <v/>
      </c>
      <c r="P2661" s="37" t="str">
        <f aca="false">IF($M2661="","",IFERROR(IF(INDEX(Settings!$B$41:$B$50,MATCH(O2661,Settings!$A$41:$A$50,0))&amp;""="","UNMAPPED",INDEX(Settings!$B$41:$B$50,MATCH(O2661,Settings!$A$41:$A$50,0))&amp;""),"UNMAPPED"))</f>
        <v/>
      </c>
      <c r="Q2661" s="38" t="n">
        <f aca="false">IF($M2661="",0,N(INDEX($A2661:$J2661,$Q$6)))</f>
        <v>0</v>
      </c>
      <c r="R2661" s="39" t="str">
        <f aca="false">IF($M2661="","",INDEX($A2661:$J2661,$R$6))</f>
        <v/>
      </c>
      <c r="S2661" s="37" t="str">
        <f aca="false">IF($M2661="","",IFERROR(INDEX(Settings!$B$27:$B$36,MATCH(L2661,Settings!$A$27:$A$36,0))&amp;"","UNMAPPED"))</f>
        <v/>
      </c>
      <c r="T2661" s="37" t="str">
        <f aca="false">IF($M2661="","",IF(NOT(ISNUMBER(R2661)),"NO DATE",IF(S2661="Won",IF(R2661&gt;Settings!$B$5,"Backlog","Delivered"),IF(S2661="Open",IF(R2661&gt;Settings!$B$5,"Pipeline","Overdue"),IF(S2661="Lost","Lost","UNMAPPED")))))</f>
        <v/>
      </c>
      <c r="U2661" s="40" t="n">
        <f aca="false">IF(T2661="Backlog",1,IF(OR(T2661="Pipeline",T2661="Overdue"),N(INDEX(Settings!$C$27:$C$36,MATCH(L2661,Settings!$A$27:$A$36,0))),0))</f>
        <v>0</v>
      </c>
      <c r="V2661" s="38" t="n">
        <f aca="false">Q2661*U2661</f>
        <v>0</v>
      </c>
      <c r="W2661" s="41" t="str">
        <f aca="false">IF($M2661="","",IF(T2661="Overdue",IF(Settings!$B$8="Yes",Settings!$B$7,""),IF(ISNUMBER(R2661),DATE(YEAR(R2661),MONTH(R2661),1),"")))</f>
        <v/>
      </c>
      <c r="X2661" s="38" t="n">
        <f aca="false">IF(AND(OR(T2661="Backlog",T2661="Pipeline",T2661="Overdue"),ISNUMBER(W2661)),IF(W2661&lt;=Settings!$B$6,V2661,0),0)</f>
        <v>0</v>
      </c>
      <c r="Y2661" s="38" t="n">
        <f aca="false">IF(AND(OR(T2661="Backlog",T2661="Pipeline",T2661="Overdue"),ISNUMBER(W2661)),IF(W2661&lt;=Settings!$B$6,Q2661,0),0)</f>
        <v>0</v>
      </c>
      <c r="Z2661" s="38" t="n">
        <f aca="false">IF(Y2661=0,0,IF(T2661="Backlog",Q2661,Q2661*Dashboard!$C$10))</f>
        <v>0</v>
      </c>
      <c r="AA2661" s="37" t="n">
        <f aca="false">IF($N2661="",0,IF(COUNTIF(Dashboard!$C$13:$C$22,$N2661)&gt;0,1,0))</f>
        <v>0</v>
      </c>
      <c r="AB2661" s="37" t="str">
        <f aca="false">IF($N2661="","",IF(COUNTIF($N$8:$N2661,$N2661)=1,MAX($AB$7:$AB2660)+1,""))</f>
        <v/>
      </c>
    </row>
    <row r="2662" customFormat="false" ht="15" hidden="false" customHeight="false" outlineLevel="0" collapsed="false">
      <c r="L2662" s="37" t="str">
        <f aca="false">IF(INDEX($A2662:$J2662,$L$6)&lt;&gt;"",TRIM(LEFT(INDEX($A2662:$J2662,$L$6),FIND("(",INDEX($A2662:$J2662,$L$6)&amp;"(")-1)),L2661)</f>
        <v>Building Value Proposition</v>
      </c>
      <c r="M2662" s="37" t="str">
        <f aca="false">IF(INDEX($A2662:$J2662,$M$6)="","",INDEX($A2662:$J2662,$M$6)&amp;"")</f>
        <v/>
      </c>
      <c r="N2662" s="37" t="str">
        <f aca="false">IF($M2662="","",TRIM(INDEX($A2662:$J2662,$N$6)&amp;""))</f>
        <v/>
      </c>
      <c r="O2662" s="37" t="str">
        <f aca="false">IF($M2662="","",TRIM(INDEX($A2662:$J2662,$O$6)&amp;""))</f>
        <v/>
      </c>
      <c r="P2662" s="37" t="str">
        <f aca="false">IF($M2662="","",IFERROR(IF(INDEX(Settings!$B$41:$B$50,MATCH(O2662,Settings!$A$41:$A$50,0))&amp;""="","UNMAPPED",INDEX(Settings!$B$41:$B$50,MATCH(O2662,Settings!$A$41:$A$50,0))&amp;""),"UNMAPPED"))</f>
        <v/>
      </c>
      <c r="Q2662" s="38" t="n">
        <f aca="false">IF($M2662="",0,N(INDEX($A2662:$J2662,$Q$6)))</f>
        <v>0</v>
      </c>
      <c r="R2662" s="39" t="str">
        <f aca="false">IF($M2662="","",INDEX($A2662:$J2662,$R$6))</f>
        <v/>
      </c>
      <c r="S2662" s="37" t="str">
        <f aca="false">IF($M2662="","",IFERROR(INDEX(Settings!$B$27:$B$36,MATCH(L2662,Settings!$A$27:$A$36,0))&amp;"","UNMAPPED"))</f>
        <v/>
      </c>
      <c r="T2662" s="37" t="str">
        <f aca="false">IF($M2662="","",IF(NOT(ISNUMBER(R2662)),"NO DATE",IF(S2662="Won",IF(R2662&gt;Settings!$B$5,"Backlog","Delivered"),IF(S2662="Open",IF(R2662&gt;Settings!$B$5,"Pipeline","Overdue"),IF(S2662="Lost","Lost","UNMAPPED")))))</f>
        <v/>
      </c>
      <c r="U2662" s="40" t="n">
        <f aca="false">IF(T2662="Backlog",1,IF(OR(T2662="Pipeline",T2662="Overdue"),N(INDEX(Settings!$C$27:$C$36,MATCH(L2662,Settings!$A$27:$A$36,0))),0))</f>
        <v>0</v>
      </c>
      <c r="V2662" s="38" t="n">
        <f aca="false">Q2662*U2662</f>
        <v>0</v>
      </c>
      <c r="W2662" s="41" t="str">
        <f aca="false">IF($M2662="","",IF(T2662="Overdue",IF(Settings!$B$8="Yes",Settings!$B$7,""),IF(ISNUMBER(R2662),DATE(YEAR(R2662),MONTH(R2662),1),"")))</f>
        <v/>
      </c>
      <c r="X2662" s="38" t="n">
        <f aca="false">IF(AND(OR(T2662="Backlog",T2662="Pipeline",T2662="Overdue"),ISNUMBER(W2662)),IF(W2662&lt;=Settings!$B$6,V2662,0),0)</f>
        <v>0</v>
      </c>
      <c r="Y2662" s="38" t="n">
        <f aca="false">IF(AND(OR(T2662="Backlog",T2662="Pipeline",T2662="Overdue"),ISNUMBER(W2662)),IF(W2662&lt;=Settings!$B$6,Q2662,0),0)</f>
        <v>0</v>
      </c>
      <c r="Z2662" s="38" t="n">
        <f aca="false">IF(Y2662=0,0,IF(T2662="Backlog",Q2662,Q2662*Dashboard!$C$10))</f>
        <v>0</v>
      </c>
      <c r="AA2662" s="37" t="n">
        <f aca="false">IF($N2662="",0,IF(COUNTIF(Dashboard!$C$13:$C$22,$N2662)&gt;0,1,0))</f>
        <v>0</v>
      </c>
      <c r="AB2662" s="37" t="str">
        <f aca="false">IF($N2662="","",IF(COUNTIF($N$8:$N2662,$N2662)=1,MAX($AB$7:$AB2661)+1,""))</f>
        <v/>
      </c>
    </row>
    <row r="2663" customFormat="false" ht="15" hidden="false" customHeight="false" outlineLevel="0" collapsed="false">
      <c r="L2663" s="37" t="str">
        <f aca="false">IF(INDEX($A2663:$J2663,$L$6)&lt;&gt;"",TRIM(LEFT(INDEX($A2663:$J2663,$L$6),FIND("(",INDEX($A2663:$J2663,$L$6)&amp;"(")-1)),L2662)</f>
        <v>Building Value Proposition</v>
      </c>
      <c r="M2663" s="37" t="str">
        <f aca="false">IF(INDEX($A2663:$J2663,$M$6)="","",INDEX($A2663:$J2663,$M$6)&amp;"")</f>
        <v/>
      </c>
      <c r="N2663" s="37" t="str">
        <f aca="false">IF($M2663="","",TRIM(INDEX($A2663:$J2663,$N$6)&amp;""))</f>
        <v/>
      </c>
      <c r="O2663" s="37" t="str">
        <f aca="false">IF($M2663="","",TRIM(INDEX($A2663:$J2663,$O$6)&amp;""))</f>
        <v/>
      </c>
      <c r="P2663" s="37" t="str">
        <f aca="false">IF($M2663="","",IFERROR(IF(INDEX(Settings!$B$41:$B$50,MATCH(O2663,Settings!$A$41:$A$50,0))&amp;""="","UNMAPPED",INDEX(Settings!$B$41:$B$50,MATCH(O2663,Settings!$A$41:$A$50,0))&amp;""),"UNMAPPED"))</f>
        <v/>
      </c>
      <c r="Q2663" s="38" t="n">
        <f aca="false">IF($M2663="",0,N(INDEX($A2663:$J2663,$Q$6)))</f>
        <v>0</v>
      </c>
      <c r="R2663" s="39" t="str">
        <f aca="false">IF($M2663="","",INDEX($A2663:$J2663,$R$6))</f>
        <v/>
      </c>
      <c r="S2663" s="37" t="str">
        <f aca="false">IF($M2663="","",IFERROR(INDEX(Settings!$B$27:$B$36,MATCH(L2663,Settings!$A$27:$A$36,0))&amp;"","UNMAPPED"))</f>
        <v/>
      </c>
      <c r="T2663" s="37" t="str">
        <f aca="false">IF($M2663="","",IF(NOT(ISNUMBER(R2663)),"NO DATE",IF(S2663="Won",IF(R2663&gt;Settings!$B$5,"Backlog","Delivered"),IF(S2663="Open",IF(R2663&gt;Settings!$B$5,"Pipeline","Overdue"),IF(S2663="Lost","Lost","UNMAPPED")))))</f>
        <v/>
      </c>
      <c r="U2663" s="40" t="n">
        <f aca="false">IF(T2663="Backlog",1,IF(OR(T2663="Pipeline",T2663="Overdue"),N(INDEX(Settings!$C$27:$C$36,MATCH(L2663,Settings!$A$27:$A$36,0))),0))</f>
        <v>0</v>
      </c>
      <c r="V2663" s="38" t="n">
        <f aca="false">Q2663*U2663</f>
        <v>0</v>
      </c>
      <c r="W2663" s="41" t="str">
        <f aca="false">IF($M2663="","",IF(T2663="Overdue",IF(Settings!$B$8="Yes",Settings!$B$7,""),IF(ISNUMBER(R2663),DATE(YEAR(R2663),MONTH(R2663),1),"")))</f>
        <v/>
      </c>
      <c r="X2663" s="38" t="n">
        <f aca="false">IF(AND(OR(T2663="Backlog",T2663="Pipeline",T2663="Overdue"),ISNUMBER(W2663)),IF(W2663&lt;=Settings!$B$6,V2663,0),0)</f>
        <v>0</v>
      </c>
      <c r="Y2663" s="38" t="n">
        <f aca="false">IF(AND(OR(T2663="Backlog",T2663="Pipeline",T2663="Overdue"),ISNUMBER(W2663)),IF(W2663&lt;=Settings!$B$6,Q2663,0),0)</f>
        <v>0</v>
      </c>
      <c r="Z2663" s="38" t="n">
        <f aca="false">IF(Y2663=0,0,IF(T2663="Backlog",Q2663,Q2663*Dashboard!$C$10))</f>
        <v>0</v>
      </c>
      <c r="AA2663" s="37" t="n">
        <f aca="false">IF($N2663="",0,IF(COUNTIF(Dashboard!$C$13:$C$22,$N2663)&gt;0,1,0))</f>
        <v>0</v>
      </c>
      <c r="AB2663" s="37" t="str">
        <f aca="false">IF($N2663="","",IF(COUNTIF($N$8:$N2663,$N2663)=1,MAX($AB$7:$AB2662)+1,""))</f>
        <v/>
      </c>
    </row>
    <row r="2664" customFormat="false" ht="15" hidden="false" customHeight="false" outlineLevel="0" collapsed="false">
      <c r="L2664" s="37" t="str">
        <f aca="false">IF(INDEX($A2664:$J2664,$L$6)&lt;&gt;"",TRIM(LEFT(INDEX($A2664:$J2664,$L$6),FIND("(",INDEX($A2664:$J2664,$L$6)&amp;"(")-1)),L2663)</f>
        <v>Building Value Proposition</v>
      </c>
      <c r="M2664" s="37" t="str">
        <f aca="false">IF(INDEX($A2664:$J2664,$M$6)="","",INDEX($A2664:$J2664,$M$6)&amp;"")</f>
        <v/>
      </c>
      <c r="N2664" s="37" t="str">
        <f aca="false">IF($M2664="","",TRIM(INDEX($A2664:$J2664,$N$6)&amp;""))</f>
        <v/>
      </c>
      <c r="O2664" s="37" t="str">
        <f aca="false">IF($M2664="","",TRIM(INDEX($A2664:$J2664,$O$6)&amp;""))</f>
        <v/>
      </c>
      <c r="P2664" s="37" t="str">
        <f aca="false">IF($M2664="","",IFERROR(IF(INDEX(Settings!$B$41:$B$50,MATCH(O2664,Settings!$A$41:$A$50,0))&amp;""="","UNMAPPED",INDEX(Settings!$B$41:$B$50,MATCH(O2664,Settings!$A$41:$A$50,0))&amp;""),"UNMAPPED"))</f>
        <v/>
      </c>
      <c r="Q2664" s="38" t="n">
        <f aca="false">IF($M2664="",0,N(INDEX($A2664:$J2664,$Q$6)))</f>
        <v>0</v>
      </c>
      <c r="R2664" s="39" t="str">
        <f aca="false">IF($M2664="","",INDEX($A2664:$J2664,$R$6))</f>
        <v/>
      </c>
      <c r="S2664" s="37" t="str">
        <f aca="false">IF($M2664="","",IFERROR(INDEX(Settings!$B$27:$B$36,MATCH(L2664,Settings!$A$27:$A$36,0))&amp;"","UNMAPPED"))</f>
        <v/>
      </c>
      <c r="T2664" s="37" t="str">
        <f aca="false">IF($M2664="","",IF(NOT(ISNUMBER(R2664)),"NO DATE",IF(S2664="Won",IF(R2664&gt;Settings!$B$5,"Backlog","Delivered"),IF(S2664="Open",IF(R2664&gt;Settings!$B$5,"Pipeline","Overdue"),IF(S2664="Lost","Lost","UNMAPPED")))))</f>
        <v/>
      </c>
      <c r="U2664" s="40" t="n">
        <f aca="false">IF(T2664="Backlog",1,IF(OR(T2664="Pipeline",T2664="Overdue"),N(INDEX(Settings!$C$27:$C$36,MATCH(L2664,Settings!$A$27:$A$36,0))),0))</f>
        <v>0</v>
      </c>
      <c r="V2664" s="38" t="n">
        <f aca="false">Q2664*U2664</f>
        <v>0</v>
      </c>
      <c r="W2664" s="41" t="str">
        <f aca="false">IF($M2664="","",IF(T2664="Overdue",IF(Settings!$B$8="Yes",Settings!$B$7,""),IF(ISNUMBER(R2664),DATE(YEAR(R2664),MONTH(R2664),1),"")))</f>
        <v/>
      </c>
      <c r="X2664" s="38" t="n">
        <f aca="false">IF(AND(OR(T2664="Backlog",T2664="Pipeline",T2664="Overdue"),ISNUMBER(W2664)),IF(W2664&lt;=Settings!$B$6,V2664,0),0)</f>
        <v>0</v>
      </c>
      <c r="Y2664" s="38" t="n">
        <f aca="false">IF(AND(OR(T2664="Backlog",T2664="Pipeline",T2664="Overdue"),ISNUMBER(W2664)),IF(W2664&lt;=Settings!$B$6,Q2664,0),0)</f>
        <v>0</v>
      </c>
      <c r="Z2664" s="38" t="n">
        <f aca="false">IF(Y2664=0,0,IF(T2664="Backlog",Q2664,Q2664*Dashboard!$C$10))</f>
        <v>0</v>
      </c>
      <c r="AA2664" s="37" t="n">
        <f aca="false">IF($N2664="",0,IF(COUNTIF(Dashboard!$C$13:$C$22,$N2664)&gt;0,1,0))</f>
        <v>0</v>
      </c>
      <c r="AB2664" s="37" t="str">
        <f aca="false">IF($N2664="","",IF(COUNTIF($N$8:$N2664,$N2664)=1,MAX($AB$7:$AB2663)+1,""))</f>
        <v/>
      </c>
    </row>
    <row r="2665" customFormat="false" ht="15" hidden="false" customHeight="false" outlineLevel="0" collapsed="false">
      <c r="L2665" s="37" t="str">
        <f aca="false">IF(INDEX($A2665:$J2665,$L$6)&lt;&gt;"",TRIM(LEFT(INDEX($A2665:$J2665,$L$6),FIND("(",INDEX($A2665:$J2665,$L$6)&amp;"(")-1)),L2664)</f>
        <v>Building Value Proposition</v>
      </c>
      <c r="M2665" s="37" t="str">
        <f aca="false">IF(INDEX($A2665:$J2665,$M$6)="","",INDEX($A2665:$J2665,$M$6)&amp;"")</f>
        <v/>
      </c>
      <c r="N2665" s="37" t="str">
        <f aca="false">IF($M2665="","",TRIM(INDEX($A2665:$J2665,$N$6)&amp;""))</f>
        <v/>
      </c>
      <c r="O2665" s="37" t="str">
        <f aca="false">IF($M2665="","",TRIM(INDEX($A2665:$J2665,$O$6)&amp;""))</f>
        <v/>
      </c>
      <c r="P2665" s="37" t="str">
        <f aca="false">IF($M2665="","",IFERROR(IF(INDEX(Settings!$B$41:$B$50,MATCH(O2665,Settings!$A$41:$A$50,0))&amp;""="","UNMAPPED",INDEX(Settings!$B$41:$B$50,MATCH(O2665,Settings!$A$41:$A$50,0))&amp;""),"UNMAPPED"))</f>
        <v/>
      </c>
      <c r="Q2665" s="38" t="n">
        <f aca="false">IF($M2665="",0,N(INDEX($A2665:$J2665,$Q$6)))</f>
        <v>0</v>
      </c>
      <c r="R2665" s="39" t="str">
        <f aca="false">IF($M2665="","",INDEX($A2665:$J2665,$R$6))</f>
        <v/>
      </c>
      <c r="S2665" s="37" t="str">
        <f aca="false">IF($M2665="","",IFERROR(INDEX(Settings!$B$27:$B$36,MATCH(L2665,Settings!$A$27:$A$36,0))&amp;"","UNMAPPED"))</f>
        <v/>
      </c>
      <c r="T2665" s="37" t="str">
        <f aca="false">IF($M2665="","",IF(NOT(ISNUMBER(R2665)),"NO DATE",IF(S2665="Won",IF(R2665&gt;Settings!$B$5,"Backlog","Delivered"),IF(S2665="Open",IF(R2665&gt;Settings!$B$5,"Pipeline","Overdue"),IF(S2665="Lost","Lost","UNMAPPED")))))</f>
        <v/>
      </c>
      <c r="U2665" s="40" t="n">
        <f aca="false">IF(T2665="Backlog",1,IF(OR(T2665="Pipeline",T2665="Overdue"),N(INDEX(Settings!$C$27:$C$36,MATCH(L2665,Settings!$A$27:$A$36,0))),0))</f>
        <v>0</v>
      </c>
      <c r="V2665" s="38" t="n">
        <f aca="false">Q2665*U2665</f>
        <v>0</v>
      </c>
      <c r="W2665" s="41" t="str">
        <f aca="false">IF($M2665="","",IF(T2665="Overdue",IF(Settings!$B$8="Yes",Settings!$B$7,""),IF(ISNUMBER(R2665),DATE(YEAR(R2665),MONTH(R2665),1),"")))</f>
        <v/>
      </c>
      <c r="X2665" s="38" t="n">
        <f aca="false">IF(AND(OR(T2665="Backlog",T2665="Pipeline",T2665="Overdue"),ISNUMBER(W2665)),IF(W2665&lt;=Settings!$B$6,V2665,0),0)</f>
        <v>0</v>
      </c>
      <c r="Y2665" s="38" t="n">
        <f aca="false">IF(AND(OR(T2665="Backlog",T2665="Pipeline",T2665="Overdue"),ISNUMBER(W2665)),IF(W2665&lt;=Settings!$B$6,Q2665,0),0)</f>
        <v>0</v>
      </c>
      <c r="Z2665" s="38" t="n">
        <f aca="false">IF(Y2665=0,0,IF(T2665="Backlog",Q2665,Q2665*Dashboard!$C$10))</f>
        <v>0</v>
      </c>
      <c r="AA2665" s="37" t="n">
        <f aca="false">IF($N2665="",0,IF(COUNTIF(Dashboard!$C$13:$C$22,$N2665)&gt;0,1,0))</f>
        <v>0</v>
      </c>
      <c r="AB2665" s="37" t="str">
        <f aca="false">IF($N2665="","",IF(COUNTIF($N$8:$N2665,$N2665)=1,MAX($AB$7:$AB2664)+1,""))</f>
        <v/>
      </c>
    </row>
    <row r="2666" customFormat="false" ht="15" hidden="false" customHeight="false" outlineLevel="0" collapsed="false">
      <c r="L2666" s="37" t="str">
        <f aca="false">IF(INDEX($A2666:$J2666,$L$6)&lt;&gt;"",TRIM(LEFT(INDEX($A2666:$J2666,$L$6),FIND("(",INDEX($A2666:$J2666,$L$6)&amp;"(")-1)),L2665)</f>
        <v>Building Value Proposition</v>
      </c>
      <c r="M2666" s="37" t="str">
        <f aca="false">IF(INDEX($A2666:$J2666,$M$6)="","",INDEX($A2666:$J2666,$M$6)&amp;"")</f>
        <v/>
      </c>
      <c r="N2666" s="37" t="str">
        <f aca="false">IF($M2666="","",TRIM(INDEX($A2666:$J2666,$N$6)&amp;""))</f>
        <v/>
      </c>
      <c r="O2666" s="37" t="str">
        <f aca="false">IF($M2666="","",TRIM(INDEX($A2666:$J2666,$O$6)&amp;""))</f>
        <v/>
      </c>
      <c r="P2666" s="37" t="str">
        <f aca="false">IF($M2666="","",IFERROR(IF(INDEX(Settings!$B$41:$B$50,MATCH(O2666,Settings!$A$41:$A$50,0))&amp;""="","UNMAPPED",INDEX(Settings!$B$41:$B$50,MATCH(O2666,Settings!$A$41:$A$50,0))&amp;""),"UNMAPPED"))</f>
        <v/>
      </c>
      <c r="Q2666" s="38" t="n">
        <f aca="false">IF($M2666="",0,N(INDEX($A2666:$J2666,$Q$6)))</f>
        <v>0</v>
      </c>
      <c r="R2666" s="39" t="str">
        <f aca="false">IF($M2666="","",INDEX($A2666:$J2666,$R$6))</f>
        <v/>
      </c>
      <c r="S2666" s="37" t="str">
        <f aca="false">IF($M2666="","",IFERROR(INDEX(Settings!$B$27:$B$36,MATCH(L2666,Settings!$A$27:$A$36,0))&amp;"","UNMAPPED"))</f>
        <v/>
      </c>
      <c r="T2666" s="37" t="str">
        <f aca="false">IF($M2666="","",IF(NOT(ISNUMBER(R2666)),"NO DATE",IF(S2666="Won",IF(R2666&gt;Settings!$B$5,"Backlog","Delivered"),IF(S2666="Open",IF(R2666&gt;Settings!$B$5,"Pipeline","Overdue"),IF(S2666="Lost","Lost","UNMAPPED")))))</f>
        <v/>
      </c>
      <c r="U2666" s="40" t="n">
        <f aca="false">IF(T2666="Backlog",1,IF(OR(T2666="Pipeline",T2666="Overdue"),N(INDEX(Settings!$C$27:$C$36,MATCH(L2666,Settings!$A$27:$A$36,0))),0))</f>
        <v>0</v>
      </c>
      <c r="V2666" s="38" t="n">
        <f aca="false">Q2666*U2666</f>
        <v>0</v>
      </c>
      <c r="W2666" s="41" t="str">
        <f aca="false">IF($M2666="","",IF(T2666="Overdue",IF(Settings!$B$8="Yes",Settings!$B$7,""),IF(ISNUMBER(R2666),DATE(YEAR(R2666),MONTH(R2666),1),"")))</f>
        <v/>
      </c>
      <c r="X2666" s="38" t="n">
        <f aca="false">IF(AND(OR(T2666="Backlog",T2666="Pipeline",T2666="Overdue"),ISNUMBER(W2666)),IF(W2666&lt;=Settings!$B$6,V2666,0),0)</f>
        <v>0</v>
      </c>
      <c r="Y2666" s="38" t="n">
        <f aca="false">IF(AND(OR(T2666="Backlog",T2666="Pipeline",T2666="Overdue"),ISNUMBER(W2666)),IF(W2666&lt;=Settings!$B$6,Q2666,0),0)</f>
        <v>0</v>
      </c>
      <c r="Z2666" s="38" t="n">
        <f aca="false">IF(Y2666=0,0,IF(T2666="Backlog",Q2666,Q2666*Dashboard!$C$10))</f>
        <v>0</v>
      </c>
      <c r="AA2666" s="37" t="n">
        <f aca="false">IF($N2666="",0,IF(COUNTIF(Dashboard!$C$13:$C$22,$N2666)&gt;0,1,0))</f>
        <v>0</v>
      </c>
      <c r="AB2666" s="37" t="str">
        <f aca="false">IF($N2666="","",IF(COUNTIF($N$8:$N2666,$N2666)=1,MAX($AB$7:$AB2665)+1,""))</f>
        <v/>
      </c>
    </row>
    <row r="2667" customFormat="false" ht="15" hidden="false" customHeight="false" outlineLevel="0" collapsed="false">
      <c r="L2667" s="37" t="str">
        <f aca="false">IF(INDEX($A2667:$J2667,$L$6)&lt;&gt;"",TRIM(LEFT(INDEX($A2667:$J2667,$L$6),FIND("(",INDEX($A2667:$J2667,$L$6)&amp;"(")-1)),L2666)</f>
        <v>Building Value Proposition</v>
      </c>
      <c r="M2667" s="37" t="str">
        <f aca="false">IF(INDEX($A2667:$J2667,$M$6)="","",INDEX($A2667:$J2667,$M$6)&amp;"")</f>
        <v/>
      </c>
      <c r="N2667" s="37" t="str">
        <f aca="false">IF($M2667="","",TRIM(INDEX($A2667:$J2667,$N$6)&amp;""))</f>
        <v/>
      </c>
      <c r="O2667" s="37" t="str">
        <f aca="false">IF($M2667="","",TRIM(INDEX($A2667:$J2667,$O$6)&amp;""))</f>
        <v/>
      </c>
      <c r="P2667" s="37" t="str">
        <f aca="false">IF($M2667="","",IFERROR(IF(INDEX(Settings!$B$41:$B$50,MATCH(O2667,Settings!$A$41:$A$50,0))&amp;""="","UNMAPPED",INDEX(Settings!$B$41:$B$50,MATCH(O2667,Settings!$A$41:$A$50,0))&amp;""),"UNMAPPED"))</f>
        <v/>
      </c>
      <c r="Q2667" s="38" t="n">
        <f aca="false">IF($M2667="",0,N(INDEX($A2667:$J2667,$Q$6)))</f>
        <v>0</v>
      </c>
      <c r="R2667" s="39" t="str">
        <f aca="false">IF($M2667="","",INDEX($A2667:$J2667,$R$6))</f>
        <v/>
      </c>
      <c r="S2667" s="37" t="str">
        <f aca="false">IF($M2667="","",IFERROR(INDEX(Settings!$B$27:$B$36,MATCH(L2667,Settings!$A$27:$A$36,0))&amp;"","UNMAPPED"))</f>
        <v/>
      </c>
      <c r="T2667" s="37" t="str">
        <f aca="false">IF($M2667="","",IF(NOT(ISNUMBER(R2667)),"NO DATE",IF(S2667="Won",IF(R2667&gt;Settings!$B$5,"Backlog","Delivered"),IF(S2667="Open",IF(R2667&gt;Settings!$B$5,"Pipeline","Overdue"),IF(S2667="Lost","Lost","UNMAPPED")))))</f>
        <v/>
      </c>
      <c r="U2667" s="40" t="n">
        <f aca="false">IF(T2667="Backlog",1,IF(OR(T2667="Pipeline",T2667="Overdue"),N(INDEX(Settings!$C$27:$C$36,MATCH(L2667,Settings!$A$27:$A$36,0))),0))</f>
        <v>0</v>
      </c>
      <c r="V2667" s="38" t="n">
        <f aca="false">Q2667*U2667</f>
        <v>0</v>
      </c>
      <c r="W2667" s="41" t="str">
        <f aca="false">IF($M2667="","",IF(T2667="Overdue",IF(Settings!$B$8="Yes",Settings!$B$7,""),IF(ISNUMBER(R2667),DATE(YEAR(R2667),MONTH(R2667),1),"")))</f>
        <v/>
      </c>
      <c r="X2667" s="38" t="n">
        <f aca="false">IF(AND(OR(T2667="Backlog",T2667="Pipeline",T2667="Overdue"),ISNUMBER(W2667)),IF(W2667&lt;=Settings!$B$6,V2667,0),0)</f>
        <v>0</v>
      </c>
      <c r="Y2667" s="38" t="n">
        <f aca="false">IF(AND(OR(T2667="Backlog",T2667="Pipeline",T2667="Overdue"),ISNUMBER(W2667)),IF(W2667&lt;=Settings!$B$6,Q2667,0),0)</f>
        <v>0</v>
      </c>
      <c r="Z2667" s="38" t="n">
        <f aca="false">IF(Y2667=0,0,IF(T2667="Backlog",Q2667,Q2667*Dashboard!$C$10))</f>
        <v>0</v>
      </c>
      <c r="AA2667" s="37" t="n">
        <f aca="false">IF($N2667="",0,IF(COUNTIF(Dashboard!$C$13:$C$22,$N2667)&gt;0,1,0))</f>
        <v>0</v>
      </c>
      <c r="AB2667" s="37" t="str">
        <f aca="false">IF($N2667="","",IF(COUNTIF($N$8:$N2667,$N2667)=1,MAX($AB$7:$AB2666)+1,""))</f>
        <v/>
      </c>
    </row>
    <row r="2668" customFormat="false" ht="15" hidden="false" customHeight="false" outlineLevel="0" collapsed="false">
      <c r="L2668" s="37" t="str">
        <f aca="false">IF(INDEX($A2668:$J2668,$L$6)&lt;&gt;"",TRIM(LEFT(INDEX($A2668:$J2668,$L$6),FIND("(",INDEX($A2668:$J2668,$L$6)&amp;"(")-1)),L2667)</f>
        <v>Building Value Proposition</v>
      </c>
      <c r="M2668" s="37" t="str">
        <f aca="false">IF(INDEX($A2668:$J2668,$M$6)="","",INDEX($A2668:$J2668,$M$6)&amp;"")</f>
        <v/>
      </c>
      <c r="N2668" s="37" t="str">
        <f aca="false">IF($M2668="","",TRIM(INDEX($A2668:$J2668,$N$6)&amp;""))</f>
        <v/>
      </c>
      <c r="O2668" s="37" t="str">
        <f aca="false">IF($M2668="","",TRIM(INDEX($A2668:$J2668,$O$6)&amp;""))</f>
        <v/>
      </c>
      <c r="P2668" s="37" t="str">
        <f aca="false">IF($M2668="","",IFERROR(IF(INDEX(Settings!$B$41:$B$50,MATCH(O2668,Settings!$A$41:$A$50,0))&amp;""="","UNMAPPED",INDEX(Settings!$B$41:$B$50,MATCH(O2668,Settings!$A$41:$A$50,0))&amp;""),"UNMAPPED"))</f>
        <v/>
      </c>
      <c r="Q2668" s="38" t="n">
        <f aca="false">IF($M2668="",0,N(INDEX($A2668:$J2668,$Q$6)))</f>
        <v>0</v>
      </c>
      <c r="R2668" s="39" t="str">
        <f aca="false">IF($M2668="","",INDEX($A2668:$J2668,$R$6))</f>
        <v/>
      </c>
      <c r="S2668" s="37" t="str">
        <f aca="false">IF($M2668="","",IFERROR(INDEX(Settings!$B$27:$B$36,MATCH(L2668,Settings!$A$27:$A$36,0))&amp;"","UNMAPPED"))</f>
        <v/>
      </c>
      <c r="T2668" s="37" t="str">
        <f aca="false">IF($M2668="","",IF(NOT(ISNUMBER(R2668)),"NO DATE",IF(S2668="Won",IF(R2668&gt;Settings!$B$5,"Backlog","Delivered"),IF(S2668="Open",IF(R2668&gt;Settings!$B$5,"Pipeline","Overdue"),IF(S2668="Lost","Lost","UNMAPPED")))))</f>
        <v/>
      </c>
      <c r="U2668" s="40" t="n">
        <f aca="false">IF(T2668="Backlog",1,IF(OR(T2668="Pipeline",T2668="Overdue"),N(INDEX(Settings!$C$27:$C$36,MATCH(L2668,Settings!$A$27:$A$36,0))),0))</f>
        <v>0</v>
      </c>
      <c r="V2668" s="38" t="n">
        <f aca="false">Q2668*U2668</f>
        <v>0</v>
      </c>
      <c r="W2668" s="41" t="str">
        <f aca="false">IF($M2668="","",IF(T2668="Overdue",IF(Settings!$B$8="Yes",Settings!$B$7,""),IF(ISNUMBER(R2668),DATE(YEAR(R2668),MONTH(R2668),1),"")))</f>
        <v/>
      </c>
      <c r="X2668" s="38" t="n">
        <f aca="false">IF(AND(OR(T2668="Backlog",T2668="Pipeline",T2668="Overdue"),ISNUMBER(W2668)),IF(W2668&lt;=Settings!$B$6,V2668,0),0)</f>
        <v>0</v>
      </c>
      <c r="Y2668" s="38" t="n">
        <f aca="false">IF(AND(OR(T2668="Backlog",T2668="Pipeline",T2668="Overdue"),ISNUMBER(W2668)),IF(W2668&lt;=Settings!$B$6,Q2668,0),0)</f>
        <v>0</v>
      </c>
      <c r="Z2668" s="38" t="n">
        <f aca="false">IF(Y2668=0,0,IF(T2668="Backlog",Q2668,Q2668*Dashboard!$C$10))</f>
        <v>0</v>
      </c>
      <c r="AA2668" s="37" t="n">
        <f aca="false">IF($N2668="",0,IF(COUNTIF(Dashboard!$C$13:$C$22,$N2668)&gt;0,1,0))</f>
        <v>0</v>
      </c>
      <c r="AB2668" s="37" t="str">
        <f aca="false">IF($N2668="","",IF(COUNTIF($N$8:$N2668,$N2668)=1,MAX($AB$7:$AB2667)+1,""))</f>
        <v/>
      </c>
    </row>
    <row r="2669" customFormat="false" ht="15" hidden="false" customHeight="false" outlineLevel="0" collapsed="false">
      <c r="L2669" s="37" t="str">
        <f aca="false">IF(INDEX($A2669:$J2669,$L$6)&lt;&gt;"",TRIM(LEFT(INDEX($A2669:$J2669,$L$6),FIND("(",INDEX($A2669:$J2669,$L$6)&amp;"(")-1)),L2668)</f>
        <v>Building Value Proposition</v>
      </c>
      <c r="M2669" s="37" t="str">
        <f aca="false">IF(INDEX($A2669:$J2669,$M$6)="","",INDEX($A2669:$J2669,$M$6)&amp;"")</f>
        <v/>
      </c>
      <c r="N2669" s="37" t="str">
        <f aca="false">IF($M2669="","",TRIM(INDEX($A2669:$J2669,$N$6)&amp;""))</f>
        <v/>
      </c>
      <c r="O2669" s="37" t="str">
        <f aca="false">IF($M2669="","",TRIM(INDEX($A2669:$J2669,$O$6)&amp;""))</f>
        <v/>
      </c>
      <c r="P2669" s="37" t="str">
        <f aca="false">IF($M2669="","",IFERROR(IF(INDEX(Settings!$B$41:$B$50,MATCH(O2669,Settings!$A$41:$A$50,0))&amp;""="","UNMAPPED",INDEX(Settings!$B$41:$B$50,MATCH(O2669,Settings!$A$41:$A$50,0))&amp;""),"UNMAPPED"))</f>
        <v/>
      </c>
      <c r="Q2669" s="38" t="n">
        <f aca="false">IF($M2669="",0,N(INDEX($A2669:$J2669,$Q$6)))</f>
        <v>0</v>
      </c>
      <c r="R2669" s="39" t="str">
        <f aca="false">IF($M2669="","",INDEX($A2669:$J2669,$R$6))</f>
        <v/>
      </c>
      <c r="S2669" s="37" t="str">
        <f aca="false">IF($M2669="","",IFERROR(INDEX(Settings!$B$27:$B$36,MATCH(L2669,Settings!$A$27:$A$36,0))&amp;"","UNMAPPED"))</f>
        <v/>
      </c>
      <c r="T2669" s="37" t="str">
        <f aca="false">IF($M2669="","",IF(NOT(ISNUMBER(R2669)),"NO DATE",IF(S2669="Won",IF(R2669&gt;Settings!$B$5,"Backlog","Delivered"),IF(S2669="Open",IF(R2669&gt;Settings!$B$5,"Pipeline","Overdue"),IF(S2669="Lost","Lost","UNMAPPED")))))</f>
        <v/>
      </c>
      <c r="U2669" s="40" t="n">
        <f aca="false">IF(T2669="Backlog",1,IF(OR(T2669="Pipeline",T2669="Overdue"),N(INDEX(Settings!$C$27:$C$36,MATCH(L2669,Settings!$A$27:$A$36,0))),0))</f>
        <v>0</v>
      </c>
      <c r="V2669" s="38" t="n">
        <f aca="false">Q2669*U2669</f>
        <v>0</v>
      </c>
      <c r="W2669" s="41" t="str">
        <f aca="false">IF($M2669="","",IF(T2669="Overdue",IF(Settings!$B$8="Yes",Settings!$B$7,""),IF(ISNUMBER(R2669),DATE(YEAR(R2669),MONTH(R2669),1),"")))</f>
        <v/>
      </c>
      <c r="X2669" s="38" t="n">
        <f aca="false">IF(AND(OR(T2669="Backlog",T2669="Pipeline",T2669="Overdue"),ISNUMBER(W2669)),IF(W2669&lt;=Settings!$B$6,V2669,0),0)</f>
        <v>0</v>
      </c>
      <c r="Y2669" s="38" t="n">
        <f aca="false">IF(AND(OR(T2669="Backlog",T2669="Pipeline",T2669="Overdue"),ISNUMBER(W2669)),IF(W2669&lt;=Settings!$B$6,Q2669,0),0)</f>
        <v>0</v>
      </c>
      <c r="Z2669" s="38" t="n">
        <f aca="false">IF(Y2669=0,0,IF(T2669="Backlog",Q2669,Q2669*Dashboard!$C$10))</f>
        <v>0</v>
      </c>
      <c r="AA2669" s="37" t="n">
        <f aca="false">IF($N2669="",0,IF(COUNTIF(Dashboard!$C$13:$C$22,$N2669)&gt;0,1,0))</f>
        <v>0</v>
      </c>
      <c r="AB2669" s="37" t="str">
        <f aca="false">IF($N2669="","",IF(COUNTIF($N$8:$N2669,$N2669)=1,MAX($AB$7:$AB2668)+1,""))</f>
        <v/>
      </c>
    </row>
    <row r="2670" customFormat="false" ht="15" hidden="false" customHeight="false" outlineLevel="0" collapsed="false">
      <c r="L2670" s="37" t="str">
        <f aca="false">IF(INDEX($A2670:$J2670,$L$6)&lt;&gt;"",TRIM(LEFT(INDEX($A2670:$J2670,$L$6),FIND("(",INDEX($A2670:$J2670,$L$6)&amp;"(")-1)),L2669)</f>
        <v>Building Value Proposition</v>
      </c>
      <c r="M2670" s="37" t="str">
        <f aca="false">IF(INDEX($A2670:$J2670,$M$6)="","",INDEX($A2670:$J2670,$M$6)&amp;"")</f>
        <v/>
      </c>
      <c r="N2670" s="37" t="str">
        <f aca="false">IF($M2670="","",TRIM(INDEX($A2670:$J2670,$N$6)&amp;""))</f>
        <v/>
      </c>
      <c r="O2670" s="37" t="str">
        <f aca="false">IF($M2670="","",TRIM(INDEX($A2670:$J2670,$O$6)&amp;""))</f>
        <v/>
      </c>
      <c r="P2670" s="37" t="str">
        <f aca="false">IF($M2670="","",IFERROR(IF(INDEX(Settings!$B$41:$B$50,MATCH(O2670,Settings!$A$41:$A$50,0))&amp;""="","UNMAPPED",INDEX(Settings!$B$41:$B$50,MATCH(O2670,Settings!$A$41:$A$50,0))&amp;""),"UNMAPPED"))</f>
        <v/>
      </c>
      <c r="Q2670" s="38" t="n">
        <f aca="false">IF($M2670="",0,N(INDEX($A2670:$J2670,$Q$6)))</f>
        <v>0</v>
      </c>
      <c r="R2670" s="39" t="str">
        <f aca="false">IF($M2670="","",INDEX($A2670:$J2670,$R$6))</f>
        <v/>
      </c>
      <c r="S2670" s="37" t="str">
        <f aca="false">IF($M2670="","",IFERROR(INDEX(Settings!$B$27:$B$36,MATCH(L2670,Settings!$A$27:$A$36,0))&amp;"","UNMAPPED"))</f>
        <v/>
      </c>
      <c r="T2670" s="37" t="str">
        <f aca="false">IF($M2670="","",IF(NOT(ISNUMBER(R2670)),"NO DATE",IF(S2670="Won",IF(R2670&gt;Settings!$B$5,"Backlog","Delivered"),IF(S2670="Open",IF(R2670&gt;Settings!$B$5,"Pipeline","Overdue"),IF(S2670="Lost","Lost","UNMAPPED")))))</f>
        <v/>
      </c>
      <c r="U2670" s="40" t="n">
        <f aca="false">IF(T2670="Backlog",1,IF(OR(T2670="Pipeline",T2670="Overdue"),N(INDEX(Settings!$C$27:$C$36,MATCH(L2670,Settings!$A$27:$A$36,0))),0))</f>
        <v>0</v>
      </c>
      <c r="V2670" s="38" t="n">
        <f aca="false">Q2670*U2670</f>
        <v>0</v>
      </c>
      <c r="W2670" s="41" t="str">
        <f aca="false">IF($M2670="","",IF(T2670="Overdue",IF(Settings!$B$8="Yes",Settings!$B$7,""),IF(ISNUMBER(R2670),DATE(YEAR(R2670),MONTH(R2670),1),"")))</f>
        <v/>
      </c>
      <c r="X2670" s="38" t="n">
        <f aca="false">IF(AND(OR(T2670="Backlog",T2670="Pipeline",T2670="Overdue"),ISNUMBER(W2670)),IF(W2670&lt;=Settings!$B$6,V2670,0),0)</f>
        <v>0</v>
      </c>
      <c r="Y2670" s="38" t="n">
        <f aca="false">IF(AND(OR(T2670="Backlog",T2670="Pipeline",T2670="Overdue"),ISNUMBER(W2670)),IF(W2670&lt;=Settings!$B$6,Q2670,0),0)</f>
        <v>0</v>
      </c>
      <c r="Z2670" s="38" t="n">
        <f aca="false">IF(Y2670=0,0,IF(T2670="Backlog",Q2670,Q2670*Dashboard!$C$10))</f>
        <v>0</v>
      </c>
      <c r="AA2670" s="37" t="n">
        <f aca="false">IF($N2670="",0,IF(COUNTIF(Dashboard!$C$13:$C$22,$N2670)&gt;0,1,0))</f>
        <v>0</v>
      </c>
      <c r="AB2670" s="37" t="str">
        <f aca="false">IF($N2670="","",IF(COUNTIF($N$8:$N2670,$N2670)=1,MAX($AB$7:$AB2669)+1,""))</f>
        <v/>
      </c>
    </row>
    <row r="2671" customFormat="false" ht="15" hidden="false" customHeight="false" outlineLevel="0" collapsed="false">
      <c r="L2671" s="37" t="str">
        <f aca="false">IF(INDEX($A2671:$J2671,$L$6)&lt;&gt;"",TRIM(LEFT(INDEX($A2671:$J2671,$L$6),FIND("(",INDEX($A2671:$J2671,$L$6)&amp;"(")-1)),L2670)</f>
        <v>Building Value Proposition</v>
      </c>
      <c r="M2671" s="37" t="str">
        <f aca="false">IF(INDEX($A2671:$J2671,$M$6)="","",INDEX($A2671:$J2671,$M$6)&amp;"")</f>
        <v/>
      </c>
      <c r="N2671" s="37" t="str">
        <f aca="false">IF($M2671="","",TRIM(INDEX($A2671:$J2671,$N$6)&amp;""))</f>
        <v/>
      </c>
      <c r="O2671" s="37" t="str">
        <f aca="false">IF($M2671="","",TRIM(INDEX($A2671:$J2671,$O$6)&amp;""))</f>
        <v/>
      </c>
      <c r="P2671" s="37" t="str">
        <f aca="false">IF($M2671="","",IFERROR(IF(INDEX(Settings!$B$41:$B$50,MATCH(O2671,Settings!$A$41:$A$50,0))&amp;""="","UNMAPPED",INDEX(Settings!$B$41:$B$50,MATCH(O2671,Settings!$A$41:$A$50,0))&amp;""),"UNMAPPED"))</f>
        <v/>
      </c>
      <c r="Q2671" s="38" t="n">
        <f aca="false">IF($M2671="",0,N(INDEX($A2671:$J2671,$Q$6)))</f>
        <v>0</v>
      </c>
      <c r="R2671" s="39" t="str">
        <f aca="false">IF($M2671="","",INDEX($A2671:$J2671,$R$6))</f>
        <v/>
      </c>
      <c r="S2671" s="37" t="str">
        <f aca="false">IF($M2671="","",IFERROR(INDEX(Settings!$B$27:$B$36,MATCH(L2671,Settings!$A$27:$A$36,0))&amp;"","UNMAPPED"))</f>
        <v/>
      </c>
      <c r="T2671" s="37" t="str">
        <f aca="false">IF($M2671="","",IF(NOT(ISNUMBER(R2671)),"NO DATE",IF(S2671="Won",IF(R2671&gt;Settings!$B$5,"Backlog","Delivered"),IF(S2671="Open",IF(R2671&gt;Settings!$B$5,"Pipeline","Overdue"),IF(S2671="Lost","Lost","UNMAPPED")))))</f>
        <v/>
      </c>
      <c r="U2671" s="40" t="n">
        <f aca="false">IF(T2671="Backlog",1,IF(OR(T2671="Pipeline",T2671="Overdue"),N(INDEX(Settings!$C$27:$C$36,MATCH(L2671,Settings!$A$27:$A$36,0))),0))</f>
        <v>0</v>
      </c>
      <c r="V2671" s="38" t="n">
        <f aca="false">Q2671*U2671</f>
        <v>0</v>
      </c>
      <c r="W2671" s="41" t="str">
        <f aca="false">IF($M2671="","",IF(T2671="Overdue",IF(Settings!$B$8="Yes",Settings!$B$7,""),IF(ISNUMBER(R2671),DATE(YEAR(R2671),MONTH(R2671),1),"")))</f>
        <v/>
      </c>
      <c r="X2671" s="38" t="n">
        <f aca="false">IF(AND(OR(T2671="Backlog",T2671="Pipeline",T2671="Overdue"),ISNUMBER(W2671)),IF(W2671&lt;=Settings!$B$6,V2671,0),0)</f>
        <v>0</v>
      </c>
      <c r="Y2671" s="38" t="n">
        <f aca="false">IF(AND(OR(T2671="Backlog",T2671="Pipeline",T2671="Overdue"),ISNUMBER(W2671)),IF(W2671&lt;=Settings!$B$6,Q2671,0),0)</f>
        <v>0</v>
      </c>
      <c r="Z2671" s="38" t="n">
        <f aca="false">IF(Y2671=0,0,IF(T2671="Backlog",Q2671,Q2671*Dashboard!$C$10))</f>
        <v>0</v>
      </c>
      <c r="AA2671" s="37" t="n">
        <f aca="false">IF($N2671="",0,IF(COUNTIF(Dashboard!$C$13:$C$22,$N2671)&gt;0,1,0))</f>
        <v>0</v>
      </c>
      <c r="AB2671" s="37" t="str">
        <f aca="false">IF($N2671="","",IF(COUNTIF($N$8:$N2671,$N2671)=1,MAX($AB$7:$AB2670)+1,""))</f>
        <v/>
      </c>
    </row>
    <row r="2672" customFormat="false" ht="15" hidden="false" customHeight="false" outlineLevel="0" collapsed="false">
      <c r="L2672" s="37" t="str">
        <f aca="false">IF(INDEX($A2672:$J2672,$L$6)&lt;&gt;"",TRIM(LEFT(INDEX($A2672:$J2672,$L$6),FIND("(",INDEX($A2672:$J2672,$L$6)&amp;"(")-1)),L2671)</f>
        <v>Building Value Proposition</v>
      </c>
      <c r="M2672" s="37" t="str">
        <f aca="false">IF(INDEX($A2672:$J2672,$M$6)="","",INDEX($A2672:$J2672,$M$6)&amp;"")</f>
        <v/>
      </c>
      <c r="N2672" s="37" t="str">
        <f aca="false">IF($M2672="","",TRIM(INDEX($A2672:$J2672,$N$6)&amp;""))</f>
        <v/>
      </c>
      <c r="O2672" s="37" t="str">
        <f aca="false">IF($M2672="","",TRIM(INDEX($A2672:$J2672,$O$6)&amp;""))</f>
        <v/>
      </c>
      <c r="P2672" s="37" t="str">
        <f aca="false">IF($M2672="","",IFERROR(IF(INDEX(Settings!$B$41:$B$50,MATCH(O2672,Settings!$A$41:$A$50,0))&amp;""="","UNMAPPED",INDEX(Settings!$B$41:$B$50,MATCH(O2672,Settings!$A$41:$A$50,0))&amp;""),"UNMAPPED"))</f>
        <v/>
      </c>
      <c r="Q2672" s="38" t="n">
        <f aca="false">IF($M2672="",0,N(INDEX($A2672:$J2672,$Q$6)))</f>
        <v>0</v>
      </c>
      <c r="R2672" s="39" t="str">
        <f aca="false">IF($M2672="","",INDEX($A2672:$J2672,$R$6))</f>
        <v/>
      </c>
      <c r="S2672" s="37" t="str">
        <f aca="false">IF($M2672="","",IFERROR(INDEX(Settings!$B$27:$B$36,MATCH(L2672,Settings!$A$27:$A$36,0))&amp;"","UNMAPPED"))</f>
        <v/>
      </c>
      <c r="T2672" s="37" t="str">
        <f aca="false">IF($M2672="","",IF(NOT(ISNUMBER(R2672)),"NO DATE",IF(S2672="Won",IF(R2672&gt;Settings!$B$5,"Backlog","Delivered"),IF(S2672="Open",IF(R2672&gt;Settings!$B$5,"Pipeline","Overdue"),IF(S2672="Lost","Lost","UNMAPPED")))))</f>
        <v/>
      </c>
      <c r="U2672" s="40" t="n">
        <f aca="false">IF(T2672="Backlog",1,IF(OR(T2672="Pipeline",T2672="Overdue"),N(INDEX(Settings!$C$27:$C$36,MATCH(L2672,Settings!$A$27:$A$36,0))),0))</f>
        <v>0</v>
      </c>
      <c r="V2672" s="38" t="n">
        <f aca="false">Q2672*U2672</f>
        <v>0</v>
      </c>
      <c r="W2672" s="41" t="str">
        <f aca="false">IF($M2672="","",IF(T2672="Overdue",IF(Settings!$B$8="Yes",Settings!$B$7,""),IF(ISNUMBER(R2672),DATE(YEAR(R2672),MONTH(R2672),1),"")))</f>
        <v/>
      </c>
      <c r="X2672" s="38" t="n">
        <f aca="false">IF(AND(OR(T2672="Backlog",T2672="Pipeline",T2672="Overdue"),ISNUMBER(W2672)),IF(W2672&lt;=Settings!$B$6,V2672,0),0)</f>
        <v>0</v>
      </c>
      <c r="Y2672" s="38" t="n">
        <f aca="false">IF(AND(OR(T2672="Backlog",T2672="Pipeline",T2672="Overdue"),ISNUMBER(W2672)),IF(W2672&lt;=Settings!$B$6,Q2672,0),0)</f>
        <v>0</v>
      </c>
      <c r="Z2672" s="38" t="n">
        <f aca="false">IF(Y2672=0,0,IF(T2672="Backlog",Q2672,Q2672*Dashboard!$C$10))</f>
        <v>0</v>
      </c>
      <c r="AA2672" s="37" t="n">
        <f aca="false">IF($N2672="",0,IF(COUNTIF(Dashboard!$C$13:$C$22,$N2672)&gt;0,1,0))</f>
        <v>0</v>
      </c>
      <c r="AB2672" s="37" t="str">
        <f aca="false">IF($N2672="","",IF(COUNTIF($N$8:$N2672,$N2672)=1,MAX($AB$7:$AB2671)+1,""))</f>
        <v/>
      </c>
    </row>
    <row r="2673" customFormat="false" ht="15" hidden="false" customHeight="false" outlineLevel="0" collapsed="false">
      <c r="L2673" s="37" t="str">
        <f aca="false">IF(INDEX($A2673:$J2673,$L$6)&lt;&gt;"",TRIM(LEFT(INDEX($A2673:$J2673,$L$6),FIND("(",INDEX($A2673:$J2673,$L$6)&amp;"(")-1)),L2672)</f>
        <v>Building Value Proposition</v>
      </c>
      <c r="M2673" s="37" t="str">
        <f aca="false">IF(INDEX($A2673:$J2673,$M$6)="","",INDEX($A2673:$J2673,$M$6)&amp;"")</f>
        <v/>
      </c>
      <c r="N2673" s="37" t="str">
        <f aca="false">IF($M2673="","",TRIM(INDEX($A2673:$J2673,$N$6)&amp;""))</f>
        <v/>
      </c>
      <c r="O2673" s="37" t="str">
        <f aca="false">IF($M2673="","",TRIM(INDEX($A2673:$J2673,$O$6)&amp;""))</f>
        <v/>
      </c>
      <c r="P2673" s="37" t="str">
        <f aca="false">IF($M2673="","",IFERROR(IF(INDEX(Settings!$B$41:$B$50,MATCH(O2673,Settings!$A$41:$A$50,0))&amp;""="","UNMAPPED",INDEX(Settings!$B$41:$B$50,MATCH(O2673,Settings!$A$41:$A$50,0))&amp;""),"UNMAPPED"))</f>
        <v/>
      </c>
      <c r="Q2673" s="38" t="n">
        <f aca="false">IF($M2673="",0,N(INDEX($A2673:$J2673,$Q$6)))</f>
        <v>0</v>
      </c>
      <c r="R2673" s="39" t="str">
        <f aca="false">IF($M2673="","",INDEX($A2673:$J2673,$R$6))</f>
        <v/>
      </c>
      <c r="S2673" s="37" t="str">
        <f aca="false">IF($M2673="","",IFERROR(INDEX(Settings!$B$27:$B$36,MATCH(L2673,Settings!$A$27:$A$36,0))&amp;"","UNMAPPED"))</f>
        <v/>
      </c>
      <c r="T2673" s="37" t="str">
        <f aca="false">IF($M2673="","",IF(NOT(ISNUMBER(R2673)),"NO DATE",IF(S2673="Won",IF(R2673&gt;Settings!$B$5,"Backlog","Delivered"),IF(S2673="Open",IF(R2673&gt;Settings!$B$5,"Pipeline","Overdue"),IF(S2673="Lost","Lost","UNMAPPED")))))</f>
        <v/>
      </c>
      <c r="U2673" s="40" t="n">
        <f aca="false">IF(T2673="Backlog",1,IF(OR(T2673="Pipeline",T2673="Overdue"),N(INDEX(Settings!$C$27:$C$36,MATCH(L2673,Settings!$A$27:$A$36,0))),0))</f>
        <v>0</v>
      </c>
      <c r="V2673" s="38" t="n">
        <f aca="false">Q2673*U2673</f>
        <v>0</v>
      </c>
      <c r="W2673" s="41" t="str">
        <f aca="false">IF($M2673="","",IF(T2673="Overdue",IF(Settings!$B$8="Yes",Settings!$B$7,""),IF(ISNUMBER(R2673),DATE(YEAR(R2673),MONTH(R2673),1),"")))</f>
        <v/>
      </c>
      <c r="X2673" s="38" t="n">
        <f aca="false">IF(AND(OR(T2673="Backlog",T2673="Pipeline",T2673="Overdue"),ISNUMBER(W2673)),IF(W2673&lt;=Settings!$B$6,V2673,0),0)</f>
        <v>0</v>
      </c>
      <c r="Y2673" s="38" t="n">
        <f aca="false">IF(AND(OR(T2673="Backlog",T2673="Pipeline",T2673="Overdue"),ISNUMBER(W2673)),IF(W2673&lt;=Settings!$B$6,Q2673,0),0)</f>
        <v>0</v>
      </c>
      <c r="Z2673" s="38" t="n">
        <f aca="false">IF(Y2673=0,0,IF(T2673="Backlog",Q2673,Q2673*Dashboard!$C$10))</f>
        <v>0</v>
      </c>
      <c r="AA2673" s="37" t="n">
        <f aca="false">IF($N2673="",0,IF(COUNTIF(Dashboard!$C$13:$C$22,$N2673)&gt;0,1,0))</f>
        <v>0</v>
      </c>
      <c r="AB2673" s="37" t="str">
        <f aca="false">IF($N2673="","",IF(COUNTIF($N$8:$N2673,$N2673)=1,MAX($AB$7:$AB2672)+1,""))</f>
        <v/>
      </c>
    </row>
    <row r="2674" customFormat="false" ht="15" hidden="false" customHeight="false" outlineLevel="0" collapsed="false">
      <c r="L2674" s="37" t="str">
        <f aca="false">IF(INDEX($A2674:$J2674,$L$6)&lt;&gt;"",TRIM(LEFT(INDEX($A2674:$J2674,$L$6),FIND("(",INDEX($A2674:$J2674,$L$6)&amp;"(")-1)),L2673)</f>
        <v>Building Value Proposition</v>
      </c>
      <c r="M2674" s="37" t="str">
        <f aca="false">IF(INDEX($A2674:$J2674,$M$6)="","",INDEX($A2674:$J2674,$M$6)&amp;"")</f>
        <v/>
      </c>
      <c r="N2674" s="37" t="str">
        <f aca="false">IF($M2674="","",TRIM(INDEX($A2674:$J2674,$N$6)&amp;""))</f>
        <v/>
      </c>
      <c r="O2674" s="37" t="str">
        <f aca="false">IF($M2674="","",TRIM(INDEX($A2674:$J2674,$O$6)&amp;""))</f>
        <v/>
      </c>
      <c r="P2674" s="37" t="str">
        <f aca="false">IF($M2674="","",IFERROR(IF(INDEX(Settings!$B$41:$B$50,MATCH(O2674,Settings!$A$41:$A$50,0))&amp;""="","UNMAPPED",INDEX(Settings!$B$41:$B$50,MATCH(O2674,Settings!$A$41:$A$50,0))&amp;""),"UNMAPPED"))</f>
        <v/>
      </c>
      <c r="Q2674" s="38" t="n">
        <f aca="false">IF($M2674="",0,N(INDEX($A2674:$J2674,$Q$6)))</f>
        <v>0</v>
      </c>
      <c r="R2674" s="39" t="str">
        <f aca="false">IF($M2674="","",INDEX($A2674:$J2674,$R$6))</f>
        <v/>
      </c>
      <c r="S2674" s="37" t="str">
        <f aca="false">IF($M2674="","",IFERROR(INDEX(Settings!$B$27:$B$36,MATCH(L2674,Settings!$A$27:$A$36,0))&amp;"","UNMAPPED"))</f>
        <v/>
      </c>
      <c r="T2674" s="37" t="str">
        <f aca="false">IF($M2674="","",IF(NOT(ISNUMBER(R2674)),"NO DATE",IF(S2674="Won",IF(R2674&gt;Settings!$B$5,"Backlog","Delivered"),IF(S2674="Open",IF(R2674&gt;Settings!$B$5,"Pipeline","Overdue"),IF(S2674="Lost","Lost","UNMAPPED")))))</f>
        <v/>
      </c>
      <c r="U2674" s="40" t="n">
        <f aca="false">IF(T2674="Backlog",1,IF(OR(T2674="Pipeline",T2674="Overdue"),N(INDEX(Settings!$C$27:$C$36,MATCH(L2674,Settings!$A$27:$A$36,0))),0))</f>
        <v>0</v>
      </c>
      <c r="V2674" s="38" t="n">
        <f aca="false">Q2674*U2674</f>
        <v>0</v>
      </c>
      <c r="W2674" s="41" t="str">
        <f aca="false">IF($M2674="","",IF(T2674="Overdue",IF(Settings!$B$8="Yes",Settings!$B$7,""),IF(ISNUMBER(R2674),DATE(YEAR(R2674),MONTH(R2674),1),"")))</f>
        <v/>
      </c>
      <c r="X2674" s="38" t="n">
        <f aca="false">IF(AND(OR(T2674="Backlog",T2674="Pipeline",T2674="Overdue"),ISNUMBER(W2674)),IF(W2674&lt;=Settings!$B$6,V2674,0),0)</f>
        <v>0</v>
      </c>
      <c r="Y2674" s="38" t="n">
        <f aca="false">IF(AND(OR(T2674="Backlog",T2674="Pipeline",T2674="Overdue"),ISNUMBER(W2674)),IF(W2674&lt;=Settings!$B$6,Q2674,0),0)</f>
        <v>0</v>
      </c>
      <c r="Z2674" s="38" t="n">
        <f aca="false">IF(Y2674=0,0,IF(T2674="Backlog",Q2674,Q2674*Dashboard!$C$10))</f>
        <v>0</v>
      </c>
      <c r="AA2674" s="37" t="n">
        <f aca="false">IF($N2674="",0,IF(COUNTIF(Dashboard!$C$13:$C$22,$N2674)&gt;0,1,0))</f>
        <v>0</v>
      </c>
      <c r="AB2674" s="37" t="str">
        <f aca="false">IF($N2674="","",IF(COUNTIF($N$8:$N2674,$N2674)=1,MAX($AB$7:$AB2673)+1,""))</f>
        <v/>
      </c>
    </row>
    <row r="2675" customFormat="false" ht="15" hidden="false" customHeight="false" outlineLevel="0" collapsed="false">
      <c r="L2675" s="37" t="str">
        <f aca="false">IF(INDEX($A2675:$J2675,$L$6)&lt;&gt;"",TRIM(LEFT(INDEX($A2675:$J2675,$L$6),FIND("(",INDEX($A2675:$J2675,$L$6)&amp;"(")-1)),L2674)</f>
        <v>Building Value Proposition</v>
      </c>
      <c r="M2675" s="37" t="str">
        <f aca="false">IF(INDEX($A2675:$J2675,$M$6)="","",INDEX($A2675:$J2675,$M$6)&amp;"")</f>
        <v/>
      </c>
      <c r="N2675" s="37" t="str">
        <f aca="false">IF($M2675="","",TRIM(INDEX($A2675:$J2675,$N$6)&amp;""))</f>
        <v/>
      </c>
      <c r="O2675" s="37" t="str">
        <f aca="false">IF($M2675="","",TRIM(INDEX($A2675:$J2675,$O$6)&amp;""))</f>
        <v/>
      </c>
      <c r="P2675" s="37" t="str">
        <f aca="false">IF($M2675="","",IFERROR(IF(INDEX(Settings!$B$41:$B$50,MATCH(O2675,Settings!$A$41:$A$50,0))&amp;""="","UNMAPPED",INDEX(Settings!$B$41:$B$50,MATCH(O2675,Settings!$A$41:$A$50,0))&amp;""),"UNMAPPED"))</f>
        <v/>
      </c>
      <c r="Q2675" s="38" t="n">
        <f aca="false">IF($M2675="",0,N(INDEX($A2675:$J2675,$Q$6)))</f>
        <v>0</v>
      </c>
      <c r="R2675" s="39" t="str">
        <f aca="false">IF($M2675="","",INDEX($A2675:$J2675,$R$6))</f>
        <v/>
      </c>
      <c r="S2675" s="37" t="str">
        <f aca="false">IF($M2675="","",IFERROR(INDEX(Settings!$B$27:$B$36,MATCH(L2675,Settings!$A$27:$A$36,0))&amp;"","UNMAPPED"))</f>
        <v/>
      </c>
      <c r="T2675" s="37" t="str">
        <f aca="false">IF($M2675="","",IF(NOT(ISNUMBER(R2675)),"NO DATE",IF(S2675="Won",IF(R2675&gt;Settings!$B$5,"Backlog","Delivered"),IF(S2675="Open",IF(R2675&gt;Settings!$B$5,"Pipeline","Overdue"),IF(S2675="Lost","Lost","UNMAPPED")))))</f>
        <v/>
      </c>
      <c r="U2675" s="40" t="n">
        <f aca="false">IF(T2675="Backlog",1,IF(OR(T2675="Pipeline",T2675="Overdue"),N(INDEX(Settings!$C$27:$C$36,MATCH(L2675,Settings!$A$27:$A$36,0))),0))</f>
        <v>0</v>
      </c>
      <c r="V2675" s="38" t="n">
        <f aca="false">Q2675*U2675</f>
        <v>0</v>
      </c>
      <c r="W2675" s="41" t="str">
        <f aca="false">IF($M2675="","",IF(T2675="Overdue",IF(Settings!$B$8="Yes",Settings!$B$7,""),IF(ISNUMBER(R2675),DATE(YEAR(R2675),MONTH(R2675),1),"")))</f>
        <v/>
      </c>
      <c r="X2675" s="38" t="n">
        <f aca="false">IF(AND(OR(T2675="Backlog",T2675="Pipeline",T2675="Overdue"),ISNUMBER(W2675)),IF(W2675&lt;=Settings!$B$6,V2675,0),0)</f>
        <v>0</v>
      </c>
      <c r="Y2675" s="38" t="n">
        <f aca="false">IF(AND(OR(T2675="Backlog",T2675="Pipeline",T2675="Overdue"),ISNUMBER(W2675)),IF(W2675&lt;=Settings!$B$6,Q2675,0),0)</f>
        <v>0</v>
      </c>
      <c r="Z2675" s="38" t="n">
        <f aca="false">IF(Y2675=0,0,IF(T2675="Backlog",Q2675,Q2675*Dashboard!$C$10))</f>
        <v>0</v>
      </c>
      <c r="AA2675" s="37" t="n">
        <f aca="false">IF($N2675="",0,IF(COUNTIF(Dashboard!$C$13:$C$22,$N2675)&gt;0,1,0))</f>
        <v>0</v>
      </c>
      <c r="AB2675" s="37" t="str">
        <f aca="false">IF($N2675="","",IF(COUNTIF($N$8:$N2675,$N2675)=1,MAX($AB$7:$AB2674)+1,""))</f>
        <v/>
      </c>
    </row>
    <row r="2676" customFormat="false" ht="15" hidden="false" customHeight="false" outlineLevel="0" collapsed="false">
      <c r="L2676" s="37" t="str">
        <f aca="false">IF(INDEX($A2676:$J2676,$L$6)&lt;&gt;"",TRIM(LEFT(INDEX($A2676:$J2676,$L$6),FIND("(",INDEX($A2676:$J2676,$L$6)&amp;"(")-1)),L2675)</f>
        <v>Building Value Proposition</v>
      </c>
      <c r="M2676" s="37" t="str">
        <f aca="false">IF(INDEX($A2676:$J2676,$M$6)="","",INDEX($A2676:$J2676,$M$6)&amp;"")</f>
        <v/>
      </c>
      <c r="N2676" s="37" t="str">
        <f aca="false">IF($M2676="","",TRIM(INDEX($A2676:$J2676,$N$6)&amp;""))</f>
        <v/>
      </c>
      <c r="O2676" s="37" t="str">
        <f aca="false">IF($M2676="","",TRIM(INDEX($A2676:$J2676,$O$6)&amp;""))</f>
        <v/>
      </c>
      <c r="P2676" s="37" t="str">
        <f aca="false">IF($M2676="","",IFERROR(IF(INDEX(Settings!$B$41:$B$50,MATCH(O2676,Settings!$A$41:$A$50,0))&amp;""="","UNMAPPED",INDEX(Settings!$B$41:$B$50,MATCH(O2676,Settings!$A$41:$A$50,0))&amp;""),"UNMAPPED"))</f>
        <v/>
      </c>
      <c r="Q2676" s="38" t="n">
        <f aca="false">IF($M2676="",0,N(INDEX($A2676:$J2676,$Q$6)))</f>
        <v>0</v>
      </c>
      <c r="R2676" s="39" t="str">
        <f aca="false">IF($M2676="","",INDEX($A2676:$J2676,$R$6))</f>
        <v/>
      </c>
      <c r="S2676" s="37" t="str">
        <f aca="false">IF($M2676="","",IFERROR(INDEX(Settings!$B$27:$B$36,MATCH(L2676,Settings!$A$27:$A$36,0))&amp;"","UNMAPPED"))</f>
        <v/>
      </c>
      <c r="T2676" s="37" t="str">
        <f aca="false">IF($M2676="","",IF(NOT(ISNUMBER(R2676)),"NO DATE",IF(S2676="Won",IF(R2676&gt;Settings!$B$5,"Backlog","Delivered"),IF(S2676="Open",IF(R2676&gt;Settings!$B$5,"Pipeline","Overdue"),IF(S2676="Lost","Lost","UNMAPPED")))))</f>
        <v/>
      </c>
      <c r="U2676" s="40" t="n">
        <f aca="false">IF(T2676="Backlog",1,IF(OR(T2676="Pipeline",T2676="Overdue"),N(INDEX(Settings!$C$27:$C$36,MATCH(L2676,Settings!$A$27:$A$36,0))),0))</f>
        <v>0</v>
      </c>
      <c r="V2676" s="38" t="n">
        <f aca="false">Q2676*U2676</f>
        <v>0</v>
      </c>
      <c r="W2676" s="41" t="str">
        <f aca="false">IF($M2676="","",IF(T2676="Overdue",IF(Settings!$B$8="Yes",Settings!$B$7,""),IF(ISNUMBER(R2676),DATE(YEAR(R2676),MONTH(R2676),1),"")))</f>
        <v/>
      </c>
      <c r="X2676" s="38" t="n">
        <f aca="false">IF(AND(OR(T2676="Backlog",T2676="Pipeline",T2676="Overdue"),ISNUMBER(W2676)),IF(W2676&lt;=Settings!$B$6,V2676,0),0)</f>
        <v>0</v>
      </c>
      <c r="Y2676" s="38" t="n">
        <f aca="false">IF(AND(OR(T2676="Backlog",T2676="Pipeline",T2676="Overdue"),ISNUMBER(W2676)),IF(W2676&lt;=Settings!$B$6,Q2676,0),0)</f>
        <v>0</v>
      </c>
      <c r="Z2676" s="38" t="n">
        <f aca="false">IF(Y2676=0,0,IF(T2676="Backlog",Q2676,Q2676*Dashboard!$C$10))</f>
        <v>0</v>
      </c>
      <c r="AA2676" s="37" t="n">
        <f aca="false">IF($N2676="",0,IF(COUNTIF(Dashboard!$C$13:$C$22,$N2676)&gt;0,1,0))</f>
        <v>0</v>
      </c>
      <c r="AB2676" s="37" t="str">
        <f aca="false">IF($N2676="","",IF(COUNTIF($N$8:$N2676,$N2676)=1,MAX($AB$7:$AB2675)+1,""))</f>
        <v/>
      </c>
    </row>
    <row r="2677" customFormat="false" ht="15" hidden="false" customHeight="false" outlineLevel="0" collapsed="false">
      <c r="L2677" s="37" t="str">
        <f aca="false">IF(INDEX($A2677:$J2677,$L$6)&lt;&gt;"",TRIM(LEFT(INDEX($A2677:$J2677,$L$6),FIND("(",INDEX($A2677:$J2677,$L$6)&amp;"(")-1)),L2676)</f>
        <v>Building Value Proposition</v>
      </c>
      <c r="M2677" s="37" t="str">
        <f aca="false">IF(INDEX($A2677:$J2677,$M$6)="","",INDEX($A2677:$J2677,$M$6)&amp;"")</f>
        <v/>
      </c>
      <c r="N2677" s="37" t="str">
        <f aca="false">IF($M2677="","",TRIM(INDEX($A2677:$J2677,$N$6)&amp;""))</f>
        <v/>
      </c>
      <c r="O2677" s="37" t="str">
        <f aca="false">IF($M2677="","",TRIM(INDEX($A2677:$J2677,$O$6)&amp;""))</f>
        <v/>
      </c>
      <c r="P2677" s="37" t="str">
        <f aca="false">IF($M2677="","",IFERROR(IF(INDEX(Settings!$B$41:$B$50,MATCH(O2677,Settings!$A$41:$A$50,0))&amp;""="","UNMAPPED",INDEX(Settings!$B$41:$B$50,MATCH(O2677,Settings!$A$41:$A$50,0))&amp;""),"UNMAPPED"))</f>
        <v/>
      </c>
      <c r="Q2677" s="38" t="n">
        <f aca="false">IF($M2677="",0,N(INDEX($A2677:$J2677,$Q$6)))</f>
        <v>0</v>
      </c>
      <c r="R2677" s="39" t="str">
        <f aca="false">IF($M2677="","",INDEX($A2677:$J2677,$R$6))</f>
        <v/>
      </c>
      <c r="S2677" s="37" t="str">
        <f aca="false">IF($M2677="","",IFERROR(INDEX(Settings!$B$27:$B$36,MATCH(L2677,Settings!$A$27:$A$36,0))&amp;"","UNMAPPED"))</f>
        <v/>
      </c>
      <c r="T2677" s="37" t="str">
        <f aca="false">IF($M2677="","",IF(NOT(ISNUMBER(R2677)),"NO DATE",IF(S2677="Won",IF(R2677&gt;Settings!$B$5,"Backlog","Delivered"),IF(S2677="Open",IF(R2677&gt;Settings!$B$5,"Pipeline","Overdue"),IF(S2677="Lost","Lost","UNMAPPED")))))</f>
        <v/>
      </c>
      <c r="U2677" s="40" t="n">
        <f aca="false">IF(T2677="Backlog",1,IF(OR(T2677="Pipeline",T2677="Overdue"),N(INDEX(Settings!$C$27:$C$36,MATCH(L2677,Settings!$A$27:$A$36,0))),0))</f>
        <v>0</v>
      </c>
      <c r="V2677" s="38" t="n">
        <f aca="false">Q2677*U2677</f>
        <v>0</v>
      </c>
      <c r="W2677" s="41" t="str">
        <f aca="false">IF($M2677="","",IF(T2677="Overdue",IF(Settings!$B$8="Yes",Settings!$B$7,""),IF(ISNUMBER(R2677),DATE(YEAR(R2677),MONTH(R2677),1),"")))</f>
        <v/>
      </c>
      <c r="X2677" s="38" t="n">
        <f aca="false">IF(AND(OR(T2677="Backlog",T2677="Pipeline",T2677="Overdue"),ISNUMBER(W2677)),IF(W2677&lt;=Settings!$B$6,V2677,0),0)</f>
        <v>0</v>
      </c>
      <c r="Y2677" s="38" t="n">
        <f aca="false">IF(AND(OR(T2677="Backlog",T2677="Pipeline",T2677="Overdue"),ISNUMBER(W2677)),IF(W2677&lt;=Settings!$B$6,Q2677,0),0)</f>
        <v>0</v>
      </c>
      <c r="Z2677" s="38" t="n">
        <f aca="false">IF(Y2677=0,0,IF(T2677="Backlog",Q2677,Q2677*Dashboard!$C$10))</f>
        <v>0</v>
      </c>
      <c r="AA2677" s="37" t="n">
        <f aca="false">IF($N2677="",0,IF(COUNTIF(Dashboard!$C$13:$C$22,$N2677)&gt;0,1,0))</f>
        <v>0</v>
      </c>
      <c r="AB2677" s="37" t="str">
        <f aca="false">IF($N2677="","",IF(COUNTIF($N$8:$N2677,$N2677)=1,MAX($AB$7:$AB2676)+1,""))</f>
        <v/>
      </c>
    </row>
    <row r="2678" customFormat="false" ht="15" hidden="false" customHeight="false" outlineLevel="0" collapsed="false">
      <c r="L2678" s="37" t="str">
        <f aca="false">IF(INDEX($A2678:$J2678,$L$6)&lt;&gt;"",TRIM(LEFT(INDEX($A2678:$J2678,$L$6),FIND("(",INDEX($A2678:$J2678,$L$6)&amp;"(")-1)),L2677)</f>
        <v>Building Value Proposition</v>
      </c>
      <c r="M2678" s="37" t="str">
        <f aca="false">IF(INDEX($A2678:$J2678,$M$6)="","",INDEX($A2678:$J2678,$M$6)&amp;"")</f>
        <v/>
      </c>
      <c r="N2678" s="37" t="str">
        <f aca="false">IF($M2678="","",TRIM(INDEX($A2678:$J2678,$N$6)&amp;""))</f>
        <v/>
      </c>
      <c r="O2678" s="37" t="str">
        <f aca="false">IF($M2678="","",TRIM(INDEX($A2678:$J2678,$O$6)&amp;""))</f>
        <v/>
      </c>
      <c r="P2678" s="37" t="str">
        <f aca="false">IF($M2678="","",IFERROR(IF(INDEX(Settings!$B$41:$B$50,MATCH(O2678,Settings!$A$41:$A$50,0))&amp;""="","UNMAPPED",INDEX(Settings!$B$41:$B$50,MATCH(O2678,Settings!$A$41:$A$50,0))&amp;""),"UNMAPPED"))</f>
        <v/>
      </c>
      <c r="Q2678" s="38" t="n">
        <f aca="false">IF($M2678="",0,N(INDEX($A2678:$J2678,$Q$6)))</f>
        <v>0</v>
      </c>
      <c r="R2678" s="39" t="str">
        <f aca="false">IF($M2678="","",INDEX($A2678:$J2678,$R$6))</f>
        <v/>
      </c>
      <c r="S2678" s="37" t="str">
        <f aca="false">IF($M2678="","",IFERROR(INDEX(Settings!$B$27:$B$36,MATCH(L2678,Settings!$A$27:$A$36,0))&amp;"","UNMAPPED"))</f>
        <v/>
      </c>
      <c r="T2678" s="37" t="str">
        <f aca="false">IF($M2678="","",IF(NOT(ISNUMBER(R2678)),"NO DATE",IF(S2678="Won",IF(R2678&gt;Settings!$B$5,"Backlog","Delivered"),IF(S2678="Open",IF(R2678&gt;Settings!$B$5,"Pipeline","Overdue"),IF(S2678="Lost","Lost","UNMAPPED")))))</f>
        <v/>
      </c>
      <c r="U2678" s="40" t="n">
        <f aca="false">IF(T2678="Backlog",1,IF(OR(T2678="Pipeline",T2678="Overdue"),N(INDEX(Settings!$C$27:$C$36,MATCH(L2678,Settings!$A$27:$A$36,0))),0))</f>
        <v>0</v>
      </c>
      <c r="V2678" s="38" t="n">
        <f aca="false">Q2678*U2678</f>
        <v>0</v>
      </c>
      <c r="W2678" s="41" t="str">
        <f aca="false">IF($M2678="","",IF(T2678="Overdue",IF(Settings!$B$8="Yes",Settings!$B$7,""),IF(ISNUMBER(R2678),DATE(YEAR(R2678),MONTH(R2678),1),"")))</f>
        <v/>
      </c>
      <c r="X2678" s="38" t="n">
        <f aca="false">IF(AND(OR(T2678="Backlog",T2678="Pipeline",T2678="Overdue"),ISNUMBER(W2678)),IF(W2678&lt;=Settings!$B$6,V2678,0),0)</f>
        <v>0</v>
      </c>
      <c r="Y2678" s="38" t="n">
        <f aca="false">IF(AND(OR(T2678="Backlog",T2678="Pipeline",T2678="Overdue"),ISNUMBER(W2678)),IF(W2678&lt;=Settings!$B$6,Q2678,0),0)</f>
        <v>0</v>
      </c>
      <c r="Z2678" s="38" t="n">
        <f aca="false">IF(Y2678=0,0,IF(T2678="Backlog",Q2678,Q2678*Dashboard!$C$10))</f>
        <v>0</v>
      </c>
      <c r="AA2678" s="37" t="n">
        <f aca="false">IF($N2678="",0,IF(COUNTIF(Dashboard!$C$13:$C$22,$N2678)&gt;0,1,0))</f>
        <v>0</v>
      </c>
      <c r="AB2678" s="37" t="str">
        <f aca="false">IF($N2678="","",IF(COUNTIF($N$8:$N2678,$N2678)=1,MAX($AB$7:$AB2677)+1,""))</f>
        <v/>
      </c>
    </row>
    <row r="2679" customFormat="false" ht="15" hidden="false" customHeight="false" outlineLevel="0" collapsed="false">
      <c r="L2679" s="37" t="str">
        <f aca="false">IF(INDEX($A2679:$J2679,$L$6)&lt;&gt;"",TRIM(LEFT(INDEX($A2679:$J2679,$L$6),FIND("(",INDEX($A2679:$J2679,$L$6)&amp;"(")-1)),L2678)</f>
        <v>Building Value Proposition</v>
      </c>
      <c r="M2679" s="37" t="str">
        <f aca="false">IF(INDEX($A2679:$J2679,$M$6)="","",INDEX($A2679:$J2679,$M$6)&amp;"")</f>
        <v/>
      </c>
      <c r="N2679" s="37" t="str">
        <f aca="false">IF($M2679="","",TRIM(INDEX($A2679:$J2679,$N$6)&amp;""))</f>
        <v/>
      </c>
      <c r="O2679" s="37" t="str">
        <f aca="false">IF($M2679="","",TRIM(INDEX($A2679:$J2679,$O$6)&amp;""))</f>
        <v/>
      </c>
      <c r="P2679" s="37" t="str">
        <f aca="false">IF($M2679="","",IFERROR(IF(INDEX(Settings!$B$41:$B$50,MATCH(O2679,Settings!$A$41:$A$50,0))&amp;""="","UNMAPPED",INDEX(Settings!$B$41:$B$50,MATCH(O2679,Settings!$A$41:$A$50,0))&amp;""),"UNMAPPED"))</f>
        <v/>
      </c>
      <c r="Q2679" s="38" t="n">
        <f aca="false">IF($M2679="",0,N(INDEX($A2679:$J2679,$Q$6)))</f>
        <v>0</v>
      </c>
      <c r="R2679" s="39" t="str">
        <f aca="false">IF($M2679="","",INDEX($A2679:$J2679,$R$6))</f>
        <v/>
      </c>
      <c r="S2679" s="37" t="str">
        <f aca="false">IF($M2679="","",IFERROR(INDEX(Settings!$B$27:$B$36,MATCH(L2679,Settings!$A$27:$A$36,0))&amp;"","UNMAPPED"))</f>
        <v/>
      </c>
      <c r="T2679" s="37" t="str">
        <f aca="false">IF($M2679="","",IF(NOT(ISNUMBER(R2679)),"NO DATE",IF(S2679="Won",IF(R2679&gt;Settings!$B$5,"Backlog","Delivered"),IF(S2679="Open",IF(R2679&gt;Settings!$B$5,"Pipeline","Overdue"),IF(S2679="Lost","Lost","UNMAPPED")))))</f>
        <v/>
      </c>
      <c r="U2679" s="40" t="n">
        <f aca="false">IF(T2679="Backlog",1,IF(OR(T2679="Pipeline",T2679="Overdue"),N(INDEX(Settings!$C$27:$C$36,MATCH(L2679,Settings!$A$27:$A$36,0))),0))</f>
        <v>0</v>
      </c>
      <c r="V2679" s="38" t="n">
        <f aca="false">Q2679*U2679</f>
        <v>0</v>
      </c>
      <c r="W2679" s="41" t="str">
        <f aca="false">IF($M2679="","",IF(T2679="Overdue",IF(Settings!$B$8="Yes",Settings!$B$7,""),IF(ISNUMBER(R2679),DATE(YEAR(R2679),MONTH(R2679),1),"")))</f>
        <v/>
      </c>
      <c r="X2679" s="38" t="n">
        <f aca="false">IF(AND(OR(T2679="Backlog",T2679="Pipeline",T2679="Overdue"),ISNUMBER(W2679)),IF(W2679&lt;=Settings!$B$6,V2679,0),0)</f>
        <v>0</v>
      </c>
      <c r="Y2679" s="38" t="n">
        <f aca="false">IF(AND(OR(T2679="Backlog",T2679="Pipeline",T2679="Overdue"),ISNUMBER(W2679)),IF(W2679&lt;=Settings!$B$6,Q2679,0),0)</f>
        <v>0</v>
      </c>
      <c r="Z2679" s="38" t="n">
        <f aca="false">IF(Y2679=0,0,IF(T2679="Backlog",Q2679,Q2679*Dashboard!$C$10))</f>
        <v>0</v>
      </c>
      <c r="AA2679" s="37" t="n">
        <f aca="false">IF($N2679="",0,IF(COUNTIF(Dashboard!$C$13:$C$22,$N2679)&gt;0,1,0))</f>
        <v>0</v>
      </c>
      <c r="AB2679" s="37" t="str">
        <f aca="false">IF($N2679="","",IF(COUNTIF($N$8:$N2679,$N2679)=1,MAX($AB$7:$AB2678)+1,""))</f>
        <v/>
      </c>
    </row>
    <row r="2680" customFormat="false" ht="15" hidden="false" customHeight="false" outlineLevel="0" collapsed="false">
      <c r="L2680" s="37" t="str">
        <f aca="false">IF(INDEX($A2680:$J2680,$L$6)&lt;&gt;"",TRIM(LEFT(INDEX($A2680:$J2680,$L$6),FIND("(",INDEX($A2680:$J2680,$L$6)&amp;"(")-1)),L2679)</f>
        <v>Building Value Proposition</v>
      </c>
      <c r="M2680" s="37" t="str">
        <f aca="false">IF(INDEX($A2680:$J2680,$M$6)="","",INDEX($A2680:$J2680,$M$6)&amp;"")</f>
        <v/>
      </c>
      <c r="N2680" s="37" t="str">
        <f aca="false">IF($M2680="","",TRIM(INDEX($A2680:$J2680,$N$6)&amp;""))</f>
        <v/>
      </c>
      <c r="O2680" s="37" t="str">
        <f aca="false">IF($M2680="","",TRIM(INDEX($A2680:$J2680,$O$6)&amp;""))</f>
        <v/>
      </c>
      <c r="P2680" s="37" t="str">
        <f aca="false">IF($M2680="","",IFERROR(IF(INDEX(Settings!$B$41:$B$50,MATCH(O2680,Settings!$A$41:$A$50,0))&amp;""="","UNMAPPED",INDEX(Settings!$B$41:$B$50,MATCH(O2680,Settings!$A$41:$A$50,0))&amp;""),"UNMAPPED"))</f>
        <v/>
      </c>
      <c r="Q2680" s="38" t="n">
        <f aca="false">IF($M2680="",0,N(INDEX($A2680:$J2680,$Q$6)))</f>
        <v>0</v>
      </c>
      <c r="R2680" s="39" t="str">
        <f aca="false">IF($M2680="","",INDEX($A2680:$J2680,$R$6))</f>
        <v/>
      </c>
      <c r="S2680" s="37" t="str">
        <f aca="false">IF($M2680="","",IFERROR(INDEX(Settings!$B$27:$B$36,MATCH(L2680,Settings!$A$27:$A$36,0))&amp;"","UNMAPPED"))</f>
        <v/>
      </c>
      <c r="T2680" s="37" t="str">
        <f aca="false">IF($M2680="","",IF(NOT(ISNUMBER(R2680)),"NO DATE",IF(S2680="Won",IF(R2680&gt;Settings!$B$5,"Backlog","Delivered"),IF(S2680="Open",IF(R2680&gt;Settings!$B$5,"Pipeline","Overdue"),IF(S2680="Lost","Lost","UNMAPPED")))))</f>
        <v/>
      </c>
      <c r="U2680" s="40" t="n">
        <f aca="false">IF(T2680="Backlog",1,IF(OR(T2680="Pipeline",T2680="Overdue"),N(INDEX(Settings!$C$27:$C$36,MATCH(L2680,Settings!$A$27:$A$36,0))),0))</f>
        <v>0</v>
      </c>
      <c r="V2680" s="38" t="n">
        <f aca="false">Q2680*U2680</f>
        <v>0</v>
      </c>
      <c r="W2680" s="41" t="str">
        <f aca="false">IF($M2680="","",IF(T2680="Overdue",IF(Settings!$B$8="Yes",Settings!$B$7,""),IF(ISNUMBER(R2680),DATE(YEAR(R2680),MONTH(R2680),1),"")))</f>
        <v/>
      </c>
      <c r="X2680" s="38" t="n">
        <f aca="false">IF(AND(OR(T2680="Backlog",T2680="Pipeline",T2680="Overdue"),ISNUMBER(W2680)),IF(W2680&lt;=Settings!$B$6,V2680,0),0)</f>
        <v>0</v>
      </c>
      <c r="Y2680" s="38" t="n">
        <f aca="false">IF(AND(OR(T2680="Backlog",T2680="Pipeline",T2680="Overdue"),ISNUMBER(W2680)),IF(W2680&lt;=Settings!$B$6,Q2680,0),0)</f>
        <v>0</v>
      </c>
      <c r="Z2680" s="38" t="n">
        <f aca="false">IF(Y2680=0,0,IF(T2680="Backlog",Q2680,Q2680*Dashboard!$C$10))</f>
        <v>0</v>
      </c>
      <c r="AA2680" s="37" t="n">
        <f aca="false">IF($N2680="",0,IF(COUNTIF(Dashboard!$C$13:$C$22,$N2680)&gt;0,1,0))</f>
        <v>0</v>
      </c>
      <c r="AB2680" s="37" t="str">
        <f aca="false">IF($N2680="","",IF(COUNTIF($N$8:$N2680,$N2680)=1,MAX($AB$7:$AB2679)+1,""))</f>
        <v/>
      </c>
    </row>
    <row r="2681" customFormat="false" ht="15" hidden="false" customHeight="false" outlineLevel="0" collapsed="false">
      <c r="L2681" s="37" t="str">
        <f aca="false">IF(INDEX($A2681:$J2681,$L$6)&lt;&gt;"",TRIM(LEFT(INDEX($A2681:$J2681,$L$6),FIND("(",INDEX($A2681:$J2681,$L$6)&amp;"(")-1)),L2680)</f>
        <v>Building Value Proposition</v>
      </c>
      <c r="M2681" s="37" t="str">
        <f aca="false">IF(INDEX($A2681:$J2681,$M$6)="","",INDEX($A2681:$J2681,$M$6)&amp;"")</f>
        <v/>
      </c>
      <c r="N2681" s="37" t="str">
        <f aca="false">IF($M2681="","",TRIM(INDEX($A2681:$J2681,$N$6)&amp;""))</f>
        <v/>
      </c>
      <c r="O2681" s="37" t="str">
        <f aca="false">IF($M2681="","",TRIM(INDEX($A2681:$J2681,$O$6)&amp;""))</f>
        <v/>
      </c>
      <c r="P2681" s="37" t="str">
        <f aca="false">IF($M2681="","",IFERROR(IF(INDEX(Settings!$B$41:$B$50,MATCH(O2681,Settings!$A$41:$A$50,0))&amp;""="","UNMAPPED",INDEX(Settings!$B$41:$B$50,MATCH(O2681,Settings!$A$41:$A$50,0))&amp;""),"UNMAPPED"))</f>
        <v/>
      </c>
      <c r="Q2681" s="38" t="n">
        <f aca="false">IF($M2681="",0,N(INDEX($A2681:$J2681,$Q$6)))</f>
        <v>0</v>
      </c>
      <c r="R2681" s="39" t="str">
        <f aca="false">IF($M2681="","",INDEX($A2681:$J2681,$R$6))</f>
        <v/>
      </c>
      <c r="S2681" s="37" t="str">
        <f aca="false">IF($M2681="","",IFERROR(INDEX(Settings!$B$27:$B$36,MATCH(L2681,Settings!$A$27:$A$36,0))&amp;"","UNMAPPED"))</f>
        <v/>
      </c>
      <c r="T2681" s="37" t="str">
        <f aca="false">IF($M2681="","",IF(NOT(ISNUMBER(R2681)),"NO DATE",IF(S2681="Won",IF(R2681&gt;Settings!$B$5,"Backlog","Delivered"),IF(S2681="Open",IF(R2681&gt;Settings!$B$5,"Pipeline","Overdue"),IF(S2681="Lost","Lost","UNMAPPED")))))</f>
        <v/>
      </c>
      <c r="U2681" s="40" t="n">
        <f aca="false">IF(T2681="Backlog",1,IF(OR(T2681="Pipeline",T2681="Overdue"),N(INDEX(Settings!$C$27:$C$36,MATCH(L2681,Settings!$A$27:$A$36,0))),0))</f>
        <v>0</v>
      </c>
      <c r="V2681" s="38" t="n">
        <f aca="false">Q2681*U2681</f>
        <v>0</v>
      </c>
      <c r="W2681" s="41" t="str">
        <f aca="false">IF($M2681="","",IF(T2681="Overdue",IF(Settings!$B$8="Yes",Settings!$B$7,""),IF(ISNUMBER(R2681),DATE(YEAR(R2681),MONTH(R2681),1),"")))</f>
        <v/>
      </c>
      <c r="X2681" s="38" t="n">
        <f aca="false">IF(AND(OR(T2681="Backlog",T2681="Pipeline",T2681="Overdue"),ISNUMBER(W2681)),IF(W2681&lt;=Settings!$B$6,V2681,0),0)</f>
        <v>0</v>
      </c>
      <c r="Y2681" s="38" t="n">
        <f aca="false">IF(AND(OR(T2681="Backlog",T2681="Pipeline",T2681="Overdue"),ISNUMBER(W2681)),IF(W2681&lt;=Settings!$B$6,Q2681,0),0)</f>
        <v>0</v>
      </c>
      <c r="Z2681" s="38" t="n">
        <f aca="false">IF(Y2681=0,0,IF(T2681="Backlog",Q2681,Q2681*Dashboard!$C$10))</f>
        <v>0</v>
      </c>
      <c r="AA2681" s="37" t="n">
        <f aca="false">IF($N2681="",0,IF(COUNTIF(Dashboard!$C$13:$C$22,$N2681)&gt;0,1,0))</f>
        <v>0</v>
      </c>
      <c r="AB2681" s="37" t="str">
        <f aca="false">IF($N2681="","",IF(COUNTIF($N$8:$N2681,$N2681)=1,MAX($AB$7:$AB2680)+1,""))</f>
        <v/>
      </c>
    </row>
    <row r="2682" customFormat="false" ht="15" hidden="false" customHeight="false" outlineLevel="0" collapsed="false">
      <c r="L2682" s="37" t="str">
        <f aca="false">IF(INDEX($A2682:$J2682,$L$6)&lt;&gt;"",TRIM(LEFT(INDEX($A2682:$J2682,$L$6),FIND("(",INDEX($A2682:$J2682,$L$6)&amp;"(")-1)),L2681)</f>
        <v>Building Value Proposition</v>
      </c>
      <c r="M2682" s="37" t="str">
        <f aca="false">IF(INDEX($A2682:$J2682,$M$6)="","",INDEX($A2682:$J2682,$M$6)&amp;"")</f>
        <v/>
      </c>
      <c r="N2682" s="37" t="str">
        <f aca="false">IF($M2682="","",TRIM(INDEX($A2682:$J2682,$N$6)&amp;""))</f>
        <v/>
      </c>
      <c r="O2682" s="37" t="str">
        <f aca="false">IF($M2682="","",TRIM(INDEX($A2682:$J2682,$O$6)&amp;""))</f>
        <v/>
      </c>
      <c r="P2682" s="37" t="str">
        <f aca="false">IF($M2682="","",IFERROR(IF(INDEX(Settings!$B$41:$B$50,MATCH(O2682,Settings!$A$41:$A$50,0))&amp;""="","UNMAPPED",INDEX(Settings!$B$41:$B$50,MATCH(O2682,Settings!$A$41:$A$50,0))&amp;""),"UNMAPPED"))</f>
        <v/>
      </c>
      <c r="Q2682" s="38" t="n">
        <f aca="false">IF($M2682="",0,N(INDEX($A2682:$J2682,$Q$6)))</f>
        <v>0</v>
      </c>
      <c r="R2682" s="39" t="str">
        <f aca="false">IF($M2682="","",INDEX($A2682:$J2682,$R$6))</f>
        <v/>
      </c>
      <c r="S2682" s="37" t="str">
        <f aca="false">IF($M2682="","",IFERROR(INDEX(Settings!$B$27:$B$36,MATCH(L2682,Settings!$A$27:$A$36,0))&amp;"","UNMAPPED"))</f>
        <v/>
      </c>
      <c r="T2682" s="37" t="str">
        <f aca="false">IF($M2682="","",IF(NOT(ISNUMBER(R2682)),"NO DATE",IF(S2682="Won",IF(R2682&gt;Settings!$B$5,"Backlog","Delivered"),IF(S2682="Open",IF(R2682&gt;Settings!$B$5,"Pipeline","Overdue"),IF(S2682="Lost","Lost","UNMAPPED")))))</f>
        <v/>
      </c>
      <c r="U2682" s="40" t="n">
        <f aca="false">IF(T2682="Backlog",1,IF(OR(T2682="Pipeline",T2682="Overdue"),N(INDEX(Settings!$C$27:$C$36,MATCH(L2682,Settings!$A$27:$A$36,0))),0))</f>
        <v>0</v>
      </c>
      <c r="V2682" s="38" t="n">
        <f aca="false">Q2682*U2682</f>
        <v>0</v>
      </c>
      <c r="W2682" s="41" t="str">
        <f aca="false">IF($M2682="","",IF(T2682="Overdue",IF(Settings!$B$8="Yes",Settings!$B$7,""),IF(ISNUMBER(R2682),DATE(YEAR(R2682),MONTH(R2682),1),"")))</f>
        <v/>
      </c>
      <c r="X2682" s="38" t="n">
        <f aca="false">IF(AND(OR(T2682="Backlog",T2682="Pipeline",T2682="Overdue"),ISNUMBER(W2682)),IF(W2682&lt;=Settings!$B$6,V2682,0),0)</f>
        <v>0</v>
      </c>
      <c r="Y2682" s="38" t="n">
        <f aca="false">IF(AND(OR(T2682="Backlog",T2682="Pipeline",T2682="Overdue"),ISNUMBER(W2682)),IF(W2682&lt;=Settings!$B$6,Q2682,0),0)</f>
        <v>0</v>
      </c>
      <c r="Z2682" s="38" t="n">
        <f aca="false">IF(Y2682=0,0,IF(T2682="Backlog",Q2682,Q2682*Dashboard!$C$10))</f>
        <v>0</v>
      </c>
      <c r="AA2682" s="37" t="n">
        <f aca="false">IF($N2682="",0,IF(COUNTIF(Dashboard!$C$13:$C$22,$N2682)&gt;0,1,0))</f>
        <v>0</v>
      </c>
      <c r="AB2682" s="37" t="str">
        <f aca="false">IF($N2682="","",IF(COUNTIF($N$8:$N2682,$N2682)=1,MAX($AB$7:$AB2681)+1,""))</f>
        <v/>
      </c>
    </row>
    <row r="2683" customFormat="false" ht="15" hidden="false" customHeight="false" outlineLevel="0" collapsed="false">
      <c r="L2683" s="37" t="str">
        <f aca="false">IF(INDEX($A2683:$J2683,$L$6)&lt;&gt;"",TRIM(LEFT(INDEX($A2683:$J2683,$L$6),FIND("(",INDEX($A2683:$J2683,$L$6)&amp;"(")-1)),L2682)</f>
        <v>Building Value Proposition</v>
      </c>
      <c r="M2683" s="37" t="str">
        <f aca="false">IF(INDEX($A2683:$J2683,$M$6)="","",INDEX($A2683:$J2683,$M$6)&amp;"")</f>
        <v/>
      </c>
      <c r="N2683" s="37" t="str">
        <f aca="false">IF($M2683="","",TRIM(INDEX($A2683:$J2683,$N$6)&amp;""))</f>
        <v/>
      </c>
      <c r="O2683" s="37" t="str">
        <f aca="false">IF($M2683="","",TRIM(INDEX($A2683:$J2683,$O$6)&amp;""))</f>
        <v/>
      </c>
      <c r="P2683" s="37" t="str">
        <f aca="false">IF($M2683="","",IFERROR(IF(INDEX(Settings!$B$41:$B$50,MATCH(O2683,Settings!$A$41:$A$50,0))&amp;""="","UNMAPPED",INDEX(Settings!$B$41:$B$50,MATCH(O2683,Settings!$A$41:$A$50,0))&amp;""),"UNMAPPED"))</f>
        <v/>
      </c>
      <c r="Q2683" s="38" t="n">
        <f aca="false">IF($M2683="",0,N(INDEX($A2683:$J2683,$Q$6)))</f>
        <v>0</v>
      </c>
      <c r="R2683" s="39" t="str">
        <f aca="false">IF($M2683="","",INDEX($A2683:$J2683,$R$6))</f>
        <v/>
      </c>
      <c r="S2683" s="37" t="str">
        <f aca="false">IF($M2683="","",IFERROR(INDEX(Settings!$B$27:$B$36,MATCH(L2683,Settings!$A$27:$A$36,0))&amp;"","UNMAPPED"))</f>
        <v/>
      </c>
      <c r="T2683" s="37" t="str">
        <f aca="false">IF($M2683="","",IF(NOT(ISNUMBER(R2683)),"NO DATE",IF(S2683="Won",IF(R2683&gt;Settings!$B$5,"Backlog","Delivered"),IF(S2683="Open",IF(R2683&gt;Settings!$B$5,"Pipeline","Overdue"),IF(S2683="Lost","Lost","UNMAPPED")))))</f>
        <v/>
      </c>
      <c r="U2683" s="40" t="n">
        <f aca="false">IF(T2683="Backlog",1,IF(OR(T2683="Pipeline",T2683="Overdue"),N(INDEX(Settings!$C$27:$C$36,MATCH(L2683,Settings!$A$27:$A$36,0))),0))</f>
        <v>0</v>
      </c>
      <c r="V2683" s="38" t="n">
        <f aca="false">Q2683*U2683</f>
        <v>0</v>
      </c>
      <c r="W2683" s="41" t="str">
        <f aca="false">IF($M2683="","",IF(T2683="Overdue",IF(Settings!$B$8="Yes",Settings!$B$7,""),IF(ISNUMBER(R2683),DATE(YEAR(R2683),MONTH(R2683),1),"")))</f>
        <v/>
      </c>
      <c r="X2683" s="38" t="n">
        <f aca="false">IF(AND(OR(T2683="Backlog",T2683="Pipeline",T2683="Overdue"),ISNUMBER(W2683)),IF(W2683&lt;=Settings!$B$6,V2683,0),0)</f>
        <v>0</v>
      </c>
      <c r="Y2683" s="38" t="n">
        <f aca="false">IF(AND(OR(T2683="Backlog",T2683="Pipeline",T2683="Overdue"),ISNUMBER(W2683)),IF(W2683&lt;=Settings!$B$6,Q2683,0),0)</f>
        <v>0</v>
      </c>
      <c r="Z2683" s="38" t="n">
        <f aca="false">IF(Y2683=0,0,IF(T2683="Backlog",Q2683,Q2683*Dashboard!$C$10))</f>
        <v>0</v>
      </c>
      <c r="AA2683" s="37" t="n">
        <f aca="false">IF($N2683="",0,IF(COUNTIF(Dashboard!$C$13:$C$22,$N2683)&gt;0,1,0))</f>
        <v>0</v>
      </c>
      <c r="AB2683" s="37" t="str">
        <f aca="false">IF($N2683="","",IF(COUNTIF($N$8:$N2683,$N2683)=1,MAX($AB$7:$AB2682)+1,""))</f>
        <v/>
      </c>
    </row>
    <row r="2684" customFormat="false" ht="15" hidden="false" customHeight="false" outlineLevel="0" collapsed="false">
      <c r="L2684" s="37" t="str">
        <f aca="false">IF(INDEX($A2684:$J2684,$L$6)&lt;&gt;"",TRIM(LEFT(INDEX($A2684:$J2684,$L$6),FIND("(",INDEX($A2684:$J2684,$L$6)&amp;"(")-1)),L2683)</f>
        <v>Building Value Proposition</v>
      </c>
      <c r="M2684" s="37" t="str">
        <f aca="false">IF(INDEX($A2684:$J2684,$M$6)="","",INDEX($A2684:$J2684,$M$6)&amp;"")</f>
        <v/>
      </c>
      <c r="N2684" s="37" t="str">
        <f aca="false">IF($M2684="","",TRIM(INDEX($A2684:$J2684,$N$6)&amp;""))</f>
        <v/>
      </c>
      <c r="O2684" s="37" t="str">
        <f aca="false">IF($M2684="","",TRIM(INDEX($A2684:$J2684,$O$6)&amp;""))</f>
        <v/>
      </c>
      <c r="P2684" s="37" t="str">
        <f aca="false">IF($M2684="","",IFERROR(IF(INDEX(Settings!$B$41:$B$50,MATCH(O2684,Settings!$A$41:$A$50,0))&amp;""="","UNMAPPED",INDEX(Settings!$B$41:$B$50,MATCH(O2684,Settings!$A$41:$A$50,0))&amp;""),"UNMAPPED"))</f>
        <v/>
      </c>
      <c r="Q2684" s="38" t="n">
        <f aca="false">IF($M2684="",0,N(INDEX($A2684:$J2684,$Q$6)))</f>
        <v>0</v>
      </c>
      <c r="R2684" s="39" t="str">
        <f aca="false">IF($M2684="","",INDEX($A2684:$J2684,$R$6))</f>
        <v/>
      </c>
      <c r="S2684" s="37" t="str">
        <f aca="false">IF($M2684="","",IFERROR(INDEX(Settings!$B$27:$B$36,MATCH(L2684,Settings!$A$27:$A$36,0))&amp;"","UNMAPPED"))</f>
        <v/>
      </c>
      <c r="T2684" s="37" t="str">
        <f aca="false">IF($M2684="","",IF(NOT(ISNUMBER(R2684)),"NO DATE",IF(S2684="Won",IF(R2684&gt;Settings!$B$5,"Backlog","Delivered"),IF(S2684="Open",IF(R2684&gt;Settings!$B$5,"Pipeline","Overdue"),IF(S2684="Lost","Lost","UNMAPPED")))))</f>
        <v/>
      </c>
      <c r="U2684" s="40" t="n">
        <f aca="false">IF(T2684="Backlog",1,IF(OR(T2684="Pipeline",T2684="Overdue"),N(INDEX(Settings!$C$27:$C$36,MATCH(L2684,Settings!$A$27:$A$36,0))),0))</f>
        <v>0</v>
      </c>
      <c r="V2684" s="38" t="n">
        <f aca="false">Q2684*U2684</f>
        <v>0</v>
      </c>
      <c r="W2684" s="41" t="str">
        <f aca="false">IF($M2684="","",IF(T2684="Overdue",IF(Settings!$B$8="Yes",Settings!$B$7,""),IF(ISNUMBER(R2684),DATE(YEAR(R2684),MONTH(R2684),1),"")))</f>
        <v/>
      </c>
      <c r="X2684" s="38" t="n">
        <f aca="false">IF(AND(OR(T2684="Backlog",T2684="Pipeline",T2684="Overdue"),ISNUMBER(W2684)),IF(W2684&lt;=Settings!$B$6,V2684,0),0)</f>
        <v>0</v>
      </c>
      <c r="Y2684" s="38" t="n">
        <f aca="false">IF(AND(OR(T2684="Backlog",T2684="Pipeline",T2684="Overdue"),ISNUMBER(W2684)),IF(W2684&lt;=Settings!$B$6,Q2684,0),0)</f>
        <v>0</v>
      </c>
      <c r="Z2684" s="38" t="n">
        <f aca="false">IF(Y2684=0,0,IF(T2684="Backlog",Q2684,Q2684*Dashboard!$C$10))</f>
        <v>0</v>
      </c>
      <c r="AA2684" s="37" t="n">
        <f aca="false">IF($N2684="",0,IF(COUNTIF(Dashboard!$C$13:$C$22,$N2684)&gt;0,1,0))</f>
        <v>0</v>
      </c>
      <c r="AB2684" s="37" t="str">
        <f aca="false">IF($N2684="","",IF(COUNTIF($N$8:$N2684,$N2684)=1,MAX($AB$7:$AB2683)+1,""))</f>
        <v/>
      </c>
    </row>
    <row r="2685" customFormat="false" ht="15" hidden="false" customHeight="false" outlineLevel="0" collapsed="false">
      <c r="L2685" s="37" t="str">
        <f aca="false">IF(INDEX($A2685:$J2685,$L$6)&lt;&gt;"",TRIM(LEFT(INDEX($A2685:$J2685,$L$6),FIND("(",INDEX($A2685:$J2685,$L$6)&amp;"(")-1)),L2684)</f>
        <v>Building Value Proposition</v>
      </c>
      <c r="M2685" s="37" t="str">
        <f aca="false">IF(INDEX($A2685:$J2685,$M$6)="","",INDEX($A2685:$J2685,$M$6)&amp;"")</f>
        <v/>
      </c>
      <c r="N2685" s="37" t="str">
        <f aca="false">IF($M2685="","",TRIM(INDEX($A2685:$J2685,$N$6)&amp;""))</f>
        <v/>
      </c>
      <c r="O2685" s="37" t="str">
        <f aca="false">IF($M2685="","",TRIM(INDEX($A2685:$J2685,$O$6)&amp;""))</f>
        <v/>
      </c>
      <c r="P2685" s="37" t="str">
        <f aca="false">IF($M2685="","",IFERROR(IF(INDEX(Settings!$B$41:$B$50,MATCH(O2685,Settings!$A$41:$A$50,0))&amp;""="","UNMAPPED",INDEX(Settings!$B$41:$B$50,MATCH(O2685,Settings!$A$41:$A$50,0))&amp;""),"UNMAPPED"))</f>
        <v/>
      </c>
      <c r="Q2685" s="38" t="n">
        <f aca="false">IF($M2685="",0,N(INDEX($A2685:$J2685,$Q$6)))</f>
        <v>0</v>
      </c>
      <c r="R2685" s="39" t="str">
        <f aca="false">IF($M2685="","",INDEX($A2685:$J2685,$R$6))</f>
        <v/>
      </c>
      <c r="S2685" s="37" t="str">
        <f aca="false">IF($M2685="","",IFERROR(INDEX(Settings!$B$27:$B$36,MATCH(L2685,Settings!$A$27:$A$36,0))&amp;"","UNMAPPED"))</f>
        <v/>
      </c>
      <c r="T2685" s="37" t="str">
        <f aca="false">IF($M2685="","",IF(NOT(ISNUMBER(R2685)),"NO DATE",IF(S2685="Won",IF(R2685&gt;Settings!$B$5,"Backlog","Delivered"),IF(S2685="Open",IF(R2685&gt;Settings!$B$5,"Pipeline","Overdue"),IF(S2685="Lost","Lost","UNMAPPED")))))</f>
        <v/>
      </c>
      <c r="U2685" s="40" t="n">
        <f aca="false">IF(T2685="Backlog",1,IF(OR(T2685="Pipeline",T2685="Overdue"),N(INDEX(Settings!$C$27:$C$36,MATCH(L2685,Settings!$A$27:$A$36,0))),0))</f>
        <v>0</v>
      </c>
      <c r="V2685" s="38" t="n">
        <f aca="false">Q2685*U2685</f>
        <v>0</v>
      </c>
      <c r="W2685" s="41" t="str">
        <f aca="false">IF($M2685="","",IF(T2685="Overdue",IF(Settings!$B$8="Yes",Settings!$B$7,""),IF(ISNUMBER(R2685),DATE(YEAR(R2685),MONTH(R2685),1),"")))</f>
        <v/>
      </c>
      <c r="X2685" s="38" t="n">
        <f aca="false">IF(AND(OR(T2685="Backlog",T2685="Pipeline",T2685="Overdue"),ISNUMBER(W2685)),IF(W2685&lt;=Settings!$B$6,V2685,0),0)</f>
        <v>0</v>
      </c>
      <c r="Y2685" s="38" t="n">
        <f aca="false">IF(AND(OR(T2685="Backlog",T2685="Pipeline",T2685="Overdue"),ISNUMBER(W2685)),IF(W2685&lt;=Settings!$B$6,Q2685,0),0)</f>
        <v>0</v>
      </c>
      <c r="Z2685" s="38" t="n">
        <f aca="false">IF(Y2685=0,0,IF(T2685="Backlog",Q2685,Q2685*Dashboard!$C$10))</f>
        <v>0</v>
      </c>
      <c r="AA2685" s="37" t="n">
        <f aca="false">IF($N2685="",0,IF(COUNTIF(Dashboard!$C$13:$C$22,$N2685)&gt;0,1,0))</f>
        <v>0</v>
      </c>
      <c r="AB2685" s="37" t="str">
        <f aca="false">IF($N2685="","",IF(COUNTIF($N$8:$N2685,$N2685)=1,MAX($AB$7:$AB2684)+1,""))</f>
        <v/>
      </c>
    </row>
    <row r="2686" customFormat="false" ht="15" hidden="false" customHeight="false" outlineLevel="0" collapsed="false">
      <c r="L2686" s="37" t="str">
        <f aca="false">IF(INDEX($A2686:$J2686,$L$6)&lt;&gt;"",TRIM(LEFT(INDEX($A2686:$J2686,$L$6),FIND("(",INDEX($A2686:$J2686,$L$6)&amp;"(")-1)),L2685)</f>
        <v>Building Value Proposition</v>
      </c>
      <c r="M2686" s="37" t="str">
        <f aca="false">IF(INDEX($A2686:$J2686,$M$6)="","",INDEX($A2686:$J2686,$M$6)&amp;"")</f>
        <v/>
      </c>
      <c r="N2686" s="37" t="str">
        <f aca="false">IF($M2686="","",TRIM(INDEX($A2686:$J2686,$N$6)&amp;""))</f>
        <v/>
      </c>
      <c r="O2686" s="37" t="str">
        <f aca="false">IF($M2686="","",TRIM(INDEX($A2686:$J2686,$O$6)&amp;""))</f>
        <v/>
      </c>
      <c r="P2686" s="37" t="str">
        <f aca="false">IF($M2686="","",IFERROR(IF(INDEX(Settings!$B$41:$B$50,MATCH(O2686,Settings!$A$41:$A$50,0))&amp;""="","UNMAPPED",INDEX(Settings!$B$41:$B$50,MATCH(O2686,Settings!$A$41:$A$50,0))&amp;""),"UNMAPPED"))</f>
        <v/>
      </c>
      <c r="Q2686" s="38" t="n">
        <f aca="false">IF($M2686="",0,N(INDEX($A2686:$J2686,$Q$6)))</f>
        <v>0</v>
      </c>
      <c r="R2686" s="39" t="str">
        <f aca="false">IF($M2686="","",INDEX($A2686:$J2686,$R$6))</f>
        <v/>
      </c>
      <c r="S2686" s="37" t="str">
        <f aca="false">IF($M2686="","",IFERROR(INDEX(Settings!$B$27:$B$36,MATCH(L2686,Settings!$A$27:$A$36,0))&amp;"","UNMAPPED"))</f>
        <v/>
      </c>
      <c r="T2686" s="37" t="str">
        <f aca="false">IF($M2686="","",IF(NOT(ISNUMBER(R2686)),"NO DATE",IF(S2686="Won",IF(R2686&gt;Settings!$B$5,"Backlog","Delivered"),IF(S2686="Open",IF(R2686&gt;Settings!$B$5,"Pipeline","Overdue"),IF(S2686="Lost","Lost","UNMAPPED")))))</f>
        <v/>
      </c>
      <c r="U2686" s="40" t="n">
        <f aca="false">IF(T2686="Backlog",1,IF(OR(T2686="Pipeline",T2686="Overdue"),N(INDEX(Settings!$C$27:$C$36,MATCH(L2686,Settings!$A$27:$A$36,0))),0))</f>
        <v>0</v>
      </c>
      <c r="V2686" s="38" t="n">
        <f aca="false">Q2686*U2686</f>
        <v>0</v>
      </c>
      <c r="W2686" s="41" t="str">
        <f aca="false">IF($M2686="","",IF(T2686="Overdue",IF(Settings!$B$8="Yes",Settings!$B$7,""),IF(ISNUMBER(R2686),DATE(YEAR(R2686),MONTH(R2686),1),"")))</f>
        <v/>
      </c>
      <c r="X2686" s="38" t="n">
        <f aca="false">IF(AND(OR(T2686="Backlog",T2686="Pipeline",T2686="Overdue"),ISNUMBER(W2686)),IF(W2686&lt;=Settings!$B$6,V2686,0),0)</f>
        <v>0</v>
      </c>
      <c r="Y2686" s="38" t="n">
        <f aca="false">IF(AND(OR(T2686="Backlog",T2686="Pipeline",T2686="Overdue"),ISNUMBER(W2686)),IF(W2686&lt;=Settings!$B$6,Q2686,0),0)</f>
        <v>0</v>
      </c>
      <c r="Z2686" s="38" t="n">
        <f aca="false">IF(Y2686=0,0,IF(T2686="Backlog",Q2686,Q2686*Dashboard!$C$10))</f>
        <v>0</v>
      </c>
      <c r="AA2686" s="37" t="n">
        <f aca="false">IF($N2686="",0,IF(COUNTIF(Dashboard!$C$13:$C$22,$N2686)&gt;0,1,0))</f>
        <v>0</v>
      </c>
      <c r="AB2686" s="37" t="str">
        <f aca="false">IF($N2686="","",IF(COUNTIF($N$8:$N2686,$N2686)=1,MAX($AB$7:$AB2685)+1,""))</f>
        <v/>
      </c>
    </row>
    <row r="2687" customFormat="false" ht="15" hidden="false" customHeight="false" outlineLevel="0" collapsed="false">
      <c r="L2687" s="37" t="str">
        <f aca="false">IF(INDEX($A2687:$J2687,$L$6)&lt;&gt;"",TRIM(LEFT(INDEX($A2687:$J2687,$L$6),FIND("(",INDEX($A2687:$J2687,$L$6)&amp;"(")-1)),L2686)</f>
        <v>Building Value Proposition</v>
      </c>
      <c r="M2687" s="37" t="str">
        <f aca="false">IF(INDEX($A2687:$J2687,$M$6)="","",INDEX($A2687:$J2687,$M$6)&amp;"")</f>
        <v/>
      </c>
      <c r="N2687" s="37" t="str">
        <f aca="false">IF($M2687="","",TRIM(INDEX($A2687:$J2687,$N$6)&amp;""))</f>
        <v/>
      </c>
      <c r="O2687" s="37" t="str">
        <f aca="false">IF($M2687="","",TRIM(INDEX($A2687:$J2687,$O$6)&amp;""))</f>
        <v/>
      </c>
      <c r="P2687" s="37" t="str">
        <f aca="false">IF($M2687="","",IFERROR(IF(INDEX(Settings!$B$41:$B$50,MATCH(O2687,Settings!$A$41:$A$50,0))&amp;""="","UNMAPPED",INDEX(Settings!$B$41:$B$50,MATCH(O2687,Settings!$A$41:$A$50,0))&amp;""),"UNMAPPED"))</f>
        <v/>
      </c>
      <c r="Q2687" s="38" t="n">
        <f aca="false">IF($M2687="",0,N(INDEX($A2687:$J2687,$Q$6)))</f>
        <v>0</v>
      </c>
      <c r="R2687" s="39" t="str">
        <f aca="false">IF($M2687="","",INDEX($A2687:$J2687,$R$6))</f>
        <v/>
      </c>
      <c r="S2687" s="37" t="str">
        <f aca="false">IF($M2687="","",IFERROR(INDEX(Settings!$B$27:$B$36,MATCH(L2687,Settings!$A$27:$A$36,0))&amp;"","UNMAPPED"))</f>
        <v/>
      </c>
      <c r="T2687" s="37" t="str">
        <f aca="false">IF($M2687="","",IF(NOT(ISNUMBER(R2687)),"NO DATE",IF(S2687="Won",IF(R2687&gt;Settings!$B$5,"Backlog","Delivered"),IF(S2687="Open",IF(R2687&gt;Settings!$B$5,"Pipeline","Overdue"),IF(S2687="Lost","Lost","UNMAPPED")))))</f>
        <v/>
      </c>
      <c r="U2687" s="40" t="n">
        <f aca="false">IF(T2687="Backlog",1,IF(OR(T2687="Pipeline",T2687="Overdue"),N(INDEX(Settings!$C$27:$C$36,MATCH(L2687,Settings!$A$27:$A$36,0))),0))</f>
        <v>0</v>
      </c>
      <c r="V2687" s="38" t="n">
        <f aca="false">Q2687*U2687</f>
        <v>0</v>
      </c>
      <c r="W2687" s="41" t="str">
        <f aca="false">IF($M2687="","",IF(T2687="Overdue",IF(Settings!$B$8="Yes",Settings!$B$7,""),IF(ISNUMBER(R2687),DATE(YEAR(R2687),MONTH(R2687),1),"")))</f>
        <v/>
      </c>
      <c r="X2687" s="38" t="n">
        <f aca="false">IF(AND(OR(T2687="Backlog",T2687="Pipeline",T2687="Overdue"),ISNUMBER(W2687)),IF(W2687&lt;=Settings!$B$6,V2687,0),0)</f>
        <v>0</v>
      </c>
      <c r="Y2687" s="38" t="n">
        <f aca="false">IF(AND(OR(T2687="Backlog",T2687="Pipeline",T2687="Overdue"),ISNUMBER(W2687)),IF(W2687&lt;=Settings!$B$6,Q2687,0),0)</f>
        <v>0</v>
      </c>
      <c r="Z2687" s="38" t="n">
        <f aca="false">IF(Y2687=0,0,IF(T2687="Backlog",Q2687,Q2687*Dashboard!$C$10))</f>
        <v>0</v>
      </c>
      <c r="AA2687" s="37" t="n">
        <f aca="false">IF($N2687="",0,IF(COUNTIF(Dashboard!$C$13:$C$22,$N2687)&gt;0,1,0))</f>
        <v>0</v>
      </c>
      <c r="AB2687" s="37" t="str">
        <f aca="false">IF($N2687="","",IF(COUNTIF($N$8:$N2687,$N2687)=1,MAX($AB$7:$AB2686)+1,""))</f>
        <v/>
      </c>
    </row>
    <row r="2688" customFormat="false" ht="15" hidden="false" customHeight="false" outlineLevel="0" collapsed="false">
      <c r="L2688" s="37" t="str">
        <f aca="false">IF(INDEX($A2688:$J2688,$L$6)&lt;&gt;"",TRIM(LEFT(INDEX($A2688:$J2688,$L$6),FIND("(",INDEX($A2688:$J2688,$L$6)&amp;"(")-1)),L2687)</f>
        <v>Building Value Proposition</v>
      </c>
      <c r="M2688" s="37" t="str">
        <f aca="false">IF(INDEX($A2688:$J2688,$M$6)="","",INDEX($A2688:$J2688,$M$6)&amp;"")</f>
        <v/>
      </c>
      <c r="N2688" s="37" t="str">
        <f aca="false">IF($M2688="","",TRIM(INDEX($A2688:$J2688,$N$6)&amp;""))</f>
        <v/>
      </c>
      <c r="O2688" s="37" t="str">
        <f aca="false">IF($M2688="","",TRIM(INDEX($A2688:$J2688,$O$6)&amp;""))</f>
        <v/>
      </c>
      <c r="P2688" s="37" t="str">
        <f aca="false">IF($M2688="","",IFERROR(IF(INDEX(Settings!$B$41:$B$50,MATCH(O2688,Settings!$A$41:$A$50,0))&amp;""="","UNMAPPED",INDEX(Settings!$B$41:$B$50,MATCH(O2688,Settings!$A$41:$A$50,0))&amp;""),"UNMAPPED"))</f>
        <v/>
      </c>
      <c r="Q2688" s="38" t="n">
        <f aca="false">IF($M2688="",0,N(INDEX($A2688:$J2688,$Q$6)))</f>
        <v>0</v>
      </c>
      <c r="R2688" s="39" t="str">
        <f aca="false">IF($M2688="","",INDEX($A2688:$J2688,$R$6))</f>
        <v/>
      </c>
      <c r="S2688" s="37" t="str">
        <f aca="false">IF($M2688="","",IFERROR(INDEX(Settings!$B$27:$B$36,MATCH(L2688,Settings!$A$27:$A$36,0))&amp;"","UNMAPPED"))</f>
        <v/>
      </c>
      <c r="T2688" s="37" t="str">
        <f aca="false">IF($M2688="","",IF(NOT(ISNUMBER(R2688)),"NO DATE",IF(S2688="Won",IF(R2688&gt;Settings!$B$5,"Backlog","Delivered"),IF(S2688="Open",IF(R2688&gt;Settings!$B$5,"Pipeline","Overdue"),IF(S2688="Lost","Lost","UNMAPPED")))))</f>
        <v/>
      </c>
      <c r="U2688" s="40" t="n">
        <f aca="false">IF(T2688="Backlog",1,IF(OR(T2688="Pipeline",T2688="Overdue"),N(INDEX(Settings!$C$27:$C$36,MATCH(L2688,Settings!$A$27:$A$36,0))),0))</f>
        <v>0</v>
      </c>
      <c r="V2688" s="38" t="n">
        <f aca="false">Q2688*U2688</f>
        <v>0</v>
      </c>
      <c r="W2688" s="41" t="str">
        <f aca="false">IF($M2688="","",IF(T2688="Overdue",IF(Settings!$B$8="Yes",Settings!$B$7,""),IF(ISNUMBER(R2688),DATE(YEAR(R2688),MONTH(R2688),1),"")))</f>
        <v/>
      </c>
      <c r="X2688" s="38" t="n">
        <f aca="false">IF(AND(OR(T2688="Backlog",T2688="Pipeline",T2688="Overdue"),ISNUMBER(W2688)),IF(W2688&lt;=Settings!$B$6,V2688,0),0)</f>
        <v>0</v>
      </c>
      <c r="Y2688" s="38" t="n">
        <f aca="false">IF(AND(OR(T2688="Backlog",T2688="Pipeline",T2688="Overdue"),ISNUMBER(W2688)),IF(W2688&lt;=Settings!$B$6,Q2688,0),0)</f>
        <v>0</v>
      </c>
      <c r="Z2688" s="38" t="n">
        <f aca="false">IF(Y2688=0,0,IF(T2688="Backlog",Q2688,Q2688*Dashboard!$C$10))</f>
        <v>0</v>
      </c>
      <c r="AA2688" s="37" t="n">
        <f aca="false">IF($N2688="",0,IF(COUNTIF(Dashboard!$C$13:$C$22,$N2688)&gt;0,1,0))</f>
        <v>0</v>
      </c>
      <c r="AB2688" s="37" t="str">
        <f aca="false">IF($N2688="","",IF(COUNTIF($N$8:$N2688,$N2688)=1,MAX($AB$7:$AB2687)+1,""))</f>
        <v/>
      </c>
    </row>
    <row r="2689" customFormat="false" ht="15" hidden="false" customHeight="false" outlineLevel="0" collapsed="false">
      <c r="L2689" s="37" t="str">
        <f aca="false">IF(INDEX($A2689:$J2689,$L$6)&lt;&gt;"",TRIM(LEFT(INDEX($A2689:$J2689,$L$6),FIND("(",INDEX($A2689:$J2689,$L$6)&amp;"(")-1)),L2688)</f>
        <v>Building Value Proposition</v>
      </c>
      <c r="M2689" s="37" t="str">
        <f aca="false">IF(INDEX($A2689:$J2689,$M$6)="","",INDEX($A2689:$J2689,$M$6)&amp;"")</f>
        <v/>
      </c>
      <c r="N2689" s="37" t="str">
        <f aca="false">IF($M2689="","",TRIM(INDEX($A2689:$J2689,$N$6)&amp;""))</f>
        <v/>
      </c>
      <c r="O2689" s="37" t="str">
        <f aca="false">IF($M2689="","",TRIM(INDEX($A2689:$J2689,$O$6)&amp;""))</f>
        <v/>
      </c>
      <c r="P2689" s="37" t="str">
        <f aca="false">IF($M2689="","",IFERROR(IF(INDEX(Settings!$B$41:$B$50,MATCH(O2689,Settings!$A$41:$A$50,0))&amp;""="","UNMAPPED",INDEX(Settings!$B$41:$B$50,MATCH(O2689,Settings!$A$41:$A$50,0))&amp;""),"UNMAPPED"))</f>
        <v/>
      </c>
      <c r="Q2689" s="38" t="n">
        <f aca="false">IF($M2689="",0,N(INDEX($A2689:$J2689,$Q$6)))</f>
        <v>0</v>
      </c>
      <c r="R2689" s="39" t="str">
        <f aca="false">IF($M2689="","",INDEX($A2689:$J2689,$R$6))</f>
        <v/>
      </c>
      <c r="S2689" s="37" t="str">
        <f aca="false">IF($M2689="","",IFERROR(INDEX(Settings!$B$27:$B$36,MATCH(L2689,Settings!$A$27:$A$36,0))&amp;"","UNMAPPED"))</f>
        <v/>
      </c>
      <c r="T2689" s="37" t="str">
        <f aca="false">IF($M2689="","",IF(NOT(ISNUMBER(R2689)),"NO DATE",IF(S2689="Won",IF(R2689&gt;Settings!$B$5,"Backlog","Delivered"),IF(S2689="Open",IF(R2689&gt;Settings!$B$5,"Pipeline","Overdue"),IF(S2689="Lost","Lost","UNMAPPED")))))</f>
        <v/>
      </c>
      <c r="U2689" s="40" t="n">
        <f aca="false">IF(T2689="Backlog",1,IF(OR(T2689="Pipeline",T2689="Overdue"),N(INDEX(Settings!$C$27:$C$36,MATCH(L2689,Settings!$A$27:$A$36,0))),0))</f>
        <v>0</v>
      </c>
      <c r="V2689" s="38" t="n">
        <f aca="false">Q2689*U2689</f>
        <v>0</v>
      </c>
      <c r="W2689" s="41" t="str">
        <f aca="false">IF($M2689="","",IF(T2689="Overdue",IF(Settings!$B$8="Yes",Settings!$B$7,""),IF(ISNUMBER(R2689),DATE(YEAR(R2689),MONTH(R2689),1),"")))</f>
        <v/>
      </c>
      <c r="X2689" s="38" t="n">
        <f aca="false">IF(AND(OR(T2689="Backlog",T2689="Pipeline",T2689="Overdue"),ISNUMBER(W2689)),IF(W2689&lt;=Settings!$B$6,V2689,0),0)</f>
        <v>0</v>
      </c>
      <c r="Y2689" s="38" t="n">
        <f aca="false">IF(AND(OR(T2689="Backlog",T2689="Pipeline",T2689="Overdue"),ISNUMBER(W2689)),IF(W2689&lt;=Settings!$B$6,Q2689,0),0)</f>
        <v>0</v>
      </c>
      <c r="Z2689" s="38" t="n">
        <f aca="false">IF(Y2689=0,0,IF(T2689="Backlog",Q2689,Q2689*Dashboard!$C$10))</f>
        <v>0</v>
      </c>
      <c r="AA2689" s="37" t="n">
        <f aca="false">IF($N2689="",0,IF(COUNTIF(Dashboard!$C$13:$C$22,$N2689)&gt;0,1,0))</f>
        <v>0</v>
      </c>
      <c r="AB2689" s="37" t="str">
        <f aca="false">IF($N2689="","",IF(COUNTIF($N$8:$N2689,$N2689)=1,MAX($AB$7:$AB2688)+1,""))</f>
        <v/>
      </c>
    </row>
    <row r="2690" customFormat="false" ht="15" hidden="false" customHeight="false" outlineLevel="0" collapsed="false">
      <c r="L2690" s="37" t="str">
        <f aca="false">IF(INDEX($A2690:$J2690,$L$6)&lt;&gt;"",TRIM(LEFT(INDEX($A2690:$J2690,$L$6),FIND("(",INDEX($A2690:$J2690,$L$6)&amp;"(")-1)),L2689)</f>
        <v>Building Value Proposition</v>
      </c>
      <c r="M2690" s="37" t="str">
        <f aca="false">IF(INDEX($A2690:$J2690,$M$6)="","",INDEX($A2690:$J2690,$M$6)&amp;"")</f>
        <v/>
      </c>
      <c r="N2690" s="37" t="str">
        <f aca="false">IF($M2690="","",TRIM(INDEX($A2690:$J2690,$N$6)&amp;""))</f>
        <v/>
      </c>
      <c r="O2690" s="37" t="str">
        <f aca="false">IF($M2690="","",TRIM(INDEX($A2690:$J2690,$O$6)&amp;""))</f>
        <v/>
      </c>
      <c r="P2690" s="37" t="str">
        <f aca="false">IF($M2690="","",IFERROR(IF(INDEX(Settings!$B$41:$B$50,MATCH(O2690,Settings!$A$41:$A$50,0))&amp;""="","UNMAPPED",INDEX(Settings!$B$41:$B$50,MATCH(O2690,Settings!$A$41:$A$50,0))&amp;""),"UNMAPPED"))</f>
        <v/>
      </c>
      <c r="Q2690" s="38" t="n">
        <f aca="false">IF($M2690="",0,N(INDEX($A2690:$J2690,$Q$6)))</f>
        <v>0</v>
      </c>
      <c r="R2690" s="39" t="str">
        <f aca="false">IF($M2690="","",INDEX($A2690:$J2690,$R$6))</f>
        <v/>
      </c>
      <c r="S2690" s="37" t="str">
        <f aca="false">IF($M2690="","",IFERROR(INDEX(Settings!$B$27:$B$36,MATCH(L2690,Settings!$A$27:$A$36,0))&amp;"","UNMAPPED"))</f>
        <v/>
      </c>
      <c r="T2690" s="37" t="str">
        <f aca="false">IF($M2690="","",IF(NOT(ISNUMBER(R2690)),"NO DATE",IF(S2690="Won",IF(R2690&gt;Settings!$B$5,"Backlog","Delivered"),IF(S2690="Open",IF(R2690&gt;Settings!$B$5,"Pipeline","Overdue"),IF(S2690="Lost","Lost","UNMAPPED")))))</f>
        <v/>
      </c>
      <c r="U2690" s="40" t="n">
        <f aca="false">IF(T2690="Backlog",1,IF(OR(T2690="Pipeline",T2690="Overdue"),N(INDEX(Settings!$C$27:$C$36,MATCH(L2690,Settings!$A$27:$A$36,0))),0))</f>
        <v>0</v>
      </c>
      <c r="V2690" s="38" t="n">
        <f aca="false">Q2690*U2690</f>
        <v>0</v>
      </c>
      <c r="W2690" s="41" t="str">
        <f aca="false">IF($M2690="","",IF(T2690="Overdue",IF(Settings!$B$8="Yes",Settings!$B$7,""),IF(ISNUMBER(R2690),DATE(YEAR(R2690),MONTH(R2690),1),"")))</f>
        <v/>
      </c>
      <c r="X2690" s="38" t="n">
        <f aca="false">IF(AND(OR(T2690="Backlog",T2690="Pipeline",T2690="Overdue"),ISNUMBER(W2690)),IF(W2690&lt;=Settings!$B$6,V2690,0),0)</f>
        <v>0</v>
      </c>
      <c r="Y2690" s="38" t="n">
        <f aca="false">IF(AND(OR(T2690="Backlog",T2690="Pipeline",T2690="Overdue"),ISNUMBER(W2690)),IF(W2690&lt;=Settings!$B$6,Q2690,0),0)</f>
        <v>0</v>
      </c>
      <c r="Z2690" s="38" t="n">
        <f aca="false">IF(Y2690=0,0,IF(T2690="Backlog",Q2690,Q2690*Dashboard!$C$10))</f>
        <v>0</v>
      </c>
      <c r="AA2690" s="37" t="n">
        <f aca="false">IF($N2690="",0,IF(COUNTIF(Dashboard!$C$13:$C$22,$N2690)&gt;0,1,0))</f>
        <v>0</v>
      </c>
      <c r="AB2690" s="37" t="str">
        <f aca="false">IF($N2690="","",IF(COUNTIF($N$8:$N2690,$N2690)=1,MAX($AB$7:$AB2689)+1,""))</f>
        <v/>
      </c>
    </row>
    <row r="2691" customFormat="false" ht="15" hidden="false" customHeight="false" outlineLevel="0" collapsed="false">
      <c r="L2691" s="37" t="str">
        <f aca="false">IF(INDEX($A2691:$J2691,$L$6)&lt;&gt;"",TRIM(LEFT(INDEX($A2691:$J2691,$L$6),FIND("(",INDEX($A2691:$J2691,$L$6)&amp;"(")-1)),L2690)</f>
        <v>Building Value Proposition</v>
      </c>
      <c r="M2691" s="37" t="str">
        <f aca="false">IF(INDEX($A2691:$J2691,$M$6)="","",INDEX($A2691:$J2691,$M$6)&amp;"")</f>
        <v/>
      </c>
      <c r="N2691" s="37" t="str">
        <f aca="false">IF($M2691="","",TRIM(INDEX($A2691:$J2691,$N$6)&amp;""))</f>
        <v/>
      </c>
      <c r="O2691" s="37" t="str">
        <f aca="false">IF($M2691="","",TRIM(INDEX($A2691:$J2691,$O$6)&amp;""))</f>
        <v/>
      </c>
      <c r="P2691" s="37" t="str">
        <f aca="false">IF($M2691="","",IFERROR(IF(INDEX(Settings!$B$41:$B$50,MATCH(O2691,Settings!$A$41:$A$50,0))&amp;""="","UNMAPPED",INDEX(Settings!$B$41:$B$50,MATCH(O2691,Settings!$A$41:$A$50,0))&amp;""),"UNMAPPED"))</f>
        <v/>
      </c>
      <c r="Q2691" s="38" t="n">
        <f aca="false">IF($M2691="",0,N(INDEX($A2691:$J2691,$Q$6)))</f>
        <v>0</v>
      </c>
      <c r="R2691" s="39" t="str">
        <f aca="false">IF($M2691="","",INDEX($A2691:$J2691,$R$6))</f>
        <v/>
      </c>
      <c r="S2691" s="37" t="str">
        <f aca="false">IF($M2691="","",IFERROR(INDEX(Settings!$B$27:$B$36,MATCH(L2691,Settings!$A$27:$A$36,0))&amp;"","UNMAPPED"))</f>
        <v/>
      </c>
      <c r="T2691" s="37" t="str">
        <f aca="false">IF($M2691="","",IF(NOT(ISNUMBER(R2691)),"NO DATE",IF(S2691="Won",IF(R2691&gt;Settings!$B$5,"Backlog","Delivered"),IF(S2691="Open",IF(R2691&gt;Settings!$B$5,"Pipeline","Overdue"),IF(S2691="Lost","Lost","UNMAPPED")))))</f>
        <v/>
      </c>
      <c r="U2691" s="40" t="n">
        <f aca="false">IF(T2691="Backlog",1,IF(OR(T2691="Pipeline",T2691="Overdue"),N(INDEX(Settings!$C$27:$C$36,MATCH(L2691,Settings!$A$27:$A$36,0))),0))</f>
        <v>0</v>
      </c>
      <c r="V2691" s="38" t="n">
        <f aca="false">Q2691*U2691</f>
        <v>0</v>
      </c>
      <c r="W2691" s="41" t="str">
        <f aca="false">IF($M2691="","",IF(T2691="Overdue",IF(Settings!$B$8="Yes",Settings!$B$7,""),IF(ISNUMBER(R2691),DATE(YEAR(R2691),MONTH(R2691),1),"")))</f>
        <v/>
      </c>
      <c r="X2691" s="38" t="n">
        <f aca="false">IF(AND(OR(T2691="Backlog",T2691="Pipeline",T2691="Overdue"),ISNUMBER(W2691)),IF(W2691&lt;=Settings!$B$6,V2691,0),0)</f>
        <v>0</v>
      </c>
      <c r="Y2691" s="38" t="n">
        <f aca="false">IF(AND(OR(T2691="Backlog",T2691="Pipeline",T2691="Overdue"),ISNUMBER(W2691)),IF(W2691&lt;=Settings!$B$6,Q2691,0),0)</f>
        <v>0</v>
      </c>
      <c r="Z2691" s="38" t="n">
        <f aca="false">IF(Y2691=0,0,IF(T2691="Backlog",Q2691,Q2691*Dashboard!$C$10))</f>
        <v>0</v>
      </c>
      <c r="AA2691" s="37" t="n">
        <f aca="false">IF($N2691="",0,IF(COUNTIF(Dashboard!$C$13:$C$22,$N2691)&gt;0,1,0))</f>
        <v>0</v>
      </c>
      <c r="AB2691" s="37" t="str">
        <f aca="false">IF($N2691="","",IF(COUNTIF($N$8:$N2691,$N2691)=1,MAX($AB$7:$AB2690)+1,""))</f>
        <v/>
      </c>
    </row>
    <row r="2692" customFormat="false" ht="15" hidden="false" customHeight="false" outlineLevel="0" collapsed="false">
      <c r="L2692" s="37" t="str">
        <f aca="false">IF(INDEX($A2692:$J2692,$L$6)&lt;&gt;"",TRIM(LEFT(INDEX($A2692:$J2692,$L$6),FIND("(",INDEX($A2692:$J2692,$L$6)&amp;"(")-1)),L2691)</f>
        <v>Building Value Proposition</v>
      </c>
      <c r="M2692" s="37" t="str">
        <f aca="false">IF(INDEX($A2692:$J2692,$M$6)="","",INDEX($A2692:$J2692,$M$6)&amp;"")</f>
        <v/>
      </c>
      <c r="N2692" s="37" t="str">
        <f aca="false">IF($M2692="","",TRIM(INDEX($A2692:$J2692,$N$6)&amp;""))</f>
        <v/>
      </c>
      <c r="O2692" s="37" t="str">
        <f aca="false">IF($M2692="","",TRIM(INDEX($A2692:$J2692,$O$6)&amp;""))</f>
        <v/>
      </c>
      <c r="P2692" s="37" t="str">
        <f aca="false">IF($M2692="","",IFERROR(IF(INDEX(Settings!$B$41:$B$50,MATCH(O2692,Settings!$A$41:$A$50,0))&amp;""="","UNMAPPED",INDEX(Settings!$B$41:$B$50,MATCH(O2692,Settings!$A$41:$A$50,0))&amp;""),"UNMAPPED"))</f>
        <v/>
      </c>
      <c r="Q2692" s="38" t="n">
        <f aca="false">IF($M2692="",0,N(INDEX($A2692:$J2692,$Q$6)))</f>
        <v>0</v>
      </c>
      <c r="R2692" s="39" t="str">
        <f aca="false">IF($M2692="","",INDEX($A2692:$J2692,$R$6))</f>
        <v/>
      </c>
      <c r="S2692" s="37" t="str">
        <f aca="false">IF($M2692="","",IFERROR(INDEX(Settings!$B$27:$B$36,MATCH(L2692,Settings!$A$27:$A$36,0))&amp;"","UNMAPPED"))</f>
        <v/>
      </c>
      <c r="T2692" s="37" t="str">
        <f aca="false">IF($M2692="","",IF(NOT(ISNUMBER(R2692)),"NO DATE",IF(S2692="Won",IF(R2692&gt;Settings!$B$5,"Backlog","Delivered"),IF(S2692="Open",IF(R2692&gt;Settings!$B$5,"Pipeline","Overdue"),IF(S2692="Lost","Lost","UNMAPPED")))))</f>
        <v/>
      </c>
      <c r="U2692" s="40" t="n">
        <f aca="false">IF(T2692="Backlog",1,IF(OR(T2692="Pipeline",T2692="Overdue"),N(INDEX(Settings!$C$27:$C$36,MATCH(L2692,Settings!$A$27:$A$36,0))),0))</f>
        <v>0</v>
      </c>
      <c r="V2692" s="38" t="n">
        <f aca="false">Q2692*U2692</f>
        <v>0</v>
      </c>
      <c r="W2692" s="41" t="str">
        <f aca="false">IF($M2692="","",IF(T2692="Overdue",IF(Settings!$B$8="Yes",Settings!$B$7,""),IF(ISNUMBER(R2692),DATE(YEAR(R2692),MONTH(R2692),1),"")))</f>
        <v/>
      </c>
      <c r="X2692" s="38" t="n">
        <f aca="false">IF(AND(OR(T2692="Backlog",T2692="Pipeline",T2692="Overdue"),ISNUMBER(W2692)),IF(W2692&lt;=Settings!$B$6,V2692,0),0)</f>
        <v>0</v>
      </c>
      <c r="Y2692" s="38" t="n">
        <f aca="false">IF(AND(OR(T2692="Backlog",T2692="Pipeline",T2692="Overdue"),ISNUMBER(W2692)),IF(W2692&lt;=Settings!$B$6,Q2692,0),0)</f>
        <v>0</v>
      </c>
      <c r="Z2692" s="38" t="n">
        <f aca="false">IF(Y2692=0,0,IF(T2692="Backlog",Q2692,Q2692*Dashboard!$C$10))</f>
        <v>0</v>
      </c>
      <c r="AA2692" s="37" t="n">
        <f aca="false">IF($N2692="",0,IF(COUNTIF(Dashboard!$C$13:$C$22,$N2692)&gt;0,1,0))</f>
        <v>0</v>
      </c>
      <c r="AB2692" s="37" t="str">
        <f aca="false">IF($N2692="","",IF(COUNTIF($N$8:$N2692,$N2692)=1,MAX($AB$7:$AB2691)+1,""))</f>
        <v/>
      </c>
    </row>
    <row r="2693" customFormat="false" ht="15" hidden="false" customHeight="false" outlineLevel="0" collapsed="false">
      <c r="L2693" s="37" t="str">
        <f aca="false">IF(INDEX($A2693:$J2693,$L$6)&lt;&gt;"",TRIM(LEFT(INDEX($A2693:$J2693,$L$6),FIND("(",INDEX($A2693:$J2693,$L$6)&amp;"(")-1)),L2692)</f>
        <v>Building Value Proposition</v>
      </c>
      <c r="M2693" s="37" t="str">
        <f aca="false">IF(INDEX($A2693:$J2693,$M$6)="","",INDEX($A2693:$J2693,$M$6)&amp;"")</f>
        <v/>
      </c>
      <c r="N2693" s="37" t="str">
        <f aca="false">IF($M2693="","",TRIM(INDEX($A2693:$J2693,$N$6)&amp;""))</f>
        <v/>
      </c>
      <c r="O2693" s="37" t="str">
        <f aca="false">IF($M2693="","",TRIM(INDEX($A2693:$J2693,$O$6)&amp;""))</f>
        <v/>
      </c>
      <c r="P2693" s="37" t="str">
        <f aca="false">IF($M2693="","",IFERROR(IF(INDEX(Settings!$B$41:$B$50,MATCH(O2693,Settings!$A$41:$A$50,0))&amp;""="","UNMAPPED",INDEX(Settings!$B$41:$B$50,MATCH(O2693,Settings!$A$41:$A$50,0))&amp;""),"UNMAPPED"))</f>
        <v/>
      </c>
      <c r="Q2693" s="38" t="n">
        <f aca="false">IF($M2693="",0,N(INDEX($A2693:$J2693,$Q$6)))</f>
        <v>0</v>
      </c>
      <c r="R2693" s="39" t="str">
        <f aca="false">IF($M2693="","",INDEX($A2693:$J2693,$R$6))</f>
        <v/>
      </c>
      <c r="S2693" s="37" t="str">
        <f aca="false">IF($M2693="","",IFERROR(INDEX(Settings!$B$27:$B$36,MATCH(L2693,Settings!$A$27:$A$36,0))&amp;"","UNMAPPED"))</f>
        <v/>
      </c>
      <c r="T2693" s="37" t="str">
        <f aca="false">IF($M2693="","",IF(NOT(ISNUMBER(R2693)),"NO DATE",IF(S2693="Won",IF(R2693&gt;Settings!$B$5,"Backlog","Delivered"),IF(S2693="Open",IF(R2693&gt;Settings!$B$5,"Pipeline","Overdue"),IF(S2693="Lost","Lost","UNMAPPED")))))</f>
        <v/>
      </c>
      <c r="U2693" s="40" t="n">
        <f aca="false">IF(T2693="Backlog",1,IF(OR(T2693="Pipeline",T2693="Overdue"),N(INDEX(Settings!$C$27:$C$36,MATCH(L2693,Settings!$A$27:$A$36,0))),0))</f>
        <v>0</v>
      </c>
      <c r="V2693" s="38" t="n">
        <f aca="false">Q2693*U2693</f>
        <v>0</v>
      </c>
      <c r="W2693" s="41" t="str">
        <f aca="false">IF($M2693="","",IF(T2693="Overdue",IF(Settings!$B$8="Yes",Settings!$B$7,""),IF(ISNUMBER(R2693),DATE(YEAR(R2693),MONTH(R2693),1),"")))</f>
        <v/>
      </c>
      <c r="X2693" s="38" t="n">
        <f aca="false">IF(AND(OR(T2693="Backlog",T2693="Pipeline",T2693="Overdue"),ISNUMBER(W2693)),IF(W2693&lt;=Settings!$B$6,V2693,0),0)</f>
        <v>0</v>
      </c>
      <c r="Y2693" s="38" t="n">
        <f aca="false">IF(AND(OR(T2693="Backlog",T2693="Pipeline",T2693="Overdue"),ISNUMBER(W2693)),IF(W2693&lt;=Settings!$B$6,Q2693,0),0)</f>
        <v>0</v>
      </c>
      <c r="Z2693" s="38" t="n">
        <f aca="false">IF(Y2693=0,0,IF(T2693="Backlog",Q2693,Q2693*Dashboard!$C$10))</f>
        <v>0</v>
      </c>
      <c r="AA2693" s="37" t="n">
        <f aca="false">IF($N2693="",0,IF(COUNTIF(Dashboard!$C$13:$C$22,$N2693)&gt;0,1,0))</f>
        <v>0</v>
      </c>
      <c r="AB2693" s="37" t="str">
        <f aca="false">IF($N2693="","",IF(COUNTIF($N$8:$N2693,$N2693)=1,MAX($AB$7:$AB2692)+1,""))</f>
        <v/>
      </c>
    </row>
    <row r="2694" customFormat="false" ht="15" hidden="false" customHeight="false" outlineLevel="0" collapsed="false">
      <c r="L2694" s="37" t="str">
        <f aca="false">IF(INDEX($A2694:$J2694,$L$6)&lt;&gt;"",TRIM(LEFT(INDEX($A2694:$J2694,$L$6),FIND("(",INDEX($A2694:$J2694,$L$6)&amp;"(")-1)),L2693)</f>
        <v>Building Value Proposition</v>
      </c>
      <c r="M2694" s="37" t="str">
        <f aca="false">IF(INDEX($A2694:$J2694,$M$6)="","",INDEX($A2694:$J2694,$M$6)&amp;"")</f>
        <v/>
      </c>
      <c r="N2694" s="37" t="str">
        <f aca="false">IF($M2694="","",TRIM(INDEX($A2694:$J2694,$N$6)&amp;""))</f>
        <v/>
      </c>
      <c r="O2694" s="37" t="str">
        <f aca="false">IF($M2694="","",TRIM(INDEX($A2694:$J2694,$O$6)&amp;""))</f>
        <v/>
      </c>
      <c r="P2694" s="37" t="str">
        <f aca="false">IF($M2694="","",IFERROR(IF(INDEX(Settings!$B$41:$B$50,MATCH(O2694,Settings!$A$41:$A$50,0))&amp;""="","UNMAPPED",INDEX(Settings!$B$41:$B$50,MATCH(O2694,Settings!$A$41:$A$50,0))&amp;""),"UNMAPPED"))</f>
        <v/>
      </c>
      <c r="Q2694" s="38" t="n">
        <f aca="false">IF($M2694="",0,N(INDEX($A2694:$J2694,$Q$6)))</f>
        <v>0</v>
      </c>
      <c r="R2694" s="39" t="str">
        <f aca="false">IF($M2694="","",INDEX($A2694:$J2694,$R$6))</f>
        <v/>
      </c>
      <c r="S2694" s="37" t="str">
        <f aca="false">IF($M2694="","",IFERROR(INDEX(Settings!$B$27:$B$36,MATCH(L2694,Settings!$A$27:$A$36,0))&amp;"","UNMAPPED"))</f>
        <v/>
      </c>
      <c r="T2694" s="37" t="str">
        <f aca="false">IF($M2694="","",IF(NOT(ISNUMBER(R2694)),"NO DATE",IF(S2694="Won",IF(R2694&gt;Settings!$B$5,"Backlog","Delivered"),IF(S2694="Open",IF(R2694&gt;Settings!$B$5,"Pipeline","Overdue"),IF(S2694="Lost","Lost","UNMAPPED")))))</f>
        <v/>
      </c>
      <c r="U2694" s="40" t="n">
        <f aca="false">IF(T2694="Backlog",1,IF(OR(T2694="Pipeline",T2694="Overdue"),N(INDEX(Settings!$C$27:$C$36,MATCH(L2694,Settings!$A$27:$A$36,0))),0))</f>
        <v>0</v>
      </c>
      <c r="V2694" s="38" t="n">
        <f aca="false">Q2694*U2694</f>
        <v>0</v>
      </c>
      <c r="W2694" s="41" t="str">
        <f aca="false">IF($M2694="","",IF(T2694="Overdue",IF(Settings!$B$8="Yes",Settings!$B$7,""),IF(ISNUMBER(R2694),DATE(YEAR(R2694),MONTH(R2694),1),"")))</f>
        <v/>
      </c>
      <c r="X2694" s="38" t="n">
        <f aca="false">IF(AND(OR(T2694="Backlog",T2694="Pipeline",T2694="Overdue"),ISNUMBER(W2694)),IF(W2694&lt;=Settings!$B$6,V2694,0),0)</f>
        <v>0</v>
      </c>
      <c r="Y2694" s="38" t="n">
        <f aca="false">IF(AND(OR(T2694="Backlog",T2694="Pipeline",T2694="Overdue"),ISNUMBER(W2694)),IF(W2694&lt;=Settings!$B$6,Q2694,0),0)</f>
        <v>0</v>
      </c>
      <c r="Z2694" s="38" t="n">
        <f aca="false">IF(Y2694=0,0,IF(T2694="Backlog",Q2694,Q2694*Dashboard!$C$10))</f>
        <v>0</v>
      </c>
      <c r="AA2694" s="37" t="n">
        <f aca="false">IF($N2694="",0,IF(COUNTIF(Dashboard!$C$13:$C$22,$N2694)&gt;0,1,0))</f>
        <v>0</v>
      </c>
      <c r="AB2694" s="37" t="str">
        <f aca="false">IF($N2694="","",IF(COUNTIF($N$8:$N2694,$N2694)=1,MAX($AB$7:$AB2693)+1,""))</f>
        <v/>
      </c>
    </row>
    <row r="2695" customFormat="false" ht="15" hidden="false" customHeight="false" outlineLevel="0" collapsed="false">
      <c r="L2695" s="37" t="str">
        <f aca="false">IF(INDEX($A2695:$J2695,$L$6)&lt;&gt;"",TRIM(LEFT(INDEX($A2695:$J2695,$L$6),FIND("(",INDEX($A2695:$J2695,$L$6)&amp;"(")-1)),L2694)</f>
        <v>Building Value Proposition</v>
      </c>
      <c r="M2695" s="37" t="str">
        <f aca="false">IF(INDEX($A2695:$J2695,$M$6)="","",INDEX($A2695:$J2695,$M$6)&amp;"")</f>
        <v/>
      </c>
      <c r="N2695" s="37" t="str">
        <f aca="false">IF($M2695="","",TRIM(INDEX($A2695:$J2695,$N$6)&amp;""))</f>
        <v/>
      </c>
      <c r="O2695" s="37" t="str">
        <f aca="false">IF($M2695="","",TRIM(INDEX($A2695:$J2695,$O$6)&amp;""))</f>
        <v/>
      </c>
      <c r="P2695" s="37" t="str">
        <f aca="false">IF($M2695="","",IFERROR(IF(INDEX(Settings!$B$41:$B$50,MATCH(O2695,Settings!$A$41:$A$50,0))&amp;""="","UNMAPPED",INDEX(Settings!$B$41:$B$50,MATCH(O2695,Settings!$A$41:$A$50,0))&amp;""),"UNMAPPED"))</f>
        <v/>
      </c>
      <c r="Q2695" s="38" t="n">
        <f aca="false">IF($M2695="",0,N(INDEX($A2695:$J2695,$Q$6)))</f>
        <v>0</v>
      </c>
      <c r="R2695" s="39" t="str">
        <f aca="false">IF($M2695="","",INDEX($A2695:$J2695,$R$6))</f>
        <v/>
      </c>
      <c r="S2695" s="37" t="str">
        <f aca="false">IF($M2695="","",IFERROR(INDEX(Settings!$B$27:$B$36,MATCH(L2695,Settings!$A$27:$A$36,0))&amp;"","UNMAPPED"))</f>
        <v/>
      </c>
      <c r="T2695" s="37" t="str">
        <f aca="false">IF($M2695="","",IF(NOT(ISNUMBER(R2695)),"NO DATE",IF(S2695="Won",IF(R2695&gt;Settings!$B$5,"Backlog","Delivered"),IF(S2695="Open",IF(R2695&gt;Settings!$B$5,"Pipeline","Overdue"),IF(S2695="Lost","Lost","UNMAPPED")))))</f>
        <v/>
      </c>
      <c r="U2695" s="40" t="n">
        <f aca="false">IF(T2695="Backlog",1,IF(OR(T2695="Pipeline",T2695="Overdue"),N(INDEX(Settings!$C$27:$C$36,MATCH(L2695,Settings!$A$27:$A$36,0))),0))</f>
        <v>0</v>
      </c>
      <c r="V2695" s="38" t="n">
        <f aca="false">Q2695*U2695</f>
        <v>0</v>
      </c>
      <c r="W2695" s="41" t="str">
        <f aca="false">IF($M2695="","",IF(T2695="Overdue",IF(Settings!$B$8="Yes",Settings!$B$7,""),IF(ISNUMBER(R2695),DATE(YEAR(R2695),MONTH(R2695),1),"")))</f>
        <v/>
      </c>
      <c r="X2695" s="38" t="n">
        <f aca="false">IF(AND(OR(T2695="Backlog",T2695="Pipeline",T2695="Overdue"),ISNUMBER(W2695)),IF(W2695&lt;=Settings!$B$6,V2695,0),0)</f>
        <v>0</v>
      </c>
      <c r="Y2695" s="38" t="n">
        <f aca="false">IF(AND(OR(T2695="Backlog",T2695="Pipeline",T2695="Overdue"),ISNUMBER(W2695)),IF(W2695&lt;=Settings!$B$6,Q2695,0),0)</f>
        <v>0</v>
      </c>
      <c r="Z2695" s="38" t="n">
        <f aca="false">IF(Y2695=0,0,IF(T2695="Backlog",Q2695,Q2695*Dashboard!$C$10))</f>
        <v>0</v>
      </c>
      <c r="AA2695" s="37" t="n">
        <f aca="false">IF($N2695="",0,IF(COUNTIF(Dashboard!$C$13:$C$22,$N2695)&gt;0,1,0))</f>
        <v>0</v>
      </c>
      <c r="AB2695" s="37" t="str">
        <f aca="false">IF($N2695="","",IF(COUNTIF($N$8:$N2695,$N2695)=1,MAX($AB$7:$AB2694)+1,""))</f>
        <v/>
      </c>
    </row>
    <row r="2696" customFormat="false" ht="15" hidden="false" customHeight="false" outlineLevel="0" collapsed="false">
      <c r="L2696" s="37" t="str">
        <f aca="false">IF(INDEX($A2696:$J2696,$L$6)&lt;&gt;"",TRIM(LEFT(INDEX($A2696:$J2696,$L$6),FIND("(",INDEX($A2696:$J2696,$L$6)&amp;"(")-1)),L2695)</f>
        <v>Building Value Proposition</v>
      </c>
      <c r="M2696" s="37" t="str">
        <f aca="false">IF(INDEX($A2696:$J2696,$M$6)="","",INDEX($A2696:$J2696,$M$6)&amp;"")</f>
        <v/>
      </c>
      <c r="N2696" s="37" t="str">
        <f aca="false">IF($M2696="","",TRIM(INDEX($A2696:$J2696,$N$6)&amp;""))</f>
        <v/>
      </c>
      <c r="O2696" s="37" t="str">
        <f aca="false">IF($M2696="","",TRIM(INDEX($A2696:$J2696,$O$6)&amp;""))</f>
        <v/>
      </c>
      <c r="P2696" s="37" t="str">
        <f aca="false">IF($M2696="","",IFERROR(IF(INDEX(Settings!$B$41:$B$50,MATCH(O2696,Settings!$A$41:$A$50,0))&amp;""="","UNMAPPED",INDEX(Settings!$B$41:$B$50,MATCH(O2696,Settings!$A$41:$A$50,0))&amp;""),"UNMAPPED"))</f>
        <v/>
      </c>
      <c r="Q2696" s="38" t="n">
        <f aca="false">IF($M2696="",0,N(INDEX($A2696:$J2696,$Q$6)))</f>
        <v>0</v>
      </c>
      <c r="R2696" s="39" t="str">
        <f aca="false">IF($M2696="","",INDEX($A2696:$J2696,$R$6))</f>
        <v/>
      </c>
      <c r="S2696" s="37" t="str">
        <f aca="false">IF($M2696="","",IFERROR(INDEX(Settings!$B$27:$B$36,MATCH(L2696,Settings!$A$27:$A$36,0))&amp;"","UNMAPPED"))</f>
        <v/>
      </c>
      <c r="T2696" s="37" t="str">
        <f aca="false">IF($M2696="","",IF(NOT(ISNUMBER(R2696)),"NO DATE",IF(S2696="Won",IF(R2696&gt;Settings!$B$5,"Backlog","Delivered"),IF(S2696="Open",IF(R2696&gt;Settings!$B$5,"Pipeline","Overdue"),IF(S2696="Lost","Lost","UNMAPPED")))))</f>
        <v/>
      </c>
      <c r="U2696" s="40" t="n">
        <f aca="false">IF(T2696="Backlog",1,IF(OR(T2696="Pipeline",T2696="Overdue"),N(INDEX(Settings!$C$27:$C$36,MATCH(L2696,Settings!$A$27:$A$36,0))),0))</f>
        <v>0</v>
      </c>
      <c r="V2696" s="38" t="n">
        <f aca="false">Q2696*U2696</f>
        <v>0</v>
      </c>
      <c r="W2696" s="41" t="str">
        <f aca="false">IF($M2696="","",IF(T2696="Overdue",IF(Settings!$B$8="Yes",Settings!$B$7,""),IF(ISNUMBER(R2696),DATE(YEAR(R2696),MONTH(R2696),1),"")))</f>
        <v/>
      </c>
      <c r="X2696" s="38" t="n">
        <f aca="false">IF(AND(OR(T2696="Backlog",T2696="Pipeline",T2696="Overdue"),ISNUMBER(W2696)),IF(W2696&lt;=Settings!$B$6,V2696,0),0)</f>
        <v>0</v>
      </c>
      <c r="Y2696" s="38" t="n">
        <f aca="false">IF(AND(OR(T2696="Backlog",T2696="Pipeline",T2696="Overdue"),ISNUMBER(W2696)),IF(W2696&lt;=Settings!$B$6,Q2696,0),0)</f>
        <v>0</v>
      </c>
      <c r="Z2696" s="38" t="n">
        <f aca="false">IF(Y2696=0,0,IF(T2696="Backlog",Q2696,Q2696*Dashboard!$C$10))</f>
        <v>0</v>
      </c>
      <c r="AA2696" s="37" t="n">
        <f aca="false">IF($N2696="",0,IF(COUNTIF(Dashboard!$C$13:$C$22,$N2696)&gt;0,1,0))</f>
        <v>0</v>
      </c>
      <c r="AB2696" s="37" t="str">
        <f aca="false">IF($N2696="","",IF(COUNTIF($N$8:$N2696,$N2696)=1,MAX($AB$7:$AB2695)+1,""))</f>
        <v/>
      </c>
    </row>
    <row r="2697" customFormat="false" ht="15" hidden="false" customHeight="false" outlineLevel="0" collapsed="false">
      <c r="L2697" s="37" t="str">
        <f aca="false">IF(INDEX($A2697:$J2697,$L$6)&lt;&gt;"",TRIM(LEFT(INDEX($A2697:$J2697,$L$6),FIND("(",INDEX($A2697:$J2697,$L$6)&amp;"(")-1)),L2696)</f>
        <v>Building Value Proposition</v>
      </c>
      <c r="M2697" s="37" t="str">
        <f aca="false">IF(INDEX($A2697:$J2697,$M$6)="","",INDEX($A2697:$J2697,$M$6)&amp;"")</f>
        <v/>
      </c>
      <c r="N2697" s="37" t="str">
        <f aca="false">IF($M2697="","",TRIM(INDEX($A2697:$J2697,$N$6)&amp;""))</f>
        <v/>
      </c>
      <c r="O2697" s="37" t="str">
        <f aca="false">IF($M2697="","",TRIM(INDEX($A2697:$J2697,$O$6)&amp;""))</f>
        <v/>
      </c>
      <c r="P2697" s="37" t="str">
        <f aca="false">IF($M2697="","",IFERROR(IF(INDEX(Settings!$B$41:$B$50,MATCH(O2697,Settings!$A$41:$A$50,0))&amp;""="","UNMAPPED",INDEX(Settings!$B$41:$B$50,MATCH(O2697,Settings!$A$41:$A$50,0))&amp;""),"UNMAPPED"))</f>
        <v/>
      </c>
      <c r="Q2697" s="38" t="n">
        <f aca="false">IF($M2697="",0,N(INDEX($A2697:$J2697,$Q$6)))</f>
        <v>0</v>
      </c>
      <c r="R2697" s="39" t="str">
        <f aca="false">IF($M2697="","",INDEX($A2697:$J2697,$R$6))</f>
        <v/>
      </c>
      <c r="S2697" s="37" t="str">
        <f aca="false">IF($M2697="","",IFERROR(INDEX(Settings!$B$27:$B$36,MATCH(L2697,Settings!$A$27:$A$36,0))&amp;"","UNMAPPED"))</f>
        <v/>
      </c>
      <c r="T2697" s="37" t="str">
        <f aca="false">IF($M2697="","",IF(NOT(ISNUMBER(R2697)),"NO DATE",IF(S2697="Won",IF(R2697&gt;Settings!$B$5,"Backlog","Delivered"),IF(S2697="Open",IF(R2697&gt;Settings!$B$5,"Pipeline","Overdue"),IF(S2697="Lost","Lost","UNMAPPED")))))</f>
        <v/>
      </c>
      <c r="U2697" s="40" t="n">
        <f aca="false">IF(T2697="Backlog",1,IF(OR(T2697="Pipeline",T2697="Overdue"),N(INDEX(Settings!$C$27:$C$36,MATCH(L2697,Settings!$A$27:$A$36,0))),0))</f>
        <v>0</v>
      </c>
      <c r="V2697" s="38" t="n">
        <f aca="false">Q2697*U2697</f>
        <v>0</v>
      </c>
      <c r="W2697" s="41" t="str">
        <f aca="false">IF($M2697="","",IF(T2697="Overdue",IF(Settings!$B$8="Yes",Settings!$B$7,""),IF(ISNUMBER(R2697),DATE(YEAR(R2697),MONTH(R2697),1),"")))</f>
        <v/>
      </c>
      <c r="X2697" s="38" t="n">
        <f aca="false">IF(AND(OR(T2697="Backlog",T2697="Pipeline",T2697="Overdue"),ISNUMBER(W2697)),IF(W2697&lt;=Settings!$B$6,V2697,0),0)</f>
        <v>0</v>
      </c>
      <c r="Y2697" s="38" t="n">
        <f aca="false">IF(AND(OR(T2697="Backlog",T2697="Pipeline",T2697="Overdue"),ISNUMBER(W2697)),IF(W2697&lt;=Settings!$B$6,Q2697,0),0)</f>
        <v>0</v>
      </c>
      <c r="Z2697" s="38" t="n">
        <f aca="false">IF(Y2697=0,0,IF(T2697="Backlog",Q2697,Q2697*Dashboard!$C$10))</f>
        <v>0</v>
      </c>
      <c r="AA2697" s="37" t="n">
        <f aca="false">IF($N2697="",0,IF(COUNTIF(Dashboard!$C$13:$C$22,$N2697)&gt;0,1,0))</f>
        <v>0</v>
      </c>
      <c r="AB2697" s="37" t="str">
        <f aca="false">IF($N2697="","",IF(COUNTIF($N$8:$N2697,$N2697)=1,MAX($AB$7:$AB2696)+1,""))</f>
        <v/>
      </c>
    </row>
    <row r="2698" customFormat="false" ht="15" hidden="false" customHeight="false" outlineLevel="0" collapsed="false">
      <c r="L2698" s="37" t="str">
        <f aca="false">IF(INDEX($A2698:$J2698,$L$6)&lt;&gt;"",TRIM(LEFT(INDEX($A2698:$J2698,$L$6),FIND("(",INDEX($A2698:$J2698,$L$6)&amp;"(")-1)),L2697)</f>
        <v>Building Value Proposition</v>
      </c>
      <c r="M2698" s="37" t="str">
        <f aca="false">IF(INDEX($A2698:$J2698,$M$6)="","",INDEX($A2698:$J2698,$M$6)&amp;"")</f>
        <v/>
      </c>
      <c r="N2698" s="37" t="str">
        <f aca="false">IF($M2698="","",TRIM(INDEX($A2698:$J2698,$N$6)&amp;""))</f>
        <v/>
      </c>
      <c r="O2698" s="37" t="str">
        <f aca="false">IF($M2698="","",TRIM(INDEX($A2698:$J2698,$O$6)&amp;""))</f>
        <v/>
      </c>
      <c r="P2698" s="37" t="str">
        <f aca="false">IF($M2698="","",IFERROR(IF(INDEX(Settings!$B$41:$B$50,MATCH(O2698,Settings!$A$41:$A$50,0))&amp;""="","UNMAPPED",INDEX(Settings!$B$41:$B$50,MATCH(O2698,Settings!$A$41:$A$50,0))&amp;""),"UNMAPPED"))</f>
        <v/>
      </c>
      <c r="Q2698" s="38" t="n">
        <f aca="false">IF($M2698="",0,N(INDEX($A2698:$J2698,$Q$6)))</f>
        <v>0</v>
      </c>
      <c r="R2698" s="39" t="str">
        <f aca="false">IF($M2698="","",INDEX($A2698:$J2698,$R$6))</f>
        <v/>
      </c>
      <c r="S2698" s="37" t="str">
        <f aca="false">IF($M2698="","",IFERROR(INDEX(Settings!$B$27:$B$36,MATCH(L2698,Settings!$A$27:$A$36,0))&amp;"","UNMAPPED"))</f>
        <v/>
      </c>
      <c r="T2698" s="37" t="str">
        <f aca="false">IF($M2698="","",IF(NOT(ISNUMBER(R2698)),"NO DATE",IF(S2698="Won",IF(R2698&gt;Settings!$B$5,"Backlog","Delivered"),IF(S2698="Open",IF(R2698&gt;Settings!$B$5,"Pipeline","Overdue"),IF(S2698="Lost","Lost","UNMAPPED")))))</f>
        <v/>
      </c>
      <c r="U2698" s="40" t="n">
        <f aca="false">IF(T2698="Backlog",1,IF(OR(T2698="Pipeline",T2698="Overdue"),N(INDEX(Settings!$C$27:$C$36,MATCH(L2698,Settings!$A$27:$A$36,0))),0))</f>
        <v>0</v>
      </c>
      <c r="V2698" s="38" t="n">
        <f aca="false">Q2698*U2698</f>
        <v>0</v>
      </c>
      <c r="W2698" s="41" t="str">
        <f aca="false">IF($M2698="","",IF(T2698="Overdue",IF(Settings!$B$8="Yes",Settings!$B$7,""),IF(ISNUMBER(R2698),DATE(YEAR(R2698),MONTH(R2698),1),"")))</f>
        <v/>
      </c>
      <c r="X2698" s="38" t="n">
        <f aca="false">IF(AND(OR(T2698="Backlog",T2698="Pipeline",T2698="Overdue"),ISNUMBER(W2698)),IF(W2698&lt;=Settings!$B$6,V2698,0),0)</f>
        <v>0</v>
      </c>
      <c r="Y2698" s="38" t="n">
        <f aca="false">IF(AND(OR(T2698="Backlog",T2698="Pipeline",T2698="Overdue"),ISNUMBER(W2698)),IF(W2698&lt;=Settings!$B$6,Q2698,0),0)</f>
        <v>0</v>
      </c>
      <c r="Z2698" s="38" t="n">
        <f aca="false">IF(Y2698=0,0,IF(T2698="Backlog",Q2698,Q2698*Dashboard!$C$10))</f>
        <v>0</v>
      </c>
      <c r="AA2698" s="37" t="n">
        <f aca="false">IF($N2698="",0,IF(COUNTIF(Dashboard!$C$13:$C$22,$N2698)&gt;0,1,0))</f>
        <v>0</v>
      </c>
      <c r="AB2698" s="37" t="str">
        <f aca="false">IF($N2698="","",IF(COUNTIF($N$8:$N2698,$N2698)=1,MAX($AB$7:$AB2697)+1,""))</f>
        <v/>
      </c>
    </row>
    <row r="2699" customFormat="false" ht="15" hidden="false" customHeight="false" outlineLevel="0" collapsed="false">
      <c r="L2699" s="37" t="str">
        <f aca="false">IF(INDEX($A2699:$J2699,$L$6)&lt;&gt;"",TRIM(LEFT(INDEX($A2699:$J2699,$L$6),FIND("(",INDEX($A2699:$J2699,$L$6)&amp;"(")-1)),L2698)</f>
        <v>Building Value Proposition</v>
      </c>
      <c r="M2699" s="37" t="str">
        <f aca="false">IF(INDEX($A2699:$J2699,$M$6)="","",INDEX($A2699:$J2699,$M$6)&amp;"")</f>
        <v/>
      </c>
      <c r="N2699" s="37" t="str">
        <f aca="false">IF($M2699="","",TRIM(INDEX($A2699:$J2699,$N$6)&amp;""))</f>
        <v/>
      </c>
      <c r="O2699" s="37" t="str">
        <f aca="false">IF($M2699="","",TRIM(INDEX($A2699:$J2699,$O$6)&amp;""))</f>
        <v/>
      </c>
      <c r="P2699" s="37" t="str">
        <f aca="false">IF($M2699="","",IFERROR(IF(INDEX(Settings!$B$41:$B$50,MATCH(O2699,Settings!$A$41:$A$50,0))&amp;""="","UNMAPPED",INDEX(Settings!$B$41:$B$50,MATCH(O2699,Settings!$A$41:$A$50,0))&amp;""),"UNMAPPED"))</f>
        <v/>
      </c>
      <c r="Q2699" s="38" t="n">
        <f aca="false">IF($M2699="",0,N(INDEX($A2699:$J2699,$Q$6)))</f>
        <v>0</v>
      </c>
      <c r="R2699" s="39" t="str">
        <f aca="false">IF($M2699="","",INDEX($A2699:$J2699,$R$6))</f>
        <v/>
      </c>
      <c r="S2699" s="37" t="str">
        <f aca="false">IF($M2699="","",IFERROR(INDEX(Settings!$B$27:$B$36,MATCH(L2699,Settings!$A$27:$A$36,0))&amp;"","UNMAPPED"))</f>
        <v/>
      </c>
      <c r="T2699" s="37" t="str">
        <f aca="false">IF($M2699="","",IF(NOT(ISNUMBER(R2699)),"NO DATE",IF(S2699="Won",IF(R2699&gt;Settings!$B$5,"Backlog","Delivered"),IF(S2699="Open",IF(R2699&gt;Settings!$B$5,"Pipeline","Overdue"),IF(S2699="Lost","Lost","UNMAPPED")))))</f>
        <v/>
      </c>
      <c r="U2699" s="40" t="n">
        <f aca="false">IF(T2699="Backlog",1,IF(OR(T2699="Pipeline",T2699="Overdue"),N(INDEX(Settings!$C$27:$C$36,MATCH(L2699,Settings!$A$27:$A$36,0))),0))</f>
        <v>0</v>
      </c>
      <c r="V2699" s="38" t="n">
        <f aca="false">Q2699*U2699</f>
        <v>0</v>
      </c>
      <c r="W2699" s="41" t="str">
        <f aca="false">IF($M2699="","",IF(T2699="Overdue",IF(Settings!$B$8="Yes",Settings!$B$7,""),IF(ISNUMBER(R2699),DATE(YEAR(R2699),MONTH(R2699),1),"")))</f>
        <v/>
      </c>
      <c r="X2699" s="38" t="n">
        <f aca="false">IF(AND(OR(T2699="Backlog",T2699="Pipeline",T2699="Overdue"),ISNUMBER(W2699)),IF(W2699&lt;=Settings!$B$6,V2699,0),0)</f>
        <v>0</v>
      </c>
      <c r="Y2699" s="38" t="n">
        <f aca="false">IF(AND(OR(T2699="Backlog",T2699="Pipeline",T2699="Overdue"),ISNUMBER(W2699)),IF(W2699&lt;=Settings!$B$6,Q2699,0),0)</f>
        <v>0</v>
      </c>
      <c r="Z2699" s="38" t="n">
        <f aca="false">IF(Y2699=0,0,IF(T2699="Backlog",Q2699,Q2699*Dashboard!$C$10))</f>
        <v>0</v>
      </c>
      <c r="AA2699" s="37" t="n">
        <f aca="false">IF($N2699="",0,IF(COUNTIF(Dashboard!$C$13:$C$22,$N2699)&gt;0,1,0))</f>
        <v>0</v>
      </c>
      <c r="AB2699" s="37" t="str">
        <f aca="false">IF($N2699="","",IF(COUNTIF($N$8:$N2699,$N2699)=1,MAX($AB$7:$AB2698)+1,""))</f>
        <v/>
      </c>
    </row>
    <row r="2700" customFormat="false" ht="15" hidden="false" customHeight="false" outlineLevel="0" collapsed="false">
      <c r="L2700" s="37" t="str">
        <f aca="false">IF(INDEX($A2700:$J2700,$L$6)&lt;&gt;"",TRIM(LEFT(INDEX($A2700:$J2700,$L$6),FIND("(",INDEX($A2700:$J2700,$L$6)&amp;"(")-1)),L2699)</f>
        <v>Building Value Proposition</v>
      </c>
      <c r="M2700" s="37" t="str">
        <f aca="false">IF(INDEX($A2700:$J2700,$M$6)="","",INDEX($A2700:$J2700,$M$6)&amp;"")</f>
        <v/>
      </c>
      <c r="N2700" s="37" t="str">
        <f aca="false">IF($M2700="","",TRIM(INDEX($A2700:$J2700,$N$6)&amp;""))</f>
        <v/>
      </c>
      <c r="O2700" s="37" t="str">
        <f aca="false">IF($M2700="","",TRIM(INDEX($A2700:$J2700,$O$6)&amp;""))</f>
        <v/>
      </c>
      <c r="P2700" s="37" t="str">
        <f aca="false">IF($M2700="","",IFERROR(IF(INDEX(Settings!$B$41:$B$50,MATCH(O2700,Settings!$A$41:$A$50,0))&amp;""="","UNMAPPED",INDEX(Settings!$B$41:$B$50,MATCH(O2700,Settings!$A$41:$A$50,0))&amp;""),"UNMAPPED"))</f>
        <v/>
      </c>
      <c r="Q2700" s="38" t="n">
        <f aca="false">IF($M2700="",0,N(INDEX($A2700:$J2700,$Q$6)))</f>
        <v>0</v>
      </c>
      <c r="R2700" s="39" t="str">
        <f aca="false">IF($M2700="","",INDEX($A2700:$J2700,$R$6))</f>
        <v/>
      </c>
      <c r="S2700" s="37" t="str">
        <f aca="false">IF($M2700="","",IFERROR(INDEX(Settings!$B$27:$B$36,MATCH(L2700,Settings!$A$27:$A$36,0))&amp;"","UNMAPPED"))</f>
        <v/>
      </c>
      <c r="T2700" s="37" t="str">
        <f aca="false">IF($M2700="","",IF(NOT(ISNUMBER(R2700)),"NO DATE",IF(S2700="Won",IF(R2700&gt;Settings!$B$5,"Backlog","Delivered"),IF(S2700="Open",IF(R2700&gt;Settings!$B$5,"Pipeline","Overdue"),IF(S2700="Lost","Lost","UNMAPPED")))))</f>
        <v/>
      </c>
      <c r="U2700" s="40" t="n">
        <f aca="false">IF(T2700="Backlog",1,IF(OR(T2700="Pipeline",T2700="Overdue"),N(INDEX(Settings!$C$27:$C$36,MATCH(L2700,Settings!$A$27:$A$36,0))),0))</f>
        <v>0</v>
      </c>
      <c r="V2700" s="38" t="n">
        <f aca="false">Q2700*U2700</f>
        <v>0</v>
      </c>
      <c r="W2700" s="41" t="str">
        <f aca="false">IF($M2700="","",IF(T2700="Overdue",IF(Settings!$B$8="Yes",Settings!$B$7,""),IF(ISNUMBER(R2700),DATE(YEAR(R2700),MONTH(R2700),1),"")))</f>
        <v/>
      </c>
      <c r="X2700" s="38" t="n">
        <f aca="false">IF(AND(OR(T2700="Backlog",T2700="Pipeline",T2700="Overdue"),ISNUMBER(W2700)),IF(W2700&lt;=Settings!$B$6,V2700,0),0)</f>
        <v>0</v>
      </c>
      <c r="Y2700" s="38" t="n">
        <f aca="false">IF(AND(OR(T2700="Backlog",T2700="Pipeline",T2700="Overdue"),ISNUMBER(W2700)),IF(W2700&lt;=Settings!$B$6,Q2700,0),0)</f>
        <v>0</v>
      </c>
      <c r="Z2700" s="38" t="n">
        <f aca="false">IF(Y2700=0,0,IF(T2700="Backlog",Q2700,Q2700*Dashboard!$C$10))</f>
        <v>0</v>
      </c>
      <c r="AA2700" s="37" t="n">
        <f aca="false">IF($N2700="",0,IF(COUNTIF(Dashboard!$C$13:$C$22,$N2700)&gt;0,1,0))</f>
        <v>0</v>
      </c>
      <c r="AB2700" s="37" t="str">
        <f aca="false">IF($N2700="","",IF(COUNTIF($N$8:$N2700,$N2700)=1,MAX($AB$7:$AB2699)+1,""))</f>
        <v/>
      </c>
    </row>
    <row r="2701" customFormat="false" ht="15" hidden="false" customHeight="false" outlineLevel="0" collapsed="false">
      <c r="L2701" s="37" t="str">
        <f aca="false">IF(INDEX($A2701:$J2701,$L$6)&lt;&gt;"",TRIM(LEFT(INDEX($A2701:$J2701,$L$6),FIND("(",INDEX($A2701:$J2701,$L$6)&amp;"(")-1)),L2700)</f>
        <v>Building Value Proposition</v>
      </c>
      <c r="M2701" s="37" t="str">
        <f aca="false">IF(INDEX($A2701:$J2701,$M$6)="","",INDEX($A2701:$J2701,$M$6)&amp;"")</f>
        <v/>
      </c>
      <c r="N2701" s="37" t="str">
        <f aca="false">IF($M2701="","",TRIM(INDEX($A2701:$J2701,$N$6)&amp;""))</f>
        <v/>
      </c>
      <c r="O2701" s="37" t="str">
        <f aca="false">IF($M2701="","",TRIM(INDEX($A2701:$J2701,$O$6)&amp;""))</f>
        <v/>
      </c>
      <c r="P2701" s="37" t="str">
        <f aca="false">IF($M2701="","",IFERROR(IF(INDEX(Settings!$B$41:$B$50,MATCH(O2701,Settings!$A$41:$A$50,0))&amp;""="","UNMAPPED",INDEX(Settings!$B$41:$B$50,MATCH(O2701,Settings!$A$41:$A$50,0))&amp;""),"UNMAPPED"))</f>
        <v/>
      </c>
      <c r="Q2701" s="38" t="n">
        <f aca="false">IF($M2701="",0,N(INDEX($A2701:$J2701,$Q$6)))</f>
        <v>0</v>
      </c>
      <c r="R2701" s="39" t="str">
        <f aca="false">IF($M2701="","",INDEX($A2701:$J2701,$R$6))</f>
        <v/>
      </c>
      <c r="S2701" s="37" t="str">
        <f aca="false">IF($M2701="","",IFERROR(INDEX(Settings!$B$27:$B$36,MATCH(L2701,Settings!$A$27:$A$36,0))&amp;"","UNMAPPED"))</f>
        <v/>
      </c>
      <c r="T2701" s="37" t="str">
        <f aca="false">IF($M2701="","",IF(NOT(ISNUMBER(R2701)),"NO DATE",IF(S2701="Won",IF(R2701&gt;Settings!$B$5,"Backlog","Delivered"),IF(S2701="Open",IF(R2701&gt;Settings!$B$5,"Pipeline","Overdue"),IF(S2701="Lost","Lost","UNMAPPED")))))</f>
        <v/>
      </c>
      <c r="U2701" s="40" t="n">
        <f aca="false">IF(T2701="Backlog",1,IF(OR(T2701="Pipeline",T2701="Overdue"),N(INDEX(Settings!$C$27:$C$36,MATCH(L2701,Settings!$A$27:$A$36,0))),0))</f>
        <v>0</v>
      </c>
      <c r="V2701" s="38" t="n">
        <f aca="false">Q2701*U2701</f>
        <v>0</v>
      </c>
      <c r="W2701" s="41" t="str">
        <f aca="false">IF($M2701="","",IF(T2701="Overdue",IF(Settings!$B$8="Yes",Settings!$B$7,""),IF(ISNUMBER(R2701),DATE(YEAR(R2701),MONTH(R2701),1),"")))</f>
        <v/>
      </c>
      <c r="X2701" s="38" t="n">
        <f aca="false">IF(AND(OR(T2701="Backlog",T2701="Pipeline",T2701="Overdue"),ISNUMBER(W2701)),IF(W2701&lt;=Settings!$B$6,V2701,0),0)</f>
        <v>0</v>
      </c>
      <c r="Y2701" s="38" t="n">
        <f aca="false">IF(AND(OR(T2701="Backlog",T2701="Pipeline",T2701="Overdue"),ISNUMBER(W2701)),IF(W2701&lt;=Settings!$B$6,Q2701,0),0)</f>
        <v>0</v>
      </c>
      <c r="Z2701" s="38" t="n">
        <f aca="false">IF(Y2701=0,0,IF(T2701="Backlog",Q2701,Q2701*Dashboard!$C$10))</f>
        <v>0</v>
      </c>
      <c r="AA2701" s="37" t="n">
        <f aca="false">IF($N2701="",0,IF(COUNTIF(Dashboard!$C$13:$C$22,$N2701)&gt;0,1,0))</f>
        <v>0</v>
      </c>
      <c r="AB2701" s="37" t="str">
        <f aca="false">IF($N2701="","",IF(COUNTIF($N$8:$N2701,$N2701)=1,MAX($AB$7:$AB2700)+1,""))</f>
        <v/>
      </c>
    </row>
    <row r="2702" customFormat="false" ht="15" hidden="false" customHeight="false" outlineLevel="0" collapsed="false">
      <c r="L2702" s="37" t="str">
        <f aca="false">IF(INDEX($A2702:$J2702,$L$6)&lt;&gt;"",TRIM(LEFT(INDEX($A2702:$J2702,$L$6),FIND("(",INDEX($A2702:$J2702,$L$6)&amp;"(")-1)),L2701)</f>
        <v>Building Value Proposition</v>
      </c>
      <c r="M2702" s="37" t="str">
        <f aca="false">IF(INDEX($A2702:$J2702,$M$6)="","",INDEX($A2702:$J2702,$M$6)&amp;"")</f>
        <v/>
      </c>
      <c r="N2702" s="37" t="str">
        <f aca="false">IF($M2702="","",TRIM(INDEX($A2702:$J2702,$N$6)&amp;""))</f>
        <v/>
      </c>
      <c r="O2702" s="37" t="str">
        <f aca="false">IF($M2702="","",TRIM(INDEX($A2702:$J2702,$O$6)&amp;""))</f>
        <v/>
      </c>
      <c r="P2702" s="37" t="str">
        <f aca="false">IF($M2702="","",IFERROR(IF(INDEX(Settings!$B$41:$B$50,MATCH(O2702,Settings!$A$41:$A$50,0))&amp;""="","UNMAPPED",INDEX(Settings!$B$41:$B$50,MATCH(O2702,Settings!$A$41:$A$50,0))&amp;""),"UNMAPPED"))</f>
        <v/>
      </c>
      <c r="Q2702" s="38" t="n">
        <f aca="false">IF($M2702="",0,N(INDEX($A2702:$J2702,$Q$6)))</f>
        <v>0</v>
      </c>
      <c r="R2702" s="39" t="str">
        <f aca="false">IF($M2702="","",INDEX($A2702:$J2702,$R$6))</f>
        <v/>
      </c>
      <c r="S2702" s="37" t="str">
        <f aca="false">IF($M2702="","",IFERROR(INDEX(Settings!$B$27:$B$36,MATCH(L2702,Settings!$A$27:$A$36,0))&amp;"","UNMAPPED"))</f>
        <v/>
      </c>
      <c r="T2702" s="37" t="str">
        <f aca="false">IF($M2702="","",IF(NOT(ISNUMBER(R2702)),"NO DATE",IF(S2702="Won",IF(R2702&gt;Settings!$B$5,"Backlog","Delivered"),IF(S2702="Open",IF(R2702&gt;Settings!$B$5,"Pipeline","Overdue"),IF(S2702="Lost","Lost","UNMAPPED")))))</f>
        <v/>
      </c>
      <c r="U2702" s="40" t="n">
        <f aca="false">IF(T2702="Backlog",1,IF(OR(T2702="Pipeline",T2702="Overdue"),N(INDEX(Settings!$C$27:$C$36,MATCH(L2702,Settings!$A$27:$A$36,0))),0))</f>
        <v>0</v>
      </c>
      <c r="V2702" s="38" t="n">
        <f aca="false">Q2702*U2702</f>
        <v>0</v>
      </c>
      <c r="W2702" s="41" t="str">
        <f aca="false">IF($M2702="","",IF(T2702="Overdue",IF(Settings!$B$8="Yes",Settings!$B$7,""),IF(ISNUMBER(R2702),DATE(YEAR(R2702),MONTH(R2702),1),"")))</f>
        <v/>
      </c>
      <c r="X2702" s="38" t="n">
        <f aca="false">IF(AND(OR(T2702="Backlog",T2702="Pipeline",T2702="Overdue"),ISNUMBER(W2702)),IF(W2702&lt;=Settings!$B$6,V2702,0),0)</f>
        <v>0</v>
      </c>
      <c r="Y2702" s="38" t="n">
        <f aca="false">IF(AND(OR(T2702="Backlog",T2702="Pipeline",T2702="Overdue"),ISNUMBER(W2702)),IF(W2702&lt;=Settings!$B$6,Q2702,0),0)</f>
        <v>0</v>
      </c>
      <c r="Z2702" s="38" t="n">
        <f aca="false">IF(Y2702=0,0,IF(T2702="Backlog",Q2702,Q2702*Dashboard!$C$10))</f>
        <v>0</v>
      </c>
      <c r="AA2702" s="37" t="n">
        <f aca="false">IF($N2702="",0,IF(COUNTIF(Dashboard!$C$13:$C$22,$N2702)&gt;0,1,0))</f>
        <v>0</v>
      </c>
      <c r="AB2702" s="37" t="str">
        <f aca="false">IF($N2702="","",IF(COUNTIF($N$8:$N2702,$N2702)=1,MAX($AB$7:$AB2701)+1,""))</f>
        <v/>
      </c>
    </row>
    <row r="2703" customFormat="false" ht="15" hidden="false" customHeight="false" outlineLevel="0" collapsed="false">
      <c r="L2703" s="37" t="str">
        <f aca="false">IF(INDEX($A2703:$J2703,$L$6)&lt;&gt;"",TRIM(LEFT(INDEX($A2703:$J2703,$L$6),FIND("(",INDEX($A2703:$J2703,$L$6)&amp;"(")-1)),L2702)</f>
        <v>Building Value Proposition</v>
      </c>
      <c r="M2703" s="37" t="str">
        <f aca="false">IF(INDEX($A2703:$J2703,$M$6)="","",INDEX($A2703:$J2703,$M$6)&amp;"")</f>
        <v/>
      </c>
      <c r="N2703" s="37" t="str">
        <f aca="false">IF($M2703="","",TRIM(INDEX($A2703:$J2703,$N$6)&amp;""))</f>
        <v/>
      </c>
      <c r="O2703" s="37" t="str">
        <f aca="false">IF($M2703="","",TRIM(INDEX($A2703:$J2703,$O$6)&amp;""))</f>
        <v/>
      </c>
      <c r="P2703" s="37" t="str">
        <f aca="false">IF($M2703="","",IFERROR(IF(INDEX(Settings!$B$41:$B$50,MATCH(O2703,Settings!$A$41:$A$50,0))&amp;""="","UNMAPPED",INDEX(Settings!$B$41:$B$50,MATCH(O2703,Settings!$A$41:$A$50,0))&amp;""),"UNMAPPED"))</f>
        <v/>
      </c>
      <c r="Q2703" s="38" t="n">
        <f aca="false">IF($M2703="",0,N(INDEX($A2703:$J2703,$Q$6)))</f>
        <v>0</v>
      </c>
      <c r="R2703" s="39" t="str">
        <f aca="false">IF($M2703="","",INDEX($A2703:$J2703,$R$6))</f>
        <v/>
      </c>
      <c r="S2703" s="37" t="str">
        <f aca="false">IF($M2703="","",IFERROR(INDEX(Settings!$B$27:$B$36,MATCH(L2703,Settings!$A$27:$A$36,0))&amp;"","UNMAPPED"))</f>
        <v/>
      </c>
      <c r="T2703" s="37" t="str">
        <f aca="false">IF($M2703="","",IF(NOT(ISNUMBER(R2703)),"NO DATE",IF(S2703="Won",IF(R2703&gt;Settings!$B$5,"Backlog","Delivered"),IF(S2703="Open",IF(R2703&gt;Settings!$B$5,"Pipeline","Overdue"),IF(S2703="Lost","Lost","UNMAPPED")))))</f>
        <v/>
      </c>
      <c r="U2703" s="40" t="n">
        <f aca="false">IF(T2703="Backlog",1,IF(OR(T2703="Pipeline",T2703="Overdue"),N(INDEX(Settings!$C$27:$C$36,MATCH(L2703,Settings!$A$27:$A$36,0))),0))</f>
        <v>0</v>
      </c>
      <c r="V2703" s="38" t="n">
        <f aca="false">Q2703*U2703</f>
        <v>0</v>
      </c>
      <c r="W2703" s="41" t="str">
        <f aca="false">IF($M2703="","",IF(T2703="Overdue",IF(Settings!$B$8="Yes",Settings!$B$7,""),IF(ISNUMBER(R2703),DATE(YEAR(R2703),MONTH(R2703),1),"")))</f>
        <v/>
      </c>
      <c r="X2703" s="38" t="n">
        <f aca="false">IF(AND(OR(T2703="Backlog",T2703="Pipeline",T2703="Overdue"),ISNUMBER(W2703)),IF(W2703&lt;=Settings!$B$6,V2703,0),0)</f>
        <v>0</v>
      </c>
      <c r="Y2703" s="38" t="n">
        <f aca="false">IF(AND(OR(T2703="Backlog",T2703="Pipeline",T2703="Overdue"),ISNUMBER(W2703)),IF(W2703&lt;=Settings!$B$6,Q2703,0),0)</f>
        <v>0</v>
      </c>
      <c r="Z2703" s="38" t="n">
        <f aca="false">IF(Y2703=0,0,IF(T2703="Backlog",Q2703,Q2703*Dashboard!$C$10))</f>
        <v>0</v>
      </c>
      <c r="AA2703" s="37" t="n">
        <f aca="false">IF($N2703="",0,IF(COUNTIF(Dashboard!$C$13:$C$22,$N2703)&gt;0,1,0))</f>
        <v>0</v>
      </c>
      <c r="AB2703" s="37" t="str">
        <f aca="false">IF($N2703="","",IF(COUNTIF($N$8:$N2703,$N2703)=1,MAX($AB$7:$AB2702)+1,""))</f>
        <v/>
      </c>
    </row>
    <row r="2704" customFormat="false" ht="15" hidden="false" customHeight="false" outlineLevel="0" collapsed="false">
      <c r="L2704" s="37" t="str">
        <f aca="false">IF(INDEX($A2704:$J2704,$L$6)&lt;&gt;"",TRIM(LEFT(INDEX($A2704:$J2704,$L$6),FIND("(",INDEX($A2704:$J2704,$L$6)&amp;"(")-1)),L2703)</f>
        <v>Building Value Proposition</v>
      </c>
      <c r="M2704" s="37" t="str">
        <f aca="false">IF(INDEX($A2704:$J2704,$M$6)="","",INDEX($A2704:$J2704,$M$6)&amp;"")</f>
        <v/>
      </c>
      <c r="N2704" s="37" t="str">
        <f aca="false">IF($M2704="","",TRIM(INDEX($A2704:$J2704,$N$6)&amp;""))</f>
        <v/>
      </c>
      <c r="O2704" s="37" t="str">
        <f aca="false">IF($M2704="","",TRIM(INDEX($A2704:$J2704,$O$6)&amp;""))</f>
        <v/>
      </c>
      <c r="P2704" s="37" t="str">
        <f aca="false">IF($M2704="","",IFERROR(IF(INDEX(Settings!$B$41:$B$50,MATCH(O2704,Settings!$A$41:$A$50,0))&amp;""="","UNMAPPED",INDEX(Settings!$B$41:$B$50,MATCH(O2704,Settings!$A$41:$A$50,0))&amp;""),"UNMAPPED"))</f>
        <v/>
      </c>
      <c r="Q2704" s="38" t="n">
        <f aca="false">IF($M2704="",0,N(INDEX($A2704:$J2704,$Q$6)))</f>
        <v>0</v>
      </c>
      <c r="R2704" s="39" t="str">
        <f aca="false">IF($M2704="","",INDEX($A2704:$J2704,$R$6))</f>
        <v/>
      </c>
      <c r="S2704" s="37" t="str">
        <f aca="false">IF($M2704="","",IFERROR(INDEX(Settings!$B$27:$B$36,MATCH(L2704,Settings!$A$27:$A$36,0))&amp;"","UNMAPPED"))</f>
        <v/>
      </c>
      <c r="T2704" s="37" t="str">
        <f aca="false">IF($M2704="","",IF(NOT(ISNUMBER(R2704)),"NO DATE",IF(S2704="Won",IF(R2704&gt;Settings!$B$5,"Backlog","Delivered"),IF(S2704="Open",IF(R2704&gt;Settings!$B$5,"Pipeline","Overdue"),IF(S2704="Lost","Lost","UNMAPPED")))))</f>
        <v/>
      </c>
      <c r="U2704" s="40" t="n">
        <f aca="false">IF(T2704="Backlog",1,IF(OR(T2704="Pipeline",T2704="Overdue"),N(INDEX(Settings!$C$27:$C$36,MATCH(L2704,Settings!$A$27:$A$36,0))),0))</f>
        <v>0</v>
      </c>
      <c r="V2704" s="38" t="n">
        <f aca="false">Q2704*U2704</f>
        <v>0</v>
      </c>
      <c r="W2704" s="41" t="str">
        <f aca="false">IF($M2704="","",IF(T2704="Overdue",IF(Settings!$B$8="Yes",Settings!$B$7,""),IF(ISNUMBER(R2704),DATE(YEAR(R2704),MONTH(R2704),1),"")))</f>
        <v/>
      </c>
      <c r="X2704" s="38" t="n">
        <f aca="false">IF(AND(OR(T2704="Backlog",T2704="Pipeline",T2704="Overdue"),ISNUMBER(W2704)),IF(W2704&lt;=Settings!$B$6,V2704,0),0)</f>
        <v>0</v>
      </c>
      <c r="Y2704" s="38" t="n">
        <f aca="false">IF(AND(OR(T2704="Backlog",T2704="Pipeline",T2704="Overdue"),ISNUMBER(W2704)),IF(W2704&lt;=Settings!$B$6,Q2704,0),0)</f>
        <v>0</v>
      </c>
      <c r="Z2704" s="38" t="n">
        <f aca="false">IF(Y2704=0,0,IF(T2704="Backlog",Q2704,Q2704*Dashboard!$C$10))</f>
        <v>0</v>
      </c>
      <c r="AA2704" s="37" t="n">
        <f aca="false">IF($N2704="",0,IF(COUNTIF(Dashboard!$C$13:$C$22,$N2704)&gt;0,1,0))</f>
        <v>0</v>
      </c>
      <c r="AB2704" s="37" t="str">
        <f aca="false">IF($N2704="","",IF(COUNTIF($N$8:$N2704,$N2704)=1,MAX($AB$7:$AB2703)+1,""))</f>
        <v/>
      </c>
    </row>
    <row r="2705" customFormat="false" ht="15" hidden="false" customHeight="false" outlineLevel="0" collapsed="false">
      <c r="L2705" s="37" t="str">
        <f aca="false">IF(INDEX($A2705:$J2705,$L$6)&lt;&gt;"",TRIM(LEFT(INDEX($A2705:$J2705,$L$6),FIND("(",INDEX($A2705:$J2705,$L$6)&amp;"(")-1)),L2704)</f>
        <v>Building Value Proposition</v>
      </c>
      <c r="M2705" s="37" t="str">
        <f aca="false">IF(INDEX($A2705:$J2705,$M$6)="","",INDEX($A2705:$J2705,$M$6)&amp;"")</f>
        <v/>
      </c>
      <c r="N2705" s="37" t="str">
        <f aca="false">IF($M2705="","",TRIM(INDEX($A2705:$J2705,$N$6)&amp;""))</f>
        <v/>
      </c>
      <c r="O2705" s="37" t="str">
        <f aca="false">IF($M2705="","",TRIM(INDEX($A2705:$J2705,$O$6)&amp;""))</f>
        <v/>
      </c>
      <c r="P2705" s="37" t="str">
        <f aca="false">IF($M2705="","",IFERROR(IF(INDEX(Settings!$B$41:$B$50,MATCH(O2705,Settings!$A$41:$A$50,0))&amp;""="","UNMAPPED",INDEX(Settings!$B$41:$B$50,MATCH(O2705,Settings!$A$41:$A$50,0))&amp;""),"UNMAPPED"))</f>
        <v/>
      </c>
      <c r="Q2705" s="38" t="n">
        <f aca="false">IF($M2705="",0,N(INDEX($A2705:$J2705,$Q$6)))</f>
        <v>0</v>
      </c>
      <c r="R2705" s="39" t="str">
        <f aca="false">IF($M2705="","",INDEX($A2705:$J2705,$R$6))</f>
        <v/>
      </c>
      <c r="S2705" s="37" t="str">
        <f aca="false">IF($M2705="","",IFERROR(INDEX(Settings!$B$27:$B$36,MATCH(L2705,Settings!$A$27:$A$36,0))&amp;"","UNMAPPED"))</f>
        <v/>
      </c>
      <c r="T2705" s="37" t="str">
        <f aca="false">IF($M2705="","",IF(NOT(ISNUMBER(R2705)),"NO DATE",IF(S2705="Won",IF(R2705&gt;Settings!$B$5,"Backlog","Delivered"),IF(S2705="Open",IF(R2705&gt;Settings!$B$5,"Pipeline","Overdue"),IF(S2705="Lost","Lost","UNMAPPED")))))</f>
        <v/>
      </c>
      <c r="U2705" s="40" t="n">
        <f aca="false">IF(T2705="Backlog",1,IF(OR(T2705="Pipeline",T2705="Overdue"),N(INDEX(Settings!$C$27:$C$36,MATCH(L2705,Settings!$A$27:$A$36,0))),0))</f>
        <v>0</v>
      </c>
      <c r="V2705" s="38" t="n">
        <f aca="false">Q2705*U2705</f>
        <v>0</v>
      </c>
      <c r="W2705" s="41" t="str">
        <f aca="false">IF($M2705="","",IF(T2705="Overdue",IF(Settings!$B$8="Yes",Settings!$B$7,""),IF(ISNUMBER(R2705),DATE(YEAR(R2705),MONTH(R2705),1),"")))</f>
        <v/>
      </c>
      <c r="X2705" s="38" t="n">
        <f aca="false">IF(AND(OR(T2705="Backlog",T2705="Pipeline",T2705="Overdue"),ISNUMBER(W2705)),IF(W2705&lt;=Settings!$B$6,V2705,0),0)</f>
        <v>0</v>
      </c>
      <c r="Y2705" s="38" t="n">
        <f aca="false">IF(AND(OR(T2705="Backlog",T2705="Pipeline",T2705="Overdue"),ISNUMBER(W2705)),IF(W2705&lt;=Settings!$B$6,Q2705,0),0)</f>
        <v>0</v>
      </c>
      <c r="Z2705" s="38" t="n">
        <f aca="false">IF(Y2705=0,0,IF(T2705="Backlog",Q2705,Q2705*Dashboard!$C$10))</f>
        <v>0</v>
      </c>
      <c r="AA2705" s="37" t="n">
        <f aca="false">IF($N2705="",0,IF(COUNTIF(Dashboard!$C$13:$C$22,$N2705)&gt;0,1,0))</f>
        <v>0</v>
      </c>
      <c r="AB2705" s="37" t="str">
        <f aca="false">IF($N2705="","",IF(COUNTIF($N$8:$N2705,$N2705)=1,MAX($AB$7:$AB2704)+1,""))</f>
        <v/>
      </c>
    </row>
    <row r="2706" customFormat="false" ht="15" hidden="false" customHeight="false" outlineLevel="0" collapsed="false">
      <c r="L2706" s="37" t="str">
        <f aca="false">IF(INDEX($A2706:$J2706,$L$6)&lt;&gt;"",TRIM(LEFT(INDEX($A2706:$J2706,$L$6),FIND("(",INDEX($A2706:$J2706,$L$6)&amp;"(")-1)),L2705)</f>
        <v>Building Value Proposition</v>
      </c>
      <c r="M2706" s="37" t="str">
        <f aca="false">IF(INDEX($A2706:$J2706,$M$6)="","",INDEX($A2706:$J2706,$M$6)&amp;"")</f>
        <v/>
      </c>
      <c r="N2706" s="37" t="str">
        <f aca="false">IF($M2706="","",TRIM(INDEX($A2706:$J2706,$N$6)&amp;""))</f>
        <v/>
      </c>
      <c r="O2706" s="37" t="str">
        <f aca="false">IF($M2706="","",TRIM(INDEX($A2706:$J2706,$O$6)&amp;""))</f>
        <v/>
      </c>
      <c r="P2706" s="37" t="str">
        <f aca="false">IF($M2706="","",IFERROR(IF(INDEX(Settings!$B$41:$B$50,MATCH(O2706,Settings!$A$41:$A$50,0))&amp;""="","UNMAPPED",INDEX(Settings!$B$41:$B$50,MATCH(O2706,Settings!$A$41:$A$50,0))&amp;""),"UNMAPPED"))</f>
        <v/>
      </c>
      <c r="Q2706" s="38" t="n">
        <f aca="false">IF($M2706="",0,N(INDEX($A2706:$J2706,$Q$6)))</f>
        <v>0</v>
      </c>
      <c r="R2706" s="39" t="str">
        <f aca="false">IF($M2706="","",INDEX($A2706:$J2706,$R$6))</f>
        <v/>
      </c>
      <c r="S2706" s="37" t="str">
        <f aca="false">IF($M2706="","",IFERROR(INDEX(Settings!$B$27:$B$36,MATCH(L2706,Settings!$A$27:$A$36,0))&amp;"","UNMAPPED"))</f>
        <v/>
      </c>
      <c r="T2706" s="37" t="str">
        <f aca="false">IF($M2706="","",IF(NOT(ISNUMBER(R2706)),"NO DATE",IF(S2706="Won",IF(R2706&gt;Settings!$B$5,"Backlog","Delivered"),IF(S2706="Open",IF(R2706&gt;Settings!$B$5,"Pipeline","Overdue"),IF(S2706="Lost","Lost","UNMAPPED")))))</f>
        <v/>
      </c>
      <c r="U2706" s="40" t="n">
        <f aca="false">IF(T2706="Backlog",1,IF(OR(T2706="Pipeline",T2706="Overdue"),N(INDEX(Settings!$C$27:$C$36,MATCH(L2706,Settings!$A$27:$A$36,0))),0))</f>
        <v>0</v>
      </c>
      <c r="V2706" s="38" t="n">
        <f aca="false">Q2706*U2706</f>
        <v>0</v>
      </c>
      <c r="W2706" s="41" t="str">
        <f aca="false">IF($M2706="","",IF(T2706="Overdue",IF(Settings!$B$8="Yes",Settings!$B$7,""),IF(ISNUMBER(R2706),DATE(YEAR(R2706),MONTH(R2706),1),"")))</f>
        <v/>
      </c>
      <c r="X2706" s="38" t="n">
        <f aca="false">IF(AND(OR(T2706="Backlog",T2706="Pipeline",T2706="Overdue"),ISNUMBER(W2706)),IF(W2706&lt;=Settings!$B$6,V2706,0),0)</f>
        <v>0</v>
      </c>
      <c r="Y2706" s="38" t="n">
        <f aca="false">IF(AND(OR(T2706="Backlog",T2706="Pipeline",T2706="Overdue"),ISNUMBER(W2706)),IF(W2706&lt;=Settings!$B$6,Q2706,0),0)</f>
        <v>0</v>
      </c>
      <c r="Z2706" s="38" t="n">
        <f aca="false">IF(Y2706=0,0,IF(T2706="Backlog",Q2706,Q2706*Dashboard!$C$10))</f>
        <v>0</v>
      </c>
      <c r="AA2706" s="37" t="n">
        <f aca="false">IF($N2706="",0,IF(COUNTIF(Dashboard!$C$13:$C$22,$N2706)&gt;0,1,0))</f>
        <v>0</v>
      </c>
      <c r="AB2706" s="37" t="str">
        <f aca="false">IF($N2706="","",IF(COUNTIF($N$8:$N2706,$N2706)=1,MAX($AB$7:$AB2705)+1,""))</f>
        <v/>
      </c>
    </row>
    <row r="2707" customFormat="false" ht="15" hidden="false" customHeight="false" outlineLevel="0" collapsed="false">
      <c r="L2707" s="37" t="str">
        <f aca="false">IF(INDEX($A2707:$J2707,$L$6)&lt;&gt;"",TRIM(LEFT(INDEX($A2707:$J2707,$L$6),FIND("(",INDEX($A2707:$J2707,$L$6)&amp;"(")-1)),L2706)</f>
        <v>Building Value Proposition</v>
      </c>
      <c r="M2707" s="37" t="str">
        <f aca="false">IF(INDEX($A2707:$J2707,$M$6)="","",INDEX($A2707:$J2707,$M$6)&amp;"")</f>
        <v/>
      </c>
      <c r="N2707" s="37" t="str">
        <f aca="false">IF($M2707="","",TRIM(INDEX($A2707:$J2707,$N$6)&amp;""))</f>
        <v/>
      </c>
      <c r="O2707" s="37" t="str">
        <f aca="false">IF($M2707="","",TRIM(INDEX($A2707:$J2707,$O$6)&amp;""))</f>
        <v/>
      </c>
      <c r="P2707" s="37" t="str">
        <f aca="false">IF($M2707="","",IFERROR(IF(INDEX(Settings!$B$41:$B$50,MATCH(O2707,Settings!$A$41:$A$50,0))&amp;""="","UNMAPPED",INDEX(Settings!$B$41:$B$50,MATCH(O2707,Settings!$A$41:$A$50,0))&amp;""),"UNMAPPED"))</f>
        <v/>
      </c>
      <c r="Q2707" s="38" t="n">
        <f aca="false">IF($M2707="",0,N(INDEX($A2707:$J2707,$Q$6)))</f>
        <v>0</v>
      </c>
      <c r="R2707" s="39" t="str">
        <f aca="false">IF($M2707="","",INDEX($A2707:$J2707,$R$6))</f>
        <v/>
      </c>
      <c r="S2707" s="37" t="str">
        <f aca="false">IF($M2707="","",IFERROR(INDEX(Settings!$B$27:$B$36,MATCH(L2707,Settings!$A$27:$A$36,0))&amp;"","UNMAPPED"))</f>
        <v/>
      </c>
      <c r="T2707" s="37" t="str">
        <f aca="false">IF($M2707="","",IF(NOT(ISNUMBER(R2707)),"NO DATE",IF(S2707="Won",IF(R2707&gt;Settings!$B$5,"Backlog","Delivered"),IF(S2707="Open",IF(R2707&gt;Settings!$B$5,"Pipeline","Overdue"),IF(S2707="Lost","Lost","UNMAPPED")))))</f>
        <v/>
      </c>
      <c r="U2707" s="40" t="n">
        <f aca="false">IF(T2707="Backlog",1,IF(OR(T2707="Pipeline",T2707="Overdue"),N(INDEX(Settings!$C$27:$C$36,MATCH(L2707,Settings!$A$27:$A$36,0))),0))</f>
        <v>0</v>
      </c>
      <c r="V2707" s="38" t="n">
        <f aca="false">Q2707*U2707</f>
        <v>0</v>
      </c>
      <c r="W2707" s="41" t="str">
        <f aca="false">IF($M2707="","",IF(T2707="Overdue",IF(Settings!$B$8="Yes",Settings!$B$7,""),IF(ISNUMBER(R2707),DATE(YEAR(R2707),MONTH(R2707),1),"")))</f>
        <v/>
      </c>
      <c r="X2707" s="38" t="n">
        <f aca="false">IF(AND(OR(T2707="Backlog",T2707="Pipeline",T2707="Overdue"),ISNUMBER(W2707)),IF(W2707&lt;=Settings!$B$6,V2707,0),0)</f>
        <v>0</v>
      </c>
      <c r="Y2707" s="38" t="n">
        <f aca="false">IF(AND(OR(T2707="Backlog",T2707="Pipeline",T2707="Overdue"),ISNUMBER(W2707)),IF(W2707&lt;=Settings!$B$6,Q2707,0),0)</f>
        <v>0</v>
      </c>
      <c r="Z2707" s="38" t="n">
        <f aca="false">IF(Y2707=0,0,IF(T2707="Backlog",Q2707,Q2707*Dashboard!$C$10))</f>
        <v>0</v>
      </c>
      <c r="AA2707" s="37" t="n">
        <f aca="false">IF($N2707="",0,IF(COUNTIF(Dashboard!$C$13:$C$22,$N2707)&gt;0,1,0))</f>
        <v>0</v>
      </c>
      <c r="AB2707" s="37" t="str">
        <f aca="false">IF($N2707="","",IF(COUNTIF($N$8:$N2707,$N2707)=1,MAX($AB$7:$AB2706)+1,""))</f>
        <v/>
      </c>
    </row>
    <row r="2708" customFormat="false" ht="15" hidden="false" customHeight="false" outlineLevel="0" collapsed="false">
      <c r="L2708" s="37" t="str">
        <f aca="false">IF(INDEX($A2708:$J2708,$L$6)&lt;&gt;"",TRIM(LEFT(INDEX($A2708:$J2708,$L$6),FIND("(",INDEX($A2708:$J2708,$L$6)&amp;"(")-1)),L2707)</f>
        <v>Building Value Proposition</v>
      </c>
      <c r="M2708" s="37" t="str">
        <f aca="false">IF(INDEX($A2708:$J2708,$M$6)="","",INDEX($A2708:$J2708,$M$6)&amp;"")</f>
        <v/>
      </c>
      <c r="N2708" s="37" t="str">
        <f aca="false">IF($M2708="","",TRIM(INDEX($A2708:$J2708,$N$6)&amp;""))</f>
        <v/>
      </c>
      <c r="O2708" s="37" t="str">
        <f aca="false">IF($M2708="","",TRIM(INDEX($A2708:$J2708,$O$6)&amp;""))</f>
        <v/>
      </c>
      <c r="P2708" s="37" t="str">
        <f aca="false">IF($M2708="","",IFERROR(IF(INDEX(Settings!$B$41:$B$50,MATCH(O2708,Settings!$A$41:$A$50,0))&amp;""="","UNMAPPED",INDEX(Settings!$B$41:$B$50,MATCH(O2708,Settings!$A$41:$A$50,0))&amp;""),"UNMAPPED"))</f>
        <v/>
      </c>
      <c r="Q2708" s="38" t="n">
        <f aca="false">IF($M2708="",0,N(INDEX($A2708:$J2708,$Q$6)))</f>
        <v>0</v>
      </c>
      <c r="R2708" s="39" t="str">
        <f aca="false">IF($M2708="","",INDEX($A2708:$J2708,$R$6))</f>
        <v/>
      </c>
      <c r="S2708" s="37" t="str">
        <f aca="false">IF($M2708="","",IFERROR(INDEX(Settings!$B$27:$B$36,MATCH(L2708,Settings!$A$27:$A$36,0))&amp;"","UNMAPPED"))</f>
        <v/>
      </c>
      <c r="T2708" s="37" t="str">
        <f aca="false">IF($M2708="","",IF(NOT(ISNUMBER(R2708)),"NO DATE",IF(S2708="Won",IF(R2708&gt;Settings!$B$5,"Backlog","Delivered"),IF(S2708="Open",IF(R2708&gt;Settings!$B$5,"Pipeline","Overdue"),IF(S2708="Lost","Lost","UNMAPPED")))))</f>
        <v/>
      </c>
      <c r="U2708" s="40" t="n">
        <f aca="false">IF(T2708="Backlog",1,IF(OR(T2708="Pipeline",T2708="Overdue"),N(INDEX(Settings!$C$27:$C$36,MATCH(L2708,Settings!$A$27:$A$36,0))),0))</f>
        <v>0</v>
      </c>
      <c r="V2708" s="38" t="n">
        <f aca="false">Q2708*U2708</f>
        <v>0</v>
      </c>
      <c r="W2708" s="41" t="str">
        <f aca="false">IF($M2708="","",IF(T2708="Overdue",IF(Settings!$B$8="Yes",Settings!$B$7,""),IF(ISNUMBER(R2708),DATE(YEAR(R2708),MONTH(R2708),1),"")))</f>
        <v/>
      </c>
      <c r="X2708" s="38" t="n">
        <f aca="false">IF(AND(OR(T2708="Backlog",T2708="Pipeline",T2708="Overdue"),ISNUMBER(W2708)),IF(W2708&lt;=Settings!$B$6,V2708,0),0)</f>
        <v>0</v>
      </c>
      <c r="Y2708" s="38" t="n">
        <f aca="false">IF(AND(OR(T2708="Backlog",T2708="Pipeline",T2708="Overdue"),ISNUMBER(W2708)),IF(W2708&lt;=Settings!$B$6,Q2708,0),0)</f>
        <v>0</v>
      </c>
      <c r="Z2708" s="38" t="n">
        <f aca="false">IF(Y2708=0,0,IF(T2708="Backlog",Q2708,Q2708*Dashboard!$C$10))</f>
        <v>0</v>
      </c>
      <c r="AA2708" s="37" t="n">
        <f aca="false">IF($N2708="",0,IF(COUNTIF(Dashboard!$C$13:$C$22,$N2708)&gt;0,1,0))</f>
        <v>0</v>
      </c>
      <c r="AB2708" s="37" t="str">
        <f aca="false">IF($N2708="","",IF(COUNTIF($N$8:$N2708,$N2708)=1,MAX($AB$7:$AB2707)+1,""))</f>
        <v/>
      </c>
    </row>
    <row r="2709" customFormat="false" ht="15" hidden="false" customHeight="false" outlineLevel="0" collapsed="false">
      <c r="L2709" s="37" t="str">
        <f aca="false">IF(INDEX($A2709:$J2709,$L$6)&lt;&gt;"",TRIM(LEFT(INDEX($A2709:$J2709,$L$6),FIND("(",INDEX($A2709:$J2709,$L$6)&amp;"(")-1)),L2708)</f>
        <v>Building Value Proposition</v>
      </c>
      <c r="M2709" s="37" t="str">
        <f aca="false">IF(INDEX($A2709:$J2709,$M$6)="","",INDEX($A2709:$J2709,$M$6)&amp;"")</f>
        <v/>
      </c>
      <c r="N2709" s="37" t="str">
        <f aca="false">IF($M2709="","",TRIM(INDEX($A2709:$J2709,$N$6)&amp;""))</f>
        <v/>
      </c>
      <c r="O2709" s="37" t="str">
        <f aca="false">IF($M2709="","",TRIM(INDEX($A2709:$J2709,$O$6)&amp;""))</f>
        <v/>
      </c>
      <c r="P2709" s="37" t="str">
        <f aca="false">IF($M2709="","",IFERROR(IF(INDEX(Settings!$B$41:$B$50,MATCH(O2709,Settings!$A$41:$A$50,0))&amp;""="","UNMAPPED",INDEX(Settings!$B$41:$B$50,MATCH(O2709,Settings!$A$41:$A$50,0))&amp;""),"UNMAPPED"))</f>
        <v/>
      </c>
      <c r="Q2709" s="38" t="n">
        <f aca="false">IF($M2709="",0,N(INDEX($A2709:$J2709,$Q$6)))</f>
        <v>0</v>
      </c>
      <c r="R2709" s="39" t="str">
        <f aca="false">IF($M2709="","",INDEX($A2709:$J2709,$R$6))</f>
        <v/>
      </c>
      <c r="S2709" s="37" t="str">
        <f aca="false">IF($M2709="","",IFERROR(INDEX(Settings!$B$27:$B$36,MATCH(L2709,Settings!$A$27:$A$36,0))&amp;"","UNMAPPED"))</f>
        <v/>
      </c>
      <c r="T2709" s="37" t="str">
        <f aca="false">IF($M2709="","",IF(NOT(ISNUMBER(R2709)),"NO DATE",IF(S2709="Won",IF(R2709&gt;Settings!$B$5,"Backlog","Delivered"),IF(S2709="Open",IF(R2709&gt;Settings!$B$5,"Pipeline","Overdue"),IF(S2709="Lost","Lost","UNMAPPED")))))</f>
        <v/>
      </c>
      <c r="U2709" s="40" t="n">
        <f aca="false">IF(T2709="Backlog",1,IF(OR(T2709="Pipeline",T2709="Overdue"),N(INDEX(Settings!$C$27:$C$36,MATCH(L2709,Settings!$A$27:$A$36,0))),0))</f>
        <v>0</v>
      </c>
      <c r="V2709" s="38" t="n">
        <f aca="false">Q2709*U2709</f>
        <v>0</v>
      </c>
      <c r="W2709" s="41" t="str">
        <f aca="false">IF($M2709="","",IF(T2709="Overdue",IF(Settings!$B$8="Yes",Settings!$B$7,""),IF(ISNUMBER(R2709),DATE(YEAR(R2709),MONTH(R2709),1),"")))</f>
        <v/>
      </c>
      <c r="X2709" s="38" t="n">
        <f aca="false">IF(AND(OR(T2709="Backlog",T2709="Pipeline",T2709="Overdue"),ISNUMBER(W2709)),IF(W2709&lt;=Settings!$B$6,V2709,0),0)</f>
        <v>0</v>
      </c>
      <c r="Y2709" s="38" t="n">
        <f aca="false">IF(AND(OR(T2709="Backlog",T2709="Pipeline",T2709="Overdue"),ISNUMBER(W2709)),IF(W2709&lt;=Settings!$B$6,Q2709,0),0)</f>
        <v>0</v>
      </c>
      <c r="Z2709" s="38" t="n">
        <f aca="false">IF(Y2709=0,0,IF(T2709="Backlog",Q2709,Q2709*Dashboard!$C$10))</f>
        <v>0</v>
      </c>
      <c r="AA2709" s="37" t="n">
        <f aca="false">IF($N2709="",0,IF(COUNTIF(Dashboard!$C$13:$C$22,$N2709)&gt;0,1,0))</f>
        <v>0</v>
      </c>
      <c r="AB2709" s="37" t="str">
        <f aca="false">IF($N2709="","",IF(COUNTIF($N$8:$N2709,$N2709)=1,MAX($AB$7:$AB2708)+1,""))</f>
        <v/>
      </c>
    </row>
    <row r="2710" customFormat="false" ht="15" hidden="false" customHeight="false" outlineLevel="0" collapsed="false">
      <c r="L2710" s="37" t="str">
        <f aca="false">IF(INDEX($A2710:$J2710,$L$6)&lt;&gt;"",TRIM(LEFT(INDEX($A2710:$J2710,$L$6),FIND("(",INDEX($A2710:$J2710,$L$6)&amp;"(")-1)),L2709)</f>
        <v>Building Value Proposition</v>
      </c>
      <c r="M2710" s="37" t="str">
        <f aca="false">IF(INDEX($A2710:$J2710,$M$6)="","",INDEX($A2710:$J2710,$M$6)&amp;"")</f>
        <v/>
      </c>
      <c r="N2710" s="37" t="str">
        <f aca="false">IF($M2710="","",TRIM(INDEX($A2710:$J2710,$N$6)&amp;""))</f>
        <v/>
      </c>
      <c r="O2710" s="37" t="str">
        <f aca="false">IF($M2710="","",TRIM(INDEX($A2710:$J2710,$O$6)&amp;""))</f>
        <v/>
      </c>
      <c r="P2710" s="37" t="str">
        <f aca="false">IF($M2710="","",IFERROR(IF(INDEX(Settings!$B$41:$B$50,MATCH(O2710,Settings!$A$41:$A$50,0))&amp;""="","UNMAPPED",INDEX(Settings!$B$41:$B$50,MATCH(O2710,Settings!$A$41:$A$50,0))&amp;""),"UNMAPPED"))</f>
        <v/>
      </c>
      <c r="Q2710" s="38" t="n">
        <f aca="false">IF($M2710="",0,N(INDEX($A2710:$J2710,$Q$6)))</f>
        <v>0</v>
      </c>
      <c r="R2710" s="39" t="str">
        <f aca="false">IF($M2710="","",INDEX($A2710:$J2710,$R$6))</f>
        <v/>
      </c>
      <c r="S2710" s="37" t="str">
        <f aca="false">IF($M2710="","",IFERROR(INDEX(Settings!$B$27:$B$36,MATCH(L2710,Settings!$A$27:$A$36,0))&amp;"","UNMAPPED"))</f>
        <v/>
      </c>
      <c r="T2710" s="37" t="str">
        <f aca="false">IF($M2710="","",IF(NOT(ISNUMBER(R2710)),"NO DATE",IF(S2710="Won",IF(R2710&gt;Settings!$B$5,"Backlog","Delivered"),IF(S2710="Open",IF(R2710&gt;Settings!$B$5,"Pipeline","Overdue"),IF(S2710="Lost","Lost","UNMAPPED")))))</f>
        <v/>
      </c>
      <c r="U2710" s="40" t="n">
        <f aca="false">IF(T2710="Backlog",1,IF(OR(T2710="Pipeline",T2710="Overdue"),N(INDEX(Settings!$C$27:$C$36,MATCH(L2710,Settings!$A$27:$A$36,0))),0))</f>
        <v>0</v>
      </c>
      <c r="V2710" s="38" t="n">
        <f aca="false">Q2710*U2710</f>
        <v>0</v>
      </c>
      <c r="W2710" s="41" t="str">
        <f aca="false">IF($M2710="","",IF(T2710="Overdue",IF(Settings!$B$8="Yes",Settings!$B$7,""),IF(ISNUMBER(R2710),DATE(YEAR(R2710),MONTH(R2710),1),"")))</f>
        <v/>
      </c>
      <c r="X2710" s="38" t="n">
        <f aca="false">IF(AND(OR(T2710="Backlog",T2710="Pipeline",T2710="Overdue"),ISNUMBER(W2710)),IF(W2710&lt;=Settings!$B$6,V2710,0),0)</f>
        <v>0</v>
      </c>
      <c r="Y2710" s="38" t="n">
        <f aca="false">IF(AND(OR(T2710="Backlog",T2710="Pipeline",T2710="Overdue"),ISNUMBER(W2710)),IF(W2710&lt;=Settings!$B$6,Q2710,0),0)</f>
        <v>0</v>
      </c>
      <c r="Z2710" s="38" t="n">
        <f aca="false">IF(Y2710=0,0,IF(T2710="Backlog",Q2710,Q2710*Dashboard!$C$10))</f>
        <v>0</v>
      </c>
      <c r="AA2710" s="37" t="n">
        <f aca="false">IF($N2710="",0,IF(COUNTIF(Dashboard!$C$13:$C$22,$N2710)&gt;0,1,0))</f>
        <v>0</v>
      </c>
      <c r="AB2710" s="37" t="str">
        <f aca="false">IF($N2710="","",IF(COUNTIF($N$8:$N2710,$N2710)=1,MAX($AB$7:$AB2709)+1,""))</f>
        <v/>
      </c>
    </row>
    <row r="2711" customFormat="false" ht="15" hidden="false" customHeight="false" outlineLevel="0" collapsed="false">
      <c r="L2711" s="37" t="str">
        <f aca="false">IF(INDEX($A2711:$J2711,$L$6)&lt;&gt;"",TRIM(LEFT(INDEX($A2711:$J2711,$L$6),FIND("(",INDEX($A2711:$J2711,$L$6)&amp;"(")-1)),L2710)</f>
        <v>Building Value Proposition</v>
      </c>
      <c r="M2711" s="37" t="str">
        <f aca="false">IF(INDEX($A2711:$J2711,$M$6)="","",INDEX($A2711:$J2711,$M$6)&amp;"")</f>
        <v/>
      </c>
      <c r="N2711" s="37" t="str">
        <f aca="false">IF($M2711="","",TRIM(INDEX($A2711:$J2711,$N$6)&amp;""))</f>
        <v/>
      </c>
      <c r="O2711" s="37" t="str">
        <f aca="false">IF($M2711="","",TRIM(INDEX($A2711:$J2711,$O$6)&amp;""))</f>
        <v/>
      </c>
      <c r="P2711" s="37" t="str">
        <f aca="false">IF($M2711="","",IFERROR(IF(INDEX(Settings!$B$41:$B$50,MATCH(O2711,Settings!$A$41:$A$50,0))&amp;""="","UNMAPPED",INDEX(Settings!$B$41:$B$50,MATCH(O2711,Settings!$A$41:$A$50,0))&amp;""),"UNMAPPED"))</f>
        <v/>
      </c>
      <c r="Q2711" s="38" t="n">
        <f aca="false">IF($M2711="",0,N(INDEX($A2711:$J2711,$Q$6)))</f>
        <v>0</v>
      </c>
      <c r="R2711" s="39" t="str">
        <f aca="false">IF($M2711="","",INDEX($A2711:$J2711,$R$6))</f>
        <v/>
      </c>
      <c r="S2711" s="37" t="str">
        <f aca="false">IF($M2711="","",IFERROR(INDEX(Settings!$B$27:$B$36,MATCH(L2711,Settings!$A$27:$A$36,0))&amp;"","UNMAPPED"))</f>
        <v/>
      </c>
      <c r="T2711" s="37" t="str">
        <f aca="false">IF($M2711="","",IF(NOT(ISNUMBER(R2711)),"NO DATE",IF(S2711="Won",IF(R2711&gt;Settings!$B$5,"Backlog","Delivered"),IF(S2711="Open",IF(R2711&gt;Settings!$B$5,"Pipeline","Overdue"),IF(S2711="Lost","Lost","UNMAPPED")))))</f>
        <v/>
      </c>
      <c r="U2711" s="40" t="n">
        <f aca="false">IF(T2711="Backlog",1,IF(OR(T2711="Pipeline",T2711="Overdue"),N(INDEX(Settings!$C$27:$C$36,MATCH(L2711,Settings!$A$27:$A$36,0))),0))</f>
        <v>0</v>
      </c>
      <c r="V2711" s="38" t="n">
        <f aca="false">Q2711*U2711</f>
        <v>0</v>
      </c>
      <c r="W2711" s="41" t="str">
        <f aca="false">IF($M2711="","",IF(T2711="Overdue",IF(Settings!$B$8="Yes",Settings!$B$7,""),IF(ISNUMBER(R2711),DATE(YEAR(R2711),MONTH(R2711),1),"")))</f>
        <v/>
      </c>
      <c r="X2711" s="38" t="n">
        <f aca="false">IF(AND(OR(T2711="Backlog",T2711="Pipeline",T2711="Overdue"),ISNUMBER(W2711)),IF(W2711&lt;=Settings!$B$6,V2711,0),0)</f>
        <v>0</v>
      </c>
      <c r="Y2711" s="38" t="n">
        <f aca="false">IF(AND(OR(T2711="Backlog",T2711="Pipeline",T2711="Overdue"),ISNUMBER(W2711)),IF(W2711&lt;=Settings!$B$6,Q2711,0),0)</f>
        <v>0</v>
      </c>
      <c r="Z2711" s="38" t="n">
        <f aca="false">IF(Y2711=0,0,IF(T2711="Backlog",Q2711,Q2711*Dashboard!$C$10))</f>
        <v>0</v>
      </c>
      <c r="AA2711" s="37" t="n">
        <f aca="false">IF($N2711="",0,IF(COUNTIF(Dashboard!$C$13:$C$22,$N2711)&gt;0,1,0))</f>
        <v>0</v>
      </c>
      <c r="AB2711" s="37" t="str">
        <f aca="false">IF($N2711="","",IF(COUNTIF($N$8:$N2711,$N2711)=1,MAX($AB$7:$AB2710)+1,""))</f>
        <v/>
      </c>
    </row>
    <row r="2712" customFormat="false" ht="15" hidden="false" customHeight="false" outlineLevel="0" collapsed="false">
      <c r="L2712" s="37" t="str">
        <f aca="false">IF(INDEX($A2712:$J2712,$L$6)&lt;&gt;"",TRIM(LEFT(INDEX($A2712:$J2712,$L$6),FIND("(",INDEX($A2712:$J2712,$L$6)&amp;"(")-1)),L2711)</f>
        <v>Building Value Proposition</v>
      </c>
      <c r="M2712" s="37" t="str">
        <f aca="false">IF(INDEX($A2712:$J2712,$M$6)="","",INDEX($A2712:$J2712,$M$6)&amp;"")</f>
        <v/>
      </c>
      <c r="N2712" s="37" t="str">
        <f aca="false">IF($M2712="","",TRIM(INDEX($A2712:$J2712,$N$6)&amp;""))</f>
        <v/>
      </c>
      <c r="O2712" s="37" t="str">
        <f aca="false">IF($M2712="","",TRIM(INDEX($A2712:$J2712,$O$6)&amp;""))</f>
        <v/>
      </c>
      <c r="P2712" s="37" t="str">
        <f aca="false">IF($M2712="","",IFERROR(IF(INDEX(Settings!$B$41:$B$50,MATCH(O2712,Settings!$A$41:$A$50,0))&amp;""="","UNMAPPED",INDEX(Settings!$B$41:$B$50,MATCH(O2712,Settings!$A$41:$A$50,0))&amp;""),"UNMAPPED"))</f>
        <v/>
      </c>
      <c r="Q2712" s="38" t="n">
        <f aca="false">IF($M2712="",0,N(INDEX($A2712:$J2712,$Q$6)))</f>
        <v>0</v>
      </c>
      <c r="R2712" s="39" t="str">
        <f aca="false">IF($M2712="","",INDEX($A2712:$J2712,$R$6))</f>
        <v/>
      </c>
      <c r="S2712" s="37" t="str">
        <f aca="false">IF($M2712="","",IFERROR(INDEX(Settings!$B$27:$B$36,MATCH(L2712,Settings!$A$27:$A$36,0))&amp;"","UNMAPPED"))</f>
        <v/>
      </c>
      <c r="T2712" s="37" t="str">
        <f aca="false">IF($M2712="","",IF(NOT(ISNUMBER(R2712)),"NO DATE",IF(S2712="Won",IF(R2712&gt;Settings!$B$5,"Backlog","Delivered"),IF(S2712="Open",IF(R2712&gt;Settings!$B$5,"Pipeline","Overdue"),IF(S2712="Lost","Lost","UNMAPPED")))))</f>
        <v/>
      </c>
      <c r="U2712" s="40" t="n">
        <f aca="false">IF(T2712="Backlog",1,IF(OR(T2712="Pipeline",T2712="Overdue"),N(INDEX(Settings!$C$27:$C$36,MATCH(L2712,Settings!$A$27:$A$36,0))),0))</f>
        <v>0</v>
      </c>
      <c r="V2712" s="38" t="n">
        <f aca="false">Q2712*U2712</f>
        <v>0</v>
      </c>
      <c r="W2712" s="41" t="str">
        <f aca="false">IF($M2712="","",IF(T2712="Overdue",IF(Settings!$B$8="Yes",Settings!$B$7,""),IF(ISNUMBER(R2712),DATE(YEAR(R2712),MONTH(R2712),1),"")))</f>
        <v/>
      </c>
      <c r="X2712" s="38" t="n">
        <f aca="false">IF(AND(OR(T2712="Backlog",T2712="Pipeline",T2712="Overdue"),ISNUMBER(W2712)),IF(W2712&lt;=Settings!$B$6,V2712,0),0)</f>
        <v>0</v>
      </c>
      <c r="Y2712" s="38" t="n">
        <f aca="false">IF(AND(OR(T2712="Backlog",T2712="Pipeline",T2712="Overdue"),ISNUMBER(W2712)),IF(W2712&lt;=Settings!$B$6,Q2712,0),0)</f>
        <v>0</v>
      </c>
      <c r="Z2712" s="38" t="n">
        <f aca="false">IF(Y2712=0,0,IF(T2712="Backlog",Q2712,Q2712*Dashboard!$C$10))</f>
        <v>0</v>
      </c>
      <c r="AA2712" s="37" t="n">
        <f aca="false">IF($N2712="",0,IF(COUNTIF(Dashboard!$C$13:$C$22,$N2712)&gt;0,1,0))</f>
        <v>0</v>
      </c>
      <c r="AB2712" s="37" t="str">
        <f aca="false">IF($N2712="","",IF(COUNTIF($N$8:$N2712,$N2712)=1,MAX($AB$7:$AB2711)+1,""))</f>
        <v/>
      </c>
    </row>
    <row r="2713" customFormat="false" ht="15" hidden="false" customHeight="false" outlineLevel="0" collapsed="false">
      <c r="L2713" s="37" t="str">
        <f aca="false">IF(INDEX($A2713:$J2713,$L$6)&lt;&gt;"",TRIM(LEFT(INDEX($A2713:$J2713,$L$6),FIND("(",INDEX($A2713:$J2713,$L$6)&amp;"(")-1)),L2712)</f>
        <v>Building Value Proposition</v>
      </c>
      <c r="M2713" s="37" t="str">
        <f aca="false">IF(INDEX($A2713:$J2713,$M$6)="","",INDEX($A2713:$J2713,$M$6)&amp;"")</f>
        <v/>
      </c>
      <c r="N2713" s="37" t="str">
        <f aca="false">IF($M2713="","",TRIM(INDEX($A2713:$J2713,$N$6)&amp;""))</f>
        <v/>
      </c>
      <c r="O2713" s="37" t="str">
        <f aca="false">IF($M2713="","",TRIM(INDEX($A2713:$J2713,$O$6)&amp;""))</f>
        <v/>
      </c>
      <c r="P2713" s="37" t="str">
        <f aca="false">IF($M2713="","",IFERROR(IF(INDEX(Settings!$B$41:$B$50,MATCH(O2713,Settings!$A$41:$A$50,0))&amp;""="","UNMAPPED",INDEX(Settings!$B$41:$B$50,MATCH(O2713,Settings!$A$41:$A$50,0))&amp;""),"UNMAPPED"))</f>
        <v/>
      </c>
      <c r="Q2713" s="38" t="n">
        <f aca="false">IF($M2713="",0,N(INDEX($A2713:$J2713,$Q$6)))</f>
        <v>0</v>
      </c>
      <c r="R2713" s="39" t="str">
        <f aca="false">IF($M2713="","",INDEX($A2713:$J2713,$R$6))</f>
        <v/>
      </c>
      <c r="S2713" s="37" t="str">
        <f aca="false">IF($M2713="","",IFERROR(INDEX(Settings!$B$27:$B$36,MATCH(L2713,Settings!$A$27:$A$36,0))&amp;"","UNMAPPED"))</f>
        <v/>
      </c>
      <c r="T2713" s="37" t="str">
        <f aca="false">IF($M2713="","",IF(NOT(ISNUMBER(R2713)),"NO DATE",IF(S2713="Won",IF(R2713&gt;Settings!$B$5,"Backlog","Delivered"),IF(S2713="Open",IF(R2713&gt;Settings!$B$5,"Pipeline","Overdue"),IF(S2713="Lost","Lost","UNMAPPED")))))</f>
        <v/>
      </c>
      <c r="U2713" s="40" t="n">
        <f aca="false">IF(T2713="Backlog",1,IF(OR(T2713="Pipeline",T2713="Overdue"),N(INDEX(Settings!$C$27:$C$36,MATCH(L2713,Settings!$A$27:$A$36,0))),0))</f>
        <v>0</v>
      </c>
      <c r="V2713" s="38" t="n">
        <f aca="false">Q2713*U2713</f>
        <v>0</v>
      </c>
      <c r="W2713" s="41" t="str">
        <f aca="false">IF($M2713="","",IF(T2713="Overdue",IF(Settings!$B$8="Yes",Settings!$B$7,""),IF(ISNUMBER(R2713),DATE(YEAR(R2713),MONTH(R2713),1),"")))</f>
        <v/>
      </c>
      <c r="X2713" s="38" t="n">
        <f aca="false">IF(AND(OR(T2713="Backlog",T2713="Pipeline",T2713="Overdue"),ISNUMBER(W2713)),IF(W2713&lt;=Settings!$B$6,V2713,0),0)</f>
        <v>0</v>
      </c>
      <c r="Y2713" s="38" t="n">
        <f aca="false">IF(AND(OR(T2713="Backlog",T2713="Pipeline",T2713="Overdue"),ISNUMBER(W2713)),IF(W2713&lt;=Settings!$B$6,Q2713,0),0)</f>
        <v>0</v>
      </c>
      <c r="Z2713" s="38" t="n">
        <f aca="false">IF(Y2713=0,0,IF(T2713="Backlog",Q2713,Q2713*Dashboard!$C$10))</f>
        <v>0</v>
      </c>
      <c r="AA2713" s="37" t="n">
        <f aca="false">IF($N2713="",0,IF(COUNTIF(Dashboard!$C$13:$C$22,$N2713)&gt;0,1,0))</f>
        <v>0</v>
      </c>
      <c r="AB2713" s="37" t="str">
        <f aca="false">IF($N2713="","",IF(COUNTIF($N$8:$N2713,$N2713)=1,MAX($AB$7:$AB2712)+1,""))</f>
        <v/>
      </c>
    </row>
    <row r="2714" customFormat="false" ht="15" hidden="false" customHeight="false" outlineLevel="0" collapsed="false">
      <c r="L2714" s="37" t="str">
        <f aca="false">IF(INDEX($A2714:$J2714,$L$6)&lt;&gt;"",TRIM(LEFT(INDEX($A2714:$J2714,$L$6),FIND("(",INDEX($A2714:$J2714,$L$6)&amp;"(")-1)),L2713)</f>
        <v>Building Value Proposition</v>
      </c>
      <c r="M2714" s="37" t="str">
        <f aca="false">IF(INDEX($A2714:$J2714,$M$6)="","",INDEX($A2714:$J2714,$M$6)&amp;"")</f>
        <v/>
      </c>
      <c r="N2714" s="37" t="str">
        <f aca="false">IF($M2714="","",TRIM(INDEX($A2714:$J2714,$N$6)&amp;""))</f>
        <v/>
      </c>
      <c r="O2714" s="37" t="str">
        <f aca="false">IF($M2714="","",TRIM(INDEX($A2714:$J2714,$O$6)&amp;""))</f>
        <v/>
      </c>
      <c r="P2714" s="37" t="str">
        <f aca="false">IF($M2714="","",IFERROR(IF(INDEX(Settings!$B$41:$B$50,MATCH(O2714,Settings!$A$41:$A$50,0))&amp;""="","UNMAPPED",INDEX(Settings!$B$41:$B$50,MATCH(O2714,Settings!$A$41:$A$50,0))&amp;""),"UNMAPPED"))</f>
        <v/>
      </c>
      <c r="Q2714" s="38" t="n">
        <f aca="false">IF($M2714="",0,N(INDEX($A2714:$J2714,$Q$6)))</f>
        <v>0</v>
      </c>
      <c r="R2714" s="39" t="str">
        <f aca="false">IF($M2714="","",INDEX($A2714:$J2714,$R$6))</f>
        <v/>
      </c>
      <c r="S2714" s="37" t="str">
        <f aca="false">IF($M2714="","",IFERROR(INDEX(Settings!$B$27:$B$36,MATCH(L2714,Settings!$A$27:$A$36,0))&amp;"","UNMAPPED"))</f>
        <v/>
      </c>
      <c r="T2714" s="37" t="str">
        <f aca="false">IF($M2714="","",IF(NOT(ISNUMBER(R2714)),"NO DATE",IF(S2714="Won",IF(R2714&gt;Settings!$B$5,"Backlog","Delivered"),IF(S2714="Open",IF(R2714&gt;Settings!$B$5,"Pipeline","Overdue"),IF(S2714="Lost","Lost","UNMAPPED")))))</f>
        <v/>
      </c>
      <c r="U2714" s="40" t="n">
        <f aca="false">IF(T2714="Backlog",1,IF(OR(T2714="Pipeline",T2714="Overdue"),N(INDEX(Settings!$C$27:$C$36,MATCH(L2714,Settings!$A$27:$A$36,0))),0))</f>
        <v>0</v>
      </c>
      <c r="V2714" s="38" t="n">
        <f aca="false">Q2714*U2714</f>
        <v>0</v>
      </c>
      <c r="W2714" s="41" t="str">
        <f aca="false">IF($M2714="","",IF(T2714="Overdue",IF(Settings!$B$8="Yes",Settings!$B$7,""),IF(ISNUMBER(R2714),DATE(YEAR(R2714),MONTH(R2714),1),"")))</f>
        <v/>
      </c>
      <c r="X2714" s="38" t="n">
        <f aca="false">IF(AND(OR(T2714="Backlog",T2714="Pipeline",T2714="Overdue"),ISNUMBER(W2714)),IF(W2714&lt;=Settings!$B$6,V2714,0),0)</f>
        <v>0</v>
      </c>
      <c r="Y2714" s="38" t="n">
        <f aca="false">IF(AND(OR(T2714="Backlog",T2714="Pipeline",T2714="Overdue"),ISNUMBER(W2714)),IF(W2714&lt;=Settings!$B$6,Q2714,0),0)</f>
        <v>0</v>
      </c>
      <c r="Z2714" s="38" t="n">
        <f aca="false">IF(Y2714=0,0,IF(T2714="Backlog",Q2714,Q2714*Dashboard!$C$10))</f>
        <v>0</v>
      </c>
      <c r="AA2714" s="37" t="n">
        <f aca="false">IF($N2714="",0,IF(COUNTIF(Dashboard!$C$13:$C$22,$N2714)&gt;0,1,0))</f>
        <v>0</v>
      </c>
      <c r="AB2714" s="37" t="str">
        <f aca="false">IF($N2714="","",IF(COUNTIF($N$8:$N2714,$N2714)=1,MAX($AB$7:$AB2713)+1,""))</f>
        <v/>
      </c>
    </row>
    <row r="2715" customFormat="false" ht="15" hidden="false" customHeight="false" outlineLevel="0" collapsed="false">
      <c r="L2715" s="37" t="str">
        <f aca="false">IF(INDEX($A2715:$J2715,$L$6)&lt;&gt;"",TRIM(LEFT(INDEX($A2715:$J2715,$L$6),FIND("(",INDEX($A2715:$J2715,$L$6)&amp;"(")-1)),L2714)</f>
        <v>Building Value Proposition</v>
      </c>
      <c r="M2715" s="37" t="str">
        <f aca="false">IF(INDEX($A2715:$J2715,$M$6)="","",INDEX($A2715:$J2715,$M$6)&amp;"")</f>
        <v/>
      </c>
      <c r="N2715" s="37" t="str">
        <f aca="false">IF($M2715="","",TRIM(INDEX($A2715:$J2715,$N$6)&amp;""))</f>
        <v/>
      </c>
      <c r="O2715" s="37" t="str">
        <f aca="false">IF($M2715="","",TRIM(INDEX($A2715:$J2715,$O$6)&amp;""))</f>
        <v/>
      </c>
      <c r="P2715" s="37" t="str">
        <f aca="false">IF($M2715="","",IFERROR(IF(INDEX(Settings!$B$41:$B$50,MATCH(O2715,Settings!$A$41:$A$50,0))&amp;""="","UNMAPPED",INDEX(Settings!$B$41:$B$50,MATCH(O2715,Settings!$A$41:$A$50,0))&amp;""),"UNMAPPED"))</f>
        <v/>
      </c>
      <c r="Q2715" s="38" t="n">
        <f aca="false">IF($M2715="",0,N(INDEX($A2715:$J2715,$Q$6)))</f>
        <v>0</v>
      </c>
      <c r="R2715" s="39" t="str">
        <f aca="false">IF($M2715="","",INDEX($A2715:$J2715,$R$6))</f>
        <v/>
      </c>
      <c r="S2715" s="37" t="str">
        <f aca="false">IF($M2715="","",IFERROR(INDEX(Settings!$B$27:$B$36,MATCH(L2715,Settings!$A$27:$A$36,0))&amp;"","UNMAPPED"))</f>
        <v/>
      </c>
      <c r="T2715" s="37" t="str">
        <f aca="false">IF($M2715="","",IF(NOT(ISNUMBER(R2715)),"NO DATE",IF(S2715="Won",IF(R2715&gt;Settings!$B$5,"Backlog","Delivered"),IF(S2715="Open",IF(R2715&gt;Settings!$B$5,"Pipeline","Overdue"),IF(S2715="Lost","Lost","UNMAPPED")))))</f>
        <v/>
      </c>
      <c r="U2715" s="40" t="n">
        <f aca="false">IF(T2715="Backlog",1,IF(OR(T2715="Pipeline",T2715="Overdue"),N(INDEX(Settings!$C$27:$C$36,MATCH(L2715,Settings!$A$27:$A$36,0))),0))</f>
        <v>0</v>
      </c>
      <c r="V2715" s="38" t="n">
        <f aca="false">Q2715*U2715</f>
        <v>0</v>
      </c>
      <c r="W2715" s="41" t="str">
        <f aca="false">IF($M2715="","",IF(T2715="Overdue",IF(Settings!$B$8="Yes",Settings!$B$7,""),IF(ISNUMBER(R2715),DATE(YEAR(R2715),MONTH(R2715),1),"")))</f>
        <v/>
      </c>
      <c r="X2715" s="38" t="n">
        <f aca="false">IF(AND(OR(T2715="Backlog",T2715="Pipeline",T2715="Overdue"),ISNUMBER(W2715)),IF(W2715&lt;=Settings!$B$6,V2715,0),0)</f>
        <v>0</v>
      </c>
      <c r="Y2715" s="38" t="n">
        <f aca="false">IF(AND(OR(T2715="Backlog",T2715="Pipeline",T2715="Overdue"),ISNUMBER(W2715)),IF(W2715&lt;=Settings!$B$6,Q2715,0),0)</f>
        <v>0</v>
      </c>
      <c r="Z2715" s="38" t="n">
        <f aca="false">IF(Y2715=0,0,IF(T2715="Backlog",Q2715,Q2715*Dashboard!$C$10))</f>
        <v>0</v>
      </c>
      <c r="AA2715" s="37" t="n">
        <f aca="false">IF($N2715="",0,IF(COUNTIF(Dashboard!$C$13:$C$22,$N2715)&gt;0,1,0))</f>
        <v>0</v>
      </c>
      <c r="AB2715" s="37" t="str">
        <f aca="false">IF($N2715="","",IF(COUNTIF($N$8:$N2715,$N2715)=1,MAX($AB$7:$AB2714)+1,""))</f>
        <v/>
      </c>
    </row>
    <row r="2716" customFormat="false" ht="15" hidden="false" customHeight="false" outlineLevel="0" collapsed="false">
      <c r="L2716" s="37" t="str">
        <f aca="false">IF(INDEX($A2716:$J2716,$L$6)&lt;&gt;"",TRIM(LEFT(INDEX($A2716:$J2716,$L$6),FIND("(",INDEX($A2716:$J2716,$L$6)&amp;"(")-1)),L2715)</f>
        <v>Building Value Proposition</v>
      </c>
      <c r="M2716" s="37" t="str">
        <f aca="false">IF(INDEX($A2716:$J2716,$M$6)="","",INDEX($A2716:$J2716,$M$6)&amp;"")</f>
        <v/>
      </c>
      <c r="N2716" s="37" t="str">
        <f aca="false">IF($M2716="","",TRIM(INDEX($A2716:$J2716,$N$6)&amp;""))</f>
        <v/>
      </c>
      <c r="O2716" s="37" t="str">
        <f aca="false">IF($M2716="","",TRIM(INDEX($A2716:$J2716,$O$6)&amp;""))</f>
        <v/>
      </c>
      <c r="P2716" s="37" t="str">
        <f aca="false">IF($M2716="","",IFERROR(IF(INDEX(Settings!$B$41:$B$50,MATCH(O2716,Settings!$A$41:$A$50,0))&amp;""="","UNMAPPED",INDEX(Settings!$B$41:$B$50,MATCH(O2716,Settings!$A$41:$A$50,0))&amp;""),"UNMAPPED"))</f>
        <v/>
      </c>
      <c r="Q2716" s="38" t="n">
        <f aca="false">IF($M2716="",0,N(INDEX($A2716:$J2716,$Q$6)))</f>
        <v>0</v>
      </c>
      <c r="R2716" s="39" t="str">
        <f aca="false">IF($M2716="","",INDEX($A2716:$J2716,$R$6))</f>
        <v/>
      </c>
      <c r="S2716" s="37" t="str">
        <f aca="false">IF($M2716="","",IFERROR(INDEX(Settings!$B$27:$B$36,MATCH(L2716,Settings!$A$27:$A$36,0))&amp;"","UNMAPPED"))</f>
        <v/>
      </c>
      <c r="T2716" s="37" t="str">
        <f aca="false">IF($M2716="","",IF(NOT(ISNUMBER(R2716)),"NO DATE",IF(S2716="Won",IF(R2716&gt;Settings!$B$5,"Backlog","Delivered"),IF(S2716="Open",IF(R2716&gt;Settings!$B$5,"Pipeline","Overdue"),IF(S2716="Lost","Lost","UNMAPPED")))))</f>
        <v/>
      </c>
      <c r="U2716" s="40" t="n">
        <f aca="false">IF(T2716="Backlog",1,IF(OR(T2716="Pipeline",T2716="Overdue"),N(INDEX(Settings!$C$27:$C$36,MATCH(L2716,Settings!$A$27:$A$36,0))),0))</f>
        <v>0</v>
      </c>
      <c r="V2716" s="38" t="n">
        <f aca="false">Q2716*U2716</f>
        <v>0</v>
      </c>
      <c r="W2716" s="41" t="str">
        <f aca="false">IF($M2716="","",IF(T2716="Overdue",IF(Settings!$B$8="Yes",Settings!$B$7,""),IF(ISNUMBER(R2716),DATE(YEAR(R2716),MONTH(R2716),1),"")))</f>
        <v/>
      </c>
      <c r="X2716" s="38" t="n">
        <f aca="false">IF(AND(OR(T2716="Backlog",T2716="Pipeline",T2716="Overdue"),ISNUMBER(W2716)),IF(W2716&lt;=Settings!$B$6,V2716,0),0)</f>
        <v>0</v>
      </c>
      <c r="Y2716" s="38" t="n">
        <f aca="false">IF(AND(OR(T2716="Backlog",T2716="Pipeline",T2716="Overdue"),ISNUMBER(W2716)),IF(W2716&lt;=Settings!$B$6,Q2716,0),0)</f>
        <v>0</v>
      </c>
      <c r="Z2716" s="38" t="n">
        <f aca="false">IF(Y2716=0,0,IF(T2716="Backlog",Q2716,Q2716*Dashboard!$C$10))</f>
        <v>0</v>
      </c>
      <c r="AA2716" s="37" t="n">
        <f aca="false">IF($N2716="",0,IF(COUNTIF(Dashboard!$C$13:$C$22,$N2716)&gt;0,1,0))</f>
        <v>0</v>
      </c>
      <c r="AB2716" s="37" t="str">
        <f aca="false">IF($N2716="","",IF(COUNTIF($N$8:$N2716,$N2716)=1,MAX($AB$7:$AB2715)+1,""))</f>
        <v/>
      </c>
    </row>
    <row r="2717" customFormat="false" ht="15" hidden="false" customHeight="false" outlineLevel="0" collapsed="false">
      <c r="L2717" s="37" t="str">
        <f aca="false">IF(INDEX($A2717:$J2717,$L$6)&lt;&gt;"",TRIM(LEFT(INDEX($A2717:$J2717,$L$6),FIND("(",INDEX($A2717:$J2717,$L$6)&amp;"(")-1)),L2716)</f>
        <v>Building Value Proposition</v>
      </c>
      <c r="M2717" s="37" t="str">
        <f aca="false">IF(INDEX($A2717:$J2717,$M$6)="","",INDEX($A2717:$J2717,$M$6)&amp;"")</f>
        <v/>
      </c>
      <c r="N2717" s="37" t="str">
        <f aca="false">IF($M2717="","",TRIM(INDEX($A2717:$J2717,$N$6)&amp;""))</f>
        <v/>
      </c>
      <c r="O2717" s="37" t="str">
        <f aca="false">IF($M2717="","",TRIM(INDEX($A2717:$J2717,$O$6)&amp;""))</f>
        <v/>
      </c>
      <c r="P2717" s="37" t="str">
        <f aca="false">IF($M2717="","",IFERROR(IF(INDEX(Settings!$B$41:$B$50,MATCH(O2717,Settings!$A$41:$A$50,0))&amp;""="","UNMAPPED",INDEX(Settings!$B$41:$B$50,MATCH(O2717,Settings!$A$41:$A$50,0))&amp;""),"UNMAPPED"))</f>
        <v/>
      </c>
      <c r="Q2717" s="38" t="n">
        <f aca="false">IF($M2717="",0,N(INDEX($A2717:$J2717,$Q$6)))</f>
        <v>0</v>
      </c>
      <c r="R2717" s="39" t="str">
        <f aca="false">IF($M2717="","",INDEX($A2717:$J2717,$R$6))</f>
        <v/>
      </c>
      <c r="S2717" s="37" t="str">
        <f aca="false">IF($M2717="","",IFERROR(INDEX(Settings!$B$27:$B$36,MATCH(L2717,Settings!$A$27:$A$36,0))&amp;"","UNMAPPED"))</f>
        <v/>
      </c>
      <c r="T2717" s="37" t="str">
        <f aca="false">IF($M2717="","",IF(NOT(ISNUMBER(R2717)),"NO DATE",IF(S2717="Won",IF(R2717&gt;Settings!$B$5,"Backlog","Delivered"),IF(S2717="Open",IF(R2717&gt;Settings!$B$5,"Pipeline","Overdue"),IF(S2717="Lost","Lost","UNMAPPED")))))</f>
        <v/>
      </c>
      <c r="U2717" s="40" t="n">
        <f aca="false">IF(T2717="Backlog",1,IF(OR(T2717="Pipeline",T2717="Overdue"),N(INDEX(Settings!$C$27:$C$36,MATCH(L2717,Settings!$A$27:$A$36,0))),0))</f>
        <v>0</v>
      </c>
      <c r="V2717" s="38" t="n">
        <f aca="false">Q2717*U2717</f>
        <v>0</v>
      </c>
      <c r="W2717" s="41" t="str">
        <f aca="false">IF($M2717="","",IF(T2717="Overdue",IF(Settings!$B$8="Yes",Settings!$B$7,""),IF(ISNUMBER(R2717),DATE(YEAR(R2717),MONTH(R2717),1),"")))</f>
        <v/>
      </c>
      <c r="X2717" s="38" t="n">
        <f aca="false">IF(AND(OR(T2717="Backlog",T2717="Pipeline",T2717="Overdue"),ISNUMBER(W2717)),IF(W2717&lt;=Settings!$B$6,V2717,0),0)</f>
        <v>0</v>
      </c>
      <c r="Y2717" s="38" t="n">
        <f aca="false">IF(AND(OR(T2717="Backlog",T2717="Pipeline",T2717="Overdue"),ISNUMBER(W2717)),IF(W2717&lt;=Settings!$B$6,Q2717,0),0)</f>
        <v>0</v>
      </c>
      <c r="Z2717" s="38" t="n">
        <f aca="false">IF(Y2717=0,0,IF(T2717="Backlog",Q2717,Q2717*Dashboard!$C$10))</f>
        <v>0</v>
      </c>
      <c r="AA2717" s="37" t="n">
        <f aca="false">IF($N2717="",0,IF(COUNTIF(Dashboard!$C$13:$C$22,$N2717)&gt;0,1,0))</f>
        <v>0</v>
      </c>
      <c r="AB2717" s="37" t="str">
        <f aca="false">IF($N2717="","",IF(COUNTIF($N$8:$N2717,$N2717)=1,MAX($AB$7:$AB2716)+1,""))</f>
        <v/>
      </c>
    </row>
    <row r="2718" customFormat="false" ht="15" hidden="false" customHeight="false" outlineLevel="0" collapsed="false">
      <c r="L2718" s="37" t="str">
        <f aca="false">IF(INDEX($A2718:$J2718,$L$6)&lt;&gt;"",TRIM(LEFT(INDEX($A2718:$J2718,$L$6),FIND("(",INDEX($A2718:$J2718,$L$6)&amp;"(")-1)),L2717)</f>
        <v>Building Value Proposition</v>
      </c>
      <c r="M2718" s="37" t="str">
        <f aca="false">IF(INDEX($A2718:$J2718,$M$6)="","",INDEX($A2718:$J2718,$M$6)&amp;"")</f>
        <v/>
      </c>
      <c r="N2718" s="37" t="str">
        <f aca="false">IF($M2718="","",TRIM(INDEX($A2718:$J2718,$N$6)&amp;""))</f>
        <v/>
      </c>
      <c r="O2718" s="37" t="str">
        <f aca="false">IF($M2718="","",TRIM(INDEX($A2718:$J2718,$O$6)&amp;""))</f>
        <v/>
      </c>
      <c r="P2718" s="37" t="str">
        <f aca="false">IF($M2718="","",IFERROR(IF(INDEX(Settings!$B$41:$B$50,MATCH(O2718,Settings!$A$41:$A$50,0))&amp;""="","UNMAPPED",INDEX(Settings!$B$41:$B$50,MATCH(O2718,Settings!$A$41:$A$50,0))&amp;""),"UNMAPPED"))</f>
        <v/>
      </c>
      <c r="Q2718" s="38" t="n">
        <f aca="false">IF($M2718="",0,N(INDEX($A2718:$J2718,$Q$6)))</f>
        <v>0</v>
      </c>
      <c r="R2718" s="39" t="str">
        <f aca="false">IF($M2718="","",INDEX($A2718:$J2718,$R$6))</f>
        <v/>
      </c>
      <c r="S2718" s="37" t="str">
        <f aca="false">IF($M2718="","",IFERROR(INDEX(Settings!$B$27:$B$36,MATCH(L2718,Settings!$A$27:$A$36,0))&amp;"","UNMAPPED"))</f>
        <v/>
      </c>
      <c r="T2718" s="37" t="str">
        <f aca="false">IF($M2718="","",IF(NOT(ISNUMBER(R2718)),"NO DATE",IF(S2718="Won",IF(R2718&gt;Settings!$B$5,"Backlog","Delivered"),IF(S2718="Open",IF(R2718&gt;Settings!$B$5,"Pipeline","Overdue"),IF(S2718="Lost","Lost","UNMAPPED")))))</f>
        <v/>
      </c>
      <c r="U2718" s="40" t="n">
        <f aca="false">IF(T2718="Backlog",1,IF(OR(T2718="Pipeline",T2718="Overdue"),N(INDEX(Settings!$C$27:$C$36,MATCH(L2718,Settings!$A$27:$A$36,0))),0))</f>
        <v>0</v>
      </c>
      <c r="V2718" s="38" t="n">
        <f aca="false">Q2718*U2718</f>
        <v>0</v>
      </c>
      <c r="W2718" s="41" t="str">
        <f aca="false">IF($M2718="","",IF(T2718="Overdue",IF(Settings!$B$8="Yes",Settings!$B$7,""),IF(ISNUMBER(R2718),DATE(YEAR(R2718),MONTH(R2718),1),"")))</f>
        <v/>
      </c>
      <c r="X2718" s="38" t="n">
        <f aca="false">IF(AND(OR(T2718="Backlog",T2718="Pipeline",T2718="Overdue"),ISNUMBER(W2718)),IF(W2718&lt;=Settings!$B$6,V2718,0),0)</f>
        <v>0</v>
      </c>
      <c r="Y2718" s="38" t="n">
        <f aca="false">IF(AND(OR(T2718="Backlog",T2718="Pipeline",T2718="Overdue"),ISNUMBER(W2718)),IF(W2718&lt;=Settings!$B$6,Q2718,0),0)</f>
        <v>0</v>
      </c>
      <c r="Z2718" s="38" t="n">
        <f aca="false">IF(Y2718=0,0,IF(T2718="Backlog",Q2718,Q2718*Dashboard!$C$10))</f>
        <v>0</v>
      </c>
      <c r="AA2718" s="37" t="n">
        <f aca="false">IF($N2718="",0,IF(COUNTIF(Dashboard!$C$13:$C$22,$N2718)&gt;0,1,0))</f>
        <v>0</v>
      </c>
      <c r="AB2718" s="37" t="str">
        <f aca="false">IF($N2718="","",IF(COUNTIF($N$8:$N2718,$N2718)=1,MAX($AB$7:$AB2717)+1,""))</f>
        <v/>
      </c>
    </row>
    <row r="2719" customFormat="false" ht="15" hidden="false" customHeight="false" outlineLevel="0" collapsed="false">
      <c r="L2719" s="37" t="str">
        <f aca="false">IF(INDEX($A2719:$J2719,$L$6)&lt;&gt;"",TRIM(LEFT(INDEX($A2719:$J2719,$L$6),FIND("(",INDEX($A2719:$J2719,$L$6)&amp;"(")-1)),L2718)</f>
        <v>Building Value Proposition</v>
      </c>
      <c r="M2719" s="37" t="str">
        <f aca="false">IF(INDEX($A2719:$J2719,$M$6)="","",INDEX($A2719:$J2719,$M$6)&amp;"")</f>
        <v/>
      </c>
      <c r="N2719" s="37" t="str">
        <f aca="false">IF($M2719="","",TRIM(INDEX($A2719:$J2719,$N$6)&amp;""))</f>
        <v/>
      </c>
      <c r="O2719" s="37" t="str">
        <f aca="false">IF($M2719="","",TRIM(INDEX($A2719:$J2719,$O$6)&amp;""))</f>
        <v/>
      </c>
      <c r="P2719" s="37" t="str">
        <f aca="false">IF($M2719="","",IFERROR(IF(INDEX(Settings!$B$41:$B$50,MATCH(O2719,Settings!$A$41:$A$50,0))&amp;""="","UNMAPPED",INDEX(Settings!$B$41:$B$50,MATCH(O2719,Settings!$A$41:$A$50,0))&amp;""),"UNMAPPED"))</f>
        <v/>
      </c>
      <c r="Q2719" s="38" t="n">
        <f aca="false">IF($M2719="",0,N(INDEX($A2719:$J2719,$Q$6)))</f>
        <v>0</v>
      </c>
      <c r="R2719" s="39" t="str">
        <f aca="false">IF($M2719="","",INDEX($A2719:$J2719,$R$6))</f>
        <v/>
      </c>
      <c r="S2719" s="37" t="str">
        <f aca="false">IF($M2719="","",IFERROR(INDEX(Settings!$B$27:$B$36,MATCH(L2719,Settings!$A$27:$A$36,0))&amp;"","UNMAPPED"))</f>
        <v/>
      </c>
      <c r="T2719" s="37" t="str">
        <f aca="false">IF($M2719="","",IF(NOT(ISNUMBER(R2719)),"NO DATE",IF(S2719="Won",IF(R2719&gt;Settings!$B$5,"Backlog","Delivered"),IF(S2719="Open",IF(R2719&gt;Settings!$B$5,"Pipeline","Overdue"),IF(S2719="Lost","Lost","UNMAPPED")))))</f>
        <v/>
      </c>
      <c r="U2719" s="40" t="n">
        <f aca="false">IF(T2719="Backlog",1,IF(OR(T2719="Pipeline",T2719="Overdue"),N(INDEX(Settings!$C$27:$C$36,MATCH(L2719,Settings!$A$27:$A$36,0))),0))</f>
        <v>0</v>
      </c>
      <c r="V2719" s="38" t="n">
        <f aca="false">Q2719*U2719</f>
        <v>0</v>
      </c>
      <c r="W2719" s="41" t="str">
        <f aca="false">IF($M2719="","",IF(T2719="Overdue",IF(Settings!$B$8="Yes",Settings!$B$7,""),IF(ISNUMBER(R2719),DATE(YEAR(R2719),MONTH(R2719),1),"")))</f>
        <v/>
      </c>
      <c r="X2719" s="38" t="n">
        <f aca="false">IF(AND(OR(T2719="Backlog",T2719="Pipeline",T2719="Overdue"),ISNUMBER(W2719)),IF(W2719&lt;=Settings!$B$6,V2719,0),0)</f>
        <v>0</v>
      </c>
      <c r="Y2719" s="38" t="n">
        <f aca="false">IF(AND(OR(T2719="Backlog",T2719="Pipeline",T2719="Overdue"),ISNUMBER(W2719)),IF(W2719&lt;=Settings!$B$6,Q2719,0),0)</f>
        <v>0</v>
      </c>
      <c r="Z2719" s="38" t="n">
        <f aca="false">IF(Y2719=0,0,IF(T2719="Backlog",Q2719,Q2719*Dashboard!$C$10))</f>
        <v>0</v>
      </c>
      <c r="AA2719" s="37" t="n">
        <f aca="false">IF($N2719="",0,IF(COUNTIF(Dashboard!$C$13:$C$22,$N2719)&gt;0,1,0))</f>
        <v>0</v>
      </c>
      <c r="AB2719" s="37" t="str">
        <f aca="false">IF($N2719="","",IF(COUNTIF($N$8:$N2719,$N2719)=1,MAX($AB$7:$AB2718)+1,""))</f>
        <v/>
      </c>
    </row>
    <row r="2720" customFormat="false" ht="15" hidden="false" customHeight="false" outlineLevel="0" collapsed="false">
      <c r="L2720" s="37" t="str">
        <f aca="false">IF(INDEX($A2720:$J2720,$L$6)&lt;&gt;"",TRIM(LEFT(INDEX($A2720:$J2720,$L$6),FIND("(",INDEX($A2720:$J2720,$L$6)&amp;"(")-1)),L2719)</f>
        <v>Building Value Proposition</v>
      </c>
      <c r="M2720" s="37" t="str">
        <f aca="false">IF(INDEX($A2720:$J2720,$M$6)="","",INDEX($A2720:$J2720,$M$6)&amp;"")</f>
        <v/>
      </c>
      <c r="N2720" s="37" t="str">
        <f aca="false">IF($M2720="","",TRIM(INDEX($A2720:$J2720,$N$6)&amp;""))</f>
        <v/>
      </c>
      <c r="O2720" s="37" t="str">
        <f aca="false">IF($M2720="","",TRIM(INDEX($A2720:$J2720,$O$6)&amp;""))</f>
        <v/>
      </c>
      <c r="P2720" s="37" t="str">
        <f aca="false">IF($M2720="","",IFERROR(IF(INDEX(Settings!$B$41:$B$50,MATCH(O2720,Settings!$A$41:$A$50,0))&amp;""="","UNMAPPED",INDEX(Settings!$B$41:$B$50,MATCH(O2720,Settings!$A$41:$A$50,0))&amp;""),"UNMAPPED"))</f>
        <v/>
      </c>
      <c r="Q2720" s="38" t="n">
        <f aca="false">IF($M2720="",0,N(INDEX($A2720:$J2720,$Q$6)))</f>
        <v>0</v>
      </c>
      <c r="R2720" s="39" t="str">
        <f aca="false">IF($M2720="","",INDEX($A2720:$J2720,$R$6))</f>
        <v/>
      </c>
      <c r="S2720" s="37" t="str">
        <f aca="false">IF($M2720="","",IFERROR(INDEX(Settings!$B$27:$B$36,MATCH(L2720,Settings!$A$27:$A$36,0))&amp;"","UNMAPPED"))</f>
        <v/>
      </c>
      <c r="T2720" s="37" t="str">
        <f aca="false">IF($M2720="","",IF(NOT(ISNUMBER(R2720)),"NO DATE",IF(S2720="Won",IF(R2720&gt;Settings!$B$5,"Backlog","Delivered"),IF(S2720="Open",IF(R2720&gt;Settings!$B$5,"Pipeline","Overdue"),IF(S2720="Lost","Lost","UNMAPPED")))))</f>
        <v/>
      </c>
      <c r="U2720" s="40" t="n">
        <f aca="false">IF(T2720="Backlog",1,IF(OR(T2720="Pipeline",T2720="Overdue"),N(INDEX(Settings!$C$27:$C$36,MATCH(L2720,Settings!$A$27:$A$36,0))),0))</f>
        <v>0</v>
      </c>
      <c r="V2720" s="38" t="n">
        <f aca="false">Q2720*U2720</f>
        <v>0</v>
      </c>
      <c r="W2720" s="41" t="str">
        <f aca="false">IF($M2720="","",IF(T2720="Overdue",IF(Settings!$B$8="Yes",Settings!$B$7,""),IF(ISNUMBER(R2720),DATE(YEAR(R2720),MONTH(R2720),1),"")))</f>
        <v/>
      </c>
      <c r="X2720" s="38" t="n">
        <f aca="false">IF(AND(OR(T2720="Backlog",T2720="Pipeline",T2720="Overdue"),ISNUMBER(W2720)),IF(W2720&lt;=Settings!$B$6,V2720,0),0)</f>
        <v>0</v>
      </c>
      <c r="Y2720" s="38" t="n">
        <f aca="false">IF(AND(OR(T2720="Backlog",T2720="Pipeline",T2720="Overdue"),ISNUMBER(W2720)),IF(W2720&lt;=Settings!$B$6,Q2720,0),0)</f>
        <v>0</v>
      </c>
      <c r="Z2720" s="38" t="n">
        <f aca="false">IF(Y2720=0,0,IF(T2720="Backlog",Q2720,Q2720*Dashboard!$C$10))</f>
        <v>0</v>
      </c>
      <c r="AA2720" s="37" t="n">
        <f aca="false">IF($N2720="",0,IF(COUNTIF(Dashboard!$C$13:$C$22,$N2720)&gt;0,1,0))</f>
        <v>0</v>
      </c>
      <c r="AB2720" s="37" t="str">
        <f aca="false">IF($N2720="","",IF(COUNTIF($N$8:$N2720,$N2720)=1,MAX($AB$7:$AB2719)+1,""))</f>
        <v/>
      </c>
    </row>
    <row r="2721" customFormat="false" ht="15" hidden="false" customHeight="false" outlineLevel="0" collapsed="false">
      <c r="L2721" s="37" t="str">
        <f aca="false">IF(INDEX($A2721:$J2721,$L$6)&lt;&gt;"",TRIM(LEFT(INDEX($A2721:$J2721,$L$6),FIND("(",INDEX($A2721:$J2721,$L$6)&amp;"(")-1)),L2720)</f>
        <v>Building Value Proposition</v>
      </c>
      <c r="M2721" s="37" t="str">
        <f aca="false">IF(INDEX($A2721:$J2721,$M$6)="","",INDEX($A2721:$J2721,$M$6)&amp;"")</f>
        <v/>
      </c>
      <c r="N2721" s="37" t="str">
        <f aca="false">IF($M2721="","",TRIM(INDEX($A2721:$J2721,$N$6)&amp;""))</f>
        <v/>
      </c>
      <c r="O2721" s="37" t="str">
        <f aca="false">IF($M2721="","",TRIM(INDEX($A2721:$J2721,$O$6)&amp;""))</f>
        <v/>
      </c>
      <c r="P2721" s="37" t="str">
        <f aca="false">IF($M2721="","",IFERROR(IF(INDEX(Settings!$B$41:$B$50,MATCH(O2721,Settings!$A$41:$A$50,0))&amp;""="","UNMAPPED",INDEX(Settings!$B$41:$B$50,MATCH(O2721,Settings!$A$41:$A$50,0))&amp;""),"UNMAPPED"))</f>
        <v/>
      </c>
      <c r="Q2721" s="38" t="n">
        <f aca="false">IF($M2721="",0,N(INDEX($A2721:$J2721,$Q$6)))</f>
        <v>0</v>
      </c>
      <c r="R2721" s="39" t="str">
        <f aca="false">IF($M2721="","",INDEX($A2721:$J2721,$R$6))</f>
        <v/>
      </c>
      <c r="S2721" s="37" t="str">
        <f aca="false">IF($M2721="","",IFERROR(INDEX(Settings!$B$27:$B$36,MATCH(L2721,Settings!$A$27:$A$36,0))&amp;"","UNMAPPED"))</f>
        <v/>
      </c>
      <c r="T2721" s="37" t="str">
        <f aca="false">IF($M2721="","",IF(NOT(ISNUMBER(R2721)),"NO DATE",IF(S2721="Won",IF(R2721&gt;Settings!$B$5,"Backlog","Delivered"),IF(S2721="Open",IF(R2721&gt;Settings!$B$5,"Pipeline","Overdue"),IF(S2721="Lost","Lost","UNMAPPED")))))</f>
        <v/>
      </c>
      <c r="U2721" s="40" t="n">
        <f aca="false">IF(T2721="Backlog",1,IF(OR(T2721="Pipeline",T2721="Overdue"),N(INDEX(Settings!$C$27:$C$36,MATCH(L2721,Settings!$A$27:$A$36,0))),0))</f>
        <v>0</v>
      </c>
      <c r="V2721" s="38" t="n">
        <f aca="false">Q2721*U2721</f>
        <v>0</v>
      </c>
      <c r="W2721" s="41" t="str">
        <f aca="false">IF($M2721="","",IF(T2721="Overdue",IF(Settings!$B$8="Yes",Settings!$B$7,""),IF(ISNUMBER(R2721),DATE(YEAR(R2721),MONTH(R2721),1),"")))</f>
        <v/>
      </c>
      <c r="X2721" s="38" t="n">
        <f aca="false">IF(AND(OR(T2721="Backlog",T2721="Pipeline",T2721="Overdue"),ISNUMBER(W2721)),IF(W2721&lt;=Settings!$B$6,V2721,0),0)</f>
        <v>0</v>
      </c>
      <c r="Y2721" s="38" t="n">
        <f aca="false">IF(AND(OR(T2721="Backlog",T2721="Pipeline",T2721="Overdue"),ISNUMBER(W2721)),IF(W2721&lt;=Settings!$B$6,Q2721,0),0)</f>
        <v>0</v>
      </c>
      <c r="Z2721" s="38" t="n">
        <f aca="false">IF(Y2721=0,0,IF(T2721="Backlog",Q2721,Q2721*Dashboard!$C$10))</f>
        <v>0</v>
      </c>
      <c r="AA2721" s="37" t="n">
        <f aca="false">IF($N2721="",0,IF(COUNTIF(Dashboard!$C$13:$C$22,$N2721)&gt;0,1,0))</f>
        <v>0</v>
      </c>
      <c r="AB2721" s="37" t="str">
        <f aca="false">IF($N2721="","",IF(COUNTIF($N$8:$N2721,$N2721)=1,MAX($AB$7:$AB2720)+1,""))</f>
        <v/>
      </c>
    </row>
    <row r="2722" customFormat="false" ht="15" hidden="false" customHeight="false" outlineLevel="0" collapsed="false">
      <c r="L2722" s="37" t="str">
        <f aca="false">IF(INDEX($A2722:$J2722,$L$6)&lt;&gt;"",TRIM(LEFT(INDEX($A2722:$J2722,$L$6),FIND("(",INDEX($A2722:$J2722,$L$6)&amp;"(")-1)),L2721)</f>
        <v>Building Value Proposition</v>
      </c>
      <c r="M2722" s="37" t="str">
        <f aca="false">IF(INDEX($A2722:$J2722,$M$6)="","",INDEX($A2722:$J2722,$M$6)&amp;"")</f>
        <v/>
      </c>
      <c r="N2722" s="37" t="str">
        <f aca="false">IF($M2722="","",TRIM(INDEX($A2722:$J2722,$N$6)&amp;""))</f>
        <v/>
      </c>
      <c r="O2722" s="37" t="str">
        <f aca="false">IF($M2722="","",TRIM(INDEX($A2722:$J2722,$O$6)&amp;""))</f>
        <v/>
      </c>
      <c r="P2722" s="37" t="str">
        <f aca="false">IF($M2722="","",IFERROR(IF(INDEX(Settings!$B$41:$B$50,MATCH(O2722,Settings!$A$41:$A$50,0))&amp;""="","UNMAPPED",INDEX(Settings!$B$41:$B$50,MATCH(O2722,Settings!$A$41:$A$50,0))&amp;""),"UNMAPPED"))</f>
        <v/>
      </c>
      <c r="Q2722" s="38" t="n">
        <f aca="false">IF($M2722="",0,N(INDEX($A2722:$J2722,$Q$6)))</f>
        <v>0</v>
      </c>
      <c r="R2722" s="39" t="str">
        <f aca="false">IF($M2722="","",INDEX($A2722:$J2722,$R$6))</f>
        <v/>
      </c>
      <c r="S2722" s="37" t="str">
        <f aca="false">IF($M2722="","",IFERROR(INDEX(Settings!$B$27:$B$36,MATCH(L2722,Settings!$A$27:$A$36,0))&amp;"","UNMAPPED"))</f>
        <v/>
      </c>
      <c r="T2722" s="37" t="str">
        <f aca="false">IF($M2722="","",IF(NOT(ISNUMBER(R2722)),"NO DATE",IF(S2722="Won",IF(R2722&gt;Settings!$B$5,"Backlog","Delivered"),IF(S2722="Open",IF(R2722&gt;Settings!$B$5,"Pipeline","Overdue"),IF(S2722="Lost","Lost","UNMAPPED")))))</f>
        <v/>
      </c>
      <c r="U2722" s="40" t="n">
        <f aca="false">IF(T2722="Backlog",1,IF(OR(T2722="Pipeline",T2722="Overdue"),N(INDEX(Settings!$C$27:$C$36,MATCH(L2722,Settings!$A$27:$A$36,0))),0))</f>
        <v>0</v>
      </c>
      <c r="V2722" s="38" t="n">
        <f aca="false">Q2722*U2722</f>
        <v>0</v>
      </c>
      <c r="W2722" s="41" t="str">
        <f aca="false">IF($M2722="","",IF(T2722="Overdue",IF(Settings!$B$8="Yes",Settings!$B$7,""),IF(ISNUMBER(R2722),DATE(YEAR(R2722),MONTH(R2722),1),"")))</f>
        <v/>
      </c>
      <c r="X2722" s="38" t="n">
        <f aca="false">IF(AND(OR(T2722="Backlog",T2722="Pipeline",T2722="Overdue"),ISNUMBER(W2722)),IF(W2722&lt;=Settings!$B$6,V2722,0),0)</f>
        <v>0</v>
      </c>
      <c r="Y2722" s="38" t="n">
        <f aca="false">IF(AND(OR(T2722="Backlog",T2722="Pipeline",T2722="Overdue"),ISNUMBER(W2722)),IF(W2722&lt;=Settings!$B$6,Q2722,0),0)</f>
        <v>0</v>
      </c>
      <c r="Z2722" s="38" t="n">
        <f aca="false">IF(Y2722=0,0,IF(T2722="Backlog",Q2722,Q2722*Dashboard!$C$10))</f>
        <v>0</v>
      </c>
      <c r="AA2722" s="37" t="n">
        <f aca="false">IF($N2722="",0,IF(COUNTIF(Dashboard!$C$13:$C$22,$N2722)&gt;0,1,0))</f>
        <v>0</v>
      </c>
      <c r="AB2722" s="37" t="str">
        <f aca="false">IF($N2722="","",IF(COUNTIF($N$8:$N2722,$N2722)=1,MAX($AB$7:$AB2721)+1,""))</f>
        <v/>
      </c>
    </row>
    <row r="2723" customFormat="false" ht="15" hidden="false" customHeight="false" outlineLevel="0" collapsed="false">
      <c r="L2723" s="37" t="str">
        <f aca="false">IF(INDEX($A2723:$J2723,$L$6)&lt;&gt;"",TRIM(LEFT(INDEX($A2723:$J2723,$L$6),FIND("(",INDEX($A2723:$J2723,$L$6)&amp;"(")-1)),L2722)</f>
        <v>Building Value Proposition</v>
      </c>
      <c r="M2723" s="37" t="str">
        <f aca="false">IF(INDEX($A2723:$J2723,$M$6)="","",INDEX($A2723:$J2723,$M$6)&amp;"")</f>
        <v/>
      </c>
      <c r="N2723" s="37" t="str">
        <f aca="false">IF($M2723="","",TRIM(INDEX($A2723:$J2723,$N$6)&amp;""))</f>
        <v/>
      </c>
      <c r="O2723" s="37" t="str">
        <f aca="false">IF($M2723="","",TRIM(INDEX($A2723:$J2723,$O$6)&amp;""))</f>
        <v/>
      </c>
      <c r="P2723" s="37" t="str">
        <f aca="false">IF($M2723="","",IFERROR(IF(INDEX(Settings!$B$41:$B$50,MATCH(O2723,Settings!$A$41:$A$50,0))&amp;""="","UNMAPPED",INDEX(Settings!$B$41:$B$50,MATCH(O2723,Settings!$A$41:$A$50,0))&amp;""),"UNMAPPED"))</f>
        <v/>
      </c>
      <c r="Q2723" s="38" t="n">
        <f aca="false">IF($M2723="",0,N(INDEX($A2723:$J2723,$Q$6)))</f>
        <v>0</v>
      </c>
      <c r="R2723" s="39" t="str">
        <f aca="false">IF($M2723="","",INDEX($A2723:$J2723,$R$6))</f>
        <v/>
      </c>
      <c r="S2723" s="37" t="str">
        <f aca="false">IF($M2723="","",IFERROR(INDEX(Settings!$B$27:$B$36,MATCH(L2723,Settings!$A$27:$A$36,0))&amp;"","UNMAPPED"))</f>
        <v/>
      </c>
      <c r="T2723" s="37" t="str">
        <f aca="false">IF($M2723="","",IF(NOT(ISNUMBER(R2723)),"NO DATE",IF(S2723="Won",IF(R2723&gt;Settings!$B$5,"Backlog","Delivered"),IF(S2723="Open",IF(R2723&gt;Settings!$B$5,"Pipeline","Overdue"),IF(S2723="Lost","Lost","UNMAPPED")))))</f>
        <v/>
      </c>
      <c r="U2723" s="40" t="n">
        <f aca="false">IF(T2723="Backlog",1,IF(OR(T2723="Pipeline",T2723="Overdue"),N(INDEX(Settings!$C$27:$C$36,MATCH(L2723,Settings!$A$27:$A$36,0))),0))</f>
        <v>0</v>
      </c>
      <c r="V2723" s="38" t="n">
        <f aca="false">Q2723*U2723</f>
        <v>0</v>
      </c>
      <c r="W2723" s="41" t="str">
        <f aca="false">IF($M2723="","",IF(T2723="Overdue",IF(Settings!$B$8="Yes",Settings!$B$7,""),IF(ISNUMBER(R2723),DATE(YEAR(R2723),MONTH(R2723),1),"")))</f>
        <v/>
      </c>
      <c r="X2723" s="38" t="n">
        <f aca="false">IF(AND(OR(T2723="Backlog",T2723="Pipeline",T2723="Overdue"),ISNUMBER(W2723)),IF(W2723&lt;=Settings!$B$6,V2723,0),0)</f>
        <v>0</v>
      </c>
      <c r="Y2723" s="38" t="n">
        <f aca="false">IF(AND(OR(T2723="Backlog",T2723="Pipeline",T2723="Overdue"),ISNUMBER(W2723)),IF(W2723&lt;=Settings!$B$6,Q2723,0),0)</f>
        <v>0</v>
      </c>
      <c r="Z2723" s="38" t="n">
        <f aca="false">IF(Y2723=0,0,IF(T2723="Backlog",Q2723,Q2723*Dashboard!$C$10))</f>
        <v>0</v>
      </c>
      <c r="AA2723" s="37" t="n">
        <f aca="false">IF($N2723="",0,IF(COUNTIF(Dashboard!$C$13:$C$22,$N2723)&gt;0,1,0))</f>
        <v>0</v>
      </c>
      <c r="AB2723" s="37" t="str">
        <f aca="false">IF($N2723="","",IF(COUNTIF($N$8:$N2723,$N2723)=1,MAX($AB$7:$AB2722)+1,""))</f>
        <v/>
      </c>
    </row>
    <row r="2724" customFormat="false" ht="15" hidden="false" customHeight="false" outlineLevel="0" collapsed="false">
      <c r="L2724" s="37" t="str">
        <f aca="false">IF(INDEX($A2724:$J2724,$L$6)&lt;&gt;"",TRIM(LEFT(INDEX($A2724:$J2724,$L$6),FIND("(",INDEX($A2724:$J2724,$L$6)&amp;"(")-1)),L2723)</f>
        <v>Building Value Proposition</v>
      </c>
      <c r="M2724" s="37" t="str">
        <f aca="false">IF(INDEX($A2724:$J2724,$M$6)="","",INDEX($A2724:$J2724,$M$6)&amp;"")</f>
        <v/>
      </c>
      <c r="N2724" s="37" t="str">
        <f aca="false">IF($M2724="","",TRIM(INDEX($A2724:$J2724,$N$6)&amp;""))</f>
        <v/>
      </c>
      <c r="O2724" s="37" t="str">
        <f aca="false">IF($M2724="","",TRIM(INDEX($A2724:$J2724,$O$6)&amp;""))</f>
        <v/>
      </c>
      <c r="P2724" s="37" t="str">
        <f aca="false">IF($M2724="","",IFERROR(IF(INDEX(Settings!$B$41:$B$50,MATCH(O2724,Settings!$A$41:$A$50,0))&amp;""="","UNMAPPED",INDEX(Settings!$B$41:$B$50,MATCH(O2724,Settings!$A$41:$A$50,0))&amp;""),"UNMAPPED"))</f>
        <v/>
      </c>
      <c r="Q2724" s="38" t="n">
        <f aca="false">IF($M2724="",0,N(INDEX($A2724:$J2724,$Q$6)))</f>
        <v>0</v>
      </c>
      <c r="R2724" s="39" t="str">
        <f aca="false">IF($M2724="","",INDEX($A2724:$J2724,$R$6))</f>
        <v/>
      </c>
      <c r="S2724" s="37" t="str">
        <f aca="false">IF($M2724="","",IFERROR(INDEX(Settings!$B$27:$B$36,MATCH(L2724,Settings!$A$27:$A$36,0))&amp;"","UNMAPPED"))</f>
        <v/>
      </c>
      <c r="T2724" s="37" t="str">
        <f aca="false">IF($M2724="","",IF(NOT(ISNUMBER(R2724)),"NO DATE",IF(S2724="Won",IF(R2724&gt;Settings!$B$5,"Backlog","Delivered"),IF(S2724="Open",IF(R2724&gt;Settings!$B$5,"Pipeline","Overdue"),IF(S2724="Lost","Lost","UNMAPPED")))))</f>
        <v/>
      </c>
      <c r="U2724" s="40" t="n">
        <f aca="false">IF(T2724="Backlog",1,IF(OR(T2724="Pipeline",T2724="Overdue"),N(INDEX(Settings!$C$27:$C$36,MATCH(L2724,Settings!$A$27:$A$36,0))),0))</f>
        <v>0</v>
      </c>
      <c r="V2724" s="38" t="n">
        <f aca="false">Q2724*U2724</f>
        <v>0</v>
      </c>
      <c r="W2724" s="41" t="str">
        <f aca="false">IF($M2724="","",IF(T2724="Overdue",IF(Settings!$B$8="Yes",Settings!$B$7,""),IF(ISNUMBER(R2724),DATE(YEAR(R2724),MONTH(R2724),1),"")))</f>
        <v/>
      </c>
      <c r="X2724" s="38" t="n">
        <f aca="false">IF(AND(OR(T2724="Backlog",T2724="Pipeline",T2724="Overdue"),ISNUMBER(W2724)),IF(W2724&lt;=Settings!$B$6,V2724,0),0)</f>
        <v>0</v>
      </c>
      <c r="Y2724" s="38" t="n">
        <f aca="false">IF(AND(OR(T2724="Backlog",T2724="Pipeline",T2724="Overdue"),ISNUMBER(W2724)),IF(W2724&lt;=Settings!$B$6,Q2724,0),0)</f>
        <v>0</v>
      </c>
      <c r="Z2724" s="38" t="n">
        <f aca="false">IF(Y2724=0,0,IF(T2724="Backlog",Q2724,Q2724*Dashboard!$C$10))</f>
        <v>0</v>
      </c>
      <c r="AA2724" s="37" t="n">
        <f aca="false">IF($N2724="",0,IF(COUNTIF(Dashboard!$C$13:$C$22,$N2724)&gt;0,1,0))</f>
        <v>0</v>
      </c>
      <c r="AB2724" s="37" t="str">
        <f aca="false">IF($N2724="","",IF(COUNTIF($N$8:$N2724,$N2724)=1,MAX($AB$7:$AB2723)+1,""))</f>
        <v/>
      </c>
    </row>
    <row r="2725" customFormat="false" ht="15" hidden="false" customHeight="false" outlineLevel="0" collapsed="false">
      <c r="L2725" s="37" t="str">
        <f aca="false">IF(INDEX($A2725:$J2725,$L$6)&lt;&gt;"",TRIM(LEFT(INDEX($A2725:$J2725,$L$6),FIND("(",INDEX($A2725:$J2725,$L$6)&amp;"(")-1)),L2724)</f>
        <v>Building Value Proposition</v>
      </c>
      <c r="M2725" s="37" t="str">
        <f aca="false">IF(INDEX($A2725:$J2725,$M$6)="","",INDEX($A2725:$J2725,$M$6)&amp;"")</f>
        <v/>
      </c>
      <c r="N2725" s="37" t="str">
        <f aca="false">IF($M2725="","",TRIM(INDEX($A2725:$J2725,$N$6)&amp;""))</f>
        <v/>
      </c>
      <c r="O2725" s="37" t="str">
        <f aca="false">IF($M2725="","",TRIM(INDEX($A2725:$J2725,$O$6)&amp;""))</f>
        <v/>
      </c>
      <c r="P2725" s="37" t="str">
        <f aca="false">IF($M2725="","",IFERROR(IF(INDEX(Settings!$B$41:$B$50,MATCH(O2725,Settings!$A$41:$A$50,0))&amp;""="","UNMAPPED",INDEX(Settings!$B$41:$B$50,MATCH(O2725,Settings!$A$41:$A$50,0))&amp;""),"UNMAPPED"))</f>
        <v/>
      </c>
      <c r="Q2725" s="38" t="n">
        <f aca="false">IF($M2725="",0,N(INDEX($A2725:$J2725,$Q$6)))</f>
        <v>0</v>
      </c>
      <c r="R2725" s="39" t="str">
        <f aca="false">IF($M2725="","",INDEX($A2725:$J2725,$R$6))</f>
        <v/>
      </c>
      <c r="S2725" s="37" t="str">
        <f aca="false">IF($M2725="","",IFERROR(INDEX(Settings!$B$27:$B$36,MATCH(L2725,Settings!$A$27:$A$36,0))&amp;"","UNMAPPED"))</f>
        <v/>
      </c>
      <c r="T2725" s="37" t="str">
        <f aca="false">IF($M2725="","",IF(NOT(ISNUMBER(R2725)),"NO DATE",IF(S2725="Won",IF(R2725&gt;Settings!$B$5,"Backlog","Delivered"),IF(S2725="Open",IF(R2725&gt;Settings!$B$5,"Pipeline","Overdue"),IF(S2725="Lost","Lost","UNMAPPED")))))</f>
        <v/>
      </c>
      <c r="U2725" s="40" t="n">
        <f aca="false">IF(T2725="Backlog",1,IF(OR(T2725="Pipeline",T2725="Overdue"),N(INDEX(Settings!$C$27:$C$36,MATCH(L2725,Settings!$A$27:$A$36,0))),0))</f>
        <v>0</v>
      </c>
      <c r="V2725" s="38" t="n">
        <f aca="false">Q2725*U2725</f>
        <v>0</v>
      </c>
      <c r="W2725" s="41" t="str">
        <f aca="false">IF($M2725="","",IF(T2725="Overdue",IF(Settings!$B$8="Yes",Settings!$B$7,""),IF(ISNUMBER(R2725),DATE(YEAR(R2725),MONTH(R2725),1),"")))</f>
        <v/>
      </c>
      <c r="X2725" s="38" t="n">
        <f aca="false">IF(AND(OR(T2725="Backlog",T2725="Pipeline",T2725="Overdue"),ISNUMBER(W2725)),IF(W2725&lt;=Settings!$B$6,V2725,0),0)</f>
        <v>0</v>
      </c>
      <c r="Y2725" s="38" t="n">
        <f aca="false">IF(AND(OR(T2725="Backlog",T2725="Pipeline",T2725="Overdue"),ISNUMBER(W2725)),IF(W2725&lt;=Settings!$B$6,Q2725,0),0)</f>
        <v>0</v>
      </c>
      <c r="Z2725" s="38" t="n">
        <f aca="false">IF(Y2725=0,0,IF(T2725="Backlog",Q2725,Q2725*Dashboard!$C$10))</f>
        <v>0</v>
      </c>
      <c r="AA2725" s="37" t="n">
        <f aca="false">IF($N2725="",0,IF(COUNTIF(Dashboard!$C$13:$C$22,$N2725)&gt;0,1,0))</f>
        <v>0</v>
      </c>
      <c r="AB2725" s="37" t="str">
        <f aca="false">IF($N2725="","",IF(COUNTIF($N$8:$N2725,$N2725)=1,MAX($AB$7:$AB2724)+1,""))</f>
        <v/>
      </c>
    </row>
    <row r="2726" customFormat="false" ht="15" hidden="false" customHeight="false" outlineLevel="0" collapsed="false">
      <c r="L2726" s="37" t="str">
        <f aca="false">IF(INDEX($A2726:$J2726,$L$6)&lt;&gt;"",TRIM(LEFT(INDEX($A2726:$J2726,$L$6),FIND("(",INDEX($A2726:$J2726,$L$6)&amp;"(")-1)),L2725)</f>
        <v>Building Value Proposition</v>
      </c>
      <c r="M2726" s="37" t="str">
        <f aca="false">IF(INDEX($A2726:$J2726,$M$6)="","",INDEX($A2726:$J2726,$M$6)&amp;"")</f>
        <v/>
      </c>
      <c r="N2726" s="37" t="str">
        <f aca="false">IF($M2726="","",TRIM(INDEX($A2726:$J2726,$N$6)&amp;""))</f>
        <v/>
      </c>
      <c r="O2726" s="37" t="str">
        <f aca="false">IF($M2726="","",TRIM(INDEX($A2726:$J2726,$O$6)&amp;""))</f>
        <v/>
      </c>
      <c r="P2726" s="37" t="str">
        <f aca="false">IF($M2726="","",IFERROR(IF(INDEX(Settings!$B$41:$B$50,MATCH(O2726,Settings!$A$41:$A$50,0))&amp;""="","UNMAPPED",INDEX(Settings!$B$41:$B$50,MATCH(O2726,Settings!$A$41:$A$50,0))&amp;""),"UNMAPPED"))</f>
        <v/>
      </c>
      <c r="Q2726" s="38" t="n">
        <f aca="false">IF($M2726="",0,N(INDEX($A2726:$J2726,$Q$6)))</f>
        <v>0</v>
      </c>
      <c r="R2726" s="39" t="str">
        <f aca="false">IF($M2726="","",INDEX($A2726:$J2726,$R$6))</f>
        <v/>
      </c>
      <c r="S2726" s="37" t="str">
        <f aca="false">IF($M2726="","",IFERROR(INDEX(Settings!$B$27:$B$36,MATCH(L2726,Settings!$A$27:$A$36,0))&amp;"","UNMAPPED"))</f>
        <v/>
      </c>
      <c r="T2726" s="37" t="str">
        <f aca="false">IF($M2726="","",IF(NOT(ISNUMBER(R2726)),"NO DATE",IF(S2726="Won",IF(R2726&gt;Settings!$B$5,"Backlog","Delivered"),IF(S2726="Open",IF(R2726&gt;Settings!$B$5,"Pipeline","Overdue"),IF(S2726="Lost","Lost","UNMAPPED")))))</f>
        <v/>
      </c>
      <c r="U2726" s="40" t="n">
        <f aca="false">IF(T2726="Backlog",1,IF(OR(T2726="Pipeline",T2726="Overdue"),N(INDEX(Settings!$C$27:$C$36,MATCH(L2726,Settings!$A$27:$A$36,0))),0))</f>
        <v>0</v>
      </c>
      <c r="V2726" s="38" t="n">
        <f aca="false">Q2726*U2726</f>
        <v>0</v>
      </c>
      <c r="W2726" s="41" t="str">
        <f aca="false">IF($M2726="","",IF(T2726="Overdue",IF(Settings!$B$8="Yes",Settings!$B$7,""),IF(ISNUMBER(R2726),DATE(YEAR(R2726),MONTH(R2726),1),"")))</f>
        <v/>
      </c>
      <c r="X2726" s="38" t="n">
        <f aca="false">IF(AND(OR(T2726="Backlog",T2726="Pipeline",T2726="Overdue"),ISNUMBER(W2726)),IF(W2726&lt;=Settings!$B$6,V2726,0),0)</f>
        <v>0</v>
      </c>
      <c r="Y2726" s="38" t="n">
        <f aca="false">IF(AND(OR(T2726="Backlog",T2726="Pipeline",T2726="Overdue"),ISNUMBER(W2726)),IF(W2726&lt;=Settings!$B$6,Q2726,0),0)</f>
        <v>0</v>
      </c>
      <c r="Z2726" s="38" t="n">
        <f aca="false">IF(Y2726=0,0,IF(T2726="Backlog",Q2726,Q2726*Dashboard!$C$10))</f>
        <v>0</v>
      </c>
      <c r="AA2726" s="37" t="n">
        <f aca="false">IF($N2726="",0,IF(COUNTIF(Dashboard!$C$13:$C$22,$N2726)&gt;0,1,0))</f>
        <v>0</v>
      </c>
      <c r="AB2726" s="37" t="str">
        <f aca="false">IF($N2726="","",IF(COUNTIF($N$8:$N2726,$N2726)=1,MAX($AB$7:$AB2725)+1,""))</f>
        <v/>
      </c>
    </row>
    <row r="2727" customFormat="false" ht="15" hidden="false" customHeight="false" outlineLevel="0" collapsed="false">
      <c r="L2727" s="37" t="str">
        <f aca="false">IF(INDEX($A2727:$J2727,$L$6)&lt;&gt;"",TRIM(LEFT(INDEX($A2727:$J2727,$L$6),FIND("(",INDEX($A2727:$J2727,$L$6)&amp;"(")-1)),L2726)</f>
        <v>Building Value Proposition</v>
      </c>
      <c r="M2727" s="37" t="str">
        <f aca="false">IF(INDEX($A2727:$J2727,$M$6)="","",INDEX($A2727:$J2727,$M$6)&amp;"")</f>
        <v/>
      </c>
      <c r="N2727" s="37" t="str">
        <f aca="false">IF($M2727="","",TRIM(INDEX($A2727:$J2727,$N$6)&amp;""))</f>
        <v/>
      </c>
      <c r="O2727" s="37" t="str">
        <f aca="false">IF($M2727="","",TRIM(INDEX($A2727:$J2727,$O$6)&amp;""))</f>
        <v/>
      </c>
      <c r="P2727" s="37" t="str">
        <f aca="false">IF($M2727="","",IFERROR(IF(INDEX(Settings!$B$41:$B$50,MATCH(O2727,Settings!$A$41:$A$50,0))&amp;""="","UNMAPPED",INDEX(Settings!$B$41:$B$50,MATCH(O2727,Settings!$A$41:$A$50,0))&amp;""),"UNMAPPED"))</f>
        <v/>
      </c>
      <c r="Q2727" s="38" t="n">
        <f aca="false">IF($M2727="",0,N(INDEX($A2727:$J2727,$Q$6)))</f>
        <v>0</v>
      </c>
      <c r="R2727" s="39" t="str">
        <f aca="false">IF($M2727="","",INDEX($A2727:$J2727,$R$6))</f>
        <v/>
      </c>
      <c r="S2727" s="37" t="str">
        <f aca="false">IF($M2727="","",IFERROR(INDEX(Settings!$B$27:$B$36,MATCH(L2727,Settings!$A$27:$A$36,0))&amp;"","UNMAPPED"))</f>
        <v/>
      </c>
      <c r="T2727" s="37" t="str">
        <f aca="false">IF($M2727="","",IF(NOT(ISNUMBER(R2727)),"NO DATE",IF(S2727="Won",IF(R2727&gt;Settings!$B$5,"Backlog","Delivered"),IF(S2727="Open",IF(R2727&gt;Settings!$B$5,"Pipeline","Overdue"),IF(S2727="Lost","Lost","UNMAPPED")))))</f>
        <v/>
      </c>
      <c r="U2727" s="40" t="n">
        <f aca="false">IF(T2727="Backlog",1,IF(OR(T2727="Pipeline",T2727="Overdue"),N(INDEX(Settings!$C$27:$C$36,MATCH(L2727,Settings!$A$27:$A$36,0))),0))</f>
        <v>0</v>
      </c>
      <c r="V2727" s="38" t="n">
        <f aca="false">Q2727*U2727</f>
        <v>0</v>
      </c>
      <c r="W2727" s="41" t="str">
        <f aca="false">IF($M2727="","",IF(T2727="Overdue",IF(Settings!$B$8="Yes",Settings!$B$7,""),IF(ISNUMBER(R2727),DATE(YEAR(R2727),MONTH(R2727),1),"")))</f>
        <v/>
      </c>
      <c r="X2727" s="38" t="n">
        <f aca="false">IF(AND(OR(T2727="Backlog",T2727="Pipeline",T2727="Overdue"),ISNUMBER(W2727)),IF(W2727&lt;=Settings!$B$6,V2727,0),0)</f>
        <v>0</v>
      </c>
      <c r="Y2727" s="38" t="n">
        <f aca="false">IF(AND(OR(T2727="Backlog",T2727="Pipeline",T2727="Overdue"),ISNUMBER(W2727)),IF(W2727&lt;=Settings!$B$6,Q2727,0),0)</f>
        <v>0</v>
      </c>
      <c r="Z2727" s="38" t="n">
        <f aca="false">IF(Y2727=0,0,IF(T2727="Backlog",Q2727,Q2727*Dashboard!$C$10))</f>
        <v>0</v>
      </c>
      <c r="AA2727" s="37" t="n">
        <f aca="false">IF($N2727="",0,IF(COUNTIF(Dashboard!$C$13:$C$22,$N2727)&gt;0,1,0))</f>
        <v>0</v>
      </c>
      <c r="AB2727" s="37" t="str">
        <f aca="false">IF($N2727="","",IF(COUNTIF($N$8:$N2727,$N2727)=1,MAX($AB$7:$AB2726)+1,""))</f>
        <v/>
      </c>
    </row>
    <row r="2728" customFormat="false" ht="15" hidden="false" customHeight="false" outlineLevel="0" collapsed="false">
      <c r="L2728" s="37" t="str">
        <f aca="false">IF(INDEX($A2728:$J2728,$L$6)&lt;&gt;"",TRIM(LEFT(INDEX($A2728:$J2728,$L$6),FIND("(",INDEX($A2728:$J2728,$L$6)&amp;"(")-1)),L2727)</f>
        <v>Building Value Proposition</v>
      </c>
      <c r="M2728" s="37" t="str">
        <f aca="false">IF(INDEX($A2728:$J2728,$M$6)="","",INDEX($A2728:$J2728,$M$6)&amp;"")</f>
        <v/>
      </c>
      <c r="N2728" s="37" t="str">
        <f aca="false">IF($M2728="","",TRIM(INDEX($A2728:$J2728,$N$6)&amp;""))</f>
        <v/>
      </c>
      <c r="O2728" s="37" t="str">
        <f aca="false">IF($M2728="","",TRIM(INDEX($A2728:$J2728,$O$6)&amp;""))</f>
        <v/>
      </c>
      <c r="P2728" s="37" t="str">
        <f aca="false">IF($M2728="","",IFERROR(IF(INDEX(Settings!$B$41:$B$50,MATCH(O2728,Settings!$A$41:$A$50,0))&amp;""="","UNMAPPED",INDEX(Settings!$B$41:$B$50,MATCH(O2728,Settings!$A$41:$A$50,0))&amp;""),"UNMAPPED"))</f>
        <v/>
      </c>
      <c r="Q2728" s="38" t="n">
        <f aca="false">IF($M2728="",0,N(INDEX($A2728:$J2728,$Q$6)))</f>
        <v>0</v>
      </c>
      <c r="R2728" s="39" t="str">
        <f aca="false">IF($M2728="","",INDEX($A2728:$J2728,$R$6))</f>
        <v/>
      </c>
      <c r="S2728" s="37" t="str">
        <f aca="false">IF($M2728="","",IFERROR(INDEX(Settings!$B$27:$B$36,MATCH(L2728,Settings!$A$27:$A$36,0))&amp;"","UNMAPPED"))</f>
        <v/>
      </c>
      <c r="T2728" s="37" t="str">
        <f aca="false">IF($M2728="","",IF(NOT(ISNUMBER(R2728)),"NO DATE",IF(S2728="Won",IF(R2728&gt;Settings!$B$5,"Backlog","Delivered"),IF(S2728="Open",IF(R2728&gt;Settings!$B$5,"Pipeline","Overdue"),IF(S2728="Lost","Lost","UNMAPPED")))))</f>
        <v/>
      </c>
      <c r="U2728" s="40" t="n">
        <f aca="false">IF(T2728="Backlog",1,IF(OR(T2728="Pipeline",T2728="Overdue"),N(INDEX(Settings!$C$27:$C$36,MATCH(L2728,Settings!$A$27:$A$36,0))),0))</f>
        <v>0</v>
      </c>
      <c r="V2728" s="38" t="n">
        <f aca="false">Q2728*U2728</f>
        <v>0</v>
      </c>
      <c r="W2728" s="41" t="str">
        <f aca="false">IF($M2728="","",IF(T2728="Overdue",IF(Settings!$B$8="Yes",Settings!$B$7,""),IF(ISNUMBER(R2728),DATE(YEAR(R2728),MONTH(R2728),1),"")))</f>
        <v/>
      </c>
      <c r="X2728" s="38" t="n">
        <f aca="false">IF(AND(OR(T2728="Backlog",T2728="Pipeline",T2728="Overdue"),ISNUMBER(W2728)),IF(W2728&lt;=Settings!$B$6,V2728,0),0)</f>
        <v>0</v>
      </c>
      <c r="Y2728" s="38" t="n">
        <f aca="false">IF(AND(OR(T2728="Backlog",T2728="Pipeline",T2728="Overdue"),ISNUMBER(W2728)),IF(W2728&lt;=Settings!$B$6,Q2728,0),0)</f>
        <v>0</v>
      </c>
      <c r="Z2728" s="38" t="n">
        <f aca="false">IF(Y2728=0,0,IF(T2728="Backlog",Q2728,Q2728*Dashboard!$C$10))</f>
        <v>0</v>
      </c>
      <c r="AA2728" s="37" t="n">
        <f aca="false">IF($N2728="",0,IF(COUNTIF(Dashboard!$C$13:$C$22,$N2728)&gt;0,1,0))</f>
        <v>0</v>
      </c>
      <c r="AB2728" s="37" t="str">
        <f aca="false">IF($N2728="","",IF(COUNTIF($N$8:$N2728,$N2728)=1,MAX($AB$7:$AB2727)+1,""))</f>
        <v/>
      </c>
    </row>
    <row r="2729" customFormat="false" ht="15" hidden="false" customHeight="false" outlineLevel="0" collapsed="false">
      <c r="L2729" s="37" t="str">
        <f aca="false">IF(INDEX($A2729:$J2729,$L$6)&lt;&gt;"",TRIM(LEFT(INDEX($A2729:$J2729,$L$6),FIND("(",INDEX($A2729:$J2729,$L$6)&amp;"(")-1)),L2728)</f>
        <v>Building Value Proposition</v>
      </c>
      <c r="M2729" s="37" t="str">
        <f aca="false">IF(INDEX($A2729:$J2729,$M$6)="","",INDEX($A2729:$J2729,$M$6)&amp;"")</f>
        <v/>
      </c>
      <c r="N2729" s="37" t="str">
        <f aca="false">IF($M2729="","",TRIM(INDEX($A2729:$J2729,$N$6)&amp;""))</f>
        <v/>
      </c>
      <c r="O2729" s="37" t="str">
        <f aca="false">IF($M2729="","",TRIM(INDEX($A2729:$J2729,$O$6)&amp;""))</f>
        <v/>
      </c>
      <c r="P2729" s="37" t="str">
        <f aca="false">IF($M2729="","",IFERROR(IF(INDEX(Settings!$B$41:$B$50,MATCH(O2729,Settings!$A$41:$A$50,0))&amp;""="","UNMAPPED",INDEX(Settings!$B$41:$B$50,MATCH(O2729,Settings!$A$41:$A$50,0))&amp;""),"UNMAPPED"))</f>
        <v/>
      </c>
      <c r="Q2729" s="38" t="n">
        <f aca="false">IF($M2729="",0,N(INDEX($A2729:$J2729,$Q$6)))</f>
        <v>0</v>
      </c>
      <c r="R2729" s="39" t="str">
        <f aca="false">IF($M2729="","",INDEX($A2729:$J2729,$R$6))</f>
        <v/>
      </c>
      <c r="S2729" s="37" t="str">
        <f aca="false">IF($M2729="","",IFERROR(INDEX(Settings!$B$27:$B$36,MATCH(L2729,Settings!$A$27:$A$36,0))&amp;"","UNMAPPED"))</f>
        <v/>
      </c>
      <c r="T2729" s="37" t="str">
        <f aca="false">IF($M2729="","",IF(NOT(ISNUMBER(R2729)),"NO DATE",IF(S2729="Won",IF(R2729&gt;Settings!$B$5,"Backlog","Delivered"),IF(S2729="Open",IF(R2729&gt;Settings!$B$5,"Pipeline","Overdue"),IF(S2729="Lost","Lost","UNMAPPED")))))</f>
        <v/>
      </c>
      <c r="U2729" s="40" t="n">
        <f aca="false">IF(T2729="Backlog",1,IF(OR(T2729="Pipeline",T2729="Overdue"),N(INDEX(Settings!$C$27:$C$36,MATCH(L2729,Settings!$A$27:$A$36,0))),0))</f>
        <v>0</v>
      </c>
      <c r="V2729" s="38" t="n">
        <f aca="false">Q2729*U2729</f>
        <v>0</v>
      </c>
      <c r="W2729" s="41" t="str">
        <f aca="false">IF($M2729="","",IF(T2729="Overdue",IF(Settings!$B$8="Yes",Settings!$B$7,""),IF(ISNUMBER(R2729),DATE(YEAR(R2729),MONTH(R2729),1),"")))</f>
        <v/>
      </c>
      <c r="X2729" s="38" t="n">
        <f aca="false">IF(AND(OR(T2729="Backlog",T2729="Pipeline",T2729="Overdue"),ISNUMBER(W2729)),IF(W2729&lt;=Settings!$B$6,V2729,0),0)</f>
        <v>0</v>
      </c>
      <c r="Y2729" s="38" t="n">
        <f aca="false">IF(AND(OR(T2729="Backlog",T2729="Pipeline",T2729="Overdue"),ISNUMBER(W2729)),IF(W2729&lt;=Settings!$B$6,Q2729,0),0)</f>
        <v>0</v>
      </c>
      <c r="Z2729" s="38" t="n">
        <f aca="false">IF(Y2729=0,0,IF(T2729="Backlog",Q2729,Q2729*Dashboard!$C$10))</f>
        <v>0</v>
      </c>
      <c r="AA2729" s="37" t="n">
        <f aca="false">IF($N2729="",0,IF(COUNTIF(Dashboard!$C$13:$C$22,$N2729)&gt;0,1,0))</f>
        <v>0</v>
      </c>
      <c r="AB2729" s="37" t="str">
        <f aca="false">IF($N2729="","",IF(COUNTIF($N$8:$N2729,$N2729)=1,MAX($AB$7:$AB2728)+1,""))</f>
        <v/>
      </c>
    </row>
    <row r="2730" customFormat="false" ht="15" hidden="false" customHeight="false" outlineLevel="0" collapsed="false">
      <c r="L2730" s="37" t="str">
        <f aca="false">IF(INDEX($A2730:$J2730,$L$6)&lt;&gt;"",TRIM(LEFT(INDEX($A2730:$J2730,$L$6),FIND("(",INDEX($A2730:$J2730,$L$6)&amp;"(")-1)),L2729)</f>
        <v>Building Value Proposition</v>
      </c>
      <c r="M2730" s="37" t="str">
        <f aca="false">IF(INDEX($A2730:$J2730,$M$6)="","",INDEX($A2730:$J2730,$M$6)&amp;"")</f>
        <v/>
      </c>
      <c r="N2730" s="37" t="str">
        <f aca="false">IF($M2730="","",TRIM(INDEX($A2730:$J2730,$N$6)&amp;""))</f>
        <v/>
      </c>
      <c r="O2730" s="37" t="str">
        <f aca="false">IF($M2730="","",TRIM(INDEX($A2730:$J2730,$O$6)&amp;""))</f>
        <v/>
      </c>
      <c r="P2730" s="37" t="str">
        <f aca="false">IF($M2730="","",IFERROR(IF(INDEX(Settings!$B$41:$B$50,MATCH(O2730,Settings!$A$41:$A$50,0))&amp;""="","UNMAPPED",INDEX(Settings!$B$41:$B$50,MATCH(O2730,Settings!$A$41:$A$50,0))&amp;""),"UNMAPPED"))</f>
        <v/>
      </c>
      <c r="Q2730" s="38" t="n">
        <f aca="false">IF($M2730="",0,N(INDEX($A2730:$J2730,$Q$6)))</f>
        <v>0</v>
      </c>
      <c r="R2730" s="39" t="str">
        <f aca="false">IF($M2730="","",INDEX($A2730:$J2730,$R$6))</f>
        <v/>
      </c>
      <c r="S2730" s="37" t="str">
        <f aca="false">IF($M2730="","",IFERROR(INDEX(Settings!$B$27:$B$36,MATCH(L2730,Settings!$A$27:$A$36,0))&amp;"","UNMAPPED"))</f>
        <v/>
      </c>
      <c r="T2730" s="37" t="str">
        <f aca="false">IF($M2730="","",IF(NOT(ISNUMBER(R2730)),"NO DATE",IF(S2730="Won",IF(R2730&gt;Settings!$B$5,"Backlog","Delivered"),IF(S2730="Open",IF(R2730&gt;Settings!$B$5,"Pipeline","Overdue"),IF(S2730="Lost","Lost","UNMAPPED")))))</f>
        <v/>
      </c>
      <c r="U2730" s="40" t="n">
        <f aca="false">IF(T2730="Backlog",1,IF(OR(T2730="Pipeline",T2730="Overdue"),N(INDEX(Settings!$C$27:$C$36,MATCH(L2730,Settings!$A$27:$A$36,0))),0))</f>
        <v>0</v>
      </c>
      <c r="V2730" s="38" t="n">
        <f aca="false">Q2730*U2730</f>
        <v>0</v>
      </c>
      <c r="W2730" s="41" t="str">
        <f aca="false">IF($M2730="","",IF(T2730="Overdue",IF(Settings!$B$8="Yes",Settings!$B$7,""),IF(ISNUMBER(R2730),DATE(YEAR(R2730),MONTH(R2730),1),"")))</f>
        <v/>
      </c>
      <c r="X2730" s="38" t="n">
        <f aca="false">IF(AND(OR(T2730="Backlog",T2730="Pipeline",T2730="Overdue"),ISNUMBER(W2730)),IF(W2730&lt;=Settings!$B$6,V2730,0),0)</f>
        <v>0</v>
      </c>
      <c r="Y2730" s="38" t="n">
        <f aca="false">IF(AND(OR(T2730="Backlog",T2730="Pipeline",T2730="Overdue"),ISNUMBER(W2730)),IF(W2730&lt;=Settings!$B$6,Q2730,0),0)</f>
        <v>0</v>
      </c>
      <c r="Z2730" s="38" t="n">
        <f aca="false">IF(Y2730=0,0,IF(T2730="Backlog",Q2730,Q2730*Dashboard!$C$10))</f>
        <v>0</v>
      </c>
      <c r="AA2730" s="37" t="n">
        <f aca="false">IF($N2730="",0,IF(COUNTIF(Dashboard!$C$13:$C$22,$N2730)&gt;0,1,0))</f>
        <v>0</v>
      </c>
      <c r="AB2730" s="37" t="str">
        <f aca="false">IF($N2730="","",IF(COUNTIF($N$8:$N2730,$N2730)=1,MAX($AB$7:$AB2729)+1,""))</f>
        <v/>
      </c>
    </row>
    <row r="2731" customFormat="false" ht="15" hidden="false" customHeight="false" outlineLevel="0" collapsed="false">
      <c r="L2731" s="37" t="str">
        <f aca="false">IF(INDEX($A2731:$J2731,$L$6)&lt;&gt;"",TRIM(LEFT(INDEX($A2731:$J2731,$L$6),FIND("(",INDEX($A2731:$J2731,$L$6)&amp;"(")-1)),L2730)</f>
        <v>Building Value Proposition</v>
      </c>
      <c r="M2731" s="37" t="str">
        <f aca="false">IF(INDEX($A2731:$J2731,$M$6)="","",INDEX($A2731:$J2731,$M$6)&amp;"")</f>
        <v/>
      </c>
      <c r="N2731" s="37" t="str">
        <f aca="false">IF($M2731="","",TRIM(INDEX($A2731:$J2731,$N$6)&amp;""))</f>
        <v/>
      </c>
      <c r="O2731" s="37" t="str">
        <f aca="false">IF($M2731="","",TRIM(INDEX($A2731:$J2731,$O$6)&amp;""))</f>
        <v/>
      </c>
      <c r="P2731" s="37" t="str">
        <f aca="false">IF($M2731="","",IFERROR(IF(INDEX(Settings!$B$41:$B$50,MATCH(O2731,Settings!$A$41:$A$50,0))&amp;""="","UNMAPPED",INDEX(Settings!$B$41:$B$50,MATCH(O2731,Settings!$A$41:$A$50,0))&amp;""),"UNMAPPED"))</f>
        <v/>
      </c>
      <c r="Q2731" s="38" t="n">
        <f aca="false">IF($M2731="",0,N(INDEX($A2731:$J2731,$Q$6)))</f>
        <v>0</v>
      </c>
      <c r="R2731" s="39" t="str">
        <f aca="false">IF($M2731="","",INDEX($A2731:$J2731,$R$6))</f>
        <v/>
      </c>
      <c r="S2731" s="37" t="str">
        <f aca="false">IF($M2731="","",IFERROR(INDEX(Settings!$B$27:$B$36,MATCH(L2731,Settings!$A$27:$A$36,0))&amp;"","UNMAPPED"))</f>
        <v/>
      </c>
      <c r="T2731" s="37" t="str">
        <f aca="false">IF($M2731="","",IF(NOT(ISNUMBER(R2731)),"NO DATE",IF(S2731="Won",IF(R2731&gt;Settings!$B$5,"Backlog","Delivered"),IF(S2731="Open",IF(R2731&gt;Settings!$B$5,"Pipeline","Overdue"),IF(S2731="Lost","Lost","UNMAPPED")))))</f>
        <v/>
      </c>
      <c r="U2731" s="40" t="n">
        <f aca="false">IF(T2731="Backlog",1,IF(OR(T2731="Pipeline",T2731="Overdue"),N(INDEX(Settings!$C$27:$C$36,MATCH(L2731,Settings!$A$27:$A$36,0))),0))</f>
        <v>0</v>
      </c>
      <c r="V2731" s="38" t="n">
        <f aca="false">Q2731*U2731</f>
        <v>0</v>
      </c>
      <c r="W2731" s="41" t="str">
        <f aca="false">IF($M2731="","",IF(T2731="Overdue",IF(Settings!$B$8="Yes",Settings!$B$7,""),IF(ISNUMBER(R2731),DATE(YEAR(R2731),MONTH(R2731),1),"")))</f>
        <v/>
      </c>
      <c r="X2731" s="38" t="n">
        <f aca="false">IF(AND(OR(T2731="Backlog",T2731="Pipeline",T2731="Overdue"),ISNUMBER(W2731)),IF(W2731&lt;=Settings!$B$6,V2731,0),0)</f>
        <v>0</v>
      </c>
      <c r="Y2731" s="38" t="n">
        <f aca="false">IF(AND(OR(T2731="Backlog",T2731="Pipeline",T2731="Overdue"),ISNUMBER(W2731)),IF(W2731&lt;=Settings!$B$6,Q2731,0),0)</f>
        <v>0</v>
      </c>
      <c r="Z2731" s="38" t="n">
        <f aca="false">IF(Y2731=0,0,IF(T2731="Backlog",Q2731,Q2731*Dashboard!$C$10))</f>
        <v>0</v>
      </c>
      <c r="AA2731" s="37" t="n">
        <f aca="false">IF($N2731="",0,IF(COUNTIF(Dashboard!$C$13:$C$22,$N2731)&gt;0,1,0))</f>
        <v>0</v>
      </c>
      <c r="AB2731" s="37" t="str">
        <f aca="false">IF($N2731="","",IF(COUNTIF($N$8:$N2731,$N2731)=1,MAX($AB$7:$AB2730)+1,""))</f>
        <v/>
      </c>
    </row>
    <row r="2732" customFormat="false" ht="15" hidden="false" customHeight="false" outlineLevel="0" collapsed="false">
      <c r="L2732" s="37" t="str">
        <f aca="false">IF(INDEX($A2732:$J2732,$L$6)&lt;&gt;"",TRIM(LEFT(INDEX($A2732:$J2732,$L$6),FIND("(",INDEX($A2732:$J2732,$L$6)&amp;"(")-1)),L2731)</f>
        <v>Building Value Proposition</v>
      </c>
      <c r="M2732" s="37" t="str">
        <f aca="false">IF(INDEX($A2732:$J2732,$M$6)="","",INDEX($A2732:$J2732,$M$6)&amp;"")</f>
        <v/>
      </c>
      <c r="N2732" s="37" t="str">
        <f aca="false">IF($M2732="","",TRIM(INDEX($A2732:$J2732,$N$6)&amp;""))</f>
        <v/>
      </c>
      <c r="O2732" s="37" t="str">
        <f aca="false">IF($M2732="","",TRIM(INDEX($A2732:$J2732,$O$6)&amp;""))</f>
        <v/>
      </c>
      <c r="P2732" s="37" t="str">
        <f aca="false">IF($M2732="","",IFERROR(IF(INDEX(Settings!$B$41:$B$50,MATCH(O2732,Settings!$A$41:$A$50,0))&amp;""="","UNMAPPED",INDEX(Settings!$B$41:$B$50,MATCH(O2732,Settings!$A$41:$A$50,0))&amp;""),"UNMAPPED"))</f>
        <v/>
      </c>
      <c r="Q2732" s="38" t="n">
        <f aca="false">IF($M2732="",0,N(INDEX($A2732:$J2732,$Q$6)))</f>
        <v>0</v>
      </c>
      <c r="R2732" s="39" t="str">
        <f aca="false">IF($M2732="","",INDEX($A2732:$J2732,$R$6))</f>
        <v/>
      </c>
      <c r="S2732" s="37" t="str">
        <f aca="false">IF($M2732="","",IFERROR(INDEX(Settings!$B$27:$B$36,MATCH(L2732,Settings!$A$27:$A$36,0))&amp;"","UNMAPPED"))</f>
        <v/>
      </c>
      <c r="T2732" s="37" t="str">
        <f aca="false">IF($M2732="","",IF(NOT(ISNUMBER(R2732)),"NO DATE",IF(S2732="Won",IF(R2732&gt;Settings!$B$5,"Backlog","Delivered"),IF(S2732="Open",IF(R2732&gt;Settings!$B$5,"Pipeline","Overdue"),IF(S2732="Lost","Lost","UNMAPPED")))))</f>
        <v/>
      </c>
      <c r="U2732" s="40" t="n">
        <f aca="false">IF(T2732="Backlog",1,IF(OR(T2732="Pipeline",T2732="Overdue"),N(INDEX(Settings!$C$27:$C$36,MATCH(L2732,Settings!$A$27:$A$36,0))),0))</f>
        <v>0</v>
      </c>
      <c r="V2732" s="38" t="n">
        <f aca="false">Q2732*U2732</f>
        <v>0</v>
      </c>
      <c r="W2732" s="41" t="str">
        <f aca="false">IF($M2732="","",IF(T2732="Overdue",IF(Settings!$B$8="Yes",Settings!$B$7,""),IF(ISNUMBER(R2732),DATE(YEAR(R2732),MONTH(R2732),1),"")))</f>
        <v/>
      </c>
      <c r="X2732" s="38" t="n">
        <f aca="false">IF(AND(OR(T2732="Backlog",T2732="Pipeline",T2732="Overdue"),ISNUMBER(W2732)),IF(W2732&lt;=Settings!$B$6,V2732,0),0)</f>
        <v>0</v>
      </c>
      <c r="Y2732" s="38" t="n">
        <f aca="false">IF(AND(OR(T2732="Backlog",T2732="Pipeline",T2732="Overdue"),ISNUMBER(W2732)),IF(W2732&lt;=Settings!$B$6,Q2732,0),0)</f>
        <v>0</v>
      </c>
      <c r="Z2732" s="38" t="n">
        <f aca="false">IF(Y2732=0,0,IF(T2732="Backlog",Q2732,Q2732*Dashboard!$C$10))</f>
        <v>0</v>
      </c>
      <c r="AA2732" s="37" t="n">
        <f aca="false">IF($N2732="",0,IF(COUNTIF(Dashboard!$C$13:$C$22,$N2732)&gt;0,1,0))</f>
        <v>0</v>
      </c>
      <c r="AB2732" s="37" t="str">
        <f aca="false">IF($N2732="","",IF(COUNTIF($N$8:$N2732,$N2732)=1,MAX($AB$7:$AB2731)+1,""))</f>
        <v/>
      </c>
    </row>
    <row r="2733" customFormat="false" ht="15" hidden="false" customHeight="false" outlineLevel="0" collapsed="false">
      <c r="L2733" s="37" t="str">
        <f aca="false">IF(INDEX($A2733:$J2733,$L$6)&lt;&gt;"",TRIM(LEFT(INDEX($A2733:$J2733,$L$6),FIND("(",INDEX($A2733:$J2733,$L$6)&amp;"(")-1)),L2732)</f>
        <v>Building Value Proposition</v>
      </c>
      <c r="M2733" s="37" t="str">
        <f aca="false">IF(INDEX($A2733:$J2733,$M$6)="","",INDEX($A2733:$J2733,$M$6)&amp;"")</f>
        <v/>
      </c>
      <c r="N2733" s="37" t="str">
        <f aca="false">IF($M2733="","",TRIM(INDEX($A2733:$J2733,$N$6)&amp;""))</f>
        <v/>
      </c>
      <c r="O2733" s="37" t="str">
        <f aca="false">IF($M2733="","",TRIM(INDEX($A2733:$J2733,$O$6)&amp;""))</f>
        <v/>
      </c>
      <c r="P2733" s="37" t="str">
        <f aca="false">IF($M2733="","",IFERROR(IF(INDEX(Settings!$B$41:$B$50,MATCH(O2733,Settings!$A$41:$A$50,0))&amp;""="","UNMAPPED",INDEX(Settings!$B$41:$B$50,MATCH(O2733,Settings!$A$41:$A$50,0))&amp;""),"UNMAPPED"))</f>
        <v/>
      </c>
      <c r="Q2733" s="38" t="n">
        <f aca="false">IF($M2733="",0,N(INDEX($A2733:$J2733,$Q$6)))</f>
        <v>0</v>
      </c>
      <c r="R2733" s="39" t="str">
        <f aca="false">IF($M2733="","",INDEX($A2733:$J2733,$R$6))</f>
        <v/>
      </c>
      <c r="S2733" s="37" t="str">
        <f aca="false">IF($M2733="","",IFERROR(INDEX(Settings!$B$27:$B$36,MATCH(L2733,Settings!$A$27:$A$36,0))&amp;"","UNMAPPED"))</f>
        <v/>
      </c>
      <c r="T2733" s="37" t="str">
        <f aca="false">IF($M2733="","",IF(NOT(ISNUMBER(R2733)),"NO DATE",IF(S2733="Won",IF(R2733&gt;Settings!$B$5,"Backlog","Delivered"),IF(S2733="Open",IF(R2733&gt;Settings!$B$5,"Pipeline","Overdue"),IF(S2733="Lost","Lost","UNMAPPED")))))</f>
        <v/>
      </c>
      <c r="U2733" s="40" t="n">
        <f aca="false">IF(T2733="Backlog",1,IF(OR(T2733="Pipeline",T2733="Overdue"),N(INDEX(Settings!$C$27:$C$36,MATCH(L2733,Settings!$A$27:$A$36,0))),0))</f>
        <v>0</v>
      </c>
      <c r="V2733" s="38" t="n">
        <f aca="false">Q2733*U2733</f>
        <v>0</v>
      </c>
      <c r="W2733" s="41" t="str">
        <f aca="false">IF($M2733="","",IF(T2733="Overdue",IF(Settings!$B$8="Yes",Settings!$B$7,""),IF(ISNUMBER(R2733),DATE(YEAR(R2733),MONTH(R2733),1),"")))</f>
        <v/>
      </c>
      <c r="X2733" s="38" t="n">
        <f aca="false">IF(AND(OR(T2733="Backlog",T2733="Pipeline",T2733="Overdue"),ISNUMBER(W2733)),IF(W2733&lt;=Settings!$B$6,V2733,0),0)</f>
        <v>0</v>
      </c>
      <c r="Y2733" s="38" t="n">
        <f aca="false">IF(AND(OR(T2733="Backlog",T2733="Pipeline",T2733="Overdue"),ISNUMBER(W2733)),IF(W2733&lt;=Settings!$B$6,Q2733,0),0)</f>
        <v>0</v>
      </c>
      <c r="Z2733" s="38" t="n">
        <f aca="false">IF(Y2733=0,0,IF(T2733="Backlog",Q2733,Q2733*Dashboard!$C$10))</f>
        <v>0</v>
      </c>
      <c r="AA2733" s="37" t="n">
        <f aca="false">IF($N2733="",0,IF(COUNTIF(Dashboard!$C$13:$C$22,$N2733)&gt;0,1,0))</f>
        <v>0</v>
      </c>
      <c r="AB2733" s="37" t="str">
        <f aca="false">IF($N2733="","",IF(COUNTIF($N$8:$N2733,$N2733)=1,MAX($AB$7:$AB2732)+1,""))</f>
        <v/>
      </c>
    </row>
    <row r="2734" customFormat="false" ht="15" hidden="false" customHeight="false" outlineLevel="0" collapsed="false">
      <c r="L2734" s="37" t="str">
        <f aca="false">IF(INDEX($A2734:$J2734,$L$6)&lt;&gt;"",TRIM(LEFT(INDEX($A2734:$J2734,$L$6),FIND("(",INDEX($A2734:$J2734,$L$6)&amp;"(")-1)),L2733)</f>
        <v>Building Value Proposition</v>
      </c>
      <c r="M2734" s="37" t="str">
        <f aca="false">IF(INDEX($A2734:$J2734,$M$6)="","",INDEX($A2734:$J2734,$M$6)&amp;"")</f>
        <v/>
      </c>
      <c r="N2734" s="37" t="str">
        <f aca="false">IF($M2734="","",TRIM(INDEX($A2734:$J2734,$N$6)&amp;""))</f>
        <v/>
      </c>
      <c r="O2734" s="37" t="str">
        <f aca="false">IF($M2734="","",TRIM(INDEX($A2734:$J2734,$O$6)&amp;""))</f>
        <v/>
      </c>
      <c r="P2734" s="37" t="str">
        <f aca="false">IF($M2734="","",IFERROR(IF(INDEX(Settings!$B$41:$B$50,MATCH(O2734,Settings!$A$41:$A$50,0))&amp;""="","UNMAPPED",INDEX(Settings!$B$41:$B$50,MATCH(O2734,Settings!$A$41:$A$50,0))&amp;""),"UNMAPPED"))</f>
        <v/>
      </c>
      <c r="Q2734" s="38" t="n">
        <f aca="false">IF($M2734="",0,N(INDEX($A2734:$J2734,$Q$6)))</f>
        <v>0</v>
      </c>
      <c r="R2734" s="39" t="str">
        <f aca="false">IF($M2734="","",INDEX($A2734:$J2734,$R$6))</f>
        <v/>
      </c>
      <c r="S2734" s="37" t="str">
        <f aca="false">IF($M2734="","",IFERROR(INDEX(Settings!$B$27:$B$36,MATCH(L2734,Settings!$A$27:$A$36,0))&amp;"","UNMAPPED"))</f>
        <v/>
      </c>
      <c r="T2734" s="37" t="str">
        <f aca="false">IF($M2734="","",IF(NOT(ISNUMBER(R2734)),"NO DATE",IF(S2734="Won",IF(R2734&gt;Settings!$B$5,"Backlog","Delivered"),IF(S2734="Open",IF(R2734&gt;Settings!$B$5,"Pipeline","Overdue"),IF(S2734="Lost","Lost","UNMAPPED")))))</f>
        <v/>
      </c>
      <c r="U2734" s="40" t="n">
        <f aca="false">IF(T2734="Backlog",1,IF(OR(T2734="Pipeline",T2734="Overdue"),N(INDEX(Settings!$C$27:$C$36,MATCH(L2734,Settings!$A$27:$A$36,0))),0))</f>
        <v>0</v>
      </c>
      <c r="V2734" s="38" t="n">
        <f aca="false">Q2734*U2734</f>
        <v>0</v>
      </c>
      <c r="W2734" s="41" t="str">
        <f aca="false">IF($M2734="","",IF(T2734="Overdue",IF(Settings!$B$8="Yes",Settings!$B$7,""),IF(ISNUMBER(R2734),DATE(YEAR(R2734),MONTH(R2734),1),"")))</f>
        <v/>
      </c>
      <c r="X2734" s="38" t="n">
        <f aca="false">IF(AND(OR(T2734="Backlog",T2734="Pipeline",T2734="Overdue"),ISNUMBER(W2734)),IF(W2734&lt;=Settings!$B$6,V2734,0),0)</f>
        <v>0</v>
      </c>
      <c r="Y2734" s="38" t="n">
        <f aca="false">IF(AND(OR(T2734="Backlog",T2734="Pipeline",T2734="Overdue"),ISNUMBER(W2734)),IF(W2734&lt;=Settings!$B$6,Q2734,0),0)</f>
        <v>0</v>
      </c>
      <c r="Z2734" s="38" t="n">
        <f aca="false">IF(Y2734=0,0,IF(T2734="Backlog",Q2734,Q2734*Dashboard!$C$10))</f>
        <v>0</v>
      </c>
      <c r="AA2734" s="37" t="n">
        <f aca="false">IF($N2734="",0,IF(COUNTIF(Dashboard!$C$13:$C$22,$N2734)&gt;0,1,0))</f>
        <v>0</v>
      </c>
      <c r="AB2734" s="37" t="str">
        <f aca="false">IF($N2734="","",IF(COUNTIF($N$8:$N2734,$N2734)=1,MAX($AB$7:$AB2733)+1,""))</f>
        <v/>
      </c>
    </row>
    <row r="2735" customFormat="false" ht="15" hidden="false" customHeight="false" outlineLevel="0" collapsed="false">
      <c r="L2735" s="37" t="str">
        <f aca="false">IF(INDEX($A2735:$J2735,$L$6)&lt;&gt;"",TRIM(LEFT(INDEX($A2735:$J2735,$L$6),FIND("(",INDEX($A2735:$J2735,$L$6)&amp;"(")-1)),L2734)</f>
        <v>Building Value Proposition</v>
      </c>
      <c r="M2735" s="37" t="str">
        <f aca="false">IF(INDEX($A2735:$J2735,$M$6)="","",INDEX($A2735:$J2735,$M$6)&amp;"")</f>
        <v/>
      </c>
      <c r="N2735" s="37" t="str">
        <f aca="false">IF($M2735="","",TRIM(INDEX($A2735:$J2735,$N$6)&amp;""))</f>
        <v/>
      </c>
      <c r="O2735" s="37" t="str">
        <f aca="false">IF($M2735="","",TRIM(INDEX($A2735:$J2735,$O$6)&amp;""))</f>
        <v/>
      </c>
      <c r="P2735" s="37" t="str">
        <f aca="false">IF($M2735="","",IFERROR(IF(INDEX(Settings!$B$41:$B$50,MATCH(O2735,Settings!$A$41:$A$50,0))&amp;""="","UNMAPPED",INDEX(Settings!$B$41:$B$50,MATCH(O2735,Settings!$A$41:$A$50,0))&amp;""),"UNMAPPED"))</f>
        <v/>
      </c>
      <c r="Q2735" s="38" t="n">
        <f aca="false">IF($M2735="",0,N(INDEX($A2735:$J2735,$Q$6)))</f>
        <v>0</v>
      </c>
      <c r="R2735" s="39" t="str">
        <f aca="false">IF($M2735="","",INDEX($A2735:$J2735,$R$6))</f>
        <v/>
      </c>
      <c r="S2735" s="37" t="str">
        <f aca="false">IF($M2735="","",IFERROR(INDEX(Settings!$B$27:$B$36,MATCH(L2735,Settings!$A$27:$A$36,0))&amp;"","UNMAPPED"))</f>
        <v/>
      </c>
      <c r="T2735" s="37" t="str">
        <f aca="false">IF($M2735="","",IF(NOT(ISNUMBER(R2735)),"NO DATE",IF(S2735="Won",IF(R2735&gt;Settings!$B$5,"Backlog","Delivered"),IF(S2735="Open",IF(R2735&gt;Settings!$B$5,"Pipeline","Overdue"),IF(S2735="Lost","Lost","UNMAPPED")))))</f>
        <v/>
      </c>
      <c r="U2735" s="40" t="n">
        <f aca="false">IF(T2735="Backlog",1,IF(OR(T2735="Pipeline",T2735="Overdue"),N(INDEX(Settings!$C$27:$C$36,MATCH(L2735,Settings!$A$27:$A$36,0))),0))</f>
        <v>0</v>
      </c>
      <c r="V2735" s="38" t="n">
        <f aca="false">Q2735*U2735</f>
        <v>0</v>
      </c>
      <c r="W2735" s="41" t="str">
        <f aca="false">IF($M2735="","",IF(T2735="Overdue",IF(Settings!$B$8="Yes",Settings!$B$7,""),IF(ISNUMBER(R2735),DATE(YEAR(R2735),MONTH(R2735),1),"")))</f>
        <v/>
      </c>
      <c r="X2735" s="38" t="n">
        <f aca="false">IF(AND(OR(T2735="Backlog",T2735="Pipeline",T2735="Overdue"),ISNUMBER(W2735)),IF(W2735&lt;=Settings!$B$6,V2735,0),0)</f>
        <v>0</v>
      </c>
      <c r="Y2735" s="38" t="n">
        <f aca="false">IF(AND(OR(T2735="Backlog",T2735="Pipeline",T2735="Overdue"),ISNUMBER(W2735)),IF(W2735&lt;=Settings!$B$6,Q2735,0),0)</f>
        <v>0</v>
      </c>
      <c r="Z2735" s="38" t="n">
        <f aca="false">IF(Y2735=0,0,IF(T2735="Backlog",Q2735,Q2735*Dashboard!$C$10))</f>
        <v>0</v>
      </c>
      <c r="AA2735" s="37" t="n">
        <f aca="false">IF($N2735="",0,IF(COUNTIF(Dashboard!$C$13:$C$22,$N2735)&gt;0,1,0))</f>
        <v>0</v>
      </c>
      <c r="AB2735" s="37" t="str">
        <f aca="false">IF($N2735="","",IF(COUNTIF($N$8:$N2735,$N2735)=1,MAX($AB$7:$AB2734)+1,""))</f>
        <v/>
      </c>
    </row>
    <row r="2736" customFormat="false" ht="15" hidden="false" customHeight="false" outlineLevel="0" collapsed="false">
      <c r="L2736" s="37" t="str">
        <f aca="false">IF(INDEX($A2736:$J2736,$L$6)&lt;&gt;"",TRIM(LEFT(INDEX($A2736:$J2736,$L$6),FIND("(",INDEX($A2736:$J2736,$L$6)&amp;"(")-1)),L2735)</f>
        <v>Building Value Proposition</v>
      </c>
      <c r="M2736" s="37" t="str">
        <f aca="false">IF(INDEX($A2736:$J2736,$M$6)="","",INDEX($A2736:$J2736,$M$6)&amp;"")</f>
        <v/>
      </c>
      <c r="N2736" s="37" t="str">
        <f aca="false">IF($M2736="","",TRIM(INDEX($A2736:$J2736,$N$6)&amp;""))</f>
        <v/>
      </c>
      <c r="O2736" s="37" t="str">
        <f aca="false">IF($M2736="","",TRIM(INDEX($A2736:$J2736,$O$6)&amp;""))</f>
        <v/>
      </c>
      <c r="P2736" s="37" t="str">
        <f aca="false">IF($M2736="","",IFERROR(IF(INDEX(Settings!$B$41:$B$50,MATCH(O2736,Settings!$A$41:$A$50,0))&amp;""="","UNMAPPED",INDEX(Settings!$B$41:$B$50,MATCH(O2736,Settings!$A$41:$A$50,0))&amp;""),"UNMAPPED"))</f>
        <v/>
      </c>
      <c r="Q2736" s="38" t="n">
        <f aca="false">IF($M2736="",0,N(INDEX($A2736:$J2736,$Q$6)))</f>
        <v>0</v>
      </c>
      <c r="R2736" s="39" t="str">
        <f aca="false">IF($M2736="","",INDEX($A2736:$J2736,$R$6))</f>
        <v/>
      </c>
      <c r="S2736" s="37" t="str">
        <f aca="false">IF($M2736="","",IFERROR(INDEX(Settings!$B$27:$B$36,MATCH(L2736,Settings!$A$27:$A$36,0))&amp;"","UNMAPPED"))</f>
        <v/>
      </c>
      <c r="T2736" s="37" t="str">
        <f aca="false">IF($M2736="","",IF(NOT(ISNUMBER(R2736)),"NO DATE",IF(S2736="Won",IF(R2736&gt;Settings!$B$5,"Backlog","Delivered"),IF(S2736="Open",IF(R2736&gt;Settings!$B$5,"Pipeline","Overdue"),IF(S2736="Lost","Lost","UNMAPPED")))))</f>
        <v/>
      </c>
      <c r="U2736" s="40" t="n">
        <f aca="false">IF(T2736="Backlog",1,IF(OR(T2736="Pipeline",T2736="Overdue"),N(INDEX(Settings!$C$27:$C$36,MATCH(L2736,Settings!$A$27:$A$36,0))),0))</f>
        <v>0</v>
      </c>
      <c r="V2736" s="38" t="n">
        <f aca="false">Q2736*U2736</f>
        <v>0</v>
      </c>
      <c r="W2736" s="41" t="str">
        <f aca="false">IF($M2736="","",IF(T2736="Overdue",IF(Settings!$B$8="Yes",Settings!$B$7,""),IF(ISNUMBER(R2736),DATE(YEAR(R2736),MONTH(R2736),1),"")))</f>
        <v/>
      </c>
      <c r="X2736" s="38" t="n">
        <f aca="false">IF(AND(OR(T2736="Backlog",T2736="Pipeline",T2736="Overdue"),ISNUMBER(W2736)),IF(W2736&lt;=Settings!$B$6,V2736,0),0)</f>
        <v>0</v>
      </c>
      <c r="Y2736" s="38" t="n">
        <f aca="false">IF(AND(OR(T2736="Backlog",T2736="Pipeline",T2736="Overdue"),ISNUMBER(W2736)),IF(W2736&lt;=Settings!$B$6,Q2736,0),0)</f>
        <v>0</v>
      </c>
      <c r="Z2736" s="38" t="n">
        <f aca="false">IF(Y2736=0,0,IF(T2736="Backlog",Q2736,Q2736*Dashboard!$C$10))</f>
        <v>0</v>
      </c>
      <c r="AA2736" s="37" t="n">
        <f aca="false">IF($N2736="",0,IF(COUNTIF(Dashboard!$C$13:$C$22,$N2736)&gt;0,1,0))</f>
        <v>0</v>
      </c>
      <c r="AB2736" s="37" t="str">
        <f aca="false">IF($N2736="","",IF(COUNTIF($N$8:$N2736,$N2736)=1,MAX($AB$7:$AB2735)+1,""))</f>
        <v/>
      </c>
    </row>
    <row r="2737" customFormat="false" ht="15" hidden="false" customHeight="false" outlineLevel="0" collapsed="false">
      <c r="L2737" s="37" t="str">
        <f aca="false">IF(INDEX($A2737:$J2737,$L$6)&lt;&gt;"",TRIM(LEFT(INDEX($A2737:$J2737,$L$6),FIND("(",INDEX($A2737:$J2737,$L$6)&amp;"(")-1)),L2736)</f>
        <v>Building Value Proposition</v>
      </c>
      <c r="M2737" s="37" t="str">
        <f aca="false">IF(INDEX($A2737:$J2737,$M$6)="","",INDEX($A2737:$J2737,$M$6)&amp;"")</f>
        <v/>
      </c>
      <c r="N2737" s="37" t="str">
        <f aca="false">IF($M2737="","",TRIM(INDEX($A2737:$J2737,$N$6)&amp;""))</f>
        <v/>
      </c>
      <c r="O2737" s="37" t="str">
        <f aca="false">IF($M2737="","",TRIM(INDEX($A2737:$J2737,$O$6)&amp;""))</f>
        <v/>
      </c>
      <c r="P2737" s="37" t="str">
        <f aca="false">IF($M2737="","",IFERROR(IF(INDEX(Settings!$B$41:$B$50,MATCH(O2737,Settings!$A$41:$A$50,0))&amp;""="","UNMAPPED",INDEX(Settings!$B$41:$B$50,MATCH(O2737,Settings!$A$41:$A$50,0))&amp;""),"UNMAPPED"))</f>
        <v/>
      </c>
      <c r="Q2737" s="38" t="n">
        <f aca="false">IF($M2737="",0,N(INDEX($A2737:$J2737,$Q$6)))</f>
        <v>0</v>
      </c>
      <c r="R2737" s="39" t="str">
        <f aca="false">IF($M2737="","",INDEX($A2737:$J2737,$R$6))</f>
        <v/>
      </c>
      <c r="S2737" s="37" t="str">
        <f aca="false">IF($M2737="","",IFERROR(INDEX(Settings!$B$27:$B$36,MATCH(L2737,Settings!$A$27:$A$36,0))&amp;"","UNMAPPED"))</f>
        <v/>
      </c>
      <c r="T2737" s="37" t="str">
        <f aca="false">IF($M2737="","",IF(NOT(ISNUMBER(R2737)),"NO DATE",IF(S2737="Won",IF(R2737&gt;Settings!$B$5,"Backlog","Delivered"),IF(S2737="Open",IF(R2737&gt;Settings!$B$5,"Pipeline","Overdue"),IF(S2737="Lost","Lost","UNMAPPED")))))</f>
        <v/>
      </c>
      <c r="U2737" s="40" t="n">
        <f aca="false">IF(T2737="Backlog",1,IF(OR(T2737="Pipeline",T2737="Overdue"),N(INDEX(Settings!$C$27:$C$36,MATCH(L2737,Settings!$A$27:$A$36,0))),0))</f>
        <v>0</v>
      </c>
      <c r="V2737" s="38" t="n">
        <f aca="false">Q2737*U2737</f>
        <v>0</v>
      </c>
      <c r="W2737" s="41" t="str">
        <f aca="false">IF($M2737="","",IF(T2737="Overdue",IF(Settings!$B$8="Yes",Settings!$B$7,""),IF(ISNUMBER(R2737),DATE(YEAR(R2737),MONTH(R2737),1),"")))</f>
        <v/>
      </c>
      <c r="X2737" s="38" t="n">
        <f aca="false">IF(AND(OR(T2737="Backlog",T2737="Pipeline",T2737="Overdue"),ISNUMBER(W2737)),IF(W2737&lt;=Settings!$B$6,V2737,0),0)</f>
        <v>0</v>
      </c>
      <c r="Y2737" s="38" t="n">
        <f aca="false">IF(AND(OR(T2737="Backlog",T2737="Pipeline",T2737="Overdue"),ISNUMBER(W2737)),IF(W2737&lt;=Settings!$B$6,Q2737,0),0)</f>
        <v>0</v>
      </c>
      <c r="Z2737" s="38" t="n">
        <f aca="false">IF(Y2737=0,0,IF(T2737="Backlog",Q2737,Q2737*Dashboard!$C$10))</f>
        <v>0</v>
      </c>
      <c r="AA2737" s="37" t="n">
        <f aca="false">IF($N2737="",0,IF(COUNTIF(Dashboard!$C$13:$C$22,$N2737)&gt;0,1,0))</f>
        <v>0</v>
      </c>
      <c r="AB2737" s="37" t="str">
        <f aca="false">IF($N2737="","",IF(COUNTIF($N$8:$N2737,$N2737)=1,MAX($AB$7:$AB2736)+1,""))</f>
        <v/>
      </c>
    </row>
    <row r="2738" customFormat="false" ht="15" hidden="false" customHeight="false" outlineLevel="0" collapsed="false">
      <c r="L2738" s="37" t="str">
        <f aca="false">IF(INDEX($A2738:$J2738,$L$6)&lt;&gt;"",TRIM(LEFT(INDEX($A2738:$J2738,$L$6),FIND("(",INDEX($A2738:$J2738,$L$6)&amp;"(")-1)),L2737)</f>
        <v>Building Value Proposition</v>
      </c>
      <c r="M2738" s="37" t="str">
        <f aca="false">IF(INDEX($A2738:$J2738,$M$6)="","",INDEX($A2738:$J2738,$M$6)&amp;"")</f>
        <v/>
      </c>
      <c r="N2738" s="37" t="str">
        <f aca="false">IF($M2738="","",TRIM(INDEX($A2738:$J2738,$N$6)&amp;""))</f>
        <v/>
      </c>
      <c r="O2738" s="37" t="str">
        <f aca="false">IF($M2738="","",TRIM(INDEX($A2738:$J2738,$O$6)&amp;""))</f>
        <v/>
      </c>
      <c r="P2738" s="37" t="str">
        <f aca="false">IF($M2738="","",IFERROR(IF(INDEX(Settings!$B$41:$B$50,MATCH(O2738,Settings!$A$41:$A$50,0))&amp;""="","UNMAPPED",INDEX(Settings!$B$41:$B$50,MATCH(O2738,Settings!$A$41:$A$50,0))&amp;""),"UNMAPPED"))</f>
        <v/>
      </c>
      <c r="Q2738" s="38" t="n">
        <f aca="false">IF($M2738="",0,N(INDEX($A2738:$J2738,$Q$6)))</f>
        <v>0</v>
      </c>
      <c r="R2738" s="39" t="str">
        <f aca="false">IF($M2738="","",INDEX($A2738:$J2738,$R$6))</f>
        <v/>
      </c>
      <c r="S2738" s="37" t="str">
        <f aca="false">IF($M2738="","",IFERROR(INDEX(Settings!$B$27:$B$36,MATCH(L2738,Settings!$A$27:$A$36,0))&amp;"","UNMAPPED"))</f>
        <v/>
      </c>
      <c r="T2738" s="37" t="str">
        <f aca="false">IF($M2738="","",IF(NOT(ISNUMBER(R2738)),"NO DATE",IF(S2738="Won",IF(R2738&gt;Settings!$B$5,"Backlog","Delivered"),IF(S2738="Open",IF(R2738&gt;Settings!$B$5,"Pipeline","Overdue"),IF(S2738="Lost","Lost","UNMAPPED")))))</f>
        <v/>
      </c>
      <c r="U2738" s="40" t="n">
        <f aca="false">IF(T2738="Backlog",1,IF(OR(T2738="Pipeline",T2738="Overdue"),N(INDEX(Settings!$C$27:$C$36,MATCH(L2738,Settings!$A$27:$A$36,0))),0))</f>
        <v>0</v>
      </c>
      <c r="V2738" s="38" t="n">
        <f aca="false">Q2738*U2738</f>
        <v>0</v>
      </c>
      <c r="W2738" s="41" t="str">
        <f aca="false">IF($M2738="","",IF(T2738="Overdue",IF(Settings!$B$8="Yes",Settings!$B$7,""),IF(ISNUMBER(R2738),DATE(YEAR(R2738),MONTH(R2738),1),"")))</f>
        <v/>
      </c>
      <c r="X2738" s="38" t="n">
        <f aca="false">IF(AND(OR(T2738="Backlog",T2738="Pipeline",T2738="Overdue"),ISNUMBER(W2738)),IF(W2738&lt;=Settings!$B$6,V2738,0),0)</f>
        <v>0</v>
      </c>
      <c r="Y2738" s="38" t="n">
        <f aca="false">IF(AND(OR(T2738="Backlog",T2738="Pipeline",T2738="Overdue"),ISNUMBER(W2738)),IF(W2738&lt;=Settings!$B$6,Q2738,0),0)</f>
        <v>0</v>
      </c>
      <c r="Z2738" s="38" t="n">
        <f aca="false">IF(Y2738=0,0,IF(T2738="Backlog",Q2738,Q2738*Dashboard!$C$10))</f>
        <v>0</v>
      </c>
      <c r="AA2738" s="37" t="n">
        <f aca="false">IF($N2738="",0,IF(COUNTIF(Dashboard!$C$13:$C$22,$N2738)&gt;0,1,0))</f>
        <v>0</v>
      </c>
      <c r="AB2738" s="37" t="str">
        <f aca="false">IF($N2738="","",IF(COUNTIF($N$8:$N2738,$N2738)=1,MAX($AB$7:$AB2737)+1,""))</f>
        <v/>
      </c>
    </row>
    <row r="2739" customFormat="false" ht="15" hidden="false" customHeight="false" outlineLevel="0" collapsed="false">
      <c r="L2739" s="37" t="str">
        <f aca="false">IF(INDEX($A2739:$J2739,$L$6)&lt;&gt;"",TRIM(LEFT(INDEX($A2739:$J2739,$L$6),FIND("(",INDEX($A2739:$J2739,$L$6)&amp;"(")-1)),L2738)</f>
        <v>Building Value Proposition</v>
      </c>
      <c r="M2739" s="37" t="str">
        <f aca="false">IF(INDEX($A2739:$J2739,$M$6)="","",INDEX($A2739:$J2739,$M$6)&amp;"")</f>
        <v/>
      </c>
      <c r="N2739" s="37" t="str">
        <f aca="false">IF($M2739="","",TRIM(INDEX($A2739:$J2739,$N$6)&amp;""))</f>
        <v/>
      </c>
      <c r="O2739" s="37" t="str">
        <f aca="false">IF($M2739="","",TRIM(INDEX($A2739:$J2739,$O$6)&amp;""))</f>
        <v/>
      </c>
      <c r="P2739" s="37" t="str">
        <f aca="false">IF($M2739="","",IFERROR(IF(INDEX(Settings!$B$41:$B$50,MATCH(O2739,Settings!$A$41:$A$50,0))&amp;""="","UNMAPPED",INDEX(Settings!$B$41:$B$50,MATCH(O2739,Settings!$A$41:$A$50,0))&amp;""),"UNMAPPED"))</f>
        <v/>
      </c>
      <c r="Q2739" s="38" t="n">
        <f aca="false">IF($M2739="",0,N(INDEX($A2739:$J2739,$Q$6)))</f>
        <v>0</v>
      </c>
      <c r="R2739" s="39" t="str">
        <f aca="false">IF($M2739="","",INDEX($A2739:$J2739,$R$6))</f>
        <v/>
      </c>
      <c r="S2739" s="37" t="str">
        <f aca="false">IF($M2739="","",IFERROR(INDEX(Settings!$B$27:$B$36,MATCH(L2739,Settings!$A$27:$A$36,0))&amp;"","UNMAPPED"))</f>
        <v/>
      </c>
      <c r="T2739" s="37" t="str">
        <f aca="false">IF($M2739="","",IF(NOT(ISNUMBER(R2739)),"NO DATE",IF(S2739="Won",IF(R2739&gt;Settings!$B$5,"Backlog","Delivered"),IF(S2739="Open",IF(R2739&gt;Settings!$B$5,"Pipeline","Overdue"),IF(S2739="Lost","Lost","UNMAPPED")))))</f>
        <v/>
      </c>
      <c r="U2739" s="40" t="n">
        <f aca="false">IF(T2739="Backlog",1,IF(OR(T2739="Pipeline",T2739="Overdue"),N(INDEX(Settings!$C$27:$C$36,MATCH(L2739,Settings!$A$27:$A$36,0))),0))</f>
        <v>0</v>
      </c>
      <c r="V2739" s="38" t="n">
        <f aca="false">Q2739*U2739</f>
        <v>0</v>
      </c>
      <c r="W2739" s="41" t="str">
        <f aca="false">IF($M2739="","",IF(T2739="Overdue",IF(Settings!$B$8="Yes",Settings!$B$7,""),IF(ISNUMBER(R2739),DATE(YEAR(R2739),MONTH(R2739),1),"")))</f>
        <v/>
      </c>
      <c r="X2739" s="38" t="n">
        <f aca="false">IF(AND(OR(T2739="Backlog",T2739="Pipeline",T2739="Overdue"),ISNUMBER(W2739)),IF(W2739&lt;=Settings!$B$6,V2739,0),0)</f>
        <v>0</v>
      </c>
      <c r="Y2739" s="38" t="n">
        <f aca="false">IF(AND(OR(T2739="Backlog",T2739="Pipeline",T2739="Overdue"),ISNUMBER(W2739)),IF(W2739&lt;=Settings!$B$6,Q2739,0),0)</f>
        <v>0</v>
      </c>
      <c r="Z2739" s="38" t="n">
        <f aca="false">IF(Y2739=0,0,IF(T2739="Backlog",Q2739,Q2739*Dashboard!$C$10))</f>
        <v>0</v>
      </c>
      <c r="AA2739" s="37" t="n">
        <f aca="false">IF($N2739="",0,IF(COUNTIF(Dashboard!$C$13:$C$22,$N2739)&gt;0,1,0))</f>
        <v>0</v>
      </c>
      <c r="AB2739" s="37" t="str">
        <f aca="false">IF($N2739="","",IF(COUNTIF($N$8:$N2739,$N2739)=1,MAX($AB$7:$AB2738)+1,""))</f>
        <v/>
      </c>
    </row>
    <row r="2740" customFormat="false" ht="15" hidden="false" customHeight="false" outlineLevel="0" collapsed="false">
      <c r="L2740" s="37" t="str">
        <f aca="false">IF(INDEX($A2740:$J2740,$L$6)&lt;&gt;"",TRIM(LEFT(INDEX($A2740:$J2740,$L$6),FIND("(",INDEX($A2740:$J2740,$L$6)&amp;"(")-1)),L2739)</f>
        <v>Building Value Proposition</v>
      </c>
      <c r="M2740" s="37" t="str">
        <f aca="false">IF(INDEX($A2740:$J2740,$M$6)="","",INDEX($A2740:$J2740,$M$6)&amp;"")</f>
        <v/>
      </c>
      <c r="N2740" s="37" t="str">
        <f aca="false">IF($M2740="","",TRIM(INDEX($A2740:$J2740,$N$6)&amp;""))</f>
        <v/>
      </c>
      <c r="O2740" s="37" t="str">
        <f aca="false">IF($M2740="","",TRIM(INDEX($A2740:$J2740,$O$6)&amp;""))</f>
        <v/>
      </c>
      <c r="P2740" s="37" t="str">
        <f aca="false">IF($M2740="","",IFERROR(IF(INDEX(Settings!$B$41:$B$50,MATCH(O2740,Settings!$A$41:$A$50,0))&amp;""="","UNMAPPED",INDEX(Settings!$B$41:$B$50,MATCH(O2740,Settings!$A$41:$A$50,0))&amp;""),"UNMAPPED"))</f>
        <v/>
      </c>
      <c r="Q2740" s="38" t="n">
        <f aca="false">IF($M2740="",0,N(INDEX($A2740:$J2740,$Q$6)))</f>
        <v>0</v>
      </c>
      <c r="R2740" s="39" t="str">
        <f aca="false">IF($M2740="","",INDEX($A2740:$J2740,$R$6))</f>
        <v/>
      </c>
      <c r="S2740" s="37" t="str">
        <f aca="false">IF($M2740="","",IFERROR(INDEX(Settings!$B$27:$B$36,MATCH(L2740,Settings!$A$27:$A$36,0))&amp;"","UNMAPPED"))</f>
        <v/>
      </c>
      <c r="T2740" s="37" t="str">
        <f aca="false">IF($M2740="","",IF(NOT(ISNUMBER(R2740)),"NO DATE",IF(S2740="Won",IF(R2740&gt;Settings!$B$5,"Backlog","Delivered"),IF(S2740="Open",IF(R2740&gt;Settings!$B$5,"Pipeline","Overdue"),IF(S2740="Lost","Lost","UNMAPPED")))))</f>
        <v/>
      </c>
      <c r="U2740" s="40" t="n">
        <f aca="false">IF(T2740="Backlog",1,IF(OR(T2740="Pipeline",T2740="Overdue"),N(INDEX(Settings!$C$27:$C$36,MATCH(L2740,Settings!$A$27:$A$36,0))),0))</f>
        <v>0</v>
      </c>
      <c r="V2740" s="38" t="n">
        <f aca="false">Q2740*U2740</f>
        <v>0</v>
      </c>
      <c r="W2740" s="41" t="str">
        <f aca="false">IF($M2740="","",IF(T2740="Overdue",IF(Settings!$B$8="Yes",Settings!$B$7,""),IF(ISNUMBER(R2740),DATE(YEAR(R2740),MONTH(R2740),1),"")))</f>
        <v/>
      </c>
      <c r="X2740" s="38" t="n">
        <f aca="false">IF(AND(OR(T2740="Backlog",T2740="Pipeline",T2740="Overdue"),ISNUMBER(W2740)),IF(W2740&lt;=Settings!$B$6,V2740,0),0)</f>
        <v>0</v>
      </c>
      <c r="Y2740" s="38" t="n">
        <f aca="false">IF(AND(OR(T2740="Backlog",T2740="Pipeline",T2740="Overdue"),ISNUMBER(W2740)),IF(W2740&lt;=Settings!$B$6,Q2740,0),0)</f>
        <v>0</v>
      </c>
      <c r="Z2740" s="38" t="n">
        <f aca="false">IF(Y2740=0,0,IF(T2740="Backlog",Q2740,Q2740*Dashboard!$C$10))</f>
        <v>0</v>
      </c>
      <c r="AA2740" s="37" t="n">
        <f aca="false">IF($N2740="",0,IF(COUNTIF(Dashboard!$C$13:$C$22,$N2740)&gt;0,1,0))</f>
        <v>0</v>
      </c>
      <c r="AB2740" s="37" t="str">
        <f aca="false">IF($N2740="","",IF(COUNTIF($N$8:$N2740,$N2740)=1,MAX($AB$7:$AB2739)+1,""))</f>
        <v/>
      </c>
    </row>
    <row r="2741" customFormat="false" ht="15" hidden="false" customHeight="false" outlineLevel="0" collapsed="false">
      <c r="L2741" s="37" t="str">
        <f aca="false">IF(INDEX($A2741:$J2741,$L$6)&lt;&gt;"",TRIM(LEFT(INDEX($A2741:$J2741,$L$6),FIND("(",INDEX($A2741:$J2741,$L$6)&amp;"(")-1)),L2740)</f>
        <v>Building Value Proposition</v>
      </c>
      <c r="M2741" s="37" t="str">
        <f aca="false">IF(INDEX($A2741:$J2741,$M$6)="","",INDEX($A2741:$J2741,$M$6)&amp;"")</f>
        <v/>
      </c>
      <c r="N2741" s="37" t="str">
        <f aca="false">IF($M2741="","",TRIM(INDEX($A2741:$J2741,$N$6)&amp;""))</f>
        <v/>
      </c>
      <c r="O2741" s="37" t="str">
        <f aca="false">IF($M2741="","",TRIM(INDEX($A2741:$J2741,$O$6)&amp;""))</f>
        <v/>
      </c>
      <c r="P2741" s="37" t="str">
        <f aca="false">IF($M2741="","",IFERROR(IF(INDEX(Settings!$B$41:$B$50,MATCH(O2741,Settings!$A$41:$A$50,0))&amp;""="","UNMAPPED",INDEX(Settings!$B$41:$B$50,MATCH(O2741,Settings!$A$41:$A$50,0))&amp;""),"UNMAPPED"))</f>
        <v/>
      </c>
      <c r="Q2741" s="38" t="n">
        <f aca="false">IF($M2741="",0,N(INDEX($A2741:$J2741,$Q$6)))</f>
        <v>0</v>
      </c>
      <c r="R2741" s="39" t="str">
        <f aca="false">IF($M2741="","",INDEX($A2741:$J2741,$R$6))</f>
        <v/>
      </c>
      <c r="S2741" s="37" t="str">
        <f aca="false">IF($M2741="","",IFERROR(INDEX(Settings!$B$27:$B$36,MATCH(L2741,Settings!$A$27:$A$36,0))&amp;"","UNMAPPED"))</f>
        <v/>
      </c>
      <c r="T2741" s="37" t="str">
        <f aca="false">IF($M2741="","",IF(NOT(ISNUMBER(R2741)),"NO DATE",IF(S2741="Won",IF(R2741&gt;Settings!$B$5,"Backlog","Delivered"),IF(S2741="Open",IF(R2741&gt;Settings!$B$5,"Pipeline","Overdue"),IF(S2741="Lost","Lost","UNMAPPED")))))</f>
        <v/>
      </c>
      <c r="U2741" s="40" t="n">
        <f aca="false">IF(T2741="Backlog",1,IF(OR(T2741="Pipeline",T2741="Overdue"),N(INDEX(Settings!$C$27:$C$36,MATCH(L2741,Settings!$A$27:$A$36,0))),0))</f>
        <v>0</v>
      </c>
      <c r="V2741" s="38" t="n">
        <f aca="false">Q2741*U2741</f>
        <v>0</v>
      </c>
      <c r="W2741" s="41" t="str">
        <f aca="false">IF($M2741="","",IF(T2741="Overdue",IF(Settings!$B$8="Yes",Settings!$B$7,""),IF(ISNUMBER(R2741),DATE(YEAR(R2741),MONTH(R2741),1),"")))</f>
        <v/>
      </c>
      <c r="X2741" s="38" t="n">
        <f aca="false">IF(AND(OR(T2741="Backlog",T2741="Pipeline",T2741="Overdue"),ISNUMBER(W2741)),IF(W2741&lt;=Settings!$B$6,V2741,0),0)</f>
        <v>0</v>
      </c>
      <c r="Y2741" s="38" t="n">
        <f aca="false">IF(AND(OR(T2741="Backlog",T2741="Pipeline",T2741="Overdue"),ISNUMBER(W2741)),IF(W2741&lt;=Settings!$B$6,Q2741,0),0)</f>
        <v>0</v>
      </c>
      <c r="Z2741" s="38" t="n">
        <f aca="false">IF(Y2741=0,0,IF(T2741="Backlog",Q2741,Q2741*Dashboard!$C$10))</f>
        <v>0</v>
      </c>
      <c r="AA2741" s="37" t="n">
        <f aca="false">IF($N2741="",0,IF(COUNTIF(Dashboard!$C$13:$C$22,$N2741)&gt;0,1,0))</f>
        <v>0</v>
      </c>
      <c r="AB2741" s="37" t="str">
        <f aca="false">IF($N2741="","",IF(COUNTIF($N$8:$N2741,$N2741)=1,MAX($AB$7:$AB2740)+1,""))</f>
        <v/>
      </c>
    </row>
    <row r="2742" customFormat="false" ht="15" hidden="false" customHeight="false" outlineLevel="0" collapsed="false">
      <c r="L2742" s="37" t="str">
        <f aca="false">IF(INDEX($A2742:$J2742,$L$6)&lt;&gt;"",TRIM(LEFT(INDEX($A2742:$J2742,$L$6),FIND("(",INDEX($A2742:$J2742,$L$6)&amp;"(")-1)),L2741)</f>
        <v>Building Value Proposition</v>
      </c>
      <c r="M2742" s="37" t="str">
        <f aca="false">IF(INDEX($A2742:$J2742,$M$6)="","",INDEX($A2742:$J2742,$M$6)&amp;"")</f>
        <v/>
      </c>
      <c r="N2742" s="37" t="str">
        <f aca="false">IF($M2742="","",TRIM(INDEX($A2742:$J2742,$N$6)&amp;""))</f>
        <v/>
      </c>
      <c r="O2742" s="37" t="str">
        <f aca="false">IF($M2742="","",TRIM(INDEX($A2742:$J2742,$O$6)&amp;""))</f>
        <v/>
      </c>
      <c r="P2742" s="37" t="str">
        <f aca="false">IF($M2742="","",IFERROR(IF(INDEX(Settings!$B$41:$B$50,MATCH(O2742,Settings!$A$41:$A$50,0))&amp;""="","UNMAPPED",INDEX(Settings!$B$41:$B$50,MATCH(O2742,Settings!$A$41:$A$50,0))&amp;""),"UNMAPPED"))</f>
        <v/>
      </c>
      <c r="Q2742" s="38" t="n">
        <f aca="false">IF($M2742="",0,N(INDEX($A2742:$J2742,$Q$6)))</f>
        <v>0</v>
      </c>
      <c r="R2742" s="39" t="str">
        <f aca="false">IF($M2742="","",INDEX($A2742:$J2742,$R$6))</f>
        <v/>
      </c>
      <c r="S2742" s="37" t="str">
        <f aca="false">IF($M2742="","",IFERROR(INDEX(Settings!$B$27:$B$36,MATCH(L2742,Settings!$A$27:$A$36,0))&amp;"","UNMAPPED"))</f>
        <v/>
      </c>
      <c r="T2742" s="37" t="str">
        <f aca="false">IF($M2742="","",IF(NOT(ISNUMBER(R2742)),"NO DATE",IF(S2742="Won",IF(R2742&gt;Settings!$B$5,"Backlog","Delivered"),IF(S2742="Open",IF(R2742&gt;Settings!$B$5,"Pipeline","Overdue"),IF(S2742="Lost","Lost","UNMAPPED")))))</f>
        <v/>
      </c>
      <c r="U2742" s="40" t="n">
        <f aca="false">IF(T2742="Backlog",1,IF(OR(T2742="Pipeline",T2742="Overdue"),N(INDEX(Settings!$C$27:$C$36,MATCH(L2742,Settings!$A$27:$A$36,0))),0))</f>
        <v>0</v>
      </c>
      <c r="V2742" s="38" t="n">
        <f aca="false">Q2742*U2742</f>
        <v>0</v>
      </c>
      <c r="W2742" s="41" t="str">
        <f aca="false">IF($M2742="","",IF(T2742="Overdue",IF(Settings!$B$8="Yes",Settings!$B$7,""),IF(ISNUMBER(R2742),DATE(YEAR(R2742),MONTH(R2742),1),"")))</f>
        <v/>
      </c>
      <c r="X2742" s="38" t="n">
        <f aca="false">IF(AND(OR(T2742="Backlog",T2742="Pipeline",T2742="Overdue"),ISNUMBER(W2742)),IF(W2742&lt;=Settings!$B$6,V2742,0),0)</f>
        <v>0</v>
      </c>
      <c r="Y2742" s="38" t="n">
        <f aca="false">IF(AND(OR(T2742="Backlog",T2742="Pipeline",T2742="Overdue"),ISNUMBER(W2742)),IF(W2742&lt;=Settings!$B$6,Q2742,0),0)</f>
        <v>0</v>
      </c>
      <c r="Z2742" s="38" t="n">
        <f aca="false">IF(Y2742=0,0,IF(T2742="Backlog",Q2742,Q2742*Dashboard!$C$10))</f>
        <v>0</v>
      </c>
      <c r="AA2742" s="37" t="n">
        <f aca="false">IF($N2742="",0,IF(COUNTIF(Dashboard!$C$13:$C$22,$N2742)&gt;0,1,0))</f>
        <v>0</v>
      </c>
      <c r="AB2742" s="37" t="str">
        <f aca="false">IF($N2742="","",IF(COUNTIF($N$8:$N2742,$N2742)=1,MAX($AB$7:$AB2741)+1,""))</f>
        <v/>
      </c>
    </row>
    <row r="2743" customFormat="false" ht="15" hidden="false" customHeight="false" outlineLevel="0" collapsed="false">
      <c r="L2743" s="37" t="str">
        <f aca="false">IF(INDEX($A2743:$J2743,$L$6)&lt;&gt;"",TRIM(LEFT(INDEX($A2743:$J2743,$L$6),FIND("(",INDEX($A2743:$J2743,$L$6)&amp;"(")-1)),L2742)</f>
        <v>Building Value Proposition</v>
      </c>
      <c r="M2743" s="37" t="str">
        <f aca="false">IF(INDEX($A2743:$J2743,$M$6)="","",INDEX($A2743:$J2743,$M$6)&amp;"")</f>
        <v/>
      </c>
      <c r="N2743" s="37" t="str">
        <f aca="false">IF($M2743="","",TRIM(INDEX($A2743:$J2743,$N$6)&amp;""))</f>
        <v/>
      </c>
      <c r="O2743" s="37" t="str">
        <f aca="false">IF($M2743="","",TRIM(INDEX($A2743:$J2743,$O$6)&amp;""))</f>
        <v/>
      </c>
      <c r="P2743" s="37" t="str">
        <f aca="false">IF($M2743="","",IFERROR(IF(INDEX(Settings!$B$41:$B$50,MATCH(O2743,Settings!$A$41:$A$50,0))&amp;""="","UNMAPPED",INDEX(Settings!$B$41:$B$50,MATCH(O2743,Settings!$A$41:$A$50,0))&amp;""),"UNMAPPED"))</f>
        <v/>
      </c>
      <c r="Q2743" s="38" t="n">
        <f aca="false">IF($M2743="",0,N(INDEX($A2743:$J2743,$Q$6)))</f>
        <v>0</v>
      </c>
      <c r="R2743" s="39" t="str">
        <f aca="false">IF($M2743="","",INDEX($A2743:$J2743,$R$6))</f>
        <v/>
      </c>
      <c r="S2743" s="37" t="str">
        <f aca="false">IF($M2743="","",IFERROR(INDEX(Settings!$B$27:$B$36,MATCH(L2743,Settings!$A$27:$A$36,0))&amp;"","UNMAPPED"))</f>
        <v/>
      </c>
      <c r="T2743" s="37" t="str">
        <f aca="false">IF($M2743="","",IF(NOT(ISNUMBER(R2743)),"NO DATE",IF(S2743="Won",IF(R2743&gt;Settings!$B$5,"Backlog","Delivered"),IF(S2743="Open",IF(R2743&gt;Settings!$B$5,"Pipeline","Overdue"),IF(S2743="Lost","Lost","UNMAPPED")))))</f>
        <v/>
      </c>
      <c r="U2743" s="40" t="n">
        <f aca="false">IF(T2743="Backlog",1,IF(OR(T2743="Pipeline",T2743="Overdue"),N(INDEX(Settings!$C$27:$C$36,MATCH(L2743,Settings!$A$27:$A$36,0))),0))</f>
        <v>0</v>
      </c>
      <c r="V2743" s="38" t="n">
        <f aca="false">Q2743*U2743</f>
        <v>0</v>
      </c>
      <c r="W2743" s="41" t="str">
        <f aca="false">IF($M2743="","",IF(T2743="Overdue",IF(Settings!$B$8="Yes",Settings!$B$7,""),IF(ISNUMBER(R2743),DATE(YEAR(R2743),MONTH(R2743),1),"")))</f>
        <v/>
      </c>
      <c r="X2743" s="38" t="n">
        <f aca="false">IF(AND(OR(T2743="Backlog",T2743="Pipeline",T2743="Overdue"),ISNUMBER(W2743)),IF(W2743&lt;=Settings!$B$6,V2743,0),0)</f>
        <v>0</v>
      </c>
      <c r="Y2743" s="38" t="n">
        <f aca="false">IF(AND(OR(T2743="Backlog",T2743="Pipeline",T2743="Overdue"),ISNUMBER(W2743)),IF(W2743&lt;=Settings!$B$6,Q2743,0),0)</f>
        <v>0</v>
      </c>
      <c r="Z2743" s="38" t="n">
        <f aca="false">IF(Y2743=0,0,IF(T2743="Backlog",Q2743,Q2743*Dashboard!$C$10))</f>
        <v>0</v>
      </c>
      <c r="AA2743" s="37" t="n">
        <f aca="false">IF($N2743="",0,IF(COUNTIF(Dashboard!$C$13:$C$22,$N2743)&gt;0,1,0))</f>
        <v>0</v>
      </c>
      <c r="AB2743" s="37" t="str">
        <f aca="false">IF($N2743="","",IF(COUNTIF($N$8:$N2743,$N2743)=1,MAX($AB$7:$AB2742)+1,""))</f>
        <v/>
      </c>
    </row>
    <row r="2744" customFormat="false" ht="15" hidden="false" customHeight="false" outlineLevel="0" collapsed="false">
      <c r="L2744" s="37" t="str">
        <f aca="false">IF(INDEX($A2744:$J2744,$L$6)&lt;&gt;"",TRIM(LEFT(INDEX($A2744:$J2744,$L$6),FIND("(",INDEX($A2744:$J2744,$L$6)&amp;"(")-1)),L2743)</f>
        <v>Building Value Proposition</v>
      </c>
      <c r="M2744" s="37" t="str">
        <f aca="false">IF(INDEX($A2744:$J2744,$M$6)="","",INDEX($A2744:$J2744,$M$6)&amp;"")</f>
        <v/>
      </c>
      <c r="N2744" s="37" t="str">
        <f aca="false">IF($M2744="","",TRIM(INDEX($A2744:$J2744,$N$6)&amp;""))</f>
        <v/>
      </c>
      <c r="O2744" s="37" t="str">
        <f aca="false">IF($M2744="","",TRIM(INDEX($A2744:$J2744,$O$6)&amp;""))</f>
        <v/>
      </c>
      <c r="P2744" s="37" t="str">
        <f aca="false">IF($M2744="","",IFERROR(IF(INDEX(Settings!$B$41:$B$50,MATCH(O2744,Settings!$A$41:$A$50,0))&amp;""="","UNMAPPED",INDEX(Settings!$B$41:$B$50,MATCH(O2744,Settings!$A$41:$A$50,0))&amp;""),"UNMAPPED"))</f>
        <v/>
      </c>
      <c r="Q2744" s="38" t="n">
        <f aca="false">IF($M2744="",0,N(INDEX($A2744:$J2744,$Q$6)))</f>
        <v>0</v>
      </c>
      <c r="R2744" s="39" t="str">
        <f aca="false">IF($M2744="","",INDEX($A2744:$J2744,$R$6))</f>
        <v/>
      </c>
      <c r="S2744" s="37" t="str">
        <f aca="false">IF($M2744="","",IFERROR(INDEX(Settings!$B$27:$B$36,MATCH(L2744,Settings!$A$27:$A$36,0))&amp;"","UNMAPPED"))</f>
        <v/>
      </c>
      <c r="T2744" s="37" t="str">
        <f aca="false">IF($M2744="","",IF(NOT(ISNUMBER(R2744)),"NO DATE",IF(S2744="Won",IF(R2744&gt;Settings!$B$5,"Backlog","Delivered"),IF(S2744="Open",IF(R2744&gt;Settings!$B$5,"Pipeline","Overdue"),IF(S2744="Lost","Lost","UNMAPPED")))))</f>
        <v/>
      </c>
      <c r="U2744" s="40" t="n">
        <f aca="false">IF(T2744="Backlog",1,IF(OR(T2744="Pipeline",T2744="Overdue"),N(INDEX(Settings!$C$27:$C$36,MATCH(L2744,Settings!$A$27:$A$36,0))),0))</f>
        <v>0</v>
      </c>
      <c r="V2744" s="38" t="n">
        <f aca="false">Q2744*U2744</f>
        <v>0</v>
      </c>
      <c r="W2744" s="41" t="str">
        <f aca="false">IF($M2744="","",IF(T2744="Overdue",IF(Settings!$B$8="Yes",Settings!$B$7,""),IF(ISNUMBER(R2744),DATE(YEAR(R2744),MONTH(R2744),1),"")))</f>
        <v/>
      </c>
      <c r="X2744" s="38" t="n">
        <f aca="false">IF(AND(OR(T2744="Backlog",T2744="Pipeline",T2744="Overdue"),ISNUMBER(W2744)),IF(W2744&lt;=Settings!$B$6,V2744,0),0)</f>
        <v>0</v>
      </c>
      <c r="Y2744" s="38" t="n">
        <f aca="false">IF(AND(OR(T2744="Backlog",T2744="Pipeline",T2744="Overdue"),ISNUMBER(W2744)),IF(W2744&lt;=Settings!$B$6,Q2744,0),0)</f>
        <v>0</v>
      </c>
      <c r="Z2744" s="38" t="n">
        <f aca="false">IF(Y2744=0,0,IF(T2744="Backlog",Q2744,Q2744*Dashboard!$C$10))</f>
        <v>0</v>
      </c>
      <c r="AA2744" s="37" t="n">
        <f aca="false">IF($N2744="",0,IF(COUNTIF(Dashboard!$C$13:$C$22,$N2744)&gt;0,1,0))</f>
        <v>0</v>
      </c>
      <c r="AB2744" s="37" t="str">
        <f aca="false">IF($N2744="","",IF(COUNTIF($N$8:$N2744,$N2744)=1,MAX($AB$7:$AB2743)+1,""))</f>
        <v/>
      </c>
    </row>
    <row r="2745" customFormat="false" ht="15" hidden="false" customHeight="false" outlineLevel="0" collapsed="false">
      <c r="L2745" s="37" t="str">
        <f aca="false">IF(INDEX($A2745:$J2745,$L$6)&lt;&gt;"",TRIM(LEFT(INDEX($A2745:$J2745,$L$6),FIND("(",INDEX($A2745:$J2745,$L$6)&amp;"(")-1)),L2744)</f>
        <v>Building Value Proposition</v>
      </c>
      <c r="M2745" s="37" t="str">
        <f aca="false">IF(INDEX($A2745:$J2745,$M$6)="","",INDEX($A2745:$J2745,$M$6)&amp;"")</f>
        <v/>
      </c>
      <c r="N2745" s="37" t="str">
        <f aca="false">IF($M2745="","",TRIM(INDEX($A2745:$J2745,$N$6)&amp;""))</f>
        <v/>
      </c>
      <c r="O2745" s="37" t="str">
        <f aca="false">IF($M2745="","",TRIM(INDEX($A2745:$J2745,$O$6)&amp;""))</f>
        <v/>
      </c>
      <c r="P2745" s="37" t="str">
        <f aca="false">IF($M2745="","",IFERROR(IF(INDEX(Settings!$B$41:$B$50,MATCH(O2745,Settings!$A$41:$A$50,0))&amp;""="","UNMAPPED",INDEX(Settings!$B$41:$B$50,MATCH(O2745,Settings!$A$41:$A$50,0))&amp;""),"UNMAPPED"))</f>
        <v/>
      </c>
      <c r="Q2745" s="38" t="n">
        <f aca="false">IF($M2745="",0,N(INDEX($A2745:$J2745,$Q$6)))</f>
        <v>0</v>
      </c>
      <c r="R2745" s="39" t="str">
        <f aca="false">IF($M2745="","",INDEX($A2745:$J2745,$R$6))</f>
        <v/>
      </c>
      <c r="S2745" s="37" t="str">
        <f aca="false">IF($M2745="","",IFERROR(INDEX(Settings!$B$27:$B$36,MATCH(L2745,Settings!$A$27:$A$36,0))&amp;"","UNMAPPED"))</f>
        <v/>
      </c>
      <c r="T2745" s="37" t="str">
        <f aca="false">IF($M2745="","",IF(NOT(ISNUMBER(R2745)),"NO DATE",IF(S2745="Won",IF(R2745&gt;Settings!$B$5,"Backlog","Delivered"),IF(S2745="Open",IF(R2745&gt;Settings!$B$5,"Pipeline","Overdue"),IF(S2745="Lost","Lost","UNMAPPED")))))</f>
        <v/>
      </c>
      <c r="U2745" s="40" t="n">
        <f aca="false">IF(T2745="Backlog",1,IF(OR(T2745="Pipeline",T2745="Overdue"),N(INDEX(Settings!$C$27:$C$36,MATCH(L2745,Settings!$A$27:$A$36,0))),0))</f>
        <v>0</v>
      </c>
      <c r="V2745" s="38" t="n">
        <f aca="false">Q2745*U2745</f>
        <v>0</v>
      </c>
      <c r="W2745" s="41" t="str">
        <f aca="false">IF($M2745="","",IF(T2745="Overdue",IF(Settings!$B$8="Yes",Settings!$B$7,""),IF(ISNUMBER(R2745),DATE(YEAR(R2745),MONTH(R2745),1),"")))</f>
        <v/>
      </c>
      <c r="X2745" s="38" t="n">
        <f aca="false">IF(AND(OR(T2745="Backlog",T2745="Pipeline",T2745="Overdue"),ISNUMBER(W2745)),IF(W2745&lt;=Settings!$B$6,V2745,0),0)</f>
        <v>0</v>
      </c>
      <c r="Y2745" s="38" t="n">
        <f aca="false">IF(AND(OR(T2745="Backlog",T2745="Pipeline",T2745="Overdue"),ISNUMBER(W2745)),IF(W2745&lt;=Settings!$B$6,Q2745,0),0)</f>
        <v>0</v>
      </c>
      <c r="Z2745" s="38" t="n">
        <f aca="false">IF(Y2745=0,0,IF(T2745="Backlog",Q2745,Q2745*Dashboard!$C$10))</f>
        <v>0</v>
      </c>
      <c r="AA2745" s="37" t="n">
        <f aca="false">IF($N2745="",0,IF(COUNTIF(Dashboard!$C$13:$C$22,$N2745)&gt;0,1,0))</f>
        <v>0</v>
      </c>
      <c r="AB2745" s="37" t="str">
        <f aca="false">IF($N2745="","",IF(COUNTIF($N$8:$N2745,$N2745)=1,MAX($AB$7:$AB2744)+1,""))</f>
        <v/>
      </c>
    </row>
    <row r="2746" customFormat="false" ht="15" hidden="false" customHeight="false" outlineLevel="0" collapsed="false">
      <c r="L2746" s="37" t="str">
        <f aca="false">IF(INDEX($A2746:$J2746,$L$6)&lt;&gt;"",TRIM(LEFT(INDEX($A2746:$J2746,$L$6),FIND("(",INDEX($A2746:$J2746,$L$6)&amp;"(")-1)),L2745)</f>
        <v>Building Value Proposition</v>
      </c>
      <c r="M2746" s="37" t="str">
        <f aca="false">IF(INDEX($A2746:$J2746,$M$6)="","",INDEX($A2746:$J2746,$M$6)&amp;"")</f>
        <v/>
      </c>
      <c r="N2746" s="37" t="str">
        <f aca="false">IF($M2746="","",TRIM(INDEX($A2746:$J2746,$N$6)&amp;""))</f>
        <v/>
      </c>
      <c r="O2746" s="37" t="str">
        <f aca="false">IF($M2746="","",TRIM(INDEX($A2746:$J2746,$O$6)&amp;""))</f>
        <v/>
      </c>
      <c r="P2746" s="37" t="str">
        <f aca="false">IF($M2746="","",IFERROR(IF(INDEX(Settings!$B$41:$B$50,MATCH(O2746,Settings!$A$41:$A$50,0))&amp;""="","UNMAPPED",INDEX(Settings!$B$41:$B$50,MATCH(O2746,Settings!$A$41:$A$50,0))&amp;""),"UNMAPPED"))</f>
        <v/>
      </c>
      <c r="Q2746" s="38" t="n">
        <f aca="false">IF($M2746="",0,N(INDEX($A2746:$J2746,$Q$6)))</f>
        <v>0</v>
      </c>
      <c r="R2746" s="39" t="str">
        <f aca="false">IF($M2746="","",INDEX($A2746:$J2746,$R$6))</f>
        <v/>
      </c>
      <c r="S2746" s="37" t="str">
        <f aca="false">IF($M2746="","",IFERROR(INDEX(Settings!$B$27:$B$36,MATCH(L2746,Settings!$A$27:$A$36,0))&amp;"","UNMAPPED"))</f>
        <v/>
      </c>
      <c r="T2746" s="37" t="str">
        <f aca="false">IF($M2746="","",IF(NOT(ISNUMBER(R2746)),"NO DATE",IF(S2746="Won",IF(R2746&gt;Settings!$B$5,"Backlog","Delivered"),IF(S2746="Open",IF(R2746&gt;Settings!$B$5,"Pipeline","Overdue"),IF(S2746="Lost","Lost","UNMAPPED")))))</f>
        <v/>
      </c>
      <c r="U2746" s="40" t="n">
        <f aca="false">IF(T2746="Backlog",1,IF(OR(T2746="Pipeline",T2746="Overdue"),N(INDEX(Settings!$C$27:$C$36,MATCH(L2746,Settings!$A$27:$A$36,0))),0))</f>
        <v>0</v>
      </c>
      <c r="V2746" s="38" t="n">
        <f aca="false">Q2746*U2746</f>
        <v>0</v>
      </c>
      <c r="W2746" s="41" t="str">
        <f aca="false">IF($M2746="","",IF(T2746="Overdue",IF(Settings!$B$8="Yes",Settings!$B$7,""),IF(ISNUMBER(R2746),DATE(YEAR(R2746),MONTH(R2746),1),"")))</f>
        <v/>
      </c>
      <c r="X2746" s="38" t="n">
        <f aca="false">IF(AND(OR(T2746="Backlog",T2746="Pipeline",T2746="Overdue"),ISNUMBER(W2746)),IF(W2746&lt;=Settings!$B$6,V2746,0),0)</f>
        <v>0</v>
      </c>
      <c r="Y2746" s="38" t="n">
        <f aca="false">IF(AND(OR(T2746="Backlog",T2746="Pipeline",T2746="Overdue"),ISNUMBER(W2746)),IF(W2746&lt;=Settings!$B$6,Q2746,0),0)</f>
        <v>0</v>
      </c>
      <c r="Z2746" s="38" t="n">
        <f aca="false">IF(Y2746=0,0,IF(T2746="Backlog",Q2746,Q2746*Dashboard!$C$10))</f>
        <v>0</v>
      </c>
      <c r="AA2746" s="37" t="n">
        <f aca="false">IF($N2746="",0,IF(COUNTIF(Dashboard!$C$13:$C$22,$N2746)&gt;0,1,0))</f>
        <v>0</v>
      </c>
      <c r="AB2746" s="37" t="str">
        <f aca="false">IF($N2746="","",IF(COUNTIF($N$8:$N2746,$N2746)=1,MAX($AB$7:$AB2745)+1,""))</f>
        <v/>
      </c>
    </row>
    <row r="2747" customFormat="false" ht="15" hidden="false" customHeight="false" outlineLevel="0" collapsed="false">
      <c r="L2747" s="37" t="str">
        <f aca="false">IF(INDEX($A2747:$J2747,$L$6)&lt;&gt;"",TRIM(LEFT(INDEX($A2747:$J2747,$L$6),FIND("(",INDEX($A2747:$J2747,$L$6)&amp;"(")-1)),L2746)</f>
        <v>Building Value Proposition</v>
      </c>
      <c r="M2747" s="37" t="str">
        <f aca="false">IF(INDEX($A2747:$J2747,$M$6)="","",INDEX($A2747:$J2747,$M$6)&amp;"")</f>
        <v/>
      </c>
      <c r="N2747" s="37" t="str">
        <f aca="false">IF($M2747="","",TRIM(INDEX($A2747:$J2747,$N$6)&amp;""))</f>
        <v/>
      </c>
      <c r="O2747" s="37" t="str">
        <f aca="false">IF($M2747="","",TRIM(INDEX($A2747:$J2747,$O$6)&amp;""))</f>
        <v/>
      </c>
      <c r="P2747" s="37" t="str">
        <f aca="false">IF($M2747="","",IFERROR(IF(INDEX(Settings!$B$41:$B$50,MATCH(O2747,Settings!$A$41:$A$50,0))&amp;""="","UNMAPPED",INDEX(Settings!$B$41:$B$50,MATCH(O2747,Settings!$A$41:$A$50,0))&amp;""),"UNMAPPED"))</f>
        <v/>
      </c>
      <c r="Q2747" s="38" t="n">
        <f aca="false">IF($M2747="",0,N(INDEX($A2747:$J2747,$Q$6)))</f>
        <v>0</v>
      </c>
      <c r="R2747" s="39" t="str">
        <f aca="false">IF($M2747="","",INDEX($A2747:$J2747,$R$6))</f>
        <v/>
      </c>
      <c r="S2747" s="37" t="str">
        <f aca="false">IF($M2747="","",IFERROR(INDEX(Settings!$B$27:$B$36,MATCH(L2747,Settings!$A$27:$A$36,0))&amp;"","UNMAPPED"))</f>
        <v/>
      </c>
      <c r="T2747" s="37" t="str">
        <f aca="false">IF($M2747="","",IF(NOT(ISNUMBER(R2747)),"NO DATE",IF(S2747="Won",IF(R2747&gt;Settings!$B$5,"Backlog","Delivered"),IF(S2747="Open",IF(R2747&gt;Settings!$B$5,"Pipeline","Overdue"),IF(S2747="Lost","Lost","UNMAPPED")))))</f>
        <v/>
      </c>
      <c r="U2747" s="40" t="n">
        <f aca="false">IF(T2747="Backlog",1,IF(OR(T2747="Pipeline",T2747="Overdue"),N(INDEX(Settings!$C$27:$C$36,MATCH(L2747,Settings!$A$27:$A$36,0))),0))</f>
        <v>0</v>
      </c>
      <c r="V2747" s="38" t="n">
        <f aca="false">Q2747*U2747</f>
        <v>0</v>
      </c>
      <c r="W2747" s="41" t="str">
        <f aca="false">IF($M2747="","",IF(T2747="Overdue",IF(Settings!$B$8="Yes",Settings!$B$7,""),IF(ISNUMBER(R2747),DATE(YEAR(R2747),MONTH(R2747),1),"")))</f>
        <v/>
      </c>
      <c r="X2747" s="38" t="n">
        <f aca="false">IF(AND(OR(T2747="Backlog",T2747="Pipeline",T2747="Overdue"),ISNUMBER(W2747)),IF(W2747&lt;=Settings!$B$6,V2747,0),0)</f>
        <v>0</v>
      </c>
      <c r="Y2747" s="38" t="n">
        <f aca="false">IF(AND(OR(T2747="Backlog",T2747="Pipeline",T2747="Overdue"),ISNUMBER(W2747)),IF(W2747&lt;=Settings!$B$6,Q2747,0),0)</f>
        <v>0</v>
      </c>
      <c r="Z2747" s="38" t="n">
        <f aca="false">IF(Y2747=0,0,IF(T2747="Backlog",Q2747,Q2747*Dashboard!$C$10))</f>
        <v>0</v>
      </c>
      <c r="AA2747" s="37" t="n">
        <f aca="false">IF($N2747="",0,IF(COUNTIF(Dashboard!$C$13:$C$22,$N2747)&gt;0,1,0))</f>
        <v>0</v>
      </c>
      <c r="AB2747" s="37" t="str">
        <f aca="false">IF($N2747="","",IF(COUNTIF($N$8:$N2747,$N2747)=1,MAX($AB$7:$AB2746)+1,""))</f>
        <v/>
      </c>
    </row>
    <row r="2748" customFormat="false" ht="15" hidden="false" customHeight="false" outlineLevel="0" collapsed="false">
      <c r="L2748" s="37" t="str">
        <f aca="false">IF(INDEX($A2748:$J2748,$L$6)&lt;&gt;"",TRIM(LEFT(INDEX($A2748:$J2748,$L$6),FIND("(",INDEX($A2748:$J2748,$L$6)&amp;"(")-1)),L2747)</f>
        <v>Building Value Proposition</v>
      </c>
      <c r="M2748" s="37" t="str">
        <f aca="false">IF(INDEX($A2748:$J2748,$M$6)="","",INDEX($A2748:$J2748,$M$6)&amp;"")</f>
        <v/>
      </c>
      <c r="N2748" s="37" t="str">
        <f aca="false">IF($M2748="","",TRIM(INDEX($A2748:$J2748,$N$6)&amp;""))</f>
        <v/>
      </c>
      <c r="O2748" s="37" t="str">
        <f aca="false">IF($M2748="","",TRIM(INDEX($A2748:$J2748,$O$6)&amp;""))</f>
        <v/>
      </c>
      <c r="P2748" s="37" t="str">
        <f aca="false">IF($M2748="","",IFERROR(IF(INDEX(Settings!$B$41:$B$50,MATCH(O2748,Settings!$A$41:$A$50,0))&amp;""="","UNMAPPED",INDEX(Settings!$B$41:$B$50,MATCH(O2748,Settings!$A$41:$A$50,0))&amp;""),"UNMAPPED"))</f>
        <v/>
      </c>
      <c r="Q2748" s="38" t="n">
        <f aca="false">IF($M2748="",0,N(INDEX($A2748:$J2748,$Q$6)))</f>
        <v>0</v>
      </c>
      <c r="R2748" s="39" t="str">
        <f aca="false">IF($M2748="","",INDEX($A2748:$J2748,$R$6))</f>
        <v/>
      </c>
      <c r="S2748" s="37" t="str">
        <f aca="false">IF($M2748="","",IFERROR(INDEX(Settings!$B$27:$B$36,MATCH(L2748,Settings!$A$27:$A$36,0))&amp;"","UNMAPPED"))</f>
        <v/>
      </c>
      <c r="T2748" s="37" t="str">
        <f aca="false">IF($M2748="","",IF(NOT(ISNUMBER(R2748)),"NO DATE",IF(S2748="Won",IF(R2748&gt;Settings!$B$5,"Backlog","Delivered"),IF(S2748="Open",IF(R2748&gt;Settings!$B$5,"Pipeline","Overdue"),IF(S2748="Lost","Lost","UNMAPPED")))))</f>
        <v/>
      </c>
      <c r="U2748" s="40" t="n">
        <f aca="false">IF(T2748="Backlog",1,IF(OR(T2748="Pipeline",T2748="Overdue"),N(INDEX(Settings!$C$27:$C$36,MATCH(L2748,Settings!$A$27:$A$36,0))),0))</f>
        <v>0</v>
      </c>
      <c r="V2748" s="38" t="n">
        <f aca="false">Q2748*U2748</f>
        <v>0</v>
      </c>
      <c r="W2748" s="41" t="str">
        <f aca="false">IF($M2748="","",IF(T2748="Overdue",IF(Settings!$B$8="Yes",Settings!$B$7,""),IF(ISNUMBER(R2748),DATE(YEAR(R2748),MONTH(R2748),1),"")))</f>
        <v/>
      </c>
      <c r="X2748" s="38" t="n">
        <f aca="false">IF(AND(OR(T2748="Backlog",T2748="Pipeline",T2748="Overdue"),ISNUMBER(W2748)),IF(W2748&lt;=Settings!$B$6,V2748,0),0)</f>
        <v>0</v>
      </c>
      <c r="Y2748" s="38" t="n">
        <f aca="false">IF(AND(OR(T2748="Backlog",T2748="Pipeline",T2748="Overdue"),ISNUMBER(W2748)),IF(W2748&lt;=Settings!$B$6,Q2748,0),0)</f>
        <v>0</v>
      </c>
      <c r="Z2748" s="38" t="n">
        <f aca="false">IF(Y2748=0,0,IF(T2748="Backlog",Q2748,Q2748*Dashboard!$C$10))</f>
        <v>0</v>
      </c>
      <c r="AA2748" s="37" t="n">
        <f aca="false">IF($N2748="",0,IF(COUNTIF(Dashboard!$C$13:$C$22,$N2748)&gt;0,1,0))</f>
        <v>0</v>
      </c>
      <c r="AB2748" s="37" t="str">
        <f aca="false">IF($N2748="","",IF(COUNTIF($N$8:$N2748,$N2748)=1,MAX($AB$7:$AB2747)+1,""))</f>
        <v/>
      </c>
    </row>
    <row r="2749" customFormat="false" ht="15" hidden="false" customHeight="false" outlineLevel="0" collapsed="false">
      <c r="L2749" s="37" t="str">
        <f aca="false">IF(INDEX($A2749:$J2749,$L$6)&lt;&gt;"",TRIM(LEFT(INDEX($A2749:$J2749,$L$6),FIND("(",INDEX($A2749:$J2749,$L$6)&amp;"(")-1)),L2748)</f>
        <v>Building Value Proposition</v>
      </c>
      <c r="M2749" s="37" t="str">
        <f aca="false">IF(INDEX($A2749:$J2749,$M$6)="","",INDEX($A2749:$J2749,$M$6)&amp;"")</f>
        <v/>
      </c>
      <c r="N2749" s="37" t="str">
        <f aca="false">IF($M2749="","",TRIM(INDEX($A2749:$J2749,$N$6)&amp;""))</f>
        <v/>
      </c>
      <c r="O2749" s="37" t="str">
        <f aca="false">IF($M2749="","",TRIM(INDEX($A2749:$J2749,$O$6)&amp;""))</f>
        <v/>
      </c>
      <c r="P2749" s="37" t="str">
        <f aca="false">IF($M2749="","",IFERROR(IF(INDEX(Settings!$B$41:$B$50,MATCH(O2749,Settings!$A$41:$A$50,0))&amp;""="","UNMAPPED",INDEX(Settings!$B$41:$B$50,MATCH(O2749,Settings!$A$41:$A$50,0))&amp;""),"UNMAPPED"))</f>
        <v/>
      </c>
      <c r="Q2749" s="38" t="n">
        <f aca="false">IF($M2749="",0,N(INDEX($A2749:$J2749,$Q$6)))</f>
        <v>0</v>
      </c>
      <c r="R2749" s="39" t="str">
        <f aca="false">IF($M2749="","",INDEX($A2749:$J2749,$R$6))</f>
        <v/>
      </c>
      <c r="S2749" s="37" t="str">
        <f aca="false">IF($M2749="","",IFERROR(INDEX(Settings!$B$27:$B$36,MATCH(L2749,Settings!$A$27:$A$36,0))&amp;"","UNMAPPED"))</f>
        <v/>
      </c>
      <c r="T2749" s="37" t="str">
        <f aca="false">IF($M2749="","",IF(NOT(ISNUMBER(R2749)),"NO DATE",IF(S2749="Won",IF(R2749&gt;Settings!$B$5,"Backlog","Delivered"),IF(S2749="Open",IF(R2749&gt;Settings!$B$5,"Pipeline","Overdue"),IF(S2749="Lost","Lost","UNMAPPED")))))</f>
        <v/>
      </c>
      <c r="U2749" s="40" t="n">
        <f aca="false">IF(T2749="Backlog",1,IF(OR(T2749="Pipeline",T2749="Overdue"),N(INDEX(Settings!$C$27:$C$36,MATCH(L2749,Settings!$A$27:$A$36,0))),0))</f>
        <v>0</v>
      </c>
      <c r="V2749" s="38" t="n">
        <f aca="false">Q2749*U2749</f>
        <v>0</v>
      </c>
      <c r="W2749" s="41" t="str">
        <f aca="false">IF($M2749="","",IF(T2749="Overdue",IF(Settings!$B$8="Yes",Settings!$B$7,""),IF(ISNUMBER(R2749),DATE(YEAR(R2749),MONTH(R2749),1),"")))</f>
        <v/>
      </c>
      <c r="X2749" s="38" t="n">
        <f aca="false">IF(AND(OR(T2749="Backlog",T2749="Pipeline",T2749="Overdue"),ISNUMBER(W2749)),IF(W2749&lt;=Settings!$B$6,V2749,0),0)</f>
        <v>0</v>
      </c>
      <c r="Y2749" s="38" t="n">
        <f aca="false">IF(AND(OR(T2749="Backlog",T2749="Pipeline",T2749="Overdue"),ISNUMBER(W2749)),IF(W2749&lt;=Settings!$B$6,Q2749,0),0)</f>
        <v>0</v>
      </c>
      <c r="Z2749" s="38" t="n">
        <f aca="false">IF(Y2749=0,0,IF(T2749="Backlog",Q2749,Q2749*Dashboard!$C$10))</f>
        <v>0</v>
      </c>
      <c r="AA2749" s="37" t="n">
        <f aca="false">IF($N2749="",0,IF(COUNTIF(Dashboard!$C$13:$C$22,$N2749)&gt;0,1,0))</f>
        <v>0</v>
      </c>
      <c r="AB2749" s="37" t="str">
        <f aca="false">IF($N2749="","",IF(COUNTIF($N$8:$N2749,$N2749)=1,MAX($AB$7:$AB2748)+1,""))</f>
        <v/>
      </c>
    </row>
    <row r="2750" customFormat="false" ht="15" hidden="false" customHeight="false" outlineLevel="0" collapsed="false">
      <c r="L2750" s="37" t="str">
        <f aca="false">IF(INDEX($A2750:$J2750,$L$6)&lt;&gt;"",TRIM(LEFT(INDEX($A2750:$J2750,$L$6),FIND("(",INDEX($A2750:$J2750,$L$6)&amp;"(")-1)),L2749)</f>
        <v>Building Value Proposition</v>
      </c>
      <c r="M2750" s="37" t="str">
        <f aca="false">IF(INDEX($A2750:$J2750,$M$6)="","",INDEX($A2750:$J2750,$M$6)&amp;"")</f>
        <v/>
      </c>
      <c r="N2750" s="37" t="str">
        <f aca="false">IF($M2750="","",TRIM(INDEX($A2750:$J2750,$N$6)&amp;""))</f>
        <v/>
      </c>
      <c r="O2750" s="37" t="str">
        <f aca="false">IF($M2750="","",TRIM(INDEX($A2750:$J2750,$O$6)&amp;""))</f>
        <v/>
      </c>
      <c r="P2750" s="37" t="str">
        <f aca="false">IF($M2750="","",IFERROR(IF(INDEX(Settings!$B$41:$B$50,MATCH(O2750,Settings!$A$41:$A$50,0))&amp;""="","UNMAPPED",INDEX(Settings!$B$41:$B$50,MATCH(O2750,Settings!$A$41:$A$50,0))&amp;""),"UNMAPPED"))</f>
        <v/>
      </c>
      <c r="Q2750" s="38" t="n">
        <f aca="false">IF($M2750="",0,N(INDEX($A2750:$J2750,$Q$6)))</f>
        <v>0</v>
      </c>
      <c r="R2750" s="39" t="str">
        <f aca="false">IF($M2750="","",INDEX($A2750:$J2750,$R$6))</f>
        <v/>
      </c>
      <c r="S2750" s="37" t="str">
        <f aca="false">IF($M2750="","",IFERROR(INDEX(Settings!$B$27:$B$36,MATCH(L2750,Settings!$A$27:$A$36,0))&amp;"","UNMAPPED"))</f>
        <v/>
      </c>
      <c r="T2750" s="37" t="str">
        <f aca="false">IF($M2750="","",IF(NOT(ISNUMBER(R2750)),"NO DATE",IF(S2750="Won",IF(R2750&gt;Settings!$B$5,"Backlog","Delivered"),IF(S2750="Open",IF(R2750&gt;Settings!$B$5,"Pipeline","Overdue"),IF(S2750="Lost","Lost","UNMAPPED")))))</f>
        <v/>
      </c>
      <c r="U2750" s="40" t="n">
        <f aca="false">IF(T2750="Backlog",1,IF(OR(T2750="Pipeline",T2750="Overdue"),N(INDEX(Settings!$C$27:$C$36,MATCH(L2750,Settings!$A$27:$A$36,0))),0))</f>
        <v>0</v>
      </c>
      <c r="V2750" s="38" t="n">
        <f aca="false">Q2750*U2750</f>
        <v>0</v>
      </c>
      <c r="W2750" s="41" t="str">
        <f aca="false">IF($M2750="","",IF(T2750="Overdue",IF(Settings!$B$8="Yes",Settings!$B$7,""),IF(ISNUMBER(R2750),DATE(YEAR(R2750),MONTH(R2750),1),"")))</f>
        <v/>
      </c>
      <c r="X2750" s="38" t="n">
        <f aca="false">IF(AND(OR(T2750="Backlog",T2750="Pipeline",T2750="Overdue"),ISNUMBER(W2750)),IF(W2750&lt;=Settings!$B$6,V2750,0),0)</f>
        <v>0</v>
      </c>
      <c r="Y2750" s="38" t="n">
        <f aca="false">IF(AND(OR(T2750="Backlog",T2750="Pipeline",T2750="Overdue"),ISNUMBER(W2750)),IF(W2750&lt;=Settings!$B$6,Q2750,0),0)</f>
        <v>0</v>
      </c>
      <c r="Z2750" s="38" t="n">
        <f aca="false">IF(Y2750=0,0,IF(T2750="Backlog",Q2750,Q2750*Dashboard!$C$10))</f>
        <v>0</v>
      </c>
      <c r="AA2750" s="37" t="n">
        <f aca="false">IF($N2750="",0,IF(COUNTIF(Dashboard!$C$13:$C$22,$N2750)&gt;0,1,0))</f>
        <v>0</v>
      </c>
      <c r="AB2750" s="37" t="str">
        <f aca="false">IF($N2750="","",IF(COUNTIF($N$8:$N2750,$N2750)=1,MAX($AB$7:$AB2749)+1,""))</f>
        <v/>
      </c>
    </row>
    <row r="2751" customFormat="false" ht="15" hidden="false" customHeight="false" outlineLevel="0" collapsed="false">
      <c r="L2751" s="37" t="str">
        <f aca="false">IF(INDEX($A2751:$J2751,$L$6)&lt;&gt;"",TRIM(LEFT(INDEX($A2751:$J2751,$L$6),FIND("(",INDEX($A2751:$J2751,$L$6)&amp;"(")-1)),L2750)</f>
        <v>Building Value Proposition</v>
      </c>
      <c r="M2751" s="37" t="str">
        <f aca="false">IF(INDEX($A2751:$J2751,$M$6)="","",INDEX($A2751:$J2751,$M$6)&amp;"")</f>
        <v/>
      </c>
      <c r="N2751" s="37" t="str">
        <f aca="false">IF($M2751="","",TRIM(INDEX($A2751:$J2751,$N$6)&amp;""))</f>
        <v/>
      </c>
      <c r="O2751" s="37" t="str">
        <f aca="false">IF($M2751="","",TRIM(INDEX($A2751:$J2751,$O$6)&amp;""))</f>
        <v/>
      </c>
      <c r="P2751" s="37" t="str">
        <f aca="false">IF($M2751="","",IFERROR(IF(INDEX(Settings!$B$41:$B$50,MATCH(O2751,Settings!$A$41:$A$50,0))&amp;""="","UNMAPPED",INDEX(Settings!$B$41:$B$50,MATCH(O2751,Settings!$A$41:$A$50,0))&amp;""),"UNMAPPED"))</f>
        <v/>
      </c>
      <c r="Q2751" s="38" t="n">
        <f aca="false">IF($M2751="",0,N(INDEX($A2751:$J2751,$Q$6)))</f>
        <v>0</v>
      </c>
      <c r="R2751" s="39" t="str">
        <f aca="false">IF($M2751="","",INDEX($A2751:$J2751,$R$6))</f>
        <v/>
      </c>
      <c r="S2751" s="37" t="str">
        <f aca="false">IF($M2751="","",IFERROR(INDEX(Settings!$B$27:$B$36,MATCH(L2751,Settings!$A$27:$A$36,0))&amp;"","UNMAPPED"))</f>
        <v/>
      </c>
      <c r="T2751" s="37" t="str">
        <f aca="false">IF($M2751="","",IF(NOT(ISNUMBER(R2751)),"NO DATE",IF(S2751="Won",IF(R2751&gt;Settings!$B$5,"Backlog","Delivered"),IF(S2751="Open",IF(R2751&gt;Settings!$B$5,"Pipeline","Overdue"),IF(S2751="Lost","Lost","UNMAPPED")))))</f>
        <v/>
      </c>
      <c r="U2751" s="40" t="n">
        <f aca="false">IF(T2751="Backlog",1,IF(OR(T2751="Pipeline",T2751="Overdue"),N(INDEX(Settings!$C$27:$C$36,MATCH(L2751,Settings!$A$27:$A$36,0))),0))</f>
        <v>0</v>
      </c>
      <c r="V2751" s="38" t="n">
        <f aca="false">Q2751*U2751</f>
        <v>0</v>
      </c>
      <c r="W2751" s="41" t="str">
        <f aca="false">IF($M2751="","",IF(T2751="Overdue",IF(Settings!$B$8="Yes",Settings!$B$7,""),IF(ISNUMBER(R2751),DATE(YEAR(R2751),MONTH(R2751),1),"")))</f>
        <v/>
      </c>
      <c r="X2751" s="38" t="n">
        <f aca="false">IF(AND(OR(T2751="Backlog",T2751="Pipeline",T2751="Overdue"),ISNUMBER(W2751)),IF(W2751&lt;=Settings!$B$6,V2751,0),0)</f>
        <v>0</v>
      </c>
      <c r="Y2751" s="38" t="n">
        <f aca="false">IF(AND(OR(T2751="Backlog",T2751="Pipeline",T2751="Overdue"),ISNUMBER(W2751)),IF(W2751&lt;=Settings!$B$6,Q2751,0),0)</f>
        <v>0</v>
      </c>
      <c r="Z2751" s="38" t="n">
        <f aca="false">IF(Y2751=0,0,IF(T2751="Backlog",Q2751,Q2751*Dashboard!$C$10))</f>
        <v>0</v>
      </c>
      <c r="AA2751" s="37" t="n">
        <f aca="false">IF($N2751="",0,IF(COUNTIF(Dashboard!$C$13:$C$22,$N2751)&gt;0,1,0))</f>
        <v>0</v>
      </c>
      <c r="AB2751" s="37" t="str">
        <f aca="false">IF($N2751="","",IF(COUNTIF($N$8:$N2751,$N2751)=1,MAX($AB$7:$AB2750)+1,""))</f>
        <v/>
      </c>
    </row>
    <row r="2752" customFormat="false" ht="15" hidden="false" customHeight="false" outlineLevel="0" collapsed="false">
      <c r="L2752" s="37" t="str">
        <f aca="false">IF(INDEX($A2752:$J2752,$L$6)&lt;&gt;"",TRIM(LEFT(INDEX($A2752:$J2752,$L$6),FIND("(",INDEX($A2752:$J2752,$L$6)&amp;"(")-1)),L2751)</f>
        <v>Building Value Proposition</v>
      </c>
      <c r="M2752" s="37" t="str">
        <f aca="false">IF(INDEX($A2752:$J2752,$M$6)="","",INDEX($A2752:$J2752,$M$6)&amp;"")</f>
        <v/>
      </c>
      <c r="N2752" s="37" t="str">
        <f aca="false">IF($M2752="","",TRIM(INDEX($A2752:$J2752,$N$6)&amp;""))</f>
        <v/>
      </c>
      <c r="O2752" s="37" t="str">
        <f aca="false">IF($M2752="","",TRIM(INDEX($A2752:$J2752,$O$6)&amp;""))</f>
        <v/>
      </c>
      <c r="P2752" s="37" t="str">
        <f aca="false">IF($M2752="","",IFERROR(IF(INDEX(Settings!$B$41:$B$50,MATCH(O2752,Settings!$A$41:$A$50,0))&amp;""="","UNMAPPED",INDEX(Settings!$B$41:$B$50,MATCH(O2752,Settings!$A$41:$A$50,0))&amp;""),"UNMAPPED"))</f>
        <v/>
      </c>
      <c r="Q2752" s="38" t="n">
        <f aca="false">IF($M2752="",0,N(INDEX($A2752:$J2752,$Q$6)))</f>
        <v>0</v>
      </c>
      <c r="R2752" s="39" t="str">
        <f aca="false">IF($M2752="","",INDEX($A2752:$J2752,$R$6))</f>
        <v/>
      </c>
      <c r="S2752" s="37" t="str">
        <f aca="false">IF($M2752="","",IFERROR(INDEX(Settings!$B$27:$B$36,MATCH(L2752,Settings!$A$27:$A$36,0))&amp;"","UNMAPPED"))</f>
        <v/>
      </c>
      <c r="T2752" s="37" t="str">
        <f aca="false">IF($M2752="","",IF(NOT(ISNUMBER(R2752)),"NO DATE",IF(S2752="Won",IF(R2752&gt;Settings!$B$5,"Backlog","Delivered"),IF(S2752="Open",IF(R2752&gt;Settings!$B$5,"Pipeline","Overdue"),IF(S2752="Lost","Lost","UNMAPPED")))))</f>
        <v/>
      </c>
      <c r="U2752" s="40" t="n">
        <f aca="false">IF(T2752="Backlog",1,IF(OR(T2752="Pipeline",T2752="Overdue"),N(INDEX(Settings!$C$27:$C$36,MATCH(L2752,Settings!$A$27:$A$36,0))),0))</f>
        <v>0</v>
      </c>
      <c r="V2752" s="38" t="n">
        <f aca="false">Q2752*U2752</f>
        <v>0</v>
      </c>
      <c r="W2752" s="41" t="str">
        <f aca="false">IF($M2752="","",IF(T2752="Overdue",IF(Settings!$B$8="Yes",Settings!$B$7,""),IF(ISNUMBER(R2752),DATE(YEAR(R2752),MONTH(R2752),1),"")))</f>
        <v/>
      </c>
      <c r="X2752" s="38" t="n">
        <f aca="false">IF(AND(OR(T2752="Backlog",T2752="Pipeline",T2752="Overdue"),ISNUMBER(W2752)),IF(W2752&lt;=Settings!$B$6,V2752,0),0)</f>
        <v>0</v>
      </c>
      <c r="Y2752" s="38" t="n">
        <f aca="false">IF(AND(OR(T2752="Backlog",T2752="Pipeline",T2752="Overdue"),ISNUMBER(W2752)),IF(W2752&lt;=Settings!$B$6,Q2752,0),0)</f>
        <v>0</v>
      </c>
      <c r="Z2752" s="38" t="n">
        <f aca="false">IF(Y2752=0,0,IF(T2752="Backlog",Q2752,Q2752*Dashboard!$C$10))</f>
        <v>0</v>
      </c>
      <c r="AA2752" s="37" t="n">
        <f aca="false">IF($N2752="",0,IF(COUNTIF(Dashboard!$C$13:$C$22,$N2752)&gt;0,1,0))</f>
        <v>0</v>
      </c>
      <c r="AB2752" s="37" t="str">
        <f aca="false">IF($N2752="","",IF(COUNTIF($N$8:$N2752,$N2752)=1,MAX($AB$7:$AB2751)+1,""))</f>
        <v/>
      </c>
    </row>
    <row r="2753" customFormat="false" ht="15" hidden="false" customHeight="false" outlineLevel="0" collapsed="false">
      <c r="L2753" s="37" t="str">
        <f aca="false">IF(INDEX($A2753:$J2753,$L$6)&lt;&gt;"",TRIM(LEFT(INDEX($A2753:$J2753,$L$6),FIND("(",INDEX($A2753:$J2753,$L$6)&amp;"(")-1)),L2752)</f>
        <v>Building Value Proposition</v>
      </c>
      <c r="M2753" s="37" t="str">
        <f aca="false">IF(INDEX($A2753:$J2753,$M$6)="","",INDEX($A2753:$J2753,$M$6)&amp;"")</f>
        <v/>
      </c>
      <c r="N2753" s="37" t="str">
        <f aca="false">IF($M2753="","",TRIM(INDEX($A2753:$J2753,$N$6)&amp;""))</f>
        <v/>
      </c>
      <c r="O2753" s="37" t="str">
        <f aca="false">IF($M2753="","",TRIM(INDEX($A2753:$J2753,$O$6)&amp;""))</f>
        <v/>
      </c>
      <c r="P2753" s="37" t="str">
        <f aca="false">IF($M2753="","",IFERROR(IF(INDEX(Settings!$B$41:$B$50,MATCH(O2753,Settings!$A$41:$A$50,0))&amp;""="","UNMAPPED",INDEX(Settings!$B$41:$B$50,MATCH(O2753,Settings!$A$41:$A$50,0))&amp;""),"UNMAPPED"))</f>
        <v/>
      </c>
      <c r="Q2753" s="38" t="n">
        <f aca="false">IF($M2753="",0,N(INDEX($A2753:$J2753,$Q$6)))</f>
        <v>0</v>
      </c>
      <c r="R2753" s="39" t="str">
        <f aca="false">IF($M2753="","",INDEX($A2753:$J2753,$R$6))</f>
        <v/>
      </c>
      <c r="S2753" s="37" t="str">
        <f aca="false">IF($M2753="","",IFERROR(INDEX(Settings!$B$27:$B$36,MATCH(L2753,Settings!$A$27:$A$36,0))&amp;"","UNMAPPED"))</f>
        <v/>
      </c>
      <c r="T2753" s="37" t="str">
        <f aca="false">IF($M2753="","",IF(NOT(ISNUMBER(R2753)),"NO DATE",IF(S2753="Won",IF(R2753&gt;Settings!$B$5,"Backlog","Delivered"),IF(S2753="Open",IF(R2753&gt;Settings!$B$5,"Pipeline","Overdue"),IF(S2753="Lost","Lost","UNMAPPED")))))</f>
        <v/>
      </c>
      <c r="U2753" s="40" t="n">
        <f aca="false">IF(T2753="Backlog",1,IF(OR(T2753="Pipeline",T2753="Overdue"),N(INDEX(Settings!$C$27:$C$36,MATCH(L2753,Settings!$A$27:$A$36,0))),0))</f>
        <v>0</v>
      </c>
      <c r="V2753" s="38" t="n">
        <f aca="false">Q2753*U2753</f>
        <v>0</v>
      </c>
      <c r="W2753" s="41" t="str">
        <f aca="false">IF($M2753="","",IF(T2753="Overdue",IF(Settings!$B$8="Yes",Settings!$B$7,""),IF(ISNUMBER(R2753),DATE(YEAR(R2753),MONTH(R2753),1),"")))</f>
        <v/>
      </c>
      <c r="X2753" s="38" t="n">
        <f aca="false">IF(AND(OR(T2753="Backlog",T2753="Pipeline",T2753="Overdue"),ISNUMBER(W2753)),IF(W2753&lt;=Settings!$B$6,V2753,0),0)</f>
        <v>0</v>
      </c>
      <c r="Y2753" s="38" t="n">
        <f aca="false">IF(AND(OR(T2753="Backlog",T2753="Pipeline",T2753="Overdue"),ISNUMBER(W2753)),IF(W2753&lt;=Settings!$B$6,Q2753,0),0)</f>
        <v>0</v>
      </c>
      <c r="Z2753" s="38" t="n">
        <f aca="false">IF(Y2753=0,0,IF(T2753="Backlog",Q2753,Q2753*Dashboard!$C$10))</f>
        <v>0</v>
      </c>
      <c r="AA2753" s="37" t="n">
        <f aca="false">IF($N2753="",0,IF(COUNTIF(Dashboard!$C$13:$C$22,$N2753)&gt;0,1,0))</f>
        <v>0</v>
      </c>
      <c r="AB2753" s="37" t="str">
        <f aca="false">IF($N2753="","",IF(COUNTIF($N$8:$N2753,$N2753)=1,MAX($AB$7:$AB2752)+1,""))</f>
        <v/>
      </c>
    </row>
    <row r="2754" customFormat="false" ht="15" hidden="false" customHeight="false" outlineLevel="0" collapsed="false">
      <c r="L2754" s="37" t="str">
        <f aca="false">IF(INDEX($A2754:$J2754,$L$6)&lt;&gt;"",TRIM(LEFT(INDEX($A2754:$J2754,$L$6),FIND("(",INDEX($A2754:$J2754,$L$6)&amp;"(")-1)),L2753)</f>
        <v>Building Value Proposition</v>
      </c>
      <c r="M2754" s="37" t="str">
        <f aca="false">IF(INDEX($A2754:$J2754,$M$6)="","",INDEX($A2754:$J2754,$M$6)&amp;"")</f>
        <v/>
      </c>
      <c r="N2754" s="37" t="str">
        <f aca="false">IF($M2754="","",TRIM(INDEX($A2754:$J2754,$N$6)&amp;""))</f>
        <v/>
      </c>
      <c r="O2754" s="37" t="str">
        <f aca="false">IF($M2754="","",TRIM(INDEX($A2754:$J2754,$O$6)&amp;""))</f>
        <v/>
      </c>
      <c r="P2754" s="37" t="str">
        <f aca="false">IF($M2754="","",IFERROR(IF(INDEX(Settings!$B$41:$B$50,MATCH(O2754,Settings!$A$41:$A$50,0))&amp;""="","UNMAPPED",INDEX(Settings!$B$41:$B$50,MATCH(O2754,Settings!$A$41:$A$50,0))&amp;""),"UNMAPPED"))</f>
        <v/>
      </c>
      <c r="Q2754" s="38" t="n">
        <f aca="false">IF($M2754="",0,N(INDEX($A2754:$J2754,$Q$6)))</f>
        <v>0</v>
      </c>
      <c r="R2754" s="39" t="str">
        <f aca="false">IF($M2754="","",INDEX($A2754:$J2754,$R$6))</f>
        <v/>
      </c>
      <c r="S2754" s="37" t="str">
        <f aca="false">IF($M2754="","",IFERROR(INDEX(Settings!$B$27:$B$36,MATCH(L2754,Settings!$A$27:$A$36,0))&amp;"","UNMAPPED"))</f>
        <v/>
      </c>
      <c r="T2754" s="37" t="str">
        <f aca="false">IF($M2754="","",IF(NOT(ISNUMBER(R2754)),"NO DATE",IF(S2754="Won",IF(R2754&gt;Settings!$B$5,"Backlog","Delivered"),IF(S2754="Open",IF(R2754&gt;Settings!$B$5,"Pipeline","Overdue"),IF(S2754="Lost","Lost","UNMAPPED")))))</f>
        <v/>
      </c>
      <c r="U2754" s="40" t="n">
        <f aca="false">IF(T2754="Backlog",1,IF(OR(T2754="Pipeline",T2754="Overdue"),N(INDEX(Settings!$C$27:$C$36,MATCH(L2754,Settings!$A$27:$A$36,0))),0))</f>
        <v>0</v>
      </c>
      <c r="V2754" s="38" t="n">
        <f aca="false">Q2754*U2754</f>
        <v>0</v>
      </c>
      <c r="W2754" s="41" t="str">
        <f aca="false">IF($M2754="","",IF(T2754="Overdue",IF(Settings!$B$8="Yes",Settings!$B$7,""),IF(ISNUMBER(R2754),DATE(YEAR(R2754),MONTH(R2754),1),"")))</f>
        <v/>
      </c>
      <c r="X2754" s="38" t="n">
        <f aca="false">IF(AND(OR(T2754="Backlog",T2754="Pipeline",T2754="Overdue"),ISNUMBER(W2754)),IF(W2754&lt;=Settings!$B$6,V2754,0),0)</f>
        <v>0</v>
      </c>
      <c r="Y2754" s="38" t="n">
        <f aca="false">IF(AND(OR(T2754="Backlog",T2754="Pipeline",T2754="Overdue"),ISNUMBER(W2754)),IF(W2754&lt;=Settings!$B$6,Q2754,0),0)</f>
        <v>0</v>
      </c>
      <c r="Z2754" s="38" t="n">
        <f aca="false">IF(Y2754=0,0,IF(T2754="Backlog",Q2754,Q2754*Dashboard!$C$10))</f>
        <v>0</v>
      </c>
      <c r="AA2754" s="37" t="n">
        <f aca="false">IF($N2754="",0,IF(COUNTIF(Dashboard!$C$13:$C$22,$N2754)&gt;0,1,0))</f>
        <v>0</v>
      </c>
      <c r="AB2754" s="37" t="str">
        <f aca="false">IF($N2754="","",IF(COUNTIF($N$8:$N2754,$N2754)=1,MAX($AB$7:$AB2753)+1,""))</f>
        <v/>
      </c>
    </row>
    <row r="2755" customFormat="false" ht="15" hidden="false" customHeight="false" outlineLevel="0" collapsed="false">
      <c r="L2755" s="37" t="str">
        <f aca="false">IF(INDEX($A2755:$J2755,$L$6)&lt;&gt;"",TRIM(LEFT(INDEX($A2755:$J2755,$L$6),FIND("(",INDEX($A2755:$J2755,$L$6)&amp;"(")-1)),L2754)</f>
        <v>Building Value Proposition</v>
      </c>
      <c r="M2755" s="37" t="str">
        <f aca="false">IF(INDEX($A2755:$J2755,$M$6)="","",INDEX($A2755:$J2755,$M$6)&amp;"")</f>
        <v/>
      </c>
      <c r="N2755" s="37" t="str">
        <f aca="false">IF($M2755="","",TRIM(INDEX($A2755:$J2755,$N$6)&amp;""))</f>
        <v/>
      </c>
      <c r="O2755" s="37" t="str">
        <f aca="false">IF($M2755="","",TRIM(INDEX($A2755:$J2755,$O$6)&amp;""))</f>
        <v/>
      </c>
      <c r="P2755" s="37" t="str">
        <f aca="false">IF($M2755="","",IFERROR(IF(INDEX(Settings!$B$41:$B$50,MATCH(O2755,Settings!$A$41:$A$50,0))&amp;""="","UNMAPPED",INDEX(Settings!$B$41:$B$50,MATCH(O2755,Settings!$A$41:$A$50,0))&amp;""),"UNMAPPED"))</f>
        <v/>
      </c>
      <c r="Q2755" s="38" t="n">
        <f aca="false">IF($M2755="",0,N(INDEX($A2755:$J2755,$Q$6)))</f>
        <v>0</v>
      </c>
      <c r="R2755" s="39" t="str">
        <f aca="false">IF($M2755="","",INDEX($A2755:$J2755,$R$6))</f>
        <v/>
      </c>
      <c r="S2755" s="37" t="str">
        <f aca="false">IF($M2755="","",IFERROR(INDEX(Settings!$B$27:$B$36,MATCH(L2755,Settings!$A$27:$A$36,0))&amp;"","UNMAPPED"))</f>
        <v/>
      </c>
      <c r="T2755" s="37" t="str">
        <f aca="false">IF($M2755="","",IF(NOT(ISNUMBER(R2755)),"NO DATE",IF(S2755="Won",IF(R2755&gt;Settings!$B$5,"Backlog","Delivered"),IF(S2755="Open",IF(R2755&gt;Settings!$B$5,"Pipeline","Overdue"),IF(S2755="Lost","Lost","UNMAPPED")))))</f>
        <v/>
      </c>
      <c r="U2755" s="40" t="n">
        <f aca="false">IF(T2755="Backlog",1,IF(OR(T2755="Pipeline",T2755="Overdue"),N(INDEX(Settings!$C$27:$C$36,MATCH(L2755,Settings!$A$27:$A$36,0))),0))</f>
        <v>0</v>
      </c>
      <c r="V2755" s="38" t="n">
        <f aca="false">Q2755*U2755</f>
        <v>0</v>
      </c>
      <c r="W2755" s="41" t="str">
        <f aca="false">IF($M2755="","",IF(T2755="Overdue",IF(Settings!$B$8="Yes",Settings!$B$7,""),IF(ISNUMBER(R2755),DATE(YEAR(R2755),MONTH(R2755),1),"")))</f>
        <v/>
      </c>
      <c r="X2755" s="38" t="n">
        <f aca="false">IF(AND(OR(T2755="Backlog",T2755="Pipeline",T2755="Overdue"),ISNUMBER(W2755)),IF(W2755&lt;=Settings!$B$6,V2755,0),0)</f>
        <v>0</v>
      </c>
      <c r="Y2755" s="38" t="n">
        <f aca="false">IF(AND(OR(T2755="Backlog",T2755="Pipeline",T2755="Overdue"),ISNUMBER(W2755)),IF(W2755&lt;=Settings!$B$6,Q2755,0),0)</f>
        <v>0</v>
      </c>
      <c r="Z2755" s="38" t="n">
        <f aca="false">IF(Y2755=0,0,IF(T2755="Backlog",Q2755,Q2755*Dashboard!$C$10))</f>
        <v>0</v>
      </c>
      <c r="AA2755" s="37" t="n">
        <f aca="false">IF($N2755="",0,IF(COUNTIF(Dashboard!$C$13:$C$22,$N2755)&gt;0,1,0))</f>
        <v>0</v>
      </c>
      <c r="AB2755" s="37" t="str">
        <f aca="false">IF($N2755="","",IF(COUNTIF($N$8:$N2755,$N2755)=1,MAX($AB$7:$AB2754)+1,""))</f>
        <v/>
      </c>
    </row>
    <row r="2756" customFormat="false" ht="15" hidden="false" customHeight="false" outlineLevel="0" collapsed="false">
      <c r="L2756" s="37" t="str">
        <f aca="false">IF(INDEX($A2756:$J2756,$L$6)&lt;&gt;"",TRIM(LEFT(INDEX($A2756:$J2756,$L$6),FIND("(",INDEX($A2756:$J2756,$L$6)&amp;"(")-1)),L2755)</f>
        <v>Building Value Proposition</v>
      </c>
      <c r="M2756" s="37" t="str">
        <f aca="false">IF(INDEX($A2756:$J2756,$M$6)="","",INDEX($A2756:$J2756,$M$6)&amp;"")</f>
        <v/>
      </c>
      <c r="N2756" s="37" t="str">
        <f aca="false">IF($M2756="","",TRIM(INDEX($A2756:$J2756,$N$6)&amp;""))</f>
        <v/>
      </c>
      <c r="O2756" s="37" t="str">
        <f aca="false">IF($M2756="","",TRIM(INDEX($A2756:$J2756,$O$6)&amp;""))</f>
        <v/>
      </c>
      <c r="P2756" s="37" t="str">
        <f aca="false">IF($M2756="","",IFERROR(IF(INDEX(Settings!$B$41:$B$50,MATCH(O2756,Settings!$A$41:$A$50,0))&amp;""="","UNMAPPED",INDEX(Settings!$B$41:$B$50,MATCH(O2756,Settings!$A$41:$A$50,0))&amp;""),"UNMAPPED"))</f>
        <v/>
      </c>
      <c r="Q2756" s="38" t="n">
        <f aca="false">IF($M2756="",0,N(INDEX($A2756:$J2756,$Q$6)))</f>
        <v>0</v>
      </c>
      <c r="R2756" s="39" t="str">
        <f aca="false">IF($M2756="","",INDEX($A2756:$J2756,$R$6))</f>
        <v/>
      </c>
      <c r="S2756" s="37" t="str">
        <f aca="false">IF($M2756="","",IFERROR(INDEX(Settings!$B$27:$B$36,MATCH(L2756,Settings!$A$27:$A$36,0))&amp;"","UNMAPPED"))</f>
        <v/>
      </c>
      <c r="T2756" s="37" t="str">
        <f aca="false">IF($M2756="","",IF(NOT(ISNUMBER(R2756)),"NO DATE",IF(S2756="Won",IF(R2756&gt;Settings!$B$5,"Backlog","Delivered"),IF(S2756="Open",IF(R2756&gt;Settings!$B$5,"Pipeline","Overdue"),IF(S2756="Lost","Lost","UNMAPPED")))))</f>
        <v/>
      </c>
      <c r="U2756" s="40" t="n">
        <f aca="false">IF(T2756="Backlog",1,IF(OR(T2756="Pipeline",T2756="Overdue"),N(INDEX(Settings!$C$27:$C$36,MATCH(L2756,Settings!$A$27:$A$36,0))),0))</f>
        <v>0</v>
      </c>
      <c r="V2756" s="38" t="n">
        <f aca="false">Q2756*U2756</f>
        <v>0</v>
      </c>
      <c r="W2756" s="41" t="str">
        <f aca="false">IF($M2756="","",IF(T2756="Overdue",IF(Settings!$B$8="Yes",Settings!$B$7,""),IF(ISNUMBER(R2756),DATE(YEAR(R2756),MONTH(R2756),1),"")))</f>
        <v/>
      </c>
      <c r="X2756" s="38" t="n">
        <f aca="false">IF(AND(OR(T2756="Backlog",T2756="Pipeline",T2756="Overdue"),ISNUMBER(W2756)),IF(W2756&lt;=Settings!$B$6,V2756,0),0)</f>
        <v>0</v>
      </c>
      <c r="Y2756" s="38" t="n">
        <f aca="false">IF(AND(OR(T2756="Backlog",T2756="Pipeline",T2756="Overdue"),ISNUMBER(W2756)),IF(W2756&lt;=Settings!$B$6,Q2756,0),0)</f>
        <v>0</v>
      </c>
      <c r="Z2756" s="38" t="n">
        <f aca="false">IF(Y2756=0,0,IF(T2756="Backlog",Q2756,Q2756*Dashboard!$C$10))</f>
        <v>0</v>
      </c>
      <c r="AA2756" s="37" t="n">
        <f aca="false">IF($N2756="",0,IF(COUNTIF(Dashboard!$C$13:$C$22,$N2756)&gt;0,1,0))</f>
        <v>0</v>
      </c>
      <c r="AB2756" s="37" t="str">
        <f aca="false">IF($N2756="","",IF(COUNTIF($N$8:$N2756,$N2756)=1,MAX($AB$7:$AB2755)+1,""))</f>
        <v/>
      </c>
    </row>
    <row r="2757" customFormat="false" ht="15" hidden="false" customHeight="false" outlineLevel="0" collapsed="false">
      <c r="L2757" s="37" t="str">
        <f aca="false">IF(INDEX($A2757:$J2757,$L$6)&lt;&gt;"",TRIM(LEFT(INDEX($A2757:$J2757,$L$6),FIND("(",INDEX($A2757:$J2757,$L$6)&amp;"(")-1)),L2756)</f>
        <v>Building Value Proposition</v>
      </c>
      <c r="M2757" s="37" t="str">
        <f aca="false">IF(INDEX($A2757:$J2757,$M$6)="","",INDEX($A2757:$J2757,$M$6)&amp;"")</f>
        <v/>
      </c>
      <c r="N2757" s="37" t="str">
        <f aca="false">IF($M2757="","",TRIM(INDEX($A2757:$J2757,$N$6)&amp;""))</f>
        <v/>
      </c>
      <c r="O2757" s="37" t="str">
        <f aca="false">IF($M2757="","",TRIM(INDEX($A2757:$J2757,$O$6)&amp;""))</f>
        <v/>
      </c>
      <c r="P2757" s="37" t="str">
        <f aca="false">IF($M2757="","",IFERROR(IF(INDEX(Settings!$B$41:$B$50,MATCH(O2757,Settings!$A$41:$A$50,0))&amp;""="","UNMAPPED",INDEX(Settings!$B$41:$B$50,MATCH(O2757,Settings!$A$41:$A$50,0))&amp;""),"UNMAPPED"))</f>
        <v/>
      </c>
      <c r="Q2757" s="38" t="n">
        <f aca="false">IF($M2757="",0,N(INDEX($A2757:$J2757,$Q$6)))</f>
        <v>0</v>
      </c>
      <c r="R2757" s="39" t="str">
        <f aca="false">IF($M2757="","",INDEX($A2757:$J2757,$R$6))</f>
        <v/>
      </c>
      <c r="S2757" s="37" t="str">
        <f aca="false">IF($M2757="","",IFERROR(INDEX(Settings!$B$27:$B$36,MATCH(L2757,Settings!$A$27:$A$36,0))&amp;"","UNMAPPED"))</f>
        <v/>
      </c>
      <c r="T2757" s="37" t="str">
        <f aca="false">IF($M2757="","",IF(NOT(ISNUMBER(R2757)),"NO DATE",IF(S2757="Won",IF(R2757&gt;Settings!$B$5,"Backlog","Delivered"),IF(S2757="Open",IF(R2757&gt;Settings!$B$5,"Pipeline","Overdue"),IF(S2757="Lost","Lost","UNMAPPED")))))</f>
        <v/>
      </c>
      <c r="U2757" s="40" t="n">
        <f aca="false">IF(T2757="Backlog",1,IF(OR(T2757="Pipeline",T2757="Overdue"),N(INDEX(Settings!$C$27:$C$36,MATCH(L2757,Settings!$A$27:$A$36,0))),0))</f>
        <v>0</v>
      </c>
      <c r="V2757" s="38" t="n">
        <f aca="false">Q2757*U2757</f>
        <v>0</v>
      </c>
      <c r="W2757" s="41" t="str">
        <f aca="false">IF($M2757="","",IF(T2757="Overdue",IF(Settings!$B$8="Yes",Settings!$B$7,""),IF(ISNUMBER(R2757),DATE(YEAR(R2757),MONTH(R2757),1),"")))</f>
        <v/>
      </c>
      <c r="X2757" s="38" t="n">
        <f aca="false">IF(AND(OR(T2757="Backlog",T2757="Pipeline",T2757="Overdue"),ISNUMBER(W2757)),IF(W2757&lt;=Settings!$B$6,V2757,0),0)</f>
        <v>0</v>
      </c>
      <c r="Y2757" s="38" t="n">
        <f aca="false">IF(AND(OR(T2757="Backlog",T2757="Pipeline",T2757="Overdue"),ISNUMBER(W2757)),IF(W2757&lt;=Settings!$B$6,Q2757,0),0)</f>
        <v>0</v>
      </c>
      <c r="Z2757" s="38" t="n">
        <f aca="false">IF(Y2757=0,0,IF(T2757="Backlog",Q2757,Q2757*Dashboard!$C$10))</f>
        <v>0</v>
      </c>
      <c r="AA2757" s="37" t="n">
        <f aca="false">IF($N2757="",0,IF(COUNTIF(Dashboard!$C$13:$C$22,$N2757)&gt;0,1,0))</f>
        <v>0</v>
      </c>
      <c r="AB2757" s="37" t="str">
        <f aca="false">IF($N2757="","",IF(COUNTIF($N$8:$N2757,$N2757)=1,MAX($AB$7:$AB2756)+1,""))</f>
        <v/>
      </c>
    </row>
    <row r="2758" customFormat="false" ht="15" hidden="false" customHeight="false" outlineLevel="0" collapsed="false">
      <c r="L2758" s="37" t="str">
        <f aca="false">IF(INDEX($A2758:$J2758,$L$6)&lt;&gt;"",TRIM(LEFT(INDEX($A2758:$J2758,$L$6),FIND("(",INDEX($A2758:$J2758,$L$6)&amp;"(")-1)),L2757)</f>
        <v>Building Value Proposition</v>
      </c>
      <c r="M2758" s="37" t="str">
        <f aca="false">IF(INDEX($A2758:$J2758,$M$6)="","",INDEX($A2758:$J2758,$M$6)&amp;"")</f>
        <v/>
      </c>
      <c r="N2758" s="37" t="str">
        <f aca="false">IF($M2758="","",TRIM(INDEX($A2758:$J2758,$N$6)&amp;""))</f>
        <v/>
      </c>
      <c r="O2758" s="37" t="str">
        <f aca="false">IF($M2758="","",TRIM(INDEX($A2758:$J2758,$O$6)&amp;""))</f>
        <v/>
      </c>
      <c r="P2758" s="37" t="str">
        <f aca="false">IF($M2758="","",IFERROR(IF(INDEX(Settings!$B$41:$B$50,MATCH(O2758,Settings!$A$41:$A$50,0))&amp;""="","UNMAPPED",INDEX(Settings!$B$41:$B$50,MATCH(O2758,Settings!$A$41:$A$50,0))&amp;""),"UNMAPPED"))</f>
        <v/>
      </c>
      <c r="Q2758" s="38" t="n">
        <f aca="false">IF($M2758="",0,N(INDEX($A2758:$J2758,$Q$6)))</f>
        <v>0</v>
      </c>
      <c r="R2758" s="39" t="str">
        <f aca="false">IF($M2758="","",INDEX($A2758:$J2758,$R$6))</f>
        <v/>
      </c>
      <c r="S2758" s="37" t="str">
        <f aca="false">IF($M2758="","",IFERROR(INDEX(Settings!$B$27:$B$36,MATCH(L2758,Settings!$A$27:$A$36,0))&amp;"","UNMAPPED"))</f>
        <v/>
      </c>
      <c r="T2758" s="37" t="str">
        <f aca="false">IF($M2758="","",IF(NOT(ISNUMBER(R2758)),"NO DATE",IF(S2758="Won",IF(R2758&gt;Settings!$B$5,"Backlog","Delivered"),IF(S2758="Open",IF(R2758&gt;Settings!$B$5,"Pipeline","Overdue"),IF(S2758="Lost","Lost","UNMAPPED")))))</f>
        <v/>
      </c>
      <c r="U2758" s="40" t="n">
        <f aca="false">IF(T2758="Backlog",1,IF(OR(T2758="Pipeline",T2758="Overdue"),N(INDEX(Settings!$C$27:$C$36,MATCH(L2758,Settings!$A$27:$A$36,0))),0))</f>
        <v>0</v>
      </c>
      <c r="V2758" s="38" t="n">
        <f aca="false">Q2758*U2758</f>
        <v>0</v>
      </c>
      <c r="W2758" s="41" t="str">
        <f aca="false">IF($M2758="","",IF(T2758="Overdue",IF(Settings!$B$8="Yes",Settings!$B$7,""),IF(ISNUMBER(R2758),DATE(YEAR(R2758),MONTH(R2758),1),"")))</f>
        <v/>
      </c>
      <c r="X2758" s="38" t="n">
        <f aca="false">IF(AND(OR(T2758="Backlog",T2758="Pipeline",T2758="Overdue"),ISNUMBER(W2758)),IF(W2758&lt;=Settings!$B$6,V2758,0),0)</f>
        <v>0</v>
      </c>
      <c r="Y2758" s="38" t="n">
        <f aca="false">IF(AND(OR(T2758="Backlog",T2758="Pipeline",T2758="Overdue"),ISNUMBER(W2758)),IF(W2758&lt;=Settings!$B$6,Q2758,0),0)</f>
        <v>0</v>
      </c>
      <c r="Z2758" s="38" t="n">
        <f aca="false">IF(Y2758=0,0,IF(T2758="Backlog",Q2758,Q2758*Dashboard!$C$10))</f>
        <v>0</v>
      </c>
      <c r="AA2758" s="37" t="n">
        <f aca="false">IF($N2758="",0,IF(COUNTIF(Dashboard!$C$13:$C$22,$N2758)&gt;0,1,0))</f>
        <v>0</v>
      </c>
      <c r="AB2758" s="37" t="str">
        <f aca="false">IF($N2758="","",IF(COUNTIF($N$8:$N2758,$N2758)=1,MAX($AB$7:$AB2757)+1,""))</f>
        <v/>
      </c>
    </row>
    <row r="2759" customFormat="false" ht="15" hidden="false" customHeight="false" outlineLevel="0" collapsed="false">
      <c r="L2759" s="37" t="str">
        <f aca="false">IF(INDEX($A2759:$J2759,$L$6)&lt;&gt;"",TRIM(LEFT(INDEX($A2759:$J2759,$L$6),FIND("(",INDEX($A2759:$J2759,$L$6)&amp;"(")-1)),L2758)</f>
        <v>Building Value Proposition</v>
      </c>
      <c r="M2759" s="37" t="str">
        <f aca="false">IF(INDEX($A2759:$J2759,$M$6)="","",INDEX($A2759:$J2759,$M$6)&amp;"")</f>
        <v/>
      </c>
      <c r="N2759" s="37" t="str">
        <f aca="false">IF($M2759="","",TRIM(INDEX($A2759:$J2759,$N$6)&amp;""))</f>
        <v/>
      </c>
      <c r="O2759" s="37" t="str">
        <f aca="false">IF($M2759="","",TRIM(INDEX($A2759:$J2759,$O$6)&amp;""))</f>
        <v/>
      </c>
      <c r="P2759" s="37" t="str">
        <f aca="false">IF($M2759="","",IFERROR(IF(INDEX(Settings!$B$41:$B$50,MATCH(O2759,Settings!$A$41:$A$50,0))&amp;""="","UNMAPPED",INDEX(Settings!$B$41:$B$50,MATCH(O2759,Settings!$A$41:$A$50,0))&amp;""),"UNMAPPED"))</f>
        <v/>
      </c>
      <c r="Q2759" s="38" t="n">
        <f aca="false">IF($M2759="",0,N(INDEX($A2759:$J2759,$Q$6)))</f>
        <v>0</v>
      </c>
      <c r="R2759" s="39" t="str">
        <f aca="false">IF($M2759="","",INDEX($A2759:$J2759,$R$6))</f>
        <v/>
      </c>
      <c r="S2759" s="37" t="str">
        <f aca="false">IF($M2759="","",IFERROR(INDEX(Settings!$B$27:$B$36,MATCH(L2759,Settings!$A$27:$A$36,0))&amp;"","UNMAPPED"))</f>
        <v/>
      </c>
      <c r="T2759" s="37" t="str">
        <f aca="false">IF($M2759="","",IF(NOT(ISNUMBER(R2759)),"NO DATE",IF(S2759="Won",IF(R2759&gt;Settings!$B$5,"Backlog","Delivered"),IF(S2759="Open",IF(R2759&gt;Settings!$B$5,"Pipeline","Overdue"),IF(S2759="Lost","Lost","UNMAPPED")))))</f>
        <v/>
      </c>
      <c r="U2759" s="40" t="n">
        <f aca="false">IF(T2759="Backlog",1,IF(OR(T2759="Pipeline",T2759="Overdue"),N(INDEX(Settings!$C$27:$C$36,MATCH(L2759,Settings!$A$27:$A$36,0))),0))</f>
        <v>0</v>
      </c>
      <c r="V2759" s="38" t="n">
        <f aca="false">Q2759*U2759</f>
        <v>0</v>
      </c>
      <c r="W2759" s="41" t="str">
        <f aca="false">IF($M2759="","",IF(T2759="Overdue",IF(Settings!$B$8="Yes",Settings!$B$7,""),IF(ISNUMBER(R2759),DATE(YEAR(R2759),MONTH(R2759),1),"")))</f>
        <v/>
      </c>
      <c r="X2759" s="38" t="n">
        <f aca="false">IF(AND(OR(T2759="Backlog",T2759="Pipeline",T2759="Overdue"),ISNUMBER(W2759)),IF(W2759&lt;=Settings!$B$6,V2759,0),0)</f>
        <v>0</v>
      </c>
      <c r="Y2759" s="38" t="n">
        <f aca="false">IF(AND(OR(T2759="Backlog",T2759="Pipeline",T2759="Overdue"),ISNUMBER(W2759)),IF(W2759&lt;=Settings!$B$6,Q2759,0),0)</f>
        <v>0</v>
      </c>
      <c r="Z2759" s="38" t="n">
        <f aca="false">IF(Y2759=0,0,IF(T2759="Backlog",Q2759,Q2759*Dashboard!$C$10))</f>
        <v>0</v>
      </c>
      <c r="AA2759" s="37" t="n">
        <f aca="false">IF($N2759="",0,IF(COUNTIF(Dashboard!$C$13:$C$22,$N2759)&gt;0,1,0))</f>
        <v>0</v>
      </c>
      <c r="AB2759" s="37" t="str">
        <f aca="false">IF($N2759="","",IF(COUNTIF($N$8:$N2759,$N2759)=1,MAX($AB$7:$AB2758)+1,""))</f>
        <v/>
      </c>
    </row>
    <row r="2760" customFormat="false" ht="15" hidden="false" customHeight="false" outlineLevel="0" collapsed="false">
      <c r="L2760" s="37" t="str">
        <f aca="false">IF(INDEX($A2760:$J2760,$L$6)&lt;&gt;"",TRIM(LEFT(INDEX($A2760:$J2760,$L$6),FIND("(",INDEX($A2760:$J2760,$L$6)&amp;"(")-1)),L2759)</f>
        <v>Building Value Proposition</v>
      </c>
      <c r="M2760" s="37" t="str">
        <f aca="false">IF(INDEX($A2760:$J2760,$M$6)="","",INDEX($A2760:$J2760,$M$6)&amp;"")</f>
        <v/>
      </c>
      <c r="N2760" s="37" t="str">
        <f aca="false">IF($M2760="","",TRIM(INDEX($A2760:$J2760,$N$6)&amp;""))</f>
        <v/>
      </c>
      <c r="O2760" s="37" t="str">
        <f aca="false">IF($M2760="","",TRIM(INDEX($A2760:$J2760,$O$6)&amp;""))</f>
        <v/>
      </c>
      <c r="P2760" s="37" t="str">
        <f aca="false">IF($M2760="","",IFERROR(IF(INDEX(Settings!$B$41:$B$50,MATCH(O2760,Settings!$A$41:$A$50,0))&amp;""="","UNMAPPED",INDEX(Settings!$B$41:$B$50,MATCH(O2760,Settings!$A$41:$A$50,0))&amp;""),"UNMAPPED"))</f>
        <v/>
      </c>
      <c r="Q2760" s="38" t="n">
        <f aca="false">IF($M2760="",0,N(INDEX($A2760:$J2760,$Q$6)))</f>
        <v>0</v>
      </c>
      <c r="R2760" s="39" t="str">
        <f aca="false">IF($M2760="","",INDEX($A2760:$J2760,$R$6))</f>
        <v/>
      </c>
      <c r="S2760" s="37" t="str">
        <f aca="false">IF($M2760="","",IFERROR(INDEX(Settings!$B$27:$B$36,MATCH(L2760,Settings!$A$27:$A$36,0))&amp;"","UNMAPPED"))</f>
        <v/>
      </c>
      <c r="T2760" s="37" t="str">
        <f aca="false">IF($M2760="","",IF(NOT(ISNUMBER(R2760)),"NO DATE",IF(S2760="Won",IF(R2760&gt;Settings!$B$5,"Backlog","Delivered"),IF(S2760="Open",IF(R2760&gt;Settings!$B$5,"Pipeline","Overdue"),IF(S2760="Lost","Lost","UNMAPPED")))))</f>
        <v/>
      </c>
      <c r="U2760" s="40" t="n">
        <f aca="false">IF(T2760="Backlog",1,IF(OR(T2760="Pipeline",T2760="Overdue"),N(INDEX(Settings!$C$27:$C$36,MATCH(L2760,Settings!$A$27:$A$36,0))),0))</f>
        <v>0</v>
      </c>
      <c r="V2760" s="38" t="n">
        <f aca="false">Q2760*U2760</f>
        <v>0</v>
      </c>
      <c r="W2760" s="41" t="str">
        <f aca="false">IF($M2760="","",IF(T2760="Overdue",IF(Settings!$B$8="Yes",Settings!$B$7,""),IF(ISNUMBER(R2760),DATE(YEAR(R2760),MONTH(R2760),1),"")))</f>
        <v/>
      </c>
      <c r="X2760" s="38" t="n">
        <f aca="false">IF(AND(OR(T2760="Backlog",T2760="Pipeline",T2760="Overdue"),ISNUMBER(W2760)),IF(W2760&lt;=Settings!$B$6,V2760,0),0)</f>
        <v>0</v>
      </c>
      <c r="Y2760" s="38" t="n">
        <f aca="false">IF(AND(OR(T2760="Backlog",T2760="Pipeline",T2760="Overdue"),ISNUMBER(W2760)),IF(W2760&lt;=Settings!$B$6,Q2760,0),0)</f>
        <v>0</v>
      </c>
      <c r="Z2760" s="38" t="n">
        <f aca="false">IF(Y2760=0,0,IF(T2760="Backlog",Q2760,Q2760*Dashboard!$C$10))</f>
        <v>0</v>
      </c>
      <c r="AA2760" s="37" t="n">
        <f aca="false">IF($N2760="",0,IF(COUNTIF(Dashboard!$C$13:$C$22,$N2760)&gt;0,1,0))</f>
        <v>0</v>
      </c>
      <c r="AB2760" s="37" t="str">
        <f aca="false">IF($N2760="","",IF(COUNTIF($N$8:$N2760,$N2760)=1,MAX($AB$7:$AB2759)+1,""))</f>
        <v/>
      </c>
    </row>
    <row r="2761" customFormat="false" ht="15" hidden="false" customHeight="false" outlineLevel="0" collapsed="false">
      <c r="L2761" s="37" t="str">
        <f aca="false">IF(INDEX($A2761:$J2761,$L$6)&lt;&gt;"",TRIM(LEFT(INDEX($A2761:$J2761,$L$6),FIND("(",INDEX($A2761:$J2761,$L$6)&amp;"(")-1)),L2760)</f>
        <v>Building Value Proposition</v>
      </c>
      <c r="M2761" s="37" t="str">
        <f aca="false">IF(INDEX($A2761:$J2761,$M$6)="","",INDEX($A2761:$J2761,$M$6)&amp;"")</f>
        <v/>
      </c>
      <c r="N2761" s="37" t="str">
        <f aca="false">IF($M2761="","",TRIM(INDEX($A2761:$J2761,$N$6)&amp;""))</f>
        <v/>
      </c>
      <c r="O2761" s="37" t="str">
        <f aca="false">IF($M2761="","",TRIM(INDEX($A2761:$J2761,$O$6)&amp;""))</f>
        <v/>
      </c>
      <c r="P2761" s="37" t="str">
        <f aca="false">IF($M2761="","",IFERROR(IF(INDEX(Settings!$B$41:$B$50,MATCH(O2761,Settings!$A$41:$A$50,0))&amp;""="","UNMAPPED",INDEX(Settings!$B$41:$B$50,MATCH(O2761,Settings!$A$41:$A$50,0))&amp;""),"UNMAPPED"))</f>
        <v/>
      </c>
      <c r="Q2761" s="38" t="n">
        <f aca="false">IF($M2761="",0,N(INDEX($A2761:$J2761,$Q$6)))</f>
        <v>0</v>
      </c>
      <c r="R2761" s="39" t="str">
        <f aca="false">IF($M2761="","",INDEX($A2761:$J2761,$R$6))</f>
        <v/>
      </c>
      <c r="S2761" s="37" t="str">
        <f aca="false">IF($M2761="","",IFERROR(INDEX(Settings!$B$27:$B$36,MATCH(L2761,Settings!$A$27:$A$36,0))&amp;"","UNMAPPED"))</f>
        <v/>
      </c>
      <c r="T2761" s="37" t="str">
        <f aca="false">IF($M2761="","",IF(NOT(ISNUMBER(R2761)),"NO DATE",IF(S2761="Won",IF(R2761&gt;Settings!$B$5,"Backlog","Delivered"),IF(S2761="Open",IF(R2761&gt;Settings!$B$5,"Pipeline","Overdue"),IF(S2761="Lost","Lost","UNMAPPED")))))</f>
        <v/>
      </c>
      <c r="U2761" s="40" t="n">
        <f aca="false">IF(T2761="Backlog",1,IF(OR(T2761="Pipeline",T2761="Overdue"),N(INDEX(Settings!$C$27:$C$36,MATCH(L2761,Settings!$A$27:$A$36,0))),0))</f>
        <v>0</v>
      </c>
      <c r="V2761" s="38" t="n">
        <f aca="false">Q2761*U2761</f>
        <v>0</v>
      </c>
      <c r="W2761" s="41" t="str">
        <f aca="false">IF($M2761="","",IF(T2761="Overdue",IF(Settings!$B$8="Yes",Settings!$B$7,""),IF(ISNUMBER(R2761),DATE(YEAR(R2761),MONTH(R2761),1),"")))</f>
        <v/>
      </c>
      <c r="X2761" s="38" t="n">
        <f aca="false">IF(AND(OR(T2761="Backlog",T2761="Pipeline",T2761="Overdue"),ISNUMBER(W2761)),IF(W2761&lt;=Settings!$B$6,V2761,0),0)</f>
        <v>0</v>
      </c>
      <c r="Y2761" s="38" t="n">
        <f aca="false">IF(AND(OR(T2761="Backlog",T2761="Pipeline",T2761="Overdue"),ISNUMBER(W2761)),IF(W2761&lt;=Settings!$B$6,Q2761,0),0)</f>
        <v>0</v>
      </c>
      <c r="Z2761" s="38" t="n">
        <f aca="false">IF(Y2761=0,0,IF(T2761="Backlog",Q2761,Q2761*Dashboard!$C$10))</f>
        <v>0</v>
      </c>
      <c r="AA2761" s="37" t="n">
        <f aca="false">IF($N2761="",0,IF(COUNTIF(Dashboard!$C$13:$C$22,$N2761)&gt;0,1,0))</f>
        <v>0</v>
      </c>
      <c r="AB2761" s="37" t="str">
        <f aca="false">IF($N2761="","",IF(COUNTIF($N$8:$N2761,$N2761)=1,MAX($AB$7:$AB2760)+1,""))</f>
        <v/>
      </c>
    </row>
    <row r="2762" customFormat="false" ht="15" hidden="false" customHeight="false" outlineLevel="0" collapsed="false">
      <c r="L2762" s="37" t="str">
        <f aca="false">IF(INDEX($A2762:$J2762,$L$6)&lt;&gt;"",TRIM(LEFT(INDEX($A2762:$J2762,$L$6),FIND("(",INDEX($A2762:$J2762,$L$6)&amp;"(")-1)),L2761)</f>
        <v>Building Value Proposition</v>
      </c>
      <c r="M2762" s="37" t="str">
        <f aca="false">IF(INDEX($A2762:$J2762,$M$6)="","",INDEX($A2762:$J2762,$M$6)&amp;"")</f>
        <v/>
      </c>
      <c r="N2762" s="37" t="str">
        <f aca="false">IF($M2762="","",TRIM(INDEX($A2762:$J2762,$N$6)&amp;""))</f>
        <v/>
      </c>
      <c r="O2762" s="37" t="str">
        <f aca="false">IF($M2762="","",TRIM(INDEX($A2762:$J2762,$O$6)&amp;""))</f>
        <v/>
      </c>
      <c r="P2762" s="37" t="str">
        <f aca="false">IF($M2762="","",IFERROR(IF(INDEX(Settings!$B$41:$B$50,MATCH(O2762,Settings!$A$41:$A$50,0))&amp;""="","UNMAPPED",INDEX(Settings!$B$41:$B$50,MATCH(O2762,Settings!$A$41:$A$50,0))&amp;""),"UNMAPPED"))</f>
        <v/>
      </c>
      <c r="Q2762" s="38" t="n">
        <f aca="false">IF($M2762="",0,N(INDEX($A2762:$J2762,$Q$6)))</f>
        <v>0</v>
      </c>
      <c r="R2762" s="39" t="str">
        <f aca="false">IF($M2762="","",INDEX($A2762:$J2762,$R$6))</f>
        <v/>
      </c>
      <c r="S2762" s="37" t="str">
        <f aca="false">IF($M2762="","",IFERROR(INDEX(Settings!$B$27:$B$36,MATCH(L2762,Settings!$A$27:$A$36,0))&amp;"","UNMAPPED"))</f>
        <v/>
      </c>
      <c r="T2762" s="37" t="str">
        <f aca="false">IF($M2762="","",IF(NOT(ISNUMBER(R2762)),"NO DATE",IF(S2762="Won",IF(R2762&gt;Settings!$B$5,"Backlog","Delivered"),IF(S2762="Open",IF(R2762&gt;Settings!$B$5,"Pipeline","Overdue"),IF(S2762="Lost","Lost","UNMAPPED")))))</f>
        <v/>
      </c>
      <c r="U2762" s="40" t="n">
        <f aca="false">IF(T2762="Backlog",1,IF(OR(T2762="Pipeline",T2762="Overdue"),N(INDEX(Settings!$C$27:$C$36,MATCH(L2762,Settings!$A$27:$A$36,0))),0))</f>
        <v>0</v>
      </c>
      <c r="V2762" s="38" t="n">
        <f aca="false">Q2762*U2762</f>
        <v>0</v>
      </c>
      <c r="W2762" s="41" t="str">
        <f aca="false">IF($M2762="","",IF(T2762="Overdue",IF(Settings!$B$8="Yes",Settings!$B$7,""),IF(ISNUMBER(R2762),DATE(YEAR(R2762),MONTH(R2762),1),"")))</f>
        <v/>
      </c>
      <c r="X2762" s="38" t="n">
        <f aca="false">IF(AND(OR(T2762="Backlog",T2762="Pipeline",T2762="Overdue"),ISNUMBER(W2762)),IF(W2762&lt;=Settings!$B$6,V2762,0),0)</f>
        <v>0</v>
      </c>
      <c r="Y2762" s="38" t="n">
        <f aca="false">IF(AND(OR(T2762="Backlog",T2762="Pipeline",T2762="Overdue"),ISNUMBER(W2762)),IF(W2762&lt;=Settings!$B$6,Q2762,0),0)</f>
        <v>0</v>
      </c>
      <c r="Z2762" s="38" t="n">
        <f aca="false">IF(Y2762=0,0,IF(T2762="Backlog",Q2762,Q2762*Dashboard!$C$10))</f>
        <v>0</v>
      </c>
      <c r="AA2762" s="37" t="n">
        <f aca="false">IF($N2762="",0,IF(COUNTIF(Dashboard!$C$13:$C$22,$N2762)&gt;0,1,0))</f>
        <v>0</v>
      </c>
      <c r="AB2762" s="37" t="str">
        <f aca="false">IF($N2762="","",IF(COUNTIF($N$8:$N2762,$N2762)=1,MAX($AB$7:$AB2761)+1,""))</f>
        <v/>
      </c>
    </row>
    <row r="2763" customFormat="false" ht="15" hidden="false" customHeight="false" outlineLevel="0" collapsed="false">
      <c r="L2763" s="37" t="str">
        <f aca="false">IF(INDEX($A2763:$J2763,$L$6)&lt;&gt;"",TRIM(LEFT(INDEX($A2763:$J2763,$L$6),FIND("(",INDEX($A2763:$J2763,$L$6)&amp;"(")-1)),L2762)</f>
        <v>Building Value Proposition</v>
      </c>
      <c r="M2763" s="37" t="str">
        <f aca="false">IF(INDEX($A2763:$J2763,$M$6)="","",INDEX($A2763:$J2763,$M$6)&amp;"")</f>
        <v/>
      </c>
      <c r="N2763" s="37" t="str">
        <f aca="false">IF($M2763="","",TRIM(INDEX($A2763:$J2763,$N$6)&amp;""))</f>
        <v/>
      </c>
      <c r="O2763" s="37" t="str">
        <f aca="false">IF($M2763="","",TRIM(INDEX($A2763:$J2763,$O$6)&amp;""))</f>
        <v/>
      </c>
      <c r="P2763" s="37" t="str">
        <f aca="false">IF($M2763="","",IFERROR(IF(INDEX(Settings!$B$41:$B$50,MATCH(O2763,Settings!$A$41:$A$50,0))&amp;""="","UNMAPPED",INDEX(Settings!$B$41:$B$50,MATCH(O2763,Settings!$A$41:$A$50,0))&amp;""),"UNMAPPED"))</f>
        <v/>
      </c>
      <c r="Q2763" s="38" t="n">
        <f aca="false">IF($M2763="",0,N(INDEX($A2763:$J2763,$Q$6)))</f>
        <v>0</v>
      </c>
      <c r="R2763" s="39" t="str">
        <f aca="false">IF($M2763="","",INDEX($A2763:$J2763,$R$6))</f>
        <v/>
      </c>
      <c r="S2763" s="37" t="str">
        <f aca="false">IF($M2763="","",IFERROR(INDEX(Settings!$B$27:$B$36,MATCH(L2763,Settings!$A$27:$A$36,0))&amp;"","UNMAPPED"))</f>
        <v/>
      </c>
      <c r="T2763" s="37" t="str">
        <f aca="false">IF($M2763="","",IF(NOT(ISNUMBER(R2763)),"NO DATE",IF(S2763="Won",IF(R2763&gt;Settings!$B$5,"Backlog","Delivered"),IF(S2763="Open",IF(R2763&gt;Settings!$B$5,"Pipeline","Overdue"),IF(S2763="Lost","Lost","UNMAPPED")))))</f>
        <v/>
      </c>
      <c r="U2763" s="40" t="n">
        <f aca="false">IF(T2763="Backlog",1,IF(OR(T2763="Pipeline",T2763="Overdue"),N(INDEX(Settings!$C$27:$C$36,MATCH(L2763,Settings!$A$27:$A$36,0))),0))</f>
        <v>0</v>
      </c>
      <c r="V2763" s="38" t="n">
        <f aca="false">Q2763*U2763</f>
        <v>0</v>
      </c>
      <c r="W2763" s="41" t="str">
        <f aca="false">IF($M2763="","",IF(T2763="Overdue",IF(Settings!$B$8="Yes",Settings!$B$7,""),IF(ISNUMBER(R2763),DATE(YEAR(R2763),MONTH(R2763),1),"")))</f>
        <v/>
      </c>
      <c r="X2763" s="38" t="n">
        <f aca="false">IF(AND(OR(T2763="Backlog",T2763="Pipeline",T2763="Overdue"),ISNUMBER(W2763)),IF(W2763&lt;=Settings!$B$6,V2763,0),0)</f>
        <v>0</v>
      </c>
      <c r="Y2763" s="38" t="n">
        <f aca="false">IF(AND(OR(T2763="Backlog",T2763="Pipeline",T2763="Overdue"),ISNUMBER(W2763)),IF(W2763&lt;=Settings!$B$6,Q2763,0),0)</f>
        <v>0</v>
      </c>
      <c r="Z2763" s="38" t="n">
        <f aca="false">IF(Y2763=0,0,IF(T2763="Backlog",Q2763,Q2763*Dashboard!$C$10))</f>
        <v>0</v>
      </c>
      <c r="AA2763" s="37" t="n">
        <f aca="false">IF($N2763="",0,IF(COUNTIF(Dashboard!$C$13:$C$22,$N2763)&gt;0,1,0))</f>
        <v>0</v>
      </c>
      <c r="AB2763" s="37" t="str">
        <f aca="false">IF($N2763="","",IF(COUNTIF($N$8:$N2763,$N2763)=1,MAX($AB$7:$AB2762)+1,""))</f>
        <v/>
      </c>
    </row>
    <row r="2764" customFormat="false" ht="15" hidden="false" customHeight="false" outlineLevel="0" collapsed="false">
      <c r="L2764" s="37" t="str">
        <f aca="false">IF(INDEX($A2764:$J2764,$L$6)&lt;&gt;"",TRIM(LEFT(INDEX($A2764:$J2764,$L$6),FIND("(",INDEX($A2764:$J2764,$L$6)&amp;"(")-1)),L2763)</f>
        <v>Building Value Proposition</v>
      </c>
      <c r="M2764" s="37" t="str">
        <f aca="false">IF(INDEX($A2764:$J2764,$M$6)="","",INDEX($A2764:$J2764,$M$6)&amp;"")</f>
        <v/>
      </c>
      <c r="N2764" s="37" t="str">
        <f aca="false">IF($M2764="","",TRIM(INDEX($A2764:$J2764,$N$6)&amp;""))</f>
        <v/>
      </c>
      <c r="O2764" s="37" t="str">
        <f aca="false">IF($M2764="","",TRIM(INDEX($A2764:$J2764,$O$6)&amp;""))</f>
        <v/>
      </c>
      <c r="P2764" s="37" t="str">
        <f aca="false">IF($M2764="","",IFERROR(IF(INDEX(Settings!$B$41:$B$50,MATCH(O2764,Settings!$A$41:$A$50,0))&amp;""="","UNMAPPED",INDEX(Settings!$B$41:$B$50,MATCH(O2764,Settings!$A$41:$A$50,0))&amp;""),"UNMAPPED"))</f>
        <v/>
      </c>
      <c r="Q2764" s="38" t="n">
        <f aca="false">IF($M2764="",0,N(INDEX($A2764:$J2764,$Q$6)))</f>
        <v>0</v>
      </c>
      <c r="R2764" s="39" t="str">
        <f aca="false">IF($M2764="","",INDEX($A2764:$J2764,$R$6))</f>
        <v/>
      </c>
      <c r="S2764" s="37" t="str">
        <f aca="false">IF($M2764="","",IFERROR(INDEX(Settings!$B$27:$B$36,MATCH(L2764,Settings!$A$27:$A$36,0))&amp;"","UNMAPPED"))</f>
        <v/>
      </c>
      <c r="T2764" s="37" t="str">
        <f aca="false">IF($M2764="","",IF(NOT(ISNUMBER(R2764)),"NO DATE",IF(S2764="Won",IF(R2764&gt;Settings!$B$5,"Backlog","Delivered"),IF(S2764="Open",IF(R2764&gt;Settings!$B$5,"Pipeline","Overdue"),IF(S2764="Lost","Lost","UNMAPPED")))))</f>
        <v/>
      </c>
      <c r="U2764" s="40" t="n">
        <f aca="false">IF(T2764="Backlog",1,IF(OR(T2764="Pipeline",T2764="Overdue"),N(INDEX(Settings!$C$27:$C$36,MATCH(L2764,Settings!$A$27:$A$36,0))),0))</f>
        <v>0</v>
      </c>
      <c r="V2764" s="38" t="n">
        <f aca="false">Q2764*U2764</f>
        <v>0</v>
      </c>
      <c r="W2764" s="41" t="str">
        <f aca="false">IF($M2764="","",IF(T2764="Overdue",IF(Settings!$B$8="Yes",Settings!$B$7,""),IF(ISNUMBER(R2764),DATE(YEAR(R2764),MONTH(R2764),1),"")))</f>
        <v/>
      </c>
      <c r="X2764" s="38" t="n">
        <f aca="false">IF(AND(OR(T2764="Backlog",T2764="Pipeline",T2764="Overdue"),ISNUMBER(W2764)),IF(W2764&lt;=Settings!$B$6,V2764,0),0)</f>
        <v>0</v>
      </c>
      <c r="Y2764" s="38" t="n">
        <f aca="false">IF(AND(OR(T2764="Backlog",T2764="Pipeline",T2764="Overdue"),ISNUMBER(W2764)),IF(W2764&lt;=Settings!$B$6,Q2764,0),0)</f>
        <v>0</v>
      </c>
      <c r="Z2764" s="38" t="n">
        <f aca="false">IF(Y2764=0,0,IF(T2764="Backlog",Q2764,Q2764*Dashboard!$C$10))</f>
        <v>0</v>
      </c>
      <c r="AA2764" s="37" t="n">
        <f aca="false">IF($N2764="",0,IF(COUNTIF(Dashboard!$C$13:$C$22,$N2764)&gt;0,1,0))</f>
        <v>0</v>
      </c>
      <c r="AB2764" s="37" t="str">
        <f aca="false">IF($N2764="","",IF(COUNTIF($N$8:$N2764,$N2764)=1,MAX($AB$7:$AB2763)+1,""))</f>
        <v/>
      </c>
    </row>
    <row r="2765" customFormat="false" ht="15" hidden="false" customHeight="false" outlineLevel="0" collapsed="false">
      <c r="L2765" s="37" t="str">
        <f aca="false">IF(INDEX($A2765:$J2765,$L$6)&lt;&gt;"",TRIM(LEFT(INDEX($A2765:$J2765,$L$6),FIND("(",INDEX($A2765:$J2765,$L$6)&amp;"(")-1)),L2764)</f>
        <v>Building Value Proposition</v>
      </c>
      <c r="M2765" s="37" t="str">
        <f aca="false">IF(INDEX($A2765:$J2765,$M$6)="","",INDEX($A2765:$J2765,$M$6)&amp;"")</f>
        <v/>
      </c>
      <c r="N2765" s="37" t="str">
        <f aca="false">IF($M2765="","",TRIM(INDEX($A2765:$J2765,$N$6)&amp;""))</f>
        <v/>
      </c>
      <c r="O2765" s="37" t="str">
        <f aca="false">IF($M2765="","",TRIM(INDEX($A2765:$J2765,$O$6)&amp;""))</f>
        <v/>
      </c>
      <c r="P2765" s="37" t="str">
        <f aca="false">IF($M2765="","",IFERROR(IF(INDEX(Settings!$B$41:$B$50,MATCH(O2765,Settings!$A$41:$A$50,0))&amp;""="","UNMAPPED",INDEX(Settings!$B$41:$B$50,MATCH(O2765,Settings!$A$41:$A$50,0))&amp;""),"UNMAPPED"))</f>
        <v/>
      </c>
      <c r="Q2765" s="38" t="n">
        <f aca="false">IF($M2765="",0,N(INDEX($A2765:$J2765,$Q$6)))</f>
        <v>0</v>
      </c>
      <c r="R2765" s="39" t="str">
        <f aca="false">IF($M2765="","",INDEX($A2765:$J2765,$R$6))</f>
        <v/>
      </c>
      <c r="S2765" s="37" t="str">
        <f aca="false">IF($M2765="","",IFERROR(INDEX(Settings!$B$27:$B$36,MATCH(L2765,Settings!$A$27:$A$36,0))&amp;"","UNMAPPED"))</f>
        <v/>
      </c>
      <c r="T2765" s="37" t="str">
        <f aca="false">IF($M2765="","",IF(NOT(ISNUMBER(R2765)),"NO DATE",IF(S2765="Won",IF(R2765&gt;Settings!$B$5,"Backlog","Delivered"),IF(S2765="Open",IF(R2765&gt;Settings!$B$5,"Pipeline","Overdue"),IF(S2765="Lost","Lost","UNMAPPED")))))</f>
        <v/>
      </c>
      <c r="U2765" s="40" t="n">
        <f aca="false">IF(T2765="Backlog",1,IF(OR(T2765="Pipeline",T2765="Overdue"),N(INDEX(Settings!$C$27:$C$36,MATCH(L2765,Settings!$A$27:$A$36,0))),0))</f>
        <v>0</v>
      </c>
      <c r="V2765" s="38" t="n">
        <f aca="false">Q2765*U2765</f>
        <v>0</v>
      </c>
      <c r="W2765" s="41" t="str">
        <f aca="false">IF($M2765="","",IF(T2765="Overdue",IF(Settings!$B$8="Yes",Settings!$B$7,""),IF(ISNUMBER(R2765),DATE(YEAR(R2765),MONTH(R2765),1),"")))</f>
        <v/>
      </c>
      <c r="X2765" s="38" t="n">
        <f aca="false">IF(AND(OR(T2765="Backlog",T2765="Pipeline",T2765="Overdue"),ISNUMBER(W2765)),IF(W2765&lt;=Settings!$B$6,V2765,0),0)</f>
        <v>0</v>
      </c>
      <c r="Y2765" s="38" t="n">
        <f aca="false">IF(AND(OR(T2765="Backlog",T2765="Pipeline",T2765="Overdue"),ISNUMBER(W2765)),IF(W2765&lt;=Settings!$B$6,Q2765,0),0)</f>
        <v>0</v>
      </c>
      <c r="Z2765" s="38" t="n">
        <f aca="false">IF(Y2765=0,0,IF(T2765="Backlog",Q2765,Q2765*Dashboard!$C$10))</f>
        <v>0</v>
      </c>
      <c r="AA2765" s="37" t="n">
        <f aca="false">IF($N2765="",0,IF(COUNTIF(Dashboard!$C$13:$C$22,$N2765)&gt;0,1,0))</f>
        <v>0</v>
      </c>
      <c r="AB2765" s="37" t="str">
        <f aca="false">IF($N2765="","",IF(COUNTIF($N$8:$N2765,$N2765)=1,MAX($AB$7:$AB2764)+1,""))</f>
        <v/>
      </c>
    </row>
    <row r="2766" customFormat="false" ht="15" hidden="false" customHeight="false" outlineLevel="0" collapsed="false">
      <c r="L2766" s="37" t="str">
        <f aca="false">IF(INDEX($A2766:$J2766,$L$6)&lt;&gt;"",TRIM(LEFT(INDEX($A2766:$J2766,$L$6),FIND("(",INDEX($A2766:$J2766,$L$6)&amp;"(")-1)),L2765)</f>
        <v>Building Value Proposition</v>
      </c>
      <c r="M2766" s="37" t="str">
        <f aca="false">IF(INDEX($A2766:$J2766,$M$6)="","",INDEX($A2766:$J2766,$M$6)&amp;"")</f>
        <v/>
      </c>
      <c r="N2766" s="37" t="str">
        <f aca="false">IF($M2766="","",TRIM(INDEX($A2766:$J2766,$N$6)&amp;""))</f>
        <v/>
      </c>
      <c r="O2766" s="37" t="str">
        <f aca="false">IF($M2766="","",TRIM(INDEX($A2766:$J2766,$O$6)&amp;""))</f>
        <v/>
      </c>
      <c r="P2766" s="37" t="str">
        <f aca="false">IF($M2766="","",IFERROR(IF(INDEX(Settings!$B$41:$B$50,MATCH(O2766,Settings!$A$41:$A$50,0))&amp;""="","UNMAPPED",INDEX(Settings!$B$41:$B$50,MATCH(O2766,Settings!$A$41:$A$50,0))&amp;""),"UNMAPPED"))</f>
        <v/>
      </c>
      <c r="Q2766" s="38" t="n">
        <f aca="false">IF($M2766="",0,N(INDEX($A2766:$J2766,$Q$6)))</f>
        <v>0</v>
      </c>
      <c r="R2766" s="39" t="str">
        <f aca="false">IF($M2766="","",INDEX($A2766:$J2766,$R$6))</f>
        <v/>
      </c>
      <c r="S2766" s="37" t="str">
        <f aca="false">IF($M2766="","",IFERROR(INDEX(Settings!$B$27:$B$36,MATCH(L2766,Settings!$A$27:$A$36,0))&amp;"","UNMAPPED"))</f>
        <v/>
      </c>
      <c r="T2766" s="37" t="str">
        <f aca="false">IF($M2766="","",IF(NOT(ISNUMBER(R2766)),"NO DATE",IF(S2766="Won",IF(R2766&gt;Settings!$B$5,"Backlog","Delivered"),IF(S2766="Open",IF(R2766&gt;Settings!$B$5,"Pipeline","Overdue"),IF(S2766="Lost","Lost","UNMAPPED")))))</f>
        <v/>
      </c>
      <c r="U2766" s="40" t="n">
        <f aca="false">IF(T2766="Backlog",1,IF(OR(T2766="Pipeline",T2766="Overdue"),N(INDEX(Settings!$C$27:$C$36,MATCH(L2766,Settings!$A$27:$A$36,0))),0))</f>
        <v>0</v>
      </c>
      <c r="V2766" s="38" t="n">
        <f aca="false">Q2766*U2766</f>
        <v>0</v>
      </c>
      <c r="W2766" s="41" t="str">
        <f aca="false">IF($M2766="","",IF(T2766="Overdue",IF(Settings!$B$8="Yes",Settings!$B$7,""),IF(ISNUMBER(R2766),DATE(YEAR(R2766),MONTH(R2766),1),"")))</f>
        <v/>
      </c>
      <c r="X2766" s="38" t="n">
        <f aca="false">IF(AND(OR(T2766="Backlog",T2766="Pipeline",T2766="Overdue"),ISNUMBER(W2766)),IF(W2766&lt;=Settings!$B$6,V2766,0),0)</f>
        <v>0</v>
      </c>
      <c r="Y2766" s="38" t="n">
        <f aca="false">IF(AND(OR(T2766="Backlog",T2766="Pipeline",T2766="Overdue"),ISNUMBER(W2766)),IF(W2766&lt;=Settings!$B$6,Q2766,0),0)</f>
        <v>0</v>
      </c>
      <c r="Z2766" s="38" t="n">
        <f aca="false">IF(Y2766=0,0,IF(T2766="Backlog",Q2766,Q2766*Dashboard!$C$10))</f>
        <v>0</v>
      </c>
      <c r="AA2766" s="37" t="n">
        <f aca="false">IF($N2766="",0,IF(COUNTIF(Dashboard!$C$13:$C$22,$N2766)&gt;0,1,0))</f>
        <v>0</v>
      </c>
      <c r="AB2766" s="37" t="str">
        <f aca="false">IF($N2766="","",IF(COUNTIF($N$8:$N2766,$N2766)=1,MAX($AB$7:$AB2765)+1,""))</f>
        <v/>
      </c>
    </row>
    <row r="2767" customFormat="false" ht="15" hidden="false" customHeight="false" outlineLevel="0" collapsed="false">
      <c r="L2767" s="37" t="str">
        <f aca="false">IF(INDEX($A2767:$J2767,$L$6)&lt;&gt;"",TRIM(LEFT(INDEX($A2767:$J2767,$L$6),FIND("(",INDEX($A2767:$J2767,$L$6)&amp;"(")-1)),L2766)</f>
        <v>Building Value Proposition</v>
      </c>
      <c r="M2767" s="37" t="str">
        <f aca="false">IF(INDEX($A2767:$J2767,$M$6)="","",INDEX($A2767:$J2767,$M$6)&amp;"")</f>
        <v/>
      </c>
      <c r="N2767" s="37" t="str">
        <f aca="false">IF($M2767="","",TRIM(INDEX($A2767:$J2767,$N$6)&amp;""))</f>
        <v/>
      </c>
      <c r="O2767" s="37" t="str">
        <f aca="false">IF($M2767="","",TRIM(INDEX($A2767:$J2767,$O$6)&amp;""))</f>
        <v/>
      </c>
      <c r="P2767" s="37" t="str">
        <f aca="false">IF($M2767="","",IFERROR(IF(INDEX(Settings!$B$41:$B$50,MATCH(O2767,Settings!$A$41:$A$50,0))&amp;""="","UNMAPPED",INDEX(Settings!$B$41:$B$50,MATCH(O2767,Settings!$A$41:$A$50,0))&amp;""),"UNMAPPED"))</f>
        <v/>
      </c>
      <c r="Q2767" s="38" t="n">
        <f aca="false">IF($M2767="",0,N(INDEX($A2767:$J2767,$Q$6)))</f>
        <v>0</v>
      </c>
      <c r="R2767" s="39" t="str">
        <f aca="false">IF($M2767="","",INDEX($A2767:$J2767,$R$6))</f>
        <v/>
      </c>
      <c r="S2767" s="37" t="str">
        <f aca="false">IF($M2767="","",IFERROR(INDEX(Settings!$B$27:$B$36,MATCH(L2767,Settings!$A$27:$A$36,0))&amp;"","UNMAPPED"))</f>
        <v/>
      </c>
      <c r="T2767" s="37" t="str">
        <f aca="false">IF($M2767="","",IF(NOT(ISNUMBER(R2767)),"NO DATE",IF(S2767="Won",IF(R2767&gt;Settings!$B$5,"Backlog","Delivered"),IF(S2767="Open",IF(R2767&gt;Settings!$B$5,"Pipeline","Overdue"),IF(S2767="Lost","Lost","UNMAPPED")))))</f>
        <v/>
      </c>
      <c r="U2767" s="40" t="n">
        <f aca="false">IF(T2767="Backlog",1,IF(OR(T2767="Pipeline",T2767="Overdue"),N(INDEX(Settings!$C$27:$C$36,MATCH(L2767,Settings!$A$27:$A$36,0))),0))</f>
        <v>0</v>
      </c>
      <c r="V2767" s="38" t="n">
        <f aca="false">Q2767*U2767</f>
        <v>0</v>
      </c>
      <c r="W2767" s="41" t="str">
        <f aca="false">IF($M2767="","",IF(T2767="Overdue",IF(Settings!$B$8="Yes",Settings!$B$7,""),IF(ISNUMBER(R2767),DATE(YEAR(R2767),MONTH(R2767),1),"")))</f>
        <v/>
      </c>
      <c r="X2767" s="38" t="n">
        <f aca="false">IF(AND(OR(T2767="Backlog",T2767="Pipeline",T2767="Overdue"),ISNUMBER(W2767)),IF(W2767&lt;=Settings!$B$6,V2767,0),0)</f>
        <v>0</v>
      </c>
      <c r="Y2767" s="38" t="n">
        <f aca="false">IF(AND(OR(T2767="Backlog",T2767="Pipeline",T2767="Overdue"),ISNUMBER(W2767)),IF(W2767&lt;=Settings!$B$6,Q2767,0),0)</f>
        <v>0</v>
      </c>
      <c r="Z2767" s="38" t="n">
        <f aca="false">IF(Y2767=0,0,IF(T2767="Backlog",Q2767,Q2767*Dashboard!$C$10))</f>
        <v>0</v>
      </c>
      <c r="AA2767" s="37" t="n">
        <f aca="false">IF($N2767="",0,IF(COUNTIF(Dashboard!$C$13:$C$22,$N2767)&gt;0,1,0))</f>
        <v>0</v>
      </c>
      <c r="AB2767" s="37" t="str">
        <f aca="false">IF($N2767="","",IF(COUNTIF($N$8:$N2767,$N2767)=1,MAX($AB$7:$AB2766)+1,""))</f>
        <v/>
      </c>
    </row>
    <row r="2768" customFormat="false" ht="15" hidden="false" customHeight="false" outlineLevel="0" collapsed="false">
      <c r="L2768" s="37" t="str">
        <f aca="false">IF(INDEX($A2768:$J2768,$L$6)&lt;&gt;"",TRIM(LEFT(INDEX($A2768:$J2768,$L$6),FIND("(",INDEX($A2768:$J2768,$L$6)&amp;"(")-1)),L2767)</f>
        <v>Building Value Proposition</v>
      </c>
      <c r="M2768" s="37" t="str">
        <f aca="false">IF(INDEX($A2768:$J2768,$M$6)="","",INDEX($A2768:$J2768,$M$6)&amp;"")</f>
        <v/>
      </c>
      <c r="N2768" s="37" t="str">
        <f aca="false">IF($M2768="","",TRIM(INDEX($A2768:$J2768,$N$6)&amp;""))</f>
        <v/>
      </c>
      <c r="O2768" s="37" t="str">
        <f aca="false">IF($M2768="","",TRIM(INDEX($A2768:$J2768,$O$6)&amp;""))</f>
        <v/>
      </c>
      <c r="P2768" s="37" t="str">
        <f aca="false">IF($M2768="","",IFERROR(IF(INDEX(Settings!$B$41:$B$50,MATCH(O2768,Settings!$A$41:$A$50,0))&amp;""="","UNMAPPED",INDEX(Settings!$B$41:$B$50,MATCH(O2768,Settings!$A$41:$A$50,0))&amp;""),"UNMAPPED"))</f>
        <v/>
      </c>
      <c r="Q2768" s="38" t="n">
        <f aca="false">IF($M2768="",0,N(INDEX($A2768:$J2768,$Q$6)))</f>
        <v>0</v>
      </c>
      <c r="R2768" s="39" t="str">
        <f aca="false">IF($M2768="","",INDEX($A2768:$J2768,$R$6))</f>
        <v/>
      </c>
      <c r="S2768" s="37" t="str">
        <f aca="false">IF($M2768="","",IFERROR(INDEX(Settings!$B$27:$B$36,MATCH(L2768,Settings!$A$27:$A$36,0))&amp;"","UNMAPPED"))</f>
        <v/>
      </c>
      <c r="T2768" s="37" t="str">
        <f aca="false">IF($M2768="","",IF(NOT(ISNUMBER(R2768)),"NO DATE",IF(S2768="Won",IF(R2768&gt;Settings!$B$5,"Backlog","Delivered"),IF(S2768="Open",IF(R2768&gt;Settings!$B$5,"Pipeline","Overdue"),IF(S2768="Lost","Lost","UNMAPPED")))))</f>
        <v/>
      </c>
      <c r="U2768" s="40" t="n">
        <f aca="false">IF(T2768="Backlog",1,IF(OR(T2768="Pipeline",T2768="Overdue"),N(INDEX(Settings!$C$27:$C$36,MATCH(L2768,Settings!$A$27:$A$36,0))),0))</f>
        <v>0</v>
      </c>
      <c r="V2768" s="38" t="n">
        <f aca="false">Q2768*U2768</f>
        <v>0</v>
      </c>
      <c r="W2768" s="41" t="str">
        <f aca="false">IF($M2768="","",IF(T2768="Overdue",IF(Settings!$B$8="Yes",Settings!$B$7,""),IF(ISNUMBER(R2768),DATE(YEAR(R2768),MONTH(R2768),1),"")))</f>
        <v/>
      </c>
      <c r="X2768" s="38" t="n">
        <f aca="false">IF(AND(OR(T2768="Backlog",T2768="Pipeline",T2768="Overdue"),ISNUMBER(W2768)),IF(W2768&lt;=Settings!$B$6,V2768,0),0)</f>
        <v>0</v>
      </c>
      <c r="Y2768" s="38" t="n">
        <f aca="false">IF(AND(OR(T2768="Backlog",T2768="Pipeline",T2768="Overdue"),ISNUMBER(W2768)),IF(W2768&lt;=Settings!$B$6,Q2768,0),0)</f>
        <v>0</v>
      </c>
      <c r="Z2768" s="38" t="n">
        <f aca="false">IF(Y2768=0,0,IF(T2768="Backlog",Q2768,Q2768*Dashboard!$C$10))</f>
        <v>0</v>
      </c>
      <c r="AA2768" s="37" t="n">
        <f aca="false">IF($N2768="",0,IF(COUNTIF(Dashboard!$C$13:$C$22,$N2768)&gt;0,1,0))</f>
        <v>0</v>
      </c>
      <c r="AB2768" s="37" t="str">
        <f aca="false">IF($N2768="","",IF(COUNTIF($N$8:$N2768,$N2768)=1,MAX($AB$7:$AB2767)+1,""))</f>
        <v/>
      </c>
    </row>
    <row r="2769" customFormat="false" ht="15" hidden="false" customHeight="false" outlineLevel="0" collapsed="false">
      <c r="L2769" s="37" t="str">
        <f aca="false">IF(INDEX($A2769:$J2769,$L$6)&lt;&gt;"",TRIM(LEFT(INDEX($A2769:$J2769,$L$6),FIND("(",INDEX($A2769:$J2769,$L$6)&amp;"(")-1)),L2768)</f>
        <v>Building Value Proposition</v>
      </c>
      <c r="M2769" s="37" t="str">
        <f aca="false">IF(INDEX($A2769:$J2769,$M$6)="","",INDEX($A2769:$J2769,$M$6)&amp;"")</f>
        <v/>
      </c>
      <c r="N2769" s="37" t="str">
        <f aca="false">IF($M2769="","",TRIM(INDEX($A2769:$J2769,$N$6)&amp;""))</f>
        <v/>
      </c>
      <c r="O2769" s="37" t="str">
        <f aca="false">IF($M2769="","",TRIM(INDEX($A2769:$J2769,$O$6)&amp;""))</f>
        <v/>
      </c>
      <c r="P2769" s="37" t="str">
        <f aca="false">IF($M2769="","",IFERROR(IF(INDEX(Settings!$B$41:$B$50,MATCH(O2769,Settings!$A$41:$A$50,0))&amp;""="","UNMAPPED",INDEX(Settings!$B$41:$B$50,MATCH(O2769,Settings!$A$41:$A$50,0))&amp;""),"UNMAPPED"))</f>
        <v/>
      </c>
      <c r="Q2769" s="38" t="n">
        <f aca="false">IF($M2769="",0,N(INDEX($A2769:$J2769,$Q$6)))</f>
        <v>0</v>
      </c>
      <c r="R2769" s="39" t="str">
        <f aca="false">IF($M2769="","",INDEX($A2769:$J2769,$R$6))</f>
        <v/>
      </c>
      <c r="S2769" s="37" t="str">
        <f aca="false">IF($M2769="","",IFERROR(INDEX(Settings!$B$27:$B$36,MATCH(L2769,Settings!$A$27:$A$36,0))&amp;"","UNMAPPED"))</f>
        <v/>
      </c>
      <c r="T2769" s="37" t="str">
        <f aca="false">IF($M2769="","",IF(NOT(ISNUMBER(R2769)),"NO DATE",IF(S2769="Won",IF(R2769&gt;Settings!$B$5,"Backlog","Delivered"),IF(S2769="Open",IF(R2769&gt;Settings!$B$5,"Pipeline","Overdue"),IF(S2769="Lost","Lost","UNMAPPED")))))</f>
        <v/>
      </c>
      <c r="U2769" s="40" t="n">
        <f aca="false">IF(T2769="Backlog",1,IF(OR(T2769="Pipeline",T2769="Overdue"),N(INDEX(Settings!$C$27:$C$36,MATCH(L2769,Settings!$A$27:$A$36,0))),0))</f>
        <v>0</v>
      </c>
      <c r="V2769" s="38" t="n">
        <f aca="false">Q2769*U2769</f>
        <v>0</v>
      </c>
      <c r="W2769" s="41" t="str">
        <f aca="false">IF($M2769="","",IF(T2769="Overdue",IF(Settings!$B$8="Yes",Settings!$B$7,""),IF(ISNUMBER(R2769),DATE(YEAR(R2769),MONTH(R2769),1),"")))</f>
        <v/>
      </c>
      <c r="X2769" s="38" t="n">
        <f aca="false">IF(AND(OR(T2769="Backlog",T2769="Pipeline",T2769="Overdue"),ISNUMBER(W2769)),IF(W2769&lt;=Settings!$B$6,V2769,0),0)</f>
        <v>0</v>
      </c>
      <c r="Y2769" s="38" t="n">
        <f aca="false">IF(AND(OR(T2769="Backlog",T2769="Pipeline",T2769="Overdue"),ISNUMBER(W2769)),IF(W2769&lt;=Settings!$B$6,Q2769,0),0)</f>
        <v>0</v>
      </c>
      <c r="Z2769" s="38" t="n">
        <f aca="false">IF(Y2769=0,0,IF(T2769="Backlog",Q2769,Q2769*Dashboard!$C$10))</f>
        <v>0</v>
      </c>
      <c r="AA2769" s="37" t="n">
        <f aca="false">IF($N2769="",0,IF(COUNTIF(Dashboard!$C$13:$C$22,$N2769)&gt;0,1,0))</f>
        <v>0</v>
      </c>
      <c r="AB2769" s="37" t="str">
        <f aca="false">IF($N2769="","",IF(COUNTIF($N$8:$N2769,$N2769)=1,MAX($AB$7:$AB2768)+1,""))</f>
        <v/>
      </c>
    </row>
    <row r="2770" customFormat="false" ht="15" hidden="false" customHeight="false" outlineLevel="0" collapsed="false">
      <c r="L2770" s="37" t="str">
        <f aca="false">IF(INDEX($A2770:$J2770,$L$6)&lt;&gt;"",TRIM(LEFT(INDEX($A2770:$J2770,$L$6),FIND("(",INDEX($A2770:$J2770,$L$6)&amp;"(")-1)),L2769)</f>
        <v>Building Value Proposition</v>
      </c>
      <c r="M2770" s="37" t="str">
        <f aca="false">IF(INDEX($A2770:$J2770,$M$6)="","",INDEX($A2770:$J2770,$M$6)&amp;"")</f>
        <v/>
      </c>
      <c r="N2770" s="37" t="str">
        <f aca="false">IF($M2770="","",TRIM(INDEX($A2770:$J2770,$N$6)&amp;""))</f>
        <v/>
      </c>
      <c r="O2770" s="37" t="str">
        <f aca="false">IF($M2770="","",TRIM(INDEX($A2770:$J2770,$O$6)&amp;""))</f>
        <v/>
      </c>
      <c r="P2770" s="37" t="str">
        <f aca="false">IF($M2770="","",IFERROR(IF(INDEX(Settings!$B$41:$B$50,MATCH(O2770,Settings!$A$41:$A$50,0))&amp;""="","UNMAPPED",INDEX(Settings!$B$41:$B$50,MATCH(O2770,Settings!$A$41:$A$50,0))&amp;""),"UNMAPPED"))</f>
        <v/>
      </c>
      <c r="Q2770" s="38" t="n">
        <f aca="false">IF($M2770="",0,N(INDEX($A2770:$J2770,$Q$6)))</f>
        <v>0</v>
      </c>
      <c r="R2770" s="39" t="str">
        <f aca="false">IF($M2770="","",INDEX($A2770:$J2770,$R$6))</f>
        <v/>
      </c>
      <c r="S2770" s="37" t="str">
        <f aca="false">IF($M2770="","",IFERROR(INDEX(Settings!$B$27:$B$36,MATCH(L2770,Settings!$A$27:$A$36,0))&amp;"","UNMAPPED"))</f>
        <v/>
      </c>
      <c r="T2770" s="37" t="str">
        <f aca="false">IF($M2770="","",IF(NOT(ISNUMBER(R2770)),"NO DATE",IF(S2770="Won",IF(R2770&gt;Settings!$B$5,"Backlog","Delivered"),IF(S2770="Open",IF(R2770&gt;Settings!$B$5,"Pipeline","Overdue"),IF(S2770="Lost","Lost","UNMAPPED")))))</f>
        <v/>
      </c>
      <c r="U2770" s="40" t="n">
        <f aca="false">IF(T2770="Backlog",1,IF(OR(T2770="Pipeline",T2770="Overdue"),N(INDEX(Settings!$C$27:$C$36,MATCH(L2770,Settings!$A$27:$A$36,0))),0))</f>
        <v>0</v>
      </c>
      <c r="V2770" s="38" t="n">
        <f aca="false">Q2770*U2770</f>
        <v>0</v>
      </c>
      <c r="W2770" s="41" t="str">
        <f aca="false">IF($M2770="","",IF(T2770="Overdue",IF(Settings!$B$8="Yes",Settings!$B$7,""),IF(ISNUMBER(R2770),DATE(YEAR(R2770),MONTH(R2770),1),"")))</f>
        <v/>
      </c>
      <c r="X2770" s="38" t="n">
        <f aca="false">IF(AND(OR(T2770="Backlog",T2770="Pipeline",T2770="Overdue"),ISNUMBER(W2770)),IF(W2770&lt;=Settings!$B$6,V2770,0),0)</f>
        <v>0</v>
      </c>
      <c r="Y2770" s="38" t="n">
        <f aca="false">IF(AND(OR(T2770="Backlog",T2770="Pipeline",T2770="Overdue"),ISNUMBER(W2770)),IF(W2770&lt;=Settings!$B$6,Q2770,0),0)</f>
        <v>0</v>
      </c>
      <c r="Z2770" s="38" t="n">
        <f aca="false">IF(Y2770=0,0,IF(T2770="Backlog",Q2770,Q2770*Dashboard!$C$10))</f>
        <v>0</v>
      </c>
      <c r="AA2770" s="37" t="n">
        <f aca="false">IF($N2770="",0,IF(COUNTIF(Dashboard!$C$13:$C$22,$N2770)&gt;0,1,0))</f>
        <v>0</v>
      </c>
      <c r="AB2770" s="37" t="str">
        <f aca="false">IF($N2770="","",IF(COUNTIF($N$8:$N2770,$N2770)=1,MAX($AB$7:$AB2769)+1,""))</f>
        <v/>
      </c>
    </row>
    <row r="2771" customFormat="false" ht="15" hidden="false" customHeight="false" outlineLevel="0" collapsed="false">
      <c r="L2771" s="37" t="str">
        <f aca="false">IF(INDEX($A2771:$J2771,$L$6)&lt;&gt;"",TRIM(LEFT(INDEX($A2771:$J2771,$L$6),FIND("(",INDEX($A2771:$J2771,$L$6)&amp;"(")-1)),L2770)</f>
        <v>Building Value Proposition</v>
      </c>
      <c r="M2771" s="37" t="str">
        <f aca="false">IF(INDEX($A2771:$J2771,$M$6)="","",INDEX($A2771:$J2771,$M$6)&amp;"")</f>
        <v/>
      </c>
      <c r="N2771" s="37" t="str">
        <f aca="false">IF($M2771="","",TRIM(INDEX($A2771:$J2771,$N$6)&amp;""))</f>
        <v/>
      </c>
      <c r="O2771" s="37" t="str">
        <f aca="false">IF($M2771="","",TRIM(INDEX($A2771:$J2771,$O$6)&amp;""))</f>
        <v/>
      </c>
      <c r="P2771" s="37" t="str">
        <f aca="false">IF($M2771="","",IFERROR(IF(INDEX(Settings!$B$41:$B$50,MATCH(O2771,Settings!$A$41:$A$50,0))&amp;""="","UNMAPPED",INDEX(Settings!$B$41:$B$50,MATCH(O2771,Settings!$A$41:$A$50,0))&amp;""),"UNMAPPED"))</f>
        <v/>
      </c>
      <c r="Q2771" s="38" t="n">
        <f aca="false">IF($M2771="",0,N(INDEX($A2771:$J2771,$Q$6)))</f>
        <v>0</v>
      </c>
      <c r="R2771" s="39" t="str">
        <f aca="false">IF($M2771="","",INDEX($A2771:$J2771,$R$6))</f>
        <v/>
      </c>
      <c r="S2771" s="37" t="str">
        <f aca="false">IF($M2771="","",IFERROR(INDEX(Settings!$B$27:$B$36,MATCH(L2771,Settings!$A$27:$A$36,0))&amp;"","UNMAPPED"))</f>
        <v/>
      </c>
      <c r="T2771" s="37" t="str">
        <f aca="false">IF($M2771="","",IF(NOT(ISNUMBER(R2771)),"NO DATE",IF(S2771="Won",IF(R2771&gt;Settings!$B$5,"Backlog","Delivered"),IF(S2771="Open",IF(R2771&gt;Settings!$B$5,"Pipeline","Overdue"),IF(S2771="Lost","Lost","UNMAPPED")))))</f>
        <v/>
      </c>
      <c r="U2771" s="40" t="n">
        <f aca="false">IF(T2771="Backlog",1,IF(OR(T2771="Pipeline",T2771="Overdue"),N(INDEX(Settings!$C$27:$C$36,MATCH(L2771,Settings!$A$27:$A$36,0))),0))</f>
        <v>0</v>
      </c>
      <c r="V2771" s="38" t="n">
        <f aca="false">Q2771*U2771</f>
        <v>0</v>
      </c>
      <c r="W2771" s="41" t="str">
        <f aca="false">IF($M2771="","",IF(T2771="Overdue",IF(Settings!$B$8="Yes",Settings!$B$7,""),IF(ISNUMBER(R2771),DATE(YEAR(R2771),MONTH(R2771),1),"")))</f>
        <v/>
      </c>
      <c r="X2771" s="38" t="n">
        <f aca="false">IF(AND(OR(T2771="Backlog",T2771="Pipeline",T2771="Overdue"),ISNUMBER(W2771)),IF(W2771&lt;=Settings!$B$6,V2771,0),0)</f>
        <v>0</v>
      </c>
      <c r="Y2771" s="38" t="n">
        <f aca="false">IF(AND(OR(T2771="Backlog",T2771="Pipeline",T2771="Overdue"),ISNUMBER(W2771)),IF(W2771&lt;=Settings!$B$6,Q2771,0),0)</f>
        <v>0</v>
      </c>
      <c r="Z2771" s="38" t="n">
        <f aca="false">IF(Y2771=0,0,IF(T2771="Backlog",Q2771,Q2771*Dashboard!$C$10))</f>
        <v>0</v>
      </c>
      <c r="AA2771" s="37" t="n">
        <f aca="false">IF($N2771="",0,IF(COUNTIF(Dashboard!$C$13:$C$22,$N2771)&gt;0,1,0))</f>
        <v>0</v>
      </c>
      <c r="AB2771" s="37" t="str">
        <f aca="false">IF($N2771="","",IF(COUNTIF($N$8:$N2771,$N2771)=1,MAX($AB$7:$AB2770)+1,""))</f>
        <v/>
      </c>
    </row>
    <row r="2772" customFormat="false" ht="15" hidden="false" customHeight="false" outlineLevel="0" collapsed="false">
      <c r="L2772" s="37" t="str">
        <f aca="false">IF(INDEX($A2772:$J2772,$L$6)&lt;&gt;"",TRIM(LEFT(INDEX($A2772:$J2772,$L$6),FIND("(",INDEX($A2772:$J2772,$L$6)&amp;"(")-1)),L2771)</f>
        <v>Building Value Proposition</v>
      </c>
      <c r="M2772" s="37" t="str">
        <f aca="false">IF(INDEX($A2772:$J2772,$M$6)="","",INDEX($A2772:$J2772,$M$6)&amp;"")</f>
        <v/>
      </c>
      <c r="N2772" s="37" t="str">
        <f aca="false">IF($M2772="","",TRIM(INDEX($A2772:$J2772,$N$6)&amp;""))</f>
        <v/>
      </c>
      <c r="O2772" s="37" t="str">
        <f aca="false">IF($M2772="","",TRIM(INDEX($A2772:$J2772,$O$6)&amp;""))</f>
        <v/>
      </c>
      <c r="P2772" s="37" t="str">
        <f aca="false">IF($M2772="","",IFERROR(IF(INDEX(Settings!$B$41:$B$50,MATCH(O2772,Settings!$A$41:$A$50,0))&amp;""="","UNMAPPED",INDEX(Settings!$B$41:$B$50,MATCH(O2772,Settings!$A$41:$A$50,0))&amp;""),"UNMAPPED"))</f>
        <v/>
      </c>
      <c r="Q2772" s="38" t="n">
        <f aca="false">IF($M2772="",0,N(INDEX($A2772:$J2772,$Q$6)))</f>
        <v>0</v>
      </c>
      <c r="R2772" s="39" t="str">
        <f aca="false">IF($M2772="","",INDEX($A2772:$J2772,$R$6))</f>
        <v/>
      </c>
      <c r="S2772" s="37" t="str">
        <f aca="false">IF($M2772="","",IFERROR(INDEX(Settings!$B$27:$B$36,MATCH(L2772,Settings!$A$27:$A$36,0))&amp;"","UNMAPPED"))</f>
        <v/>
      </c>
      <c r="T2772" s="37" t="str">
        <f aca="false">IF($M2772="","",IF(NOT(ISNUMBER(R2772)),"NO DATE",IF(S2772="Won",IF(R2772&gt;Settings!$B$5,"Backlog","Delivered"),IF(S2772="Open",IF(R2772&gt;Settings!$B$5,"Pipeline","Overdue"),IF(S2772="Lost","Lost","UNMAPPED")))))</f>
        <v/>
      </c>
      <c r="U2772" s="40" t="n">
        <f aca="false">IF(T2772="Backlog",1,IF(OR(T2772="Pipeline",T2772="Overdue"),N(INDEX(Settings!$C$27:$C$36,MATCH(L2772,Settings!$A$27:$A$36,0))),0))</f>
        <v>0</v>
      </c>
      <c r="V2772" s="38" t="n">
        <f aca="false">Q2772*U2772</f>
        <v>0</v>
      </c>
      <c r="W2772" s="41" t="str">
        <f aca="false">IF($M2772="","",IF(T2772="Overdue",IF(Settings!$B$8="Yes",Settings!$B$7,""),IF(ISNUMBER(R2772),DATE(YEAR(R2772),MONTH(R2772),1),"")))</f>
        <v/>
      </c>
      <c r="X2772" s="38" t="n">
        <f aca="false">IF(AND(OR(T2772="Backlog",T2772="Pipeline",T2772="Overdue"),ISNUMBER(W2772)),IF(W2772&lt;=Settings!$B$6,V2772,0),0)</f>
        <v>0</v>
      </c>
      <c r="Y2772" s="38" t="n">
        <f aca="false">IF(AND(OR(T2772="Backlog",T2772="Pipeline",T2772="Overdue"),ISNUMBER(W2772)),IF(W2772&lt;=Settings!$B$6,Q2772,0),0)</f>
        <v>0</v>
      </c>
      <c r="Z2772" s="38" t="n">
        <f aca="false">IF(Y2772=0,0,IF(T2772="Backlog",Q2772,Q2772*Dashboard!$C$10))</f>
        <v>0</v>
      </c>
      <c r="AA2772" s="37" t="n">
        <f aca="false">IF($N2772="",0,IF(COUNTIF(Dashboard!$C$13:$C$22,$N2772)&gt;0,1,0))</f>
        <v>0</v>
      </c>
      <c r="AB2772" s="37" t="str">
        <f aca="false">IF($N2772="","",IF(COUNTIF($N$8:$N2772,$N2772)=1,MAX($AB$7:$AB2771)+1,""))</f>
        <v/>
      </c>
    </row>
    <row r="2773" customFormat="false" ht="15" hidden="false" customHeight="false" outlineLevel="0" collapsed="false">
      <c r="L2773" s="37" t="str">
        <f aca="false">IF(INDEX($A2773:$J2773,$L$6)&lt;&gt;"",TRIM(LEFT(INDEX($A2773:$J2773,$L$6),FIND("(",INDEX($A2773:$J2773,$L$6)&amp;"(")-1)),L2772)</f>
        <v>Building Value Proposition</v>
      </c>
      <c r="M2773" s="37" t="str">
        <f aca="false">IF(INDEX($A2773:$J2773,$M$6)="","",INDEX($A2773:$J2773,$M$6)&amp;"")</f>
        <v/>
      </c>
      <c r="N2773" s="37" t="str">
        <f aca="false">IF($M2773="","",TRIM(INDEX($A2773:$J2773,$N$6)&amp;""))</f>
        <v/>
      </c>
      <c r="O2773" s="37" t="str">
        <f aca="false">IF($M2773="","",TRIM(INDEX($A2773:$J2773,$O$6)&amp;""))</f>
        <v/>
      </c>
      <c r="P2773" s="37" t="str">
        <f aca="false">IF($M2773="","",IFERROR(IF(INDEX(Settings!$B$41:$B$50,MATCH(O2773,Settings!$A$41:$A$50,0))&amp;""="","UNMAPPED",INDEX(Settings!$B$41:$B$50,MATCH(O2773,Settings!$A$41:$A$50,0))&amp;""),"UNMAPPED"))</f>
        <v/>
      </c>
      <c r="Q2773" s="38" t="n">
        <f aca="false">IF($M2773="",0,N(INDEX($A2773:$J2773,$Q$6)))</f>
        <v>0</v>
      </c>
      <c r="R2773" s="39" t="str">
        <f aca="false">IF($M2773="","",INDEX($A2773:$J2773,$R$6))</f>
        <v/>
      </c>
      <c r="S2773" s="37" t="str">
        <f aca="false">IF($M2773="","",IFERROR(INDEX(Settings!$B$27:$B$36,MATCH(L2773,Settings!$A$27:$A$36,0))&amp;"","UNMAPPED"))</f>
        <v/>
      </c>
      <c r="T2773" s="37" t="str">
        <f aca="false">IF($M2773="","",IF(NOT(ISNUMBER(R2773)),"NO DATE",IF(S2773="Won",IF(R2773&gt;Settings!$B$5,"Backlog","Delivered"),IF(S2773="Open",IF(R2773&gt;Settings!$B$5,"Pipeline","Overdue"),IF(S2773="Lost","Lost","UNMAPPED")))))</f>
        <v/>
      </c>
      <c r="U2773" s="40" t="n">
        <f aca="false">IF(T2773="Backlog",1,IF(OR(T2773="Pipeline",T2773="Overdue"),N(INDEX(Settings!$C$27:$C$36,MATCH(L2773,Settings!$A$27:$A$36,0))),0))</f>
        <v>0</v>
      </c>
      <c r="V2773" s="38" t="n">
        <f aca="false">Q2773*U2773</f>
        <v>0</v>
      </c>
      <c r="W2773" s="41" t="str">
        <f aca="false">IF($M2773="","",IF(T2773="Overdue",IF(Settings!$B$8="Yes",Settings!$B$7,""),IF(ISNUMBER(R2773),DATE(YEAR(R2773),MONTH(R2773),1),"")))</f>
        <v/>
      </c>
      <c r="X2773" s="38" t="n">
        <f aca="false">IF(AND(OR(T2773="Backlog",T2773="Pipeline",T2773="Overdue"),ISNUMBER(W2773)),IF(W2773&lt;=Settings!$B$6,V2773,0),0)</f>
        <v>0</v>
      </c>
      <c r="Y2773" s="38" t="n">
        <f aca="false">IF(AND(OR(T2773="Backlog",T2773="Pipeline",T2773="Overdue"),ISNUMBER(W2773)),IF(W2773&lt;=Settings!$B$6,Q2773,0),0)</f>
        <v>0</v>
      </c>
      <c r="Z2773" s="38" t="n">
        <f aca="false">IF(Y2773=0,0,IF(T2773="Backlog",Q2773,Q2773*Dashboard!$C$10))</f>
        <v>0</v>
      </c>
      <c r="AA2773" s="37" t="n">
        <f aca="false">IF($N2773="",0,IF(COUNTIF(Dashboard!$C$13:$C$22,$N2773)&gt;0,1,0))</f>
        <v>0</v>
      </c>
      <c r="AB2773" s="37" t="str">
        <f aca="false">IF($N2773="","",IF(COUNTIF($N$8:$N2773,$N2773)=1,MAX($AB$7:$AB2772)+1,""))</f>
        <v/>
      </c>
    </row>
    <row r="2774" customFormat="false" ht="15" hidden="false" customHeight="false" outlineLevel="0" collapsed="false">
      <c r="L2774" s="37" t="str">
        <f aca="false">IF(INDEX($A2774:$J2774,$L$6)&lt;&gt;"",TRIM(LEFT(INDEX($A2774:$J2774,$L$6),FIND("(",INDEX($A2774:$J2774,$L$6)&amp;"(")-1)),L2773)</f>
        <v>Building Value Proposition</v>
      </c>
      <c r="M2774" s="37" t="str">
        <f aca="false">IF(INDEX($A2774:$J2774,$M$6)="","",INDEX($A2774:$J2774,$M$6)&amp;"")</f>
        <v/>
      </c>
      <c r="N2774" s="37" t="str">
        <f aca="false">IF($M2774="","",TRIM(INDEX($A2774:$J2774,$N$6)&amp;""))</f>
        <v/>
      </c>
      <c r="O2774" s="37" t="str">
        <f aca="false">IF($M2774="","",TRIM(INDEX($A2774:$J2774,$O$6)&amp;""))</f>
        <v/>
      </c>
      <c r="P2774" s="37" t="str">
        <f aca="false">IF($M2774="","",IFERROR(IF(INDEX(Settings!$B$41:$B$50,MATCH(O2774,Settings!$A$41:$A$50,0))&amp;""="","UNMAPPED",INDEX(Settings!$B$41:$B$50,MATCH(O2774,Settings!$A$41:$A$50,0))&amp;""),"UNMAPPED"))</f>
        <v/>
      </c>
      <c r="Q2774" s="38" t="n">
        <f aca="false">IF($M2774="",0,N(INDEX($A2774:$J2774,$Q$6)))</f>
        <v>0</v>
      </c>
      <c r="R2774" s="39" t="str">
        <f aca="false">IF($M2774="","",INDEX($A2774:$J2774,$R$6))</f>
        <v/>
      </c>
      <c r="S2774" s="37" t="str">
        <f aca="false">IF($M2774="","",IFERROR(INDEX(Settings!$B$27:$B$36,MATCH(L2774,Settings!$A$27:$A$36,0))&amp;"","UNMAPPED"))</f>
        <v/>
      </c>
      <c r="T2774" s="37" t="str">
        <f aca="false">IF($M2774="","",IF(NOT(ISNUMBER(R2774)),"NO DATE",IF(S2774="Won",IF(R2774&gt;Settings!$B$5,"Backlog","Delivered"),IF(S2774="Open",IF(R2774&gt;Settings!$B$5,"Pipeline","Overdue"),IF(S2774="Lost","Lost","UNMAPPED")))))</f>
        <v/>
      </c>
      <c r="U2774" s="40" t="n">
        <f aca="false">IF(T2774="Backlog",1,IF(OR(T2774="Pipeline",T2774="Overdue"),N(INDEX(Settings!$C$27:$C$36,MATCH(L2774,Settings!$A$27:$A$36,0))),0))</f>
        <v>0</v>
      </c>
      <c r="V2774" s="38" t="n">
        <f aca="false">Q2774*U2774</f>
        <v>0</v>
      </c>
      <c r="W2774" s="41" t="str">
        <f aca="false">IF($M2774="","",IF(T2774="Overdue",IF(Settings!$B$8="Yes",Settings!$B$7,""),IF(ISNUMBER(R2774),DATE(YEAR(R2774),MONTH(R2774),1),"")))</f>
        <v/>
      </c>
      <c r="X2774" s="38" t="n">
        <f aca="false">IF(AND(OR(T2774="Backlog",T2774="Pipeline",T2774="Overdue"),ISNUMBER(W2774)),IF(W2774&lt;=Settings!$B$6,V2774,0),0)</f>
        <v>0</v>
      </c>
      <c r="Y2774" s="38" t="n">
        <f aca="false">IF(AND(OR(T2774="Backlog",T2774="Pipeline",T2774="Overdue"),ISNUMBER(W2774)),IF(W2774&lt;=Settings!$B$6,Q2774,0),0)</f>
        <v>0</v>
      </c>
      <c r="Z2774" s="38" t="n">
        <f aca="false">IF(Y2774=0,0,IF(T2774="Backlog",Q2774,Q2774*Dashboard!$C$10))</f>
        <v>0</v>
      </c>
      <c r="AA2774" s="37" t="n">
        <f aca="false">IF($N2774="",0,IF(COUNTIF(Dashboard!$C$13:$C$22,$N2774)&gt;0,1,0))</f>
        <v>0</v>
      </c>
      <c r="AB2774" s="37" t="str">
        <f aca="false">IF($N2774="","",IF(COUNTIF($N$8:$N2774,$N2774)=1,MAX($AB$7:$AB2773)+1,""))</f>
        <v/>
      </c>
    </row>
    <row r="2775" customFormat="false" ht="15" hidden="false" customHeight="false" outlineLevel="0" collapsed="false">
      <c r="L2775" s="37" t="str">
        <f aca="false">IF(INDEX($A2775:$J2775,$L$6)&lt;&gt;"",TRIM(LEFT(INDEX($A2775:$J2775,$L$6),FIND("(",INDEX($A2775:$J2775,$L$6)&amp;"(")-1)),L2774)</f>
        <v>Building Value Proposition</v>
      </c>
      <c r="M2775" s="37" t="str">
        <f aca="false">IF(INDEX($A2775:$J2775,$M$6)="","",INDEX($A2775:$J2775,$M$6)&amp;"")</f>
        <v/>
      </c>
      <c r="N2775" s="37" t="str">
        <f aca="false">IF($M2775="","",TRIM(INDEX($A2775:$J2775,$N$6)&amp;""))</f>
        <v/>
      </c>
      <c r="O2775" s="37" t="str">
        <f aca="false">IF($M2775="","",TRIM(INDEX($A2775:$J2775,$O$6)&amp;""))</f>
        <v/>
      </c>
      <c r="P2775" s="37" t="str">
        <f aca="false">IF($M2775="","",IFERROR(IF(INDEX(Settings!$B$41:$B$50,MATCH(O2775,Settings!$A$41:$A$50,0))&amp;""="","UNMAPPED",INDEX(Settings!$B$41:$B$50,MATCH(O2775,Settings!$A$41:$A$50,0))&amp;""),"UNMAPPED"))</f>
        <v/>
      </c>
      <c r="Q2775" s="38" t="n">
        <f aca="false">IF($M2775="",0,N(INDEX($A2775:$J2775,$Q$6)))</f>
        <v>0</v>
      </c>
      <c r="R2775" s="39" t="str">
        <f aca="false">IF($M2775="","",INDEX($A2775:$J2775,$R$6))</f>
        <v/>
      </c>
      <c r="S2775" s="37" t="str">
        <f aca="false">IF($M2775="","",IFERROR(INDEX(Settings!$B$27:$B$36,MATCH(L2775,Settings!$A$27:$A$36,0))&amp;"","UNMAPPED"))</f>
        <v/>
      </c>
      <c r="T2775" s="37" t="str">
        <f aca="false">IF($M2775="","",IF(NOT(ISNUMBER(R2775)),"NO DATE",IF(S2775="Won",IF(R2775&gt;Settings!$B$5,"Backlog","Delivered"),IF(S2775="Open",IF(R2775&gt;Settings!$B$5,"Pipeline","Overdue"),IF(S2775="Lost","Lost","UNMAPPED")))))</f>
        <v/>
      </c>
      <c r="U2775" s="40" t="n">
        <f aca="false">IF(T2775="Backlog",1,IF(OR(T2775="Pipeline",T2775="Overdue"),N(INDEX(Settings!$C$27:$C$36,MATCH(L2775,Settings!$A$27:$A$36,0))),0))</f>
        <v>0</v>
      </c>
      <c r="V2775" s="38" t="n">
        <f aca="false">Q2775*U2775</f>
        <v>0</v>
      </c>
      <c r="W2775" s="41" t="str">
        <f aca="false">IF($M2775="","",IF(T2775="Overdue",IF(Settings!$B$8="Yes",Settings!$B$7,""),IF(ISNUMBER(R2775),DATE(YEAR(R2775),MONTH(R2775),1),"")))</f>
        <v/>
      </c>
      <c r="X2775" s="38" t="n">
        <f aca="false">IF(AND(OR(T2775="Backlog",T2775="Pipeline",T2775="Overdue"),ISNUMBER(W2775)),IF(W2775&lt;=Settings!$B$6,V2775,0),0)</f>
        <v>0</v>
      </c>
      <c r="Y2775" s="38" t="n">
        <f aca="false">IF(AND(OR(T2775="Backlog",T2775="Pipeline",T2775="Overdue"),ISNUMBER(W2775)),IF(W2775&lt;=Settings!$B$6,Q2775,0),0)</f>
        <v>0</v>
      </c>
      <c r="Z2775" s="38" t="n">
        <f aca="false">IF(Y2775=0,0,IF(T2775="Backlog",Q2775,Q2775*Dashboard!$C$10))</f>
        <v>0</v>
      </c>
      <c r="AA2775" s="37" t="n">
        <f aca="false">IF($N2775="",0,IF(COUNTIF(Dashboard!$C$13:$C$22,$N2775)&gt;0,1,0))</f>
        <v>0</v>
      </c>
      <c r="AB2775" s="37" t="str">
        <f aca="false">IF($N2775="","",IF(COUNTIF($N$8:$N2775,$N2775)=1,MAX($AB$7:$AB2774)+1,""))</f>
        <v/>
      </c>
    </row>
    <row r="2776" customFormat="false" ht="15" hidden="false" customHeight="false" outlineLevel="0" collapsed="false">
      <c r="L2776" s="37" t="str">
        <f aca="false">IF(INDEX($A2776:$J2776,$L$6)&lt;&gt;"",TRIM(LEFT(INDEX($A2776:$J2776,$L$6),FIND("(",INDEX($A2776:$J2776,$L$6)&amp;"(")-1)),L2775)</f>
        <v>Building Value Proposition</v>
      </c>
      <c r="M2776" s="37" t="str">
        <f aca="false">IF(INDEX($A2776:$J2776,$M$6)="","",INDEX($A2776:$J2776,$M$6)&amp;"")</f>
        <v/>
      </c>
      <c r="N2776" s="37" t="str">
        <f aca="false">IF($M2776="","",TRIM(INDEX($A2776:$J2776,$N$6)&amp;""))</f>
        <v/>
      </c>
      <c r="O2776" s="37" t="str">
        <f aca="false">IF($M2776="","",TRIM(INDEX($A2776:$J2776,$O$6)&amp;""))</f>
        <v/>
      </c>
      <c r="P2776" s="37" t="str">
        <f aca="false">IF($M2776="","",IFERROR(IF(INDEX(Settings!$B$41:$B$50,MATCH(O2776,Settings!$A$41:$A$50,0))&amp;""="","UNMAPPED",INDEX(Settings!$B$41:$B$50,MATCH(O2776,Settings!$A$41:$A$50,0))&amp;""),"UNMAPPED"))</f>
        <v/>
      </c>
      <c r="Q2776" s="38" t="n">
        <f aca="false">IF($M2776="",0,N(INDEX($A2776:$J2776,$Q$6)))</f>
        <v>0</v>
      </c>
      <c r="R2776" s="39" t="str">
        <f aca="false">IF($M2776="","",INDEX($A2776:$J2776,$R$6))</f>
        <v/>
      </c>
      <c r="S2776" s="37" t="str">
        <f aca="false">IF($M2776="","",IFERROR(INDEX(Settings!$B$27:$B$36,MATCH(L2776,Settings!$A$27:$A$36,0))&amp;"","UNMAPPED"))</f>
        <v/>
      </c>
      <c r="T2776" s="37" t="str">
        <f aca="false">IF($M2776="","",IF(NOT(ISNUMBER(R2776)),"NO DATE",IF(S2776="Won",IF(R2776&gt;Settings!$B$5,"Backlog","Delivered"),IF(S2776="Open",IF(R2776&gt;Settings!$B$5,"Pipeline","Overdue"),IF(S2776="Lost","Lost","UNMAPPED")))))</f>
        <v/>
      </c>
      <c r="U2776" s="40" t="n">
        <f aca="false">IF(T2776="Backlog",1,IF(OR(T2776="Pipeline",T2776="Overdue"),N(INDEX(Settings!$C$27:$C$36,MATCH(L2776,Settings!$A$27:$A$36,0))),0))</f>
        <v>0</v>
      </c>
      <c r="V2776" s="38" t="n">
        <f aca="false">Q2776*U2776</f>
        <v>0</v>
      </c>
      <c r="W2776" s="41" t="str">
        <f aca="false">IF($M2776="","",IF(T2776="Overdue",IF(Settings!$B$8="Yes",Settings!$B$7,""),IF(ISNUMBER(R2776),DATE(YEAR(R2776),MONTH(R2776),1),"")))</f>
        <v/>
      </c>
      <c r="X2776" s="38" t="n">
        <f aca="false">IF(AND(OR(T2776="Backlog",T2776="Pipeline",T2776="Overdue"),ISNUMBER(W2776)),IF(W2776&lt;=Settings!$B$6,V2776,0),0)</f>
        <v>0</v>
      </c>
      <c r="Y2776" s="38" t="n">
        <f aca="false">IF(AND(OR(T2776="Backlog",T2776="Pipeline",T2776="Overdue"),ISNUMBER(W2776)),IF(W2776&lt;=Settings!$B$6,Q2776,0),0)</f>
        <v>0</v>
      </c>
      <c r="Z2776" s="38" t="n">
        <f aca="false">IF(Y2776=0,0,IF(T2776="Backlog",Q2776,Q2776*Dashboard!$C$10))</f>
        <v>0</v>
      </c>
      <c r="AA2776" s="37" t="n">
        <f aca="false">IF($N2776="",0,IF(COUNTIF(Dashboard!$C$13:$C$22,$N2776)&gt;0,1,0))</f>
        <v>0</v>
      </c>
      <c r="AB2776" s="37" t="str">
        <f aca="false">IF($N2776="","",IF(COUNTIF($N$8:$N2776,$N2776)=1,MAX($AB$7:$AB2775)+1,""))</f>
        <v/>
      </c>
    </row>
    <row r="2777" customFormat="false" ht="15" hidden="false" customHeight="false" outlineLevel="0" collapsed="false">
      <c r="L2777" s="37" t="str">
        <f aca="false">IF(INDEX($A2777:$J2777,$L$6)&lt;&gt;"",TRIM(LEFT(INDEX($A2777:$J2777,$L$6),FIND("(",INDEX($A2777:$J2777,$L$6)&amp;"(")-1)),L2776)</f>
        <v>Building Value Proposition</v>
      </c>
      <c r="M2777" s="37" t="str">
        <f aca="false">IF(INDEX($A2777:$J2777,$M$6)="","",INDEX($A2777:$J2777,$M$6)&amp;"")</f>
        <v/>
      </c>
      <c r="N2777" s="37" t="str">
        <f aca="false">IF($M2777="","",TRIM(INDEX($A2777:$J2777,$N$6)&amp;""))</f>
        <v/>
      </c>
      <c r="O2777" s="37" t="str">
        <f aca="false">IF($M2777="","",TRIM(INDEX($A2777:$J2777,$O$6)&amp;""))</f>
        <v/>
      </c>
      <c r="P2777" s="37" t="str">
        <f aca="false">IF($M2777="","",IFERROR(IF(INDEX(Settings!$B$41:$B$50,MATCH(O2777,Settings!$A$41:$A$50,0))&amp;""="","UNMAPPED",INDEX(Settings!$B$41:$B$50,MATCH(O2777,Settings!$A$41:$A$50,0))&amp;""),"UNMAPPED"))</f>
        <v/>
      </c>
      <c r="Q2777" s="38" t="n">
        <f aca="false">IF($M2777="",0,N(INDEX($A2777:$J2777,$Q$6)))</f>
        <v>0</v>
      </c>
      <c r="R2777" s="39" t="str">
        <f aca="false">IF($M2777="","",INDEX($A2777:$J2777,$R$6))</f>
        <v/>
      </c>
      <c r="S2777" s="37" t="str">
        <f aca="false">IF($M2777="","",IFERROR(INDEX(Settings!$B$27:$B$36,MATCH(L2777,Settings!$A$27:$A$36,0))&amp;"","UNMAPPED"))</f>
        <v/>
      </c>
      <c r="T2777" s="37" t="str">
        <f aca="false">IF($M2777="","",IF(NOT(ISNUMBER(R2777)),"NO DATE",IF(S2777="Won",IF(R2777&gt;Settings!$B$5,"Backlog","Delivered"),IF(S2777="Open",IF(R2777&gt;Settings!$B$5,"Pipeline","Overdue"),IF(S2777="Lost","Lost","UNMAPPED")))))</f>
        <v/>
      </c>
      <c r="U2777" s="40" t="n">
        <f aca="false">IF(T2777="Backlog",1,IF(OR(T2777="Pipeline",T2777="Overdue"),N(INDEX(Settings!$C$27:$C$36,MATCH(L2777,Settings!$A$27:$A$36,0))),0))</f>
        <v>0</v>
      </c>
      <c r="V2777" s="38" t="n">
        <f aca="false">Q2777*U2777</f>
        <v>0</v>
      </c>
      <c r="W2777" s="41" t="str">
        <f aca="false">IF($M2777="","",IF(T2777="Overdue",IF(Settings!$B$8="Yes",Settings!$B$7,""),IF(ISNUMBER(R2777),DATE(YEAR(R2777),MONTH(R2777),1),"")))</f>
        <v/>
      </c>
      <c r="X2777" s="38" t="n">
        <f aca="false">IF(AND(OR(T2777="Backlog",T2777="Pipeline",T2777="Overdue"),ISNUMBER(W2777)),IF(W2777&lt;=Settings!$B$6,V2777,0),0)</f>
        <v>0</v>
      </c>
      <c r="Y2777" s="38" t="n">
        <f aca="false">IF(AND(OR(T2777="Backlog",T2777="Pipeline",T2777="Overdue"),ISNUMBER(W2777)),IF(W2777&lt;=Settings!$B$6,Q2777,0),0)</f>
        <v>0</v>
      </c>
      <c r="Z2777" s="38" t="n">
        <f aca="false">IF(Y2777=0,0,IF(T2777="Backlog",Q2777,Q2777*Dashboard!$C$10))</f>
        <v>0</v>
      </c>
      <c r="AA2777" s="37" t="n">
        <f aca="false">IF($N2777="",0,IF(COUNTIF(Dashboard!$C$13:$C$22,$N2777)&gt;0,1,0))</f>
        <v>0</v>
      </c>
      <c r="AB2777" s="37" t="str">
        <f aca="false">IF($N2777="","",IF(COUNTIF($N$8:$N2777,$N2777)=1,MAX($AB$7:$AB2776)+1,""))</f>
        <v/>
      </c>
    </row>
    <row r="2778" customFormat="false" ht="15" hidden="false" customHeight="false" outlineLevel="0" collapsed="false">
      <c r="L2778" s="37" t="str">
        <f aca="false">IF(INDEX($A2778:$J2778,$L$6)&lt;&gt;"",TRIM(LEFT(INDEX($A2778:$J2778,$L$6),FIND("(",INDEX($A2778:$J2778,$L$6)&amp;"(")-1)),L2777)</f>
        <v>Building Value Proposition</v>
      </c>
      <c r="M2778" s="37" t="str">
        <f aca="false">IF(INDEX($A2778:$J2778,$M$6)="","",INDEX($A2778:$J2778,$M$6)&amp;"")</f>
        <v/>
      </c>
      <c r="N2778" s="37" t="str">
        <f aca="false">IF($M2778="","",TRIM(INDEX($A2778:$J2778,$N$6)&amp;""))</f>
        <v/>
      </c>
      <c r="O2778" s="37" t="str">
        <f aca="false">IF($M2778="","",TRIM(INDEX($A2778:$J2778,$O$6)&amp;""))</f>
        <v/>
      </c>
      <c r="P2778" s="37" t="str">
        <f aca="false">IF($M2778="","",IFERROR(IF(INDEX(Settings!$B$41:$B$50,MATCH(O2778,Settings!$A$41:$A$50,0))&amp;""="","UNMAPPED",INDEX(Settings!$B$41:$B$50,MATCH(O2778,Settings!$A$41:$A$50,0))&amp;""),"UNMAPPED"))</f>
        <v/>
      </c>
      <c r="Q2778" s="38" t="n">
        <f aca="false">IF($M2778="",0,N(INDEX($A2778:$J2778,$Q$6)))</f>
        <v>0</v>
      </c>
      <c r="R2778" s="39" t="str">
        <f aca="false">IF($M2778="","",INDEX($A2778:$J2778,$R$6))</f>
        <v/>
      </c>
      <c r="S2778" s="37" t="str">
        <f aca="false">IF($M2778="","",IFERROR(INDEX(Settings!$B$27:$B$36,MATCH(L2778,Settings!$A$27:$A$36,0))&amp;"","UNMAPPED"))</f>
        <v/>
      </c>
      <c r="T2778" s="37" t="str">
        <f aca="false">IF($M2778="","",IF(NOT(ISNUMBER(R2778)),"NO DATE",IF(S2778="Won",IF(R2778&gt;Settings!$B$5,"Backlog","Delivered"),IF(S2778="Open",IF(R2778&gt;Settings!$B$5,"Pipeline","Overdue"),IF(S2778="Lost","Lost","UNMAPPED")))))</f>
        <v/>
      </c>
      <c r="U2778" s="40" t="n">
        <f aca="false">IF(T2778="Backlog",1,IF(OR(T2778="Pipeline",T2778="Overdue"),N(INDEX(Settings!$C$27:$C$36,MATCH(L2778,Settings!$A$27:$A$36,0))),0))</f>
        <v>0</v>
      </c>
      <c r="V2778" s="38" t="n">
        <f aca="false">Q2778*U2778</f>
        <v>0</v>
      </c>
      <c r="W2778" s="41" t="str">
        <f aca="false">IF($M2778="","",IF(T2778="Overdue",IF(Settings!$B$8="Yes",Settings!$B$7,""),IF(ISNUMBER(R2778),DATE(YEAR(R2778),MONTH(R2778),1),"")))</f>
        <v/>
      </c>
      <c r="X2778" s="38" t="n">
        <f aca="false">IF(AND(OR(T2778="Backlog",T2778="Pipeline",T2778="Overdue"),ISNUMBER(W2778)),IF(W2778&lt;=Settings!$B$6,V2778,0),0)</f>
        <v>0</v>
      </c>
      <c r="Y2778" s="38" t="n">
        <f aca="false">IF(AND(OR(T2778="Backlog",T2778="Pipeline",T2778="Overdue"),ISNUMBER(W2778)),IF(W2778&lt;=Settings!$B$6,Q2778,0),0)</f>
        <v>0</v>
      </c>
      <c r="Z2778" s="38" t="n">
        <f aca="false">IF(Y2778=0,0,IF(T2778="Backlog",Q2778,Q2778*Dashboard!$C$10))</f>
        <v>0</v>
      </c>
      <c r="AA2778" s="37" t="n">
        <f aca="false">IF($N2778="",0,IF(COUNTIF(Dashboard!$C$13:$C$22,$N2778)&gt;0,1,0))</f>
        <v>0</v>
      </c>
      <c r="AB2778" s="37" t="str">
        <f aca="false">IF($N2778="","",IF(COUNTIF($N$8:$N2778,$N2778)=1,MAX($AB$7:$AB2777)+1,""))</f>
        <v/>
      </c>
    </row>
    <row r="2779" customFormat="false" ht="15" hidden="false" customHeight="false" outlineLevel="0" collapsed="false">
      <c r="L2779" s="37" t="str">
        <f aca="false">IF(INDEX($A2779:$J2779,$L$6)&lt;&gt;"",TRIM(LEFT(INDEX($A2779:$J2779,$L$6),FIND("(",INDEX($A2779:$J2779,$L$6)&amp;"(")-1)),L2778)</f>
        <v>Building Value Proposition</v>
      </c>
      <c r="M2779" s="37" t="str">
        <f aca="false">IF(INDEX($A2779:$J2779,$M$6)="","",INDEX($A2779:$J2779,$M$6)&amp;"")</f>
        <v/>
      </c>
      <c r="N2779" s="37" t="str">
        <f aca="false">IF($M2779="","",TRIM(INDEX($A2779:$J2779,$N$6)&amp;""))</f>
        <v/>
      </c>
      <c r="O2779" s="37" t="str">
        <f aca="false">IF($M2779="","",TRIM(INDEX($A2779:$J2779,$O$6)&amp;""))</f>
        <v/>
      </c>
      <c r="P2779" s="37" t="str">
        <f aca="false">IF($M2779="","",IFERROR(IF(INDEX(Settings!$B$41:$B$50,MATCH(O2779,Settings!$A$41:$A$50,0))&amp;""="","UNMAPPED",INDEX(Settings!$B$41:$B$50,MATCH(O2779,Settings!$A$41:$A$50,0))&amp;""),"UNMAPPED"))</f>
        <v/>
      </c>
      <c r="Q2779" s="38" t="n">
        <f aca="false">IF($M2779="",0,N(INDEX($A2779:$J2779,$Q$6)))</f>
        <v>0</v>
      </c>
      <c r="R2779" s="39" t="str">
        <f aca="false">IF($M2779="","",INDEX($A2779:$J2779,$R$6))</f>
        <v/>
      </c>
      <c r="S2779" s="37" t="str">
        <f aca="false">IF($M2779="","",IFERROR(INDEX(Settings!$B$27:$B$36,MATCH(L2779,Settings!$A$27:$A$36,0))&amp;"","UNMAPPED"))</f>
        <v/>
      </c>
      <c r="T2779" s="37" t="str">
        <f aca="false">IF($M2779="","",IF(NOT(ISNUMBER(R2779)),"NO DATE",IF(S2779="Won",IF(R2779&gt;Settings!$B$5,"Backlog","Delivered"),IF(S2779="Open",IF(R2779&gt;Settings!$B$5,"Pipeline","Overdue"),IF(S2779="Lost","Lost","UNMAPPED")))))</f>
        <v/>
      </c>
      <c r="U2779" s="40" t="n">
        <f aca="false">IF(T2779="Backlog",1,IF(OR(T2779="Pipeline",T2779="Overdue"),N(INDEX(Settings!$C$27:$C$36,MATCH(L2779,Settings!$A$27:$A$36,0))),0))</f>
        <v>0</v>
      </c>
      <c r="V2779" s="38" t="n">
        <f aca="false">Q2779*U2779</f>
        <v>0</v>
      </c>
      <c r="W2779" s="41" t="str">
        <f aca="false">IF($M2779="","",IF(T2779="Overdue",IF(Settings!$B$8="Yes",Settings!$B$7,""),IF(ISNUMBER(R2779),DATE(YEAR(R2779),MONTH(R2779),1),"")))</f>
        <v/>
      </c>
      <c r="X2779" s="38" t="n">
        <f aca="false">IF(AND(OR(T2779="Backlog",T2779="Pipeline",T2779="Overdue"),ISNUMBER(W2779)),IF(W2779&lt;=Settings!$B$6,V2779,0),0)</f>
        <v>0</v>
      </c>
      <c r="Y2779" s="38" t="n">
        <f aca="false">IF(AND(OR(T2779="Backlog",T2779="Pipeline",T2779="Overdue"),ISNUMBER(W2779)),IF(W2779&lt;=Settings!$B$6,Q2779,0),0)</f>
        <v>0</v>
      </c>
      <c r="Z2779" s="38" t="n">
        <f aca="false">IF(Y2779=0,0,IF(T2779="Backlog",Q2779,Q2779*Dashboard!$C$10))</f>
        <v>0</v>
      </c>
      <c r="AA2779" s="37" t="n">
        <f aca="false">IF($N2779="",0,IF(COUNTIF(Dashboard!$C$13:$C$22,$N2779)&gt;0,1,0))</f>
        <v>0</v>
      </c>
      <c r="AB2779" s="37" t="str">
        <f aca="false">IF($N2779="","",IF(COUNTIF($N$8:$N2779,$N2779)=1,MAX($AB$7:$AB2778)+1,""))</f>
        <v/>
      </c>
    </row>
    <row r="2780" customFormat="false" ht="15" hidden="false" customHeight="false" outlineLevel="0" collapsed="false">
      <c r="L2780" s="37" t="str">
        <f aca="false">IF(INDEX($A2780:$J2780,$L$6)&lt;&gt;"",TRIM(LEFT(INDEX($A2780:$J2780,$L$6),FIND("(",INDEX($A2780:$J2780,$L$6)&amp;"(")-1)),L2779)</f>
        <v>Building Value Proposition</v>
      </c>
      <c r="M2780" s="37" t="str">
        <f aca="false">IF(INDEX($A2780:$J2780,$M$6)="","",INDEX($A2780:$J2780,$M$6)&amp;"")</f>
        <v/>
      </c>
      <c r="N2780" s="37" t="str">
        <f aca="false">IF($M2780="","",TRIM(INDEX($A2780:$J2780,$N$6)&amp;""))</f>
        <v/>
      </c>
      <c r="O2780" s="37" t="str">
        <f aca="false">IF($M2780="","",TRIM(INDEX($A2780:$J2780,$O$6)&amp;""))</f>
        <v/>
      </c>
      <c r="P2780" s="37" t="str">
        <f aca="false">IF($M2780="","",IFERROR(IF(INDEX(Settings!$B$41:$B$50,MATCH(O2780,Settings!$A$41:$A$50,0))&amp;""="","UNMAPPED",INDEX(Settings!$B$41:$B$50,MATCH(O2780,Settings!$A$41:$A$50,0))&amp;""),"UNMAPPED"))</f>
        <v/>
      </c>
      <c r="Q2780" s="38" t="n">
        <f aca="false">IF($M2780="",0,N(INDEX($A2780:$J2780,$Q$6)))</f>
        <v>0</v>
      </c>
      <c r="R2780" s="39" t="str">
        <f aca="false">IF($M2780="","",INDEX($A2780:$J2780,$R$6))</f>
        <v/>
      </c>
      <c r="S2780" s="37" t="str">
        <f aca="false">IF($M2780="","",IFERROR(INDEX(Settings!$B$27:$B$36,MATCH(L2780,Settings!$A$27:$A$36,0))&amp;"","UNMAPPED"))</f>
        <v/>
      </c>
      <c r="T2780" s="37" t="str">
        <f aca="false">IF($M2780="","",IF(NOT(ISNUMBER(R2780)),"NO DATE",IF(S2780="Won",IF(R2780&gt;Settings!$B$5,"Backlog","Delivered"),IF(S2780="Open",IF(R2780&gt;Settings!$B$5,"Pipeline","Overdue"),IF(S2780="Lost","Lost","UNMAPPED")))))</f>
        <v/>
      </c>
      <c r="U2780" s="40" t="n">
        <f aca="false">IF(T2780="Backlog",1,IF(OR(T2780="Pipeline",T2780="Overdue"),N(INDEX(Settings!$C$27:$C$36,MATCH(L2780,Settings!$A$27:$A$36,0))),0))</f>
        <v>0</v>
      </c>
      <c r="V2780" s="38" t="n">
        <f aca="false">Q2780*U2780</f>
        <v>0</v>
      </c>
      <c r="W2780" s="41" t="str">
        <f aca="false">IF($M2780="","",IF(T2780="Overdue",IF(Settings!$B$8="Yes",Settings!$B$7,""),IF(ISNUMBER(R2780),DATE(YEAR(R2780),MONTH(R2780),1),"")))</f>
        <v/>
      </c>
      <c r="X2780" s="38" t="n">
        <f aca="false">IF(AND(OR(T2780="Backlog",T2780="Pipeline",T2780="Overdue"),ISNUMBER(W2780)),IF(W2780&lt;=Settings!$B$6,V2780,0),0)</f>
        <v>0</v>
      </c>
      <c r="Y2780" s="38" t="n">
        <f aca="false">IF(AND(OR(T2780="Backlog",T2780="Pipeline",T2780="Overdue"),ISNUMBER(W2780)),IF(W2780&lt;=Settings!$B$6,Q2780,0),0)</f>
        <v>0</v>
      </c>
      <c r="Z2780" s="38" t="n">
        <f aca="false">IF(Y2780=0,0,IF(T2780="Backlog",Q2780,Q2780*Dashboard!$C$10))</f>
        <v>0</v>
      </c>
      <c r="AA2780" s="37" t="n">
        <f aca="false">IF($N2780="",0,IF(COUNTIF(Dashboard!$C$13:$C$22,$N2780)&gt;0,1,0))</f>
        <v>0</v>
      </c>
      <c r="AB2780" s="37" t="str">
        <f aca="false">IF($N2780="","",IF(COUNTIF($N$8:$N2780,$N2780)=1,MAX($AB$7:$AB2779)+1,""))</f>
        <v/>
      </c>
    </row>
    <row r="2781" customFormat="false" ht="15" hidden="false" customHeight="false" outlineLevel="0" collapsed="false">
      <c r="L2781" s="37" t="str">
        <f aca="false">IF(INDEX($A2781:$J2781,$L$6)&lt;&gt;"",TRIM(LEFT(INDEX($A2781:$J2781,$L$6),FIND("(",INDEX($A2781:$J2781,$L$6)&amp;"(")-1)),L2780)</f>
        <v>Building Value Proposition</v>
      </c>
      <c r="M2781" s="37" t="str">
        <f aca="false">IF(INDEX($A2781:$J2781,$M$6)="","",INDEX($A2781:$J2781,$M$6)&amp;"")</f>
        <v/>
      </c>
      <c r="N2781" s="37" t="str">
        <f aca="false">IF($M2781="","",TRIM(INDEX($A2781:$J2781,$N$6)&amp;""))</f>
        <v/>
      </c>
      <c r="O2781" s="37" t="str">
        <f aca="false">IF($M2781="","",TRIM(INDEX($A2781:$J2781,$O$6)&amp;""))</f>
        <v/>
      </c>
      <c r="P2781" s="37" t="str">
        <f aca="false">IF($M2781="","",IFERROR(IF(INDEX(Settings!$B$41:$B$50,MATCH(O2781,Settings!$A$41:$A$50,0))&amp;""="","UNMAPPED",INDEX(Settings!$B$41:$B$50,MATCH(O2781,Settings!$A$41:$A$50,0))&amp;""),"UNMAPPED"))</f>
        <v/>
      </c>
      <c r="Q2781" s="38" t="n">
        <f aca="false">IF($M2781="",0,N(INDEX($A2781:$J2781,$Q$6)))</f>
        <v>0</v>
      </c>
      <c r="R2781" s="39" t="str">
        <f aca="false">IF($M2781="","",INDEX($A2781:$J2781,$R$6))</f>
        <v/>
      </c>
      <c r="S2781" s="37" t="str">
        <f aca="false">IF($M2781="","",IFERROR(INDEX(Settings!$B$27:$B$36,MATCH(L2781,Settings!$A$27:$A$36,0))&amp;"","UNMAPPED"))</f>
        <v/>
      </c>
      <c r="T2781" s="37" t="str">
        <f aca="false">IF($M2781="","",IF(NOT(ISNUMBER(R2781)),"NO DATE",IF(S2781="Won",IF(R2781&gt;Settings!$B$5,"Backlog","Delivered"),IF(S2781="Open",IF(R2781&gt;Settings!$B$5,"Pipeline","Overdue"),IF(S2781="Lost","Lost","UNMAPPED")))))</f>
        <v/>
      </c>
      <c r="U2781" s="40" t="n">
        <f aca="false">IF(T2781="Backlog",1,IF(OR(T2781="Pipeline",T2781="Overdue"),N(INDEX(Settings!$C$27:$C$36,MATCH(L2781,Settings!$A$27:$A$36,0))),0))</f>
        <v>0</v>
      </c>
      <c r="V2781" s="38" t="n">
        <f aca="false">Q2781*U2781</f>
        <v>0</v>
      </c>
      <c r="W2781" s="41" t="str">
        <f aca="false">IF($M2781="","",IF(T2781="Overdue",IF(Settings!$B$8="Yes",Settings!$B$7,""),IF(ISNUMBER(R2781),DATE(YEAR(R2781),MONTH(R2781),1),"")))</f>
        <v/>
      </c>
      <c r="X2781" s="38" t="n">
        <f aca="false">IF(AND(OR(T2781="Backlog",T2781="Pipeline",T2781="Overdue"),ISNUMBER(W2781)),IF(W2781&lt;=Settings!$B$6,V2781,0),0)</f>
        <v>0</v>
      </c>
      <c r="Y2781" s="38" t="n">
        <f aca="false">IF(AND(OR(T2781="Backlog",T2781="Pipeline",T2781="Overdue"),ISNUMBER(W2781)),IF(W2781&lt;=Settings!$B$6,Q2781,0),0)</f>
        <v>0</v>
      </c>
      <c r="Z2781" s="38" t="n">
        <f aca="false">IF(Y2781=0,0,IF(T2781="Backlog",Q2781,Q2781*Dashboard!$C$10))</f>
        <v>0</v>
      </c>
      <c r="AA2781" s="37" t="n">
        <f aca="false">IF($N2781="",0,IF(COUNTIF(Dashboard!$C$13:$C$22,$N2781)&gt;0,1,0))</f>
        <v>0</v>
      </c>
      <c r="AB2781" s="37" t="str">
        <f aca="false">IF($N2781="","",IF(COUNTIF($N$8:$N2781,$N2781)=1,MAX($AB$7:$AB2780)+1,""))</f>
        <v/>
      </c>
    </row>
    <row r="2782" customFormat="false" ht="15" hidden="false" customHeight="false" outlineLevel="0" collapsed="false">
      <c r="L2782" s="37" t="str">
        <f aca="false">IF(INDEX($A2782:$J2782,$L$6)&lt;&gt;"",TRIM(LEFT(INDEX($A2782:$J2782,$L$6),FIND("(",INDEX($A2782:$J2782,$L$6)&amp;"(")-1)),L2781)</f>
        <v>Building Value Proposition</v>
      </c>
      <c r="M2782" s="37" t="str">
        <f aca="false">IF(INDEX($A2782:$J2782,$M$6)="","",INDEX($A2782:$J2782,$M$6)&amp;"")</f>
        <v/>
      </c>
      <c r="N2782" s="37" t="str">
        <f aca="false">IF($M2782="","",TRIM(INDEX($A2782:$J2782,$N$6)&amp;""))</f>
        <v/>
      </c>
      <c r="O2782" s="37" t="str">
        <f aca="false">IF($M2782="","",TRIM(INDEX($A2782:$J2782,$O$6)&amp;""))</f>
        <v/>
      </c>
      <c r="P2782" s="37" t="str">
        <f aca="false">IF($M2782="","",IFERROR(IF(INDEX(Settings!$B$41:$B$50,MATCH(O2782,Settings!$A$41:$A$50,0))&amp;""="","UNMAPPED",INDEX(Settings!$B$41:$B$50,MATCH(O2782,Settings!$A$41:$A$50,0))&amp;""),"UNMAPPED"))</f>
        <v/>
      </c>
      <c r="Q2782" s="38" t="n">
        <f aca="false">IF($M2782="",0,N(INDEX($A2782:$J2782,$Q$6)))</f>
        <v>0</v>
      </c>
      <c r="R2782" s="39" t="str">
        <f aca="false">IF($M2782="","",INDEX($A2782:$J2782,$R$6))</f>
        <v/>
      </c>
      <c r="S2782" s="37" t="str">
        <f aca="false">IF($M2782="","",IFERROR(INDEX(Settings!$B$27:$B$36,MATCH(L2782,Settings!$A$27:$A$36,0))&amp;"","UNMAPPED"))</f>
        <v/>
      </c>
      <c r="T2782" s="37" t="str">
        <f aca="false">IF($M2782="","",IF(NOT(ISNUMBER(R2782)),"NO DATE",IF(S2782="Won",IF(R2782&gt;Settings!$B$5,"Backlog","Delivered"),IF(S2782="Open",IF(R2782&gt;Settings!$B$5,"Pipeline","Overdue"),IF(S2782="Lost","Lost","UNMAPPED")))))</f>
        <v/>
      </c>
      <c r="U2782" s="40" t="n">
        <f aca="false">IF(T2782="Backlog",1,IF(OR(T2782="Pipeline",T2782="Overdue"),N(INDEX(Settings!$C$27:$C$36,MATCH(L2782,Settings!$A$27:$A$36,0))),0))</f>
        <v>0</v>
      </c>
      <c r="V2782" s="38" t="n">
        <f aca="false">Q2782*U2782</f>
        <v>0</v>
      </c>
      <c r="W2782" s="41" t="str">
        <f aca="false">IF($M2782="","",IF(T2782="Overdue",IF(Settings!$B$8="Yes",Settings!$B$7,""),IF(ISNUMBER(R2782),DATE(YEAR(R2782),MONTH(R2782),1),"")))</f>
        <v/>
      </c>
      <c r="X2782" s="38" t="n">
        <f aca="false">IF(AND(OR(T2782="Backlog",T2782="Pipeline",T2782="Overdue"),ISNUMBER(W2782)),IF(W2782&lt;=Settings!$B$6,V2782,0),0)</f>
        <v>0</v>
      </c>
      <c r="Y2782" s="38" t="n">
        <f aca="false">IF(AND(OR(T2782="Backlog",T2782="Pipeline",T2782="Overdue"),ISNUMBER(W2782)),IF(W2782&lt;=Settings!$B$6,Q2782,0),0)</f>
        <v>0</v>
      </c>
      <c r="Z2782" s="38" t="n">
        <f aca="false">IF(Y2782=0,0,IF(T2782="Backlog",Q2782,Q2782*Dashboard!$C$10))</f>
        <v>0</v>
      </c>
      <c r="AA2782" s="37" t="n">
        <f aca="false">IF($N2782="",0,IF(COUNTIF(Dashboard!$C$13:$C$22,$N2782)&gt;0,1,0))</f>
        <v>0</v>
      </c>
      <c r="AB2782" s="37" t="str">
        <f aca="false">IF($N2782="","",IF(COUNTIF($N$8:$N2782,$N2782)=1,MAX($AB$7:$AB2781)+1,""))</f>
        <v/>
      </c>
    </row>
    <row r="2783" customFormat="false" ht="15" hidden="false" customHeight="false" outlineLevel="0" collapsed="false">
      <c r="L2783" s="37" t="str">
        <f aca="false">IF(INDEX($A2783:$J2783,$L$6)&lt;&gt;"",TRIM(LEFT(INDEX($A2783:$J2783,$L$6),FIND("(",INDEX($A2783:$J2783,$L$6)&amp;"(")-1)),L2782)</f>
        <v>Building Value Proposition</v>
      </c>
      <c r="M2783" s="37" t="str">
        <f aca="false">IF(INDEX($A2783:$J2783,$M$6)="","",INDEX($A2783:$J2783,$M$6)&amp;"")</f>
        <v/>
      </c>
      <c r="N2783" s="37" t="str">
        <f aca="false">IF($M2783="","",TRIM(INDEX($A2783:$J2783,$N$6)&amp;""))</f>
        <v/>
      </c>
      <c r="O2783" s="37" t="str">
        <f aca="false">IF($M2783="","",TRIM(INDEX($A2783:$J2783,$O$6)&amp;""))</f>
        <v/>
      </c>
      <c r="P2783" s="37" t="str">
        <f aca="false">IF($M2783="","",IFERROR(IF(INDEX(Settings!$B$41:$B$50,MATCH(O2783,Settings!$A$41:$A$50,0))&amp;""="","UNMAPPED",INDEX(Settings!$B$41:$B$50,MATCH(O2783,Settings!$A$41:$A$50,0))&amp;""),"UNMAPPED"))</f>
        <v/>
      </c>
      <c r="Q2783" s="38" t="n">
        <f aca="false">IF($M2783="",0,N(INDEX($A2783:$J2783,$Q$6)))</f>
        <v>0</v>
      </c>
      <c r="R2783" s="39" t="str">
        <f aca="false">IF($M2783="","",INDEX($A2783:$J2783,$R$6))</f>
        <v/>
      </c>
      <c r="S2783" s="37" t="str">
        <f aca="false">IF($M2783="","",IFERROR(INDEX(Settings!$B$27:$B$36,MATCH(L2783,Settings!$A$27:$A$36,0))&amp;"","UNMAPPED"))</f>
        <v/>
      </c>
      <c r="T2783" s="37" t="str">
        <f aca="false">IF($M2783="","",IF(NOT(ISNUMBER(R2783)),"NO DATE",IF(S2783="Won",IF(R2783&gt;Settings!$B$5,"Backlog","Delivered"),IF(S2783="Open",IF(R2783&gt;Settings!$B$5,"Pipeline","Overdue"),IF(S2783="Lost","Lost","UNMAPPED")))))</f>
        <v/>
      </c>
      <c r="U2783" s="40" t="n">
        <f aca="false">IF(T2783="Backlog",1,IF(OR(T2783="Pipeline",T2783="Overdue"),N(INDEX(Settings!$C$27:$C$36,MATCH(L2783,Settings!$A$27:$A$36,0))),0))</f>
        <v>0</v>
      </c>
      <c r="V2783" s="38" t="n">
        <f aca="false">Q2783*U2783</f>
        <v>0</v>
      </c>
      <c r="W2783" s="41" t="str">
        <f aca="false">IF($M2783="","",IF(T2783="Overdue",IF(Settings!$B$8="Yes",Settings!$B$7,""),IF(ISNUMBER(R2783),DATE(YEAR(R2783),MONTH(R2783),1),"")))</f>
        <v/>
      </c>
      <c r="X2783" s="38" t="n">
        <f aca="false">IF(AND(OR(T2783="Backlog",T2783="Pipeline",T2783="Overdue"),ISNUMBER(W2783)),IF(W2783&lt;=Settings!$B$6,V2783,0),0)</f>
        <v>0</v>
      </c>
      <c r="Y2783" s="38" t="n">
        <f aca="false">IF(AND(OR(T2783="Backlog",T2783="Pipeline",T2783="Overdue"),ISNUMBER(W2783)),IF(W2783&lt;=Settings!$B$6,Q2783,0),0)</f>
        <v>0</v>
      </c>
      <c r="Z2783" s="38" t="n">
        <f aca="false">IF(Y2783=0,0,IF(T2783="Backlog",Q2783,Q2783*Dashboard!$C$10))</f>
        <v>0</v>
      </c>
      <c r="AA2783" s="37" t="n">
        <f aca="false">IF($N2783="",0,IF(COUNTIF(Dashboard!$C$13:$C$22,$N2783)&gt;0,1,0))</f>
        <v>0</v>
      </c>
      <c r="AB2783" s="37" t="str">
        <f aca="false">IF($N2783="","",IF(COUNTIF($N$8:$N2783,$N2783)=1,MAX($AB$7:$AB2782)+1,""))</f>
        <v/>
      </c>
    </row>
    <row r="2784" customFormat="false" ht="15" hidden="false" customHeight="false" outlineLevel="0" collapsed="false">
      <c r="L2784" s="37" t="str">
        <f aca="false">IF(INDEX($A2784:$J2784,$L$6)&lt;&gt;"",TRIM(LEFT(INDEX($A2784:$J2784,$L$6),FIND("(",INDEX($A2784:$J2784,$L$6)&amp;"(")-1)),L2783)</f>
        <v>Building Value Proposition</v>
      </c>
      <c r="M2784" s="37" t="str">
        <f aca="false">IF(INDEX($A2784:$J2784,$M$6)="","",INDEX($A2784:$J2784,$M$6)&amp;"")</f>
        <v/>
      </c>
      <c r="N2784" s="37" t="str">
        <f aca="false">IF($M2784="","",TRIM(INDEX($A2784:$J2784,$N$6)&amp;""))</f>
        <v/>
      </c>
      <c r="O2784" s="37" t="str">
        <f aca="false">IF($M2784="","",TRIM(INDEX($A2784:$J2784,$O$6)&amp;""))</f>
        <v/>
      </c>
      <c r="P2784" s="37" t="str">
        <f aca="false">IF($M2784="","",IFERROR(IF(INDEX(Settings!$B$41:$B$50,MATCH(O2784,Settings!$A$41:$A$50,0))&amp;""="","UNMAPPED",INDEX(Settings!$B$41:$B$50,MATCH(O2784,Settings!$A$41:$A$50,0))&amp;""),"UNMAPPED"))</f>
        <v/>
      </c>
      <c r="Q2784" s="38" t="n">
        <f aca="false">IF($M2784="",0,N(INDEX($A2784:$J2784,$Q$6)))</f>
        <v>0</v>
      </c>
      <c r="R2784" s="39" t="str">
        <f aca="false">IF($M2784="","",INDEX($A2784:$J2784,$R$6))</f>
        <v/>
      </c>
      <c r="S2784" s="37" t="str">
        <f aca="false">IF($M2784="","",IFERROR(INDEX(Settings!$B$27:$B$36,MATCH(L2784,Settings!$A$27:$A$36,0))&amp;"","UNMAPPED"))</f>
        <v/>
      </c>
      <c r="T2784" s="37" t="str">
        <f aca="false">IF($M2784="","",IF(NOT(ISNUMBER(R2784)),"NO DATE",IF(S2784="Won",IF(R2784&gt;Settings!$B$5,"Backlog","Delivered"),IF(S2784="Open",IF(R2784&gt;Settings!$B$5,"Pipeline","Overdue"),IF(S2784="Lost","Lost","UNMAPPED")))))</f>
        <v/>
      </c>
      <c r="U2784" s="40" t="n">
        <f aca="false">IF(T2784="Backlog",1,IF(OR(T2784="Pipeline",T2784="Overdue"),N(INDEX(Settings!$C$27:$C$36,MATCH(L2784,Settings!$A$27:$A$36,0))),0))</f>
        <v>0</v>
      </c>
      <c r="V2784" s="38" t="n">
        <f aca="false">Q2784*U2784</f>
        <v>0</v>
      </c>
      <c r="W2784" s="41" t="str">
        <f aca="false">IF($M2784="","",IF(T2784="Overdue",IF(Settings!$B$8="Yes",Settings!$B$7,""),IF(ISNUMBER(R2784),DATE(YEAR(R2784),MONTH(R2784),1),"")))</f>
        <v/>
      </c>
      <c r="X2784" s="38" t="n">
        <f aca="false">IF(AND(OR(T2784="Backlog",T2784="Pipeline",T2784="Overdue"),ISNUMBER(W2784)),IF(W2784&lt;=Settings!$B$6,V2784,0),0)</f>
        <v>0</v>
      </c>
      <c r="Y2784" s="38" t="n">
        <f aca="false">IF(AND(OR(T2784="Backlog",T2784="Pipeline",T2784="Overdue"),ISNUMBER(W2784)),IF(W2784&lt;=Settings!$B$6,Q2784,0),0)</f>
        <v>0</v>
      </c>
      <c r="Z2784" s="38" t="n">
        <f aca="false">IF(Y2784=0,0,IF(T2784="Backlog",Q2784,Q2784*Dashboard!$C$10))</f>
        <v>0</v>
      </c>
      <c r="AA2784" s="37" t="n">
        <f aca="false">IF($N2784="",0,IF(COUNTIF(Dashboard!$C$13:$C$22,$N2784)&gt;0,1,0))</f>
        <v>0</v>
      </c>
      <c r="AB2784" s="37" t="str">
        <f aca="false">IF($N2784="","",IF(COUNTIF($N$8:$N2784,$N2784)=1,MAX($AB$7:$AB2783)+1,""))</f>
        <v/>
      </c>
    </row>
    <row r="2785" customFormat="false" ht="15" hidden="false" customHeight="false" outlineLevel="0" collapsed="false">
      <c r="L2785" s="37" t="str">
        <f aca="false">IF(INDEX($A2785:$J2785,$L$6)&lt;&gt;"",TRIM(LEFT(INDEX($A2785:$J2785,$L$6),FIND("(",INDEX($A2785:$J2785,$L$6)&amp;"(")-1)),L2784)</f>
        <v>Building Value Proposition</v>
      </c>
      <c r="M2785" s="37" t="str">
        <f aca="false">IF(INDEX($A2785:$J2785,$M$6)="","",INDEX($A2785:$J2785,$M$6)&amp;"")</f>
        <v/>
      </c>
      <c r="N2785" s="37" t="str">
        <f aca="false">IF($M2785="","",TRIM(INDEX($A2785:$J2785,$N$6)&amp;""))</f>
        <v/>
      </c>
      <c r="O2785" s="37" t="str">
        <f aca="false">IF($M2785="","",TRIM(INDEX($A2785:$J2785,$O$6)&amp;""))</f>
        <v/>
      </c>
      <c r="P2785" s="37" t="str">
        <f aca="false">IF($M2785="","",IFERROR(IF(INDEX(Settings!$B$41:$B$50,MATCH(O2785,Settings!$A$41:$A$50,0))&amp;""="","UNMAPPED",INDEX(Settings!$B$41:$B$50,MATCH(O2785,Settings!$A$41:$A$50,0))&amp;""),"UNMAPPED"))</f>
        <v/>
      </c>
      <c r="Q2785" s="38" t="n">
        <f aca="false">IF($M2785="",0,N(INDEX($A2785:$J2785,$Q$6)))</f>
        <v>0</v>
      </c>
      <c r="R2785" s="39" t="str">
        <f aca="false">IF($M2785="","",INDEX($A2785:$J2785,$R$6))</f>
        <v/>
      </c>
      <c r="S2785" s="37" t="str">
        <f aca="false">IF($M2785="","",IFERROR(INDEX(Settings!$B$27:$B$36,MATCH(L2785,Settings!$A$27:$A$36,0))&amp;"","UNMAPPED"))</f>
        <v/>
      </c>
      <c r="T2785" s="37" t="str">
        <f aca="false">IF($M2785="","",IF(NOT(ISNUMBER(R2785)),"NO DATE",IF(S2785="Won",IF(R2785&gt;Settings!$B$5,"Backlog","Delivered"),IF(S2785="Open",IF(R2785&gt;Settings!$B$5,"Pipeline","Overdue"),IF(S2785="Lost","Lost","UNMAPPED")))))</f>
        <v/>
      </c>
      <c r="U2785" s="40" t="n">
        <f aca="false">IF(T2785="Backlog",1,IF(OR(T2785="Pipeline",T2785="Overdue"),N(INDEX(Settings!$C$27:$C$36,MATCH(L2785,Settings!$A$27:$A$36,0))),0))</f>
        <v>0</v>
      </c>
      <c r="V2785" s="38" t="n">
        <f aca="false">Q2785*U2785</f>
        <v>0</v>
      </c>
      <c r="W2785" s="41" t="str">
        <f aca="false">IF($M2785="","",IF(T2785="Overdue",IF(Settings!$B$8="Yes",Settings!$B$7,""),IF(ISNUMBER(R2785),DATE(YEAR(R2785),MONTH(R2785),1),"")))</f>
        <v/>
      </c>
      <c r="X2785" s="38" t="n">
        <f aca="false">IF(AND(OR(T2785="Backlog",T2785="Pipeline",T2785="Overdue"),ISNUMBER(W2785)),IF(W2785&lt;=Settings!$B$6,V2785,0),0)</f>
        <v>0</v>
      </c>
      <c r="Y2785" s="38" t="n">
        <f aca="false">IF(AND(OR(T2785="Backlog",T2785="Pipeline",T2785="Overdue"),ISNUMBER(W2785)),IF(W2785&lt;=Settings!$B$6,Q2785,0),0)</f>
        <v>0</v>
      </c>
      <c r="Z2785" s="38" t="n">
        <f aca="false">IF(Y2785=0,0,IF(T2785="Backlog",Q2785,Q2785*Dashboard!$C$10))</f>
        <v>0</v>
      </c>
      <c r="AA2785" s="37" t="n">
        <f aca="false">IF($N2785="",0,IF(COUNTIF(Dashboard!$C$13:$C$22,$N2785)&gt;0,1,0))</f>
        <v>0</v>
      </c>
      <c r="AB2785" s="37" t="str">
        <f aca="false">IF($N2785="","",IF(COUNTIF($N$8:$N2785,$N2785)=1,MAX($AB$7:$AB2784)+1,""))</f>
        <v/>
      </c>
    </row>
    <row r="2786" customFormat="false" ht="15" hidden="false" customHeight="false" outlineLevel="0" collapsed="false">
      <c r="L2786" s="37" t="str">
        <f aca="false">IF(INDEX($A2786:$J2786,$L$6)&lt;&gt;"",TRIM(LEFT(INDEX($A2786:$J2786,$L$6),FIND("(",INDEX($A2786:$J2786,$L$6)&amp;"(")-1)),L2785)</f>
        <v>Building Value Proposition</v>
      </c>
      <c r="M2786" s="37" t="str">
        <f aca="false">IF(INDEX($A2786:$J2786,$M$6)="","",INDEX($A2786:$J2786,$M$6)&amp;"")</f>
        <v/>
      </c>
      <c r="N2786" s="37" t="str">
        <f aca="false">IF($M2786="","",TRIM(INDEX($A2786:$J2786,$N$6)&amp;""))</f>
        <v/>
      </c>
      <c r="O2786" s="37" t="str">
        <f aca="false">IF($M2786="","",TRIM(INDEX($A2786:$J2786,$O$6)&amp;""))</f>
        <v/>
      </c>
      <c r="P2786" s="37" t="str">
        <f aca="false">IF($M2786="","",IFERROR(IF(INDEX(Settings!$B$41:$B$50,MATCH(O2786,Settings!$A$41:$A$50,0))&amp;""="","UNMAPPED",INDEX(Settings!$B$41:$B$50,MATCH(O2786,Settings!$A$41:$A$50,0))&amp;""),"UNMAPPED"))</f>
        <v/>
      </c>
      <c r="Q2786" s="38" t="n">
        <f aca="false">IF($M2786="",0,N(INDEX($A2786:$J2786,$Q$6)))</f>
        <v>0</v>
      </c>
      <c r="R2786" s="39" t="str">
        <f aca="false">IF($M2786="","",INDEX($A2786:$J2786,$R$6))</f>
        <v/>
      </c>
      <c r="S2786" s="37" t="str">
        <f aca="false">IF($M2786="","",IFERROR(INDEX(Settings!$B$27:$B$36,MATCH(L2786,Settings!$A$27:$A$36,0))&amp;"","UNMAPPED"))</f>
        <v/>
      </c>
      <c r="T2786" s="37" t="str">
        <f aca="false">IF($M2786="","",IF(NOT(ISNUMBER(R2786)),"NO DATE",IF(S2786="Won",IF(R2786&gt;Settings!$B$5,"Backlog","Delivered"),IF(S2786="Open",IF(R2786&gt;Settings!$B$5,"Pipeline","Overdue"),IF(S2786="Lost","Lost","UNMAPPED")))))</f>
        <v/>
      </c>
      <c r="U2786" s="40" t="n">
        <f aca="false">IF(T2786="Backlog",1,IF(OR(T2786="Pipeline",T2786="Overdue"),N(INDEX(Settings!$C$27:$C$36,MATCH(L2786,Settings!$A$27:$A$36,0))),0))</f>
        <v>0</v>
      </c>
      <c r="V2786" s="38" t="n">
        <f aca="false">Q2786*U2786</f>
        <v>0</v>
      </c>
      <c r="W2786" s="41" t="str">
        <f aca="false">IF($M2786="","",IF(T2786="Overdue",IF(Settings!$B$8="Yes",Settings!$B$7,""),IF(ISNUMBER(R2786),DATE(YEAR(R2786),MONTH(R2786),1),"")))</f>
        <v/>
      </c>
      <c r="X2786" s="38" t="n">
        <f aca="false">IF(AND(OR(T2786="Backlog",T2786="Pipeline",T2786="Overdue"),ISNUMBER(W2786)),IF(W2786&lt;=Settings!$B$6,V2786,0),0)</f>
        <v>0</v>
      </c>
      <c r="Y2786" s="38" t="n">
        <f aca="false">IF(AND(OR(T2786="Backlog",T2786="Pipeline",T2786="Overdue"),ISNUMBER(W2786)),IF(W2786&lt;=Settings!$B$6,Q2786,0),0)</f>
        <v>0</v>
      </c>
      <c r="Z2786" s="38" t="n">
        <f aca="false">IF(Y2786=0,0,IF(T2786="Backlog",Q2786,Q2786*Dashboard!$C$10))</f>
        <v>0</v>
      </c>
      <c r="AA2786" s="37" t="n">
        <f aca="false">IF($N2786="",0,IF(COUNTIF(Dashboard!$C$13:$C$22,$N2786)&gt;0,1,0))</f>
        <v>0</v>
      </c>
      <c r="AB2786" s="37" t="str">
        <f aca="false">IF($N2786="","",IF(COUNTIF($N$8:$N2786,$N2786)=1,MAX($AB$7:$AB2785)+1,""))</f>
        <v/>
      </c>
    </row>
    <row r="2787" customFormat="false" ht="15" hidden="false" customHeight="false" outlineLevel="0" collapsed="false">
      <c r="L2787" s="37" t="str">
        <f aca="false">IF(INDEX($A2787:$J2787,$L$6)&lt;&gt;"",TRIM(LEFT(INDEX($A2787:$J2787,$L$6),FIND("(",INDEX($A2787:$J2787,$L$6)&amp;"(")-1)),L2786)</f>
        <v>Building Value Proposition</v>
      </c>
      <c r="M2787" s="37" t="str">
        <f aca="false">IF(INDEX($A2787:$J2787,$M$6)="","",INDEX($A2787:$J2787,$M$6)&amp;"")</f>
        <v/>
      </c>
      <c r="N2787" s="37" t="str">
        <f aca="false">IF($M2787="","",TRIM(INDEX($A2787:$J2787,$N$6)&amp;""))</f>
        <v/>
      </c>
      <c r="O2787" s="37" t="str">
        <f aca="false">IF($M2787="","",TRIM(INDEX($A2787:$J2787,$O$6)&amp;""))</f>
        <v/>
      </c>
      <c r="P2787" s="37" t="str">
        <f aca="false">IF($M2787="","",IFERROR(IF(INDEX(Settings!$B$41:$B$50,MATCH(O2787,Settings!$A$41:$A$50,0))&amp;""="","UNMAPPED",INDEX(Settings!$B$41:$B$50,MATCH(O2787,Settings!$A$41:$A$50,0))&amp;""),"UNMAPPED"))</f>
        <v/>
      </c>
      <c r="Q2787" s="38" t="n">
        <f aca="false">IF($M2787="",0,N(INDEX($A2787:$J2787,$Q$6)))</f>
        <v>0</v>
      </c>
      <c r="R2787" s="39" t="str">
        <f aca="false">IF($M2787="","",INDEX($A2787:$J2787,$R$6))</f>
        <v/>
      </c>
      <c r="S2787" s="37" t="str">
        <f aca="false">IF($M2787="","",IFERROR(INDEX(Settings!$B$27:$B$36,MATCH(L2787,Settings!$A$27:$A$36,0))&amp;"","UNMAPPED"))</f>
        <v/>
      </c>
      <c r="T2787" s="37" t="str">
        <f aca="false">IF($M2787="","",IF(NOT(ISNUMBER(R2787)),"NO DATE",IF(S2787="Won",IF(R2787&gt;Settings!$B$5,"Backlog","Delivered"),IF(S2787="Open",IF(R2787&gt;Settings!$B$5,"Pipeline","Overdue"),IF(S2787="Lost","Lost","UNMAPPED")))))</f>
        <v/>
      </c>
      <c r="U2787" s="40" t="n">
        <f aca="false">IF(T2787="Backlog",1,IF(OR(T2787="Pipeline",T2787="Overdue"),N(INDEX(Settings!$C$27:$C$36,MATCH(L2787,Settings!$A$27:$A$36,0))),0))</f>
        <v>0</v>
      </c>
      <c r="V2787" s="38" t="n">
        <f aca="false">Q2787*U2787</f>
        <v>0</v>
      </c>
      <c r="W2787" s="41" t="str">
        <f aca="false">IF($M2787="","",IF(T2787="Overdue",IF(Settings!$B$8="Yes",Settings!$B$7,""),IF(ISNUMBER(R2787),DATE(YEAR(R2787),MONTH(R2787),1),"")))</f>
        <v/>
      </c>
      <c r="X2787" s="38" t="n">
        <f aca="false">IF(AND(OR(T2787="Backlog",T2787="Pipeline",T2787="Overdue"),ISNUMBER(W2787)),IF(W2787&lt;=Settings!$B$6,V2787,0),0)</f>
        <v>0</v>
      </c>
      <c r="Y2787" s="38" t="n">
        <f aca="false">IF(AND(OR(T2787="Backlog",T2787="Pipeline",T2787="Overdue"),ISNUMBER(W2787)),IF(W2787&lt;=Settings!$B$6,Q2787,0),0)</f>
        <v>0</v>
      </c>
      <c r="Z2787" s="38" t="n">
        <f aca="false">IF(Y2787=0,0,IF(T2787="Backlog",Q2787,Q2787*Dashboard!$C$10))</f>
        <v>0</v>
      </c>
      <c r="AA2787" s="37" t="n">
        <f aca="false">IF($N2787="",0,IF(COUNTIF(Dashboard!$C$13:$C$22,$N2787)&gt;0,1,0))</f>
        <v>0</v>
      </c>
      <c r="AB2787" s="37" t="str">
        <f aca="false">IF($N2787="","",IF(COUNTIF($N$8:$N2787,$N2787)=1,MAX($AB$7:$AB2786)+1,""))</f>
        <v/>
      </c>
    </row>
    <row r="2788" customFormat="false" ht="15" hidden="false" customHeight="false" outlineLevel="0" collapsed="false">
      <c r="L2788" s="37" t="str">
        <f aca="false">IF(INDEX($A2788:$J2788,$L$6)&lt;&gt;"",TRIM(LEFT(INDEX($A2788:$J2788,$L$6),FIND("(",INDEX($A2788:$J2788,$L$6)&amp;"(")-1)),L2787)</f>
        <v>Building Value Proposition</v>
      </c>
      <c r="M2788" s="37" t="str">
        <f aca="false">IF(INDEX($A2788:$J2788,$M$6)="","",INDEX($A2788:$J2788,$M$6)&amp;"")</f>
        <v/>
      </c>
      <c r="N2788" s="37" t="str">
        <f aca="false">IF($M2788="","",TRIM(INDEX($A2788:$J2788,$N$6)&amp;""))</f>
        <v/>
      </c>
      <c r="O2788" s="37" t="str">
        <f aca="false">IF($M2788="","",TRIM(INDEX($A2788:$J2788,$O$6)&amp;""))</f>
        <v/>
      </c>
      <c r="P2788" s="37" t="str">
        <f aca="false">IF($M2788="","",IFERROR(IF(INDEX(Settings!$B$41:$B$50,MATCH(O2788,Settings!$A$41:$A$50,0))&amp;""="","UNMAPPED",INDEX(Settings!$B$41:$B$50,MATCH(O2788,Settings!$A$41:$A$50,0))&amp;""),"UNMAPPED"))</f>
        <v/>
      </c>
      <c r="Q2788" s="38" t="n">
        <f aca="false">IF($M2788="",0,N(INDEX($A2788:$J2788,$Q$6)))</f>
        <v>0</v>
      </c>
      <c r="R2788" s="39" t="str">
        <f aca="false">IF($M2788="","",INDEX($A2788:$J2788,$R$6))</f>
        <v/>
      </c>
      <c r="S2788" s="37" t="str">
        <f aca="false">IF($M2788="","",IFERROR(INDEX(Settings!$B$27:$B$36,MATCH(L2788,Settings!$A$27:$A$36,0))&amp;"","UNMAPPED"))</f>
        <v/>
      </c>
      <c r="T2788" s="37" t="str">
        <f aca="false">IF($M2788="","",IF(NOT(ISNUMBER(R2788)),"NO DATE",IF(S2788="Won",IF(R2788&gt;Settings!$B$5,"Backlog","Delivered"),IF(S2788="Open",IF(R2788&gt;Settings!$B$5,"Pipeline","Overdue"),IF(S2788="Lost","Lost","UNMAPPED")))))</f>
        <v/>
      </c>
      <c r="U2788" s="40" t="n">
        <f aca="false">IF(T2788="Backlog",1,IF(OR(T2788="Pipeline",T2788="Overdue"),N(INDEX(Settings!$C$27:$C$36,MATCH(L2788,Settings!$A$27:$A$36,0))),0))</f>
        <v>0</v>
      </c>
      <c r="V2788" s="38" t="n">
        <f aca="false">Q2788*U2788</f>
        <v>0</v>
      </c>
      <c r="W2788" s="41" t="str">
        <f aca="false">IF($M2788="","",IF(T2788="Overdue",IF(Settings!$B$8="Yes",Settings!$B$7,""),IF(ISNUMBER(R2788),DATE(YEAR(R2788),MONTH(R2788),1),"")))</f>
        <v/>
      </c>
      <c r="X2788" s="38" t="n">
        <f aca="false">IF(AND(OR(T2788="Backlog",T2788="Pipeline",T2788="Overdue"),ISNUMBER(W2788)),IF(W2788&lt;=Settings!$B$6,V2788,0),0)</f>
        <v>0</v>
      </c>
      <c r="Y2788" s="38" t="n">
        <f aca="false">IF(AND(OR(T2788="Backlog",T2788="Pipeline",T2788="Overdue"),ISNUMBER(W2788)),IF(W2788&lt;=Settings!$B$6,Q2788,0),0)</f>
        <v>0</v>
      </c>
      <c r="Z2788" s="38" t="n">
        <f aca="false">IF(Y2788=0,0,IF(T2788="Backlog",Q2788,Q2788*Dashboard!$C$10))</f>
        <v>0</v>
      </c>
      <c r="AA2788" s="37" t="n">
        <f aca="false">IF($N2788="",0,IF(COUNTIF(Dashboard!$C$13:$C$22,$N2788)&gt;0,1,0))</f>
        <v>0</v>
      </c>
      <c r="AB2788" s="37" t="str">
        <f aca="false">IF($N2788="","",IF(COUNTIF($N$8:$N2788,$N2788)=1,MAX($AB$7:$AB2787)+1,""))</f>
        <v/>
      </c>
    </row>
    <row r="2789" customFormat="false" ht="15" hidden="false" customHeight="false" outlineLevel="0" collapsed="false">
      <c r="L2789" s="37" t="str">
        <f aca="false">IF(INDEX($A2789:$J2789,$L$6)&lt;&gt;"",TRIM(LEFT(INDEX($A2789:$J2789,$L$6),FIND("(",INDEX($A2789:$J2789,$L$6)&amp;"(")-1)),L2788)</f>
        <v>Building Value Proposition</v>
      </c>
      <c r="M2789" s="37" t="str">
        <f aca="false">IF(INDEX($A2789:$J2789,$M$6)="","",INDEX($A2789:$J2789,$M$6)&amp;"")</f>
        <v/>
      </c>
      <c r="N2789" s="37" t="str">
        <f aca="false">IF($M2789="","",TRIM(INDEX($A2789:$J2789,$N$6)&amp;""))</f>
        <v/>
      </c>
      <c r="O2789" s="37" t="str">
        <f aca="false">IF($M2789="","",TRIM(INDEX($A2789:$J2789,$O$6)&amp;""))</f>
        <v/>
      </c>
      <c r="P2789" s="37" t="str">
        <f aca="false">IF($M2789="","",IFERROR(IF(INDEX(Settings!$B$41:$B$50,MATCH(O2789,Settings!$A$41:$A$50,0))&amp;""="","UNMAPPED",INDEX(Settings!$B$41:$B$50,MATCH(O2789,Settings!$A$41:$A$50,0))&amp;""),"UNMAPPED"))</f>
        <v/>
      </c>
      <c r="Q2789" s="38" t="n">
        <f aca="false">IF($M2789="",0,N(INDEX($A2789:$J2789,$Q$6)))</f>
        <v>0</v>
      </c>
      <c r="R2789" s="39" t="str">
        <f aca="false">IF($M2789="","",INDEX($A2789:$J2789,$R$6))</f>
        <v/>
      </c>
      <c r="S2789" s="37" t="str">
        <f aca="false">IF($M2789="","",IFERROR(INDEX(Settings!$B$27:$B$36,MATCH(L2789,Settings!$A$27:$A$36,0))&amp;"","UNMAPPED"))</f>
        <v/>
      </c>
      <c r="T2789" s="37" t="str">
        <f aca="false">IF($M2789="","",IF(NOT(ISNUMBER(R2789)),"NO DATE",IF(S2789="Won",IF(R2789&gt;Settings!$B$5,"Backlog","Delivered"),IF(S2789="Open",IF(R2789&gt;Settings!$B$5,"Pipeline","Overdue"),IF(S2789="Lost","Lost","UNMAPPED")))))</f>
        <v/>
      </c>
      <c r="U2789" s="40" t="n">
        <f aca="false">IF(T2789="Backlog",1,IF(OR(T2789="Pipeline",T2789="Overdue"),N(INDEX(Settings!$C$27:$C$36,MATCH(L2789,Settings!$A$27:$A$36,0))),0))</f>
        <v>0</v>
      </c>
      <c r="V2789" s="38" t="n">
        <f aca="false">Q2789*U2789</f>
        <v>0</v>
      </c>
      <c r="W2789" s="41" t="str">
        <f aca="false">IF($M2789="","",IF(T2789="Overdue",IF(Settings!$B$8="Yes",Settings!$B$7,""),IF(ISNUMBER(R2789),DATE(YEAR(R2789),MONTH(R2789),1),"")))</f>
        <v/>
      </c>
      <c r="X2789" s="38" t="n">
        <f aca="false">IF(AND(OR(T2789="Backlog",T2789="Pipeline",T2789="Overdue"),ISNUMBER(W2789)),IF(W2789&lt;=Settings!$B$6,V2789,0),0)</f>
        <v>0</v>
      </c>
      <c r="Y2789" s="38" t="n">
        <f aca="false">IF(AND(OR(T2789="Backlog",T2789="Pipeline",T2789="Overdue"),ISNUMBER(W2789)),IF(W2789&lt;=Settings!$B$6,Q2789,0),0)</f>
        <v>0</v>
      </c>
      <c r="Z2789" s="38" t="n">
        <f aca="false">IF(Y2789=0,0,IF(T2789="Backlog",Q2789,Q2789*Dashboard!$C$10))</f>
        <v>0</v>
      </c>
      <c r="AA2789" s="37" t="n">
        <f aca="false">IF($N2789="",0,IF(COUNTIF(Dashboard!$C$13:$C$22,$N2789)&gt;0,1,0))</f>
        <v>0</v>
      </c>
      <c r="AB2789" s="37" t="str">
        <f aca="false">IF($N2789="","",IF(COUNTIF($N$8:$N2789,$N2789)=1,MAX($AB$7:$AB2788)+1,""))</f>
        <v/>
      </c>
    </row>
    <row r="2790" customFormat="false" ht="15" hidden="false" customHeight="false" outlineLevel="0" collapsed="false">
      <c r="L2790" s="37" t="str">
        <f aca="false">IF(INDEX($A2790:$J2790,$L$6)&lt;&gt;"",TRIM(LEFT(INDEX($A2790:$J2790,$L$6),FIND("(",INDEX($A2790:$J2790,$L$6)&amp;"(")-1)),L2789)</f>
        <v>Building Value Proposition</v>
      </c>
      <c r="M2790" s="37" t="str">
        <f aca="false">IF(INDEX($A2790:$J2790,$M$6)="","",INDEX($A2790:$J2790,$M$6)&amp;"")</f>
        <v/>
      </c>
      <c r="N2790" s="37" t="str">
        <f aca="false">IF($M2790="","",TRIM(INDEX($A2790:$J2790,$N$6)&amp;""))</f>
        <v/>
      </c>
      <c r="O2790" s="37" t="str">
        <f aca="false">IF($M2790="","",TRIM(INDEX($A2790:$J2790,$O$6)&amp;""))</f>
        <v/>
      </c>
      <c r="P2790" s="37" t="str">
        <f aca="false">IF($M2790="","",IFERROR(IF(INDEX(Settings!$B$41:$B$50,MATCH(O2790,Settings!$A$41:$A$50,0))&amp;""="","UNMAPPED",INDEX(Settings!$B$41:$B$50,MATCH(O2790,Settings!$A$41:$A$50,0))&amp;""),"UNMAPPED"))</f>
        <v/>
      </c>
      <c r="Q2790" s="38" t="n">
        <f aca="false">IF($M2790="",0,N(INDEX($A2790:$J2790,$Q$6)))</f>
        <v>0</v>
      </c>
      <c r="R2790" s="39" t="str">
        <f aca="false">IF($M2790="","",INDEX($A2790:$J2790,$R$6))</f>
        <v/>
      </c>
      <c r="S2790" s="37" t="str">
        <f aca="false">IF($M2790="","",IFERROR(INDEX(Settings!$B$27:$B$36,MATCH(L2790,Settings!$A$27:$A$36,0))&amp;"","UNMAPPED"))</f>
        <v/>
      </c>
      <c r="T2790" s="37" t="str">
        <f aca="false">IF($M2790="","",IF(NOT(ISNUMBER(R2790)),"NO DATE",IF(S2790="Won",IF(R2790&gt;Settings!$B$5,"Backlog","Delivered"),IF(S2790="Open",IF(R2790&gt;Settings!$B$5,"Pipeline","Overdue"),IF(S2790="Lost","Lost","UNMAPPED")))))</f>
        <v/>
      </c>
      <c r="U2790" s="40" t="n">
        <f aca="false">IF(T2790="Backlog",1,IF(OR(T2790="Pipeline",T2790="Overdue"),N(INDEX(Settings!$C$27:$C$36,MATCH(L2790,Settings!$A$27:$A$36,0))),0))</f>
        <v>0</v>
      </c>
      <c r="V2790" s="38" t="n">
        <f aca="false">Q2790*U2790</f>
        <v>0</v>
      </c>
      <c r="W2790" s="41" t="str">
        <f aca="false">IF($M2790="","",IF(T2790="Overdue",IF(Settings!$B$8="Yes",Settings!$B$7,""),IF(ISNUMBER(R2790),DATE(YEAR(R2790),MONTH(R2790),1),"")))</f>
        <v/>
      </c>
      <c r="X2790" s="38" t="n">
        <f aca="false">IF(AND(OR(T2790="Backlog",T2790="Pipeline",T2790="Overdue"),ISNUMBER(W2790)),IF(W2790&lt;=Settings!$B$6,V2790,0),0)</f>
        <v>0</v>
      </c>
      <c r="Y2790" s="38" t="n">
        <f aca="false">IF(AND(OR(T2790="Backlog",T2790="Pipeline",T2790="Overdue"),ISNUMBER(W2790)),IF(W2790&lt;=Settings!$B$6,Q2790,0),0)</f>
        <v>0</v>
      </c>
      <c r="Z2790" s="38" t="n">
        <f aca="false">IF(Y2790=0,0,IF(T2790="Backlog",Q2790,Q2790*Dashboard!$C$10))</f>
        <v>0</v>
      </c>
      <c r="AA2790" s="37" t="n">
        <f aca="false">IF($N2790="",0,IF(COUNTIF(Dashboard!$C$13:$C$22,$N2790)&gt;0,1,0))</f>
        <v>0</v>
      </c>
      <c r="AB2790" s="37" t="str">
        <f aca="false">IF($N2790="","",IF(COUNTIF($N$8:$N2790,$N2790)=1,MAX($AB$7:$AB2789)+1,""))</f>
        <v/>
      </c>
    </row>
    <row r="2791" customFormat="false" ht="15" hidden="false" customHeight="false" outlineLevel="0" collapsed="false">
      <c r="L2791" s="37" t="str">
        <f aca="false">IF(INDEX($A2791:$J2791,$L$6)&lt;&gt;"",TRIM(LEFT(INDEX($A2791:$J2791,$L$6),FIND("(",INDEX($A2791:$J2791,$L$6)&amp;"(")-1)),L2790)</f>
        <v>Building Value Proposition</v>
      </c>
      <c r="M2791" s="37" t="str">
        <f aca="false">IF(INDEX($A2791:$J2791,$M$6)="","",INDEX($A2791:$J2791,$M$6)&amp;"")</f>
        <v/>
      </c>
      <c r="N2791" s="37" t="str">
        <f aca="false">IF($M2791="","",TRIM(INDEX($A2791:$J2791,$N$6)&amp;""))</f>
        <v/>
      </c>
      <c r="O2791" s="37" t="str">
        <f aca="false">IF($M2791="","",TRIM(INDEX($A2791:$J2791,$O$6)&amp;""))</f>
        <v/>
      </c>
      <c r="P2791" s="37" t="str">
        <f aca="false">IF($M2791="","",IFERROR(IF(INDEX(Settings!$B$41:$B$50,MATCH(O2791,Settings!$A$41:$A$50,0))&amp;""="","UNMAPPED",INDEX(Settings!$B$41:$B$50,MATCH(O2791,Settings!$A$41:$A$50,0))&amp;""),"UNMAPPED"))</f>
        <v/>
      </c>
      <c r="Q2791" s="38" t="n">
        <f aca="false">IF($M2791="",0,N(INDEX($A2791:$J2791,$Q$6)))</f>
        <v>0</v>
      </c>
      <c r="R2791" s="39" t="str">
        <f aca="false">IF($M2791="","",INDEX($A2791:$J2791,$R$6))</f>
        <v/>
      </c>
      <c r="S2791" s="37" t="str">
        <f aca="false">IF($M2791="","",IFERROR(INDEX(Settings!$B$27:$B$36,MATCH(L2791,Settings!$A$27:$A$36,0))&amp;"","UNMAPPED"))</f>
        <v/>
      </c>
      <c r="T2791" s="37" t="str">
        <f aca="false">IF($M2791="","",IF(NOT(ISNUMBER(R2791)),"NO DATE",IF(S2791="Won",IF(R2791&gt;Settings!$B$5,"Backlog","Delivered"),IF(S2791="Open",IF(R2791&gt;Settings!$B$5,"Pipeline","Overdue"),IF(S2791="Lost","Lost","UNMAPPED")))))</f>
        <v/>
      </c>
      <c r="U2791" s="40" t="n">
        <f aca="false">IF(T2791="Backlog",1,IF(OR(T2791="Pipeline",T2791="Overdue"),N(INDEX(Settings!$C$27:$C$36,MATCH(L2791,Settings!$A$27:$A$36,0))),0))</f>
        <v>0</v>
      </c>
      <c r="V2791" s="38" t="n">
        <f aca="false">Q2791*U2791</f>
        <v>0</v>
      </c>
      <c r="W2791" s="41" t="str">
        <f aca="false">IF($M2791="","",IF(T2791="Overdue",IF(Settings!$B$8="Yes",Settings!$B$7,""),IF(ISNUMBER(R2791),DATE(YEAR(R2791),MONTH(R2791),1),"")))</f>
        <v/>
      </c>
      <c r="X2791" s="38" t="n">
        <f aca="false">IF(AND(OR(T2791="Backlog",T2791="Pipeline",T2791="Overdue"),ISNUMBER(W2791)),IF(W2791&lt;=Settings!$B$6,V2791,0),0)</f>
        <v>0</v>
      </c>
      <c r="Y2791" s="38" t="n">
        <f aca="false">IF(AND(OR(T2791="Backlog",T2791="Pipeline",T2791="Overdue"),ISNUMBER(W2791)),IF(W2791&lt;=Settings!$B$6,Q2791,0),0)</f>
        <v>0</v>
      </c>
      <c r="Z2791" s="38" t="n">
        <f aca="false">IF(Y2791=0,0,IF(T2791="Backlog",Q2791,Q2791*Dashboard!$C$10))</f>
        <v>0</v>
      </c>
      <c r="AA2791" s="37" t="n">
        <f aca="false">IF($N2791="",0,IF(COUNTIF(Dashboard!$C$13:$C$22,$N2791)&gt;0,1,0))</f>
        <v>0</v>
      </c>
      <c r="AB2791" s="37" t="str">
        <f aca="false">IF($N2791="","",IF(COUNTIF($N$8:$N2791,$N2791)=1,MAX($AB$7:$AB2790)+1,""))</f>
        <v/>
      </c>
    </row>
    <row r="2792" customFormat="false" ht="15" hidden="false" customHeight="false" outlineLevel="0" collapsed="false">
      <c r="L2792" s="37" t="str">
        <f aca="false">IF(INDEX($A2792:$J2792,$L$6)&lt;&gt;"",TRIM(LEFT(INDEX($A2792:$J2792,$L$6),FIND("(",INDEX($A2792:$J2792,$L$6)&amp;"(")-1)),L2791)</f>
        <v>Building Value Proposition</v>
      </c>
      <c r="M2792" s="37" t="str">
        <f aca="false">IF(INDEX($A2792:$J2792,$M$6)="","",INDEX($A2792:$J2792,$M$6)&amp;"")</f>
        <v/>
      </c>
      <c r="N2792" s="37" t="str">
        <f aca="false">IF($M2792="","",TRIM(INDEX($A2792:$J2792,$N$6)&amp;""))</f>
        <v/>
      </c>
      <c r="O2792" s="37" t="str">
        <f aca="false">IF($M2792="","",TRIM(INDEX($A2792:$J2792,$O$6)&amp;""))</f>
        <v/>
      </c>
      <c r="P2792" s="37" t="str">
        <f aca="false">IF($M2792="","",IFERROR(IF(INDEX(Settings!$B$41:$B$50,MATCH(O2792,Settings!$A$41:$A$50,0))&amp;""="","UNMAPPED",INDEX(Settings!$B$41:$B$50,MATCH(O2792,Settings!$A$41:$A$50,0))&amp;""),"UNMAPPED"))</f>
        <v/>
      </c>
      <c r="Q2792" s="38" t="n">
        <f aca="false">IF($M2792="",0,N(INDEX($A2792:$J2792,$Q$6)))</f>
        <v>0</v>
      </c>
      <c r="R2792" s="39" t="str">
        <f aca="false">IF($M2792="","",INDEX($A2792:$J2792,$R$6))</f>
        <v/>
      </c>
      <c r="S2792" s="37" t="str">
        <f aca="false">IF($M2792="","",IFERROR(INDEX(Settings!$B$27:$B$36,MATCH(L2792,Settings!$A$27:$A$36,0))&amp;"","UNMAPPED"))</f>
        <v/>
      </c>
      <c r="T2792" s="37" t="str">
        <f aca="false">IF($M2792="","",IF(NOT(ISNUMBER(R2792)),"NO DATE",IF(S2792="Won",IF(R2792&gt;Settings!$B$5,"Backlog","Delivered"),IF(S2792="Open",IF(R2792&gt;Settings!$B$5,"Pipeline","Overdue"),IF(S2792="Lost","Lost","UNMAPPED")))))</f>
        <v/>
      </c>
      <c r="U2792" s="40" t="n">
        <f aca="false">IF(T2792="Backlog",1,IF(OR(T2792="Pipeline",T2792="Overdue"),N(INDEX(Settings!$C$27:$C$36,MATCH(L2792,Settings!$A$27:$A$36,0))),0))</f>
        <v>0</v>
      </c>
      <c r="V2792" s="38" t="n">
        <f aca="false">Q2792*U2792</f>
        <v>0</v>
      </c>
      <c r="W2792" s="41" t="str">
        <f aca="false">IF($M2792="","",IF(T2792="Overdue",IF(Settings!$B$8="Yes",Settings!$B$7,""),IF(ISNUMBER(R2792),DATE(YEAR(R2792),MONTH(R2792),1),"")))</f>
        <v/>
      </c>
      <c r="X2792" s="38" t="n">
        <f aca="false">IF(AND(OR(T2792="Backlog",T2792="Pipeline",T2792="Overdue"),ISNUMBER(W2792)),IF(W2792&lt;=Settings!$B$6,V2792,0),0)</f>
        <v>0</v>
      </c>
      <c r="Y2792" s="38" t="n">
        <f aca="false">IF(AND(OR(T2792="Backlog",T2792="Pipeline",T2792="Overdue"),ISNUMBER(W2792)),IF(W2792&lt;=Settings!$B$6,Q2792,0),0)</f>
        <v>0</v>
      </c>
      <c r="Z2792" s="38" t="n">
        <f aca="false">IF(Y2792=0,0,IF(T2792="Backlog",Q2792,Q2792*Dashboard!$C$10))</f>
        <v>0</v>
      </c>
      <c r="AA2792" s="37" t="n">
        <f aca="false">IF($N2792="",0,IF(COUNTIF(Dashboard!$C$13:$C$22,$N2792)&gt;0,1,0))</f>
        <v>0</v>
      </c>
      <c r="AB2792" s="37" t="str">
        <f aca="false">IF($N2792="","",IF(COUNTIF($N$8:$N2792,$N2792)=1,MAX($AB$7:$AB2791)+1,""))</f>
        <v/>
      </c>
    </row>
    <row r="2793" customFormat="false" ht="15" hidden="false" customHeight="false" outlineLevel="0" collapsed="false">
      <c r="L2793" s="37" t="str">
        <f aca="false">IF(INDEX($A2793:$J2793,$L$6)&lt;&gt;"",TRIM(LEFT(INDEX($A2793:$J2793,$L$6),FIND("(",INDEX($A2793:$J2793,$L$6)&amp;"(")-1)),L2792)</f>
        <v>Building Value Proposition</v>
      </c>
      <c r="M2793" s="37" t="str">
        <f aca="false">IF(INDEX($A2793:$J2793,$M$6)="","",INDEX($A2793:$J2793,$M$6)&amp;"")</f>
        <v/>
      </c>
      <c r="N2793" s="37" t="str">
        <f aca="false">IF($M2793="","",TRIM(INDEX($A2793:$J2793,$N$6)&amp;""))</f>
        <v/>
      </c>
      <c r="O2793" s="37" t="str">
        <f aca="false">IF($M2793="","",TRIM(INDEX($A2793:$J2793,$O$6)&amp;""))</f>
        <v/>
      </c>
      <c r="P2793" s="37" t="str">
        <f aca="false">IF($M2793="","",IFERROR(IF(INDEX(Settings!$B$41:$B$50,MATCH(O2793,Settings!$A$41:$A$50,0))&amp;""="","UNMAPPED",INDEX(Settings!$B$41:$B$50,MATCH(O2793,Settings!$A$41:$A$50,0))&amp;""),"UNMAPPED"))</f>
        <v/>
      </c>
      <c r="Q2793" s="38" t="n">
        <f aca="false">IF($M2793="",0,N(INDEX($A2793:$J2793,$Q$6)))</f>
        <v>0</v>
      </c>
      <c r="R2793" s="39" t="str">
        <f aca="false">IF($M2793="","",INDEX($A2793:$J2793,$R$6))</f>
        <v/>
      </c>
      <c r="S2793" s="37" t="str">
        <f aca="false">IF($M2793="","",IFERROR(INDEX(Settings!$B$27:$B$36,MATCH(L2793,Settings!$A$27:$A$36,0))&amp;"","UNMAPPED"))</f>
        <v/>
      </c>
      <c r="T2793" s="37" t="str">
        <f aca="false">IF($M2793="","",IF(NOT(ISNUMBER(R2793)),"NO DATE",IF(S2793="Won",IF(R2793&gt;Settings!$B$5,"Backlog","Delivered"),IF(S2793="Open",IF(R2793&gt;Settings!$B$5,"Pipeline","Overdue"),IF(S2793="Lost","Lost","UNMAPPED")))))</f>
        <v/>
      </c>
      <c r="U2793" s="40" t="n">
        <f aca="false">IF(T2793="Backlog",1,IF(OR(T2793="Pipeline",T2793="Overdue"),N(INDEX(Settings!$C$27:$C$36,MATCH(L2793,Settings!$A$27:$A$36,0))),0))</f>
        <v>0</v>
      </c>
      <c r="V2793" s="38" t="n">
        <f aca="false">Q2793*U2793</f>
        <v>0</v>
      </c>
      <c r="W2793" s="41" t="str">
        <f aca="false">IF($M2793="","",IF(T2793="Overdue",IF(Settings!$B$8="Yes",Settings!$B$7,""),IF(ISNUMBER(R2793),DATE(YEAR(R2793),MONTH(R2793),1),"")))</f>
        <v/>
      </c>
      <c r="X2793" s="38" t="n">
        <f aca="false">IF(AND(OR(T2793="Backlog",T2793="Pipeline",T2793="Overdue"),ISNUMBER(W2793)),IF(W2793&lt;=Settings!$B$6,V2793,0),0)</f>
        <v>0</v>
      </c>
      <c r="Y2793" s="38" t="n">
        <f aca="false">IF(AND(OR(T2793="Backlog",T2793="Pipeline",T2793="Overdue"),ISNUMBER(W2793)),IF(W2793&lt;=Settings!$B$6,Q2793,0),0)</f>
        <v>0</v>
      </c>
      <c r="Z2793" s="38" t="n">
        <f aca="false">IF(Y2793=0,0,IF(T2793="Backlog",Q2793,Q2793*Dashboard!$C$10))</f>
        <v>0</v>
      </c>
      <c r="AA2793" s="37" t="n">
        <f aca="false">IF($N2793="",0,IF(COUNTIF(Dashboard!$C$13:$C$22,$N2793)&gt;0,1,0))</f>
        <v>0</v>
      </c>
      <c r="AB2793" s="37" t="str">
        <f aca="false">IF($N2793="","",IF(COUNTIF($N$8:$N2793,$N2793)=1,MAX($AB$7:$AB2792)+1,""))</f>
        <v/>
      </c>
    </row>
    <row r="2794" customFormat="false" ht="15" hidden="false" customHeight="false" outlineLevel="0" collapsed="false">
      <c r="L2794" s="37" t="str">
        <f aca="false">IF(INDEX($A2794:$J2794,$L$6)&lt;&gt;"",TRIM(LEFT(INDEX($A2794:$J2794,$L$6),FIND("(",INDEX($A2794:$J2794,$L$6)&amp;"(")-1)),L2793)</f>
        <v>Building Value Proposition</v>
      </c>
      <c r="M2794" s="37" t="str">
        <f aca="false">IF(INDEX($A2794:$J2794,$M$6)="","",INDEX($A2794:$J2794,$M$6)&amp;"")</f>
        <v/>
      </c>
      <c r="N2794" s="37" t="str">
        <f aca="false">IF($M2794="","",TRIM(INDEX($A2794:$J2794,$N$6)&amp;""))</f>
        <v/>
      </c>
      <c r="O2794" s="37" t="str">
        <f aca="false">IF($M2794="","",TRIM(INDEX($A2794:$J2794,$O$6)&amp;""))</f>
        <v/>
      </c>
      <c r="P2794" s="37" t="str">
        <f aca="false">IF($M2794="","",IFERROR(IF(INDEX(Settings!$B$41:$B$50,MATCH(O2794,Settings!$A$41:$A$50,0))&amp;""="","UNMAPPED",INDEX(Settings!$B$41:$B$50,MATCH(O2794,Settings!$A$41:$A$50,0))&amp;""),"UNMAPPED"))</f>
        <v/>
      </c>
      <c r="Q2794" s="38" t="n">
        <f aca="false">IF($M2794="",0,N(INDEX($A2794:$J2794,$Q$6)))</f>
        <v>0</v>
      </c>
      <c r="R2794" s="39" t="str">
        <f aca="false">IF($M2794="","",INDEX($A2794:$J2794,$R$6))</f>
        <v/>
      </c>
      <c r="S2794" s="37" t="str">
        <f aca="false">IF($M2794="","",IFERROR(INDEX(Settings!$B$27:$B$36,MATCH(L2794,Settings!$A$27:$A$36,0))&amp;"","UNMAPPED"))</f>
        <v/>
      </c>
      <c r="T2794" s="37" t="str">
        <f aca="false">IF($M2794="","",IF(NOT(ISNUMBER(R2794)),"NO DATE",IF(S2794="Won",IF(R2794&gt;Settings!$B$5,"Backlog","Delivered"),IF(S2794="Open",IF(R2794&gt;Settings!$B$5,"Pipeline","Overdue"),IF(S2794="Lost","Lost","UNMAPPED")))))</f>
        <v/>
      </c>
      <c r="U2794" s="40" t="n">
        <f aca="false">IF(T2794="Backlog",1,IF(OR(T2794="Pipeline",T2794="Overdue"),N(INDEX(Settings!$C$27:$C$36,MATCH(L2794,Settings!$A$27:$A$36,0))),0))</f>
        <v>0</v>
      </c>
      <c r="V2794" s="38" t="n">
        <f aca="false">Q2794*U2794</f>
        <v>0</v>
      </c>
      <c r="W2794" s="41" t="str">
        <f aca="false">IF($M2794="","",IF(T2794="Overdue",IF(Settings!$B$8="Yes",Settings!$B$7,""),IF(ISNUMBER(R2794),DATE(YEAR(R2794),MONTH(R2794),1),"")))</f>
        <v/>
      </c>
      <c r="X2794" s="38" t="n">
        <f aca="false">IF(AND(OR(T2794="Backlog",T2794="Pipeline",T2794="Overdue"),ISNUMBER(W2794)),IF(W2794&lt;=Settings!$B$6,V2794,0),0)</f>
        <v>0</v>
      </c>
      <c r="Y2794" s="38" t="n">
        <f aca="false">IF(AND(OR(T2794="Backlog",T2794="Pipeline",T2794="Overdue"),ISNUMBER(W2794)),IF(W2794&lt;=Settings!$B$6,Q2794,0),0)</f>
        <v>0</v>
      </c>
      <c r="Z2794" s="38" t="n">
        <f aca="false">IF(Y2794=0,0,IF(T2794="Backlog",Q2794,Q2794*Dashboard!$C$10))</f>
        <v>0</v>
      </c>
      <c r="AA2794" s="37" t="n">
        <f aca="false">IF($N2794="",0,IF(COUNTIF(Dashboard!$C$13:$C$22,$N2794)&gt;0,1,0))</f>
        <v>0</v>
      </c>
      <c r="AB2794" s="37" t="str">
        <f aca="false">IF($N2794="","",IF(COUNTIF($N$8:$N2794,$N2794)=1,MAX($AB$7:$AB2793)+1,""))</f>
        <v/>
      </c>
    </row>
    <row r="2795" customFormat="false" ht="15" hidden="false" customHeight="false" outlineLevel="0" collapsed="false">
      <c r="L2795" s="37" t="str">
        <f aca="false">IF(INDEX($A2795:$J2795,$L$6)&lt;&gt;"",TRIM(LEFT(INDEX($A2795:$J2795,$L$6),FIND("(",INDEX($A2795:$J2795,$L$6)&amp;"(")-1)),L2794)</f>
        <v>Building Value Proposition</v>
      </c>
      <c r="M2795" s="37" t="str">
        <f aca="false">IF(INDEX($A2795:$J2795,$M$6)="","",INDEX($A2795:$J2795,$M$6)&amp;"")</f>
        <v/>
      </c>
      <c r="N2795" s="37" t="str">
        <f aca="false">IF($M2795="","",TRIM(INDEX($A2795:$J2795,$N$6)&amp;""))</f>
        <v/>
      </c>
      <c r="O2795" s="37" t="str">
        <f aca="false">IF($M2795="","",TRIM(INDEX($A2795:$J2795,$O$6)&amp;""))</f>
        <v/>
      </c>
      <c r="P2795" s="37" t="str">
        <f aca="false">IF($M2795="","",IFERROR(IF(INDEX(Settings!$B$41:$B$50,MATCH(O2795,Settings!$A$41:$A$50,0))&amp;""="","UNMAPPED",INDEX(Settings!$B$41:$B$50,MATCH(O2795,Settings!$A$41:$A$50,0))&amp;""),"UNMAPPED"))</f>
        <v/>
      </c>
      <c r="Q2795" s="38" t="n">
        <f aca="false">IF($M2795="",0,N(INDEX($A2795:$J2795,$Q$6)))</f>
        <v>0</v>
      </c>
      <c r="R2795" s="39" t="str">
        <f aca="false">IF($M2795="","",INDEX($A2795:$J2795,$R$6))</f>
        <v/>
      </c>
      <c r="S2795" s="37" t="str">
        <f aca="false">IF($M2795="","",IFERROR(INDEX(Settings!$B$27:$B$36,MATCH(L2795,Settings!$A$27:$A$36,0))&amp;"","UNMAPPED"))</f>
        <v/>
      </c>
      <c r="T2795" s="37" t="str">
        <f aca="false">IF($M2795="","",IF(NOT(ISNUMBER(R2795)),"NO DATE",IF(S2795="Won",IF(R2795&gt;Settings!$B$5,"Backlog","Delivered"),IF(S2795="Open",IF(R2795&gt;Settings!$B$5,"Pipeline","Overdue"),IF(S2795="Lost","Lost","UNMAPPED")))))</f>
        <v/>
      </c>
      <c r="U2795" s="40" t="n">
        <f aca="false">IF(T2795="Backlog",1,IF(OR(T2795="Pipeline",T2795="Overdue"),N(INDEX(Settings!$C$27:$C$36,MATCH(L2795,Settings!$A$27:$A$36,0))),0))</f>
        <v>0</v>
      </c>
      <c r="V2795" s="38" t="n">
        <f aca="false">Q2795*U2795</f>
        <v>0</v>
      </c>
      <c r="W2795" s="41" t="str">
        <f aca="false">IF($M2795="","",IF(T2795="Overdue",IF(Settings!$B$8="Yes",Settings!$B$7,""),IF(ISNUMBER(R2795),DATE(YEAR(R2795),MONTH(R2795),1),"")))</f>
        <v/>
      </c>
      <c r="X2795" s="38" t="n">
        <f aca="false">IF(AND(OR(T2795="Backlog",T2795="Pipeline",T2795="Overdue"),ISNUMBER(W2795)),IF(W2795&lt;=Settings!$B$6,V2795,0),0)</f>
        <v>0</v>
      </c>
      <c r="Y2795" s="38" t="n">
        <f aca="false">IF(AND(OR(T2795="Backlog",T2795="Pipeline",T2795="Overdue"),ISNUMBER(W2795)),IF(W2795&lt;=Settings!$B$6,Q2795,0),0)</f>
        <v>0</v>
      </c>
      <c r="Z2795" s="38" t="n">
        <f aca="false">IF(Y2795=0,0,IF(T2795="Backlog",Q2795,Q2795*Dashboard!$C$10))</f>
        <v>0</v>
      </c>
      <c r="AA2795" s="37" t="n">
        <f aca="false">IF($N2795="",0,IF(COUNTIF(Dashboard!$C$13:$C$22,$N2795)&gt;0,1,0))</f>
        <v>0</v>
      </c>
      <c r="AB2795" s="37" t="str">
        <f aca="false">IF($N2795="","",IF(COUNTIF($N$8:$N2795,$N2795)=1,MAX($AB$7:$AB2794)+1,""))</f>
        <v/>
      </c>
    </row>
    <row r="2796" customFormat="false" ht="15" hidden="false" customHeight="false" outlineLevel="0" collapsed="false">
      <c r="L2796" s="37" t="str">
        <f aca="false">IF(INDEX($A2796:$J2796,$L$6)&lt;&gt;"",TRIM(LEFT(INDEX($A2796:$J2796,$L$6),FIND("(",INDEX($A2796:$J2796,$L$6)&amp;"(")-1)),L2795)</f>
        <v>Building Value Proposition</v>
      </c>
      <c r="M2796" s="37" t="str">
        <f aca="false">IF(INDEX($A2796:$J2796,$M$6)="","",INDEX($A2796:$J2796,$M$6)&amp;"")</f>
        <v/>
      </c>
      <c r="N2796" s="37" t="str">
        <f aca="false">IF($M2796="","",TRIM(INDEX($A2796:$J2796,$N$6)&amp;""))</f>
        <v/>
      </c>
      <c r="O2796" s="37" t="str">
        <f aca="false">IF($M2796="","",TRIM(INDEX($A2796:$J2796,$O$6)&amp;""))</f>
        <v/>
      </c>
      <c r="P2796" s="37" t="str">
        <f aca="false">IF($M2796="","",IFERROR(IF(INDEX(Settings!$B$41:$B$50,MATCH(O2796,Settings!$A$41:$A$50,0))&amp;""="","UNMAPPED",INDEX(Settings!$B$41:$B$50,MATCH(O2796,Settings!$A$41:$A$50,0))&amp;""),"UNMAPPED"))</f>
        <v/>
      </c>
      <c r="Q2796" s="38" t="n">
        <f aca="false">IF($M2796="",0,N(INDEX($A2796:$J2796,$Q$6)))</f>
        <v>0</v>
      </c>
      <c r="R2796" s="39" t="str">
        <f aca="false">IF($M2796="","",INDEX($A2796:$J2796,$R$6))</f>
        <v/>
      </c>
      <c r="S2796" s="37" t="str">
        <f aca="false">IF($M2796="","",IFERROR(INDEX(Settings!$B$27:$B$36,MATCH(L2796,Settings!$A$27:$A$36,0))&amp;"","UNMAPPED"))</f>
        <v/>
      </c>
      <c r="T2796" s="37" t="str">
        <f aca="false">IF($M2796="","",IF(NOT(ISNUMBER(R2796)),"NO DATE",IF(S2796="Won",IF(R2796&gt;Settings!$B$5,"Backlog","Delivered"),IF(S2796="Open",IF(R2796&gt;Settings!$B$5,"Pipeline","Overdue"),IF(S2796="Lost","Lost","UNMAPPED")))))</f>
        <v/>
      </c>
      <c r="U2796" s="40" t="n">
        <f aca="false">IF(T2796="Backlog",1,IF(OR(T2796="Pipeline",T2796="Overdue"),N(INDEX(Settings!$C$27:$C$36,MATCH(L2796,Settings!$A$27:$A$36,0))),0))</f>
        <v>0</v>
      </c>
      <c r="V2796" s="38" t="n">
        <f aca="false">Q2796*U2796</f>
        <v>0</v>
      </c>
      <c r="W2796" s="41" t="str">
        <f aca="false">IF($M2796="","",IF(T2796="Overdue",IF(Settings!$B$8="Yes",Settings!$B$7,""),IF(ISNUMBER(R2796),DATE(YEAR(R2796),MONTH(R2796),1),"")))</f>
        <v/>
      </c>
      <c r="X2796" s="38" t="n">
        <f aca="false">IF(AND(OR(T2796="Backlog",T2796="Pipeline",T2796="Overdue"),ISNUMBER(W2796)),IF(W2796&lt;=Settings!$B$6,V2796,0),0)</f>
        <v>0</v>
      </c>
      <c r="Y2796" s="38" t="n">
        <f aca="false">IF(AND(OR(T2796="Backlog",T2796="Pipeline",T2796="Overdue"),ISNUMBER(W2796)),IF(W2796&lt;=Settings!$B$6,Q2796,0),0)</f>
        <v>0</v>
      </c>
      <c r="Z2796" s="38" t="n">
        <f aca="false">IF(Y2796=0,0,IF(T2796="Backlog",Q2796,Q2796*Dashboard!$C$10))</f>
        <v>0</v>
      </c>
      <c r="AA2796" s="37" t="n">
        <f aca="false">IF($N2796="",0,IF(COUNTIF(Dashboard!$C$13:$C$22,$N2796)&gt;0,1,0))</f>
        <v>0</v>
      </c>
      <c r="AB2796" s="37" t="str">
        <f aca="false">IF($N2796="","",IF(COUNTIF($N$8:$N2796,$N2796)=1,MAX($AB$7:$AB2795)+1,""))</f>
        <v/>
      </c>
    </row>
    <row r="2797" customFormat="false" ht="15" hidden="false" customHeight="false" outlineLevel="0" collapsed="false">
      <c r="L2797" s="37" t="str">
        <f aca="false">IF(INDEX($A2797:$J2797,$L$6)&lt;&gt;"",TRIM(LEFT(INDEX($A2797:$J2797,$L$6),FIND("(",INDEX($A2797:$J2797,$L$6)&amp;"(")-1)),L2796)</f>
        <v>Building Value Proposition</v>
      </c>
      <c r="M2797" s="37" t="str">
        <f aca="false">IF(INDEX($A2797:$J2797,$M$6)="","",INDEX($A2797:$J2797,$M$6)&amp;"")</f>
        <v/>
      </c>
      <c r="N2797" s="37" t="str">
        <f aca="false">IF($M2797="","",TRIM(INDEX($A2797:$J2797,$N$6)&amp;""))</f>
        <v/>
      </c>
      <c r="O2797" s="37" t="str">
        <f aca="false">IF($M2797="","",TRIM(INDEX($A2797:$J2797,$O$6)&amp;""))</f>
        <v/>
      </c>
      <c r="P2797" s="37" t="str">
        <f aca="false">IF($M2797="","",IFERROR(IF(INDEX(Settings!$B$41:$B$50,MATCH(O2797,Settings!$A$41:$A$50,0))&amp;""="","UNMAPPED",INDEX(Settings!$B$41:$B$50,MATCH(O2797,Settings!$A$41:$A$50,0))&amp;""),"UNMAPPED"))</f>
        <v/>
      </c>
      <c r="Q2797" s="38" t="n">
        <f aca="false">IF($M2797="",0,N(INDEX($A2797:$J2797,$Q$6)))</f>
        <v>0</v>
      </c>
      <c r="R2797" s="39" t="str">
        <f aca="false">IF($M2797="","",INDEX($A2797:$J2797,$R$6))</f>
        <v/>
      </c>
      <c r="S2797" s="37" t="str">
        <f aca="false">IF($M2797="","",IFERROR(INDEX(Settings!$B$27:$B$36,MATCH(L2797,Settings!$A$27:$A$36,0))&amp;"","UNMAPPED"))</f>
        <v/>
      </c>
      <c r="T2797" s="37" t="str">
        <f aca="false">IF($M2797="","",IF(NOT(ISNUMBER(R2797)),"NO DATE",IF(S2797="Won",IF(R2797&gt;Settings!$B$5,"Backlog","Delivered"),IF(S2797="Open",IF(R2797&gt;Settings!$B$5,"Pipeline","Overdue"),IF(S2797="Lost","Lost","UNMAPPED")))))</f>
        <v/>
      </c>
      <c r="U2797" s="40" t="n">
        <f aca="false">IF(T2797="Backlog",1,IF(OR(T2797="Pipeline",T2797="Overdue"),N(INDEX(Settings!$C$27:$C$36,MATCH(L2797,Settings!$A$27:$A$36,0))),0))</f>
        <v>0</v>
      </c>
      <c r="V2797" s="38" t="n">
        <f aca="false">Q2797*U2797</f>
        <v>0</v>
      </c>
      <c r="W2797" s="41" t="str">
        <f aca="false">IF($M2797="","",IF(T2797="Overdue",IF(Settings!$B$8="Yes",Settings!$B$7,""),IF(ISNUMBER(R2797),DATE(YEAR(R2797),MONTH(R2797),1),"")))</f>
        <v/>
      </c>
      <c r="X2797" s="38" t="n">
        <f aca="false">IF(AND(OR(T2797="Backlog",T2797="Pipeline",T2797="Overdue"),ISNUMBER(W2797)),IF(W2797&lt;=Settings!$B$6,V2797,0),0)</f>
        <v>0</v>
      </c>
      <c r="Y2797" s="38" t="n">
        <f aca="false">IF(AND(OR(T2797="Backlog",T2797="Pipeline",T2797="Overdue"),ISNUMBER(W2797)),IF(W2797&lt;=Settings!$B$6,Q2797,0),0)</f>
        <v>0</v>
      </c>
      <c r="Z2797" s="38" t="n">
        <f aca="false">IF(Y2797=0,0,IF(T2797="Backlog",Q2797,Q2797*Dashboard!$C$10))</f>
        <v>0</v>
      </c>
      <c r="AA2797" s="37" t="n">
        <f aca="false">IF($N2797="",0,IF(COUNTIF(Dashboard!$C$13:$C$22,$N2797)&gt;0,1,0))</f>
        <v>0</v>
      </c>
      <c r="AB2797" s="37" t="str">
        <f aca="false">IF($N2797="","",IF(COUNTIF($N$8:$N2797,$N2797)=1,MAX($AB$7:$AB2796)+1,""))</f>
        <v/>
      </c>
    </row>
    <row r="2798" customFormat="false" ht="15" hidden="false" customHeight="false" outlineLevel="0" collapsed="false">
      <c r="L2798" s="37" t="str">
        <f aca="false">IF(INDEX($A2798:$J2798,$L$6)&lt;&gt;"",TRIM(LEFT(INDEX($A2798:$J2798,$L$6),FIND("(",INDEX($A2798:$J2798,$L$6)&amp;"(")-1)),L2797)</f>
        <v>Building Value Proposition</v>
      </c>
      <c r="M2798" s="37" t="str">
        <f aca="false">IF(INDEX($A2798:$J2798,$M$6)="","",INDEX($A2798:$J2798,$M$6)&amp;"")</f>
        <v/>
      </c>
      <c r="N2798" s="37" t="str">
        <f aca="false">IF($M2798="","",TRIM(INDEX($A2798:$J2798,$N$6)&amp;""))</f>
        <v/>
      </c>
      <c r="O2798" s="37" t="str">
        <f aca="false">IF($M2798="","",TRIM(INDEX($A2798:$J2798,$O$6)&amp;""))</f>
        <v/>
      </c>
      <c r="P2798" s="37" t="str">
        <f aca="false">IF($M2798="","",IFERROR(IF(INDEX(Settings!$B$41:$B$50,MATCH(O2798,Settings!$A$41:$A$50,0))&amp;""="","UNMAPPED",INDEX(Settings!$B$41:$B$50,MATCH(O2798,Settings!$A$41:$A$50,0))&amp;""),"UNMAPPED"))</f>
        <v/>
      </c>
      <c r="Q2798" s="38" t="n">
        <f aca="false">IF($M2798="",0,N(INDEX($A2798:$J2798,$Q$6)))</f>
        <v>0</v>
      </c>
      <c r="R2798" s="39" t="str">
        <f aca="false">IF($M2798="","",INDEX($A2798:$J2798,$R$6))</f>
        <v/>
      </c>
      <c r="S2798" s="37" t="str">
        <f aca="false">IF($M2798="","",IFERROR(INDEX(Settings!$B$27:$B$36,MATCH(L2798,Settings!$A$27:$A$36,0))&amp;"","UNMAPPED"))</f>
        <v/>
      </c>
      <c r="T2798" s="37" t="str">
        <f aca="false">IF($M2798="","",IF(NOT(ISNUMBER(R2798)),"NO DATE",IF(S2798="Won",IF(R2798&gt;Settings!$B$5,"Backlog","Delivered"),IF(S2798="Open",IF(R2798&gt;Settings!$B$5,"Pipeline","Overdue"),IF(S2798="Lost","Lost","UNMAPPED")))))</f>
        <v/>
      </c>
      <c r="U2798" s="40" t="n">
        <f aca="false">IF(T2798="Backlog",1,IF(OR(T2798="Pipeline",T2798="Overdue"),N(INDEX(Settings!$C$27:$C$36,MATCH(L2798,Settings!$A$27:$A$36,0))),0))</f>
        <v>0</v>
      </c>
      <c r="V2798" s="38" t="n">
        <f aca="false">Q2798*U2798</f>
        <v>0</v>
      </c>
      <c r="W2798" s="41" t="str">
        <f aca="false">IF($M2798="","",IF(T2798="Overdue",IF(Settings!$B$8="Yes",Settings!$B$7,""),IF(ISNUMBER(R2798),DATE(YEAR(R2798),MONTH(R2798),1),"")))</f>
        <v/>
      </c>
      <c r="X2798" s="38" t="n">
        <f aca="false">IF(AND(OR(T2798="Backlog",T2798="Pipeline",T2798="Overdue"),ISNUMBER(W2798)),IF(W2798&lt;=Settings!$B$6,V2798,0),0)</f>
        <v>0</v>
      </c>
      <c r="Y2798" s="38" t="n">
        <f aca="false">IF(AND(OR(T2798="Backlog",T2798="Pipeline",T2798="Overdue"),ISNUMBER(W2798)),IF(W2798&lt;=Settings!$B$6,Q2798,0),0)</f>
        <v>0</v>
      </c>
      <c r="Z2798" s="38" t="n">
        <f aca="false">IF(Y2798=0,0,IF(T2798="Backlog",Q2798,Q2798*Dashboard!$C$10))</f>
        <v>0</v>
      </c>
      <c r="AA2798" s="37" t="n">
        <f aca="false">IF($N2798="",0,IF(COUNTIF(Dashboard!$C$13:$C$22,$N2798)&gt;0,1,0))</f>
        <v>0</v>
      </c>
      <c r="AB2798" s="37" t="str">
        <f aca="false">IF($N2798="","",IF(COUNTIF($N$8:$N2798,$N2798)=1,MAX($AB$7:$AB2797)+1,""))</f>
        <v/>
      </c>
    </row>
    <row r="2799" customFormat="false" ht="15" hidden="false" customHeight="false" outlineLevel="0" collapsed="false">
      <c r="L2799" s="37" t="str">
        <f aca="false">IF(INDEX($A2799:$J2799,$L$6)&lt;&gt;"",TRIM(LEFT(INDEX($A2799:$J2799,$L$6),FIND("(",INDEX($A2799:$J2799,$L$6)&amp;"(")-1)),L2798)</f>
        <v>Building Value Proposition</v>
      </c>
      <c r="M2799" s="37" t="str">
        <f aca="false">IF(INDEX($A2799:$J2799,$M$6)="","",INDEX($A2799:$J2799,$M$6)&amp;"")</f>
        <v/>
      </c>
      <c r="N2799" s="37" t="str">
        <f aca="false">IF($M2799="","",TRIM(INDEX($A2799:$J2799,$N$6)&amp;""))</f>
        <v/>
      </c>
      <c r="O2799" s="37" t="str">
        <f aca="false">IF($M2799="","",TRIM(INDEX($A2799:$J2799,$O$6)&amp;""))</f>
        <v/>
      </c>
      <c r="P2799" s="37" t="str">
        <f aca="false">IF($M2799="","",IFERROR(IF(INDEX(Settings!$B$41:$B$50,MATCH(O2799,Settings!$A$41:$A$50,0))&amp;""="","UNMAPPED",INDEX(Settings!$B$41:$B$50,MATCH(O2799,Settings!$A$41:$A$50,0))&amp;""),"UNMAPPED"))</f>
        <v/>
      </c>
      <c r="Q2799" s="38" t="n">
        <f aca="false">IF($M2799="",0,N(INDEX($A2799:$J2799,$Q$6)))</f>
        <v>0</v>
      </c>
      <c r="R2799" s="39" t="str">
        <f aca="false">IF($M2799="","",INDEX($A2799:$J2799,$R$6))</f>
        <v/>
      </c>
      <c r="S2799" s="37" t="str">
        <f aca="false">IF($M2799="","",IFERROR(INDEX(Settings!$B$27:$B$36,MATCH(L2799,Settings!$A$27:$A$36,0))&amp;"","UNMAPPED"))</f>
        <v/>
      </c>
      <c r="T2799" s="37" t="str">
        <f aca="false">IF($M2799="","",IF(NOT(ISNUMBER(R2799)),"NO DATE",IF(S2799="Won",IF(R2799&gt;Settings!$B$5,"Backlog","Delivered"),IF(S2799="Open",IF(R2799&gt;Settings!$B$5,"Pipeline","Overdue"),IF(S2799="Lost","Lost","UNMAPPED")))))</f>
        <v/>
      </c>
      <c r="U2799" s="40" t="n">
        <f aca="false">IF(T2799="Backlog",1,IF(OR(T2799="Pipeline",T2799="Overdue"),N(INDEX(Settings!$C$27:$C$36,MATCH(L2799,Settings!$A$27:$A$36,0))),0))</f>
        <v>0</v>
      </c>
      <c r="V2799" s="38" t="n">
        <f aca="false">Q2799*U2799</f>
        <v>0</v>
      </c>
      <c r="W2799" s="41" t="str">
        <f aca="false">IF($M2799="","",IF(T2799="Overdue",IF(Settings!$B$8="Yes",Settings!$B$7,""),IF(ISNUMBER(R2799),DATE(YEAR(R2799),MONTH(R2799),1),"")))</f>
        <v/>
      </c>
      <c r="X2799" s="38" t="n">
        <f aca="false">IF(AND(OR(T2799="Backlog",T2799="Pipeline",T2799="Overdue"),ISNUMBER(W2799)),IF(W2799&lt;=Settings!$B$6,V2799,0),0)</f>
        <v>0</v>
      </c>
      <c r="Y2799" s="38" t="n">
        <f aca="false">IF(AND(OR(T2799="Backlog",T2799="Pipeline",T2799="Overdue"),ISNUMBER(W2799)),IF(W2799&lt;=Settings!$B$6,Q2799,0),0)</f>
        <v>0</v>
      </c>
      <c r="Z2799" s="38" t="n">
        <f aca="false">IF(Y2799=0,0,IF(T2799="Backlog",Q2799,Q2799*Dashboard!$C$10))</f>
        <v>0</v>
      </c>
      <c r="AA2799" s="37" t="n">
        <f aca="false">IF($N2799="",0,IF(COUNTIF(Dashboard!$C$13:$C$22,$N2799)&gt;0,1,0))</f>
        <v>0</v>
      </c>
      <c r="AB2799" s="37" t="str">
        <f aca="false">IF($N2799="","",IF(COUNTIF($N$8:$N2799,$N2799)=1,MAX($AB$7:$AB2798)+1,""))</f>
        <v/>
      </c>
    </row>
    <row r="2800" customFormat="false" ht="15" hidden="false" customHeight="false" outlineLevel="0" collapsed="false">
      <c r="L2800" s="37" t="str">
        <f aca="false">IF(INDEX($A2800:$J2800,$L$6)&lt;&gt;"",TRIM(LEFT(INDEX($A2800:$J2800,$L$6),FIND("(",INDEX($A2800:$J2800,$L$6)&amp;"(")-1)),L2799)</f>
        <v>Building Value Proposition</v>
      </c>
      <c r="M2800" s="37" t="str">
        <f aca="false">IF(INDEX($A2800:$J2800,$M$6)="","",INDEX($A2800:$J2800,$M$6)&amp;"")</f>
        <v/>
      </c>
      <c r="N2800" s="37" t="str">
        <f aca="false">IF($M2800="","",TRIM(INDEX($A2800:$J2800,$N$6)&amp;""))</f>
        <v/>
      </c>
      <c r="O2800" s="37" t="str">
        <f aca="false">IF($M2800="","",TRIM(INDEX($A2800:$J2800,$O$6)&amp;""))</f>
        <v/>
      </c>
      <c r="P2800" s="37" t="str">
        <f aca="false">IF($M2800="","",IFERROR(IF(INDEX(Settings!$B$41:$B$50,MATCH(O2800,Settings!$A$41:$A$50,0))&amp;""="","UNMAPPED",INDEX(Settings!$B$41:$B$50,MATCH(O2800,Settings!$A$41:$A$50,0))&amp;""),"UNMAPPED"))</f>
        <v/>
      </c>
      <c r="Q2800" s="38" t="n">
        <f aca="false">IF($M2800="",0,N(INDEX($A2800:$J2800,$Q$6)))</f>
        <v>0</v>
      </c>
      <c r="R2800" s="39" t="str">
        <f aca="false">IF($M2800="","",INDEX($A2800:$J2800,$R$6))</f>
        <v/>
      </c>
      <c r="S2800" s="37" t="str">
        <f aca="false">IF($M2800="","",IFERROR(INDEX(Settings!$B$27:$B$36,MATCH(L2800,Settings!$A$27:$A$36,0))&amp;"","UNMAPPED"))</f>
        <v/>
      </c>
      <c r="T2800" s="37" t="str">
        <f aca="false">IF($M2800="","",IF(NOT(ISNUMBER(R2800)),"NO DATE",IF(S2800="Won",IF(R2800&gt;Settings!$B$5,"Backlog","Delivered"),IF(S2800="Open",IF(R2800&gt;Settings!$B$5,"Pipeline","Overdue"),IF(S2800="Lost","Lost","UNMAPPED")))))</f>
        <v/>
      </c>
      <c r="U2800" s="40" t="n">
        <f aca="false">IF(T2800="Backlog",1,IF(OR(T2800="Pipeline",T2800="Overdue"),N(INDEX(Settings!$C$27:$C$36,MATCH(L2800,Settings!$A$27:$A$36,0))),0))</f>
        <v>0</v>
      </c>
      <c r="V2800" s="38" t="n">
        <f aca="false">Q2800*U2800</f>
        <v>0</v>
      </c>
      <c r="W2800" s="41" t="str">
        <f aca="false">IF($M2800="","",IF(T2800="Overdue",IF(Settings!$B$8="Yes",Settings!$B$7,""),IF(ISNUMBER(R2800),DATE(YEAR(R2800),MONTH(R2800),1),"")))</f>
        <v/>
      </c>
      <c r="X2800" s="38" t="n">
        <f aca="false">IF(AND(OR(T2800="Backlog",T2800="Pipeline",T2800="Overdue"),ISNUMBER(W2800)),IF(W2800&lt;=Settings!$B$6,V2800,0),0)</f>
        <v>0</v>
      </c>
      <c r="Y2800" s="38" t="n">
        <f aca="false">IF(AND(OR(T2800="Backlog",T2800="Pipeline",T2800="Overdue"),ISNUMBER(W2800)),IF(W2800&lt;=Settings!$B$6,Q2800,0),0)</f>
        <v>0</v>
      </c>
      <c r="Z2800" s="38" t="n">
        <f aca="false">IF(Y2800=0,0,IF(T2800="Backlog",Q2800,Q2800*Dashboard!$C$10))</f>
        <v>0</v>
      </c>
      <c r="AA2800" s="37" t="n">
        <f aca="false">IF($N2800="",0,IF(COUNTIF(Dashboard!$C$13:$C$22,$N2800)&gt;0,1,0))</f>
        <v>0</v>
      </c>
      <c r="AB2800" s="37" t="str">
        <f aca="false">IF($N2800="","",IF(COUNTIF($N$8:$N2800,$N2800)=1,MAX($AB$7:$AB2799)+1,""))</f>
        <v/>
      </c>
    </row>
    <row r="2801" customFormat="false" ht="15" hidden="false" customHeight="false" outlineLevel="0" collapsed="false">
      <c r="L2801" s="37" t="str">
        <f aca="false">IF(INDEX($A2801:$J2801,$L$6)&lt;&gt;"",TRIM(LEFT(INDEX($A2801:$J2801,$L$6),FIND("(",INDEX($A2801:$J2801,$L$6)&amp;"(")-1)),L2800)</f>
        <v>Building Value Proposition</v>
      </c>
      <c r="M2801" s="37" t="str">
        <f aca="false">IF(INDEX($A2801:$J2801,$M$6)="","",INDEX($A2801:$J2801,$M$6)&amp;"")</f>
        <v/>
      </c>
      <c r="N2801" s="37" t="str">
        <f aca="false">IF($M2801="","",TRIM(INDEX($A2801:$J2801,$N$6)&amp;""))</f>
        <v/>
      </c>
      <c r="O2801" s="37" t="str">
        <f aca="false">IF($M2801="","",TRIM(INDEX($A2801:$J2801,$O$6)&amp;""))</f>
        <v/>
      </c>
      <c r="P2801" s="37" t="str">
        <f aca="false">IF($M2801="","",IFERROR(IF(INDEX(Settings!$B$41:$B$50,MATCH(O2801,Settings!$A$41:$A$50,0))&amp;""="","UNMAPPED",INDEX(Settings!$B$41:$B$50,MATCH(O2801,Settings!$A$41:$A$50,0))&amp;""),"UNMAPPED"))</f>
        <v/>
      </c>
      <c r="Q2801" s="38" t="n">
        <f aca="false">IF($M2801="",0,N(INDEX($A2801:$J2801,$Q$6)))</f>
        <v>0</v>
      </c>
      <c r="R2801" s="39" t="str">
        <f aca="false">IF($M2801="","",INDEX($A2801:$J2801,$R$6))</f>
        <v/>
      </c>
      <c r="S2801" s="37" t="str">
        <f aca="false">IF($M2801="","",IFERROR(INDEX(Settings!$B$27:$B$36,MATCH(L2801,Settings!$A$27:$A$36,0))&amp;"","UNMAPPED"))</f>
        <v/>
      </c>
      <c r="T2801" s="37" t="str">
        <f aca="false">IF($M2801="","",IF(NOT(ISNUMBER(R2801)),"NO DATE",IF(S2801="Won",IF(R2801&gt;Settings!$B$5,"Backlog","Delivered"),IF(S2801="Open",IF(R2801&gt;Settings!$B$5,"Pipeline","Overdue"),IF(S2801="Lost","Lost","UNMAPPED")))))</f>
        <v/>
      </c>
      <c r="U2801" s="40" t="n">
        <f aca="false">IF(T2801="Backlog",1,IF(OR(T2801="Pipeline",T2801="Overdue"),N(INDEX(Settings!$C$27:$C$36,MATCH(L2801,Settings!$A$27:$A$36,0))),0))</f>
        <v>0</v>
      </c>
      <c r="V2801" s="38" t="n">
        <f aca="false">Q2801*U2801</f>
        <v>0</v>
      </c>
      <c r="W2801" s="41" t="str">
        <f aca="false">IF($M2801="","",IF(T2801="Overdue",IF(Settings!$B$8="Yes",Settings!$B$7,""),IF(ISNUMBER(R2801),DATE(YEAR(R2801),MONTH(R2801),1),"")))</f>
        <v/>
      </c>
      <c r="X2801" s="38" t="n">
        <f aca="false">IF(AND(OR(T2801="Backlog",T2801="Pipeline",T2801="Overdue"),ISNUMBER(W2801)),IF(W2801&lt;=Settings!$B$6,V2801,0),0)</f>
        <v>0</v>
      </c>
      <c r="Y2801" s="38" t="n">
        <f aca="false">IF(AND(OR(T2801="Backlog",T2801="Pipeline",T2801="Overdue"),ISNUMBER(W2801)),IF(W2801&lt;=Settings!$B$6,Q2801,0),0)</f>
        <v>0</v>
      </c>
      <c r="Z2801" s="38" t="n">
        <f aca="false">IF(Y2801=0,0,IF(T2801="Backlog",Q2801,Q2801*Dashboard!$C$10))</f>
        <v>0</v>
      </c>
      <c r="AA2801" s="37" t="n">
        <f aca="false">IF($N2801="",0,IF(COUNTIF(Dashboard!$C$13:$C$22,$N2801)&gt;0,1,0))</f>
        <v>0</v>
      </c>
      <c r="AB2801" s="37" t="str">
        <f aca="false">IF($N2801="","",IF(COUNTIF($N$8:$N2801,$N2801)=1,MAX($AB$7:$AB2800)+1,""))</f>
        <v/>
      </c>
    </row>
    <row r="2802" customFormat="false" ht="15" hidden="false" customHeight="false" outlineLevel="0" collapsed="false">
      <c r="L2802" s="37" t="str">
        <f aca="false">IF(INDEX($A2802:$J2802,$L$6)&lt;&gt;"",TRIM(LEFT(INDEX($A2802:$J2802,$L$6),FIND("(",INDEX($A2802:$J2802,$L$6)&amp;"(")-1)),L2801)</f>
        <v>Building Value Proposition</v>
      </c>
      <c r="M2802" s="37" t="str">
        <f aca="false">IF(INDEX($A2802:$J2802,$M$6)="","",INDEX($A2802:$J2802,$M$6)&amp;"")</f>
        <v/>
      </c>
      <c r="N2802" s="37" t="str">
        <f aca="false">IF($M2802="","",TRIM(INDEX($A2802:$J2802,$N$6)&amp;""))</f>
        <v/>
      </c>
      <c r="O2802" s="37" t="str">
        <f aca="false">IF($M2802="","",TRIM(INDEX($A2802:$J2802,$O$6)&amp;""))</f>
        <v/>
      </c>
      <c r="P2802" s="37" t="str">
        <f aca="false">IF($M2802="","",IFERROR(IF(INDEX(Settings!$B$41:$B$50,MATCH(O2802,Settings!$A$41:$A$50,0))&amp;""="","UNMAPPED",INDEX(Settings!$B$41:$B$50,MATCH(O2802,Settings!$A$41:$A$50,0))&amp;""),"UNMAPPED"))</f>
        <v/>
      </c>
      <c r="Q2802" s="38" t="n">
        <f aca="false">IF($M2802="",0,N(INDEX($A2802:$J2802,$Q$6)))</f>
        <v>0</v>
      </c>
      <c r="R2802" s="39" t="str">
        <f aca="false">IF($M2802="","",INDEX($A2802:$J2802,$R$6))</f>
        <v/>
      </c>
      <c r="S2802" s="37" t="str">
        <f aca="false">IF($M2802="","",IFERROR(INDEX(Settings!$B$27:$B$36,MATCH(L2802,Settings!$A$27:$A$36,0))&amp;"","UNMAPPED"))</f>
        <v/>
      </c>
      <c r="T2802" s="37" t="str">
        <f aca="false">IF($M2802="","",IF(NOT(ISNUMBER(R2802)),"NO DATE",IF(S2802="Won",IF(R2802&gt;Settings!$B$5,"Backlog","Delivered"),IF(S2802="Open",IF(R2802&gt;Settings!$B$5,"Pipeline","Overdue"),IF(S2802="Lost","Lost","UNMAPPED")))))</f>
        <v/>
      </c>
      <c r="U2802" s="40" t="n">
        <f aca="false">IF(T2802="Backlog",1,IF(OR(T2802="Pipeline",T2802="Overdue"),N(INDEX(Settings!$C$27:$C$36,MATCH(L2802,Settings!$A$27:$A$36,0))),0))</f>
        <v>0</v>
      </c>
      <c r="V2802" s="38" t="n">
        <f aca="false">Q2802*U2802</f>
        <v>0</v>
      </c>
      <c r="W2802" s="41" t="str">
        <f aca="false">IF($M2802="","",IF(T2802="Overdue",IF(Settings!$B$8="Yes",Settings!$B$7,""),IF(ISNUMBER(R2802),DATE(YEAR(R2802),MONTH(R2802),1),"")))</f>
        <v/>
      </c>
      <c r="X2802" s="38" t="n">
        <f aca="false">IF(AND(OR(T2802="Backlog",T2802="Pipeline",T2802="Overdue"),ISNUMBER(W2802)),IF(W2802&lt;=Settings!$B$6,V2802,0),0)</f>
        <v>0</v>
      </c>
      <c r="Y2802" s="38" t="n">
        <f aca="false">IF(AND(OR(T2802="Backlog",T2802="Pipeline",T2802="Overdue"),ISNUMBER(W2802)),IF(W2802&lt;=Settings!$B$6,Q2802,0),0)</f>
        <v>0</v>
      </c>
      <c r="Z2802" s="38" t="n">
        <f aca="false">IF(Y2802=0,0,IF(T2802="Backlog",Q2802,Q2802*Dashboard!$C$10))</f>
        <v>0</v>
      </c>
      <c r="AA2802" s="37" t="n">
        <f aca="false">IF($N2802="",0,IF(COUNTIF(Dashboard!$C$13:$C$22,$N2802)&gt;0,1,0))</f>
        <v>0</v>
      </c>
      <c r="AB2802" s="37" t="str">
        <f aca="false">IF($N2802="","",IF(COUNTIF($N$8:$N2802,$N2802)=1,MAX($AB$7:$AB2801)+1,""))</f>
        <v/>
      </c>
    </row>
    <row r="2803" customFormat="false" ht="15" hidden="false" customHeight="false" outlineLevel="0" collapsed="false">
      <c r="L2803" s="37" t="str">
        <f aca="false">IF(INDEX($A2803:$J2803,$L$6)&lt;&gt;"",TRIM(LEFT(INDEX($A2803:$J2803,$L$6),FIND("(",INDEX($A2803:$J2803,$L$6)&amp;"(")-1)),L2802)</f>
        <v>Building Value Proposition</v>
      </c>
      <c r="M2803" s="37" t="str">
        <f aca="false">IF(INDEX($A2803:$J2803,$M$6)="","",INDEX($A2803:$J2803,$M$6)&amp;"")</f>
        <v/>
      </c>
      <c r="N2803" s="37" t="str">
        <f aca="false">IF($M2803="","",TRIM(INDEX($A2803:$J2803,$N$6)&amp;""))</f>
        <v/>
      </c>
      <c r="O2803" s="37" t="str">
        <f aca="false">IF($M2803="","",TRIM(INDEX($A2803:$J2803,$O$6)&amp;""))</f>
        <v/>
      </c>
      <c r="P2803" s="37" t="str">
        <f aca="false">IF($M2803="","",IFERROR(IF(INDEX(Settings!$B$41:$B$50,MATCH(O2803,Settings!$A$41:$A$50,0))&amp;""="","UNMAPPED",INDEX(Settings!$B$41:$B$50,MATCH(O2803,Settings!$A$41:$A$50,0))&amp;""),"UNMAPPED"))</f>
        <v/>
      </c>
      <c r="Q2803" s="38" t="n">
        <f aca="false">IF($M2803="",0,N(INDEX($A2803:$J2803,$Q$6)))</f>
        <v>0</v>
      </c>
      <c r="R2803" s="39" t="str">
        <f aca="false">IF($M2803="","",INDEX($A2803:$J2803,$R$6))</f>
        <v/>
      </c>
      <c r="S2803" s="37" t="str">
        <f aca="false">IF($M2803="","",IFERROR(INDEX(Settings!$B$27:$B$36,MATCH(L2803,Settings!$A$27:$A$36,0))&amp;"","UNMAPPED"))</f>
        <v/>
      </c>
      <c r="T2803" s="37" t="str">
        <f aca="false">IF($M2803="","",IF(NOT(ISNUMBER(R2803)),"NO DATE",IF(S2803="Won",IF(R2803&gt;Settings!$B$5,"Backlog","Delivered"),IF(S2803="Open",IF(R2803&gt;Settings!$B$5,"Pipeline","Overdue"),IF(S2803="Lost","Lost","UNMAPPED")))))</f>
        <v/>
      </c>
      <c r="U2803" s="40" t="n">
        <f aca="false">IF(T2803="Backlog",1,IF(OR(T2803="Pipeline",T2803="Overdue"),N(INDEX(Settings!$C$27:$C$36,MATCH(L2803,Settings!$A$27:$A$36,0))),0))</f>
        <v>0</v>
      </c>
      <c r="V2803" s="38" t="n">
        <f aca="false">Q2803*U2803</f>
        <v>0</v>
      </c>
      <c r="W2803" s="41" t="str">
        <f aca="false">IF($M2803="","",IF(T2803="Overdue",IF(Settings!$B$8="Yes",Settings!$B$7,""),IF(ISNUMBER(R2803),DATE(YEAR(R2803),MONTH(R2803),1),"")))</f>
        <v/>
      </c>
      <c r="X2803" s="38" t="n">
        <f aca="false">IF(AND(OR(T2803="Backlog",T2803="Pipeline",T2803="Overdue"),ISNUMBER(W2803)),IF(W2803&lt;=Settings!$B$6,V2803,0),0)</f>
        <v>0</v>
      </c>
      <c r="Y2803" s="38" t="n">
        <f aca="false">IF(AND(OR(T2803="Backlog",T2803="Pipeline",T2803="Overdue"),ISNUMBER(W2803)),IF(W2803&lt;=Settings!$B$6,Q2803,0),0)</f>
        <v>0</v>
      </c>
      <c r="Z2803" s="38" t="n">
        <f aca="false">IF(Y2803=0,0,IF(T2803="Backlog",Q2803,Q2803*Dashboard!$C$10))</f>
        <v>0</v>
      </c>
      <c r="AA2803" s="37" t="n">
        <f aca="false">IF($N2803="",0,IF(COUNTIF(Dashboard!$C$13:$C$22,$N2803)&gt;0,1,0))</f>
        <v>0</v>
      </c>
      <c r="AB2803" s="37" t="str">
        <f aca="false">IF($N2803="","",IF(COUNTIF($N$8:$N2803,$N2803)=1,MAX($AB$7:$AB2802)+1,""))</f>
        <v/>
      </c>
    </row>
    <row r="2804" customFormat="false" ht="15" hidden="false" customHeight="false" outlineLevel="0" collapsed="false">
      <c r="L2804" s="37" t="str">
        <f aca="false">IF(INDEX($A2804:$J2804,$L$6)&lt;&gt;"",TRIM(LEFT(INDEX($A2804:$J2804,$L$6),FIND("(",INDEX($A2804:$J2804,$L$6)&amp;"(")-1)),L2803)</f>
        <v>Building Value Proposition</v>
      </c>
      <c r="M2804" s="37" t="str">
        <f aca="false">IF(INDEX($A2804:$J2804,$M$6)="","",INDEX($A2804:$J2804,$M$6)&amp;"")</f>
        <v/>
      </c>
      <c r="N2804" s="37" t="str">
        <f aca="false">IF($M2804="","",TRIM(INDEX($A2804:$J2804,$N$6)&amp;""))</f>
        <v/>
      </c>
      <c r="O2804" s="37" t="str">
        <f aca="false">IF($M2804="","",TRIM(INDEX($A2804:$J2804,$O$6)&amp;""))</f>
        <v/>
      </c>
      <c r="P2804" s="37" t="str">
        <f aca="false">IF($M2804="","",IFERROR(IF(INDEX(Settings!$B$41:$B$50,MATCH(O2804,Settings!$A$41:$A$50,0))&amp;""="","UNMAPPED",INDEX(Settings!$B$41:$B$50,MATCH(O2804,Settings!$A$41:$A$50,0))&amp;""),"UNMAPPED"))</f>
        <v/>
      </c>
      <c r="Q2804" s="38" t="n">
        <f aca="false">IF($M2804="",0,N(INDEX($A2804:$J2804,$Q$6)))</f>
        <v>0</v>
      </c>
      <c r="R2804" s="39" t="str">
        <f aca="false">IF($M2804="","",INDEX($A2804:$J2804,$R$6))</f>
        <v/>
      </c>
      <c r="S2804" s="37" t="str">
        <f aca="false">IF($M2804="","",IFERROR(INDEX(Settings!$B$27:$B$36,MATCH(L2804,Settings!$A$27:$A$36,0))&amp;"","UNMAPPED"))</f>
        <v/>
      </c>
      <c r="T2804" s="37" t="str">
        <f aca="false">IF($M2804="","",IF(NOT(ISNUMBER(R2804)),"NO DATE",IF(S2804="Won",IF(R2804&gt;Settings!$B$5,"Backlog","Delivered"),IF(S2804="Open",IF(R2804&gt;Settings!$B$5,"Pipeline","Overdue"),IF(S2804="Lost","Lost","UNMAPPED")))))</f>
        <v/>
      </c>
      <c r="U2804" s="40" t="n">
        <f aca="false">IF(T2804="Backlog",1,IF(OR(T2804="Pipeline",T2804="Overdue"),N(INDEX(Settings!$C$27:$C$36,MATCH(L2804,Settings!$A$27:$A$36,0))),0))</f>
        <v>0</v>
      </c>
      <c r="V2804" s="38" t="n">
        <f aca="false">Q2804*U2804</f>
        <v>0</v>
      </c>
      <c r="W2804" s="41" t="str">
        <f aca="false">IF($M2804="","",IF(T2804="Overdue",IF(Settings!$B$8="Yes",Settings!$B$7,""),IF(ISNUMBER(R2804),DATE(YEAR(R2804),MONTH(R2804),1),"")))</f>
        <v/>
      </c>
      <c r="X2804" s="38" t="n">
        <f aca="false">IF(AND(OR(T2804="Backlog",T2804="Pipeline",T2804="Overdue"),ISNUMBER(W2804)),IF(W2804&lt;=Settings!$B$6,V2804,0),0)</f>
        <v>0</v>
      </c>
      <c r="Y2804" s="38" t="n">
        <f aca="false">IF(AND(OR(T2804="Backlog",T2804="Pipeline",T2804="Overdue"),ISNUMBER(W2804)),IF(W2804&lt;=Settings!$B$6,Q2804,0),0)</f>
        <v>0</v>
      </c>
      <c r="Z2804" s="38" t="n">
        <f aca="false">IF(Y2804=0,0,IF(T2804="Backlog",Q2804,Q2804*Dashboard!$C$10))</f>
        <v>0</v>
      </c>
      <c r="AA2804" s="37" t="n">
        <f aca="false">IF($N2804="",0,IF(COUNTIF(Dashboard!$C$13:$C$22,$N2804)&gt;0,1,0))</f>
        <v>0</v>
      </c>
      <c r="AB2804" s="37" t="str">
        <f aca="false">IF($N2804="","",IF(COUNTIF($N$8:$N2804,$N2804)=1,MAX($AB$7:$AB2803)+1,""))</f>
        <v/>
      </c>
    </row>
    <row r="2805" customFormat="false" ht="15" hidden="false" customHeight="false" outlineLevel="0" collapsed="false">
      <c r="L2805" s="37" t="str">
        <f aca="false">IF(INDEX($A2805:$J2805,$L$6)&lt;&gt;"",TRIM(LEFT(INDEX($A2805:$J2805,$L$6),FIND("(",INDEX($A2805:$J2805,$L$6)&amp;"(")-1)),L2804)</f>
        <v>Building Value Proposition</v>
      </c>
      <c r="M2805" s="37" t="str">
        <f aca="false">IF(INDEX($A2805:$J2805,$M$6)="","",INDEX($A2805:$J2805,$M$6)&amp;"")</f>
        <v/>
      </c>
      <c r="N2805" s="37" t="str">
        <f aca="false">IF($M2805="","",TRIM(INDEX($A2805:$J2805,$N$6)&amp;""))</f>
        <v/>
      </c>
      <c r="O2805" s="37" t="str">
        <f aca="false">IF($M2805="","",TRIM(INDEX($A2805:$J2805,$O$6)&amp;""))</f>
        <v/>
      </c>
      <c r="P2805" s="37" t="str">
        <f aca="false">IF($M2805="","",IFERROR(IF(INDEX(Settings!$B$41:$B$50,MATCH(O2805,Settings!$A$41:$A$50,0))&amp;""="","UNMAPPED",INDEX(Settings!$B$41:$B$50,MATCH(O2805,Settings!$A$41:$A$50,0))&amp;""),"UNMAPPED"))</f>
        <v/>
      </c>
      <c r="Q2805" s="38" t="n">
        <f aca="false">IF($M2805="",0,N(INDEX($A2805:$J2805,$Q$6)))</f>
        <v>0</v>
      </c>
      <c r="R2805" s="39" t="str">
        <f aca="false">IF($M2805="","",INDEX($A2805:$J2805,$R$6))</f>
        <v/>
      </c>
      <c r="S2805" s="37" t="str">
        <f aca="false">IF($M2805="","",IFERROR(INDEX(Settings!$B$27:$B$36,MATCH(L2805,Settings!$A$27:$A$36,0))&amp;"","UNMAPPED"))</f>
        <v/>
      </c>
      <c r="T2805" s="37" t="str">
        <f aca="false">IF($M2805="","",IF(NOT(ISNUMBER(R2805)),"NO DATE",IF(S2805="Won",IF(R2805&gt;Settings!$B$5,"Backlog","Delivered"),IF(S2805="Open",IF(R2805&gt;Settings!$B$5,"Pipeline","Overdue"),IF(S2805="Lost","Lost","UNMAPPED")))))</f>
        <v/>
      </c>
      <c r="U2805" s="40" t="n">
        <f aca="false">IF(T2805="Backlog",1,IF(OR(T2805="Pipeline",T2805="Overdue"),N(INDEX(Settings!$C$27:$C$36,MATCH(L2805,Settings!$A$27:$A$36,0))),0))</f>
        <v>0</v>
      </c>
      <c r="V2805" s="38" t="n">
        <f aca="false">Q2805*U2805</f>
        <v>0</v>
      </c>
      <c r="W2805" s="41" t="str">
        <f aca="false">IF($M2805="","",IF(T2805="Overdue",IF(Settings!$B$8="Yes",Settings!$B$7,""),IF(ISNUMBER(R2805),DATE(YEAR(R2805),MONTH(R2805),1),"")))</f>
        <v/>
      </c>
      <c r="X2805" s="38" t="n">
        <f aca="false">IF(AND(OR(T2805="Backlog",T2805="Pipeline",T2805="Overdue"),ISNUMBER(W2805)),IF(W2805&lt;=Settings!$B$6,V2805,0),0)</f>
        <v>0</v>
      </c>
      <c r="Y2805" s="38" t="n">
        <f aca="false">IF(AND(OR(T2805="Backlog",T2805="Pipeline",T2805="Overdue"),ISNUMBER(W2805)),IF(W2805&lt;=Settings!$B$6,Q2805,0),0)</f>
        <v>0</v>
      </c>
      <c r="Z2805" s="38" t="n">
        <f aca="false">IF(Y2805=0,0,IF(T2805="Backlog",Q2805,Q2805*Dashboard!$C$10))</f>
        <v>0</v>
      </c>
      <c r="AA2805" s="37" t="n">
        <f aca="false">IF($N2805="",0,IF(COUNTIF(Dashboard!$C$13:$C$22,$N2805)&gt;0,1,0))</f>
        <v>0</v>
      </c>
      <c r="AB2805" s="37" t="str">
        <f aca="false">IF($N2805="","",IF(COUNTIF($N$8:$N2805,$N2805)=1,MAX($AB$7:$AB2804)+1,""))</f>
        <v/>
      </c>
    </row>
    <row r="2806" customFormat="false" ht="15" hidden="false" customHeight="false" outlineLevel="0" collapsed="false">
      <c r="L2806" s="37" t="str">
        <f aca="false">IF(INDEX($A2806:$J2806,$L$6)&lt;&gt;"",TRIM(LEFT(INDEX($A2806:$J2806,$L$6),FIND("(",INDEX($A2806:$J2806,$L$6)&amp;"(")-1)),L2805)</f>
        <v>Building Value Proposition</v>
      </c>
      <c r="M2806" s="37" t="str">
        <f aca="false">IF(INDEX($A2806:$J2806,$M$6)="","",INDEX($A2806:$J2806,$M$6)&amp;"")</f>
        <v/>
      </c>
      <c r="N2806" s="37" t="str">
        <f aca="false">IF($M2806="","",TRIM(INDEX($A2806:$J2806,$N$6)&amp;""))</f>
        <v/>
      </c>
      <c r="O2806" s="37" t="str">
        <f aca="false">IF($M2806="","",TRIM(INDEX($A2806:$J2806,$O$6)&amp;""))</f>
        <v/>
      </c>
      <c r="P2806" s="37" t="str">
        <f aca="false">IF($M2806="","",IFERROR(IF(INDEX(Settings!$B$41:$B$50,MATCH(O2806,Settings!$A$41:$A$50,0))&amp;""="","UNMAPPED",INDEX(Settings!$B$41:$B$50,MATCH(O2806,Settings!$A$41:$A$50,0))&amp;""),"UNMAPPED"))</f>
        <v/>
      </c>
      <c r="Q2806" s="38" t="n">
        <f aca="false">IF($M2806="",0,N(INDEX($A2806:$J2806,$Q$6)))</f>
        <v>0</v>
      </c>
      <c r="R2806" s="39" t="str">
        <f aca="false">IF($M2806="","",INDEX($A2806:$J2806,$R$6))</f>
        <v/>
      </c>
      <c r="S2806" s="37" t="str">
        <f aca="false">IF($M2806="","",IFERROR(INDEX(Settings!$B$27:$B$36,MATCH(L2806,Settings!$A$27:$A$36,0))&amp;"","UNMAPPED"))</f>
        <v/>
      </c>
      <c r="T2806" s="37" t="str">
        <f aca="false">IF($M2806="","",IF(NOT(ISNUMBER(R2806)),"NO DATE",IF(S2806="Won",IF(R2806&gt;Settings!$B$5,"Backlog","Delivered"),IF(S2806="Open",IF(R2806&gt;Settings!$B$5,"Pipeline","Overdue"),IF(S2806="Lost","Lost","UNMAPPED")))))</f>
        <v/>
      </c>
      <c r="U2806" s="40" t="n">
        <f aca="false">IF(T2806="Backlog",1,IF(OR(T2806="Pipeline",T2806="Overdue"),N(INDEX(Settings!$C$27:$C$36,MATCH(L2806,Settings!$A$27:$A$36,0))),0))</f>
        <v>0</v>
      </c>
      <c r="V2806" s="38" t="n">
        <f aca="false">Q2806*U2806</f>
        <v>0</v>
      </c>
      <c r="W2806" s="41" t="str">
        <f aca="false">IF($M2806="","",IF(T2806="Overdue",IF(Settings!$B$8="Yes",Settings!$B$7,""),IF(ISNUMBER(R2806),DATE(YEAR(R2806),MONTH(R2806),1),"")))</f>
        <v/>
      </c>
      <c r="X2806" s="38" t="n">
        <f aca="false">IF(AND(OR(T2806="Backlog",T2806="Pipeline",T2806="Overdue"),ISNUMBER(W2806)),IF(W2806&lt;=Settings!$B$6,V2806,0),0)</f>
        <v>0</v>
      </c>
      <c r="Y2806" s="38" t="n">
        <f aca="false">IF(AND(OR(T2806="Backlog",T2806="Pipeline",T2806="Overdue"),ISNUMBER(W2806)),IF(W2806&lt;=Settings!$B$6,Q2806,0),0)</f>
        <v>0</v>
      </c>
      <c r="Z2806" s="38" t="n">
        <f aca="false">IF(Y2806=0,0,IF(T2806="Backlog",Q2806,Q2806*Dashboard!$C$10))</f>
        <v>0</v>
      </c>
      <c r="AA2806" s="37" t="n">
        <f aca="false">IF($N2806="",0,IF(COUNTIF(Dashboard!$C$13:$C$22,$N2806)&gt;0,1,0))</f>
        <v>0</v>
      </c>
      <c r="AB2806" s="37" t="str">
        <f aca="false">IF($N2806="","",IF(COUNTIF($N$8:$N2806,$N2806)=1,MAX($AB$7:$AB2805)+1,""))</f>
        <v/>
      </c>
    </row>
    <row r="2807" customFormat="false" ht="15" hidden="false" customHeight="false" outlineLevel="0" collapsed="false">
      <c r="L2807" s="37" t="str">
        <f aca="false">IF(INDEX($A2807:$J2807,$L$6)&lt;&gt;"",TRIM(LEFT(INDEX($A2807:$J2807,$L$6),FIND("(",INDEX($A2807:$J2807,$L$6)&amp;"(")-1)),L2806)</f>
        <v>Building Value Proposition</v>
      </c>
      <c r="M2807" s="37" t="str">
        <f aca="false">IF(INDEX($A2807:$J2807,$M$6)="","",INDEX($A2807:$J2807,$M$6)&amp;"")</f>
        <v/>
      </c>
      <c r="N2807" s="37" t="str">
        <f aca="false">IF($M2807="","",TRIM(INDEX($A2807:$J2807,$N$6)&amp;""))</f>
        <v/>
      </c>
      <c r="O2807" s="37" t="str">
        <f aca="false">IF($M2807="","",TRIM(INDEX($A2807:$J2807,$O$6)&amp;""))</f>
        <v/>
      </c>
      <c r="P2807" s="37" t="str">
        <f aca="false">IF($M2807="","",IFERROR(IF(INDEX(Settings!$B$41:$B$50,MATCH(O2807,Settings!$A$41:$A$50,0))&amp;""="","UNMAPPED",INDEX(Settings!$B$41:$B$50,MATCH(O2807,Settings!$A$41:$A$50,0))&amp;""),"UNMAPPED"))</f>
        <v/>
      </c>
      <c r="Q2807" s="38" t="n">
        <f aca="false">IF($M2807="",0,N(INDEX($A2807:$J2807,$Q$6)))</f>
        <v>0</v>
      </c>
      <c r="R2807" s="39" t="str">
        <f aca="false">IF($M2807="","",INDEX($A2807:$J2807,$R$6))</f>
        <v/>
      </c>
      <c r="S2807" s="37" t="str">
        <f aca="false">IF($M2807="","",IFERROR(INDEX(Settings!$B$27:$B$36,MATCH(L2807,Settings!$A$27:$A$36,0))&amp;"","UNMAPPED"))</f>
        <v/>
      </c>
      <c r="T2807" s="37" t="str">
        <f aca="false">IF($M2807="","",IF(NOT(ISNUMBER(R2807)),"NO DATE",IF(S2807="Won",IF(R2807&gt;Settings!$B$5,"Backlog","Delivered"),IF(S2807="Open",IF(R2807&gt;Settings!$B$5,"Pipeline","Overdue"),IF(S2807="Lost","Lost","UNMAPPED")))))</f>
        <v/>
      </c>
      <c r="U2807" s="40" t="n">
        <f aca="false">IF(T2807="Backlog",1,IF(OR(T2807="Pipeline",T2807="Overdue"),N(INDEX(Settings!$C$27:$C$36,MATCH(L2807,Settings!$A$27:$A$36,0))),0))</f>
        <v>0</v>
      </c>
      <c r="V2807" s="38" t="n">
        <f aca="false">Q2807*U2807</f>
        <v>0</v>
      </c>
      <c r="W2807" s="41" t="str">
        <f aca="false">IF($M2807="","",IF(T2807="Overdue",IF(Settings!$B$8="Yes",Settings!$B$7,""),IF(ISNUMBER(R2807),DATE(YEAR(R2807),MONTH(R2807),1),"")))</f>
        <v/>
      </c>
      <c r="X2807" s="38" t="n">
        <f aca="false">IF(AND(OR(T2807="Backlog",T2807="Pipeline",T2807="Overdue"),ISNUMBER(W2807)),IF(W2807&lt;=Settings!$B$6,V2807,0),0)</f>
        <v>0</v>
      </c>
      <c r="Y2807" s="38" t="n">
        <f aca="false">IF(AND(OR(T2807="Backlog",T2807="Pipeline",T2807="Overdue"),ISNUMBER(W2807)),IF(W2807&lt;=Settings!$B$6,Q2807,0),0)</f>
        <v>0</v>
      </c>
      <c r="Z2807" s="38" t="n">
        <f aca="false">IF(Y2807=0,0,IF(T2807="Backlog",Q2807,Q2807*Dashboard!$C$10))</f>
        <v>0</v>
      </c>
      <c r="AA2807" s="37" t="n">
        <f aca="false">IF($N2807="",0,IF(COUNTIF(Dashboard!$C$13:$C$22,$N2807)&gt;0,1,0))</f>
        <v>0</v>
      </c>
      <c r="AB2807" s="37" t="str">
        <f aca="false">IF($N2807="","",IF(COUNTIF($N$8:$N2807,$N2807)=1,MAX($AB$7:$AB2806)+1,""))</f>
        <v/>
      </c>
    </row>
    <row r="2808" customFormat="false" ht="15" hidden="false" customHeight="false" outlineLevel="0" collapsed="false">
      <c r="L2808" s="37" t="str">
        <f aca="false">IF(INDEX($A2808:$J2808,$L$6)&lt;&gt;"",TRIM(LEFT(INDEX($A2808:$J2808,$L$6),FIND("(",INDEX($A2808:$J2808,$L$6)&amp;"(")-1)),L2807)</f>
        <v>Building Value Proposition</v>
      </c>
      <c r="M2808" s="37" t="str">
        <f aca="false">IF(INDEX($A2808:$J2808,$M$6)="","",INDEX($A2808:$J2808,$M$6)&amp;"")</f>
        <v/>
      </c>
      <c r="N2808" s="37" t="str">
        <f aca="false">IF($M2808="","",TRIM(INDEX($A2808:$J2808,$N$6)&amp;""))</f>
        <v/>
      </c>
      <c r="O2808" s="37" t="str">
        <f aca="false">IF($M2808="","",TRIM(INDEX($A2808:$J2808,$O$6)&amp;""))</f>
        <v/>
      </c>
      <c r="P2808" s="37" t="str">
        <f aca="false">IF($M2808="","",IFERROR(IF(INDEX(Settings!$B$41:$B$50,MATCH(O2808,Settings!$A$41:$A$50,0))&amp;""="","UNMAPPED",INDEX(Settings!$B$41:$B$50,MATCH(O2808,Settings!$A$41:$A$50,0))&amp;""),"UNMAPPED"))</f>
        <v/>
      </c>
      <c r="Q2808" s="38" t="n">
        <f aca="false">IF($M2808="",0,N(INDEX($A2808:$J2808,$Q$6)))</f>
        <v>0</v>
      </c>
      <c r="R2808" s="39" t="str">
        <f aca="false">IF($M2808="","",INDEX($A2808:$J2808,$R$6))</f>
        <v/>
      </c>
      <c r="S2808" s="37" t="str">
        <f aca="false">IF($M2808="","",IFERROR(INDEX(Settings!$B$27:$B$36,MATCH(L2808,Settings!$A$27:$A$36,0))&amp;"","UNMAPPED"))</f>
        <v/>
      </c>
      <c r="T2808" s="37" t="str">
        <f aca="false">IF($M2808="","",IF(NOT(ISNUMBER(R2808)),"NO DATE",IF(S2808="Won",IF(R2808&gt;Settings!$B$5,"Backlog","Delivered"),IF(S2808="Open",IF(R2808&gt;Settings!$B$5,"Pipeline","Overdue"),IF(S2808="Lost","Lost","UNMAPPED")))))</f>
        <v/>
      </c>
      <c r="U2808" s="40" t="n">
        <f aca="false">IF(T2808="Backlog",1,IF(OR(T2808="Pipeline",T2808="Overdue"),N(INDEX(Settings!$C$27:$C$36,MATCH(L2808,Settings!$A$27:$A$36,0))),0))</f>
        <v>0</v>
      </c>
      <c r="V2808" s="38" t="n">
        <f aca="false">Q2808*U2808</f>
        <v>0</v>
      </c>
      <c r="W2808" s="41" t="str">
        <f aca="false">IF($M2808="","",IF(T2808="Overdue",IF(Settings!$B$8="Yes",Settings!$B$7,""),IF(ISNUMBER(R2808),DATE(YEAR(R2808),MONTH(R2808),1),"")))</f>
        <v/>
      </c>
      <c r="X2808" s="38" t="n">
        <f aca="false">IF(AND(OR(T2808="Backlog",T2808="Pipeline",T2808="Overdue"),ISNUMBER(W2808)),IF(W2808&lt;=Settings!$B$6,V2808,0),0)</f>
        <v>0</v>
      </c>
      <c r="Y2808" s="38" t="n">
        <f aca="false">IF(AND(OR(T2808="Backlog",T2808="Pipeline",T2808="Overdue"),ISNUMBER(W2808)),IF(W2808&lt;=Settings!$B$6,Q2808,0),0)</f>
        <v>0</v>
      </c>
      <c r="Z2808" s="38" t="n">
        <f aca="false">IF(Y2808=0,0,IF(T2808="Backlog",Q2808,Q2808*Dashboard!$C$10))</f>
        <v>0</v>
      </c>
      <c r="AA2808" s="37" t="n">
        <f aca="false">IF($N2808="",0,IF(COUNTIF(Dashboard!$C$13:$C$22,$N2808)&gt;0,1,0))</f>
        <v>0</v>
      </c>
      <c r="AB2808" s="37" t="str">
        <f aca="false">IF($N2808="","",IF(COUNTIF($N$8:$N2808,$N2808)=1,MAX($AB$7:$AB2807)+1,""))</f>
        <v/>
      </c>
    </row>
    <row r="2809" customFormat="false" ht="15" hidden="false" customHeight="false" outlineLevel="0" collapsed="false">
      <c r="L2809" s="37" t="str">
        <f aca="false">IF(INDEX($A2809:$J2809,$L$6)&lt;&gt;"",TRIM(LEFT(INDEX($A2809:$J2809,$L$6),FIND("(",INDEX($A2809:$J2809,$L$6)&amp;"(")-1)),L2808)</f>
        <v>Building Value Proposition</v>
      </c>
      <c r="M2809" s="37" t="str">
        <f aca="false">IF(INDEX($A2809:$J2809,$M$6)="","",INDEX($A2809:$J2809,$M$6)&amp;"")</f>
        <v/>
      </c>
      <c r="N2809" s="37" t="str">
        <f aca="false">IF($M2809="","",TRIM(INDEX($A2809:$J2809,$N$6)&amp;""))</f>
        <v/>
      </c>
      <c r="O2809" s="37" t="str">
        <f aca="false">IF($M2809="","",TRIM(INDEX($A2809:$J2809,$O$6)&amp;""))</f>
        <v/>
      </c>
      <c r="P2809" s="37" t="str">
        <f aca="false">IF($M2809="","",IFERROR(IF(INDEX(Settings!$B$41:$B$50,MATCH(O2809,Settings!$A$41:$A$50,0))&amp;""="","UNMAPPED",INDEX(Settings!$B$41:$B$50,MATCH(O2809,Settings!$A$41:$A$50,0))&amp;""),"UNMAPPED"))</f>
        <v/>
      </c>
      <c r="Q2809" s="38" t="n">
        <f aca="false">IF($M2809="",0,N(INDEX($A2809:$J2809,$Q$6)))</f>
        <v>0</v>
      </c>
      <c r="R2809" s="39" t="str">
        <f aca="false">IF($M2809="","",INDEX($A2809:$J2809,$R$6))</f>
        <v/>
      </c>
      <c r="S2809" s="37" t="str">
        <f aca="false">IF($M2809="","",IFERROR(INDEX(Settings!$B$27:$B$36,MATCH(L2809,Settings!$A$27:$A$36,0))&amp;"","UNMAPPED"))</f>
        <v/>
      </c>
      <c r="T2809" s="37" t="str">
        <f aca="false">IF($M2809="","",IF(NOT(ISNUMBER(R2809)),"NO DATE",IF(S2809="Won",IF(R2809&gt;Settings!$B$5,"Backlog","Delivered"),IF(S2809="Open",IF(R2809&gt;Settings!$B$5,"Pipeline","Overdue"),IF(S2809="Lost","Lost","UNMAPPED")))))</f>
        <v/>
      </c>
      <c r="U2809" s="40" t="n">
        <f aca="false">IF(T2809="Backlog",1,IF(OR(T2809="Pipeline",T2809="Overdue"),N(INDEX(Settings!$C$27:$C$36,MATCH(L2809,Settings!$A$27:$A$36,0))),0))</f>
        <v>0</v>
      </c>
      <c r="V2809" s="38" t="n">
        <f aca="false">Q2809*U2809</f>
        <v>0</v>
      </c>
      <c r="W2809" s="41" t="str">
        <f aca="false">IF($M2809="","",IF(T2809="Overdue",IF(Settings!$B$8="Yes",Settings!$B$7,""),IF(ISNUMBER(R2809),DATE(YEAR(R2809),MONTH(R2809),1),"")))</f>
        <v/>
      </c>
      <c r="X2809" s="38" t="n">
        <f aca="false">IF(AND(OR(T2809="Backlog",T2809="Pipeline",T2809="Overdue"),ISNUMBER(W2809)),IF(W2809&lt;=Settings!$B$6,V2809,0),0)</f>
        <v>0</v>
      </c>
      <c r="Y2809" s="38" t="n">
        <f aca="false">IF(AND(OR(T2809="Backlog",T2809="Pipeline",T2809="Overdue"),ISNUMBER(W2809)),IF(W2809&lt;=Settings!$B$6,Q2809,0),0)</f>
        <v>0</v>
      </c>
      <c r="Z2809" s="38" t="n">
        <f aca="false">IF(Y2809=0,0,IF(T2809="Backlog",Q2809,Q2809*Dashboard!$C$10))</f>
        <v>0</v>
      </c>
      <c r="AA2809" s="37" t="n">
        <f aca="false">IF($N2809="",0,IF(COUNTIF(Dashboard!$C$13:$C$22,$N2809)&gt;0,1,0))</f>
        <v>0</v>
      </c>
      <c r="AB2809" s="37" t="str">
        <f aca="false">IF($N2809="","",IF(COUNTIF($N$8:$N2809,$N2809)=1,MAX($AB$7:$AB2808)+1,""))</f>
        <v/>
      </c>
    </row>
    <row r="2810" customFormat="false" ht="15" hidden="false" customHeight="false" outlineLevel="0" collapsed="false">
      <c r="L2810" s="37" t="str">
        <f aca="false">IF(INDEX($A2810:$J2810,$L$6)&lt;&gt;"",TRIM(LEFT(INDEX($A2810:$J2810,$L$6),FIND("(",INDEX($A2810:$J2810,$L$6)&amp;"(")-1)),L2809)</f>
        <v>Building Value Proposition</v>
      </c>
      <c r="M2810" s="37" t="str">
        <f aca="false">IF(INDEX($A2810:$J2810,$M$6)="","",INDEX($A2810:$J2810,$M$6)&amp;"")</f>
        <v/>
      </c>
      <c r="N2810" s="37" t="str">
        <f aca="false">IF($M2810="","",TRIM(INDEX($A2810:$J2810,$N$6)&amp;""))</f>
        <v/>
      </c>
      <c r="O2810" s="37" t="str">
        <f aca="false">IF($M2810="","",TRIM(INDEX($A2810:$J2810,$O$6)&amp;""))</f>
        <v/>
      </c>
      <c r="P2810" s="37" t="str">
        <f aca="false">IF($M2810="","",IFERROR(IF(INDEX(Settings!$B$41:$B$50,MATCH(O2810,Settings!$A$41:$A$50,0))&amp;""="","UNMAPPED",INDEX(Settings!$B$41:$B$50,MATCH(O2810,Settings!$A$41:$A$50,0))&amp;""),"UNMAPPED"))</f>
        <v/>
      </c>
      <c r="Q2810" s="38" t="n">
        <f aca="false">IF($M2810="",0,N(INDEX($A2810:$J2810,$Q$6)))</f>
        <v>0</v>
      </c>
      <c r="R2810" s="39" t="str">
        <f aca="false">IF($M2810="","",INDEX($A2810:$J2810,$R$6))</f>
        <v/>
      </c>
      <c r="S2810" s="37" t="str">
        <f aca="false">IF($M2810="","",IFERROR(INDEX(Settings!$B$27:$B$36,MATCH(L2810,Settings!$A$27:$A$36,0))&amp;"","UNMAPPED"))</f>
        <v/>
      </c>
      <c r="T2810" s="37" t="str">
        <f aca="false">IF($M2810="","",IF(NOT(ISNUMBER(R2810)),"NO DATE",IF(S2810="Won",IF(R2810&gt;Settings!$B$5,"Backlog","Delivered"),IF(S2810="Open",IF(R2810&gt;Settings!$B$5,"Pipeline","Overdue"),IF(S2810="Lost","Lost","UNMAPPED")))))</f>
        <v/>
      </c>
      <c r="U2810" s="40" t="n">
        <f aca="false">IF(T2810="Backlog",1,IF(OR(T2810="Pipeline",T2810="Overdue"),N(INDEX(Settings!$C$27:$C$36,MATCH(L2810,Settings!$A$27:$A$36,0))),0))</f>
        <v>0</v>
      </c>
      <c r="V2810" s="38" t="n">
        <f aca="false">Q2810*U2810</f>
        <v>0</v>
      </c>
      <c r="W2810" s="41" t="str">
        <f aca="false">IF($M2810="","",IF(T2810="Overdue",IF(Settings!$B$8="Yes",Settings!$B$7,""),IF(ISNUMBER(R2810),DATE(YEAR(R2810),MONTH(R2810),1),"")))</f>
        <v/>
      </c>
      <c r="X2810" s="38" t="n">
        <f aca="false">IF(AND(OR(T2810="Backlog",T2810="Pipeline",T2810="Overdue"),ISNUMBER(W2810)),IF(W2810&lt;=Settings!$B$6,V2810,0),0)</f>
        <v>0</v>
      </c>
      <c r="Y2810" s="38" t="n">
        <f aca="false">IF(AND(OR(T2810="Backlog",T2810="Pipeline",T2810="Overdue"),ISNUMBER(W2810)),IF(W2810&lt;=Settings!$B$6,Q2810,0),0)</f>
        <v>0</v>
      </c>
      <c r="Z2810" s="38" t="n">
        <f aca="false">IF(Y2810=0,0,IF(T2810="Backlog",Q2810,Q2810*Dashboard!$C$10))</f>
        <v>0</v>
      </c>
      <c r="AA2810" s="37" t="n">
        <f aca="false">IF($N2810="",0,IF(COUNTIF(Dashboard!$C$13:$C$22,$N2810)&gt;0,1,0))</f>
        <v>0</v>
      </c>
      <c r="AB2810" s="37" t="str">
        <f aca="false">IF($N2810="","",IF(COUNTIF($N$8:$N2810,$N2810)=1,MAX($AB$7:$AB2809)+1,""))</f>
        <v/>
      </c>
    </row>
    <row r="2811" customFormat="false" ht="15" hidden="false" customHeight="false" outlineLevel="0" collapsed="false">
      <c r="L2811" s="37" t="str">
        <f aca="false">IF(INDEX($A2811:$J2811,$L$6)&lt;&gt;"",TRIM(LEFT(INDEX($A2811:$J2811,$L$6),FIND("(",INDEX($A2811:$J2811,$L$6)&amp;"(")-1)),L2810)</f>
        <v>Building Value Proposition</v>
      </c>
      <c r="M2811" s="37" t="str">
        <f aca="false">IF(INDEX($A2811:$J2811,$M$6)="","",INDEX($A2811:$J2811,$M$6)&amp;"")</f>
        <v/>
      </c>
      <c r="N2811" s="37" t="str">
        <f aca="false">IF($M2811="","",TRIM(INDEX($A2811:$J2811,$N$6)&amp;""))</f>
        <v/>
      </c>
      <c r="O2811" s="37" t="str">
        <f aca="false">IF($M2811="","",TRIM(INDEX($A2811:$J2811,$O$6)&amp;""))</f>
        <v/>
      </c>
      <c r="P2811" s="37" t="str">
        <f aca="false">IF($M2811="","",IFERROR(IF(INDEX(Settings!$B$41:$B$50,MATCH(O2811,Settings!$A$41:$A$50,0))&amp;""="","UNMAPPED",INDEX(Settings!$B$41:$B$50,MATCH(O2811,Settings!$A$41:$A$50,0))&amp;""),"UNMAPPED"))</f>
        <v/>
      </c>
      <c r="Q2811" s="38" t="n">
        <f aca="false">IF($M2811="",0,N(INDEX($A2811:$J2811,$Q$6)))</f>
        <v>0</v>
      </c>
      <c r="R2811" s="39" t="str">
        <f aca="false">IF($M2811="","",INDEX($A2811:$J2811,$R$6))</f>
        <v/>
      </c>
      <c r="S2811" s="37" t="str">
        <f aca="false">IF($M2811="","",IFERROR(INDEX(Settings!$B$27:$B$36,MATCH(L2811,Settings!$A$27:$A$36,0))&amp;"","UNMAPPED"))</f>
        <v/>
      </c>
      <c r="T2811" s="37" t="str">
        <f aca="false">IF($M2811="","",IF(NOT(ISNUMBER(R2811)),"NO DATE",IF(S2811="Won",IF(R2811&gt;Settings!$B$5,"Backlog","Delivered"),IF(S2811="Open",IF(R2811&gt;Settings!$B$5,"Pipeline","Overdue"),IF(S2811="Lost","Lost","UNMAPPED")))))</f>
        <v/>
      </c>
      <c r="U2811" s="40" t="n">
        <f aca="false">IF(T2811="Backlog",1,IF(OR(T2811="Pipeline",T2811="Overdue"),N(INDEX(Settings!$C$27:$C$36,MATCH(L2811,Settings!$A$27:$A$36,0))),0))</f>
        <v>0</v>
      </c>
      <c r="V2811" s="38" t="n">
        <f aca="false">Q2811*U2811</f>
        <v>0</v>
      </c>
      <c r="W2811" s="41" t="str">
        <f aca="false">IF($M2811="","",IF(T2811="Overdue",IF(Settings!$B$8="Yes",Settings!$B$7,""),IF(ISNUMBER(R2811),DATE(YEAR(R2811),MONTH(R2811),1),"")))</f>
        <v/>
      </c>
      <c r="X2811" s="38" t="n">
        <f aca="false">IF(AND(OR(T2811="Backlog",T2811="Pipeline",T2811="Overdue"),ISNUMBER(W2811)),IF(W2811&lt;=Settings!$B$6,V2811,0),0)</f>
        <v>0</v>
      </c>
      <c r="Y2811" s="38" t="n">
        <f aca="false">IF(AND(OR(T2811="Backlog",T2811="Pipeline",T2811="Overdue"),ISNUMBER(W2811)),IF(W2811&lt;=Settings!$B$6,Q2811,0),0)</f>
        <v>0</v>
      </c>
      <c r="Z2811" s="38" t="n">
        <f aca="false">IF(Y2811=0,0,IF(T2811="Backlog",Q2811,Q2811*Dashboard!$C$10))</f>
        <v>0</v>
      </c>
      <c r="AA2811" s="37" t="n">
        <f aca="false">IF($N2811="",0,IF(COUNTIF(Dashboard!$C$13:$C$22,$N2811)&gt;0,1,0))</f>
        <v>0</v>
      </c>
      <c r="AB2811" s="37" t="str">
        <f aca="false">IF($N2811="","",IF(COUNTIF($N$8:$N2811,$N2811)=1,MAX($AB$7:$AB2810)+1,""))</f>
        <v/>
      </c>
    </row>
    <row r="2812" customFormat="false" ht="15" hidden="false" customHeight="false" outlineLevel="0" collapsed="false">
      <c r="L2812" s="37" t="str">
        <f aca="false">IF(INDEX($A2812:$J2812,$L$6)&lt;&gt;"",TRIM(LEFT(INDEX($A2812:$J2812,$L$6),FIND("(",INDEX($A2812:$J2812,$L$6)&amp;"(")-1)),L2811)</f>
        <v>Building Value Proposition</v>
      </c>
      <c r="M2812" s="37" t="str">
        <f aca="false">IF(INDEX($A2812:$J2812,$M$6)="","",INDEX($A2812:$J2812,$M$6)&amp;"")</f>
        <v/>
      </c>
      <c r="N2812" s="37" t="str">
        <f aca="false">IF($M2812="","",TRIM(INDEX($A2812:$J2812,$N$6)&amp;""))</f>
        <v/>
      </c>
      <c r="O2812" s="37" t="str">
        <f aca="false">IF($M2812="","",TRIM(INDEX($A2812:$J2812,$O$6)&amp;""))</f>
        <v/>
      </c>
      <c r="P2812" s="37" t="str">
        <f aca="false">IF($M2812="","",IFERROR(IF(INDEX(Settings!$B$41:$B$50,MATCH(O2812,Settings!$A$41:$A$50,0))&amp;""="","UNMAPPED",INDEX(Settings!$B$41:$B$50,MATCH(O2812,Settings!$A$41:$A$50,0))&amp;""),"UNMAPPED"))</f>
        <v/>
      </c>
      <c r="Q2812" s="38" t="n">
        <f aca="false">IF($M2812="",0,N(INDEX($A2812:$J2812,$Q$6)))</f>
        <v>0</v>
      </c>
      <c r="R2812" s="39" t="str">
        <f aca="false">IF($M2812="","",INDEX($A2812:$J2812,$R$6))</f>
        <v/>
      </c>
      <c r="S2812" s="37" t="str">
        <f aca="false">IF($M2812="","",IFERROR(INDEX(Settings!$B$27:$B$36,MATCH(L2812,Settings!$A$27:$A$36,0))&amp;"","UNMAPPED"))</f>
        <v/>
      </c>
      <c r="T2812" s="37" t="str">
        <f aca="false">IF($M2812="","",IF(NOT(ISNUMBER(R2812)),"NO DATE",IF(S2812="Won",IF(R2812&gt;Settings!$B$5,"Backlog","Delivered"),IF(S2812="Open",IF(R2812&gt;Settings!$B$5,"Pipeline","Overdue"),IF(S2812="Lost","Lost","UNMAPPED")))))</f>
        <v/>
      </c>
      <c r="U2812" s="40" t="n">
        <f aca="false">IF(T2812="Backlog",1,IF(OR(T2812="Pipeline",T2812="Overdue"),N(INDEX(Settings!$C$27:$C$36,MATCH(L2812,Settings!$A$27:$A$36,0))),0))</f>
        <v>0</v>
      </c>
      <c r="V2812" s="38" t="n">
        <f aca="false">Q2812*U2812</f>
        <v>0</v>
      </c>
      <c r="W2812" s="41" t="str">
        <f aca="false">IF($M2812="","",IF(T2812="Overdue",IF(Settings!$B$8="Yes",Settings!$B$7,""),IF(ISNUMBER(R2812),DATE(YEAR(R2812),MONTH(R2812),1),"")))</f>
        <v/>
      </c>
      <c r="X2812" s="38" t="n">
        <f aca="false">IF(AND(OR(T2812="Backlog",T2812="Pipeline",T2812="Overdue"),ISNUMBER(W2812)),IF(W2812&lt;=Settings!$B$6,V2812,0),0)</f>
        <v>0</v>
      </c>
      <c r="Y2812" s="38" t="n">
        <f aca="false">IF(AND(OR(T2812="Backlog",T2812="Pipeline",T2812="Overdue"),ISNUMBER(W2812)),IF(W2812&lt;=Settings!$B$6,Q2812,0),0)</f>
        <v>0</v>
      </c>
      <c r="Z2812" s="38" t="n">
        <f aca="false">IF(Y2812=0,0,IF(T2812="Backlog",Q2812,Q2812*Dashboard!$C$10))</f>
        <v>0</v>
      </c>
      <c r="AA2812" s="37" t="n">
        <f aca="false">IF($N2812="",0,IF(COUNTIF(Dashboard!$C$13:$C$22,$N2812)&gt;0,1,0))</f>
        <v>0</v>
      </c>
      <c r="AB2812" s="37" t="str">
        <f aca="false">IF($N2812="","",IF(COUNTIF($N$8:$N2812,$N2812)=1,MAX($AB$7:$AB2811)+1,""))</f>
        <v/>
      </c>
    </row>
    <row r="2813" customFormat="false" ht="15" hidden="false" customHeight="false" outlineLevel="0" collapsed="false">
      <c r="L2813" s="37" t="str">
        <f aca="false">IF(INDEX($A2813:$J2813,$L$6)&lt;&gt;"",TRIM(LEFT(INDEX($A2813:$J2813,$L$6),FIND("(",INDEX($A2813:$J2813,$L$6)&amp;"(")-1)),L2812)</f>
        <v>Building Value Proposition</v>
      </c>
      <c r="M2813" s="37" t="str">
        <f aca="false">IF(INDEX($A2813:$J2813,$M$6)="","",INDEX($A2813:$J2813,$M$6)&amp;"")</f>
        <v/>
      </c>
      <c r="N2813" s="37" t="str">
        <f aca="false">IF($M2813="","",TRIM(INDEX($A2813:$J2813,$N$6)&amp;""))</f>
        <v/>
      </c>
      <c r="O2813" s="37" t="str">
        <f aca="false">IF($M2813="","",TRIM(INDEX($A2813:$J2813,$O$6)&amp;""))</f>
        <v/>
      </c>
      <c r="P2813" s="37" t="str">
        <f aca="false">IF($M2813="","",IFERROR(IF(INDEX(Settings!$B$41:$B$50,MATCH(O2813,Settings!$A$41:$A$50,0))&amp;""="","UNMAPPED",INDEX(Settings!$B$41:$B$50,MATCH(O2813,Settings!$A$41:$A$50,0))&amp;""),"UNMAPPED"))</f>
        <v/>
      </c>
      <c r="Q2813" s="38" t="n">
        <f aca="false">IF($M2813="",0,N(INDEX($A2813:$J2813,$Q$6)))</f>
        <v>0</v>
      </c>
      <c r="R2813" s="39" t="str">
        <f aca="false">IF($M2813="","",INDEX($A2813:$J2813,$R$6))</f>
        <v/>
      </c>
      <c r="S2813" s="37" t="str">
        <f aca="false">IF($M2813="","",IFERROR(INDEX(Settings!$B$27:$B$36,MATCH(L2813,Settings!$A$27:$A$36,0))&amp;"","UNMAPPED"))</f>
        <v/>
      </c>
      <c r="T2813" s="37" t="str">
        <f aca="false">IF($M2813="","",IF(NOT(ISNUMBER(R2813)),"NO DATE",IF(S2813="Won",IF(R2813&gt;Settings!$B$5,"Backlog","Delivered"),IF(S2813="Open",IF(R2813&gt;Settings!$B$5,"Pipeline","Overdue"),IF(S2813="Lost","Lost","UNMAPPED")))))</f>
        <v/>
      </c>
      <c r="U2813" s="40" t="n">
        <f aca="false">IF(T2813="Backlog",1,IF(OR(T2813="Pipeline",T2813="Overdue"),N(INDEX(Settings!$C$27:$C$36,MATCH(L2813,Settings!$A$27:$A$36,0))),0))</f>
        <v>0</v>
      </c>
      <c r="V2813" s="38" t="n">
        <f aca="false">Q2813*U2813</f>
        <v>0</v>
      </c>
      <c r="W2813" s="41" t="str">
        <f aca="false">IF($M2813="","",IF(T2813="Overdue",IF(Settings!$B$8="Yes",Settings!$B$7,""),IF(ISNUMBER(R2813),DATE(YEAR(R2813),MONTH(R2813),1),"")))</f>
        <v/>
      </c>
      <c r="X2813" s="38" t="n">
        <f aca="false">IF(AND(OR(T2813="Backlog",T2813="Pipeline",T2813="Overdue"),ISNUMBER(W2813)),IF(W2813&lt;=Settings!$B$6,V2813,0),0)</f>
        <v>0</v>
      </c>
      <c r="Y2813" s="38" t="n">
        <f aca="false">IF(AND(OR(T2813="Backlog",T2813="Pipeline",T2813="Overdue"),ISNUMBER(W2813)),IF(W2813&lt;=Settings!$B$6,Q2813,0),0)</f>
        <v>0</v>
      </c>
      <c r="Z2813" s="38" t="n">
        <f aca="false">IF(Y2813=0,0,IF(T2813="Backlog",Q2813,Q2813*Dashboard!$C$10))</f>
        <v>0</v>
      </c>
      <c r="AA2813" s="37" t="n">
        <f aca="false">IF($N2813="",0,IF(COUNTIF(Dashboard!$C$13:$C$22,$N2813)&gt;0,1,0))</f>
        <v>0</v>
      </c>
      <c r="AB2813" s="37" t="str">
        <f aca="false">IF($N2813="","",IF(COUNTIF($N$8:$N2813,$N2813)=1,MAX($AB$7:$AB2812)+1,""))</f>
        <v/>
      </c>
    </row>
    <row r="2814" customFormat="false" ht="15" hidden="false" customHeight="false" outlineLevel="0" collapsed="false">
      <c r="L2814" s="37" t="str">
        <f aca="false">IF(INDEX($A2814:$J2814,$L$6)&lt;&gt;"",TRIM(LEFT(INDEX($A2814:$J2814,$L$6),FIND("(",INDEX($A2814:$J2814,$L$6)&amp;"(")-1)),L2813)</f>
        <v>Building Value Proposition</v>
      </c>
      <c r="M2814" s="37" t="str">
        <f aca="false">IF(INDEX($A2814:$J2814,$M$6)="","",INDEX($A2814:$J2814,$M$6)&amp;"")</f>
        <v/>
      </c>
      <c r="N2814" s="37" t="str">
        <f aca="false">IF($M2814="","",TRIM(INDEX($A2814:$J2814,$N$6)&amp;""))</f>
        <v/>
      </c>
      <c r="O2814" s="37" t="str">
        <f aca="false">IF($M2814="","",TRIM(INDEX($A2814:$J2814,$O$6)&amp;""))</f>
        <v/>
      </c>
      <c r="P2814" s="37" t="str">
        <f aca="false">IF($M2814="","",IFERROR(IF(INDEX(Settings!$B$41:$B$50,MATCH(O2814,Settings!$A$41:$A$50,0))&amp;""="","UNMAPPED",INDEX(Settings!$B$41:$B$50,MATCH(O2814,Settings!$A$41:$A$50,0))&amp;""),"UNMAPPED"))</f>
        <v/>
      </c>
      <c r="Q2814" s="38" t="n">
        <f aca="false">IF($M2814="",0,N(INDEX($A2814:$J2814,$Q$6)))</f>
        <v>0</v>
      </c>
      <c r="R2814" s="39" t="str">
        <f aca="false">IF($M2814="","",INDEX($A2814:$J2814,$R$6))</f>
        <v/>
      </c>
      <c r="S2814" s="37" t="str">
        <f aca="false">IF($M2814="","",IFERROR(INDEX(Settings!$B$27:$B$36,MATCH(L2814,Settings!$A$27:$A$36,0))&amp;"","UNMAPPED"))</f>
        <v/>
      </c>
      <c r="T2814" s="37" t="str">
        <f aca="false">IF($M2814="","",IF(NOT(ISNUMBER(R2814)),"NO DATE",IF(S2814="Won",IF(R2814&gt;Settings!$B$5,"Backlog","Delivered"),IF(S2814="Open",IF(R2814&gt;Settings!$B$5,"Pipeline","Overdue"),IF(S2814="Lost","Lost","UNMAPPED")))))</f>
        <v/>
      </c>
      <c r="U2814" s="40" t="n">
        <f aca="false">IF(T2814="Backlog",1,IF(OR(T2814="Pipeline",T2814="Overdue"),N(INDEX(Settings!$C$27:$C$36,MATCH(L2814,Settings!$A$27:$A$36,0))),0))</f>
        <v>0</v>
      </c>
      <c r="V2814" s="38" t="n">
        <f aca="false">Q2814*U2814</f>
        <v>0</v>
      </c>
      <c r="W2814" s="41" t="str">
        <f aca="false">IF($M2814="","",IF(T2814="Overdue",IF(Settings!$B$8="Yes",Settings!$B$7,""),IF(ISNUMBER(R2814),DATE(YEAR(R2814),MONTH(R2814),1),"")))</f>
        <v/>
      </c>
      <c r="X2814" s="38" t="n">
        <f aca="false">IF(AND(OR(T2814="Backlog",T2814="Pipeline",T2814="Overdue"),ISNUMBER(W2814)),IF(W2814&lt;=Settings!$B$6,V2814,0),0)</f>
        <v>0</v>
      </c>
      <c r="Y2814" s="38" t="n">
        <f aca="false">IF(AND(OR(T2814="Backlog",T2814="Pipeline",T2814="Overdue"),ISNUMBER(W2814)),IF(W2814&lt;=Settings!$B$6,Q2814,0),0)</f>
        <v>0</v>
      </c>
      <c r="Z2814" s="38" t="n">
        <f aca="false">IF(Y2814=0,0,IF(T2814="Backlog",Q2814,Q2814*Dashboard!$C$10))</f>
        <v>0</v>
      </c>
      <c r="AA2814" s="37" t="n">
        <f aca="false">IF($N2814="",0,IF(COUNTIF(Dashboard!$C$13:$C$22,$N2814)&gt;0,1,0))</f>
        <v>0</v>
      </c>
      <c r="AB2814" s="37" t="str">
        <f aca="false">IF($N2814="","",IF(COUNTIF($N$8:$N2814,$N2814)=1,MAX($AB$7:$AB2813)+1,""))</f>
        <v/>
      </c>
    </row>
    <row r="2815" customFormat="false" ht="15" hidden="false" customHeight="false" outlineLevel="0" collapsed="false">
      <c r="L2815" s="37" t="str">
        <f aca="false">IF(INDEX($A2815:$J2815,$L$6)&lt;&gt;"",TRIM(LEFT(INDEX($A2815:$J2815,$L$6),FIND("(",INDEX($A2815:$J2815,$L$6)&amp;"(")-1)),L2814)</f>
        <v>Building Value Proposition</v>
      </c>
      <c r="M2815" s="37" t="str">
        <f aca="false">IF(INDEX($A2815:$J2815,$M$6)="","",INDEX($A2815:$J2815,$M$6)&amp;"")</f>
        <v/>
      </c>
      <c r="N2815" s="37" t="str">
        <f aca="false">IF($M2815="","",TRIM(INDEX($A2815:$J2815,$N$6)&amp;""))</f>
        <v/>
      </c>
      <c r="O2815" s="37" t="str">
        <f aca="false">IF($M2815="","",TRIM(INDEX($A2815:$J2815,$O$6)&amp;""))</f>
        <v/>
      </c>
      <c r="P2815" s="37" t="str">
        <f aca="false">IF($M2815="","",IFERROR(IF(INDEX(Settings!$B$41:$B$50,MATCH(O2815,Settings!$A$41:$A$50,0))&amp;""="","UNMAPPED",INDEX(Settings!$B$41:$B$50,MATCH(O2815,Settings!$A$41:$A$50,0))&amp;""),"UNMAPPED"))</f>
        <v/>
      </c>
      <c r="Q2815" s="38" t="n">
        <f aca="false">IF($M2815="",0,N(INDEX($A2815:$J2815,$Q$6)))</f>
        <v>0</v>
      </c>
      <c r="R2815" s="39" t="str">
        <f aca="false">IF($M2815="","",INDEX($A2815:$J2815,$R$6))</f>
        <v/>
      </c>
      <c r="S2815" s="37" t="str">
        <f aca="false">IF($M2815="","",IFERROR(INDEX(Settings!$B$27:$B$36,MATCH(L2815,Settings!$A$27:$A$36,0))&amp;"","UNMAPPED"))</f>
        <v/>
      </c>
      <c r="T2815" s="37" t="str">
        <f aca="false">IF($M2815="","",IF(NOT(ISNUMBER(R2815)),"NO DATE",IF(S2815="Won",IF(R2815&gt;Settings!$B$5,"Backlog","Delivered"),IF(S2815="Open",IF(R2815&gt;Settings!$B$5,"Pipeline","Overdue"),IF(S2815="Lost","Lost","UNMAPPED")))))</f>
        <v/>
      </c>
      <c r="U2815" s="40" t="n">
        <f aca="false">IF(T2815="Backlog",1,IF(OR(T2815="Pipeline",T2815="Overdue"),N(INDEX(Settings!$C$27:$C$36,MATCH(L2815,Settings!$A$27:$A$36,0))),0))</f>
        <v>0</v>
      </c>
      <c r="V2815" s="38" t="n">
        <f aca="false">Q2815*U2815</f>
        <v>0</v>
      </c>
      <c r="W2815" s="41" t="str">
        <f aca="false">IF($M2815="","",IF(T2815="Overdue",IF(Settings!$B$8="Yes",Settings!$B$7,""),IF(ISNUMBER(R2815),DATE(YEAR(R2815),MONTH(R2815),1),"")))</f>
        <v/>
      </c>
      <c r="X2815" s="38" t="n">
        <f aca="false">IF(AND(OR(T2815="Backlog",T2815="Pipeline",T2815="Overdue"),ISNUMBER(W2815)),IF(W2815&lt;=Settings!$B$6,V2815,0),0)</f>
        <v>0</v>
      </c>
      <c r="Y2815" s="38" t="n">
        <f aca="false">IF(AND(OR(T2815="Backlog",T2815="Pipeline",T2815="Overdue"),ISNUMBER(W2815)),IF(W2815&lt;=Settings!$B$6,Q2815,0),0)</f>
        <v>0</v>
      </c>
      <c r="Z2815" s="38" t="n">
        <f aca="false">IF(Y2815=0,0,IF(T2815="Backlog",Q2815,Q2815*Dashboard!$C$10))</f>
        <v>0</v>
      </c>
      <c r="AA2815" s="37" t="n">
        <f aca="false">IF($N2815="",0,IF(COUNTIF(Dashboard!$C$13:$C$22,$N2815)&gt;0,1,0))</f>
        <v>0</v>
      </c>
      <c r="AB2815" s="37" t="str">
        <f aca="false">IF($N2815="","",IF(COUNTIF($N$8:$N2815,$N2815)=1,MAX($AB$7:$AB2814)+1,""))</f>
        <v/>
      </c>
    </row>
    <row r="2816" customFormat="false" ht="15" hidden="false" customHeight="false" outlineLevel="0" collapsed="false">
      <c r="L2816" s="37" t="str">
        <f aca="false">IF(INDEX($A2816:$J2816,$L$6)&lt;&gt;"",TRIM(LEFT(INDEX($A2816:$J2816,$L$6),FIND("(",INDEX($A2816:$J2816,$L$6)&amp;"(")-1)),L2815)</f>
        <v>Building Value Proposition</v>
      </c>
      <c r="M2816" s="37" t="str">
        <f aca="false">IF(INDEX($A2816:$J2816,$M$6)="","",INDEX($A2816:$J2816,$M$6)&amp;"")</f>
        <v/>
      </c>
      <c r="N2816" s="37" t="str">
        <f aca="false">IF($M2816="","",TRIM(INDEX($A2816:$J2816,$N$6)&amp;""))</f>
        <v/>
      </c>
      <c r="O2816" s="37" t="str">
        <f aca="false">IF($M2816="","",TRIM(INDEX($A2816:$J2816,$O$6)&amp;""))</f>
        <v/>
      </c>
      <c r="P2816" s="37" t="str">
        <f aca="false">IF($M2816="","",IFERROR(IF(INDEX(Settings!$B$41:$B$50,MATCH(O2816,Settings!$A$41:$A$50,0))&amp;""="","UNMAPPED",INDEX(Settings!$B$41:$B$50,MATCH(O2816,Settings!$A$41:$A$50,0))&amp;""),"UNMAPPED"))</f>
        <v/>
      </c>
      <c r="Q2816" s="38" t="n">
        <f aca="false">IF($M2816="",0,N(INDEX($A2816:$J2816,$Q$6)))</f>
        <v>0</v>
      </c>
      <c r="R2816" s="39" t="str">
        <f aca="false">IF($M2816="","",INDEX($A2816:$J2816,$R$6))</f>
        <v/>
      </c>
      <c r="S2816" s="37" t="str">
        <f aca="false">IF($M2816="","",IFERROR(INDEX(Settings!$B$27:$B$36,MATCH(L2816,Settings!$A$27:$A$36,0))&amp;"","UNMAPPED"))</f>
        <v/>
      </c>
      <c r="T2816" s="37" t="str">
        <f aca="false">IF($M2816="","",IF(NOT(ISNUMBER(R2816)),"NO DATE",IF(S2816="Won",IF(R2816&gt;Settings!$B$5,"Backlog","Delivered"),IF(S2816="Open",IF(R2816&gt;Settings!$B$5,"Pipeline","Overdue"),IF(S2816="Lost","Lost","UNMAPPED")))))</f>
        <v/>
      </c>
      <c r="U2816" s="40" t="n">
        <f aca="false">IF(T2816="Backlog",1,IF(OR(T2816="Pipeline",T2816="Overdue"),N(INDEX(Settings!$C$27:$C$36,MATCH(L2816,Settings!$A$27:$A$36,0))),0))</f>
        <v>0</v>
      </c>
      <c r="V2816" s="38" t="n">
        <f aca="false">Q2816*U2816</f>
        <v>0</v>
      </c>
      <c r="W2816" s="41" t="str">
        <f aca="false">IF($M2816="","",IF(T2816="Overdue",IF(Settings!$B$8="Yes",Settings!$B$7,""),IF(ISNUMBER(R2816),DATE(YEAR(R2816),MONTH(R2816),1),"")))</f>
        <v/>
      </c>
      <c r="X2816" s="38" t="n">
        <f aca="false">IF(AND(OR(T2816="Backlog",T2816="Pipeline",T2816="Overdue"),ISNUMBER(W2816)),IF(W2816&lt;=Settings!$B$6,V2816,0),0)</f>
        <v>0</v>
      </c>
      <c r="Y2816" s="38" t="n">
        <f aca="false">IF(AND(OR(T2816="Backlog",T2816="Pipeline",T2816="Overdue"),ISNUMBER(W2816)),IF(W2816&lt;=Settings!$B$6,Q2816,0),0)</f>
        <v>0</v>
      </c>
      <c r="Z2816" s="38" t="n">
        <f aca="false">IF(Y2816=0,0,IF(T2816="Backlog",Q2816,Q2816*Dashboard!$C$10))</f>
        <v>0</v>
      </c>
      <c r="AA2816" s="37" t="n">
        <f aca="false">IF($N2816="",0,IF(COUNTIF(Dashboard!$C$13:$C$22,$N2816)&gt;0,1,0))</f>
        <v>0</v>
      </c>
      <c r="AB2816" s="37" t="str">
        <f aca="false">IF($N2816="","",IF(COUNTIF($N$8:$N2816,$N2816)=1,MAX($AB$7:$AB2815)+1,""))</f>
        <v/>
      </c>
    </row>
    <row r="2817" customFormat="false" ht="15" hidden="false" customHeight="false" outlineLevel="0" collapsed="false">
      <c r="L2817" s="37" t="str">
        <f aca="false">IF(INDEX($A2817:$J2817,$L$6)&lt;&gt;"",TRIM(LEFT(INDEX($A2817:$J2817,$L$6),FIND("(",INDEX($A2817:$J2817,$L$6)&amp;"(")-1)),L2816)</f>
        <v>Building Value Proposition</v>
      </c>
      <c r="M2817" s="37" t="str">
        <f aca="false">IF(INDEX($A2817:$J2817,$M$6)="","",INDEX($A2817:$J2817,$M$6)&amp;"")</f>
        <v/>
      </c>
      <c r="N2817" s="37" t="str">
        <f aca="false">IF($M2817="","",TRIM(INDEX($A2817:$J2817,$N$6)&amp;""))</f>
        <v/>
      </c>
      <c r="O2817" s="37" t="str">
        <f aca="false">IF($M2817="","",TRIM(INDEX($A2817:$J2817,$O$6)&amp;""))</f>
        <v/>
      </c>
      <c r="P2817" s="37" t="str">
        <f aca="false">IF($M2817="","",IFERROR(IF(INDEX(Settings!$B$41:$B$50,MATCH(O2817,Settings!$A$41:$A$50,0))&amp;""="","UNMAPPED",INDEX(Settings!$B$41:$B$50,MATCH(O2817,Settings!$A$41:$A$50,0))&amp;""),"UNMAPPED"))</f>
        <v/>
      </c>
      <c r="Q2817" s="38" t="n">
        <f aca="false">IF($M2817="",0,N(INDEX($A2817:$J2817,$Q$6)))</f>
        <v>0</v>
      </c>
      <c r="R2817" s="39" t="str">
        <f aca="false">IF($M2817="","",INDEX($A2817:$J2817,$R$6))</f>
        <v/>
      </c>
      <c r="S2817" s="37" t="str">
        <f aca="false">IF($M2817="","",IFERROR(INDEX(Settings!$B$27:$B$36,MATCH(L2817,Settings!$A$27:$A$36,0))&amp;"","UNMAPPED"))</f>
        <v/>
      </c>
      <c r="T2817" s="37" t="str">
        <f aca="false">IF($M2817="","",IF(NOT(ISNUMBER(R2817)),"NO DATE",IF(S2817="Won",IF(R2817&gt;Settings!$B$5,"Backlog","Delivered"),IF(S2817="Open",IF(R2817&gt;Settings!$B$5,"Pipeline","Overdue"),IF(S2817="Lost","Lost","UNMAPPED")))))</f>
        <v/>
      </c>
      <c r="U2817" s="40" t="n">
        <f aca="false">IF(T2817="Backlog",1,IF(OR(T2817="Pipeline",T2817="Overdue"),N(INDEX(Settings!$C$27:$C$36,MATCH(L2817,Settings!$A$27:$A$36,0))),0))</f>
        <v>0</v>
      </c>
      <c r="V2817" s="38" t="n">
        <f aca="false">Q2817*U2817</f>
        <v>0</v>
      </c>
      <c r="W2817" s="41" t="str">
        <f aca="false">IF($M2817="","",IF(T2817="Overdue",IF(Settings!$B$8="Yes",Settings!$B$7,""),IF(ISNUMBER(R2817),DATE(YEAR(R2817),MONTH(R2817),1),"")))</f>
        <v/>
      </c>
      <c r="X2817" s="38" t="n">
        <f aca="false">IF(AND(OR(T2817="Backlog",T2817="Pipeline",T2817="Overdue"),ISNUMBER(W2817)),IF(W2817&lt;=Settings!$B$6,V2817,0),0)</f>
        <v>0</v>
      </c>
      <c r="Y2817" s="38" t="n">
        <f aca="false">IF(AND(OR(T2817="Backlog",T2817="Pipeline",T2817="Overdue"),ISNUMBER(W2817)),IF(W2817&lt;=Settings!$B$6,Q2817,0),0)</f>
        <v>0</v>
      </c>
      <c r="Z2817" s="38" t="n">
        <f aca="false">IF(Y2817=0,0,IF(T2817="Backlog",Q2817,Q2817*Dashboard!$C$10))</f>
        <v>0</v>
      </c>
      <c r="AA2817" s="37" t="n">
        <f aca="false">IF($N2817="",0,IF(COUNTIF(Dashboard!$C$13:$C$22,$N2817)&gt;0,1,0))</f>
        <v>0</v>
      </c>
      <c r="AB2817" s="37" t="str">
        <f aca="false">IF($N2817="","",IF(COUNTIF($N$8:$N2817,$N2817)=1,MAX($AB$7:$AB2816)+1,""))</f>
        <v/>
      </c>
    </row>
    <row r="2818" customFormat="false" ht="15" hidden="false" customHeight="false" outlineLevel="0" collapsed="false">
      <c r="L2818" s="37" t="str">
        <f aca="false">IF(INDEX($A2818:$J2818,$L$6)&lt;&gt;"",TRIM(LEFT(INDEX($A2818:$J2818,$L$6),FIND("(",INDEX($A2818:$J2818,$L$6)&amp;"(")-1)),L2817)</f>
        <v>Building Value Proposition</v>
      </c>
      <c r="M2818" s="37" t="str">
        <f aca="false">IF(INDEX($A2818:$J2818,$M$6)="","",INDEX($A2818:$J2818,$M$6)&amp;"")</f>
        <v/>
      </c>
      <c r="N2818" s="37" t="str">
        <f aca="false">IF($M2818="","",TRIM(INDEX($A2818:$J2818,$N$6)&amp;""))</f>
        <v/>
      </c>
      <c r="O2818" s="37" t="str">
        <f aca="false">IF($M2818="","",TRIM(INDEX($A2818:$J2818,$O$6)&amp;""))</f>
        <v/>
      </c>
      <c r="P2818" s="37" t="str">
        <f aca="false">IF($M2818="","",IFERROR(IF(INDEX(Settings!$B$41:$B$50,MATCH(O2818,Settings!$A$41:$A$50,0))&amp;""="","UNMAPPED",INDEX(Settings!$B$41:$B$50,MATCH(O2818,Settings!$A$41:$A$50,0))&amp;""),"UNMAPPED"))</f>
        <v/>
      </c>
      <c r="Q2818" s="38" t="n">
        <f aca="false">IF($M2818="",0,N(INDEX($A2818:$J2818,$Q$6)))</f>
        <v>0</v>
      </c>
      <c r="R2818" s="39" t="str">
        <f aca="false">IF($M2818="","",INDEX($A2818:$J2818,$R$6))</f>
        <v/>
      </c>
      <c r="S2818" s="37" t="str">
        <f aca="false">IF($M2818="","",IFERROR(INDEX(Settings!$B$27:$B$36,MATCH(L2818,Settings!$A$27:$A$36,0))&amp;"","UNMAPPED"))</f>
        <v/>
      </c>
      <c r="T2818" s="37" t="str">
        <f aca="false">IF($M2818="","",IF(NOT(ISNUMBER(R2818)),"NO DATE",IF(S2818="Won",IF(R2818&gt;Settings!$B$5,"Backlog","Delivered"),IF(S2818="Open",IF(R2818&gt;Settings!$B$5,"Pipeline","Overdue"),IF(S2818="Lost","Lost","UNMAPPED")))))</f>
        <v/>
      </c>
      <c r="U2818" s="40" t="n">
        <f aca="false">IF(T2818="Backlog",1,IF(OR(T2818="Pipeline",T2818="Overdue"),N(INDEX(Settings!$C$27:$C$36,MATCH(L2818,Settings!$A$27:$A$36,0))),0))</f>
        <v>0</v>
      </c>
      <c r="V2818" s="38" t="n">
        <f aca="false">Q2818*U2818</f>
        <v>0</v>
      </c>
      <c r="W2818" s="41" t="str">
        <f aca="false">IF($M2818="","",IF(T2818="Overdue",IF(Settings!$B$8="Yes",Settings!$B$7,""),IF(ISNUMBER(R2818),DATE(YEAR(R2818),MONTH(R2818),1),"")))</f>
        <v/>
      </c>
      <c r="X2818" s="38" t="n">
        <f aca="false">IF(AND(OR(T2818="Backlog",T2818="Pipeline",T2818="Overdue"),ISNUMBER(W2818)),IF(W2818&lt;=Settings!$B$6,V2818,0),0)</f>
        <v>0</v>
      </c>
      <c r="Y2818" s="38" t="n">
        <f aca="false">IF(AND(OR(T2818="Backlog",T2818="Pipeline",T2818="Overdue"),ISNUMBER(W2818)),IF(W2818&lt;=Settings!$B$6,Q2818,0),0)</f>
        <v>0</v>
      </c>
      <c r="Z2818" s="38" t="n">
        <f aca="false">IF(Y2818=0,0,IF(T2818="Backlog",Q2818,Q2818*Dashboard!$C$10))</f>
        <v>0</v>
      </c>
      <c r="AA2818" s="37" t="n">
        <f aca="false">IF($N2818="",0,IF(COUNTIF(Dashboard!$C$13:$C$22,$N2818)&gt;0,1,0))</f>
        <v>0</v>
      </c>
      <c r="AB2818" s="37" t="str">
        <f aca="false">IF($N2818="","",IF(COUNTIF($N$8:$N2818,$N2818)=1,MAX($AB$7:$AB2817)+1,""))</f>
        <v/>
      </c>
    </row>
    <row r="2819" customFormat="false" ht="15" hidden="false" customHeight="false" outlineLevel="0" collapsed="false">
      <c r="L2819" s="37" t="str">
        <f aca="false">IF(INDEX($A2819:$J2819,$L$6)&lt;&gt;"",TRIM(LEFT(INDEX($A2819:$J2819,$L$6),FIND("(",INDEX($A2819:$J2819,$L$6)&amp;"(")-1)),L2818)</f>
        <v>Building Value Proposition</v>
      </c>
      <c r="M2819" s="37" t="str">
        <f aca="false">IF(INDEX($A2819:$J2819,$M$6)="","",INDEX($A2819:$J2819,$M$6)&amp;"")</f>
        <v/>
      </c>
      <c r="N2819" s="37" t="str">
        <f aca="false">IF($M2819="","",TRIM(INDEX($A2819:$J2819,$N$6)&amp;""))</f>
        <v/>
      </c>
      <c r="O2819" s="37" t="str">
        <f aca="false">IF($M2819="","",TRIM(INDEX($A2819:$J2819,$O$6)&amp;""))</f>
        <v/>
      </c>
      <c r="P2819" s="37" t="str">
        <f aca="false">IF($M2819="","",IFERROR(IF(INDEX(Settings!$B$41:$B$50,MATCH(O2819,Settings!$A$41:$A$50,0))&amp;""="","UNMAPPED",INDEX(Settings!$B$41:$B$50,MATCH(O2819,Settings!$A$41:$A$50,0))&amp;""),"UNMAPPED"))</f>
        <v/>
      </c>
      <c r="Q2819" s="38" t="n">
        <f aca="false">IF($M2819="",0,N(INDEX($A2819:$J2819,$Q$6)))</f>
        <v>0</v>
      </c>
      <c r="R2819" s="39" t="str">
        <f aca="false">IF($M2819="","",INDEX($A2819:$J2819,$R$6))</f>
        <v/>
      </c>
      <c r="S2819" s="37" t="str">
        <f aca="false">IF($M2819="","",IFERROR(INDEX(Settings!$B$27:$B$36,MATCH(L2819,Settings!$A$27:$A$36,0))&amp;"","UNMAPPED"))</f>
        <v/>
      </c>
      <c r="T2819" s="37" t="str">
        <f aca="false">IF($M2819="","",IF(NOT(ISNUMBER(R2819)),"NO DATE",IF(S2819="Won",IF(R2819&gt;Settings!$B$5,"Backlog","Delivered"),IF(S2819="Open",IF(R2819&gt;Settings!$B$5,"Pipeline","Overdue"),IF(S2819="Lost","Lost","UNMAPPED")))))</f>
        <v/>
      </c>
      <c r="U2819" s="40" t="n">
        <f aca="false">IF(T2819="Backlog",1,IF(OR(T2819="Pipeline",T2819="Overdue"),N(INDEX(Settings!$C$27:$C$36,MATCH(L2819,Settings!$A$27:$A$36,0))),0))</f>
        <v>0</v>
      </c>
      <c r="V2819" s="38" t="n">
        <f aca="false">Q2819*U2819</f>
        <v>0</v>
      </c>
      <c r="W2819" s="41" t="str">
        <f aca="false">IF($M2819="","",IF(T2819="Overdue",IF(Settings!$B$8="Yes",Settings!$B$7,""),IF(ISNUMBER(R2819),DATE(YEAR(R2819),MONTH(R2819),1),"")))</f>
        <v/>
      </c>
      <c r="X2819" s="38" t="n">
        <f aca="false">IF(AND(OR(T2819="Backlog",T2819="Pipeline",T2819="Overdue"),ISNUMBER(W2819)),IF(W2819&lt;=Settings!$B$6,V2819,0),0)</f>
        <v>0</v>
      </c>
      <c r="Y2819" s="38" t="n">
        <f aca="false">IF(AND(OR(T2819="Backlog",T2819="Pipeline",T2819="Overdue"),ISNUMBER(W2819)),IF(W2819&lt;=Settings!$B$6,Q2819,0),0)</f>
        <v>0</v>
      </c>
      <c r="Z2819" s="38" t="n">
        <f aca="false">IF(Y2819=0,0,IF(T2819="Backlog",Q2819,Q2819*Dashboard!$C$10))</f>
        <v>0</v>
      </c>
      <c r="AA2819" s="37" t="n">
        <f aca="false">IF($N2819="",0,IF(COUNTIF(Dashboard!$C$13:$C$22,$N2819)&gt;0,1,0))</f>
        <v>0</v>
      </c>
      <c r="AB2819" s="37" t="str">
        <f aca="false">IF($N2819="","",IF(COUNTIF($N$8:$N2819,$N2819)=1,MAX($AB$7:$AB2818)+1,""))</f>
        <v/>
      </c>
    </row>
    <row r="2820" customFormat="false" ht="15" hidden="false" customHeight="false" outlineLevel="0" collapsed="false">
      <c r="L2820" s="37" t="str">
        <f aca="false">IF(INDEX($A2820:$J2820,$L$6)&lt;&gt;"",TRIM(LEFT(INDEX($A2820:$J2820,$L$6),FIND("(",INDEX($A2820:$J2820,$L$6)&amp;"(")-1)),L2819)</f>
        <v>Building Value Proposition</v>
      </c>
      <c r="M2820" s="37" t="str">
        <f aca="false">IF(INDEX($A2820:$J2820,$M$6)="","",INDEX($A2820:$J2820,$M$6)&amp;"")</f>
        <v/>
      </c>
      <c r="N2820" s="37" t="str">
        <f aca="false">IF($M2820="","",TRIM(INDEX($A2820:$J2820,$N$6)&amp;""))</f>
        <v/>
      </c>
      <c r="O2820" s="37" t="str">
        <f aca="false">IF($M2820="","",TRIM(INDEX($A2820:$J2820,$O$6)&amp;""))</f>
        <v/>
      </c>
      <c r="P2820" s="37" t="str">
        <f aca="false">IF($M2820="","",IFERROR(IF(INDEX(Settings!$B$41:$B$50,MATCH(O2820,Settings!$A$41:$A$50,0))&amp;""="","UNMAPPED",INDEX(Settings!$B$41:$B$50,MATCH(O2820,Settings!$A$41:$A$50,0))&amp;""),"UNMAPPED"))</f>
        <v/>
      </c>
      <c r="Q2820" s="38" t="n">
        <f aca="false">IF($M2820="",0,N(INDEX($A2820:$J2820,$Q$6)))</f>
        <v>0</v>
      </c>
      <c r="R2820" s="39" t="str">
        <f aca="false">IF($M2820="","",INDEX($A2820:$J2820,$R$6))</f>
        <v/>
      </c>
      <c r="S2820" s="37" t="str">
        <f aca="false">IF($M2820="","",IFERROR(INDEX(Settings!$B$27:$B$36,MATCH(L2820,Settings!$A$27:$A$36,0))&amp;"","UNMAPPED"))</f>
        <v/>
      </c>
      <c r="T2820" s="37" t="str">
        <f aca="false">IF($M2820="","",IF(NOT(ISNUMBER(R2820)),"NO DATE",IF(S2820="Won",IF(R2820&gt;Settings!$B$5,"Backlog","Delivered"),IF(S2820="Open",IF(R2820&gt;Settings!$B$5,"Pipeline","Overdue"),IF(S2820="Lost","Lost","UNMAPPED")))))</f>
        <v/>
      </c>
      <c r="U2820" s="40" t="n">
        <f aca="false">IF(T2820="Backlog",1,IF(OR(T2820="Pipeline",T2820="Overdue"),N(INDEX(Settings!$C$27:$C$36,MATCH(L2820,Settings!$A$27:$A$36,0))),0))</f>
        <v>0</v>
      </c>
      <c r="V2820" s="38" t="n">
        <f aca="false">Q2820*U2820</f>
        <v>0</v>
      </c>
      <c r="W2820" s="41" t="str">
        <f aca="false">IF($M2820="","",IF(T2820="Overdue",IF(Settings!$B$8="Yes",Settings!$B$7,""),IF(ISNUMBER(R2820),DATE(YEAR(R2820),MONTH(R2820),1),"")))</f>
        <v/>
      </c>
      <c r="X2820" s="38" t="n">
        <f aca="false">IF(AND(OR(T2820="Backlog",T2820="Pipeline",T2820="Overdue"),ISNUMBER(W2820)),IF(W2820&lt;=Settings!$B$6,V2820,0),0)</f>
        <v>0</v>
      </c>
      <c r="Y2820" s="38" t="n">
        <f aca="false">IF(AND(OR(T2820="Backlog",T2820="Pipeline",T2820="Overdue"),ISNUMBER(W2820)),IF(W2820&lt;=Settings!$B$6,Q2820,0),0)</f>
        <v>0</v>
      </c>
      <c r="Z2820" s="38" t="n">
        <f aca="false">IF(Y2820=0,0,IF(T2820="Backlog",Q2820,Q2820*Dashboard!$C$10))</f>
        <v>0</v>
      </c>
      <c r="AA2820" s="37" t="n">
        <f aca="false">IF($N2820="",0,IF(COUNTIF(Dashboard!$C$13:$C$22,$N2820)&gt;0,1,0))</f>
        <v>0</v>
      </c>
      <c r="AB2820" s="37" t="str">
        <f aca="false">IF($N2820="","",IF(COUNTIF($N$8:$N2820,$N2820)=1,MAX($AB$7:$AB2819)+1,""))</f>
        <v/>
      </c>
    </row>
    <row r="2821" customFormat="false" ht="15" hidden="false" customHeight="false" outlineLevel="0" collapsed="false">
      <c r="L2821" s="37" t="str">
        <f aca="false">IF(INDEX($A2821:$J2821,$L$6)&lt;&gt;"",TRIM(LEFT(INDEX($A2821:$J2821,$L$6),FIND("(",INDEX($A2821:$J2821,$L$6)&amp;"(")-1)),L2820)</f>
        <v>Building Value Proposition</v>
      </c>
      <c r="M2821" s="37" t="str">
        <f aca="false">IF(INDEX($A2821:$J2821,$M$6)="","",INDEX($A2821:$J2821,$M$6)&amp;"")</f>
        <v/>
      </c>
      <c r="N2821" s="37" t="str">
        <f aca="false">IF($M2821="","",TRIM(INDEX($A2821:$J2821,$N$6)&amp;""))</f>
        <v/>
      </c>
      <c r="O2821" s="37" t="str">
        <f aca="false">IF($M2821="","",TRIM(INDEX($A2821:$J2821,$O$6)&amp;""))</f>
        <v/>
      </c>
      <c r="P2821" s="37" t="str">
        <f aca="false">IF($M2821="","",IFERROR(IF(INDEX(Settings!$B$41:$B$50,MATCH(O2821,Settings!$A$41:$A$50,0))&amp;""="","UNMAPPED",INDEX(Settings!$B$41:$B$50,MATCH(O2821,Settings!$A$41:$A$50,0))&amp;""),"UNMAPPED"))</f>
        <v/>
      </c>
      <c r="Q2821" s="38" t="n">
        <f aca="false">IF($M2821="",0,N(INDEX($A2821:$J2821,$Q$6)))</f>
        <v>0</v>
      </c>
      <c r="R2821" s="39" t="str">
        <f aca="false">IF($M2821="","",INDEX($A2821:$J2821,$R$6))</f>
        <v/>
      </c>
      <c r="S2821" s="37" t="str">
        <f aca="false">IF($M2821="","",IFERROR(INDEX(Settings!$B$27:$B$36,MATCH(L2821,Settings!$A$27:$A$36,0))&amp;"","UNMAPPED"))</f>
        <v/>
      </c>
      <c r="T2821" s="37" t="str">
        <f aca="false">IF($M2821="","",IF(NOT(ISNUMBER(R2821)),"NO DATE",IF(S2821="Won",IF(R2821&gt;Settings!$B$5,"Backlog","Delivered"),IF(S2821="Open",IF(R2821&gt;Settings!$B$5,"Pipeline","Overdue"),IF(S2821="Lost","Lost","UNMAPPED")))))</f>
        <v/>
      </c>
      <c r="U2821" s="40" t="n">
        <f aca="false">IF(T2821="Backlog",1,IF(OR(T2821="Pipeline",T2821="Overdue"),N(INDEX(Settings!$C$27:$C$36,MATCH(L2821,Settings!$A$27:$A$36,0))),0))</f>
        <v>0</v>
      </c>
      <c r="V2821" s="38" t="n">
        <f aca="false">Q2821*U2821</f>
        <v>0</v>
      </c>
      <c r="W2821" s="41" t="str">
        <f aca="false">IF($M2821="","",IF(T2821="Overdue",IF(Settings!$B$8="Yes",Settings!$B$7,""),IF(ISNUMBER(R2821),DATE(YEAR(R2821),MONTH(R2821),1),"")))</f>
        <v/>
      </c>
      <c r="X2821" s="38" t="n">
        <f aca="false">IF(AND(OR(T2821="Backlog",T2821="Pipeline",T2821="Overdue"),ISNUMBER(W2821)),IF(W2821&lt;=Settings!$B$6,V2821,0),0)</f>
        <v>0</v>
      </c>
      <c r="Y2821" s="38" t="n">
        <f aca="false">IF(AND(OR(T2821="Backlog",T2821="Pipeline",T2821="Overdue"),ISNUMBER(W2821)),IF(W2821&lt;=Settings!$B$6,Q2821,0),0)</f>
        <v>0</v>
      </c>
      <c r="Z2821" s="38" t="n">
        <f aca="false">IF(Y2821=0,0,IF(T2821="Backlog",Q2821,Q2821*Dashboard!$C$10))</f>
        <v>0</v>
      </c>
      <c r="AA2821" s="37" t="n">
        <f aca="false">IF($N2821="",0,IF(COUNTIF(Dashboard!$C$13:$C$22,$N2821)&gt;0,1,0))</f>
        <v>0</v>
      </c>
      <c r="AB2821" s="37" t="str">
        <f aca="false">IF($N2821="","",IF(COUNTIF($N$8:$N2821,$N2821)=1,MAX($AB$7:$AB2820)+1,""))</f>
        <v/>
      </c>
    </row>
    <row r="2822" customFormat="false" ht="15" hidden="false" customHeight="false" outlineLevel="0" collapsed="false">
      <c r="L2822" s="37" t="str">
        <f aca="false">IF(INDEX($A2822:$J2822,$L$6)&lt;&gt;"",TRIM(LEFT(INDEX($A2822:$J2822,$L$6),FIND("(",INDEX($A2822:$J2822,$L$6)&amp;"(")-1)),L2821)</f>
        <v>Building Value Proposition</v>
      </c>
      <c r="M2822" s="37" t="str">
        <f aca="false">IF(INDEX($A2822:$J2822,$M$6)="","",INDEX($A2822:$J2822,$M$6)&amp;"")</f>
        <v/>
      </c>
      <c r="N2822" s="37" t="str">
        <f aca="false">IF($M2822="","",TRIM(INDEX($A2822:$J2822,$N$6)&amp;""))</f>
        <v/>
      </c>
      <c r="O2822" s="37" t="str">
        <f aca="false">IF($M2822="","",TRIM(INDEX($A2822:$J2822,$O$6)&amp;""))</f>
        <v/>
      </c>
      <c r="P2822" s="37" t="str">
        <f aca="false">IF($M2822="","",IFERROR(IF(INDEX(Settings!$B$41:$B$50,MATCH(O2822,Settings!$A$41:$A$50,0))&amp;""="","UNMAPPED",INDEX(Settings!$B$41:$B$50,MATCH(O2822,Settings!$A$41:$A$50,0))&amp;""),"UNMAPPED"))</f>
        <v/>
      </c>
      <c r="Q2822" s="38" t="n">
        <f aca="false">IF($M2822="",0,N(INDEX($A2822:$J2822,$Q$6)))</f>
        <v>0</v>
      </c>
      <c r="R2822" s="39" t="str">
        <f aca="false">IF($M2822="","",INDEX($A2822:$J2822,$R$6))</f>
        <v/>
      </c>
      <c r="S2822" s="37" t="str">
        <f aca="false">IF($M2822="","",IFERROR(INDEX(Settings!$B$27:$B$36,MATCH(L2822,Settings!$A$27:$A$36,0))&amp;"","UNMAPPED"))</f>
        <v/>
      </c>
      <c r="T2822" s="37" t="str">
        <f aca="false">IF($M2822="","",IF(NOT(ISNUMBER(R2822)),"NO DATE",IF(S2822="Won",IF(R2822&gt;Settings!$B$5,"Backlog","Delivered"),IF(S2822="Open",IF(R2822&gt;Settings!$B$5,"Pipeline","Overdue"),IF(S2822="Lost","Lost","UNMAPPED")))))</f>
        <v/>
      </c>
      <c r="U2822" s="40" t="n">
        <f aca="false">IF(T2822="Backlog",1,IF(OR(T2822="Pipeline",T2822="Overdue"),N(INDEX(Settings!$C$27:$C$36,MATCH(L2822,Settings!$A$27:$A$36,0))),0))</f>
        <v>0</v>
      </c>
      <c r="V2822" s="38" t="n">
        <f aca="false">Q2822*U2822</f>
        <v>0</v>
      </c>
      <c r="W2822" s="41" t="str">
        <f aca="false">IF($M2822="","",IF(T2822="Overdue",IF(Settings!$B$8="Yes",Settings!$B$7,""),IF(ISNUMBER(R2822),DATE(YEAR(R2822),MONTH(R2822),1),"")))</f>
        <v/>
      </c>
      <c r="X2822" s="38" t="n">
        <f aca="false">IF(AND(OR(T2822="Backlog",T2822="Pipeline",T2822="Overdue"),ISNUMBER(W2822)),IF(W2822&lt;=Settings!$B$6,V2822,0),0)</f>
        <v>0</v>
      </c>
      <c r="Y2822" s="38" t="n">
        <f aca="false">IF(AND(OR(T2822="Backlog",T2822="Pipeline",T2822="Overdue"),ISNUMBER(W2822)),IF(W2822&lt;=Settings!$B$6,Q2822,0),0)</f>
        <v>0</v>
      </c>
      <c r="Z2822" s="38" t="n">
        <f aca="false">IF(Y2822=0,0,IF(T2822="Backlog",Q2822,Q2822*Dashboard!$C$10))</f>
        <v>0</v>
      </c>
      <c r="AA2822" s="37" t="n">
        <f aca="false">IF($N2822="",0,IF(COUNTIF(Dashboard!$C$13:$C$22,$N2822)&gt;0,1,0))</f>
        <v>0</v>
      </c>
      <c r="AB2822" s="37" t="str">
        <f aca="false">IF($N2822="","",IF(COUNTIF($N$8:$N2822,$N2822)=1,MAX($AB$7:$AB2821)+1,""))</f>
        <v/>
      </c>
    </row>
    <row r="2823" customFormat="false" ht="15" hidden="false" customHeight="false" outlineLevel="0" collapsed="false">
      <c r="L2823" s="37" t="str">
        <f aca="false">IF(INDEX($A2823:$J2823,$L$6)&lt;&gt;"",TRIM(LEFT(INDEX($A2823:$J2823,$L$6),FIND("(",INDEX($A2823:$J2823,$L$6)&amp;"(")-1)),L2822)</f>
        <v>Building Value Proposition</v>
      </c>
      <c r="M2823" s="37" t="str">
        <f aca="false">IF(INDEX($A2823:$J2823,$M$6)="","",INDEX($A2823:$J2823,$M$6)&amp;"")</f>
        <v/>
      </c>
      <c r="N2823" s="37" t="str">
        <f aca="false">IF($M2823="","",TRIM(INDEX($A2823:$J2823,$N$6)&amp;""))</f>
        <v/>
      </c>
      <c r="O2823" s="37" t="str">
        <f aca="false">IF($M2823="","",TRIM(INDEX($A2823:$J2823,$O$6)&amp;""))</f>
        <v/>
      </c>
      <c r="P2823" s="37" t="str">
        <f aca="false">IF($M2823="","",IFERROR(IF(INDEX(Settings!$B$41:$B$50,MATCH(O2823,Settings!$A$41:$A$50,0))&amp;""="","UNMAPPED",INDEX(Settings!$B$41:$B$50,MATCH(O2823,Settings!$A$41:$A$50,0))&amp;""),"UNMAPPED"))</f>
        <v/>
      </c>
      <c r="Q2823" s="38" t="n">
        <f aca="false">IF($M2823="",0,N(INDEX($A2823:$J2823,$Q$6)))</f>
        <v>0</v>
      </c>
      <c r="R2823" s="39" t="str">
        <f aca="false">IF($M2823="","",INDEX($A2823:$J2823,$R$6))</f>
        <v/>
      </c>
      <c r="S2823" s="37" t="str">
        <f aca="false">IF($M2823="","",IFERROR(INDEX(Settings!$B$27:$B$36,MATCH(L2823,Settings!$A$27:$A$36,0))&amp;"","UNMAPPED"))</f>
        <v/>
      </c>
      <c r="T2823" s="37" t="str">
        <f aca="false">IF($M2823="","",IF(NOT(ISNUMBER(R2823)),"NO DATE",IF(S2823="Won",IF(R2823&gt;Settings!$B$5,"Backlog","Delivered"),IF(S2823="Open",IF(R2823&gt;Settings!$B$5,"Pipeline","Overdue"),IF(S2823="Lost","Lost","UNMAPPED")))))</f>
        <v/>
      </c>
      <c r="U2823" s="40" t="n">
        <f aca="false">IF(T2823="Backlog",1,IF(OR(T2823="Pipeline",T2823="Overdue"),N(INDEX(Settings!$C$27:$C$36,MATCH(L2823,Settings!$A$27:$A$36,0))),0))</f>
        <v>0</v>
      </c>
      <c r="V2823" s="38" t="n">
        <f aca="false">Q2823*U2823</f>
        <v>0</v>
      </c>
      <c r="W2823" s="41" t="str">
        <f aca="false">IF($M2823="","",IF(T2823="Overdue",IF(Settings!$B$8="Yes",Settings!$B$7,""),IF(ISNUMBER(R2823),DATE(YEAR(R2823),MONTH(R2823),1),"")))</f>
        <v/>
      </c>
      <c r="X2823" s="38" t="n">
        <f aca="false">IF(AND(OR(T2823="Backlog",T2823="Pipeline",T2823="Overdue"),ISNUMBER(W2823)),IF(W2823&lt;=Settings!$B$6,V2823,0),0)</f>
        <v>0</v>
      </c>
      <c r="Y2823" s="38" t="n">
        <f aca="false">IF(AND(OR(T2823="Backlog",T2823="Pipeline",T2823="Overdue"),ISNUMBER(W2823)),IF(W2823&lt;=Settings!$B$6,Q2823,0),0)</f>
        <v>0</v>
      </c>
      <c r="Z2823" s="38" t="n">
        <f aca="false">IF(Y2823=0,0,IF(T2823="Backlog",Q2823,Q2823*Dashboard!$C$10))</f>
        <v>0</v>
      </c>
      <c r="AA2823" s="37" t="n">
        <f aca="false">IF($N2823="",0,IF(COUNTIF(Dashboard!$C$13:$C$22,$N2823)&gt;0,1,0))</f>
        <v>0</v>
      </c>
      <c r="AB2823" s="37" t="str">
        <f aca="false">IF($N2823="","",IF(COUNTIF($N$8:$N2823,$N2823)=1,MAX($AB$7:$AB2822)+1,""))</f>
        <v/>
      </c>
    </row>
    <row r="2824" customFormat="false" ht="15" hidden="false" customHeight="false" outlineLevel="0" collapsed="false">
      <c r="L2824" s="37" t="str">
        <f aca="false">IF(INDEX($A2824:$J2824,$L$6)&lt;&gt;"",TRIM(LEFT(INDEX($A2824:$J2824,$L$6),FIND("(",INDEX($A2824:$J2824,$L$6)&amp;"(")-1)),L2823)</f>
        <v>Building Value Proposition</v>
      </c>
      <c r="M2824" s="37" t="str">
        <f aca="false">IF(INDEX($A2824:$J2824,$M$6)="","",INDEX($A2824:$J2824,$M$6)&amp;"")</f>
        <v/>
      </c>
      <c r="N2824" s="37" t="str">
        <f aca="false">IF($M2824="","",TRIM(INDEX($A2824:$J2824,$N$6)&amp;""))</f>
        <v/>
      </c>
      <c r="O2824" s="37" t="str">
        <f aca="false">IF($M2824="","",TRIM(INDEX($A2824:$J2824,$O$6)&amp;""))</f>
        <v/>
      </c>
      <c r="P2824" s="37" t="str">
        <f aca="false">IF($M2824="","",IFERROR(IF(INDEX(Settings!$B$41:$B$50,MATCH(O2824,Settings!$A$41:$A$50,0))&amp;""="","UNMAPPED",INDEX(Settings!$B$41:$B$50,MATCH(O2824,Settings!$A$41:$A$50,0))&amp;""),"UNMAPPED"))</f>
        <v/>
      </c>
      <c r="Q2824" s="38" t="n">
        <f aca="false">IF($M2824="",0,N(INDEX($A2824:$J2824,$Q$6)))</f>
        <v>0</v>
      </c>
      <c r="R2824" s="39" t="str">
        <f aca="false">IF($M2824="","",INDEX($A2824:$J2824,$R$6))</f>
        <v/>
      </c>
      <c r="S2824" s="37" t="str">
        <f aca="false">IF($M2824="","",IFERROR(INDEX(Settings!$B$27:$B$36,MATCH(L2824,Settings!$A$27:$A$36,0))&amp;"","UNMAPPED"))</f>
        <v/>
      </c>
      <c r="T2824" s="37" t="str">
        <f aca="false">IF($M2824="","",IF(NOT(ISNUMBER(R2824)),"NO DATE",IF(S2824="Won",IF(R2824&gt;Settings!$B$5,"Backlog","Delivered"),IF(S2824="Open",IF(R2824&gt;Settings!$B$5,"Pipeline","Overdue"),IF(S2824="Lost","Lost","UNMAPPED")))))</f>
        <v/>
      </c>
      <c r="U2824" s="40" t="n">
        <f aca="false">IF(T2824="Backlog",1,IF(OR(T2824="Pipeline",T2824="Overdue"),N(INDEX(Settings!$C$27:$C$36,MATCH(L2824,Settings!$A$27:$A$36,0))),0))</f>
        <v>0</v>
      </c>
      <c r="V2824" s="38" t="n">
        <f aca="false">Q2824*U2824</f>
        <v>0</v>
      </c>
      <c r="W2824" s="41" t="str">
        <f aca="false">IF($M2824="","",IF(T2824="Overdue",IF(Settings!$B$8="Yes",Settings!$B$7,""),IF(ISNUMBER(R2824),DATE(YEAR(R2824),MONTH(R2824),1),"")))</f>
        <v/>
      </c>
      <c r="X2824" s="38" t="n">
        <f aca="false">IF(AND(OR(T2824="Backlog",T2824="Pipeline",T2824="Overdue"),ISNUMBER(W2824)),IF(W2824&lt;=Settings!$B$6,V2824,0),0)</f>
        <v>0</v>
      </c>
      <c r="Y2824" s="38" t="n">
        <f aca="false">IF(AND(OR(T2824="Backlog",T2824="Pipeline",T2824="Overdue"),ISNUMBER(W2824)),IF(W2824&lt;=Settings!$B$6,Q2824,0),0)</f>
        <v>0</v>
      </c>
      <c r="Z2824" s="38" t="n">
        <f aca="false">IF(Y2824=0,0,IF(T2824="Backlog",Q2824,Q2824*Dashboard!$C$10))</f>
        <v>0</v>
      </c>
      <c r="AA2824" s="37" t="n">
        <f aca="false">IF($N2824="",0,IF(COUNTIF(Dashboard!$C$13:$C$22,$N2824)&gt;0,1,0))</f>
        <v>0</v>
      </c>
      <c r="AB2824" s="37" t="str">
        <f aca="false">IF($N2824="","",IF(COUNTIF($N$8:$N2824,$N2824)=1,MAX($AB$7:$AB2823)+1,""))</f>
        <v/>
      </c>
    </row>
    <row r="2825" customFormat="false" ht="15" hidden="false" customHeight="false" outlineLevel="0" collapsed="false">
      <c r="L2825" s="37" t="str">
        <f aca="false">IF(INDEX($A2825:$J2825,$L$6)&lt;&gt;"",TRIM(LEFT(INDEX($A2825:$J2825,$L$6),FIND("(",INDEX($A2825:$J2825,$L$6)&amp;"(")-1)),L2824)</f>
        <v>Building Value Proposition</v>
      </c>
      <c r="M2825" s="37" t="str">
        <f aca="false">IF(INDEX($A2825:$J2825,$M$6)="","",INDEX($A2825:$J2825,$M$6)&amp;"")</f>
        <v/>
      </c>
      <c r="N2825" s="37" t="str">
        <f aca="false">IF($M2825="","",TRIM(INDEX($A2825:$J2825,$N$6)&amp;""))</f>
        <v/>
      </c>
      <c r="O2825" s="37" t="str">
        <f aca="false">IF($M2825="","",TRIM(INDEX($A2825:$J2825,$O$6)&amp;""))</f>
        <v/>
      </c>
      <c r="P2825" s="37" t="str">
        <f aca="false">IF($M2825="","",IFERROR(IF(INDEX(Settings!$B$41:$B$50,MATCH(O2825,Settings!$A$41:$A$50,0))&amp;""="","UNMAPPED",INDEX(Settings!$B$41:$B$50,MATCH(O2825,Settings!$A$41:$A$50,0))&amp;""),"UNMAPPED"))</f>
        <v/>
      </c>
      <c r="Q2825" s="38" t="n">
        <f aca="false">IF($M2825="",0,N(INDEX($A2825:$J2825,$Q$6)))</f>
        <v>0</v>
      </c>
      <c r="R2825" s="39" t="str">
        <f aca="false">IF($M2825="","",INDEX($A2825:$J2825,$R$6))</f>
        <v/>
      </c>
      <c r="S2825" s="37" t="str">
        <f aca="false">IF($M2825="","",IFERROR(INDEX(Settings!$B$27:$B$36,MATCH(L2825,Settings!$A$27:$A$36,0))&amp;"","UNMAPPED"))</f>
        <v/>
      </c>
      <c r="T2825" s="37" t="str">
        <f aca="false">IF($M2825="","",IF(NOT(ISNUMBER(R2825)),"NO DATE",IF(S2825="Won",IF(R2825&gt;Settings!$B$5,"Backlog","Delivered"),IF(S2825="Open",IF(R2825&gt;Settings!$B$5,"Pipeline","Overdue"),IF(S2825="Lost","Lost","UNMAPPED")))))</f>
        <v/>
      </c>
      <c r="U2825" s="40" t="n">
        <f aca="false">IF(T2825="Backlog",1,IF(OR(T2825="Pipeline",T2825="Overdue"),N(INDEX(Settings!$C$27:$C$36,MATCH(L2825,Settings!$A$27:$A$36,0))),0))</f>
        <v>0</v>
      </c>
      <c r="V2825" s="38" t="n">
        <f aca="false">Q2825*U2825</f>
        <v>0</v>
      </c>
      <c r="W2825" s="41" t="str">
        <f aca="false">IF($M2825="","",IF(T2825="Overdue",IF(Settings!$B$8="Yes",Settings!$B$7,""),IF(ISNUMBER(R2825),DATE(YEAR(R2825),MONTH(R2825),1),"")))</f>
        <v/>
      </c>
      <c r="X2825" s="38" t="n">
        <f aca="false">IF(AND(OR(T2825="Backlog",T2825="Pipeline",T2825="Overdue"),ISNUMBER(W2825)),IF(W2825&lt;=Settings!$B$6,V2825,0),0)</f>
        <v>0</v>
      </c>
      <c r="Y2825" s="38" t="n">
        <f aca="false">IF(AND(OR(T2825="Backlog",T2825="Pipeline",T2825="Overdue"),ISNUMBER(W2825)),IF(W2825&lt;=Settings!$B$6,Q2825,0),0)</f>
        <v>0</v>
      </c>
      <c r="Z2825" s="38" t="n">
        <f aca="false">IF(Y2825=0,0,IF(T2825="Backlog",Q2825,Q2825*Dashboard!$C$10))</f>
        <v>0</v>
      </c>
      <c r="AA2825" s="37" t="n">
        <f aca="false">IF($N2825="",0,IF(COUNTIF(Dashboard!$C$13:$C$22,$N2825)&gt;0,1,0))</f>
        <v>0</v>
      </c>
      <c r="AB2825" s="37" t="str">
        <f aca="false">IF($N2825="","",IF(COUNTIF($N$8:$N2825,$N2825)=1,MAX($AB$7:$AB2824)+1,""))</f>
        <v/>
      </c>
    </row>
    <row r="2826" customFormat="false" ht="15" hidden="false" customHeight="false" outlineLevel="0" collapsed="false">
      <c r="L2826" s="37" t="str">
        <f aca="false">IF(INDEX($A2826:$J2826,$L$6)&lt;&gt;"",TRIM(LEFT(INDEX($A2826:$J2826,$L$6),FIND("(",INDEX($A2826:$J2826,$L$6)&amp;"(")-1)),L2825)</f>
        <v>Building Value Proposition</v>
      </c>
      <c r="M2826" s="37" t="str">
        <f aca="false">IF(INDEX($A2826:$J2826,$M$6)="","",INDEX($A2826:$J2826,$M$6)&amp;"")</f>
        <v/>
      </c>
      <c r="N2826" s="37" t="str">
        <f aca="false">IF($M2826="","",TRIM(INDEX($A2826:$J2826,$N$6)&amp;""))</f>
        <v/>
      </c>
      <c r="O2826" s="37" t="str">
        <f aca="false">IF($M2826="","",TRIM(INDEX($A2826:$J2826,$O$6)&amp;""))</f>
        <v/>
      </c>
      <c r="P2826" s="37" t="str">
        <f aca="false">IF($M2826="","",IFERROR(IF(INDEX(Settings!$B$41:$B$50,MATCH(O2826,Settings!$A$41:$A$50,0))&amp;""="","UNMAPPED",INDEX(Settings!$B$41:$B$50,MATCH(O2826,Settings!$A$41:$A$50,0))&amp;""),"UNMAPPED"))</f>
        <v/>
      </c>
      <c r="Q2826" s="38" t="n">
        <f aca="false">IF($M2826="",0,N(INDEX($A2826:$J2826,$Q$6)))</f>
        <v>0</v>
      </c>
      <c r="R2826" s="39" t="str">
        <f aca="false">IF($M2826="","",INDEX($A2826:$J2826,$R$6))</f>
        <v/>
      </c>
      <c r="S2826" s="37" t="str">
        <f aca="false">IF($M2826="","",IFERROR(INDEX(Settings!$B$27:$B$36,MATCH(L2826,Settings!$A$27:$A$36,0))&amp;"","UNMAPPED"))</f>
        <v/>
      </c>
      <c r="T2826" s="37" t="str">
        <f aca="false">IF($M2826="","",IF(NOT(ISNUMBER(R2826)),"NO DATE",IF(S2826="Won",IF(R2826&gt;Settings!$B$5,"Backlog","Delivered"),IF(S2826="Open",IF(R2826&gt;Settings!$B$5,"Pipeline","Overdue"),IF(S2826="Lost","Lost","UNMAPPED")))))</f>
        <v/>
      </c>
      <c r="U2826" s="40" t="n">
        <f aca="false">IF(T2826="Backlog",1,IF(OR(T2826="Pipeline",T2826="Overdue"),N(INDEX(Settings!$C$27:$C$36,MATCH(L2826,Settings!$A$27:$A$36,0))),0))</f>
        <v>0</v>
      </c>
      <c r="V2826" s="38" t="n">
        <f aca="false">Q2826*U2826</f>
        <v>0</v>
      </c>
      <c r="W2826" s="41" t="str">
        <f aca="false">IF($M2826="","",IF(T2826="Overdue",IF(Settings!$B$8="Yes",Settings!$B$7,""),IF(ISNUMBER(R2826),DATE(YEAR(R2826),MONTH(R2826),1),"")))</f>
        <v/>
      </c>
      <c r="X2826" s="38" t="n">
        <f aca="false">IF(AND(OR(T2826="Backlog",T2826="Pipeline",T2826="Overdue"),ISNUMBER(W2826)),IF(W2826&lt;=Settings!$B$6,V2826,0),0)</f>
        <v>0</v>
      </c>
      <c r="Y2826" s="38" t="n">
        <f aca="false">IF(AND(OR(T2826="Backlog",T2826="Pipeline",T2826="Overdue"),ISNUMBER(W2826)),IF(W2826&lt;=Settings!$B$6,Q2826,0),0)</f>
        <v>0</v>
      </c>
      <c r="Z2826" s="38" t="n">
        <f aca="false">IF(Y2826=0,0,IF(T2826="Backlog",Q2826,Q2826*Dashboard!$C$10))</f>
        <v>0</v>
      </c>
      <c r="AA2826" s="37" t="n">
        <f aca="false">IF($N2826="",0,IF(COUNTIF(Dashboard!$C$13:$C$22,$N2826)&gt;0,1,0))</f>
        <v>0</v>
      </c>
      <c r="AB2826" s="37" t="str">
        <f aca="false">IF($N2826="","",IF(COUNTIF($N$8:$N2826,$N2826)=1,MAX($AB$7:$AB2825)+1,""))</f>
        <v/>
      </c>
    </row>
    <row r="2827" customFormat="false" ht="15" hidden="false" customHeight="false" outlineLevel="0" collapsed="false">
      <c r="L2827" s="37" t="str">
        <f aca="false">IF(INDEX($A2827:$J2827,$L$6)&lt;&gt;"",TRIM(LEFT(INDEX($A2827:$J2827,$L$6),FIND("(",INDEX($A2827:$J2827,$L$6)&amp;"(")-1)),L2826)</f>
        <v>Building Value Proposition</v>
      </c>
      <c r="M2827" s="37" t="str">
        <f aca="false">IF(INDEX($A2827:$J2827,$M$6)="","",INDEX($A2827:$J2827,$M$6)&amp;"")</f>
        <v/>
      </c>
      <c r="N2827" s="37" t="str">
        <f aca="false">IF($M2827="","",TRIM(INDEX($A2827:$J2827,$N$6)&amp;""))</f>
        <v/>
      </c>
      <c r="O2827" s="37" t="str">
        <f aca="false">IF($M2827="","",TRIM(INDEX($A2827:$J2827,$O$6)&amp;""))</f>
        <v/>
      </c>
      <c r="P2827" s="37" t="str">
        <f aca="false">IF($M2827="","",IFERROR(IF(INDEX(Settings!$B$41:$B$50,MATCH(O2827,Settings!$A$41:$A$50,0))&amp;""="","UNMAPPED",INDEX(Settings!$B$41:$B$50,MATCH(O2827,Settings!$A$41:$A$50,0))&amp;""),"UNMAPPED"))</f>
        <v/>
      </c>
      <c r="Q2827" s="38" t="n">
        <f aca="false">IF($M2827="",0,N(INDEX($A2827:$J2827,$Q$6)))</f>
        <v>0</v>
      </c>
      <c r="R2827" s="39" t="str">
        <f aca="false">IF($M2827="","",INDEX($A2827:$J2827,$R$6))</f>
        <v/>
      </c>
      <c r="S2827" s="37" t="str">
        <f aca="false">IF($M2827="","",IFERROR(INDEX(Settings!$B$27:$B$36,MATCH(L2827,Settings!$A$27:$A$36,0))&amp;"","UNMAPPED"))</f>
        <v/>
      </c>
      <c r="T2827" s="37" t="str">
        <f aca="false">IF($M2827="","",IF(NOT(ISNUMBER(R2827)),"NO DATE",IF(S2827="Won",IF(R2827&gt;Settings!$B$5,"Backlog","Delivered"),IF(S2827="Open",IF(R2827&gt;Settings!$B$5,"Pipeline","Overdue"),IF(S2827="Lost","Lost","UNMAPPED")))))</f>
        <v/>
      </c>
      <c r="U2827" s="40" t="n">
        <f aca="false">IF(T2827="Backlog",1,IF(OR(T2827="Pipeline",T2827="Overdue"),N(INDEX(Settings!$C$27:$C$36,MATCH(L2827,Settings!$A$27:$A$36,0))),0))</f>
        <v>0</v>
      </c>
      <c r="V2827" s="38" t="n">
        <f aca="false">Q2827*U2827</f>
        <v>0</v>
      </c>
      <c r="W2827" s="41" t="str">
        <f aca="false">IF($M2827="","",IF(T2827="Overdue",IF(Settings!$B$8="Yes",Settings!$B$7,""),IF(ISNUMBER(R2827),DATE(YEAR(R2827),MONTH(R2827),1),"")))</f>
        <v/>
      </c>
      <c r="X2827" s="38" t="n">
        <f aca="false">IF(AND(OR(T2827="Backlog",T2827="Pipeline",T2827="Overdue"),ISNUMBER(W2827)),IF(W2827&lt;=Settings!$B$6,V2827,0),0)</f>
        <v>0</v>
      </c>
      <c r="Y2827" s="38" t="n">
        <f aca="false">IF(AND(OR(T2827="Backlog",T2827="Pipeline",T2827="Overdue"),ISNUMBER(W2827)),IF(W2827&lt;=Settings!$B$6,Q2827,0),0)</f>
        <v>0</v>
      </c>
      <c r="Z2827" s="38" t="n">
        <f aca="false">IF(Y2827=0,0,IF(T2827="Backlog",Q2827,Q2827*Dashboard!$C$10))</f>
        <v>0</v>
      </c>
      <c r="AA2827" s="37" t="n">
        <f aca="false">IF($N2827="",0,IF(COUNTIF(Dashboard!$C$13:$C$22,$N2827)&gt;0,1,0))</f>
        <v>0</v>
      </c>
      <c r="AB2827" s="37" t="str">
        <f aca="false">IF($N2827="","",IF(COUNTIF($N$8:$N2827,$N2827)=1,MAX($AB$7:$AB2826)+1,""))</f>
        <v/>
      </c>
    </row>
    <row r="2828" customFormat="false" ht="15" hidden="false" customHeight="false" outlineLevel="0" collapsed="false">
      <c r="L2828" s="37" t="str">
        <f aca="false">IF(INDEX($A2828:$J2828,$L$6)&lt;&gt;"",TRIM(LEFT(INDEX($A2828:$J2828,$L$6),FIND("(",INDEX($A2828:$J2828,$L$6)&amp;"(")-1)),L2827)</f>
        <v>Building Value Proposition</v>
      </c>
      <c r="M2828" s="37" t="str">
        <f aca="false">IF(INDEX($A2828:$J2828,$M$6)="","",INDEX($A2828:$J2828,$M$6)&amp;"")</f>
        <v/>
      </c>
      <c r="N2828" s="37" t="str">
        <f aca="false">IF($M2828="","",TRIM(INDEX($A2828:$J2828,$N$6)&amp;""))</f>
        <v/>
      </c>
      <c r="O2828" s="37" t="str">
        <f aca="false">IF($M2828="","",TRIM(INDEX($A2828:$J2828,$O$6)&amp;""))</f>
        <v/>
      </c>
      <c r="P2828" s="37" t="str">
        <f aca="false">IF($M2828="","",IFERROR(IF(INDEX(Settings!$B$41:$B$50,MATCH(O2828,Settings!$A$41:$A$50,0))&amp;""="","UNMAPPED",INDEX(Settings!$B$41:$B$50,MATCH(O2828,Settings!$A$41:$A$50,0))&amp;""),"UNMAPPED"))</f>
        <v/>
      </c>
      <c r="Q2828" s="38" t="n">
        <f aca="false">IF($M2828="",0,N(INDEX($A2828:$J2828,$Q$6)))</f>
        <v>0</v>
      </c>
      <c r="R2828" s="39" t="str">
        <f aca="false">IF($M2828="","",INDEX($A2828:$J2828,$R$6))</f>
        <v/>
      </c>
      <c r="S2828" s="37" t="str">
        <f aca="false">IF($M2828="","",IFERROR(INDEX(Settings!$B$27:$B$36,MATCH(L2828,Settings!$A$27:$A$36,0))&amp;"","UNMAPPED"))</f>
        <v/>
      </c>
      <c r="T2828" s="37" t="str">
        <f aca="false">IF($M2828="","",IF(NOT(ISNUMBER(R2828)),"NO DATE",IF(S2828="Won",IF(R2828&gt;Settings!$B$5,"Backlog","Delivered"),IF(S2828="Open",IF(R2828&gt;Settings!$B$5,"Pipeline","Overdue"),IF(S2828="Lost","Lost","UNMAPPED")))))</f>
        <v/>
      </c>
      <c r="U2828" s="40" t="n">
        <f aca="false">IF(T2828="Backlog",1,IF(OR(T2828="Pipeline",T2828="Overdue"),N(INDEX(Settings!$C$27:$C$36,MATCH(L2828,Settings!$A$27:$A$36,0))),0))</f>
        <v>0</v>
      </c>
      <c r="V2828" s="38" t="n">
        <f aca="false">Q2828*U2828</f>
        <v>0</v>
      </c>
      <c r="W2828" s="41" t="str">
        <f aca="false">IF($M2828="","",IF(T2828="Overdue",IF(Settings!$B$8="Yes",Settings!$B$7,""),IF(ISNUMBER(R2828),DATE(YEAR(R2828),MONTH(R2828),1),"")))</f>
        <v/>
      </c>
      <c r="X2828" s="38" t="n">
        <f aca="false">IF(AND(OR(T2828="Backlog",T2828="Pipeline",T2828="Overdue"),ISNUMBER(W2828)),IF(W2828&lt;=Settings!$B$6,V2828,0),0)</f>
        <v>0</v>
      </c>
      <c r="Y2828" s="38" t="n">
        <f aca="false">IF(AND(OR(T2828="Backlog",T2828="Pipeline",T2828="Overdue"),ISNUMBER(W2828)),IF(W2828&lt;=Settings!$B$6,Q2828,0),0)</f>
        <v>0</v>
      </c>
      <c r="Z2828" s="38" t="n">
        <f aca="false">IF(Y2828=0,0,IF(T2828="Backlog",Q2828,Q2828*Dashboard!$C$10))</f>
        <v>0</v>
      </c>
      <c r="AA2828" s="37" t="n">
        <f aca="false">IF($N2828="",0,IF(COUNTIF(Dashboard!$C$13:$C$22,$N2828)&gt;0,1,0))</f>
        <v>0</v>
      </c>
      <c r="AB2828" s="37" t="str">
        <f aca="false">IF($N2828="","",IF(COUNTIF($N$8:$N2828,$N2828)=1,MAX($AB$7:$AB2827)+1,""))</f>
        <v/>
      </c>
    </row>
    <row r="2829" customFormat="false" ht="15" hidden="false" customHeight="false" outlineLevel="0" collapsed="false">
      <c r="L2829" s="37" t="str">
        <f aca="false">IF(INDEX($A2829:$J2829,$L$6)&lt;&gt;"",TRIM(LEFT(INDEX($A2829:$J2829,$L$6),FIND("(",INDEX($A2829:$J2829,$L$6)&amp;"(")-1)),L2828)</f>
        <v>Building Value Proposition</v>
      </c>
      <c r="M2829" s="37" t="str">
        <f aca="false">IF(INDEX($A2829:$J2829,$M$6)="","",INDEX($A2829:$J2829,$M$6)&amp;"")</f>
        <v/>
      </c>
      <c r="N2829" s="37" t="str">
        <f aca="false">IF($M2829="","",TRIM(INDEX($A2829:$J2829,$N$6)&amp;""))</f>
        <v/>
      </c>
      <c r="O2829" s="37" t="str">
        <f aca="false">IF($M2829="","",TRIM(INDEX($A2829:$J2829,$O$6)&amp;""))</f>
        <v/>
      </c>
      <c r="P2829" s="37" t="str">
        <f aca="false">IF($M2829="","",IFERROR(IF(INDEX(Settings!$B$41:$B$50,MATCH(O2829,Settings!$A$41:$A$50,0))&amp;""="","UNMAPPED",INDEX(Settings!$B$41:$B$50,MATCH(O2829,Settings!$A$41:$A$50,0))&amp;""),"UNMAPPED"))</f>
        <v/>
      </c>
      <c r="Q2829" s="38" t="n">
        <f aca="false">IF($M2829="",0,N(INDEX($A2829:$J2829,$Q$6)))</f>
        <v>0</v>
      </c>
      <c r="R2829" s="39" t="str">
        <f aca="false">IF($M2829="","",INDEX($A2829:$J2829,$R$6))</f>
        <v/>
      </c>
      <c r="S2829" s="37" t="str">
        <f aca="false">IF($M2829="","",IFERROR(INDEX(Settings!$B$27:$B$36,MATCH(L2829,Settings!$A$27:$A$36,0))&amp;"","UNMAPPED"))</f>
        <v/>
      </c>
      <c r="T2829" s="37" t="str">
        <f aca="false">IF($M2829="","",IF(NOT(ISNUMBER(R2829)),"NO DATE",IF(S2829="Won",IF(R2829&gt;Settings!$B$5,"Backlog","Delivered"),IF(S2829="Open",IF(R2829&gt;Settings!$B$5,"Pipeline","Overdue"),IF(S2829="Lost","Lost","UNMAPPED")))))</f>
        <v/>
      </c>
      <c r="U2829" s="40" t="n">
        <f aca="false">IF(T2829="Backlog",1,IF(OR(T2829="Pipeline",T2829="Overdue"),N(INDEX(Settings!$C$27:$C$36,MATCH(L2829,Settings!$A$27:$A$36,0))),0))</f>
        <v>0</v>
      </c>
      <c r="V2829" s="38" t="n">
        <f aca="false">Q2829*U2829</f>
        <v>0</v>
      </c>
      <c r="W2829" s="41" t="str">
        <f aca="false">IF($M2829="","",IF(T2829="Overdue",IF(Settings!$B$8="Yes",Settings!$B$7,""),IF(ISNUMBER(R2829),DATE(YEAR(R2829),MONTH(R2829),1),"")))</f>
        <v/>
      </c>
      <c r="X2829" s="38" t="n">
        <f aca="false">IF(AND(OR(T2829="Backlog",T2829="Pipeline",T2829="Overdue"),ISNUMBER(W2829)),IF(W2829&lt;=Settings!$B$6,V2829,0),0)</f>
        <v>0</v>
      </c>
      <c r="Y2829" s="38" t="n">
        <f aca="false">IF(AND(OR(T2829="Backlog",T2829="Pipeline",T2829="Overdue"),ISNUMBER(W2829)),IF(W2829&lt;=Settings!$B$6,Q2829,0),0)</f>
        <v>0</v>
      </c>
      <c r="Z2829" s="38" t="n">
        <f aca="false">IF(Y2829=0,0,IF(T2829="Backlog",Q2829,Q2829*Dashboard!$C$10))</f>
        <v>0</v>
      </c>
      <c r="AA2829" s="37" t="n">
        <f aca="false">IF($N2829="",0,IF(COUNTIF(Dashboard!$C$13:$C$22,$N2829)&gt;0,1,0))</f>
        <v>0</v>
      </c>
      <c r="AB2829" s="37" t="str">
        <f aca="false">IF($N2829="","",IF(COUNTIF($N$8:$N2829,$N2829)=1,MAX($AB$7:$AB2828)+1,""))</f>
        <v/>
      </c>
    </row>
    <row r="2830" customFormat="false" ht="15" hidden="false" customHeight="false" outlineLevel="0" collapsed="false">
      <c r="L2830" s="37" t="str">
        <f aca="false">IF(INDEX($A2830:$J2830,$L$6)&lt;&gt;"",TRIM(LEFT(INDEX($A2830:$J2830,$L$6),FIND("(",INDEX($A2830:$J2830,$L$6)&amp;"(")-1)),L2829)</f>
        <v>Building Value Proposition</v>
      </c>
      <c r="M2830" s="37" t="str">
        <f aca="false">IF(INDEX($A2830:$J2830,$M$6)="","",INDEX($A2830:$J2830,$M$6)&amp;"")</f>
        <v/>
      </c>
      <c r="N2830" s="37" t="str">
        <f aca="false">IF($M2830="","",TRIM(INDEX($A2830:$J2830,$N$6)&amp;""))</f>
        <v/>
      </c>
      <c r="O2830" s="37" t="str">
        <f aca="false">IF($M2830="","",TRIM(INDEX($A2830:$J2830,$O$6)&amp;""))</f>
        <v/>
      </c>
      <c r="P2830" s="37" t="str">
        <f aca="false">IF($M2830="","",IFERROR(IF(INDEX(Settings!$B$41:$B$50,MATCH(O2830,Settings!$A$41:$A$50,0))&amp;""="","UNMAPPED",INDEX(Settings!$B$41:$B$50,MATCH(O2830,Settings!$A$41:$A$50,0))&amp;""),"UNMAPPED"))</f>
        <v/>
      </c>
      <c r="Q2830" s="38" t="n">
        <f aca="false">IF($M2830="",0,N(INDEX($A2830:$J2830,$Q$6)))</f>
        <v>0</v>
      </c>
      <c r="R2830" s="39" t="str">
        <f aca="false">IF($M2830="","",INDEX($A2830:$J2830,$R$6))</f>
        <v/>
      </c>
      <c r="S2830" s="37" t="str">
        <f aca="false">IF($M2830="","",IFERROR(INDEX(Settings!$B$27:$B$36,MATCH(L2830,Settings!$A$27:$A$36,0))&amp;"","UNMAPPED"))</f>
        <v/>
      </c>
      <c r="T2830" s="37" t="str">
        <f aca="false">IF($M2830="","",IF(NOT(ISNUMBER(R2830)),"NO DATE",IF(S2830="Won",IF(R2830&gt;Settings!$B$5,"Backlog","Delivered"),IF(S2830="Open",IF(R2830&gt;Settings!$B$5,"Pipeline","Overdue"),IF(S2830="Lost","Lost","UNMAPPED")))))</f>
        <v/>
      </c>
      <c r="U2830" s="40" t="n">
        <f aca="false">IF(T2830="Backlog",1,IF(OR(T2830="Pipeline",T2830="Overdue"),N(INDEX(Settings!$C$27:$C$36,MATCH(L2830,Settings!$A$27:$A$36,0))),0))</f>
        <v>0</v>
      </c>
      <c r="V2830" s="38" t="n">
        <f aca="false">Q2830*U2830</f>
        <v>0</v>
      </c>
      <c r="W2830" s="41" t="str">
        <f aca="false">IF($M2830="","",IF(T2830="Overdue",IF(Settings!$B$8="Yes",Settings!$B$7,""),IF(ISNUMBER(R2830),DATE(YEAR(R2830),MONTH(R2830),1),"")))</f>
        <v/>
      </c>
      <c r="X2830" s="38" t="n">
        <f aca="false">IF(AND(OR(T2830="Backlog",T2830="Pipeline",T2830="Overdue"),ISNUMBER(W2830)),IF(W2830&lt;=Settings!$B$6,V2830,0),0)</f>
        <v>0</v>
      </c>
      <c r="Y2830" s="38" t="n">
        <f aca="false">IF(AND(OR(T2830="Backlog",T2830="Pipeline",T2830="Overdue"),ISNUMBER(W2830)),IF(W2830&lt;=Settings!$B$6,Q2830,0),0)</f>
        <v>0</v>
      </c>
      <c r="Z2830" s="38" t="n">
        <f aca="false">IF(Y2830=0,0,IF(T2830="Backlog",Q2830,Q2830*Dashboard!$C$10))</f>
        <v>0</v>
      </c>
      <c r="AA2830" s="37" t="n">
        <f aca="false">IF($N2830="",0,IF(COUNTIF(Dashboard!$C$13:$C$22,$N2830)&gt;0,1,0))</f>
        <v>0</v>
      </c>
      <c r="AB2830" s="37" t="str">
        <f aca="false">IF($N2830="","",IF(COUNTIF($N$8:$N2830,$N2830)=1,MAX($AB$7:$AB2829)+1,""))</f>
        <v/>
      </c>
    </row>
    <row r="2831" customFormat="false" ht="15" hidden="false" customHeight="false" outlineLevel="0" collapsed="false">
      <c r="L2831" s="37" t="str">
        <f aca="false">IF(INDEX($A2831:$J2831,$L$6)&lt;&gt;"",TRIM(LEFT(INDEX($A2831:$J2831,$L$6),FIND("(",INDEX($A2831:$J2831,$L$6)&amp;"(")-1)),L2830)</f>
        <v>Building Value Proposition</v>
      </c>
      <c r="M2831" s="37" t="str">
        <f aca="false">IF(INDEX($A2831:$J2831,$M$6)="","",INDEX($A2831:$J2831,$M$6)&amp;"")</f>
        <v/>
      </c>
      <c r="N2831" s="37" t="str">
        <f aca="false">IF($M2831="","",TRIM(INDEX($A2831:$J2831,$N$6)&amp;""))</f>
        <v/>
      </c>
      <c r="O2831" s="37" t="str">
        <f aca="false">IF($M2831="","",TRIM(INDEX($A2831:$J2831,$O$6)&amp;""))</f>
        <v/>
      </c>
      <c r="P2831" s="37" t="str">
        <f aca="false">IF($M2831="","",IFERROR(IF(INDEX(Settings!$B$41:$B$50,MATCH(O2831,Settings!$A$41:$A$50,0))&amp;""="","UNMAPPED",INDEX(Settings!$B$41:$B$50,MATCH(O2831,Settings!$A$41:$A$50,0))&amp;""),"UNMAPPED"))</f>
        <v/>
      </c>
      <c r="Q2831" s="38" t="n">
        <f aca="false">IF($M2831="",0,N(INDEX($A2831:$J2831,$Q$6)))</f>
        <v>0</v>
      </c>
      <c r="R2831" s="39" t="str">
        <f aca="false">IF($M2831="","",INDEX($A2831:$J2831,$R$6))</f>
        <v/>
      </c>
      <c r="S2831" s="37" t="str">
        <f aca="false">IF($M2831="","",IFERROR(INDEX(Settings!$B$27:$B$36,MATCH(L2831,Settings!$A$27:$A$36,0))&amp;"","UNMAPPED"))</f>
        <v/>
      </c>
      <c r="T2831" s="37" t="str">
        <f aca="false">IF($M2831="","",IF(NOT(ISNUMBER(R2831)),"NO DATE",IF(S2831="Won",IF(R2831&gt;Settings!$B$5,"Backlog","Delivered"),IF(S2831="Open",IF(R2831&gt;Settings!$B$5,"Pipeline","Overdue"),IF(S2831="Lost","Lost","UNMAPPED")))))</f>
        <v/>
      </c>
      <c r="U2831" s="40" t="n">
        <f aca="false">IF(T2831="Backlog",1,IF(OR(T2831="Pipeline",T2831="Overdue"),N(INDEX(Settings!$C$27:$C$36,MATCH(L2831,Settings!$A$27:$A$36,0))),0))</f>
        <v>0</v>
      </c>
      <c r="V2831" s="38" t="n">
        <f aca="false">Q2831*U2831</f>
        <v>0</v>
      </c>
      <c r="W2831" s="41" t="str">
        <f aca="false">IF($M2831="","",IF(T2831="Overdue",IF(Settings!$B$8="Yes",Settings!$B$7,""),IF(ISNUMBER(R2831),DATE(YEAR(R2831),MONTH(R2831),1),"")))</f>
        <v/>
      </c>
      <c r="X2831" s="38" t="n">
        <f aca="false">IF(AND(OR(T2831="Backlog",T2831="Pipeline",T2831="Overdue"),ISNUMBER(W2831)),IF(W2831&lt;=Settings!$B$6,V2831,0),0)</f>
        <v>0</v>
      </c>
      <c r="Y2831" s="38" t="n">
        <f aca="false">IF(AND(OR(T2831="Backlog",T2831="Pipeline",T2831="Overdue"),ISNUMBER(W2831)),IF(W2831&lt;=Settings!$B$6,Q2831,0),0)</f>
        <v>0</v>
      </c>
      <c r="Z2831" s="38" t="n">
        <f aca="false">IF(Y2831=0,0,IF(T2831="Backlog",Q2831,Q2831*Dashboard!$C$10))</f>
        <v>0</v>
      </c>
      <c r="AA2831" s="37" t="n">
        <f aca="false">IF($N2831="",0,IF(COUNTIF(Dashboard!$C$13:$C$22,$N2831)&gt;0,1,0))</f>
        <v>0</v>
      </c>
      <c r="AB2831" s="37" t="str">
        <f aca="false">IF($N2831="","",IF(COUNTIF($N$8:$N2831,$N2831)=1,MAX($AB$7:$AB2830)+1,""))</f>
        <v/>
      </c>
    </row>
    <row r="2832" customFormat="false" ht="15" hidden="false" customHeight="false" outlineLevel="0" collapsed="false">
      <c r="L2832" s="37" t="str">
        <f aca="false">IF(INDEX($A2832:$J2832,$L$6)&lt;&gt;"",TRIM(LEFT(INDEX($A2832:$J2832,$L$6),FIND("(",INDEX($A2832:$J2832,$L$6)&amp;"(")-1)),L2831)</f>
        <v>Building Value Proposition</v>
      </c>
      <c r="M2832" s="37" t="str">
        <f aca="false">IF(INDEX($A2832:$J2832,$M$6)="","",INDEX($A2832:$J2832,$M$6)&amp;"")</f>
        <v/>
      </c>
      <c r="N2832" s="37" t="str">
        <f aca="false">IF($M2832="","",TRIM(INDEX($A2832:$J2832,$N$6)&amp;""))</f>
        <v/>
      </c>
      <c r="O2832" s="37" t="str">
        <f aca="false">IF($M2832="","",TRIM(INDEX($A2832:$J2832,$O$6)&amp;""))</f>
        <v/>
      </c>
      <c r="P2832" s="37" t="str">
        <f aca="false">IF($M2832="","",IFERROR(IF(INDEX(Settings!$B$41:$B$50,MATCH(O2832,Settings!$A$41:$A$50,0))&amp;""="","UNMAPPED",INDEX(Settings!$B$41:$B$50,MATCH(O2832,Settings!$A$41:$A$50,0))&amp;""),"UNMAPPED"))</f>
        <v/>
      </c>
      <c r="Q2832" s="38" t="n">
        <f aca="false">IF($M2832="",0,N(INDEX($A2832:$J2832,$Q$6)))</f>
        <v>0</v>
      </c>
      <c r="R2832" s="39" t="str">
        <f aca="false">IF($M2832="","",INDEX($A2832:$J2832,$R$6))</f>
        <v/>
      </c>
      <c r="S2832" s="37" t="str">
        <f aca="false">IF($M2832="","",IFERROR(INDEX(Settings!$B$27:$B$36,MATCH(L2832,Settings!$A$27:$A$36,0))&amp;"","UNMAPPED"))</f>
        <v/>
      </c>
      <c r="T2832" s="37" t="str">
        <f aca="false">IF($M2832="","",IF(NOT(ISNUMBER(R2832)),"NO DATE",IF(S2832="Won",IF(R2832&gt;Settings!$B$5,"Backlog","Delivered"),IF(S2832="Open",IF(R2832&gt;Settings!$B$5,"Pipeline","Overdue"),IF(S2832="Lost","Lost","UNMAPPED")))))</f>
        <v/>
      </c>
      <c r="U2832" s="40" t="n">
        <f aca="false">IF(T2832="Backlog",1,IF(OR(T2832="Pipeline",T2832="Overdue"),N(INDEX(Settings!$C$27:$C$36,MATCH(L2832,Settings!$A$27:$A$36,0))),0))</f>
        <v>0</v>
      </c>
      <c r="V2832" s="38" t="n">
        <f aca="false">Q2832*U2832</f>
        <v>0</v>
      </c>
      <c r="W2832" s="41" t="str">
        <f aca="false">IF($M2832="","",IF(T2832="Overdue",IF(Settings!$B$8="Yes",Settings!$B$7,""),IF(ISNUMBER(R2832),DATE(YEAR(R2832),MONTH(R2832),1),"")))</f>
        <v/>
      </c>
      <c r="X2832" s="38" t="n">
        <f aca="false">IF(AND(OR(T2832="Backlog",T2832="Pipeline",T2832="Overdue"),ISNUMBER(W2832)),IF(W2832&lt;=Settings!$B$6,V2832,0),0)</f>
        <v>0</v>
      </c>
      <c r="Y2832" s="38" t="n">
        <f aca="false">IF(AND(OR(T2832="Backlog",T2832="Pipeline",T2832="Overdue"),ISNUMBER(W2832)),IF(W2832&lt;=Settings!$B$6,Q2832,0),0)</f>
        <v>0</v>
      </c>
      <c r="Z2832" s="38" t="n">
        <f aca="false">IF(Y2832=0,0,IF(T2832="Backlog",Q2832,Q2832*Dashboard!$C$10))</f>
        <v>0</v>
      </c>
      <c r="AA2832" s="37" t="n">
        <f aca="false">IF($N2832="",0,IF(COUNTIF(Dashboard!$C$13:$C$22,$N2832)&gt;0,1,0))</f>
        <v>0</v>
      </c>
      <c r="AB2832" s="37" t="str">
        <f aca="false">IF($N2832="","",IF(COUNTIF($N$8:$N2832,$N2832)=1,MAX($AB$7:$AB2831)+1,""))</f>
        <v/>
      </c>
    </row>
    <row r="2833" customFormat="false" ht="15" hidden="false" customHeight="false" outlineLevel="0" collapsed="false">
      <c r="L2833" s="37" t="str">
        <f aca="false">IF(INDEX($A2833:$J2833,$L$6)&lt;&gt;"",TRIM(LEFT(INDEX($A2833:$J2833,$L$6),FIND("(",INDEX($A2833:$J2833,$L$6)&amp;"(")-1)),L2832)</f>
        <v>Building Value Proposition</v>
      </c>
      <c r="M2833" s="37" t="str">
        <f aca="false">IF(INDEX($A2833:$J2833,$M$6)="","",INDEX($A2833:$J2833,$M$6)&amp;"")</f>
        <v/>
      </c>
      <c r="N2833" s="37" t="str">
        <f aca="false">IF($M2833="","",TRIM(INDEX($A2833:$J2833,$N$6)&amp;""))</f>
        <v/>
      </c>
      <c r="O2833" s="37" t="str">
        <f aca="false">IF($M2833="","",TRIM(INDEX($A2833:$J2833,$O$6)&amp;""))</f>
        <v/>
      </c>
      <c r="P2833" s="37" t="str">
        <f aca="false">IF($M2833="","",IFERROR(IF(INDEX(Settings!$B$41:$B$50,MATCH(O2833,Settings!$A$41:$A$50,0))&amp;""="","UNMAPPED",INDEX(Settings!$B$41:$B$50,MATCH(O2833,Settings!$A$41:$A$50,0))&amp;""),"UNMAPPED"))</f>
        <v/>
      </c>
      <c r="Q2833" s="38" t="n">
        <f aca="false">IF($M2833="",0,N(INDEX($A2833:$J2833,$Q$6)))</f>
        <v>0</v>
      </c>
      <c r="R2833" s="39" t="str">
        <f aca="false">IF($M2833="","",INDEX($A2833:$J2833,$R$6))</f>
        <v/>
      </c>
      <c r="S2833" s="37" t="str">
        <f aca="false">IF($M2833="","",IFERROR(INDEX(Settings!$B$27:$B$36,MATCH(L2833,Settings!$A$27:$A$36,0))&amp;"","UNMAPPED"))</f>
        <v/>
      </c>
      <c r="T2833" s="37" t="str">
        <f aca="false">IF($M2833="","",IF(NOT(ISNUMBER(R2833)),"NO DATE",IF(S2833="Won",IF(R2833&gt;Settings!$B$5,"Backlog","Delivered"),IF(S2833="Open",IF(R2833&gt;Settings!$B$5,"Pipeline","Overdue"),IF(S2833="Lost","Lost","UNMAPPED")))))</f>
        <v/>
      </c>
      <c r="U2833" s="40" t="n">
        <f aca="false">IF(T2833="Backlog",1,IF(OR(T2833="Pipeline",T2833="Overdue"),N(INDEX(Settings!$C$27:$C$36,MATCH(L2833,Settings!$A$27:$A$36,0))),0))</f>
        <v>0</v>
      </c>
      <c r="V2833" s="38" t="n">
        <f aca="false">Q2833*U2833</f>
        <v>0</v>
      </c>
      <c r="W2833" s="41" t="str">
        <f aca="false">IF($M2833="","",IF(T2833="Overdue",IF(Settings!$B$8="Yes",Settings!$B$7,""),IF(ISNUMBER(R2833),DATE(YEAR(R2833),MONTH(R2833),1),"")))</f>
        <v/>
      </c>
      <c r="X2833" s="38" t="n">
        <f aca="false">IF(AND(OR(T2833="Backlog",T2833="Pipeline",T2833="Overdue"),ISNUMBER(W2833)),IF(W2833&lt;=Settings!$B$6,V2833,0),0)</f>
        <v>0</v>
      </c>
      <c r="Y2833" s="38" t="n">
        <f aca="false">IF(AND(OR(T2833="Backlog",T2833="Pipeline",T2833="Overdue"),ISNUMBER(W2833)),IF(W2833&lt;=Settings!$B$6,Q2833,0),0)</f>
        <v>0</v>
      </c>
      <c r="Z2833" s="38" t="n">
        <f aca="false">IF(Y2833=0,0,IF(T2833="Backlog",Q2833,Q2833*Dashboard!$C$10))</f>
        <v>0</v>
      </c>
      <c r="AA2833" s="37" t="n">
        <f aca="false">IF($N2833="",0,IF(COUNTIF(Dashboard!$C$13:$C$22,$N2833)&gt;0,1,0))</f>
        <v>0</v>
      </c>
      <c r="AB2833" s="37" t="str">
        <f aca="false">IF($N2833="","",IF(COUNTIF($N$8:$N2833,$N2833)=1,MAX($AB$7:$AB2832)+1,""))</f>
        <v/>
      </c>
    </row>
    <row r="2834" customFormat="false" ht="15" hidden="false" customHeight="false" outlineLevel="0" collapsed="false">
      <c r="L2834" s="37" t="str">
        <f aca="false">IF(INDEX($A2834:$J2834,$L$6)&lt;&gt;"",TRIM(LEFT(INDEX($A2834:$J2834,$L$6),FIND("(",INDEX($A2834:$J2834,$L$6)&amp;"(")-1)),L2833)</f>
        <v>Building Value Proposition</v>
      </c>
      <c r="M2834" s="37" t="str">
        <f aca="false">IF(INDEX($A2834:$J2834,$M$6)="","",INDEX($A2834:$J2834,$M$6)&amp;"")</f>
        <v/>
      </c>
      <c r="N2834" s="37" t="str">
        <f aca="false">IF($M2834="","",TRIM(INDEX($A2834:$J2834,$N$6)&amp;""))</f>
        <v/>
      </c>
      <c r="O2834" s="37" t="str">
        <f aca="false">IF($M2834="","",TRIM(INDEX($A2834:$J2834,$O$6)&amp;""))</f>
        <v/>
      </c>
      <c r="P2834" s="37" t="str">
        <f aca="false">IF($M2834="","",IFERROR(IF(INDEX(Settings!$B$41:$B$50,MATCH(O2834,Settings!$A$41:$A$50,0))&amp;""="","UNMAPPED",INDEX(Settings!$B$41:$B$50,MATCH(O2834,Settings!$A$41:$A$50,0))&amp;""),"UNMAPPED"))</f>
        <v/>
      </c>
      <c r="Q2834" s="38" t="n">
        <f aca="false">IF($M2834="",0,N(INDEX($A2834:$J2834,$Q$6)))</f>
        <v>0</v>
      </c>
      <c r="R2834" s="39" t="str">
        <f aca="false">IF($M2834="","",INDEX($A2834:$J2834,$R$6))</f>
        <v/>
      </c>
      <c r="S2834" s="37" t="str">
        <f aca="false">IF($M2834="","",IFERROR(INDEX(Settings!$B$27:$B$36,MATCH(L2834,Settings!$A$27:$A$36,0))&amp;"","UNMAPPED"))</f>
        <v/>
      </c>
      <c r="T2834" s="37" t="str">
        <f aca="false">IF($M2834="","",IF(NOT(ISNUMBER(R2834)),"NO DATE",IF(S2834="Won",IF(R2834&gt;Settings!$B$5,"Backlog","Delivered"),IF(S2834="Open",IF(R2834&gt;Settings!$B$5,"Pipeline","Overdue"),IF(S2834="Lost","Lost","UNMAPPED")))))</f>
        <v/>
      </c>
      <c r="U2834" s="40" t="n">
        <f aca="false">IF(T2834="Backlog",1,IF(OR(T2834="Pipeline",T2834="Overdue"),N(INDEX(Settings!$C$27:$C$36,MATCH(L2834,Settings!$A$27:$A$36,0))),0))</f>
        <v>0</v>
      </c>
      <c r="V2834" s="38" t="n">
        <f aca="false">Q2834*U2834</f>
        <v>0</v>
      </c>
      <c r="W2834" s="41" t="str">
        <f aca="false">IF($M2834="","",IF(T2834="Overdue",IF(Settings!$B$8="Yes",Settings!$B$7,""),IF(ISNUMBER(R2834),DATE(YEAR(R2834),MONTH(R2834),1),"")))</f>
        <v/>
      </c>
      <c r="X2834" s="38" t="n">
        <f aca="false">IF(AND(OR(T2834="Backlog",T2834="Pipeline",T2834="Overdue"),ISNUMBER(W2834)),IF(W2834&lt;=Settings!$B$6,V2834,0),0)</f>
        <v>0</v>
      </c>
      <c r="Y2834" s="38" t="n">
        <f aca="false">IF(AND(OR(T2834="Backlog",T2834="Pipeline",T2834="Overdue"),ISNUMBER(W2834)),IF(W2834&lt;=Settings!$B$6,Q2834,0),0)</f>
        <v>0</v>
      </c>
      <c r="Z2834" s="38" t="n">
        <f aca="false">IF(Y2834=0,0,IF(T2834="Backlog",Q2834,Q2834*Dashboard!$C$10))</f>
        <v>0</v>
      </c>
      <c r="AA2834" s="37" t="n">
        <f aca="false">IF($N2834="",0,IF(COUNTIF(Dashboard!$C$13:$C$22,$N2834)&gt;0,1,0))</f>
        <v>0</v>
      </c>
      <c r="AB2834" s="37" t="str">
        <f aca="false">IF($N2834="","",IF(COUNTIF($N$8:$N2834,$N2834)=1,MAX($AB$7:$AB2833)+1,""))</f>
        <v/>
      </c>
    </row>
    <row r="2835" customFormat="false" ht="15" hidden="false" customHeight="false" outlineLevel="0" collapsed="false">
      <c r="L2835" s="37" t="str">
        <f aca="false">IF(INDEX($A2835:$J2835,$L$6)&lt;&gt;"",TRIM(LEFT(INDEX($A2835:$J2835,$L$6),FIND("(",INDEX($A2835:$J2835,$L$6)&amp;"(")-1)),L2834)</f>
        <v>Building Value Proposition</v>
      </c>
      <c r="M2835" s="37" t="str">
        <f aca="false">IF(INDEX($A2835:$J2835,$M$6)="","",INDEX($A2835:$J2835,$M$6)&amp;"")</f>
        <v/>
      </c>
      <c r="N2835" s="37" t="str">
        <f aca="false">IF($M2835="","",TRIM(INDEX($A2835:$J2835,$N$6)&amp;""))</f>
        <v/>
      </c>
      <c r="O2835" s="37" t="str">
        <f aca="false">IF($M2835="","",TRIM(INDEX($A2835:$J2835,$O$6)&amp;""))</f>
        <v/>
      </c>
      <c r="P2835" s="37" t="str">
        <f aca="false">IF($M2835="","",IFERROR(IF(INDEX(Settings!$B$41:$B$50,MATCH(O2835,Settings!$A$41:$A$50,0))&amp;""="","UNMAPPED",INDEX(Settings!$B$41:$B$50,MATCH(O2835,Settings!$A$41:$A$50,0))&amp;""),"UNMAPPED"))</f>
        <v/>
      </c>
      <c r="Q2835" s="38" t="n">
        <f aca="false">IF($M2835="",0,N(INDEX($A2835:$J2835,$Q$6)))</f>
        <v>0</v>
      </c>
      <c r="R2835" s="39" t="str">
        <f aca="false">IF($M2835="","",INDEX($A2835:$J2835,$R$6))</f>
        <v/>
      </c>
      <c r="S2835" s="37" t="str">
        <f aca="false">IF($M2835="","",IFERROR(INDEX(Settings!$B$27:$B$36,MATCH(L2835,Settings!$A$27:$A$36,0))&amp;"","UNMAPPED"))</f>
        <v/>
      </c>
      <c r="T2835" s="37" t="str">
        <f aca="false">IF($M2835="","",IF(NOT(ISNUMBER(R2835)),"NO DATE",IF(S2835="Won",IF(R2835&gt;Settings!$B$5,"Backlog","Delivered"),IF(S2835="Open",IF(R2835&gt;Settings!$B$5,"Pipeline","Overdue"),IF(S2835="Lost","Lost","UNMAPPED")))))</f>
        <v/>
      </c>
      <c r="U2835" s="40" t="n">
        <f aca="false">IF(T2835="Backlog",1,IF(OR(T2835="Pipeline",T2835="Overdue"),N(INDEX(Settings!$C$27:$C$36,MATCH(L2835,Settings!$A$27:$A$36,0))),0))</f>
        <v>0</v>
      </c>
      <c r="V2835" s="38" t="n">
        <f aca="false">Q2835*U2835</f>
        <v>0</v>
      </c>
      <c r="W2835" s="41" t="str">
        <f aca="false">IF($M2835="","",IF(T2835="Overdue",IF(Settings!$B$8="Yes",Settings!$B$7,""),IF(ISNUMBER(R2835),DATE(YEAR(R2835),MONTH(R2835),1),"")))</f>
        <v/>
      </c>
      <c r="X2835" s="38" t="n">
        <f aca="false">IF(AND(OR(T2835="Backlog",T2835="Pipeline",T2835="Overdue"),ISNUMBER(W2835)),IF(W2835&lt;=Settings!$B$6,V2835,0),0)</f>
        <v>0</v>
      </c>
      <c r="Y2835" s="38" t="n">
        <f aca="false">IF(AND(OR(T2835="Backlog",T2835="Pipeline",T2835="Overdue"),ISNUMBER(W2835)),IF(W2835&lt;=Settings!$B$6,Q2835,0),0)</f>
        <v>0</v>
      </c>
      <c r="Z2835" s="38" t="n">
        <f aca="false">IF(Y2835=0,0,IF(T2835="Backlog",Q2835,Q2835*Dashboard!$C$10))</f>
        <v>0</v>
      </c>
      <c r="AA2835" s="37" t="n">
        <f aca="false">IF($N2835="",0,IF(COUNTIF(Dashboard!$C$13:$C$22,$N2835)&gt;0,1,0))</f>
        <v>0</v>
      </c>
      <c r="AB2835" s="37" t="str">
        <f aca="false">IF($N2835="","",IF(COUNTIF($N$8:$N2835,$N2835)=1,MAX($AB$7:$AB2834)+1,""))</f>
        <v/>
      </c>
    </row>
    <row r="2836" customFormat="false" ht="15" hidden="false" customHeight="false" outlineLevel="0" collapsed="false">
      <c r="L2836" s="37" t="str">
        <f aca="false">IF(INDEX($A2836:$J2836,$L$6)&lt;&gt;"",TRIM(LEFT(INDEX($A2836:$J2836,$L$6),FIND("(",INDEX($A2836:$J2836,$L$6)&amp;"(")-1)),L2835)</f>
        <v>Building Value Proposition</v>
      </c>
      <c r="M2836" s="37" t="str">
        <f aca="false">IF(INDEX($A2836:$J2836,$M$6)="","",INDEX($A2836:$J2836,$M$6)&amp;"")</f>
        <v/>
      </c>
      <c r="N2836" s="37" t="str">
        <f aca="false">IF($M2836="","",TRIM(INDEX($A2836:$J2836,$N$6)&amp;""))</f>
        <v/>
      </c>
      <c r="O2836" s="37" t="str">
        <f aca="false">IF($M2836="","",TRIM(INDEX($A2836:$J2836,$O$6)&amp;""))</f>
        <v/>
      </c>
      <c r="P2836" s="37" t="str">
        <f aca="false">IF($M2836="","",IFERROR(IF(INDEX(Settings!$B$41:$B$50,MATCH(O2836,Settings!$A$41:$A$50,0))&amp;""="","UNMAPPED",INDEX(Settings!$B$41:$B$50,MATCH(O2836,Settings!$A$41:$A$50,0))&amp;""),"UNMAPPED"))</f>
        <v/>
      </c>
      <c r="Q2836" s="38" t="n">
        <f aca="false">IF($M2836="",0,N(INDEX($A2836:$J2836,$Q$6)))</f>
        <v>0</v>
      </c>
      <c r="R2836" s="39" t="str">
        <f aca="false">IF($M2836="","",INDEX($A2836:$J2836,$R$6))</f>
        <v/>
      </c>
      <c r="S2836" s="37" t="str">
        <f aca="false">IF($M2836="","",IFERROR(INDEX(Settings!$B$27:$B$36,MATCH(L2836,Settings!$A$27:$A$36,0))&amp;"","UNMAPPED"))</f>
        <v/>
      </c>
      <c r="T2836" s="37" t="str">
        <f aca="false">IF($M2836="","",IF(NOT(ISNUMBER(R2836)),"NO DATE",IF(S2836="Won",IF(R2836&gt;Settings!$B$5,"Backlog","Delivered"),IF(S2836="Open",IF(R2836&gt;Settings!$B$5,"Pipeline","Overdue"),IF(S2836="Lost","Lost","UNMAPPED")))))</f>
        <v/>
      </c>
      <c r="U2836" s="40" t="n">
        <f aca="false">IF(T2836="Backlog",1,IF(OR(T2836="Pipeline",T2836="Overdue"),N(INDEX(Settings!$C$27:$C$36,MATCH(L2836,Settings!$A$27:$A$36,0))),0))</f>
        <v>0</v>
      </c>
      <c r="V2836" s="38" t="n">
        <f aca="false">Q2836*U2836</f>
        <v>0</v>
      </c>
      <c r="W2836" s="41" t="str">
        <f aca="false">IF($M2836="","",IF(T2836="Overdue",IF(Settings!$B$8="Yes",Settings!$B$7,""),IF(ISNUMBER(R2836),DATE(YEAR(R2836),MONTH(R2836),1),"")))</f>
        <v/>
      </c>
      <c r="X2836" s="38" t="n">
        <f aca="false">IF(AND(OR(T2836="Backlog",T2836="Pipeline",T2836="Overdue"),ISNUMBER(W2836)),IF(W2836&lt;=Settings!$B$6,V2836,0),0)</f>
        <v>0</v>
      </c>
      <c r="Y2836" s="38" t="n">
        <f aca="false">IF(AND(OR(T2836="Backlog",T2836="Pipeline",T2836="Overdue"),ISNUMBER(W2836)),IF(W2836&lt;=Settings!$B$6,Q2836,0),0)</f>
        <v>0</v>
      </c>
      <c r="Z2836" s="38" t="n">
        <f aca="false">IF(Y2836=0,0,IF(T2836="Backlog",Q2836,Q2836*Dashboard!$C$10))</f>
        <v>0</v>
      </c>
      <c r="AA2836" s="37" t="n">
        <f aca="false">IF($N2836="",0,IF(COUNTIF(Dashboard!$C$13:$C$22,$N2836)&gt;0,1,0))</f>
        <v>0</v>
      </c>
      <c r="AB2836" s="37" t="str">
        <f aca="false">IF($N2836="","",IF(COUNTIF($N$8:$N2836,$N2836)=1,MAX($AB$7:$AB2835)+1,""))</f>
        <v/>
      </c>
    </row>
    <row r="2837" customFormat="false" ht="15" hidden="false" customHeight="false" outlineLevel="0" collapsed="false">
      <c r="L2837" s="37" t="str">
        <f aca="false">IF(INDEX($A2837:$J2837,$L$6)&lt;&gt;"",TRIM(LEFT(INDEX($A2837:$J2837,$L$6),FIND("(",INDEX($A2837:$J2837,$L$6)&amp;"(")-1)),L2836)</f>
        <v>Building Value Proposition</v>
      </c>
      <c r="M2837" s="37" t="str">
        <f aca="false">IF(INDEX($A2837:$J2837,$M$6)="","",INDEX($A2837:$J2837,$M$6)&amp;"")</f>
        <v/>
      </c>
      <c r="N2837" s="37" t="str">
        <f aca="false">IF($M2837="","",TRIM(INDEX($A2837:$J2837,$N$6)&amp;""))</f>
        <v/>
      </c>
      <c r="O2837" s="37" t="str">
        <f aca="false">IF($M2837="","",TRIM(INDEX($A2837:$J2837,$O$6)&amp;""))</f>
        <v/>
      </c>
      <c r="P2837" s="37" t="str">
        <f aca="false">IF($M2837="","",IFERROR(IF(INDEX(Settings!$B$41:$B$50,MATCH(O2837,Settings!$A$41:$A$50,0))&amp;""="","UNMAPPED",INDEX(Settings!$B$41:$B$50,MATCH(O2837,Settings!$A$41:$A$50,0))&amp;""),"UNMAPPED"))</f>
        <v/>
      </c>
      <c r="Q2837" s="38" t="n">
        <f aca="false">IF($M2837="",0,N(INDEX($A2837:$J2837,$Q$6)))</f>
        <v>0</v>
      </c>
      <c r="R2837" s="39" t="str">
        <f aca="false">IF($M2837="","",INDEX($A2837:$J2837,$R$6))</f>
        <v/>
      </c>
      <c r="S2837" s="37" t="str">
        <f aca="false">IF($M2837="","",IFERROR(INDEX(Settings!$B$27:$B$36,MATCH(L2837,Settings!$A$27:$A$36,0))&amp;"","UNMAPPED"))</f>
        <v/>
      </c>
      <c r="T2837" s="37" t="str">
        <f aca="false">IF($M2837="","",IF(NOT(ISNUMBER(R2837)),"NO DATE",IF(S2837="Won",IF(R2837&gt;Settings!$B$5,"Backlog","Delivered"),IF(S2837="Open",IF(R2837&gt;Settings!$B$5,"Pipeline","Overdue"),IF(S2837="Lost","Lost","UNMAPPED")))))</f>
        <v/>
      </c>
      <c r="U2837" s="40" t="n">
        <f aca="false">IF(T2837="Backlog",1,IF(OR(T2837="Pipeline",T2837="Overdue"),N(INDEX(Settings!$C$27:$C$36,MATCH(L2837,Settings!$A$27:$A$36,0))),0))</f>
        <v>0</v>
      </c>
      <c r="V2837" s="38" t="n">
        <f aca="false">Q2837*U2837</f>
        <v>0</v>
      </c>
      <c r="W2837" s="41" t="str">
        <f aca="false">IF($M2837="","",IF(T2837="Overdue",IF(Settings!$B$8="Yes",Settings!$B$7,""),IF(ISNUMBER(R2837),DATE(YEAR(R2837),MONTH(R2837),1),"")))</f>
        <v/>
      </c>
      <c r="X2837" s="38" t="n">
        <f aca="false">IF(AND(OR(T2837="Backlog",T2837="Pipeline",T2837="Overdue"),ISNUMBER(W2837)),IF(W2837&lt;=Settings!$B$6,V2837,0),0)</f>
        <v>0</v>
      </c>
      <c r="Y2837" s="38" t="n">
        <f aca="false">IF(AND(OR(T2837="Backlog",T2837="Pipeline",T2837="Overdue"),ISNUMBER(W2837)),IF(W2837&lt;=Settings!$B$6,Q2837,0),0)</f>
        <v>0</v>
      </c>
      <c r="Z2837" s="38" t="n">
        <f aca="false">IF(Y2837=0,0,IF(T2837="Backlog",Q2837,Q2837*Dashboard!$C$10))</f>
        <v>0</v>
      </c>
      <c r="AA2837" s="37" t="n">
        <f aca="false">IF($N2837="",0,IF(COUNTIF(Dashboard!$C$13:$C$22,$N2837)&gt;0,1,0))</f>
        <v>0</v>
      </c>
      <c r="AB2837" s="37" t="str">
        <f aca="false">IF($N2837="","",IF(COUNTIF($N$8:$N2837,$N2837)=1,MAX($AB$7:$AB2836)+1,""))</f>
        <v/>
      </c>
    </row>
    <row r="2838" customFormat="false" ht="15" hidden="false" customHeight="false" outlineLevel="0" collapsed="false">
      <c r="L2838" s="37" t="str">
        <f aca="false">IF(INDEX($A2838:$J2838,$L$6)&lt;&gt;"",TRIM(LEFT(INDEX($A2838:$J2838,$L$6),FIND("(",INDEX($A2838:$J2838,$L$6)&amp;"(")-1)),L2837)</f>
        <v>Building Value Proposition</v>
      </c>
      <c r="M2838" s="37" t="str">
        <f aca="false">IF(INDEX($A2838:$J2838,$M$6)="","",INDEX($A2838:$J2838,$M$6)&amp;"")</f>
        <v/>
      </c>
      <c r="N2838" s="37" t="str">
        <f aca="false">IF($M2838="","",TRIM(INDEX($A2838:$J2838,$N$6)&amp;""))</f>
        <v/>
      </c>
      <c r="O2838" s="37" t="str">
        <f aca="false">IF($M2838="","",TRIM(INDEX($A2838:$J2838,$O$6)&amp;""))</f>
        <v/>
      </c>
      <c r="P2838" s="37" t="str">
        <f aca="false">IF($M2838="","",IFERROR(IF(INDEX(Settings!$B$41:$B$50,MATCH(O2838,Settings!$A$41:$A$50,0))&amp;""="","UNMAPPED",INDEX(Settings!$B$41:$B$50,MATCH(O2838,Settings!$A$41:$A$50,0))&amp;""),"UNMAPPED"))</f>
        <v/>
      </c>
      <c r="Q2838" s="38" t="n">
        <f aca="false">IF($M2838="",0,N(INDEX($A2838:$J2838,$Q$6)))</f>
        <v>0</v>
      </c>
      <c r="R2838" s="39" t="str">
        <f aca="false">IF($M2838="","",INDEX($A2838:$J2838,$R$6))</f>
        <v/>
      </c>
      <c r="S2838" s="37" t="str">
        <f aca="false">IF($M2838="","",IFERROR(INDEX(Settings!$B$27:$B$36,MATCH(L2838,Settings!$A$27:$A$36,0))&amp;"","UNMAPPED"))</f>
        <v/>
      </c>
      <c r="T2838" s="37" t="str">
        <f aca="false">IF($M2838="","",IF(NOT(ISNUMBER(R2838)),"NO DATE",IF(S2838="Won",IF(R2838&gt;Settings!$B$5,"Backlog","Delivered"),IF(S2838="Open",IF(R2838&gt;Settings!$B$5,"Pipeline","Overdue"),IF(S2838="Lost","Lost","UNMAPPED")))))</f>
        <v/>
      </c>
      <c r="U2838" s="40" t="n">
        <f aca="false">IF(T2838="Backlog",1,IF(OR(T2838="Pipeline",T2838="Overdue"),N(INDEX(Settings!$C$27:$C$36,MATCH(L2838,Settings!$A$27:$A$36,0))),0))</f>
        <v>0</v>
      </c>
      <c r="V2838" s="38" t="n">
        <f aca="false">Q2838*U2838</f>
        <v>0</v>
      </c>
      <c r="W2838" s="41" t="str">
        <f aca="false">IF($M2838="","",IF(T2838="Overdue",IF(Settings!$B$8="Yes",Settings!$B$7,""),IF(ISNUMBER(R2838),DATE(YEAR(R2838),MONTH(R2838),1),"")))</f>
        <v/>
      </c>
      <c r="X2838" s="38" t="n">
        <f aca="false">IF(AND(OR(T2838="Backlog",T2838="Pipeline",T2838="Overdue"),ISNUMBER(W2838)),IF(W2838&lt;=Settings!$B$6,V2838,0),0)</f>
        <v>0</v>
      </c>
      <c r="Y2838" s="38" t="n">
        <f aca="false">IF(AND(OR(T2838="Backlog",T2838="Pipeline",T2838="Overdue"),ISNUMBER(W2838)),IF(W2838&lt;=Settings!$B$6,Q2838,0),0)</f>
        <v>0</v>
      </c>
      <c r="Z2838" s="38" t="n">
        <f aca="false">IF(Y2838=0,0,IF(T2838="Backlog",Q2838,Q2838*Dashboard!$C$10))</f>
        <v>0</v>
      </c>
      <c r="AA2838" s="37" t="n">
        <f aca="false">IF($N2838="",0,IF(COUNTIF(Dashboard!$C$13:$C$22,$N2838)&gt;0,1,0))</f>
        <v>0</v>
      </c>
      <c r="AB2838" s="37" t="str">
        <f aca="false">IF($N2838="","",IF(COUNTIF($N$8:$N2838,$N2838)=1,MAX($AB$7:$AB2837)+1,""))</f>
        <v/>
      </c>
    </row>
    <row r="2839" customFormat="false" ht="15" hidden="false" customHeight="false" outlineLevel="0" collapsed="false">
      <c r="L2839" s="37" t="str">
        <f aca="false">IF(INDEX($A2839:$J2839,$L$6)&lt;&gt;"",TRIM(LEFT(INDEX($A2839:$J2839,$L$6),FIND("(",INDEX($A2839:$J2839,$L$6)&amp;"(")-1)),L2838)</f>
        <v>Building Value Proposition</v>
      </c>
      <c r="M2839" s="37" t="str">
        <f aca="false">IF(INDEX($A2839:$J2839,$M$6)="","",INDEX($A2839:$J2839,$M$6)&amp;"")</f>
        <v/>
      </c>
      <c r="N2839" s="37" t="str">
        <f aca="false">IF($M2839="","",TRIM(INDEX($A2839:$J2839,$N$6)&amp;""))</f>
        <v/>
      </c>
      <c r="O2839" s="37" t="str">
        <f aca="false">IF($M2839="","",TRIM(INDEX($A2839:$J2839,$O$6)&amp;""))</f>
        <v/>
      </c>
      <c r="P2839" s="37" t="str">
        <f aca="false">IF($M2839="","",IFERROR(IF(INDEX(Settings!$B$41:$B$50,MATCH(O2839,Settings!$A$41:$A$50,0))&amp;""="","UNMAPPED",INDEX(Settings!$B$41:$B$50,MATCH(O2839,Settings!$A$41:$A$50,0))&amp;""),"UNMAPPED"))</f>
        <v/>
      </c>
      <c r="Q2839" s="38" t="n">
        <f aca="false">IF($M2839="",0,N(INDEX($A2839:$J2839,$Q$6)))</f>
        <v>0</v>
      </c>
      <c r="R2839" s="39" t="str">
        <f aca="false">IF($M2839="","",INDEX($A2839:$J2839,$R$6))</f>
        <v/>
      </c>
      <c r="S2839" s="37" t="str">
        <f aca="false">IF($M2839="","",IFERROR(INDEX(Settings!$B$27:$B$36,MATCH(L2839,Settings!$A$27:$A$36,0))&amp;"","UNMAPPED"))</f>
        <v/>
      </c>
      <c r="T2839" s="37" t="str">
        <f aca="false">IF($M2839="","",IF(NOT(ISNUMBER(R2839)),"NO DATE",IF(S2839="Won",IF(R2839&gt;Settings!$B$5,"Backlog","Delivered"),IF(S2839="Open",IF(R2839&gt;Settings!$B$5,"Pipeline","Overdue"),IF(S2839="Lost","Lost","UNMAPPED")))))</f>
        <v/>
      </c>
      <c r="U2839" s="40" t="n">
        <f aca="false">IF(T2839="Backlog",1,IF(OR(T2839="Pipeline",T2839="Overdue"),N(INDEX(Settings!$C$27:$C$36,MATCH(L2839,Settings!$A$27:$A$36,0))),0))</f>
        <v>0</v>
      </c>
      <c r="V2839" s="38" t="n">
        <f aca="false">Q2839*U2839</f>
        <v>0</v>
      </c>
      <c r="W2839" s="41" t="str">
        <f aca="false">IF($M2839="","",IF(T2839="Overdue",IF(Settings!$B$8="Yes",Settings!$B$7,""),IF(ISNUMBER(R2839),DATE(YEAR(R2839),MONTH(R2839),1),"")))</f>
        <v/>
      </c>
      <c r="X2839" s="38" t="n">
        <f aca="false">IF(AND(OR(T2839="Backlog",T2839="Pipeline",T2839="Overdue"),ISNUMBER(W2839)),IF(W2839&lt;=Settings!$B$6,V2839,0),0)</f>
        <v>0</v>
      </c>
      <c r="Y2839" s="38" t="n">
        <f aca="false">IF(AND(OR(T2839="Backlog",T2839="Pipeline",T2839="Overdue"),ISNUMBER(W2839)),IF(W2839&lt;=Settings!$B$6,Q2839,0),0)</f>
        <v>0</v>
      </c>
      <c r="Z2839" s="38" t="n">
        <f aca="false">IF(Y2839=0,0,IF(T2839="Backlog",Q2839,Q2839*Dashboard!$C$10))</f>
        <v>0</v>
      </c>
      <c r="AA2839" s="37" t="n">
        <f aca="false">IF($N2839="",0,IF(COUNTIF(Dashboard!$C$13:$C$22,$N2839)&gt;0,1,0))</f>
        <v>0</v>
      </c>
      <c r="AB2839" s="37" t="str">
        <f aca="false">IF($N2839="","",IF(COUNTIF($N$8:$N2839,$N2839)=1,MAX($AB$7:$AB2838)+1,""))</f>
        <v/>
      </c>
    </row>
    <row r="2840" customFormat="false" ht="15" hidden="false" customHeight="false" outlineLevel="0" collapsed="false">
      <c r="L2840" s="37" t="str">
        <f aca="false">IF(INDEX($A2840:$J2840,$L$6)&lt;&gt;"",TRIM(LEFT(INDEX($A2840:$J2840,$L$6),FIND("(",INDEX($A2840:$J2840,$L$6)&amp;"(")-1)),L2839)</f>
        <v>Building Value Proposition</v>
      </c>
      <c r="M2840" s="37" t="str">
        <f aca="false">IF(INDEX($A2840:$J2840,$M$6)="","",INDEX($A2840:$J2840,$M$6)&amp;"")</f>
        <v/>
      </c>
      <c r="N2840" s="37" t="str">
        <f aca="false">IF($M2840="","",TRIM(INDEX($A2840:$J2840,$N$6)&amp;""))</f>
        <v/>
      </c>
      <c r="O2840" s="37" t="str">
        <f aca="false">IF($M2840="","",TRIM(INDEX($A2840:$J2840,$O$6)&amp;""))</f>
        <v/>
      </c>
      <c r="P2840" s="37" t="str">
        <f aca="false">IF($M2840="","",IFERROR(IF(INDEX(Settings!$B$41:$B$50,MATCH(O2840,Settings!$A$41:$A$50,0))&amp;""="","UNMAPPED",INDEX(Settings!$B$41:$B$50,MATCH(O2840,Settings!$A$41:$A$50,0))&amp;""),"UNMAPPED"))</f>
        <v/>
      </c>
      <c r="Q2840" s="38" t="n">
        <f aca="false">IF($M2840="",0,N(INDEX($A2840:$J2840,$Q$6)))</f>
        <v>0</v>
      </c>
      <c r="R2840" s="39" t="str">
        <f aca="false">IF($M2840="","",INDEX($A2840:$J2840,$R$6))</f>
        <v/>
      </c>
      <c r="S2840" s="37" t="str">
        <f aca="false">IF($M2840="","",IFERROR(INDEX(Settings!$B$27:$B$36,MATCH(L2840,Settings!$A$27:$A$36,0))&amp;"","UNMAPPED"))</f>
        <v/>
      </c>
      <c r="T2840" s="37" t="str">
        <f aca="false">IF($M2840="","",IF(NOT(ISNUMBER(R2840)),"NO DATE",IF(S2840="Won",IF(R2840&gt;Settings!$B$5,"Backlog","Delivered"),IF(S2840="Open",IF(R2840&gt;Settings!$B$5,"Pipeline","Overdue"),IF(S2840="Lost","Lost","UNMAPPED")))))</f>
        <v/>
      </c>
      <c r="U2840" s="40" t="n">
        <f aca="false">IF(T2840="Backlog",1,IF(OR(T2840="Pipeline",T2840="Overdue"),N(INDEX(Settings!$C$27:$C$36,MATCH(L2840,Settings!$A$27:$A$36,0))),0))</f>
        <v>0</v>
      </c>
      <c r="V2840" s="38" t="n">
        <f aca="false">Q2840*U2840</f>
        <v>0</v>
      </c>
      <c r="W2840" s="41" t="str">
        <f aca="false">IF($M2840="","",IF(T2840="Overdue",IF(Settings!$B$8="Yes",Settings!$B$7,""),IF(ISNUMBER(R2840),DATE(YEAR(R2840),MONTH(R2840),1),"")))</f>
        <v/>
      </c>
      <c r="X2840" s="38" t="n">
        <f aca="false">IF(AND(OR(T2840="Backlog",T2840="Pipeline",T2840="Overdue"),ISNUMBER(W2840)),IF(W2840&lt;=Settings!$B$6,V2840,0),0)</f>
        <v>0</v>
      </c>
      <c r="Y2840" s="38" t="n">
        <f aca="false">IF(AND(OR(T2840="Backlog",T2840="Pipeline",T2840="Overdue"),ISNUMBER(W2840)),IF(W2840&lt;=Settings!$B$6,Q2840,0),0)</f>
        <v>0</v>
      </c>
      <c r="Z2840" s="38" t="n">
        <f aca="false">IF(Y2840=0,0,IF(T2840="Backlog",Q2840,Q2840*Dashboard!$C$10))</f>
        <v>0</v>
      </c>
      <c r="AA2840" s="37" t="n">
        <f aca="false">IF($N2840="",0,IF(COUNTIF(Dashboard!$C$13:$C$22,$N2840)&gt;0,1,0))</f>
        <v>0</v>
      </c>
      <c r="AB2840" s="37" t="str">
        <f aca="false">IF($N2840="","",IF(COUNTIF($N$8:$N2840,$N2840)=1,MAX($AB$7:$AB2839)+1,""))</f>
        <v/>
      </c>
    </row>
    <row r="2841" customFormat="false" ht="15" hidden="false" customHeight="false" outlineLevel="0" collapsed="false">
      <c r="L2841" s="37" t="str">
        <f aca="false">IF(INDEX($A2841:$J2841,$L$6)&lt;&gt;"",TRIM(LEFT(INDEX($A2841:$J2841,$L$6),FIND("(",INDEX($A2841:$J2841,$L$6)&amp;"(")-1)),L2840)</f>
        <v>Building Value Proposition</v>
      </c>
      <c r="M2841" s="37" t="str">
        <f aca="false">IF(INDEX($A2841:$J2841,$M$6)="","",INDEX($A2841:$J2841,$M$6)&amp;"")</f>
        <v/>
      </c>
      <c r="N2841" s="37" t="str">
        <f aca="false">IF($M2841="","",TRIM(INDEX($A2841:$J2841,$N$6)&amp;""))</f>
        <v/>
      </c>
      <c r="O2841" s="37" t="str">
        <f aca="false">IF($M2841="","",TRIM(INDEX($A2841:$J2841,$O$6)&amp;""))</f>
        <v/>
      </c>
      <c r="P2841" s="37" t="str">
        <f aca="false">IF($M2841="","",IFERROR(IF(INDEX(Settings!$B$41:$B$50,MATCH(O2841,Settings!$A$41:$A$50,0))&amp;""="","UNMAPPED",INDEX(Settings!$B$41:$B$50,MATCH(O2841,Settings!$A$41:$A$50,0))&amp;""),"UNMAPPED"))</f>
        <v/>
      </c>
      <c r="Q2841" s="38" t="n">
        <f aca="false">IF($M2841="",0,N(INDEX($A2841:$J2841,$Q$6)))</f>
        <v>0</v>
      </c>
      <c r="R2841" s="39" t="str">
        <f aca="false">IF($M2841="","",INDEX($A2841:$J2841,$R$6))</f>
        <v/>
      </c>
      <c r="S2841" s="37" t="str">
        <f aca="false">IF($M2841="","",IFERROR(INDEX(Settings!$B$27:$B$36,MATCH(L2841,Settings!$A$27:$A$36,0))&amp;"","UNMAPPED"))</f>
        <v/>
      </c>
      <c r="T2841" s="37" t="str">
        <f aca="false">IF($M2841="","",IF(NOT(ISNUMBER(R2841)),"NO DATE",IF(S2841="Won",IF(R2841&gt;Settings!$B$5,"Backlog","Delivered"),IF(S2841="Open",IF(R2841&gt;Settings!$B$5,"Pipeline","Overdue"),IF(S2841="Lost","Lost","UNMAPPED")))))</f>
        <v/>
      </c>
      <c r="U2841" s="40" t="n">
        <f aca="false">IF(T2841="Backlog",1,IF(OR(T2841="Pipeline",T2841="Overdue"),N(INDEX(Settings!$C$27:$C$36,MATCH(L2841,Settings!$A$27:$A$36,0))),0))</f>
        <v>0</v>
      </c>
      <c r="V2841" s="38" t="n">
        <f aca="false">Q2841*U2841</f>
        <v>0</v>
      </c>
      <c r="W2841" s="41" t="str">
        <f aca="false">IF($M2841="","",IF(T2841="Overdue",IF(Settings!$B$8="Yes",Settings!$B$7,""),IF(ISNUMBER(R2841),DATE(YEAR(R2841),MONTH(R2841),1),"")))</f>
        <v/>
      </c>
      <c r="X2841" s="38" t="n">
        <f aca="false">IF(AND(OR(T2841="Backlog",T2841="Pipeline",T2841="Overdue"),ISNUMBER(W2841)),IF(W2841&lt;=Settings!$B$6,V2841,0),0)</f>
        <v>0</v>
      </c>
      <c r="Y2841" s="38" t="n">
        <f aca="false">IF(AND(OR(T2841="Backlog",T2841="Pipeline",T2841="Overdue"),ISNUMBER(W2841)),IF(W2841&lt;=Settings!$B$6,Q2841,0),0)</f>
        <v>0</v>
      </c>
      <c r="Z2841" s="38" t="n">
        <f aca="false">IF(Y2841=0,0,IF(T2841="Backlog",Q2841,Q2841*Dashboard!$C$10))</f>
        <v>0</v>
      </c>
      <c r="AA2841" s="37" t="n">
        <f aca="false">IF($N2841="",0,IF(COUNTIF(Dashboard!$C$13:$C$22,$N2841)&gt;0,1,0))</f>
        <v>0</v>
      </c>
      <c r="AB2841" s="37" t="str">
        <f aca="false">IF($N2841="","",IF(COUNTIF($N$8:$N2841,$N2841)=1,MAX($AB$7:$AB2840)+1,""))</f>
        <v/>
      </c>
    </row>
    <row r="2842" customFormat="false" ht="15" hidden="false" customHeight="false" outlineLevel="0" collapsed="false">
      <c r="L2842" s="37" t="str">
        <f aca="false">IF(INDEX($A2842:$J2842,$L$6)&lt;&gt;"",TRIM(LEFT(INDEX($A2842:$J2842,$L$6),FIND("(",INDEX($A2842:$J2842,$L$6)&amp;"(")-1)),L2841)</f>
        <v>Building Value Proposition</v>
      </c>
      <c r="M2842" s="37" t="str">
        <f aca="false">IF(INDEX($A2842:$J2842,$M$6)="","",INDEX($A2842:$J2842,$M$6)&amp;"")</f>
        <v/>
      </c>
      <c r="N2842" s="37" t="str">
        <f aca="false">IF($M2842="","",TRIM(INDEX($A2842:$J2842,$N$6)&amp;""))</f>
        <v/>
      </c>
      <c r="O2842" s="37" t="str">
        <f aca="false">IF($M2842="","",TRIM(INDEX($A2842:$J2842,$O$6)&amp;""))</f>
        <v/>
      </c>
      <c r="P2842" s="37" t="str">
        <f aca="false">IF($M2842="","",IFERROR(IF(INDEX(Settings!$B$41:$B$50,MATCH(O2842,Settings!$A$41:$A$50,0))&amp;""="","UNMAPPED",INDEX(Settings!$B$41:$B$50,MATCH(O2842,Settings!$A$41:$A$50,0))&amp;""),"UNMAPPED"))</f>
        <v/>
      </c>
      <c r="Q2842" s="38" t="n">
        <f aca="false">IF($M2842="",0,N(INDEX($A2842:$J2842,$Q$6)))</f>
        <v>0</v>
      </c>
      <c r="R2842" s="39" t="str">
        <f aca="false">IF($M2842="","",INDEX($A2842:$J2842,$R$6))</f>
        <v/>
      </c>
      <c r="S2842" s="37" t="str">
        <f aca="false">IF($M2842="","",IFERROR(INDEX(Settings!$B$27:$B$36,MATCH(L2842,Settings!$A$27:$A$36,0))&amp;"","UNMAPPED"))</f>
        <v/>
      </c>
      <c r="T2842" s="37" t="str">
        <f aca="false">IF($M2842="","",IF(NOT(ISNUMBER(R2842)),"NO DATE",IF(S2842="Won",IF(R2842&gt;Settings!$B$5,"Backlog","Delivered"),IF(S2842="Open",IF(R2842&gt;Settings!$B$5,"Pipeline","Overdue"),IF(S2842="Lost","Lost","UNMAPPED")))))</f>
        <v/>
      </c>
      <c r="U2842" s="40" t="n">
        <f aca="false">IF(T2842="Backlog",1,IF(OR(T2842="Pipeline",T2842="Overdue"),N(INDEX(Settings!$C$27:$C$36,MATCH(L2842,Settings!$A$27:$A$36,0))),0))</f>
        <v>0</v>
      </c>
      <c r="V2842" s="38" t="n">
        <f aca="false">Q2842*U2842</f>
        <v>0</v>
      </c>
      <c r="W2842" s="41" t="str">
        <f aca="false">IF($M2842="","",IF(T2842="Overdue",IF(Settings!$B$8="Yes",Settings!$B$7,""),IF(ISNUMBER(R2842),DATE(YEAR(R2842),MONTH(R2842),1),"")))</f>
        <v/>
      </c>
      <c r="X2842" s="38" t="n">
        <f aca="false">IF(AND(OR(T2842="Backlog",T2842="Pipeline",T2842="Overdue"),ISNUMBER(W2842)),IF(W2842&lt;=Settings!$B$6,V2842,0),0)</f>
        <v>0</v>
      </c>
      <c r="Y2842" s="38" t="n">
        <f aca="false">IF(AND(OR(T2842="Backlog",T2842="Pipeline",T2842="Overdue"),ISNUMBER(W2842)),IF(W2842&lt;=Settings!$B$6,Q2842,0),0)</f>
        <v>0</v>
      </c>
      <c r="Z2842" s="38" t="n">
        <f aca="false">IF(Y2842=0,0,IF(T2842="Backlog",Q2842,Q2842*Dashboard!$C$10))</f>
        <v>0</v>
      </c>
      <c r="AA2842" s="37" t="n">
        <f aca="false">IF($N2842="",0,IF(COUNTIF(Dashboard!$C$13:$C$22,$N2842)&gt;0,1,0))</f>
        <v>0</v>
      </c>
      <c r="AB2842" s="37" t="str">
        <f aca="false">IF($N2842="","",IF(COUNTIF($N$8:$N2842,$N2842)=1,MAX($AB$7:$AB2841)+1,""))</f>
        <v/>
      </c>
    </row>
    <row r="2843" customFormat="false" ht="15" hidden="false" customHeight="false" outlineLevel="0" collapsed="false">
      <c r="L2843" s="37" t="str">
        <f aca="false">IF(INDEX($A2843:$J2843,$L$6)&lt;&gt;"",TRIM(LEFT(INDEX($A2843:$J2843,$L$6),FIND("(",INDEX($A2843:$J2843,$L$6)&amp;"(")-1)),L2842)</f>
        <v>Building Value Proposition</v>
      </c>
      <c r="M2843" s="37" t="str">
        <f aca="false">IF(INDEX($A2843:$J2843,$M$6)="","",INDEX($A2843:$J2843,$M$6)&amp;"")</f>
        <v/>
      </c>
      <c r="N2843" s="37" t="str">
        <f aca="false">IF($M2843="","",TRIM(INDEX($A2843:$J2843,$N$6)&amp;""))</f>
        <v/>
      </c>
      <c r="O2843" s="37" t="str">
        <f aca="false">IF($M2843="","",TRIM(INDEX($A2843:$J2843,$O$6)&amp;""))</f>
        <v/>
      </c>
      <c r="P2843" s="37" t="str">
        <f aca="false">IF($M2843="","",IFERROR(IF(INDEX(Settings!$B$41:$B$50,MATCH(O2843,Settings!$A$41:$A$50,0))&amp;""="","UNMAPPED",INDEX(Settings!$B$41:$B$50,MATCH(O2843,Settings!$A$41:$A$50,0))&amp;""),"UNMAPPED"))</f>
        <v/>
      </c>
      <c r="Q2843" s="38" t="n">
        <f aca="false">IF($M2843="",0,N(INDEX($A2843:$J2843,$Q$6)))</f>
        <v>0</v>
      </c>
      <c r="R2843" s="39" t="str">
        <f aca="false">IF($M2843="","",INDEX($A2843:$J2843,$R$6))</f>
        <v/>
      </c>
      <c r="S2843" s="37" t="str">
        <f aca="false">IF($M2843="","",IFERROR(INDEX(Settings!$B$27:$B$36,MATCH(L2843,Settings!$A$27:$A$36,0))&amp;"","UNMAPPED"))</f>
        <v/>
      </c>
      <c r="T2843" s="37" t="str">
        <f aca="false">IF($M2843="","",IF(NOT(ISNUMBER(R2843)),"NO DATE",IF(S2843="Won",IF(R2843&gt;Settings!$B$5,"Backlog","Delivered"),IF(S2843="Open",IF(R2843&gt;Settings!$B$5,"Pipeline","Overdue"),IF(S2843="Lost","Lost","UNMAPPED")))))</f>
        <v/>
      </c>
      <c r="U2843" s="40" t="n">
        <f aca="false">IF(T2843="Backlog",1,IF(OR(T2843="Pipeline",T2843="Overdue"),N(INDEX(Settings!$C$27:$C$36,MATCH(L2843,Settings!$A$27:$A$36,0))),0))</f>
        <v>0</v>
      </c>
      <c r="V2843" s="38" t="n">
        <f aca="false">Q2843*U2843</f>
        <v>0</v>
      </c>
      <c r="W2843" s="41" t="str">
        <f aca="false">IF($M2843="","",IF(T2843="Overdue",IF(Settings!$B$8="Yes",Settings!$B$7,""),IF(ISNUMBER(R2843),DATE(YEAR(R2843),MONTH(R2843),1),"")))</f>
        <v/>
      </c>
      <c r="X2843" s="38" t="n">
        <f aca="false">IF(AND(OR(T2843="Backlog",T2843="Pipeline",T2843="Overdue"),ISNUMBER(W2843)),IF(W2843&lt;=Settings!$B$6,V2843,0),0)</f>
        <v>0</v>
      </c>
      <c r="Y2843" s="38" t="n">
        <f aca="false">IF(AND(OR(T2843="Backlog",T2843="Pipeline",T2843="Overdue"),ISNUMBER(W2843)),IF(W2843&lt;=Settings!$B$6,Q2843,0),0)</f>
        <v>0</v>
      </c>
      <c r="Z2843" s="38" t="n">
        <f aca="false">IF(Y2843=0,0,IF(T2843="Backlog",Q2843,Q2843*Dashboard!$C$10))</f>
        <v>0</v>
      </c>
      <c r="AA2843" s="37" t="n">
        <f aca="false">IF($N2843="",0,IF(COUNTIF(Dashboard!$C$13:$C$22,$N2843)&gt;0,1,0))</f>
        <v>0</v>
      </c>
      <c r="AB2843" s="37" t="str">
        <f aca="false">IF($N2843="","",IF(COUNTIF($N$8:$N2843,$N2843)=1,MAX($AB$7:$AB2842)+1,""))</f>
        <v/>
      </c>
    </row>
    <row r="2844" customFormat="false" ht="15" hidden="false" customHeight="false" outlineLevel="0" collapsed="false">
      <c r="L2844" s="37" t="str">
        <f aca="false">IF(INDEX($A2844:$J2844,$L$6)&lt;&gt;"",TRIM(LEFT(INDEX($A2844:$J2844,$L$6),FIND("(",INDEX($A2844:$J2844,$L$6)&amp;"(")-1)),L2843)</f>
        <v>Building Value Proposition</v>
      </c>
      <c r="M2844" s="37" t="str">
        <f aca="false">IF(INDEX($A2844:$J2844,$M$6)="","",INDEX($A2844:$J2844,$M$6)&amp;"")</f>
        <v/>
      </c>
      <c r="N2844" s="37" t="str">
        <f aca="false">IF($M2844="","",TRIM(INDEX($A2844:$J2844,$N$6)&amp;""))</f>
        <v/>
      </c>
      <c r="O2844" s="37" t="str">
        <f aca="false">IF($M2844="","",TRIM(INDEX($A2844:$J2844,$O$6)&amp;""))</f>
        <v/>
      </c>
      <c r="P2844" s="37" t="str">
        <f aca="false">IF($M2844="","",IFERROR(IF(INDEX(Settings!$B$41:$B$50,MATCH(O2844,Settings!$A$41:$A$50,0))&amp;""="","UNMAPPED",INDEX(Settings!$B$41:$B$50,MATCH(O2844,Settings!$A$41:$A$50,0))&amp;""),"UNMAPPED"))</f>
        <v/>
      </c>
      <c r="Q2844" s="38" t="n">
        <f aca="false">IF($M2844="",0,N(INDEX($A2844:$J2844,$Q$6)))</f>
        <v>0</v>
      </c>
      <c r="R2844" s="39" t="str">
        <f aca="false">IF($M2844="","",INDEX($A2844:$J2844,$R$6))</f>
        <v/>
      </c>
      <c r="S2844" s="37" t="str">
        <f aca="false">IF($M2844="","",IFERROR(INDEX(Settings!$B$27:$B$36,MATCH(L2844,Settings!$A$27:$A$36,0))&amp;"","UNMAPPED"))</f>
        <v/>
      </c>
      <c r="T2844" s="37" t="str">
        <f aca="false">IF($M2844="","",IF(NOT(ISNUMBER(R2844)),"NO DATE",IF(S2844="Won",IF(R2844&gt;Settings!$B$5,"Backlog","Delivered"),IF(S2844="Open",IF(R2844&gt;Settings!$B$5,"Pipeline","Overdue"),IF(S2844="Lost","Lost","UNMAPPED")))))</f>
        <v/>
      </c>
      <c r="U2844" s="40" t="n">
        <f aca="false">IF(T2844="Backlog",1,IF(OR(T2844="Pipeline",T2844="Overdue"),N(INDEX(Settings!$C$27:$C$36,MATCH(L2844,Settings!$A$27:$A$36,0))),0))</f>
        <v>0</v>
      </c>
      <c r="V2844" s="38" t="n">
        <f aca="false">Q2844*U2844</f>
        <v>0</v>
      </c>
      <c r="W2844" s="41" t="str">
        <f aca="false">IF($M2844="","",IF(T2844="Overdue",IF(Settings!$B$8="Yes",Settings!$B$7,""),IF(ISNUMBER(R2844),DATE(YEAR(R2844),MONTH(R2844),1),"")))</f>
        <v/>
      </c>
      <c r="X2844" s="38" t="n">
        <f aca="false">IF(AND(OR(T2844="Backlog",T2844="Pipeline",T2844="Overdue"),ISNUMBER(W2844)),IF(W2844&lt;=Settings!$B$6,V2844,0),0)</f>
        <v>0</v>
      </c>
      <c r="Y2844" s="38" t="n">
        <f aca="false">IF(AND(OR(T2844="Backlog",T2844="Pipeline",T2844="Overdue"),ISNUMBER(W2844)),IF(W2844&lt;=Settings!$B$6,Q2844,0),0)</f>
        <v>0</v>
      </c>
      <c r="Z2844" s="38" t="n">
        <f aca="false">IF(Y2844=0,0,IF(T2844="Backlog",Q2844,Q2844*Dashboard!$C$10))</f>
        <v>0</v>
      </c>
      <c r="AA2844" s="37" t="n">
        <f aca="false">IF($N2844="",0,IF(COUNTIF(Dashboard!$C$13:$C$22,$N2844)&gt;0,1,0))</f>
        <v>0</v>
      </c>
      <c r="AB2844" s="37" t="str">
        <f aca="false">IF($N2844="","",IF(COUNTIF($N$8:$N2844,$N2844)=1,MAX($AB$7:$AB2843)+1,""))</f>
        <v/>
      </c>
    </row>
    <row r="2845" customFormat="false" ht="15" hidden="false" customHeight="false" outlineLevel="0" collapsed="false">
      <c r="L2845" s="37" t="str">
        <f aca="false">IF(INDEX($A2845:$J2845,$L$6)&lt;&gt;"",TRIM(LEFT(INDEX($A2845:$J2845,$L$6),FIND("(",INDEX($A2845:$J2845,$L$6)&amp;"(")-1)),L2844)</f>
        <v>Building Value Proposition</v>
      </c>
      <c r="M2845" s="37" t="str">
        <f aca="false">IF(INDEX($A2845:$J2845,$M$6)="","",INDEX($A2845:$J2845,$M$6)&amp;"")</f>
        <v/>
      </c>
      <c r="N2845" s="37" t="str">
        <f aca="false">IF($M2845="","",TRIM(INDEX($A2845:$J2845,$N$6)&amp;""))</f>
        <v/>
      </c>
      <c r="O2845" s="37" t="str">
        <f aca="false">IF($M2845="","",TRIM(INDEX($A2845:$J2845,$O$6)&amp;""))</f>
        <v/>
      </c>
      <c r="P2845" s="37" t="str">
        <f aca="false">IF($M2845="","",IFERROR(IF(INDEX(Settings!$B$41:$B$50,MATCH(O2845,Settings!$A$41:$A$50,0))&amp;""="","UNMAPPED",INDEX(Settings!$B$41:$B$50,MATCH(O2845,Settings!$A$41:$A$50,0))&amp;""),"UNMAPPED"))</f>
        <v/>
      </c>
      <c r="Q2845" s="38" t="n">
        <f aca="false">IF($M2845="",0,N(INDEX($A2845:$J2845,$Q$6)))</f>
        <v>0</v>
      </c>
      <c r="R2845" s="39" t="str">
        <f aca="false">IF($M2845="","",INDEX($A2845:$J2845,$R$6))</f>
        <v/>
      </c>
      <c r="S2845" s="37" t="str">
        <f aca="false">IF($M2845="","",IFERROR(INDEX(Settings!$B$27:$B$36,MATCH(L2845,Settings!$A$27:$A$36,0))&amp;"","UNMAPPED"))</f>
        <v/>
      </c>
      <c r="T2845" s="37" t="str">
        <f aca="false">IF($M2845="","",IF(NOT(ISNUMBER(R2845)),"NO DATE",IF(S2845="Won",IF(R2845&gt;Settings!$B$5,"Backlog","Delivered"),IF(S2845="Open",IF(R2845&gt;Settings!$B$5,"Pipeline","Overdue"),IF(S2845="Lost","Lost","UNMAPPED")))))</f>
        <v/>
      </c>
      <c r="U2845" s="40" t="n">
        <f aca="false">IF(T2845="Backlog",1,IF(OR(T2845="Pipeline",T2845="Overdue"),N(INDEX(Settings!$C$27:$C$36,MATCH(L2845,Settings!$A$27:$A$36,0))),0))</f>
        <v>0</v>
      </c>
      <c r="V2845" s="38" t="n">
        <f aca="false">Q2845*U2845</f>
        <v>0</v>
      </c>
      <c r="W2845" s="41" t="str">
        <f aca="false">IF($M2845="","",IF(T2845="Overdue",IF(Settings!$B$8="Yes",Settings!$B$7,""),IF(ISNUMBER(R2845),DATE(YEAR(R2845),MONTH(R2845),1),"")))</f>
        <v/>
      </c>
      <c r="X2845" s="38" t="n">
        <f aca="false">IF(AND(OR(T2845="Backlog",T2845="Pipeline",T2845="Overdue"),ISNUMBER(W2845)),IF(W2845&lt;=Settings!$B$6,V2845,0),0)</f>
        <v>0</v>
      </c>
      <c r="Y2845" s="38" t="n">
        <f aca="false">IF(AND(OR(T2845="Backlog",T2845="Pipeline",T2845="Overdue"),ISNUMBER(W2845)),IF(W2845&lt;=Settings!$B$6,Q2845,0),0)</f>
        <v>0</v>
      </c>
      <c r="Z2845" s="38" t="n">
        <f aca="false">IF(Y2845=0,0,IF(T2845="Backlog",Q2845,Q2845*Dashboard!$C$10))</f>
        <v>0</v>
      </c>
      <c r="AA2845" s="37" t="n">
        <f aca="false">IF($N2845="",0,IF(COUNTIF(Dashboard!$C$13:$C$22,$N2845)&gt;0,1,0))</f>
        <v>0</v>
      </c>
      <c r="AB2845" s="37" t="str">
        <f aca="false">IF($N2845="","",IF(COUNTIF($N$8:$N2845,$N2845)=1,MAX($AB$7:$AB2844)+1,""))</f>
        <v/>
      </c>
    </row>
    <row r="2846" customFormat="false" ht="15" hidden="false" customHeight="false" outlineLevel="0" collapsed="false">
      <c r="L2846" s="37" t="str">
        <f aca="false">IF(INDEX($A2846:$J2846,$L$6)&lt;&gt;"",TRIM(LEFT(INDEX($A2846:$J2846,$L$6),FIND("(",INDEX($A2846:$J2846,$L$6)&amp;"(")-1)),L2845)</f>
        <v>Building Value Proposition</v>
      </c>
      <c r="M2846" s="37" t="str">
        <f aca="false">IF(INDEX($A2846:$J2846,$M$6)="","",INDEX($A2846:$J2846,$M$6)&amp;"")</f>
        <v/>
      </c>
      <c r="N2846" s="37" t="str">
        <f aca="false">IF($M2846="","",TRIM(INDEX($A2846:$J2846,$N$6)&amp;""))</f>
        <v/>
      </c>
      <c r="O2846" s="37" t="str">
        <f aca="false">IF($M2846="","",TRIM(INDEX($A2846:$J2846,$O$6)&amp;""))</f>
        <v/>
      </c>
      <c r="P2846" s="37" t="str">
        <f aca="false">IF($M2846="","",IFERROR(IF(INDEX(Settings!$B$41:$B$50,MATCH(O2846,Settings!$A$41:$A$50,0))&amp;""="","UNMAPPED",INDEX(Settings!$B$41:$B$50,MATCH(O2846,Settings!$A$41:$A$50,0))&amp;""),"UNMAPPED"))</f>
        <v/>
      </c>
      <c r="Q2846" s="38" t="n">
        <f aca="false">IF($M2846="",0,N(INDEX($A2846:$J2846,$Q$6)))</f>
        <v>0</v>
      </c>
      <c r="R2846" s="39" t="str">
        <f aca="false">IF($M2846="","",INDEX($A2846:$J2846,$R$6))</f>
        <v/>
      </c>
      <c r="S2846" s="37" t="str">
        <f aca="false">IF($M2846="","",IFERROR(INDEX(Settings!$B$27:$B$36,MATCH(L2846,Settings!$A$27:$A$36,0))&amp;"","UNMAPPED"))</f>
        <v/>
      </c>
      <c r="T2846" s="37" t="str">
        <f aca="false">IF($M2846="","",IF(NOT(ISNUMBER(R2846)),"NO DATE",IF(S2846="Won",IF(R2846&gt;Settings!$B$5,"Backlog","Delivered"),IF(S2846="Open",IF(R2846&gt;Settings!$B$5,"Pipeline","Overdue"),IF(S2846="Lost","Lost","UNMAPPED")))))</f>
        <v/>
      </c>
      <c r="U2846" s="40" t="n">
        <f aca="false">IF(T2846="Backlog",1,IF(OR(T2846="Pipeline",T2846="Overdue"),N(INDEX(Settings!$C$27:$C$36,MATCH(L2846,Settings!$A$27:$A$36,0))),0))</f>
        <v>0</v>
      </c>
      <c r="V2846" s="38" t="n">
        <f aca="false">Q2846*U2846</f>
        <v>0</v>
      </c>
      <c r="W2846" s="41" t="str">
        <f aca="false">IF($M2846="","",IF(T2846="Overdue",IF(Settings!$B$8="Yes",Settings!$B$7,""),IF(ISNUMBER(R2846),DATE(YEAR(R2846),MONTH(R2846),1),"")))</f>
        <v/>
      </c>
      <c r="X2846" s="38" t="n">
        <f aca="false">IF(AND(OR(T2846="Backlog",T2846="Pipeline",T2846="Overdue"),ISNUMBER(W2846)),IF(W2846&lt;=Settings!$B$6,V2846,0),0)</f>
        <v>0</v>
      </c>
      <c r="Y2846" s="38" t="n">
        <f aca="false">IF(AND(OR(T2846="Backlog",T2846="Pipeline",T2846="Overdue"),ISNUMBER(W2846)),IF(W2846&lt;=Settings!$B$6,Q2846,0),0)</f>
        <v>0</v>
      </c>
      <c r="Z2846" s="38" t="n">
        <f aca="false">IF(Y2846=0,0,IF(T2846="Backlog",Q2846,Q2846*Dashboard!$C$10))</f>
        <v>0</v>
      </c>
      <c r="AA2846" s="37" t="n">
        <f aca="false">IF($N2846="",0,IF(COUNTIF(Dashboard!$C$13:$C$22,$N2846)&gt;0,1,0))</f>
        <v>0</v>
      </c>
      <c r="AB2846" s="37" t="str">
        <f aca="false">IF($N2846="","",IF(COUNTIF($N$8:$N2846,$N2846)=1,MAX($AB$7:$AB2845)+1,""))</f>
        <v/>
      </c>
    </row>
    <row r="2847" customFormat="false" ht="15" hidden="false" customHeight="false" outlineLevel="0" collapsed="false">
      <c r="L2847" s="37" t="str">
        <f aca="false">IF(INDEX($A2847:$J2847,$L$6)&lt;&gt;"",TRIM(LEFT(INDEX($A2847:$J2847,$L$6),FIND("(",INDEX($A2847:$J2847,$L$6)&amp;"(")-1)),L2846)</f>
        <v>Building Value Proposition</v>
      </c>
      <c r="M2847" s="37" t="str">
        <f aca="false">IF(INDEX($A2847:$J2847,$M$6)="","",INDEX($A2847:$J2847,$M$6)&amp;"")</f>
        <v/>
      </c>
      <c r="N2847" s="37" t="str">
        <f aca="false">IF($M2847="","",TRIM(INDEX($A2847:$J2847,$N$6)&amp;""))</f>
        <v/>
      </c>
      <c r="O2847" s="37" t="str">
        <f aca="false">IF($M2847="","",TRIM(INDEX($A2847:$J2847,$O$6)&amp;""))</f>
        <v/>
      </c>
      <c r="P2847" s="37" t="str">
        <f aca="false">IF($M2847="","",IFERROR(IF(INDEX(Settings!$B$41:$B$50,MATCH(O2847,Settings!$A$41:$A$50,0))&amp;""="","UNMAPPED",INDEX(Settings!$B$41:$B$50,MATCH(O2847,Settings!$A$41:$A$50,0))&amp;""),"UNMAPPED"))</f>
        <v/>
      </c>
      <c r="Q2847" s="38" t="n">
        <f aca="false">IF($M2847="",0,N(INDEX($A2847:$J2847,$Q$6)))</f>
        <v>0</v>
      </c>
      <c r="R2847" s="39" t="str">
        <f aca="false">IF($M2847="","",INDEX($A2847:$J2847,$R$6))</f>
        <v/>
      </c>
      <c r="S2847" s="37" t="str">
        <f aca="false">IF($M2847="","",IFERROR(INDEX(Settings!$B$27:$B$36,MATCH(L2847,Settings!$A$27:$A$36,0))&amp;"","UNMAPPED"))</f>
        <v/>
      </c>
      <c r="T2847" s="37" t="str">
        <f aca="false">IF($M2847="","",IF(NOT(ISNUMBER(R2847)),"NO DATE",IF(S2847="Won",IF(R2847&gt;Settings!$B$5,"Backlog","Delivered"),IF(S2847="Open",IF(R2847&gt;Settings!$B$5,"Pipeline","Overdue"),IF(S2847="Lost","Lost","UNMAPPED")))))</f>
        <v/>
      </c>
      <c r="U2847" s="40" t="n">
        <f aca="false">IF(T2847="Backlog",1,IF(OR(T2847="Pipeline",T2847="Overdue"),N(INDEX(Settings!$C$27:$C$36,MATCH(L2847,Settings!$A$27:$A$36,0))),0))</f>
        <v>0</v>
      </c>
      <c r="V2847" s="38" t="n">
        <f aca="false">Q2847*U2847</f>
        <v>0</v>
      </c>
      <c r="W2847" s="41" t="str">
        <f aca="false">IF($M2847="","",IF(T2847="Overdue",IF(Settings!$B$8="Yes",Settings!$B$7,""),IF(ISNUMBER(R2847),DATE(YEAR(R2847),MONTH(R2847),1),"")))</f>
        <v/>
      </c>
      <c r="X2847" s="38" t="n">
        <f aca="false">IF(AND(OR(T2847="Backlog",T2847="Pipeline",T2847="Overdue"),ISNUMBER(W2847)),IF(W2847&lt;=Settings!$B$6,V2847,0),0)</f>
        <v>0</v>
      </c>
      <c r="Y2847" s="38" t="n">
        <f aca="false">IF(AND(OR(T2847="Backlog",T2847="Pipeline",T2847="Overdue"),ISNUMBER(W2847)),IF(W2847&lt;=Settings!$B$6,Q2847,0),0)</f>
        <v>0</v>
      </c>
      <c r="Z2847" s="38" t="n">
        <f aca="false">IF(Y2847=0,0,IF(T2847="Backlog",Q2847,Q2847*Dashboard!$C$10))</f>
        <v>0</v>
      </c>
      <c r="AA2847" s="37" t="n">
        <f aca="false">IF($N2847="",0,IF(COUNTIF(Dashboard!$C$13:$C$22,$N2847)&gt;0,1,0))</f>
        <v>0</v>
      </c>
      <c r="AB2847" s="37" t="str">
        <f aca="false">IF($N2847="","",IF(COUNTIF($N$8:$N2847,$N2847)=1,MAX($AB$7:$AB2846)+1,""))</f>
        <v/>
      </c>
    </row>
    <row r="2848" customFormat="false" ht="15" hidden="false" customHeight="false" outlineLevel="0" collapsed="false">
      <c r="L2848" s="37" t="str">
        <f aca="false">IF(INDEX($A2848:$J2848,$L$6)&lt;&gt;"",TRIM(LEFT(INDEX($A2848:$J2848,$L$6),FIND("(",INDEX($A2848:$J2848,$L$6)&amp;"(")-1)),L2847)</f>
        <v>Building Value Proposition</v>
      </c>
      <c r="M2848" s="37" t="str">
        <f aca="false">IF(INDEX($A2848:$J2848,$M$6)="","",INDEX($A2848:$J2848,$M$6)&amp;"")</f>
        <v/>
      </c>
      <c r="N2848" s="37" t="str">
        <f aca="false">IF($M2848="","",TRIM(INDEX($A2848:$J2848,$N$6)&amp;""))</f>
        <v/>
      </c>
      <c r="O2848" s="37" t="str">
        <f aca="false">IF($M2848="","",TRIM(INDEX($A2848:$J2848,$O$6)&amp;""))</f>
        <v/>
      </c>
      <c r="P2848" s="37" t="str">
        <f aca="false">IF($M2848="","",IFERROR(IF(INDEX(Settings!$B$41:$B$50,MATCH(O2848,Settings!$A$41:$A$50,0))&amp;""="","UNMAPPED",INDEX(Settings!$B$41:$B$50,MATCH(O2848,Settings!$A$41:$A$50,0))&amp;""),"UNMAPPED"))</f>
        <v/>
      </c>
      <c r="Q2848" s="38" t="n">
        <f aca="false">IF($M2848="",0,N(INDEX($A2848:$J2848,$Q$6)))</f>
        <v>0</v>
      </c>
      <c r="R2848" s="39" t="str">
        <f aca="false">IF($M2848="","",INDEX($A2848:$J2848,$R$6))</f>
        <v/>
      </c>
      <c r="S2848" s="37" t="str">
        <f aca="false">IF($M2848="","",IFERROR(INDEX(Settings!$B$27:$B$36,MATCH(L2848,Settings!$A$27:$A$36,0))&amp;"","UNMAPPED"))</f>
        <v/>
      </c>
      <c r="T2848" s="37" t="str">
        <f aca="false">IF($M2848="","",IF(NOT(ISNUMBER(R2848)),"NO DATE",IF(S2848="Won",IF(R2848&gt;Settings!$B$5,"Backlog","Delivered"),IF(S2848="Open",IF(R2848&gt;Settings!$B$5,"Pipeline","Overdue"),IF(S2848="Lost","Lost","UNMAPPED")))))</f>
        <v/>
      </c>
      <c r="U2848" s="40" t="n">
        <f aca="false">IF(T2848="Backlog",1,IF(OR(T2848="Pipeline",T2848="Overdue"),N(INDEX(Settings!$C$27:$C$36,MATCH(L2848,Settings!$A$27:$A$36,0))),0))</f>
        <v>0</v>
      </c>
      <c r="V2848" s="38" t="n">
        <f aca="false">Q2848*U2848</f>
        <v>0</v>
      </c>
      <c r="W2848" s="41" t="str">
        <f aca="false">IF($M2848="","",IF(T2848="Overdue",IF(Settings!$B$8="Yes",Settings!$B$7,""),IF(ISNUMBER(R2848),DATE(YEAR(R2848),MONTH(R2848),1),"")))</f>
        <v/>
      </c>
      <c r="X2848" s="38" t="n">
        <f aca="false">IF(AND(OR(T2848="Backlog",T2848="Pipeline",T2848="Overdue"),ISNUMBER(W2848)),IF(W2848&lt;=Settings!$B$6,V2848,0),0)</f>
        <v>0</v>
      </c>
      <c r="Y2848" s="38" t="n">
        <f aca="false">IF(AND(OR(T2848="Backlog",T2848="Pipeline",T2848="Overdue"),ISNUMBER(W2848)),IF(W2848&lt;=Settings!$B$6,Q2848,0),0)</f>
        <v>0</v>
      </c>
      <c r="Z2848" s="38" t="n">
        <f aca="false">IF(Y2848=0,0,IF(T2848="Backlog",Q2848,Q2848*Dashboard!$C$10))</f>
        <v>0</v>
      </c>
      <c r="AA2848" s="37" t="n">
        <f aca="false">IF($N2848="",0,IF(COUNTIF(Dashboard!$C$13:$C$22,$N2848)&gt;0,1,0))</f>
        <v>0</v>
      </c>
      <c r="AB2848" s="37" t="str">
        <f aca="false">IF($N2848="","",IF(COUNTIF($N$8:$N2848,$N2848)=1,MAX($AB$7:$AB2847)+1,""))</f>
        <v/>
      </c>
    </row>
    <row r="2849" customFormat="false" ht="15" hidden="false" customHeight="false" outlineLevel="0" collapsed="false">
      <c r="L2849" s="37" t="str">
        <f aca="false">IF(INDEX($A2849:$J2849,$L$6)&lt;&gt;"",TRIM(LEFT(INDEX($A2849:$J2849,$L$6),FIND("(",INDEX($A2849:$J2849,$L$6)&amp;"(")-1)),L2848)</f>
        <v>Building Value Proposition</v>
      </c>
      <c r="M2849" s="37" t="str">
        <f aca="false">IF(INDEX($A2849:$J2849,$M$6)="","",INDEX($A2849:$J2849,$M$6)&amp;"")</f>
        <v/>
      </c>
      <c r="N2849" s="37" t="str">
        <f aca="false">IF($M2849="","",TRIM(INDEX($A2849:$J2849,$N$6)&amp;""))</f>
        <v/>
      </c>
      <c r="O2849" s="37" t="str">
        <f aca="false">IF($M2849="","",TRIM(INDEX($A2849:$J2849,$O$6)&amp;""))</f>
        <v/>
      </c>
      <c r="P2849" s="37" t="str">
        <f aca="false">IF($M2849="","",IFERROR(IF(INDEX(Settings!$B$41:$B$50,MATCH(O2849,Settings!$A$41:$A$50,0))&amp;""="","UNMAPPED",INDEX(Settings!$B$41:$B$50,MATCH(O2849,Settings!$A$41:$A$50,0))&amp;""),"UNMAPPED"))</f>
        <v/>
      </c>
      <c r="Q2849" s="38" t="n">
        <f aca="false">IF($M2849="",0,N(INDEX($A2849:$J2849,$Q$6)))</f>
        <v>0</v>
      </c>
      <c r="R2849" s="39" t="str">
        <f aca="false">IF($M2849="","",INDEX($A2849:$J2849,$R$6))</f>
        <v/>
      </c>
      <c r="S2849" s="37" t="str">
        <f aca="false">IF($M2849="","",IFERROR(INDEX(Settings!$B$27:$B$36,MATCH(L2849,Settings!$A$27:$A$36,0))&amp;"","UNMAPPED"))</f>
        <v/>
      </c>
      <c r="T2849" s="37" t="str">
        <f aca="false">IF($M2849="","",IF(NOT(ISNUMBER(R2849)),"NO DATE",IF(S2849="Won",IF(R2849&gt;Settings!$B$5,"Backlog","Delivered"),IF(S2849="Open",IF(R2849&gt;Settings!$B$5,"Pipeline","Overdue"),IF(S2849="Lost","Lost","UNMAPPED")))))</f>
        <v/>
      </c>
      <c r="U2849" s="40" t="n">
        <f aca="false">IF(T2849="Backlog",1,IF(OR(T2849="Pipeline",T2849="Overdue"),N(INDEX(Settings!$C$27:$C$36,MATCH(L2849,Settings!$A$27:$A$36,0))),0))</f>
        <v>0</v>
      </c>
      <c r="V2849" s="38" t="n">
        <f aca="false">Q2849*U2849</f>
        <v>0</v>
      </c>
      <c r="W2849" s="41" t="str">
        <f aca="false">IF($M2849="","",IF(T2849="Overdue",IF(Settings!$B$8="Yes",Settings!$B$7,""),IF(ISNUMBER(R2849),DATE(YEAR(R2849),MONTH(R2849),1),"")))</f>
        <v/>
      </c>
      <c r="X2849" s="38" t="n">
        <f aca="false">IF(AND(OR(T2849="Backlog",T2849="Pipeline",T2849="Overdue"),ISNUMBER(W2849)),IF(W2849&lt;=Settings!$B$6,V2849,0),0)</f>
        <v>0</v>
      </c>
      <c r="Y2849" s="38" t="n">
        <f aca="false">IF(AND(OR(T2849="Backlog",T2849="Pipeline",T2849="Overdue"),ISNUMBER(W2849)),IF(W2849&lt;=Settings!$B$6,Q2849,0),0)</f>
        <v>0</v>
      </c>
      <c r="Z2849" s="38" t="n">
        <f aca="false">IF(Y2849=0,0,IF(T2849="Backlog",Q2849,Q2849*Dashboard!$C$10))</f>
        <v>0</v>
      </c>
      <c r="AA2849" s="37" t="n">
        <f aca="false">IF($N2849="",0,IF(COUNTIF(Dashboard!$C$13:$C$22,$N2849)&gt;0,1,0))</f>
        <v>0</v>
      </c>
      <c r="AB2849" s="37" t="str">
        <f aca="false">IF($N2849="","",IF(COUNTIF($N$8:$N2849,$N2849)=1,MAX($AB$7:$AB2848)+1,""))</f>
        <v/>
      </c>
    </row>
    <row r="2850" customFormat="false" ht="15" hidden="false" customHeight="false" outlineLevel="0" collapsed="false">
      <c r="L2850" s="37" t="str">
        <f aca="false">IF(INDEX($A2850:$J2850,$L$6)&lt;&gt;"",TRIM(LEFT(INDEX($A2850:$J2850,$L$6),FIND("(",INDEX($A2850:$J2850,$L$6)&amp;"(")-1)),L2849)</f>
        <v>Building Value Proposition</v>
      </c>
      <c r="M2850" s="37" t="str">
        <f aca="false">IF(INDEX($A2850:$J2850,$M$6)="","",INDEX($A2850:$J2850,$M$6)&amp;"")</f>
        <v/>
      </c>
      <c r="N2850" s="37" t="str">
        <f aca="false">IF($M2850="","",TRIM(INDEX($A2850:$J2850,$N$6)&amp;""))</f>
        <v/>
      </c>
      <c r="O2850" s="37" t="str">
        <f aca="false">IF($M2850="","",TRIM(INDEX($A2850:$J2850,$O$6)&amp;""))</f>
        <v/>
      </c>
      <c r="P2850" s="37" t="str">
        <f aca="false">IF($M2850="","",IFERROR(IF(INDEX(Settings!$B$41:$B$50,MATCH(O2850,Settings!$A$41:$A$50,0))&amp;""="","UNMAPPED",INDEX(Settings!$B$41:$B$50,MATCH(O2850,Settings!$A$41:$A$50,0))&amp;""),"UNMAPPED"))</f>
        <v/>
      </c>
      <c r="Q2850" s="38" t="n">
        <f aca="false">IF($M2850="",0,N(INDEX($A2850:$J2850,$Q$6)))</f>
        <v>0</v>
      </c>
      <c r="R2850" s="39" t="str">
        <f aca="false">IF($M2850="","",INDEX($A2850:$J2850,$R$6))</f>
        <v/>
      </c>
      <c r="S2850" s="37" t="str">
        <f aca="false">IF($M2850="","",IFERROR(INDEX(Settings!$B$27:$B$36,MATCH(L2850,Settings!$A$27:$A$36,0))&amp;"","UNMAPPED"))</f>
        <v/>
      </c>
      <c r="T2850" s="37" t="str">
        <f aca="false">IF($M2850="","",IF(NOT(ISNUMBER(R2850)),"NO DATE",IF(S2850="Won",IF(R2850&gt;Settings!$B$5,"Backlog","Delivered"),IF(S2850="Open",IF(R2850&gt;Settings!$B$5,"Pipeline","Overdue"),IF(S2850="Lost","Lost","UNMAPPED")))))</f>
        <v/>
      </c>
      <c r="U2850" s="40" t="n">
        <f aca="false">IF(T2850="Backlog",1,IF(OR(T2850="Pipeline",T2850="Overdue"),N(INDEX(Settings!$C$27:$C$36,MATCH(L2850,Settings!$A$27:$A$36,0))),0))</f>
        <v>0</v>
      </c>
      <c r="V2850" s="38" t="n">
        <f aca="false">Q2850*U2850</f>
        <v>0</v>
      </c>
      <c r="W2850" s="41" t="str">
        <f aca="false">IF($M2850="","",IF(T2850="Overdue",IF(Settings!$B$8="Yes",Settings!$B$7,""),IF(ISNUMBER(R2850),DATE(YEAR(R2850),MONTH(R2850),1),"")))</f>
        <v/>
      </c>
      <c r="X2850" s="38" t="n">
        <f aca="false">IF(AND(OR(T2850="Backlog",T2850="Pipeline",T2850="Overdue"),ISNUMBER(W2850)),IF(W2850&lt;=Settings!$B$6,V2850,0),0)</f>
        <v>0</v>
      </c>
      <c r="Y2850" s="38" t="n">
        <f aca="false">IF(AND(OR(T2850="Backlog",T2850="Pipeline",T2850="Overdue"),ISNUMBER(W2850)),IF(W2850&lt;=Settings!$B$6,Q2850,0),0)</f>
        <v>0</v>
      </c>
      <c r="Z2850" s="38" t="n">
        <f aca="false">IF(Y2850=0,0,IF(T2850="Backlog",Q2850,Q2850*Dashboard!$C$10))</f>
        <v>0</v>
      </c>
      <c r="AA2850" s="37" t="n">
        <f aca="false">IF($N2850="",0,IF(COUNTIF(Dashboard!$C$13:$C$22,$N2850)&gt;0,1,0))</f>
        <v>0</v>
      </c>
      <c r="AB2850" s="37" t="str">
        <f aca="false">IF($N2850="","",IF(COUNTIF($N$8:$N2850,$N2850)=1,MAX($AB$7:$AB2849)+1,""))</f>
        <v/>
      </c>
    </row>
    <row r="2851" customFormat="false" ht="15" hidden="false" customHeight="false" outlineLevel="0" collapsed="false">
      <c r="L2851" s="37" t="str">
        <f aca="false">IF(INDEX($A2851:$J2851,$L$6)&lt;&gt;"",TRIM(LEFT(INDEX($A2851:$J2851,$L$6),FIND("(",INDEX($A2851:$J2851,$L$6)&amp;"(")-1)),L2850)</f>
        <v>Building Value Proposition</v>
      </c>
      <c r="M2851" s="37" t="str">
        <f aca="false">IF(INDEX($A2851:$J2851,$M$6)="","",INDEX($A2851:$J2851,$M$6)&amp;"")</f>
        <v/>
      </c>
      <c r="N2851" s="37" t="str">
        <f aca="false">IF($M2851="","",TRIM(INDEX($A2851:$J2851,$N$6)&amp;""))</f>
        <v/>
      </c>
      <c r="O2851" s="37" t="str">
        <f aca="false">IF($M2851="","",TRIM(INDEX($A2851:$J2851,$O$6)&amp;""))</f>
        <v/>
      </c>
      <c r="P2851" s="37" t="str">
        <f aca="false">IF($M2851="","",IFERROR(IF(INDEX(Settings!$B$41:$B$50,MATCH(O2851,Settings!$A$41:$A$50,0))&amp;""="","UNMAPPED",INDEX(Settings!$B$41:$B$50,MATCH(O2851,Settings!$A$41:$A$50,0))&amp;""),"UNMAPPED"))</f>
        <v/>
      </c>
      <c r="Q2851" s="38" t="n">
        <f aca="false">IF($M2851="",0,N(INDEX($A2851:$J2851,$Q$6)))</f>
        <v>0</v>
      </c>
      <c r="R2851" s="39" t="str">
        <f aca="false">IF($M2851="","",INDEX($A2851:$J2851,$R$6))</f>
        <v/>
      </c>
      <c r="S2851" s="37" t="str">
        <f aca="false">IF($M2851="","",IFERROR(INDEX(Settings!$B$27:$B$36,MATCH(L2851,Settings!$A$27:$A$36,0))&amp;"","UNMAPPED"))</f>
        <v/>
      </c>
      <c r="T2851" s="37" t="str">
        <f aca="false">IF($M2851="","",IF(NOT(ISNUMBER(R2851)),"NO DATE",IF(S2851="Won",IF(R2851&gt;Settings!$B$5,"Backlog","Delivered"),IF(S2851="Open",IF(R2851&gt;Settings!$B$5,"Pipeline","Overdue"),IF(S2851="Lost","Lost","UNMAPPED")))))</f>
        <v/>
      </c>
      <c r="U2851" s="40" t="n">
        <f aca="false">IF(T2851="Backlog",1,IF(OR(T2851="Pipeline",T2851="Overdue"),N(INDEX(Settings!$C$27:$C$36,MATCH(L2851,Settings!$A$27:$A$36,0))),0))</f>
        <v>0</v>
      </c>
      <c r="V2851" s="38" t="n">
        <f aca="false">Q2851*U2851</f>
        <v>0</v>
      </c>
      <c r="W2851" s="41" t="str">
        <f aca="false">IF($M2851="","",IF(T2851="Overdue",IF(Settings!$B$8="Yes",Settings!$B$7,""),IF(ISNUMBER(R2851),DATE(YEAR(R2851),MONTH(R2851),1),"")))</f>
        <v/>
      </c>
      <c r="X2851" s="38" t="n">
        <f aca="false">IF(AND(OR(T2851="Backlog",T2851="Pipeline",T2851="Overdue"),ISNUMBER(W2851)),IF(W2851&lt;=Settings!$B$6,V2851,0),0)</f>
        <v>0</v>
      </c>
      <c r="Y2851" s="38" t="n">
        <f aca="false">IF(AND(OR(T2851="Backlog",T2851="Pipeline",T2851="Overdue"),ISNUMBER(W2851)),IF(W2851&lt;=Settings!$B$6,Q2851,0),0)</f>
        <v>0</v>
      </c>
      <c r="Z2851" s="38" t="n">
        <f aca="false">IF(Y2851=0,0,IF(T2851="Backlog",Q2851,Q2851*Dashboard!$C$10))</f>
        <v>0</v>
      </c>
      <c r="AA2851" s="37" t="n">
        <f aca="false">IF($N2851="",0,IF(COUNTIF(Dashboard!$C$13:$C$22,$N2851)&gt;0,1,0))</f>
        <v>0</v>
      </c>
      <c r="AB2851" s="37" t="str">
        <f aca="false">IF($N2851="","",IF(COUNTIF($N$8:$N2851,$N2851)=1,MAX($AB$7:$AB2850)+1,""))</f>
        <v/>
      </c>
    </row>
    <row r="2852" customFormat="false" ht="15" hidden="false" customHeight="false" outlineLevel="0" collapsed="false">
      <c r="L2852" s="37" t="str">
        <f aca="false">IF(INDEX($A2852:$J2852,$L$6)&lt;&gt;"",TRIM(LEFT(INDEX($A2852:$J2852,$L$6),FIND("(",INDEX($A2852:$J2852,$L$6)&amp;"(")-1)),L2851)</f>
        <v>Building Value Proposition</v>
      </c>
      <c r="M2852" s="37" t="str">
        <f aca="false">IF(INDEX($A2852:$J2852,$M$6)="","",INDEX($A2852:$J2852,$M$6)&amp;"")</f>
        <v/>
      </c>
      <c r="N2852" s="37" t="str">
        <f aca="false">IF($M2852="","",TRIM(INDEX($A2852:$J2852,$N$6)&amp;""))</f>
        <v/>
      </c>
      <c r="O2852" s="37" t="str">
        <f aca="false">IF($M2852="","",TRIM(INDEX($A2852:$J2852,$O$6)&amp;""))</f>
        <v/>
      </c>
      <c r="P2852" s="37" t="str">
        <f aca="false">IF($M2852="","",IFERROR(IF(INDEX(Settings!$B$41:$B$50,MATCH(O2852,Settings!$A$41:$A$50,0))&amp;""="","UNMAPPED",INDEX(Settings!$B$41:$B$50,MATCH(O2852,Settings!$A$41:$A$50,0))&amp;""),"UNMAPPED"))</f>
        <v/>
      </c>
      <c r="Q2852" s="38" t="n">
        <f aca="false">IF($M2852="",0,N(INDEX($A2852:$J2852,$Q$6)))</f>
        <v>0</v>
      </c>
      <c r="R2852" s="39" t="str">
        <f aca="false">IF($M2852="","",INDEX($A2852:$J2852,$R$6))</f>
        <v/>
      </c>
      <c r="S2852" s="37" t="str">
        <f aca="false">IF($M2852="","",IFERROR(INDEX(Settings!$B$27:$B$36,MATCH(L2852,Settings!$A$27:$A$36,0))&amp;"","UNMAPPED"))</f>
        <v/>
      </c>
      <c r="T2852" s="37" t="str">
        <f aca="false">IF($M2852="","",IF(NOT(ISNUMBER(R2852)),"NO DATE",IF(S2852="Won",IF(R2852&gt;Settings!$B$5,"Backlog","Delivered"),IF(S2852="Open",IF(R2852&gt;Settings!$B$5,"Pipeline","Overdue"),IF(S2852="Lost","Lost","UNMAPPED")))))</f>
        <v/>
      </c>
      <c r="U2852" s="40" t="n">
        <f aca="false">IF(T2852="Backlog",1,IF(OR(T2852="Pipeline",T2852="Overdue"),N(INDEX(Settings!$C$27:$C$36,MATCH(L2852,Settings!$A$27:$A$36,0))),0))</f>
        <v>0</v>
      </c>
      <c r="V2852" s="38" t="n">
        <f aca="false">Q2852*U2852</f>
        <v>0</v>
      </c>
      <c r="W2852" s="41" t="str">
        <f aca="false">IF($M2852="","",IF(T2852="Overdue",IF(Settings!$B$8="Yes",Settings!$B$7,""),IF(ISNUMBER(R2852),DATE(YEAR(R2852),MONTH(R2852),1),"")))</f>
        <v/>
      </c>
      <c r="X2852" s="38" t="n">
        <f aca="false">IF(AND(OR(T2852="Backlog",T2852="Pipeline",T2852="Overdue"),ISNUMBER(W2852)),IF(W2852&lt;=Settings!$B$6,V2852,0),0)</f>
        <v>0</v>
      </c>
      <c r="Y2852" s="38" t="n">
        <f aca="false">IF(AND(OR(T2852="Backlog",T2852="Pipeline",T2852="Overdue"),ISNUMBER(W2852)),IF(W2852&lt;=Settings!$B$6,Q2852,0),0)</f>
        <v>0</v>
      </c>
      <c r="Z2852" s="38" t="n">
        <f aca="false">IF(Y2852=0,0,IF(T2852="Backlog",Q2852,Q2852*Dashboard!$C$10))</f>
        <v>0</v>
      </c>
      <c r="AA2852" s="37" t="n">
        <f aca="false">IF($N2852="",0,IF(COUNTIF(Dashboard!$C$13:$C$22,$N2852)&gt;0,1,0))</f>
        <v>0</v>
      </c>
      <c r="AB2852" s="37" t="str">
        <f aca="false">IF($N2852="","",IF(COUNTIF($N$8:$N2852,$N2852)=1,MAX($AB$7:$AB2851)+1,""))</f>
        <v/>
      </c>
    </row>
    <row r="2853" customFormat="false" ht="15" hidden="false" customHeight="false" outlineLevel="0" collapsed="false">
      <c r="L2853" s="37" t="str">
        <f aca="false">IF(INDEX($A2853:$J2853,$L$6)&lt;&gt;"",TRIM(LEFT(INDEX($A2853:$J2853,$L$6),FIND("(",INDEX($A2853:$J2853,$L$6)&amp;"(")-1)),L2852)</f>
        <v>Building Value Proposition</v>
      </c>
      <c r="M2853" s="37" t="str">
        <f aca="false">IF(INDEX($A2853:$J2853,$M$6)="","",INDEX($A2853:$J2853,$M$6)&amp;"")</f>
        <v/>
      </c>
      <c r="N2853" s="37" t="str">
        <f aca="false">IF($M2853="","",TRIM(INDEX($A2853:$J2853,$N$6)&amp;""))</f>
        <v/>
      </c>
      <c r="O2853" s="37" t="str">
        <f aca="false">IF($M2853="","",TRIM(INDEX($A2853:$J2853,$O$6)&amp;""))</f>
        <v/>
      </c>
      <c r="P2853" s="37" t="str">
        <f aca="false">IF($M2853="","",IFERROR(IF(INDEX(Settings!$B$41:$B$50,MATCH(O2853,Settings!$A$41:$A$50,0))&amp;""="","UNMAPPED",INDEX(Settings!$B$41:$B$50,MATCH(O2853,Settings!$A$41:$A$50,0))&amp;""),"UNMAPPED"))</f>
        <v/>
      </c>
      <c r="Q2853" s="38" t="n">
        <f aca="false">IF($M2853="",0,N(INDEX($A2853:$J2853,$Q$6)))</f>
        <v>0</v>
      </c>
      <c r="R2853" s="39" t="str">
        <f aca="false">IF($M2853="","",INDEX($A2853:$J2853,$R$6))</f>
        <v/>
      </c>
      <c r="S2853" s="37" t="str">
        <f aca="false">IF($M2853="","",IFERROR(INDEX(Settings!$B$27:$B$36,MATCH(L2853,Settings!$A$27:$A$36,0))&amp;"","UNMAPPED"))</f>
        <v/>
      </c>
      <c r="T2853" s="37" t="str">
        <f aca="false">IF($M2853="","",IF(NOT(ISNUMBER(R2853)),"NO DATE",IF(S2853="Won",IF(R2853&gt;Settings!$B$5,"Backlog","Delivered"),IF(S2853="Open",IF(R2853&gt;Settings!$B$5,"Pipeline","Overdue"),IF(S2853="Lost","Lost","UNMAPPED")))))</f>
        <v/>
      </c>
      <c r="U2853" s="40" t="n">
        <f aca="false">IF(T2853="Backlog",1,IF(OR(T2853="Pipeline",T2853="Overdue"),N(INDEX(Settings!$C$27:$C$36,MATCH(L2853,Settings!$A$27:$A$36,0))),0))</f>
        <v>0</v>
      </c>
      <c r="V2853" s="38" t="n">
        <f aca="false">Q2853*U2853</f>
        <v>0</v>
      </c>
      <c r="W2853" s="41" t="str">
        <f aca="false">IF($M2853="","",IF(T2853="Overdue",IF(Settings!$B$8="Yes",Settings!$B$7,""),IF(ISNUMBER(R2853),DATE(YEAR(R2853),MONTH(R2853),1),"")))</f>
        <v/>
      </c>
      <c r="X2853" s="38" t="n">
        <f aca="false">IF(AND(OR(T2853="Backlog",T2853="Pipeline",T2853="Overdue"),ISNUMBER(W2853)),IF(W2853&lt;=Settings!$B$6,V2853,0),0)</f>
        <v>0</v>
      </c>
      <c r="Y2853" s="38" t="n">
        <f aca="false">IF(AND(OR(T2853="Backlog",T2853="Pipeline",T2853="Overdue"),ISNUMBER(W2853)),IF(W2853&lt;=Settings!$B$6,Q2853,0),0)</f>
        <v>0</v>
      </c>
      <c r="Z2853" s="38" t="n">
        <f aca="false">IF(Y2853=0,0,IF(T2853="Backlog",Q2853,Q2853*Dashboard!$C$10))</f>
        <v>0</v>
      </c>
      <c r="AA2853" s="37" t="n">
        <f aca="false">IF($N2853="",0,IF(COUNTIF(Dashboard!$C$13:$C$22,$N2853)&gt;0,1,0))</f>
        <v>0</v>
      </c>
      <c r="AB2853" s="37" t="str">
        <f aca="false">IF($N2853="","",IF(COUNTIF($N$8:$N2853,$N2853)=1,MAX($AB$7:$AB2852)+1,""))</f>
        <v/>
      </c>
    </row>
    <row r="2854" customFormat="false" ht="15" hidden="false" customHeight="false" outlineLevel="0" collapsed="false">
      <c r="L2854" s="37" t="str">
        <f aca="false">IF(INDEX($A2854:$J2854,$L$6)&lt;&gt;"",TRIM(LEFT(INDEX($A2854:$J2854,$L$6),FIND("(",INDEX($A2854:$J2854,$L$6)&amp;"(")-1)),L2853)</f>
        <v>Building Value Proposition</v>
      </c>
      <c r="M2854" s="37" t="str">
        <f aca="false">IF(INDEX($A2854:$J2854,$M$6)="","",INDEX($A2854:$J2854,$M$6)&amp;"")</f>
        <v/>
      </c>
      <c r="N2854" s="37" t="str">
        <f aca="false">IF($M2854="","",TRIM(INDEX($A2854:$J2854,$N$6)&amp;""))</f>
        <v/>
      </c>
      <c r="O2854" s="37" t="str">
        <f aca="false">IF($M2854="","",TRIM(INDEX($A2854:$J2854,$O$6)&amp;""))</f>
        <v/>
      </c>
      <c r="P2854" s="37" t="str">
        <f aca="false">IF($M2854="","",IFERROR(IF(INDEX(Settings!$B$41:$B$50,MATCH(O2854,Settings!$A$41:$A$50,0))&amp;""="","UNMAPPED",INDEX(Settings!$B$41:$B$50,MATCH(O2854,Settings!$A$41:$A$50,0))&amp;""),"UNMAPPED"))</f>
        <v/>
      </c>
      <c r="Q2854" s="38" t="n">
        <f aca="false">IF($M2854="",0,N(INDEX($A2854:$J2854,$Q$6)))</f>
        <v>0</v>
      </c>
      <c r="R2854" s="39" t="str">
        <f aca="false">IF($M2854="","",INDEX($A2854:$J2854,$R$6))</f>
        <v/>
      </c>
      <c r="S2854" s="37" t="str">
        <f aca="false">IF($M2854="","",IFERROR(INDEX(Settings!$B$27:$B$36,MATCH(L2854,Settings!$A$27:$A$36,0))&amp;"","UNMAPPED"))</f>
        <v/>
      </c>
      <c r="T2854" s="37" t="str">
        <f aca="false">IF($M2854="","",IF(NOT(ISNUMBER(R2854)),"NO DATE",IF(S2854="Won",IF(R2854&gt;Settings!$B$5,"Backlog","Delivered"),IF(S2854="Open",IF(R2854&gt;Settings!$B$5,"Pipeline","Overdue"),IF(S2854="Lost","Lost","UNMAPPED")))))</f>
        <v/>
      </c>
      <c r="U2854" s="40" t="n">
        <f aca="false">IF(T2854="Backlog",1,IF(OR(T2854="Pipeline",T2854="Overdue"),N(INDEX(Settings!$C$27:$C$36,MATCH(L2854,Settings!$A$27:$A$36,0))),0))</f>
        <v>0</v>
      </c>
      <c r="V2854" s="38" t="n">
        <f aca="false">Q2854*U2854</f>
        <v>0</v>
      </c>
      <c r="W2854" s="41" t="str">
        <f aca="false">IF($M2854="","",IF(T2854="Overdue",IF(Settings!$B$8="Yes",Settings!$B$7,""),IF(ISNUMBER(R2854),DATE(YEAR(R2854),MONTH(R2854),1),"")))</f>
        <v/>
      </c>
      <c r="X2854" s="38" t="n">
        <f aca="false">IF(AND(OR(T2854="Backlog",T2854="Pipeline",T2854="Overdue"),ISNUMBER(W2854)),IF(W2854&lt;=Settings!$B$6,V2854,0),0)</f>
        <v>0</v>
      </c>
      <c r="Y2854" s="38" t="n">
        <f aca="false">IF(AND(OR(T2854="Backlog",T2854="Pipeline",T2854="Overdue"),ISNUMBER(W2854)),IF(W2854&lt;=Settings!$B$6,Q2854,0),0)</f>
        <v>0</v>
      </c>
      <c r="Z2854" s="38" t="n">
        <f aca="false">IF(Y2854=0,0,IF(T2854="Backlog",Q2854,Q2854*Dashboard!$C$10))</f>
        <v>0</v>
      </c>
      <c r="AA2854" s="37" t="n">
        <f aca="false">IF($N2854="",0,IF(COUNTIF(Dashboard!$C$13:$C$22,$N2854)&gt;0,1,0))</f>
        <v>0</v>
      </c>
      <c r="AB2854" s="37" t="str">
        <f aca="false">IF($N2854="","",IF(COUNTIF($N$8:$N2854,$N2854)=1,MAX($AB$7:$AB2853)+1,""))</f>
        <v/>
      </c>
    </row>
    <row r="2855" customFormat="false" ht="15" hidden="false" customHeight="false" outlineLevel="0" collapsed="false">
      <c r="L2855" s="37" t="str">
        <f aca="false">IF(INDEX($A2855:$J2855,$L$6)&lt;&gt;"",TRIM(LEFT(INDEX($A2855:$J2855,$L$6),FIND("(",INDEX($A2855:$J2855,$L$6)&amp;"(")-1)),L2854)</f>
        <v>Building Value Proposition</v>
      </c>
      <c r="M2855" s="37" t="str">
        <f aca="false">IF(INDEX($A2855:$J2855,$M$6)="","",INDEX($A2855:$J2855,$M$6)&amp;"")</f>
        <v/>
      </c>
      <c r="N2855" s="37" t="str">
        <f aca="false">IF($M2855="","",TRIM(INDEX($A2855:$J2855,$N$6)&amp;""))</f>
        <v/>
      </c>
      <c r="O2855" s="37" t="str">
        <f aca="false">IF($M2855="","",TRIM(INDEX($A2855:$J2855,$O$6)&amp;""))</f>
        <v/>
      </c>
      <c r="P2855" s="37" t="str">
        <f aca="false">IF($M2855="","",IFERROR(IF(INDEX(Settings!$B$41:$B$50,MATCH(O2855,Settings!$A$41:$A$50,0))&amp;""="","UNMAPPED",INDEX(Settings!$B$41:$B$50,MATCH(O2855,Settings!$A$41:$A$50,0))&amp;""),"UNMAPPED"))</f>
        <v/>
      </c>
      <c r="Q2855" s="38" t="n">
        <f aca="false">IF($M2855="",0,N(INDEX($A2855:$J2855,$Q$6)))</f>
        <v>0</v>
      </c>
      <c r="R2855" s="39" t="str">
        <f aca="false">IF($M2855="","",INDEX($A2855:$J2855,$R$6))</f>
        <v/>
      </c>
      <c r="S2855" s="37" t="str">
        <f aca="false">IF($M2855="","",IFERROR(INDEX(Settings!$B$27:$B$36,MATCH(L2855,Settings!$A$27:$A$36,0))&amp;"","UNMAPPED"))</f>
        <v/>
      </c>
      <c r="T2855" s="37" t="str">
        <f aca="false">IF($M2855="","",IF(NOT(ISNUMBER(R2855)),"NO DATE",IF(S2855="Won",IF(R2855&gt;Settings!$B$5,"Backlog","Delivered"),IF(S2855="Open",IF(R2855&gt;Settings!$B$5,"Pipeline","Overdue"),IF(S2855="Lost","Lost","UNMAPPED")))))</f>
        <v/>
      </c>
      <c r="U2855" s="40" t="n">
        <f aca="false">IF(T2855="Backlog",1,IF(OR(T2855="Pipeline",T2855="Overdue"),N(INDEX(Settings!$C$27:$C$36,MATCH(L2855,Settings!$A$27:$A$36,0))),0))</f>
        <v>0</v>
      </c>
      <c r="V2855" s="38" t="n">
        <f aca="false">Q2855*U2855</f>
        <v>0</v>
      </c>
      <c r="W2855" s="41" t="str">
        <f aca="false">IF($M2855="","",IF(T2855="Overdue",IF(Settings!$B$8="Yes",Settings!$B$7,""),IF(ISNUMBER(R2855),DATE(YEAR(R2855),MONTH(R2855),1),"")))</f>
        <v/>
      </c>
      <c r="X2855" s="38" t="n">
        <f aca="false">IF(AND(OR(T2855="Backlog",T2855="Pipeline",T2855="Overdue"),ISNUMBER(W2855)),IF(W2855&lt;=Settings!$B$6,V2855,0),0)</f>
        <v>0</v>
      </c>
      <c r="Y2855" s="38" t="n">
        <f aca="false">IF(AND(OR(T2855="Backlog",T2855="Pipeline",T2855="Overdue"),ISNUMBER(W2855)),IF(W2855&lt;=Settings!$B$6,Q2855,0),0)</f>
        <v>0</v>
      </c>
      <c r="Z2855" s="38" t="n">
        <f aca="false">IF(Y2855=0,0,IF(T2855="Backlog",Q2855,Q2855*Dashboard!$C$10))</f>
        <v>0</v>
      </c>
      <c r="AA2855" s="37" t="n">
        <f aca="false">IF($N2855="",0,IF(COUNTIF(Dashboard!$C$13:$C$22,$N2855)&gt;0,1,0))</f>
        <v>0</v>
      </c>
      <c r="AB2855" s="37" t="str">
        <f aca="false">IF($N2855="","",IF(COUNTIF($N$8:$N2855,$N2855)=1,MAX($AB$7:$AB2854)+1,""))</f>
        <v/>
      </c>
    </row>
    <row r="2856" customFormat="false" ht="15" hidden="false" customHeight="false" outlineLevel="0" collapsed="false">
      <c r="L2856" s="37" t="str">
        <f aca="false">IF(INDEX($A2856:$J2856,$L$6)&lt;&gt;"",TRIM(LEFT(INDEX($A2856:$J2856,$L$6),FIND("(",INDEX($A2856:$J2856,$L$6)&amp;"(")-1)),L2855)</f>
        <v>Building Value Proposition</v>
      </c>
      <c r="M2856" s="37" t="str">
        <f aca="false">IF(INDEX($A2856:$J2856,$M$6)="","",INDEX($A2856:$J2856,$M$6)&amp;"")</f>
        <v/>
      </c>
      <c r="N2856" s="37" t="str">
        <f aca="false">IF($M2856="","",TRIM(INDEX($A2856:$J2856,$N$6)&amp;""))</f>
        <v/>
      </c>
      <c r="O2856" s="37" t="str">
        <f aca="false">IF($M2856="","",TRIM(INDEX($A2856:$J2856,$O$6)&amp;""))</f>
        <v/>
      </c>
      <c r="P2856" s="37" t="str">
        <f aca="false">IF($M2856="","",IFERROR(IF(INDEX(Settings!$B$41:$B$50,MATCH(O2856,Settings!$A$41:$A$50,0))&amp;""="","UNMAPPED",INDEX(Settings!$B$41:$B$50,MATCH(O2856,Settings!$A$41:$A$50,0))&amp;""),"UNMAPPED"))</f>
        <v/>
      </c>
      <c r="Q2856" s="38" t="n">
        <f aca="false">IF($M2856="",0,N(INDEX($A2856:$J2856,$Q$6)))</f>
        <v>0</v>
      </c>
      <c r="R2856" s="39" t="str">
        <f aca="false">IF($M2856="","",INDEX($A2856:$J2856,$R$6))</f>
        <v/>
      </c>
      <c r="S2856" s="37" t="str">
        <f aca="false">IF($M2856="","",IFERROR(INDEX(Settings!$B$27:$B$36,MATCH(L2856,Settings!$A$27:$A$36,0))&amp;"","UNMAPPED"))</f>
        <v/>
      </c>
      <c r="T2856" s="37" t="str">
        <f aca="false">IF($M2856="","",IF(NOT(ISNUMBER(R2856)),"NO DATE",IF(S2856="Won",IF(R2856&gt;Settings!$B$5,"Backlog","Delivered"),IF(S2856="Open",IF(R2856&gt;Settings!$B$5,"Pipeline","Overdue"),IF(S2856="Lost","Lost","UNMAPPED")))))</f>
        <v/>
      </c>
      <c r="U2856" s="40" t="n">
        <f aca="false">IF(T2856="Backlog",1,IF(OR(T2856="Pipeline",T2856="Overdue"),N(INDEX(Settings!$C$27:$C$36,MATCH(L2856,Settings!$A$27:$A$36,0))),0))</f>
        <v>0</v>
      </c>
      <c r="V2856" s="38" t="n">
        <f aca="false">Q2856*U2856</f>
        <v>0</v>
      </c>
      <c r="W2856" s="41" t="str">
        <f aca="false">IF($M2856="","",IF(T2856="Overdue",IF(Settings!$B$8="Yes",Settings!$B$7,""),IF(ISNUMBER(R2856),DATE(YEAR(R2856),MONTH(R2856),1),"")))</f>
        <v/>
      </c>
      <c r="X2856" s="38" t="n">
        <f aca="false">IF(AND(OR(T2856="Backlog",T2856="Pipeline",T2856="Overdue"),ISNUMBER(W2856)),IF(W2856&lt;=Settings!$B$6,V2856,0),0)</f>
        <v>0</v>
      </c>
      <c r="Y2856" s="38" t="n">
        <f aca="false">IF(AND(OR(T2856="Backlog",T2856="Pipeline",T2856="Overdue"),ISNUMBER(W2856)),IF(W2856&lt;=Settings!$B$6,Q2856,0),0)</f>
        <v>0</v>
      </c>
      <c r="Z2856" s="38" t="n">
        <f aca="false">IF(Y2856=0,0,IF(T2856="Backlog",Q2856,Q2856*Dashboard!$C$10))</f>
        <v>0</v>
      </c>
      <c r="AA2856" s="37" t="n">
        <f aca="false">IF($N2856="",0,IF(COUNTIF(Dashboard!$C$13:$C$22,$N2856)&gt;0,1,0))</f>
        <v>0</v>
      </c>
      <c r="AB2856" s="37" t="str">
        <f aca="false">IF($N2856="","",IF(COUNTIF($N$8:$N2856,$N2856)=1,MAX($AB$7:$AB2855)+1,""))</f>
        <v/>
      </c>
    </row>
    <row r="2857" customFormat="false" ht="15" hidden="false" customHeight="false" outlineLevel="0" collapsed="false">
      <c r="L2857" s="37" t="str">
        <f aca="false">IF(INDEX($A2857:$J2857,$L$6)&lt;&gt;"",TRIM(LEFT(INDEX($A2857:$J2857,$L$6),FIND("(",INDEX($A2857:$J2857,$L$6)&amp;"(")-1)),L2856)</f>
        <v>Building Value Proposition</v>
      </c>
      <c r="M2857" s="37" t="str">
        <f aca="false">IF(INDEX($A2857:$J2857,$M$6)="","",INDEX($A2857:$J2857,$M$6)&amp;"")</f>
        <v/>
      </c>
      <c r="N2857" s="37" t="str">
        <f aca="false">IF($M2857="","",TRIM(INDEX($A2857:$J2857,$N$6)&amp;""))</f>
        <v/>
      </c>
      <c r="O2857" s="37" t="str">
        <f aca="false">IF($M2857="","",TRIM(INDEX($A2857:$J2857,$O$6)&amp;""))</f>
        <v/>
      </c>
      <c r="P2857" s="37" t="str">
        <f aca="false">IF($M2857="","",IFERROR(IF(INDEX(Settings!$B$41:$B$50,MATCH(O2857,Settings!$A$41:$A$50,0))&amp;""="","UNMAPPED",INDEX(Settings!$B$41:$B$50,MATCH(O2857,Settings!$A$41:$A$50,0))&amp;""),"UNMAPPED"))</f>
        <v/>
      </c>
      <c r="Q2857" s="38" t="n">
        <f aca="false">IF($M2857="",0,N(INDEX($A2857:$J2857,$Q$6)))</f>
        <v>0</v>
      </c>
      <c r="R2857" s="39" t="str">
        <f aca="false">IF($M2857="","",INDEX($A2857:$J2857,$R$6))</f>
        <v/>
      </c>
      <c r="S2857" s="37" t="str">
        <f aca="false">IF($M2857="","",IFERROR(INDEX(Settings!$B$27:$B$36,MATCH(L2857,Settings!$A$27:$A$36,0))&amp;"","UNMAPPED"))</f>
        <v/>
      </c>
      <c r="T2857" s="37" t="str">
        <f aca="false">IF($M2857="","",IF(NOT(ISNUMBER(R2857)),"NO DATE",IF(S2857="Won",IF(R2857&gt;Settings!$B$5,"Backlog","Delivered"),IF(S2857="Open",IF(R2857&gt;Settings!$B$5,"Pipeline","Overdue"),IF(S2857="Lost","Lost","UNMAPPED")))))</f>
        <v/>
      </c>
      <c r="U2857" s="40" t="n">
        <f aca="false">IF(T2857="Backlog",1,IF(OR(T2857="Pipeline",T2857="Overdue"),N(INDEX(Settings!$C$27:$C$36,MATCH(L2857,Settings!$A$27:$A$36,0))),0))</f>
        <v>0</v>
      </c>
      <c r="V2857" s="38" t="n">
        <f aca="false">Q2857*U2857</f>
        <v>0</v>
      </c>
      <c r="W2857" s="41" t="str">
        <f aca="false">IF($M2857="","",IF(T2857="Overdue",IF(Settings!$B$8="Yes",Settings!$B$7,""),IF(ISNUMBER(R2857),DATE(YEAR(R2857),MONTH(R2857),1),"")))</f>
        <v/>
      </c>
      <c r="X2857" s="38" t="n">
        <f aca="false">IF(AND(OR(T2857="Backlog",T2857="Pipeline",T2857="Overdue"),ISNUMBER(W2857)),IF(W2857&lt;=Settings!$B$6,V2857,0),0)</f>
        <v>0</v>
      </c>
      <c r="Y2857" s="38" t="n">
        <f aca="false">IF(AND(OR(T2857="Backlog",T2857="Pipeline",T2857="Overdue"),ISNUMBER(W2857)),IF(W2857&lt;=Settings!$B$6,Q2857,0),0)</f>
        <v>0</v>
      </c>
      <c r="Z2857" s="38" t="n">
        <f aca="false">IF(Y2857=0,0,IF(T2857="Backlog",Q2857,Q2857*Dashboard!$C$10))</f>
        <v>0</v>
      </c>
      <c r="AA2857" s="37" t="n">
        <f aca="false">IF($N2857="",0,IF(COUNTIF(Dashboard!$C$13:$C$22,$N2857)&gt;0,1,0))</f>
        <v>0</v>
      </c>
      <c r="AB2857" s="37" t="str">
        <f aca="false">IF($N2857="","",IF(COUNTIF($N$8:$N2857,$N2857)=1,MAX($AB$7:$AB2856)+1,""))</f>
        <v/>
      </c>
    </row>
    <row r="2858" customFormat="false" ht="15" hidden="false" customHeight="false" outlineLevel="0" collapsed="false">
      <c r="L2858" s="37" t="str">
        <f aca="false">IF(INDEX($A2858:$J2858,$L$6)&lt;&gt;"",TRIM(LEFT(INDEX($A2858:$J2858,$L$6),FIND("(",INDEX($A2858:$J2858,$L$6)&amp;"(")-1)),L2857)</f>
        <v>Building Value Proposition</v>
      </c>
      <c r="M2858" s="37" t="str">
        <f aca="false">IF(INDEX($A2858:$J2858,$M$6)="","",INDEX($A2858:$J2858,$M$6)&amp;"")</f>
        <v/>
      </c>
      <c r="N2858" s="37" t="str">
        <f aca="false">IF($M2858="","",TRIM(INDEX($A2858:$J2858,$N$6)&amp;""))</f>
        <v/>
      </c>
      <c r="O2858" s="37" t="str">
        <f aca="false">IF($M2858="","",TRIM(INDEX($A2858:$J2858,$O$6)&amp;""))</f>
        <v/>
      </c>
      <c r="P2858" s="37" t="str">
        <f aca="false">IF($M2858="","",IFERROR(IF(INDEX(Settings!$B$41:$B$50,MATCH(O2858,Settings!$A$41:$A$50,0))&amp;""="","UNMAPPED",INDEX(Settings!$B$41:$B$50,MATCH(O2858,Settings!$A$41:$A$50,0))&amp;""),"UNMAPPED"))</f>
        <v/>
      </c>
      <c r="Q2858" s="38" t="n">
        <f aca="false">IF($M2858="",0,N(INDEX($A2858:$J2858,$Q$6)))</f>
        <v>0</v>
      </c>
      <c r="R2858" s="39" t="str">
        <f aca="false">IF($M2858="","",INDEX($A2858:$J2858,$R$6))</f>
        <v/>
      </c>
      <c r="S2858" s="37" t="str">
        <f aca="false">IF($M2858="","",IFERROR(INDEX(Settings!$B$27:$B$36,MATCH(L2858,Settings!$A$27:$A$36,0))&amp;"","UNMAPPED"))</f>
        <v/>
      </c>
      <c r="T2858" s="37" t="str">
        <f aca="false">IF($M2858="","",IF(NOT(ISNUMBER(R2858)),"NO DATE",IF(S2858="Won",IF(R2858&gt;Settings!$B$5,"Backlog","Delivered"),IF(S2858="Open",IF(R2858&gt;Settings!$B$5,"Pipeline","Overdue"),IF(S2858="Lost","Lost","UNMAPPED")))))</f>
        <v/>
      </c>
      <c r="U2858" s="40" t="n">
        <f aca="false">IF(T2858="Backlog",1,IF(OR(T2858="Pipeline",T2858="Overdue"),N(INDEX(Settings!$C$27:$C$36,MATCH(L2858,Settings!$A$27:$A$36,0))),0))</f>
        <v>0</v>
      </c>
      <c r="V2858" s="38" t="n">
        <f aca="false">Q2858*U2858</f>
        <v>0</v>
      </c>
      <c r="W2858" s="41" t="str">
        <f aca="false">IF($M2858="","",IF(T2858="Overdue",IF(Settings!$B$8="Yes",Settings!$B$7,""),IF(ISNUMBER(R2858),DATE(YEAR(R2858),MONTH(R2858),1),"")))</f>
        <v/>
      </c>
      <c r="X2858" s="38" t="n">
        <f aca="false">IF(AND(OR(T2858="Backlog",T2858="Pipeline",T2858="Overdue"),ISNUMBER(W2858)),IF(W2858&lt;=Settings!$B$6,V2858,0),0)</f>
        <v>0</v>
      </c>
      <c r="Y2858" s="38" t="n">
        <f aca="false">IF(AND(OR(T2858="Backlog",T2858="Pipeline",T2858="Overdue"),ISNUMBER(W2858)),IF(W2858&lt;=Settings!$B$6,Q2858,0),0)</f>
        <v>0</v>
      </c>
      <c r="Z2858" s="38" t="n">
        <f aca="false">IF(Y2858=0,0,IF(T2858="Backlog",Q2858,Q2858*Dashboard!$C$10))</f>
        <v>0</v>
      </c>
      <c r="AA2858" s="37" t="n">
        <f aca="false">IF($N2858="",0,IF(COUNTIF(Dashboard!$C$13:$C$22,$N2858)&gt;0,1,0))</f>
        <v>0</v>
      </c>
      <c r="AB2858" s="37" t="str">
        <f aca="false">IF($N2858="","",IF(COUNTIF($N$8:$N2858,$N2858)=1,MAX($AB$7:$AB2857)+1,""))</f>
        <v/>
      </c>
    </row>
    <row r="2859" customFormat="false" ht="15" hidden="false" customHeight="false" outlineLevel="0" collapsed="false">
      <c r="L2859" s="37" t="str">
        <f aca="false">IF(INDEX($A2859:$J2859,$L$6)&lt;&gt;"",TRIM(LEFT(INDEX($A2859:$J2859,$L$6),FIND("(",INDEX($A2859:$J2859,$L$6)&amp;"(")-1)),L2858)</f>
        <v>Building Value Proposition</v>
      </c>
      <c r="M2859" s="37" t="str">
        <f aca="false">IF(INDEX($A2859:$J2859,$M$6)="","",INDEX($A2859:$J2859,$M$6)&amp;"")</f>
        <v/>
      </c>
      <c r="N2859" s="37" t="str">
        <f aca="false">IF($M2859="","",TRIM(INDEX($A2859:$J2859,$N$6)&amp;""))</f>
        <v/>
      </c>
      <c r="O2859" s="37" t="str">
        <f aca="false">IF($M2859="","",TRIM(INDEX($A2859:$J2859,$O$6)&amp;""))</f>
        <v/>
      </c>
      <c r="P2859" s="37" t="str">
        <f aca="false">IF($M2859="","",IFERROR(IF(INDEX(Settings!$B$41:$B$50,MATCH(O2859,Settings!$A$41:$A$50,0))&amp;""="","UNMAPPED",INDEX(Settings!$B$41:$B$50,MATCH(O2859,Settings!$A$41:$A$50,0))&amp;""),"UNMAPPED"))</f>
        <v/>
      </c>
      <c r="Q2859" s="38" t="n">
        <f aca="false">IF($M2859="",0,N(INDEX($A2859:$J2859,$Q$6)))</f>
        <v>0</v>
      </c>
      <c r="R2859" s="39" t="str">
        <f aca="false">IF($M2859="","",INDEX($A2859:$J2859,$R$6))</f>
        <v/>
      </c>
      <c r="S2859" s="37" t="str">
        <f aca="false">IF($M2859="","",IFERROR(INDEX(Settings!$B$27:$B$36,MATCH(L2859,Settings!$A$27:$A$36,0))&amp;"","UNMAPPED"))</f>
        <v/>
      </c>
      <c r="T2859" s="37" t="str">
        <f aca="false">IF($M2859="","",IF(NOT(ISNUMBER(R2859)),"NO DATE",IF(S2859="Won",IF(R2859&gt;Settings!$B$5,"Backlog","Delivered"),IF(S2859="Open",IF(R2859&gt;Settings!$B$5,"Pipeline","Overdue"),IF(S2859="Lost","Lost","UNMAPPED")))))</f>
        <v/>
      </c>
      <c r="U2859" s="40" t="n">
        <f aca="false">IF(T2859="Backlog",1,IF(OR(T2859="Pipeline",T2859="Overdue"),N(INDEX(Settings!$C$27:$C$36,MATCH(L2859,Settings!$A$27:$A$36,0))),0))</f>
        <v>0</v>
      </c>
      <c r="V2859" s="38" t="n">
        <f aca="false">Q2859*U2859</f>
        <v>0</v>
      </c>
      <c r="W2859" s="41" t="str">
        <f aca="false">IF($M2859="","",IF(T2859="Overdue",IF(Settings!$B$8="Yes",Settings!$B$7,""),IF(ISNUMBER(R2859),DATE(YEAR(R2859),MONTH(R2859),1),"")))</f>
        <v/>
      </c>
      <c r="X2859" s="38" t="n">
        <f aca="false">IF(AND(OR(T2859="Backlog",T2859="Pipeline",T2859="Overdue"),ISNUMBER(W2859)),IF(W2859&lt;=Settings!$B$6,V2859,0),0)</f>
        <v>0</v>
      </c>
      <c r="Y2859" s="38" t="n">
        <f aca="false">IF(AND(OR(T2859="Backlog",T2859="Pipeline",T2859="Overdue"),ISNUMBER(W2859)),IF(W2859&lt;=Settings!$B$6,Q2859,0),0)</f>
        <v>0</v>
      </c>
      <c r="Z2859" s="38" t="n">
        <f aca="false">IF(Y2859=0,0,IF(T2859="Backlog",Q2859,Q2859*Dashboard!$C$10))</f>
        <v>0</v>
      </c>
      <c r="AA2859" s="37" t="n">
        <f aca="false">IF($N2859="",0,IF(COUNTIF(Dashboard!$C$13:$C$22,$N2859)&gt;0,1,0))</f>
        <v>0</v>
      </c>
      <c r="AB2859" s="37" t="str">
        <f aca="false">IF($N2859="","",IF(COUNTIF($N$8:$N2859,$N2859)=1,MAX($AB$7:$AB2858)+1,""))</f>
        <v/>
      </c>
    </row>
    <row r="2860" customFormat="false" ht="15" hidden="false" customHeight="false" outlineLevel="0" collapsed="false">
      <c r="L2860" s="37" t="str">
        <f aca="false">IF(INDEX($A2860:$J2860,$L$6)&lt;&gt;"",TRIM(LEFT(INDEX($A2860:$J2860,$L$6),FIND("(",INDEX($A2860:$J2860,$L$6)&amp;"(")-1)),L2859)</f>
        <v>Building Value Proposition</v>
      </c>
      <c r="M2860" s="37" t="str">
        <f aca="false">IF(INDEX($A2860:$J2860,$M$6)="","",INDEX($A2860:$J2860,$M$6)&amp;"")</f>
        <v/>
      </c>
      <c r="N2860" s="37" t="str">
        <f aca="false">IF($M2860="","",TRIM(INDEX($A2860:$J2860,$N$6)&amp;""))</f>
        <v/>
      </c>
      <c r="O2860" s="37" t="str">
        <f aca="false">IF($M2860="","",TRIM(INDEX($A2860:$J2860,$O$6)&amp;""))</f>
        <v/>
      </c>
      <c r="P2860" s="37" t="str">
        <f aca="false">IF($M2860="","",IFERROR(IF(INDEX(Settings!$B$41:$B$50,MATCH(O2860,Settings!$A$41:$A$50,0))&amp;""="","UNMAPPED",INDEX(Settings!$B$41:$B$50,MATCH(O2860,Settings!$A$41:$A$50,0))&amp;""),"UNMAPPED"))</f>
        <v/>
      </c>
      <c r="Q2860" s="38" t="n">
        <f aca="false">IF($M2860="",0,N(INDEX($A2860:$J2860,$Q$6)))</f>
        <v>0</v>
      </c>
      <c r="R2860" s="39" t="str">
        <f aca="false">IF($M2860="","",INDEX($A2860:$J2860,$R$6))</f>
        <v/>
      </c>
      <c r="S2860" s="37" t="str">
        <f aca="false">IF($M2860="","",IFERROR(INDEX(Settings!$B$27:$B$36,MATCH(L2860,Settings!$A$27:$A$36,0))&amp;"","UNMAPPED"))</f>
        <v/>
      </c>
      <c r="T2860" s="37" t="str">
        <f aca="false">IF($M2860="","",IF(NOT(ISNUMBER(R2860)),"NO DATE",IF(S2860="Won",IF(R2860&gt;Settings!$B$5,"Backlog","Delivered"),IF(S2860="Open",IF(R2860&gt;Settings!$B$5,"Pipeline","Overdue"),IF(S2860="Lost","Lost","UNMAPPED")))))</f>
        <v/>
      </c>
      <c r="U2860" s="40" t="n">
        <f aca="false">IF(T2860="Backlog",1,IF(OR(T2860="Pipeline",T2860="Overdue"),N(INDEX(Settings!$C$27:$C$36,MATCH(L2860,Settings!$A$27:$A$36,0))),0))</f>
        <v>0</v>
      </c>
      <c r="V2860" s="38" t="n">
        <f aca="false">Q2860*U2860</f>
        <v>0</v>
      </c>
      <c r="W2860" s="41" t="str">
        <f aca="false">IF($M2860="","",IF(T2860="Overdue",IF(Settings!$B$8="Yes",Settings!$B$7,""),IF(ISNUMBER(R2860),DATE(YEAR(R2860),MONTH(R2860),1),"")))</f>
        <v/>
      </c>
      <c r="X2860" s="38" t="n">
        <f aca="false">IF(AND(OR(T2860="Backlog",T2860="Pipeline",T2860="Overdue"),ISNUMBER(W2860)),IF(W2860&lt;=Settings!$B$6,V2860,0),0)</f>
        <v>0</v>
      </c>
      <c r="Y2860" s="38" t="n">
        <f aca="false">IF(AND(OR(T2860="Backlog",T2860="Pipeline",T2860="Overdue"),ISNUMBER(W2860)),IF(W2860&lt;=Settings!$B$6,Q2860,0),0)</f>
        <v>0</v>
      </c>
      <c r="Z2860" s="38" t="n">
        <f aca="false">IF(Y2860=0,0,IF(T2860="Backlog",Q2860,Q2860*Dashboard!$C$10))</f>
        <v>0</v>
      </c>
      <c r="AA2860" s="37" t="n">
        <f aca="false">IF($N2860="",0,IF(COUNTIF(Dashboard!$C$13:$C$22,$N2860)&gt;0,1,0))</f>
        <v>0</v>
      </c>
      <c r="AB2860" s="37" t="str">
        <f aca="false">IF($N2860="","",IF(COUNTIF($N$8:$N2860,$N2860)=1,MAX($AB$7:$AB2859)+1,""))</f>
        <v/>
      </c>
    </row>
    <row r="2861" customFormat="false" ht="15" hidden="false" customHeight="false" outlineLevel="0" collapsed="false">
      <c r="L2861" s="37" t="str">
        <f aca="false">IF(INDEX($A2861:$J2861,$L$6)&lt;&gt;"",TRIM(LEFT(INDEX($A2861:$J2861,$L$6),FIND("(",INDEX($A2861:$J2861,$L$6)&amp;"(")-1)),L2860)</f>
        <v>Building Value Proposition</v>
      </c>
      <c r="M2861" s="37" t="str">
        <f aca="false">IF(INDEX($A2861:$J2861,$M$6)="","",INDEX($A2861:$J2861,$M$6)&amp;"")</f>
        <v/>
      </c>
      <c r="N2861" s="37" t="str">
        <f aca="false">IF($M2861="","",TRIM(INDEX($A2861:$J2861,$N$6)&amp;""))</f>
        <v/>
      </c>
      <c r="O2861" s="37" t="str">
        <f aca="false">IF($M2861="","",TRIM(INDEX($A2861:$J2861,$O$6)&amp;""))</f>
        <v/>
      </c>
      <c r="P2861" s="37" t="str">
        <f aca="false">IF($M2861="","",IFERROR(IF(INDEX(Settings!$B$41:$B$50,MATCH(O2861,Settings!$A$41:$A$50,0))&amp;""="","UNMAPPED",INDEX(Settings!$B$41:$B$50,MATCH(O2861,Settings!$A$41:$A$50,0))&amp;""),"UNMAPPED"))</f>
        <v/>
      </c>
      <c r="Q2861" s="38" t="n">
        <f aca="false">IF($M2861="",0,N(INDEX($A2861:$J2861,$Q$6)))</f>
        <v>0</v>
      </c>
      <c r="R2861" s="39" t="str">
        <f aca="false">IF($M2861="","",INDEX($A2861:$J2861,$R$6))</f>
        <v/>
      </c>
      <c r="S2861" s="37" t="str">
        <f aca="false">IF($M2861="","",IFERROR(INDEX(Settings!$B$27:$B$36,MATCH(L2861,Settings!$A$27:$A$36,0))&amp;"","UNMAPPED"))</f>
        <v/>
      </c>
      <c r="T2861" s="37" t="str">
        <f aca="false">IF($M2861="","",IF(NOT(ISNUMBER(R2861)),"NO DATE",IF(S2861="Won",IF(R2861&gt;Settings!$B$5,"Backlog","Delivered"),IF(S2861="Open",IF(R2861&gt;Settings!$B$5,"Pipeline","Overdue"),IF(S2861="Lost","Lost","UNMAPPED")))))</f>
        <v/>
      </c>
      <c r="U2861" s="40" t="n">
        <f aca="false">IF(T2861="Backlog",1,IF(OR(T2861="Pipeline",T2861="Overdue"),N(INDEX(Settings!$C$27:$C$36,MATCH(L2861,Settings!$A$27:$A$36,0))),0))</f>
        <v>0</v>
      </c>
      <c r="V2861" s="38" t="n">
        <f aca="false">Q2861*U2861</f>
        <v>0</v>
      </c>
      <c r="W2861" s="41" t="str">
        <f aca="false">IF($M2861="","",IF(T2861="Overdue",IF(Settings!$B$8="Yes",Settings!$B$7,""),IF(ISNUMBER(R2861),DATE(YEAR(R2861),MONTH(R2861),1),"")))</f>
        <v/>
      </c>
      <c r="X2861" s="38" t="n">
        <f aca="false">IF(AND(OR(T2861="Backlog",T2861="Pipeline",T2861="Overdue"),ISNUMBER(W2861)),IF(W2861&lt;=Settings!$B$6,V2861,0),0)</f>
        <v>0</v>
      </c>
      <c r="Y2861" s="38" t="n">
        <f aca="false">IF(AND(OR(T2861="Backlog",T2861="Pipeline",T2861="Overdue"),ISNUMBER(W2861)),IF(W2861&lt;=Settings!$B$6,Q2861,0),0)</f>
        <v>0</v>
      </c>
      <c r="Z2861" s="38" t="n">
        <f aca="false">IF(Y2861=0,0,IF(T2861="Backlog",Q2861,Q2861*Dashboard!$C$10))</f>
        <v>0</v>
      </c>
      <c r="AA2861" s="37" t="n">
        <f aca="false">IF($N2861="",0,IF(COUNTIF(Dashboard!$C$13:$C$22,$N2861)&gt;0,1,0))</f>
        <v>0</v>
      </c>
      <c r="AB2861" s="37" t="str">
        <f aca="false">IF($N2861="","",IF(COUNTIF($N$8:$N2861,$N2861)=1,MAX($AB$7:$AB2860)+1,""))</f>
        <v/>
      </c>
    </row>
    <row r="2862" customFormat="false" ht="15" hidden="false" customHeight="false" outlineLevel="0" collapsed="false">
      <c r="L2862" s="37" t="str">
        <f aca="false">IF(INDEX($A2862:$J2862,$L$6)&lt;&gt;"",TRIM(LEFT(INDEX($A2862:$J2862,$L$6),FIND("(",INDEX($A2862:$J2862,$L$6)&amp;"(")-1)),L2861)</f>
        <v>Building Value Proposition</v>
      </c>
      <c r="M2862" s="37" t="str">
        <f aca="false">IF(INDEX($A2862:$J2862,$M$6)="","",INDEX($A2862:$J2862,$M$6)&amp;"")</f>
        <v/>
      </c>
      <c r="N2862" s="37" t="str">
        <f aca="false">IF($M2862="","",TRIM(INDEX($A2862:$J2862,$N$6)&amp;""))</f>
        <v/>
      </c>
      <c r="O2862" s="37" t="str">
        <f aca="false">IF($M2862="","",TRIM(INDEX($A2862:$J2862,$O$6)&amp;""))</f>
        <v/>
      </c>
      <c r="P2862" s="37" t="str">
        <f aca="false">IF($M2862="","",IFERROR(IF(INDEX(Settings!$B$41:$B$50,MATCH(O2862,Settings!$A$41:$A$50,0))&amp;""="","UNMAPPED",INDEX(Settings!$B$41:$B$50,MATCH(O2862,Settings!$A$41:$A$50,0))&amp;""),"UNMAPPED"))</f>
        <v/>
      </c>
      <c r="Q2862" s="38" t="n">
        <f aca="false">IF($M2862="",0,N(INDEX($A2862:$J2862,$Q$6)))</f>
        <v>0</v>
      </c>
      <c r="R2862" s="39" t="str">
        <f aca="false">IF($M2862="","",INDEX($A2862:$J2862,$R$6))</f>
        <v/>
      </c>
      <c r="S2862" s="37" t="str">
        <f aca="false">IF($M2862="","",IFERROR(INDEX(Settings!$B$27:$B$36,MATCH(L2862,Settings!$A$27:$A$36,0))&amp;"","UNMAPPED"))</f>
        <v/>
      </c>
      <c r="T2862" s="37" t="str">
        <f aca="false">IF($M2862="","",IF(NOT(ISNUMBER(R2862)),"NO DATE",IF(S2862="Won",IF(R2862&gt;Settings!$B$5,"Backlog","Delivered"),IF(S2862="Open",IF(R2862&gt;Settings!$B$5,"Pipeline","Overdue"),IF(S2862="Lost","Lost","UNMAPPED")))))</f>
        <v/>
      </c>
      <c r="U2862" s="40" t="n">
        <f aca="false">IF(T2862="Backlog",1,IF(OR(T2862="Pipeline",T2862="Overdue"),N(INDEX(Settings!$C$27:$C$36,MATCH(L2862,Settings!$A$27:$A$36,0))),0))</f>
        <v>0</v>
      </c>
      <c r="V2862" s="38" t="n">
        <f aca="false">Q2862*U2862</f>
        <v>0</v>
      </c>
      <c r="W2862" s="41" t="str">
        <f aca="false">IF($M2862="","",IF(T2862="Overdue",IF(Settings!$B$8="Yes",Settings!$B$7,""),IF(ISNUMBER(R2862),DATE(YEAR(R2862),MONTH(R2862),1),"")))</f>
        <v/>
      </c>
      <c r="X2862" s="38" t="n">
        <f aca="false">IF(AND(OR(T2862="Backlog",T2862="Pipeline",T2862="Overdue"),ISNUMBER(W2862)),IF(W2862&lt;=Settings!$B$6,V2862,0),0)</f>
        <v>0</v>
      </c>
      <c r="Y2862" s="38" t="n">
        <f aca="false">IF(AND(OR(T2862="Backlog",T2862="Pipeline",T2862="Overdue"),ISNUMBER(W2862)),IF(W2862&lt;=Settings!$B$6,Q2862,0),0)</f>
        <v>0</v>
      </c>
      <c r="Z2862" s="38" t="n">
        <f aca="false">IF(Y2862=0,0,IF(T2862="Backlog",Q2862,Q2862*Dashboard!$C$10))</f>
        <v>0</v>
      </c>
      <c r="AA2862" s="37" t="n">
        <f aca="false">IF($N2862="",0,IF(COUNTIF(Dashboard!$C$13:$C$22,$N2862)&gt;0,1,0))</f>
        <v>0</v>
      </c>
      <c r="AB2862" s="37" t="str">
        <f aca="false">IF($N2862="","",IF(COUNTIF($N$8:$N2862,$N2862)=1,MAX($AB$7:$AB2861)+1,""))</f>
        <v/>
      </c>
    </row>
    <row r="2863" customFormat="false" ht="15" hidden="false" customHeight="false" outlineLevel="0" collapsed="false">
      <c r="L2863" s="37" t="str">
        <f aca="false">IF(INDEX($A2863:$J2863,$L$6)&lt;&gt;"",TRIM(LEFT(INDEX($A2863:$J2863,$L$6),FIND("(",INDEX($A2863:$J2863,$L$6)&amp;"(")-1)),L2862)</f>
        <v>Building Value Proposition</v>
      </c>
      <c r="M2863" s="37" t="str">
        <f aca="false">IF(INDEX($A2863:$J2863,$M$6)="","",INDEX($A2863:$J2863,$M$6)&amp;"")</f>
        <v/>
      </c>
      <c r="N2863" s="37" t="str">
        <f aca="false">IF($M2863="","",TRIM(INDEX($A2863:$J2863,$N$6)&amp;""))</f>
        <v/>
      </c>
      <c r="O2863" s="37" t="str">
        <f aca="false">IF($M2863="","",TRIM(INDEX($A2863:$J2863,$O$6)&amp;""))</f>
        <v/>
      </c>
      <c r="P2863" s="37" t="str">
        <f aca="false">IF($M2863="","",IFERROR(IF(INDEX(Settings!$B$41:$B$50,MATCH(O2863,Settings!$A$41:$A$50,0))&amp;""="","UNMAPPED",INDEX(Settings!$B$41:$B$50,MATCH(O2863,Settings!$A$41:$A$50,0))&amp;""),"UNMAPPED"))</f>
        <v/>
      </c>
      <c r="Q2863" s="38" t="n">
        <f aca="false">IF($M2863="",0,N(INDEX($A2863:$J2863,$Q$6)))</f>
        <v>0</v>
      </c>
      <c r="R2863" s="39" t="str">
        <f aca="false">IF($M2863="","",INDEX($A2863:$J2863,$R$6))</f>
        <v/>
      </c>
      <c r="S2863" s="37" t="str">
        <f aca="false">IF($M2863="","",IFERROR(INDEX(Settings!$B$27:$B$36,MATCH(L2863,Settings!$A$27:$A$36,0))&amp;"","UNMAPPED"))</f>
        <v/>
      </c>
      <c r="T2863" s="37" t="str">
        <f aca="false">IF($M2863="","",IF(NOT(ISNUMBER(R2863)),"NO DATE",IF(S2863="Won",IF(R2863&gt;Settings!$B$5,"Backlog","Delivered"),IF(S2863="Open",IF(R2863&gt;Settings!$B$5,"Pipeline","Overdue"),IF(S2863="Lost","Lost","UNMAPPED")))))</f>
        <v/>
      </c>
      <c r="U2863" s="40" t="n">
        <f aca="false">IF(T2863="Backlog",1,IF(OR(T2863="Pipeline",T2863="Overdue"),N(INDEX(Settings!$C$27:$C$36,MATCH(L2863,Settings!$A$27:$A$36,0))),0))</f>
        <v>0</v>
      </c>
      <c r="V2863" s="38" t="n">
        <f aca="false">Q2863*U2863</f>
        <v>0</v>
      </c>
      <c r="W2863" s="41" t="str">
        <f aca="false">IF($M2863="","",IF(T2863="Overdue",IF(Settings!$B$8="Yes",Settings!$B$7,""),IF(ISNUMBER(R2863),DATE(YEAR(R2863),MONTH(R2863),1),"")))</f>
        <v/>
      </c>
      <c r="X2863" s="38" t="n">
        <f aca="false">IF(AND(OR(T2863="Backlog",T2863="Pipeline",T2863="Overdue"),ISNUMBER(W2863)),IF(W2863&lt;=Settings!$B$6,V2863,0),0)</f>
        <v>0</v>
      </c>
      <c r="Y2863" s="38" t="n">
        <f aca="false">IF(AND(OR(T2863="Backlog",T2863="Pipeline",T2863="Overdue"),ISNUMBER(W2863)),IF(W2863&lt;=Settings!$B$6,Q2863,0),0)</f>
        <v>0</v>
      </c>
      <c r="Z2863" s="38" t="n">
        <f aca="false">IF(Y2863=0,0,IF(T2863="Backlog",Q2863,Q2863*Dashboard!$C$10))</f>
        <v>0</v>
      </c>
      <c r="AA2863" s="37" t="n">
        <f aca="false">IF($N2863="",0,IF(COUNTIF(Dashboard!$C$13:$C$22,$N2863)&gt;0,1,0))</f>
        <v>0</v>
      </c>
      <c r="AB2863" s="37" t="str">
        <f aca="false">IF($N2863="","",IF(COUNTIF($N$8:$N2863,$N2863)=1,MAX($AB$7:$AB2862)+1,""))</f>
        <v/>
      </c>
    </row>
    <row r="2864" customFormat="false" ht="15" hidden="false" customHeight="false" outlineLevel="0" collapsed="false">
      <c r="L2864" s="37" t="str">
        <f aca="false">IF(INDEX($A2864:$J2864,$L$6)&lt;&gt;"",TRIM(LEFT(INDEX($A2864:$J2864,$L$6),FIND("(",INDEX($A2864:$J2864,$L$6)&amp;"(")-1)),L2863)</f>
        <v>Building Value Proposition</v>
      </c>
      <c r="M2864" s="37" t="str">
        <f aca="false">IF(INDEX($A2864:$J2864,$M$6)="","",INDEX($A2864:$J2864,$M$6)&amp;"")</f>
        <v/>
      </c>
      <c r="N2864" s="37" t="str">
        <f aca="false">IF($M2864="","",TRIM(INDEX($A2864:$J2864,$N$6)&amp;""))</f>
        <v/>
      </c>
      <c r="O2864" s="37" t="str">
        <f aca="false">IF($M2864="","",TRIM(INDEX($A2864:$J2864,$O$6)&amp;""))</f>
        <v/>
      </c>
      <c r="P2864" s="37" t="str">
        <f aca="false">IF($M2864="","",IFERROR(IF(INDEX(Settings!$B$41:$B$50,MATCH(O2864,Settings!$A$41:$A$50,0))&amp;""="","UNMAPPED",INDEX(Settings!$B$41:$B$50,MATCH(O2864,Settings!$A$41:$A$50,0))&amp;""),"UNMAPPED"))</f>
        <v/>
      </c>
      <c r="Q2864" s="38" t="n">
        <f aca="false">IF($M2864="",0,N(INDEX($A2864:$J2864,$Q$6)))</f>
        <v>0</v>
      </c>
      <c r="R2864" s="39" t="str">
        <f aca="false">IF($M2864="","",INDEX($A2864:$J2864,$R$6))</f>
        <v/>
      </c>
      <c r="S2864" s="37" t="str">
        <f aca="false">IF($M2864="","",IFERROR(INDEX(Settings!$B$27:$B$36,MATCH(L2864,Settings!$A$27:$A$36,0))&amp;"","UNMAPPED"))</f>
        <v/>
      </c>
      <c r="T2864" s="37" t="str">
        <f aca="false">IF($M2864="","",IF(NOT(ISNUMBER(R2864)),"NO DATE",IF(S2864="Won",IF(R2864&gt;Settings!$B$5,"Backlog","Delivered"),IF(S2864="Open",IF(R2864&gt;Settings!$B$5,"Pipeline","Overdue"),IF(S2864="Lost","Lost","UNMAPPED")))))</f>
        <v/>
      </c>
      <c r="U2864" s="40" t="n">
        <f aca="false">IF(T2864="Backlog",1,IF(OR(T2864="Pipeline",T2864="Overdue"),N(INDEX(Settings!$C$27:$C$36,MATCH(L2864,Settings!$A$27:$A$36,0))),0))</f>
        <v>0</v>
      </c>
      <c r="V2864" s="38" t="n">
        <f aca="false">Q2864*U2864</f>
        <v>0</v>
      </c>
      <c r="W2864" s="41" t="str">
        <f aca="false">IF($M2864="","",IF(T2864="Overdue",IF(Settings!$B$8="Yes",Settings!$B$7,""),IF(ISNUMBER(R2864),DATE(YEAR(R2864),MONTH(R2864),1),"")))</f>
        <v/>
      </c>
      <c r="X2864" s="38" t="n">
        <f aca="false">IF(AND(OR(T2864="Backlog",T2864="Pipeline",T2864="Overdue"),ISNUMBER(W2864)),IF(W2864&lt;=Settings!$B$6,V2864,0),0)</f>
        <v>0</v>
      </c>
      <c r="Y2864" s="38" t="n">
        <f aca="false">IF(AND(OR(T2864="Backlog",T2864="Pipeline",T2864="Overdue"),ISNUMBER(W2864)),IF(W2864&lt;=Settings!$B$6,Q2864,0),0)</f>
        <v>0</v>
      </c>
      <c r="Z2864" s="38" t="n">
        <f aca="false">IF(Y2864=0,0,IF(T2864="Backlog",Q2864,Q2864*Dashboard!$C$10))</f>
        <v>0</v>
      </c>
      <c r="AA2864" s="37" t="n">
        <f aca="false">IF($N2864="",0,IF(COUNTIF(Dashboard!$C$13:$C$22,$N2864)&gt;0,1,0))</f>
        <v>0</v>
      </c>
      <c r="AB2864" s="37" t="str">
        <f aca="false">IF($N2864="","",IF(COUNTIF($N$8:$N2864,$N2864)=1,MAX($AB$7:$AB2863)+1,""))</f>
        <v/>
      </c>
    </row>
    <row r="2865" customFormat="false" ht="15" hidden="false" customHeight="false" outlineLevel="0" collapsed="false">
      <c r="L2865" s="37" t="str">
        <f aca="false">IF(INDEX($A2865:$J2865,$L$6)&lt;&gt;"",TRIM(LEFT(INDEX($A2865:$J2865,$L$6),FIND("(",INDEX($A2865:$J2865,$L$6)&amp;"(")-1)),L2864)</f>
        <v>Building Value Proposition</v>
      </c>
      <c r="M2865" s="37" t="str">
        <f aca="false">IF(INDEX($A2865:$J2865,$M$6)="","",INDEX($A2865:$J2865,$M$6)&amp;"")</f>
        <v/>
      </c>
      <c r="N2865" s="37" t="str">
        <f aca="false">IF($M2865="","",TRIM(INDEX($A2865:$J2865,$N$6)&amp;""))</f>
        <v/>
      </c>
      <c r="O2865" s="37" t="str">
        <f aca="false">IF($M2865="","",TRIM(INDEX($A2865:$J2865,$O$6)&amp;""))</f>
        <v/>
      </c>
      <c r="P2865" s="37" t="str">
        <f aca="false">IF($M2865="","",IFERROR(IF(INDEX(Settings!$B$41:$B$50,MATCH(O2865,Settings!$A$41:$A$50,0))&amp;""="","UNMAPPED",INDEX(Settings!$B$41:$B$50,MATCH(O2865,Settings!$A$41:$A$50,0))&amp;""),"UNMAPPED"))</f>
        <v/>
      </c>
      <c r="Q2865" s="38" t="n">
        <f aca="false">IF($M2865="",0,N(INDEX($A2865:$J2865,$Q$6)))</f>
        <v>0</v>
      </c>
      <c r="R2865" s="39" t="str">
        <f aca="false">IF($M2865="","",INDEX($A2865:$J2865,$R$6))</f>
        <v/>
      </c>
      <c r="S2865" s="37" t="str">
        <f aca="false">IF($M2865="","",IFERROR(INDEX(Settings!$B$27:$B$36,MATCH(L2865,Settings!$A$27:$A$36,0))&amp;"","UNMAPPED"))</f>
        <v/>
      </c>
      <c r="T2865" s="37" t="str">
        <f aca="false">IF($M2865="","",IF(NOT(ISNUMBER(R2865)),"NO DATE",IF(S2865="Won",IF(R2865&gt;Settings!$B$5,"Backlog","Delivered"),IF(S2865="Open",IF(R2865&gt;Settings!$B$5,"Pipeline","Overdue"),IF(S2865="Lost","Lost","UNMAPPED")))))</f>
        <v/>
      </c>
      <c r="U2865" s="40" t="n">
        <f aca="false">IF(T2865="Backlog",1,IF(OR(T2865="Pipeline",T2865="Overdue"),N(INDEX(Settings!$C$27:$C$36,MATCH(L2865,Settings!$A$27:$A$36,0))),0))</f>
        <v>0</v>
      </c>
      <c r="V2865" s="38" t="n">
        <f aca="false">Q2865*U2865</f>
        <v>0</v>
      </c>
      <c r="W2865" s="41" t="str">
        <f aca="false">IF($M2865="","",IF(T2865="Overdue",IF(Settings!$B$8="Yes",Settings!$B$7,""),IF(ISNUMBER(R2865),DATE(YEAR(R2865),MONTH(R2865),1),"")))</f>
        <v/>
      </c>
      <c r="X2865" s="38" t="n">
        <f aca="false">IF(AND(OR(T2865="Backlog",T2865="Pipeline",T2865="Overdue"),ISNUMBER(W2865)),IF(W2865&lt;=Settings!$B$6,V2865,0),0)</f>
        <v>0</v>
      </c>
      <c r="Y2865" s="38" t="n">
        <f aca="false">IF(AND(OR(T2865="Backlog",T2865="Pipeline",T2865="Overdue"),ISNUMBER(W2865)),IF(W2865&lt;=Settings!$B$6,Q2865,0),0)</f>
        <v>0</v>
      </c>
      <c r="Z2865" s="38" t="n">
        <f aca="false">IF(Y2865=0,0,IF(T2865="Backlog",Q2865,Q2865*Dashboard!$C$10))</f>
        <v>0</v>
      </c>
      <c r="AA2865" s="37" t="n">
        <f aca="false">IF($N2865="",0,IF(COUNTIF(Dashboard!$C$13:$C$22,$N2865)&gt;0,1,0))</f>
        <v>0</v>
      </c>
      <c r="AB2865" s="37" t="str">
        <f aca="false">IF($N2865="","",IF(COUNTIF($N$8:$N2865,$N2865)=1,MAX($AB$7:$AB2864)+1,""))</f>
        <v/>
      </c>
    </row>
    <row r="2866" customFormat="false" ht="15" hidden="false" customHeight="false" outlineLevel="0" collapsed="false">
      <c r="L2866" s="37" t="str">
        <f aca="false">IF(INDEX($A2866:$J2866,$L$6)&lt;&gt;"",TRIM(LEFT(INDEX($A2866:$J2866,$L$6),FIND("(",INDEX($A2866:$J2866,$L$6)&amp;"(")-1)),L2865)</f>
        <v>Building Value Proposition</v>
      </c>
      <c r="M2866" s="37" t="str">
        <f aca="false">IF(INDEX($A2866:$J2866,$M$6)="","",INDEX($A2866:$J2866,$M$6)&amp;"")</f>
        <v/>
      </c>
      <c r="N2866" s="37" t="str">
        <f aca="false">IF($M2866="","",TRIM(INDEX($A2866:$J2866,$N$6)&amp;""))</f>
        <v/>
      </c>
      <c r="O2866" s="37" t="str">
        <f aca="false">IF($M2866="","",TRIM(INDEX($A2866:$J2866,$O$6)&amp;""))</f>
        <v/>
      </c>
      <c r="P2866" s="37" t="str">
        <f aca="false">IF($M2866="","",IFERROR(IF(INDEX(Settings!$B$41:$B$50,MATCH(O2866,Settings!$A$41:$A$50,0))&amp;""="","UNMAPPED",INDEX(Settings!$B$41:$B$50,MATCH(O2866,Settings!$A$41:$A$50,0))&amp;""),"UNMAPPED"))</f>
        <v/>
      </c>
      <c r="Q2866" s="38" t="n">
        <f aca="false">IF($M2866="",0,N(INDEX($A2866:$J2866,$Q$6)))</f>
        <v>0</v>
      </c>
      <c r="R2866" s="39" t="str">
        <f aca="false">IF($M2866="","",INDEX($A2866:$J2866,$R$6))</f>
        <v/>
      </c>
      <c r="S2866" s="37" t="str">
        <f aca="false">IF($M2866="","",IFERROR(INDEX(Settings!$B$27:$B$36,MATCH(L2866,Settings!$A$27:$A$36,0))&amp;"","UNMAPPED"))</f>
        <v/>
      </c>
      <c r="T2866" s="37" t="str">
        <f aca="false">IF($M2866="","",IF(NOT(ISNUMBER(R2866)),"NO DATE",IF(S2866="Won",IF(R2866&gt;Settings!$B$5,"Backlog","Delivered"),IF(S2866="Open",IF(R2866&gt;Settings!$B$5,"Pipeline","Overdue"),IF(S2866="Lost","Lost","UNMAPPED")))))</f>
        <v/>
      </c>
      <c r="U2866" s="40" t="n">
        <f aca="false">IF(T2866="Backlog",1,IF(OR(T2866="Pipeline",T2866="Overdue"),N(INDEX(Settings!$C$27:$C$36,MATCH(L2866,Settings!$A$27:$A$36,0))),0))</f>
        <v>0</v>
      </c>
      <c r="V2866" s="38" t="n">
        <f aca="false">Q2866*U2866</f>
        <v>0</v>
      </c>
      <c r="W2866" s="41" t="str">
        <f aca="false">IF($M2866="","",IF(T2866="Overdue",IF(Settings!$B$8="Yes",Settings!$B$7,""),IF(ISNUMBER(R2866),DATE(YEAR(R2866),MONTH(R2866),1),"")))</f>
        <v/>
      </c>
      <c r="X2866" s="38" t="n">
        <f aca="false">IF(AND(OR(T2866="Backlog",T2866="Pipeline",T2866="Overdue"),ISNUMBER(W2866)),IF(W2866&lt;=Settings!$B$6,V2866,0),0)</f>
        <v>0</v>
      </c>
      <c r="Y2866" s="38" t="n">
        <f aca="false">IF(AND(OR(T2866="Backlog",T2866="Pipeline",T2866="Overdue"),ISNUMBER(W2866)),IF(W2866&lt;=Settings!$B$6,Q2866,0),0)</f>
        <v>0</v>
      </c>
      <c r="Z2866" s="38" t="n">
        <f aca="false">IF(Y2866=0,0,IF(T2866="Backlog",Q2866,Q2866*Dashboard!$C$10))</f>
        <v>0</v>
      </c>
      <c r="AA2866" s="37" t="n">
        <f aca="false">IF($N2866="",0,IF(COUNTIF(Dashboard!$C$13:$C$22,$N2866)&gt;0,1,0))</f>
        <v>0</v>
      </c>
      <c r="AB2866" s="37" t="str">
        <f aca="false">IF($N2866="","",IF(COUNTIF($N$8:$N2866,$N2866)=1,MAX($AB$7:$AB2865)+1,""))</f>
        <v/>
      </c>
    </row>
    <row r="2867" customFormat="false" ht="15" hidden="false" customHeight="false" outlineLevel="0" collapsed="false">
      <c r="L2867" s="37" t="str">
        <f aca="false">IF(INDEX($A2867:$J2867,$L$6)&lt;&gt;"",TRIM(LEFT(INDEX($A2867:$J2867,$L$6),FIND("(",INDEX($A2867:$J2867,$L$6)&amp;"(")-1)),L2866)</f>
        <v>Building Value Proposition</v>
      </c>
      <c r="M2867" s="37" t="str">
        <f aca="false">IF(INDEX($A2867:$J2867,$M$6)="","",INDEX($A2867:$J2867,$M$6)&amp;"")</f>
        <v/>
      </c>
      <c r="N2867" s="37" t="str">
        <f aca="false">IF($M2867="","",TRIM(INDEX($A2867:$J2867,$N$6)&amp;""))</f>
        <v/>
      </c>
      <c r="O2867" s="37" t="str">
        <f aca="false">IF($M2867="","",TRIM(INDEX($A2867:$J2867,$O$6)&amp;""))</f>
        <v/>
      </c>
      <c r="P2867" s="37" t="str">
        <f aca="false">IF($M2867="","",IFERROR(IF(INDEX(Settings!$B$41:$B$50,MATCH(O2867,Settings!$A$41:$A$50,0))&amp;""="","UNMAPPED",INDEX(Settings!$B$41:$B$50,MATCH(O2867,Settings!$A$41:$A$50,0))&amp;""),"UNMAPPED"))</f>
        <v/>
      </c>
      <c r="Q2867" s="38" t="n">
        <f aca="false">IF($M2867="",0,N(INDEX($A2867:$J2867,$Q$6)))</f>
        <v>0</v>
      </c>
      <c r="R2867" s="39" t="str">
        <f aca="false">IF($M2867="","",INDEX($A2867:$J2867,$R$6))</f>
        <v/>
      </c>
      <c r="S2867" s="37" t="str">
        <f aca="false">IF($M2867="","",IFERROR(INDEX(Settings!$B$27:$B$36,MATCH(L2867,Settings!$A$27:$A$36,0))&amp;"","UNMAPPED"))</f>
        <v/>
      </c>
      <c r="T2867" s="37" t="str">
        <f aca="false">IF($M2867="","",IF(NOT(ISNUMBER(R2867)),"NO DATE",IF(S2867="Won",IF(R2867&gt;Settings!$B$5,"Backlog","Delivered"),IF(S2867="Open",IF(R2867&gt;Settings!$B$5,"Pipeline","Overdue"),IF(S2867="Lost","Lost","UNMAPPED")))))</f>
        <v/>
      </c>
      <c r="U2867" s="40" t="n">
        <f aca="false">IF(T2867="Backlog",1,IF(OR(T2867="Pipeline",T2867="Overdue"),N(INDEX(Settings!$C$27:$C$36,MATCH(L2867,Settings!$A$27:$A$36,0))),0))</f>
        <v>0</v>
      </c>
      <c r="V2867" s="38" t="n">
        <f aca="false">Q2867*U2867</f>
        <v>0</v>
      </c>
      <c r="W2867" s="41" t="str">
        <f aca="false">IF($M2867="","",IF(T2867="Overdue",IF(Settings!$B$8="Yes",Settings!$B$7,""),IF(ISNUMBER(R2867),DATE(YEAR(R2867),MONTH(R2867),1),"")))</f>
        <v/>
      </c>
      <c r="X2867" s="38" t="n">
        <f aca="false">IF(AND(OR(T2867="Backlog",T2867="Pipeline",T2867="Overdue"),ISNUMBER(W2867)),IF(W2867&lt;=Settings!$B$6,V2867,0),0)</f>
        <v>0</v>
      </c>
      <c r="Y2867" s="38" t="n">
        <f aca="false">IF(AND(OR(T2867="Backlog",T2867="Pipeline",T2867="Overdue"),ISNUMBER(W2867)),IF(W2867&lt;=Settings!$B$6,Q2867,0),0)</f>
        <v>0</v>
      </c>
      <c r="Z2867" s="38" t="n">
        <f aca="false">IF(Y2867=0,0,IF(T2867="Backlog",Q2867,Q2867*Dashboard!$C$10))</f>
        <v>0</v>
      </c>
      <c r="AA2867" s="37" t="n">
        <f aca="false">IF($N2867="",0,IF(COUNTIF(Dashboard!$C$13:$C$22,$N2867)&gt;0,1,0))</f>
        <v>0</v>
      </c>
      <c r="AB2867" s="37" t="str">
        <f aca="false">IF($N2867="","",IF(COUNTIF($N$8:$N2867,$N2867)=1,MAX($AB$7:$AB2866)+1,""))</f>
        <v/>
      </c>
    </row>
    <row r="2868" customFormat="false" ht="15" hidden="false" customHeight="false" outlineLevel="0" collapsed="false">
      <c r="L2868" s="37" t="str">
        <f aca="false">IF(INDEX($A2868:$J2868,$L$6)&lt;&gt;"",TRIM(LEFT(INDEX($A2868:$J2868,$L$6),FIND("(",INDEX($A2868:$J2868,$L$6)&amp;"(")-1)),L2867)</f>
        <v>Building Value Proposition</v>
      </c>
      <c r="M2868" s="37" t="str">
        <f aca="false">IF(INDEX($A2868:$J2868,$M$6)="","",INDEX($A2868:$J2868,$M$6)&amp;"")</f>
        <v/>
      </c>
      <c r="N2868" s="37" t="str">
        <f aca="false">IF($M2868="","",TRIM(INDEX($A2868:$J2868,$N$6)&amp;""))</f>
        <v/>
      </c>
      <c r="O2868" s="37" t="str">
        <f aca="false">IF($M2868="","",TRIM(INDEX($A2868:$J2868,$O$6)&amp;""))</f>
        <v/>
      </c>
      <c r="P2868" s="37" t="str">
        <f aca="false">IF($M2868="","",IFERROR(IF(INDEX(Settings!$B$41:$B$50,MATCH(O2868,Settings!$A$41:$A$50,0))&amp;""="","UNMAPPED",INDEX(Settings!$B$41:$B$50,MATCH(O2868,Settings!$A$41:$A$50,0))&amp;""),"UNMAPPED"))</f>
        <v/>
      </c>
      <c r="Q2868" s="38" t="n">
        <f aca="false">IF($M2868="",0,N(INDEX($A2868:$J2868,$Q$6)))</f>
        <v>0</v>
      </c>
      <c r="R2868" s="39" t="str">
        <f aca="false">IF($M2868="","",INDEX($A2868:$J2868,$R$6))</f>
        <v/>
      </c>
      <c r="S2868" s="37" t="str">
        <f aca="false">IF($M2868="","",IFERROR(INDEX(Settings!$B$27:$B$36,MATCH(L2868,Settings!$A$27:$A$36,0))&amp;"","UNMAPPED"))</f>
        <v/>
      </c>
      <c r="T2868" s="37" t="str">
        <f aca="false">IF($M2868="","",IF(NOT(ISNUMBER(R2868)),"NO DATE",IF(S2868="Won",IF(R2868&gt;Settings!$B$5,"Backlog","Delivered"),IF(S2868="Open",IF(R2868&gt;Settings!$B$5,"Pipeline","Overdue"),IF(S2868="Lost","Lost","UNMAPPED")))))</f>
        <v/>
      </c>
      <c r="U2868" s="40" t="n">
        <f aca="false">IF(T2868="Backlog",1,IF(OR(T2868="Pipeline",T2868="Overdue"),N(INDEX(Settings!$C$27:$C$36,MATCH(L2868,Settings!$A$27:$A$36,0))),0))</f>
        <v>0</v>
      </c>
      <c r="V2868" s="38" t="n">
        <f aca="false">Q2868*U2868</f>
        <v>0</v>
      </c>
      <c r="W2868" s="41" t="str">
        <f aca="false">IF($M2868="","",IF(T2868="Overdue",IF(Settings!$B$8="Yes",Settings!$B$7,""),IF(ISNUMBER(R2868),DATE(YEAR(R2868),MONTH(R2868),1),"")))</f>
        <v/>
      </c>
      <c r="X2868" s="38" t="n">
        <f aca="false">IF(AND(OR(T2868="Backlog",T2868="Pipeline",T2868="Overdue"),ISNUMBER(W2868)),IF(W2868&lt;=Settings!$B$6,V2868,0),0)</f>
        <v>0</v>
      </c>
      <c r="Y2868" s="38" t="n">
        <f aca="false">IF(AND(OR(T2868="Backlog",T2868="Pipeline",T2868="Overdue"),ISNUMBER(W2868)),IF(W2868&lt;=Settings!$B$6,Q2868,0),0)</f>
        <v>0</v>
      </c>
      <c r="Z2868" s="38" t="n">
        <f aca="false">IF(Y2868=0,0,IF(T2868="Backlog",Q2868,Q2868*Dashboard!$C$10))</f>
        <v>0</v>
      </c>
      <c r="AA2868" s="37" t="n">
        <f aca="false">IF($N2868="",0,IF(COUNTIF(Dashboard!$C$13:$C$22,$N2868)&gt;0,1,0))</f>
        <v>0</v>
      </c>
      <c r="AB2868" s="37" t="str">
        <f aca="false">IF($N2868="","",IF(COUNTIF($N$8:$N2868,$N2868)=1,MAX($AB$7:$AB2867)+1,""))</f>
        <v/>
      </c>
    </row>
    <row r="2869" customFormat="false" ht="15" hidden="false" customHeight="false" outlineLevel="0" collapsed="false">
      <c r="L2869" s="37" t="str">
        <f aca="false">IF(INDEX($A2869:$J2869,$L$6)&lt;&gt;"",TRIM(LEFT(INDEX($A2869:$J2869,$L$6),FIND("(",INDEX($A2869:$J2869,$L$6)&amp;"(")-1)),L2868)</f>
        <v>Building Value Proposition</v>
      </c>
      <c r="M2869" s="37" t="str">
        <f aca="false">IF(INDEX($A2869:$J2869,$M$6)="","",INDEX($A2869:$J2869,$M$6)&amp;"")</f>
        <v/>
      </c>
      <c r="N2869" s="37" t="str">
        <f aca="false">IF($M2869="","",TRIM(INDEX($A2869:$J2869,$N$6)&amp;""))</f>
        <v/>
      </c>
      <c r="O2869" s="37" t="str">
        <f aca="false">IF($M2869="","",TRIM(INDEX($A2869:$J2869,$O$6)&amp;""))</f>
        <v/>
      </c>
      <c r="P2869" s="37" t="str">
        <f aca="false">IF($M2869="","",IFERROR(IF(INDEX(Settings!$B$41:$B$50,MATCH(O2869,Settings!$A$41:$A$50,0))&amp;""="","UNMAPPED",INDEX(Settings!$B$41:$B$50,MATCH(O2869,Settings!$A$41:$A$50,0))&amp;""),"UNMAPPED"))</f>
        <v/>
      </c>
      <c r="Q2869" s="38" t="n">
        <f aca="false">IF($M2869="",0,N(INDEX($A2869:$J2869,$Q$6)))</f>
        <v>0</v>
      </c>
      <c r="R2869" s="39" t="str">
        <f aca="false">IF($M2869="","",INDEX($A2869:$J2869,$R$6))</f>
        <v/>
      </c>
      <c r="S2869" s="37" t="str">
        <f aca="false">IF($M2869="","",IFERROR(INDEX(Settings!$B$27:$B$36,MATCH(L2869,Settings!$A$27:$A$36,0))&amp;"","UNMAPPED"))</f>
        <v/>
      </c>
      <c r="T2869" s="37" t="str">
        <f aca="false">IF($M2869="","",IF(NOT(ISNUMBER(R2869)),"NO DATE",IF(S2869="Won",IF(R2869&gt;Settings!$B$5,"Backlog","Delivered"),IF(S2869="Open",IF(R2869&gt;Settings!$B$5,"Pipeline","Overdue"),IF(S2869="Lost","Lost","UNMAPPED")))))</f>
        <v/>
      </c>
      <c r="U2869" s="40" t="n">
        <f aca="false">IF(T2869="Backlog",1,IF(OR(T2869="Pipeline",T2869="Overdue"),N(INDEX(Settings!$C$27:$C$36,MATCH(L2869,Settings!$A$27:$A$36,0))),0))</f>
        <v>0</v>
      </c>
      <c r="V2869" s="38" t="n">
        <f aca="false">Q2869*U2869</f>
        <v>0</v>
      </c>
      <c r="W2869" s="41" t="str">
        <f aca="false">IF($M2869="","",IF(T2869="Overdue",IF(Settings!$B$8="Yes",Settings!$B$7,""),IF(ISNUMBER(R2869),DATE(YEAR(R2869),MONTH(R2869),1),"")))</f>
        <v/>
      </c>
      <c r="X2869" s="38" t="n">
        <f aca="false">IF(AND(OR(T2869="Backlog",T2869="Pipeline",T2869="Overdue"),ISNUMBER(W2869)),IF(W2869&lt;=Settings!$B$6,V2869,0),0)</f>
        <v>0</v>
      </c>
      <c r="Y2869" s="38" t="n">
        <f aca="false">IF(AND(OR(T2869="Backlog",T2869="Pipeline",T2869="Overdue"),ISNUMBER(W2869)),IF(W2869&lt;=Settings!$B$6,Q2869,0),0)</f>
        <v>0</v>
      </c>
      <c r="Z2869" s="38" t="n">
        <f aca="false">IF(Y2869=0,0,IF(T2869="Backlog",Q2869,Q2869*Dashboard!$C$10))</f>
        <v>0</v>
      </c>
      <c r="AA2869" s="37" t="n">
        <f aca="false">IF($N2869="",0,IF(COUNTIF(Dashboard!$C$13:$C$22,$N2869)&gt;0,1,0))</f>
        <v>0</v>
      </c>
      <c r="AB2869" s="37" t="str">
        <f aca="false">IF($N2869="","",IF(COUNTIF($N$8:$N2869,$N2869)=1,MAX($AB$7:$AB2868)+1,""))</f>
        <v/>
      </c>
    </row>
    <row r="2870" customFormat="false" ht="15" hidden="false" customHeight="false" outlineLevel="0" collapsed="false">
      <c r="L2870" s="37" t="str">
        <f aca="false">IF(INDEX($A2870:$J2870,$L$6)&lt;&gt;"",TRIM(LEFT(INDEX($A2870:$J2870,$L$6),FIND("(",INDEX($A2870:$J2870,$L$6)&amp;"(")-1)),L2869)</f>
        <v>Building Value Proposition</v>
      </c>
      <c r="M2870" s="37" t="str">
        <f aca="false">IF(INDEX($A2870:$J2870,$M$6)="","",INDEX($A2870:$J2870,$M$6)&amp;"")</f>
        <v/>
      </c>
      <c r="N2870" s="37" t="str">
        <f aca="false">IF($M2870="","",TRIM(INDEX($A2870:$J2870,$N$6)&amp;""))</f>
        <v/>
      </c>
      <c r="O2870" s="37" t="str">
        <f aca="false">IF($M2870="","",TRIM(INDEX($A2870:$J2870,$O$6)&amp;""))</f>
        <v/>
      </c>
      <c r="P2870" s="37" t="str">
        <f aca="false">IF($M2870="","",IFERROR(IF(INDEX(Settings!$B$41:$B$50,MATCH(O2870,Settings!$A$41:$A$50,0))&amp;""="","UNMAPPED",INDEX(Settings!$B$41:$B$50,MATCH(O2870,Settings!$A$41:$A$50,0))&amp;""),"UNMAPPED"))</f>
        <v/>
      </c>
      <c r="Q2870" s="38" t="n">
        <f aca="false">IF($M2870="",0,N(INDEX($A2870:$J2870,$Q$6)))</f>
        <v>0</v>
      </c>
      <c r="R2870" s="39" t="str">
        <f aca="false">IF($M2870="","",INDEX($A2870:$J2870,$R$6))</f>
        <v/>
      </c>
      <c r="S2870" s="37" t="str">
        <f aca="false">IF($M2870="","",IFERROR(INDEX(Settings!$B$27:$B$36,MATCH(L2870,Settings!$A$27:$A$36,0))&amp;"","UNMAPPED"))</f>
        <v/>
      </c>
      <c r="T2870" s="37" t="str">
        <f aca="false">IF($M2870="","",IF(NOT(ISNUMBER(R2870)),"NO DATE",IF(S2870="Won",IF(R2870&gt;Settings!$B$5,"Backlog","Delivered"),IF(S2870="Open",IF(R2870&gt;Settings!$B$5,"Pipeline","Overdue"),IF(S2870="Lost","Lost","UNMAPPED")))))</f>
        <v/>
      </c>
      <c r="U2870" s="40" t="n">
        <f aca="false">IF(T2870="Backlog",1,IF(OR(T2870="Pipeline",T2870="Overdue"),N(INDEX(Settings!$C$27:$C$36,MATCH(L2870,Settings!$A$27:$A$36,0))),0))</f>
        <v>0</v>
      </c>
      <c r="V2870" s="38" t="n">
        <f aca="false">Q2870*U2870</f>
        <v>0</v>
      </c>
      <c r="W2870" s="41" t="str">
        <f aca="false">IF($M2870="","",IF(T2870="Overdue",IF(Settings!$B$8="Yes",Settings!$B$7,""),IF(ISNUMBER(R2870),DATE(YEAR(R2870),MONTH(R2870),1),"")))</f>
        <v/>
      </c>
      <c r="X2870" s="38" t="n">
        <f aca="false">IF(AND(OR(T2870="Backlog",T2870="Pipeline",T2870="Overdue"),ISNUMBER(W2870)),IF(W2870&lt;=Settings!$B$6,V2870,0),0)</f>
        <v>0</v>
      </c>
      <c r="Y2870" s="38" t="n">
        <f aca="false">IF(AND(OR(T2870="Backlog",T2870="Pipeline",T2870="Overdue"),ISNUMBER(W2870)),IF(W2870&lt;=Settings!$B$6,Q2870,0),0)</f>
        <v>0</v>
      </c>
      <c r="Z2870" s="38" t="n">
        <f aca="false">IF(Y2870=0,0,IF(T2870="Backlog",Q2870,Q2870*Dashboard!$C$10))</f>
        <v>0</v>
      </c>
      <c r="AA2870" s="37" t="n">
        <f aca="false">IF($N2870="",0,IF(COUNTIF(Dashboard!$C$13:$C$22,$N2870)&gt;0,1,0))</f>
        <v>0</v>
      </c>
      <c r="AB2870" s="37" t="str">
        <f aca="false">IF($N2870="","",IF(COUNTIF($N$8:$N2870,$N2870)=1,MAX($AB$7:$AB2869)+1,""))</f>
        <v/>
      </c>
    </row>
    <row r="2871" customFormat="false" ht="15" hidden="false" customHeight="false" outlineLevel="0" collapsed="false">
      <c r="L2871" s="37" t="str">
        <f aca="false">IF(INDEX($A2871:$J2871,$L$6)&lt;&gt;"",TRIM(LEFT(INDEX($A2871:$J2871,$L$6),FIND("(",INDEX($A2871:$J2871,$L$6)&amp;"(")-1)),L2870)</f>
        <v>Building Value Proposition</v>
      </c>
      <c r="M2871" s="37" t="str">
        <f aca="false">IF(INDEX($A2871:$J2871,$M$6)="","",INDEX($A2871:$J2871,$M$6)&amp;"")</f>
        <v/>
      </c>
      <c r="N2871" s="37" t="str">
        <f aca="false">IF($M2871="","",TRIM(INDEX($A2871:$J2871,$N$6)&amp;""))</f>
        <v/>
      </c>
      <c r="O2871" s="37" t="str">
        <f aca="false">IF($M2871="","",TRIM(INDEX($A2871:$J2871,$O$6)&amp;""))</f>
        <v/>
      </c>
      <c r="P2871" s="37" t="str">
        <f aca="false">IF($M2871="","",IFERROR(IF(INDEX(Settings!$B$41:$B$50,MATCH(O2871,Settings!$A$41:$A$50,0))&amp;""="","UNMAPPED",INDEX(Settings!$B$41:$B$50,MATCH(O2871,Settings!$A$41:$A$50,0))&amp;""),"UNMAPPED"))</f>
        <v/>
      </c>
      <c r="Q2871" s="38" t="n">
        <f aca="false">IF($M2871="",0,N(INDEX($A2871:$J2871,$Q$6)))</f>
        <v>0</v>
      </c>
      <c r="R2871" s="39" t="str">
        <f aca="false">IF($M2871="","",INDEX($A2871:$J2871,$R$6))</f>
        <v/>
      </c>
      <c r="S2871" s="37" t="str">
        <f aca="false">IF($M2871="","",IFERROR(INDEX(Settings!$B$27:$B$36,MATCH(L2871,Settings!$A$27:$A$36,0))&amp;"","UNMAPPED"))</f>
        <v/>
      </c>
      <c r="T2871" s="37" t="str">
        <f aca="false">IF($M2871="","",IF(NOT(ISNUMBER(R2871)),"NO DATE",IF(S2871="Won",IF(R2871&gt;Settings!$B$5,"Backlog","Delivered"),IF(S2871="Open",IF(R2871&gt;Settings!$B$5,"Pipeline","Overdue"),IF(S2871="Lost","Lost","UNMAPPED")))))</f>
        <v/>
      </c>
      <c r="U2871" s="40" t="n">
        <f aca="false">IF(T2871="Backlog",1,IF(OR(T2871="Pipeline",T2871="Overdue"),N(INDEX(Settings!$C$27:$C$36,MATCH(L2871,Settings!$A$27:$A$36,0))),0))</f>
        <v>0</v>
      </c>
      <c r="V2871" s="38" t="n">
        <f aca="false">Q2871*U2871</f>
        <v>0</v>
      </c>
      <c r="W2871" s="41" t="str">
        <f aca="false">IF($M2871="","",IF(T2871="Overdue",IF(Settings!$B$8="Yes",Settings!$B$7,""),IF(ISNUMBER(R2871),DATE(YEAR(R2871),MONTH(R2871),1),"")))</f>
        <v/>
      </c>
      <c r="X2871" s="38" t="n">
        <f aca="false">IF(AND(OR(T2871="Backlog",T2871="Pipeline",T2871="Overdue"),ISNUMBER(W2871)),IF(W2871&lt;=Settings!$B$6,V2871,0),0)</f>
        <v>0</v>
      </c>
      <c r="Y2871" s="38" t="n">
        <f aca="false">IF(AND(OR(T2871="Backlog",T2871="Pipeline",T2871="Overdue"),ISNUMBER(W2871)),IF(W2871&lt;=Settings!$B$6,Q2871,0),0)</f>
        <v>0</v>
      </c>
      <c r="Z2871" s="38" t="n">
        <f aca="false">IF(Y2871=0,0,IF(T2871="Backlog",Q2871,Q2871*Dashboard!$C$10))</f>
        <v>0</v>
      </c>
      <c r="AA2871" s="37" t="n">
        <f aca="false">IF($N2871="",0,IF(COUNTIF(Dashboard!$C$13:$C$22,$N2871)&gt;0,1,0))</f>
        <v>0</v>
      </c>
      <c r="AB2871" s="37" t="str">
        <f aca="false">IF($N2871="","",IF(COUNTIF($N$8:$N2871,$N2871)=1,MAX($AB$7:$AB2870)+1,""))</f>
        <v/>
      </c>
    </row>
    <row r="2872" customFormat="false" ht="15" hidden="false" customHeight="false" outlineLevel="0" collapsed="false">
      <c r="L2872" s="37" t="str">
        <f aca="false">IF(INDEX($A2872:$J2872,$L$6)&lt;&gt;"",TRIM(LEFT(INDEX($A2872:$J2872,$L$6),FIND("(",INDEX($A2872:$J2872,$L$6)&amp;"(")-1)),L2871)</f>
        <v>Building Value Proposition</v>
      </c>
      <c r="M2872" s="37" t="str">
        <f aca="false">IF(INDEX($A2872:$J2872,$M$6)="","",INDEX($A2872:$J2872,$M$6)&amp;"")</f>
        <v/>
      </c>
      <c r="N2872" s="37" t="str">
        <f aca="false">IF($M2872="","",TRIM(INDEX($A2872:$J2872,$N$6)&amp;""))</f>
        <v/>
      </c>
      <c r="O2872" s="37" t="str">
        <f aca="false">IF($M2872="","",TRIM(INDEX($A2872:$J2872,$O$6)&amp;""))</f>
        <v/>
      </c>
      <c r="P2872" s="37" t="str">
        <f aca="false">IF($M2872="","",IFERROR(IF(INDEX(Settings!$B$41:$B$50,MATCH(O2872,Settings!$A$41:$A$50,0))&amp;""="","UNMAPPED",INDEX(Settings!$B$41:$B$50,MATCH(O2872,Settings!$A$41:$A$50,0))&amp;""),"UNMAPPED"))</f>
        <v/>
      </c>
      <c r="Q2872" s="38" t="n">
        <f aca="false">IF($M2872="",0,N(INDEX($A2872:$J2872,$Q$6)))</f>
        <v>0</v>
      </c>
      <c r="R2872" s="39" t="str">
        <f aca="false">IF($M2872="","",INDEX($A2872:$J2872,$R$6))</f>
        <v/>
      </c>
      <c r="S2872" s="37" t="str">
        <f aca="false">IF($M2872="","",IFERROR(INDEX(Settings!$B$27:$B$36,MATCH(L2872,Settings!$A$27:$A$36,0))&amp;"","UNMAPPED"))</f>
        <v/>
      </c>
      <c r="T2872" s="37" t="str">
        <f aca="false">IF($M2872="","",IF(NOT(ISNUMBER(R2872)),"NO DATE",IF(S2872="Won",IF(R2872&gt;Settings!$B$5,"Backlog","Delivered"),IF(S2872="Open",IF(R2872&gt;Settings!$B$5,"Pipeline","Overdue"),IF(S2872="Lost","Lost","UNMAPPED")))))</f>
        <v/>
      </c>
      <c r="U2872" s="40" t="n">
        <f aca="false">IF(T2872="Backlog",1,IF(OR(T2872="Pipeline",T2872="Overdue"),N(INDEX(Settings!$C$27:$C$36,MATCH(L2872,Settings!$A$27:$A$36,0))),0))</f>
        <v>0</v>
      </c>
      <c r="V2872" s="38" t="n">
        <f aca="false">Q2872*U2872</f>
        <v>0</v>
      </c>
      <c r="W2872" s="41" t="str">
        <f aca="false">IF($M2872="","",IF(T2872="Overdue",IF(Settings!$B$8="Yes",Settings!$B$7,""),IF(ISNUMBER(R2872),DATE(YEAR(R2872),MONTH(R2872),1),"")))</f>
        <v/>
      </c>
      <c r="X2872" s="38" t="n">
        <f aca="false">IF(AND(OR(T2872="Backlog",T2872="Pipeline",T2872="Overdue"),ISNUMBER(W2872)),IF(W2872&lt;=Settings!$B$6,V2872,0),0)</f>
        <v>0</v>
      </c>
      <c r="Y2872" s="38" t="n">
        <f aca="false">IF(AND(OR(T2872="Backlog",T2872="Pipeline",T2872="Overdue"),ISNUMBER(W2872)),IF(W2872&lt;=Settings!$B$6,Q2872,0),0)</f>
        <v>0</v>
      </c>
      <c r="Z2872" s="38" t="n">
        <f aca="false">IF(Y2872=0,0,IF(T2872="Backlog",Q2872,Q2872*Dashboard!$C$10))</f>
        <v>0</v>
      </c>
      <c r="AA2872" s="37" t="n">
        <f aca="false">IF($N2872="",0,IF(COUNTIF(Dashboard!$C$13:$C$22,$N2872)&gt;0,1,0))</f>
        <v>0</v>
      </c>
      <c r="AB2872" s="37" t="str">
        <f aca="false">IF($N2872="","",IF(COUNTIF($N$8:$N2872,$N2872)=1,MAX($AB$7:$AB2871)+1,""))</f>
        <v/>
      </c>
    </row>
    <row r="2873" customFormat="false" ht="15" hidden="false" customHeight="false" outlineLevel="0" collapsed="false">
      <c r="L2873" s="37" t="str">
        <f aca="false">IF(INDEX($A2873:$J2873,$L$6)&lt;&gt;"",TRIM(LEFT(INDEX($A2873:$J2873,$L$6),FIND("(",INDEX($A2873:$J2873,$L$6)&amp;"(")-1)),L2872)</f>
        <v>Building Value Proposition</v>
      </c>
      <c r="M2873" s="37" t="str">
        <f aca="false">IF(INDEX($A2873:$J2873,$M$6)="","",INDEX($A2873:$J2873,$M$6)&amp;"")</f>
        <v/>
      </c>
      <c r="N2873" s="37" t="str">
        <f aca="false">IF($M2873="","",TRIM(INDEX($A2873:$J2873,$N$6)&amp;""))</f>
        <v/>
      </c>
      <c r="O2873" s="37" t="str">
        <f aca="false">IF($M2873="","",TRIM(INDEX($A2873:$J2873,$O$6)&amp;""))</f>
        <v/>
      </c>
      <c r="P2873" s="37" t="str">
        <f aca="false">IF($M2873="","",IFERROR(IF(INDEX(Settings!$B$41:$B$50,MATCH(O2873,Settings!$A$41:$A$50,0))&amp;""="","UNMAPPED",INDEX(Settings!$B$41:$B$50,MATCH(O2873,Settings!$A$41:$A$50,0))&amp;""),"UNMAPPED"))</f>
        <v/>
      </c>
      <c r="Q2873" s="38" t="n">
        <f aca="false">IF($M2873="",0,N(INDEX($A2873:$J2873,$Q$6)))</f>
        <v>0</v>
      </c>
      <c r="R2873" s="39" t="str">
        <f aca="false">IF($M2873="","",INDEX($A2873:$J2873,$R$6))</f>
        <v/>
      </c>
      <c r="S2873" s="37" t="str">
        <f aca="false">IF($M2873="","",IFERROR(INDEX(Settings!$B$27:$B$36,MATCH(L2873,Settings!$A$27:$A$36,0))&amp;"","UNMAPPED"))</f>
        <v/>
      </c>
      <c r="T2873" s="37" t="str">
        <f aca="false">IF($M2873="","",IF(NOT(ISNUMBER(R2873)),"NO DATE",IF(S2873="Won",IF(R2873&gt;Settings!$B$5,"Backlog","Delivered"),IF(S2873="Open",IF(R2873&gt;Settings!$B$5,"Pipeline","Overdue"),IF(S2873="Lost","Lost","UNMAPPED")))))</f>
        <v/>
      </c>
      <c r="U2873" s="40" t="n">
        <f aca="false">IF(T2873="Backlog",1,IF(OR(T2873="Pipeline",T2873="Overdue"),N(INDEX(Settings!$C$27:$C$36,MATCH(L2873,Settings!$A$27:$A$36,0))),0))</f>
        <v>0</v>
      </c>
      <c r="V2873" s="38" t="n">
        <f aca="false">Q2873*U2873</f>
        <v>0</v>
      </c>
      <c r="W2873" s="41" t="str">
        <f aca="false">IF($M2873="","",IF(T2873="Overdue",IF(Settings!$B$8="Yes",Settings!$B$7,""),IF(ISNUMBER(R2873),DATE(YEAR(R2873),MONTH(R2873),1),"")))</f>
        <v/>
      </c>
      <c r="X2873" s="38" t="n">
        <f aca="false">IF(AND(OR(T2873="Backlog",T2873="Pipeline",T2873="Overdue"),ISNUMBER(W2873)),IF(W2873&lt;=Settings!$B$6,V2873,0),0)</f>
        <v>0</v>
      </c>
      <c r="Y2873" s="38" t="n">
        <f aca="false">IF(AND(OR(T2873="Backlog",T2873="Pipeline",T2873="Overdue"),ISNUMBER(W2873)),IF(W2873&lt;=Settings!$B$6,Q2873,0),0)</f>
        <v>0</v>
      </c>
      <c r="Z2873" s="38" t="n">
        <f aca="false">IF(Y2873=0,0,IF(T2873="Backlog",Q2873,Q2873*Dashboard!$C$10))</f>
        <v>0</v>
      </c>
      <c r="AA2873" s="37" t="n">
        <f aca="false">IF($N2873="",0,IF(COUNTIF(Dashboard!$C$13:$C$22,$N2873)&gt;0,1,0))</f>
        <v>0</v>
      </c>
      <c r="AB2873" s="37" t="str">
        <f aca="false">IF($N2873="","",IF(COUNTIF($N$8:$N2873,$N2873)=1,MAX($AB$7:$AB2872)+1,""))</f>
        <v/>
      </c>
    </row>
    <row r="2874" customFormat="false" ht="15" hidden="false" customHeight="false" outlineLevel="0" collapsed="false">
      <c r="L2874" s="37" t="str">
        <f aca="false">IF(INDEX($A2874:$J2874,$L$6)&lt;&gt;"",TRIM(LEFT(INDEX($A2874:$J2874,$L$6),FIND("(",INDEX($A2874:$J2874,$L$6)&amp;"(")-1)),L2873)</f>
        <v>Building Value Proposition</v>
      </c>
      <c r="M2874" s="37" t="str">
        <f aca="false">IF(INDEX($A2874:$J2874,$M$6)="","",INDEX($A2874:$J2874,$M$6)&amp;"")</f>
        <v/>
      </c>
      <c r="N2874" s="37" t="str">
        <f aca="false">IF($M2874="","",TRIM(INDEX($A2874:$J2874,$N$6)&amp;""))</f>
        <v/>
      </c>
      <c r="O2874" s="37" t="str">
        <f aca="false">IF($M2874="","",TRIM(INDEX($A2874:$J2874,$O$6)&amp;""))</f>
        <v/>
      </c>
      <c r="P2874" s="37" t="str">
        <f aca="false">IF($M2874="","",IFERROR(IF(INDEX(Settings!$B$41:$B$50,MATCH(O2874,Settings!$A$41:$A$50,0))&amp;""="","UNMAPPED",INDEX(Settings!$B$41:$B$50,MATCH(O2874,Settings!$A$41:$A$50,0))&amp;""),"UNMAPPED"))</f>
        <v/>
      </c>
      <c r="Q2874" s="38" t="n">
        <f aca="false">IF($M2874="",0,N(INDEX($A2874:$J2874,$Q$6)))</f>
        <v>0</v>
      </c>
      <c r="R2874" s="39" t="str">
        <f aca="false">IF($M2874="","",INDEX($A2874:$J2874,$R$6))</f>
        <v/>
      </c>
      <c r="S2874" s="37" t="str">
        <f aca="false">IF($M2874="","",IFERROR(INDEX(Settings!$B$27:$B$36,MATCH(L2874,Settings!$A$27:$A$36,0))&amp;"","UNMAPPED"))</f>
        <v/>
      </c>
      <c r="T2874" s="37" t="str">
        <f aca="false">IF($M2874="","",IF(NOT(ISNUMBER(R2874)),"NO DATE",IF(S2874="Won",IF(R2874&gt;Settings!$B$5,"Backlog","Delivered"),IF(S2874="Open",IF(R2874&gt;Settings!$B$5,"Pipeline","Overdue"),IF(S2874="Lost","Lost","UNMAPPED")))))</f>
        <v/>
      </c>
      <c r="U2874" s="40" t="n">
        <f aca="false">IF(T2874="Backlog",1,IF(OR(T2874="Pipeline",T2874="Overdue"),N(INDEX(Settings!$C$27:$C$36,MATCH(L2874,Settings!$A$27:$A$36,0))),0))</f>
        <v>0</v>
      </c>
      <c r="V2874" s="38" t="n">
        <f aca="false">Q2874*U2874</f>
        <v>0</v>
      </c>
      <c r="W2874" s="41" t="str">
        <f aca="false">IF($M2874="","",IF(T2874="Overdue",IF(Settings!$B$8="Yes",Settings!$B$7,""),IF(ISNUMBER(R2874),DATE(YEAR(R2874),MONTH(R2874),1),"")))</f>
        <v/>
      </c>
      <c r="X2874" s="38" t="n">
        <f aca="false">IF(AND(OR(T2874="Backlog",T2874="Pipeline",T2874="Overdue"),ISNUMBER(W2874)),IF(W2874&lt;=Settings!$B$6,V2874,0),0)</f>
        <v>0</v>
      </c>
      <c r="Y2874" s="38" t="n">
        <f aca="false">IF(AND(OR(T2874="Backlog",T2874="Pipeline",T2874="Overdue"),ISNUMBER(W2874)),IF(W2874&lt;=Settings!$B$6,Q2874,0),0)</f>
        <v>0</v>
      </c>
      <c r="Z2874" s="38" t="n">
        <f aca="false">IF(Y2874=0,0,IF(T2874="Backlog",Q2874,Q2874*Dashboard!$C$10))</f>
        <v>0</v>
      </c>
      <c r="AA2874" s="37" t="n">
        <f aca="false">IF($N2874="",0,IF(COUNTIF(Dashboard!$C$13:$C$22,$N2874)&gt;0,1,0))</f>
        <v>0</v>
      </c>
      <c r="AB2874" s="37" t="str">
        <f aca="false">IF($N2874="","",IF(COUNTIF($N$8:$N2874,$N2874)=1,MAX($AB$7:$AB2873)+1,""))</f>
        <v/>
      </c>
    </row>
    <row r="2875" customFormat="false" ht="15" hidden="false" customHeight="false" outlineLevel="0" collapsed="false">
      <c r="L2875" s="37" t="str">
        <f aca="false">IF(INDEX($A2875:$J2875,$L$6)&lt;&gt;"",TRIM(LEFT(INDEX($A2875:$J2875,$L$6),FIND("(",INDEX($A2875:$J2875,$L$6)&amp;"(")-1)),L2874)</f>
        <v>Building Value Proposition</v>
      </c>
      <c r="M2875" s="37" t="str">
        <f aca="false">IF(INDEX($A2875:$J2875,$M$6)="","",INDEX($A2875:$J2875,$M$6)&amp;"")</f>
        <v/>
      </c>
      <c r="N2875" s="37" t="str">
        <f aca="false">IF($M2875="","",TRIM(INDEX($A2875:$J2875,$N$6)&amp;""))</f>
        <v/>
      </c>
      <c r="O2875" s="37" t="str">
        <f aca="false">IF($M2875="","",TRIM(INDEX($A2875:$J2875,$O$6)&amp;""))</f>
        <v/>
      </c>
      <c r="P2875" s="37" t="str">
        <f aca="false">IF($M2875="","",IFERROR(IF(INDEX(Settings!$B$41:$B$50,MATCH(O2875,Settings!$A$41:$A$50,0))&amp;""="","UNMAPPED",INDEX(Settings!$B$41:$B$50,MATCH(O2875,Settings!$A$41:$A$50,0))&amp;""),"UNMAPPED"))</f>
        <v/>
      </c>
      <c r="Q2875" s="38" t="n">
        <f aca="false">IF($M2875="",0,N(INDEX($A2875:$J2875,$Q$6)))</f>
        <v>0</v>
      </c>
      <c r="R2875" s="39" t="str">
        <f aca="false">IF($M2875="","",INDEX($A2875:$J2875,$R$6))</f>
        <v/>
      </c>
      <c r="S2875" s="37" t="str">
        <f aca="false">IF($M2875="","",IFERROR(INDEX(Settings!$B$27:$B$36,MATCH(L2875,Settings!$A$27:$A$36,0))&amp;"","UNMAPPED"))</f>
        <v/>
      </c>
      <c r="T2875" s="37" t="str">
        <f aca="false">IF($M2875="","",IF(NOT(ISNUMBER(R2875)),"NO DATE",IF(S2875="Won",IF(R2875&gt;Settings!$B$5,"Backlog","Delivered"),IF(S2875="Open",IF(R2875&gt;Settings!$B$5,"Pipeline","Overdue"),IF(S2875="Lost","Lost","UNMAPPED")))))</f>
        <v/>
      </c>
      <c r="U2875" s="40" t="n">
        <f aca="false">IF(T2875="Backlog",1,IF(OR(T2875="Pipeline",T2875="Overdue"),N(INDEX(Settings!$C$27:$C$36,MATCH(L2875,Settings!$A$27:$A$36,0))),0))</f>
        <v>0</v>
      </c>
      <c r="V2875" s="38" t="n">
        <f aca="false">Q2875*U2875</f>
        <v>0</v>
      </c>
      <c r="W2875" s="41" t="str">
        <f aca="false">IF($M2875="","",IF(T2875="Overdue",IF(Settings!$B$8="Yes",Settings!$B$7,""),IF(ISNUMBER(R2875),DATE(YEAR(R2875),MONTH(R2875),1),"")))</f>
        <v/>
      </c>
      <c r="X2875" s="38" t="n">
        <f aca="false">IF(AND(OR(T2875="Backlog",T2875="Pipeline",T2875="Overdue"),ISNUMBER(W2875)),IF(W2875&lt;=Settings!$B$6,V2875,0),0)</f>
        <v>0</v>
      </c>
      <c r="Y2875" s="38" t="n">
        <f aca="false">IF(AND(OR(T2875="Backlog",T2875="Pipeline",T2875="Overdue"),ISNUMBER(W2875)),IF(W2875&lt;=Settings!$B$6,Q2875,0),0)</f>
        <v>0</v>
      </c>
      <c r="Z2875" s="38" t="n">
        <f aca="false">IF(Y2875=0,0,IF(T2875="Backlog",Q2875,Q2875*Dashboard!$C$10))</f>
        <v>0</v>
      </c>
      <c r="AA2875" s="37" t="n">
        <f aca="false">IF($N2875="",0,IF(COUNTIF(Dashboard!$C$13:$C$22,$N2875)&gt;0,1,0))</f>
        <v>0</v>
      </c>
      <c r="AB2875" s="37" t="str">
        <f aca="false">IF($N2875="","",IF(COUNTIF($N$8:$N2875,$N2875)=1,MAX($AB$7:$AB2874)+1,""))</f>
        <v/>
      </c>
    </row>
    <row r="2876" customFormat="false" ht="15" hidden="false" customHeight="false" outlineLevel="0" collapsed="false">
      <c r="L2876" s="37" t="str">
        <f aca="false">IF(INDEX($A2876:$J2876,$L$6)&lt;&gt;"",TRIM(LEFT(INDEX($A2876:$J2876,$L$6),FIND("(",INDEX($A2876:$J2876,$L$6)&amp;"(")-1)),L2875)</f>
        <v>Building Value Proposition</v>
      </c>
      <c r="M2876" s="37" t="str">
        <f aca="false">IF(INDEX($A2876:$J2876,$M$6)="","",INDEX($A2876:$J2876,$M$6)&amp;"")</f>
        <v/>
      </c>
      <c r="N2876" s="37" t="str">
        <f aca="false">IF($M2876="","",TRIM(INDEX($A2876:$J2876,$N$6)&amp;""))</f>
        <v/>
      </c>
      <c r="O2876" s="37" t="str">
        <f aca="false">IF($M2876="","",TRIM(INDEX($A2876:$J2876,$O$6)&amp;""))</f>
        <v/>
      </c>
      <c r="P2876" s="37" t="str">
        <f aca="false">IF($M2876="","",IFERROR(IF(INDEX(Settings!$B$41:$B$50,MATCH(O2876,Settings!$A$41:$A$50,0))&amp;""="","UNMAPPED",INDEX(Settings!$B$41:$B$50,MATCH(O2876,Settings!$A$41:$A$50,0))&amp;""),"UNMAPPED"))</f>
        <v/>
      </c>
      <c r="Q2876" s="38" t="n">
        <f aca="false">IF($M2876="",0,N(INDEX($A2876:$J2876,$Q$6)))</f>
        <v>0</v>
      </c>
      <c r="R2876" s="39" t="str">
        <f aca="false">IF($M2876="","",INDEX($A2876:$J2876,$R$6))</f>
        <v/>
      </c>
      <c r="S2876" s="37" t="str">
        <f aca="false">IF($M2876="","",IFERROR(INDEX(Settings!$B$27:$B$36,MATCH(L2876,Settings!$A$27:$A$36,0))&amp;"","UNMAPPED"))</f>
        <v/>
      </c>
      <c r="T2876" s="37" t="str">
        <f aca="false">IF($M2876="","",IF(NOT(ISNUMBER(R2876)),"NO DATE",IF(S2876="Won",IF(R2876&gt;Settings!$B$5,"Backlog","Delivered"),IF(S2876="Open",IF(R2876&gt;Settings!$B$5,"Pipeline","Overdue"),IF(S2876="Lost","Lost","UNMAPPED")))))</f>
        <v/>
      </c>
      <c r="U2876" s="40" t="n">
        <f aca="false">IF(T2876="Backlog",1,IF(OR(T2876="Pipeline",T2876="Overdue"),N(INDEX(Settings!$C$27:$C$36,MATCH(L2876,Settings!$A$27:$A$36,0))),0))</f>
        <v>0</v>
      </c>
      <c r="V2876" s="38" t="n">
        <f aca="false">Q2876*U2876</f>
        <v>0</v>
      </c>
      <c r="W2876" s="41" t="str">
        <f aca="false">IF($M2876="","",IF(T2876="Overdue",IF(Settings!$B$8="Yes",Settings!$B$7,""),IF(ISNUMBER(R2876),DATE(YEAR(R2876),MONTH(R2876),1),"")))</f>
        <v/>
      </c>
      <c r="X2876" s="38" t="n">
        <f aca="false">IF(AND(OR(T2876="Backlog",T2876="Pipeline",T2876="Overdue"),ISNUMBER(W2876)),IF(W2876&lt;=Settings!$B$6,V2876,0),0)</f>
        <v>0</v>
      </c>
      <c r="Y2876" s="38" t="n">
        <f aca="false">IF(AND(OR(T2876="Backlog",T2876="Pipeline",T2876="Overdue"),ISNUMBER(W2876)),IF(W2876&lt;=Settings!$B$6,Q2876,0),0)</f>
        <v>0</v>
      </c>
      <c r="Z2876" s="38" t="n">
        <f aca="false">IF(Y2876=0,0,IF(T2876="Backlog",Q2876,Q2876*Dashboard!$C$10))</f>
        <v>0</v>
      </c>
      <c r="AA2876" s="37" t="n">
        <f aca="false">IF($N2876="",0,IF(COUNTIF(Dashboard!$C$13:$C$22,$N2876)&gt;0,1,0))</f>
        <v>0</v>
      </c>
      <c r="AB2876" s="37" t="str">
        <f aca="false">IF($N2876="","",IF(COUNTIF($N$8:$N2876,$N2876)=1,MAX($AB$7:$AB2875)+1,""))</f>
        <v/>
      </c>
    </row>
    <row r="2877" customFormat="false" ht="15" hidden="false" customHeight="false" outlineLevel="0" collapsed="false">
      <c r="L2877" s="37" t="str">
        <f aca="false">IF(INDEX($A2877:$J2877,$L$6)&lt;&gt;"",TRIM(LEFT(INDEX($A2877:$J2877,$L$6),FIND("(",INDEX($A2877:$J2877,$L$6)&amp;"(")-1)),L2876)</f>
        <v>Building Value Proposition</v>
      </c>
      <c r="M2877" s="37" t="str">
        <f aca="false">IF(INDEX($A2877:$J2877,$M$6)="","",INDEX($A2877:$J2877,$M$6)&amp;"")</f>
        <v/>
      </c>
      <c r="N2877" s="37" t="str">
        <f aca="false">IF($M2877="","",TRIM(INDEX($A2877:$J2877,$N$6)&amp;""))</f>
        <v/>
      </c>
      <c r="O2877" s="37" t="str">
        <f aca="false">IF($M2877="","",TRIM(INDEX($A2877:$J2877,$O$6)&amp;""))</f>
        <v/>
      </c>
      <c r="P2877" s="37" t="str">
        <f aca="false">IF($M2877="","",IFERROR(IF(INDEX(Settings!$B$41:$B$50,MATCH(O2877,Settings!$A$41:$A$50,0))&amp;""="","UNMAPPED",INDEX(Settings!$B$41:$B$50,MATCH(O2877,Settings!$A$41:$A$50,0))&amp;""),"UNMAPPED"))</f>
        <v/>
      </c>
      <c r="Q2877" s="38" t="n">
        <f aca="false">IF($M2877="",0,N(INDEX($A2877:$J2877,$Q$6)))</f>
        <v>0</v>
      </c>
      <c r="R2877" s="39" t="str">
        <f aca="false">IF($M2877="","",INDEX($A2877:$J2877,$R$6))</f>
        <v/>
      </c>
      <c r="S2877" s="37" t="str">
        <f aca="false">IF($M2877="","",IFERROR(INDEX(Settings!$B$27:$B$36,MATCH(L2877,Settings!$A$27:$A$36,0))&amp;"","UNMAPPED"))</f>
        <v/>
      </c>
      <c r="T2877" s="37" t="str">
        <f aca="false">IF($M2877="","",IF(NOT(ISNUMBER(R2877)),"NO DATE",IF(S2877="Won",IF(R2877&gt;Settings!$B$5,"Backlog","Delivered"),IF(S2877="Open",IF(R2877&gt;Settings!$B$5,"Pipeline","Overdue"),IF(S2877="Lost","Lost","UNMAPPED")))))</f>
        <v/>
      </c>
      <c r="U2877" s="40" t="n">
        <f aca="false">IF(T2877="Backlog",1,IF(OR(T2877="Pipeline",T2877="Overdue"),N(INDEX(Settings!$C$27:$C$36,MATCH(L2877,Settings!$A$27:$A$36,0))),0))</f>
        <v>0</v>
      </c>
      <c r="V2877" s="38" t="n">
        <f aca="false">Q2877*U2877</f>
        <v>0</v>
      </c>
      <c r="W2877" s="41" t="str">
        <f aca="false">IF($M2877="","",IF(T2877="Overdue",IF(Settings!$B$8="Yes",Settings!$B$7,""),IF(ISNUMBER(R2877),DATE(YEAR(R2877),MONTH(R2877),1),"")))</f>
        <v/>
      </c>
      <c r="X2877" s="38" t="n">
        <f aca="false">IF(AND(OR(T2877="Backlog",T2877="Pipeline",T2877="Overdue"),ISNUMBER(W2877)),IF(W2877&lt;=Settings!$B$6,V2877,0),0)</f>
        <v>0</v>
      </c>
      <c r="Y2877" s="38" t="n">
        <f aca="false">IF(AND(OR(T2877="Backlog",T2877="Pipeline",T2877="Overdue"),ISNUMBER(W2877)),IF(W2877&lt;=Settings!$B$6,Q2877,0),0)</f>
        <v>0</v>
      </c>
      <c r="Z2877" s="38" t="n">
        <f aca="false">IF(Y2877=0,0,IF(T2877="Backlog",Q2877,Q2877*Dashboard!$C$10))</f>
        <v>0</v>
      </c>
      <c r="AA2877" s="37" t="n">
        <f aca="false">IF($N2877="",0,IF(COUNTIF(Dashboard!$C$13:$C$22,$N2877)&gt;0,1,0))</f>
        <v>0</v>
      </c>
      <c r="AB2877" s="37" t="str">
        <f aca="false">IF($N2877="","",IF(COUNTIF($N$8:$N2877,$N2877)=1,MAX($AB$7:$AB2876)+1,""))</f>
        <v/>
      </c>
    </row>
    <row r="2878" customFormat="false" ht="15" hidden="false" customHeight="false" outlineLevel="0" collapsed="false">
      <c r="L2878" s="37" t="str">
        <f aca="false">IF(INDEX($A2878:$J2878,$L$6)&lt;&gt;"",TRIM(LEFT(INDEX($A2878:$J2878,$L$6),FIND("(",INDEX($A2878:$J2878,$L$6)&amp;"(")-1)),L2877)</f>
        <v>Building Value Proposition</v>
      </c>
      <c r="M2878" s="37" t="str">
        <f aca="false">IF(INDEX($A2878:$J2878,$M$6)="","",INDEX($A2878:$J2878,$M$6)&amp;"")</f>
        <v/>
      </c>
      <c r="N2878" s="37" t="str">
        <f aca="false">IF($M2878="","",TRIM(INDEX($A2878:$J2878,$N$6)&amp;""))</f>
        <v/>
      </c>
      <c r="O2878" s="37" t="str">
        <f aca="false">IF($M2878="","",TRIM(INDEX($A2878:$J2878,$O$6)&amp;""))</f>
        <v/>
      </c>
      <c r="P2878" s="37" t="str">
        <f aca="false">IF($M2878="","",IFERROR(IF(INDEX(Settings!$B$41:$B$50,MATCH(O2878,Settings!$A$41:$A$50,0))&amp;""="","UNMAPPED",INDEX(Settings!$B$41:$B$50,MATCH(O2878,Settings!$A$41:$A$50,0))&amp;""),"UNMAPPED"))</f>
        <v/>
      </c>
      <c r="Q2878" s="38" t="n">
        <f aca="false">IF($M2878="",0,N(INDEX($A2878:$J2878,$Q$6)))</f>
        <v>0</v>
      </c>
      <c r="R2878" s="39" t="str">
        <f aca="false">IF($M2878="","",INDEX($A2878:$J2878,$R$6))</f>
        <v/>
      </c>
      <c r="S2878" s="37" t="str">
        <f aca="false">IF($M2878="","",IFERROR(INDEX(Settings!$B$27:$B$36,MATCH(L2878,Settings!$A$27:$A$36,0))&amp;"","UNMAPPED"))</f>
        <v/>
      </c>
      <c r="T2878" s="37" t="str">
        <f aca="false">IF($M2878="","",IF(NOT(ISNUMBER(R2878)),"NO DATE",IF(S2878="Won",IF(R2878&gt;Settings!$B$5,"Backlog","Delivered"),IF(S2878="Open",IF(R2878&gt;Settings!$B$5,"Pipeline","Overdue"),IF(S2878="Lost","Lost","UNMAPPED")))))</f>
        <v/>
      </c>
      <c r="U2878" s="40" t="n">
        <f aca="false">IF(T2878="Backlog",1,IF(OR(T2878="Pipeline",T2878="Overdue"),N(INDEX(Settings!$C$27:$C$36,MATCH(L2878,Settings!$A$27:$A$36,0))),0))</f>
        <v>0</v>
      </c>
      <c r="V2878" s="38" t="n">
        <f aca="false">Q2878*U2878</f>
        <v>0</v>
      </c>
      <c r="W2878" s="41" t="str">
        <f aca="false">IF($M2878="","",IF(T2878="Overdue",IF(Settings!$B$8="Yes",Settings!$B$7,""),IF(ISNUMBER(R2878),DATE(YEAR(R2878),MONTH(R2878),1),"")))</f>
        <v/>
      </c>
      <c r="X2878" s="38" t="n">
        <f aca="false">IF(AND(OR(T2878="Backlog",T2878="Pipeline",T2878="Overdue"),ISNUMBER(W2878)),IF(W2878&lt;=Settings!$B$6,V2878,0),0)</f>
        <v>0</v>
      </c>
      <c r="Y2878" s="38" t="n">
        <f aca="false">IF(AND(OR(T2878="Backlog",T2878="Pipeline",T2878="Overdue"),ISNUMBER(W2878)),IF(W2878&lt;=Settings!$B$6,Q2878,0),0)</f>
        <v>0</v>
      </c>
      <c r="Z2878" s="38" t="n">
        <f aca="false">IF(Y2878=0,0,IF(T2878="Backlog",Q2878,Q2878*Dashboard!$C$10))</f>
        <v>0</v>
      </c>
      <c r="AA2878" s="37" t="n">
        <f aca="false">IF($N2878="",0,IF(COUNTIF(Dashboard!$C$13:$C$22,$N2878)&gt;0,1,0))</f>
        <v>0</v>
      </c>
      <c r="AB2878" s="37" t="str">
        <f aca="false">IF($N2878="","",IF(COUNTIF($N$8:$N2878,$N2878)=1,MAX($AB$7:$AB2877)+1,""))</f>
        <v/>
      </c>
    </row>
    <row r="2879" customFormat="false" ht="15" hidden="false" customHeight="false" outlineLevel="0" collapsed="false">
      <c r="L2879" s="37" t="str">
        <f aca="false">IF(INDEX($A2879:$J2879,$L$6)&lt;&gt;"",TRIM(LEFT(INDEX($A2879:$J2879,$L$6),FIND("(",INDEX($A2879:$J2879,$L$6)&amp;"(")-1)),L2878)</f>
        <v>Building Value Proposition</v>
      </c>
      <c r="M2879" s="37" t="str">
        <f aca="false">IF(INDEX($A2879:$J2879,$M$6)="","",INDEX($A2879:$J2879,$M$6)&amp;"")</f>
        <v/>
      </c>
      <c r="N2879" s="37" t="str">
        <f aca="false">IF($M2879="","",TRIM(INDEX($A2879:$J2879,$N$6)&amp;""))</f>
        <v/>
      </c>
      <c r="O2879" s="37" t="str">
        <f aca="false">IF($M2879="","",TRIM(INDEX($A2879:$J2879,$O$6)&amp;""))</f>
        <v/>
      </c>
      <c r="P2879" s="37" t="str">
        <f aca="false">IF($M2879="","",IFERROR(IF(INDEX(Settings!$B$41:$B$50,MATCH(O2879,Settings!$A$41:$A$50,0))&amp;""="","UNMAPPED",INDEX(Settings!$B$41:$B$50,MATCH(O2879,Settings!$A$41:$A$50,0))&amp;""),"UNMAPPED"))</f>
        <v/>
      </c>
      <c r="Q2879" s="38" t="n">
        <f aca="false">IF($M2879="",0,N(INDEX($A2879:$J2879,$Q$6)))</f>
        <v>0</v>
      </c>
      <c r="R2879" s="39" t="str">
        <f aca="false">IF($M2879="","",INDEX($A2879:$J2879,$R$6))</f>
        <v/>
      </c>
      <c r="S2879" s="37" t="str">
        <f aca="false">IF($M2879="","",IFERROR(INDEX(Settings!$B$27:$B$36,MATCH(L2879,Settings!$A$27:$A$36,0))&amp;"","UNMAPPED"))</f>
        <v/>
      </c>
      <c r="T2879" s="37" t="str">
        <f aca="false">IF($M2879="","",IF(NOT(ISNUMBER(R2879)),"NO DATE",IF(S2879="Won",IF(R2879&gt;Settings!$B$5,"Backlog","Delivered"),IF(S2879="Open",IF(R2879&gt;Settings!$B$5,"Pipeline","Overdue"),IF(S2879="Lost","Lost","UNMAPPED")))))</f>
        <v/>
      </c>
      <c r="U2879" s="40" t="n">
        <f aca="false">IF(T2879="Backlog",1,IF(OR(T2879="Pipeline",T2879="Overdue"),N(INDEX(Settings!$C$27:$C$36,MATCH(L2879,Settings!$A$27:$A$36,0))),0))</f>
        <v>0</v>
      </c>
      <c r="V2879" s="38" t="n">
        <f aca="false">Q2879*U2879</f>
        <v>0</v>
      </c>
      <c r="W2879" s="41" t="str">
        <f aca="false">IF($M2879="","",IF(T2879="Overdue",IF(Settings!$B$8="Yes",Settings!$B$7,""),IF(ISNUMBER(R2879),DATE(YEAR(R2879),MONTH(R2879),1),"")))</f>
        <v/>
      </c>
      <c r="X2879" s="38" t="n">
        <f aca="false">IF(AND(OR(T2879="Backlog",T2879="Pipeline",T2879="Overdue"),ISNUMBER(W2879)),IF(W2879&lt;=Settings!$B$6,V2879,0),0)</f>
        <v>0</v>
      </c>
      <c r="Y2879" s="38" t="n">
        <f aca="false">IF(AND(OR(T2879="Backlog",T2879="Pipeline",T2879="Overdue"),ISNUMBER(W2879)),IF(W2879&lt;=Settings!$B$6,Q2879,0),0)</f>
        <v>0</v>
      </c>
      <c r="Z2879" s="38" t="n">
        <f aca="false">IF(Y2879=0,0,IF(T2879="Backlog",Q2879,Q2879*Dashboard!$C$10))</f>
        <v>0</v>
      </c>
      <c r="AA2879" s="37" t="n">
        <f aca="false">IF($N2879="",0,IF(COUNTIF(Dashboard!$C$13:$C$22,$N2879)&gt;0,1,0))</f>
        <v>0</v>
      </c>
      <c r="AB2879" s="37" t="str">
        <f aca="false">IF($N2879="","",IF(COUNTIF($N$8:$N2879,$N2879)=1,MAX($AB$7:$AB2878)+1,""))</f>
        <v/>
      </c>
    </row>
    <row r="2880" customFormat="false" ht="15" hidden="false" customHeight="false" outlineLevel="0" collapsed="false">
      <c r="L2880" s="37" t="str">
        <f aca="false">IF(INDEX($A2880:$J2880,$L$6)&lt;&gt;"",TRIM(LEFT(INDEX($A2880:$J2880,$L$6),FIND("(",INDEX($A2880:$J2880,$L$6)&amp;"(")-1)),L2879)</f>
        <v>Building Value Proposition</v>
      </c>
      <c r="M2880" s="37" t="str">
        <f aca="false">IF(INDEX($A2880:$J2880,$M$6)="","",INDEX($A2880:$J2880,$M$6)&amp;"")</f>
        <v/>
      </c>
      <c r="N2880" s="37" t="str">
        <f aca="false">IF($M2880="","",TRIM(INDEX($A2880:$J2880,$N$6)&amp;""))</f>
        <v/>
      </c>
      <c r="O2880" s="37" t="str">
        <f aca="false">IF($M2880="","",TRIM(INDEX($A2880:$J2880,$O$6)&amp;""))</f>
        <v/>
      </c>
      <c r="P2880" s="37" t="str">
        <f aca="false">IF($M2880="","",IFERROR(IF(INDEX(Settings!$B$41:$B$50,MATCH(O2880,Settings!$A$41:$A$50,0))&amp;""="","UNMAPPED",INDEX(Settings!$B$41:$B$50,MATCH(O2880,Settings!$A$41:$A$50,0))&amp;""),"UNMAPPED"))</f>
        <v/>
      </c>
      <c r="Q2880" s="38" t="n">
        <f aca="false">IF($M2880="",0,N(INDEX($A2880:$J2880,$Q$6)))</f>
        <v>0</v>
      </c>
      <c r="R2880" s="39" t="str">
        <f aca="false">IF($M2880="","",INDEX($A2880:$J2880,$R$6))</f>
        <v/>
      </c>
      <c r="S2880" s="37" t="str">
        <f aca="false">IF($M2880="","",IFERROR(INDEX(Settings!$B$27:$B$36,MATCH(L2880,Settings!$A$27:$A$36,0))&amp;"","UNMAPPED"))</f>
        <v/>
      </c>
      <c r="T2880" s="37" t="str">
        <f aca="false">IF($M2880="","",IF(NOT(ISNUMBER(R2880)),"NO DATE",IF(S2880="Won",IF(R2880&gt;Settings!$B$5,"Backlog","Delivered"),IF(S2880="Open",IF(R2880&gt;Settings!$B$5,"Pipeline","Overdue"),IF(S2880="Lost","Lost","UNMAPPED")))))</f>
        <v/>
      </c>
      <c r="U2880" s="40" t="n">
        <f aca="false">IF(T2880="Backlog",1,IF(OR(T2880="Pipeline",T2880="Overdue"),N(INDEX(Settings!$C$27:$C$36,MATCH(L2880,Settings!$A$27:$A$36,0))),0))</f>
        <v>0</v>
      </c>
      <c r="V2880" s="38" t="n">
        <f aca="false">Q2880*U2880</f>
        <v>0</v>
      </c>
      <c r="W2880" s="41" t="str">
        <f aca="false">IF($M2880="","",IF(T2880="Overdue",IF(Settings!$B$8="Yes",Settings!$B$7,""),IF(ISNUMBER(R2880),DATE(YEAR(R2880),MONTH(R2880),1),"")))</f>
        <v/>
      </c>
      <c r="X2880" s="38" t="n">
        <f aca="false">IF(AND(OR(T2880="Backlog",T2880="Pipeline",T2880="Overdue"),ISNUMBER(W2880)),IF(W2880&lt;=Settings!$B$6,V2880,0),0)</f>
        <v>0</v>
      </c>
      <c r="Y2880" s="38" t="n">
        <f aca="false">IF(AND(OR(T2880="Backlog",T2880="Pipeline",T2880="Overdue"),ISNUMBER(W2880)),IF(W2880&lt;=Settings!$B$6,Q2880,0),0)</f>
        <v>0</v>
      </c>
      <c r="Z2880" s="38" t="n">
        <f aca="false">IF(Y2880=0,0,IF(T2880="Backlog",Q2880,Q2880*Dashboard!$C$10))</f>
        <v>0</v>
      </c>
      <c r="AA2880" s="37" t="n">
        <f aca="false">IF($N2880="",0,IF(COUNTIF(Dashboard!$C$13:$C$22,$N2880)&gt;0,1,0))</f>
        <v>0</v>
      </c>
      <c r="AB2880" s="37" t="str">
        <f aca="false">IF($N2880="","",IF(COUNTIF($N$8:$N2880,$N2880)=1,MAX($AB$7:$AB2879)+1,""))</f>
        <v/>
      </c>
    </row>
    <row r="2881" customFormat="false" ht="15" hidden="false" customHeight="false" outlineLevel="0" collapsed="false">
      <c r="L2881" s="37" t="str">
        <f aca="false">IF(INDEX($A2881:$J2881,$L$6)&lt;&gt;"",TRIM(LEFT(INDEX($A2881:$J2881,$L$6),FIND("(",INDEX($A2881:$J2881,$L$6)&amp;"(")-1)),L2880)</f>
        <v>Building Value Proposition</v>
      </c>
      <c r="M2881" s="37" t="str">
        <f aca="false">IF(INDEX($A2881:$J2881,$M$6)="","",INDEX($A2881:$J2881,$M$6)&amp;"")</f>
        <v/>
      </c>
      <c r="N2881" s="37" t="str">
        <f aca="false">IF($M2881="","",TRIM(INDEX($A2881:$J2881,$N$6)&amp;""))</f>
        <v/>
      </c>
      <c r="O2881" s="37" t="str">
        <f aca="false">IF($M2881="","",TRIM(INDEX($A2881:$J2881,$O$6)&amp;""))</f>
        <v/>
      </c>
      <c r="P2881" s="37" t="str">
        <f aca="false">IF($M2881="","",IFERROR(IF(INDEX(Settings!$B$41:$B$50,MATCH(O2881,Settings!$A$41:$A$50,0))&amp;""="","UNMAPPED",INDEX(Settings!$B$41:$B$50,MATCH(O2881,Settings!$A$41:$A$50,0))&amp;""),"UNMAPPED"))</f>
        <v/>
      </c>
      <c r="Q2881" s="38" t="n">
        <f aca="false">IF($M2881="",0,N(INDEX($A2881:$J2881,$Q$6)))</f>
        <v>0</v>
      </c>
      <c r="R2881" s="39" t="str">
        <f aca="false">IF($M2881="","",INDEX($A2881:$J2881,$R$6))</f>
        <v/>
      </c>
      <c r="S2881" s="37" t="str">
        <f aca="false">IF($M2881="","",IFERROR(INDEX(Settings!$B$27:$B$36,MATCH(L2881,Settings!$A$27:$A$36,0))&amp;"","UNMAPPED"))</f>
        <v/>
      </c>
      <c r="T2881" s="37" t="str">
        <f aca="false">IF($M2881="","",IF(NOT(ISNUMBER(R2881)),"NO DATE",IF(S2881="Won",IF(R2881&gt;Settings!$B$5,"Backlog","Delivered"),IF(S2881="Open",IF(R2881&gt;Settings!$B$5,"Pipeline","Overdue"),IF(S2881="Lost","Lost","UNMAPPED")))))</f>
        <v/>
      </c>
      <c r="U2881" s="40" t="n">
        <f aca="false">IF(T2881="Backlog",1,IF(OR(T2881="Pipeline",T2881="Overdue"),N(INDEX(Settings!$C$27:$C$36,MATCH(L2881,Settings!$A$27:$A$36,0))),0))</f>
        <v>0</v>
      </c>
      <c r="V2881" s="38" t="n">
        <f aca="false">Q2881*U2881</f>
        <v>0</v>
      </c>
      <c r="W2881" s="41" t="str">
        <f aca="false">IF($M2881="","",IF(T2881="Overdue",IF(Settings!$B$8="Yes",Settings!$B$7,""),IF(ISNUMBER(R2881),DATE(YEAR(R2881),MONTH(R2881),1),"")))</f>
        <v/>
      </c>
      <c r="X2881" s="38" t="n">
        <f aca="false">IF(AND(OR(T2881="Backlog",T2881="Pipeline",T2881="Overdue"),ISNUMBER(W2881)),IF(W2881&lt;=Settings!$B$6,V2881,0),0)</f>
        <v>0</v>
      </c>
      <c r="Y2881" s="38" t="n">
        <f aca="false">IF(AND(OR(T2881="Backlog",T2881="Pipeline",T2881="Overdue"),ISNUMBER(W2881)),IF(W2881&lt;=Settings!$B$6,Q2881,0),0)</f>
        <v>0</v>
      </c>
      <c r="Z2881" s="38" t="n">
        <f aca="false">IF(Y2881=0,0,IF(T2881="Backlog",Q2881,Q2881*Dashboard!$C$10))</f>
        <v>0</v>
      </c>
      <c r="AA2881" s="37" t="n">
        <f aca="false">IF($N2881="",0,IF(COUNTIF(Dashboard!$C$13:$C$22,$N2881)&gt;0,1,0))</f>
        <v>0</v>
      </c>
      <c r="AB2881" s="37" t="str">
        <f aca="false">IF($N2881="","",IF(COUNTIF($N$8:$N2881,$N2881)=1,MAX($AB$7:$AB2880)+1,""))</f>
        <v/>
      </c>
    </row>
    <row r="2882" customFormat="false" ht="15" hidden="false" customHeight="false" outlineLevel="0" collapsed="false">
      <c r="L2882" s="37" t="str">
        <f aca="false">IF(INDEX($A2882:$J2882,$L$6)&lt;&gt;"",TRIM(LEFT(INDEX($A2882:$J2882,$L$6),FIND("(",INDEX($A2882:$J2882,$L$6)&amp;"(")-1)),L2881)</f>
        <v>Building Value Proposition</v>
      </c>
      <c r="M2882" s="37" t="str">
        <f aca="false">IF(INDEX($A2882:$J2882,$M$6)="","",INDEX($A2882:$J2882,$M$6)&amp;"")</f>
        <v/>
      </c>
      <c r="N2882" s="37" t="str">
        <f aca="false">IF($M2882="","",TRIM(INDEX($A2882:$J2882,$N$6)&amp;""))</f>
        <v/>
      </c>
      <c r="O2882" s="37" t="str">
        <f aca="false">IF($M2882="","",TRIM(INDEX($A2882:$J2882,$O$6)&amp;""))</f>
        <v/>
      </c>
      <c r="P2882" s="37" t="str">
        <f aca="false">IF($M2882="","",IFERROR(IF(INDEX(Settings!$B$41:$B$50,MATCH(O2882,Settings!$A$41:$A$50,0))&amp;""="","UNMAPPED",INDEX(Settings!$B$41:$B$50,MATCH(O2882,Settings!$A$41:$A$50,0))&amp;""),"UNMAPPED"))</f>
        <v/>
      </c>
      <c r="Q2882" s="38" t="n">
        <f aca="false">IF($M2882="",0,N(INDEX($A2882:$J2882,$Q$6)))</f>
        <v>0</v>
      </c>
      <c r="R2882" s="39" t="str">
        <f aca="false">IF($M2882="","",INDEX($A2882:$J2882,$R$6))</f>
        <v/>
      </c>
      <c r="S2882" s="37" t="str">
        <f aca="false">IF($M2882="","",IFERROR(INDEX(Settings!$B$27:$B$36,MATCH(L2882,Settings!$A$27:$A$36,0))&amp;"","UNMAPPED"))</f>
        <v/>
      </c>
      <c r="T2882" s="37" t="str">
        <f aca="false">IF($M2882="","",IF(NOT(ISNUMBER(R2882)),"NO DATE",IF(S2882="Won",IF(R2882&gt;Settings!$B$5,"Backlog","Delivered"),IF(S2882="Open",IF(R2882&gt;Settings!$B$5,"Pipeline","Overdue"),IF(S2882="Lost","Lost","UNMAPPED")))))</f>
        <v/>
      </c>
      <c r="U2882" s="40" t="n">
        <f aca="false">IF(T2882="Backlog",1,IF(OR(T2882="Pipeline",T2882="Overdue"),N(INDEX(Settings!$C$27:$C$36,MATCH(L2882,Settings!$A$27:$A$36,0))),0))</f>
        <v>0</v>
      </c>
      <c r="V2882" s="38" t="n">
        <f aca="false">Q2882*U2882</f>
        <v>0</v>
      </c>
      <c r="W2882" s="41" t="str">
        <f aca="false">IF($M2882="","",IF(T2882="Overdue",IF(Settings!$B$8="Yes",Settings!$B$7,""),IF(ISNUMBER(R2882),DATE(YEAR(R2882),MONTH(R2882),1),"")))</f>
        <v/>
      </c>
      <c r="X2882" s="38" t="n">
        <f aca="false">IF(AND(OR(T2882="Backlog",T2882="Pipeline",T2882="Overdue"),ISNUMBER(W2882)),IF(W2882&lt;=Settings!$B$6,V2882,0),0)</f>
        <v>0</v>
      </c>
      <c r="Y2882" s="38" t="n">
        <f aca="false">IF(AND(OR(T2882="Backlog",T2882="Pipeline",T2882="Overdue"),ISNUMBER(W2882)),IF(W2882&lt;=Settings!$B$6,Q2882,0),0)</f>
        <v>0</v>
      </c>
      <c r="Z2882" s="38" t="n">
        <f aca="false">IF(Y2882=0,0,IF(T2882="Backlog",Q2882,Q2882*Dashboard!$C$10))</f>
        <v>0</v>
      </c>
      <c r="AA2882" s="37" t="n">
        <f aca="false">IF($N2882="",0,IF(COUNTIF(Dashboard!$C$13:$C$22,$N2882)&gt;0,1,0))</f>
        <v>0</v>
      </c>
      <c r="AB2882" s="37" t="str">
        <f aca="false">IF($N2882="","",IF(COUNTIF($N$8:$N2882,$N2882)=1,MAX($AB$7:$AB2881)+1,""))</f>
        <v/>
      </c>
    </row>
    <row r="2883" customFormat="false" ht="15" hidden="false" customHeight="false" outlineLevel="0" collapsed="false">
      <c r="L2883" s="37" t="str">
        <f aca="false">IF(INDEX($A2883:$J2883,$L$6)&lt;&gt;"",TRIM(LEFT(INDEX($A2883:$J2883,$L$6),FIND("(",INDEX($A2883:$J2883,$L$6)&amp;"(")-1)),L2882)</f>
        <v>Building Value Proposition</v>
      </c>
      <c r="M2883" s="37" t="str">
        <f aca="false">IF(INDEX($A2883:$J2883,$M$6)="","",INDEX($A2883:$J2883,$M$6)&amp;"")</f>
        <v/>
      </c>
      <c r="N2883" s="37" t="str">
        <f aca="false">IF($M2883="","",TRIM(INDEX($A2883:$J2883,$N$6)&amp;""))</f>
        <v/>
      </c>
      <c r="O2883" s="37" t="str">
        <f aca="false">IF($M2883="","",TRIM(INDEX($A2883:$J2883,$O$6)&amp;""))</f>
        <v/>
      </c>
      <c r="P2883" s="37" t="str">
        <f aca="false">IF($M2883="","",IFERROR(IF(INDEX(Settings!$B$41:$B$50,MATCH(O2883,Settings!$A$41:$A$50,0))&amp;""="","UNMAPPED",INDEX(Settings!$B$41:$B$50,MATCH(O2883,Settings!$A$41:$A$50,0))&amp;""),"UNMAPPED"))</f>
        <v/>
      </c>
      <c r="Q2883" s="38" t="n">
        <f aca="false">IF($M2883="",0,N(INDEX($A2883:$J2883,$Q$6)))</f>
        <v>0</v>
      </c>
      <c r="R2883" s="39" t="str">
        <f aca="false">IF($M2883="","",INDEX($A2883:$J2883,$R$6))</f>
        <v/>
      </c>
      <c r="S2883" s="37" t="str">
        <f aca="false">IF($M2883="","",IFERROR(INDEX(Settings!$B$27:$B$36,MATCH(L2883,Settings!$A$27:$A$36,0))&amp;"","UNMAPPED"))</f>
        <v/>
      </c>
      <c r="T2883" s="37" t="str">
        <f aca="false">IF($M2883="","",IF(NOT(ISNUMBER(R2883)),"NO DATE",IF(S2883="Won",IF(R2883&gt;Settings!$B$5,"Backlog","Delivered"),IF(S2883="Open",IF(R2883&gt;Settings!$B$5,"Pipeline","Overdue"),IF(S2883="Lost","Lost","UNMAPPED")))))</f>
        <v/>
      </c>
      <c r="U2883" s="40" t="n">
        <f aca="false">IF(T2883="Backlog",1,IF(OR(T2883="Pipeline",T2883="Overdue"),N(INDEX(Settings!$C$27:$C$36,MATCH(L2883,Settings!$A$27:$A$36,0))),0))</f>
        <v>0</v>
      </c>
      <c r="V2883" s="38" t="n">
        <f aca="false">Q2883*U2883</f>
        <v>0</v>
      </c>
      <c r="W2883" s="41" t="str">
        <f aca="false">IF($M2883="","",IF(T2883="Overdue",IF(Settings!$B$8="Yes",Settings!$B$7,""),IF(ISNUMBER(R2883),DATE(YEAR(R2883),MONTH(R2883),1),"")))</f>
        <v/>
      </c>
      <c r="X2883" s="38" t="n">
        <f aca="false">IF(AND(OR(T2883="Backlog",T2883="Pipeline",T2883="Overdue"),ISNUMBER(W2883)),IF(W2883&lt;=Settings!$B$6,V2883,0),0)</f>
        <v>0</v>
      </c>
      <c r="Y2883" s="38" t="n">
        <f aca="false">IF(AND(OR(T2883="Backlog",T2883="Pipeline",T2883="Overdue"),ISNUMBER(W2883)),IF(W2883&lt;=Settings!$B$6,Q2883,0),0)</f>
        <v>0</v>
      </c>
      <c r="Z2883" s="38" t="n">
        <f aca="false">IF(Y2883=0,0,IF(T2883="Backlog",Q2883,Q2883*Dashboard!$C$10))</f>
        <v>0</v>
      </c>
      <c r="AA2883" s="37" t="n">
        <f aca="false">IF($N2883="",0,IF(COUNTIF(Dashboard!$C$13:$C$22,$N2883)&gt;0,1,0))</f>
        <v>0</v>
      </c>
      <c r="AB2883" s="37" t="str">
        <f aca="false">IF($N2883="","",IF(COUNTIF($N$8:$N2883,$N2883)=1,MAX($AB$7:$AB2882)+1,""))</f>
        <v/>
      </c>
    </row>
    <row r="2884" customFormat="false" ht="15" hidden="false" customHeight="false" outlineLevel="0" collapsed="false">
      <c r="L2884" s="37" t="str">
        <f aca="false">IF(INDEX($A2884:$J2884,$L$6)&lt;&gt;"",TRIM(LEFT(INDEX($A2884:$J2884,$L$6),FIND("(",INDEX($A2884:$J2884,$L$6)&amp;"(")-1)),L2883)</f>
        <v>Building Value Proposition</v>
      </c>
      <c r="M2884" s="37" t="str">
        <f aca="false">IF(INDEX($A2884:$J2884,$M$6)="","",INDEX($A2884:$J2884,$M$6)&amp;"")</f>
        <v/>
      </c>
      <c r="N2884" s="37" t="str">
        <f aca="false">IF($M2884="","",TRIM(INDEX($A2884:$J2884,$N$6)&amp;""))</f>
        <v/>
      </c>
      <c r="O2884" s="37" t="str">
        <f aca="false">IF($M2884="","",TRIM(INDEX($A2884:$J2884,$O$6)&amp;""))</f>
        <v/>
      </c>
      <c r="P2884" s="37" t="str">
        <f aca="false">IF($M2884="","",IFERROR(IF(INDEX(Settings!$B$41:$B$50,MATCH(O2884,Settings!$A$41:$A$50,0))&amp;""="","UNMAPPED",INDEX(Settings!$B$41:$B$50,MATCH(O2884,Settings!$A$41:$A$50,0))&amp;""),"UNMAPPED"))</f>
        <v/>
      </c>
      <c r="Q2884" s="38" t="n">
        <f aca="false">IF($M2884="",0,N(INDEX($A2884:$J2884,$Q$6)))</f>
        <v>0</v>
      </c>
      <c r="R2884" s="39" t="str">
        <f aca="false">IF($M2884="","",INDEX($A2884:$J2884,$R$6))</f>
        <v/>
      </c>
      <c r="S2884" s="37" t="str">
        <f aca="false">IF($M2884="","",IFERROR(INDEX(Settings!$B$27:$B$36,MATCH(L2884,Settings!$A$27:$A$36,0))&amp;"","UNMAPPED"))</f>
        <v/>
      </c>
      <c r="T2884" s="37" t="str">
        <f aca="false">IF($M2884="","",IF(NOT(ISNUMBER(R2884)),"NO DATE",IF(S2884="Won",IF(R2884&gt;Settings!$B$5,"Backlog","Delivered"),IF(S2884="Open",IF(R2884&gt;Settings!$B$5,"Pipeline","Overdue"),IF(S2884="Lost","Lost","UNMAPPED")))))</f>
        <v/>
      </c>
      <c r="U2884" s="40" t="n">
        <f aca="false">IF(T2884="Backlog",1,IF(OR(T2884="Pipeline",T2884="Overdue"),N(INDEX(Settings!$C$27:$C$36,MATCH(L2884,Settings!$A$27:$A$36,0))),0))</f>
        <v>0</v>
      </c>
      <c r="V2884" s="38" t="n">
        <f aca="false">Q2884*U2884</f>
        <v>0</v>
      </c>
      <c r="W2884" s="41" t="str">
        <f aca="false">IF($M2884="","",IF(T2884="Overdue",IF(Settings!$B$8="Yes",Settings!$B$7,""),IF(ISNUMBER(R2884),DATE(YEAR(R2884),MONTH(R2884),1),"")))</f>
        <v/>
      </c>
      <c r="X2884" s="38" t="n">
        <f aca="false">IF(AND(OR(T2884="Backlog",T2884="Pipeline",T2884="Overdue"),ISNUMBER(W2884)),IF(W2884&lt;=Settings!$B$6,V2884,0),0)</f>
        <v>0</v>
      </c>
      <c r="Y2884" s="38" t="n">
        <f aca="false">IF(AND(OR(T2884="Backlog",T2884="Pipeline",T2884="Overdue"),ISNUMBER(W2884)),IF(W2884&lt;=Settings!$B$6,Q2884,0),0)</f>
        <v>0</v>
      </c>
      <c r="Z2884" s="38" t="n">
        <f aca="false">IF(Y2884=0,0,IF(T2884="Backlog",Q2884,Q2884*Dashboard!$C$10))</f>
        <v>0</v>
      </c>
      <c r="AA2884" s="37" t="n">
        <f aca="false">IF($N2884="",0,IF(COUNTIF(Dashboard!$C$13:$C$22,$N2884)&gt;0,1,0))</f>
        <v>0</v>
      </c>
      <c r="AB2884" s="37" t="str">
        <f aca="false">IF($N2884="","",IF(COUNTIF($N$8:$N2884,$N2884)=1,MAX($AB$7:$AB2883)+1,""))</f>
        <v/>
      </c>
    </row>
    <row r="2885" customFormat="false" ht="15" hidden="false" customHeight="false" outlineLevel="0" collapsed="false">
      <c r="L2885" s="37" t="str">
        <f aca="false">IF(INDEX($A2885:$J2885,$L$6)&lt;&gt;"",TRIM(LEFT(INDEX($A2885:$J2885,$L$6),FIND("(",INDEX($A2885:$J2885,$L$6)&amp;"(")-1)),L2884)</f>
        <v>Building Value Proposition</v>
      </c>
      <c r="M2885" s="37" t="str">
        <f aca="false">IF(INDEX($A2885:$J2885,$M$6)="","",INDEX($A2885:$J2885,$M$6)&amp;"")</f>
        <v/>
      </c>
      <c r="N2885" s="37" t="str">
        <f aca="false">IF($M2885="","",TRIM(INDEX($A2885:$J2885,$N$6)&amp;""))</f>
        <v/>
      </c>
      <c r="O2885" s="37" t="str">
        <f aca="false">IF($M2885="","",TRIM(INDEX($A2885:$J2885,$O$6)&amp;""))</f>
        <v/>
      </c>
      <c r="P2885" s="37" t="str">
        <f aca="false">IF($M2885="","",IFERROR(IF(INDEX(Settings!$B$41:$B$50,MATCH(O2885,Settings!$A$41:$A$50,0))&amp;""="","UNMAPPED",INDEX(Settings!$B$41:$B$50,MATCH(O2885,Settings!$A$41:$A$50,0))&amp;""),"UNMAPPED"))</f>
        <v/>
      </c>
      <c r="Q2885" s="38" t="n">
        <f aca="false">IF($M2885="",0,N(INDEX($A2885:$J2885,$Q$6)))</f>
        <v>0</v>
      </c>
      <c r="R2885" s="39" t="str">
        <f aca="false">IF($M2885="","",INDEX($A2885:$J2885,$R$6))</f>
        <v/>
      </c>
      <c r="S2885" s="37" t="str">
        <f aca="false">IF($M2885="","",IFERROR(INDEX(Settings!$B$27:$B$36,MATCH(L2885,Settings!$A$27:$A$36,0))&amp;"","UNMAPPED"))</f>
        <v/>
      </c>
      <c r="T2885" s="37" t="str">
        <f aca="false">IF($M2885="","",IF(NOT(ISNUMBER(R2885)),"NO DATE",IF(S2885="Won",IF(R2885&gt;Settings!$B$5,"Backlog","Delivered"),IF(S2885="Open",IF(R2885&gt;Settings!$B$5,"Pipeline","Overdue"),IF(S2885="Lost","Lost","UNMAPPED")))))</f>
        <v/>
      </c>
      <c r="U2885" s="40" t="n">
        <f aca="false">IF(T2885="Backlog",1,IF(OR(T2885="Pipeline",T2885="Overdue"),N(INDEX(Settings!$C$27:$C$36,MATCH(L2885,Settings!$A$27:$A$36,0))),0))</f>
        <v>0</v>
      </c>
      <c r="V2885" s="38" t="n">
        <f aca="false">Q2885*U2885</f>
        <v>0</v>
      </c>
      <c r="W2885" s="41" t="str">
        <f aca="false">IF($M2885="","",IF(T2885="Overdue",IF(Settings!$B$8="Yes",Settings!$B$7,""),IF(ISNUMBER(R2885),DATE(YEAR(R2885),MONTH(R2885),1),"")))</f>
        <v/>
      </c>
      <c r="X2885" s="38" t="n">
        <f aca="false">IF(AND(OR(T2885="Backlog",T2885="Pipeline",T2885="Overdue"),ISNUMBER(W2885)),IF(W2885&lt;=Settings!$B$6,V2885,0),0)</f>
        <v>0</v>
      </c>
      <c r="Y2885" s="38" t="n">
        <f aca="false">IF(AND(OR(T2885="Backlog",T2885="Pipeline",T2885="Overdue"),ISNUMBER(W2885)),IF(W2885&lt;=Settings!$B$6,Q2885,0),0)</f>
        <v>0</v>
      </c>
      <c r="Z2885" s="38" t="n">
        <f aca="false">IF(Y2885=0,0,IF(T2885="Backlog",Q2885,Q2885*Dashboard!$C$10))</f>
        <v>0</v>
      </c>
      <c r="AA2885" s="37" t="n">
        <f aca="false">IF($N2885="",0,IF(COUNTIF(Dashboard!$C$13:$C$22,$N2885)&gt;0,1,0))</f>
        <v>0</v>
      </c>
      <c r="AB2885" s="37" t="str">
        <f aca="false">IF($N2885="","",IF(COUNTIF($N$8:$N2885,$N2885)=1,MAX($AB$7:$AB2884)+1,""))</f>
        <v/>
      </c>
    </row>
    <row r="2886" customFormat="false" ht="15" hidden="false" customHeight="false" outlineLevel="0" collapsed="false">
      <c r="L2886" s="37" t="str">
        <f aca="false">IF(INDEX($A2886:$J2886,$L$6)&lt;&gt;"",TRIM(LEFT(INDEX($A2886:$J2886,$L$6),FIND("(",INDEX($A2886:$J2886,$L$6)&amp;"(")-1)),L2885)</f>
        <v>Building Value Proposition</v>
      </c>
      <c r="M2886" s="37" t="str">
        <f aca="false">IF(INDEX($A2886:$J2886,$M$6)="","",INDEX($A2886:$J2886,$M$6)&amp;"")</f>
        <v/>
      </c>
      <c r="N2886" s="37" t="str">
        <f aca="false">IF($M2886="","",TRIM(INDEX($A2886:$J2886,$N$6)&amp;""))</f>
        <v/>
      </c>
      <c r="O2886" s="37" t="str">
        <f aca="false">IF($M2886="","",TRIM(INDEX($A2886:$J2886,$O$6)&amp;""))</f>
        <v/>
      </c>
      <c r="P2886" s="37" t="str">
        <f aca="false">IF($M2886="","",IFERROR(IF(INDEX(Settings!$B$41:$B$50,MATCH(O2886,Settings!$A$41:$A$50,0))&amp;""="","UNMAPPED",INDEX(Settings!$B$41:$B$50,MATCH(O2886,Settings!$A$41:$A$50,0))&amp;""),"UNMAPPED"))</f>
        <v/>
      </c>
      <c r="Q2886" s="38" t="n">
        <f aca="false">IF($M2886="",0,N(INDEX($A2886:$J2886,$Q$6)))</f>
        <v>0</v>
      </c>
      <c r="R2886" s="39" t="str">
        <f aca="false">IF($M2886="","",INDEX($A2886:$J2886,$R$6))</f>
        <v/>
      </c>
      <c r="S2886" s="37" t="str">
        <f aca="false">IF($M2886="","",IFERROR(INDEX(Settings!$B$27:$B$36,MATCH(L2886,Settings!$A$27:$A$36,0))&amp;"","UNMAPPED"))</f>
        <v/>
      </c>
      <c r="T2886" s="37" t="str">
        <f aca="false">IF($M2886="","",IF(NOT(ISNUMBER(R2886)),"NO DATE",IF(S2886="Won",IF(R2886&gt;Settings!$B$5,"Backlog","Delivered"),IF(S2886="Open",IF(R2886&gt;Settings!$B$5,"Pipeline","Overdue"),IF(S2886="Lost","Lost","UNMAPPED")))))</f>
        <v/>
      </c>
      <c r="U2886" s="40" t="n">
        <f aca="false">IF(T2886="Backlog",1,IF(OR(T2886="Pipeline",T2886="Overdue"),N(INDEX(Settings!$C$27:$C$36,MATCH(L2886,Settings!$A$27:$A$36,0))),0))</f>
        <v>0</v>
      </c>
      <c r="V2886" s="38" t="n">
        <f aca="false">Q2886*U2886</f>
        <v>0</v>
      </c>
      <c r="W2886" s="41" t="str">
        <f aca="false">IF($M2886="","",IF(T2886="Overdue",IF(Settings!$B$8="Yes",Settings!$B$7,""),IF(ISNUMBER(R2886),DATE(YEAR(R2886),MONTH(R2886),1),"")))</f>
        <v/>
      </c>
      <c r="X2886" s="38" t="n">
        <f aca="false">IF(AND(OR(T2886="Backlog",T2886="Pipeline",T2886="Overdue"),ISNUMBER(W2886)),IF(W2886&lt;=Settings!$B$6,V2886,0),0)</f>
        <v>0</v>
      </c>
      <c r="Y2886" s="38" t="n">
        <f aca="false">IF(AND(OR(T2886="Backlog",T2886="Pipeline",T2886="Overdue"),ISNUMBER(W2886)),IF(W2886&lt;=Settings!$B$6,Q2886,0),0)</f>
        <v>0</v>
      </c>
      <c r="Z2886" s="38" t="n">
        <f aca="false">IF(Y2886=0,0,IF(T2886="Backlog",Q2886,Q2886*Dashboard!$C$10))</f>
        <v>0</v>
      </c>
      <c r="AA2886" s="37" t="n">
        <f aca="false">IF($N2886="",0,IF(COUNTIF(Dashboard!$C$13:$C$22,$N2886)&gt;0,1,0))</f>
        <v>0</v>
      </c>
      <c r="AB2886" s="37" t="str">
        <f aca="false">IF($N2886="","",IF(COUNTIF($N$8:$N2886,$N2886)=1,MAX($AB$7:$AB2885)+1,""))</f>
        <v/>
      </c>
    </row>
    <row r="2887" customFormat="false" ht="15" hidden="false" customHeight="false" outlineLevel="0" collapsed="false">
      <c r="L2887" s="37" t="str">
        <f aca="false">IF(INDEX($A2887:$J2887,$L$6)&lt;&gt;"",TRIM(LEFT(INDEX($A2887:$J2887,$L$6),FIND("(",INDEX($A2887:$J2887,$L$6)&amp;"(")-1)),L2886)</f>
        <v>Building Value Proposition</v>
      </c>
      <c r="M2887" s="37" t="str">
        <f aca="false">IF(INDEX($A2887:$J2887,$M$6)="","",INDEX($A2887:$J2887,$M$6)&amp;"")</f>
        <v/>
      </c>
      <c r="N2887" s="37" t="str">
        <f aca="false">IF($M2887="","",TRIM(INDEX($A2887:$J2887,$N$6)&amp;""))</f>
        <v/>
      </c>
      <c r="O2887" s="37" t="str">
        <f aca="false">IF($M2887="","",TRIM(INDEX($A2887:$J2887,$O$6)&amp;""))</f>
        <v/>
      </c>
      <c r="P2887" s="37" t="str">
        <f aca="false">IF($M2887="","",IFERROR(IF(INDEX(Settings!$B$41:$B$50,MATCH(O2887,Settings!$A$41:$A$50,0))&amp;""="","UNMAPPED",INDEX(Settings!$B$41:$B$50,MATCH(O2887,Settings!$A$41:$A$50,0))&amp;""),"UNMAPPED"))</f>
        <v/>
      </c>
      <c r="Q2887" s="38" t="n">
        <f aca="false">IF($M2887="",0,N(INDEX($A2887:$J2887,$Q$6)))</f>
        <v>0</v>
      </c>
      <c r="R2887" s="39" t="str">
        <f aca="false">IF($M2887="","",INDEX($A2887:$J2887,$R$6))</f>
        <v/>
      </c>
      <c r="S2887" s="37" t="str">
        <f aca="false">IF($M2887="","",IFERROR(INDEX(Settings!$B$27:$B$36,MATCH(L2887,Settings!$A$27:$A$36,0))&amp;"","UNMAPPED"))</f>
        <v/>
      </c>
      <c r="T2887" s="37" t="str">
        <f aca="false">IF($M2887="","",IF(NOT(ISNUMBER(R2887)),"NO DATE",IF(S2887="Won",IF(R2887&gt;Settings!$B$5,"Backlog","Delivered"),IF(S2887="Open",IF(R2887&gt;Settings!$B$5,"Pipeline","Overdue"),IF(S2887="Lost","Lost","UNMAPPED")))))</f>
        <v/>
      </c>
      <c r="U2887" s="40" t="n">
        <f aca="false">IF(T2887="Backlog",1,IF(OR(T2887="Pipeline",T2887="Overdue"),N(INDEX(Settings!$C$27:$C$36,MATCH(L2887,Settings!$A$27:$A$36,0))),0))</f>
        <v>0</v>
      </c>
      <c r="V2887" s="38" t="n">
        <f aca="false">Q2887*U2887</f>
        <v>0</v>
      </c>
      <c r="W2887" s="41" t="str">
        <f aca="false">IF($M2887="","",IF(T2887="Overdue",IF(Settings!$B$8="Yes",Settings!$B$7,""),IF(ISNUMBER(R2887),DATE(YEAR(R2887),MONTH(R2887),1),"")))</f>
        <v/>
      </c>
      <c r="X2887" s="38" t="n">
        <f aca="false">IF(AND(OR(T2887="Backlog",T2887="Pipeline",T2887="Overdue"),ISNUMBER(W2887)),IF(W2887&lt;=Settings!$B$6,V2887,0),0)</f>
        <v>0</v>
      </c>
      <c r="Y2887" s="38" t="n">
        <f aca="false">IF(AND(OR(T2887="Backlog",T2887="Pipeline",T2887="Overdue"),ISNUMBER(W2887)),IF(W2887&lt;=Settings!$B$6,Q2887,0),0)</f>
        <v>0</v>
      </c>
      <c r="Z2887" s="38" t="n">
        <f aca="false">IF(Y2887=0,0,IF(T2887="Backlog",Q2887,Q2887*Dashboard!$C$10))</f>
        <v>0</v>
      </c>
      <c r="AA2887" s="37" t="n">
        <f aca="false">IF($N2887="",0,IF(COUNTIF(Dashboard!$C$13:$C$22,$N2887)&gt;0,1,0))</f>
        <v>0</v>
      </c>
      <c r="AB2887" s="37" t="str">
        <f aca="false">IF($N2887="","",IF(COUNTIF($N$8:$N2887,$N2887)=1,MAX($AB$7:$AB2886)+1,""))</f>
        <v/>
      </c>
    </row>
    <row r="2888" customFormat="false" ht="15" hidden="false" customHeight="false" outlineLevel="0" collapsed="false">
      <c r="L2888" s="37" t="str">
        <f aca="false">IF(INDEX($A2888:$J2888,$L$6)&lt;&gt;"",TRIM(LEFT(INDEX($A2888:$J2888,$L$6),FIND("(",INDEX($A2888:$J2888,$L$6)&amp;"(")-1)),L2887)</f>
        <v>Building Value Proposition</v>
      </c>
      <c r="M2888" s="37" t="str">
        <f aca="false">IF(INDEX($A2888:$J2888,$M$6)="","",INDEX($A2888:$J2888,$M$6)&amp;"")</f>
        <v/>
      </c>
      <c r="N2888" s="37" t="str">
        <f aca="false">IF($M2888="","",TRIM(INDEX($A2888:$J2888,$N$6)&amp;""))</f>
        <v/>
      </c>
      <c r="O2888" s="37" t="str">
        <f aca="false">IF($M2888="","",TRIM(INDEX($A2888:$J2888,$O$6)&amp;""))</f>
        <v/>
      </c>
      <c r="P2888" s="37" t="str">
        <f aca="false">IF($M2888="","",IFERROR(IF(INDEX(Settings!$B$41:$B$50,MATCH(O2888,Settings!$A$41:$A$50,0))&amp;""="","UNMAPPED",INDEX(Settings!$B$41:$B$50,MATCH(O2888,Settings!$A$41:$A$50,0))&amp;""),"UNMAPPED"))</f>
        <v/>
      </c>
      <c r="Q2888" s="38" t="n">
        <f aca="false">IF($M2888="",0,N(INDEX($A2888:$J2888,$Q$6)))</f>
        <v>0</v>
      </c>
      <c r="R2888" s="39" t="str">
        <f aca="false">IF($M2888="","",INDEX($A2888:$J2888,$R$6))</f>
        <v/>
      </c>
      <c r="S2888" s="37" t="str">
        <f aca="false">IF($M2888="","",IFERROR(INDEX(Settings!$B$27:$B$36,MATCH(L2888,Settings!$A$27:$A$36,0))&amp;"","UNMAPPED"))</f>
        <v/>
      </c>
      <c r="T2888" s="37" t="str">
        <f aca="false">IF($M2888="","",IF(NOT(ISNUMBER(R2888)),"NO DATE",IF(S2888="Won",IF(R2888&gt;Settings!$B$5,"Backlog","Delivered"),IF(S2888="Open",IF(R2888&gt;Settings!$B$5,"Pipeline","Overdue"),IF(S2888="Lost","Lost","UNMAPPED")))))</f>
        <v/>
      </c>
      <c r="U2888" s="40" t="n">
        <f aca="false">IF(T2888="Backlog",1,IF(OR(T2888="Pipeline",T2888="Overdue"),N(INDEX(Settings!$C$27:$C$36,MATCH(L2888,Settings!$A$27:$A$36,0))),0))</f>
        <v>0</v>
      </c>
      <c r="V2888" s="38" t="n">
        <f aca="false">Q2888*U2888</f>
        <v>0</v>
      </c>
      <c r="W2888" s="41" t="str">
        <f aca="false">IF($M2888="","",IF(T2888="Overdue",IF(Settings!$B$8="Yes",Settings!$B$7,""),IF(ISNUMBER(R2888),DATE(YEAR(R2888),MONTH(R2888),1),"")))</f>
        <v/>
      </c>
      <c r="X2888" s="38" t="n">
        <f aca="false">IF(AND(OR(T2888="Backlog",T2888="Pipeline",T2888="Overdue"),ISNUMBER(W2888)),IF(W2888&lt;=Settings!$B$6,V2888,0),0)</f>
        <v>0</v>
      </c>
      <c r="Y2888" s="38" t="n">
        <f aca="false">IF(AND(OR(T2888="Backlog",T2888="Pipeline",T2888="Overdue"),ISNUMBER(W2888)),IF(W2888&lt;=Settings!$B$6,Q2888,0),0)</f>
        <v>0</v>
      </c>
      <c r="Z2888" s="38" t="n">
        <f aca="false">IF(Y2888=0,0,IF(T2888="Backlog",Q2888,Q2888*Dashboard!$C$10))</f>
        <v>0</v>
      </c>
      <c r="AA2888" s="37" t="n">
        <f aca="false">IF($N2888="",0,IF(COUNTIF(Dashboard!$C$13:$C$22,$N2888)&gt;0,1,0))</f>
        <v>0</v>
      </c>
      <c r="AB2888" s="37" t="str">
        <f aca="false">IF($N2888="","",IF(COUNTIF($N$8:$N2888,$N2888)=1,MAX($AB$7:$AB2887)+1,""))</f>
        <v/>
      </c>
    </row>
    <row r="2889" customFormat="false" ht="15" hidden="false" customHeight="false" outlineLevel="0" collapsed="false">
      <c r="L2889" s="37" t="str">
        <f aca="false">IF(INDEX($A2889:$J2889,$L$6)&lt;&gt;"",TRIM(LEFT(INDEX($A2889:$J2889,$L$6),FIND("(",INDEX($A2889:$J2889,$L$6)&amp;"(")-1)),L2888)</f>
        <v>Building Value Proposition</v>
      </c>
      <c r="M2889" s="37" t="str">
        <f aca="false">IF(INDEX($A2889:$J2889,$M$6)="","",INDEX($A2889:$J2889,$M$6)&amp;"")</f>
        <v/>
      </c>
      <c r="N2889" s="37" t="str">
        <f aca="false">IF($M2889="","",TRIM(INDEX($A2889:$J2889,$N$6)&amp;""))</f>
        <v/>
      </c>
      <c r="O2889" s="37" t="str">
        <f aca="false">IF($M2889="","",TRIM(INDEX($A2889:$J2889,$O$6)&amp;""))</f>
        <v/>
      </c>
      <c r="P2889" s="37" t="str">
        <f aca="false">IF($M2889="","",IFERROR(IF(INDEX(Settings!$B$41:$B$50,MATCH(O2889,Settings!$A$41:$A$50,0))&amp;""="","UNMAPPED",INDEX(Settings!$B$41:$B$50,MATCH(O2889,Settings!$A$41:$A$50,0))&amp;""),"UNMAPPED"))</f>
        <v/>
      </c>
      <c r="Q2889" s="38" t="n">
        <f aca="false">IF($M2889="",0,N(INDEX($A2889:$J2889,$Q$6)))</f>
        <v>0</v>
      </c>
      <c r="R2889" s="39" t="str">
        <f aca="false">IF($M2889="","",INDEX($A2889:$J2889,$R$6))</f>
        <v/>
      </c>
      <c r="S2889" s="37" t="str">
        <f aca="false">IF($M2889="","",IFERROR(INDEX(Settings!$B$27:$B$36,MATCH(L2889,Settings!$A$27:$A$36,0))&amp;"","UNMAPPED"))</f>
        <v/>
      </c>
      <c r="T2889" s="37" t="str">
        <f aca="false">IF($M2889="","",IF(NOT(ISNUMBER(R2889)),"NO DATE",IF(S2889="Won",IF(R2889&gt;Settings!$B$5,"Backlog","Delivered"),IF(S2889="Open",IF(R2889&gt;Settings!$B$5,"Pipeline","Overdue"),IF(S2889="Lost","Lost","UNMAPPED")))))</f>
        <v/>
      </c>
      <c r="U2889" s="40" t="n">
        <f aca="false">IF(T2889="Backlog",1,IF(OR(T2889="Pipeline",T2889="Overdue"),N(INDEX(Settings!$C$27:$C$36,MATCH(L2889,Settings!$A$27:$A$36,0))),0))</f>
        <v>0</v>
      </c>
      <c r="V2889" s="38" t="n">
        <f aca="false">Q2889*U2889</f>
        <v>0</v>
      </c>
      <c r="W2889" s="41" t="str">
        <f aca="false">IF($M2889="","",IF(T2889="Overdue",IF(Settings!$B$8="Yes",Settings!$B$7,""),IF(ISNUMBER(R2889),DATE(YEAR(R2889),MONTH(R2889),1),"")))</f>
        <v/>
      </c>
      <c r="X2889" s="38" t="n">
        <f aca="false">IF(AND(OR(T2889="Backlog",T2889="Pipeline",T2889="Overdue"),ISNUMBER(W2889)),IF(W2889&lt;=Settings!$B$6,V2889,0),0)</f>
        <v>0</v>
      </c>
      <c r="Y2889" s="38" t="n">
        <f aca="false">IF(AND(OR(T2889="Backlog",T2889="Pipeline",T2889="Overdue"),ISNUMBER(W2889)),IF(W2889&lt;=Settings!$B$6,Q2889,0),0)</f>
        <v>0</v>
      </c>
      <c r="Z2889" s="38" t="n">
        <f aca="false">IF(Y2889=0,0,IF(T2889="Backlog",Q2889,Q2889*Dashboard!$C$10))</f>
        <v>0</v>
      </c>
      <c r="AA2889" s="37" t="n">
        <f aca="false">IF($N2889="",0,IF(COUNTIF(Dashboard!$C$13:$C$22,$N2889)&gt;0,1,0))</f>
        <v>0</v>
      </c>
      <c r="AB2889" s="37" t="str">
        <f aca="false">IF($N2889="","",IF(COUNTIF($N$8:$N2889,$N2889)=1,MAX($AB$7:$AB2888)+1,""))</f>
        <v/>
      </c>
    </row>
    <row r="2890" customFormat="false" ht="15" hidden="false" customHeight="false" outlineLevel="0" collapsed="false">
      <c r="L2890" s="37" t="str">
        <f aca="false">IF(INDEX($A2890:$J2890,$L$6)&lt;&gt;"",TRIM(LEFT(INDEX($A2890:$J2890,$L$6),FIND("(",INDEX($A2890:$J2890,$L$6)&amp;"(")-1)),L2889)</f>
        <v>Building Value Proposition</v>
      </c>
      <c r="M2890" s="37" t="str">
        <f aca="false">IF(INDEX($A2890:$J2890,$M$6)="","",INDEX($A2890:$J2890,$M$6)&amp;"")</f>
        <v/>
      </c>
      <c r="N2890" s="37" t="str">
        <f aca="false">IF($M2890="","",TRIM(INDEX($A2890:$J2890,$N$6)&amp;""))</f>
        <v/>
      </c>
      <c r="O2890" s="37" t="str">
        <f aca="false">IF($M2890="","",TRIM(INDEX($A2890:$J2890,$O$6)&amp;""))</f>
        <v/>
      </c>
      <c r="P2890" s="37" t="str">
        <f aca="false">IF($M2890="","",IFERROR(IF(INDEX(Settings!$B$41:$B$50,MATCH(O2890,Settings!$A$41:$A$50,0))&amp;""="","UNMAPPED",INDEX(Settings!$B$41:$B$50,MATCH(O2890,Settings!$A$41:$A$50,0))&amp;""),"UNMAPPED"))</f>
        <v/>
      </c>
      <c r="Q2890" s="38" t="n">
        <f aca="false">IF($M2890="",0,N(INDEX($A2890:$J2890,$Q$6)))</f>
        <v>0</v>
      </c>
      <c r="R2890" s="39" t="str">
        <f aca="false">IF($M2890="","",INDEX($A2890:$J2890,$R$6))</f>
        <v/>
      </c>
      <c r="S2890" s="37" t="str">
        <f aca="false">IF($M2890="","",IFERROR(INDEX(Settings!$B$27:$B$36,MATCH(L2890,Settings!$A$27:$A$36,0))&amp;"","UNMAPPED"))</f>
        <v/>
      </c>
      <c r="T2890" s="37" t="str">
        <f aca="false">IF($M2890="","",IF(NOT(ISNUMBER(R2890)),"NO DATE",IF(S2890="Won",IF(R2890&gt;Settings!$B$5,"Backlog","Delivered"),IF(S2890="Open",IF(R2890&gt;Settings!$B$5,"Pipeline","Overdue"),IF(S2890="Lost","Lost","UNMAPPED")))))</f>
        <v/>
      </c>
      <c r="U2890" s="40" t="n">
        <f aca="false">IF(T2890="Backlog",1,IF(OR(T2890="Pipeline",T2890="Overdue"),N(INDEX(Settings!$C$27:$C$36,MATCH(L2890,Settings!$A$27:$A$36,0))),0))</f>
        <v>0</v>
      </c>
      <c r="V2890" s="38" t="n">
        <f aca="false">Q2890*U2890</f>
        <v>0</v>
      </c>
      <c r="W2890" s="41" t="str">
        <f aca="false">IF($M2890="","",IF(T2890="Overdue",IF(Settings!$B$8="Yes",Settings!$B$7,""),IF(ISNUMBER(R2890),DATE(YEAR(R2890),MONTH(R2890),1),"")))</f>
        <v/>
      </c>
      <c r="X2890" s="38" t="n">
        <f aca="false">IF(AND(OR(T2890="Backlog",T2890="Pipeline",T2890="Overdue"),ISNUMBER(W2890)),IF(W2890&lt;=Settings!$B$6,V2890,0),0)</f>
        <v>0</v>
      </c>
      <c r="Y2890" s="38" t="n">
        <f aca="false">IF(AND(OR(T2890="Backlog",T2890="Pipeline",T2890="Overdue"),ISNUMBER(W2890)),IF(W2890&lt;=Settings!$B$6,Q2890,0),0)</f>
        <v>0</v>
      </c>
      <c r="Z2890" s="38" t="n">
        <f aca="false">IF(Y2890=0,0,IF(T2890="Backlog",Q2890,Q2890*Dashboard!$C$10))</f>
        <v>0</v>
      </c>
      <c r="AA2890" s="37" t="n">
        <f aca="false">IF($N2890="",0,IF(COUNTIF(Dashboard!$C$13:$C$22,$N2890)&gt;0,1,0))</f>
        <v>0</v>
      </c>
      <c r="AB2890" s="37" t="str">
        <f aca="false">IF($N2890="","",IF(COUNTIF($N$8:$N2890,$N2890)=1,MAX($AB$7:$AB2889)+1,""))</f>
        <v/>
      </c>
    </row>
    <row r="2891" customFormat="false" ht="15" hidden="false" customHeight="false" outlineLevel="0" collapsed="false">
      <c r="L2891" s="37" t="str">
        <f aca="false">IF(INDEX($A2891:$J2891,$L$6)&lt;&gt;"",TRIM(LEFT(INDEX($A2891:$J2891,$L$6),FIND("(",INDEX($A2891:$J2891,$L$6)&amp;"(")-1)),L2890)</f>
        <v>Building Value Proposition</v>
      </c>
      <c r="M2891" s="37" t="str">
        <f aca="false">IF(INDEX($A2891:$J2891,$M$6)="","",INDEX($A2891:$J2891,$M$6)&amp;"")</f>
        <v/>
      </c>
      <c r="N2891" s="37" t="str">
        <f aca="false">IF($M2891="","",TRIM(INDEX($A2891:$J2891,$N$6)&amp;""))</f>
        <v/>
      </c>
      <c r="O2891" s="37" t="str">
        <f aca="false">IF($M2891="","",TRIM(INDEX($A2891:$J2891,$O$6)&amp;""))</f>
        <v/>
      </c>
      <c r="P2891" s="37" t="str">
        <f aca="false">IF($M2891="","",IFERROR(IF(INDEX(Settings!$B$41:$B$50,MATCH(O2891,Settings!$A$41:$A$50,0))&amp;""="","UNMAPPED",INDEX(Settings!$B$41:$B$50,MATCH(O2891,Settings!$A$41:$A$50,0))&amp;""),"UNMAPPED"))</f>
        <v/>
      </c>
      <c r="Q2891" s="38" t="n">
        <f aca="false">IF($M2891="",0,N(INDEX($A2891:$J2891,$Q$6)))</f>
        <v>0</v>
      </c>
      <c r="R2891" s="39" t="str">
        <f aca="false">IF($M2891="","",INDEX($A2891:$J2891,$R$6))</f>
        <v/>
      </c>
      <c r="S2891" s="37" t="str">
        <f aca="false">IF($M2891="","",IFERROR(INDEX(Settings!$B$27:$B$36,MATCH(L2891,Settings!$A$27:$A$36,0))&amp;"","UNMAPPED"))</f>
        <v/>
      </c>
      <c r="T2891" s="37" t="str">
        <f aca="false">IF($M2891="","",IF(NOT(ISNUMBER(R2891)),"NO DATE",IF(S2891="Won",IF(R2891&gt;Settings!$B$5,"Backlog","Delivered"),IF(S2891="Open",IF(R2891&gt;Settings!$B$5,"Pipeline","Overdue"),IF(S2891="Lost","Lost","UNMAPPED")))))</f>
        <v/>
      </c>
      <c r="U2891" s="40" t="n">
        <f aca="false">IF(T2891="Backlog",1,IF(OR(T2891="Pipeline",T2891="Overdue"),N(INDEX(Settings!$C$27:$C$36,MATCH(L2891,Settings!$A$27:$A$36,0))),0))</f>
        <v>0</v>
      </c>
      <c r="V2891" s="38" t="n">
        <f aca="false">Q2891*U2891</f>
        <v>0</v>
      </c>
      <c r="W2891" s="41" t="str">
        <f aca="false">IF($M2891="","",IF(T2891="Overdue",IF(Settings!$B$8="Yes",Settings!$B$7,""),IF(ISNUMBER(R2891),DATE(YEAR(R2891),MONTH(R2891),1),"")))</f>
        <v/>
      </c>
      <c r="X2891" s="38" t="n">
        <f aca="false">IF(AND(OR(T2891="Backlog",T2891="Pipeline",T2891="Overdue"),ISNUMBER(W2891)),IF(W2891&lt;=Settings!$B$6,V2891,0),0)</f>
        <v>0</v>
      </c>
      <c r="Y2891" s="38" t="n">
        <f aca="false">IF(AND(OR(T2891="Backlog",T2891="Pipeline",T2891="Overdue"),ISNUMBER(W2891)),IF(W2891&lt;=Settings!$B$6,Q2891,0),0)</f>
        <v>0</v>
      </c>
      <c r="Z2891" s="38" t="n">
        <f aca="false">IF(Y2891=0,0,IF(T2891="Backlog",Q2891,Q2891*Dashboard!$C$10))</f>
        <v>0</v>
      </c>
      <c r="AA2891" s="37" t="n">
        <f aca="false">IF($N2891="",0,IF(COUNTIF(Dashboard!$C$13:$C$22,$N2891)&gt;0,1,0))</f>
        <v>0</v>
      </c>
      <c r="AB2891" s="37" t="str">
        <f aca="false">IF($N2891="","",IF(COUNTIF($N$8:$N2891,$N2891)=1,MAX($AB$7:$AB2890)+1,""))</f>
        <v/>
      </c>
    </row>
    <row r="2892" customFormat="false" ht="15" hidden="false" customHeight="false" outlineLevel="0" collapsed="false">
      <c r="L2892" s="37" t="str">
        <f aca="false">IF(INDEX($A2892:$J2892,$L$6)&lt;&gt;"",TRIM(LEFT(INDEX($A2892:$J2892,$L$6),FIND("(",INDEX($A2892:$J2892,$L$6)&amp;"(")-1)),L2891)</f>
        <v>Building Value Proposition</v>
      </c>
      <c r="M2892" s="37" t="str">
        <f aca="false">IF(INDEX($A2892:$J2892,$M$6)="","",INDEX($A2892:$J2892,$M$6)&amp;"")</f>
        <v/>
      </c>
      <c r="N2892" s="37" t="str">
        <f aca="false">IF($M2892="","",TRIM(INDEX($A2892:$J2892,$N$6)&amp;""))</f>
        <v/>
      </c>
      <c r="O2892" s="37" t="str">
        <f aca="false">IF($M2892="","",TRIM(INDEX($A2892:$J2892,$O$6)&amp;""))</f>
        <v/>
      </c>
      <c r="P2892" s="37" t="str">
        <f aca="false">IF($M2892="","",IFERROR(IF(INDEX(Settings!$B$41:$B$50,MATCH(O2892,Settings!$A$41:$A$50,0))&amp;""="","UNMAPPED",INDEX(Settings!$B$41:$B$50,MATCH(O2892,Settings!$A$41:$A$50,0))&amp;""),"UNMAPPED"))</f>
        <v/>
      </c>
      <c r="Q2892" s="38" t="n">
        <f aca="false">IF($M2892="",0,N(INDEX($A2892:$J2892,$Q$6)))</f>
        <v>0</v>
      </c>
      <c r="R2892" s="39" t="str">
        <f aca="false">IF($M2892="","",INDEX($A2892:$J2892,$R$6))</f>
        <v/>
      </c>
      <c r="S2892" s="37" t="str">
        <f aca="false">IF($M2892="","",IFERROR(INDEX(Settings!$B$27:$B$36,MATCH(L2892,Settings!$A$27:$A$36,0))&amp;"","UNMAPPED"))</f>
        <v/>
      </c>
      <c r="T2892" s="37" t="str">
        <f aca="false">IF($M2892="","",IF(NOT(ISNUMBER(R2892)),"NO DATE",IF(S2892="Won",IF(R2892&gt;Settings!$B$5,"Backlog","Delivered"),IF(S2892="Open",IF(R2892&gt;Settings!$B$5,"Pipeline","Overdue"),IF(S2892="Lost","Lost","UNMAPPED")))))</f>
        <v/>
      </c>
      <c r="U2892" s="40" t="n">
        <f aca="false">IF(T2892="Backlog",1,IF(OR(T2892="Pipeline",T2892="Overdue"),N(INDEX(Settings!$C$27:$C$36,MATCH(L2892,Settings!$A$27:$A$36,0))),0))</f>
        <v>0</v>
      </c>
      <c r="V2892" s="38" t="n">
        <f aca="false">Q2892*U2892</f>
        <v>0</v>
      </c>
      <c r="W2892" s="41" t="str">
        <f aca="false">IF($M2892="","",IF(T2892="Overdue",IF(Settings!$B$8="Yes",Settings!$B$7,""),IF(ISNUMBER(R2892),DATE(YEAR(R2892),MONTH(R2892),1),"")))</f>
        <v/>
      </c>
      <c r="X2892" s="38" t="n">
        <f aca="false">IF(AND(OR(T2892="Backlog",T2892="Pipeline",T2892="Overdue"),ISNUMBER(W2892)),IF(W2892&lt;=Settings!$B$6,V2892,0),0)</f>
        <v>0</v>
      </c>
      <c r="Y2892" s="38" t="n">
        <f aca="false">IF(AND(OR(T2892="Backlog",T2892="Pipeline",T2892="Overdue"),ISNUMBER(W2892)),IF(W2892&lt;=Settings!$B$6,Q2892,0),0)</f>
        <v>0</v>
      </c>
      <c r="Z2892" s="38" t="n">
        <f aca="false">IF(Y2892=0,0,IF(T2892="Backlog",Q2892,Q2892*Dashboard!$C$10))</f>
        <v>0</v>
      </c>
      <c r="AA2892" s="37" t="n">
        <f aca="false">IF($N2892="",0,IF(COUNTIF(Dashboard!$C$13:$C$22,$N2892)&gt;0,1,0))</f>
        <v>0</v>
      </c>
      <c r="AB2892" s="37" t="str">
        <f aca="false">IF($N2892="","",IF(COUNTIF($N$8:$N2892,$N2892)=1,MAX($AB$7:$AB2891)+1,""))</f>
        <v/>
      </c>
    </row>
    <row r="2893" customFormat="false" ht="15" hidden="false" customHeight="false" outlineLevel="0" collapsed="false">
      <c r="L2893" s="37" t="str">
        <f aca="false">IF(INDEX($A2893:$J2893,$L$6)&lt;&gt;"",TRIM(LEFT(INDEX($A2893:$J2893,$L$6),FIND("(",INDEX($A2893:$J2893,$L$6)&amp;"(")-1)),L2892)</f>
        <v>Building Value Proposition</v>
      </c>
      <c r="M2893" s="37" t="str">
        <f aca="false">IF(INDEX($A2893:$J2893,$M$6)="","",INDEX($A2893:$J2893,$M$6)&amp;"")</f>
        <v/>
      </c>
      <c r="N2893" s="37" t="str">
        <f aca="false">IF($M2893="","",TRIM(INDEX($A2893:$J2893,$N$6)&amp;""))</f>
        <v/>
      </c>
      <c r="O2893" s="37" t="str">
        <f aca="false">IF($M2893="","",TRIM(INDEX($A2893:$J2893,$O$6)&amp;""))</f>
        <v/>
      </c>
      <c r="P2893" s="37" t="str">
        <f aca="false">IF($M2893="","",IFERROR(IF(INDEX(Settings!$B$41:$B$50,MATCH(O2893,Settings!$A$41:$A$50,0))&amp;""="","UNMAPPED",INDEX(Settings!$B$41:$B$50,MATCH(O2893,Settings!$A$41:$A$50,0))&amp;""),"UNMAPPED"))</f>
        <v/>
      </c>
      <c r="Q2893" s="38" t="n">
        <f aca="false">IF($M2893="",0,N(INDEX($A2893:$J2893,$Q$6)))</f>
        <v>0</v>
      </c>
      <c r="R2893" s="39" t="str">
        <f aca="false">IF($M2893="","",INDEX($A2893:$J2893,$R$6))</f>
        <v/>
      </c>
      <c r="S2893" s="37" t="str">
        <f aca="false">IF($M2893="","",IFERROR(INDEX(Settings!$B$27:$B$36,MATCH(L2893,Settings!$A$27:$A$36,0))&amp;"","UNMAPPED"))</f>
        <v/>
      </c>
      <c r="T2893" s="37" t="str">
        <f aca="false">IF($M2893="","",IF(NOT(ISNUMBER(R2893)),"NO DATE",IF(S2893="Won",IF(R2893&gt;Settings!$B$5,"Backlog","Delivered"),IF(S2893="Open",IF(R2893&gt;Settings!$B$5,"Pipeline","Overdue"),IF(S2893="Lost","Lost","UNMAPPED")))))</f>
        <v/>
      </c>
      <c r="U2893" s="40" t="n">
        <f aca="false">IF(T2893="Backlog",1,IF(OR(T2893="Pipeline",T2893="Overdue"),N(INDEX(Settings!$C$27:$C$36,MATCH(L2893,Settings!$A$27:$A$36,0))),0))</f>
        <v>0</v>
      </c>
      <c r="V2893" s="38" t="n">
        <f aca="false">Q2893*U2893</f>
        <v>0</v>
      </c>
      <c r="W2893" s="41" t="str">
        <f aca="false">IF($M2893="","",IF(T2893="Overdue",IF(Settings!$B$8="Yes",Settings!$B$7,""),IF(ISNUMBER(R2893),DATE(YEAR(R2893),MONTH(R2893),1),"")))</f>
        <v/>
      </c>
      <c r="X2893" s="38" t="n">
        <f aca="false">IF(AND(OR(T2893="Backlog",T2893="Pipeline",T2893="Overdue"),ISNUMBER(W2893)),IF(W2893&lt;=Settings!$B$6,V2893,0),0)</f>
        <v>0</v>
      </c>
      <c r="Y2893" s="38" t="n">
        <f aca="false">IF(AND(OR(T2893="Backlog",T2893="Pipeline",T2893="Overdue"),ISNUMBER(W2893)),IF(W2893&lt;=Settings!$B$6,Q2893,0),0)</f>
        <v>0</v>
      </c>
      <c r="Z2893" s="38" t="n">
        <f aca="false">IF(Y2893=0,0,IF(T2893="Backlog",Q2893,Q2893*Dashboard!$C$10))</f>
        <v>0</v>
      </c>
      <c r="AA2893" s="37" t="n">
        <f aca="false">IF($N2893="",0,IF(COUNTIF(Dashboard!$C$13:$C$22,$N2893)&gt;0,1,0))</f>
        <v>0</v>
      </c>
      <c r="AB2893" s="37" t="str">
        <f aca="false">IF($N2893="","",IF(COUNTIF($N$8:$N2893,$N2893)=1,MAX($AB$7:$AB2892)+1,""))</f>
        <v/>
      </c>
    </row>
    <row r="2894" customFormat="false" ht="15" hidden="false" customHeight="false" outlineLevel="0" collapsed="false">
      <c r="L2894" s="37" t="str">
        <f aca="false">IF(INDEX($A2894:$J2894,$L$6)&lt;&gt;"",TRIM(LEFT(INDEX($A2894:$J2894,$L$6),FIND("(",INDEX($A2894:$J2894,$L$6)&amp;"(")-1)),L2893)</f>
        <v>Building Value Proposition</v>
      </c>
      <c r="M2894" s="37" t="str">
        <f aca="false">IF(INDEX($A2894:$J2894,$M$6)="","",INDEX($A2894:$J2894,$M$6)&amp;"")</f>
        <v/>
      </c>
      <c r="N2894" s="37" t="str">
        <f aca="false">IF($M2894="","",TRIM(INDEX($A2894:$J2894,$N$6)&amp;""))</f>
        <v/>
      </c>
      <c r="O2894" s="37" t="str">
        <f aca="false">IF($M2894="","",TRIM(INDEX($A2894:$J2894,$O$6)&amp;""))</f>
        <v/>
      </c>
      <c r="P2894" s="37" t="str">
        <f aca="false">IF($M2894="","",IFERROR(IF(INDEX(Settings!$B$41:$B$50,MATCH(O2894,Settings!$A$41:$A$50,0))&amp;""="","UNMAPPED",INDEX(Settings!$B$41:$B$50,MATCH(O2894,Settings!$A$41:$A$50,0))&amp;""),"UNMAPPED"))</f>
        <v/>
      </c>
      <c r="Q2894" s="38" t="n">
        <f aca="false">IF($M2894="",0,N(INDEX($A2894:$J2894,$Q$6)))</f>
        <v>0</v>
      </c>
      <c r="R2894" s="39" t="str">
        <f aca="false">IF($M2894="","",INDEX($A2894:$J2894,$R$6))</f>
        <v/>
      </c>
      <c r="S2894" s="37" t="str">
        <f aca="false">IF($M2894="","",IFERROR(INDEX(Settings!$B$27:$B$36,MATCH(L2894,Settings!$A$27:$A$36,0))&amp;"","UNMAPPED"))</f>
        <v/>
      </c>
      <c r="T2894" s="37" t="str">
        <f aca="false">IF($M2894="","",IF(NOT(ISNUMBER(R2894)),"NO DATE",IF(S2894="Won",IF(R2894&gt;Settings!$B$5,"Backlog","Delivered"),IF(S2894="Open",IF(R2894&gt;Settings!$B$5,"Pipeline","Overdue"),IF(S2894="Lost","Lost","UNMAPPED")))))</f>
        <v/>
      </c>
      <c r="U2894" s="40" t="n">
        <f aca="false">IF(T2894="Backlog",1,IF(OR(T2894="Pipeline",T2894="Overdue"),N(INDEX(Settings!$C$27:$C$36,MATCH(L2894,Settings!$A$27:$A$36,0))),0))</f>
        <v>0</v>
      </c>
      <c r="V2894" s="38" t="n">
        <f aca="false">Q2894*U2894</f>
        <v>0</v>
      </c>
      <c r="W2894" s="41" t="str">
        <f aca="false">IF($M2894="","",IF(T2894="Overdue",IF(Settings!$B$8="Yes",Settings!$B$7,""),IF(ISNUMBER(R2894),DATE(YEAR(R2894),MONTH(R2894),1),"")))</f>
        <v/>
      </c>
      <c r="X2894" s="38" t="n">
        <f aca="false">IF(AND(OR(T2894="Backlog",T2894="Pipeline",T2894="Overdue"),ISNUMBER(W2894)),IF(W2894&lt;=Settings!$B$6,V2894,0),0)</f>
        <v>0</v>
      </c>
      <c r="Y2894" s="38" t="n">
        <f aca="false">IF(AND(OR(T2894="Backlog",T2894="Pipeline",T2894="Overdue"),ISNUMBER(W2894)),IF(W2894&lt;=Settings!$B$6,Q2894,0),0)</f>
        <v>0</v>
      </c>
      <c r="Z2894" s="38" t="n">
        <f aca="false">IF(Y2894=0,0,IF(T2894="Backlog",Q2894,Q2894*Dashboard!$C$10))</f>
        <v>0</v>
      </c>
      <c r="AA2894" s="37" t="n">
        <f aca="false">IF($N2894="",0,IF(COUNTIF(Dashboard!$C$13:$C$22,$N2894)&gt;0,1,0))</f>
        <v>0</v>
      </c>
      <c r="AB2894" s="37" t="str">
        <f aca="false">IF($N2894="","",IF(COUNTIF($N$8:$N2894,$N2894)=1,MAX($AB$7:$AB2893)+1,""))</f>
        <v/>
      </c>
    </row>
    <row r="2895" customFormat="false" ht="15" hidden="false" customHeight="false" outlineLevel="0" collapsed="false">
      <c r="L2895" s="37" t="str">
        <f aca="false">IF(INDEX($A2895:$J2895,$L$6)&lt;&gt;"",TRIM(LEFT(INDEX($A2895:$J2895,$L$6),FIND("(",INDEX($A2895:$J2895,$L$6)&amp;"(")-1)),L2894)</f>
        <v>Building Value Proposition</v>
      </c>
      <c r="M2895" s="37" t="str">
        <f aca="false">IF(INDEX($A2895:$J2895,$M$6)="","",INDEX($A2895:$J2895,$M$6)&amp;"")</f>
        <v/>
      </c>
      <c r="N2895" s="37" t="str">
        <f aca="false">IF($M2895="","",TRIM(INDEX($A2895:$J2895,$N$6)&amp;""))</f>
        <v/>
      </c>
      <c r="O2895" s="37" t="str">
        <f aca="false">IF($M2895="","",TRIM(INDEX($A2895:$J2895,$O$6)&amp;""))</f>
        <v/>
      </c>
      <c r="P2895" s="37" t="str">
        <f aca="false">IF($M2895="","",IFERROR(IF(INDEX(Settings!$B$41:$B$50,MATCH(O2895,Settings!$A$41:$A$50,0))&amp;""="","UNMAPPED",INDEX(Settings!$B$41:$B$50,MATCH(O2895,Settings!$A$41:$A$50,0))&amp;""),"UNMAPPED"))</f>
        <v/>
      </c>
      <c r="Q2895" s="38" t="n">
        <f aca="false">IF($M2895="",0,N(INDEX($A2895:$J2895,$Q$6)))</f>
        <v>0</v>
      </c>
      <c r="R2895" s="39" t="str">
        <f aca="false">IF($M2895="","",INDEX($A2895:$J2895,$R$6))</f>
        <v/>
      </c>
      <c r="S2895" s="37" t="str">
        <f aca="false">IF($M2895="","",IFERROR(INDEX(Settings!$B$27:$B$36,MATCH(L2895,Settings!$A$27:$A$36,0))&amp;"","UNMAPPED"))</f>
        <v/>
      </c>
      <c r="T2895" s="37" t="str">
        <f aca="false">IF($M2895="","",IF(NOT(ISNUMBER(R2895)),"NO DATE",IF(S2895="Won",IF(R2895&gt;Settings!$B$5,"Backlog","Delivered"),IF(S2895="Open",IF(R2895&gt;Settings!$B$5,"Pipeline","Overdue"),IF(S2895="Lost","Lost","UNMAPPED")))))</f>
        <v/>
      </c>
      <c r="U2895" s="40" t="n">
        <f aca="false">IF(T2895="Backlog",1,IF(OR(T2895="Pipeline",T2895="Overdue"),N(INDEX(Settings!$C$27:$C$36,MATCH(L2895,Settings!$A$27:$A$36,0))),0))</f>
        <v>0</v>
      </c>
      <c r="V2895" s="38" t="n">
        <f aca="false">Q2895*U2895</f>
        <v>0</v>
      </c>
      <c r="W2895" s="41" t="str">
        <f aca="false">IF($M2895="","",IF(T2895="Overdue",IF(Settings!$B$8="Yes",Settings!$B$7,""),IF(ISNUMBER(R2895),DATE(YEAR(R2895),MONTH(R2895),1),"")))</f>
        <v/>
      </c>
      <c r="X2895" s="38" t="n">
        <f aca="false">IF(AND(OR(T2895="Backlog",T2895="Pipeline",T2895="Overdue"),ISNUMBER(W2895)),IF(W2895&lt;=Settings!$B$6,V2895,0),0)</f>
        <v>0</v>
      </c>
      <c r="Y2895" s="38" t="n">
        <f aca="false">IF(AND(OR(T2895="Backlog",T2895="Pipeline",T2895="Overdue"),ISNUMBER(W2895)),IF(W2895&lt;=Settings!$B$6,Q2895,0),0)</f>
        <v>0</v>
      </c>
      <c r="Z2895" s="38" t="n">
        <f aca="false">IF(Y2895=0,0,IF(T2895="Backlog",Q2895,Q2895*Dashboard!$C$10))</f>
        <v>0</v>
      </c>
      <c r="AA2895" s="37" t="n">
        <f aca="false">IF($N2895="",0,IF(COUNTIF(Dashboard!$C$13:$C$22,$N2895)&gt;0,1,0))</f>
        <v>0</v>
      </c>
      <c r="AB2895" s="37" t="str">
        <f aca="false">IF($N2895="","",IF(COUNTIF($N$8:$N2895,$N2895)=1,MAX($AB$7:$AB2894)+1,""))</f>
        <v/>
      </c>
    </row>
    <row r="2896" customFormat="false" ht="15" hidden="false" customHeight="false" outlineLevel="0" collapsed="false">
      <c r="L2896" s="37" t="str">
        <f aca="false">IF(INDEX($A2896:$J2896,$L$6)&lt;&gt;"",TRIM(LEFT(INDEX($A2896:$J2896,$L$6),FIND("(",INDEX($A2896:$J2896,$L$6)&amp;"(")-1)),L2895)</f>
        <v>Building Value Proposition</v>
      </c>
      <c r="M2896" s="37" t="str">
        <f aca="false">IF(INDEX($A2896:$J2896,$M$6)="","",INDEX($A2896:$J2896,$M$6)&amp;"")</f>
        <v/>
      </c>
      <c r="N2896" s="37" t="str">
        <f aca="false">IF($M2896="","",TRIM(INDEX($A2896:$J2896,$N$6)&amp;""))</f>
        <v/>
      </c>
      <c r="O2896" s="37" t="str">
        <f aca="false">IF($M2896="","",TRIM(INDEX($A2896:$J2896,$O$6)&amp;""))</f>
        <v/>
      </c>
      <c r="P2896" s="37" t="str">
        <f aca="false">IF($M2896="","",IFERROR(IF(INDEX(Settings!$B$41:$B$50,MATCH(O2896,Settings!$A$41:$A$50,0))&amp;""="","UNMAPPED",INDEX(Settings!$B$41:$B$50,MATCH(O2896,Settings!$A$41:$A$50,0))&amp;""),"UNMAPPED"))</f>
        <v/>
      </c>
      <c r="Q2896" s="38" t="n">
        <f aca="false">IF($M2896="",0,N(INDEX($A2896:$J2896,$Q$6)))</f>
        <v>0</v>
      </c>
      <c r="R2896" s="39" t="str">
        <f aca="false">IF($M2896="","",INDEX($A2896:$J2896,$R$6))</f>
        <v/>
      </c>
      <c r="S2896" s="37" t="str">
        <f aca="false">IF($M2896="","",IFERROR(INDEX(Settings!$B$27:$B$36,MATCH(L2896,Settings!$A$27:$A$36,0))&amp;"","UNMAPPED"))</f>
        <v/>
      </c>
      <c r="T2896" s="37" t="str">
        <f aca="false">IF($M2896="","",IF(NOT(ISNUMBER(R2896)),"NO DATE",IF(S2896="Won",IF(R2896&gt;Settings!$B$5,"Backlog","Delivered"),IF(S2896="Open",IF(R2896&gt;Settings!$B$5,"Pipeline","Overdue"),IF(S2896="Lost","Lost","UNMAPPED")))))</f>
        <v/>
      </c>
      <c r="U2896" s="40" t="n">
        <f aca="false">IF(T2896="Backlog",1,IF(OR(T2896="Pipeline",T2896="Overdue"),N(INDEX(Settings!$C$27:$C$36,MATCH(L2896,Settings!$A$27:$A$36,0))),0))</f>
        <v>0</v>
      </c>
      <c r="V2896" s="38" t="n">
        <f aca="false">Q2896*U2896</f>
        <v>0</v>
      </c>
      <c r="W2896" s="41" t="str">
        <f aca="false">IF($M2896="","",IF(T2896="Overdue",IF(Settings!$B$8="Yes",Settings!$B$7,""),IF(ISNUMBER(R2896),DATE(YEAR(R2896),MONTH(R2896),1),"")))</f>
        <v/>
      </c>
      <c r="X2896" s="38" t="n">
        <f aca="false">IF(AND(OR(T2896="Backlog",T2896="Pipeline",T2896="Overdue"),ISNUMBER(W2896)),IF(W2896&lt;=Settings!$B$6,V2896,0),0)</f>
        <v>0</v>
      </c>
      <c r="Y2896" s="38" t="n">
        <f aca="false">IF(AND(OR(T2896="Backlog",T2896="Pipeline",T2896="Overdue"),ISNUMBER(W2896)),IF(W2896&lt;=Settings!$B$6,Q2896,0),0)</f>
        <v>0</v>
      </c>
      <c r="Z2896" s="38" t="n">
        <f aca="false">IF(Y2896=0,0,IF(T2896="Backlog",Q2896,Q2896*Dashboard!$C$10))</f>
        <v>0</v>
      </c>
      <c r="AA2896" s="37" t="n">
        <f aca="false">IF($N2896="",0,IF(COUNTIF(Dashboard!$C$13:$C$22,$N2896)&gt;0,1,0))</f>
        <v>0</v>
      </c>
      <c r="AB2896" s="37" t="str">
        <f aca="false">IF($N2896="","",IF(COUNTIF($N$8:$N2896,$N2896)=1,MAX($AB$7:$AB2895)+1,""))</f>
        <v/>
      </c>
    </row>
    <row r="2897" customFormat="false" ht="15" hidden="false" customHeight="false" outlineLevel="0" collapsed="false">
      <c r="L2897" s="37" t="str">
        <f aca="false">IF(INDEX($A2897:$J2897,$L$6)&lt;&gt;"",TRIM(LEFT(INDEX($A2897:$J2897,$L$6),FIND("(",INDEX($A2897:$J2897,$L$6)&amp;"(")-1)),L2896)</f>
        <v>Building Value Proposition</v>
      </c>
      <c r="M2897" s="37" t="str">
        <f aca="false">IF(INDEX($A2897:$J2897,$M$6)="","",INDEX($A2897:$J2897,$M$6)&amp;"")</f>
        <v/>
      </c>
      <c r="N2897" s="37" t="str">
        <f aca="false">IF($M2897="","",TRIM(INDEX($A2897:$J2897,$N$6)&amp;""))</f>
        <v/>
      </c>
      <c r="O2897" s="37" t="str">
        <f aca="false">IF($M2897="","",TRIM(INDEX($A2897:$J2897,$O$6)&amp;""))</f>
        <v/>
      </c>
      <c r="P2897" s="37" t="str">
        <f aca="false">IF($M2897="","",IFERROR(IF(INDEX(Settings!$B$41:$B$50,MATCH(O2897,Settings!$A$41:$A$50,0))&amp;""="","UNMAPPED",INDEX(Settings!$B$41:$B$50,MATCH(O2897,Settings!$A$41:$A$50,0))&amp;""),"UNMAPPED"))</f>
        <v/>
      </c>
      <c r="Q2897" s="38" t="n">
        <f aca="false">IF($M2897="",0,N(INDEX($A2897:$J2897,$Q$6)))</f>
        <v>0</v>
      </c>
      <c r="R2897" s="39" t="str">
        <f aca="false">IF($M2897="","",INDEX($A2897:$J2897,$R$6))</f>
        <v/>
      </c>
      <c r="S2897" s="37" t="str">
        <f aca="false">IF($M2897="","",IFERROR(INDEX(Settings!$B$27:$B$36,MATCH(L2897,Settings!$A$27:$A$36,0))&amp;"","UNMAPPED"))</f>
        <v/>
      </c>
      <c r="T2897" s="37" t="str">
        <f aca="false">IF($M2897="","",IF(NOT(ISNUMBER(R2897)),"NO DATE",IF(S2897="Won",IF(R2897&gt;Settings!$B$5,"Backlog","Delivered"),IF(S2897="Open",IF(R2897&gt;Settings!$B$5,"Pipeline","Overdue"),IF(S2897="Lost","Lost","UNMAPPED")))))</f>
        <v/>
      </c>
      <c r="U2897" s="40" t="n">
        <f aca="false">IF(T2897="Backlog",1,IF(OR(T2897="Pipeline",T2897="Overdue"),N(INDEX(Settings!$C$27:$C$36,MATCH(L2897,Settings!$A$27:$A$36,0))),0))</f>
        <v>0</v>
      </c>
      <c r="V2897" s="38" t="n">
        <f aca="false">Q2897*U2897</f>
        <v>0</v>
      </c>
      <c r="W2897" s="41" t="str">
        <f aca="false">IF($M2897="","",IF(T2897="Overdue",IF(Settings!$B$8="Yes",Settings!$B$7,""),IF(ISNUMBER(R2897),DATE(YEAR(R2897),MONTH(R2897),1),"")))</f>
        <v/>
      </c>
      <c r="X2897" s="38" t="n">
        <f aca="false">IF(AND(OR(T2897="Backlog",T2897="Pipeline",T2897="Overdue"),ISNUMBER(W2897)),IF(W2897&lt;=Settings!$B$6,V2897,0),0)</f>
        <v>0</v>
      </c>
      <c r="Y2897" s="38" t="n">
        <f aca="false">IF(AND(OR(T2897="Backlog",T2897="Pipeline",T2897="Overdue"),ISNUMBER(W2897)),IF(W2897&lt;=Settings!$B$6,Q2897,0),0)</f>
        <v>0</v>
      </c>
      <c r="Z2897" s="38" t="n">
        <f aca="false">IF(Y2897=0,0,IF(T2897="Backlog",Q2897,Q2897*Dashboard!$C$10))</f>
        <v>0</v>
      </c>
      <c r="AA2897" s="37" t="n">
        <f aca="false">IF($N2897="",0,IF(COUNTIF(Dashboard!$C$13:$C$22,$N2897)&gt;0,1,0))</f>
        <v>0</v>
      </c>
      <c r="AB2897" s="37" t="str">
        <f aca="false">IF($N2897="","",IF(COUNTIF($N$8:$N2897,$N2897)=1,MAX($AB$7:$AB2896)+1,""))</f>
        <v/>
      </c>
    </row>
    <row r="2898" customFormat="false" ht="15" hidden="false" customHeight="false" outlineLevel="0" collapsed="false">
      <c r="L2898" s="37" t="str">
        <f aca="false">IF(INDEX($A2898:$J2898,$L$6)&lt;&gt;"",TRIM(LEFT(INDEX($A2898:$J2898,$L$6),FIND("(",INDEX($A2898:$J2898,$L$6)&amp;"(")-1)),L2897)</f>
        <v>Building Value Proposition</v>
      </c>
      <c r="M2898" s="37" t="str">
        <f aca="false">IF(INDEX($A2898:$J2898,$M$6)="","",INDEX($A2898:$J2898,$M$6)&amp;"")</f>
        <v/>
      </c>
      <c r="N2898" s="37" t="str">
        <f aca="false">IF($M2898="","",TRIM(INDEX($A2898:$J2898,$N$6)&amp;""))</f>
        <v/>
      </c>
      <c r="O2898" s="37" t="str">
        <f aca="false">IF($M2898="","",TRIM(INDEX($A2898:$J2898,$O$6)&amp;""))</f>
        <v/>
      </c>
      <c r="P2898" s="37" t="str">
        <f aca="false">IF($M2898="","",IFERROR(IF(INDEX(Settings!$B$41:$B$50,MATCH(O2898,Settings!$A$41:$A$50,0))&amp;""="","UNMAPPED",INDEX(Settings!$B$41:$B$50,MATCH(O2898,Settings!$A$41:$A$50,0))&amp;""),"UNMAPPED"))</f>
        <v/>
      </c>
      <c r="Q2898" s="38" t="n">
        <f aca="false">IF($M2898="",0,N(INDEX($A2898:$J2898,$Q$6)))</f>
        <v>0</v>
      </c>
      <c r="R2898" s="39" t="str">
        <f aca="false">IF($M2898="","",INDEX($A2898:$J2898,$R$6))</f>
        <v/>
      </c>
      <c r="S2898" s="37" t="str">
        <f aca="false">IF($M2898="","",IFERROR(INDEX(Settings!$B$27:$B$36,MATCH(L2898,Settings!$A$27:$A$36,0))&amp;"","UNMAPPED"))</f>
        <v/>
      </c>
      <c r="T2898" s="37" t="str">
        <f aca="false">IF($M2898="","",IF(NOT(ISNUMBER(R2898)),"NO DATE",IF(S2898="Won",IF(R2898&gt;Settings!$B$5,"Backlog","Delivered"),IF(S2898="Open",IF(R2898&gt;Settings!$B$5,"Pipeline","Overdue"),IF(S2898="Lost","Lost","UNMAPPED")))))</f>
        <v/>
      </c>
      <c r="U2898" s="40" t="n">
        <f aca="false">IF(T2898="Backlog",1,IF(OR(T2898="Pipeline",T2898="Overdue"),N(INDEX(Settings!$C$27:$C$36,MATCH(L2898,Settings!$A$27:$A$36,0))),0))</f>
        <v>0</v>
      </c>
      <c r="V2898" s="38" t="n">
        <f aca="false">Q2898*U2898</f>
        <v>0</v>
      </c>
      <c r="W2898" s="41" t="str">
        <f aca="false">IF($M2898="","",IF(T2898="Overdue",IF(Settings!$B$8="Yes",Settings!$B$7,""),IF(ISNUMBER(R2898),DATE(YEAR(R2898),MONTH(R2898),1),"")))</f>
        <v/>
      </c>
      <c r="X2898" s="38" t="n">
        <f aca="false">IF(AND(OR(T2898="Backlog",T2898="Pipeline",T2898="Overdue"),ISNUMBER(W2898)),IF(W2898&lt;=Settings!$B$6,V2898,0),0)</f>
        <v>0</v>
      </c>
      <c r="Y2898" s="38" t="n">
        <f aca="false">IF(AND(OR(T2898="Backlog",T2898="Pipeline",T2898="Overdue"),ISNUMBER(W2898)),IF(W2898&lt;=Settings!$B$6,Q2898,0),0)</f>
        <v>0</v>
      </c>
      <c r="Z2898" s="38" t="n">
        <f aca="false">IF(Y2898=0,0,IF(T2898="Backlog",Q2898,Q2898*Dashboard!$C$10))</f>
        <v>0</v>
      </c>
      <c r="AA2898" s="37" t="n">
        <f aca="false">IF($N2898="",0,IF(COUNTIF(Dashboard!$C$13:$C$22,$N2898)&gt;0,1,0))</f>
        <v>0</v>
      </c>
      <c r="AB2898" s="37" t="str">
        <f aca="false">IF($N2898="","",IF(COUNTIF($N$8:$N2898,$N2898)=1,MAX($AB$7:$AB2897)+1,""))</f>
        <v/>
      </c>
    </row>
    <row r="2899" customFormat="false" ht="15" hidden="false" customHeight="false" outlineLevel="0" collapsed="false">
      <c r="L2899" s="37" t="str">
        <f aca="false">IF(INDEX($A2899:$J2899,$L$6)&lt;&gt;"",TRIM(LEFT(INDEX($A2899:$J2899,$L$6),FIND("(",INDEX($A2899:$J2899,$L$6)&amp;"(")-1)),L2898)</f>
        <v>Building Value Proposition</v>
      </c>
      <c r="M2899" s="37" t="str">
        <f aca="false">IF(INDEX($A2899:$J2899,$M$6)="","",INDEX($A2899:$J2899,$M$6)&amp;"")</f>
        <v/>
      </c>
      <c r="N2899" s="37" t="str">
        <f aca="false">IF($M2899="","",TRIM(INDEX($A2899:$J2899,$N$6)&amp;""))</f>
        <v/>
      </c>
      <c r="O2899" s="37" t="str">
        <f aca="false">IF($M2899="","",TRIM(INDEX($A2899:$J2899,$O$6)&amp;""))</f>
        <v/>
      </c>
      <c r="P2899" s="37" t="str">
        <f aca="false">IF($M2899="","",IFERROR(IF(INDEX(Settings!$B$41:$B$50,MATCH(O2899,Settings!$A$41:$A$50,0))&amp;""="","UNMAPPED",INDEX(Settings!$B$41:$B$50,MATCH(O2899,Settings!$A$41:$A$50,0))&amp;""),"UNMAPPED"))</f>
        <v/>
      </c>
      <c r="Q2899" s="38" t="n">
        <f aca="false">IF($M2899="",0,N(INDEX($A2899:$J2899,$Q$6)))</f>
        <v>0</v>
      </c>
      <c r="R2899" s="39" t="str">
        <f aca="false">IF($M2899="","",INDEX($A2899:$J2899,$R$6))</f>
        <v/>
      </c>
      <c r="S2899" s="37" t="str">
        <f aca="false">IF($M2899="","",IFERROR(INDEX(Settings!$B$27:$B$36,MATCH(L2899,Settings!$A$27:$A$36,0))&amp;"","UNMAPPED"))</f>
        <v/>
      </c>
      <c r="T2899" s="37" t="str">
        <f aca="false">IF($M2899="","",IF(NOT(ISNUMBER(R2899)),"NO DATE",IF(S2899="Won",IF(R2899&gt;Settings!$B$5,"Backlog","Delivered"),IF(S2899="Open",IF(R2899&gt;Settings!$B$5,"Pipeline","Overdue"),IF(S2899="Lost","Lost","UNMAPPED")))))</f>
        <v/>
      </c>
      <c r="U2899" s="40" t="n">
        <f aca="false">IF(T2899="Backlog",1,IF(OR(T2899="Pipeline",T2899="Overdue"),N(INDEX(Settings!$C$27:$C$36,MATCH(L2899,Settings!$A$27:$A$36,0))),0))</f>
        <v>0</v>
      </c>
      <c r="V2899" s="38" t="n">
        <f aca="false">Q2899*U2899</f>
        <v>0</v>
      </c>
      <c r="W2899" s="41" t="str">
        <f aca="false">IF($M2899="","",IF(T2899="Overdue",IF(Settings!$B$8="Yes",Settings!$B$7,""),IF(ISNUMBER(R2899),DATE(YEAR(R2899),MONTH(R2899),1),"")))</f>
        <v/>
      </c>
      <c r="X2899" s="38" t="n">
        <f aca="false">IF(AND(OR(T2899="Backlog",T2899="Pipeline",T2899="Overdue"),ISNUMBER(W2899)),IF(W2899&lt;=Settings!$B$6,V2899,0),0)</f>
        <v>0</v>
      </c>
      <c r="Y2899" s="38" t="n">
        <f aca="false">IF(AND(OR(T2899="Backlog",T2899="Pipeline",T2899="Overdue"),ISNUMBER(W2899)),IF(W2899&lt;=Settings!$B$6,Q2899,0),0)</f>
        <v>0</v>
      </c>
      <c r="Z2899" s="38" t="n">
        <f aca="false">IF(Y2899=0,0,IF(T2899="Backlog",Q2899,Q2899*Dashboard!$C$10))</f>
        <v>0</v>
      </c>
      <c r="AA2899" s="37" t="n">
        <f aca="false">IF($N2899="",0,IF(COUNTIF(Dashboard!$C$13:$C$22,$N2899)&gt;0,1,0))</f>
        <v>0</v>
      </c>
      <c r="AB2899" s="37" t="str">
        <f aca="false">IF($N2899="","",IF(COUNTIF($N$8:$N2899,$N2899)=1,MAX($AB$7:$AB2898)+1,""))</f>
        <v/>
      </c>
    </row>
    <row r="2900" customFormat="false" ht="15" hidden="false" customHeight="false" outlineLevel="0" collapsed="false">
      <c r="L2900" s="37" t="str">
        <f aca="false">IF(INDEX($A2900:$J2900,$L$6)&lt;&gt;"",TRIM(LEFT(INDEX($A2900:$J2900,$L$6),FIND("(",INDEX($A2900:$J2900,$L$6)&amp;"(")-1)),L2899)</f>
        <v>Building Value Proposition</v>
      </c>
      <c r="M2900" s="37" t="str">
        <f aca="false">IF(INDEX($A2900:$J2900,$M$6)="","",INDEX($A2900:$J2900,$M$6)&amp;"")</f>
        <v/>
      </c>
      <c r="N2900" s="37" t="str">
        <f aca="false">IF($M2900="","",TRIM(INDEX($A2900:$J2900,$N$6)&amp;""))</f>
        <v/>
      </c>
      <c r="O2900" s="37" t="str">
        <f aca="false">IF($M2900="","",TRIM(INDEX($A2900:$J2900,$O$6)&amp;""))</f>
        <v/>
      </c>
      <c r="P2900" s="37" t="str">
        <f aca="false">IF($M2900="","",IFERROR(IF(INDEX(Settings!$B$41:$B$50,MATCH(O2900,Settings!$A$41:$A$50,0))&amp;""="","UNMAPPED",INDEX(Settings!$B$41:$B$50,MATCH(O2900,Settings!$A$41:$A$50,0))&amp;""),"UNMAPPED"))</f>
        <v/>
      </c>
      <c r="Q2900" s="38" t="n">
        <f aca="false">IF($M2900="",0,N(INDEX($A2900:$J2900,$Q$6)))</f>
        <v>0</v>
      </c>
      <c r="R2900" s="39" t="str">
        <f aca="false">IF($M2900="","",INDEX($A2900:$J2900,$R$6))</f>
        <v/>
      </c>
      <c r="S2900" s="37" t="str">
        <f aca="false">IF($M2900="","",IFERROR(INDEX(Settings!$B$27:$B$36,MATCH(L2900,Settings!$A$27:$A$36,0))&amp;"","UNMAPPED"))</f>
        <v/>
      </c>
      <c r="T2900" s="37" t="str">
        <f aca="false">IF($M2900="","",IF(NOT(ISNUMBER(R2900)),"NO DATE",IF(S2900="Won",IF(R2900&gt;Settings!$B$5,"Backlog","Delivered"),IF(S2900="Open",IF(R2900&gt;Settings!$B$5,"Pipeline","Overdue"),IF(S2900="Lost","Lost","UNMAPPED")))))</f>
        <v/>
      </c>
      <c r="U2900" s="40" t="n">
        <f aca="false">IF(T2900="Backlog",1,IF(OR(T2900="Pipeline",T2900="Overdue"),N(INDEX(Settings!$C$27:$C$36,MATCH(L2900,Settings!$A$27:$A$36,0))),0))</f>
        <v>0</v>
      </c>
      <c r="V2900" s="38" t="n">
        <f aca="false">Q2900*U2900</f>
        <v>0</v>
      </c>
      <c r="W2900" s="41" t="str">
        <f aca="false">IF($M2900="","",IF(T2900="Overdue",IF(Settings!$B$8="Yes",Settings!$B$7,""),IF(ISNUMBER(R2900),DATE(YEAR(R2900),MONTH(R2900),1),"")))</f>
        <v/>
      </c>
      <c r="X2900" s="38" t="n">
        <f aca="false">IF(AND(OR(T2900="Backlog",T2900="Pipeline",T2900="Overdue"),ISNUMBER(W2900)),IF(W2900&lt;=Settings!$B$6,V2900,0),0)</f>
        <v>0</v>
      </c>
      <c r="Y2900" s="38" t="n">
        <f aca="false">IF(AND(OR(T2900="Backlog",T2900="Pipeline",T2900="Overdue"),ISNUMBER(W2900)),IF(W2900&lt;=Settings!$B$6,Q2900,0),0)</f>
        <v>0</v>
      </c>
      <c r="Z2900" s="38" t="n">
        <f aca="false">IF(Y2900=0,0,IF(T2900="Backlog",Q2900,Q2900*Dashboard!$C$10))</f>
        <v>0</v>
      </c>
      <c r="AA2900" s="37" t="n">
        <f aca="false">IF($N2900="",0,IF(COUNTIF(Dashboard!$C$13:$C$22,$N2900)&gt;0,1,0))</f>
        <v>0</v>
      </c>
      <c r="AB2900" s="37" t="str">
        <f aca="false">IF($N2900="","",IF(COUNTIF($N$8:$N2900,$N2900)=1,MAX($AB$7:$AB2899)+1,""))</f>
        <v/>
      </c>
    </row>
    <row r="2901" customFormat="false" ht="15" hidden="false" customHeight="false" outlineLevel="0" collapsed="false">
      <c r="L2901" s="37" t="str">
        <f aca="false">IF(INDEX($A2901:$J2901,$L$6)&lt;&gt;"",TRIM(LEFT(INDEX($A2901:$J2901,$L$6),FIND("(",INDEX($A2901:$J2901,$L$6)&amp;"(")-1)),L2900)</f>
        <v>Building Value Proposition</v>
      </c>
      <c r="M2901" s="37" t="str">
        <f aca="false">IF(INDEX($A2901:$J2901,$M$6)="","",INDEX($A2901:$J2901,$M$6)&amp;"")</f>
        <v/>
      </c>
      <c r="N2901" s="37" t="str">
        <f aca="false">IF($M2901="","",TRIM(INDEX($A2901:$J2901,$N$6)&amp;""))</f>
        <v/>
      </c>
      <c r="O2901" s="37" t="str">
        <f aca="false">IF($M2901="","",TRIM(INDEX($A2901:$J2901,$O$6)&amp;""))</f>
        <v/>
      </c>
      <c r="P2901" s="37" t="str">
        <f aca="false">IF($M2901="","",IFERROR(IF(INDEX(Settings!$B$41:$B$50,MATCH(O2901,Settings!$A$41:$A$50,0))&amp;""="","UNMAPPED",INDEX(Settings!$B$41:$B$50,MATCH(O2901,Settings!$A$41:$A$50,0))&amp;""),"UNMAPPED"))</f>
        <v/>
      </c>
      <c r="Q2901" s="38" t="n">
        <f aca="false">IF($M2901="",0,N(INDEX($A2901:$J2901,$Q$6)))</f>
        <v>0</v>
      </c>
      <c r="R2901" s="39" t="str">
        <f aca="false">IF($M2901="","",INDEX($A2901:$J2901,$R$6))</f>
        <v/>
      </c>
      <c r="S2901" s="37" t="str">
        <f aca="false">IF($M2901="","",IFERROR(INDEX(Settings!$B$27:$B$36,MATCH(L2901,Settings!$A$27:$A$36,0))&amp;"","UNMAPPED"))</f>
        <v/>
      </c>
      <c r="T2901" s="37" t="str">
        <f aca="false">IF($M2901="","",IF(NOT(ISNUMBER(R2901)),"NO DATE",IF(S2901="Won",IF(R2901&gt;Settings!$B$5,"Backlog","Delivered"),IF(S2901="Open",IF(R2901&gt;Settings!$B$5,"Pipeline","Overdue"),IF(S2901="Lost","Lost","UNMAPPED")))))</f>
        <v/>
      </c>
      <c r="U2901" s="40" t="n">
        <f aca="false">IF(T2901="Backlog",1,IF(OR(T2901="Pipeline",T2901="Overdue"),N(INDEX(Settings!$C$27:$C$36,MATCH(L2901,Settings!$A$27:$A$36,0))),0))</f>
        <v>0</v>
      </c>
      <c r="V2901" s="38" t="n">
        <f aca="false">Q2901*U2901</f>
        <v>0</v>
      </c>
      <c r="W2901" s="41" t="str">
        <f aca="false">IF($M2901="","",IF(T2901="Overdue",IF(Settings!$B$8="Yes",Settings!$B$7,""),IF(ISNUMBER(R2901),DATE(YEAR(R2901),MONTH(R2901),1),"")))</f>
        <v/>
      </c>
      <c r="X2901" s="38" t="n">
        <f aca="false">IF(AND(OR(T2901="Backlog",T2901="Pipeline",T2901="Overdue"),ISNUMBER(W2901)),IF(W2901&lt;=Settings!$B$6,V2901,0),0)</f>
        <v>0</v>
      </c>
      <c r="Y2901" s="38" t="n">
        <f aca="false">IF(AND(OR(T2901="Backlog",T2901="Pipeline",T2901="Overdue"),ISNUMBER(W2901)),IF(W2901&lt;=Settings!$B$6,Q2901,0),0)</f>
        <v>0</v>
      </c>
      <c r="Z2901" s="38" t="n">
        <f aca="false">IF(Y2901=0,0,IF(T2901="Backlog",Q2901,Q2901*Dashboard!$C$10))</f>
        <v>0</v>
      </c>
      <c r="AA2901" s="37" t="n">
        <f aca="false">IF($N2901="",0,IF(COUNTIF(Dashboard!$C$13:$C$22,$N2901)&gt;0,1,0))</f>
        <v>0</v>
      </c>
      <c r="AB2901" s="37" t="str">
        <f aca="false">IF($N2901="","",IF(COUNTIF($N$8:$N2901,$N2901)=1,MAX($AB$7:$AB2900)+1,""))</f>
        <v/>
      </c>
    </row>
    <row r="2902" customFormat="false" ht="15" hidden="false" customHeight="false" outlineLevel="0" collapsed="false">
      <c r="L2902" s="37" t="str">
        <f aca="false">IF(INDEX($A2902:$J2902,$L$6)&lt;&gt;"",TRIM(LEFT(INDEX($A2902:$J2902,$L$6),FIND("(",INDEX($A2902:$J2902,$L$6)&amp;"(")-1)),L2901)</f>
        <v>Building Value Proposition</v>
      </c>
      <c r="M2902" s="37" t="str">
        <f aca="false">IF(INDEX($A2902:$J2902,$M$6)="","",INDEX($A2902:$J2902,$M$6)&amp;"")</f>
        <v/>
      </c>
      <c r="N2902" s="37" t="str">
        <f aca="false">IF($M2902="","",TRIM(INDEX($A2902:$J2902,$N$6)&amp;""))</f>
        <v/>
      </c>
      <c r="O2902" s="37" t="str">
        <f aca="false">IF($M2902="","",TRIM(INDEX($A2902:$J2902,$O$6)&amp;""))</f>
        <v/>
      </c>
      <c r="P2902" s="37" t="str">
        <f aca="false">IF($M2902="","",IFERROR(IF(INDEX(Settings!$B$41:$B$50,MATCH(O2902,Settings!$A$41:$A$50,0))&amp;""="","UNMAPPED",INDEX(Settings!$B$41:$B$50,MATCH(O2902,Settings!$A$41:$A$50,0))&amp;""),"UNMAPPED"))</f>
        <v/>
      </c>
      <c r="Q2902" s="38" t="n">
        <f aca="false">IF($M2902="",0,N(INDEX($A2902:$J2902,$Q$6)))</f>
        <v>0</v>
      </c>
      <c r="R2902" s="39" t="str">
        <f aca="false">IF($M2902="","",INDEX($A2902:$J2902,$R$6))</f>
        <v/>
      </c>
      <c r="S2902" s="37" t="str">
        <f aca="false">IF($M2902="","",IFERROR(INDEX(Settings!$B$27:$B$36,MATCH(L2902,Settings!$A$27:$A$36,0))&amp;"","UNMAPPED"))</f>
        <v/>
      </c>
      <c r="T2902" s="37" t="str">
        <f aca="false">IF($M2902="","",IF(NOT(ISNUMBER(R2902)),"NO DATE",IF(S2902="Won",IF(R2902&gt;Settings!$B$5,"Backlog","Delivered"),IF(S2902="Open",IF(R2902&gt;Settings!$B$5,"Pipeline","Overdue"),IF(S2902="Lost","Lost","UNMAPPED")))))</f>
        <v/>
      </c>
      <c r="U2902" s="40" t="n">
        <f aca="false">IF(T2902="Backlog",1,IF(OR(T2902="Pipeline",T2902="Overdue"),N(INDEX(Settings!$C$27:$C$36,MATCH(L2902,Settings!$A$27:$A$36,0))),0))</f>
        <v>0</v>
      </c>
      <c r="V2902" s="38" t="n">
        <f aca="false">Q2902*U2902</f>
        <v>0</v>
      </c>
      <c r="W2902" s="41" t="str">
        <f aca="false">IF($M2902="","",IF(T2902="Overdue",IF(Settings!$B$8="Yes",Settings!$B$7,""),IF(ISNUMBER(R2902),DATE(YEAR(R2902),MONTH(R2902),1),"")))</f>
        <v/>
      </c>
      <c r="X2902" s="38" t="n">
        <f aca="false">IF(AND(OR(T2902="Backlog",T2902="Pipeline",T2902="Overdue"),ISNUMBER(W2902)),IF(W2902&lt;=Settings!$B$6,V2902,0),0)</f>
        <v>0</v>
      </c>
      <c r="Y2902" s="38" t="n">
        <f aca="false">IF(AND(OR(T2902="Backlog",T2902="Pipeline",T2902="Overdue"),ISNUMBER(W2902)),IF(W2902&lt;=Settings!$B$6,Q2902,0),0)</f>
        <v>0</v>
      </c>
      <c r="Z2902" s="38" t="n">
        <f aca="false">IF(Y2902=0,0,IF(T2902="Backlog",Q2902,Q2902*Dashboard!$C$10))</f>
        <v>0</v>
      </c>
      <c r="AA2902" s="37" t="n">
        <f aca="false">IF($N2902="",0,IF(COUNTIF(Dashboard!$C$13:$C$22,$N2902)&gt;0,1,0))</f>
        <v>0</v>
      </c>
      <c r="AB2902" s="37" t="str">
        <f aca="false">IF($N2902="","",IF(COUNTIF($N$8:$N2902,$N2902)=1,MAX($AB$7:$AB2901)+1,""))</f>
        <v/>
      </c>
    </row>
    <row r="2903" customFormat="false" ht="15" hidden="false" customHeight="false" outlineLevel="0" collapsed="false">
      <c r="L2903" s="37" t="str">
        <f aca="false">IF(INDEX($A2903:$J2903,$L$6)&lt;&gt;"",TRIM(LEFT(INDEX($A2903:$J2903,$L$6),FIND("(",INDEX($A2903:$J2903,$L$6)&amp;"(")-1)),L2902)</f>
        <v>Building Value Proposition</v>
      </c>
      <c r="M2903" s="37" t="str">
        <f aca="false">IF(INDEX($A2903:$J2903,$M$6)="","",INDEX($A2903:$J2903,$M$6)&amp;"")</f>
        <v/>
      </c>
      <c r="N2903" s="37" t="str">
        <f aca="false">IF($M2903="","",TRIM(INDEX($A2903:$J2903,$N$6)&amp;""))</f>
        <v/>
      </c>
      <c r="O2903" s="37" t="str">
        <f aca="false">IF($M2903="","",TRIM(INDEX($A2903:$J2903,$O$6)&amp;""))</f>
        <v/>
      </c>
      <c r="P2903" s="37" t="str">
        <f aca="false">IF($M2903="","",IFERROR(IF(INDEX(Settings!$B$41:$B$50,MATCH(O2903,Settings!$A$41:$A$50,0))&amp;""="","UNMAPPED",INDEX(Settings!$B$41:$B$50,MATCH(O2903,Settings!$A$41:$A$50,0))&amp;""),"UNMAPPED"))</f>
        <v/>
      </c>
      <c r="Q2903" s="38" t="n">
        <f aca="false">IF($M2903="",0,N(INDEX($A2903:$J2903,$Q$6)))</f>
        <v>0</v>
      </c>
      <c r="R2903" s="39" t="str">
        <f aca="false">IF($M2903="","",INDEX($A2903:$J2903,$R$6))</f>
        <v/>
      </c>
      <c r="S2903" s="37" t="str">
        <f aca="false">IF($M2903="","",IFERROR(INDEX(Settings!$B$27:$B$36,MATCH(L2903,Settings!$A$27:$A$36,0))&amp;"","UNMAPPED"))</f>
        <v/>
      </c>
      <c r="T2903" s="37" t="str">
        <f aca="false">IF($M2903="","",IF(NOT(ISNUMBER(R2903)),"NO DATE",IF(S2903="Won",IF(R2903&gt;Settings!$B$5,"Backlog","Delivered"),IF(S2903="Open",IF(R2903&gt;Settings!$B$5,"Pipeline","Overdue"),IF(S2903="Lost","Lost","UNMAPPED")))))</f>
        <v/>
      </c>
      <c r="U2903" s="40" t="n">
        <f aca="false">IF(T2903="Backlog",1,IF(OR(T2903="Pipeline",T2903="Overdue"),N(INDEX(Settings!$C$27:$C$36,MATCH(L2903,Settings!$A$27:$A$36,0))),0))</f>
        <v>0</v>
      </c>
      <c r="V2903" s="38" t="n">
        <f aca="false">Q2903*U2903</f>
        <v>0</v>
      </c>
      <c r="W2903" s="41" t="str">
        <f aca="false">IF($M2903="","",IF(T2903="Overdue",IF(Settings!$B$8="Yes",Settings!$B$7,""),IF(ISNUMBER(R2903),DATE(YEAR(R2903),MONTH(R2903),1),"")))</f>
        <v/>
      </c>
      <c r="X2903" s="38" t="n">
        <f aca="false">IF(AND(OR(T2903="Backlog",T2903="Pipeline",T2903="Overdue"),ISNUMBER(W2903)),IF(W2903&lt;=Settings!$B$6,V2903,0),0)</f>
        <v>0</v>
      </c>
      <c r="Y2903" s="38" t="n">
        <f aca="false">IF(AND(OR(T2903="Backlog",T2903="Pipeline",T2903="Overdue"),ISNUMBER(W2903)),IF(W2903&lt;=Settings!$B$6,Q2903,0),0)</f>
        <v>0</v>
      </c>
      <c r="Z2903" s="38" t="n">
        <f aca="false">IF(Y2903=0,0,IF(T2903="Backlog",Q2903,Q2903*Dashboard!$C$10))</f>
        <v>0</v>
      </c>
      <c r="AA2903" s="37" t="n">
        <f aca="false">IF($N2903="",0,IF(COUNTIF(Dashboard!$C$13:$C$22,$N2903)&gt;0,1,0))</f>
        <v>0</v>
      </c>
      <c r="AB2903" s="37" t="str">
        <f aca="false">IF($N2903="","",IF(COUNTIF($N$8:$N2903,$N2903)=1,MAX($AB$7:$AB2902)+1,""))</f>
        <v/>
      </c>
    </row>
    <row r="2904" customFormat="false" ht="15" hidden="false" customHeight="false" outlineLevel="0" collapsed="false">
      <c r="L2904" s="37" t="str">
        <f aca="false">IF(INDEX($A2904:$J2904,$L$6)&lt;&gt;"",TRIM(LEFT(INDEX($A2904:$J2904,$L$6),FIND("(",INDEX($A2904:$J2904,$L$6)&amp;"(")-1)),L2903)</f>
        <v>Building Value Proposition</v>
      </c>
      <c r="M2904" s="37" t="str">
        <f aca="false">IF(INDEX($A2904:$J2904,$M$6)="","",INDEX($A2904:$J2904,$M$6)&amp;"")</f>
        <v/>
      </c>
      <c r="N2904" s="37" t="str">
        <f aca="false">IF($M2904="","",TRIM(INDEX($A2904:$J2904,$N$6)&amp;""))</f>
        <v/>
      </c>
      <c r="O2904" s="37" t="str">
        <f aca="false">IF($M2904="","",TRIM(INDEX($A2904:$J2904,$O$6)&amp;""))</f>
        <v/>
      </c>
      <c r="P2904" s="37" t="str">
        <f aca="false">IF($M2904="","",IFERROR(IF(INDEX(Settings!$B$41:$B$50,MATCH(O2904,Settings!$A$41:$A$50,0))&amp;""="","UNMAPPED",INDEX(Settings!$B$41:$B$50,MATCH(O2904,Settings!$A$41:$A$50,0))&amp;""),"UNMAPPED"))</f>
        <v/>
      </c>
      <c r="Q2904" s="38" t="n">
        <f aca="false">IF($M2904="",0,N(INDEX($A2904:$J2904,$Q$6)))</f>
        <v>0</v>
      </c>
      <c r="R2904" s="39" t="str">
        <f aca="false">IF($M2904="","",INDEX($A2904:$J2904,$R$6))</f>
        <v/>
      </c>
      <c r="S2904" s="37" t="str">
        <f aca="false">IF($M2904="","",IFERROR(INDEX(Settings!$B$27:$B$36,MATCH(L2904,Settings!$A$27:$A$36,0))&amp;"","UNMAPPED"))</f>
        <v/>
      </c>
      <c r="T2904" s="37" t="str">
        <f aca="false">IF($M2904="","",IF(NOT(ISNUMBER(R2904)),"NO DATE",IF(S2904="Won",IF(R2904&gt;Settings!$B$5,"Backlog","Delivered"),IF(S2904="Open",IF(R2904&gt;Settings!$B$5,"Pipeline","Overdue"),IF(S2904="Lost","Lost","UNMAPPED")))))</f>
        <v/>
      </c>
      <c r="U2904" s="40" t="n">
        <f aca="false">IF(T2904="Backlog",1,IF(OR(T2904="Pipeline",T2904="Overdue"),N(INDEX(Settings!$C$27:$C$36,MATCH(L2904,Settings!$A$27:$A$36,0))),0))</f>
        <v>0</v>
      </c>
      <c r="V2904" s="38" t="n">
        <f aca="false">Q2904*U2904</f>
        <v>0</v>
      </c>
      <c r="W2904" s="41" t="str">
        <f aca="false">IF($M2904="","",IF(T2904="Overdue",IF(Settings!$B$8="Yes",Settings!$B$7,""),IF(ISNUMBER(R2904),DATE(YEAR(R2904),MONTH(R2904),1),"")))</f>
        <v/>
      </c>
      <c r="X2904" s="38" t="n">
        <f aca="false">IF(AND(OR(T2904="Backlog",T2904="Pipeline",T2904="Overdue"),ISNUMBER(W2904)),IF(W2904&lt;=Settings!$B$6,V2904,0),0)</f>
        <v>0</v>
      </c>
      <c r="Y2904" s="38" t="n">
        <f aca="false">IF(AND(OR(T2904="Backlog",T2904="Pipeline",T2904="Overdue"),ISNUMBER(W2904)),IF(W2904&lt;=Settings!$B$6,Q2904,0),0)</f>
        <v>0</v>
      </c>
      <c r="Z2904" s="38" t="n">
        <f aca="false">IF(Y2904=0,0,IF(T2904="Backlog",Q2904,Q2904*Dashboard!$C$10))</f>
        <v>0</v>
      </c>
      <c r="AA2904" s="37" t="n">
        <f aca="false">IF($N2904="",0,IF(COUNTIF(Dashboard!$C$13:$C$22,$N2904)&gt;0,1,0))</f>
        <v>0</v>
      </c>
      <c r="AB2904" s="37" t="str">
        <f aca="false">IF($N2904="","",IF(COUNTIF($N$8:$N2904,$N2904)=1,MAX($AB$7:$AB2903)+1,""))</f>
        <v/>
      </c>
    </row>
    <row r="2905" customFormat="false" ht="15" hidden="false" customHeight="false" outlineLevel="0" collapsed="false">
      <c r="L2905" s="37" t="str">
        <f aca="false">IF(INDEX($A2905:$J2905,$L$6)&lt;&gt;"",TRIM(LEFT(INDEX($A2905:$J2905,$L$6),FIND("(",INDEX($A2905:$J2905,$L$6)&amp;"(")-1)),L2904)</f>
        <v>Building Value Proposition</v>
      </c>
      <c r="M2905" s="37" t="str">
        <f aca="false">IF(INDEX($A2905:$J2905,$M$6)="","",INDEX($A2905:$J2905,$M$6)&amp;"")</f>
        <v/>
      </c>
      <c r="N2905" s="37" t="str">
        <f aca="false">IF($M2905="","",TRIM(INDEX($A2905:$J2905,$N$6)&amp;""))</f>
        <v/>
      </c>
      <c r="O2905" s="37" t="str">
        <f aca="false">IF($M2905="","",TRIM(INDEX($A2905:$J2905,$O$6)&amp;""))</f>
        <v/>
      </c>
      <c r="P2905" s="37" t="str">
        <f aca="false">IF($M2905="","",IFERROR(IF(INDEX(Settings!$B$41:$B$50,MATCH(O2905,Settings!$A$41:$A$50,0))&amp;""="","UNMAPPED",INDEX(Settings!$B$41:$B$50,MATCH(O2905,Settings!$A$41:$A$50,0))&amp;""),"UNMAPPED"))</f>
        <v/>
      </c>
      <c r="Q2905" s="38" t="n">
        <f aca="false">IF($M2905="",0,N(INDEX($A2905:$J2905,$Q$6)))</f>
        <v>0</v>
      </c>
      <c r="R2905" s="39" t="str">
        <f aca="false">IF($M2905="","",INDEX($A2905:$J2905,$R$6))</f>
        <v/>
      </c>
      <c r="S2905" s="37" t="str">
        <f aca="false">IF($M2905="","",IFERROR(INDEX(Settings!$B$27:$B$36,MATCH(L2905,Settings!$A$27:$A$36,0))&amp;"","UNMAPPED"))</f>
        <v/>
      </c>
      <c r="T2905" s="37" t="str">
        <f aca="false">IF($M2905="","",IF(NOT(ISNUMBER(R2905)),"NO DATE",IF(S2905="Won",IF(R2905&gt;Settings!$B$5,"Backlog","Delivered"),IF(S2905="Open",IF(R2905&gt;Settings!$B$5,"Pipeline","Overdue"),IF(S2905="Lost","Lost","UNMAPPED")))))</f>
        <v/>
      </c>
      <c r="U2905" s="40" t="n">
        <f aca="false">IF(T2905="Backlog",1,IF(OR(T2905="Pipeline",T2905="Overdue"),N(INDEX(Settings!$C$27:$C$36,MATCH(L2905,Settings!$A$27:$A$36,0))),0))</f>
        <v>0</v>
      </c>
      <c r="V2905" s="38" t="n">
        <f aca="false">Q2905*U2905</f>
        <v>0</v>
      </c>
      <c r="W2905" s="41" t="str">
        <f aca="false">IF($M2905="","",IF(T2905="Overdue",IF(Settings!$B$8="Yes",Settings!$B$7,""),IF(ISNUMBER(R2905),DATE(YEAR(R2905),MONTH(R2905),1),"")))</f>
        <v/>
      </c>
      <c r="X2905" s="38" t="n">
        <f aca="false">IF(AND(OR(T2905="Backlog",T2905="Pipeline",T2905="Overdue"),ISNUMBER(W2905)),IF(W2905&lt;=Settings!$B$6,V2905,0),0)</f>
        <v>0</v>
      </c>
      <c r="Y2905" s="38" t="n">
        <f aca="false">IF(AND(OR(T2905="Backlog",T2905="Pipeline",T2905="Overdue"),ISNUMBER(W2905)),IF(W2905&lt;=Settings!$B$6,Q2905,0),0)</f>
        <v>0</v>
      </c>
      <c r="Z2905" s="38" t="n">
        <f aca="false">IF(Y2905=0,0,IF(T2905="Backlog",Q2905,Q2905*Dashboard!$C$10))</f>
        <v>0</v>
      </c>
      <c r="AA2905" s="37" t="n">
        <f aca="false">IF($N2905="",0,IF(COUNTIF(Dashboard!$C$13:$C$22,$N2905)&gt;0,1,0))</f>
        <v>0</v>
      </c>
      <c r="AB2905" s="37" t="str">
        <f aca="false">IF($N2905="","",IF(COUNTIF($N$8:$N2905,$N2905)=1,MAX($AB$7:$AB2904)+1,""))</f>
        <v/>
      </c>
    </row>
    <row r="2906" customFormat="false" ht="15" hidden="false" customHeight="false" outlineLevel="0" collapsed="false">
      <c r="L2906" s="37" t="str">
        <f aca="false">IF(INDEX($A2906:$J2906,$L$6)&lt;&gt;"",TRIM(LEFT(INDEX($A2906:$J2906,$L$6),FIND("(",INDEX($A2906:$J2906,$L$6)&amp;"(")-1)),L2905)</f>
        <v>Building Value Proposition</v>
      </c>
      <c r="M2906" s="37" t="str">
        <f aca="false">IF(INDEX($A2906:$J2906,$M$6)="","",INDEX($A2906:$J2906,$M$6)&amp;"")</f>
        <v/>
      </c>
      <c r="N2906" s="37" t="str">
        <f aca="false">IF($M2906="","",TRIM(INDEX($A2906:$J2906,$N$6)&amp;""))</f>
        <v/>
      </c>
      <c r="O2906" s="37" t="str">
        <f aca="false">IF($M2906="","",TRIM(INDEX($A2906:$J2906,$O$6)&amp;""))</f>
        <v/>
      </c>
      <c r="P2906" s="37" t="str">
        <f aca="false">IF($M2906="","",IFERROR(IF(INDEX(Settings!$B$41:$B$50,MATCH(O2906,Settings!$A$41:$A$50,0))&amp;""="","UNMAPPED",INDEX(Settings!$B$41:$B$50,MATCH(O2906,Settings!$A$41:$A$50,0))&amp;""),"UNMAPPED"))</f>
        <v/>
      </c>
      <c r="Q2906" s="38" t="n">
        <f aca="false">IF($M2906="",0,N(INDEX($A2906:$J2906,$Q$6)))</f>
        <v>0</v>
      </c>
      <c r="R2906" s="39" t="str">
        <f aca="false">IF($M2906="","",INDEX($A2906:$J2906,$R$6))</f>
        <v/>
      </c>
      <c r="S2906" s="37" t="str">
        <f aca="false">IF($M2906="","",IFERROR(INDEX(Settings!$B$27:$B$36,MATCH(L2906,Settings!$A$27:$A$36,0))&amp;"","UNMAPPED"))</f>
        <v/>
      </c>
      <c r="T2906" s="37" t="str">
        <f aca="false">IF($M2906="","",IF(NOT(ISNUMBER(R2906)),"NO DATE",IF(S2906="Won",IF(R2906&gt;Settings!$B$5,"Backlog","Delivered"),IF(S2906="Open",IF(R2906&gt;Settings!$B$5,"Pipeline","Overdue"),IF(S2906="Lost","Lost","UNMAPPED")))))</f>
        <v/>
      </c>
      <c r="U2906" s="40" t="n">
        <f aca="false">IF(T2906="Backlog",1,IF(OR(T2906="Pipeline",T2906="Overdue"),N(INDEX(Settings!$C$27:$C$36,MATCH(L2906,Settings!$A$27:$A$36,0))),0))</f>
        <v>0</v>
      </c>
      <c r="V2906" s="38" t="n">
        <f aca="false">Q2906*U2906</f>
        <v>0</v>
      </c>
      <c r="W2906" s="41" t="str">
        <f aca="false">IF($M2906="","",IF(T2906="Overdue",IF(Settings!$B$8="Yes",Settings!$B$7,""),IF(ISNUMBER(R2906),DATE(YEAR(R2906),MONTH(R2906),1),"")))</f>
        <v/>
      </c>
      <c r="X2906" s="38" t="n">
        <f aca="false">IF(AND(OR(T2906="Backlog",T2906="Pipeline",T2906="Overdue"),ISNUMBER(W2906)),IF(W2906&lt;=Settings!$B$6,V2906,0),0)</f>
        <v>0</v>
      </c>
      <c r="Y2906" s="38" t="n">
        <f aca="false">IF(AND(OR(T2906="Backlog",T2906="Pipeline",T2906="Overdue"),ISNUMBER(W2906)),IF(W2906&lt;=Settings!$B$6,Q2906,0),0)</f>
        <v>0</v>
      </c>
      <c r="Z2906" s="38" t="n">
        <f aca="false">IF(Y2906=0,0,IF(T2906="Backlog",Q2906,Q2906*Dashboard!$C$10))</f>
        <v>0</v>
      </c>
      <c r="AA2906" s="37" t="n">
        <f aca="false">IF($N2906="",0,IF(COUNTIF(Dashboard!$C$13:$C$22,$N2906)&gt;0,1,0))</f>
        <v>0</v>
      </c>
      <c r="AB2906" s="37" t="str">
        <f aca="false">IF($N2906="","",IF(COUNTIF($N$8:$N2906,$N2906)=1,MAX($AB$7:$AB2905)+1,""))</f>
        <v/>
      </c>
    </row>
    <row r="2907" customFormat="false" ht="15" hidden="false" customHeight="false" outlineLevel="0" collapsed="false">
      <c r="L2907" s="37" t="str">
        <f aca="false">IF(INDEX($A2907:$J2907,$L$6)&lt;&gt;"",TRIM(LEFT(INDEX($A2907:$J2907,$L$6),FIND("(",INDEX($A2907:$J2907,$L$6)&amp;"(")-1)),L2906)</f>
        <v>Building Value Proposition</v>
      </c>
      <c r="M2907" s="37" t="str">
        <f aca="false">IF(INDEX($A2907:$J2907,$M$6)="","",INDEX($A2907:$J2907,$M$6)&amp;"")</f>
        <v/>
      </c>
      <c r="N2907" s="37" t="str">
        <f aca="false">IF($M2907="","",TRIM(INDEX($A2907:$J2907,$N$6)&amp;""))</f>
        <v/>
      </c>
      <c r="O2907" s="37" t="str">
        <f aca="false">IF($M2907="","",TRIM(INDEX($A2907:$J2907,$O$6)&amp;""))</f>
        <v/>
      </c>
      <c r="P2907" s="37" t="str">
        <f aca="false">IF($M2907="","",IFERROR(IF(INDEX(Settings!$B$41:$B$50,MATCH(O2907,Settings!$A$41:$A$50,0))&amp;""="","UNMAPPED",INDEX(Settings!$B$41:$B$50,MATCH(O2907,Settings!$A$41:$A$50,0))&amp;""),"UNMAPPED"))</f>
        <v/>
      </c>
      <c r="Q2907" s="38" t="n">
        <f aca="false">IF($M2907="",0,N(INDEX($A2907:$J2907,$Q$6)))</f>
        <v>0</v>
      </c>
      <c r="R2907" s="39" t="str">
        <f aca="false">IF($M2907="","",INDEX($A2907:$J2907,$R$6))</f>
        <v/>
      </c>
      <c r="S2907" s="37" t="str">
        <f aca="false">IF($M2907="","",IFERROR(INDEX(Settings!$B$27:$B$36,MATCH(L2907,Settings!$A$27:$A$36,0))&amp;"","UNMAPPED"))</f>
        <v/>
      </c>
      <c r="T2907" s="37" t="str">
        <f aca="false">IF($M2907="","",IF(NOT(ISNUMBER(R2907)),"NO DATE",IF(S2907="Won",IF(R2907&gt;Settings!$B$5,"Backlog","Delivered"),IF(S2907="Open",IF(R2907&gt;Settings!$B$5,"Pipeline","Overdue"),IF(S2907="Lost","Lost","UNMAPPED")))))</f>
        <v/>
      </c>
      <c r="U2907" s="40" t="n">
        <f aca="false">IF(T2907="Backlog",1,IF(OR(T2907="Pipeline",T2907="Overdue"),N(INDEX(Settings!$C$27:$C$36,MATCH(L2907,Settings!$A$27:$A$36,0))),0))</f>
        <v>0</v>
      </c>
      <c r="V2907" s="38" t="n">
        <f aca="false">Q2907*U2907</f>
        <v>0</v>
      </c>
      <c r="W2907" s="41" t="str">
        <f aca="false">IF($M2907="","",IF(T2907="Overdue",IF(Settings!$B$8="Yes",Settings!$B$7,""),IF(ISNUMBER(R2907),DATE(YEAR(R2907),MONTH(R2907),1),"")))</f>
        <v/>
      </c>
      <c r="X2907" s="38" t="n">
        <f aca="false">IF(AND(OR(T2907="Backlog",T2907="Pipeline",T2907="Overdue"),ISNUMBER(W2907)),IF(W2907&lt;=Settings!$B$6,V2907,0),0)</f>
        <v>0</v>
      </c>
      <c r="Y2907" s="38" t="n">
        <f aca="false">IF(AND(OR(T2907="Backlog",T2907="Pipeline",T2907="Overdue"),ISNUMBER(W2907)),IF(W2907&lt;=Settings!$B$6,Q2907,0),0)</f>
        <v>0</v>
      </c>
      <c r="Z2907" s="38" t="n">
        <f aca="false">IF(Y2907=0,0,IF(T2907="Backlog",Q2907,Q2907*Dashboard!$C$10))</f>
        <v>0</v>
      </c>
      <c r="AA2907" s="37" t="n">
        <f aca="false">IF($N2907="",0,IF(COUNTIF(Dashboard!$C$13:$C$22,$N2907)&gt;0,1,0))</f>
        <v>0</v>
      </c>
      <c r="AB2907" s="37" t="str">
        <f aca="false">IF($N2907="","",IF(COUNTIF($N$8:$N2907,$N2907)=1,MAX($AB$7:$AB2906)+1,""))</f>
        <v/>
      </c>
    </row>
    <row r="2908" customFormat="false" ht="15" hidden="false" customHeight="false" outlineLevel="0" collapsed="false">
      <c r="L2908" s="37" t="str">
        <f aca="false">IF(INDEX($A2908:$J2908,$L$6)&lt;&gt;"",TRIM(LEFT(INDEX($A2908:$J2908,$L$6),FIND("(",INDEX($A2908:$J2908,$L$6)&amp;"(")-1)),L2907)</f>
        <v>Building Value Proposition</v>
      </c>
      <c r="M2908" s="37" t="str">
        <f aca="false">IF(INDEX($A2908:$J2908,$M$6)="","",INDEX($A2908:$J2908,$M$6)&amp;"")</f>
        <v/>
      </c>
      <c r="N2908" s="37" t="str">
        <f aca="false">IF($M2908="","",TRIM(INDEX($A2908:$J2908,$N$6)&amp;""))</f>
        <v/>
      </c>
      <c r="O2908" s="37" t="str">
        <f aca="false">IF($M2908="","",TRIM(INDEX($A2908:$J2908,$O$6)&amp;""))</f>
        <v/>
      </c>
      <c r="P2908" s="37" t="str">
        <f aca="false">IF($M2908="","",IFERROR(IF(INDEX(Settings!$B$41:$B$50,MATCH(O2908,Settings!$A$41:$A$50,0))&amp;""="","UNMAPPED",INDEX(Settings!$B$41:$B$50,MATCH(O2908,Settings!$A$41:$A$50,0))&amp;""),"UNMAPPED"))</f>
        <v/>
      </c>
      <c r="Q2908" s="38" t="n">
        <f aca="false">IF($M2908="",0,N(INDEX($A2908:$J2908,$Q$6)))</f>
        <v>0</v>
      </c>
      <c r="R2908" s="39" t="str">
        <f aca="false">IF($M2908="","",INDEX($A2908:$J2908,$R$6))</f>
        <v/>
      </c>
      <c r="S2908" s="37" t="str">
        <f aca="false">IF($M2908="","",IFERROR(INDEX(Settings!$B$27:$B$36,MATCH(L2908,Settings!$A$27:$A$36,0))&amp;"","UNMAPPED"))</f>
        <v/>
      </c>
      <c r="T2908" s="37" t="str">
        <f aca="false">IF($M2908="","",IF(NOT(ISNUMBER(R2908)),"NO DATE",IF(S2908="Won",IF(R2908&gt;Settings!$B$5,"Backlog","Delivered"),IF(S2908="Open",IF(R2908&gt;Settings!$B$5,"Pipeline","Overdue"),IF(S2908="Lost","Lost","UNMAPPED")))))</f>
        <v/>
      </c>
      <c r="U2908" s="40" t="n">
        <f aca="false">IF(T2908="Backlog",1,IF(OR(T2908="Pipeline",T2908="Overdue"),N(INDEX(Settings!$C$27:$C$36,MATCH(L2908,Settings!$A$27:$A$36,0))),0))</f>
        <v>0</v>
      </c>
      <c r="V2908" s="38" t="n">
        <f aca="false">Q2908*U2908</f>
        <v>0</v>
      </c>
      <c r="W2908" s="41" t="str">
        <f aca="false">IF($M2908="","",IF(T2908="Overdue",IF(Settings!$B$8="Yes",Settings!$B$7,""),IF(ISNUMBER(R2908),DATE(YEAR(R2908),MONTH(R2908),1),"")))</f>
        <v/>
      </c>
      <c r="X2908" s="38" t="n">
        <f aca="false">IF(AND(OR(T2908="Backlog",T2908="Pipeline",T2908="Overdue"),ISNUMBER(W2908)),IF(W2908&lt;=Settings!$B$6,V2908,0),0)</f>
        <v>0</v>
      </c>
      <c r="Y2908" s="38" t="n">
        <f aca="false">IF(AND(OR(T2908="Backlog",T2908="Pipeline",T2908="Overdue"),ISNUMBER(W2908)),IF(W2908&lt;=Settings!$B$6,Q2908,0),0)</f>
        <v>0</v>
      </c>
      <c r="Z2908" s="38" t="n">
        <f aca="false">IF(Y2908=0,0,IF(T2908="Backlog",Q2908,Q2908*Dashboard!$C$10))</f>
        <v>0</v>
      </c>
      <c r="AA2908" s="37" t="n">
        <f aca="false">IF($N2908="",0,IF(COUNTIF(Dashboard!$C$13:$C$22,$N2908)&gt;0,1,0))</f>
        <v>0</v>
      </c>
      <c r="AB2908" s="37" t="str">
        <f aca="false">IF($N2908="","",IF(COUNTIF($N$8:$N2908,$N2908)=1,MAX($AB$7:$AB2907)+1,""))</f>
        <v/>
      </c>
    </row>
    <row r="2909" customFormat="false" ht="15" hidden="false" customHeight="false" outlineLevel="0" collapsed="false">
      <c r="L2909" s="37" t="str">
        <f aca="false">IF(INDEX($A2909:$J2909,$L$6)&lt;&gt;"",TRIM(LEFT(INDEX($A2909:$J2909,$L$6),FIND("(",INDEX($A2909:$J2909,$L$6)&amp;"(")-1)),L2908)</f>
        <v>Building Value Proposition</v>
      </c>
      <c r="M2909" s="37" t="str">
        <f aca="false">IF(INDEX($A2909:$J2909,$M$6)="","",INDEX($A2909:$J2909,$M$6)&amp;"")</f>
        <v/>
      </c>
      <c r="N2909" s="37" t="str">
        <f aca="false">IF($M2909="","",TRIM(INDEX($A2909:$J2909,$N$6)&amp;""))</f>
        <v/>
      </c>
      <c r="O2909" s="37" t="str">
        <f aca="false">IF($M2909="","",TRIM(INDEX($A2909:$J2909,$O$6)&amp;""))</f>
        <v/>
      </c>
      <c r="P2909" s="37" t="str">
        <f aca="false">IF($M2909="","",IFERROR(IF(INDEX(Settings!$B$41:$B$50,MATCH(O2909,Settings!$A$41:$A$50,0))&amp;""="","UNMAPPED",INDEX(Settings!$B$41:$B$50,MATCH(O2909,Settings!$A$41:$A$50,0))&amp;""),"UNMAPPED"))</f>
        <v/>
      </c>
      <c r="Q2909" s="38" t="n">
        <f aca="false">IF($M2909="",0,N(INDEX($A2909:$J2909,$Q$6)))</f>
        <v>0</v>
      </c>
      <c r="R2909" s="39" t="str">
        <f aca="false">IF($M2909="","",INDEX($A2909:$J2909,$R$6))</f>
        <v/>
      </c>
      <c r="S2909" s="37" t="str">
        <f aca="false">IF($M2909="","",IFERROR(INDEX(Settings!$B$27:$B$36,MATCH(L2909,Settings!$A$27:$A$36,0))&amp;"","UNMAPPED"))</f>
        <v/>
      </c>
      <c r="T2909" s="37" t="str">
        <f aca="false">IF($M2909="","",IF(NOT(ISNUMBER(R2909)),"NO DATE",IF(S2909="Won",IF(R2909&gt;Settings!$B$5,"Backlog","Delivered"),IF(S2909="Open",IF(R2909&gt;Settings!$B$5,"Pipeline","Overdue"),IF(S2909="Lost","Lost","UNMAPPED")))))</f>
        <v/>
      </c>
      <c r="U2909" s="40" t="n">
        <f aca="false">IF(T2909="Backlog",1,IF(OR(T2909="Pipeline",T2909="Overdue"),N(INDEX(Settings!$C$27:$C$36,MATCH(L2909,Settings!$A$27:$A$36,0))),0))</f>
        <v>0</v>
      </c>
      <c r="V2909" s="38" t="n">
        <f aca="false">Q2909*U2909</f>
        <v>0</v>
      </c>
      <c r="W2909" s="41" t="str">
        <f aca="false">IF($M2909="","",IF(T2909="Overdue",IF(Settings!$B$8="Yes",Settings!$B$7,""),IF(ISNUMBER(R2909),DATE(YEAR(R2909),MONTH(R2909),1),"")))</f>
        <v/>
      </c>
      <c r="X2909" s="38" t="n">
        <f aca="false">IF(AND(OR(T2909="Backlog",T2909="Pipeline",T2909="Overdue"),ISNUMBER(W2909)),IF(W2909&lt;=Settings!$B$6,V2909,0),0)</f>
        <v>0</v>
      </c>
      <c r="Y2909" s="38" t="n">
        <f aca="false">IF(AND(OR(T2909="Backlog",T2909="Pipeline",T2909="Overdue"),ISNUMBER(W2909)),IF(W2909&lt;=Settings!$B$6,Q2909,0),0)</f>
        <v>0</v>
      </c>
      <c r="Z2909" s="38" t="n">
        <f aca="false">IF(Y2909=0,0,IF(T2909="Backlog",Q2909,Q2909*Dashboard!$C$10))</f>
        <v>0</v>
      </c>
      <c r="AA2909" s="37" t="n">
        <f aca="false">IF($N2909="",0,IF(COUNTIF(Dashboard!$C$13:$C$22,$N2909)&gt;0,1,0))</f>
        <v>0</v>
      </c>
      <c r="AB2909" s="37" t="str">
        <f aca="false">IF($N2909="","",IF(COUNTIF($N$8:$N2909,$N2909)=1,MAX($AB$7:$AB2908)+1,""))</f>
        <v/>
      </c>
    </row>
    <row r="2910" customFormat="false" ht="15" hidden="false" customHeight="false" outlineLevel="0" collapsed="false">
      <c r="L2910" s="37" t="str">
        <f aca="false">IF(INDEX($A2910:$J2910,$L$6)&lt;&gt;"",TRIM(LEFT(INDEX($A2910:$J2910,$L$6),FIND("(",INDEX($A2910:$J2910,$L$6)&amp;"(")-1)),L2909)</f>
        <v>Building Value Proposition</v>
      </c>
      <c r="M2910" s="37" t="str">
        <f aca="false">IF(INDEX($A2910:$J2910,$M$6)="","",INDEX($A2910:$J2910,$M$6)&amp;"")</f>
        <v/>
      </c>
      <c r="N2910" s="37" t="str">
        <f aca="false">IF($M2910="","",TRIM(INDEX($A2910:$J2910,$N$6)&amp;""))</f>
        <v/>
      </c>
      <c r="O2910" s="37" t="str">
        <f aca="false">IF($M2910="","",TRIM(INDEX($A2910:$J2910,$O$6)&amp;""))</f>
        <v/>
      </c>
      <c r="P2910" s="37" t="str">
        <f aca="false">IF($M2910="","",IFERROR(IF(INDEX(Settings!$B$41:$B$50,MATCH(O2910,Settings!$A$41:$A$50,0))&amp;""="","UNMAPPED",INDEX(Settings!$B$41:$B$50,MATCH(O2910,Settings!$A$41:$A$50,0))&amp;""),"UNMAPPED"))</f>
        <v/>
      </c>
      <c r="Q2910" s="38" t="n">
        <f aca="false">IF($M2910="",0,N(INDEX($A2910:$J2910,$Q$6)))</f>
        <v>0</v>
      </c>
      <c r="R2910" s="39" t="str">
        <f aca="false">IF($M2910="","",INDEX($A2910:$J2910,$R$6))</f>
        <v/>
      </c>
      <c r="S2910" s="37" t="str">
        <f aca="false">IF($M2910="","",IFERROR(INDEX(Settings!$B$27:$B$36,MATCH(L2910,Settings!$A$27:$A$36,0))&amp;"","UNMAPPED"))</f>
        <v/>
      </c>
      <c r="T2910" s="37" t="str">
        <f aca="false">IF($M2910="","",IF(NOT(ISNUMBER(R2910)),"NO DATE",IF(S2910="Won",IF(R2910&gt;Settings!$B$5,"Backlog","Delivered"),IF(S2910="Open",IF(R2910&gt;Settings!$B$5,"Pipeline","Overdue"),IF(S2910="Lost","Lost","UNMAPPED")))))</f>
        <v/>
      </c>
      <c r="U2910" s="40" t="n">
        <f aca="false">IF(T2910="Backlog",1,IF(OR(T2910="Pipeline",T2910="Overdue"),N(INDEX(Settings!$C$27:$C$36,MATCH(L2910,Settings!$A$27:$A$36,0))),0))</f>
        <v>0</v>
      </c>
      <c r="V2910" s="38" t="n">
        <f aca="false">Q2910*U2910</f>
        <v>0</v>
      </c>
      <c r="W2910" s="41" t="str">
        <f aca="false">IF($M2910="","",IF(T2910="Overdue",IF(Settings!$B$8="Yes",Settings!$B$7,""),IF(ISNUMBER(R2910),DATE(YEAR(R2910),MONTH(R2910),1),"")))</f>
        <v/>
      </c>
      <c r="X2910" s="38" t="n">
        <f aca="false">IF(AND(OR(T2910="Backlog",T2910="Pipeline",T2910="Overdue"),ISNUMBER(W2910)),IF(W2910&lt;=Settings!$B$6,V2910,0),0)</f>
        <v>0</v>
      </c>
      <c r="Y2910" s="38" t="n">
        <f aca="false">IF(AND(OR(T2910="Backlog",T2910="Pipeline",T2910="Overdue"),ISNUMBER(W2910)),IF(W2910&lt;=Settings!$B$6,Q2910,0),0)</f>
        <v>0</v>
      </c>
      <c r="Z2910" s="38" t="n">
        <f aca="false">IF(Y2910=0,0,IF(T2910="Backlog",Q2910,Q2910*Dashboard!$C$10))</f>
        <v>0</v>
      </c>
      <c r="AA2910" s="37" t="n">
        <f aca="false">IF($N2910="",0,IF(COUNTIF(Dashboard!$C$13:$C$22,$N2910)&gt;0,1,0))</f>
        <v>0</v>
      </c>
      <c r="AB2910" s="37" t="str">
        <f aca="false">IF($N2910="","",IF(COUNTIF($N$8:$N2910,$N2910)=1,MAX($AB$7:$AB2909)+1,""))</f>
        <v/>
      </c>
    </row>
    <row r="2911" customFormat="false" ht="15" hidden="false" customHeight="false" outlineLevel="0" collapsed="false">
      <c r="L2911" s="37" t="str">
        <f aca="false">IF(INDEX($A2911:$J2911,$L$6)&lt;&gt;"",TRIM(LEFT(INDEX($A2911:$J2911,$L$6),FIND("(",INDEX($A2911:$J2911,$L$6)&amp;"(")-1)),L2910)</f>
        <v>Building Value Proposition</v>
      </c>
      <c r="M2911" s="37" t="str">
        <f aca="false">IF(INDEX($A2911:$J2911,$M$6)="","",INDEX($A2911:$J2911,$M$6)&amp;"")</f>
        <v/>
      </c>
      <c r="N2911" s="37" t="str">
        <f aca="false">IF($M2911="","",TRIM(INDEX($A2911:$J2911,$N$6)&amp;""))</f>
        <v/>
      </c>
      <c r="O2911" s="37" t="str">
        <f aca="false">IF($M2911="","",TRIM(INDEX($A2911:$J2911,$O$6)&amp;""))</f>
        <v/>
      </c>
      <c r="P2911" s="37" t="str">
        <f aca="false">IF($M2911="","",IFERROR(IF(INDEX(Settings!$B$41:$B$50,MATCH(O2911,Settings!$A$41:$A$50,0))&amp;""="","UNMAPPED",INDEX(Settings!$B$41:$B$50,MATCH(O2911,Settings!$A$41:$A$50,0))&amp;""),"UNMAPPED"))</f>
        <v/>
      </c>
      <c r="Q2911" s="38" t="n">
        <f aca="false">IF($M2911="",0,N(INDEX($A2911:$J2911,$Q$6)))</f>
        <v>0</v>
      </c>
      <c r="R2911" s="39" t="str">
        <f aca="false">IF($M2911="","",INDEX($A2911:$J2911,$R$6))</f>
        <v/>
      </c>
      <c r="S2911" s="37" t="str">
        <f aca="false">IF($M2911="","",IFERROR(INDEX(Settings!$B$27:$B$36,MATCH(L2911,Settings!$A$27:$A$36,0))&amp;"","UNMAPPED"))</f>
        <v/>
      </c>
      <c r="T2911" s="37" t="str">
        <f aca="false">IF($M2911="","",IF(NOT(ISNUMBER(R2911)),"NO DATE",IF(S2911="Won",IF(R2911&gt;Settings!$B$5,"Backlog","Delivered"),IF(S2911="Open",IF(R2911&gt;Settings!$B$5,"Pipeline","Overdue"),IF(S2911="Lost","Lost","UNMAPPED")))))</f>
        <v/>
      </c>
      <c r="U2911" s="40" t="n">
        <f aca="false">IF(T2911="Backlog",1,IF(OR(T2911="Pipeline",T2911="Overdue"),N(INDEX(Settings!$C$27:$C$36,MATCH(L2911,Settings!$A$27:$A$36,0))),0))</f>
        <v>0</v>
      </c>
      <c r="V2911" s="38" t="n">
        <f aca="false">Q2911*U2911</f>
        <v>0</v>
      </c>
      <c r="W2911" s="41" t="str">
        <f aca="false">IF($M2911="","",IF(T2911="Overdue",IF(Settings!$B$8="Yes",Settings!$B$7,""),IF(ISNUMBER(R2911),DATE(YEAR(R2911),MONTH(R2911),1),"")))</f>
        <v/>
      </c>
      <c r="X2911" s="38" t="n">
        <f aca="false">IF(AND(OR(T2911="Backlog",T2911="Pipeline",T2911="Overdue"),ISNUMBER(W2911)),IF(W2911&lt;=Settings!$B$6,V2911,0),0)</f>
        <v>0</v>
      </c>
      <c r="Y2911" s="38" t="n">
        <f aca="false">IF(AND(OR(T2911="Backlog",T2911="Pipeline",T2911="Overdue"),ISNUMBER(W2911)),IF(W2911&lt;=Settings!$B$6,Q2911,0),0)</f>
        <v>0</v>
      </c>
      <c r="Z2911" s="38" t="n">
        <f aca="false">IF(Y2911=0,0,IF(T2911="Backlog",Q2911,Q2911*Dashboard!$C$10))</f>
        <v>0</v>
      </c>
      <c r="AA2911" s="37" t="n">
        <f aca="false">IF($N2911="",0,IF(COUNTIF(Dashboard!$C$13:$C$22,$N2911)&gt;0,1,0))</f>
        <v>0</v>
      </c>
      <c r="AB2911" s="37" t="str">
        <f aca="false">IF($N2911="","",IF(COUNTIF($N$8:$N2911,$N2911)=1,MAX($AB$7:$AB2910)+1,""))</f>
        <v/>
      </c>
    </row>
    <row r="2912" customFormat="false" ht="15" hidden="false" customHeight="false" outlineLevel="0" collapsed="false">
      <c r="L2912" s="37" t="str">
        <f aca="false">IF(INDEX($A2912:$J2912,$L$6)&lt;&gt;"",TRIM(LEFT(INDEX($A2912:$J2912,$L$6),FIND("(",INDEX($A2912:$J2912,$L$6)&amp;"(")-1)),L2911)</f>
        <v>Building Value Proposition</v>
      </c>
      <c r="M2912" s="37" t="str">
        <f aca="false">IF(INDEX($A2912:$J2912,$M$6)="","",INDEX($A2912:$J2912,$M$6)&amp;"")</f>
        <v/>
      </c>
      <c r="N2912" s="37" t="str">
        <f aca="false">IF($M2912="","",TRIM(INDEX($A2912:$J2912,$N$6)&amp;""))</f>
        <v/>
      </c>
      <c r="O2912" s="37" t="str">
        <f aca="false">IF($M2912="","",TRIM(INDEX($A2912:$J2912,$O$6)&amp;""))</f>
        <v/>
      </c>
      <c r="P2912" s="37" t="str">
        <f aca="false">IF($M2912="","",IFERROR(IF(INDEX(Settings!$B$41:$B$50,MATCH(O2912,Settings!$A$41:$A$50,0))&amp;""="","UNMAPPED",INDEX(Settings!$B$41:$B$50,MATCH(O2912,Settings!$A$41:$A$50,0))&amp;""),"UNMAPPED"))</f>
        <v/>
      </c>
      <c r="Q2912" s="38" t="n">
        <f aca="false">IF($M2912="",0,N(INDEX($A2912:$J2912,$Q$6)))</f>
        <v>0</v>
      </c>
      <c r="R2912" s="39" t="str">
        <f aca="false">IF($M2912="","",INDEX($A2912:$J2912,$R$6))</f>
        <v/>
      </c>
      <c r="S2912" s="37" t="str">
        <f aca="false">IF($M2912="","",IFERROR(INDEX(Settings!$B$27:$B$36,MATCH(L2912,Settings!$A$27:$A$36,0))&amp;"","UNMAPPED"))</f>
        <v/>
      </c>
      <c r="T2912" s="37" t="str">
        <f aca="false">IF($M2912="","",IF(NOT(ISNUMBER(R2912)),"NO DATE",IF(S2912="Won",IF(R2912&gt;Settings!$B$5,"Backlog","Delivered"),IF(S2912="Open",IF(R2912&gt;Settings!$B$5,"Pipeline","Overdue"),IF(S2912="Lost","Lost","UNMAPPED")))))</f>
        <v/>
      </c>
      <c r="U2912" s="40" t="n">
        <f aca="false">IF(T2912="Backlog",1,IF(OR(T2912="Pipeline",T2912="Overdue"),N(INDEX(Settings!$C$27:$C$36,MATCH(L2912,Settings!$A$27:$A$36,0))),0))</f>
        <v>0</v>
      </c>
      <c r="V2912" s="38" t="n">
        <f aca="false">Q2912*U2912</f>
        <v>0</v>
      </c>
      <c r="W2912" s="41" t="str">
        <f aca="false">IF($M2912="","",IF(T2912="Overdue",IF(Settings!$B$8="Yes",Settings!$B$7,""),IF(ISNUMBER(R2912),DATE(YEAR(R2912),MONTH(R2912),1),"")))</f>
        <v/>
      </c>
      <c r="X2912" s="38" t="n">
        <f aca="false">IF(AND(OR(T2912="Backlog",T2912="Pipeline",T2912="Overdue"),ISNUMBER(W2912)),IF(W2912&lt;=Settings!$B$6,V2912,0),0)</f>
        <v>0</v>
      </c>
      <c r="Y2912" s="38" t="n">
        <f aca="false">IF(AND(OR(T2912="Backlog",T2912="Pipeline",T2912="Overdue"),ISNUMBER(W2912)),IF(W2912&lt;=Settings!$B$6,Q2912,0),0)</f>
        <v>0</v>
      </c>
      <c r="Z2912" s="38" t="n">
        <f aca="false">IF(Y2912=0,0,IF(T2912="Backlog",Q2912,Q2912*Dashboard!$C$10))</f>
        <v>0</v>
      </c>
      <c r="AA2912" s="37" t="n">
        <f aca="false">IF($N2912="",0,IF(COUNTIF(Dashboard!$C$13:$C$22,$N2912)&gt;0,1,0))</f>
        <v>0</v>
      </c>
      <c r="AB2912" s="37" t="str">
        <f aca="false">IF($N2912="","",IF(COUNTIF($N$8:$N2912,$N2912)=1,MAX($AB$7:$AB2911)+1,""))</f>
        <v/>
      </c>
    </row>
    <row r="2913" customFormat="false" ht="15" hidden="false" customHeight="false" outlineLevel="0" collapsed="false">
      <c r="L2913" s="37" t="str">
        <f aca="false">IF(INDEX($A2913:$J2913,$L$6)&lt;&gt;"",TRIM(LEFT(INDEX($A2913:$J2913,$L$6),FIND("(",INDEX($A2913:$J2913,$L$6)&amp;"(")-1)),L2912)</f>
        <v>Building Value Proposition</v>
      </c>
      <c r="M2913" s="37" t="str">
        <f aca="false">IF(INDEX($A2913:$J2913,$M$6)="","",INDEX($A2913:$J2913,$M$6)&amp;"")</f>
        <v/>
      </c>
      <c r="N2913" s="37" t="str">
        <f aca="false">IF($M2913="","",TRIM(INDEX($A2913:$J2913,$N$6)&amp;""))</f>
        <v/>
      </c>
      <c r="O2913" s="37" t="str">
        <f aca="false">IF($M2913="","",TRIM(INDEX($A2913:$J2913,$O$6)&amp;""))</f>
        <v/>
      </c>
      <c r="P2913" s="37" t="str">
        <f aca="false">IF($M2913="","",IFERROR(IF(INDEX(Settings!$B$41:$B$50,MATCH(O2913,Settings!$A$41:$A$50,0))&amp;""="","UNMAPPED",INDEX(Settings!$B$41:$B$50,MATCH(O2913,Settings!$A$41:$A$50,0))&amp;""),"UNMAPPED"))</f>
        <v/>
      </c>
      <c r="Q2913" s="38" t="n">
        <f aca="false">IF($M2913="",0,N(INDEX($A2913:$J2913,$Q$6)))</f>
        <v>0</v>
      </c>
      <c r="R2913" s="39" t="str">
        <f aca="false">IF($M2913="","",INDEX($A2913:$J2913,$R$6))</f>
        <v/>
      </c>
      <c r="S2913" s="37" t="str">
        <f aca="false">IF($M2913="","",IFERROR(INDEX(Settings!$B$27:$B$36,MATCH(L2913,Settings!$A$27:$A$36,0))&amp;"","UNMAPPED"))</f>
        <v/>
      </c>
      <c r="T2913" s="37" t="str">
        <f aca="false">IF($M2913="","",IF(NOT(ISNUMBER(R2913)),"NO DATE",IF(S2913="Won",IF(R2913&gt;Settings!$B$5,"Backlog","Delivered"),IF(S2913="Open",IF(R2913&gt;Settings!$B$5,"Pipeline","Overdue"),IF(S2913="Lost","Lost","UNMAPPED")))))</f>
        <v/>
      </c>
      <c r="U2913" s="40" t="n">
        <f aca="false">IF(T2913="Backlog",1,IF(OR(T2913="Pipeline",T2913="Overdue"),N(INDEX(Settings!$C$27:$C$36,MATCH(L2913,Settings!$A$27:$A$36,0))),0))</f>
        <v>0</v>
      </c>
      <c r="V2913" s="38" t="n">
        <f aca="false">Q2913*U2913</f>
        <v>0</v>
      </c>
      <c r="W2913" s="41" t="str">
        <f aca="false">IF($M2913="","",IF(T2913="Overdue",IF(Settings!$B$8="Yes",Settings!$B$7,""),IF(ISNUMBER(R2913),DATE(YEAR(R2913),MONTH(R2913),1),"")))</f>
        <v/>
      </c>
      <c r="X2913" s="38" t="n">
        <f aca="false">IF(AND(OR(T2913="Backlog",T2913="Pipeline",T2913="Overdue"),ISNUMBER(W2913)),IF(W2913&lt;=Settings!$B$6,V2913,0),0)</f>
        <v>0</v>
      </c>
      <c r="Y2913" s="38" t="n">
        <f aca="false">IF(AND(OR(T2913="Backlog",T2913="Pipeline",T2913="Overdue"),ISNUMBER(W2913)),IF(W2913&lt;=Settings!$B$6,Q2913,0),0)</f>
        <v>0</v>
      </c>
      <c r="Z2913" s="38" t="n">
        <f aca="false">IF(Y2913=0,0,IF(T2913="Backlog",Q2913,Q2913*Dashboard!$C$10))</f>
        <v>0</v>
      </c>
      <c r="AA2913" s="37" t="n">
        <f aca="false">IF($N2913="",0,IF(COUNTIF(Dashboard!$C$13:$C$22,$N2913)&gt;0,1,0))</f>
        <v>0</v>
      </c>
      <c r="AB2913" s="37" t="str">
        <f aca="false">IF($N2913="","",IF(COUNTIF($N$8:$N2913,$N2913)=1,MAX($AB$7:$AB2912)+1,""))</f>
        <v/>
      </c>
    </row>
    <row r="2914" customFormat="false" ht="15" hidden="false" customHeight="false" outlineLevel="0" collapsed="false">
      <c r="L2914" s="37" t="str">
        <f aca="false">IF(INDEX($A2914:$J2914,$L$6)&lt;&gt;"",TRIM(LEFT(INDEX($A2914:$J2914,$L$6),FIND("(",INDEX($A2914:$J2914,$L$6)&amp;"(")-1)),L2913)</f>
        <v>Building Value Proposition</v>
      </c>
      <c r="M2914" s="37" t="str">
        <f aca="false">IF(INDEX($A2914:$J2914,$M$6)="","",INDEX($A2914:$J2914,$M$6)&amp;"")</f>
        <v/>
      </c>
      <c r="N2914" s="37" t="str">
        <f aca="false">IF($M2914="","",TRIM(INDEX($A2914:$J2914,$N$6)&amp;""))</f>
        <v/>
      </c>
      <c r="O2914" s="37" t="str">
        <f aca="false">IF($M2914="","",TRIM(INDEX($A2914:$J2914,$O$6)&amp;""))</f>
        <v/>
      </c>
      <c r="P2914" s="37" t="str">
        <f aca="false">IF($M2914="","",IFERROR(IF(INDEX(Settings!$B$41:$B$50,MATCH(O2914,Settings!$A$41:$A$50,0))&amp;""="","UNMAPPED",INDEX(Settings!$B$41:$B$50,MATCH(O2914,Settings!$A$41:$A$50,0))&amp;""),"UNMAPPED"))</f>
        <v/>
      </c>
      <c r="Q2914" s="38" t="n">
        <f aca="false">IF($M2914="",0,N(INDEX($A2914:$J2914,$Q$6)))</f>
        <v>0</v>
      </c>
      <c r="R2914" s="39" t="str">
        <f aca="false">IF($M2914="","",INDEX($A2914:$J2914,$R$6))</f>
        <v/>
      </c>
      <c r="S2914" s="37" t="str">
        <f aca="false">IF($M2914="","",IFERROR(INDEX(Settings!$B$27:$B$36,MATCH(L2914,Settings!$A$27:$A$36,0))&amp;"","UNMAPPED"))</f>
        <v/>
      </c>
      <c r="T2914" s="37" t="str">
        <f aca="false">IF($M2914="","",IF(NOT(ISNUMBER(R2914)),"NO DATE",IF(S2914="Won",IF(R2914&gt;Settings!$B$5,"Backlog","Delivered"),IF(S2914="Open",IF(R2914&gt;Settings!$B$5,"Pipeline","Overdue"),IF(S2914="Lost","Lost","UNMAPPED")))))</f>
        <v/>
      </c>
      <c r="U2914" s="40" t="n">
        <f aca="false">IF(T2914="Backlog",1,IF(OR(T2914="Pipeline",T2914="Overdue"),N(INDEX(Settings!$C$27:$C$36,MATCH(L2914,Settings!$A$27:$A$36,0))),0))</f>
        <v>0</v>
      </c>
      <c r="V2914" s="38" t="n">
        <f aca="false">Q2914*U2914</f>
        <v>0</v>
      </c>
      <c r="W2914" s="41" t="str">
        <f aca="false">IF($M2914="","",IF(T2914="Overdue",IF(Settings!$B$8="Yes",Settings!$B$7,""),IF(ISNUMBER(R2914),DATE(YEAR(R2914),MONTH(R2914),1),"")))</f>
        <v/>
      </c>
      <c r="X2914" s="38" t="n">
        <f aca="false">IF(AND(OR(T2914="Backlog",T2914="Pipeline",T2914="Overdue"),ISNUMBER(W2914)),IF(W2914&lt;=Settings!$B$6,V2914,0),0)</f>
        <v>0</v>
      </c>
      <c r="Y2914" s="38" t="n">
        <f aca="false">IF(AND(OR(T2914="Backlog",T2914="Pipeline",T2914="Overdue"),ISNUMBER(W2914)),IF(W2914&lt;=Settings!$B$6,Q2914,0),0)</f>
        <v>0</v>
      </c>
      <c r="Z2914" s="38" t="n">
        <f aca="false">IF(Y2914=0,0,IF(T2914="Backlog",Q2914,Q2914*Dashboard!$C$10))</f>
        <v>0</v>
      </c>
      <c r="AA2914" s="37" t="n">
        <f aca="false">IF($N2914="",0,IF(COUNTIF(Dashboard!$C$13:$C$22,$N2914)&gt;0,1,0))</f>
        <v>0</v>
      </c>
      <c r="AB2914" s="37" t="str">
        <f aca="false">IF($N2914="","",IF(COUNTIF($N$8:$N2914,$N2914)=1,MAX($AB$7:$AB2913)+1,""))</f>
        <v/>
      </c>
    </row>
    <row r="2915" customFormat="false" ht="15" hidden="false" customHeight="false" outlineLevel="0" collapsed="false">
      <c r="L2915" s="37" t="str">
        <f aca="false">IF(INDEX($A2915:$J2915,$L$6)&lt;&gt;"",TRIM(LEFT(INDEX($A2915:$J2915,$L$6),FIND("(",INDEX($A2915:$J2915,$L$6)&amp;"(")-1)),L2914)</f>
        <v>Building Value Proposition</v>
      </c>
      <c r="M2915" s="37" t="str">
        <f aca="false">IF(INDEX($A2915:$J2915,$M$6)="","",INDEX($A2915:$J2915,$M$6)&amp;"")</f>
        <v/>
      </c>
      <c r="N2915" s="37" t="str">
        <f aca="false">IF($M2915="","",TRIM(INDEX($A2915:$J2915,$N$6)&amp;""))</f>
        <v/>
      </c>
      <c r="O2915" s="37" t="str">
        <f aca="false">IF($M2915="","",TRIM(INDEX($A2915:$J2915,$O$6)&amp;""))</f>
        <v/>
      </c>
      <c r="P2915" s="37" t="str">
        <f aca="false">IF($M2915="","",IFERROR(IF(INDEX(Settings!$B$41:$B$50,MATCH(O2915,Settings!$A$41:$A$50,0))&amp;""="","UNMAPPED",INDEX(Settings!$B$41:$B$50,MATCH(O2915,Settings!$A$41:$A$50,0))&amp;""),"UNMAPPED"))</f>
        <v/>
      </c>
      <c r="Q2915" s="38" t="n">
        <f aca="false">IF($M2915="",0,N(INDEX($A2915:$J2915,$Q$6)))</f>
        <v>0</v>
      </c>
      <c r="R2915" s="39" t="str">
        <f aca="false">IF($M2915="","",INDEX($A2915:$J2915,$R$6))</f>
        <v/>
      </c>
      <c r="S2915" s="37" t="str">
        <f aca="false">IF($M2915="","",IFERROR(INDEX(Settings!$B$27:$B$36,MATCH(L2915,Settings!$A$27:$A$36,0))&amp;"","UNMAPPED"))</f>
        <v/>
      </c>
      <c r="T2915" s="37" t="str">
        <f aca="false">IF($M2915="","",IF(NOT(ISNUMBER(R2915)),"NO DATE",IF(S2915="Won",IF(R2915&gt;Settings!$B$5,"Backlog","Delivered"),IF(S2915="Open",IF(R2915&gt;Settings!$B$5,"Pipeline","Overdue"),IF(S2915="Lost","Lost","UNMAPPED")))))</f>
        <v/>
      </c>
      <c r="U2915" s="40" t="n">
        <f aca="false">IF(T2915="Backlog",1,IF(OR(T2915="Pipeline",T2915="Overdue"),N(INDEX(Settings!$C$27:$C$36,MATCH(L2915,Settings!$A$27:$A$36,0))),0))</f>
        <v>0</v>
      </c>
      <c r="V2915" s="38" t="n">
        <f aca="false">Q2915*U2915</f>
        <v>0</v>
      </c>
      <c r="W2915" s="41" t="str">
        <f aca="false">IF($M2915="","",IF(T2915="Overdue",IF(Settings!$B$8="Yes",Settings!$B$7,""),IF(ISNUMBER(R2915),DATE(YEAR(R2915),MONTH(R2915),1),"")))</f>
        <v/>
      </c>
      <c r="X2915" s="38" t="n">
        <f aca="false">IF(AND(OR(T2915="Backlog",T2915="Pipeline",T2915="Overdue"),ISNUMBER(W2915)),IF(W2915&lt;=Settings!$B$6,V2915,0),0)</f>
        <v>0</v>
      </c>
      <c r="Y2915" s="38" t="n">
        <f aca="false">IF(AND(OR(T2915="Backlog",T2915="Pipeline",T2915="Overdue"),ISNUMBER(W2915)),IF(W2915&lt;=Settings!$B$6,Q2915,0),0)</f>
        <v>0</v>
      </c>
      <c r="Z2915" s="38" t="n">
        <f aca="false">IF(Y2915=0,0,IF(T2915="Backlog",Q2915,Q2915*Dashboard!$C$10))</f>
        <v>0</v>
      </c>
      <c r="AA2915" s="37" t="n">
        <f aca="false">IF($N2915="",0,IF(COUNTIF(Dashboard!$C$13:$C$22,$N2915)&gt;0,1,0))</f>
        <v>0</v>
      </c>
      <c r="AB2915" s="37" t="str">
        <f aca="false">IF($N2915="","",IF(COUNTIF($N$8:$N2915,$N2915)=1,MAX($AB$7:$AB2914)+1,""))</f>
        <v/>
      </c>
    </row>
    <row r="2916" customFormat="false" ht="15" hidden="false" customHeight="false" outlineLevel="0" collapsed="false">
      <c r="L2916" s="37" t="str">
        <f aca="false">IF(INDEX($A2916:$J2916,$L$6)&lt;&gt;"",TRIM(LEFT(INDEX($A2916:$J2916,$L$6),FIND("(",INDEX($A2916:$J2916,$L$6)&amp;"(")-1)),L2915)</f>
        <v>Building Value Proposition</v>
      </c>
      <c r="M2916" s="37" t="str">
        <f aca="false">IF(INDEX($A2916:$J2916,$M$6)="","",INDEX($A2916:$J2916,$M$6)&amp;"")</f>
        <v/>
      </c>
      <c r="N2916" s="37" t="str">
        <f aca="false">IF($M2916="","",TRIM(INDEX($A2916:$J2916,$N$6)&amp;""))</f>
        <v/>
      </c>
      <c r="O2916" s="37" t="str">
        <f aca="false">IF($M2916="","",TRIM(INDEX($A2916:$J2916,$O$6)&amp;""))</f>
        <v/>
      </c>
      <c r="P2916" s="37" t="str">
        <f aca="false">IF($M2916="","",IFERROR(IF(INDEX(Settings!$B$41:$B$50,MATCH(O2916,Settings!$A$41:$A$50,0))&amp;""="","UNMAPPED",INDEX(Settings!$B$41:$B$50,MATCH(O2916,Settings!$A$41:$A$50,0))&amp;""),"UNMAPPED"))</f>
        <v/>
      </c>
      <c r="Q2916" s="38" t="n">
        <f aca="false">IF($M2916="",0,N(INDEX($A2916:$J2916,$Q$6)))</f>
        <v>0</v>
      </c>
      <c r="R2916" s="39" t="str">
        <f aca="false">IF($M2916="","",INDEX($A2916:$J2916,$R$6))</f>
        <v/>
      </c>
      <c r="S2916" s="37" t="str">
        <f aca="false">IF($M2916="","",IFERROR(INDEX(Settings!$B$27:$B$36,MATCH(L2916,Settings!$A$27:$A$36,0))&amp;"","UNMAPPED"))</f>
        <v/>
      </c>
      <c r="T2916" s="37" t="str">
        <f aca="false">IF($M2916="","",IF(NOT(ISNUMBER(R2916)),"NO DATE",IF(S2916="Won",IF(R2916&gt;Settings!$B$5,"Backlog","Delivered"),IF(S2916="Open",IF(R2916&gt;Settings!$B$5,"Pipeline","Overdue"),IF(S2916="Lost","Lost","UNMAPPED")))))</f>
        <v/>
      </c>
      <c r="U2916" s="40" t="n">
        <f aca="false">IF(T2916="Backlog",1,IF(OR(T2916="Pipeline",T2916="Overdue"),N(INDEX(Settings!$C$27:$C$36,MATCH(L2916,Settings!$A$27:$A$36,0))),0))</f>
        <v>0</v>
      </c>
      <c r="V2916" s="38" t="n">
        <f aca="false">Q2916*U2916</f>
        <v>0</v>
      </c>
      <c r="W2916" s="41" t="str">
        <f aca="false">IF($M2916="","",IF(T2916="Overdue",IF(Settings!$B$8="Yes",Settings!$B$7,""),IF(ISNUMBER(R2916),DATE(YEAR(R2916),MONTH(R2916),1),"")))</f>
        <v/>
      </c>
      <c r="X2916" s="38" t="n">
        <f aca="false">IF(AND(OR(T2916="Backlog",T2916="Pipeline",T2916="Overdue"),ISNUMBER(W2916)),IF(W2916&lt;=Settings!$B$6,V2916,0),0)</f>
        <v>0</v>
      </c>
      <c r="Y2916" s="38" t="n">
        <f aca="false">IF(AND(OR(T2916="Backlog",T2916="Pipeline",T2916="Overdue"),ISNUMBER(W2916)),IF(W2916&lt;=Settings!$B$6,Q2916,0),0)</f>
        <v>0</v>
      </c>
      <c r="Z2916" s="38" t="n">
        <f aca="false">IF(Y2916=0,0,IF(T2916="Backlog",Q2916,Q2916*Dashboard!$C$10))</f>
        <v>0</v>
      </c>
      <c r="AA2916" s="37" t="n">
        <f aca="false">IF($N2916="",0,IF(COUNTIF(Dashboard!$C$13:$C$22,$N2916)&gt;0,1,0))</f>
        <v>0</v>
      </c>
      <c r="AB2916" s="37" t="str">
        <f aca="false">IF($N2916="","",IF(COUNTIF($N$8:$N2916,$N2916)=1,MAX($AB$7:$AB2915)+1,""))</f>
        <v/>
      </c>
    </row>
    <row r="2917" customFormat="false" ht="15" hidden="false" customHeight="false" outlineLevel="0" collapsed="false">
      <c r="L2917" s="37" t="str">
        <f aca="false">IF(INDEX($A2917:$J2917,$L$6)&lt;&gt;"",TRIM(LEFT(INDEX($A2917:$J2917,$L$6),FIND("(",INDEX($A2917:$J2917,$L$6)&amp;"(")-1)),L2916)</f>
        <v>Building Value Proposition</v>
      </c>
      <c r="M2917" s="37" t="str">
        <f aca="false">IF(INDEX($A2917:$J2917,$M$6)="","",INDEX($A2917:$J2917,$M$6)&amp;"")</f>
        <v/>
      </c>
      <c r="N2917" s="37" t="str">
        <f aca="false">IF($M2917="","",TRIM(INDEX($A2917:$J2917,$N$6)&amp;""))</f>
        <v/>
      </c>
      <c r="O2917" s="37" t="str">
        <f aca="false">IF($M2917="","",TRIM(INDEX($A2917:$J2917,$O$6)&amp;""))</f>
        <v/>
      </c>
      <c r="P2917" s="37" t="str">
        <f aca="false">IF($M2917="","",IFERROR(IF(INDEX(Settings!$B$41:$B$50,MATCH(O2917,Settings!$A$41:$A$50,0))&amp;""="","UNMAPPED",INDEX(Settings!$B$41:$B$50,MATCH(O2917,Settings!$A$41:$A$50,0))&amp;""),"UNMAPPED"))</f>
        <v/>
      </c>
      <c r="Q2917" s="38" t="n">
        <f aca="false">IF($M2917="",0,N(INDEX($A2917:$J2917,$Q$6)))</f>
        <v>0</v>
      </c>
      <c r="R2917" s="39" t="str">
        <f aca="false">IF($M2917="","",INDEX($A2917:$J2917,$R$6))</f>
        <v/>
      </c>
      <c r="S2917" s="37" t="str">
        <f aca="false">IF($M2917="","",IFERROR(INDEX(Settings!$B$27:$B$36,MATCH(L2917,Settings!$A$27:$A$36,0))&amp;"","UNMAPPED"))</f>
        <v/>
      </c>
      <c r="T2917" s="37" t="str">
        <f aca="false">IF($M2917="","",IF(NOT(ISNUMBER(R2917)),"NO DATE",IF(S2917="Won",IF(R2917&gt;Settings!$B$5,"Backlog","Delivered"),IF(S2917="Open",IF(R2917&gt;Settings!$B$5,"Pipeline","Overdue"),IF(S2917="Lost","Lost","UNMAPPED")))))</f>
        <v/>
      </c>
      <c r="U2917" s="40" t="n">
        <f aca="false">IF(T2917="Backlog",1,IF(OR(T2917="Pipeline",T2917="Overdue"),N(INDEX(Settings!$C$27:$C$36,MATCH(L2917,Settings!$A$27:$A$36,0))),0))</f>
        <v>0</v>
      </c>
      <c r="V2917" s="38" t="n">
        <f aca="false">Q2917*U2917</f>
        <v>0</v>
      </c>
      <c r="W2917" s="41" t="str">
        <f aca="false">IF($M2917="","",IF(T2917="Overdue",IF(Settings!$B$8="Yes",Settings!$B$7,""),IF(ISNUMBER(R2917),DATE(YEAR(R2917),MONTH(R2917),1),"")))</f>
        <v/>
      </c>
      <c r="X2917" s="38" t="n">
        <f aca="false">IF(AND(OR(T2917="Backlog",T2917="Pipeline",T2917="Overdue"),ISNUMBER(W2917)),IF(W2917&lt;=Settings!$B$6,V2917,0),0)</f>
        <v>0</v>
      </c>
      <c r="Y2917" s="38" t="n">
        <f aca="false">IF(AND(OR(T2917="Backlog",T2917="Pipeline",T2917="Overdue"),ISNUMBER(W2917)),IF(W2917&lt;=Settings!$B$6,Q2917,0),0)</f>
        <v>0</v>
      </c>
      <c r="Z2917" s="38" t="n">
        <f aca="false">IF(Y2917=0,0,IF(T2917="Backlog",Q2917,Q2917*Dashboard!$C$10))</f>
        <v>0</v>
      </c>
      <c r="AA2917" s="37" t="n">
        <f aca="false">IF($N2917="",0,IF(COUNTIF(Dashboard!$C$13:$C$22,$N2917)&gt;0,1,0))</f>
        <v>0</v>
      </c>
      <c r="AB2917" s="37" t="str">
        <f aca="false">IF($N2917="","",IF(COUNTIF($N$8:$N2917,$N2917)=1,MAX($AB$7:$AB2916)+1,""))</f>
        <v/>
      </c>
    </row>
    <row r="2918" customFormat="false" ht="15" hidden="false" customHeight="false" outlineLevel="0" collapsed="false">
      <c r="L2918" s="37" t="str">
        <f aca="false">IF(INDEX($A2918:$J2918,$L$6)&lt;&gt;"",TRIM(LEFT(INDEX($A2918:$J2918,$L$6),FIND("(",INDEX($A2918:$J2918,$L$6)&amp;"(")-1)),L2917)</f>
        <v>Building Value Proposition</v>
      </c>
      <c r="M2918" s="37" t="str">
        <f aca="false">IF(INDEX($A2918:$J2918,$M$6)="","",INDEX($A2918:$J2918,$M$6)&amp;"")</f>
        <v/>
      </c>
      <c r="N2918" s="37" t="str">
        <f aca="false">IF($M2918="","",TRIM(INDEX($A2918:$J2918,$N$6)&amp;""))</f>
        <v/>
      </c>
      <c r="O2918" s="37" t="str">
        <f aca="false">IF($M2918="","",TRIM(INDEX($A2918:$J2918,$O$6)&amp;""))</f>
        <v/>
      </c>
      <c r="P2918" s="37" t="str">
        <f aca="false">IF($M2918="","",IFERROR(IF(INDEX(Settings!$B$41:$B$50,MATCH(O2918,Settings!$A$41:$A$50,0))&amp;""="","UNMAPPED",INDEX(Settings!$B$41:$B$50,MATCH(O2918,Settings!$A$41:$A$50,0))&amp;""),"UNMAPPED"))</f>
        <v/>
      </c>
      <c r="Q2918" s="38" t="n">
        <f aca="false">IF($M2918="",0,N(INDEX($A2918:$J2918,$Q$6)))</f>
        <v>0</v>
      </c>
      <c r="R2918" s="39" t="str">
        <f aca="false">IF($M2918="","",INDEX($A2918:$J2918,$R$6))</f>
        <v/>
      </c>
      <c r="S2918" s="37" t="str">
        <f aca="false">IF($M2918="","",IFERROR(INDEX(Settings!$B$27:$B$36,MATCH(L2918,Settings!$A$27:$A$36,0))&amp;"","UNMAPPED"))</f>
        <v/>
      </c>
      <c r="T2918" s="37" t="str">
        <f aca="false">IF($M2918="","",IF(NOT(ISNUMBER(R2918)),"NO DATE",IF(S2918="Won",IF(R2918&gt;Settings!$B$5,"Backlog","Delivered"),IF(S2918="Open",IF(R2918&gt;Settings!$B$5,"Pipeline","Overdue"),IF(S2918="Lost","Lost","UNMAPPED")))))</f>
        <v/>
      </c>
      <c r="U2918" s="40" t="n">
        <f aca="false">IF(T2918="Backlog",1,IF(OR(T2918="Pipeline",T2918="Overdue"),N(INDEX(Settings!$C$27:$C$36,MATCH(L2918,Settings!$A$27:$A$36,0))),0))</f>
        <v>0</v>
      </c>
      <c r="V2918" s="38" t="n">
        <f aca="false">Q2918*U2918</f>
        <v>0</v>
      </c>
      <c r="W2918" s="41" t="str">
        <f aca="false">IF($M2918="","",IF(T2918="Overdue",IF(Settings!$B$8="Yes",Settings!$B$7,""),IF(ISNUMBER(R2918),DATE(YEAR(R2918),MONTH(R2918),1),"")))</f>
        <v/>
      </c>
      <c r="X2918" s="38" t="n">
        <f aca="false">IF(AND(OR(T2918="Backlog",T2918="Pipeline",T2918="Overdue"),ISNUMBER(W2918)),IF(W2918&lt;=Settings!$B$6,V2918,0),0)</f>
        <v>0</v>
      </c>
      <c r="Y2918" s="38" t="n">
        <f aca="false">IF(AND(OR(T2918="Backlog",T2918="Pipeline",T2918="Overdue"),ISNUMBER(W2918)),IF(W2918&lt;=Settings!$B$6,Q2918,0),0)</f>
        <v>0</v>
      </c>
      <c r="Z2918" s="38" t="n">
        <f aca="false">IF(Y2918=0,0,IF(T2918="Backlog",Q2918,Q2918*Dashboard!$C$10))</f>
        <v>0</v>
      </c>
      <c r="AA2918" s="37" t="n">
        <f aca="false">IF($N2918="",0,IF(COUNTIF(Dashboard!$C$13:$C$22,$N2918)&gt;0,1,0))</f>
        <v>0</v>
      </c>
      <c r="AB2918" s="37" t="str">
        <f aca="false">IF($N2918="","",IF(COUNTIF($N$8:$N2918,$N2918)=1,MAX($AB$7:$AB2917)+1,""))</f>
        <v/>
      </c>
    </row>
    <row r="2919" customFormat="false" ht="15" hidden="false" customHeight="false" outlineLevel="0" collapsed="false">
      <c r="L2919" s="37" t="str">
        <f aca="false">IF(INDEX($A2919:$J2919,$L$6)&lt;&gt;"",TRIM(LEFT(INDEX($A2919:$J2919,$L$6),FIND("(",INDEX($A2919:$J2919,$L$6)&amp;"(")-1)),L2918)</f>
        <v>Building Value Proposition</v>
      </c>
      <c r="M2919" s="37" t="str">
        <f aca="false">IF(INDEX($A2919:$J2919,$M$6)="","",INDEX($A2919:$J2919,$M$6)&amp;"")</f>
        <v/>
      </c>
      <c r="N2919" s="37" t="str">
        <f aca="false">IF($M2919="","",TRIM(INDEX($A2919:$J2919,$N$6)&amp;""))</f>
        <v/>
      </c>
      <c r="O2919" s="37" t="str">
        <f aca="false">IF($M2919="","",TRIM(INDEX($A2919:$J2919,$O$6)&amp;""))</f>
        <v/>
      </c>
      <c r="P2919" s="37" t="str">
        <f aca="false">IF($M2919="","",IFERROR(IF(INDEX(Settings!$B$41:$B$50,MATCH(O2919,Settings!$A$41:$A$50,0))&amp;""="","UNMAPPED",INDEX(Settings!$B$41:$B$50,MATCH(O2919,Settings!$A$41:$A$50,0))&amp;""),"UNMAPPED"))</f>
        <v/>
      </c>
      <c r="Q2919" s="38" t="n">
        <f aca="false">IF($M2919="",0,N(INDEX($A2919:$J2919,$Q$6)))</f>
        <v>0</v>
      </c>
      <c r="R2919" s="39" t="str">
        <f aca="false">IF($M2919="","",INDEX($A2919:$J2919,$R$6))</f>
        <v/>
      </c>
      <c r="S2919" s="37" t="str">
        <f aca="false">IF($M2919="","",IFERROR(INDEX(Settings!$B$27:$B$36,MATCH(L2919,Settings!$A$27:$A$36,0))&amp;"","UNMAPPED"))</f>
        <v/>
      </c>
      <c r="T2919" s="37" t="str">
        <f aca="false">IF($M2919="","",IF(NOT(ISNUMBER(R2919)),"NO DATE",IF(S2919="Won",IF(R2919&gt;Settings!$B$5,"Backlog","Delivered"),IF(S2919="Open",IF(R2919&gt;Settings!$B$5,"Pipeline","Overdue"),IF(S2919="Lost","Lost","UNMAPPED")))))</f>
        <v/>
      </c>
      <c r="U2919" s="40" t="n">
        <f aca="false">IF(T2919="Backlog",1,IF(OR(T2919="Pipeline",T2919="Overdue"),N(INDEX(Settings!$C$27:$C$36,MATCH(L2919,Settings!$A$27:$A$36,0))),0))</f>
        <v>0</v>
      </c>
      <c r="V2919" s="38" t="n">
        <f aca="false">Q2919*U2919</f>
        <v>0</v>
      </c>
      <c r="W2919" s="41" t="str">
        <f aca="false">IF($M2919="","",IF(T2919="Overdue",IF(Settings!$B$8="Yes",Settings!$B$7,""),IF(ISNUMBER(R2919),DATE(YEAR(R2919),MONTH(R2919),1),"")))</f>
        <v/>
      </c>
      <c r="X2919" s="38" t="n">
        <f aca="false">IF(AND(OR(T2919="Backlog",T2919="Pipeline",T2919="Overdue"),ISNUMBER(W2919)),IF(W2919&lt;=Settings!$B$6,V2919,0),0)</f>
        <v>0</v>
      </c>
      <c r="Y2919" s="38" t="n">
        <f aca="false">IF(AND(OR(T2919="Backlog",T2919="Pipeline",T2919="Overdue"),ISNUMBER(W2919)),IF(W2919&lt;=Settings!$B$6,Q2919,0),0)</f>
        <v>0</v>
      </c>
      <c r="Z2919" s="38" t="n">
        <f aca="false">IF(Y2919=0,0,IF(T2919="Backlog",Q2919,Q2919*Dashboard!$C$10))</f>
        <v>0</v>
      </c>
      <c r="AA2919" s="37" t="n">
        <f aca="false">IF($N2919="",0,IF(COUNTIF(Dashboard!$C$13:$C$22,$N2919)&gt;0,1,0))</f>
        <v>0</v>
      </c>
      <c r="AB2919" s="37" t="str">
        <f aca="false">IF($N2919="","",IF(COUNTIF($N$8:$N2919,$N2919)=1,MAX($AB$7:$AB2918)+1,""))</f>
        <v/>
      </c>
    </row>
    <row r="2920" customFormat="false" ht="15" hidden="false" customHeight="false" outlineLevel="0" collapsed="false">
      <c r="L2920" s="37" t="str">
        <f aca="false">IF(INDEX($A2920:$J2920,$L$6)&lt;&gt;"",TRIM(LEFT(INDEX($A2920:$J2920,$L$6),FIND("(",INDEX($A2920:$J2920,$L$6)&amp;"(")-1)),L2919)</f>
        <v>Building Value Proposition</v>
      </c>
      <c r="M2920" s="37" t="str">
        <f aca="false">IF(INDEX($A2920:$J2920,$M$6)="","",INDEX($A2920:$J2920,$M$6)&amp;"")</f>
        <v/>
      </c>
      <c r="N2920" s="37" t="str">
        <f aca="false">IF($M2920="","",TRIM(INDEX($A2920:$J2920,$N$6)&amp;""))</f>
        <v/>
      </c>
      <c r="O2920" s="37" t="str">
        <f aca="false">IF($M2920="","",TRIM(INDEX($A2920:$J2920,$O$6)&amp;""))</f>
        <v/>
      </c>
      <c r="P2920" s="37" t="str">
        <f aca="false">IF($M2920="","",IFERROR(IF(INDEX(Settings!$B$41:$B$50,MATCH(O2920,Settings!$A$41:$A$50,0))&amp;""="","UNMAPPED",INDEX(Settings!$B$41:$B$50,MATCH(O2920,Settings!$A$41:$A$50,0))&amp;""),"UNMAPPED"))</f>
        <v/>
      </c>
      <c r="Q2920" s="38" t="n">
        <f aca="false">IF($M2920="",0,N(INDEX($A2920:$J2920,$Q$6)))</f>
        <v>0</v>
      </c>
      <c r="R2920" s="39" t="str">
        <f aca="false">IF($M2920="","",INDEX($A2920:$J2920,$R$6))</f>
        <v/>
      </c>
      <c r="S2920" s="37" t="str">
        <f aca="false">IF($M2920="","",IFERROR(INDEX(Settings!$B$27:$B$36,MATCH(L2920,Settings!$A$27:$A$36,0))&amp;"","UNMAPPED"))</f>
        <v/>
      </c>
      <c r="T2920" s="37" t="str">
        <f aca="false">IF($M2920="","",IF(NOT(ISNUMBER(R2920)),"NO DATE",IF(S2920="Won",IF(R2920&gt;Settings!$B$5,"Backlog","Delivered"),IF(S2920="Open",IF(R2920&gt;Settings!$B$5,"Pipeline","Overdue"),IF(S2920="Lost","Lost","UNMAPPED")))))</f>
        <v/>
      </c>
      <c r="U2920" s="40" t="n">
        <f aca="false">IF(T2920="Backlog",1,IF(OR(T2920="Pipeline",T2920="Overdue"),N(INDEX(Settings!$C$27:$C$36,MATCH(L2920,Settings!$A$27:$A$36,0))),0))</f>
        <v>0</v>
      </c>
      <c r="V2920" s="38" t="n">
        <f aca="false">Q2920*U2920</f>
        <v>0</v>
      </c>
      <c r="W2920" s="41" t="str">
        <f aca="false">IF($M2920="","",IF(T2920="Overdue",IF(Settings!$B$8="Yes",Settings!$B$7,""),IF(ISNUMBER(R2920),DATE(YEAR(R2920),MONTH(R2920),1),"")))</f>
        <v/>
      </c>
      <c r="X2920" s="38" t="n">
        <f aca="false">IF(AND(OR(T2920="Backlog",T2920="Pipeline",T2920="Overdue"),ISNUMBER(W2920)),IF(W2920&lt;=Settings!$B$6,V2920,0),0)</f>
        <v>0</v>
      </c>
      <c r="Y2920" s="38" t="n">
        <f aca="false">IF(AND(OR(T2920="Backlog",T2920="Pipeline",T2920="Overdue"),ISNUMBER(W2920)),IF(W2920&lt;=Settings!$B$6,Q2920,0),0)</f>
        <v>0</v>
      </c>
      <c r="Z2920" s="38" t="n">
        <f aca="false">IF(Y2920=0,0,IF(T2920="Backlog",Q2920,Q2920*Dashboard!$C$10))</f>
        <v>0</v>
      </c>
      <c r="AA2920" s="37" t="n">
        <f aca="false">IF($N2920="",0,IF(COUNTIF(Dashboard!$C$13:$C$22,$N2920)&gt;0,1,0))</f>
        <v>0</v>
      </c>
      <c r="AB2920" s="37" t="str">
        <f aca="false">IF($N2920="","",IF(COUNTIF($N$8:$N2920,$N2920)=1,MAX($AB$7:$AB2919)+1,""))</f>
        <v/>
      </c>
    </row>
    <row r="2921" customFormat="false" ht="15" hidden="false" customHeight="false" outlineLevel="0" collapsed="false">
      <c r="L2921" s="37" t="str">
        <f aca="false">IF(INDEX($A2921:$J2921,$L$6)&lt;&gt;"",TRIM(LEFT(INDEX($A2921:$J2921,$L$6),FIND("(",INDEX($A2921:$J2921,$L$6)&amp;"(")-1)),L2920)</f>
        <v>Building Value Proposition</v>
      </c>
      <c r="M2921" s="37" t="str">
        <f aca="false">IF(INDEX($A2921:$J2921,$M$6)="","",INDEX($A2921:$J2921,$M$6)&amp;"")</f>
        <v/>
      </c>
      <c r="N2921" s="37" t="str">
        <f aca="false">IF($M2921="","",TRIM(INDEX($A2921:$J2921,$N$6)&amp;""))</f>
        <v/>
      </c>
      <c r="O2921" s="37" t="str">
        <f aca="false">IF($M2921="","",TRIM(INDEX($A2921:$J2921,$O$6)&amp;""))</f>
        <v/>
      </c>
      <c r="P2921" s="37" t="str">
        <f aca="false">IF($M2921="","",IFERROR(IF(INDEX(Settings!$B$41:$B$50,MATCH(O2921,Settings!$A$41:$A$50,0))&amp;""="","UNMAPPED",INDEX(Settings!$B$41:$B$50,MATCH(O2921,Settings!$A$41:$A$50,0))&amp;""),"UNMAPPED"))</f>
        <v/>
      </c>
      <c r="Q2921" s="38" t="n">
        <f aca="false">IF($M2921="",0,N(INDEX($A2921:$J2921,$Q$6)))</f>
        <v>0</v>
      </c>
      <c r="R2921" s="39" t="str">
        <f aca="false">IF($M2921="","",INDEX($A2921:$J2921,$R$6))</f>
        <v/>
      </c>
      <c r="S2921" s="37" t="str">
        <f aca="false">IF($M2921="","",IFERROR(INDEX(Settings!$B$27:$B$36,MATCH(L2921,Settings!$A$27:$A$36,0))&amp;"","UNMAPPED"))</f>
        <v/>
      </c>
      <c r="T2921" s="37" t="str">
        <f aca="false">IF($M2921="","",IF(NOT(ISNUMBER(R2921)),"NO DATE",IF(S2921="Won",IF(R2921&gt;Settings!$B$5,"Backlog","Delivered"),IF(S2921="Open",IF(R2921&gt;Settings!$B$5,"Pipeline","Overdue"),IF(S2921="Lost","Lost","UNMAPPED")))))</f>
        <v/>
      </c>
      <c r="U2921" s="40" t="n">
        <f aca="false">IF(T2921="Backlog",1,IF(OR(T2921="Pipeline",T2921="Overdue"),N(INDEX(Settings!$C$27:$C$36,MATCH(L2921,Settings!$A$27:$A$36,0))),0))</f>
        <v>0</v>
      </c>
      <c r="V2921" s="38" t="n">
        <f aca="false">Q2921*U2921</f>
        <v>0</v>
      </c>
      <c r="W2921" s="41" t="str">
        <f aca="false">IF($M2921="","",IF(T2921="Overdue",IF(Settings!$B$8="Yes",Settings!$B$7,""),IF(ISNUMBER(R2921),DATE(YEAR(R2921),MONTH(R2921),1),"")))</f>
        <v/>
      </c>
      <c r="X2921" s="38" t="n">
        <f aca="false">IF(AND(OR(T2921="Backlog",T2921="Pipeline",T2921="Overdue"),ISNUMBER(W2921)),IF(W2921&lt;=Settings!$B$6,V2921,0),0)</f>
        <v>0</v>
      </c>
      <c r="Y2921" s="38" t="n">
        <f aca="false">IF(AND(OR(T2921="Backlog",T2921="Pipeline",T2921="Overdue"),ISNUMBER(W2921)),IF(W2921&lt;=Settings!$B$6,Q2921,0),0)</f>
        <v>0</v>
      </c>
      <c r="Z2921" s="38" t="n">
        <f aca="false">IF(Y2921=0,0,IF(T2921="Backlog",Q2921,Q2921*Dashboard!$C$10))</f>
        <v>0</v>
      </c>
      <c r="AA2921" s="37" t="n">
        <f aca="false">IF($N2921="",0,IF(COUNTIF(Dashboard!$C$13:$C$22,$N2921)&gt;0,1,0))</f>
        <v>0</v>
      </c>
      <c r="AB2921" s="37" t="str">
        <f aca="false">IF($N2921="","",IF(COUNTIF($N$8:$N2921,$N2921)=1,MAX($AB$7:$AB2920)+1,""))</f>
        <v/>
      </c>
    </row>
    <row r="2922" customFormat="false" ht="15" hidden="false" customHeight="false" outlineLevel="0" collapsed="false">
      <c r="L2922" s="37" t="str">
        <f aca="false">IF(INDEX($A2922:$J2922,$L$6)&lt;&gt;"",TRIM(LEFT(INDEX($A2922:$J2922,$L$6),FIND("(",INDEX($A2922:$J2922,$L$6)&amp;"(")-1)),L2921)</f>
        <v>Building Value Proposition</v>
      </c>
      <c r="M2922" s="37" t="str">
        <f aca="false">IF(INDEX($A2922:$J2922,$M$6)="","",INDEX($A2922:$J2922,$M$6)&amp;"")</f>
        <v/>
      </c>
      <c r="N2922" s="37" t="str">
        <f aca="false">IF($M2922="","",TRIM(INDEX($A2922:$J2922,$N$6)&amp;""))</f>
        <v/>
      </c>
      <c r="O2922" s="37" t="str">
        <f aca="false">IF($M2922="","",TRIM(INDEX($A2922:$J2922,$O$6)&amp;""))</f>
        <v/>
      </c>
      <c r="P2922" s="37" t="str">
        <f aca="false">IF($M2922="","",IFERROR(IF(INDEX(Settings!$B$41:$B$50,MATCH(O2922,Settings!$A$41:$A$50,0))&amp;""="","UNMAPPED",INDEX(Settings!$B$41:$B$50,MATCH(O2922,Settings!$A$41:$A$50,0))&amp;""),"UNMAPPED"))</f>
        <v/>
      </c>
      <c r="Q2922" s="38" t="n">
        <f aca="false">IF($M2922="",0,N(INDEX($A2922:$J2922,$Q$6)))</f>
        <v>0</v>
      </c>
      <c r="R2922" s="39" t="str">
        <f aca="false">IF($M2922="","",INDEX($A2922:$J2922,$R$6))</f>
        <v/>
      </c>
      <c r="S2922" s="37" t="str">
        <f aca="false">IF($M2922="","",IFERROR(INDEX(Settings!$B$27:$B$36,MATCH(L2922,Settings!$A$27:$A$36,0))&amp;"","UNMAPPED"))</f>
        <v/>
      </c>
      <c r="T2922" s="37" t="str">
        <f aca="false">IF($M2922="","",IF(NOT(ISNUMBER(R2922)),"NO DATE",IF(S2922="Won",IF(R2922&gt;Settings!$B$5,"Backlog","Delivered"),IF(S2922="Open",IF(R2922&gt;Settings!$B$5,"Pipeline","Overdue"),IF(S2922="Lost","Lost","UNMAPPED")))))</f>
        <v/>
      </c>
      <c r="U2922" s="40" t="n">
        <f aca="false">IF(T2922="Backlog",1,IF(OR(T2922="Pipeline",T2922="Overdue"),N(INDEX(Settings!$C$27:$C$36,MATCH(L2922,Settings!$A$27:$A$36,0))),0))</f>
        <v>0</v>
      </c>
      <c r="V2922" s="38" t="n">
        <f aca="false">Q2922*U2922</f>
        <v>0</v>
      </c>
      <c r="W2922" s="41" t="str">
        <f aca="false">IF($M2922="","",IF(T2922="Overdue",IF(Settings!$B$8="Yes",Settings!$B$7,""),IF(ISNUMBER(R2922),DATE(YEAR(R2922),MONTH(R2922),1),"")))</f>
        <v/>
      </c>
      <c r="X2922" s="38" t="n">
        <f aca="false">IF(AND(OR(T2922="Backlog",T2922="Pipeline",T2922="Overdue"),ISNUMBER(W2922)),IF(W2922&lt;=Settings!$B$6,V2922,0),0)</f>
        <v>0</v>
      </c>
      <c r="Y2922" s="38" t="n">
        <f aca="false">IF(AND(OR(T2922="Backlog",T2922="Pipeline",T2922="Overdue"),ISNUMBER(W2922)),IF(W2922&lt;=Settings!$B$6,Q2922,0),0)</f>
        <v>0</v>
      </c>
      <c r="Z2922" s="38" t="n">
        <f aca="false">IF(Y2922=0,0,IF(T2922="Backlog",Q2922,Q2922*Dashboard!$C$10))</f>
        <v>0</v>
      </c>
      <c r="AA2922" s="37" t="n">
        <f aca="false">IF($N2922="",0,IF(COUNTIF(Dashboard!$C$13:$C$22,$N2922)&gt;0,1,0))</f>
        <v>0</v>
      </c>
      <c r="AB2922" s="37" t="str">
        <f aca="false">IF($N2922="","",IF(COUNTIF($N$8:$N2922,$N2922)=1,MAX($AB$7:$AB2921)+1,""))</f>
        <v/>
      </c>
    </row>
    <row r="2923" customFormat="false" ht="15" hidden="false" customHeight="false" outlineLevel="0" collapsed="false">
      <c r="L2923" s="37" t="str">
        <f aca="false">IF(INDEX($A2923:$J2923,$L$6)&lt;&gt;"",TRIM(LEFT(INDEX($A2923:$J2923,$L$6),FIND("(",INDEX($A2923:$J2923,$L$6)&amp;"(")-1)),L2922)</f>
        <v>Building Value Proposition</v>
      </c>
      <c r="M2923" s="37" t="str">
        <f aca="false">IF(INDEX($A2923:$J2923,$M$6)="","",INDEX($A2923:$J2923,$M$6)&amp;"")</f>
        <v/>
      </c>
      <c r="N2923" s="37" t="str">
        <f aca="false">IF($M2923="","",TRIM(INDEX($A2923:$J2923,$N$6)&amp;""))</f>
        <v/>
      </c>
      <c r="O2923" s="37" t="str">
        <f aca="false">IF($M2923="","",TRIM(INDEX($A2923:$J2923,$O$6)&amp;""))</f>
        <v/>
      </c>
      <c r="P2923" s="37" t="str">
        <f aca="false">IF($M2923="","",IFERROR(IF(INDEX(Settings!$B$41:$B$50,MATCH(O2923,Settings!$A$41:$A$50,0))&amp;""="","UNMAPPED",INDEX(Settings!$B$41:$B$50,MATCH(O2923,Settings!$A$41:$A$50,0))&amp;""),"UNMAPPED"))</f>
        <v/>
      </c>
      <c r="Q2923" s="38" t="n">
        <f aca="false">IF($M2923="",0,N(INDEX($A2923:$J2923,$Q$6)))</f>
        <v>0</v>
      </c>
      <c r="R2923" s="39" t="str">
        <f aca="false">IF($M2923="","",INDEX($A2923:$J2923,$R$6))</f>
        <v/>
      </c>
      <c r="S2923" s="37" t="str">
        <f aca="false">IF($M2923="","",IFERROR(INDEX(Settings!$B$27:$B$36,MATCH(L2923,Settings!$A$27:$A$36,0))&amp;"","UNMAPPED"))</f>
        <v/>
      </c>
      <c r="T2923" s="37" t="str">
        <f aca="false">IF($M2923="","",IF(NOT(ISNUMBER(R2923)),"NO DATE",IF(S2923="Won",IF(R2923&gt;Settings!$B$5,"Backlog","Delivered"),IF(S2923="Open",IF(R2923&gt;Settings!$B$5,"Pipeline","Overdue"),IF(S2923="Lost","Lost","UNMAPPED")))))</f>
        <v/>
      </c>
      <c r="U2923" s="40" t="n">
        <f aca="false">IF(T2923="Backlog",1,IF(OR(T2923="Pipeline",T2923="Overdue"),N(INDEX(Settings!$C$27:$C$36,MATCH(L2923,Settings!$A$27:$A$36,0))),0))</f>
        <v>0</v>
      </c>
      <c r="V2923" s="38" t="n">
        <f aca="false">Q2923*U2923</f>
        <v>0</v>
      </c>
      <c r="W2923" s="41" t="str">
        <f aca="false">IF($M2923="","",IF(T2923="Overdue",IF(Settings!$B$8="Yes",Settings!$B$7,""),IF(ISNUMBER(R2923),DATE(YEAR(R2923),MONTH(R2923),1),"")))</f>
        <v/>
      </c>
      <c r="X2923" s="38" t="n">
        <f aca="false">IF(AND(OR(T2923="Backlog",T2923="Pipeline",T2923="Overdue"),ISNUMBER(W2923)),IF(W2923&lt;=Settings!$B$6,V2923,0),0)</f>
        <v>0</v>
      </c>
      <c r="Y2923" s="38" t="n">
        <f aca="false">IF(AND(OR(T2923="Backlog",T2923="Pipeline",T2923="Overdue"),ISNUMBER(W2923)),IF(W2923&lt;=Settings!$B$6,Q2923,0),0)</f>
        <v>0</v>
      </c>
      <c r="Z2923" s="38" t="n">
        <f aca="false">IF(Y2923=0,0,IF(T2923="Backlog",Q2923,Q2923*Dashboard!$C$10))</f>
        <v>0</v>
      </c>
      <c r="AA2923" s="37" t="n">
        <f aca="false">IF($N2923="",0,IF(COUNTIF(Dashboard!$C$13:$C$22,$N2923)&gt;0,1,0))</f>
        <v>0</v>
      </c>
      <c r="AB2923" s="37" t="str">
        <f aca="false">IF($N2923="","",IF(COUNTIF($N$8:$N2923,$N2923)=1,MAX($AB$7:$AB2922)+1,""))</f>
        <v/>
      </c>
    </row>
    <row r="2924" customFormat="false" ht="15" hidden="false" customHeight="false" outlineLevel="0" collapsed="false">
      <c r="L2924" s="37" t="str">
        <f aca="false">IF(INDEX($A2924:$J2924,$L$6)&lt;&gt;"",TRIM(LEFT(INDEX($A2924:$J2924,$L$6),FIND("(",INDEX($A2924:$J2924,$L$6)&amp;"(")-1)),L2923)</f>
        <v>Building Value Proposition</v>
      </c>
      <c r="M2924" s="37" t="str">
        <f aca="false">IF(INDEX($A2924:$J2924,$M$6)="","",INDEX($A2924:$J2924,$M$6)&amp;"")</f>
        <v/>
      </c>
      <c r="N2924" s="37" t="str">
        <f aca="false">IF($M2924="","",TRIM(INDEX($A2924:$J2924,$N$6)&amp;""))</f>
        <v/>
      </c>
      <c r="O2924" s="37" t="str">
        <f aca="false">IF($M2924="","",TRIM(INDEX($A2924:$J2924,$O$6)&amp;""))</f>
        <v/>
      </c>
      <c r="P2924" s="37" t="str">
        <f aca="false">IF($M2924="","",IFERROR(IF(INDEX(Settings!$B$41:$B$50,MATCH(O2924,Settings!$A$41:$A$50,0))&amp;""="","UNMAPPED",INDEX(Settings!$B$41:$B$50,MATCH(O2924,Settings!$A$41:$A$50,0))&amp;""),"UNMAPPED"))</f>
        <v/>
      </c>
      <c r="Q2924" s="38" t="n">
        <f aca="false">IF($M2924="",0,N(INDEX($A2924:$J2924,$Q$6)))</f>
        <v>0</v>
      </c>
      <c r="R2924" s="39" t="str">
        <f aca="false">IF($M2924="","",INDEX($A2924:$J2924,$R$6))</f>
        <v/>
      </c>
      <c r="S2924" s="37" t="str">
        <f aca="false">IF($M2924="","",IFERROR(INDEX(Settings!$B$27:$B$36,MATCH(L2924,Settings!$A$27:$A$36,0))&amp;"","UNMAPPED"))</f>
        <v/>
      </c>
      <c r="T2924" s="37" t="str">
        <f aca="false">IF($M2924="","",IF(NOT(ISNUMBER(R2924)),"NO DATE",IF(S2924="Won",IF(R2924&gt;Settings!$B$5,"Backlog","Delivered"),IF(S2924="Open",IF(R2924&gt;Settings!$B$5,"Pipeline","Overdue"),IF(S2924="Lost","Lost","UNMAPPED")))))</f>
        <v/>
      </c>
      <c r="U2924" s="40" t="n">
        <f aca="false">IF(T2924="Backlog",1,IF(OR(T2924="Pipeline",T2924="Overdue"),N(INDEX(Settings!$C$27:$C$36,MATCH(L2924,Settings!$A$27:$A$36,0))),0))</f>
        <v>0</v>
      </c>
      <c r="V2924" s="38" t="n">
        <f aca="false">Q2924*U2924</f>
        <v>0</v>
      </c>
      <c r="W2924" s="41" t="str">
        <f aca="false">IF($M2924="","",IF(T2924="Overdue",IF(Settings!$B$8="Yes",Settings!$B$7,""),IF(ISNUMBER(R2924),DATE(YEAR(R2924),MONTH(R2924),1),"")))</f>
        <v/>
      </c>
      <c r="X2924" s="38" t="n">
        <f aca="false">IF(AND(OR(T2924="Backlog",T2924="Pipeline",T2924="Overdue"),ISNUMBER(W2924)),IF(W2924&lt;=Settings!$B$6,V2924,0),0)</f>
        <v>0</v>
      </c>
      <c r="Y2924" s="38" t="n">
        <f aca="false">IF(AND(OR(T2924="Backlog",T2924="Pipeline",T2924="Overdue"),ISNUMBER(W2924)),IF(W2924&lt;=Settings!$B$6,Q2924,0),0)</f>
        <v>0</v>
      </c>
      <c r="Z2924" s="38" t="n">
        <f aca="false">IF(Y2924=0,0,IF(T2924="Backlog",Q2924,Q2924*Dashboard!$C$10))</f>
        <v>0</v>
      </c>
      <c r="AA2924" s="37" t="n">
        <f aca="false">IF($N2924="",0,IF(COUNTIF(Dashboard!$C$13:$C$22,$N2924)&gt;0,1,0))</f>
        <v>0</v>
      </c>
      <c r="AB2924" s="37" t="str">
        <f aca="false">IF($N2924="","",IF(COUNTIF($N$8:$N2924,$N2924)=1,MAX($AB$7:$AB2923)+1,""))</f>
        <v/>
      </c>
    </row>
    <row r="2925" customFormat="false" ht="15" hidden="false" customHeight="false" outlineLevel="0" collapsed="false">
      <c r="L2925" s="37" t="str">
        <f aca="false">IF(INDEX($A2925:$J2925,$L$6)&lt;&gt;"",TRIM(LEFT(INDEX($A2925:$J2925,$L$6),FIND("(",INDEX($A2925:$J2925,$L$6)&amp;"(")-1)),L2924)</f>
        <v>Building Value Proposition</v>
      </c>
      <c r="M2925" s="37" t="str">
        <f aca="false">IF(INDEX($A2925:$J2925,$M$6)="","",INDEX($A2925:$J2925,$M$6)&amp;"")</f>
        <v/>
      </c>
      <c r="N2925" s="37" t="str">
        <f aca="false">IF($M2925="","",TRIM(INDEX($A2925:$J2925,$N$6)&amp;""))</f>
        <v/>
      </c>
      <c r="O2925" s="37" t="str">
        <f aca="false">IF($M2925="","",TRIM(INDEX($A2925:$J2925,$O$6)&amp;""))</f>
        <v/>
      </c>
      <c r="P2925" s="37" t="str">
        <f aca="false">IF($M2925="","",IFERROR(IF(INDEX(Settings!$B$41:$B$50,MATCH(O2925,Settings!$A$41:$A$50,0))&amp;""="","UNMAPPED",INDEX(Settings!$B$41:$B$50,MATCH(O2925,Settings!$A$41:$A$50,0))&amp;""),"UNMAPPED"))</f>
        <v/>
      </c>
      <c r="Q2925" s="38" t="n">
        <f aca="false">IF($M2925="",0,N(INDEX($A2925:$J2925,$Q$6)))</f>
        <v>0</v>
      </c>
      <c r="R2925" s="39" t="str">
        <f aca="false">IF($M2925="","",INDEX($A2925:$J2925,$R$6))</f>
        <v/>
      </c>
      <c r="S2925" s="37" t="str">
        <f aca="false">IF($M2925="","",IFERROR(INDEX(Settings!$B$27:$B$36,MATCH(L2925,Settings!$A$27:$A$36,0))&amp;"","UNMAPPED"))</f>
        <v/>
      </c>
      <c r="T2925" s="37" t="str">
        <f aca="false">IF($M2925="","",IF(NOT(ISNUMBER(R2925)),"NO DATE",IF(S2925="Won",IF(R2925&gt;Settings!$B$5,"Backlog","Delivered"),IF(S2925="Open",IF(R2925&gt;Settings!$B$5,"Pipeline","Overdue"),IF(S2925="Lost","Lost","UNMAPPED")))))</f>
        <v/>
      </c>
      <c r="U2925" s="40" t="n">
        <f aca="false">IF(T2925="Backlog",1,IF(OR(T2925="Pipeline",T2925="Overdue"),N(INDEX(Settings!$C$27:$C$36,MATCH(L2925,Settings!$A$27:$A$36,0))),0))</f>
        <v>0</v>
      </c>
      <c r="V2925" s="38" t="n">
        <f aca="false">Q2925*U2925</f>
        <v>0</v>
      </c>
      <c r="W2925" s="41" t="str">
        <f aca="false">IF($M2925="","",IF(T2925="Overdue",IF(Settings!$B$8="Yes",Settings!$B$7,""),IF(ISNUMBER(R2925),DATE(YEAR(R2925),MONTH(R2925),1),"")))</f>
        <v/>
      </c>
      <c r="X2925" s="38" t="n">
        <f aca="false">IF(AND(OR(T2925="Backlog",T2925="Pipeline",T2925="Overdue"),ISNUMBER(W2925)),IF(W2925&lt;=Settings!$B$6,V2925,0),0)</f>
        <v>0</v>
      </c>
      <c r="Y2925" s="38" t="n">
        <f aca="false">IF(AND(OR(T2925="Backlog",T2925="Pipeline",T2925="Overdue"),ISNUMBER(W2925)),IF(W2925&lt;=Settings!$B$6,Q2925,0),0)</f>
        <v>0</v>
      </c>
      <c r="Z2925" s="38" t="n">
        <f aca="false">IF(Y2925=0,0,IF(T2925="Backlog",Q2925,Q2925*Dashboard!$C$10))</f>
        <v>0</v>
      </c>
      <c r="AA2925" s="37" t="n">
        <f aca="false">IF($N2925="",0,IF(COUNTIF(Dashboard!$C$13:$C$22,$N2925)&gt;0,1,0))</f>
        <v>0</v>
      </c>
      <c r="AB2925" s="37" t="str">
        <f aca="false">IF($N2925="","",IF(COUNTIF($N$8:$N2925,$N2925)=1,MAX($AB$7:$AB2924)+1,""))</f>
        <v/>
      </c>
    </row>
    <row r="2926" customFormat="false" ht="15" hidden="false" customHeight="false" outlineLevel="0" collapsed="false">
      <c r="L2926" s="37" t="str">
        <f aca="false">IF(INDEX($A2926:$J2926,$L$6)&lt;&gt;"",TRIM(LEFT(INDEX($A2926:$J2926,$L$6),FIND("(",INDEX($A2926:$J2926,$L$6)&amp;"(")-1)),L2925)</f>
        <v>Building Value Proposition</v>
      </c>
      <c r="M2926" s="37" t="str">
        <f aca="false">IF(INDEX($A2926:$J2926,$M$6)="","",INDEX($A2926:$J2926,$M$6)&amp;"")</f>
        <v/>
      </c>
      <c r="N2926" s="37" t="str">
        <f aca="false">IF($M2926="","",TRIM(INDEX($A2926:$J2926,$N$6)&amp;""))</f>
        <v/>
      </c>
      <c r="O2926" s="37" t="str">
        <f aca="false">IF($M2926="","",TRIM(INDEX($A2926:$J2926,$O$6)&amp;""))</f>
        <v/>
      </c>
      <c r="P2926" s="37" t="str">
        <f aca="false">IF($M2926="","",IFERROR(IF(INDEX(Settings!$B$41:$B$50,MATCH(O2926,Settings!$A$41:$A$50,0))&amp;""="","UNMAPPED",INDEX(Settings!$B$41:$B$50,MATCH(O2926,Settings!$A$41:$A$50,0))&amp;""),"UNMAPPED"))</f>
        <v/>
      </c>
      <c r="Q2926" s="38" t="n">
        <f aca="false">IF($M2926="",0,N(INDEX($A2926:$J2926,$Q$6)))</f>
        <v>0</v>
      </c>
      <c r="R2926" s="39" t="str">
        <f aca="false">IF($M2926="","",INDEX($A2926:$J2926,$R$6))</f>
        <v/>
      </c>
      <c r="S2926" s="37" t="str">
        <f aca="false">IF($M2926="","",IFERROR(INDEX(Settings!$B$27:$B$36,MATCH(L2926,Settings!$A$27:$A$36,0))&amp;"","UNMAPPED"))</f>
        <v/>
      </c>
      <c r="T2926" s="37" t="str">
        <f aca="false">IF($M2926="","",IF(NOT(ISNUMBER(R2926)),"NO DATE",IF(S2926="Won",IF(R2926&gt;Settings!$B$5,"Backlog","Delivered"),IF(S2926="Open",IF(R2926&gt;Settings!$B$5,"Pipeline","Overdue"),IF(S2926="Lost","Lost","UNMAPPED")))))</f>
        <v/>
      </c>
      <c r="U2926" s="40" t="n">
        <f aca="false">IF(T2926="Backlog",1,IF(OR(T2926="Pipeline",T2926="Overdue"),N(INDEX(Settings!$C$27:$C$36,MATCH(L2926,Settings!$A$27:$A$36,0))),0))</f>
        <v>0</v>
      </c>
      <c r="V2926" s="38" t="n">
        <f aca="false">Q2926*U2926</f>
        <v>0</v>
      </c>
      <c r="W2926" s="41" t="str">
        <f aca="false">IF($M2926="","",IF(T2926="Overdue",IF(Settings!$B$8="Yes",Settings!$B$7,""),IF(ISNUMBER(R2926),DATE(YEAR(R2926),MONTH(R2926),1),"")))</f>
        <v/>
      </c>
      <c r="X2926" s="38" t="n">
        <f aca="false">IF(AND(OR(T2926="Backlog",T2926="Pipeline",T2926="Overdue"),ISNUMBER(W2926)),IF(W2926&lt;=Settings!$B$6,V2926,0),0)</f>
        <v>0</v>
      </c>
      <c r="Y2926" s="38" t="n">
        <f aca="false">IF(AND(OR(T2926="Backlog",T2926="Pipeline",T2926="Overdue"),ISNUMBER(W2926)),IF(W2926&lt;=Settings!$B$6,Q2926,0),0)</f>
        <v>0</v>
      </c>
      <c r="Z2926" s="38" t="n">
        <f aca="false">IF(Y2926=0,0,IF(T2926="Backlog",Q2926,Q2926*Dashboard!$C$10))</f>
        <v>0</v>
      </c>
      <c r="AA2926" s="37" t="n">
        <f aca="false">IF($N2926="",0,IF(COUNTIF(Dashboard!$C$13:$C$22,$N2926)&gt;0,1,0))</f>
        <v>0</v>
      </c>
      <c r="AB2926" s="37" t="str">
        <f aca="false">IF($N2926="","",IF(COUNTIF($N$8:$N2926,$N2926)=1,MAX($AB$7:$AB2925)+1,""))</f>
        <v/>
      </c>
    </row>
    <row r="2927" customFormat="false" ht="15" hidden="false" customHeight="false" outlineLevel="0" collapsed="false">
      <c r="L2927" s="37" t="str">
        <f aca="false">IF(INDEX($A2927:$J2927,$L$6)&lt;&gt;"",TRIM(LEFT(INDEX($A2927:$J2927,$L$6),FIND("(",INDEX($A2927:$J2927,$L$6)&amp;"(")-1)),L2926)</f>
        <v>Building Value Proposition</v>
      </c>
      <c r="M2927" s="37" t="str">
        <f aca="false">IF(INDEX($A2927:$J2927,$M$6)="","",INDEX($A2927:$J2927,$M$6)&amp;"")</f>
        <v/>
      </c>
      <c r="N2927" s="37" t="str">
        <f aca="false">IF($M2927="","",TRIM(INDEX($A2927:$J2927,$N$6)&amp;""))</f>
        <v/>
      </c>
      <c r="O2927" s="37" t="str">
        <f aca="false">IF($M2927="","",TRIM(INDEX($A2927:$J2927,$O$6)&amp;""))</f>
        <v/>
      </c>
      <c r="P2927" s="37" t="str">
        <f aca="false">IF($M2927="","",IFERROR(IF(INDEX(Settings!$B$41:$B$50,MATCH(O2927,Settings!$A$41:$A$50,0))&amp;""="","UNMAPPED",INDEX(Settings!$B$41:$B$50,MATCH(O2927,Settings!$A$41:$A$50,0))&amp;""),"UNMAPPED"))</f>
        <v/>
      </c>
      <c r="Q2927" s="38" t="n">
        <f aca="false">IF($M2927="",0,N(INDEX($A2927:$J2927,$Q$6)))</f>
        <v>0</v>
      </c>
      <c r="R2927" s="39" t="str">
        <f aca="false">IF($M2927="","",INDEX($A2927:$J2927,$R$6))</f>
        <v/>
      </c>
      <c r="S2927" s="37" t="str">
        <f aca="false">IF($M2927="","",IFERROR(INDEX(Settings!$B$27:$B$36,MATCH(L2927,Settings!$A$27:$A$36,0))&amp;"","UNMAPPED"))</f>
        <v/>
      </c>
      <c r="T2927" s="37" t="str">
        <f aca="false">IF($M2927="","",IF(NOT(ISNUMBER(R2927)),"NO DATE",IF(S2927="Won",IF(R2927&gt;Settings!$B$5,"Backlog","Delivered"),IF(S2927="Open",IF(R2927&gt;Settings!$B$5,"Pipeline","Overdue"),IF(S2927="Lost","Lost","UNMAPPED")))))</f>
        <v/>
      </c>
      <c r="U2927" s="40" t="n">
        <f aca="false">IF(T2927="Backlog",1,IF(OR(T2927="Pipeline",T2927="Overdue"),N(INDEX(Settings!$C$27:$C$36,MATCH(L2927,Settings!$A$27:$A$36,0))),0))</f>
        <v>0</v>
      </c>
      <c r="V2927" s="38" t="n">
        <f aca="false">Q2927*U2927</f>
        <v>0</v>
      </c>
      <c r="W2927" s="41" t="str">
        <f aca="false">IF($M2927="","",IF(T2927="Overdue",IF(Settings!$B$8="Yes",Settings!$B$7,""),IF(ISNUMBER(R2927),DATE(YEAR(R2927),MONTH(R2927),1),"")))</f>
        <v/>
      </c>
      <c r="X2927" s="38" t="n">
        <f aca="false">IF(AND(OR(T2927="Backlog",T2927="Pipeline",T2927="Overdue"),ISNUMBER(W2927)),IF(W2927&lt;=Settings!$B$6,V2927,0),0)</f>
        <v>0</v>
      </c>
      <c r="Y2927" s="38" t="n">
        <f aca="false">IF(AND(OR(T2927="Backlog",T2927="Pipeline",T2927="Overdue"),ISNUMBER(W2927)),IF(W2927&lt;=Settings!$B$6,Q2927,0),0)</f>
        <v>0</v>
      </c>
      <c r="Z2927" s="38" t="n">
        <f aca="false">IF(Y2927=0,0,IF(T2927="Backlog",Q2927,Q2927*Dashboard!$C$10))</f>
        <v>0</v>
      </c>
      <c r="AA2927" s="37" t="n">
        <f aca="false">IF($N2927="",0,IF(COUNTIF(Dashboard!$C$13:$C$22,$N2927)&gt;0,1,0))</f>
        <v>0</v>
      </c>
      <c r="AB2927" s="37" t="str">
        <f aca="false">IF($N2927="","",IF(COUNTIF($N$8:$N2927,$N2927)=1,MAX($AB$7:$AB2926)+1,""))</f>
        <v/>
      </c>
    </row>
    <row r="2928" customFormat="false" ht="15" hidden="false" customHeight="false" outlineLevel="0" collapsed="false">
      <c r="L2928" s="37" t="str">
        <f aca="false">IF(INDEX($A2928:$J2928,$L$6)&lt;&gt;"",TRIM(LEFT(INDEX($A2928:$J2928,$L$6),FIND("(",INDEX($A2928:$J2928,$L$6)&amp;"(")-1)),L2927)</f>
        <v>Building Value Proposition</v>
      </c>
      <c r="M2928" s="37" t="str">
        <f aca="false">IF(INDEX($A2928:$J2928,$M$6)="","",INDEX($A2928:$J2928,$M$6)&amp;"")</f>
        <v/>
      </c>
      <c r="N2928" s="37" t="str">
        <f aca="false">IF($M2928="","",TRIM(INDEX($A2928:$J2928,$N$6)&amp;""))</f>
        <v/>
      </c>
      <c r="O2928" s="37" t="str">
        <f aca="false">IF($M2928="","",TRIM(INDEX($A2928:$J2928,$O$6)&amp;""))</f>
        <v/>
      </c>
      <c r="P2928" s="37" t="str">
        <f aca="false">IF($M2928="","",IFERROR(IF(INDEX(Settings!$B$41:$B$50,MATCH(O2928,Settings!$A$41:$A$50,0))&amp;""="","UNMAPPED",INDEX(Settings!$B$41:$B$50,MATCH(O2928,Settings!$A$41:$A$50,0))&amp;""),"UNMAPPED"))</f>
        <v/>
      </c>
      <c r="Q2928" s="38" t="n">
        <f aca="false">IF($M2928="",0,N(INDEX($A2928:$J2928,$Q$6)))</f>
        <v>0</v>
      </c>
      <c r="R2928" s="39" t="str">
        <f aca="false">IF($M2928="","",INDEX($A2928:$J2928,$R$6))</f>
        <v/>
      </c>
      <c r="S2928" s="37" t="str">
        <f aca="false">IF($M2928="","",IFERROR(INDEX(Settings!$B$27:$B$36,MATCH(L2928,Settings!$A$27:$A$36,0))&amp;"","UNMAPPED"))</f>
        <v/>
      </c>
      <c r="T2928" s="37" t="str">
        <f aca="false">IF($M2928="","",IF(NOT(ISNUMBER(R2928)),"NO DATE",IF(S2928="Won",IF(R2928&gt;Settings!$B$5,"Backlog","Delivered"),IF(S2928="Open",IF(R2928&gt;Settings!$B$5,"Pipeline","Overdue"),IF(S2928="Lost","Lost","UNMAPPED")))))</f>
        <v/>
      </c>
      <c r="U2928" s="40" t="n">
        <f aca="false">IF(T2928="Backlog",1,IF(OR(T2928="Pipeline",T2928="Overdue"),N(INDEX(Settings!$C$27:$C$36,MATCH(L2928,Settings!$A$27:$A$36,0))),0))</f>
        <v>0</v>
      </c>
      <c r="V2928" s="38" t="n">
        <f aca="false">Q2928*U2928</f>
        <v>0</v>
      </c>
      <c r="W2928" s="41" t="str">
        <f aca="false">IF($M2928="","",IF(T2928="Overdue",IF(Settings!$B$8="Yes",Settings!$B$7,""),IF(ISNUMBER(R2928),DATE(YEAR(R2928),MONTH(R2928),1),"")))</f>
        <v/>
      </c>
      <c r="X2928" s="38" t="n">
        <f aca="false">IF(AND(OR(T2928="Backlog",T2928="Pipeline",T2928="Overdue"),ISNUMBER(W2928)),IF(W2928&lt;=Settings!$B$6,V2928,0),0)</f>
        <v>0</v>
      </c>
      <c r="Y2928" s="38" t="n">
        <f aca="false">IF(AND(OR(T2928="Backlog",T2928="Pipeline",T2928="Overdue"),ISNUMBER(W2928)),IF(W2928&lt;=Settings!$B$6,Q2928,0),0)</f>
        <v>0</v>
      </c>
      <c r="Z2928" s="38" t="n">
        <f aca="false">IF(Y2928=0,0,IF(T2928="Backlog",Q2928,Q2928*Dashboard!$C$10))</f>
        <v>0</v>
      </c>
      <c r="AA2928" s="37" t="n">
        <f aca="false">IF($N2928="",0,IF(COUNTIF(Dashboard!$C$13:$C$22,$N2928)&gt;0,1,0))</f>
        <v>0</v>
      </c>
      <c r="AB2928" s="37" t="str">
        <f aca="false">IF($N2928="","",IF(COUNTIF($N$8:$N2928,$N2928)=1,MAX($AB$7:$AB2927)+1,""))</f>
        <v/>
      </c>
    </row>
    <row r="2929" customFormat="false" ht="15" hidden="false" customHeight="false" outlineLevel="0" collapsed="false">
      <c r="L2929" s="37" t="str">
        <f aca="false">IF(INDEX($A2929:$J2929,$L$6)&lt;&gt;"",TRIM(LEFT(INDEX($A2929:$J2929,$L$6),FIND("(",INDEX($A2929:$J2929,$L$6)&amp;"(")-1)),L2928)</f>
        <v>Building Value Proposition</v>
      </c>
      <c r="M2929" s="37" t="str">
        <f aca="false">IF(INDEX($A2929:$J2929,$M$6)="","",INDEX($A2929:$J2929,$M$6)&amp;"")</f>
        <v/>
      </c>
      <c r="N2929" s="37" t="str">
        <f aca="false">IF($M2929="","",TRIM(INDEX($A2929:$J2929,$N$6)&amp;""))</f>
        <v/>
      </c>
      <c r="O2929" s="37" t="str">
        <f aca="false">IF($M2929="","",TRIM(INDEX($A2929:$J2929,$O$6)&amp;""))</f>
        <v/>
      </c>
      <c r="P2929" s="37" t="str">
        <f aca="false">IF($M2929="","",IFERROR(IF(INDEX(Settings!$B$41:$B$50,MATCH(O2929,Settings!$A$41:$A$50,0))&amp;""="","UNMAPPED",INDEX(Settings!$B$41:$B$50,MATCH(O2929,Settings!$A$41:$A$50,0))&amp;""),"UNMAPPED"))</f>
        <v/>
      </c>
      <c r="Q2929" s="38" t="n">
        <f aca="false">IF($M2929="",0,N(INDEX($A2929:$J2929,$Q$6)))</f>
        <v>0</v>
      </c>
      <c r="R2929" s="39" t="str">
        <f aca="false">IF($M2929="","",INDEX($A2929:$J2929,$R$6))</f>
        <v/>
      </c>
      <c r="S2929" s="37" t="str">
        <f aca="false">IF($M2929="","",IFERROR(INDEX(Settings!$B$27:$B$36,MATCH(L2929,Settings!$A$27:$A$36,0))&amp;"","UNMAPPED"))</f>
        <v/>
      </c>
      <c r="T2929" s="37" t="str">
        <f aca="false">IF($M2929="","",IF(NOT(ISNUMBER(R2929)),"NO DATE",IF(S2929="Won",IF(R2929&gt;Settings!$B$5,"Backlog","Delivered"),IF(S2929="Open",IF(R2929&gt;Settings!$B$5,"Pipeline","Overdue"),IF(S2929="Lost","Lost","UNMAPPED")))))</f>
        <v/>
      </c>
      <c r="U2929" s="40" t="n">
        <f aca="false">IF(T2929="Backlog",1,IF(OR(T2929="Pipeline",T2929="Overdue"),N(INDEX(Settings!$C$27:$C$36,MATCH(L2929,Settings!$A$27:$A$36,0))),0))</f>
        <v>0</v>
      </c>
      <c r="V2929" s="38" t="n">
        <f aca="false">Q2929*U2929</f>
        <v>0</v>
      </c>
      <c r="W2929" s="41" t="str">
        <f aca="false">IF($M2929="","",IF(T2929="Overdue",IF(Settings!$B$8="Yes",Settings!$B$7,""),IF(ISNUMBER(R2929),DATE(YEAR(R2929),MONTH(R2929),1),"")))</f>
        <v/>
      </c>
      <c r="X2929" s="38" t="n">
        <f aca="false">IF(AND(OR(T2929="Backlog",T2929="Pipeline",T2929="Overdue"),ISNUMBER(W2929)),IF(W2929&lt;=Settings!$B$6,V2929,0),0)</f>
        <v>0</v>
      </c>
      <c r="Y2929" s="38" t="n">
        <f aca="false">IF(AND(OR(T2929="Backlog",T2929="Pipeline",T2929="Overdue"),ISNUMBER(W2929)),IF(W2929&lt;=Settings!$B$6,Q2929,0),0)</f>
        <v>0</v>
      </c>
      <c r="Z2929" s="38" t="n">
        <f aca="false">IF(Y2929=0,0,IF(T2929="Backlog",Q2929,Q2929*Dashboard!$C$10))</f>
        <v>0</v>
      </c>
      <c r="AA2929" s="37" t="n">
        <f aca="false">IF($N2929="",0,IF(COUNTIF(Dashboard!$C$13:$C$22,$N2929)&gt;0,1,0))</f>
        <v>0</v>
      </c>
      <c r="AB2929" s="37" t="str">
        <f aca="false">IF($N2929="","",IF(COUNTIF($N$8:$N2929,$N2929)=1,MAX($AB$7:$AB2928)+1,""))</f>
        <v/>
      </c>
    </row>
    <row r="2930" customFormat="false" ht="15" hidden="false" customHeight="false" outlineLevel="0" collapsed="false">
      <c r="L2930" s="37" t="str">
        <f aca="false">IF(INDEX($A2930:$J2930,$L$6)&lt;&gt;"",TRIM(LEFT(INDEX($A2930:$J2930,$L$6),FIND("(",INDEX($A2930:$J2930,$L$6)&amp;"(")-1)),L2929)</f>
        <v>Building Value Proposition</v>
      </c>
      <c r="M2930" s="37" t="str">
        <f aca="false">IF(INDEX($A2930:$J2930,$M$6)="","",INDEX($A2930:$J2930,$M$6)&amp;"")</f>
        <v/>
      </c>
      <c r="N2930" s="37" t="str">
        <f aca="false">IF($M2930="","",TRIM(INDEX($A2930:$J2930,$N$6)&amp;""))</f>
        <v/>
      </c>
      <c r="O2930" s="37" t="str">
        <f aca="false">IF($M2930="","",TRIM(INDEX($A2930:$J2930,$O$6)&amp;""))</f>
        <v/>
      </c>
      <c r="P2930" s="37" t="str">
        <f aca="false">IF($M2930="","",IFERROR(IF(INDEX(Settings!$B$41:$B$50,MATCH(O2930,Settings!$A$41:$A$50,0))&amp;""="","UNMAPPED",INDEX(Settings!$B$41:$B$50,MATCH(O2930,Settings!$A$41:$A$50,0))&amp;""),"UNMAPPED"))</f>
        <v/>
      </c>
      <c r="Q2930" s="38" t="n">
        <f aca="false">IF($M2930="",0,N(INDEX($A2930:$J2930,$Q$6)))</f>
        <v>0</v>
      </c>
      <c r="R2930" s="39" t="str">
        <f aca="false">IF($M2930="","",INDEX($A2930:$J2930,$R$6))</f>
        <v/>
      </c>
      <c r="S2930" s="37" t="str">
        <f aca="false">IF($M2930="","",IFERROR(INDEX(Settings!$B$27:$B$36,MATCH(L2930,Settings!$A$27:$A$36,0))&amp;"","UNMAPPED"))</f>
        <v/>
      </c>
      <c r="T2930" s="37" t="str">
        <f aca="false">IF($M2930="","",IF(NOT(ISNUMBER(R2930)),"NO DATE",IF(S2930="Won",IF(R2930&gt;Settings!$B$5,"Backlog","Delivered"),IF(S2930="Open",IF(R2930&gt;Settings!$B$5,"Pipeline","Overdue"),IF(S2930="Lost","Lost","UNMAPPED")))))</f>
        <v/>
      </c>
      <c r="U2930" s="40" t="n">
        <f aca="false">IF(T2930="Backlog",1,IF(OR(T2930="Pipeline",T2930="Overdue"),N(INDEX(Settings!$C$27:$C$36,MATCH(L2930,Settings!$A$27:$A$36,0))),0))</f>
        <v>0</v>
      </c>
      <c r="V2930" s="38" t="n">
        <f aca="false">Q2930*U2930</f>
        <v>0</v>
      </c>
      <c r="W2930" s="41" t="str">
        <f aca="false">IF($M2930="","",IF(T2930="Overdue",IF(Settings!$B$8="Yes",Settings!$B$7,""),IF(ISNUMBER(R2930),DATE(YEAR(R2930),MONTH(R2930),1),"")))</f>
        <v/>
      </c>
      <c r="X2930" s="38" t="n">
        <f aca="false">IF(AND(OR(T2930="Backlog",T2930="Pipeline",T2930="Overdue"),ISNUMBER(W2930)),IF(W2930&lt;=Settings!$B$6,V2930,0),0)</f>
        <v>0</v>
      </c>
      <c r="Y2930" s="38" t="n">
        <f aca="false">IF(AND(OR(T2930="Backlog",T2930="Pipeline",T2930="Overdue"),ISNUMBER(W2930)),IF(W2930&lt;=Settings!$B$6,Q2930,0),0)</f>
        <v>0</v>
      </c>
      <c r="Z2930" s="38" t="n">
        <f aca="false">IF(Y2930=0,0,IF(T2930="Backlog",Q2930,Q2930*Dashboard!$C$10))</f>
        <v>0</v>
      </c>
      <c r="AA2930" s="37" t="n">
        <f aca="false">IF($N2930="",0,IF(COUNTIF(Dashboard!$C$13:$C$22,$N2930)&gt;0,1,0))</f>
        <v>0</v>
      </c>
      <c r="AB2930" s="37" t="str">
        <f aca="false">IF($N2930="","",IF(COUNTIF($N$8:$N2930,$N2930)=1,MAX($AB$7:$AB2929)+1,""))</f>
        <v/>
      </c>
    </row>
    <row r="2931" customFormat="false" ht="15" hidden="false" customHeight="false" outlineLevel="0" collapsed="false">
      <c r="L2931" s="37" t="str">
        <f aca="false">IF(INDEX($A2931:$J2931,$L$6)&lt;&gt;"",TRIM(LEFT(INDEX($A2931:$J2931,$L$6),FIND("(",INDEX($A2931:$J2931,$L$6)&amp;"(")-1)),L2930)</f>
        <v>Building Value Proposition</v>
      </c>
      <c r="M2931" s="37" t="str">
        <f aca="false">IF(INDEX($A2931:$J2931,$M$6)="","",INDEX($A2931:$J2931,$M$6)&amp;"")</f>
        <v/>
      </c>
      <c r="N2931" s="37" t="str">
        <f aca="false">IF($M2931="","",TRIM(INDEX($A2931:$J2931,$N$6)&amp;""))</f>
        <v/>
      </c>
      <c r="O2931" s="37" t="str">
        <f aca="false">IF($M2931="","",TRIM(INDEX($A2931:$J2931,$O$6)&amp;""))</f>
        <v/>
      </c>
      <c r="P2931" s="37" t="str">
        <f aca="false">IF($M2931="","",IFERROR(IF(INDEX(Settings!$B$41:$B$50,MATCH(O2931,Settings!$A$41:$A$50,0))&amp;""="","UNMAPPED",INDEX(Settings!$B$41:$B$50,MATCH(O2931,Settings!$A$41:$A$50,0))&amp;""),"UNMAPPED"))</f>
        <v/>
      </c>
      <c r="Q2931" s="38" t="n">
        <f aca="false">IF($M2931="",0,N(INDEX($A2931:$J2931,$Q$6)))</f>
        <v>0</v>
      </c>
      <c r="R2931" s="39" t="str">
        <f aca="false">IF($M2931="","",INDEX($A2931:$J2931,$R$6))</f>
        <v/>
      </c>
      <c r="S2931" s="37" t="str">
        <f aca="false">IF($M2931="","",IFERROR(INDEX(Settings!$B$27:$B$36,MATCH(L2931,Settings!$A$27:$A$36,0))&amp;"","UNMAPPED"))</f>
        <v/>
      </c>
      <c r="T2931" s="37" t="str">
        <f aca="false">IF($M2931="","",IF(NOT(ISNUMBER(R2931)),"NO DATE",IF(S2931="Won",IF(R2931&gt;Settings!$B$5,"Backlog","Delivered"),IF(S2931="Open",IF(R2931&gt;Settings!$B$5,"Pipeline","Overdue"),IF(S2931="Lost","Lost","UNMAPPED")))))</f>
        <v/>
      </c>
      <c r="U2931" s="40" t="n">
        <f aca="false">IF(T2931="Backlog",1,IF(OR(T2931="Pipeline",T2931="Overdue"),N(INDEX(Settings!$C$27:$C$36,MATCH(L2931,Settings!$A$27:$A$36,0))),0))</f>
        <v>0</v>
      </c>
      <c r="V2931" s="38" t="n">
        <f aca="false">Q2931*U2931</f>
        <v>0</v>
      </c>
      <c r="W2931" s="41" t="str">
        <f aca="false">IF($M2931="","",IF(T2931="Overdue",IF(Settings!$B$8="Yes",Settings!$B$7,""),IF(ISNUMBER(R2931),DATE(YEAR(R2931),MONTH(R2931),1),"")))</f>
        <v/>
      </c>
      <c r="X2931" s="38" t="n">
        <f aca="false">IF(AND(OR(T2931="Backlog",T2931="Pipeline",T2931="Overdue"),ISNUMBER(W2931)),IF(W2931&lt;=Settings!$B$6,V2931,0),0)</f>
        <v>0</v>
      </c>
      <c r="Y2931" s="38" t="n">
        <f aca="false">IF(AND(OR(T2931="Backlog",T2931="Pipeline",T2931="Overdue"),ISNUMBER(W2931)),IF(W2931&lt;=Settings!$B$6,Q2931,0),0)</f>
        <v>0</v>
      </c>
      <c r="Z2931" s="38" t="n">
        <f aca="false">IF(Y2931=0,0,IF(T2931="Backlog",Q2931,Q2931*Dashboard!$C$10))</f>
        <v>0</v>
      </c>
      <c r="AA2931" s="37" t="n">
        <f aca="false">IF($N2931="",0,IF(COUNTIF(Dashboard!$C$13:$C$22,$N2931)&gt;0,1,0))</f>
        <v>0</v>
      </c>
      <c r="AB2931" s="37" t="str">
        <f aca="false">IF($N2931="","",IF(COUNTIF($N$8:$N2931,$N2931)=1,MAX($AB$7:$AB2930)+1,""))</f>
        <v/>
      </c>
    </row>
    <row r="2932" customFormat="false" ht="15" hidden="false" customHeight="false" outlineLevel="0" collapsed="false">
      <c r="L2932" s="37" t="str">
        <f aca="false">IF(INDEX($A2932:$J2932,$L$6)&lt;&gt;"",TRIM(LEFT(INDEX($A2932:$J2932,$L$6),FIND("(",INDEX($A2932:$J2932,$L$6)&amp;"(")-1)),L2931)</f>
        <v>Building Value Proposition</v>
      </c>
      <c r="M2932" s="37" t="str">
        <f aca="false">IF(INDEX($A2932:$J2932,$M$6)="","",INDEX($A2932:$J2932,$M$6)&amp;"")</f>
        <v/>
      </c>
      <c r="N2932" s="37" t="str">
        <f aca="false">IF($M2932="","",TRIM(INDEX($A2932:$J2932,$N$6)&amp;""))</f>
        <v/>
      </c>
      <c r="O2932" s="37" t="str">
        <f aca="false">IF($M2932="","",TRIM(INDEX($A2932:$J2932,$O$6)&amp;""))</f>
        <v/>
      </c>
      <c r="P2932" s="37" t="str">
        <f aca="false">IF($M2932="","",IFERROR(IF(INDEX(Settings!$B$41:$B$50,MATCH(O2932,Settings!$A$41:$A$50,0))&amp;""="","UNMAPPED",INDEX(Settings!$B$41:$B$50,MATCH(O2932,Settings!$A$41:$A$50,0))&amp;""),"UNMAPPED"))</f>
        <v/>
      </c>
      <c r="Q2932" s="38" t="n">
        <f aca="false">IF($M2932="",0,N(INDEX($A2932:$J2932,$Q$6)))</f>
        <v>0</v>
      </c>
      <c r="R2932" s="39" t="str">
        <f aca="false">IF($M2932="","",INDEX($A2932:$J2932,$R$6))</f>
        <v/>
      </c>
      <c r="S2932" s="37" t="str">
        <f aca="false">IF($M2932="","",IFERROR(INDEX(Settings!$B$27:$B$36,MATCH(L2932,Settings!$A$27:$A$36,0))&amp;"","UNMAPPED"))</f>
        <v/>
      </c>
      <c r="T2932" s="37" t="str">
        <f aca="false">IF($M2932="","",IF(NOT(ISNUMBER(R2932)),"NO DATE",IF(S2932="Won",IF(R2932&gt;Settings!$B$5,"Backlog","Delivered"),IF(S2932="Open",IF(R2932&gt;Settings!$B$5,"Pipeline","Overdue"),IF(S2932="Lost","Lost","UNMAPPED")))))</f>
        <v/>
      </c>
      <c r="U2932" s="40" t="n">
        <f aca="false">IF(T2932="Backlog",1,IF(OR(T2932="Pipeline",T2932="Overdue"),N(INDEX(Settings!$C$27:$C$36,MATCH(L2932,Settings!$A$27:$A$36,0))),0))</f>
        <v>0</v>
      </c>
      <c r="V2932" s="38" t="n">
        <f aca="false">Q2932*U2932</f>
        <v>0</v>
      </c>
      <c r="W2932" s="41" t="str">
        <f aca="false">IF($M2932="","",IF(T2932="Overdue",IF(Settings!$B$8="Yes",Settings!$B$7,""),IF(ISNUMBER(R2932),DATE(YEAR(R2932),MONTH(R2932),1),"")))</f>
        <v/>
      </c>
      <c r="X2932" s="38" t="n">
        <f aca="false">IF(AND(OR(T2932="Backlog",T2932="Pipeline",T2932="Overdue"),ISNUMBER(W2932)),IF(W2932&lt;=Settings!$B$6,V2932,0),0)</f>
        <v>0</v>
      </c>
      <c r="Y2932" s="38" t="n">
        <f aca="false">IF(AND(OR(T2932="Backlog",T2932="Pipeline",T2932="Overdue"),ISNUMBER(W2932)),IF(W2932&lt;=Settings!$B$6,Q2932,0),0)</f>
        <v>0</v>
      </c>
      <c r="Z2932" s="38" t="n">
        <f aca="false">IF(Y2932=0,0,IF(T2932="Backlog",Q2932,Q2932*Dashboard!$C$10))</f>
        <v>0</v>
      </c>
      <c r="AA2932" s="37" t="n">
        <f aca="false">IF($N2932="",0,IF(COUNTIF(Dashboard!$C$13:$C$22,$N2932)&gt;0,1,0))</f>
        <v>0</v>
      </c>
      <c r="AB2932" s="37" t="str">
        <f aca="false">IF($N2932="","",IF(COUNTIF($N$8:$N2932,$N2932)=1,MAX($AB$7:$AB2931)+1,""))</f>
        <v/>
      </c>
    </row>
    <row r="2933" customFormat="false" ht="15" hidden="false" customHeight="false" outlineLevel="0" collapsed="false">
      <c r="L2933" s="37" t="str">
        <f aca="false">IF(INDEX($A2933:$J2933,$L$6)&lt;&gt;"",TRIM(LEFT(INDEX($A2933:$J2933,$L$6),FIND("(",INDEX($A2933:$J2933,$L$6)&amp;"(")-1)),L2932)</f>
        <v>Building Value Proposition</v>
      </c>
      <c r="M2933" s="37" t="str">
        <f aca="false">IF(INDEX($A2933:$J2933,$M$6)="","",INDEX($A2933:$J2933,$M$6)&amp;"")</f>
        <v/>
      </c>
      <c r="N2933" s="37" t="str">
        <f aca="false">IF($M2933="","",TRIM(INDEX($A2933:$J2933,$N$6)&amp;""))</f>
        <v/>
      </c>
      <c r="O2933" s="37" t="str">
        <f aca="false">IF($M2933="","",TRIM(INDEX($A2933:$J2933,$O$6)&amp;""))</f>
        <v/>
      </c>
      <c r="P2933" s="37" t="str">
        <f aca="false">IF($M2933="","",IFERROR(IF(INDEX(Settings!$B$41:$B$50,MATCH(O2933,Settings!$A$41:$A$50,0))&amp;""="","UNMAPPED",INDEX(Settings!$B$41:$B$50,MATCH(O2933,Settings!$A$41:$A$50,0))&amp;""),"UNMAPPED"))</f>
        <v/>
      </c>
      <c r="Q2933" s="38" t="n">
        <f aca="false">IF($M2933="",0,N(INDEX($A2933:$J2933,$Q$6)))</f>
        <v>0</v>
      </c>
      <c r="R2933" s="39" t="str">
        <f aca="false">IF($M2933="","",INDEX($A2933:$J2933,$R$6))</f>
        <v/>
      </c>
      <c r="S2933" s="37" t="str">
        <f aca="false">IF($M2933="","",IFERROR(INDEX(Settings!$B$27:$B$36,MATCH(L2933,Settings!$A$27:$A$36,0))&amp;"","UNMAPPED"))</f>
        <v/>
      </c>
      <c r="T2933" s="37" t="str">
        <f aca="false">IF($M2933="","",IF(NOT(ISNUMBER(R2933)),"NO DATE",IF(S2933="Won",IF(R2933&gt;Settings!$B$5,"Backlog","Delivered"),IF(S2933="Open",IF(R2933&gt;Settings!$B$5,"Pipeline","Overdue"),IF(S2933="Lost","Lost","UNMAPPED")))))</f>
        <v/>
      </c>
      <c r="U2933" s="40" t="n">
        <f aca="false">IF(T2933="Backlog",1,IF(OR(T2933="Pipeline",T2933="Overdue"),N(INDEX(Settings!$C$27:$C$36,MATCH(L2933,Settings!$A$27:$A$36,0))),0))</f>
        <v>0</v>
      </c>
      <c r="V2933" s="38" t="n">
        <f aca="false">Q2933*U2933</f>
        <v>0</v>
      </c>
      <c r="W2933" s="41" t="str">
        <f aca="false">IF($M2933="","",IF(T2933="Overdue",IF(Settings!$B$8="Yes",Settings!$B$7,""),IF(ISNUMBER(R2933),DATE(YEAR(R2933),MONTH(R2933),1),"")))</f>
        <v/>
      </c>
      <c r="X2933" s="38" t="n">
        <f aca="false">IF(AND(OR(T2933="Backlog",T2933="Pipeline",T2933="Overdue"),ISNUMBER(W2933)),IF(W2933&lt;=Settings!$B$6,V2933,0),0)</f>
        <v>0</v>
      </c>
      <c r="Y2933" s="38" t="n">
        <f aca="false">IF(AND(OR(T2933="Backlog",T2933="Pipeline",T2933="Overdue"),ISNUMBER(W2933)),IF(W2933&lt;=Settings!$B$6,Q2933,0),0)</f>
        <v>0</v>
      </c>
      <c r="Z2933" s="38" t="n">
        <f aca="false">IF(Y2933=0,0,IF(T2933="Backlog",Q2933,Q2933*Dashboard!$C$10))</f>
        <v>0</v>
      </c>
      <c r="AA2933" s="37" t="n">
        <f aca="false">IF($N2933="",0,IF(COUNTIF(Dashboard!$C$13:$C$22,$N2933)&gt;0,1,0))</f>
        <v>0</v>
      </c>
      <c r="AB2933" s="37" t="str">
        <f aca="false">IF($N2933="","",IF(COUNTIF($N$8:$N2933,$N2933)=1,MAX($AB$7:$AB2932)+1,""))</f>
        <v/>
      </c>
    </row>
    <row r="2934" customFormat="false" ht="15" hidden="false" customHeight="false" outlineLevel="0" collapsed="false">
      <c r="L2934" s="37" t="str">
        <f aca="false">IF(INDEX($A2934:$J2934,$L$6)&lt;&gt;"",TRIM(LEFT(INDEX($A2934:$J2934,$L$6),FIND("(",INDEX($A2934:$J2934,$L$6)&amp;"(")-1)),L2933)</f>
        <v>Building Value Proposition</v>
      </c>
      <c r="M2934" s="37" t="str">
        <f aca="false">IF(INDEX($A2934:$J2934,$M$6)="","",INDEX($A2934:$J2934,$M$6)&amp;"")</f>
        <v/>
      </c>
      <c r="N2934" s="37" t="str">
        <f aca="false">IF($M2934="","",TRIM(INDEX($A2934:$J2934,$N$6)&amp;""))</f>
        <v/>
      </c>
      <c r="O2934" s="37" t="str">
        <f aca="false">IF($M2934="","",TRIM(INDEX($A2934:$J2934,$O$6)&amp;""))</f>
        <v/>
      </c>
      <c r="P2934" s="37" t="str">
        <f aca="false">IF($M2934="","",IFERROR(IF(INDEX(Settings!$B$41:$B$50,MATCH(O2934,Settings!$A$41:$A$50,0))&amp;""="","UNMAPPED",INDEX(Settings!$B$41:$B$50,MATCH(O2934,Settings!$A$41:$A$50,0))&amp;""),"UNMAPPED"))</f>
        <v/>
      </c>
      <c r="Q2934" s="38" t="n">
        <f aca="false">IF($M2934="",0,N(INDEX($A2934:$J2934,$Q$6)))</f>
        <v>0</v>
      </c>
      <c r="R2934" s="39" t="str">
        <f aca="false">IF($M2934="","",INDEX($A2934:$J2934,$R$6))</f>
        <v/>
      </c>
      <c r="S2934" s="37" t="str">
        <f aca="false">IF($M2934="","",IFERROR(INDEX(Settings!$B$27:$B$36,MATCH(L2934,Settings!$A$27:$A$36,0))&amp;"","UNMAPPED"))</f>
        <v/>
      </c>
      <c r="T2934" s="37" t="str">
        <f aca="false">IF($M2934="","",IF(NOT(ISNUMBER(R2934)),"NO DATE",IF(S2934="Won",IF(R2934&gt;Settings!$B$5,"Backlog","Delivered"),IF(S2934="Open",IF(R2934&gt;Settings!$B$5,"Pipeline","Overdue"),IF(S2934="Lost","Lost","UNMAPPED")))))</f>
        <v/>
      </c>
      <c r="U2934" s="40" t="n">
        <f aca="false">IF(T2934="Backlog",1,IF(OR(T2934="Pipeline",T2934="Overdue"),N(INDEX(Settings!$C$27:$C$36,MATCH(L2934,Settings!$A$27:$A$36,0))),0))</f>
        <v>0</v>
      </c>
      <c r="V2934" s="38" t="n">
        <f aca="false">Q2934*U2934</f>
        <v>0</v>
      </c>
      <c r="W2934" s="41" t="str">
        <f aca="false">IF($M2934="","",IF(T2934="Overdue",IF(Settings!$B$8="Yes",Settings!$B$7,""),IF(ISNUMBER(R2934),DATE(YEAR(R2934),MONTH(R2934),1),"")))</f>
        <v/>
      </c>
      <c r="X2934" s="38" t="n">
        <f aca="false">IF(AND(OR(T2934="Backlog",T2934="Pipeline",T2934="Overdue"),ISNUMBER(W2934)),IF(W2934&lt;=Settings!$B$6,V2934,0),0)</f>
        <v>0</v>
      </c>
      <c r="Y2934" s="38" t="n">
        <f aca="false">IF(AND(OR(T2934="Backlog",T2934="Pipeline",T2934="Overdue"),ISNUMBER(W2934)),IF(W2934&lt;=Settings!$B$6,Q2934,0),0)</f>
        <v>0</v>
      </c>
      <c r="Z2934" s="38" t="n">
        <f aca="false">IF(Y2934=0,0,IF(T2934="Backlog",Q2934,Q2934*Dashboard!$C$10))</f>
        <v>0</v>
      </c>
      <c r="AA2934" s="37" t="n">
        <f aca="false">IF($N2934="",0,IF(COUNTIF(Dashboard!$C$13:$C$22,$N2934)&gt;0,1,0))</f>
        <v>0</v>
      </c>
      <c r="AB2934" s="37" t="str">
        <f aca="false">IF($N2934="","",IF(COUNTIF($N$8:$N2934,$N2934)=1,MAX($AB$7:$AB2933)+1,""))</f>
        <v/>
      </c>
    </row>
    <row r="2935" customFormat="false" ht="15" hidden="false" customHeight="false" outlineLevel="0" collapsed="false">
      <c r="L2935" s="37" t="str">
        <f aca="false">IF(INDEX($A2935:$J2935,$L$6)&lt;&gt;"",TRIM(LEFT(INDEX($A2935:$J2935,$L$6),FIND("(",INDEX($A2935:$J2935,$L$6)&amp;"(")-1)),L2934)</f>
        <v>Building Value Proposition</v>
      </c>
      <c r="M2935" s="37" t="str">
        <f aca="false">IF(INDEX($A2935:$J2935,$M$6)="","",INDEX($A2935:$J2935,$M$6)&amp;"")</f>
        <v/>
      </c>
      <c r="N2935" s="37" t="str">
        <f aca="false">IF($M2935="","",TRIM(INDEX($A2935:$J2935,$N$6)&amp;""))</f>
        <v/>
      </c>
      <c r="O2935" s="37" t="str">
        <f aca="false">IF($M2935="","",TRIM(INDEX($A2935:$J2935,$O$6)&amp;""))</f>
        <v/>
      </c>
      <c r="P2935" s="37" t="str">
        <f aca="false">IF($M2935="","",IFERROR(IF(INDEX(Settings!$B$41:$B$50,MATCH(O2935,Settings!$A$41:$A$50,0))&amp;""="","UNMAPPED",INDEX(Settings!$B$41:$B$50,MATCH(O2935,Settings!$A$41:$A$50,0))&amp;""),"UNMAPPED"))</f>
        <v/>
      </c>
      <c r="Q2935" s="38" t="n">
        <f aca="false">IF($M2935="",0,N(INDEX($A2935:$J2935,$Q$6)))</f>
        <v>0</v>
      </c>
      <c r="R2935" s="39" t="str">
        <f aca="false">IF($M2935="","",INDEX($A2935:$J2935,$R$6))</f>
        <v/>
      </c>
      <c r="S2935" s="37" t="str">
        <f aca="false">IF($M2935="","",IFERROR(INDEX(Settings!$B$27:$B$36,MATCH(L2935,Settings!$A$27:$A$36,0))&amp;"","UNMAPPED"))</f>
        <v/>
      </c>
      <c r="T2935" s="37" t="str">
        <f aca="false">IF($M2935="","",IF(NOT(ISNUMBER(R2935)),"NO DATE",IF(S2935="Won",IF(R2935&gt;Settings!$B$5,"Backlog","Delivered"),IF(S2935="Open",IF(R2935&gt;Settings!$B$5,"Pipeline","Overdue"),IF(S2935="Lost","Lost","UNMAPPED")))))</f>
        <v/>
      </c>
      <c r="U2935" s="40" t="n">
        <f aca="false">IF(T2935="Backlog",1,IF(OR(T2935="Pipeline",T2935="Overdue"),N(INDEX(Settings!$C$27:$C$36,MATCH(L2935,Settings!$A$27:$A$36,0))),0))</f>
        <v>0</v>
      </c>
      <c r="V2935" s="38" t="n">
        <f aca="false">Q2935*U2935</f>
        <v>0</v>
      </c>
      <c r="W2935" s="41" t="str">
        <f aca="false">IF($M2935="","",IF(T2935="Overdue",IF(Settings!$B$8="Yes",Settings!$B$7,""),IF(ISNUMBER(R2935),DATE(YEAR(R2935),MONTH(R2935),1),"")))</f>
        <v/>
      </c>
      <c r="X2935" s="38" t="n">
        <f aca="false">IF(AND(OR(T2935="Backlog",T2935="Pipeline",T2935="Overdue"),ISNUMBER(W2935)),IF(W2935&lt;=Settings!$B$6,V2935,0),0)</f>
        <v>0</v>
      </c>
      <c r="Y2935" s="38" t="n">
        <f aca="false">IF(AND(OR(T2935="Backlog",T2935="Pipeline",T2935="Overdue"),ISNUMBER(W2935)),IF(W2935&lt;=Settings!$B$6,Q2935,0),0)</f>
        <v>0</v>
      </c>
      <c r="Z2935" s="38" t="n">
        <f aca="false">IF(Y2935=0,0,IF(T2935="Backlog",Q2935,Q2935*Dashboard!$C$10))</f>
        <v>0</v>
      </c>
      <c r="AA2935" s="37" t="n">
        <f aca="false">IF($N2935="",0,IF(COUNTIF(Dashboard!$C$13:$C$22,$N2935)&gt;0,1,0))</f>
        <v>0</v>
      </c>
      <c r="AB2935" s="37" t="str">
        <f aca="false">IF($N2935="","",IF(COUNTIF($N$8:$N2935,$N2935)=1,MAX($AB$7:$AB2934)+1,""))</f>
        <v/>
      </c>
    </row>
    <row r="2936" customFormat="false" ht="15" hidden="false" customHeight="false" outlineLevel="0" collapsed="false">
      <c r="L2936" s="37" t="str">
        <f aca="false">IF(INDEX($A2936:$J2936,$L$6)&lt;&gt;"",TRIM(LEFT(INDEX($A2936:$J2936,$L$6),FIND("(",INDEX($A2936:$J2936,$L$6)&amp;"(")-1)),L2935)</f>
        <v>Building Value Proposition</v>
      </c>
      <c r="M2936" s="37" t="str">
        <f aca="false">IF(INDEX($A2936:$J2936,$M$6)="","",INDEX($A2936:$J2936,$M$6)&amp;"")</f>
        <v/>
      </c>
      <c r="N2936" s="37" t="str">
        <f aca="false">IF($M2936="","",TRIM(INDEX($A2936:$J2936,$N$6)&amp;""))</f>
        <v/>
      </c>
      <c r="O2936" s="37" t="str">
        <f aca="false">IF($M2936="","",TRIM(INDEX($A2936:$J2936,$O$6)&amp;""))</f>
        <v/>
      </c>
      <c r="P2936" s="37" t="str">
        <f aca="false">IF($M2936="","",IFERROR(IF(INDEX(Settings!$B$41:$B$50,MATCH(O2936,Settings!$A$41:$A$50,0))&amp;""="","UNMAPPED",INDEX(Settings!$B$41:$B$50,MATCH(O2936,Settings!$A$41:$A$50,0))&amp;""),"UNMAPPED"))</f>
        <v/>
      </c>
      <c r="Q2936" s="38" t="n">
        <f aca="false">IF($M2936="",0,N(INDEX($A2936:$J2936,$Q$6)))</f>
        <v>0</v>
      </c>
      <c r="R2936" s="39" t="str">
        <f aca="false">IF($M2936="","",INDEX($A2936:$J2936,$R$6))</f>
        <v/>
      </c>
      <c r="S2936" s="37" t="str">
        <f aca="false">IF($M2936="","",IFERROR(INDEX(Settings!$B$27:$B$36,MATCH(L2936,Settings!$A$27:$A$36,0))&amp;"","UNMAPPED"))</f>
        <v/>
      </c>
      <c r="T2936" s="37" t="str">
        <f aca="false">IF($M2936="","",IF(NOT(ISNUMBER(R2936)),"NO DATE",IF(S2936="Won",IF(R2936&gt;Settings!$B$5,"Backlog","Delivered"),IF(S2936="Open",IF(R2936&gt;Settings!$B$5,"Pipeline","Overdue"),IF(S2936="Lost","Lost","UNMAPPED")))))</f>
        <v/>
      </c>
      <c r="U2936" s="40" t="n">
        <f aca="false">IF(T2936="Backlog",1,IF(OR(T2936="Pipeline",T2936="Overdue"),N(INDEX(Settings!$C$27:$C$36,MATCH(L2936,Settings!$A$27:$A$36,0))),0))</f>
        <v>0</v>
      </c>
      <c r="V2936" s="38" t="n">
        <f aca="false">Q2936*U2936</f>
        <v>0</v>
      </c>
      <c r="W2936" s="41" t="str">
        <f aca="false">IF($M2936="","",IF(T2936="Overdue",IF(Settings!$B$8="Yes",Settings!$B$7,""),IF(ISNUMBER(R2936),DATE(YEAR(R2936),MONTH(R2936),1),"")))</f>
        <v/>
      </c>
      <c r="X2936" s="38" t="n">
        <f aca="false">IF(AND(OR(T2936="Backlog",T2936="Pipeline",T2936="Overdue"),ISNUMBER(W2936)),IF(W2936&lt;=Settings!$B$6,V2936,0),0)</f>
        <v>0</v>
      </c>
      <c r="Y2936" s="38" t="n">
        <f aca="false">IF(AND(OR(T2936="Backlog",T2936="Pipeline",T2936="Overdue"),ISNUMBER(W2936)),IF(W2936&lt;=Settings!$B$6,Q2936,0),0)</f>
        <v>0</v>
      </c>
      <c r="Z2936" s="38" t="n">
        <f aca="false">IF(Y2936=0,0,IF(T2936="Backlog",Q2936,Q2936*Dashboard!$C$10))</f>
        <v>0</v>
      </c>
      <c r="AA2936" s="37" t="n">
        <f aca="false">IF($N2936="",0,IF(COUNTIF(Dashboard!$C$13:$C$22,$N2936)&gt;0,1,0))</f>
        <v>0</v>
      </c>
      <c r="AB2936" s="37" t="str">
        <f aca="false">IF($N2936="","",IF(COUNTIF($N$8:$N2936,$N2936)=1,MAX($AB$7:$AB2935)+1,""))</f>
        <v/>
      </c>
    </row>
    <row r="2937" customFormat="false" ht="15" hidden="false" customHeight="false" outlineLevel="0" collapsed="false">
      <c r="L2937" s="37" t="str">
        <f aca="false">IF(INDEX($A2937:$J2937,$L$6)&lt;&gt;"",TRIM(LEFT(INDEX($A2937:$J2937,$L$6),FIND("(",INDEX($A2937:$J2937,$L$6)&amp;"(")-1)),L2936)</f>
        <v>Building Value Proposition</v>
      </c>
      <c r="M2937" s="37" t="str">
        <f aca="false">IF(INDEX($A2937:$J2937,$M$6)="","",INDEX($A2937:$J2937,$M$6)&amp;"")</f>
        <v/>
      </c>
      <c r="N2937" s="37" t="str">
        <f aca="false">IF($M2937="","",TRIM(INDEX($A2937:$J2937,$N$6)&amp;""))</f>
        <v/>
      </c>
      <c r="O2937" s="37" t="str">
        <f aca="false">IF($M2937="","",TRIM(INDEX($A2937:$J2937,$O$6)&amp;""))</f>
        <v/>
      </c>
      <c r="P2937" s="37" t="str">
        <f aca="false">IF($M2937="","",IFERROR(IF(INDEX(Settings!$B$41:$B$50,MATCH(O2937,Settings!$A$41:$A$50,0))&amp;""="","UNMAPPED",INDEX(Settings!$B$41:$B$50,MATCH(O2937,Settings!$A$41:$A$50,0))&amp;""),"UNMAPPED"))</f>
        <v/>
      </c>
      <c r="Q2937" s="38" t="n">
        <f aca="false">IF($M2937="",0,N(INDEX($A2937:$J2937,$Q$6)))</f>
        <v>0</v>
      </c>
      <c r="R2937" s="39" t="str">
        <f aca="false">IF($M2937="","",INDEX($A2937:$J2937,$R$6))</f>
        <v/>
      </c>
      <c r="S2937" s="37" t="str">
        <f aca="false">IF($M2937="","",IFERROR(INDEX(Settings!$B$27:$B$36,MATCH(L2937,Settings!$A$27:$A$36,0))&amp;"","UNMAPPED"))</f>
        <v/>
      </c>
      <c r="T2937" s="37" t="str">
        <f aca="false">IF($M2937="","",IF(NOT(ISNUMBER(R2937)),"NO DATE",IF(S2937="Won",IF(R2937&gt;Settings!$B$5,"Backlog","Delivered"),IF(S2937="Open",IF(R2937&gt;Settings!$B$5,"Pipeline","Overdue"),IF(S2937="Lost","Lost","UNMAPPED")))))</f>
        <v/>
      </c>
      <c r="U2937" s="40" t="n">
        <f aca="false">IF(T2937="Backlog",1,IF(OR(T2937="Pipeline",T2937="Overdue"),N(INDEX(Settings!$C$27:$C$36,MATCH(L2937,Settings!$A$27:$A$36,0))),0))</f>
        <v>0</v>
      </c>
      <c r="V2937" s="38" t="n">
        <f aca="false">Q2937*U2937</f>
        <v>0</v>
      </c>
      <c r="W2937" s="41" t="str">
        <f aca="false">IF($M2937="","",IF(T2937="Overdue",IF(Settings!$B$8="Yes",Settings!$B$7,""),IF(ISNUMBER(R2937),DATE(YEAR(R2937),MONTH(R2937),1),"")))</f>
        <v/>
      </c>
      <c r="X2937" s="38" t="n">
        <f aca="false">IF(AND(OR(T2937="Backlog",T2937="Pipeline",T2937="Overdue"),ISNUMBER(W2937)),IF(W2937&lt;=Settings!$B$6,V2937,0),0)</f>
        <v>0</v>
      </c>
      <c r="Y2937" s="38" t="n">
        <f aca="false">IF(AND(OR(T2937="Backlog",T2937="Pipeline",T2937="Overdue"),ISNUMBER(W2937)),IF(W2937&lt;=Settings!$B$6,Q2937,0),0)</f>
        <v>0</v>
      </c>
      <c r="Z2937" s="38" t="n">
        <f aca="false">IF(Y2937=0,0,IF(T2937="Backlog",Q2937,Q2937*Dashboard!$C$10))</f>
        <v>0</v>
      </c>
      <c r="AA2937" s="37" t="n">
        <f aca="false">IF($N2937="",0,IF(COUNTIF(Dashboard!$C$13:$C$22,$N2937)&gt;0,1,0))</f>
        <v>0</v>
      </c>
      <c r="AB2937" s="37" t="str">
        <f aca="false">IF($N2937="","",IF(COUNTIF($N$8:$N2937,$N2937)=1,MAX($AB$7:$AB2936)+1,""))</f>
        <v/>
      </c>
    </row>
    <row r="2938" customFormat="false" ht="15" hidden="false" customHeight="false" outlineLevel="0" collapsed="false">
      <c r="L2938" s="37" t="str">
        <f aca="false">IF(INDEX($A2938:$J2938,$L$6)&lt;&gt;"",TRIM(LEFT(INDEX($A2938:$J2938,$L$6),FIND("(",INDEX($A2938:$J2938,$L$6)&amp;"(")-1)),L2937)</f>
        <v>Building Value Proposition</v>
      </c>
      <c r="M2938" s="37" t="str">
        <f aca="false">IF(INDEX($A2938:$J2938,$M$6)="","",INDEX($A2938:$J2938,$M$6)&amp;"")</f>
        <v/>
      </c>
      <c r="N2938" s="37" t="str">
        <f aca="false">IF($M2938="","",TRIM(INDEX($A2938:$J2938,$N$6)&amp;""))</f>
        <v/>
      </c>
      <c r="O2938" s="37" t="str">
        <f aca="false">IF($M2938="","",TRIM(INDEX($A2938:$J2938,$O$6)&amp;""))</f>
        <v/>
      </c>
      <c r="P2938" s="37" t="str">
        <f aca="false">IF($M2938="","",IFERROR(IF(INDEX(Settings!$B$41:$B$50,MATCH(O2938,Settings!$A$41:$A$50,0))&amp;""="","UNMAPPED",INDEX(Settings!$B$41:$B$50,MATCH(O2938,Settings!$A$41:$A$50,0))&amp;""),"UNMAPPED"))</f>
        <v/>
      </c>
      <c r="Q2938" s="38" t="n">
        <f aca="false">IF($M2938="",0,N(INDEX($A2938:$J2938,$Q$6)))</f>
        <v>0</v>
      </c>
      <c r="R2938" s="39" t="str">
        <f aca="false">IF($M2938="","",INDEX($A2938:$J2938,$R$6))</f>
        <v/>
      </c>
      <c r="S2938" s="37" t="str">
        <f aca="false">IF($M2938="","",IFERROR(INDEX(Settings!$B$27:$B$36,MATCH(L2938,Settings!$A$27:$A$36,0))&amp;"","UNMAPPED"))</f>
        <v/>
      </c>
      <c r="T2938" s="37" t="str">
        <f aca="false">IF($M2938="","",IF(NOT(ISNUMBER(R2938)),"NO DATE",IF(S2938="Won",IF(R2938&gt;Settings!$B$5,"Backlog","Delivered"),IF(S2938="Open",IF(R2938&gt;Settings!$B$5,"Pipeline","Overdue"),IF(S2938="Lost","Lost","UNMAPPED")))))</f>
        <v/>
      </c>
      <c r="U2938" s="40" t="n">
        <f aca="false">IF(T2938="Backlog",1,IF(OR(T2938="Pipeline",T2938="Overdue"),N(INDEX(Settings!$C$27:$C$36,MATCH(L2938,Settings!$A$27:$A$36,0))),0))</f>
        <v>0</v>
      </c>
      <c r="V2938" s="38" t="n">
        <f aca="false">Q2938*U2938</f>
        <v>0</v>
      </c>
      <c r="W2938" s="41" t="str">
        <f aca="false">IF($M2938="","",IF(T2938="Overdue",IF(Settings!$B$8="Yes",Settings!$B$7,""),IF(ISNUMBER(R2938),DATE(YEAR(R2938),MONTH(R2938),1),"")))</f>
        <v/>
      </c>
      <c r="X2938" s="38" t="n">
        <f aca="false">IF(AND(OR(T2938="Backlog",T2938="Pipeline",T2938="Overdue"),ISNUMBER(W2938)),IF(W2938&lt;=Settings!$B$6,V2938,0),0)</f>
        <v>0</v>
      </c>
      <c r="Y2938" s="38" t="n">
        <f aca="false">IF(AND(OR(T2938="Backlog",T2938="Pipeline",T2938="Overdue"),ISNUMBER(W2938)),IF(W2938&lt;=Settings!$B$6,Q2938,0),0)</f>
        <v>0</v>
      </c>
      <c r="Z2938" s="38" t="n">
        <f aca="false">IF(Y2938=0,0,IF(T2938="Backlog",Q2938,Q2938*Dashboard!$C$10))</f>
        <v>0</v>
      </c>
      <c r="AA2938" s="37" t="n">
        <f aca="false">IF($N2938="",0,IF(COUNTIF(Dashboard!$C$13:$C$22,$N2938)&gt;0,1,0))</f>
        <v>0</v>
      </c>
      <c r="AB2938" s="37" t="str">
        <f aca="false">IF($N2938="","",IF(COUNTIF($N$8:$N2938,$N2938)=1,MAX($AB$7:$AB2937)+1,""))</f>
        <v/>
      </c>
    </row>
    <row r="2939" customFormat="false" ht="15" hidden="false" customHeight="false" outlineLevel="0" collapsed="false">
      <c r="L2939" s="37" t="str">
        <f aca="false">IF(INDEX($A2939:$J2939,$L$6)&lt;&gt;"",TRIM(LEFT(INDEX($A2939:$J2939,$L$6),FIND("(",INDEX($A2939:$J2939,$L$6)&amp;"(")-1)),L2938)</f>
        <v>Building Value Proposition</v>
      </c>
      <c r="M2939" s="37" t="str">
        <f aca="false">IF(INDEX($A2939:$J2939,$M$6)="","",INDEX($A2939:$J2939,$M$6)&amp;"")</f>
        <v/>
      </c>
      <c r="N2939" s="37" t="str">
        <f aca="false">IF($M2939="","",TRIM(INDEX($A2939:$J2939,$N$6)&amp;""))</f>
        <v/>
      </c>
      <c r="O2939" s="37" t="str">
        <f aca="false">IF($M2939="","",TRIM(INDEX($A2939:$J2939,$O$6)&amp;""))</f>
        <v/>
      </c>
      <c r="P2939" s="37" t="str">
        <f aca="false">IF($M2939="","",IFERROR(IF(INDEX(Settings!$B$41:$B$50,MATCH(O2939,Settings!$A$41:$A$50,0))&amp;""="","UNMAPPED",INDEX(Settings!$B$41:$B$50,MATCH(O2939,Settings!$A$41:$A$50,0))&amp;""),"UNMAPPED"))</f>
        <v/>
      </c>
      <c r="Q2939" s="38" t="n">
        <f aca="false">IF($M2939="",0,N(INDEX($A2939:$J2939,$Q$6)))</f>
        <v>0</v>
      </c>
      <c r="R2939" s="39" t="str">
        <f aca="false">IF($M2939="","",INDEX($A2939:$J2939,$R$6))</f>
        <v/>
      </c>
      <c r="S2939" s="37" t="str">
        <f aca="false">IF($M2939="","",IFERROR(INDEX(Settings!$B$27:$B$36,MATCH(L2939,Settings!$A$27:$A$36,0))&amp;"","UNMAPPED"))</f>
        <v/>
      </c>
      <c r="T2939" s="37" t="str">
        <f aca="false">IF($M2939="","",IF(NOT(ISNUMBER(R2939)),"NO DATE",IF(S2939="Won",IF(R2939&gt;Settings!$B$5,"Backlog","Delivered"),IF(S2939="Open",IF(R2939&gt;Settings!$B$5,"Pipeline","Overdue"),IF(S2939="Lost","Lost","UNMAPPED")))))</f>
        <v/>
      </c>
      <c r="U2939" s="40" t="n">
        <f aca="false">IF(T2939="Backlog",1,IF(OR(T2939="Pipeline",T2939="Overdue"),N(INDEX(Settings!$C$27:$C$36,MATCH(L2939,Settings!$A$27:$A$36,0))),0))</f>
        <v>0</v>
      </c>
      <c r="V2939" s="38" t="n">
        <f aca="false">Q2939*U2939</f>
        <v>0</v>
      </c>
      <c r="W2939" s="41" t="str">
        <f aca="false">IF($M2939="","",IF(T2939="Overdue",IF(Settings!$B$8="Yes",Settings!$B$7,""),IF(ISNUMBER(R2939),DATE(YEAR(R2939),MONTH(R2939),1),"")))</f>
        <v/>
      </c>
      <c r="X2939" s="38" t="n">
        <f aca="false">IF(AND(OR(T2939="Backlog",T2939="Pipeline",T2939="Overdue"),ISNUMBER(W2939)),IF(W2939&lt;=Settings!$B$6,V2939,0),0)</f>
        <v>0</v>
      </c>
      <c r="Y2939" s="38" t="n">
        <f aca="false">IF(AND(OR(T2939="Backlog",T2939="Pipeline",T2939="Overdue"),ISNUMBER(W2939)),IF(W2939&lt;=Settings!$B$6,Q2939,0),0)</f>
        <v>0</v>
      </c>
      <c r="Z2939" s="38" t="n">
        <f aca="false">IF(Y2939=0,0,IF(T2939="Backlog",Q2939,Q2939*Dashboard!$C$10))</f>
        <v>0</v>
      </c>
      <c r="AA2939" s="37" t="n">
        <f aca="false">IF($N2939="",0,IF(COUNTIF(Dashboard!$C$13:$C$22,$N2939)&gt;0,1,0))</f>
        <v>0</v>
      </c>
      <c r="AB2939" s="37" t="str">
        <f aca="false">IF($N2939="","",IF(COUNTIF($N$8:$N2939,$N2939)=1,MAX($AB$7:$AB2938)+1,""))</f>
        <v/>
      </c>
    </row>
    <row r="2940" customFormat="false" ht="15" hidden="false" customHeight="false" outlineLevel="0" collapsed="false">
      <c r="L2940" s="37" t="str">
        <f aca="false">IF(INDEX($A2940:$J2940,$L$6)&lt;&gt;"",TRIM(LEFT(INDEX($A2940:$J2940,$L$6),FIND("(",INDEX($A2940:$J2940,$L$6)&amp;"(")-1)),L2939)</f>
        <v>Building Value Proposition</v>
      </c>
      <c r="M2940" s="37" t="str">
        <f aca="false">IF(INDEX($A2940:$J2940,$M$6)="","",INDEX($A2940:$J2940,$M$6)&amp;"")</f>
        <v/>
      </c>
      <c r="N2940" s="37" t="str">
        <f aca="false">IF($M2940="","",TRIM(INDEX($A2940:$J2940,$N$6)&amp;""))</f>
        <v/>
      </c>
      <c r="O2940" s="37" t="str">
        <f aca="false">IF($M2940="","",TRIM(INDEX($A2940:$J2940,$O$6)&amp;""))</f>
        <v/>
      </c>
      <c r="P2940" s="37" t="str">
        <f aca="false">IF($M2940="","",IFERROR(IF(INDEX(Settings!$B$41:$B$50,MATCH(O2940,Settings!$A$41:$A$50,0))&amp;""="","UNMAPPED",INDEX(Settings!$B$41:$B$50,MATCH(O2940,Settings!$A$41:$A$50,0))&amp;""),"UNMAPPED"))</f>
        <v/>
      </c>
      <c r="Q2940" s="38" t="n">
        <f aca="false">IF($M2940="",0,N(INDEX($A2940:$J2940,$Q$6)))</f>
        <v>0</v>
      </c>
      <c r="R2940" s="39" t="str">
        <f aca="false">IF($M2940="","",INDEX($A2940:$J2940,$R$6))</f>
        <v/>
      </c>
      <c r="S2940" s="37" t="str">
        <f aca="false">IF($M2940="","",IFERROR(INDEX(Settings!$B$27:$B$36,MATCH(L2940,Settings!$A$27:$A$36,0))&amp;"","UNMAPPED"))</f>
        <v/>
      </c>
      <c r="T2940" s="37" t="str">
        <f aca="false">IF($M2940="","",IF(NOT(ISNUMBER(R2940)),"NO DATE",IF(S2940="Won",IF(R2940&gt;Settings!$B$5,"Backlog","Delivered"),IF(S2940="Open",IF(R2940&gt;Settings!$B$5,"Pipeline","Overdue"),IF(S2940="Lost","Lost","UNMAPPED")))))</f>
        <v/>
      </c>
      <c r="U2940" s="40" t="n">
        <f aca="false">IF(T2940="Backlog",1,IF(OR(T2940="Pipeline",T2940="Overdue"),N(INDEX(Settings!$C$27:$C$36,MATCH(L2940,Settings!$A$27:$A$36,0))),0))</f>
        <v>0</v>
      </c>
      <c r="V2940" s="38" t="n">
        <f aca="false">Q2940*U2940</f>
        <v>0</v>
      </c>
      <c r="W2940" s="41" t="str">
        <f aca="false">IF($M2940="","",IF(T2940="Overdue",IF(Settings!$B$8="Yes",Settings!$B$7,""),IF(ISNUMBER(R2940),DATE(YEAR(R2940),MONTH(R2940),1),"")))</f>
        <v/>
      </c>
      <c r="X2940" s="38" t="n">
        <f aca="false">IF(AND(OR(T2940="Backlog",T2940="Pipeline",T2940="Overdue"),ISNUMBER(W2940)),IF(W2940&lt;=Settings!$B$6,V2940,0),0)</f>
        <v>0</v>
      </c>
      <c r="Y2940" s="38" t="n">
        <f aca="false">IF(AND(OR(T2940="Backlog",T2940="Pipeline",T2940="Overdue"),ISNUMBER(W2940)),IF(W2940&lt;=Settings!$B$6,Q2940,0),0)</f>
        <v>0</v>
      </c>
      <c r="Z2940" s="38" t="n">
        <f aca="false">IF(Y2940=0,0,IF(T2940="Backlog",Q2940,Q2940*Dashboard!$C$10))</f>
        <v>0</v>
      </c>
      <c r="AA2940" s="37" t="n">
        <f aca="false">IF($N2940="",0,IF(COUNTIF(Dashboard!$C$13:$C$22,$N2940)&gt;0,1,0))</f>
        <v>0</v>
      </c>
      <c r="AB2940" s="37" t="str">
        <f aca="false">IF($N2940="","",IF(COUNTIF($N$8:$N2940,$N2940)=1,MAX($AB$7:$AB2939)+1,""))</f>
        <v/>
      </c>
    </row>
    <row r="2941" customFormat="false" ht="15" hidden="false" customHeight="false" outlineLevel="0" collapsed="false">
      <c r="L2941" s="37" t="str">
        <f aca="false">IF(INDEX($A2941:$J2941,$L$6)&lt;&gt;"",TRIM(LEFT(INDEX($A2941:$J2941,$L$6),FIND("(",INDEX($A2941:$J2941,$L$6)&amp;"(")-1)),L2940)</f>
        <v>Building Value Proposition</v>
      </c>
      <c r="M2941" s="37" t="str">
        <f aca="false">IF(INDEX($A2941:$J2941,$M$6)="","",INDEX($A2941:$J2941,$M$6)&amp;"")</f>
        <v/>
      </c>
      <c r="N2941" s="37" t="str">
        <f aca="false">IF($M2941="","",TRIM(INDEX($A2941:$J2941,$N$6)&amp;""))</f>
        <v/>
      </c>
      <c r="O2941" s="37" t="str">
        <f aca="false">IF($M2941="","",TRIM(INDEX($A2941:$J2941,$O$6)&amp;""))</f>
        <v/>
      </c>
      <c r="P2941" s="37" t="str">
        <f aca="false">IF($M2941="","",IFERROR(IF(INDEX(Settings!$B$41:$B$50,MATCH(O2941,Settings!$A$41:$A$50,0))&amp;""="","UNMAPPED",INDEX(Settings!$B$41:$B$50,MATCH(O2941,Settings!$A$41:$A$50,0))&amp;""),"UNMAPPED"))</f>
        <v/>
      </c>
      <c r="Q2941" s="38" t="n">
        <f aca="false">IF($M2941="",0,N(INDEX($A2941:$J2941,$Q$6)))</f>
        <v>0</v>
      </c>
      <c r="R2941" s="39" t="str">
        <f aca="false">IF($M2941="","",INDEX($A2941:$J2941,$R$6))</f>
        <v/>
      </c>
      <c r="S2941" s="37" t="str">
        <f aca="false">IF($M2941="","",IFERROR(INDEX(Settings!$B$27:$B$36,MATCH(L2941,Settings!$A$27:$A$36,0))&amp;"","UNMAPPED"))</f>
        <v/>
      </c>
      <c r="T2941" s="37" t="str">
        <f aca="false">IF($M2941="","",IF(NOT(ISNUMBER(R2941)),"NO DATE",IF(S2941="Won",IF(R2941&gt;Settings!$B$5,"Backlog","Delivered"),IF(S2941="Open",IF(R2941&gt;Settings!$B$5,"Pipeline","Overdue"),IF(S2941="Lost","Lost","UNMAPPED")))))</f>
        <v/>
      </c>
      <c r="U2941" s="40" t="n">
        <f aca="false">IF(T2941="Backlog",1,IF(OR(T2941="Pipeline",T2941="Overdue"),N(INDEX(Settings!$C$27:$C$36,MATCH(L2941,Settings!$A$27:$A$36,0))),0))</f>
        <v>0</v>
      </c>
      <c r="V2941" s="38" t="n">
        <f aca="false">Q2941*U2941</f>
        <v>0</v>
      </c>
      <c r="W2941" s="41" t="str">
        <f aca="false">IF($M2941="","",IF(T2941="Overdue",IF(Settings!$B$8="Yes",Settings!$B$7,""),IF(ISNUMBER(R2941),DATE(YEAR(R2941),MONTH(R2941),1),"")))</f>
        <v/>
      </c>
      <c r="X2941" s="38" t="n">
        <f aca="false">IF(AND(OR(T2941="Backlog",T2941="Pipeline",T2941="Overdue"),ISNUMBER(W2941)),IF(W2941&lt;=Settings!$B$6,V2941,0),0)</f>
        <v>0</v>
      </c>
      <c r="Y2941" s="38" t="n">
        <f aca="false">IF(AND(OR(T2941="Backlog",T2941="Pipeline",T2941="Overdue"),ISNUMBER(W2941)),IF(W2941&lt;=Settings!$B$6,Q2941,0),0)</f>
        <v>0</v>
      </c>
      <c r="Z2941" s="38" t="n">
        <f aca="false">IF(Y2941=0,0,IF(T2941="Backlog",Q2941,Q2941*Dashboard!$C$10))</f>
        <v>0</v>
      </c>
      <c r="AA2941" s="37" t="n">
        <f aca="false">IF($N2941="",0,IF(COUNTIF(Dashboard!$C$13:$C$22,$N2941)&gt;0,1,0))</f>
        <v>0</v>
      </c>
      <c r="AB2941" s="37" t="str">
        <f aca="false">IF($N2941="","",IF(COUNTIF($N$8:$N2941,$N2941)=1,MAX($AB$7:$AB2940)+1,""))</f>
        <v/>
      </c>
    </row>
    <row r="2942" customFormat="false" ht="15" hidden="false" customHeight="false" outlineLevel="0" collapsed="false">
      <c r="L2942" s="37" t="str">
        <f aca="false">IF(INDEX($A2942:$J2942,$L$6)&lt;&gt;"",TRIM(LEFT(INDEX($A2942:$J2942,$L$6),FIND("(",INDEX($A2942:$J2942,$L$6)&amp;"(")-1)),L2941)</f>
        <v>Building Value Proposition</v>
      </c>
      <c r="M2942" s="37" t="str">
        <f aca="false">IF(INDEX($A2942:$J2942,$M$6)="","",INDEX($A2942:$J2942,$M$6)&amp;"")</f>
        <v/>
      </c>
      <c r="N2942" s="37" t="str">
        <f aca="false">IF($M2942="","",TRIM(INDEX($A2942:$J2942,$N$6)&amp;""))</f>
        <v/>
      </c>
      <c r="O2942" s="37" t="str">
        <f aca="false">IF($M2942="","",TRIM(INDEX($A2942:$J2942,$O$6)&amp;""))</f>
        <v/>
      </c>
      <c r="P2942" s="37" t="str">
        <f aca="false">IF($M2942="","",IFERROR(IF(INDEX(Settings!$B$41:$B$50,MATCH(O2942,Settings!$A$41:$A$50,0))&amp;""="","UNMAPPED",INDEX(Settings!$B$41:$B$50,MATCH(O2942,Settings!$A$41:$A$50,0))&amp;""),"UNMAPPED"))</f>
        <v/>
      </c>
      <c r="Q2942" s="38" t="n">
        <f aca="false">IF($M2942="",0,N(INDEX($A2942:$J2942,$Q$6)))</f>
        <v>0</v>
      </c>
      <c r="R2942" s="39" t="str">
        <f aca="false">IF($M2942="","",INDEX($A2942:$J2942,$R$6))</f>
        <v/>
      </c>
      <c r="S2942" s="37" t="str">
        <f aca="false">IF($M2942="","",IFERROR(INDEX(Settings!$B$27:$B$36,MATCH(L2942,Settings!$A$27:$A$36,0))&amp;"","UNMAPPED"))</f>
        <v/>
      </c>
      <c r="T2942" s="37" t="str">
        <f aca="false">IF($M2942="","",IF(NOT(ISNUMBER(R2942)),"NO DATE",IF(S2942="Won",IF(R2942&gt;Settings!$B$5,"Backlog","Delivered"),IF(S2942="Open",IF(R2942&gt;Settings!$B$5,"Pipeline","Overdue"),IF(S2942="Lost","Lost","UNMAPPED")))))</f>
        <v/>
      </c>
      <c r="U2942" s="40" t="n">
        <f aca="false">IF(T2942="Backlog",1,IF(OR(T2942="Pipeline",T2942="Overdue"),N(INDEX(Settings!$C$27:$C$36,MATCH(L2942,Settings!$A$27:$A$36,0))),0))</f>
        <v>0</v>
      </c>
      <c r="V2942" s="38" t="n">
        <f aca="false">Q2942*U2942</f>
        <v>0</v>
      </c>
      <c r="W2942" s="41" t="str">
        <f aca="false">IF($M2942="","",IF(T2942="Overdue",IF(Settings!$B$8="Yes",Settings!$B$7,""),IF(ISNUMBER(R2942),DATE(YEAR(R2942),MONTH(R2942),1),"")))</f>
        <v/>
      </c>
      <c r="X2942" s="38" t="n">
        <f aca="false">IF(AND(OR(T2942="Backlog",T2942="Pipeline",T2942="Overdue"),ISNUMBER(W2942)),IF(W2942&lt;=Settings!$B$6,V2942,0),0)</f>
        <v>0</v>
      </c>
      <c r="Y2942" s="38" t="n">
        <f aca="false">IF(AND(OR(T2942="Backlog",T2942="Pipeline",T2942="Overdue"),ISNUMBER(W2942)),IF(W2942&lt;=Settings!$B$6,Q2942,0),0)</f>
        <v>0</v>
      </c>
      <c r="Z2942" s="38" t="n">
        <f aca="false">IF(Y2942=0,0,IF(T2942="Backlog",Q2942,Q2942*Dashboard!$C$10))</f>
        <v>0</v>
      </c>
      <c r="AA2942" s="37" t="n">
        <f aca="false">IF($N2942="",0,IF(COUNTIF(Dashboard!$C$13:$C$22,$N2942)&gt;0,1,0))</f>
        <v>0</v>
      </c>
      <c r="AB2942" s="37" t="str">
        <f aca="false">IF($N2942="","",IF(COUNTIF($N$8:$N2942,$N2942)=1,MAX($AB$7:$AB2941)+1,""))</f>
        <v/>
      </c>
    </row>
    <row r="2943" customFormat="false" ht="15" hidden="false" customHeight="false" outlineLevel="0" collapsed="false">
      <c r="L2943" s="37" t="str">
        <f aca="false">IF(INDEX($A2943:$J2943,$L$6)&lt;&gt;"",TRIM(LEFT(INDEX($A2943:$J2943,$L$6),FIND("(",INDEX($A2943:$J2943,$L$6)&amp;"(")-1)),L2942)</f>
        <v>Building Value Proposition</v>
      </c>
      <c r="M2943" s="37" t="str">
        <f aca="false">IF(INDEX($A2943:$J2943,$M$6)="","",INDEX($A2943:$J2943,$M$6)&amp;"")</f>
        <v/>
      </c>
      <c r="N2943" s="37" t="str">
        <f aca="false">IF($M2943="","",TRIM(INDEX($A2943:$J2943,$N$6)&amp;""))</f>
        <v/>
      </c>
      <c r="O2943" s="37" t="str">
        <f aca="false">IF($M2943="","",TRIM(INDEX($A2943:$J2943,$O$6)&amp;""))</f>
        <v/>
      </c>
      <c r="P2943" s="37" t="str">
        <f aca="false">IF($M2943="","",IFERROR(IF(INDEX(Settings!$B$41:$B$50,MATCH(O2943,Settings!$A$41:$A$50,0))&amp;""="","UNMAPPED",INDEX(Settings!$B$41:$B$50,MATCH(O2943,Settings!$A$41:$A$50,0))&amp;""),"UNMAPPED"))</f>
        <v/>
      </c>
      <c r="Q2943" s="38" t="n">
        <f aca="false">IF($M2943="",0,N(INDEX($A2943:$J2943,$Q$6)))</f>
        <v>0</v>
      </c>
      <c r="R2943" s="39" t="str">
        <f aca="false">IF($M2943="","",INDEX($A2943:$J2943,$R$6))</f>
        <v/>
      </c>
      <c r="S2943" s="37" t="str">
        <f aca="false">IF($M2943="","",IFERROR(INDEX(Settings!$B$27:$B$36,MATCH(L2943,Settings!$A$27:$A$36,0))&amp;"","UNMAPPED"))</f>
        <v/>
      </c>
      <c r="T2943" s="37" t="str">
        <f aca="false">IF($M2943="","",IF(NOT(ISNUMBER(R2943)),"NO DATE",IF(S2943="Won",IF(R2943&gt;Settings!$B$5,"Backlog","Delivered"),IF(S2943="Open",IF(R2943&gt;Settings!$B$5,"Pipeline","Overdue"),IF(S2943="Lost","Lost","UNMAPPED")))))</f>
        <v/>
      </c>
      <c r="U2943" s="40" t="n">
        <f aca="false">IF(T2943="Backlog",1,IF(OR(T2943="Pipeline",T2943="Overdue"),N(INDEX(Settings!$C$27:$C$36,MATCH(L2943,Settings!$A$27:$A$36,0))),0))</f>
        <v>0</v>
      </c>
      <c r="V2943" s="38" t="n">
        <f aca="false">Q2943*U2943</f>
        <v>0</v>
      </c>
      <c r="W2943" s="41" t="str">
        <f aca="false">IF($M2943="","",IF(T2943="Overdue",IF(Settings!$B$8="Yes",Settings!$B$7,""),IF(ISNUMBER(R2943),DATE(YEAR(R2943),MONTH(R2943),1),"")))</f>
        <v/>
      </c>
      <c r="X2943" s="38" t="n">
        <f aca="false">IF(AND(OR(T2943="Backlog",T2943="Pipeline",T2943="Overdue"),ISNUMBER(W2943)),IF(W2943&lt;=Settings!$B$6,V2943,0),0)</f>
        <v>0</v>
      </c>
      <c r="Y2943" s="38" t="n">
        <f aca="false">IF(AND(OR(T2943="Backlog",T2943="Pipeline",T2943="Overdue"),ISNUMBER(W2943)),IF(W2943&lt;=Settings!$B$6,Q2943,0),0)</f>
        <v>0</v>
      </c>
      <c r="Z2943" s="38" t="n">
        <f aca="false">IF(Y2943=0,0,IF(T2943="Backlog",Q2943,Q2943*Dashboard!$C$10))</f>
        <v>0</v>
      </c>
      <c r="AA2943" s="37" t="n">
        <f aca="false">IF($N2943="",0,IF(COUNTIF(Dashboard!$C$13:$C$22,$N2943)&gt;0,1,0))</f>
        <v>0</v>
      </c>
      <c r="AB2943" s="37" t="str">
        <f aca="false">IF($N2943="","",IF(COUNTIF($N$8:$N2943,$N2943)=1,MAX($AB$7:$AB2942)+1,""))</f>
        <v/>
      </c>
    </row>
    <row r="2944" customFormat="false" ht="15" hidden="false" customHeight="false" outlineLevel="0" collapsed="false">
      <c r="L2944" s="37" t="str">
        <f aca="false">IF(INDEX($A2944:$J2944,$L$6)&lt;&gt;"",TRIM(LEFT(INDEX($A2944:$J2944,$L$6),FIND("(",INDEX($A2944:$J2944,$L$6)&amp;"(")-1)),L2943)</f>
        <v>Building Value Proposition</v>
      </c>
      <c r="M2944" s="37" t="str">
        <f aca="false">IF(INDEX($A2944:$J2944,$M$6)="","",INDEX($A2944:$J2944,$M$6)&amp;"")</f>
        <v/>
      </c>
      <c r="N2944" s="37" t="str">
        <f aca="false">IF($M2944="","",TRIM(INDEX($A2944:$J2944,$N$6)&amp;""))</f>
        <v/>
      </c>
      <c r="O2944" s="37" t="str">
        <f aca="false">IF($M2944="","",TRIM(INDEX($A2944:$J2944,$O$6)&amp;""))</f>
        <v/>
      </c>
      <c r="P2944" s="37" t="str">
        <f aca="false">IF($M2944="","",IFERROR(IF(INDEX(Settings!$B$41:$B$50,MATCH(O2944,Settings!$A$41:$A$50,0))&amp;""="","UNMAPPED",INDEX(Settings!$B$41:$B$50,MATCH(O2944,Settings!$A$41:$A$50,0))&amp;""),"UNMAPPED"))</f>
        <v/>
      </c>
      <c r="Q2944" s="38" t="n">
        <f aca="false">IF($M2944="",0,N(INDEX($A2944:$J2944,$Q$6)))</f>
        <v>0</v>
      </c>
      <c r="R2944" s="39" t="str">
        <f aca="false">IF($M2944="","",INDEX($A2944:$J2944,$R$6))</f>
        <v/>
      </c>
      <c r="S2944" s="37" t="str">
        <f aca="false">IF($M2944="","",IFERROR(INDEX(Settings!$B$27:$B$36,MATCH(L2944,Settings!$A$27:$A$36,0))&amp;"","UNMAPPED"))</f>
        <v/>
      </c>
      <c r="T2944" s="37" t="str">
        <f aca="false">IF($M2944="","",IF(NOT(ISNUMBER(R2944)),"NO DATE",IF(S2944="Won",IF(R2944&gt;Settings!$B$5,"Backlog","Delivered"),IF(S2944="Open",IF(R2944&gt;Settings!$B$5,"Pipeline","Overdue"),IF(S2944="Lost","Lost","UNMAPPED")))))</f>
        <v/>
      </c>
      <c r="U2944" s="40" t="n">
        <f aca="false">IF(T2944="Backlog",1,IF(OR(T2944="Pipeline",T2944="Overdue"),N(INDEX(Settings!$C$27:$C$36,MATCH(L2944,Settings!$A$27:$A$36,0))),0))</f>
        <v>0</v>
      </c>
      <c r="V2944" s="38" t="n">
        <f aca="false">Q2944*U2944</f>
        <v>0</v>
      </c>
      <c r="W2944" s="41" t="str">
        <f aca="false">IF($M2944="","",IF(T2944="Overdue",IF(Settings!$B$8="Yes",Settings!$B$7,""),IF(ISNUMBER(R2944),DATE(YEAR(R2944),MONTH(R2944),1),"")))</f>
        <v/>
      </c>
      <c r="X2944" s="38" t="n">
        <f aca="false">IF(AND(OR(T2944="Backlog",T2944="Pipeline",T2944="Overdue"),ISNUMBER(W2944)),IF(W2944&lt;=Settings!$B$6,V2944,0),0)</f>
        <v>0</v>
      </c>
      <c r="Y2944" s="38" t="n">
        <f aca="false">IF(AND(OR(T2944="Backlog",T2944="Pipeline",T2944="Overdue"),ISNUMBER(W2944)),IF(W2944&lt;=Settings!$B$6,Q2944,0),0)</f>
        <v>0</v>
      </c>
      <c r="Z2944" s="38" t="n">
        <f aca="false">IF(Y2944=0,0,IF(T2944="Backlog",Q2944,Q2944*Dashboard!$C$10))</f>
        <v>0</v>
      </c>
      <c r="AA2944" s="37" t="n">
        <f aca="false">IF($N2944="",0,IF(COUNTIF(Dashboard!$C$13:$C$22,$N2944)&gt;0,1,0))</f>
        <v>0</v>
      </c>
      <c r="AB2944" s="37" t="str">
        <f aca="false">IF($N2944="","",IF(COUNTIF($N$8:$N2944,$N2944)=1,MAX($AB$7:$AB2943)+1,""))</f>
        <v/>
      </c>
    </row>
    <row r="2945" customFormat="false" ht="15" hidden="false" customHeight="false" outlineLevel="0" collapsed="false">
      <c r="L2945" s="37" t="str">
        <f aca="false">IF(INDEX($A2945:$J2945,$L$6)&lt;&gt;"",TRIM(LEFT(INDEX($A2945:$J2945,$L$6),FIND("(",INDEX($A2945:$J2945,$L$6)&amp;"(")-1)),L2944)</f>
        <v>Building Value Proposition</v>
      </c>
      <c r="M2945" s="37" t="str">
        <f aca="false">IF(INDEX($A2945:$J2945,$M$6)="","",INDEX($A2945:$J2945,$M$6)&amp;"")</f>
        <v/>
      </c>
      <c r="N2945" s="37" t="str">
        <f aca="false">IF($M2945="","",TRIM(INDEX($A2945:$J2945,$N$6)&amp;""))</f>
        <v/>
      </c>
      <c r="O2945" s="37" t="str">
        <f aca="false">IF($M2945="","",TRIM(INDEX($A2945:$J2945,$O$6)&amp;""))</f>
        <v/>
      </c>
      <c r="P2945" s="37" t="str">
        <f aca="false">IF($M2945="","",IFERROR(IF(INDEX(Settings!$B$41:$B$50,MATCH(O2945,Settings!$A$41:$A$50,0))&amp;""="","UNMAPPED",INDEX(Settings!$B$41:$B$50,MATCH(O2945,Settings!$A$41:$A$50,0))&amp;""),"UNMAPPED"))</f>
        <v/>
      </c>
      <c r="Q2945" s="38" t="n">
        <f aca="false">IF($M2945="",0,N(INDEX($A2945:$J2945,$Q$6)))</f>
        <v>0</v>
      </c>
      <c r="R2945" s="39" t="str">
        <f aca="false">IF($M2945="","",INDEX($A2945:$J2945,$R$6))</f>
        <v/>
      </c>
      <c r="S2945" s="37" t="str">
        <f aca="false">IF($M2945="","",IFERROR(INDEX(Settings!$B$27:$B$36,MATCH(L2945,Settings!$A$27:$A$36,0))&amp;"","UNMAPPED"))</f>
        <v/>
      </c>
      <c r="T2945" s="37" t="str">
        <f aca="false">IF($M2945="","",IF(NOT(ISNUMBER(R2945)),"NO DATE",IF(S2945="Won",IF(R2945&gt;Settings!$B$5,"Backlog","Delivered"),IF(S2945="Open",IF(R2945&gt;Settings!$B$5,"Pipeline","Overdue"),IF(S2945="Lost","Lost","UNMAPPED")))))</f>
        <v/>
      </c>
      <c r="U2945" s="40" t="n">
        <f aca="false">IF(T2945="Backlog",1,IF(OR(T2945="Pipeline",T2945="Overdue"),N(INDEX(Settings!$C$27:$C$36,MATCH(L2945,Settings!$A$27:$A$36,0))),0))</f>
        <v>0</v>
      </c>
      <c r="V2945" s="38" t="n">
        <f aca="false">Q2945*U2945</f>
        <v>0</v>
      </c>
      <c r="W2945" s="41" t="str">
        <f aca="false">IF($M2945="","",IF(T2945="Overdue",IF(Settings!$B$8="Yes",Settings!$B$7,""),IF(ISNUMBER(R2945),DATE(YEAR(R2945),MONTH(R2945),1),"")))</f>
        <v/>
      </c>
      <c r="X2945" s="38" t="n">
        <f aca="false">IF(AND(OR(T2945="Backlog",T2945="Pipeline",T2945="Overdue"),ISNUMBER(W2945)),IF(W2945&lt;=Settings!$B$6,V2945,0),0)</f>
        <v>0</v>
      </c>
      <c r="Y2945" s="38" t="n">
        <f aca="false">IF(AND(OR(T2945="Backlog",T2945="Pipeline",T2945="Overdue"),ISNUMBER(W2945)),IF(W2945&lt;=Settings!$B$6,Q2945,0),0)</f>
        <v>0</v>
      </c>
      <c r="Z2945" s="38" t="n">
        <f aca="false">IF(Y2945=0,0,IF(T2945="Backlog",Q2945,Q2945*Dashboard!$C$10))</f>
        <v>0</v>
      </c>
      <c r="AA2945" s="37" t="n">
        <f aca="false">IF($N2945="",0,IF(COUNTIF(Dashboard!$C$13:$C$22,$N2945)&gt;0,1,0))</f>
        <v>0</v>
      </c>
      <c r="AB2945" s="37" t="str">
        <f aca="false">IF($N2945="","",IF(COUNTIF($N$8:$N2945,$N2945)=1,MAX($AB$7:$AB2944)+1,""))</f>
        <v/>
      </c>
    </row>
    <row r="2946" customFormat="false" ht="15" hidden="false" customHeight="false" outlineLevel="0" collapsed="false">
      <c r="L2946" s="37" t="str">
        <f aca="false">IF(INDEX($A2946:$J2946,$L$6)&lt;&gt;"",TRIM(LEFT(INDEX($A2946:$J2946,$L$6),FIND("(",INDEX($A2946:$J2946,$L$6)&amp;"(")-1)),L2945)</f>
        <v>Building Value Proposition</v>
      </c>
      <c r="M2946" s="37" t="str">
        <f aca="false">IF(INDEX($A2946:$J2946,$M$6)="","",INDEX($A2946:$J2946,$M$6)&amp;"")</f>
        <v/>
      </c>
      <c r="N2946" s="37" t="str">
        <f aca="false">IF($M2946="","",TRIM(INDEX($A2946:$J2946,$N$6)&amp;""))</f>
        <v/>
      </c>
      <c r="O2946" s="37" t="str">
        <f aca="false">IF($M2946="","",TRIM(INDEX($A2946:$J2946,$O$6)&amp;""))</f>
        <v/>
      </c>
      <c r="P2946" s="37" t="str">
        <f aca="false">IF($M2946="","",IFERROR(IF(INDEX(Settings!$B$41:$B$50,MATCH(O2946,Settings!$A$41:$A$50,0))&amp;""="","UNMAPPED",INDEX(Settings!$B$41:$B$50,MATCH(O2946,Settings!$A$41:$A$50,0))&amp;""),"UNMAPPED"))</f>
        <v/>
      </c>
      <c r="Q2946" s="38" t="n">
        <f aca="false">IF($M2946="",0,N(INDEX($A2946:$J2946,$Q$6)))</f>
        <v>0</v>
      </c>
      <c r="R2946" s="39" t="str">
        <f aca="false">IF($M2946="","",INDEX($A2946:$J2946,$R$6))</f>
        <v/>
      </c>
      <c r="S2946" s="37" t="str">
        <f aca="false">IF($M2946="","",IFERROR(INDEX(Settings!$B$27:$B$36,MATCH(L2946,Settings!$A$27:$A$36,0))&amp;"","UNMAPPED"))</f>
        <v/>
      </c>
      <c r="T2946" s="37" t="str">
        <f aca="false">IF($M2946="","",IF(NOT(ISNUMBER(R2946)),"NO DATE",IF(S2946="Won",IF(R2946&gt;Settings!$B$5,"Backlog","Delivered"),IF(S2946="Open",IF(R2946&gt;Settings!$B$5,"Pipeline","Overdue"),IF(S2946="Lost","Lost","UNMAPPED")))))</f>
        <v/>
      </c>
      <c r="U2946" s="40" t="n">
        <f aca="false">IF(T2946="Backlog",1,IF(OR(T2946="Pipeline",T2946="Overdue"),N(INDEX(Settings!$C$27:$C$36,MATCH(L2946,Settings!$A$27:$A$36,0))),0))</f>
        <v>0</v>
      </c>
      <c r="V2946" s="38" t="n">
        <f aca="false">Q2946*U2946</f>
        <v>0</v>
      </c>
      <c r="W2946" s="41" t="str">
        <f aca="false">IF($M2946="","",IF(T2946="Overdue",IF(Settings!$B$8="Yes",Settings!$B$7,""),IF(ISNUMBER(R2946),DATE(YEAR(R2946),MONTH(R2946),1),"")))</f>
        <v/>
      </c>
      <c r="X2946" s="38" t="n">
        <f aca="false">IF(AND(OR(T2946="Backlog",T2946="Pipeline",T2946="Overdue"),ISNUMBER(W2946)),IF(W2946&lt;=Settings!$B$6,V2946,0),0)</f>
        <v>0</v>
      </c>
      <c r="Y2946" s="38" t="n">
        <f aca="false">IF(AND(OR(T2946="Backlog",T2946="Pipeline",T2946="Overdue"),ISNUMBER(W2946)),IF(W2946&lt;=Settings!$B$6,Q2946,0),0)</f>
        <v>0</v>
      </c>
      <c r="Z2946" s="38" t="n">
        <f aca="false">IF(Y2946=0,0,IF(T2946="Backlog",Q2946,Q2946*Dashboard!$C$10))</f>
        <v>0</v>
      </c>
      <c r="AA2946" s="37" t="n">
        <f aca="false">IF($N2946="",0,IF(COUNTIF(Dashboard!$C$13:$C$22,$N2946)&gt;0,1,0))</f>
        <v>0</v>
      </c>
      <c r="AB2946" s="37" t="str">
        <f aca="false">IF($N2946="","",IF(COUNTIF($N$8:$N2946,$N2946)=1,MAX($AB$7:$AB2945)+1,""))</f>
        <v/>
      </c>
    </row>
    <row r="2947" customFormat="false" ht="15" hidden="false" customHeight="false" outlineLevel="0" collapsed="false">
      <c r="L2947" s="37" t="str">
        <f aca="false">IF(INDEX($A2947:$J2947,$L$6)&lt;&gt;"",TRIM(LEFT(INDEX($A2947:$J2947,$L$6),FIND("(",INDEX($A2947:$J2947,$L$6)&amp;"(")-1)),L2946)</f>
        <v>Building Value Proposition</v>
      </c>
      <c r="M2947" s="37" t="str">
        <f aca="false">IF(INDEX($A2947:$J2947,$M$6)="","",INDEX($A2947:$J2947,$M$6)&amp;"")</f>
        <v/>
      </c>
      <c r="N2947" s="37" t="str">
        <f aca="false">IF($M2947="","",TRIM(INDEX($A2947:$J2947,$N$6)&amp;""))</f>
        <v/>
      </c>
      <c r="O2947" s="37" t="str">
        <f aca="false">IF($M2947="","",TRIM(INDEX($A2947:$J2947,$O$6)&amp;""))</f>
        <v/>
      </c>
      <c r="P2947" s="37" t="str">
        <f aca="false">IF($M2947="","",IFERROR(IF(INDEX(Settings!$B$41:$B$50,MATCH(O2947,Settings!$A$41:$A$50,0))&amp;""="","UNMAPPED",INDEX(Settings!$B$41:$B$50,MATCH(O2947,Settings!$A$41:$A$50,0))&amp;""),"UNMAPPED"))</f>
        <v/>
      </c>
      <c r="Q2947" s="38" t="n">
        <f aca="false">IF($M2947="",0,N(INDEX($A2947:$J2947,$Q$6)))</f>
        <v>0</v>
      </c>
      <c r="R2947" s="39" t="str">
        <f aca="false">IF($M2947="","",INDEX($A2947:$J2947,$R$6))</f>
        <v/>
      </c>
      <c r="S2947" s="37" t="str">
        <f aca="false">IF($M2947="","",IFERROR(INDEX(Settings!$B$27:$B$36,MATCH(L2947,Settings!$A$27:$A$36,0))&amp;"","UNMAPPED"))</f>
        <v/>
      </c>
      <c r="T2947" s="37" t="str">
        <f aca="false">IF($M2947="","",IF(NOT(ISNUMBER(R2947)),"NO DATE",IF(S2947="Won",IF(R2947&gt;Settings!$B$5,"Backlog","Delivered"),IF(S2947="Open",IF(R2947&gt;Settings!$B$5,"Pipeline","Overdue"),IF(S2947="Lost","Lost","UNMAPPED")))))</f>
        <v/>
      </c>
      <c r="U2947" s="40" t="n">
        <f aca="false">IF(T2947="Backlog",1,IF(OR(T2947="Pipeline",T2947="Overdue"),N(INDEX(Settings!$C$27:$C$36,MATCH(L2947,Settings!$A$27:$A$36,0))),0))</f>
        <v>0</v>
      </c>
      <c r="V2947" s="38" t="n">
        <f aca="false">Q2947*U2947</f>
        <v>0</v>
      </c>
      <c r="W2947" s="41" t="str">
        <f aca="false">IF($M2947="","",IF(T2947="Overdue",IF(Settings!$B$8="Yes",Settings!$B$7,""),IF(ISNUMBER(R2947),DATE(YEAR(R2947),MONTH(R2947),1),"")))</f>
        <v/>
      </c>
      <c r="X2947" s="38" t="n">
        <f aca="false">IF(AND(OR(T2947="Backlog",T2947="Pipeline",T2947="Overdue"),ISNUMBER(W2947)),IF(W2947&lt;=Settings!$B$6,V2947,0),0)</f>
        <v>0</v>
      </c>
      <c r="Y2947" s="38" t="n">
        <f aca="false">IF(AND(OR(T2947="Backlog",T2947="Pipeline",T2947="Overdue"),ISNUMBER(W2947)),IF(W2947&lt;=Settings!$B$6,Q2947,0),0)</f>
        <v>0</v>
      </c>
      <c r="Z2947" s="38" t="n">
        <f aca="false">IF(Y2947=0,0,IF(T2947="Backlog",Q2947,Q2947*Dashboard!$C$10))</f>
        <v>0</v>
      </c>
      <c r="AA2947" s="37" t="n">
        <f aca="false">IF($N2947="",0,IF(COUNTIF(Dashboard!$C$13:$C$22,$N2947)&gt;0,1,0))</f>
        <v>0</v>
      </c>
      <c r="AB2947" s="37" t="str">
        <f aca="false">IF($N2947="","",IF(COUNTIF($N$8:$N2947,$N2947)=1,MAX($AB$7:$AB2946)+1,""))</f>
        <v/>
      </c>
    </row>
    <row r="2948" customFormat="false" ht="15" hidden="false" customHeight="false" outlineLevel="0" collapsed="false">
      <c r="L2948" s="37" t="str">
        <f aca="false">IF(INDEX($A2948:$J2948,$L$6)&lt;&gt;"",TRIM(LEFT(INDEX($A2948:$J2948,$L$6),FIND("(",INDEX($A2948:$J2948,$L$6)&amp;"(")-1)),L2947)</f>
        <v>Building Value Proposition</v>
      </c>
      <c r="M2948" s="37" t="str">
        <f aca="false">IF(INDEX($A2948:$J2948,$M$6)="","",INDEX($A2948:$J2948,$M$6)&amp;"")</f>
        <v/>
      </c>
      <c r="N2948" s="37" t="str">
        <f aca="false">IF($M2948="","",TRIM(INDEX($A2948:$J2948,$N$6)&amp;""))</f>
        <v/>
      </c>
      <c r="O2948" s="37" t="str">
        <f aca="false">IF($M2948="","",TRIM(INDEX($A2948:$J2948,$O$6)&amp;""))</f>
        <v/>
      </c>
      <c r="P2948" s="37" t="str">
        <f aca="false">IF($M2948="","",IFERROR(IF(INDEX(Settings!$B$41:$B$50,MATCH(O2948,Settings!$A$41:$A$50,0))&amp;""="","UNMAPPED",INDEX(Settings!$B$41:$B$50,MATCH(O2948,Settings!$A$41:$A$50,0))&amp;""),"UNMAPPED"))</f>
        <v/>
      </c>
      <c r="Q2948" s="38" t="n">
        <f aca="false">IF($M2948="",0,N(INDEX($A2948:$J2948,$Q$6)))</f>
        <v>0</v>
      </c>
      <c r="R2948" s="39" t="str">
        <f aca="false">IF($M2948="","",INDEX($A2948:$J2948,$R$6))</f>
        <v/>
      </c>
      <c r="S2948" s="37" t="str">
        <f aca="false">IF($M2948="","",IFERROR(INDEX(Settings!$B$27:$B$36,MATCH(L2948,Settings!$A$27:$A$36,0))&amp;"","UNMAPPED"))</f>
        <v/>
      </c>
      <c r="T2948" s="37" t="str">
        <f aca="false">IF($M2948="","",IF(NOT(ISNUMBER(R2948)),"NO DATE",IF(S2948="Won",IF(R2948&gt;Settings!$B$5,"Backlog","Delivered"),IF(S2948="Open",IF(R2948&gt;Settings!$B$5,"Pipeline","Overdue"),IF(S2948="Lost","Lost","UNMAPPED")))))</f>
        <v/>
      </c>
      <c r="U2948" s="40" t="n">
        <f aca="false">IF(T2948="Backlog",1,IF(OR(T2948="Pipeline",T2948="Overdue"),N(INDEX(Settings!$C$27:$C$36,MATCH(L2948,Settings!$A$27:$A$36,0))),0))</f>
        <v>0</v>
      </c>
      <c r="V2948" s="38" t="n">
        <f aca="false">Q2948*U2948</f>
        <v>0</v>
      </c>
      <c r="W2948" s="41" t="str">
        <f aca="false">IF($M2948="","",IF(T2948="Overdue",IF(Settings!$B$8="Yes",Settings!$B$7,""),IF(ISNUMBER(R2948),DATE(YEAR(R2948),MONTH(R2948),1),"")))</f>
        <v/>
      </c>
      <c r="X2948" s="38" t="n">
        <f aca="false">IF(AND(OR(T2948="Backlog",T2948="Pipeline",T2948="Overdue"),ISNUMBER(W2948)),IF(W2948&lt;=Settings!$B$6,V2948,0),0)</f>
        <v>0</v>
      </c>
      <c r="Y2948" s="38" t="n">
        <f aca="false">IF(AND(OR(T2948="Backlog",T2948="Pipeline",T2948="Overdue"),ISNUMBER(W2948)),IF(W2948&lt;=Settings!$B$6,Q2948,0),0)</f>
        <v>0</v>
      </c>
      <c r="Z2948" s="38" t="n">
        <f aca="false">IF(Y2948=0,0,IF(T2948="Backlog",Q2948,Q2948*Dashboard!$C$10))</f>
        <v>0</v>
      </c>
      <c r="AA2948" s="37" t="n">
        <f aca="false">IF($N2948="",0,IF(COUNTIF(Dashboard!$C$13:$C$22,$N2948)&gt;0,1,0))</f>
        <v>0</v>
      </c>
      <c r="AB2948" s="37" t="str">
        <f aca="false">IF($N2948="","",IF(COUNTIF($N$8:$N2948,$N2948)=1,MAX($AB$7:$AB2947)+1,""))</f>
        <v/>
      </c>
    </row>
    <row r="2949" customFormat="false" ht="15" hidden="false" customHeight="false" outlineLevel="0" collapsed="false">
      <c r="L2949" s="37" t="str">
        <f aca="false">IF(INDEX($A2949:$J2949,$L$6)&lt;&gt;"",TRIM(LEFT(INDEX($A2949:$J2949,$L$6),FIND("(",INDEX($A2949:$J2949,$L$6)&amp;"(")-1)),L2948)</f>
        <v>Building Value Proposition</v>
      </c>
      <c r="M2949" s="37" t="str">
        <f aca="false">IF(INDEX($A2949:$J2949,$M$6)="","",INDEX($A2949:$J2949,$M$6)&amp;"")</f>
        <v/>
      </c>
      <c r="N2949" s="37" t="str">
        <f aca="false">IF($M2949="","",TRIM(INDEX($A2949:$J2949,$N$6)&amp;""))</f>
        <v/>
      </c>
      <c r="O2949" s="37" t="str">
        <f aca="false">IF($M2949="","",TRIM(INDEX($A2949:$J2949,$O$6)&amp;""))</f>
        <v/>
      </c>
      <c r="P2949" s="37" t="str">
        <f aca="false">IF($M2949="","",IFERROR(IF(INDEX(Settings!$B$41:$B$50,MATCH(O2949,Settings!$A$41:$A$50,0))&amp;""="","UNMAPPED",INDEX(Settings!$B$41:$B$50,MATCH(O2949,Settings!$A$41:$A$50,0))&amp;""),"UNMAPPED"))</f>
        <v/>
      </c>
      <c r="Q2949" s="38" t="n">
        <f aca="false">IF($M2949="",0,N(INDEX($A2949:$J2949,$Q$6)))</f>
        <v>0</v>
      </c>
      <c r="R2949" s="39" t="str">
        <f aca="false">IF($M2949="","",INDEX($A2949:$J2949,$R$6))</f>
        <v/>
      </c>
      <c r="S2949" s="37" t="str">
        <f aca="false">IF($M2949="","",IFERROR(INDEX(Settings!$B$27:$B$36,MATCH(L2949,Settings!$A$27:$A$36,0))&amp;"","UNMAPPED"))</f>
        <v/>
      </c>
      <c r="T2949" s="37" t="str">
        <f aca="false">IF($M2949="","",IF(NOT(ISNUMBER(R2949)),"NO DATE",IF(S2949="Won",IF(R2949&gt;Settings!$B$5,"Backlog","Delivered"),IF(S2949="Open",IF(R2949&gt;Settings!$B$5,"Pipeline","Overdue"),IF(S2949="Lost","Lost","UNMAPPED")))))</f>
        <v/>
      </c>
      <c r="U2949" s="40" t="n">
        <f aca="false">IF(T2949="Backlog",1,IF(OR(T2949="Pipeline",T2949="Overdue"),N(INDEX(Settings!$C$27:$C$36,MATCH(L2949,Settings!$A$27:$A$36,0))),0))</f>
        <v>0</v>
      </c>
      <c r="V2949" s="38" t="n">
        <f aca="false">Q2949*U2949</f>
        <v>0</v>
      </c>
      <c r="W2949" s="41" t="str">
        <f aca="false">IF($M2949="","",IF(T2949="Overdue",IF(Settings!$B$8="Yes",Settings!$B$7,""),IF(ISNUMBER(R2949),DATE(YEAR(R2949),MONTH(R2949),1),"")))</f>
        <v/>
      </c>
      <c r="X2949" s="38" t="n">
        <f aca="false">IF(AND(OR(T2949="Backlog",T2949="Pipeline",T2949="Overdue"),ISNUMBER(W2949)),IF(W2949&lt;=Settings!$B$6,V2949,0),0)</f>
        <v>0</v>
      </c>
      <c r="Y2949" s="38" t="n">
        <f aca="false">IF(AND(OR(T2949="Backlog",T2949="Pipeline",T2949="Overdue"),ISNUMBER(W2949)),IF(W2949&lt;=Settings!$B$6,Q2949,0),0)</f>
        <v>0</v>
      </c>
      <c r="Z2949" s="38" t="n">
        <f aca="false">IF(Y2949=0,0,IF(T2949="Backlog",Q2949,Q2949*Dashboard!$C$10))</f>
        <v>0</v>
      </c>
      <c r="AA2949" s="37" t="n">
        <f aca="false">IF($N2949="",0,IF(COUNTIF(Dashboard!$C$13:$C$22,$N2949)&gt;0,1,0))</f>
        <v>0</v>
      </c>
      <c r="AB2949" s="37" t="str">
        <f aca="false">IF($N2949="","",IF(COUNTIF($N$8:$N2949,$N2949)=1,MAX($AB$7:$AB2948)+1,""))</f>
        <v/>
      </c>
    </row>
    <row r="2950" customFormat="false" ht="15" hidden="false" customHeight="false" outlineLevel="0" collapsed="false">
      <c r="L2950" s="37" t="str">
        <f aca="false">IF(INDEX($A2950:$J2950,$L$6)&lt;&gt;"",TRIM(LEFT(INDEX($A2950:$J2950,$L$6),FIND("(",INDEX($A2950:$J2950,$L$6)&amp;"(")-1)),L2949)</f>
        <v>Building Value Proposition</v>
      </c>
      <c r="M2950" s="37" t="str">
        <f aca="false">IF(INDEX($A2950:$J2950,$M$6)="","",INDEX($A2950:$J2950,$M$6)&amp;"")</f>
        <v/>
      </c>
      <c r="N2950" s="37" t="str">
        <f aca="false">IF($M2950="","",TRIM(INDEX($A2950:$J2950,$N$6)&amp;""))</f>
        <v/>
      </c>
      <c r="O2950" s="37" t="str">
        <f aca="false">IF($M2950="","",TRIM(INDEX($A2950:$J2950,$O$6)&amp;""))</f>
        <v/>
      </c>
      <c r="P2950" s="37" t="str">
        <f aca="false">IF($M2950="","",IFERROR(IF(INDEX(Settings!$B$41:$B$50,MATCH(O2950,Settings!$A$41:$A$50,0))&amp;""="","UNMAPPED",INDEX(Settings!$B$41:$B$50,MATCH(O2950,Settings!$A$41:$A$50,0))&amp;""),"UNMAPPED"))</f>
        <v/>
      </c>
      <c r="Q2950" s="38" t="n">
        <f aca="false">IF($M2950="",0,N(INDEX($A2950:$J2950,$Q$6)))</f>
        <v>0</v>
      </c>
      <c r="R2950" s="39" t="str">
        <f aca="false">IF($M2950="","",INDEX($A2950:$J2950,$R$6))</f>
        <v/>
      </c>
      <c r="S2950" s="37" t="str">
        <f aca="false">IF($M2950="","",IFERROR(INDEX(Settings!$B$27:$B$36,MATCH(L2950,Settings!$A$27:$A$36,0))&amp;"","UNMAPPED"))</f>
        <v/>
      </c>
      <c r="T2950" s="37" t="str">
        <f aca="false">IF($M2950="","",IF(NOT(ISNUMBER(R2950)),"NO DATE",IF(S2950="Won",IF(R2950&gt;Settings!$B$5,"Backlog","Delivered"),IF(S2950="Open",IF(R2950&gt;Settings!$B$5,"Pipeline","Overdue"),IF(S2950="Lost","Lost","UNMAPPED")))))</f>
        <v/>
      </c>
      <c r="U2950" s="40" t="n">
        <f aca="false">IF(T2950="Backlog",1,IF(OR(T2950="Pipeline",T2950="Overdue"),N(INDEX(Settings!$C$27:$C$36,MATCH(L2950,Settings!$A$27:$A$36,0))),0))</f>
        <v>0</v>
      </c>
      <c r="V2950" s="38" t="n">
        <f aca="false">Q2950*U2950</f>
        <v>0</v>
      </c>
      <c r="W2950" s="41" t="str">
        <f aca="false">IF($M2950="","",IF(T2950="Overdue",IF(Settings!$B$8="Yes",Settings!$B$7,""),IF(ISNUMBER(R2950),DATE(YEAR(R2950),MONTH(R2950),1),"")))</f>
        <v/>
      </c>
      <c r="X2950" s="38" t="n">
        <f aca="false">IF(AND(OR(T2950="Backlog",T2950="Pipeline",T2950="Overdue"),ISNUMBER(W2950)),IF(W2950&lt;=Settings!$B$6,V2950,0),0)</f>
        <v>0</v>
      </c>
      <c r="Y2950" s="38" t="n">
        <f aca="false">IF(AND(OR(T2950="Backlog",T2950="Pipeline",T2950="Overdue"),ISNUMBER(W2950)),IF(W2950&lt;=Settings!$B$6,Q2950,0),0)</f>
        <v>0</v>
      </c>
      <c r="Z2950" s="38" t="n">
        <f aca="false">IF(Y2950=0,0,IF(T2950="Backlog",Q2950,Q2950*Dashboard!$C$10))</f>
        <v>0</v>
      </c>
      <c r="AA2950" s="37" t="n">
        <f aca="false">IF($N2950="",0,IF(COUNTIF(Dashboard!$C$13:$C$22,$N2950)&gt;0,1,0))</f>
        <v>0</v>
      </c>
      <c r="AB2950" s="37" t="str">
        <f aca="false">IF($N2950="","",IF(COUNTIF($N$8:$N2950,$N2950)=1,MAX($AB$7:$AB2949)+1,""))</f>
        <v/>
      </c>
    </row>
    <row r="2951" customFormat="false" ht="15" hidden="false" customHeight="false" outlineLevel="0" collapsed="false">
      <c r="L2951" s="37" t="str">
        <f aca="false">IF(INDEX($A2951:$J2951,$L$6)&lt;&gt;"",TRIM(LEFT(INDEX($A2951:$J2951,$L$6),FIND("(",INDEX($A2951:$J2951,$L$6)&amp;"(")-1)),L2950)</f>
        <v>Building Value Proposition</v>
      </c>
      <c r="M2951" s="37" t="str">
        <f aca="false">IF(INDEX($A2951:$J2951,$M$6)="","",INDEX($A2951:$J2951,$M$6)&amp;"")</f>
        <v/>
      </c>
      <c r="N2951" s="37" t="str">
        <f aca="false">IF($M2951="","",TRIM(INDEX($A2951:$J2951,$N$6)&amp;""))</f>
        <v/>
      </c>
      <c r="O2951" s="37" t="str">
        <f aca="false">IF($M2951="","",TRIM(INDEX($A2951:$J2951,$O$6)&amp;""))</f>
        <v/>
      </c>
      <c r="P2951" s="37" t="str">
        <f aca="false">IF($M2951="","",IFERROR(IF(INDEX(Settings!$B$41:$B$50,MATCH(O2951,Settings!$A$41:$A$50,0))&amp;""="","UNMAPPED",INDEX(Settings!$B$41:$B$50,MATCH(O2951,Settings!$A$41:$A$50,0))&amp;""),"UNMAPPED"))</f>
        <v/>
      </c>
      <c r="Q2951" s="38" t="n">
        <f aca="false">IF($M2951="",0,N(INDEX($A2951:$J2951,$Q$6)))</f>
        <v>0</v>
      </c>
      <c r="R2951" s="39" t="str">
        <f aca="false">IF($M2951="","",INDEX($A2951:$J2951,$R$6))</f>
        <v/>
      </c>
      <c r="S2951" s="37" t="str">
        <f aca="false">IF($M2951="","",IFERROR(INDEX(Settings!$B$27:$B$36,MATCH(L2951,Settings!$A$27:$A$36,0))&amp;"","UNMAPPED"))</f>
        <v/>
      </c>
      <c r="T2951" s="37" t="str">
        <f aca="false">IF($M2951="","",IF(NOT(ISNUMBER(R2951)),"NO DATE",IF(S2951="Won",IF(R2951&gt;Settings!$B$5,"Backlog","Delivered"),IF(S2951="Open",IF(R2951&gt;Settings!$B$5,"Pipeline","Overdue"),IF(S2951="Lost","Lost","UNMAPPED")))))</f>
        <v/>
      </c>
      <c r="U2951" s="40" t="n">
        <f aca="false">IF(T2951="Backlog",1,IF(OR(T2951="Pipeline",T2951="Overdue"),N(INDEX(Settings!$C$27:$C$36,MATCH(L2951,Settings!$A$27:$A$36,0))),0))</f>
        <v>0</v>
      </c>
      <c r="V2951" s="38" t="n">
        <f aca="false">Q2951*U2951</f>
        <v>0</v>
      </c>
      <c r="W2951" s="41" t="str">
        <f aca="false">IF($M2951="","",IF(T2951="Overdue",IF(Settings!$B$8="Yes",Settings!$B$7,""),IF(ISNUMBER(R2951),DATE(YEAR(R2951),MONTH(R2951),1),"")))</f>
        <v/>
      </c>
      <c r="X2951" s="38" t="n">
        <f aca="false">IF(AND(OR(T2951="Backlog",T2951="Pipeline",T2951="Overdue"),ISNUMBER(W2951)),IF(W2951&lt;=Settings!$B$6,V2951,0),0)</f>
        <v>0</v>
      </c>
      <c r="Y2951" s="38" t="n">
        <f aca="false">IF(AND(OR(T2951="Backlog",T2951="Pipeline",T2951="Overdue"),ISNUMBER(W2951)),IF(W2951&lt;=Settings!$B$6,Q2951,0),0)</f>
        <v>0</v>
      </c>
      <c r="Z2951" s="38" t="n">
        <f aca="false">IF(Y2951=0,0,IF(T2951="Backlog",Q2951,Q2951*Dashboard!$C$10))</f>
        <v>0</v>
      </c>
      <c r="AA2951" s="37" t="n">
        <f aca="false">IF($N2951="",0,IF(COUNTIF(Dashboard!$C$13:$C$22,$N2951)&gt;0,1,0))</f>
        <v>0</v>
      </c>
      <c r="AB2951" s="37" t="str">
        <f aca="false">IF($N2951="","",IF(COUNTIF($N$8:$N2951,$N2951)=1,MAX($AB$7:$AB2950)+1,""))</f>
        <v/>
      </c>
    </row>
    <row r="2952" customFormat="false" ht="15" hidden="false" customHeight="false" outlineLevel="0" collapsed="false">
      <c r="L2952" s="37" t="str">
        <f aca="false">IF(INDEX($A2952:$J2952,$L$6)&lt;&gt;"",TRIM(LEFT(INDEX($A2952:$J2952,$L$6),FIND("(",INDEX($A2952:$J2952,$L$6)&amp;"(")-1)),L2951)</f>
        <v>Building Value Proposition</v>
      </c>
      <c r="M2952" s="37" t="str">
        <f aca="false">IF(INDEX($A2952:$J2952,$M$6)="","",INDEX($A2952:$J2952,$M$6)&amp;"")</f>
        <v/>
      </c>
      <c r="N2952" s="37" t="str">
        <f aca="false">IF($M2952="","",TRIM(INDEX($A2952:$J2952,$N$6)&amp;""))</f>
        <v/>
      </c>
      <c r="O2952" s="37" t="str">
        <f aca="false">IF($M2952="","",TRIM(INDEX($A2952:$J2952,$O$6)&amp;""))</f>
        <v/>
      </c>
      <c r="P2952" s="37" t="str">
        <f aca="false">IF($M2952="","",IFERROR(IF(INDEX(Settings!$B$41:$B$50,MATCH(O2952,Settings!$A$41:$A$50,0))&amp;""="","UNMAPPED",INDEX(Settings!$B$41:$B$50,MATCH(O2952,Settings!$A$41:$A$50,0))&amp;""),"UNMAPPED"))</f>
        <v/>
      </c>
      <c r="Q2952" s="38" t="n">
        <f aca="false">IF($M2952="",0,N(INDEX($A2952:$J2952,$Q$6)))</f>
        <v>0</v>
      </c>
      <c r="R2952" s="39" t="str">
        <f aca="false">IF($M2952="","",INDEX($A2952:$J2952,$R$6))</f>
        <v/>
      </c>
      <c r="S2952" s="37" t="str">
        <f aca="false">IF($M2952="","",IFERROR(INDEX(Settings!$B$27:$B$36,MATCH(L2952,Settings!$A$27:$A$36,0))&amp;"","UNMAPPED"))</f>
        <v/>
      </c>
      <c r="T2952" s="37" t="str">
        <f aca="false">IF($M2952="","",IF(NOT(ISNUMBER(R2952)),"NO DATE",IF(S2952="Won",IF(R2952&gt;Settings!$B$5,"Backlog","Delivered"),IF(S2952="Open",IF(R2952&gt;Settings!$B$5,"Pipeline","Overdue"),IF(S2952="Lost","Lost","UNMAPPED")))))</f>
        <v/>
      </c>
      <c r="U2952" s="40" t="n">
        <f aca="false">IF(T2952="Backlog",1,IF(OR(T2952="Pipeline",T2952="Overdue"),N(INDEX(Settings!$C$27:$C$36,MATCH(L2952,Settings!$A$27:$A$36,0))),0))</f>
        <v>0</v>
      </c>
      <c r="V2952" s="38" t="n">
        <f aca="false">Q2952*U2952</f>
        <v>0</v>
      </c>
      <c r="W2952" s="41" t="str">
        <f aca="false">IF($M2952="","",IF(T2952="Overdue",IF(Settings!$B$8="Yes",Settings!$B$7,""),IF(ISNUMBER(R2952),DATE(YEAR(R2952),MONTH(R2952),1),"")))</f>
        <v/>
      </c>
      <c r="X2952" s="38" t="n">
        <f aca="false">IF(AND(OR(T2952="Backlog",T2952="Pipeline",T2952="Overdue"),ISNUMBER(W2952)),IF(W2952&lt;=Settings!$B$6,V2952,0),0)</f>
        <v>0</v>
      </c>
      <c r="Y2952" s="38" t="n">
        <f aca="false">IF(AND(OR(T2952="Backlog",T2952="Pipeline",T2952="Overdue"),ISNUMBER(W2952)),IF(W2952&lt;=Settings!$B$6,Q2952,0),0)</f>
        <v>0</v>
      </c>
      <c r="Z2952" s="38" t="n">
        <f aca="false">IF(Y2952=0,0,IF(T2952="Backlog",Q2952,Q2952*Dashboard!$C$10))</f>
        <v>0</v>
      </c>
      <c r="AA2952" s="37" t="n">
        <f aca="false">IF($N2952="",0,IF(COUNTIF(Dashboard!$C$13:$C$22,$N2952)&gt;0,1,0))</f>
        <v>0</v>
      </c>
      <c r="AB2952" s="37" t="str">
        <f aca="false">IF($N2952="","",IF(COUNTIF($N$8:$N2952,$N2952)=1,MAX($AB$7:$AB2951)+1,""))</f>
        <v/>
      </c>
    </row>
    <row r="2953" customFormat="false" ht="15" hidden="false" customHeight="false" outlineLevel="0" collapsed="false">
      <c r="L2953" s="37" t="str">
        <f aca="false">IF(INDEX($A2953:$J2953,$L$6)&lt;&gt;"",TRIM(LEFT(INDEX($A2953:$J2953,$L$6),FIND("(",INDEX($A2953:$J2953,$L$6)&amp;"(")-1)),L2952)</f>
        <v>Building Value Proposition</v>
      </c>
      <c r="M2953" s="37" t="str">
        <f aca="false">IF(INDEX($A2953:$J2953,$M$6)="","",INDEX($A2953:$J2953,$M$6)&amp;"")</f>
        <v/>
      </c>
      <c r="N2953" s="37" t="str">
        <f aca="false">IF($M2953="","",TRIM(INDEX($A2953:$J2953,$N$6)&amp;""))</f>
        <v/>
      </c>
      <c r="O2953" s="37" t="str">
        <f aca="false">IF($M2953="","",TRIM(INDEX($A2953:$J2953,$O$6)&amp;""))</f>
        <v/>
      </c>
      <c r="P2953" s="37" t="str">
        <f aca="false">IF($M2953="","",IFERROR(IF(INDEX(Settings!$B$41:$B$50,MATCH(O2953,Settings!$A$41:$A$50,0))&amp;""="","UNMAPPED",INDEX(Settings!$B$41:$B$50,MATCH(O2953,Settings!$A$41:$A$50,0))&amp;""),"UNMAPPED"))</f>
        <v/>
      </c>
      <c r="Q2953" s="38" t="n">
        <f aca="false">IF($M2953="",0,N(INDEX($A2953:$J2953,$Q$6)))</f>
        <v>0</v>
      </c>
      <c r="R2953" s="39" t="str">
        <f aca="false">IF($M2953="","",INDEX($A2953:$J2953,$R$6))</f>
        <v/>
      </c>
      <c r="S2953" s="37" t="str">
        <f aca="false">IF($M2953="","",IFERROR(INDEX(Settings!$B$27:$B$36,MATCH(L2953,Settings!$A$27:$A$36,0))&amp;"","UNMAPPED"))</f>
        <v/>
      </c>
      <c r="T2953" s="37" t="str">
        <f aca="false">IF($M2953="","",IF(NOT(ISNUMBER(R2953)),"NO DATE",IF(S2953="Won",IF(R2953&gt;Settings!$B$5,"Backlog","Delivered"),IF(S2953="Open",IF(R2953&gt;Settings!$B$5,"Pipeline","Overdue"),IF(S2953="Lost","Lost","UNMAPPED")))))</f>
        <v/>
      </c>
      <c r="U2953" s="40" t="n">
        <f aca="false">IF(T2953="Backlog",1,IF(OR(T2953="Pipeline",T2953="Overdue"),N(INDEX(Settings!$C$27:$C$36,MATCH(L2953,Settings!$A$27:$A$36,0))),0))</f>
        <v>0</v>
      </c>
      <c r="V2953" s="38" t="n">
        <f aca="false">Q2953*U2953</f>
        <v>0</v>
      </c>
      <c r="W2953" s="41" t="str">
        <f aca="false">IF($M2953="","",IF(T2953="Overdue",IF(Settings!$B$8="Yes",Settings!$B$7,""),IF(ISNUMBER(R2953),DATE(YEAR(R2953),MONTH(R2953),1),"")))</f>
        <v/>
      </c>
      <c r="X2953" s="38" t="n">
        <f aca="false">IF(AND(OR(T2953="Backlog",T2953="Pipeline",T2953="Overdue"),ISNUMBER(W2953)),IF(W2953&lt;=Settings!$B$6,V2953,0),0)</f>
        <v>0</v>
      </c>
      <c r="Y2953" s="38" t="n">
        <f aca="false">IF(AND(OR(T2953="Backlog",T2953="Pipeline",T2953="Overdue"),ISNUMBER(W2953)),IF(W2953&lt;=Settings!$B$6,Q2953,0),0)</f>
        <v>0</v>
      </c>
      <c r="Z2953" s="38" t="n">
        <f aca="false">IF(Y2953=0,0,IF(T2953="Backlog",Q2953,Q2953*Dashboard!$C$10))</f>
        <v>0</v>
      </c>
      <c r="AA2953" s="37" t="n">
        <f aca="false">IF($N2953="",0,IF(COUNTIF(Dashboard!$C$13:$C$22,$N2953)&gt;0,1,0))</f>
        <v>0</v>
      </c>
      <c r="AB2953" s="37" t="str">
        <f aca="false">IF($N2953="","",IF(COUNTIF($N$8:$N2953,$N2953)=1,MAX($AB$7:$AB2952)+1,""))</f>
        <v/>
      </c>
    </row>
    <row r="2954" customFormat="false" ht="15" hidden="false" customHeight="false" outlineLevel="0" collapsed="false">
      <c r="L2954" s="37" t="str">
        <f aca="false">IF(INDEX($A2954:$J2954,$L$6)&lt;&gt;"",TRIM(LEFT(INDEX($A2954:$J2954,$L$6),FIND("(",INDEX($A2954:$J2954,$L$6)&amp;"(")-1)),L2953)</f>
        <v>Building Value Proposition</v>
      </c>
      <c r="M2954" s="37" t="str">
        <f aca="false">IF(INDEX($A2954:$J2954,$M$6)="","",INDEX($A2954:$J2954,$M$6)&amp;"")</f>
        <v/>
      </c>
      <c r="N2954" s="37" t="str">
        <f aca="false">IF($M2954="","",TRIM(INDEX($A2954:$J2954,$N$6)&amp;""))</f>
        <v/>
      </c>
      <c r="O2954" s="37" t="str">
        <f aca="false">IF($M2954="","",TRIM(INDEX($A2954:$J2954,$O$6)&amp;""))</f>
        <v/>
      </c>
      <c r="P2954" s="37" t="str">
        <f aca="false">IF($M2954="","",IFERROR(IF(INDEX(Settings!$B$41:$B$50,MATCH(O2954,Settings!$A$41:$A$50,0))&amp;""="","UNMAPPED",INDEX(Settings!$B$41:$B$50,MATCH(O2954,Settings!$A$41:$A$50,0))&amp;""),"UNMAPPED"))</f>
        <v/>
      </c>
      <c r="Q2954" s="38" t="n">
        <f aca="false">IF($M2954="",0,N(INDEX($A2954:$J2954,$Q$6)))</f>
        <v>0</v>
      </c>
      <c r="R2954" s="39" t="str">
        <f aca="false">IF($M2954="","",INDEX($A2954:$J2954,$R$6))</f>
        <v/>
      </c>
      <c r="S2954" s="37" t="str">
        <f aca="false">IF($M2954="","",IFERROR(INDEX(Settings!$B$27:$B$36,MATCH(L2954,Settings!$A$27:$A$36,0))&amp;"","UNMAPPED"))</f>
        <v/>
      </c>
      <c r="T2954" s="37" t="str">
        <f aca="false">IF($M2954="","",IF(NOT(ISNUMBER(R2954)),"NO DATE",IF(S2954="Won",IF(R2954&gt;Settings!$B$5,"Backlog","Delivered"),IF(S2954="Open",IF(R2954&gt;Settings!$B$5,"Pipeline","Overdue"),IF(S2954="Lost","Lost","UNMAPPED")))))</f>
        <v/>
      </c>
      <c r="U2954" s="40" t="n">
        <f aca="false">IF(T2954="Backlog",1,IF(OR(T2954="Pipeline",T2954="Overdue"),N(INDEX(Settings!$C$27:$C$36,MATCH(L2954,Settings!$A$27:$A$36,0))),0))</f>
        <v>0</v>
      </c>
      <c r="V2954" s="38" t="n">
        <f aca="false">Q2954*U2954</f>
        <v>0</v>
      </c>
      <c r="W2954" s="41" t="str">
        <f aca="false">IF($M2954="","",IF(T2954="Overdue",IF(Settings!$B$8="Yes",Settings!$B$7,""),IF(ISNUMBER(R2954),DATE(YEAR(R2954),MONTH(R2954),1),"")))</f>
        <v/>
      </c>
      <c r="X2954" s="38" t="n">
        <f aca="false">IF(AND(OR(T2954="Backlog",T2954="Pipeline",T2954="Overdue"),ISNUMBER(W2954)),IF(W2954&lt;=Settings!$B$6,V2954,0),0)</f>
        <v>0</v>
      </c>
      <c r="Y2954" s="38" t="n">
        <f aca="false">IF(AND(OR(T2954="Backlog",T2954="Pipeline",T2954="Overdue"),ISNUMBER(W2954)),IF(W2954&lt;=Settings!$B$6,Q2954,0),0)</f>
        <v>0</v>
      </c>
      <c r="Z2954" s="38" t="n">
        <f aca="false">IF(Y2954=0,0,IF(T2954="Backlog",Q2954,Q2954*Dashboard!$C$10))</f>
        <v>0</v>
      </c>
      <c r="AA2954" s="37" t="n">
        <f aca="false">IF($N2954="",0,IF(COUNTIF(Dashboard!$C$13:$C$22,$N2954)&gt;0,1,0))</f>
        <v>0</v>
      </c>
      <c r="AB2954" s="37" t="str">
        <f aca="false">IF($N2954="","",IF(COUNTIF($N$8:$N2954,$N2954)=1,MAX($AB$7:$AB2953)+1,""))</f>
        <v/>
      </c>
    </row>
    <row r="2955" customFormat="false" ht="15" hidden="false" customHeight="false" outlineLevel="0" collapsed="false">
      <c r="L2955" s="37" t="str">
        <f aca="false">IF(INDEX($A2955:$J2955,$L$6)&lt;&gt;"",TRIM(LEFT(INDEX($A2955:$J2955,$L$6),FIND("(",INDEX($A2955:$J2955,$L$6)&amp;"(")-1)),L2954)</f>
        <v>Building Value Proposition</v>
      </c>
      <c r="M2955" s="37" t="str">
        <f aca="false">IF(INDEX($A2955:$J2955,$M$6)="","",INDEX($A2955:$J2955,$M$6)&amp;"")</f>
        <v/>
      </c>
      <c r="N2955" s="37" t="str">
        <f aca="false">IF($M2955="","",TRIM(INDEX($A2955:$J2955,$N$6)&amp;""))</f>
        <v/>
      </c>
      <c r="O2955" s="37" t="str">
        <f aca="false">IF($M2955="","",TRIM(INDEX($A2955:$J2955,$O$6)&amp;""))</f>
        <v/>
      </c>
      <c r="P2955" s="37" t="str">
        <f aca="false">IF($M2955="","",IFERROR(IF(INDEX(Settings!$B$41:$B$50,MATCH(O2955,Settings!$A$41:$A$50,0))&amp;""="","UNMAPPED",INDEX(Settings!$B$41:$B$50,MATCH(O2955,Settings!$A$41:$A$50,0))&amp;""),"UNMAPPED"))</f>
        <v/>
      </c>
      <c r="Q2955" s="38" t="n">
        <f aca="false">IF($M2955="",0,N(INDEX($A2955:$J2955,$Q$6)))</f>
        <v>0</v>
      </c>
      <c r="R2955" s="39" t="str">
        <f aca="false">IF($M2955="","",INDEX($A2955:$J2955,$R$6))</f>
        <v/>
      </c>
      <c r="S2955" s="37" t="str">
        <f aca="false">IF($M2955="","",IFERROR(INDEX(Settings!$B$27:$B$36,MATCH(L2955,Settings!$A$27:$A$36,0))&amp;"","UNMAPPED"))</f>
        <v/>
      </c>
      <c r="T2955" s="37" t="str">
        <f aca="false">IF($M2955="","",IF(NOT(ISNUMBER(R2955)),"NO DATE",IF(S2955="Won",IF(R2955&gt;Settings!$B$5,"Backlog","Delivered"),IF(S2955="Open",IF(R2955&gt;Settings!$B$5,"Pipeline","Overdue"),IF(S2955="Lost","Lost","UNMAPPED")))))</f>
        <v/>
      </c>
      <c r="U2955" s="40" t="n">
        <f aca="false">IF(T2955="Backlog",1,IF(OR(T2955="Pipeline",T2955="Overdue"),N(INDEX(Settings!$C$27:$C$36,MATCH(L2955,Settings!$A$27:$A$36,0))),0))</f>
        <v>0</v>
      </c>
      <c r="V2955" s="38" t="n">
        <f aca="false">Q2955*U2955</f>
        <v>0</v>
      </c>
      <c r="W2955" s="41" t="str">
        <f aca="false">IF($M2955="","",IF(T2955="Overdue",IF(Settings!$B$8="Yes",Settings!$B$7,""),IF(ISNUMBER(R2955),DATE(YEAR(R2955),MONTH(R2955),1),"")))</f>
        <v/>
      </c>
      <c r="X2955" s="38" t="n">
        <f aca="false">IF(AND(OR(T2955="Backlog",T2955="Pipeline",T2955="Overdue"),ISNUMBER(W2955)),IF(W2955&lt;=Settings!$B$6,V2955,0),0)</f>
        <v>0</v>
      </c>
      <c r="Y2955" s="38" t="n">
        <f aca="false">IF(AND(OR(T2955="Backlog",T2955="Pipeline",T2955="Overdue"),ISNUMBER(W2955)),IF(W2955&lt;=Settings!$B$6,Q2955,0),0)</f>
        <v>0</v>
      </c>
      <c r="Z2955" s="38" t="n">
        <f aca="false">IF(Y2955=0,0,IF(T2955="Backlog",Q2955,Q2955*Dashboard!$C$10))</f>
        <v>0</v>
      </c>
      <c r="AA2955" s="37" t="n">
        <f aca="false">IF($N2955="",0,IF(COUNTIF(Dashboard!$C$13:$C$22,$N2955)&gt;0,1,0))</f>
        <v>0</v>
      </c>
      <c r="AB2955" s="37" t="str">
        <f aca="false">IF($N2955="","",IF(COUNTIF($N$8:$N2955,$N2955)=1,MAX($AB$7:$AB2954)+1,""))</f>
        <v/>
      </c>
    </row>
    <row r="2956" customFormat="false" ht="15" hidden="false" customHeight="false" outlineLevel="0" collapsed="false">
      <c r="L2956" s="37" t="str">
        <f aca="false">IF(INDEX($A2956:$J2956,$L$6)&lt;&gt;"",TRIM(LEFT(INDEX($A2956:$J2956,$L$6),FIND("(",INDEX($A2956:$J2956,$L$6)&amp;"(")-1)),L2955)</f>
        <v>Building Value Proposition</v>
      </c>
      <c r="M2956" s="37" t="str">
        <f aca="false">IF(INDEX($A2956:$J2956,$M$6)="","",INDEX($A2956:$J2956,$M$6)&amp;"")</f>
        <v/>
      </c>
      <c r="N2956" s="37" t="str">
        <f aca="false">IF($M2956="","",TRIM(INDEX($A2956:$J2956,$N$6)&amp;""))</f>
        <v/>
      </c>
      <c r="O2956" s="37" t="str">
        <f aca="false">IF($M2956="","",TRIM(INDEX($A2956:$J2956,$O$6)&amp;""))</f>
        <v/>
      </c>
      <c r="P2956" s="37" t="str">
        <f aca="false">IF($M2956="","",IFERROR(IF(INDEX(Settings!$B$41:$B$50,MATCH(O2956,Settings!$A$41:$A$50,0))&amp;""="","UNMAPPED",INDEX(Settings!$B$41:$B$50,MATCH(O2956,Settings!$A$41:$A$50,0))&amp;""),"UNMAPPED"))</f>
        <v/>
      </c>
      <c r="Q2956" s="38" t="n">
        <f aca="false">IF($M2956="",0,N(INDEX($A2956:$J2956,$Q$6)))</f>
        <v>0</v>
      </c>
      <c r="R2956" s="39" t="str">
        <f aca="false">IF($M2956="","",INDEX($A2956:$J2956,$R$6))</f>
        <v/>
      </c>
      <c r="S2956" s="37" t="str">
        <f aca="false">IF($M2956="","",IFERROR(INDEX(Settings!$B$27:$B$36,MATCH(L2956,Settings!$A$27:$A$36,0))&amp;"","UNMAPPED"))</f>
        <v/>
      </c>
      <c r="T2956" s="37" t="str">
        <f aca="false">IF($M2956="","",IF(NOT(ISNUMBER(R2956)),"NO DATE",IF(S2956="Won",IF(R2956&gt;Settings!$B$5,"Backlog","Delivered"),IF(S2956="Open",IF(R2956&gt;Settings!$B$5,"Pipeline","Overdue"),IF(S2956="Lost","Lost","UNMAPPED")))))</f>
        <v/>
      </c>
      <c r="U2956" s="40" t="n">
        <f aca="false">IF(T2956="Backlog",1,IF(OR(T2956="Pipeline",T2956="Overdue"),N(INDEX(Settings!$C$27:$C$36,MATCH(L2956,Settings!$A$27:$A$36,0))),0))</f>
        <v>0</v>
      </c>
      <c r="V2956" s="38" t="n">
        <f aca="false">Q2956*U2956</f>
        <v>0</v>
      </c>
      <c r="W2956" s="41" t="str">
        <f aca="false">IF($M2956="","",IF(T2956="Overdue",IF(Settings!$B$8="Yes",Settings!$B$7,""),IF(ISNUMBER(R2956),DATE(YEAR(R2956),MONTH(R2956),1),"")))</f>
        <v/>
      </c>
      <c r="X2956" s="38" t="n">
        <f aca="false">IF(AND(OR(T2956="Backlog",T2956="Pipeline",T2956="Overdue"),ISNUMBER(W2956)),IF(W2956&lt;=Settings!$B$6,V2956,0),0)</f>
        <v>0</v>
      </c>
      <c r="Y2956" s="38" t="n">
        <f aca="false">IF(AND(OR(T2956="Backlog",T2956="Pipeline",T2956="Overdue"),ISNUMBER(W2956)),IF(W2956&lt;=Settings!$B$6,Q2956,0),0)</f>
        <v>0</v>
      </c>
      <c r="Z2956" s="38" t="n">
        <f aca="false">IF(Y2956=0,0,IF(T2956="Backlog",Q2956,Q2956*Dashboard!$C$10))</f>
        <v>0</v>
      </c>
      <c r="AA2956" s="37" t="n">
        <f aca="false">IF($N2956="",0,IF(COUNTIF(Dashboard!$C$13:$C$22,$N2956)&gt;0,1,0))</f>
        <v>0</v>
      </c>
      <c r="AB2956" s="37" t="str">
        <f aca="false">IF($N2956="","",IF(COUNTIF($N$8:$N2956,$N2956)=1,MAX($AB$7:$AB2955)+1,""))</f>
        <v/>
      </c>
    </row>
    <row r="2957" customFormat="false" ht="15" hidden="false" customHeight="false" outlineLevel="0" collapsed="false">
      <c r="L2957" s="37" t="str">
        <f aca="false">IF(INDEX($A2957:$J2957,$L$6)&lt;&gt;"",TRIM(LEFT(INDEX($A2957:$J2957,$L$6),FIND("(",INDEX($A2957:$J2957,$L$6)&amp;"(")-1)),L2956)</f>
        <v>Building Value Proposition</v>
      </c>
      <c r="M2957" s="37" t="str">
        <f aca="false">IF(INDEX($A2957:$J2957,$M$6)="","",INDEX($A2957:$J2957,$M$6)&amp;"")</f>
        <v/>
      </c>
      <c r="N2957" s="37" t="str">
        <f aca="false">IF($M2957="","",TRIM(INDEX($A2957:$J2957,$N$6)&amp;""))</f>
        <v/>
      </c>
      <c r="O2957" s="37" t="str">
        <f aca="false">IF($M2957="","",TRIM(INDEX($A2957:$J2957,$O$6)&amp;""))</f>
        <v/>
      </c>
      <c r="P2957" s="37" t="str">
        <f aca="false">IF($M2957="","",IFERROR(IF(INDEX(Settings!$B$41:$B$50,MATCH(O2957,Settings!$A$41:$A$50,0))&amp;""="","UNMAPPED",INDEX(Settings!$B$41:$B$50,MATCH(O2957,Settings!$A$41:$A$50,0))&amp;""),"UNMAPPED"))</f>
        <v/>
      </c>
      <c r="Q2957" s="38" t="n">
        <f aca="false">IF($M2957="",0,N(INDEX($A2957:$J2957,$Q$6)))</f>
        <v>0</v>
      </c>
      <c r="R2957" s="39" t="str">
        <f aca="false">IF($M2957="","",INDEX($A2957:$J2957,$R$6))</f>
        <v/>
      </c>
      <c r="S2957" s="37" t="str">
        <f aca="false">IF($M2957="","",IFERROR(INDEX(Settings!$B$27:$B$36,MATCH(L2957,Settings!$A$27:$A$36,0))&amp;"","UNMAPPED"))</f>
        <v/>
      </c>
      <c r="T2957" s="37" t="str">
        <f aca="false">IF($M2957="","",IF(NOT(ISNUMBER(R2957)),"NO DATE",IF(S2957="Won",IF(R2957&gt;Settings!$B$5,"Backlog","Delivered"),IF(S2957="Open",IF(R2957&gt;Settings!$B$5,"Pipeline","Overdue"),IF(S2957="Lost","Lost","UNMAPPED")))))</f>
        <v/>
      </c>
      <c r="U2957" s="40" t="n">
        <f aca="false">IF(T2957="Backlog",1,IF(OR(T2957="Pipeline",T2957="Overdue"),N(INDEX(Settings!$C$27:$C$36,MATCH(L2957,Settings!$A$27:$A$36,0))),0))</f>
        <v>0</v>
      </c>
      <c r="V2957" s="38" t="n">
        <f aca="false">Q2957*U2957</f>
        <v>0</v>
      </c>
      <c r="W2957" s="41" t="str">
        <f aca="false">IF($M2957="","",IF(T2957="Overdue",IF(Settings!$B$8="Yes",Settings!$B$7,""),IF(ISNUMBER(R2957),DATE(YEAR(R2957),MONTH(R2957),1),"")))</f>
        <v/>
      </c>
      <c r="X2957" s="38" t="n">
        <f aca="false">IF(AND(OR(T2957="Backlog",T2957="Pipeline",T2957="Overdue"),ISNUMBER(W2957)),IF(W2957&lt;=Settings!$B$6,V2957,0),0)</f>
        <v>0</v>
      </c>
      <c r="Y2957" s="38" t="n">
        <f aca="false">IF(AND(OR(T2957="Backlog",T2957="Pipeline",T2957="Overdue"),ISNUMBER(W2957)),IF(W2957&lt;=Settings!$B$6,Q2957,0),0)</f>
        <v>0</v>
      </c>
      <c r="Z2957" s="38" t="n">
        <f aca="false">IF(Y2957=0,0,IF(T2957="Backlog",Q2957,Q2957*Dashboard!$C$10))</f>
        <v>0</v>
      </c>
      <c r="AA2957" s="37" t="n">
        <f aca="false">IF($N2957="",0,IF(COUNTIF(Dashboard!$C$13:$C$22,$N2957)&gt;0,1,0))</f>
        <v>0</v>
      </c>
      <c r="AB2957" s="37" t="str">
        <f aca="false">IF($N2957="","",IF(COUNTIF($N$8:$N2957,$N2957)=1,MAX($AB$7:$AB2956)+1,""))</f>
        <v/>
      </c>
    </row>
    <row r="2958" customFormat="false" ht="15" hidden="false" customHeight="false" outlineLevel="0" collapsed="false">
      <c r="L2958" s="37" t="str">
        <f aca="false">IF(INDEX($A2958:$J2958,$L$6)&lt;&gt;"",TRIM(LEFT(INDEX($A2958:$J2958,$L$6),FIND("(",INDEX($A2958:$J2958,$L$6)&amp;"(")-1)),L2957)</f>
        <v>Building Value Proposition</v>
      </c>
      <c r="M2958" s="37" t="str">
        <f aca="false">IF(INDEX($A2958:$J2958,$M$6)="","",INDEX($A2958:$J2958,$M$6)&amp;"")</f>
        <v/>
      </c>
      <c r="N2958" s="37" t="str">
        <f aca="false">IF($M2958="","",TRIM(INDEX($A2958:$J2958,$N$6)&amp;""))</f>
        <v/>
      </c>
      <c r="O2958" s="37" t="str">
        <f aca="false">IF($M2958="","",TRIM(INDEX($A2958:$J2958,$O$6)&amp;""))</f>
        <v/>
      </c>
      <c r="P2958" s="37" t="str">
        <f aca="false">IF($M2958="","",IFERROR(IF(INDEX(Settings!$B$41:$B$50,MATCH(O2958,Settings!$A$41:$A$50,0))&amp;""="","UNMAPPED",INDEX(Settings!$B$41:$B$50,MATCH(O2958,Settings!$A$41:$A$50,0))&amp;""),"UNMAPPED"))</f>
        <v/>
      </c>
      <c r="Q2958" s="38" t="n">
        <f aca="false">IF($M2958="",0,N(INDEX($A2958:$J2958,$Q$6)))</f>
        <v>0</v>
      </c>
      <c r="R2958" s="39" t="str">
        <f aca="false">IF($M2958="","",INDEX($A2958:$J2958,$R$6))</f>
        <v/>
      </c>
      <c r="S2958" s="37" t="str">
        <f aca="false">IF($M2958="","",IFERROR(INDEX(Settings!$B$27:$B$36,MATCH(L2958,Settings!$A$27:$A$36,0))&amp;"","UNMAPPED"))</f>
        <v/>
      </c>
      <c r="T2958" s="37" t="str">
        <f aca="false">IF($M2958="","",IF(NOT(ISNUMBER(R2958)),"NO DATE",IF(S2958="Won",IF(R2958&gt;Settings!$B$5,"Backlog","Delivered"),IF(S2958="Open",IF(R2958&gt;Settings!$B$5,"Pipeline","Overdue"),IF(S2958="Lost","Lost","UNMAPPED")))))</f>
        <v/>
      </c>
      <c r="U2958" s="40" t="n">
        <f aca="false">IF(T2958="Backlog",1,IF(OR(T2958="Pipeline",T2958="Overdue"),N(INDEX(Settings!$C$27:$C$36,MATCH(L2958,Settings!$A$27:$A$36,0))),0))</f>
        <v>0</v>
      </c>
      <c r="V2958" s="38" t="n">
        <f aca="false">Q2958*U2958</f>
        <v>0</v>
      </c>
      <c r="W2958" s="41" t="str">
        <f aca="false">IF($M2958="","",IF(T2958="Overdue",IF(Settings!$B$8="Yes",Settings!$B$7,""),IF(ISNUMBER(R2958),DATE(YEAR(R2958),MONTH(R2958),1),"")))</f>
        <v/>
      </c>
      <c r="X2958" s="38" t="n">
        <f aca="false">IF(AND(OR(T2958="Backlog",T2958="Pipeline",T2958="Overdue"),ISNUMBER(W2958)),IF(W2958&lt;=Settings!$B$6,V2958,0),0)</f>
        <v>0</v>
      </c>
      <c r="Y2958" s="38" t="n">
        <f aca="false">IF(AND(OR(T2958="Backlog",T2958="Pipeline",T2958="Overdue"),ISNUMBER(W2958)),IF(W2958&lt;=Settings!$B$6,Q2958,0),0)</f>
        <v>0</v>
      </c>
      <c r="Z2958" s="38" t="n">
        <f aca="false">IF(Y2958=0,0,IF(T2958="Backlog",Q2958,Q2958*Dashboard!$C$10))</f>
        <v>0</v>
      </c>
      <c r="AA2958" s="37" t="n">
        <f aca="false">IF($N2958="",0,IF(COUNTIF(Dashboard!$C$13:$C$22,$N2958)&gt;0,1,0))</f>
        <v>0</v>
      </c>
      <c r="AB2958" s="37" t="str">
        <f aca="false">IF($N2958="","",IF(COUNTIF($N$8:$N2958,$N2958)=1,MAX($AB$7:$AB2957)+1,""))</f>
        <v/>
      </c>
    </row>
    <row r="2959" customFormat="false" ht="15" hidden="false" customHeight="false" outlineLevel="0" collapsed="false">
      <c r="L2959" s="37" t="str">
        <f aca="false">IF(INDEX($A2959:$J2959,$L$6)&lt;&gt;"",TRIM(LEFT(INDEX($A2959:$J2959,$L$6),FIND("(",INDEX($A2959:$J2959,$L$6)&amp;"(")-1)),L2958)</f>
        <v>Building Value Proposition</v>
      </c>
      <c r="M2959" s="37" t="str">
        <f aca="false">IF(INDEX($A2959:$J2959,$M$6)="","",INDEX($A2959:$J2959,$M$6)&amp;"")</f>
        <v/>
      </c>
      <c r="N2959" s="37" t="str">
        <f aca="false">IF($M2959="","",TRIM(INDEX($A2959:$J2959,$N$6)&amp;""))</f>
        <v/>
      </c>
      <c r="O2959" s="37" t="str">
        <f aca="false">IF($M2959="","",TRIM(INDEX($A2959:$J2959,$O$6)&amp;""))</f>
        <v/>
      </c>
      <c r="P2959" s="37" t="str">
        <f aca="false">IF($M2959="","",IFERROR(IF(INDEX(Settings!$B$41:$B$50,MATCH(O2959,Settings!$A$41:$A$50,0))&amp;""="","UNMAPPED",INDEX(Settings!$B$41:$B$50,MATCH(O2959,Settings!$A$41:$A$50,0))&amp;""),"UNMAPPED"))</f>
        <v/>
      </c>
      <c r="Q2959" s="38" t="n">
        <f aca="false">IF($M2959="",0,N(INDEX($A2959:$J2959,$Q$6)))</f>
        <v>0</v>
      </c>
      <c r="R2959" s="39" t="str">
        <f aca="false">IF($M2959="","",INDEX($A2959:$J2959,$R$6))</f>
        <v/>
      </c>
      <c r="S2959" s="37" t="str">
        <f aca="false">IF($M2959="","",IFERROR(INDEX(Settings!$B$27:$B$36,MATCH(L2959,Settings!$A$27:$A$36,0))&amp;"","UNMAPPED"))</f>
        <v/>
      </c>
      <c r="T2959" s="37" t="str">
        <f aca="false">IF($M2959="","",IF(NOT(ISNUMBER(R2959)),"NO DATE",IF(S2959="Won",IF(R2959&gt;Settings!$B$5,"Backlog","Delivered"),IF(S2959="Open",IF(R2959&gt;Settings!$B$5,"Pipeline","Overdue"),IF(S2959="Lost","Lost","UNMAPPED")))))</f>
        <v/>
      </c>
      <c r="U2959" s="40" t="n">
        <f aca="false">IF(T2959="Backlog",1,IF(OR(T2959="Pipeline",T2959="Overdue"),N(INDEX(Settings!$C$27:$C$36,MATCH(L2959,Settings!$A$27:$A$36,0))),0))</f>
        <v>0</v>
      </c>
      <c r="V2959" s="38" t="n">
        <f aca="false">Q2959*U2959</f>
        <v>0</v>
      </c>
      <c r="W2959" s="41" t="str">
        <f aca="false">IF($M2959="","",IF(T2959="Overdue",IF(Settings!$B$8="Yes",Settings!$B$7,""),IF(ISNUMBER(R2959),DATE(YEAR(R2959),MONTH(R2959),1),"")))</f>
        <v/>
      </c>
      <c r="X2959" s="38" t="n">
        <f aca="false">IF(AND(OR(T2959="Backlog",T2959="Pipeline",T2959="Overdue"),ISNUMBER(W2959)),IF(W2959&lt;=Settings!$B$6,V2959,0),0)</f>
        <v>0</v>
      </c>
      <c r="Y2959" s="38" t="n">
        <f aca="false">IF(AND(OR(T2959="Backlog",T2959="Pipeline",T2959="Overdue"),ISNUMBER(W2959)),IF(W2959&lt;=Settings!$B$6,Q2959,0),0)</f>
        <v>0</v>
      </c>
      <c r="Z2959" s="38" t="n">
        <f aca="false">IF(Y2959=0,0,IF(T2959="Backlog",Q2959,Q2959*Dashboard!$C$10))</f>
        <v>0</v>
      </c>
      <c r="AA2959" s="37" t="n">
        <f aca="false">IF($N2959="",0,IF(COUNTIF(Dashboard!$C$13:$C$22,$N2959)&gt;0,1,0))</f>
        <v>0</v>
      </c>
      <c r="AB2959" s="37" t="str">
        <f aca="false">IF($N2959="","",IF(COUNTIF($N$8:$N2959,$N2959)=1,MAX($AB$7:$AB2958)+1,""))</f>
        <v/>
      </c>
    </row>
    <row r="2960" customFormat="false" ht="15" hidden="false" customHeight="false" outlineLevel="0" collapsed="false">
      <c r="L2960" s="37" t="str">
        <f aca="false">IF(INDEX($A2960:$J2960,$L$6)&lt;&gt;"",TRIM(LEFT(INDEX($A2960:$J2960,$L$6),FIND("(",INDEX($A2960:$J2960,$L$6)&amp;"(")-1)),L2959)</f>
        <v>Building Value Proposition</v>
      </c>
      <c r="M2960" s="37" t="str">
        <f aca="false">IF(INDEX($A2960:$J2960,$M$6)="","",INDEX($A2960:$J2960,$M$6)&amp;"")</f>
        <v/>
      </c>
      <c r="N2960" s="37" t="str">
        <f aca="false">IF($M2960="","",TRIM(INDEX($A2960:$J2960,$N$6)&amp;""))</f>
        <v/>
      </c>
      <c r="O2960" s="37" t="str">
        <f aca="false">IF($M2960="","",TRIM(INDEX($A2960:$J2960,$O$6)&amp;""))</f>
        <v/>
      </c>
      <c r="P2960" s="37" t="str">
        <f aca="false">IF($M2960="","",IFERROR(IF(INDEX(Settings!$B$41:$B$50,MATCH(O2960,Settings!$A$41:$A$50,0))&amp;""="","UNMAPPED",INDEX(Settings!$B$41:$B$50,MATCH(O2960,Settings!$A$41:$A$50,0))&amp;""),"UNMAPPED"))</f>
        <v/>
      </c>
      <c r="Q2960" s="38" t="n">
        <f aca="false">IF($M2960="",0,N(INDEX($A2960:$J2960,$Q$6)))</f>
        <v>0</v>
      </c>
      <c r="R2960" s="39" t="str">
        <f aca="false">IF($M2960="","",INDEX($A2960:$J2960,$R$6))</f>
        <v/>
      </c>
      <c r="S2960" s="37" t="str">
        <f aca="false">IF($M2960="","",IFERROR(INDEX(Settings!$B$27:$B$36,MATCH(L2960,Settings!$A$27:$A$36,0))&amp;"","UNMAPPED"))</f>
        <v/>
      </c>
      <c r="T2960" s="37" t="str">
        <f aca="false">IF($M2960="","",IF(NOT(ISNUMBER(R2960)),"NO DATE",IF(S2960="Won",IF(R2960&gt;Settings!$B$5,"Backlog","Delivered"),IF(S2960="Open",IF(R2960&gt;Settings!$B$5,"Pipeline","Overdue"),IF(S2960="Lost","Lost","UNMAPPED")))))</f>
        <v/>
      </c>
      <c r="U2960" s="40" t="n">
        <f aca="false">IF(T2960="Backlog",1,IF(OR(T2960="Pipeline",T2960="Overdue"),N(INDEX(Settings!$C$27:$C$36,MATCH(L2960,Settings!$A$27:$A$36,0))),0))</f>
        <v>0</v>
      </c>
      <c r="V2960" s="38" t="n">
        <f aca="false">Q2960*U2960</f>
        <v>0</v>
      </c>
      <c r="W2960" s="41" t="str">
        <f aca="false">IF($M2960="","",IF(T2960="Overdue",IF(Settings!$B$8="Yes",Settings!$B$7,""),IF(ISNUMBER(R2960),DATE(YEAR(R2960),MONTH(R2960),1),"")))</f>
        <v/>
      </c>
      <c r="X2960" s="38" t="n">
        <f aca="false">IF(AND(OR(T2960="Backlog",T2960="Pipeline",T2960="Overdue"),ISNUMBER(W2960)),IF(W2960&lt;=Settings!$B$6,V2960,0),0)</f>
        <v>0</v>
      </c>
      <c r="Y2960" s="38" t="n">
        <f aca="false">IF(AND(OR(T2960="Backlog",T2960="Pipeline",T2960="Overdue"),ISNUMBER(W2960)),IF(W2960&lt;=Settings!$B$6,Q2960,0),0)</f>
        <v>0</v>
      </c>
      <c r="Z2960" s="38" t="n">
        <f aca="false">IF(Y2960=0,0,IF(T2960="Backlog",Q2960,Q2960*Dashboard!$C$10))</f>
        <v>0</v>
      </c>
      <c r="AA2960" s="37" t="n">
        <f aca="false">IF($N2960="",0,IF(COUNTIF(Dashboard!$C$13:$C$22,$N2960)&gt;0,1,0))</f>
        <v>0</v>
      </c>
      <c r="AB2960" s="37" t="str">
        <f aca="false">IF($N2960="","",IF(COUNTIF($N$8:$N2960,$N2960)=1,MAX($AB$7:$AB2959)+1,""))</f>
        <v/>
      </c>
    </row>
    <row r="2961" customFormat="false" ht="15" hidden="false" customHeight="false" outlineLevel="0" collapsed="false">
      <c r="L2961" s="37" t="str">
        <f aca="false">IF(INDEX($A2961:$J2961,$L$6)&lt;&gt;"",TRIM(LEFT(INDEX($A2961:$J2961,$L$6),FIND("(",INDEX($A2961:$J2961,$L$6)&amp;"(")-1)),L2960)</f>
        <v>Building Value Proposition</v>
      </c>
      <c r="M2961" s="37" t="str">
        <f aca="false">IF(INDEX($A2961:$J2961,$M$6)="","",INDEX($A2961:$J2961,$M$6)&amp;"")</f>
        <v/>
      </c>
      <c r="N2961" s="37" t="str">
        <f aca="false">IF($M2961="","",TRIM(INDEX($A2961:$J2961,$N$6)&amp;""))</f>
        <v/>
      </c>
      <c r="O2961" s="37" t="str">
        <f aca="false">IF($M2961="","",TRIM(INDEX($A2961:$J2961,$O$6)&amp;""))</f>
        <v/>
      </c>
      <c r="P2961" s="37" t="str">
        <f aca="false">IF($M2961="","",IFERROR(IF(INDEX(Settings!$B$41:$B$50,MATCH(O2961,Settings!$A$41:$A$50,0))&amp;""="","UNMAPPED",INDEX(Settings!$B$41:$B$50,MATCH(O2961,Settings!$A$41:$A$50,0))&amp;""),"UNMAPPED"))</f>
        <v/>
      </c>
      <c r="Q2961" s="38" t="n">
        <f aca="false">IF($M2961="",0,N(INDEX($A2961:$J2961,$Q$6)))</f>
        <v>0</v>
      </c>
      <c r="R2961" s="39" t="str">
        <f aca="false">IF($M2961="","",INDEX($A2961:$J2961,$R$6))</f>
        <v/>
      </c>
      <c r="S2961" s="37" t="str">
        <f aca="false">IF($M2961="","",IFERROR(INDEX(Settings!$B$27:$B$36,MATCH(L2961,Settings!$A$27:$A$36,0))&amp;"","UNMAPPED"))</f>
        <v/>
      </c>
      <c r="T2961" s="37" t="str">
        <f aca="false">IF($M2961="","",IF(NOT(ISNUMBER(R2961)),"NO DATE",IF(S2961="Won",IF(R2961&gt;Settings!$B$5,"Backlog","Delivered"),IF(S2961="Open",IF(R2961&gt;Settings!$B$5,"Pipeline","Overdue"),IF(S2961="Lost","Lost","UNMAPPED")))))</f>
        <v/>
      </c>
      <c r="U2961" s="40" t="n">
        <f aca="false">IF(T2961="Backlog",1,IF(OR(T2961="Pipeline",T2961="Overdue"),N(INDEX(Settings!$C$27:$C$36,MATCH(L2961,Settings!$A$27:$A$36,0))),0))</f>
        <v>0</v>
      </c>
      <c r="V2961" s="38" t="n">
        <f aca="false">Q2961*U2961</f>
        <v>0</v>
      </c>
      <c r="W2961" s="41" t="str">
        <f aca="false">IF($M2961="","",IF(T2961="Overdue",IF(Settings!$B$8="Yes",Settings!$B$7,""),IF(ISNUMBER(R2961),DATE(YEAR(R2961),MONTH(R2961),1),"")))</f>
        <v/>
      </c>
      <c r="X2961" s="38" t="n">
        <f aca="false">IF(AND(OR(T2961="Backlog",T2961="Pipeline",T2961="Overdue"),ISNUMBER(W2961)),IF(W2961&lt;=Settings!$B$6,V2961,0),0)</f>
        <v>0</v>
      </c>
      <c r="Y2961" s="38" t="n">
        <f aca="false">IF(AND(OR(T2961="Backlog",T2961="Pipeline",T2961="Overdue"),ISNUMBER(W2961)),IF(W2961&lt;=Settings!$B$6,Q2961,0),0)</f>
        <v>0</v>
      </c>
      <c r="Z2961" s="38" t="n">
        <f aca="false">IF(Y2961=0,0,IF(T2961="Backlog",Q2961,Q2961*Dashboard!$C$10))</f>
        <v>0</v>
      </c>
      <c r="AA2961" s="37" t="n">
        <f aca="false">IF($N2961="",0,IF(COUNTIF(Dashboard!$C$13:$C$22,$N2961)&gt;0,1,0))</f>
        <v>0</v>
      </c>
      <c r="AB2961" s="37" t="str">
        <f aca="false">IF($N2961="","",IF(COUNTIF($N$8:$N2961,$N2961)=1,MAX($AB$7:$AB2960)+1,""))</f>
        <v/>
      </c>
    </row>
    <row r="2962" customFormat="false" ht="15" hidden="false" customHeight="false" outlineLevel="0" collapsed="false">
      <c r="L2962" s="37" t="str">
        <f aca="false">IF(INDEX($A2962:$J2962,$L$6)&lt;&gt;"",TRIM(LEFT(INDEX($A2962:$J2962,$L$6),FIND("(",INDEX($A2962:$J2962,$L$6)&amp;"(")-1)),L2961)</f>
        <v>Building Value Proposition</v>
      </c>
      <c r="M2962" s="37" t="str">
        <f aca="false">IF(INDEX($A2962:$J2962,$M$6)="","",INDEX($A2962:$J2962,$M$6)&amp;"")</f>
        <v/>
      </c>
      <c r="N2962" s="37" t="str">
        <f aca="false">IF($M2962="","",TRIM(INDEX($A2962:$J2962,$N$6)&amp;""))</f>
        <v/>
      </c>
      <c r="O2962" s="37" t="str">
        <f aca="false">IF($M2962="","",TRIM(INDEX($A2962:$J2962,$O$6)&amp;""))</f>
        <v/>
      </c>
      <c r="P2962" s="37" t="str">
        <f aca="false">IF($M2962="","",IFERROR(IF(INDEX(Settings!$B$41:$B$50,MATCH(O2962,Settings!$A$41:$A$50,0))&amp;""="","UNMAPPED",INDEX(Settings!$B$41:$B$50,MATCH(O2962,Settings!$A$41:$A$50,0))&amp;""),"UNMAPPED"))</f>
        <v/>
      </c>
      <c r="Q2962" s="38" t="n">
        <f aca="false">IF($M2962="",0,N(INDEX($A2962:$J2962,$Q$6)))</f>
        <v>0</v>
      </c>
      <c r="R2962" s="39" t="str">
        <f aca="false">IF($M2962="","",INDEX($A2962:$J2962,$R$6))</f>
        <v/>
      </c>
      <c r="S2962" s="37" t="str">
        <f aca="false">IF($M2962="","",IFERROR(INDEX(Settings!$B$27:$B$36,MATCH(L2962,Settings!$A$27:$A$36,0))&amp;"","UNMAPPED"))</f>
        <v/>
      </c>
      <c r="T2962" s="37" t="str">
        <f aca="false">IF($M2962="","",IF(NOT(ISNUMBER(R2962)),"NO DATE",IF(S2962="Won",IF(R2962&gt;Settings!$B$5,"Backlog","Delivered"),IF(S2962="Open",IF(R2962&gt;Settings!$B$5,"Pipeline","Overdue"),IF(S2962="Lost","Lost","UNMAPPED")))))</f>
        <v/>
      </c>
      <c r="U2962" s="40" t="n">
        <f aca="false">IF(T2962="Backlog",1,IF(OR(T2962="Pipeline",T2962="Overdue"),N(INDEX(Settings!$C$27:$C$36,MATCH(L2962,Settings!$A$27:$A$36,0))),0))</f>
        <v>0</v>
      </c>
      <c r="V2962" s="38" t="n">
        <f aca="false">Q2962*U2962</f>
        <v>0</v>
      </c>
      <c r="W2962" s="41" t="str">
        <f aca="false">IF($M2962="","",IF(T2962="Overdue",IF(Settings!$B$8="Yes",Settings!$B$7,""),IF(ISNUMBER(R2962),DATE(YEAR(R2962),MONTH(R2962),1),"")))</f>
        <v/>
      </c>
      <c r="X2962" s="38" t="n">
        <f aca="false">IF(AND(OR(T2962="Backlog",T2962="Pipeline",T2962="Overdue"),ISNUMBER(W2962)),IF(W2962&lt;=Settings!$B$6,V2962,0),0)</f>
        <v>0</v>
      </c>
      <c r="Y2962" s="38" t="n">
        <f aca="false">IF(AND(OR(T2962="Backlog",T2962="Pipeline",T2962="Overdue"),ISNUMBER(W2962)),IF(W2962&lt;=Settings!$B$6,Q2962,0),0)</f>
        <v>0</v>
      </c>
      <c r="Z2962" s="38" t="n">
        <f aca="false">IF(Y2962=0,0,IF(T2962="Backlog",Q2962,Q2962*Dashboard!$C$10))</f>
        <v>0</v>
      </c>
      <c r="AA2962" s="37" t="n">
        <f aca="false">IF($N2962="",0,IF(COUNTIF(Dashboard!$C$13:$C$22,$N2962)&gt;0,1,0))</f>
        <v>0</v>
      </c>
      <c r="AB2962" s="37" t="str">
        <f aca="false">IF($N2962="","",IF(COUNTIF($N$8:$N2962,$N2962)=1,MAX($AB$7:$AB2961)+1,""))</f>
        <v/>
      </c>
    </row>
    <row r="2963" customFormat="false" ht="15" hidden="false" customHeight="false" outlineLevel="0" collapsed="false">
      <c r="L2963" s="37" t="str">
        <f aca="false">IF(INDEX($A2963:$J2963,$L$6)&lt;&gt;"",TRIM(LEFT(INDEX($A2963:$J2963,$L$6),FIND("(",INDEX($A2963:$J2963,$L$6)&amp;"(")-1)),L2962)</f>
        <v>Building Value Proposition</v>
      </c>
      <c r="M2963" s="37" t="str">
        <f aca="false">IF(INDEX($A2963:$J2963,$M$6)="","",INDEX($A2963:$J2963,$M$6)&amp;"")</f>
        <v/>
      </c>
      <c r="N2963" s="37" t="str">
        <f aca="false">IF($M2963="","",TRIM(INDEX($A2963:$J2963,$N$6)&amp;""))</f>
        <v/>
      </c>
      <c r="O2963" s="37" t="str">
        <f aca="false">IF($M2963="","",TRIM(INDEX($A2963:$J2963,$O$6)&amp;""))</f>
        <v/>
      </c>
      <c r="P2963" s="37" t="str">
        <f aca="false">IF($M2963="","",IFERROR(IF(INDEX(Settings!$B$41:$B$50,MATCH(O2963,Settings!$A$41:$A$50,0))&amp;""="","UNMAPPED",INDEX(Settings!$B$41:$B$50,MATCH(O2963,Settings!$A$41:$A$50,0))&amp;""),"UNMAPPED"))</f>
        <v/>
      </c>
      <c r="Q2963" s="38" t="n">
        <f aca="false">IF($M2963="",0,N(INDEX($A2963:$J2963,$Q$6)))</f>
        <v>0</v>
      </c>
      <c r="R2963" s="39" t="str">
        <f aca="false">IF($M2963="","",INDEX($A2963:$J2963,$R$6))</f>
        <v/>
      </c>
      <c r="S2963" s="37" t="str">
        <f aca="false">IF($M2963="","",IFERROR(INDEX(Settings!$B$27:$B$36,MATCH(L2963,Settings!$A$27:$A$36,0))&amp;"","UNMAPPED"))</f>
        <v/>
      </c>
      <c r="T2963" s="37" t="str">
        <f aca="false">IF($M2963="","",IF(NOT(ISNUMBER(R2963)),"NO DATE",IF(S2963="Won",IF(R2963&gt;Settings!$B$5,"Backlog","Delivered"),IF(S2963="Open",IF(R2963&gt;Settings!$B$5,"Pipeline","Overdue"),IF(S2963="Lost","Lost","UNMAPPED")))))</f>
        <v/>
      </c>
      <c r="U2963" s="40" t="n">
        <f aca="false">IF(T2963="Backlog",1,IF(OR(T2963="Pipeline",T2963="Overdue"),N(INDEX(Settings!$C$27:$C$36,MATCH(L2963,Settings!$A$27:$A$36,0))),0))</f>
        <v>0</v>
      </c>
      <c r="V2963" s="38" t="n">
        <f aca="false">Q2963*U2963</f>
        <v>0</v>
      </c>
      <c r="W2963" s="41" t="str">
        <f aca="false">IF($M2963="","",IF(T2963="Overdue",IF(Settings!$B$8="Yes",Settings!$B$7,""),IF(ISNUMBER(R2963),DATE(YEAR(R2963),MONTH(R2963),1),"")))</f>
        <v/>
      </c>
      <c r="X2963" s="38" t="n">
        <f aca="false">IF(AND(OR(T2963="Backlog",T2963="Pipeline",T2963="Overdue"),ISNUMBER(W2963)),IF(W2963&lt;=Settings!$B$6,V2963,0),0)</f>
        <v>0</v>
      </c>
      <c r="Y2963" s="38" t="n">
        <f aca="false">IF(AND(OR(T2963="Backlog",T2963="Pipeline",T2963="Overdue"),ISNUMBER(W2963)),IF(W2963&lt;=Settings!$B$6,Q2963,0),0)</f>
        <v>0</v>
      </c>
      <c r="Z2963" s="38" t="n">
        <f aca="false">IF(Y2963=0,0,IF(T2963="Backlog",Q2963,Q2963*Dashboard!$C$10))</f>
        <v>0</v>
      </c>
      <c r="AA2963" s="37" t="n">
        <f aca="false">IF($N2963="",0,IF(COUNTIF(Dashboard!$C$13:$C$22,$N2963)&gt;0,1,0))</f>
        <v>0</v>
      </c>
      <c r="AB2963" s="37" t="str">
        <f aca="false">IF($N2963="","",IF(COUNTIF($N$8:$N2963,$N2963)=1,MAX($AB$7:$AB2962)+1,""))</f>
        <v/>
      </c>
    </row>
    <row r="2964" customFormat="false" ht="15" hidden="false" customHeight="false" outlineLevel="0" collapsed="false">
      <c r="L2964" s="37" t="str">
        <f aca="false">IF(INDEX($A2964:$J2964,$L$6)&lt;&gt;"",TRIM(LEFT(INDEX($A2964:$J2964,$L$6),FIND("(",INDEX($A2964:$J2964,$L$6)&amp;"(")-1)),L2963)</f>
        <v>Building Value Proposition</v>
      </c>
      <c r="M2964" s="37" t="str">
        <f aca="false">IF(INDEX($A2964:$J2964,$M$6)="","",INDEX($A2964:$J2964,$M$6)&amp;"")</f>
        <v/>
      </c>
      <c r="N2964" s="37" t="str">
        <f aca="false">IF($M2964="","",TRIM(INDEX($A2964:$J2964,$N$6)&amp;""))</f>
        <v/>
      </c>
      <c r="O2964" s="37" t="str">
        <f aca="false">IF($M2964="","",TRIM(INDEX($A2964:$J2964,$O$6)&amp;""))</f>
        <v/>
      </c>
      <c r="P2964" s="37" t="str">
        <f aca="false">IF($M2964="","",IFERROR(IF(INDEX(Settings!$B$41:$B$50,MATCH(O2964,Settings!$A$41:$A$50,0))&amp;""="","UNMAPPED",INDEX(Settings!$B$41:$B$50,MATCH(O2964,Settings!$A$41:$A$50,0))&amp;""),"UNMAPPED"))</f>
        <v/>
      </c>
      <c r="Q2964" s="38" t="n">
        <f aca="false">IF($M2964="",0,N(INDEX($A2964:$J2964,$Q$6)))</f>
        <v>0</v>
      </c>
      <c r="R2964" s="39" t="str">
        <f aca="false">IF($M2964="","",INDEX($A2964:$J2964,$R$6))</f>
        <v/>
      </c>
      <c r="S2964" s="37" t="str">
        <f aca="false">IF($M2964="","",IFERROR(INDEX(Settings!$B$27:$B$36,MATCH(L2964,Settings!$A$27:$A$36,0))&amp;"","UNMAPPED"))</f>
        <v/>
      </c>
      <c r="T2964" s="37" t="str">
        <f aca="false">IF($M2964="","",IF(NOT(ISNUMBER(R2964)),"NO DATE",IF(S2964="Won",IF(R2964&gt;Settings!$B$5,"Backlog","Delivered"),IF(S2964="Open",IF(R2964&gt;Settings!$B$5,"Pipeline","Overdue"),IF(S2964="Lost","Lost","UNMAPPED")))))</f>
        <v/>
      </c>
      <c r="U2964" s="40" t="n">
        <f aca="false">IF(T2964="Backlog",1,IF(OR(T2964="Pipeline",T2964="Overdue"),N(INDEX(Settings!$C$27:$C$36,MATCH(L2964,Settings!$A$27:$A$36,0))),0))</f>
        <v>0</v>
      </c>
      <c r="V2964" s="38" t="n">
        <f aca="false">Q2964*U2964</f>
        <v>0</v>
      </c>
      <c r="W2964" s="41" t="str">
        <f aca="false">IF($M2964="","",IF(T2964="Overdue",IF(Settings!$B$8="Yes",Settings!$B$7,""),IF(ISNUMBER(R2964),DATE(YEAR(R2964),MONTH(R2964),1),"")))</f>
        <v/>
      </c>
      <c r="X2964" s="38" t="n">
        <f aca="false">IF(AND(OR(T2964="Backlog",T2964="Pipeline",T2964="Overdue"),ISNUMBER(W2964)),IF(W2964&lt;=Settings!$B$6,V2964,0),0)</f>
        <v>0</v>
      </c>
      <c r="Y2964" s="38" t="n">
        <f aca="false">IF(AND(OR(T2964="Backlog",T2964="Pipeline",T2964="Overdue"),ISNUMBER(W2964)),IF(W2964&lt;=Settings!$B$6,Q2964,0),0)</f>
        <v>0</v>
      </c>
      <c r="Z2964" s="38" t="n">
        <f aca="false">IF(Y2964=0,0,IF(T2964="Backlog",Q2964,Q2964*Dashboard!$C$10))</f>
        <v>0</v>
      </c>
      <c r="AA2964" s="37" t="n">
        <f aca="false">IF($N2964="",0,IF(COUNTIF(Dashboard!$C$13:$C$22,$N2964)&gt;0,1,0))</f>
        <v>0</v>
      </c>
      <c r="AB2964" s="37" t="str">
        <f aca="false">IF($N2964="","",IF(COUNTIF($N$8:$N2964,$N2964)=1,MAX($AB$7:$AB2963)+1,""))</f>
        <v/>
      </c>
    </row>
    <row r="2965" customFormat="false" ht="15" hidden="false" customHeight="false" outlineLevel="0" collapsed="false">
      <c r="L2965" s="37" t="str">
        <f aca="false">IF(INDEX($A2965:$J2965,$L$6)&lt;&gt;"",TRIM(LEFT(INDEX($A2965:$J2965,$L$6),FIND("(",INDEX($A2965:$J2965,$L$6)&amp;"(")-1)),L2964)</f>
        <v>Building Value Proposition</v>
      </c>
      <c r="M2965" s="37" t="str">
        <f aca="false">IF(INDEX($A2965:$J2965,$M$6)="","",INDEX($A2965:$J2965,$M$6)&amp;"")</f>
        <v/>
      </c>
      <c r="N2965" s="37" t="str">
        <f aca="false">IF($M2965="","",TRIM(INDEX($A2965:$J2965,$N$6)&amp;""))</f>
        <v/>
      </c>
      <c r="O2965" s="37" t="str">
        <f aca="false">IF($M2965="","",TRIM(INDEX($A2965:$J2965,$O$6)&amp;""))</f>
        <v/>
      </c>
      <c r="P2965" s="37" t="str">
        <f aca="false">IF($M2965="","",IFERROR(IF(INDEX(Settings!$B$41:$B$50,MATCH(O2965,Settings!$A$41:$A$50,0))&amp;""="","UNMAPPED",INDEX(Settings!$B$41:$B$50,MATCH(O2965,Settings!$A$41:$A$50,0))&amp;""),"UNMAPPED"))</f>
        <v/>
      </c>
      <c r="Q2965" s="38" t="n">
        <f aca="false">IF($M2965="",0,N(INDEX($A2965:$J2965,$Q$6)))</f>
        <v>0</v>
      </c>
      <c r="R2965" s="39" t="str">
        <f aca="false">IF($M2965="","",INDEX($A2965:$J2965,$R$6))</f>
        <v/>
      </c>
      <c r="S2965" s="37" t="str">
        <f aca="false">IF($M2965="","",IFERROR(INDEX(Settings!$B$27:$B$36,MATCH(L2965,Settings!$A$27:$A$36,0))&amp;"","UNMAPPED"))</f>
        <v/>
      </c>
      <c r="T2965" s="37" t="str">
        <f aca="false">IF($M2965="","",IF(NOT(ISNUMBER(R2965)),"NO DATE",IF(S2965="Won",IF(R2965&gt;Settings!$B$5,"Backlog","Delivered"),IF(S2965="Open",IF(R2965&gt;Settings!$B$5,"Pipeline","Overdue"),IF(S2965="Lost","Lost","UNMAPPED")))))</f>
        <v/>
      </c>
      <c r="U2965" s="40" t="n">
        <f aca="false">IF(T2965="Backlog",1,IF(OR(T2965="Pipeline",T2965="Overdue"),N(INDEX(Settings!$C$27:$C$36,MATCH(L2965,Settings!$A$27:$A$36,0))),0))</f>
        <v>0</v>
      </c>
      <c r="V2965" s="38" t="n">
        <f aca="false">Q2965*U2965</f>
        <v>0</v>
      </c>
      <c r="W2965" s="41" t="str">
        <f aca="false">IF($M2965="","",IF(T2965="Overdue",IF(Settings!$B$8="Yes",Settings!$B$7,""),IF(ISNUMBER(R2965),DATE(YEAR(R2965),MONTH(R2965),1),"")))</f>
        <v/>
      </c>
      <c r="X2965" s="38" t="n">
        <f aca="false">IF(AND(OR(T2965="Backlog",T2965="Pipeline",T2965="Overdue"),ISNUMBER(W2965)),IF(W2965&lt;=Settings!$B$6,V2965,0),0)</f>
        <v>0</v>
      </c>
      <c r="Y2965" s="38" t="n">
        <f aca="false">IF(AND(OR(T2965="Backlog",T2965="Pipeline",T2965="Overdue"),ISNUMBER(W2965)),IF(W2965&lt;=Settings!$B$6,Q2965,0),0)</f>
        <v>0</v>
      </c>
      <c r="Z2965" s="38" t="n">
        <f aca="false">IF(Y2965=0,0,IF(T2965="Backlog",Q2965,Q2965*Dashboard!$C$10))</f>
        <v>0</v>
      </c>
      <c r="AA2965" s="37" t="n">
        <f aca="false">IF($N2965="",0,IF(COUNTIF(Dashboard!$C$13:$C$22,$N2965)&gt;0,1,0))</f>
        <v>0</v>
      </c>
      <c r="AB2965" s="37" t="str">
        <f aca="false">IF($N2965="","",IF(COUNTIF($N$8:$N2965,$N2965)=1,MAX($AB$7:$AB2964)+1,""))</f>
        <v/>
      </c>
    </row>
    <row r="2966" customFormat="false" ht="15" hidden="false" customHeight="false" outlineLevel="0" collapsed="false">
      <c r="L2966" s="37" t="str">
        <f aca="false">IF(INDEX($A2966:$J2966,$L$6)&lt;&gt;"",TRIM(LEFT(INDEX($A2966:$J2966,$L$6),FIND("(",INDEX($A2966:$J2966,$L$6)&amp;"(")-1)),L2965)</f>
        <v>Building Value Proposition</v>
      </c>
      <c r="M2966" s="37" t="str">
        <f aca="false">IF(INDEX($A2966:$J2966,$M$6)="","",INDEX($A2966:$J2966,$M$6)&amp;"")</f>
        <v/>
      </c>
      <c r="N2966" s="37" t="str">
        <f aca="false">IF($M2966="","",TRIM(INDEX($A2966:$J2966,$N$6)&amp;""))</f>
        <v/>
      </c>
      <c r="O2966" s="37" t="str">
        <f aca="false">IF($M2966="","",TRIM(INDEX($A2966:$J2966,$O$6)&amp;""))</f>
        <v/>
      </c>
      <c r="P2966" s="37" t="str">
        <f aca="false">IF($M2966="","",IFERROR(IF(INDEX(Settings!$B$41:$B$50,MATCH(O2966,Settings!$A$41:$A$50,0))&amp;""="","UNMAPPED",INDEX(Settings!$B$41:$B$50,MATCH(O2966,Settings!$A$41:$A$50,0))&amp;""),"UNMAPPED"))</f>
        <v/>
      </c>
      <c r="Q2966" s="38" t="n">
        <f aca="false">IF($M2966="",0,N(INDEX($A2966:$J2966,$Q$6)))</f>
        <v>0</v>
      </c>
      <c r="R2966" s="39" t="str">
        <f aca="false">IF($M2966="","",INDEX($A2966:$J2966,$R$6))</f>
        <v/>
      </c>
      <c r="S2966" s="37" t="str">
        <f aca="false">IF($M2966="","",IFERROR(INDEX(Settings!$B$27:$B$36,MATCH(L2966,Settings!$A$27:$A$36,0))&amp;"","UNMAPPED"))</f>
        <v/>
      </c>
      <c r="T2966" s="37" t="str">
        <f aca="false">IF($M2966="","",IF(NOT(ISNUMBER(R2966)),"NO DATE",IF(S2966="Won",IF(R2966&gt;Settings!$B$5,"Backlog","Delivered"),IF(S2966="Open",IF(R2966&gt;Settings!$B$5,"Pipeline","Overdue"),IF(S2966="Lost","Lost","UNMAPPED")))))</f>
        <v/>
      </c>
      <c r="U2966" s="40" t="n">
        <f aca="false">IF(T2966="Backlog",1,IF(OR(T2966="Pipeline",T2966="Overdue"),N(INDEX(Settings!$C$27:$C$36,MATCH(L2966,Settings!$A$27:$A$36,0))),0))</f>
        <v>0</v>
      </c>
      <c r="V2966" s="38" t="n">
        <f aca="false">Q2966*U2966</f>
        <v>0</v>
      </c>
      <c r="W2966" s="41" t="str">
        <f aca="false">IF($M2966="","",IF(T2966="Overdue",IF(Settings!$B$8="Yes",Settings!$B$7,""),IF(ISNUMBER(R2966),DATE(YEAR(R2966),MONTH(R2966),1),"")))</f>
        <v/>
      </c>
      <c r="X2966" s="38" t="n">
        <f aca="false">IF(AND(OR(T2966="Backlog",T2966="Pipeline",T2966="Overdue"),ISNUMBER(W2966)),IF(W2966&lt;=Settings!$B$6,V2966,0),0)</f>
        <v>0</v>
      </c>
      <c r="Y2966" s="38" t="n">
        <f aca="false">IF(AND(OR(T2966="Backlog",T2966="Pipeline",T2966="Overdue"),ISNUMBER(W2966)),IF(W2966&lt;=Settings!$B$6,Q2966,0),0)</f>
        <v>0</v>
      </c>
      <c r="Z2966" s="38" t="n">
        <f aca="false">IF(Y2966=0,0,IF(T2966="Backlog",Q2966,Q2966*Dashboard!$C$10))</f>
        <v>0</v>
      </c>
      <c r="AA2966" s="37" t="n">
        <f aca="false">IF($N2966="",0,IF(COUNTIF(Dashboard!$C$13:$C$22,$N2966)&gt;0,1,0))</f>
        <v>0</v>
      </c>
      <c r="AB2966" s="37" t="str">
        <f aca="false">IF($N2966="","",IF(COUNTIF($N$8:$N2966,$N2966)=1,MAX($AB$7:$AB2965)+1,""))</f>
        <v/>
      </c>
    </row>
    <row r="2967" customFormat="false" ht="15" hidden="false" customHeight="false" outlineLevel="0" collapsed="false">
      <c r="L2967" s="37" t="str">
        <f aca="false">IF(INDEX($A2967:$J2967,$L$6)&lt;&gt;"",TRIM(LEFT(INDEX($A2967:$J2967,$L$6),FIND("(",INDEX($A2967:$J2967,$L$6)&amp;"(")-1)),L2966)</f>
        <v>Building Value Proposition</v>
      </c>
      <c r="M2967" s="37" t="str">
        <f aca="false">IF(INDEX($A2967:$J2967,$M$6)="","",INDEX($A2967:$J2967,$M$6)&amp;"")</f>
        <v/>
      </c>
      <c r="N2967" s="37" t="str">
        <f aca="false">IF($M2967="","",TRIM(INDEX($A2967:$J2967,$N$6)&amp;""))</f>
        <v/>
      </c>
      <c r="O2967" s="37" t="str">
        <f aca="false">IF($M2967="","",TRIM(INDEX($A2967:$J2967,$O$6)&amp;""))</f>
        <v/>
      </c>
      <c r="P2967" s="37" t="str">
        <f aca="false">IF($M2967="","",IFERROR(IF(INDEX(Settings!$B$41:$B$50,MATCH(O2967,Settings!$A$41:$A$50,0))&amp;""="","UNMAPPED",INDEX(Settings!$B$41:$B$50,MATCH(O2967,Settings!$A$41:$A$50,0))&amp;""),"UNMAPPED"))</f>
        <v/>
      </c>
      <c r="Q2967" s="38" t="n">
        <f aca="false">IF($M2967="",0,N(INDEX($A2967:$J2967,$Q$6)))</f>
        <v>0</v>
      </c>
      <c r="R2967" s="39" t="str">
        <f aca="false">IF($M2967="","",INDEX($A2967:$J2967,$R$6))</f>
        <v/>
      </c>
      <c r="S2967" s="37" t="str">
        <f aca="false">IF($M2967="","",IFERROR(INDEX(Settings!$B$27:$B$36,MATCH(L2967,Settings!$A$27:$A$36,0))&amp;"","UNMAPPED"))</f>
        <v/>
      </c>
      <c r="T2967" s="37" t="str">
        <f aca="false">IF($M2967="","",IF(NOT(ISNUMBER(R2967)),"NO DATE",IF(S2967="Won",IF(R2967&gt;Settings!$B$5,"Backlog","Delivered"),IF(S2967="Open",IF(R2967&gt;Settings!$B$5,"Pipeline","Overdue"),IF(S2967="Lost","Lost","UNMAPPED")))))</f>
        <v/>
      </c>
      <c r="U2967" s="40" t="n">
        <f aca="false">IF(T2967="Backlog",1,IF(OR(T2967="Pipeline",T2967="Overdue"),N(INDEX(Settings!$C$27:$C$36,MATCH(L2967,Settings!$A$27:$A$36,0))),0))</f>
        <v>0</v>
      </c>
      <c r="V2967" s="38" t="n">
        <f aca="false">Q2967*U2967</f>
        <v>0</v>
      </c>
      <c r="W2967" s="41" t="str">
        <f aca="false">IF($M2967="","",IF(T2967="Overdue",IF(Settings!$B$8="Yes",Settings!$B$7,""),IF(ISNUMBER(R2967),DATE(YEAR(R2967),MONTH(R2967),1),"")))</f>
        <v/>
      </c>
      <c r="X2967" s="38" t="n">
        <f aca="false">IF(AND(OR(T2967="Backlog",T2967="Pipeline",T2967="Overdue"),ISNUMBER(W2967)),IF(W2967&lt;=Settings!$B$6,V2967,0),0)</f>
        <v>0</v>
      </c>
      <c r="Y2967" s="38" t="n">
        <f aca="false">IF(AND(OR(T2967="Backlog",T2967="Pipeline",T2967="Overdue"),ISNUMBER(W2967)),IF(W2967&lt;=Settings!$B$6,Q2967,0),0)</f>
        <v>0</v>
      </c>
      <c r="Z2967" s="38" t="n">
        <f aca="false">IF(Y2967=0,0,IF(T2967="Backlog",Q2967,Q2967*Dashboard!$C$10))</f>
        <v>0</v>
      </c>
      <c r="AA2967" s="37" t="n">
        <f aca="false">IF($N2967="",0,IF(COUNTIF(Dashboard!$C$13:$C$22,$N2967)&gt;0,1,0))</f>
        <v>0</v>
      </c>
      <c r="AB2967" s="37" t="str">
        <f aca="false">IF($N2967="","",IF(COUNTIF($N$8:$N2967,$N2967)=1,MAX($AB$7:$AB2966)+1,""))</f>
        <v/>
      </c>
    </row>
    <row r="2968" customFormat="false" ht="15" hidden="false" customHeight="false" outlineLevel="0" collapsed="false">
      <c r="L2968" s="37" t="str">
        <f aca="false">IF(INDEX($A2968:$J2968,$L$6)&lt;&gt;"",TRIM(LEFT(INDEX($A2968:$J2968,$L$6),FIND("(",INDEX($A2968:$J2968,$L$6)&amp;"(")-1)),L2967)</f>
        <v>Building Value Proposition</v>
      </c>
      <c r="M2968" s="37" t="str">
        <f aca="false">IF(INDEX($A2968:$J2968,$M$6)="","",INDEX($A2968:$J2968,$M$6)&amp;"")</f>
        <v/>
      </c>
      <c r="N2968" s="37" t="str">
        <f aca="false">IF($M2968="","",TRIM(INDEX($A2968:$J2968,$N$6)&amp;""))</f>
        <v/>
      </c>
      <c r="O2968" s="37" t="str">
        <f aca="false">IF($M2968="","",TRIM(INDEX($A2968:$J2968,$O$6)&amp;""))</f>
        <v/>
      </c>
      <c r="P2968" s="37" t="str">
        <f aca="false">IF($M2968="","",IFERROR(IF(INDEX(Settings!$B$41:$B$50,MATCH(O2968,Settings!$A$41:$A$50,0))&amp;""="","UNMAPPED",INDEX(Settings!$B$41:$B$50,MATCH(O2968,Settings!$A$41:$A$50,0))&amp;""),"UNMAPPED"))</f>
        <v/>
      </c>
      <c r="Q2968" s="38" t="n">
        <f aca="false">IF($M2968="",0,N(INDEX($A2968:$J2968,$Q$6)))</f>
        <v>0</v>
      </c>
      <c r="R2968" s="39" t="str">
        <f aca="false">IF($M2968="","",INDEX($A2968:$J2968,$R$6))</f>
        <v/>
      </c>
      <c r="S2968" s="37" t="str">
        <f aca="false">IF($M2968="","",IFERROR(INDEX(Settings!$B$27:$B$36,MATCH(L2968,Settings!$A$27:$A$36,0))&amp;"","UNMAPPED"))</f>
        <v/>
      </c>
      <c r="T2968" s="37" t="str">
        <f aca="false">IF($M2968="","",IF(NOT(ISNUMBER(R2968)),"NO DATE",IF(S2968="Won",IF(R2968&gt;Settings!$B$5,"Backlog","Delivered"),IF(S2968="Open",IF(R2968&gt;Settings!$B$5,"Pipeline","Overdue"),IF(S2968="Lost","Lost","UNMAPPED")))))</f>
        <v/>
      </c>
      <c r="U2968" s="40" t="n">
        <f aca="false">IF(T2968="Backlog",1,IF(OR(T2968="Pipeline",T2968="Overdue"),N(INDEX(Settings!$C$27:$C$36,MATCH(L2968,Settings!$A$27:$A$36,0))),0))</f>
        <v>0</v>
      </c>
      <c r="V2968" s="38" t="n">
        <f aca="false">Q2968*U2968</f>
        <v>0</v>
      </c>
      <c r="W2968" s="41" t="str">
        <f aca="false">IF($M2968="","",IF(T2968="Overdue",IF(Settings!$B$8="Yes",Settings!$B$7,""),IF(ISNUMBER(R2968),DATE(YEAR(R2968),MONTH(R2968),1),"")))</f>
        <v/>
      </c>
      <c r="X2968" s="38" t="n">
        <f aca="false">IF(AND(OR(T2968="Backlog",T2968="Pipeline",T2968="Overdue"),ISNUMBER(W2968)),IF(W2968&lt;=Settings!$B$6,V2968,0),0)</f>
        <v>0</v>
      </c>
      <c r="Y2968" s="38" t="n">
        <f aca="false">IF(AND(OR(T2968="Backlog",T2968="Pipeline",T2968="Overdue"),ISNUMBER(W2968)),IF(W2968&lt;=Settings!$B$6,Q2968,0),0)</f>
        <v>0</v>
      </c>
      <c r="Z2968" s="38" t="n">
        <f aca="false">IF(Y2968=0,0,IF(T2968="Backlog",Q2968,Q2968*Dashboard!$C$10))</f>
        <v>0</v>
      </c>
      <c r="AA2968" s="37" t="n">
        <f aca="false">IF($N2968="",0,IF(COUNTIF(Dashboard!$C$13:$C$22,$N2968)&gt;0,1,0))</f>
        <v>0</v>
      </c>
      <c r="AB2968" s="37" t="str">
        <f aca="false">IF($N2968="","",IF(COUNTIF($N$8:$N2968,$N2968)=1,MAX($AB$7:$AB2967)+1,""))</f>
        <v/>
      </c>
    </row>
    <row r="2969" customFormat="false" ht="15" hidden="false" customHeight="false" outlineLevel="0" collapsed="false">
      <c r="L2969" s="37" t="str">
        <f aca="false">IF(INDEX($A2969:$J2969,$L$6)&lt;&gt;"",TRIM(LEFT(INDEX($A2969:$J2969,$L$6),FIND("(",INDEX($A2969:$J2969,$L$6)&amp;"(")-1)),L2968)</f>
        <v>Building Value Proposition</v>
      </c>
      <c r="M2969" s="37" t="str">
        <f aca="false">IF(INDEX($A2969:$J2969,$M$6)="","",INDEX($A2969:$J2969,$M$6)&amp;"")</f>
        <v/>
      </c>
      <c r="N2969" s="37" t="str">
        <f aca="false">IF($M2969="","",TRIM(INDEX($A2969:$J2969,$N$6)&amp;""))</f>
        <v/>
      </c>
      <c r="O2969" s="37" t="str">
        <f aca="false">IF($M2969="","",TRIM(INDEX($A2969:$J2969,$O$6)&amp;""))</f>
        <v/>
      </c>
      <c r="P2969" s="37" t="str">
        <f aca="false">IF($M2969="","",IFERROR(IF(INDEX(Settings!$B$41:$B$50,MATCH(O2969,Settings!$A$41:$A$50,0))&amp;""="","UNMAPPED",INDEX(Settings!$B$41:$B$50,MATCH(O2969,Settings!$A$41:$A$50,0))&amp;""),"UNMAPPED"))</f>
        <v/>
      </c>
      <c r="Q2969" s="38" t="n">
        <f aca="false">IF($M2969="",0,N(INDEX($A2969:$J2969,$Q$6)))</f>
        <v>0</v>
      </c>
      <c r="R2969" s="39" t="str">
        <f aca="false">IF($M2969="","",INDEX($A2969:$J2969,$R$6))</f>
        <v/>
      </c>
      <c r="S2969" s="37" t="str">
        <f aca="false">IF($M2969="","",IFERROR(INDEX(Settings!$B$27:$B$36,MATCH(L2969,Settings!$A$27:$A$36,0))&amp;"","UNMAPPED"))</f>
        <v/>
      </c>
      <c r="T2969" s="37" t="str">
        <f aca="false">IF($M2969="","",IF(NOT(ISNUMBER(R2969)),"NO DATE",IF(S2969="Won",IF(R2969&gt;Settings!$B$5,"Backlog","Delivered"),IF(S2969="Open",IF(R2969&gt;Settings!$B$5,"Pipeline","Overdue"),IF(S2969="Lost","Lost","UNMAPPED")))))</f>
        <v/>
      </c>
      <c r="U2969" s="40" t="n">
        <f aca="false">IF(T2969="Backlog",1,IF(OR(T2969="Pipeline",T2969="Overdue"),N(INDEX(Settings!$C$27:$C$36,MATCH(L2969,Settings!$A$27:$A$36,0))),0))</f>
        <v>0</v>
      </c>
      <c r="V2969" s="38" t="n">
        <f aca="false">Q2969*U2969</f>
        <v>0</v>
      </c>
      <c r="W2969" s="41" t="str">
        <f aca="false">IF($M2969="","",IF(T2969="Overdue",IF(Settings!$B$8="Yes",Settings!$B$7,""),IF(ISNUMBER(R2969),DATE(YEAR(R2969),MONTH(R2969),1),"")))</f>
        <v/>
      </c>
      <c r="X2969" s="38" t="n">
        <f aca="false">IF(AND(OR(T2969="Backlog",T2969="Pipeline",T2969="Overdue"),ISNUMBER(W2969)),IF(W2969&lt;=Settings!$B$6,V2969,0),0)</f>
        <v>0</v>
      </c>
      <c r="Y2969" s="38" t="n">
        <f aca="false">IF(AND(OR(T2969="Backlog",T2969="Pipeline",T2969="Overdue"),ISNUMBER(W2969)),IF(W2969&lt;=Settings!$B$6,Q2969,0),0)</f>
        <v>0</v>
      </c>
      <c r="Z2969" s="38" t="n">
        <f aca="false">IF(Y2969=0,0,IF(T2969="Backlog",Q2969,Q2969*Dashboard!$C$10))</f>
        <v>0</v>
      </c>
      <c r="AA2969" s="37" t="n">
        <f aca="false">IF($N2969="",0,IF(COUNTIF(Dashboard!$C$13:$C$22,$N2969)&gt;0,1,0))</f>
        <v>0</v>
      </c>
      <c r="AB2969" s="37" t="str">
        <f aca="false">IF($N2969="","",IF(COUNTIF($N$8:$N2969,$N2969)=1,MAX($AB$7:$AB2968)+1,""))</f>
        <v/>
      </c>
    </row>
    <row r="2970" customFormat="false" ht="15" hidden="false" customHeight="false" outlineLevel="0" collapsed="false">
      <c r="L2970" s="37" t="str">
        <f aca="false">IF(INDEX($A2970:$J2970,$L$6)&lt;&gt;"",TRIM(LEFT(INDEX($A2970:$J2970,$L$6),FIND("(",INDEX($A2970:$J2970,$L$6)&amp;"(")-1)),L2969)</f>
        <v>Building Value Proposition</v>
      </c>
      <c r="M2970" s="37" t="str">
        <f aca="false">IF(INDEX($A2970:$J2970,$M$6)="","",INDEX($A2970:$J2970,$M$6)&amp;"")</f>
        <v/>
      </c>
      <c r="N2970" s="37" t="str">
        <f aca="false">IF($M2970="","",TRIM(INDEX($A2970:$J2970,$N$6)&amp;""))</f>
        <v/>
      </c>
      <c r="O2970" s="37" t="str">
        <f aca="false">IF($M2970="","",TRIM(INDEX($A2970:$J2970,$O$6)&amp;""))</f>
        <v/>
      </c>
      <c r="P2970" s="37" t="str">
        <f aca="false">IF($M2970="","",IFERROR(IF(INDEX(Settings!$B$41:$B$50,MATCH(O2970,Settings!$A$41:$A$50,0))&amp;""="","UNMAPPED",INDEX(Settings!$B$41:$B$50,MATCH(O2970,Settings!$A$41:$A$50,0))&amp;""),"UNMAPPED"))</f>
        <v/>
      </c>
      <c r="Q2970" s="38" t="n">
        <f aca="false">IF($M2970="",0,N(INDEX($A2970:$J2970,$Q$6)))</f>
        <v>0</v>
      </c>
      <c r="R2970" s="39" t="str">
        <f aca="false">IF($M2970="","",INDEX($A2970:$J2970,$R$6))</f>
        <v/>
      </c>
      <c r="S2970" s="37" t="str">
        <f aca="false">IF($M2970="","",IFERROR(INDEX(Settings!$B$27:$B$36,MATCH(L2970,Settings!$A$27:$A$36,0))&amp;"","UNMAPPED"))</f>
        <v/>
      </c>
      <c r="T2970" s="37" t="str">
        <f aca="false">IF($M2970="","",IF(NOT(ISNUMBER(R2970)),"NO DATE",IF(S2970="Won",IF(R2970&gt;Settings!$B$5,"Backlog","Delivered"),IF(S2970="Open",IF(R2970&gt;Settings!$B$5,"Pipeline","Overdue"),IF(S2970="Lost","Lost","UNMAPPED")))))</f>
        <v/>
      </c>
      <c r="U2970" s="40" t="n">
        <f aca="false">IF(T2970="Backlog",1,IF(OR(T2970="Pipeline",T2970="Overdue"),N(INDEX(Settings!$C$27:$C$36,MATCH(L2970,Settings!$A$27:$A$36,0))),0))</f>
        <v>0</v>
      </c>
      <c r="V2970" s="38" t="n">
        <f aca="false">Q2970*U2970</f>
        <v>0</v>
      </c>
      <c r="W2970" s="41" t="str">
        <f aca="false">IF($M2970="","",IF(T2970="Overdue",IF(Settings!$B$8="Yes",Settings!$B$7,""),IF(ISNUMBER(R2970),DATE(YEAR(R2970),MONTH(R2970),1),"")))</f>
        <v/>
      </c>
      <c r="X2970" s="38" t="n">
        <f aca="false">IF(AND(OR(T2970="Backlog",T2970="Pipeline",T2970="Overdue"),ISNUMBER(W2970)),IF(W2970&lt;=Settings!$B$6,V2970,0),0)</f>
        <v>0</v>
      </c>
      <c r="Y2970" s="38" t="n">
        <f aca="false">IF(AND(OR(T2970="Backlog",T2970="Pipeline",T2970="Overdue"),ISNUMBER(W2970)),IF(W2970&lt;=Settings!$B$6,Q2970,0),0)</f>
        <v>0</v>
      </c>
      <c r="Z2970" s="38" t="n">
        <f aca="false">IF(Y2970=0,0,IF(T2970="Backlog",Q2970,Q2970*Dashboard!$C$10))</f>
        <v>0</v>
      </c>
      <c r="AA2970" s="37" t="n">
        <f aca="false">IF($N2970="",0,IF(COUNTIF(Dashboard!$C$13:$C$22,$N2970)&gt;0,1,0))</f>
        <v>0</v>
      </c>
      <c r="AB2970" s="37" t="str">
        <f aca="false">IF($N2970="","",IF(COUNTIF($N$8:$N2970,$N2970)=1,MAX($AB$7:$AB2969)+1,""))</f>
        <v/>
      </c>
    </row>
    <row r="2971" customFormat="false" ht="15" hidden="false" customHeight="false" outlineLevel="0" collapsed="false">
      <c r="L2971" s="37" t="str">
        <f aca="false">IF(INDEX($A2971:$J2971,$L$6)&lt;&gt;"",TRIM(LEFT(INDEX($A2971:$J2971,$L$6),FIND("(",INDEX($A2971:$J2971,$L$6)&amp;"(")-1)),L2970)</f>
        <v>Building Value Proposition</v>
      </c>
      <c r="M2971" s="37" t="str">
        <f aca="false">IF(INDEX($A2971:$J2971,$M$6)="","",INDEX($A2971:$J2971,$M$6)&amp;"")</f>
        <v/>
      </c>
      <c r="N2971" s="37" t="str">
        <f aca="false">IF($M2971="","",TRIM(INDEX($A2971:$J2971,$N$6)&amp;""))</f>
        <v/>
      </c>
      <c r="O2971" s="37" t="str">
        <f aca="false">IF($M2971="","",TRIM(INDEX($A2971:$J2971,$O$6)&amp;""))</f>
        <v/>
      </c>
      <c r="P2971" s="37" t="str">
        <f aca="false">IF($M2971="","",IFERROR(IF(INDEX(Settings!$B$41:$B$50,MATCH(O2971,Settings!$A$41:$A$50,0))&amp;""="","UNMAPPED",INDEX(Settings!$B$41:$B$50,MATCH(O2971,Settings!$A$41:$A$50,0))&amp;""),"UNMAPPED"))</f>
        <v/>
      </c>
      <c r="Q2971" s="38" t="n">
        <f aca="false">IF($M2971="",0,N(INDEX($A2971:$J2971,$Q$6)))</f>
        <v>0</v>
      </c>
      <c r="R2971" s="39" t="str">
        <f aca="false">IF($M2971="","",INDEX($A2971:$J2971,$R$6))</f>
        <v/>
      </c>
      <c r="S2971" s="37" t="str">
        <f aca="false">IF($M2971="","",IFERROR(INDEX(Settings!$B$27:$B$36,MATCH(L2971,Settings!$A$27:$A$36,0))&amp;"","UNMAPPED"))</f>
        <v/>
      </c>
      <c r="T2971" s="37" t="str">
        <f aca="false">IF($M2971="","",IF(NOT(ISNUMBER(R2971)),"NO DATE",IF(S2971="Won",IF(R2971&gt;Settings!$B$5,"Backlog","Delivered"),IF(S2971="Open",IF(R2971&gt;Settings!$B$5,"Pipeline","Overdue"),IF(S2971="Lost","Lost","UNMAPPED")))))</f>
        <v/>
      </c>
      <c r="U2971" s="40" t="n">
        <f aca="false">IF(T2971="Backlog",1,IF(OR(T2971="Pipeline",T2971="Overdue"),N(INDEX(Settings!$C$27:$C$36,MATCH(L2971,Settings!$A$27:$A$36,0))),0))</f>
        <v>0</v>
      </c>
      <c r="V2971" s="38" t="n">
        <f aca="false">Q2971*U2971</f>
        <v>0</v>
      </c>
      <c r="W2971" s="41" t="str">
        <f aca="false">IF($M2971="","",IF(T2971="Overdue",IF(Settings!$B$8="Yes",Settings!$B$7,""),IF(ISNUMBER(R2971),DATE(YEAR(R2971),MONTH(R2971),1),"")))</f>
        <v/>
      </c>
      <c r="X2971" s="38" t="n">
        <f aca="false">IF(AND(OR(T2971="Backlog",T2971="Pipeline",T2971="Overdue"),ISNUMBER(W2971)),IF(W2971&lt;=Settings!$B$6,V2971,0),0)</f>
        <v>0</v>
      </c>
      <c r="Y2971" s="38" t="n">
        <f aca="false">IF(AND(OR(T2971="Backlog",T2971="Pipeline",T2971="Overdue"),ISNUMBER(W2971)),IF(W2971&lt;=Settings!$B$6,Q2971,0),0)</f>
        <v>0</v>
      </c>
      <c r="Z2971" s="38" t="n">
        <f aca="false">IF(Y2971=0,0,IF(T2971="Backlog",Q2971,Q2971*Dashboard!$C$10))</f>
        <v>0</v>
      </c>
      <c r="AA2971" s="37" t="n">
        <f aca="false">IF($N2971="",0,IF(COUNTIF(Dashboard!$C$13:$C$22,$N2971)&gt;0,1,0))</f>
        <v>0</v>
      </c>
      <c r="AB2971" s="37" t="str">
        <f aca="false">IF($N2971="","",IF(COUNTIF($N$8:$N2971,$N2971)=1,MAX($AB$7:$AB2970)+1,""))</f>
        <v/>
      </c>
    </row>
    <row r="2972" customFormat="false" ht="15" hidden="false" customHeight="false" outlineLevel="0" collapsed="false">
      <c r="L2972" s="37" t="str">
        <f aca="false">IF(INDEX($A2972:$J2972,$L$6)&lt;&gt;"",TRIM(LEFT(INDEX($A2972:$J2972,$L$6),FIND("(",INDEX($A2972:$J2972,$L$6)&amp;"(")-1)),L2971)</f>
        <v>Building Value Proposition</v>
      </c>
      <c r="M2972" s="37" t="str">
        <f aca="false">IF(INDEX($A2972:$J2972,$M$6)="","",INDEX($A2972:$J2972,$M$6)&amp;"")</f>
        <v/>
      </c>
      <c r="N2972" s="37" t="str">
        <f aca="false">IF($M2972="","",TRIM(INDEX($A2972:$J2972,$N$6)&amp;""))</f>
        <v/>
      </c>
      <c r="O2972" s="37" t="str">
        <f aca="false">IF($M2972="","",TRIM(INDEX($A2972:$J2972,$O$6)&amp;""))</f>
        <v/>
      </c>
      <c r="P2972" s="37" t="str">
        <f aca="false">IF($M2972="","",IFERROR(IF(INDEX(Settings!$B$41:$B$50,MATCH(O2972,Settings!$A$41:$A$50,0))&amp;""="","UNMAPPED",INDEX(Settings!$B$41:$B$50,MATCH(O2972,Settings!$A$41:$A$50,0))&amp;""),"UNMAPPED"))</f>
        <v/>
      </c>
      <c r="Q2972" s="38" t="n">
        <f aca="false">IF($M2972="",0,N(INDEX($A2972:$J2972,$Q$6)))</f>
        <v>0</v>
      </c>
      <c r="R2972" s="39" t="str">
        <f aca="false">IF($M2972="","",INDEX($A2972:$J2972,$R$6))</f>
        <v/>
      </c>
      <c r="S2972" s="37" t="str">
        <f aca="false">IF($M2972="","",IFERROR(INDEX(Settings!$B$27:$B$36,MATCH(L2972,Settings!$A$27:$A$36,0))&amp;"","UNMAPPED"))</f>
        <v/>
      </c>
      <c r="T2972" s="37" t="str">
        <f aca="false">IF($M2972="","",IF(NOT(ISNUMBER(R2972)),"NO DATE",IF(S2972="Won",IF(R2972&gt;Settings!$B$5,"Backlog","Delivered"),IF(S2972="Open",IF(R2972&gt;Settings!$B$5,"Pipeline","Overdue"),IF(S2972="Lost","Lost","UNMAPPED")))))</f>
        <v/>
      </c>
      <c r="U2972" s="40" t="n">
        <f aca="false">IF(T2972="Backlog",1,IF(OR(T2972="Pipeline",T2972="Overdue"),N(INDEX(Settings!$C$27:$C$36,MATCH(L2972,Settings!$A$27:$A$36,0))),0))</f>
        <v>0</v>
      </c>
      <c r="V2972" s="38" t="n">
        <f aca="false">Q2972*U2972</f>
        <v>0</v>
      </c>
      <c r="W2972" s="41" t="str">
        <f aca="false">IF($M2972="","",IF(T2972="Overdue",IF(Settings!$B$8="Yes",Settings!$B$7,""),IF(ISNUMBER(R2972),DATE(YEAR(R2972),MONTH(R2972),1),"")))</f>
        <v/>
      </c>
      <c r="X2972" s="38" t="n">
        <f aca="false">IF(AND(OR(T2972="Backlog",T2972="Pipeline",T2972="Overdue"),ISNUMBER(W2972)),IF(W2972&lt;=Settings!$B$6,V2972,0),0)</f>
        <v>0</v>
      </c>
      <c r="Y2972" s="38" t="n">
        <f aca="false">IF(AND(OR(T2972="Backlog",T2972="Pipeline",T2972="Overdue"),ISNUMBER(W2972)),IF(W2972&lt;=Settings!$B$6,Q2972,0),0)</f>
        <v>0</v>
      </c>
      <c r="Z2972" s="38" t="n">
        <f aca="false">IF(Y2972=0,0,IF(T2972="Backlog",Q2972,Q2972*Dashboard!$C$10))</f>
        <v>0</v>
      </c>
      <c r="AA2972" s="37" t="n">
        <f aca="false">IF($N2972="",0,IF(COUNTIF(Dashboard!$C$13:$C$22,$N2972)&gt;0,1,0))</f>
        <v>0</v>
      </c>
      <c r="AB2972" s="37" t="str">
        <f aca="false">IF($N2972="","",IF(COUNTIF($N$8:$N2972,$N2972)=1,MAX($AB$7:$AB2971)+1,""))</f>
        <v/>
      </c>
    </row>
    <row r="2973" customFormat="false" ht="15" hidden="false" customHeight="false" outlineLevel="0" collapsed="false">
      <c r="L2973" s="37" t="str">
        <f aca="false">IF(INDEX($A2973:$J2973,$L$6)&lt;&gt;"",TRIM(LEFT(INDEX($A2973:$J2973,$L$6),FIND("(",INDEX($A2973:$J2973,$L$6)&amp;"(")-1)),L2972)</f>
        <v>Building Value Proposition</v>
      </c>
      <c r="M2973" s="37" t="str">
        <f aca="false">IF(INDEX($A2973:$J2973,$M$6)="","",INDEX($A2973:$J2973,$M$6)&amp;"")</f>
        <v/>
      </c>
      <c r="N2973" s="37" t="str">
        <f aca="false">IF($M2973="","",TRIM(INDEX($A2973:$J2973,$N$6)&amp;""))</f>
        <v/>
      </c>
      <c r="O2973" s="37" t="str">
        <f aca="false">IF($M2973="","",TRIM(INDEX($A2973:$J2973,$O$6)&amp;""))</f>
        <v/>
      </c>
      <c r="P2973" s="37" t="str">
        <f aca="false">IF($M2973="","",IFERROR(IF(INDEX(Settings!$B$41:$B$50,MATCH(O2973,Settings!$A$41:$A$50,0))&amp;""="","UNMAPPED",INDEX(Settings!$B$41:$B$50,MATCH(O2973,Settings!$A$41:$A$50,0))&amp;""),"UNMAPPED"))</f>
        <v/>
      </c>
      <c r="Q2973" s="38" t="n">
        <f aca="false">IF($M2973="",0,N(INDEX($A2973:$J2973,$Q$6)))</f>
        <v>0</v>
      </c>
      <c r="R2973" s="39" t="str">
        <f aca="false">IF($M2973="","",INDEX($A2973:$J2973,$R$6))</f>
        <v/>
      </c>
      <c r="S2973" s="37" t="str">
        <f aca="false">IF($M2973="","",IFERROR(INDEX(Settings!$B$27:$B$36,MATCH(L2973,Settings!$A$27:$A$36,0))&amp;"","UNMAPPED"))</f>
        <v/>
      </c>
      <c r="T2973" s="37" t="str">
        <f aca="false">IF($M2973="","",IF(NOT(ISNUMBER(R2973)),"NO DATE",IF(S2973="Won",IF(R2973&gt;Settings!$B$5,"Backlog","Delivered"),IF(S2973="Open",IF(R2973&gt;Settings!$B$5,"Pipeline","Overdue"),IF(S2973="Lost","Lost","UNMAPPED")))))</f>
        <v/>
      </c>
      <c r="U2973" s="40" t="n">
        <f aca="false">IF(T2973="Backlog",1,IF(OR(T2973="Pipeline",T2973="Overdue"),N(INDEX(Settings!$C$27:$C$36,MATCH(L2973,Settings!$A$27:$A$36,0))),0))</f>
        <v>0</v>
      </c>
      <c r="V2973" s="38" t="n">
        <f aca="false">Q2973*U2973</f>
        <v>0</v>
      </c>
      <c r="W2973" s="41" t="str">
        <f aca="false">IF($M2973="","",IF(T2973="Overdue",IF(Settings!$B$8="Yes",Settings!$B$7,""),IF(ISNUMBER(R2973),DATE(YEAR(R2973),MONTH(R2973),1),"")))</f>
        <v/>
      </c>
      <c r="X2973" s="38" t="n">
        <f aca="false">IF(AND(OR(T2973="Backlog",T2973="Pipeline",T2973="Overdue"),ISNUMBER(W2973)),IF(W2973&lt;=Settings!$B$6,V2973,0),0)</f>
        <v>0</v>
      </c>
      <c r="Y2973" s="38" t="n">
        <f aca="false">IF(AND(OR(T2973="Backlog",T2973="Pipeline",T2973="Overdue"),ISNUMBER(W2973)),IF(W2973&lt;=Settings!$B$6,Q2973,0),0)</f>
        <v>0</v>
      </c>
      <c r="Z2973" s="38" t="n">
        <f aca="false">IF(Y2973=0,0,IF(T2973="Backlog",Q2973,Q2973*Dashboard!$C$10))</f>
        <v>0</v>
      </c>
      <c r="AA2973" s="37" t="n">
        <f aca="false">IF($N2973="",0,IF(COUNTIF(Dashboard!$C$13:$C$22,$N2973)&gt;0,1,0))</f>
        <v>0</v>
      </c>
      <c r="AB2973" s="37" t="str">
        <f aca="false">IF($N2973="","",IF(COUNTIF($N$8:$N2973,$N2973)=1,MAX($AB$7:$AB2972)+1,""))</f>
        <v/>
      </c>
    </row>
    <row r="2974" customFormat="false" ht="15" hidden="false" customHeight="false" outlineLevel="0" collapsed="false">
      <c r="L2974" s="37" t="str">
        <f aca="false">IF(INDEX($A2974:$J2974,$L$6)&lt;&gt;"",TRIM(LEFT(INDEX($A2974:$J2974,$L$6),FIND("(",INDEX($A2974:$J2974,$L$6)&amp;"(")-1)),L2973)</f>
        <v>Building Value Proposition</v>
      </c>
      <c r="M2974" s="37" t="str">
        <f aca="false">IF(INDEX($A2974:$J2974,$M$6)="","",INDEX($A2974:$J2974,$M$6)&amp;"")</f>
        <v/>
      </c>
      <c r="N2974" s="37" t="str">
        <f aca="false">IF($M2974="","",TRIM(INDEX($A2974:$J2974,$N$6)&amp;""))</f>
        <v/>
      </c>
      <c r="O2974" s="37" t="str">
        <f aca="false">IF($M2974="","",TRIM(INDEX($A2974:$J2974,$O$6)&amp;""))</f>
        <v/>
      </c>
      <c r="P2974" s="37" t="str">
        <f aca="false">IF($M2974="","",IFERROR(IF(INDEX(Settings!$B$41:$B$50,MATCH(O2974,Settings!$A$41:$A$50,0))&amp;""="","UNMAPPED",INDEX(Settings!$B$41:$B$50,MATCH(O2974,Settings!$A$41:$A$50,0))&amp;""),"UNMAPPED"))</f>
        <v/>
      </c>
      <c r="Q2974" s="38" t="n">
        <f aca="false">IF($M2974="",0,N(INDEX($A2974:$J2974,$Q$6)))</f>
        <v>0</v>
      </c>
      <c r="R2974" s="39" t="str">
        <f aca="false">IF($M2974="","",INDEX($A2974:$J2974,$R$6))</f>
        <v/>
      </c>
      <c r="S2974" s="37" t="str">
        <f aca="false">IF($M2974="","",IFERROR(INDEX(Settings!$B$27:$B$36,MATCH(L2974,Settings!$A$27:$A$36,0))&amp;"","UNMAPPED"))</f>
        <v/>
      </c>
      <c r="T2974" s="37" t="str">
        <f aca="false">IF($M2974="","",IF(NOT(ISNUMBER(R2974)),"NO DATE",IF(S2974="Won",IF(R2974&gt;Settings!$B$5,"Backlog","Delivered"),IF(S2974="Open",IF(R2974&gt;Settings!$B$5,"Pipeline","Overdue"),IF(S2974="Lost","Lost","UNMAPPED")))))</f>
        <v/>
      </c>
      <c r="U2974" s="40" t="n">
        <f aca="false">IF(T2974="Backlog",1,IF(OR(T2974="Pipeline",T2974="Overdue"),N(INDEX(Settings!$C$27:$C$36,MATCH(L2974,Settings!$A$27:$A$36,0))),0))</f>
        <v>0</v>
      </c>
      <c r="V2974" s="38" t="n">
        <f aca="false">Q2974*U2974</f>
        <v>0</v>
      </c>
      <c r="W2974" s="41" t="str">
        <f aca="false">IF($M2974="","",IF(T2974="Overdue",IF(Settings!$B$8="Yes",Settings!$B$7,""),IF(ISNUMBER(R2974),DATE(YEAR(R2974),MONTH(R2974),1),"")))</f>
        <v/>
      </c>
      <c r="X2974" s="38" t="n">
        <f aca="false">IF(AND(OR(T2974="Backlog",T2974="Pipeline",T2974="Overdue"),ISNUMBER(W2974)),IF(W2974&lt;=Settings!$B$6,V2974,0),0)</f>
        <v>0</v>
      </c>
      <c r="Y2974" s="38" t="n">
        <f aca="false">IF(AND(OR(T2974="Backlog",T2974="Pipeline",T2974="Overdue"),ISNUMBER(W2974)),IF(W2974&lt;=Settings!$B$6,Q2974,0),0)</f>
        <v>0</v>
      </c>
      <c r="Z2974" s="38" t="n">
        <f aca="false">IF(Y2974=0,0,IF(T2974="Backlog",Q2974,Q2974*Dashboard!$C$10))</f>
        <v>0</v>
      </c>
      <c r="AA2974" s="37" t="n">
        <f aca="false">IF($N2974="",0,IF(COUNTIF(Dashboard!$C$13:$C$22,$N2974)&gt;0,1,0))</f>
        <v>0</v>
      </c>
      <c r="AB2974" s="37" t="str">
        <f aca="false">IF($N2974="","",IF(COUNTIF($N$8:$N2974,$N2974)=1,MAX($AB$7:$AB2973)+1,""))</f>
        <v/>
      </c>
    </row>
    <row r="2975" customFormat="false" ht="15" hidden="false" customHeight="false" outlineLevel="0" collapsed="false">
      <c r="L2975" s="37" t="str">
        <f aca="false">IF(INDEX($A2975:$J2975,$L$6)&lt;&gt;"",TRIM(LEFT(INDEX($A2975:$J2975,$L$6),FIND("(",INDEX($A2975:$J2975,$L$6)&amp;"(")-1)),L2974)</f>
        <v>Building Value Proposition</v>
      </c>
      <c r="M2975" s="37" t="str">
        <f aca="false">IF(INDEX($A2975:$J2975,$M$6)="","",INDEX($A2975:$J2975,$M$6)&amp;"")</f>
        <v/>
      </c>
      <c r="N2975" s="37" t="str">
        <f aca="false">IF($M2975="","",TRIM(INDEX($A2975:$J2975,$N$6)&amp;""))</f>
        <v/>
      </c>
      <c r="O2975" s="37" t="str">
        <f aca="false">IF($M2975="","",TRIM(INDEX($A2975:$J2975,$O$6)&amp;""))</f>
        <v/>
      </c>
      <c r="P2975" s="37" t="str">
        <f aca="false">IF($M2975="","",IFERROR(IF(INDEX(Settings!$B$41:$B$50,MATCH(O2975,Settings!$A$41:$A$50,0))&amp;""="","UNMAPPED",INDEX(Settings!$B$41:$B$50,MATCH(O2975,Settings!$A$41:$A$50,0))&amp;""),"UNMAPPED"))</f>
        <v/>
      </c>
      <c r="Q2975" s="38" t="n">
        <f aca="false">IF($M2975="",0,N(INDEX($A2975:$J2975,$Q$6)))</f>
        <v>0</v>
      </c>
      <c r="R2975" s="39" t="str">
        <f aca="false">IF($M2975="","",INDEX($A2975:$J2975,$R$6))</f>
        <v/>
      </c>
      <c r="S2975" s="37" t="str">
        <f aca="false">IF($M2975="","",IFERROR(INDEX(Settings!$B$27:$B$36,MATCH(L2975,Settings!$A$27:$A$36,0))&amp;"","UNMAPPED"))</f>
        <v/>
      </c>
      <c r="T2975" s="37" t="str">
        <f aca="false">IF($M2975="","",IF(NOT(ISNUMBER(R2975)),"NO DATE",IF(S2975="Won",IF(R2975&gt;Settings!$B$5,"Backlog","Delivered"),IF(S2975="Open",IF(R2975&gt;Settings!$B$5,"Pipeline","Overdue"),IF(S2975="Lost","Lost","UNMAPPED")))))</f>
        <v/>
      </c>
      <c r="U2975" s="40" t="n">
        <f aca="false">IF(T2975="Backlog",1,IF(OR(T2975="Pipeline",T2975="Overdue"),N(INDEX(Settings!$C$27:$C$36,MATCH(L2975,Settings!$A$27:$A$36,0))),0))</f>
        <v>0</v>
      </c>
      <c r="V2975" s="38" t="n">
        <f aca="false">Q2975*U2975</f>
        <v>0</v>
      </c>
      <c r="W2975" s="41" t="str">
        <f aca="false">IF($M2975="","",IF(T2975="Overdue",IF(Settings!$B$8="Yes",Settings!$B$7,""),IF(ISNUMBER(R2975),DATE(YEAR(R2975),MONTH(R2975),1),"")))</f>
        <v/>
      </c>
      <c r="X2975" s="38" t="n">
        <f aca="false">IF(AND(OR(T2975="Backlog",T2975="Pipeline",T2975="Overdue"),ISNUMBER(W2975)),IF(W2975&lt;=Settings!$B$6,V2975,0),0)</f>
        <v>0</v>
      </c>
      <c r="Y2975" s="38" t="n">
        <f aca="false">IF(AND(OR(T2975="Backlog",T2975="Pipeline",T2975="Overdue"),ISNUMBER(W2975)),IF(W2975&lt;=Settings!$B$6,Q2975,0),0)</f>
        <v>0</v>
      </c>
      <c r="Z2975" s="38" t="n">
        <f aca="false">IF(Y2975=0,0,IF(T2975="Backlog",Q2975,Q2975*Dashboard!$C$10))</f>
        <v>0</v>
      </c>
      <c r="AA2975" s="37" t="n">
        <f aca="false">IF($N2975="",0,IF(COUNTIF(Dashboard!$C$13:$C$22,$N2975)&gt;0,1,0))</f>
        <v>0</v>
      </c>
      <c r="AB2975" s="37" t="str">
        <f aca="false">IF($N2975="","",IF(COUNTIF($N$8:$N2975,$N2975)=1,MAX($AB$7:$AB2974)+1,""))</f>
        <v/>
      </c>
    </row>
    <row r="2976" customFormat="false" ht="15" hidden="false" customHeight="false" outlineLevel="0" collapsed="false">
      <c r="L2976" s="37" t="str">
        <f aca="false">IF(INDEX($A2976:$J2976,$L$6)&lt;&gt;"",TRIM(LEFT(INDEX($A2976:$J2976,$L$6),FIND("(",INDEX($A2976:$J2976,$L$6)&amp;"(")-1)),L2975)</f>
        <v>Building Value Proposition</v>
      </c>
      <c r="M2976" s="37" t="str">
        <f aca="false">IF(INDEX($A2976:$J2976,$M$6)="","",INDEX($A2976:$J2976,$M$6)&amp;"")</f>
        <v/>
      </c>
      <c r="N2976" s="37" t="str">
        <f aca="false">IF($M2976="","",TRIM(INDEX($A2976:$J2976,$N$6)&amp;""))</f>
        <v/>
      </c>
      <c r="O2976" s="37" t="str">
        <f aca="false">IF($M2976="","",TRIM(INDEX($A2976:$J2976,$O$6)&amp;""))</f>
        <v/>
      </c>
      <c r="P2976" s="37" t="str">
        <f aca="false">IF($M2976="","",IFERROR(IF(INDEX(Settings!$B$41:$B$50,MATCH(O2976,Settings!$A$41:$A$50,0))&amp;""="","UNMAPPED",INDEX(Settings!$B$41:$B$50,MATCH(O2976,Settings!$A$41:$A$50,0))&amp;""),"UNMAPPED"))</f>
        <v/>
      </c>
      <c r="Q2976" s="38" t="n">
        <f aca="false">IF($M2976="",0,N(INDEX($A2976:$J2976,$Q$6)))</f>
        <v>0</v>
      </c>
      <c r="R2976" s="39" t="str">
        <f aca="false">IF($M2976="","",INDEX($A2976:$J2976,$R$6))</f>
        <v/>
      </c>
      <c r="S2976" s="37" t="str">
        <f aca="false">IF($M2976="","",IFERROR(INDEX(Settings!$B$27:$B$36,MATCH(L2976,Settings!$A$27:$A$36,0))&amp;"","UNMAPPED"))</f>
        <v/>
      </c>
      <c r="T2976" s="37" t="str">
        <f aca="false">IF($M2976="","",IF(NOT(ISNUMBER(R2976)),"NO DATE",IF(S2976="Won",IF(R2976&gt;Settings!$B$5,"Backlog","Delivered"),IF(S2976="Open",IF(R2976&gt;Settings!$B$5,"Pipeline","Overdue"),IF(S2976="Lost","Lost","UNMAPPED")))))</f>
        <v/>
      </c>
      <c r="U2976" s="40" t="n">
        <f aca="false">IF(T2976="Backlog",1,IF(OR(T2976="Pipeline",T2976="Overdue"),N(INDEX(Settings!$C$27:$C$36,MATCH(L2976,Settings!$A$27:$A$36,0))),0))</f>
        <v>0</v>
      </c>
      <c r="V2976" s="38" t="n">
        <f aca="false">Q2976*U2976</f>
        <v>0</v>
      </c>
      <c r="W2976" s="41" t="str">
        <f aca="false">IF($M2976="","",IF(T2976="Overdue",IF(Settings!$B$8="Yes",Settings!$B$7,""),IF(ISNUMBER(R2976),DATE(YEAR(R2976),MONTH(R2976),1),"")))</f>
        <v/>
      </c>
      <c r="X2976" s="38" t="n">
        <f aca="false">IF(AND(OR(T2976="Backlog",T2976="Pipeline",T2976="Overdue"),ISNUMBER(W2976)),IF(W2976&lt;=Settings!$B$6,V2976,0),0)</f>
        <v>0</v>
      </c>
      <c r="Y2976" s="38" t="n">
        <f aca="false">IF(AND(OR(T2976="Backlog",T2976="Pipeline",T2976="Overdue"),ISNUMBER(W2976)),IF(W2976&lt;=Settings!$B$6,Q2976,0),0)</f>
        <v>0</v>
      </c>
      <c r="Z2976" s="38" t="n">
        <f aca="false">IF(Y2976=0,0,IF(T2976="Backlog",Q2976,Q2976*Dashboard!$C$10))</f>
        <v>0</v>
      </c>
      <c r="AA2976" s="37" t="n">
        <f aca="false">IF($N2976="",0,IF(COUNTIF(Dashboard!$C$13:$C$22,$N2976)&gt;0,1,0))</f>
        <v>0</v>
      </c>
      <c r="AB2976" s="37" t="str">
        <f aca="false">IF($N2976="","",IF(COUNTIF($N$8:$N2976,$N2976)=1,MAX($AB$7:$AB2975)+1,""))</f>
        <v/>
      </c>
    </row>
    <row r="2977" customFormat="false" ht="15" hidden="false" customHeight="false" outlineLevel="0" collapsed="false">
      <c r="L2977" s="37" t="str">
        <f aca="false">IF(INDEX($A2977:$J2977,$L$6)&lt;&gt;"",TRIM(LEFT(INDEX($A2977:$J2977,$L$6),FIND("(",INDEX($A2977:$J2977,$L$6)&amp;"(")-1)),L2976)</f>
        <v>Building Value Proposition</v>
      </c>
      <c r="M2977" s="37" t="str">
        <f aca="false">IF(INDEX($A2977:$J2977,$M$6)="","",INDEX($A2977:$J2977,$M$6)&amp;"")</f>
        <v/>
      </c>
      <c r="N2977" s="37" t="str">
        <f aca="false">IF($M2977="","",TRIM(INDEX($A2977:$J2977,$N$6)&amp;""))</f>
        <v/>
      </c>
      <c r="O2977" s="37" t="str">
        <f aca="false">IF($M2977="","",TRIM(INDEX($A2977:$J2977,$O$6)&amp;""))</f>
        <v/>
      </c>
      <c r="P2977" s="37" t="str">
        <f aca="false">IF($M2977="","",IFERROR(IF(INDEX(Settings!$B$41:$B$50,MATCH(O2977,Settings!$A$41:$A$50,0))&amp;""="","UNMAPPED",INDEX(Settings!$B$41:$B$50,MATCH(O2977,Settings!$A$41:$A$50,0))&amp;""),"UNMAPPED"))</f>
        <v/>
      </c>
      <c r="Q2977" s="38" t="n">
        <f aca="false">IF($M2977="",0,N(INDEX($A2977:$J2977,$Q$6)))</f>
        <v>0</v>
      </c>
      <c r="R2977" s="39" t="str">
        <f aca="false">IF($M2977="","",INDEX($A2977:$J2977,$R$6))</f>
        <v/>
      </c>
      <c r="S2977" s="37" t="str">
        <f aca="false">IF($M2977="","",IFERROR(INDEX(Settings!$B$27:$B$36,MATCH(L2977,Settings!$A$27:$A$36,0))&amp;"","UNMAPPED"))</f>
        <v/>
      </c>
      <c r="T2977" s="37" t="str">
        <f aca="false">IF($M2977="","",IF(NOT(ISNUMBER(R2977)),"NO DATE",IF(S2977="Won",IF(R2977&gt;Settings!$B$5,"Backlog","Delivered"),IF(S2977="Open",IF(R2977&gt;Settings!$B$5,"Pipeline","Overdue"),IF(S2977="Lost","Lost","UNMAPPED")))))</f>
        <v/>
      </c>
      <c r="U2977" s="40" t="n">
        <f aca="false">IF(T2977="Backlog",1,IF(OR(T2977="Pipeline",T2977="Overdue"),N(INDEX(Settings!$C$27:$C$36,MATCH(L2977,Settings!$A$27:$A$36,0))),0))</f>
        <v>0</v>
      </c>
      <c r="V2977" s="38" t="n">
        <f aca="false">Q2977*U2977</f>
        <v>0</v>
      </c>
      <c r="W2977" s="41" t="str">
        <f aca="false">IF($M2977="","",IF(T2977="Overdue",IF(Settings!$B$8="Yes",Settings!$B$7,""),IF(ISNUMBER(R2977),DATE(YEAR(R2977),MONTH(R2977),1),"")))</f>
        <v/>
      </c>
      <c r="X2977" s="38" t="n">
        <f aca="false">IF(AND(OR(T2977="Backlog",T2977="Pipeline",T2977="Overdue"),ISNUMBER(W2977)),IF(W2977&lt;=Settings!$B$6,V2977,0),0)</f>
        <v>0</v>
      </c>
      <c r="Y2977" s="38" t="n">
        <f aca="false">IF(AND(OR(T2977="Backlog",T2977="Pipeline",T2977="Overdue"),ISNUMBER(W2977)),IF(W2977&lt;=Settings!$B$6,Q2977,0),0)</f>
        <v>0</v>
      </c>
      <c r="Z2977" s="38" t="n">
        <f aca="false">IF(Y2977=0,0,IF(T2977="Backlog",Q2977,Q2977*Dashboard!$C$10))</f>
        <v>0</v>
      </c>
      <c r="AA2977" s="37" t="n">
        <f aca="false">IF($N2977="",0,IF(COUNTIF(Dashboard!$C$13:$C$22,$N2977)&gt;0,1,0))</f>
        <v>0</v>
      </c>
      <c r="AB2977" s="37" t="str">
        <f aca="false">IF($N2977="","",IF(COUNTIF($N$8:$N2977,$N2977)=1,MAX($AB$7:$AB2976)+1,""))</f>
        <v/>
      </c>
    </row>
    <row r="2978" customFormat="false" ht="15" hidden="false" customHeight="false" outlineLevel="0" collapsed="false">
      <c r="L2978" s="37" t="str">
        <f aca="false">IF(INDEX($A2978:$J2978,$L$6)&lt;&gt;"",TRIM(LEFT(INDEX($A2978:$J2978,$L$6),FIND("(",INDEX($A2978:$J2978,$L$6)&amp;"(")-1)),L2977)</f>
        <v>Building Value Proposition</v>
      </c>
      <c r="M2978" s="37" t="str">
        <f aca="false">IF(INDEX($A2978:$J2978,$M$6)="","",INDEX($A2978:$J2978,$M$6)&amp;"")</f>
        <v/>
      </c>
      <c r="N2978" s="37" t="str">
        <f aca="false">IF($M2978="","",TRIM(INDEX($A2978:$J2978,$N$6)&amp;""))</f>
        <v/>
      </c>
      <c r="O2978" s="37" t="str">
        <f aca="false">IF($M2978="","",TRIM(INDEX($A2978:$J2978,$O$6)&amp;""))</f>
        <v/>
      </c>
      <c r="P2978" s="37" t="str">
        <f aca="false">IF($M2978="","",IFERROR(IF(INDEX(Settings!$B$41:$B$50,MATCH(O2978,Settings!$A$41:$A$50,0))&amp;""="","UNMAPPED",INDEX(Settings!$B$41:$B$50,MATCH(O2978,Settings!$A$41:$A$50,0))&amp;""),"UNMAPPED"))</f>
        <v/>
      </c>
      <c r="Q2978" s="38" t="n">
        <f aca="false">IF($M2978="",0,N(INDEX($A2978:$J2978,$Q$6)))</f>
        <v>0</v>
      </c>
      <c r="R2978" s="39" t="str">
        <f aca="false">IF($M2978="","",INDEX($A2978:$J2978,$R$6))</f>
        <v/>
      </c>
      <c r="S2978" s="37" t="str">
        <f aca="false">IF($M2978="","",IFERROR(INDEX(Settings!$B$27:$B$36,MATCH(L2978,Settings!$A$27:$A$36,0))&amp;"","UNMAPPED"))</f>
        <v/>
      </c>
      <c r="T2978" s="37" t="str">
        <f aca="false">IF($M2978="","",IF(NOT(ISNUMBER(R2978)),"NO DATE",IF(S2978="Won",IF(R2978&gt;Settings!$B$5,"Backlog","Delivered"),IF(S2978="Open",IF(R2978&gt;Settings!$B$5,"Pipeline","Overdue"),IF(S2978="Lost","Lost","UNMAPPED")))))</f>
        <v/>
      </c>
      <c r="U2978" s="40" t="n">
        <f aca="false">IF(T2978="Backlog",1,IF(OR(T2978="Pipeline",T2978="Overdue"),N(INDEX(Settings!$C$27:$C$36,MATCH(L2978,Settings!$A$27:$A$36,0))),0))</f>
        <v>0</v>
      </c>
      <c r="V2978" s="38" t="n">
        <f aca="false">Q2978*U2978</f>
        <v>0</v>
      </c>
      <c r="W2978" s="41" t="str">
        <f aca="false">IF($M2978="","",IF(T2978="Overdue",IF(Settings!$B$8="Yes",Settings!$B$7,""),IF(ISNUMBER(R2978),DATE(YEAR(R2978),MONTH(R2978),1),"")))</f>
        <v/>
      </c>
      <c r="X2978" s="38" t="n">
        <f aca="false">IF(AND(OR(T2978="Backlog",T2978="Pipeline",T2978="Overdue"),ISNUMBER(W2978)),IF(W2978&lt;=Settings!$B$6,V2978,0),0)</f>
        <v>0</v>
      </c>
      <c r="Y2978" s="38" t="n">
        <f aca="false">IF(AND(OR(T2978="Backlog",T2978="Pipeline",T2978="Overdue"),ISNUMBER(W2978)),IF(W2978&lt;=Settings!$B$6,Q2978,0),0)</f>
        <v>0</v>
      </c>
      <c r="Z2978" s="38" t="n">
        <f aca="false">IF(Y2978=0,0,IF(T2978="Backlog",Q2978,Q2978*Dashboard!$C$10))</f>
        <v>0</v>
      </c>
      <c r="AA2978" s="37" t="n">
        <f aca="false">IF($N2978="",0,IF(COUNTIF(Dashboard!$C$13:$C$22,$N2978)&gt;0,1,0))</f>
        <v>0</v>
      </c>
      <c r="AB2978" s="37" t="str">
        <f aca="false">IF($N2978="","",IF(COUNTIF($N$8:$N2978,$N2978)=1,MAX($AB$7:$AB2977)+1,""))</f>
        <v/>
      </c>
    </row>
    <row r="2979" customFormat="false" ht="15" hidden="false" customHeight="false" outlineLevel="0" collapsed="false">
      <c r="L2979" s="37" t="str">
        <f aca="false">IF(INDEX($A2979:$J2979,$L$6)&lt;&gt;"",TRIM(LEFT(INDEX($A2979:$J2979,$L$6),FIND("(",INDEX($A2979:$J2979,$L$6)&amp;"(")-1)),L2978)</f>
        <v>Building Value Proposition</v>
      </c>
      <c r="M2979" s="37" t="str">
        <f aca="false">IF(INDEX($A2979:$J2979,$M$6)="","",INDEX($A2979:$J2979,$M$6)&amp;"")</f>
        <v/>
      </c>
      <c r="N2979" s="37" t="str">
        <f aca="false">IF($M2979="","",TRIM(INDEX($A2979:$J2979,$N$6)&amp;""))</f>
        <v/>
      </c>
      <c r="O2979" s="37" t="str">
        <f aca="false">IF($M2979="","",TRIM(INDEX($A2979:$J2979,$O$6)&amp;""))</f>
        <v/>
      </c>
      <c r="P2979" s="37" t="str">
        <f aca="false">IF($M2979="","",IFERROR(IF(INDEX(Settings!$B$41:$B$50,MATCH(O2979,Settings!$A$41:$A$50,0))&amp;""="","UNMAPPED",INDEX(Settings!$B$41:$B$50,MATCH(O2979,Settings!$A$41:$A$50,0))&amp;""),"UNMAPPED"))</f>
        <v/>
      </c>
      <c r="Q2979" s="38" t="n">
        <f aca="false">IF($M2979="",0,N(INDEX($A2979:$J2979,$Q$6)))</f>
        <v>0</v>
      </c>
      <c r="R2979" s="39" t="str">
        <f aca="false">IF($M2979="","",INDEX($A2979:$J2979,$R$6))</f>
        <v/>
      </c>
      <c r="S2979" s="37" t="str">
        <f aca="false">IF($M2979="","",IFERROR(INDEX(Settings!$B$27:$B$36,MATCH(L2979,Settings!$A$27:$A$36,0))&amp;"","UNMAPPED"))</f>
        <v/>
      </c>
      <c r="T2979" s="37" t="str">
        <f aca="false">IF($M2979="","",IF(NOT(ISNUMBER(R2979)),"NO DATE",IF(S2979="Won",IF(R2979&gt;Settings!$B$5,"Backlog","Delivered"),IF(S2979="Open",IF(R2979&gt;Settings!$B$5,"Pipeline","Overdue"),IF(S2979="Lost","Lost","UNMAPPED")))))</f>
        <v/>
      </c>
      <c r="U2979" s="40" t="n">
        <f aca="false">IF(T2979="Backlog",1,IF(OR(T2979="Pipeline",T2979="Overdue"),N(INDEX(Settings!$C$27:$C$36,MATCH(L2979,Settings!$A$27:$A$36,0))),0))</f>
        <v>0</v>
      </c>
      <c r="V2979" s="38" t="n">
        <f aca="false">Q2979*U2979</f>
        <v>0</v>
      </c>
      <c r="W2979" s="41" t="str">
        <f aca="false">IF($M2979="","",IF(T2979="Overdue",IF(Settings!$B$8="Yes",Settings!$B$7,""),IF(ISNUMBER(R2979),DATE(YEAR(R2979),MONTH(R2979),1),"")))</f>
        <v/>
      </c>
      <c r="X2979" s="38" t="n">
        <f aca="false">IF(AND(OR(T2979="Backlog",T2979="Pipeline",T2979="Overdue"),ISNUMBER(W2979)),IF(W2979&lt;=Settings!$B$6,V2979,0),0)</f>
        <v>0</v>
      </c>
      <c r="Y2979" s="38" t="n">
        <f aca="false">IF(AND(OR(T2979="Backlog",T2979="Pipeline",T2979="Overdue"),ISNUMBER(W2979)),IF(W2979&lt;=Settings!$B$6,Q2979,0),0)</f>
        <v>0</v>
      </c>
      <c r="Z2979" s="38" t="n">
        <f aca="false">IF(Y2979=0,0,IF(T2979="Backlog",Q2979,Q2979*Dashboard!$C$10))</f>
        <v>0</v>
      </c>
      <c r="AA2979" s="37" t="n">
        <f aca="false">IF($N2979="",0,IF(COUNTIF(Dashboard!$C$13:$C$22,$N2979)&gt;0,1,0))</f>
        <v>0</v>
      </c>
      <c r="AB2979" s="37" t="str">
        <f aca="false">IF($N2979="","",IF(COUNTIF($N$8:$N2979,$N2979)=1,MAX($AB$7:$AB2978)+1,""))</f>
        <v/>
      </c>
    </row>
    <row r="2980" customFormat="false" ht="15" hidden="false" customHeight="false" outlineLevel="0" collapsed="false">
      <c r="L2980" s="37" t="str">
        <f aca="false">IF(INDEX($A2980:$J2980,$L$6)&lt;&gt;"",TRIM(LEFT(INDEX($A2980:$J2980,$L$6),FIND("(",INDEX($A2980:$J2980,$L$6)&amp;"(")-1)),L2979)</f>
        <v>Building Value Proposition</v>
      </c>
      <c r="M2980" s="37" t="str">
        <f aca="false">IF(INDEX($A2980:$J2980,$M$6)="","",INDEX($A2980:$J2980,$M$6)&amp;"")</f>
        <v/>
      </c>
      <c r="N2980" s="37" t="str">
        <f aca="false">IF($M2980="","",TRIM(INDEX($A2980:$J2980,$N$6)&amp;""))</f>
        <v/>
      </c>
      <c r="O2980" s="37" t="str">
        <f aca="false">IF($M2980="","",TRIM(INDEX($A2980:$J2980,$O$6)&amp;""))</f>
        <v/>
      </c>
      <c r="P2980" s="37" t="str">
        <f aca="false">IF($M2980="","",IFERROR(IF(INDEX(Settings!$B$41:$B$50,MATCH(O2980,Settings!$A$41:$A$50,0))&amp;""="","UNMAPPED",INDEX(Settings!$B$41:$B$50,MATCH(O2980,Settings!$A$41:$A$50,0))&amp;""),"UNMAPPED"))</f>
        <v/>
      </c>
      <c r="Q2980" s="38" t="n">
        <f aca="false">IF($M2980="",0,N(INDEX($A2980:$J2980,$Q$6)))</f>
        <v>0</v>
      </c>
      <c r="R2980" s="39" t="str">
        <f aca="false">IF($M2980="","",INDEX($A2980:$J2980,$R$6))</f>
        <v/>
      </c>
      <c r="S2980" s="37" t="str">
        <f aca="false">IF($M2980="","",IFERROR(INDEX(Settings!$B$27:$B$36,MATCH(L2980,Settings!$A$27:$A$36,0))&amp;"","UNMAPPED"))</f>
        <v/>
      </c>
      <c r="T2980" s="37" t="str">
        <f aca="false">IF($M2980="","",IF(NOT(ISNUMBER(R2980)),"NO DATE",IF(S2980="Won",IF(R2980&gt;Settings!$B$5,"Backlog","Delivered"),IF(S2980="Open",IF(R2980&gt;Settings!$B$5,"Pipeline","Overdue"),IF(S2980="Lost","Lost","UNMAPPED")))))</f>
        <v/>
      </c>
      <c r="U2980" s="40" t="n">
        <f aca="false">IF(T2980="Backlog",1,IF(OR(T2980="Pipeline",T2980="Overdue"),N(INDEX(Settings!$C$27:$C$36,MATCH(L2980,Settings!$A$27:$A$36,0))),0))</f>
        <v>0</v>
      </c>
      <c r="V2980" s="38" t="n">
        <f aca="false">Q2980*U2980</f>
        <v>0</v>
      </c>
      <c r="W2980" s="41" t="str">
        <f aca="false">IF($M2980="","",IF(T2980="Overdue",IF(Settings!$B$8="Yes",Settings!$B$7,""),IF(ISNUMBER(R2980),DATE(YEAR(R2980),MONTH(R2980),1),"")))</f>
        <v/>
      </c>
      <c r="X2980" s="38" t="n">
        <f aca="false">IF(AND(OR(T2980="Backlog",T2980="Pipeline",T2980="Overdue"),ISNUMBER(W2980)),IF(W2980&lt;=Settings!$B$6,V2980,0),0)</f>
        <v>0</v>
      </c>
      <c r="Y2980" s="38" t="n">
        <f aca="false">IF(AND(OR(T2980="Backlog",T2980="Pipeline",T2980="Overdue"),ISNUMBER(W2980)),IF(W2980&lt;=Settings!$B$6,Q2980,0),0)</f>
        <v>0</v>
      </c>
      <c r="Z2980" s="38" t="n">
        <f aca="false">IF(Y2980=0,0,IF(T2980="Backlog",Q2980,Q2980*Dashboard!$C$10))</f>
        <v>0</v>
      </c>
      <c r="AA2980" s="37" t="n">
        <f aca="false">IF($N2980="",0,IF(COUNTIF(Dashboard!$C$13:$C$22,$N2980)&gt;0,1,0))</f>
        <v>0</v>
      </c>
      <c r="AB2980" s="37" t="str">
        <f aca="false">IF($N2980="","",IF(COUNTIF($N$8:$N2980,$N2980)=1,MAX($AB$7:$AB2979)+1,""))</f>
        <v/>
      </c>
    </row>
    <row r="2981" customFormat="false" ht="15" hidden="false" customHeight="false" outlineLevel="0" collapsed="false">
      <c r="L2981" s="37" t="str">
        <f aca="false">IF(INDEX($A2981:$J2981,$L$6)&lt;&gt;"",TRIM(LEFT(INDEX($A2981:$J2981,$L$6),FIND("(",INDEX($A2981:$J2981,$L$6)&amp;"(")-1)),L2980)</f>
        <v>Building Value Proposition</v>
      </c>
      <c r="M2981" s="37" t="str">
        <f aca="false">IF(INDEX($A2981:$J2981,$M$6)="","",INDEX($A2981:$J2981,$M$6)&amp;"")</f>
        <v/>
      </c>
      <c r="N2981" s="37" t="str">
        <f aca="false">IF($M2981="","",TRIM(INDEX($A2981:$J2981,$N$6)&amp;""))</f>
        <v/>
      </c>
      <c r="O2981" s="37" t="str">
        <f aca="false">IF($M2981="","",TRIM(INDEX($A2981:$J2981,$O$6)&amp;""))</f>
        <v/>
      </c>
      <c r="P2981" s="37" t="str">
        <f aca="false">IF($M2981="","",IFERROR(IF(INDEX(Settings!$B$41:$B$50,MATCH(O2981,Settings!$A$41:$A$50,0))&amp;""="","UNMAPPED",INDEX(Settings!$B$41:$B$50,MATCH(O2981,Settings!$A$41:$A$50,0))&amp;""),"UNMAPPED"))</f>
        <v/>
      </c>
      <c r="Q2981" s="38" t="n">
        <f aca="false">IF($M2981="",0,N(INDEX($A2981:$J2981,$Q$6)))</f>
        <v>0</v>
      </c>
      <c r="R2981" s="39" t="str">
        <f aca="false">IF($M2981="","",INDEX($A2981:$J2981,$R$6))</f>
        <v/>
      </c>
      <c r="S2981" s="37" t="str">
        <f aca="false">IF($M2981="","",IFERROR(INDEX(Settings!$B$27:$B$36,MATCH(L2981,Settings!$A$27:$A$36,0))&amp;"","UNMAPPED"))</f>
        <v/>
      </c>
      <c r="T2981" s="37" t="str">
        <f aca="false">IF($M2981="","",IF(NOT(ISNUMBER(R2981)),"NO DATE",IF(S2981="Won",IF(R2981&gt;Settings!$B$5,"Backlog","Delivered"),IF(S2981="Open",IF(R2981&gt;Settings!$B$5,"Pipeline","Overdue"),IF(S2981="Lost","Lost","UNMAPPED")))))</f>
        <v/>
      </c>
      <c r="U2981" s="40" t="n">
        <f aca="false">IF(T2981="Backlog",1,IF(OR(T2981="Pipeline",T2981="Overdue"),N(INDEX(Settings!$C$27:$C$36,MATCH(L2981,Settings!$A$27:$A$36,0))),0))</f>
        <v>0</v>
      </c>
      <c r="V2981" s="38" t="n">
        <f aca="false">Q2981*U2981</f>
        <v>0</v>
      </c>
      <c r="W2981" s="41" t="str">
        <f aca="false">IF($M2981="","",IF(T2981="Overdue",IF(Settings!$B$8="Yes",Settings!$B$7,""),IF(ISNUMBER(R2981),DATE(YEAR(R2981),MONTH(R2981),1),"")))</f>
        <v/>
      </c>
      <c r="X2981" s="38" t="n">
        <f aca="false">IF(AND(OR(T2981="Backlog",T2981="Pipeline",T2981="Overdue"),ISNUMBER(W2981)),IF(W2981&lt;=Settings!$B$6,V2981,0),0)</f>
        <v>0</v>
      </c>
      <c r="Y2981" s="38" t="n">
        <f aca="false">IF(AND(OR(T2981="Backlog",T2981="Pipeline",T2981="Overdue"),ISNUMBER(W2981)),IF(W2981&lt;=Settings!$B$6,Q2981,0),0)</f>
        <v>0</v>
      </c>
      <c r="Z2981" s="38" t="n">
        <f aca="false">IF(Y2981=0,0,IF(T2981="Backlog",Q2981,Q2981*Dashboard!$C$10))</f>
        <v>0</v>
      </c>
      <c r="AA2981" s="37" t="n">
        <f aca="false">IF($N2981="",0,IF(COUNTIF(Dashboard!$C$13:$C$22,$N2981)&gt;0,1,0))</f>
        <v>0</v>
      </c>
      <c r="AB2981" s="37" t="str">
        <f aca="false">IF($N2981="","",IF(COUNTIF($N$8:$N2981,$N2981)=1,MAX($AB$7:$AB2980)+1,""))</f>
        <v/>
      </c>
    </row>
    <row r="2982" customFormat="false" ht="15" hidden="false" customHeight="false" outlineLevel="0" collapsed="false">
      <c r="L2982" s="37" t="str">
        <f aca="false">IF(INDEX($A2982:$J2982,$L$6)&lt;&gt;"",TRIM(LEFT(INDEX($A2982:$J2982,$L$6),FIND("(",INDEX($A2982:$J2982,$L$6)&amp;"(")-1)),L2981)</f>
        <v>Building Value Proposition</v>
      </c>
      <c r="M2982" s="37" t="str">
        <f aca="false">IF(INDEX($A2982:$J2982,$M$6)="","",INDEX($A2982:$J2982,$M$6)&amp;"")</f>
        <v/>
      </c>
      <c r="N2982" s="37" t="str">
        <f aca="false">IF($M2982="","",TRIM(INDEX($A2982:$J2982,$N$6)&amp;""))</f>
        <v/>
      </c>
      <c r="O2982" s="37" t="str">
        <f aca="false">IF($M2982="","",TRIM(INDEX($A2982:$J2982,$O$6)&amp;""))</f>
        <v/>
      </c>
      <c r="P2982" s="37" t="str">
        <f aca="false">IF($M2982="","",IFERROR(IF(INDEX(Settings!$B$41:$B$50,MATCH(O2982,Settings!$A$41:$A$50,0))&amp;""="","UNMAPPED",INDEX(Settings!$B$41:$B$50,MATCH(O2982,Settings!$A$41:$A$50,0))&amp;""),"UNMAPPED"))</f>
        <v/>
      </c>
      <c r="Q2982" s="38" t="n">
        <f aca="false">IF($M2982="",0,N(INDEX($A2982:$J2982,$Q$6)))</f>
        <v>0</v>
      </c>
      <c r="R2982" s="39" t="str">
        <f aca="false">IF($M2982="","",INDEX($A2982:$J2982,$R$6))</f>
        <v/>
      </c>
      <c r="S2982" s="37" t="str">
        <f aca="false">IF($M2982="","",IFERROR(INDEX(Settings!$B$27:$B$36,MATCH(L2982,Settings!$A$27:$A$36,0))&amp;"","UNMAPPED"))</f>
        <v/>
      </c>
      <c r="T2982" s="37" t="str">
        <f aca="false">IF($M2982="","",IF(NOT(ISNUMBER(R2982)),"NO DATE",IF(S2982="Won",IF(R2982&gt;Settings!$B$5,"Backlog","Delivered"),IF(S2982="Open",IF(R2982&gt;Settings!$B$5,"Pipeline","Overdue"),IF(S2982="Lost","Lost","UNMAPPED")))))</f>
        <v/>
      </c>
      <c r="U2982" s="40" t="n">
        <f aca="false">IF(T2982="Backlog",1,IF(OR(T2982="Pipeline",T2982="Overdue"),N(INDEX(Settings!$C$27:$C$36,MATCH(L2982,Settings!$A$27:$A$36,0))),0))</f>
        <v>0</v>
      </c>
      <c r="V2982" s="38" t="n">
        <f aca="false">Q2982*U2982</f>
        <v>0</v>
      </c>
      <c r="W2982" s="41" t="str">
        <f aca="false">IF($M2982="","",IF(T2982="Overdue",IF(Settings!$B$8="Yes",Settings!$B$7,""),IF(ISNUMBER(R2982),DATE(YEAR(R2982),MONTH(R2982),1),"")))</f>
        <v/>
      </c>
      <c r="X2982" s="38" t="n">
        <f aca="false">IF(AND(OR(T2982="Backlog",T2982="Pipeline",T2982="Overdue"),ISNUMBER(W2982)),IF(W2982&lt;=Settings!$B$6,V2982,0),0)</f>
        <v>0</v>
      </c>
      <c r="Y2982" s="38" t="n">
        <f aca="false">IF(AND(OR(T2982="Backlog",T2982="Pipeline",T2982="Overdue"),ISNUMBER(W2982)),IF(W2982&lt;=Settings!$B$6,Q2982,0),0)</f>
        <v>0</v>
      </c>
      <c r="Z2982" s="38" t="n">
        <f aca="false">IF(Y2982=0,0,IF(T2982="Backlog",Q2982,Q2982*Dashboard!$C$10))</f>
        <v>0</v>
      </c>
      <c r="AA2982" s="37" t="n">
        <f aca="false">IF($N2982="",0,IF(COUNTIF(Dashboard!$C$13:$C$22,$N2982)&gt;0,1,0))</f>
        <v>0</v>
      </c>
      <c r="AB2982" s="37" t="str">
        <f aca="false">IF($N2982="","",IF(COUNTIF($N$8:$N2982,$N2982)=1,MAX($AB$7:$AB2981)+1,""))</f>
        <v/>
      </c>
    </row>
    <row r="2983" customFormat="false" ht="15" hidden="false" customHeight="false" outlineLevel="0" collapsed="false">
      <c r="L2983" s="37" t="str">
        <f aca="false">IF(INDEX($A2983:$J2983,$L$6)&lt;&gt;"",TRIM(LEFT(INDEX($A2983:$J2983,$L$6),FIND("(",INDEX($A2983:$J2983,$L$6)&amp;"(")-1)),L2982)</f>
        <v>Building Value Proposition</v>
      </c>
      <c r="M2983" s="37" t="str">
        <f aca="false">IF(INDEX($A2983:$J2983,$M$6)="","",INDEX($A2983:$J2983,$M$6)&amp;"")</f>
        <v/>
      </c>
      <c r="N2983" s="37" t="str">
        <f aca="false">IF($M2983="","",TRIM(INDEX($A2983:$J2983,$N$6)&amp;""))</f>
        <v/>
      </c>
      <c r="O2983" s="37" t="str">
        <f aca="false">IF($M2983="","",TRIM(INDEX($A2983:$J2983,$O$6)&amp;""))</f>
        <v/>
      </c>
      <c r="P2983" s="37" t="str">
        <f aca="false">IF($M2983="","",IFERROR(IF(INDEX(Settings!$B$41:$B$50,MATCH(O2983,Settings!$A$41:$A$50,0))&amp;""="","UNMAPPED",INDEX(Settings!$B$41:$B$50,MATCH(O2983,Settings!$A$41:$A$50,0))&amp;""),"UNMAPPED"))</f>
        <v/>
      </c>
      <c r="Q2983" s="38" t="n">
        <f aca="false">IF($M2983="",0,N(INDEX($A2983:$J2983,$Q$6)))</f>
        <v>0</v>
      </c>
      <c r="R2983" s="39" t="str">
        <f aca="false">IF($M2983="","",INDEX($A2983:$J2983,$R$6))</f>
        <v/>
      </c>
      <c r="S2983" s="37" t="str">
        <f aca="false">IF($M2983="","",IFERROR(INDEX(Settings!$B$27:$B$36,MATCH(L2983,Settings!$A$27:$A$36,0))&amp;"","UNMAPPED"))</f>
        <v/>
      </c>
      <c r="T2983" s="37" t="str">
        <f aca="false">IF($M2983="","",IF(NOT(ISNUMBER(R2983)),"NO DATE",IF(S2983="Won",IF(R2983&gt;Settings!$B$5,"Backlog","Delivered"),IF(S2983="Open",IF(R2983&gt;Settings!$B$5,"Pipeline","Overdue"),IF(S2983="Lost","Lost","UNMAPPED")))))</f>
        <v/>
      </c>
      <c r="U2983" s="40" t="n">
        <f aca="false">IF(T2983="Backlog",1,IF(OR(T2983="Pipeline",T2983="Overdue"),N(INDEX(Settings!$C$27:$C$36,MATCH(L2983,Settings!$A$27:$A$36,0))),0))</f>
        <v>0</v>
      </c>
      <c r="V2983" s="38" t="n">
        <f aca="false">Q2983*U2983</f>
        <v>0</v>
      </c>
      <c r="W2983" s="41" t="str">
        <f aca="false">IF($M2983="","",IF(T2983="Overdue",IF(Settings!$B$8="Yes",Settings!$B$7,""),IF(ISNUMBER(R2983),DATE(YEAR(R2983),MONTH(R2983),1),"")))</f>
        <v/>
      </c>
      <c r="X2983" s="38" t="n">
        <f aca="false">IF(AND(OR(T2983="Backlog",T2983="Pipeline",T2983="Overdue"),ISNUMBER(W2983)),IF(W2983&lt;=Settings!$B$6,V2983,0),0)</f>
        <v>0</v>
      </c>
      <c r="Y2983" s="38" t="n">
        <f aca="false">IF(AND(OR(T2983="Backlog",T2983="Pipeline",T2983="Overdue"),ISNUMBER(W2983)),IF(W2983&lt;=Settings!$B$6,Q2983,0),0)</f>
        <v>0</v>
      </c>
      <c r="Z2983" s="38" t="n">
        <f aca="false">IF(Y2983=0,0,IF(T2983="Backlog",Q2983,Q2983*Dashboard!$C$10))</f>
        <v>0</v>
      </c>
      <c r="AA2983" s="37" t="n">
        <f aca="false">IF($N2983="",0,IF(COUNTIF(Dashboard!$C$13:$C$22,$N2983)&gt;0,1,0))</f>
        <v>0</v>
      </c>
      <c r="AB2983" s="37" t="str">
        <f aca="false">IF($N2983="","",IF(COUNTIF($N$8:$N2983,$N2983)=1,MAX($AB$7:$AB2982)+1,""))</f>
        <v/>
      </c>
    </row>
    <row r="2984" customFormat="false" ht="15" hidden="false" customHeight="false" outlineLevel="0" collapsed="false">
      <c r="L2984" s="37" t="str">
        <f aca="false">IF(INDEX($A2984:$J2984,$L$6)&lt;&gt;"",TRIM(LEFT(INDEX($A2984:$J2984,$L$6),FIND("(",INDEX($A2984:$J2984,$L$6)&amp;"(")-1)),L2983)</f>
        <v>Building Value Proposition</v>
      </c>
      <c r="M2984" s="37" t="str">
        <f aca="false">IF(INDEX($A2984:$J2984,$M$6)="","",INDEX($A2984:$J2984,$M$6)&amp;"")</f>
        <v/>
      </c>
      <c r="N2984" s="37" t="str">
        <f aca="false">IF($M2984="","",TRIM(INDEX($A2984:$J2984,$N$6)&amp;""))</f>
        <v/>
      </c>
      <c r="O2984" s="37" t="str">
        <f aca="false">IF($M2984="","",TRIM(INDEX($A2984:$J2984,$O$6)&amp;""))</f>
        <v/>
      </c>
      <c r="P2984" s="37" t="str">
        <f aca="false">IF($M2984="","",IFERROR(IF(INDEX(Settings!$B$41:$B$50,MATCH(O2984,Settings!$A$41:$A$50,0))&amp;""="","UNMAPPED",INDEX(Settings!$B$41:$B$50,MATCH(O2984,Settings!$A$41:$A$50,0))&amp;""),"UNMAPPED"))</f>
        <v/>
      </c>
      <c r="Q2984" s="38" t="n">
        <f aca="false">IF($M2984="",0,N(INDEX($A2984:$J2984,$Q$6)))</f>
        <v>0</v>
      </c>
      <c r="R2984" s="39" t="str">
        <f aca="false">IF($M2984="","",INDEX($A2984:$J2984,$R$6))</f>
        <v/>
      </c>
      <c r="S2984" s="37" t="str">
        <f aca="false">IF($M2984="","",IFERROR(INDEX(Settings!$B$27:$B$36,MATCH(L2984,Settings!$A$27:$A$36,0))&amp;"","UNMAPPED"))</f>
        <v/>
      </c>
      <c r="T2984" s="37" t="str">
        <f aca="false">IF($M2984="","",IF(NOT(ISNUMBER(R2984)),"NO DATE",IF(S2984="Won",IF(R2984&gt;Settings!$B$5,"Backlog","Delivered"),IF(S2984="Open",IF(R2984&gt;Settings!$B$5,"Pipeline","Overdue"),IF(S2984="Lost","Lost","UNMAPPED")))))</f>
        <v/>
      </c>
      <c r="U2984" s="40" t="n">
        <f aca="false">IF(T2984="Backlog",1,IF(OR(T2984="Pipeline",T2984="Overdue"),N(INDEX(Settings!$C$27:$C$36,MATCH(L2984,Settings!$A$27:$A$36,0))),0))</f>
        <v>0</v>
      </c>
      <c r="V2984" s="38" t="n">
        <f aca="false">Q2984*U2984</f>
        <v>0</v>
      </c>
      <c r="W2984" s="41" t="str">
        <f aca="false">IF($M2984="","",IF(T2984="Overdue",IF(Settings!$B$8="Yes",Settings!$B$7,""),IF(ISNUMBER(R2984),DATE(YEAR(R2984),MONTH(R2984),1),"")))</f>
        <v/>
      </c>
      <c r="X2984" s="38" t="n">
        <f aca="false">IF(AND(OR(T2984="Backlog",T2984="Pipeline",T2984="Overdue"),ISNUMBER(W2984)),IF(W2984&lt;=Settings!$B$6,V2984,0),0)</f>
        <v>0</v>
      </c>
      <c r="Y2984" s="38" t="n">
        <f aca="false">IF(AND(OR(T2984="Backlog",T2984="Pipeline",T2984="Overdue"),ISNUMBER(W2984)),IF(W2984&lt;=Settings!$B$6,Q2984,0),0)</f>
        <v>0</v>
      </c>
      <c r="Z2984" s="38" t="n">
        <f aca="false">IF(Y2984=0,0,IF(T2984="Backlog",Q2984,Q2984*Dashboard!$C$10))</f>
        <v>0</v>
      </c>
      <c r="AA2984" s="37" t="n">
        <f aca="false">IF($N2984="",0,IF(COUNTIF(Dashboard!$C$13:$C$22,$N2984)&gt;0,1,0))</f>
        <v>0</v>
      </c>
      <c r="AB2984" s="37" t="str">
        <f aca="false">IF($N2984="","",IF(COUNTIF($N$8:$N2984,$N2984)=1,MAX($AB$7:$AB2983)+1,""))</f>
        <v/>
      </c>
    </row>
    <row r="2985" customFormat="false" ht="15" hidden="false" customHeight="false" outlineLevel="0" collapsed="false">
      <c r="L2985" s="37" t="str">
        <f aca="false">IF(INDEX($A2985:$J2985,$L$6)&lt;&gt;"",TRIM(LEFT(INDEX($A2985:$J2985,$L$6),FIND("(",INDEX($A2985:$J2985,$L$6)&amp;"(")-1)),L2984)</f>
        <v>Building Value Proposition</v>
      </c>
      <c r="M2985" s="37" t="str">
        <f aca="false">IF(INDEX($A2985:$J2985,$M$6)="","",INDEX($A2985:$J2985,$M$6)&amp;"")</f>
        <v/>
      </c>
      <c r="N2985" s="37" t="str">
        <f aca="false">IF($M2985="","",TRIM(INDEX($A2985:$J2985,$N$6)&amp;""))</f>
        <v/>
      </c>
      <c r="O2985" s="37" t="str">
        <f aca="false">IF($M2985="","",TRIM(INDEX($A2985:$J2985,$O$6)&amp;""))</f>
        <v/>
      </c>
      <c r="P2985" s="37" t="str">
        <f aca="false">IF($M2985="","",IFERROR(IF(INDEX(Settings!$B$41:$B$50,MATCH(O2985,Settings!$A$41:$A$50,0))&amp;""="","UNMAPPED",INDEX(Settings!$B$41:$B$50,MATCH(O2985,Settings!$A$41:$A$50,0))&amp;""),"UNMAPPED"))</f>
        <v/>
      </c>
      <c r="Q2985" s="38" t="n">
        <f aca="false">IF($M2985="",0,N(INDEX($A2985:$J2985,$Q$6)))</f>
        <v>0</v>
      </c>
      <c r="R2985" s="39" t="str">
        <f aca="false">IF($M2985="","",INDEX($A2985:$J2985,$R$6))</f>
        <v/>
      </c>
      <c r="S2985" s="37" t="str">
        <f aca="false">IF($M2985="","",IFERROR(INDEX(Settings!$B$27:$B$36,MATCH(L2985,Settings!$A$27:$A$36,0))&amp;"","UNMAPPED"))</f>
        <v/>
      </c>
      <c r="T2985" s="37" t="str">
        <f aca="false">IF($M2985="","",IF(NOT(ISNUMBER(R2985)),"NO DATE",IF(S2985="Won",IF(R2985&gt;Settings!$B$5,"Backlog","Delivered"),IF(S2985="Open",IF(R2985&gt;Settings!$B$5,"Pipeline","Overdue"),IF(S2985="Lost","Lost","UNMAPPED")))))</f>
        <v/>
      </c>
      <c r="U2985" s="40" t="n">
        <f aca="false">IF(T2985="Backlog",1,IF(OR(T2985="Pipeline",T2985="Overdue"),N(INDEX(Settings!$C$27:$C$36,MATCH(L2985,Settings!$A$27:$A$36,0))),0))</f>
        <v>0</v>
      </c>
      <c r="V2985" s="38" t="n">
        <f aca="false">Q2985*U2985</f>
        <v>0</v>
      </c>
      <c r="W2985" s="41" t="str">
        <f aca="false">IF($M2985="","",IF(T2985="Overdue",IF(Settings!$B$8="Yes",Settings!$B$7,""),IF(ISNUMBER(R2985),DATE(YEAR(R2985),MONTH(R2985),1),"")))</f>
        <v/>
      </c>
      <c r="X2985" s="38" t="n">
        <f aca="false">IF(AND(OR(T2985="Backlog",T2985="Pipeline",T2985="Overdue"),ISNUMBER(W2985)),IF(W2985&lt;=Settings!$B$6,V2985,0),0)</f>
        <v>0</v>
      </c>
      <c r="Y2985" s="38" t="n">
        <f aca="false">IF(AND(OR(T2985="Backlog",T2985="Pipeline",T2985="Overdue"),ISNUMBER(W2985)),IF(W2985&lt;=Settings!$B$6,Q2985,0),0)</f>
        <v>0</v>
      </c>
      <c r="Z2985" s="38" t="n">
        <f aca="false">IF(Y2985=0,0,IF(T2985="Backlog",Q2985,Q2985*Dashboard!$C$10))</f>
        <v>0</v>
      </c>
      <c r="AA2985" s="37" t="n">
        <f aca="false">IF($N2985="",0,IF(COUNTIF(Dashboard!$C$13:$C$22,$N2985)&gt;0,1,0))</f>
        <v>0</v>
      </c>
      <c r="AB2985" s="37" t="str">
        <f aca="false">IF($N2985="","",IF(COUNTIF($N$8:$N2985,$N2985)=1,MAX($AB$7:$AB2984)+1,""))</f>
        <v/>
      </c>
    </row>
    <row r="2986" customFormat="false" ht="15" hidden="false" customHeight="false" outlineLevel="0" collapsed="false">
      <c r="L2986" s="37" t="str">
        <f aca="false">IF(INDEX($A2986:$J2986,$L$6)&lt;&gt;"",TRIM(LEFT(INDEX($A2986:$J2986,$L$6),FIND("(",INDEX($A2986:$J2986,$L$6)&amp;"(")-1)),L2985)</f>
        <v>Building Value Proposition</v>
      </c>
      <c r="M2986" s="37" t="str">
        <f aca="false">IF(INDEX($A2986:$J2986,$M$6)="","",INDEX($A2986:$J2986,$M$6)&amp;"")</f>
        <v/>
      </c>
      <c r="N2986" s="37" t="str">
        <f aca="false">IF($M2986="","",TRIM(INDEX($A2986:$J2986,$N$6)&amp;""))</f>
        <v/>
      </c>
      <c r="O2986" s="37" t="str">
        <f aca="false">IF($M2986="","",TRIM(INDEX($A2986:$J2986,$O$6)&amp;""))</f>
        <v/>
      </c>
      <c r="P2986" s="37" t="str">
        <f aca="false">IF($M2986="","",IFERROR(IF(INDEX(Settings!$B$41:$B$50,MATCH(O2986,Settings!$A$41:$A$50,0))&amp;""="","UNMAPPED",INDEX(Settings!$B$41:$B$50,MATCH(O2986,Settings!$A$41:$A$50,0))&amp;""),"UNMAPPED"))</f>
        <v/>
      </c>
      <c r="Q2986" s="38" t="n">
        <f aca="false">IF($M2986="",0,N(INDEX($A2986:$J2986,$Q$6)))</f>
        <v>0</v>
      </c>
      <c r="R2986" s="39" t="str">
        <f aca="false">IF($M2986="","",INDEX($A2986:$J2986,$R$6))</f>
        <v/>
      </c>
      <c r="S2986" s="37" t="str">
        <f aca="false">IF($M2986="","",IFERROR(INDEX(Settings!$B$27:$B$36,MATCH(L2986,Settings!$A$27:$A$36,0))&amp;"","UNMAPPED"))</f>
        <v/>
      </c>
      <c r="T2986" s="37" t="str">
        <f aca="false">IF($M2986="","",IF(NOT(ISNUMBER(R2986)),"NO DATE",IF(S2986="Won",IF(R2986&gt;Settings!$B$5,"Backlog","Delivered"),IF(S2986="Open",IF(R2986&gt;Settings!$B$5,"Pipeline","Overdue"),IF(S2986="Lost","Lost","UNMAPPED")))))</f>
        <v/>
      </c>
      <c r="U2986" s="40" t="n">
        <f aca="false">IF(T2986="Backlog",1,IF(OR(T2986="Pipeline",T2986="Overdue"),N(INDEX(Settings!$C$27:$C$36,MATCH(L2986,Settings!$A$27:$A$36,0))),0))</f>
        <v>0</v>
      </c>
      <c r="V2986" s="38" t="n">
        <f aca="false">Q2986*U2986</f>
        <v>0</v>
      </c>
      <c r="W2986" s="41" t="str">
        <f aca="false">IF($M2986="","",IF(T2986="Overdue",IF(Settings!$B$8="Yes",Settings!$B$7,""),IF(ISNUMBER(R2986),DATE(YEAR(R2986),MONTH(R2986),1),"")))</f>
        <v/>
      </c>
      <c r="X2986" s="38" t="n">
        <f aca="false">IF(AND(OR(T2986="Backlog",T2986="Pipeline",T2986="Overdue"),ISNUMBER(W2986)),IF(W2986&lt;=Settings!$B$6,V2986,0),0)</f>
        <v>0</v>
      </c>
      <c r="Y2986" s="38" t="n">
        <f aca="false">IF(AND(OR(T2986="Backlog",T2986="Pipeline",T2986="Overdue"),ISNUMBER(W2986)),IF(W2986&lt;=Settings!$B$6,Q2986,0),0)</f>
        <v>0</v>
      </c>
      <c r="Z2986" s="38" t="n">
        <f aca="false">IF(Y2986=0,0,IF(T2986="Backlog",Q2986,Q2986*Dashboard!$C$10))</f>
        <v>0</v>
      </c>
      <c r="AA2986" s="37" t="n">
        <f aca="false">IF($N2986="",0,IF(COUNTIF(Dashboard!$C$13:$C$22,$N2986)&gt;0,1,0))</f>
        <v>0</v>
      </c>
      <c r="AB2986" s="37" t="str">
        <f aca="false">IF($N2986="","",IF(COUNTIF($N$8:$N2986,$N2986)=1,MAX($AB$7:$AB2985)+1,""))</f>
        <v/>
      </c>
    </row>
    <row r="2987" customFormat="false" ht="15" hidden="false" customHeight="false" outlineLevel="0" collapsed="false">
      <c r="L2987" s="37" t="str">
        <f aca="false">IF(INDEX($A2987:$J2987,$L$6)&lt;&gt;"",TRIM(LEFT(INDEX($A2987:$J2987,$L$6),FIND("(",INDEX($A2987:$J2987,$L$6)&amp;"(")-1)),L2986)</f>
        <v>Building Value Proposition</v>
      </c>
      <c r="M2987" s="37" t="str">
        <f aca="false">IF(INDEX($A2987:$J2987,$M$6)="","",INDEX($A2987:$J2987,$M$6)&amp;"")</f>
        <v/>
      </c>
      <c r="N2987" s="37" t="str">
        <f aca="false">IF($M2987="","",TRIM(INDEX($A2987:$J2987,$N$6)&amp;""))</f>
        <v/>
      </c>
      <c r="O2987" s="37" t="str">
        <f aca="false">IF($M2987="","",TRIM(INDEX($A2987:$J2987,$O$6)&amp;""))</f>
        <v/>
      </c>
      <c r="P2987" s="37" t="str">
        <f aca="false">IF($M2987="","",IFERROR(IF(INDEX(Settings!$B$41:$B$50,MATCH(O2987,Settings!$A$41:$A$50,0))&amp;""="","UNMAPPED",INDEX(Settings!$B$41:$B$50,MATCH(O2987,Settings!$A$41:$A$50,0))&amp;""),"UNMAPPED"))</f>
        <v/>
      </c>
      <c r="Q2987" s="38" t="n">
        <f aca="false">IF($M2987="",0,N(INDEX($A2987:$J2987,$Q$6)))</f>
        <v>0</v>
      </c>
      <c r="R2987" s="39" t="str">
        <f aca="false">IF($M2987="","",INDEX($A2987:$J2987,$R$6))</f>
        <v/>
      </c>
      <c r="S2987" s="37" t="str">
        <f aca="false">IF($M2987="","",IFERROR(INDEX(Settings!$B$27:$B$36,MATCH(L2987,Settings!$A$27:$A$36,0))&amp;"","UNMAPPED"))</f>
        <v/>
      </c>
      <c r="T2987" s="37" t="str">
        <f aca="false">IF($M2987="","",IF(NOT(ISNUMBER(R2987)),"NO DATE",IF(S2987="Won",IF(R2987&gt;Settings!$B$5,"Backlog","Delivered"),IF(S2987="Open",IF(R2987&gt;Settings!$B$5,"Pipeline","Overdue"),IF(S2987="Lost","Lost","UNMAPPED")))))</f>
        <v/>
      </c>
      <c r="U2987" s="40" t="n">
        <f aca="false">IF(T2987="Backlog",1,IF(OR(T2987="Pipeline",T2987="Overdue"),N(INDEX(Settings!$C$27:$C$36,MATCH(L2987,Settings!$A$27:$A$36,0))),0))</f>
        <v>0</v>
      </c>
      <c r="V2987" s="38" t="n">
        <f aca="false">Q2987*U2987</f>
        <v>0</v>
      </c>
      <c r="W2987" s="41" t="str">
        <f aca="false">IF($M2987="","",IF(T2987="Overdue",IF(Settings!$B$8="Yes",Settings!$B$7,""),IF(ISNUMBER(R2987),DATE(YEAR(R2987),MONTH(R2987),1),"")))</f>
        <v/>
      </c>
      <c r="X2987" s="38" t="n">
        <f aca="false">IF(AND(OR(T2987="Backlog",T2987="Pipeline",T2987="Overdue"),ISNUMBER(W2987)),IF(W2987&lt;=Settings!$B$6,V2987,0),0)</f>
        <v>0</v>
      </c>
      <c r="Y2987" s="38" t="n">
        <f aca="false">IF(AND(OR(T2987="Backlog",T2987="Pipeline",T2987="Overdue"),ISNUMBER(W2987)),IF(W2987&lt;=Settings!$B$6,Q2987,0),0)</f>
        <v>0</v>
      </c>
      <c r="Z2987" s="38" t="n">
        <f aca="false">IF(Y2987=0,0,IF(T2987="Backlog",Q2987,Q2987*Dashboard!$C$10))</f>
        <v>0</v>
      </c>
      <c r="AA2987" s="37" t="n">
        <f aca="false">IF($N2987="",0,IF(COUNTIF(Dashboard!$C$13:$C$22,$N2987)&gt;0,1,0))</f>
        <v>0</v>
      </c>
      <c r="AB2987" s="37" t="str">
        <f aca="false">IF($N2987="","",IF(COUNTIF($N$8:$N2987,$N2987)=1,MAX($AB$7:$AB2986)+1,""))</f>
        <v/>
      </c>
    </row>
    <row r="2988" customFormat="false" ht="15" hidden="false" customHeight="false" outlineLevel="0" collapsed="false">
      <c r="L2988" s="37" t="str">
        <f aca="false">IF(INDEX($A2988:$J2988,$L$6)&lt;&gt;"",TRIM(LEFT(INDEX($A2988:$J2988,$L$6),FIND("(",INDEX($A2988:$J2988,$L$6)&amp;"(")-1)),L2987)</f>
        <v>Building Value Proposition</v>
      </c>
      <c r="M2988" s="37" t="str">
        <f aca="false">IF(INDEX($A2988:$J2988,$M$6)="","",INDEX($A2988:$J2988,$M$6)&amp;"")</f>
        <v/>
      </c>
      <c r="N2988" s="37" t="str">
        <f aca="false">IF($M2988="","",TRIM(INDEX($A2988:$J2988,$N$6)&amp;""))</f>
        <v/>
      </c>
      <c r="O2988" s="37" t="str">
        <f aca="false">IF($M2988="","",TRIM(INDEX($A2988:$J2988,$O$6)&amp;""))</f>
        <v/>
      </c>
      <c r="P2988" s="37" t="str">
        <f aca="false">IF($M2988="","",IFERROR(IF(INDEX(Settings!$B$41:$B$50,MATCH(O2988,Settings!$A$41:$A$50,0))&amp;""="","UNMAPPED",INDEX(Settings!$B$41:$B$50,MATCH(O2988,Settings!$A$41:$A$50,0))&amp;""),"UNMAPPED"))</f>
        <v/>
      </c>
      <c r="Q2988" s="38" t="n">
        <f aca="false">IF($M2988="",0,N(INDEX($A2988:$J2988,$Q$6)))</f>
        <v>0</v>
      </c>
      <c r="R2988" s="39" t="str">
        <f aca="false">IF($M2988="","",INDEX($A2988:$J2988,$R$6))</f>
        <v/>
      </c>
      <c r="S2988" s="37" t="str">
        <f aca="false">IF($M2988="","",IFERROR(INDEX(Settings!$B$27:$B$36,MATCH(L2988,Settings!$A$27:$A$36,0))&amp;"","UNMAPPED"))</f>
        <v/>
      </c>
      <c r="T2988" s="37" t="str">
        <f aca="false">IF($M2988="","",IF(NOT(ISNUMBER(R2988)),"NO DATE",IF(S2988="Won",IF(R2988&gt;Settings!$B$5,"Backlog","Delivered"),IF(S2988="Open",IF(R2988&gt;Settings!$B$5,"Pipeline","Overdue"),IF(S2988="Lost","Lost","UNMAPPED")))))</f>
        <v/>
      </c>
      <c r="U2988" s="40" t="n">
        <f aca="false">IF(T2988="Backlog",1,IF(OR(T2988="Pipeline",T2988="Overdue"),N(INDEX(Settings!$C$27:$C$36,MATCH(L2988,Settings!$A$27:$A$36,0))),0))</f>
        <v>0</v>
      </c>
      <c r="V2988" s="38" t="n">
        <f aca="false">Q2988*U2988</f>
        <v>0</v>
      </c>
      <c r="W2988" s="41" t="str">
        <f aca="false">IF($M2988="","",IF(T2988="Overdue",IF(Settings!$B$8="Yes",Settings!$B$7,""),IF(ISNUMBER(R2988),DATE(YEAR(R2988),MONTH(R2988),1),"")))</f>
        <v/>
      </c>
      <c r="X2988" s="38" t="n">
        <f aca="false">IF(AND(OR(T2988="Backlog",T2988="Pipeline",T2988="Overdue"),ISNUMBER(W2988)),IF(W2988&lt;=Settings!$B$6,V2988,0),0)</f>
        <v>0</v>
      </c>
      <c r="Y2988" s="38" t="n">
        <f aca="false">IF(AND(OR(T2988="Backlog",T2988="Pipeline",T2988="Overdue"),ISNUMBER(W2988)),IF(W2988&lt;=Settings!$B$6,Q2988,0),0)</f>
        <v>0</v>
      </c>
      <c r="Z2988" s="38" t="n">
        <f aca="false">IF(Y2988=0,0,IF(T2988="Backlog",Q2988,Q2988*Dashboard!$C$10))</f>
        <v>0</v>
      </c>
      <c r="AA2988" s="37" t="n">
        <f aca="false">IF($N2988="",0,IF(COUNTIF(Dashboard!$C$13:$C$22,$N2988)&gt;0,1,0))</f>
        <v>0</v>
      </c>
      <c r="AB2988" s="37" t="str">
        <f aca="false">IF($N2988="","",IF(COUNTIF($N$8:$N2988,$N2988)=1,MAX($AB$7:$AB2987)+1,""))</f>
        <v/>
      </c>
    </row>
    <row r="2989" customFormat="false" ht="15" hidden="false" customHeight="false" outlineLevel="0" collapsed="false">
      <c r="L2989" s="37" t="str">
        <f aca="false">IF(INDEX($A2989:$J2989,$L$6)&lt;&gt;"",TRIM(LEFT(INDEX($A2989:$J2989,$L$6),FIND("(",INDEX($A2989:$J2989,$L$6)&amp;"(")-1)),L2988)</f>
        <v>Building Value Proposition</v>
      </c>
      <c r="M2989" s="37" t="str">
        <f aca="false">IF(INDEX($A2989:$J2989,$M$6)="","",INDEX($A2989:$J2989,$M$6)&amp;"")</f>
        <v/>
      </c>
      <c r="N2989" s="37" t="str">
        <f aca="false">IF($M2989="","",TRIM(INDEX($A2989:$J2989,$N$6)&amp;""))</f>
        <v/>
      </c>
      <c r="O2989" s="37" t="str">
        <f aca="false">IF($M2989="","",TRIM(INDEX($A2989:$J2989,$O$6)&amp;""))</f>
        <v/>
      </c>
      <c r="P2989" s="37" t="str">
        <f aca="false">IF($M2989="","",IFERROR(IF(INDEX(Settings!$B$41:$B$50,MATCH(O2989,Settings!$A$41:$A$50,0))&amp;""="","UNMAPPED",INDEX(Settings!$B$41:$B$50,MATCH(O2989,Settings!$A$41:$A$50,0))&amp;""),"UNMAPPED"))</f>
        <v/>
      </c>
      <c r="Q2989" s="38" t="n">
        <f aca="false">IF($M2989="",0,N(INDEX($A2989:$J2989,$Q$6)))</f>
        <v>0</v>
      </c>
      <c r="R2989" s="39" t="str">
        <f aca="false">IF($M2989="","",INDEX($A2989:$J2989,$R$6))</f>
        <v/>
      </c>
      <c r="S2989" s="37" t="str">
        <f aca="false">IF($M2989="","",IFERROR(INDEX(Settings!$B$27:$B$36,MATCH(L2989,Settings!$A$27:$A$36,0))&amp;"","UNMAPPED"))</f>
        <v/>
      </c>
      <c r="T2989" s="37" t="str">
        <f aca="false">IF($M2989="","",IF(NOT(ISNUMBER(R2989)),"NO DATE",IF(S2989="Won",IF(R2989&gt;Settings!$B$5,"Backlog","Delivered"),IF(S2989="Open",IF(R2989&gt;Settings!$B$5,"Pipeline","Overdue"),IF(S2989="Lost","Lost","UNMAPPED")))))</f>
        <v/>
      </c>
      <c r="U2989" s="40" t="n">
        <f aca="false">IF(T2989="Backlog",1,IF(OR(T2989="Pipeline",T2989="Overdue"),N(INDEX(Settings!$C$27:$C$36,MATCH(L2989,Settings!$A$27:$A$36,0))),0))</f>
        <v>0</v>
      </c>
      <c r="V2989" s="38" t="n">
        <f aca="false">Q2989*U2989</f>
        <v>0</v>
      </c>
      <c r="W2989" s="41" t="str">
        <f aca="false">IF($M2989="","",IF(T2989="Overdue",IF(Settings!$B$8="Yes",Settings!$B$7,""),IF(ISNUMBER(R2989),DATE(YEAR(R2989),MONTH(R2989),1),"")))</f>
        <v/>
      </c>
      <c r="X2989" s="38" t="n">
        <f aca="false">IF(AND(OR(T2989="Backlog",T2989="Pipeline",T2989="Overdue"),ISNUMBER(W2989)),IF(W2989&lt;=Settings!$B$6,V2989,0),0)</f>
        <v>0</v>
      </c>
      <c r="Y2989" s="38" t="n">
        <f aca="false">IF(AND(OR(T2989="Backlog",T2989="Pipeline",T2989="Overdue"),ISNUMBER(W2989)),IF(W2989&lt;=Settings!$B$6,Q2989,0),0)</f>
        <v>0</v>
      </c>
      <c r="Z2989" s="38" t="n">
        <f aca="false">IF(Y2989=0,0,IF(T2989="Backlog",Q2989,Q2989*Dashboard!$C$10))</f>
        <v>0</v>
      </c>
      <c r="AA2989" s="37" t="n">
        <f aca="false">IF($N2989="",0,IF(COUNTIF(Dashboard!$C$13:$C$22,$N2989)&gt;0,1,0))</f>
        <v>0</v>
      </c>
      <c r="AB2989" s="37" t="str">
        <f aca="false">IF($N2989="","",IF(COUNTIF($N$8:$N2989,$N2989)=1,MAX($AB$7:$AB2988)+1,""))</f>
        <v/>
      </c>
    </row>
    <row r="2990" customFormat="false" ht="15" hidden="false" customHeight="false" outlineLevel="0" collapsed="false">
      <c r="L2990" s="37" t="str">
        <f aca="false">IF(INDEX($A2990:$J2990,$L$6)&lt;&gt;"",TRIM(LEFT(INDEX($A2990:$J2990,$L$6),FIND("(",INDEX($A2990:$J2990,$L$6)&amp;"(")-1)),L2989)</f>
        <v>Building Value Proposition</v>
      </c>
      <c r="M2990" s="37" t="str">
        <f aca="false">IF(INDEX($A2990:$J2990,$M$6)="","",INDEX($A2990:$J2990,$M$6)&amp;"")</f>
        <v/>
      </c>
      <c r="N2990" s="37" t="str">
        <f aca="false">IF($M2990="","",TRIM(INDEX($A2990:$J2990,$N$6)&amp;""))</f>
        <v/>
      </c>
      <c r="O2990" s="37" t="str">
        <f aca="false">IF($M2990="","",TRIM(INDEX($A2990:$J2990,$O$6)&amp;""))</f>
        <v/>
      </c>
      <c r="P2990" s="37" t="str">
        <f aca="false">IF($M2990="","",IFERROR(IF(INDEX(Settings!$B$41:$B$50,MATCH(O2990,Settings!$A$41:$A$50,0))&amp;""="","UNMAPPED",INDEX(Settings!$B$41:$B$50,MATCH(O2990,Settings!$A$41:$A$50,0))&amp;""),"UNMAPPED"))</f>
        <v/>
      </c>
      <c r="Q2990" s="38" t="n">
        <f aca="false">IF($M2990="",0,N(INDEX($A2990:$J2990,$Q$6)))</f>
        <v>0</v>
      </c>
      <c r="R2990" s="39" t="str">
        <f aca="false">IF($M2990="","",INDEX($A2990:$J2990,$R$6))</f>
        <v/>
      </c>
      <c r="S2990" s="37" t="str">
        <f aca="false">IF($M2990="","",IFERROR(INDEX(Settings!$B$27:$B$36,MATCH(L2990,Settings!$A$27:$A$36,0))&amp;"","UNMAPPED"))</f>
        <v/>
      </c>
      <c r="T2990" s="37" t="str">
        <f aca="false">IF($M2990="","",IF(NOT(ISNUMBER(R2990)),"NO DATE",IF(S2990="Won",IF(R2990&gt;Settings!$B$5,"Backlog","Delivered"),IF(S2990="Open",IF(R2990&gt;Settings!$B$5,"Pipeline","Overdue"),IF(S2990="Lost","Lost","UNMAPPED")))))</f>
        <v/>
      </c>
      <c r="U2990" s="40" t="n">
        <f aca="false">IF(T2990="Backlog",1,IF(OR(T2990="Pipeline",T2990="Overdue"),N(INDEX(Settings!$C$27:$C$36,MATCH(L2990,Settings!$A$27:$A$36,0))),0))</f>
        <v>0</v>
      </c>
      <c r="V2990" s="38" t="n">
        <f aca="false">Q2990*U2990</f>
        <v>0</v>
      </c>
      <c r="W2990" s="41" t="str">
        <f aca="false">IF($M2990="","",IF(T2990="Overdue",IF(Settings!$B$8="Yes",Settings!$B$7,""),IF(ISNUMBER(R2990),DATE(YEAR(R2990),MONTH(R2990),1),"")))</f>
        <v/>
      </c>
      <c r="X2990" s="38" t="n">
        <f aca="false">IF(AND(OR(T2990="Backlog",T2990="Pipeline",T2990="Overdue"),ISNUMBER(W2990)),IF(W2990&lt;=Settings!$B$6,V2990,0),0)</f>
        <v>0</v>
      </c>
      <c r="Y2990" s="38" t="n">
        <f aca="false">IF(AND(OR(T2990="Backlog",T2990="Pipeline",T2990="Overdue"),ISNUMBER(W2990)),IF(W2990&lt;=Settings!$B$6,Q2990,0),0)</f>
        <v>0</v>
      </c>
      <c r="Z2990" s="38" t="n">
        <f aca="false">IF(Y2990=0,0,IF(T2990="Backlog",Q2990,Q2990*Dashboard!$C$10))</f>
        <v>0</v>
      </c>
      <c r="AA2990" s="37" t="n">
        <f aca="false">IF($N2990="",0,IF(COUNTIF(Dashboard!$C$13:$C$22,$N2990)&gt;0,1,0))</f>
        <v>0</v>
      </c>
      <c r="AB2990" s="37" t="str">
        <f aca="false">IF($N2990="","",IF(COUNTIF($N$8:$N2990,$N2990)=1,MAX($AB$7:$AB2989)+1,""))</f>
        <v/>
      </c>
    </row>
    <row r="2991" customFormat="false" ht="15" hidden="false" customHeight="false" outlineLevel="0" collapsed="false">
      <c r="L2991" s="37" t="str">
        <f aca="false">IF(INDEX($A2991:$J2991,$L$6)&lt;&gt;"",TRIM(LEFT(INDEX($A2991:$J2991,$L$6),FIND("(",INDEX($A2991:$J2991,$L$6)&amp;"(")-1)),L2990)</f>
        <v>Building Value Proposition</v>
      </c>
      <c r="M2991" s="37" t="str">
        <f aca="false">IF(INDEX($A2991:$J2991,$M$6)="","",INDEX($A2991:$J2991,$M$6)&amp;"")</f>
        <v/>
      </c>
      <c r="N2991" s="37" t="str">
        <f aca="false">IF($M2991="","",TRIM(INDEX($A2991:$J2991,$N$6)&amp;""))</f>
        <v/>
      </c>
      <c r="O2991" s="37" t="str">
        <f aca="false">IF($M2991="","",TRIM(INDEX($A2991:$J2991,$O$6)&amp;""))</f>
        <v/>
      </c>
      <c r="P2991" s="37" t="str">
        <f aca="false">IF($M2991="","",IFERROR(IF(INDEX(Settings!$B$41:$B$50,MATCH(O2991,Settings!$A$41:$A$50,0))&amp;""="","UNMAPPED",INDEX(Settings!$B$41:$B$50,MATCH(O2991,Settings!$A$41:$A$50,0))&amp;""),"UNMAPPED"))</f>
        <v/>
      </c>
      <c r="Q2991" s="38" t="n">
        <f aca="false">IF($M2991="",0,N(INDEX($A2991:$J2991,$Q$6)))</f>
        <v>0</v>
      </c>
      <c r="R2991" s="39" t="str">
        <f aca="false">IF($M2991="","",INDEX($A2991:$J2991,$R$6))</f>
        <v/>
      </c>
      <c r="S2991" s="37" t="str">
        <f aca="false">IF($M2991="","",IFERROR(INDEX(Settings!$B$27:$B$36,MATCH(L2991,Settings!$A$27:$A$36,0))&amp;"","UNMAPPED"))</f>
        <v/>
      </c>
      <c r="T2991" s="37" t="str">
        <f aca="false">IF($M2991="","",IF(NOT(ISNUMBER(R2991)),"NO DATE",IF(S2991="Won",IF(R2991&gt;Settings!$B$5,"Backlog","Delivered"),IF(S2991="Open",IF(R2991&gt;Settings!$B$5,"Pipeline","Overdue"),IF(S2991="Lost","Lost","UNMAPPED")))))</f>
        <v/>
      </c>
      <c r="U2991" s="40" t="n">
        <f aca="false">IF(T2991="Backlog",1,IF(OR(T2991="Pipeline",T2991="Overdue"),N(INDEX(Settings!$C$27:$C$36,MATCH(L2991,Settings!$A$27:$A$36,0))),0))</f>
        <v>0</v>
      </c>
      <c r="V2991" s="38" t="n">
        <f aca="false">Q2991*U2991</f>
        <v>0</v>
      </c>
      <c r="W2991" s="41" t="str">
        <f aca="false">IF($M2991="","",IF(T2991="Overdue",IF(Settings!$B$8="Yes",Settings!$B$7,""),IF(ISNUMBER(R2991),DATE(YEAR(R2991),MONTH(R2991),1),"")))</f>
        <v/>
      </c>
      <c r="X2991" s="38" t="n">
        <f aca="false">IF(AND(OR(T2991="Backlog",T2991="Pipeline",T2991="Overdue"),ISNUMBER(W2991)),IF(W2991&lt;=Settings!$B$6,V2991,0),0)</f>
        <v>0</v>
      </c>
      <c r="Y2991" s="38" t="n">
        <f aca="false">IF(AND(OR(T2991="Backlog",T2991="Pipeline",T2991="Overdue"),ISNUMBER(W2991)),IF(W2991&lt;=Settings!$B$6,Q2991,0),0)</f>
        <v>0</v>
      </c>
      <c r="Z2991" s="38" t="n">
        <f aca="false">IF(Y2991=0,0,IF(T2991="Backlog",Q2991,Q2991*Dashboard!$C$10))</f>
        <v>0</v>
      </c>
      <c r="AA2991" s="37" t="n">
        <f aca="false">IF($N2991="",0,IF(COUNTIF(Dashboard!$C$13:$C$22,$N2991)&gt;0,1,0))</f>
        <v>0</v>
      </c>
      <c r="AB2991" s="37" t="str">
        <f aca="false">IF($N2991="","",IF(COUNTIF($N$8:$N2991,$N2991)=1,MAX($AB$7:$AB2990)+1,""))</f>
        <v/>
      </c>
    </row>
    <row r="2992" customFormat="false" ht="15" hidden="false" customHeight="false" outlineLevel="0" collapsed="false">
      <c r="L2992" s="37" t="str">
        <f aca="false">IF(INDEX($A2992:$J2992,$L$6)&lt;&gt;"",TRIM(LEFT(INDEX($A2992:$J2992,$L$6),FIND("(",INDEX($A2992:$J2992,$L$6)&amp;"(")-1)),L2991)</f>
        <v>Building Value Proposition</v>
      </c>
      <c r="M2992" s="37" t="str">
        <f aca="false">IF(INDEX($A2992:$J2992,$M$6)="","",INDEX($A2992:$J2992,$M$6)&amp;"")</f>
        <v/>
      </c>
      <c r="N2992" s="37" t="str">
        <f aca="false">IF($M2992="","",TRIM(INDEX($A2992:$J2992,$N$6)&amp;""))</f>
        <v/>
      </c>
      <c r="O2992" s="37" t="str">
        <f aca="false">IF($M2992="","",TRIM(INDEX($A2992:$J2992,$O$6)&amp;""))</f>
        <v/>
      </c>
      <c r="P2992" s="37" t="str">
        <f aca="false">IF($M2992="","",IFERROR(IF(INDEX(Settings!$B$41:$B$50,MATCH(O2992,Settings!$A$41:$A$50,0))&amp;""="","UNMAPPED",INDEX(Settings!$B$41:$B$50,MATCH(O2992,Settings!$A$41:$A$50,0))&amp;""),"UNMAPPED"))</f>
        <v/>
      </c>
      <c r="Q2992" s="38" t="n">
        <f aca="false">IF($M2992="",0,N(INDEX($A2992:$J2992,$Q$6)))</f>
        <v>0</v>
      </c>
      <c r="R2992" s="39" t="str">
        <f aca="false">IF($M2992="","",INDEX($A2992:$J2992,$R$6))</f>
        <v/>
      </c>
      <c r="S2992" s="37" t="str">
        <f aca="false">IF($M2992="","",IFERROR(INDEX(Settings!$B$27:$B$36,MATCH(L2992,Settings!$A$27:$A$36,0))&amp;"","UNMAPPED"))</f>
        <v/>
      </c>
      <c r="T2992" s="37" t="str">
        <f aca="false">IF($M2992="","",IF(NOT(ISNUMBER(R2992)),"NO DATE",IF(S2992="Won",IF(R2992&gt;Settings!$B$5,"Backlog","Delivered"),IF(S2992="Open",IF(R2992&gt;Settings!$B$5,"Pipeline","Overdue"),IF(S2992="Lost","Lost","UNMAPPED")))))</f>
        <v/>
      </c>
      <c r="U2992" s="40" t="n">
        <f aca="false">IF(T2992="Backlog",1,IF(OR(T2992="Pipeline",T2992="Overdue"),N(INDEX(Settings!$C$27:$C$36,MATCH(L2992,Settings!$A$27:$A$36,0))),0))</f>
        <v>0</v>
      </c>
      <c r="V2992" s="38" t="n">
        <f aca="false">Q2992*U2992</f>
        <v>0</v>
      </c>
      <c r="W2992" s="41" t="str">
        <f aca="false">IF($M2992="","",IF(T2992="Overdue",IF(Settings!$B$8="Yes",Settings!$B$7,""),IF(ISNUMBER(R2992),DATE(YEAR(R2992),MONTH(R2992),1),"")))</f>
        <v/>
      </c>
      <c r="X2992" s="38" t="n">
        <f aca="false">IF(AND(OR(T2992="Backlog",T2992="Pipeline",T2992="Overdue"),ISNUMBER(W2992)),IF(W2992&lt;=Settings!$B$6,V2992,0),0)</f>
        <v>0</v>
      </c>
      <c r="Y2992" s="38" t="n">
        <f aca="false">IF(AND(OR(T2992="Backlog",T2992="Pipeline",T2992="Overdue"),ISNUMBER(W2992)),IF(W2992&lt;=Settings!$B$6,Q2992,0),0)</f>
        <v>0</v>
      </c>
      <c r="Z2992" s="38" t="n">
        <f aca="false">IF(Y2992=0,0,IF(T2992="Backlog",Q2992,Q2992*Dashboard!$C$10))</f>
        <v>0</v>
      </c>
      <c r="AA2992" s="37" t="n">
        <f aca="false">IF($N2992="",0,IF(COUNTIF(Dashboard!$C$13:$C$22,$N2992)&gt;0,1,0))</f>
        <v>0</v>
      </c>
      <c r="AB2992" s="37" t="str">
        <f aca="false">IF($N2992="","",IF(COUNTIF($N$8:$N2992,$N2992)=1,MAX($AB$7:$AB2991)+1,""))</f>
        <v/>
      </c>
    </row>
    <row r="2993" customFormat="false" ht="15" hidden="false" customHeight="false" outlineLevel="0" collapsed="false">
      <c r="L2993" s="37" t="str">
        <f aca="false">IF(INDEX($A2993:$J2993,$L$6)&lt;&gt;"",TRIM(LEFT(INDEX($A2993:$J2993,$L$6),FIND("(",INDEX($A2993:$J2993,$L$6)&amp;"(")-1)),L2992)</f>
        <v>Building Value Proposition</v>
      </c>
      <c r="M2993" s="37" t="str">
        <f aca="false">IF(INDEX($A2993:$J2993,$M$6)="","",INDEX($A2993:$J2993,$M$6)&amp;"")</f>
        <v/>
      </c>
      <c r="N2993" s="37" t="str">
        <f aca="false">IF($M2993="","",TRIM(INDEX($A2993:$J2993,$N$6)&amp;""))</f>
        <v/>
      </c>
      <c r="O2993" s="37" t="str">
        <f aca="false">IF($M2993="","",TRIM(INDEX($A2993:$J2993,$O$6)&amp;""))</f>
        <v/>
      </c>
      <c r="P2993" s="37" t="str">
        <f aca="false">IF($M2993="","",IFERROR(IF(INDEX(Settings!$B$41:$B$50,MATCH(O2993,Settings!$A$41:$A$50,0))&amp;""="","UNMAPPED",INDEX(Settings!$B$41:$B$50,MATCH(O2993,Settings!$A$41:$A$50,0))&amp;""),"UNMAPPED"))</f>
        <v/>
      </c>
      <c r="Q2993" s="38" t="n">
        <f aca="false">IF($M2993="",0,N(INDEX($A2993:$J2993,$Q$6)))</f>
        <v>0</v>
      </c>
      <c r="R2993" s="39" t="str">
        <f aca="false">IF($M2993="","",INDEX($A2993:$J2993,$R$6))</f>
        <v/>
      </c>
      <c r="S2993" s="37" t="str">
        <f aca="false">IF($M2993="","",IFERROR(INDEX(Settings!$B$27:$B$36,MATCH(L2993,Settings!$A$27:$A$36,0))&amp;"","UNMAPPED"))</f>
        <v/>
      </c>
      <c r="T2993" s="37" t="str">
        <f aca="false">IF($M2993="","",IF(NOT(ISNUMBER(R2993)),"NO DATE",IF(S2993="Won",IF(R2993&gt;Settings!$B$5,"Backlog","Delivered"),IF(S2993="Open",IF(R2993&gt;Settings!$B$5,"Pipeline","Overdue"),IF(S2993="Lost","Lost","UNMAPPED")))))</f>
        <v/>
      </c>
      <c r="U2993" s="40" t="n">
        <f aca="false">IF(T2993="Backlog",1,IF(OR(T2993="Pipeline",T2993="Overdue"),N(INDEX(Settings!$C$27:$C$36,MATCH(L2993,Settings!$A$27:$A$36,0))),0))</f>
        <v>0</v>
      </c>
      <c r="V2993" s="38" t="n">
        <f aca="false">Q2993*U2993</f>
        <v>0</v>
      </c>
      <c r="W2993" s="41" t="str">
        <f aca="false">IF($M2993="","",IF(T2993="Overdue",IF(Settings!$B$8="Yes",Settings!$B$7,""),IF(ISNUMBER(R2993),DATE(YEAR(R2993),MONTH(R2993),1),"")))</f>
        <v/>
      </c>
      <c r="X2993" s="38" t="n">
        <f aca="false">IF(AND(OR(T2993="Backlog",T2993="Pipeline",T2993="Overdue"),ISNUMBER(W2993)),IF(W2993&lt;=Settings!$B$6,V2993,0),0)</f>
        <v>0</v>
      </c>
      <c r="Y2993" s="38" t="n">
        <f aca="false">IF(AND(OR(T2993="Backlog",T2993="Pipeline",T2993="Overdue"),ISNUMBER(W2993)),IF(W2993&lt;=Settings!$B$6,Q2993,0),0)</f>
        <v>0</v>
      </c>
      <c r="Z2993" s="38" t="n">
        <f aca="false">IF(Y2993=0,0,IF(T2993="Backlog",Q2993,Q2993*Dashboard!$C$10))</f>
        <v>0</v>
      </c>
      <c r="AA2993" s="37" t="n">
        <f aca="false">IF($N2993="",0,IF(COUNTIF(Dashboard!$C$13:$C$22,$N2993)&gt;0,1,0))</f>
        <v>0</v>
      </c>
      <c r="AB2993" s="37" t="str">
        <f aca="false">IF($N2993="","",IF(COUNTIF($N$8:$N2993,$N2993)=1,MAX($AB$7:$AB2992)+1,""))</f>
        <v/>
      </c>
    </row>
    <row r="2994" customFormat="false" ht="15" hidden="false" customHeight="false" outlineLevel="0" collapsed="false">
      <c r="L2994" s="37" t="str">
        <f aca="false">IF(INDEX($A2994:$J2994,$L$6)&lt;&gt;"",TRIM(LEFT(INDEX($A2994:$J2994,$L$6),FIND("(",INDEX($A2994:$J2994,$L$6)&amp;"(")-1)),L2993)</f>
        <v>Building Value Proposition</v>
      </c>
      <c r="M2994" s="37" t="str">
        <f aca="false">IF(INDEX($A2994:$J2994,$M$6)="","",INDEX($A2994:$J2994,$M$6)&amp;"")</f>
        <v/>
      </c>
      <c r="N2994" s="37" t="str">
        <f aca="false">IF($M2994="","",TRIM(INDEX($A2994:$J2994,$N$6)&amp;""))</f>
        <v/>
      </c>
      <c r="O2994" s="37" t="str">
        <f aca="false">IF($M2994="","",TRIM(INDEX($A2994:$J2994,$O$6)&amp;""))</f>
        <v/>
      </c>
      <c r="P2994" s="37" t="str">
        <f aca="false">IF($M2994="","",IFERROR(IF(INDEX(Settings!$B$41:$B$50,MATCH(O2994,Settings!$A$41:$A$50,0))&amp;""="","UNMAPPED",INDEX(Settings!$B$41:$B$50,MATCH(O2994,Settings!$A$41:$A$50,0))&amp;""),"UNMAPPED"))</f>
        <v/>
      </c>
      <c r="Q2994" s="38" t="n">
        <f aca="false">IF($M2994="",0,N(INDEX($A2994:$J2994,$Q$6)))</f>
        <v>0</v>
      </c>
      <c r="R2994" s="39" t="str">
        <f aca="false">IF($M2994="","",INDEX($A2994:$J2994,$R$6))</f>
        <v/>
      </c>
      <c r="S2994" s="37" t="str">
        <f aca="false">IF($M2994="","",IFERROR(INDEX(Settings!$B$27:$B$36,MATCH(L2994,Settings!$A$27:$A$36,0))&amp;"","UNMAPPED"))</f>
        <v/>
      </c>
      <c r="T2994" s="37" t="str">
        <f aca="false">IF($M2994="","",IF(NOT(ISNUMBER(R2994)),"NO DATE",IF(S2994="Won",IF(R2994&gt;Settings!$B$5,"Backlog","Delivered"),IF(S2994="Open",IF(R2994&gt;Settings!$B$5,"Pipeline","Overdue"),IF(S2994="Lost","Lost","UNMAPPED")))))</f>
        <v/>
      </c>
      <c r="U2994" s="40" t="n">
        <f aca="false">IF(T2994="Backlog",1,IF(OR(T2994="Pipeline",T2994="Overdue"),N(INDEX(Settings!$C$27:$C$36,MATCH(L2994,Settings!$A$27:$A$36,0))),0))</f>
        <v>0</v>
      </c>
      <c r="V2994" s="38" t="n">
        <f aca="false">Q2994*U2994</f>
        <v>0</v>
      </c>
      <c r="W2994" s="41" t="str">
        <f aca="false">IF($M2994="","",IF(T2994="Overdue",IF(Settings!$B$8="Yes",Settings!$B$7,""),IF(ISNUMBER(R2994),DATE(YEAR(R2994),MONTH(R2994),1),"")))</f>
        <v/>
      </c>
      <c r="X2994" s="38" t="n">
        <f aca="false">IF(AND(OR(T2994="Backlog",T2994="Pipeline",T2994="Overdue"),ISNUMBER(W2994)),IF(W2994&lt;=Settings!$B$6,V2994,0),0)</f>
        <v>0</v>
      </c>
      <c r="Y2994" s="38" t="n">
        <f aca="false">IF(AND(OR(T2994="Backlog",T2994="Pipeline",T2994="Overdue"),ISNUMBER(W2994)),IF(W2994&lt;=Settings!$B$6,Q2994,0),0)</f>
        <v>0</v>
      </c>
      <c r="Z2994" s="38" t="n">
        <f aca="false">IF(Y2994=0,0,IF(T2994="Backlog",Q2994,Q2994*Dashboard!$C$10))</f>
        <v>0</v>
      </c>
      <c r="AA2994" s="37" t="n">
        <f aca="false">IF($N2994="",0,IF(COUNTIF(Dashboard!$C$13:$C$22,$N2994)&gt;0,1,0))</f>
        <v>0</v>
      </c>
      <c r="AB2994" s="37" t="str">
        <f aca="false">IF($N2994="","",IF(COUNTIF($N$8:$N2994,$N2994)=1,MAX($AB$7:$AB2993)+1,""))</f>
        <v/>
      </c>
    </row>
    <row r="2995" customFormat="false" ht="15" hidden="false" customHeight="false" outlineLevel="0" collapsed="false">
      <c r="L2995" s="37" t="str">
        <f aca="false">IF(INDEX($A2995:$J2995,$L$6)&lt;&gt;"",TRIM(LEFT(INDEX($A2995:$J2995,$L$6),FIND("(",INDEX($A2995:$J2995,$L$6)&amp;"(")-1)),L2994)</f>
        <v>Building Value Proposition</v>
      </c>
      <c r="M2995" s="37" t="str">
        <f aca="false">IF(INDEX($A2995:$J2995,$M$6)="","",INDEX($A2995:$J2995,$M$6)&amp;"")</f>
        <v/>
      </c>
      <c r="N2995" s="37" t="str">
        <f aca="false">IF($M2995="","",TRIM(INDEX($A2995:$J2995,$N$6)&amp;""))</f>
        <v/>
      </c>
      <c r="O2995" s="37" t="str">
        <f aca="false">IF($M2995="","",TRIM(INDEX($A2995:$J2995,$O$6)&amp;""))</f>
        <v/>
      </c>
      <c r="P2995" s="37" t="str">
        <f aca="false">IF($M2995="","",IFERROR(IF(INDEX(Settings!$B$41:$B$50,MATCH(O2995,Settings!$A$41:$A$50,0))&amp;""="","UNMAPPED",INDEX(Settings!$B$41:$B$50,MATCH(O2995,Settings!$A$41:$A$50,0))&amp;""),"UNMAPPED"))</f>
        <v/>
      </c>
      <c r="Q2995" s="38" t="n">
        <f aca="false">IF($M2995="",0,N(INDEX($A2995:$J2995,$Q$6)))</f>
        <v>0</v>
      </c>
      <c r="R2995" s="39" t="str">
        <f aca="false">IF($M2995="","",INDEX($A2995:$J2995,$R$6))</f>
        <v/>
      </c>
      <c r="S2995" s="37" t="str">
        <f aca="false">IF($M2995="","",IFERROR(INDEX(Settings!$B$27:$B$36,MATCH(L2995,Settings!$A$27:$A$36,0))&amp;"","UNMAPPED"))</f>
        <v/>
      </c>
      <c r="T2995" s="37" t="str">
        <f aca="false">IF($M2995="","",IF(NOT(ISNUMBER(R2995)),"NO DATE",IF(S2995="Won",IF(R2995&gt;Settings!$B$5,"Backlog","Delivered"),IF(S2995="Open",IF(R2995&gt;Settings!$B$5,"Pipeline","Overdue"),IF(S2995="Lost","Lost","UNMAPPED")))))</f>
        <v/>
      </c>
      <c r="U2995" s="40" t="n">
        <f aca="false">IF(T2995="Backlog",1,IF(OR(T2995="Pipeline",T2995="Overdue"),N(INDEX(Settings!$C$27:$C$36,MATCH(L2995,Settings!$A$27:$A$36,0))),0))</f>
        <v>0</v>
      </c>
      <c r="V2995" s="38" t="n">
        <f aca="false">Q2995*U2995</f>
        <v>0</v>
      </c>
      <c r="W2995" s="41" t="str">
        <f aca="false">IF($M2995="","",IF(T2995="Overdue",IF(Settings!$B$8="Yes",Settings!$B$7,""),IF(ISNUMBER(R2995),DATE(YEAR(R2995),MONTH(R2995),1),"")))</f>
        <v/>
      </c>
      <c r="X2995" s="38" t="n">
        <f aca="false">IF(AND(OR(T2995="Backlog",T2995="Pipeline",T2995="Overdue"),ISNUMBER(W2995)),IF(W2995&lt;=Settings!$B$6,V2995,0),0)</f>
        <v>0</v>
      </c>
      <c r="Y2995" s="38" t="n">
        <f aca="false">IF(AND(OR(T2995="Backlog",T2995="Pipeline",T2995="Overdue"),ISNUMBER(W2995)),IF(W2995&lt;=Settings!$B$6,Q2995,0),0)</f>
        <v>0</v>
      </c>
      <c r="Z2995" s="38" t="n">
        <f aca="false">IF(Y2995=0,0,IF(T2995="Backlog",Q2995,Q2995*Dashboard!$C$10))</f>
        <v>0</v>
      </c>
      <c r="AA2995" s="37" t="n">
        <f aca="false">IF($N2995="",0,IF(COUNTIF(Dashboard!$C$13:$C$22,$N2995)&gt;0,1,0))</f>
        <v>0</v>
      </c>
      <c r="AB2995" s="37" t="str">
        <f aca="false">IF($N2995="","",IF(COUNTIF($N$8:$N2995,$N2995)=1,MAX($AB$7:$AB2994)+1,""))</f>
        <v/>
      </c>
    </row>
    <row r="2996" customFormat="false" ht="15" hidden="false" customHeight="false" outlineLevel="0" collapsed="false">
      <c r="L2996" s="37" t="str">
        <f aca="false">IF(INDEX($A2996:$J2996,$L$6)&lt;&gt;"",TRIM(LEFT(INDEX($A2996:$J2996,$L$6),FIND("(",INDEX($A2996:$J2996,$L$6)&amp;"(")-1)),L2995)</f>
        <v>Building Value Proposition</v>
      </c>
      <c r="M2996" s="37" t="str">
        <f aca="false">IF(INDEX($A2996:$J2996,$M$6)="","",INDEX($A2996:$J2996,$M$6)&amp;"")</f>
        <v/>
      </c>
      <c r="N2996" s="37" t="str">
        <f aca="false">IF($M2996="","",TRIM(INDEX($A2996:$J2996,$N$6)&amp;""))</f>
        <v/>
      </c>
      <c r="O2996" s="37" t="str">
        <f aca="false">IF($M2996="","",TRIM(INDEX($A2996:$J2996,$O$6)&amp;""))</f>
        <v/>
      </c>
      <c r="P2996" s="37" t="str">
        <f aca="false">IF($M2996="","",IFERROR(IF(INDEX(Settings!$B$41:$B$50,MATCH(O2996,Settings!$A$41:$A$50,0))&amp;""="","UNMAPPED",INDEX(Settings!$B$41:$B$50,MATCH(O2996,Settings!$A$41:$A$50,0))&amp;""),"UNMAPPED"))</f>
        <v/>
      </c>
      <c r="Q2996" s="38" t="n">
        <f aca="false">IF($M2996="",0,N(INDEX($A2996:$J2996,$Q$6)))</f>
        <v>0</v>
      </c>
      <c r="R2996" s="39" t="str">
        <f aca="false">IF($M2996="","",INDEX($A2996:$J2996,$R$6))</f>
        <v/>
      </c>
      <c r="S2996" s="37" t="str">
        <f aca="false">IF($M2996="","",IFERROR(INDEX(Settings!$B$27:$B$36,MATCH(L2996,Settings!$A$27:$A$36,0))&amp;"","UNMAPPED"))</f>
        <v/>
      </c>
      <c r="T2996" s="37" t="str">
        <f aca="false">IF($M2996="","",IF(NOT(ISNUMBER(R2996)),"NO DATE",IF(S2996="Won",IF(R2996&gt;Settings!$B$5,"Backlog","Delivered"),IF(S2996="Open",IF(R2996&gt;Settings!$B$5,"Pipeline","Overdue"),IF(S2996="Lost","Lost","UNMAPPED")))))</f>
        <v/>
      </c>
      <c r="U2996" s="40" t="n">
        <f aca="false">IF(T2996="Backlog",1,IF(OR(T2996="Pipeline",T2996="Overdue"),N(INDEX(Settings!$C$27:$C$36,MATCH(L2996,Settings!$A$27:$A$36,0))),0))</f>
        <v>0</v>
      </c>
      <c r="V2996" s="38" t="n">
        <f aca="false">Q2996*U2996</f>
        <v>0</v>
      </c>
      <c r="W2996" s="41" t="str">
        <f aca="false">IF($M2996="","",IF(T2996="Overdue",IF(Settings!$B$8="Yes",Settings!$B$7,""),IF(ISNUMBER(R2996),DATE(YEAR(R2996),MONTH(R2996),1),"")))</f>
        <v/>
      </c>
      <c r="X2996" s="38" t="n">
        <f aca="false">IF(AND(OR(T2996="Backlog",T2996="Pipeline",T2996="Overdue"),ISNUMBER(W2996)),IF(W2996&lt;=Settings!$B$6,V2996,0),0)</f>
        <v>0</v>
      </c>
      <c r="Y2996" s="38" t="n">
        <f aca="false">IF(AND(OR(T2996="Backlog",T2996="Pipeline",T2996="Overdue"),ISNUMBER(W2996)),IF(W2996&lt;=Settings!$B$6,Q2996,0),0)</f>
        <v>0</v>
      </c>
      <c r="Z2996" s="38" t="n">
        <f aca="false">IF(Y2996=0,0,IF(T2996="Backlog",Q2996,Q2996*Dashboard!$C$10))</f>
        <v>0</v>
      </c>
      <c r="AA2996" s="37" t="n">
        <f aca="false">IF($N2996="",0,IF(COUNTIF(Dashboard!$C$13:$C$22,$N2996)&gt;0,1,0))</f>
        <v>0</v>
      </c>
      <c r="AB2996" s="37" t="str">
        <f aca="false">IF($N2996="","",IF(COUNTIF($N$8:$N2996,$N2996)=1,MAX($AB$7:$AB2995)+1,""))</f>
        <v/>
      </c>
    </row>
    <row r="2997" customFormat="false" ht="15" hidden="false" customHeight="false" outlineLevel="0" collapsed="false">
      <c r="L2997" s="37" t="str">
        <f aca="false">IF(INDEX($A2997:$J2997,$L$6)&lt;&gt;"",TRIM(LEFT(INDEX($A2997:$J2997,$L$6),FIND("(",INDEX($A2997:$J2997,$L$6)&amp;"(")-1)),L2996)</f>
        <v>Building Value Proposition</v>
      </c>
      <c r="M2997" s="37" t="str">
        <f aca="false">IF(INDEX($A2997:$J2997,$M$6)="","",INDEX($A2997:$J2997,$M$6)&amp;"")</f>
        <v/>
      </c>
      <c r="N2997" s="37" t="str">
        <f aca="false">IF($M2997="","",TRIM(INDEX($A2997:$J2997,$N$6)&amp;""))</f>
        <v/>
      </c>
      <c r="O2997" s="37" t="str">
        <f aca="false">IF($M2997="","",TRIM(INDEX($A2997:$J2997,$O$6)&amp;""))</f>
        <v/>
      </c>
      <c r="P2997" s="37" t="str">
        <f aca="false">IF($M2997="","",IFERROR(IF(INDEX(Settings!$B$41:$B$50,MATCH(O2997,Settings!$A$41:$A$50,0))&amp;""="","UNMAPPED",INDEX(Settings!$B$41:$B$50,MATCH(O2997,Settings!$A$41:$A$50,0))&amp;""),"UNMAPPED"))</f>
        <v/>
      </c>
      <c r="Q2997" s="38" t="n">
        <f aca="false">IF($M2997="",0,N(INDEX($A2997:$J2997,$Q$6)))</f>
        <v>0</v>
      </c>
      <c r="R2997" s="39" t="str">
        <f aca="false">IF($M2997="","",INDEX($A2997:$J2997,$R$6))</f>
        <v/>
      </c>
      <c r="S2997" s="37" t="str">
        <f aca="false">IF($M2997="","",IFERROR(INDEX(Settings!$B$27:$B$36,MATCH(L2997,Settings!$A$27:$A$36,0))&amp;"","UNMAPPED"))</f>
        <v/>
      </c>
      <c r="T2997" s="37" t="str">
        <f aca="false">IF($M2997="","",IF(NOT(ISNUMBER(R2997)),"NO DATE",IF(S2997="Won",IF(R2997&gt;Settings!$B$5,"Backlog","Delivered"),IF(S2997="Open",IF(R2997&gt;Settings!$B$5,"Pipeline","Overdue"),IF(S2997="Lost","Lost","UNMAPPED")))))</f>
        <v/>
      </c>
      <c r="U2997" s="40" t="n">
        <f aca="false">IF(T2997="Backlog",1,IF(OR(T2997="Pipeline",T2997="Overdue"),N(INDEX(Settings!$C$27:$C$36,MATCH(L2997,Settings!$A$27:$A$36,0))),0))</f>
        <v>0</v>
      </c>
      <c r="V2997" s="38" t="n">
        <f aca="false">Q2997*U2997</f>
        <v>0</v>
      </c>
      <c r="W2997" s="41" t="str">
        <f aca="false">IF($M2997="","",IF(T2997="Overdue",IF(Settings!$B$8="Yes",Settings!$B$7,""),IF(ISNUMBER(R2997),DATE(YEAR(R2997),MONTH(R2997),1),"")))</f>
        <v/>
      </c>
      <c r="X2997" s="38" t="n">
        <f aca="false">IF(AND(OR(T2997="Backlog",T2997="Pipeline",T2997="Overdue"),ISNUMBER(W2997)),IF(W2997&lt;=Settings!$B$6,V2997,0),0)</f>
        <v>0</v>
      </c>
      <c r="Y2997" s="38" t="n">
        <f aca="false">IF(AND(OR(T2997="Backlog",T2997="Pipeline",T2997="Overdue"),ISNUMBER(W2997)),IF(W2997&lt;=Settings!$B$6,Q2997,0),0)</f>
        <v>0</v>
      </c>
      <c r="Z2997" s="38" t="n">
        <f aca="false">IF(Y2997=0,0,IF(T2997="Backlog",Q2997,Q2997*Dashboard!$C$10))</f>
        <v>0</v>
      </c>
      <c r="AA2997" s="37" t="n">
        <f aca="false">IF($N2997="",0,IF(COUNTIF(Dashboard!$C$13:$C$22,$N2997)&gt;0,1,0))</f>
        <v>0</v>
      </c>
      <c r="AB2997" s="37" t="str">
        <f aca="false">IF($N2997="","",IF(COUNTIF($N$8:$N2997,$N2997)=1,MAX($AB$7:$AB2996)+1,""))</f>
        <v/>
      </c>
    </row>
    <row r="2998" customFormat="false" ht="15" hidden="false" customHeight="false" outlineLevel="0" collapsed="false">
      <c r="L2998" s="37" t="str">
        <f aca="false">IF(INDEX($A2998:$J2998,$L$6)&lt;&gt;"",TRIM(LEFT(INDEX($A2998:$J2998,$L$6),FIND("(",INDEX($A2998:$J2998,$L$6)&amp;"(")-1)),L2997)</f>
        <v>Building Value Proposition</v>
      </c>
      <c r="M2998" s="37" t="str">
        <f aca="false">IF(INDEX($A2998:$J2998,$M$6)="","",INDEX($A2998:$J2998,$M$6)&amp;"")</f>
        <v/>
      </c>
      <c r="N2998" s="37" t="str">
        <f aca="false">IF($M2998="","",TRIM(INDEX($A2998:$J2998,$N$6)&amp;""))</f>
        <v/>
      </c>
      <c r="O2998" s="37" t="str">
        <f aca="false">IF($M2998="","",TRIM(INDEX($A2998:$J2998,$O$6)&amp;""))</f>
        <v/>
      </c>
      <c r="P2998" s="37" t="str">
        <f aca="false">IF($M2998="","",IFERROR(IF(INDEX(Settings!$B$41:$B$50,MATCH(O2998,Settings!$A$41:$A$50,0))&amp;""="","UNMAPPED",INDEX(Settings!$B$41:$B$50,MATCH(O2998,Settings!$A$41:$A$50,0))&amp;""),"UNMAPPED"))</f>
        <v/>
      </c>
      <c r="Q2998" s="38" t="n">
        <f aca="false">IF($M2998="",0,N(INDEX($A2998:$J2998,$Q$6)))</f>
        <v>0</v>
      </c>
      <c r="R2998" s="39" t="str">
        <f aca="false">IF($M2998="","",INDEX($A2998:$J2998,$R$6))</f>
        <v/>
      </c>
      <c r="S2998" s="37" t="str">
        <f aca="false">IF($M2998="","",IFERROR(INDEX(Settings!$B$27:$B$36,MATCH(L2998,Settings!$A$27:$A$36,0))&amp;"","UNMAPPED"))</f>
        <v/>
      </c>
      <c r="T2998" s="37" t="str">
        <f aca="false">IF($M2998="","",IF(NOT(ISNUMBER(R2998)),"NO DATE",IF(S2998="Won",IF(R2998&gt;Settings!$B$5,"Backlog","Delivered"),IF(S2998="Open",IF(R2998&gt;Settings!$B$5,"Pipeline","Overdue"),IF(S2998="Lost","Lost","UNMAPPED")))))</f>
        <v/>
      </c>
      <c r="U2998" s="40" t="n">
        <f aca="false">IF(T2998="Backlog",1,IF(OR(T2998="Pipeline",T2998="Overdue"),N(INDEX(Settings!$C$27:$C$36,MATCH(L2998,Settings!$A$27:$A$36,0))),0))</f>
        <v>0</v>
      </c>
      <c r="V2998" s="38" t="n">
        <f aca="false">Q2998*U2998</f>
        <v>0</v>
      </c>
      <c r="W2998" s="41" t="str">
        <f aca="false">IF($M2998="","",IF(T2998="Overdue",IF(Settings!$B$8="Yes",Settings!$B$7,""),IF(ISNUMBER(R2998),DATE(YEAR(R2998),MONTH(R2998),1),"")))</f>
        <v/>
      </c>
      <c r="X2998" s="38" t="n">
        <f aca="false">IF(AND(OR(T2998="Backlog",T2998="Pipeline",T2998="Overdue"),ISNUMBER(W2998)),IF(W2998&lt;=Settings!$B$6,V2998,0),0)</f>
        <v>0</v>
      </c>
      <c r="Y2998" s="38" t="n">
        <f aca="false">IF(AND(OR(T2998="Backlog",T2998="Pipeline",T2998="Overdue"),ISNUMBER(W2998)),IF(W2998&lt;=Settings!$B$6,Q2998,0),0)</f>
        <v>0</v>
      </c>
      <c r="Z2998" s="38" t="n">
        <f aca="false">IF(Y2998=0,0,IF(T2998="Backlog",Q2998,Q2998*Dashboard!$C$10))</f>
        <v>0</v>
      </c>
      <c r="AA2998" s="37" t="n">
        <f aca="false">IF($N2998="",0,IF(COUNTIF(Dashboard!$C$13:$C$22,$N2998)&gt;0,1,0))</f>
        <v>0</v>
      </c>
      <c r="AB2998" s="37" t="str">
        <f aca="false">IF($N2998="","",IF(COUNTIF($N$8:$N2998,$N2998)=1,MAX($AB$7:$AB2997)+1,""))</f>
        <v/>
      </c>
    </row>
    <row r="2999" customFormat="false" ht="15" hidden="false" customHeight="false" outlineLevel="0" collapsed="false">
      <c r="L2999" s="37" t="str">
        <f aca="false">IF(INDEX($A2999:$J2999,$L$6)&lt;&gt;"",TRIM(LEFT(INDEX($A2999:$J2999,$L$6),FIND("(",INDEX($A2999:$J2999,$L$6)&amp;"(")-1)),L2998)</f>
        <v>Building Value Proposition</v>
      </c>
      <c r="M2999" s="37" t="str">
        <f aca="false">IF(INDEX($A2999:$J2999,$M$6)="","",INDEX($A2999:$J2999,$M$6)&amp;"")</f>
        <v/>
      </c>
      <c r="N2999" s="37" t="str">
        <f aca="false">IF($M2999="","",TRIM(INDEX($A2999:$J2999,$N$6)&amp;""))</f>
        <v/>
      </c>
      <c r="O2999" s="37" t="str">
        <f aca="false">IF($M2999="","",TRIM(INDEX($A2999:$J2999,$O$6)&amp;""))</f>
        <v/>
      </c>
      <c r="P2999" s="37" t="str">
        <f aca="false">IF($M2999="","",IFERROR(IF(INDEX(Settings!$B$41:$B$50,MATCH(O2999,Settings!$A$41:$A$50,0))&amp;""="","UNMAPPED",INDEX(Settings!$B$41:$B$50,MATCH(O2999,Settings!$A$41:$A$50,0))&amp;""),"UNMAPPED"))</f>
        <v/>
      </c>
      <c r="Q2999" s="38" t="n">
        <f aca="false">IF($M2999="",0,N(INDEX($A2999:$J2999,$Q$6)))</f>
        <v>0</v>
      </c>
      <c r="R2999" s="39" t="str">
        <f aca="false">IF($M2999="","",INDEX($A2999:$J2999,$R$6))</f>
        <v/>
      </c>
      <c r="S2999" s="37" t="str">
        <f aca="false">IF($M2999="","",IFERROR(INDEX(Settings!$B$27:$B$36,MATCH(L2999,Settings!$A$27:$A$36,0))&amp;"","UNMAPPED"))</f>
        <v/>
      </c>
      <c r="T2999" s="37" t="str">
        <f aca="false">IF($M2999="","",IF(NOT(ISNUMBER(R2999)),"NO DATE",IF(S2999="Won",IF(R2999&gt;Settings!$B$5,"Backlog","Delivered"),IF(S2999="Open",IF(R2999&gt;Settings!$B$5,"Pipeline","Overdue"),IF(S2999="Lost","Lost","UNMAPPED")))))</f>
        <v/>
      </c>
      <c r="U2999" s="40" t="n">
        <f aca="false">IF(T2999="Backlog",1,IF(OR(T2999="Pipeline",T2999="Overdue"),N(INDEX(Settings!$C$27:$C$36,MATCH(L2999,Settings!$A$27:$A$36,0))),0))</f>
        <v>0</v>
      </c>
      <c r="V2999" s="38" t="n">
        <f aca="false">Q2999*U2999</f>
        <v>0</v>
      </c>
      <c r="W2999" s="41" t="str">
        <f aca="false">IF($M2999="","",IF(T2999="Overdue",IF(Settings!$B$8="Yes",Settings!$B$7,""),IF(ISNUMBER(R2999),DATE(YEAR(R2999),MONTH(R2999),1),"")))</f>
        <v/>
      </c>
      <c r="X2999" s="38" t="n">
        <f aca="false">IF(AND(OR(T2999="Backlog",T2999="Pipeline",T2999="Overdue"),ISNUMBER(W2999)),IF(W2999&lt;=Settings!$B$6,V2999,0),0)</f>
        <v>0</v>
      </c>
      <c r="Y2999" s="38" t="n">
        <f aca="false">IF(AND(OR(T2999="Backlog",T2999="Pipeline",T2999="Overdue"),ISNUMBER(W2999)),IF(W2999&lt;=Settings!$B$6,Q2999,0),0)</f>
        <v>0</v>
      </c>
      <c r="Z2999" s="38" t="n">
        <f aca="false">IF(Y2999=0,0,IF(T2999="Backlog",Q2999,Q2999*Dashboard!$C$10))</f>
        <v>0</v>
      </c>
      <c r="AA2999" s="37" t="n">
        <f aca="false">IF($N2999="",0,IF(COUNTIF(Dashboard!$C$13:$C$22,$N2999)&gt;0,1,0))</f>
        <v>0</v>
      </c>
      <c r="AB2999" s="37" t="str">
        <f aca="false">IF($N2999="","",IF(COUNTIF($N$8:$N2999,$N2999)=1,MAX($AB$7:$AB2998)+1,""))</f>
        <v/>
      </c>
    </row>
    <row r="3000" customFormat="false" ht="15" hidden="false" customHeight="false" outlineLevel="0" collapsed="false">
      <c r="L3000" s="37" t="str">
        <f aca="false">IF(INDEX($A3000:$J3000,$L$6)&lt;&gt;"",TRIM(LEFT(INDEX($A3000:$J3000,$L$6),FIND("(",INDEX($A3000:$J3000,$L$6)&amp;"(")-1)),L2999)</f>
        <v>Building Value Proposition</v>
      </c>
      <c r="M3000" s="37" t="str">
        <f aca="false">IF(INDEX($A3000:$J3000,$M$6)="","",INDEX($A3000:$J3000,$M$6)&amp;"")</f>
        <v/>
      </c>
      <c r="N3000" s="37" t="str">
        <f aca="false">IF($M3000="","",TRIM(INDEX($A3000:$J3000,$N$6)&amp;""))</f>
        <v/>
      </c>
      <c r="O3000" s="37" t="str">
        <f aca="false">IF($M3000="","",TRIM(INDEX($A3000:$J3000,$O$6)&amp;""))</f>
        <v/>
      </c>
      <c r="P3000" s="37" t="str">
        <f aca="false">IF($M3000="","",IFERROR(IF(INDEX(Settings!$B$41:$B$50,MATCH(O3000,Settings!$A$41:$A$50,0))&amp;""="","UNMAPPED",INDEX(Settings!$B$41:$B$50,MATCH(O3000,Settings!$A$41:$A$50,0))&amp;""),"UNMAPPED"))</f>
        <v/>
      </c>
      <c r="Q3000" s="38" t="n">
        <f aca="false">IF($M3000="",0,N(INDEX($A3000:$J3000,$Q$6)))</f>
        <v>0</v>
      </c>
      <c r="R3000" s="39" t="str">
        <f aca="false">IF($M3000="","",INDEX($A3000:$J3000,$R$6))</f>
        <v/>
      </c>
      <c r="S3000" s="37" t="str">
        <f aca="false">IF($M3000="","",IFERROR(INDEX(Settings!$B$27:$B$36,MATCH(L3000,Settings!$A$27:$A$36,0))&amp;"","UNMAPPED"))</f>
        <v/>
      </c>
      <c r="T3000" s="37" t="str">
        <f aca="false">IF($M3000="","",IF(NOT(ISNUMBER(R3000)),"NO DATE",IF(S3000="Won",IF(R3000&gt;Settings!$B$5,"Backlog","Delivered"),IF(S3000="Open",IF(R3000&gt;Settings!$B$5,"Pipeline","Overdue"),IF(S3000="Lost","Lost","UNMAPPED")))))</f>
        <v/>
      </c>
      <c r="U3000" s="40" t="n">
        <f aca="false">IF(T3000="Backlog",1,IF(OR(T3000="Pipeline",T3000="Overdue"),N(INDEX(Settings!$C$27:$C$36,MATCH(L3000,Settings!$A$27:$A$36,0))),0))</f>
        <v>0</v>
      </c>
      <c r="V3000" s="38" t="n">
        <f aca="false">Q3000*U3000</f>
        <v>0</v>
      </c>
      <c r="W3000" s="41" t="str">
        <f aca="false">IF($M3000="","",IF(T3000="Overdue",IF(Settings!$B$8="Yes",Settings!$B$7,""),IF(ISNUMBER(R3000),DATE(YEAR(R3000),MONTH(R3000),1),"")))</f>
        <v/>
      </c>
      <c r="X3000" s="38" t="n">
        <f aca="false">IF(AND(OR(T3000="Backlog",T3000="Pipeline",T3000="Overdue"),ISNUMBER(W3000)),IF(W3000&lt;=Settings!$B$6,V3000,0),0)</f>
        <v>0</v>
      </c>
      <c r="Y3000" s="38" t="n">
        <f aca="false">IF(AND(OR(T3000="Backlog",T3000="Pipeline",T3000="Overdue"),ISNUMBER(W3000)),IF(W3000&lt;=Settings!$B$6,Q3000,0),0)</f>
        <v>0</v>
      </c>
      <c r="Z3000" s="38" t="n">
        <f aca="false">IF(Y3000=0,0,IF(T3000="Backlog",Q3000,Q3000*Dashboard!$C$10))</f>
        <v>0</v>
      </c>
      <c r="AA3000" s="37" t="n">
        <f aca="false">IF($N3000="",0,IF(COUNTIF(Dashboard!$C$13:$C$22,$N3000)&gt;0,1,0))</f>
        <v>0</v>
      </c>
      <c r="AB3000" s="37" t="str">
        <f aca="false">IF($N3000="","",IF(COUNTIF($N$8:$N3000,$N3000)=1,MAX($AB$7:$AB2999)+1,""))</f>
        <v/>
      </c>
    </row>
    <row r="3001" customFormat="false" ht="15" hidden="false" customHeight="false" outlineLevel="0" collapsed="false">
      <c r="L3001" s="37" t="str">
        <f aca="false">IF(INDEX($A3001:$J3001,$L$6)&lt;&gt;"",TRIM(LEFT(INDEX($A3001:$J3001,$L$6),FIND("(",INDEX($A3001:$J3001,$L$6)&amp;"(")-1)),L3000)</f>
        <v>Building Value Proposition</v>
      </c>
      <c r="M3001" s="37" t="str">
        <f aca="false">IF(INDEX($A3001:$J3001,$M$6)="","",INDEX($A3001:$J3001,$M$6)&amp;"")</f>
        <v/>
      </c>
      <c r="N3001" s="37" t="str">
        <f aca="false">IF($M3001="","",TRIM(INDEX($A3001:$J3001,$N$6)&amp;""))</f>
        <v/>
      </c>
      <c r="O3001" s="37" t="str">
        <f aca="false">IF($M3001="","",TRIM(INDEX($A3001:$J3001,$O$6)&amp;""))</f>
        <v/>
      </c>
      <c r="P3001" s="37" t="str">
        <f aca="false">IF($M3001="","",IFERROR(IF(INDEX(Settings!$B$41:$B$50,MATCH(O3001,Settings!$A$41:$A$50,0))&amp;""="","UNMAPPED",INDEX(Settings!$B$41:$B$50,MATCH(O3001,Settings!$A$41:$A$50,0))&amp;""),"UNMAPPED"))</f>
        <v/>
      </c>
      <c r="Q3001" s="38" t="n">
        <f aca="false">IF($M3001="",0,N(INDEX($A3001:$J3001,$Q$6)))</f>
        <v>0</v>
      </c>
      <c r="R3001" s="39" t="str">
        <f aca="false">IF($M3001="","",INDEX($A3001:$J3001,$R$6))</f>
        <v/>
      </c>
      <c r="S3001" s="37" t="str">
        <f aca="false">IF($M3001="","",IFERROR(INDEX(Settings!$B$27:$B$36,MATCH(L3001,Settings!$A$27:$A$36,0))&amp;"","UNMAPPED"))</f>
        <v/>
      </c>
      <c r="T3001" s="37" t="str">
        <f aca="false">IF($M3001="","",IF(NOT(ISNUMBER(R3001)),"NO DATE",IF(S3001="Won",IF(R3001&gt;Settings!$B$5,"Backlog","Delivered"),IF(S3001="Open",IF(R3001&gt;Settings!$B$5,"Pipeline","Overdue"),IF(S3001="Lost","Lost","UNMAPPED")))))</f>
        <v/>
      </c>
      <c r="U3001" s="40" t="n">
        <f aca="false">IF(T3001="Backlog",1,IF(OR(T3001="Pipeline",T3001="Overdue"),N(INDEX(Settings!$C$27:$C$36,MATCH(L3001,Settings!$A$27:$A$36,0))),0))</f>
        <v>0</v>
      </c>
      <c r="V3001" s="38" t="n">
        <f aca="false">Q3001*U3001</f>
        <v>0</v>
      </c>
      <c r="W3001" s="41" t="str">
        <f aca="false">IF($M3001="","",IF(T3001="Overdue",IF(Settings!$B$8="Yes",Settings!$B$7,""),IF(ISNUMBER(R3001),DATE(YEAR(R3001),MONTH(R3001),1),"")))</f>
        <v/>
      </c>
      <c r="X3001" s="38" t="n">
        <f aca="false">IF(AND(OR(T3001="Backlog",T3001="Pipeline",T3001="Overdue"),ISNUMBER(W3001)),IF(W3001&lt;=Settings!$B$6,V3001,0),0)</f>
        <v>0</v>
      </c>
      <c r="Y3001" s="38" t="n">
        <f aca="false">IF(AND(OR(T3001="Backlog",T3001="Pipeline",T3001="Overdue"),ISNUMBER(W3001)),IF(W3001&lt;=Settings!$B$6,Q3001,0),0)</f>
        <v>0</v>
      </c>
      <c r="Z3001" s="38" t="n">
        <f aca="false">IF(Y3001=0,0,IF(T3001="Backlog",Q3001,Q3001*Dashboard!$C$10))</f>
        <v>0</v>
      </c>
      <c r="AA3001" s="37" t="n">
        <f aca="false">IF($N3001="",0,IF(COUNTIF(Dashboard!$C$13:$C$22,$N3001)&gt;0,1,0))</f>
        <v>0</v>
      </c>
      <c r="AB3001" s="37" t="str">
        <f aca="false">IF($N3001="","",IF(COUNTIF($N$8:$N3001,$N3001)=1,MAX($AB$7:$AB3000)+1,""))</f>
        <v/>
      </c>
    </row>
    <row r="3002" customFormat="false" ht="15" hidden="false" customHeight="false" outlineLevel="0" collapsed="false">
      <c r="L3002" s="37" t="str">
        <f aca="false">IF(INDEX($A3002:$J3002,$L$6)&lt;&gt;"",TRIM(LEFT(INDEX($A3002:$J3002,$L$6),FIND("(",INDEX($A3002:$J3002,$L$6)&amp;"(")-1)),L3001)</f>
        <v>Building Value Proposition</v>
      </c>
      <c r="M3002" s="37" t="str">
        <f aca="false">IF(INDEX($A3002:$J3002,$M$6)="","",INDEX($A3002:$J3002,$M$6)&amp;"")</f>
        <v/>
      </c>
      <c r="N3002" s="37" t="str">
        <f aca="false">IF($M3002="","",TRIM(INDEX($A3002:$J3002,$N$6)&amp;""))</f>
        <v/>
      </c>
      <c r="O3002" s="37" t="str">
        <f aca="false">IF($M3002="","",TRIM(INDEX($A3002:$J3002,$O$6)&amp;""))</f>
        <v/>
      </c>
      <c r="P3002" s="37" t="str">
        <f aca="false">IF($M3002="","",IFERROR(IF(INDEX(Settings!$B$41:$B$50,MATCH(O3002,Settings!$A$41:$A$50,0))&amp;""="","UNMAPPED",INDEX(Settings!$B$41:$B$50,MATCH(O3002,Settings!$A$41:$A$50,0))&amp;""),"UNMAPPED"))</f>
        <v/>
      </c>
      <c r="Q3002" s="38" t="n">
        <f aca="false">IF($M3002="",0,N(INDEX($A3002:$J3002,$Q$6)))</f>
        <v>0</v>
      </c>
      <c r="R3002" s="39" t="str">
        <f aca="false">IF($M3002="","",INDEX($A3002:$J3002,$R$6))</f>
        <v/>
      </c>
      <c r="S3002" s="37" t="str">
        <f aca="false">IF($M3002="","",IFERROR(INDEX(Settings!$B$27:$B$36,MATCH(L3002,Settings!$A$27:$A$36,0))&amp;"","UNMAPPED"))</f>
        <v/>
      </c>
      <c r="T3002" s="37" t="str">
        <f aca="false">IF($M3002="","",IF(NOT(ISNUMBER(R3002)),"NO DATE",IF(S3002="Won",IF(R3002&gt;Settings!$B$5,"Backlog","Delivered"),IF(S3002="Open",IF(R3002&gt;Settings!$B$5,"Pipeline","Overdue"),IF(S3002="Lost","Lost","UNMAPPED")))))</f>
        <v/>
      </c>
      <c r="U3002" s="40" t="n">
        <f aca="false">IF(T3002="Backlog",1,IF(OR(T3002="Pipeline",T3002="Overdue"),N(INDEX(Settings!$C$27:$C$36,MATCH(L3002,Settings!$A$27:$A$36,0))),0))</f>
        <v>0</v>
      </c>
      <c r="V3002" s="38" t="n">
        <f aca="false">Q3002*U3002</f>
        <v>0</v>
      </c>
      <c r="W3002" s="41" t="str">
        <f aca="false">IF($M3002="","",IF(T3002="Overdue",IF(Settings!$B$8="Yes",Settings!$B$7,""),IF(ISNUMBER(R3002),DATE(YEAR(R3002),MONTH(R3002),1),"")))</f>
        <v/>
      </c>
      <c r="X3002" s="38" t="n">
        <f aca="false">IF(AND(OR(T3002="Backlog",T3002="Pipeline",T3002="Overdue"),ISNUMBER(W3002)),IF(W3002&lt;=Settings!$B$6,V3002,0),0)</f>
        <v>0</v>
      </c>
      <c r="Y3002" s="38" t="n">
        <f aca="false">IF(AND(OR(T3002="Backlog",T3002="Pipeline",T3002="Overdue"),ISNUMBER(W3002)),IF(W3002&lt;=Settings!$B$6,Q3002,0),0)</f>
        <v>0</v>
      </c>
      <c r="Z3002" s="38" t="n">
        <f aca="false">IF(Y3002=0,0,IF(T3002="Backlog",Q3002,Q3002*Dashboard!$C$10))</f>
        <v>0</v>
      </c>
      <c r="AA3002" s="37" t="n">
        <f aca="false">IF($N3002="",0,IF(COUNTIF(Dashboard!$C$13:$C$22,$N3002)&gt;0,1,0))</f>
        <v>0</v>
      </c>
      <c r="AB3002" s="37" t="str">
        <f aca="false">IF($N3002="","",IF(COUNTIF($N$8:$N3002,$N3002)=1,MAX($AB$7:$AB3001)+1,""))</f>
        <v/>
      </c>
    </row>
    <row r="3003" customFormat="false" ht="15" hidden="false" customHeight="false" outlineLevel="0" collapsed="false">
      <c r="L3003" s="37" t="str">
        <f aca="false">IF(INDEX($A3003:$J3003,$L$6)&lt;&gt;"",TRIM(LEFT(INDEX($A3003:$J3003,$L$6),FIND("(",INDEX($A3003:$J3003,$L$6)&amp;"(")-1)),L3002)</f>
        <v>Building Value Proposition</v>
      </c>
      <c r="M3003" s="37" t="str">
        <f aca="false">IF(INDEX($A3003:$J3003,$M$6)="","",INDEX($A3003:$J3003,$M$6)&amp;"")</f>
        <v/>
      </c>
      <c r="N3003" s="37" t="str">
        <f aca="false">IF($M3003="","",TRIM(INDEX($A3003:$J3003,$N$6)&amp;""))</f>
        <v/>
      </c>
      <c r="O3003" s="37" t="str">
        <f aca="false">IF($M3003="","",TRIM(INDEX($A3003:$J3003,$O$6)&amp;""))</f>
        <v/>
      </c>
      <c r="P3003" s="37" t="str">
        <f aca="false">IF($M3003="","",IFERROR(IF(INDEX(Settings!$B$41:$B$50,MATCH(O3003,Settings!$A$41:$A$50,0))&amp;""="","UNMAPPED",INDEX(Settings!$B$41:$B$50,MATCH(O3003,Settings!$A$41:$A$50,0))&amp;""),"UNMAPPED"))</f>
        <v/>
      </c>
      <c r="Q3003" s="38" t="n">
        <f aca="false">IF($M3003="",0,N(INDEX($A3003:$J3003,$Q$6)))</f>
        <v>0</v>
      </c>
      <c r="R3003" s="39" t="str">
        <f aca="false">IF($M3003="","",INDEX($A3003:$J3003,$R$6))</f>
        <v/>
      </c>
      <c r="S3003" s="37" t="str">
        <f aca="false">IF($M3003="","",IFERROR(INDEX(Settings!$B$27:$B$36,MATCH(L3003,Settings!$A$27:$A$36,0))&amp;"","UNMAPPED"))</f>
        <v/>
      </c>
      <c r="T3003" s="37" t="str">
        <f aca="false">IF($M3003="","",IF(NOT(ISNUMBER(R3003)),"NO DATE",IF(S3003="Won",IF(R3003&gt;Settings!$B$5,"Backlog","Delivered"),IF(S3003="Open",IF(R3003&gt;Settings!$B$5,"Pipeline","Overdue"),IF(S3003="Lost","Lost","UNMAPPED")))))</f>
        <v/>
      </c>
      <c r="U3003" s="40" t="n">
        <f aca="false">IF(T3003="Backlog",1,IF(OR(T3003="Pipeline",T3003="Overdue"),N(INDEX(Settings!$C$27:$C$36,MATCH(L3003,Settings!$A$27:$A$36,0))),0))</f>
        <v>0</v>
      </c>
      <c r="V3003" s="38" t="n">
        <f aca="false">Q3003*U3003</f>
        <v>0</v>
      </c>
      <c r="W3003" s="41" t="str">
        <f aca="false">IF($M3003="","",IF(T3003="Overdue",IF(Settings!$B$8="Yes",Settings!$B$7,""),IF(ISNUMBER(R3003),DATE(YEAR(R3003),MONTH(R3003),1),"")))</f>
        <v/>
      </c>
      <c r="X3003" s="38" t="n">
        <f aca="false">IF(AND(OR(T3003="Backlog",T3003="Pipeline",T3003="Overdue"),ISNUMBER(W3003)),IF(W3003&lt;=Settings!$B$6,V3003,0),0)</f>
        <v>0</v>
      </c>
      <c r="Y3003" s="38" t="n">
        <f aca="false">IF(AND(OR(T3003="Backlog",T3003="Pipeline",T3003="Overdue"),ISNUMBER(W3003)),IF(W3003&lt;=Settings!$B$6,Q3003,0),0)</f>
        <v>0</v>
      </c>
      <c r="Z3003" s="38" t="n">
        <f aca="false">IF(Y3003=0,0,IF(T3003="Backlog",Q3003,Q3003*Dashboard!$C$10))</f>
        <v>0</v>
      </c>
      <c r="AA3003" s="37" t="n">
        <f aca="false">IF($N3003="",0,IF(COUNTIF(Dashboard!$C$13:$C$22,$N3003)&gt;0,1,0))</f>
        <v>0</v>
      </c>
      <c r="AB3003" s="37" t="str">
        <f aca="false">IF($N3003="","",IF(COUNTIF($N$8:$N3003,$N3003)=1,MAX($AB$7:$AB3002)+1,""))</f>
        <v/>
      </c>
    </row>
    <row r="3004" customFormat="false" ht="15" hidden="false" customHeight="false" outlineLevel="0" collapsed="false">
      <c r="L3004" s="37" t="str">
        <f aca="false">IF(INDEX($A3004:$J3004,$L$6)&lt;&gt;"",TRIM(LEFT(INDEX($A3004:$J3004,$L$6),FIND("(",INDEX($A3004:$J3004,$L$6)&amp;"(")-1)),L3003)</f>
        <v>Building Value Proposition</v>
      </c>
      <c r="M3004" s="37" t="str">
        <f aca="false">IF(INDEX($A3004:$J3004,$M$6)="","",INDEX($A3004:$J3004,$M$6)&amp;"")</f>
        <v/>
      </c>
      <c r="N3004" s="37" t="str">
        <f aca="false">IF($M3004="","",TRIM(INDEX($A3004:$J3004,$N$6)&amp;""))</f>
        <v/>
      </c>
      <c r="O3004" s="37" t="str">
        <f aca="false">IF($M3004="","",TRIM(INDEX($A3004:$J3004,$O$6)&amp;""))</f>
        <v/>
      </c>
      <c r="P3004" s="37" t="str">
        <f aca="false">IF($M3004="","",IFERROR(IF(INDEX(Settings!$B$41:$B$50,MATCH(O3004,Settings!$A$41:$A$50,0))&amp;""="","UNMAPPED",INDEX(Settings!$B$41:$B$50,MATCH(O3004,Settings!$A$41:$A$50,0))&amp;""),"UNMAPPED"))</f>
        <v/>
      </c>
      <c r="Q3004" s="38" t="n">
        <f aca="false">IF($M3004="",0,N(INDEX($A3004:$J3004,$Q$6)))</f>
        <v>0</v>
      </c>
      <c r="R3004" s="39" t="str">
        <f aca="false">IF($M3004="","",INDEX($A3004:$J3004,$R$6))</f>
        <v/>
      </c>
      <c r="S3004" s="37" t="str">
        <f aca="false">IF($M3004="","",IFERROR(INDEX(Settings!$B$27:$B$36,MATCH(L3004,Settings!$A$27:$A$36,0))&amp;"","UNMAPPED"))</f>
        <v/>
      </c>
      <c r="T3004" s="37" t="str">
        <f aca="false">IF($M3004="","",IF(NOT(ISNUMBER(R3004)),"NO DATE",IF(S3004="Won",IF(R3004&gt;Settings!$B$5,"Backlog","Delivered"),IF(S3004="Open",IF(R3004&gt;Settings!$B$5,"Pipeline","Overdue"),IF(S3004="Lost","Lost","UNMAPPED")))))</f>
        <v/>
      </c>
      <c r="U3004" s="40" t="n">
        <f aca="false">IF(T3004="Backlog",1,IF(OR(T3004="Pipeline",T3004="Overdue"),N(INDEX(Settings!$C$27:$C$36,MATCH(L3004,Settings!$A$27:$A$36,0))),0))</f>
        <v>0</v>
      </c>
      <c r="V3004" s="38" t="n">
        <f aca="false">Q3004*U3004</f>
        <v>0</v>
      </c>
      <c r="W3004" s="41" t="str">
        <f aca="false">IF($M3004="","",IF(T3004="Overdue",IF(Settings!$B$8="Yes",Settings!$B$7,""),IF(ISNUMBER(R3004),DATE(YEAR(R3004),MONTH(R3004),1),"")))</f>
        <v/>
      </c>
      <c r="X3004" s="38" t="n">
        <f aca="false">IF(AND(OR(T3004="Backlog",T3004="Pipeline",T3004="Overdue"),ISNUMBER(W3004)),IF(W3004&lt;=Settings!$B$6,V3004,0),0)</f>
        <v>0</v>
      </c>
      <c r="Y3004" s="38" t="n">
        <f aca="false">IF(AND(OR(T3004="Backlog",T3004="Pipeline",T3004="Overdue"),ISNUMBER(W3004)),IF(W3004&lt;=Settings!$B$6,Q3004,0),0)</f>
        <v>0</v>
      </c>
      <c r="Z3004" s="38" t="n">
        <f aca="false">IF(Y3004=0,0,IF(T3004="Backlog",Q3004,Q3004*Dashboard!$C$10))</f>
        <v>0</v>
      </c>
      <c r="AA3004" s="37" t="n">
        <f aca="false">IF($N3004="",0,IF(COUNTIF(Dashboard!$C$13:$C$22,$N3004)&gt;0,1,0))</f>
        <v>0</v>
      </c>
      <c r="AB3004" s="37" t="str">
        <f aca="false">IF($N3004="","",IF(COUNTIF($N$8:$N3004,$N3004)=1,MAX($AB$7:$AB3003)+1,""))</f>
        <v/>
      </c>
    </row>
    <row r="3005" customFormat="false" ht="15" hidden="false" customHeight="false" outlineLevel="0" collapsed="false">
      <c r="L3005" s="37" t="str">
        <f aca="false">IF(INDEX($A3005:$J3005,$L$6)&lt;&gt;"",TRIM(LEFT(INDEX($A3005:$J3005,$L$6),FIND("(",INDEX($A3005:$J3005,$L$6)&amp;"(")-1)),L3004)</f>
        <v>Building Value Proposition</v>
      </c>
      <c r="M3005" s="37" t="str">
        <f aca="false">IF(INDEX($A3005:$J3005,$M$6)="","",INDEX($A3005:$J3005,$M$6)&amp;"")</f>
        <v/>
      </c>
      <c r="N3005" s="37" t="str">
        <f aca="false">IF($M3005="","",TRIM(INDEX($A3005:$J3005,$N$6)&amp;""))</f>
        <v/>
      </c>
      <c r="O3005" s="37" t="str">
        <f aca="false">IF($M3005="","",TRIM(INDEX($A3005:$J3005,$O$6)&amp;""))</f>
        <v/>
      </c>
      <c r="P3005" s="37" t="str">
        <f aca="false">IF($M3005="","",IFERROR(IF(INDEX(Settings!$B$41:$B$50,MATCH(O3005,Settings!$A$41:$A$50,0))&amp;""="","UNMAPPED",INDEX(Settings!$B$41:$B$50,MATCH(O3005,Settings!$A$41:$A$50,0))&amp;""),"UNMAPPED"))</f>
        <v/>
      </c>
      <c r="Q3005" s="38" t="n">
        <f aca="false">IF($M3005="",0,N(INDEX($A3005:$J3005,$Q$6)))</f>
        <v>0</v>
      </c>
      <c r="R3005" s="39" t="str">
        <f aca="false">IF($M3005="","",INDEX($A3005:$J3005,$R$6))</f>
        <v/>
      </c>
      <c r="S3005" s="37" t="str">
        <f aca="false">IF($M3005="","",IFERROR(INDEX(Settings!$B$27:$B$36,MATCH(L3005,Settings!$A$27:$A$36,0))&amp;"","UNMAPPED"))</f>
        <v/>
      </c>
      <c r="T3005" s="37" t="str">
        <f aca="false">IF($M3005="","",IF(NOT(ISNUMBER(R3005)),"NO DATE",IF(S3005="Won",IF(R3005&gt;Settings!$B$5,"Backlog","Delivered"),IF(S3005="Open",IF(R3005&gt;Settings!$B$5,"Pipeline","Overdue"),IF(S3005="Lost","Lost","UNMAPPED")))))</f>
        <v/>
      </c>
      <c r="U3005" s="40" t="n">
        <f aca="false">IF(T3005="Backlog",1,IF(OR(T3005="Pipeline",T3005="Overdue"),N(INDEX(Settings!$C$27:$C$36,MATCH(L3005,Settings!$A$27:$A$36,0))),0))</f>
        <v>0</v>
      </c>
      <c r="V3005" s="38" t="n">
        <f aca="false">Q3005*U3005</f>
        <v>0</v>
      </c>
      <c r="W3005" s="41" t="str">
        <f aca="false">IF($M3005="","",IF(T3005="Overdue",IF(Settings!$B$8="Yes",Settings!$B$7,""),IF(ISNUMBER(R3005),DATE(YEAR(R3005),MONTH(R3005),1),"")))</f>
        <v/>
      </c>
      <c r="X3005" s="38" t="n">
        <f aca="false">IF(AND(OR(T3005="Backlog",T3005="Pipeline",T3005="Overdue"),ISNUMBER(W3005)),IF(W3005&lt;=Settings!$B$6,V3005,0),0)</f>
        <v>0</v>
      </c>
      <c r="Y3005" s="38" t="n">
        <f aca="false">IF(AND(OR(T3005="Backlog",T3005="Pipeline",T3005="Overdue"),ISNUMBER(W3005)),IF(W3005&lt;=Settings!$B$6,Q3005,0),0)</f>
        <v>0</v>
      </c>
      <c r="Z3005" s="38" t="n">
        <f aca="false">IF(Y3005=0,0,IF(T3005="Backlog",Q3005,Q3005*Dashboard!$C$10))</f>
        <v>0</v>
      </c>
      <c r="AA3005" s="37" t="n">
        <f aca="false">IF($N3005="",0,IF(COUNTIF(Dashboard!$C$13:$C$22,$N3005)&gt;0,1,0))</f>
        <v>0</v>
      </c>
      <c r="AB3005" s="37" t="str">
        <f aca="false">IF($N3005="","",IF(COUNTIF($N$8:$N3005,$N3005)=1,MAX($AB$7:$AB3004)+1,""))</f>
        <v/>
      </c>
    </row>
    <row r="3006" customFormat="false" ht="15" hidden="false" customHeight="false" outlineLevel="0" collapsed="false">
      <c r="L3006" s="37" t="str">
        <f aca="false">IF(INDEX($A3006:$J3006,$L$6)&lt;&gt;"",TRIM(LEFT(INDEX($A3006:$J3006,$L$6),FIND("(",INDEX($A3006:$J3006,$L$6)&amp;"(")-1)),L3005)</f>
        <v>Building Value Proposition</v>
      </c>
      <c r="M3006" s="37" t="str">
        <f aca="false">IF(INDEX($A3006:$J3006,$M$6)="","",INDEX($A3006:$J3006,$M$6)&amp;"")</f>
        <v/>
      </c>
      <c r="N3006" s="37" t="str">
        <f aca="false">IF($M3006="","",TRIM(INDEX($A3006:$J3006,$N$6)&amp;""))</f>
        <v/>
      </c>
      <c r="O3006" s="37" t="str">
        <f aca="false">IF($M3006="","",TRIM(INDEX($A3006:$J3006,$O$6)&amp;""))</f>
        <v/>
      </c>
      <c r="P3006" s="37" t="str">
        <f aca="false">IF($M3006="","",IFERROR(IF(INDEX(Settings!$B$41:$B$50,MATCH(O3006,Settings!$A$41:$A$50,0))&amp;""="","UNMAPPED",INDEX(Settings!$B$41:$B$50,MATCH(O3006,Settings!$A$41:$A$50,0))&amp;""),"UNMAPPED"))</f>
        <v/>
      </c>
      <c r="Q3006" s="38" t="n">
        <f aca="false">IF($M3006="",0,N(INDEX($A3006:$J3006,$Q$6)))</f>
        <v>0</v>
      </c>
      <c r="R3006" s="39" t="str">
        <f aca="false">IF($M3006="","",INDEX($A3006:$J3006,$R$6))</f>
        <v/>
      </c>
      <c r="S3006" s="37" t="str">
        <f aca="false">IF($M3006="","",IFERROR(INDEX(Settings!$B$27:$B$36,MATCH(L3006,Settings!$A$27:$A$36,0))&amp;"","UNMAPPED"))</f>
        <v/>
      </c>
      <c r="T3006" s="37" t="str">
        <f aca="false">IF($M3006="","",IF(NOT(ISNUMBER(R3006)),"NO DATE",IF(S3006="Won",IF(R3006&gt;Settings!$B$5,"Backlog","Delivered"),IF(S3006="Open",IF(R3006&gt;Settings!$B$5,"Pipeline","Overdue"),IF(S3006="Lost","Lost","UNMAPPED")))))</f>
        <v/>
      </c>
      <c r="U3006" s="40" t="n">
        <f aca="false">IF(T3006="Backlog",1,IF(OR(T3006="Pipeline",T3006="Overdue"),N(INDEX(Settings!$C$27:$C$36,MATCH(L3006,Settings!$A$27:$A$36,0))),0))</f>
        <v>0</v>
      </c>
      <c r="V3006" s="38" t="n">
        <f aca="false">Q3006*U3006</f>
        <v>0</v>
      </c>
      <c r="W3006" s="41" t="str">
        <f aca="false">IF($M3006="","",IF(T3006="Overdue",IF(Settings!$B$8="Yes",Settings!$B$7,""),IF(ISNUMBER(R3006),DATE(YEAR(R3006),MONTH(R3006),1),"")))</f>
        <v/>
      </c>
      <c r="X3006" s="38" t="n">
        <f aca="false">IF(AND(OR(T3006="Backlog",T3006="Pipeline",T3006="Overdue"),ISNUMBER(W3006)),IF(W3006&lt;=Settings!$B$6,V3006,0),0)</f>
        <v>0</v>
      </c>
      <c r="Y3006" s="38" t="n">
        <f aca="false">IF(AND(OR(T3006="Backlog",T3006="Pipeline",T3006="Overdue"),ISNUMBER(W3006)),IF(W3006&lt;=Settings!$B$6,Q3006,0),0)</f>
        <v>0</v>
      </c>
      <c r="Z3006" s="38" t="n">
        <f aca="false">IF(Y3006=0,0,IF(T3006="Backlog",Q3006,Q3006*Dashboard!$C$10))</f>
        <v>0</v>
      </c>
      <c r="AA3006" s="37" t="n">
        <f aca="false">IF($N3006="",0,IF(COUNTIF(Dashboard!$C$13:$C$22,$N3006)&gt;0,1,0))</f>
        <v>0</v>
      </c>
      <c r="AB3006" s="37" t="str">
        <f aca="false">IF($N3006="","",IF(COUNTIF($N$8:$N3006,$N3006)=1,MAX($AB$7:$AB3005)+1,""))</f>
        <v/>
      </c>
    </row>
    <row r="3007" customFormat="false" ht="15" hidden="false" customHeight="false" outlineLevel="0" collapsed="false">
      <c r="L3007" s="37" t="str">
        <f aca="false">IF(INDEX($A3007:$J3007,$L$6)&lt;&gt;"",TRIM(LEFT(INDEX($A3007:$J3007,$L$6),FIND("(",INDEX($A3007:$J3007,$L$6)&amp;"(")-1)),L3006)</f>
        <v>Building Value Proposition</v>
      </c>
      <c r="M3007" s="37" t="str">
        <f aca="false">IF(INDEX($A3007:$J3007,$M$6)="","",INDEX($A3007:$J3007,$M$6)&amp;"")</f>
        <v/>
      </c>
      <c r="N3007" s="37" t="str">
        <f aca="false">IF($M3007="","",TRIM(INDEX($A3007:$J3007,$N$6)&amp;""))</f>
        <v/>
      </c>
      <c r="O3007" s="37" t="str">
        <f aca="false">IF($M3007="","",TRIM(INDEX($A3007:$J3007,$O$6)&amp;""))</f>
        <v/>
      </c>
      <c r="P3007" s="37" t="str">
        <f aca="false">IF($M3007="","",IFERROR(IF(INDEX(Settings!$B$41:$B$50,MATCH(O3007,Settings!$A$41:$A$50,0))&amp;""="","UNMAPPED",INDEX(Settings!$B$41:$B$50,MATCH(O3007,Settings!$A$41:$A$50,0))&amp;""),"UNMAPPED"))</f>
        <v/>
      </c>
      <c r="Q3007" s="38" t="n">
        <f aca="false">IF($M3007="",0,N(INDEX($A3007:$J3007,$Q$6)))</f>
        <v>0</v>
      </c>
      <c r="R3007" s="39" t="str">
        <f aca="false">IF($M3007="","",INDEX($A3007:$J3007,$R$6))</f>
        <v/>
      </c>
      <c r="S3007" s="37" t="str">
        <f aca="false">IF($M3007="","",IFERROR(INDEX(Settings!$B$27:$B$36,MATCH(L3007,Settings!$A$27:$A$36,0))&amp;"","UNMAPPED"))</f>
        <v/>
      </c>
      <c r="T3007" s="37" t="str">
        <f aca="false">IF($M3007="","",IF(NOT(ISNUMBER(R3007)),"NO DATE",IF(S3007="Won",IF(R3007&gt;Settings!$B$5,"Backlog","Delivered"),IF(S3007="Open",IF(R3007&gt;Settings!$B$5,"Pipeline","Overdue"),IF(S3007="Lost","Lost","UNMAPPED")))))</f>
        <v/>
      </c>
      <c r="U3007" s="40" t="n">
        <f aca="false">IF(T3007="Backlog",1,IF(OR(T3007="Pipeline",T3007="Overdue"),N(INDEX(Settings!$C$27:$C$36,MATCH(L3007,Settings!$A$27:$A$36,0))),0))</f>
        <v>0</v>
      </c>
      <c r="V3007" s="38" t="n">
        <f aca="false">Q3007*U3007</f>
        <v>0</v>
      </c>
      <c r="W3007" s="41" t="str">
        <f aca="false">IF($M3007="","",IF(T3007="Overdue",IF(Settings!$B$8="Yes",Settings!$B$7,""),IF(ISNUMBER(R3007),DATE(YEAR(R3007),MONTH(R3007),1),"")))</f>
        <v/>
      </c>
      <c r="X3007" s="38" t="n">
        <f aca="false">IF(AND(OR(T3007="Backlog",T3007="Pipeline",T3007="Overdue"),ISNUMBER(W3007)),IF(W3007&lt;=Settings!$B$6,V3007,0),0)</f>
        <v>0</v>
      </c>
      <c r="Y3007" s="38" t="n">
        <f aca="false">IF(AND(OR(T3007="Backlog",T3007="Pipeline",T3007="Overdue"),ISNUMBER(W3007)),IF(W3007&lt;=Settings!$B$6,Q3007,0),0)</f>
        <v>0</v>
      </c>
      <c r="Z3007" s="38" t="n">
        <f aca="false">IF(Y3007=0,0,IF(T3007="Backlog",Q3007,Q3007*Dashboard!$C$10))</f>
        <v>0</v>
      </c>
      <c r="AA3007" s="37" t="n">
        <f aca="false">IF($N3007="",0,IF(COUNTIF(Dashboard!$C$13:$C$22,$N3007)&gt;0,1,0))</f>
        <v>0</v>
      </c>
      <c r="AB3007" s="37" t="str">
        <f aca="false">IF($N3007="","",IF(COUNTIF($N$8:$N3007,$N3007)=1,MAX($AB$7:$AB3006)+1,""))</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AE100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6" min="2" style="0" width="12"/>
    <col collapsed="false" customWidth="true" hidden="false" outlineLevel="0" max="28" min="28" style="0" width="34"/>
    <col collapsed="false" customWidth="true" hidden="false" outlineLevel="0" max="29" min="29" style="0" width="12"/>
    <col collapsed="false" customWidth="true" hidden="false" outlineLevel="0" max="30" min="30" style="0" width="13"/>
    <col collapsed="false" customWidth="true" hidden="false" outlineLevel="0" max="31" min="31" style="0" width="12"/>
  </cols>
  <sheetData>
    <row r="1" customFormat="false" ht="19.7" hidden="false" customHeight="false" outlineLevel="0" collapsed="false">
      <c r="A1" s="1" t="s">
        <v>1600</v>
      </c>
    </row>
    <row r="2" customFormat="false" ht="15" hidden="false" customHeight="false" outlineLevel="0" collapsed="false">
      <c r="A2" s="4" t="s">
        <v>1601</v>
      </c>
    </row>
    <row r="3" customFormat="false" ht="15" hidden="false" customHeight="false" outlineLevel="0" collapsed="false">
      <c r="A3" s="42" t="s">
        <v>1602</v>
      </c>
    </row>
    <row r="5" customFormat="false" ht="15" hidden="false" customHeight="false" outlineLevel="0" collapsed="false">
      <c r="A5" s="16" t="s">
        <v>1603</v>
      </c>
      <c r="B5" s="43"/>
      <c r="C5" s="43"/>
      <c r="D5" s="43"/>
      <c r="E5" s="43"/>
      <c r="F5" s="43"/>
      <c r="G5" s="43"/>
      <c r="H5" s="43"/>
      <c r="I5" s="43"/>
      <c r="J5" s="43"/>
      <c r="K5" s="43"/>
      <c r="L5" s="43"/>
      <c r="M5" s="43"/>
      <c r="N5" s="43"/>
      <c r="O5" s="43"/>
      <c r="P5" s="43"/>
      <c r="Q5" s="43"/>
      <c r="R5" s="43"/>
      <c r="S5" s="43"/>
      <c r="T5" s="43"/>
      <c r="U5" s="43"/>
      <c r="V5" s="43"/>
      <c r="W5" s="43"/>
      <c r="X5" s="43"/>
      <c r="Y5" s="43"/>
      <c r="Z5" s="43"/>
    </row>
    <row r="6" customFormat="false" ht="23.85" hidden="false" customHeight="false" outlineLevel="0" collapsed="false">
      <c r="A6" s="14" t="s">
        <v>1604</v>
      </c>
      <c r="AB6" s="14" t="s">
        <v>1605</v>
      </c>
      <c r="AC6" s="14" t="s">
        <v>1606</v>
      </c>
      <c r="AD6" s="14" t="s">
        <v>32</v>
      </c>
      <c r="AE6" s="14" t="s">
        <v>1607</v>
      </c>
    </row>
    <row r="7" customFormat="false" ht="15" hidden="false" customHeight="false" outlineLevel="0" collapsed="false">
      <c r="B7" s="44"/>
      <c r="C7" s="44"/>
      <c r="D7" s="44"/>
      <c r="E7" s="44"/>
      <c r="F7" s="44"/>
      <c r="G7" s="44"/>
      <c r="H7" s="44"/>
      <c r="I7" s="44"/>
      <c r="J7" s="44"/>
      <c r="K7" s="44"/>
      <c r="L7" s="44"/>
      <c r="M7" s="44"/>
      <c r="N7" s="44"/>
      <c r="O7" s="44"/>
      <c r="P7" s="44"/>
      <c r="Q7" s="44"/>
      <c r="R7" s="44"/>
      <c r="S7" s="44"/>
      <c r="T7" s="44"/>
      <c r="U7" s="44"/>
      <c r="V7" s="44"/>
      <c r="W7" s="44"/>
      <c r="X7" s="44"/>
      <c r="Y7" s="44"/>
      <c r="Z7" s="44"/>
      <c r="AB7" s="37" t="str">
        <f aca="false">TRIM($A7&amp;"")</f>
        <v/>
      </c>
      <c r="AC7" s="37" t="str">
        <f aca="false">IF(AB7="","",IFERROR(INDEX('Account Map'!$B:$B,MATCH(AB7,'Account Map'!$A:$A,0)),""))</f>
        <v/>
      </c>
      <c r="AD7" s="37" t="str">
        <f aca="false">IF(AB7="","",IFERROR(INDEX('Account Map'!$C:$C,MATCH(AB7,'Account Map'!$A:$A,0)),""))</f>
        <v/>
      </c>
      <c r="AE7" s="37" t="n">
        <f aca="false">IF(AND(AB7&lt;&gt;"",AC7="",COUNT($B7:$Z7)&gt;0,LEFT(AB7,5)&lt;&gt;"Total",AB7&lt;&gt;"Gross Profit",AB7&lt;&gt;"Net Profit",AB7&lt;&gt;"Operating Profit"),1,0)</f>
        <v>0</v>
      </c>
    </row>
    <row r="8" customFormat="false" ht="15" hidden="false" customHeight="false" outlineLevel="0" collapsed="false">
      <c r="B8" s="44"/>
      <c r="C8" s="44"/>
      <c r="D8" s="44"/>
      <c r="E8" s="44"/>
      <c r="F8" s="44"/>
      <c r="G8" s="44"/>
      <c r="H8" s="44"/>
      <c r="I8" s="44"/>
      <c r="J8" s="44"/>
      <c r="K8" s="44"/>
      <c r="L8" s="44"/>
      <c r="M8" s="44"/>
      <c r="N8" s="44"/>
      <c r="O8" s="44"/>
      <c r="P8" s="44"/>
      <c r="Q8" s="44"/>
      <c r="R8" s="44"/>
      <c r="S8" s="44"/>
      <c r="T8" s="44"/>
      <c r="U8" s="44"/>
      <c r="V8" s="44"/>
      <c r="W8" s="44"/>
      <c r="X8" s="44"/>
      <c r="Y8" s="44"/>
      <c r="Z8" s="44"/>
      <c r="AB8" s="37" t="str">
        <f aca="false">TRIM($A8&amp;"")</f>
        <v/>
      </c>
      <c r="AC8" s="37" t="str">
        <f aca="false">IF(AB8="","",IFERROR(INDEX('Account Map'!$B:$B,MATCH(AB8,'Account Map'!$A:$A,0)),""))</f>
        <v/>
      </c>
      <c r="AD8" s="37" t="str">
        <f aca="false">IF(AB8="","",IFERROR(INDEX('Account Map'!$C:$C,MATCH(AB8,'Account Map'!$A:$A,0)),""))</f>
        <v/>
      </c>
      <c r="AE8" s="37" t="n">
        <f aca="false">IF(AND(AB8&lt;&gt;"",AC8="",COUNT($B8:$Z8)&gt;0,LEFT(AB8,5)&lt;&gt;"Total",AB8&lt;&gt;"Gross Profit",AB8&lt;&gt;"Net Profit",AB8&lt;&gt;"Operating Profit"),1,0)</f>
        <v>0</v>
      </c>
    </row>
    <row r="9" customFormat="false" ht="15" hidden="false" customHeight="false" outlineLevel="0" collapsed="false">
      <c r="B9" s="44"/>
      <c r="C9" s="44"/>
      <c r="D9" s="44"/>
      <c r="E9" s="44"/>
      <c r="F9" s="44"/>
      <c r="G9" s="44"/>
      <c r="H9" s="44"/>
      <c r="I9" s="44"/>
      <c r="J9" s="44"/>
      <c r="K9" s="44"/>
      <c r="L9" s="44"/>
      <c r="M9" s="44"/>
      <c r="N9" s="44"/>
      <c r="O9" s="44"/>
      <c r="P9" s="44"/>
      <c r="Q9" s="44"/>
      <c r="R9" s="44"/>
      <c r="S9" s="44"/>
      <c r="T9" s="44"/>
      <c r="U9" s="44"/>
      <c r="V9" s="44"/>
      <c r="W9" s="44"/>
      <c r="X9" s="44"/>
      <c r="Y9" s="44"/>
      <c r="Z9" s="44"/>
      <c r="AB9" s="37" t="str">
        <f aca="false">TRIM($A9&amp;"")</f>
        <v/>
      </c>
      <c r="AC9" s="37" t="str">
        <f aca="false">IF(AB9="","",IFERROR(INDEX('Account Map'!$B:$B,MATCH(AB9,'Account Map'!$A:$A,0)),""))</f>
        <v/>
      </c>
      <c r="AD9" s="37" t="str">
        <f aca="false">IF(AB9="","",IFERROR(INDEX('Account Map'!$C:$C,MATCH(AB9,'Account Map'!$A:$A,0)),""))</f>
        <v/>
      </c>
      <c r="AE9" s="37" t="n">
        <f aca="false">IF(AND(AB9&lt;&gt;"",AC9="",COUNT($B9:$Z9)&gt;0,LEFT(AB9,5)&lt;&gt;"Total",AB9&lt;&gt;"Gross Profit",AB9&lt;&gt;"Net Profit",AB9&lt;&gt;"Operating Profit"),1,0)</f>
        <v>0</v>
      </c>
    </row>
    <row r="10" customFormat="false" ht="15" hidden="false" customHeight="false" outlineLevel="0" collapsed="false">
      <c r="B10" s="44"/>
      <c r="C10" s="44"/>
      <c r="D10" s="44"/>
      <c r="E10" s="44"/>
      <c r="F10" s="44"/>
      <c r="G10" s="44"/>
      <c r="H10" s="44"/>
      <c r="I10" s="44"/>
      <c r="J10" s="44"/>
      <c r="K10" s="44"/>
      <c r="L10" s="44"/>
      <c r="M10" s="44"/>
      <c r="N10" s="44"/>
      <c r="O10" s="44"/>
      <c r="P10" s="44"/>
      <c r="Q10" s="44"/>
      <c r="R10" s="44"/>
      <c r="S10" s="44"/>
      <c r="T10" s="44"/>
      <c r="U10" s="44"/>
      <c r="V10" s="44"/>
      <c r="W10" s="44"/>
      <c r="X10" s="44"/>
      <c r="Y10" s="44"/>
      <c r="Z10" s="44"/>
      <c r="AB10" s="37" t="str">
        <f aca="false">TRIM($A10&amp;"")</f>
        <v/>
      </c>
      <c r="AC10" s="37" t="str">
        <f aca="false">IF(AB10="","",IFERROR(INDEX('Account Map'!$B:$B,MATCH(AB10,'Account Map'!$A:$A,0)),""))</f>
        <v/>
      </c>
      <c r="AD10" s="37" t="str">
        <f aca="false">IF(AB10="","",IFERROR(INDEX('Account Map'!$C:$C,MATCH(AB10,'Account Map'!$A:$A,0)),""))</f>
        <v/>
      </c>
      <c r="AE10" s="37" t="n">
        <f aca="false">IF(AND(AB10&lt;&gt;"",AC10="",COUNT($B10:$Z10)&gt;0,LEFT(AB10,5)&lt;&gt;"Total",AB10&lt;&gt;"Gross Profit",AB10&lt;&gt;"Net Profit",AB10&lt;&gt;"Operating Profit"),1,0)</f>
        <v>0</v>
      </c>
    </row>
    <row r="11" customFormat="false" ht="15" hidden="false" customHeight="false" outlineLevel="0" collapsed="false">
      <c r="B11" s="44"/>
      <c r="C11" s="44"/>
      <c r="D11" s="44"/>
      <c r="E11" s="44"/>
      <c r="F11" s="44"/>
      <c r="G11" s="44"/>
      <c r="H11" s="44"/>
      <c r="I11" s="44"/>
      <c r="J11" s="44"/>
      <c r="K11" s="44"/>
      <c r="L11" s="44"/>
      <c r="M11" s="44"/>
      <c r="N11" s="44"/>
      <c r="O11" s="44"/>
      <c r="P11" s="44"/>
      <c r="Q11" s="44"/>
      <c r="R11" s="44"/>
      <c r="S11" s="44"/>
      <c r="T11" s="44"/>
      <c r="U11" s="44"/>
      <c r="V11" s="44"/>
      <c r="W11" s="44"/>
      <c r="X11" s="44"/>
      <c r="Y11" s="44"/>
      <c r="Z11" s="44"/>
      <c r="AB11" s="37" t="str">
        <f aca="false">TRIM($A11&amp;"")</f>
        <v/>
      </c>
      <c r="AC11" s="37" t="str">
        <f aca="false">IF(AB11="","",IFERROR(INDEX('Account Map'!$B:$B,MATCH(AB11,'Account Map'!$A:$A,0)),""))</f>
        <v/>
      </c>
      <c r="AD11" s="37" t="str">
        <f aca="false">IF(AB11="","",IFERROR(INDEX('Account Map'!$C:$C,MATCH(AB11,'Account Map'!$A:$A,0)),""))</f>
        <v/>
      </c>
      <c r="AE11" s="37" t="n">
        <f aca="false">IF(AND(AB11&lt;&gt;"",AC11="",COUNT($B11:$Z11)&gt;0,LEFT(AB11,5)&lt;&gt;"Total",AB11&lt;&gt;"Gross Profit",AB11&lt;&gt;"Net Profit",AB11&lt;&gt;"Operating Profit"),1,0)</f>
        <v>0</v>
      </c>
    </row>
    <row r="12" customFormat="false" ht="15" hidden="false" customHeight="false" outlineLevel="0" collapsed="false">
      <c r="B12" s="44"/>
      <c r="C12" s="44"/>
      <c r="D12" s="44"/>
      <c r="E12" s="44"/>
      <c r="F12" s="44"/>
      <c r="G12" s="44"/>
      <c r="H12" s="44"/>
      <c r="I12" s="44"/>
      <c r="J12" s="44"/>
      <c r="K12" s="44"/>
      <c r="L12" s="44"/>
      <c r="M12" s="44"/>
      <c r="N12" s="44"/>
      <c r="O12" s="44"/>
      <c r="P12" s="44"/>
      <c r="Q12" s="44"/>
      <c r="R12" s="44"/>
      <c r="S12" s="44"/>
      <c r="T12" s="44"/>
      <c r="U12" s="44"/>
      <c r="V12" s="44"/>
      <c r="W12" s="44"/>
      <c r="X12" s="44"/>
      <c r="Y12" s="44"/>
      <c r="Z12" s="44"/>
      <c r="AB12" s="37" t="str">
        <f aca="false">TRIM($A12&amp;"")</f>
        <v/>
      </c>
      <c r="AC12" s="37" t="str">
        <f aca="false">IF(AB12="","",IFERROR(INDEX('Account Map'!$B:$B,MATCH(AB12,'Account Map'!$A:$A,0)),""))</f>
        <v/>
      </c>
      <c r="AD12" s="37" t="str">
        <f aca="false">IF(AB12="","",IFERROR(INDEX('Account Map'!$C:$C,MATCH(AB12,'Account Map'!$A:$A,0)),""))</f>
        <v/>
      </c>
      <c r="AE12" s="37" t="n">
        <f aca="false">IF(AND(AB12&lt;&gt;"",AC12="",COUNT($B12:$Z12)&gt;0,LEFT(AB12,5)&lt;&gt;"Total",AB12&lt;&gt;"Gross Profit",AB12&lt;&gt;"Net Profit",AB12&lt;&gt;"Operating Profit"),1,0)</f>
        <v>0</v>
      </c>
    </row>
    <row r="13" customFormat="false" ht="15" hidden="false" customHeight="false" outlineLevel="0" collapsed="false">
      <c r="B13" s="44"/>
      <c r="C13" s="44"/>
      <c r="D13" s="44"/>
      <c r="E13" s="44"/>
      <c r="F13" s="44"/>
      <c r="G13" s="44"/>
      <c r="H13" s="44"/>
      <c r="I13" s="44"/>
      <c r="J13" s="44"/>
      <c r="K13" s="44"/>
      <c r="L13" s="44"/>
      <c r="M13" s="44"/>
      <c r="N13" s="44"/>
      <c r="O13" s="44"/>
      <c r="P13" s="44"/>
      <c r="Q13" s="44"/>
      <c r="R13" s="44"/>
      <c r="S13" s="44"/>
      <c r="T13" s="44"/>
      <c r="U13" s="44"/>
      <c r="V13" s="44"/>
      <c r="W13" s="44"/>
      <c r="X13" s="44"/>
      <c r="Y13" s="44"/>
      <c r="Z13" s="44"/>
      <c r="AB13" s="37" t="str">
        <f aca="false">TRIM($A13&amp;"")</f>
        <v/>
      </c>
      <c r="AC13" s="37" t="str">
        <f aca="false">IF(AB13="","",IFERROR(INDEX('Account Map'!$B:$B,MATCH(AB13,'Account Map'!$A:$A,0)),""))</f>
        <v/>
      </c>
      <c r="AD13" s="37" t="str">
        <f aca="false">IF(AB13="","",IFERROR(INDEX('Account Map'!$C:$C,MATCH(AB13,'Account Map'!$A:$A,0)),""))</f>
        <v/>
      </c>
      <c r="AE13" s="37" t="n">
        <f aca="false">IF(AND(AB13&lt;&gt;"",AC13="",COUNT($B13:$Z13)&gt;0,LEFT(AB13,5)&lt;&gt;"Total",AB13&lt;&gt;"Gross Profit",AB13&lt;&gt;"Net Profit",AB13&lt;&gt;"Operating Profit"),1,0)</f>
        <v>0</v>
      </c>
    </row>
    <row r="14" customFormat="false" ht="15" hidden="false" customHeight="false" outlineLevel="0" collapsed="false">
      <c r="B14" s="44"/>
      <c r="C14" s="44"/>
      <c r="D14" s="44"/>
      <c r="E14" s="44"/>
      <c r="F14" s="44"/>
      <c r="G14" s="44"/>
      <c r="H14" s="44"/>
      <c r="I14" s="44"/>
      <c r="J14" s="44"/>
      <c r="K14" s="44"/>
      <c r="L14" s="44"/>
      <c r="M14" s="44"/>
      <c r="N14" s="44"/>
      <c r="O14" s="44"/>
      <c r="P14" s="44"/>
      <c r="Q14" s="44"/>
      <c r="R14" s="44"/>
      <c r="S14" s="44"/>
      <c r="T14" s="44"/>
      <c r="U14" s="44"/>
      <c r="V14" s="44"/>
      <c r="W14" s="44"/>
      <c r="X14" s="44"/>
      <c r="Y14" s="44"/>
      <c r="Z14" s="44"/>
      <c r="AB14" s="37" t="str">
        <f aca="false">TRIM($A14&amp;"")</f>
        <v/>
      </c>
      <c r="AC14" s="37" t="str">
        <f aca="false">IF(AB14="","",IFERROR(INDEX('Account Map'!$B:$B,MATCH(AB14,'Account Map'!$A:$A,0)),""))</f>
        <v/>
      </c>
      <c r="AD14" s="37" t="str">
        <f aca="false">IF(AB14="","",IFERROR(INDEX('Account Map'!$C:$C,MATCH(AB14,'Account Map'!$A:$A,0)),""))</f>
        <v/>
      </c>
      <c r="AE14" s="37" t="n">
        <f aca="false">IF(AND(AB14&lt;&gt;"",AC14="",COUNT($B14:$Z14)&gt;0,LEFT(AB14,5)&lt;&gt;"Total",AB14&lt;&gt;"Gross Profit",AB14&lt;&gt;"Net Profit",AB14&lt;&gt;"Operating Profit"),1,0)</f>
        <v>0</v>
      </c>
    </row>
    <row r="15" customFormat="false" ht="15" hidden="false" customHeight="false" outlineLevel="0" collapsed="false">
      <c r="B15" s="44"/>
      <c r="C15" s="44"/>
      <c r="D15" s="44"/>
      <c r="E15" s="44"/>
      <c r="F15" s="44"/>
      <c r="G15" s="44"/>
      <c r="H15" s="44"/>
      <c r="I15" s="44"/>
      <c r="J15" s="44"/>
      <c r="K15" s="44"/>
      <c r="L15" s="44"/>
      <c r="M15" s="44"/>
      <c r="N15" s="44"/>
      <c r="O15" s="44"/>
      <c r="P15" s="44"/>
      <c r="Q15" s="44"/>
      <c r="R15" s="44"/>
      <c r="S15" s="44"/>
      <c r="T15" s="44"/>
      <c r="U15" s="44"/>
      <c r="V15" s="44"/>
      <c r="W15" s="44"/>
      <c r="X15" s="44"/>
      <c r="Y15" s="44"/>
      <c r="Z15" s="44"/>
      <c r="AB15" s="37" t="str">
        <f aca="false">TRIM($A15&amp;"")</f>
        <v/>
      </c>
      <c r="AC15" s="37" t="str">
        <f aca="false">IF(AB15="","",IFERROR(INDEX('Account Map'!$B:$B,MATCH(AB15,'Account Map'!$A:$A,0)),""))</f>
        <v/>
      </c>
      <c r="AD15" s="37" t="str">
        <f aca="false">IF(AB15="","",IFERROR(INDEX('Account Map'!$C:$C,MATCH(AB15,'Account Map'!$A:$A,0)),""))</f>
        <v/>
      </c>
      <c r="AE15" s="37" t="n">
        <f aca="false">IF(AND(AB15&lt;&gt;"",AC15="",COUNT($B15:$Z15)&gt;0,LEFT(AB15,5)&lt;&gt;"Total",AB15&lt;&gt;"Gross Profit",AB15&lt;&gt;"Net Profit",AB15&lt;&gt;"Operating Profit"),1,0)</f>
        <v>0</v>
      </c>
    </row>
    <row r="16" customFormat="false" ht="15" hidden="false" customHeight="false" outlineLevel="0" collapsed="false">
      <c r="B16" s="44"/>
      <c r="C16" s="44"/>
      <c r="D16" s="44"/>
      <c r="E16" s="44"/>
      <c r="F16" s="44"/>
      <c r="G16" s="44"/>
      <c r="H16" s="44"/>
      <c r="I16" s="44"/>
      <c r="J16" s="44"/>
      <c r="K16" s="44"/>
      <c r="L16" s="44"/>
      <c r="M16" s="44"/>
      <c r="N16" s="44"/>
      <c r="O16" s="44"/>
      <c r="P16" s="44"/>
      <c r="Q16" s="44"/>
      <c r="R16" s="44"/>
      <c r="S16" s="44"/>
      <c r="T16" s="44"/>
      <c r="U16" s="44"/>
      <c r="V16" s="44"/>
      <c r="W16" s="44"/>
      <c r="X16" s="44"/>
      <c r="Y16" s="44"/>
      <c r="Z16" s="44"/>
      <c r="AB16" s="37" t="str">
        <f aca="false">TRIM($A16&amp;"")</f>
        <v/>
      </c>
      <c r="AC16" s="37" t="str">
        <f aca="false">IF(AB16="","",IFERROR(INDEX('Account Map'!$B:$B,MATCH(AB16,'Account Map'!$A:$A,0)),""))</f>
        <v/>
      </c>
      <c r="AD16" s="37" t="str">
        <f aca="false">IF(AB16="","",IFERROR(INDEX('Account Map'!$C:$C,MATCH(AB16,'Account Map'!$A:$A,0)),""))</f>
        <v/>
      </c>
      <c r="AE16" s="37" t="n">
        <f aca="false">IF(AND(AB16&lt;&gt;"",AC16="",COUNT($B16:$Z16)&gt;0,LEFT(AB16,5)&lt;&gt;"Total",AB16&lt;&gt;"Gross Profit",AB16&lt;&gt;"Net Profit",AB16&lt;&gt;"Operating Profit"),1,0)</f>
        <v>0</v>
      </c>
    </row>
    <row r="17" customFormat="false" ht="15" hidden="false" customHeight="false" outlineLevel="0" collapsed="false">
      <c r="B17" s="44"/>
      <c r="C17" s="44"/>
      <c r="D17" s="44"/>
      <c r="E17" s="44"/>
      <c r="F17" s="44"/>
      <c r="G17" s="44"/>
      <c r="H17" s="44"/>
      <c r="I17" s="44"/>
      <c r="J17" s="44"/>
      <c r="K17" s="44"/>
      <c r="L17" s="44"/>
      <c r="M17" s="44"/>
      <c r="N17" s="44"/>
      <c r="O17" s="44"/>
      <c r="P17" s="44"/>
      <c r="Q17" s="44"/>
      <c r="R17" s="44"/>
      <c r="S17" s="44"/>
      <c r="T17" s="44"/>
      <c r="U17" s="44"/>
      <c r="V17" s="44"/>
      <c r="W17" s="44"/>
      <c r="X17" s="44"/>
      <c r="Y17" s="44"/>
      <c r="Z17" s="44"/>
      <c r="AB17" s="37" t="str">
        <f aca="false">TRIM($A17&amp;"")</f>
        <v/>
      </c>
      <c r="AC17" s="37" t="str">
        <f aca="false">IF(AB17="","",IFERROR(INDEX('Account Map'!$B:$B,MATCH(AB17,'Account Map'!$A:$A,0)),""))</f>
        <v/>
      </c>
      <c r="AD17" s="37" t="str">
        <f aca="false">IF(AB17="","",IFERROR(INDEX('Account Map'!$C:$C,MATCH(AB17,'Account Map'!$A:$A,0)),""))</f>
        <v/>
      </c>
      <c r="AE17" s="37" t="n">
        <f aca="false">IF(AND(AB17&lt;&gt;"",AC17="",COUNT($B17:$Z17)&gt;0,LEFT(AB17,5)&lt;&gt;"Total",AB17&lt;&gt;"Gross Profit",AB17&lt;&gt;"Net Profit",AB17&lt;&gt;"Operating Profit"),1,0)</f>
        <v>0</v>
      </c>
    </row>
    <row r="18" customFormat="false" ht="15" hidden="false" customHeight="false" outlineLevel="0" collapsed="false">
      <c r="B18" s="44"/>
      <c r="C18" s="44"/>
      <c r="D18" s="44"/>
      <c r="E18" s="44"/>
      <c r="F18" s="44"/>
      <c r="G18" s="44"/>
      <c r="H18" s="44"/>
      <c r="I18" s="44"/>
      <c r="J18" s="44"/>
      <c r="K18" s="44"/>
      <c r="L18" s="44"/>
      <c r="M18" s="44"/>
      <c r="N18" s="44"/>
      <c r="O18" s="44"/>
      <c r="P18" s="44"/>
      <c r="Q18" s="44"/>
      <c r="R18" s="44"/>
      <c r="S18" s="44"/>
      <c r="T18" s="44"/>
      <c r="U18" s="44"/>
      <c r="V18" s="44"/>
      <c r="W18" s="44"/>
      <c r="X18" s="44"/>
      <c r="Y18" s="44"/>
      <c r="Z18" s="44"/>
      <c r="AB18" s="37" t="str">
        <f aca="false">TRIM($A18&amp;"")</f>
        <v/>
      </c>
      <c r="AC18" s="37" t="str">
        <f aca="false">IF(AB18="","",IFERROR(INDEX('Account Map'!$B:$B,MATCH(AB18,'Account Map'!$A:$A,0)),""))</f>
        <v/>
      </c>
      <c r="AD18" s="37" t="str">
        <f aca="false">IF(AB18="","",IFERROR(INDEX('Account Map'!$C:$C,MATCH(AB18,'Account Map'!$A:$A,0)),""))</f>
        <v/>
      </c>
      <c r="AE18" s="37" t="n">
        <f aca="false">IF(AND(AB18&lt;&gt;"",AC18="",COUNT($B18:$Z18)&gt;0,LEFT(AB18,5)&lt;&gt;"Total",AB18&lt;&gt;"Gross Profit",AB18&lt;&gt;"Net Profit",AB18&lt;&gt;"Operating Profit"),1,0)</f>
        <v>0</v>
      </c>
    </row>
    <row r="19" customFormat="false" ht="15" hidden="false" customHeight="false" outlineLevel="0" collapsed="false">
      <c r="B19" s="44"/>
      <c r="C19" s="44"/>
      <c r="D19" s="44"/>
      <c r="E19" s="44"/>
      <c r="F19" s="44"/>
      <c r="G19" s="44"/>
      <c r="H19" s="44"/>
      <c r="I19" s="44"/>
      <c r="J19" s="44"/>
      <c r="K19" s="44"/>
      <c r="L19" s="44"/>
      <c r="M19" s="44"/>
      <c r="N19" s="44"/>
      <c r="O19" s="44"/>
      <c r="P19" s="44"/>
      <c r="Q19" s="44"/>
      <c r="R19" s="44"/>
      <c r="S19" s="44"/>
      <c r="T19" s="44"/>
      <c r="U19" s="44"/>
      <c r="V19" s="44"/>
      <c r="W19" s="44"/>
      <c r="X19" s="44"/>
      <c r="Y19" s="44"/>
      <c r="Z19" s="44"/>
      <c r="AB19" s="37" t="str">
        <f aca="false">TRIM($A19&amp;"")</f>
        <v/>
      </c>
      <c r="AC19" s="37" t="str">
        <f aca="false">IF(AB19="","",IFERROR(INDEX('Account Map'!$B:$B,MATCH(AB19,'Account Map'!$A:$A,0)),""))</f>
        <v/>
      </c>
      <c r="AD19" s="37" t="str">
        <f aca="false">IF(AB19="","",IFERROR(INDEX('Account Map'!$C:$C,MATCH(AB19,'Account Map'!$A:$A,0)),""))</f>
        <v/>
      </c>
      <c r="AE19" s="37" t="n">
        <f aca="false">IF(AND(AB19&lt;&gt;"",AC19="",COUNT($B19:$Z19)&gt;0,LEFT(AB19,5)&lt;&gt;"Total",AB19&lt;&gt;"Gross Profit",AB19&lt;&gt;"Net Profit",AB19&lt;&gt;"Operating Profit"),1,0)</f>
        <v>0</v>
      </c>
    </row>
    <row r="20" customFormat="false" ht="15" hidden="false" customHeight="false" outlineLevel="0" collapsed="false">
      <c r="B20" s="44"/>
      <c r="C20" s="44"/>
      <c r="D20" s="44"/>
      <c r="E20" s="44"/>
      <c r="F20" s="44"/>
      <c r="G20" s="44"/>
      <c r="H20" s="44"/>
      <c r="I20" s="44"/>
      <c r="J20" s="44"/>
      <c r="K20" s="44"/>
      <c r="L20" s="44"/>
      <c r="M20" s="44"/>
      <c r="N20" s="44"/>
      <c r="O20" s="44"/>
      <c r="P20" s="44"/>
      <c r="Q20" s="44"/>
      <c r="R20" s="44"/>
      <c r="S20" s="44"/>
      <c r="T20" s="44"/>
      <c r="U20" s="44"/>
      <c r="V20" s="44"/>
      <c r="W20" s="44"/>
      <c r="X20" s="44"/>
      <c r="Y20" s="44"/>
      <c r="Z20" s="44"/>
      <c r="AB20" s="37" t="str">
        <f aca="false">TRIM($A20&amp;"")</f>
        <v/>
      </c>
      <c r="AC20" s="37" t="str">
        <f aca="false">IF(AB20="","",IFERROR(INDEX('Account Map'!$B:$B,MATCH(AB20,'Account Map'!$A:$A,0)),""))</f>
        <v/>
      </c>
      <c r="AD20" s="37" t="str">
        <f aca="false">IF(AB20="","",IFERROR(INDEX('Account Map'!$C:$C,MATCH(AB20,'Account Map'!$A:$A,0)),""))</f>
        <v/>
      </c>
      <c r="AE20" s="37" t="n">
        <f aca="false">IF(AND(AB20&lt;&gt;"",AC20="",COUNT($B20:$Z20)&gt;0,LEFT(AB20,5)&lt;&gt;"Total",AB20&lt;&gt;"Gross Profit",AB20&lt;&gt;"Net Profit",AB20&lt;&gt;"Operating Profit"),1,0)</f>
        <v>0</v>
      </c>
    </row>
    <row r="21" customFormat="false" ht="15" hidden="false" customHeight="false" outlineLevel="0" collapsed="false">
      <c r="B21" s="44"/>
      <c r="C21" s="44"/>
      <c r="D21" s="44"/>
      <c r="E21" s="44"/>
      <c r="F21" s="44"/>
      <c r="G21" s="44"/>
      <c r="H21" s="44"/>
      <c r="I21" s="44"/>
      <c r="J21" s="44"/>
      <c r="K21" s="44"/>
      <c r="L21" s="44"/>
      <c r="M21" s="44"/>
      <c r="N21" s="44"/>
      <c r="O21" s="44"/>
      <c r="P21" s="44"/>
      <c r="Q21" s="44"/>
      <c r="R21" s="44"/>
      <c r="S21" s="44"/>
      <c r="T21" s="44"/>
      <c r="U21" s="44"/>
      <c r="V21" s="44"/>
      <c r="W21" s="44"/>
      <c r="X21" s="44"/>
      <c r="Y21" s="44"/>
      <c r="Z21" s="44"/>
      <c r="AB21" s="37" t="str">
        <f aca="false">TRIM($A21&amp;"")</f>
        <v/>
      </c>
      <c r="AC21" s="37" t="str">
        <f aca="false">IF(AB21="","",IFERROR(INDEX('Account Map'!$B:$B,MATCH(AB21,'Account Map'!$A:$A,0)),""))</f>
        <v/>
      </c>
      <c r="AD21" s="37" t="str">
        <f aca="false">IF(AB21="","",IFERROR(INDEX('Account Map'!$C:$C,MATCH(AB21,'Account Map'!$A:$A,0)),""))</f>
        <v/>
      </c>
      <c r="AE21" s="37" t="n">
        <f aca="false">IF(AND(AB21&lt;&gt;"",AC21="",COUNT($B21:$Z21)&gt;0,LEFT(AB21,5)&lt;&gt;"Total",AB21&lt;&gt;"Gross Profit",AB21&lt;&gt;"Net Profit",AB21&lt;&gt;"Operating Profit"),1,0)</f>
        <v>0</v>
      </c>
    </row>
    <row r="22" customFormat="false" ht="15" hidden="false" customHeight="false" outlineLevel="0" collapsed="false">
      <c r="B22" s="44"/>
      <c r="C22" s="44"/>
      <c r="D22" s="44"/>
      <c r="E22" s="44"/>
      <c r="F22" s="44"/>
      <c r="G22" s="44"/>
      <c r="H22" s="44"/>
      <c r="I22" s="44"/>
      <c r="J22" s="44"/>
      <c r="K22" s="44"/>
      <c r="L22" s="44"/>
      <c r="M22" s="44"/>
      <c r="N22" s="44"/>
      <c r="O22" s="44"/>
      <c r="P22" s="44"/>
      <c r="Q22" s="44"/>
      <c r="R22" s="44"/>
      <c r="S22" s="44"/>
      <c r="T22" s="44"/>
      <c r="U22" s="44"/>
      <c r="V22" s="44"/>
      <c r="W22" s="44"/>
      <c r="X22" s="44"/>
      <c r="Y22" s="44"/>
      <c r="Z22" s="44"/>
      <c r="AB22" s="37" t="str">
        <f aca="false">TRIM($A22&amp;"")</f>
        <v/>
      </c>
      <c r="AC22" s="37" t="str">
        <f aca="false">IF(AB22="","",IFERROR(INDEX('Account Map'!$B:$B,MATCH(AB22,'Account Map'!$A:$A,0)),""))</f>
        <v/>
      </c>
      <c r="AD22" s="37" t="str">
        <f aca="false">IF(AB22="","",IFERROR(INDEX('Account Map'!$C:$C,MATCH(AB22,'Account Map'!$A:$A,0)),""))</f>
        <v/>
      </c>
      <c r="AE22" s="37" t="n">
        <f aca="false">IF(AND(AB22&lt;&gt;"",AC22="",COUNT($B22:$Z22)&gt;0,LEFT(AB22,5)&lt;&gt;"Total",AB22&lt;&gt;"Gross Profit",AB22&lt;&gt;"Net Profit",AB22&lt;&gt;"Operating Profit"),1,0)</f>
        <v>0</v>
      </c>
    </row>
    <row r="23" customFormat="false" ht="15" hidden="false" customHeight="false" outlineLevel="0" collapsed="false">
      <c r="B23" s="44"/>
      <c r="C23" s="44"/>
      <c r="D23" s="44"/>
      <c r="E23" s="44"/>
      <c r="F23" s="44"/>
      <c r="G23" s="44"/>
      <c r="H23" s="44"/>
      <c r="I23" s="44"/>
      <c r="J23" s="44"/>
      <c r="K23" s="44"/>
      <c r="L23" s="44"/>
      <c r="M23" s="44"/>
      <c r="N23" s="44"/>
      <c r="O23" s="44"/>
      <c r="P23" s="44"/>
      <c r="Q23" s="44"/>
      <c r="R23" s="44"/>
      <c r="S23" s="44"/>
      <c r="T23" s="44"/>
      <c r="U23" s="44"/>
      <c r="V23" s="44"/>
      <c r="W23" s="44"/>
      <c r="X23" s="44"/>
      <c r="Y23" s="44"/>
      <c r="Z23" s="44"/>
      <c r="AB23" s="37" t="str">
        <f aca="false">TRIM($A23&amp;"")</f>
        <v/>
      </c>
      <c r="AC23" s="37" t="str">
        <f aca="false">IF(AB23="","",IFERROR(INDEX('Account Map'!$B:$B,MATCH(AB23,'Account Map'!$A:$A,0)),""))</f>
        <v/>
      </c>
      <c r="AD23" s="37" t="str">
        <f aca="false">IF(AB23="","",IFERROR(INDEX('Account Map'!$C:$C,MATCH(AB23,'Account Map'!$A:$A,0)),""))</f>
        <v/>
      </c>
      <c r="AE23" s="37" t="n">
        <f aca="false">IF(AND(AB23&lt;&gt;"",AC23="",COUNT($B23:$Z23)&gt;0,LEFT(AB23,5)&lt;&gt;"Total",AB23&lt;&gt;"Gross Profit",AB23&lt;&gt;"Net Profit",AB23&lt;&gt;"Operating Profit"),1,0)</f>
        <v>0</v>
      </c>
    </row>
    <row r="24" customFormat="false" ht="15" hidden="false" customHeight="false" outlineLevel="0" collapsed="false">
      <c r="B24" s="44"/>
      <c r="C24" s="44"/>
      <c r="D24" s="44"/>
      <c r="E24" s="44"/>
      <c r="F24" s="44"/>
      <c r="G24" s="44"/>
      <c r="H24" s="44"/>
      <c r="I24" s="44"/>
      <c r="J24" s="44"/>
      <c r="K24" s="44"/>
      <c r="L24" s="44"/>
      <c r="M24" s="44"/>
      <c r="N24" s="44"/>
      <c r="O24" s="44"/>
      <c r="P24" s="44"/>
      <c r="Q24" s="44"/>
      <c r="R24" s="44"/>
      <c r="S24" s="44"/>
      <c r="T24" s="44"/>
      <c r="U24" s="44"/>
      <c r="V24" s="44"/>
      <c r="W24" s="44"/>
      <c r="X24" s="44"/>
      <c r="Y24" s="44"/>
      <c r="Z24" s="44"/>
      <c r="AB24" s="37" t="str">
        <f aca="false">TRIM($A24&amp;"")</f>
        <v/>
      </c>
      <c r="AC24" s="37" t="str">
        <f aca="false">IF(AB24="","",IFERROR(INDEX('Account Map'!$B:$B,MATCH(AB24,'Account Map'!$A:$A,0)),""))</f>
        <v/>
      </c>
      <c r="AD24" s="37" t="str">
        <f aca="false">IF(AB24="","",IFERROR(INDEX('Account Map'!$C:$C,MATCH(AB24,'Account Map'!$A:$A,0)),""))</f>
        <v/>
      </c>
      <c r="AE24" s="37" t="n">
        <f aca="false">IF(AND(AB24&lt;&gt;"",AC24="",COUNT($B24:$Z24)&gt;0,LEFT(AB24,5)&lt;&gt;"Total",AB24&lt;&gt;"Gross Profit",AB24&lt;&gt;"Net Profit",AB24&lt;&gt;"Operating Profit"),1,0)</f>
        <v>0</v>
      </c>
    </row>
    <row r="25" customFormat="false" ht="15" hidden="false" customHeight="false" outlineLevel="0" collapsed="false">
      <c r="B25" s="44"/>
      <c r="C25" s="44"/>
      <c r="D25" s="44"/>
      <c r="E25" s="44"/>
      <c r="F25" s="44"/>
      <c r="G25" s="44"/>
      <c r="H25" s="44"/>
      <c r="I25" s="44"/>
      <c r="J25" s="44"/>
      <c r="K25" s="44"/>
      <c r="L25" s="44"/>
      <c r="M25" s="44"/>
      <c r="N25" s="44"/>
      <c r="O25" s="44"/>
      <c r="P25" s="44"/>
      <c r="Q25" s="44"/>
      <c r="R25" s="44"/>
      <c r="S25" s="44"/>
      <c r="T25" s="44"/>
      <c r="U25" s="44"/>
      <c r="V25" s="44"/>
      <c r="W25" s="44"/>
      <c r="X25" s="44"/>
      <c r="Y25" s="44"/>
      <c r="Z25" s="44"/>
      <c r="AB25" s="37" t="str">
        <f aca="false">TRIM($A25&amp;"")</f>
        <v/>
      </c>
      <c r="AC25" s="37" t="str">
        <f aca="false">IF(AB25="","",IFERROR(INDEX('Account Map'!$B:$B,MATCH(AB25,'Account Map'!$A:$A,0)),""))</f>
        <v/>
      </c>
      <c r="AD25" s="37" t="str">
        <f aca="false">IF(AB25="","",IFERROR(INDEX('Account Map'!$C:$C,MATCH(AB25,'Account Map'!$A:$A,0)),""))</f>
        <v/>
      </c>
      <c r="AE25" s="37" t="n">
        <f aca="false">IF(AND(AB25&lt;&gt;"",AC25="",COUNT($B25:$Z25)&gt;0,LEFT(AB25,5)&lt;&gt;"Total",AB25&lt;&gt;"Gross Profit",AB25&lt;&gt;"Net Profit",AB25&lt;&gt;"Operating Profit"),1,0)</f>
        <v>0</v>
      </c>
    </row>
    <row r="26" customFormat="false" ht="15" hidden="false" customHeight="false" outlineLevel="0" collapsed="false">
      <c r="B26" s="44"/>
      <c r="C26" s="44"/>
      <c r="D26" s="44"/>
      <c r="E26" s="44"/>
      <c r="F26" s="44"/>
      <c r="G26" s="44"/>
      <c r="H26" s="44"/>
      <c r="I26" s="44"/>
      <c r="J26" s="44"/>
      <c r="K26" s="44"/>
      <c r="L26" s="44"/>
      <c r="M26" s="44"/>
      <c r="N26" s="44"/>
      <c r="O26" s="44"/>
      <c r="P26" s="44"/>
      <c r="Q26" s="44"/>
      <c r="R26" s="44"/>
      <c r="S26" s="44"/>
      <c r="T26" s="44"/>
      <c r="U26" s="44"/>
      <c r="V26" s="44"/>
      <c r="W26" s="44"/>
      <c r="X26" s="44"/>
      <c r="Y26" s="44"/>
      <c r="Z26" s="44"/>
      <c r="AB26" s="37" t="str">
        <f aca="false">TRIM($A26&amp;"")</f>
        <v/>
      </c>
      <c r="AC26" s="37" t="str">
        <f aca="false">IF(AB26="","",IFERROR(INDEX('Account Map'!$B:$B,MATCH(AB26,'Account Map'!$A:$A,0)),""))</f>
        <v/>
      </c>
      <c r="AD26" s="37" t="str">
        <f aca="false">IF(AB26="","",IFERROR(INDEX('Account Map'!$C:$C,MATCH(AB26,'Account Map'!$A:$A,0)),""))</f>
        <v/>
      </c>
      <c r="AE26" s="37" t="n">
        <f aca="false">IF(AND(AB26&lt;&gt;"",AC26="",COUNT($B26:$Z26)&gt;0,LEFT(AB26,5)&lt;&gt;"Total",AB26&lt;&gt;"Gross Profit",AB26&lt;&gt;"Net Profit",AB26&lt;&gt;"Operating Profit"),1,0)</f>
        <v>0</v>
      </c>
    </row>
    <row r="27" customFormat="false" ht="15" hidden="false" customHeight="false" outlineLevel="0" collapsed="false">
      <c r="B27" s="44"/>
      <c r="C27" s="44"/>
      <c r="D27" s="44"/>
      <c r="E27" s="44"/>
      <c r="F27" s="44"/>
      <c r="G27" s="44"/>
      <c r="H27" s="44"/>
      <c r="I27" s="44"/>
      <c r="J27" s="44"/>
      <c r="K27" s="44"/>
      <c r="L27" s="44"/>
      <c r="M27" s="44"/>
      <c r="N27" s="44"/>
      <c r="O27" s="44"/>
      <c r="P27" s="44"/>
      <c r="Q27" s="44"/>
      <c r="R27" s="44"/>
      <c r="S27" s="44"/>
      <c r="T27" s="44"/>
      <c r="U27" s="44"/>
      <c r="V27" s="44"/>
      <c r="W27" s="44"/>
      <c r="X27" s="44"/>
      <c r="Y27" s="44"/>
      <c r="Z27" s="44"/>
      <c r="AB27" s="37" t="str">
        <f aca="false">TRIM($A27&amp;"")</f>
        <v/>
      </c>
      <c r="AC27" s="37" t="str">
        <f aca="false">IF(AB27="","",IFERROR(INDEX('Account Map'!$B:$B,MATCH(AB27,'Account Map'!$A:$A,0)),""))</f>
        <v/>
      </c>
      <c r="AD27" s="37" t="str">
        <f aca="false">IF(AB27="","",IFERROR(INDEX('Account Map'!$C:$C,MATCH(AB27,'Account Map'!$A:$A,0)),""))</f>
        <v/>
      </c>
      <c r="AE27" s="37" t="n">
        <f aca="false">IF(AND(AB27&lt;&gt;"",AC27="",COUNT($B27:$Z27)&gt;0,LEFT(AB27,5)&lt;&gt;"Total",AB27&lt;&gt;"Gross Profit",AB27&lt;&gt;"Net Profit",AB27&lt;&gt;"Operating Profit"),1,0)</f>
        <v>0</v>
      </c>
    </row>
    <row r="28" customFormat="false" ht="15" hidden="false" customHeight="false" outlineLevel="0" collapsed="false">
      <c r="B28" s="44"/>
      <c r="C28" s="44"/>
      <c r="D28" s="44"/>
      <c r="E28" s="44"/>
      <c r="F28" s="44"/>
      <c r="G28" s="44"/>
      <c r="H28" s="44"/>
      <c r="I28" s="44"/>
      <c r="J28" s="44"/>
      <c r="K28" s="44"/>
      <c r="L28" s="44"/>
      <c r="M28" s="44"/>
      <c r="N28" s="44"/>
      <c r="O28" s="44"/>
      <c r="P28" s="44"/>
      <c r="Q28" s="44"/>
      <c r="R28" s="44"/>
      <c r="S28" s="44"/>
      <c r="T28" s="44"/>
      <c r="U28" s="44"/>
      <c r="V28" s="44"/>
      <c r="W28" s="44"/>
      <c r="X28" s="44"/>
      <c r="Y28" s="44"/>
      <c r="Z28" s="44"/>
      <c r="AB28" s="37" t="str">
        <f aca="false">TRIM($A28&amp;"")</f>
        <v/>
      </c>
      <c r="AC28" s="37" t="str">
        <f aca="false">IF(AB28="","",IFERROR(INDEX('Account Map'!$B:$B,MATCH(AB28,'Account Map'!$A:$A,0)),""))</f>
        <v/>
      </c>
      <c r="AD28" s="37" t="str">
        <f aca="false">IF(AB28="","",IFERROR(INDEX('Account Map'!$C:$C,MATCH(AB28,'Account Map'!$A:$A,0)),""))</f>
        <v/>
      </c>
      <c r="AE28" s="37" t="n">
        <f aca="false">IF(AND(AB28&lt;&gt;"",AC28="",COUNT($B28:$Z28)&gt;0,LEFT(AB28,5)&lt;&gt;"Total",AB28&lt;&gt;"Gross Profit",AB28&lt;&gt;"Net Profit",AB28&lt;&gt;"Operating Profit"),1,0)</f>
        <v>0</v>
      </c>
    </row>
    <row r="29" customFormat="false" ht="15" hidden="false" customHeight="false" outlineLevel="0" collapsed="false">
      <c r="B29" s="44"/>
      <c r="C29" s="44"/>
      <c r="D29" s="44"/>
      <c r="E29" s="44"/>
      <c r="F29" s="44"/>
      <c r="G29" s="44"/>
      <c r="H29" s="44"/>
      <c r="I29" s="44"/>
      <c r="J29" s="44"/>
      <c r="K29" s="44"/>
      <c r="L29" s="44"/>
      <c r="M29" s="44"/>
      <c r="N29" s="44"/>
      <c r="O29" s="44"/>
      <c r="P29" s="44"/>
      <c r="Q29" s="44"/>
      <c r="R29" s="44"/>
      <c r="S29" s="44"/>
      <c r="T29" s="44"/>
      <c r="U29" s="44"/>
      <c r="V29" s="44"/>
      <c r="W29" s="44"/>
      <c r="X29" s="44"/>
      <c r="Y29" s="44"/>
      <c r="Z29" s="44"/>
      <c r="AB29" s="37" t="str">
        <f aca="false">TRIM($A29&amp;"")</f>
        <v/>
      </c>
      <c r="AC29" s="37" t="str">
        <f aca="false">IF(AB29="","",IFERROR(INDEX('Account Map'!$B:$B,MATCH(AB29,'Account Map'!$A:$A,0)),""))</f>
        <v/>
      </c>
      <c r="AD29" s="37" t="str">
        <f aca="false">IF(AB29="","",IFERROR(INDEX('Account Map'!$C:$C,MATCH(AB29,'Account Map'!$A:$A,0)),""))</f>
        <v/>
      </c>
      <c r="AE29" s="37" t="n">
        <f aca="false">IF(AND(AB29&lt;&gt;"",AC29="",COUNT($B29:$Z29)&gt;0,LEFT(AB29,5)&lt;&gt;"Total",AB29&lt;&gt;"Gross Profit",AB29&lt;&gt;"Net Profit",AB29&lt;&gt;"Operating Profit"),1,0)</f>
        <v>0</v>
      </c>
    </row>
    <row r="30" customFormat="false" ht="15" hidden="false" customHeight="false" outlineLevel="0" collapsed="false">
      <c r="B30" s="44"/>
      <c r="C30" s="44"/>
      <c r="D30" s="44"/>
      <c r="E30" s="44"/>
      <c r="F30" s="44"/>
      <c r="G30" s="44"/>
      <c r="H30" s="44"/>
      <c r="I30" s="44"/>
      <c r="J30" s="44"/>
      <c r="K30" s="44"/>
      <c r="L30" s="44"/>
      <c r="M30" s="44"/>
      <c r="N30" s="44"/>
      <c r="O30" s="44"/>
      <c r="P30" s="44"/>
      <c r="Q30" s="44"/>
      <c r="R30" s="44"/>
      <c r="S30" s="44"/>
      <c r="T30" s="44"/>
      <c r="U30" s="44"/>
      <c r="V30" s="44"/>
      <c r="W30" s="44"/>
      <c r="X30" s="44"/>
      <c r="Y30" s="44"/>
      <c r="Z30" s="44"/>
      <c r="AB30" s="37" t="str">
        <f aca="false">TRIM($A30&amp;"")</f>
        <v/>
      </c>
      <c r="AC30" s="37" t="str">
        <f aca="false">IF(AB30="","",IFERROR(INDEX('Account Map'!$B:$B,MATCH(AB30,'Account Map'!$A:$A,0)),""))</f>
        <v/>
      </c>
      <c r="AD30" s="37" t="str">
        <f aca="false">IF(AB30="","",IFERROR(INDEX('Account Map'!$C:$C,MATCH(AB30,'Account Map'!$A:$A,0)),""))</f>
        <v/>
      </c>
      <c r="AE30" s="37" t="n">
        <f aca="false">IF(AND(AB30&lt;&gt;"",AC30="",COUNT($B30:$Z30)&gt;0,LEFT(AB30,5)&lt;&gt;"Total",AB30&lt;&gt;"Gross Profit",AB30&lt;&gt;"Net Profit",AB30&lt;&gt;"Operating Profit"),1,0)</f>
        <v>0</v>
      </c>
    </row>
    <row r="31" customFormat="false" ht="15" hidden="false" customHeight="false" outlineLevel="0" collapsed="false">
      <c r="B31" s="44"/>
      <c r="C31" s="44"/>
      <c r="D31" s="44"/>
      <c r="E31" s="44"/>
      <c r="F31" s="44"/>
      <c r="G31" s="44"/>
      <c r="H31" s="44"/>
      <c r="I31" s="44"/>
      <c r="J31" s="44"/>
      <c r="K31" s="44"/>
      <c r="L31" s="44"/>
      <c r="M31" s="44"/>
      <c r="N31" s="44"/>
      <c r="O31" s="44"/>
      <c r="P31" s="44"/>
      <c r="Q31" s="44"/>
      <c r="R31" s="44"/>
      <c r="S31" s="44"/>
      <c r="T31" s="44"/>
      <c r="U31" s="44"/>
      <c r="V31" s="44"/>
      <c r="W31" s="44"/>
      <c r="X31" s="44"/>
      <c r="Y31" s="44"/>
      <c r="Z31" s="44"/>
      <c r="AB31" s="37" t="str">
        <f aca="false">TRIM($A31&amp;"")</f>
        <v/>
      </c>
      <c r="AC31" s="37" t="str">
        <f aca="false">IF(AB31="","",IFERROR(INDEX('Account Map'!$B:$B,MATCH(AB31,'Account Map'!$A:$A,0)),""))</f>
        <v/>
      </c>
      <c r="AD31" s="37" t="str">
        <f aca="false">IF(AB31="","",IFERROR(INDEX('Account Map'!$C:$C,MATCH(AB31,'Account Map'!$A:$A,0)),""))</f>
        <v/>
      </c>
      <c r="AE31" s="37" t="n">
        <f aca="false">IF(AND(AB31&lt;&gt;"",AC31="",COUNT($B31:$Z31)&gt;0,LEFT(AB31,5)&lt;&gt;"Total",AB31&lt;&gt;"Gross Profit",AB31&lt;&gt;"Net Profit",AB31&lt;&gt;"Operating Profit"),1,0)</f>
        <v>0</v>
      </c>
    </row>
    <row r="32" customFormat="false" ht="15" hidden="false" customHeight="false" outlineLevel="0" collapsed="false">
      <c r="B32" s="44"/>
      <c r="C32" s="44"/>
      <c r="D32" s="44"/>
      <c r="E32" s="44"/>
      <c r="F32" s="44"/>
      <c r="G32" s="44"/>
      <c r="H32" s="44"/>
      <c r="I32" s="44"/>
      <c r="J32" s="44"/>
      <c r="K32" s="44"/>
      <c r="L32" s="44"/>
      <c r="M32" s="44"/>
      <c r="N32" s="44"/>
      <c r="O32" s="44"/>
      <c r="P32" s="44"/>
      <c r="Q32" s="44"/>
      <c r="R32" s="44"/>
      <c r="S32" s="44"/>
      <c r="T32" s="44"/>
      <c r="U32" s="44"/>
      <c r="V32" s="44"/>
      <c r="W32" s="44"/>
      <c r="X32" s="44"/>
      <c r="Y32" s="44"/>
      <c r="Z32" s="44"/>
      <c r="AB32" s="37" t="str">
        <f aca="false">TRIM($A32&amp;"")</f>
        <v/>
      </c>
      <c r="AC32" s="37" t="str">
        <f aca="false">IF(AB32="","",IFERROR(INDEX('Account Map'!$B:$B,MATCH(AB32,'Account Map'!$A:$A,0)),""))</f>
        <v/>
      </c>
      <c r="AD32" s="37" t="str">
        <f aca="false">IF(AB32="","",IFERROR(INDEX('Account Map'!$C:$C,MATCH(AB32,'Account Map'!$A:$A,0)),""))</f>
        <v/>
      </c>
      <c r="AE32" s="37" t="n">
        <f aca="false">IF(AND(AB32&lt;&gt;"",AC32="",COUNT($B32:$Z32)&gt;0,LEFT(AB32,5)&lt;&gt;"Total",AB32&lt;&gt;"Gross Profit",AB32&lt;&gt;"Net Profit",AB32&lt;&gt;"Operating Profit"),1,0)</f>
        <v>0</v>
      </c>
    </row>
    <row r="33" customFormat="false" ht="15" hidden="false" customHeight="false" outlineLevel="0" collapsed="false">
      <c r="B33" s="44"/>
      <c r="C33" s="44"/>
      <c r="D33" s="44"/>
      <c r="E33" s="44"/>
      <c r="F33" s="44"/>
      <c r="G33" s="44"/>
      <c r="H33" s="44"/>
      <c r="I33" s="44"/>
      <c r="J33" s="44"/>
      <c r="K33" s="44"/>
      <c r="L33" s="44"/>
      <c r="M33" s="44"/>
      <c r="N33" s="44"/>
      <c r="O33" s="44"/>
      <c r="P33" s="44"/>
      <c r="Q33" s="44"/>
      <c r="R33" s="44"/>
      <c r="S33" s="44"/>
      <c r="T33" s="44"/>
      <c r="U33" s="44"/>
      <c r="V33" s="44"/>
      <c r="W33" s="44"/>
      <c r="X33" s="44"/>
      <c r="Y33" s="44"/>
      <c r="Z33" s="44"/>
      <c r="AB33" s="37" t="str">
        <f aca="false">TRIM($A33&amp;"")</f>
        <v/>
      </c>
      <c r="AC33" s="37" t="str">
        <f aca="false">IF(AB33="","",IFERROR(INDEX('Account Map'!$B:$B,MATCH(AB33,'Account Map'!$A:$A,0)),""))</f>
        <v/>
      </c>
      <c r="AD33" s="37" t="str">
        <f aca="false">IF(AB33="","",IFERROR(INDEX('Account Map'!$C:$C,MATCH(AB33,'Account Map'!$A:$A,0)),""))</f>
        <v/>
      </c>
      <c r="AE33" s="37" t="n">
        <f aca="false">IF(AND(AB33&lt;&gt;"",AC33="",COUNT($B33:$Z33)&gt;0,LEFT(AB33,5)&lt;&gt;"Total",AB33&lt;&gt;"Gross Profit",AB33&lt;&gt;"Net Profit",AB33&lt;&gt;"Operating Profit"),1,0)</f>
        <v>0</v>
      </c>
    </row>
    <row r="34" customFormat="false" ht="15" hidden="false" customHeight="false" outlineLevel="0" collapsed="false">
      <c r="B34" s="44"/>
      <c r="C34" s="44"/>
      <c r="D34" s="44"/>
      <c r="E34" s="44"/>
      <c r="F34" s="44"/>
      <c r="G34" s="44"/>
      <c r="H34" s="44"/>
      <c r="I34" s="44"/>
      <c r="J34" s="44"/>
      <c r="K34" s="44"/>
      <c r="L34" s="44"/>
      <c r="M34" s="44"/>
      <c r="N34" s="44"/>
      <c r="O34" s="44"/>
      <c r="P34" s="44"/>
      <c r="Q34" s="44"/>
      <c r="R34" s="44"/>
      <c r="S34" s="44"/>
      <c r="T34" s="44"/>
      <c r="U34" s="44"/>
      <c r="V34" s="44"/>
      <c r="W34" s="44"/>
      <c r="X34" s="44"/>
      <c r="Y34" s="44"/>
      <c r="Z34" s="44"/>
      <c r="AB34" s="37" t="str">
        <f aca="false">TRIM($A34&amp;"")</f>
        <v/>
      </c>
      <c r="AC34" s="37" t="str">
        <f aca="false">IF(AB34="","",IFERROR(INDEX('Account Map'!$B:$B,MATCH(AB34,'Account Map'!$A:$A,0)),""))</f>
        <v/>
      </c>
      <c r="AD34" s="37" t="str">
        <f aca="false">IF(AB34="","",IFERROR(INDEX('Account Map'!$C:$C,MATCH(AB34,'Account Map'!$A:$A,0)),""))</f>
        <v/>
      </c>
      <c r="AE34" s="37" t="n">
        <f aca="false">IF(AND(AB34&lt;&gt;"",AC34="",COUNT($B34:$Z34)&gt;0,LEFT(AB34,5)&lt;&gt;"Total",AB34&lt;&gt;"Gross Profit",AB34&lt;&gt;"Net Profit",AB34&lt;&gt;"Operating Profit"),1,0)</f>
        <v>0</v>
      </c>
    </row>
    <row r="35" customFormat="false" ht="15" hidden="false" customHeight="false" outlineLevel="0" collapsed="false">
      <c r="B35" s="44"/>
      <c r="C35" s="44"/>
      <c r="D35" s="44"/>
      <c r="E35" s="44"/>
      <c r="F35" s="44"/>
      <c r="G35" s="44"/>
      <c r="H35" s="44"/>
      <c r="I35" s="44"/>
      <c r="J35" s="44"/>
      <c r="K35" s="44"/>
      <c r="L35" s="44"/>
      <c r="M35" s="44"/>
      <c r="N35" s="44"/>
      <c r="O35" s="44"/>
      <c r="P35" s="44"/>
      <c r="Q35" s="44"/>
      <c r="R35" s="44"/>
      <c r="S35" s="44"/>
      <c r="T35" s="44"/>
      <c r="U35" s="44"/>
      <c r="V35" s="44"/>
      <c r="W35" s="44"/>
      <c r="X35" s="44"/>
      <c r="Y35" s="44"/>
      <c r="Z35" s="44"/>
      <c r="AB35" s="37" t="str">
        <f aca="false">TRIM($A35&amp;"")</f>
        <v/>
      </c>
      <c r="AC35" s="37" t="str">
        <f aca="false">IF(AB35="","",IFERROR(INDEX('Account Map'!$B:$B,MATCH(AB35,'Account Map'!$A:$A,0)),""))</f>
        <v/>
      </c>
      <c r="AD35" s="37" t="str">
        <f aca="false">IF(AB35="","",IFERROR(INDEX('Account Map'!$C:$C,MATCH(AB35,'Account Map'!$A:$A,0)),""))</f>
        <v/>
      </c>
      <c r="AE35" s="37" t="n">
        <f aca="false">IF(AND(AB35&lt;&gt;"",AC35="",COUNT($B35:$Z35)&gt;0,LEFT(AB35,5)&lt;&gt;"Total",AB35&lt;&gt;"Gross Profit",AB35&lt;&gt;"Net Profit",AB35&lt;&gt;"Operating Profit"),1,0)</f>
        <v>0</v>
      </c>
    </row>
    <row r="36" customFormat="false" ht="15" hidden="false" customHeight="false" outlineLevel="0" collapsed="false">
      <c r="B36" s="44"/>
      <c r="C36" s="44"/>
      <c r="D36" s="44"/>
      <c r="E36" s="44"/>
      <c r="F36" s="44"/>
      <c r="G36" s="44"/>
      <c r="H36" s="44"/>
      <c r="I36" s="44"/>
      <c r="J36" s="44"/>
      <c r="K36" s="44"/>
      <c r="L36" s="44"/>
      <c r="M36" s="44"/>
      <c r="N36" s="44"/>
      <c r="O36" s="44"/>
      <c r="P36" s="44"/>
      <c r="Q36" s="44"/>
      <c r="R36" s="44"/>
      <c r="S36" s="44"/>
      <c r="T36" s="44"/>
      <c r="U36" s="44"/>
      <c r="V36" s="44"/>
      <c r="W36" s="44"/>
      <c r="X36" s="44"/>
      <c r="Y36" s="44"/>
      <c r="Z36" s="44"/>
      <c r="AB36" s="37" t="str">
        <f aca="false">TRIM($A36&amp;"")</f>
        <v/>
      </c>
      <c r="AC36" s="37" t="str">
        <f aca="false">IF(AB36="","",IFERROR(INDEX('Account Map'!$B:$B,MATCH(AB36,'Account Map'!$A:$A,0)),""))</f>
        <v/>
      </c>
      <c r="AD36" s="37" t="str">
        <f aca="false">IF(AB36="","",IFERROR(INDEX('Account Map'!$C:$C,MATCH(AB36,'Account Map'!$A:$A,0)),""))</f>
        <v/>
      </c>
      <c r="AE36" s="37" t="n">
        <f aca="false">IF(AND(AB36&lt;&gt;"",AC36="",COUNT($B36:$Z36)&gt;0,LEFT(AB36,5)&lt;&gt;"Total",AB36&lt;&gt;"Gross Profit",AB36&lt;&gt;"Net Profit",AB36&lt;&gt;"Operating Profit"),1,0)</f>
        <v>0</v>
      </c>
    </row>
    <row r="37" customFormat="false" ht="15" hidden="false" customHeight="false" outlineLevel="0" collapsed="false">
      <c r="B37" s="44"/>
      <c r="C37" s="44"/>
      <c r="D37" s="44"/>
      <c r="E37" s="44"/>
      <c r="F37" s="44"/>
      <c r="G37" s="44"/>
      <c r="H37" s="44"/>
      <c r="I37" s="44"/>
      <c r="J37" s="44"/>
      <c r="K37" s="44"/>
      <c r="L37" s="44"/>
      <c r="M37" s="44"/>
      <c r="N37" s="44"/>
      <c r="O37" s="44"/>
      <c r="P37" s="44"/>
      <c r="Q37" s="44"/>
      <c r="R37" s="44"/>
      <c r="S37" s="44"/>
      <c r="T37" s="44"/>
      <c r="U37" s="44"/>
      <c r="V37" s="44"/>
      <c r="W37" s="44"/>
      <c r="X37" s="44"/>
      <c r="Y37" s="44"/>
      <c r="Z37" s="44"/>
      <c r="AB37" s="37" t="str">
        <f aca="false">TRIM($A37&amp;"")</f>
        <v/>
      </c>
      <c r="AC37" s="37" t="str">
        <f aca="false">IF(AB37="","",IFERROR(INDEX('Account Map'!$B:$B,MATCH(AB37,'Account Map'!$A:$A,0)),""))</f>
        <v/>
      </c>
      <c r="AD37" s="37" t="str">
        <f aca="false">IF(AB37="","",IFERROR(INDEX('Account Map'!$C:$C,MATCH(AB37,'Account Map'!$A:$A,0)),""))</f>
        <v/>
      </c>
      <c r="AE37" s="37" t="n">
        <f aca="false">IF(AND(AB37&lt;&gt;"",AC37="",COUNT($B37:$Z37)&gt;0,LEFT(AB37,5)&lt;&gt;"Total",AB37&lt;&gt;"Gross Profit",AB37&lt;&gt;"Net Profit",AB37&lt;&gt;"Operating Profit"),1,0)</f>
        <v>0</v>
      </c>
    </row>
    <row r="38" customFormat="false" ht="15" hidden="false" customHeight="false" outlineLevel="0" collapsed="false">
      <c r="B38" s="44"/>
      <c r="C38" s="44"/>
      <c r="D38" s="44"/>
      <c r="E38" s="44"/>
      <c r="F38" s="44"/>
      <c r="G38" s="44"/>
      <c r="H38" s="44"/>
      <c r="I38" s="44"/>
      <c r="J38" s="44"/>
      <c r="K38" s="44"/>
      <c r="L38" s="44"/>
      <c r="M38" s="44"/>
      <c r="N38" s="44"/>
      <c r="O38" s="44"/>
      <c r="P38" s="44"/>
      <c r="Q38" s="44"/>
      <c r="R38" s="44"/>
      <c r="S38" s="44"/>
      <c r="T38" s="44"/>
      <c r="U38" s="44"/>
      <c r="V38" s="44"/>
      <c r="W38" s="44"/>
      <c r="X38" s="44"/>
      <c r="Y38" s="44"/>
      <c r="Z38" s="44"/>
      <c r="AB38" s="37" t="str">
        <f aca="false">TRIM($A38&amp;"")</f>
        <v/>
      </c>
      <c r="AC38" s="37" t="str">
        <f aca="false">IF(AB38="","",IFERROR(INDEX('Account Map'!$B:$B,MATCH(AB38,'Account Map'!$A:$A,0)),""))</f>
        <v/>
      </c>
      <c r="AD38" s="37" t="str">
        <f aca="false">IF(AB38="","",IFERROR(INDEX('Account Map'!$C:$C,MATCH(AB38,'Account Map'!$A:$A,0)),""))</f>
        <v/>
      </c>
      <c r="AE38" s="37" t="n">
        <f aca="false">IF(AND(AB38&lt;&gt;"",AC38="",COUNT($B38:$Z38)&gt;0,LEFT(AB38,5)&lt;&gt;"Total",AB38&lt;&gt;"Gross Profit",AB38&lt;&gt;"Net Profit",AB38&lt;&gt;"Operating Profit"),1,0)</f>
        <v>0</v>
      </c>
    </row>
    <row r="39" customFormat="false" ht="15" hidden="false" customHeight="false" outlineLevel="0" collapsed="false">
      <c r="B39" s="44"/>
      <c r="C39" s="44"/>
      <c r="D39" s="44"/>
      <c r="E39" s="44"/>
      <c r="F39" s="44"/>
      <c r="G39" s="44"/>
      <c r="H39" s="44"/>
      <c r="I39" s="44"/>
      <c r="J39" s="44"/>
      <c r="K39" s="44"/>
      <c r="L39" s="44"/>
      <c r="M39" s="44"/>
      <c r="N39" s="44"/>
      <c r="O39" s="44"/>
      <c r="P39" s="44"/>
      <c r="Q39" s="44"/>
      <c r="R39" s="44"/>
      <c r="S39" s="44"/>
      <c r="T39" s="44"/>
      <c r="U39" s="44"/>
      <c r="V39" s="44"/>
      <c r="W39" s="44"/>
      <c r="X39" s="44"/>
      <c r="Y39" s="44"/>
      <c r="Z39" s="44"/>
      <c r="AB39" s="37" t="str">
        <f aca="false">TRIM($A39&amp;"")</f>
        <v/>
      </c>
      <c r="AC39" s="37" t="str">
        <f aca="false">IF(AB39="","",IFERROR(INDEX('Account Map'!$B:$B,MATCH(AB39,'Account Map'!$A:$A,0)),""))</f>
        <v/>
      </c>
      <c r="AD39" s="37" t="str">
        <f aca="false">IF(AB39="","",IFERROR(INDEX('Account Map'!$C:$C,MATCH(AB39,'Account Map'!$A:$A,0)),""))</f>
        <v/>
      </c>
      <c r="AE39" s="37" t="n">
        <f aca="false">IF(AND(AB39&lt;&gt;"",AC39="",COUNT($B39:$Z39)&gt;0,LEFT(AB39,5)&lt;&gt;"Total",AB39&lt;&gt;"Gross Profit",AB39&lt;&gt;"Net Profit",AB39&lt;&gt;"Operating Profit"),1,0)</f>
        <v>0</v>
      </c>
    </row>
    <row r="40" customFormat="false" ht="15" hidden="false" customHeight="false" outlineLevel="0" collapsed="false">
      <c r="B40" s="44"/>
      <c r="C40" s="44"/>
      <c r="D40" s="44"/>
      <c r="E40" s="44"/>
      <c r="F40" s="44"/>
      <c r="G40" s="44"/>
      <c r="H40" s="44"/>
      <c r="I40" s="44"/>
      <c r="J40" s="44"/>
      <c r="K40" s="44"/>
      <c r="L40" s="44"/>
      <c r="M40" s="44"/>
      <c r="N40" s="44"/>
      <c r="O40" s="44"/>
      <c r="P40" s="44"/>
      <c r="Q40" s="44"/>
      <c r="R40" s="44"/>
      <c r="S40" s="44"/>
      <c r="T40" s="44"/>
      <c r="U40" s="44"/>
      <c r="V40" s="44"/>
      <c r="W40" s="44"/>
      <c r="X40" s="44"/>
      <c r="Y40" s="44"/>
      <c r="Z40" s="44"/>
      <c r="AB40" s="37" t="str">
        <f aca="false">TRIM($A40&amp;"")</f>
        <v/>
      </c>
      <c r="AC40" s="37" t="str">
        <f aca="false">IF(AB40="","",IFERROR(INDEX('Account Map'!$B:$B,MATCH(AB40,'Account Map'!$A:$A,0)),""))</f>
        <v/>
      </c>
      <c r="AD40" s="37" t="str">
        <f aca="false">IF(AB40="","",IFERROR(INDEX('Account Map'!$C:$C,MATCH(AB40,'Account Map'!$A:$A,0)),""))</f>
        <v/>
      </c>
      <c r="AE40" s="37" t="n">
        <f aca="false">IF(AND(AB40&lt;&gt;"",AC40="",COUNT($B40:$Z40)&gt;0,LEFT(AB40,5)&lt;&gt;"Total",AB40&lt;&gt;"Gross Profit",AB40&lt;&gt;"Net Profit",AB40&lt;&gt;"Operating Profit"),1,0)</f>
        <v>0</v>
      </c>
    </row>
    <row r="41" customFormat="false" ht="15" hidden="false" customHeight="false" outlineLevel="0" collapsed="false">
      <c r="B41" s="44"/>
      <c r="C41" s="44"/>
      <c r="D41" s="44"/>
      <c r="E41" s="44"/>
      <c r="F41" s="44"/>
      <c r="G41" s="44"/>
      <c r="H41" s="44"/>
      <c r="I41" s="44"/>
      <c r="J41" s="44"/>
      <c r="K41" s="44"/>
      <c r="L41" s="44"/>
      <c r="M41" s="44"/>
      <c r="N41" s="44"/>
      <c r="O41" s="44"/>
      <c r="P41" s="44"/>
      <c r="Q41" s="44"/>
      <c r="R41" s="44"/>
      <c r="S41" s="44"/>
      <c r="T41" s="44"/>
      <c r="U41" s="44"/>
      <c r="V41" s="44"/>
      <c r="W41" s="44"/>
      <c r="X41" s="44"/>
      <c r="Y41" s="44"/>
      <c r="Z41" s="44"/>
      <c r="AB41" s="37" t="str">
        <f aca="false">TRIM($A41&amp;"")</f>
        <v/>
      </c>
      <c r="AC41" s="37" t="str">
        <f aca="false">IF(AB41="","",IFERROR(INDEX('Account Map'!$B:$B,MATCH(AB41,'Account Map'!$A:$A,0)),""))</f>
        <v/>
      </c>
      <c r="AD41" s="37" t="str">
        <f aca="false">IF(AB41="","",IFERROR(INDEX('Account Map'!$C:$C,MATCH(AB41,'Account Map'!$A:$A,0)),""))</f>
        <v/>
      </c>
      <c r="AE41" s="37" t="n">
        <f aca="false">IF(AND(AB41&lt;&gt;"",AC41="",COUNT($B41:$Z41)&gt;0,LEFT(AB41,5)&lt;&gt;"Total",AB41&lt;&gt;"Gross Profit",AB41&lt;&gt;"Net Profit",AB41&lt;&gt;"Operating Profit"),1,0)</f>
        <v>0</v>
      </c>
    </row>
    <row r="42" customFormat="false" ht="15" hidden="false" customHeight="false" outlineLevel="0" collapsed="false">
      <c r="B42" s="44"/>
      <c r="C42" s="44"/>
      <c r="D42" s="44"/>
      <c r="E42" s="44"/>
      <c r="F42" s="44"/>
      <c r="G42" s="44"/>
      <c r="H42" s="44"/>
      <c r="I42" s="44"/>
      <c r="J42" s="44"/>
      <c r="K42" s="44"/>
      <c r="L42" s="44"/>
      <c r="M42" s="44"/>
      <c r="N42" s="44"/>
      <c r="O42" s="44"/>
      <c r="P42" s="44"/>
      <c r="Q42" s="44"/>
      <c r="R42" s="44"/>
      <c r="S42" s="44"/>
      <c r="T42" s="44"/>
      <c r="U42" s="44"/>
      <c r="V42" s="44"/>
      <c r="W42" s="44"/>
      <c r="X42" s="44"/>
      <c r="Y42" s="44"/>
      <c r="Z42" s="44"/>
      <c r="AB42" s="37" t="str">
        <f aca="false">TRIM($A42&amp;"")</f>
        <v/>
      </c>
      <c r="AC42" s="37" t="str">
        <f aca="false">IF(AB42="","",IFERROR(INDEX('Account Map'!$B:$B,MATCH(AB42,'Account Map'!$A:$A,0)),""))</f>
        <v/>
      </c>
      <c r="AD42" s="37" t="str">
        <f aca="false">IF(AB42="","",IFERROR(INDEX('Account Map'!$C:$C,MATCH(AB42,'Account Map'!$A:$A,0)),""))</f>
        <v/>
      </c>
      <c r="AE42" s="37" t="n">
        <f aca="false">IF(AND(AB42&lt;&gt;"",AC42="",COUNT($B42:$Z42)&gt;0,LEFT(AB42,5)&lt;&gt;"Total",AB42&lt;&gt;"Gross Profit",AB42&lt;&gt;"Net Profit",AB42&lt;&gt;"Operating Profit"),1,0)</f>
        <v>0</v>
      </c>
    </row>
    <row r="43" customFormat="false" ht="15" hidden="false" customHeight="false" outlineLevel="0" collapsed="false">
      <c r="B43" s="44"/>
      <c r="C43" s="44"/>
      <c r="D43" s="44"/>
      <c r="E43" s="44"/>
      <c r="F43" s="44"/>
      <c r="G43" s="44"/>
      <c r="H43" s="44"/>
      <c r="I43" s="44"/>
      <c r="J43" s="44"/>
      <c r="K43" s="44"/>
      <c r="L43" s="44"/>
      <c r="M43" s="44"/>
      <c r="N43" s="44"/>
      <c r="O43" s="44"/>
      <c r="P43" s="44"/>
      <c r="Q43" s="44"/>
      <c r="R43" s="44"/>
      <c r="S43" s="44"/>
      <c r="T43" s="44"/>
      <c r="U43" s="44"/>
      <c r="V43" s="44"/>
      <c r="W43" s="44"/>
      <c r="X43" s="44"/>
      <c r="Y43" s="44"/>
      <c r="Z43" s="44"/>
      <c r="AB43" s="37" t="str">
        <f aca="false">TRIM($A43&amp;"")</f>
        <v/>
      </c>
      <c r="AC43" s="37" t="str">
        <f aca="false">IF(AB43="","",IFERROR(INDEX('Account Map'!$B:$B,MATCH(AB43,'Account Map'!$A:$A,0)),""))</f>
        <v/>
      </c>
      <c r="AD43" s="37" t="str">
        <f aca="false">IF(AB43="","",IFERROR(INDEX('Account Map'!$C:$C,MATCH(AB43,'Account Map'!$A:$A,0)),""))</f>
        <v/>
      </c>
      <c r="AE43" s="37" t="n">
        <f aca="false">IF(AND(AB43&lt;&gt;"",AC43="",COUNT($B43:$Z43)&gt;0,LEFT(AB43,5)&lt;&gt;"Total",AB43&lt;&gt;"Gross Profit",AB43&lt;&gt;"Net Profit",AB43&lt;&gt;"Operating Profit"),1,0)</f>
        <v>0</v>
      </c>
    </row>
    <row r="44" customFormat="false" ht="15" hidden="false" customHeight="false" outlineLevel="0" collapsed="false">
      <c r="B44" s="44"/>
      <c r="C44" s="44"/>
      <c r="D44" s="44"/>
      <c r="E44" s="44"/>
      <c r="F44" s="44"/>
      <c r="G44" s="44"/>
      <c r="H44" s="44"/>
      <c r="I44" s="44"/>
      <c r="J44" s="44"/>
      <c r="K44" s="44"/>
      <c r="L44" s="44"/>
      <c r="M44" s="44"/>
      <c r="N44" s="44"/>
      <c r="O44" s="44"/>
      <c r="P44" s="44"/>
      <c r="Q44" s="44"/>
      <c r="R44" s="44"/>
      <c r="S44" s="44"/>
      <c r="T44" s="44"/>
      <c r="U44" s="44"/>
      <c r="V44" s="44"/>
      <c r="W44" s="44"/>
      <c r="X44" s="44"/>
      <c r="Y44" s="44"/>
      <c r="Z44" s="44"/>
      <c r="AB44" s="37" t="str">
        <f aca="false">TRIM($A44&amp;"")</f>
        <v/>
      </c>
      <c r="AC44" s="37" t="str">
        <f aca="false">IF(AB44="","",IFERROR(INDEX('Account Map'!$B:$B,MATCH(AB44,'Account Map'!$A:$A,0)),""))</f>
        <v/>
      </c>
      <c r="AD44" s="37" t="str">
        <f aca="false">IF(AB44="","",IFERROR(INDEX('Account Map'!$C:$C,MATCH(AB44,'Account Map'!$A:$A,0)),""))</f>
        <v/>
      </c>
      <c r="AE44" s="37" t="n">
        <f aca="false">IF(AND(AB44&lt;&gt;"",AC44="",COUNT($B44:$Z44)&gt;0,LEFT(AB44,5)&lt;&gt;"Total",AB44&lt;&gt;"Gross Profit",AB44&lt;&gt;"Net Profit",AB44&lt;&gt;"Operating Profit"),1,0)</f>
        <v>0</v>
      </c>
    </row>
    <row r="45" customFormat="false" ht="15" hidden="false" customHeight="false" outlineLevel="0" collapsed="false">
      <c r="B45" s="44"/>
      <c r="C45" s="44"/>
      <c r="D45" s="44"/>
      <c r="E45" s="44"/>
      <c r="F45" s="44"/>
      <c r="G45" s="44"/>
      <c r="H45" s="44"/>
      <c r="I45" s="44"/>
      <c r="J45" s="44"/>
      <c r="K45" s="44"/>
      <c r="L45" s="44"/>
      <c r="M45" s="44"/>
      <c r="N45" s="44"/>
      <c r="O45" s="44"/>
      <c r="P45" s="44"/>
      <c r="Q45" s="44"/>
      <c r="R45" s="44"/>
      <c r="S45" s="44"/>
      <c r="T45" s="44"/>
      <c r="U45" s="44"/>
      <c r="V45" s="44"/>
      <c r="W45" s="44"/>
      <c r="X45" s="44"/>
      <c r="Y45" s="44"/>
      <c r="Z45" s="44"/>
      <c r="AB45" s="37" t="str">
        <f aca="false">TRIM($A45&amp;"")</f>
        <v/>
      </c>
      <c r="AC45" s="37" t="str">
        <f aca="false">IF(AB45="","",IFERROR(INDEX('Account Map'!$B:$B,MATCH(AB45,'Account Map'!$A:$A,0)),""))</f>
        <v/>
      </c>
      <c r="AD45" s="37" t="str">
        <f aca="false">IF(AB45="","",IFERROR(INDEX('Account Map'!$C:$C,MATCH(AB45,'Account Map'!$A:$A,0)),""))</f>
        <v/>
      </c>
      <c r="AE45" s="37" t="n">
        <f aca="false">IF(AND(AB45&lt;&gt;"",AC45="",COUNT($B45:$Z45)&gt;0,LEFT(AB45,5)&lt;&gt;"Total",AB45&lt;&gt;"Gross Profit",AB45&lt;&gt;"Net Profit",AB45&lt;&gt;"Operating Profit"),1,0)</f>
        <v>0</v>
      </c>
    </row>
    <row r="46" customFormat="false" ht="15" hidden="false" customHeight="false" outlineLevel="0" collapsed="false">
      <c r="B46" s="44"/>
      <c r="C46" s="44"/>
      <c r="D46" s="44"/>
      <c r="E46" s="44"/>
      <c r="F46" s="44"/>
      <c r="G46" s="44"/>
      <c r="H46" s="44"/>
      <c r="I46" s="44"/>
      <c r="J46" s="44"/>
      <c r="K46" s="44"/>
      <c r="L46" s="44"/>
      <c r="M46" s="44"/>
      <c r="N46" s="44"/>
      <c r="O46" s="44"/>
      <c r="P46" s="44"/>
      <c r="Q46" s="44"/>
      <c r="R46" s="44"/>
      <c r="S46" s="44"/>
      <c r="T46" s="44"/>
      <c r="U46" s="44"/>
      <c r="V46" s="44"/>
      <c r="W46" s="44"/>
      <c r="X46" s="44"/>
      <c r="Y46" s="44"/>
      <c r="Z46" s="44"/>
      <c r="AB46" s="37" t="str">
        <f aca="false">TRIM($A46&amp;"")</f>
        <v/>
      </c>
      <c r="AC46" s="37" t="str">
        <f aca="false">IF(AB46="","",IFERROR(INDEX('Account Map'!$B:$B,MATCH(AB46,'Account Map'!$A:$A,0)),""))</f>
        <v/>
      </c>
      <c r="AD46" s="37" t="str">
        <f aca="false">IF(AB46="","",IFERROR(INDEX('Account Map'!$C:$C,MATCH(AB46,'Account Map'!$A:$A,0)),""))</f>
        <v/>
      </c>
      <c r="AE46" s="37" t="n">
        <f aca="false">IF(AND(AB46&lt;&gt;"",AC46="",COUNT($B46:$Z46)&gt;0,LEFT(AB46,5)&lt;&gt;"Total",AB46&lt;&gt;"Gross Profit",AB46&lt;&gt;"Net Profit",AB46&lt;&gt;"Operating Profit"),1,0)</f>
        <v>0</v>
      </c>
    </row>
    <row r="47" customFormat="false" ht="15" hidden="false" customHeight="false" outlineLevel="0" collapsed="false">
      <c r="B47" s="44"/>
      <c r="C47" s="44"/>
      <c r="D47" s="44"/>
      <c r="E47" s="44"/>
      <c r="F47" s="44"/>
      <c r="G47" s="44"/>
      <c r="H47" s="44"/>
      <c r="I47" s="44"/>
      <c r="J47" s="44"/>
      <c r="K47" s="44"/>
      <c r="L47" s="44"/>
      <c r="M47" s="44"/>
      <c r="N47" s="44"/>
      <c r="O47" s="44"/>
      <c r="P47" s="44"/>
      <c r="Q47" s="44"/>
      <c r="R47" s="44"/>
      <c r="S47" s="44"/>
      <c r="T47" s="44"/>
      <c r="U47" s="44"/>
      <c r="V47" s="44"/>
      <c r="W47" s="44"/>
      <c r="X47" s="44"/>
      <c r="Y47" s="44"/>
      <c r="Z47" s="44"/>
      <c r="AB47" s="37" t="str">
        <f aca="false">TRIM($A47&amp;"")</f>
        <v/>
      </c>
      <c r="AC47" s="37" t="str">
        <f aca="false">IF(AB47="","",IFERROR(INDEX('Account Map'!$B:$B,MATCH(AB47,'Account Map'!$A:$A,0)),""))</f>
        <v/>
      </c>
      <c r="AD47" s="37" t="str">
        <f aca="false">IF(AB47="","",IFERROR(INDEX('Account Map'!$C:$C,MATCH(AB47,'Account Map'!$A:$A,0)),""))</f>
        <v/>
      </c>
      <c r="AE47" s="37" t="n">
        <f aca="false">IF(AND(AB47&lt;&gt;"",AC47="",COUNT($B47:$Z47)&gt;0,LEFT(AB47,5)&lt;&gt;"Total",AB47&lt;&gt;"Gross Profit",AB47&lt;&gt;"Net Profit",AB47&lt;&gt;"Operating Profit"),1,0)</f>
        <v>0</v>
      </c>
    </row>
    <row r="48" customFormat="false" ht="15" hidden="false" customHeight="false" outlineLevel="0" collapsed="false">
      <c r="B48" s="44"/>
      <c r="C48" s="44"/>
      <c r="D48" s="44"/>
      <c r="E48" s="44"/>
      <c r="F48" s="44"/>
      <c r="G48" s="44"/>
      <c r="H48" s="44"/>
      <c r="I48" s="44"/>
      <c r="J48" s="44"/>
      <c r="K48" s="44"/>
      <c r="L48" s="44"/>
      <c r="M48" s="44"/>
      <c r="N48" s="44"/>
      <c r="O48" s="44"/>
      <c r="P48" s="44"/>
      <c r="Q48" s="44"/>
      <c r="R48" s="44"/>
      <c r="S48" s="44"/>
      <c r="T48" s="44"/>
      <c r="U48" s="44"/>
      <c r="V48" s="44"/>
      <c r="W48" s="44"/>
      <c r="X48" s="44"/>
      <c r="Y48" s="44"/>
      <c r="Z48" s="44"/>
      <c r="AB48" s="37" t="str">
        <f aca="false">TRIM($A48&amp;"")</f>
        <v/>
      </c>
      <c r="AC48" s="37" t="str">
        <f aca="false">IF(AB48="","",IFERROR(INDEX('Account Map'!$B:$B,MATCH(AB48,'Account Map'!$A:$A,0)),""))</f>
        <v/>
      </c>
      <c r="AD48" s="37" t="str">
        <f aca="false">IF(AB48="","",IFERROR(INDEX('Account Map'!$C:$C,MATCH(AB48,'Account Map'!$A:$A,0)),""))</f>
        <v/>
      </c>
      <c r="AE48" s="37" t="n">
        <f aca="false">IF(AND(AB48&lt;&gt;"",AC48="",COUNT($B48:$Z48)&gt;0,LEFT(AB48,5)&lt;&gt;"Total",AB48&lt;&gt;"Gross Profit",AB48&lt;&gt;"Net Profit",AB48&lt;&gt;"Operating Profit"),1,0)</f>
        <v>0</v>
      </c>
    </row>
    <row r="49" customFormat="false" ht="15" hidden="false" customHeight="false" outlineLevel="0" collapsed="false">
      <c r="B49" s="44"/>
      <c r="C49" s="44"/>
      <c r="D49" s="44"/>
      <c r="E49" s="44"/>
      <c r="F49" s="44"/>
      <c r="G49" s="44"/>
      <c r="H49" s="44"/>
      <c r="I49" s="44"/>
      <c r="J49" s="44"/>
      <c r="K49" s="44"/>
      <c r="L49" s="44"/>
      <c r="M49" s="44"/>
      <c r="N49" s="44"/>
      <c r="O49" s="44"/>
      <c r="P49" s="44"/>
      <c r="Q49" s="44"/>
      <c r="R49" s="44"/>
      <c r="S49" s="44"/>
      <c r="T49" s="44"/>
      <c r="U49" s="44"/>
      <c r="V49" s="44"/>
      <c r="W49" s="44"/>
      <c r="X49" s="44"/>
      <c r="Y49" s="44"/>
      <c r="Z49" s="44"/>
      <c r="AB49" s="37" t="str">
        <f aca="false">TRIM($A49&amp;"")</f>
        <v/>
      </c>
      <c r="AC49" s="37" t="str">
        <f aca="false">IF(AB49="","",IFERROR(INDEX('Account Map'!$B:$B,MATCH(AB49,'Account Map'!$A:$A,0)),""))</f>
        <v/>
      </c>
      <c r="AD49" s="37" t="str">
        <f aca="false">IF(AB49="","",IFERROR(INDEX('Account Map'!$C:$C,MATCH(AB49,'Account Map'!$A:$A,0)),""))</f>
        <v/>
      </c>
      <c r="AE49" s="37" t="n">
        <f aca="false">IF(AND(AB49&lt;&gt;"",AC49="",COUNT($B49:$Z49)&gt;0,LEFT(AB49,5)&lt;&gt;"Total",AB49&lt;&gt;"Gross Profit",AB49&lt;&gt;"Net Profit",AB49&lt;&gt;"Operating Profit"),1,0)</f>
        <v>0</v>
      </c>
    </row>
    <row r="50" customFormat="false" ht="15" hidden="false" customHeight="false" outlineLevel="0" collapsed="false">
      <c r="B50" s="44"/>
      <c r="C50" s="44"/>
      <c r="D50" s="44"/>
      <c r="E50" s="44"/>
      <c r="F50" s="44"/>
      <c r="G50" s="44"/>
      <c r="H50" s="44"/>
      <c r="I50" s="44"/>
      <c r="J50" s="44"/>
      <c r="K50" s="44"/>
      <c r="L50" s="44"/>
      <c r="M50" s="44"/>
      <c r="N50" s="44"/>
      <c r="O50" s="44"/>
      <c r="P50" s="44"/>
      <c r="Q50" s="44"/>
      <c r="R50" s="44"/>
      <c r="S50" s="44"/>
      <c r="T50" s="44"/>
      <c r="U50" s="44"/>
      <c r="V50" s="44"/>
      <c r="W50" s="44"/>
      <c r="X50" s="44"/>
      <c r="Y50" s="44"/>
      <c r="Z50" s="44"/>
      <c r="AB50" s="37" t="str">
        <f aca="false">TRIM($A50&amp;"")</f>
        <v/>
      </c>
      <c r="AC50" s="37" t="str">
        <f aca="false">IF(AB50="","",IFERROR(INDEX('Account Map'!$B:$B,MATCH(AB50,'Account Map'!$A:$A,0)),""))</f>
        <v/>
      </c>
      <c r="AD50" s="37" t="str">
        <f aca="false">IF(AB50="","",IFERROR(INDEX('Account Map'!$C:$C,MATCH(AB50,'Account Map'!$A:$A,0)),""))</f>
        <v/>
      </c>
      <c r="AE50" s="37" t="n">
        <f aca="false">IF(AND(AB50&lt;&gt;"",AC50="",COUNT($B50:$Z50)&gt;0,LEFT(AB50,5)&lt;&gt;"Total",AB50&lt;&gt;"Gross Profit",AB50&lt;&gt;"Net Profit",AB50&lt;&gt;"Operating Profit"),1,0)</f>
        <v>0</v>
      </c>
    </row>
    <row r="51" customFormat="false" ht="15" hidden="false" customHeight="false" outlineLevel="0" collapsed="false">
      <c r="B51" s="44"/>
      <c r="C51" s="44"/>
      <c r="D51" s="44"/>
      <c r="E51" s="44"/>
      <c r="F51" s="44"/>
      <c r="G51" s="44"/>
      <c r="H51" s="44"/>
      <c r="I51" s="44"/>
      <c r="J51" s="44"/>
      <c r="K51" s="44"/>
      <c r="L51" s="44"/>
      <c r="M51" s="44"/>
      <c r="N51" s="44"/>
      <c r="O51" s="44"/>
      <c r="P51" s="44"/>
      <c r="Q51" s="44"/>
      <c r="R51" s="44"/>
      <c r="S51" s="44"/>
      <c r="T51" s="44"/>
      <c r="U51" s="44"/>
      <c r="V51" s="44"/>
      <c r="W51" s="44"/>
      <c r="X51" s="44"/>
      <c r="Y51" s="44"/>
      <c r="Z51" s="44"/>
      <c r="AB51" s="37" t="str">
        <f aca="false">TRIM($A51&amp;"")</f>
        <v/>
      </c>
      <c r="AC51" s="37" t="str">
        <f aca="false">IF(AB51="","",IFERROR(INDEX('Account Map'!$B:$B,MATCH(AB51,'Account Map'!$A:$A,0)),""))</f>
        <v/>
      </c>
      <c r="AD51" s="37" t="str">
        <f aca="false">IF(AB51="","",IFERROR(INDEX('Account Map'!$C:$C,MATCH(AB51,'Account Map'!$A:$A,0)),""))</f>
        <v/>
      </c>
      <c r="AE51" s="37" t="n">
        <f aca="false">IF(AND(AB51&lt;&gt;"",AC51="",COUNT($B51:$Z51)&gt;0,LEFT(AB51,5)&lt;&gt;"Total",AB51&lt;&gt;"Gross Profit",AB51&lt;&gt;"Net Profit",AB51&lt;&gt;"Operating Profit"),1,0)</f>
        <v>0</v>
      </c>
    </row>
    <row r="52" customFormat="false" ht="15" hidden="false" customHeight="false" outlineLevel="0" collapsed="false">
      <c r="B52" s="44"/>
      <c r="C52" s="44"/>
      <c r="D52" s="44"/>
      <c r="E52" s="44"/>
      <c r="F52" s="44"/>
      <c r="G52" s="44"/>
      <c r="H52" s="44"/>
      <c r="I52" s="44"/>
      <c r="J52" s="44"/>
      <c r="K52" s="44"/>
      <c r="L52" s="44"/>
      <c r="M52" s="44"/>
      <c r="N52" s="44"/>
      <c r="O52" s="44"/>
      <c r="P52" s="44"/>
      <c r="Q52" s="44"/>
      <c r="R52" s="44"/>
      <c r="S52" s="44"/>
      <c r="T52" s="44"/>
      <c r="U52" s="44"/>
      <c r="V52" s="44"/>
      <c r="W52" s="44"/>
      <c r="X52" s="44"/>
      <c r="Y52" s="44"/>
      <c r="Z52" s="44"/>
      <c r="AB52" s="37" t="str">
        <f aca="false">TRIM($A52&amp;"")</f>
        <v/>
      </c>
      <c r="AC52" s="37" t="str">
        <f aca="false">IF(AB52="","",IFERROR(INDEX('Account Map'!$B:$B,MATCH(AB52,'Account Map'!$A:$A,0)),""))</f>
        <v/>
      </c>
      <c r="AD52" s="37" t="str">
        <f aca="false">IF(AB52="","",IFERROR(INDEX('Account Map'!$C:$C,MATCH(AB52,'Account Map'!$A:$A,0)),""))</f>
        <v/>
      </c>
      <c r="AE52" s="37" t="n">
        <f aca="false">IF(AND(AB52&lt;&gt;"",AC52="",COUNT($B52:$Z52)&gt;0,LEFT(AB52,5)&lt;&gt;"Total",AB52&lt;&gt;"Gross Profit",AB52&lt;&gt;"Net Profit",AB52&lt;&gt;"Operating Profit"),1,0)</f>
        <v>0</v>
      </c>
    </row>
    <row r="53" customFormat="false" ht="15" hidden="false" customHeight="false" outlineLevel="0" collapsed="false">
      <c r="B53" s="44"/>
      <c r="C53" s="44"/>
      <c r="D53" s="44"/>
      <c r="E53" s="44"/>
      <c r="F53" s="44"/>
      <c r="G53" s="44"/>
      <c r="H53" s="44"/>
      <c r="I53" s="44"/>
      <c r="J53" s="44"/>
      <c r="K53" s="44"/>
      <c r="L53" s="44"/>
      <c r="M53" s="44"/>
      <c r="N53" s="44"/>
      <c r="O53" s="44"/>
      <c r="P53" s="44"/>
      <c r="Q53" s="44"/>
      <c r="R53" s="44"/>
      <c r="S53" s="44"/>
      <c r="T53" s="44"/>
      <c r="U53" s="44"/>
      <c r="V53" s="44"/>
      <c r="W53" s="44"/>
      <c r="X53" s="44"/>
      <c r="Y53" s="44"/>
      <c r="Z53" s="44"/>
      <c r="AB53" s="37" t="str">
        <f aca="false">TRIM($A53&amp;"")</f>
        <v/>
      </c>
      <c r="AC53" s="37" t="str">
        <f aca="false">IF(AB53="","",IFERROR(INDEX('Account Map'!$B:$B,MATCH(AB53,'Account Map'!$A:$A,0)),""))</f>
        <v/>
      </c>
      <c r="AD53" s="37" t="str">
        <f aca="false">IF(AB53="","",IFERROR(INDEX('Account Map'!$C:$C,MATCH(AB53,'Account Map'!$A:$A,0)),""))</f>
        <v/>
      </c>
      <c r="AE53" s="37" t="n">
        <f aca="false">IF(AND(AB53&lt;&gt;"",AC53="",COUNT($B53:$Z53)&gt;0,LEFT(AB53,5)&lt;&gt;"Total",AB53&lt;&gt;"Gross Profit",AB53&lt;&gt;"Net Profit",AB53&lt;&gt;"Operating Profit"),1,0)</f>
        <v>0</v>
      </c>
    </row>
    <row r="54" customFormat="false" ht="15" hidden="false" customHeight="false" outlineLevel="0" collapsed="false">
      <c r="B54" s="44"/>
      <c r="C54" s="44"/>
      <c r="D54" s="44"/>
      <c r="E54" s="44"/>
      <c r="F54" s="44"/>
      <c r="G54" s="44"/>
      <c r="H54" s="44"/>
      <c r="I54" s="44"/>
      <c r="J54" s="44"/>
      <c r="K54" s="44"/>
      <c r="L54" s="44"/>
      <c r="M54" s="44"/>
      <c r="N54" s="44"/>
      <c r="O54" s="44"/>
      <c r="P54" s="44"/>
      <c r="Q54" s="44"/>
      <c r="R54" s="44"/>
      <c r="S54" s="44"/>
      <c r="T54" s="44"/>
      <c r="U54" s="44"/>
      <c r="V54" s="44"/>
      <c r="W54" s="44"/>
      <c r="X54" s="44"/>
      <c r="Y54" s="44"/>
      <c r="Z54" s="44"/>
      <c r="AB54" s="37" t="str">
        <f aca="false">TRIM($A54&amp;"")</f>
        <v/>
      </c>
      <c r="AC54" s="37" t="str">
        <f aca="false">IF(AB54="","",IFERROR(INDEX('Account Map'!$B:$B,MATCH(AB54,'Account Map'!$A:$A,0)),""))</f>
        <v/>
      </c>
      <c r="AD54" s="37" t="str">
        <f aca="false">IF(AB54="","",IFERROR(INDEX('Account Map'!$C:$C,MATCH(AB54,'Account Map'!$A:$A,0)),""))</f>
        <v/>
      </c>
      <c r="AE54" s="37" t="n">
        <f aca="false">IF(AND(AB54&lt;&gt;"",AC54="",COUNT($B54:$Z54)&gt;0,LEFT(AB54,5)&lt;&gt;"Total",AB54&lt;&gt;"Gross Profit",AB54&lt;&gt;"Net Profit",AB54&lt;&gt;"Operating Profit"),1,0)</f>
        <v>0</v>
      </c>
    </row>
    <row r="55" customFormat="false" ht="15" hidden="false" customHeight="false" outlineLevel="0" collapsed="false">
      <c r="B55" s="44"/>
      <c r="C55" s="44"/>
      <c r="D55" s="44"/>
      <c r="E55" s="44"/>
      <c r="F55" s="44"/>
      <c r="G55" s="44"/>
      <c r="H55" s="44"/>
      <c r="I55" s="44"/>
      <c r="J55" s="44"/>
      <c r="K55" s="44"/>
      <c r="L55" s="44"/>
      <c r="M55" s="44"/>
      <c r="N55" s="44"/>
      <c r="O55" s="44"/>
      <c r="P55" s="44"/>
      <c r="Q55" s="44"/>
      <c r="R55" s="44"/>
      <c r="S55" s="44"/>
      <c r="T55" s="44"/>
      <c r="U55" s="44"/>
      <c r="V55" s="44"/>
      <c r="W55" s="44"/>
      <c r="X55" s="44"/>
      <c r="Y55" s="44"/>
      <c r="Z55" s="44"/>
      <c r="AB55" s="37" t="str">
        <f aca="false">TRIM($A55&amp;"")</f>
        <v/>
      </c>
      <c r="AC55" s="37" t="str">
        <f aca="false">IF(AB55="","",IFERROR(INDEX('Account Map'!$B:$B,MATCH(AB55,'Account Map'!$A:$A,0)),""))</f>
        <v/>
      </c>
      <c r="AD55" s="37" t="str">
        <f aca="false">IF(AB55="","",IFERROR(INDEX('Account Map'!$C:$C,MATCH(AB55,'Account Map'!$A:$A,0)),""))</f>
        <v/>
      </c>
      <c r="AE55" s="37" t="n">
        <f aca="false">IF(AND(AB55&lt;&gt;"",AC55="",COUNT($B55:$Z55)&gt;0,LEFT(AB55,5)&lt;&gt;"Total",AB55&lt;&gt;"Gross Profit",AB55&lt;&gt;"Net Profit",AB55&lt;&gt;"Operating Profit"),1,0)</f>
        <v>0</v>
      </c>
    </row>
    <row r="56" customFormat="false" ht="15" hidden="false" customHeight="false" outlineLevel="0" collapsed="false">
      <c r="B56" s="44"/>
      <c r="C56" s="44"/>
      <c r="D56" s="44"/>
      <c r="E56" s="44"/>
      <c r="F56" s="44"/>
      <c r="G56" s="44"/>
      <c r="H56" s="44"/>
      <c r="I56" s="44"/>
      <c r="J56" s="44"/>
      <c r="K56" s="44"/>
      <c r="L56" s="44"/>
      <c r="M56" s="44"/>
      <c r="N56" s="44"/>
      <c r="O56" s="44"/>
      <c r="P56" s="44"/>
      <c r="Q56" s="44"/>
      <c r="R56" s="44"/>
      <c r="S56" s="44"/>
      <c r="T56" s="44"/>
      <c r="U56" s="44"/>
      <c r="V56" s="44"/>
      <c r="W56" s="44"/>
      <c r="X56" s="44"/>
      <c r="Y56" s="44"/>
      <c r="Z56" s="44"/>
      <c r="AB56" s="37" t="str">
        <f aca="false">TRIM($A56&amp;"")</f>
        <v/>
      </c>
      <c r="AC56" s="37" t="str">
        <f aca="false">IF(AB56="","",IFERROR(INDEX('Account Map'!$B:$B,MATCH(AB56,'Account Map'!$A:$A,0)),""))</f>
        <v/>
      </c>
      <c r="AD56" s="37" t="str">
        <f aca="false">IF(AB56="","",IFERROR(INDEX('Account Map'!$C:$C,MATCH(AB56,'Account Map'!$A:$A,0)),""))</f>
        <v/>
      </c>
      <c r="AE56" s="37" t="n">
        <f aca="false">IF(AND(AB56&lt;&gt;"",AC56="",COUNT($B56:$Z56)&gt;0,LEFT(AB56,5)&lt;&gt;"Total",AB56&lt;&gt;"Gross Profit",AB56&lt;&gt;"Net Profit",AB56&lt;&gt;"Operating Profit"),1,0)</f>
        <v>0</v>
      </c>
    </row>
    <row r="57" customFormat="false" ht="15" hidden="false" customHeight="false" outlineLevel="0" collapsed="false">
      <c r="B57" s="44"/>
      <c r="C57" s="44"/>
      <c r="D57" s="44"/>
      <c r="E57" s="44"/>
      <c r="F57" s="44"/>
      <c r="G57" s="44"/>
      <c r="H57" s="44"/>
      <c r="I57" s="44"/>
      <c r="J57" s="44"/>
      <c r="K57" s="44"/>
      <c r="L57" s="44"/>
      <c r="M57" s="44"/>
      <c r="N57" s="44"/>
      <c r="O57" s="44"/>
      <c r="P57" s="44"/>
      <c r="Q57" s="44"/>
      <c r="R57" s="44"/>
      <c r="S57" s="44"/>
      <c r="T57" s="44"/>
      <c r="U57" s="44"/>
      <c r="V57" s="44"/>
      <c r="W57" s="44"/>
      <c r="X57" s="44"/>
      <c r="Y57" s="44"/>
      <c r="Z57" s="44"/>
      <c r="AB57" s="37" t="str">
        <f aca="false">TRIM($A57&amp;"")</f>
        <v/>
      </c>
      <c r="AC57" s="37" t="str">
        <f aca="false">IF(AB57="","",IFERROR(INDEX('Account Map'!$B:$B,MATCH(AB57,'Account Map'!$A:$A,0)),""))</f>
        <v/>
      </c>
      <c r="AD57" s="37" t="str">
        <f aca="false">IF(AB57="","",IFERROR(INDEX('Account Map'!$C:$C,MATCH(AB57,'Account Map'!$A:$A,0)),""))</f>
        <v/>
      </c>
      <c r="AE57" s="37" t="n">
        <f aca="false">IF(AND(AB57&lt;&gt;"",AC57="",COUNT($B57:$Z57)&gt;0,LEFT(AB57,5)&lt;&gt;"Total",AB57&lt;&gt;"Gross Profit",AB57&lt;&gt;"Net Profit",AB57&lt;&gt;"Operating Profit"),1,0)</f>
        <v>0</v>
      </c>
    </row>
    <row r="58" customFormat="false" ht="15" hidden="false" customHeight="false" outlineLevel="0" collapsed="false">
      <c r="B58" s="44"/>
      <c r="C58" s="44"/>
      <c r="D58" s="44"/>
      <c r="E58" s="44"/>
      <c r="F58" s="44"/>
      <c r="G58" s="44"/>
      <c r="H58" s="44"/>
      <c r="I58" s="44"/>
      <c r="J58" s="44"/>
      <c r="K58" s="44"/>
      <c r="L58" s="44"/>
      <c r="M58" s="44"/>
      <c r="N58" s="44"/>
      <c r="O58" s="44"/>
      <c r="P58" s="44"/>
      <c r="Q58" s="44"/>
      <c r="R58" s="44"/>
      <c r="S58" s="44"/>
      <c r="T58" s="44"/>
      <c r="U58" s="44"/>
      <c r="V58" s="44"/>
      <c r="W58" s="44"/>
      <c r="X58" s="44"/>
      <c r="Y58" s="44"/>
      <c r="Z58" s="44"/>
      <c r="AB58" s="37" t="str">
        <f aca="false">TRIM($A58&amp;"")</f>
        <v/>
      </c>
      <c r="AC58" s="37" t="str">
        <f aca="false">IF(AB58="","",IFERROR(INDEX('Account Map'!$B:$B,MATCH(AB58,'Account Map'!$A:$A,0)),""))</f>
        <v/>
      </c>
      <c r="AD58" s="37" t="str">
        <f aca="false">IF(AB58="","",IFERROR(INDEX('Account Map'!$C:$C,MATCH(AB58,'Account Map'!$A:$A,0)),""))</f>
        <v/>
      </c>
      <c r="AE58" s="37" t="n">
        <f aca="false">IF(AND(AB58&lt;&gt;"",AC58="",COUNT($B58:$Z58)&gt;0,LEFT(AB58,5)&lt;&gt;"Total",AB58&lt;&gt;"Gross Profit",AB58&lt;&gt;"Net Profit",AB58&lt;&gt;"Operating Profit"),1,0)</f>
        <v>0</v>
      </c>
    </row>
    <row r="59" customFormat="false" ht="15" hidden="false" customHeight="false" outlineLevel="0" collapsed="false">
      <c r="B59" s="44"/>
      <c r="C59" s="44"/>
      <c r="D59" s="44"/>
      <c r="E59" s="44"/>
      <c r="F59" s="44"/>
      <c r="G59" s="44"/>
      <c r="H59" s="44"/>
      <c r="I59" s="44"/>
      <c r="J59" s="44"/>
      <c r="K59" s="44"/>
      <c r="L59" s="44"/>
      <c r="M59" s="44"/>
      <c r="N59" s="44"/>
      <c r="O59" s="44"/>
      <c r="P59" s="44"/>
      <c r="Q59" s="44"/>
      <c r="R59" s="44"/>
      <c r="S59" s="44"/>
      <c r="T59" s="44"/>
      <c r="U59" s="44"/>
      <c r="V59" s="44"/>
      <c r="W59" s="44"/>
      <c r="X59" s="44"/>
      <c r="Y59" s="44"/>
      <c r="Z59" s="44"/>
      <c r="AB59" s="37" t="str">
        <f aca="false">TRIM($A59&amp;"")</f>
        <v/>
      </c>
      <c r="AC59" s="37" t="str">
        <f aca="false">IF(AB59="","",IFERROR(INDEX('Account Map'!$B:$B,MATCH(AB59,'Account Map'!$A:$A,0)),""))</f>
        <v/>
      </c>
      <c r="AD59" s="37" t="str">
        <f aca="false">IF(AB59="","",IFERROR(INDEX('Account Map'!$C:$C,MATCH(AB59,'Account Map'!$A:$A,0)),""))</f>
        <v/>
      </c>
      <c r="AE59" s="37" t="n">
        <f aca="false">IF(AND(AB59&lt;&gt;"",AC59="",COUNT($B59:$Z59)&gt;0,LEFT(AB59,5)&lt;&gt;"Total",AB59&lt;&gt;"Gross Profit",AB59&lt;&gt;"Net Profit",AB59&lt;&gt;"Operating Profit"),1,0)</f>
        <v>0</v>
      </c>
    </row>
    <row r="60" customFormat="false" ht="15" hidden="false" customHeight="false" outlineLevel="0" collapsed="false">
      <c r="B60" s="44"/>
      <c r="C60" s="44"/>
      <c r="D60" s="44"/>
      <c r="E60" s="44"/>
      <c r="F60" s="44"/>
      <c r="G60" s="44"/>
      <c r="H60" s="44"/>
      <c r="I60" s="44"/>
      <c r="J60" s="44"/>
      <c r="K60" s="44"/>
      <c r="L60" s="44"/>
      <c r="M60" s="44"/>
      <c r="N60" s="44"/>
      <c r="O60" s="44"/>
      <c r="P60" s="44"/>
      <c r="Q60" s="44"/>
      <c r="R60" s="44"/>
      <c r="S60" s="44"/>
      <c r="T60" s="44"/>
      <c r="U60" s="44"/>
      <c r="V60" s="44"/>
      <c r="W60" s="44"/>
      <c r="X60" s="44"/>
      <c r="Y60" s="44"/>
      <c r="Z60" s="44"/>
      <c r="AB60" s="37" t="str">
        <f aca="false">TRIM($A60&amp;"")</f>
        <v/>
      </c>
      <c r="AC60" s="37" t="str">
        <f aca="false">IF(AB60="","",IFERROR(INDEX('Account Map'!$B:$B,MATCH(AB60,'Account Map'!$A:$A,0)),""))</f>
        <v/>
      </c>
      <c r="AD60" s="37" t="str">
        <f aca="false">IF(AB60="","",IFERROR(INDEX('Account Map'!$C:$C,MATCH(AB60,'Account Map'!$A:$A,0)),""))</f>
        <v/>
      </c>
      <c r="AE60" s="37" t="n">
        <f aca="false">IF(AND(AB60&lt;&gt;"",AC60="",COUNT($B60:$Z60)&gt;0,LEFT(AB60,5)&lt;&gt;"Total",AB60&lt;&gt;"Gross Profit",AB60&lt;&gt;"Net Profit",AB60&lt;&gt;"Operating Profit"),1,0)</f>
        <v>0</v>
      </c>
    </row>
    <row r="61" customFormat="false" ht="15" hidden="false" customHeight="false" outlineLevel="0" collapsed="false">
      <c r="B61" s="44"/>
      <c r="C61" s="44"/>
      <c r="D61" s="44"/>
      <c r="E61" s="44"/>
      <c r="F61" s="44"/>
      <c r="G61" s="44"/>
      <c r="H61" s="44"/>
      <c r="I61" s="44"/>
      <c r="J61" s="44"/>
      <c r="K61" s="44"/>
      <c r="L61" s="44"/>
      <c r="M61" s="44"/>
      <c r="N61" s="44"/>
      <c r="O61" s="44"/>
      <c r="P61" s="44"/>
      <c r="Q61" s="44"/>
      <c r="R61" s="44"/>
      <c r="S61" s="44"/>
      <c r="T61" s="44"/>
      <c r="U61" s="44"/>
      <c r="V61" s="44"/>
      <c r="W61" s="44"/>
      <c r="X61" s="44"/>
      <c r="Y61" s="44"/>
      <c r="Z61" s="44"/>
      <c r="AB61" s="37" t="str">
        <f aca="false">TRIM($A61&amp;"")</f>
        <v/>
      </c>
      <c r="AC61" s="37" t="str">
        <f aca="false">IF(AB61="","",IFERROR(INDEX('Account Map'!$B:$B,MATCH(AB61,'Account Map'!$A:$A,0)),""))</f>
        <v/>
      </c>
      <c r="AD61" s="37" t="str">
        <f aca="false">IF(AB61="","",IFERROR(INDEX('Account Map'!$C:$C,MATCH(AB61,'Account Map'!$A:$A,0)),""))</f>
        <v/>
      </c>
      <c r="AE61" s="37" t="n">
        <f aca="false">IF(AND(AB61&lt;&gt;"",AC61="",COUNT($B61:$Z61)&gt;0,LEFT(AB61,5)&lt;&gt;"Total",AB61&lt;&gt;"Gross Profit",AB61&lt;&gt;"Net Profit",AB61&lt;&gt;"Operating Profit"),1,0)</f>
        <v>0</v>
      </c>
    </row>
    <row r="62" customFormat="false" ht="15" hidden="false" customHeight="false" outlineLevel="0" collapsed="false">
      <c r="B62" s="44"/>
      <c r="C62" s="44"/>
      <c r="D62" s="44"/>
      <c r="E62" s="44"/>
      <c r="F62" s="44"/>
      <c r="G62" s="44"/>
      <c r="H62" s="44"/>
      <c r="I62" s="44"/>
      <c r="J62" s="44"/>
      <c r="K62" s="44"/>
      <c r="L62" s="44"/>
      <c r="M62" s="44"/>
      <c r="N62" s="44"/>
      <c r="O62" s="44"/>
      <c r="P62" s="44"/>
      <c r="Q62" s="44"/>
      <c r="R62" s="44"/>
      <c r="S62" s="44"/>
      <c r="T62" s="44"/>
      <c r="U62" s="44"/>
      <c r="V62" s="44"/>
      <c r="W62" s="44"/>
      <c r="X62" s="44"/>
      <c r="Y62" s="44"/>
      <c r="Z62" s="44"/>
      <c r="AB62" s="37" t="str">
        <f aca="false">TRIM($A62&amp;"")</f>
        <v/>
      </c>
      <c r="AC62" s="37" t="str">
        <f aca="false">IF(AB62="","",IFERROR(INDEX('Account Map'!$B:$B,MATCH(AB62,'Account Map'!$A:$A,0)),""))</f>
        <v/>
      </c>
      <c r="AD62" s="37" t="str">
        <f aca="false">IF(AB62="","",IFERROR(INDEX('Account Map'!$C:$C,MATCH(AB62,'Account Map'!$A:$A,0)),""))</f>
        <v/>
      </c>
      <c r="AE62" s="37" t="n">
        <f aca="false">IF(AND(AB62&lt;&gt;"",AC62="",COUNT($B62:$Z62)&gt;0,LEFT(AB62,5)&lt;&gt;"Total",AB62&lt;&gt;"Gross Profit",AB62&lt;&gt;"Net Profit",AB62&lt;&gt;"Operating Profit"),1,0)</f>
        <v>0</v>
      </c>
    </row>
    <row r="63" customFormat="false" ht="15" hidden="false" customHeight="false" outlineLevel="0" collapsed="false">
      <c r="B63" s="44"/>
      <c r="C63" s="44"/>
      <c r="D63" s="44"/>
      <c r="E63" s="44"/>
      <c r="F63" s="44"/>
      <c r="G63" s="44"/>
      <c r="H63" s="44"/>
      <c r="I63" s="44"/>
      <c r="J63" s="44"/>
      <c r="K63" s="44"/>
      <c r="L63" s="44"/>
      <c r="M63" s="44"/>
      <c r="N63" s="44"/>
      <c r="O63" s="44"/>
      <c r="P63" s="44"/>
      <c r="Q63" s="44"/>
      <c r="R63" s="44"/>
      <c r="S63" s="44"/>
      <c r="T63" s="44"/>
      <c r="U63" s="44"/>
      <c r="V63" s="44"/>
      <c r="W63" s="44"/>
      <c r="X63" s="44"/>
      <c r="Y63" s="44"/>
      <c r="Z63" s="44"/>
      <c r="AB63" s="37" t="str">
        <f aca="false">TRIM($A63&amp;"")</f>
        <v/>
      </c>
      <c r="AC63" s="37" t="str">
        <f aca="false">IF(AB63="","",IFERROR(INDEX('Account Map'!$B:$B,MATCH(AB63,'Account Map'!$A:$A,0)),""))</f>
        <v/>
      </c>
      <c r="AD63" s="37" t="str">
        <f aca="false">IF(AB63="","",IFERROR(INDEX('Account Map'!$C:$C,MATCH(AB63,'Account Map'!$A:$A,0)),""))</f>
        <v/>
      </c>
      <c r="AE63" s="37" t="n">
        <f aca="false">IF(AND(AB63&lt;&gt;"",AC63="",COUNT($B63:$Z63)&gt;0,LEFT(AB63,5)&lt;&gt;"Total",AB63&lt;&gt;"Gross Profit",AB63&lt;&gt;"Net Profit",AB63&lt;&gt;"Operating Profit"),1,0)</f>
        <v>0</v>
      </c>
    </row>
    <row r="64" customFormat="false" ht="15" hidden="false" customHeight="false" outlineLevel="0" collapsed="false">
      <c r="B64" s="44"/>
      <c r="C64" s="44"/>
      <c r="D64" s="44"/>
      <c r="E64" s="44"/>
      <c r="F64" s="44"/>
      <c r="G64" s="44"/>
      <c r="H64" s="44"/>
      <c r="I64" s="44"/>
      <c r="J64" s="44"/>
      <c r="K64" s="44"/>
      <c r="L64" s="44"/>
      <c r="M64" s="44"/>
      <c r="N64" s="44"/>
      <c r="O64" s="44"/>
      <c r="P64" s="44"/>
      <c r="Q64" s="44"/>
      <c r="R64" s="44"/>
      <c r="S64" s="44"/>
      <c r="T64" s="44"/>
      <c r="U64" s="44"/>
      <c r="V64" s="44"/>
      <c r="W64" s="44"/>
      <c r="X64" s="44"/>
      <c r="Y64" s="44"/>
      <c r="Z64" s="44"/>
      <c r="AB64" s="37" t="str">
        <f aca="false">TRIM($A64&amp;"")</f>
        <v/>
      </c>
      <c r="AC64" s="37" t="str">
        <f aca="false">IF(AB64="","",IFERROR(INDEX('Account Map'!$B:$B,MATCH(AB64,'Account Map'!$A:$A,0)),""))</f>
        <v/>
      </c>
      <c r="AD64" s="37" t="str">
        <f aca="false">IF(AB64="","",IFERROR(INDEX('Account Map'!$C:$C,MATCH(AB64,'Account Map'!$A:$A,0)),""))</f>
        <v/>
      </c>
      <c r="AE64" s="37" t="n">
        <f aca="false">IF(AND(AB64&lt;&gt;"",AC64="",COUNT($B64:$Z64)&gt;0,LEFT(AB64,5)&lt;&gt;"Total",AB64&lt;&gt;"Gross Profit",AB64&lt;&gt;"Net Profit",AB64&lt;&gt;"Operating Profit"),1,0)</f>
        <v>0</v>
      </c>
    </row>
    <row r="65" customFormat="false" ht="15" hidden="false" customHeight="false" outlineLevel="0" collapsed="false">
      <c r="B65" s="44"/>
      <c r="C65" s="44"/>
      <c r="D65" s="44"/>
      <c r="E65" s="44"/>
      <c r="F65" s="44"/>
      <c r="G65" s="44"/>
      <c r="H65" s="44"/>
      <c r="I65" s="44"/>
      <c r="J65" s="44"/>
      <c r="K65" s="44"/>
      <c r="L65" s="44"/>
      <c r="M65" s="44"/>
      <c r="N65" s="44"/>
      <c r="O65" s="44"/>
      <c r="P65" s="44"/>
      <c r="Q65" s="44"/>
      <c r="R65" s="44"/>
      <c r="S65" s="44"/>
      <c r="T65" s="44"/>
      <c r="U65" s="44"/>
      <c r="V65" s="44"/>
      <c r="W65" s="44"/>
      <c r="X65" s="44"/>
      <c r="Y65" s="44"/>
      <c r="Z65" s="44"/>
      <c r="AB65" s="37" t="str">
        <f aca="false">TRIM($A65&amp;"")</f>
        <v/>
      </c>
      <c r="AC65" s="37" t="str">
        <f aca="false">IF(AB65="","",IFERROR(INDEX('Account Map'!$B:$B,MATCH(AB65,'Account Map'!$A:$A,0)),""))</f>
        <v/>
      </c>
      <c r="AD65" s="37" t="str">
        <f aca="false">IF(AB65="","",IFERROR(INDEX('Account Map'!$C:$C,MATCH(AB65,'Account Map'!$A:$A,0)),""))</f>
        <v/>
      </c>
      <c r="AE65" s="37" t="n">
        <f aca="false">IF(AND(AB65&lt;&gt;"",AC65="",COUNT($B65:$Z65)&gt;0,LEFT(AB65,5)&lt;&gt;"Total",AB65&lt;&gt;"Gross Profit",AB65&lt;&gt;"Net Profit",AB65&lt;&gt;"Operating Profit"),1,0)</f>
        <v>0</v>
      </c>
    </row>
    <row r="66" customFormat="false" ht="15" hidden="false" customHeight="false" outlineLevel="0" collapsed="false">
      <c r="B66" s="44"/>
      <c r="C66" s="44"/>
      <c r="D66" s="44"/>
      <c r="E66" s="44"/>
      <c r="F66" s="44"/>
      <c r="G66" s="44"/>
      <c r="H66" s="44"/>
      <c r="I66" s="44"/>
      <c r="J66" s="44"/>
      <c r="K66" s="44"/>
      <c r="L66" s="44"/>
      <c r="M66" s="44"/>
      <c r="N66" s="44"/>
      <c r="O66" s="44"/>
      <c r="P66" s="44"/>
      <c r="Q66" s="44"/>
      <c r="R66" s="44"/>
      <c r="S66" s="44"/>
      <c r="T66" s="44"/>
      <c r="U66" s="44"/>
      <c r="V66" s="44"/>
      <c r="W66" s="44"/>
      <c r="X66" s="44"/>
      <c r="Y66" s="44"/>
      <c r="Z66" s="44"/>
      <c r="AB66" s="37" t="str">
        <f aca="false">TRIM($A66&amp;"")</f>
        <v/>
      </c>
      <c r="AC66" s="37" t="str">
        <f aca="false">IF(AB66="","",IFERROR(INDEX('Account Map'!$B:$B,MATCH(AB66,'Account Map'!$A:$A,0)),""))</f>
        <v/>
      </c>
      <c r="AD66" s="37" t="str">
        <f aca="false">IF(AB66="","",IFERROR(INDEX('Account Map'!$C:$C,MATCH(AB66,'Account Map'!$A:$A,0)),""))</f>
        <v/>
      </c>
      <c r="AE66" s="37" t="n">
        <f aca="false">IF(AND(AB66&lt;&gt;"",AC66="",COUNT($B66:$Z66)&gt;0,LEFT(AB66,5)&lt;&gt;"Total",AB66&lt;&gt;"Gross Profit",AB66&lt;&gt;"Net Profit",AB66&lt;&gt;"Operating Profit"),1,0)</f>
        <v>0</v>
      </c>
    </row>
    <row r="67" customFormat="false" ht="15" hidden="false" customHeight="false" outlineLevel="0" collapsed="false">
      <c r="B67" s="44"/>
      <c r="C67" s="44"/>
      <c r="D67" s="44"/>
      <c r="E67" s="44"/>
      <c r="F67" s="44"/>
      <c r="G67" s="44"/>
      <c r="H67" s="44"/>
      <c r="I67" s="44"/>
      <c r="J67" s="44"/>
      <c r="K67" s="44"/>
      <c r="L67" s="44"/>
      <c r="M67" s="44"/>
      <c r="N67" s="44"/>
      <c r="O67" s="44"/>
      <c r="P67" s="44"/>
      <c r="Q67" s="44"/>
      <c r="R67" s="44"/>
      <c r="S67" s="44"/>
      <c r="T67" s="44"/>
      <c r="U67" s="44"/>
      <c r="V67" s="44"/>
      <c r="W67" s="44"/>
      <c r="X67" s="44"/>
      <c r="Y67" s="44"/>
      <c r="Z67" s="44"/>
      <c r="AB67" s="37" t="str">
        <f aca="false">TRIM($A67&amp;"")</f>
        <v/>
      </c>
      <c r="AC67" s="37" t="str">
        <f aca="false">IF(AB67="","",IFERROR(INDEX('Account Map'!$B:$B,MATCH(AB67,'Account Map'!$A:$A,0)),""))</f>
        <v/>
      </c>
      <c r="AD67" s="37" t="str">
        <f aca="false">IF(AB67="","",IFERROR(INDEX('Account Map'!$C:$C,MATCH(AB67,'Account Map'!$A:$A,0)),""))</f>
        <v/>
      </c>
      <c r="AE67" s="37" t="n">
        <f aca="false">IF(AND(AB67&lt;&gt;"",AC67="",COUNT($B67:$Z67)&gt;0,LEFT(AB67,5)&lt;&gt;"Total",AB67&lt;&gt;"Gross Profit",AB67&lt;&gt;"Net Profit",AB67&lt;&gt;"Operating Profit"),1,0)</f>
        <v>0</v>
      </c>
    </row>
    <row r="68" customFormat="false" ht="15" hidden="false" customHeight="false" outlineLevel="0" collapsed="false">
      <c r="B68" s="44"/>
      <c r="C68" s="44"/>
      <c r="D68" s="44"/>
      <c r="E68" s="44"/>
      <c r="F68" s="44"/>
      <c r="G68" s="44"/>
      <c r="H68" s="44"/>
      <c r="I68" s="44"/>
      <c r="J68" s="44"/>
      <c r="K68" s="44"/>
      <c r="L68" s="44"/>
      <c r="M68" s="44"/>
      <c r="N68" s="44"/>
      <c r="O68" s="44"/>
      <c r="P68" s="44"/>
      <c r="Q68" s="44"/>
      <c r="R68" s="44"/>
      <c r="S68" s="44"/>
      <c r="T68" s="44"/>
      <c r="U68" s="44"/>
      <c r="V68" s="44"/>
      <c r="W68" s="44"/>
      <c r="X68" s="44"/>
      <c r="Y68" s="44"/>
      <c r="Z68" s="44"/>
      <c r="AB68" s="37" t="str">
        <f aca="false">TRIM($A68&amp;"")</f>
        <v/>
      </c>
      <c r="AC68" s="37" t="str">
        <f aca="false">IF(AB68="","",IFERROR(INDEX('Account Map'!$B:$B,MATCH(AB68,'Account Map'!$A:$A,0)),""))</f>
        <v/>
      </c>
      <c r="AD68" s="37" t="str">
        <f aca="false">IF(AB68="","",IFERROR(INDEX('Account Map'!$C:$C,MATCH(AB68,'Account Map'!$A:$A,0)),""))</f>
        <v/>
      </c>
      <c r="AE68" s="37" t="n">
        <f aca="false">IF(AND(AB68&lt;&gt;"",AC68="",COUNT($B68:$Z68)&gt;0,LEFT(AB68,5)&lt;&gt;"Total",AB68&lt;&gt;"Gross Profit",AB68&lt;&gt;"Net Profit",AB68&lt;&gt;"Operating Profit"),1,0)</f>
        <v>0</v>
      </c>
    </row>
    <row r="69" customFormat="false" ht="15" hidden="false" customHeight="false" outlineLevel="0" collapsed="false">
      <c r="B69" s="44"/>
      <c r="C69" s="44"/>
      <c r="D69" s="44"/>
      <c r="E69" s="44"/>
      <c r="F69" s="44"/>
      <c r="G69" s="44"/>
      <c r="H69" s="44"/>
      <c r="I69" s="44"/>
      <c r="J69" s="44"/>
      <c r="K69" s="44"/>
      <c r="L69" s="44"/>
      <c r="M69" s="44"/>
      <c r="N69" s="44"/>
      <c r="O69" s="44"/>
      <c r="P69" s="44"/>
      <c r="Q69" s="44"/>
      <c r="R69" s="44"/>
      <c r="S69" s="44"/>
      <c r="T69" s="44"/>
      <c r="U69" s="44"/>
      <c r="V69" s="44"/>
      <c r="W69" s="44"/>
      <c r="X69" s="44"/>
      <c r="Y69" s="44"/>
      <c r="Z69" s="44"/>
      <c r="AB69" s="37" t="str">
        <f aca="false">TRIM($A69&amp;"")</f>
        <v/>
      </c>
      <c r="AC69" s="37" t="str">
        <f aca="false">IF(AB69="","",IFERROR(INDEX('Account Map'!$B:$B,MATCH(AB69,'Account Map'!$A:$A,0)),""))</f>
        <v/>
      </c>
      <c r="AD69" s="37" t="str">
        <f aca="false">IF(AB69="","",IFERROR(INDEX('Account Map'!$C:$C,MATCH(AB69,'Account Map'!$A:$A,0)),""))</f>
        <v/>
      </c>
      <c r="AE69" s="37" t="n">
        <f aca="false">IF(AND(AB69&lt;&gt;"",AC69="",COUNT($B69:$Z69)&gt;0,LEFT(AB69,5)&lt;&gt;"Total",AB69&lt;&gt;"Gross Profit",AB69&lt;&gt;"Net Profit",AB69&lt;&gt;"Operating Profit"),1,0)</f>
        <v>0</v>
      </c>
    </row>
    <row r="70" customFormat="false" ht="15" hidden="false" customHeight="false" outlineLevel="0" collapsed="false">
      <c r="B70" s="44"/>
      <c r="C70" s="44"/>
      <c r="D70" s="44"/>
      <c r="E70" s="44"/>
      <c r="F70" s="44"/>
      <c r="G70" s="44"/>
      <c r="H70" s="44"/>
      <c r="I70" s="44"/>
      <c r="J70" s="44"/>
      <c r="K70" s="44"/>
      <c r="L70" s="44"/>
      <c r="M70" s="44"/>
      <c r="N70" s="44"/>
      <c r="O70" s="44"/>
      <c r="P70" s="44"/>
      <c r="Q70" s="44"/>
      <c r="R70" s="44"/>
      <c r="S70" s="44"/>
      <c r="T70" s="44"/>
      <c r="U70" s="44"/>
      <c r="V70" s="44"/>
      <c r="W70" s="44"/>
      <c r="X70" s="44"/>
      <c r="Y70" s="44"/>
      <c r="Z70" s="44"/>
      <c r="AB70" s="37" t="str">
        <f aca="false">TRIM($A70&amp;"")</f>
        <v/>
      </c>
      <c r="AC70" s="37" t="str">
        <f aca="false">IF(AB70="","",IFERROR(INDEX('Account Map'!$B:$B,MATCH(AB70,'Account Map'!$A:$A,0)),""))</f>
        <v/>
      </c>
      <c r="AD70" s="37" t="str">
        <f aca="false">IF(AB70="","",IFERROR(INDEX('Account Map'!$C:$C,MATCH(AB70,'Account Map'!$A:$A,0)),""))</f>
        <v/>
      </c>
      <c r="AE70" s="37" t="n">
        <f aca="false">IF(AND(AB70&lt;&gt;"",AC70="",COUNT($B70:$Z70)&gt;0,LEFT(AB70,5)&lt;&gt;"Total",AB70&lt;&gt;"Gross Profit",AB70&lt;&gt;"Net Profit",AB70&lt;&gt;"Operating Profit"),1,0)</f>
        <v>0</v>
      </c>
    </row>
    <row r="71" customFormat="false" ht="15" hidden="false" customHeight="false" outlineLevel="0" collapsed="false">
      <c r="B71" s="44"/>
      <c r="C71" s="44"/>
      <c r="D71" s="44"/>
      <c r="E71" s="44"/>
      <c r="F71" s="44"/>
      <c r="G71" s="44"/>
      <c r="H71" s="44"/>
      <c r="I71" s="44"/>
      <c r="J71" s="44"/>
      <c r="K71" s="44"/>
      <c r="L71" s="44"/>
      <c r="M71" s="44"/>
      <c r="N71" s="44"/>
      <c r="O71" s="44"/>
      <c r="P71" s="44"/>
      <c r="Q71" s="44"/>
      <c r="R71" s="44"/>
      <c r="S71" s="44"/>
      <c r="T71" s="44"/>
      <c r="U71" s="44"/>
      <c r="V71" s="44"/>
      <c r="W71" s="44"/>
      <c r="X71" s="44"/>
      <c r="Y71" s="44"/>
      <c r="Z71" s="44"/>
      <c r="AB71" s="37" t="str">
        <f aca="false">TRIM($A71&amp;"")</f>
        <v/>
      </c>
      <c r="AC71" s="37" t="str">
        <f aca="false">IF(AB71="","",IFERROR(INDEX('Account Map'!$B:$B,MATCH(AB71,'Account Map'!$A:$A,0)),""))</f>
        <v/>
      </c>
      <c r="AD71" s="37" t="str">
        <f aca="false">IF(AB71="","",IFERROR(INDEX('Account Map'!$C:$C,MATCH(AB71,'Account Map'!$A:$A,0)),""))</f>
        <v/>
      </c>
      <c r="AE71" s="37" t="n">
        <f aca="false">IF(AND(AB71&lt;&gt;"",AC71="",COUNT($B71:$Z71)&gt;0,LEFT(AB71,5)&lt;&gt;"Total",AB71&lt;&gt;"Gross Profit",AB71&lt;&gt;"Net Profit",AB71&lt;&gt;"Operating Profit"),1,0)</f>
        <v>0</v>
      </c>
    </row>
    <row r="72" customFormat="false" ht="15" hidden="false" customHeight="false" outlineLevel="0" collapsed="false">
      <c r="B72" s="44"/>
      <c r="C72" s="44"/>
      <c r="D72" s="44"/>
      <c r="E72" s="44"/>
      <c r="F72" s="44"/>
      <c r="G72" s="44"/>
      <c r="H72" s="44"/>
      <c r="I72" s="44"/>
      <c r="J72" s="44"/>
      <c r="K72" s="44"/>
      <c r="L72" s="44"/>
      <c r="M72" s="44"/>
      <c r="N72" s="44"/>
      <c r="O72" s="44"/>
      <c r="P72" s="44"/>
      <c r="Q72" s="44"/>
      <c r="R72" s="44"/>
      <c r="S72" s="44"/>
      <c r="T72" s="44"/>
      <c r="U72" s="44"/>
      <c r="V72" s="44"/>
      <c r="W72" s="44"/>
      <c r="X72" s="44"/>
      <c r="Y72" s="44"/>
      <c r="Z72" s="44"/>
      <c r="AB72" s="37" t="str">
        <f aca="false">TRIM($A72&amp;"")</f>
        <v/>
      </c>
      <c r="AC72" s="37" t="str">
        <f aca="false">IF(AB72="","",IFERROR(INDEX('Account Map'!$B:$B,MATCH(AB72,'Account Map'!$A:$A,0)),""))</f>
        <v/>
      </c>
      <c r="AD72" s="37" t="str">
        <f aca="false">IF(AB72="","",IFERROR(INDEX('Account Map'!$C:$C,MATCH(AB72,'Account Map'!$A:$A,0)),""))</f>
        <v/>
      </c>
      <c r="AE72" s="37" t="n">
        <f aca="false">IF(AND(AB72&lt;&gt;"",AC72="",COUNT($B72:$Z72)&gt;0,LEFT(AB72,5)&lt;&gt;"Total",AB72&lt;&gt;"Gross Profit",AB72&lt;&gt;"Net Profit",AB72&lt;&gt;"Operating Profit"),1,0)</f>
        <v>0</v>
      </c>
    </row>
    <row r="73" customFormat="false" ht="15" hidden="false" customHeight="false" outlineLevel="0" collapsed="false">
      <c r="B73" s="44"/>
      <c r="C73" s="44"/>
      <c r="D73" s="44"/>
      <c r="E73" s="44"/>
      <c r="F73" s="44"/>
      <c r="G73" s="44"/>
      <c r="H73" s="44"/>
      <c r="I73" s="44"/>
      <c r="J73" s="44"/>
      <c r="K73" s="44"/>
      <c r="L73" s="44"/>
      <c r="M73" s="44"/>
      <c r="N73" s="44"/>
      <c r="O73" s="44"/>
      <c r="P73" s="44"/>
      <c r="Q73" s="44"/>
      <c r="R73" s="44"/>
      <c r="S73" s="44"/>
      <c r="T73" s="44"/>
      <c r="U73" s="44"/>
      <c r="V73" s="44"/>
      <c r="W73" s="44"/>
      <c r="X73" s="44"/>
      <c r="Y73" s="44"/>
      <c r="Z73" s="44"/>
      <c r="AB73" s="37" t="str">
        <f aca="false">TRIM($A73&amp;"")</f>
        <v/>
      </c>
      <c r="AC73" s="37" t="str">
        <f aca="false">IF(AB73="","",IFERROR(INDEX('Account Map'!$B:$B,MATCH(AB73,'Account Map'!$A:$A,0)),""))</f>
        <v/>
      </c>
      <c r="AD73" s="37" t="str">
        <f aca="false">IF(AB73="","",IFERROR(INDEX('Account Map'!$C:$C,MATCH(AB73,'Account Map'!$A:$A,0)),""))</f>
        <v/>
      </c>
      <c r="AE73" s="37" t="n">
        <f aca="false">IF(AND(AB73&lt;&gt;"",AC73="",COUNT($B73:$Z73)&gt;0,LEFT(AB73,5)&lt;&gt;"Total",AB73&lt;&gt;"Gross Profit",AB73&lt;&gt;"Net Profit",AB73&lt;&gt;"Operating Profit"),1,0)</f>
        <v>0</v>
      </c>
    </row>
    <row r="74" customFormat="false" ht="15" hidden="false" customHeight="false" outlineLevel="0" collapsed="false">
      <c r="B74" s="44"/>
      <c r="C74" s="44"/>
      <c r="D74" s="44"/>
      <c r="E74" s="44"/>
      <c r="F74" s="44"/>
      <c r="G74" s="44"/>
      <c r="H74" s="44"/>
      <c r="I74" s="44"/>
      <c r="J74" s="44"/>
      <c r="K74" s="44"/>
      <c r="L74" s="44"/>
      <c r="M74" s="44"/>
      <c r="N74" s="44"/>
      <c r="O74" s="44"/>
      <c r="P74" s="44"/>
      <c r="Q74" s="44"/>
      <c r="R74" s="44"/>
      <c r="S74" s="44"/>
      <c r="T74" s="44"/>
      <c r="U74" s="44"/>
      <c r="V74" s="44"/>
      <c r="W74" s="44"/>
      <c r="X74" s="44"/>
      <c r="Y74" s="44"/>
      <c r="Z74" s="44"/>
      <c r="AB74" s="37" t="str">
        <f aca="false">TRIM($A74&amp;"")</f>
        <v/>
      </c>
      <c r="AC74" s="37" t="str">
        <f aca="false">IF(AB74="","",IFERROR(INDEX('Account Map'!$B:$B,MATCH(AB74,'Account Map'!$A:$A,0)),""))</f>
        <v/>
      </c>
      <c r="AD74" s="37" t="str">
        <f aca="false">IF(AB74="","",IFERROR(INDEX('Account Map'!$C:$C,MATCH(AB74,'Account Map'!$A:$A,0)),""))</f>
        <v/>
      </c>
      <c r="AE74" s="37" t="n">
        <f aca="false">IF(AND(AB74&lt;&gt;"",AC74="",COUNT($B74:$Z74)&gt;0,LEFT(AB74,5)&lt;&gt;"Total",AB74&lt;&gt;"Gross Profit",AB74&lt;&gt;"Net Profit",AB74&lt;&gt;"Operating Profit"),1,0)</f>
        <v>0</v>
      </c>
    </row>
    <row r="75" customFormat="false" ht="15" hidden="false" customHeight="false" outlineLevel="0" collapsed="false">
      <c r="B75" s="44"/>
      <c r="C75" s="44"/>
      <c r="D75" s="44"/>
      <c r="E75" s="44"/>
      <c r="F75" s="44"/>
      <c r="G75" s="44"/>
      <c r="H75" s="44"/>
      <c r="I75" s="44"/>
      <c r="J75" s="44"/>
      <c r="K75" s="44"/>
      <c r="L75" s="44"/>
      <c r="M75" s="44"/>
      <c r="N75" s="44"/>
      <c r="O75" s="44"/>
      <c r="P75" s="44"/>
      <c r="Q75" s="44"/>
      <c r="R75" s="44"/>
      <c r="S75" s="44"/>
      <c r="T75" s="44"/>
      <c r="U75" s="44"/>
      <c r="V75" s="44"/>
      <c r="W75" s="44"/>
      <c r="X75" s="44"/>
      <c r="Y75" s="44"/>
      <c r="Z75" s="44"/>
      <c r="AB75" s="37" t="str">
        <f aca="false">TRIM($A75&amp;"")</f>
        <v/>
      </c>
      <c r="AC75" s="37" t="str">
        <f aca="false">IF(AB75="","",IFERROR(INDEX('Account Map'!$B:$B,MATCH(AB75,'Account Map'!$A:$A,0)),""))</f>
        <v/>
      </c>
      <c r="AD75" s="37" t="str">
        <f aca="false">IF(AB75="","",IFERROR(INDEX('Account Map'!$C:$C,MATCH(AB75,'Account Map'!$A:$A,0)),""))</f>
        <v/>
      </c>
      <c r="AE75" s="37" t="n">
        <f aca="false">IF(AND(AB75&lt;&gt;"",AC75="",COUNT($B75:$Z75)&gt;0,LEFT(AB75,5)&lt;&gt;"Total",AB75&lt;&gt;"Gross Profit",AB75&lt;&gt;"Net Profit",AB75&lt;&gt;"Operating Profit"),1,0)</f>
        <v>0</v>
      </c>
    </row>
    <row r="76" customFormat="false" ht="15" hidden="false" customHeight="false" outlineLevel="0" collapsed="false">
      <c r="B76" s="44"/>
      <c r="C76" s="44"/>
      <c r="D76" s="44"/>
      <c r="E76" s="44"/>
      <c r="F76" s="44"/>
      <c r="G76" s="44"/>
      <c r="H76" s="44"/>
      <c r="I76" s="44"/>
      <c r="J76" s="44"/>
      <c r="K76" s="44"/>
      <c r="L76" s="44"/>
      <c r="M76" s="44"/>
      <c r="N76" s="44"/>
      <c r="O76" s="44"/>
      <c r="P76" s="44"/>
      <c r="Q76" s="44"/>
      <c r="R76" s="44"/>
      <c r="S76" s="44"/>
      <c r="T76" s="44"/>
      <c r="U76" s="44"/>
      <c r="V76" s="44"/>
      <c r="W76" s="44"/>
      <c r="X76" s="44"/>
      <c r="Y76" s="44"/>
      <c r="Z76" s="44"/>
      <c r="AB76" s="37" t="str">
        <f aca="false">TRIM($A76&amp;"")</f>
        <v/>
      </c>
      <c r="AC76" s="37" t="str">
        <f aca="false">IF(AB76="","",IFERROR(INDEX('Account Map'!$B:$B,MATCH(AB76,'Account Map'!$A:$A,0)),""))</f>
        <v/>
      </c>
      <c r="AD76" s="37" t="str">
        <f aca="false">IF(AB76="","",IFERROR(INDEX('Account Map'!$C:$C,MATCH(AB76,'Account Map'!$A:$A,0)),""))</f>
        <v/>
      </c>
      <c r="AE76" s="37" t="n">
        <f aca="false">IF(AND(AB76&lt;&gt;"",AC76="",COUNT($B76:$Z76)&gt;0,LEFT(AB76,5)&lt;&gt;"Total",AB76&lt;&gt;"Gross Profit",AB76&lt;&gt;"Net Profit",AB76&lt;&gt;"Operating Profit"),1,0)</f>
        <v>0</v>
      </c>
    </row>
    <row r="77" customFormat="false" ht="15" hidden="false" customHeight="false" outlineLevel="0" collapsed="false">
      <c r="B77" s="44"/>
      <c r="C77" s="44"/>
      <c r="D77" s="44"/>
      <c r="E77" s="44"/>
      <c r="F77" s="44"/>
      <c r="G77" s="44"/>
      <c r="H77" s="44"/>
      <c r="I77" s="44"/>
      <c r="J77" s="44"/>
      <c r="K77" s="44"/>
      <c r="L77" s="44"/>
      <c r="M77" s="44"/>
      <c r="N77" s="44"/>
      <c r="O77" s="44"/>
      <c r="P77" s="44"/>
      <c r="Q77" s="44"/>
      <c r="R77" s="44"/>
      <c r="S77" s="44"/>
      <c r="T77" s="44"/>
      <c r="U77" s="44"/>
      <c r="V77" s="44"/>
      <c r="W77" s="44"/>
      <c r="X77" s="44"/>
      <c r="Y77" s="44"/>
      <c r="Z77" s="44"/>
      <c r="AB77" s="37" t="str">
        <f aca="false">TRIM($A77&amp;"")</f>
        <v/>
      </c>
      <c r="AC77" s="37" t="str">
        <f aca="false">IF(AB77="","",IFERROR(INDEX('Account Map'!$B:$B,MATCH(AB77,'Account Map'!$A:$A,0)),""))</f>
        <v/>
      </c>
      <c r="AD77" s="37" t="str">
        <f aca="false">IF(AB77="","",IFERROR(INDEX('Account Map'!$C:$C,MATCH(AB77,'Account Map'!$A:$A,0)),""))</f>
        <v/>
      </c>
      <c r="AE77" s="37" t="n">
        <f aca="false">IF(AND(AB77&lt;&gt;"",AC77="",COUNT($B77:$Z77)&gt;0,LEFT(AB77,5)&lt;&gt;"Total",AB77&lt;&gt;"Gross Profit",AB77&lt;&gt;"Net Profit",AB77&lt;&gt;"Operating Profit"),1,0)</f>
        <v>0</v>
      </c>
    </row>
    <row r="78" customFormat="false" ht="15" hidden="false" customHeight="false" outlineLevel="0" collapsed="false">
      <c r="B78" s="44"/>
      <c r="C78" s="44"/>
      <c r="D78" s="44"/>
      <c r="E78" s="44"/>
      <c r="F78" s="44"/>
      <c r="G78" s="44"/>
      <c r="H78" s="44"/>
      <c r="I78" s="44"/>
      <c r="J78" s="44"/>
      <c r="K78" s="44"/>
      <c r="L78" s="44"/>
      <c r="M78" s="44"/>
      <c r="N78" s="44"/>
      <c r="O78" s="44"/>
      <c r="P78" s="44"/>
      <c r="Q78" s="44"/>
      <c r="R78" s="44"/>
      <c r="S78" s="44"/>
      <c r="T78" s="44"/>
      <c r="U78" s="44"/>
      <c r="V78" s="44"/>
      <c r="W78" s="44"/>
      <c r="X78" s="44"/>
      <c r="Y78" s="44"/>
      <c r="Z78" s="44"/>
      <c r="AB78" s="37" t="str">
        <f aca="false">TRIM($A78&amp;"")</f>
        <v/>
      </c>
      <c r="AC78" s="37" t="str">
        <f aca="false">IF(AB78="","",IFERROR(INDEX('Account Map'!$B:$B,MATCH(AB78,'Account Map'!$A:$A,0)),""))</f>
        <v/>
      </c>
      <c r="AD78" s="37" t="str">
        <f aca="false">IF(AB78="","",IFERROR(INDEX('Account Map'!$C:$C,MATCH(AB78,'Account Map'!$A:$A,0)),""))</f>
        <v/>
      </c>
      <c r="AE78" s="37" t="n">
        <f aca="false">IF(AND(AB78&lt;&gt;"",AC78="",COUNT($B78:$Z78)&gt;0,LEFT(AB78,5)&lt;&gt;"Total",AB78&lt;&gt;"Gross Profit",AB78&lt;&gt;"Net Profit",AB78&lt;&gt;"Operating Profit"),1,0)</f>
        <v>0</v>
      </c>
    </row>
    <row r="79" customFormat="false" ht="15" hidden="false" customHeight="false" outlineLevel="0" collapsed="false">
      <c r="B79" s="44"/>
      <c r="C79" s="44"/>
      <c r="D79" s="44"/>
      <c r="E79" s="44"/>
      <c r="F79" s="44"/>
      <c r="G79" s="44"/>
      <c r="H79" s="44"/>
      <c r="I79" s="44"/>
      <c r="J79" s="44"/>
      <c r="K79" s="44"/>
      <c r="L79" s="44"/>
      <c r="M79" s="44"/>
      <c r="N79" s="44"/>
      <c r="O79" s="44"/>
      <c r="P79" s="44"/>
      <c r="Q79" s="44"/>
      <c r="R79" s="44"/>
      <c r="S79" s="44"/>
      <c r="T79" s="44"/>
      <c r="U79" s="44"/>
      <c r="V79" s="44"/>
      <c r="W79" s="44"/>
      <c r="X79" s="44"/>
      <c r="Y79" s="44"/>
      <c r="Z79" s="44"/>
      <c r="AB79" s="37" t="str">
        <f aca="false">TRIM($A79&amp;"")</f>
        <v/>
      </c>
      <c r="AC79" s="37" t="str">
        <f aca="false">IF(AB79="","",IFERROR(INDEX('Account Map'!$B:$B,MATCH(AB79,'Account Map'!$A:$A,0)),""))</f>
        <v/>
      </c>
      <c r="AD79" s="37" t="str">
        <f aca="false">IF(AB79="","",IFERROR(INDEX('Account Map'!$C:$C,MATCH(AB79,'Account Map'!$A:$A,0)),""))</f>
        <v/>
      </c>
      <c r="AE79" s="37" t="n">
        <f aca="false">IF(AND(AB79&lt;&gt;"",AC79="",COUNT($B79:$Z79)&gt;0,LEFT(AB79,5)&lt;&gt;"Total",AB79&lt;&gt;"Gross Profit",AB79&lt;&gt;"Net Profit",AB79&lt;&gt;"Operating Profit"),1,0)</f>
        <v>0</v>
      </c>
    </row>
    <row r="80" customFormat="false" ht="15" hidden="false" customHeight="false" outlineLevel="0" collapsed="false">
      <c r="B80" s="44"/>
      <c r="C80" s="44"/>
      <c r="D80" s="44"/>
      <c r="E80" s="44"/>
      <c r="F80" s="44"/>
      <c r="G80" s="44"/>
      <c r="H80" s="44"/>
      <c r="I80" s="44"/>
      <c r="J80" s="44"/>
      <c r="K80" s="44"/>
      <c r="L80" s="44"/>
      <c r="M80" s="44"/>
      <c r="N80" s="44"/>
      <c r="O80" s="44"/>
      <c r="P80" s="44"/>
      <c r="Q80" s="44"/>
      <c r="R80" s="44"/>
      <c r="S80" s="44"/>
      <c r="T80" s="44"/>
      <c r="U80" s="44"/>
      <c r="V80" s="44"/>
      <c r="W80" s="44"/>
      <c r="X80" s="44"/>
      <c r="Y80" s="44"/>
      <c r="Z80" s="44"/>
      <c r="AB80" s="37" t="str">
        <f aca="false">TRIM($A80&amp;"")</f>
        <v/>
      </c>
      <c r="AC80" s="37" t="str">
        <f aca="false">IF(AB80="","",IFERROR(INDEX('Account Map'!$B:$B,MATCH(AB80,'Account Map'!$A:$A,0)),""))</f>
        <v/>
      </c>
      <c r="AD80" s="37" t="str">
        <f aca="false">IF(AB80="","",IFERROR(INDEX('Account Map'!$C:$C,MATCH(AB80,'Account Map'!$A:$A,0)),""))</f>
        <v/>
      </c>
      <c r="AE80" s="37" t="n">
        <f aca="false">IF(AND(AB80&lt;&gt;"",AC80="",COUNT($B80:$Z80)&gt;0,LEFT(AB80,5)&lt;&gt;"Total",AB80&lt;&gt;"Gross Profit",AB80&lt;&gt;"Net Profit",AB80&lt;&gt;"Operating Profit"),1,0)</f>
        <v>0</v>
      </c>
    </row>
    <row r="81" customFormat="false" ht="15" hidden="false" customHeight="false" outlineLevel="0" collapsed="false">
      <c r="B81" s="44"/>
      <c r="C81" s="44"/>
      <c r="D81" s="44"/>
      <c r="E81" s="44"/>
      <c r="F81" s="44"/>
      <c r="G81" s="44"/>
      <c r="H81" s="44"/>
      <c r="I81" s="44"/>
      <c r="J81" s="44"/>
      <c r="K81" s="44"/>
      <c r="L81" s="44"/>
      <c r="M81" s="44"/>
      <c r="N81" s="44"/>
      <c r="O81" s="44"/>
      <c r="P81" s="44"/>
      <c r="Q81" s="44"/>
      <c r="R81" s="44"/>
      <c r="S81" s="44"/>
      <c r="T81" s="44"/>
      <c r="U81" s="44"/>
      <c r="V81" s="44"/>
      <c r="W81" s="44"/>
      <c r="X81" s="44"/>
      <c r="Y81" s="44"/>
      <c r="Z81" s="44"/>
      <c r="AB81" s="37" t="str">
        <f aca="false">TRIM($A81&amp;"")</f>
        <v/>
      </c>
      <c r="AC81" s="37" t="str">
        <f aca="false">IF(AB81="","",IFERROR(INDEX('Account Map'!$B:$B,MATCH(AB81,'Account Map'!$A:$A,0)),""))</f>
        <v/>
      </c>
      <c r="AD81" s="37" t="str">
        <f aca="false">IF(AB81="","",IFERROR(INDEX('Account Map'!$C:$C,MATCH(AB81,'Account Map'!$A:$A,0)),""))</f>
        <v/>
      </c>
      <c r="AE81" s="37" t="n">
        <f aca="false">IF(AND(AB81&lt;&gt;"",AC81="",COUNT($B81:$Z81)&gt;0,LEFT(AB81,5)&lt;&gt;"Total",AB81&lt;&gt;"Gross Profit",AB81&lt;&gt;"Net Profit",AB81&lt;&gt;"Operating Profit"),1,0)</f>
        <v>0</v>
      </c>
    </row>
    <row r="82" customFormat="false" ht="15" hidden="false" customHeight="false" outlineLevel="0" collapsed="false">
      <c r="B82" s="44"/>
      <c r="C82" s="44"/>
      <c r="D82" s="44"/>
      <c r="E82" s="44"/>
      <c r="F82" s="44"/>
      <c r="G82" s="44"/>
      <c r="H82" s="44"/>
      <c r="I82" s="44"/>
      <c r="J82" s="44"/>
      <c r="K82" s="44"/>
      <c r="L82" s="44"/>
      <c r="M82" s="44"/>
      <c r="N82" s="44"/>
      <c r="O82" s="44"/>
      <c r="P82" s="44"/>
      <c r="Q82" s="44"/>
      <c r="R82" s="44"/>
      <c r="S82" s="44"/>
      <c r="T82" s="44"/>
      <c r="U82" s="44"/>
      <c r="V82" s="44"/>
      <c r="W82" s="44"/>
      <c r="X82" s="44"/>
      <c r="Y82" s="44"/>
      <c r="Z82" s="44"/>
      <c r="AB82" s="37" t="str">
        <f aca="false">TRIM($A82&amp;"")</f>
        <v/>
      </c>
      <c r="AC82" s="37" t="str">
        <f aca="false">IF(AB82="","",IFERROR(INDEX('Account Map'!$B:$B,MATCH(AB82,'Account Map'!$A:$A,0)),""))</f>
        <v/>
      </c>
      <c r="AD82" s="37" t="str">
        <f aca="false">IF(AB82="","",IFERROR(INDEX('Account Map'!$C:$C,MATCH(AB82,'Account Map'!$A:$A,0)),""))</f>
        <v/>
      </c>
      <c r="AE82" s="37" t="n">
        <f aca="false">IF(AND(AB82&lt;&gt;"",AC82="",COUNT($B82:$Z82)&gt;0,LEFT(AB82,5)&lt;&gt;"Total",AB82&lt;&gt;"Gross Profit",AB82&lt;&gt;"Net Profit",AB82&lt;&gt;"Operating Profit"),1,0)</f>
        <v>0</v>
      </c>
    </row>
    <row r="83" customFormat="false" ht="15" hidden="false" customHeight="false" outlineLevel="0" collapsed="false">
      <c r="B83" s="44"/>
      <c r="C83" s="44"/>
      <c r="D83" s="44"/>
      <c r="E83" s="44"/>
      <c r="F83" s="44"/>
      <c r="G83" s="44"/>
      <c r="H83" s="44"/>
      <c r="I83" s="44"/>
      <c r="J83" s="44"/>
      <c r="K83" s="44"/>
      <c r="L83" s="44"/>
      <c r="M83" s="44"/>
      <c r="N83" s="44"/>
      <c r="O83" s="44"/>
      <c r="P83" s="44"/>
      <c r="Q83" s="44"/>
      <c r="R83" s="44"/>
      <c r="S83" s="44"/>
      <c r="T83" s="44"/>
      <c r="U83" s="44"/>
      <c r="V83" s="44"/>
      <c r="W83" s="44"/>
      <c r="X83" s="44"/>
      <c r="Y83" s="44"/>
      <c r="Z83" s="44"/>
      <c r="AB83" s="37" t="str">
        <f aca="false">TRIM($A83&amp;"")</f>
        <v/>
      </c>
      <c r="AC83" s="37" t="str">
        <f aca="false">IF(AB83="","",IFERROR(INDEX('Account Map'!$B:$B,MATCH(AB83,'Account Map'!$A:$A,0)),""))</f>
        <v/>
      </c>
      <c r="AD83" s="37" t="str">
        <f aca="false">IF(AB83="","",IFERROR(INDEX('Account Map'!$C:$C,MATCH(AB83,'Account Map'!$A:$A,0)),""))</f>
        <v/>
      </c>
      <c r="AE83" s="37" t="n">
        <f aca="false">IF(AND(AB83&lt;&gt;"",AC83="",COUNT($B83:$Z83)&gt;0,LEFT(AB83,5)&lt;&gt;"Total",AB83&lt;&gt;"Gross Profit",AB83&lt;&gt;"Net Profit",AB83&lt;&gt;"Operating Profit"),1,0)</f>
        <v>0</v>
      </c>
    </row>
    <row r="84" customFormat="false" ht="15" hidden="false" customHeight="false" outlineLevel="0" collapsed="false">
      <c r="B84" s="44"/>
      <c r="C84" s="44"/>
      <c r="D84" s="44"/>
      <c r="E84" s="44"/>
      <c r="F84" s="44"/>
      <c r="G84" s="44"/>
      <c r="H84" s="44"/>
      <c r="I84" s="44"/>
      <c r="J84" s="44"/>
      <c r="K84" s="44"/>
      <c r="L84" s="44"/>
      <c r="M84" s="44"/>
      <c r="N84" s="44"/>
      <c r="O84" s="44"/>
      <c r="P84" s="44"/>
      <c r="Q84" s="44"/>
      <c r="R84" s="44"/>
      <c r="S84" s="44"/>
      <c r="T84" s="44"/>
      <c r="U84" s="44"/>
      <c r="V84" s="44"/>
      <c r="W84" s="44"/>
      <c r="X84" s="44"/>
      <c r="Y84" s="44"/>
      <c r="Z84" s="44"/>
      <c r="AB84" s="37" t="str">
        <f aca="false">TRIM($A84&amp;"")</f>
        <v/>
      </c>
      <c r="AC84" s="37" t="str">
        <f aca="false">IF(AB84="","",IFERROR(INDEX('Account Map'!$B:$B,MATCH(AB84,'Account Map'!$A:$A,0)),""))</f>
        <v/>
      </c>
      <c r="AD84" s="37" t="str">
        <f aca="false">IF(AB84="","",IFERROR(INDEX('Account Map'!$C:$C,MATCH(AB84,'Account Map'!$A:$A,0)),""))</f>
        <v/>
      </c>
      <c r="AE84" s="37" t="n">
        <f aca="false">IF(AND(AB84&lt;&gt;"",AC84="",COUNT($B84:$Z84)&gt;0,LEFT(AB84,5)&lt;&gt;"Total",AB84&lt;&gt;"Gross Profit",AB84&lt;&gt;"Net Profit",AB84&lt;&gt;"Operating Profit"),1,0)</f>
        <v>0</v>
      </c>
    </row>
    <row r="85" customFormat="false" ht="15" hidden="false" customHeight="false" outlineLevel="0" collapsed="false">
      <c r="B85" s="44"/>
      <c r="C85" s="44"/>
      <c r="D85" s="44"/>
      <c r="E85" s="44"/>
      <c r="F85" s="44"/>
      <c r="G85" s="44"/>
      <c r="H85" s="44"/>
      <c r="I85" s="44"/>
      <c r="J85" s="44"/>
      <c r="K85" s="44"/>
      <c r="L85" s="44"/>
      <c r="M85" s="44"/>
      <c r="N85" s="44"/>
      <c r="O85" s="44"/>
      <c r="P85" s="44"/>
      <c r="Q85" s="44"/>
      <c r="R85" s="44"/>
      <c r="S85" s="44"/>
      <c r="T85" s="44"/>
      <c r="U85" s="44"/>
      <c r="V85" s="44"/>
      <c r="W85" s="44"/>
      <c r="X85" s="44"/>
      <c r="Y85" s="44"/>
      <c r="Z85" s="44"/>
      <c r="AB85" s="37" t="str">
        <f aca="false">TRIM($A85&amp;"")</f>
        <v/>
      </c>
      <c r="AC85" s="37" t="str">
        <f aca="false">IF(AB85="","",IFERROR(INDEX('Account Map'!$B:$B,MATCH(AB85,'Account Map'!$A:$A,0)),""))</f>
        <v/>
      </c>
      <c r="AD85" s="37" t="str">
        <f aca="false">IF(AB85="","",IFERROR(INDEX('Account Map'!$C:$C,MATCH(AB85,'Account Map'!$A:$A,0)),""))</f>
        <v/>
      </c>
      <c r="AE85" s="37" t="n">
        <f aca="false">IF(AND(AB85&lt;&gt;"",AC85="",COUNT($B85:$Z85)&gt;0,LEFT(AB85,5)&lt;&gt;"Total",AB85&lt;&gt;"Gross Profit",AB85&lt;&gt;"Net Profit",AB85&lt;&gt;"Operating Profit"),1,0)</f>
        <v>0</v>
      </c>
    </row>
    <row r="86" customFormat="false" ht="15" hidden="false" customHeight="false" outlineLevel="0" collapsed="false">
      <c r="B86" s="44"/>
      <c r="C86" s="44"/>
      <c r="D86" s="44"/>
      <c r="E86" s="44"/>
      <c r="F86" s="44"/>
      <c r="G86" s="44"/>
      <c r="H86" s="44"/>
      <c r="I86" s="44"/>
      <c r="J86" s="44"/>
      <c r="K86" s="44"/>
      <c r="L86" s="44"/>
      <c r="M86" s="44"/>
      <c r="N86" s="44"/>
      <c r="O86" s="44"/>
      <c r="P86" s="44"/>
      <c r="Q86" s="44"/>
      <c r="R86" s="44"/>
      <c r="S86" s="44"/>
      <c r="T86" s="44"/>
      <c r="U86" s="44"/>
      <c r="V86" s="44"/>
      <c r="W86" s="44"/>
      <c r="X86" s="44"/>
      <c r="Y86" s="44"/>
      <c r="Z86" s="44"/>
      <c r="AB86" s="37" t="str">
        <f aca="false">TRIM($A86&amp;"")</f>
        <v/>
      </c>
      <c r="AC86" s="37" t="str">
        <f aca="false">IF(AB86="","",IFERROR(INDEX('Account Map'!$B:$B,MATCH(AB86,'Account Map'!$A:$A,0)),""))</f>
        <v/>
      </c>
      <c r="AD86" s="37" t="str">
        <f aca="false">IF(AB86="","",IFERROR(INDEX('Account Map'!$C:$C,MATCH(AB86,'Account Map'!$A:$A,0)),""))</f>
        <v/>
      </c>
      <c r="AE86" s="37" t="n">
        <f aca="false">IF(AND(AB86&lt;&gt;"",AC86="",COUNT($B86:$Z86)&gt;0,LEFT(AB86,5)&lt;&gt;"Total",AB86&lt;&gt;"Gross Profit",AB86&lt;&gt;"Net Profit",AB86&lt;&gt;"Operating Profit"),1,0)</f>
        <v>0</v>
      </c>
    </row>
    <row r="87" customFormat="false" ht="15" hidden="false" customHeight="false" outlineLevel="0" collapsed="false">
      <c r="B87" s="44"/>
      <c r="C87" s="44"/>
      <c r="D87" s="44"/>
      <c r="E87" s="44"/>
      <c r="F87" s="44"/>
      <c r="G87" s="44"/>
      <c r="H87" s="44"/>
      <c r="I87" s="44"/>
      <c r="J87" s="44"/>
      <c r="K87" s="44"/>
      <c r="L87" s="44"/>
      <c r="M87" s="44"/>
      <c r="N87" s="44"/>
      <c r="O87" s="44"/>
      <c r="P87" s="44"/>
      <c r="Q87" s="44"/>
      <c r="R87" s="44"/>
      <c r="S87" s="44"/>
      <c r="T87" s="44"/>
      <c r="U87" s="44"/>
      <c r="V87" s="44"/>
      <c r="W87" s="44"/>
      <c r="X87" s="44"/>
      <c r="Y87" s="44"/>
      <c r="Z87" s="44"/>
      <c r="AB87" s="37" t="str">
        <f aca="false">TRIM($A87&amp;"")</f>
        <v/>
      </c>
      <c r="AC87" s="37" t="str">
        <f aca="false">IF(AB87="","",IFERROR(INDEX('Account Map'!$B:$B,MATCH(AB87,'Account Map'!$A:$A,0)),""))</f>
        <v/>
      </c>
      <c r="AD87" s="37" t="str">
        <f aca="false">IF(AB87="","",IFERROR(INDEX('Account Map'!$C:$C,MATCH(AB87,'Account Map'!$A:$A,0)),""))</f>
        <v/>
      </c>
      <c r="AE87" s="37" t="n">
        <f aca="false">IF(AND(AB87&lt;&gt;"",AC87="",COUNT($B87:$Z87)&gt;0,LEFT(AB87,5)&lt;&gt;"Total",AB87&lt;&gt;"Gross Profit",AB87&lt;&gt;"Net Profit",AB87&lt;&gt;"Operating Profit"),1,0)</f>
        <v>0</v>
      </c>
    </row>
    <row r="88" customFormat="false" ht="15" hidden="false" customHeight="false" outlineLevel="0" collapsed="false">
      <c r="B88" s="44"/>
      <c r="C88" s="44"/>
      <c r="D88" s="44"/>
      <c r="E88" s="44"/>
      <c r="F88" s="44"/>
      <c r="G88" s="44"/>
      <c r="H88" s="44"/>
      <c r="I88" s="44"/>
      <c r="J88" s="44"/>
      <c r="K88" s="44"/>
      <c r="L88" s="44"/>
      <c r="M88" s="44"/>
      <c r="N88" s="44"/>
      <c r="O88" s="44"/>
      <c r="P88" s="44"/>
      <c r="Q88" s="44"/>
      <c r="R88" s="44"/>
      <c r="S88" s="44"/>
      <c r="T88" s="44"/>
      <c r="U88" s="44"/>
      <c r="V88" s="44"/>
      <c r="W88" s="44"/>
      <c r="X88" s="44"/>
      <c r="Y88" s="44"/>
      <c r="Z88" s="44"/>
      <c r="AB88" s="37" t="str">
        <f aca="false">TRIM($A88&amp;"")</f>
        <v/>
      </c>
      <c r="AC88" s="37" t="str">
        <f aca="false">IF(AB88="","",IFERROR(INDEX('Account Map'!$B:$B,MATCH(AB88,'Account Map'!$A:$A,0)),""))</f>
        <v/>
      </c>
      <c r="AD88" s="37" t="str">
        <f aca="false">IF(AB88="","",IFERROR(INDEX('Account Map'!$C:$C,MATCH(AB88,'Account Map'!$A:$A,0)),""))</f>
        <v/>
      </c>
      <c r="AE88" s="37" t="n">
        <f aca="false">IF(AND(AB88&lt;&gt;"",AC88="",COUNT($B88:$Z88)&gt;0,LEFT(AB88,5)&lt;&gt;"Total",AB88&lt;&gt;"Gross Profit",AB88&lt;&gt;"Net Profit",AB88&lt;&gt;"Operating Profit"),1,0)</f>
        <v>0</v>
      </c>
    </row>
    <row r="89" customFormat="false" ht="15" hidden="false" customHeight="false" outlineLevel="0" collapsed="false">
      <c r="B89" s="44"/>
      <c r="C89" s="44"/>
      <c r="D89" s="44"/>
      <c r="E89" s="44"/>
      <c r="F89" s="44"/>
      <c r="G89" s="44"/>
      <c r="H89" s="44"/>
      <c r="I89" s="44"/>
      <c r="J89" s="44"/>
      <c r="K89" s="44"/>
      <c r="L89" s="44"/>
      <c r="M89" s="44"/>
      <c r="N89" s="44"/>
      <c r="O89" s="44"/>
      <c r="P89" s="44"/>
      <c r="Q89" s="44"/>
      <c r="R89" s="44"/>
      <c r="S89" s="44"/>
      <c r="T89" s="44"/>
      <c r="U89" s="44"/>
      <c r="V89" s="44"/>
      <c r="W89" s="44"/>
      <c r="X89" s="44"/>
      <c r="Y89" s="44"/>
      <c r="Z89" s="44"/>
      <c r="AB89" s="37" t="str">
        <f aca="false">TRIM($A89&amp;"")</f>
        <v/>
      </c>
      <c r="AC89" s="37" t="str">
        <f aca="false">IF(AB89="","",IFERROR(INDEX('Account Map'!$B:$B,MATCH(AB89,'Account Map'!$A:$A,0)),""))</f>
        <v/>
      </c>
      <c r="AD89" s="37" t="str">
        <f aca="false">IF(AB89="","",IFERROR(INDEX('Account Map'!$C:$C,MATCH(AB89,'Account Map'!$A:$A,0)),""))</f>
        <v/>
      </c>
      <c r="AE89" s="37" t="n">
        <f aca="false">IF(AND(AB89&lt;&gt;"",AC89="",COUNT($B89:$Z89)&gt;0,LEFT(AB89,5)&lt;&gt;"Total",AB89&lt;&gt;"Gross Profit",AB89&lt;&gt;"Net Profit",AB89&lt;&gt;"Operating Profit"),1,0)</f>
        <v>0</v>
      </c>
    </row>
    <row r="90" customFormat="false" ht="15" hidden="false" customHeight="false" outlineLevel="0" collapsed="false">
      <c r="B90" s="44"/>
      <c r="C90" s="44"/>
      <c r="D90" s="44"/>
      <c r="E90" s="44"/>
      <c r="F90" s="44"/>
      <c r="G90" s="44"/>
      <c r="H90" s="44"/>
      <c r="I90" s="44"/>
      <c r="J90" s="44"/>
      <c r="K90" s="44"/>
      <c r="L90" s="44"/>
      <c r="M90" s="44"/>
      <c r="N90" s="44"/>
      <c r="O90" s="44"/>
      <c r="P90" s="44"/>
      <c r="Q90" s="44"/>
      <c r="R90" s="44"/>
      <c r="S90" s="44"/>
      <c r="T90" s="44"/>
      <c r="U90" s="44"/>
      <c r="V90" s="44"/>
      <c r="W90" s="44"/>
      <c r="X90" s="44"/>
      <c r="Y90" s="44"/>
      <c r="Z90" s="44"/>
      <c r="AB90" s="37" t="str">
        <f aca="false">TRIM($A90&amp;"")</f>
        <v/>
      </c>
      <c r="AC90" s="37" t="str">
        <f aca="false">IF(AB90="","",IFERROR(INDEX('Account Map'!$B:$B,MATCH(AB90,'Account Map'!$A:$A,0)),""))</f>
        <v/>
      </c>
      <c r="AD90" s="37" t="str">
        <f aca="false">IF(AB90="","",IFERROR(INDEX('Account Map'!$C:$C,MATCH(AB90,'Account Map'!$A:$A,0)),""))</f>
        <v/>
      </c>
      <c r="AE90" s="37" t="n">
        <f aca="false">IF(AND(AB90&lt;&gt;"",AC90="",COUNT($B90:$Z90)&gt;0,LEFT(AB90,5)&lt;&gt;"Total",AB90&lt;&gt;"Gross Profit",AB90&lt;&gt;"Net Profit",AB90&lt;&gt;"Operating Profit"),1,0)</f>
        <v>0</v>
      </c>
    </row>
    <row r="91" customFormat="false" ht="15" hidden="false" customHeight="false" outlineLevel="0" collapsed="false">
      <c r="B91" s="44"/>
      <c r="C91" s="44"/>
      <c r="D91" s="44"/>
      <c r="E91" s="44"/>
      <c r="F91" s="44"/>
      <c r="G91" s="44"/>
      <c r="H91" s="44"/>
      <c r="I91" s="44"/>
      <c r="J91" s="44"/>
      <c r="K91" s="44"/>
      <c r="L91" s="44"/>
      <c r="M91" s="44"/>
      <c r="N91" s="44"/>
      <c r="O91" s="44"/>
      <c r="P91" s="44"/>
      <c r="Q91" s="44"/>
      <c r="R91" s="44"/>
      <c r="S91" s="44"/>
      <c r="T91" s="44"/>
      <c r="U91" s="44"/>
      <c r="V91" s="44"/>
      <c r="W91" s="44"/>
      <c r="X91" s="44"/>
      <c r="Y91" s="44"/>
      <c r="Z91" s="44"/>
      <c r="AB91" s="37" t="str">
        <f aca="false">TRIM($A91&amp;"")</f>
        <v/>
      </c>
      <c r="AC91" s="37" t="str">
        <f aca="false">IF(AB91="","",IFERROR(INDEX('Account Map'!$B:$B,MATCH(AB91,'Account Map'!$A:$A,0)),""))</f>
        <v/>
      </c>
      <c r="AD91" s="37" t="str">
        <f aca="false">IF(AB91="","",IFERROR(INDEX('Account Map'!$C:$C,MATCH(AB91,'Account Map'!$A:$A,0)),""))</f>
        <v/>
      </c>
      <c r="AE91" s="37" t="n">
        <f aca="false">IF(AND(AB91&lt;&gt;"",AC91="",COUNT($B91:$Z91)&gt;0,LEFT(AB91,5)&lt;&gt;"Total",AB91&lt;&gt;"Gross Profit",AB91&lt;&gt;"Net Profit",AB91&lt;&gt;"Operating Profit"),1,0)</f>
        <v>0</v>
      </c>
    </row>
    <row r="92" customFormat="false" ht="15" hidden="false" customHeight="false" outlineLevel="0" collapsed="false">
      <c r="B92" s="44"/>
      <c r="C92" s="44"/>
      <c r="D92" s="44"/>
      <c r="E92" s="44"/>
      <c r="F92" s="44"/>
      <c r="G92" s="44"/>
      <c r="H92" s="44"/>
      <c r="I92" s="44"/>
      <c r="J92" s="44"/>
      <c r="K92" s="44"/>
      <c r="L92" s="44"/>
      <c r="M92" s="44"/>
      <c r="N92" s="44"/>
      <c r="O92" s="44"/>
      <c r="P92" s="44"/>
      <c r="Q92" s="44"/>
      <c r="R92" s="44"/>
      <c r="S92" s="44"/>
      <c r="T92" s="44"/>
      <c r="U92" s="44"/>
      <c r="V92" s="44"/>
      <c r="W92" s="44"/>
      <c r="X92" s="44"/>
      <c r="Y92" s="44"/>
      <c r="Z92" s="44"/>
      <c r="AB92" s="37" t="str">
        <f aca="false">TRIM($A92&amp;"")</f>
        <v/>
      </c>
      <c r="AC92" s="37" t="str">
        <f aca="false">IF(AB92="","",IFERROR(INDEX('Account Map'!$B:$B,MATCH(AB92,'Account Map'!$A:$A,0)),""))</f>
        <v/>
      </c>
      <c r="AD92" s="37" t="str">
        <f aca="false">IF(AB92="","",IFERROR(INDEX('Account Map'!$C:$C,MATCH(AB92,'Account Map'!$A:$A,0)),""))</f>
        <v/>
      </c>
      <c r="AE92" s="37" t="n">
        <f aca="false">IF(AND(AB92&lt;&gt;"",AC92="",COUNT($B92:$Z92)&gt;0,LEFT(AB92,5)&lt;&gt;"Total",AB92&lt;&gt;"Gross Profit",AB92&lt;&gt;"Net Profit",AB92&lt;&gt;"Operating Profit"),1,0)</f>
        <v>0</v>
      </c>
    </row>
    <row r="93" customFormat="false" ht="15" hidden="false" customHeight="false" outlineLevel="0" collapsed="false">
      <c r="B93" s="44"/>
      <c r="C93" s="44"/>
      <c r="D93" s="44"/>
      <c r="E93" s="44"/>
      <c r="F93" s="44"/>
      <c r="G93" s="44"/>
      <c r="H93" s="44"/>
      <c r="I93" s="44"/>
      <c r="J93" s="44"/>
      <c r="K93" s="44"/>
      <c r="L93" s="44"/>
      <c r="M93" s="44"/>
      <c r="N93" s="44"/>
      <c r="O93" s="44"/>
      <c r="P93" s="44"/>
      <c r="Q93" s="44"/>
      <c r="R93" s="44"/>
      <c r="S93" s="44"/>
      <c r="T93" s="44"/>
      <c r="U93" s="44"/>
      <c r="V93" s="44"/>
      <c r="W93" s="44"/>
      <c r="X93" s="44"/>
      <c r="Y93" s="44"/>
      <c r="Z93" s="44"/>
      <c r="AB93" s="37" t="str">
        <f aca="false">TRIM($A93&amp;"")</f>
        <v/>
      </c>
      <c r="AC93" s="37" t="str">
        <f aca="false">IF(AB93="","",IFERROR(INDEX('Account Map'!$B:$B,MATCH(AB93,'Account Map'!$A:$A,0)),""))</f>
        <v/>
      </c>
      <c r="AD93" s="37" t="str">
        <f aca="false">IF(AB93="","",IFERROR(INDEX('Account Map'!$C:$C,MATCH(AB93,'Account Map'!$A:$A,0)),""))</f>
        <v/>
      </c>
      <c r="AE93" s="37" t="n">
        <f aca="false">IF(AND(AB93&lt;&gt;"",AC93="",COUNT($B93:$Z93)&gt;0,LEFT(AB93,5)&lt;&gt;"Total",AB93&lt;&gt;"Gross Profit",AB93&lt;&gt;"Net Profit",AB93&lt;&gt;"Operating Profit"),1,0)</f>
        <v>0</v>
      </c>
    </row>
    <row r="94" customFormat="false" ht="15" hidden="false" customHeight="false" outlineLevel="0" collapsed="false">
      <c r="B94" s="44"/>
      <c r="C94" s="44"/>
      <c r="D94" s="44"/>
      <c r="E94" s="44"/>
      <c r="F94" s="44"/>
      <c r="G94" s="44"/>
      <c r="H94" s="44"/>
      <c r="I94" s="44"/>
      <c r="J94" s="44"/>
      <c r="K94" s="44"/>
      <c r="L94" s="44"/>
      <c r="M94" s="44"/>
      <c r="N94" s="44"/>
      <c r="O94" s="44"/>
      <c r="P94" s="44"/>
      <c r="Q94" s="44"/>
      <c r="R94" s="44"/>
      <c r="S94" s="44"/>
      <c r="T94" s="44"/>
      <c r="U94" s="44"/>
      <c r="V94" s="44"/>
      <c r="W94" s="44"/>
      <c r="X94" s="44"/>
      <c r="Y94" s="44"/>
      <c r="Z94" s="44"/>
      <c r="AB94" s="37" t="str">
        <f aca="false">TRIM($A94&amp;"")</f>
        <v/>
      </c>
      <c r="AC94" s="37" t="str">
        <f aca="false">IF(AB94="","",IFERROR(INDEX('Account Map'!$B:$B,MATCH(AB94,'Account Map'!$A:$A,0)),""))</f>
        <v/>
      </c>
      <c r="AD94" s="37" t="str">
        <f aca="false">IF(AB94="","",IFERROR(INDEX('Account Map'!$C:$C,MATCH(AB94,'Account Map'!$A:$A,0)),""))</f>
        <v/>
      </c>
      <c r="AE94" s="37" t="n">
        <f aca="false">IF(AND(AB94&lt;&gt;"",AC94="",COUNT($B94:$Z94)&gt;0,LEFT(AB94,5)&lt;&gt;"Total",AB94&lt;&gt;"Gross Profit",AB94&lt;&gt;"Net Profit",AB94&lt;&gt;"Operating Profit"),1,0)</f>
        <v>0</v>
      </c>
    </row>
    <row r="95" customFormat="false" ht="15" hidden="false" customHeight="false" outlineLevel="0" collapsed="false">
      <c r="B95" s="44"/>
      <c r="C95" s="44"/>
      <c r="D95" s="44"/>
      <c r="E95" s="44"/>
      <c r="F95" s="44"/>
      <c r="G95" s="44"/>
      <c r="H95" s="44"/>
      <c r="I95" s="44"/>
      <c r="J95" s="44"/>
      <c r="K95" s="44"/>
      <c r="L95" s="44"/>
      <c r="M95" s="44"/>
      <c r="N95" s="44"/>
      <c r="O95" s="44"/>
      <c r="P95" s="44"/>
      <c r="Q95" s="44"/>
      <c r="R95" s="44"/>
      <c r="S95" s="44"/>
      <c r="T95" s="44"/>
      <c r="U95" s="44"/>
      <c r="V95" s="44"/>
      <c r="W95" s="44"/>
      <c r="X95" s="44"/>
      <c r="Y95" s="44"/>
      <c r="Z95" s="44"/>
      <c r="AB95" s="37" t="str">
        <f aca="false">TRIM($A95&amp;"")</f>
        <v/>
      </c>
      <c r="AC95" s="37" t="str">
        <f aca="false">IF(AB95="","",IFERROR(INDEX('Account Map'!$B:$B,MATCH(AB95,'Account Map'!$A:$A,0)),""))</f>
        <v/>
      </c>
      <c r="AD95" s="37" t="str">
        <f aca="false">IF(AB95="","",IFERROR(INDEX('Account Map'!$C:$C,MATCH(AB95,'Account Map'!$A:$A,0)),""))</f>
        <v/>
      </c>
      <c r="AE95" s="37" t="n">
        <f aca="false">IF(AND(AB95&lt;&gt;"",AC95="",COUNT($B95:$Z95)&gt;0,LEFT(AB95,5)&lt;&gt;"Total",AB95&lt;&gt;"Gross Profit",AB95&lt;&gt;"Net Profit",AB95&lt;&gt;"Operating Profit"),1,0)</f>
        <v>0</v>
      </c>
    </row>
    <row r="96" customFormat="false" ht="15" hidden="false" customHeight="false" outlineLevel="0" collapsed="false">
      <c r="B96" s="44"/>
      <c r="C96" s="44"/>
      <c r="D96" s="44"/>
      <c r="E96" s="44"/>
      <c r="F96" s="44"/>
      <c r="G96" s="44"/>
      <c r="H96" s="44"/>
      <c r="I96" s="44"/>
      <c r="J96" s="44"/>
      <c r="K96" s="44"/>
      <c r="L96" s="44"/>
      <c r="M96" s="44"/>
      <c r="N96" s="44"/>
      <c r="O96" s="44"/>
      <c r="P96" s="44"/>
      <c r="Q96" s="44"/>
      <c r="R96" s="44"/>
      <c r="S96" s="44"/>
      <c r="T96" s="44"/>
      <c r="U96" s="44"/>
      <c r="V96" s="44"/>
      <c r="W96" s="44"/>
      <c r="X96" s="44"/>
      <c r="Y96" s="44"/>
      <c r="Z96" s="44"/>
      <c r="AB96" s="37" t="str">
        <f aca="false">TRIM($A96&amp;"")</f>
        <v/>
      </c>
      <c r="AC96" s="37" t="str">
        <f aca="false">IF(AB96="","",IFERROR(INDEX('Account Map'!$B:$B,MATCH(AB96,'Account Map'!$A:$A,0)),""))</f>
        <v/>
      </c>
      <c r="AD96" s="37" t="str">
        <f aca="false">IF(AB96="","",IFERROR(INDEX('Account Map'!$C:$C,MATCH(AB96,'Account Map'!$A:$A,0)),""))</f>
        <v/>
      </c>
      <c r="AE96" s="37" t="n">
        <f aca="false">IF(AND(AB96&lt;&gt;"",AC96="",COUNT($B96:$Z96)&gt;0,LEFT(AB96,5)&lt;&gt;"Total",AB96&lt;&gt;"Gross Profit",AB96&lt;&gt;"Net Profit",AB96&lt;&gt;"Operating Profit"),1,0)</f>
        <v>0</v>
      </c>
    </row>
    <row r="97" customFormat="false" ht="15" hidden="false" customHeight="false" outlineLevel="0" collapsed="false">
      <c r="B97" s="44"/>
      <c r="C97" s="44"/>
      <c r="D97" s="44"/>
      <c r="E97" s="44"/>
      <c r="F97" s="44"/>
      <c r="G97" s="44"/>
      <c r="H97" s="44"/>
      <c r="I97" s="44"/>
      <c r="J97" s="44"/>
      <c r="K97" s="44"/>
      <c r="L97" s="44"/>
      <c r="M97" s="44"/>
      <c r="N97" s="44"/>
      <c r="O97" s="44"/>
      <c r="P97" s="44"/>
      <c r="Q97" s="44"/>
      <c r="R97" s="44"/>
      <c r="S97" s="44"/>
      <c r="T97" s="44"/>
      <c r="U97" s="44"/>
      <c r="V97" s="44"/>
      <c r="W97" s="44"/>
      <c r="X97" s="44"/>
      <c r="Y97" s="44"/>
      <c r="Z97" s="44"/>
      <c r="AB97" s="37" t="str">
        <f aca="false">TRIM($A97&amp;"")</f>
        <v/>
      </c>
      <c r="AC97" s="37" t="str">
        <f aca="false">IF(AB97="","",IFERROR(INDEX('Account Map'!$B:$B,MATCH(AB97,'Account Map'!$A:$A,0)),""))</f>
        <v/>
      </c>
      <c r="AD97" s="37" t="str">
        <f aca="false">IF(AB97="","",IFERROR(INDEX('Account Map'!$C:$C,MATCH(AB97,'Account Map'!$A:$A,0)),""))</f>
        <v/>
      </c>
      <c r="AE97" s="37" t="n">
        <f aca="false">IF(AND(AB97&lt;&gt;"",AC97="",COUNT($B97:$Z97)&gt;0,LEFT(AB97,5)&lt;&gt;"Total",AB97&lt;&gt;"Gross Profit",AB97&lt;&gt;"Net Profit",AB97&lt;&gt;"Operating Profit"),1,0)</f>
        <v>0</v>
      </c>
    </row>
    <row r="98" customFormat="false" ht="15" hidden="false" customHeight="false" outlineLevel="0" collapsed="false">
      <c r="B98" s="44"/>
      <c r="C98" s="44"/>
      <c r="D98" s="44"/>
      <c r="E98" s="44"/>
      <c r="F98" s="44"/>
      <c r="G98" s="44"/>
      <c r="H98" s="44"/>
      <c r="I98" s="44"/>
      <c r="J98" s="44"/>
      <c r="K98" s="44"/>
      <c r="L98" s="44"/>
      <c r="M98" s="44"/>
      <c r="N98" s="44"/>
      <c r="O98" s="44"/>
      <c r="P98" s="44"/>
      <c r="Q98" s="44"/>
      <c r="R98" s="44"/>
      <c r="S98" s="44"/>
      <c r="T98" s="44"/>
      <c r="U98" s="44"/>
      <c r="V98" s="44"/>
      <c r="W98" s="44"/>
      <c r="X98" s="44"/>
      <c r="Y98" s="44"/>
      <c r="Z98" s="44"/>
      <c r="AB98" s="37" t="str">
        <f aca="false">TRIM($A98&amp;"")</f>
        <v/>
      </c>
      <c r="AC98" s="37" t="str">
        <f aca="false">IF(AB98="","",IFERROR(INDEX('Account Map'!$B:$B,MATCH(AB98,'Account Map'!$A:$A,0)),""))</f>
        <v/>
      </c>
      <c r="AD98" s="37" t="str">
        <f aca="false">IF(AB98="","",IFERROR(INDEX('Account Map'!$C:$C,MATCH(AB98,'Account Map'!$A:$A,0)),""))</f>
        <v/>
      </c>
      <c r="AE98" s="37" t="n">
        <f aca="false">IF(AND(AB98&lt;&gt;"",AC98="",COUNT($B98:$Z98)&gt;0,LEFT(AB98,5)&lt;&gt;"Total",AB98&lt;&gt;"Gross Profit",AB98&lt;&gt;"Net Profit",AB98&lt;&gt;"Operating Profit"),1,0)</f>
        <v>0</v>
      </c>
    </row>
    <row r="99" customFormat="false" ht="15" hidden="false" customHeight="false" outlineLevel="0" collapsed="false">
      <c r="B99" s="44"/>
      <c r="C99" s="44"/>
      <c r="D99" s="44"/>
      <c r="E99" s="44"/>
      <c r="F99" s="44"/>
      <c r="G99" s="44"/>
      <c r="H99" s="44"/>
      <c r="I99" s="44"/>
      <c r="J99" s="44"/>
      <c r="K99" s="44"/>
      <c r="L99" s="44"/>
      <c r="M99" s="44"/>
      <c r="N99" s="44"/>
      <c r="O99" s="44"/>
      <c r="P99" s="44"/>
      <c r="Q99" s="44"/>
      <c r="R99" s="44"/>
      <c r="S99" s="44"/>
      <c r="T99" s="44"/>
      <c r="U99" s="44"/>
      <c r="V99" s="44"/>
      <c r="W99" s="44"/>
      <c r="X99" s="44"/>
      <c r="Y99" s="44"/>
      <c r="Z99" s="44"/>
      <c r="AB99" s="37" t="str">
        <f aca="false">TRIM($A99&amp;"")</f>
        <v/>
      </c>
      <c r="AC99" s="37" t="str">
        <f aca="false">IF(AB99="","",IFERROR(INDEX('Account Map'!$B:$B,MATCH(AB99,'Account Map'!$A:$A,0)),""))</f>
        <v/>
      </c>
      <c r="AD99" s="37" t="str">
        <f aca="false">IF(AB99="","",IFERROR(INDEX('Account Map'!$C:$C,MATCH(AB99,'Account Map'!$A:$A,0)),""))</f>
        <v/>
      </c>
      <c r="AE99" s="37" t="n">
        <f aca="false">IF(AND(AB99&lt;&gt;"",AC99="",COUNT($B99:$Z99)&gt;0,LEFT(AB99,5)&lt;&gt;"Total",AB99&lt;&gt;"Gross Profit",AB99&lt;&gt;"Net Profit",AB99&lt;&gt;"Operating Profit"),1,0)</f>
        <v>0</v>
      </c>
    </row>
    <row r="100" customFormat="false" ht="15" hidden="false" customHeight="false" outlineLevel="0" collapsed="false">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c r="AB100" s="37" t="str">
        <f aca="false">TRIM($A100&amp;"")</f>
        <v/>
      </c>
      <c r="AC100" s="37" t="str">
        <f aca="false">IF(AB100="","",IFERROR(INDEX('Account Map'!$B:$B,MATCH(AB100,'Account Map'!$A:$A,0)),""))</f>
        <v/>
      </c>
      <c r="AD100" s="37" t="str">
        <f aca="false">IF(AB100="","",IFERROR(INDEX('Account Map'!$C:$C,MATCH(AB100,'Account Map'!$A:$A,0)),""))</f>
        <v/>
      </c>
      <c r="AE100" s="37" t="n">
        <f aca="false">IF(AND(AB100&lt;&gt;"",AC100="",COUNT($B100:$Z100)&gt;0,LEFT(AB100,5)&lt;&gt;"Total",AB100&lt;&gt;"Gross Profit",AB100&lt;&gt;"Net Profit",AB100&lt;&gt;"Operating Profit"),1,0)</f>
        <v>0</v>
      </c>
    </row>
    <row r="101" customFormat="false" ht="15" hidden="false" customHeight="false" outlineLevel="0" collapsed="false">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c r="AB101" s="37" t="str">
        <f aca="false">TRIM($A101&amp;"")</f>
        <v/>
      </c>
      <c r="AC101" s="37" t="str">
        <f aca="false">IF(AB101="","",IFERROR(INDEX('Account Map'!$B:$B,MATCH(AB101,'Account Map'!$A:$A,0)),""))</f>
        <v/>
      </c>
      <c r="AD101" s="37" t="str">
        <f aca="false">IF(AB101="","",IFERROR(INDEX('Account Map'!$C:$C,MATCH(AB101,'Account Map'!$A:$A,0)),""))</f>
        <v/>
      </c>
      <c r="AE101" s="37" t="n">
        <f aca="false">IF(AND(AB101&lt;&gt;"",AC101="",COUNT($B101:$Z101)&gt;0,LEFT(AB101,5)&lt;&gt;"Total",AB101&lt;&gt;"Gross Profit",AB101&lt;&gt;"Net Profit",AB101&lt;&gt;"Operating Profit"),1,0)</f>
        <v>0</v>
      </c>
    </row>
    <row r="102" customFormat="false" ht="15" hidden="false" customHeight="false" outlineLevel="0" collapsed="false">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c r="AB102" s="37" t="str">
        <f aca="false">TRIM($A102&amp;"")</f>
        <v/>
      </c>
      <c r="AC102" s="37" t="str">
        <f aca="false">IF(AB102="","",IFERROR(INDEX('Account Map'!$B:$B,MATCH(AB102,'Account Map'!$A:$A,0)),""))</f>
        <v/>
      </c>
      <c r="AD102" s="37" t="str">
        <f aca="false">IF(AB102="","",IFERROR(INDEX('Account Map'!$C:$C,MATCH(AB102,'Account Map'!$A:$A,0)),""))</f>
        <v/>
      </c>
      <c r="AE102" s="37" t="n">
        <f aca="false">IF(AND(AB102&lt;&gt;"",AC102="",COUNT($B102:$Z102)&gt;0,LEFT(AB102,5)&lt;&gt;"Total",AB102&lt;&gt;"Gross Profit",AB102&lt;&gt;"Net Profit",AB102&lt;&gt;"Operating Profit"),1,0)</f>
        <v>0</v>
      </c>
    </row>
    <row r="103" customFormat="false" ht="15" hidden="false" customHeight="false" outlineLevel="0" collapsed="false">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c r="AB103" s="37" t="str">
        <f aca="false">TRIM($A103&amp;"")</f>
        <v/>
      </c>
      <c r="AC103" s="37" t="str">
        <f aca="false">IF(AB103="","",IFERROR(INDEX('Account Map'!$B:$B,MATCH(AB103,'Account Map'!$A:$A,0)),""))</f>
        <v/>
      </c>
      <c r="AD103" s="37" t="str">
        <f aca="false">IF(AB103="","",IFERROR(INDEX('Account Map'!$C:$C,MATCH(AB103,'Account Map'!$A:$A,0)),""))</f>
        <v/>
      </c>
      <c r="AE103" s="37" t="n">
        <f aca="false">IF(AND(AB103&lt;&gt;"",AC103="",COUNT($B103:$Z103)&gt;0,LEFT(AB103,5)&lt;&gt;"Total",AB103&lt;&gt;"Gross Profit",AB103&lt;&gt;"Net Profit",AB103&lt;&gt;"Operating Profit"),1,0)</f>
        <v>0</v>
      </c>
    </row>
    <row r="104" customFormat="false" ht="15" hidden="false" customHeight="false" outlineLevel="0" collapsed="false">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c r="AB104" s="37" t="str">
        <f aca="false">TRIM($A104&amp;"")</f>
        <v/>
      </c>
      <c r="AC104" s="37" t="str">
        <f aca="false">IF(AB104="","",IFERROR(INDEX('Account Map'!$B:$B,MATCH(AB104,'Account Map'!$A:$A,0)),""))</f>
        <v/>
      </c>
      <c r="AD104" s="37" t="str">
        <f aca="false">IF(AB104="","",IFERROR(INDEX('Account Map'!$C:$C,MATCH(AB104,'Account Map'!$A:$A,0)),""))</f>
        <v/>
      </c>
      <c r="AE104" s="37" t="n">
        <f aca="false">IF(AND(AB104&lt;&gt;"",AC104="",COUNT($B104:$Z104)&gt;0,LEFT(AB104,5)&lt;&gt;"Total",AB104&lt;&gt;"Gross Profit",AB104&lt;&gt;"Net Profit",AB104&lt;&gt;"Operating Profit"),1,0)</f>
        <v>0</v>
      </c>
    </row>
    <row r="105" customFormat="false" ht="15" hidden="false" customHeight="false" outlineLevel="0" collapsed="false">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c r="AB105" s="37" t="str">
        <f aca="false">TRIM($A105&amp;"")</f>
        <v/>
      </c>
      <c r="AC105" s="37" t="str">
        <f aca="false">IF(AB105="","",IFERROR(INDEX('Account Map'!$B:$B,MATCH(AB105,'Account Map'!$A:$A,0)),""))</f>
        <v/>
      </c>
      <c r="AD105" s="37" t="str">
        <f aca="false">IF(AB105="","",IFERROR(INDEX('Account Map'!$C:$C,MATCH(AB105,'Account Map'!$A:$A,0)),""))</f>
        <v/>
      </c>
      <c r="AE105" s="37" t="n">
        <f aca="false">IF(AND(AB105&lt;&gt;"",AC105="",COUNT($B105:$Z105)&gt;0,LEFT(AB105,5)&lt;&gt;"Total",AB105&lt;&gt;"Gross Profit",AB105&lt;&gt;"Net Profit",AB105&lt;&gt;"Operating Profit"),1,0)</f>
        <v>0</v>
      </c>
    </row>
    <row r="106" customFormat="false" ht="15" hidden="false" customHeight="false" outlineLevel="0" collapsed="false">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B106" s="37" t="str">
        <f aca="false">TRIM($A106&amp;"")</f>
        <v/>
      </c>
      <c r="AC106" s="37" t="str">
        <f aca="false">IF(AB106="","",IFERROR(INDEX('Account Map'!$B:$B,MATCH(AB106,'Account Map'!$A:$A,0)),""))</f>
        <v/>
      </c>
      <c r="AD106" s="37" t="str">
        <f aca="false">IF(AB106="","",IFERROR(INDEX('Account Map'!$C:$C,MATCH(AB106,'Account Map'!$A:$A,0)),""))</f>
        <v/>
      </c>
      <c r="AE106" s="37" t="n">
        <f aca="false">IF(AND(AB106&lt;&gt;"",AC106="",COUNT($B106:$Z106)&gt;0,LEFT(AB106,5)&lt;&gt;"Total",AB106&lt;&gt;"Gross Profit",AB106&lt;&gt;"Net Profit",AB106&lt;&gt;"Operating Profit"),1,0)</f>
        <v>0</v>
      </c>
    </row>
    <row r="107" customFormat="false" ht="15" hidden="false" customHeight="false" outlineLevel="0" collapsed="false">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c r="AB107" s="37" t="str">
        <f aca="false">TRIM($A107&amp;"")</f>
        <v/>
      </c>
      <c r="AC107" s="37" t="str">
        <f aca="false">IF(AB107="","",IFERROR(INDEX('Account Map'!$B:$B,MATCH(AB107,'Account Map'!$A:$A,0)),""))</f>
        <v/>
      </c>
      <c r="AD107" s="37" t="str">
        <f aca="false">IF(AB107="","",IFERROR(INDEX('Account Map'!$C:$C,MATCH(AB107,'Account Map'!$A:$A,0)),""))</f>
        <v/>
      </c>
      <c r="AE107" s="37" t="n">
        <f aca="false">IF(AND(AB107&lt;&gt;"",AC107="",COUNT($B107:$Z107)&gt;0,LEFT(AB107,5)&lt;&gt;"Total",AB107&lt;&gt;"Gross Profit",AB107&lt;&gt;"Net Profit",AB107&lt;&gt;"Operating Profit"),1,0)</f>
        <v>0</v>
      </c>
    </row>
    <row r="108" customFormat="false" ht="15" hidden="false" customHeight="false" outlineLevel="0" collapsed="false">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c r="AB108" s="37" t="str">
        <f aca="false">TRIM($A108&amp;"")</f>
        <v/>
      </c>
      <c r="AC108" s="37" t="str">
        <f aca="false">IF(AB108="","",IFERROR(INDEX('Account Map'!$B:$B,MATCH(AB108,'Account Map'!$A:$A,0)),""))</f>
        <v/>
      </c>
      <c r="AD108" s="37" t="str">
        <f aca="false">IF(AB108="","",IFERROR(INDEX('Account Map'!$C:$C,MATCH(AB108,'Account Map'!$A:$A,0)),""))</f>
        <v/>
      </c>
      <c r="AE108" s="37" t="n">
        <f aca="false">IF(AND(AB108&lt;&gt;"",AC108="",COUNT($B108:$Z108)&gt;0,LEFT(AB108,5)&lt;&gt;"Total",AB108&lt;&gt;"Gross Profit",AB108&lt;&gt;"Net Profit",AB108&lt;&gt;"Operating Profit"),1,0)</f>
        <v>0</v>
      </c>
    </row>
    <row r="109" customFormat="false" ht="15" hidden="false" customHeight="false" outlineLevel="0" collapsed="false">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c r="AB109" s="37" t="str">
        <f aca="false">TRIM($A109&amp;"")</f>
        <v/>
      </c>
      <c r="AC109" s="37" t="str">
        <f aca="false">IF(AB109="","",IFERROR(INDEX('Account Map'!$B:$B,MATCH(AB109,'Account Map'!$A:$A,0)),""))</f>
        <v/>
      </c>
      <c r="AD109" s="37" t="str">
        <f aca="false">IF(AB109="","",IFERROR(INDEX('Account Map'!$C:$C,MATCH(AB109,'Account Map'!$A:$A,0)),""))</f>
        <v/>
      </c>
      <c r="AE109" s="37" t="n">
        <f aca="false">IF(AND(AB109&lt;&gt;"",AC109="",COUNT($B109:$Z109)&gt;0,LEFT(AB109,5)&lt;&gt;"Total",AB109&lt;&gt;"Gross Profit",AB109&lt;&gt;"Net Profit",AB109&lt;&gt;"Operating Profit"),1,0)</f>
        <v>0</v>
      </c>
    </row>
    <row r="110" customFormat="false" ht="15" hidden="false" customHeight="false" outlineLevel="0" collapsed="false">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c r="AB110" s="37" t="str">
        <f aca="false">TRIM($A110&amp;"")</f>
        <v/>
      </c>
      <c r="AC110" s="37" t="str">
        <f aca="false">IF(AB110="","",IFERROR(INDEX('Account Map'!$B:$B,MATCH(AB110,'Account Map'!$A:$A,0)),""))</f>
        <v/>
      </c>
      <c r="AD110" s="37" t="str">
        <f aca="false">IF(AB110="","",IFERROR(INDEX('Account Map'!$C:$C,MATCH(AB110,'Account Map'!$A:$A,0)),""))</f>
        <v/>
      </c>
      <c r="AE110" s="37" t="n">
        <f aca="false">IF(AND(AB110&lt;&gt;"",AC110="",COUNT($B110:$Z110)&gt;0,LEFT(AB110,5)&lt;&gt;"Total",AB110&lt;&gt;"Gross Profit",AB110&lt;&gt;"Net Profit",AB110&lt;&gt;"Operating Profit"),1,0)</f>
        <v>0</v>
      </c>
    </row>
    <row r="111" customFormat="false" ht="15" hidden="false" customHeight="false" outlineLevel="0" collapsed="false">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c r="AB111" s="37" t="str">
        <f aca="false">TRIM($A111&amp;"")</f>
        <v/>
      </c>
      <c r="AC111" s="37" t="str">
        <f aca="false">IF(AB111="","",IFERROR(INDEX('Account Map'!$B:$B,MATCH(AB111,'Account Map'!$A:$A,0)),""))</f>
        <v/>
      </c>
      <c r="AD111" s="37" t="str">
        <f aca="false">IF(AB111="","",IFERROR(INDEX('Account Map'!$C:$C,MATCH(AB111,'Account Map'!$A:$A,0)),""))</f>
        <v/>
      </c>
      <c r="AE111" s="37" t="n">
        <f aca="false">IF(AND(AB111&lt;&gt;"",AC111="",COUNT($B111:$Z111)&gt;0,LEFT(AB111,5)&lt;&gt;"Total",AB111&lt;&gt;"Gross Profit",AB111&lt;&gt;"Net Profit",AB111&lt;&gt;"Operating Profit"),1,0)</f>
        <v>0</v>
      </c>
    </row>
    <row r="112" customFormat="false" ht="15" hidden="false" customHeight="false" outlineLevel="0" collapsed="false">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c r="AB112" s="37" t="str">
        <f aca="false">TRIM($A112&amp;"")</f>
        <v/>
      </c>
      <c r="AC112" s="37" t="str">
        <f aca="false">IF(AB112="","",IFERROR(INDEX('Account Map'!$B:$B,MATCH(AB112,'Account Map'!$A:$A,0)),""))</f>
        <v/>
      </c>
      <c r="AD112" s="37" t="str">
        <f aca="false">IF(AB112="","",IFERROR(INDEX('Account Map'!$C:$C,MATCH(AB112,'Account Map'!$A:$A,0)),""))</f>
        <v/>
      </c>
      <c r="AE112" s="37" t="n">
        <f aca="false">IF(AND(AB112&lt;&gt;"",AC112="",COUNT($B112:$Z112)&gt;0,LEFT(AB112,5)&lt;&gt;"Total",AB112&lt;&gt;"Gross Profit",AB112&lt;&gt;"Net Profit",AB112&lt;&gt;"Operating Profit"),1,0)</f>
        <v>0</v>
      </c>
    </row>
    <row r="113" customFormat="false" ht="15" hidden="false" customHeight="false" outlineLevel="0" collapsed="false">
      <c r="B113" s="44"/>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c r="AB113" s="37" t="str">
        <f aca="false">TRIM($A113&amp;"")</f>
        <v/>
      </c>
      <c r="AC113" s="37" t="str">
        <f aca="false">IF(AB113="","",IFERROR(INDEX('Account Map'!$B:$B,MATCH(AB113,'Account Map'!$A:$A,0)),""))</f>
        <v/>
      </c>
      <c r="AD113" s="37" t="str">
        <f aca="false">IF(AB113="","",IFERROR(INDEX('Account Map'!$C:$C,MATCH(AB113,'Account Map'!$A:$A,0)),""))</f>
        <v/>
      </c>
      <c r="AE113" s="37" t="n">
        <f aca="false">IF(AND(AB113&lt;&gt;"",AC113="",COUNT($B113:$Z113)&gt;0,LEFT(AB113,5)&lt;&gt;"Total",AB113&lt;&gt;"Gross Profit",AB113&lt;&gt;"Net Profit",AB113&lt;&gt;"Operating Profit"),1,0)</f>
        <v>0</v>
      </c>
    </row>
    <row r="114" customFormat="false" ht="15" hidden="false" customHeight="false" outlineLevel="0" collapsed="false">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c r="AB114" s="37" t="str">
        <f aca="false">TRIM($A114&amp;"")</f>
        <v/>
      </c>
      <c r="AC114" s="37" t="str">
        <f aca="false">IF(AB114="","",IFERROR(INDEX('Account Map'!$B:$B,MATCH(AB114,'Account Map'!$A:$A,0)),""))</f>
        <v/>
      </c>
      <c r="AD114" s="37" t="str">
        <f aca="false">IF(AB114="","",IFERROR(INDEX('Account Map'!$C:$C,MATCH(AB114,'Account Map'!$A:$A,0)),""))</f>
        <v/>
      </c>
      <c r="AE114" s="37" t="n">
        <f aca="false">IF(AND(AB114&lt;&gt;"",AC114="",COUNT($B114:$Z114)&gt;0,LEFT(AB114,5)&lt;&gt;"Total",AB114&lt;&gt;"Gross Profit",AB114&lt;&gt;"Net Profit",AB114&lt;&gt;"Operating Profit"),1,0)</f>
        <v>0</v>
      </c>
    </row>
    <row r="115" customFormat="false" ht="15" hidden="false" customHeight="false" outlineLevel="0" collapsed="false">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c r="AB115" s="37" t="str">
        <f aca="false">TRIM($A115&amp;"")</f>
        <v/>
      </c>
      <c r="AC115" s="37" t="str">
        <f aca="false">IF(AB115="","",IFERROR(INDEX('Account Map'!$B:$B,MATCH(AB115,'Account Map'!$A:$A,0)),""))</f>
        <v/>
      </c>
      <c r="AD115" s="37" t="str">
        <f aca="false">IF(AB115="","",IFERROR(INDEX('Account Map'!$C:$C,MATCH(AB115,'Account Map'!$A:$A,0)),""))</f>
        <v/>
      </c>
      <c r="AE115" s="37" t="n">
        <f aca="false">IF(AND(AB115&lt;&gt;"",AC115="",COUNT($B115:$Z115)&gt;0,LEFT(AB115,5)&lt;&gt;"Total",AB115&lt;&gt;"Gross Profit",AB115&lt;&gt;"Net Profit",AB115&lt;&gt;"Operating Profit"),1,0)</f>
        <v>0</v>
      </c>
    </row>
    <row r="116" customFormat="false" ht="15" hidden="false" customHeight="false" outlineLevel="0" collapsed="false">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c r="AB116" s="37" t="str">
        <f aca="false">TRIM($A116&amp;"")</f>
        <v/>
      </c>
      <c r="AC116" s="37" t="str">
        <f aca="false">IF(AB116="","",IFERROR(INDEX('Account Map'!$B:$B,MATCH(AB116,'Account Map'!$A:$A,0)),""))</f>
        <v/>
      </c>
      <c r="AD116" s="37" t="str">
        <f aca="false">IF(AB116="","",IFERROR(INDEX('Account Map'!$C:$C,MATCH(AB116,'Account Map'!$A:$A,0)),""))</f>
        <v/>
      </c>
      <c r="AE116" s="37" t="n">
        <f aca="false">IF(AND(AB116&lt;&gt;"",AC116="",COUNT($B116:$Z116)&gt;0,LEFT(AB116,5)&lt;&gt;"Total",AB116&lt;&gt;"Gross Profit",AB116&lt;&gt;"Net Profit",AB116&lt;&gt;"Operating Profit"),1,0)</f>
        <v>0</v>
      </c>
    </row>
    <row r="117" customFormat="false" ht="15" hidden="false" customHeight="false" outlineLevel="0" collapsed="false">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c r="AB117" s="37" t="str">
        <f aca="false">TRIM($A117&amp;"")</f>
        <v/>
      </c>
      <c r="AC117" s="37" t="str">
        <f aca="false">IF(AB117="","",IFERROR(INDEX('Account Map'!$B:$B,MATCH(AB117,'Account Map'!$A:$A,0)),""))</f>
        <v/>
      </c>
      <c r="AD117" s="37" t="str">
        <f aca="false">IF(AB117="","",IFERROR(INDEX('Account Map'!$C:$C,MATCH(AB117,'Account Map'!$A:$A,0)),""))</f>
        <v/>
      </c>
      <c r="AE117" s="37" t="n">
        <f aca="false">IF(AND(AB117&lt;&gt;"",AC117="",COUNT($B117:$Z117)&gt;0,LEFT(AB117,5)&lt;&gt;"Total",AB117&lt;&gt;"Gross Profit",AB117&lt;&gt;"Net Profit",AB117&lt;&gt;"Operating Profit"),1,0)</f>
        <v>0</v>
      </c>
    </row>
    <row r="118" customFormat="false" ht="15" hidden="false" customHeight="false" outlineLevel="0" collapsed="false">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c r="AB118" s="37" t="str">
        <f aca="false">TRIM($A118&amp;"")</f>
        <v/>
      </c>
      <c r="AC118" s="37" t="str">
        <f aca="false">IF(AB118="","",IFERROR(INDEX('Account Map'!$B:$B,MATCH(AB118,'Account Map'!$A:$A,0)),""))</f>
        <v/>
      </c>
      <c r="AD118" s="37" t="str">
        <f aca="false">IF(AB118="","",IFERROR(INDEX('Account Map'!$C:$C,MATCH(AB118,'Account Map'!$A:$A,0)),""))</f>
        <v/>
      </c>
      <c r="AE118" s="37" t="n">
        <f aca="false">IF(AND(AB118&lt;&gt;"",AC118="",COUNT($B118:$Z118)&gt;0,LEFT(AB118,5)&lt;&gt;"Total",AB118&lt;&gt;"Gross Profit",AB118&lt;&gt;"Net Profit",AB118&lt;&gt;"Operating Profit"),1,0)</f>
        <v>0</v>
      </c>
    </row>
    <row r="119" customFormat="false" ht="15" hidden="false" customHeight="false" outlineLevel="0" collapsed="false">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c r="AB119" s="37" t="str">
        <f aca="false">TRIM($A119&amp;"")</f>
        <v/>
      </c>
      <c r="AC119" s="37" t="str">
        <f aca="false">IF(AB119="","",IFERROR(INDEX('Account Map'!$B:$B,MATCH(AB119,'Account Map'!$A:$A,0)),""))</f>
        <v/>
      </c>
      <c r="AD119" s="37" t="str">
        <f aca="false">IF(AB119="","",IFERROR(INDEX('Account Map'!$C:$C,MATCH(AB119,'Account Map'!$A:$A,0)),""))</f>
        <v/>
      </c>
      <c r="AE119" s="37" t="n">
        <f aca="false">IF(AND(AB119&lt;&gt;"",AC119="",COUNT($B119:$Z119)&gt;0,LEFT(AB119,5)&lt;&gt;"Total",AB119&lt;&gt;"Gross Profit",AB119&lt;&gt;"Net Profit",AB119&lt;&gt;"Operating Profit"),1,0)</f>
        <v>0</v>
      </c>
    </row>
    <row r="120" customFormat="false" ht="15" hidden="false" customHeight="false" outlineLevel="0" collapsed="false">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c r="AB120" s="37" t="str">
        <f aca="false">TRIM($A120&amp;"")</f>
        <v/>
      </c>
      <c r="AC120" s="37" t="str">
        <f aca="false">IF(AB120="","",IFERROR(INDEX('Account Map'!$B:$B,MATCH(AB120,'Account Map'!$A:$A,0)),""))</f>
        <v/>
      </c>
      <c r="AD120" s="37" t="str">
        <f aca="false">IF(AB120="","",IFERROR(INDEX('Account Map'!$C:$C,MATCH(AB120,'Account Map'!$A:$A,0)),""))</f>
        <v/>
      </c>
      <c r="AE120" s="37" t="n">
        <f aca="false">IF(AND(AB120&lt;&gt;"",AC120="",COUNT($B120:$Z120)&gt;0,LEFT(AB120,5)&lt;&gt;"Total",AB120&lt;&gt;"Gross Profit",AB120&lt;&gt;"Net Profit",AB120&lt;&gt;"Operating Profit"),1,0)</f>
        <v>0</v>
      </c>
    </row>
    <row r="121" customFormat="false" ht="15" hidden="false" customHeight="false" outlineLevel="0" collapsed="false">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c r="AB121" s="37" t="str">
        <f aca="false">TRIM($A121&amp;"")</f>
        <v/>
      </c>
      <c r="AC121" s="37" t="str">
        <f aca="false">IF(AB121="","",IFERROR(INDEX('Account Map'!$B:$B,MATCH(AB121,'Account Map'!$A:$A,0)),""))</f>
        <v/>
      </c>
      <c r="AD121" s="37" t="str">
        <f aca="false">IF(AB121="","",IFERROR(INDEX('Account Map'!$C:$C,MATCH(AB121,'Account Map'!$A:$A,0)),""))</f>
        <v/>
      </c>
      <c r="AE121" s="37" t="n">
        <f aca="false">IF(AND(AB121&lt;&gt;"",AC121="",COUNT($B121:$Z121)&gt;0,LEFT(AB121,5)&lt;&gt;"Total",AB121&lt;&gt;"Gross Profit",AB121&lt;&gt;"Net Profit",AB121&lt;&gt;"Operating Profit"),1,0)</f>
        <v>0</v>
      </c>
    </row>
    <row r="122" customFormat="false" ht="15" hidden="false" customHeight="false" outlineLevel="0" collapsed="false">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c r="AB122" s="37" t="str">
        <f aca="false">TRIM($A122&amp;"")</f>
        <v/>
      </c>
      <c r="AC122" s="37" t="str">
        <f aca="false">IF(AB122="","",IFERROR(INDEX('Account Map'!$B:$B,MATCH(AB122,'Account Map'!$A:$A,0)),""))</f>
        <v/>
      </c>
      <c r="AD122" s="37" t="str">
        <f aca="false">IF(AB122="","",IFERROR(INDEX('Account Map'!$C:$C,MATCH(AB122,'Account Map'!$A:$A,0)),""))</f>
        <v/>
      </c>
      <c r="AE122" s="37" t="n">
        <f aca="false">IF(AND(AB122&lt;&gt;"",AC122="",COUNT($B122:$Z122)&gt;0,LEFT(AB122,5)&lt;&gt;"Total",AB122&lt;&gt;"Gross Profit",AB122&lt;&gt;"Net Profit",AB122&lt;&gt;"Operating Profit"),1,0)</f>
        <v>0</v>
      </c>
    </row>
    <row r="123" customFormat="false" ht="15" hidden="false" customHeight="false" outlineLevel="0" collapsed="false">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c r="AB123" s="37" t="str">
        <f aca="false">TRIM($A123&amp;"")</f>
        <v/>
      </c>
      <c r="AC123" s="37" t="str">
        <f aca="false">IF(AB123="","",IFERROR(INDEX('Account Map'!$B:$B,MATCH(AB123,'Account Map'!$A:$A,0)),""))</f>
        <v/>
      </c>
      <c r="AD123" s="37" t="str">
        <f aca="false">IF(AB123="","",IFERROR(INDEX('Account Map'!$C:$C,MATCH(AB123,'Account Map'!$A:$A,0)),""))</f>
        <v/>
      </c>
      <c r="AE123" s="37" t="n">
        <f aca="false">IF(AND(AB123&lt;&gt;"",AC123="",COUNT($B123:$Z123)&gt;0,LEFT(AB123,5)&lt;&gt;"Total",AB123&lt;&gt;"Gross Profit",AB123&lt;&gt;"Net Profit",AB123&lt;&gt;"Operating Profit"),1,0)</f>
        <v>0</v>
      </c>
    </row>
    <row r="124" customFormat="false" ht="15" hidden="false" customHeight="false" outlineLevel="0" collapsed="false">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c r="AB124" s="37" t="str">
        <f aca="false">TRIM($A124&amp;"")</f>
        <v/>
      </c>
      <c r="AC124" s="37" t="str">
        <f aca="false">IF(AB124="","",IFERROR(INDEX('Account Map'!$B:$B,MATCH(AB124,'Account Map'!$A:$A,0)),""))</f>
        <v/>
      </c>
      <c r="AD124" s="37" t="str">
        <f aca="false">IF(AB124="","",IFERROR(INDEX('Account Map'!$C:$C,MATCH(AB124,'Account Map'!$A:$A,0)),""))</f>
        <v/>
      </c>
      <c r="AE124" s="37" t="n">
        <f aca="false">IF(AND(AB124&lt;&gt;"",AC124="",COUNT($B124:$Z124)&gt;0,LEFT(AB124,5)&lt;&gt;"Total",AB124&lt;&gt;"Gross Profit",AB124&lt;&gt;"Net Profit",AB124&lt;&gt;"Operating Profit"),1,0)</f>
        <v>0</v>
      </c>
    </row>
    <row r="125" customFormat="false" ht="15" hidden="false" customHeight="false" outlineLevel="0" collapsed="false">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c r="AB125" s="37" t="str">
        <f aca="false">TRIM($A125&amp;"")</f>
        <v/>
      </c>
      <c r="AC125" s="37" t="str">
        <f aca="false">IF(AB125="","",IFERROR(INDEX('Account Map'!$B:$B,MATCH(AB125,'Account Map'!$A:$A,0)),""))</f>
        <v/>
      </c>
      <c r="AD125" s="37" t="str">
        <f aca="false">IF(AB125="","",IFERROR(INDEX('Account Map'!$C:$C,MATCH(AB125,'Account Map'!$A:$A,0)),""))</f>
        <v/>
      </c>
      <c r="AE125" s="37" t="n">
        <f aca="false">IF(AND(AB125&lt;&gt;"",AC125="",COUNT($B125:$Z125)&gt;0,LEFT(AB125,5)&lt;&gt;"Total",AB125&lt;&gt;"Gross Profit",AB125&lt;&gt;"Net Profit",AB125&lt;&gt;"Operating Profit"),1,0)</f>
        <v>0</v>
      </c>
    </row>
    <row r="126" customFormat="false" ht="15" hidden="false" customHeight="false" outlineLevel="0" collapsed="false">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c r="AB126" s="37" t="str">
        <f aca="false">TRIM($A126&amp;"")</f>
        <v/>
      </c>
      <c r="AC126" s="37" t="str">
        <f aca="false">IF(AB126="","",IFERROR(INDEX('Account Map'!$B:$B,MATCH(AB126,'Account Map'!$A:$A,0)),""))</f>
        <v/>
      </c>
      <c r="AD126" s="37" t="str">
        <f aca="false">IF(AB126="","",IFERROR(INDEX('Account Map'!$C:$C,MATCH(AB126,'Account Map'!$A:$A,0)),""))</f>
        <v/>
      </c>
      <c r="AE126" s="37" t="n">
        <f aca="false">IF(AND(AB126&lt;&gt;"",AC126="",COUNT($B126:$Z126)&gt;0,LEFT(AB126,5)&lt;&gt;"Total",AB126&lt;&gt;"Gross Profit",AB126&lt;&gt;"Net Profit",AB126&lt;&gt;"Operating Profit"),1,0)</f>
        <v>0</v>
      </c>
    </row>
    <row r="127" customFormat="false" ht="15" hidden="false" customHeight="false" outlineLevel="0" collapsed="false">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c r="AB127" s="37" t="str">
        <f aca="false">TRIM($A127&amp;"")</f>
        <v/>
      </c>
      <c r="AC127" s="37" t="str">
        <f aca="false">IF(AB127="","",IFERROR(INDEX('Account Map'!$B:$B,MATCH(AB127,'Account Map'!$A:$A,0)),""))</f>
        <v/>
      </c>
      <c r="AD127" s="37" t="str">
        <f aca="false">IF(AB127="","",IFERROR(INDEX('Account Map'!$C:$C,MATCH(AB127,'Account Map'!$A:$A,0)),""))</f>
        <v/>
      </c>
      <c r="AE127" s="37" t="n">
        <f aca="false">IF(AND(AB127&lt;&gt;"",AC127="",COUNT($B127:$Z127)&gt;0,LEFT(AB127,5)&lt;&gt;"Total",AB127&lt;&gt;"Gross Profit",AB127&lt;&gt;"Net Profit",AB127&lt;&gt;"Operating Profit"),1,0)</f>
        <v>0</v>
      </c>
    </row>
    <row r="128" customFormat="false" ht="15" hidden="false" customHeight="false" outlineLevel="0" collapsed="false">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c r="AB128" s="37" t="str">
        <f aca="false">TRIM($A128&amp;"")</f>
        <v/>
      </c>
      <c r="AC128" s="37" t="str">
        <f aca="false">IF(AB128="","",IFERROR(INDEX('Account Map'!$B:$B,MATCH(AB128,'Account Map'!$A:$A,0)),""))</f>
        <v/>
      </c>
      <c r="AD128" s="37" t="str">
        <f aca="false">IF(AB128="","",IFERROR(INDEX('Account Map'!$C:$C,MATCH(AB128,'Account Map'!$A:$A,0)),""))</f>
        <v/>
      </c>
      <c r="AE128" s="37" t="n">
        <f aca="false">IF(AND(AB128&lt;&gt;"",AC128="",COUNT($B128:$Z128)&gt;0,LEFT(AB128,5)&lt;&gt;"Total",AB128&lt;&gt;"Gross Profit",AB128&lt;&gt;"Net Profit",AB128&lt;&gt;"Operating Profit"),1,0)</f>
        <v>0</v>
      </c>
    </row>
    <row r="129" customFormat="false" ht="15" hidden="false" customHeight="false" outlineLevel="0" collapsed="false">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c r="AB129" s="37" t="str">
        <f aca="false">TRIM($A129&amp;"")</f>
        <v/>
      </c>
      <c r="AC129" s="37" t="str">
        <f aca="false">IF(AB129="","",IFERROR(INDEX('Account Map'!$B:$B,MATCH(AB129,'Account Map'!$A:$A,0)),""))</f>
        <v/>
      </c>
      <c r="AD129" s="37" t="str">
        <f aca="false">IF(AB129="","",IFERROR(INDEX('Account Map'!$C:$C,MATCH(AB129,'Account Map'!$A:$A,0)),""))</f>
        <v/>
      </c>
      <c r="AE129" s="37" t="n">
        <f aca="false">IF(AND(AB129&lt;&gt;"",AC129="",COUNT($B129:$Z129)&gt;0,LEFT(AB129,5)&lt;&gt;"Total",AB129&lt;&gt;"Gross Profit",AB129&lt;&gt;"Net Profit",AB129&lt;&gt;"Operating Profit"),1,0)</f>
        <v>0</v>
      </c>
    </row>
    <row r="130" customFormat="false" ht="15" hidden="false" customHeight="false" outlineLevel="0" collapsed="false">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c r="AB130" s="37" t="str">
        <f aca="false">TRIM($A130&amp;"")</f>
        <v/>
      </c>
      <c r="AC130" s="37" t="str">
        <f aca="false">IF(AB130="","",IFERROR(INDEX('Account Map'!$B:$B,MATCH(AB130,'Account Map'!$A:$A,0)),""))</f>
        <v/>
      </c>
      <c r="AD130" s="37" t="str">
        <f aca="false">IF(AB130="","",IFERROR(INDEX('Account Map'!$C:$C,MATCH(AB130,'Account Map'!$A:$A,0)),""))</f>
        <v/>
      </c>
      <c r="AE130" s="37" t="n">
        <f aca="false">IF(AND(AB130&lt;&gt;"",AC130="",COUNT($B130:$Z130)&gt;0,LEFT(AB130,5)&lt;&gt;"Total",AB130&lt;&gt;"Gross Profit",AB130&lt;&gt;"Net Profit",AB130&lt;&gt;"Operating Profit"),1,0)</f>
        <v>0</v>
      </c>
    </row>
    <row r="131" customFormat="false" ht="15" hidden="false" customHeight="false" outlineLevel="0" collapsed="false">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c r="AB131" s="37" t="str">
        <f aca="false">TRIM($A131&amp;"")</f>
        <v/>
      </c>
      <c r="AC131" s="37" t="str">
        <f aca="false">IF(AB131="","",IFERROR(INDEX('Account Map'!$B:$B,MATCH(AB131,'Account Map'!$A:$A,0)),""))</f>
        <v/>
      </c>
      <c r="AD131" s="37" t="str">
        <f aca="false">IF(AB131="","",IFERROR(INDEX('Account Map'!$C:$C,MATCH(AB131,'Account Map'!$A:$A,0)),""))</f>
        <v/>
      </c>
      <c r="AE131" s="37" t="n">
        <f aca="false">IF(AND(AB131&lt;&gt;"",AC131="",COUNT($B131:$Z131)&gt;0,LEFT(AB131,5)&lt;&gt;"Total",AB131&lt;&gt;"Gross Profit",AB131&lt;&gt;"Net Profit",AB131&lt;&gt;"Operating Profit"),1,0)</f>
        <v>0</v>
      </c>
    </row>
    <row r="132" customFormat="false" ht="15" hidden="false" customHeight="false" outlineLevel="0" collapsed="false">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c r="AB132" s="37" t="str">
        <f aca="false">TRIM($A132&amp;"")</f>
        <v/>
      </c>
      <c r="AC132" s="37" t="str">
        <f aca="false">IF(AB132="","",IFERROR(INDEX('Account Map'!$B:$B,MATCH(AB132,'Account Map'!$A:$A,0)),""))</f>
        <v/>
      </c>
      <c r="AD132" s="37" t="str">
        <f aca="false">IF(AB132="","",IFERROR(INDEX('Account Map'!$C:$C,MATCH(AB132,'Account Map'!$A:$A,0)),""))</f>
        <v/>
      </c>
      <c r="AE132" s="37" t="n">
        <f aca="false">IF(AND(AB132&lt;&gt;"",AC132="",COUNT($B132:$Z132)&gt;0,LEFT(AB132,5)&lt;&gt;"Total",AB132&lt;&gt;"Gross Profit",AB132&lt;&gt;"Net Profit",AB132&lt;&gt;"Operating Profit"),1,0)</f>
        <v>0</v>
      </c>
    </row>
    <row r="133" customFormat="false" ht="15" hidden="false" customHeight="false" outlineLevel="0" collapsed="false">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c r="AB133" s="37" t="str">
        <f aca="false">TRIM($A133&amp;"")</f>
        <v/>
      </c>
      <c r="AC133" s="37" t="str">
        <f aca="false">IF(AB133="","",IFERROR(INDEX('Account Map'!$B:$B,MATCH(AB133,'Account Map'!$A:$A,0)),""))</f>
        <v/>
      </c>
      <c r="AD133" s="37" t="str">
        <f aca="false">IF(AB133="","",IFERROR(INDEX('Account Map'!$C:$C,MATCH(AB133,'Account Map'!$A:$A,0)),""))</f>
        <v/>
      </c>
      <c r="AE133" s="37" t="n">
        <f aca="false">IF(AND(AB133&lt;&gt;"",AC133="",COUNT($B133:$Z133)&gt;0,LEFT(AB133,5)&lt;&gt;"Total",AB133&lt;&gt;"Gross Profit",AB133&lt;&gt;"Net Profit",AB133&lt;&gt;"Operating Profit"),1,0)</f>
        <v>0</v>
      </c>
    </row>
    <row r="134" customFormat="false" ht="15" hidden="false" customHeight="false" outlineLevel="0" collapsed="false">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c r="AB134" s="37" t="str">
        <f aca="false">TRIM($A134&amp;"")</f>
        <v/>
      </c>
      <c r="AC134" s="37" t="str">
        <f aca="false">IF(AB134="","",IFERROR(INDEX('Account Map'!$B:$B,MATCH(AB134,'Account Map'!$A:$A,0)),""))</f>
        <v/>
      </c>
      <c r="AD134" s="37" t="str">
        <f aca="false">IF(AB134="","",IFERROR(INDEX('Account Map'!$C:$C,MATCH(AB134,'Account Map'!$A:$A,0)),""))</f>
        <v/>
      </c>
      <c r="AE134" s="37" t="n">
        <f aca="false">IF(AND(AB134&lt;&gt;"",AC134="",COUNT($B134:$Z134)&gt;0,LEFT(AB134,5)&lt;&gt;"Total",AB134&lt;&gt;"Gross Profit",AB134&lt;&gt;"Net Profit",AB134&lt;&gt;"Operating Profit"),1,0)</f>
        <v>0</v>
      </c>
    </row>
    <row r="135" customFormat="false" ht="15" hidden="false" customHeight="false" outlineLevel="0" collapsed="false">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c r="AB135" s="37" t="str">
        <f aca="false">TRIM($A135&amp;"")</f>
        <v/>
      </c>
      <c r="AC135" s="37" t="str">
        <f aca="false">IF(AB135="","",IFERROR(INDEX('Account Map'!$B:$B,MATCH(AB135,'Account Map'!$A:$A,0)),""))</f>
        <v/>
      </c>
      <c r="AD135" s="37" t="str">
        <f aca="false">IF(AB135="","",IFERROR(INDEX('Account Map'!$C:$C,MATCH(AB135,'Account Map'!$A:$A,0)),""))</f>
        <v/>
      </c>
      <c r="AE135" s="37" t="n">
        <f aca="false">IF(AND(AB135&lt;&gt;"",AC135="",COUNT($B135:$Z135)&gt;0,LEFT(AB135,5)&lt;&gt;"Total",AB135&lt;&gt;"Gross Profit",AB135&lt;&gt;"Net Profit",AB135&lt;&gt;"Operating Profit"),1,0)</f>
        <v>0</v>
      </c>
    </row>
    <row r="136" customFormat="false" ht="15" hidden="false" customHeight="false" outlineLevel="0" collapsed="false">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c r="AB136" s="37" t="str">
        <f aca="false">TRIM($A136&amp;"")</f>
        <v/>
      </c>
      <c r="AC136" s="37" t="str">
        <f aca="false">IF(AB136="","",IFERROR(INDEX('Account Map'!$B:$B,MATCH(AB136,'Account Map'!$A:$A,0)),""))</f>
        <v/>
      </c>
      <c r="AD136" s="37" t="str">
        <f aca="false">IF(AB136="","",IFERROR(INDEX('Account Map'!$C:$C,MATCH(AB136,'Account Map'!$A:$A,0)),""))</f>
        <v/>
      </c>
      <c r="AE136" s="37" t="n">
        <f aca="false">IF(AND(AB136&lt;&gt;"",AC136="",COUNT($B136:$Z136)&gt;0,LEFT(AB136,5)&lt;&gt;"Total",AB136&lt;&gt;"Gross Profit",AB136&lt;&gt;"Net Profit",AB136&lt;&gt;"Operating Profit"),1,0)</f>
        <v>0</v>
      </c>
    </row>
    <row r="137" customFormat="false" ht="15" hidden="false" customHeight="false" outlineLevel="0" collapsed="false">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c r="AB137" s="37" t="str">
        <f aca="false">TRIM($A137&amp;"")</f>
        <v/>
      </c>
      <c r="AC137" s="37" t="str">
        <f aca="false">IF(AB137="","",IFERROR(INDEX('Account Map'!$B:$B,MATCH(AB137,'Account Map'!$A:$A,0)),""))</f>
        <v/>
      </c>
      <c r="AD137" s="37" t="str">
        <f aca="false">IF(AB137="","",IFERROR(INDEX('Account Map'!$C:$C,MATCH(AB137,'Account Map'!$A:$A,0)),""))</f>
        <v/>
      </c>
      <c r="AE137" s="37" t="n">
        <f aca="false">IF(AND(AB137&lt;&gt;"",AC137="",COUNT($B137:$Z137)&gt;0,LEFT(AB137,5)&lt;&gt;"Total",AB137&lt;&gt;"Gross Profit",AB137&lt;&gt;"Net Profit",AB137&lt;&gt;"Operating Profit"),1,0)</f>
        <v>0</v>
      </c>
    </row>
    <row r="138" customFormat="false" ht="15" hidden="false" customHeight="false" outlineLevel="0" collapsed="false">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c r="AB138" s="37" t="str">
        <f aca="false">TRIM($A138&amp;"")</f>
        <v/>
      </c>
      <c r="AC138" s="37" t="str">
        <f aca="false">IF(AB138="","",IFERROR(INDEX('Account Map'!$B:$B,MATCH(AB138,'Account Map'!$A:$A,0)),""))</f>
        <v/>
      </c>
      <c r="AD138" s="37" t="str">
        <f aca="false">IF(AB138="","",IFERROR(INDEX('Account Map'!$C:$C,MATCH(AB138,'Account Map'!$A:$A,0)),""))</f>
        <v/>
      </c>
      <c r="AE138" s="37" t="n">
        <f aca="false">IF(AND(AB138&lt;&gt;"",AC138="",COUNT($B138:$Z138)&gt;0,LEFT(AB138,5)&lt;&gt;"Total",AB138&lt;&gt;"Gross Profit",AB138&lt;&gt;"Net Profit",AB138&lt;&gt;"Operating Profit"),1,0)</f>
        <v>0</v>
      </c>
    </row>
    <row r="139" customFormat="false" ht="15" hidden="false" customHeight="false" outlineLevel="0" collapsed="false">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c r="AB139" s="37" t="str">
        <f aca="false">TRIM($A139&amp;"")</f>
        <v/>
      </c>
      <c r="AC139" s="37" t="str">
        <f aca="false">IF(AB139="","",IFERROR(INDEX('Account Map'!$B:$B,MATCH(AB139,'Account Map'!$A:$A,0)),""))</f>
        <v/>
      </c>
      <c r="AD139" s="37" t="str">
        <f aca="false">IF(AB139="","",IFERROR(INDEX('Account Map'!$C:$C,MATCH(AB139,'Account Map'!$A:$A,0)),""))</f>
        <v/>
      </c>
      <c r="AE139" s="37" t="n">
        <f aca="false">IF(AND(AB139&lt;&gt;"",AC139="",COUNT($B139:$Z139)&gt;0,LEFT(AB139,5)&lt;&gt;"Total",AB139&lt;&gt;"Gross Profit",AB139&lt;&gt;"Net Profit",AB139&lt;&gt;"Operating Profit"),1,0)</f>
        <v>0</v>
      </c>
    </row>
    <row r="140" customFormat="false" ht="15" hidden="false" customHeight="false" outlineLevel="0" collapsed="false">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c r="AB140" s="37" t="str">
        <f aca="false">TRIM($A140&amp;"")</f>
        <v/>
      </c>
      <c r="AC140" s="37" t="str">
        <f aca="false">IF(AB140="","",IFERROR(INDEX('Account Map'!$B:$B,MATCH(AB140,'Account Map'!$A:$A,0)),""))</f>
        <v/>
      </c>
      <c r="AD140" s="37" t="str">
        <f aca="false">IF(AB140="","",IFERROR(INDEX('Account Map'!$C:$C,MATCH(AB140,'Account Map'!$A:$A,0)),""))</f>
        <v/>
      </c>
      <c r="AE140" s="37" t="n">
        <f aca="false">IF(AND(AB140&lt;&gt;"",AC140="",COUNT($B140:$Z140)&gt;0,LEFT(AB140,5)&lt;&gt;"Total",AB140&lt;&gt;"Gross Profit",AB140&lt;&gt;"Net Profit",AB140&lt;&gt;"Operating Profit"),1,0)</f>
        <v>0</v>
      </c>
    </row>
    <row r="141" customFormat="false" ht="15" hidden="false" customHeight="false" outlineLevel="0" collapsed="false">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c r="AB141" s="37" t="str">
        <f aca="false">TRIM($A141&amp;"")</f>
        <v/>
      </c>
      <c r="AC141" s="37" t="str">
        <f aca="false">IF(AB141="","",IFERROR(INDEX('Account Map'!$B:$B,MATCH(AB141,'Account Map'!$A:$A,0)),""))</f>
        <v/>
      </c>
      <c r="AD141" s="37" t="str">
        <f aca="false">IF(AB141="","",IFERROR(INDEX('Account Map'!$C:$C,MATCH(AB141,'Account Map'!$A:$A,0)),""))</f>
        <v/>
      </c>
      <c r="AE141" s="37" t="n">
        <f aca="false">IF(AND(AB141&lt;&gt;"",AC141="",COUNT($B141:$Z141)&gt;0,LEFT(AB141,5)&lt;&gt;"Total",AB141&lt;&gt;"Gross Profit",AB141&lt;&gt;"Net Profit",AB141&lt;&gt;"Operating Profit"),1,0)</f>
        <v>0</v>
      </c>
    </row>
    <row r="142" customFormat="false" ht="15" hidden="false" customHeight="false" outlineLevel="0" collapsed="false">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c r="AB142" s="37" t="str">
        <f aca="false">TRIM($A142&amp;"")</f>
        <v/>
      </c>
      <c r="AC142" s="37" t="str">
        <f aca="false">IF(AB142="","",IFERROR(INDEX('Account Map'!$B:$B,MATCH(AB142,'Account Map'!$A:$A,0)),""))</f>
        <v/>
      </c>
      <c r="AD142" s="37" t="str">
        <f aca="false">IF(AB142="","",IFERROR(INDEX('Account Map'!$C:$C,MATCH(AB142,'Account Map'!$A:$A,0)),""))</f>
        <v/>
      </c>
      <c r="AE142" s="37" t="n">
        <f aca="false">IF(AND(AB142&lt;&gt;"",AC142="",COUNT($B142:$Z142)&gt;0,LEFT(AB142,5)&lt;&gt;"Total",AB142&lt;&gt;"Gross Profit",AB142&lt;&gt;"Net Profit",AB142&lt;&gt;"Operating Profit"),1,0)</f>
        <v>0</v>
      </c>
    </row>
    <row r="143" customFormat="false" ht="15" hidden="false" customHeight="false" outlineLevel="0" collapsed="false">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c r="AB143" s="37" t="str">
        <f aca="false">TRIM($A143&amp;"")</f>
        <v/>
      </c>
      <c r="AC143" s="37" t="str">
        <f aca="false">IF(AB143="","",IFERROR(INDEX('Account Map'!$B:$B,MATCH(AB143,'Account Map'!$A:$A,0)),""))</f>
        <v/>
      </c>
      <c r="AD143" s="37" t="str">
        <f aca="false">IF(AB143="","",IFERROR(INDEX('Account Map'!$C:$C,MATCH(AB143,'Account Map'!$A:$A,0)),""))</f>
        <v/>
      </c>
      <c r="AE143" s="37" t="n">
        <f aca="false">IF(AND(AB143&lt;&gt;"",AC143="",COUNT($B143:$Z143)&gt;0,LEFT(AB143,5)&lt;&gt;"Total",AB143&lt;&gt;"Gross Profit",AB143&lt;&gt;"Net Profit",AB143&lt;&gt;"Operating Profit"),1,0)</f>
        <v>0</v>
      </c>
    </row>
    <row r="144" customFormat="false" ht="15" hidden="false" customHeight="false" outlineLevel="0" collapsed="false">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c r="AB144" s="37" t="str">
        <f aca="false">TRIM($A144&amp;"")</f>
        <v/>
      </c>
      <c r="AC144" s="37" t="str">
        <f aca="false">IF(AB144="","",IFERROR(INDEX('Account Map'!$B:$B,MATCH(AB144,'Account Map'!$A:$A,0)),""))</f>
        <v/>
      </c>
      <c r="AD144" s="37" t="str">
        <f aca="false">IF(AB144="","",IFERROR(INDEX('Account Map'!$C:$C,MATCH(AB144,'Account Map'!$A:$A,0)),""))</f>
        <v/>
      </c>
      <c r="AE144" s="37" t="n">
        <f aca="false">IF(AND(AB144&lt;&gt;"",AC144="",COUNT($B144:$Z144)&gt;0,LEFT(AB144,5)&lt;&gt;"Total",AB144&lt;&gt;"Gross Profit",AB144&lt;&gt;"Net Profit",AB144&lt;&gt;"Operating Profit"),1,0)</f>
        <v>0</v>
      </c>
    </row>
    <row r="145" customFormat="false" ht="15" hidden="false" customHeight="false" outlineLevel="0" collapsed="false">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c r="AB145" s="37" t="str">
        <f aca="false">TRIM($A145&amp;"")</f>
        <v/>
      </c>
      <c r="AC145" s="37" t="str">
        <f aca="false">IF(AB145="","",IFERROR(INDEX('Account Map'!$B:$B,MATCH(AB145,'Account Map'!$A:$A,0)),""))</f>
        <v/>
      </c>
      <c r="AD145" s="37" t="str">
        <f aca="false">IF(AB145="","",IFERROR(INDEX('Account Map'!$C:$C,MATCH(AB145,'Account Map'!$A:$A,0)),""))</f>
        <v/>
      </c>
      <c r="AE145" s="37" t="n">
        <f aca="false">IF(AND(AB145&lt;&gt;"",AC145="",COUNT($B145:$Z145)&gt;0,LEFT(AB145,5)&lt;&gt;"Total",AB145&lt;&gt;"Gross Profit",AB145&lt;&gt;"Net Profit",AB145&lt;&gt;"Operating Profit"),1,0)</f>
        <v>0</v>
      </c>
    </row>
    <row r="146" customFormat="false" ht="15" hidden="false" customHeight="false" outlineLevel="0" collapsed="false">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c r="AB146" s="37" t="str">
        <f aca="false">TRIM($A146&amp;"")</f>
        <v/>
      </c>
      <c r="AC146" s="37" t="str">
        <f aca="false">IF(AB146="","",IFERROR(INDEX('Account Map'!$B:$B,MATCH(AB146,'Account Map'!$A:$A,0)),""))</f>
        <v/>
      </c>
      <c r="AD146" s="37" t="str">
        <f aca="false">IF(AB146="","",IFERROR(INDEX('Account Map'!$C:$C,MATCH(AB146,'Account Map'!$A:$A,0)),""))</f>
        <v/>
      </c>
      <c r="AE146" s="37" t="n">
        <f aca="false">IF(AND(AB146&lt;&gt;"",AC146="",COUNT($B146:$Z146)&gt;0,LEFT(AB146,5)&lt;&gt;"Total",AB146&lt;&gt;"Gross Profit",AB146&lt;&gt;"Net Profit",AB146&lt;&gt;"Operating Profit"),1,0)</f>
        <v>0</v>
      </c>
    </row>
    <row r="147" customFormat="false" ht="15" hidden="false" customHeight="false" outlineLevel="0" collapsed="false">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c r="AB147" s="37" t="str">
        <f aca="false">TRIM($A147&amp;"")</f>
        <v/>
      </c>
      <c r="AC147" s="37" t="str">
        <f aca="false">IF(AB147="","",IFERROR(INDEX('Account Map'!$B:$B,MATCH(AB147,'Account Map'!$A:$A,0)),""))</f>
        <v/>
      </c>
      <c r="AD147" s="37" t="str">
        <f aca="false">IF(AB147="","",IFERROR(INDEX('Account Map'!$C:$C,MATCH(AB147,'Account Map'!$A:$A,0)),""))</f>
        <v/>
      </c>
      <c r="AE147" s="37" t="n">
        <f aca="false">IF(AND(AB147&lt;&gt;"",AC147="",COUNT($B147:$Z147)&gt;0,LEFT(AB147,5)&lt;&gt;"Total",AB147&lt;&gt;"Gross Profit",AB147&lt;&gt;"Net Profit",AB147&lt;&gt;"Operating Profit"),1,0)</f>
        <v>0</v>
      </c>
    </row>
    <row r="148" customFormat="false" ht="15" hidden="false" customHeight="false" outlineLevel="0" collapsed="false">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c r="AB148" s="37" t="str">
        <f aca="false">TRIM($A148&amp;"")</f>
        <v/>
      </c>
      <c r="AC148" s="37" t="str">
        <f aca="false">IF(AB148="","",IFERROR(INDEX('Account Map'!$B:$B,MATCH(AB148,'Account Map'!$A:$A,0)),""))</f>
        <v/>
      </c>
      <c r="AD148" s="37" t="str">
        <f aca="false">IF(AB148="","",IFERROR(INDEX('Account Map'!$C:$C,MATCH(AB148,'Account Map'!$A:$A,0)),""))</f>
        <v/>
      </c>
      <c r="AE148" s="37" t="n">
        <f aca="false">IF(AND(AB148&lt;&gt;"",AC148="",COUNT($B148:$Z148)&gt;0,LEFT(AB148,5)&lt;&gt;"Total",AB148&lt;&gt;"Gross Profit",AB148&lt;&gt;"Net Profit",AB148&lt;&gt;"Operating Profit"),1,0)</f>
        <v>0</v>
      </c>
    </row>
    <row r="149" customFormat="false" ht="15" hidden="false" customHeight="false" outlineLevel="0" collapsed="false">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c r="AB149" s="37" t="str">
        <f aca="false">TRIM($A149&amp;"")</f>
        <v/>
      </c>
      <c r="AC149" s="37" t="str">
        <f aca="false">IF(AB149="","",IFERROR(INDEX('Account Map'!$B:$B,MATCH(AB149,'Account Map'!$A:$A,0)),""))</f>
        <v/>
      </c>
      <c r="AD149" s="37" t="str">
        <f aca="false">IF(AB149="","",IFERROR(INDEX('Account Map'!$C:$C,MATCH(AB149,'Account Map'!$A:$A,0)),""))</f>
        <v/>
      </c>
      <c r="AE149" s="37" t="n">
        <f aca="false">IF(AND(AB149&lt;&gt;"",AC149="",COUNT($B149:$Z149)&gt;0,LEFT(AB149,5)&lt;&gt;"Total",AB149&lt;&gt;"Gross Profit",AB149&lt;&gt;"Net Profit",AB149&lt;&gt;"Operating Profit"),1,0)</f>
        <v>0</v>
      </c>
    </row>
    <row r="150" customFormat="false" ht="15" hidden="false" customHeight="false" outlineLevel="0" collapsed="false">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c r="AB150" s="37" t="str">
        <f aca="false">TRIM($A150&amp;"")</f>
        <v/>
      </c>
      <c r="AC150" s="37" t="str">
        <f aca="false">IF(AB150="","",IFERROR(INDEX('Account Map'!$B:$B,MATCH(AB150,'Account Map'!$A:$A,0)),""))</f>
        <v/>
      </c>
      <c r="AD150" s="37" t="str">
        <f aca="false">IF(AB150="","",IFERROR(INDEX('Account Map'!$C:$C,MATCH(AB150,'Account Map'!$A:$A,0)),""))</f>
        <v/>
      </c>
      <c r="AE150" s="37" t="n">
        <f aca="false">IF(AND(AB150&lt;&gt;"",AC150="",COUNT($B150:$Z150)&gt;0,LEFT(AB150,5)&lt;&gt;"Total",AB150&lt;&gt;"Gross Profit",AB150&lt;&gt;"Net Profit",AB150&lt;&gt;"Operating Profit"),1,0)</f>
        <v>0</v>
      </c>
    </row>
    <row r="151" customFormat="false" ht="15" hidden="false" customHeight="false" outlineLevel="0" collapsed="false">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c r="AB151" s="37" t="str">
        <f aca="false">TRIM($A151&amp;"")</f>
        <v/>
      </c>
      <c r="AC151" s="37" t="str">
        <f aca="false">IF(AB151="","",IFERROR(INDEX('Account Map'!$B:$B,MATCH(AB151,'Account Map'!$A:$A,0)),""))</f>
        <v/>
      </c>
      <c r="AD151" s="37" t="str">
        <f aca="false">IF(AB151="","",IFERROR(INDEX('Account Map'!$C:$C,MATCH(AB151,'Account Map'!$A:$A,0)),""))</f>
        <v/>
      </c>
      <c r="AE151" s="37" t="n">
        <f aca="false">IF(AND(AB151&lt;&gt;"",AC151="",COUNT($B151:$Z151)&gt;0,LEFT(AB151,5)&lt;&gt;"Total",AB151&lt;&gt;"Gross Profit",AB151&lt;&gt;"Net Profit",AB151&lt;&gt;"Operating Profit"),1,0)</f>
        <v>0</v>
      </c>
    </row>
    <row r="152" customFormat="false" ht="15" hidden="false" customHeight="false" outlineLevel="0" collapsed="false">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c r="AB152" s="37" t="str">
        <f aca="false">TRIM($A152&amp;"")</f>
        <v/>
      </c>
      <c r="AC152" s="37" t="str">
        <f aca="false">IF(AB152="","",IFERROR(INDEX('Account Map'!$B:$B,MATCH(AB152,'Account Map'!$A:$A,0)),""))</f>
        <v/>
      </c>
      <c r="AD152" s="37" t="str">
        <f aca="false">IF(AB152="","",IFERROR(INDEX('Account Map'!$C:$C,MATCH(AB152,'Account Map'!$A:$A,0)),""))</f>
        <v/>
      </c>
      <c r="AE152" s="37" t="n">
        <f aca="false">IF(AND(AB152&lt;&gt;"",AC152="",COUNT($B152:$Z152)&gt;0,LEFT(AB152,5)&lt;&gt;"Total",AB152&lt;&gt;"Gross Profit",AB152&lt;&gt;"Net Profit",AB152&lt;&gt;"Operating Profit"),1,0)</f>
        <v>0</v>
      </c>
    </row>
    <row r="153" customFormat="false" ht="15" hidden="false" customHeight="false" outlineLevel="0" collapsed="false">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c r="AB153" s="37" t="str">
        <f aca="false">TRIM($A153&amp;"")</f>
        <v/>
      </c>
      <c r="AC153" s="37" t="str">
        <f aca="false">IF(AB153="","",IFERROR(INDEX('Account Map'!$B:$B,MATCH(AB153,'Account Map'!$A:$A,0)),""))</f>
        <v/>
      </c>
      <c r="AD153" s="37" t="str">
        <f aca="false">IF(AB153="","",IFERROR(INDEX('Account Map'!$C:$C,MATCH(AB153,'Account Map'!$A:$A,0)),""))</f>
        <v/>
      </c>
      <c r="AE153" s="37" t="n">
        <f aca="false">IF(AND(AB153&lt;&gt;"",AC153="",COUNT($B153:$Z153)&gt;0,LEFT(AB153,5)&lt;&gt;"Total",AB153&lt;&gt;"Gross Profit",AB153&lt;&gt;"Net Profit",AB153&lt;&gt;"Operating Profit"),1,0)</f>
        <v>0</v>
      </c>
    </row>
    <row r="154" customFormat="false" ht="15" hidden="false" customHeight="false" outlineLevel="0" collapsed="false">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c r="AB154" s="37" t="str">
        <f aca="false">TRIM($A154&amp;"")</f>
        <v/>
      </c>
      <c r="AC154" s="37" t="str">
        <f aca="false">IF(AB154="","",IFERROR(INDEX('Account Map'!$B:$B,MATCH(AB154,'Account Map'!$A:$A,0)),""))</f>
        <v/>
      </c>
      <c r="AD154" s="37" t="str">
        <f aca="false">IF(AB154="","",IFERROR(INDEX('Account Map'!$C:$C,MATCH(AB154,'Account Map'!$A:$A,0)),""))</f>
        <v/>
      </c>
      <c r="AE154" s="37" t="n">
        <f aca="false">IF(AND(AB154&lt;&gt;"",AC154="",COUNT($B154:$Z154)&gt;0,LEFT(AB154,5)&lt;&gt;"Total",AB154&lt;&gt;"Gross Profit",AB154&lt;&gt;"Net Profit",AB154&lt;&gt;"Operating Profit"),1,0)</f>
        <v>0</v>
      </c>
    </row>
    <row r="155" customFormat="false" ht="15" hidden="false" customHeight="false" outlineLevel="0" collapsed="false">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c r="AB155" s="37" t="str">
        <f aca="false">TRIM($A155&amp;"")</f>
        <v/>
      </c>
      <c r="AC155" s="37" t="str">
        <f aca="false">IF(AB155="","",IFERROR(INDEX('Account Map'!$B:$B,MATCH(AB155,'Account Map'!$A:$A,0)),""))</f>
        <v/>
      </c>
      <c r="AD155" s="37" t="str">
        <f aca="false">IF(AB155="","",IFERROR(INDEX('Account Map'!$C:$C,MATCH(AB155,'Account Map'!$A:$A,0)),""))</f>
        <v/>
      </c>
      <c r="AE155" s="37" t="n">
        <f aca="false">IF(AND(AB155&lt;&gt;"",AC155="",COUNT($B155:$Z155)&gt;0,LEFT(AB155,5)&lt;&gt;"Total",AB155&lt;&gt;"Gross Profit",AB155&lt;&gt;"Net Profit",AB155&lt;&gt;"Operating Profit"),1,0)</f>
        <v>0</v>
      </c>
    </row>
    <row r="156" customFormat="false" ht="15" hidden="false" customHeight="false" outlineLevel="0" collapsed="false">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c r="AB156" s="37" t="str">
        <f aca="false">TRIM($A156&amp;"")</f>
        <v/>
      </c>
      <c r="AC156" s="37" t="str">
        <f aca="false">IF(AB156="","",IFERROR(INDEX('Account Map'!$B:$B,MATCH(AB156,'Account Map'!$A:$A,0)),""))</f>
        <v/>
      </c>
      <c r="AD156" s="37" t="str">
        <f aca="false">IF(AB156="","",IFERROR(INDEX('Account Map'!$C:$C,MATCH(AB156,'Account Map'!$A:$A,0)),""))</f>
        <v/>
      </c>
      <c r="AE156" s="37" t="n">
        <f aca="false">IF(AND(AB156&lt;&gt;"",AC156="",COUNT($B156:$Z156)&gt;0,LEFT(AB156,5)&lt;&gt;"Total",AB156&lt;&gt;"Gross Profit",AB156&lt;&gt;"Net Profit",AB156&lt;&gt;"Operating Profit"),1,0)</f>
        <v>0</v>
      </c>
    </row>
    <row r="157" customFormat="false" ht="15" hidden="false" customHeight="false" outlineLevel="0" collapsed="false">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c r="AB157" s="37" t="str">
        <f aca="false">TRIM($A157&amp;"")</f>
        <v/>
      </c>
      <c r="AC157" s="37" t="str">
        <f aca="false">IF(AB157="","",IFERROR(INDEX('Account Map'!$B:$B,MATCH(AB157,'Account Map'!$A:$A,0)),""))</f>
        <v/>
      </c>
      <c r="AD157" s="37" t="str">
        <f aca="false">IF(AB157="","",IFERROR(INDEX('Account Map'!$C:$C,MATCH(AB157,'Account Map'!$A:$A,0)),""))</f>
        <v/>
      </c>
      <c r="AE157" s="37" t="n">
        <f aca="false">IF(AND(AB157&lt;&gt;"",AC157="",COUNT($B157:$Z157)&gt;0,LEFT(AB157,5)&lt;&gt;"Total",AB157&lt;&gt;"Gross Profit",AB157&lt;&gt;"Net Profit",AB157&lt;&gt;"Operating Profit"),1,0)</f>
        <v>0</v>
      </c>
    </row>
    <row r="158" customFormat="false" ht="15" hidden="false" customHeight="false" outlineLevel="0" collapsed="false">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c r="AB158" s="37" t="str">
        <f aca="false">TRIM($A158&amp;"")</f>
        <v/>
      </c>
      <c r="AC158" s="37" t="str">
        <f aca="false">IF(AB158="","",IFERROR(INDEX('Account Map'!$B:$B,MATCH(AB158,'Account Map'!$A:$A,0)),""))</f>
        <v/>
      </c>
      <c r="AD158" s="37" t="str">
        <f aca="false">IF(AB158="","",IFERROR(INDEX('Account Map'!$C:$C,MATCH(AB158,'Account Map'!$A:$A,0)),""))</f>
        <v/>
      </c>
      <c r="AE158" s="37" t="n">
        <f aca="false">IF(AND(AB158&lt;&gt;"",AC158="",COUNT($B158:$Z158)&gt;0,LEFT(AB158,5)&lt;&gt;"Total",AB158&lt;&gt;"Gross Profit",AB158&lt;&gt;"Net Profit",AB158&lt;&gt;"Operating Profit"),1,0)</f>
        <v>0</v>
      </c>
    </row>
    <row r="159" customFormat="false" ht="15" hidden="false" customHeight="false" outlineLevel="0" collapsed="false">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c r="AB159" s="37" t="str">
        <f aca="false">TRIM($A159&amp;"")</f>
        <v/>
      </c>
      <c r="AC159" s="37" t="str">
        <f aca="false">IF(AB159="","",IFERROR(INDEX('Account Map'!$B:$B,MATCH(AB159,'Account Map'!$A:$A,0)),""))</f>
        <v/>
      </c>
      <c r="AD159" s="37" t="str">
        <f aca="false">IF(AB159="","",IFERROR(INDEX('Account Map'!$C:$C,MATCH(AB159,'Account Map'!$A:$A,0)),""))</f>
        <v/>
      </c>
      <c r="AE159" s="37" t="n">
        <f aca="false">IF(AND(AB159&lt;&gt;"",AC159="",COUNT($B159:$Z159)&gt;0,LEFT(AB159,5)&lt;&gt;"Total",AB159&lt;&gt;"Gross Profit",AB159&lt;&gt;"Net Profit",AB159&lt;&gt;"Operating Profit"),1,0)</f>
        <v>0</v>
      </c>
    </row>
    <row r="160" customFormat="false" ht="15" hidden="false" customHeight="false" outlineLevel="0" collapsed="false">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c r="AB160" s="37" t="str">
        <f aca="false">TRIM($A160&amp;"")</f>
        <v/>
      </c>
      <c r="AC160" s="37" t="str">
        <f aca="false">IF(AB160="","",IFERROR(INDEX('Account Map'!$B:$B,MATCH(AB160,'Account Map'!$A:$A,0)),""))</f>
        <v/>
      </c>
      <c r="AD160" s="37" t="str">
        <f aca="false">IF(AB160="","",IFERROR(INDEX('Account Map'!$C:$C,MATCH(AB160,'Account Map'!$A:$A,0)),""))</f>
        <v/>
      </c>
      <c r="AE160" s="37" t="n">
        <f aca="false">IF(AND(AB160&lt;&gt;"",AC160="",COUNT($B160:$Z160)&gt;0,LEFT(AB160,5)&lt;&gt;"Total",AB160&lt;&gt;"Gross Profit",AB160&lt;&gt;"Net Profit",AB160&lt;&gt;"Operating Profit"),1,0)</f>
        <v>0</v>
      </c>
    </row>
    <row r="161" customFormat="false" ht="15" hidden="false" customHeight="false" outlineLevel="0" collapsed="false">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c r="AB161" s="37" t="str">
        <f aca="false">TRIM($A161&amp;"")</f>
        <v/>
      </c>
      <c r="AC161" s="37" t="str">
        <f aca="false">IF(AB161="","",IFERROR(INDEX('Account Map'!$B:$B,MATCH(AB161,'Account Map'!$A:$A,0)),""))</f>
        <v/>
      </c>
      <c r="AD161" s="37" t="str">
        <f aca="false">IF(AB161="","",IFERROR(INDEX('Account Map'!$C:$C,MATCH(AB161,'Account Map'!$A:$A,0)),""))</f>
        <v/>
      </c>
      <c r="AE161" s="37" t="n">
        <f aca="false">IF(AND(AB161&lt;&gt;"",AC161="",COUNT($B161:$Z161)&gt;0,LEFT(AB161,5)&lt;&gt;"Total",AB161&lt;&gt;"Gross Profit",AB161&lt;&gt;"Net Profit",AB161&lt;&gt;"Operating Profit"),1,0)</f>
        <v>0</v>
      </c>
    </row>
    <row r="162" customFormat="false" ht="15" hidden="false" customHeight="false" outlineLevel="0" collapsed="false">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c r="AB162" s="37" t="str">
        <f aca="false">TRIM($A162&amp;"")</f>
        <v/>
      </c>
      <c r="AC162" s="37" t="str">
        <f aca="false">IF(AB162="","",IFERROR(INDEX('Account Map'!$B:$B,MATCH(AB162,'Account Map'!$A:$A,0)),""))</f>
        <v/>
      </c>
      <c r="AD162" s="37" t="str">
        <f aca="false">IF(AB162="","",IFERROR(INDEX('Account Map'!$C:$C,MATCH(AB162,'Account Map'!$A:$A,0)),""))</f>
        <v/>
      </c>
      <c r="AE162" s="37" t="n">
        <f aca="false">IF(AND(AB162&lt;&gt;"",AC162="",COUNT($B162:$Z162)&gt;0,LEFT(AB162,5)&lt;&gt;"Total",AB162&lt;&gt;"Gross Profit",AB162&lt;&gt;"Net Profit",AB162&lt;&gt;"Operating Profit"),1,0)</f>
        <v>0</v>
      </c>
    </row>
    <row r="163" customFormat="false" ht="15" hidden="false" customHeight="false" outlineLevel="0" collapsed="false">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c r="AB163" s="37" t="str">
        <f aca="false">TRIM($A163&amp;"")</f>
        <v/>
      </c>
      <c r="AC163" s="37" t="str">
        <f aca="false">IF(AB163="","",IFERROR(INDEX('Account Map'!$B:$B,MATCH(AB163,'Account Map'!$A:$A,0)),""))</f>
        <v/>
      </c>
      <c r="AD163" s="37" t="str">
        <f aca="false">IF(AB163="","",IFERROR(INDEX('Account Map'!$C:$C,MATCH(AB163,'Account Map'!$A:$A,0)),""))</f>
        <v/>
      </c>
      <c r="AE163" s="37" t="n">
        <f aca="false">IF(AND(AB163&lt;&gt;"",AC163="",COUNT($B163:$Z163)&gt;0,LEFT(AB163,5)&lt;&gt;"Total",AB163&lt;&gt;"Gross Profit",AB163&lt;&gt;"Net Profit",AB163&lt;&gt;"Operating Profit"),1,0)</f>
        <v>0</v>
      </c>
    </row>
    <row r="164" customFormat="false" ht="15" hidden="false" customHeight="false" outlineLevel="0" collapsed="false">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c r="AB164" s="37" t="str">
        <f aca="false">TRIM($A164&amp;"")</f>
        <v/>
      </c>
      <c r="AC164" s="37" t="str">
        <f aca="false">IF(AB164="","",IFERROR(INDEX('Account Map'!$B:$B,MATCH(AB164,'Account Map'!$A:$A,0)),""))</f>
        <v/>
      </c>
      <c r="AD164" s="37" t="str">
        <f aca="false">IF(AB164="","",IFERROR(INDEX('Account Map'!$C:$C,MATCH(AB164,'Account Map'!$A:$A,0)),""))</f>
        <v/>
      </c>
      <c r="AE164" s="37" t="n">
        <f aca="false">IF(AND(AB164&lt;&gt;"",AC164="",COUNT($B164:$Z164)&gt;0,LEFT(AB164,5)&lt;&gt;"Total",AB164&lt;&gt;"Gross Profit",AB164&lt;&gt;"Net Profit",AB164&lt;&gt;"Operating Profit"),1,0)</f>
        <v>0</v>
      </c>
    </row>
    <row r="165" customFormat="false" ht="15" hidden="false" customHeight="false" outlineLevel="0" collapsed="false">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c r="AB165" s="37" t="str">
        <f aca="false">TRIM($A165&amp;"")</f>
        <v/>
      </c>
      <c r="AC165" s="37" t="str">
        <f aca="false">IF(AB165="","",IFERROR(INDEX('Account Map'!$B:$B,MATCH(AB165,'Account Map'!$A:$A,0)),""))</f>
        <v/>
      </c>
      <c r="AD165" s="37" t="str">
        <f aca="false">IF(AB165="","",IFERROR(INDEX('Account Map'!$C:$C,MATCH(AB165,'Account Map'!$A:$A,0)),""))</f>
        <v/>
      </c>
      <c r="AE165" s="37" t="n">
        <f aca="false">IF(AND(AB165&lt;&gt;"",AC165="",COUNT($B165:$Z165)&gt;0,LEFT(AB165,5)&lt;&gt;"Total",AB165&lt;&gt;"Gross Profit",AB165&lt;&gt;"Net Profit",AB165&lt;&gt;"Operating Profit"),1,0)</f>
        <v>0</v>
      </c>
    </row>
    <row r="166" customFormat="false" ht="15" hidden="false" customHeight="false" outlineLevel="0" collapsed="false">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c r="AB166" s="37" t="str">
        <f aca="false">TRIM($A166&amp;"")</f>
        <v/>
      </c>
      <c r="AC166" s="37" t="str">
        <f aca="false">IF(AB166="","",IFERROR(INDEX('Account Map'!$B:$B,MATCH(AB166,'Account Map'!$A:$A,0)),""))</f>
        <v/>
      </c>
      <c r="AD166" s="37" t="str">
        <f aca="false">IF(AB166="","",IFERROR(INDEX('Account Map'!$C:$C,MATCH(AB166,'Account Map'!$A:$A,0)),""))</f>
        <v/>
      </c>
      <c r="AE166" s="37" t="n">
        <f aca="false">IF(AND(AB166&lt;&gt;"",AC166="",COUNT($B166:$Z166)&gt;0,LEFT(AB166,5)&lt;&gt;"Total",AB166&lt;&gt;"Gross Profit",AB166&lt;&gt;"Net Profit",AB166&lt;&gt;"Operating Profit"),1,0)</f>
        <v>0</v>
      </c>
    </row>
    <row r="167" customFormat="false" ht="15" hidden="false" customHeight="false" outlineLevel="0" collapsed="false">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c r="AB167" s="37" t="str">
        <f aca="false">TRIM($A167&amp;"")</f>
        <v/>
      </c>
      <c r="AC167" s="37" t="str">
        <f aca="false">IF(AB167="","",IFERROR(INDEX('Account Map'!$B:$B,MATCH(AB167,'Account Map'!$A:$A,0)),""))</f>
        <v/>
      </c>
      <c r="AD167" s="37" t="str">
        <f aca="false">IF(AB167="","",IFERROR(INDEX('Account Map'!$C:$C,MATCH(AB167,'Account Map'!$A:$A,0)),""))</f>
        <v/>
      </c>
      <c r="AE167" s="37" t="n">
        <f aca="false">IF(AND(AB167&lt;&gt;"",AC167="",COUNT($B167:$Z167)&gt;0,LEFT(AB167,5)&lt;&gt;"Total",AB167&lt;&gt;"Gross Profit",AB167&lt;&gt;"Net Profit",AB167&lt;&gt;"Operating Profit"),1,0)</f>
        <v>0</v>
      </c>
    </row>
    <row r="168" customFormat="false" ht="15" hidden="false" customHeight="false" outlineLevel="0" collapsed="false">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c r="AB168" s="37" t="str">
        <f aca="false">TRIM($A168&amp;"")</f>
        <v/>
      </c>
      <c r="AC168" s="37" t="str">
        <f aca="false">IF(AB168="","",IFERROR(INDEX('Account Map'!$B:$B,MATCH(AB168,'Account Map'!$A:$A,0)),""))</f>
        <v/>
      </c>
      <c r="AD168" s="37" t="str">
        <f aca="false">IF(AB168="","",IFERROR(INDEX('Account Map'!$C:$C,MATCH(AB168,'Account Map'!$A:$A,0)),""))</f>
        <v/>
      </c>
      <c r="AE168" s="37" t="n">
        <f aca="false">IF(AND(AB168&lt;&gt;"",AC168="",COUNT($B168:$Z168)&gt;0,LEFT(AB168,5)&lt;&gt;"Total",AB168&lt;&gt;"Gross Profit",AB168&lt;&gt;"Net Profit",AB168&lt;&gt;"Operating Profit"),1,0)</f>
        <v>0</v>
      </c>
    </row>
    <row r="169" customFormat="false" ht="15" hidden="false" customHeight="false" outlineLevel="0" collapsed="false">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c r="AB169" s="37" t="str">
        <f aca="false">TRIM($A169&amp;"")</f>
        <v/>
      </c>
      <c r="AC169" s="37" t="str">
        <f aca="false">IF(AB169="","",IFERROR(INDEX('Account Map'!$B:$B,MATCH(AB169,'Account Map'!$A:$A,0)),""))</f>
        <v/>
      </c>
      <c r="AD169" s="37" t="str">
        <f aca="false">IF(AB169="","",IFERROR(INDEX('Account Map'!$C:$C,MATCH(AB169,'Account Map'!$A:$A,0)),""))</f>
        <v/>
      </c>
      <c r="AE169" s="37" t="n">
        <f aca="false">IF(AND(AB169&lt;&gt;"",AC169="",COUNT($B169:$Z169)&gt;0,LEFT(AB169,5)&lt;&gt;"Total",AB169&lt;&gt;"Gross Profit",AB169&lt;&gt;"Net Profit",AB169&lt;&gt;"Operating Profit"),1,0)</f>
        <v>0</v>
      </c>
    </row>
    <row r="170" customFormat="false" ht="15" hidden="false" customHeight="false" outlineLevel="0" collapsed="false">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c r="AB170" s="37" t="str">
        <f aca="false">TRIM($A170&amp;"")</f>
        <v/>
      </c>
      <c r="AC170" s="37" t="str">
        <f aca="false">IF(AB170="","",IFERROR(INDEX('Account Map'!$B:$B,MATCH(AB170,'Account Map'!$A:$A,0)),""))</f>
        <v/>
      </c>
      <c r="AD170" s="37" t="str">
        <f aca="false">IF(AB170="","",IFERROR(INDEX('Account Map'!$C:$C,MATCH(AB170,'Account Map'!$A:$A,0)),""))</f>
        <v/>
      </c>
      <c r="AE170" s="37" t="n">
        <f aca="false">IF(AND(AB170&lt;&gt;"",AC170="",COUNT($B170:$Z170)&gt;0,LEFT(AB170,5)&lt;&gt;"Total",AB170&lt;&gt;"Gross Profit",AB170&lt;&gt;"Net Profit",AB170&lt;&gt;"Operating Profit"),1,0)</f>
        <v>0</v>
      </c>
    </row>
    <row r="171" customFormat="false" ht="15" hidden="false" customHeight="false" outlineLevel="0" collapsed="false">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c r="AB171" s="37" t="str">
        <f aca="false">TRIM($A171&amp;"")</f>
        <v/>
      </c>
      <c r="AC171" s="37" t="str">
        <f aca="false">IF(AB171="","",IFERROR(INDEX('Account Map'!$B:$B,MATCH(AB171,'Account Map'!$A:$A,0)),""))</f>
        <v/>
      </c>
      <c r="AD171" s="37" t="str">
        <f aca="false">IF(AB171="","",IFERROR(INDEX('Account Map'!$C:$C,MATCH(AB171,'Account Map'!$A:$A,0)),""))</f>
        <v/>
      </c>
      <c r="AE171" s="37" t="n">
        <f aca="false">IF(AND(AB171&lt;&gt;"",AC171="",COUNT($B171:$Z171)&gt;0,LEFT(AB171,5)&lt;&gt;"Total",AB171&lt;&gt;"Gross Profit",AB171&lt;&gt;"Net Profit",AB171&lt;&gt;"Operating Profit"),1,0)</f>
        <v>0</v>
      </c>
    </row>
    <row r="172" customFormat="false" ht="15" hidden="false" customHeight="false" outlineLevel="0" collapsed="false">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c r="AB172" s="37" t="str">
        <f aca="false">TRIM($A172&amp;"")</f>
        <v/>
      </c>
      <c r="AC172" s="37" t="str">
        <f aca="false">IF(AB172="","",IFERROR(INDEX('Account Map'!$B:$B,MATCH(AB172,'Account Map'!$A:$A,0)),""))</f>
        <v/>
      </c>
      <c r="AD172" s="37" t="str">
        <f aca="false">IF(AB172="","",IFERROR(INDEX('Account Map'!$C:$C,MATCH(AB172,'Account Map'!$A:$A,0)),""))</f>
        <v/>
      </c>
      <c r="AE172" s="37" t="n">
        <f aca="false">IF(AND(AB172&lt;&gt;"",AC172="",COUNT($B172:$Z172)&gt;0,LEFT(AB172,5)&lt;&gt;"Total",AB172&lt;&gt;"Gross Profit",AB172&lt;&gt;"Net Profit",AB172&lt;&gt;"Operating Profit"),1,0)</f>
        <v>0</v>
      </c>
    </row>
    <row r="173" customFormat="false" ht="15" hidden="false" customHeight="false" outlineLevel="0" collapsed="false">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c r="AB173" s="37" t="str">
        <f aca="false">TRIM($A173&amp;"")</f>
        <v/>
      </c>
      <c r="AC173" s="37" t="str">
        <f aca="false">IF(AB173="","",IFERROR(INDEX('Account Map'!$B:$B,MATCH(AB173,'Account Map'!$A:$A,0)),""))</f>
        <v/>
      </c>
      <c r="AD173" s="37" t="str">
        <f aca="false">IF(AB173="","",IFERROR(INDEX('Account Map'!$C:$C,MATCH(AB173,'Account Map'!$A:$A,0)),""))</f>
        <v/>
      </c>
      <c r="AE173" s="37" t="n">
        <f aca="false">IF(AND(AB173&lt;&gt;"",AC173="",COUNT($B173:$Z173)&gt;0,LEFT(AB173,5)&lt;&gt;"Total",AB173&lt;&gt;"Gross Profit",AB173&lt;&gt;"Net Profit",AB173&lt;&gt;"Operating Profit"),1,0)</f>
        <v>0</v>
      </c>
    </row>
    <row r="174" customFormat="false" ht="15" hidden="false" customHeight="false" outlineLevel="0" collapsed="false">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c r="AB174" s="37" t="str">
        <f aca="false">TRIM($A174&amp;"")</f>
        <v/>
      </c>
      <c r="AC174" s="37" t="str">
        <f aca="false">IF(AB174="","",IFERROR(INDEX('Account Map'!$B:$B,MATCH(AB174,'Account Map'!$A:$A,0)),""))</f>
        <v/>
      </c>
      <c r="AD174" s="37" t="str">
        <f aca="false">IF(AB174="","",IFERROR(INDEX('Account Map'!$C:$C,MATCH(AB174,'Account Map'!$A:$A,0)),""))</f>
        <v/>
      </c>
      <c r="AE174" s="37" t="n">
        <f aca="false">IF(AND(AB174&lt;&gt;"",AC174="",COUNT($B174:$Z174)&gt;0,LEFT(AB174,5)&lt;&gt;"Total",AB174&lt;&gt;"Gross Profit",AB174&lt;&gt;"Net Profit",AB174&lt;&gt;"Operating Profit"),1,0)</f>
        <v>0</v>
      </c>
    </row>
    <row r="175" customFormat="false" ht="15" hidden="false" customHeight="false" outlineLevel="0" collapsed="false">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c r="AB175" s="37" t="str">
        <f aca="false">TRIM($A175&amp;"")</f>
        <v/>
      </c>
      <c r="AC175" s="37" t="str">
        <f aca="false">IF(AB175="","",IFERROR(INDEX('Account Map'!$B:$B,MATCH(AB175,'Account Map'!$A:$A,0)),""))</f>
        <v/>
      </c>
      <c r="AD175" s="37" t="str">
        <f aca="false">IF(AB175="","",IFERROR(INDEX('Account Map'!$C:$C,MATCH(AB175,'Account Map'!$A:$A,0)),""))</f>
        <v/>
      </c>
      <c r="AE175" s="37" t="n">
        <f aca="false">IF(AND(AB175&lt;&gt;"",AC175="",COUNT($B175:$Z175)&gt;0,LEFT(AB175,5)&lt;&gt;"Total",AB175&lt;&gt;"Gross Profit",AB175&lt;&gt;"Net Profit",AB175&lt;&gt;"Operating Profit"),1,0)</f>
        <v>0</v>
      </c>
    </row>
    <row r="176" customFormat="false" ht="15" hidden="false" customHeight="false" outlineLevel="0" collapsed="false">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c r="AB176" s="37" t="str">
        <f aca="false">TRIM($A176&amp;"")</f>
        <v/>
      </c>
      <c r="AC176" s="37" t="str">
        <f aca="false">IF(AB176="","",IFERROR(INDEX('Account Map'!$B:$B,MATCH(AB176,'Account Map'!$A:$A,0)),""))</f>
        <v/>
      </c>
      <c r="AD176" s="37" t="str">
        <f aca="false">IF(AB176="","",IFERROR(INDEX('Account Map'!$C:$C,MATCH(AB176,'Account Map'!$A:$A,0)),""))</f>
        <v/>
      </c>
      <c r="AE176" s="37" t="n">
        <f aca="false">IF(AND(AB176&lt;&gt;"",AC176="",COUNT($B176:$Z176)&gt;0,LEFT(AB176,5)&lt;&gt;"Total",AB176&lt;&gt;"Gross Profit",AB176&lt;&gt;"Net Profit",AB176&lt;&gt;"Operating Profit"),1,0)</f>
        <v>0</v>
      </c>
    </row>
    <row r="177" customFormat="false" ht="15" hidden="false" customHeight="false" outlineLevel="0" collapsed="false">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c r="AB177" s="37" t="str">
        <f aca="false">TRIM($A177&amp;"")</f>
        <v/>
      </c>
      <c r="AC177" s="37" t="str">
        <f aca="false">IF(AB177="","",IFERROR(INDEX('Account Map'!$B:$B,MATCH(AB177,'Account Map'!$A:$A,0)),""))</f>
        <v/>
      </c>
      <c r="AD177" s="37" t="str">
        <f aca="false">IF(AB177="","",IFERROR(INDEX('Account Map'!$C:$C,MATCH(AB177,'Account Map'!$A:$A,0)),""))</f>
        <v/>
      </c>
      <c r="AE177" s="37" t="n">
        <f aca="false">IF(AND(AB177&lt;&gt;"",AC177="",COUNT($B177:$Z177)&gt;0,LEFT(AB177,5)&lt;&gt;"Total",AB177&lt;&gt;"Gross Profit",AB177&lt;&gt;"Net Profit",AB177&lt;&gt;"Operating Profit"),1,0)</f>
        <v>0</v>
      </c>
    </row>
    <row r="178" customFormat="false" ht="15" hidden="false" customHeight="false" outlineLevel="0" collapsed="false">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c r="AB178" s="37" t="str">
        <f aca="false">TRIM($A178&amp;"")</f>
        <v/>
      </c>
      <c r="AC178" s="37" t="str">
        <f aca="false">IF(AB178="","",IFERROR(INDEX('Account Map'!$B:$B,MATCH(AB178,'Account Map'!$A:$A,0)),""))</f>
        <v/>
      </c>
      <c r="AD178" s="37" t="str">
        <f aca="false">IF(AB178="","",IFERROR(INDEX('Account Map'!$C:$C,MATCH(AB178,'Account Map'!$A:$A,0)),""))</f>
        <v/>
      </c>
      <c r="AE178" s="37" t="n">
        <f aca="false">IF(AND(AB178&lt;&gt;"",AC178="",COUNT($B178:$Z178)&gt;0,LEFT(AB178,5)&lt;&gt;"Total",AB178&lt;&gt;"Gross Profit",AB178&lt;&gt;"Net Profit",AB178&lt;&gt;"Operating Profit"),1,0)</f>
        <v>0</v>
      </c>
    </row>
    <row r="179" customFormat="false" ht="15" hidden="false" customHeight="false" outlineLevel="0" collapsed="false">
      <c r="B179" s="44"/>
      <c r="C179" s="44"/>
      <c r="D179" s="44"/>
      <c r="E179" s="44"/>
      <c r="F179" s="44"/>
      <c r="G179" s="44"/>
      <c r="H179" s="44"/>
      <c r="I179" s="44"/>
      <c r="J179" s="44"/>
      <c r="K179" s="44"/>
      <c r="L179" s="44"/>
      <c r="M179" s="44"/>
      <c r="N179" s="44"/>
      <c r="O179" s="44"/>
      <c r="P179" s="44"/>
      <c r="Q179" s="44"/>
      <c r="R179" s="44"/>
      <c r="S179" s="44"/>
      <c r="T179" s="44"/>
      <c r="U179" s="44"/>
      <c r="V179" s="44"/>
      <c r="W179" s="44"/>
      <c r="X179" s="44"/>
      <c r="Y179" s="44"/>
      <c r="Z179" s="44"/>
      <c r="AB179" s="37" t="str">
        <f aca="false">TRIM($A179&amp;"")</f>
        <v/>
      </c>
      <c r="AC179" s="37" t="str">
        <f aca="false">IF(AB179="","",IFERROR(INDEX('Account Map'!$B:$B,MATCH(AB179,'Account Map'!$A:$A,0)),""))</f>
        <v/>
      </c>
      <c r="AD179" s="37" t="str">
        <f aca="false">IF(AB179="","",IFERROR(INDEX('Account Map'!$C:$C,MATCH(AB179,'Account Map'!$A:$A,0)),""))</f>
        <v/>
      </c>
      <c r="AE179" s="37" t="n">
        <f aca="false">IF(AND(AB179&lt;&gt;"",AC179="",COUNT($B179:$Z179)&gt;0,LEFT(AB179,5)&lt;&gt;"Total",AB179&lt;&gt;"Gross Profit",AB179&lt;&gt;"Net Profit",AB179&lt;&gt;"Operating Profit"),1,0)</f>
        <v>0</v>
      </c>
    </row>
    <row r="180" customFormat="false" ht="15" hidden="false" customHeight="false" outlineLevel="0" collapsed="false">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B180" s="37" t="str">
        <f aca="false">TRIM($A180&amp;"")</f>
        <v/>
      </c>
      <c r="AC180" s="37" t="str">
        <f aca="false">IF(AB180="","",IFERROR(INDEX('Account Map'!$B:$B,MATCH(AB180,'Account Map'!$A:$A,0)),""))</f>
        <v/>
      </c>
      <c r="AD180" s="37" t="str">
        <f aca="false">IF(AB180="","",IFERROR(INDEX('Account Map'!$C:$C,MATCH(AB180,'Account Map'!$A:$A,0)),""))</f>
        <v/>
      </c>
      <c r="AE180" s="37" t="n">
        <f aca="false">IF(AND(AB180&lt;&gt;"",AC180="",COUNT($B180:$Z180)&gt;0,LEFT(AB180,5)&lt;&gt;"Total",AB180&lt;&gt;"Gross Profit",AB180&lt;&gt;"Net Profit",AB180&lt;&gt;"Operating Profit"),1,0)</f>
        <v>0</v>
      </c>
    </row>
    <row r="181" customFormat="false" ht="15" hidden="false" customHeight="false" outlineLevel="0" collapsed="false">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c r="Z181" s="44"/>
      <c r="AB181" s="37" t="str">
        <f aca="false">TRIM($A181&amp;"")</f>
        <v/>
      </c>
      <c r="AC181" s="37" t="str">
        <f aca="false">IF(AB181="","",IFERROR(INDEX('Account Map'!$B:$B,MATCH(AB181,'Account Map'!$A:$A,0)),""))</f>
        <v/>
      </c>
      <c r="AD181" s="37" t="str">
        <f aca="false">IF(AB181="","",IFERROR(INDEX('Account Map'!$C:$C,MATCH(AB181,'Account Map'!$A:$A,0)),""))</f>
        <v/>
      </c>
      <c r="AE181" s="37" t="n">
        <f aca="false">IF(AND(AB181&lt;&gt;"",AC181="",COUNT($B181:$Z181)&gt;0,LEFT(AB181,5)&lt;&gt;"Total",AB181&lt;&gt;"Gross Profit",AB181&lt;&gt;"Net Profit",AB181&lt;&gt;"Operating Profit"),1,0)</f>
        <v>0</v>
      </c>
    </row>
    <row r="182" customFormat="false" ht="15" hidden="false" customHeight="false" outlineLevel="0" collapsed="false">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c r="Z182" s="44"/>
      <c r="AB182" s="37" t="str">
        <f aca="false">TRIM($A182&amp;"")</f>
        <v/>
      </c>
      <c r="AC182" s="37" t="str">
        <f aca="false">IF(AB182="","",IFERROR(INDEX('Account Map'!$B:$B,MATCH(AB182,'Account Map'!$A:$A,0)),""))</f>
        <v/>
      </c>
      <c r="AD182" s="37" t="str">
        <f aca="false">IF(AB182="","",IFERROR(INDEX('Account Map'!$C:$C,MATCH(AB182,'Account Map'!$A:$A,0)),""))</f>
        <v/>
      </c>
      <c r="AE182" s="37" t="n">
        <f aca="false">IF(AND(AB182&lt;&gt;"",AC182="",COUNT($B182:$Z182)&gt;0,LEFT(AB182,5)&lt;&gt;"Total",AB182&lt;&gt;"Gross Profit",AB182&lt;&gt;"Net Profit",AB182&lt;&gt;"Operating Profit"),1,0)</f>
        <v>0</v>
      </c>
    </row>
    <row r="183" customFormat="false" ht="15" hidden="false" customHeight="false" outlineLevel="0" collapsed="false">
      <c r="B183" s="44"/>
      <c r="C183" s="44"/>
      <c r="D183" s="44"/>
      <c r="E183" s="44"/>
      <c r="F183" s="44"/>
      <c r="G183" s="44"/>
      <c r="H183" s="44"/>
      <c r="I183" s="44"/>
      <c r="J183" s="44"/>
      <c r="K183" s="44"/>
      <c r="L183" s="44"/>
      <c r="M183" s="44"/>
      <c r="N183" s="44"/>
      <c r="O183" s="44"/>
      <c r="P183" s="44"/>
      <c r="Q183" s="44"/>
      <c r="R183" s="44"/>
      <c r="S183" s="44"/>
      <c r="T183" s="44"/>
      <c r="U183" s="44"/>
      <c r="V183" s="44"/>
      <c r="W183" s="44"/>
      <c r="X183" s="44"/>
      <c r="Y183" s="44"/>
      <c r="Z183" s="44"/>
      <c r="AB183" s="37" t="str">
        <f aca="false">TRIM($A183&amp;"")</f>
        <v/>
      </c>
      <c r="AC183" s="37" t="str">
        <f aca="false">IF(AB183="","",IFERROR(INDEX('Account Map'!$B:$B,MATCH(AB183,'Account Map'!$A:$A,0)),""))</f>
        <v/>
      </c>
      <c r="AD183" s="37" t="str">
        <f aca="false">IF(AB183="","",IFERROR(INDEX('Account Map'!$C:$C,MATCH(AB183,'Account Map'!$A:$A,0)),""))</f>
        <v/>
      </c>
      <c r="AE183" s="37" t="n">
        <f aca="false">IF(AND(AB183&lt;&gt;"",AC183="",COUNT($B183:$Z183)&gt;0,LEFT(AB183,5)&lt;&gt;"Total",AB183&lt;&gt;"Gross Profit",AB183&lt;&gt;"Net Profit",AB183&lt;&gt;"Operating Profit"),1,0)</f>
        <v>0</v>
      </c>
    </row>
    <row r="184" customFormat="false" ht="15" hidden="false" customHeight="false" outlineLevel="0" collapsed="false">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c r="AB184" s="37" t="str">
        <f aca="false">TRIM($A184&amp;"")</f>
        <v/>
      </c>
      <c r="AC184" s="37" t="str">
        <f aca="false">IF(AB184="","",IFERROR(INDEX('Account Map'!$B:$B,MATCH(AB184,'Account Map'!$A:$A,0)),""))</f>
        <v/>
      </c>
      <c r="AD184" s="37" t="str">
        <f aca="false">IF(AB184="","",IFERROR(INDEX('Account Map'!$C:$C,MATCH(AB184,'Account Map'!$A:$A,0)),""))</f>
        <v/>
      </c>
      <c r="AE184" s="37" t="n">
        <f aca="false">IF(AND(AB184&lt;&gt;"",AC184="",COUNT($B184:$Z184)&gt;0,LEFT(AB184,5)&lt;&gt;"Total",AB184&lt;&gt;"Gross Profit",AB184&lt;&gt;"Net Profit",AB184&lt;&gt;"Operating Profit"),1,0)</f>
        <v>0</v>
      </c>
    </row>
    <row r="185" customFormat="false" ht="15" hidden="false" customHeight="false" outlineLevel="0" collapsed="false">
      <c r="B185" s="44"/>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c r="AB185" s="37" t="str">
        <f aca="false">TRIM($A185&amp;"")</f>
        <v/>
      </c>
      <c r="AC185" s="37" t="str">
        <f aca="false">IF(AB185="","",IFERROR(INDEX('Account Map'!$B:$B,MATCH(AB185,'Account Map'!$A:$A,0)),""))</f>
        <v/>
      </c>
      <c r="AD185" s="37" t="str">
        <f aca="false">IF(AB185="","",IFERROR(INDEX('Account Map'!$C:$C,MATCH(AB185,'Account Map'!$A:$A,0)),""))</f>
        <v/>
      </c>
      <c r="AE185" s="37" t="n">
        <f aca="false">IF(AND(AB185&lt;&gt;"",AC185="",COUNT($B185:$Z185)&gt;0,LEFT(AB185,5)&lt;&gt;"Total",AB185&lt;&gt;"Gross Profit",AB185&lt;&gt;"Net Profit",AB185&lt;&gt;"Operating Profit"),1,0)</f>
        <v>0</v>
      </c>
    </row>
    <row r="186" customFormat="false" ht="15" hidden="false" customHeight="false" outlineLevel="0" collapsed="false">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c r="Z186" s="44"/>
      <c r="AB186" s="37" t="str">
        <f aca="false">TRIM($A186&amp;"")</f>
        <v/>
      </c>
      <c r="AC186" s="37" t="str">
        <f aca="false">IF(AB186="","",IFERROR(INDEX('Account Map'!$B:$B,MATCH(AB186,'Account Map'!$A:$A,0)),""))</f>
        <v/>
      </c>
      <c r="AD186" s="37" t="str">
        <f aca="false">IF(AB186="","",IFERROR(INDEX('Account Map'!$C:$C,MATCH(AB186,'Account Map'!$A:$A,0)),""))</f>
        <v/>
      </c>
      <c r="AE186" s="37" t="n">
        <f aca="false">IF(AND(AB186&lt;&gt;"",AC186="",COUNT($B186:$Z186)&gt;0,LEFT(AB186,5)&lt;&gt;"Total",AB186&lt;&gt;"Gross Profit",AB186&lt;&gt;"Net Profit",AB186&lt;&gt;"Operating Profit"),1,0)</f>
        <v>0</v>
      </c>
    </row>
    <row r="187" customFormat="false" ht="15" hidden="false" customHeight="false" outlineLevel="0" collapsed="false">
      <c r="B187" s="44"/>
      <c r="C187" s="44"/>
      <c r="D187" s="44"/>
      <c r="E187" s="44"/>
      <c r="F187" s="44"/>
      <c r="G187" s="44"/>
      <c r="H187" s="44"/>
      <c r="I187" s="44"/>
      <c r="J187" s="44"/>
      <c r="K187" s="44"/>
      <c r="L187" s="44"/>
      <c r="M187" s="44"/>
      <c r="N187" s="44"/>
      <c r="O187" s="44"/>
      <c r="P187" s="44"/>
      <c r="Q187" s="44"/>
      <c r="R187" s="44"/>
      <c r="S187" s="44"/>
      <c r="T187" s="44"/>
      <c r="U187" s="44"/>
      <c r="V187" s="44"/>
      <c r="W187" s="44"/>
      <c r="X187" s="44"/>
      <c r="Y187" s="44"/>
      <c r="Z187" s="44"/>
      <c r="AB187" s="37" t="str">
        <f aca="false">TRIM($A187&amp;"")</f>
        <v/>
      </c>
      <c r="AC187" s="37" t="str">
        <f aca="false">IF(AB187="","",IFERROR(INDEX('Account Map'!$B:$B,MATCH(AB187,'Account Map'!$A:$A,0)),""))</f>
        <v/>
      </c>
      <c r="AD187" s="37" t="str">
        <f aca="false">IF(AB187="","",IFERROR(INDEX('Account Map'!$C:$C,MATCH(AB187,'Account Map'!$A:$A,0)),""))</f>
        <v/>
      </c>
      <c r="AE187" s="37" t="n">
        <f aca="false">IF(AND(AB187&lt;&gt;"",AC187="",COUNT($B187:$Z187)&gt;0,LEFT(AB187,5)&lt;&gt;"Total",AB187&lt;&gt;"Gross Profit",AB187&lt;&gt;"Net Profit",AB187&lt;&gt;"Operating Profit"),1,0)</f>
        <v>0</v>
      </c>
    </row>
    <row r="188" customFormat="false" ht="15" hidden="false" customHeight="false" outlineLevel="0" collapsed="false">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4"/>
      <c r="AB188" s="37" t="str">
        <f aca="false">TRIM($A188&amp;"")</f>
        <v/>
      </c>
      <c r="AC188" s="37" t="str">
        <f aca="false">IF(AB188="","",IFERROR(INDEX('Account Map'!$B:$B,MATCH(AB188,'Account Map'!$A:$A,0)),""))</f>
        <v/>
      </c>
      <c r="AD188" s="37" t="str">
        <f aca="false">IF(AB188="","",IFERROR(INDEX('Account Map'!$C:$C,MATCH(AB188,'Account Map'!$A:$A,0)),""))</f>
        <v/>
      </c>
      <c r="AE188" s="37" t="n">
        <f aca="false">IF(AND(AB188&lt;&gt;"",AC188="",COUNT($B188:$Z188)&gt;0,LEFT(AB188,5)&lt;&gt;"Total",AB188&lt;&gt;"Gross Profit",AB188&lt;&gt;"Net Profit",AB188&lt;&gt;"Operating Profit"),1,0)</f>
        <v>0</v>
      </c>
    </row>
    <row r="189" customFormat="false" ht="15" hidden="false" customHeight="false" outlineLevel="0" collapsed="false">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c r="AB189" s="37" t="str">
        <f aca="false">TRIM($A189&amp;"")</f>
        <v/>
      </c>
      <c r="AC189" s="37" t="str">
        <f aca="false">IF(AB189="","",IFERROR(INDEX('Account Map'!$B:$B,MATCH(AB189,'Account Map'!$A:$A,0)),""))</f>
        <v/>
      </c>
      <c r="AD189" s="37" t="str">
        <f aca="false">IF(AB189="","",IFERROR(INDEX('Account Map'!$C:$C,MATCH(AB189,'Account Map'!$A:$A,0)),""))</f>
        <v/>
      </c>
      <c r="AE189" s="37" t="n">
        <f aca="false">IF(AND(AB189&lt;&gt;"",AC189="",COUNT($B189:$Z189)&gt;0,LEFT(AB189,5)&lt;&gt;"Total",AB189&lt;&gt;"Gross Profit",AB189&lt;&gt;"Net Profit",AB189&lt;&gt;"Operating Profit"),1,0)</f>
        <v>0</v>
      </c>
    </row>
    <row r="190" customFormat="false" ht="15" hidden="false" customHeight="false" outlineLevel="0" collapsed="false">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c r="AB190" s="37" t="str">
        <f aca="false">TRIM($A190&amp;"")</f>
        <v/>
      </c>
      <c r="AC190" s="37" t="str">
        <f aca="false">IF(AB190="","",IFERROR(INDEX('Account Map'!$B:$B,MATCH(AB190,'Account Map'!$A:$A,0)),""))</f>
        <v/>
      </c>
      <c r="AD190" s="37" t="str">
        <f aca="false">IF(AB190="","",IFERROR(INDEX('Account Map'!$C:$C,MATCH(AB190,'Account Map'!$A:$A,0)),""))</f>
        <v/>
      </c>
      <c r="AE190" s="37" t="n">
        <f aca="false">IF(AND(AB190&lt;&gt;"",AC190="",COUNT($B190:$Z190)&gt;0,LEFT(AB190,5)&lt;&gt;"Total",AB190&lt;&gt;"Gross Profit",AB190&lt;&gt;"Net Profit",AB190&lt;&gt;"Operating Profit"),1,0)</f>
        <v>0</v>
      </c>
    </row>
    <row r="191" customFormat="false" ht="15" hidden="false" customHeight="false" outlineLevel="0" collapsed="false">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c r="Z191" s="44"/>
      <c r="AB191" s="37" t="str">
        <f aca="false">TRIM($A191&amp;"")</f>
        <v/>
      </c>
      <c r="AC191" s="37" t="str">
        <f aca="false">IF(AB191="","",IFERROR(INDEX('Account Map'!$B:$B,MATCH(AB191,'Account Map'!$A:$A,0)),""))</f>
        <v/>
      </c>
      <c r="AD191" s="37" t="str">
        <f aca="false">IF(AB191="","",IFERROR(INDEX('Account Map'!$C:$C,MATCH(AB191,'Account Map'!$A:$A,0)),""))</f>
        <v/>
      </c>
      <c r="AE191" s="37" t="n">
        <f aca="false">IF(AND(AB191&lt;&gt;"",AC191="",COUNT($B191:$Z191)&gt;0,LEFT(AB191,5)&lt;&gt;"Total",AB191&lt;&gt;"Gross Profit",AB191&lt;&gt;"Net Profit",AB191&lt;&gt;"Operating Profit"),1,0)</f>
        <v>0</v>
      </c>
    </row>
    <row r="192" customFormat="false" ht="15" hidden="false" customHeight="false" outlineLevel="0" collapsed="false">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c r="AB192" s="37" t="str">
        <f aca="false">TRIM($A192&amp;"")</f>
        <v/>
      </c>
      <c r="AC192" s="37" t="str">
        <f aca="false">IF(AB192="","",IFERROR(INDEX('Account Map'!$B:$B,MATCH(AB192,'Account Map'!$A:$A,0)),""))</f>
        <v/>
      </c>
      <c r="AD192" s="37" t="str">
        <f aca="false">IF(AB192="","",IFERROR(INDEX('Account Map'!$C:$C,MATCH(AB192,'Account Map'!$A:$A,0)),""))</f>
        <v/>
      </c>
      <c r="AE192" s="37" t="n">
        <f aca="false">IF(AND(AB192&lt;&gt;"",AC192="",COUNT($B192:$Z192)&gt;0,LEFT(AB192,5)&lt;&gt;"Total",AB192&lt;&gt;"Gross Profit",AB192&lt;&gt;"Net Profit",AB192&lt;&gt;"Operating Profit"),1,0)</f>
        <v>0</v>
      </c>
    </row>
    <row r="193" customFormat="false" ht="15" hidden="false" customHeight="false" outlineLevel="0" collapsed="false">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c r="Z193" s="44"/>
      <c r="AB193" s="37" t="str">
        <f aca="false">TRIM($A193&amp;"")</f>
        <v/>
      </c>
      <c r="AC193" s="37" t="str">
        <f aca="false">IF(AB193="","",IFERROR(INDEX('Account Map'!$B:$B,MATCH(AB193,'Account Map'!$A:$A,0)),""))</f>
        <v/>
      </c>
      <c r="AD193" s="37" t="str">
        <f aca="false">IF(AB193="","",IFERROR(INDEX('Account Map'!$C:$C,MATCH(AB193,'Account Map'!$A:$A,0)),""))</f>
        <v/>
      </c>
      <c r="AE193" s="37" t="n">
        <f aca="false">IF(AND(AB193&lt;&gt;"",AC193="",COUNT($B193:$Z193)&gt;0,LEFT(AB193,5)&lt;&gt;"Total",AB193&lt;&gt;"Gross Profit",AB193&lt;&gt;"Net Profit",AB193&lt;&gt;"Operating Profit"),1,0)</f>
        <v>0</v>
      </c>
    </row>
    <row r="194" customFormat="false" ht="15" hidden="false" customHeight="false" outlineLevel="0" collapsed="false">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c r="AB194" s="37" t="str">
        <f aca="false">TRIM($A194&amp;"")</f>
        <v/>
      </c>
      <c r="AC194" s="37" t="str">
        <f aca="false">IF(AB194="","",IFERROR(INDEX('Account Map'!$B:$B,MATCH(AB194,'Account Map'!$A:$A,0)),""))</f>
        <v/>
      </c>
      <c r="AD194" s="37" t="str">
        <f aca="false">IF(AB194="","",IFERROR(INDEX('Account Map'!$C:$C,MATCH(AB194,'Account Map'!$A:$A,0)),""))</f>
        <v/>
      </c>
      <c r="AE194" s="37" t="n">
        <f aca="false">IF(AND(AB194&lt;&gt;"",AC194="",COUNT($B194:$Z194)&gt;0,LEFT(AB194,5)&lt;&gt;"Total",AB194&lt;&gt;"Gross Profit",AB194&lt;&gt;"Net Profit",AB194&lt;&gt;"Operating Profit"),1,0)</f>
        <v>0</v>
      </c>
    </row>
    <row r="195" customFormat="false" ht="15" hidden="false" customHeight="false" outlineLevel="0" collapsed="false">
      <c r="B195" s="44"/>
      <c r="C195" s="44"/>
      <c r="D195" s="44"/>
      <c r="E195" s="44"/>
      <c r="F195" s="44"/>
      <c r="G195" s="44"/>
      <c r="H195" s="44"/>
      <c r="I195" s="44"/>
      <c r="J195" s="44"/>
      <c r="K195" s="44"/>
      <c r="L195" s="44"/>
      <c r="M195" s="44"/>
      <c r="N195" s="44"/>
      <c r="O195" s="44"/>
      <c r="P195" s="44"/>
      <c r="Q195" s="44"/>
      <c r="R195" s="44"/>
      <c r="S195" s="44"/>
      <c r="T195" s="44"/>
      <c r="U195" s="44"/>
      <c r="V195" s="44"/>
      <c r="W195" s="44"/>
      <c r="X195" s="44"/>
      <c r="Y195" s="44"/>
      <c r="Z195" s="44"/>
      <c r="AB195" s="37" t="str">
        <f aca="false">TRIM($A195&amp;"")</f>
        <v/>
      </c>
      <c r="AC195" s="37" t="str">
        <f aca="false">IF(AB195="","",IFERROR(INDEX('Account Map'!$B:$B,MATCH(AB195,'Account Map'!$A:$A,0)),""))</f>
        <v/>
      </c>
      <c r="AD195" s="37" t="str">
        <f aca="false">IF(AB195="","",IFERROR(INDEX('Account Map'!$C:$C,MATCH(AB195,'Account Map'!$A:$A,0)),""))</f>
        <v/>
      </c>
      <c r="AE195" s="37" t="n">
        <f aca="false">IF(AND(AB195&lt;&gt;"",AC195="",COUNT($B195:$Z195)&gt;0,LEFT(AB195,5)&lt;&gt;"Total",AB195&lt;&gt;"Gross Profit",AB195&lt;&gt;"Net Profit",AB195&lt;&gt;"Operating Profit"),1,0)</f>
        <v>0</v>
      </c>
    </row>
    <row r="196" customFormat="false" ht="15" hidden="false" customHeight="false" outlineLevel="0" collapsed="false">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4"/>
      <c r="AB196" s="37" t="str">
        <f aca="false">TRIM($A196&amp;"")</f>
        <v/>
      </c>
      <c r="AC196" s="37" t="str">
        <f aca="false">IF(AB196="","",IFERROR(INDEX('Account Map'!$B:$B,MATCH(AB196,'Account Map'!$A:$A,0)),""))</f>
        <v/>
      </c>
      <c r="AD196" s="37" t="str">
        <f aca="false">IF(AB196="","",IFERROR(INDEX('Account Map'!$C:$C,MATCH(AB196,'Account Map'!$A:$A,0)),""))</f>
        <v/>
      </c>
      <c r="AE196" s="37" t="n">
        <f aca="false">IF(AND(AB196&lt;&gt;"",AC196="",COUNT($B196:$Z196)&gt;0,LEFT(AB196,5)&lt;&gt;"Total",AB196&lt;&gt;"Gross Profit",AB196&lt;&gt;"Net Profit",AB196&lt;&gt;"Operating Profit"),1,0)</f>
        <v>0</v>
      </c>
    </row>
    <row r="197" customFormat="false" ht="15" hidden="false" customHeight="false" outlineLevel="0" collapsed="false">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4"/>
      <c r="AB197" s="37" t="str">
        <f aca="false">TRIM($A197&amp;"")</f>
        <v/>
      </c>
      <c r="AC197" s="37" t="str">
        <f aca="false">IF(AB197="","",IFERROR(INDEX('Account Map'!$B:$B,MATCH(AB197,'Account Map'!$A:$A,0)),""))</f>
        <v/>
      </c>
      <c r="AD197" s="37" t="str">
        <f aca="false">IF(AB197="","",IFERROR(INDEX('Account Map'!$C:$C,MATCH(AB197,'Account Map'!$A:$A,0)),""))</f>
        <v/>
      </c>
      <c r="AE197" s="37" t="n">
        <f aca="false">IF(AND(AB197&lt;&gt;"",AC197="",COUNT($B197:$Z197)&gt;0,LEFT(AB197,5)&lt;&gt;"Total",AB197&lt;&gt;"Gross Profit",AB197&lt;&gt;"Net Profit",AB197&lt;&gt;"Operating Profit"),1,0)</f>
        <v>0</v>
      </c>
    </row>
    <row r="198" customFormat="false" ht="15" hidden="false" customHeight="false" outlineLevel="0" collapsed="false">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B198" s="37" t="str">
        <f aca="false">TRIM($A198&amp;"")</f>
        <v/>
      </c>
      <c r="AC198" s="37" t="str">
        <f aca="false">IF(AB198="","",IFERROR(INDEX('Account Map'!$B:$B,MATCH(AB198,'Account Map'!$A:$A,0)),""))</f>
        <v/>
      </c>
      <c r="AD198" s="37" t="str">
        <f aca="false">IF(AB198="","",IFERROR(INDEX('Account Map'!$C:$C,MATCH(AB198,'Account Map'!$A:$A,0)),""))</f>
        <v/>
      </c>
      <c r="AE198" s="37" t="n">
        <f aca="false">IF(AND(AB198&lt;&gt;"",AC198="",COUNT($B198:$Z198)&gt;0,LEFT(AB198,5)&lt;&gt;"Total",AB198&lt;&gt;"Gross Profit",AB198&lt;&gt;"Net Profit",AB198&lt;&gt;"Operating Profit"),1,0)</f>
        <v>0</v>
      </c>
    </row>
    <row r="199" customFormat="false" ht="15" hidden="false" customHeight="false" outlineLevel="0" collapsed="false">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4"/>
      <c r="AB199" s="37" t="str">
        <f aca="false">TRIM($A199&amp;"")</f>
        <v/>
      </c>
      <c r="AC199" s="37" t="str">
        <f aca="false">IF(AB199="","",IFERROR(INDEX('Account Map'!$B:$B,MATCH(AB199,'Account Map'!$A:$A,0)),""))</f>
        <v/>
      </c>
      <c r="AD199" s="37" t="str">
        <f aca="false">IF(AB199="","",IFERROR(INDEX('Account Map'!$C:$C,MATCH(AB199,'Account Map'!$A:$A,0)),""))</f>
        <v/>
      </c>
      <c r="AE199" s="37" t="n">
        <f aca="false">IF(AND(AB199&lt;&gt;"",AC199="",COUNT($B199:$Z199)&gt;0,LEFT(AB199,5)&lt;&gt;"Total",AB199&lt;&gt;"Gross Profit",AB199&lt;&gt;"Net Profit",AB199&lt;&gt;"Operating Profit"),1,0)</f>
        <v>0</v>
      </c>
    </row>
    <row r="200" customFormat="false" ht="15" hidden="false" customHeight="false" outlineLevel="0" collapsed="false">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c r="AB200" s="37" t="str">
        <f aca="false">TRIM($A200&amp;"")</f>
        <v/>
      </c>
      <c r="AC200" s="37" t="str">
        <f aca="false">IF(AB200="","",IFERROR(INDEX('Account Map'!$B:$B,MATCH(AB200,'Account Map'!$A:$A,0)),""))</f>
        <v/>
      </c>
      <c r="AD200" s="37" t="str">
        <f aca="false">IF(AB200="","",IFERROR(INDEX('Account Map'!$C:$C,MATCH(AB200,'Account Map'!$A:$A,0)),""))</f>
        <v/>
      </c>
      <c r="AE200" s="37" t="n">
        <f aca="false">IF(AND(AB200&lt;&gt;"",AC200="",COUNT($B200:$Z200)&gt;0,LEFT(AB200,5)&lt;&gt;"Total",AB200&lt;&gt;"Gross Profit",AB200&lt;&gt;"Net Profit",AB200&lt;&gt;"Operating Profit"),1,0)</f>
        <v>0</v>
      </c>
    </row>
    <row r="201" customFormat="false" ht="15" hidden="false" customHeight="false" outlineLevel="0" collapsed="false">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c r="AB201" s="37" t="str">
        <f aca="false">TRIM($A201&amp;"")</f>
        <v/>
      </c>
      <c r="AC201" s="37" t="str">
        <f aca="false">IF(AB201="","",IFERROR(INDEX('Account Map'!$B:$B,MATCH(AB201,'Account Map'!$A:$A,0)),""))</f>
        <v/>
      </c>
      <c r="AD201" s="37" t="str">
        <f aca="false">IF(AB201="","",IFERROR(INDEX('Account Map'!$C:$C,MATCH(AB201,'Account Map'!$A:$A,0)),""))</f>
        <v/>
      </c>
      <c r="AE201" s="37" t="n">
        <f aca="false">IF(AND(AB201&lt;&gt;"",AC201="",COUNT($B201:$Z201)&gt;0,LEFT(AB201,5)&lt;&gt;"Total",AB201&lt;&gt;"Gross Profit",AB201&lt;&gt;"Net Profit",AB201&lt;&gt;"Operating Profit"),1,0)</f>
        <v>0</v>
      </c>
    </row>
    <row r="202" customFormat="false" ht="15" hidden="false" customHeight="false" outlineLevel="0" collapsed="false">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c r="AB202" s="37" t="str">
        <f aca="false">TRIM($A202&amp;"")</f>
        <v/>
      </c>
      <c r="AC202" s="37" t="str">
        <f aca="false">IF(AB202="","",IFERROR(INDEX('Account Map'!$B:$B,MATCH(AB202,'Account Map'!$A:$A,0)),""))</f>
        <v/>
      </c>
      <c r="AD202" s="37" t="str">
        <f aca="false">IF(AB202="","",IFERROR(INDEX('Account Map'!$C:$C,MATCH(AB202,'Account Map'!$A:$A,0)),""))</f>
        <v/>
      </c>
      <c r="AE202" s="37" t="n">
        <f aca="false">IF(AND(AB202&lt;&gt;"",AC202="",COUNT($B202:$Z202)&gt;0,LEFT(AB202,5)&lt;&gt;"Total",AB202&lt;&gt;"Gross Profit",AB202&lt;&gt;"Net Profit",AB202&lt;&gt;"Operating Profit"),1,0)</f>
        <v>0</v>
      </c>
    </row>
    <row r="203" customFormat="false" ht="15" hidden="false" customHeight="false" outlineLevel="0" collapsed="false">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c r="AB203" s="37" t="str">
        <f aca="false">TRIM($A203&amp;"")</f>
        <v/>
      </c>
      <c r="AC203" s="37" t="str">
        <f aca="false">IF(AB203="","",IFERROR(INDEX('Account Map'!$B:$B,MATCH(AB203,'Account Map'!$A:$A,0)),""))</f>
        <v/>
      </c>
      <c r="AD203" s="37" t="str">
        <f aca="false">IF(AB203="","",IFERROR(INDEX('Account Map'!$C:$C,MATCH(AB203,'Account Map'!$A:$A,0)),""))</f>
        <v/>
      </c>
      <c r="AE203" s="37" t="n">
        <f aca="false">IF(AND(AB203&lt;&gt;"",AC203="",COUNT($B203:$Z203)&gt;0,LEFT(AB203,5)&lt;&gt;"Total",AB203&lt;&gt;"Gross Profit",AB203&lt;&gt;"Net Profit",AB203&lt;&gt;"Operating Profit"),1,0)</f>
        <v>0</v>
      </c>
    </row>
    <row r="204" customFormat="false" ht="15" hidden="false" customHeight="false" outlineLevel="0" collapsed="false">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c r="AB204" s="37" t="str">
        <f aca="false">TRIM($A204&amp;"")</f>
        <v/>
      </c>
      <c r="AC204" s="37" t="str">
        <f aca="false">IF(AB204="","",IFERROR(INDEX('Account Map'!$B:$B,MATCH(AB204,'Account Map'!$A:$A,0)),""))</f>
        <v/>
      </c>
      <c r="AD204" s="37" t="str">
        <f aca="false">IF(AB204="","",IFERROR(INDEX('Account Map'!$C:$C,MATCH(AB204,'Account Map'!$A:$A,0)),""))</f>
        <v/>
      </c>
      <c r="AE204" s="37" t="n">
        <f aca="false">IF(AND(AB204&lt;&gt;"",AC204="",COUNT($B204:$Z204)&gt;0,LEFT(AB204,5)&lt;&gt;"Total",AB204&lt;&gt;"Gross Profit",AB204&lt;&gt;"Net Profit",AB204&lt;&gt;"Operating Profit"),1,0)</f>
        <v>0</v>
      </c>
    </row>
    <row r="205" customFormat="false" ht="15" hidden="false" customHeight="false" outlineLevel="0" collapsed="false">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c r="AB205" s="37" t="str">
        <f aca="false">TRIM($A205&amp;"")</f>
        <v/>
      </c>
      <c r="AC205" s="37" t="str">
        <f aca="false">IF(AB205="","",IFERROR(INDEX('Account Map'!$B:$B,MATCH(AB205,'Account Map'!$A:$A,0)),""))</f>
        <v/>
      </c>
      <c r="AD205" s="37" t="str">
        <f aca="false">IF(AB205="","",IFERROR(INDEX('Account Map'!$C:$C,MATCH(AB205,'Account Map'!$A:$A,0)),""))</f>
        <v/>
      </c>
      <c r="AE205" s="37" t="n">
        <f aca="false">IF(AND(AB205&lt;&gt;"",AC205="",COUNT($B205:$Z205)&gt;0,LEFT(AB205,5)&lt;&gt;"Total",AB205&lt;&gt;"Gross Profit",AB205&lt;&gt;"Net Profit",AB205&lt;&gt;"Operating Profit"),1,0)</f>
        <v>0</v>
      </c>
    </row>
    <row r="206" customFormat="false" ht="15" hidden="false" customHeight="false" outlineLevel="0" collapsed="false">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c r="AB206" s="37" t="str">
        <f aca="false">TRIM($A206&amp;"")</f>
        <v/>
      </c>
      <c r="AC206" s="37" t="str">
        <f aca="false">IF(AB206="","",IFERROR(INDEX('Account Map'!$B:$B,MATCH(AB206,'Account Map'!$A:$A,0)),""))</f>
        <v/>
      </c>
      <c r="AD206" s="37" t="str">
        <f aca="false">IF(AB206="","",IFERROR(INDEX('Account Map'!$C:$C,MATCH(AB206,'Account Map'!$A:$A,0)),""))</f>
        <v/>
      </c>
      <c r="AE206" s="37" t="n">
        <f aca="false">IF(AND(AB206&lt;&gt;"",AC206="",COUNT($B206:$Z206)&gt;0,LEFT(AB206,5)&lt;&gt;"Total",AB206&lt;&gt;"Gross Profit",AB206&lt;&gt;"Net Profit",AB206&lt;&gt;"Operating Profit"),1,0)</f>
        <v>0</v>
      </c>
    </row>
    <row r="207" customFormat="false" ht="15" hidden="false" customHeight="false" outlineLevel="0" collapsed="false">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c r="AB207" s="37" t="str">
        <f aca="false">TRIM($A207&amp;"")</f>
        <v/>
      </c>
      <c r="AC207" s="37" t="str">
        <f aca="false">IF(AB207="","",IFERROR(INDEX('Account Map'!$B:$B,MATCH(AB207,'Account Map'!$A:$A,0)),""))</f>
        <v/>
      </c>
      <c r="AD207" s="37" t="str">
        <f aca="false">IF(AB207="","",IFERROR(INDEX('Account Map'!$C:$C,MATCH(AB207,'Account Map'!$A:$A,0)),""))</f>
        <v/>
      </c>
      <c r="AE207" s="37" t="n">
        <f aca="false">IF(AND(AB207&lt;&gt;"",AC207="",COUNT($B207:$Z207)&gt;0,LEFT(AB207,5)&lt;&gt;"Total",AB207&lt;&gt;"Gross Profit",AB207&lt;&gt;"Net Profit",AB207&lt;&gt;"Operating Profit"),1,0)</f>
        <v>0</v>
      </c>
    </row>
    <row r="208" customFormat="false" ht="15" hidden="false" customHeight="false" outlineLevel="0" collapsed="false">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c r="AB208" s="37" t="str">
        <f aca="false">TRIM($A208&amp;"")</f>
        <v/>
      </c>
      <c r="AC208" s="37" t="str">
        <f aca="false">IF(AB208="","",IFERROR(INDEX('Account Map'!$B:$B,MATCH(AB208,'Account Map'!$A:$A,0)),""))</f>
        <v/>
      </c>
      <c r="AD208" s="37" t="str">
        <f aca="false">IF(AB208="","",IFERROR(INDEX('Account Map'!$C:$C,MATCH(AB208,'Account Map'!$A:$A,0)),""))</f>
        <v/>
      </c>
      <c r="AE208" s="37" t="n">
        <f aca="false">IF(AND(AB208&lt;&gt;"",AC208="",COUNT($B208:$Z208)&gt;0,LEFT(AB208,5)&lt;&gt;"Total",AB208&lt;&gt;"Gross Profit",AB208&lt;&gt;"Net Profit",AB208&lt;&gt;"Operating Profit"),1,0)</f>
        <v>0</v>
      </c>
    </row>
    <row r="209" customFormat="false" ht="15" hidden="false" customHeight="false" outlineLevel="0" collapsed="false">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c r="AB209" s="37" t="str">
        <f aca="false">TRIM($A209&amp;"")</f>
        <v/>
      </c>
      <c r="AC209" s="37" t="str">
        <f aca="false">IF(AB209="","",IFERROR(INDEX('Account Map'!$B:$B,MATCH(AB209,'Account Map'!$A:$A,0)),""))</f>
        <v/>
      </c>
      <c r="AD209" s="37" t="str">
        <f aca="false">IF(AB209="","",IFERROR(INDEX('Account Map'!$C:$C,MATCH(AB209,'Account Map'!$A:$A,0)),""))</f>
        <v/>
      </c>
      <c r="AE209" s="37" t="n">
        <f aca="false">IF(AND(AB209&lt;&gt;"",AC209="",COUNT($B209:$Z209)&gt;0,LEFT(AB209,5)&lt;&gt;"Total",AB209&lt;&gt;"Gross Profit",AB209&lt;&gt;"Net Profit",AB209&lt;&gt;"Operating Profit"),1,0)</f>
        <v>0</v>
      </c>
    </row>
    <row r="210" customFormat="false" ht="15" hidden="false" customHeight="false" outlineLevel="0" collapsed="false">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c r="AB210" s="37" t="str">
        <f aca="false">TRIM($A210&amp;"")</f>
        <v/>
      </c>
      <c r="AC210" s="37" t="str">
        <f aca="false">IF(AB210="","",IFERROR(INDEX('Account Map'!$B:$B,MATCH(AB210,'Account Map'!$A:$A,0)),""))</f>
        <v/>
      </c>
      <c r="AD210" s="37" t="str">
        <f aca="false">IF(AB210="","",IFERROR(INDEX('Account Map'!$C:$C,MATCH(AB210,'Account Map'!$A:$A,0)),""))</f>
        <v/>
      </c>
      <c r="AE210" s="37" t="n">
        <f aca="false">IF(AND(AB210&lt;&gt;"",AC210="",COUNT($B210:$Z210)&gt;0,LEFT(AB210,5)&lt;&gt;"Total",AB210&lt;&gt;"Gross Profit",AB210&lt;&gt;"Net Profit",AB210&lt;&gt;"Operating Profit"),1,0)</f>
        <v>0</v>
      </c>
    </row>
    <row r="211" customFormat="false" ht="15" hidden="false" customHeight="false" outlineLevel="0" collapsed="false">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4"/>
      <c r="AB211" s="37" t="str">
        <f aca="false">TRIM($A211&amp;"")</f>
        <v/>
      </c>
      <c r="AC211" s="37" t="str">
        <f aca="false">IF(AB211="","",IFERROR(INDEX('Account Map'!$B:$B,MATCH(AB211,'Account Map'!$A:$A,0)),""))</f>
        <v/>
      </c>
      <c r="AD211" s="37" t="str">
        <f aca="false">IF(AB211="","",IFERROR(INDEX('Account Map'!$C:$C,MATCH(AB211,'Account Map'!$A:$A,0)),""))</f>
        <v/>
      </c>
      <c r="AE211" s="37" t="n">
        <f aca="false">IF(AND(AB211&lt;&gt;"",AC211="",COUNT($B211:$Z211)&gt;0,LEFT(AB211,5)&lt;&gt;"Total",AB211&lt;&gt;"Gross Profit",AB211&lt;&gt;"Net Profit",AB211&lt;&gt;"Operating Profit"),1,0)</f>
        <v>0</v>
      </c>
    </row>
    <row r="212" customFormat="false" ht="15" hidden="false" customHeight="false" outlineLevel="0" collapsed="false">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B212" s="37" t="str">
        <f aca="false">TRIM($A212&amp;"")</f>
        <v/>
      </c>
      <c r="AC212" s="37" t="str">
        <f aca="false">IF(AB212="","",IFERROR(INDEX('Account Map'!$B:$B,MATCH(AB212,'Account Map'!$A:$A,0)),""))</f>
        <v/>
      </c>
      <c r="AD212" s="37" t="str">
        <f aca="false">IF(AB212="","",IFERROR(INDEX('Account Map'!$C:$C,MATCH(AB212,'Account Map'!$A:$A,0)),""))</f>
        <v/>
      </c>
      <c r="AE212" s="37" t="n">
        <f aca="false">IF(AND(AB212&lt;&gt;"",AC212="",COUNT($B212:$Z212)&gt;0,LEFT(AB212,5)&lt;&gt;"Total",AB212&lt;&gt;"Gross Profit",AB212&lt;&gt;"Net Profit",AB212&lt;&gt;"Operating Profit"),1,0)</f>
        <v>0</v>
      </c>
    </row>
    <row r="213" customFormat="false" ht="15" hidden="false" customHeight="false" outlineLevel="0" collapsed="false">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c r="AB213" s="37" t="str">
        <f aca="false">TRIM($A213&amp;"")</f>
        <v/>
      </c>
      <c r="AC213" s="37" t="str">
        <f aca="false">IF(AB213="","",IFERROR(INDEX('Account Map'!$B:$B,MATCH(AB213,'Account Map'!$A:$A,0)),""))</f>
        <v/>
      </c>
      <c r="AD213" s="37" t="str">
        <f aca="false">IF(AB213="","",IFERROR(INDEX('Account Map'!$C:$C,MATCH(AB213,'Account Map'!$A:$A,0)),""))</f>
        <v/>
      </c>
      <c r="AE213" s="37" t="n">
        <f aca="false">IF(AND(AB213&lt;&gt;"",AC213="",COUNT($B213:$Z213)&gt;0,LEFT(AB213,5)&lt;&gt;"Total",AB213&lt;&gt;"Gross Profit",AB213&lt;&gt;"Net Profit",AB213&lt;&gt;"Operating Profit"),1,0)</f>
        <v>0</v>
      </c>
    </row>
    <row r="214" customFormat="false" ht="15" hidden="false" customHeight="false" outlineLevel="0" collapsed="false">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c r="AB214" s="37" t="str">
        <f aca="false">TRIM($A214&amp;"")</f>
        <v/>
      </c>
      <c r="AC214" s="37" t="str">
        <f aca="false">IF(AB214="","",IFERROR(INDEX('Account Map'!$B:$B,MATCH(AB214,'Account Map'!$A:$A,0)),""))</f>
        <v/>
      </c>
      <c r="AD214" s="37" t="str">
        <f aca="false">IF(AB214="","",IFERROR(INDEX('Account Map'!$C:$C,MATCH(AB214,'Account Map'!$A:$A,0)),""))</f>
        <v/>
      </c>
      <c r="AE214" s="37" t="n">
        <f aca="false">IF(AND(AB214&lt;&gt;"",AC214="",COUNT($B214:$Z214)&gt;0,LEFT(AB214,5)&lt;&gt;"Total",AB214&lt;&gt;"Gross Profit",AB214&lt;&gt;"Net Profit",AB214&lt;&gt;"Operating Profit"),1,0)</f>
        <v>0</v>
      </c>
    </row>
    <row r="215" customFormat="false" ht="15" hidden="false" customHeight="false" outlineLevel="0" collapsed="false">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4"/>
      <c r="AB215" s="37" t="str">
        <f aca="false">TRIM($A215&amp;"")</f>
        <v/>
      </c>
      <c r="AC215" s="37" t="str">
        <f aca="false">IF(AB215="","",IFERROR(INDEX('Account Map'!$B:$B,MATCH(AB215,'Account Map'!$A:$A,0)),""))</f>
        <v/>
      </c>
      <c r="AD215" s="37" t="str">
        <f aca="false">IF(AB215="","",IFERROR(INDEX('Account Map'!$C:$C,MATCH(AB215,'Account Map'!$A:$A,0)),""))</f>
        <v/>
      </c>
      <c r="AE215" s="37" t="n">
        <f aca="false">IF(AND(AB215&lt;&gt;"",AC215="",COUNT($B215:$Z215)&gt;0,LEFT(AB215,5)&lt;&gt;"Total",AB215&lt;&gt;"Gross Profit",AB215&lt;&gt;"Net Profit",AB215&lt;&gt;"Operating Profit"),1,0)</f>
        <v>0</v>
      </c>
    </row>
    <row r="216" customFormat="false" ht="15" hidden="false" customHeight="false" outlineLevel="0" collapsed="false">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c r="AB216" s="37" t="str">
        <f aca="false">TRIM($A216&amp;"")</f>
        <v/>
      </c>
      <c r="AC216" s="37" t="str">
        <f aca="false">IF(AB216="","",IFERROR(INDEX('Account Map'!$B:$B,MATCH(AB216,'Account Map'!$A:$A,0)),""))</f>
        <v/>
      </c>
      <c r="AD216" s="37" t="str">
        <f aca="false">IF(AB216="","",IFERROR(INDEX('Account Map'!$C:$C,MATCH(AB216,'Account Map'!$A:$A,0)),""))</f>
        <v/>
      </c>
      <c r="AE216" s="37" t="n">
        <f aca="false">IF(AND(AB216&lt;&gt;"",AC216="",COUNT($B216:$Z216)&gt;0,LEFT(AB216,5)&lt;&gt;"Total",AB216&lt;&gt;"Gross Profit",AB216&lt;&gt;"Net Profit",AB216&lt;&gt;"Operating Profit"),1,0)</f>
        <v>0</v>
      </c>
    </row>
    <row r="217" customFormat="false" ht="15" hidden="false" customHeight="false" outlineLevel="0" collapsed="false">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4"/>
      <c r="AB217" s="37" t="str">
        <f aca="false">TRIM($A217&amp;"")</f>
        <v/>
      </c>
      <c r="AC217" s="37" t="str">
        <f aca="false">IF(AB217="","",IFERROR(INDEX('Account Map'!$B:$B,MATCH(AB217,'Account Map'!$A:$A,0)),""))</f>
        <v/>
      </c>
      <c r="AD217" s="37" t="str">
        <f aca="false">IF(AB217="","",IFERROR(INDEX('Account Map'!$C:$C,MATCH(AB217,'Account Map'!$A:$A,0)),""))</f>
        <v/>
      </c>
      <c r="AE217" s="37" t="n">
        <f aca="false">IF(AND(AB217&lt;&gt;"",AC217="",COUNT($B217:$Z217)&gt;0,LEFT(AB217,5)&lt;&gt;"Total",AB217&lt;&gt;"Gross Profit",AB217&lt;&gt;"Net Profit",AB217&lt;&gt;"Operating Profit"),1,0)</f>
        <v>0</v>
      </c>
    </row>
    <row r="218" customFormat="false" ht="15" hidden="false" customHeight="false" outlineLevel="0" collapsed="false">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c r="AB218" s="37" t="str">
        <f aca="false">TRIM($A218&amp;"")</f>
        <v/>
      </c>
      <c r="AC218" s="37" t="str">
        <f aca="false">IF(AB218="","",IFERROR(INDEX('Account Map'!$B:$B,MATCH(AB218,'Account Map'!$A:$A,0)),""))</f>
        <v/>
      </c>
      <c r="AD218" s="37" t="str">
        <f aca="false">IF(AB218="","",IFERROR(INDEX('Account Map'!$C:$C,MATCH(AB218,'Account Map'!$A:$A,0)),""))</f>
        <v/>
      </c>
      <c r="AE218" s="37" t="n">
        <f aca="false">IF(AND(AB218&lt;&gt;"",AC218="",COUNT($B218:$Z218)&gt;0,LEFT(AB218,5)&lt;&gt;"Total",AB218&lt;&gt;"Gross Profit",AB218&lt;&gt;"Net Profit",AB218&lt;&gt;"Operating Profit"),1,0)</f>
        <v>0</v>
      </c>
    </row>
    <row r="219" customFormat="false" ht="15" hidden="false" customHeight="false" outlineLevel="0" collapsed="false">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c r="AB219" s="37" t="str">
        <f aca="false">TRIM($A219&amp;"")</f>
        <v/>
      </c>
      <c r="AC219" s="37" t="str">
        <f aca="false">IF(AB219="","",IFERROR(INDEX('Account Map'!$B:$B,MATCH(AB219,'Account Map'!$A:$A,0)),""))</f>
        <v/>
      </c>
      <c r="AD219" s="37" t="str">
        <f aca="false">IF(AB219="","",IFERROR(INDEX('Account Map'!$C:$C,MATCH(AB219,'Account Map'!$A:$A,0)),""))</f>
        <v/>
      </c>
      <c r="AE219" s="37" t="n">
        <f aca="false">IF(AND(AB219&lt;&gt;"",AC219="",COUNT($B219:$Z219)&gt;0,LEFT(AB219,5)&lt;&gt;"Total",AB219&lt;&gt;"Gross Profit",AB219&lt;&gt;"Net Profit",AB219&lt;&gt;"Operating Profit"),1,0)</f>
        <v>0</v>
      </c>
    </row>
    <row r="220" customFormat="false" ht="15" hidden="false" customHeight="false" outlineLevel="0" collapsed="false">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c r="AB220" s="37" t="str">
        <f aca="false">TRIM($A220&amp;"")</f>
        <v/>
      </c>
      <c r="AC220" s="37" t="str">
        <f aca="false">IF(AB220="","",IFERROR(INDEX('Account Map'!$B:$B,MATCH(AB220,'Account Map'!$A:$A,0)),""))</f>
        <v/>
      </c>
      <c r="AD220" s="37" t="str">
        <f aca="false">IF(AB220="","",IFERROR(INDEX('Account Map'!$C:$C,MATCH(AB220,'Account Map'!$A:$A,0)),""))</f>
        <v/>
      </c>
      <c r="AE220" s="37" t="n">
        <f aca="false">IF(AND(AB220&lt;&gt;"",AC220="",COUNT($B220:$Z220)&gt;0,LEFT(AB220,5)&lt;&gt;"Total",AB220&lt;&gt;"Gross Profit",AB220&lt;&gt;"Net Profit",AB220&lt;&gt;"Operating Profit"),1,0)</f>
        <v>0</v>
      </c>
    </row>
    <row r="221" customFormat="false" ht="15" hidden="false" customHeight="false" outlineLevel="0" collapsed="false">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c r="AB221" s="37" t="str">
        <f aca="false">TRIM($A221&amp;"")</f>
        <v/>
      </c>
      <c r="AC221" s="37" t="str">
        <f aca="false">IF(AB221="","",IFERROR(INDEX('Account Map'!$B:$B,MATCH(AB221,'Account Map'!$A:$A,0)),""))</f>
        <v/>
      </c>
      <c r="AD221" s="37" t="str">
        <f aca="false">IF(AB221="","",IFERROR(INDEX('Account Map'!$C:$C,MATCH(AB221,'Account Map'!$A:$A,0)),""))</f>
        <v/>
      </c>
      <c r="AE221" s="37" t="n">
        <f aca="false">IF(AND(AB221&lt;&gt;"",AC221="",COUNT($B221:$Z221)&gt;0,LEFT(AB221,5)&lt;&gt;"Total",AB221&lt;&gt;"Gross Profit",AB221&lt;&gt;"Net Profit",AB221&lt;&gt;"Operating Profit"),1,0)</f>
        <v>0</v>
      </c>
    </row>
    <row r="222" customFormat="false" ht="15" hidden="false" customHeight="false" outlineLevel="0" collapsed="false">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c r="AB222" s="37" t="str">
        <f aca="false">TRIM($A222&amp;"")</f>
        <v/>
      </c>
      <c r="AC222" s="37" t="str">
        <f aca="false">IF(AB222="","",IFERROR(INDEX('Account Map'!$B:$B,MATCH(AB222,'Account Map'!$A:$A,0)),""))</f>
        <v/>
      </c>
      <c r="AD222" s="37" t="str">
        <f aca="false">IF(AB222="","",IFERROR(INDEX('Account Map'!$C:$C,MATCH(AB222,'Account Map'!$A:$A,0)),""))</f>
        <v/>
      </c>
      <c r="AE222" s="37" t="n">
        <f aca="false">IF(AND(AB222&lt;&gt;"",AC222="",COUNT($B222:$Z222)&gt;0,LEFT(AB222,5)&lt;&gt;"Total",AB222&lt;&gt;"Gross Profit",AB222&lt;&gt;"Net Profit",AB222&lt;&gt;"Operating Profit"),1,0)</f>
        <v>0</v>
      </c>
    </row>
    <row r="223" customFormat="false" ht="15" hidden="false" customHeight="false" outlineLevel="0" collapsed="false">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c r="AB223" s="37" t="str">
        <f aca="false">TRIM($A223&amp;"")</f>
        <v/>
      </c>
      <c r="AC223" s="37" t="str">
        <f aca="false">IF(AB223="","",IFERROR(INDEX('Account Map'!$B:$B,MATCH(AB223,'Account Map'!$A:$A,0)),""))</f>
        <v/>
      </c>
      <c r="AD223" s="37" t="str">
        <f aca="false">IF(AB223="","",IFERROR(INDEX('Account Map'!$C:$C,MATCH(AB223,'Account Map'!$A:$A,0)),""))</f>
        <v/>
      </c>
      <c r="AE223" s="37" t="n">
        <f aca="false">IF(AND(AB223&lt;&gt;"",AC223="",COUNT($B223:$Z223)&gt;0,LEFT(AB223,5)&lt;&gt;"Total",AB223&lt;&gt;"Gross Profit",AB223&lt;&gt;"Net Profit",AB223&lt;&gt;"Operating Profit"),1,0)</f>
        <v>0</v>
      </c>
    </row>
    <row r="224" customFormat="false" ht="15" hidden="false" customHeight="false" outlineLevel="0" collapsed="false">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c r="AB224" s="37" t="str">
        <f aca="false">TRIM($A224&amp;"")</f>
        <v/>
      </c>
      <c r="AC224" s="37" t="str">
        <f aca="false">IF(AB224="","",IFERROR(INDEX('Account Map'!$B:$B,MATCH(AB224,'Account Map'!$A:$A,0)),""))</f>
        <v/>
      </c>
      <c r="AD224" s="37" t="str">
        <f aca="false">IF(AB224="","",IFERROR(INDEX('Account Map'!$C:$C,MATCH(AB224,'Account Map'!$A:$A,0)),""))</f>
        <v/>
      </c>
      <c r="AE224" s="37" t="n">
        <f aca="false">IF(AND(AB224&lt;&gt;"",AC224="",COUNT($B224:$Z224)&gt;0,LEFT(AB224,5)&lt;&gt;"Total",AB224&lt;&gt;"Gross Profit",AB224&lt;&gt;"Net Profit",AB224&lt;&gt;"Operating Profit"),1,0)</f>
        <v>0</v>
      </c>
    </row>
    <row r="225" customFormat="false" ht="15" hidden="false" customHeight="false" outlineLevel="0" collapsed="false">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c r="AB225" s="37" t="str">
        <f aca="false">TRIM($A225&amp;"")</f>
        <v/>
      </c>
      <c r="AC225" s="37" t="str">
        <f aca="false">IF(AB225="","",IFERROR(INDEX('Account Map'!$B:$B,MATCH(AB225,'Account Map'!$A:$A,0)),""))</f>
        <v/>
      </c>
      <c r="AD225" s="37" t="str">
        <f aca="false">IF(AB225="","",IFERROR(INDEX('Account Map'!$C:$C,MATCH(AB225,'Account Map'!$A:$A,0)),""))</f>
        <v/>
      </c>
      <c r="AE225" s="37" t="n">
        <f aca="false">IF(AND(AB225&lt;&gt;"",AC225="",COUNT($B225:$Z225)&gt;0,LEFT(AB225,5)&lt;&gt;"Total",AB225&lt;&gt;"Gross Profit",AB225&lt;&gt;"Net Profit",AB225&lt;&gt;"Operating Profit"),1,0)</f>
        <v>0</v>
      </c>
    </row>
    <row r="226" customFormat="false" ht="15" hidden="false" customHeight="false" outlineLevel="0" collapsed="false">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c r="AB226" s="37" t="str">
        <f aca="false">TRIM($A226&amp;"")</f>
        <v/>
      </c>
      <c r="AC226" s="37" t="str">
        <f aca="false">IF(AB226="","",IFERROR(INDEX('Account Map'!$B:$B,MATCH(AB226,'Account Map'!$A:$A,0)),""))</f>
        <v/>
      </c>
      <c r="AD226" s="37" t="str">
        <f aca="false">IF(AB226="","",IFERROR(INDEX('Account Map'!$C:$C,MATCH(AB226,'Account Map'!$A:$A,0)),""))</f>
        <v/>
      </c>
      <c r="AE226" s="37" t="n">
        <f aca="false">IF(AND(AB226&lt;&gt;"",AC226="",COUNT($B226:$Z226)&gt;0,LEFT(AB226,5)&lt;&gt;"Total",AB226&lt;&gt;"Gross Profit",AB226&lt;&gt;"Net Profit",AB226&lt;&gt;"Operating Profit"),1,0)</f>
        <v>0</v>
      </c>
    </row>
    <row r="227" customFormat="false" ht="15" hidden="false" customHeight="false" outlineLevel="0" collapsed="false">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c r="AB227" s="37" t="str">
        <f aca="false">TRIM($A227&amp;"")</f>
        <v/>
      </c>
      <c r="AC227" s="37" t="str">
        <f aca="false">IF(AB227="","",IFERROR(INDEX('Account Map'!$B:$B,MATCH(AB227,'Account Map'!$A:$A,0)),""))</f>
        <v/>
      </c>
      <c r="AD227" s="37" t="str">
        <f aca="false">IF(AB227="","",IFERROR(INDEX('Account Map'!$C:$C,MATCH(AB227,'Account Map'!$A:$A,0)),""))</f>
        <v/>
      </c>
      <c r="AE227" s="37" t="n">
        <f aca="false">IF(AND(AB227&lt;&gt;"",AC227="",COUNT($B227:$Z227)&gt;0,LEFT(AB227,5)&lt;&gt;"Total",AB227&lt;&gt;"Gross Profit",AB227&lt;&gt;"Net Profit",AB227&lt;&gt;"Operating Profit"),1,0)</f>
        <v>0</v>
      </c>
    </row>
    <row r="228" customFormat="false" ht="15" hidden="false" customHeight="false" outlineLevel="0" collapsed="false">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c r="AB228" s="37" t="str">
        <f aca="false">TRIM($A228&amp;"")</f>
        <v/>
      </c>
      <c r="AC228" s="37" t="str">
        <f aca="false">IF(AB228="","",IFERROR(INDEX('Account Map'!$B:$B,MATCH(AB228,'Account Map'!$A:$A,0)),""))</f>
        <v/>
      </c>
      <c r="AD228" s="37" t="str">
        <f aca="false">IF(AB228="","",IFERROR(INDEX('Account Map'!$C:$C,MATCH(AB228,'Account Map'!$A:$A,0)),""))</f>
        <v/>
      </c>
      <c r="AE228" s="37" t="n">
        <f aca="false">IF(AND(AB228&lt;&gt;"",AC228="",COUNT($B228:$Z228)&gt;0,LEFT(AB228,5)&lt;&gt;"Total",AB228&lt;&gt;"Gross Profit",AB228&lt;&gt;"Net Profit",AB228&lt;&gt;"Operating Profit"),1,0)</f>
        <v>0</v>
      </c>
    </row>
    <row r="229" customFormat="false" ht="15" hidden="false" customHeight="false" outlineLevel="0" collapsed="false">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c r="AB229" s="37" t="str">
        <f aca="false">TRIM($A229&amp;"")</f>
        <v/>
      </c>
      <c r="AC229" s="37" t="str">
        <f aca="false">IF(AB229="","",IFERROR(INDEX('Account Map'!$B:$B,MATCH(AB229,'Account Map'!$A:$A,0)),""))</f>
        <v/>
      </c>
      <c r="AD229" s="37" t="str">
        <f aca="false">IF(AB229="","",IFERROR(INDEX('Account Map'!$C:$C,MATCH(AB229,'Account Map'!$A:$A,0)),""))</f>
        <v/>
      </c>
      <c r="AE229" s="37" t="n">
        <f aca="false">IF(AND(AB229&lt;&gt;"",AC229="",COUNT($B229:$Z229)&gt;0,LEFT(AB229,5)&lt;&gt;"Total",AB229&lt;&gt;"Gross Profit",AB229&lt;&gt;"Net Profit",AB229&lt;&gt;"Operating Profit"),1,0)</f>
        <v>0</v>
      </c>
    </row>
    <row r="230" customFormat="false" ht="15" hidden="false" customHeight="false" outlineLevel="0" collapsed="false">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B230" s="37" t="str">
        <f aca="false">TRIM($A230&amp;"")</f>
        <v/>
      </c>
      <c r="AC230" s="37" t="str">
        <f aca="false">IF(AB230="","",IFERROR(INDEX('Account Map'!$B:$B,MATCH(AB230,'Account Map'!$A:$A,0)),""))</f>
        <v/>
      </c>
      <c r="AD230" s="37" t="str">
        <f aca="false">IF(AB230="","",IFERROR(INDEX('Account Map'!$C:$C,MATCH(AB230,'Account Map'!$A:$A,0)),""))</f>
        <v/>
      </c>
      <c r="AE230" s="37" t="n">
        <f aca="false">IF(AND(AB230&lt;&gt;"",AC230="",COUNT($B230:$Z230)&gt;0,LEFT(AB230,5)&lt;&gt;"Total",AB230&lt;&gt;"Gross Profit",AB230&lt;&gt;"Net Profit",AB230&lt;&gt;"Operating Profit"),1,0)</f>
        <v>0</v>
      </c>
    </row>
    <row r="231" customFormat="false" ht="15" hidden="false" customHeight="false" outlineLevel="0" collapsed="false">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c r="Z231" s="44"/>
      <c r="AB231" s="37" t="str">
        <f aca="false">TRIM($A231&amp;"")</f>
        <v/>
      </c>
      <c r="AC231" s="37" t="str">
        <f aca="false">IF(AB231="","",IFERROR(INDEX('Account Map'!$B:$B,MATCH(AB231,'Account Map'!$A:$A,0)),""))</f>
        <v/>
      </c>
      <c r="AD231" s="37" t="str">
        <f aca="false">IF(AB231="","",IFERROR(INDEX('Account Map'!$C:$C,MATCH(AB231,'Account Map'!$A:$A,0)),""))</f>
        <v/>
      </c>
      <c r="AE231" s="37" t="n">
        <f aca="false">IF(AND(AB231&lt;&gt;"",AC231="",COUNT($B231:$Z231)&gt;0,LEFT(AB231,5)&lt;&gt;"Total",AB231&lt;&gt;"Gross Profit",AB231&lt;&gt;"Net Profit",AB231&lt;&gt;"Operating Profit"),1,0)</f>
        <v>0</v>
      </c>
    </row>
    <row r="232" customFormat="false" ht="15" hidden="false" customHeight="false" outlineLevel="0" collapsed="false">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c r="AB232" s="37" t="str">
        <f aca="false">TRIM($A232&amp;"")</f>
        <v/>
      </c>
      <c r="AC232" s="37" t="str">
        <f aca="false">IF(AB232="","",IFERROR(INDEX('Account Map'!$B:$B,MATCH(AB232,'Account Map'!$A:$A,0)),""))</f>
        <v/>
      </c>
      <c r="AD232" s="37" t="str">
        <f aca="false">IF(AB232="","",IFERROR(INDEX('Account Map'!$C:$C,MATCH(AB232,'Account Map'!$A:$A,0)),""))</f>
        <v/>
      </c>
      <c r="AE232" s="37" t="n">
        <f aca="false">IF(AND(AB232&lt;&gt;"",AC232="",COUNT($B232:$Z232)&gt;0,LEFT(AB232,5)&lt;&gt;"Total",AB232&lt;&gt;"Gross Profit",AB232&lt;&gt;"Net Profit",AB232&lt;&gt;"Operating Profit"),1,0)</f>
        <v>0</v>
      </c>
    </row>
    <row r="233" customFormat="false" ht="15" hidden="false" customHeight="false" outlineLevel="0" collapsed="false">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c r="AB233" s="37" t="str">
        <f aca="false">TRIM($A233&amp;"")</f>
        <v/>
      </c>
      <c r="AC233" s="37" t="str">
        <f aca="false">IF(AB233="","",IFERROR(INDEX('Account Map'!$B:$B,MATCH(AB233,'Account Map'!$A:$A,0)),""))</f>
        <v/>
      </c>
      <c r="AD233" s="37" t="str">
        <f aca="false">IF(AB233="","",IFERROR(INDEX('Account Map'!$C:$C,MATCH(AB233,'Account Map'!$A:$A,0)),""))</f>
        <v/>
      </c>
      <c r="AE233" s="37" t="n">
        <f aca="false">IF(AND(AB233&lt;&gt;"",AC233="",COUNT($B233:$Z233)&gt;0,LEFT(AB233,5)&lt;&gt;"Total",AB233&lt;&gt;"Gross Profit",AB233&lt;&gt;"Net Profit",AB233&lt;&gt;"Operating Profit"),1,0)</f>
        <v>0</v>
      </c>
    </row>
    <row r="234" customFormat="false" ht="15" hidden="false" customHeight="false" outlineLevel="0" collapsed="false">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c r="AB234" s="37" t="str">
        <f aca="false">TRIM($A234&amp;"")</f>
        <v/>
      </c>
      <c r="AC234" s="37" t="str">
        <f aca="false">IF(AB234="","",IFERROR(INDEX('Account Map'!$B:$B,MATCH(AB234,'Account Map'!$A:$A,0)),""))</f>
        <v/>
      </c>
      <c r="AD234" s="37" t="str">
        <f aca="false">IF(AB234="","",IFERROR(INDEX('Account Map'!$C:$C,MATCH(AB234,'Account Map'!$A:$A,0)),""))</f>
        <v/>
      </c>
      <c r="AE234" s="37" t="n">
        <f aca="false">IF(AND(AB234&lt;&gt;"",AC234="",COUNT($B234:$Z234)&gt;0,LEFT(AB234,5)&lt;&gt;"Total",AB234&lt;&gt;"Gross Profit",AB234&lt;&gt;"Net Profit",AB234&lt;&gt;"Operating Profit"),1,0)</f>
        <v>0</v>
      </c>
    </row>
    <row r="235" customFormat="false" ht="15" hidden="false" customHeight="false" outlineLevel="0" collapsed="false">
      <c r="B235" s="44"/>
      <c r="C235" s="44"/>
      <c r="D235" s="44"/>
      <c r="E235" s="44"/>
      <c r="F235" s="44"/>
      <c r="G235" s="44"/>
      <c r="H235" s="44"/>
      <c r="I235" s="44"/>
      <c r="J235" s="44"/>
      <c r="K235" s="44"/>
      <c r="L235" s="44"/>
      <c r="M235" s="44"/>
      <c r="N235" s="44"/>
      <c r="O235" s="44"/>
      <c r="P235" s="44"/>
      <c r="Q235" s="44"/>
      <c r="R235" s="44"/>
      <c r="S235" s="44"/>
      <c r="T235" s="44"/>
      <c r="U235" s="44"/>
      <c r="V235" s="44"/>
      <c r="W235" s="44"/>
      <c r="X235" s="44"/>
      <c r="Y235" s="44"/>
      <c r="Z235" s="44"/>
      <c r="AB235" s="37" t="str">
        <f aca="false">TRIM($A235&amp;"")</f>
        <v/>
      </c>
      <c r="AC235" s="37" t="str">
        <f aca="false">IF(AB235="","",IFERROR(INDEX('Account Map'!$B:$B,MATCH(AB235,'Account Map'!$A:$A,0)),""))</f>
        <v/>
      </c>
      <c r="AD235" s="37" t="str">
        <f aca="false">IF(AB235="","",IFERROR(INDEX('Account Map'!$C:$C,MATCH(AB235,'Account Map'!$A:$A,0)),""))</f>
        <v/>
      </c>
      <c r="AE235" s="37" t="n">
        <f aca="false">IF(AND(AB235&lt;&gt;"",AC235="",COUNT($B235:$Z235)&gt;0,LEFT(AB235,5)&lt;&gt;"Total",AB235&lt;&gt;"Gross Profit",AB235&lt;&gt;"Net Profit",AB235&lt;&gt;"Operating Profit"),1,0)</f>
        <v>0</v>
      </c>
    </row>
    <row r="236" customFormat="false" ht="15" hidden="false" customHeight="false" outlineLevel="0" collapsed="false">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c r="Z236" s="44"/>
      <c r="AB236" s="37" t="str">
        <f aca="false">TRIM($A236&amp;"")</f>
        <v/>
      </c>
      <c r="AC236" s="37" t="str">
        <f aca="false">IF(AB236="","",IFERROR(INDEX('Account Map'!$B:$B,MATCH(AB236,'Account Map'!$A:$A,0)),""))</f>
        <v/>
      </c>
      <c r="AD236" s="37" t="str">
        <f aca="false">IF(AB236="","",IFERROR(INDEX('Account Map'!$C:$C,MATCH(AB236,'Account Map'!$A:$A,0)),""))</f>
        <v/>
      </c>
      <c r="AE236" s="37" t="n">
        <f aca="false">IF(AND(AB236&lt;&gt;"",AC236="",COUNT($B236:$Z236)&gt;0,LEFT(AB236,5)&lt;&gt;"Total",AB236&lt;&gt;"Gross Profit",AB236&lt;&gt;"Net Profit",AB236&lt;&gt;"Operating Profit"),1,0)</f>
        <v>0</v>
      </c>
    </row>
    <row r="237" customFormat="false" ht="15" hidden="false" customHeight="false" outlineLevel="0" collapsed="false">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c r="AB237" s="37" t="str">
        <f aca="false">TRIM($A237&amp;"")</f>
        <v/>
      </c>
      <c r="AC237" s="37" t="str">
        <f aca="false">IF(AB237="","",IFERROR(INDEX('Account Map'!$B:$B,MATCH(AB237,'Account Map'!$A:$A,0)),""))</f>
        <v/>
      </c>
      <c r="AD237" s="37" t="str">
        <f aca="false">IF(AB237="","",IFERROR(INDEX('Account Map'!$C:$C,MATCH(AB237,'Account Map'!$A:$A,0)),""))</f>
        <v/>
      </c>
      <c r="AE237" s="37" t="n">
        <f aca="false">IF(AND(AB237&lt;&gt;"",AC237="",COUNT($B237:$Z237)&gt;0,LEFT(AB237,5)&lt;&gt;"Total",AB237&lt;&gt;"Gross Profit",AB237&lt;&gt;"Net Profit",AB237&lt;&gt;"Operating Profit"),1,0)</f>
        <v>0</v>
      </c>
    </row>
    <row r="238" customFormat="false" ht="15" hidden="false" customHeight="false" outlineLevel="0" collapsed="false">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c r="Z238" s="44"/>
      <c r="AB238" s="37" t="str">
        <f aca="false">TRIM($A238&amp;"")</f>
        <v/>
      </c>
      <c r="AC238" s="37" t="str">
        <f aca="false">IF(AB238="","",IFERROR(INDEX('Account Map'!$B:$B,MATCH(AB238,'Account Map'!$A:$A,0)),""))</f>
        <v/>
      </c>
      <c r="AD238" s="37" t="str">
        <f aca="false">IF(AB238="","",IFERROR(INDEX('Account Map'!$C:$C,MATCH(AB238,'Account Map'!$A:$A,0)),""))</f>
        <v/>
      </c>
      <c r="AE238" s="37" t="n">
        <f aca="false">IF(AND(AB238&lt;&gt;"",AC238="",COUNT($B238:$Z238)&gt;0,LEFT(AB238,5)&lt;&gt;"Total",AB238&lt;&gt;"Gross Profit",AB238&lt;&gt;"Net Profit",AB238&lt;&gt;"Operating Profit"),1,0)</f>
        <v>0</v>
      </c>
    </row>
    <row r="239" customFormat="false" ht="15" hidden="false" customHeight="false" outlineLevel="0" collapsed="false">
      <c r="B239" s="44"/>
      <c r="C239" s="44"/>
      <c r="D239" s="44"/>
      <c r="E239" s="44"/>
      <c r="F239" s="44"/>
      <c r="G239" s="44"/>
      <c r="H239" s="44"/>
      <c r="I239" s="44"/>
      <c r="J239" s="44"/>
      <c r="K239" s="44"/>
      <c r="L239" s="44"/>
      <c r="M239" s="44"/>
      <c r="N239" s="44"/>
      <c r="O239" s="44"/>
      <c r="P239" s="44"/>
      <c r="Q239" s="44"/>
      <c r="R239" s="44"/>
      <c r="S239" s="44"/>
      <c r="T239" s="44"/>
      <c r="U239" s="44"/>
      <c r="V239" s="44"/>
      <c r="W239" s="44"/>
      <c r="X239" s="44"/>
      <c r="Y239" s="44"/>
      <c r="Z239" s="44"/>
      <c r="AB239" s="37" t="str">
        <f aca="false">TRIM($A239&amp;"")</f>
        <v/>
      </c>
      <c r="AC239" s="37" t="str">
        <f aca="false">IF(AB239="","",IFERROR(INDEX('Account Map'!$B:$B,MATCH(AB239,'Account Map'!$A:$A,0)),""))</f>
        <v/>
      </c>
      <c r="AD239" s="37" t="str">
        <f aca="false">IF(AB239="","",IFERROR(INDEX('Account Map'!$C:$C,MATCH(AB239,'Account Map'!$A:$A,0)),""))</f>
        <v/>
      </c>
      <c r="AE239" s="37" t="n">
        <f aca="false">IF(AND(AB239&lt;&gt;"",AC239="",COUNT($B239:$Z239)&gt;0,LEFT(AB239,5)&lt;&gt;"Total",AB239&lt;&gt;"Gross Profit",AB239&lt;&gt;"Net Profit",AB239&lt;&gt;"Operating Profit"),1,0)</f>
        <v>0</v>
      </c>
    </row>
    <row r="240" customFormat="false" ht="15" hidden="false" customHeight="false" outlineLevel="0" collapsed="false">
      <c r="B240" s="44"/>
      <c r="C240" s="44"/>
      <c r="D240" s="44"/>
      <c r="E240" s="44"/>
      <c r="F240" s="44"/>
      <c r="G240" s="44"/>
      <c r="H240" s="44"/>
      <c r="I240" s="44"/>
      <c r="J240" s="44"/>
      <c r="K240" s="44"/>
      <c r="L240" s="44"/>
      <c r="M240" s="44"/>
      <c r="N240" s="44"/>
      <c r="O240" s="44"/>
      <c r="P240" s="44"/>
      <c r="Q240" s="44"/>
      <c r="R240" s="44"/>
      <c r="S240" s="44"/>
      <c r="T240" s="44"/>
      <c r="U240" s="44"/>
      <c r="V240" s="44"/>
      <c r="W240" s="44"/>
      <c r="X240" s="44"/>
      <c r="Y240" s="44"/>
      <c r="Z240" s="44"/>
      <c r="AB240" s="37" t="str">
        <f aca="false">TRIM($A240&amp;"")</f>
        <v/>
      </c>
      <c r="AC240" s="37" t="str">
        <f aca="false">IF(AB240="","",IFERROR(INDEX('Account Map'!$B:$B,MATCH(AB240,'Account Map'!$A:$A,0)),""))</f>
        <v/>
      </c>
      <c r="AD240" s="37" t="str">
        <f aca="false">IF(AB240="","",IFERROR(INDEX('Account Map'!$C:$C,MATCH(AB240,'Account Map'!$A:$A,0)),""))</f>
        <v/>
      </c>
      <c r="AE240" s="37" t="n">
        <f aca="false">IF(AND(AB240&lt;&gt;"",AC240="",COUNT($B240:$Z240)&gt;0,LEFT(AB240,5)&lt;&gt;"Total",AB240&lt;&gt;"Gross Profit",AB240&lt;&gt;"Net Profit",AB240&lt;&gt;"Operating Profit"),1,0)</f>
        <v>0</v>
      </c>
    </row>
    <row r="241" customFormat="false" ht="15" hidden="false" customHeight="false" outlineLevel="0" collapsed="false">
      <c r="B241" s="44"/>
      <c r="C241" s="44"/>
      <c r="D241" s="44"/>
      <c r="E241" s="44"/>
      <c r="F241" s="44"/>
      <c r="G241" s="44"/>
      <c r="H241" s="44"/>
      <c r="I241" s="44"/>
      <c r="J241" s="44"/>
      <c r="K241" s="44"/>
      <c r="L241" s="44"/>
      <c r="M241" s="44"/>
      <c r="N241" s="44"/>
      <c r="O241" s="44"/>
      <c r="P241" s="44"/>
      <c r="Q241" s="44"/>
      <c r="R241" s="44"/>
      <c r="S241" s="44"/>
      <c r="T241" s="44"/>
      <c r="U241" s="44"/>
      <c r="V241" s="44"/>
      <c r="W241" s="44"/>
      <c r="X241" s="44"/>
      <c r="Y241" s="44"/>
      <c r="Z241" s="44"/>
      <c r="AB241" s="37" t="str">
        <f aca="false">TRIM($A241&amp;"")</f>
        <v/>
      </c>
      <c r="AC241" s="37" t="str">
        <f aca="false">IF(AB241="","",IFERROR(INDEX('Account Map'!$B:$B,MATCH(AB241,'Account Map'!$A:$A,0)),""))</f>
        <v/>
      </c>
      <c r="AD241" s="37" t="str">
        <f aca="false">IF(AB241="","",IFERROR(INDEX('Account Map'!$C:$C,MATCH(AB241,'Account Map'!$A:$A,0)),""))</f>
        <v/>
      </c>
      <c r="AE241" s="37" t="n">
        <f aca="false">IF(AND(AB241&lt;&gt;"",AC241="",COUNT($B241:$Z241)&gt;0,LEFT(AB241,5)&lt;&gt;"Total",AB241&lt;&gt;"Gross Profit",AB241&lt;&gt;"Net Profit",AB241&lt;&gt;"Operating Profit"),1,0)</f>
        <v>0</v>
      </c>
    </row>
    <row r="242" customFormat="false" ht="15" hidden="false" customHeight="false" outlineLevel="0" collapsed="false">
      <c r="B242" s="44"/>
      <c r="C242" s="44"/>
      <c r="D242" s="44"/>
      <c r="E242" s="44"/>
      <c r="F242" s="44"/>
      <c r="G242" s="44"/>
      <c r="H242" s="44"/>
      <c r="I242" s="44"/>
      <c r="J242" s="44"/>
      <c r="K242" s="44"/>
      <c r="L242" s="44"/>
      <c r="M242" s="44"/>
      <c r="N242" s="44"/>
      <c r="O242" s="44"/>
      <c r="P242" s="44"/>
      <c r="Q242" s="44"/>
      <c r="R242" s="44"/>
      <c r="S242" s="44"/>
      <c r="T242" s="44"/>
      <c r="U242" s="44"/>
      <c r="V242" s="44"/>
      <c r="W242" s="44"/>
      <c r="X242" s="44"/>
      <c r="Y242" s="44"/>
      <c r="Z242" s="44"/>
      <c r="AB242" s="37" t="str">
        <f aca="false">TRIM($A242&amp;"")</f>
        <v/>
      </c>
      <c r="AC242" s="37" t="str">
        <f aca="false">IF(AB242="","",IFERROR(INDEX('Account Map'!$B:$B,MATCH(AB242,'Account Map'!$A:$A,0)),""))</f>
        <v/>
      </c>
      <c r="AD242" s="37" t="str">
        <f aca="false">IF(AB242="","",IFERROR(INDEX('Account Map'!$C:$C,MATCH(AB242,'Account Map'!$A:$A,0)),""))</f>
        <v/>
      </c>
      <c r="AE242" s="37" t="n">
        <f aca="false">IF(AND(AB242&lt;&gt;"",AC242="",COUNT($B242:$Z242)&gt;0,LEFT(AB242,5)&lt;&gt;"Total",AB242&lt;&gt;"Gross Profit",AB242&lt;&gt;"Net Profit",AB242&lt;&gt;"Operating Profit"),1,0)</f>
        <v>0</v>
      </c>
    </row>
    <row r="243" customFormat="false" ht="15" hidden="false" customHeight="false" outlineLevel="0" collapsed="false">
      <c r="B243" s="44"/>
      <c r="C243" s="44"/>
      <c r="D243" s="44"/>
      <c r="E243" s="44"/>
      <c r="F243" s="44"/>
      <c r="G243" s="44"/>
      <c r="H243" s="44"/>
      <c r="I243" s="44"/>
      <c r="J243" s="44"/>
      <c r="K243" s="44"/>
      <c r="L243" s="44"/>
      <c r="M243" s="44"/>
      <c r="N243" s="44"/>
      <c r="O243" s="44"/>
      <c r="P243" s="44"/>
      <c r="Q243" s="44"/>
      <c r="R243" s="44"/>
      <c r="S243" s="44"/>
      <c r="T243" s="44"/>
      <c r="U243" s="44"/>
      <c r="V243" s="44"/>
      <c r="W243" s="44"/>
      <c r="X243" s="44"/>
      <c r="Y243" s="44"/>
      <c r="Z243" s="44"/>
      <c r="AB243" s="37" t="str">
        <f aca="false">TRIM($A243&amp;"")</f>
        <v/>
      </c>
      <c r="AC243" s="37" t="str">
        <f aca="false">IF(AB243="","",IFERROR(INDEX('Account Map'!$B:$B,MATCH(AB243,'Account Map'!$A:$A,0)),""))</f>
        <v/>
      </c>
      <c r="AD243" s="37" t="str">
        <f aca="false">IF(AB243="","",IFERROR(INDEX('Account Map'!$C:$C,MATCH(AB243,'Account Map'!$A:$A,0)),""))</f>
        <v/>
      </c>
      <c r="AE243" s="37" t="n">
        <f aca="false">IF(AND(AB243&lt;&gt;"",AC243="",COUNT($B243:$Z243)&gt;0,LEFT(AB243,5)&lt;&gt;"Total",AB243&lt;&gt;"Gross Profit",AB243&lt;&gt;"Net Profit",AB243&lt;&gt;"Operating Profit"),1,0)</f>
        <v>0</v>
      </c>
    </row>
    <row r="244" customFormat="false" ht="15" hidden="false" customHeight="false" outlineLevel="0" collapsed="false">
      <c r="B244" s="44"/>
      <c r="C244" s="44"/>
      <c r="D244" s="44"/>
      <c r="E244" s="44"/>
      <c r="F244" s="44"/>
      <c r="G244" s="44"/>
      <c r="H244" s="44"/>
      <c r="I244" s="44"/>
      <c r="J244" s="44"/>
      <c r="K244" s="44"/>
      <c r="L244" s="44"/>
      <c r="M244" s="44"/>
      <c r="N244" s="44"/>
      <c r="O244" s="44"/>
      <c r="P244" s="44"/>
      <c r="Q244" s="44"/>
      <c r="R244" s="44"/>
      <c r="S244" s="44"/>
      <c r="T244" s="44"/>
      <c r="U244" s="44"/>
      <c r="V244" s="44"/>
      <c r="W244" s="44"/>
      <c r="X244" s="44"/>
      <c r="Y244" s="44"/>
      <c r="Z244" s="44"/>
      <c r="AB244" s="37" t="str">
        <f aca="false">TRIM($A244&amp;"")</f>
        <v/>
      </c>
      <c r="AC244" s="37" t="str">
        <f aca="false">IF(AB244="","",IFERROR(INDEX('Account Map'!$B:$B,MATCH(AB244,'Account Map'!$A:$A,0)),""))</f>
        <v/>
      </c>
      <c r="AD244" s="37" t="str">
        <f aca="false">IF(AB244="","",IFERROR(INDEX('Account Map'!$C:$C,MATCH(AB244,'Account Map'!$A:$A,0)),""))</f>
        <v/>
      </c>
      <c r="AE244" s="37" t="n">
        <f aca="false">IF(AND(AB244&lt;&gt;"",AC244="",COUNT($B244:$Z244)&gt;0,LEFT(AB244,5)&lt;&gt;"Total",AB244&lt;&gt;"Gross Profit",AB244&lt;&gt;"Net Profit",AB244&lt;&gt;"Operating Profit"),1,0)</f>
        <v>0</v>
      </c>
    </row>
    <row r="245" customFormat="false" ht="15" hidden="false" customHeight="false" outlineLevel="0" collapsed="false">
      <c r="B245" s="44"/>
      <c r="C245" s="44"/>
      <c r="D245" s="44"/>
      <c r="E245" s="44"/>
      <c r="F245" s="44"/>
      <c r="G245" s="44"/>
      <c r="H245" s="44"/>
      <c r="I245" s="44"/>
      <c r="J245" s="44"/>
      <c r="K245" s="44"/>
      <c r="L245" s="44"/>
      <c r="M245" s="44"/>
      <c r="N245" s="44"/>
      <c r="O245" s="44"/>
      <c r="P245" s="44"/>
      <c r="Q245" s="44"/>
      <c r="R245" s="44"/>
      <c r="S245" s="44"/>
      <c r="T245" s="44"/>
      <c r="U245" s="44"/>
      <c r="V245" s="44"/>
      <c r="W245" s="44"/>
      <c r="X245" s="44"/>
      <c r="Y245" s="44"/>
      <c r="Z245" s="44"/>
      <c r="AB245" s="37" t="str">
        <f aca="false">TRIM($A245&amp;"")</f>
        <v/>
      </c>
      <c r="AC245" s="37" t="str">
        <f aca="false">IF(AB245="","",IFERROR(INDEX('Account Map'!$B:$B,MATCH(AB245,'Account Map'!$A:$A,0)),""))</f>
        <v/>
      </c>
      <c r="AD245" s="37" t="str">
        <f aca="false">IF(AB245="","",IFERROR(INDEX('Account Map'!$C:$C,MATCH(AB245,'Account Map'!$A:$A,0)),""))</f>
        <v/>
      </c>
      <c r="AE245" s="37" t="n">
        <f aca="false">IF(AND(AB245&lt;&gt;"",AC245="",COUNT($B245:$Z245)&gt;0,LEFT(AB245,5)&lt;&gt;"Total",AB245&lt;&gt;"Gross Profit",AB245&lt;&gt;"Net Profit",AB245&lt;&gt;"Operating Profit"),1,0)</f>
        <v>0</v>
      </c>
    </row>
    <row r="246" customFormat="false" ht="15" hidden="false" customHeight="false" outlineLevel="0" collapsed="false">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c r="Z246" s="44"/>
      <c r="AB246" s="37" t="str">
        <f aca="false">TRIM($A246&amp;"")</f>
        <v/>
      </c>
      <c r="AC246" s="37" t="str">
        <f aca="false">IF(AB246="","",IFERROR(INDEX('Account Map'!$B:$B,MATCH(AB246,'Account Map'!$A:$A,0)),""))</f>
        <v/>
      </c>
      <c r="AD246" s="37" t="str">
        <f aca="false">IF(AB246="","",IFERROR(INDEX('Account Map'!$C:$C,MATCH(AB246,'Account Map'!$A:$A,0)),""))</f>
        <v/>
      </c>
      <c r="AE246" s="37" t="n">
        <f aca="false">IF(AND(AB246&lt;&gt;"",AC246="",COUNT($B246:$Z246)&gt;0,LEFT(AB246,5)&lt;&gt;"Total",AB246&lt;&gt;"Gross Profit",AB246&lt;&gt;"Net Profit",AB246&lt;&gt;"Operating Profit"),1,0)</f>
        <v>0</v>
      </c>
    </row>
    <row r="247" customFormat="false" ht="15" hidden="false" customHeight="false" outlineLevel="0" collapsed="false">
      <c r="B247" s="44"/>
      <c r="C247" s="44"/>
      <c r="D247" s="44"/>
      <c r="E247" s="44"/>
      <c r="F247" s="44"/>
      <c r="G247" s="44"/>
      <c r="H247" s="44"/>
      <c r="I247" s="44"/>
      <c r="J247" s="44"/>
      <c r="K247" s="44"/>
      <c r="L247" s="44"/>
      <c r="M247" s="44"/>
      <c r="N247" s="44"/>
      <c r="O247" s="44"/>
      <c r="P247" s="44"/>
      <c r="Q247" s="44"/>
      <c r="R247" s="44"/>
      <c r="S247" s="44"/>
      <c r="T247" s="44"/>
      <c r="U247" s="44"/>
      <c r="V247" s="44"/>
      <c r="W247" s="44"/>
      <c r="X247" s="44"/>
      <c r="Y247" s="44"/>
      <c r="Z247" s="44"/>
      <c r="AB247" s="37" t="str">
        <f aca="false">TRIM($A247&amp;"")</f>
        <v/>
      </c>
      <c r="AC247" s="37" t="str">
        <f aca="false">IF(AB247="","",IFERROR(INDEX('Account Map'!$B:$B,MATCH(AB247,'Account Map'!$A:$A,0)),""))</f>
        <v/>
      </c>
      <c r="AD247" s="37" t="str">
        <f aca="false">IF(AB247="","",IFERROR(INDEX('Account Map'!$C:$C,MATCH(AB247,'Account Map'!$A:$A,0)),""))</f>
        <v/>
      </c>
      <c r="AE247" s="37" t="n">
        <f aca="false">IF(AND(AB247&lt;&gt;"",AC247="",COUNT($B247:$Z247)&gt;0,LEFT(AB247,5)&lt;&gt;"Total",AB247&lt;&gt;"Gross Profit",AB247&lt;&gt;"Net Profit",AB247&lt;&gt;"Operating Profit"),1,0)</f>
        <v>0</v>
      </c>
    </row>
    <row r="248" customFormat="false" ht="15" hidden="false" customHeight="false" outlineLevel="0" collapsed="false">
      <c r="B248" s="44"/>
      <c r="C248" s="44"/>
      <c r="D248" s="44"/>
      <c r="E248" s="44"/>
      <c r="F248" s="44"/>
      <c r="G248" s="44"/>
      <c r="H248" s="44"/>
      <c r="I248" s="44"/>
      <c r="J248" s="44"/>
      <c r="K248" s="44"/>
      <c r="L248" s="44"/>
      <c r="M248" s="44"/>
      <c r="N248" s="44"/>
      <c r="O248" s="44"/>
      <c r="P248" s="44"/>
      <c r="Q248" s="44"/>
      <c r="R248" s="44"/>
      <c r="S248" s="44"/>
      <c r="T248" s="44"/>
      <c r="U248" s="44"/>
      <c r="V248" s="44"/>
      <c r="W248" s="44"/>
      <c r="X248" s="44"/>
      <c r="Y248" s="44"/>
      <c r="Z248" s="44"/>
      <c r="AB248" s="37" t="str">
        <f aca="false">TRIM($A248&amp;"")</f>
        <v/>
      </c>
      <c r="AC248" s="37" t="str">
        <f aca="false">IF(AB248="","",IFERROR(INDEX('Account Map'!$B:$B,MATCH(AB248,'Account Map'!$A:$A,0)),""))</f>
        <v/>
      </c>
      <c r="AD248" s="37" t="str">
        <f aca="false">IF(AB248="","",IFERROR(INDEX('Account Map'!$C:$C,MATCH(AB248,'Account Map'!$A:$A,0)),""))</f>
        <v/>
      </c>
      <c r="AE248" s="37" t="n">
        <f aca="false">IF(AND(AB248&lt;&gt;"",AC248="",COUNT($B248:$Z248)&gt;0,LEFT(AB248,5)&lt;&gt;"Total",AB248&lt;&gt;"Gross Profit",AB248&lt;&gt;"Net Profit",AB248&lt;&gt;"Operating Profit"),1,0)</f>
        <v>0</v>
      </c>
    </row>
    <row r="249" customFormat="false" ht="15" hidden="false" customHeight="false" outlineLevel="0" collapsed="false">
      <c r="B249" s="44"/>
      <c r="C249" s="44"/>
      <c r="D249" s="44"/>
      <c r="E249" s="44"/>
      <c r="F249" s="44"/>
      <c r="G249" s="44"/>
      <c r="H249" s="44"/>
      <c r="I249" s="44"/>
      <c r="J249" s="44"/>
      <c r="K249" s="44"/>
      <c r="L249" s="44"/>
      <c r="M249" s="44"/>
      <c r="N249" s="44"/>
      <c r="O249" s="44"/>
      <c r="P249" s="44"/>
      <c r="Q249" s="44"/>
      <c r="R249" s="44"/>
      <c r="S249" s="44"/>
      <c r="T249" s="44"/>
      <c r="U249" s="44"/>
      <c r="V249" s="44"/>
      <c r="W249" s="44"/>
      <c r="X249" s="44"/>
      <c r="Y249" s="44"/>
      <c r="Z249" s="44"/>
      <c r="AB249" s="37" t="str">
        <f aca="false">TRIM($A249&amp;"")</f>
        <v/>
      </c>
      <c r="AC249" s="37" t="str">
        <f aca="false">IF(AB249="","",IFERROR(INDEX('Account Map'!$B:$B,MATCH(AB249,'Account Map'!$A:$A,0)),""))</f>
        <v/>
      </c>
      <c r="AD249" s="37" t="str">
        <f aca="false">IF(AB249="","",IFERROR(INDEX('Account Map'!$C:$C,MATCH(AB249,'Account Map'!$A:$A,0)),""))</f>
        <v/>
      </c>
      <c r="AE249" s="37" t="n">
        <f aca="false">IF(AND(AB249&lt;&gt;"",AC249="",COUNT($B249:$Z249)&gt;0,LEFT(AB249,5)&lt;&gt;"Total",AB249&lt;&gt;"Gross Profit",AB249&lt;&gt;"Net Profit",AB249&lt;&gt;"Operating Profit"),1,0)</f>
        <v>0</v>
      </c>
    </row>
    <row r="250" customFormat="false" ht="15" hidden="false" customHeight="false" outlineLevel="0" collapsed="false">
      <c r="B250" s="44"/>
      <c r="C250" s="44"/>
      <c r="D250" s="44"/>
      <c r="E250" s="44"/>
      <c r="F250" s="44"/>
      <c r="G250" s="44"/>
      <c r="H250" s="44"/>
      <c r="I250" s="44"/>
      <c r="J250" s="44"/>
      <c r="K250" s="44"/>
      <c r="L250" s="44"/>
      <c r="M250" s="44"/>
      <c r="N250" s="44"/>
      <c r="O250" s="44"/>
      <c r="P250" s="44"/>
      <c r="Q250" s="44"/>
      <c r="R250" s="44"/>
      <c r="S250" s="44"/>
      <c r="T250" s="44"/>
      <c r="U250" s="44"/>
      <c r="V250" s="44"/>
      <c r="W250" s="44"/>
      <c r="X250" s="44"/>
      <c r="Y250" s="44"/>
      <c r="Z250" s="44"/>
      <c r="AB250" s="37" t="str">
        <f aca="false">TRIM($A250&amp;"")</f>
        <v/>
      </c>
      <c r="AC250" s="37" t="str">
        <f aca="false">IF(AB250="","",IFERROR(INDEX('Account Map'!$B:$B,MATCH(AB250,'Account Map'!$A:$A,0)),""))</f>
        <v/>
      </c>
      <c r="AD250" s="37" t="str">
        <f aca="false">IF(AB250="","",IFERROR(INDEX('Account Map'!$C:$C,MATCH(AB250,'Account Map'!$A:$A,0)),""))</f>
        <v/>
      </c>
      <c r="AE250" s="37" t="n">
        <f aca="false">IF(AND(AB250&lt;&gt;"",AC250="",COUNT($B250:$Z250)&gt;0,LEFT(AB250,5)&lt;&gt;"Total",AB250&lt;&gt;"Gross Profit",AB250&lt;&gt;"Net Profit",AB250&lt;&gt;"Operating Profit"),1,0)</f>
        <v>0</v>
      </c>
    </row>
    <row r="251" customFormat="false" ht="15" hidden="false" customHeight="false" outlineLevel="0" collapsed="false">
      <c r="B251" s="44"/>
      <c r="C251" s="44"/>
      <c r="D251" s="44"/>
      <c r="E251" s="44"/>
      <c r="F251" s="44"/>
      <c r="G251" s="44"/>
      <c r="H251" s="44"/>
      <c r="I251" s="44"/>
      <c r="J251" s="44"/>
      <c r="K251" s="44"/>
      <c r="L251" s="44"/>
      <c r="M251" s="44"/>
      <c r="N251" s="44"/>
      <c r="O251" s="44"/>
      <c r="P251" s="44"/>
      <c r="Q251" s="44"/>
      <c r="R251" s="44"/>
      <c r="S251" s="44"/>
      <c r="T251" s="44"/>
      <c r="U251" s="44"/>
      <c r="V251" s="44"/>
      <c r="W251" s="44"/>
      <c r="X251" s="44"/>
      <c r="Y251" s="44"/>
      <c r="Z251" s="44"/>
      <c r="AB251" s="37" t="str">
        <f aca="false">TRIM($A251&amp;"")</f>
        <v/>
      </c>
      <c r="AC251" s="37" t="str">
        <f aca="false">IF(AB251="","",IFERROR(INDEX('Account Map'!$B:$B,MATCH(AB251,'Account Map'!$A:$A,0)),""))</f>
        <v/>
      </c>
      <c r="AD251" s="37" t="str">
        <f aca="false">IF(AB251="","",IFERROR(INDEX('Account Map'!$C:$C,MATCH(AB251,'Account Map'!$A:$A,0)),""))</f>
        <v/>
      </c>
      <c r="AE251" s="37" t="n">
        <f aca="false">IF(AND(AB251&lt;&gt;"",AC251="",COUNT($B251:$Z251)&gt;0,LEFT(AB251,5)&lt;&gt;"Total",AB251&lt;&gt;"Gross Profit",AB251&lt;&gt;"Net Profit",AB251&lt;&gt;"Operating Profit"),1,0)</f>
        <v>0</v>
      </c>
    </row>
    <row r="252" customFormat="false" ht="15" hidden="false" customHeight="false" outlineLevel="0" collapsed="false">
      <c r="B252" s="44"/>
      <c r="C252" s="44"/>
      <c r="D252" s="44"/>
      <c r="E252" s="44"/>
      <c r="F252" s="44"/>
      <c r="G252" s="44"/>
      <c r="H252" s="44"/>
      <c r="I252" s="44"/>
      <c r="J252" s="44"/>
      <c r="K252" s="44"/>
      <c r="L252" s="44"/>
      <c r="M252" s="44"/>
      <c r="N252" s="44"/>
      <c r="O252" s="44"/>
      <c r="P252" s="44"/>
      <c r="Q252" s="44"/>
      <c r="R252" s="44"/>
      <c r="S252" s="44"/>
      <c r="T252" s="44"/>
      <c r="U252" s="44"/>
      <c r="V252" s="44"/>
      <c r="W252" s="44"/>
      <c r="X252" s="44"/>
      <c r="Y252" s="44"/>
      <c r="Z252" s="44"/>
      <c r="AB252" s="37" t="str">
        <f aca="false">TRIM($A252&amp;"")</f>
        <v/>
      </c>
      <c r="AC252" s="37" t="str">
        <f aca="false">IF(AB252="","",IFERROR(INDEX('Account Map'!$B:$B,MATCH(AB252,'Account Map'!$A:$A,0)),""))</f>
        <v/>
      </c>
      <c r="AD252" s="37" t="str">
        <f aca="false">IF(AB252="","",IFERROR(INDEX('Account Map'!$C:$C,MATCH(AB252,'Account Map'!$A:$A,0)),""))</f>
        <v/>
      </c>
      <c r="AE252" s="37" t="n">
        <f aca="false">IF(AND(AB252&lt;&gt;"",AC252="",COUNT($B252:$Z252)&gt;0,LEFT(AB252,5)&lt;&gt;"Total",AB252&lt;&gt;"Gross Profit",AB252&lt;&gt;"Net Profit",AB252&lt;&gt;"Operating Profit"),1,0)</f>
        <v>0</v>
      </c>
    </row>
    <row r="253" customFormat="false" ht="15" hidden="false" customHeight="false" outlineLevel="0" collapsed="false">
      <c r="B253" s="44"/>
      <c r="C253" s="44"/>
      <c r="D253" s="44"/>
      <c r="E253" s="44"/>
      <c r="F253" s="44"/>
      <c r="G253" s="44"/>
      <c r="H253" s="44"/>
      <c r="I253" s="44"/>
      <c r="J253" s="44"/>
      <c r="K253" s="44"/>
      <c r="L253" s="44"/>
      <c r="M253" s="44"/>
      <c r="N253" s="44"/>
      <c r="O253" s="44"/>
      <c r="P253" s="44"/>
      <c r="Q253" s="44"/>
      <c r="R253" s="44"/>
      <c r="S253" s="44"/>
      <c r="T253" s="44"/>
      <c r="U253" s="44"/>
      <c r="V253" s="44"/>
      <c r="W253" s="44"/>
      <c r="X253" s="44"/>
      <c r="Y253" s="44"/>
      <c r="Z253" s="44"/>
      <c r="AB253" s="37" t="str">
        <f aca="false">TRIM($A253&amp;"")</f>
        <v/>
      </c>
      <c r="AC253" s="37" t="str">
        <f aca="false">IF(AB253="","",IFERROR(INDEX('Account Map'!$B:$B,MATCH(AB253,'Account Map'!$A:$A,0)),""))</f>
        <v/>
      </c>
      <c r="AD253" s="37" t="str">
        <f aca="false">IF(AB253="","",IFERROR(INDEX('Account Map'!$C:$C,MATCH(AB253,'Account Map'!$A:$A,0)),""))</f>
        <v/>
      </c>
      <c r="AE253" s="37" t="n">
        <f aca="false">IF(AND(AB253&lt;&gt;"",AC253="",COUNT($B253:$Z253)&gt;0,LEFT(AB253,5)&lt;&gt;"Total",AB253&lt;&gt;"Gross Profit",AB253&lt;&gt;"Net Profit",AB253&lt;&gt;"Operating Profit"),1,0)</f>
        <v>0</v>
      </c>
    </row>
    <row r="254" customFormat="false" ht="15" hidden="false" customHeight="false" outlineLevel="0" collapsed="false">
      <c r="B254" s="44"/>
      <c r="C254" s="44"/>
      <c r="D254" s="44"/>
      <c r="E254" s="44"/>
      <c r="F254" s="44"/>
      <c r="G254" s="44"/>
      <c r="H254" s="44"/>
      <c r="I254" s="44"/>
      <c r="J254" s="44"/>
      <c r="K254" s="44"/>
      <c r="L254" s="44"/>
      <c r="M254" s="44"/>
      <c r="N254" s="44"/>
      <c r="O254" s="44"/>
      <c r="P254" s="44"/>
      <c r="Q254" s="44"/>
      <c r="R254" s="44"/>
      <c r="S254" s="44"/>
      <c r="T254" s="44"/>
      <c r="U254" s="44"/>
      <c r="V254" s="44"/>
      <c r="W254" s="44"/>
      <c r="X254" s="44"/>
      <c r="Y254" s="44"/>
      <c r="Z254" s="44"/>
      <c r="AB254" s="37" t="str">
        <f aca="false">TRIM($A254&amp;"")</f>
        <v/>
      </c>
      <c r="AC254" s="37" t="str">
        <f aca="false">IF(AB254="","",IFERROR(INDEX('Account Map'!$B:$B,MATCH(AB254,'Account Map'!$A:$A,0)),""))</f>
        <v/>
      </c>
      <c r="AD254" s="37" t="str">
        <f aca="false">IF(AB254="","",IFERROR(INDEX('Account Map'!$C:$C,MATCH(AB254,'Account Map'!$A:$A,0)),""))</f>
        <v/>
      </c>
      <c r="AE254" s="37" t="n">
        <f aca="false">IF(AND(AB254&lt;&gt;"",AC254="",COUNT($B254:$Z254)&gt;0,LEFT(AB254,5)&lt;&gt;"Total",AB254&lt;&gt;"Gross Profit",AB254&lt;&gt;"Net Profit",AB254&lt;&gt;"Operating Profit"),1,0)</f>
        <v>0</v>
      </c>
    </row>
    <row r="255" customFormat="false" ht="15" hidden="false" customHeight="false" outlineLevel="0" collapsed="false">
      <c r="B255" s="44"/>
      <c r="C255" s="44"/>
      <c r="D255" s="44"/>
      <c r="E255" s="44"/>
      <c r="F255" s="44"/>
      <c r="G255" s="44"/>
      <c r="H255" s="44"/>
      <c r="I255" s="44"/>
      <c r="J255" s="44"/>
      <c r="K255" s="44"/>
      <c r="L255" s="44"/>
      <c r="M255" s="44"/>
      <c r="N255" s="44"/>
      <c r="O255" s="44"/>
      <c r="P255" s="44"/>
      <c r="Q255" s="44"/>
      <c r="R255" s="44"/>
      <c r="S255" s="44"/>
      <c r="T255" s="44"/>
      <c r="U255" s="44"/>
      <c r="V255" s="44"/>
      <c r="W255" s="44"/>
      <c r="X255" s="44"/>
      <c r="Y255" s="44"/>
      <c r="Z255" s="44"/>
      <c r="AB255" s="37" t="str">
        <f aca="false">TRIM($A255&amp;"")</f>
        <v/>
      </c>
      <c r="AC255" s="37" t="str">
        <f aca="false">IF(AB255="","",IFERROR(INDEX('Account Map'!$B:$B,MATCH(AB255,'Account Map'!$A:$A,0)),""))</f>
        <v/>
      </c>
      <c r="AD255" s="37" t="str">
        <f aca="false">IF(AB255="","",IFERROR(INDEX('Account Map'!$C:$C,MATCH(AB255,'Account Map'!$A:$A,0)),""))</f>
        <v/>
      </c>
      <c r="AE255" s="37" t="n">
        <f aca="false">IF(AND(AB255&lt;&gt;"",AC255="",COUNT($B255:$Z255)&gt;0,LEFT(AB255,5)&lt;&gt;"Total",AB255&lt;&gt;"Gross Profit",AB255&lt;&gt;"Net Profit",AB255&lt;&gt;"Operating Profit"),1,0)</f>
        <v>0</v>
      </c>
    </row>
    <row r="256" customFormat="false" ht="15" hidden="false" customHeight="false" outlineLevel="0" collapsed="false">
      <c r="B256" s="44"/>
      <c r="C256" s="44"/>
      <c r="D256" s="44"/>
      <c r="E256" s="44"/>
      <c r="F256" s="44"/>
      <c r="G256" s="44"/>
      <c r="H256" s="44"/>
      <c r="I256" s="44"/>
      <c r="J256" s="44"/>
      <c r="K256" s="44"/>
      <c r="L256" s="44"/>
      <c r="M256" s="44"/>
      <c r="N256" s="44"/>
      <c r="O256" s="44"/>
      <c r="P256" s="44"/>
      <c r="Q256" s="44"/>
      <c r="R256" s="44"/>
      <c r="S256" s="44"/>
      <c r="T256" s="44"/>
      <c r="U256" s="44"/>
      <c r="V256" s="44"/>
      <c r="W256" s="44"/>
      <c r="X256" s="44"/>
      <c r="Y256" s="44"/>
      <c r="Z256" s="44"/>
      <c r="AB256" s="37" t="str">
        <f aca="false">TRIM($A256&amp;"")</f>
        <v/>
      </c>
      <c r="AC256" s="37" t="str">
        <f aca="false">IF(AB256="","",IFERROR(INDEX('Account Map'!$B:$B,MATCH(AB256,'Account Map'!$A:$A,0)),""))</f>
        <v/>
      </c>
      <c r="AD256" s="37" t="str">
        <f aca="false">IF(AB256="","",IFERROR(INDEX('Account Map'!$C:$C,MATCH(AB256,'Account Map'!$A:$A,0)),""))</f>
        <v/>
      </c>
      <c r="AE256" s="37" t="n">
        <f aca="false">IF(AND(AB256&lt;&gt;"",AC256="",COUNT($B256:$Z256)&gt;0,LEFT(AB256,5)&lt;&gt;"Total",AB256&lt;&gt;"Gross Profit",AB256&lt;&gt;"Net Profit",AB256&lt;&gt;"Operating Profit"),1,0)</f>
        <v>0</v>
      </c>
    </row>
    <row r="257" customFormat="false" ht="15" hidden="false" customHeight="false" outlineLevel="0" collapsed="false">
      <c r="B257" s="44"/>
      <c r="C257" s="44"/>
      <c r="D257" s="44"/>
      <c r="E257" s="44"/>
      <c r="F257" s="44"/>
      <c r="G257" s="44"/>
      <c r="H257" s="44"/>
      <c r="I257" s="44"/>
      <c r="J257" s="44"/>
      <c r="K257" s="44"/>
      <c r="L257" s="44"/>
      <c r="M257" s="44"/>
      <c r="N257" s="44"/>
      <c r="O257" s="44"/>
      <c r="P257" s="44"/>
      <c r="Q257" s="44"/>
      <c r="R257" s="44"/>
      <c r="S257" s="44"/>
      <c r="T257" s="44"/>
      <c r="U257" s="44"/>
      <c r="V257" s="44"/>
      <c r="W257" s="44"/>
      <c r="X257" s="44"/>
      <c r="Y257" s="44"/>
      <c r="Z257" s="44"/>
      <c r="AB257" s="37" t="str">
        <f aca="false">TRIM($A257&amp;"")</f>
        <v/>
      </c>
      <c r="AC257" s="37" t="str">
        <f aca="false">IF(AB257="","",IFERROR(INDEX('Account Map'!$B:$B,MATCH(AB257,'Account Map'!$A:$A,0)),""))</f>
        <v/>
      </c>
      <c r="AD257" s="37" t="str">
        <f aca="false">IF(AB257="","",IFERROR(INDEX('Account Map'!$C:$C,MATCH(AB257,'Account Map'!$A:$A,0)),""))</f>
        <v/>
      </c>
      <c r="AE257" s="37" t="n">
        <f aca="false">IF(AND(AB257&lt;&gt;"",AC257="",COUNT($B257:$Z257)&gt;0,LEFT(AB257,5)&lt;&gt;"Total",AB257&lt;&gt;"Gross Profit",AB257&lt;&gt;"Net Profit",AB257&lt;&gt;"Operating Profit"),1,0)</f>
        <v>0</v>
      </c>
    </row>
    <row r="258" customFormat="false" ht="15" hidden="false" customHeight="false" outlineLevel="0" collapsed="false">
      <c r="B258" s="44"/>
      <c r="C258" s="44"/>
      <c r="D258" s="44"/>
      <c r="E258" s="44"/>
      <c r="F258" s="44"/>
      <c r="G258" s="44"/>
      <c r="H258" s="44"/>
      <c r="I258" s="44"/>
      <c r="J258" s="44"/>
      <c r="K258" s="44"/>
      <c r="L258" s="44"/>
      <c r="M258" s="44"/>
      <c r="N258" s="44"/>
      <c r="O258" s="44"/>
      <c r="P258" s="44"/>
      <c r="Q258" s="44"/>
      <c r="R258" s="44"/>
      <c r="S258" s="44"/>
      <c r="T258" s="44"/>
      <c r="U258" s="44"/>
      <c r="V258" s="44"/>
      <c r="W258" s="44"/>
      <c r="X258" s="44"/>
      <c r="Y258" s="44"/>
      <c r="Z258" s="44"/>
      <c r="AB258" s="37" t="str">
        <f aca="false">TRIM($A258&amp;"")</f>
        <v/>
      </c>
      <c r="AC258" s="37" t="str">
        <f aca="false">IF(AB258="","",IFERROR(INDEX('Account Map'!$B:$B,MATCH(AB258,'Account Map'!$A:$A,0)),""))</f>
        <v/>
      </c>
      <c r="AD258" s="37" t="str">
        <f aca="false">IF(AB258="","",IFERROR(INDEX('Account Map'!$C:$C,MATCH(AB258,'Account Map'!$A:$A,0)),""))</f>
        <v/>
      </c>
      <c r="AE258" s="37" t="n">
        <f aca="false">IF(AND(AB258&lt;&gt;"",AC258="",COUNT($B258:$Z258)&gt;0,LEFT(AB258,5)&lt;&gt;"Total",AB258&lt;&gt;"Gross Profit",AB258&lt;&gt;"Net Profit",AB258&lt;&gt;"Operating Profit"),1,0)</f>
        <v>0</v>
      </c>
    </row>
    <row r="259" customFormat="false" ht="15" hidden="false" customHeight="false" outlineLevel="0" collapsed="false">
      <c r="B259" s="44"/>
      <c r="C259" s="44"/>
      <c r="D259" s="44"/>
      <c r="E259" s="44"/>
      <c r="F259" s="44"/>
      <c r="G259" s="44"/>
      <c r="H259" s="44"/>
      <c r="I259" s="44"/>
      <c r="J259" s="44"/>
      <c r="K259" s="44"/>
      <c r="L259" s="44"/>
      <c r="M259" s="44"/>
      <c r="N259" s="44"/>
      <c r="O259" s="44"/>
      <c r="P259" s="44"/>
      <c r="Q259" s="44"/>
      <c r="R259" s="44"/>
      <c r="S259" s="44"/>
      <c r="T259" s="44"/>
      <c r="U259" s="44"/>
      <c r="V259" s="44"/>
      <c r="W259" s="44"/>
      <c r="X259" s="44"/>
      <c r="Y259" s="44"/>
      <c r="Z259" s="44"/>
      <c r="AB259" s="37" t="str">
        <f aca="false">TRIM($A259&amp;"")</f>
        <v/>
      </c>
      <c r="AC259" s="37" t="str">
        <f aca="false">IF(AB259="","",IFERROR(INDEX('Account Map'!$B:$B,MATCH(AB259,'Account Map'!$A:$A,0)),""))</f>
        <v/>
      </c>
      <c r="AD259" s="37" t="str">
        <f aca="false">IF(AB259="","",IFERROR(INDEX('Account Map'!$C:$C,MATCH(AB259,'Account Map'!$A:$A,0)),""))</f>
        <v/>
      </c>
      <c r="AE259" s="37" t="n">
        <f aca="false">IF(AND(AB259&lt;&gt;"",AC259="",COUNT($B259:$Z259)&gt;0,LEFT(AB259,5)&lt;&gt;"Total",AB259&lt;&gt;"Gross Profit",AB259&lt;&gt;"Net Profit",AB259&lt;&gt;"Operating Profit"),1,0)</f>
        <v>0</v>
      </c>
    </row>
    <row r="260" customFormat="false" ht="15" hidden="false" customHeight="false" outlineLevel="0" collapsed="false">
      <c r="B260" s="44"/>
      <c r="C260" s="44"/>
      <c r="D260" s="44"/>
      <c r="E260" s="44"/>
      <c r="F260" s="44"/>
      <c r="G260" s="44"/>
      <c r="H260" s="44"/>
      <c r="I260" s="44"/>
      <c r="J260" s="44"/>
      <c r="K260" s="44"/>
      <c r="L260" s="44"/>
      <c r="M260" s="44"/>
      <c r="N260" s="44"/>
      <c r="O260" s="44"/>
      <c r="P260" s="44"/>
      <c r="Q260" s="44"/>
      <c r="R260" s="44"/>
      <c r="S260" s="44"/>
      <c r="T260" s="44"/>
      <c r="U260" s="44"/>
      <c r="V260" s="44"/>
      <c r="W260" s="44"/>
      <c r="X260" s="44"/>
      <c r="Y260" s="44"/>
      <c r="Z260" s="44"/>
      <c r="AB260" s="37" t="str">
        <f aca="false">TRIM($A260&amp;"")</f>
        <v/>
      </c>
      <c r="AC260" s="37" t="str">
        <f aca="false">IF(AB260="","",IFERROR(INDEX('Account Map'!$B:$B,MATCH(AB260,'Account Map'!$A:$A,0)),""))</f>
        <v/>
      </c>
      <c r="AD260" s="37" t="str">
        <f aca="false">IF(AB260="","",IFERROR(INDEX('Account Map'!$C:$C,MATCH(AB260,'Account Map'!$A:$A,0)),""))</f>
        <v/>
      </c>
      <c r="AE260" s="37" t="n">
        <f aca="false">IF(AND(AB260&lt;&gt;"",AC260="",COUNT($B260:$Z260)&gt;0,LEFT(AB260,5)&lt;&gt;"Total",AB260&lt;&gt;"Gross Profit",AB260&lt;&gt;"Net Profit",AB260&lt;&gt;"Operating Profit"),1,0)</f>
        <v>0</v>
      </c>
    </row>
    <row r="261" customFormat="false" ht="15" hidden="false" customHeight="false" outlineLevel="0" collapsed="false">
      <c r="B261" s="44"/>
      <c r="C261" s="44"/>
      <c r="D261" s="44"/>
      <c r="E261" s="44"/>
      <c r="F261" s="44"/>
      <c r="G261" s="44"/>
      <c r="H261" s="44"/>
      <c r="I261" s="44"/>
      <c r="J261" s="44"/>
      <c r="K261" s="44"/>
      <c r="L261" s="44"/>
      <c r="M261" s="44"/>
      <c r="N261" s="44"/>
      <c r="O261" s="44"/>
      <c r="P261" s="44"/>
      <c r="Q261" s="44"/>
      <c r="R261" s="44"/>
      <c r="S261" s="44"/>
      <c r="T261" s="44"/>
      <c r="U261" s="44"/>
      <c r="V261" s="44"/>
      <c r="W261" s="44"/>
      <c r="X261" s="44"/>
      <c r="Y261" s="44"/>
      <c r="Z261" s="44"/>
      <c r="AB261" s="37" t="str">
        <f aca="false">TRIM($A261&amp;"")</f>
        <v/>
      </c>
      <c r="AC261" s="37" t="str">
        <f aca="false">IF(AB261="","",IFERROR(INDEX('Account Map'!$B:$B,MATCH(AB261,'Account Map'!$A:$A,0)),""))</f>
        <v/>
      </c>
      <c r="AD261" s="37" t="str">
        <f aca="false">IF(AB261="","",IFERROR(INDEX('Account Map'!$C:$C,MATCH(AB261,'Account Map'!$A:$A,0)),""))</f>
        <v/>
      </c>
      <c r="AE261" s="37" t="n">
        <f aca="false">IF(AND(AB261&lt;&gt;"",AC261="",COUNT($B261:$Z261)&gt;0,LEFT(AB261,5)&lt;&gt;"Total",AB261&lt;&gt;"Gross Profit",AB261&lt;&gt;"Net Profit",AB261&lt;&gt;"Operating Profit"),1,0)</f>
        <v>0</v>
      </c>
    </row>
    <row r="262" customFormat="false" ht="15" hidden="false" customHeight="false" outlineLevel="0" collapsed="false">
      <c r="B262" s="44"/>
      <c r="C262" s="44"/>
      <c r="D262" s="44"/>
      <c r="E262" s="44"/>
      <c r="F262" s="44"/>
      <c r="G262" s="44"/>
      <c r="H262" s="44"/>
      <c r="I262" s="44"/>
      <c r="J262" s="44"/>
      <c r="K262" s="44"/>
      <c r="L262" s="44"/>
      <c r="M262" s="44"/>
      <c r="N262" s="44"/>
      <c r="O262" s="44"/>
      <c r="P262" s="44"/>
      <c r="Q262" s="44"/>
      <c r="R262" s="44"/>
      <c r="S262" s="44"/>
      <c r="T262" s="44"/>
      <c r="U262" s="44"/>
      <c r="V262" s="44"/>
      <c r="W262" s="44"/>
      <c r="X262" s="44"/>
      <c r="Y262" s="44"/>
      <c r="Z262" s="44"/>
      <c r="AB262" s="37" t="str">
        <f aca="false">TRIM($A262&amp;"")</f>
        <v/>
      </c>
      <c r="AC262" s="37" t="str">
        <f aca="false">IF(AB262="","",IFERROR(INDEX('Account Map'!$B:$B,MATCH(AB262,'Account Map'!$A:$A,0)),""))</f>
        <v/>
      </c>
      <c r="AD262" s="37" t="str">
        <f aca="false">IF(AB262="","",IFERROR(INDEX('Account Map'!$C:$C,MATCH(AB262,'Account Map'!$A:$A,0)),""))</f>
        <v/>
      </c>
      <c r="AE262" s="37" t="n">
        <f aca="false">IF(AND(AB262&lt;&gt;"",AC262="",COUNT($B262:$Z262)&gt;0,LEFT(AB262,5)&lt;&gt;"Total",AB262&lt;&gt;"Gross Profit",AB262&lt;&gt;"Net Profit",AB262&lt;&gt;"Operating Profit"),1,0)</f>
        <v>0</v>
      </c>
    </row>
    <row r="263" customFormat="false" ht="15" hidden="false" customHeight="false" outlineLevel="0" collapsed="false">
      <c r="B263" s="44"/>
      <c r="C263" s="44"/>
      <c r="D263" s="44"/>
      <c r="E263" s="44"/>
      <c r="F263" s="44"/>
      <c r="G263" s="44"/>
      <c r="H263" s="44"/>
      <c r="I263" s="44"/>
      <c r="J263" s="44"/>
      <c r="K263" s="44"/>
      <c r="L263" s="44"/>
      <c r="M263" s="44"/>
      <c r="N263" s="44"/>
      <c r="O263" s="44"/>
      <c r="P263" s="44"/>
      <c r="Q263" s="44"/>
      <c r="R263" s="44"/>
      <c r="S263" s="44"/>
      <c r="T263" s="44"/>
      <c r="U263" s="44"/>
      <c r="V263" s="44"/>
      <c r="W263" s="44"/>
      <c r="X263" s="44"/>
      <c r="Y263" s="44"/>
      <c r="Z263" s="44"/>
      <c r="AB263" s="37" t="str">
        <f aca="false">TRIM($A263&amp;"")</f>
        <v/>
      </c>
      <c r="AC263" s="37" t="str">
        <f aca="false">IF(AB263="","",IFERROR(INDEX('Account Map'!$B:$B,MATCH(AB263,'Account Map'!$A:$A,0)),""))</f>
        <v/>
      </c>
      <c r="AD263" s="37" t="str">
        <f aca="false">IF(AB263="","",IFERROR(INDEX('Account Map'!$C:$C,MATCH(AB263,'Account Map'!$A:$A,0)),""))</f>
        <v/>
      </c>
      <c r="AE263" s="37" t="n">
        <f aca="false">IF(AND(AB263&lt;&gt;"",AC263="",COUNT($B263:$Z263)&gt;0,LEFT(AB263,5)&lt;&gt;"Total",AB263&lt;&gt;"Gross Profit",AB263&lt;&gt;"Net Profit",AB263&lt;&gt;"Operating Profit"),1,0)</f>
        <v>0</v>
      </c>
    </row>
    <row r="264" customFormat="false" ht="15" hidden="false" customHeight="false" outlineLevel="0" collapsed="false">
      <c r="B264" s="44"/>
      <c r="C264" s="44"/>
      <c r="D264" s="44"/>
      <c r="E264" s="44"/>
      <c r="F264" s="44"/>
      <c r="G264" s="44"/>
      <c r="H264" s="44"/>
      <c r="I264" s="44"/>
      <c r="J264" s="44"/>
      <c r="K264" s="44"/>
      <c r="L264" s="44"/>
      <c r="M264" s="44"/>
      <c r="N264" s="44"/>
      <c r="O264" s="44"/>
      <c r="P264" s="44"/>
      <c r="Q264" s="44"/>
      <c r="R264" s="44"/>
      <c r="S264" s="44"/>
      <c r="T264" s="44"/>
      <c r="U264" s="44"/>
      <c r="V264" s="44"/>
      <c r="W264" s="44"/>
      <c r="X264" s="44"/>
      <c r="Y264" s="44"/>
      <c r="Z264" s="44"/>
      <c r="AB264" s="37" t="str">
        <f aca="false">TRIM($A264&amp;"")</f>
        <v/>
      </c>
      <c r="AC264" s="37" t="str">
        <f aca="false">IF(AB264="","",IFERROR(INDEX('Account Map'!$B:$B,MATCH(AB264,'Account Map'!$A:$A,0)),""))</f>
        <v/>
      </c>
      <c r="AD264" s="37" t="str">
        <f aca="false">IF(AB264="","",IFERROR(INDEX('Account Map'!$C:$C,MATCH(AB264,'Account Map'!$A:$A,0)),""))</f>
        <v/>
      </c>
      <c r="AE264" s="37" t="n">
        <f aca="false">IF(AND(AB264&lt;&gt;"",AC264="",COUNT($B264:$Z264)&gt;0,LEFT(AB264,5)&lt;&gt;"Total",AB264&lt;&gt;"Gross Profit",AB264&lt;&gt;"Net Profit",AB264&lt;&gt;"Operating Profit"),1,0)</f>
        <v>0</v>
      </c>
    </row>
    <row r="265" customFormat="false" ht="15" hidden="false" customHeight="false" outlineLevel="0" collapsed="false">
      <c r="B265" s="44"/>
      <c r="C265" s="44"/>
      <c r="D265" s="44"/>
      <c r="E265" s="44"/>
      <c r="F265" s="44"/>
      <c r="G265" s="44"/>
      <c r="H265" s="44"/>
      <c r="I265" s="44"/>
      <c r="J265" s="44"/>
      <c r="K265" s="44"/>
      <c r="L265" s="44"/>
      <c r="M265" s="44"/>
      <c r="N265" s="44"/>
      <c r="O265" s="44"/>
      <c r="P265" s="44"/>
      <c r="Q265" s="44"/>
      <c r="R265" s="44"/>
      <c r="S265" s="44"/>
      <c r="T265" s="44"/>
      <c r="U265" s="44"/>
      <c r="V265" s="44"/>
      <c r="W265" s="44"/>
      <c r="X265" s="44"/>
      <c r="Y265" s="44"/>
      <c r="Z265" s="44"/>
      <c r="AB265" s="37" t="str">
        <f aca="false">TRIM($A265&amp;"")</f>
        <v/>
      </c>
      <c r="AC265" s="37" t="str">
        <f aca="false">IF(AB265="","",IFERROR(INDEX('Account Map'!$B:$B,MATCH(AB265,'Account Map'!$A:$A,0)),""))</f>
        <v/>
      </c>
      <c r="AD265" s="37" t="str">
        <f aca="false">IF(AB265="","",IFERROR(INDEX('Account Map'!$C:$C,MATCH(AB265,'Account Map'!$A:$A,0)),""))</f>
        <v/>
      </c>
      <c r="AE265" s="37" t="n">
        <f aca="false">IF(AND(AB265&lt;&gt;"",AC265="",COUNT($B265:$Z265)&gt;0,LEFT(AB265,5)&lt;&gt;"Total",AB265&lt;&gt;"Gross Profit",AB265&lt;&gt;"Net Profit",AB265&lt;&gt;"Operating Profit"),1,0)</f>
        <v>0</v>
      </c>
    </row>
    <row r="266" customFormat="false" ht="15" hidden="false" customHeight="false" outlineLevel="0" collapsed="false">
      <c r="B266" s="44"/>
      <c r="C266" s="44"/>
      <c r="D266" s="44"/>
      <c r="E266" s="44"/>
      <c r="F266" s="44"/>
      <c r="G266" s="44"/>
      <c r="H266" s="44"/>
      <c r="I266" s="44"/>
      <c r="J266" s="44"/>
      <c r="K266" s="44"/>
      <c r="L266" s="44"/>
      <c r="M266" s="44"/>
      <c r="N266" s="44"/>
      <c r="O266" s="44"/>
      <c r="P266" s="44"/>
      <c r="Q266" s="44"/>
      <c r="R266" s="44"/>
      <c r="S266" s="44"/>
      <c r="T266" s="44"/>
      <c r="U266" s="44"/>
      <c r="V266" s="44"/>
      <c r="W266" s="44"/>
      <c r="X266" s="44"/>
      <c r="Y266" s="44"/>
      <c r="Z266" s="44"/>
      <c r="AB266" s="37" t="str">
        <f aca="false">TRIM($A266&amp;"")</f>
        <v/>
      </c>
      <c r="AC266" s="37" t="str">
        <f aca="false">IF(AB266="","",IFERROR(INDEX('Account Map'!$B:$B,MATCH(AB266,'Account Map'!$A:$A,0)),""))</f>
        <v/>
      </c>
      <c r="AD266" s="37" t="str">
        <f aca="false">IF(AB266="","",IFERROR(INDEX('Account Map'!$C:$C,MATCH(AB266,'Account Map'!$A:$A,0)),""))</f>
        <v/>
      </c>
      <c r="AE266" s="37" t="n">
        <f aca="false">IF(AND(AB266&lt;&gt;"",AC266="",COUNT($B266:$Z266)&gt;0,LEFT(AB266,5)&lt;&gt;"Total",AB266&lt;&gt;"Gross Profit",AB266&lt;&gt;"Net Profit",AB266&lt;&gt;"Operating Profit"),1,0)</f>
        <v>0</v>
      </c>
    </row>
    <row r="267" customFormat="false" ht="15" hidden="false" customHeight="false" outlineLevel="0" collapsed="false">
      <c r="B267" s="44"/>
      <c r="C267" s="44"/>
      <c r="D267" s="44"/>
      <c r="E267" s="44"/>
      <c r="F267" s="44"/>
      <c r="G267" s="44"/>
      <c r="H267" s="44"/>
      <c r="I267" s="44"/>
      <c r="J267" s="44"/>
      <c r="K267" s="44"/>
      <c r="L267" s="44"/>
      <c r="M267" s="44"/>
      <c r="N267" s="44"/>
      <c r="O267" s="44"/>
      <c r="P267" s="44"/>
      <c r="Q267" s="44"/>
      <c r="R267" s="44"/>
      <c r="S267" s="44"/>
      <c r="T267" s="44"/>
      <c r="U267" s="44"/>
      <c r="V267" s="44"/>
      <c r="W267" s="44"/>
      <c r="X267" s="44"/>
      <c r="Y267" s="44"/>
      <c r="Z267" s="44"/>
      <c r="AB267" s="37" t="str">
        <f aca="false">TRIM($A267&amp;"")</f>
        <v/>
      </c>
      <c r="AC267" s="37" t="str">
        <f aca="false">IF(AB267="","",IFERROR(INDEX('Account Map'!$B:$B,MATCH(AB267,'Account Map'!$A:$A,0)),""))</f>
        <v/>
      </c>
      <c r="AD267" s="37" t="str">
        <f aca="false">IF(AB267="","",IFERROR(INDEX('Account Map'!$C:$C,MATCH(AB267,'Account Map'!$A:$A,0)),""))</f>
        <v/>
      </c>
      <c r="AE267" s="37" t="n">
        <f aca="false">IF(AND(AB267&lt;&gt;"",AC267="",COUNT($B267:$Z267)&gt;0,LEFT(AB267,5)&lt;&gt;"Total",AB267&lt;&gt;"Gross Profit",AB267&lt;&gt;"Net Profit",AB267&lt;&gt;"Operating Profit"),1,0)</f>
        <v>0</v>
      </c>
    </row>
    <row r="268" customFormat="false" ht="15" hidden="false" customHeight="false" outlineLevel="0" collapsed="false">
      <c r="B268" s="44"/>
      <c r="C268" s="44"/>
      <c r="D268" s="44"/>
      <c r="E268" s="44"/>
      <c r="F268" s="44"/>
      <c r="G268" s="44"/>
      <c r="H268" s="44"/>
      <c r="I268" s="44"/>
      <c r="J268" s="44"/>
      <c r="K268" s="44"/>
      <c r="L268" s="44"/>
      <c r="M268" s="44"/>
      <c r="N268" s="44"/>
      <c r="O268" s="44"/>
      <c r="P268" s="44"/>
      <c r="Q268" s="44"/>
      <c r="R268" s="44"/>
      <c r="S268" s="44"/>
      <c r="T268" s="44"/>
      <c r="U268" s="44"/>
      <c r="V268" s="44"/>
      <c r="W268" s="44"/>
      <c r="X268" s="44"/>
      <c r="Y268" s="44"/>
      <c r="Z268" s="44"/>
      <c r="AB268" s="37" t="str">
        <f aca="false">TRIM($A268&amp;"")</f>
        <v/>
      </c>
      <c r="AC268" s="37" t="str">
        <f aca="false">IF(AB268="","",IFERROR(INDEX('Account Map'!$B:$B,MATCH(AB268,'Account Map'!$A:$A,0)),""))</f>
        <v/>
      </c>
      <c r="AD268" s="37" t="str">
        <f aca="false">IF(AB268="","",IFERROR(INDEX('Account Map'!$C:$C,MATCH(AB268,'Account Map'!$A:$A,0)),""))</f>
        <v/>
      </c>
      <c r="AE268" s="37" t="n">
        <f aca="false">IF(AND(AB268&lt;&gt;"",AC268="",COUNT($B268:$Z268)&gt;0,LEFT(AB268,5)&lt;&gt;"Total",AB268&lt;&gt;"Gross Profit",AB268&lt;&gt;"Net Profit",AB268&lt;&gt;"Operating Profit"),1,0)</f>
        <v>0</v>
      </c>
    </row>
    <row r="269" customFormat="false" ht="15" hidden="false" customHeight="false" outlineLevel="0" collapsed="false">
      <c r="B269" s="44"/>
      <c r="C269" s="44"/>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B269" s="37" t="str">
        <f aca="false">TRIM($A269&amp;"")</f>
        <v/>
      </c>
      <c r="AC269" s="37" t="str">
        <f aca="false">IF(AB269="","",IFERROR(INDEX('Account Map'!$B:$B,MATCH(AB269,'Account Map'!$A:$A,0)),""))</f>
        <v/>
      </c>
      <c r="AD269" s="37" t="str">
        <f aca="false">IF(AB269="","",IFERROR(INDEX('Account Map'!$C:$C,MATCH(AB269,'Account Map'!$A:$A,0)),""))</f>
        <v/>
      </c>
      <c r="AE269" s="37" t="n">
        <f aca="false">IF(AND(AB269&lt;&gt;"",AC269="",COUNT($B269:$Z269)&gt;0,LEFT(AB269,5)&lt;&gt;"Total",AB269&lt;&gt;"Gross Profit",AB269&lt;&gt;"Net Profit",AB269&lt;&gt;"Operating Profit"),1,0)</f>
        <v>0</v>
      </c>
    </row>
    <row r="270" customFormat="false" ht="15" hidden="false" customHeight="false" outlineLevel="0" collapsed="false">
      <c r="B270" s="44"/>
      <c r="C270" s="44"/>
      <c r="D270" s="44"/>
      <c r="E270" s="44"/>
      <c r="F270" s="44"/>
      <c r="G270" s="44"/>
      <c r="H270" s="44"/>
      <c r="I270" s="44"/>
      <c r="J270" s="44"/>
      <c r="K270" s="44"/>
      <c r="L270" s="44"/>
      <c r="M270" s="44"/>
      <c r="N270" s="44"/>
      <c r="O270" s="44"/>
      <c r="P270" s="44"/>
      <c r="Q270" s="44"/>
      <c r="R270" s="44"/>
      <c r="S270" s="44"/>
      <c r="T270" s="44"/>
      <c r="U270" s="44"/>
      <c r="V270" s="44"/>
      <c r="W270" s="44"/>
      <c r="X270" s="44"/>
      <c r="Y270" s="44"/>
      <c r="Z270" s="44"/>
      <c r="AB270" s="37" t="str">
        <f aca="false">TRIM($A270&amp;"")</f>
        <v/>
      </c>
      <c r="AC270" s="37" t="str">
        <f aca="false">IF(AB270="","",IFERROR(INDEX('Account Map'!$B:$B,MATCH(AB270,'Account Map'!$A:$A,0)),""))</f>
        <v/>
      </c>
      <c r="AD270" s="37" t="str">
        <f aca="false">IF(AB270="","",IFERROR(INDEX('Account Map'!$C:$C,MATCH(AB270,'Account Map'!$A:$A,0)),""))</f>
        <v/>
      </c>
      <c r="AE270" s="37" t="n">
        <f aca="false">IF(AND(AB270&lt;&gt;"",AC270="",COUNT($B270:$Z270)&gt;0,LEFT(AB270,5)&lt;&gt;"Total",AB270&lt;&gt;"Gross Profit",AB270&lt;&gt;"Net Profit",AB270&lt;&gt;"Operating Profit"),1,0)</f>
        <v>0</v>
      </c>
    </row>
    <row r="271" customFormat="false" ht="15" hidden="false" customHeight="false" outlineLevel="0" collapsed="false">
      <c r="B271" s="44"/>
      <c r="C271" s="44"/>
      <c r="D271" s="44"/>
      <c r="E271" s="44"/>
      <c r="F271" s="44"/>
      <c r="G271" s="44"/>
      <c r="H271" s="44"/>
      <c r="I271" s="44"/>
      <c r="J271" s="44"/>
      <c r="K271" s="44"/>
      <c r="L271" s="44"/>
      <c r="M271" s="44"/>
      <c r="N271" s="44"/>
      <c r="O271" s="44"/>
      <c r="P271" s="44"/>
      <c r="Q271" s="44"/>
      <c r="R271" s="44"/>
      <c r="S271" s="44"/>
      <c r="T271" s="44"/>
      <c r="U271" s="44"/>
      <c r="V271" s="44"/>
      <c r="W271" s="44"/>
      <c r="X271" s="44"/>
      <c r="Y271" s="44"/>
      <c r="Z271" s="44"/>
      <c r="AB271" s="37" t="str">
        <f aca="false">TRIM($A271&amp;"")</f>
        <v/>
      </c>
      <c r="AC271" s="37" t="str">
        <f aca="false">IF(AB271="","",IFERROR(INDEX('Account Map'!$B:$B,MATCH(AB271,'Account Map'!$A:$A,0)),""))</f>
        <v/>
      </c>
      <c r="AD271" s="37" t="str">
        <f aca="false">IF(AB271="","",IFERROR(INDEX('Account Map'!$C:$C,MATCH(AB271,'Account Map'!$A:$A,0)),""))</f>
        <v/>
      </c>
      <c r="AE271" s="37" t="n">
        <f aca="false">IF(AND(AB271&lt;&gt;"",AC271="",COUNT($B271:$Z271)&gt;0,LEFT(AB271,5)&lt;&gt;"Total",AB271&lt;&gt;"Gross Profit",AB271&lt;&gt;"Net Profit",AB271&lt;&gt;"Operating Profit"),1,0)</f>
        <v>0</v>
      </c>
    </row>
    <row r="272" customFormat="false" ht="15" hidden="false" customHeight="false" outlineLevel="0" collapsed="false">
      <c r="B272" s="44"/>
      <c r="C272" s="44"/>
      <c r="D272" s="44"/>
      <c r="E272" s="44"/>
      <c r="F272" s="44"/>
      <c r="G272" s="44"/>
      <c r="H272" s="44"/>
      <c r="I272" s="44"/>
      <c r="J272" s="44"/>
      <c r="K272" s="44"/>
      <c r="L272" s="44"/>
      <c r="M272" s="44"/>
      <c r="N272" s="44"/>
      <c r="O272" s="44"/>
      <c r="P272" s="44"/>
      <c r="Q272" s="44"/>
      <c r="R272" s="44"/>
      <c r="S272" s="44"/>
      <c r="T272" s="44"/>
      <c r="U272" s="44"/>
      <c r="V272" s="44"/>
      <c r="W272" s="44"/>
      <c r="X272" s="44"/>
      <c r="Y272" s="44"/>
      <c r="Z272" s="44"/>
      <c r="AB272" s="37" t="str">
        <f aca="false">TRIM($A272&amp;"")</f>
        <v/>
      </c>
      <c r="AC272" s="37" t="str">
        <f aca="false">IF(AB272="","",IFERROR(INDEX('Account Map'!$B:$B,MATCH(AB272,'Account Map'!$A:$A,0)),""))</f>
        <v/>
      </c>
      <c r="AD272" s="37" t="str">
        <f aca="false">IF(AB272="","",IFERROR(INDEX('Account Map'!$C:$C,MATCH(AB272,'Account Map'!$A:$A,0)),""))</f>
        <v/>
      </c>
      <c r="AE272" s="37" t="n">
        <f aca="false">IF(AND(AB272&lt;&gt;"",AC272="",COUNT($B272:$Z272)&gt;0,LEFT(AB272,5)&lt;&gt;"Total",AB272&lt;&gt;"Gross Profit",AB272&lt;&gt;"Net Profit",AB272&lt;&gt;"Operating Profit"),1,0)</f>
        <v>0</v>
      </c>
    </row>
    <row r="273" customFormat="false" ht="15" hidden="false" customHeight="false" outlineLevel="0" collapsed="false">
      <c r="B273" s="44"/>
      <c r="C273" s="44"/>
      <c r="D273" s="44"/>
      <c r="E273" s="44"/>
      <c r="F273" s="44"/>
      <c r="G273" s="44"/>
      <c r="H273" s="44"/>
      <c r="I273" s="44"/>
      <c r="J273" s="44"/>
      <c r="K273" s="44"/>
      <c r="L273" s="44"/>
      <c r="M273" s="44"/>
      <c r="N273" s="44"/>
      <c r="O273" s="44"/>
      <c r="P273" s="44"/>
      <c r="Q273" s="44"/>
      <c r="R273" s="44"/>
      <c r="S273" s="44"/>
      <c r="T273" s="44"/>
      <c r="U273" s="44"/>
      <c r="V273" s="44"/>
      <c r="W273" s="44"/>
      <c r="X273" s="44"/>
      <c r="Y273" s="44"/>
      <c r="Z273" s="44"/>
      <c r="AB273" s="37" t="str">
        <f aca="false">TRIM($A273&amp;"")</f>
        <v/>
      </c>
      <c r="AC273" s="37" t="str">
        <f aca="false">IF(AB273="","",IFERROR(INDEX('Account Map'!$B:$B,MATCH(AB273,'Account Map'!$A:$A,0)),""))</f>
        <v/>
      </c>
      <c r="AD273" s="37" t="str">
        <f aca="false">IF(AB273="","",IFERROR(INDEX('Account Map'!$C:$C,MATCH(AB273,'Account Map'!$A:$A,0)),""))</f>
        <v/>
      </c>
      <c r="AE273" s="37" t="n">
        <f aca="false">IF(AND(AB273&lt;&gt;"",AC273="",COUNT($B273:$Z273)&gt;0,LEFT(AB273,5)&lt;&gt;"Total",AB273&lt;&gt;"Gross Profit",AB273&lt;&gt;"Net Profit",AB273&lt;&gt;"Operating Profit"),1,0)</f>
        <v>0</v>
      </c>
    </row>
    <row r="274" customFormat="false" ht="15" hidden="false" customHeight="false" outlineLevel="0" collapsed="false">
      <c r="B274" s="44"/>
      <c r="C274" s="44"/>
      <c r="D274" s="44"/>
      <c r="E274" s="44"/>
      <c r="F274" s="44"/>
      <c r="G274" s="44"/>
      <c r="H274" s="44"/>
      <c r="I274" s="44"/>
      <c r="J274" s="44"/>
      <c r="K274" s="44"/>
      <c r="L274" s="44"/>
      <c r="M274" s="44"/>
      <c r="N274" s="44"/>
      <c r="O274" s="44"/>
      <c r="P274" s="44"/>
      <c r="Q274" s="44"/>
      <c r="R274" s="44"/>
      <c r="S274" s="44"/>
      <c r="T274" s="44"/>
      <c r="U274" s="44"/>
      <c r="V274" s="44"/>
      <c r="W274" s="44"/>
      <c r="X274" s="44"/>
      <c r="Y274" s="44"/>
      <c r="Z274" s="44"/>
      <c r="AB274" s="37" t="str">
        <f aca="false">TRIM($A274&amp;"")</f>
        <v/>
      </c>
      <c r="AC274" s="37" t="str">
        <f aca="false">IF(AB274="","",IFERROR(INDEX('Account Map'!$B:$B,MATCH(AB274,'Account Map'!$A:$A,0)),""))</f>
        <v/>
      </c>
      <c r="AD274" s="37" t="str">
        <f aca="false">IF(AB274="","",IFERROR(INDEX('Account Map'!$C:$C,MATCH(AB274,'Account Map'!$A:$A,0)),""))</f>
        <v/>
      </c>
      <c r="AE274" s="37" t="n">
        <f aca="false">IF(AND(AB274&lt;&gt;"",AC274="",COUNT($B274:$Z274)&gt;0,LEFT(AB274,5)&lt;&gt;"Total",AB274&lt;&gt;"Gross Profit",AB274&lt;&gt;"Net Profit",AB274&lt;&gt;"Operating Profit"),1,0)</f>
        <v>0</v>
      </c>
    </row>
    <row r="275" customFormat="false" ht="15" hidden="false" customHeight="false" outlineLevel="0" collapsed="false">
      <c r="B275" s="44"/>
      <c r="C275" s="44"/>
      <c r="D275" s="44"/>
      <c r="E275" s="44"/>
      <c r="F275" s="44"/>
      <c r="G275" s="44"/>
      <c r="H275" s="44"/>
      <c r="I275" s="44"/>
      <c r="J275" s="44"/>
      <c r="K275" s="44"/>
      <c r="L275" s="44"/>
      <c r="M275" s="44"/>
      <c r="N275" s="44"/>
      <c r="O275" s="44"/>
      <c r="P275" s="44"/>
      <c r="Q275" s="44"/>
      <c r="R275" s="44"/>
      <c r="S275" s="44"/>
      <c r="T275" s="44"/>
      <c r="U275" s="44"/>
      <c r="V275" s="44"/>
      <c r="W275" s="44"/>
      <c r="X275" s="44"/>
      <c r="Y275" s="44"/>
      <c r="Z275" s="44"/>
      <c r="AB275" s="37" t="str">
        <f aca="false">TRIM($A275&amp;"")</f>
        <v/>
      </c>
      <c r="AC275" s="37" t="str">
        <f aca="false">IF(AB275="","",IFERROR(INDEX('Account Map'!$B:$B,MATCH(AB275,'Account Map'!$A:$A,0)),""))</f>
        <v/>
      </c>
      <c r="AD275" s="37" t="str">
        <f aca="false">IF(AB275="","",IFERROR(INDEX('Account Map'!$C:$C,MATCH(AB275,'Account Map'!$A:$A,0)),""))</f>
        <v/>
      </c>
      <c r="AE275" s="37" t="n">
        <f aca="false">IF(AND(AB275&lt;&gt;"",AC275="",COUNT($B275:$Z275)&gt;0,LEFT(AB275,5)&lt;&gt;"Total",AB275&lt;&gt;"Gross Profit",AB275&lt;&gt;"Net Profit",AB275&lt;&gt;"Operating Profit"),1,0)</f>
        <v>0</v>
      </c>
    </row>
    <row r="276" customFormat="false" ht="15" hidden="false" customHeight="false" outlineLevel="0" collapsed="false">
      <c r="B276" s="44"/>
      <c r="C276" s="44"/>
      <c r="D276" s="44"/>
      <c r="E276" s="44"/>
      <c r="F276" s="44"/>
      <c r="G276" s="44"/>
      <c r="H276" s="44"/>
      <c r="I276" s="44"/>
      <c r="J276" s="44"/>
      <c r="K276" s="44"/>
      <c r="L276" s="44"/>
      <c r="M276" s="44"/>
      <c r="N276" s="44"/>
      <c r="O276" s="44"/>
      <c r="P276" s="44"/>
      <c r="Q276" s="44"/>
      <c r="R276" s="44"/>
      <c r="S276" s="44"/>
      <c r="T276" s="44"/>
      <c r="U276" s="44"/>
      <c r="V276" s="44"/>
      <c r="W276" s="44"/>
      <c r="X276" s="44"/>
      <c r="Y276" s="44"/>
      <c r="Z276" s="44"/>
      <c r="AB276" s="37" t="str">
        <f aca="false">TRIM($A276&amp;"")</f>
        <v/>
      </c>
      <c r="AC276" s="37" t="str">
        <f aca="false">IF(AB276="","",IFERROR(INDEX('Account Map'!$B:$B,MATCH(AB276,'Account Map'!$A:$A,0)),""))</f>
        <v/>
      </c>
      <c r="AD276" s="37" t="str">
        <f aca="false">IF(AB276="","",IFERROR(INDEX('Account Map'!$C:$C,MATCH(AB276,'Account Map'!$A:$A,0)),""))</f>
        <v/>
      </c>
      <c r="AE276" s="37" t="n">
        <f aca="false">IF(AND(AB276&lt;&gt;"",AC276="",COUNT($B276:$Z276)&gt;0,LEFT(AB276,5)&lt;&gt;"Total",AB276&lt;&gt;"Gross Profit",AB276&lt;&gt;"Net Profit",AB276&lt;&gt;"Operating Profit"),1,0)</f>
        <v>0</v>
      </c>
    </row>
    <row r="277" customFormat="false" ht="15" hidden="false" customHeight="false" outlineLevel="0" collapsed="false">
      <c r="B277" s="44"/>
      <c r="C277" s="44"/>
      <c r="D277" s="44"/>
      <c r="E277" s="44"/>
      <c r="F277" s="44"/>
      <c r="G277" s="44"/>
      <c r="H277" s="44"/>
      <c r="I277" s="44"/>
      <c r="J277" s="44"/>
      <c r="K277" s="44"/>
      <c r="L277" s="44"/>
      <c r="M277" s="44"/>
      <c r="N277" s="44"/>
      <c r="O277" s="44"/>
      <c r="P277" s="44"/>
      <c r="Q277" s="44"/>
      <c r="R277" s="44"/>
      <c r="S277" s="44"/>
      <c r="T277" s="44"/>
      <c r="U277" s="44"/>
      <c r="V277" s="44"/>
      <c r="W277" s="44"/>
      <c r="X277" s="44"/>
      <c r="Y277" s="44"/>
      <c r="Z277" s="44"/>
      <c r="AB277" s="37" t="str">
        <f aca="false">TRIM($A277&amp;"")</f>
        <v/>
      </c>
      <c r="AC277" s="37" t="str">
        <f aca="false">IF(AB277="","",IFERROR(INDEX('Account Map'!$B:$B,MATCH(AB277,'Account Map'!$A:$A,0)),""))</f>
        <v/>
      </c>
      <c r="AD277" s="37" t="str">
        <f aca="false">IF(AB277="","",IFERROR(INDEX('Account Map'!$C:$C,MATCH(AB277,'Account Map'!$A:$A,0)),""))</f>
        <v/>
      </c>
      <c r="AE277" s="37" t="n">
        <f aca="false">IF(AND(AB277&lt;&gt;"",AC277="",COUNT($B277:$Z277)&gt;0,LEFT(AB277,5)&lt;&gt;"Total",AB277&lt;&gt;"Gross Profit",AB277&lt;&gt;"Net Profit",AB277&lt;&gt;"Operating Profit"),1,0)</f>
        <v>0</v>
      </c>
    </row>
    <row r="278" customFormat="false" ht="15" hidden="false" customHeight="false" outlineLevel="0" collapsed="false">
      <c r="B278" s="44"/>
      <c r="C278" s="44"/>
      <c r="D278" s="44"/>
      <c r="E278" s="44"/>
      <c r="F278" s="44"/>
      <c r="G278" s="44"/>
      <c r="H278" s="44"/>
      <c r="I278" s="44"/>
      <c r="J278" s="44"/>
      <c r="K278" s="44"/>
      <c r="L278" s="44"/>
      <c r="M278" s="44"/>
      <c r="N278" s="44"/>
      <c r="O278" s="44"/>
      <c r="P278" s="44"/>
      <c r="Q278" s="44"/>
      <c r="R278" s="44"/>
      <c r="S278" s="44"/>
      <c r="T278" s="44"/>
      <c r="U278" s="44"/>
      <c r="V278" s="44"/>
      <c r="W278" s="44"/>
      <c r="X278" s="44"/>
      <c r="Y278" s="44"/>
      <c r="Z278" s="44"/>
      <c r="AB278" s="37" t="str">
        <f aca="false">TRIM($A278&amp;"")</f>
        <v/>
      </c>
      <c r="AC278" s="37" t="str">
        <f aca="false">IF(AB278="","",IFERROR(INDEX('Account Map'!$B:$B,MATCH(AB278,'Account Map'!$A:$A,0)),""))</f>
        <v/>
      </c>
      <c r="AD278" s="37" t="str">
        <f aca="false">IF(AB278="","",IFERROR(INDEX('Account Map'!$C:$C,MATCH(AB278,'Account Map'!$A:$A,0)),""))</f>
        <v/>
      </c>
      <c r="AE278" s="37" t="n">
        <f aca="false">IF(AND(AB278&lt;&gt;"",AC278="",COUNT($B278:$Z278)&gt;0,LEFT(AB278,5)&lt;&gt;"Total",AB278&lt;&gt;"Gross Profit",AB278&lt;&gt;"Net Profit",AB278&lt;&gt;"Operating Profit"),1,0)</f>
        <v>0</v>
      </c>
    </row>
    <row r="279" customFormat="false" ht="15" hidden="false" customHeight="false" outlineLevel="0" collapsed="false">
      <c r="B279" s="44"/>
      <c r="C279" s="44"/>
      <c r="D279" s="44"/>
      <c r="E279" s="44"/>
      <c r="F279" s="44"/>
      <c r="G279" s="44"/>
      <c r="H279" s="44"/>
      <c r="I279" s="44"/>
      <c r="J279" s="44"/>
      <c r="K279" s="44"/>
      <c r="L279" s="44"/>
      <c r="M279" s="44"/>
      <c r="N279" s="44"/>
      <c r="O279" s="44"/>
      <c r="P279" s="44"/>
      <c r="Q279" s="44"/>
      <c r="R279" s="44"/>
      <c r="S279" s="44"/>
      <c r="T279" s="44"/>
      <c r="U279" s="44"/>
      <c r="V279" s="44"/>
      <c r="W279" s="44"/>
      <c r="X279" s="44"/>
      <c r="Y279" s="44"/>
      <c r="Z279" s="44"/>
      <c r="AB279" s="37" t="str">
        <f aca="false">TRIM($A279&amp;"")</f>
        <v/>
      </c>
      <c r="AC279" s="37" t="str">
        <f aca="false">IF(AB279="","",IFERROR(INDEX('Account Map'!$B:$B,MATCH(AB279,'Account Map'!$A:$A,0)),""))</f>
        <v/>
      </c>
      <c r="AD279" s="37" t="str">
        <f aca="false">IF(AB279="","",IFERROR(INDEX('Account Map'!$C:$C,MATCH(AB279,'Account Map'!$A:$A,0)),""))</f>
        <v/>
      </c>
      <c r="AE279" s="37" t="n">
        <f aca="false">IF(AND(AB279&lt;&gt;"",AC279="",COUNT($B279:$Z279)&gt;0,LEFT(AB279,5)&lt;&gt;"Total",AB279&lt;&gt;"Gross Profit",AB279&lt;&gt;"Net Profit",AB279&lt;&gt;"Operating Profit"),1,0)</f>
        <v>0</v>
      </c>
    </row>
    <row r="280" customFormat="false" ht="15" hidden="false" customHeight="false" outlineLevel="0" collapsed="false">
      <c r="B280" s="44"/>
      <c r="C280" s="44"/>
      <c r="D280" s="44"/>
      <c r="E280" s="44"/>
      <c r="F280" s="44"/>
      <c r="G280" s="44"/>
      <c r="H280" s="44"/>
      <c r="I280" s="44"/>
      <c r="J280" s="44"/>
      <c r="K280" s="44"/>
      <c r="L280" s="44"/>
      <c r="M280" s="44"/>
      <c r="N280" s="44"/>
      <c r="O280" s="44"/>
      <c r="P280" s="44"/>
      <c r="Q280" s="44"/>
      <c r="R280" s="44"/>
      <c r="S280" s="44"/>
      <c r="T280" s="44"/>
      <c r="U280" s="44"/>
      <c r="V280" s="44"/>
      <c r="W280" s="44"/>
      <c r="X280" s="44"/>
      <c r="Y280" s="44"/>
      <c r="Z280" s="44"/>
      <c r="AB280" s="37" t="str">
        <f aca="false">TRIM($A280&amp;"")</f>
        <v/>
      </c>
      <c r="AC280" s="37" t="str">
        <f aca="false">IF(AB280="","",IFERROR(INDEX('Account Map'!$B:$B,MATCH(AB280,'Account Map'!$A:$A,0)),""))</f>
        <v/>
      </c>
      <c r="AD280" s="37" t="str">
        <f aca="false">IF(AB280="","",IFERROR(INDEX('Account Map'!$C:$C,MATCH(AB280,'Account Map'!$A:$A,0)),""))</f>
        <v/>
      </c>
      <c r="AE280" s="37" t="n">
        <f aca="false">IF(AND(AB280&lt;&gt;"",AC280="",COUNT($B280:$Z280)&gt;0,LEFT(AB280,5)&lt;&gt;"Total",AB280&lt;&gt;"Gross Profit",AB280&lt;&gt;"Net Profit",AB280&lt;&gt;"Operating Profit"),1,0)</f>
        <v>0</v>
      </c>
    </row>
    <row r="281" customFormat="false" ht="15" hidden="false" customHeight="false" outlineLevel="0" collapsed="false">
      <c r="B281" s="44"/>
      <c r="C281" s="44"/>
      <c r="D281" s="44"/>
      <c r="E281" s="44"/>
      <c r="F281" s="44"/>
      <c r="G281" s="44"/>
      <c r="H281" s="44"/>
      <c r="I281" s="44"/>
      <c r="J281" s="44"/>
      <c r="K281" s="44"/>
      <c r="L281" s="44"/>
      <c r="M281" s="44"/>
      <c r="N281" s="44"/>
      <c r="O281" s="44"/>
      <c r="P281" s="44"/>
      <c r="Q281" s="44"/>
      <c r="R281" s="44"/>
      <c r="S281" s="44"/>
      <c r="T281" s="44"/>
      <c r="U281" s="44"/>
      <c r="V281" s="44"/>
      <c r="W281" s="44"/>
      <c r="X281" s="44"/>
      <c r="Y281" s="44"/>
      <c r="Z281" s="44"/>
      <c r="AB281" s="37" t="str">
        <f aca="false">TRIM($A281&amp;"")</f>
        <v/>
      </c>
      <c r="AC281" s="37" t="str">
        <f aca="false">IF(AB281="","",IFERROR(INDEX('Account Map'!$B:$B,MATCH(AB281,'Account Map'!$A:$A,0)),""))</f>
        <v/>
      </c>
      <c r="AD281" s="37" t="str">
        <f aca="false">IF(AB281="","",IFERROR(INDEX('Account Map'!$C:$C,MATCH(AB281,'Account Map'!$A:$A,0)),""))</f>
        <v/>
      </c>
      <c r="AE281" s="37" t="n">
        <f aca="false">IF(AND(AB281&lt;&gt;"",AC281="",COUNT($B281:$Z281)&gt;0,LEFT(AB281,5)&lt;&gt;"Total",AB281&lt;&gt;"Gross Profit",AB281&lt;&gt;"Net Profit",AB281&lt;&gt;"Operating Profit"),1,0)</f>
        <v>0</v>
      </c>
    </row>
    <row r="282" customFormat="false" ht="15" hidden="false" customHeight="false" outlineLevel="0" collapsed="false">
      <c r="B282" s="44"/>
      <c r="C282" s="44"/>
      <c r="D282" s="44"/>
      <c r="E282" s="44"/>
      <c r="F282" s="44"/>
      <c r="G282" s="44"/>
      <c r="H282" s="44"/>
      <c r="I282" s="44"/>
      <c r="J282" s="44"/>
      <c r="K282" s="44"/>
      <c r="L282" s="44"/>
      <c r="M282" s="44"/>
      <c r="N282" s="44"/>
      <c r="O282" s="44"/>
      <c r="P282" s="44"/>
      <c r="Q282" s="44"/>
      <c r="R282" s="44"/>
      <c r="S282" s="44"/>
      <c r="T282" s="44"/>
      <c r="U282" s="44"/>
      <c r="V282" s="44"/>
      <c r="W282" s="44"/>
      <c r="X282" s="44"/>
      <c r="Y282" s="44"/>
      <c r="Z282" s="44"/>
      <c r="AB282" s="37" t="str">
        <f aca="false">TRIM($A282&amp;"")</f>
        <v/>
      </c>
      <c r="AC282" s="37" t="str">
        <f aca="false">IF(AB282="","",IFERROR(INDEX('Account Map'!$B:$B,MATCH(AB282,'Account Map'!$A:$A,0)),""))</f>
        <v/>
      </c>
      <c r="AD282" s="37" t="str">
        <f aca="false">IF(AB282="","",IFERROR(INDEX('Account Map'!$C:$C,MATCH(AB282,'Account Map'!$A:$A,0)),""))</f>
        <v/>
      </c>
      <c r="AE282" s="37" t="n">
        <f aca="false">IF(AND(AB282&lt;&gt;"",AC282="",COUNT($B282:$Z282)&gt;0,LEFT(AB282,5)&lt;&gt;"Total",AB282&lt;&gt;"Gross Profit",AB282&lt;&gt;"Net Profit",AB282&lt;&gt;"Operating Profit"),1,0)</f>
        <v>0</v>
      </c>
    </row>
    <row r="283" customFormat="false" ht="15" hidden="false" customHeight="false" outlineLevel="0" collapsed="false">
      <c r="B283" s="44"/>
      <c r="C283" s="44"/>
      <c r="D283" s="44"/>
      <c r="E283" s="44"/>
      <c r="F283" s="44"/>
      <c r="G283" s="44"/>
      <c r="H283" s="44"/>
      <c r="I283" s="44"/>
      <c r="J283" s="44"/>
      <c r="K283" s="44"/>
      <c r="L283" s="44"/>
      <c r="M283" s="44"/>
      <c r="N283" s="44"/>
      <c r="O283" s="44"/>
      <c r="P283" s="44"/>
      <c r="Q283" s="44"/>
      <c r="R283" s="44"/>
      <c r="S283" s="44"/>
      <c r="T283" s="44"/>
      <c r="U283" s="44"/>
      <c r="V283" s="44"/>
      <c r="W283" s="44"/>
      <c r="X283" s="44"/>
      <c r="Y283" s="44"/>
      <c r="Z283" s="44"/>
      <c r="AB283" s="37" t="str">
        <f aca="false">TRIM($A283&amp;"")</f>
        <v/>
      </c>
      <c r="AC283" s="37" t="str">
        <f aca="false">IF(AB283="","",IFERROR(INDEX('Account Map'!$B:$B,MATCH(AB283,'Account Map'!$A:$A,0)),""))</f>
        <v/>
      </c>
      <c r="AD283" s="37" t="str">
        <f aca="false">IF(AB283="","",IFERROR(INDEX('Account Map'!$C:$C,MATCH(AB283,'Account Map'!$A:$A,0)),""))</f>
        <v/>
      </c>
      <c r="AE283" s="37" t="n">
        <f aca="false">IF(AND(AB283&lt;&gt;"",AC283="",COUNT($B283:$Z283)&gt;0,LEFT(AB283,5)&lt;&gt;"Total",AB283&lt;&gt;"Gross Profit",AB283&lt;&gt;"Net Profit",AB283&lt;&gt;"Operating Profit"),1,0)</f>
        <v>0</v>
      </c>
    </row>
    <row r="284" customFormat="false" ht="15" hidden="false" customHeight="false" outlineLevel="0" collapsed="false">
      <c r="B284" s="44"/>
      <c r="C284" s="44"/>
      <c r="D284" s="44"/>
      <c r="E284" s="44"/>
      <c r="F284" s="44"/>
      <c r="G284" s="44"/>
      <c r="H284" s="44"/>
      <c r="I284" s="44"/>
      <c r="J284" s="44"/>
      <c r="K284" s="44"/>
      <c r="L284" s="44"/>
      <c r="M284" s="44"/>
      <c r="N284" s="44"/>
      <c r="O284" s="44"/>
      <c r="P284" s="44"/>
      <c r="Q284" s="44"/>
      <c r="R284" s="44"/>
      <c r="S284" s="44"/>
      <c r="T284" s="44"/>
      <c r="U284" s="44"/>
      <c r="V284" s="44"/>
      <c r="W284" s="44"/>
      <c r="X284" s="44"/>
      <c r="Y284" s="44"/>
      <c r="Z284" s="44"/>
      <c r="AB284" s="37" t="str">
        <f aca="false">TRIM($A284&amp;"")</f>
        <v/>
      </c>
      <c r="AC284" s="37" t="str">
        <f aca="false">IF(AB284="","",IFERROR(INDEX('Account Map'!$B:$B,MATCH(AB284,'Account Map'!$A:$A,0)),""))</f>
        <v/>
      </c>
      <c r="AD284" s="37" t="str">
        <f aca="false">IF(AB284="","",IFERROR(INDEX('Account Map'!$C:$C,MATCH(AB284,'Account Map'!$A:$A,0)),""))</f>
        <v/>
      </c>
      <c r="AE284" s="37" t="n">
        <f aca="false">IF(AND(AB284&lt;&gt;"",AC284="",COUNT($B284:$Z284)&gt;0,LEFT(AB284,5)&lt;&gt;"Total",AB284&lt;&gt;"Gross Profit",AB284&lt;&gt;"Net Profit",AB284&lt;&gt;"Operating Profit"),1,0)</f>
        <v>0</v>
      </c>
    </row>
    <row r="285" customFormat="false" ht="15" hidden="false" customHeight="false" outlineLevel="0" collapsed="false">
      <c r="B285" s="44"/>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c r="AB285" s="37" t="str">
        <f aca="false">TRIM($A285&amp;"")</f>
        <v/>
      </c>
      <c r="AC285" s="37" t="str">
        <f aca="false">IF(AB285="","",IFERROR(INDEX('Account Map'!$B:$B,MATCH(AB285,'Account Map'!$A:$A,0)),""))</f>
        <v/>
      </c>
      <c r="AD285" s="37" t="str">
        <f aca="false">IF(AB285="","",IFERROR(INDEX('Account Map'!$C:$C,MATCH(AB285,'Account Map'!$A:$A,0)),""))</f>
        <v/>
      </c>
      <c r="AE285" s="37" t="n">
        <f aca="false">IF(AND(AB285&lt;&gt;"",AC285="",COUNT($B285:$Z285)&gt;0,LEFT(AB285,5)&lt;&gt;"Total",AB285&lt;&gt;"Gross Profit",AB285&lt;&gt;"Net Profit",AB285&lt;&gt;"Operating Profit"),1,0)</f>
        <v>0</v>
      </c>
    </row>
    <row r="286" customFormat="false" ht="15" hidden="false" customHeight="false" outlineLevel="0" collapsed="false">
      <c r="B286" s="44"/>
      <c r="C286" s="44"/>
      <c r="D286" s="44"/>
      <c r="E286" s="44"/>
      <c r="F286" s="44"/>
      <c r="G286" s="44"/>
      <c r="H286" s="44"/>
      <c r="I286" s="44"/>
      <c r="J286" s="44"/>
      <c r="K286" s="44"/>
      <c r="L286" s="44"/>
      <c r="M286" s="44"/>
      <c r="N286" s="44"/>
      <c r="O286" s="44"/>
      <c r="P286" s="44"/>
      <c r="Q286" s="44"/>
      <c r="R286" s="44"/>
      <c r="S286" s="44"/>
      <c r="T286" s="44"/>
      <c r="U286" s="44"/>
      <c r="V286" s="44"/>
      <c r="W286" s="44"/>
      <c r="X286" s="44"/>
      <c r="Y286" s="44"/>
      <c r="Z286" s="44"/>
      <c r="AB286" s="37" t="str">
        <f aca="false">TRIM($A286&amp;"")</f>
        <v/>
      </c>
      <c r="AC286" s="37" t="str">
        <f aca="false">IF(AB286="","",IFERROR(INDEX('Account Map'!$B:$B,MATCH(AB286,'Account Map'!$A:$A,0)),""))</f>
        <v/>
      </c>
      <c r="AD286" s="37" t="str">
        <f aca="false">IF(AB286="","",IFERROR(INDEX('Account Map'!$C:$C,MATCH(AB286,'Account Map'!$A:$A,0)),""))</f>
        <v/>
      </c>
      <c r="AE286" s="37" t="n">
        <f aca="false">IF(AND(AB286&lt;&gt;"",AC286="",COUNT($B286:$Z286)&gt;0,LEFT(AB286,5)&lt;&gt;"Total",AB286&lt;&gt;"Gross Profit",AB286&lt;&gt;"Net Profit",AB286&lt;&gt;"Operating Profit"),1,0)</f>
        <v>0</v>
      </c>
    </row>
    <row r="287" customFormat="false" ht="15" hidden="false" customHeight="false" outlineLevel="0" collapsed="false">
      <c r="B287" s="44"/>
      <c r="C287" s="44"/>
      <c r="D287" s="44"/>
      <c r="E287" s="44"/>
      <c r="F287" s="44"/>
      <c r="G287" s="44"/>
      <c r="H287" s="44"/>
      <c r="I287" s="44"/>
      <c r="J287" s="44"/>
      <c r="K287" s="44"/>
      <c r="L287" s="44"/>
      <c r="M287" s="44"/>
      <c r="N287" s="44"/>
      <c r="O287" s="44"/>
      <c r="P287" s="44"/>
      <c r="Q287" s="44"/>
      <c r="R287" s="44"/>
      <c r="S287" s="44"/>
      <c r="T287" s="44"/>
      <c r="U287" s="44"/>
      <c r="V287" s="44"/>
      <c r="W287" s="44"/>
      <c r="X287" s="44"/>
      <c r="Y287" s="44"/>
      <c r="Z287" s="44"/>
      <c r="AB287" s="37" t="str">
        <f aca="false">TRIM($A287&amp;"")</f>
        <v/>
      </c>
      <c r="AC287" s="37" t="str">
        <f aca="false">IF(AB287="","",IFERROR(INDEX('Account Map'!$B:$B,MATCH(AB287,'Account Map'!$A:$A,0)),""))</f>
        <v/>
      </c>
      <c r="AD287" s="37" t="str">
        <f aca="false">IF(AB287="","",IFERROR(INDEX('Account Map'!$C:$C,MATCH(AB287,'Account Map'!$A:$A,0)),""))</f>
        <v/>
      </c>
      <c r="AE287" s="37" t="n">
        <f aca="false">IF(AND(AB287&lt;&gt;"",AC287="",COUNT($B287:$Z287)&gt;0,LEFT(AB287,5)&lt;&gt;"Total",AB287&lt;&gt;"Gross Profit",AB287&lt;&gt;"Net Profit",AB287&lt;&gt;"Operating Profit"),1,0)</f>
        <v>0</v>
      </c>
    </row>
    <row r="288" customFormat="false" ht="15" hidden="false" customHeight="false" outlineLevel="0" collapsed="false">
      <c r="B288" s="44"/>
      <c r="C288" s="44"/>
      <c r="D288" s="44"/>
      <c r="E288" s="44"/>
      <c r="F288" s="44"/>
      <c r="G288" s="44"/>
      <c r="H288" s="44"/>
      <c r="I288" s="44"/>
      <c r="J288" s="44"/>
      <c r="K288" s="44"/>
      <c r="L288" s="44"/>
      <c r="M288" s="44"/>
      <c r="N288" s="44"/>
      <c r="O288" s="44"/>
      <c r="P288" s="44"/>
      <c r="Q288" s="44"/>
      <c r="R288" s="44"/>
      <c r="S288" s="44"/>
      <c r="T288" s="44"/>
      <c r="U288" s="44"/>
      <c r="V288" s="44"/>
      <c r="W288" s="44"/>
      <c r="X288" s="44"/>
      <c r="Y288" s="44"/>
      <c r="Z288" s="44"/>
      <c r="AB288" s="37" t="str">
        <f aca="false">TRIM($A288&amp;"")</f>
        <v/>
      </c>
      <c r="AC288" s="37" t="str">
        <f aca="false">IF(AB288="","",IFERROR(INDEX('Account Map'!$B:$B,MATCH(AB288,'Account Map'!$A:$A,0)),""))</f>
        <v/>
      </c>
      <c r="AD288" s="37" t="str">
        <f aca="false">IF(AB288="","",IFERROR(INDEX('Account Map'!$C:$C,MATCH(AB288,'Account Map'!$A:$A,0)),""))</f>
        <v/>
      </c>
      <c r="AE288" s="37" t="n">
        <f aca="false">IF(AND(AB288&lt;&gt;"",AC288="",COUNT($B288:$Z288)&gt;0,LEFT(AB288,5)&lt;&gt;"Total",AB288&lt;&gt;"Gross Profit",AB288&lt;&gt;"Net Profit",AB288&lt;&gt;"Operating Profit"),1,0)</f>
        <v>0</v>
      </c>
    </row>
    <row r="289" customFormat="false" ht="15" hidden="false" customHeight="false" outlineLevel="0" collapsed="false">
      <c r="B289" s="44"/>
      <c r="C289" s="44"/>
      <c r="D289" s="44"/>
      <c r="E289" s="44"/>
      <c r="F289" s="44"/>
      <c r="G289" s="44"/>
      <c r="H289" s="44"/>
      <c r="I289" s="44"/>
      <c r="J289" s="44"/>
      <c r="K289" s="44"/>
      <c r="L289" s="44"/>
      <c r="M289" s="44"/>
      <c r="N289" s="44"/>
      <c r="O289" s="44"/>
      <c r="P289" s="44"/>
      <c r="Q289" s="44"/>
      <c r="R289" s="44"/>
      <c r="S289" s="44"/>
      <c r="T289" s="44"/>
      <c r="U289" s="44"/>
      <c r="V289" s="44"/>
      <c r="W289" s="44"/>
      <c r="X289" s="44"/>
      <c r="Y289" s="44"/>
      <c r="Z289" s="44"/>
      <c r="AB289" s="37" t="str">
        <f aca="false">TRIM($A289&amp;"")</f>
        <v/>
      </c>
      <c r="AC289" s="37" t="str">
        <f aca="false">IF(AB289="","",IFERROR(INDEX('Account Map'!$B:$B,MATCH(AB289,'Account Map'!$A:$A,0)),""))</f>
        <v/>
      </c>
      <c r="AD289" s="37" t="str">
        <f aca="false">IF(AB289="","",IFERROR(INDEX('Account Map'!$C:$C,MATCH(AB289,'Account Map'!$A:$A,0)),""))</f>
        <v/>
      </c>
      <c r="AE289" s="37" t="n">
        <f aca="false">IF(AND(AB289&lt;&gt;"",AC289="",COUNT($B289:$Z289)&gt;0,LEFT(AB289,5)&lt;&gt;"Total",AB289&lt;&gt;"Gross Profit",AB289&lt;&gt;"Net Profit",AB289&lt;&gt;"Operating Profit"),1,0)</f>
        <v>0</v>
      </c>
    </row>
    <row r="290" customFormat="false" ht="15" hidden="false" customHeight="false" outlineLevel="0" collapsed="false">
      <c r="B290" s="44"/>
      <c r="C290" s="44"/>
      <c r="D290" s="44"/>
      <c r="E290" s="44"/>
      <c r="F290" s="44"/>
      <c r="G290" s="44"/>
      <c r="H290" s="44"/>
      <c r="I290" s="44"/>
      <c r="J290" s="44"/>
      <c r="K290" s="44"/>
      <c r="L290" s="44"/>
      <c r="M290" s="44"/>
      <c r="N290" s="44"/>
      <c r="O290" s="44"/>
      <c r="P290" s="44"/>
      <c r="Q290" s="44"/>
      <c r="R290" s="44"/>
      <c r="S290" s="44"/>
      <c r="T290" s="44"/>
      <c r="U290" s="44"/>
      <c r="V290" s="44"/>
      <c r="W290" s="44"/>
      <c r="X290" s="44"/>
      <c r="Y290" s="44"/>
      <c r="Z290" s="44"/>
      <c r="AB290" s="37" t="str">
        <f aca="false">TRIM($A290&amp;"")</f>
        <v/>
      </c>
      <c r="AC290" s="37" t="str">
        <f aca="false">IF(AB290="","",IFERROR(INDEX('Account Map'!$B:$B,MATCH(AB290,'Account Map'!$A:$A,0)),""))</f>
        <v/>
      </c>
      <c r="AD290" s="37" t="str">
        <f aca="false">IF(AB290="","",IFERROR(INDEX('Account Map'!$C:$C,MATCH(AB290,'Account Map'!$A:$A,0)),""))</f>
        <v/>
      </c>
      <c r="AE290" s="37" t="n">
        <f aca="false">IF(AND(AB290&lt;&gt;"",AC290="",COUNT($B290:$Z290)&gt;0,LEFT(AB290,5)&lt;&gt;"Total",AB290&lt;&gt;"Gross Profit",AB290&lt;&gt;"Net Profit",AB290&lt;&gt;"Operating Profit"),1,0)</f>
        <v>0</v>
      </c>
    </row>
    <row r="291" customFormat="false" ht="15" hidden="false" customHeight="false" outlineLevel="0" collapsed="false">
      <c r="B291" s="44"/>
      <c r="C291" s="44"/>
      <c r="D291" s="44"/>
      <c r="E291" s="44"/>
      <c r="F291" s="44"/>
      <c r="G291" s="44"/>
      <c r="H291" s="44"/>
      <c r="I291" s="44"/>
      <c r="J291" s="44"/>
      <c r="K291" s="44"/>
      <c r="L291" s="44"/>
      <c r="M291" s="44"/>
      <c r="N291" s="44"/>
      <c r="O291" s="44"/>
      <c r="P291" s="44"/>
      <c r="Q291" s="44"/>
      <c r="R291" s="44"/>
      <c r="S291" s="44"/>
      <c r="T291" s="44"/>
      <c r="U291" s="44"/>
      <c r="V291" s="44"/>
      <c r="W291" s="44"/>
      <c r="X291" s="44"/>
      <c r="Y291" s="44"/>
      <c r="Z291" s="44"/>
      <c r="AB291" s="37" t="str">
        <f aca="false">TRIM($A291&amp;"")</f>
        <v/>
      </c>
      <c r="AC291" s="37" t="str">
        <f aca="false">IF(AB291="","",IFERROR(INDEX('Account Map'!$B:$B,MATCH(AB291,'Account Map'!$A:$A,0)),""))</f>
        <v/>
      </c>
      <c r="AD291" s="37" t="str">
        <f aca="false">IF(AB291="","",IFERROR(INDEX('Account Map'!$C:$C,MATCH(AB291,'Account Map'!$A:$A,0)),""))</f>
        <v/>
      </c>
      <c r="AE291" s="37" t="n">
        <f aca="false">IF(AND(AB291&lt;&gt;"",AC291="",COUNT($B291:$Z291)&gt;0,LEFT(AB291,5)&lt;&gt;"Total",AB291&lt;&gt;"Gross Profit",AB291&lt;&gt;"Net Profit",AB291&lt;&gt;"Operating Profit"),1,0)</f>
        <v>0</v>
      </c>
    </row>
    <row r="292" customFormat="false" ht="15" hidden="false" customHeight="false" outlineLevel="0" collapsed="false">
      <c r="B292" s="44"/>
      <c r="C292" s="44"/>
      <c r="D292" s="44"/>
      <c r="E292" s="44"/>
      <c r="F292" s="44"/>
      <c r="G292" s="44"/>
      <c r="H292" s="44"/>
      <c r="I292" s="44"/>
      <c r="J292" s="44"/>
      <c r="K292" s="44"/>
      <c r="L292" s="44"/>
      <c r="M292" s="44"/>
      <c r="N292" s="44"/>
      <c r="O292" s="44"/>
      <c r="P292" s="44"/>
      <c r="Q292" s="44"/>
      <c r="R292" s="44"/>
      <c r="S292" s="44"/>
      <c r="T292" s="44"/>
      <c r="U292" s="44"/>
      <c r="V292" s="44"/>
      <c r="W292" s="44"/>
      <c r="X292" s="44"/>
      <c r="Y292" s="44"/>
      <c r="Z292" s="44"/>
      <c r="AB292" s="37" t="str">
        <f aca="false">TRIM($A292&amp;"")</f>
        <v/>
      </c>
      <c r="AC292" s="37" t="str">
        <f aca="false">IF(AB292="","",IFERROR(INDEX('Account Map'!$B:$B,MATCH(AB292,'Account Map'!$A:$A,0)),""))</f>
        <v/>
      </c>
      <c r="AD292" s="37" t="str">
        <f aca="false">IF(AB292="","",IFERROR(INDEX('Account Map'!$C:$C,MATCH(AB292,'Account Map'!$A:$A,0)),""))</f>
        <v/>
      </c>
      <c r="AE292" s="37" t="n">
        <f aca="false">IF(AND(AB292&lt;&gt;"",AC292="",COUNT($B292:$Z292)&gt;0,LEFT(AB292,5)&lt;&gt;"Total",AB292&lt;&gt;"Gross Profit",AB292&lt;&gt;"Net Profit",AB292&lt;&gt;"Operating Profit"),1,0)</f>
        <v>0</v>
      </c>
    </row>
    <row r="293" customFormat="false" ht="15" hidden="false" customHeight="false" outlineLevel="0" collapsed="false">
      <c r="B293" s="44"/>
      <c r="C293" s="44"/>
      <c r="D293" s="44"/>
      <c r="E293" s="44"/>
      <c r="F293" s="44"/>
      <c r="G293" s="44"/>
      <c r="H293" s="44"/>
      <c r="I293" s="44"/>
      <c r="J293" s="44"/>
      <c r="K293" s="44"/>
      <c r="L293" s="44"/>
      <c r="M293" s="44"/>
      <c r="N293" s="44"/>
      <c r="O293" s="44"/>
      <c r="P293" s="44"/>
      <c r="Q293" s="44"/>
      <c r="R293" s="44"/>
      <c r="S293" s="44"/>
      <c r="T293" s="44"/>
      <c r="U293" s="44"/>
      <c r="V293" s="44"/>
      <c r="W293" s="44"/>
      <c r="X293" s="44"/>
      <c r="Y293" s="44"/>
      <c r="Z293" s="44"/>
      <c r="AB293" s="37" t="str">
        <f aca="false">TRIM($A293&amp;"")</f>
        <v/>
      </c>
      <c r="AC293" s="37" t="str">
        <f aca="false">IF(AB293="","",IFERROR(INDEX('Account Map'!$B:$B,MATCH(AB293,'Account Map'!$A:$A,0)),""))</f>
        <v/>
      </c>
      <c r="AD293" s="37" t="str">
        <f aca="false">IF(AB293="","",IFERROR(INDEX('Account Map'!$C:$C,MATCH(AB293,'Account Map'!$A:$A,0)),""))</f>
        <v/>
      </c>
      <c r="AE293" s="37" t="n">
        <f aca="false">IF(AND(AB293&lt;&gt;"",AC293="",COUNT($B293:$Z293)&gt;0,LEFT(AB293,5)&lt;&gt;"Total",AB293&lt;&gt;"Gross Profit",AB293&lt;&gt;"Net Profit",AB293&lt;&gt;"Operating Profit"),1,0)</f>
        <v>0</v>
      </c>
    </row>
    <row r="294" customFormat="false" ht="15" hidden="false" customHeight="false" outlineLevel="0" collapsed="false">
      <c r="B294" s="44"/>
      <c r="C294" s="44"/>
      <c r="D294" s="44"/>
      <c r="E294" s="44"/>
      <c r="F294" s="44"/>
      <c r="G294" s="44"/>
      <c r="H294" s="44"/>
      <c r="I294" s="44"/>
      <c r="J294" s="44"/>
      <c r="K294" s="44"/>
      <c r="L294" s="44"/>
      <c r="M294" s="44"/>
      <c r="N294" s="44"/>
      <c r="O294" s="44"/>
      <c r="P294" s="44"/>
      <c r="Q294" s="44"/>
      <c r="R294" s="44"/>
      <c r="S294" s="44"/>
      <c r="T294" s="44"/>
      <c r="U294" s="44"/>
      <c r="V294" s="44"/>
      <c r="W294" s="44"/>
      <c r="X294" s="44"/>
      <c r="Y294" s="44"/>
      <c r="Z294" s="44"/>
      <c r="AB294" s="37" t="str">
        <f aca="false">TRIM($A294&amp;"")</f>
        <v/>
      </c>
      <c r="AC294" s="37" t="str">
        <f aca="false">IF(AB294="","",IFERROR(INDEX('Account Map'!$B:$B,MATCH(AB294,'Account Map'!$A:$A,0)),""))</f>
        <v/>
      </c>
      <c r="AD294" s="37" t="str">
        <f aca="false">IF(AB294="","",IFERROR(INDEX('Account Map'!$C:$C,MATCH(AB294,'Account Map'!$A:$A,0)),""))</f>
        <v/>
      </c>
      <c r="AE294" s="37" t="n">
        <f aca="false">IF(AND(AB294&lt;&gt;"",AC294="",COUNT($B294:$Z294)&gt;0,LEFT(AB294,5)&lt;&gt;"Total",AB294&lt;&gt;"Gross Profit",AB294&lt;&gt;"Net Profit",AB294&lt;&gt;"Operating Profit"),1,0)</f>
        <v>0</v>
      </c>
    </row>
    <row r="295" customFormat="false" ht="15" hidden="false" customHeight="false" outlineLevel="0" collapsed="false">
      <c r="B295" s="44"/>
      <c r="C295" s="44"/>
      <c r="D295" s="44"/>
      <c r="E295" s="44"/>
      <c r="F295" s="44"/>
      <c r="G295" s="44"/>
      <c r="H295" s="44"/>
      <c r="I295" s="44"/>
      <c r="J295" s="44"/>
      <c r="K295" s="44"/>
      <c r="L295" s="44"/>
      <c r="M295" s="44"/>
      <c r="N295" s="44"/>
      <c r="O295" s="44"/>
      <c r="P295" s="44"/>
      <c r="Q295" s="44"/>
      <c r="R295" s="44"/>
      <c r="S295" s="44"/>
      <c r="T295" s="44"/>
      <c r="U295" s="44"/>
      <c r="V295" s="44"/>
      <c r="W295" s="44"/>
      <c r="X295" s="44"/>
      <c r="Y295" s="44"/>
      <c r="Z295" s="44"/>
      <c r="AB295" s="37" t="str">
        <f aca="false">TRIM($A295&amp;"")</f>
        <v/>
      </c>
      <c r="AC295" s="37" t="str">
        <f aca="false">IF(AB295="","",IFERROR(INDEX('Account Map'!$B:$B,MATCH(AB295,'Account Map'!$A:$A,0)),""))</f>
        <v/>
      </c>
      <c r="AD295" s="37" t="str">
        <f aca="false">IF(AB295="","",IFERROR(INDEX('Account Map'!$C:$C,MATCH(AB295,'Account Map'!$A:$A,0)),""))</f>
        <v/>
      </c>
      <c r="AE295" s="37" t="n">
        <f aca="false">IF(AND(AB295&lt;&gt;"",AC295="",COUNT($B295:$Z295)&gt;0,LEFT(AB295,5)&lt;&gt;"Total",AB295&lt;&gt;"Gross Profit",AB295&lt;&gt;"Net Profit",AB295&lt;&gt;"Operating Profit"),1,0)</f>
        <v>0</v>
      </c>
    </row>
    <row r="296" customFormat="false" ht="15" hidden="false" customHeight="false" outlineLevel="0" collapsed="false">
      <c r="B296" s="44"/>
      <c r="C296" s="44"/>
      <c r="D296" s="44"/>
      <c r="E296" s="44"/>
      <c r="F296" s="44"/>
      <c r="G296" s="44"/>
      <c r="H296" s="44"/>
      <c r="I296" s="44"/>
      <c r="J296" s="44"/>
      <c r="K296" s="44"/>
      <c r="L296" s="44"/>
      <c r="M296" s="44"/>
      <c r="N296" s="44"/>
      <c r="O296" s="44"/>
      <c r="P296" s="44"/>
      <c r="Q296" s="44"/>
      <c r="R296" s="44"/>
      <c r="S296" s="44"/>
      <c r="T296" s="44"/>
      <c r="U296" s="44"/>
      <c r="V296" s="44"/>
      <c r="W296" s="44"/>
      <c r="X296" s="44"/>
      <c r="Y296" s="44"/>
      <c r="Z296" s="44"/>
      <c r="AB296" s="37" t="str">
        <f aca="false">TRIM($A296&amp;"")</f>
        <v/>
      </c>
      <c r="AC296" s="37" t="str">
        <f aca="false">IF(AB296="","",IFERROR(INDEX('Account Map'!$B:$B,MATCH(AB296,'Account Map'!$A:$A,0)),""))</f>
        <v/>
      </c>
      <c r="AD296" s="37" t="str">
        <f aca="false">IF(AB296="","",IFERROR(INDEX('Account Map'!$C:$C,MATCH(AB296,'Account Map'!$A:$A,0)),""))</f>
        <v/>
      </c>
      <c r="AE296" s="37" t="n">
        <f aca="false">IF(AND(AB296&lt;&gt;"",AC296="",COUNT($B296:$Z296)&gt;0,LEFT(AB296,5)&lt;&gt;"Total",AB296&lt;&gt;"Gross Profit",AB296&lt;&gt;"Net Profit",AB296&lt;&gt;"Operating Profit"),1,0)</f>
        <v>0</v>
      </c>
    </row>
    <row r="297" customFormat="false" ht="15" hidden="false" customHeight="false" outlineLevel="0" collapsed="false">
      <c r="B297" s="44"/>
      <c r="C297" s="44"/>
      <c r="D297" s="44"/>
      <c r="E297" s="44"/>
      <c r="F297" s="44"/>
      <c r="G297" s="44"/>
      <c r="H297" s="44"/>
      <c r="I297" s="44"/>
      <c r="J297" s="44"/>
      <c r="K297" s="44"/>
      <c r="L297" s="44"/>
      <c r="M297" s="44"/>
      <c r="N297" s="44"/>
      <c r="O297" s="44"/>
      <c r="P297" s="44"/>
      <c r="Q297" s="44"/>
      <c r="R297" s="44"/>
      <c r="S297" s="44"/>
      <c r="T297" s="44"/>
      <c r="U297" s="44"/>
      <c r="V297" s="44"/>
      <c r="W297" s="44"/>
      <c r="X297" s="44"/>
      <c r="Y297" s="44"/>
      <c r="Z297" s="44"/>
      <c r="AB297" s="37" t="str">
        <f aca="false">TRIM($A297&amp;"")</f>
        <v/>
      </c>
      <c r="AC297" s="37" t="str">
        <f aca="false">IF(AB297="","",IFERROR(INDEX('Account Map'!$B:$B,MATCH(AB297,'Account Map'!$A:$A,0)),""))</f>
        <v/>
      </c>
      <c r="AD297" s="37" t="str">
        <f aca="false">IF(AB297="","",IFERROR(INDEX('Account Map'!$C:$C,MATCH(AB297,'Account Map'!$A:$A,0)),""))</f>
        <v/>
      </c>
      <c r="AE297" s="37" t="n">
        <f aca="false">IF(AND(AB297&lt;&gt;"",AC297="",COUNT($B297:$Z297)&gt;0,LEFT(AB297,5)&lt;&gt;"Total",AB297&lt;&gt;"Gross Profit",AB297&lt;&gt;"Net Profit",AB297&lt;&gt;"Operating Profit"),1,0)</f>
        <v>0</v>
      </c>
    </row>
    <row r="298" customFormat="false" ht="15" hidden="false" customHeight="false" outlineLevel="0" collapsed="false">
      <c r="B298" s="44"/>
      <c r="C298" s="44"/>
      <c r="D298" s="44"/>
      <c r="E298" s="44"/>
      <c r="F298" s="44"/>
      <c r="G298" s="44"/>
      <c r="H298" s="44"/>
      <c r="I298" s="44"/>
      <c r="J298" s="44"/>
      <c r="K298" s="44"/>
      <c r="L298" s="44"/>
      <c r="M298" s="44"/>
      <c r="N298" s="44"/>
      <c r="O298" s="44"/>
      <c r="P298" s="44"/>
      <c r="Q298" s="44"/>
      <c r="R298" s="44"/>
      <c r="S298" s="44"/>
      <c r="T298" s="44"/>
      <c r="U298" s="44"/>
      <c r="V298" s="44"/>
      <c r="W298" s="44"/>
      <c r="X298" s="44"/>
      <c r="Y298" s="44"/>
      <c r="Z298" s="44"/>
      <c r="AB298" s="37" t="str">
        <f aca="false">TRIM($A298&amp;"")</f>
        <v/>
      </c>
      <c r="AC298" s="37" t="str">
        <f aca="false">IF(AB298="","",IFERROR(INDEX('Account Map'!$B:$B,MATCH(AB298,'Account Map'!$A:$A,0)),""))</f>
        <v/>
      </c>
      <c r="AD298" s="37" t="str">
        <f aca="false">IF(AB298="","",IFERROR(INDEX('Account Map'!$C:$C,MATCH(AB298,'Account Map'!$A:$A,0)),""))</f>
        <v/>
      </c>
      <c r="AE298" s="37" t="n">
        <f aca="false">IF(AND(AB298&lt;&gt;"",AC298="",COUNT($B298:$Z298)&gt;0,LEFT(AB298,5)&lt;&gt;"Total",AB298&lt;&gt;"Gross Profit",AB298&lt;&gt;"Net Profit",AB298&lt;&gt;"Operating Profit"),1,0)</f>
        <v>0</v>
      </c>
    </row>
    <row r="299" customFormat="false" ht="15" hidden="false" customHeight="false" outlineLevel="0" collapsed="false">
      <c r="B299" s="44"/>
      <c r="C299" s="44"/>
      <c r="D299" s="44"/>
      <c r="E299" s="44"/>
      <c r="F299" s="44"/>
      <c r="G299" s="44"/>
      <c r="H299" s="44"/>
      <c r="I299" s="44"/>
      <c r="J299" s="44"/>
      <c r="K299" s="44"/>
      <c r="L299" s="44"/>
      <c r="M299" s="44"/>
      <c r="N299" s="44"/>
      <c r="O299" s="44"/>
      <c r="P299" s="44"/>
      <c r="Q299" s="44"/>
      <c r="R299" s="44"/>
      <c r="S299" s="44"/>
      <c r="T299" s="44"/>
      <c r="U299" s="44"/>
      <c r="V299" s="44"/>
      <c r="W299" s="44"/>
      <c r="X299" s="44"/>
      <c r="Y299" s="44"/>
      <c r="Z299" s="44"/>
      <c r="AB299" s="37" t="str">
        <f aca="false">TRIM($A299&amp;"")</f>
        <v/>
      </c>
      <c r="AC299" s="37" t="str">
        <f aca="false">IF(AB299="","",IFERROR(INDEX('Account Map'!$B:$B,MATCH(AB299,'Account Map'!$A:$A,0)),""))</f>
        <v/>
      </c>
      <c r="AD299" s="37" t="str">
        <f aca="false">IF(AB299="","",IFERROR(INDEX('Account Map'!$C:$C,MATCH(AB299,'Account Map'!$A:$A,0)),""))</f>
        <v/>
      </c>
      <c r="AE299" s="37" t="n">
        <f aca="false">IF(AND(AB299&lt;&gt;"",AC299="",COUNT($B299:$Z299)&gt;0,LEFT(AB299,5)&lt;&gt;"Total",AB299&lt;&gt;"Gross Profit",AB299&lt;&gt;"Net Profit",AB299&lt;&gt;"Operating Profit"),1,0)</f>
        <v>0</v>
      </c>
    </row>
    <row r="300" customFormat="false" ht="15" hidden="false" customHeight="false" outlineLevel="0" collapsed="false">
      <c r="B300" s="44"/>
      <c r="C300" s="44"/>
      <c r="D300" s="44"/>
      <c r="E300" s="44"/>
      <c r="F300" s="44"/>
      <c r="G300" s="44"/>
      <c r="H300" s="44"/>
      <c r="I300" s="44"/>
      <c r="J300" s="44"/>
      <c r="K300" s="44"/>
      <c r="L300" s="44"/>
      <c r="M300" s="44"/>
      <c r="N300" s="44"/>
      <c r="O300" s="44"/>
      <c r="P300" s="44"/>
      <c r="Q300" s="44"/>
      <c r="R300" s="44"/>
      <c r="S300" s="44"/>
      <c r="T300" s="44"/>
      <c r="U300" s="44"/>
      <c r="V300" s="44"/>
      <c r="W300" s="44"/>
      <c r="X300" s="44"/>
      <c r="Y300" s="44"/>
      <c r="Z300" s="44"/>
      <c r="AB300" s="37" t="str">
        <f aca="false">TRIM($A300&amp;"")</f>
        <v/>
      </c>
      <c r="AC300" s="37" t="str">
        <f aca="false">IF(AB300="","",IFERROR(INDEX('Account Map'!$B:$B,MATCH(AB300,'Account Map'!$A:$A,0)),""))</f>
        <v/>
      </c>
      <c r="AD300" s="37" t="str">
        <f aca="false">IF(AB300="","",IFERROR(INDEX('Account Map'!$C:$C,MATCH(AB300,'Account Map'!$A:$A,0)),""))</f>
        <v/>
      </c>
      <c r="AE300" s="37" t="n">
        <f aca="false">IF(AND(AB300&lt;&gt;"",AC300="",COUNT($B300:$Z300)&gt;0,LEFT(AB300,5)&lt;&gt;"Total",AB300&lt;&gt;"Gross Profit",AB300&lt;&gt;"Net Profit",AB300&lt;&gt;"Operating Profit"),1,0)</f>
        <v>0</v>
      </c>
    </row>
    <row r="301" customFormat="false" ht="15" hidden="false" customHeight="false" outlineLevel="0" collapsed="false">
      <c r="B301" s="44"/>
      <c r="C301" s="44"/>
      <c r="D301" s="44"/>
      <c r="E301" s="44"/>
      <c r="F301" s="44"/>
      <c r="G301" s="44"/>
      <c r="H301" s="44"/>
      <c r="I301" s="44"/>
      <c r="J301" s="44"/>
      <c r="K301" s="44"/>
      <c r="L301" s="44"/>
      <c r="M301" s="44"/>
      <c r="N301" s="44"/>
      <c r="O301" s="44"/>
      <c r="P301" s="44"/>
      <c r="Q301" s="44"/>
      <c r="R301" s="44"/>
      <c r="S301" s="44"/>
      <c r="T301" s="44"/>
      <c r="U301" s="44"/>
      <c r="V301" s="44"/>
      <c r="W301" s="44"/>
      <c r="X301" s="44"/>
      <c r="Y301" s="44"/>
      <c r="Z301" s="44"/>
      <c r="AB301" s="37" t="str">
        <f aca="false">TRIM($A301&amp;"")</f>
        <v/>
      </c>
      <c r="AC301" s="37" t="str">
        <f aca="false">IF(AB301="","",IFERROR(INDEX('Account Map'!$B:$B,MATCH(AB301,'Account Map'!$A:$A,0)),""))</f>
        <v/>
      </c>
      <c r="AD301" s="37" t="str">
        <f aca="false">IF(AB301="","",IFERROR(INDEX('Account Map'!$C:$C,MATCH(AB301,'Account Map'!$A:$A,0)),""))</f>
        <v/>
      </c>
      <c r="AE301" s="37" t="n">
        <f aca="false">IF(AND(AB301&lt;&gt;"",AC301="",COUNT($B301:$Z301)&gt;0,LEFT(AB301,5)&lt;&gt;"Total",AB301&lt;&gt;"Gross Profit",AB301&lt;&gt;"Net Profit",AB301&lt;&gt;"Operating Profit"),1,0)</f>
        <v>0</v>
      </c>
    </row>
    <row r="302" customFormat="false" ht="15" hidden="false" customHeight="false" outlineLevel="0" collapsed="false">
      <c r="B302" s="44"/>
      <c r="C302" s="44"/>
      <c r="D302" s="44"/>
      <c r="E302" s="44"/>
      <c r="F302" s="44"/>
      <c r="G302" s="44"/>
      <c r="H302" s="44"/>
      <c r="I302" s="44"/>
      <c r="J302" s="44"/>
      <c r="K302" s="44"/>
      <c r="L302" s="44"/>
      <c r="M302" s="44"/>
      <c r="N302" s="44"/>
      <c r="O302" s="44"/>
      <c r="P302" s="44"/>
      <c r="Q302" s="44"/>
      <c r="R302" s="44"/>
      <c r="S302" s="44"/>
      <c r="T302" s="44"/>
      <c r="U302" s="44"/>
      <c r="V302" s="44"/>
      <c r="W302" s="44"/>
      <c r="X302" s="44"/>
      <c r="Y302" s="44"/>
      <c r="Z302" s="44"/>
      <c r="AB302" s="37" t="str">
        <f aca="false">TRIM($A302&amp;"")</f>
        <v/>
      </c>
      <c r="AC302" s="37" t="str">
        <f aca="false">IF(AB302="","",IFERROR(INDEX('Account Map'!$B:$B,MATCH(AB302,'Account Map'!$A:$A,0)),""))</f>
        <v/>
      </c>
      <c r="AD302" s="37" t="str">
        <f aca="false">IF(AB302="","",IFERROR(INDEX('Account Map'!$C:$C,MATCH(AB302,'Account Map'!$A:$A,0)),""))</f>
        <v/>
      </c>
      <c r="AE302" s="37" t="n">
        <f aca="false">IF(AND(AB302&lt;&gt;"",AC302="",COUNT($B302:$Z302)&gt;0,LEFT(AB302,5)&lt;&gt;"Total",AB302&lt;&gt;"Gross Profit",AB302&lt;&gt;"Net Profit",AB302&lt;&gt;"Operating Profit"),1,0)</f>
        <v>0</v>
      </c>
    </row>
    <row r="303" customFormat="false" ht="15" hidden="false" customHeight="false" outlineLevel="0" collapsed="false">
      <c r="B303" s="44"/>
      <c r="C303" s="44"/>
      <c r="D303" s="44"/>
      <c r="E303" s="44"/>
      <c r="F303" s="44"/>
      <c r="G303" s="44"/>
      <c r="H303" s="44"/>
      <c r="I303" s="44"/>
      <c r="J303" s="44"/>
      <c r="K303" s="44"/>
      <c r="L303" s="44"/>
      <c r="M303" s="44"/>
      <c r="N303" s="44"/>
      <c r="O303" s="44"/>
      <c r="P303" s="44"/>
      <c r="Q303" s="44"/>
      <c r="R303" s="44"/>
      <c r="S303" s="44"/>
      <c r="T303" s="44"/>
      <c r="U303" s="44"/>
      <c r="V303" s="44"/>
      <c r="W303" s="44"/>
      <c r="X303" s="44"/>
      <c r="Y303" s="44"/>
      <c r="Z303" s="44"/>
      <c r="AB303" s="37" t="str">
        <f aca="false">TRIM($A303&amp;"")</f>
        <v/>
      </c>
      <c r="AC303" s="37" t="str">
        <f aca="false">IF(AB303="","",IFERROR(INDEX('Account Map'!$B:$B,MATCH(AB303,'Account Map'!$A:$A,0)),""))</f>
        <v/>
      </c>
      <c r="AD303" s="37" t="str">
        <f aca="false">IF(AB303="","",IFERROR(INDEX('Account Map'!$C:$C,MATCH(AB303,'Account Map'!$A:$A,0)),""))</f>
        <v/>
      </c>
      <c r="AE303" s="37" t="n">
        <f aca="false">IF(AND(AB303&lt;&gt;"",AC303="",COUNT($B303:$Z303)&gt;0,LEFT(AB303,5)&lt;&gt;"Total",AB303&lt;&gt;"Gross Profit",AB303&lt;&gt;"Net Profit",AB303&lt;&gt;"Operating Profit"),1,0)</f>
        <v>0</v>
      </c>
    </row>
    <row r="304" customFormat="false" ht="15" hidden="false" customHeight="false" outlineLevel="0" collapsed="false">
      <c r="B304" s="44"/>
      <c r="C304" s="44"/>
      <c r="D304" s="44"/>
      <c r="E304" s="44"/>
      <c r="F304" s="44"/>
      <c r="G304" s="44"/>
      <c r="H304" s="44"/>
      <c r="I304" s="44"/>
      <c r="J304" s="44"/>
      <c r="K304" s="44"/>
      <c r="L304" s="44"/>
      <c r="M304" s="44"/>
      <c r="N304" s="44"/>
      <c r="O304" s="44"/>
      <c r="P304" s="44"/>
      <c r="Q304" s="44"/>
      <c r="R304" s="44"/>
      <c r="S304" s="44"/>
      <c r="T304" s="44"/>
      <c r="U304" s="44"/>
      <c r="V304" s="44"/>
      <c r="W304" s="44"/>
      <c r="X304" s="44"/>
      <c r="Y304" s="44"/>
      <c r="Z304" s="44"/>
      <c r="AB304" s="37" t="str">
        <f aca="false">TRIM($A304&amp;"")</f>
        <v/>
      </c>
      <c r="AC304" s="37" t="str">
        <f aca="false">IF(AB304="","",IFERROR(INDEX('Account Map'!$B:$B,MATCH(AB304,'Account Map'!$A:$A,0)),""))</f>
        <v/>
      </c>
      <c r="AD304" s="37" t="str">
        <f aca="false">IF(AB304="","",IFERROR(INDEX('Account Map'!$C:$C,MATCH(AB304,'Account Map'!$A:$A,0)),""))</f>
        <v/>
      </c>
      <c r="AE304" s="37" t="n">
        <f aca="false">IF(AND(AB304&lt;&gt;"",AC304="",COUNT($B304:$Z304)&gt;0,LEFT(AB304,5)&lt;&gt;"Total",AB304&lt;&gt;"Gross Profit",AB304&lt;&gt;"Net Profit",AB304&lt;&gt;"Operating Profit"),1,0)</f>
        <v>0</v>
      </c>
    </row>
    <row r="305" customFormat="false" ht="15" hidden="false" customHeight="false" outlineLevel="0" collapsed="false">
      <c r="B305" s="44"/>
      <c r="C305" s="44"/>
      <c r="D305" s="44"/>
      <c r="E305" s="44"/>
      <c r="F305" s="44"/>
      <c r="G305" s="44"/>
      <c r="H305" s="44"/>
      <c r="I305" s="44"/>
      <c r="J305" s="44"/>
      <c r="K305" s="44"/>
      <c r="L305" s="44"/>
      <c r="M305" s="44"/>
      <c r="N305" s="44"/>
      <c r="O305" s="44"/>
      <c r="P305" s="44"/>
      <c r="Q305" s="44"/>
      <c r="R305" s="44"/>
      <c r="S305" s="44"/>
      <c r="T305" s="44"/>
      <c r="U305" s="44"/>
      <c r="V305" s="44"/>
      <c r="W305" s="44"/>
      <c r="X305" s="44"/>
      <c r="Y305" s="44"/>
      <c r="Z305" s="44"/>
      <c r="AB305" s="37" t="str">
        <f aca="false">TRIM($A305&amp;"")</f>
        <v/>
      </c>
      <c r="AC305" s="37" t="str">
        <f aca="false">IF(AB305="","",IFERROR(INDEX('Account Map'!$B:$B,MATCH(AB305,'Account Map'!$A:$A,0)),""))</f>
        <v/>
      </c>
      <c r="AD305" s="37" t="str">
        <f aca="false">IF(AB305="","",IFERROR(INDEX('Account Map'!$C:$C,MATCH(AB305,'Account Map'!$A:$A,0)),""))</f>
        <v/>
      </c>
      <c r="AE305" s="37" t="n">
        <f aca="false">IF(AND(AB305&lt;&gt;"",AC305="",COUNT($B305:$Z305)&gt;0,LEFT(AB305,5)&lt;&gt;"Total",AB305&lt;&gt;"Gross Profit",AB305&lt;&gt;"Net Profit",AB305&lt;&gt;"Operating Profit"),1,0)</f>
        <v>0</v>
      </c>
    </row>
    <row r="306" customFormat="false" ht="15" hidden="false" customHeight="false" outlineLevel="0" collapsed="false">
      <c r="B306" s="44"/>
      <c r="C306" s="44"/>
      <c r="D306" s="44"/>
      <c r="E306" s="44"/>
      <c r="F306" s="44"/>
      <c r="G306" s="44"/>
      <c r="H306" s="44"/>
      <c r="I306" s="44"/>
      <c r="J306" s="44"/>
      <c r="K306" s="44"/>
      <c r="L306" s="44"/>
      <c r="M306" s="44"/>
      <c r="N306" s="44"/>
      <c r="O306" s="44"/>
      <c r="P306" s="44"/>
      <c r="Q306" s="44"/>
      <c r="R306" s="44"/>
      <c r="S306" s="44"/>
      <c r="T306" s="44"/>
      <c r="U306" s="44"/>
      <c r="V306" s="44"/>
      <c r="W306" s="44"/>
      <c r="X306" s="44"/>
      <c r="Y306" s="44"/>
      <c r="Z306" s="44"/>
      <c r="AB306" s="37" t="str">
        <f aca="false">TRIM($A306&amp;"")</f>
        <v/>
      </c>
      <c r="AC306" s="37" t="str">
        <f aca="false">IF(AB306="","",IFERROR(INDEX('Account Map'!$B:$B,MATCH(AB306,'Account Map'!$A:$A,0)),""))</f>
        <v/>
      </c>
      <c r="AD306" s="37" t="str">
        <f aca="false">IF(AB306="","",IFERROR(INDEX('Account Map'!$C:$C,MATCH(AB306,'Account Map'!$A:$A,0)),""))</f>
        <v/>
      </c>
      <c r="AE306" s="37" t="n">
        <f aca="false">IF(AND(AB306&lt;&gt;"",AC306="",COUNT($B306:$Z306)&gt;0,LEFT(AB306,5)&lt;&gt;"Total",AB306&lt;&gt;"Gross Profit",AB306&lt;&gt;"Net Profit",AB306&lt;&gt;"Operating Profit"),1,0)</f>
        <v>0</v>
      </c>
    </row>
    <row r="307" customFormat="false" ht="15" hidden="false" customHeight="false" outlineLevel="0" collapsed="false">
      <c r="B307" s="44"/>
      <c r="C307" s="44"/>
      <c r="D307" s="44"/>
      <c r="E307" s="44"/>
      <c r="F307" s="44"/>
      <c r="G307" s="44"/>
      <c r="H307" s="44"/>
      <c r="I307" s="44"/>
      <c r="J307" s="44"/>
      <c r="K307" s="44"/>
      <c r="L307" s="44"/>
      <c r="M307" s="44"/>
      <c r="N307" s="44"/>
      <c r="O307" s="44"/>
      <c r="P307" s="44"/>
      <c r="Q307" s="44"/>
      <c r="R307" s="44"/>
      <c r="S307" s="44"/>
      <c r="T307" s="44"/>
      <c r="U307" s="44"/>
      <c r="V307" s="44"/>
      <c r="W307" s="44"/>
      <c r="X307" s="44"/>
      <c r="Y307" s="44"/>
      <c r="Z307" s="44"/>
      <c r="AB307" s="37" t="str">
        <f aca="false">TRIM($A307&amp;"")</f>
        <v/>
      </c>
      <c r="AC307" s="37" t="str">
        <f aca="false">IF(AB307="","",IFERROR(INDEX('Account Map'!$B:$B,MATCH(AB307,'Account Map'!$A:$A,0)),""))</f>
        <v/>
      </c>
      <c r="AD307" s="37" t="str">
        <f aca="false">IF(AB307="","",IFERROR(INDEX('Account Map'!$C:$C,MATCH(AB307,'Account Map'!$A:$A,0)),""))</f>
        <v/>
      </c>
      <c r="AE307" s="37" t="n">
        <f aca="false">IF(AND(AB307&lt;&gt;"",AC307="",COUNT($B307:$Z307)&gt;0,LEFT(AB307,5)&lt;&gt;"Total",AB307&lt;&gt;"Gross Profit",AB307&lt;&gt;"Net Profit",AB307&lt;&gt;"Operating Profit"),1,0)</f>
        <v>0</v>
      </c>
    </row>
    <row r="308" customFormat="false" ht="15" hidden="false" customHeight="false" outlineLevel="0" collapsed="false">
      <c r="B308" s="44"/>
      <c r="C308" s="44"/>
      <c r="D308" s="44"/>
      <c r="E308" s="44"/>
      <c r="F308" s="44"/>
      <c r="G308" s="44"/>
      <c r="H308" s="44"/>
      <c r="I308" s="44"/>
      <c r="J308" s="44"/>
      <c r="K308" s="44"/>
      <c r="L308" s="44"/>
      <c r="M308" s="44"/>
      <c r="N308" s="44"/>
      <c r="O308" s="44"/>
      <c r="P308" s="44"/>
      <c r="Q308" s="44"/>
      <c r="R308" s="44"/>
      <c r="S308" s="44"/>
      <c r="T308" s="44"/>
      <c r="U308" s="44"/>
      <c r="V308" s="44"/>
      <c r="W308" s="44"/>
      <c r="X308" s="44"/>
      <c r="Y308" s="44"/>
      <c r="Z308" s="44"/>
      <c r="AB308" s="37" t="str">
        <f aca="false">TRIM($A308&amp;"")</f>
        <v/>
      </c>
      <c r="AC308" s="37" t="str">
        <f aca="false">IF(AB308="","",IFERROR(INDEX('Account Map'!$B:$B,MATCH(AB308,'Account Map'!$A:$A,0)),""))</f>
        <v/>
      </c>
      <c r="AD308" s="37" t="str">
        <f aca="false">IF(AB308="","",IFERROR(INDEX('Account Map'!$C:$C,MATCH(AB308,'Account Map'!$A:$A,0)),""))</f>
        <v/>
      </c>
      <c r="AE308" s="37" t="n">
        <f aca="false">IF(AND(AB308&lt;&gt;"",AC308="",COUNT($B308:$Z308)&gt;0,LEFT(AB308,5)&lt;&gt;"Total",AB308&lt;&gt;"Gross Profit",AB308&lt;&gt;"Net Profit",AB308&lt;&gt;"Operating Profit"),1,0)</f>
        <v>0</v>
      </c>
    </row>
    <row r="309" customFormat="false" ht="15" hidden="false" customHeight="false" outlineLevel="0" collapsed="false">
      <c r="B309" s="44"/>
      <c r="C309" s="44"/>
      <c r="D309" s="44"/>
      <c r="E309" s="44"/>
      <c r="F309" s="44"/>
      <c r="G309" s="44"/>
      <c r="H309" s="44"/>
      <c r="I309" s="44"/>
      <c r="J309" s="44"/>
      <c r="K309" s="44"/>
      <c r="L309" s="44"/>
      <c r="M309" s="44"/>
      <c r="N309" s="44"/>
      <c r="O309" s="44"/>
      <c r="P309" s="44"/>
      <c r="Q309" s="44"/>
      <c r="R309" s="44"/>
      <c r="S309" s="44"/>
      <c r="T309" s="44"/>
      <c r="U309" s="44"/>
      <c r="V309" s="44"/>
      <c r="W309" s="44"/>
      <c r="X309" s="44"/>
      <c r="Y309" s="44"/>
      <c r="Z309" s="44"/>
      <c r="AB309" s="37" t="str">
        <f aca="false">TRIM($A309&amp;"")</f>
        <v/>
      </c>
      <c r="AC309" s="37" t="str">
        <f aca="false">IF(AB309="","",IFERROR(INDEX('Account Map'!$B:$B,MATCH(AB309,'Account Map'!$A:$A,0)),""))</f>
        <v/>
      </c>
      <c r="AD309" s="37" t="str">
        <f aca="false">IF(AB309="","",IFERROR(INDEX('Account Map'!$C:$C,MATCH(AB309,'Account Map'!$A:$A,0)),""))</f>
        <v/>
      </c>
      <c r="AE309" s="37" t="n">
        <f aca="false">IF(AND(AB309&lt;&gt;"",AC309="",COUNT($B309:$Z309)&gt;0,LEFT(AB309,5)&lt;&gt;"Total",AB309&lt;&gt;"Gross Profit",AB309&lt;&gt;"Net Profit",AB309&lt;&gt;"Operating Profit"),1,0)</f>
        <v>0</v>
      </c>
    </row>
    <row r="310" customFormat="false" ht="15" hidden="false" customHeight="false" outlineLevel="0" collapsed="false">
      <c r="B310" s="44"/>
      <c r="C310" s="44"/>
      <c r="D310" s="44"/>
      <c r="E310" s="44"/>
      <c r="F310" s="44"/>
      <c r="G310" s="44"/>
      <c r="H310" s="44"/>
      <c r="I310" s="44"/>
      <c r="J310" s="44"/>
      <c r="K310" s="44"/>
      <c r="L310" s="44"/>
      <c r="M310" s="44"/>
      <c r="N310" s="44"/>
      <c r="O310" s="44"/>
      <c r="P310" s="44"/>
      <c r="Q310" s="44"/>
      <c r="R310" s="44"/>
      <c r="S310" s="44"/>
      <c r="T310" s="44"/>
      <c r="U310" s="44"/>
      <c r="V310" s="44"/>
      <c r="W310" s="44"/>
      <c r="X310" s="44"/>
      <c r="Y310" s="44"/>
      <c r="Z310" s="44"/>
      <c r="AB310" s="37" t="str">
        <f aca="false">TRIM($A310&amp;"")</f>
        <v/>
      </c>
      <c r="AC310" s="37" t="str">
        <f aca="false">IF(AB310="","",IFERROR(INDEX('Account Map'!$B:$B,MATCH(AB310,'Account Map'!$A:$A,0)),""))</f>
        <v/>
      </c>
      <c r="AD310" s="37" t="str">
        <f aca="false">IF(AB310="","",IFERROR(INDEX('Account Map'!$C:$C,MATCH(AB310,'Account Map'!$A:$A,0)),""))</f>
        <v/>
      </c>
      <c r="AE310" s="37" t="n">
        <f aca="false">IF(AND(AB310&lt;&gt;"",AC310="",COUNT($B310:$Z310)&gt;0,LEFT(AB310,5)&lt;&gt;"Total",AB310&lt;&gt;"Gross Profit",AB310&lt;&gt;"Net Profit",AB310&lt;&gt;"Operating Profit"),1,0)</f>
        <v>0</v>
      </c>
    </row>
    <row r="311" customFormat="false" ht="15" hidden="false" customHeight="false" outlineLevel="0" collapsed="false">
      <c r="B311" s="44"/>
      <c r="C311" s="44"/>
      <c r="D311" s="44"/>
      <c r="E311" s="44"/>
      <c r="F311" s="44"/>
      <c r="G311" s="44"/>
      <c r="H311" s="44"/>
      <c r="I311" s="44"/>
      <c r="J311" s="44"/>
      <c r="K311" s="44"/>
      <c r="L311" s="44"/>
      <c r="M311" s="44"/>
      <c r="N311" s="44"/>
      <c r="O311" s="44"/>
      <c r="P311" s="44"/>
      <c r="Q311" s="44"/>
      <c r="R311" s="44"/>
      <c r="S311" s="44"/>
      <c r="T311" s="44"/>
      <c r="U311" s="44"/>
      <c r="V311" s="44"/>
      <c r="W311" s="44"/>
      <c r="X311" s="44"/>
      <c r="Y311" s="44"/>
      <c r="Z311" s="44"/>
      <c r="AB311" s="37" t="str">
        <f aca="false">TRIM($A311&amp;"")</f>
        <v/>
      </c>
      <c r="AC311" s="37" t="str">
        <f aca="false">IF(AB311="","",IFERROR(INDEX('Account Map'!$B:$B,MATCH(AB311,'Account Map'!$A:$A,0)),""))</f>
        <v/>
      </c>
      <c r="AD311" s="37" t="str">
        <f aca="false">IF(AB311="","",IFERROR(INDEX('Account Map'!$C:$C,MATCH(AB311,'Account Map'!$A:$A,0)),""))</f>
        <v/>
      </c>
      <c r="AE311" s="37" t="n">
        <f aca="false">IF(AND(AB311&lt;&gt;"",AC311="",COUNT($B311:$Z311)&gt;0,LEFT(AB311,5)&lt;&gt;"Total",AB311&lt;&gt;"Gross Profit",AB311&lt;&gt;"Net Profit",AB311&lt;&gt;"Operating Profit"),1,0)</f>
        <v>0</v>
      </c>
    </row>
    <row r="312" customFormat="false" ht="15" hidden="false" customHeight="false" outlineLevel="0" collapsed="false">
      <c r="B312" s="44"/>
      <c r="C312" s="44"/>
      <c r="D312" s="44"/>
      <c r="E312" s="44"/>
      <c r="F312" s="44"/>
      <c r="G312" s="44"/>
      <c r="H312" s="44"/>
      <c r="I312" s="44"/>
      <c r="J312" s="44"/>
      <c r="K312" s="44"/>
      <c r="L312" s="44"/>
      <c r="M312" s="44"/>
      <c r="N312" s="44"/>
      <c r="O312" s="44"/>
      <c r="P312" s="44"/>
      <c r="Q312" s="44"/>
      <c r="R312" s="44"/>
      <c r="S312" s="44"/>
      <c r="T312" s="44"/>
      <c r="U312" s="44"/>
      <c r="V312" s="44"/>
      <c r="W312" s="44"/>
      <c r="X312" s="44"/>
      <c r="Y312" s="44"/>
      <c r="Z312" s="44"/>
      <c r="AB312" s="37" t="str">
        <f aca="false">TRIM($A312&amp;"")</f>
        <v/>
      </c>
      <c r="AC312" s="37" t="str">
        <f aca="false">IF(AB312="","",IFERROR(INDEX('Account Map'!$B:$B,MATCH(AB312,'Account Map'!$A:$A,0)),""))</f>
        <v/>
      </c>
      <c r="AD312" s="37" t="str">
        <f aca="false">IF(AB312="","",IFERROR(INDEX('Account Map'!$C:$C,MATCH(AB312,'Account Map'!$A:$A,0)),""))</f>
        <v/>
      </c>
      <c r="AE312" s="37" t="n">
        <f aca="false">IF(AND(AB312&lt;&gt;"",AC312="",COUNT($B312:$Z312)&gt;0,LEFT(AB312,5)&lt;&gt;"Total",AB312&lt;&gt;"Gross Profit",AB312&lt;&gt;"Net Profit",AB312&lt;&gt;"Operating Profit"),1,0)</f>
        <v>0</v>
      </c>
    </row>
    <row r="313" customFormat="false" ht="15" hidden="false" customHeight="false" outlineLevel="0" collapsed="false">
      <c r="B313" s="44"/>
      <c r="C313" s="44"/>
      <c r="D313" s="44"/>
      <c r="E313" s="44"/>
      <c r="F313" s="44"/>
      <c r="G313" s="44"/>
      <c r="H313" s="44"/>
      <c r="I313" s="44"/>
      <c r="J313" s="44"/>
      <c r="K313" s="44"/>
      <c r="L313" s="44"/>
      <c r="M313" s="44"/>
      <c r="N313" s="44"/>
      <c r="O313" s="44"/>
      <c r="P313" s="44"/>
      <c r="Q313" s="44"/>
      <c r="R313" s="44"/>
      <c r="S313" s="44"/>
      <c r="T313" s="44"/>
      <c r="U313" s="44"/>
      <c r="V313" s="44"/>
      <c r="W313" s="44"/>
      <c r="X313" s="44"/>
      <c r="Y313" s="44"/>
      <c r="Z313" s="44"/>
      <c r="AB313" s="37" t="str">
        <f aca="false">TRIM($A313&amp;"")</f>
        <v/>
      </c>
      <c r="AC313" s="37" t="str">
        <f aca="false">IF(AB313="","",IFERROR(INDEX('Account Map'!$B:$B,MATCH(AB313,'Account Map'!$A:$A,0)),""))</f>
        <v/>
      </c>
      <c r="AD313" s="37" t="str">
        <f aca="false">IF(AB313="","",IFERROR(INDEX('Account Map'!$C:$C,MATCH(AB313,'Account Map'!$A:$A,0)),""))</f>
        <v/>
      </c>
      <c r="AE313" s="37" t="n">
        <f aca="false">IF(AND(AB313&lt;&gt;"",AC313="",COUNT($B313:$Z313)&gt;0,LEFT(AB313,5)&lt;&gt;"Total",AB313&lt;&gt;"Gross Profit",AB313&lt;&gt;"Net Profit",AB313&lt;&gt;"Operating Profit"),1,0)</f>
        <v>0</v>
      </c>
    </row>
    <row r="314" customFormat="false" ht="15" hidden="false" customHeight="false" outlineLevel="0" collapsed="false">
      <c r="B314" s="44"/>
      <c r="C314" s="44"/>
      <c r="D314" s="44"/>
      <c r="E314" s="44"/>
      <c r="F314" s="44"/>
      <c r="G314" s="44"/>
      <c r="H314" s="44"/>
      <c r="I314" s="44"/>
      <c r="J314" s="44"/>
      <c r="K314" s="44"/>
      <c r="L314" s="44"/>
      <c r="M314" s="44"/>
      <c r="N314" s="44"/>
      <c r="O314" s="44"/>
      <c r="P314" s="44"/>
      <c r="Q314" s="44"/>
      <c r="R314" s="44"/>
      <c r="S314" s="44"/>
      <c r="T314" s="44"/>
      <c r="U314" s="44"/>
      <c r="V314" s="44"/>
      <c r="W314" s="44"/>
      <c r="X314" s="44"/>
      <c r="Y314" s="44"/>
      <c r="Z314" s="44"/>
      <c r="AB314" s="37" t="str">
        <f aca="false">TRIM($A314&amp;"")</f>
        <v/>
      </c>
      <c r="AC314" s="37" t="str">
        <f aca="false">IF(AB314="","",IFERROR(INDEX('Account Map'!$B:$B,MATCH(AB314,'Account Map'!$A:$A,0)),""))</f>
        <v/>
      </c>
      <c r="AD314" s="37" t="str">
        <f aca="false">IF(AB314="","",IFERROR(INDEX('Account Map'!$C:$C,MATCH(AB314,'Account Map'!$A:$A,0)),""))</f>
        <v/>
      </c>
      <c r="AE314" s="37" t="n">
        <f aca="false">IF(AND(AB314&lt;&gt;"",AC314="",COUNT($B314:$Z314)&gt;0,LEFT(AB314,5)&lt;&gt;"Total",AB314&lt;&gt;"Gross Profit",AB314&lt;&gt;"Net Profit",AB314&lt;&gt;"Operating Profit"),1,0)</f>
        <v>0</v>
      </c>
    </row>
    <row r="315" customFormat="false" ht="15" hidden="false" customHeight="false" outlineLevel="0" collapsed="false">
      <c r="B315" s="44"/>
      <c r="C315" s="44"/>
      <c r="D315" s="44"/>
      <c r="E315" s="44"/>
      <c r="F315" s="44"/>
      <c r="G315" s="44"/>
      <c r="H315" s="44"/>
      <c r="I315" s="44"/>
      <c r="J315" s="44"/>
      <c r="K315" s="44"/>
      <c r="L315" s="44"/>
      <c r="M315" s="44"/>
      <c r="N315" s="44"/>
      <c r="O315" s="44"/>
      <c r="P315" s="44"/>
      <c r="Q315" s="44"/>
      <c r="R315" s="44"/>
      <c r="S315" s="44"/>
      <c r="T315" s="44"/>
      <c r="U315" s="44"/>
      <c r="V315" s="44"/>
      <c r="W315" s="44"/>
      <c r="X315" s="44"/>
      <c r="Y315" s="44"/>
      <c r="Z315" s="44"/>
      <c r="AB315" s="37" t="str">
        <f aca="false">TRIM($A315&amp;"")</f>
        <v/>
      </c>
      <c r="AC315" s="37" t="str">
        <f aca="false">IF(AB315="","",IFERROR(INDEX('Account Map'!$B:$B,MATCH(AB315,'Account Map'!$A:$A,0)),""))</f>
        <v/>
      </c>
      <c r="AD315" s="37" t="str">
        <f aca="false">IF(AB315="","",IFERROR(INDEX('Account Map'!$C:$C,MATCH(AB315,'Account Map'!$A:$A,0)),""))</f>
        <v/>
      </c>
      <c r="AE315" s="37" t="n">
        <f aca="false">IF(AND(AB315&lt;&gt;"",AC315="",COUNT($B315:$Z315)&gt;0,LEFT(AB315,5)&lt;&gt;"Total",AB315&lt;&gt;"Gross Profit",AB315&lt;&gt;"Net Profit",AB315&lt;&gt;"Operating Profit"),1,0)</f>
        <v>0</v>
      </c>
    </row>
    <row r="316" customFormat="false" ht="15" hidden="false" customHeight="false" outlineLevel="0" collapsed="false">
      <c r="B316" s="44"/>
      <c r="C316" s="44"/>
      <c r="D316" s="44"/>
      <c r="E316" s="44"/>
      <c r="F316" s="44"/>
      <c r="G316" s="44"/>
      <c r="H316" s="44"/>
      <c r="I316" s="44"/>
      <c r="J316" s="44"/>
      <c r="K316" s="44"/>
      <c r="L316" s="44"/>
      <c r="M316" s="44"/>
      <c r="N316" s="44"/>
      <c r="O316" s="44"/>
      <c r="P316" s="44"/>
      <c r="Q316" s="44"/>
      <c r="R316" s="44"/>
      <c r="S316" s="44"/>
      <c r="T316" s="44"/>
      <c r="U316" s="44"/>
      <c r="V316" s="44"/>
      <c r="W316" s="44"/>
      <c r="X316" s="44"/>
      <c r="Y316" s="44"/>
      <c r="Z316" s="44"/>
      <c r="AB316" s="37" t="str">
        <f aca="false">TRIM($A316&amp;"")</f>
        <v/>
      </c>
      <c r="AC316" s="37" t="str">
        <f aca="false">IF(AB316="","",IFERROR(INDEX('Account Map'!$B:$B,MATCH(AB316,'Account Map'!$A:$A,0)),""))</f>
        <v/>
      </c>
      <c r="AD316" s="37" t="str">
        <f aca="false">IF(AB316="","",IFERROR(INDEX('Account Map'!$C:$C,MATCH(AB316,'Account Map'!$A:$A,0)),""))</f>
        <v/>
      </c>
      <c r="AE316" s="37" t="n">
        <f aca="false">IF(AND(AB316&lt;&gt;"",AC316="",COUNT($B316:$Z316)&gt;0,LEFT(AB316,5)&lt;&gt;"Total",AB316&lt;&gt;"Gross Profit",AB316&lt;&gt;"Net Profit",AB316&lt;&gt;"Operating Profit"),1,0)</f>
        <v>0</v>
      </c>
    </row>
    <row r="317" customFormat="false" ht="15" hidden="false" customHeight="false" outlineLevel="0" collapsed="false">
      <c r="B317" s="44"/>
      <c r="C317" s="44"/>
      <c r="D317" s="44"/>
      <c r="E317" s="44"/>
      <c r="F317" s="44"/>
      <c r="G317" s="44"/>
      <c r="H317" s="44"/>
      <c r="I317" s="44"/>
      <c r="J317" s="44"/>
      <c r="K317" s="44"/>
      <c r="L317" s="44"/>
      <c r="M317" s="44"/>
      <c r="N317" s="44"/>
      <c r="O317" s="44"/>
      <c r="P317" s="44"/>
      <c r="Q317" s="44"/>
      <c r="R317" s="44"/>
      <c r="S317" s="44"/>
      <c r="T317" s="44"/>
      <c r="U317" s="44"/>
      <c r="V317" s="44"/>
      <c r="W317" s="44"/>
      <c r="X317" s="44"/>
      <c r="Y317" s="44"/>
      <c r="Z317" s="44"/>
      <c r="AB317" s="37" t="str">
        <f aca="false">TRIM($A317&amp;"")</f>
        <v/>
      </c>
      <c r="AC317" s="37" t="str">
        <f aca="false">IF(AB317="","",IFERROR(INDEX('Account Map'!$B:$B,MATCH(AB317,'Account Map'!$A:$A,0)),""))</f>
        <v/>
      </c>
      <c r="AD317" s="37" t="str">
        <f aca="false">IF(AB317="","",IFERROR(INDEX('Account Map'!$C:$C,MATCH(AB317,'Account Map'!$A:$A,0)),""))</f>
        <v/>
      </c>
      <c r="AE317" s="37" t="n">
        <f aca="false">IF(AND(AB317&lt;&gt;"",AC317="",COUNT($B317:$Z317)&gt;0,LEFT(AB317,5)&lt;&gt;"Total",AB317&lt;&gt;"Gross Profit",AB317&lt;&gt;"Net Profit",AB317&lt;&gt;"Operating Profit"),1,0)</f>
        <v>0</v>
      </c>
    </row>
    <row r="318" customFormat="false" ht="15" hidden="false" customHeight="false" outlineLevel="0" collapsed="false">
      <c r="B318" s="44"/>
      <c r="C318" s="44"/>
      <c r="D318" s="44"/>
      <c r="E318" s="44"/>
      <c r="F318" s="44"/>
      <c r="G318" s="44"/>
      <c r="H318" s="44"/>
      <c r="I318" s="44"/>
      <c r="J318" s="44"/>
      <c r="K318" s="44"/>
      <c r="L318" s="44"/>
      <c r="M318" s="44"/>
      <c r="N318" s="44"/>
      <c r="O318" s="44"/>
      <c r="P318" s="44"/>
      <c r="Q318" s="44"/>
      <c r="R318" s="44"/>
      <c r="S318" s="44"/>
      <c r="T318" s="44"/>
      <c r="U318" s="44"/>
      <c r="V318" s="44"/>
      <c r="W318" s="44"/>
      <c r="X318" s="44"/>
      <c r="Y318" s="44"/>
      <c r="Z318" s="44"/>
      <c r="AB318" s="37" t="str">
        <f aca="false">TRIM($A318&amp;"")</f>
        <v/>
      </c>
      <c r="AC318" s="37" t="str">
        <f aca="false">IF(AB318="","",IFERROR(INDEX('Account Map'!$B:$B,MATCH(AB318,'Account Map'!$A:$A,0)),""))</f>
        <v/>
      </c>
      <c r="AD318" s="37" t="str">
        <f aca="false">IF(AB318="","",IFERROR(INDEX('Account Map'!$C:$C,MATCH(AB318,'Account Map'!$A:$A,0)),""))</f>
        <v/>
      </c>
      <c r="AE318" s="37" t="n">
        <f aca="false">IF(AND(AB318&lt;&gt;"",AC318="",COUNT($B318:$Z318)&gt;0,LEFT(AB318,5)&lt;&gt;"Total",AB318&lt;&gt;"Gross Profit",AB318&lt;&gt;"Net Profit",AB318&lt;&gt;"Operating Profit"),1,0)</f>
        <v>0</v>
      </c>
    </row>
    <row r="319" customFormat="false" ht="15" hidden="false" customHeight="false" outlineLevel="0" collapsed="false">
      <c r="B319" s="44"/>
      <c r="C319" s="44"/>
      <c r="D319" s="44"/>
      <c r="E319" s="44"/>
      <c r="F319" s="44"/>
      <c r="G319" s="44"/>
      <c r="H319" s="44"/>
      <c r="I319" s="44"/>
      <c r="J319" s="44"/>
      <c r="K319" s="44"/>
      <c r="L319" s="44"/>
      <c r="M319" s="44"/>
      <c r="N319" s="44"/>
      <c r="O319" s="44"/>
      <c r="P319" s="44"/>
      <c r="Q319" s="44"/>
      <c r="R319" s="44"/>
      <c r="S319" s="44"/>
      <c r="T319" s="44"/>
      <c r="U319" s="44"/>
      <c r="V319" s="44"/>
      <c r="W319" s="44"/>
      <c r="X319" s="44"/>
      <c r="Y319" s="44"/>
      <c r="Z319" s="44"/>
      <c r="AB319" s="37" t="str">
        <f aca="false">TRIM($A319&amp;"")</f>
        <v/>
      </c>
      <c r="AC319" s="37" t="str">
        <f aca="false">IF(AB319="","",IFERROR(INDEX('Account Map'!$B:$B,MATCH(AB319,'Account Map'!$A:$A,0)),""))</f>
        <v/>
      </c>
      <c r="AD319" s="37" t="str">
        <f aca="false">IF(AB319="","",IFERROR(INDEX('Account Map'!$C:$C,MATCH(AB319,'Account Map'!$A:$A,0)),""))</f>
        <v/>
      </c>
      <c r="AE319" s="37" t="n">
        <f aca="false">IF(AND(AB319&lt;&gt;"",AC319="",COUNT($B319:$Z319)&gt;0,LEFT(AB319,5)&lt;&gt;"Total",AB319&lt;&gt;"Gross Profit",AB319&lt;&gt;"Net Profit",AB319&lt;&gt;"Operating Profit"),1,0)</f>
        <v>0</v>
      </c>
    </row>
    <row r="320" customFormat="false" ht="15" hidden="false" customHeight="false" outlineLevel="0" collapsed="false">
      <c r="B320" s="44"/>
      <c r="C320" s="44"/>
      <c r="D320" s="44"/>
      <c r="E320" s="44"/>
      <c r="F320" s="44"/>
      <c r="G320" s="44"/>
      <c r="H320" s="44"/>
      <c r="I320" s="44"/>
      <c r="J320" s="44"/>
      <c r="K320" s="44"/>
      <c r="L320" s="44"/>
      <c r="M320" s="44"/>
      <c r="N320" s="44"/>
      <c r="O320" s="44"/>
      <c r="P320" s="44"/>
      <c r="Q320" s="44"/>
      <c r="R320" s="44"/>
      <c r="S320" s="44"/>
      <c r="T320" s="44"/>
      <c r="U320" s="44"/>
      <c r="V320" s="44"/>
      <c r="W320" s="44"/>
      <c r="X320" s="44"/>
      <c r="Y320" s="44"/>
      <c r="Z320" s="44"/>
      <c r="AB320" s="37" t="str">
        <f aca="false">TRIM($A320&amp;"")</f>
        <v/>
      </c>
      <c r="AC320" s="37" t="str">
        <f aca="false">IF(AB320="","",IFERROR(INDEX('Account Map'!$B:$B,MATCH(AB320,'Account Map'!$A:$A,0)),""))</f>
        <v/>
      </c>
      <c r="AD320" s="37" t="str">
        <f aca="false">IF(AB320="","",IFERROR(INDEX('Account Map'!$C:$C,MATCH(AB320,'Account Map'!$A:$A,0)),""))</f>
        <v/>
      </c>
      <c r="AE320" s="37" t="n">
        <f aca="false">IF(AND(AB320&lt;&gt;"",AC320="",COUNT($B320:$Z320)&gt;0,LEFT(AB320,5)&lt;&gt;"Total",AB320&lt;&gt;"Gross Profit",AB320&lt;&gt;"Net Profit",AB320&lt;&gt;"Operating Profit"),1,0)</f>
        <v>0</v>
      </c>
    </row>
    <row r="321" customFormat="false" ht="15" hidden="false" customHeight="false" outlineLevel="0" collapsed="false">
      <c r="B321" s="44"/>
      <c r="C321" s="44"/>
      <c r="D321" s="44"/>
      <c r="E321" s="44"/>
      <c r="F321" s="44"/>
      <c r="G321" s="44"/>
      <c r="H321" s="44"/>
      <c r="I321" s="44"/>
      <c r="J321" s="44"/>
      <c r="K321" s="44"/>
      <c r="L321" s="44"/>
      <c r="M321" s="44"/>
      <c r="N321" s="44"/>
      <c r="O321" s="44"/>
      <c r="P321" s="44"/>
      <c r="Q321" s="44"/>
      <c r="R321" s="44"/>
      <c r="S321" s="44"/>
      <c r="T321" s="44"/>
      <c r="U321" s="44"/>
      <c r="V321" s="44"/>
      <c r="W321" s="44"/>
      <c r="X321" s="44"/>
      <c r="Y321" s="44"/>
      <c r="Z321" s="44"/>
      <c r="AB321" s="37" t="str">
        <f aca="false">TRIM($A321&amp;"")</f>
        <v/>
      </c>
      <c r="AC321" s="37" t="str">
        <f aca="false">IF(AB321="","",IFERROR(INDEX('Account Map'!$B:$B,MATCH(AB321,'Account Map'!$A:$A,0)),""))</f>
        <v/>
      </c>
      <c r="AD321" s="37" t="str">
        <f aca="false">IF(AB321="","",IFERROR(INDEX('Account Map'!$C:$C,MATCH(AB321,'Account Map'!$A:$A,0)),""))</f>
        <v/>
      </c>
      <c r="AE321" s="37" t="n">
        <f aca="false">IF(AND(AB321&lt;&gt;"",AC321="",COUNT($B321:$Z321)&gt;0,LEFT(AB321,5)&lt;&gt;"Total",AB321&lt;&gt;"Gross Profit",AB321&lt;&gt;"Net Profit",AB321&lt;&gt;"Operating Profit"),1,0)</f>
        <v>0</v>
      </c>
    </row>
    <row r="322" customFormat="false" ht="15" hidden="false" customHeight="false" outlineLevel="0" collapsed="false">
      <c r="B322" s="44"/>
      <c r="C322" s="44"/>
      <c r="D322" s="44"/>
      <c r="E322" s="44"/>
      <c r="F322" s="44"/>
      <c r="G322" s="44"/>
      <c r="H322" s="44"/>
      <c r="I322" s="44"/>
      <c r="J322" s="44"/>
      <c r="K322" s="44"/>
      <c r="L322" s="44"/>
      <c r="M322" s="44"/>
      <c r="N322" s="44"/>
      <c r="O322" s="44"/>
      <c r="P322" s="44"/>
      <c r="Q322" s="44"/>
      <c r="R322" s="44"/>
      <c r="S322" s="44"/>
      <c r="T322" s="44"/>
      <c r="U322" s="44"/>
      <c r="V322" s="44"/>
      <c r="W322" s="44"/>
      <c r="X322" s="44"/>
      <c r="Y322" s="44"/>
      <c r="Z322" s="44"/>
      <c r="AB322" s="37" t="str">
        <f aca="false">TRIM($A322&amp;"")</f>
        <v/>
      </c>
      <c r="AC322" s="37" t="str">
        <f aca="false">IF(AB322="","",IFERROR(INDEX('Account Map'!$B:$B,MATCH(AB322,'Account Map'!$A:$A,0)),""))</f>
        <v/>
      </c>
      <c r="AD322" s="37" t="str">
        <f aca="false">IF(AB322="","",IFERROR(INDEX('Account Map'!$C:$C,MATCH(AB322,'Account Map'!$A:$A,0)),""))</f>
        <v/>
      </c>
      <c r="AE322" s="37" t="n">
        <f aca="false">IF(AND(AB322&lt;&gt;"",AC322="",COUNT($B322:$Z322)&gt;0,LEFT(AB322,5)&lt;&gt;"Total",AB322&lt;&gt;"Gross Profit",AB322&lt;&gt;"Net Profit",AB322&lt;&gt;"Operating Profit"),1,0)</f>
        <v>0</v>
      </c>
    </row>
    <row r="323" customFormat="false" ht="15" hidden="false" customHeight="false" outlineLevel="0" collapsed="false">
      <c r="B323" s="44"/>
      <c r="C323" s="44"/>
      <c r="D323" s="44"/>
      <c r="E323" s="44"/>
      <c r="F323" s="44"/>
      <c r="G323" s="44"/>
      <c r="H323" s="44"/>
      <c r="I323" s="44"/>
      <c r="J323" s="44"/>
      <c r="K323" s="44"/>
      <c r="L323" s="44"/>
      <c r="M323" s="44"/>
      <c r="N323" s="44"/>
      <c r="O323" s="44"/>
      <c r="P323" s="44"/>
      <c r="Q323" s="44"/>
      <c r="R323" s="44"/>
      <c r="S323" s="44"/>
      <c r="T323" s="44"/>
      <c r="U323" s="44"/>
      <c r="V323" s="44"/>
      <c r="W323" s="44"/>
      <c r="X323" s="44"/>
      <c r="Y323" s="44"/>
      <c r="Z323" s="44"/>
      <c r="AB323" s="37" t="str">
        <f aca="false">TRIM($A323&amp;"")</f>
        <v/>
      </c>
      <c r="AC323" s="37" t="str">
        <f aca="false">IF(AB323="","",IFERROR(INDEX('Account Map'!$B:$B,MATCH(AB323,'Account Map'!$A:$A,0)),""))</f>
        <v/>
      </c>
      <c r="AD323" s="37" t="str">
        <f aca="false">IF(AB323="","",IFERROR(INDEX('Account Map'!$C:$C,MATCH(AB323,'Account Map'!$A:$A,0)),""))</f>
        <v/>
      </c>
      <c r="AE323" s="37" t="n">
        <f aca="false">IF(AND(AB323&lt;&gt;"",AC323="",COUNT($B323:$Z323)&gt;0,LEFT(AB323,5)&lt;&gt;"Total",AB323&lt;&gt;"Gross Profit",AB323&lt;&gt;"Net Profit",AB323&lt;&gt;"Operating Profit"),1,0)</f>
        <v>0</v>
      </c>
    </row>
    <row r="324" customFormat="false" ht="15" hidden="false" customHeight="false" outlineLevel="0" collapsed="false">
      <c r="B324" s="44"/>
      <c r="C324" s="44"/>
      <c r="D324" s="44"/>
      <c r="E324" s="44"/>
      <c r="F324" s="44"/>
      <c r="G324" s="44"/>
      <c r="H324" s="44"/>
      <c r="I324" s="44"/>
      <c r="J324" s="44"/>
      <c r="K324" s="44"/>
      <c r="L324" s="44"/>
      <c r="M324" s="44"/>
      <c r="N324" s="44"/>
      <c r="O324" s="44"/>
      <c r="P324" s="44"/>
      <c r="Q324" s="44"/>
      <c r="R324" s="44"/>
      <c r="S324" s="44"/>
      <c r="T324" s="44"/>
      <c r="U324" s="44"/>
      <c r="V324" s="44"/>
      <c r="W324" s="44"/>
      <c r="X324" s="44"/>
      <c r="Y324" s="44"/>
      <c r="Z324" s="44"/>
      <c r="AB324" s="37" t="str">
        <f aca="false">TRIM($A324&amp;"")</f>
        <v/>
      </c>
      <c r="AC324" s="37" t="str">
        <f aca="false">IF(AB324="","",IFERROR(INDEX('Account Map'!$B:$B,MATCH(AB324,'Account Map'!$A:$A,0)),""))</f>
        <v/>
      </c>
      <c r="AD324" s="37" t="str">
        <f aca="false">IF(AB324="","",IFERROR(INDEX('Account Map'!$C:$C,MATCH(AB324,'Account Map'!$A:$A,0)),""))</f>
        <v/>
      </c>
      <c r="AE324" s="37" t="n">
        <f aca="false">IF(AND(AB324&lt;&gt;"",AC324="",COUNT($B324:$Z324)&gt;0,LEFT(AB324,5)&lt;&gt;"Total",AB324&lt;&gt;"Gross Profit",AB324&lt;&gt;"Net Profit",AB324&lt;&gt;"Operating Profit"),1,0)</f>
        <v>0</v>
      </c>
    </row>
    <row r="325" customFormat="false" ht="15" hidden="false" customHeight="false" outlineLevel="0" collapsed="false">
      <c r="B325" s="44"/>
      <c r="C325" s="44"/>
      <c r="D325" s="44"/>
      <c r="E325" s="44"/>
      <c r="F325" s="44"/>
      <c r="G325" s="44"/>
      <c r="H325" s="44"/>
      <c r="I325" s="44"/>
      <c r="J325" s="44"/>
      <c r="K325" s="44"/>
      <c r="L325" s="44"/>
      <c r="M325" s="44"/>
      <c r="N325" s="44"/>
      <c r="O325" s="44"/>
      <c r="P325" s="44"/>
      <c r="Q325" s="44"/>
      <c r="R325" s="44"/>
      <c r="S325" s="44"/>
      <c r="T325" s="44"/>
      <c r="U325" s="44"/>
      <c r="V325" s="44"/>
      <c r="W325" s="44"/>
      <c r="X325" s="44"/>
      <c r="Y325" s="44"/>
      <c r="Z325" s="44"/>
      <c r="AB325" s="37" t="str">
        <f aca="false">TRIM($A325&amp;"")</f>
        <v/>
      </c>
      <c r="AC325" s="37" t="str">
        <f aca="false">IF(AB325="","",IFERROR(INDEX('Account Map'!$B:$B,MATCH(AB325,'Account Map'!$A:$A,0)),""))</f>
        <v/>
      </c>
      <c r="AD325" s="37" t="str">
        <f aca="false">IF(AB325="","",IFERROR(INDEX('Account Map'!$C:$C,MATCH(AB325,'Account Map'!$A:$A,0)),""))</f>
        <v/>
      </c>
      <c r="AE325" s="37" t="n">
        <f aca="false">IF(AND(AB325&lt;&gt;"",AC325="",COUNT($B325:$Z325)&gt;0,LEFT(AB325,5)&lt;&gt;"Total",AB325&lt;&gt;"Gross Profit",AB325&lt;&gt;"Net Profit",AB325&lt;&gt;"Operating Profit"),1,0)</f>
        <v>0</v>
      </c>
    </row>
    <row r="326" customFormat="false" ht="15" hidden="false" customHeight="false" outlineLevel="0" collapsed="false">
      <c r="B326" s="44"/>
      <c r="C326" s="44"/>
      <c r="D326" s="44"/>
      <c r="E326" s="44"/>
      <c r="F326" s="44"/>
      <c r="G326" s="44"/>
      <c r="H326" s="44"/>
      <c r="I326" s="44"/>
      <c r="J326" s="44"/>
      <c r="K326" s="44"/>
      <c r="L326" s="44"/>
      <c r="M326" s="44"/>
      <c r="N326" s="44"/>
      <c r="O326" s="44"/>
      <c r="P326" s="44"/>
      <c r="Q326" s="44"/>
      <c r="R326" s="44"/>
      <c r="S326" s="44"/>
      <c r="T326" s="44"/>
      <c r="U326" s="44"/>
      <c r="V326" s="44"/>
      <c r="W326" s="44"/>
      <c r="X326" s="44"/>
      <c r="Y326" s="44"/>
      <c r="Z326" s="44"/>
      <c r="AB326" s="37" t="str">
        <f aca="false">TRIM($A326&amp;"")</f>
        <v/>
      </c>
      <c r="AC326" s="37" t="str">
        <f aca="false">IF(AB326="","",IFERROR(INDEX('Account Map'!$B:$B,MATCH(AB326,'Account Map'!$A:$A,0)),""))</f>
        <v/>
      </c>
      <c r="AD326" s="37" t="str">
        <f aca="false">IF(AB326="","",IFERROR(INDEX('Account Map'!$C:$C,MATCH(AB326,'Account Map'!$A:$A,0)),""))</f>
        <v/>
      </c>
      <c r="AE326" s="37" t="n">
        <f aca="false">IF(AND(AB326&lt;&gt;"",AC326="",COUNT($B326:$Z326)&gt;0,LEFT(AB326,5)&lt;&gt;"Total",AB326&lt;&gt;"Gross Profit",AB326&lt;&gt;"Net Profit",AB326&lt;&gt;"Operating Profit"),1,0)</f>
        <v>0</v>
      </c>
    </row>
    <row r="327" customFormat="false" ht="15" hidden="false" customHeight="false" outlineLevel="0" collapsed="false">
      <c r="B327" s="44"/>
      <c r="C327" s="44"/>
      <c r="D327" s="44"/>
      <c r="E327" s="44"/>
      <c r="F327" s="44"/>
      <c r="G327" s="44"/>
      <c r="H327" s="44"/>
      <c r="I327" s="44"/>
      <c r="J327" s="44"/>
      <c r="K327" s="44"/>
      <c r="L327" s="44"/>
      <c r="M327" s="44"/>
      <c r="N327" s="44"/>
      <c r="O327" s="44"/>
      <c r="P327" s="44"/>
      <c r="Q327" s="44"/>
      <c r="R327" s="44"/>
      <c r="S327" s="44"/>
      <c r="T327" s="44"/>
      <c r="U327" s="44"/>
      <c r="V327" s="44"/>
      <c r="W327" s="44"/>
      <c r="X327" s="44"/>
      <c r="Y327" s="44"/>
      <c r="Z327" s="44"/>
      <c r="AB327" s="37" t="str">
        <f aca="false">TRIM($A327&amp;"")</f>
        <v/>
      </c>
      <c r="AC327" s="37" t="str">
        <f aca="false">IF(AB327="","",IFERROR(INDEX('Account Map'!$B:$B,MATCH(AB327,'Account Map'!$A:$A,0)),""))</f>
        <v/>
      </c>
      <c r="AD327" s="37" t="str">
        <f aca="false">IF(AB327="","",IFERROR(INDEX('Account Map'!$C:$C,MATCH(AB327,'Account Map'!$A:$A,0)),""))</f>
        <v/>
      </c>
      <c r="AE327" s="37" t="n">
        <f aca="false">IF(AND(AB327&lt;&gt;"",AC327="",COUNT($B327:$Z327)&gt;0,LEFT(AB327,5)&lt;&gt;"Total",AB327&lt;&gt;"Gross Profit",AB327&lt;&gt;"Net Profit",AB327&lt;&gt;"Operating Profit"),1,0)</f>
        <v>0</v>
      </c>
    </row>
    <row r="328" customFormat="false" ht="15" hidden="false" customHeight="false" outlineLevel="0" collapsed="false">
      <c r="B328" s="44"/>
      <c r="C328" s="44"/>
      <c r="D328" s="44"/>
      <c r="E328" s="44"/>
      <c r="F328" s="44"/>
      <c r="G328" s="44"/>
      <c r="H328" s="44"/>
      <c r="I328" s="44"/>
      <c r="J328" s="44"/>
      <c r="K328" s="44"/>
      <c r="L328" s="44"/>
      <c r="M328" s="44"/>
      <c r="N328" s="44"/>
      <c r="O328" s="44"/>
      <c r="P328" s="44"/>
      <c r="Q328" s="44"/>
      <c r="R328" s="44"/>
      <c r="S328" s="44"/>
      <c r="T328" s="44"/>
      <c r="U328" s="44"/>
      <c r="V328" s="44"/>
      <c r="W328" s="44"/>
      <c r="X328" s="44"/>
      <c r="Y328" s="44"/>
      <c r="Z328" s="44"/>
      <c r="AB328" s="37" t="str">
        <f aca="false">TRIM($A328&amp;"")</f>
        <v/>
      </c>
      <c r="AC328" s="37" t="str">
        <f aca="false">IF(AB328="","",IFERROR(INDEX('Account Map'!$B:$B,MATCH(AB328,'Account Map'!$A:$A,0)),""))</f>
        <v/>
      </c>
      <c r="AD328" s="37" t="str">
        <f aca="false">IF(AB328="","",IFERROR(INDEX('Account Map'!$C:$C,MATCH(AB328,'Account Map'!$A:$A,0)),""))</f>
        <v/>
      </c>
      <c r="AE328" s="37" t="n">
        <f aca="false">IF(AND(AB328&lt;&gt;"",AC328="",COUNT($B328:$Z328)&gt;0,LEFT(AB328,5)&lt;&gt;"Total",AB328&lt;&gt;"Gross Profit",AB328&lt;&gt;"Net Profit",AB328&lt;&gt;"Operating Profit"),1,0)</f>
        <v>0</v>
      </c>
    </row>
    <row r="329" customFormat="false" ht="15" hidden="false" customHeight="false" outlineLevel="0" collapsed="false">
      <c r="B329" s="44"/>
      <c r="C329" s="44"/>
      <c r="D329" s="44"/>
      <c r="E329" s="44"/>
      <c r="F329" s="44"/>
      <c r="G329" s="44"/>
      <c r="H329" s="44"/>
      <c r="I329" s="44"/>
      <c r="J329" s="44"/>
      <c r="K329" s="44"/>
      <c r="L329" s="44"/>
      <c r="M329" s="44"/>
      <c r="N329" s="44"/>
      <c r="O329" s="44"/>
      <c r="P329" s="44"/>
      <c r="Q329" s="44"/>
      <c r="R329" s="44"/>
      <c r="S329" s="44"/>
      <c r="T329" s="44"/>
      <c r="U329" s="44"/>
      <c r="V329" s="44"/>
      <c r="W329" s="44"/>
      <c r="X329" s="44"/>
      <c r="Y329" s="44"/>
      <c r="Z329" s="44"/>
      <c r="AB329" s="37" t="str">
        <f aca="false">TRIM($A329&amp;"")</f>
        <v/>
      </c>
      <c r="AC329" s="37" t="str">
        <f aca="false">IF(AB329="","",IFERROR(INDEX('Account Map'!$B:$B,MATCH(AB329,'Account Map'!$A:$A,0)),""))</f>
        <v/>
      </c>
      <c r="AD329" s="37" t="str">
        <f aca="false">IF(AB329="","",IFERROR(INDEX('Account Map'!$C:$C,MATCH(AB329,'Account Map'!$A:$A,0)),""))</f>
        <v/>
      </c>
      <c r="AE329" s="37" t="n">
        <f aca="false">IF(AND(AB329&lt;&gt;"",AC329="",COUNT($B329:$Z329)&gt;0,LEFT(AB329,5)&lt;&gt;"Total",AB329&lt;&gt;"Gross Profit",AB329&lt;&gt;"Net Profit",AB329&lt;&gt;"Operating Profit"),1,0)</f>
        <v>0</v>
      </c>
    </row>
    <row r="330" customFormat="false" ht="15" hidden="false" customHeight="false" outlineLevel="0" collapsed="false">
      <c r="B330" s="44"/>
      <c r="C330" s="44"/>
      <c r="D330" s="44"/>
      <c r="E330" s="44"/>
      <c r="F330" s="44"/>
      <c r="G330" s="44"/>
      <c r="H330" s="44"/>
      <c r="I330" s="44"/>
      <c r="J330" s="44"/>
      <c r="K330" s="44"/>
      <c r="L330" s="44"/>
      <c r="M330" s="44"/>
      <c r="N330" s="44"/>
      <c r="O330" s="44"/>
      <c r="P330" s="44"/>
      <c r="Q330" s="44"/>
      <c r="R330" s="44"/>
      <c r="S330" s="44"/>
      <c r="T330" s="44"/>
      <c r="U330" s="44"/>
      <c r="V330" s="44"/>
      <c r="W330" s="44"/>
      <c r="X330" s="44"/>
      <c r="Y330" s="44"/>
      <c r="Z330" s="44"/>
      <c r="AB330" s="37" t="str">
        <f aca="false">TRIM($A330&amp;"")</f>
        <v/>
      </c>
      <c r="AC330" s="37" t="str">
        <f aca="false">IF(AB330="","",IFERROR(INDEX('Account Map'!$B:$B,MATCH(AB330,'Account Map'!$A:$A,0)),""))</f>
        <v/>
      </c>
      <c r="AD330" s="37" t="str">
        <f aca="false">IF(AB330="","",IFERROR(INDEX('Account Map'!$C:$C,MATCH(AB330,'Account Map'!$A:$A,0)),""))</f>
        <v/>
      </c>
      <c r="AE330" s="37" t="n">
        <f aca="false">IF(AND(AB330&lt;&gt;"",AC330="",COUNT($B330:$Z330)&gt;0,LEFT(AB330,5)&lt;&gt;"Total",AB330&lt;&gt;"Gross Profit",AB330&lt;&gt;"Net Profit",AB330&lt;&gt;"Operating Profit"),1,0)</f>
        <v>0</v>
      </c>
    </row>
    <row r="331" customFormat="false" ht="15" hidden="false" customHeight="false" outlineLevel="0" collapsed="false">
      <c r="B331" s="44"/>
      <c r="C331" s="44"/>
      <c r="D331" s="44"/>
      <c r="E331" s="44"/>
      <c r="F331" s="44"/>
      <c r="G331" s="44"/>
      <c r="H331" s="44"/>
      <c r="I331" s="44"/>
      <c r="J331" s="44"/>
      <c r="K331" s="44"/>
      <c r="L331" s="44"/>
      <c r="M331" s="44"/>
      <c r="N331" s="44"/>
      <c r="O331" s="44"/>
      <c r="P331" s="44"/>
      <c r="Q331" s="44"/>
      <c r="R331" s="44"/>
      <c r="S331" s="44"/>
      <c r="T331" s="44"/>
      <c r="U331" s="44"/>
      <c r="V331" s="44"/>
      <c r="W331" s="44"/>
      <c r="X331" s="44"/>
      <c r="Y331" s="44"/>
      <c r="Z331" s="44"/>
      <c r="AB331" s="37" t="str">
        <f aca="false">TRIM($A331&amp;"")</f>
        <v/>
      </c>
      <c r="AC331" s="37" t="str">
        <f aca="false">IF(AB331="","",IFERROR(INDEX('Account Map'!$B:$B,MATCH(AB331,'Account Map'!$A:$A,0)),""))</f>
        <v/>
      </c>
      <c r="AD331" s="37" t="str">
        <f aca="false">IF(AB331="","",IFERROR(INDEX('Account Map'!$C:$C,MATCH(AB331,'Account Map'!$A:$A,0)),""))</f>
        <v/>
      </c>
      <c r="AE331" s="37" t="n">
        <f aca="false">IF(AND(AB331&lt;&gt;"",AC331="",COUNT($B331:$Z331)&gt;0,LEFT(AB331,5)&lt;&gt;"Total",AB331&lt;&gt;"Gross Profit",AB331&lt;&gt;"Net Profit",AB331&lt;&gt;"Operating Profit"),1,0)</f>
        <v>0</v>
      </c>
    </row>
    <row r="332" customFormat="false" ht="15" hidden="false" customHeight="false" outlineLevel="0" collapsed="false">
      <c r="B332" s="44"/>
      <c r="C332" s="44"/>
      <c r="D332" s="44"/>
      <c r="E332" s="44"/>
      <c r="F332" s="44"/>
      <c r="G332" s="44"/>
      <c r="H332" s="44"/>
      <c r="I332" s="44"/>
      <c r="J332" s="44"/>
      <c r="K332" s="44"/>
      <c r="L332" s="44"/>
      <c r="M332" s="44"/>
      <c r="N332" s="44"/>
      <c r="O332" s="44"/>
      <c r="P332" s="44"/>
      <c r="Q332" s="44"/>
      <c r="R332" s="44"/>
      <c r="S332" s="44"/>
      <c r="T332" s="44"/>
      <c r="U332" s="44"/>
      <c r="V332" s="44"/>
      <c r="W332" s="44"/>
      <c r="X332" s="44"/>
      <c r="Y332" s="44"/>
      <c r="Z332" s="44"/>
      <c r="AB332" s="37" t="str">
        <f aca="false">TRIM($A332&amp;"")</f>
        <v/>
      </c>
      <c r="AC332" s="37" t="str">
        <f aca="false">IF(AB332="","",IFERROR(INDEX('Account Map'!$B:$B,MATCH(AB332,'Account Map'!$A:$A,0)),""))</f>
        <v/>
      </c>
      <c r="AD332" s="37" t="str">
        <f aca="false">IF(AB332="","",IFERROR(INDEX('Account Map'!$C:$C,MATCH(AB332,'Account Map'!$A:$A,0)),""))</f>
        <v/>
      </c>
      <c r="AE332" s="37" t="n">
        <f aca="false">IF(AND(AB332&lt;&gt;"",AC332="",COUNT($B332:$Z332)&gt;0,LEFT(AB332,5)&lt;&gt;"Total",AB332&lt;&gt;"Gross Profit",AB332&lt;&gt;"Net Profit",AB332&lt;&gt;"Operating Profit"),1,0)</f>
        <v>0</v>
      </c>
    </row>
    <row r="333" customFormat="false" ht="15" hidden="false" customHeight="false" outlineLevel="0" collapsed="false">
      <c r="B333" s="44"/>
      <c r="C333" s="44"/>
      <c r="D333" s="44"/>
      <c r="E333" s="44"/>
      <c r="F333" s="44"/>
      <c r="G333" s="44"/>
      <c r="H333" s="44"/>
      <c r="I333" s="44"/>
      <c r="J333" s="44"/>
      <c r="K333" s="44"/>
      <c r="L333" s="44"/>
      <c r="M333" s="44"/>
      <c r="N333" s="44"/>
      <c r="O333" s="44"/>
      <c r="P333" s="44"/>
      <c r="Q333" s="44"/>
      <c r="R333" s="44"/>
      <c r="S333" s="44"/>
      <c r="T333" s="44"/>
      <c r="U333" s="44"/>
      <c r="V333" s="44"/>
      <c r="W333" s="44"/>
      <c r="X333" s="44"/>
      <c r="Y333" s="44"/>
      <c r="Z333" s="44"/>
      <c r="AB333" s="37" t="str">
        <f aca="false">TRIM($A333&amp;"")</f>
        <v/>
      </c>
      <c r="AC333" s="37" t="str">
        <f aca="false">IF(AB333="","",IFERROR(INDEX('Account Map'!$B:$B,MATCH(AB333,'Account Map'!$A:$A,0)),""))</f>
        <v/>
      </c>
      <c r="AD333" s="37" t="str">
        <f aca="false">IF(AB333="","",IFERROR(INDEX('Account Map'!$C:$C,MATCH(AB333,'Account Map'!$A:$A,0)),""))</f>
        <v/>
      </c>
      <c r="AE333" s="37" t="n">
        <f aca="false">IF(AND(AB333&lt;&gt;"",AC333="",COUNT($B333:$Z333)&gt;0,LEFT(AB333,5)&lt;&gt;"Total",AB333&lt;&gt;"Gross Profit",AB333&lt;&gt;"Net Profit",AB333&lt;&gt;"Operating Profit"),1,0)</f>
        <v>0</v>
      </c>
    </row>
    <row r="334" customFormat="false" ht="15" hidden="false" customHeight="false" outlineLevel="0" collapsed="false">
      <c r="B334" s="44"/>
      <c r="C334" s="44"/>
      <c r="D334" s="44"/>
      <c r="E334" s="44"/>
      <c r="F334" s="44"/>
      <c r="G334" s="44"/>
      <c r="H334" s="44"/>
      <c r="I334" s="44"/>
      <c r="J334" s="44"/>
      <c r="K334" s="44"/>
      <c r="L334" s="44"/>
      <c r="M334" s="44"/>
      <c r="N334" s="44"/>
      <c r="O334" s="44"/>
      <c r="P334" s="44"/>
      <c r="Q334" s="44"/>
      <c r="R334" s="44"/>
      <c r="S334" s="44"/>
      <c r="T334" s="44"/>
      <c r="U334" s="44"/>
      <c r="V334" s="44"/>
      <c r="W334" s="44"/>
      <c r="X334" s="44"/>
      <c r="Y334" s="44"/>
      <c r="Z334" s="44"/>
      <c r="AB334" s="37" t="str">
        <f aca="false">TRIM($A334&amp;"")</f>
        <v/>
      </c>
      <c r="AC334" s="37" t="str">
        <f aca="false">IF(AB334="","",IFERROR(INDEX('Account Map'!$B:$B,MATCH(AB334,'Account Map'!$A:$A,0)),""))</f>
        <v/>
      </c>
      <c r="AD334" s="37" t="str">
        <f aca="false">IF(AB334="","",IFERROR(INDEX('Account Map'!$C:$C,MATCH(AB334,'Account Map'!$A:$A,0)),""))</f>
        <v/>
      </c>
      <c r="AE334" s="37" t="n">
        <f aca="false">IF(AND(AB334&lt;&gt;"",AC334="",COUNT($B334:$Z334)&gt;0,LEFT(AB334,5)&lt;&gt;"Total",AB334&lt;&gt;"Gross Profit",AB334&lt;&gt;"Net Profit",AB334&lt;&gt;"Operating Profit"),1,0)</f>
        <v>0</v>
      </c>
    </row>
    <row r="335" customFormat="false" ht="15" hidden="false" customHeight="false" outlineLevel="0" collapsed="false">
      <c r="B335" s="44"/>
      <c r="C335" s="44"/>
      <c r="D335" s="44"/>
      <c r="E335" s="44"/>
      <c r="F335" s="44"/>
      <c r="G335" s="44"/>
      <c r="H335" s="44"/>
      <c r="I335" s="44"/>
      <c r="J335" s="44"/>
      <c r="K335" s="44"/>
      <c r="L335" s="44"/>
      <c r="M335" s="44"/>
      <c r="N335" s="44"/>
      <c r="O335" s="44"/>
      <c r="P335" s="44"/>
      <c r="Q335" s="44"/>
      <c r="R335" s="44"/>
      <c r="S335" s="44"/>
      <c r="T335" s="44"/>
      <c r="U335" s="44"/>
      <c r="V335" s="44"/>
      <c r="W335" s="44"/>
      <c r="X335" s="44"/>
      <c r="Y335" s="44"/>
      <c r="Z335" s="44"/>
      <c r="AB335" s="37" t="str">
        <f aca="false">TRIM($A335&amp;"")</f>
        <v/>
      </c>
      <c r="AC335" s="37" t="str">
        <f aca="false">IF(AB335="","",IFERROR(INDEX('Account Map'!$B:$B,MATCH(AB335,'Account Map'!$A:$A,0)),""))</f>
        <v/>
      </c>
      <c r="AD335" s="37" t="str">
        <f aca="false">IF(AB335="","",IFERROR(INDEX('Account Map'!$C:$C,MATCH(AB335,'Account Map'!$A:$A,0)),""))</f>
        <v/>
      </c>
      <c r="AE335" s="37" t="n">
        <f aca="false">IF(AND(AB335&lt;&gt;"",AC335="",COUNT($B335:$Z335)&gt;0,LEFT(AB335,5)&lt;&gt;"Total",AB335&lt;&gt;"Gross Profit",AB335&lt;&gt;"Net Profit",AB335&lt;&gt;"Operating Profit"),1,0)</f>
        <v>0</v>
      </c>
    </row>
    <row r="336" customFormat="false" ht="15" hidden="false" customHeight="false" outlineLevel="0" collapsed="false">
      <c r="B336" s="44"/>
      <c r="C336" s="44"/>
      <c r="D336" s="44"/>
      <c r="E336" s="44"/>
      <c r="F336" s="44"/>
      <c r="G336" s="44"/>
      <c r="H336" s="44"/>
      <c r="I336" s="44"/>
      <c r="J336" s="44"/>
      <c r="K336" s="44"/>
      <c r="L336" s="44"/>
      <c r="M336" s="44"/>
      <c r="N336" s="44"/>
      <c r="O336" s="44"/>
      <c r="P336" s="44"/>
      <c r="Q336" s="44"/>
      <c r="R336" s="44"/>
      <c r="S336" s="44"/>
      <c r="T336" s="44"/>
      <c r="U336" s="44"/>
      <c r="V336" s="44"/>
      <c r="W336" s="44"/>
      <c r="X336" s="44"/>
      <c r="Y336" s="44"/>
      <c r="Z336" s="44"/>
      <c r="AB336" s="37" t="str">
        <f aca="false">TRIM($A336&amp;"")</f>
        <v/>
      </c>
      <c r="AC336" s="37" t="str">
        <f aca="false">IF(AB336="","",IFERROR(INDEX('Account Map'!$B:$B,MATCH(AB336,'Account Map'!$A:$A,0)),""))</f>
        <v/>
      </c>
      <c r="AD336" s="37" t="str">
        <f aca="false">IF(AB336="","",IFERROR(INDEX('Account Map'!$C:$C,MATCH(AB336,'Account Map'!$A:$A,0)),""))</f>
        <v/>
      </c>
      <c r="AE336" s="37" t="n">
        <f aca="false">IF(AND(AB336&lt;&gt;"",AC336="",COUNT($B336:$Z336)&gt;0,LEFT(AB336,5)&lt;&gt;"Total",AB336&lt;&gt;"Gross Profit",AB336&lt;&gt;"Net Profit",AB336&lt;&gt;"Operating Profit"),1,0)</f>
        <v>0</v>
      </c>
    </row>
    <row r="337" customFormat="false" ht="15" hidden="false" customHeight="false" outlineLevel="0" collapsed="false">
      <c r="B337" s="44"/>
      <c r="C337" s="44"/>
      <c r="D337" s="44"/>
      <c r="E337" s="44"/>
      <c r="F337" s="44"/>
      <c r="G337" s="44"/>
      <c r="H337" s="44"/>
      <c r="I337" s="44"/>
      <c r="J337" s="44"/>
      <c r="K337" s="44"/>
      <c r="L337" s="44"/>
      <c r="M337" s="44"/>
      <c r="N337" s="44"/>
      <c r="O337" s="44"/>
      <c r="P337" s="44"/>
      <c r="Q337" s="44"/>
      <c r="R337" s="44"/>
      <c r="S337" s="44"/>
      <c r="T337" s="44"/>
      <c r="U337" s="44"/>
      <c r="V337" s="44"/>
      <c r="W337" s="44"/>
      <c r="X337" s="44"/>
      <c r="Y337" s="44"/>
      <c r="Z337" s="44"/>
      <c r="AB337" s="37" t="str">
        <f aca="false">TRIM($A337&amp;"")</f>
        <v/>
      </c>
      <c r="AC337" s="37" t="str">
        <f aca="false">IF(AB337="","",IFERROR(INDEX('Account Map'!$B:$B,MATCH(AB337,'Account Map'!$A:$A,0)),""))</f>
        <v/>
      </c>
      <c r="AD337" s="37" t="str">
        <f aca="false">IF(AB337="","",IFERROR(INDEX('Account Map'!$C:$C,MATCH(AB337,'Account Map'!$A:$A,0)),""))</f>
        <v/>
      </c>
      <c r="AE337" s="37" t="n">
        <f aca="false">IF(AND(AB337&lt;&gt;"",AC337="",COUNT($B337:$Z337)&gt;0,LEFT(AB337,5)&lt;&gt;"Total",AB337&lt;&gt;"Gross Profit",AB337&lt;&gt;"Net Profit",AB337&lt;&gt;"Operating Profit"),1,0)</f>
        <v>0</v>
      </c>
    </row>
    <row r="338" customFormat="false" ht="15" hidden="false" customHeight="false" outlineLevel="0" collapsed="false">
      <c r="B338" s="44"/>
      <c r="C338" s="44"/>
      <c r="D338" s="44"/>
      <c r="E338" s="44"/>
      <c r="F338" s="44"/>
      <c r="G338" s="44"/>
      <c r="H338" s="44"/>
      <c r="I338" s="44"/>
      <c r="J338" s="44"/>
      <c r="K338" s="44"/>
      <c r="L338" s="44"/>
      <c r="M338" s="44"/>
      <c r="N338" s="44"/>
      <c r="O338" s="44"/>
      <c r="P338" s="44"/>
      <c r="Q338" s="44"/>
      <c r="R338" s="44"/>
      <c r="S338" s="44"/>
      <c r="T338" s="44"/>
      <c r="U338" s="44"/>
      <c r="V338" s="44"/>
      <c r="W338" s="44"/>
      <c r="X338" s="44"/>
      <c r="Y338" s="44"/>
      <c r="Z338" s="44"/>
      <c r="AB338" s="37" t="str">
        <f aca="false">TRIM($A338&amp;"")</f>
        <v/>
      </c>
      <c r="AC338" s="37" t="str">
        <f aca="false">IF(AB338="","",IFERROR(INDEX('Account Map'!$B:$B,MATCH(AB338,'Account Map'!$A:$A,0)),""))</f>
        <v/>
      </c>
      <c r="AD338" s="37" t="str">
        <f aca="false">IF(AB338="","",IFERROR(INDEX('Account Map'!$C:$C,MATCH(AB338,'Account Map'!$A:$A,0)),""))</f>
        <v/>
      </c>
      <c r="AE338" s="37" t="n">
        <f aca="false">IF(AND(AB338&lt;&gt;"",AC338="",COUNT($B338:$Z338)&gt;0,LEFT(AB338,5)&lt;&gt;"Total",AB338&lt;&gt;"Gross Profit",AB338&lt;&gt;"Net Profit",AB338&lt;&gt;"Operating Profit"),1,0)</f>
        <v>0</v>
      </c>
    </row>
    <row r="339" customFormat="false" ht="15" hidden="false" customHeight="false" outlineLevel="0" collapsed="false">
      <c r="B339" s="44"/>
      <c r="C339" s="44"/>
      <c r="D339" s="44"/>
      <c r="E339" s="44"/>
      <c r="F339" s="44"/>
      <c r="G339" s="44"/>
      <c r="H339" s="44"/>
      <c r="I339" s="44"/>
      <c r="J339" s="44"/>
      <c r="K339" s="44"/>
      <c r="L339" s="44"/>
      <c r="M339" s="44"/>
      <c r="N339" s="44"/>
      <c r="O339" s="44"/>
      <c r="P339" s="44"/>
      <c r="Q339" s="44"/>
      <c r="R339" s="44"/>
      <c r="S339" s="44"/>
      <c r="T339" s="44"/>
      <c r="U339" s="44"/>
      <c r="V339" s="44"/>
      <c r="W339" s="44"/>
      <c r="X339" s="44"/>
      <c r="Y339" s="44"/>
      <c r="Z339" s="44"/>
      <c r="AB339" s="37" t="str">
        <f aca="false">TRIM($A339&amp;"")</f>
        <v/>
      </c>
      <c r="AC339" s="37" t="str">
        <f aca="false">IF(AB339="","",IFERROR(INDEX('Account Map'!$B:$B,MATCH(AB339,'Account Map'!$A:$A,0)),""))</f>
        <v/>
      </c>
      <c r="AD339" s="37" t="str">
        <f aca="false">IF(AB339="","",IFERROR(INDEX('Account Map'!$C:$C,MATCH(AB339,'Account Map'!$A:$A,0)),""))</f>
        <v/>
      </c>
      <c r="AE339" s="37" t="n">
        <f aca="false">IF(AND(AB339&lt;&gt;"",AC339="",COUNT($B339:$Z339)&gt;0,LEFT(AB339,5)&lt;&gt;"Total",AB339&lt;&gt;"Gross Profit",AB339&lt;&gt;"Net Profit",AB339&lt;&gt;"Operating Profit"),1,0)</f>
        <v>0</v>
      </c>
    </row>
    <row r="340" customFormat="false" ht="15" hidden="false" customHeight="false" outlineLevel="0" collapsed="false">
      <c r="B340" s="44"/>
      <c r="C340" s="44"/>
      <c r="D340" s="44"/>
      <c r="E340" s="44"/>
      <c r="F340" s="44"/>
      <c r="G340" s="44"/>
      <c r="H340" s="44"/>
      <c r="I340" s="44"/>
      <c r="J340" s="44"/>
      <c r="K340" s="44"/>
      <c r="L340" s="44"/>
      <c r="M340" s="44"/>
      <c r="N340" s="44"/>
      <c r="O340" s="44"/>
      <c r="P340" s="44"/>
      <c r="Q340" s="44"/>
      <c r="R340" s="44"/>
      <c r="S340" s="44"/>
      <c r="T340" s="44"/>
      <c r="U340" s="44"/>
      <c r="V340" s="44"/>
      <c r="W340" s="44"/>
      <c r="X340" s="44"/>
      <c r="Y340" s="44"/>
      <c r="Z340" s="44"/>
      <c r="AB340" s="37" t="str">
        <f aca="false">TRIM($A340&amp;"")</f>
        <v/>
      </c>
      <c r="AC340" s="37" t="str">
        <f aca="false">IF(AB340="","",IFERROR(INDEX('Account Map'!$B:$B,MATCH(AB340,'Account Map'!$A:$A,0)),""))</f>
        <v/>
      </c>
      <c r="AD340" s="37" t="str">
        <f aca="false">IF(AB340="","",IFERROR(INDEX('Account Map'!$C:$C,MATCH(AB340,'Account Map'!$A:$A,0)),""))</f>
        <v/>
      </c>
      <c r="AE340" s="37" t="n">
        <f aca="false">IF(AND(AB340&lt;&gt;"",AC340="",COUNT($B340:$Z340)&gt;0,LEFT(AB340,5)&lt;&gt;"Total",AB340&lt;&gt;"Gross Profit",AB340&lt;&gt;"Net Profit",AB340&lt;&gt;"Operating Profit"),1,0)</f>
        <v>0</v>
      </c>
    </row>
    <row r="341" customFormat="false" ht="15" hidden="false" customHeight="false" outlineLevel="0" collapsed="false">
      <c r="B341" s="44"/>
      <c r="C341" s="44"/>
      <c r="D341" s="44"/>
      <c r="E341" s="44"/>
      <c r="F341" s="44"/>
      <c r="G341" s="44"/>
      <c r="H341" s="44"/>
      <c r="I341" s="44"/>
      <c r="J341" s="44"/>
      <c r="K341" s="44"/>
      <c r="L341" s="44"/>
      <c r="M341" s="44"/>
      <c r="N341" s="44"/>
      <c r="O341" s="44"/>
      <c r="P341" s="44"/>
      <c r="Q341" s="44"/>
      <c r="R341" s="44"/>
      <c r="S341" s="44"/>
      <c r="T341" s="44"/>
      <c r="U341" s="44"/>
      <c r="V341" s="44"/>
      <c r="W341" s="44"/>
      <c r="X341" s="44"/>
      <c r="Y341" s="44"/>
      <c r="Z341" s="44"/>
      <c r="AB341" s="37" t="str">
        <f aca="false">TRIM($A341&amp;"")</f>
        <v/>
      </c>
      <c r="AC341" s="37" t="str">
        <f aca="false">IF(AB341="","",IFERROR(INDEX('Account Map'!$B:$B,MATCH(AB341,'Account Map'!$A:$A,0)),""))</f>
        <v/>
      </c>
      <c r="AD341" s="37" t="str">
        <f aca="false">IF(AB341="","",IFERROR(INDEX('Account Map'!$C:$C,MATCH(AB341,'Account Map'!$A:$A,0)),""))</f>
        <v/>
      </c>
      <c r="AE341" s="37" t="n">
        <f aca="false">IF(AND(AB341&lt;&gt;"",AC341="",COUNT($B341:$Z341)&gt;0,LEFT(AB341,5)&lt;&gt;"Total",AB341&lt;&gt;"Gross Profit",AB341&lt;&gt;"Net Profit",AB341&lt;&gt;"Operating Profit"),1,0)</f>
        <v>0</v>
      </c>
    </row>
    <row r="342" customFormat="false" ht="15" hidden="false" customHeight="false" outlineLevel="0" collapsed="false">
      <c r="B342" s="44"/>
      <c r="C342" s="44"/>
      <c r="D342" s="44"/>
      <c r="E342" s="44"/>
      <c r="F342" s="44"/>
      <c r="G342" s="44"/>
      <c r="H342" s="44"/>
      <c r="I342" s="44"/>
      <c r="J342" s="44"/>
      <c r="K342" s="44"/>
      <c r="L342" s="44"/>
      <c r="M342" s="44"/>
      <c r="N342" s="44"/>
      <c r="O342" s="44"/>
      <c r="P342" s="44"/>
      <c r="Q342" s="44"/>
      <c r="R342" s="44"/>
      <c r="S342" s="44"/>
      <c r="T342" s="44"/>
      <c r="U342" s="44"/>
      <c r="V342" s="44"/>
      <c r="W342" s="44"/>
      <c r="X342" s="44"/>
      <c r="Y342" s="44"/>
      <c r="Z342" s="44"/>
      <c r="AB342" s="37" t="str">
        <f aca="false">TRIM($A342&amp;"")</f>
        <v/>
      </c>
      <c r="AC342" s="37" t="str">
        <f aca="false">IF(AB342="","",IFERROR(INDEX('Account Map'!$B:$B,MATCH(AB342,'Account Map'!$A:$A,0)),""))</f>
        <v/>
      </c>
      <c r="AD342" s="37" t="str">
        <f aca="false">IF(AB342="","",IFERROR(INDEX('Account Map'!$C:$C,MATCH(AB342,'Account Map'!$A:$A,0)),""))</f>
        <v/>
      </c>
      <c r="AE342" s="37" t="n">
        <f aca="false">IF(AND(AB342&lt;&gt;"",AC342="",COUNT($B342:$Z342)&gt;0,LEFT(AB342,5)&lt;&gt;"Total",AB342&lt;&gt;"Gross Profit",AB342&lt;&gt;"Net Profit",AB342&lt;&gt;"Operating Profit"),1,0)</f>
        <v>0</v>
      </c>
    </row>
    <row r="343" customFormat="false" ht="15" hidden="false" customHeight="false" outlineLevel="0" collapsed="false">
      <c r="B343" s="44"/>
      <c r="C343" s="44"/>
      <c r="D343" s="44"/>
      <c r="E343" s="44"/>
      <c r="F343" s="44"/>
      <c r="G343" s="44"/>
      <c r="H343" s="44"/>
      <c r="I343" s="44"/>
      <c r="J343" s="44"/>
      <c r="K343" s="44"/>
      <c r="L343" s="44"/>
      <c r="M343" s="44"/>
      <c r="N343" s="44"/>
      <c r="O343" s="44"/>
      <c r="P343" s="44"/>
      <c r="Q343" s="44"/>
      <c r="R343" s="44"/>
      <c r="S343" s="44"/>
      <c r="T343" s="44"/>
      <c r="U343" s="44"/>
      <c r="V343" s="44"/>
      <c r="W343" s="44"/>
      <c r="X343" s="44"/>
      <c r="Y343" s="44"/>
      <c r="Z343" s="44"/>
      <c r="AB343" s="37" t="str">
        <f aca="false">TRIM($A343&amp;"")</f>
        <v/>
      </c>
      <c r="AC343" s="37" t="str">
        <f aca="false">IF(AB343="","",IFERROR(INDEX('Account Map'!$B:$B,MATCH(AB343,'Account Map'!$A:$A,0)),""))</f>
        <v/>
      </c>
      <c r="AD343" s="37" t="str">
        <f aca="false">IF(AB343="","",IFERROR(INDEX('Account Map'!$C:$C,MATCH(AB343,'Account Map'!$A:$A,0)),""))</f>
        <v/>
      </c>
      <c r="AE343" s="37" t="n">
        <f aca="false">IF(AND(AB343&lt;&gt;"",AC343="",COUNT($B343:$Z343)&gt;0,LEFT(AB343,5)&lt;&gt;"Total",AB343&lt;&gt;"Gross Profit",AB343&lt;&gt;"Net Profit",AB343&lt;&gt;"Operating Profit"),1,0)</f>
        <v>0</v>
      </c>
    </row>
    <row r="344" customFormat="false" ht="15" hidden="false" customHeight="false" outlineLevel="0" collapsed="false">
      <c r="B344" s="44"/>
      <c r="C344" s="44"/>
      <c r="D344" s="44"/>
      <c r="E344" s="44"/>
      <c r="F344" s="44"/>
      <c r="G344" s="44"/>
      <c r="H344" s="44"/>
      <c r="I344" s="44"/>
      <c r="J344" s="44"/>
      <c r="K344" s="44"/>
      <c r="L344" s="44"/>
      <c r="M344" s="44"/>
      <c r="N344" s="44"/>
      <c r="O344" s="44"/>
      <c r="P344" s="44"/>
      <c r="Q344" s="44"/>
      <c r="R344" s="44"/>
      <c r="S344" s="44"/>
      <c r="T344" s="44"/>
      <c r="U344" s="44"/>
      <c r="V344" s="44"/>
      <c r="W344" s="44"/>
      <c r="X344" s="44"/>
      <c r="Y344" s="44"/>
      <c r="Z344" s="44"/>
      <c r="AB344" s="37" t="str">
        <f aca="false">TRIM($A344&amp;"")</f>
        <v/>
      </c>
      <c r="AC344" s="37" t="str">
        <f aca="false">IF(AB344="","",IFERROR(INDEX('Account Map'!$B:$B,MATCH(AB344,'Account Map'!$A:$A,0)),""))</f>
        <v/>
      </c>
      <c r="AD344" s="37" t="str">
        <f aca="false">IF(AB344="","",IFERROR(INDEX('Account Map'!$C:$C,MATCH(AB344,'Account Map'!$A:$A,0)),""))</f>
        <v/>
      </c>
      <c r="AE344" s="37" t="n">
        <f aca="false">IF(AND(AB344&lt;&gt;"",AC344="",COUNT($B344:$Z344)&gt;0,LEFT(AB344,5)&lt;&gt;"Total",AB344&lt;&gt;"Gross Profit",AB344&lt;&gt;"Net Profit",AB344&lt;&gt;"Operating Profit"),1,0)</f>
        <v>0</v>
      </c>
    </row>
    <row r="345" customFormat="false" ht="15" hidden="false" customHeight="false" outlineLevel="0" collapsed="false">
      <c r="B345" s="44"/>
      <c r="C345" s="44"/>
      <c r="D345" s="44"/>
      <c r="E345" s="44"/>
      <c r="F345" s="44"/>
      <c r="G345" s="44"/>
      <c r="H345" s="44"/>
      <c r="I345" s="44"/>
      <c r="J345" s="44"/>
      <c r="K345" s="44"/>
      <c r="L345" s="44"/>
      <c r="M345" s="44"/>
      <c r="N345" s="44"/>
      <c r="O345" s="44"/>
      <c r="P345" s="44"/>
      <c r="Q345" s="44"/>
      <c r="R345" s="44"/>
      <c r="S345" s="44"/>
      <c r="T345" s="44"/>
      <c r="U345" s="44"/>
      <c r="V345" s="44"/>
      <c r="W345" s="44"/>
      <c r="X345" s="44"/>
      <c r="Y345" s="44"/>
      <c r="Z345" s="44"/>
      <c r="AB345" s="37" t="str">
        <f aca="false">TRIM($A345&amp;"")</f>
        <v/>
      </c>
      <c r="AC345" s="37" t="str">
        <f aca="false">IF(AB345="","",IFERROR(INDEX('Account Map'!$B:$B,MATCH(AB345,'Account Map'!$A:$A,0)),""))</f>
        <v/>
      </c>
      <c r="AD345" s="37" t="str">
        <f aca="false">IF(AB345="","",IFERROR(INDEX('Account Map'!$C:$C,MATCH(AB345,'Account Map'!$A:$A,0)),""))</f>
        <v/>
      </c>
      <c r="AE345" s="37" t="n">
        <f aca="false">IF(AND(AB345&lt;&gt;"",AC345="",COUNT($B345:$Z345)&gt;0,LEFT(AB345,5)&lt;&gt;"Total",AB345&lt;&gt;"Gross Profit",AB345&lt;&gt;"Net Profit",AB345&lt;&gt;"Operating Profit"),1,0)</f>
        <v>0</v>
      </c>
    </row>
    <row r="346" customFormat="false" ht="15" hidden="false" customHeight="false" outlineLevel="0" collapsed="false">
      <c r="B346" s="44"/>
      <c r="C346" s="44"/>
      <c r="D346" s="44"/>
      <c r="E346" s="44"/>
      <c r="F346" s="44"/>
      <c r="G346" s="44"/>
      <c r="H346" s="44"/>
      <c r="I346" s="44"/>
      <c r="J346" s="44"/>
      <c r="K346" s="44"/>
      <c r="L346" s="44"/>
      <c r="M346" s="44"/>
      <c r="N346" s="44"/>
      <c r="O346" s="44"/>
      <c r="P346" s="44"/>
      <c r="Q346" s="44"/>
      <c r="R346" s="44"/>
      <c r="S346" s="44"/>
      <c r="T346" s="44"/>
      <c r="U346" s="44"/>
      <c r="V346" s="44"/>
      <c r="W346" s="44"/>
      <c r="X346" s="44"/>
      <c r="Y346" s="44"/>
      <c r="Z346" s="44"/>
      <c r="AB346" s="37" t="str">
        <f aca="false">TRIM($A346&amp;"")</f>
        <v/>
      </c>
      <c r="AC346" s="37" t="str">
        <f aca="false">IF(AB346="","",IFERROR(INDEX('Account Map'!$B:$B,MATCH(AB346,'Account Map'!$A:$A,0)),""))</f>
        <v/>
      </c>
      <c r="AD346" s="37" t="str">
        <f aca="false">IF(AB346="","",IFERROR(INDEX('Account Map'!$C:$C,MATCH(AB346,'Account Map'!$A:$A,0)),""))</f>
        <v/>
      </c>
      <c r="AE346" s="37" t="n">
        <f aca="false">IF(AND(AB346&lt;&gt;"",AC346="",COUNT($B346:$Z346)&gt;0,LEFT(AB346,5)&lt;&gt;"Total",AB346&lt;&gt;"Gross Profit",AB346&lt;&gt;"Net Profit",AB346&lt;&gt;"Operating Profit"),1,0)</f>
        <v>0</v>
      </c>
    </row>
    <row r="347" customFormat="false" ht="15" hidden="false" customHeight="false" outlineLevel="0" collapsed="false">
      <c r="B347" s="44"/>
      <c r="C347" s="44"/>
      <c r="D347" s="44"/>
      <c r="E347" s="44"/>
      <c r="F347" s="44"/>
      <c r="G347" s="44"/>
      <c r="H347" s="44"/>
      <c r="I347" s="44"/>
      <c r="J347" s="44"/>
      <c r="K347" s="44"/>
      <c r="L347" s="44"/>
      <c r="M347" s="44"/>
      <c r="N347" s="44"/>
      <c r="O347" s="44"/>
      <c r="P347" s="44"/>
      <c r="Q347" s="44"/>
      <c r="R347" s="44"/>
      <c r="S347" s="44"/>
      <c r="T347" s="44"/>
      <c r="U347" s="44"/>
      <c r="V347" s="44"/>
      <c r="W347" s="44"/>
      <c r="X347" s="44"/>
      <c r="Y347" s="44"/>
      <c r="Z347" s="44"/>
      <c r="AB347" s="37" t="str">
        <f aca="false">TRIM($A347&amp;"")</f>
        <v/>
      </c>
      <c r="AC347" s="37" t="str">
        <f aca="false">IF(AB347="","",IFERROR(INDEX('Account Map'!$B:$B,MATCH(AB347,'Account Map'!$A:$A,0)),""))</f>
        <v/>
      </c>
      <c r="AD347" s="37" t="str">
        <f aca="false">IF(AB347="","",IFERROR(INDEX('Account Map'!$C:$C,MATCH(AB347,'Account Map'!$A:$A,0)),""))</f>
        <v/>
      </c>
      <c r="AE347" s="37" t="n">
        <f aca="false">IF(AND(AB347&lt;&gt;"",AC347="",COUNT($B347:$Z347)&gt;0,LEFT(AB347,5)&lt;&gt;"Total",AB347&lt;&gt;"Gross Profit",AB347&lt;&gt;"Net Profit",AB347&lt;&gt;"Operating Profit"),1,0)</f>
        <v>0</v>
      </c>
    </row>
    <row r="348" customFormat="false" ht="15" hidden="false" customHeight="false" outlineLevel="0" collapsed="false">
      <c r="B348" s="44"/>
      <c r="C348" s="44"/>
      <c r="D348" s="44"/>
      <c r="E348" s="44"/>
      <c r="F348" s="44"/>
      <c r="G348" s="44"/>
      <c r="H348" s="44"/>
      <c r="I348" s="44"/>
      <c r="J348" s="44"/>
      <c r="K348" s="44"/>
      <c r="L348" s="44"/>
      <c r="M348" s="44"/>
      <c r="N348" s="44"/>
      <c r="O348" s="44"/>
      <c r="P348" s="44"/>
      <c r="Q348" s="44"/>
      <c r="R348" s="44"/>
      <c r="S348" s="44"/>
      <c r="T348" s="44"/>
      <c r="U348" s="44"/>
      <c r="V348" s="44"/>
      <c r="W348" s="44"/>
      <c r="X348" s="44"/>
      <c r="Y348" s="44"/>
      <c r="Z348" s="44"/>
      <c r="AB348" s="37" t="str">
        <f aca="false">TRIM($A348&amp;"")</f>
        <v/>
      </c>
      <c r="AC348" s="37" t="str">
        <f aca="false">IF(AB348="","",IFERROR(INDEX('Account Map'!$B:$B,MATCH(AB348,'Account Map'!$A:$A,0)),""))</f>
        <v/>
      </c>
      <c r="AD348" s="37" t="str">
        <f aca="false">IF(AB348="","",IFERROR(INDEX('Account Map'!$C:$C,MATCH(AB348,'Account Map'!$A:$A,0)),""))</f>
        <v/>
      </c>
      <c r="AE348" s="37" t="n">
        <f aca="false">IF(AND(AB348&lt;&gt;"",AC348="",COUNT($B348:$Z348)&gt;0,LEFT(AB348,5)&lt;&gt;"Total",AB348&lt;&gt;"Gross Profit",AB348&lt;&gt;"Net Profit",AB348&lt;&gt;"Operating Profit"),1,0)</f>
        <v>0</v>
      </c>
    </row>
    <row r="349" customFormat="false" ht="15" hidden="false" customHeight="false" outlineLevel="0" collapsed="false">
      <c r="B349" s="44"/>
      <c r="C349" s="44"/>
      <c r="D349" s="44"/>
      <c r="E349" s="44"/>
      <c r="F349" s="44"/>
      <c r="G349" s="44"/>
      <c r="H349" s="44"/>
      <c r="I349" s="44"/>
      <c r="J349" s="44"/>
      <c r="K349" s="44"/>
      <c r="L349" s="44"/>
      <c r="M349" s="44"/>
      <c r="N349" s="44"/>
      <c r="O349" s="44"/>
      <c r="P349" s="44"/>
      <c r="Q349" s="44"/>
      <c r="R349" s="44"/>
      <c r="S349" s="44"/>
      <c r="T349" s="44"/>
      <c r="U349" s="44"/>
      <c r="V349" s="44"/>
      <c r="W349" s="44"/>
      <c r="X349" s="44"/>
      <c r="Y349" s="44"/>
      <c r="Z349" s="44"/>
      <c r="AB349" s="37" t="str">
        <f aca="false">TRIM($A349&amp;"")</f>
        <v/>
      </c>
      <c r="AC349" s="37" t="str">
        <f aca="false">IF(AB349="","",IFERROR(INDEX('Account Map'!$B:$B,MATCH(AB349,'Account Map'!$A:$A,0)),""))</f>
        <v/>
      </c>
      <c r="AD349" s="37" t="str">
        <f aca="false">IF(AB349="","",IFERROR(INDEX('Account Map'!$C:$C,MATCH(AB349,'Account Map'!$A:$A,0)),""))</f>
        <v/>
      </c>
      <c r="AE349" s="37" t="n">
        <f aca="false">IF(AND(AB349&lt;&gt;"",AC349="",COUNT($B349:$Z349)&gt;0,LEFT(AB349,5)&lt;&gt;"Total",AB349&lt;&gt;"Gross Profit",AB349&lt;&gt;"Net Profit",AB349&lt;&gt;"Operating Profit"),1,0)</f>
        <v>0</v>
      </c>
    </row>
    <row r="350" customFormat="false" ht="15" hidden="false" customHeight="false" outlineLevel="0" collapsed="false">
      <c r="B350" s="44"/>
      <c r="C350" s="44"/>
      <c r="D350" s="44"/>
      <c r="E350" s="44"/>
      <c r="F350" s="44"/>
      <c r="G350" s="44"/>
      <c r="H350" s="44"/>
      <c r="I350" s="44"/>
      <c r="J350" s="44"/>
      <c r="K350" s="44"/>
      <c r="L350" s="44"/>
      <c r="M350" s="44"/>
      <c r="N350" s="44"/>
      <c r="O350" s="44"/>
      <c r="P350" s="44"/>
      <c r="Q350" s="44"/>
      <c r="R350" s="44"/>
      <c r="S350" s="44"/>
      <c r="T350" s="44"/>
      <c r="U350" s="44"/>
      <c r="V350" s="44"/>
      <c r="W350" s="44"/>
      <c r="X350" s="44"/>
      <c r="Y350" s="44"/>
      <c r="Z350" s="44"/>
      <c r="AB350" s="37" t="str">
        <f aca="false">TRIM($A350&amp;"")</f>
        <v/>
      </c>
      <c r="AC350" s="37" t="str">
        <f aca="false">IF(AB350="","",IFERROR(INDEX('Account Map'!$B:$B,MATCH(AB350,'Account Map'!$A:$A,0)),""))</f>
        <v/>
      </c>
      <c r="AD350" s="37" t="str">
        <f aca="false">IF(AB350="","",IFERROR(INDEX('Account Map'!$C:$C,MATCH(AB350,'Account Map'!$A:$A,0)),""))</f>
        <v/>
      </c>
      <c r="AE350" s="37" t="n">
        <f aca="false">IF(AND(AB350&lt;&gt;"",AC350="",COUNT($B350:$Z350)&gt;0,LEFT(AB350,5)&lt;&gt;"Total",AB350&lt;&gt;"Gross Profit",AB350&lt;&gt;"Net Profit",AB350&lt;&gt;"Operating Profit"),1,0)</f>
        <v>0</v>
      </c>
    </row>
    <row r="351" customFormat="false" ht="15" hidden="false" customHeight="false" outlineLevel="0" collapsed="false">
      <c r="B351" s="44"/>
      <c r="C351" s="44"/>
      <c r="D351" s="44"/>
      <c r="E351" s="44"/>
      <c r="F351" s="44"/>
      <c r="G351" s="44"/>
      <c r="H351" s="44"/>
      <c r="I351" s="44"/>
      <c r="J351" s="44"/>
      <c r="K351" s="44"/>
      <c r="L351" s="44"/>
      <c r="M351" s="44"/>
      <c r="N351" s="44"/>
      <c r="O351" s="44"/>
      <c r="P351" s="44"/>
      <c r="Q351" s="44"/>
      <c r="R351" s="44"/>
      <c r="S351" s="44"/>
      <c r="T351" s="44"/>
      <c r="U351" s="44"/>
      <c r="V351" s="44"/>
      <c r="W351" s="44"/>
      <c r="X351" s="44"/>
      <c r="Y351" s="44"/>
      <c r="Z351" s="44"/>
      <c r="AB351" s="37" t="str">
        <f aca="false">TRIM($A351&amp;"")</f>
        <v/>
      </c>
      <c r="AC351" s="37" t="str">
        <f aca="false">IF(AB351="","",IFERROR(INDEX('Account Map'!$B:$B,MATCH(AB351,'Account Map'!$A:$A,0)),""))</f>
        <v/>
      </c>
      <c r="AD351" s="37" t="str">
        <f aca="false">IF(AB351="","",IFERROR(INDEX('Account Map'!$C:$C,MATCH(AB351,'Account Map'!$A:$A,0)),""))</f>
        <v/>
      </c>
      <c r="AE351" s="37" t="n">
        <f aca="false">IF(AND(AB351&lt;&gt;"",AC351="",COUNT($B351:$Z351)&gt;0,LEFT(AB351,5)&lt;&gt;"Total",AB351&lt;&gt;"Gross Profit",AB351&lt;&gt;"Net Profit",AB351&lt;&gt;"Operating Profit"),1,0)</f>
        <v>0</v>
      </c>
    </row>
    <row r="352" customFormat="false" ht="15" hidden="false" customHeight="false" outlineLevel="0" collapsed="false">
      <c r="B352" s="44"/>
      <c r="C352" s="44"/>
      <c r="D352" s="44"/>
      <c r="E352" s="44"/>
      <c r="F352" s="44"/>
      <c r="G352" s="44"/>
      <c r="H352" s="44"/>
      <c r="I352" s="44"/>
      <c r="J352" s="44"/>
      <c r="K352" s="44"/>
      <c r="L352" s="44"/>
      <c r="M352" s="44"/>
      <c r="N352" s="44"/>
      <c r="O352" s="44"/>
      <c r="P352" s="44"/>
      <c r="Q352" s="44"/>
      <c r="R352" s="44"/>
      <c r="S352" s="44"/>
      <c r="T352" s="44"/>
      <c r="U352" s="44"/>
      <c r="V352" s="44"/>
      <c r="W352" s="44"/>
      <c r="X352" s="44"/>
      <c r="Y352" s="44"/>
      <c r="Z352" s="44"/>
      <c r="AB352" s="37" t="str">
        <f aca="false">TRIM($A352&amp;"")</f>
        <v/>
      </c>
      <c r="AC352" s="37" t="str">
        <f aca="false">IF(AB352="","",IFERROR(INDEX('Account Map'!$B:$B,MATCH(AB352,'Account Map'!$A:$A,0)),""))</f>
        <v/>
      </c>
      <c r="AD352" s="37" t="str">
        <f aca="false">IF(AB352="","",IFERROR(INDEX('Account Map'!$C:$C,MATCH(AB352,'Account Map'!$A:$A,0)),""))</f>
        <v/>
      </c>
      <c r="AE352" s="37" t="n">
        <f aca="false">IF(AND(AB352&lt;&gt;"",AC352="",COUNT($B352:$Z352)&gt;0,LEFT(AB352,5)&lt;&gt;"Total",AB352&lt;&gt;"Gross Profit",AB352&lt;&gt;"Net Profit",AB352&lt;&gt;"Operating Profit"),1,0)</f>
        <v>0</v>
      </c>
    </row>
    <row r="353" customFormat="false" ht="15" hidden="false" customHeight="false" outlineLevel="0" collapsed="false">
      <c r="B353" s="44"/>
      <c r="C353" s="44"/>
      <c r="D353" s="44"/>
      <c r="E353" s="44"/>
      <c r="F353" s="44"/>
      <c r="G353" s="44"/>
      <c r="H353" s="44"/>
      <c r="I353" s="44"/>
      <c r="J353" s="44"/>
      <c r="K353" s="44"/>
      <c r="L353" s="44"/>
      <c r="M353" s="44"/>
      <c r="N353" s="44"/>
      <c r="O353" s="44"/>
      <c r="P353" s="44"/>
      <c r="Q353" s="44"/>
      <c r="R353" s="44"/>
      <c r="S353" s="44"/>
      <c r="T353" s="44"/>
      <c r="U353" s="44"/>
      <c r="V353" s="44"/>
      <c r="W353" s="44"/>
      <c r="X353" s="44"/>
      <c r="Y353" s="44"/>
      <c r="Z353" s="44"/>
      <c r="AB353" s="37" t="str">
        <f aca="false">TRIM($A353&amp;"")</f>
        <v/>
      </c>
      <c r="AC353" s="37" t="str">
        <f aca="false">IF(AB353="","",IFERROR(INDEX('Account Map'!$B:$B,MATCH(AB353,'Account Map'!$A:$A,0)),""))</f>
        <v/>
      </c>
      <c r="AD353" s="37" t="str">
        <f aca="false">IF(AB353="","",IFERROR(INDEX('Account Map'!$C:$C,MATCH(AB353,'Account Map'!$A:$A,0)),""))</f>
        <v/>
      </c>
      <c r="AE353" s="37" t="n">
        <f aca="false">IF(AND(AB353&lt;&gt;"",AC353="",COUNT($B353:$Z353)&gt;0,LEFT(AB353,5)&lt;&gt;"Total",AB353&lt;&gt;"Gross Profit",AB353&lt;&gt;"Net Profit",AB353&lt;&gt;"Operating Profit"),1,0)</f>
        <v>0</v>
      </c>
    </row>
    <row r="354" customFormat="false" ht="15" hidden="false" customHeight="false" outlineLevel="0" collapsed="false">
      <c r="B354" s="44"/>
      <c r="C354" s="44"/>
      <c r="D354" s="44"/>
      <c r="E354" s="44"/>
      <c r="F354" s="44"/>
      <c r="G354" s="44"/>
      <c r="H354" s="44"/>
      <c r="I354" s="44"/>
      <c r="J354" s="44"/>
      <c r="K354" s="44"/>
      <c r="L354" s="44"/>
      <c r="M354" s="44"/>
      <c r="N354" s="44"/>
      <c r="O354" s="44"/>
      <c r="P354" s="44"/>
      <c r="Q354" s="44"/>
      <c r="R354" s="44"/>
      <c r="S354" s="44"/>
      <c r="T354" s="44"/>
      <c r="U354" s="44"/>
      <c r="V354" s="44"/>
      <c r="W354" s="44"/>
      <c r="X354" s="44"/>
      <c r="Y354" s="44"/>
      <c r="Z354" s="44"/>
      <c r="AB354" s="37" t="str">
        <f aca="false">TRIM($A354&amp;"")</f>
        <v/>
      </c>
      <c r="AC354" s="37" t="str">
        <f aca="false">IF(AB354="","",IFERROR(INDEX('Account Map'!$B:$B,MATCH(AB354,'Account Map'!$A:$A,0)),""))</f>
        <v/>
      </c>
      <c r="AD354" s="37" t="str">
        <f aca="false">IF(AB354="","",IFERROR(INDEX('Account Map'!$C:$C,MATCH(AB354,'Account Map'!$A:$A,0)),""))</f>
        <v/>
      </c>
      <c r="AE354" s="37" t="n">
        <f aca="false">IF(AND(AB354&lt;&gt;"",AC354="",COUNT($B354:$Z354)&gt;0,LEFT(AB354,5)&lt;&gt;"Total",AB354&lt;&gt;"Gross Profit",AB354&lt;&gt;"Net Profit",AB354&lt;&gt;"Operating Profit"),1,0)</f>
        <v>0</v>
      </c>
    </row>
    <row r="355" customFormat="false" ht="15" hidden="false" customHeight="false" outlineLevel="0" collapsed="false">
      <c r="B355" s="44"/>
      <c r="C355" s="44"/>
      <c r="D355" s="44"/>
      <c r="E355" s="44"/>
      <c r="F355" s="44"/>
      <c r="G355" s="44"/>
      <c r="H355" s="44"/>
      <c r="I355" s="44"/>
      <c r="J355" s="44"/>
      <c r="K355" s="44"/>
      <c r="L355" s="44"/>
      <c r="M355" s="44"/>
      <c r="N355" s="44"/>
      <c r="O355" s="44"/>
      <c r="P355" s="44"/>
      <c r="Q355" s="44"/>
      <c r="R355" s="44"/>
      <c r="S355" s="44"/>
      <c r="T355" s="44"/>
      <c r="U355" s="44"/>
      <c r="V355" s="44"/>
      <c r="W355" s="44"/>
      <c r="X355" s="44"/>
      <c r="Y355" s="44"/>
      <c r="Z355" s="44"/>
      <c r="AB355" s="37" t="str">
        <f aca="false">TRIM($A355&amp;"")</f>
        <v/>
      </c>
      <c r="AC355" s="37" t="str">
        <f aca="false">IF(AB355="","",IFERROR(INDEX('Account Map'!$B:$B,MATCH(AB355,'Account Map'!$A:$A,0)),""))</f>
        <v/>
      </c>
      <c r="AD355" s="37" t="str">
        <f aca="false">IF(AB355="","",IFERROR(INDEX('Account Map'!$C:$C,MATCH(AB355,'Account Map'!$A:$A,0)),""))</f>
        <v/>
      </c>
      <c r="AE355" s="37" t="n">
        <f aca="false">IF(AND(AB355&lt;&gt;"",AC355="",COUNT($B355:$Z355)&gt;0,LEFT(AB355,5)&lt;&gt;"Total",AB355&lt;&gt;"Gross Profit",AB355&lt;&gt;"Net Profit",AB355&lt;&gt;"Operating Profit"),1,0)</f>
        <v>0</v>
      </c>
    </row>
    <row r="356" customFormat="false" ht="15" hidden="false" customHeight="false" outlineLevel="0" collapsed="false">
      <c r="B356" s="44"/>
      <c r="C356" s="44"/>
      <c r="D356" s="44"/>
      <c r="E356" s="44"/>
      <c r="F356" s="44"/>
      <c r="G356" s="44"/>
      <c r="H356" s="44"/>
      <c r="I356" s="44"/>
      <c r="J356" s="44"/>
      <c r="K356" s="44"/>
      <c r="L356" s="44"/>
      <c r="M356" s="44"/>
      <c r="N356" s="44"/>
      <c r="O356" s="44"/>
      <c r="P356" s="44"/>
      <c r="Q356" s="44"/>
      <c r="R356" s="44"/>
      <c r="S356" s="44"/>
      <c r="T356" s="44"/>
      <c r="U356" s="44"/>
      <c r="V356" s="44"/>
      <c r="W356" s="44"/>
      <c r="X356" s="44"/>
      <c r="Y356" s="44"/>
      <c r="Z356" s="44"/>
      <c r="AB356" s="37" t="str">
        <f aca="false">TRIM($A356&amp;"")</f>
        <v/>
      </c>
      <c r="AC356" s="37" t="str">
        <f aca="false">IF(AB356="","",IFERROR(INDEX('Account Map'!$B:$B,MATCH(AB356,'Account Map'!$A:$A,0)),""))</f>
        <v/>
      </c>
      <c r="AD356" s="37" t="str">
        <f aca="false">IF(AB356="","",IFERROR(INDEX('Account Map'!$C:$C,MATCH(AB356,'Account Map'!$A:$A,0)),""))</f>
        <v/>
      </c>
      <c r="AE356" s="37" t="n">
        <f aca="false">IF(AND(AB356&lt;&gt;"",AC356="",COUNT($B356:$Z356)&gt;0,LEFT(AB356,5)&lt;&gt;"Total",AB356&lt;&gt;"Gross Profit",AB356&lt;&gt;"Net Profit",AB356&lt;&gt;"Operating Profit"),1,0)</f>
        <v>0</v>
      </c>
    </row>
    <row r="357" customFormat="false" ht="15" hidden="false" customHeight="false" outlineLevel="0" collapsed="false">
      <c r="B357" s="44"/>
      <c r="C357" s="44"/>
      <c r="D357" s="44"/>
      <c r="E357" s="44"/>
      <c r="F357" s="44"/>
      <c r="G357" s="44"/>
      <c r="H357" s="44"/>
      <c r="I357" s="44"/>
      <c r="J357" s="44"/>
      <c r="K357" s="44"/>
      <c r="L357" s="44"/>
      <c r="M357" s="44"/>
      <c r="N357" s="44"/>
      <c r="O357" s="44"/>
      <c r="P357" s="44"/>
      <c r="Q357" s="44"/>
      <c r="R357" s="44"/>
      <c r="S357" s="44"/>
      <c r="T357" s="44"/>
      <c r="U357" s="44"/>
      <c r="V357" s="44"/>
      <c r="W357" s="44"/>
      <c r="X357" s="44"/>
      <c r="Y357" s="44"/>
      <c r="Z357" s="44"/>
      <c r="AB357" s="37" t="str">
        <f aca="false">TRIM($A357&amp;"")</f>
        <v/>
      </c>
      <c r="AC357" s="37" t="str">
        <f aca="false">IF(AB357="","",IFERROR(INDEX('Account Map'!$B:$B,MATCH(AB357,'Account Map'!$A:$A,0)),""))</f>
        <v/>
      </c>
      <c r="AD357" s="37" t="str">
        <f aca="false">IF(AB357="","",IFERROR(INDEX('Account Map'!$C:$C,MATCH(AB357,'Account Map'!$A:$A,0)),""))</f>
        <v/>
      </c>
      <c r="AE357" s="37" t="n">
        <f aca="false">IF(AND(AB357&lt;&gt;"",AC357="",COUNT($B357:$Z357)&gt;0,LEFT(AB357,5)&lt;&gt;"Total",AB357&lt;&gt;"Gross Profit",AB357&lt;&gt;"Net Profit",AB357&lt;&gt;"Operating Profit"),1,0)</f>
        <v>0</v>
      </c>
    </row>
    <row r="358" customFormat="false" ht="15" hidden="false" customHeight="false" outlineLevel="0" collapsed="false">
      <c r="B358" s="44"/>
      <c r="C358" s="44"/>
      <c r="D358" s="44"/>
      <c r="E358" s="44"/>
      <c r="F358" s="44"/>
      <c r="G358" s="44"/>
      <c r="H358" s="44"/>
      <c r="I358" s="44"/>
      <c r="J358" s="44"/>
      <c r="K358" s="44"/>
      <c r="L358" s="44"/>
      <c r="M358" s="44"/>
      <c r="N358" s="44"/>
      <c r="O358" s="44"/>
      <c r="P358" s="44"/>
      <c r="Q358" s="44"/>
      <c r="R358" s="44"/>
      <c r="S358" s="44"/>
      <c r="T358" s="44"/>
      <c r="U358" s="44"/>
      <c r="V358" s="44"/>
      <c r="W358" s="44"/>
      <c r="X358" s="44"/>
      <c r="Y358" s="44"/>
      <c r="Z358" s="44"/>
      <c r="AB358" s="37" t="str">
        <f aca="false">TRIM($A358&amp;"")</f>
        <v/>
      </c>
      <c r="AC358" s="37" t="str">
        <f aca="false">IF(AB358="","",IFERROR(INDEX('Account Map'!$B:$B,MATCH(AB358,'Account Map'!$A:$A,0)),""))</f>
        <v/>
      </c>
      <c r="AD358" s="37" t="str">
        <f aca="false">IF(AB358="","",IFERROR(INDEX('Account Map'!$C:$C,MATCH(AB358,'Account Map'!$A:$A,0)),""))</f>
        <v/>
      </c>
      <c r="AE358" s="37" t="n">
        <f aca="false">IF(AND(AB358&lt;&gt;"",AC358="",COUNT($B358:$Z358)&gt;0,LEFT(AB358,5)&lt;&gt;"Total",AB358&lt;&gt;"Gross Profit",AB358&lt;&gt;"Net Profit",AB358&lt;&gt;"Operating Profit"),1,0)</f>
        <v>0</v>
      </c>
    </row>
    <row r="359" customFormat="false" ht="15" hidden="false" customHeight="false" outlineLevel="0" collapsed="false">
      <c r="B359" s="44"/>
      <c r="C359" s="44"/>
      <c r="D359" s="44"/>
      <c r="E359" s="44"/>
      <c r="F359" s="44"/>
      <c r="G359" s="44"/>
      <c r="H359" s="44"/>
      <c r="I359" s="44"/>
      <c r="J359" s="44"/>
      <c r="K359" s="44"/>
      <c r="L359" s="44"/>
      <c r="M359" s="44"/>
      <c r="N359" s="44"/>
      <c r="O359" s="44"/>
      <c r="P359" s="44"/>
      <c r="Q359" s="44"/>
      <c r="R359" s="44"/>
      <c r="S359" s="44"/>
      <c r="T359" s="44"/>
      <c r="U359" s="44"/>
      <c r="V359" s="44"/>
      <c r="W359" s="44"/>
      <c r="X359" s="44"/>
      <c r="Y359" s="44"/>
      <c r="Z359" s="44"/>
      <c r="AB359" s="37" t="str">
        <f aca="false">TRIM($A359&amp;"")</f>
        <v/>
      </c>
      <c r="AC359" s="37" t="str">
        <f aca="false">IF(AB359="","",IFERROR(INDEX('Account Map'!$B:$B,MATCH(AB359,'Account Map'!$A:$A,0)),""))</f>
        <v/>
      </c>
      <c r="AD359" s="37" t="str">
        <f aca="false">IF(AB359="","",IFERROR(INDEX('Account Map'!$C:$C,MATCH(AB359,'Account Map'!$A:$A,0)),""))</f>
        <v/>
      </c>
      <c r="AE359" s="37" t="n">
        <f aca="false">IF(AND(AB359&lt;&gt;"",AC359="",COUNT($B359:$Z359)&gt;0,LEFT(AB359,5)&lt;&gt;"Total",AB359&lt;&gt;"Gross Profit",AB359&lt;&gt;"Net Profit",AB359&lt;&gt;"Operating Profit"),1,0)</f>
        <v>0</v>
      </c>
    </row>
    <row r="360" customFormat="false" ht="15" hidden="false" customHeight="false" outlineLevel="0" collapsed="false">
      <c r="B360" s="44"/>
      <c r="C360" s="44"/>
      <c r="D360" s="44"/>
      <c r="E360" s="44"/>
      <c r="F360" s="44"/>
      <c r="G360" s="44"/>
      <c r="H360" s="44"/>
      <c r="I360" s="44"/>
      <c r="J360" s="44"/>
      <c r="K360" s="44"/>
      <c r="L360" s="44"/>
      <c r="M360" s="44"/>
      <c r="N360" s="44"/>
      <c r="O360" s="44"/>
      <c r="P360" s="44"/>
      <c r="Q360" s="44"/>
      <c r="R360" s="44"/>
      <c r="S360" s="44"/>
      <c r="T360" s="44"/>
      <c r="U360" s="44"/>
      <c r="V360" s="44"/>
      <c r="W360" s="44"/>
      <c r="X360" s="44"/>
      <c r="Y360" s="44"/>
      <c r="Z360" s="44"/>
      <c r="AB360" s="37" t="str">
        <f aca="false">TRIM($A360&amp;"")</f>
        <v/>
      </c>
      <c r="AC360" s="37" t="str">
        <f aca="false">IF(AB360="","",IFERROR(INDEX('Account Map'!$B:$B,MATCH(AB360,'Account Map'!$A:$A,0)),""))</f>
        <v/>
      </c>
      <c r="AD360" s="37" t="str">
        <f aca="false">IF(AB360="","",IFERROR(INDEX('Account Map'!$C:$C,MATCH(AB360,'Account Map'!$A:$A,0)),""))</f>
        <v/>
      </c>
      <c r="AE360" s="37" t="n">
        <f aca="false">IF(AND(AB360&lt;&gt;"",AC360="",COUNT($B360:$Z360)&gt;0,LEFT(AB360,5)&lt;&gt;"Total",AB360&lt;&gt;"Gross Profit",AB360&lt;&gt;"Net Profit",AB360&lt;&gt;"Operating Profit"),1,0)</f>
        <v>0</v>
      </c>
    </row>
    <row r="361" customFormat="false" ht="15" hidden="false" customHeight="false" outlineLevel="0" collapsed="false">
      <c r="B361" s="44"/>
      <c r="C361" s="44"/>
      <c r="D361" s="44"/>
      <c r="E361" s="44"/>
      <c r="F361" s="44"/>
      <c r="G361" s="44"/>
      <c r="H361" s="44"/>
      <c r="I361" s="44"/>
      <c r="J361" s="44"/>
      <c r="K361" s="44"/>
      <c r="L361" s="44"/>
      <c r="M361" s="44"/>
      <c r="N361" s="44"/>
      <c r="O361" s="44"/>
      <c r="P361" s="44"/>
      <c r="Q361" s="44"/>
      <c r="R361" s="44"/>
      <c r="S361" s="44"/>
      <c r="T361" s="44"/>
      <c r="U361" s="44"/>
      <c r="V361" s="44"/>
      <c r="W361" s="44"/>
      <c r="X361" s="44"/>
      <c r="Y361" s="44"/>
      <c r="Z361" s="44"/>
      <c r="AB361" s="37" t="str">
        <f aca="false">TRIM($A361&amp;"")</f>
        <v/>
      </c>
      <c r="AC361" s="37" t="str">
        <f aca="false">IF(AB361="","",IFERROR(INDEX('Account Map'!$B:$B,MATCH(AB361,'Account Map'!$A:$A,0)),""))</f>
        <v/>
      </c>
      <c r="AD361" s="37" t="str">
        <f aca="false">IF(AB361="","",IFERROR(INDEX('Account Map'!$C:$C,MATCH(AB361,'Account Map'!$A:$A,0)),""))</f>
        <v/>
      </c>
      <c r="AE361" s="37" t="n">
        <f aca="false">IF(AND(AB361&lt;&gt;"",AC361="",COUNT($B361:$Z361)&gt;0,LEFT(AB361,5)&lt;&gt;"Total",AB361&lt;&gt;"Gross Profit",AB361&lt;&gt;"Net Profit",AB361&lt;&gt;"Operating Profit"),1,0)</f>
        <v>0</v>
      </c>
    </row>
    <row r="362" customFormat="false" ht="15" hidden="false" customHeight="false" outlineLevel="0" collapsed="false">
      <c r="B362" s="44"/>
      <c r="C362" s="44"/>
      <c r="D362" s="44"/>
      <c r="E362" s="44"/>
      <c r="F362" s="44"/>
      <c r="G362" s="44"/>
      <c r="H362" s="44"/>
      <c r="I362" s="44"/>
      <c r="J362" s="44"/>
      <c r="K362" s="44"/>
      <c r="L362" s="44"/>
      <c r="M362" s="44"/>
      <c r="N362" s="44"/>
      <c r="O362" s="44"/>
      <c r="P362" s="44"/>
      <c r="Q362" s="44"/>
      <c r="R362" s="44"/>
      <c r="S362" s="44"/>
      <c r="T362" s="44"/>
      <c r="U362" s="44"/>
      <c r="V362" s="44"/>
      <c r="W362" s="44"/>
      <c r="X362" s="44"/>
      <c r="Y362" s="44"/>
      <c r="Z362" s="44"/>
      <c r="AB362" s="37" t="str">
        <f aca="false">TRIM($A362&amp;"")</f>
        <v/>
      </c>
      <c r="AC362" s="37" t="str">
        <f aca="false">IF(AB362="","",IFERROR(INDEX('Account Map'!$B:$B,MATCH(AB362,'Account Map'!$A:$A,0)),""))</f>
        <v/>
      </c>
      <c r="AD362" s="37" t="str">
        <f aca="false">IF(AB362="","",IFERROR(INDEX('Account Map'!$C:$C,MATCH(AB362,'Account Map'!$A:$A,0)),""))</f>
        <v/>
      </c>
      <c r="AE362" s="37" t="n">
        <f aca="false">IF(AND(AB362&lt;&gt;"",AC362="",COUNT($B362:$Z362)&gt;0,LEFT(AB362,5)&lt;&gt;"Total",AB362&lt;&gt;"Gross Profit",AB362&lt;&gt;"Net Profit",AB362&lt;&gt;"Operating Profit"),1,0)</f>
        <v>0</v>
      </c>
    </row>
    <row r="363" customFormat="false" ht="15" hidden="false" customHeight="false" outlineLevel="0" collapsed="false">
      <c r="B363" s="44"/>
      <c r="C363" s="44"/>
      <c r="D363" s="44"/>
      <c r="E363" s="44"/>
      <c r="F363" s="44"/>
      <c r="G363" s="44"/>
      <c r="H363" s="44"/>
      <c r="I363" s="44"/>
      <c r="J363" s="44"/>
      <c r="K363" s="44"/>
      <c r="L363" s="44"/>
      <c r="M363" s="44"/>
      <c r="N363" s="44"/>
      <c r="O363" s="44"/>
      <c r="P363" s="44"/>
      <c r="Q363" s="44"/>
      <c r="R363" s="44"/>
      <c r="S363" s="44"/>
      <c r="T363" s="44"/>
      <c r="U363" s="44"/>
      <c r="V363" s="44"/>
      <c r="W363" s="44"/>
      <c r="X363" s="44"/>
      <c r="Y363" s="44"/>
      <c r="Z363" s="44"/>
      <c r="AB363" s="37" t="str">
        <f aca="false">TRIM($A363&amp;"")</f>
        <v/>
      </c>
      <c r="AC363" s="37" t="str">
        <f aca="false">IF(AB363="","",IFERROR(INDEX('Account Map'!$B:$B,MATCH(AB363,'Account Map'!$A:$A,0)),""))</f>
        <v/>
      </c>
      <c r="AD363" s="37" t="str">
        <f aca="false">IF(AB363="","",IFERROR(INDEX('Account Map'!$C:$C,MATCH(AB363,'Account Map'!$A:$A,0)),""))</f>
        <v/>
      </c>
      <c r="AE363" s="37" t="n">
        <f aca="false">IF(AND(AB363&lt;&gt;"",AC363="",COUNT($B363:$Z363)&gt;0,LEFT(AB363,5)&lt;&gt;"Total",AB363&lt;&gt;"Gross Profit",AB363&lt;&gt;"Net Profit",AB363&lt;&gt;"Operating Profit"),1,0)</f>
        <v>0</v>
      </c>
    </row>
    <row r="364" customFormat="false" ht="15" hidden="false" customHeight="false" outlineLevel="0" collapsed="false">
      <c r="B364" s="44"/>
      <c r="C364" s="44"/>
      <c r="D364" s="44"/>
      <c r="E364" s="44"/>
      <c r="F364" s="44"/>
      <c r="G364" s="44"/>
      <c r="H364" s="44"/>
      <c r="I364" s="44"/>
      <c r="J364" s="44"/>
      <c r="K364" s="44"/>
      <c r="L364" s="44"/>
      <c r="M364" s="44"/>
      <c r="N364" s="44"/>
      <c r="O364" s="44"/>
      <c r="P364" s="44"/>
      <c r="Q364" s="44"/>
      <c r="R364" s="44"/>
      <c r="S364" s="44"/>
      <c r="T364" s="44"/>
      <c r="U364" s="44"/>
      <c r="V364" s="44"/>
      <c r="W364" s="44"/>
      <c r="X364" s="44"/>
      <c r="Y364" s="44"/>
      <c r="Z364" s="44"/>
      <c r="AB364" s="37" t="str">
        <f aca="false">TRIM($A364&amp;"")</f>
        <v/>
      </c>
      <c r="AC364" s="37" t="str">
        <f aca="false">IF(AB364="","",IFERROR(INDEX('Account Map'!$B:$B,MATCH(AB364,'Account Map'!$A:$A,0)),""))</f>
        <v/>
      </c>
      <c r="AD364" s="37" t="str">
        <f aca="false">IF(AB364="","",IFERROR(INDEX('Account Map'!$C:$C,MATCH(AB364,'Account Map'!$A:$A,0)),""))</f>
        <v/>
      </c>
      <c r="AE364" s="37" t="n">
        <f aca="false">IF(AND(AB364&lt;&gt;"",AC364="",COUNT($B364:$Z364)&gt;0,LEFT(AB364,5)&lt;&gt;"Total",AB364&lt;&gt;"Gross Profit",AB364&lt;&gt;"Net Profit",AB364&lt;&gt;"Operating Profit"),1,0)</f>
        <v>0</v>
      </c>
    </row>
    <row r="365" customFormat="false" ht="15" hidden="false" customHeight="false" outlineLevel="0" collapsed="false">
      <c r="B365" s="44"/>
      <c r="C365" s="44"/>
      <c r="D365" s="44"/>
      <c r="E365" s="44"/>
      <c r="F365" s="44"/>
      <c r="G365" s="44"/>
      <c r="H365" s="44"/>
      <c r="I365" s="44"/>
      <c r="J365" s="44"/>
      <c r="K365" s="44"/>
      <c r="L365" s="44"/>
      <c r="M365" s="44"/>
      <c r="N365" s="44"/>
      <c r="O365" s="44"/>
      <c r="P365" s="44"/>
      <c r="Q365" s="44"/>
      <c r="R365" s="44"/>
      <c r="S365" s="44"/>
      <c r="T365" s="44"/>
      <c r="U365" s="44"/>
      <c r="V365" s="44"/>
      <c r="W365" s="44"/>
      <c r="X365" s="44"/>
      <c r="Y365" s="44"/>
      <c r="Z365" s="44"/>
      <c r="AB365" s="37" t="str">
        <f aca="false">TRIM($A365&amp;"")</f>
        <v/>
      </c>
      <c r="AC365" s="37" t="str">
        <f aca="false">IF(AB365="","",IFERROR(INDEX('Account Map'!$B:$B,MATCH(AB365,'Account Map'!$A:$A,0)),""))</f>
        <v/>
      </c>
      <c r="AD365" s="37" t="str">
        <f aca="false">IF(AB365="","",IFERROR(INDEX('Account Map'!$C:$C,MATCH(AB365,'Account Map'!$A:$A,0)),""))</f>
        <v/>
      </c>
      <c r="AE365" s="37" t="n">
        <f aca="false">IF(AND(AB365&lt;&gt;"",AC365="",COUNT($B365:$Z365)&gt;0,LEFT(AB365,5)&lt;&gt;"Total",AB365&lt;&gt;"Gross Profit",AB365&lt;&gt;"Net Profit",AB365&lt;&gt;"Operating Profit"),1,0)</f>
        <v>0</v>
      </c>
    </row>
    <row r="366" customFormat="false" ht="15" hidden="false" customHeight="false" outlineLevel="0" collapsed="false">
      <c r="B366" s="44"/>
      <c r="C366" s="44"/>
      <c r="D366" s="44"/>
      <c r="E366" s="44"/>
      <c r="F366" s="44"/>
      <c r="G366" s="44"/>
      <c r="H366" s="44"/>
      <c r="I366" s="44"/>
      <c r="J366" s="44"/>
      <c r="K366" s="44"/>
      <c r="L366" s="44"/>
      <c r="M366" s="44"/>
      <c r="N366" s="44"/>
      <c r="O366" s="44"/>
      <c r="P366" s="44"/>
      <c r="Q366" s="44"/>
      <c r="R366" s="44"/>
      <c r="S366" s="44"/>
      <c r="T366" s="44"/>
      <c r="U366" s="44"/>
      <c r="V366" s="44"/>
      <c r="W366" s="44"/>
      <c r="X366" s="44"/>
      <c r="Y366" s="44"/>
      <c r="Z366" s="44"/>
      <c r="AB366" s="37" t="str">
        <f aca="false">TRIM($A366&amp;"")</f>
        <v/>
      </c>
      <c r="AC366" s="37" t="str">
        <f aca="false">IF(AB366="","",IFERROR(INDEX('Account Map'!$B:$B,MATCH(AB366,'Account Map'!$A:$A,0)),""))</f>
        <v/>
      </c>
      <c r="AD366" s="37" t="str">
        <f aca="false">IF(AB366="","",IFERROR(INDEX('Account Map'!$C:$C,MATCH(AB366,'Account Map'!$A:$A,0)),""))</f>
        <v/>
      </c>
      <c r="AE366" s="37" t="n">
        <f aca="false">IF(AND(AB366&lt;&gt;"",AC366="",COUNT($B366:$Z366)&gt;0,LEFT(AB366,5)&lt;&gt;"Total",AB366&lt;&gt;"Gross Profit",AB366&lt;&gt;"Net Profit",AB366&lt;&gt;"Operating Profit"),1,0)</f>
        <v>0</v>
      </c>
    </row>
    <row r="367" customFormat="false" ht="15" hidden="false" customHeight="false" outlineLevel="0" collapsed="false">
      <c r="B367" s="44"/>
      <c r="C367" s="44"/>
      <c r="D367" s="44"/>
      <c r="E367" s="44"/>
      <c r="F367" s="44"/>
      <c r="G367" s="44"/>
      <c r="H367" s="44"/>
      <c r="I367" s="44"/>
      <c r="J367" s="44"/>
      <c r="K367" s="44"/>
      <c r="L367" s="44"/>
      <c r="M367" s="44"/>
      <c r="N367" s="44"/>
      <c r="O367" s="44"/>
      <c r="P367" s="44"/>
      <c r="Q367" s="44"/>
      <c r="R367" s="44"/>
      <c r="S367" s="44"/>
      <c r="T367" s="44"/>
      <c r="U367" s="44"/>
      <c r="V367" s="44"/>
      <c r="W367" s="44"/>
      <c r="X367" s="44"/>
      <c r="Y367" s="44"/>
      <c r="Z367" s="44"/>
      <c r="AB367" s="37" t="str">
        <f aca="false">TRIM($A367&amp;"")</f>
        <v/>
      </c>
      <c r="AC367" s="37" t="str">
        <f aca="false">IF(AB367="","",IFERROR(INDEX('Account Map'!$B:$B,MATCH(AB367,'Account Map'!$A:$A,0)),""))</f>
        <v/>
      </c>
      <c r="AD367" s="37" t="str">
        <f aca="false">IF(AB367="","",IFERROR(INDEX('Account Map'!$C:$C,MATCH(AB367,'Account Map'!$A:$A,0)),""))</f>
        <v/>
      </c>
      <c r="AE367" s="37" t="n">
        <f aca="false">IF(AND(AB367&lt;&gt;"",AC367="",COUNT($B367:$Z367)&gt;0,LEFT(AB367,5)&lt;&gt;"Total",AB367&lt;&gt;"Gross Profit",AB367&lt;&gt;"Net Profit",AB367&lt;&gt;"Operating Profit"),1,0)</f>
        <v>0</v>
      </c>
    </row>
    <row r="368" customFormat="false" ht="15" hidden="false" customHeight="false" outlineLevel="0" collapsed="false">
      <c r="B368" s="44"/>
      <c r="C368" s="44"/>
      <c r="D368" s="44"/>
      <c r="E368" s="44"/>
      <c r="F368" s="44"/>
      <c r="G368" s="44"/>
      <c r="H368" s="44"/>
      <c r="I368" s="44"/>
      <c r="J368" s="44"/>
      <c r="K368" s="44"/>
      <c r="L368" s="44"/>
      <c r="M368" s="44"/>
      <c r="N368" s="44"/>
      <c r="O368" s="44"/>
      <c r="P368" s="44"/>
      <c r="Q368" s="44"/>
      <c r="R368" s="44"/>
      <c r="S368" s="44"/>
      <c r="T368" s="44"/>
      <c r="U368" s="44"/>
      <c r="V368" s="44"/>
      <c r="W368" s="44"/>
      <c r="X368" s="44"/>
      <c r="Y368" s="44"/>
      <c r="Z368" s="44"/>
      <c r="AB368" s="37" t="str">
        <f aca="false">TRIM($A368&amp;"")</f>
        <v/>
      </c>
      <c r="AC368" s="37" t="str">
        <f aca="false">IF(AB368="","",IFERROR(INDEX('Account Map'!$B:$B,MATCH(AB368,'Account Map'!$A:$A,0)),""))</f>
        <v/>
      </c>
      <c r="AD368" s="37" t="str">
        <f aca="false">IF(AB368="","",IFERROR(INDEX('Account Map'!$C:$C,MATCH(AB368,'Account Map'!$A:$A,0)),""))</f>
        <v/>
      </c>
      <c r="AE368" s="37" t="n">
        <f aca="false">IF(AND(AB368&lt;&gt;"",AC368="",COUNT($B368:$Z368)&gt;0,LEFT(AB368,5)&lt;&gt;"Total",AB368&lt;&gt;"Gross Profit",AB368&lt;&gt;"Net Profit",AB368&lt;&gt;"Operating Profit"),1,0)</f>
        <v>0</v>
      </c>
    </row>
    <row r="369" customFormat="false" ht="15" hidden="false" customHeight="false" outlineLevel="0" collapsed="false">
      <c r="B369" s="44"/>
      <c r="C369" s="44"/>
      <c r="D369" s="44"/>
      <c r="E369" s="44"/>
      <c r="F369" s="44"/>
      <c r="G369" s="44"/>
      <c r="H369" s="44"/>
      <c r="I369" s="44"/>
      <c r="J369" s="44"/>
      <c r="K369" s="44"/>
      <c r="L369" s="44"/>
      <c r="M369" s="44"/>
      <c r="N369" s="44"/>
      <c r="O369" s="44"/>
      <c r="P369" s="44"/>
      <c r="Q369" s="44"/>
      <c r="R369" s="44"/>
      <c r="S369" s="44"/>
      <c r="T369" s="44"/>
      <c r="U369" s="44"/>
      <c r="V369" s="44"/>
      <c r="W369" s="44"/>
      <c r="X369" s="44"/>
      <c r="Y369" s="44"/>
      <c r="Z369" s="44"/>
      <c r="AB369" s="37" t="str">
        <f aca="false">TRIM($A369&amp;"")</f>
        <v/>
      </c>
      <c r="AC369" s="37" t="str">
        <f aca="false">IF(AB369="","",IFERROR(INDEX('Account Map'!$B:$B,MATCH(AB369,'Account Map'!$A:$A,0)),""))</f>
        <v/>
      </c>
      <c r="AD369" s="37" t="str">
        <f aca="false">IF(AB369="","",IFERROR(INDEX('Account Map'!$C:$C,MATCH(AB369,'Account Map'!$A:$A,0)),""))</f>
        <v/>
      </c>
      <c r="AE369" s="37" t="n">
        <f aca="false">IF(AND(AB369&lt;&gt;"",AC369="",COUNT($B369:$Z369)&gt;0,LEFT(AB369,5)&lt;&gt;"Total",AB369&lt;&gt;"Gross Profit",AB369&lt;&gt;"Net Profit",AB369&lt;&gt;"Operating Profit"),1,0)</f>
        <v>0</v>
      </c>
    </row>
    <row r="370" customFormat="false" ht="15" hidden="false" customHeight="false" outlineLevel="0" collapsed="false">
      <c r="B370" s="44"/>
      <c r="C370" s="44"/>
      <c r="D370" s="44"/>
      <c r="E370" s="44"/>
      <c r="F370" s="44"/>
      <c r="G370" s="44"/>
      <c r="H370" s="44"/>
      <c r="I370" s="44"/>
      <c r="J370" s="44"/>
      <c r="K370" s="44"/>
      <c r="L370" s="44"/>
      <c r="M370" s="44"/>
      <c r="N370" s="44"/>
      <c r="O370" s="44"/>
      <c r="P370" s="44"/>
      <c r="Q370" s="44"/>
      <c r="R370" s="44"/>
      <c r="S370" s="44"/>
      <c r="T370" s="44"/>
      <c r="U370" s="44"/>
      <c r="V370" s="44"/>
      <c r="W370" s="44"/>
      <c r="X370" s="44"/>
      <c r="Y370" s="44"/>
      <c r="Z370" s="44"/>
      <c r="AB370" s="37" t="str">
        <f aca="false">TRIM($A370&amp;"")</f>
        <v/>
      </c>
      <c r="AC370" s="37" t="str">
        <f aca="false">IF(AB370="","",IFERROR(INDEX('Account Map'!$B:$B,MATCH(AB370,'Account Map'!$A:$A,0)),""))</f>
        <v/>
      </c>
      <c r="AD370" s="37" t="str">
        <f aca="false">IF(AB370="","",IFERROR(INDEX('Account Map'!$C:$C,MATCH(AB370,'Account Map'!$A:$A,0)),""))</f>
        <v/>
      </c>
      <c r="AE370" s="37" t="n">
        <f aca="false">IF(AND(AB370&lt;&gt;"",AC370="",COUNT($B370:$Z370)&gt;0,LEFT(AB370,5)&lt;&gt;"Total",AB370&lt;&gt;"Gross Profit",AB370&lt;&gt;"Net Profit",AB370&lt;&gt;"Operating Profit"),1,0)</f>
        <v>0</v>
      </c>
    </row>
    <row r="371" customFormat="false" ht="15" hidden="false" customHeight="false" outlineLevel="0" collapsed="false">
      <c r="B371" s="44"/>
      <c r="C371" s="44"/>
      <c r="D371" s="44"/>
      <c r="E371" s="44"/>
      <c r="F371" s="44"/>
      <c r="G371" s="44"/>
      <c r="H371" s="44"/>
      <c r="I371" s="44"/>
      <c r="J371" s="44"/>
      <c r="K371" s="44"/>
      <c r="L371" s="44"/>
      <c r="M371" s="44"/>
      <c r="N371" s="44"/>
      <c r="O371" s="44"/>
      <c r="P371" s="44"/>
      <c r="Q371" s="44"/>
      <c r="R371" s="44"/>
      <c r="S371" s="44"/>
      <c r="T371" s="44"/>
      <c r="U371" s="44"/>
      <c r="V371" s="44"/>
      <c r="W371" s="44"/>
      <c r="X371" s="44"/>
      <c r="Y371" s="44"/>
      <c r="Z371" s="44"/>
      <c r="AB371" s="37" t="str">
        <f aca="false">TRIM($A371&amp;"")</f>
        <v/>
      </c>
      <c r="AC371" s="37" t="str">
        <f aca="false">IF(AB371="","",IFERROR(INDEX('Account Map'!$B:$B,MATCH(AB371,'Account Map'!$A:$A,0)),""))</f>
        <v/>
      </c>
      <c r="AD371" s="37" t="str">
        <f aca="false">IF(AB371="","",IFERROR(INDEX('Account Map'!$C:$C,MATCH(AB371,'Account Map'!$A:$A,0)),""))</f>
        <v/>
      </c>
      <c r="AE371" s="37" t="n">
        <f aca="false">IF(AND(AB371&lt;&gt;"",AC371="",COUNT($B371:$Z371)&gt;0,LEFT(AB371,5)&lt;&gt;"Total",AB371&lt;&gt;"Gross Profit",AB371&lt;&gt;"Net Profit",AB371&lt;&gt;"Operating Profit"),1,0)</f>
        <v>0</v>
      </c>
    </row>
    <row r="372" customFormat="false" ht="15" hidden="false" customHeight="false" outlineLevel="0" collapsed="false">
      <c r="B372" s="44"/>
      <c r="C372" s="44"/>
      <c r="D372" s="44"/>
      <c r="E372" s="44"/>
      <c r="F372" s="44"/>
      <c r="G372" s="44"/>
      <c r="H372" s="44"/>
      <c r="I372" s="44"/>
      <c r="J372" s="44"/>
      <c r="K372" s="44"/>
      <c r="L372" s="44"/>
      <c r="M372" s="44"/>
      <c r="N372" s="44"/>
      <c r="O372" s="44"/>
      <c r="P372" s="44"/>
      <c r="Q372" s="44"/>
      <c r="R372" s="44"/>
      <c r="S372" s="44"/>
      <c r="T372" s="44"/>
      <c r="U372" s="44"/>
      <c r="V372" s="44"/>
      <c r="W372" s="44"/>
      <c r="X372" s="44"/>
      <c r="Y372" s="44"/>
      <c r="Z372" s="44"/>
      <c r="AB372" s="37" t="str">
        <f aca="false">TRIM($A372&amp;"")</f>
        <v/>
      </c>
      <c r="AC372" s="37" t="str">
        <f aca="false">IF(AB372="","",IFERROR(INDEX('Account Map'!$B:$B,MATCH(AB372,'Account Map'!$A:$A,0)),""))</f>
        <v/>
      </c>
      <c r="AD372" s="37" t="str">
        <f aca="false">IF(AB372="","",IFERROR(INDEX('Account Map'!$C:$C,MATCH(AB372,'Account Map'!$A:$A,0)),""))</f>
        <v/>
      </c>
      <c r="AE372" s="37" t="n">
        <f aca="false">IF(AND(AB372&lt;&gt;"",AC372="",COUNT($B372:$Z372)&gt;0,LEFT(AB372,5)&lt;&gt;"Total",AB372&lt;&gt;"Gross Profit",AB372&lt;&gt;"Net Profit",AB372&lt;&gt;"Operating Profit"),1,0)</f>
        <v>0</v>
      </c>
    </row>
    <row r="373" customFormat="false" ht="15" hidden="false" customHeight="false" outlineLevel="0" collapsed="false">
      <c r="B373" s="44"/>
      <c r="C373" s="44"/>
      <c r="D373" s="44"/>
      <c r="E373" s="44"/>
      <c r="F373" s="44"/>
      <c r="G373" s="44"/>
      <c r="H373" s="44"/>
      <c r="I373" s="44"/>
      <c r="J373" s="44"/>
      <c r="K373" s="44"/>
      <c r="L373" s="44"/>
      <c r="M373" s="44"/>
      <c r="N373" s="44"/>
      <c r="O373" s="44"/>
      <c r="P373" s="44"/>
      <c r="Q373" s="44"/>
      <c r="R373" s="44"/>
      <c r="S373" s="44"/>
      <c r="T373" s="44"/>
      <c r="U373" s="44"/>
      <c r="V373" s="44"/>
      <c r="W373" s="44"/>
      <c r="X373" s="44"/>
      <c r="Y373" s="44"/>
      <c r="Z373" s="44"/>
      <c r="AB373" s="37" t="str">
        <f aca="false">TRIM($A373&amp;"")</f>
        <v/>
      </c>
      <c r="AC373" s="37" t="str">
        <f aca="false">IF(AB373="","",IFERROR(INDEX('Account Map'!$B:$B,MATCH(AB373,'Account Map'!$A:$A,0)),""))</f>
        <v/>
      </c>
      <c r="AD373" s="37" t="str">
        <f aca="false">IF(AB373="","",IFERROR(INDEX('Account Map'!$C:$C,MATCH(AB373,'Account Map'!$A:$A,0)),""))</f>
        <v/>
      </c>
      <c r="AE373" s="37" t="n">
        <f aca="false">IF(AND(AB373&lt;&gt;"",AC373="",COUNT($B373:$Z373)&gt;0,LEFT(AB373,5)&lt;&gt;"Total",AB373&lt;&gt;"Gross Profit",AB373&lt;&gt;"Net Profit",AB373&lt;&gt;"Operating Profit"),1,0)</f>
        <v>0</v>
      </c>
    </row>
    <row r="374" customFormat="false" ht="15" hidden="false" customHeight="false" outlineLevel="0" collapsed="false">
      <c r="B374" s="44"/>
      <c r="C374" s="44"/>
      <c r="D374" s="44"/>
      <c r="E374" s="44"/>
      <c r="F374" s="44"/>
      <c r="G374" s="44"/>
      <c r="H374" s="44"/>
      <c r="I374" s="44"/>
      <c r="J374" s="44"/>
      <c r="K374" s="44"/>
      <c r="L374" s="44"/>
      <c r="M374" s="44"/>
      <c r="N374" s="44"/>
      <c r="O374" s="44"/>
      <c r="P374" s="44"/>
      <c r="Q374" s="44"/>
      <c r="R374" s="44"/>
      <c r="S374" s="44"/>
      <c r="T374" s="44"/>
      <c r="U374" s="44"/>
      <c r="V374" s="44"/>
      <c r="W374" s="44"/>
      <c r="X374" s="44"/>
      <c r="Y374" s="44"/>
      <c r="Z374" s="44"/>
      <c r="AB374" s="37" t="str">
        <f aca="false">TRIM($A374&amp;"")</f>
        <v/>
      </c>
      <c r="AC374" s="37" t="str">
        <f aca="false">IF(AB374="","",IFERROR(INDEX('Account Map'!$B:$B,MATCH(AB374,'Account Map'!$A:$A,0)),""))</f>
        <v/>
      </c>
      <c r="AD374" s="37" t="str">
        <f aca="false">IF(AB374="","",IFERROR(INDEX('Account Map'!$C:$C,MATCH(AB374,'Account Map'!$A:$A,0)),""))</f>
        <v/>
      </c>
      <c r="AE374" s="37" t="n">
        <f aca="false">IF(AND(AB374&lt;&gt;"",AC374="",COUNT($B374:$Z374)&gt;0,LEFT(AB374,5)&lt;&gt;"Total",AB374&lt;&gt;"Gross Profit",AB374&lt;&gt;"Net Profit",AB374&lt;&gt;"Operating Profit"),1,0)</f>
        <v>0</v>
      </c>
    </row>
    <row r="375" customFormat="false" ht="15" hidden="false" customHeight="false" outlineLevel="0" collapsed="false">
      <c r="B375" s="44"/>
      <c r="C375" s="44"/>
      <c r="D375" s="44"/>
      <c r="E375" s="44"/>
      <c r="F375" s="44"/>
      <c r="G375" s="44"/>
      <c r="H375" s="44"/>
      <c r="I375" s="44"/>
      <c r="J375" s="44"/>
      <c r="K375" s="44"/>
      <c r="L375" s="44"/>
      <c r="M375" s="44"/>
      <c r="N375" s="44"/>
      <c r="O375" s="44"/>
      <c r="P375" s="44"/>
      <c r="Q375" s="44"/>
      <c r="R375" s="44"/>
      <c r="S375" s="44"/>
      <c r="T375" s="44"/>
      <c r="U375" s="44"/>
      <c r="V375" s="44"/>
      <c r="W375" s="44"/>
      <c r="X375" s="44"/>
      <c r="Y375" s="44"/>
      <c r="Z375" s="44"/>
      <c r="AB375" s="37" t="str">
        <f aca="false">TRIM($A375&amp;"")</f>
        <v/>
      </c>
      <c r="AC375" s="37" t="str">
        <f aca="false">IF(AB375="","",IFERROR(INDEX('Account Map'!$B:$B,MATCH(AB375,'Account Map'!$A:$A,0)),""))</f>
        <v/>
      </c>
      <c r="AD375" s="37" t="str">
        <f aca="false">IF(AB375="","",IFERROR(INDEX('Account Map'!$C:$C,MATCH(AB375,'Account Map'!$A:$A,0)),""))</f>
        <v/>
      </c>
      <c r="AE375" s="37" t="n">
        <f aca="false">IF(AND(AB375&lt;&gt;"",AC375="",COUNT($B375:$Z375)&gt;0,LEFT(AB375,5)&lt;&gt;"Total",AB375&lt;&gt;"Gross Profit",AB375&lt;&gt;"Net Profit",AB375&lt;&gt;"Operating Profit"),1,0)</f>
        <v>0</v>
      </c>
    </row>
    <row r="376" customFormat="false" ht="15" hidden="false" customHeight="false" outlineLevel="0" collapsed="false">
      <c r="B376" s="44"/>
      <c r="C376" s="44"/>
      <c r="D376" s="44"/>
      <c r="E376" s="44"/>
      <c r="F376" s="44"/>
      <c r="G376" s="44"/>
      <c r="H376" s="44"/>
      <c r="I376" s="44"/>
      <c r="J376" s="44"/>
      <c r="K376" s="44"/>
      <c r="L376" s="44"/>
      <c r="M376" s="44"/>
      <c r="N376" s="44"/>
      <c r="O376" s="44"/>
      <c r="P376" s="44"/>
      <c r="Q376" s="44"/>
      <c r="R376" s="44"/>
      <c r="S376" s="44"/>
      <c r="T376" s="44"/>
      <c r="U376" s="44"/>
      <c r="V376" s="44"/>
      <c r="W376" s="44"/>
      <c r="X376" s="44"/>
      <c r="Y376" s="44"/>
      <c r="Z376" s="44"/>
      <c r="AB376" s="37" t="str">
        <f aca="false">TRIM($A376&amp;"")</f>
        <v/>
      </c>
      <c r="AC376" s="37" t="str">
        <f aca="false">IF(AB376="","",IFERROR(INDEX('Account Map'!$B:$B,MATCH(AB376,'Account Map'!$A:$A,0)),""))</f>
        <v/>
      </c>
      <c r="AD376" s="37" t="str">
        <f aca="false">IF(AB376="","",IFERROR(INDEX('Account Map'!$C:$C,MATCH(AB376,'Account Map'!$A:$A,0)),""))</f>
        <v/>
      </c>
      <c r="AE376" s="37" t="n">
        <f aca="false">IF(AND(AB376&lt;&gt;"",AC376="",COUNT($B376:$Z376)&gt;0,LEFT(AB376,5)&lt;&gt;"Total",AB376&lt;&gt;"Gross Profit",AB376&lt;&gt;"Net Profit",AB376&lt;&gt;"Operating Profit"),1,0)</f>
        <v>0</v>
      </c>
    </row>
    <row r="377" customFormat="false" ht="15" hidden="false" customHeight="false" outlineLevel="0" collapsed="false">
      <c r="B377" s="44"/>
      <c r="C377" s="44"/>
      <c r="D377" s="44"/>
      <c r="E377" s="44"/>
      <c r="F377" s="44"/>
      <c r="G377" s="44"/>
      <c r="H377" s="44"/>
      <c r="I377" s="44"/>
      <c r="J377" s="44"/>
      <c r="K377" s="44"/>
      <c r="L377" s="44"/>
      <c r="M377" s="44"/>
      <c r="N377" s="44"/>
      <c r="O377" s="44"/>
      <c r="P377" s="44"/>
      <c r="Q377" s="44"/>
      <c r="R377" s="44"/>
      <c r="S377" s="44"/>
      <c r="T377" s="44"/>
      <c r="U377" s="44"/>
      <c r="V377" s="44"/>
      <c r="W377" s="44"/>
      <c r="X377" s="44"/>
      <c r="Y377" s="44"/>
      <c r="Z377" s="44"/>
      <c r="AB377" s="37" t="str">
        <f aca="false">TRIM($A377&amp;"")</f>
        <v/>
      </c>
      <c r="AC377" s="37" t="str">
        <f aca="false">IF(AB377="","",IFERROR(INDEX('Account Map'!$B:$B,MATCH(AB377,'Account Map'!$A:$A,0)),""))</f>
        <v/>
      </c>
      <c r="AD377" s="37" t="str">
        <f aca="false">IF(AB377="","",IFERROR(INDEX('Account Map'!$C:$C,MATCH(AB377,'Account Map'!$A:$A,0)),""))</f>
        <v/>
      </c>
      <c r="AE377" s="37" t="n">
        <f aca="false">IF(AND(AB377&lt;&gt;"",AC377="",COUNT($B377:$Z377)&gt;0,LEFT(AB377,5)&lt;&gt;"Total",AB377&lt;&gt;"Gross Profit",AB377&lt;&gt;"Net Profit",AB377&lt;&gt;"Operating Profit"),1,0)</f>
        <v>0</v>
      </c>
    </row>
    <row r="378" customFormat="false" ht="15" hidden="false" customHeight="false" outlineLevel="0" collapsed="false">
      <c r="B378" s="44"/>
      <c r="C378" s="44"/>
      <c r="D378" s="44"/>
      <c r="E378" s="44"/>
      <c r="F378" s="44"/>
      <c r="G378" s="44"/>
      <c r="H378" s="44"/>
      <c r="I378" s="44"/>
      <c r="J378" s="44"/>
      <c r="K378" s="44"/>
      <c r="L378" s="44"/>
      <c r="M378" s="44"/>
      <c r="N378" s="44"/>
      <c r="O378" s="44"/>
      <c r="P378" s="44"/>
      <c r="Q378" s="44"/>
      <c r="R378" s="44"/>
      <c r="S378" s="44"/>
      <c r="T378" s="44"/>
      <c r="U378" s="44"/>
      <c r="V378" s="44"/>
      <c r="W378" s="44"/>
      <c r="X378" s="44"/>
      <c r="Y378" s="44"/>
      <c r="Z378" s="44"/>
      <c r="AB378" s="37" t="str">
        <f aca="false">TRIM($A378&amp;"")</f>
        <v/>
      </c>
      <c r="AC378" s="37" t="str">
        <f aca="false">IF(AB378="","",IFERROR(INDEX('Account Map'!$B:$B,MATCH(AB378,'Account Map'!$A:$A,0)),""))</f>
        <v/>
      </c>
      <c r="AD378" s="37" t="str">
        <f aca="false">IF(AB378="","",IFERROR(INDEX('Account Map'!$C:$C,MATCH(AB378,'Account Map'!$A:$A,0)),""))</f>
        <v/>
      </c>
      <c r="AE378" s="37" t="n">
        <f aca="false">IF(AND(AB378&lt;&gt;"",AC378="",COUNT($B378:$Z378)&gt;0,LEFT(AB378,5)&lt;&gt;"Total",AB378&lt;&gt;"Gross Profit",AB378&lt;&gt;"Net Profit",AB378&lt;&gt;"Operating Profit"),1,0)</f>
        <v>0</v>
      </c>
    </row>
    <row r="379" customFormat="false" ht="15" hidden="false" customHeight="false" outlineLevel="0" collapsed="false">
      <c r="B379" s="44"/>
      <c r="C379" s="44"/>
      <c r="D379" s="44"/>
      <c r="E379" s="44"/>
      <c r="F379" s="44"/>
      <c r="G379" s="44"/>
      <c r="H379" s="44"/>
      <c r="I379" s="44"/>
      <c r="J379" s="44"/>
      <c r="K379" s="44"/>
      <c r="L379" s="44"/>
      <c r="M379" s="44"/>
      <c r="N379" s="44"/>
      <c r="O379" s="44"/>
      <c r="P379" s="44"/>
      <c r="Q379" s="44"/>
      <c r="R379" s="44"/>
      <c r="S379" s="44"/>
      <c r="T379" s="44"/>
      <c r="U379" s="44"/>
      <c r="V379" s="44"/>
      <c r="W379" s="44"/>
      <c r="X379" s="44"/>
      <c r="Y379" s="44"/>
      <c r="Z379" s="44"/>
      <c r="AB379" s="37" t="str">
        <f aca="false">TRIM($A379&amp;"")</f>
        <v/>
      </c>
      <c r="AC379" s="37" t="str">
        <f aca="false">IF(AB379="","",IFERROR(INDEX('Account Map'!$B:$B,MATCH(AB379,'Account Map'!$A:$A,0)),""))</f>
        <v/>
      </c>
      <c r="AD379" s="37" t="str">
        <f aca="false">IF(AB379="","",IFERROR(INDEX('Account Map'!$C:$C,MATCH(AB379,'Account Map'!$A:$A,0)),""))</f>
        <v/>
      </c>
      <c r="AE379" s="37" t="n">
        <f aca="false">IF(AND(AB379&lt;&gt;"",AC379="",COUNT($B379:$Z379)&gt;0,LEFT(AB379,5)&lt;&gt;"Total",AB379&lt;&gt;"Gross Profit",AB379&lt;&gt;"Net Profit",AB379&lt;&gt;"Operating Profit"),1,0)</f>
        <v>0</v>
      </c>
    </row>
    <row r="380" customFormat="false" ht="15" hidden="false" customHeight="false" outlineLevel="0" collapsed="false">
      <c r="B380" s="44"/>
      <c r="C380" s="44"/>
      <c r="D380" s="44"/>
      <c r="E380" s="44"/>
      <c r="F380" s="44"/>
      <c r="G380" s="44"/>
      <c r="H380" s="44"/>
      <c r="I380" s="44"/>
      <c r="J380" s="44"/>
      <c r="K380" s="44"/>
      <c r="L380" s="44"/>
      <c r="M380" s="44"/>
      <c r="N380" s="44"/>
      <c r="O380" s="44"/>
      <c r="P380" s="44"/>
      <c r="Q380" s="44"/>
      <c r="R380" s="44"/>
      <c r="S380" s="44"/>
      <c r="T380" s="44"/>
      <c r="U380" s="44"/>
      <c r="V380" s="44"/>
      <c r="W380" s="44"/>
      <c r="X380" s="44"/>
      <c r="Y380" s="44"/>
      <c r="Z380" s="44"/>
      <c r="AB380" s="37" t="str">
        <f aca="false">TRIM($A380&amp;"")</f>
        <v/>
      </c>
      <c r="AC380" s="37" t="str">
        <f aca="false">IF(AB380="","",IFERROR(INDEX('Account Map'!$B:$B,MATCH(AB380,'Account Map'!$A:$A,0)),""))</f>
        <v/>
      </c>
      <c r="AD380" s="37" t="str">
        <f aca="false">IF(AB380="","",IFERROR(INDEX('Account Map'!$C:$C,MATCH(AB380,'Account Map'!$A:$A,0)),""))</f>
        <v/>
      </c>
      <c r="AE380" s="37" t="n">
        <f aca="false">IF(AND(AB380&lt;&gt;"",AC380="",COUNT($B380:$Z380)&gt;0,LEFT(AB380,5)&lt;&gt;"Total",AB380&lt;&gt;"Gross Profit",AB380&lt;&gt;"Net Profit",AB380&lt;&gt;"Operating Profit"),1,0)</f>
        <v>0</v>
      </c>
    </row>
    <row r="381" customFormat="false" ht="15" hidden="false" customHeight="false" outlineLevel="0" collapsed="false">
      <c r="B381" s="44"/>
      <c r="C381" s="44"/>
      <c r="D381" s="44"/>
      <c r="E381" s="44"/>
      <c r="F381" s="44"/>
      <c r="G381" s="44"/>
      <c r="H381" s="44"/>
      <c r="I381" s="44"/>
      <c r="J381" s="44"/>
      <c r="K381" s="44"/>
      <c r="L381" s="44"/>
      <c r="M381" s="44"/>
      <c r="N381" s="44"/>
      <c r="O381" s="44"/>
      <c r="P381" s="44"/>
      <c r="Q381" s="44"/>
      <c r="R381" s="44"/>
      <c r="S381" s="44"/>
      <c r="T381" s="44"/>
      <c r="U381" s="44"/>
      <c r="V381" s="44"/>
      <c r="W381" s="44"/>
      <c r="X381" s="44"/>
      <c r="Y381" s="44"/>
      <c r="Z381" s="44"/>
      <c r="AB381" s="37" t="str">
        <f aca="false">TRIM($A381&amp;"")</f>
        <v/>
      </c>
      <c r="AC381" s="37" t="str">
        <f aca="false">IF(AB381="","",IFERROR(INDEX('Account Map'!$B:$B,MATCH(AB381,'Account Map'!$A:$A,0)),""))</f>
        <v/>
      </c>
      <c r="AD381" s="37" t="str">
        <f aca="false">IF(AB381="","",IFERROR(INDEX('Account Map'!$C:$C,MATCH(AB381,'Account Map'!$A:$A,0)),""))</f>
        <v/>
      </c>
      <c r="AE381" s="37" t="n">
        <f aca="false">IF(AND(AB381&lt;&gt;"",AC381="",COUNT($B381:$Z381)&gt;0,LEFT(AB381,5)&lt;&gt;"Total",AB381&lt;&gt;"Gross Profit",AB381&lt;&gt;"Net Profit",AB381&lt;&gt;"Operating Profit"),1,0)</f>
        <v>0</v>
      </c>
    </row>
    <row r="382" customFormat="false" ht="15" hidden="false" customHeight="false" outlineLevel="0" collapsed="false">
      <c r="B382" s="44"/>
      <c r="C382" s="44"/>
      <c r="D382" s="44"/>
      <c r="E382" s="44"/>
      <c r="F382" s="44"/>
      <c r="G382" s="44"/>
      <c r="H382" s="44"/>
      <c r="I382" s="44"/>
      <c r="J382" s="44"/>
      <c r="K382" s="44"/>
      <c r="L382" s="44"/>
      <c r="M382" s="44"/>
      <c r="N382" s="44"/>
      <c r="O382" s="44"/>
      <c r="P382" s="44"/>
      <c r="Q382" s="44"/>
      <c r="R382" s="44"/>
      <c r="S382" s="44"/>
      <c r="T382" s="44"/>
      <c r="U382" s="44"/>
      <c r="V382" s="44"/>
      <c r="W382" s="44"/>
      <c r="X382" s="44"/>
      <c r="Y382" s="44"/>
      <c r="Z382" s="44"/>
      <c r="AB382" s="37" t="str">
        <f aca="false">TRIM($A382&amp;"")</f>
        <v/>
      </c>
      <c r="AC382" s="37" t="str">
        <f aca="false">IF(AB382="","",IFERROR(INDEX('Account Map'!$B:$B,MATCH(AB382,'Account Map'!$A:$A,0)),""))</f>
        <v/>
      </c>
      <c r="AD382" s="37" t="str">
        <f aca="false">IF(AB382="","",IFERROR(INDEX('Account Map'!$C:$C,MATCH(AB382,'Account Map'!$A:$A,0)),""))</f>
        <v/>
      </c>
      <c r="AE382" s="37" t="n">
        <f aca="false">IF(AND(AB382&lt;&gt;"",AC382="",COUNT($B382:$Z382)&gt;0,LEFT(AB382,5)&lt;&gt;"Total",AB382&lt;&gt;"Gross Profit",AB382&lt;&gt;"Net Profit",AB382&lt;&gt;"Operating Profit"),1,0)</f>
        <v>0</v>
      </c>
    </row>
    <row r="383" customFormat="false" ht="15" hidden="false" customHeight="false" outlineLevel="0" collapsed="false">
      <c r="B383" s="44"/>
      <c r="C383" s="44"/>
      <c r="D383" s="44"/>
      <c r="E383" s="44"/>
      <c r="F383" s="44"/>
      <c r="G383" s="44"/>
      <c r="H383" s="44"/>
      <c r="I383" s="44"/>
      <c r="J383" s="44"/>
      <c r="K383" s="44"/>
      <c r="L383" s="44"/>
      <c r="M383" s="44"/>
      <c r="N383" s="44"/>
      <c r="O383" s="44"/>
      <c r="P383" s="44"/>
      <c r="Q383" s="44"/>
      <c r="R383" s="44"/>
      <c r="S383" s="44"/>
      <c r="T383" s="44"/>
      <c r="U383" s="44"/>
      <c r="V383" s="44"/>
      <c r="W383" s="44"/>
      <c r="X383" s="44"/>
      <c r="Y383" s="44"/>
      <c r="Z383" s="44"/>
      <c r="AB383" s="37" t="str">
        <f aca="false">TRIM($A383&amp;"")</f>
        <v/>
      </c>
      <c r="AC383" s="37" t="str">
        <f aca="false">IF(AB383="","",IFERROR(INDEX('Account Map'!$B:$B,MATCH(AB383,'Account Map'!$A:$A,0)),""))</f>
        <v/>
      </c>
      <c r="AD383" s="37" t="str">
        <f aca="false">IF(AB383="","",IFERROR(INDEX('Account Map'!$C:$C,MATCH(AB383,'Account Map'!$A:$A,0)),""))</f>
        <v/>
      </c>
      <c r="AE383" s="37" t="n">
        <f aca="false">IF(AND(AB383&lt;&gt;"",AC383="",COUNT($B383:$Z383)&gt;0,LEFT(AB383,5)&lt;&gt;"Total",AB383&lt;&gt;"Gross Profit",AB383&lt;&gt;"Net Profit",AB383&lt;&gt;"Operating Profit"),1,0)</f>
        <v>0</v>
      </c>
    </row>
    <row r="384" customFormat="false" ht="15" hidden="false" customHeight="false" outlineLevel="0" collapsed="false">
      <c r="B384" s="44"/>
      <c r="C384" s="44"/>
      <c r="D384" s="44"/>
      <c r="E384" s="44"/>
      <c r="F384" s="44"/>
      <c r="G384" s="44"/>
      <c r="H384" s="44"/>
      <c r="I384" s="44"/>
      <c r="J384" s="44"/>
      <c r="K384" s="44"/>
      <c r="L384" s="44"/>
      <c r="M384" s="44"/>
      <c r="N384" s="44"/>
      <c r="O384" s="44"/>
      <c r="P384" s="44"/>
      <c r="Q384" s="44"/>
      <c r="R384" s="44"/>
      <c r="S384" s="44"/>
      <c r="T384" s="44"/>
      <c r="U384" s="44"/>
      <c r="V384" s="44"/>
      <c r="W384" s="44"/>
      <c r="X384" s="44"/>
      <c r="Y384" s="44"/>
      <c r="Z384" s="44"/>
      <c r="AB384" s="37" t="str">
        <f aca="false">TRIM($A384&amp;"")</f>
        <v/>
      </c>
      <c r="AC384" s="37" t="str">
        <f aca="false">IF(AB384="","",IFERROR(INDEX('Account Map'!$B:$B,MATCH(AB384,'Account Map'!$A:$A,0)),""))</f>
        <v/>
      </c>
      <c r="AD384" s="37" t="str">
        <f aca="false">IF(AB384="","",IFERROR(INDEX('Account Map'!$C:$C,MATCH(AB384,'Account Map'!$A:$A,0)),""))</f>
        <v/>
      </c>
      <c r="AE384" s="37" t="n">
        <f aca="false">IF(AND(AB384&lt;&gt;"",AC384="",COUNT($B384:$Z384)&gt;0,LEFT(AB384,5)&lt;&gt;"Total",AB384&lt;&gt;"Gross Profit",AB384&lt;&gt;"Net Profit",AB384&lt;&gt;"Operating Profit"),1,0)</f>
        <v>0</v>
      </c>
    </row>
    <row r="385" customFormat="false" ht="15" hidden="false" customHeight="false" outlineLevel="0" collapsed="false">
      <c r="B385" s="44"/>
      <c r="C385" s="44"/>
      <c r="D385" s="44"/>
      <c r="E385" s="44"/>
      <c r="F385" s="44"/>
      <c r="G385" s="44"/>
      <c r="H385" s="44"/>
      <c r="I385" s="44"/>
      <c r="J385" s="44"/>
      <c r="K385" s="44"/>
      <c r="L385" s="44"/>
      <c r="M385" s="44"/>
      <c r="N385" s="44"/>
      <c r="O385" s="44"/>
      <c r="P385" s="44"/>
      <c r="Q385" s="44"/>
      <c r="R385" s="44"/>
      <c r="S385" s="44"/>
      <c r="T385" s="44"/>
      <c r="U385" s="44"/>
      <c r="V385" s="44"/>
      <c r="W385" s="44"/>
      <c r="X385" s="44"/>
      <c r="Y385" s="44"/>
      <c r="Z385" s="44"/>
      <c r="AB385" s="37" t="str">
        <f aca="false">TRIM($A385&amp;"")</f>
        <v/>
      </c>
      <c r="AC385" s="37" t="str">
        <f aca="false">IF(AB385="","",IFERROR(INDEX('Account Map'!$B:$B,MATCH(AB385,'Account Map'!$A:$A,0)),""))</f>
        <v/>
      </c>
      <c r="AD385" s="37" t="str">
        <f aca="false">IF(AB385="","",IFERROR(INDEX('Account Map'!$C:$C,MATCH(AB385,'Account Map'!$A:$A,0)),""))</f>
        <v/>
      </c>
      <c r="AE385" s="37" t="n">
        <f aca="false">IF(AND(AB385&lt;&gt;"",AC385="",COUNT($B385:$Z385)&gt;0,LEFT(AB385,5)&lt;&gt;"Total",AB385&lt;&gt;"Gross Profit",AB385&lt;&gt;"Net Profit",AB385&lt;&gt;"Operating Profit"),1,0)</f>
        <v>0</v>
      </c>
    </row>
    <row r="386" customFormat="false" ht="15" hidden="false" customHeight="false" outlineLevel="0" collapsed="false">
      <c r="B386" s="44"/>
      <c r="C386" s="44"/>
      <c r="D386" s="44"/>
      <c r="E386" s="44"/>
      <c r="F386" s="44"/>
      <c r="G386" s="44"/>
      <c r="H386" s="44"/>
      <c r="I386" s="44"/>
      <c r="J386" s="44"/>
      <c r="K386" s="44"/>
      <c r="L386" s="44"/>
      <c r="M386" s="44"/>
      <c r="N386" s="44"/>
      <c r="O386" s="44"/>
      <c r="P386" s="44"/>
      <c r="Q386" s="44"/>
      <c r="R386" s="44"/>
      <c r="S386" s="44"/>
      <c r="T386" s="44"/>
      <c r="U386" s="44"/>
      <c r="V386" s="44"/>
      <c r="W386" s="44"/>
      <c r="X386" s="44"/>
      <c r="Y386" s="44"/>
      <c r="Z386" s="44"/>
      <c r="AB386" s="37" t="str">
        <f aca="false">TRIM($A386&amp;"")</f>
        <v/>
      </c>
      <c r="AC386" s="37" t="str">
        <f aca="false">IF(AB386="","",IFERROR(INDEX('Account Map'!$B:$B,MATCH(AB386,'Account Map'!$A:$A,0)),""))</f>
        <v/>
      </c>
      <c r="AD386" s="37" t="str">
        <f aca="false">IF(AB386="","",IFERROR(INDEX('Account Map'!$C:$C,MATCH(AB386,'Account Map'!$A:$A,0)),""))</f>
        <v/>
      </c>
      <c r="AE386" s="37" t="n">
        <f aca="false">IF(AND(AB386&lt;&gt;"",AC386="",COUNT($B386:$Z386)&gt;0,LEFT(AB386,5)&lt;&gt;"Total",AB386&lt;&gt;"Gross Profit",AB386&lt;&gt;"Net Profit",AB386&lt;&gt;"Operating Profit"),1,0)</f>
        <v>0</v>
      </c>
    </row>
    <row r="387" customFormat="false" ht="15" hidden="false" customHeight="false" outlineLevel="0" collapsed="false">
      <c r="B387" s="44"/>
      <c r="C387" s="44"/>
      <c r="D387" s="44"/>
      <c r="E387" s="44"/>
      <c r="F387" s="44"/>
      <c r="G387" s="44"/>
      <c r="H387" s="44"/>
      <c r="I387" s="44"/>
      <c r="J387" s="44"/>
      <c r="K387" s="44"/>
      <c r="L387" s="44"/>
      <c r="M387" s="44"/>
      <c r="N387" s="44"/>
      <c r="O387" s="44"/>
      <c r="P387" s="44"/>
      <c r="Q387" s="44"/>
      <c r="R387" s="44"/>
      <c r="S387" s="44"/>
      <c r="T387" s="44"/>
      <c r="U387" s="44"/>
      <c r="V387" s="44"/>
      <c r="W387" s="44"/>
      <c r="X387" s="44"/>
      <c r="Y387" s="44"/>
      <c r="Z387" s="44"/>
      <c r="AB387" s="37" t="str">
        <f aca="false">TRIM($A387&amp;"")</f>
        <v/>
      </c>
      <c r="AC387" s="37" t="str">
        <f aca="false">IF(AB387="","",IFERROR(INDEX('Account Map'!$B:$B,MATCH(AB387,'Account Map'!$A:$A,0)),""))</f>
        <v/>
      </c>
      <c r="AD387" s="37" t="str">
        <f aca="false">IF(AB387="","",IFERROR(INDEX('Account Map'!$C:$C,MATCH(AB387,'Account Map'!$A:$A,0)),""))</f>
        <v/>
      </c>
      <c r="AE387" s="37" t="n">
        <f aca="false">IF(AND(AB387&lt;&gt;"",AC387="",COUNT($B387:$Z387)&gt;0,LEFT(AB387,5)&lt;&gt;"Total",AB387&lt;&gt;"Gross Profit",AB387&lt;&gt;"Net Profit",AB387&lt;&gt;"Operating Profit"),1,0)</f>
        <v>0</v>
      </c>
    </row>
    <row r="388" customFormat="false" ht="15" hidden="false" customHeight="false" outlineLevel="0" collapsed="false">
      <c r="B388" s="44"/>
      <c r="C388" s="44"/>
      <c r="D388" s="44"/>
      <c r="E388" s="44"/>
      <c r="F388" s="44"/>
      <c r="G388" s="44"/>
      <c r="H388" s="44"/>
      <c r="I388" s="44"/>
      <c r="J388" s="44"/>
      <c r="K388" s="44"/>
      <c r="L388" s="44"/>
      <c r="M388" s="44"/>
      <c r="N388" s="44"/>
      <c r="O388" s="44"/>
      <c r="P388" s="44"/>
      <c r="Q388" s="44"/>
      <c r="R388" s="44"/>
      <c r="S388" s="44"/>
      <c r="T388" s="44"/>
      <c r="U388" s="44"/>
      <c r="V388" s="44"/>
      <c r="W388" s="44"/>
      <c r="X388" s="44"/>
      <c r="Y388" s="44"/>
      <c r="Z388" s="44"/>
      <c r="AB388" s="37" t="str">
        <f aca="false">TRIM($A388&amp;"")</f>
        <v/>
      </c>
      <c r="AC388" s="37" t="str">
        <f aca="false">IF(AB388="","",IFERROR(INDEX('Account Map'!$B:$B,MATCH(AB388,'Account Map'!$A:$A,0)),""))</f>
        <v/>
      </c>
      <c r="AD388" s="37" t="str">
        <f aca="false">IF(AB388="","",IFERROR(INDEX('Account Map'!$C:$C,MATCH(AB388,'Account Map'!$A:$A,0)),""))</f>
        <v/>
      </c>
      <c r="AE388" s="37" t="n">
        <f aca="false">IF(AND(AB388&lt;&gt;"",AC388="",COUNT($B388:$Z388)&gt;0,LEFT(AB388,5)&lt;&gt;"Total",AB388&lt;&gt;"Gross Profit",AB388&lt;&gt;"Net Profit",AB388&lt;&gt;"Operating Profit"),1,0)</f>
        <v>0</v>
      </c>
    </row>
    <row r="389" customFormat="false" ht="15" hidden="false" customHeight="false" outlineLevel="0" collapsed="false">
      <c r="B389" s="44"/>
      <c r="C389" s="44"/>
      <c r="D389" s="44"/>
      <c r="E389" s="44"/>
      <c r="F389" s="44"/>
      <c r="G389" s="44"/>
      <c r="H389" s="44"/>
      <c r="I389" s="44"/>
      <c r="J389" s="44"/>
      <c r="K389" s="44"/>
      <c r="L389" s="44"/>
      <c r="M389" s="44"/>
      <c r="N389" s="44"/>
      <c r="O389" s="44"/>
      <c r="P389" s="44"/>
      <c r="Q389" s="44"/>
      <c r="R389" s="44"/>
      <c r="S389" s="44"/>
      <c r="T389" s="44"/>
      <c r="U389" s="44"/>
      <c r="V389" s="44"/>
      <c r="W389" s="44"/>
      <c r="X389" s="44"/>
      <c r="Y389" s="44"/>
      <c r="Z389" s="44"/>
      <c r="AB389" s="37" t="str">
        <f aca="false">TRIM($A389&amp;"")</f>
        <v/>
      </c>
      <c r="AC389" s="37" t="str">
        <f aca="false">IF(AB389="","",IFERROR(INDEX('Account Map'!$B:$B,MATCH(AB389,'Account Map'!$A:$A,0)),""))</f>
        <v/>
      </c>
      <c r="AD389" s="37" t="str">
        <f aca="false">IF(AB389="","",IFERROR(INDEX('Account Map'!$C:$C,MATCH(AB389,'Account Map'!$A:$A,0)),""))</f>
        <v/>
      </c>
      <c r="AE389" s="37" t="n">
        <f aca="false">IF(AND(AB389&lt;&gt;"",AC389="",COUNT($B389:$Z389)&gt;0,LEFT(AB389,5)&lt;&gt;"Total",AB389&lt;&gt;"Gross Profit",AB389&lt;&gt;"Net Profit",AB389&lt;&gt;"Operating Profit"),1,0)</f>
        <v>0</v>
      </c>
    </row>
    <row r="390" customFormat="false" ht="15" hidden="false" customHeight="false" outlineLevel="0" collapsed="false">
      <c r="B390" s="44"/>
      <c r="C390" s="44"/>
      <c r="D390" s="44"/>
      <c r="E390" s="44"/>
      <c r="F390" s="44"/>
      <c r="G390" s="44"/>
      <c r="H390" s="44"/>
      <c r="I390" s="44"/>
      <c r="J390" s="44"/>
      <c r="K390" s="44"/>
      <c r="L390" s="44"/>
      <c r="M390" s="44"/>
      <c r="N390" s="44"/>
      <c r="O390" s="44"/>
      <c r="P390" s="44"/>
      <c r="Q390" s="44"/>
      <c r="R390" s="44"/>
      <c r="S390" s="44"/>
      <c r="T390" s="44"/>
      <c r="U390" s="44"/>
      <c r="V390" s="44"/>
      <c r="W390" s="44"/>
      <c r="X390" s="44"/>
      <c r="Y390" s="44"/>
      <c r="Z390" s="44"/>
      <c r="AB390" s="37" t="str">
        <f aca="false">TRIM($A390&amp;"")</f>
        <v/>
      </c>
      <c r="AC390" s="37" t="str">
        <f aca="false">IF(AB390="","",IFERROR(INDEX('Account Map'!$B:$B,MATCH(AB390,'Account Map'!$A:$A,0)),""))</f>
        <v/>
      </c>
      <c r="AD390" s="37" t="str">
        <f aca="false">IF(AB390="","",IFERROR(INDEX('Account Map'!$C:$C,MATCH(AB390,'Account Map'!$A:$A,0)),""))</f>
        <v/>
      </c>
      <c r="AE390" s="37" t="n">
        <f aca="false">IF(AND(AB390&lt;&gt;"",AC390="",COUNT($B390:$Z390)&gt;0,LEFT(AB390,5)&lt;&gt;"Total",AB390&lt;&gt;"Gross Profit",AB390&lt;&gt;"Net Profit",AB390&lt;&gt;"Operating Profit"),1,0)</f>
        <v>0</v>
      </c>
    </row>
    <row r="391" customFormat="false" ht="15" hidden="false" customHeight="false" outlineLevel="0" collapsed="false">
      <c r="B391" s="44"/>
      <c r="C391" s="44"/>
      <c r="D391" s="44"/>
      <c r="E391" s="44"/>
      <c r="F391" s="44"/>
      <c r="G391" s="44"/>
      <c r="H391" s="44"/>
      <c r="I391" s="44"/>
      <c r="J391" s="44"/>
      <c r="K391" s="44"/>
      <c r="L391" s="44"/>
      <c r="M391" s="44"/>
      <c r="N391" s="44"/>
      <c r="O391" s="44"/>
      <c r="P391" s="44"/>
      <c r="Q391" s="44"/>
      <c r="R391" s="44"/>
      <c r="S391" s="44"/>
      <c r="T391" s="44"/>
      <c r="U391" s="44"/>
      <c r="V391" s="44"/>
      <c r="W391" s="44"/>
      <c r="X391" s="44"/>
      <c r="Y391" s="44"/>
      <c r="Z391" s="44"/>
      <c r="AB391" s="37" t="str">
        <f aca="false">TRIM($A391&amp;"")</f>
        <v/>
      </c>
      <c r="AC391" s="37" t="str">
        <f aca="false">IF(AB391="","",IFERROR(INDEX('Account Map'!$B:$B,MATCH(AB391,'Account Map'!$A:$A,0)),""))</f>
        <v/>
      </c>
      <c r="AD391" s="37" t="str">
        <f aca="false">IF(AB391="","",IFERROR(INDEX('Account Map'!$C:$C,MATCH(AB391,'Account Map'!$A:$A,0)),""))</f>
        <v/>
      </c>
      <c r="AE391" s="37" t="n">
        <f aca="false">IF(AND(AB391&lt;&gt;"",AC391="",COUNT($B391:$Z391)&gt;0,LEFT(AB391,5)&lt;&gt;"Total",AB391&lt;&gt;"Gross Profit",AB391&lt;&gt;"Net Profit",AB391&lt;&gt;"Operating Profit"),1,0)</f>
        <v>0</v>
      </c>
    </row>
    <row r="392" customFormat="false" ht="15" hidden="false" customHeight="false" outlineLevel="0" collapsed="false">
      <c r="B392" s="44"/>
      <c r="C392" s="44"/>
      <c r="D392" s="44"/>
      <c r="E392" s="44"/>
      <c r="F392" s="44"/>
      <c r="G392" s="44"/>
      <c r="H392" s="44"/>
      <c r="I392" s="44"/>
      <c r="J392" s="44"/>
      <c r="K392" s="44"/>
      <c r="L392" s="44"/>
      <c r="M392" s="44"/>
      <c r="N392" s="44"/>
      <c r="O392" s="44"/>
      <c r="P392" s="44"/>
      <c r="Q392" s="44"/>
      <c r="R392" s="44"/>
      <c r="S392" s="44"/>
      <c r="T392" s="44"/>
      <c r="U392" s="44"/>
      <c r="V392" s="44"/>
      <c r="W392" s="44"/>
      <c r="X392" s="44"/>
      <c r="Y392" s="44"/>
      <c r="Z392" s="44"/>
      <c r="AB392" s="37" t="str">
        <f aca="false">TRIM($A392&amp;"")</f>
        <v/>
      </c>
      <c r="AC392" s="37" t="str">
        <f aca="false">IF(AB392="","",IFERROR(INDEX('Account Map'!$B:$B,MATCH(AB392,'Account Map'!$A:$A,0)),""))</f>
        <v/>
      </c>
      <c r="AD392" s="37" t="str">
        <f aca="false">IF(AB392="","",IFERROR(INDEX('Account Map'!$C:$C,MATCH(AB392,'Account Map'!$A:$A,0)),""))</f>
        <v/>
      </c>
      <c r="AE392" s="37" t="n">
        <f aca="false">IF(AND(AB392&lt;&gt;"",AC392="",COUNT($B392:$Z392)&gt;0,LEFT(AB392,5)&lt;&gt;"Total",AB392&lt;&gt;"Gross Profit",AB392&lt;&gt;"Net Profit",AB392&lt;&gt;"Operating Profit"),1,0)</f>
        <v>0</v>
      </c>
    </row>
    <row r="393" customFormat="false" ht="15" hidden="false" customHeight="false" outlineLevel="0" collapsed="false">
      <c r="B393" s="44"/>
      <c r="C393" s="44"/>
      <c r="D393" s="44"/>
      <c r="E393" s="44"/>
      <c r="F393" s="44"/>
      <c r="G393" s="44"/>
      <c r="H393" s="44"/>
      <c r="I393" s="44"/>
      <c r="J393" s="44"/>
      <c r="K393" s="44"/>
      <c r="L393" s="44"/>
      <c r="M393" s="44"/>
      <c r="N393" s="44"/>
      <c r="O393" s="44"/>
      <c r="P393" s="44"/>
      <c r="Q393" s="44"/>
      <c r="R393" s="44"/>
      <c r="S393" s="44"/>
      <c r="T393" s="44"/>
      <c r="U393" s="44"/>
      <c r="V393" s="44"/>
      <c r="W393" s="44"/>
      <c r="X393" s="44"/>
      <c r="Y393" s="44"/>
      <c r="Z393" s="44"/>
      <c r="AB393" s="37" t="str">
        <f aca="false">TRIM($A393&amp;"")</f>
        <v/>
      </c>
      <c r="AC393" s="37" t="str">
        <f aca="false">IF(AB393="","",IFERROR(INDEX('Account Map'!$B:$B,MATCH(AB393,'Account Map'!$A:$A,0)),""))</f>
        <v/>
      </c>
      <c r="AD393" s="37" t="str">
        <f aca="false">IF(AB393="","",IFERROR(INDEX('Account Map'!$C:$C,MATCH(AB393,'Account Map'!$A:$A,0)),""))</f>
        <v/>
      </c>
      <c r="AE393" s="37" t="n">
        <f aca="false">IF(AND(AB393&lt;&gt;"",AC393="",COUNT($B393:$Z393)&gt;0,LEFT(AB393,5)&lt;&gt;"Total",AB393&lt;&gt;"Gross Profit",AB393&lt;&gt;"Net Profit",AB393&lt;&gt;"Operating Profit"),1,0)</f>
        <v>0</v>
      </c>
    </row>
    <row r="394" customFormat="false" ht="15" hidden="false" customHeight="false" outlineLevel="0" collapsed="false">
      <c r="B394" s="44"/>
      <c r="C394" s="44"/>
      <c r="D394" s="44"/>
      <c r="E394" s="44"/>
      <c r="F394" s="44"/>
      <c r="G394" s="44"/>
      <c r="H394" s="44"/>
      <c r="I394" s="44"/>
      <c r="J394" s="44"/>
      <c r="K394" s="44"/>
      <c r="L394" s="44"/>
      <c r="M394" s="44"/>
      <c r="N394" s="44"/>
      <c r="O394" s="44"/>
      <c r="P394" s="44"/>
      <c r="Q394" s="44"/>
      <c r="R394" s="44"/>
      <c r="S394" s="44"/>
      <c r="T394" s="44"/>
      <c r="U394" s="44"/>
      <c r="V394" s="44"/>
      <c r="W394" s="44"/>
      <c r="X394" s="44"/>
      <c r="Y394" s="44"/>
      <c r="Z394" s="44"/>
      <c r="AB394" s="37" t="str">
        <f aca="false">TRIM($A394&amp;"")</f>
        <v/>
      </c>
      <c r="AC394" s="37" t="str">
        <f aca="false">IF(AB394="","",IFERROR(INDEX('Account Map'!$B:$B,MATCH(AB394,'Account Map'!$A:$A,0)),""))</f>
        <v/>
      </c>
      <c r="AD394" s="37" t="str">
        <f aca="false">IF(AB394="","",IFERROR(INDEX('Account Map'!$C:$C,MATCH(AB394,'Account Map'!$A:$A,0)),""))</f>
        <v/>
      </c>
      <c r="AE394" s="37" t="n">
        <f aca="false">IF(AND(AB394&lt;&gt;"",AC394="",COUNT($B394:$Z394)&gt;0,LEFT(AB394,5)&lt;&gt;"Total",AB394&lt;&gt;"Gross Profit",AB394&lt;&gt;"Net Profit",AB394&lt;&gt;"Operating Profit"),1,0)</f>
        <v>0</v>
      </c>
    </row>
    <row r="395" customFormat="false" ht="15" hidden="false" customHeight="false" outlineLevel="0" collapsed="false">
      <c r="B395" s="44"/>
      <c r="C395" s="44"/>
      <c r="D395" s="44"/>
      <c r="E395" s="44"/>
      <c r="F395" s="44"/>
      <c r="G395" s="44"/>
      <c r="H395" s="44"/>
      <c r="I395" s="44"/>
      <c r="J395" s="44"/>
      <c r="K395" s="44"/>
      <c r="L395" s="44"/>
      <c r="M395" s="44"/>
      <c r="N395" s="44"/>
      <c r="O395" s="44"/>
      <c r="P395" s="44"/>
      <c r="Q395" s="44"/>
      <c r="R395" s="44"/>
      <c r="S395" s="44"/>
      <c r="T395" s="44"/>
      <c r="U395" s="44"/>
      <c r="V395" s="44"/>
      <c r="W395" s="44"/>
      <c r="X395" s="44"/>
      <c r="Y395" s="44"/>
      <c r="Z395" s="44"/>
      <c r="AB395" s="37" t="str">
        <f aca="false">TRIM($A395&amp;"")</f>
        <v/>
      </c>
      <c r="AC395" s="37" t="str">
        <f aca="false">IF(AB395="","",IFERROR(INDEX('Account Map'!$B:$B,MATCH(AB395,'Account Map'!$A:$A,0)),""))</f>
        <v/>
      </c>
      <c r="AD395" s="37" t="str">
        <f aca="false">IF(AB395="","",IFERROR(INDEX('Account Map'!$C:$C,MATCH(AB395,'Account Map'!$A:$A,0)),""))</f>
        <v/>
      </c>
      <c r="AE395" s="37" t="n">
        <f aca="false">IF(AND(AB395&lt;&gt;"",AC395="",COUNT($B395:$Z395)&gt;0,LEFT(AB395,5)&lt;&gt;"Total",AB395&lt;&gt;"Gross Profit",AB395&lt;&gt;"Net Profit",AB395&lt;&gt;"Operating Profit"),1,0)</f>
        <v>0</v>
      </c>
    </row>
    <row r="396" customFormat="false" ht="15" hidden="false" customHeight="false" outlineLevel="0" collapsed="false">
      <c r="B396" s="44"/>
      <c r="C396" s="44"/>
      <c r="D396" s="44"/>
      <c r="E396" s="44"/>
      <c r="F396" s="44"/>
      <c r="G396" s="44"/>
      <c r="H396" s="44"/>
      <c r="I396" s="44"/>
      <c r="J396" s="44"/>
      <c r="K396" s="44"/>
      <c r="L396" s="44"/>
      <c r="M396" s="44"/>
      <c r="N396" s="44"/>
      <c r="O396" s="44"/>
      <c r="P396" s="44"/>
      <c r="Q396" s="44"/>
      <c r="R396" s="44"/>
      <c r="S396" s="44"/>
      <c r="T396" s="44"/>
      <c r="U396" s="44"/>
      <c r="V396" s="44"/>
      <c r="W396" s="44"/>
      <c r="X396" s="44"/>
      <c r="Y396" s="44"/>
      <c r="Z396" s="44"/>
      <c r="AB396" s="37" t="str">
        <f aca="false">TRIM($A396&amp;"")</f>
        <v/>
      </c>
      <c r="AC396" s="37" t="str">
        <f aca="false">IF(AB396="","",IFERROR(INDEX('Account Map'!$B:$B,MATCH(AB396,'Account Map'!$A:$A,0)),""))</f>
        <v/>
      </c>
      <c r="AD396" s="37" t="str">
        <f aca="false">IF(AB396="","",IFERROR(INDEX('Account Map'!$C:$C,MATCH(AB396,'Account Map'!$A:$A,0)),""))</f>
        <v/>
      </c>
      <c r="AE396" s="37" t="n">
        <f aca="false">IF(AND(AB396&lt;&gt;"",AC396="",COUNT($B396:$Z396)&gt;0,LEFT(AB396,5)&lt;&gt;"Total",AB396&lt;&gt;"Gross Profit",AB396&lt;&gt;"Net Profit",AB396&lt;&gt;"Operating Profit"),1,0)</f>
        <v>0</v>
      </c>
    </row>
    <row r="397" customFormat="false" ht="15" hidden="false" customHeight="false" outlineLevel="0" collapsed="false">
      <c r="B397" s="44"/>
      <c r="C397" s="44"/>
      <c r="D397" s="44"/>
      <c r="E397" s="44"/>
      <c r="F397" s="44"/>
      <c r="G397" s="44"/>
      <c r="H397" s="44"/>
      <c r="I397" s="44"/>
      <c r="J397" s="44"/>
      <c r="K397" s="44"/>
      <c r="L397" s="44"/>
      <c r="M397" s="44"/>
      <c r="N397" s="44"/>
      <c r="O397" s="44"/>
      <c r="P397" s="44"/>
      <c r="Q397" s="44"/>
      <c r="R397" s="44"/>
      <c r="S397" s="44"/>
      <c r="T397" s="44"/>
      <c r="U397" s="44"/>
      <c r="V397" s="44"/>
      <c r="W397" s="44"/>
      <c r="X397" s="44"/>
      <c r="Y397" s="44"/>
      <c r="Z397" s="44"/>
      <c r="AB397" s="37" t="str">
        <f aca="false">TRIM($A397&amp;"")</f>
        <v/>
      </c>
      <c r="AC397" s="37" t="str">
        <f aca="false">IF(AB397="","",IFERROR(INDEX('Account Map'!$B:$B,MATCH(AB397,'Account Map'!$A:$A,0)),""))</f>
        <v/>
      </c>
      <c r="AD397" s="37" t="str">
        <f aca="false">IF(AB397="","",IFERROR(INDEX('Account Map'!$C:$C,MATCH(AB397,'Account Map'!$A:$A,0)),""))</f>
        <v/>
      </c>
      <c r="AE397" s="37" t="n">
        <f aca="false">IF(AND(AB397&lt;&gt;"",AC397="",COUNT($B397:$Z397)&gt;0,LEFT(AB397,5)&lt;&gt;"Total",AB397&lt;&gt;"Gross Profit",AB397&lt;&gt;"Net Profit",AB397&lt;&gt;"Operating Profit"),1,0)</f>
        <v>0</v>
      </c>
    </row>
    <row r="398" customFormat="false" ht="15" hidden="false" customHeight="false" outlineLevel="0" collapsed="false">
      <c r="B398" s="44"/>
      <c r="C398" s="44"/>
      <c r="D398" s="44"/>
      <c r="E398" s="44"/>
      <c r="F398" s="44"/>
      <c r="G398" s="44"/>
      <c r="H398" s="44"/>
      <c r="I398" s="44"/>
      <c r="J398" s="44"/>
      <c r="K398" s="44"/>
      <c r="L398" s="44"/>
      <c r="M398" s="44"/>
      <c r="N398" s="44"/>
      <c r="O398" s="44"/>
      <c r="P398" s="44"/>
      <c r="Q398" s="44"/>
      <c r="R398" s="44"/>
      <c r="S398" s="44"/>
      <c r="T398" s="44"/>
      <c r="U398" s="44"/>
      <c r="V398" s="44"/>
      <c r="W398" s="44"/>
      <c r="X398" s="44"/>
      <c r="Y398" s="44"/>
      <c r="Z398" s="44"/>
      <c r="AB398" s="37" t="str">
        <f aca="false">TRIM($A398&amp;"")</f>
        <v/>
      </c>
      <c r="AC398" s="37" t="str">
        <f aca="false">IF(AB398="","",IFERROR(INDEX('Account Map'!$B:$B,MATCH(AB398,'Account Map'!$A:$A,0)),""))</f>
        <v/>
      </c>
      <c r="AD398" s="37" t="str">
        <f aca="false">IF(AB398="","",IFERROR(INDEX('Account Map'!$C:$C,MATCH(AB398,'Account Map'!$A:$A,0)),""))</f>
        <v/>
      </c>
      <c r="AE398" s="37" t="n">
        <f aca="false">IF(AND(AB398&lt;&gt;"",AC398="",COUNT($B398:$Z398)&gt;0,LEFT(AB398,5)&lt;&gt;"Total",AB398&lt;&gt;"Gross Profit",AB398&lt;&gt;"Net Profit",AB398&lt;&gt;"Operating Profit"),1,0)</f>
        <v>0</v>
      </c>
    </row>
    <row r="399" customFormat="false" ht="15" hidden="false" customHeight="false" outlineLevel="0" collapsed="false">
      <c r="B399" s="44"/>
      <c r="C399" s="44"/>
      <c r="D399" s="44"/>
      <c r="E399" s="44"/>
      <c r="F399" s="44"/>
      <c r="G399" s="44"/>
      <c r="H399" s="44"/>
      <c r="I399" s="44"/>
      <c r="J399" s="44"/>
      <c r="K399" s="44"/>
      <c r="L399" s="44"/>
      <c r="M399" s="44"/>
      <c r="N399" s="44"/>
      <c r="O399" s="44"/>
      <c r="P399" s="44"/>
      <c r="Q399" s="44"/>
      <c r="R399" s="44"/>
      <c r="S399" s="44"/>
      <c r="T399" s="44"/>
      <c r="U399" s="44"/>
      <c r="V399" s="44"/>
      <c r="W399" s="44"/>
      <c r="X399" s="44"/>
      <c r="Y399" s="44"/>
      <c r="Z399" s="44"/>
      <c r="AB399" s="37" t="str">
        <f aca="false">TRIM($A399&amp;"")</f>
        <v/>
      </c>
      <c r="AC399" s="37" t="str">
        <f aca="false">IF(AB399="","",IFERROR(INDEX('Account Map'!$B:$B,MATCH(AB399,'Account Map'!$A:$A,0)),""))</f>
        <v/>
      </c>
      <c r="AD399" s="37" t="str">
        <f aca="false">IF(AB399="","",IFERROR(INDEX('Account Map'!$C:$C,MATCH(AB399,'Account Map'!$A:$A,0)),""))</f>
        <v/>
      </c>
      <c r="AE399" s="37" t="n">
        <f aca="false">IF(AND(AB399&lt;&gt;"",AC399="",COUNT($B399:$Z399)&gt;0,LEFT(AB399,5)&lt;&gt;"Total",AB399&lt;&gt;"Gross Profit",AB399&lt;&gt;"Net Profit",AB399&lt;&gt;"Operating Profit"),1,0)</f>
        <v>0</v>
      </c>
    </row>
    <row r="400" customFormat="false" ht="15" hidden="false" customHeight="false" outlineLevel="0" collapsed="false">
      <c r="B400" s="44"/>
      <c r="C400" s="44"/>
      <c r="D400" s="44"/>
      <c r="E400" s="44"/>
      <c r="F400" s="44"/>
      <c r="G400" s="44"/>
      <c r="H400" s="44"/>
      <c r="I400" s="44"/>
      <c r="J400" s="44"/>
      <c r="K400" s="44"/>
      <c r="L400" s="44"/>
      <c r="M400" s="44"/>
      <c r="N400" s="44"/>
      <c r="O400" s="44"/>
      <c r="P400" s="44"/>
      <c r="Q400" s="44"/>
      <c r="R400" s="44"/>
      <c r="S400" s="44"/>
      <c r="T400" s="44"/>
      <c r="U400" s="44"/>
      <c r="V400" s="44"/>
      <c r="W400" s="44"/>
      <c r="X400" s="44"/>
      <c r="Y400" s="44"/>
      <c r="Z400" s="44"/>
      <c r="AB400" s="37" t="str">
        <f aca="false">TRIM($A400&amp;"")</f>
        <v/>
      </c>
      <c r="AC400" s="37" t="str">
        <f aca="false">IF(AB400="","",IFERROR(INDEX('Account Map'!$B:$B,MATCH(AB400,'Account Map'!$A:$A,0)),""))</f>
        <v/>
      </c>
      <c r="AD400" s="37" t="str">
        <f aca="false">IF(AB400="","",IFERROR(INDEX('Account Map'!$C:$C,MATCH(AB400,'Account Map'!$A:$A,0)),""))</f>
        <v/>
      </c>
      <c r="AE400" s="37" t="n">
        <f aca="false">IF(AND(AB400&lt;&gt;"",AC400="",COUNT($B400:$Z400)&gt;0,LEFT(AB400,5)&lt;&gt;"Total",AB400&lt;&gt;"Gross Profit",AB400&lt;&gt;"Net Profit",AB400&lt;&gt;"Operating Profit"),1,0)</f>
        <v>0</v>
      </c>
    </row>
    <row r="401" customFormat="false" ht="15" hidden="false" customHeight="false" outlineLevel="0" collapsed="false">
      <c r="B401" s="44"/>
      <c r="C401" s="44"/>
      <c r="D401" s="44"/>
      <c r="E401" s="44"/>
      <c r="F401" s="44"/>
      <c r="G401" s="44"/>
      <c r="H401" s="44"/>
      <c r="I401" s="44"/>
      <c r="J401" s="44"/>
      <c r="K401" s="44"/>
      <c r="L401" s="44"/>
      <c r="M401" s="44"/>
      <c r="N401" s="44"/>
      <c r="O401" s="44"/>
      <c r="P401" s="44"/>
      <c r="Q401" s="44"/>
      <c r="R401" s="44"/>
      <c r="S401" s="44"/>
      <c r="T401" s="44"/>
      <c r="U401" s="44"/>
      <c r="V401" s="44"/>
      <c r="W401" s="44"/>
      <c r="X401" s="44"/>
      <c r="Y401" s="44"/>
      <c r="Z401" s="44"/>
      <c r="AB401" s="37" t="str">
        <f aca="false">TRIM($A401&amp;"")</f>
        <v/>
      </c>
      <c r="AC401" s="37" t="str">
        <f aca="false">IF(AB401="","",IFERROR(INDEX('Account Map'!$B:$B,MATCH(AB401,'Account Map'!$A:$A,0)),""))</f>
        <v/>
      </c>
      <c r="AD401" s="37" t="str">
        <f aca="false">IF(AB401="","",IFERROR(INDEX('Account Map'!$C:$C,MATCH(AB401,'Account Map'!$A:$A,0)),""))</f>
        <v/>
      </c>
      <c r="AE401" s="37" t="n">
        <f aca="false">IF(AND(AB401&lt;&gt;"",AC401="",COUNT($B401:$Z401)&gt;0,LEFT(AB401,5)&lt;&gt;"Total",AB401&lt;&gt;"Gross Profit",AB401&lt;&gt;"Net Profit",AB401&lt;&gt;"Operating Profit"),1,0)</f>
        <v>0</v>
      </c>
    </row>
    <row r="402" customFormat="false" ht="15" hidden="false" customHeight="false" outlineLevel="0" collapsed="false">
      <c r="B402" s="44"/>
      <c r="C402" s="44"/>
      <c r="D402" s="44"/>
      <c r="E402" s="44"/>
      <c r="F402" s="44"/>
      <c r="G402" s="44"/>
      <c r="H402" s="44"/>
      <c r="I402" s="44"/>
      <c r="J402" s="44"/>
      <c r="K402" s="44"/>
      <c r="L402" s="44"/>
      <c r="M402" s="44"/>
      <c r="N402" s="44"/>
      <c r="O402" s="44"/>
      <c r="P402" s="44"/>
      <c r="Q402" s="44"/>
      <c r="R402" s="44"/>
      <c r="S402" s="44"/>
      <c r="T402" s="44"/>
      <c r="U402" s="44"/>
      <c r="V402" s="44"/>
      <c r="W402" s="44"/>
      <c r="X402" s="44"/>
      <c r="Y402" s="44"/>
      <c r="Z402" s="44"/>
      <c r="AB402" s="37" t="str">
        <f aca="false">TRIM($A402&amp;"")</f>
        <v/>
      </c>
      <c r="AC402" s="37" t="str">
        <f aca="false">IF(AB402="","",IFERROR(INDEX('Account Map'!$B:$B,MATCH(AB402,'Account Map'!$A:$A,0)),""))</f>
        <v/>
      </c>
      <c r="AD402" s="37" t="str">
        <f aca="false">IF(AB402="","",IFERROR(INDEX('Account Map'!$C:$C,MATCH(AB402,'Account Map'!$A:$A,0)),""))</f>
        <v/>
      </c>
      <c r="AE402" s="37" t="n">
        <f aca="false">IF(AND(AB402&lt;&gt;"",AC402="",COUNT($B402:$Z402)&gt;0,LEFT(AB402,5)&lt;&gt;"Total",AB402&lt;&gt;"Gross Profit",AB402&lt;&gt;"Net Profit",AB402&lt;&gt;"Operating Profit"),1,0)</f>
        <v>0</v>
      </c>
    </row>
    <row r="403" customFormat="false" ht="15" hidden="false" customHeight="false" outlineLevel="0" collapsed="false">
      <c r="B403" s="44"/>
      <c r="C403" s="44"/>
      <c r="D403" s="44"/>
      <c r="E403" s="44"/>
      <c r="F403" s="44"/>
      <c r="G403" s="44"/>
      <c r="H403" s="44"/>
      <c r="I403" s="44"/>
      <c r="J403" s="44"/>
      <c r="K403" s="44"/>
      <c r="L403" s="44"/>
      <c r="M403" s="44"/>
      <c r="N403" s="44"/>
      <c r="O403" s="44"/>
      <c r="P403" s="44"/>
      <c r="Q403" s="44"/>
      <c r="R403" s="44"/>
      <c r="S403" s="44"/>
      <c r="T403" s="44"/>
      <c r="U403" s="44"/>
      <c r="V403" s="44"/>
      <c r="W403" s="44"/>
      <c r="X403" s="44"/>
      <c r="Y403" s="44"/>
      <c r="Z403" s="44"/>
      <c r="AB403" s="37" t="str">
        <f aca="false">TRIM($A403&amp;"")</f>
        <v/>
      </c>
      <c r="AC403" s="37" t="str">
        <f aca="false">IF(AB403="","",IFERROR(INDEX('Account Map'!$B:$B,MATCH(AB403,'Account Map'!$A:$A,0)),""))</f>
        <v/>
      </c>
      <c r="AD403" s="37" t="str">
        <f aca="false">IF(AB403="","",IFERROR(INDEX('Account Map'!$C:$C,MATCH(AB403,'Account Map'!$A:$A,0)),""))</f>
        <v/>
      </c>
      <c r="AE403" s="37" t="n">
        <f aca="false">IF(AND(AB403&lt;&gt;"",AC403="",COUNT($B403:$Z403)&gt;0,LEFT(AB403,5)&lt;&gt;"Total",AB403&lt;&gt;"Gross Profit",AB403&lt;&gt;"Net Profit",AB403&lt;&gt;"Operating Profit"),1,0)</f>
        <v>0</v>
      </c>
    </row>
    <row r="404" customFormat="false" ht="15" hidden="false" customHeight="false" outlineLevel="0" collapsed="false">
      <c r="B404" s="44"/>
      <c r="C404" s="44"/>
      <c r="D404" s="44"/>
      <c r="E404" s="44"/>
      <c r="F404" s="44"/>
      <c r="G404" s="44"/>
      <c r="H404" s="44"/>
      <c r="I404" s="44"/>
      <c r="J404" s="44"/>
      <c r="K404" s="44"/>
      <c r="L404" s="44"/>
      <c r="M404" s="44"/>
      <c r="N404" s="44"/>
      <c r="O404" s="44"/>
      <c r="P404" s="44"/>
      <c r="Q404" s="44"/>
      <c r="R404" s="44"/>
      <c r="S404" s="44"/>
      <c r="T404" s="44"/>
      <c r="U404" s="44"/>
      <c r="V404" s="44"/>
      <c r="W404" s="44"/>
      <c r="X404" s="44"/>
      <c r="Y404" s="44"/>
      <c r="Z404" s="44"/>
      <c r="AB404" s="37" t="str">
        <f aca="false">TRIM($A404&amp;"")</f>
        <v/>
      </c>
      <c r="AC404" s="37" t="str">
        <f aca="false">IF(AB404="","",IFERROR(INDEX('Account Map'!$B:$B,MATCH(AB404,'Account Map'!$A:$A,0)),""))</f>
        <v/>
      </c>
      <c r="AD404" s="37" t="str">
        <f aca="false">IF(AB404="","",IFERROR(INDEX('Account Map'!$C:$C,MATCH(AB404,'Account Map'!$A:$A,0)),""))</f>
        <v/>
      </c>
      <c r="AE404" s="37" t="n">
        <f aca="false">IF(AND(AB404&lt;&gt;"",AC404="",COUNT($B404:$Z404)&gt;0,LEFT(AB404,5)&lt;&gt;"Total",AB404&lt;&gt;"Gross Profit",AB404&lt;&gt;"Net Profit",AB404&lt;&gt;"Operating Profit"),1,0)</f>
        <v>0</v>
      </c>
    </row>
    <row r="405" customFormat="false" ht="15" hidden="false" customHeight="false" outlineLevel="0" collapsed="false">
      <c r="B405" s="44"/>
      <c r="C405" s="44"/>
      <c r="D405" s="44"/>
      <c r="E405" s="44"/>
      <c r="F405" s="44"/>
      <c r="G405" s="44"/>
      <c r="H405" s="44"/>
      <c r="I405" s="44"/>
      <c r="J405" s="44"/>
      <c r="K405" s="44"/>
      <c r="L405" s="44"/>
      <c r="M405" s="44"/>
      <c r="N405" s="44"/>
      <c r="O405" s="44"/>
      <c r="P405" s="44"/>
      <c r="Q405" s="44"/>
      <c r="R405" s="44"/>
      <c r="S405" s="44"/>
      <c r="T405" s="44"/>
      <c r="U405" s="44"/>
      <c r="V405" s="44"/>
      <c r="W405" s="44"/>
      <c r="X405" s="44"/>
      <c r="Y405" s="44"/>
      <c r="Z405" s="44"/>
      <c r="AB405" s="37" t="str">
        <f aca="false">TRIM($A405&amp;"")</f>
        <v/>
      </c>
      <c r="AC405" s="37" t="str">
        <f aca="false">IF(AB405="","",IFERROR(INDEX('Account Map'!$B:$B,MATCH(AB405,'Account Map'!$A:$A,0)),""))</f>
        <v/>
      </c>
      <c r="AD405" s="37" t="str">
        <f aca="false">IF(AB405="","",IFERROR(INDEX('Account Map'!$C:$C,MATCH(AB405,'Account Map'!$A:$A,0)),""))</f>
        <v/>
      </c>
      <c r="AE405" s="37" t="n">
        <f aca="false">IF(AND(AB405&lt;&gt;"",AC405="",COUNT($B405:$Z405)&gt;0,LEFT(AB405,5)&lt;&gt;"Total",AB405&lt;&gt;"Gross Profit",AB405&lt;&gt;"Net Profit",AB405&lt;&gt;"Operating Profit"),1,0)</f>
        <v>0</v>
      </c>
    </row>
    <row r="406" customFormat="false" ht="15" hidden="false" customHeight="false" outlineLevel="0" collapsed="false">
      <c r="B406" s="44"/>
      <c r="C406" s="44"/>
      <c r="D406" s="44"/>
      <c r="E406" s="44"/>
      <c r="F406" s="44"/>
      <c r="G406" s="44"/>
      <c r="H406" s="44"/>
      <c r="I406" s="44"/>
      <c r="J406" s="44"/>
      <c r="K406" s="44"/>
      <c r="L406" s="44"/>
      <c r="M406" s="44"/>
      <c r="N406" s="44"/>
      <c r="O406" s="44"/>
      <c r="P406" s="44"/>
      <c r="Q406" s="44"/>
      <c r="R406" s="44"/>
      <c r="S406" s="44"/>
      <c r="T406" s="44"/>
      <c r="U406" s="44"/>
      <c r="V406" s="44"/>
      <c r="W406" s="44"/>
      <c r="X406" s="44"/>
      <c r="Y406" s="44"/>
      <c r="Z406" s="44"/>
      <c r="AB406" s="37" t="str">
        <f aca="false">TRIM($A406&amp;"")</f>
        <v/>
      </c>
      <c r="AC406" s="37" t="str">
        <f aca="false">IF(AB406="","",IFERROR(INDEX('Account Map'!$B:$B,MATCH(AB406,'Account Map'!$A:$A,0)),""))</f>
        <v/>
      </c>
      <c r="AD406" s="37" t="str">
        <f aca="false">IF(AB406="","",IFERROR(INDEX('Account Map'!$C:$C,MATCH(AB406,'Account Map'!$A:$A,0)),""))</f>
        <v/>
      </c>
      <c r="AE406" s="37" t="n">
        <f aca="false">IF(AND(AB406&lt;&gt;"",AC406="",COUNT($B406:$Z406)&gt;0,LEFT(AB406,5)&lt;&gt;"Total",AB406&lt;&gt;"Gross Profit",AB406&lt;&gt;"Net Profit",AB406&lt;&gt;"Operating Profit"),1,0)</f>
        <v>0</v>
      </c>
    </row>
    <row r="407" customFormat="false" ht="15" hidden="false" customHeight="false" outlineLevel="0" collapsed="false">
      <c r="B407" s="44"/>
      <c r="C407" s="44"/>
      <c r="D407" s="44"/>
      <c r="E407" s="44"/>
      <c r="F407" s="44"/>
      <c r="G407" s="44"/>
      <c r="H407" s="44"/>
      <c r="I407" s="44"/>
      <c r="J407" s="44"/>
      <c r="K407" s="44"/>
      <c r="L407" s="44"/>
      <c r="M407" s="44"/>
      <c r="N407" s="44"/>
      <c r="O407" s="44"/>
      <c r="P407" s="44"/>
      <c r="Q407" s="44"/>
      <c r="R407" s="44"/>
      <c r="S407" s="44"/>
      <c r="T407" s="44"/>
      <c r="U407" s="44"/>
      <c r="V407" s="44"/>
      <c r="W407" s="44"/>
      <c r="X407" s="44"/>
      <c r="Y407" s="44"/>
      <c r="Z407" s="44"/>
      <c r="AB407" s="37" t="str">
        <f aca="false">TRIM($A407&amp;"")</f>
        <v/>
      </c>
      <c r="AC407" s="37" t="str">
        <f aca="false">IF(AB407="","",IFERROR(INDEX('Account Map'!$B:$B,MATCH(AB407,'Account Map'!$A:$A,0)),""))</f>
        <v/>
      </c>
      <c r="AD407" s="37" t="str">
        <f aca="false">IF(AB407="","",IFERROR(INDEX('Account Map'!$C:$C,MATCH(AB407,'Account Map'!$A:$A,0)),""))</f>
        <v/>
      </c>
      <c r="AE407" s="37" t="n">
        <f aca="false">IF(AND(AB407&lt;&gt;"",AC407="",COUNT($B407:$Z407)&gt;0,LEFT(AB407,5)&lt;&gt;"Total",AB407&lt;&gt;"Gross Profit",AB407&lt;&gt;"Net Profit",AB407&lt;&gt;"Operating Profit"),1,0)</f>
        <v>0</v>
      </c>
    </row>
    <row r="408" customFormat="false" ht="15" hidden="false" customHeight="false" outlineLevel="0" collapsed="false">
      <c r="B408" s="44"/>
      <c r="C408" s="44"/>
      <c r="D408" s="44"/>
      <c r="E408" s="44"/>
      <c r="F408" s="44"/>
      <c r="G408" s="44"/>
      <c r="H408" s="44"/>
      <c r="I408" s="44"/>
      <c r="J408" s="44"/>
      <c r="K408" s="44"/>
      <c r="L408" s="44"/>
      <c r="M408" s="44"/>
      <c r="N408" s="44"/>
      <c r="O408" s="44"/>
      <c r="P408" s="44"/>
      <c r="Q408" s="44"/>
      <c r="R408" s="44"/>
      <c r="S408" s="44"/>
      <c r="T408" s="44"/>
      <c r="U408" s="44"/>
      <c r="V408" s="44"/>
      <c r="W408" s="44"/>
      <c r="X408" s="44"/>
      <c r="Y408" s="44"/>
      <c r="Z408" s="44"/>
      <c r="AB408" s="37" t="str">
        <f aca="false">TRIM($A408&amp;"")</f>
        <v/>
      </c>
      <c r="AC408" s="37" t="str">
        <f aca="false">IF(AB408="","",IFERROR(INDEX('Account Map'!$B:$B,MATCH(AB408,'Account Map'!$A:$A,0)),""))</f>
        <v/>
      </c>
      <c r="AD408" s="37" t="str">
        <f aca="false">IF(AB408="","",IFERROR(INDEX('Account Map'!$C:$C,MATCH(AB408,'Account Map'!$A:$A,0)),""))</f>
        <v/>
      </c>
      <c r="AE408" s="37" t="n">
        <f aca="false">IF(AND(AB408&lt;&gt;"",AC408="",COUNT($B408:$Z408)&gt;0,LEFT(AB408,5)&lt;&gt;"Total",AB408&lt;&gt;"Gross Profit",AB408&lt;&gt;"Net Profit",AB408&lt;&gt;"Operating Profit"),1,0)</f>
        <v>0</v>
      </c>
    </row>
    <row r="409" customFormat="false" ht="15" hidden="false" customHeight="false" outlineLevel="0" collapsed="false">
      <c r="B409" s="44"/>
      <c r="C409" s="44"/>
      <c r="D409" s="44"/>
      <c r="E409" s="44"/>
      <c r="F409" s="44"/>
      <c r="G409" s="44"/>
      <c r="H409" s="44"/>
      <c r="I409" s="44"/>
      <c r="J409" s="44"/>
      <c r="K409" s="44"/>
      <c r="L409" s="44"/>
      <c r="M409" s="44"/>
      <c r="N409" s="44"/>
      <c r="O409" s="44"/>
      <c r="P409" s="44"/>
      <c r="Q409" s="44"/>
      <c r="R409" s="44"/>
      <c r="S409" s="44"/>
      <c r="T409" s="44"/>
      <c r="U409" s="44"/>
      <c r="V409" s="44"/>
      <c r="W409" s="44"/>
      <c r="X409" s="44"/>
      <c r="Y409" s="44"/>
      <c r="Z409" s="44"/>
      <c r="AB409" s="37" t="str">
        <f aca="false">TRIM($A409&amp;"")</f>
        <v/>
      </c>
      <c r="AC409" s="37" t="str">
        <f aca="false">IF(AB409="","",IFERROR(INDEX('Account Map'!$B:$B,MATCH(AB409,'Account Map'!$A:$A,0)),""))</f>
        <v/>
      </c>
      <c r="AD409" s="37" t="str">
        <f aca="false">IF(AB409="","",IFERROR(INDEX('Account Map'!$C:$C,MATCH(AB409,'Account Map'!$A:$A,0)),""))</f>
        <v/>
      </c>
      <c r="AE409" s="37" t="n">
        <f aca="false">IF(AND(AB409&lt;&gt;"",AC409="",COUNT($B409:$Z409)&gt;0,LEFT(AB409,5)&lt;&gt;"Total",AB409&lt;&gt;"Gross Profit",AB409&lt;&gt;"Net Profit",AB409&lt;&gt;"Operating Profit"),1,0)</f>
        <v>0</v>
      </c>
    </row>
    <row r="410" customFormat="false" ht="15" hidden="false" customHeight="false" outlineLevel="0" collapsed="false">
      <c r="B410" s="44"/>
      <c r="C410" s="44"/>
      <c r="D410" s="44"/>
      <c r="E410" s="44"/>
      <c r="F410" s="44"/>
      <c r="G410" s="44"/>
      <c r="H410" s="44"/>
      <c r="I410" s="44"/>
      <c r="J410" s="44"/>
      <c r="K410" s="44"/>
      <c r="L410" s="44"/>
      <c r="M410" s="44"/>
      <c r="N410" s="44"/>
      <c r="O410" s="44"/>
      <c r="P410" s="44"/>
      <c r="Q410" s="44"/>
      <c r="R410" s="44"/>
      <c r="S410" s="44"/>
      <c r="T410" s="44"/>
      <c r="U410" s="44"/>
      <c r="V410" s="44"/>
      <c r="W410" s="44"/>
      <c r="X410" s="44"/>
      <c r="Y410" s="44"/>
      <c r="Z410" s="44"/>
      <c r="AB410" s="37" t="str">
        <f aca="false">TRIM($A410&amp;"")</f>
        <v/>
      </c>
      <c r="AC410" s="37" t="str">
        <f aca="false">IF(AB410="","",IFERROR(INDEX('Account Map'!$B:$B,MATCH(AB410,'Account Map'!$A:$A,0)),""))</f>
        <v/>
      </c>
      <c r="AD410" s="37" t="str">
        <f aca="false">IF(AB410="","",IFERROR(INDEX('Account Map'!$C:$C,MATCH(AB410,'Account Map'!$A:$A,0)),""))</f>
        <v/>
      </c>
      <c r="AE410" s="37" t="n">
        <f aca="false">IF(AND(AB410&lt;&gt;"",AC410="",COUNT($B410:$Z410)&gt;0,LEFT(AB410,5)&lt;&gt;"Total",AB410&lt;&gt;"Gross Profit",AB410&lt;&gt;"Net Profit",AB410&lt;&gt;"Operating Profit"),1,0)</f>
        <v>0</v>
      </c>
    </row>
    <row r="411" customFormat="false" ht="15" hidden="false" customHeight="false" outlineLevel="0" collapsed="false">
      <c r="B411" s="44"/>
      <c r="C411" s="44"/>
      <c r="D411" s="44"/>
      <c r="E411" s="44"/>
      <c r="F411" s="44"/>
      <c r="G411" s="44"/>
      <c r="H411" s="44"/>
      <c r="I411" s="44"/>
      <c r="J411" s="44"/>
      <c r="K411" s="44"/>
      <c r="L411" s="44"/>
      <c r="M411" s="44"/>
      <c r="N411" s="44"/>
      <c r="O411" s="44"/>
      <c r="P411" s="44"/>
      <c r="Q411" s="44"/>
      <c r="R411" s="44"/>
      <c r="S411" s="44"/>
      <c r="T411" s="44"/>
      <c r="U411" s="44"/>
      <c r="V411" s="44"/>
      <c r="W411" s="44"/>
      <c r="X411" s="44"/>
      <c r="Y411" s="44"/>
      <c r="Z411" s="44"/>
      <c r="AB411" s="37" t="str">
        <f aca="false">TRIM($A411&amp;"")</f>
        <v/>
      </c>
      <c r="AC411" s="37" t="str">
        <f aca="false">IF(AB411="","",IFERROR(INDEX('Account Map'!$B:$B,MATCH(AB411,'Account Map'!$A:$A,0)),""))</f>
        <v/>
      </c>
      <c r="AD411" s="37" t="str">
        <f aca="false">IF(AB411="","",IFERROR(INDEX('Account Map'!$C:$C,MATCH(AB411,'Account Map'!$A:$A,0)),""))</f>
        <v/>
      </c>
      <c r="AE411" s="37" t="n">
        <f aca="false">IF(AND(AB411&lt;&gt;"",AC411="",COUNT($B411:$Z411)&gt;0,LEFT(AB411,5)&lt;&gt;"Total",AB411&lt;&gt;"Gross Profit",AB411&lt;&gt;"Net Profit",AB411&lt;&gt;"Operating Profit"),1,0)</f>
        <v>0</v>
      </c>
    </row>
    <row r="412" customFormat="false" ht="15" hidden="false" customHeight="false" outlineLevel="0" collapsed="false">
      <c r="B412" s="44"/>
      <c r="C412" s="44"/>
      <c r="D412" s="44"/>
      <c r="E412" s="44"/>
      <c r="F412" s="44"/>
      <c r="G412" s="44"/>
      <c r="H412" s="44"/>
      <c r="I412" s="44"/>
      <c r="J412" s="44"/>
      <c r="K412" s="44"/>
      <c r="L412" s="44"/>
      <c r="M412" s="44"/>
      <c r="N412" s="44"/>
      <c r="O412" s="44"/>
      <c r="P412" s="44"/>
      <c r="Q412" s="44"/>
      <c r="R412" s="44"/>
      <c r="S412" s="44"/>
      <c r="T412" s="44"/>
      <c r="U412" s="44"/>
      <c r="V412" s="44"/>
      <c r="W412" s="44"/>
      <c r="X412" s="44"/>
      <c r="Y412" s="44"/>
      <c r="Z412" s="44"/>
      <c r="AB412" s="37" t="str">
        <f aca="false">TRIM($A412&amp;"")</f>
        <v/>
      </c>
      <c r="AC412" s="37" t="str">
        <f aca="false">IF(AB412="","",IFERROR(INDEX('Account Map'!$B:$B,MATCH(AB412,'Account Map'!$A:$A,0)),""))</f>
        <v/>
      </c>
      <c r="AD412" s="37" t="str">
        <f aca="false">IF(AB412="","",IFERROR(INDEX('Account Map'!$C:$C,MATCH(AB412,'Account Map'!$A:$A,0)),""))</f>
        <v/>
      </c>
      <c r="AE412" s="37" t="n">
        <f aca="false">IF(AND(AB412&lt;&gt;"",AC412="",COUNT($B412:$Z412)&gt;0,LEFT(AB412,5)&lt;&gt;"Total",AB412&lt;&gt;"Gross Profit",AB412&lt;&gt;"Net Profit",AB412&lt;&gt;"Operating Profit"),1,0)</f>
        <v>0</v>
      </c>
    </row>
    <row r="413" customFormat="false" ht="15" hidden="false" customHeight="false" outlineLevel="0" collapsed="false">
      <c r="B413" s="44"/>
      <c r="C413" s="44"/>
      <c r="D413" s="44"/>
      <c r="E413" s="44"/>
      <c r="F413" s="44"/>
      <c r="G413" s="44"/>
      <c r="H413" s="44"/>
      <c r="I413" s="44"/>
      <c r="J413" s="44"/>
      <c r="K413" s="44"/>
      <c r="L413" s="44"/>
      <c r="M413" s="44"/>
      <c r="N413" s="44"/>
      <c r="O413" s="44"/>
      <c r="P413" s="44"/>
      <c r="Q413" s="44"/>
      <c r="R413" s="44"/>
      <c r="S413" s="44"/>
      <c r="T413" s="44"/>
      <c r="U413" s="44"/>
      <c r="V413" s="44"/>
      <c r="W413" s="44"/>
      <c r="X413" s="44"/>
      <c r="Y413" s="44"/>
      <c r="Z413" s="44"/>
      <c r="AB413" s="37" t="str">
        <f aca="false">TRIM($A413&amp;"")</f>
        <v/>
      </c>
      <c r="AC413" s="37" t="str">
        <f aca="false">IF(AB413="","",IFERROR(INDEX('Account Map'!$B:$B,MATCH(AB413,'Account Map'!$A:$A,0)),""))</f>
        <v/>
      </c>
      <c r="AD413" s="37" t="str">
        <f aca="false">IF(AB413="","",IFERROR(INDEX('Account Map'!$C:$C,MATCH(AB413,'Account Map'!$A:$A,0)),""))</f>
        <v/>
      </c>
      <c r="AE413" s="37" t="n">
        <f aca="false">IF(AND(AB413&lt;&gt;"",AC413="",COUNT($B413:$Z413)&gt;0,LEFT(AB413,5)&lt;&gt;"Total",AB413&lt;&gt;"Gross Profit",AB413&lt;&gt;"Net Profit",AB413&lt;&gt;"Operating Profit"),1,0)</f>
        <v>0</v>
      </c>
    </row>
    <row r="414" customFormat="false" ht="15" hidden="false" customHeight="false" outlineLevel="0" collapsed="false">
      <c r="B414" s="44"/>
      <c r="C414" s="44"/>
      <c r="D414" s="44"/>
      <c r="E414" s="44"/>
      <c r="F414" s="44"/>
      <c r="G414" s="44"/>
      <c r="H414" s="44"/>
      <c r="I414" s="44"/>
      <c r="J414" s="44"/>
      <c r="K414" s="44"/>
      <c r="L414" s="44"/>
      <c r="M414" s="44"/>
      <c r="N414" s="44"/>
      <c r="O414" s="44"/>
      <c r="P414" s="44"/>
      <c r="Q414" s="44"/>
      <c r="R414" s="44"/>
      <c r="S414" s="44"/>
      <c r="T414" s="44"/>
      <c r="U414" s="44"/>
      <c r="V414" s="44"/>
      <c r="W414" s="44"/>
      <c r="X414" s="44"/>
      <c r="Y414" s="44"/>
      <c r="Z414" s="44"/>
      <c r="AB414" s="37" t="str">
        <f aca="false">TRIM($A414&amp;"")</f>
        <v/>
      </c>
      <c r="AC414" s="37" t="str">
        <f aca="false">IF(AB414="","",IFERROR(INDEX('Account Map'!$B:$B,MATCH(AB414,'Account Map'!$A:$A,0)),""))</f>
        <v/>
      </c>
      <c r="AD414" s="37" t="str">
        <f aca="false">IF(AB414="","",IFERROR(INDEX('Account Map'!$C:$C,MATCH(AB414,'Account Map'!$A:$A,0)),""))</f>
        <v/>
      </c>
      <c r="AE414" s="37" t="n">
        <f aca="false">IF(AND(AB414&lt;&gt;"",AC414="",COUNT($B414:$Z414)&gt;0,LEFT(AB414,5)&lt;&gt;"Total",AB414&lt;&gt;"Gross Profit",AB414&lt;&gt;"Net Profit",AB414&lt;&gt;"Operating Profit"),1,0)</f>
        <v>0</v>
      </c>
    </row>
    <row r="415" customFormat="false" ht="15" hidden="false" customHeight="false" outlineLevel="0" collapsed="false">
      <c r="B415" s="44"/>
      <c r="C415" s="44"/>
      <c r="D415" s="44"/>
      <c r="E415" s="44"/>
      <c r="F415" s="44"/>
      <c r="G415" s="44"/>
      <c r="H415" s="44"/>
      <c r="I415" s="44"/>
      <c r="J415" s="44"/>
      <c r="K415" s="44"/>
      <c r="L415" s="44"/>
      <c r="M415" s="44"/>
      <c r="N415" s="44"/>
      <c r="O415" s="44"/>
      <c r="P415" s="44"/>
      <c r="Q415" s="44"/>
      <c r="R415" s="44"/>
      <c r="S415" s="44"/>
      <c r="T415" s="44"/>
      <c r="U415" s="44"/>
      <c r="V415" s="44"/>
      <c r="W415" s="44"/>
      <c r="X415" s="44"/>
      <c r="Y415" s="44"/>
      <c r="Z415" s="44"/>
      <c r="AB415" s="37" t="str">
        <f aca="false">TRIM($A415&amp;"")</f>
        <v/>
      </c>
      <c r="AC415" s="37" t="str">
        <f aca="false">IF(AB415="","",IFERROR(INDEX('Account Map'!$B:$B,MATCH(AB415,'Account Map'!$A:$A,0)),""))</f>
        <v/>
      </c>
      <c r="AD415" s="37" t="str">
        <f aca="false">IF(AB415="","",IFERROR(INDEX('Account Map'!$C:$C,MATCH(AB415,'Account Map'!$A:$A,0)),""))</f>
        <v/>
      </c>
      <c r="AE415" s="37" t="n">
        <f aca="false">IF(AND(AB415&lt;&gt;"",AC415="",COUNT($B415:$Z415)&gt;0,LEFT(AB415,5)&lt;&gt;"Total",AB415&lt;&gt;"Gross Profit",AB415&lt;&gt;"Net Profit",AB415&lt;&gt;"Operating Profit"),1,0)</f>
        <v>0</v>
      </c>
    </row>
    <row r="416" customFormat="false" ht="15" hidden="false" customHeight="false" outlineLevel="0" collapsed="false">
      <c r="B416" s="44"/>
      <c r="C416" s="44"/>
      <c r="D416" s="44"/>
      <c r="E416" s="44"/>
      <c r="F416" s="44"/>
      <c r="G416" s="44"/>
      <c r="H416" s="44"/>
      <c r="I416" s="44"/>
      <c r="J416" s="44"/>
      <c r="K416" s="44"/>
      <c r="L416" s="44"/>
      <c r="M416" s="44"/>
      <c r="N416" s="44"/>
      <c r="O416" s="44"/>
      <c r="P416" s="44"/>
      <c r="Q416" s="44"/>
      <c r="R416" s="44"/>
      <c r="S416" s="44"/>
      <c r="T416" s="44"/>
      <c r="U416" s="44"/>
      <c r="V416" s="44"/>
      <c r="W416" s="44"/>
      <c r="X416" s="44"/>
      <c r="Y416" s="44"/>
      <c r="Z416" s="44"/>
      <c r="AB416" s="37" t="str">
        <f aca="false">TRIM($A416&amp;"")</f>
        <v/>
      </c>
      <c r="AC416" s="37" t="str">
        <f aca="false">IF(AB416="","",IFERROR(INDEX('Account Map'!$B:$B,MATCH(AB416,'Account Map'!$A:$A,0)),""))</f>
        <v/>
      </c>
      <c r="AD416" s="37" t="str">
        <f aca="false">IF(AB416="","",IFERROR(INDEX('Account Map'!$C:$C,MATCH(AB416,'Account Map'!$A:$A,0)),""))</f>
        <v/>
      </c>
      <c r="AE416" s="37" t="n">
        <f aca="false">IF(AND(AB416&lt;&gt;"",AC416="",COUNT($B416:$Z416)&gt;0,LEFT(AB416,5)&lt;&gt;"Total",AB416&lt;&gt;"Gross Profit",AB416&lt;&gt;"Net Profit",AB416&lt;&gt;"Operating Profit"),1,0)</f>
        <v>0</v>
      </c>
    </row>
    <row r="417" customFormat="false" ht="15" hidden="false" customHeight="false" outlineLevel="0" collapsed="false">
      <c r="B417" s="44"/>
      <c r="C417" s="44"/>
      <c r="D417" s="44"/>
      <c r="E417" s="44"/>
      <c r="F417" s="44"/>
      <c r="G417" s="44"/>
      <c r="H417" s="44"/>
      <c r="I417" s="44"/>
      <c r="J417" s="44"/>
      <c r="K417" s="44"/>
      <c r="L417" s="44"/>
      <c r="M417" s="44"/>
      <c r="N417" s="44"/>
      <c r="O417" s="44"/>
      <c r="P417" s="44"/>
      <c r="Q417" s="44"/>
      <c r="R417" s="44"/>
      <c r="S417" s="44"/>
      <c r="T417" s="44"/>
      <c r="U417" s="44"/>
      <c r="V417" s="44"/>
      <c r="W417" s="44"/>
      <c r="X417" s="44"/>
      <c r="Y417" s="44"/>
      <c r="Z417" s="44"/>
      <c r="AB417" s="37" t="str">
        <f aca="false">TRIM($A417&amp;"")</f>
        <v/>
      </c>
      <c r="AC417" s="37" t="str">
        <f aca="false">IF(AB417="","",IFERROR(INDEX('Account Map'!$B:$B,MATCH(AB417,'Account Map'!$A:$A,0)),""))</f>
        <v/>
      </c>
      <c r="AD417" s="37" t="str">
        <f aca="false">IF(AB417="","",IFERROR(INDEX('Account Map'!$C:$C,MATCH(AB417,'Account Map'!$A:$A,0)),""))</f>
        <v/>
      </c>
      <c r="AE417" s="37" t="n">
        <f aca="false">IF(AND(AB417&lt;&gt;"",AC417="",COUNT($B417:$Z417)&gt;0,LEFT(AB417,5)&lt;&gt;"Total",AB417&lt;&gt;"Gross Profit",AB417&lt;&gt;"Net Profit",AB417&lt;&gt;"Operating Profit"),1,0)</f>
        <v>0</v>
      </c>
    </row>
    <row r="418" customFormat="false" ht="15" hidden="false" customHeight="false" outlineLevel="0" collapsed="false">
      <c r="B418" s="44"/>
      <c r="C418" s="44"/>
      <c r="D418" s="44"/>
      <c r="E418" s="44"/>
      <c r="F418" s="44"/>
      <c r="G418" s="44"/>
      <c r="H418" s="44"/>
      <c r="I418" s="44"/>
      <c r="J418" s="44"/>
      <c r="K418" s="44"/>
      <c r="L418" s="44"/>
      <c r="M418" s="44"/>
      <c r="N418" s="44"/>
      <c r="O418" s="44"/>
      <c r="P418" s="44"/>
      <c r="Q418" s="44"/>
      <c r="R418" s="44"/>
      <c r="S418" s="44"/>
      <c r="T418" s="44"/>
      <c r="U418" s="44"/>
      <c r="V418" s="44"/>
      <c r="W418" s="44"/>
      <c r="X418" s="44"/>
      <c r="Y418" s="44"/>
      <c r="Z418" s="44"/>
      <c r="AB418" s="37" t="str">
        <f aca="false">TRIM($A418&amp;"")</f>
        <v/>
      </c>
      <c r="AC418" s="37" t="str">
        <f aca="false">IF(AB418="","",IFERROR(INDEX('Account Map'!$B:$B,MATCH(AB418,'Account Map'!$A:$A,0)),""))</f>
        <v/>
      </c>
      <c r="AD418" s="37" t="str">
        <f aca="false">IF(AB418="","",IFERROR(INDEX('Account Map'!$C:$C,MATCH(AB418,'Account Map'!$A:$A,0)),""))</f>
        <v/>
      </c>
      <c r="AE418" s="37" t="n">
        <f aca="false">IF(AND(AB418&lt;&gt;"",AC418="",COUNT($B418:$Z418)&gt;0,LEFT(AB418,5)&lt;&gt;"Total",AB418&lt;&gt;"Gross Profit",AB418&lt;&gt;"Net Profit",AB418&lt;&gt;"Operating Profit"),1,0)</f>
        <v>0</v>
      </c>
    </row>
    <row r="419" customFormat="false" ht="15" hidden="false" customHeight="false" outlineLevel="0" collapsed="false">
      <c r="B419" s="44"/>
      <c r="C419" s="44"/>
      <c r="D419" s="44"/>
      <c r="E419" s="44"/>
      <c r="F419" s="44"/>
      <c r="G419" s="44"/>
      <c r="H419" s="44"/>
      <c r="I419" s="44"/>
      <c r="J419" s="44"/>
      <c r="K419" s="44"/>
      <c r="L419" s="44"/>
      <c r="M419" s="44"/>
      <c r="N419" s="44"/>
      <c r="O419" s="44"/>
      <c r="P419" s="44"/>
      <c r="Q419" s="44"/>
      <c r="R419" s="44"/>
      <c r="S419" s="44"/>
      <c r="T419" s="44"/>
      <c r="U419" s="44"/>
      <c r="V419" s="44"/>
      <c r="W419" s="44"/>
      <c r="X419" s="44"/>
      <c r="Y419" s="44"/>
      <c r="Z419" s="44"/>
      <c r="AB419" s="37" t="str">
        <f aca="false">TRIM($A419&amp;"")</f>
        <v/>
      </c>
      <c r="AC419" s="37" t="str">
        <f aca="false">IF(AB419="","",IFERROR(INDEX('Account Map'!$B:$B,MATCH(AB419,'Account Map'!$A:$A,0)),""))</f>
        <v/>
      </c>
      <c r="AD419" s="37" t="str">
        <f aca="false">IF(AB419="","",IFERROR(INDEX('Account Map'!$C:$C,MATCH(AB419,'Account Map'!$A:$A,0)),""))</f>
        <v/>
      </c>
      <c r="AE419" s="37" t="n">
        <f aca="false">IF(AND(AB419&lt;&gt;"",AC419="",COUNT($B419:$Z419)&gt;0,LEFT(AB419,5)&lt;&gt;"Total",AB419&lt;&gt;"Gross Profit",AB419&lt;&gt;"Net Profit",AB419&lt;&gt;"Operating Profit"),1,0)</f>
        <v>0</v>
      </c>
    </row>
    <row r="420" customFormat="false" ht="15" hidden="false" customHeight="false" outlineLevel="0" collapsed="false">
      <c r="B420" s="44"/>
      <c r="C420" s="44"/>
      <c r="D420" s="44"/>
      <c r="E420" s="44"/>
      <c r="F420" s="44"/>
      <c r="G420" s="44"/>
      <c r="H420" s="44"/>
      <c r="I420" s="44"/>
      <c r="J420" s="44"/>
      <c r="K420" s="44"/>
      <c r="L420" s="44"/>
      <c r="M420" s="44"/>
      <c r="N420" s="44"/>
      <c r="O420" s="44"/>
      <c r="P420" s="44"/>
      <c r="Q420" s="44"/>
      <c r="R420" s="44"/>
      <c r="S420" s="44"/>
      <c r="T420" s="44"/>
      <c r="U420" s="44"/>
      <c r="V420" s="44"/>
      <c r="W420" s="44"/>
      <c r="X420" s="44"/>
      <c r="Y420" s="44"/>
      <c r="Z420" s="44"/>
      <c r="AB420" s="37" t="str">
        <f aca="false">TRIM($A420&amp;"")</f>
        <v/>
      </c>
      <c r="AC420" s="37" t="str">
        <f aca="false">IF(AB420="","",IFERROR(INDEX('Account Map'!$B:$B,MATCH(AB420,'Account Map'!$A:$A,0)),""))</f>
        <v/>
      </c>
      <c r="AD420" s="37" t="str">
        <f aca="false">IF(AB420="","",IFERROR(INDEX('Account Map'!$C:$C,MATCH(AB420,'Account Map'!$A:$A,0)),""))</f>
        <v/>
      </c>
      <c r="AE420" s="37" t="n">
        <f aca="false">IF(AND(AB420&lt;&gt;"",AC420="",COUNT($B420:$Z420)&gt;0,LEFT(AB420,5)&lt;&gt;"Total",AB420&lt;&gt;"Gross Profit",AB420&lt;&gt;"Net Profit",AB420&lt;&gt;"Operating Profit"),1,0)</f>
        <v>0</v>
      </c>
    </row>
    <row r="421" customFormat="false" ht="15" hidden="false" customHeight="false" outlineLevel="0" collapsed="false">
      <c r="B421" s="44"/>
      <c r="C421" s="44"/>
      <c r="D421" s="44"/>
      <c r="E421" s="44"/>
      <c r="F421" s="44"/>
      <c r="G421" s="44"/>
      <c r="H421" s="44"/>
      <c r="I421" s="44"/>
      <c r="J421" s="44"/>
      <c r="K421" s="44"/>
      <c r="L421" s="44"/>
      <c r="M421" s="44"/>
      <c r="N421" s="44"/>
      <c r="O421" s="44"/>
      <c r="P421" s="44"/>
      <c r="Q421" s="44"/>
      <c r="R421" s="44"/>
      <c r="S421" s="44"/>
      <c r="T421" s="44"/>
      <c r="U421" s="44"/>
      <c r="V421" s="44"/>
      <c r="W421" s="44"/>
      <c r="X421" s="44"/>
      <c r="Y421" s="44"/>
      <c r="Z421" s="44"/>
      <c r="AB421" s="37" t="str">
        <f aca="false">TRIM($A421&amp;"")</f>
        <v/>
      </c>
      <c r="AC421" s="37" t="str">
        <f aca="false">IF(AB421="","",IFERROR(INDEX('Account Map'!$B:$B,MATCH(AB421,'Account Map'!$A:$A,0)),""))</f>
        <v/>
      </c>
      <c r="AD421" s="37" t="str">
        <f aca="false">IF(AB421="","",IFERROR(INDEX('Account Map'!$C:$C,MATCH(AB421,'Account Map'!$A:$A,0)),""))</f>
        <v/>
      </c>
      <c r="AE421" s="37" t="n">
        <f aca="false">IF(AND(AB421&lt;&gt;"",AC421="",COUNT($B421:$Z421)&gt;0,LEFT(AB421,5)&lt;&gt;"Total",AB421&lt;&gt;"Gross Profit",AB421&lt;&gt;"Net Profit",AB421&lt;&gt;"Operating Profit"),1,0)</f>
        <v>0</v>
      </c>
    </row>
    <row r="422" customFormat="false" ht="15" hidden="false" customHeight="false" outlineLevel="0" collapsed="false">
      <c r="B422" s="44"/>
      <c r="C422" s="44"/>
      <c r="D422" s="44"/>
      <c r="E422" s="44"/>
      <c r="F422" s="44"/>
      <c r="G422" s="44"/>
      <c r="H422" s="44"/>
      <c r="I422" s="44"/>
      <c r="J422" s="44"/>
      <c r="K422" s="44"/>
      <c r="L422" s="44"/>
      <c r="M422" s="44"/>
      <c r="N422" s="44"/>
      <c r="O422" s="44"/>
      <c r="P422" s="44"/>
      <c r="Q422" s="44"/>
      <c r="R422" s="44"/>
      <c r="S422" s="44"/>
      <c r="T422" s="44"/>
      <c r="U422" s="44"/>
      <c r="V422" s="44"/>
      <c r="W422" s="44"/>
      <c r="X422" s="44"/>
      <c r="Y422" s="44"/>
      <c r="Z422" s="44"/>
      <c r="AB422" s="37" t="str">
        <f aca="false">TRIM($A422&amp;"")</f>
        <v/>
      </c>
      <c r="AC422" s="37" t="str">
        <f aca="false">IF(AB422="","",IFERROR(INDEX('Account Map'!$B:$B,MATCH(AB422,'Account Map'!$A:$A,0)),""))</f>
        <v/>
      </c>
      <c r="AD422" s="37" t="str">
        <f aca="false">IF(AB422="","",IFERROR(INDEX('Account Map'!$C:$C,MATCH(AB422,'Account Map'!$A:$A,0)),""))</f>
        <v/>
      </c>
      <c r="AE422" s="37" t="n">
        <f aca="false">IF(AND(AB422&lt;&gt;"",AC422="",COUNT($B422:$Z422)&gt;0,LEFT(AB422,5)&lt;&gt;"Total",AB422&lt;&gt;"Gross Profit",AB422&lt;&gt;"Net Profit",AB422&lt;&gt;"Operating Profit"),1,0)</f>
        <v>0</v>
      </c>
    </row>
    <row r="423" customFormat="false" ht="15" hidden="false" customHeight="false" outlineLevel="0" collapsed="false">
      <c r="B423" s="44"/>
      <c r="C423" s="44"/>
      <c r="D423" s="44"/>
      <c r="E423" s="44"/>
      <c r="F423" s="44"/>
      <c r="G423" s="44"/>
      <c r="H423" s="44"/>
      <c r="I423" s="44"/>
      <c r="J423" s="44"/>
      <c r="K423" s="44"/>
      <c r="L423" s="44"/>
      <c r="M423" s="44"/>
      <c r="N423" s="44"/>
      <c r="O423" s="44"/>
      <c r="P423" s="44"/>
      <c r="Q423" s="44"/>
      <c r="R423" s="44"/>
      <c r="S423" s="44"/>
      <c r="T423" s="44"/>
      <c r="U423" s="44"/>
      <c r="V423" s="44"/>
      <c r="W423" s="44"/>
      <c r="X423" s="44"/>
      <c r="Y423" s="44"/>
      <c r="Z423" s="44"/>
      <c r="AB423" s="37" t="str">
        <f aca="false">TRIM($A423&amp;"")</f>
        <v/>
      </c>
      <c r="AC423" s="37" t="str">
        <f aca="false">IF(AB423="","",IFERROR(INDEX('Account Map'!$B:$B,MATCH(AB423,'Account Map'!$A:$A,0)),""))</f>
        <v/>
      </c>
      <c r="AD423" s="37" t="str">
        <f aca="false">IF(AB423="","",IFERROR(INDEX('Account Map'!$C:$C,MATCH(AB423,'Account Map'!$A:$A,0)),""))</f>
        <v/>
      </c>
      <c r="AE423" s="37" t="n">
        <f aca="false">IF(AND(AB423&lt;&gt;"",AC423="",COUNT($B423:$Z423)&gt;0,LEFT(AB423,5)&lt;&gt;"Total",AB423&lt;&gt;"Gross Profit",AB423&lt;&gt;"Net Profit",AB423&lt;&gt;"Operating Profit"),1,0)</f>
        <v>0</v>
      </c>
    </row>
    <row r="424" customFormat="false" ht="15" hidden="false" customHeight="false" outlineLevel="0" collapsed="false">
      <c r="B424" s="44"/>
      <c r="C424" s="44"/>
      <c r="D424" s="44"/>
      <c r="E424" s="44"/>
      <c r="F424" s="44"/>
      <c r="G424" s="44"/>
      <c r="H424" s="44"/>
      <c r="I424" s="44"/>
      <c r="J424" s="44"/>
      <c r="K424" s="44"/>
      <c r="L424" s="44"/>
      <c r="M424" s="44"/>
      <c r="N424" s="44"/>
      <c r="O424" s="44"/>
      <c r="P424" s="44"/>
      <c r="Q424" s="44"/>
      <c r="R424" s="44"/>
      <c r="S424" s="44"/>
      <c r="T424" s="44"/>
      <c r="U424" s="44"/>
      <c r="V424" s="44"/>
      <c r="W424" s="44"/>
      <c r="X424" s="44"/>
      <c r="Y424" s="44"/>
      <c r="Z424" s="44"/>
      <c r="AB424" s="37" t="str">
        <f aca="false">TRIM($A424&amp;"")</f>
        <v/>
      </c>
      <c r="AC424" s="37" t="str">
        <f aca="false">IF(AB424="","",IFERROR(INDEX('Account Map'!$B:$B,MATCH(AB424,'Account Map'!$A:$A,0)),""))</f>
        <v/>
      </c>
      <c r="AD424" s="37" t="str">
        <f aca="false">IF(AB424="","",IFERROR(INDEX('Account Map'!$C:$C,MATCH(AB424,'Account Map'!$A:$A,0)),""))</f>
        <v/>
      </c>
      <c r="AE424" s="37" t="n">
        <f aca="false">IF(AND(AB424&lt;&gt;"",AC424="",COUNT($B424:$Z424)&gt;0,LEFT(AB424,5)&lt;&gt;"Total",AB424&lt;&gt;"Gross Profit",AB424&lt;&gt;"Net Profit",AB424&lt;&gt;"Operating Profit"),1,0)</f>
        <v>0</v>
      </c>
    </row>
    <row r="425" customFormat="false" ht="15" hidden="false" customHeight="false" outlineLevel="0" collapsed="false">
      <c r="B425" s="44"/>
      <c r="C425" s="44"/>
      <c r="D425" s="44"/>
      <c r="E425" s="44"/>
      <c r="F425" s="44"/>
      <c r="G425" s="44"/>
      <c r="H425" s="44"/>
      <c r="I425" s="44"/>
      <c r="J425" s="44"/>
      <c r="K425" s="44"/>
      <c r="L425" s="44"/>
      <c r="M425" s="44"/>
      <c r="N425" s="44"/>
      <c r="O425" s="44"/>
      <c r="P425" s="44"/>
      <c r="Q425" s="44"/>
      <c r="R425" s="44"/>
      <c r="S425" s="44"/>
      <c r="T425" s="44"/>
      <c r="U425" s="44"/>
      <c r="V425" s="44"/>
      <c r="W425" s="44"/>
      <c r="X425" s="44"/>
      <c r="Y425" s="44"/>
      <c r="Z425" s="44"/>
      <c r="AB425" s="37" t="str">
        <f aca="false">TRIM($A425&amp;"")</f>
        <v/>
      </c>
      <c r="AC425" s="37" t="str">
        <f aca="false">IF(AB425="","",IFERROR(INDEX('Account Map'!$B:$B,MATCH(AB425,'Account Map'!$A:$A,0)),""))</f>
        <v/>
      </c>
      <c r="AD425" s="37" t="str">
        <f aca="false">IF(AB425="","",IFERROR(INDEX('Account Map'!$C:$C,MATCH(AB425,'Account Map'!$A:$A,0)),""))</f>
        <v/>
      </c>
      <c r="AE425" s="37" t="n">
        <f aca="false">IF(AND(AB425&lt;&gt;"",AC425="",COUNT($B425:$Z425)&gt;0,LEFT(AB425,5)&lt;&gt;"Total",AB425&lt;&gt;"Gross Profit",AB425&lt;&gt;"Net Profit",AB425&lt;&gt;"Operating Profit"),1,0)</f>
        <v>0</v>
      </c>
    </row>
    <row r="426" customFormat="false" ht="15" hidden="false" customHeight="false" outlineLevel="0" collapsed="false">
      <c r="B426" s="44"/>
      <c r="C426" s="44"/>
      <c r="D426" s="44"/>
      <c r="E426" s="44"/>
      <c r="F426" s="44"/>
      <c r="G426" s="44"/>
      <c r="H426" s="44"/>
      <c r="I426" s="44"/>
      <c r="J426" s="44"/>
      <c r="K426" s="44"/>
      <c r="L426" s="44"/>
      <c r="M426" s="44"/>
      <c r="N426" s="44"/>
      <c r="O426" s="44"/>
      <c r="P426" s="44"/>
      <c r="Q426" s="44"/>
      <c r="R426" s="44"/>
      <c r="S426" s="44"/>
      <c r="T426" s="44"/>
      <c r="U426" s="44"/>
      <c r="V426" s="44"/>
      <c r="W426" s="44"/>
      <c r="X426" s="44"/>
      <c r="Y426" s="44"/>
      <c r="Z426" s="44"/>
      <c r="AB426" s="37" t="str">
        <f aca="false">TRIM($A426&amp;"")</f>
        <v/>
      </c>
      <c r="AC426" s="37" t="str">
        <f aca="false">IF(AB426="","",IFERROR(INDEX('Account Map'!$B:$B,MATCH(AB426,'Account Map'!$A:$A,0)),""))</f>
        <v/>
      </c>
      <c r="AD426" s="37" t="str">
        <f aca="false">IF(AB426="","",IFERROR(INDEX('Account Map'!$C:$C,MATCH(AB426,'Account Map'!$A:$A,0)),""))</f>
        <v/>
      </c>
      <c r="AE426" s="37" t="n">
        <f aca="false">IF(AND(AB426&lt;&gt;"",AC426="",COUNT($B426:$Z426)&gt;0,LEFT(AB426,5)&lt;&gt;"Total",AB426&lt;&gt;"Gross Profit",AB426&lt;&gt;"Net Profit",AB426&lt;&gt;"Operating Profit"),1,0)</f>
        <v>0</v>
      </c>
    </row>
    <row r="427" customFormat="false" ht="15" hidden="false" customHeight="false" outlineLevel="0" collapsed="false">
      <c r="B427" s="44"/>
      <c r="C427" s="44"/>
      <c r="D427" s="44"/>
      <c r="E427" s="44"/>
      <c r="F427" s="44"/>
      <c r="G427" s="44"/>
      <c r="H427" s="44"/>
      <c r="I427" s="44"/>
      <c r="J427" s="44"/>
      <c r="K427" s="44"/>
      <c r="L427" s="44"/>
      <c r="M427" s="44"/>
      <c r="N427" s="44"/>
      <c r="O427" s="44"/>
      <c r="P427" s="44"/>
      <c r="Q427" s="44"/>
      <c r="R427" s="44"/>
      <c r="S427" s="44"/>
      <c r="T427" s="44"/>
      <c r="U427" s="44"/>
      <c r="V427" s="44"/>
      <c r="W427" s="44"/>
      <c r="X427" s="44"/>
      <c r="Y427" s="44"/>
      <c r="Z427" s="44"/>
      <c r="AB427" s="37" t="str">
        <f aca="false">TRIM($A427&amp;"")</f>
        <v/>
      </c>
      <c r="AC427" s="37" t="str">
        <f aca="false">IF(AB427="","",IFERROR(INDEX('Account Map'!$B:$B,MATCH(AB427,'Account Map'!$A:$A,0)),""))</f>
        <v/>
      </c>
      <c r="AD427" s="37" t="str">
        <f aca="false">IF(AB427="","",IFERROR(INDEX('Account Map'!$C:$C,MATCH(AB427,'Account Map'!$A:$A,0)),""))</f>
        <v/>
      </c>
      <c r="AE427" s="37" t="n">
        <f aca="false">IF(AND(AB427&lt;&gt;"",AC427="",COUNT($B427:$Z427)&gt;0,LEFT(AB427,5)&lt;&gt;"Total",AB427&lt;&gt;"Gross Profit",AB427&lt;&gt;"Net Profit",AB427&lt;&gt;"Operating Profit"),1,0)</f>
        <v>0</v>
      </c>
    </row>
    <row r="428" customFormat="false" ht="15" hidden="false" customHeight="false" outlineLevel="0" collapsed="false">
      <c r="B428" s="44"/>
      <c r="C428" s="44"/>
      <c r="D428" s="44"/>
      <c r="E428" s="44"/>
      <c r="F428" s="44"/>
      <c r="G428" s="44"/>
      <c r="H428" s="44"/>
      <c r="I428" s="44"/>
      <c r="J428" s="44"/>
      <c r="K428" s="44"/>
      <c r="L428" s="44"/>
      <c r="M428" s="44"/>
      <c r="N428" s="44"/>
      <c r="O428" s="44"/>
      <c r="P428" s="44"/>
      <c r="Q428" s="44"/>
      <c r="R428" s="44"/>
      <c r="S428" s="44"/>
      <c r="T428" s="44"/>
      <c r="U428" s="44"/>
      <c r="V428" s="44"/>
      <c r="W428" s="44"/>
      <c r="X428" s="44"/>
      <c r="Y428" s="44"/>
      <c r="Z428" s="44"/>
      <c r="AB428" s="37" t="str">
        <f aca="false">TRIM($A428&amp;"")</f>
        <v/>
      </c>
      <c r="AC428" s="37" t="str">
        <f aca="false">IF(AB428="","",IFERROR(INDEX('Account Map'!$B:$B,MATCH(AB428,'Account Map'!$A:$A,0)),""))</f>
        <v/>
      </c>
      <c r="AD428" s="37" t="str">
        <f aca="false">IF(AB428="","",IFERROR(INDEX('Account Map'!$C:$C,MATCH(AB428,'Account Map'!$A:$A,0)),""))</f>
        <v/>
      </c>
      <c r="AE428" s="37" t="n">
        <f aca="false">IF(AND(AB428&lt;&gt;"",AC428="",COUNT($B428:$Z428)&gt;0,LEFT(AB428,5)&lt;&gt;"Total",AB428&lt;&gt;"Gross Profit",AB428&lt;&gt;"Net Profit",AB428&lt;&gt;"Operating Profit"),1,0)</f>
        <v>0</v>
      </c>
    </row>
    <row r="429" customFormat="false" ht="15" hidden="false" customHeight="false" outlineLevel="0" collapsed="false">
      <c r="B429" s="44"/>
      <c r="C429" s="44"/>
      <c r="D429" s="44"/>
      <c r="E429" s="44"/>
      <c r="F429" s="44"/>
      <c r="G429" s="44"/>
      <c r="H429" s="44"/>
      <c r="I429" s="44"/>
      <c r="J429" s="44"/>
      <c r="K429" s="44"/>
      <c r="L429" s="44"/>
      <c r="M429" s="44"/>
      <c r="N429" s="44"/>
      <c r="O429" s="44"/>
      <c r="P429" s="44"/>
      <c r="Q429" s="44"/>
      <c r="R429" s="44"/>
      <c r="S429" s="44"/>
      <c r="T429" s="44"/>
      <c r="U429" s="44"/>
      <c r="V429" s="44"/>
      <c r="W429" s="44"/>
      <c r="X429" s="44"/>
      <c r="Y429" s="44"/>
      <c r="Z429" s="44"/>
      <c r="AB429" s="37" t="str">
        <f aca="false">TRIM($A429&amp;"")</f>
        <v/>
      </c>
      <c r="AC429" s="37" t="str">
        <f aca="false">IF(AB429="","",IFERROR(INDEX('Account Map'!$B:$B,MATCH(AB429,'Account Map'!$A:$A,0)),""))</f>
        <v/>
      </c>
      <c r="AD429" s="37" t="str">
        <f aca="false">IF(AB429="","",IFERROR(INDEX('Account Map'!$C:$C,MATCH(AB429,'Account Map'!$A:$A,0)),""))</f>
        <v/>
      </c>
      <c r="AE429" s="37" t="n">
        <f aca="false">IF(AND(AB429&lt;&gt;"",AC429="",COUNT($B429:$Z429)&gt;0,LEFT(AB429,5)&lt;&gt;"Total",AB429&lt;&gt;"Gross Profit",AB429&lt;&gt;"Net Profit",AB429&lt;&gt;"Operating Profit"),1,0)</f>
        <v>0</v>
      </c>
    </row>
    <row r="430" customFormat="false" ht="15" hidden="false" customHeight="false" outlineLevel="0" collapsed="false">
      <c r="B430" s="44"/>
      <c r="C430" s="44"/>
      <c r="D430" s="44"/>
      <c r="E430" s="44"/>
      <c r="F430" s="44"/>
      <c r="G430" s="44"/>
      <c r="H430" s="44"/>
      <c r="I430" s="44"/>
      <c r="J430" s="44"/>
      <c r="K430" s="44"/>
      <c r="L430" s="44"/>
      <c r="M430" s="44"/>
      <c r="N430" s="44"/>
      <c r="O430" s="44"/>
      <c r="P430" s="44"/>
      <c r="Q430" s="44"/>
      <c r="R430" s="44"/>
      <c r="S430" s="44"/>
      <c r="T430" s="44"/>
      <c r="U430" s="44"/>
      <c r="V430" s="44"/>
      <c r="W430" s="44"/>
      <c r="X430" s="44"/>
      <c r="Y430" s="44"/>
      <c r="Z430" s="44"/>
      <c r="AB430" s="37" t="str">
        <f aca="false">TRIM($A430&amp;"")</f>
        <v/>
      </c>
      <c r="AC430" s="37" t="str">
        <f aca="false">IF(AB430="","",IFERROR(INDEX('Account Map'!$B:$B,MATCH(AB430,'Account Map'!$A:$A,0)),""))</f>
        <v/>
      </c>
      <c r="AD430" s="37" t="str">
        <f aca="false">IF(AB430="","",IFERROR(INDEX('Account Map'!$C:$C,MATCH(AB430,'Account Map'!$A:$A,0)),""))</f>
        <v/>
      </c>
      <c r="AE430" s="37" t="n">
        <f aca="false">IF(AND(AB430&lt;&gt;"",AC430="",COUNT($B430:$Z430)&gt;0,LEFT(AB430,5)&lt;&gt;"Total",AB430&lt;&gt;"Gross Profit",AB430&lt;&gt;"Net Profit",AB430&lt;&gt;"Operating Profit"),1,0)</f>
        <v>0</v>
      </c>
    </row>
    <row r="431" customFormat="false" ht="15" hidden="false" customHeight="false" outlineLevel="0" collapsed="false">
      <c r="B431" s="44"/>
      <c r="C431" s="44"/>
      <c r="D431" s="44"/>
      <c r="E431" s="44"/>
      <c r="F431" s="44"/>
      <c r="G431" s="44"/>
      <c r="H431" s="44"/>
      <c r="I431" s="44"/>
      <c r="J431" s="44"/>
      <c r="K431" s="44"/>
      <c r="L431" s="44"/>
      <c r="M431" s="44"/>
      <c r="N431" s="44"/>
      <c r="O431" s="44"/>
      <c r="P431" s="44"/>
      <c r="Q431" s="44"/>
      <c r="R431" s="44"/>
      <c r="S431" s="44"/>
      <c r="T431" s="44"/>
      <c r="U431" s="44"/>
      <c r="V431" s="44"/>
      <c r="W431" s="44"/>
      <c r="X431" s="44"/>
      <c r="Y431" s="44"/>
      <c r="Z431" s="44"/>
      <c r="AB431" s="37" t="str">
        <f aca="false">TRIM($A431&amp;"")</f>
        <v/>
      </c>
      <c r="AC431" s="37" t="str">
        <f aca="false">IF(AB431="","",IFERROR(INDEX('Account Map'!$B:$B,MATCH(AB431,'Account Map'!$A:$A,0)),""))</f>
        <v/>
      </c>
      <c r="AD431" s="37" t="str">
        <f aca="false">IF(AB431="","",IFERROR(INDEX('Account Map'!$C:$C,MATCH(AB431,'Account Map'!$A:$A,0)),""))</f>
        <v/>
      </c>
      <c r="AE431" s="37" t="n">
        <f aca="false">IF(AND(AB431&lt;&gt;"",AC431="",COUNT($B431:$Z431)&gt;0,LEFT(AB431,5)&lt;&gt;"Total",AB431&lt;&gt;"Gross Profit",AB431&lt;&gt;"Net Profit",AB431&lt;&gt;"Operating Profit"),1,0)</f>
        <v>0</v>
      </c>
    </row>
    <row r="432" customFormat="false" ht="15" hidden="false" customHeight="false" outlineLevel="0" collapsed="false">
      <c r="B432" s="44"/>
      <c r="C432" s="44"/>
      <c r="D432" s="44"/>
      <c r="E432" s="44"/>
      <c r="F432" s="44"/>
      <c r="G432" s="44"/>
      <c r="H432" s="44"/>
      <c r="I432" s="44"/>
      <c r="J432" s="44"/>
      <c r="K432" s="44"/>
      <c r="L432" s="44"/>
      <c r="M432" s="44"/>
      <c r="N432" s="44"/>
      <c r="O432" s="44"/>
      <c r="P432" s="44"/>
      <c r="Q432" s="44"/>
      <c r="R432" s="44"/>
      <c r="S432" s="44"/>
      <c r="T432" s="44"/>
      <c r="U432" s="44"/>
      <c r="V432" s="44"/>
      <c r="W432" s="44"/>
      <c r="X432" s="44"/>
      <c r="Y432" s="44"/>
      <c r="Z432" s="44"/>
      <c r="AB432" s="37" t="str">
        <f aca="false">TRIM($A432&amp;"")</f>
        <v/>
      </c>
      <c r="AC432" s="37" t="str">
        <f aca="false">IF(AB432="","",IFERROR(INDEX('Account Map'!$B:$B,MATCH(AB432,'Account Map'!$A:$A,0)),""))</f>
        <v/>
      </c>
      <c r="AD432" s="37" t="str">
        <f aca="false">IF(AB432="","",IFERROR(INDEX('Account Map'!$C:$C,MATCH(AB432,'Account Map'!$A:$A,0)),""))</f>
        <v/>
      </c>
      <c r="AE432" s="37" t="n">
        <f aca="false">IF(AND(AB432&lt;&gt;"",AC432="",COUNT($B432:$Z432)&gt;0,LEFT(AB432,5)&lt;&gt;"Total",AB432&lt;&gt;"Gross Profit",AB432&lt;&gt;"Net Profit",AB432&lt;&gt;"Operating Profit"),1,0)</f>
        <v>0</v>
      </c>
    </row>
    <row r="433" customFormat="false" ht="15" hidden="false" customHeight="false" outlineLevel="0" collapsed="false">
      <c r="B433" s="44"/>
      <c r="C433" s="44"/>
      <c r="D433" s="44"/>
      <c r="E433" s="44"/>
      <c r="F433" s="44"/>
      <c r="G433" s="44"/>
      <c r="H433" s="44"/>
      <c r="I433" s="44"/>
      <c r="J433" s="44"/>
      <c r="K433" s="44"/>
      <c r="L433" s="44"/>
      <c r="M433" s="44"/>
      <c r="N433" s="44"/>
      <c r="O433" s="44"/>
      <c r="P433" s="44"/>
      <c r="Q433" s="44"/>
      <c r="R433" s="44"/>
      <c r="S433" s="44"/>
      <c r="T433" s="44"/>
      <c r="U433" s="44"/>
      <c r="V433" s="44"/>
      <c r="W433" s="44"/>
      <c r="X433" s="44"/>
      <c r="Y433" s="44"/>
      <c r="Z433" s="44"/>
      <c r="AB433" s="37" t="str">
        <f aca="false">TRIM($A433&amp;"")</f>
        <v/>
      </c>
      <c r="AC433" s="37" t="str">
        <f aca="false">IF(AB433="","",IFERROR(INDEX('Account Map'!$B:$B,MATCH(AB433,'Account Map'!$A:$A,0)),""))</f>
        <v/>
      </c>
      <c r="AD433" s="37" t="str">
        <f aca="false">IF(AB433="","",IFERROR(INDEX('Account Map'!$C:$C,MATCH(AB433,'Account Map'!$A:$A,0)),""))</f>
        <v/>
      </c>
      <c r="AE433" s="37" t="n">
        <f aca="false">IF(AND(AB433&lt;&gt;"",AC433="",COUNT($B433:$Z433)&gt;0,LEFT(AB433,5)&lt;&gt;"Total",AB433&lt;&gt;"Gross Profit",AB433&lt;&gt;"Net Profit",AB433&lt;&gt;"Operating Profit"),1,0)</f>
        <v>0</v>
      </c>
    </row>
    <row r="434" customFormat="false" ht="15" hidden="false" customHeight="false" outlineLevel="0" collapsed="false">
      <c r="B434" s="44"/>
      <c r="C434" s="44"/>
      <c r="D434" s="44"/>
      <c r="E434" s="44"/>
      <c r="F434" s="44"/>
      <c r="G434" s="44"/>
      <c r="H434" s="44"/>
      <c r="I434" s="44"/>
      <c r="J434" s="44"/>
      <c r="K434" s="44"/>
      <c r="L434" s="44"/>
      <c r="M434" s="44"/>
      <c r="N434" s="44"/>
      <c r="O434" s="44"/>
      <c r="P434" s="44"/>
      <c r="Q434" s="44"/>
      <c r="R434" s="44"/>
      <c r="S434" s="44"/>
      <c r="T434" s="44"/>
      <c r="U434" s="44"/>
      <c r="V434" s="44"/>
      <c r="W434" s="44"/>
      <c r="X434" s="44"/>
      <c r="Y434" s="44"/>
      <c r="Z434" s="44"/>
      <c r="AB434" s="37" t="str">
        <f aca="false">TRIM($A434&amp;"")</f>
        <v/>
      </c>
      <c r="AC434" s="37" t="str">
        <f aca="false">IF(AB434="","",IFERROR(INDEX('Account Map'!$B:$B,MATCH(AB434,'Account Map'!$A:$A,0)),""))</f>
        <v/>
      </c>
      <c r="AD434" s="37" t="str">
        <f aca="false">IF(AB434="","",IFERROR(INDEX('Account Map'!$C:$C,MATCH(AB434,'Account Map'!$A:$A,0)),""))</f>
        <v/>
      </c>
      <c r="AE434" s="37" t="n">
        <f aca="false">IF(AND(AB434&lt;&gt;"",AC434="",COUNT($B434:$Z434)&gt;0,LEFT(AB434,5)&lt;&gt;"Total",AB434&lt;&gt;"Gross Profit",AB434&lt;&gt;"Net Profit",AB434&lt;&gt;"Operating Profit"),1,0)</f>
        <v>0</v>
      </c>
    </row>
    <row r="435" customFormat="false" ht="15" hidden="false" customHeight="false" outlineLevel="0" collapsed="false">
      <c r="B435" s="44"/>
      <c r="C435" s="44"/>
      <c r="D435" s="44"/>
      <c r="E435" s="44"/>
      <c r="F435" s="44"/>
      <c r="G435" s="44"/>
      <c r="H435" s="44"/>
      <c r="I435" s="44"/>
      <c r="J435" s="44"/>
      <c r="K435" s="44"/>
      <c r="L435" s="44"/>
      <c r="M435" s="44"/>
      <c r="N435" s="44"/>
      <c r="O435" s="44"/>
      <c r="P435" s="44"/>
      <c r="Q435" s="44"/>
      <c r="R435" s="44"/>
      <c r="S435" s="44"/>
      <c r="T435" s="44"/>
      <c r="U435" s="44"/>
      <c r="V435" s="44"/>
      <c r="W435" s="44"/>
      <c r="X435" s="44"/>
      <c r="Y435" s="44"/>
      <c r="Z435" s="44"/>
      <c r="AB435" s="37" t="str">
        <f aca="false">TRIM($A435&amp;"")</f>
        <v/>
      </c>
      <c r="AC435" s="37" t="str">
        <f aca="false">IF(AB435="","",IFERROR(INDEX('Account Map'!$B:$B,MATCH(AB435,'Account Map'!$A:$A,0)),""))</f>
        <v/>
      </c>
      <c r="AD435" s="37" t="str">
        <f aca="false">IF(AB435="","",IFERROR(INDEX('Account Map'!$C:$C,MATCH(AB435,'Account Map'!$A:$A,0)),""))</f>
        <v/>
      </c>
      <c r="AE435" s="37" t="n">
        <f aca="false">IF(AND(AB435&lt;&gt;"",AC435="",COUNT($B435:$Z435)&gt;0,LEFT(AB435,5)&lt;&gt;"Total",AB435&lt;&gt;"Gross Profit",AB435&lt;&gt;"Net Profit",AB435&lt;&gt;"Operating Profit"),1,0)</f>
        <v>0</v>
      </c>
    </row>
    <row r="436" customFormat="false" ht="15" hidden="false" customHeight="false" outlineLevel="0" collapsed="false">
      <c r="B436" s="44"/>
      <c r="C436" s="44"/>
      <c r="D436" s="44"/>
      <c r="E436" s="44"/>
      <c r="F436" s="44"/>
      <c r="G436" s="44"/>
      <c r="H436" s="44"/>
      <c r="I436" s="44"/>
      <c r="J436" s="44"/>
      <c r="K436" s="44"/>
      <c r="L436" s="44"/>
      <c r="M436" s="44"/>
      <c r="N436" s="44"/>
      <c r="O436" s="44"/>
      <c r="P436" s="44"/>
      <c r="Q436" s="44"/>
      <c r="R436" s="44"/>
      <c r="S436" s="44"/>
      <c r="T436" s="44"/>
      <c r="U436" s="44"/>
      <c r="V436" s="44"/>
      <c r="W436" s="44"/>
      <c r="X436" s="44"/>
      <c r="Y436" s="44"/>
      <c r="Z436" s="44"/>
      <c r="AB436" s="37" t="str">
        <f aca="false">TRIM($A436&amp;"")</f>
        <v/>
      </c>
      <c r="AC436" s="37" t="str">
        <f aca="false">IF(AB436="","",IFERROR(INDEX('Account Map'!$B:$B,MATCH(AB436,'Account Map'!$A:$A,0)),""))</f>
        <v/>
      </c>
      <c r="AD436" s="37" t="str">
        <f aca="false">IF(AB436="","",IFERROR(INDEX('Account Map'!$C:$C,MATCH(AB436,'Account Map'!$A:$A,0)),""))</f>
        <v/>
      </c>
      <c r="AE436" s="37" t="n">
        <f aca="false">IF(AND(AB436&lt;&gt;"",AC436="",COUNT($B436:$Z436)&gt;0,LEFT(AB436,5)&lt;&gt;"Total",AB436&lt;&gt;"Gross Profit",AB436&lt;&gt;"Net Profit",AB436&lt;&gt;"Operating Profit"),1,0)</f>
        <v>0</v>
      </c>
    </row>
    <row r="437" customFormat="false" ht="15" hidden="false" customHeight="false" outlineLevel="0" collapsed="false">
      <c r="B437" s="44"/>
      <c r="C437" s="44"/>
      <c r="D437" s="44"/>
      <c r="E437" s="44"/>
      <c r="F437" s="44"/>
      <c r="G437" s="44"/>
      <c r="H437" s="44"/>
      <c r="I437" s="44"/>
      <c r="J437" s="44"/>
      <c r="K437" s="44"/>
      <c r="L437" s="44"/>
      <c r="M437" s="44"/>
      <c r="N437" s="44"/>
      <c r="O437" s="44"/>
      <c r="P437" s="44"/>
      <c r="Q437" s="44"/>
      <c r="R437" s="44"/>
      <c r="S437" s="44"/>
      <c r="T437" s="44"/>
      <c r="U437" s="44"/>
      <c r="V437" s="44"/>
      <c r="W437" s="44"/>
      <c r="X437" s="44"/>
      <c r="Y437" s="44"/>
      <c r="Z437" s="44"/>
      <c r="AB437" s="37" t="str">
        <f aca="false">TRIM($A437&amp;"")</f>
        <v/>
      </c>
      <c r="AC437" s="37" t="str">
        <f aca="false">IF(AB437="","",IFERROR(INDEX('Account Map'!$B:$B,MATCH(AB437,'Account Map'!$A:$A,0)),""))</f>
        <v/>
      </c>
      <c r="AD437" s="37" t="str">
        <f aca="false">IF(AB437="","",IFERROR(INDEX('Account Map'!$C:$C,MATCH(AB437,'Account Map'!$A:$A,0)),""))</f>
        <v/>
      </c>
      <c r="AE437" s="37" t="n">
        <f aca="false">IF(AND(AB437&lt;&gt;"",AC437="",COUNT($B437:$Z437)&gt;0,LEFT(AB437,5)&lt;&gt;"Total",AB437&lt;&gt;"Gross Profit",AB437&lt;&gt;"Net Profit",AB437&lt;&gt;"Operating Profit"),1,0)</f>
        <v>0</v>
      </c>
    </row>
    <row r="438" customFormat="false" ht="15" hidden="false" customHeight="false" outlineLevel="0" collapsed="false">
      <c r="B438" s="44"/>
      <c r="C438" s="44"/>
      <c r="D438" s="44"/>
      <c r="E438" s="44"/>
      <c r="F438" s="44"/>
      <c r="G438" s="44"/>
      <c r="H438" s="44"/>
      <c r="I438" s="44"/>
      <c r="J438" s="44"/>
      <c r="K438" s="44"/>
      <c r="L438" s="44"/>
      <c r="M438" s="44"/>
      <c r="N438" s="44"/>
      <c r="O438" s="44"/>
      <c r="P438" s="44"/>
      <c r="Q438" s="44"/>
      <c r="R438" s="44"/>
      <c r="S438" s="44"/>
      <c r="T438" s="44"/>
      <c r="U438" s="44"/>
      <c r="V438" s="44"/>
      <c r="W438" s="44"/>
      <c r="X438" s="44"/>
      <c r="Y438" s="44"/>
      <c r="Z438" s="44"/>
      <c r="AB438" s="37" t="str">
        <f aca="false">TRIM($A438&amp;"")</f>
        <v/>
      </c>
      <c r="AC438" s="37" t="str">
        <f aca="false">IF(AB438="","",IFERROR(INDEX('Account Map'!$B:$B,MATCH(AB438,'Account Map'!$A:$A,0)),""))</f>
        <v/>
      </c>
      <c r="AD438" s="37" t="str">
        <f aca="false">IF(AB438="","",IFERROR(INDEX('Account Map'!$C:$C,MATCH(AB438,'Account Map'!$A:$A,0)),""))</f>
        <v/>
      </c>
      <c r="AE438" s="37" t="n">
        <f aca="false">IF(AND(AB438&lt;&gt;"",AC438="",COUNT($B438:$Z438)&gt;0,LEFT(AB438,5)&lt;&gt;"Total",AB438&lt;&gt;"Gross Profit",AB438&lt;&gt;"Net Profit",AB438&lt;&gt;"Operating Profit"),1,0)</f>
        <v>0</v>
      </c>
    </row>
    <row r="439" customFormat="false" ht="15" hidden="false" customHeight="false" outlineLevel="0" collapsed="false">
      <c r="B439" s="44"/>
      <c r="C439" s="44"/>
      <c r="D439" s="44"/>
      <c r="E439" s="44"/>
      <c r="F439" s="44"/>
      <c r="G439" s="44"/>
      <c r="H439" s="44"/>
      <c r="I439" s="44"/>
      <c r="J439" s="44"/>
      <c r="K439" s="44"/>
      <c r="L439" s="44"/>
      <c r="M439" s="44"/>
      <c r="N439" s="44"/>
      <c r="O439" s="44"/>
      <c r="P439" s="44"/>
      <c r="Q439" s="44"/>
      <c r="R439" s="44"/>
      <c r="S439" s="44"/>
      <c r="T439" s="44"/>
      <c r="U439" s="44"/>
      <c r="V439" s="44"/>
      <c r="W439" s="44"/>
      <c r="X439" s="44"/>
      <c r="Y439" s="44"/>
      <c r="Z439" s="44"/>
      <c r="AB439" s="37" t="str">
        <f aca="false">TRIM($A439&amp;"")</f>
        <v/>
      </c>
      <c r="AC439" s="37" t="str">
        <f aca="false">IF(AB439="","",IFERROR(INDEX('Account Map'!$B:$B,MATCH(AB439,'Account Map'!$A:$A,0)),""))</f>
        <v/>
      </c>
      <c r="AD439" s="37" t="str">
        <f aca="false">IF(AB439="","",IFERROR(INDEX('Account Map'!$C:$C,MATCH(AB439,'Account Map'!$A:$A,0)),""))</f>
        <v/>
      </c>
      <c r="AE439" s="37" t="n">
        <f aca="false">IF(AND(AB439&lt;&gt;"",AC439="",COUNT($B439:$Z439)&gt;0,LEFT(AB439,5)&lt;&gt;"Total",AB439&lt;&gt;"Gross Profit",AB439&lt;&gt;"Net Profit",AB439&lt;&gt;"Operating Profit"),1,0)</f>
        <v>0</v>
      </c>
    </row>
    <row r="440" customFormat="false" ht="15" hidden="false" customHeight="false" outlineLevel="0" collapsed="false">
      <c r="B440" s="44"/>
      <c r="C440" s="44"/>
      <c r="D440" s="44"/>
      <c r="E440" s="44"/>
      <c r="F440" s="44"/>
      <c r="G440" s="44"/>
      <c r="H440" s="44"/>
      <c r="I440" s="44"/>
      <c r="J440" s="44"/>
      <c r="K440" s="44"/>
      <c r="L440" s="44"/>
      <c r="M440" s="44"/>
      <c r="N440" s="44"/>
      <c r="O440" s="44"/>
      <c r="P440" s="44"/>
      <c r="Q440" s="44"/>
      <c r="R440" s="44"/>
      <c r="S440" s="44"/>
      <c r="T440" s="44"/>
      <c r="U440" s="44"/>
      <c r="V440" s="44"/>
      <c r="W440" s="44"/>
      <c r="X440" s="44"/>
      <c r="Y440" s="44"/>
      <c r="Z440" s="44"/>
      <c r="AB440" s="37" t="str">
        <f aca="false">TRIM($A440&amp;"")</f>
        <v/>
      </c>
      <c r="AC440" s="37" t="str">
        <f aca="false">IF(AB440="","",IFERROR(INDEX('Account Map'!$B:$B,MATCH(AB440,'Account Map'!$A:$A,0)),""))</f>
        <v/>
      </c>
      <c r="AD440" s="37" t="str">
        <f aca="false">IF(AB440="","",IFERROR(INDEX('Account Map'!$C:$C,MATCH(AB440,'Account Map'!$A:$A,0)),""))</f>
        <v/>
      </c>
      <c r="AE440" s="37" t="n">
        <f aca="false">IF(AND(AB440&lt;&gt;"",AC440="",COUNT($B440:$Z440)&gt;0,LEFT(AB440,5)&lt;&gt;"Total",AB440&lt;&gt;"Gross Profit",AB440&lt;&gt;"Net Profit",AB440&lt;&gt;"Operating Profit"),1,0)</f>
        <v>0</v>
      </c>
    </row>
    <row r="441" customFormat="false" ht="15" hidden="false" customHeight="false" outlineLevel="0" collapsed="false">
      <c r="B441" s="44"/>
      <c r="C441" s="44"/>
      <c r="D441" s="44"/>
      <c r="E441" s="44"/>
      <c r="F441" s="44"/>
      <c r="G441" s="44"/>
      <c r="H441" s="44"/>
      <c r="I441" s="44"/>
      <c r="J441" s="44"/>
      <c r="K441" s="44"/>
      <c r="L441" s="44"/>
      <c r="M441" s="44"/>
      <c r="N441" s="44"/>
      <c r="O441" s="44"/>
      <c r="P441" s="44"/>
      <c r="Q441" s="44"/>
      <c r="R441" s="44"/>
      <c r="S441" s="44"/>
      <c r="T441" s="44"/>
      <c r="U441" s="44"/>
      <c r="V441" s="44"/>
      <c r="W441" s="44"/>
      <c r="X441" s="44"/>
      <c r="Y441" s="44"/>
      <c r="Z441" s="44"/>
      <c r="AB441" s="37" t="str">
        <f aca="false">TRIM($A441&amp;"")</f>
        <v/>
      </c>
      <c r="AC441" s="37" t="str">
        <f aca="false">IF(AB441="","",IFERROR(INDEX('Account Map'!$B:$B,MATCH(AB441,'Account Map'!$A:$A,0)),""))</f>
        <v/>
      </c>
      <c r="AD441" s="37" t="str">
        <f aca="false">IF(AB441="","",IFERROR(INDEX('Account Map'!$C:$C,MATCH(AB441,'Account Map'!$A:$A,0)),""))</f>
        <v/>
      </c>
      <c r="AE441" s="37" t="n">
        <f aca="false">IF(AND(AB441&lt;&gt;"",AC441="",COUNT($B441:$Z441)&gt;0,LEFT(AB441,5)&lt;&gt;"Total",AB441&lt;&gt;"Gross Profit",AB441&lt;&gt;"Net Profit",AB441&lt;&gt;"Operating Profit"),1,0)</f>
        <v>0</v>
      </c>
    </row>
    <row r="442" customFormat="false" ht="15" hidden="false" customHeight="false" outlineLevel="0" collapsed="false">
      <c r="B442" s="44"/>
      <c r="C442" s="44"/>
      <c r="D442" s="44"/>
      <c r="E442" s="44"/>
      <c r="F442" s="44"/>
      <c r="G442" s="44"/>
      <c r="H442" s="44"/>
      <c r="I442" s="44"/>
      <c r="J442" s="44"/>
      <c r="K442" s="44"/>
      <c r="L442" s="44"/>
      <c r="M442" s="44"/>
      <c r="N442" s="44"/>
      <c r="O442" s="44"/>
      <c r="P442" s="44"/>
      <c r="Q442" s="44"/>
      <c r="R442" s="44"/>
      <c r="S442" s="44"/>
      <c r="T442" s="44"/>
      <c r="U442" s="44"/>
      <c r="V442" s="44"/>
      <c r="W442" s="44"/>
      <c r="X442" s="44"/>
      <c r="Y442" s="44"/>
      <c r="Z442" s="44"/>
      <c r="AB442" s="37" t="str">
        <f aca="false">TRIM($A442&amp;"")</f>
        <v/>
      </c>
      <c r="AC442" s="37" t="str">
        <f aca="false">IF(AB442="","",IFERROR(INDEX('Account Map'!$B:$B,MATCH(AB442,'Account Map'!$A:$A,0)),""))</f>
        <v/>
      </c>
      <c r="AD442" s="37" t="str">
        <f aca="false">IF(AB442="","",IFERROR(INDEX('Account Map'!$C:$C,MATCH(AB442,'Account Map'!$A:$A,0)),""))</f>
        <v/>
      </c>
      <c r="AE442" s="37" t="n">
        <f aca="false">IF(AND(AB442&lt;&gt;"",AC442="",COUNT($B442:$Z442)&gt;0,LEFT(AB442,5)&lt;&gt;"Total",AB442&lt;&gt;"Gross Profit",AB442&lt;&gt;"Net Profit",AB442&lt;&gt;"Operating Profit"),1,0)</f>
        <v>0</v>
      </c>
    </row>
    <row r="443" customFormat="false" ht="15" hidden="false" customHeight="false" outlineLevel="0" collapsed="false">
      <c r="B443" s="44"/>
      <c r="C443" s="44"/>
      <c r="D443" s="44"/>
      <c r="E443" s="44"/>
      <c r="F443" s="44"/>
      <c r="G443" s="44"/>
      <c r="H443" s="44"/>
      <c r="I443" s="44"/>
      <c r="J443" s="44"/>
      <c r="K443" s="44"/>
      <c r="L443" s="44"/>
      <c r="M443" s="44"/>
      <c r="N443" s="44"/>
      <c r="O443" s="44"/>
      <c r="P443" s="44"/>
      <c r="Q443" s="44"/>
      <c r="R443" s="44"/>
      <c r="S443" s="44"/>
      <c r="T443" s="44"/>
      <c r="U443" s="44"/>
      <c r="V443" s="44"/>
      <c r="W443" s="44"/>
      <c r="X443" s="44"/>
      <c r="Y443" s="44"/>
      <c r="Z443" s="44"/>
      <c r="AB443" s="37" t="str">
        <f aca="false">TRIM($A443&amp;"")</f>
        <v/>
      </c>
      <c r="AC443" s="37" t="str">
        <f aca="false">IF(AB443="","",IFERROR(INDEX('Account Map'!$B:$B,MATCH(AB443,'Account Map'!$A:$A,0)),""))</f>
        <v/>
      </c>
      <c r="AD443" s="37" t="str">
        <f aca="false">IF(AB443="","",IFERROR(INDEX('Account Map'!$C:$C,MATCH(AB443,'Account Map'!$A:$A,0)),""))</f>
        <v/>
      </c>
      <c r="AE443" s="37" t="n">
        <f aca="false">IF(AND(AB443&lt;&gt;"",AC443="",COUNT($B443:$Z443)&gt;0,LEFT(AB443,5)&lt;&gt;"Total",AB443&lt;&gt;"Gross Profit",AB443&lt;&gt;"Net Profit",AB443&lt;&gt;"Operating Profit"),1,0)</f>
        <v>0</v>
      </c>
    </row>
    <row r="444" customFormat="false" ht="15" hidden="false" customHeight="false" outlineLevel="0" collapsed="false">
      <c r="B444" s="44"/>
      <c r="C444" s="44"/>
      <c r="D444" s="44"/>
      <c r="E444" s="44"/>
      <c r="F444" s="44"/>
      <c r="G444" s="44"/>
      <c r="H444" s="44"/>
      <c r="I444" s="44"/>
      <c r="J444" s="44"/>
      <c r="K444" s="44"/>
      <c r="L444" s="44"/>
      <c r="M444" s="44"/>
      <c r="N444" s="44"/>
      <c r="O444" s="44"/>
      <c r="P444" s="44"/>
      <c r="Q444" s="44"/>
      <c r="R444" s="44"/>
      <c r="S444" s="44"/>
      <c r="T444" s="44"/>
      <c r="U444" s="44"/>
      <c r="V444" s="44"/>
      <c r="W444" s="44"/>
      <c r="X444" s="44"/>
      <c r="Y444" s="44"/>
      <c r="Z444" s="44"/>
      <c r="AB444" s="37" t="str">
        <f aca="false">TRIM($A444&amp;"")</f>
        <v/>
      </c>
      <c r="AC444" s="37" t="str">
        <f aca="false">IF(AB444="","",IFERROR(INDEX('Account Map'!$B:$B,MATCH(AB444,'Account Map'!$A:$A,0)),""))</f>
        <v/>
      </c>
      <c r="AD444" s="37" t="str">
        <f aca="false">IF(AB444="","",IFERROR(INDEX('Account Map'!$C:$C,MATCH(AB444,'Account Map'!$A:$A,0)),""))</f>
        <v/>
      </c>
      <c r="AE444" s="37" t="n">
        <f aca="false">IF(AND(AB444&lt;&gt;"",AC444="",COUNT($B444:$Z444)&gt;0,LEFT(AB444,5)&lt;&gt;"Total",AB444&lt;&gt;"Gross Profit",AB444&lt;&gt;"Net Profit",AB444&lt;&gt;"Operating Profit"),1,0)</f>
        <v>0</v>
      </c>
    </row>
    <row r="445" customFormat="false" ht="15" hidden="false" customHeight="false" outlineLevel="0" collapsed="false">
      <c r="B445" s="44"/>
      <c r="C445" s="44"/>
      <c r="D445" s="44"/>
      <c r="E445" s="44"/>
      <c r="F445" s="44"/>
      <c r="G445" s="44"/>
      <c r="H445" s="44"/>
      <c r="I445" s="44"/>
      <c r="J445" s="44"/>
      <c r="K445" s="44"/>
      <c r="L445" s="44"/>
      <c r="M445" s="44"/>
      <c r="N445" s="44"/>
      <c r="O445" s="44"/>
      <c r="P445" s="44"/>
      <c r="Q445" s="44"/>
      <c r="R445" s="44"/>
      <c r="S445" s="44"/>
      <c r="T445" s="44"/>
      <c r="U445" s="44"/>
      <c r="V445" s="44"/>
      <c r="W445" s="44"/>
      <c r="X445" s="44"/>
      <c r="Y445" s="44"/>
      <c r="Z445" s="44"/>
      <c r="AB445" s="37" t="str">
        <f aca="false">TRIM($A445&amp;"")</f>
        <v/>
      </c>
      <c r="AC445" s="37" t="str">
        <f aca="false">IF(AB445="","",IFERROR(INDEX('Account Map'!$B:$B,MATCH(AB445,'Account Map'!$A:$A,0)),""))</f>
        <v/>
      </c>
      <c r="AD445" s="37" t="str">
        <f aca="false">IF(AB445="","",IFERROR(INDEX('Account Map'!$C:$C,MATCH(AB445,'Account Map'!$A:$A,0)),""))</f>
        <v/>
      </c>
      <c r="AE445" s="37" t="n">
        <f aca="false">IF(AND(AB445&lt;&gt;"",AC445="",COUNT($B445:$Z445)&gt;0,LEFT(AB445,5)&lt;&gt;"Total",AB445&lt;&gt;"Gross Profit",AB445&lt;&gt;"Net Profit",AB445&lt;&gt;"Operating Profit"),1,0)</f>
        <v>0</v>
      </c>
    </row>
    <row r="446" customFormat="false" ht="15" hidden="false" customHeight="false" outlineLevel="0" collapsed="false">
      <c r="B446" s="44"/>
      <c r="C446" s="44"/>
      <c r="D446" s="44"/>
      <c r="E446" s="44"/>
      <c r="F446" s="44"/>
      <c r="G446" s="44"/>
      <c r="H446" s="44"/>
      <c r="I446" s="44"/>
      <c r="J446" s="44"/>
      <c r="K446" s="44"/>
      <c r="L446" s="44"/>
      <c r="M446" s="44"/>
      <c r="N446" s="44"/>
      <c r="O446" s="44"/>
      <c r="P446" s="44"/>
      <c r="Q446" s="44"/>
      <c r="R446" s="44"/>
      <c r="S446" s="44"/>
      <c r="T446" s="44"/>
      <c r="U446" s="44"/>
      <c r="V446" s="44"/>
      <c r="W446" s="44"/>
      <c r="X446" s="44"/>
      <c r="Y446" s="44"/>
      <c r="Z446" s="44"/>
      <c r="AB446" s="37" t="str">
        <f aca="false">TRIM($A446&amp;"")</f>
        <v/>
      </c>
      <c r="AC446" s="37" t="str">
        <f aca="false">IF(AB446="","",IFERROR(INDEX('Account Map'!$B:$B,MATCH(AB446,'Account Map'!$A:$A,0)),""))</f>
        <v/>
      </c>
      <c r="AD446" s="37" t="str">
        <f aca="false">IF(AB446="","",IFERROR(INDEX('Account Map'!$C:$C,MATCH(AB446,'Account Map'!$A:$A,0)),""))</f>
        <v/>
      </c>
      <c r="AE446" s="37" t="n">
        <f aca="false">IF(AND(AB446&lt;&gt;"",AC446="",COUNT($B446:$Z446)&gt;0,LEFT(AB446,5)&lt;&gt;"Total",AB446&lt;&gt;"Gross Profit",AB446&lt;&gt;"Net Profit",AB446&lt;&gt;"Operating Profit"),1,0)</f>
        <v>0</v>
      </c>
    </row>
    <row r="447" customFormat="false" ht="15" hidden="false" customHeight="false" outlineLevel="0" collapsed="false">
      <c r="B447" s="44"/>
      <c r="C447" s="44"/>
      <c r="D447" s="44"/>
      <c r="E447" s="44"/>
      <c r="F447" s="44"/>
      <c r="G447" s="44"/>
      <c r="H447" s="44"/>
      <c r="I447" s="44"/>
      <c r="J447" s="44"/>
      <c r="K447" s="44"/>
      <c r="L447" s="44"/>
      <c r="M447" s="44"/>
      <c r="N447" s="44"/>
      <c r="O447" s="44"/>
      <c r="P447" s="44"/>
      <c r="Q447" s="44"/>
      <c r="R447" s="44"/>
      <c r="S447" s="44"/>
      <c r="T447" s="44"/>
      <c r="U447" s="44"/>
      <c r="V447" s="44"/>
      <c r="W447" s="44"/>
      <c r="X447" s="44"/>
      <c r="Y447" s="44"/>
      <c r="Z447" s="44"/>
      <c r="AB447" s="37" t="str">
        <f aca="false">TRIM($A447&amp;"")</f>
        <v/>
      </c>
      <c r="AC447" s="37" t="str">
        <f aca="false">IF(AB447="","",IFERROR(INDEX('Account Map'!$B:$B,MATCH(AB447,'Account Map'!$A:$A,0)),""))</f>
        <v/>
      </c>
      <c r="AD447" s="37" t="str">
        <f aca="false">IF(AB447="","",IFERROR(INDEX('Account Map'!$C:$C,MATCH(AB447,'Account Map'!$A:$A,0)),""))</f>
        <v/>
      </c>
      <c r="AE447" s="37" t="n">
        <f aca="false">IF(AND(AB447&lt;&gt;"",AC447="",COUNT($B447:$Z447)&gt;0,LEFT(AB447,5)&lt;&gt;"Total",AB447&lt;&gt;"Gross Profit",AB447&lt;&gt;"Net Profit",AB447&lt;&gt;"Operating Profit"),1,0)</f>
        <v>0</v>
      </c>
    </row>
    <row r="448" customFormat="false" ht="15" hidden="false" customHeight="false" outlineLevel="0" collapsed="false">
      <c r="B448" s="44"/>
      <c r="C448" s="44"/>
      <c r="D448" s="44"/>
      <c r="E448" s="44"/>
      <c r="F448" s="44"/>
      <c r="G448" s="44"/>
      <c r="H448" s="44"/>
      <c r="I448" s="44"/>
      <c r="J448" s="44"/>
      <c r="K448" s="44"/>
      <c r="L448" s="44"/>
      <c r="M448" s="44"/>
      <c r="N448" s="44"/>
      <c r="O448" s="44"/>
      <c r="P448" s="44"/>
      <c r="Q448" s="44"/>
      <c r="R448" s="44"/>
      <c r="S448" s="44"/>
      <c r="T448" s="44"/>
      <c r="U448" s="44"/>
      <c r="V448" s="44"/>
      <c r="W448" s="44"/>
      <c r="X448" s="44"/>
      <c r="Y448" s="44"/>
      <c r="Z448" s="44"/>
      <c r="AB448" s="37" t="str">
        <f aca="false">TRIM($A448&amp;"")</f>
        <v/>
      </c>
      <c r="AC448" s="37" t="str">
        <f aca="false">IF(AB448="","",IFERROR(INDEX('Account Map'!$B:$B,MATCH(AB448,'Account Map'!$A:$A,0)),""))</f>
        <v/>
      </c>
      <c r="AD448" s="37" t="str">
        <f aca="false">IF(AB448="","",IFERROR(INDEX('Account Map'!$C:$C,MATCH(AB448,'Account Map'!$A:$A,0)),""))</f>
        <v/>
      </c>
      <c r="AE448" s="37" t="n">
        <f aca="false">IF(AND(AB448&lt;&gt;"",AC448="",COUNT($B448:$Z448)&gt;0,LEFT(AB448,5)&lt;&gt;"Total",AB448&lt;&gt;"Gross Profit",AB448&lt;&gt;"Net Profit",AB448&lt;&gt;"Operating Profit"),1,0)</f>
        <v>0</v>
      </c>
    </row>
    <row r="449" customFormat="false" ht="15" hidden="false" customHeight="false" outlineLevel="0" collapsed="false">
      <c r="B449" s="44"/>
      <c r="C449" s="44"/>
      <c r="D449" s="44"/>
      <c r="E449" s="44"/>
      <c r="F449" s="44"/>
      <c r="G449" s="44"/>
      <c r="H449" s="44"/>
      <c r="I449" s="44"/>
      <c r="J449" s="44"/>
      <c r="K449" s="44"/>
      <c r="L449" s="44"/>
      <c r="M449" s="44"/>
      <c r="N449" s="44"/>
      <c r="O449" s="44"/>
      <c r="P449" s="44"/>
      <c r="Q449" s="44"/>
      <c r="R449" s="44"/>
      <c r="S449" s="44"/>
      <c r="T449" s="44"/>
      <c r="U449" s="44"/>
      <c r="V449" s="44"/>
      <c r="W449" s="44"/>
      <c r="X449" s="44"/>
      <c r="Y449" s="44"/>
      <c r="Z449" s="44"/>
      <c r="AB449" s="37" t="str">
        <f aca="false">TRIM($A449&amp;"")</f>
        <v/>
      </c>
      <c r="AC449" s="37" t="str">
        <f aca="false">IF(AB449="","",IFERROR(INDEX('Account Map'!$B:$B,MATCH(AB449,'Account Map'!$A:$A,0)),""))</f>
        <v/>
      </c>
      <c r="AD449" s="37" t="str">
        <f aca="false">IF(AB449="","",IFERROR(INDEX('Account Map'!$C:$C,MATCH(AB449,'Account Map'!$A:$A,0)),""))</f>
        <v/>
      </c>
      <c r="AE449" s="37" t="n">
        <f aca="false">IF(AND(AB449&lt;&gt;"",AC449="",COUNT($B449:$Z449)&gt;0,LEFT(AB449,5)&lt;&gt;"Total",AB449&lt;&gt;"Gross Profit",AB449&lt;&gt;"Net Profit",AB449&lt;&gt;"Operating Profit"),1,0)</f>
        <v>0</v>
      </c>
    </row>
    <row r="450" customFormat="false" ht="15" hidden="false" customHeight="false" outlineLevel="0" collapsed="false">
      <c r="B450" s="44"/>
      <c r="C450" s="44"/>
      <c r="D450" s="44"/>
      <c r="E450" s="44"/>
      <c r="F450" s="44"/>
      <c r="G450" s="44"/>
      <c r="H450" s="44"/>
      <c r="I450" s="44"/>
      <c r="J450" s="44"/>
      <c r="K450" s="44"/>
      <c r="L450" s="44"/>
      <c r="M450" s="44"/>
      <c r="N450" s="44"/>
      <c r="O450" s="44"/>
      <c r="P450" s="44"/>
      <c r="Q450" s="44"/>
      <c r="R450" s="44"/>
      <c r="S450" s="44"/>
      <c r="T450" s="44"/>
      <c r="U450" s="44"/>
      <c r="V450" s="44"/>
      <c r="W450" s="44"/>
      <c r="X450" s="44"/>
      <c r="Y450" s="44"/>
      <c r="Z450" s="44"/>
      <c r="AB450" s="37" t="str">
        <f aca="false">TRIM($A450&amp;"")</f>
        <v/>
      </c>
      <c r="AC450" s="37" t="str">
        <f aca="false">IF(AB450="","",IFERROR(INDEX('Account Map'!$B:$B,MATCH(AB450,'Account Map'!$A:$A,0)),""))</f>
        <v/>
      </c>
      <c r="AD450" s="37" t="str">
        <f aca="false">IF(AB450="","",IFERROR(INDEX('Account Map'!$C:$C,MATCH(AB450,'Account Map'!$A:$A,0)),""))</f>
        <v/>
      </c>
      <c r="AE450" s="37" t="n">
        <f aca="false">IF(AND(AB450&lt;&gt;"",AC450="",COUNT($B450:$Z450)&gt;0,LEFT(AB450,5)&lt;&gt;"Total",AB450&lt;&gt;"Gross Profit",AB450&lt;&gt;"Net Profit",AB450&lt;&gt;"Operating Profit"),1,0)</f>
        <v>0</v>
      </c>
    </row>
    <row r="451" customFormat="false" ht="15" hidden="false" customHeight="false" outlineLevel="0" collapsed="false">
      <c r="B451" s="44"/>
      <c r="C451" s="44"/>
      <c r="D451" s="44"/>
      <c r="E451" s="44"/>
      <c r="F451" s="44"/>
      <c r="G451" s="44"/>
      <c r="H451" s="44"/>
      <c r="I451" s="44"/>
      <c r="J451" s="44"/>
      <c r="K451" s="44"/>
      <c r="L451" s="44"/>
      <c r="M451" s="44"/>
      <c r="N451" s="44"/>
      <c r="O451" s="44"/>
      <c r="P451" s="44"/>
      <c r="Q451" s="44"/>
      <c r="R451" s="44"/>
      <c r="S451" s="44"/>
      <c r="T451" s="44"/>
      <c r="U451" s="44"/>
      <c r="V451" s="44"/>
      <c r="W451" s="44"/>
      <c r="X451" s="44"/>
      <c r="Y451" s="44"/>
      <c r="Z451" s="44"/>
      <c r="AB451" s="37" t="str">
        <f aca="false">TRIM($A451&amp;"")</f>
        <v/>
      </c>
      <c r="AC451" s="37" t="str">
        <f aca="false">IF(AB451="","",IFERROR(INDEX('Account Map'!$B:$B,MATCH(AB451,'Account Map'!$A:$A,0)),""))</f>
        <v/>
      </c>
      <c r="AD451" s="37" t="str">
        <f aca="false">IF(AB451="","",IFERROR(INDEX('Account Map'!$C:$C,MATCH(AB451,'Account Map'!$A:$A,0)),""))</f>
        <v/>
      </c>
      <c r="AE451" s="37" t="n">
        <f aca="false">IF(AND(AB451&lt;&gt;"",AC451="",COUNT($B451:$Z451)&gt;0,LEFT(AB451,5)&lt;&gt;"Total",AB451&lt;&gt;"Gross Profit",AB451&lt;&gt;"Net Profit",AB451&lt;&gt;"Operating Profit"),1,0)</f>
        <v>0</v>
      </c>
    </row>
    <row r="452" customFormat="false" ht="15" hidden="false" customHeight="false" outlineLevel="0" collapsed="false">
      <c r="B452" s="44"/>
      <c r="C452" s="44"/>
      <c r="D452" s="44"/>
      <c r="E452" s="44"/>
      <c r="F452" s="44"/>
      <c r="G452" s="44"/>
      <c r="H452" s="44"/>
      <c r="I452" s="44"/>
      <c r="J452" s="44"/>
      <c r="K452" s="44"/>
      <c r="L452" s="44"/>
      <c r="M452" s="44"/>
      <c r="N452" s="44"/>
      <c r="O452" s="44"/>
      <c r="P452" s="44"/>
      <c r="Q452" s="44"/>
      <c r="R452" s="44"/>
      <c r="S452" s="44"/>
      <c r="T452" s="44"/>
      <c r="U452" s="44"/>
      <c r="V452" s="44"/>
      <c r="W452" s="44"/>
      <c r="X452" s="44"/>
      <c r="Y452" s="44"/>
      <c r="Z452" s="44"/>
      <c r="AB452" s="37" t="str">
        <f aca="false">TRIM($A452&amp;"")</f>
        <v/>
      </c>
      <c r="AC452" s="37" t="str">
        <f aca="false">IF(AB452="","",IFERROR(INDEX('Account Map'!$B:$B,MATCH(AB452,'Account Map'!$A:$A,0)),""))</f>
        <v/>
      </c>
      <c r="AD452" s="37" t="str">
        <f aca="false">IF(AB452="","",IFERROR(INDEX('Account Map'!$C:$C,MATCH(AB452,'Account Map'!$A:$A,0)),""))</f>
        <v/>
      </c>
      <c r="AE452" s="37" t="n">
        <f aca="false">IF(AND(AB452&lt;&gt;"",AC452="",COUNT($B452:$Z452)&gt;0,LEFT(AB452,5)&lt;&gt;"Total",AB452&lt;&gt;"Gross Profit",AB452&lt;&gt;"Net Profit",AB452&lt;&gt;"Operating Profit"),1,0)</f>
        <v>0</v>
      </c>
    </row>
    <row r="453" customFormat="false" ht="15" hidden="false" customHeight="false" outlineLevel="0" collapsed="false">
      <c r="B453" s="44"/>
      <c r="C453" s="44"/>
      <c r="D453" s="44"/>
      <c r="E453" s="44"/>
      <c r="F453" s="44"/>
      <c r="G453" s="44"/>
      <c r="H453" s="44"/>
      <c r="I453" s="44"/>
      <c r="J453" s="44"/>
      <c r="K453" s="44"/>
      <c r="L453" s="44"/>
      <c r="M453" s="44"/>
      <c r="N453" s="44"/>
      <c r="O453" s="44"/>
      <c r="P453" s="44"/>
      <c r="Q453" s="44"/>
      <c r="R453" s="44"/>
      <c r="S453" s="44"/>
      <c r="T453" s="44"/>
      <c r="U453" s="44"/>
      <c r="V453" s="44"/>
      <c r="W453" s="44"/>
      <c r="X453" s="44"/>
      <c r="Y453" s="44"/>
      <c r="Z453" s="44"/>
      <c r="AB453" s="37" t="str">
        <f aca="false">TRIM($A453&amp;"")</f>
        <v/>
      </c>
      <c r="AC453" s="37" t="str">
        <f aca="false">IF(AB453="","",IFERROR(INDEX('Account Map'!$B:$B,MATCH(AB453,'Account Map'!$A:$A,0)),""))</f>
        <v/>
      </c>
      <c r="AD453" s="37" t="str">
        <f aca="false">IF(AB453="","",IFERROR(INDEX('Account Map'!$C:$C,MATCH(AB453,'Account Map'!$A:$A,0)),""))</f>
        <v/>
      </c>
      <c r="AE453" s="37" t="n">
        <f aca="false">IF(AND(AB453&lt;&gt;"",AC453="",COUNT($B453:$Z453)&gt;0,LEFT(AB453,5)&lt;&gt;"Total",AB453&lt;&gt;"Gross Profit",AB453&lt;&gt;"Net Profit",AB453&lt;&gt;"Operating Profit"),1,0)</f>
        <v>0</v>
      </c>
    </row>
    <row r="454" customFormat="false" ht="15" hidden="false" customHeight="false" outlineLevel="0" collapsed="false">
      <c r="B454" s="44"/>
      <c r="C454" s="44"/>
      <c r="D454" s="44"/>
      <c r="E454" s="44"/>
      <c r="F454" s="44"/>
      <c r="G454" s="44"/>
      <c r="H454" s="44"/>
      <c r="I454" s="44"/>
      <c r="J454" s="44"/>
      <c r="K454" s="44"/>
      <c r="L454" s="44"/>
      <c r="M454" s="44"/>
      <c r="N454" s="44"/>
      <c r="O454" s="44"/>
      <c r="P454" s="44"/>
      <c r="Q454" s="44"/>
      <c r="R454" s="44"/>
      <c r="S454" s="44"/>
      <c r="T454" s="44"/>
      <c r="U454" s="44"/>
      <c r="V454" s="44"/>
      <c r="W454" s="44"/>
      <c r="X454" s="44"/>
      <c r="Y454" s="44"/>
      <c r="Z454" s="44"/>
      <c r="AB454" s="37" t="str">
        <f aca="false">TRIM($A454&amp;"")</f>
        <v/>
      </c>
      <c r="AC454" s="37" t="str">
        <f aca="false">IF(AB454="","",IFERROR(INDEX('Account Map'!$B:$B,MATCH(AB454,'Account Map'!$A:$A,0)),""))</f>
        <v/>
      </c>
      <c r="AD454" s="37" t="str">
        <f aca="false">IF(AB454="","",IFERROR(INDEX('Account Map'!$C:$C,MATCH(AB454,'Account Map'!$A:$A,0)),""))</f>
        <v/>
      </c>
      <c r="AE454" s="37" t="n">
        <f aca="false">IF(AND(AB454&lt;&gt;"",AC454="",COUNT($B454:$Z454)&gt;0,LEFT(AB454,5)&lt;&gt;"Total",AB454&lt;&gt;"Gross Profit",AB454&lt;&gt;"Net Profit",AB454&lt;&gt;"Operating Profit"),1,0)</f>
        <v>0</v>
      </c>
    </row>
    <row r="455" customFormat="false" ht="15" hidden="false" customHeight="false" outlineLevel="0" collapsed="false">
      <c r="B455" s="44"/>
      <c r="C455" s="44"/>
      <c r="D455" s="44"/>
      <c r="E455" s="44"/>
      <c r="F455" s="44"/>
      <c r="G455" s="44"/>
      <c r="H455" s="44"/>
      <c r="I455" s="44"/>
      <c r="J455" s="44"/>
      <c r="K455" s="44"/>
      <c r="L455" s="44"/>
      <c r="M455" s="44"/>
      <c r="N455" s="44"/>
      <c r="O455" s="44"/>
      <c r="P455" s="44"/>
      <c r="Q455" s="44"/>
      <c r="R455" s="44"/>
      <c r="S455" s="44"/>
      <c r="T455" s="44"/>
      <c r="U455" s="44"/>
      <c r="V455" s="44"/>
      <c r="W455" s="44"/>
      <c r="X455" s="44"/>
      <c r="Y455" s="44"/>
      <c r="Z455" s="44"/>
      <c r="AB455" s="37" t="str">
        <f aca="false">TRIM($A455&amp;"")</f>
        <v/>
      </c>
      <c r="AC455" s="37" t="str">
        <f aca="false">IF(AB455="","",IFERROR(INDEX('Account Map'!$B:$B,MATCH(AB455,'Account Map'!$A:$A,0)),""))</f>
        <v/>
      </c>
      <c r="AD455" s="37" t="str">
        <f aca="false">IF(AB455="","",IFERROR(INDEX('Account Map'!$C:$C,MATCH(AB455,'Account Map'!$A:$A,0)),""))</f>
        <v/>
      </c>
      <c r="AE455" s="37" t="n">
        <f aca="false">IF(AND(AB455&lt;&gt;"",AC455="",COUNT($B455:$Z455)&gt;0,LEFT(AB455,5)&lt;&gt;"Total",AB455&lt;&gt;"Gross Profit",AB455&lt;&gt;"Net Profit",AB455&lt;&gt;"Operating Profit"),1,0)</f>
        <v>0</v>
      </c>
    </row>
    <row r="456" customFormat="false" ht="15" hidden="false" customHeight="false" outlineLevel="0" collapsed="false">
      <c r="B456" s="44"/>
      <c r="C456" s="44"/>
      <c r="D456" s="44"/>
      <c r="E456" s="44"/>
      <c r="F456" s="44"/>
      <c r="G456" s="44"/>
      <c r="H456" s="44"/>
      <c r="I456" s="44"/>
      <c r="J456" s="44"/>
      <c r="K456" s="44"/>
      <c r="L456" s="44"/>
      <c r="M456" s="44"/>
      <c r="N456" s="44"/>
      <c r="O456" s="44"/>
      <c r="P456" s="44"/>
      <c r="Q456" s="44"/>
      <c r="R456" s="44"/>
      <c r="S456" s="44"/>
      <c r="T456" s="44"/>
      <c r="U456" s="44"/>
      <c r="V456" s="44"/>
      <c r="W456" s="44"/>
      <c r="X456" s="44"/>
      <c r="Y456" s="44"/>
      <c r="Z456" s="44"/>
      <c r="AB456" s="37" t="str">
        <f aca="false">TRIM($A456&amp;"")</f>
        <v/>
      </c>
      <c r="AC456" s="37" t="str">
        <f aca="false">IF(AB456="","",IFERROR(INDEX('Account Map'!$B:$B,MATCH(AB456,'Account Map'!$A:$A,0)),""))</f>
        <v/>
      </c>
      <c r="AD456" s="37" t="str">
        <f aca="false">IF(AB456="","",IFERROR(INDEX('Account Map'!$C:$C,MATCH(AB456,'Account Map'!$A:$A,0)),""))</f>
        <v/>
      </c>
      <c r="AE456" s="37" t="n">
        <f aca="false">IF(AND(AB456&lt;&gt;"",AC456="",COUNT($B456:$Z456)&gt;0,LEFT(AB456,5)&lt;&gt;"Total",AB456&lt;&gt;"Gross Profit",AB456&lt;&gt;"Net Profit",AB456&lt;&gt;"Operating Profit"),1,0)</f>
        <v>0</v>
      </c>
    </row>
    <row r="457" customFormat="false" ht="15" hidden="false" customHeight="false" outlineLevel="0" collapsed="false">
      <c r="B457" s="44"/>
      <c r="C457" s="44"/>
      <c r="D457" s="44"/>
      <c r="E457" s="44"/>
      <c r="F457" s="44"/>
      <c r="G457" s="44"/>
      <c r="H457" s="44"/>
      <c r="I457" s="44"/>
      <c r="J457" s="44"/>
      <c r="K457" s="44"/>
      <c r="L457" s="44"/>
      <c r="M457" s="44"/>
      <c r="N457" s="44"/>
      <c r="O457" s="44"/>
      <c r="P457" s="44"/>
      <c r="Q457" s="44"/>
      <c r="R457" s="44"/>
      <c r="S457" s="44"/>
      <c r="T457" s="44"/>
      <c r="U457" s="44"/>
      <c r="V457" s="44"/>
      <c r="W457" s="44"/>
      <c r="X457" s="44"/>
      <c r="Y457" s="44"/>
      <c r="Z457" s="44"/>
      <c r="AB457" s="37" t="str">
        <f aca="false">TRIM($A457&amp;"")</f>
        <v/>
      </c>
      <c r="AC457" s="37" t="str">
        <f aca="false">IF(AB457="","",IFERROR(INDEX('Account Map'!$B:$B,MATCH(AB457,'Account Map'!$A:$A,0)),""))</f>
        <v/>
      </c>
      <c r="AD457" s="37" t="str">
        <f aca="false">IF(AB457="","",IFERROR(INDEX('Account Map'!$C:$C,MATCH(AB457,'Account Map'!$A:$A,0)),""))</f>
        <v/>
      </c>
      <c r="AE457" s="37" t="n">
        <f aca="false">IF(AND(AB457&lt;&gt;"",AC457="",COUNT($B457:$Z457)&gt;0,LEFT(AB457,5)&lt;&gt;"Total",AB457&lt;&gt;"Gross Profit",AB457&lt;&gt;"Net Profit",AB457&lt;&gt;"Operating Profit"),1,0)</f>
        <v>0</v>
      </c>
    </row>
    <row r="458" customFormat="false" ht="15" hidden="false" customHeight="false" outlineLevel="0" collapsed="false">
      <c r="B458" s="44"/>
      <c r="C458" s="44"/>
      <c r="D458" s="44"/>
      <c r="E458" s="44"/>
      <c r="F458" s="44"/>
      <c r="G458" s="44"/>
      <c r="H458" s="44"/>
      <c r="I458" s="44"/>
      <c r="J458" s="44"/>
      <c r="K458" s="44"/>
      <c r="L458" s="44"/>
      <c r="M458" s="44"/>
      <c r="N458" s="44"/>
      <c r="O458" s="44"/>
      <c r="P458" s="44"/>
      <c r="Q458" s="44"/>
      <c r="R458" s="44"/>
      <c r="S458" s="44"/>
      <c r="T458" s="44"/>
      <c r="U458" s="44"/>
      <c r="V458" s="44"/>
      <c r="W458" s="44"/>
      <c r="X458" s="44"/>
      <c r="Y458" s="44"/>
      <c r="Z458" s="44"/>
      <c r="AB458" s="37" t="str">
        <f aca="false">TRIM($A458&amp;"")</f>
        <v/>
      </c>
      <c r="AC458" s="37" t="str">
        <f aca="false">IF(AB458="","",IFERROR(INDEX('Account Map'!$B:$B,MATCH(AB458,'Account Map'!$A:$A,0)),""))</f>
        <v/>
      </c>
      <c r="AD458" s="37" t="str">
        <f aca="false">IF(AB458="","",IFERROR(INDEX('Account Map'!$C:$C,MATCH(AB458,'Account Map'!$A:$A,0)),""))</f>
        <v/>
      </c>
      <c r="AE458" s="37" t="n">
        <f aca="false">IF(AND(AB458&lt;&gt;"",AC458="",COUNT($B458:$Z458)&gt;0,LEFT(AB458,5)&lt;&gt;"Total",AB458&lt;&gt;"Gross Profit",AB458&lt;&gt;"Net Profit",AB458&lt;&gt;"Operating Profit"),1,0)</f>
        <v>0</v>
      </c>
    </row>
    <row r="459" customFormat="false" ht="15" hidden="false" customHeight="false" outlineLevel="0" collapsed="false">
      <c r="B459" s="44"/>
      <c r="C459" s="44"/>
      <c r="D459" s="44"/>
      <c r="E459" s="44"/>
      <c r="F459" s="44"/>
      <c r="G459" s="44"/>
      <c r="H459" s="44"/>
      <c r="I459" s="44"/>
      <c r="J459" s="44"/>
      <c r="K459" s="44"/>
      <c r="L459" s="44"/>
      <c r="M459" s="44"/>
      <c r="N459" s="44"/>
      <c r="O459" s="44"/>
      <c r="P459" s="44"/>
      <c r="Q459" s="44"/>
      <c r="R459" s="44"/>
      <c r="S459" s="44"/>
      <c r="T459" s="44"/>
      <c r="U459" s="44"/>
      <c r="V459" s="44"/>
      <c r="W459" s="44"/>
      <c r="X459" s="44"/>
      <c r="Y459" s="44"/>
      <c r="Z459" s="44"/>
      <c r="AB459" s="37" t="str">
        <f aca="false">TRIM($A459&amp;"")</f>
        <v/>
      </c>
      <c r="AC459" s="37" t="str">
        <f aca="false">IF(AB459="","",IFERROR(INDEX('Account Map'!$B:$B,MATCH(AB459,'Account Map'!$A:$A,0)),""))</f>
        <v/>
      </c>
      <c r="AD459" s="37" t="str">
        <f aca="false">IF(AB459="","",IFERROR(INDEX('Account Map'!$C:$C,MATCH(AB459,'Account Map'!$A:$A,0)),""))</f>
        <v/>
      </c>
      <c r="AE459" s="37" t="n">
        <f aca="false">IF(AND(AB459&lt;&gt;"",AC459="",COUNT($B459:$Z459)&gt;0,LEFT(AB459,5)&lt;&gt;"Total",AB459&lt;&gt;"Gross Profit",AB459&lt;&gt;"Net Profit",AB459&lt;&gt;"Operating Profit"),1,0)</f>
        <v>0</v>
      </c>
    </row>
    <row r="460" customFormat="false" ht="15" hidden="false" customHeight="false" outlineLevel="0" collapsed="false">
      <c r="B460" s="44"/>
      <c r="C460" s="44"/>
      <c r="D460" s="44"/>
      <c r="E460" s="44"/>
      <c r="F460" s="44"/>
      <c r="G460" s="44"/>
      <c r="H460" s="44"/>
      <c r="I460" s="44"/>
      <c r="J460" s="44"/>
      <c r="K460" s="44"/>
      <c r="L460" s="44"/>
      <c r="M460" s="44"/>
      <c r="N460" s="44"/>
      <c r="O460" s="44"/>
      <c r="P460" s="44"/>
      <c r="Q460" s="44"/>
      <c r="R460" s="44"/>
      <c r="S460" s="44"/>
      <c r="T460" s="44"/>
      <c r="U460" s="44"/>
      <c r="V460" s="44"/>
      <c r="W460" s="44"/>
      <c r="X460" s="44"/>
      <c r="Y460" s="44"/>
      <c r="Z460" s="44"/>
      <c r="AB460" s="37" t="str">
        <f aca="false">TRIM($A460&amp;"")</f>
        <v/>
      </c>
      <c r="AC460" s="37" t="str">
        <f aca="false">IF(AB460="","",IFERROR(INDEX('Account Map'!$B:$B,MATCH(AB460,'Account Map'!$A:$A,0)),""))</f>
        <v/>
      </c>
      <c r="AD460" s="37" t="str">
        <f aca="false">IF(AB460="","",IFERROR(INDEX('Account Map'!$C:$C,MATCH(AB460,'Account Map'!$A:$A,0)),""))</f>
        <v/>
      </c>
      <c r="AE460" s="37" t="n">
        <f aca="false">IF(AND(AB460&lt;&gt;"",AC460="",COUNT($B460:$Z460)&gt;0,LEFT(AB460,5)&lt;&gt;"Total",AB460&lt;&gt;"Gross Profit",AB460&lt;&gt;"Net Profit",AB460&lt;&gt;"Operating Profit"),1,0)</f>
        <v>0</v>
      </c>
    </row>
    <row r="461" customFormat="false" ht="15" hidden="false" customHeight="false" outlineLevel="0" collapsed="false">
      <c r="B461" s="44"/>
      <c r="C461" s="44"/>
      <c r="D461" s="44"/>
      <c r="E461" s="44"/>
      <c r="F461" s="44"/>
      <c r="G461" s="44"/>
      <c r="H461" s="44"/>
      <c r="I461" s="44"/>
      <c r="J461" s="44"/>
      <c r="K461" s="44"/>
      <c r="L461" s="44"/>
      <c r="M461" s="44"/>
      <c r="N461" s="44"/>
      <c r="O461" s="44"/>
      <c r="P461" s="44"/>
      <c r="Q461" s="44"/>
      <c r="R461" s="44"/>
      <c r="S461" s="44"/>
      <c r="T461" s="44"/>
      <c r="U461" s="44"/>
      <c r="V461" s="44"/>
      <c r="W461" s="44"/>
      <c r="X461" s="44"/>
      <c r="Y461" s="44"/>
      <c r="Z461" s="44"/>
      <c r="AB461" s="37" t="str">
        <f aca="false">TRIM($A461&amp;"")</f>
        <v/>
      </c>
      <c r="AC461" s="37" t="str">
        <f aca="false">IF(AB461="","",IFERROR(INDEX('Account Map'!$B:$B,MATCH(AB461,'Account Map'!$A:$A,0)),""))</f>
        <v/>
      </c>
      <c r="AD461" s="37" t="str">
        <f aca="false">IF(AB461="","",IFERROR(INDEX('Account Map'!$C:$C,MATCH(AB461,'Account Map'!$A:$A,0)),""))</f>
        <v/>
      </c>
      <c r="AE461" s="37" t="n">
        <f aca="false">IF(AND(AB461&lt;&gt;"",AC461="",COUNT($B461:$Z461)&gt;0,LEFT(AB461,5)&lt;&gt;"Total",AB461&lt;&gt;"Gross Profit",AB461&lt;&gt;"Net Profit",AB461&lt;&gt;"Operating Profit"),1,0)</f>
        <v>0</v>
      </c>
    </row>
    <row r="462" customFormat="false" ht="15" hidden="false" customHeight="false" outlineLevel="0" collapsed="false">
      <c r="B462" s="44"/>
      <c r="C462" s="44"/>
      <c r="D462" s="44"/>
      <c r="E462" s="44"/>
      <c r="F462" s="44"/>
      <c r="G462" s="44"/>
      <c r="H462" s="44"/>
      <c r="I462" s="44"/>
      <c r="J462" s="44"/>
      <c r="K462" s="44"/>
      <c r="L462" s="44"/>
      <c r="M462" s="44"/>
      <c r="N462" s="44"/>
      <c r="O462" s="44"/>
      <c r="P462" s="44"/>
      <c r="Q462" s="44"/>
      <c r="R462" s="44"/>
      <c r="S462" s="44"/>
      <c r="T462" s="44"/>
      <c r="U462" s="44"/>
      <c r="V462" s="44"/>
      <c r="W462" s="44"/>
      <c r="X462" s="44"/>
      <c r="Y462" s="44"/>
      <c r="Z462" s="44"/>
      <c r="AB462" s="37" t="str">
        <f aca="false">TRIM($A462&amp;"")</f>
        <v/>
      </c>
      <c r="AC462" s="37" t="str">
        <f aca="false">IF(AB462="","",IFERROR(INDEX('Account Map'!$B:$B,MATCH(AB462,'Account Map'!$A:$A,0)),""))</f>
        <v/>
      </c>
      <c r="AD462" s="37" t="str">
        <f aca="false">IF(AB462="","",IFERROR(INDEX('Account Map'!$C:$C,MATCH(AB462,'Account Map'!$A:$A,0)),""))</f>
        <v/>
      </c>
      <c r="AE462" s="37" t="n">
        <f aca="false">IF(AND(AB462&lt;&gt;"",AC462="",COUNT($B462:$Z462)&gt;0,LEFT(AB462,5)&lt;&gt;"Total",AB462&lt;&gt;"Gross Profit",AB462&lt;&gt;"Net Profit",AB462&lt;&gt;"Operating Profit"),1,0)</f>
        <v>0</v>
      </c>
    </row>
    <row r="463" customFormat="false" ht="15" hidden="false" customHeight="false" outlineLevel="0" collapsed="false">
      <c r="B463" s="44"/>
      <c r="C463" s="44"/>
      <c r="D463" s="44"/>
      <c r="E463" s="44"/>
      <c r="F463" s="44"/>
      <c r="G463" s="44"/>
      <c r="H463" s="44"/>
      <c r="I463" s="44"/>
      <c r="J463" s="44"/>
      <c r="K463" s="44"/>
      <c r="L463" s="44"/>
      <c r="M463" s="44"/>
      <c r="N463" s="44"/>
      <c r="O463" s="44"/>
      <c r="P463" s="44"/>
      <c r="Q463" s="44"/>
      <c r="R463" s="44"/>
      <c r="S463" s="44"/>
      <c r="T463" s="44"/>
      <c r="U463" s="44"/>
      <c r="V463" s="44"/>
      <c r="W463" s="44"/>
      <c r="X463" s="44"/>
      <c r="Y463" s="44"/>
      <c r="Z463" s="44"/>
      <c r="AB463" s="37" t="str">
        <f aca="false">TRIM($A463&amp;"")</f>
        <v/>
      </c>
      <c r="AC463" s="37" t="str">
        <f aca="false">IF(AB463="","",IFERROR(INDEX('Account Map'!$B:$B,MATCH(AB463,'Account Map'!$A:$A,0)),""))</f>
        <v/>
      </c>
      <c r="AD463" s="37" t="str">
        <f aca="false">IF(AB463="","",IFERROR(INDEX('Account Map'!$C:$C,MATCH(AB463,'Account Map'!$A:$A,0)),""))</f>
        <v/>
      </c>
      <c r="AE463" s="37" t="n">
        <f aca="false">IF(AND(AB463&lt;&gt;"",AC463="",COUNT($B463:$Z463)&gt;0,LEFT(AB463,5)&lt;&gt;"Total",AB463&lt;&gt;"Gross Profit",AB463&lt;&gt;"Net Profit",AB463&lt;&gt;"Operating Profit"),1,0)</f>
        <v>0</v>
      </c>
    </row>
    <row r="464" customFormat="false" ht="15" hidden="false" customHeight="false" outlineLevel="0" collapsed="false">
      <c r="B464" s="44"/>
      <c r="C464" s="44"/>
      <c r="D464" s="44"/>
      <c r="E464" s="44"/>
      <c r="F464" s="44"/>
      <c r="G464" s="44"/>
      <c r="H464" s="44"/>
      <c r="I464" s="44"/>
      <c r="J464" s="44"/>
      <c r="K464" s="44"/>
      <c r="L464" s="44"/>
      <c r="M464" s="44"/>
      <c r="N464" s="44"/>
      <c r="O464" s="44"/>
      <c r="P464" s="44"/>
      <c r="Q464" s="44"/>
      <c r="R464" s="44"/>
      <c r="S464" s="44"/>
      <c r="T464" s="44"/>
      <c r="U464" s="44"/>
      <c r="V464" s="44"/>
      <c r="W464" s="44"/>
      <c r="X464" s="44"/>
      <c r="Y464" s="44"/>
      <c r="Z464" s="44"/>
      <c r="AB464" s="37" t="str">
        <f aca="false">TRIM($A464&amp;"")</f>
        <v/>
      </c>
      <c r="AC464" s="37" t="str">
        <f aca="false">IF(AB464="","",IFERROR(INDEX('Account Map'!$B:$B,MATCH(AB464,'Account Map'!$A:$A,0)),""))</f>
        <v/>
      </c>
      <c r="AD464" s="37" t="str">
        <f aca="false">IF(AB464="","",IFERROR(INDEX('Account Map'!$C:$C,MATCH(AB464,'Account Map'!$A:$A,0)),""))</f>
        <v/>
      </c>
      <c r="AE464" s="37" t="n">
        <f aca="false">IF(AND(AB464&lt;&gt;"",AC464="",COUNT($B464:$Z464)&gt;0,LEFT(AB464,5)&lt;&gt;"Total",AB464&lt;&gt;"Gross Profit",AB464&lt;&gt;"Net Profit",AB464&lt;&gt;"Operating Profit"),1,0)</f>
        <v>0</v>
      </c>
    </row>
    <row r="465" customFormat="false" ht="15" hidden="false" customHeight="false" outlineLevel="0" collapsed="false">
      <c r="B465" s="44"/>
      <c r="C465" s="44"/>
      <c r="D465" s="44"/>
      <c r="E465" s="44"/>
      <c r="F465" s="44"/>
      <c r="G465" s="44"/>
      <c r="H465" s="44"/>
      <c r="I465" s="44"/>
      <c r="J465" s="44"/>
      <c r="K465" s="44"/>
      <c r="L465" s="44"/>
      <c r="M465" s="44"/>
      <c r="N465" s="44"/>
      <c r="O465" s="44"/>
      <c r="P465" s="44"/>
      <c r="Q465" s="44"/>
      <c r="R465" s="44"/>
      <c r="S465" s="44"/>
      <c r="T465" s="44"/>
      <c r="U465" s="44"/>
      <c r="V465" s="44"/>
      <c r="W465" s="44"/>
      <c r="X465" s="44"/>
      <c r="Y465" s="44"/>
      <c r="Z465" s="44"/>
      <c r="AB465" s="37" t="str">
        <f aca="false">TRIM($A465&amp;"")</f>
        <v/>
      </c>
      <c r="AC465" s="37" t="str">
        <f aca="false">IF(AB465="","",IFERROR(INDEX('Account Map'!$B:$B,MATCH(AB465,'Account Map'!$A:$A,0)),""))</f>
        <v/>
      </c>
      <c r="AD465" s="37" t="str">
        <f aca="false">IF(AB465="","",IFERROR(INDEX('Account Map'!$C:$C,MATCH(AB465,'Account Map'!$A:$A,0)),""))</f>
        <v/>
      </c>
      <c r="AE465" s="37" t="n">
        <f aca="false">IF(AND(AB465&lt;&gt;"",AC465="",COUNT($B465:$Z465)&gt;0,LEFT(AB465,5)&lt;&gt;"Total",AB465&lt;&gt;"Gross Profit",AB465&lt;&gt;"Net Profit",AB465&lt;&gt;"Operating Profit"),1,0)</f>
        <v>0</v>
      </c>
    </row>
    <row r="466" customFormat="false" ht="15" hidden="false" customHeight="false" outlineLevel="0" collapsed="false">
      <c r="B466" s="44"/>
      <c r="C466" s="44"/>
      <c r="D466" s="44"/>
      <c r="E466" s="44"/>
      <c r="F466" s="44"/>
      <c r="G466" s="44"/>
      <c r="H466" s="44"/>
      <c r="I466" s="44"/>
      <c r="J466" s="44"/>
      <c r="K466" s="44"/>
      <c r="L466" s="44"/>
      <c r="M466" s="44"/>
      <c r="N466" s="44"/>
      <c r="O466" s="44"/>
      <c r="P466" s="44"/>
      <c r="Q466" s="44"/>
      <c r="R466" s="44"/>
      <c r="S466" s="44"/>
      <c r="T466" s="44"/>
      <c r="U466" s="44"/>
      <c r="V466" s="44"/>
      <c r="W466" s="44"/>
      <c r="X466" s="44"/>
      <c r="Y466" s="44"/>
      <c r="Z466" s="44"/>
      <c r="AB466" s="37" t="str">
        <f aca="false">TRIM($A466&amp;"")</f>
        <v/>
      </c>
      <c r="AC466" s="37" t="str">
        <f aca="false">IF(AB466="","",IFERROR(INDEX('Account Map'!$B:$B,MATCH(AB466,'Account Map'!$A:$A,0)),""))</f>
        <v/>
      </c>
      <c r="AD466" s="37" t="str">
        <f aca="false">IF(AB466="","",IFERROR(INDEX('Account Map'!$C:$C,MATCH(AB466,'Account Map'!$A:$A,0)),""))</f>
        <v/>
      </c>
      <c r="AE466" s="37" t="n">
        <f aca="false">IF(AND(AB466&lt;&gt;"",AC466="",COUNT($B466:$Z466)&gt;0,LEFT(AB466,5)&lt;&gt;"Total",AB466&lt;&gt;"Gross Profit",AB466&lt;&gt;"Net Profit",AB466&lt;&gt;"Operating Profit"),1,0)</f>
        <v>0</v>
      </c>
    </row>
    <row r="467" customFormat="false" ht="15" hidden="false" customHeight="false" outlineLevel="0" collapsed="false">
      <c r="B467" s="44"/>
      <c r="C467" s="44"/>
      <c r="D467" s="44"/>
      <c r="E467" s="44"/>
      <c r="F467" s="44"/>
      <c r="G467" s="44"/>
      <c r="H467" s="44"/>
      <c r="I467" s="44"/>
      <c r="J467" s="44"/>
      <c r="K467" s="44"/>
      <c r="L467" s="44"/>
      <c r="M467" s="44"/>
      <c r="N467" s="44"/>
      <c r="O467" s="44"/>
      <c r="P467" s="44"/>
      <c r="Q467" s="44"/>
      <c r="R467" s="44"/>
      <c r="S467" s="44"/>
      <c r="T467" s="44"/>
      <c r="U467" s="44"/>
      <c r="V467" s="44"/>
      <c r="W467" s="44"/>
      <c r="X467" s="44"/>
      <c r="Y467" s="44"/>
      <c r="Z467" s="44"/>
      <c r="AB467" s="37" t="str">
        <f aca="false">TRIM($A467&amp;"")</f>
        <v/>
      </c>
      <c r="AC467" s="37" t="str">
        <f aca="false">IF(AB467="","",IFERROR(INDEX('Account Map'!$B:$B,MATCH(AB467,'Account Map'!$A:$A,0)),""))</f>
        <v/>
      </c>
      <c r="AD467" s="37" t="str">
        <f aca="false">IF(AB467="","",IFERROR(INDEX('Account Map'!$C:$C,MATCH(AB467,'Account Map'!$A:$A,0)),""))</f>
        <v/>
      </c>
      <c r="AE467" s="37" t="n">
        <f aca="false">IF(AND(AB467&lt;&gt;"",AC467="",COUNT($B467:$Z467)&gt;0,LEFT(AB467,5)&lt;&gt;"Total",AB467&lt;&gt;"Gross Profit",AB467&lt;&gt;"Net Profit",AB467&lt;&gt;"Operating Profit"),1,0)</f>
        <v>0</v>
      </c>
    </row>
    <row r="468" customFormat="false" ht="15" hidden="false" customHeight="false" outlineLevel="0" collapsed="false">
      <c r="B468" s="44"/>
      <c r="C468" s="44"/>
      <c r="D468" s="44"/>
      <c r="E468" s="44"/>
      <c r="F468" s="44"/>
      <c r="G468" s="44"/>
      <c r="H468" s="44"/>
      <c r="I468" s="44"/>
      <c r="J468" s="44"/>
      <c r="K468" s="44"/>
      <c r="L468" s="44"/>
      <c r="M468" s="44"/>
      <c r="N468" s="44"/>
      <c r="O468" s="44"/>
      <c r="P468" s="44"/>
      <c r="Q468" s="44"/>
      <c r="R468" s="44"/>
      <c r="S468" s="44"/>
      <c r="T468" s="44"/>
      <c r="U468" s="44"/>
      <c r="V468" s="44"/>
      <c r="W468" s="44"/>
      <c r="X468" s="44"/>
      <c r="Y468" s="44"/>
      <c r="Z468" s="44"/>
      <c r="AB468" s="37" t="str">
        <f aca="false">TRIM($A468&amp;"")</f>
        <v/>
      </c>
      <c r="AC468" s="37" t="str">
        <f aca="false">IF(AB468="","",IFERROR(INDEX('Account Map'!$B:$B,MATCH(AB468,'Account Map'!$A:$A,0)),""))</f>
        <v/>
      </c>
      <c r="AD468" s="37" t="str">
        <f aca="false">IF(AB468="","",IFERROR(INDEX('Account Map'!$C:$C,MATCH(AB468,'Account Map'!$A:$A,0)),""))</f>
        <v/>
      </c>
      <c r="AE468" s="37" t="n">
        <f aca="false">IF(AND(AB468&lt;&gt;"",AC468="",COUNT($B468:$Z468)&gt;0,LEFT(AB468,5)&lt;&gt;"Total",AB468&lt;&gt;"Gross Profit",AB468&lt;&gt;"Net Profit",AB468&lt;&gt;"Operating Profit"),1,0)</f>
        <v>0</v>
      </c>
    </row>
    <row r="469" customFormat="false" ht="15" hidden="false" customHeight="false" outlineLevel="0" collapsed="false">
      <c r="B469" s="44"/>
      <c r="C469" s="44"/>
      <c r="D469" s="44"/>
      <c r="E469" s="44"/>
      <c r="F469" s="44"/>
      <c r="G469" s="44"/>
      <c r="H469" s="44"/>
      <c r="I469" s="44"/>
      <c r="J469" s="44"/>
      <c r="K469" s="44"/>
      <c r="L469" s="44"/>
      <c r="M469" s="44"/>
      <c r="N469" s="44"/>
      <c r="O469" s="44"/>
      <c r="P469" s="44"/>
      <c r="Q469" s="44"/>
      <c r="R469" s="44"/>
      <c r="S469" s="44"/>
      <c r="T469" s="44"/>
      <c r="U469" s="44"/>
      <c r="V469" s="44"/>
      <c r="W469" s="44"/>
      <c r="X469" s="44"/>
      <c r="Y469" s="44"/>
      <c r="Z469" s="44"/>
      <c r="AB469" s="37" t="str">
        <f aca="false">TRIM($A469&amp;"")</f>
        <v/>
      </c>
      <c r="AC469" s="37" t="str">
        <f aca="false">IF(AB469="","",IFERROR(INDEX('Account Map'!$B:$B,MATCH(AB469,'Account Map'!$A:$A,0)),""))</f>
        <v/>
      </c>
      <c r="AD469" s="37" t="str">
        <f aca="false">IF(AB469="","",IFERROR(INDEX('Account Map'!$C:$C,MATCH(AB469,'Account Map'!$A:$A,0)),""))</f>
        <v/>
      </c>
      <c r="AE469" s="37" t="n">
        <f aca="false">IF(AND(AB469&lt;&gt;"",AC469="",COUNT($B469:$Z469)&gt;0,LEFT(AB469,5)&lt;&gt;"Total",AB469&lt;&gt;"Gross Profit",AB469&lt;&gt;"Net Profit",AB469&lt;&gt;"Operating Profit"),1,0)</f>
        <v>0</v>
      </c>
    </row>
    <row r="470" customFormat="false" ht="15" hidden="false" customHeight="false" outlineLevel="0" collapsed="false">
      <c r="B470" s="44"/>
      <c r="C470" s="44"/>
      <c r="D470" s="44"/>
      <c r="E470" s="44"/>
      <c r="F470" s="44"/>
      <c r="G470" s="44"/>
      <c r="H470" s="44"/>
      <c r="I470" s="44"/>
      <c r="J470" s="44"/>
      <c r="K470" s="44"/>
      <c r="L470" s="44"/>
      <c r="M470" s="44"/>
      <c r="N470" s="44"/>
      <c r="O470" s="44"/>
      <c r="P470" s="44"/>
      <c r="Q470" s="44"/>
      <c r="R470" s="44"/>
      <c r="S470" s="44"/>
      <c r="T470" s="44"/>
      <c r="U470" s="44"/>
      <c r="V470" s="44"/>
      <c r="W470" s="44"/>
      <c r="X470" s="44"/>
      <c r="Y470" s="44"/>
      <c r="Z470" s="44"/>
      <c r="AB470" s="37" t="str">
        <f aca="false">TRIM($A470&amp;"")</f>
        <v/>
      </c>
      <c r="AC470" s="37" t="str">
        <f aca="false">IF(AB470="","",IFERROR(INDEX('Account Map'!$B:$B,MATCH(AB470,'Account Map'!$A:$A,0)),""))</f>
        <v/>
      </c>
      <c r="AD470" s="37" t="str">
        <f aca="false">IF(AB470="","",IFERROR(INDEX('Account Map'!$C:$C,MATCH(AB470,'Account Map'!$A:$A,0)),""))</f>
        <v/>
      </c>
      <c r="AE470" s="37" t="n">
        <f aca="false">IF(AND(AB470&lt;&gt;"",AC470="",COUNT($B470:$Z470)&gt;0,LEFT(AB470,5)&lt;&gt;"Total",AB470&lt;&gt;"Gross Profit",AB470&lt;&gt;"Net Profit",AB470&lt;&gt;"Operating Profit"),1,0)</f>
        <v>0</v>
      </c>
    </row>
    <row r="471" customFormat="false" ht="15" hidden="false" customHeight="false" outlineLevel="0" collapsed="false">
      <c r="B471" s="44"/>
      <c r="C471" s="44"/>
      <c r="D471" s="44"/>
      <c r="E471" s="44"/>
      <c r="F471" s="44"/>
      <c r="G471" s="44"/>
      <c r="H471" s="44"/>
      <c r="I471" s="44"/>
      <c r="J471" s="44"/>
      <c r="K471" s="44"/>
      <c r="L471" s="44"/>
      <c r="M471" s="44"/>
      <c r="N471" s="44"/>
      <c r="O471" s="44"/>
      <c r="P471" s="44"/>
      <c r="Q471" s="44"/>
      <c r="R471" s="44"/>
      <c r="S471" s="44"/>
      <c r="T471" s="44"/>
      <c r="U471" s="44"/>
      <c r="V471" s="44"/>
      <c r="W471" s="44"/>
      <c r="X471" s="44"/>
      <c r="Y471" s="44"/>
      <c r="Z471" s="44"/>
      <c r="AB471" s="37" t="str">
        <f aca="false">TRIM($A471&amp;"")</f>
        <v/>
      </c>
      <c r="AC471" s="37" t="str">
        <f aca="false">IF(AB471="","",IFERROR(INDEX('Account Map'!$B:$B,MATCH(AB471,'Account Map'!$A:$A,0)),""))</f>
        <v/>
      </c>
      <c r="AD471" s="37" t="str">
        <f aca="false">IF(AB471="","",IFERROR(INDEX('Account Map'!$C:$C,MATCH(AB471,'Account Map'!$A:$A,0)),""))</f>
        <v/>
      </c>
      <c r="AE471" s="37" t="n">
        <f aca="false">IF(AND(AB471&lt;&gt;"",AC471="",COUNT($B471:$Z471)&gt;0,LEFT(AB471,5)&lt;&gt;"Total",AB471&lt;&gt;"Gross Profit",AB471&lt;&gt;"Net Profit",AB471&lt;&gt;"Operating Profit"),1,0)</f>
        <v>0</v>
      </c>
    </row>
    <row r="472" customFormat="false" ht="15" hidden="false" customHeight="false" outlineLevel="0" collapsed="false">
      <c r="B472" s="44"/>
      <c r="C472" s="44"/>
      <c r="D472" s="44"/>
      <c r="E472" s="44"/>
      <c r="F472" s="44"/>
      <c r="G472" s="44"/>
      <c r="H472" s="44"/>
      <c r="I472" s="44"/>
      <c r="J472" s="44"/>
      <c r="K472" s="44"/>
      <c r="L472" s="44"/>
      <c r="M472" s="44"/>
      <c r="N472" s="44"/>
      <c r="O472" s="44"/>
      <c r="P472" s="44"/>
      <c r="Q472" s="44"/>
      <c r="R472" s="44"/>
      <c r="S472" s="44"/>
      <c r="T472" s="44"/>
      <c r="U472" s="44"/>
      <c r="V472" s="44"/>
      <c r="W472" s="44"/>
      <c r="X472" s="44"/>
      <c r="Y472" s="44"/>
      <c r="Z472" s="44"/>
      <c r="AB472" s="37" t="str">
        <f aca="false">TRIM($A472&amp;"")</f>
        <v/>
      </c>
      <c r="AC472" s="37" t="str">
        <f aca="false">IF(AB472="","",IFERROR(INDEX('Account Map'!$B:$B,MATCH(AB472,'Account Map'!$A:$A,0)),""))</f>
        <v/>
      </c>
      <c r="AD472" s="37" t="str">
        <f aca="false">IF(AB472="","",IFERROR(INDEX('Account Map'!$C:$C,MATCH(AB472,'Account Map'!$A:$A,0)),""))</f>
        <v/>
      </c>
      <c r="AE472" s="37" t="n">
        <f aca="false">IF(AND(AB472&lt;&gt;"",AC472="",COUNT($B472:$Z472)&gt;0,LEFT(AB472,5)&lt;&gt;"Total",AB472&lt;&gt;"Gross Profit",AB472&lt;&gt;"Net Profit",AB472&lt;&gt;"Operating Profit"),1,0)</f>
        <v>0</v>
      </c>
    </row>
    <row r="473" customFormat="false" ht="15" hidden="false" customHeight="false" outlineLevel="0" collapsed="false">
      <c r="B473" s="44"/>
      <c r="C473" s="44"/>
      <c r="D473" s="44"/>
      <c r="E473" s="44"/>
      <c r="F473" s="44"/>
      <c r="G473" s="44"/>
      <c r="H473" s="44"/>
      <c r="I473" s="44"/>
      <c r="J473" s="44"/>
      <c r="K473" s="44"/>
      <c r="L473" s="44"/>
      <c r="M473" s="44"/>
      <c r="N473" s="44"/>
      <c r="O473" s="44"/>
      <c r="P473" s="44"/>
      <c r="Q473" s="44"/>
      <c r="R473" s="44"/>
      <c r="S473" s="44"/>
      <c r="T473" s="44"/>
      <c r="U473" s="44"/>
      <c r="V473" s="44"/>
      <c r="W473" s="44"/>
      <c r="X473" s="44"/>
      <c r="Y473" s="44"/>
      <c r="Z473" s="44"/>
      <c r="AB473" s="37" t="str">
        <f aca="false">TRIM($A473&amp;"")</f>
        <v/>
      </c>
      <c r="AC473" s="37" t="str">
        <f aca="false">IF(AB473="","",IFERROR(INDEX('Account Map'!$B:$B,MATCH(AB473,'Account Map'!$A:$A,0)),""))</f>
        <v/>
      </c>
      <c r="AD473" s="37" t="str">
        <f aca="false">IF(AB473="","",IFERROR(INDEX('Account Map'!$C:$C,MATCH(AB473,'Account Map'!$A:$A,0)),""))</f>
        <v/>
      </c>
      <c r="AE473" s="37" t="n">
        <f aca="false">IF(AND(AB473&lt;&gt;"",AC473="",COUNT($B473:$Z473)&gt;0,LEFT(AB473,5)&lt;&gt;"Total",AB473&lt;&gt;"Gross Profit",AB473&lt;&gt;"Net Profit",AB473&lt;&gt;"Operating Profit"),1,0)</f>
        <v>0</v>
      </c>
    </row>
    <row r="474" customFormat="false" ht="15" hidden="false" customHeight="false" outlineLevel="0" collapsed="false">
      <c r="B474" s="44"/>
      <c r="C474" s="44"/>
      <c r="D474" s="44"/>
      <c r="E474" s="44"/>
      <c r="F474" s="44"/>
      <c r="G474" s="44"/>
      <c r="H474" s="44"/>
      <c r="I474" s="44"/>
      <c r="J474" s="44"/>
      <c r="K474" s="44"/>
      <c r="L474" s="44"/>
      <c r="M474" s="44"/>
      <c r="N474" s="44"/>
      <c r="O474" s="44"/>
      <c r="P474" s="44"/>
      <c r="Q474" s="44"/>
      <c r="R474" s="44"/>
      <c r="S474" s="44"/>
      <c r="T474" s="44"/>
      <c r="U474" s="44"/>
      <c r="V474" s="44"/>
      <c r="W474" s="44"/>
      <c r="X474" s="44"/>
      <c r="Y474" s="44"/>
      <c r="Z474" s="44"/>
      <c r="AB474" s="37" t="str">
        <f aca="false">TRIM($A474&amp;"")</f>
        <v/>
      </c>
      <c r="AC474" s="37" t="str">
        <f aca="false">IF(AB474="","",IFERROR(INDEX('Account Map'!$B:$B,MATCH(AB474,'Account Map'!$A:$A,0)),""))</f>
        <v/>
      </c>
      <c r="AD474" s="37" t="str">
        <f aca="false">IF(AB474="","",IFERROR(INDEX('Account Map'!$C:$C,MATCH(AB474,'Account Map'!$A:$A,0)),""))</f>
        <v/>
      </c>
      <c r="AE474" s="37" t="n">
        <f aca="false">IF(AND(AB474&lt;&gt;"",AC474="",COUNT($B474:$Z474)&gt;0,LEFT(AB474,5)&lt;&gt;"Total",AB474&lt;&gt;"Gross Profit",AB474&lt;&gt;"Net Profit",AB474&lt;&gt;"Operating Profit"),1,0)</f>
        <v>0</v>
      </c>
    </row>
    <row r="475" customFormat="false" ht="15" hidden="false" customHeight="false" outlineLevel="0" collapsed="false">
      <c r="B475" s="44"/>
      <c r="C475" s="44"/>
      <c r="D475" s="44"/>
      <c r="E475" s="44"/>
      <c r="F475" s="44"/>
      <c r="G475" s="44"/>
      <c r="H475" s="44"/>
      <c r="I475" s="44"/>
      <c r="J475" s="44"/>
      <c r="K475" s="44"/>
      <c r="L475" s="44"/>
      <c r="M475" s="44"/>
      <c r="N475" s="44"/>
      <c r="O475" s="44"/>
      <c r="P475" s="44"/>
      <c r="Q475" s="44"/>
      <c r="R475" s="44"/>
      <c r="S475" s="44"/>
      <c r="T475" s="44"/>
      <c r="U475" s="44"/>
      <c r="V475" s="44"/>
      <c r="W475" s="44"/>
      <c r="X475" s="44"/>
      <c r="Y475" s="44"/>
      <c r="Z475" s="44"/>
      <c r="AB475" s="37" t="str">
        <f aca="false">TRIM($A475&amp;"")</f>
        <v/>
      </c>
      <c r="AC475" s="37" t="str">
        <f aca="false">IF(AB475="","",IFERROR(INDEX('Account Map'!$B:$B,MATCH(AB475,'Account Map'!$A:$A,0)),""))</f>
        <v/>
      </c>
      <c r="AD475" s="37" t="str">
        <f aca="false">IF(AB475="","",IFERROR(INDEX('Account Map'!$C:$C,MATCH(AB475,'Account Map'!$A:$A,0)),""))</f>
        <v/>
      </c>
      <c r="AE475" s="37" t="n">
        <f aca="false">IF(AND(AB475&lt;&gt;"",AC475="",COUNT($B475:$Z475)&gt;0,LEFT(AB475,5)&lt;&gt;"Total",AB475&lt;&gt;"Gross Profit",AB475&lt;&gt;"Net Profit",AB475&lt;&gt;"Operating Profit"),1,0)</f>
        <v>0</v>
      </c>
    </row>
    <row r="476" customFormat="false" ht="15" hidden="false" customHeight="false" outlineLevel="0" collapsed="false">
      <c r="B476" s="44"/>
      <c r="C476" s="44"/>
      <c r="D476" s="44"/>
      <c r="E476" s="44"/>
      <c r="F476" s="44"/>
      <c r="G476" s="44"/>
      <c r="H476" s="44"/>
      <c r="I476" s="44"/>
      <c r="J476" s="44"/>
      <c r="K476" s="44"/>
      <c r="L476" s="44"/>
      <c r="M476" s="44"/>
      <c r="N476" s="44"/>
      <c r="O476" s="44"/>
      <c r="P476" s="44"/>
      <c r="Q476" s="44"/>
      <c r="R476" s="44"/>
      <c r="S476" s="44"/>
      <c r="T476" s="44"/>
      <c r="U476" s="44"/>
      <c r="V476" s="44"/>
      <c r="W476" s="44"/>
      <c r="X476" s="44"/>
      <c r="Y476" s="44"/>
      <c r="Z476" s="44"/>
      <c r="AB476" s="37" t="str">
        <f aca="false">TRIM($A476&amp;"")</f>
        <v/>
      </c>
      <c r="AC476" s="37" t="str">
        <f aca="false">IF(AB476="","",IFERROR(INDEX('Account Map'!$B:$B,MATCH(AB476,'Account Map'!$A:$A,0)),""))</f>
        <v/>
      </c>
      <c r="AD476" s="37" t="str">
        <f aca="false">IF(AB476="","",IFERROR(INDEX('Account Map'!$C:$C,MATCH(AB476,'Account Map'!$A:$A,0)),""))</f>
        <v/>
      </c>
      <c r="AE476" s="37" t="n">
        <f aca="false">IF(AND(AB476&lt;&gt;"",AC476="",COUNT($B476:$Z476)&gt;0,LEFT(AB476,5)&lt;&gt;"Total",AB476&lt;&gt;"Gross Profit",AB476&lt;&gt;"Net Profit",AB476&lt;&gt;"Operating Profit"),1,0)</f>
        <v>0</v>
      </c>
    </row>
    <row r="477" customFormat="false" ht="15" hidden="false" customHeight="false" outlineLevel="0" collapsed="false">
      <c r="B477" s="44"/>
      <c r="C477" s="44"/>
      <c r="D477" s="44"/>
      <c r="E477" s="44"/>
      <c r="F477" s="44"/>
      <c r="G477" s="44"/>
      <c r="H477" s="44"/>
      <c r="I477" s="44"/>
      <c r="J477" s="44"/>
      <c r="K477" s="44"/>
      <c r="L477" s="44"/>
      <c r="M477" s="44"/>
      <c r="N477" s="44"/>
      <c r="O477" s="44"/>
      <c r="P477" s="44"/>
      <c r="Q477" s="44"/>
      <c r="R477" s="44"/>
      <c r="S477" s="44"/>
      <c r="T477" s="44"/>
      <c r="U477" s="44"/>
      <c r="V477" s="44"/>
      <c r="W477" s="44"/>
      <c r="X477" s="44"/>
      <c r="Y477" s="44"/>
      <c r="Z477" s="44"/>
      <c r="AB477" s="37" t="str">
        <f aca="false">TRIM($A477&amp;"")</f>
        <v/>
      </c>
      <c r="AC477" s="37" t="str">
        <f aca="false">IF(AB477="","",IFERROR(INDEX('Account Map'!$B:$B,MATCH(AB477,'Account Map'!$A:$A,0)),""))</f>
        <v/>
      </c>
      <c r="AD477" s="37" t="str">
        <f aca="false">IF(AB477="","",IFERROR(INDEX('Account Map'!$C:$C,MATCH(AB477,'Account Map'!$A:$A,0)),""))</f>
        <v/>
      </c>
      <c r="AE477" s="37" t="n">
        <f aca="false">IF(AND(AB477&lt;&gt;"",AC477="",COUNT($B477:$Z477)&gt;0,LEFT(AB477,5)&lt;&gt;"Total",AB477&lt;&gt;"Gross Profit",AB477&lt;&gt;"Net Profit",AB477&lt;&gt;"Operating Profit"),1,0)</f>
        <v>0</v>
      </c>
    </row>
    <row r="478" customFormat="false" ht="15" hidden="false" customHeight="false" outlineLevel="0" collapsed="false">
      <c r="B478" s="44"/>
      <c r="C478" s="44"/>
      <c r="D478" s="44"/>
      <c r="E478" s="44"/>
      <c r="F478" s="44"/>
      <c r="G478" s="44"/>
      <c r="H478" s="44"/>
      <c r="I478" s="44"/>
      <c r="J478" s="44"/>
      <c r="K478" s="44"/>
      <c r="L478" s="44"/>
      <c r="M478" s="44"/>
      <c r="N478" s="44"/>
      <c r="O478" s="44"/>
      <c r="P478" s="44"/>
      <c r="Q478" s="44"/>
      <c r="R478" s="44"/>
      <c r="S478" s="44"/>
      <c r="T478" s="44"/>
      <c r="U478" s="44"/>
      <c r="V478" s="44"/>
      <c r="W478" s="44"/>
      <c r="X478" s="44"/>
      <c r="Y478" s="44"/>
      <c r="Z478" s="44"/>
      <c r="AB478" s="37" t="str">
        <f aca="false">TRIM($A478&amp;"")</f>
        <v/>
      </c>
      <c r="AC478" s="37" t="str">
        <f aca="false">IF(AB478="","",IFERROR(INDEX('Account Map'!$B:$B,MATCH(AB478,'Account Map'!$A:$A,0)),""))</f>
        <v/>
      </c>
      <c r="AD478" s="37" t="str">
        <f aca="false">IF(AB478="","",IFERROR(INDEX('Account Map'!$C:$C,MATCH(AB478,'Account Map'!$A:$A,0)),""))</f>
        <v/>
      </c>
      <c r="AE478" s="37" t="n">
        <f aca="false">IF(AND(AB478&lt;&gt;"",AC478="",COUNT($B478:$Z478)&gt;0,LEFT(AB478,5)&lt;&gt;"Total",AB478&lt;&gt;"Gross Profit",AB478&lt;&gt;"Net Profit",AB478&lt;&gt;"Operating Profit"),1,0)</f>
        <v>0</v>
      </c>
    </row>
    <row r="479" customFormat="false" ht="15" hidden="false" customHeight="false" outlineLevel="0" collapsed="false">
      <c r="B479" s="44"/>
      <c r="C479" s="44"/>
      <c r="D479" s="44"/>
      <c r="E479" s="44"/>
      <c r="F479" s="44"/>
      <c r="G479" s="44"/>
      <c r="H479" s="44"/>
      <c r="I479" s="44"/>
      <c r="J479" s="44"/>
      <c r="K479" s="44"/>
      <c r="L479" s="44"/>
      <c r="M479" s="44"/>
      <c r="N479" s="44"/>
      <c r="O479" s="44"/>
      <c r="P479" s="44"/>
      <c r="Q479" s="44"/>
      <c r="R479" s="44"/>
      <c r="S479" s="44"/>
      <c r="T479" s="44"/>
      <c r="U479" s="44"/>
      <c r="V479" s="44"/>
      <c r="W479" s="44"/>
      <c r="X479" s="44"/>
      <c r="Y479" s="44"/>
      <c r="Z479" s="44"/>
      <c r="AB479" s="37" t="str">
        <f aca="false">TRIM($A479&amp;"")</f>
        <v/>
      </c>
      <c r="AC479" s="37" t="str">
        <f aca="false">IF(AB479="","",IFERROR(INDEX('Account Map'!$B:$B,MATCH(AB479,'Account Map'!$A:$A,0)),""))</f>
        <v/>
      </c>
      <c r="AD479" s="37" t="str">
        <f aca="false">IF(AB479="","",IFERROR(INDEX('Account Map'!$C:$C,MATCH(AB479,'Account Map'!$A:$A,0)),""))</f>
        <v/>
      </c>
      <c r="AE479" s="37" t="n">
        <f aca="false">IF(AND(AB479&lt;&gt;"",AC479="",COUNT($B479:$Z479)&gt;0,LEFT(AB479,5)&lt;&gt;"Total",AB479&lt;&gt;"Gross Profit",AB479&lt;&gt;"Net Profit",AB479&lt;&gt;"Operating Profit"),1,0)</f>
        <v>0</v>
      </c>
    </row>
    <row r="480" customFormat="false" ht="15" hidden="false" customHeight="false" outlineLevel="0" collapsed="false">
      <c r="B480" s="44"/>
      <c r="C480" s="44"/>
      <c r="D480" s="44"/>
      <c r="E480" s="44"/>
      <c r="F480" s="44"/>
      <c r="G480" s="44"/>
      <c r="H480" s="44"/>
      <c r="I480" s="44"/>
      <c r="J480" s="44"/>
      <c r="K480" s="44"/>
      <c r="L480" s="44"/>
      <c r="M480" s="44"/>
      <c r="N480" s="44"/>
      <c r="O480" s="44"/>
      <c r="P480" s="44"/>
      <c r="Q480" s="44"/>
      <c r="R480" s="44"/>
      <c r="S480" s="44"/>
      <c r="T480" s="44"/>
      <c r="U480" s="44"/>
      <c r="V480" s="44"/>
      <c r="W480" s="44"/>
      <c r="X480" s="44"/>
      <c r="Y480" s="44"/>
      <c r="Z480" s="44"/>
      <c r="AB480" s="37" t="str">
        <f aca="false">TRIM($A480&amp;"")</f>
        <v/>
      </c>
      <c r="AC480" s="37" t="str">
        <f aca="false">IF(AB480="","",IFERROR(INDEX('Account Map'!$B:$B,MATCH(AB480,'Account Map'!$A:$A,0)),""))</f>
        <v/>
      </c>
      <c r="AD480" s="37" t="str">
        <f aca="false">IF(AB480="","",IFERROR(INDEX('Account Map'!$C:$C,MATCH(AB480,'Account Map'!$A:$A,0)),""))</f>
        <v/>
      </c>
      <c r="AE480" s="37" t="n">
        <f aca="false">IF(AND(AB480&lt;&gt;"",AC480="",COUNT($B480:$Z480)&gt;0,LEFT(AB480,5)&lt;&gt;"Total",AB480&lt;&gt;"Gross Profit",AB480&lt;&gt;"Net Profit",AB480&lt;&gt;"Operating Profit"),1,0)</f>
        <v>0</v>
      </c>
    </row>
    <row r="481" customFormat="false" ht="15" hidden="false" customHeight="false" outlineLevel="0" collapsed="false">
      <c r="B481" s="44"/>
      <c r="C481" s="44"/>
      <c r="D481" s="44"/>
      <c r="E481" s="44"/>
      <c r="F481" s="44"/>
      <c r="G481" s="44"/>
      <c r="H481" s="44"/>
      <c r="I481" s="44"/>
      <c r="J481" s="44"/>
      <c r="K481" s="44"/>
      <c r="L481" s="44"/>
      <c r="M481" s="44"/>
      <c r="N481" s="44"/>
      <c r="O481" s="44"/>
      <c r="P481" s="44"/>
      <c r="Q481" s="44"/>
      <c r="R481" s="44"/>
      <c r="S481" s="44"/>
      <c r="T481" s="44"/>
      <c r="U481" s="44"/>
      <c r="V481" s="44"/>
      <c r="W481" s="44"/>
      <c r="X481" s="44"/>
      <c r="Y481" s="44"/>
      <c r="Z481" s="44"/>
      <c r="AB481" s="37" t="str">
        <f aca="false">TRIM($A481&amp;"")</f>
        <v/>
      </c>
      <c r="AC481" s="37" t="str">
        <f aca="false">IF(AB481="","",IFERROR(INDEX('Account Map'!$B:$B,MATCH(AB481,'Account Map'!$A:$A,0)),""))</f>
        <v/>
      </c>
      <c r="AD481" s="37" t="str">
        <f aca="false">IF(AB481="","",IFERROR(INDEX('Account Map'!$C:$C,MATCH(AB481,'Account Map'!$A:$A,0)),""))</f>
        <v/>
      </c>
      <c r="AE481" s="37" t="n">
        <f aca="false">IF(AND(AB481&lt;&gt;"",AC481="",COUNT($B481:$Z481)&gt;0,LEFT(AB481,5)&lt;&gt;"Total",AB481&lt;&gt;"Gross Profit",AB481&lt;&gt;"Net Profit",AB481&lt;&gt;"Operating Profit"),1,0)</f>
        <v>0</v>
      </c>
    </row>
    <row r="482" customFormat="false" ht="15" hidden="false" customHeight="false" outlineLevel="0" collapsed="false">
      <c r="B482" s="44"/>
      <c r="C482" s="44"/>
      <c r="D482" s="44"/>
      <c r="E482" s="44"/>
      <c r="F482" s="44"/>
      <c r="G482" s="44"/>
      <c r="H482" s="44"/>
      <c r="I482" s="44"/>
      <c r="J482" s="44"/>
      <c r="K482" s="44"/>
      <c r="L482" s="44"/>
      <c r="M482" s="44"/>
      <c r="N482" s="44"/>
      <c r="O482" s="44"/>
      <c r="P482" s="44"/>
      <c r="Q482" s="44"/>
      <c r="R482" s="44"/>
      <c r="S482" s="44"/>
      <c r="T482" s="44"/>
      <c r="U482" s="44"/>
      <c r="V482" s="44"/>
      <c r="W482" s="44"/>
      <c r="X482" s="44"/>
      <c r="Y482" s="44"/>
      <c r="Z482" s="44"/>
      <c r="AB482" s="37" t="str">
        <f aca="false">TRIM($A482&amp;"")</f>
        <v/>
      </c>
      <c r="AC482" s="37" t="str">
        <f aca="false">IF(AB482="","",IFERROR(INDEX('Account Map'!$B:$B,MATCH(AB482,'Account Map'!$A:$A,0)),""))</f>
        <v/>
      </c>
      <c r="AD482" s="37" t="str">
        <f aca="false">IF(AB482="","",IFERROR(INDEX('Account Map'!$C:$C,MATCH(AB482,'Account Map'!$A:$A,0)),""))</f>
        <v/>
      </c>
      <c r="AE482" s="37" t="n">
        <f aca="false">IF(AND(AB482&lt;&gt;"",AC482="",COUNT($B482:$Z482)&gt;0,LEFT(AB482,5)&lt;&gt;"Total",AB482&lt;&gt;"Gross Profit",AB482&lt;&gt;"Net Profit",AB482&lt;&gt;"Operating Profit"),1,0)</f>
        <v>0</v>
      </c>
    </row>
    <row r="483" customFormat="false" ht="15" hidden="false" customHeight="false" outlineLevel="0" collapsed="false">
      <c r="B483" s="44"/>
      <c r="C483" s="44"/>
      <c r="D483" s="44"/>
      <c r="E483" s="44"/>
      <c r="F483" s="44"/>
      <c r="G483" s="44"/>
      <c r="H483" s="44"/>
      <c r="I483" s="44"/>
      <c r="J483" s="44"/>
      <c r="K483" s="44"/>
      <c r="L483" s="44"/>
      <c r="M483" s="44"/>
      <c r="N483" s="44"/>
      <c r="O483" s="44"/>
      <c r="P483" s="44"/>
      <c r="Q483" s="44"/>
      <c r="R483" s="44"/>
      <c r="S483" s="44"/>
      <c r="T483" s="44"/>
      <c r="U483" s="44"/>
      <c r="V483" s="44"/>
      <c r="W483" s="44"/>
      <c r="X483" s="44"/>
      <c r="Y483" s="44"/>
      <c r="Z483" s="44"/>
      <c r="AB483" s="37" t="str">
        <f aca="false">TRIM($A483&amp;"")</f>
        <v/>
      </c>
      <c r="AC483" s="37" t="str">
        <f aca="false">IF(AB483="","",IFERROR(INDEX('Account Map'!$B:$B,MATCH(AB483,'Account Map'!$A:$A,0)),""))</f>
        <v/>
      </c>
      <c r="AD483" s="37" t="str">
        <f aca="false">IF(AB483="","",IFERROR(INDEX('Account Map'!$C:$C,MATCH(AB483,'Account Map'!$A:$A,0)),""))</f>
        <v/>
      </c>
      <c r="AE483" s="37" t="n">
        <f aca="false">IF(AND(AB483&lt;&gt;"",AC483="",COUNT($B483:$Z483)&gt;0,LEFT(AB483,5)&lt;&gt;"Total",AB483&lt;&gt;"Gross Profit",AB483&lt;&gt;"Net Profit",AB483&lt;&gt;"Operating Profit"),1,0)</f>
        <v>0</v>
      </c>
    </row>
    <row r="484" customFormat="false" ht="15" hidden="false" customHeight="false" outlineLevel="0" collapsed="false">
      <c r="B484" s="44"/>
      <c r="C484" s="44"/>
      <c r="D484" s="44"/>
      <c r="E484" s="44"/>
      <c r="F484" s="44"/>
      <c r="G484" s="44"/>
      <c r="H484" s="44"/>
      <c r="I484" s="44"/>
      <c r="J484" s="44"/>
      <c r="K484" s="44"/>
      <c r="L484" s="44"/>
      <c r="M484" s="44"/>
      <c r="N484" s="44"/>
      <c r="O484" s="44"/>
      <c r="P484" s="44"/>
      <c r="Q484" s="44"/>
      <c r="R484" s="44"/>
      <c r="S484" s="44"/>
      <c r="T484" s="44"/>
      <c r="U484" s="44"/>
      <c r="V484" s="44"/>
      <c r="W484" s="44"/>
      <c r="X484" s="44"/>
      <c r="Y484" s="44"/>
      <c r="Z484" s="44"/>
      <c r="AB484" s="37" t="str">
        <f aca="false">TRIM($A484&amp;"")</f>
        <v/>
      </c>
      <c r="AC484" s="37" t="str">
        <f aca="false">IF(AB484="","",IFERROR(INDEX('Account Map'!$B:$B,MATCH(AB484,'Account Map'!$A:$A,0)),""))</f>
        <v/>
      </c>
      <c r="AD484" s="37" t="str">
        <f aca="false">IF(AB484="","",IFERROR(INDEX('Account Map'!$C:$C,MATCH(AB484,'Account Map'!$A:$A,0)),""))</f>
        <v/>
      </c>
      <c r="AE484" s="37" t="n">
        <f aca="false">IF(AND(AB484&lt;&gt;"",AC484="",COUNT($B484:$Z484)&gt;0,LEFT(AB484,5)&lt;&gt;"Total",AB484&lt;&gt;"Gross Profit",AB484&lt;&gt;"Net Profit",AB484&lt;&gt;"Operating Profit"),1,0)</f>
        <v>0</v>
      </c>
    </row>
    <row r="485" customFormat="false" ht="15" hidden="false" customHeight="false" outlineLevel="0" collapsed="false">
      <c r="B485" s="44"/>
      <c r="C485" s="44"/>
      <c r="D485" s="44"/>
      <c r="E485" s="44"/>
      <c r="F485" s="44"/>
      <c r="G485" s="44"/>
      <c r="H485" s="44"/>
      <c r="I485" s="44"/>
      <c r="J485" s="44"/>
      <c r="K485" s="44"/>
      <c r="L485" s="44"/>
      <c r="M485" s="44"/>
      <c r="N485" s="44"/>
      <c r="O485" s="44"/>
      <c r="P485" s="44"/>
      <c r="Q485" s="44"/>
      <c r="R485" s="44"/>
      <c r="S485" s="44"/>
      <c r="T485" s="44"/>
      <c r="U485" s="44"/>
      <c r="V485" s="44"/>
      <c r="W485" s="44"/>
      <c r="X485" s="44"/>
      <c r="Y485" s="44"/>
      <c r="Z485" s="44"/>
      <c r="AB485" s="37" t="str">
        <f aca="false">TRIM($A485&amp;"")</f>
        <v/>
      </c>
      <c r="AC485" s="37" t="str">
        <f aca="false">IF(AB485="","",IFERROR(INDEX('Account Map'!$B:$B,MATCH(AB485,'Account Map'!$A:$A,0)),""))</f>
        <v/>
      </c>
      <c r="AD485" s="37" t="str">
        <f aca="false">IF(AB485="","",IFERROR(INDEX('Account Map'!$C:$C,MATCH(AB485,'Account Map'!$A:$A,0)),""))</f>
        <v/>
      </c>
      <c r="AE485" s="37" t="n">
        <f aca="false">IF(AND(AB485&lt;&gt;"",AC485="",COUNT($B485:$Z485)&gt;0,LEFT(AB485,5)&lt;&gt;"Total",AB485&lt;&gt;"Gross Profit",AB485&lt;&gt;"Net Profit",AB485&lt;&gt;"Operating Profit"),1,0)</f>
        <v>0</v>
      </c>
    </row>
    <row r="486" customFormat="false" ht="15" hidden="false" customHeight="false" outlineLevel="0" collapsed="false">
      <c r="B486" s="44"/>
      <c r="C486" s="44"/>
      <c r="D486" s="44"/>
      <c r="E486" s="44"/>
      <c r="F486" s="44"/>
      <c r="G486" s="44"/>
      <c r="H486" s="44"/>
      <c r="I486" s="44"/>
      <c r="J486" s="44"/>
      <c r="K486" s="44"/>
      <c r="L486" s="44"/>
      <c r="M486" s="44"/>
      <c r="N486" s="44"/>
      <c r="O486" s="44"/>
      <c r="P486" s="44"/>
      <c r="Q486" s="44"/>
      <c r="R486" s="44"/>
      <c r="S486" s="44"/>
      <c r="T486" s="44"/>
      <c r="U486" s="44"/>
      <c r="V486" s="44"/>
      <c r="W486" s="44"/>
      <c r="X486" s="44"/>
      <c r="Y486" s="44"/>
      <c r="Z486" s="44"/>
      <c r="AB486" s="37" t="str">
        <f aca="false">TRIM($A486&amp;"")</f>
        <v/>
      </c>
      <c r="AC486" s="37" t="str">
        <f aca="false">IF(AB486="","",IFERROR(INDEX('Account Map'!$B:$B,MATCH(AB486,'Account Map'!$A:$A,0)),""))</f>
        <v/>
      </c>
      <c r="AD486" s="37" t="str">
        <f aca="false">IF(AB486="","",IFERROR(INDEX('Account Map'!$C:$C,MATCH(AB486,'Account Map'!$A:$A,0)),""))</f>
        <v/>
      </c>
      <c r="AE486" s="37" t="n">
        <f aca="false">IF(AND(AB486&lt;&gt;"",AC486="",COUNT($B486:$Z486)&gt;0,LEFT(AB486,5)&lt;&gt;"Total",AB486&lt;&gt;"Gross Profit",AB486&lt;&gt;"Net Profit",AB486&lt;&gt;"Operating Profit"),1,0)</f>
        <v>0</v>
      </c>
    </row>
    <row r="487" customFormat="false" ht="15" hidden="false" customHeight="false" outlineLevel="0" collapsed="false">
      <c r="B487" s="44"/>
      <c r="C487" s="44"/>
      <c r="D487" s="44"/>
      <c r="E487" s="44"/>
      <c r="F487" s="44"/>
      <c r="G487" s="44"/>
      <c r="H487" s="44"/>
      <c r="I487" s="44"/>
      <c r="J487" s="44"/>
      <c r="K487" s="44"/>
      <c r="L487" s="44"/>
      <c r="M487" s="44"/>
      <c r="N487" s="44"/>
      <c r="O487" s="44"/>
      <c r="P487" s="44"/>
      <c r="Q487" s="44"/>
      <c r="R487" s="44"/>
      <c r="S487" s="44"/>
      <c r="T487" s="44"/>
      <c r="U487" s="44"/>
      <c r="V487" s="44"/>
      <c r="W487" s="44"/>
      <c r="X487" s="44"/>
      <c r="Y487" s="44"/>
      <c r="Z487" s="44"/>
      <c r="AB487" s="37" t="str">
        <f aca="false">TRIM($A487&amp;"")</f>
        <v/>
      </c>
      <c r="AC487" s="37" t="str">
        <f aca="false">IF(AB487="","",IFERROR(INDEX('Account Map'!$B:$B,MATCH(AB487,'Account Map'!$A:$A,0)),""))</f>
        <v/>
      </c>
      <c r="AD487" s="37" t="str">
        <f aca="false">IF(AB487="","",IFERROR(INDEX('Account Map'!$C:$C,MATCH(AB487,'Account Map'!$A:$A,0)),""))</f>
        <v/>
      </c>
      <c r="AE487" s="37" t="n">
        <f aca="false">IF(AND(AB487&lt;&gt;"",AC487="",COUNT($B487:$Z487)&gt;0,LEFT(AB487,5)&lt;&gt;"Total",AB487&lt;&gt;"Gross Profit",AB487&lt;&gt;"Net Profit",AB487&lt;&gt;"Operating Profit"),1,0)</f>
        <v>0</v>
      </c>
    </row>
    <row r="488" customFormat="false" ht="15" hidden="false" customHeight="false" outlineLevel="0" collapsed="false">
      <c r="B488" s="44"/>
      <c r="C488" s="44"/>
      <c r="D488" s="44"/>
      <c r="E488" s="44"/>
      <c r="F488" s="44"/>
      <c r="G488" s="44"/>
      <c r="H488" s="44"/>
      <c r="I488" s="44"/>
      <c r="J488" s="44"/>
      <c r="K488" s="44"/>
      <c r="L488" s="44"/>
      <c r="M488" s="44"/>
      <c r="N488" s="44"/>
      <c r="O488" s="44"/>
      <c r="P488" s="44"/>
      <c r="Q488" s="44"/>
      <c r="R488" s="44"/>
      <c r="S488" s="44"/>
      <c r="T488" s="44"/>
      <c r="U488" s="44"/>
      <c r="V488" s="44"/>
      <c r="W488" s="44"/>
      <c r="X488" s="44"/>
      <c r="Y488" s="44"/>
      <c r="Z488" s="44"/>
      <c r="AB488" s="37" t="str">
        <f aca="false">TRIM($A488&amp;"")</f>
        <v/>
      </c>
      <c r="AC488" s="37" t="str">
        <f aca="false">IF(AB488="","",IFERROR(INDEX('Account Map'!$B:$B,MATCH(AB488,'Account Map'!$A:$A,0)),""))</f>
        <v/>
      </c>
      <c r="AD488" s="37" t="str">
        <f aca="false">IF(AB488="","",IFERROR(INDEX('Account Map'!$C:$C,MATCH(AB488,'Account Map'!$A:$A,0)),""))</f>
        <v/>
      </c>
      <c r="AE488" s="37" t="n">
        <f aca="false">IF(AND(AB488&lt;&gt;"",AC488="",COUNT($B488:$Z488)&gt;0,LEFT(AB488,5)&lt;&gt;"Total",AB488&lt;&gt;"Gross Profit",AB488&lt;&gt;"Net Profit",AB488&lt;&gt;"Operating Profit"),1,0)</f>
        <v>0</v>
      </c>
    </row>
    <row r="489" customFormat="false" ht="15" hidden="false" customHeight="false" outlineLevel="0" collapsed="false">
      <c r="B489" s="44"/>
      <c r="C489" s="44"/>
      <c r="D489" s="44"/>
      <c r="E489" s="44"/>
      <c r="F489" s="44"/>
      <c r="G489" s="44"/>
      <c r="H489" s="44"/>
      <c r="I489" s="44"/>
      <c r="J489" s="44"/>
      <c r="K489" s="44"/>
      <c r="L489" s="44"/>
      <c r="M489" s="44"/>
      <c r="N489" s="44"/>
      <c r="O489" s="44"/>
      <c r="P489" s="44"/>
      <c r="Q489" s="44"/>
      <c r="R489" s="44"/>
      <c r="S489" s="44"/>
      <c r="T489" s="44"/>
      <c r="U489" s="44"/>
      <c r="V489" s="44"/>
      <c r="W489" s="44"/>
      <c r="X489" s="44"/>
      <c r="Y489" s="44"/>
      <c r="Z489" s="44"/>
      <c r="AB489" s="37" t="str">
        <f aca="false">TRIM($A489&amp;"")</f>
        <v/>
      </c>
      <c r="AC489" s="37" t="str">
        <f aca="false">IF(AB489="","",IFERROR(INDEX('Account Map'!$B:$B,MATCH(AB489,'Account Map'!$A:$A,0)),""))</f>
        <v/>
      </c>
      <c r="AD489" s="37" t="str">
        <f aca="false">IF(AB489="","",IFERROR(INDEX('Account Map'!$C:$C,MATCH(AB489,'Account Map'!$A:$A,0)),""))</f>
        <v/>
      </c>
      <c r="AE489" s="37" t="n">
        <f aca="false">IF(AND(AB489&lt;&gt;"",AC489="",COUNT($B489:$Z489)&gt;0,LEFT(AB489,5)&lt;&gt;"Total",AB489&lt;&gt;"Gross Profit",AB489&lt;&gt;"Net Profit",AB489&lt;&gt;"Operating Profit"),1,0)</f>
        <v>0</v>
      </c>
    </row>
    <row r="490" customFormat="false" ht="15" hidden="false" customHeight="false" outlineLevel="0" collapsed="false">
      <c r="B490" s="44"/>
      <c r="C490" s="44"/>
      <c r="D490" s="44"/>
      <c r="E490" s="44"/>
      <c r="F490" s="44"/>
      <c r="G490" s="44"/>
      <c r="H490" s="44"/>
      <c r="I490" s="44"/>
      <c r="J490" s="44"/>
      <c r="K490" s="44"/>
      <c r="L490" s="44"/>
      <c r="M490" s="44"/>
      <c r="N490" s="44"/>
      <c r="O490" s="44"/>
      <c r="P490" s="44"/>
      <c r="Q490" s="44"/>
      <c r="R490" s="44"/>
      <c r="S490" s="44"/>
      <c r="T490" s="44"/>
      <c r="U490" s="44"/>
      <c r="V490" s="44"/>
      <c r="W490" s="44"/>
      <c r="X490" s="44"/>
      <c r="Y490" s="44"/>
      <c r="Z490" s="44"/>
      <c r="AB490" s="37" t="str">
        <f aca="false">TRIM($A490&amp;"")</f>
        <v/>
      </c>
      <c r="AC490" s="37" t="str">
        <f aca="false">IF(AB490="","",IFERROR(INDEX('Account Map'!$B:$B,MATCH(AB490,'Account Map'!$A:$A,0)),""))</f>
        <v/>
      </c>
      <c r="AD490" s="37" t="str">
        <f aca="false">IF(AB490="","",IFERROR(INDEX('Account Map'!$C:$C,MATCH(AB490,'Account Map'!$A:$A,0)),""))</f>
        <v/>
      </c>
      <c r="AE490" s="37" t="n">
        <f aca="false">IF(AND(AB490&lt;&gt;"",AC490="",COUNT($B490:$Z490)&gt;0,LEFT(AB490,5)&lt;&gt;"Total",AB490&lt;&gt;"Gross Profit",AB490&lt;&gt;"Net Profit",AB490&lt;&gt;"Operating Profit"),1,0)</f>
        <v>0</v>
      </c>
    </row>
    <row r="491" customFormat="false" ht="15" hidden="false" customHeight="false" outlineLevel="0" collapsed="false">
      <c r="B491" s="44"/>
      <c r="C491" s="44"/>
      <c r="D491" s="44"/>
      <c r="E491" s="44"/>
      <c r="F491" s="44"/>
      <c r="G491" s="44"/>
      <c r="H491" s="44"/>
      <c r="I491" s="44"/>
      <c r="J491" s="44"/>
      <c r="K491" s="44"/>
      <c r="L491" s="44"/>
      <c r="M491" s="44"/>
      <c r="N491" s="44"/>
      <c r="O491" s="44"/>
      <c r="P491" s="44"/>
      <c r="Q491" s="44"/>
      <c r="R491" s="44"/>
      <c r="S491" s="44"/>
      <c r="T491" s="44"/>
      <c r="U491" s="44"/>
      <c r="V491" s="44"/>
      <c r="W491" s="44"/>
      <c r="X491" s="44"/>
      <c r="Y491" s="44"/>
      <c r="Z491" s="44"/>
      <c r="AB491" s="37" t="str">
        <f aca="false">TRIM($A491&amp;"")</f>
        <v/>
      </c>
      <c r="AC491" s="37" t="str">
        <f aca="false">IF(AB491="","",IFERROR(INDEX('Account Map'!$B:$B,MATCH(AB491,'Account Map'!$A:$A,0)),""))</f>
        <v/>
      </c>
      <c r="AD491" s="37" t="str">
        <f aca="false">IF(AB491="","",IFERROR(INDEX('Account Map'!$C:$C,MATCH(AB491,'Account Map'!$A:$A,0)),""))</f>
        <v/>
      </c>
      <c r="AE491" s="37" t="n">
        <f aca="false">IF(AND(AB491&lt;&gt;"",AC491="",COUNT($B491:$Z491)&gt;0,LEFT(AB491,5)&lt;&gt;"Total",AB491&lt;&gt;"Gross Profit",AB491&lt;&gt;"Net Profit",AB491&lt;&gt;"Operating Profit"),1,0)</f>
        <v>0</v>
      </c>
    </row>
    <row r="492" customFormat="false" ht="15" hidden="false" customHeight="false" outlineLevel="0" collapsed="false">
      <c r="B492" s="44"/>
      <c r="C492" s="44"/>
      <c r="D492" s="44"/>
      <c r="E492" s="44"/>
      <c r="F492" s="44"/>
      <c r="G492" s="44"/>
      <c r="H492" s="44"/>
      <c r="I492" s="44"/>
      <c r="J492" s="44"/>
      <c r="K492" s="44"/>
      <c r="L492" s="44"/>
      <c r="M492" s="44"/>
      <c r="N492" s="44"/>
      <c r="O492" s="44"/>
      <c r="P492" s="44"/>
      <c r="Q492" s="44"/>
      <c r="R492" s="44"/>
      <c r="S492" s="44"/>
      <c r="T492" s="44"/>
      <c r="U492" s="44"/>
      <c r="V492" s="44"/>
      <c r="W492" s="44"/>
      <c r="X492" s="44"/>
      <c r="Y492" s="44"/>
      <c r="Z492" s="44"/>
      <c r="AB492" s="37" t="str">
        <f aca="false">TRIM($A492&amp;"")</f>
        <v/>
      </c>
      <c r="AC492" s="37" t="str">
        <f aca="false">IF(AB492="","",IFERROR(INDEX('Account Map'!$B:$B,MATCH(AB492,'Account Map'!$A:$A,0)),""))</f>
        <v/>
      </c>
      <c r="AD492" s="37" t="str">
        <f aca="false">IF(AB492="","",IFERROR(INDEX('Account Map'!$C:$C,MATCH(AB492,'Account Map'!$A:$A,0)),""))</f>
        <v/>
      </c>
      <c r="AE492" s="37" t="n">
        <f aca="false">IF(AND(AB492&lt;&gt;"",AC492="",COUNT($B492:$Z492)&gt;0,LEFT(AB492,5)&lt;&gt;"Total",AB492&lt;&gt;"Gross Profit",AB492&lt;&gt;"Net Profit",AB492&lt;&gt;"Operating Profit"),1,0)</f>
        <v>0</v>
      </c>
    </row>
    <row r="493" customFormat="false" ht="15" hidden="false" customHeight="false" outlineLevel="0" collapsed="false">
      <c r="B493" s="44"/>
      <c r="C493" s="44"/>
      <c r="D493" s="44"/>
      <c r="E493" s="44"/>
      <c r="F493" s="44"/>
      <c r="G493" s="44"/>
      <c r="H493" s="44"/>
      <c r="I493" s="44"/>
      <c r="J493" s="44"/>
      <c r="K493" s="44"/>
      <c r="L493" s="44"/>
      <c r="M493" s="44"/>
      <c r="N493" s="44"/>
      <c r="O493" s="44"/>
      <c r="P493" s="44"/>
      <c r="Q493" s="44"/>
      <c r="R493" s="44"/>
      <c r="S493" s="44"/>
      <c r="T493" s="44"/>
      <c r="U493" s="44"/>
      <c r="V493" s="44"/>
      <c r="W493" s="44"/>
      <c r="X493" s="44"/>
      <c r="Y493" s="44"/>
      <c r="Z493" s="44"/>
      <c r="AB493" s="37" t="str">
        <f aca="false">TRIM($A493&amp;"")</f>
        <v/>
      </c>
      <c r="AC493" s="37" t="str">
        <f aca="false">IF(AB493="","",IFERROR(INDEX('Account Map'!$B:$B,MATCH(AB493,'Account Map'!$A:$A,0)),""))</f>
        <v/>
      </c>
      <c r="AD493" s="37" t="str">
        <f aca="false">IF(AB493="","",IFERROR(INDEX('Account Map'!$C:$C,MATCH(AB493,'Account Map'!$A:$A,0)),""))</f>
        <v/>
      </c>
      <c r="AE493" s="37" t="n">
        <f aca="false">IF(AND(AB493&lt;&gt;"",AC493="",COUNT($B493:$Z493)&gt;0,LEFT(AB493,5)&lt;&gt;"Total",AB493&lt;&gt;"Gross Profit",AB493&lt;&gt;"Net Profit",AB493&lt;&gt;"Operating Profit"),1,0)</f>
        <v>0</v>
      </c>
    </row>
    <row r="494" customFormat="false" ht="15" hidden="false" customHeight="false" outlineLevel="0" collapsed="false">
      <c r="B494" s="44"/>
      <c r="C494" s="44"/>
      <c r="D494" s="44"/>
      <c r="E494" s="44"/>
      <c r="F494" s="44"/>
      <c r="G494" s="44"/>
      <c r="H494" s="44"/>
      <c r="I494" s="44"/>
      <c r="J494" s="44"/>
      <c r="K494" s="44"/>
      <c r="L494" s="44"/>
      <c r="M494" s="44"/>
      <c r="N494" s="44"/>
      <c r="O494" s="44"/>
      <c r="P494" s="44"/>
      <c r="Q494" s="44"/>
      <c r="R494" s="44"/>
      <c r="S494" s="44"/>
      <c r="T494" s="44"/>
      <c r="U494" s="44"/>
      <c r="V494" s="44"/>
      <c r="W494" s="44"/>
      <c r="X494" s="44"/>
      <c r="Y494" s="44"/>
      <c r="Z494" s="44"/>
      <c r="AB494" s="37" t="str">
        <f aca="false">TRIM($A494&amp;"")</f>
        <v/>
      </c>
      <c r="AC494" s="37" t="str">
        <f aca="false">IF(AB494="","",IFERROR(INDEX('Account Map'!$B:$B,MATCH(AB494,'Account Map'!$A:$A,0)),""))</f>
        <v/>
      </c>
      <c r="AD494" s="37" t="str">
        <f aca="false">IF(AB494="","",IFERROR(INDEX('Account Map'!$C:$C,MATCH(AB494,'Account Map'!$A:$A,0)),""))</f>
        <v/>
      </c>
      <c r="AE494" s="37" t="n">
        <f aca="false">IF(AND(AB494&lt;&gt;"",AC494="",COUNT($B494:$Z494)&gt;0,LEFT(AB494,5)&lt;&gt;"Total",AB494&lt;&gt;"Gross Profit",AB494&lt;&gt;"Net Profit",AB494&lt;&gt;"Operating Profit"),1,0)</f>
        <v>0</v>
      </c>
    </row>
    <row r="495" customFormat="false" ht="15" hidden="false" customHeight="false" outlineLevel="0" collapsed="false">
      <c r="B495" s="44"/>
      <c r="C495" s="44"/>
      <c r="D495" s="44"/>
      <c r="E495" s="44"/>
      <c r="F495" s="44"/>
      <c r="G495" s="44"/>
      <c r="H495" s="44"/>
      <c r="I495" s="44"/>
      <c r="J495" s="44"/>
      <c r="K495" s="44"/>
      <c r="L495" s="44"/>
      <c r="M495" s="44"/>
      <c r="N495" s="44"/>
      <c r="O495" s="44"/>
      <c r="P495" s="44"/>
      <c r="Q495" s="44"/>
      <c r="R495" s="44"/>
      <c r="S495" s="44"/>
      <c r="T495" s="44"/>
      <c r="U495" s="44"/>
      <c r="V495" s="44"/>
      <c r="W495" s="44"/>
      <c r="X495" s="44"/>
      <c r="Y495" s="44"/>
      <c r="Z495" s="44"/>
      <c r="AB495" s="37" t="str">
        <f aca="false">TRIM($A495&amp;"")</f>
        <v/>
      </c>
      <c r="AC495" s="37" t="str">
        <f aca="false">IF(AB495="","",IFERROR(INDEX('Account Map'!$B:$B,MATCH(AB495,'Account Map'!$A:$A,0)),""))</f>
        <v/>
      </c>
      <c r="AD495" s="37" t="str">
        <f aca="false">IF(AB495="","",IFERROR(INDEX('Account Map'!$C:$C,MATCH(AB495,'Account Map'!$A:$A,0)),""))</f>
        <v/>
      </c>
      <c r="AE495" s="37" t="n">
        <f aca="false">IF(AND(AB495&lt;&gt;"",AC495="",COUNT($B495:$Z495)&gt;0,LEFT(AB495,5)&lt;&gt;"Total",AB495&lt;&gt;"Gross Profit",AB495&lt;&gt;"Net Profit",AB495&lt;&gt;"Operating Profit"),1,0)</f>
        <v>0</v>
      </c>
    </row>
    <row r="496" customFormat="false" ht="15" hidden="false" customHeight="false" outlineLevel="0" collapsed="false">
      <c r="B496" s="44"/>
      <c r="C496" s="44"/>
      <c r="D496" s="44"/>
      <c r="E496" s="44"/>
      <c r="F496" s="44"/>
      <c r="G496" s="44"/>
      <c r="H496" s="44"/>
      <c r="I496" s="44"/>
      <c r="J496" s="44"/>
      <c r="K496" s="44"/>
      <c r="L496" s="44"/>
      <c r="M496" s="44"/>
      <c r="N496" s="44"/>
      <c r="O496" s="44"/>
      <c r="P496" s="44"/>
      <c r="Q496" s="44"/>
      <c r="R496" s="44"/>
      <c r="S496" s="44"/>
      <c r="T496" s="44"/>
      <c r="U496" s="44"/>
      <c r="V496" s="44"/>
      <c r="W496" s="44"/>
      <c r="X496" s="44"/>
      <c r="Y496" s="44"/>
      <c r="Z496" s="44"/>
      <c r="AB496" s="37" t="str">
        <f aca="false">TRIM($A496&amp;"")</f>
        <v/>
      </c>
      <c r="AC496" s="37" t="str">
        <f aca="false">IF(AB496="","",IFERROR(INDEX('Account Map'!$B:$B,MATCH(AB496,'Account Map'!$A:$A,0)),""))</f>
        <v/>
      </c>
      <c r="AD496" s="37" t="str">
        <f aca="false">IF(AB496="","",IFERROR(INDEX('Account Map'!$C:$C,MATCH(AB496,'Account Map'!$A:$A,0)),""))</f>
        <v/>
      </c>
      <c r="AE496" s="37" t="n">
        <f aca="false">IF(AND(AB496&lt;&gt;"",AC496="",COUNT($B496:$Z496)&gt;0,LEFT(AB496,5)&lt;&gt;"Total",AB496&lt;&gt;"Gross Profit",AB496&lt;&gt;"Net Profit",AB496&lt;&gt;"Operating Profit"),1,0)</f>
        <v>0</v>
      </c>
    </row>
    <row r="497" customFormat="false" ht="15" hidden="false" customHeight="false" outlineLevel="0" collapsed="false">
      <c r="B497" s="44"/>
      <c r="C497" s="44"/>
      <c r="D497" s="44"/>
      <c r="E497" s="44"/>
      <c r="F497" s="44"/>
      <c r="G497" s="44"/>
      <c r="H497" s="44"/>
      <c r="I497" s="44"/>
      <c r="J497" s="44"/>
      <c r="K497" s="44"/>
      <c r="L497" s="44"/>
      <c r="M497" s="44"/>
      <c r="N497" s="44"/>
      <c r="O497" s="44"/>
      <c r="P497" s="44"/>
      <c r="Q497" s="44"/>
      <c r="R497" s="44"/>
      <c r="S497" s="44"/>
      <c r="T497" s="44"/>
      <c r="U497" s="44"/>
      <c r="V497" s="44"/>
      <c r="W497" s="44"/>
      <c r="X497" s="44"/>
      <c r="Y497" s="44"/>
      <c r="Z497" s="44"/>
      <c r="AB497" s="37" t="str">
        <f aca="false">TRIM($A497&amp;"")</f>
        <v/>
      </c>
      <c r="AC497" s="37" t="str">
        <f aca="false">IF(AB497="","",IFERROR(INDEX('Account Map'!$B:$B,MATCH(AB497,'Account Map'!$A:$A,0)),""))</f>
        <v/>
      </c>
      <c r="AD497" s="37" t="str">
        <f aca="false">IF(AB497="","",IFERROR(INDEX('Account Map'!$C:$C,MATCH(AB497,'Account Map'!$A:$A,0)),""))</f>
        <v/>
      </c>
      <c r="AE497" s="37" t="n">
        <f aca="false">IF(AND(AB497&lt;&gt;"",AC497="",COUNT($B497:$Z497)&gt;0,LEFT(AB497,5)&lt;&gt;"Total",AB497&lt;&gt;"Gross Profit",AB497&lt;&gt;"Net Profit",AB497&lt;&gt;"Operating Profit"),1,0)</f>
        <v>0</v>
      </c>
    </row>
    <row r="498" customFormat="false" ht="15" hidden="false" customHeight="false" outlineLevel="0" collapsed="false">
      <c r="B498" s="44"/>
      <c r="C498" s="44"/>
      <c r="D498" s="44"/>
      <c r="E498" s="44"/>
      <c r="F498" s="44"/>
      <c r="G498" s="44"/>
      <c r="H498" s="44"/>
      <c r="I498" s="44"/>
      <c r="J498" s="44"/>
      <c r="K498" s="44"/>
      <c r="L498" s="44"/>
      <c r="M498" s="44"/>
      <c r="N498" s="44"/>
      <c r="O498" s="44"/>
      <c r="P498" s="44"/>
      <c r="Q498" s="44"/>
      <c r="R498" s="44"/>
      <c r="S498" s="44"/>
      <c r="T498" s="44"/>
      <c r="U498" s="44"/>
      <c r="V498" s="44"/>
      <c r="W498" s="44"/>
      <c r="X498" s="44"/>
      <c r="Y498" s="44"/>
      <c r="Z498" s="44"/>
      <c r="AB498" s="37" t="str">
        <f aca="false">TRIM($A498&amp;"")</f>
        <v/>
      </c>
      <c r="AC498" s="37" t="str">
        <f aca="false">IF(AB498="","",IFERROR(INDEX('Account Map'!$B:$B,MATCH(AB498,'Account Map'!$A:$A,0)),""))</f>
        <v/>
      </c>
      <c r="AD498" s="37" t="str">
        <f aca="false">IF(AB498="","",IFERROR(INDEX('Account Map'!$C:$C,MATCH(AB498,'Account Map'!$A:$A,0)),""))</f>
        <v/>
      </c>
      <c r="AE498" s="37" t="n">
        <f aca="false">IF(AND(AB498&lt;&gt;"",AC498="",COUNT($B498:$Z498)&gt;0,LEFT(AB498,5)&lt;&gt;"Total",AB498&lt;&gt;"Gross Profit",AB498&lt;&gt;"Net Profit",AB498&lt;&gt;"Operating Profit"),1,0)</f>
        <v>0</v>
      </c>
    </row>
    <row r="499" customFormat="false" ht="15" hidden="false" customHeight="false" outlineLevel="0" collapsed="false">
      <c r="B499" s="44"/>
      <c r="C499" s="44"/>
      <c r="D499" s="44"/>
      <c r="E499" s="44"/>
      <c r="F499" s="44"/>
      <c r="G499" s="44"/>
      <c r="H499" s="44"/>
      <c r="I499" s="44"/>
      <c r="J499" s="44"/>
      <c r="K499" s="44"/>
      <c r="L499" s="44"/>
      <c r="M499" s="44"/>
      <c r="N499" s="44"/>
      <c r="O499" s="44"/>
      <c r="P499" s="44"/>
      <c r="Q499" s="44"/>
      <c r="R499" s="44"/>
      <c r="S499" s="44"/>
      <c r="T499" s="44"/>
      <c r="U499" s="44"/>
      <c r="V499" s="44"/>
      <c r="W499" s="44"/>
      <c r="X499" s="44"/>
      <c r="Y499" s="44"/>
      <c r="Z499" s="44"/>
      <c r="AB499" s="37" t="str">
        <f aca="false">TRIM($A499&amp;"")</f>
        <v/>
      </c>
      <c r="AC499" s="37" t="str">
        <f aca="false">IF(AB499="","",IFERROR(INDEX('Account Map'!$B:$B,MATCH(AB499,'Account Map'!$A:$A,0)),""))</f>
        <v/>
      </c>
      <c r="AD499" s="37" t="str">
        <f aca="false">IF(AB499="","",IFERROR(INDEX('Account Map'!$C:$C,MATCH(AB499,'Account Map'!$A:$A,0)),""))</f>
        <v/>
      </c>
      <c r="AE499" s="37" t="n">
        <f aca="false">IF(AND(AB499&lt;&gt;"",AC499="",COUNT($B499:$Z499)&gt;0,LEFT(AB499,5)&lt;&gt;"Total",AB499&lt;&gt;"Gross Profit",AB499&lt;&gt;"Net Profit",AB499&lt;&gt;"Operating Profit"),1,0)</f>
        <v>0</v>
      </c>
    </row>
    <row r="500" customFormat="false" ht="15" hidden="false" customHeight="false" outlineLevel="0" collapsed="false">
      <c r="B500" s="44"/>
      <c r="C500" s="44"/>
      <c r="D500" s="44"/>
      <c r="E500" s="44"/>
      <c r="F500" s="44"/>
      <c r="G500" s="44"/>
      <c r="H500" s="44"/>
      <c r="I500" s="44"/>
      <c r="J500" s="44"/>
      <c r="K500" s="44"/>
      <c r="L500" s="44"/>
      <c r="M500" s="44"/>
      <c r="N500" s="44"/>
      <c r="O500" s="44"/>
      <c r="P500" s="44"/>
      <c r="Q500" s="44"/>
      <c r="R500" s="44"/>
      <c r="S500" s="44"/>
      <c r="T500" s="44"/>
      <c r="U500" s="44"/>
      <c r="V500" s="44"/>
      <c r="W500" s="44"/>
      <c r="X500" s="44"/>
      <c r="Y500" s="44"/>
      <c r="Z500" s="44"/>
      <c r="AB500" s="37" t="str">
        <f aca="false">TRIM($A500&amp;"")</f>
        <v/>
      </c>
      <c r="AC500" s="37" t="str">
        <f aca="false">IF(AB500="","",IFERROR(INDEX('Account Map'!$B:$B,MATCH(AB500,'Account Map'!$A:$A,0)),""))</f>
        <v/>
      </c>
      <c r="AD500" s="37" t="str">
        <f aca="false">IF(AB500="","",IFERROR(INDEX('Account Map'!$C:$C,MATCH(AB500,'Account Map'!$A:$A,0)),""))</f>
        <v/>
      </c>
      <c r="AE500" s="37" t="n">
        <f aca="false">IF(AND(AB500&lt;&gt;"",AC500="",COUNT($B500:$Z500)&gt;0,LEFT(AB500,5)&lt;&gt;"Total",AB500&lt;&gt;"Gross Profit",AB500&lt;&gt;"Net Profit",AB500&lt;&gt;"Operating Profit"),1,0)</f>
        <v>0</v>
      </c>
    </row>
    <row r="501" customFormat="false" ht="15" hidden="false" customHeight="false" outlineLevel="0" collapsed="false">
      <c r="B501" s="44"/>
      <c r="C501" s="44"/>
      <c r="D501" s="44"/>
      <c r="E501" s="44"/>
      <c r="F501" s="44"/>
      <c r="G501" s="44"/>
      <c r="H501" s="44"/>
      <c r="I501" s="44"/>
      <c r="J501" s="44"/>
      <c r="K501" s="44"/>
      <c r="L501" s="44"/>
      <c r="M501" s="44"/>
      <c r="N501" s="44"/>
      <c r="O501" s="44"/>
      <c r="P501" s="44"/>
      <c r="Q501" s="44"/>
      <c r="R501" s="44"/>
      <c r="S501" s="44"/>
      <c r="T501" s="44"/>
      <c r="U501" s="44"/>
      <c r="V501" s="44"/>
      <c r="W501" s="44"/>
      <c r="X501" s="44"/>
      <c r="Y501" s="44"/>
      <c r="Z501" s="44"/>
      <c r="AB501" s="37" t="str">
        <f aca="false">TRIM($A501&amp;"")</f>
        <v/>
      </c>
      <c r="AC501" s="37" t="str">
        <f aca="false">IF(AB501="","",IFERROR(INDEX('Account Map'!$B:$B,MATCH(AB501,'Account Map'!$A:$A,0)),""))</f>
        <v/>
      </c>
      <c r="AD501" s="37" t="str">
        <f aca="false">IF(AB501="","",IFERROR(INDEX('Account Map'!$C:$C,MATCH(AB501,'Account Map'!$A:$A,0)),""))</f>
        <v/>
      </c>
      <c r="AE501" s="37" t="n">
        <f aca="false">IF(AND(AB501&lt;&gt;"",AC501="",COUNT($B501:$Z501)&gt;0,LEFT(AB501,5)&lt;&gt;"Total",AB501&lt;&gt;"Gross Profit",AB501&lt;&gt;"Net Profit",AB501&lt;&gt;"Operating Profit"),1,0)</f>
        <v>0</v>
      </c>
    </row>
    <row r="502" customFormat="false" ht="15" hidden="false" customHeight="false" outlineLevel="0" collapsed="false">
      <c r="B502" s="44"/>
      <c r="C502" s="44"/>
      <c r="D502" s="44"/>
      <c r="E502" s="44"/>
      <c r="F502" s="44"/>
      <c r="G502" s="44"/>
      <c r="H502" s="44"/>
      <c r="I502" s="44"/>
      <c r="J502" s="44"/>
      <c r="K502" s="44"/>
      <c r="L502" s="44"/>
      <c r="M502" s="44"/>
      <c r="N502" s="44"/>
      <c r="O502" s="44"/>
      <c r="P502" s="44"/>
      <c r="Q502" s="44"/>
      <c r="R502" s="44"/>
      <c r="S502" s="44"/>
      <c r="T502" s="44"/>
      <c r="U502" s="44"/>
      <c r="V502" s="44"/>
      <c r="W502" s="44"/>
      <c r="X502" s="44"/>
      <c r="Y502" s="44"/>
      <c r="Z502" s="44"/>
      <c r="AB502" s="37" t="str">
        <f aca="false">TRIM($A502&amp;"")</f>
        <v/>
      </c>
      <c r="AC502" s="37" t="str">
        <f aca="false">IF(AB502="","",IFERROR(INDEX('Account Map'!$B:$B,MATCH(AB502,'Account Map'!$A:$A,0)),""))</f>
        <v/>
      </c>
      <c r="AD502" s="37" t="str">
        <f aca="false">IF(AB502="","",IFERROR(INDEX('Account Map'!$C:$C,MATCH(AB502,'Account Map'!$A:$A,0)),""))</f>
        <v/>
      </c>
      <c r="AE502" s="37" t="n">
        <f aca="false">IF(AND(AB502&lt;&gt;"",AC502="",COUNT($B502:$Z502)&gt;0,LEFT(AB502,5)&lt;&gt;"Total",AB502&lt;&gt;"Gross Profit",AB502&lt;&gt;"Net Profit",AB502&lt;&gt;"Operating Profit"),1,0)</f>
        <v>0</v>
      </c>
    </row>
    <row r="503" customFormat="false" ht="15" hidden="false" customHeight="false" outlineLevel="0" collapsed="false">
      <c r="B503" s="44"/>
      <c r="C503" s="44"/>
      <c r="D503" s="44"/>
      <c r="E503" s="44"/>
      <c r="F503" s="44"/>
      <c r="G503" s="44"/>
      <c r="H503" s="44"/>
      <c r="I503" s="44"/>
      <c r="J503" s="44"/>
      <c r="K503" s="44"/>
      <c r="L503" s="44"/>
      <c r="M503" s="44"/>
      <c r="N503" s="44"/>
      <c r="O503" s="44"/>
      <c r="P503" s="44"/>
      <c r="Q503" s="44"/>
      <c r="R503" s="44"/>
      <c r="S503" s="44"/>
      <c r="T503" s="44"/>
      <c r="U503" s="44"/>
      <c r="V503" s="44"/>
      <c r="W503" s="44"/>
      <c r="X503" s="44"/>
      <c r="Y503" s="44"/>
      <c r="Z503" s="44"/>
      <c r="AB503" s="37" t="str">
        <f aca="false">TRIM($A503&amp;"")</f>
        <v/>
      </c>
      <c r="AC503" s="37" t="str">
        <f aca="false">IF(AB503="","",IFERROR(INDEX('Account Map'!$B:$B,MATCH(AB503,'Account Map'!$A:$A,0)),""))</f>
        <v/>
      </c>
      <c r="AD503" s="37" t="str">
        <f aca="false">IF(AB503="","",IFERROR(INDEX('Account Map'!$C:$C,MATCH(AB503,'Account Map'!$A:$A,0)),""))</f>
        <v/>
      </c>
      <c r="AE503" s="37" t="n">
        <f aca="false">IF(AND(AB503&lt;&gt;"",AC503="",COUNT($B503:$Z503)&gt;0,LEFT(AB503,5)&lt;&gt;"Total",AB503&lt;&gt;"Gross Profit",AB503&lt;&gt;"Net Profit",AB503&lt;&gt;"Operating Profit"),1,0)</f>
        <v>0</v>
      </c>
    </row>
    <row r="504" customFormat="false" ht="15" hidden="false" customHeight="false" outlineLevel="0" collapsed="false">
      <c r="B504" s="44"/>
      <c r="C504" s="44"/>
      <c r="D504" s="44"/>
      <c r="E504" s="44"/>
      <c r="F504" s="44"/>
      <c r="G504" s="44"/>
      <c r="H504" s="44"/>
      <c r="I504" s="44"/>
      <c r="J504" s="44"/>
      <c r="K504" s="44"/>
      <c r="L504" s="44"/>
      <c r="M504" s="44"/>
      <c r="N504" s="44"/>
      <c r="O504" s="44"/>
      <c r="P504" s="44"/>
      <c r="Q504" s="44"/>
      <c r="R504" s="44"/>
      <c r="S504" s="44"/>
      <c r="T504" s="44"/>
      <c r="U504" s="44"/>
      <c r="V504" s="44"/>
      <c r="W504" s="44"/>
      <c r="X504" s="44"/>
      <c r="Y504" s="44"/>
      <c r="Z504" s="44"/>
      <c r="AB504" s="37" t="str">
        <f aca="false">TRIM($A504&amp;"")</f>
        <v/>
      </c>
      <c r="AC504" s="37" t="str">
        <f aca="false">IF(AB504="","",IFERROR(INDEX('Account Map'!$B:$B,MATCH(AB504,'Account Map'!$A:$A,0)),""))</f>
        <v/>
      </c>
      <c r="AD504" s="37" t="str">
        <f aca="false">IF(AB504="","",IFERROR(INDEX('Account Map'!$C:$C,MATCH(AB504,'Account Map'!$A:$A,0)),""))</f>
        <v/>
      </c>
      <c r="AE504" s="37" t="n">
        <f aca="false">IF(AND(AB504&lt;&gt;"",AC504="",COUNT($B504:$Z504)&gt;0,LEFT(AB504,5)&lt;&gt;"Total",AB504&lt;&gt;"Gross Profit",AB504&lt;&gt;"Net Profit",AB504&lt;&gt;"Operating Profit"),1,0)</f>
        <v>0</v>
      </c>
    </row>
    <row r="505" customFormat="false" ht="15" hidden="false" customHeight="false" outlineLevel="0" collapsed="false">
      <c r="B505" s="44"/>
      <c r="C505" s="44"/>
      <c r="D505" s="44"/>
      <c r="E505" s="44"/>
      <c r="F505" s="44"/>
      <c r="G505" s="44"/>
      <c r="H505" s="44"/>
      <c r="I505" s="44"/>
      <c r="J505" s="44"/>
      <c r="K505" s="44"/>
      <c r="L505" s="44"/>
      <c r="M505" s="44"/>
      <c r="N505" s="44"/>
      <c r="O505" s="44"/>
      <c r="P505" s="44"/>
      <c r="Q505" s="44"/>
      <c r="R505" s="44"/>
      <c r="S505" s="44"/>
      <c r="T505" s="44"/>
      <c r="U505" s="44"/>
      <c r="V505" s="44"/>
      <c r="W505" s="44"/>
      <c r="X505" s="44"/>
      <c r="Y505" s="44"/>
      <c r="Z505" s="44"/>
      <c r="AB505" s="37" t="str">
        <f aca="false">TRIM($A505&amp;"")</f>
        <v/>
      </c>
      <c r="AC505" s="37" t="str">
        <f aca="false">IF(AB505="","",IFERROR(INDEX('Account Map'!$B:$B,MATCH(AB505,'Account Map'!$A:$A,0)),""))</f>
        <v/>
      </c>
      <c r="AD505" s="37" t="str">
        <f aca="false">IF(AB505="","",IFERROR(INDEX('Account Map'!$C:$C,MATCH(AB505,'Account Map'!$A:$A,0)),""))</f>
        <v/>
      </c>
      <c r="AE505" s="37" t="n">
        <f aca="false">IF(AND(AB505&lt;&gt;"",AC505="",COUNT($B505:$Z505)&gt;0,LEFT(AB505,5)&lt;&gt;"Total",AB505&lt;&gt;"Gross Profit",AB505&lt;&gt;"Net Profit",AB505&lt;&gt;"Operating Profit"),1,0)</f>
        <v>0</v>
      </c>
    </row>
    <row r="506" customFormat="false" ht="15" hidden="false" customHeight="false" outlineLevel="0" collapsed="false">
      <c r="B506" s="44"/>
      <c r="C506" s="44"/>
      <c r="D506" s="44"/>
      <c r="E506" s="44"/>
      <c r="F506" s="44"/>
      <c r="G506" s="44"/>
      <c r="H506" s="44"/>
      <c r="I506" s="44"/>
      <c r="J506" s="44"/>
      <c r="K506" s="44"/>
      <c r="L506" s="44"/>
      <c r="M506" s="44"/>
      <c r="N506" s="44"/>
      <c r="O506" s="44"/>
      <c r="P506" s="44"/>
      <c r="Q506" s="44"/>
      <c r="R506" s="44"/>
      <c r="S506" s="44"/>
      <c r="T506" s="44"/>
      <c r="U506" s="44"/>
      <c r="V506" s="44"/>
      <c r="W506" s="44"/>
      <c r="X506" s="44"/>
      <c r="Y506" s="44"/>
      <c r="Z506" s="44"/>
      <c r="AB506" s="37" t="str">
        <f aca="false">TRIM($A506&amp;"")</f>
        <v/>
      </c>
      <c r="AC506" s="37" t="str">
        <f aca="false">IF(AB506="","",IFERROR(INDEX('Account Map'!$B:$B,MATCH(AB506,'Account Map'!$A:$A,0)),""))</f>
        <v/>
      </c>
      <c r="AD506" s="37" t="str">
        <f aca="false">IF(AB506="","",IFERROR(INDEX('Account Map'!$C:$C,MATCH(AB506,'Account Map'!$A:$A,0)),""))</f>
        <v/>
      </c>
      <c r="AE506" s="37" t="n">
        <f aca="false">IF(AND(AB506&lt;&gt;"",AC506="",COUNT($B506:$Z506)&gt;0,LEFT(AB506,5)&lt;&gt;"Total",AB506&lt;&gt;"Gross Profit",AB506&lt;&gt;"Net Profit",AB506&lt;&gt;"Operating Profit"),1,0)</f>
        <v>0</v>
      </c>
    </row>
    <row r="507" customFormat="false" ht="15" hidden="false" customHeight="false" outlineLevel="0" collapsed="false">
      <c r="B507" s="44"/>
      <c r="C507" s="44"/>
      <c r="D507" s="44"/>
      <c r="E507" s="44"/>
      <c r="F507" s="44"/>
      <c r="G507" s="44"/>
      <c r="H507" s="44"/>
      <c r="I507" s="44"/>
      <c r="J507" s="44"/>
      <c r="K507" s="44"/>
      <c r="L507" s="44"/>
      <c r="M507" s="44"/>
      <c r="N507" s="44"/>
      <c r="O507" s="44"/>
      <c r="P507" s="44"/>
      <c r="Q507" s="44"/>
      <c r="R507" s="44"/>
      <c r="S507" s="44"/>
      <c r="T507" s="44"/>
      <c r="U507" s="44"/>
      <c r="V507" s="44"/>
      <c r="W507" s="44"/>
      <c r="X507" s="44"/>
      <c r="Y507" s="44"/>
      <c r="Z507" s="44"/>
      <c r="AB507" s="37" t="str">
        <f aca="false">TRIM($A507&amp;"")</f>
        <v/>
      </c>
      <c r="AC507" s="37" t="str">
        <f aca="false">IF(AB507="","",IFERROR(INDEX('Account Map'!$B:$B,MATCH(AB507,'Account Map'!$A:$A,0)),""))</f>
        <v/>
      </c>
      <c r="AD507" s="37" t="str">
        <f aca="false">IF(AB507="","",IFERROR(INDEX('Account Map'!$C:$C,MATCH(AB507,'Account Map'!$A:$A,0)),""))</f>
        <v/>
      </c>
      <c r="AE507" s="37" t="n">
        <f aca="false">IF(AND(AB507&lt;&gt;"",AC507="",COUNT($B507:$Z507)&gt;0,LEFT(AB507,5)&lt;&gt;"Total",AB507&lt;&gt;"Gross Profit",AB507&lt;&gt;"Net Profit",AB507&lt;&gt;"Operating Profit"),1,0)</f>
        <v>0</v>
      </c>
    </row>
    <row r="508" customFormat="false" ht="15" hidden="false" customHeight="false" outlineLevel="0" collapsed="false">
      <c r="B508" s="44"/>
      <c r="C508" s="44"/>
      <c r="D508" s="44"/>
      <c r="E508" s="44"/>
      <c r="F508" s="44"/>
      <c r="G508" s="44"/>
      <c r="H508" s="44"/>
      <c r="I508" s="44"/>
      <c r="J508" s="44"/>
      <c r="K508" s="44"/>
      <c r="L508" s="44"/>
      <c r="M508" s="44"/>
      <c r="N508" s="44"/>
      <c r="O508" s="44"/>
      <c r="P508" s="44"/>
      <c r="Q508" s="44"/>
      <c r="R508" s="44"/>
      <c r="S508" s="44"/>
      <c r="T508" s="44"/>
      <c r="U508" s="44"/>
      <c r="V508" s="44"/>
      <c r="W508" s="44"/>
      <c r="X508" s="44"/>
      <c r="Y508" s="44"/>
      <c r="Z508" s="44"/>
      <c r="AB508" s="37" t="str">
        <f aca="false">TRIM($A508&amp;"")</f>
        <v/>
      </c>
      <c r="AC508" s="37" t="str">
        <f aca="false">IF(AB508="","",IFERROR(INDEX('Account Map'!$B:$B,MATCH(AB508,'Account Map'!$A:$A,0)),""))</f>
        <v/>
      </c>
      <c r="AD508" s="37" t="str">
        <f aca="false">IF(AB508="","",IFERROR(INDEX('Account Map'!$C:$C,MATCH(AB508,'Account Map'!$A:$A,0)),""))</f>
        <v/>
      </c>
      <c r="AE508" s="37" t="n">
        <f aca="false">IF(AND(AB508&lt;&gt;"",AC508="",COUNT($B508:$Z508)&gt;0,LEFT(AB508,5)&lt;&gt;"Total",AB508&lt;&gt;"Gross Profit",AB508&lt;&gt;"Net Profit",AB508&lt;&gt;"Operating Profit"),1,0)</f>
        <v>0</v>
      </c>
    </row>
    <row r="509" customFormat="false" ht="15" hidden="false" customHeight="false" outlineLevel="0" collapsed="false">
      <c r="B509" s="44"/>
      <c r="C509" s="44"/>
      <c r="D509" s="44"/>
      <c r="E509" s="44"/>
      <c r="F509" s="44"/>
      <c r="G509" s="44"/>
      <c r="H509" s="44"/>
      <c r="I509" s="44"/>
      <c r="J509" s="44"/>
      <c r="K509" s="44"/>
      <c r="L509" s="44"/>
      <c r="M509" s="44"/>
      <c r="N509" s="44"/>
      <c r="O509" s="44"/>
      <c r="P509" s="44"/>
      <c r="Q509" s="44"/>
      <c r="R509" s="44"/>
      <c r="S509" s="44"/>
      <c r="T509" s="44"/>
      <c r="U509" s="44"/>
      <c r="V509" s="44"/>
      <c r="W509" s="44"/>
      <c r="X509" s="44"/>
      <c r="Y509" s="44"/>
      <c r="Z509" s="44"/>
      <c r="AB509" s="37" t="str">
        <f aca="false">TRIM($A509&amp;"")</f>
        <v/>
      </c>
      <c r="AC509" s="37" t="str">
        <f aca="false">IF(AB509="","",IFERROR(INDEX('Account Map'!$B:$B,MATCH(AB509,'Account Map'!$A:$A,0)),""))</f>
        <v/>
      </c>
      <c r="AD509" s="37" t="str">
        <f aca="false">IF(AB509="","",IFERROR(INDEX('Account Map'!$C:$C,MATCH(AB509,'Account Map'!$A:$A,0)),""))</f>
        <v/>
      </c>
      <c r="AE509" s="37" t="n">
        <f aca="false">IF(AND(AB509&lt;&gt;"",AC509="",COUNT($B509:$Z509)&gt;0,LEFT(AB509,5)&lt;&gt;"Total",AB509&lt;&gt;"Gross Profit",AB509&lt;&gt;"Net Profit",AB509&lt;&gt;"Operating Profit"),1,0)</f>
        <v>0</v>
      </c>
    </row>
    <row r="510" customFormat="false" ht="15" hidden="false" customHeight="false" outlineLevel="0" collapsed="false">
      <c r="B510" s="44"/>
      <c r="C510" s="44"/>
      <c r="D510" s="44"/>
      <c r="E510" s="44"/>
      <c r="F510" s="44"/>
      <c r="G510" s="44"/>
      <c r="H510" s="44"/>
      <c r="I510" s="44"/>
      <c r="J510" s="44"/>
      <c r="K510" s="44"/>
      <c r="L510" s="44"/>
      <c r="M510" s="44"/>
      <c r="N510" s="44"/>
      <c r="O510" s="44"/>
      <c r="P510" s="44"/>
      <c r="Q510" s="44"/>
      <c r="R510" s="44"/>
      <c r="S510" s="44"/>
      <c r="T510" s="44"/>
      <c r="U510" s="44"/>
      <c r="V510" s="44"/>
      <c r="W510" s="44"/>
      <c r="X510" s="44"/>
      <c r="Y510" s="44"/>
      <c r="Z510" s="44"/>
      <c r="AB510" s="37" t="str">
        <f aca="false">TRIM($A510&amp;"")</f>
        <v/>
      </c>
      <c r="AC510" s="37" t="str">
        <f aca="false">IF(AB510="","",IFERROR(INDEX('Account Map'!$B:$B,MATCH(AB510,'Account Map'!$A:$A,0)),""))</f>
        <v/>
      </c>
      <c r="AD510" s="37" t="str">
        <f aca="false">IF(AB510="","",IFERROR(INDEX('Account Map'!$C:$C,MATCH(AB510,'Account Map'!$A:$A,0)),""))</f>
        <v/>
      </c>
      <c r="AE510" s="37" t="n">
        <f aca="false">IF(AND(AB510&lt;&gt;"",AC510="",COUNT($B510:$Z510)&gt;0,LEFT(AB510,5)&lt;&gt;"Total",AB510&lt;&gt;"Gross Profit",AB510&lt;&gt;"Net Profit",AB510&lt;&gt;"Operating Profit"),1,0)</f>
        <v>0</v>
      </c>
    </row>
    <row r="511" customFormat="false" ht="15" hidden="false" customHeight="false" outlineLevel="0" collapsed="false">
      <c r="B511" s="44"/>
      <c r="C511" s="44"/>
      <c r="D511" s="44"/>
      <c r="E511" s="44"/>
      <c r="F511" s="44"/>
      <c r="G511" s="44"/>
      <c r="H511" s="44"/>
      <c r="I511" s="44"/>
      <c r="J511" s="44"/>
      <c r="K511" s="44"/>
      <c r="L511" s="44"/>
      <c r="M511" s="44"/>
      <c r="N511" s="44"/>
      <c r="O511" s="44"/>
      <c r="P511" s="44"/>
      <c r="Q511" s="44"/>
      <c r="R511" s="44"/>
      <c r="S511" s="44"/>
      <c r="T511" s="44"/>
      <c r="U511" s="44"/>
      <c r="V511" s="44"/>
      <c r="W511" s="44"/>
      <c r="X511" s="44"/>
      <c r="Y511" s="44"/>
      <c r="Z511" s="44"/>
      <c r="AB511" s="37" t="str">
        <f aca="false">TRIM($A511&amp;"")</f>
        <v/>
      </c>
      <c r="AC511" s="37" t="str">
        <f aca="false">IF(AB511="","",IFERROR(INDEX('Account Map'!$B:$B,MATCH(AB511,'Account Map'!$A:$A,0)),""))</f>
        <v/>
      </c>
      <c r="AD511" s="37" t="str">
        <f aca="false">IF(AB511="","",IFERROR(INDEX('Account Map'!$C:$C,MATCH(AB511,'Account Map'!$A:$A,0)),""))</f>
        <v/>
      </c>
      <c r="AE511" s="37" t="n">
        <f aca="false">IF(AND(AB511&lt;&gt;"",AC511="",COUNT($B511:$Z511)&gt;0,LEFT(AB511,5)&lt;&gt;"Total",AB511&lt;&gt;"Gross Profit",AB511&lt;&gt;"Net Profit",AB511&lt;&gt;"Operating Profit"),1,0)</f>
        <v>0</v>
      </c>
    </row>
    <row r="512" customFormat="false" ht="15" hidden="false" customHeight="false" outlineLevel="0" collapsed="false">
      <c r="B512" s="44"/>
      <c r="C512" s="44"/>
      <c r="D512" s="44"/>
      <c r="E512" s="44"/>
      <c r="F512" s="44"/>
      <c r="G512" s="44"/>
      <c r="H512" s="44"/>
      <c r="I512" s="44"/>
      <c r="J512" s="44"/>
      <c r="K512" s="44"/>
      <c r="L512" s="44"/>
      <c r="M512" s="44"/>
      <c r="N512" s="44"/>
      <c r="O512" s="44"/>
      <c r="P512" s="44"/>
      <c r="Q512" s="44"/>
      <c r="R512" s="44"/>
      <c r="S512" s="44"/>
      <c r="T512" s="44"/>
      <c r="U512" s="44"/>
      <c r="V512" s="44"/>
      <c r="W512" s="44"/>
      <c r="X512" s="44"/>
      <c r="Y512" s="44"/>
      <c r="Z512" s="44"/>
      <c r="AB512" s="37" t="str">
        <f aca="false">TRIM($A512&amp;"")</f>
        <v/>
      </c>
      <c r="AC512" s="37" t="str">
        <f aca="false">IF(AB512="","",IFERROR(INDEX('Account Map'!$B:$B,MATCH(AB512,'Account Map'!$A:$A,0)),""))</f>
        <v/>
      </c>
      <c r="AD512" s="37" t="str">
        <f aca="false">IF(AB512="","",IFERROR(INDEX('Account Map'!$C:$C,MATCH(AB512,'Account Map'!$A:$A,0)),""))</f>
        <v/>
      </c>
      <c r="AE512" s="37" t="n">
        <f aca="false">IF(AND(AB512&lt;&gt;"",AC512="",COUNT($B512:$Z512)&gt;0,LEFT(AB512,5)&lt;&gt;"Total",AB512&lt;&gt;"Gross Profit",AB512&lt;&gt;"Net Profit",AB512&lt;&gt;"Operating Profit"),1,0)</f>
        <v>0</v>
      </c>
    </row>
    <row r="513" customFormat="false" ht="15" hidden="false" customHeight="false" outlineLevel="0" collapsed="false">
      <c r="B513" s="44"/>
      <c r="C513" s="44"/>
      <c r="D513" s="44"/>
      <c r="E513" s="44"/>
      <c r="F513" s="44"/>
      <c r="G513" s="44"/>
      <c r="H513" s="44"/>
      <c r="I513" s="44"/>
      <c r="J513" s="44"/>
      <c r="K513" s="44"/>
      <c r="L513" s="44"/>
      <c r="M513" s="44"/>
      <c r="N513" s="44"/>
      <c r="O513" s="44"/>
      <c r="P513" s="44"/>
      <c r="Q513" s="44"/>
      <c r="R513" s="44"/>
      <c r="S513" s="44"/>
      <c r="T513" s="44"/>
      <c r="U513" s="44"/>
      <c r="V513" s="44"/>
      <c r="W513" s="44"/>
      <c r="X513" s="44"/>
      <c r="Y513" s="44"/>
      <c r="Z513" s="44"/>
      <c r="AB513" s="37" t="str">
        <f aca="false">TRIM($A513&amp;"")</f>
        <v/>
      </c>
      <c r="AC513" s="37" t="str">
        <f aca="false">IF(AB513="","",IFERROR(INDEX('Account Map'!$B:$B,MATCH(AB513,'Account Map'!$A:$A,0)),""))</f>
        <v/>
      </c>
      <c r="AD513" s="37" t="str">
        <f aca="false">IF(AB513="","",IFERROR(INDEX('Account Map'!$C:$C,MATCH(AB513,'Account Map'!$A:$A,0)),""))</f>
        <v/>
      </c>
      <c r="AE513" s="37" t="n">
        <f aca="false">IF(AND(AB513&lt;&gt;"",AC513="",COUNT($B513:$Z513)&gt;0,LEFT(AB513,5)&lt;&gt;"Total",AB513&lt;&gt;"Gross Profit",AB513&lt;&gt;"Net Profit",AB513&lt;&gt;"Operating Profit"),1,0)</f>
        <v>0</v>
      </c>
    </row>
    <row r="514" customFormat="false" ht="15" hidden="false" customHeight="false" outlineLevel="0" collapsed="false">
      <c r="B514" s="44"/>
      <c r="C514" s="44"/>
      <c r="D514" s="44"/>
      <c r="E514" s="44"/>
      <c r="F514" s="44"/>
      <c r="G514" s="44"/>
      <c r="H514" s="44"/>
      <c r="I514" s="44"/>
      <c r="J514" s="44"/>
      <c r="K514" s="44"/>
      <c r="L514" s="44"/>
      <c r="M514" s="44"/>
      <c r="N514" s="44"/>
      <c r="O514" s="44"/>
      <c r="P514" s="44"/>
      <c r="Q514" s="44"/>
      <c r="R514" s="44"/>
      <c r="S514" s="44"/>
      <c r="T514" s="44"/>
      <c r="U514" s="44"/>
      <c r="V514" s="44"/>
      <c r="W514" s="44"/>
      <c r="X514" s="44"/>
      <c r="Y514" s="44"/>
      <c r="Z514" s="44"/>
      <c r="AB514" s="37" t="str">
        <f aca="false">TRIM($A514&amp;"")</f>
        <v/>
      </c>
      <c r="AC514" s="37" t="str">
        <f aca="false">IF(AB514="","",IFERROR(INDEX('Account Map'!$B:$B,MATCH(AB514,'Account Map'!$A:$A,0)),""))</f>
        <v/>
      </c>
      <c r="AD514" s="37" t="str">
        <f aca="false">IF(AB514="","",IFERROR(INDEX('Account Map'!$C:$C,MATCH(AB514,'Account Map'!$A:$A,0)),""))</f>
        <v/>
      </c>
      <c r="AE514" s="37" t="n">
        <f aca="false">IF(AND(AB514&lt;&gt;"",AC514="",COUNT($B514:$Z514)&gt;0,LEFT(AB514,5)&lt;&gt;"Total",AB514&lt;&gt;"Gross Profit",AB514&lt;&gt;"Net Profit",AB514&lt;&gt;"Operating Profit"),1,0)</f>
        <v>0</v>
      </c>
    </row>
    <row r="515" customFormat="false" ht="15" hidden="false" customHeight="false" outlineLevel="0" collapsed="false">
      <c r="B515" s="44"/>
      <c r="C515" s="44"/>
      <c r="D515" s="44"/>
      <c r="E515" s="44"/>
      <c r="F515" s="44"/>
      <c r="G515" s="44"/>
      <c r="H515" s="44"/>
      <c r="I515" s="44"/>
      <c r="J515" s="44"/>
      <c r="K515" s="44"/>
      <c r="L515" s="44"/>
      <c r="M515" s="44"/>
      <c r="N515" s="44"/>
      <c r="O515" s="44"/>
      <c r="P515" s="44"/>
      <c r="Q515" s="44"/>
      <c r="R515" s="44"/>
      <c r="S515" s="44"/>
      <c r="T515" s="44"/>
      <c r="U515" s="44"/>
      <c r="V515" s="44"/>
      <c r="W515" s="44"/>
      <c r="X515" s="44"/>
      <c r="Y515" s="44"/>
      <c r="Z515" s="44"/>
      <c r="AB515" s="37" t="str">
        <f aca="false">TRIM($A515&amp;"")</f>
        <v/>
      </c>
      <c r="AC515" s="37" t="str">
        <f aca="false">IF(AB515="","",IFERROR(INDEX('Account Map'!$B:$B,MATCH(AB515,'Account Map'!$A:$A,0)),""))</f>
        <v/>
      </c>
      <c r="AD515" s="37" t="str">
        <f aca="false">IF(AB515="","",IFERROR(INDEX('Account Map'!$C:$C,MATCH(AB515,'Account Map'!$A:$A,0)),""))</f>
        <v/>
      </c>
      <c r="AE515" s="37" t="n">
        <f aca="false">IF(AND(AB515&lt;&gt;"",AC515="",COUNT($B515:$Z515)&gt;0,LEFT(AB515,5)&lt;&gt;"Total",AB515&lt;&gt;"Gross Profit",AB515&lt;&gt;"Net Profit",AB515&lt;&gt;"Operating Profit"),1,0)</f>
        <v>0</v>
      </c>
    </row>
    <row r="516" customFormat="false" ht="15" hidden="false" customHeight="false" outlineLevel="0" collapsed="false">
      <c r="B516" s="44"/>
      <c r="C516" s="44"/>
      <c r="D516" s="44"/>
      <c r="E516" s="44"/>
      <c r="F516" s="44"/>
      <c r="G516" s="44"/>
      <c r="H516" s="44"/>
      <c r="I516" s="44"/>
      <c r="J516" s="44"/>
      <c r="K516" s="44"/>
      <c r="L516" s="44"/>
      <c r="M516" s="44"/>
      <c r="N516" s="44"/>
      <c r="O516" s="44"/>
      <c r="P516" s="44"/>
      <c r="Q516" s="44"/>
      <c r="R516" s="44"/>
      <c r="S516" s="44"/>
      <c r="T516" s="44"/>
      <c r="U516" s="44"/>
      <c r="V516" s="44"/>
      <c r="W516" s="44"/>
      <c r="X516" s="44"/>
      <c r="Y516" s="44"/>
      <c r="Z516" s="44"/>
      <c r="AB516" s="37" t="str">
        <f aca="false">TRIM($A516&amp;"")</f>
        <v/>
      </c>
      <c r="AC516" s="37" t="str">
        <f aca="false">IF(AB516="","",IFERROR(INDEX('Account Map'!$B:$B,MATCH(AB516,'Account Map'!$A:$A,0)),""))</f>
        <v/>
      </c>
      <c r="AD516" s="37" t="str">
        <f aca="false">IF(AB516="","",IFERROR(INDEX('Account Map'!$C:$C,MATCH(AB516,'Account Map'!$A:$A,0)),""))</f>
        <v/>
      </c>
      <c r="AE516" s="37" t="n">
        <f aca="false">IF(AND(AB516&lt;&gt;"",AC516="",COUNT($B516:$Z516)&gt;0,LEFT(AB516,5)&lt;&gt;"Total",AB516&lt;&gt;"Gross Profit",AB516&lt;&gt;"Net Profit",AB516&lt;&gt;"Operating Profit"),1,0)</f>
        <v>0</v>
      </c>
    </row>
    <row r="517" customFormat="false" ht="15" hidden="false" customHeight="false" outlineLevel="0" collapsed="false">
      <c r="B517" s="44"/>
      <c r="C517" s="44"/>
      <c r="D517" s="44"/>
      <c r="E517" s="44"/>
      <c r="F517" s="44"/>
      <c r="G517" s="44"/>
      <c r="H517" s="44"/>
      <c r="I517" s="44"/>
      <c r="J517" s="44"/>
      <c r="K517" s="44"/>
      <c r="L517" s="44"/>
      <c r="M517" s="44"/>
      <c r="N517" s="44"/>
      <c r="O517" s="44"/>
      <c r="P517" s="44"/>
      <c r="Q517" s="44"/>
      <c r="R517" s="44"/>
      <c r="S517" s="44"/>
      <c r="T517" s="44"/>
      <c r="U517" s="44"/>
      <c r="V517" s="44"/>
      <c r="W517" s="44"/>
      <c r="X517" s="44"/>
      <c r="Y517" s="44"/>
      <c r="Z517" s="44"/>
      <c r="AB517" s="37" t="str">
        <f aca="false">TRIM($A517&amp;"")</f>
        <v/>
      </c>
      <c r="AC517" s="37" t="str">
        <f aca="false">IF(AB517="","",IFERROR(INDEX('Account Map'!$B:$B,MATCH(AB517,'Account Map'!$A:$A,0)),""))</f>
        <v/>
      </c>
      <c r="AD517" s="37" t="str">
        <f aca="false">IF(AB517="","",IFERROR(INDEX('Account Map'!$C:$C,MATCH(AB517,'Account Map'!$A:$A,0)),""))</f>
        <v/>
      </c>
      <c r="AE517" s="37" t="n">
        <f aca="false">IF(AND(AB517&lt;&gt;"",AC517="",COUNT($B517:$Z517)&gt;0,LEFT(AB517,5)&lt;&gt;"Total",AB517&lt;&gt;"Gross Profit",AB517&lt;&gt;"Net Profit",AB517&lt;&gt;"Operating Profit"),1,0)</f>
        <v>0</v>
      </c>
    </row>
    <row r="518" customFormat="false" ht="15" hidden="false" customHeight="false" outlineLevel="0" collapsed="false">
      <c r="B518" s="44"/>
      <c r="C518" s="44"/>
      <c r="D518" s="44"/>
      <c r="E518" s="44"/>
      <c r="F518" s="44"/>
      <c r="G518" s="44"/>
      <c r="H518" s="44"/>
      <c r="I518" s="44"/>
      <c r="J518" s="44"/>
      <c r="K518" s="44"/>
      <c r="L518" s="44"/>
      <c r="M518" s="44"/>
      <c r="N518" s="44"/>
      <c r="O518" s="44"/>
      <c r="P518" s="44"/>
      <c r="Q518" s="44"/>
      <c r="R518" s="44"/>
      <c r="S518" s="44"/>
      <c r="T518" s="44"/>
      <c r="U518" s="44"/>
      <c r="V518" s="44"/>
      <c r="W518" s="44"/>
      <c r="X518" s="44"/>
      <c r="Y518" s="44"/>
      <c r="Z518" s="44"/>
      <c r="AB518" s="37" t="str">
        <f aca="false">TRIM($A518&amp;"")</f>
        <v/>
      </c>
      <c r="AC518" s="37" t="str">
        <f aca="false">IF(AB518="","",IFERROR(INDEX('Account Map'!$B:$B,MATCH(AB518,'Account Map'!$A:$A,0)),""))</f>
        <v/>
      </c>
      <c r="AD518" s="37" t="str">
        <f aca="false">IF(AB518="","",IFERROR(INDEX('Account Map'!$C:$C,MATCH(AB518,'Account Map'!$A:$A,0)),""))</f>
        <v/>
      </c>
      <c r="AE518" s="37" t="n">
        <f aca="false">IF(AND(AB518&lt;&gt;"",AC518="",COUNT($B518:$Z518)&gt;0,LEFT(AB518,5)&lt;&gt;"Total",AB518&lt;&gt;"Gross Profit",AB518&lt;&gt;"Net Profit",AB518&lt;&gt;"Operating Profit"),1,0)</f>
        <v>0</v>
      </c>
    </row>
    <row r="519" customFormat="false" ht="15" hidden="false" customHeight="false" outlineLevel="0" collapsed="false">
      <c r="B519" s="44"/>
      <c r="C519" s="44"/>
      <c r="D519" s="44"/>
      <c r="E519" s="44"/>
      <c r="F519" s="44"/>
      <c r="G519" s="44"/>
      <c r="H519" s="44"/>
      <c r="I519" s="44"/>
      <c r="J519" s="44"/>
      <c r="K519" s="44"/>
      <c r="L519" s="44"/>
      <c r="M519" s="44"/>
      <c r="N519" s="44"/>
      <c r="O519" s="44"/>
      <c r="P519" s="44"/>
      <c r="Q519" s="44"/>
      <c r="R519" s="44"/>
      <c r="S519" s="44"/>
      <c r="T519" s="44"/>
      <c r="U519" s="44"/>
      <c r="V519" s="44"/>
      <c r="W519" s="44"/>
      <c r="X519" s="44"/>
      <c r="Y519" s="44"/>
      <c r="Z519" s="44"/>
      <c r="AB519" s="37" t="str">
        <f aca="false">TRIM($A519&amp;"")</f>
        <v/>
      </c>
      <c r="AC519" s="37" t="str">
        <f aca="false">IF(AB519="","",IFERROR(INDEX('Account Map'!$B:$B,MATCH(AB519,'Account Map'!$A:$A,0)),""))</f>
        <v/>
      </c>
      <c r="AD519" s="37" t="str">
        <f aca="false">IF(AB519="","",IFERROR(INDEX('Account Map'!$C:$C,MATCH(AB519,'Account Map'!$A:$A,0)),""))</f>
        <v/>
      </c>
      <c r="AE519" s="37" t="n">
        <f aca="false">IF(AND(AB519&lt;&gt;"",AC519="",COUNT($B519:$Z519)&gt;0,LEFT(AB519,5)&lt;&gt;"Total",AB519&lt;&gt;"Gross Profit",AB519&lt;&gt;"Net Profit",AB519&lt;&gt;"Operating Profit"),1,0)</f>
        <v>0</v>
      </c>
    </row>
    <row r="520" customFormat="false" ht="15" hidden="false" customHeight="false" outlineLevel="0" collapsed="false">
      <c r="B520" s="44"/>
      <c r="C520" s="44"/>
      <c r="D520" s="44"/>
      <c r="E520" s="44"/>
      <c r="F520" s="44"/>
      <c r="G520" s="44"/>
      <c r="H520" s="44"/>
      <c r="I520" s="44"/>
      <c r="J520" s="44"/>
      <c r="K520" s="44"/>
      <c r="L520" s="44"/>
      <c r="M520" s="44"/>
      <c r="N520" s="44"/>
      <c r="O520" s="44"/>
      <c r="P520" s="44"/>
      <c r="Q520" s="44"/>
      <c r="R520" s="44"/>
      <c r="S520" s="44"/>
      <c r="T520" s="44"/>
      <c r="U520" s="44"/>
      <c r="V520" s="44"/>
      <c r="W520" s="44"/>
      <c r="X520" s="44"/>
      <c r="Y520" s="44"/>
      <c r="Z520" s="44"/>
      <c r="AB520" s="37" t="str">
        <f aca="false">TRIM($A520&amp;"")</f>
        <v/>
      </c>
      <c r="AC520" s="37" t="str">
        <f aca="false">IF(AB520="","",IFERROR(INDEX('Account Map'!$B:$B,MATCH(AB520,'Account Map'!$A:$A,0)),""))</f>
        <v/>
      </c>
      <c r="AD520" s="37" t="str">
        <f aca="false">IF(AB520="","",IFERROR(INDEX('Account Map'!$C:$C,MATCH(AB520,'Account Map'!$A:$A,0)),""))</f>
        <v/>
      </c>
      <c r="AE520" s="37" t="n">
        <f aca="false">IF(AND(AB520&lt;&gt;"",AC520="",COUNT($B520:$Z520)&gt;0,LEFT(AB520,5)&lt;&gt;"Total",AB520&lt;&gt;"Gross Profit",AB520&lt;&gt;"Net Profit",AB520&lt;&gt;"Operating Profit"),1,0)</f>
        <v>0</v>
      </c>
    </row>
    <row r="521" customFormat="false" ht="15" hidden="false" customHeight="false" outlineLevel="0" collapsed="false">
      <c r="B521" s="44"/>
      <c r="C521" s="44"/>
      <c r="D521" s="44"/>
      <c r="E521" s="44"/>
      <c r="F521" s="44"/>
      <c r="G521" s="44"/>
      <c r="H521" s="44"/>
      <c r="I521" s="44"/>
      <c r="J521" s="44"/>
      <c r="K521" s="44"/>
      <c r="L521" s="44"/>
      <c r="M521" s="44"/>
      <c r="N521" s="44"/>
      <c r="O521" s="44"/>
      <c r="P521" s="44"/>
      <c r="Q521" s="44"/>
      <c r="R521" s="44"/>
      <c r="S521" s="44"/>
      <c r="T521" s="44"/>
      <c r="U521" s="44"/>
      <c r="V521" s="44"/>
      <c r="W521" s="44"/>
      <c r="X521" s="44"/>
      <c r="Y521" s="44"/>
      <c r="Z521" s="44"/>
      <c r="AB521" s="37" t="str">
        <f aca="false">TRIM($A521&amp;"")</f>
        <v/>
      </c>
      <c r="AC521" s="37" t="str">
        <f aca="false">IF(AB521="","",IFERROR(INDEX('Account Map'!$B:$B,MATCH(AB521,'Account Map'!$A:$A,0)),""))</f>
        <v/>
      </c>
      <c r="AD521" s="37" t="str">
        <f aca="false">IF(AB521="","",IFERROR(INDEX('Account Map'!$C:$C,MATCH(AB521,'Account Map'!$A:$A,0)),""))</f>
        <v/>
      </c>
      <c r="AE521" s="37" t="n">
        <f aca="false">IF(AND(AB521&lt;&gt;"",AC521="",COUNT($B521:$Z521)&gt;0,LEFT(AB521,5)&lt;&gt;"Total",AB521&lt;&gt;"Gross Profit",AB521&lt;&gt;"Net Profit",AB521&lt;&gt;"Operating Profit"),1,0)</f>
        <v>0</v>
      </c>
    </row>
    <row r="522" customFormat="false" ht="15" hidden="false" customHeight="false" outlineLevel="0" collapsed="false">
      <c r="B522" s="44"/>
      <c r="C522" s="44"/>
      <c r="D522" s="44"/>
      <c r="E522" s="44"/>
      <c r="F522" s="44"/>
      <c r="G522" s="44"/>
      <c r="H522" s="44"/>
      <c r="I522" s="44"/>
      <c r="J522" s="44"/>
      <c r="K522" s="44"/>
      <c r="L522" s="44"/>
      <c r="M522" s="44"/>
      <c r="N522" s="44"/>
      <c r="O522" s="44"/>
      <c r="P522" s="44"/>
      <c r="Q522" s="44"/>
      <c r="R522" s="44"/>
      <c r="S522" s="44"/>
      <c r="T522" s="44"/>
      <c r="U522" s="44"/>
      <c r="V522" s="44"/>
      <c r="W522" s="44"/>
      <c r="X522" s="44"/>
      <c r="Y522" s="44"/>
      <c r="Z522" s="44"/>
      <c r="AB522" s="37" t="str">
        <f aca="false">TRIM($A522&amp;"")</f>
        <v/>
      </c>
      <c r="AC522" s="37" t="str">
        <f aca="false">IF(AB522="","",IFERROR(INDEX('Account Map'!$B:$B,MATCH(AB522,'Account Map'!$A:$A,0)),""))</f>
        <v/>
      </c>
      <c r="AD522" s="37" t="str">
        <f aca="false">IF(AB522="","",IFERROR(INDEX('Account Map'!$C:$C,MATCH(AB522,'Account Map'!$A:$A,0)),""))</f>
        <v/>
      </c>
      <c r="AE522" s="37" t="n">
        <f aca="false">IF(AND(AB522&lt;&gt;"",AC522="",COUNT($B522:$Z522)&gt;0,LEFT(AB522,5)&lt;&gt;"Total",AB522&lt;&gt;"Gross Profit",AB522&lt;&gt;"Net Profit",AB522&lt;&gt;"Operating Profit"),1,0)</f>
        <v>0</v>
      </c>
    </row>
    <row r="523" customFormat="false" ht="15" hidden="false" customHeight="false" outlineLevel="0" collapsed="false">
      <c r="B523" s="44"/>
      <c r="C523" s="44"/>
      <c r="D523" s="44"/>
      <c r="E523" s="44"/>
      <c r="F523" s="44"/>
      <c r="G523" s="44"/>
      <c r="H523" s="44"/>
      <c r="I523" s="44"/>
      <c r="J523" s="44"/>
      <c r="K523" s="44"/>
      <c r="L523" s="44"/>
      <c r="M523" s="44"/>
      <c r="N523" s="44"/>
      <c r="O523" s="44"/>
      <c r="P523" s="44"/>
      <c r="Q523" s="44"/>
      <c r="R523" s="44"/>
      <c r="S523" s="44"/>
      <c r="T523" s="44"/>
      <c r="U523" s="44"/>
      <c r="V523" s="44"/>
      <c r="W523" s="44"/>
      <c r="X523" s="44"/>
      <c r="Y523" s="44"/>
      <c r="Z523" s="44"/>
      <c r="AB523" s="37" t="str">
        <f aca="false">TRIM($A523&amp;"")</f>
        <v/>
      </c>
      <c r="AC523" s="37" t="str">
        <f aca="false">IF(AB523="","",IFERROR(INDEX('Account Map'!$B:$B,MATCH(AB523,'Account Map'!$A:$A,0)),""))</f>
        <v/>
      </c>
      <c r="AD523" s="37" t="str">
        <f aca="false">IF(AB523="","",IFERROR(INDEX('Account Map'!$C:$C,MATCH(AB523,'Account Map'!$A:$A,0)),""))</f>
        <v/>
      </c>
      <c r="AE523" s="37" t="n">
        <f aca="false">IF(AND(AB523&lt;&gt;"",AC523="",COUNT($B523:$Z523)&gt;0,LEFT(AB523,5)&lt;&gt;"Total",AB523&lt;&gt;"Gross Profit",AB523&lt;&gt;"Net Profit",AB523&lt;&gt;"Operating Profit"),1,0)</f>
        <v>0</v>
      </c>
    </row>
    <row r="524" customFormat="false" ht="15" hidden="false" customHeight="false" outlineLevel="0" collapsed="false">
      <c r="B524" s="44"/>
      <c r="C524" s="44"/>
      <c r="D524" s="44"/>
      <c r="E524" s="44"/>
      <c r="F524" s="44"/>
      <c r="G524" s="44"/>
      <c r="H524" s="44"/>
      <c r="I524" s="44"/>
      <c r="J524" s="44"/>
      <c r="K524" s="44"/>
      <c r="L524" s="44"/>
      <c r="M524" s="44"/>
      <c r="N524" s="44"/>
      <c r="O524" s="44"/>
      <c r="P524" s="44"/>
      <c r="Q524" s="44"/>
      <c r="R524" s="44"/>
      <c r="S524" s="44"/>
      <c r="T524" s="44"/>
      <c r="U524" s="44"/>
      <c r="V524" s="44"/>
      <c r="W524" s="44"/>
      <c r="X524" s="44"/>
      <c r="Y524" s="44"/>
      <c r="Z524" s="44"/>
      <c r="AB524" s="37" t="str">
        <f aca="false">TRIM($A524&amp;"")</f>
        <v/>
      </c>
      <c r="AC524" s="37" t="str">
        <f aca="false">IF(AB524="","",IFERROR(INDEX('Account Map'!$B:$B,MATCH(AB524,'Account Map'!$A:$A,0)),""))</f>
        <v/>
      </c>
      <c r="AD524" s="37" t="str">
        <f aca="false">IF(AB524="","",IFERROR(INDEX('Account Map'!$C:$C,MATCH(AB524,'Account Map'!$A:$A,0)),""))</f>
        <v/>
      </c>
      <c r="AE524" s="37" t="n">
        <f aca="false">IF(AND(AB524&lt;&gt;"",AC524="",COUNT($B524:$Z524)&gt;0,LEFT(AB524,5)&lt;&gt;"Total",AB524&lt;&gt;"Gross Profit",AB524&lt;&gt;"Net Profit",AB524&lt;&gt;"Operating Profit"),1,0)</f>
        <v>0</v>
      </c>
    </row>
    <row r="525" customFormat="false" ht="15" hidden="false" customHeight="false" outlineLevel="0" collapsed="false">
      <c r="B525" s="44"/>
      <c r="C525" s="44"/>
      <c r="D525" s="44"/>
      <c r="E525" s="44"/>
      <c r="F525" s="44"/>
      <c r="G525" s="44"/>
      <c r="H525" s="44"/>
      <c r="I525" s="44"/>
      <c r="J525" s="44"/>
      <c r="K525" s="44"/>
      <c r="L525" s="44"/>
      <c r="M525" s="44"/>
      <c r="N525" s="44"/>
      <c r="O525" s="44"/>
      <c r="P525" s="44"/>
      <c r="Q525" s="44"/>
      <c r="R525" s="44"/>
      <c r="S525" s="44"/>
      <c r="T525" s="44"/>
      <c r="U525" s="44"/>
      <c r="V525" s="44"/>
      <c r="W525" s="44"/>
      <c r="X525" s="44"/>
      <c r="Y525" s="44"/>
      <c r="Z525" s="44"/>
      <c r="AB525" s="37" t="str">
        <f aca="false">TRIM($A525&amp;"")</f>
        <v/>
      </c>
      <c r="AC525" s="37" t="str">
        <f aca="false">IF(AB525="","",IFERROR(INDEX('Account Map'!$B:$B,MATCH(AB525,'Account Map'!$A:$A,0)),""))</f>
        <v/>
      </c>
      <c r="AD525" s="37" t="str">
        <f aca="false">IF(AB525="","",IFERROR(INDEX('Account Map'!$C:$C,MATCH(AB525,'Account Map'!$A:$A,0)),""))</f>
        <v/>
      </c>
      <c r="AE525" s="37" t="n">
        <f aca="false">IF(AND(AB525&lt;&gt;"",AC525="",COUNT($B525:$Z525)&gt;0,LEFT(AB525,5)&lt;&gt;"Total",AB525&lt;&gt;"Gross Profit",AB525&lt;&gt;"Net Profit",AB525&lt;&gt;"Operating Profit"),1,0)</f>
        <v>0</v>
      </c>
    </row>
    <row r="526" customFormat="false" ht="15" hidden="false" customHeight="false" outlineLevel="0" collapsed="false">
      <c r="B526" s="44"/>
      <c r="C526" s="44"/>
      <c r="D526" s="44"/>
      <c r="E526" s="44"/>
      <c r="F526" s="44"/>
      <c r="G526" s="44"/>
      <c r="H526" s="44"/>
      <c r="I526" s="44"/>
      <c r="J526" s="44"/>
      <c r="K526" s="44"/>
      <c r="L526" s="44"/>
      <c r="M526" s="44"/>
      <c r="N526" s="44"/>
      <c r="O526" s="44"/>
      <c r="P526" s="44"/>
      <c r="Q526" s="44"/>
      <c r="R526" s="44"/>
      <c r="S526" s="44"/>
      <c r="T526" s="44"/>
      <c r="U526" s="44"/>
      <c r="V526" s="44"/>
      <c r="W526" s="44"/>
      <c r="X526" s="44"/>
      <c r="Y526" s="44"/>
      <c r="Z526" s="44"/>
      <c r="AB526" s="37" t="str">
        <f aca="false">TRIM($A526&amp;"")</f>
        <v/>
      </c>
      <c r="AC526" s="37" t="str">
        <f aca="false">IF(AB526="","",IFERROR(INDEX('Account Map'!$B:$B,MATCH(AB526,'Account Map'!$A:$A,0)),""))</f>
        <v/>
      </c>
      <c r="AD526" s="37" t="str">
        <f aca="false">IF(AB526="","",IFERROR(INDEX('Account Map'!$C:$C,MATCH(AB526,'Account Map'!$A:$A,0)),""))</f>
        <v/>
      </c>
      <c r="AE526" s="37" t="n">
        <f aca="false">IF(AND(AB526&lt;&gt;"",AC526="",COUNT($B526:$Z526)&gt;0,LEFT(AB526,5)&lt;&gt;"Total",AB526&lt;&gt;"Gross Profit",AB526&lt;&gt;"Net Profit",AB526&lt;&gt;"Operating Profit"),1,0)</f>
        <v>0</v>
      </c>
    </row>
    <row r="527" customFormat="false" ht="15" hidden="false" customHeight="false" outlineLevel="0" collapsed="false">
      <c r="B527" s="44"/>
      <c r="C527" s="44"/>
      <c r="D527" s="44"/>
      <c r="E527" s="44"/>
      <c r="F527" s="44"/>
      <c r="G527" s="44"/>
      <c r="H527" s="44"/>
      <c r="I527" s="44"/>
      <c r="J527" s="44"/>
      <c r="K527" s="44"/>
      <c r="L527" s="44"/>
      <c r="M527" s="44"/>
      <c r="N527" s="44"/>
      <c r="O527" s="44"/>
      <c r="P527" s="44"/>
      <c r="Q527" s="44"/>
      <c r="R527" s="44"/>
      <c r="S527" s="44"/>
      <c r="T527" s="44"/>
      <c r="U527" s="44"/>
      <c r="V527" s="44"/>
      <c r="W527" s="44"/>
      <c r="X527" s="44"/>
      <c r="Y527" s="44"/>
      <c r="Z527" s="44"/>
      <c r="AB527" s="37" t="str">
        <f aca="false">TRIM($A527&amp;"")</f>
        <v/>
      </c>
      <c r="AC527" s="37" t="str">
        <f aca="false">IF(AB527="","",IFERROR(INDEX('Account Map'!$B:$B,MATCH(AB527,'Account Map'!$A:$A,0)),""))</f>
        <v/>
      </c>
      <c r="AD527" s="37" t="str">
        <f aca="false">IF(AB527="","",IFERROR(INDEX('Account Map'!$C:$C,MATCH(AB527,'Account Map'!$A:$A,0)),""))</f>
        <v/>
      </c>
      <c r="AE527" s="37" t="n">
        <f aca="false">IF(AND(AB527&lt;&gt;"",AC527="",COUNT($B527:$Z527)&gt;0,LEFT(AB527,5)&lt;&gt;"Total",AB527&lt;&gt;"Gross Profit",AB527&lt;&gt;"Net Profit",AB527&lt;&gt;"Operating Profit"),1,0)</f>
        <v>0</v>
      </c>
    </row>
    <row r="528" customFormat="false" ht="15" hidden="false" customHeight="false" outlineLevel="0" collapsed="false">
      <c r="B528" s="44"/>
      <c r="C528" s="44"/>
      <c r="D528" s="44"/>
      <c r="E528" s="44"/>
      <c r="F528" s="44"/>
      <c r="G528" s="44"/>
      <c r="H528" s="44"/>
      <c r="I528" s="44"/>
      <c r="J528" s="44"/>
      <c r="K528" s="44"/>
      <c r="L528" s="44"/>
      <c r="M528" s="44"/>
      <c r="N528" s="44"/>
      <c r="O528" s="44"/>
      <c r="P528" s="44"/>
      <c r="Q528" s="44"/>
      <c r="R528" s="44"/>
      <c r="S528" s="44"/>
      <c r="T528" s="44"/>
      <c r="U528" s="44"/>
      <c r="V528" s="44"/>
      <c r="W528" s="44"/>
      <c r="X528" s="44"/>
      <c r="Y528" s="44"/>
      <c r="Z528" s="44"/>
      <c r="AB528" s="37" t="str">
        <f aca="false">TRIM($A528&amp;"")</f>
        <v/>
      </c>
      <c r="AC528" s="37" t="str">
        <f aca="false">IF(AB528="","",IFERROR(INDEX('Account Map'!$B:$B,MATCH(AB528,'Account Map'!$A:$A,0)),""))</f>
        <v/>
      </c>
      <c r="AD528" s="37" t="str">
        <f aca="false">IF(AB528="","",IFERROR(INDEX('Account Map'!$C:$C,MATCH(AB528,'Account Map'!$A:$A,0)),""))</f>
        <v/>
      </c>
      <c r="AE528" s="37" t="n">
        <f aca="false">IF(AND(AB528&lt;&gt;"",AC528="",COUNT($B528:$Z528)&gt;0,LEFT(AB528,5)&lt;&gt;"Total",AB528&lt;&gt;"Gross Profit",AB528&lt;&gt;"Net Profit",AB528&lt;&gt;"Operating Profit"),1,0)</f>
        <v>0</v>
      </c>
    </row>
    <row r="529" customFormat="false" ht="15" hidden="false" customHeight="false" outlineLevel="0" collapsed="false">
      <c r="B529" s="44"/>
      <c r="C529" s="44"/>
      <c r="D529" s="44"/>
      <c r="E529" s="44"/>
      <c r="F529" s="44"/>
      <c r="G529" s="44"/>
      <c r="H529" s="44"/>
      <c r="I529" s="44"/>
      <c r="J529" s="44"/>
      <c r="K529" s="44"/>
      <c r="L529" s="44"/>
      <c r="M529" s="44"/>
      <c r="N529" s="44"/>
      <c r="O529" s="44"/>
      <c r="P529" s="44"/>
      <c r="Q529" s="44"/>
      <c r="R529" s="44"/>
      <c r="S529" s="44"/>
      <c r="T529" s="44"/>
      <c r="U529" s="44"/>
      <c r="V529" s="44"/>
      <c r="W529" s="44"/>
      <c r="X529" s="44"/>
      <c r="Y529" s="44"/>
      <c r="Z529" s="44"/>
      <c r="AB529" s="37" t="str">
        <f aca="false">TRIM($A529&amp;"")</f>
        <v/>
      </c>
      <c r="AC529" s="37" t="str">
        <f aca="false">IF(AB529="","",IFERROR(INDEX('Account Map'!$B:$B,MATCH(AB529,'Account Map'!$A:$A,0)),""))</f>
        <v/>
      </c>
      <c r="AD529" s="37" t="str">
        <f aca="false">IF(AB529="","",IFERROR(INDEX('Account Map'!$C:$C,MATCH(AB529,'Account Map'!$A:$A,0)),""))</f>
        <v/>
      </c>
      <c r="AE529" s="37" t="n">
        <f aca="false">IF(AND(AB529&lt;&gt;"",AC529="",COUNT($B529:$Z529)&gt;0,LEFT(AB529,5)&lt;&gt;"Total",AB529&lt;&gt;"Gross Profit",AB529&lt;&gt;"Net Profit",AB529&lt;&gt;"Operating Profit"),1,0)</f>
        <v>0</v>
      </c>
    </row>
    <row r="530" customFormat="false" ht="15" hidden="false" customHeight="false" outlineLevel="0" collapsed="false">
      <c r="B530" s="44"/>
      <c r="C530" s="44"/>
      <c r="D530" s="44"/>
      <c r="E530" s="44"/>
      <c r="F530" s="44"/>
      <c r="G530" s="44"/>
      <c r="H530" s="44"/>
      <c r="I530" s="44"/>
      <c r="J530" s="44"/>
      <c r="K530" s="44"/>
      <c r="L530" s="44"/>
      <c r="M530" s="44"/>
      <c r="N530" s="44"/>
      <c r="O530" s="44"/>
      <c r="P530" s="44"/>
      <c r="Q530" s="44"/>
      <c r="R530" s="44"/>
      <c r="S530" s="44"/>
      <c r="T530" s="44"/>
      <c r="U530" s="44"/>
      <c r="V530" s="44"/>
      <c r="W530" s="44"/>
      <c r="X530" s="44"/>
      <c r="Y530" s="44"/>
      <c r="Z530" s="44"/>
      <c r="AB530" s="37" t="str">
        <f aca="false">TRIM($A530&amp;"")</f>
        <v/>
      </c>
      <c r="AC530" s="37" t="str">
        <f aca="false">IF(AB530="","",IFERROR(INDEX('Account Map'!$B:$B,MATCH(AB530,'Account Map'!$A:$A,0)),""))</f>
        <v/>
      </c>
      <c r="AD530" s="37" t="str">
        <f aca="false">IF(AB530="","",IFERROR(INDEX('Account Map'!$C:$C,MATCH(AB530,'Account Map'!$A:$A,0)),""))</f>
        <v/>
      </c>
      <c r="AE530" s="37" t="n">
        <f aca="false">IF(AND(AB530&lt;&gt;"",AC530="",COUNT($B530:$Z530)&gt;0,LEFT(AB530,5)&lt;&gt;"Total",AB530&lt;&gt;"Gross Profit",AB530&lt;&gt;"Net Profit",AB530&lt;&gt;"Operating Profit"),1,0)</f>
        <v>0</v>
      </c>
    </row>
    <row r="531" customFormat="false" ht="15" hidden="false" customHeight="false" outlineLevel="0" collapsed="false">
      <c r="B531" s="44"/>
      <c r="C531" s="44"/>
      <c r="D531" s="44"/>
      <c r="E531" s="44"/>
      <c r="F531" s="44"/>
      <c r="G531" s="44"/>
      <c r="H531" s="44"/>
      <c r="I531" s="44"/>
      <c r="J531" s="44"/>
      <c r="K531" s="44"/>
      <c r="L531" s="44"/>
      <c r="M531" s="44"/>
      <c r="N531" s="44"/>
      <c r="O531" s="44"/>
      <c r="P531" s="44"/>
      <c r="Q531" s="44"/>
      <c r="R531" s="44"/>
      <c r="S531" s="44"/>
      <c r="T531" s="44"/>
      <c r="U531" s="44"/>
      <c r="V531" s="44"/>
      <c r="W531" s="44"/>
      <c r="X531" s="44"/>
      <c r="Y531" s="44"/>
      <c r="Z531" s="44"/>
      <c r="AB531" s="37" t="str">
        <f aca="false">TRIM($A531&amp;"")</f>
        <v/>
      </c>
      <c r="AC531" s="37" t="str">
        <f aca="false">IF(AB531="","",IFERROR(INDEX('Account Map'!$B:$B,MATCH(AB531,'Account Map'!$A:$A,0)),""))</f>
        <v/>
      </c>
      <c r="AD531" s="37" t="str">
        <f aca="false">IF(AB531="","",IFERROR(INDEX('Account Map'!$C:$C,MATCH(AB531,'Account Map'!$A:$A,0)),""))</f>
        <v/>
      </c>
      <c r="AE531" s="37" t="n">
        <f aca="false">IF(AND(AB531&lt;&gt;"",AC531="",COUNT($B531:$Z531)&gt;0,LEFT(AB531,5)&lt;&gt;"Total",AB531&lt;&gt;"Gross Profit",AB531&lt;&gt;"Net Profit",AB531&lt;&gt;"Operating Profit"),1,0)</f>
        <v>0</v>
      </c>
    </row>
    <row r="532" customFormat="false" ht="15" hidden="false" customHeight="false" outlineLevel="0" collapsed="false">
      <c r="B532" s="44"/>
      <c r="C532" s="44"/>
      <c r="D532" s="44"/>
      <c r="E532" s="44"/>
      <c r="F532" s="44"/>
      <c r="G532" s="44"/>
      <c r="H532" s="44"/>
      <c r="I532" s="44"/>
      <c r="J532" s="44"/>
      <c r="K532" s="44"/>
      <c r="L532" s="44"/>
      <c r="M532" s="44"/>
      <c r="N532" s="44"/>
      <c r="O532" s="44"/>
      <c r="P532" s="44"/>
      <c r="Q532" s="44"/>
      <c r="R532" s="44"/>
      <c r="S532" s="44"/>
      <c r="T532" s="44"/>
      <c r="U532" s="44"/>
      <c r="V532" s="44"/>
      <c r="W532" s="44"/>
      <c r="X532" s="44"/>
      <c r="Y532" s="44"/>
      <c r="Z532" s="44"/>
      <c r="AB532" s="37" t="str">
        <f aca="false">TRIM($A532&amp;"")</f>
        <v/>
      </c>
      <c r="AC532" s="37" t="str">
        <f aca="false">IF(AB532="","",IFERROR(INDEX('Account Map'!$B:$B,MATCH(AB532,'Account Map'!$A:$A,0)),""))</f>
        <v/>
      </c>
      <c r="AD532" s="37" t="str">
        <f aca="false">IF(AB532="","",IFERROR(INDEX('Account Map'!$C:$C,MATCH(AB532,'Account Map'!$A:$A,0)),""))</f>
        <v/>
      </c>
      <c r="AE532" s="37" t="n">
        <f aca="false">IF(AND(AB532&lt;&gt;"",AC532="",COUNT($B532:$Z532)&gt;0,LEFT(AB532,5)&lt;&gt;"Total",AB532&lt;&gt;"Gross Profit",AB532&lt;&gt;"Net Profit",AB532&lt;&gt;"Operating Profit"),1,0)</f>
        <v>0</v>
      </c>
    </row>
    <row r="533" customFormat="false" ht="15" hidden="false" customHeight="false" outlineLevel="0" collapsed="false">
      <c r="B533" s="44"/>
      <c r="C533" s="44"/>
      <c r="D533" s="44"/>
      <c r="E533" s="44"/>
      <c r="F533" s="44"/>
      <c r="G533" s="44"/>
      <c r="H533" s="44"/>
      <c r="I533" s="44"/>
      <c r="J533" s="44"/>
      <c r="K533" s="44"/>
      <c r="L533" s="44"/>
      <c r="M533" s="44"/>
      <c r="N533" s="44"/>
      <c r="O533" s="44"/>
      <c r="P533" s="44"/>
      <c r="Q533" s="44"/>
      <c r="R533" s="44"/>
      <c r="S533" s="44"/>
      <c r="T533" s="44"/>
      <c r="U533" s="44"/>
      <c r="V533" s="44"/>
      <c r="W533" s="44"/>
      <c r="X533" s="44"/>
      <c r="Y533" s="44"/>
      <c r="Z533" s="44"/>
      <c r="AB533" s="37" t="str">
        <f aca="false">TRIM($A533&amp;"")</f>
        <v/>
      </c>
      <c r="AC533" s="37" t="str">
        <f aca="false">IF(AB533="","",IFERROR(INDEX('Account Map'!$B:$B,MATCH(AB533,'Account Map'!$A:$A,0)),""))</f>
        <v/>
      </c>
      <c r="AD533" s="37" t="str">
        <f aca="false">IF(AB533="","",IFERROR(INDEX('Account Map'!$C:$C,MATCH(AB533,'Account Map'!$A:$A,0)),""))</f>
        <v/>
      </c>
      <c r="AE533" s="37" t="n">
        <f aca="false">IF(AND(AB533&lt;&gt;"",AC533="",COUNT($B533:$Z533)&gt;0,LEFT(AB533,5)&lt;&gt;"Total",AB533&lt;&gt;"Gross Profit",AB533&lt;&gt;"Net Profit",AB533&lt;&gt;"Operating Profit"),1,0)</f>
        <v>0</v>
      </c>
    </row>
    <row r="534" customFormat="false" ht="15" hidden="false" customHeight="false" outlineLevel="0" collapsed="false">
      <c r="B534" s="44"/>
      <c r="C534" s="44"/>
      <c r="D534" s="44"/>
      <c r="E534" s="44"/>
      <c r="F534" s="44"/>
      <c r="G534" s="44"/>
      <c r="H534" s="44"/>
      <c r="I534" s="44"/>
      <c r="J534" s="44"/>
      <c r="K534" s="44"/>
      <c r="L534" s="44"/>
      <c r="M534" s="44"/>
      <c r="N534" s="44"/>
      <c r="O534" s="44"/>
      <c r="P534" s="44"/>
      <c r="Q534" s="44"/>
      <c r="R534" s="44"/>
      <c r="S534" s="44"/>
      <c r="T534" s="44"/>
      <c r="U534" s="44"/>
      <c r="V534" s="44"/>
      <c r="W534" s="44"/>
      <c r="X534" s="44"/>
      <c r="Y534" s="44"/>
      <c r="Z534" s="44"/>
      <c r="AB534" s="37" t="str">
        <f aca="false">TRIM($A534&amp;"")</f>
        <v/>
      </c>
      <c r="AC534" s="37" t="str">
        <f aca="false">IF(AB534="","",IFERROR(INDEX('Account Map'!$B:$B,MATCH(AB534,'Account Map'!$A:$A,0)),""))</f>
        <v/>
      </c>
      <c r="AD534" s="37" t="str">
        <f aca="false">IF(AB534="","",IFERROR(INDEX('Account Map'!$C:$C,MATCH(AB534,'Account Map'!$A:$A,0)),""))</f>
        <v/>
      </c>
      <c r="AE534" s="37" t="n">
        <f aca="false">IF(AND(AB534&lt;&gt;"",AC534="",COUNT($B534:$Z534)&gt;0,LEFT(AB534,5)&lt;&gt;"Total",AB534&lt;&gt;"Gross Profit",AB534&lt;&gt;"Net Profit",AB534&lt;&gt;"Operating Profit"),1,0)</f>
        <v>0</v>
      </c>
    </row>
    <row r="535" customFormat="false" ht="15" hidden="false" customHeight="false" outlineLevel="0" collapsed="false">
      <c r="B535" s="44"/>
      <c r="C535" s="44"/>
      <c r="D535" s="44"/>
      <c r="E535" s="44"/>
      <c r="F535" s="44"/>
      <c r="G535" s="44"/>
      <c r="H535" s="44"/>
      <c r="I535" s="44"/>
      <c r="J535" s="44"/>
      <c r="K535" s="44"/>
      <c r="L535" s="44"/>
      <c r="M535" s="44"/>
      <c r="N535" s="44"/>
      <c r="O535" s="44"/>
      <c r="P535" s="44"/>
      <c r="Q535" s="44"/>
      <c r="R535" s="44"/>
      <c r="S535" s="44"/>
      <c r="T535" s="44"/>
      <c r="U535" s="44"/>
      <c r="V535" s="44"/>
      <c r="W535" s="44"/>
      <c r="X535" s="44"/>
      <c r="Y535" s="44"/>
      <c r="Z535" s="44"/>
      <c r="AB535" s="37" t="str">
        <f aca="false">TRIM($A535&amp;"")</f>
        <v/>
      </c>
      <c r="AC535" s="37" t="str">
        <f aca="false">IF(AB535="","",IFERROR(INDEX('Account Map'!$B:$B,MATCH(AB535,'Account Map'!$A:$A,0)),""))</f>
        <v/>
      </c>
      <c r="AD535" s="37" t="str">
        <f aca="false">IF(AB535="","",IFERROR(INDEX('Account Map'!$C:$C,MATCH(AB535,'Account Map'!$A:$A,0)),""))</f>
        <v/>
      </c>
      <c r="AE535" s="37" t="n">
        <f aca="false">IF(AND(AB535&lt;&gt;"",AC535="",COUNT($B535:$Z535)&gt;0,LEFT(AB535,5)&lt;&gt;"Total",AB535&lt;&gt;"Gross Profit",AB535&lt;&gt;"Net Profit",AB535&lt;&gt;"Operating Profit"),1,0)</f>
        <v>0</v>
      </c>
    </row>
    <row r="536" customFormat="false" ht="15" hidden="false" customHeight="false" outlineLevel="0" collapsed="false">
      <c r="B536" s="44"/>
      <c r="C536" s="44"/>
      <c r="D536" s="44"/>
      <c r="E536" s="44"/>
      <c r="F536" s="44"/>
      <c r="G536" s="44"/>
      <c r="H536" s="44"/>
      <c r="I536" s="44"/>
      <c r="J536" s="44"/>
      <c r="K536" s="44"/>
      <c r="L536" s="44"/>
      <c r="M536" s="44"/>
      <c r="N536" s="44"/>
      <c r="O536" s="44"/>
      <c r="P536" s="44"/>
      <c r="Q536" s="44"/>
      <c r="R536" s="44"/>
      <c r="S536" s="44"/>
      <c r="T536" s="44"/>
      <c r="U536" s="44"/>
      <c r="V536" s="44"/>
      <c r="W536" s="44"/>
      <c r="X536" s="44"/>
      <c r="Y536" s="44"/>
      <c r="Z536" s="44"/>
      <c r="AB536" s="37" t="str">
        <f aca="false">TRIM($A536&amp;"")</f>
        <v/>
      </c>
      <c r="AC536" s="37" t="str">
        <f aca="false">IF(AB536="","",IFERROR(INDEX('Account Map'!$B:$B,MATCH(AB536,'Account Map'!$A:$A,0)),""))</f>
        <v/>
      </c>
      <c r="AD536" s="37" t="str">
        <f aca="false">IF(AB536="","",IFERROR(INDEX('Account Map'!$C:$C,MATCH(AB536,'Account Map'!$A:$A,0)),""))</f>
        <v/>
      </c>
      <c r="AE536" s="37" t="n">
        <f aca="false">IF(AND(AB536&lt;&gt;"",AC536="",COUNT($B536:$Z536)&gt;0,LEFT(AB536,5)&lt;&gt;"Total",AB536&lt;&gt;"Gross Profit",AB536&lt;&gt;"Net Profit",AB536&lt;&gt;"Operating Profit"),1,0)</f>
        <v>0</v>
      </c>
    </row>
    <row r="537" customFormat="false" ht="15" hidden="false" customHeight="false" outlineLevel="0" collapsed="false">
      <c r="B537" s="44"/>
      <c r="C537" s="44"/>
      <c r="D537" s="44"/>
      <c r="E537" s="44"/>
      <c r="F537" s="44"/>
      <c r="G537" s="44"/>
      <c r="H537" s="44"/>
      <c r="I537" s="44"/>
      <c r="J537" s="44"/>
      <c r="K537" s="44"/>
      <c r="L537" s="44"/>
      <c r="M537" s="44"/>
      <c r="N537" s="44"/>
      <c r="O537" s="44"/>
      <c r="P537" s="44"/>
      <c r="Q537" s="44"/>
      <c r="R537" s="44"/>
      <c r="S537" s="44"/>
      <c r="T537" s="44"/>
      <c r="U537" s="44"/>
      <c r="V537" s="44"/>
      <c r="W537" s="44"/>
      <c r="X537" s="44"/>
      <c r="Y537" s="44"/>
      <c r="Z537" s="44"/>
      <c r="AB537" s="37" t="str">
        <f aca="false">TRIM($A537&amp;"")</f>
        <v/>
      </c>
      <c r="AC537" s="37" t="str">
        <f aca="false">IF(AB537="","",IFERROR(INDEX('Account Map'!$B:$B,MATCH(AB537,'Account Map'!$A:$A,0)),""))</f>
        <v/>
      </c>
      <c r="AD537" s="37" t="str">
        <f aca="false">IF(AB537="","",IFERROR(INDEX('Account Map'!$C:$C,MATCH(AB537,'Account Map'!$A:$A,0)),""))</f>
        <v/>
      </c>
      <c r="AE537" s="37" t="n">
        <f aca="false">IF(AND(AB537&lt;&gt;"",AC537="",COUNT($B537:$Z537)&gt;0,LEFT(AB537,5)&lt;&gt;"Total",AB537&lt;&gt;"Gross Profit",AB537&lt;&gt;"Net Profit",AB537&lt;&gt;"Operating Profit"),1,0)</f>
        <v>0</v>
      </c>
    </row>
    <row r="538" customFormat="false" ht="15" hidden="false" customHeight="false" outlineLevel="0" collapsed="false">
      <c r="B538" s="44"/>
      <c r="C538" s="44"/>
      <c r="D538" s="44"/>
      <c r="E538" s="44"/>
      <c r="F538" s="44"/>
      <c r="G538" s="44"/>
      <c r="H538" s="44"/>
      <c r="I538" s="44"/>
      <c r="J538" s="44"/>
      <c r="K538" s="44"/>
      <c r="L538" s="44"/>
      <c r="M538" s="44"/>
      <c r="N538" s="44"/>
      <c r="O538" s="44"/>
      <c r="P538" s="44"/>
      <c r="Q538" s="44"/>
      <c r="R538" s="44"/>
      <c r="S538" s="44"/>
      <c r="T538" s="44"/>
      <c r="U538" s="44"/>
      <c r="V538" s="44"/>
      <c r="W538" s="44"/>
      <c r="X538" s="44"/>
      <c r="Y538" s="44"/>
      <c r="Z538" s="44"/>
      <c r="AB538" s="37" t="str">
        <f aca="false">TRIM($A538&amp;"")</f>
        <v/>
      </c>
      <c r="AC538" s="37" t="str">
        <f aca="false">IF(AB538="","",IFERROR(INDEX('Account Map'!$B:$B,MATCH(AB538,'Account Map'!$A:$A,0)),""))</f>
        <v/>
      </c>
      <c r="AD538" s="37" t="str">
        <f aca="false">IF(AB538="","",IFERROR(INDEX('Account Map'!$C:$C,MATCH(AB538,'Account Map'!$A:$A,0)),""))</f>
        <v/>
      </c>
      <c r="AE538" s="37" t="n">
        <f aca="false">IF(AND(AB538&lt;&gt;"",AC538="",COUNT($B538:$Z538)&gt;0,LEFT(AB538,5)&lt;&gt;"Total",AB538&lt;&gt;"Gross Profit",AB538&lt;&gt;"Net Profit",AB538&lt;&gt;"Operating Profit"),1,0)</f>
        <v>0</v>
      </c>
    </row>
    <row r="539" customFormat="false" ht="15" hidden="false" customHeight="false" outlineLevel="0" collapsed="false">
      <c r="B539" s="44"/>
      <c r="C539" s="44"/>
      <c r="D539" s="44"/>
      <c r="E539" s="44"/>
      <c r="F539" s="44"/>
      <c r="G539" s="44"/>
      <c r="H539" s="44"/>
      <c r="I539" s="44"/>
      <c r="J539" s="44"/>
      <c r="K539" s="44"/>
      <c r="L539" s="44"/>
      <c r="M539" s="44"/>
      <c r="N539" s="44"/>
      <c r="O539" s="44"/>
      <c r="P539" s="44"/>
      <c r="Q539" s="44"/>
      <c r="R539" s="44"/>
      <c r="S539" s="44"/>
      <c r="T539" s="44"/>
      <c r="U539" s="44"/>
      <c r="V539" s="44"/>
      <c r="W539" s="44"/>
      <c r="X539" s="44"/>
      <c r="Y539" s="44"/>
      <c r="Z539" s="44"/>
      <c r="AB539" s="37" t="str">
        <f aca="false">TRIM($A539&amp;"")</f>
        <v/>
      </c>
      <c r="AC539" s="37" t="str">
        <f aca="false">IF(AB539="","",IFERROR(INDEX('Account Map'!$B:$B,MATCH(AB539,'Account Map'!$A:$A,0)),""))</f>
        <v/>
      </c>
      <c r="AD539" s="37" t="str">
        <f aca="false">IF(AB539="","",IFERROR(INDEX('Account Map'!$C:$C,MATCH(AB539,'Account Map'!$A:$A,0)),""))</f>
        <v/>
      </c>
      <c r="AE539" s="37" t="n">
        <f aca="false">IF(AND(AB539&lt;&gt;"",AC539="",COUNT($B539:$Z539)&gt;0,LEFT(AB539,5)&lt;&gt;"Total",AB539&lt;&gt;"Gross Profit",AB539&lt;&gt;"Net Profit",AB539&lt;&gt;"Operating Profit"),1,0)</f>
        <v>0</v>
      </c>
    </row>
    <row r="540" customFormat="false" ht="15" hidden="false" customHeight="false" outlineLevel="0" collapsed="false">
      <c r="B540" s="44"/>
      <c r="C540" s="44"/>
      <c r="D540" s="44"/>
      <c r="E540" s="44"/>
      <c r="F540" s="44"/>
      <c r="G540" s="44"/>
      <c r="H540" s="44"/>
      <c r="I540" s="44"/>
      <c r="J540" s="44"/>
      <c r="K540" s="44"/>
      <c r="L540" s="44"/>
      <c r="M540" s="44"/>
      <c r="N540" s="44"/>
      <c r="O540" s="44"/>
      <c r="P540" s="44"/>
      <c r="Q540" s="44"/>
      <c r="R540" s="44"/>
      <c r="S540" s="44"/>
      <c r="T540" s="44"/>
      <c r="U540" s="44"/>
      <c r="V540" s="44"/>
      <c r="W540" s="44"/>
      <c r="X540" s="44"/>
      <c r="Y540" s="44"/>
      <c r="Z540" s="44"/>
      <c r="AB540" s="37" t="str">
        <f aca="false">TRIM($A540&amp;"")</f>
        <v/>
      </c>
      <c r="AC540" s="37" t="str">
        <f aca="false">IF(AB540="","",IFERROR(INDEX('Account Map'!$B:$B,MATCH(AB540,'Account Map'!$A:$A,0)),""))</f>
        <v/>
      </c>
      <c r="AD540" s="37" t="str">
        <f aca="false">IF(AB540="","",IFERROR(INDEX('Account Map'!$C:$C,MATCH(AB540,'Account Map'!$A:$A,0)),""))</f>
        <v/>
      </c>
      <c r="AE540" s="37" t="n">
        <f aca="false">IF(AND(AB540&lt;&gt;"",AC540="",COUNT($B540:$Z540)&gt;0,LEFT(AB540,5)&lt;&gt;"Total",AB540&lt;&gt;"Gross Profit",AB540&lt;&gt;"Net Profit",AB540&lt;&gt;"Operating Profit"),1,0)</f>
        <v>0</v>
      </c>
    </row>
    <row r="541" customFormat="false" ht="15" hidden="false" customHeight="false" outlineLevel="0" collapsed="false">
      <c r="B541" s="44"/>
      <c r="C541" s="44"/>
      <c r="D541" s="44"/>
      <c r="E541" s="44"/>
      <c r="F541" s="44"/>
      <c r="G541" s="44"/>
      <c r="H541" s="44"/>
      <c r="I541" s="44"/>
      <c r="J541" s="44"/>
      <c r="K541" s="44"/>
      <c r="L541" s="44"/>
      <c r="M541" s="44"/>
      <c r="N541" s="44"/>
      <c r="O541" s="44"/>
      <c r="P541" s="44"/>
      <c r="Q541" s="44"/>
      <c r="R541" s="44"/>
      <c r="S541" s="44"/>
      <c r="T541" s="44"/>
      <c r="U541" s="44"/>
      <c r="V541" s="44"/>
      <c r="W541" s="44"/>
      <c r="X541" s="44"/>
      <c r="Y541" s="44"/>
      <c r="Z541" s="44"/>
      <c r="AB541" s="37" t="str">
        <f aca="false">TRIM($A541&amp;"")</f>
        <v/>
      </c>
      <c r="AC541" s="37" t="str">
        <f aca="false">IF(AB541="","",IFERROR(INDEX('Account Map'!$B:$B,MATCH(AB541,'Account Map'!$A:$A,0)),""))</f>
        <v/>
      </c>
      <c r="AD541" s="37" t="str">
        <f aca="false">IF(AB541="","",IFERROR(INDEX('Account Map'!$C:$C,MATCH(AB541,'Account Map'!$A:$A,0)),""))</f>
        <v/>
      </c>
      <c r="AE541" s="37" t="n">
        <f aca="false">IF(AND(AB541&lt;&gt;"",AC541="",COUNT($B541:$Z541)&gt;0,LEFT(AB541,5)&lt;&gt;"Total",AB541&lt;&gt;"Gross Profit",AB541&lt;&gt;"Net Profit",AB541&lt;&gt;"Operating Profit"),1,0)</f>
        <v>0</v>
      </c>
    </row>
    <row r="542" customFormat="false" ht="15" hidden="false" customHeight="false" outlineLevel="0" collapsed="false">
      <c r="B542" s="44"/>
      <c r="C542" s="44"/>
      <c r="D542" s="44"/>
      <c r="E542" s="44"/>
      <c r="F542" s="44"/>
      <c r="G542" s="44"/>
      <c r="H542" s="44"/>
      <c r="I542" s="44"/>
      <c r="J542" s="44"/>
      <c r="K542" s="44"/>
      <c r="L542" s="44"/>
      <c r="M542" s="44"/>
      <c r="N542" s="44"/>
      <c r="O542" s="44"/>
      <c r="P542" s="44"/>
      <c r="Q542" s="44"/>
      <c r="R542" s="44"/>
      <c r="S542" s="44"/>
      <c r="T542" s="44"/>
      <c r="U542" s="44"/>
      <c r="V542" s="44"/>
      <c r="W542" s="44"/>
      <c r="X542" s="44"/>
      <c r="Y542" s="44"/>
      <c r="Z542" s="44"/>
      <c r="AB542" s="37" t="str">
        <f aca="false">TRIM($A542&amp;"")</f>
        <v/>
      </c>
      <c r="AC542" s="37" t="str">
        <f aca="false">IF(AB542="","",IFERROR(INDEX('Account Map'!$B:$B,MATCH(AB542,'Account Map'!$A:$A,0)),""))</f>
        <v/>
      </c>
      <c r="AD542" s="37" t="str">
        <f aca="false">IF(AB542="","",IFERROR(INDEX('Account Map'!$C:$C,MATCH(AB542,'Account Map'!$A:$A,0)),""))</f>
        <v/>
      </c>
      <c r="AE542" s="37" t="n">
        <f aca="false">IF(AND(AB542&lt;&gt;"",AC542="",COUNT($B542:$Z542)&gt;0,LEFT(AB542,5)&lt;&gt;"Total",AB542&lt;&gt;"Gross Profit",AB542&lt;&gt;"Net Profit",AB542&lt;&gt;"Operating Profit"),1,0)</f>
        <v>0</v>
      </c>
    </row>
    <row r="543" customFormat="false" ht="15" hidden="false" customHeight="false" outlineLevel="0" collapsed="false">
      <c r="B543" s="44"/>
      <c r="C543" s="44"/>
      <c r="D543" s="44"/>
      <c r="E543" s="44"/>
      <c r="F543" s="44"/>
      <c r="G543" s="44"/>
      <c r="H543" s="44"/>
      <c r="I543" s="44"/>
      <c r="J543" s="44"/>
      <c r="K543" s="44"/>
      <c r="L543" s="44"/>
      <c r="M543" s="44"/>
      <c r="N543" s="44"/>
      <c r="O543" s="44"/>
      <c r="P543" s="44"/>
      <c r="Q543" s="44"/>
      <c r="R543" s="44"/>
      <c r="S543" s="44"/>
      <c r="T543" s="44"/>
      <c r="U543" s="44"/>
      <c r="V543" s="44"/>
      <c r="W543" s="44"/>
      <c r="X543" s="44"/>
      <c r="Y543" s="44"/>
      <c r="Z543" s="44"/>
      <c r="AB543" s="37" t="str">
        <f aca="false">TRIM($A543&amp;"")</f>
        <v/>
      </c>
      <c r="AC543" s="37" t="str">
        <f aca="false">IF(AB543="","",IFERROR(INDEX('Account Map'!$B:$B,MATCH(AB543,'Account Map'!$A:$A,0)),""))</f>
        <v/>
      </c>
      <c r="AD543" s="37" t="str">
        <f aca="false">IF(AB543="","",IFERROR(INDEX('Account Map'!$C:$C,MATCH(AB543,'Account Map'!$A:$A,0)),""))</f>
        <v/>
      </c>
      <c r="AE543" s="37" t="n">
        <f aca="false">IF(AND(AB543&lt;&gt;"",AC543="",COUNT($B543:$Z543)&gt;0,LEFT(AB543,5)&lt;&gt;"Total",AB543&lt;&gt;"Gross Profit",AB543&lt;&gt;"Net Profit",AB543&lt;&gt;"Operating Profit"),1,0)</f>
        <v>0</v>
      </c>
    </row>
    <row r="544" customFormat="false" ht="15" hidden="false" customHeight="false" outlineLevel="0" collapsed="false">
      <c r="B544" s="44"/>
      <c r="C544" s="44"/>
      <c r="D544" s="44"/>
      <c r="E544" s="44"/>
      <c r="F544" s="44"/>
      <c r="G544" s="44"/>
      <c r="H544" s="44"/>
      <c r="I544" s="44"/>
      <c r="J544" s="44"/>
      <c r="K544" s="44"/>
      <c r="L544" s="44"/>
      <c r="M544" s="44"/>
      <c r="N544" s="44"/>
      <c r="O544" s="44"/>
      <c r="P544" s="44"/>
      <c r="Q544" s="44"/>
      <c r="R544" s="44"/>
      <c r="S544" s="44"/>
      <c r="T544" s="44"/>
      <c r="U544" s="44"/>
      <c r="V544" s="44"/>
      <c r="W544" s="44"/>
      <c r="X544" s="44"/>
      <c r="Y544" s="44"/>
      <c r="Z544" s="44"/>
      <c r="AB544" s="37" t="str">
        <f aca="false">TRIM($A544&amp;"")</f>
        <v/>
      </c>
      <c r="AC544" s="37" t="str">
        <f aca="false">IF(AB544="","",IFERROR(INDEX('Account Map'!$B:$B,MATCH(AB544,'Account Map'!$A:$A,0)),""))</f>
        <v/>
      </c>
      <c r="AD544" s="37" t="str">
        <f aca="false">IF(AB544="","",IFERROR(INDEX('Account Map'!$C:$C,MATCH(AB544,'Account Map'!$A:$A,0)),""))</f>
        <v/>
      </c>
      <c r="AE544" s="37" t="n">
        <f aca="false">IF(AND(AB544&lt;&gt;"",AC544="",COUNT($B544:$Z544)&gt;0,LEFT(AB544,5)&lt;&gt;"Total",AB544&lt;&gt;"Gross Profit",AB544&lt;&gt;"Net Profit",AB544&lt;&gt;"Operating Profit"),1,0)</f>
        <v>0</v>
      </c>
    </row>
    <row r="545" customFormat="false" ht="15" hidden="false" customHeight="false" outlineLevel="0" collapsed="false">
      <c r="B545" s="44"/>
      <c r="C545" s="44"/>
      <c r="D545" s="44"/>
      <c r="E545" s="44"/>
      <c r="F545" s="44"/>
      <c r="G545" s="44"/>
      <c r="H545" s="44"/>
      <c r="I545" s="44"/>
      <c r="J545" s="44"/>
      <c r="K545" s="44"/>
      <c r="L545" s="44"/>
      <c r="M545" s="44"/>
      <c r="N545" s="44"/>
      <c r="O545" s="44"/>
      <c r="P545" s="44"/>
      <c r="Q545" s="44"/>
      <c r="R545" s="44"/>
      <c r="S545" s="44"/>
      <c r="T545" s="44"/>
      <c r="U545" s="44"/>
      <c r="V545" s="44"/>
      <c r="W545" s="44"/>
      <c r="X545" s="44"/>
      <c r="Y545" s="44"/>
      <c r="Z545" s="44"/>
      <c r="AB545" s="37" t="str">
        <f aca="false">TRIM($A545&amp;"")</f>
        <v/>
      </c>
      <c r="AC545" s="37" t="str">
        <f aca="false">IF(AB545="","",IFERROR(INDEX('Account Map'!$B:$B,MATCH(AB545,'Account Map'!$A:$A,0)),""))</f>
        <v/>
      </c>
      <c r="AD545" s="37" t="str">
        <f aca="false">IF(AB545="","",IFERROR(INDEX('Account Map'!$C:$C,MATCH(AB545,'Account Map'!$A:$A,0)),""))</f>
        <v/>
      </c>
      <c r="AE545" s="37" t="n">
        <f aca="false">IF(AND(AB545&lt;&gt;"",AC545="",COUNT($B545:$Z545)&gt;0,LEFT(AB545,5)&lt;&gt;"Total",AB545&lt;&gt;"Gross Profit",AB545&lt;&gt;"Net Profit",AB545&lt;&gt;"Operating Profit"),1,0)</f>
        <v>0</v>
      </c>
    </row>
    <row r="546" customFormat="false" ht="15" hidden="false" customHeight="false" outlineLevel="0" collapsed="false">
      <c r="B546" s="44"/>
      <c r="C546" s="44"/>
      <c r="D546" s="44"/>
      <c r="E546" s="44"/>
      <c r="F546" s="44"/>
      <c r="G546" s="44"/>
      <c r="H546" s="44"/>
      <c r="I546" s="44"/>
      <c r="J546" s="44"/>
      <c r="K546" s="44"/>
      <c r="L546" s="44"/>
      <c r="M546" s="44"/>
      <c r="N546" s="44"/>
      <c r="O546" s="44"/>
      <c r="P546" s="44"/>
      <c r="Q546" s="44"/>
      <c r="R546" s="44"/>
      <c r="S546" s="44"/>
      <c r="T546" s="44"/>
      <c r="U546" s="44"/>
      <c r="V546" s="44"/>
      <c r="W546" s="44"/>
      <c r="X546" s="44"/>
      <c r="Y546" s="44"/>
      <c r="Z546" s="44"/>
      <c r="AB546" s="37" t="str">
        <f aca="false">TRIM($A546&amp;"")</f>
        <v/>
      </c>
      <c r="AC546" s="37" t="str">
        <f aca="false">IF(AB546="","",IFERROR(INDEX('Account Map'!$B:$B,MATCH(AB546,'Account Map'!$A:$A,0)),""))</f>
        <v/>
      </c>
      <c r="AD546" s="37" t="str">
        <f aca="false">IF(AB546="","",IFERROR(INDEX('Account Map'!$C:$C,MATCH(AB546,'Account Map'!$A:$A,0)),""))</f>
        <v/>
      </c>
      <c r="AE546" s="37" t="n">
        <f aca="false">IF(AND(AB546&lt;&gt;"",AC546="",COUNT($B546:$Z546)&gt;0,LEFT(AB546,5)&lt;&gt;"Total",AB546&lt;&gt;"Gross Profit",AB546&lt;&gt;"Net Profit",AB546&lt;&gt;"Operating Profit"),1,0)</f>
        <v>0</v>
      </c>
    </row>
    <row r="547" customFormat="false" ht="15" hidden="false" customHeight="false" outlineLevel="0" collapsed="false">
      <c r="B547" s="44"/>
      <c r="C547" s="44"/>
      <c r="D547" s="44"/>
      <c r="E547" s="44"/>
      <c r="F547" s="44"/>
      <c r="G547" s="44"/>
      <c r="H547" s="44"/>
      <c r="I547" s="44"/>
      <c r="J547" s="44"/>
      <c r="K547" s="44"/>
      <c r="L547" s="44"/>
      <c r="M547" s="44"/>
      <c r="N547" s="44"/>
      <c r="O547" s="44"/>
      <c r="P547" s="44"/>
      <c r="Q547" s="44"/>
      <c r="R547" s="44"/>
      <c r="S547" s="44"/>
      <c r="T547" s="44"/>
      <c r="U547" s="44"/>
      <c r="V547" s="44"/>
      <c r="W547" s="44"/>
      <c r="X547" s="44"/>
      <c r="Y547" s="44"/>
      <c r="Z547" s="44"/>
      <c r="AB547" s="37" t="str">
        <f aca="false">TRIM($A547&amp;"")</f>
        <v/>
      </c>
      <c r="AC547" s="37" t="str">
        <f aca="false">IF(AB547="","",IFERROR(INDEX('Account Map'!$B:$B,MATCH(AB547,'Account Map'!$A:$A,0)),""))</f>
        <v/>
      </c>
      <c r="AD547" s="37" t="str">
        <f aca="false">IF(AB547="","",IFERROR(INDEX('Account Map'!$C:$C,MATCH(AB547,'Account Map'!$A:$A,0)),""))</f>
        <v/>
      </c>
      <c r="AE547" s="37" t="n">
        <f aca="false">IF(AND(AB547&lt;&gt;"",AC547="",COUNT($B547:$Z547)&gt;0,LEFT(AB547,5)&lt;&gt;"Total",AB547&lt;&gt;"Gross Profit",AB547&lt;&gt;"Net Profit",AB547&lt;&gt;"Operating Profit"),1,0)</f>
        <v>0</v>
      </c>
    </row>
    <row r="548" customFormat="false" ht="15" hidden="false" customHeight="false" outlineLevel="0" collapsed="false">
      <c r="B548" s="44"/>
      <c r="C548" s="44"/>
      <c r="D548" s="44"/>
      <c r="E548" s="44"/>
      <c r="F548" s="44"/>
      <c r="G548" s="44"/>
      <c r="H548" s="44"/>
      <c r="I548" s="44"/>
      <c r="J548" s="44"/>
      <c r="K548" s="44"/>
      <c r="L548" s="44"/>
      <c r="M548" s="44"/>
      <c r="N548" s="44"/>
      <c r="O548" s="44"/>
      <c r="P548" s="44"/>
      <c r="Q548" s="44"/>
      <c r="R548" s="44"/>
      <c r="S548" s="44"/>
      <c r="T548" s="44"/>
      <c r="U548" s="44"/>
      <c r="V548" s="44"/>
      <c r="W548" s="44"/>
      <c r="X548" s="44"/>
      <c r="Y548" s="44"/>
      <c r="Z548" s="44"/>
      <c r="AB548" s="37" t="str">
        <f aca="false">TRIM($A548&amp;"")</f>
        <v/>
      </c>
      <c r="AC548" s="37" t="str">
        <f aca="false">IF(AB548="","",IFERROR(INDEX('Account Map'!$B:$B,MATCH(AB548,'Account Map'!$A:$A,0)),""))</f>
        <v/>
      </c>
      <c r="AD548" s="37" t="str">
        <f aca="false">IF(AB548="","",IFERROR(INDEX('Account Map'!$C:$C,MATCH(AB548,'Account Map'!$A:$A,0)),""))</f>
        <v/>
      </c>
      <c r="AE548" s="37" t="n">
        <f aca="false">IF(AND(AB548&lt;&gt;"",AC548="",COUNT($B548:$Z548)&gt;0,LEFT(AB548,5)&lt;&gt;"Total",AB548&lt;&gt;"Gross Profit",AB548&lt;&gt;"Net Profit",AB548&lt;&gt;"Operating Profit"),1,0)</f>
        <v>0</v>
      </c>
    </row>
    <row r="549" customFormat="false" ht="15" hidden="false" customHeight="false" outlineLevel="0" collapsed="false">
      <c r="B549" s="44"/>
      <c r="C549" s="44"/>
      <c r="D549" s="44"/>
      <c r="E549" s="44"/>
      <c r="F549" s="44"/>
      <c r="G549" s="44"/>
      <c r="H549" s="44"/>
      <c r="I549" s="44"/>
      <c r="J549" s="44"/>
      <c r="K549" s="44"/>
      <c r="L549" s="44"/>
      <c r="M549" s="44"/>
      <c r="N549" s="44"/>
      <c r="O549" s="44"/>
      <c r="P549" s="44"/>
      <c r="Q549" s="44"/>
      <c r="R549" s="44"/>
      <c r="S549" s="44"/>
      <c r="T549" s="44"/>
      <c r="U549" s="44"/>
      <c r="V549" s="44"/>
      <c r="W549" s="44"/>
      <c r="X549" s="44"/>
      <c r="Y549" s="44"/>
      <c r="Z549" s="44"/>
      <c r="AB549" s="37" t="str">
        <f aca="false">TRIM($A549&amp;"")</f>
        <v/>
      </c>
      <c r="AC549" s="37" t="str">
        <f aca="false">IF(AB549="","",IFERROR(INDEX('Account Map'!$B:$B,MATCH(AB549,'Account Map'!$A:$A,0)),""))</f>
        <v/>
      </c>
      <c r="AD549" s="37" t="str">
        <f aca="false">IF(AB549="","",IFERROR(INDEX('Account Map'!$C:$C,MATCH(AB549,'Account Map'!$A:$A,0)),""))</f>
        <v/>
      </c>
      <c r="AE549" s="37" t="n">
        <f aca="false">IF(AND(AB549&lt;&gt;"",AC549="",COUNT($B549:$Z549)&gt;0,LEFT(AB549,5)&lt;&gt;"Total",AB549&lt;&gt;"Gross Profit",AB549&lt;&gt;"Net Profit",AB549&lt;&gt;"Operating Profit"),1,0)</f>
        <v>0</v>
      </c>
    </row>
    <row r="550" customFormat="false" ht="15" hidden="false" customHeight="false" outlineLevel="0" collapsed="false">
      <c r="B550" s="44"/>
      <c r="C550" s="44"/>
      <c r="D550" s="44"/>
      <c r="E550" s="44"/>
      <c r="F550" s="44"/>
      <c r="G550" s="44"/>
      <c r="H550" s="44"/>
      <c r="I550" s="44"/>
      <c r="J550" s="44"/>
      <c r="K550" s="44"/>
      <c r="L550" s="44"/>
      <c r="M550" s="44"/>
      <c r="N550" s="44"/>
      <c r="O550" s="44"/>
      <c r="P550" s="44"/>
      <c r="Q550" s="44"/>
      <c r="R550" s="44"/>
      <c r="S550" s="44"/>
      <c r="T550" s="44"/>
      <c r="U550" s="44"/>
      <c r="V550" s="44"/>
      <c r="W550" s="44"/>
      <c r="X550" s="44"/>
      <c r="Y550" s="44"/>
      <c r="Z550" s="44"/>
      <c r="AB550" s="37" t="str">
        <f aca="false">TRIM($A550&amp;"")</f>
        <v/>
      </c>
      <c r="AC550" s="37" t="str">
        <f aca="false">IF(AB550="","",IFERROR(INDEX('Account Map'!$B:$B,MATCH(AB550,'Account Map'!$A:$A,0)),""))</f>
        <v/>
      </c>
      <c r="AD550" s="37" t="str">
        <f aca="false">IF(AB550="","",IFERROR(INDEX('Account Map'!$C:$C,MATCH(AB550,'Account Map'!$A:$A,0)),""))</f>
        <v/>
      </c>
      <c r="AE550" s="37" t="n">
        <f aca="false">IF(AND(AB550&lt;&gt;"",AC550="",COUNT($B550:$Z550)&gt;0,LEFT(AB550,5)&lt;&gt;"Total",AB550&lt;&gt;"Gross Profit",AB550&lt;&gt;"Net Profit",AB550&lt;&gt;"Operating Profit"),1,0)</f>
        <v>0</v>
      </c>
    </row>
    <row r="551" customFormat="false" ht="15" hidden="false" customHeight="false" outlineLevel="0" collapsed="false">
      <c r="B551" s="44"/>
      <c r="C551" s="44"/>
      <c r="D551" s="44"/>
      <c r="E551" s="44"/>
      <c r="F551" s="44"/>
      <c r="G551" s="44"/>
      <c r="H551" s="44"/>
      <c r="I551" s="44"/>
      <c r="J551" s="44"/>
      <c r="K551" s="44"/>
      <c r="L551" s="44"/>
      <c r="M551" s="44"/>
      <c r="N551" s="44"/>
      <c r="O551" s="44"/>
      <c r="P551" s="44"/>
      <c r="Q551" s="44"/>
      <c r="R551" s="44"/>
      <c r="S551" s="44"/>
      <c r="T551" s="44"/>
      <c r="U551" s="44"/>
      <c r="V551" s="44"/>
      <c r="W551" s="44"/>
      <c r="X551" s="44"/>
      <c r="Y551" s="44"/>
      <c r="Z551" s="44"/>
      <c r="AB551" s="37" t="str">
        <f aca="false">TRIM($A551&amp;"")</f>
        <v/>
      </c>
      <c r="AC551" s="37" t="str">
        <f aca="false">IF(AB551="","",IFERROR(INDEX('Account Map'!$B:$B,MATCH(AB551,'Account Map'!$A:$A,0)),""))</f>
        <v/>
      </c>
      <c r="AD551" s="37" t="str">
        <f aca="false">IF(AB551="","",IFERROR(INDEX('Account Map'!$C:$C,MATCH(AB551,'Account Map'!$A:$A,0)),""))</f>
        <v/>
      </c>
      <c r="AE551" s="37" t="n">
        <f aca="false">IF(AND(AB551&lt;&gt;"",AC551="",COUNT($B551:$Z551)&gt;0,LEFT(AB551,5)&lt;&gt;"Total",AB551&lt;&gt;"Gross Profit",AB551&lt;&gt;"Net Profit",AB551&lt;&gt;"Operating Profit"),1,0)</f>
        <v>0</v>
      </c>
    </row>
    <row r="552" customFormat="false" ht="15" hidden="false" customHeight="false" outlineLevel="0" collapsed="false">
      <c r="B552" s="44"/>
      <c r="C552" s="44"/>
      <c r="D552" s="44"/>
      <c r="E552" s="44"/>
      <c r="F552" s="44"/>
      <c r="G552" s="44"/>
      <c r="H552" s="44"/>
      <c r="I552" s="44"/>
      <c r="J552" s="44"/>
      <c r="K552" s="44"/>
      <c r="L552" s="44"/>
      <c r="M552" s="44"/>
      <c r="N552" s="44"/>
      <c r="O552" s="44"/>
      <c r="P552" s="44"/>
      <c r="Q552" s="44"/>
      <c r="R552" s="44"/>
      <c r="S552" s="44"/>
      <c r="T552" s="44"/>
      <c r="U552" s="44"/>
      <c r="V552" s="44"/>
      <c r="W552" s="44"/>
      <c r="X552" s="44"/>
      <c r="Y552" s="44"/>
      <c r="Z552" s="44"/>
      <c r="AB552" s="37" t="str">
        <f aca="false">TRIM($A552&amp;"")</f>
        <v/>
      </c>
      <c r="AC552" s="37" t="str">
        <f aca="false">IF(AB552="","",IFERROR(INDEX('Account Map'!$B:$B,MATCH(AB552,'Account Map'!$A:$A,0)),""))</f>
        <v/>
      </c>
      <c r="AD552" s="37" t="str">
        <f aca="false">IF(AB552="","",IFERROR(INDEX('Account Map'!$C:$C,MATCH(AB552,'Account Map'!$A:$A,0)),""))</f>
        <v/>
      </c>
      <c r="AE552" s="37" t="n">
        <f aca="false">IF(AND(AB552&lt;&gt;"",AC552="",COUNT($B552:$Z552)&gt;0,LEFT(AB552,5)&lt;&gt;"Total",AB552&lt;&gt;"Gross Profit",AB552&lt;&gt;"Net Profit",AB552&lt;&gt;"Operating Profit"),1,0)</f>
        <v>0</v>
      </c>
    </row>
    <row r="553" customFormat="false" ht="15" hidden="false" customHeight="false" outlineLevel="0" collapsed="false">
      <c r="B553" s="44"/>
      <c r="C553" s="44"/>
      <c r="D553" s="44"/>
      <c r="E553" s="44"/>
      <c r="F553" s="44"/>
      <c r="G553" s="44"/>
      <c r="H553" s="44"/>
      <c r="I553" s="44"/>
      <c r="J553" s="44"/>
      <c r="K553" s="44"/>
      <c r="L553" s="44"/>
      <c r="M553" s="44"/>
      <c r="N553" s="44"/>
      <c r="O553" s="44"/>
      <c r="P553" s="44"/>
      <c r="Q553" s="44"/>
      <c r="R553" s="44"/>
      <c r="S553" s="44"/>
      <c r="T553" s="44"/>
      <c r="U553" s="44"/>
      <c r="V553" s="44"/>
      <c r="W553" s="44"/>
      <c r="X553" s="44"/>
      <c r="Y553" s="44"/>
      <c r="Z553" s="44"/>
      <c r="AB553" s="37" t="str">
        <f aca="false">TRIM($A553&amp;"")</f>
        <v/>
      </c>
      <c r="AC553" s="37" t="str">
        <f aca="false">IF(AB553="","",IFERROR(INDEX('Account Map'!$B:$B,MATCH(AB553,'Account Map'!$A:$A,0)),""))</f>
        <v/>
      </c>
      <c r="AD553" s="37" t="str">
        <f aca="false">IF(AB553="","",IFERROR(INDEX('Account Map'!$C:$C,MATCH(AB553,'Account Map'!$A:$A,0)),""))</f>
        <v/>
      </c>
      <c r="AE553" s="37" t="n">
        <f aca="false">IF(AND(AB553&lt;&gt;"",AC553="",COUNT($B553:$Z553)&gt;0,LEFT(AB553,5)&lt;&gt;"Total",AB553&lt;&gt;"Gross Profit",AB553&lt;&gt;"Net Profit",AB553&lt;&gt;"Operating Profit"),1,0)</f>
        <v>0</v>
      </c>
    </row>
    <row r="554" customFormat="false" ht="15" hidden="false" customHeight="false" outlineLevel="0" collapsed="false">
      <c r="B554" s="44"/>
      <c r="C554" s="44"/>
      <c r="D554" s="44"/>
      <c r="E554" s="44"/>
      <c r="F554" s="44"/>
      <c r="G554" s="44"/>
      <c r="H554" s="44"/>
      <c r="I554" s="44"/>
      <c r="J554" s="44"/>
      <c r="K554" s="44"/>
      <c r="L554" s="44"/>
      <c r="M554" s="44"/>
      <c r="N554" s="44"/>
      <c r="O554" s="44"/>
      <c r="P554" s="44"/>
      <c r="Q554" s="44"/>
      <c r="R554" s="44"/>
      <c r="S554" s="44"/>
      <c r="T554" s="44"/>
      <c r="U554" s="44"/>
      <c r="V554" s="44"/>
      <c r="W554" s="44"/>
      <c r="X554" s="44"/>
      <c r="Y554" s="44"/>
      <c r="Z554" s="44"/>
      <c r="AB554" s="37" t="str">
        <f aca="false">TRIM($A554&amp;"")</f>
        <v/>
      </c>
      <c r="AC554" s="37" t="str">
        <f aca="false">IF(AB554="","",IFERROR(INDEX('Account Map'!$B:$B,MATCH(AB554,'Account Map'!$A:$A,0)),""))</f>
        <v/>
      </c>
      <c r="AD554" s="37" t="str">
        <f aca="false">IF(AB554="","",IFERROR(INDEX('Account Map'!$C:$C,MATCH(AB554,'Account Map'!$A:$A,0)),""))</f>
        <v/>
      </c>
      <c r="AE554" s="37" t="n">
        <f aca="false">IF(AND(AB554&lt;&gt;"",AC554="",COUNT($B554:$Z554)&gt;0,LEFT(AB554,5)&lt;&gt;"Total",AB554&lt;&gt;"Gross Profit",AB554&lt;&gt;"Net Profit",AB554&lt;&gt;"Operating Profit"),1,0)</f>
        <v>0</v>
      </c>
    </row>
    <row r="555" customFormat="false" ht="15" hidden="false" customHeight="false" outlineLevel="0" collapsed="false">
      <c r="B555" s="44"/>
      <c r="C555" s="44"/>
      <c r="D555" s="44"/>
      <c r="E555" s="44"/>
      <c r="F555" s="44"/>
      <c r="G555" s="44"/>
      <c r="H555" s="44"/>
      <c r="I555" s="44"/>
      <c r="J555" s="44"/>
      <c r="K555" s="44"/>
      <c r="L555" s="44"/>
      <c r="M555" s="44"/>
      <c r="N555" s="44"/>
      <c r="O555" s="44"/>
      <c r="P555" s="44"/>
      <c r="Q555" s="44"/>
      <c r="R555" s="44"/>
      <c r="S555" s="44"/>
      <c r="T555" s="44"/>
      <c r="U555" s="44"/>
      <c r="V555" s="44"/>
      <c r="W555" s="44"/>
      <c r="X555" s="44"/>
      <c r="Y555" s="44"/>
      <c r="Z555" s="44"/>
      <c r="AB555" s="37" t="str">
        <f aca="false">TRIM($A555&amp;"")</f>
        <v/>
      </c>
      <c r="AC555" s="37" t="str">
        <f aca="false">IF(AB555="","",IFERROR(INDEX('Account Map'!$B:$B,MATCH(AB555,'Account Map'!$A:$A,0)),""))</f>
        <v/>
      </c>
      <c r="AD555" s="37" t="str">
        <f aca="false">IF(AB555="","",IFERROR(INDEX('Account Map'!$C:$C,MATCH(AB555,'Account Map'!$A:$A,0)),""))</f>
        <v/>
      </c>
      <c r="AE555" s="37" t="n">
        <f aca="false">IF(AND(AB555&lt;&gt;"",AC555="",COUNT($B555:$Z555)&gt;0,LEFT(AB555,5)&lt;&gt;"Total",AB555&lt;&gt;"Gross Profit",AB555&lt;&gt;"Net Profit",AB555&lt;&gt;"Operating Profit"),1,0)</f>
        <v>0</v>
      </c>
    </row>
    <row r="556" customFormat="false" ht="15" hidden="false" customHeight="false" outlineLevel="0" collapsed="false">
      <c r="B556" s="44"/>
      <c r="C556" s="44"/>
      <c r="D556" s="44"/>
      <c r="E556" s="44"/>
      <c r="F556" s="44"/>
      <c r="G556" s="44"/>
      <c r="H556" s="44"/>
      <c r="I556" s="44"/>
      <c r="J556" s="44"/>
      <c r="K556" s="44"/>
      <c r="L556" s="44"/>
      <c r="M556" s="44"/>
      <c r="N556" s="44"/>
      <c r="O556" s="44"/>
      <c r="P556" s="44"/>
      <c r="Q556" s="44"/>
      <c r="R556" s="44"/>
      <c r="S556" s="44"/>
      <c r="T556" s="44"/>
      <c r="U556" s="44"/>
      <c r="V556" s="44"/>
      <c r="W556" s="44"/>
      <c r="X556" s="44"/>
      <c r="Y556" s="44"/>
      <c r="Z556" s="44"/>
      <c r="AB556" s="37" t="str">
        <f aca="false">TRIM($A556&amp;"")</f>
        <v/>
      </c>
      <c r="AC556" s="37" t="str">
        <f aca="false">IF(AB556="","",IFERROR(INDEX('Account Map'!$B:$B,MATCH(AB556,'Account Map'!$A:$A,0)),""))</f>
        <v/>
      </c>
      <c r="AD556" s="37" t="str">
        <f aca="false">IF(AB556="","",IFERROR(INDEX('Account Map'!$C:$C,MATCH(AB556,'Account Map'!$A:$A,0)),""))</f>
        <v/>
      </c>
      <c r="AE556" s="37" t="n">
        <f aca="false">IF(AND(AB556&lt;&gt;"",AC556="",COUNT($B556:$Z556)&gt;0,LEFT(AB556,5)&lt;&gt;"Total",AB556&lt;&gt;"Gross Profit",AB556&lt;&gt;"Net Profit",AB556&lt;&gt;"Operating Profit"),1,0)</f>
        <v>0</v>
      </c>
    </row>
    <row r="557" customFormat="false" ht="15" hidden="false" customHeight="false" outlineLevel="0" collapsed="false">
      <c r="B557" s="44"/>
      <c r="C557" s="44"/>
      <c r="D557" s="44"/>
      <c r="E557" s="44"/>
      <c r="F557" s="44"/>
      <c r="G557" s="44"/>
      <c r="H557" s="44"/>
      <c r="I557" s="44"/>
      <c r="J557" s="44"/>
      <c r="K557" s="44"/>
      <c r="L557" s="44"/>
      <c r="M557" s="44"/>
      <c r="N557" s="44"/>
      <c r="O557" s="44"/>
      <c r="P557" s="44"/>
      <c r="Q557" s="44"/>
      <c r="R557" s="44"/>
      <c r="S557" s="44"/>
      <c r="T557" s="44"/>
      <c r="U557" s="44"/>
      <c r="V557" s="44"/>
      <c r="W557" s="44"/>
      <c r="X557" s="44"/>
      <c r="Y557" s="44"/>
      <c r="Z557" s="44"/>
      <c r="AB557" s="37" t="str">
        <f aca="false">TRIM($A557&amp;"")</f>
        <v/>
      </c>
      <c r="AC557" s="37" t="str">
        <f aca="false">IF(AB557="","",IFERROR(INDEX('Account Map'!$B:$B,MATCH(AB557,'Account Map'!$A:$A,0)),""))</f>
        <v/>
      </c>
      <c r="AD557" s="37" t="str">
        <f aca="false">IF(AB557="","",IFERROR(INDEX('Account Map'!$C:$C,MATCH(AB557,'Account Map'!$A:$A,0)),""))</f>
        <v/>
      </c>
      <c r="AE557" s="37" t="n">
        <f aca="false">IF(AND(AB557&lt;&gt;"",AC557="",COUNT($B557:$Z557)&gt;0,LEFT(AB557,5)&lt;&gt;"Total",AB557&lt;&gt;"Gross Profit",AB557&lt;&gt;"Net Profit",AB557&lt;&gt;"Operating Profit"),1,0)</f>
        <v>0</v>
      </c>
    </row>
    <row r="558" customFormat="false" ht="15" hidden="false" customHeight="false" outlineLevel="0" collapsed="false">
      <c r="B558" s="44"/>
      <c r="C558" s="44"/>
      <c r="D558" s="44"/>
      <c r="E558" s="44"/>
      <c r="F558" s="44"/>
      <c r="G558" s="44"/>
      <c r="H558" s="44"/>
      <c r="I558" s="44"/>
      <c r="J558" s="44"/>
      <c r="K558" s="44"/>
      <c r="L558" s="44"/>
      <c r="M558" s="44"/>
      <c r="N558" s="44"/>
      <c r="O558" s="44"/>
      <c r="P558" s="44"/>
      <c r="Q558" s="44"/>
      <c r="R558" s="44"/>
      <c r="S558" s="44"/>
      <c r="T558" s="44"/>
      <c r="U558" s="44"/>
      <c r="V558" s="44"/>
      <c r="W558" s="44"/>
      <c r="X558" s="44"/>
      <c r="Y558" s="44"/>
      <c r="Z558" s="44"/>
      <c r="AB558" s="37" t="str">
        <f aca="false">TRIM($A558&amp;"")</f>
        <v/>
      </c>
      <c r="AC558" s="37" t="str">
        <f aca="false">IF(AB558="","",IFERROR(INDEX('Account Map'!$B:$B,MATCH(AB558,'Account Map'!$A:$A,0)),""))</f>
        <v/>
      </c>
      <c r="AD558" s="37" t="str">
        <f aca="false">IF(AB558="","",IFERROR(INDEX('Account Map'!$C:$C,MATCH(AB558,'Account Map'!$A:$A,0)),""))</f>
        <v/>
      </c>
      <c r="AE558" s="37" t="n">
        <f aca="false">IF(AND(AB558&lt;&gt;"",AC558="",COUNT($B558:$Z558)&gt;0,LEFT(AB558,5)&lt;&gt;"Total",AB558&lt;&gt;"Gross Profit",AB558&lt;&gt;"Net Profit",AB558&lt;&gt;"Operating Profit"),1,0)</f>
        <v>0</v>
      </c>
    </row>
    <row r="559" customFormat="false" ht="15" hidden="false" customHeight="false" outlineLevel="0" collapsed="false">
      <c r="B559" s="44"/>
      <c r="C559" s="44"/>
      <c r="D559" s="44"/>
      <c r="E559" s="44"/>
      <c r="F559" s="44"/>
      <c r="G559" s="44"/>
      <c r="H559" s="44"/>
      <c r="I559" s="44"/>
      <c r="J559" s="44"/>
      <c r="K559" s="44"/>
      <c r="L559" s="44"/>
      <c r="M559" s="44"/>
      <c r="N559" s="44"/>
      <c r="O559" s="44"/>
      <c r="P559" s="44"/>
      <c r="Q559" s="44"/>
      <c r="R559" s="44"/>
      <c r="S559" s="44"/>
      <c r="T559" s="44"/>
      <c r="U559" s="44"/>
      <c r="V559" s="44"/>
      <c r="W559" s="44"/>
      <c r="X559" s="44"/>
      <c r="Y559" s="44"/>
      <c r="Z559" s="44"/>
      <c r="AB559" s="37" t="str">
        <f aca="false">TRIM($A559&amp;"")</f>
        <v/>
      </c>
      <c r="AC559" s="37" t="str">
        <f aca="false">IF(AB559="","",IFERROR(INDEX('Account Map'!$B:$B,MATCH(AB559,'Account Map'!$A:$A,0)),""))</f>
        <v/>
      </c>
      <c r="AD559" s="37" t="str">
        <f aca="false">IF(AB559="","",IFERROR(INDEX('Account Map'!$C:$C,MATCH(AB559,'Account Map'!$A:$A,0)),""))</f>
        <v/>
      </c>
      <c r="AE559" s="37" t="n">
        <f aca="false">IF(AND(AB559&lt;&gt;"",AC559="",COUNT($B559:$Z559)&gt;0,LEFT(AB559,5)&lt;&gt;"Total",AB559&lt;&gt;"Gross Profit",AB559&lt;&gt;"Net Profit",AB559&lt;&gt;"Operating Profit"),1,0)</f>
        <v>0</v>
      </c>
    </row>
    <row r="560" customFormat="false" ht="15" hidden="false" customHeight="false" outlineLevel="0" collapsed="false">
      <c r="B560" s="44"/>
      <c r="C560" s="44"/>
      <c r="D560" s="44"/>
      <c r="E560" s="44"/>
      <c r="F560" s="44"/>
      <c r="G560" s="44"/>
      <c r="H560" s="44"/>
      <c r="I560" s="44"/>
      <c r="J560" s="44"/>
      <c r="K560" s="44"/>
      <c r="L560" s="44"/>
      <c r="M560" s="44"/>
      <c r="N560" s="44"/>
      <c r="O560" s="44"/>
      <c r="P560" s="44"/>
      <c r="Q560" s="44"/>
      <c r="R560" s="44"/>
      <c r="S560" s="44"/>
      <c r="T560" s="44"/>
      <c r="U560" s="44"/>
      <c r="V560" s="44"/>
      <c r="W560" s="44"/>
      <c r="X560" s="44"/>
      <c r="Y560" s="44"/>
      <c r="Z560" s="44"/>
      <c r="AB560" s="37" t="str">
        <f aca="false">TRIM($A560&amp;"")</f>
        <v/>
      </c>
      <c r="AC560" s="37" t="str">
        <f aca="false">IF(AB560="","",IFERROR(INDEX('Account Map'!$B:$B,MATCH(AB560,'Account Map'!$A:$A,0)),""))</f>
        <v/>
      </c>
      <c r="AD560" s="37" t="str">
        <f aca="false">IF(AB560="","",IFERROR(INDEX('Account Map'!$C:$C,MATCH(AB560,'Account Map'!$A:$A,0)),""))</f>
        <v/>
      </c>
      <c r="AE560" s="37" t="n">
        <f aca="false">IF(AND(AB560&lt;&gt;"",AC560="",COUNT($B560:$Z560)&gt;0,LEFT(AB560,5)&lt;&gt;"Total",AB560&lt;&gt;"Gross Profit",AB560&lt;&gt;"Net Profit",AB560&lt;&gt;"Operating Profit"),1,0)</f>
        <v>0</v>
      </c>
    </row>
    <row r="561" customFormat="false" ht="15" hidden="false" customHeight="false" outlineLevel="0" collapsed="false">
      <c r="B561" s="44"/>
      <c r="C561" s="44"/>
      <c r="D561" s="44"/>
      <c r="E561" s="44"/>
      <c r="F561" s="44"/>
      <c r="G561" s="44"/>
      <c r="H561" s="44"/>
      <c r="I561" s="44"/>
      <c r="J561" s="44"/>
      <c r="K561" s="44"/>
      <c r="L561" s="44"/>
      <c r="M561" s="44"/>
      <c r="N561" s="44"/>
      <c r="O561" s="44"/>
      <c r="P561" s="44"/>
      <c r="Q561" s="44"/>
      <c r="R561" s="44"/>
      <c r="S561" s="44"/>
      <c r="T561" s="44"/>
      <c r="U561" s="44"/>
      <c r="V561" s="44"/>
      <c r="W561" s="44"/>
      <c r="X561" s="44"/>
      <c r="Y561" s="44"/>
      <c r="Z561" s="44"/>
      <c r="AB561" s="37" t="str">
        <f aca="false">TRIM($A561&amp;"")</f>
        <v/>
      </c>
      <c r="AC561" s="37" t="str">
        <f aca="false">IF(AB561="","",IFERROR(INDEX('Account Map'!$B:$B,MATCH(AB561,'Account Map'!$A:$A,0)),""))</f>
        <v/>
      </c>
      <c r="AD561" s="37" t="str">
        <f aca="false">IF(AB561="","",IFERROR(INDEX('Account Map'!$C:$C,MATCH(AB561,'Account Map'!$A:$A,0)),""))</f>
        <v/>
      </c>
      <c r="AE561" s="37" t="n">
        <f aca="false">IF(AND(AB561&lt;&gt;"",AC561="",COUNT($B561:$Z561)&gt;0,LEFT(AB561,5)&lt;&gt;"Total",AB561&lt;&gt;"Gross Profit",AB561&lt;&gt;"Net Profit",AB561&lt;&gt;"Operating Profit"),1,0)</f>
        <v>0</v>
      </c>
    </row>
    <row r="562" customFormat="false" ht="15" hidden="false" customHeight="false" outlineLevel="0" collapsed="false">
      <c r="B562" s="44"/>
      <c r="C562" s="44"/>
      <c r="D562" s="44"/>
      <c r="E562" s="44"/>
      <c r="F562" s="44"/>
      <c r="G562" s="44"/>
      <c r="H562" s="44"/>
      <c r="I562" s="44"/>
      <c r="J562" s="44"/>
      <c r="K562" s="44"/>
      <c r="L562" s="44"/>
      <c r="M562" s="44"/>
      <c r="N562" s="44"/>
      <c r="O562" s="44"/>
      <c r="P562" s="44"/>
      <c r="Q562" s="44"/>
      <c r="R562" s="44"/>
      <c r="S562" s="44"/>
      <c r="T562" s="44"/>
      <c r="U562" s="44"/>
      <c r="V562" s="44"/>
      <c r="W562" s="44"/>
      <c r="X562" s="44"/>
      <c r="Y562" s="44"/>
      <c r="Z562" s="44"/>
      <c r="AB562" s="37" t="str">
        <f aca="false">TRIM($A562&amp;"")</f>
        <v/>
      </c>
      <c r="AC562" s="37" t="str">
        <f aca="false">IF(AB562="","",IFERROR(INDEX('Account Map'!$B:$B,MATCH(AB562,'Account Map'!$A:$A,0)),""))</f>
        <v/>
      </c>
      <c r="AD562" s="37" t="str">
        <f aca="false">IF(AB562="","",IFERROR(INDEX('Account Map'!$C:$C,MATCH(AB562,'Account Map'!$A:$A,0)),""))</f>
        <v/>
      </c>
      <c r="AE562" s="37" t="n">
        <f aca="false">IF(AND(AB562&lt;&gt;"",AC562="",COUNT($B562:$Z562)&gt;0,LEFT(AB562,5)&lt;&gt;"Total",AB562&lt;&gt;"Gross Profit",AB562&lt;&gt;"Net Profit",AB562&lt;&gt;"Operating Profit"),1,0)</f>
        <v>0</v>
      </c>
    </row>
    <row r="563" customFormat="false" ht="15" hidden="false" customHeight="false" outlineLevel="0" collapsed="false">
      <c r="B563" s="44"/>
      <c r="C563" s="44"/>
      <c r="D563" s="44"/>
      <c r="E563" s="44"/>
      <c r="F563" s="44"/>
      <c r="G563" s="44"/>
      <c r="H563" s="44"/>
      <c r="I563" s="44"/>
      <c r="J563" s="44"/>
      <c r="K563" s="44"/>
      <c r="L563" s="44"/>
      <c r="M563" s="44"/>
      <c r="N563" s="44"/>
      <c r="O563" s="44"/>
      <c r="P563" s="44"/>
      <c r="Q563" s="44"/>
      <c r="R563" s="44"/>
      <c r="S563" s="44"/>
      <c r="T563" s="44"/>
      <c r="U563" s="44"/>
      <c r="V563" s="44"/>
      <c r="W563" s="44"/>
      <c r="X563" s="44"/>
      <c r="Y563" s="44"/>
      <c r="Z563" s="44"/>
      <c r="AB563" s="37" t="str">
        <f aca="false">TRIM($A563&amp;"")</f>
        <v/>
      </c>
      <c r="AC563" s="37" t="str">
        <f aca="false">IF(AB563="","",IFERROR(INDEX('Account Map'!$B:$B,MATCH(AB563,'Account Map'!$A:$A,0)),""))</f>
        <v/>
      </c>
      <c r="AD563" s="37" t="str">
        <f aca="false">IF(AB563="","",IFERROR(INDEX('Account Map'!$C:$C,MATCH(AB563,'Account Map'!$A:$A,0)),""))</f>
        <v/>
      </c>
      <c r="AE563" s="37" t="n">
        <f aca="false">IF(AND(AB563&lt;&gt;"",AC563="",COUNT($B563:$Z563)&gt;0,LEFT(AB563,5)&lt;&gt;"Total",AB563&lt;&gt;"Gross Profit",AB563&lt;&gt;"Net Profit",AB563&lt;&gt;"Operating Profit"),1,0)</f>
        <v>0</v>
      </c>
    </row>
    <row r="564" customFormat="false" ht="15" hidden="false" customHeight="false" outlineLevel="0" collapsed="false">
      <c r="B564" s="44"/>
      <c r="C564" s="44"/>
      <c r="D564" s="44"/>
      <c r="E564" s="44"/>
      <c r="F564" s="44"/>
      <c r="G564" s="44"/>
      <c r="H564" s="44"/>
      <c r="I564" s="44"/>
      <c r="J564" s="44"/>
      <c r="K564" s="44"/>
      <c r="L564" s="44"/>
      <c r="M564" s="44"/>
      <c r="N564" s="44"/>
      <c r="O564" s="44"/>
      <c r="P564" s="44"/>
      <c r="Q564" s="44"/>
      <c r="R564" s="44"/>
      <c r="S564" s="44"/>
      <c r="T564" s="44"/>
      <c r="U564" s="44"/>
      <c r="V564" s="44"/>
      <c r="W564" s="44"/>
      <c r="X564" s="44"/>
      <c r="Y564" s="44"/>
      <c r="Z564" s="44"/>
      <c r="AB564" s="37" t="str">
        <f aca="false">TRIM($A564&amp;"")</f>
        <v/>
      </c>
      <c r="AC564" s="37" t="str">
        <f aca="false">IF(AB564="","",IFERROR(INDEX('Account Map'!$B:$B,MATCH(AB564,'Account Map'!$A:$A,0)),""))</f>
        <v/>
      </c>
      <c r="AD564" s="37" t="str">
        <f aca="false">IF(AB564="","",IFERROR(INDEX('Account Map'!$C:$C,MATCH(AB564,'Account Map'!$A:$A,0)),""))</f>
        <v/>
      </c>
      <c r="AE564" s="37" t="n">
        <f aca="false">IF(AND(AB564&lt;&gt;"",AC564="",COUNT($B564:$Z564)&gt;0,LEFT(AB564,5)&lt;&gt;"Total",AB564&lt;&gt;"Gross Profit",AB564&lt;&gt;"Net Profit",AB564&lt;&gt;"Operating Profit"),1,0)</f>
        <v>0</v>
      </c>
    </row>
    <row r="565" customFormat="false" ht="15" hidden="false" customHeight="false" outlineLevel="0" collapsed="false">
      <c r="B565" s="44"/>
      <c r="C565" s="44"/>
      <c r="D565" s="44"/>
      <c r="E565" s="44"/>
      <c r="F565" s="44"/>
      <c r="G565" s="44"/>
      <c r="H565" s="44"/>
      <c r="I565" s="44"/>
      <c r="J565" s="44"/>
      <c r="K565" s="44"/>
      <c r="L565" s="44"/>
      <c r="M565" s="44"/>
      <c r="N565" s="44"/>
      <c r="O565" s="44"/>
      <c r="P565" s="44"/>
      <c r="Q565" s="44"/>
      <c r="R565" s="44"/>
      <c r="S565" s="44"/>
      <c r="T565" s="44"/>
      <c r="U565" s="44"/>
      <c r="V565" s="44"/>
      <c r="W565" s="44"/>
      <c r="X565" s="44"/>
      <c r="Y565" s="44"/>
      <c r="Z565" s="44"/>
      <c r="AB565" s="37" t="str">
        <f aca="false">TRIM($A565&amp;"")</f>
        <v/>
      </c>
      <c r="AC565" s="37" t="str">
        <f aca="false">IF(AB565="","",IFERROR(INDEX('Account Map'!$B:$B,MATCH(AB565,'Account Map'!$A:$A,0)),""))</f>
        <v/>
      </c>
      <c r="AD565" s="37" t="str">
        <f aca="false">IF(AB565="","",IFERROR(INDEX('Account Map'!$C:$C,MATCH(AB565,'Account Map'!$A:$A,0)),""))</f>
        <v/>
      </c>
      <c r="AE565" s="37" t="n">
        <f aca="false">IF(AND(AB565&lt;&gt;"",AC565="",COUNT($B565:$Z565)&gt;0,LEFT(AB565,5)&lt;&gt;"Total",AB565&lt;&gt;"Gross Profit",AB565&lt;&gt;"Net Profit",AB565&lt;&gt;"Operating Profit"),1,0)</f>
        <v>0</v>
      </c>
    </row>
    <row r="566" customFormat="false" ht="15" hidden="false" customHeight="false" outlineLevel="0" collapsed="false">
      <c r="B566" s="44"/>
      <c r="C566" s="44"/>
      <c r="D566" s="44"/>
      <c r="E566" s="44"/>
      <c r="F566" s="44"/>
      <c r="G566" s="44"/>
      <c r="H566" s="44"/>
      <c r="I566" s="44"/>
      <c r="J566" s="44"/>
      <c r="K566" s="44"/>
      <c r="L566" s="44"/>
      <c r="M566" s="44"/>
      <c r="N566" s="44"/>
      <c r="O566" s="44"/>
      <c r="P566" s="44"/>
      <c r="Q566" s="44"/>
      <c r="R566" s="44"/>
      <c r="S566" s="44"/>
      <c r="T566" s="44"/>
      <c r="U566" s="44"/>
      <c r="V566" s="44"/>
      <c r="W566" s="44"/>
      <c r="X566" s="44"/>
      <c r="Y566" s="44"/>
      <c r="Z566" s="44"/>
      <c r="AB566" s="37" t="str">
        <f aca="false">TRIM($A566&amp;"")</f>
        <v/>
      </c>
      <c r="AC566" s="37" t="str">
        <f aca="false">IF(AB566="","",IFERROR(INDEX('Account Map'!$B:$B,MATCH(AB566,'Account Map'!$A:$A,0)),""))</f>
        <v/>
      </c>
      <c r="AD566" s="37" t="str">
        <f aca="false">IF(AB566="","",IFERROR(INDEX('Account Map'!$C:$C,MATCH(AB566,'Account Map'!$A:$A,0)),""))</f>
        <v/>
      </c>
      <c r="AE566" s="37" t="n">
        <f aca="false">IF(AND(AB566&lt;&gt;"",AC566="",COUNT($B566:$Z566)&gt;0,LEFT(AB566,5)&lt;&gt;"Total",AB566&lt;&gt;"Gross Profit",AB566&lt;&gt;"Net Profit",AB566&lt;&gt;"Operating Profit"),1,0)</f>
        <v>0</v>
      </c>
    </row>
    <row r="567" customFormat="false" ht="15" hidden="false" customHeight="false" outlineLevel="0" collapsed="false">
      <c r="B567" s="44"/>
      <c r="C567" s="44"/>
      <c r="D567" s="44"/>
      <c r="E567" s="44"/>
      <c r="F567" s="44"/>
      <c r="G567" s="44"/>
      <c r="H567" s="44"/>
      <c r="I567" s="44"/>
      <c r="J567" s="44"/>
      <c r="K567" s="44"/>
      <c r="L567" s="44"/>
      <c r="M567" s="44"/>
      <c r="N567" s="44"/>
      <c r="O567" s="44"/>
      <c r="P567" s="44"/>
      <c r="Q567" s="44"/>
      <c r="R567" s="44"/>
      <c r="S567" s="44"/>
      <c r="T567" s="44"/>
      <c r="U567" s="44"/>
      <c r="V567" s="44"/>
      <c r="W567" s="44"/>
      <c r="X567" s="44"/>
      <c r="Y567" s="44"/>
      <c r="Z567" s="44"/>
      <c r="AB567" s="37" t="str">
        <f aca="false">TRIM($A567&amp;"")</f>
        <v/>
      </c>
      <c r="AC567" s="37" t="str">
        <f aca="false">IF(AB567="","",IFERROR(INDEX('Account Map'!$B:$B,MATCH(AB567,'Account Map'!$A:$A,0)),""))</f>
        <v/>
      </c>
      <c r="AD567" s="37" t="str">
        <f aca="false">IF(AB567="","",IFERROR(INDEX('Account Map'!$C:$C,MATCH(AB567,'Account Map'!$A:$A,0)),""))</f>
        <v/>
      </c>
      <c r="AE567" s="37" t="n">
        <f aca="false">IF(AND(AB567&lt;&gt;"",AC567="",COUNT($B567:$Z567)&gt;0,LEFT(AB567,5)&lt;&gt;"Total",AB567&lt;&gt;"Gross Profit",AB567&lt;&gt;"Net Profit",AB567&lt;&gt;"Operating Profit"),1,0)</f>
        <v>0</v>
      </c>
    </row>
    <row r="568" customFormat="false" ht="15" hidden="false" customHeight="false" outlineLevel="0" collapsed="false">
      <c r="B568" s="44"/>
      <c r="C568" s="44"/>
      <c r="D568" s="44"/>
      <c r="E568" s="44"/>
      <c r="F568" s="44"/>
      <c r="G568" s="44"/>
      <c r="H568" s="44"/>
      <c r="I568" s="44"/>
      <c r="J568" s="44"/>
      <c r="K568" s="44"/>
      <c r="L568" s="44"/>
      <c r="M568" s="44"/>
      <c r="N568" s="44"/>
      <c r="O568" s="44"/>
      <c r="P568" s="44"/>
      <c r="Q568" s="44"/>
      <c r="R568" s="44"/>
      <c r="S568" s="44"/>
      <c r="T568" s="44"/>
      <c r="U568" s="44"/>
      <c r="V568" s="44"/>
      <c r="W568" s="44"/>
      <c r="X568" s="44"/>
      <c r="Y568" s="44"/>
      <c r="Z568" s="44"/>
      <c r="AB568" s="37" t="str">
        <f aca="false">TRIM($A568&amp;"")</f>
        <v/>
      </c>
      <c r="AC568" s="37" t="str">
        <f aca="false">IF(AB568="","",IFERROR(INDEX('Account Map'!$B:$B,MATCH(AB568,'Account Map'!$A:$A,0)),""))</f>
        <v/>
      </c>
      <c r="AD568" s="37" t="str">
        <f aca="false">IF(AB568="","",IFERROR(INDEX('Account Map'!$C:$C,MATCH(AB568,'Account Map'!$A:$A,0)),""))</f>
        <v/>
      </c>
      <c r="AE568" s="37" t="n">
        <f aca="false">IF(AND(AB568&lt;&gt;"",AC568="",COUNT($B568:$Z568)&gt;0,LEFT(AB568,5)&lt;&gt;"Total",AB568&lt;&gt;"Gross Profit",AB568&lt;&gt;"Net Profit",AB568&lt;&gt;"Operating Profit"),1,0)</f>
        <v>0</v>
      </c>
    </row>
    <row r="569" customFormat="false" ht="15" hidden="false" customHeight="false" outlineLevel="0" collapsed="false">
      <c r="B569" s="44"/>
      <c r="C569" s="44"/>
      <c r="D569" s="44"/>
      <c r="E569" s="44"/>
      <c r="F569" s="44"/>
      <c r="G569" s="44"/>
      <c r="H569" s="44"/>
      <c r="I569" s="44"/>
      <c r="J569" s="44"/>
      <c r="K569" s="44"/>
      <c r="L569" s="44"/>
      <c r="M569" s="44"/>
      <c r="N569" s="44"/>
      <c r="O569" s="44"/>
      <c r="P569" s="44"/>
      <c r="Q569" s="44"/>
      <c r="R569" s="44"/>
      <c r="S569" s="44"/>
      <c r="T569" s="44"/>
      <c r="U569" s="44"/>
      <c r="V569" s="44"/>
      <c r="W569" s="44"/>
      <c r="X569" s="44"/>
      <c r="Y569" s="44"/>
      <c r="Z569" s="44"/>
      <c r="AB569" s="37" t="str">
        <f aca="false">TRIM($A569&amp;"")</f>
        <v/>
      </c>
      <c r="AC569" s="37" t="str">
        <f aca="false">IF(AB569="","",IFERROR(INDEX('Account Map'!$B:$B,MATCH(AB569,'Account Map'!$A:$A,0)),""))</f>
        <v/>
      </c>
      <c r="AD569" s="37" t="str">
        <f aca="false">IF(AB569="","",IFERROR(INDEX('Account Map'!$C:$C,MATCH(AB569,'Account Map'!$A:$A,0)),""))</f>
        <v/>
      </c>
      <c r="AE569" s="37" t="n">
        <f aca="false">IF(AND(AB569&lt;&gt;"",AC569="",COUNT($B569:$Z569)&gt;0,LEFT(AB569,5)&lt;&gt;"Total",AB569&lt;&gt;"Gross Profit",AB569&lt;&gt;"Net Profit",AB569&lt;&gt;"Operating Profit"),1,0)</f>
        <v>0</v>
      </c>
    </row>
    <row r="570" customFormat="false" ht="15" hidden="false" customHeight="false" outlineLevel="0" collapsed="false">
      <c r="B570" s="44"/>
      <c r="C570" s="44"/>
      <c r="D570" s="44"/>
      <c r="E570" s="44"/>
      <c r="F570" s="44"/>
      <c r="G570" s="44"/>
      <c r="H570" s="44"/>
      <c r="I570" s="44"/>
      <c r="J570" s="44"/>
      <c r="K570" s="44"/>
      <c r="L570" s="44"/>
      <c r="M570" s="44"/>
      <c r="N570" s="44"/>
      <c r="O570" s="44"/>
      <c r="P570" s="44"/>
      <c r="Q570" s="44"/>
      <c r="R570" s="44"/>
      <c r="S570" s="44"/>
      <c r="T570" s="44"/>
      <c r="U570" s="44"/>
      <c r="V570" s="44"/>
      <c r="W570" s="44"/>
      <c r="X570" s="44"/>
      <c r="Y570" s="44"/>
      <c r="Z570" s="44"/>
      <c r="AB570" s="37" t="str">
        <f aca="false">TRIM($A570&amp;"")</f>
        <v/>
      </c>
      <c r="AC570" s="37" t="str">
        <f aca="false">IF(AB570="","",IFERROR(INDEX('Account Map'!$B:$B,MATCH(AB570,'Account Map'!$A:$A,0)),""))</f>
        <v/>
      </c>
      <c r="AD570" s="37" t="str">
        <f aca="false">IF(AB570="","",IFERROR(INDEX('Account Map'!$C:$C,MATCH(AB570,'Account Map'!$A:$A,0)),""))</f>
        <v/>
      </c>
      <c r="AE570" s="37" t="n">
        <f aca="false">IF(AND(AB570&lt;&gt;"",AC570="",COUNT($B570:$Z570)&gt;0,LEFT(AB570,5)&lt;&gt;"Total",AB570&lt;&gt;"Gross Profit",AB570&lt;&gt;"Net Profit",AB570&lt;&gt;"Operating Profit"),1,0)</f>
        <v>0</v>
      </c>
    </row>
    <row r="571" customFormat="false" ht="15" hidden="false" customHeight="false" outlineLevel="0" collapsed="false">
      <c r="B571" s="44"/>
      <c r="C571" s="44"/>
      <c r="D571" s="44"/>
      <c r="E571" s="44"/>
      <c r="F571" s="44"/>
      <c r="G571" s="44"/>
      <c r="H571" s="44"/>
      <c r="I571" s="44"/>
      <c r="J571" s="44"/>
      <c r="K571" s="44"/>
      <c r="L571" s="44"/>
      <c r="M571" s="44"/>
      <c r="N571" s="44"/>
      <c r="O571" s="44"/>
      <c r="P571" s="44"/>
      <c r="Q571" s="44"/>
      <c r="R571" s="44"/>
      <c r="S571" s="44"/>
      <c r="T571" s="44"/>
      <c r="U571" s="44"/>
      <c r="V571" s="44"/>
      <c r="W571" s="44"/>
      <c r="X571" s="44"/>
      <c r="Y571" s="44"/>
      <c r="Z571" s="44"/>
      <c r="AB571" s="37" t="str">
        <f aca="false">TRIM($A571&amp;"")</f>
        <v/>
      </c>
      <c r="AC571" s="37" t="str">
        <f aca="false">IF(AB571="","",IFERROR(INDEX('Account Map'!$B:$B,MATCH(AB571,'Account Map'!$A:$A,0)),""))</f>
        <v/>
      </c>
      <c r="AD571" s="37" t="str">
        <f aca="false">IF(AB571="","",IFERROR(INDEX('Account Map'!$C:$C,MATCH(AB571,'Account Map'!$A:$A,0)),""))</f>
        <v/>
      </c>
      <c r="AE571" s="37" t="n">
        <f aca="false">IF(AND(AB571&lt;&gt;"",AC571="",COUNT($B571:$Z571)&gt;0,LEFT(AB571,5)&lt;&gt;"Total",AB571&lt;&gt;"Gross Profit",AB571&lt;&gt;"Net Profit",AB571&lt;&gt;"Operating Profit"),1,0)</f>
        <v>0</v>
      </c>
    </row>
    <row r="572" customFormat="false" ht="15" hidden="false" customHeight="false" outlineLevel="0" collapsed="false">
      <c r="B572" s="44"/>
      <c r="C572" s="44"/>
      <c r="D572" s="44"/>
      <c r="E572" s="44"/>
      <c r="F572" s="44"/>
      <c r="G572" s="44"/>
      <c r="H572" s="44"/>
      <c r="I572" s="44"/>
      <c r="J572" s="44"/>
      <c r="K572" s="44"/>
      <c r="L572" s="44"/>
      <c r="M572" s="44"/>
      <c r="N572" s="44"/>
      <c r="O572" s="44"/>
      <c r="P572" s="44"/>
      <c r="Q572" s="44"/>
      <c r="R572" s="44"/>
      <c r="S572" s="44"/>
      <c r="T572" s="44"/>
      <c r="U572" s="44"/>
      <c r="V572" s="44"/>
      <c r="W572" s="44"/>
      <c r="X572" s="44"/>
      <c r="Y572" s="44"/>
      <c r="Z572" s="44"/>
      <c r="AB572" s="37" t="str">
        <f aca="false">TRIM($A572&amp;"")</f>
        <v/>
      </c>
      <c r="AC572" s="37" t="str">
        <f aca="false">IF(AB572="","",IFERROR(INDEX('Account Map'!$B:$B,MATCH(AB572,'Account Map'!$A:$A,0)),""))</f>
        <v/>
      </c>
      <c r="AD572" s="37" t="str">
        <f aca="false">IF(AB572="","",IFERROR(INDEX('Account Map'!$C:$C,MATCH(AB572,'Account Map'!$A:$A,0)),""))</f>
        <v/>
      </c>
      <c r="AE572" s="37" t="n">
        <f aca="false">IF(AND(AB572&lt;&gt;"",AC572="",COUNT($B572:$Z572)&gt;0,LEFT(AB572,5)&lt;&gt;"Total",AB572&lt;&gt;"Gross Profit",AB572&lt;&gt;"Net Profit",AB572&lt;&gt;"Operating Profit"),1,0)</f>
        <v>0</v>
      </c>
    </row>
    <row r="573" customFormat="false" ht="15" hidden="false" customHeight="false" outlineLevel="0" collapsed="false">
      <c r="B573" s="44"/>
      <c r="C573" s="44"/>
      <c r="D573" s="44"/>
      <c r="E573" s="44"/>
      <c r="F573" s="44"/>
      <c r="G573" s="44"/>
      <c r="H573" s="44"/>
      <c r="I573" s="44"/>
      <c r="J573" s="44"/>
      <c r="K573" s="44"/>
      <c r="L573" s="44"/>
      <c r="M573" s="44"/>
      <c r="N573" s="44"/>
      <c r="O573" s="44"/>
      <c r="P573" s="44"/>
      <c r="Q573" s="44"/>
      <c r="R573" s="44"/>
      <c r="S573" s="44"/>
      <c r="T573" s="44"/>
      <c r="U573" s="44"/>
      <c r="V573" s="44"/>
      <c r="W573" s="44"/>
      <c r="X573" s="44"/>
      <c r="Y573" s="44"/>
      <c r="Z573" s="44"/>
      <c r="AB573" s="37" t="str">
        <f aca="false">TRIM($A573&amp;"")</f>
        <v/>
      </c>
      <c r="AC573" s="37" t="str">
        <f aca="false">IF(AB573="","",IFERROR(INDEX('Account Map'!$B:$B,MATCH(AB573,'Account Map'!$A:$A,0)),""))</f>
        <v/>
      </c>
      <c r="AD573" s="37" t="str">
        <f aca="false">IF(AB573="","",IFERROR(INDEX('Account Map'!$C:$C,MATCH(AB573,'Account Map'!$A:$A,0)),""))</f>
        <v/>
      </c>
      <c r="AE573" s="37" t="n">
        <f aca="false">IF(AND(AB573&lt;&gt;"",AC573="",COUNT($B573:$Z573)&gt;0,LEFT(AB573,5)&lt;&gt;"Total",AB573&lt;&gt;"Gross Profit",AB573&lt;&gt;"Net Profit",AB573&lt;&gt;"Operating Profit"),1,0)</f>
        <v>0</v>
      </c>
    </row>
    <row r="574" customFormat="false" ht="15" hidden="false" customHeight="false" outlineLevel="0" collapsed="false">
      <c r="B574" s="44"/>
      <c r="C574" s="44"/>
      <c r="D574" s="44"/>
      <c r="E574" s="44"/>
      <c r="F574" s="44"/>
      <c r="G574" s="44"/>
      <c r="H574" s="44"/>
      <c r="I574" s="44"/>
      <c r="J574" s="44"/>
      <c r="K574" s="44"/>
      <c r="L574" s="44"/>
      <c r="M574" s="44"/>
      <c r="N574" s="44"/>
      <c r="O574" s="44"/>
      <c r="P574" s="44"/>
      <c r="Q574" s="44"/>
      <c r="R574" s="44"/>
      <c r="S574" s="44"/>
      <c r="T574" s="44"/>
      <c r="U574" s="44"/>
      <c r="V574" s="44"/>
      <c r="W574" s="44"/>
      <c r="X574" s="44"/>
      <c r="Y574" s="44"/>
      <c r="Z574" s="44"/>
      <c r="AB574" s="37" t="str">
        <f aca="false">TRIM($A574&amp;"")</f>
        <v/>
      </c>
      <c r="AC574" s="37" t="str">
        <f aca="false">IF(AB574="","",IFERROR(INDEX('Account Map'!$B:$B,MATCH(AB574,'Account Map'!$A:$A,0)),""))</f>
        <v/>
      </c>
      <c r="AD574" s="37" t="str">
        <f aca="false">IF(AB574="","",IFERROR(INDEX('Account Map'!$C:$C,MATCH(AB574,'Account Map'!$A:$A,0)),""))</f>
        <v/>
      </c>
      <c r="AE574" s="37" t="n">
        <f aca="false">IF(AND(AB574&lt;&gt;"",AC574="",COUNT($B574:$Z574)&gt;0,LEFT(AB574,5)&lt;&gt;"Total",AB574&lt;&gt;"Gross Profit",AB574&lt;&gt;"Net Profit",AB574&lt;&gt;"Operating Profit"),1,0)</f>
        <v>0</v>
      </c>
    </row>
    <row r="575" customFormat="false" ht="15" hidden="false" customHeight="false" outlineLevel="0" collapsed="false">
      <c r="B575" s="44"/>
      <c r="C575" s="44"/>
      <c r="D575" s="44"/>
      <c r="E575" s="44"/>
      <c r="F575" s="44"/>
      <c r="G575" s="44"/>
      <c r="H575" s="44"/>
      <c r="I575" s="44"/>
      <c r="J575" s="44"/>
      <c r="K575" s="44"/>
      <c r="L575" s="44"/>
      <c r="M575" s="44"/>
      <c r="N575" s="44"/>
      <c r="O575" s="44"/>
      <c r="P575" s="44"/>
      <c r="Q575" s="44"/>
      <c r="R575" s="44"/>
      <c r="S575" s="44"/>
      <c r="T575" s="44"/>
      <c r="U575" s="44"/>
      <c r="V575" s="44"/>
      <c r="W575" s="44"/>
      <c r="X575" s="44"/>
      <c r="Y575" s="44"/>
      <c r="Z575" s="44"/>
      <c r="AB575" s="37" t="str">
        <f aca="false">TRIM($A575&amp;"")</f>
        <v/>
      </c>
      <c r="AC575" s="37" t="str">
        <f aca="false">IF(AB575="","",IFERROR(INDEX('Account Map'!$B:$B,MATCH(AB575,'Account Map'!$A:$A,0)),""))</f>
        <v/>
      </c>
      <c r="AD575" s="37" t="str">
        <f aca="false">IF(AB575="","",IFERROR(INDEX('Account Map'!$C:$C,MATCH(AB575,'Account Map'!$A:$A,0)),""))</f>
        <v/>
      </c>
      <c r="AE575" s="37" t="n">
        <f aca="false">IF(AND(AB575&lt;&gt;"",AC575="",COUNT($B575:$Z575)&gt;0,LEFT(AB575,5)&lt;&gt;"Total",AB575&lt;&gt;"Gross Profit",AB575&lt;&gt;"Net Profit",AB575&lt;&gt;"Operating Profit"),1,0)</f>
        <v>0</v>
      </c>
    </row>
    <row r="576" customFormat="false" ht="15" hidden="false" customHeight="false" outlineLevel="0" collapsed="false">
      <c r="B576" s="44"/>
      <c r="C576" s="44"/>
      <c r="D576" s="44"/>
      <c r="E576" s="44"/>
      <c r="F576" s="44"/>
      <c r="G576" s="44"/>
      <c r="H576" s="44"/>
      <c r="I576" s="44"/>
      <c r="J576" s="44"/>
      <c r="K576" s="44"/>
      <c r="L576" s="44"/>
      <c r="M576" s="44"/>
      <c r="N576" s="44"/>
      <c r="O576" s="44"/>
      <c r="P576" s="44"/>
      <c r="Q576" s="44"/>
      <c r="R576" s="44"/>
      <c r="S576" s="44"/>
      <c r="T576" s="44"/>
      <c r="U576" s="44"/>
      <c r="V576" s="44"/>
      <c r="W576" s="44"/>
      <c r="X576" s="44"/>
      <c r="Y576" s="44"/>
      <c r="Z576" s="44"/>
      <c r="AB576" s="37" t="str">
        <f aca="false">TRIM($A576&amp;"")</f>
        <v/>
      </c>
      <c r="AC576" s="37" t="str">
        <f aca="false">IF(AB576="","",IFERROR(INDEX('Account Map'!$B:$B,MATCH(AB576,'Account Map'!$A:$A,0)),""))</f>
        <v/>
      </c>
      <c r="AD576" s="37" t="str">
        <f aca="false">IF(AB576="","",IFERROR(INDEX('Account Map'!$C:$C,MATCH(AB576,'Account Map'!$A:$A,0)),""))</f>
        <v/>
      </c>
      <c r="AE576" s="37" t="n">
        <f aca="false">IF(AND(AB576&lt;&gt;"",AC576="",COUNT($B576:$Z576)&gt;0,LEFT(AB576,5)&lt;&gt;"Total",AB576&lt;&gt;"Gross Profit",AB576&lt;&gt;"Net Profit",AB576&lt;&gt;"Operating Profit"),1,0)</f>
        <v>0</v>
      </c>
    </row>
    <row r="577" customFormat="false" ht="15" hidden="false" customHeight="false" outlineLevel="0" collapsed="false">
      <c r="B577" s="44"/>
      <c r="C577" s="44"/>
      <c r="D577" s="44"/>
      <c r="E577" s="44"/>
      <c r="F577" s="44"/>
      <c r="G577" s="44"/>
      <c r="H577" s="44"/>
      <c r="I577" s="44"/>
      <c r="J577" s="44"/>
      <c r="K577" s="44"/>
      <c r="L577" s="44"/>
      <c r="M577" s="44"/>
      <c r="N577" s="44"/>
      <c r="O577" s="44"/>
      <c r="P577" s="44"/>
      <c r="Q577" s="44"/>
      <c r="R577" s="44"/>
      <c r="S577" s="44"/>
      <c r="T577" s="44"/>
      <c r="U577" s="44"/>
      <c r="V577" s="44"/>
      <c r="W577" s="44"/>
      <c r="X577" s="44"/>
      <c r="Y577" s="44"/>
      <c r="Z577" s="44"/>
      <c r="AB577" s="37" t="str">
        <f aca="false">TRIM($A577&amp;"")</f>
        <v/>
      </c>
      <c r="AC577" s="37" t="str">
        <f aca="false">IF(AB577="","",IFERROR(INDEX('Account Map'!$B:$B,MATCH(AB577,'Account Map'!$A:$A,0)),""))</f>
        <v/>
      </c>
      <c r="AD577" s="37" t="str">
        <f aca="false">IF(AB577="","",IFERROR(INDEX('Account Map'!$C:$C,MATCH(AB577,'Account Map'!$A:$A,0)),""))</f>
        <v/>
      </c>
      <c r="AE577" s="37" t="n">
        <f aca="false">IF(AND(AB577&lt;&gt;"",AC577="",COUNT($B577:$Z577)&gt;0,LEFT(AB577,5)&lt;&gt;"Total",AB577&lt;&gt;"Gross Profit",AB577&lt;&gt;"Net Profit",AB577&lt;&gt;"Operating Profit"),1,0)</f>
        <v>0</v>
      </c>
    </row>
    <row r="578" customFormat="false" ht="15" hidden="false" customHeight="false" outlineLevel="0" collapsed="false">
      <c r="B578" s="44"/>
      <c r="C578" s="44"/>
      <c r="D578" s="44"/>
      <c r="E578" s="44"/>
      <c r="F578" s="44"/>
      <c r="G578" s="44"/>
      <c r="H578" s="44"/>
      <c r="I578" s="44"/>
      <c r="J578" s="44"/>
      <c r="K578" s="44"/>
      <c r="L578" s="44"/>
      <c r="M578" s="44"/>
      <c r="N578" s="44"/>
      <c r="O578" s="44"/>
      <c r="P578" s="44"/>
      <c r="Q578" s="44"/>
      <c r="R578" s="44"/>
      <c r="S578" s="44"/>
      <c r="T578" s="44"/>
      <c r="U578" s="44"/>
      <c r="V578" s="44"/>
      <c r="W578" s="44"/>
      <c r="X578" s="44"/>
      <c r="Y578" s="44"/>
      <c r="Z578" s="44"/>
      <c r="AB578" s="37" t="str">
        <f aca="false">TRIM($A578&amp;"")</f>
        <v/>
      </c>
      <c r="AC578" s="37" t="str">
        <f aca="false">IF(AB578="","",IFERROR(INDEX('Account Map'!$B:$B,MATCH(AB578,'Account Map'!$A:$A,0)),""))</f>
        <v/>
      </c>
      <c r="AD578" s="37" t="str">
        <f aca="false">IF(AB578="","",IFERROR(INDEX('Account Map'!$C:$C,MATCH(AB578,'Account Map'!$A:$A,0)),""))</f>
        <v/>
      </c>
      <c r="AE578" s="37" t="n">
        <f aca="false">IF(AND(AB578&lt;&gt;"",AC578="",COUNT($B578:$Z578)&gt;0,LEFT(AB578,5)&lt;&gt;"Total",AB578&lt;&gt;"Gross Profit",AB578&lt;&gt;"Net Profit",AB578&lt;&gt;"Operating Profit"),1,0)</f>
        <v>0</v>
      </c>
    </row>
    <row r="579" customFormat="false" ht="15" hidden="false" customHeight="false" outlineLevel="0" collapsed="false">
      <c r="B579" s="44"/>
      <c r="C579" s="44"/>
      <c r="D579" s="44"/>
      <c r="E579" s="44"/>
      <c r="F579" s="44"/>
      <c r="G579" s="44"/>
      <c r="H579" s="44"/>
      <c r="I579" s="44"/>
      <c r="J579" s="44"/>
      <c r="K579" s="44"/>
      <c r="L579" s="44"/>
      <c r="M579" s="44"/>
      <c r="N579" s="44"/>
      <c r="O579" s="44"/>
      <c r="P579" s="44"/>
      <c r="Q579" s="44"/>
      <c r="R579" s="44"/>
      <c r="S579" s="44"/>
      <c r="T579" s="44"/>
      <c r="U579" s="44"/>
      <c r="V579" s="44"/>
      <c r="W579" s="44"/>
      <c r="X579" s="44"/>
      <c r="Y579" s="44"/>
      <c r="Z579" s="44"/>
      <c r="AB579" s="37" t="str">
        <f aca="false">TRIM($A579&amp;"")</f>
        <v/>
      </c>
      <c r="AC579" s="37" t="str">
        <f aca="false">IF(AB579="","",IFERROR(INDEX('Account Map'!$B:$B,MATCH(AB579,'Account Map'!$A:$A,0)),""))</f>
        <v/>
      </c>
      <c r="AD579" s="37" t="str">
        <f aca="false">IF(AB579="","",IFERROR(INDEX('Account Map'!$C:$C,MATCH(AB579,'Account Map'!$A:$A,0)),""))</f>
        <v/>
      </c>
      <c r="AE579" s="37" t="n">
        <f aca="false">IF(AND(AB579&lt;&gt;"",AC579="",COUNT($B579:$Z579)&gt;0,LEFT(AB579,5)&lt;&gt;"Total",AB579&lt;&gt;"Gross Profit",AB579&lt;&gt;"Net Profit",AB579&lt;&gt;"Operating Profit"),1,0)</f>
        <v>0</v>
      </c>
    </row>
    <row r="580" customFormat="false" ht="15" hidden="false" customHeight="false" outlineLevel="0" collapsed="false">
      <c r="B580" s="44"/>
      <c r="C580" s="44"/>
      <c r="D580" s="44"/>
      <c r="E580" s="44"/>
      <c r="F580" s="44"/>
      <c r="G580" s="44"/>
      <c r="H580" s="44"/>
      <c r="I580" s="44"/>
      <c r="J580" s="44"/>
      <c r="K580" s="44"/>
      <c r="L580" s="44"/>
      <c r="M580" s="44"/>
      <c r="N580" s="44"/>
      <c r="O580" s="44"/>
      <c r="P580" s="44"/>
      <c r="Q580" s="44"/>
      <c r="R580" s="44"/>
      <c r="S580" s="44"/>
      <c r="T580" s="44"/>
      <c r="U580" s="44"/>
      <c r="V580" s="44"/>
      <c r="W580" s="44"/>
      <c r="X580" s="44"/>
      <c r="Y580" s="44"/>
      <c r="Z580" s="44"/>
      <c r="AB580" s="37" t="str">
        <f aca="false">TRIM($A580&amp;"")</f>
        <v/>
      </c>
      <c r="AC580" s="37" t="str">
        <f aca="false">IF(AB580="","",IFERROR(INDEX('Account Map'!$B:$B,MATCH(AB580,'Account Map'!$A:$A,0)),""))</f>
        <v/>
      </c>
      <c r="AD580" s="37" t="str">
        <f aca="false">IF(AB580="","",IFERROR(INDEX('Account Map'!$C:$C,MATCH(AB580,'Account Map'!$A:$A,0)),""))</f>
        <v/>
      </c>
      <c r="AE580" s="37" t="n">
        <f aca="false">IF(AND(AB580&lt;&gt;"",AC580="",COUNT($B580:$Z580)&gt;0,LEFT(AB580,5)&lt;&gt;"Total",AB580&lt;&gt;"Gross Profit",AB580&lt;&gt;"Net Profit",AB580&lt;&gt;"Operating Profit"),1,0)</f>
        <v>0</v>
      </c>
    </row>
    <row r="581" customFormat="false" ht="15" hidden="false" customHeight="false" outlineLevel="0" collapsed="false">
      <c r="B581" s="44"/>
      <c r="C581" s="44"/>
      <c r="D581" s="44"/>
      <c r="E581" s="44"/>
      <c r="F581" s="44"/>
      <c r="G581" s="44"/>
      <c r="H581" s="44"/>
      <c r="I581" s="44"/>
      <c r="J581" s="44"/>
      <c r="K581" s="44"/>
      <c r="L581" s="44"/>
      <c r="M581" s="44"/>
      <c r="N581" s="44"/>
      <c r="O581" s="44"/>
      <c r="P581" s="44"/>
      <c r="Q581" s="44"/>
      <c r="R581" s="44"/>
      <c r="S581" s="44"/>
      <c r="T581" s="44"/>
      <c r="U581" s="44"/>
      <c r="V581" s="44"/>
      <c r="W581" s="44"/>
      <c r="X581" s="44"/>
      <c r="Y581" s="44"/>
      <c r="Z581" s="44"/>
      <c r="AB581" s="37" t="str">
        <f aca="false">TRIM($A581&amp;"")</f>
        <v/>
      </c>
      <c r="AC581" s="37" t="str">
        <f aca="false">IF(AB581="","",IFERROR(INDEX('Account Map'!$B:$B,MATCH(AB581,'Account Map'!$A:$A,0)),""))</f>
        <v/>
      </c>
      <c r="AD581" s="37" t="str">
        <f aca="false">IF(AB581="","",IFERROR(INDEX('Account Map'!$C:$C,MATCH(AB581,'Account Map'!$A:$A,0)),""))</f>
        <v/>
      </c>
      <c r="AE581" s="37" t="n">
        <f aca="false">IF(AND(AB581&lt;&gt;"",AC581="",COUNT($B581:$Z581)&gt;0,LEFT(AB581,5)&lt;&gt;"Total",AB581&lt;&gt;"Gross Profit",AB581&lt;&gt;"Net Profit",AB581&lt;&gt;"Operating Profit"),1,0)</f>
        <v>0</v>
      </c>
    </row>
    <row r="582" customFormat="false" ht="15" hidden="false" customHeight="false" outlineLevel="0" collapsed="false">
      <c r="B582" s="44"/>
      <c r="C582" s="44"/>
      <c r="D582" s="44"/>
      <c r="E582" s="44"/>
      <c r="F582" s="44"/>
      <c r="G582" s="44"/>
      <c r="H582" s="44"/>
      <c r="I582" s="44"/>
      <c r="J582" s="44"/>
      <c r="K582" s="44"/>
      <c r="L582" s="44"/>
      <c r="M582" s="44"/>
      <c r="N582" s="44"/>
      <c r="O582" s="44"/>
      <c r="P582" s="44"/>
      <c r="Q582" s="44"/>
      <c r="R582" s="44"/>
      <c r="S582" s="44"/>
      <c r="T582" s="44"/>
      <c r="U582" s="44"/>
      <c r="V582" s="44"/>
      <c r="W582" s="44"/>
      <c r="X582" s="44"/>
      <c r="Y582" s="44"/>
      <c r="Z582" s="44"/>
      <c r="AB582" s="37" t="str">
        <f aca="false">TRIM($A582&amp;"")</f>
        <v/>
      </c>
      <c r="AC582" s="37" t="str">
        <f aca="false">IF(AB582="","",IFERROR(INDEX('Account Map'!$B:$B,MATCH(AB582,'Account Map'!$A:$A,0)),""))</f>
        <v/>
      </c>
      <c r="AD582" s="37" t="str">
        <f aca="false">IF(AB582="","",IFERROR(INDEX('Account Map'!$C:$C,MATCH(AB582,'Account Map'!$A:$A,0)),""))</f>
        <v/>
      </c>
      <c r="AE582" s="37" t="n">
        <f aca="false">IF(AND(AB582&lt;&gt;"",AC582="",COUNT($B582:$Z582)&gt;0,LEFT(AB582,5)&lt;&gt;"Total",AB582&lt;&gt;"Gross Profit",AB582&lt;&gt;"Net Profit",AB582&lt;&gt;"Operating Profit"),1,0)</f>
        <v>0</v>
      </c>
    </row>
    <row r="583" customFormat="false" ht="15" hidden="false" customHeight="false" outlineLevel="0" collapsed="false">
      <c r="B583" s="44"/>
      <c r="C583" s="44"/>
      <c r="D583" s="44"/>
      <c r="E583" s="44"/>
      <c r="F583" s="44"/>
      <c r="G583" s="44"/>
      <c r="H583" s="44"/>
      <c r="I583" s="44"/>
      <c r="J583" s="44"/>
      <c r="K583" s="44"/>
      <c r="L583" s="44"/>
      <c r="M583" s="44"/>
      <c r="N583" s="44"/>
      <c r="O583" s="44"/>
      <c r="P583" s="44"/>
      <c r="Q583" s="44"/>
      <c r="R583" s="44"/>
      <c r="S583" s="44"/>
      <c r="T583" s="44"/>
      <c r="U583" s="44"/>
      <c r="V583" s="44"/>
      <c r="W583" s="44"/>
      <c r="X583" s="44"/>
      <c r="Y583" s="44"/>
      <c r="Z583" s="44"/>
      <c r="AB583" s="37" t="str">
        <f aca="false">TRIM($A583&amp;"")</f>
        <v/>
      </c>
      <c r="AC583" s="37" t="str">
        <f aca="false">IF(AB583="","",IFERROR(INDEX('Account Map'!$B:$B,MATCH(AB583,'Account Map'!$A:$A,0)),""))</f>
        <v/>
      </c>
      <c r="AD583" s="37" t="str">
        <f aca="false">IF(AB583="","",IFERROR(INDEX('Account Map'!$C:$C,MATCH(AB583,'Account Map'!$A:$A,0)),""))</f>
        <v/>
      </c>
      <c r="AE583" s="37" t="n">
        <f aca="false">IF(AND(AB583&lt;&gt;"",AC583="",COUNT($B583:$Z583)&gt;0,LEFT(AB583,5)&lt;&gt;"Total",AB583&lt;&gt;"Gross Profit",AB583&lt;&gt;"Net Profit",AB583&lt;&gt;"Operating Profit"),1,0)</f>
        <v>0</v>
      </c>
    </row>
    <row r="584" customFormat="false" ht="15" hidden="false" customHeight="false" outlineLevel="0" collapsed="false">
      <c r="B584" s="44"/>
      <c r="C584" s="44"/>
      <c r="D584" s="44"/>
      <c r="E584" s="44"/>
      <c r="F584" s="44"/>
      <c r="G584" s="44"/>
      <c r="H584" s="44"/>
      <c r="I584" s="44"/>
      <c r="J584" s="44"/>
      <c r="K584" s="44"/>
      <c r="L584" s="44"/>
      <c r="M584" s="44"/>
      <c r="N584" s="44"/>
      <c r="O584" s="44"/>
      <c r="P584" s="44"/>
      <c r="Q584" s="44"/>
      <c r="R584" s="44"/>
      <c r="S584" s="44"/>
      <c r="T584" s="44"/>
      <c r="U584" s="44"/>
      <c r="V584" s="44"/>
      <c r="W584" s="44"/>
      <c r="X584" s="44"/>
      <c r="Y584" s="44"/>
      <c r="Z584" s="44"/>
      <c r="AB584" s="37" t="str">
        <f aca="false">TRIM($A584&amp;"")</f>
        <v/>
      </c>
      <c r="AC584" s="37" t="str">
        <f aca="false">IF(AB584="","",IFERROR(INDEX('Account Map'!$B:$B,MATCH(AB584,'Account Map'!$A:$A,0)),""))</f>
        <v/>
      </c>
      <c r="AD584" s="37" t="str">
        <f aca="false">IF(AB584="","",IFERROR(INDEX('Account Map'!$C:$C,MATCH(AB584,'Account Map'!$A:$A,0)),""))</f>
        <v/>
      </c>
      <c r="AE584" s="37" t="n">
        <f aca="false">IF(AND(AB584&lt;&gt;"",AC584="",COUNT($B584:$Z584)&gt;0,LEFT(AB584,5)&lt;&gt;"Total",AB584&lt;&gt;"Gross Profit",AB584&lt;&gt;"Net Profit",AB584&lt;&gt;"Operating Profit"),1,0)</f>
        <v>0</v>
      </c>
    </row>
    <row r="585" customFormat="false" ht="15" hidden="false" customHeight="false" outlineLevel="0" collapsed="false">
      <c r="B585" s="44"/>
      <c r="C585" s="44"/>
      <c r="D585" s="44"/>
      <c r="E585" s="44"/>
      <c r="F585" s="44"/>
      <c r="G585" s="44"/>
      <c r="H585" s="44"/>
      <c r="I585" s="44"/>
      <c r="J585" s="44"/>
      <c r="K585" s="44"/>
      <c r="L585" s="44"/>
      <c r="M585" s="44"/>
      <c r="N585" s="44"/>
      <c r="O585" s="44"/>
      <c r="P585" s="44"/>
      <c r="Q585" s="44"/>
      <c r="R585" s="44"/>
      <c r="S585" s="44"/>
      <c r="T585" s="44"/>
      <c r="U585" s="44"/>
      <c r="V585" s="44"/>
      <c r="W585" s="44"/>
      <c r="X585" s="44"/>
      <c r="Y585" s="44"/>
      <c r="Z585" s="44"/>
      <c r="AB585" s="37" t="str">
        <f aca="false">TRIM($A585&amp;"")</f>
        <v/>
      </c>
      <c r="AC585" s="37" t="str">
        <f aca="false">IF(AB585="","",IFERROR(INDEX('Account Map'!$B:$B,MATCH(AB585,'Account Map'!$A:$A,0)),""))</f>
        <v/>
      </c>
      <c r="AD585" s="37" t="str">
        <f aca="false">IF(AB585="","",IFERROR(INDEX('Account Map'!$C:$C,MATCH(AB585,'Account Map'!$A:$A,0)),""))</f>
        <v/>
      </c>
      <c r="AE585" s="37" t="n">
        <f aca="false">IF(AND(AB585&lt;&gt;"",AC585="",COUNT($B585:$Z585)&gt;0,LEFT(AB585,5)&lt;&gt;"Total",AB585&lt;&gt;"Gross Profit",AB585&lt;&gt;"Net Profit",AB585&lt;&gt;"Operating Profit"),1,0)</f>
        <v>0</v>
      </c>
    </row>
    <row r="586" customFormat="false" ht="15" hidden="false" customHeight="false" outlineLevel="0" collapsed="false">
      <c r="B586" s="44"/>
      <c r="C586" s="44"/>
      <c r="D586" s="44"/>
      <c r="E586" s="44"/>
      <c r="F586" s="44"/>
      <c r="G586" s="44"/>
      <c r="H586" s="44"/>
      <c r="I586" s="44"/>
      <c r="J586" s="44"/>
      <c r="K586" s="44"/>
      <c r="L586" s="44"/>
      <c r="M586" s="44"/>
      <c r="N586" s="44"/>
      <c r="O586" s="44"/>
      <c r="P586" s="44"/>
      <c r="Q586" s="44"/>
      <c r="R586" s="44"/>
      <c r="S586" s="44"/>
      <c r="T586" s="44"/>
      <c r="U586" s="44"/>
      <c r="V586" s="44"/>
      <c r="W586" s="44"/>
      <c r="X586" s="44"/>
      <c r="Y586" s="44"/>
      <c r="Z586" s="44"/>
      <c r="AB586" s="37" t="str">
        <f aca="false">TRIM($A586&amp;"")</f>
        <v/>
      </c>
      <c r="AC586" s="37" t="str">
        <f aca="false">IF(AB586="","",IFERROR(INDEX('Account Map'!$B:$B,MATCH(AB586,'Account Map'!$A:$A,0)),""))</f>
        <v/>
      </c>
      <c r="AD586" s="37" t="str">
        <f aca="false">IF(AB586="","",IFERROR(INDEX('Account Map'!$C:$C,MATCH(AB586,'Account Map'!$A:$A,0)),""))</f>
        <v/>
      </c>
      <c r="AE586" s="37" t="n">
        <f aca="false">IF(AND(AB586&lt;&gt;"",AC586="",COUNT($B586:$Z586)&gt;0,LEFT(AB586,5)&lt;&gt;"Total",AB586&lt;&gt;"Gross Profit",AB586&lt;&gt;"Net Profit",AB586&lt;&gt;"Operating Profit"),1,0)</f>
        <v>0</v>
      </c>
    </row>
    <row r="587" customFormat="false" ht="15" hidden="false" customHeight="false" outlineLevel="0" collapsed="false">
      <c r="B587" s="44"/>
      <c r="C587" s="44"/>
      <c r="D587" s="44"/>
      <c r="E587" s="44"/>
      <c r="F587" s="44"/>
      <c r="G587" s="44"/>
      <c r="H587" s="44"/>
      <c r="I587" s="44"/>
      <c r="J587" s="44"/>
      <c r="K587" s="44"/>
      <c r="L587" s="44"/>
      <c r="M587" s="44"/>
      <c r="N587" s="44"/>
      <c r="O587" s="44"/>
      <c r="P587" s="44"/>
      <c r="Q587" s="44"/>
      <c r="R587" s="44"/>
      <c r="S587" s="44"/>
      <c r="T587" s="44"/>
      <c r="U587" s="44"/>
      <c r="V587" s="44"/>
      <c r="W587" s="44"/>
      <c r="X587" s="44"/>
      <c r="Y587" s="44"/>
      <c r="Z587" s="44"/>
      <c r="AB587" s="37" t="str">
        <f aca="false">TRIM($A587&amp;"")</f>
        <v/>
      </c>
      <c r="AC587" s="37" t="str">
        <f aca="false">IF(AB587="","",IFERROR(INDEX('Account Map'!$B:$B,MATCH(AB587,'Account Map'!$A:$A,0)),""))</f>
        <v/>
      </c>
      <c r="AD587" s="37" t="str">
        <f aca="false">IF(AB587="","",IFERROR(INDEX('Account Map'!$C:$C,MATCH(AB587,'Account Map'!$A:$A,0)),""))</f>
        <v/>
      </c>
      <c r="AE587" s="37" t="n">
        <f aca="false">IF(AND(AB587&lt;&gt;"",AC587="",COUNT($B587:$Z587)&gt;0,LEFT(AB587,5)&lt;&gt;"Total",AB587&lt;&gt;"Gross Profit",AB587&lt;&gt;"Net Profit",AB587&lt;&gt;"Operating Profit"),1,0)</f>
        <v>0</v>
      </c>
    </row>
    <row r="588" customFormat="false" ht="15" hidden="false" customHeight="false" outlineLevel="0" collapsed="false">
      <c r="B588" s="44"/>
      <c r="C588" s="44"/>
      <c r="D588" s="44"/>
      <c r="E588" s="44"/>
      <c r="F588" s="44"/>
      <c r="G588" s="44"/>
      <c r="H588" s="44"/>
      <c r="I588" s="44"/>
      <c r="J588" s="44"/>
      <c r="K588" s="44"/>
      <c r="L588" s="44"/>
      <c r="M588" s="44"/>
      <c r="N588" s="44"/>
      <c r="O588" s="44"/>
      <c r="P588" s="44"/>
      <c r="Q588" s="44"/>
      <c r="R588" s="44"/>
      <c r="S588" s="44"/>
      <c r="T588" s="44"/>
      <c r="U588" s="44"/>
      <c r="V588" s="44"/>
      <c r="W588" s="44"/>
      <c r="X588" s="44"/>
      <c r="Y588" s="44"/>
      <c r="Z588" s="44"/>
      <c r="AB588" s="37" t="str">
        <f aca="false">TRIM($A588&amp;"")</f>
        <v/>
      </c>
      <c r="AC588" s="37" t="str">
        <f aca="false">IF(AB588="","",IFERROR(INDEX('Account Map'!$B:$B,MATCH(AB588,'Account Map'!$A:$A,0)),""))</f>
        <v/>
      </c>
      <c r="AD588" s="37" t="str">
        <f aca="false">IF(AB588="","",IFERROR(INDEX('Account Map'!$C:$C,MATCH(AB588,'Account Map'!$A:$A,0)),""))</f>
        <v/>
      </c>
      <c r="AE588" s="37" t="n">
        <f aca="false">IF(AND(AB588&lt;&gt;"",AC588="",COUNT($B588:$Z588)&gt;0,LEFT(AB588,5)&lt;&gt;"Total",AB588&lt;&gt;"Gross Profit",AB588&lt;&gt;"Net Profit",AB588&lt;&gt;"Operating Profit"),1,0)</f>
        <v>0</v>
      </c>
    </row>
    <row r="589" customFormat="false" ht="15" hidden="false" customHeight="false" outlineLevel="0" collapsed="false">
      <c r="B589" s="44"/>
      <c r="C589" s="44"/>
      <c r="D589" s="44"/>
      <c r="E589" s="44"/>
      <c r="F589" s="44"/>
      <c r="G589" s="44"/>
      <c r="H589" s="44"/>
      <c r="I589" s="44"/>
      <c r="J589" s="44"/>
      <c r="K589" s="44"/>
      <c r="L589" s="44"/>
      <c r="M589" s="44"/>
      <c r="N589" s="44"/>
      <c r="O589" s="44"/>
      <c r="P589" s="44"/>
      <c r="Q589" s="44"/>
      <c r="R589" s="44"/>
      <c r="S589" s="44"/>
      <c r="T589" s="44"/>
      <c r="U589" s="44"/>
      <c r="V589" s="44"/>
      <c r="W589" s="44"/>
      <c r="X589" s="44"/>
      <c r="Y589" s="44"/>
      <c r="Z589" s="44"/>
      <c r="AB589" s="37" t="str">
        <f aca="false">TRIM($A589&amp;"")</f>
        <v/>
      </c>
      <c r="AC589" s="37" t="str">
        <f aca="false">IF(AB589="","",IFERROR(INDEX('Account Map'!$B:$B,MATCH(AB589,'Account Map'!$A:$A,0)),""))</f>
        <v/>
      </c>
      <c r="AD589" s="37" t="str">
        <f aca="false">IF(AB589="","",IFERROR(INDEX('Account Map'!$C:$C,MATCH(AB589,'Account Map'!$A:$A,0)),""))</f>
        <v/>
      </c>
      <c r="AE589" s="37" t="n">
        <f aca="false">IF(AND(AB589&lt;&gt;"",AC589="",COUNT($B589:$Z589)&gt;0,LEFT(AB589,5)&lt;&gt;"Total",AB589&lt;&gt;"Gross Profit",AB589&lt;&gt;"Net Profit",AB589&lt;&gt;"Operating Profit"),1,0)</f>
        <v>0</v>
      </c>
    </row>
    <row r="590" customFormat="false" ht="15" hidden="false" customHeight="false" outlineLevel="0" collapsed="false">
      <c r="B590" s="44"/>
      <c r="C590" s="44"/>
      <c r="D590" s="44"/>
      <c r="E590" s="44"/>
      <c r="F590" s="44"/>
      <c r="G590" s="44"/>
      <c r="H590" s="44"/>
      <c r="I590" s="44"/>
      <c r="J590" s="44"/>
      <c r="K590" s="44"/>
      <c r="L590" s="44"/>
      <c r="M590" s="44"/>
      <c r="N590" s="44"/>
      <c r="O590" s="44"/>
      <c r="P590" s="44"/>
      <c r="Q590" s="44"/>
      <c r="R590" s="44"/>
      <c r="S590" s="44"/>
      <c r="T590" s="44"/>
      <c r="U590" s="44"/>
      <c r="V590" s="44"/>
      <c r="W590" s="44"/>
      <c r="X590" s="44"/>
      <c r="Y590" s="44"/>
      <c r="Z590" s="44"/>
      <c r="AB590" s="37" t="str">
        <f aca="false">TRIM($A590&amp;"")</f>
        <v/>
      </c>
      <c r="AC590" s="37" t="str">
        <f aca="false">IF(AB590="","",IFERROR(INDEX('Account Map'!$B:$B,MATCH(AB590,'Account Map'!$A:$A,0)),""))</f>
        <v/>
      </c>
      <c r="AD590" s="37" t="str">
        <f aca="false">IF(AB590="","",IFERROR(INDEX('Account Map'!$C:$C,MATCH(AB590,'Account Map'!$A:$A,0)),""))</f>
        <v/>
      </c>
      <c r="AE590" s="37" t="n">
        <f aca="false">IF(AND(AB590&lt;&gt;"",AC590="",COUNT($B590:$Z590)&gt;0,LEFT(AB590,5)&lt;&gt;"Total",AB590&lt;&gt;"Gross Profit",AB590&lt;&gt;"Net Profit",AB590&lt;&gt;"Operating Profit"),1,0)</f>
        <v>0</v>
      </c>
    </row>
    <row r="591" customFormat="false" ht="15" hidden="false" customHeight="false" outlineLevel="0" collapsed="false">
      <c r="B591" s="44"/>
      <c r="C591" s="44"/>
      <c r="D591" s="44"/>
      <c r="E591" s="44"/>
      <c r="F591" s="44"/>
      <c r="G591" s="44"/>
      <c r="H591" s="44"/>
      <c r="I591" s="44"/>
      <c r="J591" s="44"/>
      <c r="K591" s="44"/>
      <c r="L591" s="44"/>
      <c r="M591" s="44"/>
      <c r="N591" s="44"/>
      <c r="O591" s="44"/>
      <c r="P591" s="44"/>
      <c r="Q591" s="44"/>
      <c r="R591" s="44"/>
      <c r="S591" s="44"/>
      <c r="T591" s="44"/>
      <c r="U591" s="44"/>
      <c r="V591" s="44"/>
      <c r="W591" s="44"/>
      <c r="X591" s="44"/>
      <c r="Y591" s="44"/>
      <c r="Z591" s="44"/>
      <c r="AB591" s="37" t="str">
        <f aca="false">TRIM($A591&amp;"")</f>
        <v/>
      </c>
      <c r="AC591" s="37" t="str">
        <f aca="false">IF(AB591="","",IFERROR(INDEX('Account Map'!$B:$B,MATCH(AB591,'Account Map'!$A:$A,0)),""))</f>
        <v/>
      </c>
      <c r="AD591" s="37" t="str">
        <f aca="false">IF(AB591="","",IFERROR(INDEX('Account Map'!$C:$C,MATCH(AB591,'Account Map'!$A:$A,0)),""))</f>
        <v/>
      </c>
      <c r="AE591" s="37" t="n">
        <f aca="false">IF(AND(AB591&lt;&gt;"",AC591="",COUNT($B591:$Z591)&gt;0,LEFT(AB591,5)&lt;&gt;"Total",AB591&lt;&gt;"Gross Profit",AB591&lt;&gt;"Net Profit",AB591&lt;&gt;"Operating Profit"),1,0)</f>
        <v>0</v>
      </c>
    </row>
    <row r="592" customFormat="false" ht="15" hidden="false" customHeight="false" outlineLevel="0" collapsed="false">
      <c r="B592" s="44"/>
      <c r="C592" s="44"/>
      <c r="D592" s="44"/>
      <c r="E592" s="44"/>
      <c r="F592" s="44"/>
      <c r="G592" s="44"/>
      <c r="H592" s="44"/>
      <c r="I592" s="44"/>
      <c r="J592" s="44"/>
      <c r="K592" s="44"/>
      <c r="L592" s="44"/>
      <c r="M592" s="44"/>
      <c r="N592" s="44"/>
      <c r="O592" s="44"/>
      <c r="P592" s="44"/>
      <c r="Q592" s="44"/>
      <c r="R592" s="44"/>
      <c r="S592" s="44"/>
      <c r="T592" s="44"/>
      <c r="U592" s="44"/>
      <c r="V592" s="44"/>
      <c r="W592" s="44"/>
      <c r="X592" s="44"/>
      <c r="Y592" s="44"/>
      <c r="Z592" s="44"/>
      <c r="AB592" s="37" t="str">
        <f aca="false">TRIM($A592&amp;"")</f>
        <v/>
      </c>
      <c r="AC592" s="37" t="str">
        <f aca="false">IF(AB592="","",IFERROR(INDEX('Account Map'!$B:$B,MATCH(AB592,'Account Map'!$A:$A,0)),""))</f>
        <v/>
      </c>
      <c r="AD592" s="37" t="str">
        <f aca="false">IF(AB592="","",IFERROR(INDEX('Account Map'!$C:$C,MATCH(AB592,'Account Map'!$A:$A,0)),""))</f>
        <v/>
      </c>
      <c r="AE592" s="37" t="n">
        <f aca="false">IF(AND(AB592&lt;&gt;"",AC592="",COUNT($B592:$Z592)&gt;0,LEFT(AB592,5)&lt;&gt;"Total",AB592&lt;&gt;"Gross Profit",AB592&lt;&gt;"Net Profit",AB592&lt;&gt;"Operating Profit"),1,0)</f>
        <v>0</v>
      </c>
    </row>
    <row r="593" customFormat="false" ht="15" hidden="false" customHeight="false" outlineLevel="0" collapsed="false">
      <c r="B593" s="44"/>
      <c r="C593" s="44"/>
      <c r="D593" s="44"/>
      <c r="E593" s="44"/>
      <c r="F593" s="44"/>
      <c r="G593" s="44"/>
      <c r="H593" s="44"/>
      <c r="I593" s="44"/>
      <c r="J593" s="44"/>
      <c r="K593" s="44"/>
      <c r="L593" s="44"/>
      <c r="M593" s="44"/>
      <c r="N593" s="44"/>
      <c r="O593" s="44"/>
      <c r="P593" s="44"/>
      <c r="Q593" s="44"/>
      <c r="R593" s="44"/>
      <c r="S593" s="44"/>
      <c r="T593" s="44"/>
      <c r="U593" s="44"/>
      <c r="V593" s="44"/>
      <c r="W593" s="44"/>
      <c r="X593" s="44"/>
      <c r="Y593" s="44"/>
      <c r="Z593" s="44"/>
      <c r="AB593" s="37" t="str">
        <f aca="false">TRIM($A593&amp;"")</f>
        <v/>
      </c>
      <c r="AC593" s="37" t="str">
        <f aca="false">IF(AB593="","",IFERROR(INDEX('Account Map'!$B:$B,MATCH(AB593,'Account Map'!$A:$A,0)),""))</f>
        <v/>
      </c>
      <c r="AD593" s="37" t="str">
        <f aca="false">IF(AB593="","",IFERROR(INDEX('Account Map'!$C:$C,MATCH(AB593,'Account Map'!$A:$A,0)),""))</f>
        <v/>
      </c>
      <c r="AE593" s="37" t="n">
        <f aca="false">IF(AND(AB593&lt;&gt;"",AC593="",COUNT($B593:$Z593)&gt;0,LEFT(AB593,5)&lt;&gt;"Total",AB593&lt;&gt;"Gross Profit",AB593&lt;&gt;"Net Profit",AB593&lt;&gt;"Operating Profit"),1,0)</f>
        <v>0</v>
      </c>
    </row>
    <row r="594" customFormat="false" ht="15" hidden="false" customHeight="false" outlineLevel="0" collapsed="false">
      <c r="B594" s="44"/>
      <c r="C594" s="44"/>
      <c r="D594" s="44"/>
      <c r="E594" s="44"/>
      <c r="F594" s="44"/>
      <c r="G594" s="44"/>
      <c r="H594" s="44"/>
      <c r="I594" s="44"/>
      <c r="J594" s="44"/>
      <c r="K594" s="44"/>
      <c r="L594" s="44"/>
      <c r="M594" s="44"/>
      <c r="N594" s="44"/>
      <c r="O594" s="44"/>
      <c r="P594" s="44"/>
      <c r="Q594" s="44"/>
      <c r="R594" s="44"/>
      <c r="S594" s="44"/>
      <c r="T594" s="44"/>
      <c r="U594" s="44"/>
      <c r="V594" s="44"/>
      <c r="W594" s="44"/>
      <c r="X594" s="44"/>
      <c r="Y594" s="44"/>
      <c r="Z594" s="44"/>
      <c r="AB594" s="37" t="str">
        <f aca="false">TRIM($A594&amp;"")</f>
        <v/>
      </c>
      <c r="AC594" s="37" t="str">
        <f aca="false">IF(AB594="","",IFERROR(INDEX('Account Map'!$B:$B,MATCH(AB594,'Account Map'!$A:$A,0)),""))</f>
        <v/>
      </c>
      <c r="AD594" s="37" t="str">
        <f aca="false">IF(AB594="","",IFERROR(INDEX('Account Map'!$C:$C,MATCH(AB594,'Account Map'!$A:$A,0)),""))</f>
        <v/>
      </c>
      <c r="AE594" s="37" t="n">
        <f aca="false">IF(AND(AB594&lt;&gt;"",AC594="",COUNT($B594:$Z594)&gt;0,LEFT(AB594,5)&lt;&gt;"Total",AB594&lt;&gt;"Gross Profit",AB594&lt;&gt;"Net Profit",AB594&lt;&gt;"Operating Profit"),1,0)</f>
        <v>0</v>
      </c>
    </row>
    <row r="595" customFormat="false" ht="15" hidden="false" customHeight="false" outlineLevel="0" collapsed="false">
      <c r="B595" s="44"/>
      <c r="C595" s="44"/>
      <c r="D595" s="44"/>
      <c r="E595" s="44"/>
      <c r="F595" s="44"/>
      <c r="G595" s="44"/>
      <c r="H595" s="44"/>
      <c r="I595" s="44"/>
      <c r="J595" s="44"/>
      <c r="K595" s="44"/>
      <c r="L595" s="44"/>
      <c r="M595" s="44"/>
      <c r="N595" s="44"/>
      <c r="O595" s="44"/>
      <c r="P595" s="44"/>
      <c r="Q595" s="44"/>
      <c r="R595" s="44"/>
      <c r="S595" s="44"/>
      <c r="T595" s="44"/>
      <c r="U595" s="44"/>
      <c r="V595" s="44"/>
      <c r="W595" s="44"/>
      <c r="X595" s="44"/>
      <c r="Y595" s="44"/>
      <c r="Z595" s="44"/>
      <c r="AB595" s="37" t="str">
        <f aca="false">TRIM($A595&amp;"")</f>
        <v/>
      </c>
      <c r="AC595" s="37" t="str">
        <f aca="false">IF(AB595="","",IFERROR(INDEX('Account Map'!$B:$B,MATCH(AB595,'Account Map'!$A:$A,0)),""))</f>
        <v/>
      </c>
      <c r="AD595" s="37" t="str">
        <f aca="false">IF(AB595="","",IFERROR(INDEX('Account Map'!$C:$C,MATCH(AB595,'Account Map'!$A:$A,0)),""))</f>
        <v/>
      </c>
      <c r="AE595" s="37" t="n">
        <f aca="false">IF(AND(AB595&lt;&gt;"",AC595="",COUNT($B595:$Z595)&gt;0,LEFT(AB595,5)&lt;&gt;"Total",AB595&lt;&gt;"Gross Profit",AB595&lt;&gt;"Net Profit",AB595&lt;&gt;"Operating Profit"),1,0)</f>
        <v>0</v>
      </c>
    </row>
    <row r="596" customFormat="false" ht="15" hidden="false" customHeight="false" outlineLevel="0" collapsed="false">
      <c r="B596" s="44"/>
      <c r="C596" s="44"/>
      <c r="D596" s="44"/>
      <c r="E596" s="44"/>
      <c r="F596" s="44"/>
      <c r="G596" s="44"/>
      <c r="H596" s="44"/>
      <c r="I596" s="44"/>
      <c r="J596" s="44"/>
      <c r="K596" s="44"/>
      <c r="L596" s="44"/>
      <c r="M596" s="44"/>
      <c r="N596" s="44"/>
      <c r="O596" s="44"/>
      <c r="P596" s="44"/>
      <c r="Q596" s="44"/>
      <c r="R596" s="44"/>
      <c r="S596" s="44"/>
      <c r="T596" s="44"/>
      <c r="U596" s="44"/>
      <c r="V596" s="44"/>
      <c r="W596" s="44"/>
      <c r="X596" s="44"/>
      <c r="Y596" s="44"/>
      <c r="Z596" s="44"/>
      <c r="AB596" s="37" t="str">
        <f aca="false">TRIM($A596&amp;"")</f>
        <v/>
      </c>
      <c r="AC596" s="37" t="str">
        <f aca="false">IF(AB596="","",IFERROR(INDEX('Account Map'!$B:$B,MATCH(AB596,'Account Map'!$A:$A,0)),""))</f>
        <v/>
      </c>
      <c r="AD596" s="37" t="str">
        <f aca="false">IF(AB596="","",IFERROR(INDEX('Account Map'!$C:$C,MATCH(AB596,'Account Map'!$A:$A,0)),""))</f>
        <v/>
      </c>
      <c r="AE596" s="37" t="n">
        <f aca="false">IF(AND(AB596&lt;&gt;"",AC596="",COUNT($B596:$Z596)&gt;0,LEFT(AB596,5)&lt;&gt;"Total",AB596&lt;&gt;"Gross Profit",AB596&lt;&gt;"Net Profit",AB596&lt;&gt;"Operating Profit"),1,0)</f>
        <v>0</v>
      </c>
    </row>
    <row r="597" customFormat="false" ht="15" hidden="false" customHeight="false" outlineLevel="0" collapsed="false">
      <c r="B597" s="44"/>
      <c r="C597" s="44"/>
      <c r="D597" s="44"/>
      <c r="E597" s="44"/>
      <c r="F597" s="44"/>
      <c r="G597" s="44"/>
      <c r="H597" s="44"/>
      <c r="I597" s="44"/>
      <c r="J597" s="44"/>
      <c r="K597" s="44"/>
      <c r="L597" s="44"/>
      <c r="M597" s="44"/>
      <c r="N597" s="44"/>
      <c r="O597" s="44"/>
      <c r="P597" s="44"/>
      <c r="Q597" s="44"/>
      <c r="R597" s="44"/>
      <c r="S597" s="44"/>
      <c r="T597" s="44"/>
      <c r="U597" s="44"/>
      <c r="V597" s="44"/>
      <c r="W597" s="44"/>
      <c r="X597" s="44"/>
      <c r="Y597" s="44"/>
      <c r="Z597" s="44"/>
      <c r="AB597" s="37" t="str">
        <f aca="false">TRIM($A597&amp;"")</f>
        <v/>
      </c>
      <c r="AC597" s="37" t="str">
        <f aca="false">IF(AB597="","",IFERROR(INDEX('Account Map'!$B:$B,MATCH(AB597,'Account Map'!$A:$A,0)),""))</f>
        <v/>
      </c>
      <c r="AD597" s="37" t="str">
        <f aca="false">IF(AB597="","",IFERROR(INDEX('Account Map'!$C:$C,MATCH(AB597,'Account Map'!$A:$A,0)),""))</f>
        <v/>
      </c>
      <c r="AE597" s="37" t="n">
        <f aca="false">IF(AND(AB597&lt;&gt;"",AC597="",COUNT($B597:$Z597)&gt;0,LEFT(AB597,5)&lt;&gt;"Total",AB597&lt;&gt;"Gross Profit",AB597&lt;&gt;"Net Profit",AB597&lt;&gt;"Operating Profit"),1,0)</f>
        <v>0</v>
      </c>
    </row>
    <row r="598" customFormat="false" ht="15" hidden="false" customHeight="false" outlineLevel="0" collapsed="false">
      <c r="B598" s="44"/>
      <c r="C598" s="44"/>
      <c r="D598" s="44"/>
      <c r="E598" s="44"/>
      <c r="F598" s="44"/>
      <c r="G598" s="44"/>
      <c r="H598" s="44"/>
      <c r="I598" s="44"/>
      <c r="J598" s="44"/>
      <c r="K598" s="44"/>
      <c r="L598" s="44"/>
      <c r="M598" s="44"/>
      <c r="N598" s="44"/>
      <c r="O598" s="44"/>
      <c r="P598" s="44"/>
      <c r="Q598" s="44"/>
      <c r="R598" s="44"/>
      <c r="S598" s="44"/>
      <c r="T598" s="44"/>
      <c r="U598" s="44"/>
      <c r="V598" s="44"/>
      <c r="W598" s="44"/>
      <c r="X598" s="44"/>
      <c r="Y598" s="44"/>
      <c r="Z598" s="44"/>
      <c r="AB598" s="37" t="str">
        <f aca="false">TRIM($A598&amp;"")</f>
        <v/>
      </c>
      <c r="AC598" s="37" t="str">
        <f aca="false">IF(AB598="","",IFERROR(INDEX('Account Map'!$B:$B,MATCH(AB598,'Account Map'!$A:$A,0)),""))</f>
        <v/>
      </c>
      <c r="AD598" s="37" t="str">
        <f aca="false">IF(AB598="","",IFERROR(INDEX('Account Map'!$C:$C,MATCH(AB598,'Account Map'!$A:$A,0)),""))</f>
        <v/>
      </c>
      <c r="AE598" s="37" t="n">
        <f aca="false">IF(AND(AB598&lt;&gt;"",AC598="",COUNT($B598:$Z598)&gt;0,LEFT(AB598,5)&lt;&gt;"Total",AB598&lt;&gt;"Gross Profit",AB598&lt;&gt;"Net Profit",AB598&lt;&gt;"Operating Profit"),1,0)</f>
        <v>0</v>
      </c>
    </row>
    <row r="599" customFormat="false" ht="15" hidden="false" customHeight="false" outlineLevel="0" collapsed="false">
      <c r="B599" s="44"/>
      <c r="C599" s="44"/>
      <c r="D599" s="44"/>
      <c r="E599" s="44"/>
      <c r="F599" s="44"/>
      <c r="G599" s="44"/>
      <c r="H599" s="44"/>
      <c r="I599" s="44"/>
      <c r="J599" s="44"/>
      <c r="K599" s="44"/>
      <c r="L599" s="44"/>
      <c r="M599" s="44"/>
      <c r="N599" s="44"/>
      <c r="O599" s="44"/>
      <c r="P599" s="44"/>
      <c r="Q599" s="44"/>
      <c r="R599" s="44"/>
      <c r="S599" s="44"/>
      <c r="T599" s="44"/>
      <c r="U599" s="44"/>
      <c r="V599" s="44"/>
      <c r="W599" s="44"/>
      <c r="X599" s="44"/>
      <c r="Y599" s="44"/>
      <c r="Z599" s="44"/>
      <c r="AB599" s="37" t="str">
        <f aca="false">TRIM($A599&amp;"")</f>
        <v/>
      </c>
      <c r="AC599" s="37" t="str">
        <f aca="false">IF(AB599="","",IFERROR(INDEX('Account Map'!$B:$B,MATCH(AB599,'Account Map'!$A:$A,0)),""))</f>
        <v/>
      </c>
      <c r="AD599" s="37" t="str">
        <f aca="false">IF(AB599="","",IFERROR(INDEX('Account Map'!$C:$C,MATCH(AB599,'Account Map'!$A:$A,0)),""))</f>
        <v/>
      </c>
      <c r="AE599" s="37" t="n">
        <f aca="false">IF(AND(AB599&lt;&gt;"",AC599="",COUNT($B599:$Z599)&gt;0,LEFT(AB599,5)&lt;&gt;"Total",AB599&lt;&gt;"Gross Profit",AB599&lt;&gt;"Net Profit",AB599&lt;&gt;"Operating Profit"),1,0)</f>
        <v>0</v>
      </c>
    </row>
    <row r="600" customFormat="false" ht="15" hidden="false" customHeight="false" outlineLevel="0" collapsed="false">
      <c r="B600" s="44"/>
      <c r="C600" s="44"/>
      <c r="D600" s="44"/>
      <c r="E600" s="44"/>
      <c r="F600" s="44"/>
      <c r="G600" s="44"/>
      <c r="H600" s="44"/>
      <c r="I600" s="44"/>
      <c r="J600" s="44"/>
      <c r="K600" s="44"/>
      <c r="L600" s="44"/>
      <c r="M600" s="44"/>
      <c r="N600" s="44"/>
      <c r="O600" s="44"/>
      <c r="P600" s="44"/>
      <c r="Q600" s="44"/>
      <c r="R600" s="44"/>
      <c r="S600" s="44"/>
      <c r="T600" s="44"/>
      <c r="U600" s="44"/>
      <c r="V600" s="44"/>
      <c r="W600" s="44"/>
      <c r="X600" s="44"/>
      <c r="Y600" s="44"/>
      <c r="Z600" s="44"/>
      <c r="AB600" s="37" t="str">
        <f aca="false">TRIM($A600&amp;"")</f>
        <v/>
      </c>
      <c r="AC600" s="37" t="str">
        <f aca="false">IF(AB600="","",IFERROR(INDEX('Account Map'!$B:$B,MATCH(AB600,'Account Map'!$A:$A,0)),""))</f>
        <v/>
      </c>
      <c r="AD600" s="37" t="str">
        <f aca="false">IF(AB600="","",IFERROR(INDEX('Account Map'!$C:$C,MATCH(AB600,'Account Map'!$A:$A,0)),""))</f>
        <v/>
      </c>
      <c r="AE600" s="37" t="n">
        <f aca="false">IF(AND(AB600&lt;&gt;"",AC600="",COUNT($B600:$Z600)&gt;0,LEFT(AB600,5)&lt;&gt;"Total",AB600&lt;&gt;"Gross Profit",AB600&lt;&gt;"Net Profit",AB600&lt;&gt;"Operating Profit"),1,0)</f>
        <v>0</v>
      </c>
    </row>
    <row r="601" customFormat="false" ht="15" hidden="false" customHeight="false" outlineLevel="0" collapsed="false">
      <c r="B601" s="44"/>
      <c r="C601" s="44"/>
      <c r="D601" s="44"/>
      <c r="E601" s="44"/>
      <c r="F601" s="44"/>
      <c r="G601" s="44"/>
      <c r="H601" s="44"/>
      <c r="I601" s="44"/>
      <c r="J601" s="44"/>
      <c r="K601" s="44"/>
      <c r="L601" s="44"/>
      <c r="M601" s="44"/>
      <c r="N601" s="44"/>
      <c r="O601" s="44"/>
      <c r="P601" s="44"/>
      <c r="Q601" s="44"/>
      <c r="R601" s="44"/>
      <c r="S601" s="44"/>
      <c r="T601" s="44"/>
      <c r="U601" s="44"/>
      <c r="V601" s="44"/>
      <c r="W601" s="44"/>
      <c r="X601" s="44"/>
      <c r="Y601" s="44"/>
      <c r="Z601" s="44"/>
      <c r="AB601" s="37" t="str">
        <f aca="false">TRIM($A601&amp;"")</f>
        <v/>
      </c>
      <c r="AC601" s="37" t="str">
        <f aca="false">IF(AB601="","",IFERROR(INDEX('Account Map'!$B:$B,MATCH(AB601,'Account Map'!$A:$A,0)),""))</f>
        <v/>
      </c>
      <c r="AD601" s="37" t="str">
        <f aca="false">IF(AB601="","",IFERROR(INDEX('Account Map'!$C:$C,MATCH(AB601,'Account Map'!$A:$A,0)),""))</f>
        <v/>
      </c>
      <c r="AE601" s="37" t="n">
        <f aca="false">IF(AND(AB601&lt;&gt;"",AC601="",COUNT($B601:$Z601)&gt;0,LEFT(AB601,5)&lt;&gt;"Total",AB601&lt;&gt;"Gross Profit",AB601&lt;&gt;"Net Profit",AB601&lt;&gt;"Operating Profit"),1,0)</f>
        <v>0</v>
      </c>
    </row>
    <row r="602" customFormat="false" ht="15" hidden="false" customHeight="false" outlineLevel="0" collapsed="false">
      <c r="B602" s="44"/>
      <c r="C602" s="44"/>
      <c r="D602" s="44"/>
      <c r="E602" s="44"/>
      <c r="F602" s="44"/>
      <c r="G602" s="44"/>
      <c r="H602" s="44"/>
      <c r="I602" s="44"/>
      <c r="J602" s="44"/>
      <c r="K602" s="44"/>
      <c r="L602" s="44"/>
      <c r="M602" s="44"/>
      <c r="N602" s="44"/>
      <c r="O602" s="44"/>
      <c r="P602" s="44"/>
      <c r="Q602" s="44"/>
      <c r="R602" s="44"/>
      <c r="S602" s="44"/>
      <c r="T602" s="44"/>
      <c r="U602" s="44"/>
      <c r="V602" s="44"/>
      <c r="W602" s="44"/>
      <c r="X602" s="44"/>
      <c r="Y602" s="44"/>
      <c r="Z602" s="44"/>
      <c r="AB602" s="37" t="str">
        <f aca="false">TRIM($A602&amp;"")</f>
        <v/>
      </c>
      <c r="AC602" s="37" t="str">
        <f aca="false">IF(AB602="","",IFERROR(INDEX('Account Map'!$B:$B,MATCH(AB602,'Account Map'!$A:$A,0)),""))</f>
        <v/>
      </c>
      <c r="AD602" s="37" t="str">
        <f aca="false">IF(AB602="","",IFERROR(INDEX('Account Map'!$C:$C,MATCH(AB602,'Account Map'!$A:$A,0)),""))</f>
        <v/>
      </c>
      <c r="AE602" s="37" t="n">
        <f aca="false">IF(AND(AB602&lt;&gt;"",AC602="",COUNT($B602:$Z602)&gt;0,LEFT(AB602,5)&lt;&gt;"Total",AB602&lt;&gt;"Gross Profit",AB602&lt;&gt;"Net Profit",AB602&lt;&gt;"Operating Profit"),1,0)</f>
        <v>0</v>
      </c>
    </row>
    <row r="603" customFormat="false" ht="15" hidden="false" customHeight="false" outlineLevel="0" collapsed="false">
      <c r="B603" s="44"/>
      <c r="C603" s="44"/>
      <c r="D603" s="44"/>
      <c r="E603" s="44"/>
      <c r="F603" s="44"/>
      <c r="G603" s="44"/>
      <c r="H603" s="44"/>
      <c r="I603" s="44"/>
      <c r="J603" s="44"/>
      <c r="K603" s="44"/>
      <c r="L603" s="44"/>
      <c r="M603" s="44"/>
      <c r="N603" s="44"/>
      <c r="O603" s="44"/>
      <c r="P603" s="44"/>
      <c r="Q603" s="44"/>
      <c r="R603" s="44"/>
      <c r="S603" s="44"/>
      <c r="T603" s="44"/>
      <c r="U603" s="44"/>
      <c r="V603" s="44"/>
      <c r="W603" s="44"/>
      <c r="X603" s="44"/>
      <c r="Y603" s="44"/>
      <c r="Z603" s="44"/>
      <c r="AB603" s="37" t="str">
        <f aca="false">TRIM($A603&amp;"")</f>
        <v/>
      </c>
      <c r="AC603" s="37" t="str">
        <f aca="false">IF(AB603="","",IFERROR(INDEX('Account Map'!$B:$B,MATCH(AB603,'Account Map'!$A:$A,0)),""))</f>
        <v/>
      </c>
      <c r="AD603" s="37" t="str">
        <f aca="false">IF(AB603="","",IFERROR(INDEX('Account Map'!$C:$C,MATCH(AB603,'Account Map'!$A:$A,0)),""))</f>
        <v/>
      </c>
      <c r="AE603" s="37" t="n">
        <f aca="false">IF(AND(AB603&lt;&gt;"",AC603="",COUNT($B603:$Z603)&gt;0,LEFT(AB603,5)&lt;&gt;"Total",AB603&lt;&gt;"Gross Profit",AB603&lt;&gt;"Net Profit",AB603&lt;&gt;"Operating Profit"),1,0)</f>
        <v>0</v>
      </c>
    </row>
    <row r="604" customFormat="false" ht="15" hidden="false" customHeight="false" outlineLevel="0" collapsed="false">
      <c r="B604" s="44"/>
      <c r="C604" s="44"/>
      <c r="D604" s="44"/>
      <c r="E604" s="44"/>
      <c r="F604" s="44"/>
      <c r="G604" s="44"/>
      <c r="H604" s="44"/>
      <c r="I604" s="44"/>
      <c r="J604" s="44"/>
      <c r="K604" s="44"/>
      <c r="L604" s="44"/>
      <c r="M604" s="44"/>
      <c r="N604" s="44"/>
      <c r="O604" s="44"/>
      <c r="P604" s="44"/>
      <c r="Q604" s="44"/>
      <c r="R604" s="44"/>
      <c r="S604" s="44"/>
      <c r="T604" s="44"/>
      <c r="U604" s="44"/>
      <c r="V604" s="44"/>
      <c r="W604" s="44"/>
      <c r="X604" s="44"/>
      <c r="Y604" s="44"/>
      <c r="Z604" s="44"/>
      <c r="AB604" s="37" t="str">
        <f aca="false">TRIM($A604&amp;"")</f>
        <v/>
      </c>
      <c r="AC604" s="37" t="str">
        <f aca="false">IF(AB604="","",IFERROR(INDEX('Account Map'!$B:$B,MATCH(AB604,'Account Map'!$A:$A,0)),""))</f>
        <v/>
      </c>
      <c r="AD604" s="37" t="str">
        <f aca="false">IF(AB604="","",IFERROR(INDEX('Account Map'!$C:$C,MATCH(AB604,'Account Map'!$A:$A,0)),""))</f>
        <v/>
      </c>
      <c r="AE604" s="37" t="n">
        <f aca="false">IF(AND(AB604&lt;&gt;"",AC604="",COUNT($B604:$Z604)&gt;0,LEFT(AB604,5)&lt;&gt;"Total",AB604&lt;&gt;"Gross Profit",AB604&lt;&gt;"Net Profit",AB604&lt;&gt;"Operating Profit"),1,0)</f>
        <v>0</v>
      </c>
    </row>
    <row r="605" customFormat="false" ht="15" hidden="false" customHeight="false" outlineLevel="0" collapsed="false">
      <c r="B605" s="44"/>
      <c r="C605" s="44"/>
      <c r="D605" s="44"/>
      <c r="E605" s="44"/>
      <c r="F605" s="44"/>
      <c r="G605" s="44"/>
      <c r="H605" s="44"/>
      <c r="I605" s="44"/>
      <c r="J605" s="44"/>
      <c r="K605" s="44"/>
      <c r="L605" s="44"/>
      <c r="M605" s="44"/>
      <c r="N605" s="44"/>
      <c r="O605" s="44"/>
      <c r="P605" s="44"/>
      <c r="Q605" s="44"/>
      <c r="R605" s="44"/>
      <c r="S605" s="44"/>
      <c r="T605" s="44"/>
      <c r="U605" s="44"/>
      <c r="V605" s="44"/>
      <c r="W605" s="44"/>
      <c r="X605" s="44"/>
      <c r="Y605" s="44"/>
      <c r="Z605" s="44"/>
      <c r="AB605" s="37" t="str">
        <f aca="false">TRIM($A605&amp;"")</f>
        <v/>
      </c>
      <c r="AC605" s="37" t="str">
        <f aca="false">IF(AB605="","",IFERROR(INDEX('Account Map'!$B:$B,MATCH(AB605,'Account Map'!$A:$A,0)),""))</f>
        <v/>
      </c>
      <c r="AD605" s="37" t="str">
        <f aca="false">IF(AB605="","",IFERROR(INDEX('Account Map'!$C:$C,MATCH(AB605,'Account Map'!$A:$A,0)),""))</f>
        <v/>
      </c>
      <c r="AE605" s="37" t="n">
        <f aca="false">IF(AND(AB605&lt;&gt;"",AC605="",COUNT($B605:$Z605)&gt;0,LEFT(AB605,5)&lt;&gt;"Total",AB605&lt;&gt;"Gross Profit",AB605&lt;&gt;"Net Profit",AB605&lt;&gt;"Operating Profit"),1,0)</f>
        <v>0</v>
      </c>
    </row>
    <row r="606" customFormat="false" ht="15" hidden="false" customHeight="false" outlineLevel="0" collapsed="false">
      <c r="B606" s="44"/>
      <c r="C606" s="44"/>
      <c r="D606" s="44"/>
      <c r="E606" s="44"/>
      <c r="F606" s="44"/>
      <c r="G606" s="44"/>
      <c r="H606" s="44"/>
      <c r="I606" s="44"/>
      <c r="J606" s="44"/>
      <c r="K606" s="44"/>
      <c r="L606" s="44"/>
      <c r="M606" s="44"/>
      <c r="N606" s="44"/>
      <c r="O606" s="44"/>
      <c r="P606" s="44"/>
      <c r="Q606" s="44"/>
      <c r="R606" s="44"/>
      <c r="S606" s="44"/>
      <c r="T606" s="44"/>
      <c r="U606" s="44"/>
      <c r="V606" s="44"/>
      <c r="W606" s="44"/>
      <c r="X606" s="44"/>
      <c r="Y606" s="44"/>
      <c r="Z606" s="44"/>
      <c r="AB606" s="37" t="str">
        <f aca="false">TRIM($A606&amp;"")</f>
        <v/>
      </c>
      <c r="AC606" s="37" t="str">
        <f aca="false">IF(AB606="","",IFERROR(INDEX('Account Map'!$B:$B,MATCH(AB606,'Account Map'!$A:$A,0)),""))</f>
        <v/>
      </c>
      <c r="AD606" s="37" t="str">
        <f aca="false">IF(AB606="","",IFERROR(INDEX('Account Map'!$C:$C,MATCH(AB606,'Account Map'!$A:$A,0)),""))</f>
        <v/>
      </c>
      <c r="AE606" s="37" t="n">
        <f aca="false">IF(AND(AB606&lt;&gt;"",AC606="",COUNT($B606:$Z606)&gt;0,LEFT(AB606,5)&lt;&gt;"Total",AB606&lt;&gt;"Gross Profit",AB606&lt;&gt;"Net Profit",AB606&lt;&gt;"Operating Profit"),1,0)</f>
        <v>0</v>
      </c>
    </row>
    <row r="607" customFormat="false" ht="15" hidden="false" customHeight="false" outlineLevel="0" collapsed="false">
      <c r="B607" s="44"/>
      <c r="C607" s="44"/>
      <c r="D607" s="44"/>
      <c r="E607" s="44"/>
      <c r="F607" s="44"/>
      <c r="G607" s="44"/>
      <c r="H607" s="44"/>
      <c r="I607" s="44"/>
      <c r="J607" s="44"/>
      <c r="K607" s="44"/>
      <c r="L607" s="44"/>
      <c r="M607" s="44"/>
      <c r="N607" s="44"/>
      <c r="O607" s="44"/>
      <c r="P607" s="44"/>
      <c r="Q607" s="44"/>
      <c r="R607" s="44"/>
      <c r="S607" s="44"/>
      <c r="T607" s="44"/>
      <c r="U607" s="44"/>
      <c r="V607" s="44"/>
      <c r="W607" s="44"/>
      <c r="X607" s="44"/>
      <c r="Y607" s="44"/>
      <c r="Z607" s="44"/>
      <c r="AB607" s="37" t="str">
        <f aca="false">TRIM($A607&amp;"")</f>
        <v/>
      </c>
      <c r="AC607" s="37" t="str">
        <f aca="false">IF(AB607="","",IFERROR(INDEX('Account Map'!$B:$B,MATCH(AB607,'Account Map'!$A:$A,0)),""))</f>
        <v/>
      </c>
      <c r="AD607" s="37" t="str">
        <f aca="false">IF(AB607="","",IFERROR(INDEX('Account Map'!$C:$C,MATCH(AB607,'Account Map'!$A:$A,0)),""))</f>
        <v/>
      </c>
      <c r="AE607" s="37" t="n">
        <f aca="false">IF(AND(AB607&lt;&gt;"",AC607="",COUNT($B607:$Z607)&gt;0,LEFT(AB607,5)&lt;&gt;"Total",AB607&lt;&gt;"Gross Profit",AB607&lt;&gt;"Net Profit",AB607&lt;&gt;"Operating Profit"),1,0)</f>
        <v>0</v>
      </c>
    </row>
    <row r="608" customFormat="false" ht="15" hidden="false" customHeight="false" outlineLevel="0" collapsed="false">
      <c r="B608" s="44"/>
      <c r="C608" s="44"/>
      <c r="D608" s="44"/>
      <c r="E608" s="44"/>
      <c r="F608" s="44"/>
      <c r="G608" s="44"/>
      <c r="H608" s="44"/>
      <c r="I608" s="44"/>
      <c r="J608" s="44"/>
      <c r="K608" s="44"/>
      <c r="L608" s="44"/>
      <c r="M608" s="44"/>
      <c r="N608" s="44"/>
      <c r="O608" s="44"/>
      <c r="P608" s="44"/>
      <c r="Q608" s="44"/>
      <c r="R608" s="44"/>
      <c r="S608" s="44"/>
      <c r="T608" s="44"/>
      <c r="U608" s="44"/>
      <c r="V608" s="44"/>
      <c r="W608" s="44"/>
      <c r="X608" s="44"/>
      <c r="Y608" s="44"/>
      <c r="Z608" s="44"/>
      <c r="AB608" s="37" t="str">
        <f aca="false">TRIM($A608&amp;"")</f>
        <v/>
      </c>
      <c r="AC608" s="37" t="str">
        <f aca="false">IF(AB608="","",IFERROR(INDEX('Account Map'!$B:$B,MATCH(AB608,'Account Map'!$A:$A,0)),""))</f>
        <v/>
      </c>
      <c r="AD608" s="37" t="str">
        <f aca="false">IF(AB608="","",IFERROR(INDEX('Account Map'!$C:$C,MATCH(AB608,'Account Map'!$A:$A,0)),""))</f>
        <v/>
      </c>
      <c r="AE608" s="37" t="n">
        <f aca="false">IF(AND(AB608&lt;&gt;"",AC608="",COUNT($B608:$Z608)&gt;0,LEFT(AB608,5)&lt;&gt;"Total",AB608&lt;&gt;"Gross Profit",AB608&lt;&gt;"Net Profit",AB608&lt;&gt;"Operating Profit"),1,0)</f>
        <v>0</v>
      </c>
    </row>
    <row r="609" customFormat="false" ht="15" hidden="false" customHeight="false" outlineLevel="0" collapsed="false">
      <c r="B609" s="44"/>
      <c r="C609" s="44"/>
      <c r="D609" s="44"/>
      <c r="E609" s="44"/>
      <c r="F609" s="44"/>
      <c r="G609" s="44"/>
      <c r="H609" s="44"/>
      <c r="I609" s="44"/>
      <c r="J609" s="44"/>
      <c r="K609" s="44"/>
      <c r="L609" s="44"/>
      <c r="M609" s="44"/>
      <c r="N609" s="44"/>
      <c r="O609" s="44"/>
      <c r="P609" s="44"/>
      <c r="Q609" s="44"/>
      <c r="R609" s="44"/>
      <c r="S609" s="44"/>
      <c r="T609" s="44"/>
      <c r="U609" s="44"/>
      <c r="V609" s="44"/>
      <c r="W609" s="44"/>
      <c r="X609" s="44"/>
      <c r="Y609" s="44"/>
      <c r="Z609" s="44"/>
      <c r="AB609" s="37" t="str">
        <f aca="false">TRIM($A609&amp;"")</f>
        <v/>
      </c>
      <c r="AC609" s="37" t="str">
        <f aca="false">IF(AB609="","",IFERROR(INDEX('Account Map'!$B:$B,MATCH(AB609,'Account Map'!$A:$A,0)),""))</f>
        <v/>
      </c>
      <c r="AD609" s="37" t="str">
        <f aca="false">IF(AB609="","",IFERROR(INDEX('Account Map'!$C:$C,MATCH(AB609,'Account Map'!$A:$A,0)),""))</f>
        <v/>
      </c>
      <c r="AE609" s="37" t="n">
        <f aca="false">IF(AND(AB609&lt;&gt;"",AC609="",COUNT($B609:$Z609)&gt;0,LEFT(AB609,5)&lt;&gt;"Total",AB609&lt;&gt;"Gross Profit",AB609&lt;&gt;"Net Profit",AB609&lt;&gt;"Operating Profit"),1,0)</f>
        <v>0</v>
      </c>
    </row>
    <row r="610" customFormat="false" ht="15" hidden="false" customHeight="false" outlineLevel="0" collapsed="false">
      <c r="B610" s="44"/>
      <c r="C610" s="44"/>
      <c r="D610" s="44"/>
      <c r="E610" s="44"/>
      <c r="F610" s="44"/>
      <c r="G610" s="44"/>
      <c r="H610" s="44"/>
      <c r="I610" s="44"/>
      <c r="J610" s="44"/>
      <c r="K610" s="44"/>
      <c r="L610" s="44"/>
      <c r="M610" s="44"/>
      <c r="N610" s="44"/>
      <c r="O610" s="44"/>
      <c r="P610" s="44"/>
      <c r="Q610" s="44"/>
      <c r="R610" s="44"/>
      <c r="S610" s="44"/>
      <c r="T610" s="44"/>
      <c r="U610" s="44"/>
      <c r="V610" s="44"/>
      <c r="W610" s="44"/>
      <c r="X610" s="44"/>
      <c r="Y610" s="44"/>
      <c r="Z610" s="44"/>
      <c r="AB610" s="37" t="str">
        <f aca="false">TRIM($A610&amp;"")</f>
        <v/>
      </c>
      <c r="AC610" s="37" t="str">
        <f aca="false">IF(AB610="","",IFERROR(INDEX('Account Map'!$B:$B,MATCH(AB610,'Account Map'!$A:$A,0)),""))</f>
        <v/>
      </c>
      <c r="AD610" s="37" t="str">
        <f aca="false">IF(AB610="","",IFERROR(INDEX('Account Map'!$C:$C,MATCH(AB610,'Account Map'!$A:$A,0)),""))</f>
        <v/>
      </c>
      <c r="AE610" s="37" t="n">
        <f aca="false">IF(AND(AB610&lt;&gt;"",AC610="",COUNT($B610:$Z610)&gt;0,LEFT(AB610,5)&lt;&gt;"Total",AB610&lt;&gt;"Gross Profit",AB610&lt;&gt;"Net Profit",AB610&lt;&gt;"Operating Profit"),1,0)</f>
        <v>0</v>
      </c>
    </row>
    <row r="611" customFormat="false" ht="15" hidden="false" customHeight="false" outlineLevel="0" collapsed="false">
      <c r="B611" s="44"/>
      <c r="C611" s="44"/>
      <c r="D611" s="44"/>
      <c r="E611" s="44"/>
      <c r="F611" s="44"/>
      <c r="G611" s="44"/>
      <c r="H611" s="44"/>
      <c r="I611" s="44"/>
      <c r="J611" s="44"/>
      <c r="K611" s="44"/>
      <c r="L611" s="44"/>
      <c r="M611" s="44"/>
      <c r="N611" s="44"/>
      <c r="O611" s="44"/>
      <c r="P611" s="44"/>
      <c r="Q611" s="44"/>
      <c r="R611" s="44"/>
      <c r="S611" s="44"/>
      <c r="T611" s="44"/>
      <c r="U611" s="44"/>
      <c r="V611" s="44"/>
      <c r="W611" s="44"/>
      <c r="X611" s="44"/>
      <c r="Y611" s="44"/>
      <c r="Z611" s="44"/>
      <c r="AB611" s="37" t="str">
        <f aca="false">TRIM($A611&amp;"")</f>
        <v/>
      </c>
      <c r="AC611" s="37" t="str">
        <f aca="false">IF(AB611="","",IFERROR(INDEX('Account Map'!$B:$B,MATCH(AB611,'Account Map'!$A:$A,0)),""))</f>
        <v/>
      </c>
      <c r="AD611" s="37" t="str">
        <f aca="false">IF(AB611="","",IFERROR(INDEX('Account Map'!$C:$C,MATCH(AB611,'Account Map'!$A:$A,0)),""))</f>
        <v/>
      </c>
      <c r="AE611" s="37" t="n">
        <f aca="false">IF(AND(AB611&lt;&gt;"",AC611="",COUNT($B611:$Z611)&gt;0,LEFT(AB611,5)&lt;&gt;"Total",AB611&lt;&gt;"Gross Profit",AB611&lt;&gt;"Net Profit",AB611&lt;&gt;"Operating Profit"),1,0)</f>
        <v>0</v>
      </c>
    </row>
    <row r="612" customFormat="false" ht="15" hidden="false" customHeight="false" outlineLevel="0" collapsed="false">
      <c r="B612" s="44"/>
      <c r="C612" s="44"/>
      <c r="D612" s="44"/>
      <c r="E612" s="44"/>
      <c r="F612" s="44"/>
      <c r="G612" s="44"/>
      <c r="H612" s="44"/>
      <c r="I612" s="44"/>
      <c r="J612" s="44"/>
      <c r="K612" s="44"/>
      <c r="L612" s="44"/>
      <c r="M612" s="44"/>
      <c r="N612" s="44"/>
      <c r="O612" s="44"/>
      <c r="P612" s="44"/>
      <c r="Q612" s="44"/>
      <c r="R612" s="44"/>
      <c r="S612" s="44"/>
      <c r="T612" s="44"/>
      <c r="U612" s="44"/>
      <c r="V612" s="44"/>
      <c r="W612" s="44"/>
      <c r="X612" s="44"/>
      <c r="Y612" s="44"/>
      <c r="Z612" s="44"/>
      <c r="AB612" s="37" t="str">
        <f aca="false">TRIM($A612&amp;"")</f>
        <v/>
      </c>
      <c r="AC612" s="37" t="str">
        <f aca="false">IF(AB612="","",IFERROR(INDEX('Account Map'!$B:$B,MATCH(AB612,'Account Map'!$A:$A,0)),""))</f>
        <v/>
      </c>
      <c r="AD612" s="37" t="str">
        <f aca="false">IF(AB612="","",IFERROR(INDEX('Account Map'!$C:$C,MATCH(AB612,'Account Map'!$A:$A,0)),""))</f>
        <v/>
      </c>
      <c r="AE612" s="37" t="n">
        <f aca="false">IF(AND(AB612&lt;&gt;"",AC612="",COUNT($B612:$Z612)&gt;0,LEFT(AB612,5)&lt;&gt;"Total",AB612&lt;&gt;"Gross Profit",AB612&lt;&gt;"Net Profit",AB612&lt;&gt;"Operating Profit"),1,0)</f>
        <v>0</v>
      </c>
    </row>
    <row r="613" customFormat="false" ht="15" hidden="false" customHeight="false" outlineLevel="0" collapsed="false">
      <c r="B613" s="44"/>
      <c r="C613" s="44"/>
      <c r="D613" s="44"/>
      <c r="E613" s="44"/>
      <c r="F613" s="44"/>
      <c r="G613" s="44"/>
      <c r="H613" s="44"/>
      <c r="I613" s="44"/>
      <c r="J613" s="44"/>
      <c r="K613" s="44"/>
      <c r="L613" s="44"/>
      <c r="M613" s="44"/>
      <c r="N613" s="44"/>
      <c r="O613" s="44"/>
      <c r="P613" s="44"/>
      <c r="Q613" s="44"/>
      <c r="R613" s="44"/>
      <c r="S613" s="44"/>
      <c r="T613" s="44"/>
      <c r="U613" s="44"/>
      <c r="V613" s="44"/>
      <c r="W613" s="44"/>
      <c r="X613" s="44"/>
      <c r="Y613" s="44"/>
      <c r="Z613" s="44"/>
      <c r="AB613" s="37" t="str">
        <f aca="false">TRIM($A613&amp;"")</f>
        <v/>
      </c>
      <c r="AC613" s="37" t="str">
        <f aca="false">IF(AB613="","",IFERROR(INDEX('Account Map'!$B:$B,MATCH(AB613,'Account Map'!$A:$A,0)),""))</f>
        <v/>
      </c>
      <c r="AD613" s="37" t="str">
        <f aca="false">IF(AB613="","",IFERROR(INDEX('Account Map'!$C:$C,MATCH(AB613,'Account Map'!$A:$A,0)),""))</f>
        <v/>
      </c>
      <c r="AE613" s="37" t="n">
        <f aca="false">IF(AND(AB613&lt;&gt;"",AC613="",COUNT($B613:$Z613)&gt;0,LEFT(AB613,5)&lt;&gt;"Total",AB613&lt;&gt;"Gross Profit",AB613&lt;&gt;"Net Profit",AB613&lt;&gt;"Operating Profit"),1,0)</f>
        <v>0</v>
      </c>
    </row>
    <row r="614" customFormat="false" ht="15" hidden="false" customHeight="false" outlineLevel="0" collapsed="false">
      <c r="B614" s="44"/>
      <c r="C614" s="44"/>
      <c r="D614" s="44"/>
      <c r="E614" s="44"/>
      <c r="F614" s="44"/>
      <c r="G614" s="44"/>
      <c r="H614" s="44"/>
      <c r="I614" s="44"/>
      <c r="J614" s="44"/>
      <c r="K614" s="44"/>
      <c r="L614" s="44"/>
      <c r="M614" s="44"/>
      <c r="N614" s="44"/>
      <c r="O614" s="44"/>
      <c r="P614" s="44"/>
      <c r="Q614" s="44"/>
      <c r="R614" s="44"/>
      <c r="S614" s="44"/>
      <c r="T614" s="44"/>
      <c r="U614" s="44"/>
      <c r="V614" s="44"/>
      <c r="W614" s="44"/>
      <c r="X614" s="44"/>
      <c r="Y614" s="44"/>
      <c r="Z614" s="44"/>
      <c r="AB614" s="37" t="str">
        <f aca="false">TRIM($A614&amp;"")</f>
        <v/>
      </c>
      <c r="AC614" s="37" t="str">
        <f aca="false">IF(AB614="","",IFERROR(INDEX('Account Map'!$B:$B,MATCH(AB614,'Account Map'!$A:$A,0)),""))</f>
        <v/>
      </c>
      <c r="AD614" s="37" t="str">
        <f aca="false">IF(AB614="","",IFERROR(INDEX('Account Map'!$C:$C,MATCH(AB614,'Account Map'!$A:$A,0)),""))</f>
        <v/>
      </c>
      <c r="AE614" s="37" t="n">
        <f aca="false">IF(AND(AB614&lt;&gt;"",AC614="",COUNT($B614:$Z614)&gt;0,LEFT(AB614,5)&lt;&gt;"Total",AB614&lt;&gt;"Gross Profit",AB614&lt;&gt;"Net Profit",AB614&lt;&gt;"Operating Profit"),1,0)</f>
        <v>0</v>
      </c>
    </row>
    <row r="615" customFormat="false" ht="15" hidden="false" customHeight="false" outlineLevel="0" collapsed="false">
      <c r="B615" s="44"/>
      <c r="C615" s="44"/>
      <c r="D615" s="44"/>
      <c r="E615" s="44"/>
      <c r="F615" s="44"/>
      <c r="G615" s="44"/>
      <c r="H615" s="44"/>
      <c r="I615" s="44"/>
      <c r="J615" s="44"/>
      <c r="K615" s="44"/>
      <c r="L615" s="44"/>
      <c r="M615" s="44"/>
      <c r="N615" s="44"/>
      <c r="O615" s="44"/>
      <c r="P615" s="44"/>
      <c r="Q615" s="44"/>
      <c r="R615" s="44"/>
      <c r="S615" s="44"/>
      <c r="T615" s="44"/>
      <c r="U615" s="44"/>
      <c r="V615" s="44"/>
      <c r="W615" s="44"/>
      <c r="X615" s="44"/>
      <c r="Y615" s="44"/>
      <c r="Z615" s="44"/>
      <c r="AB615" s="37" t="str">
        <f aca="false">TRIM($A615&amp;"")</f>
        <v/>
      </c>
      <c r="AC615" s="37" t="str">
        <f aca="false">IF(AB615="","",IFERROR(INDEX('Account Map'!$B:$B,MATCH(AB615,'Account Map'!$A:$A,0)),""))</f>
        <v/>
      </c>
      <c r="AD615" s="37" t="str">
        <f aca="false">IF(AB615="","",IFERROR(INDEX('Account Map'!$C:$C,MATCH(AB615,'Account Map'!$A:$A,0)),""))</f>
        <v/>
      </c>
      <c r="AE615" s="37" t="n">
        <f aca="false">IF(AND(AB615&lt;&gt;"",AC615="",COUNT($B615:$Z615)&gt;0,LEFT(AB615,5)&lt;&gt;"Total",AB615&lt;&gt;"Gross Profit",AB615&lt;&gt;"Net Profit",AB615&lt;&gt;"Operating Profit"),1,0)</f>
        <v>0</v>
      </c>
    </row>
    <row r="616" customFormat="false" ht="15" hidden="false" customHeight="false" outlineLevel="0" collapsed="false">
      <c r="B616" s="44"/>
      <c r="C616" s="44"/>
      <c r="D616" s="44"/>
      <c r="E616" s="44"/>
      <c r="F616" s="44"/>
      <c r="G616" s="44"/>
      <c r="H616" s="44"/>
      <c r="I616" s="44"/>
      <c r="J616" s="44"/>
      <c r="K616" s="44"/>
      <c r="L616" s="44"/>
      <c r="M616" s="44"/>
      <c r="N616" s="44"/>
      <c r="O616" s="44"/>
      <c r="P616" s="44"/>
      <c r="Q616" s="44"/>
      <c r="R616" s="44"/>
      <c r="S616" s="44"/>
      <c r="T616" s="44"/>
      <c r="U616" s="44"/>
      <c r="V616" s="44"/>
      <c r="W616" s="44"/>
      <c r="X616" s="44"/>
      <c r="Y616" s="44"/>
      <c r="Z616" s="44"/>
      <c r="AB616" s="37" t="str">
        <f aca="false">TRIM($A616&amp;"")</f>
        <v/>
      </c>
      <c r="AC616" s="37" t="str">
        <f aca="false">IF(AB616="","",IFERROR(INDEX('Account Map'!$B:$B,MATCH(AB616,'Account Map'!$A:$A,0)),""))</f>
        <v/>
      </c>
      <c r="AD616" s="37" t="str">
        <f aca="false">IF(AB616="","",IFERROR(INDEX('Account Map'!$C:$C,MATCH(AB616,'Account Map'!$A:$A,0)),""))</f>
        <v/>
      </c>
      <c r="AE616" s="37" t="n">
        <f aca="false">IF(AND(AB616&lt;&gt;"",AC616="",COUNT($B616:$Z616)&gt;0,LEFT(AB616,5)&lt;&gt;"Total",AB616&lt;&gt;"Gross Profit",AB616&lt;&gt;"Net Profit",AB616&lt;&gt;"Operating Profit"),1,0)</f>
        <v>0</v>
      </c>
    </row>
    <row r="617" customFormat="false" ht="15" hidden="false" customHeight="false" outlineLevel="0" collapsed="false">
      <c r="B617" s="44"/>
      <c r="C617" s="44"/>
      <c r="D617" s="44"/>
      <c r="E617" s="44"/>
      <c r="F617" s="44"/>
      <c r="G617" s="44"/>
      <c r="H617" s="44"/>
      <c r="I617" s="44"/>
      <c r="J617" s="44"/>
      <c r="K617" s="44"/>
      <c r="L617" s="44"/>
      <c r="M617" s="44"/>
      <c r="N617" s="44"/>
      <c r="O617" s="44"/>
      <c r="P617" s="44"/>
      <c r="Q617" s="44"/>
      <c r="R617" s="44"/>
      <c r="S617" s="44"/>
      <c r="T617" s="44"/>
      <c r="U617" s="44"/>
      <c r="V617" s="44"/>
      <c r="W617" s="44"/>
      <c r="X617" s="44"/>
      <c r="Y617" s="44"/>
      <c r="Z617" s="44"/>
      <c r="AB617" s="37" t="str">
        <f aca="false">TRIM($A617&amp;"")</f>
        <v/>
      </c>
      <c r="AC617" s="37" t="str">
        <f aca="false">IF(AB617="","",IFERROR(INDEX('Account Map'!$B:$B,MATCH(AB617,'Account Map'!$A:$A,0)),""))</f>
        <v/>
      </c>
      <c r="AD617" s="37" t="str">
        <f aca="false">IF(AB617="","",IFERROR(INDEX('Account Map'!$C:$C,MATCH(AB617,'Account Map'!$A:$A,0)),""))</f>
        <v/>
      </c>
      <c r="AE617" s="37" t="n">
        <f aca="false">IF(AND(AB617&lt;&gt;"",AC617="",COUNT($B617:$Z617)&gt;0,LEFT(AB617,5)&lt;&gt;"Total",AB617&lt;&gt;"Gross Profit",AB617&lt;&gt;"Net Profit",AB617&lt;&gt;"Operating Profit"),1,0)</f>
        <v>0</v>
      </c>
    </row>
    <row r="618" customFormat="false" ht="15" hidden="false" customHeight="false" outlineLevel="0" collapsed="false">
      <c r="B618" s="44"/>
      <c r="C618" s="44"/>
      <c r="D618" s="44"/>
      <c r="E618" s="44"/>
      <c r="F618" s="44"/>
      <c r="G618" s="44"/>
      <c r="H618" s="44"/>
      <c r="I618" s="44"/>
      <c r="J618" s="44"/>
      <c r="K618" s="44"/>
      <c r="L618" s="44"/>
      <c r="M618" s="44"/>
      <c r="N618" s="44"/>
      <c r="O618" s="44"/>
      <c r="P618" s="44"/>
      <c r="Q618" s="44"/>
      <c r="R618" s="44"/>
      <c r="S618" s="44"/>
      <c r="T618" s="44"/>
      <c r="U618" s="44"/>
      <c r="V618" s="44"/>
      <c r="W618" s="44"/>
      <c r="X618" s="44"/>
      <c r="Y618" s="44"/>
      <c r="Z618" s="44"/>
      <c r="AB618" s="37" t="str">
        <f aca="false">TRIM($A618&amp;"")</f>
        <v/>
      </c>
      <c r="AC618" s="37" t="str">
        <f aca="false">IF(AB618="","",IFERROR(INDEX('Account Map'!$B:$B,MATCH(AB618,'Account Map'!$A:$A,0)),""))</f>
        <v/>
      </c>
      <c r="AD618" s="37" t="str">
        <f aca="false">IF(AB618="","",IFERROR(INDEX('Account Map'!$C:$C,MATCH(AB618,'Account Map'!$A:$A,0)),""))</f>
        <v/>
      </c>
      <c r="AE618" s="37" t="n">
        <f aca="false">IF(AND(AB618&lt;&gt;"",AC618="",COUNT($B618:$Z618)&gt;0,LEFT(AB618,5)&lt;&gt;"Total",AB618&lt;&gt;"Gross Profit",AB618&lt;&gt;"Net Profit",AB618&lt;&gt;"Operating Profit"),1,0)</f>
        <v>0</v>
      </c>
    </row>
    <row r="619" customFormat="false" ht="15" hidden="false" customHeight="false" outlineLevel="0" collapsed="false">
      <c r="B619" s="44"/>
      <c r="C619" s="44"/>
      <c r="D619" s="44"/>
      <c r="E619" s="44"/>
      <c r="F619" s="44"/>
      <c r="G619" s="44"/>
      <c r="H619" s="44"/>
      <c r="I619" s="44"/>
      <c r="J619" s="44"/>
      <c r="K619" s="44"/>
      <c r="L619" s="44"/>
      <c r="M619" s="44"/>
      <c r="N619" s="44"/>
      <c r="O619" s="44"/>
      <c r="P619" s="44"/>
      <c r="Q619" s="44"/>
      <c r="R619" s="44"/>
      <c r="S619" s="44"/>
      <c r="T619" s="44"/>
      <c r="U619" s="44"/>
      <c r="V619" s="44"/>
      <c r="W619" s="44"/>
      <c r="X619" s="44"/>
      <c r="Y619" s="44"/>
      <c r="Z619" s="44"/>
      <c r="AB619" s="37" t="str">
        <f aca="false">TRIM($A619&amp;"")</f>
        <v/>
      </c>
      <c r="AC619" s="37" t="str">
        <f aca="false">IF(AB619="","",IFERROR(INDEX('Account Map'!$B:$B,MATCH(AB619,'Account Map'!$A:$A,0)),""))</f>
        <v/>
      </c>
      <c r="AD619" s="37" t="str">
        <f aca="false">IF(AB619="","",IFERROR(INDEX('Account Map'!$C:$C,MATCH(AB619,'Account Map'!$A:$A,0)),""))</f>
        <v/>
      </c>
      <c r="AE619" s="37" t="n">
        <f aca="false">IF(AND(AB619&lt;&gt;"",AC619="",COUNT($B619:$Z619)&gt;0,LEFT(AB619,5)&lt;&gt;"Total",AB619&lt;&gt;"Gross Profit",AB619&lt;&gt;"Net Profit",AB619&lt;&gt;"Operating Profit"),1,0)</f>
        <v>0</v>
      </c>
    </row>
    <row r="620" customFormat="false" ht="15" hidden="false" customHeight="false" outlineLevel="0" collapsed="false">
      <c r="B620" s="44"/>
      <c r="C620" s="44"/>
      <c r="D620" s="44"/>
      <c r="E620" s="44"/>
      <c r="F620" s="44"/>
      <c r="G620" s="44"/>
      <c r="H620" s="44"/>
      <c r="I620" s="44"/>
      <c r="J620" s="44"/>
      <c r="K620" s="44"/>
      <c r="L620" s="44"/>
      <c r="M620" s="44"/>
      <c r="N620" s="44"/>
      <c r="O620" s="44"/>
      <c r="P620" s="44"/>
      <c r="Q620" s="44"/>
      <c r="R620" s="44"/>
      <c r="S620" s="44"/>
      <c r="T620" s="44"/>
      <c r="U620" s="44"/>
      <c r="V620" s="44"/>
      <c r="W620" s="44"/>
      <c r="X620" s="44"/>
      <c r="Y620" s="44"/>
      <c r="Z620" s="44"/>
      <c r="AB620" s="37" t="str">
        <f aca="false">TRIM($A620&amp;"")</f>
        <v/>
      </c>
      <c r="AC620" s="37" t="str">
        <f aca="false">IF(AB620="","",IFERROR(INDEX('Account Map'!$B:$B,MATCH(AB620,'Account Map'!$A:$A,0)),""))</f>
        <v/>
      </c>
      <c r="AD620" s="37" t="str">
        <f aca="false">IF(AB620="","",IFERROR(INDEX('Account Map'!$C:$C,MATCH(AB620,'Account Map'!$A:$A,0)),""))</f>
        <v/>
      </c>
      <c r="AE620" s="37" t="n">
        <f aca="false">IF(AND(AB620&lt;&gt;"",AC620="",COUNT($B620:$Z620)&gt;0,LEFT(AB620,5)&lt;&gt;"Total",AB620&lt;&gt;"Gross Profit",AB620&lt;&gt;"Net Profit",AB620&lt;&gt;"Operating Profit"),1,0)</f>
        <v>0</v>
      </c>
    </row>
    <row r="621" customFormat="false" ht="15" hidden="false" customHeight="false" outlineLevel="0" collapsed="false">
      <c r="B621" s="44"/>
      <c r="C621" s="44"/>
      <c r="D621" s="44"/>
      <c r="E621" s="44"/>
      <c r="F621" s="44"/>
      <c r="G621" s="44"/>
      <c r="H621" s="44"/>
      <c r="I621" s="44"/>
      <c r="J621" s="44"/>
      <c r="K621" s="44"/>
      <c r="L621" s="44"/>
      <c r="M621" s="44"/>
      <c r="N621" s="44"/>
      <c r="O621" s="44"/>
      <c r="P621" s="44"/>
      <c r="Q621" s="44"/>
      <c r="R621" s="44"/>
      <c r="S621" s="44"/>
      <c r="T621" s="44"/>
      <c r="U621" s="44"/>
      <c r="V621" s="44"/>
      <c r="W621" s="44"/>
      <c r="X621" s="44"/>
      <c r="Y621" s="44"/>
      <c r="Z621" s="44"/>
      <c r="AB621" s="37" t="str">
        <f aca="false">TRIM($A621&amp;"")</f>
        <v/>
      </c>
      <c r="AC621" s="37" t="str">
        <f aca="false">IF(AB621="","",IFERROR(INDEX('Account Map'!$B:$B,MATCH(AB621,'Account Map'!$A:$A,0)),""))</f>
        <v/>
      </c>
      <c r="AD621" s="37" t="str">
        <f aca="false">IF(AB621="","",IFERROR(INDEX('Account Map'!$C:$C,MATCH(AB621,'Account Map'!$A:$A,0)),""))</f>
        <v/>
      </c>
      <c r="AE621" s="37" t="n">
        <f aca="false">IF(AND(AB621&lt;&gt;"",AC621="",COUNT($B621:$Z621)&gt;0,LEFT(AB621,5)&lt;&gt;"Total",AB621&lt;&gt;"Gross Profit",AB621&lt;&gt;"Net Profit",AB621&lt;&gt;"Operating Profit"),1,0)</f>
        <v>0</v>
      </c>
    </row>
    <row r="622" customFormat="false" ht="15" hidden="false" customHeight="false" outlineLevel="0" collapsed="false">
      <c r="B622" s="44"/>
      <c r="C622" s="44"/>
      <c r="D622" s="44"/>
      <c r="E622" s="44"/>
      <c r="F622" s="44"/>
      <c r="G622" s="44"/>
      <c r="H622" s="44"/>
      <c r="I622" s="44"/>
      <c r="J622" s="44"/>
      <c r="K622" s="44"/>
      <c r="L622" s="44"/>
      <c r="M622" s="44"/>
      <c r="N622" s="44"/>
      <c r="O622" s="44"/>
      <c r="P622" s="44"/>
      <c r="Q622" s="44"/>
      <c r="R622" s="44"/>
      <c r="S622" s="44"/>
      <c r="T622" s="44"/>
      <c r="U622" s="44"/>
      <c r="V622" s="44"/>
      <c r="W622" s="44"/>
      <c r="X622" s="44"/>
      <c r="Y622" s="44"/>
      <c r="Z622" s="44"/>
      <c r="AB622" s="37" t="str">
        <f aca="false">TRIM($A622&amp;"")</f>
        <v/>
      </c>
      <c r="AC622" s="37" t="str">
        <f aca="false">IF(AB622="","",IFERROR(INDEX('Account Map'!$B:$B,MATCH(AB622,'Account Map'!$A:$A,0)),""))</f>
        <v/>
      </c>
      <c r="AD622" s="37" t="str">
        <f aca="false">IF(AB622="","",IFERROR(INDEX('Account Map'!$C:$C,MATCH(AB622,'Account Map'!$A:$A,0)),""))</f>
        <v/>
      </c>
      <c r="AE622" s="37" t="n">
        <f aca="false">IF(AND(AB622&lt;&gt;"",AC622="",COUNT($B622:$Z622)&gt;0,LEFT(AB622,5)&lt;&gt;"Total",AB622&lt;&gt;"Gross Profit",AB622&lt;&gt;"Net Profit",AB622&lt;&gt;"Operating Profit"),1,0)</f>
        <v>0</v>
      </c>
    </row>
    <row r="623" customFormat="false" ht="15" hidden="false" customHeight="false" outlineLevel="0" collapsed="false">
      <c r="B623" s="44"/>
      <c r="C623" s="44"/>
      <c r="D623" s="44"/>
      <c r="E623" s="44"/>
      <c r="F623" s="44"/>
      <c r="G623" s="44"/>
      <c r="H623" s="44"/>
      <c r="I623" s="44"/>
      <c r="J623" s="44"/>
      <c r="K623" s="44"/>
      <c r="L623" s="44"/>
      <c r="M623" s="44"/>
      <c r="N623" s="44"/>
      <c r="O623" s="44"/>
      <c r="P623" s="44"/>
      <c r="Q623" s="44"/>
      <c r="R623" s="44"/>
      <c r="S623" s="44"/>
      <c r="T623" s="44"/>
      <c r="U623" s="44"/>
      <c r="V623" s="44"/>
      <c r="W623" s="44"/>
      <c r="X623" s="44"/>
      <c r="Y623" s="44"/>
      <c r="Z623" s="44"/>
      <c r="AB623" s="37" t="str">
        <f aca="false">TRIM($A623&amp;"")</f>
        <v/>
      </c>
      <c r="AC623" s="37" t="str">
        <f aca="false">IF(AB623="","",IFERROR(INDEX('Account Map'!$B:$B,MATCH(AB623,'Account Map'!$A:$A,0)),""))</f>
        <v/>
      </c>
      <c r="AD623" s="37" t="str">
        <f aca="false">IF(AB623="","",IFERROR(INDEX('Account Map'!$C:$C,MATCH(AB623,'Account Map'!$A:$A,0)),""))</f>
        <v/>
      </c>
      <c r="AE623" s="37" t="n">
        <f aca="false">IF(AND(AB623&lt;&gt;"",AC623="",COUNT($B623:$Z623)&gt;0,LEFT(AB623,5)&lt;&gt;"Total",AB623&lt;&gt;"Gross Profit",AB623&lt;&gt;"Net Profit",AB623&lt;&gt;"Operating Profit"),1,0)</f>
        <v>0</v>
      </c>
    </row>
    <row r="624" customFormat="false" ht="15" hidden="false" customHeight="false" outlineLevel="0" collapsed="false">
      <c r="B624" s="44"/>
      <c r="C624" s="44"/>
      <c r="D624" s="44"/>
      <c r="E624" s="44"/>
      <c r="F624" s="44"/>
      <c r="G624" s="44"/>
      <c r="H624" s="44"/>
      <c r="I624" s="44"/>
      <c r="J624" s="44"/>
      <c r="K624" s="44"/>
      <c r="L624" s="44"/>
      <c r="M624" s="44"/>
      <c r="N624" s="44"/>
      <c r="O624" s="44"/>
      <c r="P624" s="44"/>
      <c r="Q624" s="44"/>
      <c r="R624" s="44"/>
      <c r="S624" s="44"/>
      <c r="T624" s="44"/>
      <c r="U624" s="44"/>
      <c r="V624" s="44"/>
      <c r="W624" s="44"/>
      <c r="X624" s="44"/>
      <c r="Y624" s="44"/>
      <c r="Z624" s="44"/>
      <c r="AB624" s="37" t="str">
        <f aca="false">TRIM($A624&amp;"")</f>
        <v/>
      </c>
      <c r="AC624" s="37" t="str">
        <f aca="false">IF(AB624="","",IFERROR(INDEX('Account Map'!$B:$B,MATCH(AB624,'Account Map'!$A:$A,0)),""))</f>
        <v/>
      </c>
      <c r="AD624" s="37" t="str">
        <f aca="false">IF(AB624="","",IFERROR(INDEX('Account Map'!$C:$C,MATCH(AB624,'Account Map'!$A:$A,0)),""))</f>
        <v/>
      </c>
      <c r="AE624" s="37" t="n">
        <f aca="false">IF(AND(AB624&lt;&gt;"",AC624="",COUNT($B624:$Z624)&gt;0,LEFT(AB624,5)&lt;&gt;"Total",AB624&lt;&gt;"Gross Profit",AB624&lt;&gt;"Net Profit",AB624&lt;&gt;"Operating Profit"),1,0)</f>
        <v>0</v>
      </c>
    </row>
    <row r="625" customFormat="false" ht="15" hidden="false" customHeight="false" outlineLevel="0" collapsed="false">
      <c r="B625" s="44"/>
      <c r="C625" s="44"/>
      <c r="D625" s="44"/>
      <c r="E625" s="44"/>
      <c r="F625" s="44"/>
      <c r="G625" s="44"/>
      <c r="H625" s="44"/>
      <c r="I625" s="44"/>
      <c r="J625" s="44"/>
      <c r="K625" s="44"/>
      <c r="L625" s="44"/>
      <c r="M625" s="44"/>
      <c r="N625" s="44"/>
      <c r="O625" s="44"/>
      <c r="P625" s="44"/>
      <c r="Q625" s="44"/>
      <c r="R625" s="44"/>
      <c r="S625" s="44"/>
      <c r="T625" s="44"/>
      <c r="U625" s="44"/>
      <c r="V625" s="44"/>
      <c r="W625" s="44"/>
      <c r="X625" s="44"/>
      <c r="Y625" s="44"/>
      <c r="Z625" s="44"/>
      <c r="AB625" s="37" t="str">
        <f aca="false">TRIM($A625&amp;"")</f>
        <v/>
      </c>
      <c r="AC625" s="37" t="str">
        <f aca="false">IF(AB625="","",IFERROR(INDEX('Account Map'!$B:$B,MATCH(AB625,'Account Map'!$A:$A,0)),""))</f>
        <v/>
      </c>
      <c r="AD625" s="37" t="str">
        <f aca="false">IF(AB625="","",IFERROR(INDEX('Account Map'!$C:$C,MATCH(AB625,'Account Map'!$A:$A,0)),""))</f>
        <v/>
      </c>
      <c r="AE625" s="37" t="n">
        <f aca="false">IF(AND(AB625&lt;&gt;"",AC625="",COUNT($B625:$Z625)&gt;0,LEFT(AB625,5)&lt;&gt;"Total",AB625&lt;&gt;"Gross Profit",AB625&lt;&gt;"Net Profit",AB625&lt;&gt;"Operating Profit"),1,0)</f>
        <v>0</v>
      </c>
    </row>
    <row r="626" customFormat="false" ht="15" hidden="false" customHeight="false" outlineLevel="0" collapsed="false">
      <c r="B626" s="44"/>
      <c r="C626" s="44"/>
      <c r="D626" s="44"/>
      <c r="E626" s="44"/>
      <c r="F626" s="44"/>
      <c r="G626" s="44"/>
      <c r="H626" s="44"/>
      <c r="I626" s="44"/>
      <c r="J626" s="44"/>
      <c r="K626" s="44"/>
      <c r="L626" s="44"/>
      <c r="M626" s="44"/>
      <c r="N626" s="44"/>
      <c r="O626" s="44"/>
      <c r="P626" s="44"/>
      <c r="Q626" s="44"/>
      <c r="R626" s="44"/>
      <c r="S626" s="44"/>
      <c r="T626" s="44"/>
      <c r="U626" s="44"/>
      <c r="V626" s="44"/>
      <c r="W626" s="44"/>
      <c r="X626" s="44"/>
      <c r="Y626" s="44"/>
      <c r="Z626" s="44"/>
      <c r="AB626" s="37" t="str">
        <f aca="false">TRIM($A626&amp;"")</f>
        <v/>
      </c>
      <c r="AC626" s="37" t="str">
        <f aca="false">IF(AB626="","",IFERROR(INDEX('Account Map'!$B:$B,MATCH(AB626,'Account Map'!$A:$A,0)),""))</f>
        <v/>
      </c>
      <c r="AD626" s="37" t="str">
        <f aca="false">IF(AB626="","",IFERROR(INDEX('Account Map'!$C:$C,MATCH(AB626,'Account Map'!$A:$A,0)),""))</f>
        <v/>
      </c>
      <c r="AE626" s="37" t="n">
        <f aca="false">IF(AND(AB626&lt;&gt;"",AC626="",COUNT($B626:$Z626)&gt;0,LEFT(AB626,5)&lt;&gt;"Total",AB626&lt;&gt;"Gross Profit",AB626&lt;&gt;"Net Profit",AB626&lt;&gt;"Operating Profit"),1,0)</f>
        <v>0</v>
      </c>
    </row>
    <row r="627" customFormat="false" ht="15" hidden="false" customHeight="false" outlineLevel="0" collapsed="false">
      <c r="B627" s="44"/>
      <c r="C627" s="44"/>
      <c r="D627" s="44"/>
      <c r="E627" s="44"/>
      <c r="F627" s="44"/>
      <c r="G627" s="44"/>
      <c r="H627" s="44"/>
      <c r="I627" s="44"/>
      <c r="J627" s="44"/>
      <c r="K627" s="44"/>
      <c r="L627" s="44"/>
      <c r="M627" s="44"/>
      <c r="N627" s="44"/>
      <c r="O627" s="44"/>
      <c r="P627" s="44"/>
      <c r="Q627" s="44"/>
      <c r="R627" s="44"/>
      <c r="S627" s="44"/>
      <c r="T627" s="44"/>
      <c r="U627" s="44"/>
      <c r="V627" s="44"/>
      <c r="W627" s="44"/>
      <c r="X627" s="44"/>
      <c r="Y627" s="44"/>
      <c r="Z627" s="44"/>
      <c r="AB627" s="37" t="str">
        <f aca="false">TRIM($A627&amp;"")</f>
        <v/>
      </c>
      <c r="AC627" s="37" t="str">
        <f aca="false">IF(AB627="","",IFERROR(INDEX('Account Map'!$B:$B,MATCH(AB627,'Account Map'!$A:$A,0)),""))</f>
        <v/>
      </c>
      <c r="AD627" s="37" t="str">
        <f aca="false">IF(AB627="","",IFERROR(INDEX('Account Map'!$C:$C,MATCH(AB627,'Account Map'!$A:$A,0)),""))</f>
        <v/>
      </c>
      <c r="AE627" s="37" t="n">
        <f aca="false">IF(AND(AB627&lt;&gt;"",AC627="",COUNT($B627:$Z627)&gt;0,LEFT(AB627,5)&lt;&gt;"Total",AB627&lt;&gt;"Gross Profit",AB627&lt;&gt;"Net Profit",AB627&lt;&gt;"Operating Profit"),1,0)</f>
        <v>0</v>
      </c>
    </row>
    <row r="628" customFormat="false" ht="15" hidden="false" customHeight="false" outlineLevel="0" collapsed="false">
      <c r="B628" s="44"/>
      <c r="C628" s="44"/>
      <c r="D628" s="44"/>
      <c r="E628" s="44"/>
      <c r="F628" s="44"/>
      <c r="G628" s="44"/>
      <c r="H628" s="44"/>
      <c r="I628" s="44"/>
      <c r="J628" s="44"/>
      <c r="K628" s="44"/>
      <c r="L628" s="44"/>
      <c r="M628" s="44"/>
      <c r="N628" s="44"/>
      <c r="O628" s="44"/>
      <c r="P628" s="44"/>
      <c r="Q628" s="44"/>
      <c r="R628" s="44"/>
      <c r="S628" s="44"/>
      <c r="T628" s="44"/>
      <c r="U628" s="44"/>
      <c r="V628" s="44"/>
      <c r="W628" s="44"/>
      <c r="X628" s="44"/>
      <c r="Y628" s="44"/>
      <c r="Z628" s="44"/>
      <c r="AB628" s="37" t="str">
        <f aca="false">TRIM($A628&amp;"")</f>
        <v/>
      </c>
      <c r="AC628" s="37" t="str">
        <f aca="false">IF(AB628="","",IFERROR(INDEX('Account Map'!$B:$B,MATCH(AB628,'Account Map'!$A:$A,0)),""))</f>
        <v/>
      </c>
      <c r="AD628" s="37" t="str">
        <f aca="false">IF(AB628="","",IFERROR(INDEX('Account Map'!$C:$C,MATCH(AB628,'Account Map'!$A:$A,0)),""))</f>
        <v/>
      </c>
      <c r="AE628" s="37" t="n">
        <f aca="false">IF(AND(AB628&lt;&gt;"",AC628="",COUNT($B628:$Z628)&gt;0,LEFT(AB628,5)&lt;&gt;"Total",AB628&lt;&gt;"Gross Profit",AB628&lt;&gt;"Net Profit",AB628&lt;&gt;"Operating Profit"),1,0)</f>
        <v>0</v>
      </c>
    </row>
    <row r="629" customFormat="false" ht="15" hidden="false" customHeight="false" outlineLevel="0" collapsed="false">
      <c r="B629" s="44"/>
      <c r="C629" s="44"/>
      <c r="D629" s="44"/>
      <c r="E629" s="44"/>
      <c r="F629" s="44"/>
      <c r="G629" s="44"/>
      <c r="H629" s="44"/>
      <c r="I629" s="44"/>
      <c r="J629" s="44"/>
      <c r="K629" s="44"/>
      <c r="L629" s="44"/>
      <c r="M629" s="44"/>
      <c r="N629" s="44"/>
      <c r="O629" s="44"/>
      <c r="P629" s="44"/>
      <c r="Q629" s="44"/>
      <c r="R629" s="44"/>
      <c r="S629" s="44"/>
      <c r="T629" s="44"/>
      <c r="U629" s="44"/>
      <c r="V629" s="44"/>
      <c r="W629" s="44"/>
      <c r="X629" s="44"/>
      <c r="Y629" s="44"/>
      <c r="Z629" s="44"/>
      <c r="AB629" s="37" t="str">
        <f aca="false">TRIM($A629&amp;"")</f>
        <v/>
      </c>
      <c r="AC629" s="37" t="str">
        <f aca="false">IF(AB629="","",IFERROR(INDEX('Account Map'!$B:$B,MATCH(AB629,'Account Map'!$A:$A,0)),""))</f>
        <v/>
      </c>
      <c r="AD629" s="37" t="str">
        <f aca="false">IF(AB629="","",IFERROR(INDEX('Account Map'!$C:$C,MATCH(AB629,'Account Map'!$A:$A,0)),""))</f>
        <v/>
      </c>
      <c r="AE629" s="37" t="n">
        <f aca="false">IF(AND(AB629&lt;&gt;"",AC629="",COUNT($B629:$Z629)&gt;0,LEFT(AB629,5)&lt;&gt;"Total",AB629&lt;&gt;"Gross Profit",AB629&lt;&gt;"Net Profit",AB629&lt;&gt;"Operating Profit"),1,0)</f>
        <v>0</v>
      </c>
    </row>
    <row r="630" customFormat="false" ht="15" hidden="false" customHeight="false" outlineLevel="0" collapsed="false">
      <c r="B630" s="44"/>
      <c r="C630" s="44"/>
      <c r="D630" s="44"/>
      <c r="E630" s="44"/>
      <c r="F630" s="44"/>
      <c r="G630" s="44"/>
      <c r="H630" s="44"/>
      <c r="I630" s="44"/>
      <c r="J630" s="44"/>
      <c r="K630" s="44"/>
      <c r="L630" s="44"/>
      <c r="M630" s="44"/>
      <c r="N630" s="44"/>
      <c r="O630" s="44"/>
      <c r="P630" s="44"/>
      <c r="Q630" s="44"/>
      <c r="R630" s="44"/>
      <c r="S630" s="44"/>
      <c r="T630" s="44"/>
      <c r="U630" s="44"/>
      <c r="V630" s="44"/>
      <c r="W630" s="44"/>
      <c r="X630" s="44"/>
      <c r="Y630" s="44"/>
      <c r="Z630" s="44"/>
      <c r="AB630" s="37" t="str">
        <f aca="false">TRIM($A630&amp;"")</f>
        <v/>
      </c>
      <c r="AC630" s="37" t="str">
        <f aca="false">IF(AB630="","",IFERROR(INDEX('Account Map'!$B:$B,MATCH(AB630,'Account Map'!$A:$A,0)),""))</f>
        <v/>
      </c>
      <c r="AD630" s="37" t="str">
        <f aca="false">IF(AB630="","",IFERROR(INDEX('Account Map'!$C:$C,MATCH(AB630,'Account Map'!$A:$A,0)),""))</f>
        <v/>
      </c>
      <c r="AE630" s="37" t="n">
        <f aca="false">IF(AND(AB630&lt;&gt;"",AC630="",COUNT($B630:$Z630)&gt;0,LEFT(AB630,5)&lt;&gt;"Total",AB630&lt;&gt;"Gross Profit",AB630&lt;&gt;"Net Profit",AB630&lt;&gt;"Operating Profit"),1,0)</f>
        <v>0</v>
      </c>
    </row>
    <row r="631" customFormat="false" ht="15" hidden="false" customHeight="false" outlineLevel="0" collapsed="false">
      <c r="B631" s="44"/>
      <c r="C631" s="44"/>
      <c r="D631" s="44"/>
      <c r="E631" s="44"/>
      <c r="F631" s="44"/>
      <c r="G631" s="44"/>
      <c r="H631" s="44"/>
      <c r="I631" s="44"/>
      <c r="J631" s="44"/>
      <c r="K631" s="44"/>
      <c r="L631" s="44"/>
      <c r="M631" s="44"/>
      <c r="N631" s="44"/>
      <c r="O631" s="44"/>
      <c r="P631" s="44"/>
      <c r="Q631" s="44"/>
      <c r="R631" s="44"/>
      <c r="S631" s="44"/>
      <c r="T631" s="44"/>
      <c r="U631" s="44"/>
      <c r="V631" s="44"/>
      <c r="W631" s="44"/>
      <c r="X631" s="44"/>
      <c r="Y631" s="44"/>
      <c r="Z631" s="44"/>
      <c r="AB631" s="37" t="str">
        <f aca="false">TRIM($A631&amp;"")</f>
        <v/>
      </c>
      <c r="AC631" s="37" t="str">
        <f aca="false">IF(AB631="","",IFERROR(INDEX('Account Map'!$B:$B,MATCH(AB631,'Account Map'!$A:$A,0)),""))</f>
        <v/>
      </c>
      <c r="AD631" s="37" t="str">
        <f aca="false">IF(AB631="","",IFERROR(INDEX('Account Map'!$C:$C,MATCH(AB631,'Account Map'!$A:$A,0)),""))</f>
        <v/>
      </c>
      <c r="AE631" s="37" t="n">
        <f aca="false">IF(AND(AB631&lt;&gt;"",AC631="",COUNT($B631:$Z631)&gt;0,LEFT(AB631,5)&lt;&gt;"Total",AB631&lt;&gt;"Gross Profit",AB631&lt;&gt;"Net Profit",AB631&lt;&gt;"Operating Profit"),1,0)</f>
        <v>0</v>
      </c>
    </row>
    <row r="632" customFormat="false" ht="15" hidden="false" customHeight="false" outlineLevel="0" collapsed="false">
      <c r="B632" s="44"/>
      <c r="C632" s="44"/>
      <c r="D632" s="44"/>
      <c r="E632" s="44"/>
      <c r="F632" s="44"/>
      <c r="G632" s="44"/>
      <c r="H632" s="44"/>
      <c r="I632" s="44"/>
      <c r="J632" s="44"/>
      <c r="K632" s="44"/>
      <c r="L632" s="44"/>
      <c r="M632" s="44"/>
      <c r="N632" s="44"/>
      <c r="O632" s="44"/>
      <c r="P632" s="44"/>
      <c r="Q632" s="44"/>
      <c r="R632" s="44"/>
      <c r="S632" s="44"/>
      <c r="T632" s="44"/>
      <c r="U632" s="44"/>
      <c r="V632" s="44"/>
      <c r="W632" s="44"/>
      <c r="X632" s="44"/>
      <c r="Y632" s="44"/>
      <c r="Z632" s="44"/>
      <c r="AB632" s="37" t="str">
        <f aca="false">TRIM($A632&amp;"")</f>
        <v/>
      </c>
      <c r="AC632" s="37" t="str">
        <f aca="false">IF(AB632="","",IFERROR(INDEX('Account Map'!$B:$B,MATCH(AB632,'Account Map'!$A:$A,0)),""))</f>
        <v/>
      </c>
      <c r="AD632" s="37" t="str">
        <f aca="false">IF(AB632="","",IFERROR(INDEX('Account Map'!$C:$C,MATCH(AB632,'Account Map'!$A:$A,0)),""))</f>
        <v/>
      </c>
      <c r="AE632" s="37" t="n">
        <f aca="false">IF(AND(AB632&lt;&gt;"",AC632="",COUNT($B632:$Z632)&gt;0,LEFT(AB632,5)&lt;&gt;"Total",AB632&lt;&gt;"Gross Profit",AB632&lt;&gt;"Net Profit",AB632&lt;&gt;"Operating Profit"),1,0)</f>
        <v>0</v>
      </c>
    </row>
    <row r="633" customFormat="false" ht="15" hidden="false" customHeight="false" outlineLevel="0" collapsed="false">
      <c r="B633" s="44"/>
      <c r="C633" s="44"/>
      <c r="D633" s="44"/>
      <c r="E633" s="44"/>
      <c r="F633" s="44"/>
      <c r="G633" s="44"/>
      <c r="H633" s="44"/>
      <c r="I633" s="44"/>
      <c r="J633" s="44"/>
      <c r="K633" s="44"/>
      <c r="L633" s="44"/>
      <c r="M633" s="44"/>
      <c r="N633" s="44"/>
      <c r="O633" s="44"/>
      <c r="P633" s="44"/>
      <c r="Q633" s="44"/>
      <c r="R633" s="44"/>
      <c r="S633" s="44"/>
      <c r="T633" s="44"/>
      <c r="U633" s="44"/>
      <c r="V633" s="44"/>
      <c r="W633" s="44"/>
      <c r="X633" s="44"/>
      <c r="Y633" s="44"/>
      <c r="Z633" s="44"/>
      <c r="AB633" s="37" t="str">
        <f aca="false">TRIM($A633&amp;"")</f>
        <v/>
      </c>
      <c r="AC633" s="37" t="str">
        <f aca="false">IF(AB633="","",IFERROR(INDEX('Account Map'!$B:$B,MATCH(AB633,'Account Map'!$A:$A,0)),""))</f>
        <v/>
      </c>
      <c r="AD633" s="37" t="str">
        <f aca="false">IF(AB633="","",IFERROR(INDEX('Account Map'!$C:$C,MATCH(AB633,'Account Map'!$A:$A,0)),""))</f>
        <v/>
      </c>
      <c r="AE633" s="37" t="n">
        <f aca="false">IF(AND(AB633&lt;&gt;"",AC633="",COUNT($B633:$Z633)&gt;0,LEFT(AB633,5)&lt;&gt;"Total",AB633&lt;&gt;"Gross Profit",AB633&lt;&gt;"Net Profit",AB633&lt;&gt;"Operating Profit"),1,0)</f>
        <v>0</v>
      </c>
    </row>
    <row r="634" customFormat="false" ht="15" hidden="false" customHeight="false" outlineLevel="0" collapsed="false">
      <c r="B634" s="44"/>
      <c r="C634" s="44"/>
      <c r="D634" s="44"/>
      <c r="E634" s="44"/>
      <c r="F634" s="44"/>
      <c r="G634" s="44"/>
      <c r="H634" s="44"/>
      <c r="I634" s="44"/>
      <c r="J634" s="44"/>
      <c r="K634" s="44"/>
      <c r="L634" s="44"/>
      <c r="M634" s="44"/>
      <c r="N634" s="44"/>
      <c r="O634" s="44"/>
      <c r="P634" s="44"/>
      <c r="Q634" s="44"/>
      <c r="R634" s="44"/>
      <c r="S634" s="44"/>
      <c r="T634" s="44"/>
      <c r="U634" s="44"/>
      <c r="V634" s="44"/>
      <c r="W634" s="44"/>
      <c r="X634" s="44"/>
      <c r="Y634" s="44"/>
      <c r="Z634" s="44"/>
      <c r="AB634" s="37" t="str">
        <f aca="false">TRIM($A634&amp;"")</f>
        <v/>
      </c>
      <c r="AC634" s="37" t="str">
        <f aca="false">IF(AB634="","",IFERROR(INDEX('Account Map'!$B:$B,MATCH(AB634,'Account Map'!$A:$A,0)),""))</f>
        <v/>
      </c>
      <c r="AD634" s="37" t="str">
        <f aca="false">IF(AB634="","",IFERROR(INDEX('Account Map'!$C:$C,MATCH(AB634,'Account Map'!$A:$A,0)),""))</f>
        <v/>
      </c>
      <c r="AE634" s="37" t="n">
        <f aca="false">IF(AND(AB634&lt;&gt;"",AC634="",COUNT($B634:$Z634)&gt;0,LEFT(AB634,5)&lt;&gt;"Total",AB634&lt;&gt;"Gross Profit",AB634&lt;&gt;"Net Profit",AB634&lt;&gt;"Operating Profit"),1,0)</f>
        <v>0</v>
      </c>
    </row>
    <row r="635" customFormat="false" ht="15" hidden="false" customHeight="false" outlineLevel="0" collapsed="false">
      <c r="B635" s="44"/>
      <c r="C635" s="44"/>
      <c r="D635" s="44"/>
      <c r="E635" s="44"/>
      <c r="F635" s="44"/>
      <c r="G635" s="44"/>
      <c r="H635" s="44"/>
      <c r="I635" s="44"/>
      <c r="J635" s="44"/>
      <c r="K635" s="44"/>
      <c r="L635" s="44"/>
      <c r="M635" s="44"/>
      <c r="N635" s="44"/>
      <c r="O635" s="44"/>
      <c r="P635" s="44"/>
      <c r="Q635" s="44"/>
      <c r="R635" s="44"/>
      <c r="S635" s="44"/>
      <c r="T635" s="44"/>
      <c r="U635" s="44"/>
      <c r="V635" s="44"/>
      <c r="W635" s="44"/>
      <c r="X635" s="44"/>
      <c r="Y635" s="44"/>
      <c r="Z635" s="44"/>
      <c r="AB635" s="37" t="str">
        <f aca="false">TRIM($A635&amp;"")</f>
        <v/>
      </c>
      <c r="AC635" s="37" t="str">
        <f aca="false">IF(AB635="","",IFERROR(INDEX('Account Map'!$B:$B,MATCH(AB635,'Account Map'!$A:$A,0)),""))</f>
        <v/>
      </c>
      <c r="AD635" s="37" t="str">
        <f aca="false">IF(AB635="","",IFERROR(INDEX('Account Map'!$C:$C,MATCH(AB635,'Account Map'!$A:$A,0)),""))</f>
        <v/>
      </c>
      <c r="AE635" s="37" t="n">
        <f aca="false">IF(AND(AB635&lt;&gt;"",AC635="",COUNT($B635:$Z635)&gt;0,LEFT(AB635,5)&lt;&gt;"Total",AB635&lt;&gt;"Gross Profit",AB635&lt;&gt;"Net Profit",AB635&lt;&gt;"Operating Profit"),1,0)</f>
        <v>0</v>
      </c>
    </row>
    <row r="636" customFormat="false" ht="15" hidden="false" customHeight="false" outlineLevel="0" collapsed="false">
      <c r="B636" s="44"/>
      <c r="C636" s="44"/>
      <c r="D636" s="44"/>
      <c r="E636" s="44"/>
      <c r="F636" s="44"/>
      <c r="G636" s="44"/>
      <c r="H636" s="44"/>
      <c r="I636" s="44"/>
      <c r="J636" s="44"/>
      <c r="K636" s="44"/>
      <c r="L636" s="44"/>
      <c r="M636" s="44"/>
      <c r="N636" s="44"/>
      <c r="O636" s="44"/>
      <c r="P636" s="44"/>
      <c r="Q636" s="44"/>
      <c r="R636" s="44"/>
      <c r="S636" s="44"/>
      <c r="T636" s="44"/>
      <c r="U636" s="44"/>
      <c r="V636" s="44"/>
      <c r="W636" s="44"/>
      <c r="X636" s="44"/>
      <c r="Y636" s="44"/>
      <c r="Z636" s="44"/>
      <c r="AB636" s="37" t="str">
        <f aca="false">TRIM($A636&amp;"")</f>
        <v/>
      </c>
      <c r="AC636" s="37" t="str">
        <f aca="false">IF(AB636="","",IFERROR(INDEX('Account Map'!$B:$B,MATCH(AB636,'Account Map'!$A:$A,0)),""))</f>
        <v/>
      </c>
      <c r="AD636" s="37" t="str">
        <f aca="false">IF(AB636="","",IFERROR(INDEX('Account Map'!$C:$C,MATCH(AB636,'Account Map'!$A:$A,0)),""))</f>
        <v/>
      </c>
      <c r="AE636" s="37" t="n">
        <f aca="false">IF(AND(AB636&lt;&gt;"",AC636="",COUNT($B636:$Z636)&gt;0,LEFT(AB636,5)&lt;&gt;"Total",AB636&lt;&gt;"Gross Profit",AB636&lt;&gt;"Net Profit",AB636&lt;&gt;"Operating Profit"),1,0)</f>
        <v>0</v>
      </c>
    </row>
    <row r="637" customFormat="false" ht="15" hidden="false" customHeight="false" outlineLevel="0" collapsed="false">
      <c r="B637" s="44"/>
      <c r="C637" s="44"/>
      <c r="D637" s="44"/>
      <c r="E637" s="44"/>
      <c r="F637" s="44"/>
      <c r="G637" s="44"/>
      <c r="H637" s="44"/>
      <c r="I637" s="44"/>
      <c r="J637" s="44"/>
      <c r="K637" s="44"/>
      <c r="L637" s="44"/>
      <c r="M637" s="44"/>
      <c r="N637" s="44"/>
      <c r="O637" s="44"/>
      <c r="P637" s="44"/>
      <c r="Q637" s="44"/>
      <c r="R637" s="44"/>
      <c r="S637" s="44"/>
      <c r="T637" s="44"/>
      <c r="U637" s="44"/>
      <c r="V637" s="44"/>
      <c r="W637" s="44"/>
      <c r="X637" s="44"/>
      <c r="Y637" s="44"/>
      <c r="Z637" s="44"/>
      <c r="AB637" s="37" t="str">
        <f aca="false">TRIM($A637&amp;"")</f>
        <v/>
      </c>
      <c r="AC637" s="37" t="str">
        <f aca="false">IF(AB637="","",IFERROR(INDEX('Account Map'!$B:$B,MATCH(AB637,'Account Map'!$A:$A,0)),""))</f>
        <v/>
      </c>
      <c r="AD637" s="37" t="str">
        <f aca="false">IF(AB637="","",IFERROR(INDEX('Account Map'!$C:$C,MATCH(AB637,'Account Map'!$A:$A,0)),""))</f>
        <v/>
      </c>
      <c r="AE637" s="37" t="n">
        <f aca="false">IF(AND(AB637&lt;&gt;"",AC637="",COUNT($B637:$Z637)&gt;0,LEFT(AB637,5)&lt;&gt;"Total",AB637&lt;&gt;"Gross Profit",AB637&lt;&gt;"Net Profit",AB637&lt;&gt;"Operating Profit"),1,0)</f>
        <v>0</v>
      </c>
    </row>
    <row r="638" customFormat="false" ht="15" hidden="false" customHeight="false" outlineLevel="0" collapsed="false">
      <c r="B638" s="44"/>
      <c r="C638" s="44"/>
      <c r="D638" s="44"/>
      <c r="E638" s="44"/>
      <c r="F638" s="44"/>
      <c r="G638" s="44"/>
      <c r="H638" s="44"/>
      <c r="I638" s="44"/>
      <c r="J638" s="44"/>
      <c r="K638" s="44"/>
      <c r="L638" s="44"/>
      <c r="M638" s="44"/>
      <c r="N638" s="44"/>
      <c r="O638" s="44"/>
      <c r="P638" s="44"/>
      <c r="Q638" s="44"/>
      <c r="R638" s="44"/>
      <c r="S638" s="44"/>
      <c r="T638" s="44"/>
      <c r="U638" s="44"/>
      <c r="V638" s="44"/>
      <c r="W638" s="44"/>
      <c r="X638" s="44"/>
      <c r="Y638" s="44"/>
      <c r="Z638" s="44"/>
      <c r="AB638" s="37" t="str">
        <f aca="false">TRIM($A638&amp;"")</f>
        <v/>
      </c>
      <c r="AC638" s="37" t="str">
        <f aca="false">IF(AB638="","",IFERROR(INDEX('Account Map'!$B:$B,MATCH(AB638,'Account Map'!$A:$A,0)),""))</f>
        <v/>
      </c>
      <c r="AD638" s="37" t="str">
        <f aca="false">IF(AB638="","",IFERROR(INDEX('Account Map'!$C:$C,MATCH(AB638,'Account Map'!$A:$A,0)),""))</f>
        <v/>
      </c>
      <c r="AE638" s="37" t="n">
        <f aca="false">IF(AND(AB638&lt;&gt;"",AC638="",COUNT($B638:$Z638)&gt;0,LEFT(AB638,5)&lt;&gt;"Total",AB638&lt;&gt;"Gross Profit",AB638&lt;&gt;"Net Profit",AB638&lt;&gt;"Operating Profit"),1,0)</f>
        <v>0</v>
      </c>
    </row>
    <row r="639" customFormat="false" ht="15" hidden="false" customHeight="false" outlineLevel="0" collapsed="false">
      <c r="B639" s="44"/>
      <c r="C639" s="44"/>
      <c r="D639" s="44"/>
      <c r="E639" s="44"/>
      <c r="F639" s="44"/>
      <c r="G639" s="44"/>
      <c r="H639" s="44"/>
      <c r="I639" s="44"/>
      <c r="J639" s="44"/>
      <c r="K639" s="44"/>
      <c r="L639" s="44"/>
      <c r="M639" s="44"/>
      <c r="N639" s="44"/>
      <c r="O639" s="44"/>
      <c r="P639" s="44"/>
      <c r="Q639" s="44"/>
      <c r="R639" s="44"/>
      <c r="S639" s="44"/>
      <c r="T639" s="44"/>
      <c r="U639" s="44"/>
      <c r="V639" s="44"/>
      <c r="W639" s="44"/>
      <c r="X639" s="44"/>
      <c r="Y639" s="44"/>
      <c r="Z639" s="44"/>
      <c r="AB639" s="37" t="str">
        <f aca="false">TRIM($A639&amp;"")</f>
        <v/>
      </c>
      <c r="AC639" s="37" t="str">
        <f aca="false">IF(AB639="","",IFERROR(INDEX('Account Map'!$B:$B,MATCH(AB639,'Account Map'!$A:$A,0)),""))</f>
        <v/>
      </c>
      <c r="AD639" s="37" t="str">
        <f aca="false">IF(AB639="","",IFERROR(INDEX('Account Map'!$C:$C,MATCH(AB639,'Account Map'!$A:$A,0)),""))</f>
        <v/>
      </c>
      <c r="AE639" s="37" t="n">
        <f aca="false">IF(AND(AB639&lt;&gt;"",AC639="",COUNT($B639:$Z639)&gt;0,LEFT(AB639,5)&lt;&gt;"Total",AB639&lt;&gt;"Gross Profit",AB639&lt;&gt;"Net Profit",AB639&lt;&gt;"Operating Profit"),1,0)</f>
        <v>0</v>
      </c>
    </row>
    <row r="640" customFormat="false" ht="15" hidden="false" customHeight="false" outlineLevel="0" collapsed="false">
      <c r="B640" s="44"/>
      <c r="C640" s="44"/>
      <c r="D640" s="44"/>
      <c r="E640" s="44"/>
      <c r="F640" s="44"/>
      <c r="G640" s="44"/>
      <c r="H640" s="44"/>
      <c r="I640" s="44"/>
      <c r="J640" s="44"/>
      <c r="K640" s="44"/>
      <c r="L640" s="44"/>
      <c r="M640" s="44"/>
      <c r="N640" s="44"/>
      <c r="O640" s="44"/>
      <c r="P640" s="44"/>
      <c r="Q640" s="44"/>
      <c r="R640" s="44"/>
      <c r="S640" s="44"/>
      <c r="T640" s="44"/>
      <c r="U640" s="44"/>
      <c r="V640" s="44"/>
      <c r="W640" s="44"/>
      <c r="X640" s="44"/>
      <c r="Y640" s="44"/>
      <c r="Z640" s="44"/>
      <c r="AB640" s="37" t="str">
        <f aca="false">TRIM($A640&amp;"")</f>
        <v/>
      </c>
      <c r="AC640" s="37" t="str">
        <f aca="false">IF(AB640="","",IFERROR(INDEX('Account Map'!$B:$B,MATCH(AB640,'Account Map'!$A:$A,0)),""))</f>
        <v/>
      </c>
      <c r="AD640" s="37" t="str">
        <f aca="false">IF(AB640="","",IFERROR(INDEX('Account Map'!$C:$C,MATCH(AB640,'Account Map'!$A:$A,0)),""))</f>
        <v/>
      </c>
      <c r="AE640" s="37" t="n">
        <f aca="false">IF(AND(AB640&lt;&gt;"",AC640="",COUNT($B640:$Z640)&gt;0,LEFT(AB640,5)&lt;&gt;"Total",AB640&lt;&gt;"Gross Profit",AB640&lt;&gt;"Net Profit",AB640&lt;&gt;"Operating Profit"),1,0)</f>
        <v>0</v>
      </c>
    </row>
    <row r="641" customFormat="false" ht="15" hidden="false" customHeight="false" outlineLevel="0" collapsed="false">
      <c r="B641" s="44"/>
      <c r="C641" s="44"/>
      <c r="D641" s="44"/>
      <c r="E641" s="44"/>
      <c r="F641" s="44"/>
      <c r="G641" s="44"/>
      <c r="H641" s="44"/>
      <c r="I641" s="44"/>
      <c r="J641" s="44"/>
      <c r="K641" s="44"/>
      <c r="L641" s="44"/>
      <c r="M641" s="44"/>
      <c r="N641" s="44"/>
      <c r="O641" s="44"/>
      <c r="P641" s="44"/>
      <c r="Q641" s="44"/>
      <c r="R641" s="44"/>
      <c r="S641" s="44"/>
      <c r="T641" s="44"/>
      <c r="U641" s="44"/>
      <c r="V641" s="44"/>
      <c r="W641" s="44"/>
      <c r="X641" s="44"/>
      <c r="Y641" s="44"/>
      <c r="Z641" s="44"/>
      <c r="AB641" s="37" t="str">
        <f aca="false">TRIM($A641&amp;"")</f>
        <v/>
      </c>
      <c r="AC641" s="37" t="str">
        <f aca="false">IF(AB641="","",IFERROR(INDEX('Account Map'!$B:$B,MATCH(AB641,'Account Map'!$A:$A,0)),""))</f>
        <v/>
      </c>
      <c r="AD641" s="37" t="str">
        <f aca="false">IF(AB641="","",IFERROR(INDEX('Account Map'!$C:$C,MATCH(AB641,'Account Map'!$A:$A,0)),""))</f>
        <v/>
      </c>
      <c r="AE641" s="37" t="n">
        <f aca="false">IF(AND(AB641&lt;&gt;"",AC641="",COUNT($B641:$Z641)&gt;0,LEFT(AB641,5)&lt;&gt;"Total",AB641&lt;&gt;"Gross Profit",AB641&lt;&gt;"Net Profit",AB641&lt;&gt;"Operating Profit"),1,0)</f>
        <v>0</v>
      </c>
    </row>
    <row r="642" customFormat="false" ht="15" hidden="false" customHeight="false" outlineLevel="0" collapsed="false">
      <c r="B642" s="44"/>
      <c r="C642" s="44"/>
      <c r="D642" s="44"/>
      <c r="E642" s="44"/>
      <c r="F642" s="44"/>
      <c r="G642" s="44"/>
      <c r="H642" s="44"/>
      <c r="I642" s="44"/>
      <c r="J642" s="44"/>
      <c r="K642" s="44"/>
      <c r="L642" s="44"/>
      <c r="M642" s="44"/>
      <c r="N642" s="44"/>
      <c r="O642" s="44"/>
      <c r="P642" s="44"/>
      <c r="Q642" s="44"/>
      <c r="R642" s="44"/>
      <c r="S642" s="44"/>
      <c r="T642" s="44"/>
      <c r="U642" s="44"/>
      <c r="V642" s="44"/>
      <c r="W642" s="44"/>
      <c r="X642" s="44"/>
      <c r="Y642" s="44"/>
      <c r="Z642" s="44"/>
      <c r="AB642" s="37" t="str">
        <f aca="false">TRIM($A642&amp;"")</f>
        <v/>
      </c>
      <c r="AC642" s="37" t="str">
        <f aca="false">IF(AB642="","",IFERROR(INDEX('Account Map'!$B:$B,MATCH(AB642,'Account Map'!$A:$A,0)),""))</f>
        <v/>
      </c>
      <c r="AD642" s="37" t="str">
        <f aca="false">IF(AB642="","",IFERROR(INDEX('Account Map'!$C:$C,MATCH(AB642,'Account Map'!$A:$A,0)),""))</f>
        <v/>
      </c>
      <c r="AE642" s="37" t="n">
        <f aca="false">IF(AND(AB642&lt;&gt;"",AC642="",COUNT($B642:$Z642)&gt;0,LEFT(AB642,5)&lt;&gt;"Total",AB642&lt;&gt;"Gross Profit",AB642&lt;&gt;"Net Profit",AB642&lt;&gt;"Operating Profit"),1,0)</f>
        <v>0</v>
      </c>
    </row>
    <row r="643" customFormat="false" ht="15" hidden="false" customHeight="false" outlineLevel="0" collapsed="false">
      <c r="B643" s="44"/>
      <c r="C643" s="44"/>
      <c r="D643" s="44"/>
      <c r="E643" s="44"/>
      <c r="F643" s="44"/>
      <c r="G643" s="44"/>
      <c r="H643" s="44"/>
      <c r="I643" s="44"/>
      <c r="J643" s="44"/>
      <c r="K643" s="44"/>
      <c r="L643" s="44"/>
      <c r="M643" s="44"/>
      <c r="N643" s="44"/>
      <c r="O643" s="44"/>
      <c r="P643" s="44"/>
      <c r="Q643" s="44"/>
      <c r="R643" s="44"/>
      <c r="S643" s="44"/>
      <c r="T643" s="44"/>
      <c r="U643" s="44"/>
      <c r="V643" s="44"/>
      <c r="W643" s="44"/>
      <c r="X643" s="44"/>
      <c r="Y643" s="44"/>
      <c r="Z643" s="44"/>
      <c r="AB643" s="37" t="str">
        <f aca="false">TRIM($A643&amp;"")</f>
        <v/>
      </c>
      <c r="AC643" s="37" t="str">
        <f aca="false">IF(AB643="","",IFERROR(INDEX('Account Map'!$B:$B,MATCH(AB643,'Account Map'!$A:$A,0)),""))</f>
        <v/>
      </c>
      <c r="AD643" s="37" t="str">
        <f aca="false">IF(AB643="","",IFERROR(INDEX('Account Map'!$C:$C,MATCH(AB643,'Account Map'!$A:$A,0)),""))</f>
        <v/>
      </c>
      <c r="AE643" s="37" t="n">
        <f aca="false">IF(AND(AB643&lt;&gt;"",AC643="",COUNT($B643:$Z643)&gt;0,LEFT(AB643,5)&lt;&gt;"Total",AB643&lt;&gt;"Gross Profit",AB643&lt;&gt;"Net Profit",AB643&lt;&gt;"Operating Profit"),1,0)</f>
        <v>0</v>
      </c>
    </row>
    <row r="644" customFormat="false" ht="15" hidden="false" customHeight="false" outlineLevel="0" collapsed="false">
      <c r="B644" s="44"/>
      <c r="C644" s="44"/>
      <c r="D644" s="44"/>
      <c r="E644" s="44"/>
      <c r="F644" s="44"/>
      <c r="G644" s="44"/>
      <c r="H644" s="44"/>
      <c r="I644" s="44"/>
      <c r="J644" s="44"/>
      <c r="K644" s="44"/>
      <c r="L644" s="44"/>
      <c r="M644" s="44"/>
      <c r="N644" s="44"/>
      <c r="O644" s="44"/>
      <c r="P644" s="44"/>
      <c r="Q644" s="44"/>
      <c r="R644" s="44"/>
      <c r="S644" s="44"/>
      <c r="T644" s="44"/>
      <c r="U644" s="44"/>
      <c r="V644" s="44"/>
      <c r="W644" s="44"/>
      <c r="X644" s="44"/>
      <c r="Y644" s="44"/>
      <c r="Z644" s="44"/>
      <c r="AB644" s="37" t="str">
        <f aca="false">TRIM($A644&amp;"")</f>
        <v/>
      </c>
      <c r="AC644" s="37" t="str">
        <f aca="false">IF(AB644="","",IFERROR(INDEX('Account Map'!$B:$B,MATCH(AB644,'Account Map'!$A:$A,0)),""))</f>
        <v/>
      </c>
      <c r="AD644" s="37" t="str">
        <f aca="false">IF(AB644="","",IFERROR(INDEX('Account Map'!$C:$C,MATCH(AB644,'Account Map'!$A:$A,0)),""))</f>
        <v/>
      </c>
      <c r="AE644" s="37" t="n">
        <f aca="false">IF(AND(AB644&lt;&gt;"",AC644="",COUNT($B644:$Z644)&gt;0,LEFT(AB644,5)&lt;&gt;"Total",AB644&lt;&gt;"Gross Profit",AB644&lt;&gt;"Net Profit",AB644&lt;&gt;"Operating Profit"),1,0)</f>
        <v>0</v>
      </c>
    </row>
    <row r="645" customFormat="false" ht="15" hidden="false" customHeight="false" outlineLevel="0" collapsed="false">
      <c r="B645" s="44"/>
      <c r="C645" s="44"/>
      <c r="D645" s="44"/>
      <c r="E645" s="44"/>
      <c r="F645" s="44"/>
      <c r="G645" s="44"/>
      <c r="H645" s="44"/>
      <c r="I645" s="44"/>
      <c r="J645" s="44"/>
      <c r="K645" s="44"/>
      <c r="L645" s="44"/>
      <c r="M645" s="44"/>
      <c r="N645" s="44"/>
      <c r="O645" s="44"/>
      <c r="P645" s="44"/>
      <c r="Q645" s="44"/>
      <c r="R645" s="44"/>
      <c r="S645" s="44"/>
      <c r="T645" s="44"/>
      <c r="U645" s="44"/>
      <c r="V645" s="44"/>
      <c r="W645" s="44"/>
      <c r="X645" s="44"/>
      <c r="Y645" s="44"/>
      <c r="Z645" s="44"/>
      <c r="AB645" s="37" t="str">
        <f aca="false">TRIM($A645&amp;"")</f>
        <v/>
      </c>
      <c r="AC645" s="37" t="str">
        <f aca="false">IF(AB645="","",IFERROR(INDEX('Account Map'!$B:$B,MATCH(AB645,'Account Map'!$A:$A,0)),""))</f>
        <v/>
      </c>
      <c r="AD645" s="37" t="str">
        <f aca="false">IF(AB645="","",IFERROR(INDEX('Account Map'!$C:$C,MATCH(AB645,'Account Map'!$A:$A,0)),""))</f>
        <v/>
      </c>
      <c r="AE645" s="37" t="n">
        <f aca="false">IF(AND(AB645&lt;&gt;"",AC645="",COUNT($B645:$Z645)&gt;0,LEFT(AB645,5)&lt;&gt;"Total",AB645&lt;&gt;"Gross Profit",AB645&lt;&gt;"Net Profit",AB645&lt;&gt;"Operating Profit"),1,0)</f>
        <v>0</v>
      </c>
    </row>
    <row r="646" customFormat="false" ht="15" hidden="false" customHeight="false" outlineLevel="0" collapsed="false">
      <c r="B646" s="44"/>
      <c r="C646" s="44"/>
      <c r="D646" s="44"/>
      <c r="E646" s="44"/>
      <c r="F646" s="44"/>
      <c r="G646" s="44"/>
      <c r="H646" s="44"/>
      <c r="I646" s="44"/>
      <c r="J646" s="44"/>
      <c r="K646" s="44"/>
      <c r="L646" s="44"/>
      <c r="M646" s="44"/>
      <c r="N646" s="44"/>
      <c r="O646" s="44"/>
      <c r="P646" s="44"/>
      <c r="Q646" s="44"/>
      <c r="R646" s="44"/>
      <c r="S646" s="44"/>
      <c r="T646" s="44"/>
      <c r="U646" s="44"/>
      <c r="V646" s="44"/>
      <c r="W646" s="44"/>
      <c r="X646" s="44"/>
      <c r="Y646" s="44"/>
      <c r="Z646" s="44"/>
      <c r="AB646" s="37" t="str">
        <f aca="false">TRIM($A646&amp;"")</f>
        <v/>
      </c>
      <c r="AC646" s="37" t="str">
        <f aca="false">IF(AB646="","",IFERROR(INDEX('Account Map'!$B:$B,MATCH(AB646,'Account Map'!$A:$A,0)),""))</f>
        <v/>
      </c>
      <c r="AD646" s="37" t="str">
        <f aca="false">IF(AB646="","",IFERROR(INDEX('Account Map'!$C:$C,MATCH(AB646,'Account Map'!$A:$A,0)),""))</f>
        <v/>
      </c>
      <c r="AE646" s="37" t="n">
        <f aca="false">IF(AND(AB646&lt;&gt;"",AC646="",COUNT($B646:$Z646)&gt;0,LEFT(AB646,5)&lt;&gt;"Total",AB646&lt;&gt;"Gross Profit",AB646&lt;&gt;"Net Profit",AB646&lt;&gt;"Operating Profit"),1,0)</f>
        <v>0</v>
      </c>
    </row>
    <row r="647" customFormat="false" ht="15" hidden="false" customHeight="false" outlineLevel="0" collapsed="false">
      <c r="B647" s="44"/>
      <c r="C647" s="44"/>
      <c r="D647" s="44"/>
      <c r="E647" s="44"/>
      <c r="F647" s="44"/>
      <c r="G647" s="44"/>
      <c r="H647" s="44"/>
      <c r="I647" s="44"/>
      <c r="J647" s="44"/>
      <c r="K647" s="44"/>
      <c r="L647" s="44"/>
      <c r="M647" s="44"/>
      <c r="N647" s="44"/>
      <c r="O647" s="44"/>
      <c r="P647" s="44"/>
      <c r="Q647" s="44"/>
      <c r="R647" s="44"/>
      <c r="S647" s="44"/>
      <c r="T647" s="44"/>
      <c r="U647" s="44"/>
      <c r="V647" s="44"/>
      <c r="W647" s="44"/>
      <c r="X647" s="44"/>
      <c r="Y647" s="44"/>
      <c r="Z647" s="44"/>
      <c r="AB647" s="37" t="str">
        <f aca="false">TRIM($A647&amp;"")</f>
        <v/>
      </c>
      <c r="AC647" s="37" t="str">
        <f aca="false">IF(AB647="","",IFERROR(INDEX('Account Map'!$B:$B,MATCH(AB647,'Account Map'!$A:$A,0)),""))</f>
        <v/>
      </c>
      <c r="AD647" s="37" t="str">
        <f aca="false">IF(AB647="","",IFERROR(INDEX('Account Map'!$C:$C,MATCH(AB647,'Account Map'!$A:$A,0)),""))</f>
        <v/>
      </c>
      <c r="AE647" s="37" t="n">
        <f aca="false">IF(AND(AB647&lt;&gt;"",AC647="",COUNT($B647:$Z647)&gt;0,LEFT(AB647,5)&lt;&gt;"Total",AB647&lt;&gt;"Gross Profit",AB647&lt;&gt;"Net Profit",AB647&lt;&gt;"Operating Profit"),1,0)</f>
        <v>0</v>
      </c>
    </row>
    <row r="648" customFormat="false" ht="15" hidden="false" customHeight="false" outlineLevel="0" collapsed="false">
      <c r="B648" s="44"/>
      <c r="C648" s="44"/>
      <c r="D648" s="44"/>
      <c r="E648" s="44"/>
      <c r="F648" s="44"/>
      <c r="G648" s="44"/>
      <c r="H648" s="44"/>
      <c r="I648" s="44"/>
      <c r="J648" s="44"/>
      <c r="K648" s="44"/>
      <c r="L648" s="44"/>
      <c r="M648" s="44"/>
      <c r="N648" s="44"/>
      <c r="O648" s="44"/>
      <c r="P648" s="44"/>
      <c r="Q648" s="44"/>
      <c r="R648" s="44"/>
      <c r="S648" s="44"/>
      <c r="T648" s="44"/>
      <c r="U648" s="44"/>
      <c r="V648" s="44"/>
      <c r="W648" s="44"/>
      <c r="X648" s="44"/>
      <c r="Y648" s="44"/>
      <c r="Z648" s="44"/>
      <c r="AB648" s="37" t="str">
        <f aca="false">TRIM($A648&amp;"")</f>
        <v/>
      </c>
      <c r="AC648" s="37" t="str">
        <f aca="false">IF(AB648="","",IFERROR(INDEX('Account Map'!$B:$B,MATCH(AB648,'Account Map'!$A:$A,0)),""))</f>
        <v/>
      </c>
      <c r="AD648" s="37" t="str">
        <f aca="false">IF(AB648="","",IFERROR(INDEX('Account Map'!$C:$C,MATCH(AB648,'Account Map'!$A:$A,0)),""))</f>
        <v/>
      </c>
      <c r="AE648" s="37" t="n">
        <f aca="false">IF(AND(AB648&lt;&gt;"",AC648="",COUNT($B648:$Z648)&gt;0,LEFT(AB648,5)&lt;&gt;"Total",AB648&lt;&gt;"Gross Profit",AB648&lt;&gt;"Net Profit",AB648&lt;&gt;"Operating Profit"),1,0)</f>
        <v>0</v>
      </c>
    </row>
    <row r="649" customFormat="false" ht="15" hidden="false" customHeight="false" outlineLevel="0" collapsed="false">
      <c r="B649" s="44"/>
      <c r="C649" s="44"/>
      <c r="D649" s="44"/>
      <c r="E649" s="44"/>
      <c r="F649" s="44"/>
      <c r="G649" s="44"/>
      <c r="H649" s="44"/>
      <c r="I649" s="44"/>
      <c r="J649" s="44"/>
      <c r="K649" s="44"/>
      <c r="L649" s="44"/>
      <c r="M649" s="44"/>
      <c r="N649" s="44"/>
      <c r="O649" s="44"/>
      <c r="P649" s="44"/>
      <c r="Q649" s="44"/>
      <c r="R649" s="44"/>
      <c r="S649" s="44"/>
      <c r="T649" s="44"/>
      <c r="U649" s="44"/>
      <c r="V649" s="44"/>
      <c r="W649" s="44"/>
      <c r="X649" s="44"/>
      <c r="Y649" s="44"/>
      <c r="Z649" s="44"/>
      <c r="AB649" s="37" t="str">
        <f aca="false">TRIM($A649&amp;"")</f>
        <v/>
      </c>
      <c r="AC649" s="37" t="str">
        <f aca="false">IF(AB649="","",IFERROR(INDEX('Account Map'!$B:$B,MATCH(AB649,'Account Map'!$A:$A,0)),""))</f>
        <v/>
      </c>
      <c r="AD649" s="37" t="str">
        <f aca="false">IF(AB649="","",IFERROR(INDEX('Account Map'!$C:$C,MATCH(AB649,'Account Map'!$A:$A,0)),""))</f>
        <v/>
      </c>
      <c r="AE649" s="37" t="n">
        <f aca="false">IF(AND(AB649&lt;&gt;"",AC649="",COUNT($B649:$Z649)&gt;0,LEFT(AB649,5)&lt;&gt;"Total",AB649&lt;&gt;"Gross Profit",AB649&lt;&gt;"Net Profit",AB649&lt;&gt;"Operating Profit"),1,0)</f>
        <v>0</v>
      </c>
    </row>
    <row r="650" customFormat="false" ht="15" hidden="false" customHeight="false" outlineLevel="0" collapsed="false">
      <c r="B650" s="44"/>
      <c r="C650" s="44"/>
      <c r="D650" s="44"/>
      <c r="E650" s="44"/>
      <c r="F650" s="44"/>
      <c r="G650" s="44"/>
      <c r="H650" s="44"/>
      <c r="I650" s="44"/>
      <c r="J650" s="44"/>
      <c r="K650" s="44"/>
      <c r="L650" s="44"/>
      <c r="M650" s="44"/>
      <c r="N650" s="44"/>
      <c r="O650" s="44"/>
      <c r="P650" s="44"/>
      <c r="Q650" s="44"/>
      <c r="R650" s="44"/>
      <c r="S650" s="44"/>
      <c r="T650" s="44"/>
      <c r="U650" s="44"/>
      <c r="V650" s="44"/>
      <c r="W650" s="44"/>
      <c r="X650" s="44"/>
      <c r="Y650" s="44"/>
      <c r="Z650" s="44"/>
      <c r="AB650" s="37" t="str">
        <f aca="false">TRIM($A650&amp;"")</f>
        <v/>
      </c>
      <c r="AC650" s="37" t="str">
        <f aca="false">IF(AB650="","",IFERROR(INDEX('Account Map'!$B:$B,MATCH(AB650,'Account Map'!$A:$A,0)),""))</f>
        <v/>
      </c>
      <c r="AD650" s="37" t="str">
        <f aca="false">IF(AB650="","",IFERROR(INDEX('Account Map'!$C:$C,MATCH(AB650,'Account Map'!$A:$A,0)),""))</f>
        <v/>
      </c>
      <c r="AE650" s="37" t="n">
        <f aca="false">IF(AND(AB650&lt;&gt;"",AC650="",COUNT($B650:$Z650)&gt;0,LEFT(AB650,5)&lt;&gt;"Total",AB650&lt;&gt;"Gross Profit",AB650&lt;&gt;"Net Profit",AB650&lt;&gt;"Operating Profit"),1,0)</f>
        <v>0</v>
      </c>
    </row>
    <row r="651" customFormat="false" ht="15" hidden="false" customHeight="false" outlineLevel="0" collapsed="false">
      <c r="B651" s="44"/>
      <c r="C651" s="44"/>
      <c r="D651" s="44"/>
      <c r="E651" s="44"/>
      <c r="F651" s="44"/>
      <c r="G651" s="44"/>
      <c r="H651" s="44"/>
      <c r="I651" s="44"/>
      <c r="J651" s="44"/>
      <c r="K651" s="44"/>
      <c r="L651" s="44"/>
      <c r="M651" s="44"/>
      <c r="N651" s="44"/>
      <c r="O651" s="44"/>
      <c r="P651" s="44"/>
      <c r="Q651" s="44"/>
      <c r="R651" s="44"/>
      <c r="S651" s="44"/>
      <c r="T651" s="44"/>
      <c r="U651" s="44"/>
      <c r="V651" s="44"/>
      <c r="W651" s="44"/>
      <c r="X651" s="44"/>
      <c r="Y651" s="44"/>
      <c r="Z651" s="44"/>
      <c r="AB651" s="37" t="str">
        <f aca="false">TRIM($A651&amp;"")</f>
        <v/>
      </c>
      <c r="AC651" s="37" t="str">
        <f aca="false">IF(AB651="","",IFERROR(INDEX('Account Map'!$B:$B,MATCH(AB651,'Account Map'!$A:$A,0)),""))</f>
        <v/>
      </c>
      <c r="AD651" s="37" t="str">
        <f aca="false">IF(AB651="","",IFERROR(INDEX('Account Map'!$C:$C,MATCH(AB651,'Account Map'!$A:$A,0)),""))</f>
        <v/>
      </c>
      <c r="AE651" s="37" t="n">
        <f aca="false">IF(AND(AB651&lt;&gt;"",AC651="",COUNT($B651:$Z651)&gt;0,LEFT(AB651,5)&lt;&gt;"Total",AB651&lt;&gt;"Gross Profit",AB651&lt;&gt;"Net Profit",AB651&lt;&gt;"Operating Profit"),1,0)</f>
        <v>0</v>
      </c>
    </row>
    <row r="652" customFormat="false" ht="15" hidden="false" customHeight="false" outlineLevel="0" collapsed="false">
      <c r="B652" s="44"/>
      <c r="C652" s="44"/>
      <c r="D652" s="44"/>
      <c r="E652" s="44"/>
      <c r="F652" s="44"/>
      <c r="G652" s="44"/>
      <c r="H652" s="44"/>
      <c r="I652" s="44"/>
      <c r="J652" s="44"/>
      <c r="K652" s="44"/>
      <c r="L652" s="44"/>
      <c r="M652" s="44"/>
      <c r="N652" s="44"/>
      <c r="O652" s="44"/>
      <c r="P652" s="44"/>
      <c r="Q652" s="44"/>
      <c r="R652" s="44"/>
      <c r="S652" s="44"/>
      <c r="T652" s="44"/>
      <c r="U652" s="44"/>
      <c r="V652" s="44"/>
      <c r="W652" s="44"/>
      <c r="X652" s="44"/>
      <c r="Y652" s="44"/>
      <c r="Z652" s="44"/>
      <c r="AB652" s="37" t="str">
        <f aca="false">TRIM($A652&amp;"")</f>
        <v/>
      </c>
      <c r="AC652" s="37" t="str">
        <f aca="false">IF(AB652="","",IFERROR(INDEX('Account Map'!$B:$B,MATCH(AB652,'Account Map'!$A:$A,0)),""))</f>
        <v/>
      </c>
      <c r="AD652" s="37" t="str">
        <f aca="false">IF(AB652="","",IFERROR(INDEX('Account Map'!$C:$C,MATCH(AB652,'Account Map'!$A:$A,0)),""))</f>
        <v/>
      </c>
      <c r="AE652" s="37" t="n">
        <f aca="false">IF(AND(AB652&lt;&gt;"",AC652="",COUNT($B652:$Z652)&gt;0,LEFT(AB652,5)&lt;&gt;"Total",AB652&lt;&gt;"Gross Profit",AB652&lt;&gt;"Net Profit",AB652&lt;&gt;"Operating Profit"),1,0)</f>
        <v>0</v>
      </c>
    </row>
    <row r="653" customFormat="false" ht="15" hidden="false" customHeight="false" outlineLevel="0" collapsed="false">
      <c r="B653" s="44"/>
      <c r="C653" s="44"/>
      <c r="D653" s="44"/>
      <c r="E653" s="44"/>
      <c r="F653" s="44"/>
      <c r="G653" s="44"/>
      <c r="H653" s="44"/>
      <c r="I653" s="44"/>
      <c r="J653" s="44"/>
      <c r="K653" s="44"/>
      <c r="L653" s="44"/>
      <c r="M653" s="44"/>
      <c r="N653" s="44"/>
      <c r="O653" s="44"/>
      <c r="P653" s="44"/>
      <c r="Q653" s="44"/>
      <c r="R653" s="44"/>
      <c r="S653" s="44"/>
      <c r="T653" s="44"/>
      <c r="U653" s="44"/>
      <c r="V653" s="44"/>
      <c r="W653" s="44"/>
      <c r="X653" s="44"/>
      <c r="Y653" s="44"/>
      <c r="Z653" s="44"/>
      <c r="AB653" s="37" t="str">
        <f aca="false">TRIM($A653&amp;"")</f>
        <v/>
      </c>
      <c r="AC653" s="37" t="str">
        <f aca="false">IF(AB653="","",IFERROR(INDEX('Account Map'!$B:$B,MATCH(AB653,'Account Map'!$A:$A,0)),""))</f>
        <v/>
      </c>
      <c r="AD653" s="37" t="str">
        <f aca="false">IF(AB653="","",IFERROR(INDEX('Account Map'!$C:$C,MATCH(AB653,'Account Map'!$A:$A,0)),""))</f>
        <v/>
      </c>
      <c r="AE653" s="37" t="n">
        <f aca="false">IF(AND(AB653&lt;&gt;"",AC653="",COUNT($B653:$Z653)&gt;0,LEFT(AB653,5)&lt;&gt;"Total",AB653&lt;&gt;"Gross Profit",AB653&lt;&gt;"Net Profit",AB653&lt;&gt;"Operating Profit"),1,0)</f>
        <v>0</v>
      </c>
    </row>
    <row r="654" customFormat="false" ht="15" hidden="false" customHeight="false" outlineLevel="0" collapsed="false">
      <c r="B654" s="44"/>
      <c r="C654" s="44"/>
      <c r="D654" s="44"/>
      <c r="E654" s="44"/>
      <c r="F654" s="44"/>
      <c r="G654" s="44"/>
      <c r="H654" s="44"/>
      <c r="I654" s="44"/>
      <c r="J654" s="44"/>
      <c r="K654" s="44"/>
      <c r="L654" s="44"/>
      <c r="M654" s="44"/>
      <c r="N654" s="44"/>
      <c r="O654" s="44"/>
      <c r="P654" s="44"/>
      <c r="Q654" s="44"/>
      <c r="R654" s="44"/>
      <c r="S654" s="44"/>
      <c r="T654" s="44"/>
      <c r="U654" s="44"/>
      <c r="V654" s="44"/>
      <c r="W654" s="44"/>
      <c r="X654" s="44"/>
      <c r="Y654" s="44"/>
      <c r="Z654" s="44"/>
      <c r="AB654" s="37" t="str">
        <f aca="false">TRIM($A654&amp;"")</f>
        <v/>
      </c>
      <c r="AC654" s="37" t="str">
        <f aca="false">IF(AB654="","",IFERROR(INDEX('Account Map'!$B:$B,MATCH(AB654,'Account Map'!$A:$A,0)),""))</f>
        <v/>
      </c>
      <c r="AD654" s="37" t="str">
        <f aca="false">IF(AB654="","",IFERROR(INDEX('Account Map'!$C:$C,MATCH(AB654,'Account Map'!$A:$A,0)),""))</f>
        <v/>
      </c>
      <c r="AE654" s="37" t="n">
        <f aca="false">IF(AND(AB654&lt;&gt;"",AC654="",COUNT($B654:$Z654)&gt;0,LEFT(AB654,5)&lt;&gt;"Total",AB654&lt;&gt;"Gross Profit",AB654&lt;&gt;"Net Profit",AB654&lt;&gt;"Operating Profit"),1,0)</f>
        <v>0</v>
      </c>
    </row>
    <row r="655" customFormat="false" ht="15" hidden="false" customHeight="false" outlineLevel="0" collapsed="false">
      <c r="B655" s="44"/>
      <c r="C655" s="44"/>
      <c r="D655" s="44"/>
      <c r="E655" s="44"/>
      <c r="F655" s="44"/>
      <c r="G655" s="44"/>
      <c r="H655" s="44"/>
      <c r="I655" s="44"/>
      <c r="J655" s="44"/>
      <c r="K655" s="44"/>
      <c r="L655" s="44"/>
      <c r="M655" s="44"/>
      <c r="N655" s="44"/>
      <c r="O655" s="44"/>
      <c r="P655" s="44"/>
      <c r="Q655" s="44"/>
      <c r="R655" s="44"/>
      <c r="S655" s="44"/>
      <c r="T655" s="44"/>
      <c r="U655" s="44"/>
      <c r="V655" s="44"/>
      <c r="W655" s="44"/>
      <c r="X655" s="44"/>
      <c r="Y655" s="44"/>
      <c r="Z655" s="44"/>
      <c r="AB655" s="37" t="str">
        <f aca="false">TRIM($A655&amp;"")</f>
        <v/>
      </c>
      <c r="AC655" s="37" t="str">
        <f aca="false">IF(AB655="","",IFERROR(INDEX('Account Map'!$B:$B,MATCH(AB655,'Account Map'!$A:$A,0)),""))</f>
        <v/>
      </c>
      <c r="AD655" s="37" t="str">
        <f aca="false">IF(AB655="","",IFERROR(INDEX('Account Map'!$C:$C,MATCH(AB655,'Account Map'!$A:$A,0)),""))</f>
        <v/>
      </c>
      <c r="AE655" s="37" t="n">
        <f aca="false">IF(AND(AB655&lt;&gt;"",AC655="",COUNT($B655:$Z655)&gt;0,LEFT(AB655,5)&lt;&gt;"Total",AB655&lt;&gt;"Gross Profit",AB655&lt;&gt;"Net Profit",AB655&lt;&gt;"Operating Profit"),1,0)</f>
        <v>0</v>
      </c>
    </row>
    <row r="656" customFormat="false" ht="15" hidden="false" customHeight="false" outlineLevel="0" collapsed="false">
      <c r="B656" s="44"/>
      <c r="C656" s="44"/>
      <c r="D656" s="44"/>
      <c r="E656" s="44"/>
      <c r="F656" s="44"/>
      <c r="G656" s="44"/>
      <c r="H656" s="44"/>
      <c r="I656" s="44"/>
      <c r="J656" s="44"/>
      <c r="K656" s="44"/>
      <c r="L656" s="44"/>
      <c r="M656" s="44"/>
      <c r="N656" s="44"/>
      <c r="O656" s="44"/>
      <c r="P656" s="44"/>
      <c r="Q656" s="44"/>
      <c r="R656" s="44"/>
      <c r="S656" s="44"/>
      <c r="T656" s="44"/>
      <c r="U656" s="44"/>
      <c r="V656" s="44"/>
      <c r="W656" s="44"/>
      <c r="X656" s="44"/>
      <c r="Y656" s="44"/>
      <c r="Z656" s="44"/>
      <c r="AB656" s="37" t="str">
        <f aca="false">TRIM($A656&amp;"")</f>
        <v/>
      </c>
      <c r="AC656" s="37" t="str">
        <f aca="false">IF(AB656="","",IFERROR(INDEX('Account Map'!$B:$B,MATCH(AB656,'Account Map'!$A:$A,0)),""))</f>
        <v/>
      </c>
      <c r="AD656" s="37" t="str">
        <f aca="false">IF(AB656="","",IFERROR(INDEX('Account Map'!$C:$C,MATCH(AB656,'Account Map'!$A:$A,0)),""))</f>
        <v/>
      </c>
      <c r="AE656" s="37" t="n">
        <f aca="false">IF(AND(AB656&lt;&gt;"",AC656="",COUNT($B656:$Z656)&gt;0,LEFT(AB656,5)&lt;&gt;"Total",AB656&lt;&gt;"Gross Profit",AB656&lt;&gt;"Net Profit",AB656&lt;&gt;"Operating Profit"),1,0)</f>
        <v>0</v>
      </c>
    </row>
    <row r="657" customFormat="false" ht="15" hidden="false" customHeight="false" outlineLevel="0" collapsed="false">
      <c r="B657" s="44"/>
      <c r="C657" s="44"/>
      <c r="D657" s="44"/>
      <c r="E657" s="44"/>
      <c r="F657" s="44"/>
      <c r="G657" s="44"/>
      <c r="H657" s="44"/>
      <c r="I657" s="44"/>
      <c r="J657" s="44"/>
      <c r="K657" s="44"/>
      <c r="L657" s="44"/>
      <c r="M657" s="44"/>
      <c r="N657" s="44"/>
      <c r="O657" s="44"/>
      <c r="P657" s="44"/>
      <c r="Q657" s="44"/>
      <c r="R657" s="44"/>
      <c r="S657" s="44"/>
      <c r="T657" s="44"/>
      <c r="U657" s="44"/>
      <c r="V657" s="44"/>
      <c r="W657" s="44"/>
      <c r="X657" s="44"/>
      <c r="Y657" s="44"/>
      <c r="Z657" s="44"/>
      <c r="AB657" s="37" t="str">
        <f aca="false">TRIM($A657&amp;"")</f>
        <v/>
      </c>
      <c r="AC657" s="37" t="str">
        <f aca="false">IF(AB657="","",IFERROR(INDEX('Account Map'!$B:$B,MATCH(AB657,'Account Map'!$A:$A,0)),""))</f>
        <v/>
      </c>
      <c r="AD657" s="37" t="str">
        <f aca="false">IF(AB657="","",IFERROR(INDEX('Account Map'!$C:$C,MATCH(AB657,'Account Map'!$A:$A,0)),""))</f>
        <v/>
      </c>
      <c r="AE657" s="37" t="n">
        <f aca="false">IF(AND(AB657&lt;&gt;"",AC657="",COUNT($B657:$Z657)&gt;0,LEFT(AB657,5)&lt;&gt;"Total",AB657&lt;&gt;"Gross Profit",AB657&lt;&gt;"Net Profit",AB657&lt;&gt;"Operating Profit"),1,0)</f>
        <v>0</v>
      </c>
    </row>
    <row r="658" customFormat="false" ht="15" hidden="false" customHeight="false" outlineLevel="0" collapsed="false">
      <c r="B658" s="44"/>
      <c r="C658" s="44"/>
      <c r="D658" s="44"/>
      <c r="E658" s="44"/>
      <c r="F658" s="44"/>
      <c r="G658" s="44"/>
      <c r="H658" s="44"/>
      <c r="I658" s="44"/>
      <c r="J658" s="44"/>
      <c r="K658" s="44"/>
      <c r="L658" s="44"/>
      <c r="M658" s="44"/>
      <c r="N658" s="44"/>
      <c r="O658" s="44"/>
      <c r="P658" s="44"/>
      <c r="Q658" s="44"/>
      <c r="R658" s="44"/>
      <c r="S658" s="44"/>
      <c r="T658" s="44"/>
      <c r="U658" s="44"/>
      <c r="V658" s="44"/>
      <c r="W658" s="44"/>
      <c r="X658" s="44"/>
      <c r="Y658" s="44"/>
      <c r="Z658" s="44"/>
      <c r="AB658" s="37" t="str">
        <f aca="false">TRIM($A658&amp;"")</f>
        <v/>
      </c>
      <c r="AC658" s="37" t="str">
        <f aca="false">IF(AB658="","",IFERROR(INDEX('Account Map'!$B:$B,MATCH(AB658,'Account Map'!$A:$A,0)),""))</f>
        <v/>
      </c>
      <c r="AD658" s="37" t="str">
        <f aca="false">IF(AB658="","",IFERROR(INDEX('Account Map'!$C:$C,MATCH(AB658,'Account Map'!$A:$A,0)),""))</f>
        <v/>
      </c>
      <c r="AE658" s="37" t="n">
        <f aca="false">IF(AND(AB658&lt;&gt;"",AC658="",COUNT($B658:$Z658)&gt;0,LEFT(AB658,5)&lt;&gt;"Total",AB658&lt;&gt;"Gross Profit",AB658&lt;&gt;"Net Profit",AB658&lt;&gt;"Operating Profit"),1,0)</f>
        <v>0</v>
      </c>
    </row>
    <row r="659" customFormat="false" ht="15" hidden="false" customHeight="false" outlineLevel="0" collapsed="false">
      <c r="B659" s="44"/>
      <c r="C659" s="44"/>
      <c r="D659" s="44"/>
      <c r="E659" s="44"/>
      <c r="F659" s="44"/>
      <c r="G659" s="44"/>
      <c r="H659" s="44"/>
      <c r="I659" s="44"/>
      <c r="J659" s="44"/>
      <c r="K659" s="44"/>
      <c r="L659" s="44"/>
      <c r="M659" s="44"/>
      <c r="N659" s="44"/>
      <c r="O659" s="44"/>
      <c r="P659" s="44"/>
      <c r="Q659" s="44"/>
      <c r="R659" s="44"/>
      <c r="S659" s="44"/>
      <c r="T659" s="44"/>
      <c r="U659" s="44"/>
      <c r="V659" s="44"/>
      <c r="W659" s="44"/>
      <c r="X659" s="44"/>
      <c r="Y659" s="44"/>
      <c r="Z659" s="44"/>
      <c r="AB659" s="37" t="str">
        <f aca="false">TRIM($A659&amp;"")</f>
        <v/>
      </c>
      <c r="AC659" s="37" t="str">
        <f aca="false">IF(AB659="","",IFERROR(INDEX('Account Map'!$B:$B,MATCH(AB659,'Account Map'!$A:$A,0)),""))</f>
        <v/>
      </c>
      <c r="AD659" s="37" t="str">
        <f aca="false">IF(AB659="","",IFERROR(INDEX('Account Map'!$C:$C,MATCH(AB659,'Account Map'!$A:$A,0)),""))</f>
        <v/>
      </c>
      <c r="AE659" s="37" t="n">
        <f aca="false">IF(AND(AB659&lt;&gt;"",AC659="",COUNT($B659:$Z659)&gt;0,LEFT(AB659,5)&lt;&gt;"Total",AB659&lt;&gt;"Gross Profit",AB659&lt;&gt;"Net Profit",AB659&lt;&gt;"Operating Profit"),1,0)</f>
        <v>0</v>
      </c>
    </row>
    <row r="660" customFormat="false" ht="15" hidden="false" customHeight="false" outlineLevel="0" collapsed="false">
      <c r="B660" s="44"/>
      <c r="C660" s="44"/>
      <c r="D660" s="44"/>
      <c r="E660" s="44"/>
      <c r="F660" s="44"/>
      <c r="G660" s="44"/>
      <c r="H660" s="44"/>
      <c r="I660" s="44"/>
      <c r="J660" s="44"/>
      <c r="K660" s="44"/>
      <c r="L660" s="44"/>
      <c r="M660" s="44"/>
      <c r="N660" s="44"/>
      <c r="O660" s="44"/>
      <c r="P660" s="44"/>
      <c r="Q660" s="44"/>
      <c r="R660" s="44"/>
      <c r="S660" s="44"/>
      <c r="T660" s="44"/>
      <c r="U660" s="44"/>
      <c r="V660" s="44"/>
      <c r="W660" s="44"/>
      <c r="X660" s="44"/>
      <c r="Y660" s="44"/>
      <c r="Z660" s="44"/>
      <c r="AB660" s="37" t="str">
        <f aca="false">TRIM($A660&amp;"")</f>
        <v/>
      </c>
      <c r="AC660" s="37" t="str">
        <f aca="false">IF(AB660="","",IFERROR(INDEX('Account Map'!$B:$B,MATCH(AB660,'Account Map'!$A:$A,0)),""))</f>
        <v/>
      </c>
      <c r="AD660" s="37" t="str">
        <f aca="false">IF(AB660="","",IFERROR(INDEX('Account Map'!$C:$C,MATCH(AB660,'Account Map'!$A:$A,0)),""))</f>
        <v/>
      </c>
      <c r="AE660" s="37" t="n">
        <f aca="false">IF(AND(AB660&lt;&gt;"",AC660="",COUNT($B660:$Z660)&gt;0,LEFT(AB660,5)&lt;&gt;"Total",AB660&lt;&gt;"Gross Profit",AB660&lt;&gt;"Net Profit",AB660&lt;&gt;"Operating Profit"),1,0)</f>
        <v>0</v>
      </c>
    </row>
    <row r="661" customFormat="false" ht="15" hidden="false" customHeight="false" outlineLevel="0" collapsed="false">
      <c r="B661" s="44"/>
      <c r="C661" s="44"/>
      <c r="D661" s="44"/>
      <c r="E661" s="44"/>
      <c r="F661" s="44"/>
      <c r="G661" s="44"/>
      <c r="H661" s="44"/>
      <c r="I661" s="44"/>
      <c r="J661" s="44"/>
      <c r="K661" s="44"/>
      <c r="L661" s="44"/>
      <c r="M661" s="44"/>
      <c r="N661" s="44"/>
      <c r="O661" s="44"/>
      <c r="P661" s="44"/>
      <c r="Q661" s="44"/>
      <c r="R661" s="44"/>
      <c r="S661" s="44"/>
      <c r="T661" s="44"/>
      <c r="U661" s="44"/>
      <c r="V661" s="44"/>
      <c r="W661" s="44"/>
      <c r="X661" s="44"/>
      <c r="Y661" s="44"/>
      <c r="Z661" s="44"/>
      <c r="AB661" s="37" t="str">
        <f aca="false">TRIM($A661&amp;"")</f>
        <v/>
      </c>
      <c r="AC661" s="37" t="str">
        <f aca="false">IF(AB661="","",IFERROR(INDEX('Account Map'!$B:$B,MATCH(AB661,'Account Map'!$A:$A,0)),""))</f>
        <v/>
      </c>
      <c r="AD661" s="37" t="str">
        <f aca="false">IF(AB661="","",IFERROR(INDEX('Account Map'!$C:$C,MATCH(AB661,'Account Map'!$A:$A,0)),""))</f>
        <v/>
      </c>
      <c r="AE661" s="37" t="n">
        <f aca="false">IF(AND(AB661&lt;&gt;"",AC661="",COUNT($B661:$Z661)&gt;0,LEFT(AB661,5)&lt;&gt;"Total",AB661&lt;&gt;"Gross Profit",AB661&lt;&gt;"Net Profit",AB661&lt;&gt;"Operating Profit"),1,0)</f>
        <v>0</v>
      </c>
    </row>
    <row r="662" customFormat="false" ht="15" hidden="false" customHeight="false" outlineLevel="0" collapsed="false">
      <c r="B662" s="44"/>
      <c r="C662" s="44"/>
      <c r="D662" s="44"/>
      <c r="E662" s="44"/>
      <c r="F662" s="44"/>
      <c r="G662" s="44"/>
      <c r="H662" s="44"/>
      <c r="I662" s="44"/>
      <c r="J662" s="44"/>
      <c r="K662" s="44"/>
      <c r="L662" s="44"/>
      <c r="M662" s="44"/>
      <c r="N662" s="44"/>
      <c r="O662" s="44"/>
      <c r="P662" s="44"/>
      <c r="Q662" s="44"/>
      <c r="R662" s="44"/>
      <c r="S662" s="44"/>
      <c r="T662" s="44"/>
      <c r="U662" s="44"/>
      <c r="V662" s="44"/>
      <c r="W662" s="44"/>
      <c r="X662" s="44"/>
      <c r="Y662" s="44"/>
      <c r="Z662" s="44"/>
      <c r="AB662" s="37" t="str">
        <f aca="false">TRIM($A662&amp;"")</f>
        <v/>
      </c>
      <c r="AC662" s="37" t="str">
        <f aca="false">IF(AB662="","",IFERROR(INDEX('Account Map'!$B:$B,MATCH(AB662,'Account Map'!$A:$A,0)),""))</f>
        <v/>
      </c>
      <c r="AD662" s="37" t="str">
        <f aca="false">IF(AB662="","",IFERROR(INDEX('Account Map'!$C:$C,MATCH(AB662,'Account Map'!$A:$A,0)),""))</f>
        <v/>
      </c>
      <c r="AE662" s="37" t="n">
        <f aca="false">IF(AND(AB662&lt;&gt;"",AC662="",COUNT($B662:$Z662)&gt;0,LEFT(AB662,5)&lt;&gt;"Total",AB662&lt;&gt;"Gross Profit",AB662&lt;&gt;"Net Profit",AB662&lt;&gt;"Operating Profit"),1,0)</f>
        <v>0</v>
      </c>
    </row>
    <row r="663" customFormat="false" ht="15" hidden="false" customHeight="false" outlineLevel="0" collapsed="false">
      <c r="B663" s="44"/>
      <c r="C663" s="44"/>
      <c r="D663" s="44"/>
      <c r="E663" s="44"/>
      <c r="F663" s="44"/>
      <c r="G663" s="44"/>
      <c r="H663" s="44"/>
      <c r="I663" s="44"/>
      <c r="J663" s="44"/>
      <c r="K663" s="44"/>
      <c r="L663" s="44"/>
      <c r="M663" s="44"/>
      <c r="N663" s="44"/>
      <c r="O663" s="44"/>
      <c r="P663" s="44"/>
      <c r="Q663" s="44"/>
      <c r="R663" s="44"/>
      <c r="S663" s="44"/>
      <c r="T663" s="44"/>
      <c r="U663" s="44"/>
      <c r="V663" s="44"/>
      <c r="W663" s="44"/>
      <c r="X663" s="44"/>
      <c r="Y663" s="44"/>
      <c r="Z663" s="44"/>
      <c r="AB663" s="37" t="str">
        <f aca="false">TRIM($A663&amp;"")</f>
        <v/>
      </c>
      <c r="AC663" s="37" t="str">
        <f aca="false">IF(AB663="","",IFERROR(INDEX('Account Map'!$B:$B,MATCH(AB663,'Account Map'!$A:$A,0)),""))</f>
        <v/>
      </c>
      <c r="AD663" s="37" t="str">
        <f aca="false">IF(AB663="","",IFERROR(INDEX('Account Map'!$C:$C,MATCH(AB663,'Account Map'!$A:$A,0)),""))</f>
        <v/>
      </c>
      <c r="AE663" s="37" t="n">
        <f aca="false">IF(AND(AB663&lt;&gt;"",AC663="",COUNT($B663:$Z663)&gt;0,LEFT(AB663,5)&lt;&gt;"Total",AB663&lt;&gt;"Gross Profit",AB663&lt;&gt;"Net Profit",AB663&lt;&gt;"Operating Profit"),1,0)</f>
        <v>0</v>
      </c>
    </row>
    <row r="664" customFormat="false" ht="15" hidden="false" customHeight="false" outlineLevel="0" collapsed="false">
      <c r="B664" s="44"/>
      <c r="C664" s="44"/>
      <c r="D664" s="44"/>
      <c r="E664" s="44"/>
      <c r="F664" s="44"/>
      <c r="G664" s="44"/>
      <c r="H664" s="44"/>
      <c r="I664" s="44"/>
      <c r="J664" s="44"/>
      <c r="K664" s="44"/>
      <c r="L664" s="44"/>
      <c r="M664" s="44"/>
      <c r="N664" s="44"/>
      <c r="O664" s="44"/>
      <c r="P664" s="44"/>
      <c r="Q664" s="44"/>
      <c r="R664" s="44"/>
      <c r="S664" s="44"/>
      <c r="T664" s="44"/>
      <c r="U664" s="44"/>
      <c r="V664" s="44"/>
      <c r="W664" s="44"/>
      <c r="X664" s="44"/>
      <c r="Y664" s="44"/>
      <c r="Z664" s="44"/>
      <c r="AB664" s="37" t="str">
        <f aca="false">TRIM($A664&amp;"")</f>
        <v/>
      </c>
      <c r="AC664" s="37" t="str">
        <f aca="false">IF(AB664="","",IFERROR(INDEX('Account Map'!$B:$B,MATCH(AB664,'Account Map'!$A:$A,0)),""))</f>
        <v/>
      </c>
      <c r="AD664" s="37" t="str">
        <f aca="false">IF(AB664="","",IFERROR(INDEX('Account Map'!$C:$C,MATCH(AB664,'Account Map'!$A:$A,0)),""))</f>
        <v/>
      </c>
      <c r="AE664" s="37" t="n">
        <f aca="false">IF(AND(AB664&lt;&gt;"",AC664="",COUNT($B664:$Z664)&gt;0,LEFT(AB664,5)&lt;&gt;"Total",AB664&lt;&gt;"Gross Profit",AB664&lt;&gt;"Net Profit",AB664&lt;&gt;"Operating Profit"),1,0)</f>
        <v>0</v>
      </c>
    </row>
    <row r="665" customFormat="false" ht="15" hidden="false" customHeight="false" outlineLevel="0" collapsed="false">
      <c r="B665" s="44"/>
      <c r="C665" s="44"/>
      <c r="D665" s="44"/>
      <c r="E665" s="44"/>
      <c r="F665" s="44"/>
      <c r="G665" s="44"/>
      <c r="H665" s="44"/>
      <c r="I665" s="44"/>
      <c r="J665" s="44"/>
      <c r="K665" s="44"/>
      <c r="L665" s="44"/>
      <c r="M665" s="44"/>
      <c r="N665" s="44"/>
      <c r="O665" s="44"/>
      <c r="P665" s="44"/>
      <c r="Q665" s="44"/>
      <c r="R665" s="44"/>
      <c r="S665" s="44"/>
      <c r="T665" s="44"/>
      <c r="U665" s="44"/>
      <c r="V665" s="44"/>
      <c r="W665" s="44"/>
      <c r="X665" s="44"/>
      <c r="Y665" s="44"/>
      <c r="Z665" s="44"/>
      <c r="AB665" s="37" t="str">
        <f aca="false">TRIM($A665&amp;"")</f>
        <v/>
      </c>
      <c r="AC665" s="37" t="str">
        <f aca="false">IF(AB665="","",IFERROR(INDEX('Account Map'!$B:$B,MATCH(AB665,'Account Map'!$A:$A,0)),""))</f>
        <v/>
      </c>
      <c r="AD665" s="37" t="str">
        <f aca="false">IF(AB665="","",IFERROR(INDEX('Account Map'!$C:$C,MATCH(AB665,'Account Map'!$A:$A,0)),""))</f>
        <v/>
      </c>
      <c r="AE665" s="37" t="n">
        <f aca="false">IF(AND(AB665&lt;&gt;"",AC665="",COUNT($B665:$Z665)&gt;0,LEFT(AB665,5)&lt;&gt;"Total",AB665&lt;&gt;"Gross Profit",AB665&lt;&gt;"Net Profit",AB665&lt;&gt;"Operating Profit"),1,0)</f>
        <v>0</v>
      </c>
    </row>
    <row r="666" customFormat="false" ht="15" hidden="false" customHeight="false" outlineLevel="0" collapsed="false">
      <c r="B666" s="44"/>
      <c r="C666" s="44"/>
      <c r="D666" s="44"/>
      <c r="E666" s="44"/>
      <c r="F666" s="44"/>
      <c r="G666" s="44"/>
      <c r="H666" s="44"/>
      <c r="I666" s="44"/>
      <c r="J666" s="44"/>
      <c r="K666" s="44"/>
      <c r="L666" s="44"/>
      <c r="M666" s="44"/>
      <c r="N666" s="44"/>
      <c r="O666" s="44"/>
      <c r="P666" s="44"/>
      <c r="Q666" s="44"/>
      <c r="R666" s="44"/>
      <c r="S666" s="44"/>
      <c r="T666" s="44"/>
      <c r="U666" s="44"/>
      <c r="V666" s="44"/>
      <c r="W666" s="44"/>
      <c r="X666" s="44"/>
      <c r="Y666" s="44"/>
      <c r="Z666" s="44"/>
      <c r="AB666" s="37" t="str">
        <f aca="false">TRIM($A666&amp;"")</f>
        <v/>
      </c>
      <c r="AC666" s="37" t="str">
        <f aca="false">IF(AB666="","",IFERROR(INDEX('Account Map'!$B:$B,MATCH(AB666,'Account Map'!$A:$A,0)),""))</f>
        <v/>
      </c>
      <c r="AD666" s="37" t="str">
        <f aca="false">IF(AB666="","",IFERROR(INDEX('Account Map'!$C:$C,MATCH(AB666,'Account Map'!$A:$A,0)),""))</f>
        <v/>
      </c>
      <c r="AE666" s="37" t="n">
        <f aca="false">IF(AND(AB666&lt;&gt;"",AC666="",COUNT($B666:$Z666)&gt;0,LEFT(AB666,5)&lt;&gt;"Total",AB666&lt;&gt;"Gross Profit",AB666&lt;&gt;"Net Profit",AB666&lt;&gt;"Operating Profit"),1,0)</f>
        <v>0</v>
      </c>
    </row>
    <row r="667" customFormat="false" ht="15" hidden="false" customHeight="false" outlineLevel="0" collapsed="false">
      <c r="B667" s="44"/>
      <c r="C667" s="44"/>
      <c r="D667" s="44"/>
      <c r="E667" s="44"/>
      <c r="F667" s="44"/>
      <c r="G667" s="44"/>
      <c r="H667" s="44"/>
      <c r="I667" s="44"/>
      <c r="J667" s="44"/>
      <c r="K667" s="44"/>
      <c r="L667" s="44"/>
      <c r="M667" s="44"/>
      <c r="N667" s="44"/>
      <c r="O667" s="44"/>
      <c r="P667" s="44"/>
      <c r="Q667" s="44"/>
      <c r="R667" s="44"/>
      <c r="S667" s="44"/>
      <c r="T667" s="44"/>
      <c r="U667" s="44"/>
      <c r="V667" s="44"/>
      <c r="W667" s="44"/>
      <c r="X667" s="44"/>
      <c r="Y667" s="44"/>
      <c r="Z667" s="44"/>
      <c r="AB667" s="37" t="str">
        <f aca="false">TRIM($A667&amp;"")</f>
        <v/>
      </c>
      <c r="AC667" s="37" t="str">
        <f aca="false">IF(AB667="","",IFERROR(INDEX('Account Map'!$B:$B,MATCH(AB667,'Account Map'!$A:$A,0)),""))</f>
        <v/>
      </c>
      <c r="AD667" s="37" t="str">
        <f aca="false">IF(AB667="","",IFERROR(INDEX('Account Map'!$C:$C,MATCH(AB667,'Account Map'!$A:$A,0)),""))</f>
        <v/>
      </c>
      <c r="AE667" s="37" t="n">
        <f aca="false">IF(AND(AB667&lt;&gt;"",AC667="",COUNT($B667:$Z667)&gt;0,LEFT(AB667,5)&lt;&gt;"Total",AB667&lt;&gt;"Gross Profit",AB667&lt;&gt;"Net Profit",AB667&lt;&gt;"Operating Profit"),1,0)</f>
        <v>0</v>
      </c>
    </row>
    <row r="668" customFormat="false" ht="15" hidden="false" customHeight="false" outlineLevel="0" collapsed="false">
      <c r="B668" s="44"/>
      <c r="C668" s="44"/>
      <c r="D668" s="44"/>
      <c r="E668" s="44"/>
      <c r="F668" s="44"/>
      <c r="G668" s="44"/>
      <c r="H668" s="44"/>
      <c r="I668" s="44"/>
      <c r="J668" s="44"/>
      <c r="K668" s="44"/>
      <c r="L668" s="44"/>
      <c r="M668" s="44"/>
      <c r="N668" s="44"/>
      <c r="O668" s="44"/>
      <c r="P668" s="44"/>
      <c r="Q668" s="44"/>
      <c r="R668" s="44"/>
      <c r="S668" s="44"/>
      <c r="T668" s="44"/>
      <c r="U668" s="44"/>
      <c r="V668" s="44"/>
      <c r="W668" s="44"/>
      <c r="X668" s="44"/>
      <c r="Y668" s="44"/>
      <c r="Z668" s="44"/>
      <c r="AB668" s="37" t="str">
        <f aca="false">TRIM($A668&amp;"")</f>
        <v/>
      </c>
      <c r="AC668" s="37" t="str">
        <f aca="false">IF(AB668="","",IFERROR(INDEX('Account Map'!$B:$B,MATCH(AB668,'Account Map'!$A:$A,0)),""))</f>
        <v/>
      </c>
      <c r="AD668" s="37" t="str">
        <f aca="false">IF(AB668="","",IFERROR(INDEX('Account Map'!$C:$C,MATCH(AB668,'Account Map'!$A:$A,0)),""))</f>
        <v/>
      </c>
      <c r="AE668" s="37" t="n">
        <f aca="false">IF(AND(AB668&lt;&gt;"",AC668="",COUNT($B668:$Z668)&gt;0,LEFT(AB668,5)&lt;&gt;"Total",AB668&lt;&gt;"Gross Profit",AB668&lt;&gt;"Net Profit",AB668&lt;&gt;"Operating Profit"),1,0)</f>
        <v>0</v>
      </c>
    </row>
    <row r="669" customFormat="false" ht="15" hidden="false" customHeight="false" outlineLevel="0" collapsed="false">
      <c r="B669" s="44"/>
      <c r="C669" s="44"/>
      <c r="D669" s="44"/>
      <c r="E669" s="44"/>
      <c r="F669" s="44"/>
      <c r="G669" s="44"/>
      <c r="H669" s="44"/>
      <c r="I669" s="44"/>
      <c r="J669" s="44"/>
      <c r="K669" s="44"/>
      <c r="L669" s="44"/>
      <c r="M669" s="44"/>
      <c r="N669" s="44"/>
      <c r="O669" s="44"/>
      <c r="P669" s="44"/>
      <c r="Q669" s="44"/>
      <c r="R669" s="44"/>
      <c r="S669" s="44"/>
      <c r="T669" s="44"/>
      <c r="U669" s="44"/>
      <c r="V669" s="44"/>
      <c r="W669" s="44"/>
      <c r="X669" s="44"/>
      <c r="Y669" s="44"/>
      <c r="Z669" s="44"/>
      <c r="AB669" s="37" t="str">
        <f aca="false">TRIM($A669&amp;"")</f>
        <v/>
      </c>
      <c r="AC669" s="37" t="str">
        <f aca="false">IF(AB669="","",IFERROR(INDEX('Account Map'!$B:$B,MATCH(AB669,'Account Map'!$A:$A,0)),""))</f>
        <v/>
      </c>
      <c r="AD669" s="37" t="str">
        <f aca="false">IF(AB669="","",IFERROR(INDEX('Account Map'!$C:$C,MATCH(AB669,'Account Map'!$A:$A,0)),""))</f>
        <v/>
      </c>
      <c r="AE669" s="37" t="n">
        <f aca="false">IF(AND(AB669&lt;&gt;"",AC669="",COUNT($B669:$Z669)&gt;0,LEFT(AB669,5)&lt;&gt;"Total",AB669&lt;&gt;"Gross Profit",AB669&lt;&gt;"Net Profit",AB669&lt;&gt;"Operating Profit"),1,0)</f>
        <v>0</v>
      </c>
    </row>
    <row r="670" customFormat="false" ht="15" hidden="false" customHeight="false" outlineLevel="0" collapsed="false">
      <c r="B670" s="44"/>
      <c r="C670" s="44"/>
      <c r="D670" s="44"/>
      <c r="E670" s="44"/>
      <c r="F670" s="44"/>
      <c r="G670" s="44"/>
      <c r="H670" s="44"/>
      <c r="I670" s="44"/>
      <c r="J670" s="44"/>
      <c r="K670" s="44"/>
      <c r="L670" s="44"/>
      <c r="M670" s="44"/>
      <c r="N670" s="44"/>
      <c r="O670" s="44"/>
      <c r="P670" s="44"/>
      <c r="Q670" s="44"/>
      <c r="R670" s="44"/>
      <c r="S670" s="44"/>
      <c r="T670" s="44"/>
      <c r="U670" s="44"/>
      <c r="V670" s="44"/>
      <c r="W670" s="44"/>
      <c r="X670" s="44"/>
      <c r="Y670" s="44"/>
      <c r="Z670" s="44"/>
      <c r="AB670" s="37" t="str">
        <f aca="false">TRIM($A670&amp;"")</f>
        <v/>
      </c>
      <c r="AC670" s="37" t="str">
        <f aca="false">IF(AB670="","",IFERROR(INDEX('Account Map'!$B:$B,MATCH(AB670,'Account Map'!$A:$A,0)),""))</f>
        <v/>
      </c>
      <c r="AD670" s="37" t="str">
        <f aca="false">IF(AB670="","",IFERROR(INDEX('Account Map'!$C:$C,MATCH(AB670,'Account Map'!$A:$A,0)),""))</f>
        <v/>
      </c>
      <c r="AE670" s="37" t="n">
        <f aca="false">IF(AND(AB670&lt;&gt;"",AC670="",COUNT($B670:$Z670)&gt;0,LEFT(AB670,5)&lt;&gt;"Total",AB670&lt;&gt;"Gross Profit",AB670&lt;&gt;"Net Profit",AB670&lt;&gt;"Operating Profit"),1,0)</f>
        <v>0</v>
      </c>
    </row>
    <row r="671" customFormat="false" ht="15" hidden="false" customHeight="false" outlineLevel="0" collapsed="false">
      <c r="B671" s="44"/>
      <c r="C671" s="44"/>
      <c r="D671" s="44"/>
      <c r="E671" s="44"/>
      <c r="F671" s="44"/>
      <c r="G671" s="44"/>
      <c r="H671" s="44"/>
      <c r="I671" s="44"/>
      <c r="J671" s="44"/>
      <c r="K671" s="44"/>
      <c r="L671" s="44"/>
      <c r="M671" s="44"/>
      <c r="N671" s="44"/>
      <c r="O671" s="44"/>
      <c r="P671" s="44"/>
      <c r="Q671" s="44"/>
      <c r="R671" s="44"/>
      <c r="S671" s="44"/>
      <c r="T671" s="44"/>
      <c r="U671" s="44"/>
      <c r="V671" s="44"/>
      <c r="W671" s="44"/>
      <c r="X671" s="44"/>
      <c r="Y671" s="44"/>
      <c r="Z671" s="44"/>
      <c r="AB671" s="37" t="str">
        <f aca="false">TRIM($A671&amp;"")</f>
        <v/>
      </c>
      <c r="AC671" s="37" t="str">
        <f aca="false">IF(AB671="","",IFERROR(INDEX('Account Map'!$B:$B,MATCH(AB671,'Account Map'!$A:$A,0)),""))</f>
        <v/>
      </c>
      <c r="AD671" s="37" t="str">
        <f aca="false">IF(AB671="","",IFERROR(INDEX('Account Map'!$C:$C,MATCH(AB671,'Account Map'!$A:$A,0)),""))</f>
        <v/>
      </c>
      <c r="AE671" s="37" t="n">
        <f aca="false">IF(AND(AB671&lt;&gt;"",AC671="",COUNT($B671:$Z671)&gt;0,LEFT(AB671,5)&lt;&gt;"Total",AB671&lt;&gt;"Gross Profit",AB671&lt;&gt;"Net Profit",AB671&lt;&gt;"Operating Profit"),1,0)</f>
        <v>0</v>
      </c>
    </row>
    <row r="672" customFormat="false" ht="15" hidden="false" customHeight="false" outlineLevel="0" collapsed="false">
      <c r="B672" s="44"/>
      <c r="C672" s="44"/>
      <c r="D672" s="44"/>
      <c r="E672" s="44"/>
      <c r="F672" s="44"/>
      <c r="G672" s="44"/>
      <c r="H672" s="44"/>
      <c r="I672" s="44"/>
      <c r="J672" s="44"/>
      <c r="K672" s="44"/>
      <c r="L672" s="44"/>
      <c r="M672" s="44"/>
      <c r="N672" s="44"/>
      <c r="O672" s="44"/>
      <c r="P672" s="44"/>
      <c r="Q672" s="44"/>
      <c r="R672" s="44"/>
      <c r="S672" s="44"/>
      <c r="T672" s="44"/>
      <c r="U672" s="44"/>
      <c r="V672" s="44"/>
      <c r="W672" s="44"/>
      <c r="X672" s="44"/>
      <c r="Y672" s="44"/>
      <c r="Z672" s="44"/>
      <c r="AB672" s="37" t="str">
        <f aca="false">TRIM($A672&amp;"")</f>
        <v/>
      </c>
      <c r="AC672" s="37" t="str">
        <f aca="false">IF(AB672="","",IFERROR(INDEX('Account Map'!$B:$B,MATCH(AB672,'Account Map'!$A:$A,0)),""))</f>
        <v/>
      </c>
      <c r="AD672" s="37" t="str">
        <f aca="false">IF(AB672="","",IFERROR(INDEX('Account Map'!$C:$C,MATCH(AB672,'Account Map'!$A:$A,0)),""))</f>
        <v/>
      </c>
      <c r="AE672" s="37" t="n">
        <f aca="false">IF(AND(AB672&lt;&gt;"",AC672="",COUNT($B672:$Z672)&gt;0,LEFT(AB672,5)&lt;&gt;"Total",AB672&lt;&gt;"Gross Profit",AB672&lt;&gt;"Net Profit",AB672&lt;&gt;"Operating Profit"),1,0)</f>
        <v>0</v>
      </c>
    </row>
    <row r="673" customFormat="false" ht="15" hidden="false" customHeight="false" outlineLevel="0" collapsed="false">
      <c r="B673" s="44"/>
      <c r="C673" s="44"/>
      <c r="D673" s="44"/>
      <c r="E673" s="44"/>
      <c r="F673" s="44"/>
      <c r="G673" s="44"/>
      <c r="H673" s="44"/>
      <c r="I673" s="44"/>
      <c r="J673" s="44"/>
      <c r="K673" s="44"/>
      <c r="L673" s="44"/>
      <c r="M673" s="44"/>
      <c r="N673" s="44"/>
      <c r="O673" s="44"/>
      <c r="P673" s="44"/>
      <c r="Q673" s="44"/>
      <c r="R673" s="44"/>
      <c r="S673" s="44"/>
      <c r="T673" s="44"/>
      <c r="U673" s="44"/>
      <c r="V673" s="44"/>
      <c r="W673" s="44"/>
      <c r="X673" s="44"/>
      <c r="Y673" s="44"/>
      <c r="Z673" s="44"/>
      <c r="AB673" s="37" t="str">
        <f aca="false">TRIM($A673&amp;"")</f>
        <v/>
      </c>
      <c r="AC673" s="37" t="str">
        <f aca="false">IF(AB673="","",IFERROR(INDEX('Account Map'!$B:$B,MATCH(AB673,'Account Map'!$A:$A,0)),""))</f>
        <v/>
      </c>
      <c r="AD673" s="37" t="str">
        <f aca="false">IF(AB673="","",IFERROR(INDEX('Account Map'!$C:$C,MATCH(AB673,'Account Map'!$A:$A,0)),""))</f>
        <v/>
      </c>
      <c r="AE673" s="37" t="n">
        <f aca="false">IF(AND(AB673&lt;&gt;"",AC673="",COUNT($B673:$Z673)&gt;0,LEFT(AB673,5)&lt;&gt;"Total",AB673&lt;&gt;"Gross Profit",AB673&lt;&gt;"Net Profit",AB673&lt;&gt;"Operating Profit"),1,0)</f>
        <v>0</v>
      </c>
    </row>
    <row r="674" customFormat="false" ht="15" hidden="false" customHeight="false" outlineLevel="0" collapsed="false">
      <c r="B674" s="44"/>
      <c r="C674" s="44"/>
      <c r="D674" s="44"/>
      <c r="E674" s="44"/>
      <c r="F674" s="44"/>
      <c r="G674" s="44"/>
      <c r="H674" s="44"/>
      <c r="I674" s="44"/>
      <c r="J674" s="44"/>
      <c r="K674" s="44"/>
      <c r="L674" s="44"/>
      <c r="M674" s="44"/>
      <c r="N674" s="44"/>
      <c r="O674" s="44"/>
      <c r="P674" s="44"/>
      <c r="Q674" s="44"/>
      <c r="R674" s="44"/>
      <c r="S674" s="44"/>
      <c r="T674" s="44"/>
      <c r="U674" s="44"/>
      <c r="V674" s="44"/>
      <c r="W674" s="44"/>
      <c r="X674" s="44"/>
      <c r="Y674" s="44"/>
      <c r="Z674" s="44"/>
      <c r="AB674" s="37" t="str">
        <f aca="false">TRIM($A674&amp;"")</f>
        <v/>
      </c>
      <c r="AC674" s="37" t="str">
        <f aca="false">IF(AB674="","",IFERROR(INDEX('Account Map'!$B:$B,MATCH(AB674,'Account Map'!$A:$A,0)),""))</f>
        <v/>
      </c>
      <c r="AD674" s="37" t="str">
        <f aca="false">IF(AB674="","",IFERROR(INDEX('Account Map'!$C:$C,MATCH(AB674,'Account Map'!$A:$A,0)),""))</f>
        <v/>
      </c>
      <c r="AE674" s="37" t="n">
        <f aca="false">IF(AND(AB674&lt;&gt;"",AC674="",COUNT($B674:$Z674)&gt;0,LEFT(AB674,5)&lt;&gt;"Total",AB674&lt;&gt;"Gross Profit",AB674&lt;&gt;"Net Profit",AB674&lt;&gt;"Operating Profit"),1,0)</f>
        <v>0</v>
      </c>
    </row>
    <row r="675" customFormat="false" ht="15" hidden="false" customHeight="false" outlineLevel="0" collapsed="false">
      <c r="B675" s="44"/>
      <c r="C675" s="44"/>
      <c r="D675" s="44"/>
      <c r="E675" s="44"/>
      <c r="F675" s="44"/>
      <c r="G675" s="44"/>
      <c r="H675" s="44"/>
      <c r="I675" s="44"/>
      <c r="J675" s="44"/>
      <c r="K675" s="44"/>
      <c r="L675" s="44"/>
      <c r="M675" s="44"/>
      <c r="N675" s="44"/>
      <c r="O675" s="44"/>
      <c r="P675" s="44"/>
      <c r="Q675" s="44"/>
      <c r="R675" s="44"/>
      <c r="S675" s="44"/>
      <c r="T675" s="44"/>
      <c r="U675" s="44"/>
      <c r="V675" s="44"/>
      <c r="W675" s="44"/>
      <c r="X675" s="44"/>
      <c r="Y675" s="44"/>
      <c r="Z675" s="44"/>
      <c r="AB675" s="37" t="str">
        <f aca="false">TRIM($A675&amp;"")</f>
        <v/>
      </c>
      <c r="AC675" s="37" t="str">
        <f aca="false">IF(AB675="","",IFERROR(INDEX('Account Map'!$B:$B,MATCH(AB675,'Account Map'!$A:$A,0)),""))</f>
        <v/>
      </c>
      <c r="AD675" s="37" t="str">
        <f aca="false">IF(AB675="","",IFERROR(INDEX('Account Map'!$C:$C,MATCH(AB675,'Account Map'!$A:$A,0)),""))</f>
        <v/>
      </c>
      <c r="AE675" s="37" t="n">
        <f aca="false">IF(AND(AB675&lt;&gt;"",AC675="",COUNT($B675:$Z675)&gt;0,LEFT(AB675,5)&lt;&gt;"Total",AB675&lt;&gt;"Gross Profit",AB675&lt;&gt;"Net Profit",AB675&lt;&gt;"Operating Profit"),1,0)</f>
        <v>0</v>
      </c>
    </row>
    <row r="676" customFormat="false" ht="15" hidden="false" customHeight="false" outlineLevel="0" collapsed="false">
      <c r="B676" s="44"/>
      <c r="C676" s="44"/>
      <c r="D676" s="44"/>
      <c r="E676" s="44"/>
      <c r="F676" s="44"/>
      <c r="G676" s="44"/>
      <c r="H676" s="44"/>
      <c r="I676" s="44"/>
      <c r="J676" s="44"/>
      <c r="K676" s="44"/>
      <c r="L676" s="44"/>
      <c r="M676" s="44"/>
      <c r="N676" s="44"/>
      <c r="O676" s="44"/>
      <c r="P676" s="44"/>
      <c r="Q676" s="44"/>
      <c r="R676" s="44"/>
      <c r="S676" s="44"/>
      <c r="T676" s="44"/>
      <c r="U676" s="44"/>
      <c r="V676" s="44"/>
      <c r="W676" s="44"/>
      <c r="X676" s="44"/>
      <c r="Y676" s="44"/>
      <c r="Z676" s="44"/>
      <c r="AB676" s="37" t="str">
        <f aca="false">TRIM($A676&amp;"")</f>
        <v/>
      </c>
      <c r="AC676" s="37" t="str">
        <f aca="false">IF(AB676="","",IFERROR(INDEX('Account Map'!$B:$B,MATCH(AB676,'Account Map'!$A:$A,0)),""))</f>
        <v/>
      </c>
      <c r="AD676" s="37" t="str">
        <f aca="false">IF(AB676="","",IFERROR(INDEX('Account Map'!$C:$C,MATCH(AB676,'Account Map'!$A:$A,0)),""))</f>
        <v/>
      </c>
      <c r="AE676" s="37" t="n">
        <f aca="false">IF(AND(AB676&lt;&gt;"",AC676="",COUNT($B676:$Z676)&gt;0,LEFT(AB676,5)&lt;&gt;"Total",AB676&lt;&gt;"Gross Profit",AB676&lt;&gt;"Net Profit",AB676&lt;&gt;"Operating Profit"),1,0)</f>
        <v>0</v>
      </c>
    </row>
    <row r="677" customFormat="false" ht="15" hidden="false" customHeight="false" outlineLevel="0" collapsed="false">
      <c r="B677" s="44"/>
      <c r="C677" s="44"/>
      <c r="D677" s="44"/>
      <c r="E677" s="44"/>
      <c r="F677" s="44"/>
      <c r="G677" s="44"/>
      <c r="H677" s="44"/>
      <c r="I677" s="44"/>
      <c r="J677" s="44"/>
      <c r="K677" s="44"/>
      <c r="L677" s="44"/>
      <c r="M677" s="44"/>
      <c r="N677" s="44"/>
      <c r="O677" s="44"/>
      <c r="P677" s="44"/>
      <c r="Q677" s="44"/>
      <c r="R677" s="44"/>
      <c r="S677" s="44"/>
      <c r="T677" s="44"/>
      <c r="U677" s="44"/>
      <c r="V677" s="44"/>
      <c r="W677" s="44"/>
      <c r="X677" s="44"/>
      <c r="Y677" s="44"/>
      <c r="Z677" s="44"/>
      <c r="AB677" s="37" t="str">
        <f aca="false">TRIM($A677&amp;"")</f>
        <v/>
      </c>
      <c r="AC677" s="37" t="str">
        <f aca="false">IF(AB677="","",IFERROR(INDEX('Account Map'!$B:$B,MATCH(AB677,'Account Map'!$A:$A,0)),""))</f>
        <v/>
      </c>
      <c r="AD677" s="37" t="str">
        <f aca="false">IF(AB677="","",IFERROR(INDEX('Account Map'!$C:$C,MATCH(AB677,'Account Map'!$A:$A,0)),""))</f>
        <v/>
      </c>
      <c r="AE677" s="37" t="n">
        <f aca="false">IF(AND(AB677&lt;&gt;"",AC677="",COUNT($B677:$Z677)&gt;0,LEFT(AB677,5)&lt;&gt;"Total",AB677&lt;&gt;"Gross Profit",AB677&lt;&gt;"Net Profit",AB677&lt;&gt;"Operating Profit"),1,0)</f>
        <v>0</v>
      </c>
    </row>
    <row r="678" customFormat="false" ht="15" hidden="false" customHeight="false" outlineLevel="0" collapsed="false">
      <c r="B678" s="44"/>
      <c r="C678" s="44"/>
      <c r="D678" s="44"/>
      <c r="E678" s="44"/>
      <c r="F678" s="44"/>
      <c r="G678" s="44"/>
      <c r="H678" s="44"/>
      <c r="I678" s="44"/>
      <c r="J678" s="44"/>
      <c r="K678" s="44"/>
      <c r="L678" s="44"/>
      <c r="M678" s="44"/>
      <c r="N678" s="44"/>
      <c r="O678" s="44"/>
      <c r="P678" s="44"/>
      <c r="Q678" s="44"/>
      <c r="R678" s="44"/>
      <c r="S678" s="44"/>
      <c r="T678" s="44"/>
      <c r="U678" s="44"/>
      <c r="V678" s="44"/>
      <c r="W678" s="44"/>
      <c r="X678" s="44"/>
      <c r="Y678" s="44"/>
      <c r="Z678" s="44"/>
      <c r="AB678" s="37" t="str">
        <f aca="false">TRIM($A678&amp;"")</f>
        <v/>
      </c>
      <c r="AC678" s="37" t="str">
        <f aca="false">IF(AB678="","",IFERROR(INDEX('Account Map'!$B:$B,MATCH(AB678,'Account Map'!$A:$A,0)),""))</f>
        <v/>
      </c>
      <c r="AD678" s="37" t="str">
        <f aca="false">IF(AB678="","",IFERROR(INDEX('Account Map'!$C:$C,MATCH(AB678,'Account Map'!$A:$A,0)),""))</f>
        <v/>
      </c>
      <c r="AE678" s="37" t="n">
        <f aca="false">IF(AND(AB678&lt;&gt;"",AC678="",COUNT($B678:$Z678)&gt;0,LEFT(AB678,5)&lt;&gt;"Total",AB678&lt;&gt;"Gross Profit",AB678&lt;&gt;"Net Profit",AB678&lt;&gt;"Operating Profit"),1,0)</f>
        <v>0</v>
      </c>
    </row>
    <row r="679" customFormat="false" ht="15" hidden="false" customHeight="false" outlineLevel="0" collapsed="false">
      <c r="B679" s="44"/>
      <c r="C679" s="44"/>
      <c r="D679" s="44"/>
      <c r="E679" s="44"/>
      <c r="F679" s="44"/>
      <c r="G679" s="44"/>
      <c r="H679" s="44"/>
      <c r="I679" s="44"/>
      <c r="J679" s="44"/>
      <c r="K679" s="44"/>
      <c r="L679" s="44"/>
      <c r="M679" s="44"/>
      <c r="N679" s="44"/>
      <c r="O679" s="44"/>
      <c r="P679" s="44"/>
      <c r="Q679" s="44"/>
      <c r="R679" s="44"/>
      <c r="S679" s="44"/>
      <c r="T679" s="44"/>
      <c r="U679" s="44"/>
      <c r="V679" s="44"/>
      <c r="W679" s="44"/>
      <c r="X679" s="44"/>
      <c r="Y679" s="44"/>
      <c r="Z679" s="44"/>
      <c r="AB679" s="37" t="str">
        <f aca="false">TRIM($A679&amp;"")</f>
        <v/>
      </c>
      <c r="AC679" s="37" t="str">
        <f aca="false">IF(AB679="","",IFERROR(INDEX('Account Map'!$B:$B,MATCH(AB679,'Account Map'!$A:$A,0)),""))</f>
        <v/>
      </c>
      <c r="AD679" s="37" t="str">
        <f aca="false">IF(AB679="","",IFERROR(INDEX('Account Map'!$C:$C,MATCH(AB679,'Account Map'!$A:$A,0)),""))</f>
        <v/>
      </c>
      <c r="AE679" s="37" t="n">
        <f aca="false">IF(AND(AB679&lt;&gt;"",AC679="",COUNT($B679:$Z679)&gt;0,LEFT(AB679,5)&lt;&gt;"Total",AB679&lt;&gt;"Gross Profit",AB679&lt;&gt;"Net Profit",AB679&lt;&gt;"Operating Profit"),1,0)</f>
        <v>0</v>
      </c>
    </row>
    <row r="680" customFormat="false" ht="15" hidden="false" customHeight="false" outlineLevel="0" collapsed="false">
      <c r="B680" s="44"/>
      <c r="C680" s="44"/>
      <c r="D680" s="44"/>
      <c r="E680" s="44"/>
      <c r="F680" s="44"/>
      <c r="G680" s="44"/>
      <c r="H680" s="44"/>
      <c r="I680" s="44"/>
      <c r="J680" s="44"/>
      <c r="K680" s="44"/>
      <c r="L680" s="44"/>
      <c r="M680" s="44"/>
      <c r="N680" s="44"/>
      <c r="O680" s="44"/>
      <c r="P680" s="44"/>
      <c r="Q680" s="44"/>
      <c r="R680" s="44"/>
      <c r="S680" s="44"/>
      <c r="T680" s="44"/>
      <c r="U680" s="44"/>
      <c r="V680" s="44"/>
      <c r="W680" s="44"/>
      <c r="X680" s="44"/>
      <c r="Y680" s="44"/>
      <c r="Z680" s="44"/>
      <c r="AB680" s="37" t="str">
        <f aca="false">TRIM($A680&amp;"")</f>
        <v/>
      </c>
      <c r="AC680" s="37" t="str">
        <f aca="false">IF(AB680="","",IFERROR(INDEX('Account Map'!$B:$B,MATCH(AB680,'Account Map'!$A:$A,0)),""))</f>
        <v/>
      </c>
      <c r="AD680" s="37" t="str">
        <f aca="false">IF(AB680="","",IFERROR(INDEX('Account Map'!$C:$C,MATCH(AB680,'Account Map'!$A:$A,0)),""))</f>
        <v/>
      </c>
      <c r="AE680" s="37" t="n">
        <f aca="false">IF(AND(AB680&lt;&gt;"",AC680="",COUNT($B680:$Z680)&gt;0,LEFT(AB680,5)&lt;&gt;"Total",AB680&lt;&gt;"Gross Profit",AB680&lt;&gt;"Net Profit",AB680&lt;&gt;"Operating Profit"),1,0)</f>
        <v>0</v>
      </c>
    </row>
    <row r="681" customFormat="false" ht="15" hidden="false" customHeight="false" outlineLevel="0" collapsed="false">
      <c r="B681" s="44"/>
      <c r="C681" s="44"/>
      <c r="D681" s="44"/>
      <c r="E681" s="44"/>
      <c r="F681" s="44"/>
      <c r="G681" s="44"/>
      <c r="H681" s="44"/>
      <c r="I681" s="44"/>
      <c r="J681" s="44"/>
      <c r="K681" s="44"/>
      <c r="L681" s="44"/>
      <c r="M681" s="44"/>
      <c r="N681" s="44"/>
      <c r="O681" s="44"/>
      <c r="P681" s="44"/>
      <c r="Q681" s="44"/>
      <c r="R681" s="44"/>
      <c r="S681" s="44"/>
      <c r="T681" s="44"/>
      <c r="U681" s="44"/>
      <c r="V681" s="44"/>
      <c r="W681" s="44"/>
      <c r="X681" s="44"/>
      <c r="Y681" s="44"/>
      <c r="Z681" s="44"/>
      <c r="AB681" s="37" t="str">
        <f aca="false">TRIM($A681&amp;"")</f>
        <v/>
      </c>
      <c r="AC681" s="37" t="str">
        <f aca="false">IF(AB681="","",IFERROR(INDEX('Account Map'!$B:$B,MATCH(AB681,'Account Map'!$A:$A,0)),""))</f>
        <v/>
      </c>
      <c r="AD681" s="37" t="str">
        <f aca="false">IF(AB681="","",IFERROR(INDEX('Account Map'!$C:$C,MATCH(AB681,'Account Map'!$A:$A,0)),""))</f>
        <v/>
      </c>
      <c r="AE681" s="37" t="n">
        <f aca="false">IF(AND(AB681&lt;&gt;"",AC681="",COUNT($B681:$Z681)&gt;0,LEFT(AB681,5)&lt;&gt;"Total",AB681&lt;&gt;"Gross Profit",AB681&lt;&gt;"Net Profit",AB681&lt;&gt;"Operating Profit"),1,0)</f>
        <v>0</v>
      </c>
    </row>
    <row r="682" customFormat="false" ht="15" hidden="false" customHeight="false" outlineLevel="0" collapsed="false">
      <c r="B682" s="44"/>
      <c r="C682" s="44"/>
      <c r="D682" s="44"/>
      <c r="E682" s="44"/>
      <c r="F682" s="44"/>
      <c r="G682" s="44"/>
      <c r="H682" s="44"/>
      <c r="I682" s="44"/>
      <c r="J682" s="44"/>
      <c r="K682" s="44"/>
      <c r="L682" s="44"/>
      <c r="M682" s="44"/>
      <c r="N682" s="44"/>
      <c r="O682" s="44"/>
      <c r="P682" s="44"/>
      <c r="Q682" s="44"/>
      <c r="R682" s="44"/>
      <c r="S682" s="44"/>
      <c r="T682" s="44"/>
      <c r="U682" s="44"/>
      <c r="V682" s="44"/>
      <c r="W682" s="44"/>
      <c r="X682" s="44"/>
      <c r="Y682" s="44"/>
      <c r="Z682" s="44"/>
      <c r="AB682" s="37" t="str">
        <f aca="false">TRIM($A682&amp;"")</f>
        <v/>
      </c>
      <c r="AC682" s="37" t="str">
        <f aca="false">IF(AB682="","",IFERROR(INDEX('Account Map'!$B:$B,MATCH(AB682,'Account Map'!$A:$A,0)),""))</f>
        <v/>
      </c>
      <c r="AD682" s="37" t="str">
        <f aca="false">IF(AB682="","",IFERROR(INDEX('Account Map'!$C:$C,MATCH(AB682,'Account Map'!$A:$A,0)),""))</f>
        <v/>
      </c>
      <c r="AE682" s="37" t="n">
        <f aca="false">IF(AND(AB682&lt;&gt;"",AC682="",COUNT($B682:$Z682)&gt;0,LEFT(AB682,5)&lt;&gt;"Total",AB682&lt;&gt;"Gross Profit",AB682&lt;&gt;"Net Profit",AB682&lt;&gt;"Operating Profit"),1,0)</f>
        <v>0</v>
      </c>
    </row>
    <row r="683" customFormat="false" ht="15" hidden="false" customHeight="false" outlineLevel="0" collapsed="false">
      <c r="B683" s="44"/>
      <c r="C683" s="44"/>
      <c r="D683" s="44"/>
      <c r="E683" s="44"/>
      <c r="F683" s="44"/>
      <c r="G683" s="44"/>
      <c r="H683" s="44"/>
      <c r="I683" s="44"/>
      <c r="J683" s="44"/>
      <c r="K683" s="44"/>
      <c r="L683" s="44"/>
      <c r="M683" s="44"/>
      <c r="N683" s="44"/>
      <c r="O683" s="44"/>
      <c r="P683" s="44"/>
      <c r="Q683" s="44"/>
      <c r="R683" s="44"/>
      <c r="S683" s="44"/>
      <c r="T683" s="44"/>
      <c r="U683" s="44"/>
      <c r="V683" s="44"/>
      <c r="W683" s="44"/>
      <c r="X683" s="44"/>
      <c r="Y683" s="44"/>
      <c r="Z683" s="44"/>
      <c r="AB683" s="37" t="str">
        <f aca="false">TRIM($A683&amp;"")</f>
        <v/>
      </c>
      <c r="AC683" s="37" t="str">
        <f aca="false">IF(AB683="","",IFERROR(INDEX('Account Map'!$B:$B,MATCH(AB683,'Account Map'!$A:$A,0)),""))</f>
        <v/>
      </c>
      <c r="AD683" s="37" t="str">
        <f aca="false">IF(AB683="","",IFERROR(INDEX('Account Map'!$C:$C,MATCH(AB683,'Account Map'!$A:$A,0)),""))</f>
        <v/>
      </c>
      <c r="AE683" s="37" t="n">
        <f aca="false">IF(AND(AB683&lt;&gt;"",AC683="",COUNT($B683:$Z683)&gt;0,LEFT(AB683,5)&lt;&gt;"Total",AB683&lt;&gt;"Gross Profit",AB683&lt;&gt;"Net Profit",AB683&lt;&gt;"Operating Profit"),1,0)</f>
        <v>0</v>
      </c>
    </row>
    <row r="684" customFormat="false" ht="15" hidden="false" customHeight="false" outlineLevel="0" collapsed="false">
      <c r="B684" s="44"/>
      <c r="C684" s="44"/>
      <c r="D684" s="44"/>
      <c r="E684" s="44"/>
      <c r="F684" s="44"/>
      <c r="G684" s="44"/>
      <c r="H684" s="44"/>
      <c r="I684" s="44"/>
      <c r="J684" s="44"/>
      <c r="K684" s="44"/>
      <c r="L684" s="44"/>
      <c r="M684" s="44"/>
      <c r="N684" s="44"/>
      <c r="O684" s="44"/>
      <c r="P684" s="44"/>
      <c r="Q684" s="44"/>
      <c r="R684" s="44"/>
      <c r="S684" s="44"/>
      <c r="T684" s="44"/>
      <c r="U684" s="44"/>
      <c r="V684" s="44"/>
      <c r="W684" s="44"/>
      <c r="X684" s="44"/>
      <c r="Y684" s="44"/>
      <c r="Z684" s="44"/>
      <c r="AB684" s="37" t="str">
        <f aca="false">TRIM($A684&amp;"")</f>
        <v/>
      </c>
      <c r="AC684" s="37" t="str">
        <f aca="false">IF(AB684="","",IFERROR(INDEX('Account Map'!$B:$B,MATCH(AB684,'Account Map'!$A:$A,0)),""))</f>
        <v/>
      </c>
      <c r="AD684" s="37" t="str">
        <f aca="false">IF(AB684="","",IFERROR(INDEX('Account Map'!$C:$C,MATCH(AB684,'Account Map'!$A:$A,0)),""))</f>
        <v/>
      </c>
      <c r="AE684" s="37" t="n">
        <f aca="false">IF(AND(AB684&lt;&gt;"",AC684="",COUNT($B684:$Z684)&gt;0,LEFT(AB684,5)&lt;&gt;"Total",AB684&lt;&gt;"Gross Profit",AB684&lt;&gt;"Net Profit",AB684&lt;&gt;"Operating Profit"),1,0)</f>
        <v>0</v>
      </c>
    </row>
    <row r="685" customFormat="false" ht="15" hidden="false" customHeight="false" outlineLevel="0" collapsed="false">
      <c r="B685" s="44"/>
      <c r="C685" s="44"/>
      <c r="D685" s="44"/>
      <c r="E685" s="44"/>
      <c r="F685" s="44"/>
      <c r="G685" s="44"/>
      <c r="H685" s="44"/>
      <c r="I685" s="44"/>
      <c r="J685" s="44"/>
      <c r="K685" s="44"/>
      <c r="L685" s="44"/>
      <c r="M685" s="44"/>
      <c r="N685" s="44"/>
      <c r="O685" s="44"/>
      <c r="P685" s="44"/>
      <c r="Q685" s="44"/>
      <c r="R685" s="44"/>
      <c r="S685" s="44"/>
      <c r="T685" s="44"/>
      <c r="U685" s="44"/>
      <c r="V685" s="44"/>
      <c r="W685" s="44"/>
      <c r="X685" s="44"/>
      <c r="Y685" s="44"/>
      <c r="Z685" s="44"/>
      <c r="AB685" s="37" t="str">
        <f aca="false">TRIM($A685&amp;"")</f>
        <v/>
      </c>
      <c r="AC685" s="37" t="str">
        <f aca="false">IF(AB685="","",IFERROR(INDEX('Account Map'!$B:$B,MATCH(AB685,'Account Map'!$A:$A,0)),""))</f>
        <v/>
      </c>
      <c r="AD685" s="37" t="str">
        <f aca="false">IF(AB685="","",IFERROR(INDEX('Account Map'!$C:$C,MATCH(AB685,'Account Map'!$A:$A,0)),""))</f>
        <v/>
      </c>
      <c r="AE685" s="37" t="n">
        <f aca="false">IF(AND(AB685&lt;&gt;"",AC685="",COUNT($B685:$Z685)&gt;0,LEFT(AB685,5)&lt;&gt;"Total",AB685&lt;&gt;"Gross Profit",AB685&lt;&gt;"Net Profit",AB685&lt;&gt;"Operating Profit"),1,0)</f>
        <v>0</v>
      </c>
    </row>
    <row r="686" customFormat="false" ht="15" hidden="false" customHeight="false" outlineLevel="0" collapsed="false">
      <c r="B686" s="44"/>
      <c r="C686" s="44"/>
      <c r="D686" s="44"/>
      <c r="E686" s="44"/>
      <c r="F686" s="44"/>
      <c r="G686" s="44"/>
      <c r="H686" s="44"/>
      <c r="I686" s="44"/>
      <c r="J686" s="44"/>
      <c r="K686" s="44"/>
      <c r="L686" s="44"/>
      <c r="M686" s="44"/>
      <c r="N686" s="44"/>
      <c r="O686" s="44"/>
      <c r="P686" s="44"/>
      <c r="Q686" s="44"/>
      <c r="R686" s="44"/>
      <c r="S686" s="44"/>
      <c r="T686" s="44"/>
      <c r="U686" s="44"/>
      <c r="V686" s="44"/>
      <c r="W686" s="44"/>
      <c r="X686" s="44"/>
      <c r="Y686" s="44"/>
      <c r="Z686" s="44"/>
      <c r="AB686" s="37" t="str">
        <f aca="false">TRIM($A686&amp;"")</f>
        <v/>
      </c>
      <c r="AC686" s="37" t="str">
        <f aca="false">IF(AB686="","",IFERROR(INDEX('Account Map'!$B:$B,MATCH(AB686,'Account Map'!$A:$A,0)),""))</f>
        <v/>
      </c>
      <c r="AD686" s="37" t="str">
        <f aca="false">IF(AB686="","",IFERROR(INDEX('Account Map'!$C:$C,MATCH(AB686,'Account Map'!$A:$A,0)),""))</f>
        <v/>
      </c>
      <c r="AE686" s="37" t="n">
        <f aca="false">IF(AND(AB686&lt;&gt;"",AC686="",COUNT($B686:$Z686)&gt;0,LEFT(AB686,5)&lt;&gt;"Total",AB686&lt;&gt;"Gross Profit",AB686&lt;&gt;"Net Profit",AB686&lt;&gt;"Operating Profit"),1,0)</f>
        <v>0</v>
      </c>
    </row>
    <row r="687" customFormat="false" ht="15" hidden="false" customHeight="false" outlineLevel="0" collapsed="false">
      <c r="B687" s="44"/>
      <c r="C687" s="44"/>
      <c r="D687" s="44"/>
      <c r="E687" s="44"/>
      <c r="F687" s="44"/>
      <c r="G687" s="44"/>
      <c r="H687" s="44"/>
      <c r="I687" s="44"/>
      <c r="J687" s="44"/>
      <c r="K687" s="44"/>
      <c r="L687" s="44"/>
      <c r="M687" s="44"/>
      <c r="N687" s="44"/>
      <c r="O687" s="44"/>
      <c r="P687" s="44"/>
      <c r="Q687" s="44"/>
      <c r="R687" s="44"/>
      <c r="S687" s="44"/>
      <c r="T687" s="44"/>
      <c r="U687" s="44"/>
      <c r="V687" s="44"/>
      <c r="W687" s="44"/>
      <c r="X687" s="44"/>
      <c r="Y687" s="44"/>
      <c r="Z687" s="44"/>
      <c r="AB687" s="37" t="str">
        <f aca="false">TRIM($A687&amp;"")</f>
        <v/>
      </c>
      <c r="AC687" s="37" t="str">
        <f aca="false">IF(AB687="","",IFERROR(INDEX('Account Map'!$B:$B,MATCH(AB687,'Account Map'!$A:$A,0)),""))</f>
        <v/>
      </c>
      <c r="AD687" s="37" t="str">
        <f aca="false">IF(AB687="","",IFERROR(INDEX('Account Map'!$C:$C,MATCH(AB687,'Account Map'!$A:$A,0)),""))</f>
        <v/>
      </c>
      <c r="AE687" s="37" t="n">
        <f aca="false">IF(AND(AB687&lt;&gt;"",AC687="",COUNT($B687:$Z687)&gt;0,LEFT(AB687,5)&lt;&gt;"Total",AB687&lt;&gt;"Gross Profit",AB687&lt;&gt;"Net Profit",AB687&lt;&gt;"Operating Profit"),1,0)</f>
        <v>0</v>
      </c>
    </row>
    <row r="688" customFormat="false" ht="15" hidden="false" customHeight="false" outlineLevel="0" collapsed="false">
      <c r="B688" s="44"/>
      <c r="C688" s="44"/>
      <c r="D688" s="44"/>
      <c r="E688" s="44"/>
      <c r="F688" s="44"/>
      <c r="G688" s="44"/>
      <c r="H688" s="44"/>
      <c r="I688" s="44"/>
      <c r="J688" s="44"/>
      <c r="K688" s="44"/>
      <c r="L688" s="44"/>
      <c r="M688" s="44"/>
      <c r="N688" s="44"/>
      <c r="O688" s="44"/>
      <c r="P688" s="44"/>
      <c r="Q688" s="44"/>
      <c r="R688" s="44"/>
      <c r="S688" s="44"/>
      <c r="T688" s="44"/>
      <c r="U688" s="44"/>
      <c r="V688" s="44"/>
      <c r="W688" s="44"/>
      <c r="X688" s="44"/>
      <c r="Y688" s="44"/>
      <c r="Z688" s="44"/>
      <c r="AB688" s="37" t="str">
        <f aca="false">TRIM($A688&amp;"")</f>
        <v/>
      </c>
      <c r="AC688" s="37" t="str">
        <f aca="false">IF(AB688="","",IFERROR(INDEX('Account Map'!$B:$B,MATCH(AB688,'Account Map'!$A:$A,0)),""))</f>
        <v/>
      </c>
      <c r="AD688" s="37" t="str">
        <f aca="false">IF(AB688="","",IFERROR(INDEX('Account Map'!$C:$C,MATCH(AB688,'Account Map'!$A:$A,0)),""))</f>
        <v/>
      </c>
      <c r="AE688" s="37" t="n">
        <f aca="false">IF(AND(AB688&lt;&gt;"",AC688="",COUNT($B688:$Z688)&gt;0,LEFT(AB688,5)&lt;&gt;"Total",AB688&lt;&gt;"Gross Profit",AB688&lt;&gt;"Net Profit",AB688&lt;&gt;"Operating Profit"),1,0)</f>
        <v>0</v>
      </c>
    </row>
    <row r="689" customFormat="false" ht="15" hidden="false" customHeight="false" outlineLevel="0" collapsed="false">
      <c r="B689" s="44"/>
      <c r="C689" s="44"/>
      <c r="D689" s="44"/>
      <c r="E689" s="44"/>
      <c r="F689" s="44"/>
      <c r="G689" s="44"/>
      <c r="H689" s="44"/>
      <c r="I689" s="44"/>
      <c r="J689" s="44"/>
      <c r="K689" s="44"/>
      <c r="L689" s="44"/>
      <c r="M689" s="44"/>
      <c r="N689" s="44"/>
      <c r="O689" s="44"/>
      <c r="P689" s="44"/>
      <c r="Q689" s="44"/>
      <c r="R689" s="44"/>
      <c r="S689" s="44"/>
      <c r="T689" s="44"/>
      <c r="U689" s="44"/>
      <c r="V689" s="44"/>
      <c r="W689" s="44"/>
      <c r="X689" s="44"/>
      <c r="Y689" s="44"/>
      <c r="Z689" s="44"/>
      <c r="AB689" s="37" t="str">
        <f aca="false">TRIM($A689&amp;"")</f>
        <v/>
      </c>
      <c r="AC689" s="37" t="str">
        <f aca="false">IF(AB689="","",IFERROR(INDEX('Account Map'!$B:$B,MATCH(AB689,'Account Map'!$A:$A,0)),""))</f>
        <v/>
      </c>
      <c r="AD689" s="37" t="str">
        <f aca="false">IF(AB689="","",IFERROR(INDEX('Account Map'!$C:$C,MATCH(AB689,'Account Map'!$A:$A,0)),""))</f>
        <v/>
      </c>
      <c r="AE689" s="37" t="n">
        <f aca="false">IF(AND(AB689&lt;&gt;"",AC689="",COUNT($B689:$Z689)&gt;0,LEFT(AB689,5)&lt;&gt;"Total",AB689&lt;&gt;"Gross Profit",AB689&lt;&gt;"Net Profit",AB689&lt;&gt;"Operating Profit"),1,0)</f>
        <v>0</v>
      </c>
    </row>
    <row r="690" customFormat="false" ht="15" hidden="false" customHeight="false" outlineLevel="0" collapsed="false">
      <c r="B690" s="44"/>
      <c r="C690" s="44"/>
      <c r="D690" s="44"/>
      <c r="E690" s="44"/>
      <c r="F690" s="44"/>
      <c r="G690" s="44"/>
      <c r="H690" s="44"/>
      <c r="I690" s="44"/>
      <c r="J690" s="44"/>
      <c r="K690" s="44"/>
      <c r="L690" s="44"/>
      <c r="M690" s="44"/>
      <c r="N690" s="44"/>
      <c r="O690" s="44"/>
      <c r="P690" s="44"/>
      <c r="Q690" s="44"/>
      <c r="R690" s="44"/>
      <c r="S690" s="44"/>
      <c r="T690" s="44"/>
      <c r="U690" s="44"/>
      <c r="V690" s="44"/>
      <c r="W690" s="44"/>
      <c r="X690" s="44"/>
      <c r="Y690" s="44"/>
      <c r="Z690" s="44"/>
      <c r="AB690" s="37" t="str">
        <f aca="false">TRIM($A690&amp;"")</f>
        <v/>
      </c>
      <c r="AC690" s="37" t="str">
        <f aca="false">IF(AB690="","",IFERROR(INDEX('Account Map'!$B:$B,MATCH(AB690,'Account Map'!$A:$A,0)),""))</f>
        <v/>
      </c>
      <c r="AD690" s="37" t="str">
        <f aca="false">IF(AB690="","",IFERROR(INDEX('Account Map'!$C:$C,MATCH(AB690,'Account Map'!$A:$A,0)),""))</f>
        <v/>
      </c>
      <c r="AE690" s="37" t="n">
        <f aca="false">IF(AND(AB690&lt;&gt;"",AC690="",COUNT($B690:$Z690)&gt;0,LEFT(AB690,5)&lt;&gt;"Total",AB690&lt;&gt;"Gross Profit",AB690&lt;&gt;"Net Profit",AB690&lt;&gt;"Operating Profit"),1,0)</f>
        <v>0</v>
      </c>
    </row>
    <row r="691" customFormat="false" ht="15" hidden="false" customHeight="false" outlineLevel="0" collapsed="false">
      <c r="B691" s="44"/>
      <c r="C691" s="44"/>
      <c r="D691" s="44"/>
      <c r="E691" s="44"/>
      <c r="F691" s="44"/>
      <c r="G691" s="44"/>
      <c r="H691" s="44"/>
      <c r="I691" s="44"/>
      <c r="J691" s="44"/>
      <c r="K691" s="44"/>
      <c r="L691" s="44"/>
      <c r="M691" s="44"/>
      <c r="N691" s="44"/>
      <c r="O691" s="44"/>
      <c r="P691" s="44"/>
      <c r="Q691" s="44"/>
      <c r="R691" s="44"/>
      <c r="S691" s="44"/>
      <c r="T691" s="44"/>
      <c r="U691" s="44"/>
      <c r="V691" s="44"/>
      <c r="W691" s="44"/>
      <c r="X691" s="44"/>
      <c r="Y691" s="44"/>
      <c r="Z691" s="44"/>
      <c r="AB691" s="37" t="str">
        <f aca="false">TRIM($A691&amp;"")</f>
        <v/>
      </c>
      <c r="AC691" s="37" t="str">
        <f aca="false">IF(AB691="","",IFERROR(INDEX('Account Map'!$B:$B,MATCH(AB691,'Account Map'!$A:$A,0)),""))</f>
        <v/>
      </c>
      <c r="AD691" s="37" t="str">
        <f aca="false">IF(AB691="","",IFERROR(INDEX('Account Map'!$C:$C,MATCH(AB691,'Account Map'!$A:$A,0)),""))</f>
        <v/>
      </c>
      <c r="AE691" s="37" t="n">
        <f aca="false">IF(AND(AB691&lt;&gt;"",AC691="",COUNT($B691:$Z691)&gt;0,LEFT(AB691,5)&lt;&gt;"Total",AB691&lt;&gt;"Gross Profit",AB691&lt;&gt;"Net Profit",AB691&lt;&gt;"Operating Profit"),1,0)</f>
        <v>0</v>
      </c>
    </row>
    <row r="692" customFormat="false" ht="15" hidden="false" customHeight="false" outlineLevel="0" collapsed="false">
      <c r="B692" s="44"/>
      <c r="C692" s="44"/>
      <c r="D692" s="44"/>
      <c r="E692" s="44"/>
      <c r="F692" s="44"/>
      <c r="G692" s="44"/>
      <c r="H692" s="44"/>
      <c r="I692" s="44"/>
      <c r="J692" s="44"/>
      <c r="K692" s="44"/>
      <c r="L692" s="44"/>
      <c r="M692" s="44"/>
      <c r="N692" s="44"/>
      <c r="O692" s="44"/>
      <c r="P692" s="44"/>
      <c r="Q692" s="44"/>
      <c r="R692" s="44"/>
      <c r="S692" s="44"/>
      <c r="T692" s="44"/>
      <c r="U692" s="44"/>
      <c r="V692" s="44"/>
      <c r="W692" s="44"/>
      <c r="X692" s="44"/>
      <c r="Y692" s="44"/>
      <c r="Z692" s="44"/>
      <c r="AB692" s="37" t="str">
        <f aca="false">TRIM($A692&amp;"")</f>
        <v/>
      </c>
      <c r="AC692" s="37" t="str">
        <f aca="false">IF(AB692="","",IFERROR(INDEX('Account Map'!$B:$B,MATCH(AB692,'Account Map'!$A:$A,0)),""))</f>
        <v/>
      </c>
      <c r="AD692" s="37" t="str">
        <f aca="false">IF(AB692="","",IFERROR(INDEX('Account Map'!$C:$C,MATCH(AB692,'Account Map'!$A:$A,0)),""))</f>
        <v/>
      </c>
      <c r="AE692" s="37" t="n">
        <f aca="false">IF(AND(AB692&lt;&gt;"",AC692="",COUNT($B692:$Z692)&gt;0,LEFT(AB692,5)&lt;&gt;"Total",AB692&lt;&gt;"Gross Profit",AB692&lt;&gt;"Net Profit",AB692&lt;&gt;"Operating Profit"),1,0)</f>
        <v>0</v>
      </c>
    </row>
    <row r="693" customFormat="false" ht="15" hidden="false" customHeight="false" outlineLevel="0" collapsed="false">
      <c r="B693" s="44"/>
      <c r="C693" s="44"/>
      <c r="D693" s="44"/>
      <c r="E693" s="44"/>
      <c r="F693" s="44"/>
      <c r="G693" s="44"/>
      <c r="H693" s="44"/>
      <c r="I693" s="44"/>
      <c r="J693" s="44"/>
      <c r="K693" s="44"/>
      <c r="L693" s="44"/>
      <c r="M693" s="44"/>
      <c r="N693" s="44"/>
      <c r="O693" s="44"/>
      <c r="P693" s="44"/>
      <c r="Q693" s="44"/>
      <c r="R693" s="44"/>
      <c r="S693" s="44"/>
      <c r="T693" s="44"/>
      <c r="U693" s="44"/>
      <c r="V693" s="44"/>
      <c r="W693" s="44"/>
      <c r="X693" s="44"/>
      <c r="Y693" s="44"/>
      <c r="Z693" s="44"/>
      <c r="AB693" s="37" t="str">
        <f aca="false">TRIM($A693&amp;"")</f>
        <v/>
      </c>
      <c r="AC693" s="37" t="str">
        <f aca="false">IF(AB693="","",IFERROR(INDEX('Account Map'!$B:$B,MATCH(AB693,'Account Map'!$A:$A,0)),""))</f>
        <v/>
      </c>
      <c r="AD693" s="37" t="str">
        <f aca="false">IF(AB693="","",IFERROR(INDEX('Account Map'!$C:$C,MATCH(AB693,'Account Map'!$A:$A,0)),""))</f>
        <v/>
      </c>
      <c r="AE693" s="37" t="n">
        <f aca="false">IF(AND(AB693&lt;&gt;"",AC693="",COUNT($B693:$Z693)&gt;0,LEFT(AB693,5)&lt;&gt;"Total",AB693&lt;&gt;"Gross Profit",AB693&lt;&gt;"Net Profit",AB693&lt;&gt;"Operating Profit"),1,0)</f>
        <v>0</v>
      </c>
    </row>
    <row r="694" customFormat="false" ht="15" hidden="false" customHeight="false" outlineLevel="0" collapsed="false">
      <c r="B694" s="44"/>
      <c r="C694" s="44"/>
      <c r="D694" s="44"/>
      <c r="E694" s="44"/>
      <c r="F694" s="44"/>
      <c r="G694" s="44"/>
      <c r="H694" s="44"/>
      <c r="I694" s="44"/>
      <c r="J694" s="44"/>
      <c r="K694" s="44"/>
      <c r="L694" s="44"/>
      <c r="M694" s="44"/>
      <c r="N694" s="44"/>
      <c r="O694" s="44"/>
      <c r="P694" s="44"/>
      <c r="Q694" s="44"/>
      <c r="R694" s="44"/>
      <c r="S694" s="44"/>
      <c r="T694" s="44"/>
      <c r="U694" s="44"/>
      <c r="V694" s="44"/>
      <c r="W694" s="44"/>
      <c r="X694" s="44"/>
      <c r="Y694" s="44"/>
      <c r="Z694" s="44"/>
      <c r="AB694" s="37" t="str">
        <f aca="false">TRIM($A694&amp;"")</f>
        <v/>
      </c>
      <c r="AC694" s="37" t="str">
        <f aca="false">IF(AB694="","",IFERROR(INDEX('Account Map'!$B:$B,MATCH(AB694,'Account Map'!$A:$A,0)),""))</f>
        <v/>
      </c>
      <c r="AD694" s="37" t="str">
        <f aca="false">IF(AB694="","",IFERROR(INDEX('Account Map'!$C:$C,MATCH(AB694,'Account Map'!$A:$A,0)),""))</f>
        <v/>
      </c>
      <c r="AE694" s="37" t="n">
        <f aca="false">IF(AND(AB694&lt;&gt;"",AC694="",COUNT($B694:$Z694)&gt;0,LEFT(AB694,5)&lt;&gt;"Total",AB694&lt;&gt;"Gross Profit",AB694&lt;&gt;"Net Profit",AB694&lt;&gt;"Operating Profit"),1,0)</f>
        <v>0</v>
      </c>
    </row>
    <row r="695" customFormat="false" ht="15" hidden="false" customHeight="false" outlineLevel="0" collapsed="false">
      <c r="B695" s="44"/>
      <c r="C695" s="44"/>
      <c r="D695" s="44"/>
      <c r="E695" s="44"/>
      <c r="F695" s="44"/>
      <c r="G695" s="44"/>
      <c r="H695" s="44"/>
      <c r="I695" s="44"/>
      <c r="J695" s="44"/>
      <c r="K695" s="44"/>
      <c r="L695" s="44"/>
      <c r="M695" s="44"/>
      <c r="N695" s="44"/>
      <c r="O695" s="44"/>
      <c r="P695" s="44"/>
      <c r="Q695" s="44"/>
      <c r="R695" s="44"/>
      <c r="S695" s="44"/>
      <c r="T695" s="44"/>
      <c r="U695" s="44"/>
      <c r="V695" s="44"/>
      <c r="W695" s="44"/>
      <c r="X695" s="44"/>
      <c r="Y695" s="44"/>
      <c r="Z695" s="44"/>
      <c r="AB695" s="37" t="str">
        <f aca="false">TRIM($A695&amp;"")</f>
        <v/>
      </c>
      <c r="AC695" s="37" t="str">
        <f aca="false">IF(AB695="","",IFERROR(INDEX('Account Map'!$B:$B,MATCH(AB695,'Account Map'!$A:$A,0)),""))</f>
        <v/>
      </c>
      <c r="AD695" s="37" t="str">
        <f aca="false">IF(AB695="","",IFERROR(INDEX('Account Map'!$C:$C,MATCH(AB695,'Account Map'!$A:$A,0)),""))</f>
        <v/>
      </c>
      <c r="AE695" s="37" t="n">
        <f aca="false">IF(AND(AB695&lt;&gt;"",AC695="",COUNT($B695:$Z695)&gt;0,LEFT(AB695,5)&lt;&gt;"Total",AB695&lt;&gt;"Gross Profit",AB695&lt;&gt;"Net Profit",AB695&lt;&gt;"Operating Profit"),1,0)</f>
        <v>0</v>
      </c>
    </row>
    <row r="696" customFormat="false" ht="15" hidden="false" customHeight="false" outlineLevel="0" collapsed="false">
      <c r="B696" s="44"/>
      <c r="C696" s="44"/>
      <c r="D696" s="44"/>
      <c r="E696" s="44"/>
      <c r="F696" s="44"/>
      <c r="G696" s="44"/>
      <c r="H696" s="44"/>
      <c r="I696" s="44"/>
      <c r="J696" s="44"/>
      <c r="K696" s="44"/>
      <c r="L696" s="44"/>
      <c r="M696" s="44"/>
      <c r="N696" s="44"/>
      <c r="O696" s="44"/>
      <c r="P696" s="44"/>
      <c r="Q696" s="44"/>
      <c r="R696" s="44"/>
      <c r="S696" s="44"/>
      <c r="T696" s="44"/>
      <c r="U696" s="44"/>
      <c r="V696" s="44"/>
      <c r="W696" s="44"/>
      <c r="X696" s="44"/>
      <c r="Y696" s="44"/>
      <c r="Z696" s="44"/>
      <c r="AB696" s="37" t="str">
        <f aca="false">TRIM($A696&amp;"")</f>
        <v/>
      </c>
      <c r="AC696" s="37" t="str">
        <f aca="false">IF(AB696="","",IFERROR(INDEX('Account Map'!$B:$B,MATCH(AB696,'Account Map'!$A:$A,0)),""))</f>
        <v/>
      </c>
      <c r="AD696" s="37" t="str">
        <f aca="false">IF(AB696="","",IFERROR(INDEX('Account Map'!$C:$C,MATCH(AB696,'Account Map'!$A:$A,0)),""))</f>
        <v/>
      </c>
      <c r="AE696" s="37" t="n">
        <f aca="false">IF(AND(AB696&lt;&gt;"",AC696="",COUNT($B696:$Z696)&gt;0,LEFT(AB696,5)&lt;&gt;"Total",AB696&lt;&gt;"Gross Profit",AB696&lt;&gt;"Net Profit",AB696&lt;&gt;"Operating Profit"),1,0)</f>
        <v>0</v>
      </c>
    </row>
    <row r="697" customFormat="false" ht="15" hidden="false" customHeight="false" outlineLevel="0" collapsed="false">
      <c r="B697" s="44"/>
      <c r="C697" s="44"/>
      <c r="D697" s="44"/>
      <c r="E697" s="44"/>
      <c r="F697" s="44"/>
      <c r="G697" s="44"/>
      <c r="H697" s="44"/>
      <c r="I697" s="44"/>
      <c r="J697" s="44"/>
      <c r="K697" s="44"/>
      <c r="L697" s="44"/>
      <c r="M697" s="44"/>
      <c r="N697" s="44"/>
      <c r="O697" s="44"/>
      <c r="P697" s="44"/>
      <c r="Q697" s="44"/>
      <c r="R697" s="44"/>
      <c r="S697" s="44"/>
      <c r="T697" s="44"/>
      <c r="U697" s="44"/>
      <c r="V697" s="44"/>
      <c r="W697" s="44"/>
      <c r="X697" s="44"/>
      <c r="Y697" s="44"/>
      <c r="Z697" s="44"/>
      <c r="AB697" s="37" t="str">
        <f aca="false">TRIM($A697&amp;"")</f>
        <v/>
      </c>
      <c r="AC697" s="37" t="str">
        <f aca="false">IF(AB697="","",IFERROR(INDEX('Account Map'!$B:$B,MATCH(AB697,'Account Map'!$A:$A,0)),""))</f>
        <v/>
      </c>
      <c r="AD697" s="37" t="str">
        <f aca="false">IF(AB697="","",IFERROR(INDEX('Account Map'!$C:$C,MATCH(AB697,'Account Map'!$A:$A,0)),""))</f>
        <v/>
      </c>
      <c r="AE697" s="37" t="n">
        <f aca="false">IF(AND(AB697&lt;&gt;"",AC697="",COUNT($B697:$Z697)&gt;0,LEFT(AB697,5)&lt;&gt;"Total",AB697&lt;&gt;"Gross Profit",AB697&lt;&gt;"Net Profit",AB697&lt;&gt;"Operating Profit"),1,0)</f>
        <v>0</v>
      </c>
    </row>
    <row r="698" customFormat="false" ht="15" hidden="false" customHeight="false" outlineLevel="0" collapsed="false">
      <c r="B698" s="44"/>
      <c r="C698" s="44"/>
      <c r="D698" s="44"/>
      <c r="E698" s="44"/>
      <c r="F698" s="44"/>
      <c r="G698" s="44"/>
      <c r="H698" s="44"/>
      <c r="I698" s="44"/>
      <c r="J698" s="44"/>
      <c r="K698" s="44"/>
      <c r="L698" s="44"/>
      <c r="M698" s="44"/>
      <c r="N698" s="44"/>
      <c r="O698" s="44"/>
      <c r="P698" s="44"/>
      <c r="Q698" s="44"/>
      <c r="R698" s="44"/>
      <c r="S698" s="44"/>
      <c r="T698" s="44"/>
      <c r="U698" s="44"/>
      <c r="V698" s="44"/>
      <c r="W698" s="44"/>
      <c r="X698" s="44"/>
      <c r="Y698" s="44"/>
      <c r="Z698" s="44"/>
      <c r="AB698" s="37" t="str">
        <f aca="false">TRIM($A698&amp;"")</f>
        <v/>
      </c>
      <c r="AC698" s="37" t="str">
        <f aca="false">IF(AB698="","",IFERROR(INDEX('Account Map'!$B:$B,MATCH(AB698,'Account Map'!$A:$A,0)),""))</f>
        <v/>
      </c>
      <c r="AD698" s="37" t="str">
        <f aca="false">IF(AB698="","",IFERROR(INDEX('Account Map'!$C:$C,MATCH(AB698,'Account Map'!$A:$A,0)),""))</f>
        <v/>
      </c>
      <c r="AE698" s="37" t="n">
        <f aca="false">IF(AND(AB698&lt;&gt;"",AC698="",COUNT($B698:$Z698)&gt;0,LEFT(AB698,5)&lt;&gt;"Total",AB698&lt;&gt;"Gross Profit",AB698&lt;&gt;"Net Profit",AB698&lt;&gt;"Operating Profit"),1,0)</f>
        <v>0</v>
      </c>
    </row>
    <row r="699" customFormat="false" ht="15" hidden="false" customHeight="false" outlineLevel="0" collapsed="false">
      <c r="B699" s="44"/>
      <c r="C699" s="44"/>
      <c r="D699" s="44"/>
      <c r="E699" s="44"/>
      <c r="F699" s="44"/>
      <c r="G699" s="44"/>
      <c r="H699" s="44"/>
      <c r="I699" s="44"/>
      <c r="J699" s="44"/>
      <c r="K699" s="44"/>
      <c r="L699" s="44"/>
      <c r="M699" s="44"/>
      <c r="N699" s="44"/>
      <c r="O699" s="44"/>
      <c r="P699" s="44"/>
      <c r="Q699" s="44"/>
      <c r="R699" s="44"/>
      <c r="S699" s="44"/>
      <c r="T699" s="44"/>
      <c r="U699" s="44"/>
      <c r="V699" s="44"/>
      <c r="W699" s="44"/>
      <c r="X699" s="44"/>
      <c r="Y699" s="44"/>
      <c r="Z699" s="44"/>
      <c r="AB699" s="37" t="str">
        <f aca="false">TRIM($A699&amp;"")</f>
        <v/>
      </c>
      <c r="AC699" s="37" t="str">
        <f aca="false">IF(AB699="","",IFERROR(INDEX('Account Map'!$B:$B,MATCH(AB699,'Account Map'!$A:$A,0)),""))</f>
        <v/>
      </c>
      <c r="AD699" s="37" t="str">
        <f aca="false">IF(AB699="","",IFERROR(INDEX('Account Map'!$C:$C,MATCH(AB699,'Account Map'!$A:$A,0)),""))</f>
        <v/>
      </c>
      <c r="AE699" s="37" t="n">
        <f aca="false">IF(AND(AB699&lt;&gt;"",AC699="",COUNT($B699:$Z699)&gt;0,LEFT(AB699,5)&lt;&gt;"Total",AB699&lt;&gt;"Gross Profit",AB699&lt;&gt;"Net Profit",AB699&lt;&gt;"Operating Profit"),1,0)</f>
        <v>0</v>
      </c>
    </row>
    <row r="700" customFormat="false" ht="15" hidden="false" customHeight="false" outlineLevel="0" collapsed="false">
      <c r="B700" s="44"/>
      <c r="C700" s="44"/>
      <c r="D700" s="44"/>
      <c r="E700" s="44"/>
      <c r="F700" s="44"/>
      <c r="G700" s="44"/>
      <c r="H700" s="44"/>
      <c r="I700" s="44"/>
      <c r="J700" s="44"/>
      <c r="K700" s="44"/>
      <c r="L700" s="44"/>
      <c r="M700" s="44"/>
      <c r="N700" s="44"/>
      <c r="O700" s="44"/>
      <c r="P700" s="44"/>
      <c r="Q700" s="44"/>
      <c r="R700" s="44"/>
      <c r="S700" s="44"/>
      <c r="T700" s="44"/>
      <c r="U700" s="44"/>
      <c r="V700" s="44"/>
      <c r="W700" s="44"/>
      <c r="X700" s="44"/>
      <c r="Y700" s="44"/>
      <c r="Z700" s="44"/>
      <c r="AB700" s="37" t="str">
        <f aca="false">TRIM($A700&amp;"")</f>
        <v/>
      </c>
      <c r="AC700" s="37" t="str">
        <f aca="false">IF(AB700="","",IFERROR(INDEX('Account Map'!$B:$B,MATCH(AB700,'Account Map'!$A:$A,0)),""))</f>
        <v/>
      </c>
      <c r="AD700" s="37" t="str">
        <f aca="false">IF(AB700="","",IFERROR(INDEX('Account Map'!$C:$C,MATCH(AB700,'Account Map'!$A:$A,0)),""))</f>
        <v/>
      </c>
      <c r="AE700" s="37" t="n">
        <f aca="false">IF(AND(AB700&lt;&gt;"",AC700="",COUNT($B700:$Z700)&gt;0,LEFT(AB700,5)&lt;&gt;"Total",AB700&lt;&gt;"Gross Profit",AB700&lt;&gt;"Net Profit",AB700&lt;&gt;"Operating Profit"),1,0)</f>
        <v>0</v>
      </c>
    </row>
    <row r="701" customFormat="false" ht="15" hidden="false" customHeight="false" outlineLevel="0" collapsed="false">
      <c r="B701" s="44"/>
      <c r="C701" s="44"/>
      <c r="D701" s="44"/>
      <c r="E701" s="44"/>
      <c r="F701" s="44"/>
      <c r="G701" s="44"/>
      <c r="H701" s="44"/>
      <c r="I701" s="44"/>
      <c r="J701" s="44"/>
      <c r="K701" s="44"/>
      <c r="L701" s="44"/>
      <c r="M701" s="44"/>
      <c r="N701" s="44"/>
      <c r="O701" s="44"/>
      <c r="P701" s="44"/>
      <c r="Q701" s="44"/>
      <c r="R701" s="44"/>
      <c r="S701" s="44"/>
      <c r="T701" s="44"/>
      <c r="U701" s="44"/>
      <c r="V701" s="44"/>
      <c r="W701" s="44"/>
      <c r="X701" s="44"/>
      <c r="Y701" s="44"/>
      <c r="Z701" s="44"/>
      <c r="AB701" s="37" t="str">
        <f aca="false">TRIM($A701&amp;"")</f>
        <v/>
      </c>
      <c r="AC701" s="37" t="str">
        <f aca="false">IF(AB701="","",IFERROR(INDEX('Account Map'!$B:$B,MATCH(AB701,'Account Map'!$A:$A,0)),""))</f>
        <v/>
      </c>
      <c r="AD701" s="37" t="str">
        <f aca="false">IF(AB701="","",IFERROR(INDEX('Account Map'!$C:$C,MATCH(AB701,'Account Map'!$A:$A,0)),""))</f>
        <v/>
      </c>
      <c r="AE701" s="37" t="n">
        <f aca="false">IF(AND(AB701&lt;&gt;"",AC701="",COUNT($B701:$Z701)&gt;0,LEFT(AB701,5)&lt;&gt;"Total",AB701&lt;&gt;"Gross Profit",AB701&lt;&gt;"Net Profit",AB701&lt;&gt;"Operating Profit"),1,0)</f>
        <v>0</v>
      </c>
    </row>
    <row r="702" customFormat="false" ht="15" hidden="false" customHeight="false" outlineLevel="0" collapsed="false">
      <c r="B702" s="44"/>
      <c r="C702" s="44"/>
      <c r="D702" s="44"/>
      <c r="E702" s="44"/>
      <c r="F702" s="44"/>
      <c r="G702" s="44"/>
      <c r="H702" s="44"/>
      <c r="I702" s="44"/>
      <c r="J702" s="44"/>
      <c r="K702" s="44"/>
      <c r="L702" s="44"/>
      <c r="M702" s="44"/>
      <c r="N702" s="44"/>
      <c r="O702" s="44"/>
      <c r="P702" s="44"/>
      <c r="Q702" s="44"/>
      <c r="R702" s="44"/>
      <c r="S702" s="44"/>
      <c r="T702" s="44"/>
      <c r="U702" s="44"/>
      <c r="V702" s="44"/>
      <c r="W702" s="44"/>
      <c r="X702" s="44"/>
      <c r="Y702" s="44"/>
      <c r="Z702" s="44"/>
      <c r="AB702" s="37" t="str">
        <f aca="false">TRIM($A702&amp;"")</f>
        <v/>
      </c>
      <c r="AC702" s="37" t="str">
        <f aca="false">IF(AB702="","",IFERROR(INDEX('Account Map'!$B:$B,MATCH(AB702,'Account Map'!$A:$A,0)),""))</f>
        <v/>
      </c>
      <c r="AD702" s="37" t="str">
        <f aca="false">IF(AB702="","",IFERROR(INDEX('Account Map'!$C:$C,MATCH(AB702,'Account Map'!$A:$A,0)),""))</f>
        <v/>
      </c>
      <c r="AE702" s="37" t="n">
        <f aca="false">IF(AND(AB702&lt;&gt;"",AC702="",COUNT($B702:$Z702)&gt;0,LEFT(AB702,5)&lt;&gt;"Total",AB702&lt;&gt;"Gross Profit",AB702&lt;&gt;"Net Profit",AB702&lt;&gt;"Operating Profit"),1,0)</f>
        <v>0</v>
      </c>
    </row>
    <row r="703" customFormat="false" ht="15" hidden="false" customHeight="false" outlineLevel="0" collapsed="false">
      <c r="B703" s="44"/>
      <c r="C703" s="44"/>
      <c r="D703" s="44"/>
      <c r="E703" s="44"/>
      <c r="F703" s="44"/>
      <c r="G703" s="44"/>
      <c r="H703" s="44"/>
      <c r="I703" s="44"/>
      <c r="J703" s="44"/>
      <c r="K703" s="44"/>
      <c r="L703" s="44"/>
      <c r="M703" s="44"/>
      <c r="N703" s="44"/>
      <c r="O703" s="44"/>
      <c r="P703" s="44"/>
      <c r="Q703" s="44"/>
      <c r="R703" s="44"/>
      <c r="S703" s="44"/>
      <c r="T703" s="44"/>
      <c r="U703" s="44"/>
      <c r="V703" s="44"/>
      <c r="W703" s="44"/>
      <c r="X703" s="44"/>
      <c r="Y703" s="44"/>
      <c r="Z703" s="44"/>
      <c r="AB703" s="37" t="str">
        <f aca="false">TRIM($A703&amp;"")</f>
        <v/>
      </c>
      <c r="AC703" s="37" t="str">
        <f aca="false">IF(AB703="","",IFERROR(INDEX('Account Map'!$B:$B,MATCH(AB703,'Account Map'!$A:$A,0)),""))</f>
        <v/>
      </c>
      <c r="AD703" s="37" t="str">
        <f aca="false">IF(AB703="","",IFERROR(INDEX('Account Map'!$C:$C,MATCH(AB703,'Account Map'!$A:$A,0)),""))</f>
        <v/>
      </c>
      <c r="AE703" s="37" t="n">
        <f aca="false">IF(AND(AB703&lt;&gt;"",AC703="",COUNT($B703:$Z703)&gt;0,LEFT(AB703,5)&lt;&gt;"Total",AB703&lt;&gt;"Gross Profit",AB703&lt;&gt;"Net Profit",AB703&lt;&gt;"Operating Profit"),1,0)</f>
        <v>0</v>
      </c>
    </row>
    <row r="704" customFormat="false" ht="15" hidden="false" customHeight="false" outlineLevel="0" collapsed="false">
      <c r="B704" s="44"/>
      <c r="C704" s="44"/>
      <c r="D704" s="44"/>
      <c r="E704" s="44"/>
      <c r="F704" s="44"/>
      <c r="G704" s="44"/>
      <c r="H704" s="44"/>
      <c r="I704" s="44"/>
      <c r="J704" s="44"/>
      <c r="K704" s="44"/>
      <c r="L704" s="44"/>
      <c r="M704" s="44"/>
      <c r="N704" s="44"/>
      <c r="O704" s="44"/>
      <c r="P704" s="44"/>
      <c r="Q704" s="44"/>
      <c r="R704" s="44"/>
      <c r="S704" s="44"/>
      <c r="T704" s="44"/>
      <c r="U704" s="44"/>
      <c r="V704" s="44"/>
      <c r="W704" s="44"/>
      <c r="X704" s="44"/>
      <c r="Y704" s="44"/>
      <c r="Z704" s="44"/>
      <c r="AB704" s="37" t="str">
        <f aca="false">TRIM($A704&amp;"")</f>
        <v/>
      </c>
      <c r="AC704" s="37" t="str">
        <f aca="false">IF(AB704="","",IFERROR(INDEX('Account Map'!$B:$B,MATCH(AB704,'Account Map'!$A:$A,0)),""))</f>
        <v/>
      </c>
      <c r="AD704" s="37" t="str">
        <f aca="false">IF(AB704="","",IFERROR(INDEX('Account Map'!$C:$C,MATCH(AB704,'Account Map'!$A:$A,0)),""))</f>
        <v/>
      </c>
      <c r="AE704" s="37" t="n">
        <f aca="false">IF(AND(AB704&lt;&gt;"",AC704="",COUNT($B704:$Z704)&gt;0,LEFT(AB704,5)&lt;&gt;"Total",AB704&lt;&gt;"Gross Profit",AB704&lt;&gt;"Net Profit",AB704&lt;&gt;"Operating Profit"),1,0)</f>
        <v>0</v>
      </c>
    </row>
    <row r="705" customFormat="false" ht="15" hidden="false" customHeight="false" outlineLevel="0" collapsed="false">
      <c r="B705" s="44"/>
      <c r="C705" s="44"/>
      <c r="D705" s="44"/>
      <c r="E705" s="44"/>
      <c r="F705" s="44"/>
      <c r="G705" s="44"/>
      <c r="H705" s="44"/>
      <c r="I705" s="44"/>
      <c r="J705" s="44"/>
      <c r="K705" s="44"/>
      <c r="L705" s="44"/>
      <c r="M705" s="44"/>
      <c r="N705" s="44"/>
      <c r="O705" s="44"/>
      <c r="P705" s="44"/>
      <c r="Q705" s="44"/>
      <c r="R705" s="44"/>
      <c r="S705" s="44"/>
      <c r="T705" s="44"/>
      <c r="U705" s="44"/>
      <c r="V705" s="44"/>
      <c r="W705" s="44"/>
      <c r="X705" s="44"/>
      <c r="Y705" s="44"/>
      <c r="Z705" s="44"/>
      <c r="AB705" s="37" t="str">
        <f aca="false">TRIM($A705&amp;"")</f>
        <v/>
      </c>
      <c r="AC705" s="37" t="str">
        <f aca="false">IF(AB705="","",IFERROR(INDEX('Account Map'!$B:$B,MATCH(AB705,'Account Map'!$A:$A,0)),""))</f>
        <v/>
      </c>
      <c r="AD705" s="37" t="str">
        <f aca="false">IF(AB705="","",IFERROR(INDEX('Account Map'!$C:$C,MATCH(AB705,'Account Map'!$A:$A,0)),""))</f>
        <v/>
      </c>
      <c r="AE705" s="37" t="n">
        <f aca="false">IF(AND(AB705&lt;&gt;"",AC705="",COUNT($B705:$Z705)&gt;0,LEFT(AB705,5)&lt;&gt;"Total",AB705&lt;&gt;"Gross Profit",AB705&lt;&gt;"Net Profit",AB705&lt;&gt;"Operating Profit"),1,0)</f>
        <v>0</v>
      </c>
    </row>
    <row r="706" customFormat="false" ht="15" hidden="false" customHeight="false" outlineLevel="0" collapsed="false">
      <c r="B706" s="44"/>
      <c r="C706" s="44"/>
      <c r="D706" s="44"/>
      <c r="E706" s="44"/>
      <c r="F706" s="44"/>
      <c r="G706" s="44"/>
      <c r="H706" s="44"/>
      <c r="I706" s="44"/>
      <c r="J706" s="44"/>
      <c r="K706" s="44"/>
      <c r="L706" s="44"/>
      <c r="M706" s="44"/>
      <c r="N706" s="44"/>
      <c r="O706" s="44"/>
      <c r="P706" s="44"/>
      <c r="Q706" s="44"/>
      <c r="R706" s="44"/>
      <c r="S706" s="44"/>
      <c r="T706" s="44"/>
      <c r="U706" s="44"/>
      <c r="V706" s="44"/>
      <c r="W706" s="44"/>
      <c r="X706" s="44"/>
      <c r="Y706" s="44"/>
      <c r="Z706" s="44"/>
      <c r="AB706" s="37" t="str">
        <f aca="false">TRIM($A706&amp;"")</f>
        <v/>
      </c>
      <c r="AC706" s="37" t="str">
        <f aca="false">IF(AB706="","",IFERROR(INDEX('Account Map'!$B:$B,MATCH(AB706,'Account Map'!$A:$A,0)),""))</f>
        <v/>
      </c>
      <c r="AD706" s="37" t="str">
        <f aca="false">IF(AB706="","",IFERROR(INDEX('Account Map'!$C:$C,MATCH(AB706,'Account Map'!$A:$A,0)),""))</f>
        <v/>
      </c>
      <c r="AE706" s="37" t="n">
        <f aca="false">IF(AND(AB706&lt;&gt;"",AC706="",COUNT($B706:$Z706)&gt;0,LEFT(AB706,5)&lt;&gt;"Total",AB706&lt;&gt;"Gross Profit",AB706&lt;&gt;"Net Profit",AB706&lt;&gt;"Operating Profit"),1,0)</f>
        <v>0</v>
      </c>
    </row>
    <row r="707" customFormat="false" ht="15" hidden="false" customHeight="false" outlineLevel="0" collapsed="false">
      <c r="B707" s="44"/>
      <c r="C707" s="44"/>
      <c r="D707" s="44"/>
      <c r="E707" s="44"/>
      <c r="F707" s="44"/>
      <c r="G707" s="44"/>
      <c r="H707" s="44"/>
      <c r="I707" s="44"/>
      <c r="J707" s="44"/>
      <c r="K707" s="44"/>
      <c r="L707" s="44"/>
      <c r="M707" s="44"/>
      <c r="N707" s="44"/>
      <c r="O707" s="44"/>
      <c r="P707" s="44"/>
      <c r="Q707" s="44"/>
      <c r="R707" s="44"/>
      <c r="S707" s="44"/>
      <c r="T707" s="44"/>
      <c r="U707" s="44"/>
      <c r="V707" s="44"/>
      <c r="W707" s="44"/>
      <c r="X707" s="44"/>
      <c r="Y707" s="44"/>
      <c r="Z707" s="44"/>
      <c r="AB707" s="37" t="str">
        <f aca="false">TRIM($A707&amp;"")</f>
        <v/>
      </c>
      <c r="AC707" s="37" t="str">
        <f aca="false">IF(AB707="","",IFERROR(INDEX('Account Map'!$B:$B,MATCH(AB707,'Account Map'!$A:$A,0)),""))</f>
        <v/>
      </c>
      <c r="AD707" s="37" t="str">
        <f aca="false">IF(AB707="","",IFERROR(INDEX('Account Map'!$C:$C,MATCH(AB707,'Account Map'!$A:$A,0)),""))</f>
        <v/>
      </c>
      <c r="AE707" s="37" t="n">
        <f aca="false">IF(AND(AB707&lt;&gt;"",AC707="",COUNT($B707:$Z707)&gt;0,LEFT(AB707,5)&lt;&gt;"Total",AB707&lt;&gt;"Gross Profit",AB707&lt;&gt;"Net Profit",AB707&lt;&gt;"Operating Profit"),1,0)</f>
        <v>0</v>
      </c>
    </row>
    <row r="708" customFormat="false" ht="15" hidden="false" customHeight="false" outlineLevel="0" collapsed="false">
      <c r="B708" s="44"/>
      <c r="C708" s="44"/>
      <c r="D708" s="44"/>
      <c r="E708" s="44"/>
      <c r="F708" s="44"/>
      <c r="G708" s="44"/>
      <c r="H708" s="44"/>
      <c r="I708" s="44"/>
      <c r="J708" s="44"/>
      <c r="K708" s="44"/>
      <c r="L708" s="44"/>
      <c r="M708" s="44"/>
      <c r="N708" s="44"/>
      <c r="O708" s="44"/>
      <c r="P708" s="44"/>
      <c r="Q708" s="44"/>
      <c r="R708" s="44"/>
      <c r="S708" s="44"/>
      <c r="T708" s="44"/>
      <c r="U708" s="44"/>
      <c r="V708" s="44"/>
      <c r="W708" s="44"/>
      <c r="X708" s="44"/>
      <c r="Y708" s="44"/>
      <c r="Z708" s="44"/>
      <c r="AB708" s="37" t="str">
        <f aca="false">TRIM($A708&amp;"")</f>
        <v/>
      </c>
      <c r="AC708" s="37" t="str">
        <f aca="false">IF(AB708="","",IFERROR(INDEX('Account Map'!$B:$B,MATCH(AB708,'Account Map'!$A:$A,0)),""))</f>
        <v/>
      </c>
      <c r="AD708" s="37" t="str">
        <f aca="false">IF(AB708="","",IFERROR(INDEX('Account Map'!$C:$C,MATCH(AB708,'Account Map'!$A:$A,0)),""))</f>
        <v/>
      </c>
      <c r="AE708" s="37" t="n">
        <f aca="false">IF(AND(AB708&lt;&gt;"",AC708="",COUNT($B708:$Z708)&gt;0,LEFT(AB708,5)&lt;&gt;"Total",AB708&lt;&gt;"Gross Profit",AB708&lt;&gt;"Net Profit",AB708&lt;&gt;"Operating Profit"),1,0)</f>
        <v>0</v>
      </c>
    </row>
    <row r="709" customFormat="false" ht="15" hidden="false" customHeight="false" outlineLevel="0" collapsed="false">
      <c r="B709" s="44"/>
      <c r="C709" s="44"/>
      <c r="D709" s="44"/>
      <c r="E709" s="44"/>
      <c r="F709" s="44"/>
      <c r="G709" s="44"/>
      <c r="H709" s="44"/>
      <c r="I709" s="44"/>
      <c r="J709" s="44"/>
      <c r="K709" s="44"/>
      <c r="L709" s="44"/>
      <c r="M709" s="44"/>
      <c r="N709" s="44"/>
      <c r="O709" s="44"/>
      <c r="P709" s="44"/>
      <c r="Q709" s="44"/>
      <c r="R709" s="44"/>
      <c r="S709" s="44"/>
      <c r="T709" s="44"/>
      <c r="U709" s="44"/>
      <c r="V709" s="44"/>
      <c r="W709" s="44"/>
      <c r="X709" s="44"/>
      <c r="Y709" s="44"/>
      <c r="Z709" s="44"/>
      <c r="AB709" s="37" t="str">
        <f aca="false">TRIM($A709&amp;"")</f>
        <v/>
      </c>
      <c r="AC709" s="37" t="str">
        <f aca="false">IF(AB709="","",IFERROR(INDEX('Account Map'!$B:$B,MATCH(AB709,'Account Map'!$A:$A,0)),""))</f>
        <v/>
      </c>
      <c r="AD709" s="37" t="str">
        <f aca="false">IF(AB709="","",IFERROR(INDEX('Account Map'!$C:$C,MATCH(AB709,'Account Map'!$A:$A,0)),""))</f>
        <v/>
      </c>
      <c r="AE709" s="37" t="n">
        <f aca="false">IF(AND(AB709&lt;&gt;"",AC709="",COUNT($B709:$Z709)&gt;0,LEFT(AB709,5)&lt;&gt;"Total",AB709&lt;&gt;"Gross Profit",AB709&lt;&gt;"Net Profit",AB709&lt;&gt;"Operating Profit"),1,0)</f>
        <v>0</v>
      </c>
    </row>
    <row r="710" customFormat="false" ht="15" hidden="false" customHeight="false" outlineLevel="0" collapsed="false">
      <c r="B710" s="44"/>
      <c r="C710" s="44"/>
      <c r="D710" s="44"/>
      <c r="E710" s="44"/>
      <c r="F710" s="44"/>
      <c r="G710" s="44"/>
      <c r="H710" s="44"/>
      <c r="I710" s="44"/>
      <c r="J710" s="44"/>
      <c r="K710" s="44"/>
      <c r="L710" s="44"/>
      <c r="M710" s="44"/>
      <c r="N710" s="44"/>
      <c r="O710" s="44"/>
      <c r="P710" s="44"/>
      <c r="Q710" s="44"/>
      <c r="R710" s="44"/>
      <c r="S710" s="44"/>
      <c r="T710" s="44"/>
      <c r="U710" s="44"/>
      <c r="V710" s="44"/>
      <c r="W710" s="44"/>
      <c r="X710" s="44"/>
      <c r="Y710" s="44"/>
      <c r="Z710" s="44"/>
      <c r="AB710" s="37" t="str">
        <f aca="false">TRIM($A710&amp;"")</f>
        <v/>
      </c>
      <c r="AC710" s="37" t="str">
        <f aca="false">IF(AB710="","",IFERROR(INDEX('Account Map'!$B:$B,MATCH(AB710,'Account Map'!$A:$A,0)),""))</f>
        <v/>
      </c>
      <c r="AD710" s="37" t="str">
        <f aca="false">IF(AB710="","",IFERROR(INDEX('Account Map'!$C:$C,MATCH(AB710,'Account Map'!$A:$A,0)),""))</f>
        <v/>
      </c>
      <c r="AE710" s="37" t="n">
        <f aca="false">IF(AND(AB710&lt;&gt;"",AC710="",COUNT($B710:$Z710)&gt;0,LEFT(AB710,5)&lt;&gt;"Total",AB710&lt;&gt;"Gross Profit",AB710&lt;&gt;"Net Profit",AB710&lt;&gt;"Operating Profit"),1,0)</f>
        <v>0</v>
      </c>
    </row>
    <row r="711" customFormat="false" ht="15" hidden="false" customHeight="false" outlineLevel="0" collapsed="false">
      <c r="B711" s="44"/>
      <c r="C711" s="44"/>
      <c r="D711" s="44"/>
      <c r="E711" s="44"/>
      <c r="F711" s="44"/>
      <c r="G711" s="44"/>
      <c r="H711" s="44"/>
      <c r="I711" s="44"/>
      <c r="J711" s="44"/>
      <c r="K711" s="44"/>
      <c r="L711" s="44"/>
      <c r="M711" s="44"/>
      <c r="N711" s="44"/>
      <c r="O711" s="44"/>
      <c r="P711" s="44"/>
      <c r="Q711" s="44"/>
      <c r="R711" s="44"/>
      <c r="S711" s="44"/>
      <c r="T711" s="44"/>
      <c r="U711" s="44"/>
      <c r="V711" s="44"/>
      <c r="W711" s="44"/>
      <c r="X711" s="44"/>
      <c r="Y711" s="44"/>
      <c r="Z711" s="44"/>
      <c r="AB711" s="37" t="str">
        <f aca="false">TRIM($A711&amp;"")</f>
        <v/>
      </c>
      <c r="AC711" s="37" t="str">
        <f aca="false">IF(AB711="","",IFERROR(INDEX('Account Map'!$B:$B,MATCH(AB711,'Account Map'!$A:$A,0)),""))</f>
        <v/>
      </c>
      <c r="AD711" s="37" t="str">
        <f aca="false">IF(AB711="","",IFERROR(INDEX('Account Map'!$C:$C,MATCH(AB711,'Account Map'!$A:$A,0)),""))</f>
        <v/>
      </c>
      <c r="AE711" s="37" t="n">
        <f aca="false">IF(AND(AB711&lt;&gt;"",AC711="",COUNT($B711:$Z711)&gt;0,LEFT(AB711,5)&lt;&gt;"Total",AB711&lt;&gt;"Gross Profit",AB711&lt;&gt;"Net Profit",AB711&lt;&gt;"Operating Profit"),1,0)</f>
        <v>0</v>
      </c>
    </row>
    <row r="712" customFormat="false" ht="15" hidden="false" customHeight="false" outlineLevel="0" collapsed="false">
      <c r="B712" s="44"/>
      <c r="C712" s="44"/>
      <c r="D712" s="44"/>
      <c r="E712" s="44"/>
      <c r="F712" s="44"/>
      <c r="G712" s="44"/>
      <c r="H712" s="44"/>
      <c r="I712" s="44"/>
      <c r="J712" s="44"/>
      <c r="K712" s="44"/>
      <c r="L712" s="44"/>
      <c r="M712" s="44"/>
      <c r="N712" s="44"/>
      <c r="O712" s="44"/>
      <c r="P712" s="44"/>
      <c r="Q712" s="44"/>
      <c r="R712" s="44"/>
      <c r="S712" s="44"/>
      <c r="T712" s="44"/>
      <c r="U712" s="44"/>
      <c r="V712" s="44"/>
      <c r="W712" s="44"/>
      <c r="X712" s="44"/>
      <c r="Y712" s="44"/>
      <c r="Z712" s="44"/>
      <c r="AB712" s="37" t="str">
        <f aca="false">TRIM($A712&amp;"")</f>
        <v/>
      </c>
      <c r="AC712" s="37" t="str">
        <f aca="false">IF(AB712="","",IFERROR(INDEX('Account Map'!$B:$B,MATCH(AB712,'Account Map'!$A:$A,0)),""))</f>
        <v/>
      </c>
      <c r="AD712" s="37" t="str">
        <f aca="false">IF(AB712="","",IFERROR(INDEX('Account Map'!$C:$C,MATCH(AB712,'Account Map'!$A:$A,0)),""))</f>
        <v/>
      </c>
      <c r="AE712" s="37" t="n">
        <f aca="false">IF(AND(AB712&lt;&gt;"",AC712="",COUNT($B712:$Z712)&gt;0,LEFT(AB712,5)&lt;&gt;"Total",AB712&lt;&gt;"Gross Profit",AB712&lt;&gt;"Net Profit",AB712&lt;&gt;"Operating Profit"),1,0)</f>
        <v>0</v>
      </c>
    </row>
    <row r="713" customFormat="false" ht="15" hidden="false" customHeight="false" outlineLevel="0" collapsed="false">
      <c r="B713" s="44"/>
      <c r="C713" s="44"/>
      <c r="D713" s="44"/>
      <c r="E713" s="44"/>
      <c r="F713" s="44"/>
      <c r="G713" s="44"/>
      <c r="H713" s="44"/>
      <c r="I713" s="44"/>
      <c r="J713" s="44"/>
      <c r="K713" s="44"/>
      <c r="L713" s="44"/>
      <c r="M713" s="44"/>
      <c r="N713" s="44"/>
      <c r="O713" s="44"/>
      <c r="P713" s="44"/>
      <c r="Q713" s="44"/>
      <c r="R713" s="44"/>
      <c r="S713" s="44"/>
      <c r="T713" s="44"/>
      <c r="U713" s="44"/>
      <c r="V713" s="44"/>
      <c r="W713" s="44"/>
      <c r="X713" s="44"/>
      <c r="Y713" s="44"/>
      <c r="Z713" s="44"/>
      <c r="AB713" s="37" t="str">
        <f aca="false">TRIM($A713&amp;"")</f>
        <v/>
      </c>
      <c r="AC713" s="37" t="str">
        <f aca="false">IF(AB713="","",IFERROR(INDEX('Account Map'!$B:$B,MATCH(AB713,'Account Map'!$A:$A,0)),""))</f>
        <v/>
      </c>
      <c r="AD713" s="37" t="str">
        <f aca="false">IF(AB713="","",IFERROR(INDEX('Account Map'!$C:$C,MATCH(AB713,'Account Map'!$A:$A,0)),""))</f>
        <v/>
      </c>
      <c r="AE713" s="37" t="n">
        <f aca="false">IF(AND(AB713&lt;&gt;"",AC713="",COUNT($B713:$Z713)&gt;0,LEFT(AB713,5)&lt;&gt;"Total",AB713&lt;&gt;"Gross Profit",AB713&lt;&gt;"Net Profit",AB713&lt;&gt;"Operating Profit"),1,0)</f>
        <v>0</v>
      </c>
    </row>
    <row r="714" customFormat="false" ht="15" hidden="false" customHeight="false" outlineLevel="0" collapsed="false">
      <c r="B714" s="44"/>
      <c r="C714" s="44"/>
      <c r="D714" s="44"/>
      <c r="E714" s="44"/>
      <c r="F714" s="44"/>
      <c r="G714" s="44"/>
      <c r="H714" s="44"/>
      <c r="I714" s="44"/>
      <c r="J714" s="44"/>
      <c r="K714" s="44"/>
      <c r="L714" s="44"/>
      <c r="M714" s="44"/>
      <c r="N714" s="44"/>
      <c r="O714" s="44"/>
      <c r="P714" s="44"/>
      <c r="Q714" s="44"/>
      <c r="R714" s="44"/>
      <c r="S714" s="44"/>
      <c r="T714" s="44"/>
      <c r="U714" s="44"/>
      <c r="V714" s="44"/>
      <c r="W714" s="44"/>
      <c r="X714" s="44"/>
      <c r="Y714" s="44"/>
      <c r="Z714" s="44"/>
      <c r="AB714" s="37" t="str">
        <f aca="false">TRIM($A714&amp;"")</f>
        <v/>
      </c>
      <c r="AC714" s="37" t="str">
        <f aca="false">IF(AB714="","",IFERROR(INDEX('Account Map'!$B:$B,MATCH(AB714,'Account Map'!$A:$A,0)),""))</f>
        <v/>
      </c>
      <c r="AD714" s="37" t="str">
        <f aca="false">IF(AB714="","",IFERROR(INDEX('Account Map'!$C:$C,MATCH(AB714,'Account Map'!$A:$A,0)),""))</f>
        <v/>
      </c>
      <c r="AE714" s="37" t="n">
        <f aca="false">IF(AND(AB714&lt;&gt;"",AC714="",COUNT($B714:$Z714)&gt;0,LEFT(AB714,5)&lt;&gt;"Total",AB714&lt;&gt;"Gross Profit",AB714&lt;&gt;"Net Profit",AB714&lt;&gt;"Operating Profit"),1,0)</f>
        <v>0</v>
      </c>
    </row>
    <row r="715" customFormat="false" ht="15" hidden="false" customHeight="false" outlineLevel="0" collapsed="false">
      <c r="B715" s="44"/>
      <c r="C715" s="44"/>
      <c r="D715" s="44"/>
      <c r="E715" s="44"/>
      <c r="F715" s="44"/>
      <c r="G715" s="44"/>
      <c r="H715" s="44"/>
      <c r="I715" s="44"/>
      <c r="J715" s="44"/>
      <c r="K715" s="44"/>
      <c r="L715" s="44"/>
      <c r="M715" s="44"/>
      <c r="N715" s="44"/>
      <c r="O715" s="44"/>
      <c r="P715" s="44"/>
      <c r="Q715" s="44"/>
      <c r="R715" s="44"/>
      <c r="S715" s="44"/>
      <c r="T715" s="44"/>
      <c r="U715" s="44"/>
      <c r="V715" s="44"/>
      <c r="W715" s="44"/>
      <c r="X715" s="44"/>
      <c r="Y715" s="44"/>
      <c r="Z715" s="44"/>
      <c r="AB715" s="37" t="str">
        <f aca="false">TRIM($A715&amp;"")</f>
        <v/>
      </c>
      <c r="AC715" s="37" t="str">
        <f aca="false">IF(AB715="","",IFERROR(INDEX('Account Map'!$B:$B,MATCH(AB715,'Account Map'!$A:$A,0)),""))</f>
        <v/>
      </c>
      <c r="AD715" s="37" t="str">
        <f aca="false">IF(AB715="","",IFERROR(INDEX('Account Map'!$C:$C,MATCH(AB715,'Account Map'!$A:$A,0)),""))</f>
        <v/>
      </c>
      <c r="AE715" s="37" t="n">
        <f aca="false">IF(AND(AB715&lt;&gt;"",AC715="",COUNT($B715:$Z715)&gt;0,LEFT(AB715,5)&lt;&gt;"Total",AB715&lt;&gt;"Gross Profit",AB715&lt;&gt;"Net Profit",AB715&lt;&gt;"Operating Profit"),1,0)</f>
        <v>0</v>
      </c>
    </row>
    <row r="716" customFormat="false" ht="15" hidden="false" customHeight="false" outlineLevel="0" collapsed="false">
      <c r="B716" s="44"/>
      <c r="C716" s="44"/>
      <c r="D716" s="44"/>
      <c r="E716" s="44"/>
      <c r="F716" s="44"/>
      <c r="G716" s="44"/>
      <c r="H716" s="44"/>
      <c r="I716" s="44"/>
      <c r="J716" s="44"/>
      <c r="K716" s="44"/>
      <c r="L716" s="44"/>
      <c r="M716" s="44"/>
      <c r="N716" s="44"/>
      <c r="O716" s="44"/>
      <c r="P716" s="44"/>
      <c r="Q716" s="44"/>
      <c r="R716" s="44"/>
      <c r="S716" s="44"/>
      <c r="T716" s="44"/>
      <c r="U716" s="44"/>
      <c r="V716" s="44"/>
      <c r="W716" s="44"/>
      <c r="X716" s="44"/>
      <c r="Y716" s="44"/>
      <c r="Z716" s="44"/>
      <c r="AB716" s="37" t="str">
        <f aca="false">TRIM($A716&amp;"")</f>
        <v/>
      </c>
      <c r="AC716" s="37" t="str">
        <f aca="false">IF(AB716="","",IFERROR(INDEX('Account Map'!$B:$B,MATCH(AB716,'Account Map'!$A:$A,0)),""))</f>
        <v/>
      </c>
      <c r="AD716" s="37" t="str">
        <f aca="false">IF(AB716="","",IFERROR(INDEX('Account Map'!$C:$C,MATCH(AB716,'Account Map'!$A:$A,0)),""))</f>
        <v/>
      </c>
      <c r="AE716" s="37" t="n">
        <f aca="false">IF(AND(AB716&lt;&gt;"",AC716="",COUNT($B716:$Z716)&gt;0,LEFT(AB716,5)&lt;&gt;"Total",AB716&lt;&gt;"Gross Profit",AB716&lt;&gt;"Net Profit",AB716&lt;&gt;"Operating Profit"),1,0)</f>
        <v>0</v>
      </c>
    </row>
    <row r="717" customFormat="false" ht="15" hidden="false" customHeight="false" outlineLevel="0" collapsed="false">
      <c r="B717" s="44"/>
      <c r="C717" s="44"/>
      <c r="D717" s="44"/>
      <c r="E717" s="44"/>
      <c r="F717" s="44"/>
      <c r="G717" s="44"/>
      <c r="H717" s="44"/>
      <c r="I717" s="44"/>
      <c r="J717" s="44"/>
      <c r="K717" s="44"/>
      <c r="L717" s="44"/>
      <c r="M717" s="44"/>
      <c r="N717" s="44"/>
      <c r="O717" s="44"/>
      <c r="P717" s="44"/>
      <c r="Q717" s="44"/>
      <c r="R717" s="44"/>
      <c r="S717" s="44"/>
      <c r="T717" s="44"/>
      <c r="U717" s="44"/>
      <c r="V717" s="44"/>
      <c r="W717" s="44"/>
      <c r="X717" s="44"/>
      <c r="Y717" s="44"/>
      <c r="Z717" s="44"/>
      <c r="AB717" s="37" t="str">
        <f aca="false">TRIM($A717&amp;"")</f>
        <v/>
      </c>
      <c r="AC717" s="37" t="str">
        <f aca="false">IF(AB717="","",IFERROR(INDEX('Account Map'!$B:$B,MATCH(AB717,'Account Map'!$A:$A,0)),""))</f>
        <v/>
      </c>
      <c r="AD717" s="37" t="str">
        <f aca="false">IF(AB717="","",IFERROR(INDEX('Account Map'!$C:$C,MATCH(AB717,'Account Map'!$A:$A,0)),""))</f>
        <v/>
      </c>
      <c r="AE717" s="37" t="n">
        <f aca="false">IF(AND(AB717&lt;&gt;"",AC717="",COUNT($B717:$Z717)&gt;0,LEFT(AB717,5)&lt;&gt;"Total",AB717&lt;&gt;"Gross Profit",AB717&lt;&gt;"Net Profit",AB717&lt;&gt;"Operating Profit"),1,0)</f>
        <v>0</v>
      </c>
    </row>
    <row r="718" customFormat="false" ht="15" hidden="false" customHeight="false" outlineLevel="0" collapsed="false">
      <c r="B718" s="44"/>
      <c r="C718" s="44"/>
      <c r="D718" s="44"/>
      <c r="E718" s="44"/>
      <c r="F718" s="44"/>
      <c r="G718" s="44"/>
      <c r="H718" s="44"/>
      <c r="I718" s="44"/>
      <c r="J718" s="44"/>
      <c r="K718" s="44"/>
      <c r="L718" s="44"/>
      <c r="M718" s="44"/>
      <c r="N718" s="44"/>
      <c r="O718" s="44"/>
      <c r="P718" s="44"/>
      <c r="Q718" s="44"/>
      <c r="R718" s="44"/>
      <c r="S718" s="44"/>
      <c r="T718" s="44"/>
      <c r="U718" s="44"/>
      <c r="V718" s="44"/>
      <c r="W718" s="44"/>
      <c r="X718" s="44"/>
      <c r="Y718" s="44"/>
      <c r="Z718" s="44"/>
      <c r="AB718" s="37" t="str">
        <f aca="false">TRIM($A718&amp;"")</f>
        <v/>
      </c>
      <c r="AC718" s="37" t="str">
        <f aca="false">IF(AB718="","",IFERROR(INDEX('Account Map'!$B:$B,MATCH(AB718,'Account Map'!$A:$A,0)),""))</f>
        <v/>
      </c>
      <c r="AD718" s="37" t="str">
        <f aca="false">IF(AB718="","",IFERROR(INDEX('Account Map'!$C:$C,MATCH(AB718,'Account Map'!$A:$A,0)),""))</f>
        <v/>
      </c>
      <c r="AE718" s="37" t="n">
        <f aca="false">IF(AND(AB718&lt;&gt;"",AC718="",COUNT($B718:$Z718)&gt;0,LEFT(AB718,5)&lt;&gt;"Total",AB718&lt;&gt;"Gross Profit",AB718&lt;&gt;"Net Profit",AB718&lt;&gt;"Operating Profit"),1,0)</f>
        <v>0</v>
      </c>
    </row>
    <row r="719" customFormat="false" ht="15" hidden="false" customHeight="false" outlineLevel="0" collapsed="false">
      <c r="B719" s="44"/>
      <c r="C719" s="44"/>
      <c r="D719" s="44"/>
      <c r="E719" s="44"/>
      <c r="F719" s="44"/>
      <c r="G719" s="44"/>
      <c r="H719" s="44"/>
      <c r="I719" s="44"/>
      <c r="J719" s="44"/>
      <c r="K719" s="44"/>
      <c r="L719" s="44"/>
      <c r="M719" s="44"/>
      <c r="N719" s="44"/>
      <c r="O719" s="44"/>
      <c r="P719" s="44"/>
      <c r="Q719" s="44"/>
      <c r="R719" s="44"/>
      <c r="S719" s="44"/>
      <c r="T719" s="44"/>
      <c r="U719" s="44"/>
      <c r="V719" s="44"/>
      <c r="W719" s="44"/>
      <c r="X719" s="44"/>
      <c r="Y719" s="44"/>
      <c r="Z719" s="44"/>
      <c r="AB719" s="37" t="str">
        <f aca="false">TRIM($A719&amp;"")</f>
        <v/>
      </c>
      <c r="AC719" s="37" t="str">
        <f aca="false">IF(AB719="","",IFERROR(INDEX('Account Map'!$B:$B,MATCH(AB719,'Account Map'!$A:$A,0)),""))</f>
        <v/>
      </c>
      <c r="AD719" s="37" t="str">
        <f aca="false">IF(AB719="","",IFERROR(INDEX('Account Map'!$C:$C,MATCH(AB719,'Account Map'!$A:$A,0)),""))</f>
        <v/>
      </c>
      <c r="AE719" s="37" t="n">
        <f aca="false">IF(AND(AB719&lt;&gt;"",AC719="",COUNT($B719:$Z719)&gt;0,LEFT(AB719,5)&lt;&gt;"Total",AB719&lt;&gt;"Gross Profit",AB719&lt;&gt;"Net Profit",AB719&lt;&gt;"Operating Profit"),1,0)</f>
        <v>0</v>
      </c>
    </row>
    <row r="720" customFormat="false" ht="15" hidden="false" customHeight="false" outlineLevel="0" collapsed="false">
      <c r="B720" s="44"/>
      <c r="C720" s="44"/>
      <c r="D720" s="44"/>
      <c r="E720" s="44"/>
      <c r="F720" s="44"/>
      <c r="G720" s="44"/>
      <c r="H720" s="44"/>
      <c r="I720" s="44"/>
      <c r="J720" s="44"/>
      <c r="K720" s="44"/>
      <c r="L720" s="44"/>
      <c r="M720" s="44"/>
      <c r="N720" s="44"/>
      <c r="O720" s="44"/>
      <c r="P720" s="44"/>
      <c r="Q720" s="44"/>
      <c r="R720" s="44"/>
      <c r="S720" s="44"/>
      <c r="T720" s="44"/>
      <c r="U720" s="44"/>
      <c r="V720" s="44"/>
      <c r="W720" s="44"/>
      <c r="X720" s="44"/>
      <c r="Y720" s="44"/>
      <c r="Z720" s="44"/>
      <c r="AB720" s="37" t="str">
        <f aca="false">TRIM($A720&amp;"")</f>
        <v/>
      </c>
      <c r="AC720" s="37" t="str">
        <f aca="false">IF(AB720="","",IFERROR(INDEX('Account Map'!$B:$B,MATCH(AB720,'Account Map'!$A:$A,0)),""))</f>
        <v/>
      </c>
      <c r="AD720" s="37" t="str">
        <f aca="false">IF(AB720="","",IFERROR(INDEX('Account Map'!$C:$C,MATCH(AB720,'Account Map'!$A:$A,0)),""))</f>
        <v/>
      </c>
      <c r="AE720" s="37" t="n">
        <f aca="false">IF(AND(AB720&lt;&gt;"",AC720="",COUNT($B720:$Z720)&gt;0,LEFT(AB720,5)&lt;&gt;"Total",AB720&lt;&gt;"Gross Profit",AB720&lt;&gt;"Net Profit",AB720&lt;&gt;"Operating Profit"),1,0)</f>
        <v>0</v>
      </c>
    </row>
    <row r="721" customFormat="false" ht="15" hidden="false" customHeight="false" outlineLevel="0" collapsed="false">
      <c r="B721" s="44"/>
      <c r="C721" s="44"/>
      <c r="D721" s="44"/>
      <c r="E721" s="44"/>
      <c r="F721" s="44"/>
      <c r="G721" s="44"/>
      <c r="H721" s="44"/>
      <c r="I721" s="44"/>
      <c r="J721" s="44"/>
      <c r="K721" s="44"/>
      <c r="L721" s="44"/>
      <c r="M721" s="44"/>
      <c r="N721" s="44"/>
      <c r="O721" s="44"/>
      <c r="P721" s="44"/>
      <c r="Q721" s="44"/>
      <c r="R721" s="44"/>
      <c r="S721" s="44"/>
      <c r="T721" s="44"/>
      <c r="U721" s="44"/>
      <c r="V721" s="44"/>
      <c r="W721" s="44"/>
      <c r="X721" s="44"/>
      <c r="Y721" s="44"/>
      <c r="Z721" s="44"/>
      <c r="AB721" s="37" t="str">
        <f aca="false">TRIM($A721&amp;"")</f>
        <v/>
      </c>
      <c r="AC721" s="37" t="str">
        <f aca="false">IF(AB721="","",IFERROR(INDEX('Account Map'!$B:$B,MATCH(AB721,'Account Map'!$A:$A,0)),""))</f>
        <v/>
      </c>
      <c r="AD721" s="37" t="str">
        <f aca="false">IF(AB721="","",IFERROR(INDEX('Account Map'!$C:$C,MATCH(AB721,'Account Map'!$A:$A,0)),""))</f>
        <v/>
      </c>
      <c r="AE721" s="37" t="n">
        <f aca="false">IF(AND(AB721&lt;&gt;"",AC721="",COUNT($B721:$Z721)&gt;0,LEFT(AB721,5)&lt;&gt;"Total",AB721&lt;&gt;"Gross Profit",AB721&lt;&gt;"Net Profit",AB721&lt;&gt;"Operating Profit"),1,0)</f>
        <v>0</v>
      </c>
    </row>
    <row r="722" customFormat="false" ht="15" hidden="false" customHeight="false" outlineLevel="0" collapsed="false">
      <c r="B722" s="44"/>
      <c r="C722" s="44"/>
      <c r="D722" s="44"/>
      <c r="E722" s="44"/>
      <c r="F722" s="44"/>
      <c r="G722" s="44"/>
      <c r="H722" s="44"/>
      <c r="I722" s="44"/>
      <c r="J722" s="44"/>
      <c r="K722" s="44"/>
      <c r="L722" s="44"/>
      <c r="M722" s="44"/>
      <c r="N722" s="44"/>
      <c r="O722" s="44"/>
      <c r="P722" s="44"/>
      <c r="Q722" s="44"/>
      <c r="R722" s="44"/>
      <c r="S722" s="44"/>
      <c r="T722" s="44"/>
      <c r="U722" s="44"/>
      <c r="V722" s="44"/>
      <c r="W722" s="44"/>
      <c r="X722" s="44"/>
      <c r="Y722" s="44"/>
      <c r="Z722" s="44"/>
      <c r="AB722" s="37" t="str">
        <f aca="false">TRIM($A722&amp;"")</f>
        <v/>
      </c>
      <c r="AC722" s="37" t="str">
        <f aca="false">IF(AB722="","",IFERROR(INDEX('Account Map'!$B:$B,MATCH(AB722,'Account Map'!$A:$A,0)),""))</f>
        <v/>
      </c>
      <c r="AD722" s="37" t="str">
        <f aca="false">IF(AB722="","",IFERROR(INDEX('Account Map'!$C:$C,MATCH(AB722,'Account Map'!$A:$A,0)),""))</f>
        <v/>
      </c>
      <c r="AE722" s="37" t="n">
        <f aca="false">IF(AND(AB722&lt;&gt;"",AC722="",COUNT($B722:$Z722)&gt;0,LEFT(AB722,5)&lt;&gt;"Total",AB722&lt;&gt;"Gross Profit",AB722&lt;&gt;"Net Profit",AB722&lt;&gt;"Operating Profit"),1,0)</f>
        <v>0</v>
      </c>
    </row>
    <row r="723" customFormat="false" ht="15" hidden="false" customHeight="false" outlineLevel="0" collapsed="false">
      <c r="B723" s="44"/>
      <c r="C723" s="44"/>
      <c r="D723" s="44"/>
      <c r="E723" s="44"/>
      <c r="F723" s="44"/>
      <c r="G723" s="44"/>
      <c r="H723" s="44"/>
      <c r="I723" s="44"/>
      <c r="J723" s="44"/>
      <c r="K723" s="44"/>
      <c r="L723" s="44"/>
      <c r="M723" s="44"/>
      <c r="N723" s="44"/>
      <c r="O723" s="44"/>
      <c r="P723" s="44"/>
      <c r="Q723" s="44"/>
      <c r="R723" s="44"/>
      <c r="S723" s="44"/>
      <c r="T723" s="44"/>
      <c r="U723" s="44"/>
      <c r="V723" s="44"/>
      <c r="W723" s="44"/>
      <c r="X723" s="44"/>
      <c r="Y723" s="44"/>
      <c r="Z723" s="44"/>
      <c r="AB723" s="37" t="str">
        <f aca="false">TRIM($A723&amp;"")</f>
        <v/>
      </c>
      <c r="AC723" s="37" t="str">
        <f aca="false">IF(AB723="","",IFERROR(INDEX('Account Map'!$B:$B,MATCH(AB723,'Account Map'!$A:$A,0)),""))</f>
        <v/>
      </c>
      <c r="AD723" s="37" t="str">
        <f aca="false">IF(AB723="","",IFERROR(INDEX('Account Map'!$C:$C,MATCH(AB723,'Account Map'!$A:$A,0)),""))</f>
        <v/>
      </c>
      <c r="AE723" s="37" t="n">
        <f aca="false">IF(AND(AB723&lt;&gt;"",AC723="",COUNT($B723:$Z723)&gt;0,LEFT(AB723,5)&lt;&gt;"Total",AB723&lt;&gt;"Gross Profit",AB723&lt;&gt;"Net Profit",AB723&lt;&gt;"Operating Profit"),1,0)</f>
        <v>0</v>
      </c>
    </row>
    <row r="724" customFormat="false" ht="15" hidden="false" customHeight="false" outlineLevel="0" collapsed="false">
      <c r="B724" s="44"/>
      <c r="C724" s="44"/>
      <c r="D724" s="44"/>
      <c r="E724" s="44"/>
      <c r="F724" s="44"/>
      <c r="G724" s="44"/>
      <c r="H724" s="44"/>
      <c r="I724" s="44"/>
      <c r="J724" s="44"/>
      <c r="K724" s="44"/>
      <c r="L724" s="44"/>
      <c r="M724" s="44"/>
      <c r="N724" s="44"/>
      <c r="O724" s="44"/>
      <c r="P724" s="44"/>
      <c r="Q724" s="44"/>
      <c r="R724" s="44"/>
      <c r="S724" s="44"/>
      <c r="T724" s="44"/>
      <c r="U724" s="44"/>
      <c r="V724" s="44"/>
      <c r="W724" s="44"/>
      <c r="X724" s="44"/>
      <c r="Y724" s="44"/>
      <c r="Z724" s="44"/>
      <c r="AB724" s="37" t="str">
        <f aca="false">TRIM($A724&amp;"")</f>
        <v/>
      </c>
      <c r="AC724" s="37" t="str">
        <f aca="false">IF(AB724="","",IFERROR(INDEX('Account Map'!$B:$B,MATCH(AB724,'Account Map'!$A:$A,0)),""))</f>
        <v/>
      </c>
      <c r="AD724" s="37" t="str">
        <f aca="false">IF(AB724="","",IFERROR(INDEX('Account Map'!$C:$C,MATCH(AB724,'Account Map'!$A:$A,0)),""))</f>
        <v/>
      </c>
      <c r="AE724" s="37" t="n">
        <f aca="false">IF(AND(AB724&lt;&gt;"",AC724="",COUNT($B724:$Z724)&gt;0,LEFT(AB724,5)&lt;&gt;"Total",AB724&lt;&gt;"Gross Profit",AB724&lt;&gt;"Net Profit",AB724&lt;&gt;"Operating Profit"),1,0)</f>
        <v>0</v>
      </c>
    </row>
    <row r="725" customFormat="false" ht="15" hidden="false" customHeight="false" outlineLevel="0" collapsed="false">
      <c r="B725" s="44"/>
      <c r="C725" s="44"/>
      <c r="D725" s="44"/>
      <c r="E725" s="44"/>
      <c r="F725" s="44"/>
      <c r="G725" s="44"/>
      <c r="H725" s="44"/>
      <c r="I725" s="44"/>
      <c r="J725" s="44"/>
      <c r="K725" s="44"/>
      <c r="L725" s="44"/>
      <c r="M725" s="44"/>
      <c r="N725" s="44"/>
      <c r="O725" s="44"/>
      <c r="P725" s="44"/>
      <c r="Q725" s="44"/>
      <c r="R725" s="44"/>
      <c r="S725" s="44"/>
      <c r="T725" s="44"/>
      <c r="U725" s="44"/>
      <c r="V725" s="44"/>
      <c r="W725" s="44"/>
      <c r="X725" s="44"/>
      <c r="Y725" s="44"/>
      <c r="Z725" s="44"/>
      <c r="AB725" s="37" t="str">
        <f aca="false">TRIM($A725&amp;"")</f>
        <v/>
      </c>
      <c r="AC725" s="37" t="str">
        <f aca="false">IF(AB725="","",IFERROR(INDEX('Account Map'!$B:$B,MATCH(AB725,'Account Map'!$A:$A,0)),""))</f>
        <v/>
      </c>
      <c r="AD725" s="37" t="str">
        <f aca="false">IF(AB725="","",IFERROR(INDEX('Account Map'!$C:$C,MATCH(AB725,'Account Map'!$A:$A,0)),""))</f>
        <v/>
      </c>
      <c r="AE725" s="37" t="n">
        <f aca="false">IF(AND(AB725&lt;&gt;"",AC725="",COUNT($B725:$Z725)&gt;0,LEFT(AB725,5)&lt;&gt;"Total",AB725&lt;&gt;"Gross Profit",AB725&lt;&gt;"Net Profit",AB725&lt;&gt;"Operating Profit"),1,0)</f>
        <v>0</v>
      </c>
    </row>
    <row r="726" customFormat="false" ht="15" hidden="false" customHeight="false" outlineLevel="0" collapsed="false">
      <c r="B726" s="44"/>
      <c r="C726" s="44"/>
      <c r="D726" s="44"/>
      <c r="E726" s="44"/>
      <c r="F726" s="44"/>
      <c r="G726" s="44"/>
      <c r="H726" s="44"/>
      <c r="I726" s="44"/>
      <c r="J726" s="44"/>
      <c r="K726" s="44"/>
      <c r="L726" s="44"/>
      <c r="M726" s="44"/>
      <c r="N726" s="44"/>
      <c r="O726" s="44"/>
      <c r="P726" s="44"/>
      <c r="Q726" s="44"/>
      <c r="R726" s="44"/>
      <c r="S726" s="44"/>
      <c r="T726" s="44"/>
      <c r="U726" s="44"/>
      <c r="V726" s="44"/>
      <c r="W726" s="44"/>
      <c r="X726" s="44"/>
      <c r="Y726" s="44"/>
      <c r="Z726" s="44"/>
      <c r="AB726" s="37" t="str">
        <f aca="false">TRIM($A726&amp;"")</f>
        <v/>
      </c>
      <c r="AC726" s="37" t="str">
        <f aca="false">IF(AB726="","",IFERROR(INDEX('Account Map'!$B:$B,MATCH(AB726,'Account Map'!$A:$A,0)),""))</f>
        <v/>
      </c>
      <c r="AD726" s="37" t="str">
        <f aca="false">IF(AB726="","",IFERROR(INDEX('Account Map'!$C:$C,MATCH(AB726,'Account Map'!$A:$A,0)),""))</f>
        <v/>
      </c>
      <c r="AE726" s="37" t="n">
        <f aca="false">IF(AND(AB726&lt;&gt;"",AC726="",COUNT($B726:$Z726)&gt;0,LEFT(AB726,5)&lt;&gt;"Total",AB726&lt;&gt;"Gross Profit",AB726&lt;&gt;"Net Profit",AB726&lt;&gt;"Operating Profit"),1,0)</f>
        <v>0</v>
      </c>
    </row>
    <row r="727" customFormat="false" ht="15" hidden="false" customHeight="false" outlineLevel="0" collapsed="false">
      <c r="B727" s="44"/>
      <c r="C727" s="44"/>
      <c r="D727" s="44"/>
      <c r="E727" s="44"/>
      <c r="F727" s="44"/>
      <c r="G727" s="44"/>
      <c r="H727" s="44"/>
      <c r="I727" s="44"/>
      <c r="J727" s="44"/>
      <c r="K727" s="44"/>
      <c r="L727" s="44"/>
      <c r="M727" s="44"/>
      <c r="N727" s="44"/>
      <c r="O727" s="44"/>
      <c r="P727" s="44"/>
      <c r="Q727" s="44"/>
      <c r="R727" s="44"/>
      <c r="S727" s="44"/>
      <c r="T727" s="44"/>
      <c r="U727" s="44"/>
      <c r="V727" s="44"/>
      <c r="W727" s="44"/>
      <c r="X727" s="44"/>
      <c r="Y727" s="44"/>
      <c r="Z727" s="44"/>
      <c r="AB727" s="37" t="str">
        <f aca="false">TRIM($A727&amp;"")</f>
        <v/>
      </c>
      <c r="AC727" s="37" t="str">
        <f aca="false">IF(AB727="","",IFERROR(INDEX('Account Map'!$B:$B,MATCH(AB727,'Account Map'!$A:$A,0)),""))</f>
        <v/>
      </c>
      <c r="AD727" s="37" t="str">
        <f aca="false">IF(AB727="","",IFERROR(INDEX('Account Map'!$C:$C,MATCH(AB727,'Account Map'!$A:$A,0)),""))</f>
        <v/>
      </c>
      <c r="AE727" s="37" t="n">
        <f aca="false">IF(AND(AB727&lt;&gt;"",AC727="",COUNT($B727:$Z727)&gt;0,LEFT(AB727,5)&lt;&gt;"Total",AB727&lt;&gt;"Gross Profit",AB727&lt;&gt;"Net Profit",AB727&lt;&gt;"Operating Profit"),1,0)</f>
        <v>0</v>
      </c>
    </row>
    <row r="728" customFormat="false" ht="15" hidden="false" customHeight="false" outlineLevel="0" collapsed="false">
      <c r="B728" s="44"/>
      <c r="C728" s="44"/>
      <c r="D728" s="44"/>
      <c r="E728" s="44"/>
      <c r="F728" s="44"/>
      <c r="G728" s="44"/>
      <c r="H728" s="44"/>
      <c r="I728" s="44"/>
      <c r="J728" s="44"/>
      <c r="K728" s="44"/>
      <c r="L728" s="44"/>
      <c r="M728" s="44"/>
      <c r="N728" s="44"/>
      <c r="O728" s="44"/>
      <c r="P728" s="44"/>
      <c r="Q728" s="44"/>
      <c r="R728" s="44"/>
      <c r="S728" s="44"/>
      <c r="T728" s="44"/>
      <c r="U728" s="44"/>
      <c r="V728" s="44"/>
      <c r="W728" s="44"/>
      <c r="X728" s="44"/>
      <c r="Y728" s="44"/>
      <c r="Z728" s="44"/>
      <c r="AB728" s="37" t="str">
        <f aca="false">TRIM($A728&amp;"")</f>
        <v/>
      </c>
      <c r="AC728" s="37" t="str">
        <f aca="false">IF(AB728="","",IFERROR(INDEX('Account Map'!$B:$B,MATCH(AB728,'Account Map'!$A:$A,0)),""))</f>
        <v/>
      </c>
      <c r="AD728" s="37" t="str">
        <f aca="false">IF(AB728="","",IFERROR(INDEX('Account Map'!$C:$C,MATCH(AB728,'Account Map'!$A:$A,0)),""))</f>
        <v/>
      </c>
      <c r="AE728" s="37" t="n">
        <f aca="false">IF(AND(AB728&lt;&gt;"",AC728="",COUNT($B728:$Z728)&gt;0,LEFT(AB728,5)&lt;&gt;"Total",AB728&lt;&gt;"Gross Profit",AB728&lt;&gt;"Net Profit",AB728&lt;&gt;"Operating Profit"),1,0)</f>
        <v>0</v>
      </c>
    </row>
    <row r="729" customFormat="false" ht="15" hidden="false" customHeight="false" outlineLevel="0" collapsed="false">
      <c r="B729" s="44"/>
      <c r="C729" s="44"/>
      <c r="D729" s="44"/>
      <c r="E729" s="44"/>
      <c r="F729" s="44"/>
      <c r="G729" s="44"/>
      <c r="H729" s="44"/>
      <c r="I729" s="44"/>
      <c r="J729" s="44"/>
      <c r="K729" s="44"/>
      <c r="L729" s="44"/>
      <c r="M729" s="44"/>
      <c r="N729" s="44"/>
      <c r="O729" s="44"/>
      <c r="P729" s="44"/>
      <c r="Q729" s="44"/>
      <c r="R729" s="44"/>
      <c r="S729" s="44"/>
      <c r="T729" s="44"/>
      <c r="U729" s="44"/>
      <c r="V729" s="44"/>
      <c r="W729" s="44"/>
      <c r="X729" s="44"/>
      <c r="Y729" s="44"/>
      <c r="Z729" s="44"/>
      <c r="AB729" s="37" t="str">
        <f aca="false">TRIM($A729&amp;"")</f>
        <v/>
      </c>
      <c r="AC729" s="37" t="str">
        <f aca="false">IF(AB729="","",IFERROR(INDEX('Account Map'!$B:$B,MATCH(AB729,'Account Map'!$A:$A,0)),""))</f>
        <v/>
      </c>
      <c r="AD729" s="37" t="str">
        <f aca="false">IF(AB729="","",IFERROR(INDEX('Account Map'!$C:$C,MATCH(AB729,'Account Map'!$A:$A,0)),""))</f>
        <v/>
      </c>
      <c r="AE729" s="37" t="n">
        <f aca="false">IF(AND(AB729&lt;&gt;"",AC729="",COUNT($B729:$Z729)&gt;0,LEFT(AB729,5)&lt;&gt;"Total",AB729&lt;&gt;"Gross Profit",AB729&lt;&gt;"Net Profit",AB729&lt;&gt;"Operating Profit"),1,0)</f>
        <v>0</v>
      </c>
    </row>
    <row r="730" customFormat="false" ht="15" hidden="false" customHeight="false" outlineLevel="0" collapsed="false">
      <c r="B730" s="44"/>
      <c r="C730" s="44"/>
      <c r="D730" s="44"/>
      <c r="E730" s="44"/>
      <c r="F730" s="44"/>
      <c r="G730" s="44"/>
      <c r="H730" s="44"/>
      <c r="I730" s="44"/>
      <c r="J730" s="44"/>
      <c r="K730" s="44"/>
      <c r="L730" s="44"/>
      <c r="M730" s="44"/>
      <c r="N730" s="44"/>
      <c r="O730" s="44"/>
      <c r="P730" s="44"/>
      <c r="Q730" s="44"/>
      <c r="R730" s="44"/>
      <c r="S730" s="44"/>
      <c r="T730" s="44"/>
      <c r="U730" s="44"/>
      <c r="V730" s="44"/>
      <c r="W730" s="44"/>
      <c r="X730" s="44"/>
      <c r="Y730" s="44"/>
      <c r="Z730" s="44"/>
      <c r="AB730" s="37" t="str">
        <f aca="false">TRIM($A730&amp;"")</f>
        <v/>
      </c>
      <c r="AC730" s="37" t="str">
        <f aca="false">IF(AB730="","",IFERROR(INDEX('Account Map'!$B:$B,MATCH(AB730,'Account Map'!$A:$A,0)),""))</f>
        <v/>
      </c>
      <c r="AD730" s="37" t="str">
        <f aca="false">IF(AB730="","",IFERROR(INDEX('Account Map'!$C:$C,MATCH(AB730,'Account Map'!$A:$A,0)),""))</f>
        <v/>
      </c>
      <c r="AE730" s="37" t="n">
        <f aca="false">IF(AND(AB730&lt;&gt;"",AC730="",COUNT($B730:$Z730)&gt;0,LEFT(AB730,5)&lt;&gt;"Total",AB730&lt;&gt;"Gross Profit",AB730&lt;&gt;"Net Profit",AB730&lt;&gt;"Operating Profit"),1,0)</f>
        <v>0</v>
      </c>
    </row>
    <row r="731" customFormat="false" ht="15" hidden="false" customHeight="false" outlineLevel="0" collapsed="false">
      <c r="B731" s="44"/>
      <c r="C731" s="44"/>
      <c r="D731" s="44"/>
      <c r="E731" s="44"/>
      <c r="F731" s="44"/>
      <c r="G731" s="44"/>
      <c r="H731" s="44"/>
      <c r="I731" s="44"/>
      <c r="J731" s="44"/>
      <c r="K731" s="44"/>
      <c r="L731" s="44"/>
      <c r="M731" s="44"/>
      <c r="N731" s="44"/>
      <c r="O731" s="44"/>
      <c r="P731" s="44"/>
      <c r="Q731" s="44"/>
      <c r="R731" s="44"/>
      <c r="S731" s="44"/>
      <c r="T731" s="44"/>
      <c r="U731" s="44"/>
      <c r="V731" s="44"/>
      <c r="W731" s="44"/>
      <c r="X731" s="44"/>
      <c r="Y731" s="44"/>
      <c r="Z731" s="44"/>
      <c r="AB731" s="37" t="str">
        <f aca="false">TRIM($A731&amp;"")</f>
        <v/>
      </c>
      <c r="AC731" s="37" t="str">
        <f aca="false">IF(AB731="","",IFERROR(INDEX('Account Map'!$B:$B,MATCH(AB731,'Account Map'!$A:$A,0)),""))</f>
        <v/>
      </c>
      <c r="AD731" s="37" t="str">
        <f aca="false">IF(AB731="","",IFERROR(INDEX('Account Map'!$C:$C,MATCH(AB731,'Account Map'!$A:$A,0)),""))</f>
        <v/>
      </c>
      <c r="AE731" s="37" t="n">
        <f aca="false">IF(AND(AB731&lt;&gt;"",AC731="",COUNT($B731:$Z731)&gt;0,LEFT(AB731,5)&lt;&gt;"Total",AB731&lt;&gt;"Gross Profit",AB731&lt;&gt;"Net Profit",AB731&lt;&gt;"Operating Profit"),1,0)</f>
        <v>0</v>
      </c>
    </row>
    <row r="732" customFormat="false" ht="15" hidden="false" customHeight="false" outlineLevel="0" collapsed="false">
      <c r="B732" s="44"/>
      <c r="C732" s="44"/>
      <c r="D732" s="44"/>
      <c r="E732" s="44"/>
      <c r="F732" s="44"/>
      <c r="G732" s="44"/>
      <c r="H732" s="44"/>
      <c r="I732" s="44"/>
      <c r="J732" s="44"/>
      <c r="K732" s="44"/>
      <c r="L732" s="44"/>
      <c r="M732" s="44"/>
      <c r="N732" s="44"/>
      <c r="O732" s="44"/>
      <c r="P732" s="44"/>
      <c r="Q732" s="44"/>
      <c r="R732" s="44"/>
      <c r="S732" s="44"/>
      <c r="T732" s="44"/>
      <c r="U732" s="44"/>
      <c r="V732" s="44"/>
      <c r="W732" s="44"/>
      <c r="X732" s="44"/>
      <c r="Y732" s="44"/>
      <c r="Z732" s="44"/>
      <c r="AB732" s="37" t="str">
        <f aca="false">TRIM($A732&amp;"")</f>
        <v/>
      </c>
      <c r="AC732" s="37" t="str">
        <f aca="false">IF(AB732="","",IFERROR(INDEX('Account Map'!$B:$B,MATCH(AB732,'Account Map'!$A:$A,0)),""))</f>
        <v/>
      </c>
      <c r="AD732" s="37" t="str">
        <f aca="false">IF(AB732="","",IFERROR(INDEX('Account Map'!$C:$C,MATCH(AB732,'Account Map'!$A:$A,0)),""))</f>
        <v/>
      </c>
      <c r="AE732" s="37" t="n">
        <f aca="false">IF(AND(AB732&lt;&gt;"",AC732="",COUNT($B732:$Z732)&gt;0,LEFT(AB732,5)&lt;&gt;"Total",AB732&lt;&gt;"Gross Profit",AB732&lt;&gt;"Net Profit",AB732&lt;&gt;"Operating Profit"),1,0)</f>
        <v>0</v>
      </c>
    </row>
    <row r="733" customFormat="false" ht="15" hidden="false" customHeight="false" outlineLevel="0" collapsed="false">
      <c r="B733" s="44"/>
      <c r="C733" s="44"/>
      <c r="D733" s="44"/>
      <c r="E733" s="44"/>
      <c r="F733" s="44"/>
      <c r="G733" s="44"/>
      <c r="H733" s="44"/>
      <c r="I733" s="44"/>
      <c r="J733" s="44"/>
      <c r="K733" s="44"/>
      <c r="L733" s="44"/>
      <c r="M733" s="44"/>
      <c r="N733" s="44"/>
      <c r="O733" s="44"/>
      <c r="P733" s="44"/>
      <c r="Q733" s="44"/>
      <c r="R733" s="44"/>
      <c r="S733" s="44"/>
      <c r="T733" s="44"/>
      <c r="U733" s="44"/>
      <c r="V733" s="44"/>
      <c r="W733" s="44"/>
      <c r="X733" s="44"/>
      <c r="Y733" s="44"/>
      <c r="Z733" s="44"/>
      <c r="AB733" s="37" t="str">
        <f aca="false">TRIM($A733&amp;"")</f>
        <v/>
      </c>
      <c r="AC733" s="37" t="str">
        <f aca="false">IF(AB733="","",IFERROR(INDEX('Account Map'!$B:$B,MATCH(AB733,'Account Map'!$A:$A,0)),""))</f>
        <v/>
      </c>
      <c r="AD733" s="37" t="str">
        <f aca="false">IF(AB733="","",IFERROR(INDEX('Account Map'!$C:$C,MATCH(AB733,'Account Map'!$A:$A,0)),""))</f>
        <v/>
      </c>
      <c r="AE733" s="37" t="n">
        <f aca="false">IF(AND(AB733&lt;&gt;"",AC733="",COUNT($B733:$Z733)&gt;0,LEFT(AB733,5)&lt;&gt;"Total",AB733&lt;&gt;"Gross Profit",AB733&lt;&gt;"Net Profit",AB733&lt;&gt;"Operating Profit"),1,0)</f>
        <v>0</v>
      </c>
    </row>
    <row r="734" customFormat="false" ht="15" hidden="false" customHeight="false" outlineLevel="0" collapsed="false">
      <c r="B734" s="44"/>
      <c r="C734" s="44"/>
      <c r="D734" s="44"/>
      <c r="E734" s="44"/>
      <c r="F734" s="44"/>
      <c r="G734" s="44"/>
      <c r="H734" s="44"/>
      <c r="I734" s="44"/>
      <c r="J734" s="44"/>
      <c r="K734" s="44"/>
      <c r="L734" s="44"/>
      <c r="M734" s="44"/>
      <c r="N734" s="44"/>
      <c r="O734" s="44"/>
      <c r="P734" s="44"/>
      <c r="Q734" s="44"/>
      <c r="R734" s="44"/>
      <c r="S734" s="44"/>
      <c r="T734" s="44"/>
      <c r="U734" s="44"/>
      <c r="V734" s="44"/>
      <c r="W734" s="44"/>
      <c r="X734" s="44"/>
      <c r="Y734" s="44"/>
      <c r="Z734" s="44"/>
      <c r="AB734" s="37" t="str">
        <f aca="false">TRIM($A734&amp;"")</f>
        <v/>
      </c>
      <c r="AC734" s="37" t="str">
        <f aca="false">IF(AB734="","",IFERROR(INDEX('Account Map'!$B:$B,MATCH(AB734,'Account Map'!$A:$A,0)),""))</f>
        <v/>
      </c>
      <c r="AD734" s="37" t="str">
        <f aca="false">IF(AB734="","",IFERROR(INDEX('Account Map'!$C:$C,MATCH(AB734,'Account Map'!$A:$A,0)),""))</f>
        <v/>
      </c>
      <c r="AE734" s="37" t="n">
        <f aca="false">IF(AND(AB734&lt;&gt;"",AC734="",COUNT($B734:$Z734)&gt;0,LEFT(AB734,5)&lt;&gt;"Total",AB734&lt;&gt;"Gross Profit",AB734&lt;&gt;"Net Profit",AB734&lt;&gt;"Operating Profit"),1,0)</f>
        <v>0</v>
      </c>
    </row>
    <row r="735" customFormat="false" ht="15" hidden="false" customHeight="false" outlineLevel="0" collapsed="false">
      <c r="B735" s="44"/>
      <c r="C735" s="44"/>
      <c r="D735" s="44"/>
      <c r="E735" s="44"/>
      <c r="F735" s="44"/>
      <c r="G735" s="44"/>
      <c r="H735" s="44"/>
      <c r="I735" s="44"/>
      <c r="J735" s="44"/>
      <c r="K735" s="44"/>
      <c r="L735" s="44"/>
      <c r="M735" s="44"/>
      <c r="N735" s="44"/>
      <c r="O735" s="44"/>
      <c r="P735" s="44"/>
      <c r="Q735" s="44"/>
      <c r="R735" s="44"/>
      <c r="S735" s="44"/>
      <c r="T735" s="44"/>
      <c r="U735" s="44"/>
      <c r="V735" s="44"/>
      <c r="W735" s="44"/>
      <c r="X735" s="44"/>
      <c r="Y735" s="44"/>
      <c r="Z735" s="44"/>
      <c r="AB735" s="37" t="str">
        <f aca="false">TRIM($A735&amp;"")</f>
        <v/>
      </c>
      <c r="AC735" s="37" t="str">
        <f aca="false">IF(AB735="","",IFERROR(INDEX('Account Map'!$B:$B,MATCH(AB735,'Account Map'!$A:$A,0)),""))</f>
        <v/>
      </c>
      <c r="AD735" s="37" t="str">
        <f aca="false">IF(AB735="","",IFERROR(INDEX('Account Map'!$C:$C,MATCH(AB735,'Account Map'!$A:$A,0)),""))</f>
        <v/>
      </c>
      <c r="AE735" s="37" t="n">
        <f aca="false">IF(AND(AB735&lt;&gt;"",AC735="",COUNT($B735:$Z735)&gt;0,LEFT(AB735,5)&lt;&gt;"Total",AB735&lt;&gt;"Gross Profit",AB735&lt;&gt;"Net Profit",AB735&lt;&gt;"Operating Profit"),1,0)</f>
        <v>0</v>
      </c>
    </row>
    <row r="736" customFormat="false" ht="15" hidden="false" customHeight="false" outlineLevel="0" collapsed="false">
      <c r="B736" s="44"/>
      <c r="C736" s="44"/>
      <c r="D736" s="44"/>
      <c r="E736" s="44"/>
      <c r="F736" s="44"/>
      <c r="G736" s="44"/>
      <c r="H736" s="44"/>
      <c r="I736" s="44"/>
      <c r="J736" s="44"/>
      <c r="K736" s="44"/>
      <c r="L736" s="44"/>
      <c r="M736" s="44"/>
      <c r="N736" s="44"/>
      <c r="O736" s="44"/>
      <c r="P736" s="44"/>
      <c r="Q736" s="44"/>
      <c r="R736" s="44"/>
      <c r="S736" s="44"/>
      <c r="T736" s="44"/>
      <c r="U736" s="44"/>
      <c r="V736" s="44"/>
      <c r="W736" s="44"/>
      <c r="X736" s="44"/>
      <c r="Y736" s="44"/>
      <c r="Z736" s="44"/>
      <c r="AB736" s="37" t="str">
        <f aca="false">TRIM($A736&amp;"")</f>
        <v/>
      </c>
      <c r="AC736" s="37" t="str">
        <f aca="false">IF(AB736="","",IFERROR(INDEX('Account Map'!$B:$B,MATCH(AB736,'Account Map'!$A:$A,0)),""))</f>
        <v/>
      </c>
      <c r="AD736" s="37" t="str">
        <f aca="false">IF(AB736="","",IFERROR(INDEX('Account Map'!$C:$C,MATCH(AB736,'Account Map'!$A:$A,0)),""))</f>
        <v/>
      </c>
      <c r="AE736" s="37" t="n">
        <f aca="false">IF(AND(AB736&lt;&gt;"",AC736="",COUNT($B736:$Z736)&gt;0,LEFT(AB736,5)&lt;&gt;"Total",AB736&lt;&gt;"Gross Profit",AB736&lt;&gt;"Net Profit",AB736&lt;&gt;"Operating Profit"),1,0)</f>
        <v>0</v>
      </c>
    </row>
    <row r="737" customFormat="false" ht="15" hidden="false" customHeight="false" outlineLevel="0" collapsed="false">
      <c r="B737" s="44"/>
      <c r="C737" s="44"/>
      <c r="D737" s="44"/>
      <c r="E737" s="44"/>
      <c r="F737" s="44"/>
      <c r="G737" s="44"/>
      <c r="H737" s="44"/>
      <c r="I737" s="44"/>
      <c r="J737" s="44"/>
      <c r="K737" s="44"/>
      <c r="L737" s="44"/>
      <c r="M737" s="44"/>
      <c r="N737" s="44"/>
      <c r="O737" s="44"/>
      <c r="P737" s="44"/>
      <c r="Q737" s="44"/>
      <c r="R737" s="44"/>
      <c r="S737" s="44"/>
      <c r="T737" s="44"/>
      <c r="U737" s="44"/>
      <c r="V737" s="44"/>
      <c r="W737" s="44"/>
      <c r="X737" s="44"/>
      <c r="Y737" s="44"/>
      <c r="Z737" s="44"/>
      <c r="AB737" s="37" t="str">
        <f aca="false">TRIM($A737&amp;"")</f>
        <v/>
      </c>
      <c r="AC737" s="37" t="str">
        <f aca="false">IF(AB737="","",IFERROR(INDEX('Account Map'!$B:$B,MATCH(AB737,'Account Map'!$A:$A,0)),""))</f>
        <v/>
      </c>
      <c r="AD737" s="37" t="str">
        <f aca="false">IF(AB737="","",IFERROR(INDEX('Account Map'!$C:$C,MATCH(AB737,'Account Map'!$A:$A,0)),""))</f>
        <v/>
      </c>
      <c r="AE737" s="37" t="n">
        <f aca="false">IF(AND(AB737&lt;&gt;"",AC737="",COUNT($B737:$Z737)&gt;0,LEFT(AB737,5)&lt;&gt;"Total",AB737&lt;&gt;"Gross Profit",AB737&lt;&gt;"Net Profit",AB737&lt;&gt;"Operating Profit"),1,0)</f>
        <v>0</v>
      </c>
    </row>
    <row r="738" customFormat="false" ht="15" hidden="false" customHeight="false" outlineLevel="0" collapsed="false">
      <c r="B738" s="44"/>
      <c r="C738" s="44"/>
      <c r="D738" s="44"/>
      <c r="E738" s="44"/>
      <c r="F738" s="44"/>
      <c r="G738" s="44"/>
      <c r="H738" s="44"/>
      <c r="I738" s="44"/>
      <c r="J738" s="44"/>
      <c r="K738" s="44"/>
      <c r="L738" s="44"/>
      <c r="M738" s="44"/>
      <c r="N738" s="44"/>
      <c r="O738" s="44"/>
      <c r="P738" s="44"/>
      <c r="Q738" s="44"/>
      <c r="R738" s="44"/>
      <c r="S738" s="44"/>
      <c r="T738" s="44"/>
      <c r="U738" s="44"/>
      <c r="V738" s="44"/>
      <c r="W738" s="44"/>
      <c r="X738" s="44"/>
      <c r="Y738" s="44"/>
      <c r="Z738" s="44"/>
      <c r="AB738" s="37" t="str">
        <f aca="false">TRIM($A738&amp;"")</f>
        <v/>
      </c>
      <c r="AC738" s="37" t="str">
        <f aca="false">IF(AB738="","",IFERROR(INDEX('Account Map'!$B:$B,MATCH(AB738,'Account Map'!$A:$A,0)),""))</f>
        <v/>
      </c>
      <c r="AD738" s="37" t="str">
        <f aca="false">IF(AB738="","",IFERROR(INDEX('Account Map'!$C:$C,MATCH(AB738,'Account Map'!$A:$A,0)),""))</f>
        <v/>
      </c>
      <c r="AE738" s="37" t="n">
        <f aca="false">IF(AND(AB738&lt;&gt;"",AC738="",COUNT($B738:$Z738)&gt;0,LEFT(AB738,5)&lt;&gt;"Total",AB738&lt;&gt;"Gross Profit",AB738&lt;&gt;"Net Profit",AB738&lt;&gt;"Operating Profit"),1,0)</f>
        <v>0</v>
      </c>
    </row>
    <row r="739" customFormat="false" ht="15" hidden="false" customHeight="false" outlineLevel="0" collapsed="false">
      <c r="B739" s="44"/>
      <c r="C739" s="44"/>
      <c r="D739" s="44"/>
      <c r="E739" s="44"/>
      <c r="F739" s="44"/>
      <c r="G739" s="44"/>
      <c r="H739" s="44"/>
      <c r="I739" s="44"/>
      <c r="J739" s="44"/>
      <c r="K739" s="44"/>
      <c r="L739" s="44"/>
      <c r="M739" s="44"/>
      <c r="N739" s="44"/>
      <c r="O739" s="44"/>
      <c r="P739" s="44"/>
      <c r="Q739" s="44"/>
      <c r="R739" s="44"/>
      <c r="S739" s="44"/>
      <c r="T739" s="44"/>
      <c r="U739" s="44"/>
      <c r="V739" s="44"/>
      <c r="W739" s="44"/>
      <c r="X739" s="44"/>
      <c r="Y739" s="44"/>
      <c r="Z739" s="44"/>
      <c r="AB739" s="37" t="str">
        <f aca="false">TRIM($A739&amp;"")</f>
        <v/>
      </c>
      <c r="AC739" s="37" t="str">
        <f aca="false">IF(AB739="","",IFERROR(INDEX('Account Map'!$B:$B,MATCH(AB739,'Account Map'!$A:$A,0)),""))</f>
        <v/>
      </c>
      <c r="AD739" s="37" t="str">
        <f aca="false">IF(AB739="","",IFERROR(INDEX('Account Map'!$C:$C,MATCH(AB739,'Account Map'!$A:$A,0)),""))</f>
        <v/>
      </c>
      <c r="AE739" s="37" t="n">
        <f aca="false">IF(AND(AB739&lt;&gt;"",AC739="",COUNT($B739:$Z739)&gt;0,LEFT(AB739,5)&lt;&gt;"Total",AB739&lt;&gt;"Gross Profit",AB739&lt;&gt;"Net Profit",AB739&lt;&gt;"Operating Profit"),1,0)</f>
        <v>0</v>
      </c>
    </row>
    <row r="740" customFormat="false" ht="15" hidden="false" customHeight="false" outlineLevel="0" collapsed="false">
      <c r="B740" s="44"/>
      <c r="C740" s="44"/>
      <c r="D740" s="44"/>
      <c r="E740" s="44"/>
      <c r="F740" s="44"/>
      <c r="G740" s="44"/>
      <c r="H740" s="44"/>
      <c r="I740" s="44"/>
      <c r="J740" s="44"/>
      <c r="K740" s="44"/>
      <c r="L740" s="44"/>
      <c r="M740" s="44"/>
      <c r="N740" s="44"/>
      <c r="O740" s="44"/>
      <c r="P740" s="44"/>
      <c r="Q740" s="44"/>
      <c r="R740" s="44"/>
      <c r="S740" s="44"/>
      <c r="T740" s="44"/>
      <c r="U740" s="44"/>
      <c r="V740" s="44"/>
      <c r="W740" s="44"/>
      <c r="X740" s="44"/>
      <c r="Y740" s="44"/>
      <c r="Z740" s="44"/>
      <c r="AB740" s="37" t="str">
        <f aca="false">TRIM($A740&amp;"")</f>
        <v/>
      </c>
      <c r="AC740" s="37" t="str">
        <f aca="false">IF(AB740="","",IFERROR(INDEX('Account Map'!$B:$B,MATCH(AB740,'Account Map'!$A:$A,0)),""))</f>
        <v/>
      </c>
      <c r="AD740" s="37" t="str">
        <f aca="false">IF(AB740="","",IFERROR(INDEX('Account Map'!$C:$C,MATCH(AB740,'Account Map'!$A:$A,0)),""))</f>
        <v/>
      </c>
      <c r="AE740" s="37" t="n">
        <f aca="false">IF(AND(AB740&lt;&gt;"",AC740="",COUNT($B740:$Z740)&gt;0,LEFT(AB740,5)&lt;&gt;"Total",AB740&lt;&gt;"Gross Profit",AB740&lt;&gt;"Net Profit",AB740&lt;&gt;"Operating Profit"),1,0)</f>
        <v>0</v>
      </c>
    </row>
    <row r="741" customFormat="false" ht="15" hidden="false" customHeight="false" outlineLevel="0" collapsed="false">
      <c r="B741" s="44"/>
      <c r="C741" s="44"/>
      <c r="D741" s="44"/>
      <c r="E741" s="44"/>
      <c r="F741" s="44"/>
      <c r="G741" s="44"/>
      <c r="H741" s="44"/>
      <c r="I741" s="44"/>
      <c r="J741" s="44"/>
      <c r="K741" s="44"/>
      <c r="L741" s="44"/>
      <c r="M741" s="44"/>
      <c r="N741" s="44"/>
      <c r="O741" s="44"/>
      <c r="P741" s="44"/>
      <c r="Q741" s="44"/>
      <c r="R741" s="44"/>
      <c r="S741" s="44"/>
      <c r="T741" s="44"/>
      <c r="U741" s="44"/>
      <c r="V741" s="44"/>
      <c r="W741" s="44"/>
      <c r="X741" s="44"/>
      <c r="Y741" s="44"/>
      <c r="Z741" s="44"/>
      <c r="AB741" s="37" t="str">
        <f aca="false">TRIM($A741&amp;"")</f>
        <v/>
      </c>
      <c r="AC741" s="37" t="str">
        <f aca="false">IF(AB741="","",IFERROR(INDEX('Account Map'!$B:$B,MATCH(AB741,'Account Map'!$A:$A,0)),""))</f>
        <v/>
      </c>
      <c r="AD741" s="37" t="str">
        <f aca="false">IF(AB741="","",IFERROR(INDEX('Account Map'!$C:$C,MATCH(AB741,'Account Map'!$A:$A,0)),""))</f>
        <v/>
      </c>
      <c r="AE741" s="37" t="n">
        <f aca="false">IF(AND(AB741&lt;&gt;"",AC741="",COUNT($B741:$Z741)&gt;0,LEFT(AB741,5)&lt;&gt;"Total",AB741&lt;&gt;"Gross Profit",AB741&lt;&gt;"Net Profit",AB741&lt;&gt;"Operating Profit"),1,0)</f>
        <v>0</v>
      </c>
    </row>
    <row r="742" customFormat="false" ht="15" hidden="false" customHeight="false" outlineLevel="0" collapsed="false">
      <c r="B742" s="44"/>
      <c r="C742" s="44"/>
      <c r="D742" s="44"/>
      <c r="E742" s="44"/>
      <c r="F742" s="44"/>
      <c r="G742" s="44"/>
      <c r="H742" s="44"/>
      <c r="I742" s="44"/>
      <c r="J742" s="44"/>
      <c r="K742" s="44"/>
      <c r="L742" s="44"/>
      <c r="M742" s="44"/>
      <c r="N742" s="44"/>
      <c r="O742" s="44"/>
      <c r="P742" s="44"/>
      <c r="Q742" s="44"/>
      <c r="R742" s="44"/>
      <c r="S742" s="44"/>
      <c r="T742" s="44"/>
      <c r="U742" s="44"/>
      <c r="V742" s="44"/>
      <c r="W742" s="44"/>
      <c r="X742" s="44"/>
      <c r="Y742" s="44"/>
      <c r="Z742" s="44"/>
      <c r="AB742" s="37" t="str">
        <f aca="false">TRIM($A742&amp;"")</f>
        <v/>
      </c>
      <c r="AC742" s="37" t="str">
        <f aca="false">IF(AB742="","",IFERROR(INDEX('Account Map'!$B:$B,MATCH(AB742,'Account Map'!$A:$A,0)),""))</f>
        <v/>
      </c>
      <c r="AD742" s="37" t="str">
        <f aca="false">IF(AB742="","",IFERROR(INDEX('Account Map'!$C:$C,MATCH(AB742,'Account Map'!$A:$A,0)),""))</f>
        <v/>
      </c>
      <c r="AE742" s="37" t="n">
        <f aca="false">IF(AND(AB742&lt;&gt;"",AC742="",COUNT($B742:$Z742)&gt;0,LEFT(AB742,5)&lt;&gt;"Total",AB742&lt;&gt;"Gross Profit",AB742&lt;&gt;"Net Profit",AB742&lt;&gt;"Operating Profit"),1,0)</f>
        <v>0</v>
      </c>
    </row>
    <row r="743" customFormat="false" ht="15" hidden="false" customHeight="false" outlineLevel="0" collapsed="false">
      <c r="B743" s="44"/>
      <c r="C743" s="44"/>
      <c r="D743" s="44"/>
      <c r="E743" s="44"/>
      <c r="F743" s="44"/>
      <c r="G743" s="44"/>
      <c r="H743" s="44"/>
      <c r="I743" s="44"/>
      <c r="J743" s="44"/>
      <c r="K743" s="44"/>
      <c r="L743" s="44"/>
      <c r="M743" s="44"/>
      <c r="N743" s="44"/>
      <c r="O743" s="44"/>
      <c r="P743" s="44"/>
      <c r="Q743" s="44"/>
      <c r="R743" s="44"/>
      <c r="S743" s="44"/>
      <c r="T743" s="44"/>
      <c r="U743" s="44"/>
      <c r="V743" s="44"/>
      <c r="W743" s="44"/>
      <c r="X743" s="44"/>
      <c r="Y743" s="44"/>
      <c r="Z743" s="44"/>
      <c r="AB743" s="37" t="str">
        <f aca="false">TRIM($A743&amp;"")</f>
        <v/>
      </c>
      <c r="AC743" s="37" t="str">
        <f aca="false">IF(AB743="","",IFERROR(INDEX('Account Map'!$B:$B,MATCH(AB743,'Account Map'!$A:$A,0)),""))</f>
        <v/>
      </c>
      <c r="AD743" s="37" t="str">
        <f aca="false">IF(AB743="","",IFERROR(INDEX('Account Map'!$C:$C,MATCH(AB743,'Account Map'!$A:$A,0)),""))</f>
        <v/>
      </c>
      <c r="AE743" s="37" t="n">
        <f aca="false">IF(AND(AB743&lt;&gt;"",AC743="",COUNT($B743:$Z743)&gt;0,LEFT(AB743,5)&lt;&gt;"Total",AB743&lt;&gt;"Gross Profit",AB743&lt;&gt;"Net Profit",AB743&lt;&gt;"Operating Profit"),1,0)</f>
        <v>0</v>
      </c>
    </row>
    <row r="744" customFormat="false" ht="15" hidden="false" customHeight="false" outlineLevel="0" collapsed="false">
      <c r="B744" s="44"/>
      <c r="C744" s="44"/>
      <c r="D744" s="44"/>
      <c r="E744" s="44"/>
      <c r="F744" s="44"/>
      <c r="G744" s="44"/>
      <c r="H744" s="44"/>
      <c r="I744" s="44"/>
      <c r="J744" s="44"/>
      <c r="K744" s="44"/>
      <c r="L744" s="44"/>
      <c r="M744" s="44"/>
      <c r="N744" s="44"/>
      <c r="O744" s="44"/>
      <c r="P744" s="44"/>
      <c r="Q744" s="44"/>
      <c r="R744" s="44"/>
      <c r="S744" s="44"/>
      <c r="T744" s="44"/>
      <c r="U744" s="44"/>
      <c r="V744" s="44"/>
      <c r="W744" s="44"/>
      <c r="X744" s="44"/>
      <c r="Y744" s="44"/>
      <c r="Z744" s="44"/>
      <c r="AB744" s="37" t="str">
        <f aca="false">TRIM($A744&amp;"")</f>
        <v/>
      </c>
      <c r="AC744" s="37" t="str">
        <f aca="false">IF(AB744="","",IFERROR(INDEX('Account Map'!$B:$B,MATCH(AB744,'Account Map'!$A:$A,0)),""))</f>
        <v/>
      </c>
      <c r="AD744" s="37" t="str">
        <f aca="false">IF(AB744="","",IFERROR(INDEX('Account Map'!$C:$C,MATCH(AB744,'Account Map'!$A:$A,0)),""))</f>
        <v/>
      </c>
      <c r="AE744" s="37" t="n">
        <f aca="false">IF(AND(AB744&lt;&gt;"",AC744="",COUNT($B744:$Z744)&gt;0,LEFT(AB744,5)&lt;&gt;"Total",AB744&lt;&gt;"Gross Profit",AB744&lt;&gt;"Net Profit",AB744&lt;&gt;"Operating Profit"),1,0)</f>
        <v>0</v>
      </c>
    </row>
    <row r="745" customFormat="false" ht="15" hidden="false" customHeight="false" outlineLevel="0" collapsed="false">
      <c r="B745" s="44"/>
      <c r="C745" s="44"/>
      <c r="D745" s="44"/>
      <c r="E745" s="44"/>
      <c r="F745" s="44"/>
      <c r="G745" s="44"/>
      <c r="H745" s="44"/>
      <c r="I745" s="44"/>
      <c r="J745" s="44"/>
      <c r="K745" s="44"/>
      <c r="L745" s="44"/>
      <c r="M745" s="44"/>
      <c r="N745" s="44"/>
      <c r="O745" s="44"/>
      <c r="P745" s="44"/>
      <c r="Q745" s="44"/>
      <c r="R745" s="44"/>
      <c r="S745" s="44"/>
      <c r="T745" s="44"/>
      <c r="U745" s="44"/>
      <c r="V745" s="44"/>
      <c r="W745" s="44"/>
      <c r="X745" s="44"/>
      <c r="Y745" s="44"/>
      <c r="Z745" s="44"/>
      <c r="AB745" s="37" t="str">
        <f aca="false">TRIM($A745&amp;"")</f>
        <v/>
      </c>
      <c r="AC745" s="37" t="str">
        <f aca="false">IF(AB745="","",IFERROR(INDEX('Account Map'!$B:$B,MATCH(AB745,'Account Map'!$A:$A,0)),""))</f>
        <v/>
      </c>
      <c r="AD745" s="37" t="str">
        <f aca="false">IF(AB745="","",IFERROR(INDEX('Account Map'!$C:$C,MATCH(AB745,'Account Map'!$A:$A,0)),""))</f>
        <v/>
      </c>
      <c r="AE745" s="37" t="n">
        <f aca="false">IF(AND(AB745&lt;&gt;"",AC745="",COUNT($B745:$Z745)&gt;0,LEFT(AB745,5)&lt;&gt;"Total",AB745&lt;&gt;"Gross Profit",AB745&lt;&gt;"Net Profit",AB745&lt;&gt;"Operating Profit"),1,0)</f>
        <v>0</v>
      </c>
    </row>
    <row r="746" customFormat="false" ht="15" hidden="false" customHeight="false" outlineLevel="0" collapsed="false">
      <c r="B746" s="44"/>
      <c r="C746" s="44"/>
      <c r="D746" s="44"/>
      <c r="E746" s="44"/>
      <c r="F746" s="44"/>
      <c r="G746" s="44"/>
      <c r="H746" s="44"/>
      <c r="I746" s="44"/>
      <c r="J746" s="44"/>
      <c r="K746" s="44"/>
      <c r="L746" s="44"/>
      <c r="M746" s="44"/>
      <c r="N746" s="44"/>
      <c r="O746" s="44"/>
      <c r="P746" s="44"/>
      <c r="Q746" s="44"/>
      <c r="R746" s="44"/>
      <c r="S746" s="44"/>
      <c r="T746" s="44"/>
      <c r="U746" s="44"/>
      <c r="V746" s="44"/>
      <c r="W746" s="44"/>
      <c r="X746" s="44"/>
      <c r="Y746" s="44"/>
      <c r="Z746" s="44"/>
      <c r="AB746" s="37" t="str">
        <f aca="false">TRIM($A746&amp;"")</f>
        <v/>
      </c>
      <c r="AC746" s="37" t="str">
        <f aca="false">IF(AB746="","",IFERROR(INDEX('Account Map'!$B:$B,MATCH(AB746,'Account Map'!$A:$A,0)),""))</f>
        <v/>
      </c>
      <c r="AD746" s="37" t="str">
        <f aca="false">IF(AB746="","",IFERROR(INDEX('Account Map'!$C:$C,MATCH(AB746,'Account Map'!$A:$A,0)),""))</f>
        <v/>
      </c>
      <c r="AE746" s="37" t="n">
        <f aca="false">IF(AND(AB746&lt;&gt;"",AC746="",COUNT($B746:$Z746)&gt;0,LEFT(AB746,5)&lt;&gt;"Total",AB746&lt;&gt;"Gross Profit",AB746&lt;&gt;"Net Profit",AB746&lt;&gt;"Operating Profit"),1,0)</f>
        <v>0</v>
      </c>
    </row>
    <row r="747" customFormat="false" ht="15" hidden="false" customHeight="false" outlineLevel="0" collapsed="false">
      <c r="B747" s="44"/>
      <c r="C747" s="44"/>
      <c r="D747" s="44"/>
      <c r="E747" s="44"/>
      <c r="F747" s="44"/>
      <c r="G747" s="44"/>
      <c r="H747" s="44"/>
      <c r="I747" s="44"/>
      <c r="J747" s="44"/>
      <c r="K747" s="44"/>
      <c r="L747" s="44"/>
      <c r="M747" s="44"/>
      <c r="N747" s="44"/>
      <c r="O747" s="44"/>
      <c r="P747" s="44"/>
      <c r="Q747" s="44"/>
      <c r="R747" s="44"/>
      <c r="S747" s="44"/>
      <c r="T747" s="44"/>
      <c r="U747" s="44"/>
      <c r="V747" s="44"/>
      <c r="W747" s="44"/>
      <c r="X747" s="44"/>
      <c r="Y747" s="44"/>
      <c r="Z747" s="44"/>
      <c r="AB747" s="37" t="str">
        <f aca="false">TRIM($A747&amp;"")</f>
        <v/>
      </c>
      <c r="AC747" s="37" t="str">
        <f aca="false">IF(AB747="","",IFERROR(INDEX('Account Map'!$B:$B,MATCH(AB747,'Account Map'!$A:$A,0)),""))</f>
        <v/>
      </c>
      <c r="AD747" s="37" t="str">
        <f aca="false">IF(AB747="","",IFERROR(INDEX('Account Map'!$C:$C,MATCH(AB747,'Account Map'!$A:$A,0)),""))</f>
        <v/>
      </c>
      <c r="AE747" s="37" t="n">
        <f aca="false">IF(AND(AB747&lt;&gt;"",AC747="",COUNT($B747:$Z747)&gt;0,LEFT(AB747,5)&lt;&gt;"Total",AB747&lt;&gt;"Gross Profit",AB747&lt;&gt;"Net Profit",AB747&lt;&gt;"Operating Profit"),1,0)</f>
        <v>0</v>
      </c>
    </row>
    <row r="748" customFormat="false" ht="15" hidden="false" customHeight="false" outlineLevel="0" collapsed="false">
      <c r="B748" s="44"/>
      <c r="C748" s="44"/>
      <c r="D748" s="44"/>
      <c r="E748" s="44"/>
      <c r="F748" s="44"/>
      <c r="G748" s="44"/>
      <c r="H748" s="44"/>
      <c r="I748" s="44"/>
      <c r="J748" s="44"/>
      <c r="K748" s="44"/>
      <c r="L748" s="44"/>
      <c r="M748" s="44"/>
      <c r="N748" s="44"/>
      <c r="O748" s="44"/>
      <c r="P748" s="44"/>
      <c r="Q748" s="44"/>
      <c r="R748" s="44"/>
      <c r="S748" s="44"/>
      <c r="T748" s="44"/>
      <c r="U748" s="44"/>
      <c r="V748" s="44"/>
      <c r="W748" s="44"/>
      <c r="X748" s="44"/>
      <c r="Y748" s="44"/>
      <c r="Z748" s="44"/>
      <c r="AB748" s="37" t="str">
        <f aca="false">TRIM($A748&amp;"")</f>
        <v/>
      </c>
      <c r="AC748" s="37" t="str">
        <f aca="false">IF(AB748="","",IFERROR(INDEX('Account Map'!$B:$B,MATCH(AB748,'Account Map'!$A:$A,0)),""))</f>
        <v/>
      </c>
      <c r="AD748" s="37" t="str">
        <f aca="false">IF(AB748="","",IFERROR(INDEX('Account Map'!$C:$C,MATCH(AB748,'Account Map'!$A:$A,0)),""))</f>
        <v/>
      </c>
      <c r="AE748" s="37" t="n">
        <f aca="false">IF(AND(AB748&lt;&gt;"",AC748="",COUNT($B748:$Z748)&gt;0,LEFT(AB748,5)&lt;&gt;"Total",AB748&lt;&gt;"Gross Profit",AB748&lt;&gt;"Net Profit",AB748&lt;&gt;"Operating Profit"),1,0)</f>
        <v>0</v>
      </c>
    </row>
    <row r="749" customFormat="false" ht="15" hidden="false" customHeight="false" outlineLevel="0" collapsed="false">
      <c r="B749" s="44"/>
      <c r="C749" s="44"/>
      <c r="D749" s="44"/>
      <c r="E749" s="44"/>
      <c r="F749" s="44"/>
      <c r="G749" s="44"/>
      <c r="H749" s="44"/>
      <c r="I749" s="44"/>
      <c r="J749" s="44"/>
      <c r="K749" s="44"/>
      <c r="L749" s="44"/>
      <c r="M749" s="44"/>
      <c r="N749" s="44"/>
      <c r="O749" s="44"/>
      <c r="P749" s="44"/>
      <c r="Q749" s="44"/>
      <c r="R749" s="44"/>
      <c r="S749" s="44"/>
      <c r="T749" s="44"/>
      <c r="U749" s="44"/>
      <c r="V749" s="44"/>
      <c r="W749" s="44"/>
      <c r="X749" s="44"/>
      <c r="Y749" s="44"/>
      <c r="Z749" s="44"/>
      <c r="AB749" s="37" t="str">
        <f aca="false">TRIM($A749&amp;"")</f>
        <v/>
      </c>
      <c r="AC749" s="37" t="str">
        <f aca="false">IF(AB749="","",IFERROR(INDEX('Account Map'!$B:$B,MATCH(AB749,'Account Map'!$A:$A,0)),""))</f>
        <v/>
      </c>
      <c r="AD749" s="37" t="str">
        <f aca="false">IF(AB749="","",IFERROR(INDEX('Account Map'!$C:$C,MATCH(AB749,'Account Map'!$A:$A,0)),""))</f>
        <v/>
      </c>
      <c r="AE749" s="37" t="n">
        <f aca="false">IF(AND(AB749&lt;&gt;"",AC749="",COUNT($B749:$Z749)&gt;0,LEFT(AB749,5)&lt;&gt;"Total",AB749&lt;&gt;"Gross Profit",AB749&lt;&gt;"Net Profit",AB749&lt;&gt;"Operating Profit"),1,0)</f>
        <v>0</v>
      </c>
    </row>
    <row r="750" customFormat="false" ht="15" hidden="false" customHeight="false" outlineLevel="0" collapsed="false">
      <c r="B750" s="44"/>
      <c r="C750" s="44"/>
      <c r="D750" s="44"/>
      <c r="E750" s="44"/>
      <c r="F750" s="44"/>
      <c r="G750" s="44"/>
      <c r="H750" s="44"/>
      <c r="I750" s="44"/>
      <c r="J750" s="44"/>
      <c r="K750" s="44"/>
      <c r="L750" s="44"/>
      <c r="M750" s="44"/>
      <c r="N750" s="44"/>
      <c r="O750" s="44"/>
      <c r="P750" s="44"/>
      <c r="Q750" s="44"/>
      <c r="R750" s="44"/>
      <c r="S750" s="44"/>
      <c r="T750" s="44"/>
      <c r="U750" s="44"/>
      <c r="V750" s="44"/>
      <c r="W750" s="44"/>
      <c r="X750" s="44"/>
      <c r="Y750" s="44"/>
      <c r="Z750" s="44"/>
      <c r="AB750" s="37" t="str">
        <f aca="false">TRIM($A750&amp;"")</f>
        <v/>
      </c>
      <c r="AC750" s="37" t="str">
        <f aca="false">IF(AB750="","",IFERROR(INDEX('Account Map'!$B:$B,MATCH(AB750,'Account Map'!$A:$A,0)),""))</f>
        <v/>
      </c>
      <c r="AD750" s="37" t="str">
        <f aca="false">IF(AB750="","",IFERROR(INDEX('Account Map'!$C:$C,MATCH(AB750,'Account Map'!$A:$A,0)),""))</f>
        <v/>
      </c>
      <c r="AE750" s="37" t="n">
        <f aca="false">IF(AND(AB750&lt;&gt;"",AC750="",COUNT($B750:$Z750)&gt;0,LEFT(AB750,5)&lt;&gt;"Total",AB750&lt;&gt;"Gross Profit",AB750&lt;&gt;"Net Profit",AB750&lt;&gt;"Operating Profit"),1,0)</f>
        <v>0</v>
      </c>
    </row>
    <row r="751" customFormat="false" ht="15" hidden="false" customHeight="false" outlineLevel="0" collapsed="false">
      <c r="B751" s="44"/>
      <c r="C751" s="44"/>
      <c r="D751" s="44"/>
      <c r="E751" s="44"/>
      <c r="F751" s="44"/>
      <c r="G751" s="44"/>
      <c r="H751" s="44"/>
      <c r="I751" s="44"/>
      <c r="J751" s="44"/>
      <c r="K751" s="44"/>
      <c r="L751" s="44"/>
      <c r="M751" s="44"/>
      <c r="N751" s="44"/>
      <c r="O751" s="44"/>
      <c r="P751" s="44"/>
      <c r="Q751" s="44"/>
      <c r="R751" s="44"/>
      <c r="S751" s="44"/>
      <c r="T751" s="44"/>
      <c r="U751" s="44"/>
      <c r="V751" s="44"/>
      <c r="W751" s="44"/>
      <c r="X751" s="44"/>
      <c r="Y751" s="44"/>
      <c r="Z751" s="44"/>
      <c r="AB751" s="37" t="str">
        <f aca="false">TRIM($A751&amp;"")</f>
        <v/>
      </c>
      <c r="AC751" s="37" t="str">
        <f aca="false">IF(AB751="","",IFERROR(INDEX('Account Map'!$B:$B,MATCH(AB751,'Account Map'!$A:$A,0)),""))</f>
        <v/>
      </c>
      <c r="AD751" s="37" t="str">
        <f aca="false">IF(AB751="","",IFERROR(INDEX('Account Map'!$C:$C,MATCH(AB751,'Account Map'!$A:$A,0)),""))</f>
        <v/>
      </c>
      <c r="AE751" s="37" t="n">
        <f aca="false">IF(AND(AB751&lt;&gt;"",AC751="",COUNT($B751:$Z751)&gt;0,LEFT(AB751,5)&lt;&gt;"Total",AB751&lt;&gt;"Gross Profit",AB751&lt;&gt;"Net Profit",AB751&lt;&gt;"Operating Profit"),1,0)</f>
        <v>0</v>
      </c>
    </row>
    <row r="752" customFormat="false" ht="15" hidden="false" customHeight="false" outlineLevel="0" collapsed="false">
      <c r="B752" s="44"/>
      <c r="C752" s="44"/>
      <c r="D752" s="44"/>
      <c r="E752" s="44"/>
      <c r="F752" s="44"/>
      <c r="G752" s="44"/>
      <c r="H752" s="44"/>
      <c r="I752" s="44"/>
      <c r="J752" s="44"/>
      <c r="K752" s="44"/>
      <c r="L752" s="44"/>
      <c r="M752" s="44"/>
      <c r="N752" s="44"/>
      <c r="O752" s="44"/>
      <c r="P752" s="44"/>
      <c r="Q752" s="44"/>
      <c r="R752" s="44"/>
      <c r="S752" s="44"/>
      <c r="T752" s="44"/>
      <c r="U752" s="44"/>
      <c r="V752" s="44"/>
      <c r="W752" s="44"/>
      <c r="X752" s="44"/>
      <c r="Y752" s="44"/>
      <c r="Z752" s="44"/>
      <c r="AB752" s="37" t="str">
        <f aca="false">TRIM($A752&amp;"")</f>
        <v/>
      </c>
      <c r="AC752" s="37" t="str">
        <f aca="false">IF(AB752="","",IFERROR(INDEX('Account Map'!$B:$B,MATCH(AB752,'Account Map'!$A:$A,0)),""))</f>
        <v/>
      </c>
      <c r="AD752" s="37" t="str">
        <f aca="false">IF(AB752="","",IFERROR(INDEX('Account Map'!$C:$C,MATCH(AB752,'Account Map'!$A:$A,0)),""))</f>
        <v/>
      </c>
      <c r="AE752" s="37" t="n">
        <f aca="false">IF(AND(AB752&lt;&gt;"",AC752="",COUNT($B752:$Z752)&gt;0,LEFT(AB752,5)&lt;&gt;"Total",AB752&lt;&gt;"Gross Profit",AB752&lt;&gt;"Net Profit",AB752&lt;&gt;"Operating Profit"),1,0)</f>
        <v>0</v>
      </c>
    </row>
    <row r="753" customFormat="false" ht="15" hidden="false" customHeight="false" outlineLevel="0" collapsed="false">
      <c r="B753" s="44"/>
      <c r="C753" s="44"/>
      <c r="D753" s="44"/>
      <c r="E753" s="44"/>
      <c r="F753" s="44"/>
      <c r="G753" s="44"/>
      <c r="H753" s="44"/>
      <c r="I753" s="44"/>
      <c r="J753" s="44"/>
      <c r="K753" s="44"/>
      <c r="L753" s="44"/>
      <c r="M753" s="44"/>
      <c r="N753" s="44"/>
      <c r="O753" s="44"/>
      <c r="P753" s="44"/>
      <c r="Q753" s="44"/>
      <c r="R753" s="44"/>
      <c r="S753" s="44"/>
      <c r="T753" s="44"/>
      <c r="U753" s="44"/>
      <c r="V753" s="44"/>
      <c r="W753" s="44"/>
      <c r="X753" s="44"/>
      <c r="Y753" s="44"/>
      <c r="Z753" s="44"/>
      <c r="AB753" s="37" t="str">
        <f aca="false">TRIM($A753&amp;"")</f>
        <v/>
      </c>
      <c r="AC753" s="37" t="str">
        <f aca="false">IF(AB753="","",IFERROR(INDEX('Account Map'!$B:$B,MATCH(AB753,'Account Map'!$A:$A,0)),""))</f>
        <v/>
      </c>
      <c r="AD753" s="37" t="str">
        <f aca="false">IF(AB753="","",IFERROR(INDEX('Account Map'!$C:$C,MATCH(AB753,'Account Map'!$A:$A,0)),""))</f>
        <v/>
      </c>
      <c r="AE753" s="37" t="n">
        <f aca="false">IF(AND(AB753&lt;&gt;"",AC753="",COUNT($B753:$Z753)&gt;0,LEFT(AB753,5)&lt;&gt;"Total",AB753&lt;&gt;"Gross Profit",AB753&lt;&gt;"Net Profit",AB753&lt;&gt;"Operating Profit"),1,0)</f>
        <v>0</v>
      </c>
    </row>
    <row r="754" customFormat="false" ht="15" hidden="false" customHeight="false" outlineLevel="0" collapsed="false">
      <c r="B754" s="44"/>
      <c r="C754" s="44"/>
      <c r="D754" s="44"/>
      <c r="E754" s="44"/>
      <c r="F754" s="44"/>
      <c r="G754" s="44"/>
      <c r="H754" s="44"/>
      <c r="I754" s="44"/>
      <c r="J754" s="44"/>
      <c r="K754" s="44"/>
      <c r="L754" s="44"/>
      <c r="M754" s="44"/>
      <c r="N754" s="44"/>
      <c r="O754" s="44"/>
      <c r="P754" s="44"/>
      <c r="Q754" s="44"/>
      <c r="R754" s="44"/>
      <c r="S754" s="44"/>
      <c r="T754" s="44"/>
      <c r="U754" s="44"/>
      <c r="V754" s="44"/>
      <c r="W754" s="44"/>
      <c r="X754" s="44"/>
      <c r="Y754" s="44"/>
      <c r="Z754" s="44"/>
      <c r="AB754" s="37" t="str">
        <f aca="false">TRIM($A754&amp;"")</f>
        <v/>
      </c>
      <c r="AC754" s="37" t="str">
        <f aca="false">IF(AB754="","",IFERROR(INDEX('Account Map'!$B:$B,MATCH(AB754,'Account Map'!$A:$A,0)),""))</f>
        <v/>
      </c>
      <c r="AD754" s="37" t="str">
        <f aca="false">IF(AB754="","",IFERROR(INDEX('Account Map'!$C:$C,MATCH(AB754,'Account Map'!$A:$A,0)),""))</f>
        <v/>
      </c>
      <c r="AE754" s="37" t="n">
        <f aca="false">IF(AND(AB754&lt;&gt;"",AC754="",COUNT($B754:$Z754)&gt;0,LEFT(AB754,5)&lt;&gt;"Total",AB754&lt;&gt;"Gross Profit",AB754&lt;&gt;"Net Profit",AB754&lt;&gt;"Operating Profit"),1,0)</f>
        <v>0</v>
      </c>
    </row>
    <row r="755" customFormat="false" ht="15" hidden="false" customHeight="false" outlineLevel="0" collapsed="false">
      <c r="B755" s="44"/>
      <c r="C755" s="44"/>
      <c r="D755" s="44"/>
      <c r="E755" s="44"/>
      <c r="F755" s="44"/>
      <c r="G755" s="44"/>
      <c r="H755" s="44"/>
      <c r="I755" s="44"/>
      <c r="J755" s="44"/>
      <c r="K755" s="44"/>
      <c r="L755" s="44"/>
      <c r="M755" s="44"/>
      <c r="N755" s="44"/>
      <c r="O755" s="44"/>
      <c r="P755" s="44"/>
      <c r="Q755" s="44"/>
      <c r="R755" s="44"/>
      <c r="S755" s="44"/>
      <c r="T755" s="44"/>
      <c r="U755" s="44"/>
      <c r="V755" s="44"/>
      <c r="W755" s="44"/>
      <c r="X755" s="44"/>
      <c r="Y755" s="44"/>
      <c r="Z755" s="44"/>
      <c r="AB755" s="37" t="str">
        <f aca="false">TRIM($A755&amp;"")</f>
        <v/>
      </c>
      <c r="AC755" s="37" t="str">
        <f aca="false">IF(AB755="","",IFERROR(INDEX('Account Map'!$B:$B,MATCH(AB755,'Account Map'!$A:$A,0)),""))</f>
        <v/>
      </c>
      <c r="AD755" s="37" t="str">
        <f aca="false">IF(AB755="","",IFERROR(INDEX('Account Map'!$C:$C,MATCH(AB755,'Account Map'!$A:$A,0)),""))</f>
        <v/>
      </c>
      <c r="AE755" s="37" t="n">
        <f aca="false">IF(AND(AB755&lt;&gt;"",AC755="",COUNT($B755:$Z755)&gt;0,LEFT(AB755,5)&lt;&gt;"Total",AB755&lt;&gt;"Gross Profit",AB755&lt;&gt;"Net Profit",AB755&lt;&gt;"Operating Profit"),1,0)</f>
        <v>0</v>
      </c>
    </row>
    <row r="756" customFormat="false" ht="15" hidden="false" customHeight="false" outlineLevel="0" collapsed="false">
      <c r="B756" s="44"/>
      <c r="C756" s="44"/>
      <c r="D756" s="44"/>
      <c r="E756" s="44"/>
      <c r="F756" s="44"/>
      <c r="G756" s="44"/>
      <c r="H756" s="44"/>
      <c r="I756" s="44"/>
      <c r="J756" s="44"/>
      <c r="K756" s="44"/>
      <c r="L756" s="44"/>
      <c r="M756" s="44"/>
      <c r="N756" s="44"/>
      <c r="O756" s="44"/>
      <c r="P756" s="44"/>
      <c r="Q756" s="44"/>
      <c r="R756" s="44"/>
      <c r="S756" s="44"/>
      <c r="T756" s="44"/>
      <c r="U756" s="44"/>
      <c r="V756" s="44"/>
      <c r="W756" s="44"/>
      <c r="X756" s="44"/>
      <c r="Y756" s="44"/>
      <c r="Z756" s="44"/>
      <c r="AB756" s="37" t="str">
        <f aca="false">TRIM($A756&amp;"")</f>
        <v/>
      </c>
      <c r="AC756" s="37" t="str">
        <f aca="false">IF(AB756="","",IFERROR(INDEX('Account Map'!$B:$B,MATCH(AB756,'Account Map'!$A:$A,0)),""))</f>
        <v/>
      </c>
      <c r="AD756" s="37" t="str">
        <f aca="false">IF(AB756="","",IFERROR(INDEX('Account Map'!$C:$C,MATCH(AB756,'Account Map'!$A:$A,0)),""))</f>
        <v/>
      </c>
      <c r="AE756" s="37" t="n">
        <f aca="false">IF(AND(AB756&lt;&gt;"",AC756="",COUNT($B756:$Z756)&gt;0,LEFT(AB756,5)&lt;&gt;"Total",AB756&lt;&gt;"Gross Profit",AB756&lt;&gt;"Net Profit",AB756&lt;&gt;"Operating Profit"),1,0)</f>
        <v>0</v>
      </c>
    </row>
    <row r="757" customFormat="false" ht="15" hidden="false" customHeight="false" outlineLevel="0" collapsed="false">
      <c r="B757" s="44"/>
      <c r="C757" s="44"/>
      <c r="D757" s="44"/>
      <c r="E757" s="44"/>
      <c r="F757" s="44"/>
      <c r="G757" s="44"/>
      <c r="H757" s="44"/>
      <c r="I757" s="44"/>
      <c r="J757" s="44"/>
      <c r="K757" s="44"/>
      <c r="L757" s="44"/>
      <c r="M757" s="44"/>
      <c r="N757" s="44"/>
      <c r="O757" s="44"/>
      <c r="P757" s="44"/>
      <c r="Q757" s="44"/>
      <c r="R757" s="44"/>
      <c r="S757" s="44"/>
      <c r="T757" s="44"/>
      <c r="U757" s="44"/>
      <c r="V757" s="44"/>
      <c r="W757" s="44"/>
      <c r="X757" s="44"/>
      <c r="Y757" s="44"/>
      <c r="Z757" s="44"/>
      <c r="AB757" s="37" t="str">
        <f aca="false">TRIM($A757&amp;"")</f>
        <v/>
      </c>
      <c r="AC757" s="37" t="str">
        <f aca="false">IF(AB757="","",IFERROR(INDEX('Account Map'!$B:$B,MATCH(AB757,'Account Map'!$A:$A,0)),""))</f>
        <v/>
      </c>
      <c r="AD757" s="37" t="str">
        <f aca="false">IF(AB757="","",IFERROR(INDEX('Account Map'!$C:$C,MATCH(AB757,'Account Map'!$A:$A,0)),""))</f>
        <v/>
      </c>
      <c r="AE757" s="37" t="n">
        <f aca="false">IF(AND(AB757&lt;&gt;"",AC757="",COUNT($B757:$Z757)&gt;0,LEFT(AB757,5)&lt;&gt;"Total",AB757&lt;&gt;"Gross Profit",AB757&lt;&gt;"Net Profit",AB757&lt;&gt;"Operating Profit"),1,0)</f>
        <v>0</v>
      </c>
    </row>
    <row r="758" customFormat="false" ht="15" hidden="false" customHeight="false" outlineLevel="0" collapsed="false">
      <c r="B758" s="44"/>
      <c r="C758" s="44"/>
      <c r="D758" s="44"/>
      <c r="E758" s="44"/>
      <c r="F758" s="44"/>
      <c r="G758" s="44"/>
      <c r="H758" s="44"/>
      <c r="I758" s="44"/>
      <c r="J758" s="44"/>
      <c r="K758" s="44"/>
      <c r="L758" s="44"/>
      <c r="M758" s="44"/>
      <c r="N758" s="44"/>
      <c r="O758" s="44"/>
      <c r="P758" s="44"/>
      <c r="Q758" s="44"/>
      <c r="R758" s="44"/>
      <c r="S758" s="44"/>
      <c r="T758" s="44"/>
      <c r="U758" s="44"/>
      <c r="V758" s="44"/>
      <c r="W758" s="44"/>
      <c r="X758" s="44"/>
      <c r="Y758" s="44"/>
      <c r="Z758" s="44"/>
      <c r="AB758" s="37" t="str">
        <f aca="false">TRIM($A758&amp;"")</f>
        <v/>
      </c>
      <c r="AC758" s="37" t="str">
        <f aca="false">IF(AB758="","",IFERROR(INDEX('Account Map'!$B:$B,MATCH(AB758,'Account Map'!$A:$A,0)),""))</f>
        <v/>
      </c>
      <c r="AD758" s="37" t="str">
        <f aca="false">IF(AB758="","",IFERROR(INDEX('Account Map'!$C:$C,MATCH(AB758,'Account Map'!$A:$A,0)),""))</f>
        <v/>
      </c>
      <c r="AE758" s="37" t="n">
        <f aca="false">IF(AND(AB758&lt;&gt;"",AC758="",COUNT($B758:$Z758)&gt;0,LEFT(AB758,5)&lt;&gt;"Total",AB758&lt;&gt;"Gross Profit",AB758&lt;&gt;"Net Profit",AB758&lt;&gt;"Operating Profit"),1,0)</f>
        <v>0</v>
      </c>
    </row>
    <row r="759" customFormat="false" ht="15" hidden="false" customHeight="false" outlineLevel="0" collapsed="false">
      <c r="B759" s="44"/>
      <c r="C759" s="44"/>
      <c r="D759" s="44"/>
      <c r="E759" s="44"/>
      <c r="F759" s="44"/>
      <c r="G759" s="44"/>
      <c r="H759" s="44"/>
      <c r="I759" s="44"/>
      <c r="J759" s="44"/>
      <c r="K759" s="44"/>
      <c r="L759" s="44"/>
      <c r="M759" s="44"/>
      <c r="N759" s="44"/>
      <c r="O759" s="44"/>
      <c r="P759" s="44"/>
      <c r="Q759" s="44"/>
      <c r="R759" s="44"/>
      <c r="S759" s="44"/>
      <c r="T759" s="44"/>
      <c r="U759" s="44"/>
      <c r="V759" s="44"/>
      <c r="W759" s="44"/>
      <c r="X759" s="44"/>
      <c r="Y759" s="44"/>
      <c r="Z759" s="44"/>
      <c r="AB759" s="37" t="str">
        <f aca="false">TRIM($A759&amp;"")</f>
        <v/>
      </c>
      <c r="AC759" s="37" t="str">
        <f aca="false">IF(AB759="","",IFERROR(INDEX('Account Map'!$B:$B,MATCH(AB759,'Account Map'!$A:$A,0)),""))</f>
        <v/>
      </c>
      <c r="AD759" s="37" t="str">
        <f aca="false">IF(AB759="","",IFERROR(INDEX('Account Map'!$C:$C,MATCH(AB759,'Account Map'!$A:$A,0)),""))</f>
        <v/>
      </c>
      <c r="AE759" s="37" t="n">
        <f aca="false">IF(AND(AB759&lt;&gt;"",AC759="",COUNT($B759:$Z759)&gt;0,LEFT(AB759,5)&lt;&gt;"Total",AB759&lt;&gt;"Gross Profit",AB759&lt;&gt;"Net Profit",AB759&lt;&gt;"Operating Profit"),1,0)</f>
        <v>0</v>
      </c>
    </row>
    <row r="760" customFormat="false" ht="15" hidden="false" customHeight="false" outlineLevel="0" collapsed="false">
      <c r="B760" s="44"/>
      <c r="C760" s="44"/>
      <c r="D760" s="44"/>
      <c r="E760" s="44"/>
      <c r="F760" s="44"/>
      <c r="G760" s="44"/>
      <c r="H760" s="44"/>
      <c r="I760" s="44"/>
      <c r="J760" s="44"/>
      <c r="K760" s="44"/>
      <c r="L760" s="44"/>
      <c r="M760" s="44"/>
      <c r="N760" s="44"/>
      <c r="O760" s="44"/>
      <c r="P760" s="44"/>
      <c r="Q760" s="44"/>
      <c r="R760" s="44"/>
      <c r="S760" s="44"/>
      <c r="T760" s="44"/>
      <c r="U760" s="44"/>
      <c r="V760" s="44"/>
      <c r="W760" s="44"/>
      <c r="X760" s="44"/>
      <c r="Y760" s="44"/>
      <c r="Z760" s="44"/>
      <c r="AB760" s="37" t="str">
        <f aca="false">TRIM($A760&amp;"")</f>
        <v/>
      </c>
      <c r="AC760" s="37" t="str">
        <f aca="false">IF(AB760="","",IFERROR(INDEX('Account Map'!$B:$B,MATCH(AB760,'Account Map'!$A:$A,0)),""))</f>
        <v/>
      </c>
      <c r="AD760" s="37" t="str">
        <f aca="false">IF(AB760="","",IFERROR(INDEX('Account Map'!$C:$C,MATCH(AB760,'Account Map'!$A:$A,0)),""))</f>
        <v/>
      </c>
      <c r="AE760" s="37" t="n">
        <f aca="false">IF(AND(AB760&lt;&gt;"",AC760="",COUNT($B760:$Z760)&gt;0,LEFT(AB760,5)&lt;&gt;"Total",AB760&lt;&gt;"Gross Profit",AB760&lt;&gt;"Net Profit",AB760&lt;&gt;"Operating Profit"),1,0)</f>
        <v>0</v>
      </c>
    </row>
    <row r="761" customFormat="false" ht="15" hidden="false" customHeight="false" outlineLevel="0" collapsed="false">
      <c r="B761" s="44"/>
      <c r="C761" s="44"/>
      <c r="D761" s="44"/>
      <c r="E761" s="44"/>
      <c r="F761" s="44"/>
      <c r="G761" s="44"/>
      <c r="H761" s="44"/>
      <c r="I761" s="44"/>
      <c r="J761" s="44"/>
      <c r="K761" s="44"/>
      <c r="L761" s="44"/>
      <c r="M761" s="44"/>
      <c r="N761" s="44"/>
      <c r="O761" s="44"/>
      <c r="P761" s="44"/>
      <c r="Q761" s="44"/>
      <c r="R761" s="44"/>
      <c r="S761" s="44"/>
      <c r="T761" s="44"/>
      <c r="U761" s="44"/>
      <c r="V761" s="44"/>
      <c r="W761" s="44"/>
      <c r="X761" s="44"/>
      <c r="Y761" s="44"/>
      <c r="Z761" s="44"/>
      <c r="AB761" s="37" t="str">
        <f aca="false">TRIM($A761&amp;"")</f>
        <v/>
      </c>
      <c r="AC761" s="37" t="str">
        <f aca="false">IF(AB761="","",IFERROR(INDEX('Account Map'!$B:$B,MATCH(AB761,'Account Map'!$A:$A,0)),""))</f>
        <v/>
      </c>
      <c r="AD761" s="37" t="str">
        <f aca="false">IF(AB761="","",IFERROR(INDEX('Account Map'!$C:$C,MATCH(AB761,'Account Map'!$A:$A,0)),""))</f>
        <v/>
      </c>
      <c r="AE761" s="37" t="n">
        <f aca="false">IF(AND(AB761&lt;&gt;"",AC761="",COUNT($B761:$Z761)&gt;0,LEFT(AB761,5)&lt;&gt;"Total",AB761&lt;&gt;"Gross Profit",AB761&lt;&gt;"Net Profit",AB761&lt;&gt;"Operating Profit"),1,0)</f>
        <v>0</v>
      </c>
    </row>
    <row r="762" customFormat="false" ht="15" hidden="false" customHeight="false" outlineLevel="0" collapsed="false">
      <c r="B762" s="44"/>
      <c r="C762" s="44"/>
      <c r="D762" s="44"/>
      <c r="E762" s="44"/>
      <c r="F762" s="44"/>
      <c r="G762" s="44"/>
      <c r="H762" s="44"/>
      <c r="I762" s="44"/>
      <c r="J762" s="44"/>
      <c r="K762" s="44"/>
      <c r="L762" s="44"/>
      <c r="M762" s="44"/>
      <c r="N762" s="44"/>
      <c r="O762" s="44"/>
      <c r="P762" s="44"/>
      <c r="Q762" s="44"/>
      <c r="R762" s="44"/>
      <c r="S762" s="44"/>
      <c r="T762" s="44"/>
      <c r="U762" s="44"/>
      <c r="V762" s="44"/>
      <c r="W762" s="44"/>
      <c r="X762" s="44"/>
      <c r="Y762" s="44"/>
      <c r="Z762" s="44"/>
      <c r="AB762" s="37" t="str">
        <f aca="false">TRIM($A762&amp;"")</f>
        <v/>
      </c>
      <c r="AC762" s="37" t="str">
        <f aca="false">IF(AB762="","",IFERROR(INDEX('Account Map'!$B:$B,MATCH(AB762,'Account Map'!$A:$A,0)),""))</f>
        <v/>
      </c>
      <c r="AD762" s="37" t="str">
        <f aca="false">IF(AB762="","",IFERROR(INDEX('Account Map'!$C:$C,MATCH(AB762,'Account Map'!$A:$A,0)),""))</f>
        <v/>
      </c>
      <c r="AE762" s="37" t="n">
        <f aca="false">IF(AND(AB762&lt;&gt;"",AC762="",COUNT($B762:$Z762)&gt;0,LEFT(AB762,5)&lt;&gt;"Total",AB762&lt;&gt;"Gross Profit",AB762&lt;&gt;"Net Profit",AB762&lt;&gt;"Operating Profit"),1,0)</f>
        <v>0</v>
      </c>
    </row>
    <row r="763" customFormat="false" ht="15" hidden="false" customHeight="false" outlineLevel="0" collapsed="false">
      <c r="B763" s="44"/>
      <c r="C763" s="44"/>
      <c r="D763" s="44"/>
      <c r="E763" s="44"/>
      <c r="F763" s="44"/>
      <c r="G763" s="44"/>
      <c r="H763" s="44"/>
      <c r="I763" s="44"/>
      <c r="J763" s="44"/>
      <c r="K763" s="44"/>
      <c r="L763" s="44"/>
      <c r="M763" s="44"/>
      <c r="N763" s="44"/>
      <c r="O763" s="44"/>
      <c r="P763" s="44"/>
      <c r="Q763" s="44"/>
      <c r="R763" s="44"/>
      <c r="S763" s="44"/>
      <c r="T763" s="44"/>
      <c r="U763" s="44"/>
      <c r="V763" s="44"/>
      <c r="W763" s="44"/>
      <c r="X763" s="44"/>
      <c r="Y763" s="44"/>
      <c r="Z763" s="44"/>
      <c r="AB763" s="37" t="str">
        <f aca="false">TRIM($A763&amp;"")</f>
        <v/>
      </c>
      <c r="AC763" s="37" t="str">
        <f aca="false">IF(AB763="","",IFERROR(INDEX('Account Map'!$B:$B,MATCH(AB763,'Account Map'!$A:$A,0)),""))</f>
        <v/>
      </c>
      <c r="AD763" s="37" t="str">
        <f aca="false">IF(AB763="","",IFERROR(INDEX('Account Map'!$C:$C,MATCH(AB763,'Account Map'!$A:$A,0)),""))</f>
        <v/>
      </c>
      <c r="AE763" s="37" t="n">
        <f aca="false">IF(AND(AB763&lt;&gt;"",AC763="",COUNT($B763:$Z763)&gt;0,LEFT(AB763,5)&lt;&gt;"Total",AB763&lt;&gt;"Gross Profit",AB763&lt;&gt;"Net Profit",AB763&lt;&gt;"Operating Profit"),1,0)</f>
        <v>0</v>
      </c>
    </row>
    <row r="764" customFormat="false" ht="15" hidden="false" customHeight="false" outlineLevel="0" collapsed="false">
      <c r="B764" s="44"/>
      <c r="C764" s="44"/>
      <c r="D764" s="44"/>
      <c r="E764" s="44"/>
      <c r="F764" s="44"/>
      <c r="G764" s="44"/>
      <c r="H764" s="44"/>
      <c r="I764" s="44"/>
      <c r="J764" s="44"/>
      <c r="K764" s="44"/>
      <c r="L764" s="44"/>
      <c r="M764" s="44"/>
      <c r="N764" s="44"/>
      <c r="O764" s="44"/>
      <c r="P764" s="44"/>
      <c r="Q764" s="44"/>
      <c r="R764" s="44"/>
      <c r="S764" s="44"/>
      <c r="T764" s="44"/>
      <c r="U764" s="44"/>
      <c r="V764" s="44"/>
      <c r="W764" s="44"/>
      <c r="X764" s="44"/>
      <c r="Y764" s="44"/>
      <c r="Z764" s="44"/>
      <c r="AB764" s="37" t="str">
        <f aca="false">TRIM($A764&amp;"")</f>
        <v/>
      </c>
      <c r="AC764" s="37" t="str">
        <f aca="false">IF(AB764="","",IFERROR(INDEX('Account Map'!$B:$B,MATCH(AB764,'Account Map'!$A:$A,0)),""))</f>
        <v/>
      </c>
      <c r="AD764" s="37" t="str">
        <f aca="false">IF(AB764="","",IFERROR(INDEX('Account Map'!$C:$C,MATCH(AB764,'Account Map'!$A:$A,0)),""))</f>
        <v/>
      </c>
      <c r="AE764" s="37" t="n">
        <f aca="false">IF(AND(AB764&lt;&gt;"",AC764="",COUNT($B764:$Z764)&gt;0,LEFT(AB764,5)&lt;&gt;"Total",AB764&lt;&gt;"Gross Profit",AB764&lt;&gt;"Net Profit",AB764&lt;&gt;"Operating Profit"),1,0)</f>
        <v>0</v>
      </c>
    </row>
    <row r="765" customFormat="false" ht="15" hidden="false" customHeight="false" outlineLevel="0" collapsed="false">
      <c r="B765" s="44"/>
      <c r="C765" s="44"/>
      <c r="D765" s="44"/>
      <c r="E765" s="44"/>
      <c r="F765" s="44"/>
      <c r="G765" s="44"/>
      <c r="H765" s="44"/>
      <c r="I765" s="44"/>
      <c r="J765" s="44"/>
      <c r="K765" s="44"/>
      <c r="L765" s="44"/>
      <c r="M765" s="44"/>
      <c r="N765" s="44"/>
      <c r="O765" s="44"/>
      <c r="P765" s="44"/>
      <c r="Q765" s="44"/>
      <c r="R765" s="44"/>
      <c r="S765" s="44"/>
      <c r="T765" s="44"/>
      <c r="U765" s="44"/>
      <c r="V765" s="44"/>
      <c r="W765" s="44"/>
      <c r="X765" s="44"/>
      <c r="Y765" s="44"/>
      <c r="Z765" s="44"/>
      <c r="AB765" s="37" t="str">
        <f aca="false">TRIM($A765&amp;"")</f>
        <v/>
      </c>
      <c r="AC765" s="37" t="str">
        <f aca="false">IF(AB765="","",IFERROR(INDEX('Account Map'!$B:$B,MATCH(AB765,'Account Map'!$A:$A,0)),""))</f>
        <v/>
      </c>
      <c r="AD765" s="37" t="str">
        <f aca="false">IF(AB765="","",IFERROR(INDEX('Account Map'!$C:$C,MATCH(AB765,'Account Map'!$A:$A,0)),""))</f>
        <v/>
      </c>
      <c r="AE765" s="37" t="n">
        <f aca="false">IF(AND(AB765&lt;&gt;"",AC765="",COUNT($B765:$Z765)&gt;0,LEFT(AB765,5)&lt;&gt;"Total",AB765&lt;&gt;"Gross Profit",AB765&lt;&gt;"Net Profit",AB765&lt;&gt;"Operating Profit"),1,0)</f>
        <v>0</v>
      </c>
    </row>
    <row r="766" customFormat="false" ht="15" hidden="false" customHeight="false" outlineLevel="0" collapsed="false">
      <c r="B766" s="44"/>
      <c r="C766" s="44"/>
      <c r="D766" s="44"/>
      <c r="E766" s="44"/>
      <c r="F766" s="44"/>
      <c r="G766" s="44"/>
      <c r="H766" s="44"/>
      <c r="I766" s="44"/>
      <c r="J766" s="44"/>
      <c r="K766" s="44"/>
      <c r="L766" s="44"/>
      <c r="M766" s="44"/>
      <c r="N766" s="44"/>
      <c r="O766" s="44"/>
      <c r="P766" s="44"/>
      <c r="Q766" s="44"/>
      <c r="R766" s="44"/>
      <c r="S766" s="44"/>
      <c r="T766" s="44"/>
      <c r="U766" s="44"/>
      <c r="V766" s="44"/>
      <c r="W766" s="44"/>
      <c r="X766" s="44"/>
      <c r="Y766" s="44"/>
      <c r="Z766" s="44"/>
      <c r="AB766" s="37" t="str">
        <f aca="false">TRIM($A766&amp;"")</f>
        <v/>
      </c>
      <c r="AC766" s="37" t="str">
        <f aca="false">IF(AB766="","",IFERROR(INDEX('Account Map'!$B:$B,MATCH(AB766,'Account Map'!$A:$A,0)),""))</f>
        <v/>
      </c>
      <c r="AD766" s="37" t="str">
        <f aca="false">IF(AB766="","",IFERROR(INDEX('Account Map'!$C:$C,MATCH(AB766,'Account Map'!$A:$A,0)),""))</f>
        <v/>
      </c>
      <c r="AE766" s="37" t="n">
        <f aca="false">IF(AND(AB766&lt;&gt;"",AC766="",COUNT($B766:$Z766)&gt;0,LEFT(AB766,5)&lt;&gt;"Total",AB766&lt;&gt;"Gross Profit",AB766&lt;&gt;"Net Profit",AB766&lt;&gt;"Operating Profit"),1,0)</f>
        <v>0</v>
      </c>
    </row>
    <row r="767" customFormat="false" ht="15" hidden="false" customHeight="false" outlineLevel="0" collapsed="false">
      <c r="B767" s="44"/>
      <c r="C767" s="44"/>
      <c r="D767" s="44"/>
      <c r="E767" s="44"/>
      <c r="F767" s="44"/>
      <c r="G767" s="44"/>
      <c r="H767" s="44"/>
      <c r="I767" s="44"/>
      <c r="J767" s="44"/>
      <c r="K767" s="44"/>
      <c r="L767" s="44"/>
      <c r="M767" s="44"/>
      <c r="N767" s="44"/>
      <c r="O767" s="44"/>
      <c r="P767" s="44"/>
      <c r="Q767" s="44"/>
      <c r="R767" s="44"/>
      <c r="S767" s="44"/>
      <c r="T767" s="44"/>
      <c r="U767" s="44"/>
      <c r="V767" s="44"/>
      <c r="W767" s="44"/>
      <c r="X767" s="44"/>
      <c r="Y767" s="44"/>
      <c r="Z767" s="44"/>
      <c r="AB767" s="37" t="str">
        <f aca="false">TRIM($A767&amp;"")</f>
        <v/>
      </c>
      <c r="AC767" s="37" t="str">
        <f aca="false">IF(AB767="","",IFERROR(INDEX('Account Map'!$B:$B,MATCH(AB767,'Account Map'!$A:$A,0)),""))</f>
        <v/>
      </c>
      <c r="AD767" s="37" t="str">
        <f aca="false">IF(AB767="","",IFERROR(INDEX('Account Map'!$C:$C,MATCH(AB767,'Account Map'!$A:$A,0)),""))</f>
        <v/>
      </c>
      <c r="AE767" s="37" t="n">
        <f aca="false">IF(AND(AB767&lt;&gt;"",AC767="",COUNT($B767:$Z767)&gt;0,LEFT(AB767,5)&lt;&gt;"Total",AB767&lt;&gt;"Gross Profit",AB767&lt;&gt;"Net Profit",AB767&lt;&gt;"Operating Profit"),1,0)</f>
        <v>0</v>
      </c>
    </row>
    <row r="768" customFormat="false" ht="15" hidden="false" customHeight="false" outlineLevel="0" collapsed="false">
      <c r="B768" s="44"/>
      <c r="C768" s="44"/>
      <c r="D768" s="44"/>
      <c r="E768" s="44"/>
      <c r="F768" s="44"/>
      <c r="G768" s="44"/>
      <c r="H768" s="44"/>
      <c r="I768" s="44"/>
      <c r="J768" s="44"/>
      <c r="K768" s="44"/>
      <c r="L768" s="44"/>
      <c r="M768" s="44"/>
      <c r="N768" s="44"/>
      <c r="O768" s="44"/>
      <c r="P768" s="44"/>
      <c r="Q768" s="44"/>
      <c r="R768" s="44"/>
      <c r="S768" s="44"/>
      <c r="T768" s="44"/>
      <c r="U768" s="44"/>
      <c r="V768" s="44"/>
      <c r="W768" s="44"/>
      <c r="X768" s="44"/>
      <c r="Y768" s="44"/>
      <c r="Z768" s="44"/>
      <c r="AB768" s="37" t="str">
        <f aca="false">TRIM($A768&amp;"")</f>
        <v/>
      </c>
      <c r="AC768" s="37" t="str">
        <f aca="false">IF(AB768="","",IFERROR(INDEX('Account Map'!$B:$B,MATCH(AB768,'Account Map'!$A:$A,0)),""))</f>
        <v/>
      </c>
      <c r="AD768" s="37" t="str">
        <f aca="false">IF(AB768="","",IFERROR(INDEX('Account Map'!$C:$C,MATCH(AB768,'Account Map'!$A:$A,0)),""))</f>
        <v/>
      </c>
      <c r="AE768" s="37" t="n">
        <f aca="false">IF(AND(AB768&lt;&gt;"",AC768="",COUNT($B768:$Z768)&gt;0,LEFT(AB768,5)&lt;&gt;"Total",AB768&lt;&gt;"Gross Profit",AB768&lt;&gt;"Net Profit",AB768&lt;&gt;"Operating Profit"),1,0)</f>
        <v>0</v>
      </c>
    </row>
    <row r="769" customFormat="false" ht="15" hidden="false" customHeight="false" outlineLevel="0" collapsed="false">
      <c r="B769" s="44"/>
      <c r="C769" s="44"/>
      <c r="D769" s="44"/>
      <c r="E769" s="44"/>
      <c r="F769" s="44"/>
      <c r="G769" s="44"/>
      <c r="H769" s="44"/>
      <c r="I769" s="44"/>
      <c r="J769" s="44"/>
      <c r="K769" s="44"/>
      <c r="L769" s="44"/>
      <c r="M769" s="44"/>
      <c r="N769" s="44"/>
      <c r="O769" s="44"/>
      <c r="P769" s="44"/>
      <c r="Q769" s="44"/>
      <c r="R769" s="44"/>
      <c r="S769" s="44"/>
      <c r="T769" s="44"/>
      <c r="U769" s="44"/>
      <c r="V769" s="44"/>
      <c r="W769" s="44"/>
      <c r="X769" s="44"/>
      <c r="Y769" s="44"/>
      <c r="Z769" s="44"/>
      <c r="AB769" s="37" t="str">
        <f aca="false">TRIM($A769&amp;"")</f>
        <v/>
      </c>
      <c r="AC769" s="37" t="str">
        <f aca="false">IF(AB769="","",IFERROR(INDEX('Account Map'!$B:$B,MATCH(AB769,'Account Map'!$A:$A,0)),""))</f>
        <v/>
      </c>
      <c r="AD769" s="37" t="str">
        <f aca="false">IF(AB769="","",IFERROR(INDEX('Account Map'!$C:$C,MATCH(AB769,'Account Map'!$A:$A,0)),""))</f>
        <v/>
      </c>
      <c r="AE769" s="37" t="n">
        <f aca="false">IF(AND(AB769&lt;&gt;"",AC769="",COUNT($B769:$Z769)&gt;0,LEFT(AB769,5)&lt;&gt;"Total",AB769&lt;&gt;"Gross Profit",AB769&lt;&gt;"Net Profit",AB769&lt;&gt;"Operating Profit"),1,0)</f>
        <v>0</v>
      </c>
    </row>
    <row r="770" customFormat="false" ht="15" hidden="false" customHeight="false" outlineLevel="0" collapsed="false">
      <c r="B770" s="44"/>
      <c r="C770" s="44"/>
      <c r="D770" s="44"/>
      <c r="E770" s="44"/>
      <c r="F770" s="44"/>
      <c r="G770" s="44"/>
      <c r="H770" s="44"/>
      <c r="I770" s="44"/>
      <c r="J770" s="44"/>
      <c r="K770" s="44"/>
      <c r="L770" s="44"/>
      <c r="M770" s="44"/>
      <c r="N770" s="44"/>
      <c r="O770" s="44"/>
      <c r="P770" s="44"/>
      <c r="Q770" s="44"/>
      <c r="R770" s="44"/>
      <c r="S770" s="44"/>
      <c r="T770" s="44"/>
      <c r="U770" s="44"/>
      <c r="V770" s="44"/>
      <c r="W770" s="44"/>
      <c r="X770" s="44"/>
      <c r="Y770" s="44"/>
      <c r="Z770" s="44"/>
      <c r="AB770" s="37" t="str">
        <f aca="false">TRIM($A770&amp;"")</f>
        <v/>
      </c>
      <c r="AC770" s="37" t="str">
        <f aca="false">IF(AB770="","",IFERROR(INDEX('Account Map'!$B:$B,MATCH(AB770,'Account Map'!$A:$A,0)),""))</f>
        <v/>
      </c>
      <c r="AD770" s="37" t="str">
        <f aca="false">IF(AB770="","",IFERROR(INDEX('Account Map'!$C:$C,MATCH(AB770,'Account Map'!$A:$A,0)),""))</f>
        <v/>
      </c>
      <c r="AE770" s="37" t="n">
        <f aca="false">IF(AND(AB770&lt;&gt;"",AC770="",COUNT($B770:$Z770)&gt;0,LEFT(AB770,5)&lt;&gt;"Total",AB770&lt;&gt;"Gross Profit",AB770&lt;&gt;"Net Profit",AB770&lt;&gt;"Operating Profit"),1,0)</f>
        <v>0</v>
      </c>
    </row>
    <row r="771" customFormat="false" ht="15" hidden="false" customHeight="false" outlineLevel="0" collapsed="false">
      <c r="B771" s="44"/>
      <c r="C771" s="44"/>
      <c r="D771" s="44"/>
      <c r="E771" s="44"/>
      <c r="F771" s="44"/>
      <c r="G771" s="44"/>
      <c r="H771" s="44"/>
      <c r="I771" s="44"/>
      <c r="J771" s="44"/>
      <c r="K771" s="44"/>
      <c r="L771" s="44"/>
      <c r="M771" s="44"/>
      <c r="N771" s="44"/>
      <c r="O771" s="44"/>
      <c r="P771" s="44"/>
      <c r="Q771" s="44"/>
      <c r="R771" s="44"/>
      <c r="S771" s="44"/>
      <c r="T771" s="44"/>
      <c r="U771" s="44"/>
      <c r="V771" s="44"/>
      <c r="W771" s="44"/>
      <c r="X771" s="44"/>
      <c r="Y771" s="44"/>
      <c r="Z771" s="44"/>
      <c r="AB771" s="37" t="str">
        <f aca="false">TRIM($A771&amp;"")</f>
        <v/>
      </c>
      <c r="AC771" s="37" t="str">
        <f aca="false">IF(AB771="","",IFERROR(INDEX('Account Map'!$B:$B,MATCH(AB771,'Account Map'!$A:$A,0)),""))</f>
        <v/>
      </c>
      <c r="AD771" s="37" t="str">
        <f aca="false">IF(AB771="","",IFERROR(INDEX('Account Map'!$C:$C,MATCH(AB771,'Account Map'!$A:$A,0)),""))</f>
        <v/>
      </c>
      <c r="AE771" s="37" t="n">
        <f aca="false">IF(AND(AB771&lt;&gt;"",AC771="",COUNT($B771:$Z771)&gt;0,LEFT(AB771,5)&lt;&gt;"Total",AB771&lt;&gt;"Gross Profit",AB771&lt;&gt;"Net Profit",AB771&lt;&gt;"Operating Profit"),1,0)</f>
        <v>0</v>
      </c>
    </row>
    <row r="772" customFormat="false" ht="15" hidden="false" customHeight="false" outlineLevel="0" collapsed="false">
      <c r="B772" s="44"/>
      <c r="C772" s="44"/>
      <c r="D772" s="44"/>
      <c r="E772" s="44"/>
      <c r="F772" s="44"/>
      <c r="G772" s="44"/>
      <c r="H772" s="44"/>
      <c r="I772" s="44"/>
      <c r="J772" s="44"/>
      <c r="K772" s="44"/>
      <c r="L772" s="44"/>
      <c r="M772" s="44"/>
      <c r="N772" s="44"/>
      <c r="O772" s="44"/>
      <c r="P772" s="44"/>
      <c r="Q772" s="44"/>
      <c r="R772" s="44"/>
      <c r="S772" s="44"/>
      <c r="T772" s="44"/>
      <c r="U772" s="44"/>
      <c r="V772" s="44"/>
      <c r="W772" s="44"/>
      <c r="X772" s="44"/>
      <c r="Y772" s="44"/>
      <c r="Z772" s="44"/>
      <c r="AB772" s="37" t="str">
        <f aca="false">TRIM($A772&amp;"")</f>
        <v/>
      </c>
      <c r="AC772" s="37" t="str">
        <f aca="false">IF(AB772="","",IFERROR(INDEX('Account Map'!$B:$B,MATCH(AB772,'Account Map'!$A:$A,0)),""))</f>
        <v/>
      </c>
      <c r="AD772" s="37" t="str">
        <f aca="false">IF(AB772="","",IFERROR(INDEX('Account Map'!$C:$C,MATCH(AB772,'Account Map'!$A:$A,0)),""))</f>
        <v/>
      </c>
      <c r="AE772" s="37" t="n">
        <f aca="false">IF(AND(AB772&lt;&gt;"",AC772="",COUNT($B772:$Z772)&gt;0,LEFT(AB772,5)&lt;&gt;"Total",AB772&lt;&gt;"Gross Profit",AB772&lt;&gt;"Net Profit",AB772&lt;&gt;"Operating Profit"),1,0)</f>
        <v>0</v>
      </c>
    </row>
    <row r="773" customFormat="false" ht="15" hidden="false" customHeight="false" outlineLevel="0" collapsed="false">
      <c r="B773" s="44"/>
      <c r="C773" s="44"/>
      <c r="D773" s="44"/>
      <c r="E773" s="44"/>
      <c r="F773" s="44"/>
      <c r="G773" s="44"/>
      <c r="H773" s="44"/>
      <c r="I773" s="44"/>
      <c r="J773" s="44"/>
      <c r="K773" s="44"/>
      <c r="L773" s="44"/>
      <c r="M773" s="44"/>
      <c r="N773" s="44"/>
      <c r="O773" s="44"/>
      <c r="P773" s="44"/>
      <c r="Q773" s="44"/>
      <c r="R773" s="44"/>
      <c r="S773" s="44"/>
      <c r="T773" s="44"/>
      <c r="U773" s="44"/>
      <c r="V773" s="44"/>
      <c r="W773" s="44"/>
      <c r="X773" s="44"/>
      <c r="Y773" s="44"/>
      <c r="Z773" s="44"/>
      <c r="AB773" s="37" t="str">
        <f aca="false">TRIM($A773&amp;"")</f>
        <v/>
      </c>
      <c r="AC773" s="37" t="str">
        <f aca="false">IF(AB773="","",IFERROR(INDEX('Account Map'!$B:$B,MATCH(AB773,'Account Map'!$A:$A,0)),""))</f>
        <v/>
      </c>
      <c r="AD773" s="37" t="str">
        <f aca="false">IF(AB773="","",IFERROR(INDEX('Account Map'!$C:$C,MATCH(AB773,'Account Map'!$A:$A,0)),""))</f>
        <v/>
      </c>
      <c r="AE773" s="37" t="n">
        <f aca="false">IF(AND(AB773&lt;&gt;"",AC773="",COUNT($B773:$Z773)&gt;0,LEFT(AB773,5)&lt;&gt;"Total",AB773&lt;&gt;"Gross Profit",AB773&lt;&gt;"Net Profit",AB773&lt;&gt;"Operating Profit"),1,0)</f>
        <v>0</v>
      </c>
    </row>
    <row r="774" customFormat="false" ht="15" hidden="false" customHeight="false" outlineLevel="0" collapsed="false">
      <c r="B774" s="44"/>
      <c r="C774" s="44"/>
      <c r="D774" s="44"/>
      <c r="E774" s="44"/>
      <c r="F774" s="44"/>
      <c r="G774" s="44"/>
      <c r="H774" s="44"/>
      <c r="I774" s="44"/>
      <c r="J774" s="44"/>
      <c r="K774" s="44"/>
      <c r="L774" s="44"/>
      <c r="M774" s="44"/>
      <c r="N774" s="44"/>
      <c r="O774" s="44"/>
      <c r="P774" s="44"/>
      <c r="Q774" s="44"/>
      <c r="R774" s="44"/>
      <c r="S774" s="44"/>
      <c r="T774" s="44"/>
      <c r="U774" s="44"/>
      <c r="V774" s="44"/>
      <c r="W774" s="44"/>
      <c r="X774" s="44"/>
      <c r="Y774" s="44"/>
      <c r="Z774" s="44"/>
      <c r="AB774" s="37" t="str">
        <f aca="false">TRIM($A774&amp;"")</f>
        <v/>
      </c>
      <c r="AC774" s="37" t="str">
        <f aca="false">IF(AB774="","",IFERROR(INDEX('Account Map'!$B:$B,MATCH(AB774,'Account Map'!$A:$A,0)),""))</f>
        <v/>
      </c>
      <c r="AD774" s="37" t="str">
        <f aca="false">IF(AB774="","",IFERROR(INDEX('Account Map'!$C:$C,MATCH(AB774,'Account Map'!$A:$A,0)),""))</f>
        <v/>
      </c>
      <c r="AE774" s="37" t="n">
        <f aca="false">IF(AND(AB774&lt;&gt;"",AC774="",COUNT($B774:$Z774)&gt;0,LEFT(AB774,5)&lt;&gt;"Total",AB774&lt;&gt;"Gross Profit",AB774&lt;&gt;"Net Profit",AB774&lt;&gt;"Operating Profit"),1,0)</f>
        <v>0</v>
      </c>
    </row>
    <row r="775" customFormat="false" ht="15" hidden="false" customHeight="false" outlineLevel="0" collapsed="false">
      <c r="B775" s="44"/>
      <c r="C775" s="44"/>
      <c r="D775" s="44"/>
      <c r="E775" s="44"/>
      <c r="F775" s="44"/>
      <c r="G775" s="44"/>
      <c r="H775" s="44"/>
      <c r="I775" s="44"/>
      <c r="J775" s="44"/>
      <c r="K775" s="44"/>
      <c r="L775" s="44"/>
      <c r="M775" s="44"/>
      <c r="N775" s="44"/>
      <c r="O775" s="44"/>
      <c r="P775" s="44"/>
      <c r="Q775" s="44"/>
      <c r="R775" s="44"/>
      <c r="S775" s="44"/>
      <c r="T775" s="44"/>
      <c r="U775" s="44"/>
      <c r="V775" s="44"/>
      <c r="W775" s="44"/>
      <c r="X775" s="44"/>
      <c r="Y775" s="44"/>
      <c r="Z775" s="44"/>
      <c r="AB775" s="37" t="str">
        <f aca="false">TRIM($A775&amp;"")</f>
        <v/>
      </c>
      <c r="AC775" s="37" t="str">
        <f aca="false">IF(AB775="","",IFERROR(INDEX('Account Map'!$B:$B,MATCH(AB775,'Account Map'!$A:$A,0)),""))</f>
        <v/>
      </c>
      <c r="AD775" s="37" t="str">
        <f aca="false">IF(AB775="","",IFERROR(INDEX('Account Map'!$C:$C,MATCH(AB775,'Account Map'!$A:$A,0)),""))</f>
        <v/>
      </c>
      <c r="AE775" s="37" t="n">
        <f aca="false">IF(AND(AB775&lt;&gt;"",AC775="",COUNT($B775:$Z775)&gt;0,LEFT(AB775,5)&lt;&gt;"Total",AB775&lt;&gt;"Gross Profit",AB775&lt;&gt;"Net Profit",AB775&lt;&gt;"Operating Profit"),1,0)</f>
        <v>0</v>
      </c>
    </row>
    <row r="776" customFormat="false" ht="15" hidden="false" customHeight="false" outlineLevel="0" collapsed="false">
      <c r="B776" s="44"/>
      <c r="C776" s="44"/>
      <c r="D776" s="44"/>
      <c r="E776" s="44"/>
      <c r="F776" s="44"/>
      <c r="G776" s="44"/>
      <c r="H776" s="44"/>
      <c r="I776" s="44"/>
      <c r="J776" s="44"/>
      <c r="K776" s="44"/>
      <c r="L776" s="44"/>
      <c r="M776" s="44"/>
      <c r="N776" s="44"/>
      <c r="O776" s="44"/>
      <c r="P776" s="44"/>
      <c r="Q776" s="44"/>
      <c r="R776" s="44"/>
      <c r="S776" s="44"/>
      <c r="T776" s="44"/>
      <c r="U776" s="44"/>
      <c r="V776" s="44"/>
      <c r="W776" s="44"/>
      <c r="X776" s="44"/>
      <c r="Y776" s="44"/>
      <c r="Z776" s="44"/>
      <c r="AB776" s="37" t="str">
        <f aca="false">TRIM($A776&amp;"")</f>
        <v/>
      </c>
      <c r="AC776" s="37" t="str">
        <f aca="false">IF(AB776="","",IFERROR(INDEX('Account Map'!$B:$B,MATCH(AB776,'Account Map'!$A:$A,0)),""))</f>
        <v/>
      </c>
      <c r="AD776" s="37" t="str">
        <f aca="false">IF(AB776="","",IFERROR(INDEX('Account Map'!$C:$C,MATCH(AB776,'Account Map'!$A:$A,0)),""))</f>
        <v/>
      </c>
      <c r="AE776" s="37" t="n">
        <f aca="false">IF(AND(AB776&lt;&gt;"",AC776="",COUNT($B776:$Z776)&gt;0,LEFT(AB776,5)&lt;&gt;"Total",AB776&lt;&gt;"Gross Profit",AB776&lt;&gt;"Net Profit",AB776&lt;&gt;"Operating Profit"),1,0)</f>
        <v>0</v>
      </c>
    </row>
    <row r="777" customFormat="false" ht="15" hidden="false" customHeight="false" outlineLevel="0" collapsed="false">
      <c r="B777" s="44"/>
      <c r="C777" s="44"/>
      <c r="D777" s="44"/>
      <c r="E777" s="44"/>
      <c r="F777" s="44"/>
      <c r="G777" s="44"/>
      <c r="H777" s="44"/>
      <c r="I777" s="44"/>
      <c r="J777" s="44"/>
      <c r="K777" s="44"/>
      <c r="L777" s="44"/>
      <c r="M777" s="44"/>
      <c r="N777" s="44"/>
      <c r="O777" s="44"/>
      <c r="P777" s="44"/>
      <c r="Q777" s="44"/>
      <c r="R777" s="44"/>
      <c r="S777" s="44"/>
      <c r="T777" s="44"/>
      <c r="U777" s="44"/>
      <c r="V777" s="44"/>
      <c r="W777" s="44"/>
      <c r="X777" s="44"/>
      <c r="Y777" s="44"/>
      <c r="Z777" s="44"/>
      <c r="AB777" s="37" t="str">
        <f aca="false">TRIM($A777&amp;"")</f>
        <v/>
      </c>
      <c r="AC777" s="37" t="str">
        <f aca="false">IF(AB777="","",IFERROR(INDEX('Account Map'!$B:$B,MATCH(AB777,'Account Map'!$A:$A,0)),""))</f>
        <v/>
      </c>
      <c r="AD777" s="37" t="str">
        <f aca="false">IF(AB777="","",IFERROR(INDEX('Account Map'!$C:$C,MATCH(AB777,'Account Map'!$A:$A,0)),""))</f>
        <v/>
      </c>
      <c r="AE777" s="37" t="n">
        <f aca="false">IF(AND(AB777&lt;&gt;"",AC777="",COUNT($B777:$Z777)&gt;0,LEFT(AB777,5)&lt;&gt;"Total",AB777&lt;&gt;"Gross Profit",AB777&lt;&gt;"Net Profit",AB777&lt;&gt;"Operating Profit"),1,0)</f>
        <v>0</v>
      </c>
    </row>
    <row r="778" customFormat="false" ht="15" hidden="false" customHeight="false" outlineLevel="0" collapsed="false">
      <c r="B778" s="44"/>
      <c r="C778" s="44"/>
      <c r="D778" s="44"/>
      <c r="E778" s="44"/>
      <c r="F778" s="44"/>
      <c r="G778" s="44"/>
      <c r="H778" s="44"/>
      <c r="I778" s="44"/>
      <c r="J778" s="44"/>
      <c r="K778" s="44"/>
      <c r="L778" s="44"/>
      <c r="M778" s="44"/>
      <c r="N778" s="44"/>
      <c r="O778" s="44"/>
      <c r="P778" s="44"/>
      <c r="Q778" s="44"/>
      <c r="R778" s="44"/>
      <c r="S778" s="44"/>
      <c r="T778" s="44"/>
      <c r="U778" s="44"/>
      <c r="V778" s="44"/>
      <c r="W778" s="44"/>
      <c r="X778" s="44"/>
      <c r="Y778" s="44"/>
      <c r="Z778" s="44"/>
      <c r="AB778" s="37" t="str">
        <f aca="false">TRIM($A778&amp;"")</f>
        <v/>
      </c>
      <c r="AC778" s="37" t="str">
        <f aca="false">IF(AB778="","",IFERROR(INDEX('Account Map'!$B:$B,MATCH(AB778,'Account Map'!$A:$A,0)),""))</f>
        <v/>
      </c>
      <c r="AD778" s="37" t="str">
        <f aca="false">IF(AB778="","",IFERROR(INDEX('Account Map'!$C:$C,MATCH(AB778,'Account Map'!$A:$A,0)),""))</f>
        <v/>
      </c>
      <c r="AE778" s="37" t="n">
        <f aca="false">IF(AND(AB778&lt;&gt;"",AC778="",COUNT($B778:$Z778)&gt;0,LEFT(AB778,5)&lt;&gt;"Total",AB778&lt;&gt;"Gross Profit",AB778&lt;&gt;"Net Profit",AB778&lt;&gt;"Operating Profit"),1,0)</f>
        <v>0</v>
      </c>
    </row>
    <row r="779" customFormat="false" ht="15" hidden="false" customHeight="false" outlineLevel="0" collapsed="false">
      <c r="B779" s="44"/>
      <c r="C779" s="44"/>
      <c r="D779" s="44"/>
      <c r="E779" s="44"/>
      <c r="F779" s="44"/>
      <c r="G779" s="44"/>
      <c r="H779" s="44"/>
      <c r="I779" s="44"/>
      <c r="J779" s="44"/>
      <c r="K779" s="44"/>
      <c r="L779" s="44"/>
      <c r="M779" s="44"/>
      <c r="N779" s="44"/>
      <c r="O779" s="44"/>
      <c r="P779" s="44"/>
      <c r="Q779" s="44"/>
      <c r="R779" s="44"/>
      <c r="S779" s="44"/>
      <c r="T779" s="44"/>
      <c r="U779" s="44"/>
      <c r="V779" s="44"/>
      <c r="W779" s="44"/>
      <c r="X779" s="44"/>
      <c r="Y779" s="44"/>
      <c r="Z779" s="44"/>
      <c r="AB779" s="37" t="str">
        <f aca="false">TRIM($A779&amp;"")</f>
        <v/>
      </c>
      <c r="AC779" s="37" t="str">
        <f aca="false">IF(AB779="","",IFERROR(INDEX('Account Map'!$B:$B,MATCH(AB779,'Account Map'!$A:$A,0)),""))</f>
        <v/>
      </c>
      <c r="AD779" s="37" t="str">
        <f aca="false">IF(AB779="","",IFERROR(INDEX('Account Map'!$C:$C,MATCH(AB779,'Account Map'!$A:$A,0)),""))</f>
        <v/>
      </c>
      <c r="AE779" s="37" t="n">
        <f aca="false">IF(AND(AB779&lt;&gt;"",AC779="",COUNT($B779:$Z779)&gt;0,LEFT(AB779,5)&lt;&gt;"Total",AB779&lt;&gt;"Gross Profit",AB779&lt;&gt;"Net Profit",AB779&lt;&gt;"Operating Profit"),1,0)</f>
        <v>0</v>
      </c>
    </row>
    <row r="780" customFormat="false" ht="15" hidden="false" customHeight="false" outlineLevel="0" collapsed="false">
      <c r="B780" s="44"/>
      <c r="C780" s="44"/>
      <c r="D780" s="44"/>
      <c r="E780" s="44"/>
      <c r="F780" s="44"/>
      <c r="G780" s="44"/>
      <c r="H780" s="44"/>
      <c r="I780" s="44"/>
      <c r="J780" s="44"/>
      <c r="K780" s="44"/>
      <c r="L780" s="44"/>
      <c r="M780" s="44"/>
      <c r="N780" s="44"/>
      <c r="O780" s="44"/>
      <c r="P780" s="44"/>
      <c r="Q780" s="44"/>
      <c r="R780" s="44"/>
      <c r="S780" s="44"/>
      <c r="T780" s="44"/>
      <c r="U780" s="44"/>
      <c r="V780" s="44"/>
      <c r="W780" s="44"/>
      <c r="X780" s="44"/>
      <c r="Y780" s="44"/>
      <c r="Z780" s="44"/>
      <c r="AB780" s="37" t="str">
        <f aca="false">TRIM($A780&amp;"")</f>
        <v/>
      </c>
      <c r="AC780" s="37" t="str">
        <f aca="false">IF(AB780="","",IFERROR(INDEX('Account Map'!$B:$B,MATCH(AB780,'Account Map'!$A:$A,0)),""))</f>
        <v/>
      </c>
      <c r="AD780" s="37" t="str">
        <f aca="false">IF(AB780="","",IFERROR(INDEX('Account Map'!$C:$C,MATCH(AB780,'Account Map'!$A:$A,0)),""))</f>
        <v/>
      </c>
      <c r="AE780" s="37" t="n">
        <f aca="false">IF(AND(AB780&lt;&gt;"",AC780="",COUNT($B780:$Z780)&gt;0,LEFT(AB780,5)&lt;&gt;"Total",AB780&lt;&gt;"Gross Profit",AB780&lt;&gt;"Net Profit",AB780&lt;&gt;"Operating Profit"),1,0)</f>
        <v>0</v>
      </c>
    </row>
    <row r="781" customFormat="false" ht="15" hidden="false" customHeight="false" outlineLevel="0" collapsed="false">
      <c r="B781" s="44"/>
      <c r="C781" s="44"/>
      <c r="D781" s="44"/>
      <c r="E781" s="44"/>
      <c r="F781" s="44"/>
      <c r="G781" s="44"/>
      <c r="H781" s="44"/>
      <c r="I781" s="44"/>
      <c r="J781" s="44"/>
      <c r="K781" s="44"/>
      <c r="L781" s="44"/>
      <c r="M781" s="44"/>
      <c r="N781" s="44"/>
      <c r="O781" s="44"/>
      <c r="P781" s="44"/>
      <c r="Q781" s="44"/>
      <c r="R781" s="44"/>
      <c r="S781" s="44"/>
      <c r="T781" s="44"/>
      <c r="U781" s="44"/>
      <c r="V781" s="44"/>
      <c r="W781" s="44"/>
      <c r="X781" s="44"/>
      <c r="Y781" s="44"/>
      <c r="Z781" s="44"/>
      <c r="AB781" s="37" t="str">
        <f aca="false">TRIM($A781&amp;"")</f>
        <v/>
      </c>
      <c r="AC781" s="37" t="str">
        <f aca="false">IF(AB781="","",IFERROR(INDEX('Account Map'!$B:$B,MATCH(AB781,'Account Map'!$A:$A,0)),""))</f>
        <v/>
      </c>
      <c r="AD781" s="37" t="str">
        <f aca="false">IF(AB781="","",IFERROR(INDEX('Account Map'!$C:$C,MATCH(AB781,'Account Map'!$A:$A,0)),""))</f>
        <v/>
      </c>
      <c r="AE781" s="37" t="n">
        <f aca="false">IF(AND(AB781&lt;&gt;"",AC781="",COUNT($B781:$Z781)&gt;0,LEFT(AB781,5)&lt;&gt;"Total",AB781&lt;&gt;"Gross Profit",AB781&lt;&gt;"Net Profit",AB781&lt;&gt;"Operating Profit"),1,0)</f>
        <v>0</v>
      </c>
    </row>
    <row r="782" customFormat="false" ht="15" hidden="false" customHeight="false" outlineLevel="0" collapsed="false">
      <c r="B782" s="44"/>
      <c r="C782" s="44"/>
      <c r="D782" s="44"/>
      <c r="E782" s="44"/>
      <c r="F782" s="44"/>
      <c r="G782" s="44"/>
      <c r="H782" s="44"/>
      <c r="I782" s="44"/>
      <c r="J782" s="44"/>
      <c r="K782" s="44"/>
      <c r="L782" s="44"/>
      <c r="M782" s="44"/>
      <c r="N782" s="44"/>
      <c r="O782" s="44"/>
      <c r="P782" s="44"/>
      <c r="Q782" s="44"/>
      <c r="R782" s="44"/>
      <c r="S782" s="44"/>
      <c r="T782" s="44"/>
      <c r="U782" s="44"/>
      <c r="V782" s="44"/>
      <c r="W782" s="44"/>
      <c r="X782" s="44"/>
      <c r="Y782" s="44"/>
      <c r="Z782" s="44"/>
      <c r="AB782" s="37" t="str">
        <f aca="false">TRIM($A782&amp;"")</f>
        <v/>
      </c>
      <c r="AC782" s="37" t="str">
        <f aca="false">IF(AB782="","",IFERROR(INDEX('Account Map'!$B:$B,MATCH(AB782,'Account Map'!$A:$A,0)),""))</f>
        <v/>
      </c>
      <c r="AD782" s="37" t="str">
        <f aca="false">IF(AB782="","",IFERROR(INDEX('Account Map'!$C:$C,MATCH(AB782,'Account Map'!$A:$A,0)),""))</f>
        <v/>
      </c>
      <c r="AE782" s="37" t="n">
        <f aca="false">IF(AND(AB782&lt;&gt;"",AC782="",COUNT($B782:$Z782)&gt;0,LEFT(AB782,5)&lt;&gt;"Total",AB782&lt;&gt;"Gross Profit",AB782&lt;&gt;"Net Profit",AB782&lt;&gt;"Operating Profit"),1,0)</f>
        <v>0</v>
      </c>
    </row>
    <row r="783" customFormat="false" ht="15" hidden="false" customHeight="false" outlineLevel="0" collapsed="false">
      <c r="B783" s="44"/>
      <c r="C783" s="44"/>
      <c r="D783" s="44"/>
      <c r="E783" s="44"/>
      <c r="F783" s="44"/>
      <c r="G783" s="44"/>
      <c r="H783" s="44"/>
      <c r="I783" s="44"/>
      <c r="J783" s="44"/>
      <c r="K783" s="44"/>
      <c r="L783" s="44"/>
      <c r="M783" s="44"/>
      <c r="N783" s="44"/>
      <c r="O783" s="44"/>
      <c r="P783" s="44"/>
      <c r="Q783" s="44"/>
      <c r="R783" s="44"/>
      <c r="S783" s="44"/>
      <c r="T783" s="44"/>
      <c r="U783" s="44"/>
      <c r="V783" s="44"/>
      <c r="W783" s="44"/>
      <c r="X783" s="44"/>
      <c r="Y783" s="44"/>
      <c r="Z783" s="44"/>
      <c r="AB783" s="37" t="str">
        <f aca="false">TRIM($A783&amp;"")</f>
        <v/>
      </c>
      <c r="AC783" s="37" t="str">
        <f aca="false">IF(AB783="","",IFERROR(INDEX('Account Map'!$B:$B,MATCH(AB783,'Account Map'!$A:$A,0)),""))</f>
        <v/>
      </c>
      <c r="AD783" s="37" t="str">
        <f aca="false">IF(AB783="","",IFERROR(INDEX('Account Map'!$C:$C,MATCH(AB783,'Account Map'!$A:$A,0)),""))</f>
        <v/>
      </c>
      <c r="AE783" s="37" t="n">
        <f aca="false">IF(AND(AB783&lt;&gt;"",AC783="",COUNT($B783:$Z783)&gt;0,LEFT(AB783,5)&lt;&gt;"Total",AB783&lt;&gt;"Gross Profit",AB783&lt;&gt;"Net Profit",AB783&lt;&gt;"Operating Profit"),1,0)</f>
        <v>0</v>
      </c>
    </row>
    <row r="784" customFormat="false" ht="15" hidden="false" customHeight="false" outlineLevel="0" collapsed="false">
      <c r="B784" s="44"/>
      <c r="C784" s="44"/>
      <c r="D784" s="44"/>
      <c r="E784" s="44"/>
      <c r="F784" s="44"/>
      <c r="G784" s="44"/>
      <c r="H784" s="44"/>
      <c r="I784" s="44"/>
      <c r="J784" s="44"/>
      <c r="K784" s="44"/>
      <c r="L784" s="44"/>
      <c r="M784" s="44"/>
      <c r="N784" s="44"/>
      <c r="O784" s="44"/>
      <c r="P784" s="44"/>
      <c r="Q784" s="44"/>
      <c r="R784" s="44"/>
      <c r="S784" s="44"/>
      <c r="T784" s="44"/>
      <c r="U784" s="44"/>
      <c r="V784" s="44"/>
      <c r="W784" s="44"/>
      <c r="X784" s="44"/>
      <c r="Y784" s="44"/>
      <c r="Z784" s="44"/>
      <c r="AB784" s="37" t="str">
        <f aca="false">TRIM($A784&amp;"")</f>
        <v/>
      </c>
      <c r="AC784" s="37" t="str">
        <f aca="false">IF(AB784="","",IFERROR(INDEX('Account Map'!$B:$B,MATCH(AB784,'Account Map'!$A:$A,0)),""))</f>
        <v/>
      </c>
      <c r="AD784" s="37" t="str">
        <f aca="false">IF(AB784="","",IFERROR(INDEX('Account Map'!$C:$C,MATCH(AB784,'Account Map'!$A:$A,0)),""))</f>
        <v/>
      </c>
      <c r="AE784" s="37" t="n">
        <f aca="false">IF(AND(AB784&lt;&gt;"",AC784="",COUNT($B784:$Z784)&gt;0,LEFT(AB784,5)&lt;&gt;"Total",AB784&lt;&gt;"Gross Profit",AB784&lt;&gt;"Net Profit",AB784&lt;&gt;"Operating Profit"),1,0)</f>
        <v>0</v>
      </c>
    </row>
    <row r="785" customFormat="false" ht="15" hidden="false" customHeight="false" outlineLevel="0" collapsed="false">
      <c r="B785" s="44"/>
      <c r="C785" s="44"/>
      <c r="D785" s="44"/>
      <c r="E785" s="44"/>
      <c r="F785" s="44"/>
      <c r="G785" s="44"/>
      <c r="H785" s="44"/>
      <c r="I785" s="44"/>
      <c r="J785" s="44"/>
      <c r="K785" s="44"/>
      <c r="L785" s="44"/>
      <c r="M785" s="44"/>
      <c r="N785" s="44"/>
      <c r="O785" s="44"/>
      <c r="P785" s="44"/>
      <c r="Q785" s="44"/>
      <c r="R785" s="44"/>
      <c r="S785" s="44"/>
      <c r="T785" s="44"/>
      <c r="U785" s="44"/>
      <c r="V785" s="44"/>
      <c r="W785" s="44"/>
      <c r="X785" s="44"/>
      <c r="Y785" s="44"/>
      <c r="Z785" s="44"/>
      <c r="AB785" s="37" t="str">
        <f aca="false">TRIM($A785&amp;"")</f>
        <v/>
      </c>
      <c r="AC785" s="37" t="str">
        <f aca="false">IF(AB785="","",IFERROR(INDEX('Account Map'!$B:$B,MATCH(AB785,'Account Map'!$A:$A,0)),""))</f>
        <v/>
      </c>
      <c r="AD785" s="37" t="str">
        <f aca="false">IF(AB785="","",IFERROR(INDEX('Account Map'!$C:$C,MATCH(AB785,'Account Map'!$A:$A,0)),""))</f>
        <v/>
      </c>
      <c r="AE785" s="37" t="n">
        <f aca="false">IF(AND(AB785&lt;&gt;"",AC785="",COUNT($B785:$Z785)&gt;0,LEFT(AB785,5)&lt;&gt;"Total",AB785&lt;&gt;"Gross Profit",AB785&lt;&gt;"Net Profit",AB785&lt;&gt;"Operating Profit"),1,0)</f>
        <v>0</v>
      </c>
    </row>
    <row r="786" customFormat="false" ht="15" hidden="false" customHeight="false" outlineLevel="0" collapsed="false">
      <c r="B786" s="44"/>
      <c r="C786" s="44"/>
      <c r="D786" s="44"/>
      <c r="E786" s="44"/>
      <c r="F786" s="44"/>
      <c r="G786" s="44"/>
      <c r="H786" s="44"/>
      <c r="I786" s="44"/>
      <c r="J786" s="44"/>
      <c r="K786" s="44"/>
      <c r="L786" s="44"/>
      <c r="M786" s="44"/>
      <c r="N786" s="44"/>
      <c r="O786" s="44"/>
      <c r="P786" s="44"/>
      <c r="Q786" s="44"/>
      <c r="R786" s="44"/>
      <c r="S786" s="44"/>
      <c r="T786" s="44"/>
      <c r="U786" s="44"/>
      <c r="V786" s="44"/>
      <c r="W786" s="44"/>
      <c r="X786" s="44"/>
      <c r="Y786" s="44"/>
      <c r="Z786" s="44"/>
      <c r="AB786" s="37" t="str">
        <f aca="false">TRIM($A786&amp;"")</f>
        <v/>
      </c>
      <c r="AC786" s="37" t="str">
        <f aca="false">IF(AB786="","",IFERROR(INDEX('Account Map'!$B:$B,MATCH(AB786,'Account Map'!$A:$A,0)),""))</f>
        <v/>
      </c>
      <c r="AD786" s="37" t="str">
        <f aca="false">IF(AB786="","",IFERROR(INDEX('Account Map'!$C:$C,MATCH(AB786,'Account Map'!$A:$A,0)),""))</f>
        <v/>
      </c>
      <c r="AE786" s="37" t="n">
        <f aca="false">IF(AND(AB786&lt;&gt;"",AC786="",COUNT($B786:$Z786)&gt;0,LEFT(AB786,5)&lt;&gt;"Total",AB786&lt;&gt;"Gross Profit",AB786&lt;&gt;"Net Profit",AB786&lt;&gt;"Operating Profit"),1,0)</f>
        <v>0</v>
      </c>
    </row>
    <row r="787" customFormat="false" ht="15" hidden="false" customHeight="false" outlineLevel="0" collapsed="false">
      <c r="B787" s="44"/>
      <c r="C787" s="44"/>
      <c r="D787" s="44"/>
      <c r="E787" s="44"/>
      <c r="F787" s="44"/>
      <c r="G787" s="44"/>
      <c r="H787" s="44"/>
      <c r="I787" s="44"/>
      <c r="J787" s="44"/>
      <c r="K787" s="44"/>
      <c r="L787" s="44"/>
      <c r="M787" s="44"/>
      <c r="N787" s="44"/>
      <c r="O787" s="44"/>
      <c r="P787" s="44"/>
      <c r="Q787" s="44"/>
      <c r="R787" s="44"/>
      <c r="S787" s="44"/>
      <c r="T787" s="44"/>
      <c r="U787" s="44"/>
      <c r="V787" s="44"/>
      <c r="W787" s="44"/>
      <c r="X787" s="44"/>
      <c r="Y787" s="44"/>
      <c r="Z787" s="44"/>
      <c r="AB787" s="37" t="str">
        <f aca="false">TRIM($A787&amp;"")</f>
        <v/>
      </c>
      <c r="AC787" s="37" t="str">
        <f aca="false">IF(AB787="","",IFERROR(INDEX('Account Map'!$B:$B,MATCH(AB787,'Account Map'!$A:$A,0)),""))</f>
        <v/>
      </c>
      <c r="AD787" s="37" t="str">
        <f aca="false">IF(AB787="","",IFERROR(INDEX('Account Map'!$C:$C,MATCH(AB787,'Account Map'!$A:$A,0)),""))</f>
        <v/>
      </c>
      <c r="AE787" s="37" t="n">
        <f aca="false">IF(AND(AB787&lt;&gt;"",AC787="",COUNT($B787:$Z787)&gt;0,LEFT(AB787,5)&lt;&gt;"Total",AB787&lt;&gt;"Gross Profit",AB787&lt;&gt;"Net Profit",AB787&lt;&gt;"Operating Profit"),1,0)</f>
        <v>0</v>
      </c>
    </row>
    <row r="788" customFormat="false" ht="15" hidden="false" customHeight="false" outlineLevel="0" collapsed="false">
      <c r="B788" s="44"/>
      <c r="C788" s="44"/>
      <c r="D788" s="44"/>
      <c r="E788" s="44"/>
      <c r="F788" s="44"/>
      <c r="G788" s="44"/>
      <c r="H788" s="44"/>
      <c r="I788" s="44"/>
      <c r="J788" s="44"/>
      <c r="K788" s="44"/>
      <c r="L788" s="44"/>
      <c r="M788" s="44"/>
      <c r="N788" s="44"/>
      <c r="O788" s="44"/>
      <c r="P788" s="44"/>
      <c r="Q788" s="44"/>
      <c r="R788" s="44"/>
      <c r="S788" s="44"/>
      <c r="T788" s="44"/>
      <c r="U788" s="44"/>
      <c r="V788" s="44"/>
      <c r="W788" s="44"/>
      <c r="X788" s="44"/>
      <c r="Y788" s="44"/>
      <c r="Z788" s="44"/>
      <c r="AB788" s="37" t="str">
        <f aca="false">TRIM($A788&amp;"")</f>
        <v/>
      </c>
      <c r="AC788" s="37" t="str">
        <f aca="false">IF(AB788="","",IFERROR(INDEX('Account Map'!$B:$B,MATCH(AB788,'Account Map'!$A:$A,0)),""))</f>
        <v/>
      </c>
      <c r="AD788" s="37" t="str">
        <f aca="false">IF(AB788="","",IFERROR(INDEX('Account Map'!$C:$C,MATCH(AB788,'Account Map'!$A:$A,0)),""))</f>
        <v/>
      </c>
      <c r="AE788" s="37" t="n">
        <f aca="false">IF(AND(AB788&lt;&gt;"",AC788="",COUNT($B788:$Z788)&gt;0,LEFT(AB788,5)&lt;&gt;"Total",AB788&lt;&gt;"Gross Profit",AB788&lt;&gt;"Net Profit",AB788&lt;&gt;"Operating Profit"),1,0)</f>
        <v>0</v>
      </c>
    </row>
    <row r="789" customFormat="false" ht="15" hidden="false" customHeight="false" outlineLevel="0" collapsed="false">
      <c r="B789" s="44"/>
      <c r="C789" s="44"/>
      <c r="D789" s="44"/>
      <c r="E789" s="44"/>
      <c r="F789" s="44"/>
      <c r="G789" s="44"/>
      <c r="H789" s="44"/>
      <c r="I789" s="44"/>
      <c r="J789" s="44"/>
      <c r="K789" s="44"/>
      <c r="L789" s="44"/>
      <c r="M789" s="44"/>
      <c r="N789" s="44"/>
      <c r="O789" s="44"/>
      <c r="P789" s="44"/>
      <c r="Q789" s="44"/>
      <c r="R789" s="44"/>
      <c r="S789" s="44"/>
      <c r="T789" s="44"/>
      <c r="U789" s="44"/>
      <c r="V789" s="44"/>
      <c r="W789" s="44"/>
      <c r="X789" s="44"/>
      <c r="Y789" s="44"/>
      <c r="Z789" s="44"/>
      <c r="AB789" s="37" t="str">
        <f aca="false">TRIM($A789&amp;"")</f>
        <v/>
      </c>
      <c r="AC789" s="37" t="str">
        <f aca="false">IF(AB789="","",IFERROR(INDEX('Account Map'!$B:$B,MATCH(AB789,'Account Map'!$A:$A,0)),""))</f>
        <v/>
      </c>
      <c r="AD789" s="37" t="str">
        <f aca="false">IF(AB789="","",IFERROR(INDEX('Account Map'!$C:$C,MATCH(AB789,'Account Map'!$A:$A,0)),""))</f>
        <v/>
      </c>
      <c r="AE789" s="37" t="n">
        <f aca="false">IF(AND(AB789&lt;&gt;"",AC789="",COUNT($B789:$Z789)&gt;0,LEFT(AB789,5)&lt;&gt;"Total",AB789&lt;&gt;"Gross Profit",AB789&lt;&gt;"Net Profit",AB789&lt;&gt;"Operating Profit"),1,0)</f>
        <v>0</v>
      </c>
    </row>
    <row r="790" customFormat="false" ht="15" hidden="false" customHeight="false" outlineLevel="0" collapsed="false">
      <c r="B790" s="44"/>
      <c r="C790" s="44"/>
      <c r="D790" s="44"/>
      <c r="E790" s="44"/>
      <c r="F790" s="44"/>
      <c r="G790" s="44"/>
      <c r="H790" s="44"/>
      <c r="I790" s="44"/>
      <c r="J790" s="44"/>
      <c r="K790" s="44"/>
      <c r="L790" s="44"/>
      <c r="M790" s="44"/>
      <c r="N790" s="44"/>
      <c r="O790" s="44"/>
      <c r="P790" s="44"/>
      <c r="Q790" s="44"/>
      <c r="R790" s="44"/>
      <c r="S790" s="44"/>
      <c r="T790" s="44"/>
      <c r="U790" s="44"/>
      <c r="V790" s="44"/>
      <c r="W790" s="44"/>
      <c r="X790" s="44"/>
      <c r="Y790" s="44"/>
      <c r="Z790" s="44"/>
      <c r="AB790" s="37" t="str">
        <f aca="false">TRIM($A790&amp;"")</f>
        <v/>
      </c>
      <c r="AC790" s="37" t="str">
        <f aca="false">IF(AB790="","",IFERROR(INDEX('Account Map'!$B:$B,MATCH(AB790,'Account Map'!$A:$A,0)),""))</f>
        <v/>
      </c>
      <c r="AD790" s="37" t="str">
        <f aca="false">IF(AB790="","",IFERROR(INDEX('Account Map'!$C:$C,MATCH(AB790,'Account Map'!$A:$A,0)),""))</f>
        <v/>
      </c>
      <c r="AE790" s="37" t="n">
        <f aca="false">IF(AND(AB790&lt;&gt;"",AC790="",COUNT($B790:$Z790)&gt;0,LEFT(AB790,5)&lt;&gt;"Total",AB790&lt;&gt;"Gross Profit",AB790&lt;&gt;"Net Profit",AB790&lt;&gt;"Operating Profit"),1,0)</f>
        <v>0</v>
      </c>
    </row>
    <row r="791" customFormat="false" ht="15" hidden="false" customHeight="false" outlineLevel="0" collapsed="false">
      <c r="B791" s="44"/>
      <c r="C791" s="44"/>
      <c r="D791" s="44"/>
      <c r="E791" s="44"/>
      <c r="F791" s="44"/>
      <c r="G791" s="44"/>
      <c r="H791" s="44"/>
      <c r="I791" s="44"/>
      <c r="J791" s="44"/>
      <c r="K791" s="44"/>
      <c r="L791" s="44"/>
      <c r="M791" s="44"/>
      <c r="N791" s="44"/>
      <c r="O791" s="44"/>
      <c r="P791" s="44"/>
      <c r="Q791" s="44"/>
      <c r="R791" s="44"/>
      <c r="S791" s="44"/>
      <c r="T791" s="44"/>
      <c r="U791" s="44"/>
      <c r="V791" s="44"/>
      <c r="W791" s="44"/>
      <c r="X791" s="44"/>
      <c r="Y791" s="44"/>
      <c r="Z791" s="44"/>
      <c r="AB791" s="37" t="str">
        <f aca="false">TRIM($A791&amp;"")</f>
        <v/>
      </c>
      <c r="AC791" s="37" t="str">
        <f aca="false">IF(AB791="","",IFERROR(INDEX('Account Map'!$B:$B,MATCH(AB791,'Account Map'!$A:$A,0)),""))</f>
        <v/>
      </c>
      <c r="AD791" s="37" t="str">
        <f aca="false">IF(AB791="","",IFERROR(INDEX('Account Map'!$C:$C,MATCH(AB791,'Account Map'!$A:$A,0)),""))</f>
        <v/>
      </c>
      <c r="AE791" s="37" t="n">
        <f aca="false">IF(AND(AB791&lt;&gt;"",AC791="",COUNT($B791:$Z791)&gt;0,LEFT(AB791,5)&lt;&gt;"Total",AB791&lt;&gt;"Gross Profit",AB791&lt;&gt;"Net Profit",AB791&lt;&gt;"Operating Profit"),1,0)</f>
        <v>0</v>
      </c>
    </row>
    <row r="792" customFormat="false" ht="15" hidden="false" customHeight="false" outlineLevel="0" collapsed="false">
      <c r="B792" s="44"/>
      <c r="C792" s="44"/>
      <c r="D792" s="44"/>
      <c r="E792" s="44"/>
      <c r="F792" s="44"/>
      <c r="G792" s="44"/>
      <c r="H792" s="44"/>
      <c r="I792" s="44"/>
      <c r="J792" s="44"/>
      <c r="K792" s="44"/>
      <c r="L792" s="44"/>
      <c r="M792" s="44"/>
      <c r="N792" s="44"/>
      <c r="O792" s="44"/>
      <c r="P792" s="44"/>
      <c r="Q792" s="44"/>
      <c r="R792" s="44"/>
      <c r="S792" s="44"/>
      <c r="T792" s="44"/>
      <c r="U792" s="44"/>
      <c r="V792" s="44"/>
      <c r="W792" s="44"/>
      <c r="X792" s="44"/>
      <c r="Y792" s="44"/>
      <c r="Z792" s="44"/>
      <c r="AB792" s="37" t="str">
        <f aca="false">TRIM($A792&amp;"")</f>
        <v/>
      </c>
      <c r="AC792" s="37" t="str">
        <f aca="false">IF(AB792="","",IFERROR(INDEX('Account Map'!$B:$B,MATCH(AB792,'Account Map'!$A:$A,0)),""))</f>
        <v/>
      </c>
      <c r="AD792" s="37" t="str">
        <f aca="false">IF(AB792="","",IFERROR(INDEX('Account Map'!$C:$C,MATCH(AB792,'Account Map'!$A:$A,0)),""))</f>
        <v/>
      </c>
      <c r="AE792" s="37" t="n">
        <f aca="false">IF(AND(AB792&lt;&gt;"",AC792="",COUNT($B792:$Z792)&gt;0,LEFT(AB792,5)&lt;&gt;"Total",AB792&lt;&gt;"Gross Profit",AB792&lt;&gt;"Net Profit",AB792&lt;&gt;"Operating Profit"),1,0)</f>
        <v>0</v>
      </c>
    </row>
    <row r="793" customFormat="false" ht="15" hidden="false" customHeight="false" outlineLevel="0" collapsed="false">
      <c r="B793" s="44"/>
      <c r="C793" s="44"/>
      <c r="D793" s="44"/>
      <c r="E793" s="44"/>
      <c r="F793" s="44"/>
      <c r="G793" s="44"/>
      <c r="H793" s="44"/>
      <c r="I793" s="44"/>
      <c r="J793" s="44"/>
      <c r="K793" s="44"/>
      <c r="L793" s="44"/>
      <c r="M793" s="44"/>
      <c r="N793" s="44"/>
      <c r="O793" s="44"/>
      <c r="P793" s="44"/>
      <c r="Q793" s="44"/>
      <c r="R793" s="44"/>
      <c r="S793" s="44"/>
      <c r="T793" s="44"/>
      <c r="U793" s="44"/>
      <c r="V793" s="44"/>
      <c r="W793" s="44"/>
      <c r="X793" s="44"/>
      <c r="Y793" s="44"/>
      <c r="Z793" s="44"/>
      <c r="AB793" s="37" t="str">
        <f aca="false">TRIM($A793&amp;"")</f>
        <v/>
      </c>
      <c r="AC793" s="37" t="str">
        <f aca="false">IF(AB793="","",IFERROR(INDEX('Account Map'!$B:$B,MATCH(AB793,'Account Map'!$A:$A,0)),""))</f>
        <v/>
      </c>
      <c r="AD793" s="37" t="str">
        <f aca="false">IF(AB793="","",IFERROR(INDEX('Account Map'!$C:$C,MATCH(AB793,'Account Map'!$A:$A,0)),""))</f>
        <v/>
      </c>
      <c r="AE793" s="37" t="n">
        <f aca="false">IF(AND(AB793&lt;&gt;"",AC793="",COUNT($B793:$Z793)&gt;0,LEFT(AB793,5)&lt;&gt;"Total",AB793&lt;&gt;"Gross Profit",AB793&lt;&gt;"Net Profit",AB793&lt;&gt;"Operating Profit"),1,0)</f>
        <v>0</v>
      </c>
    </row>
    <row r="794" customFormat="false" ht="15" hidden="false" customHeight="false" outlineLevel="0" collapsed="false">
      <c r="B794" s="44"/>
      <c r="C794" s="44"/>
      <c r="D794" s="44"/>
      <c r="E794" s="44"/>
      <c r="F794" s="44"/>
      <c r="G794" s="44"/>
      <c r="H794" s="44"/>
      <c r="I794" s="44"/>
      <c r="J794" s="44"/>
      <c r="K794" s="44"/>
      <c r="L794" s="44"/>
      <c r="M794" s="44"/>
      <c r="N794" s="44"/>
      <c r="O794" s="44"/>
      <c r="P794" s="44"/>
      <c r="Q794" s="44"/>
      <c r="R794" s="44"/>
      <c r="S794" s="44"/>
      <c r="T794" s="44"/>
      <c r="U794" s="44"/>
      <c r="V794" s="44"/>
      <c r="W794" s="44"/>
      <c r="X794" s="44"/>
      <c r="Y794" s="44"/>
      <c r="Z794" s="44"/>
      <c r="AB794" s="37" t="str">
        <f aca="false">TRIM($A794&amp;"")</f>
        <v/>
      </c>
      <c r="AC794" s="37" t="str">
        <f aca="false">IF(AB794="","",IFERROR(INDEX('Account Map'!$B:$B,MATCH(AB794,'Account Map'!$A:$A,0)),""))</f>
        <v/>
      </c>
      <c r="AD794" s="37" t="str">
        <f aca="false">IF(AB794="","",IFERROR(INDEX('Account Map'!$C:$C,MATCH(AB794,'Account Map'!$A:$A,0)),""))</f>
        <v/>
      </c>
      <c r="AE794" s="37" t="n">
        <f aca="false">IF(AND(AB794&lt;&gt;"",AC794="",COUNT($B794:$Z794)&gt;0,LEFT(AB794,5)&lt;&gt;"Total",AB794&lt;&gt;"Gross Profit",AB794&lt;&gt;"Net Profit",AB794&lt;&gt;"Operating Profit"),1,0)</f>
        <v>0</v>
      </c>
    </row>
    <row r="795" customFormat="false" ht="15" hidden="false" customHeight="false" outlineLevel="0" collapsed="false">
      <c r="B795" s="44"/>
      <c r="C795" s="44"/>
      <c r="D795" s="44"/>
      <c r="E795" s="44"/>
      <c r="F795" s="44"/>
      <c r="G795" s="44"/>
      <c r="H795" s="44"/>
      <c r="I795" s="44"/>
      <c r="J795" s="44"/>
      <c r="K795" s="44"/>
      <c r="L795" s="44"/>
      <c r="M795" s="44"/>
      <c r="N795" s="44"/>
      <c r="O795" s="44"/>
      <c r="P795" s="44"/>
      <c r="Q795" s="44"/>
      <c r="R795" s="44"/>
      <c r="S795" s="44"/>
      <c r="T795" s="44"/>
      <c r="U795" s="44"/>
      <c r="V795" s="44"/>
      <c r="W795" s="44"/>
      <c r="X795" s="44"/>
      <c r="Y795" s="44"/>
      <c r="Z795" s="44"/>
      <c r="AB795" s="37" t="str">
        <f aca="false">TRIM($A795&amp;"")</f>
        <v/>
      </c>
      <c r="AC795" s="37" t="str">
        <f aca="false">IF(AB795="","",IFERROR(INDEX('Account Map'!$B:$B,MATCH(AB795,'Account Map'!$A:$A,0)),""))</f>
        <v/>
      </c>
      <c r="AD795" s="37" t="str">
        <f aca="false">IF(AB795="","",IFERROR(INDEX('Account Map'!$C:$C,MATCH(AB795,'Account Map'!$A:$A,0)),""))</f>
        <v/>
      </c>
      <c r="AE795" s="37" t="n">
        <f aca="false">IF(AND(AB795&lt;&gt;"",AC795="",COUNT($B795:$Z795)&gt;0,LEFT(AB795,5)&lt;&gt;"Total",AB795&lt;&gt;"Gross Profit",AB795&lt;&gt;"Net Profit",AB795&lt;&gt;"Operating Profit"),1,0)</f>
        <v>0</v>
      </c>
    </row>
    <row r="796" customFormat="false" ht="15" hidden="false" customHeight="false" outlineLevel="0" collapsed="false">
      <c r="B796" s="44"/>
      <c r="C796" s="44"/>
      <c r="D796" s="44"/>
      <c r="E796" s="44"/>
      <c r="F796" s="44"/>
      <c r="G796" s="44"/>
      <c r="H796" s="44"/>
      <c r="I796" s="44"/>
      <c r="J796" s="44"/>
      <c r="K796" s="44"/>
      <c r="L796" s="44"/>
      <c r="M796" s="44"/>
      <c r="N796" s="44"/>
      <c r="O796" s="44"/>
      <c r="P796" s="44"/>
      <c r="Q796" s="44"/>
      <c r="R796" s="44"/>
      <c r="S796" s="44"/>
      <c r="T796" s="44"/>
      <c r="U796" s="44"/>
      <c r="V796" s="44"/>
      <c r="W796" s="44"/>
      <c r="X796" s="44"/>
      <c r="Y796" s="44"/>
      <c r="Z796" s="44"/>
      <c r="AB796" s="37" t="str">
        <f aca="false">TRIM($A796&amp;"")</f>
        <v/>
      </c>
      <c r="AC796" s="37" t="str">
        <f aca="false">IF(AB796="","",IFERROR(INDEX('Account Map'!$B:$B,MATCH(AB796,'Account Map'!$A:$A,0)),""))</f>
        <v/>
      </c>
      <c r="AD796" s="37" t="str">
        <f aca="false">IF(AB796="","",IFERROR(INDEX('Account Map'!$C:$C,MATCH(AB796,'Account Map'!$A:$A,0)),""))</f>
        <v/>
      </c>
      <c r="AE796" s="37" t="n">
        <f aca="false">IF(AND(AB796&lt;&gt;"",AC796="",COUNT($B796:$Z796)&gt;0,LEFT(AB796,5)&lt;&gt;"Total",AB796&lt;&gt;"Gross Profit",AB796&lt;&gt;"Net Profit",AB796&lt;&gt;"Operating Profit"),1,0)</f>
        <v>0</v>
      </c>
    </row>
    <row r="797" customFormat="false" ht="15" hidden="false" customHeight="false" outlineLevel="0" collapsed="false">
      <c r="B797" s="44"/>
      <c r="C797" s="44"/>
      <c r="D797" s="44"/>
      <c r="E797" s="44"/>
      <c r="F797" s="44"/>
      <c r="G797" s="44"/>
      <c r="H797" s="44"/>
      <c r="I797" s="44"/>
      <c r="J797" s="44"/>
      <c r="K797" s="44"/>
      <c r="L797" s="44"/>
      <c r="M797" s="44"/>
      <c r="N797" s="44"/>
      <c r="O797" s="44"/>
      <c r="P797" s="44"/>
      <c r="Q797" s="44"/>
      <c r="R797" s="44"/>
      <c r="S797" s="44"/>
      <c r="T797" s="44"/>
      <c r="U797" s="44"/>
      <c r="V797" s="44"/>
      <c r="W797" s="44"/>
      <c r="X797" s="44"/>
      <c r="Y797" s="44"/>
      <c r="Z797" s="44"/>
      <c r="AB797" s="37" t="str">
        <f aca="false">TRIM($A797&amp;"")</f>
        <v/>
      </c>
      <c r="AC797" s="37" t="str">
        <f aca="false">IF(AB797="","",IFERROR(INDEX('Account Map'!$B:$B,MATCH(AB797,'Account Map'!$A:$A,0)),""))</f>
        <v/>
      </c>
      <c r="AD797" s="37" t="str">
        <f aca="false">IF(AB797="","",IFERROR(INDEX('Account Map'!$C:$C,MATCH(AB797,'Account Map'!$A:$A,0)),""))</f>
        <v/>
      </c>
      <c r="AE797" s="37" t="n">
        <f aca="false">IF(AND(AB797&lt;&gt;"",AC797="",COUNT($B797:$Z797)&gt;0,LEFT(AB797,5)&lt;&gt;"Total",AB797&lt;&gt;"Gross Profit",AB797&lt;&gt;"Net Profit",AB797&lt;&gt;"Operating Profit"),1,0)</f>
        <v>0</v>
      </c>
    </row>
    <row r="798" customFormat="false" ht="15" hidden="false" customHeight="false" outlineLevel="0" collapsed="false">
      <c r="B798" s="44"/>
      <c r="C798" s="44"/>
      <c r="D798" s="44"/>
      <c r="E798" s="44"/>
      <c r="F798" s="44"/>
      <c r="G798" s="44"/>
      <c r="H798" s="44"/>
      <c r="I798" s="44"/>
      <c r="J798" s="44"/>
      <c r="K798" s="44"/>
      <c r="L798" s="44"/>
      <c r="M798" s="44"/>
      <c r="N798" s="44"/>
      <c r="O798" s="44"/>
      <c r="P798" s="44"/>
      <c r="Q798" s="44"/>
      <c r="R798" s="44"/>
      <c r="S798" s="44"/>
      <c r="T798" s="44"/>
      <c r="U798" s="44"/>
      <c r="V798" s="44"/>
      <c r="W798" s="44"/>
      <c r="X798" s="44"/>
      <c r="Y798" s="44"/>
      <c r="Z798" s="44"/>
      <c r="AB798" s="37" t="str">
        <f aca="false">TRIM($A798&amp;"")</f>
        <v/>
      </c>
      <c r="AC798" s="37" t="str">
        <f aca="false">IF(AB798="","",IFERROR(INDEX('Account Map'!$B:$B,MATCH(AB798,'Account Map'!$A:$A,0)),""))</f>
        <v/>
      </c>
      <c r="AD798" s="37" t="str">
        <f aca="false">IF(AB798="","",IFERROR(INDEX('Account Map'!$C:$C,MATCH(AB798,'Account Map'!$A:$A,0)),""))</f>
        <v/>
      </c>
      <c r="AE798" s="37" t="n">
        <f aca="false">IF(AND(AB798&lt;&gt;"",AC798="",COUNT($B798:$Z798)&gt;0,LEFT(AB798,5)&lt;&gt;"Total",AB798&lt;&gt;"Gross Profit",AB798&lt;&gt;"Net Profit",AB798&lt;&gt;"Operating Profit"),1,0)</f>
        <v>0</v>
      </c>
    </row>
    <row r="799" customFormat="false" ht="15" hidden="false" customHeight="false" outlineLevel="0" collapsed="false">
      <c r="B799" s="44"/>
      <c r="C799" s="44"/>
      <c r="D799" s="44"/>
      <c r="E799" s="44"/>
      <c r="F799" s="44"/>
      <c r="G799" s="44"/>
      <c r="H799" s="44"/>
      <c r="I799" s="44"/>
      <c r="J799" s="44"/>
      <c r="K799" s="44"/>
      <c r="L799" s="44"/>
      <c r="M799" s="44"/>
      <c r="N799" s="44"/>
      <c r="O799" s="44"/>
      <c r="P799" s="44"/>
      <c r="Q799" s="44"/>
      <c r="R799" s="44"/>
      <c r="S799" s="44"/>
      <c r="T799" s="44"/>
      <c r="U799" s="44"/>
      <c r="V799" s="44"/>
      <c r="W799" s="44"/>
      <c r="X799" s="44"/>
      <c r="Y799" s="44"/>
      <c r="Z799" s="44"/>
      <c r="AB799" s="37" t="str">
        <f aca="false">TRIM($A799&amp;"")</f>
        <v/>
      </c>
      <c r="AC799" s="37" t="str">
        <f aca="false">IF(AB799="","",IFERROR(INDEX('Account Map'!$B:$B,MATCH(AB799,'Account Map'!$A:$A,0)),""))</f>
        <v/>
      </c>
      <c r="AD799" s="37" t="str">
        <f aca="false">IF(AB799="","",IFERROR(INDEX('Account Map'!$C:$C,MATCH(AB799,'Account Map'!$A:$A,0)),""))</f>
        <v/>
      </c>
      <c r="AE799" s="37" t="n">
        <f aca="false">IF(AND(AB799&lt;&gt;"",AC799="",COUNT($B799:$Z799)&gt;0,LEFT(AB799,5)&lt;&gt;"Total",AB799&lt;&gt;"Gross Profit",AB799&lt;&gt;"Net Profit",AB799&lt;&gt;"Operating Profit"),1,0)</f>
        <v>0</v>
      </c>
    </row>
    <row r="800" customFormat="false" ht="15" hidden="false" customHeight="false" outlineLevel="0" collapsed="false">
      <c r="B800" s="44"/>
      <c r="C800" s="44"/>
      <c r="D800" s="44"/>
      <c r="E800" s="44"/>
      <c r="F800" s="44"/>
      <c r="G800" s="44"/>
      <c r="H800" s="44"/>
      <c r="I800" s="44"/>
      <c r="J800" s="44"/>
      <c r="K800" s="44"/>
      <c r="L800" s="44"/>
      <c r="M800" s="44"/>
      <c r="N800" s="44"/>
      <c r="O800" s="44"/>
      <c r="P800" s="44"/>
      <c r="Q800" s="44"/>
      <c r="R800" s="44"/>
      <c r="S800" s="44"/>
      <c r="T800" s="44"/>
      <c r="U800" s="44"/>
      <c r="V800" s="44"/>
      <c r="W800" s="44"/>
      <c r="X800" s="44"/>
      <c r="Y800" s="44"/>
      <c r="Z800" s="44"/>
      <c r="AB800" s="37" t="str">
        <f aca="false">TRIM($A800&amp;"")</f>
        <v/>
      </c>
      <c r="AC800" s="37" t="str">
        <f aca="false">IF(AB800="","",IFERROR(INDEX('Account Map'!$B:$B,MATCH(AB800,'Account Map'!$A:$A,0)),""))</f>
        <v/>
      </c>
      <c r="AD800" s="37" t="str">
        <f aca="false">IF(AB800="","",IFERROR(INDEX('Account Map'!$C:$C,MATCH(AB800,'Account Map'!$A:$A,0)),""))</f>
        <v/>
      </c>
      <c r="AE800" s="37" t="n">
        <f aca="false">IF(AND(AB800&lt;&gt;"",AC800="",COUNT($B800:$Z800)&gt;0,LEFT(AB800,5)&lt;&gt;"Total",AB800&lt;&gt;"Gross Profit",AB800&lt;&gt;"Net Profit",AB800&lt;&gt;"Operating Profit"),1,0)</f>
        <v>0</v>
      </c>
    </row>
    <row r="801" customFormat="false" ht="15" hidden="false" customHeight="false" outlineLevel="0" collapsed="false">
      <c r="B801" s="44"/>
      <c r="C801" s="44"/>
      <c r="D801" s="44"/>
      <c r="E801" s="44"/>
      <c r="F801" s="44"/>
      <c r="G801" s="44"/>
      <c r="H801" s="44"/>
      <c r="I801" s="44"/>
      <c r="J801" s="44"/>
      <c r="K801" s="44"/>
      <c r="L801" s="44"/>
      <c r="M801" s="44"/>
      <c r="N801" s="44"/>
      <c r="O801" s="44"/>
      <c r="P801" s="44"/>
      <c r="Q801" s="44"/>
      <c r="R801" s="44"/>
      <c r="S801" s="44"/>
      <c r="T801" s="44"/>
      <c r="U801" s="44"/>
      <c r="V801" s="44"/>
      <c r="W801" s="44"/>
      <c r="X801" s="44"/>
      <c r="Y801" s="44"/>
      <c r="Z801" s="44"/>
      <c r="AB801" s="37" t="str">
        <f aca="false">TRIM($A801&amp;"")</f>
        <v/>
      </c>
      <c r="AC801" s="37" t="str">
        <f aca="false">IF(AB801="","",IFERROR(INDEX('Account Map'!$B:$B,MATCH(AB801,'Account Map'!$A:$A,0)),""))</f>
        <v/>
      </c>
      <c r="AD801" s="37" t="str">
        <f aca="false">IF(AB801="","",IFERROR(INDEX('Account Map'!$C:$C,MATCH(AB801,'Account Map'!$A:$A,0)),""))</f>
        <v/>
      </c>
      <c r="AE801" s="37" t="n">
        <f aca="false">IF(AND(AB801&lt;&gt;"",AC801="",COUNT($B801:$Z801)&gt;0,LEFT(AB801,5)&lt;&gt;"Total",AB801&lt;&gt;"Gross Profit",AB801&lt;&gt;"Net Profit",AB801&lt;&gt;"Operating Profit"),1,0)</f>
        <v>0</v>
      </c>
    </row>
    <row r="802" customFormat="false" ht="15" hidden="false" customHeight="false" outlineLevel="0" collapsed="false">
      <c r="B802" s="44"/>
      <c r="C802" s="44"/>
      <c r="D802" s="44"/>
      <c r="E802" s="44"/>
      <c r="F802" s="44"/>
      <c r="G802" s="44"/>
      <c r="H802" s="44"/>
      <c r="I802" s="44"/>
      <c r="J802" s="44"/>
      <c r="K802" s="44"/>
      <c r="L802" s="44"/>
      <c r="M802" s="44"/>
      <c r="N802" s="44"/>
      <c r="O802" s="44"/>
      <c r="P802" s="44"/>
      <c r="Q802" s="44"/>
      <c r="R802" s="44"/>
      <c r="S802" s="44"/>
      <c r="T802" s="44"/>
      <c r="U802" s="44"/>
      <c r="V802" s="44"/>
      <c r="W802" s="44"/>
      <c r="X802" s="44"/>
      <c r="Y802" s="44"/>
      <c r="Z802" s="44"/>
      <c r="AB802" s="37" t="str">
        <f aca="false">TRIM($A802&amp;"")</f>
        <v/>
      </c>
      <c r="AC802" s="37" t="str">
        <f aca="false">IF(AB802="","",IFERROR(INDEX('Account Map'!$B:$B,MATCH(AB802,'Account Map'!$A:$A,0)),""))</f>
        <v/>
      </c>
      <c r="AD802" s="37" t="str">
        <f aca="false">IF(AB802="","",IFERROR(INDEX('Account Map'!$C:$C,MATCH(AB802,'Account Map'!$A:$A,0)),""))</f>
        <v/>
      </c>
      <c r="AE802" s="37" t="n">
        <f aca="false">IF(AND(AB802&lt;&gt;"",AC802="",COUNT($B802:$Z802)&gt;0,LEFT(AB802,5)&lt;&gt;"Total",AB802&lt;&gt;"Gross Profit",AB802&lt;&gt;"Net Profit",AB802&lt;&gt;"Operating Profit"),1,0)</f>
        <v>0</v>
      </c>
    </row>
    <row r="803" customFormat="false" ht="15" hidden="false" customHeight="false" outlineLevel="0" collapsed="false">
      <c r="B803" s="44"/>
      <c r="C803" s="44"/>
      <c r="D803" s="44"/>
      <c r="E803" s="44"/>
      <c r="F803" s="44"/>
      <c r="G803" s="44"/>
      <c r="H803" s="44"/>
      <c r="I803" s="44"/>
      <c r="J803" s="44"/>
      <c r="K803" s="44"/>
      <c r="L803" s="44"/>
      <c r="M803" s="44"/>
      <c r="N803" s="44"/>
      <c r="O803" s="44"/>
      <c r="P803" s="44"/>
      <c r="Q803" s="44"/>
      <c r="R803" s="44"/>
      <c r="S803" s="44"/>
      <c r="T803" s="44"/>
      <c r="U803" s="44"/>
      <c r="V803" s="44"/>
      <c r="W803" s="44"/>
      <c r="X803" s="44"/>
      <c r="Y803" s="44"/>
      <c r="Z803" s="44"/>
      <c r="AB803" s="37" t="str">
        <f aca="false">TRIM($A803&amp;"")</f>
        <v/>
      </c>
      <c r="AC803" s="37" t="str">
        <f aca="false">IF(AB803="","",IFERROR(INDEX('Account Map'!$B:$B,MATCH(AB803,'Account Map'!$A:$A,0)),""))</f>
        <v/>
      </c>
      <c r="AD803" s="37" t="str">
        <f aca="false">IF(AB803="","",IFERROR(INDEX('Account Map'!$C:$C,MATCH(AB803,'Account Map'!$A:$A,0)),""))</f>
        <v/>
      </c>
      <c r="AE803" s="37" t="n">
        <f aca="false">IF(AND(AB803&lt;&gt;"",AC803="",COUNT($B803:$Z803)&gt;0,LEFT(AB803,5)&lt;&gt;"Total",AB803&lt;&gt;"Gross Profit",AB803&lt;&gt;"Net Profit",AB803&lt;&gt;"Operating Profit"),1,0)</f>
        <v>0</v>
      </c>
    </row>
    <row r="804" customFormat="false" ht="15" hidden="false" customHeight="false" outlineLevel="0" collapsed="false">
      <c r="B804" s="44"/>
      <c r="C804" s="44"/>
      <c r="D804" s="44"/>
      <c r="E804" s="44"/>
      <c r="F804" s="44"/>
      <c r="G804" s="44"/>
      <c r="H804" s="44"/>
      <c r="I804" s="44"/>
      <c r="J804" s="44"/>
      <c r="K804" s="44"/>
      <c r="L804" s="44"/>
      <c r="M804" s="44"/>
      <c r="N804" s="44"/>
      <c r="O804" s="44"/>
      <c r="P804" s="44"/>
      <c r="Q804" s="44"/>
      <c r="R804" s="44"/>
      <c r="S804" s="44"/>
      <c r="T804" s="44"/>
      <c r="U804" s="44"/>
      <c r="V804" s="44"/>
      <c r="W804" s="44"/>
      <c r="X804" s="44"/>
      <c r="Y804" s="44"/>
      <c r="Z804" s="44"/>
      <c r="AB804" s="37" t="str">
        <f aca="false">TRIM($A804&amp;"")</f>
        <v/>
      </c>
      <c r="AC804" s="37" t="str">
        <f aca="false">IF(AB804="","",IFERROR(INDEX('Account Map'!$B:$B,MATCH(AB804,'Account Map'!$A:$A,0)),""))</f>
        <v/>
      </c>
      <c r="AD804" s="37" t="str">
        <f aca="false">IF(AB804="","",IFERROR(INDEX('Account Map'!$C:$C,MATCH(AB804,'Account Map'!$A:$A,0)),""))</f>
        <v/>
      </c>
      <c r="AE804" s="37" t="n">
        <f aca="false">IF(AND(AB804&lt;&gt;"",AC804="",COUNT($B804:$Z804)&gt;0,LEFT(AB804,5)&lt;&gt;"Total",AB804&lt;&gt;"Gross Profit",AB804&lt;&gt;"Net Profit",AB804&lt;&gt;"Operating Profit"),1,0)</f>
        <v>0</v>
      </c>
    </row>
    <row r="805" customFormat="false" ht="15" hidden="false" customHeight="false" outlineLevel="0" collapsed="false">
      <c r="B805" s="44"/>
      <c r="C805" s="44"/>
      <c r="D805" s="44"/>
      <c r="E805" s="44"/>
      <c r="F805" s="44"/>
      <c r="G805" s="44"/>
      <c r="H805" s="44"/>
      <c r="I805" s="44"/>
      <c r="J805" s="44"/>
      <c r="K805" s="44"/>
      <c r="L805" s="44"/>
      <c r="M805" s="44"/>
      <c r="N805" s="44"/>
      <c r="O805" s="44"/>
      <c r="P805" s="44"/>
      <c r="Q805" s="44"/>
      <c r="R805" s="44"/>
      <c r="S805" s="44"/>
      <c r="T805" s="44"/>
      <c r="U805" s="44"/>
      <c r="V805" s="44"/>
      <c r="W805" s="44"/>
      <c r="X805" s="44"/>
      <c r="Y805" s="44"/>
      <c r="Z805" s="44"/>
      <c r="AB805" s="37" t="str">
        <f aca="false">TRIM($A805&amp;"")</f>
        <v/>
      </c>
      <c r="AC805" s="37" t="str">
        <f aca="false">IF(AB805="","",IFERROR(INDEX('Account Map'!$B:$B,MATCH(AB805,'Account Map'!$A:$A,0)),""))</f>
        <v/>
      </c>
      <c r="AD805" s="37" t="str">
        <f aca="false">IF(AB805="","",IFERROR(INDEX('Account Map'!$C:$C,MATCH(AB805,'Account Map'!$A:$A,0)),""))</f>
        <v/>
      </c>
      <c r="AE805" s="37" t="n">
        <f aca="false">IF(AND(AB805&lt;&gt;"",AC805="",COUNT($B805:$Z805)&gt;0,LEFT(AB805,5)&lt;&gt;"Total",AB805&lt;&gt;"Gross Profit",AB805&lt;&gt;"Net Profit",AB805&lt;&gt;"Operating Profit"),1,0)</f>
        <v>0</v>
      </c>
    </row>
    <row r="806" customFormat="false" ht="15" hidden="false" customHeight="false" outlineLevel="0" collapsed="false">
      <c r="B806" s="44"/>
      <c r="C806" s="44"/>
      <c r="D806" s="44"/>
      <c r="E806" s="44"/>
      <c r="F806" s="44"/>
      <c r="G806" s="44"/>
      <c r="H806" s="44"/>
      <c r="I806" s="44"/>
      <c r="J806" s="44"/>
      <c r="K806" s="44"/>
      <c r="L806" s="44"/>
      <c r="M806" s="44"/>
      <c r="N806" s="44"/>
      <c r="O806" s="44"/>
      <c r="P806" s="44"/>
      <c r="Q806" s="44"/>
      <c r="R806" s="44"/>
      <c r="S806" s="44"/>
      <c r="T806" s="44"/>
      <c r="U806" s="44"/>
      <c r="V806" s="44"/>
      <c r="W806" s="44"/>
      <c r="X806" s="44"/>
      <c r="Y806" s="44"/>
      <c r="Z806" s="44"/>
      <c r="AB806" s="37" t="str">
        <f aca="false">TRIM($A806&amp;"")</f>
        <v/>
      </c>
      <c r="AC806" s="37" t="str">
        <f aca="false">IF(AB806="","",IFERROR(INDEX('Account Map'!$B:$B,MATCH(AB806,'Account Map'!$A:$A,0)),""))</f>
        <v/>
      </c>
      <c r="AD806" s="37" t="str">
        <f aca="false">IF(AB806="","",IFERROR(INDEX('Account Map'!$C:$C,MATCH(AB806,'Account Map'!$A:$A,0)),""))</f>
        <v/>
      </c>
      <c r="AE806" s="37" t="n">
        <f aca="false">IF(AND(AB806&lt;&gt;"",AC806="",COUNT($B806:$Z806)&gt;0,LEFT(AB806,5)&lt;&gt;"Total",AB806&lt;&gt;"Gross Profit",AB806&lt;&gt;"Net Profit",AB806&lt;&gt;"Operating Profit"),1,0)</f>
        <v>0</v>
      </c>
    </row>
    <row r="807" customFormat="false" ht="15" hidden="false" customHeight="false" outlineLevel="0" collapsed="false">
      <c r="B807" s="44"/>
      <c r="C807" s="44"/>
      <c r="D807" s="44"/>
      <c r="E807" s="44"/>
      <c r="F807" s="44"/>
      <c r="G807" s="44"/>
      <c r="H807" s="44"/>
      <c r="I807" s="44"/>
      <c r="J807" s="44"/>
      <c r="K807" s="44"/>
      <c r="L807" s="44"/>
      <c r="M807" s="44"/>
      <c r="N807" s="44"/>
      <c r="O807" s="44"/>
      <c r="P807" s="44"/>
      <c r="Q807" s="44"/>
      <c r="R807" s="44"/>
      <c r="S807" s="44"/>
      <c r="T807" s="44"/>
      <c r="U807" s="44"/>
      <c r="V807" s="44"/>
      <c r="W807" s="44"/>
      <c r="X807" s="44"/>
      <c r="Y807" s="44"/>
      <c r="Z807" s="44"/>
      <c r="AB807" s="37" t="str">
        <f aca="false">TRIM($A807&amp;"")</f>
        <v/>
      </c>
      <c r="AC807" s="37" t="str">
        <f aca="false">IF(AB807="","",IFERROR(INDEX('Account Map'!$B:$B,MATCH(AB807,'Account Map'!$A:$A,0)),""))</f>
        <v/>
      </c>
      <c r="AD807" s="37" t="str">
        <f aca="false">IF(AB807="","",IFERROR(INDEX('Account Map'!$C:$C,MATCH(AB807,'Account Map'!$A:$A,0)),""))</f>
        <v/>
      </c>
      <c r="AE807" s="37" t="n">
        <f aca="false">IF(AND(AB807&lt;&gt;"",AC807="",COUNT($B807:$Z807)&gt;0,LEFT(AB807,5)&lt;&gt;"Total",AB807&lt;&gt;"Gross Profit",AB807&lt;&gt;"Net Profit",AB807&lt;&gt;"Operating Profit"),1,0)</f>
        <v>0</v>
      </c>
    </row>
    <row r="808" customFormat="false" ht="15" hidden="false" customHeight="false" outlineLevel="0" collapsed="false">
      <c r="B808" s="44"/>
      <c r="C808" s="44"/>
      <c r="D808" s="44"/>
      <c r="E808" s="44"/>
      <c r="F808" s="44"/>
      <c r="G808" s="44"/>
      <c r="H808" s="44"/>
      <c r="I808" s="44"/>
      <c r="J808" s="44"/>
      <c r="K808" s="44"/>
      <c r="L808" s="44"/>
      <c r="M808" s="44"/>
      <c r="N808" s="44"/>
      <c r="O808" s="44"/>
      <c r="P808" s="44"/>
      <c r="Q808" s="44"/>
      <c r="R808" s="44"/>
      <c r="S808" s="44"/>
      <c r="T808" s="44"/>
      <c r="U808" s="44"/>
      <c r="V808" s="44"/>
      <c r="W808" s="44"/>
      <c r="X808" s="44"/>
      <c r="Y808" s="44"/>
      <c r="Z808" s="44"/>
      <c r="AB808" s="37" t="str">
        <f aca="false">TRIM($A808&amp;"")</f>
        <v/>
      </c>
      <c r="AC808" s="37" t="str">
        <f aca="false">IF(AB808="","",IFERROR(INDEX('Account Map'!$B:$B,MATCH(AB808,'Account Map'!$A:$A,0)),""))</f>
        <v/>
      </c>
      <c r="AD808" s="37" t="str">
        <f aca="false">IF(AB808="","",IFERROR(INDEX('Account Map'!$C:$C,MATCH(AB808,'Account Map'!$A:$A,0)),""))</f>
        <v/>
      </c>
      <c r="AE808" s="37" t="n">
        <f aca="false">IF(AND(AB808&lt;&gt;"",AC808="",COUNT($B808:$Z808)&gt;0,LEFT(AB808,5)&lt;&gt;"Total",AB808&lt;&gt;"Gross Profit",AB808&lt;&gt;"Net Profit",AB808&lt;&gt;"Operating Profit"),1,0)</f>
        <v>0</v>
      </c>
    </row>
    <row r="809" customFormat="false" ht="15" hidden="false" customHeight="false" outlineLevel="0" collapsed="false">
      <c r="B809" s="44"/>
      <c r="C809" s="44"/>
      <c r="D809" s="44"/>
      <c r="E809" s="44"/>
      <c r="F809" s="44"/>
      <c r="G809" s="44"/>
      <c r="H809" s="44"/>
      <c r="I809" s="44"/>
      <c r="J809" s="44"/>
      <c r="K809" s="44"/>
      <c r="L809" s="44"/>
      <c r="M809" s="44"/>
      <c r="N809" s="44"/>
      <c r="O809" s="44"/>
      <c r="P809" s="44"/>
      <c r="Q809" s="44"/>
      <c r="R809" s="44"/>
      <c r="S809" s="44"/>
      <c r="T809" s="44"/>
      <c r="U809" s="44"/>
      <c r="V809" s="44"/>
      <c r="W809" s="44"/>
      <c r="X809" s="44"/>
      <c r="Y809" s="44"/>
      <c r="Z809" s="44"/>
      <c r="AB809" s="37" t="str">
        <f aca="false">TRIM($A809&amp;"")</f>
        <v/>
      </c>
      <c r="AC809" s="37" t="str">
        <f aca="false">IF(AB809="","",IFERROR(INDEX('Account Map'!$B:$B,MATCH(AB809,'Account Map'!$A:$A,0)),""))</f>
        <v/>
      </c>
      <c r="AD809" s="37" t="str">
        <f aca="false">IF(AB809="","",IFERROR(INDEX('Account Map'!$C:$C,MATCH(AB809,'Account Map'!$A:$A,0)),""))</f>
        <v/>
      </c>
      <c r="AE809" s="37" t="n">
        <f aca="false">IF(AND(AB809&lt;&gt;"",AC809="",COUNT($B809:$Z809)&gt;0,LEFT(AB809,5)&lt;&gt;"Total",AB809&lt;&gt;"Gross Profit",AB809&lt;&gt;"Net Profit",AB809&lt;&gt;"Operating Profit"),1,0)</f>
        <v>0</v>
      </c>
    </row>
    <row r="810" customFormat="false" ht="15" hidden="false" customHeight="false" outlineLevel="0" collapsed="false">
      <c r="B810" s="44"/>
      <c r="C810" s="44"/>
      <c r="D810" s="44"/>
      <c r="E810" s="44"/>
      <c r="F810" s="44"/>
      <c r="G810" s="44"/>
      <c r="H810" s="44"/>
      <c r="I810" s="44"/>
      <c r="J810" s="44"/>
      <c r="K810" s="44"/>
      <c r="L810" s="44"/>
      <c r="M810" s="44"/>
      <c r="N810" s="44"/>
      <c r="O810" s="44"/>
      <c r="P810" s="44"/>
      <c r="Q810" s="44"/>
      <c r="R810" s="44"/>
      <c r="S810" s="44"/>
      <c r="T810" s="44"/>
      <c r="U810" s="44"/>
      <c r="V810" s="44"/>
      <c r="W810" s="44"/>
      <c r="X810" s="44"/>
      <c r="Y810" s="44"/>
      <c r="Z810" s="44"/>
      <c r="AB810" s="37" t="str">
        <f aca="false">TRIM($A810&amp;"")</f>
        <v/>
      </c>
      <c r="AC810" s="37" t="str">
        <f aca="false">IF(AB810="","",IFERROR(INDEX('Account Map'!$B:$B,MATCH(AB810,'Account Map'!$A:$A,0)),""))</f>
        <v/>
      </c>
      <c r="AD810" s="37" t="str">
        <f aca="false">IF(AB810="","",IFERROR(INDEX('Account Map'!$C:$C,MATCH(AB810,'Account Map'!$A:$A,0)),""))</f>
        <v/>
      </c>
      <c r="AE810" s="37" t="n">
        <f aca="false">IF(AND(AB810&lt;&gt;"",AC810="",COUNT($B810:$Z810)&gt;0,LEFT(AB810,5)&lt;&gt;"Total",AB810&lt;&gt;"Gross Profit",AB810&lt;&gt;"Net Profit",AB810&lt;&gt;"Operating Profit"),1,0)</f>
        <v>0</v>
      </c>
    </row>
    <row r="811" customFormat="false" ht="15" hidden="false" customHeight="false" outlineLevel="0" collapsed="false">
      <c r="B811" s="44"/>
      <c r="C811" s="44"/>
      <c r="D811" s="44"/>
      <c r="E811" s="44"/>
      <c r="F811" s="44"/>
      <c r="G811" s="44"/>
      <c r="H811" s="44"/>
      <c r="I811" s="44"/>
      <c r="J811" s="44"/>
      <c r="K811" s="44"/>
      <c r="L811" s="44"/>
      <c r="M811" s="44"/>
      <c r="N811" s="44"/>
      <c r="O811" s="44"/>
      <c r="P811" s="44"/>
      <c r="Q811" s="44"/>
      <c r="R811" s="44"/>
      <c r="S811" s="44"/>
      <c r="T811" s="44"/>
      <c r="U811" s="44"/>
      <c r="V811" s="44"/>
      <c r="W811" s="44"/>
      <c r="X811" s="44"/>
      <c r="Y811" s="44"/>
      <c r="Z811" s="44"/>
      <c r="AB811" s="37" t="str">
        <f aca="false">TRIM($A811&amp;"")</f>
        <v/>
      </c>
      <c r="AC811" s="37" t="str">
        <f aca="false">IF(AB811="","",IFERROR(INDEX('Account Map'!$B:$B,MATCH(AB811,'Account Map'!$A:$A,0)),""))</f>
        <v/>
      </c>
      <c r="AD811" s="37" t="str">
        <f aca="false">IF(AB811="","",IFERROR(INDEX('Account Map'!$C:$C,MATCH(AB811,'Account Map'!$A:$A,0)),""))</f>
        <v/>
      </c>
      <c r="AE811" s="37" t="n">
        <f aca="false">IF(AND(AB811&lt;&gt;"",AC811="",COUNT($B811:$Z811)&gt;0,LEFT(AB811,5)&lt;&gt;"Total",AB811&lt;&gt;"Gross Profit",AB811&lt;&gt;"Net Profit",AB811&lt;&gt;"Operating Profit"),1,0)</f>
        <v>0</v>
      </c>
    </row>
    <row r="812" customFormat="false" ht="15" hidden="false" customHeight="false" outlineLevel="0" collapsed="false">
      <c r="B812" s="44"/>
      <c r="C812" s="44"/>
      <c r="D812" s="44"/>
      <c r="E812" s="44"/>
      <c r="F812" s="44"/>
      <c r="G812" s="44"/>
      <c r="H812" s="44"/>
      <c r="I812" s="44"/>
      <c r="J812" s="44"/>
      <c r="K812" s="44"/>
      <c r="L812" s="44"/>
      <c r="M812" s="44"/>
      <c r="N812" s="44"/>
      <c r="O812" s="44"/>
      <c r="P812" s="44"/>
      <c r="Q812" s="44"/>
      <c r="R812" s="44"/>
      <c r="S812" s="44"/>
      <c r="T812" s="44"/>
      <c r="U812" s="44"/>
      <c r="V812" s="44"/>
      <c r="W812" s="44"/>
      <c r="X812" s="44"/>
      <c r="Y812" s="44"/>
      <c r="Z812" s="44"/>
      <c r="AB812" s="37" t="str">
        <f aca="false">TRIM($A812&amp;"")</f>
        <v/>
      </c>
      <c r="AC812" s="37" t="str">
        <f aca="false">IF(AB812="","",IFERROR(INDEX('Account Map'!$B:$B,MATCH(AB812,'Account Map'!$A:$A,0)),""))</f>
        <v/>
      </c>
      <c r="AD812" s="37" t="str">
        <f aca="false">IF(AB812="","",IFERROR(INDEX('Account Map'!$C:$C,MATCH(AB812,'Account Map'!$A:$A,0)),""))</f>
        <v/>
      </c>
      <c r="AE812" s="37" t="n">
        <f aca="false">IF(AND(AB812&lt;&gt;"",AC812="",COUNT($B812:$Z812)&gt;0,LEFT(AB812,5)&lt;&gt;"Total",AB812&lt;&gt;"Gross Profit",AB812&lt;&gt;"Net Profit",AB812&lt;&gt;"Operating Profit"),1,0)</f>
        <v>0</v>
      </c>
    </row>
    <row r="813" customFormat="false" ht="15" hidden="false" customHeight="false" outlineLevel="0" collapsed="false">
      <c r="B813" s="44"/>
      <c r="C813" s="44"/>
      <c r="D813" s="44"/>
      <c r="E813" s="44"/>
      <c r="F813" s="44"/>
      <c r="G813" s="44"/>
      <c r="H813" s="44"/>
      <c r="I813" s="44"/>
      <c r="J813" s="44"/>
      <c r="K813" s="44"/>
      <c r="L813" s="44"/>
      <c r="M813" s="44"/>
      <c r="N813" s="44"/>
      <c r="O813" s="44"/>
      <c r="P813" s="44"/>
      <c r="Q813" s="44"/>
      <c r="R813" s="44"/>
      <c r="S813" s="44"/>
      <c r="T813" s="44"/>
      <c r="U813" s="44"/>
      <c r="V813" s="44"/>
      <c r="W813" s="44"/>
      <c r="X813" s="44"/>
      <c r="Y813" s="44"/>
      <c r="Z813" s="44"/>
      <c r="AB813" s="37" t="str">
        <f aca="false">TRIM($A813&amp;"")</f>
        <v/>
      </c>
      <c r="AC813" s="37" t="str">
        <f aca="false">IF(AB813="","",IFERROR(INDEX('Account Map'!$B:$B,MATCH(AB813,'Account Map'!$A:$A,0)),""))</f>
        <v/>
      </c>
      <c r="AD813" s="37" t="str">
        <f aca="false">IF(AB813="","",IFERROR(INDEX('Account Map'!$C:$C,MATCH(AB813,'Account Map'!$A:$A,0)),""))</f>
        <v/>
      </c>
      <c r="AE813" s="37" t="n">
        <f aca="false">IF(AND(AB813&lt;&gt;"",AC813="",COUNT($B813:$Z813)&gt;0,LEFT(AB813,5)&lt;&gt;"Total",AB813&lt;&gt;"Gross Profit",AB813&lt;&gt;"Net Profit",AB813&lt;&gt;"Operating Profit"),1,0)</f>
        <v>0</v>
      </c>
    </row>
    <row r="814" customFormat="false" ht="15" hidden="false" customHeight="false" outlineLevel="0" collapsed="false">
      <c r="B814" s="44"/>
      <c r="C814" s="44"/>
      <c r="D814" s="44"/>
      <c r="E814" s="44"/>
      <c r="F814" s="44"/>
      <c r="G814" s="44"/>
      <c r="H814" s="44"/>
      <c r="I814" s="44"/>
      <c r="J814" s="44"/>
      <c r="K814" s="44"/>
      <c r="L814" s="44"/>
      <c r="M814" s="44"/>
      <c r="N814" s="44"/>
      <c r="O814" s="44"/>
      <c r="P814" s="44"/>
      <c r="Q814" s="44"/>
      <c r="R814" s="44"/>
      <c r="S814" s="44"/>
      <c r="T814" s="44"/>
      <c r="U814" s="44"/>
      <c r="V814" s="44"/>
      <c r="W814" s="44"/>
      <c r="X814" s="44"/>
      <c r="Y814" s="44"/>
      <c r="Z814" s="44"/>
      <c r="AB814" s="37" t="str">
        <f aca="false">TRIM($A814&amp;"")</f>
        <v/>
      </c>
      <c r="AC814" s="37" t="str">
        <f aca="false">IF(AB814="","",IFERROR(INDEX('Account Map'!$B:$B,MATCH(AB814,'Account Map'!$A:$A,0)),""))</f>
        <v/>
      </c>
      <c r="AD814" s="37" t="str">
        <f aca="false">IF(AB814="","",IFERROR(INDEX('Account Map'!$C:$C,MATCH(AB814,'Account Map'!$A:$A,0)),""))</f>
        <v/>
      </c>
      <c r="AE814" s="37" t="n">
        <f aca="false">IF(AND(AB814&lt;&gt;"",AC814="",COUNT($B814:$Z814)&gt;0,LEFT(AB814,5)&lt;&gt;"Total",AB814&lt;&gt;"Gross Profit",AB814&lt;&gt;"Net Profit",AB814&lt;&gt;"Operating Profit"),1,0)</f>
        <v>0</v>
      </c>
    </row>
    <row r="815" customFormat="false" ht="15" hidden="false" customHeight="false" outlineLevel="0" collapsed="false">
      <c r="B815" s="44"/>
      <c r="C815" s="44"/>
      <c r="D815" s="44"/>
      <c r="E815" s="44"/>
      <c r="F815" s="44"/>
      <c r="G815" s="44"/>
      <c r="H815" s="44"/>
      <c r="I815" s="44"/>
      <c r="J815" s="44"/>
      <c r="K815" s="44"/>
      <c r="L815" s="44"/>
      <c r="M815" s="44"/>
      <c r="N815" s="44"/>
      <c r="O815" s="44"/>
      <c r="P815" s="44"/>
      <c r="Q815" s="44"/>
      <c r="R815" s="44"/>
      <c r="S815" s="44"/>
      <c r="T815" s="44"/>
      <c r="U815" s="44"/>
      <c r="V815" s="44"/>
      <c r="W815" s="44"/>
      <c r="X815" s="44"/>
      <c r="Y815" s="44"/>
      <c r="Z815" s="44"/>
      <c r="AB815" s="37" t="str">
        <f aca="false">TRIM($A815&amp;"")</f>
        <v/>
      </c>
      <c r="AC815" s="37" t="str">
        <f aca="false">IF(AB815="","",IFERROR(INDEX('Account Map'!$B:$B,MATCH(AB815,'Account Map'!$A:$A,0)),""))</f>
        <v/>
      </c>
      <c r="AD815" s="37" t="str">
        <f aca="false">IF(AB815="","",IFERROR(INDEX('Account Map'!$C:$C,MATCH(AB815,'Account Map'!$A:$A,0)),""))</f>
        <v/>
      </c>
      <c r="AE815" s="37" t="n">
        <f aca="false">IF(AND(AB815&lt;&gt;"",AC815="",COUNT($B815:$Z815)&gt;0,LEFT(AB815,5)&lt;&gt;"Total",AB815&lt;&gt;"Gross Profit",AB815&lt;&gt;"Net Profit",AB815&lt;&gt;"Operating Profit"),1,0)</f>
        <v>0</v>
      </c>
    </row>
    <row r="816" customFormat="false" ht="15" hidden="false" customHeight="false" outlineLevel="0" collapsed="false">
      <c r="B816" s="44"/>
      <c r="C816" s="44"/>
      <c r="D816" s="44"/>
      <c r="E816" s="44"/>
      <c r="F816" s="44"/>
      <c r="G816" s="44"/>
      <c r="H816" s="44"/>
      <c r="I816" s="44"/>
      <c r="J816" s="44"/>
      <c r="K816" s="44"/>
      <c r="L816" s="44"/>
      <c r="M816" s="44"/>
      <c r="N816" s="44"/>
      <c r="O816" s="44"/>
      <c r="P816" s="44"/>
      <c r="Q816" s="44"/>
      <c r="R816" s="44"/>
      <c r="S816" s="44"/>
      <c r="T816" s="44"/>
      <c r="U816" s="44"/>
      <c r="V816" s="44"/>
      <c r="W816" s="44"/>
      <c r="X816" s="44"/>
      <c r="Y816" s="44"/>
      <c r="Z816" s="44"/>
      <c r="AB816" s="37" t="str">
        <f aca="false">TRIM($A816&amp;"")</f>
        <v/>
      </c>
      <c r="AC816" s="37" t="str">
        <f aca="false">IF(AB816="","",IFERROR(INDEX('Account Map'!$B:$B,MATCH(AB816,'Account Map'!$A:$A,0)),""))</f>
        <v/>
      </c>
      <c r="AD816" s="37" t="str">
        <f aca="false">IF(AB816="","",IFERROR(INDEX('Account Map'!$C:$C,MATCH(AB816,'Account Map'!$A:$A,0)),""))</f>
        <v/>
      </c>
      <c r="AE816" s="37" t="n">
        <f aca="false">IF(AND(AB816&lt;&gt;"",AC816="",COUNT($B816:$Z816)&gt;0,LEFT(AB816,5)&lt;&gt;"Total",AB816&lt;&gt;"Gross Profit",AB816&lt;&gt;"Net Profit",AB816&lt;&gt;"Operating Profit"),1,0)</f>
        <v>0</v>
      </c>
    </row>
    <row r="817" customFormat="false" ht="15" hidden="false" customHeight="false" outlineLevel="0" collapsed="false">
      <c r="B817" s="44"/>
      <c r="C817" s="44"/>
      <c r="D817" s="44"/>
      <c r="E817" s="44"/>
      <c r="F817" s="44"/>
      <c r="G817" s="44"/>
      <c r="H817" s="44"/>
      <c r="I817" s="44"/>
      <c r="J817" s="44"/>
      <c r="K817" s="44"/>
      <c r="L817" s="44"/>
      <c r="M817" s="44"/>
      <c r="N817" s="44"/>
      <c r="O817" s="44"/>
      <c r="P817" s="44"/>
      <c r="Q817" s="44"/>
      <c r="R817" s="44"/>
      <c r="S817" s="44"/>
      <c r="T817" s="44"/>
      <c r="U817" s="44"/>
      <c r="V817" s="44"/>
      <c r="W817" s="44"/>
      <c r="X817" s="44"/>
      <c r="Y817" s="44"/>
      <c r="Z817" s="44"/>
      <c r="AB817" s="37" t="str">
        <f aca="false">TRIM($A817&amp;"")</f>
        <v/>
      </c>
      <c r="AC817" s="37" t="str">
        <f aca="false">IF(AB817="","",IFERROR(INDEX('Account Map'!$B:$B,MATCH(AB817,'Account Map'!$A:$A,0)),""))</f>
        <v/>
      </c>
      <c r="AD817" s="37" t="str">
        <f aca="false">IF(AB817="","",IFERROR(INDEX('Account Map'!$C:$C,MATCH(AB817,'Account Map'!$A:$A,0)),""))</f>
        <v/>
      </c>
      <c r="AE817" s="37" t="n">
        <f aca="false">IF(AND(AB817&lt;&gt;"",AC817="",COUNT($B817:$Z817)&gt;0,LEFT(AB817,5)&lt;&gt;"Total",AB817&lt;&gt;"Gross Profit",AB817&lt;&gt;"Net Profit",AB817&lt;&gt;"Operating Profit"),1,0)</f>
        <v>0</v>
      </c>
    </row>
    <row r="818" customFormat="false" ht="15" hidden="false" customHeight="false" outlineLevel="0" collapsed="false">
      <c r="B818" s="44"/>
      <c r="C818" s="44"/>
      <c r="D818" s="44"/>
      <c r="E818" s="44"/>
      <c r="F818" s="44"/>
      <c r="G818" s="44"/>
      <c r="H818" s="44"/>
      <c r="I818" s="44"/>
      <c r="J818" s="44"/>
      <c r="K818" s="44"/>
      <c r="L818" s="44"/>
      <c r="M818" s="44"/>
      <c r="N818" s="44"/>
      <c r="O818" s="44"/>
      <c r="P818" s="44"/>
      <c r="Q818" s="44"/>
      <c r="R818" s="44"/>
      <c r="S818" s="44"/>
      <c r="T818" s="44"/>
      <c r="U818" s="44"/>
      <c r="V818" s="44"/>
      <c r="W818" s="44"/>
      <c r="X818" s="44"/>
      <c r="Y818" s="44"/>
      <c r="Z818" s="44"/>
      <c r="AB818" s="37" t="str">
        <f aca="false">TRIM($A818&amp;"")</f>
        <v/>
      </c>
      <c r="AC818" s="37" t="str">
        <f aca="false">IF(AB818="","",IFERROR(INDEX('Account Map'!$B:$B,MATCH(AB818,'Account Map'!$A:$A,0)),""))</f>
        <v/>
      </c>
      <c r="AD818" s="37" t="str">
        <f aca="false">IF(AB818="","",IFERROR(INDEX('Account Map'!$C:$C,MATCH(AB818,'Account Map'!$A:$A,0)),""))</f>
        <v/>
      </c>
      <c r="AE818" s="37" t="n">
        <f aca="false">IF(AND(AB818&lt;&gt;"",AC818="",COUNT($B818:$Z818)&gt;0,LEFT(AB818,5)&lt;&gt;"Total",AB818&lt;&gt;"Gross Profit",AB818&lt;&gt;"Net Profit",AB818&lt;&gt;"Operating Profit"),1,0)</f>
        <v>0</v>
      </c>
    </row>
    <row r="819" customFormat="false" ht="15" hidden="false" customHeight="false" outlineLevel="0" collapsed="false">
      <c r="B819" s="44"/>
      <c r="C819" s="44"/>
      <c r="D819" s="44"/>
      <c r="E819" s="44"/>
      <c r="F819" s="44"/>
      <c r="G819" s="44"/>
      <c r="H819" s="44"/>
      <c r="I819" s="44"/>
      <c r="J819" s="44"/>
      <c r="K819" s="44"/>
      <c r="L819" s="44"/>
      <c r="M819" s="44"/>
      <c r="N819" s="44"/>
      <c r="O819" s="44"/>
      <c r="P819" s="44"/>
      <c r="Q819" s="44"/>
      <c r="R819" s="44"/>
      <c r="S819" s="44"/>
      <c r="T819" s="44"/>
      <c r="U819" s="44"/>
      <c r="V819" s="44"/>
      <c r="W819" s="44"/>
      <c r="X819" s="44"/>
      <c r="Y819" s="44"/>
      <c r="Z819" s="44"/>
      <c r="AB819" s="37" t="str">
        <f aca="false">TRIM($A819&amp;"")</f>
        <v/>
      </c>
      <c r="AC819" s="37" t="str">
        <f aca="false">IF(AB819="","",IFERROR(INDEX('Account Map'!$B:$B,MATCH(AB819,'Account Map'!$A:$A,0)),""))</f>
        <v/>
      </c>
      <c r="AD819" s="37" t="str">
        <f aca="false">IF(AB819="","",IFERROR(INDEX('Account Map'!$C:$C,MATCH(AB819,'Account Map'!$A:$A,0)),""))</f>
        <v/>
      </c>
      <c r="AE819" s="37" t="n">
        <f aca="false">IF(AND(AB819&lt;&gt;"",AC819="",COUNT($B819:$Z819)&gt;0,LEFT(AB819,5)&lt;&gt;"Total",AB819&lt;&gt;"Gross Profit",AB819&lt;&gt;"Net Profit",AB819&lt;&gt;"Operating Profit"),1,0)</f>
        <v>0</v>
      </c>
    </row>
    <row r="820" customFormat="false" ht="15" hidden="false" customHeight="false" outlineLevel="0" collapsed="false">
      <c r="B820" s="44"/>
      <c r="C820" s="44"/>
      <c r="D820" s="44"/>
      <c r="E820" s="44"/>
      <c r="F820" s="44"/>
      <c r="G820" s="44"/>
      <c r="H820" s="44"/>
      <c r="I820" s="44"/>
      <c r="J820" s="44"/>
      <c r="K820" s="44"/>
      <c r="L820" s="44"/>
      <c r="M820" s="44"/>
      <c r="N820" s="44"/>
      <c r="O820" s="44"/>
      <c r="P820" s="44"/>
      <c r="Q820" s="44"/>
      <c r="R820" s="44"/>
      <c r="S820" s="44"/>
      <c r="T820" s="44"/>
      <c r="U820" s="44"/>
      <c r="V820" s="44"/>
      <c r="W820" s="44"/>
      <c r="X820" s="44"/>
      <c r="Y820" s="44"/>
      <c r="Z820" s="44"/>
      <c r="AB820" s="37" t="str">
        <f aca="false">TRIM($A820&amp;"")</f>
        <v/>
      </c>
      <c r="AC820" s="37" t="str">
        <f aca="false">IF(AB820="","",IFERROR(INDEX('Account Map'!$B:$B,MATCH(AB820,'Account Map'!$A:$A,0)),""))</f>
        <v/>
      </c>
      <c r="AD820" s="37" t="str">
        <f aca="false">IF(AB820="","",IFERROR(INDEX('Account Map'!$C:$C,MATCH(AB820,'Account Map'!$A:$A,0)),""))</f>
        <v/>
      </c>
      <c r="AE820" s="37" t="n">
        <f aca="false">IF(AND(AB820&lt;&gt;"",AC820="",COUNT($B820:$Z820)&gt;0,LEFT(AB820,5)&lt;&gt;"Total",AB820&lt;&gt;"Gross Profit",AB820&lt;&gt;"Net Profit",AB820&lt;&gt;"Operating Profit"),1,0)</f>
        <v>0</v>
      </c>
    </row>
    <row r="821" customFormat="false" ht="15" hidden="false" customHeight="false" outlineLevel="0" collapsed="false">
      <c r="B821" s="44"/>
      <c r="C821" s="44"/>
      <c r="D821" s="44"/>
      <c r="E821" s="44"/>
      <c r="F821" s="44"/>
      <c r="G821" s="44"/>
      <c r="H821" s="44"/>
      <c r="I821" s="44"/>
      <c r="J821" s="44"/>
      <c r="K821" s="44"/>
      <c r="L821" s="44"/>
      <c r="M821" s="44"/>
      <c r="N821" s="44"/>
      <c r="O821" s="44"/>
      <c r="P821" s="44"/>
      <c r="Q821" s="44"/>
      <c r="R821" s="44"/>
      <c r="S821" s="44"/>
      <c r="T821" s="44"/>
      <c r="U821" s="44"/>
      <c r="V821" s="44"/>
      <c r="W821" s="44"/>
      <c r="X821" s="44"/>
      <c r="Y821" s="44"/>
      <c r="Z821" s="44"/>
      <c r="AB821" s="37" t="str">
        <f aca="false">TRIM($A821&amp;"")</f>
        <v/>
      </c>
      <c r="AC821" s="37" t="str">
        <f aca="false">IF(AB821="","",IFERROR(INDEX('Account Map'!$B:$B,MATCH(AB821,'Account Map'!$A:$A,0)),""))</f>
        <v/>
      </c>
      <c r="AD821" s="37" t="str">
        <f aca="false">IF(AB821="","",IFERROR(INDEX('Account Map'!$C:$C,MATCH(AB821,'Account Map'!$A:$A,0)),""))</f>
        <v/>
      </c>
      <c r="AE821" s="37" t="n">
        <f aca="false">IF(AND(AB821&lt;&gt;"",AC821="",COUNT($B821:$Z821)&gt;0,LEFT(AB821,5)&lt;&gt;"Total",AB821&lt;&gt;"Gross Profit",AB821&lt;&gt;"Net Profit",AB821&lt;&gt;"Operating Profit"),1,0)</f>
        <v>0</v>
      </c>
    </row>
    <row r="822" customFormat="false" ht="15" hidden="false" customHeight="false" outlineLevel="0" collapsed="false">
      <c r="B822" s="44"/>
      <c r="C822" s="44"/>
      <c r="D822" s="44"/>
      <c r="E822" s="44"/>
      <c r="F822" s="44"/>
      <c r="G822" s="44"/>
      <c r="H822" s="44"/>
      <c r="I822" s="44"/>
      <c r="J822" s="44"/>
      <c r="K822" s="44"/>
      <c r="L822" s="44"/>
      <c r="M822" s="44"/>
      <c r="N822" s="44"/>
      <c r="O822" s="44"/>
      <c r="P822" s="44"/>
      <c r="Q822" s="44"/>
      <c r="R822" s="44"/>
      <c r="S822" s="44"/>
      <c r="T822" s="44"/>
      <c r="U822" s="44"/>
      <c r="V822" s="44"/>
      <c r="W822" s="44"/>
      <c r="X822" s="44"/>
      <c r="Y822" s="44"/>
      <c r="Z822" s="44"/>
      <c r="AB822" s="37" t="str">
        <f aca="false">TRIM($A822&amp;"")</f>
        <v/>
      </c>
      <c r="AC822" s="37" t="str">
        <f aca="false">IF(AB822="","",IFERROR(INDEX('Account Map'!$B:$B,MATCH(AB822,'Account Map'!$A:$A,0)),""))</f>
        <v/>
      </c>
      <c r="AD822" s="37" t="str">
        <f aca="false">IF(AB822="","",IFERROR(INDEX('Account Map'!$C:$C,MATCH(AB822,'Account Map'!$A:$A,0)),""))</f>
        <v/>
      </c>
      <c r="AE822" s="37" t="n">
        <f aca="false">IF(AND(AB822&lt;&gt;"",AC822="",COUNT($B822:$Z822)&gt;0,LEFT(AB822,5)&lt;&gt;"Total",AB822&lt;&gt;"Gross Profit",AB822&lt;&gt;"Net Profit",AB822&lt;&gt;"Operating Profit"),1,0)</f>
        <v>0</v>
      </c>
    </row>
    <row r="823" customFormat="false" ht="15" hidden="false" customHeight="false" outlineLevel="0" collapsed="false">
      <c r="B823" s="44"/>
      <c r="C823" s="44"/>
      <c r="D823" s="44"/>
      <c r="E823" s="44"/>
      <c r="F823" s="44"/>
      <c r="G823" s="44"/>
      <c r="H823" s="44"/>
      <c r="I823" s="44"/>
      <c r="J823" s="44"/>
      <c r="K823" s="44"/>
      <c r="L823" s="44"/>
      <c r="M823" s="44"/>
      <c r="N823" s="44"/>
      <c r="O823" s="44"/>
      <c r="P823" s="44"/>
      <c r="Q823" s="44"/>
      <c r="R823" s="44"/>
      <c r="S823" s="44"/>
      <c r="T823" s="44"/>
      <c r="U823" s="44"/>
      <c r="V823" s="44"/>
      <c r="W823" s="44"/>
      <c r="X823" s="44"/>
      <c r="Y823" s="44"/>
      <c r="Z823" s="44"/>
      <c r="AB823" s="37" t="str">
        <f aca="false">TRIM($A823&amp;"")</f>
        <v/>
      </c>
      <c r="AC823" s="37" t="str">
        <f aca="false">IF(AB823="","",IFERROR(INDEX('Account Map'!$B:$B,MATCH(AB823,'Account Map'!$A:$A,0)),""))</f>
        <v/>
      </c>
      <c r="AD823" s="37" t="str">
        <f aca="false">IF(AB823="","",IFERROR(INDEX('Account Map'!$C:$C,MATCH(AB823,'Account Map'!$A:$A,0)),""))</f>
        <v/>
      </c>
      <c r="AE823" s="37" t="n">
        <f aca="false">IF(AND(AB823&lt;&gt;"",AC823="",COUNT($B823:$Z823)&gt;0,LEFT(AB823,5)&lt;&gt;"Total",AB823&lt;&gt;"Gross Profit",AB823&lt;&gt;"Net Profit",AB823&lt;&gt;"Operating Profit"),1,0)</f>
        <v>0</v>
      </c>
    </row>
    <row r="824" customFormat="false" ht="15" hidden="false" customHeight="false" outlineLevel="0" collapsed="false">
      <c r="B824" s="44"/>
      <c r="C824" s="44"/>
      <c r="D824" s="44"/>
      <c r="E824" s="44"/>
      <c r="F824" s="44"/>
      <c r="G824" s="44"/>
      <c r="H824" s="44"/>
      <c r="I824" s="44"/>
      <c r="J824" s="44"/>
      <c r="K824" s="44"/>
      <c r="L824" s="44"/>
      <c r="M824" s="44"/>
      <c r="N824" s="44"/>
      <c r="O824" s="44"/>
      <c r="P824" s="44"/>
      <c r="Q824" s="44"/>
      <c r="R824" s="44"/>
      <c r="S824" s="44"/>
      <c r="T824" s="44"/>
      <c r="U824" s="44"/>
      <c r="V824" s="44"/>
      <c r="W824" s="44"/>
      <c r="X824" s="44"/>
      <c r="Y824" s="44"/>
      <c r="Z824" s="44"/>
      <c r="AB824" s="37" t="str">
        <f aca="false">TRIM($A824&amp;"")</f>
        <v/>
      </c>
      <c r="AC824" s="37" t="str">
        <f aca="false">IF(AB824="","",IFERROR(INDEX('Account Map'!$B:$B,MATCH(AB824,'Account Map'!$A:$A,0)),""))</f>
        <v/>
      </c>
      <c r="AD824" s="37" t="str">
        <f aca="false">IF(AB824="","",IFERROR(INDEX('Account Map'!$C:$C,MATCH(AB824,'Account Map'!$A:$A,0)),""))</f>
        <v/>
      </c>
      <c r="AE824" s="37" t="n">
        <f aca="false">IF(AND(AB824&lt;&gt;"",AC824="",COUNT($B824:$Z824)&gt;0,LEFT(AB824,5)&lt;&gt;"Total",AB824&lt;&gt;"Gross Profit",AB824&lt;&gt;"Net Profit",AB824&lt;&gt;"Operating Profit"),1,0)</f>
        <v>0</v>
      </c>
    </row>
    <row r="825" customFormat="false" ht="15" hidden="false" customHeight="false" outlineLevel="0" collapsed="false">
      <c r="B825" s="44"/>
      <c r="C825" s="44"/>
      <c r="D825" s="44"/>
      <c r="E825" s="44"/>
      <c r="F825" s="44"/>
      <c r="G825" s="44"/>
      <c r="H825" s="44"/>
      <c r="I825" s="44"/>
      <c r="J825" s="44"/>
      <c r="K825" s="44"/>
      <c r="L825" s="44"/>
      <c r="M825" s="44"/>
      <c r="N825" s="44"/>
      <c r="O825" s="44"/>
      <c r="P825" s="44"/>
      <c r="Q825" s="44"/>
      <c r="R825" s="44"/>
      <c r="S825" s="44"/>
      <c r="T825" s="44"/>
      <c r="U825" s="44"/>
      <c r="V825" s="44"/>
      <c r="W825" s="44"/>
      <c r="X825" s="44"/>
      <c r="Y825" s="44"/>
      <c r="Z825" s="44"/>
      <c r="AB825" s="37" t="str">
        <f aca="false">TRIM($A825&amp;"")</f>
        <v/>
      </c>
      <c r="AC825" s="37" t="str">
        <f aca="false">IF(AB825="","",IFERROR(INDEX('Account Map'!$B:$B,MATCH(AB825,'Account Map'!$A:$A,0)),""))</f>
        <v/>
      </c>
      <c r="AD825" s="37" t="str">
        <f aca="false">IF(AB825="","",IFERROR(INDEX('Account Map'!$C:$C,MATCH(AB825,'Account Map'!$A:$A,0)),""))</f>
        <v/>
      </c>
      <c r="AE825" s="37" t="n">
        <f aca="false">IF(AND(AB825&lt;&gt;"",AC825="",COUNT($B825:$Z825)&gt;0,LEFT(AB825,5)&lt;&gt;"Total",AB825&lt;&gt;"Gross Profit",AB825&lt;&gt;"Net Profit",AB825&lt;&gt;"Operating Profit"),1,0)</f>
        <v>0</v>
      </c>
    </row>
    <row r="826" customFormat="false" ht="15" hidden="false" customHeight="false" outlineLevel="0" collapsed="false">
      <c r="B826" s="44"/>
      <c r="C826" s="44"/>
      <c r="D826" s="44"/>
      <c r="E826" s="44"/>
      <c r="F826" s="44"/>
      <c r="G826" s="44"/>
      <c r="H826" s="44"/>
      <c r="I826" s="44"/>
      <c r="J826" s="44"/>
      <c r="K826" s="44"/>
      <c r="L826" s="44"/>
      <c r="M826" s="44"/>
      <c r="N826" s="44"/>
      <c r="O826" s="44"/>
      <c r="P826" s="44"/>
      <c r="Q826" s="44"/>
      <c r="R826" s="44"/>
      <c r="S826" s="44"/>
      <c r="T826" s="44"/>
      <c r="U826" s="44"/>
      <c r="V826" s="44"/>
      <c r="W826" s="44"/>
      <c r="X826" s="44"/>
      <c r="Y826" s="44"/>
      <c r="Z826" s="44"/>
      <c r="AB826" s="37" t="str">
        <f aca="false">TRIM($A826&amp;"")</f>
        <v/>
      </c>
      <c r="AC826" s="37" t="str">
        <f aca="false">IF(AB826="","",IFERROR(INDEX('Account Map'!$B:$B,MATCH(AB826,'Account Map'!$A:$A,0)),""))</f>
        <v/>
      </c>
      <c r="AD826" s="37" t="str">
        <f aca="false">IF(AB826="","",IFERROR(INDEX('Account Map'!$C:$C,MATCH(AB826,'Account Map'!$A:$A,0)),""))</f>
        <v/>
      </c>
      <c r="AE826" s="37" t="n">
        <f aca="false">IF(AND(AB826&lt;&gt;"",AC826="",COUNT($B826:$Z826)&gt;0,LEFT(AB826,5)&lt;&gt;"Total",AB826&lt;&gt;"Gross Profit",AB826&lt;&gt;"Net Profit",AB826&lt;&gt;"Operating Profit"),1,0)</f>
        <v>0</v>
      </c>
    </row>
    <row r="827" customFormat="false" ht="15" hidden="false" customHeight="false" outlineLevel="0" collapsed="false">
      <c r="B827" s="44"/>
      <c r="C827" s="44"/>
      <c r="D827" s="44"/>
      <c r="E827" s="44"/>
      <c r="F827" s="44"/>
      <c r="G827" s="44"/>
      <c r="H827" s="44"/>
      <c r="I827" s="44"/>
      <c r="J827" s="44"/>
      <c r="K827" s="44"/>
      <c r="L827" s="44"/>
      <c r="M827" s="44"/>
      <c r="N827" s="44"/>
      <c r="O827" s="44"/>
      <c r="P827" s="44"/>
      <c r="Q827" s="44"/>
      <c r="R827" s="44"/>
      <c r="S827" s="44"/>
      <c r="T827" s="44"/>
      <c r="U827" s="44"/>
      <c r="V827" s="44"/>
      <c r="W827" s="44"/>
      <c r="X827" s="44"/>
      <c r="Y827" s="44"/>
      <c r="Z827" s="44"/>
      <c r="AB827" s="37" t="str">
        <f aca="false">TRIM($A827&amp;"")</f>
        <v/>
      </c>
      <c r="AC827" s="37" t="str">
        <f aca="false">IF(AB827="","",IFERROR(INDEX('Account Map'!$B:$B,MATCH(AB827,'Account Map'!$A:$A,0)),""))</f>
        <v/>
      </c>
      <c r="AD827" s="37" t="str">
        <f aca="false">IF(AB827="","",IFERROR(INDEX('Account Map'!$C:$C,MATCH(AB827,'Account Map'!$A:$A,0)),""))</f>
        <v/>
      </c>
      <c r="AE827" s="37" t="n">
        <f aca="false">IF(AND(AB827&lt;&gt;"",AC827="",COUNT($B827:$Z827)&gt;0,LEFT(AB827,5)&lt;&gt;"Total",AB827&lt;&gt;"Gross Profit",AB827&lt;&gt;"Net Profit",AB827&lt;&gt;"Operating Profit"),1,0)</f>
        <v>0</v>
      </c>
    </row>
    <row r="828" customFormat="false" ht="15" hidden="false" customHeight="false" outlineLevel="0" collapsed="false">
      <c r="B828" s="44"/>
      <c r="C828" s="44"/>
      <c r="D828" s="44"/>
      <c r="E828" s="44"/>
      <c r="F828" s="44"/>
      <c r="G828" s="44"/>
      <c r="H828" s="44"/>
      <c r="I828" s="44"/>
      <c r="J828" s="44"/>
      <c r="K828" s="44"/>
      <c r="L828" s="44"/>
      <c r="M828" s="44"/>
      <c r="N828" s="44"/>
      <c r="O828" s="44"/>
      <c r="P828" s="44"/>
      <c r="Q828" s="44"/>
      <c r="R828" s="44"/>
      <c r="S828" s="44"/>
      <c r="T828" s="44"/>
      <c r="U828" s="44"/>
      <c r="V828" s="44"/>
      <c r="W828" s="44"/>
      <c r="X828" s="44"/>
      <c r="Y828" s="44"/>
      <c r="Z828" s="44"/>
      <c r="AB828" s="37" t="str">
        <f aca="false">TRIM($A828&amp;"")</f>
        <v/>
      </c>
      <c r="AC828" s="37" t="str">
        <f aca="false">IF(AB828="","",IFERROR(INDEX('Account Map'!$B:$B,MATCH(AB828,'Account Map'!$A:$A,0)),""))</f>
        <v/>
      </c>
      <c r="AD828" s="37" t="str">
        <f aca="false">IF(AB828="","",IFERROR(INDEX('Account Map'!$C:$C,MATCH(AB828,'Account Map'!$A:$A,0)),""))</f>
        <v/>
      </c>
      <c r="AE828" s="37" t="n">
        <f aca="false">IF(AND(AB828&lt;&gt;"",AC828="",COUNT($B828:$Z828)&gt;0,LEFT(AB828,5)&lt;&gt;"Total",AB828&lt;&gt;"Gross Profit",AB828&lt;&gt;"Net Profit",AB828&lt;&gt;"Operating Profit"),1,0)</f>
        <v>0</v>
      </c>
    </row>
    <row r="829" customFormat="false" ht="15" hidden="false" customHeight="false" outlineLevel="0" collapsed="false">
      <c r="B829" s="44"/>
      <c r="C829" s="44"/>
      <c r="D829" s="44"/>
      <c r="E829" s="44"/>
      <c r="F829" s="44"/>
      <c r="G829" s="44"/>
      <c r="H829" s="44"/>
      <c r="I829" s="44"/>
      <c r="J829" s="44"/>
      <c r="K829" s="44"/>
      <c r="L829" s="44"/>
      <c r="M829" s="44"/>
      <c r="N829" s="44"/>
      <c r="O829" s="44"/>
      <c r="P829" s="44"/>
      <c r="Q829" s="44"/>
      <c r="R829" s="44"/>
      <c r="S829" s="44"/>
      <c r="T829" s="44"/>
      <c r="U829" s="44"/>
      <c r="V829" s="44"/>
      <c r="W829" s="44"/>
      <c r="X829" s="44"/>
      <c r="Y829" s="44"/>
      <c r="Z829" s="44"/>
      <c r="AB829" s="37" t="str">
        <f aca="false">TRIM($A829&amp;"")</f>
        <v/>
      </c>
      <c r="AC829" s="37" t="str">
        <f aca="false">IF(AB829="","",IFERROR(INDEX('Account Map'!$B:$B,MATCH(AB829,'Account Map'!$A:$A,0)),""))</f>
        <v/>
      </c>
      <c r="AD829" s="37" t="str">
        <f aca="false">IF(AB829="","",IFERROR(INDEX('Account Map'!$C:$C,MATCH(AB829,'Account Map'!$A:$A,0)),""))</f>
        <v/>
      </c>
      <c r="AE829" s="37" t="n">
        <f aca="false">IF(AND(AB829&lt;&gt;"",AC829="",COUNT($B829:$Z829)&gt;0,LEFT(AB829,5)&lt;&gt;"Total",AB829&lt;&gt;"Gross Profit",AB829&lt;&gt;"Net Profit",AB829&lt;&gt;"Operating Profit"),1,0)</f>
        <v>0</v>
      </c>
    </row>
    <row r="830" customFormat="false" ht="15" hidden="false" customHeight="false" outlineLevel="0" collapsed="false">
      <c r="B830" s="44"/>
      <c r="C830" s="44"/>
      <c r="D830" s="44"/>
      <c r="E830" s="44"/>
      <c r="F830" s="44"/>
      <c r="G830" s="44"/>
      <c r="H830" s="44"/>
      <c r="I830" s="44"/>
      <c r="J830" s="44"/>
      <c r="K830" s="44"/>
      <c r="L830" s="44"/>
      <c r="M830" s="44"/>
      <c r="N830" s="44"/>
      <c r="O830" s="44"/>
      <c r="P830" s="44"/>
      <c r="Q830" s="44"/>
      <c r="R830" s="44"/>
      <c r="S830" s="44"/>
      <c r="T830" s="44"/>
      <c r="U830" s="44"/>
      <c r="V830" s="44"/>
      <c r="W830" s="44"/>
      <c r="X830" s="44"/>
      <c r="Y830" s="44"/>
      <c r="Z830" s="44"/>
      <c r="AB830" s="37" t="str">
        <f aca="false">TRIM($A830&amp;"")</f>
        <v/>
      </c>
      <c r="AC830" s="37" t="str">
        <f aca="false">IF(AB830="","",IFERROR(INDEX('Account Map'!$B:$B,MATCH(AB830,'Account Map'!$A:$A,0)),""))</f>
        <v/>
      </c>
      <c r="AD830" s="37" t="str">
        <f aca="false">IF(AB830="","",IFERROR(INDEX('Account Map'!$C:$C,MATCH(AB830,'Account Map'!$A:$A,0)),""))</f>
        <v/>
      </c>
      <c r="AE830" s="37" t="n">
        <f aca="false">IF(AND(AB830&lt;&gt;"",AC830="",COUNT($B830:$Z830)&gt;0,LEFT(AB830,5)&lt;&gt;"Total",AB830&lt;&gt;"Gross Profit",AB830&lt;&gt;"Net Profit",AB830&lt;&gt;"Operating Profit"),1,0)</f>
        <v>0</v>
      </c>
    </row>
    <row r="831" customFormat="false" ht="15" hidden="false" customHeight="false" outlineLevel="0" collapsed="false">
      <c r="B831" s="44"/>
      <c r="C831" s="44"/>
      <c r="D831" s="44"/>
      <c r="E831" s="44"/>
      <c r="F831" s="44"/>
      <c r="G831" s="44"/>
      <c r="H831" s="44"/>
      <c r="I831" s="44"/>
      <c r="J831" s="44"/>
      <c r="K831" s="44"/>
      <c r="L831" s="44"/>
      <c r="M831" s="44"/>
      <c r="N831" s="44"/>
      <c r="O831" s="44"/>
      <c r="P831" s="44"/>
      <c r="Q831" s="44"/>
      <c r="R831" s="44"/>
      <c r="S831" s="44"/>
      <c r="T831" s="44"/>
      <c r="U831" s="44"/>
      <c r="V831" s="44"/>
      <c r="W831" s="44"/>
      <c r="X831" s="44"/>
      <c r="Y831" s="44"/>
      <c r="Z831" s="44"/>
      <c r="AB831" s="37" t="str">
        <f aca="false">TRIM($A831&amp;"")</f>
        <v/>
      </c>
      <c r="AC831" s="37" t="str">
        <f aca="false">IF(AB831="","",IFERROR(INDEX('Account Map'!$B:$B,MATCH(AB831,'Account Map'!$A:$A,0)),""))</f>
        <v/>
      </c>
      <c r="AD831" s="37" t="str">
        <f aca="false">IF(AB831="","",IFERROR(INDEX('Account Map'!$C:$C,MATCH(AB831,'Account Map'!$A:$A,0)),""))</f>
        <v/>
      </c>
      <c r="AE831" s="37" t="n">
        <f aca="false">IF(AND(AB831&lt;&gt;"",AC831="",COUNT($B831:$Z831)&gt;0,LEFT(AB831,5)&lt;&gt;"Total",AB831&lt;&gt;"Gross Profit",AB831&lt;&gt;"Net Profit",AB831&lt;&gt;"Operating Profit"),1,0)</f>
        <v>0</v>
      </c>
    </row>
    <row r="832" customFormat="false" ht="15" hidden="false" customHeight="false" outlineLevel="0" collapsed="false">
      <c r="B832" s="44"/>
      <c r="C832" s="44"/>
      <c r="D832" s="44"/>
      <c r="E832" s="44"/>
      <c r="F832" s="44"/>
      <c r="G832" s="44"/>
      <c r="H832" s="44"/>
      <c r="I832" s="44"/>
      <c r="J832" s="44"/>
      <c r="K832" s="44"/>
      <c r="L832" s="44"/>
      <c r="M832" s="44"/>
      <c r="N832" s="44"/>
      <c r="O832" s="44"/>
      <c r="P832" s="44"/>
      <c r="Q832" s="44"/>
      <c r="R832" s="44"/>
      <c r="S832" s="44"/>
      <c r="T832" s="44"/>
      <c r="U832" s="44"/>
      <c r="V832" s="44"/>
      <c r="W832" s="44"/>
      <c r="X832" s="44"/>
      <c r="Y832" s="44"/>
      <c r="Z832" s="44"/>
      <c r="AB832" s="37" t="str">
        <f aca="false">TRIM($A832&amp;"")</f>
        <v/>
      </c>
      <c r="AC832" s="37" t="str">
        <f aca="false">IF(AB832="","",IFERROR(INDEX('Account Map'!$B:$B,MATCH(AB832,'Account Map'!$A:$A,0)),""))</f>
        <v/>
      </c>
      <c r="AD832" s="37" t="str">
        <f aca="false">IF(AB832="","",IFERROR(INDEX('Account Map'!$C:$C,MATCH(AB832,'Account Map'!$A:$A,0)),""))</f>
        <v/>
      </c>
      <c r="AE832" s="37" t="n">
        <f aca="false">IF(AND(AB832&lt;&gt;"",AC832="",COUNT($B832:$Z832)&gt;0,LEFT(AB832,5)&lt;&gt;"Total",AB832&lt;&gt;"Gross Profit",AB832&lt;&gt;"Net Profit",AB832&lt;&gt;"Operating Profit"),1,0)</f>
        <v>0</v>
      </c>
    </row>
    <row r="833" customFormat="false" ht="15" hidden="false" customHeight="false" outlineLevel="0" collapsed="false">
      <c r="B833" s="44"/>
      <c r="C833" s="44"/>
      <c r="D833" s="44"/>
      <c r="E833" s="44"/>
      <c r="F833" s="44"/>
      <c r="G833" s="44"/>
      <c r="H833" s="44"/>
      <c r="I833" s="44"/>
      <c r="J833" s="44"/>
      <c r="K833" s="44"/>
      <c r="L833" s="44"/>
      <c r="M833" s="44"/>
      <c r="N833" s="44"/>
      <c r="O833" s="44"/>
      <c r="P833" s="44"/>
      <c r="Q833" s="44"/>
      <c r="R833" s="44"/>
      <c r="S833" s="44"/>
      <c r="T833" s="44"/>
      <c r="U833" s="44"/>
      <c r="V833" s="44"/>
      <c r="W833" s="44"/>
      <c r="X833" s="44"/>
      <c r="Y833" s="44"/>
      <c r="Z833" s="44"/>
      <c r="AB833" s="37" t="str">
        <f aca="false">TRIM($A833&amp;"")</f>
        <v/>
      </c>
      <c r="AC833" s="37" t="str">
        <f aca="false">IF(AB833="","",IFERROR(INDEX('Account Map'!$B:$B,MATCH(AB833,'Account Map'!$A:$A,0)),""))</f>
        <v/>
      </c>
      <c r="AD833" s="37" t="str">
        <f aca="false">IF(AB833="","",IFERROR(INDEX('Account Map'!$C:$C,MATCH(AB833,'Account Map'!$A:$A,0)),""))</f>
        <v/>
      </c>
      <c r="AE833" s="37" t="n">
        <f aca="false">IF(AND(AB833&lt;&gt;"",AC833="",COUNT($B833:$Z833)&gt;0,LEFT(AB833,5)&lt;&gt;"Total",AB833&lt;&gt;"Gross Profit",AB833&lt;&gt;"Net Profit",AB833&lt;&gt;"Operating Profit"),1,0)</f>
        <v>0</v>
      </c>
    </row>
    <row r="834" customFormat="false" ht="15" hidden="false" customHeight="false" outlineLevel="0" collapsed="false">
      <c r="B834" s="44"/>
      <c r="C834" s="44"/>
      <c r="D834" s="44"/>
      <c r="E834" s="44"/>
      <c r="F834" s="44"/>
      <c r="G834" s="44"/>
      <c r="H834" s="44"/>
      <c r="I834" s="44"/>
      <c r="J834" s="44"/>
      <c r="K834" s="44"/>
      <c r="L834" s="44"/>
      <c r="M834" s="44"/>
      <c r="N834" s="44"/>
      <c r="O834" s="44"/>
      <c r="P834" s="44"/>
      <c r="Q834" s="44"/>
      <c r="R834" s="44"/>
      <c r="S834" s="44"/>
      <c r="T834" s="44"/>
      <c r="U834" s="44"/>
      <c r="V834" s="44"/>
      <c r="W834" s="44"/>
      <c r="X834" s="44"/>
      <c r="Y834" s="44"/>
      <c r="Z834" s="44"/>
      <c r="AB834" s="37" t="str">
        <f aca="false">TRIM($A834&amp;"")</f>
        <v/>
      </c>
      <c r="AC834" s="37" t="str">
        <f aca="false">IF(AB834="","",IFERROR(INDEX('Account Map'!$B:$B,MATCH(AB834,'Account Map'!$A:$A,0)),""))</f>
        <v/>
      </c>
      <c r="AD834" s="37" t="str">
        <f aca="false">IF(AB834="","",IFERROR(INDEX('Account Map'!$C:$C,MATCH(AB834,'Account Map'!$A:$A,0)),""))</f>
        <v/>
      </c>
      <c r="AE834" s="37" t="n">
        <f aca="false">IF(AND(AB834&lt;&gt;"",AC834="",COUNT($B834:$Z834)&gt;0,LEFT(AB834,5)&lt;&gt;"Total",AB834&lt;&gt;"Gross Profit",AB834&lt;&gt;"Net Profit",AB834&lt;&gt;"Operating Profit"),1,0)</f>
        <v>0</v>
      </c>
    </row>
    <row r="835" customFormat="false" ht="15" hidden="false" customHeight="false" outlineLevel="0" collapsed="false">
      <c r="B835" s="44"/>
      <c r="C835" s="44"/>
      <c r="D835" s="44"/>
      <c r="E835" s="44"/>
      <c r="F835" s="44"/>
      <c r="G835" s="44"/>
      <c r="H835" s="44"/>
      <c r="I835" s="44"/>
      <c r="J835" s="44"/>
      <c r="K835" s="44"/>
      <c r="L835" s="44"/>
      <c r="M835" s="44"/>
      <c r="N835" s="44"/>
      <c r="O835" s="44"/>
      <c r="P835" s="44"/>
      <c r="Q835" s="44"/>
      <c r="R835" s="44"/>
      <c r="S835" s="44"/>
      <c r="T835" s="44"/>
      <c r="U835" s="44"/>
      <c r="V835" s="44"/>
      <c r="W835" s="44"/>
      <c r="X835" s="44"/>
      <c r="Y835" s="44"/>
      <c r="Z835" s="44"/>
      <c r="AB835" s="37" t="str">
        <f aca="false">TRIM($A835&amp;"")</f>
        <v/>
      </c>
      <c r="AC835" s="37" t="str">
        <f aca="false">IF(AB835="","",IFERROR(INDEX('Account Map'!$B:$B,MATCH(AB835,'Account Map'!$A:$A,0)),""))</f>
        <v/>
      </c>
      <c r="AD835" s="37" t="str">
        <f aca="false">IF(AB835="","",IFERROR(INDEX('Account Map'!$C:$C,MATCH(AB835,'Account Map'!$A:$A,0)),""))</f>
        <v/>
      </c>
      <c r="AE835" s="37" t="n">
        <f aca="false">IF(AND(AB835&lt;&gt;"",AC835="",COUNT($B835:$Z835)&gt;0,LEFT(AB835,5)&lt;&gt;"Total",AB835&lt;&gt;"Gross Profit",AB835&lt;&gt;"Net Profit",AB835&lt;&gt;"Operating Profit"),1,0)</f>
        <v>0</v>
      </c>
    </row>
    <row r="836" customFormat="false" ht="15" hidden="false" customHeight="false" outlineLevel="0" collapsed="false">
      <c r="B836" s="44"/>
      <c r="C836" s="44"/>
      <c r="D836" s="44"/>
      <c r="E836" s="44"/>
      <c r="F836" s="44"/>
      <c r="G836" s="44"/>
      <c r="H836" s="44"/>
      <c r="I836" s="44"/>
      <c r="J836" s="44"/>
      <c r="K836" s="44"/>
      <c r="L836" s="44"/>
      <c r="M836" s="44"/>
      <c r="N836" s="44"/>
      <c r="O836" s="44"/>
      <c r="P836" s="44"/>
      <c r="Q836" s="44"/>
      <c r="R836" s="44"/>
      <c r="S836" s="44"/>
      <c r="T836" s="44"/>
      <c r="U836" s="44"/>
      <c r="V836" s="44"/>
      <c r="W836" s="44"/>
      <c r="X836" s="44"/>
      <c r="Y836" s="44"/>
      <c r="Z836" s="44"/>
      <c r="AB836" s="37" t="str">
        <f aca="false">TRIM($A836&amp;"")</f>
        <v/>
      </c>
      <c r="AC836" s="37" t="str">
        <f aca="false">IF(AB836="","",IFERROR(INDEX('Account Map'!$B:$B,MATCH(AB836,'Account Map'!$A:$A,0)),""))</f>
        <v/>
      </c>
      <c r="AD836" s="37" t="str">
        <f aca="false">IF(AB836="","",IFERROR(INDEX('Account Map'!$C:$C,MATCH(AB836,'Account Map'!$A:$A,0)),""))</f>
        <v/>
      </c>
      <c r="AE836" s="37" t="n">
        <f aca="false">IF(AND(AB836&lt;&gt;"",AC836="",COUNT($B836:$Z836)&gt;0,LEFT(AB836,5)&lt;&gt;"Total",AB836&lt;&gt;"Gross Profit",AB836&lt;&gt;"Net Profit",AB836&lt;&gt;"Operating Profit"),1,0)</f>
        <v>0</v>
      </c>
    </row>
    <row r="837" customFormat="false" ht="15" hidden="false" customHeight="false" outlineLevel="0" collapsed="false">
      <c r="B837" s="44"/>
      <c r="C837" s="44"/>
      <c r="D837" s="44"/>
      <c r="E837" s="44"/>
      <c r="F837" s="44"/>
      <c r="G837" s="44"/>
      <c r="H837" s="44"/>
      <c r="I837" s="44"/>
      <c r="J837" s="44"/>
      <c r="K837" s="44"/>
      <c r="L837" s="44"/>
      <c r="M837" s="44"/>
      <c r="N837" s="44"/>
      <c r="O837" s="44"/>
      <c r="P837" s="44"/>
      <c r="Q837" s="44"/>
      <c r="R837" s="44"/>
      <c r="S837" s="44"/>
      <c r="T837" s="44"/>
      <c r="U837" s="44"/>
      <c r="V837" s="44"/>
      <c r="W837" s="44"/>
      <c r="X837" s="44"/>
      <c r="Y837" s="44"/>
      <c r="Z837" s="44"/>
      <c r="AB837" s="37" t="str">
        <f aca="false">TRIM($A837&amp;"")</f>
        <v/>
      </c>
      <c r="AC837" s="37" t="str">
        <f aca="false">IF(AB837="","",IFERROR(INDEX('Account Map'!$B:$B,MATCH(AB837,'Account Map'!$A:$A,0)),""))</f>
        <v/>
      </c>
      <c r="AD837" s="37" t="str">
        <f aca="false">IF(AB837="","",IFERROR(INDEX('Account Map'!$C:$C,MATCH(AB837,'Account Map'!$A:$A,0)),""))</f>
        <v/>
      </c>
      <c r="AE837" s="37" t="n">
        <f aca="false">IF(AND(AB837&lt;&gt;"",AC837="",COUNT($B837:$Z837)&gt;0,LEFT(AB837,5)&lt;&gt;"Total",AB837&lt;&gt;"Gross Profit",AB837&lt;&gt;"Net Profit",AB837&lt;&gt;"Operating Profit"),1,0)</f>
        <v>0</v>
      </c>
    </row>
    <row r="838" customFormat="false" ht="15" hidden="false" customHeight="false" outlineLevel="0" collapsed="false">
      <c r="B838" s="44"/>
      <c r="C838" s="44"/>
      <c r="D838" s="44"/>
      <c r="E838" s="44"/>
      <c r="F838" s="44"/>
      <c r="G838" s="44"/>
      <c r="H838" s="44"/>
      <c r="I838" s="44"/>
      <c r="J838" s="44"/>
      <c r="K838" s="44"/>
      <c r="L838" s="44"/>
      <c r="M838" s="44"/>
      <c r="N838" s="44"/>
      <c r="O838" s="44"/>
      <c r="P838" s="44"/>
      <c r="Q838" s="44"/>
      <c r="R838" s="44"/>
      <c r="S838" s="44"/>
      <c r="T838" s="44"/>
      <c r="U838" s="44"/>
      <c r="V838" s="44"/>
      <c r="W838" s="44"/>
      <c r="X838" s="44"/>
      <c r="Y838" s="44"/>
      <c r="Z838" s="44"/>
      <c r="AB838" s="37" t="str">
        <f aca="false">TRIM($A838&amp;"")</f>
        <v/>
      </c>
      <c r="AC838" s="37" t="str">
        <f aca="false">IF(AB838="","",IFERROR(INDEX('Account Map'!$B:$B,MATCH(AB838,'Account Map'!$A:$A,0)),""))</f>
        <v/>
      </c>
      <c r="AD838" s="37" t="str">
        <f aca="false">IF(AB838="","",IFERROR(INDEX('Account Map'!$C:$C,MATCH(AB838,'Account Map'!$A:$A,0)),""))</f>
        <v/>
      </c>
      <c r="AE838" s="37" t="n">
        <f aca="false">IF(AND(AB838&lt;&gt;"",AC838="",COUNT($B838:$Z838)&gt;0,LEFT(AB838,5)&lt;&gt;"Total",AB838&lt;&gt;"Gross Profit",AB838&lt;&gt;"Net Profit",AB838&lt;&gt;"Operating Profit"),1,0)</f>
        <v>0</v>
      </c>
    </row>
    <row r="839" customFormat="false" ht="15" hidden="false" customHeight="false" outlineLevel="0" collapsed="false">
      <c r="B839" s="44"/>
      <c r="C839" s="44"/>
      <c r="D839" s="44"/>
      <c r="E839" s="44"/>
      <c r="F839" s="44"/>
      <c r="G839" s="44"/>
      <c r="H839" s="44"/>
      <c r="I839" s="44"/>
      <c r="J839" s="44"/>
      <c r="K839" s="44"/>
      <c r="L839" s="44"/>
      <c r="M839" s="44"/>
      <c r="N839" s="44"/>
      <c r="O839" s="44"/>
      <c r="P839" s="44"/>
      <c r="Q839" s="44"/>
      <c r="R839" s="44"/>
      <c r="S839" s="44"/>
      <c r="T839" s="44"/>
      <c r="U839" s="44"/>
      <c r="V839" s="44"/>
      <c r="W839" s="44"/>
      <c r="X839" s="44"/>
      <c r="Y839" s="44"/>
      <c r="Z839" s="44"/>
      <c r="AB839" s="37" t="str">
        <f aca="false">TRIM($A839&amp;"")</f>
        <v/>
      </c>
      <c r="AC839" s="37" t="str">
        <f aca="false">IF(AB839="","",IFERROR(INDEX('Account Map'!$B:$B,MATCH(AB839,'Account Map'!$A:$A,0)),""))</f>
        <v/>
      </c>
      <c r="AD839" s="37" t="str">
        <f aca="false">IF(AB839="","",IFERROR(INDEX('Account Map'!$C:$C,MATCH(AB839,'Account Map'!$A:$A,0)),""))</f>
        <v/>
      </c>
      <c r="AE839" s="37" t="n">
        <f aca="false">IF(AND(AB839&lt;&gt;"",AC839="",COUNT($B839:$Z839)&gt;0,LEFT(AB839,5)&lt;&gt;"Total",AB839&lt;&gt;"Gross Profit",AB839&lt;&gt;"Net Profit",AB839&lt;&gt;"Operating Profit"),1,0)</f>
        <v>0</v>
      </c>
    </row>
    <row r="840" customFormat="false" ht="15" hidden="false" customHeight="false" outlineLevel="0" collapsed="false">
      <c r="B840" s="44"/>
      <c r="C840" s="44"/>
      <c r="D840" s="44"/>
      <c r="E840" s="44"/>
      <c r="F840" s="44"/>
      <c r="G840" s="44"/>
      <c r="H840" s="44"/>
      <c r="I840" s="44"/>
      <c r="J840" s="44"/>
      <c r="K840" s="44"/>
      <c r="L840" s="44"/>
      <c r="M840" s="44"/>
      <c r="N840" s="44"/>
      <c r="O840" s="44"/>
      <c r="P840" s="44"/>
      <c r="Q840" s="44"/>
      <c r="R840" s="44"/>
      <c r="S840" s="44"/>
      <c r="T840" s="44"/>
      <c r="U840" s="44"/>
      <c r="V840" s="44"/>
      <c r="W840" s="44"/>
      <c r="X840" s="44"/>
      <c r="Y840" s="44"/>
      <c r="Z840" s="44"/>
      <c r="AB840" s="37" t="str">
        <f aca="false">TRIM($A840&amp;"")</f>
        <v/>
      </c>
      <c r="AC840" s="37" t="str">
        <f aca="false">IF(AB840="","",IFERROR(INDEX('Account Map'!$B:$B,MATCH(AB840,'Account Map'!$A:$A,0)),""))</f>
        <v/>
      </c>
      <c r="AD840" s="37" t="str">
        <f aca="false">IF(AB840="","",IFERROR(INDEX('Account Map'!$C:$C,MATCH(AB840,'Account Map'!$A:$A,0)),""))</f>
        <v/>
      </c>
      <c r="AE840" s="37" t="n">
        <f aca="false">IF(AND(AB840&lt;&gt;"",AC840="",COUNT($B840:$Z840)&gt;0,LEFT(AB840,5)&lt;&gt;"Total",AB840&lt;&gt;"Gross Profit",AB840&lt;&gt;"Net Profit",AB840&lt;&gt;"Operating Profit"),1,0)</f>
        <v>0</v>
      </c>
    </row>
    <row r="841" customFormat="false" ht="15" hidden="false" customHeight="false" outlineLevel="0" collapsed="false">
      <c r="B841" s="44"/>
      <c r="C841" s="44"/>
      <c r="D841" s="44"/>
      <c r="E841" s="44"/>
      <c r="F841" s="44"/>
      <c r="G841" s="44"/>
      <c r="H841" s="44"/>
      <c r="I841" s="44"/>
      <c r="J841" s="44"/>
      <c r="K841" s="44"/>
      <c r="L841" s="44"/>
      <c r="M841" s="44"/>
      <c r="N841" s="44"/>
      <c r="O841" s="44"/>
      <c r="P841" s="44"/>
      <c r="Q841" s="44"/>
      <c r="R841" s="44"/>
      <c r="S841" s="44"/>
      <c r="T841" s="44"/>
      <c r="U841" s="44"/>
      <c r="V841" s="44"/>
      <c r="W841" s="44"/>
      <c r="X841" s="44"/>
      <c r="Y841" s="44"/>
      <c r="Z841" s="44"/>
      <c r="AB841" s="37" t="str">
        <f aca="false">TRIM($A841&amp;"")</f>
        <v/>
      </c>
      <c r="AC841" s="37" t="str">
        <f aca="false">IF(AB841="","",IFERROR(INDEX('Account Map'!$B:$B,MATCH(AB841,'Account Map'!$A:$A,0)),""))</f>
        <v/>
      </c>
      <c r="AD841" s="37" t="str">
        <f aca="false">IF(AB841="","",IFERROR(INDEX('Account Map'!$C:$C,MATCH(AB841,'Account Map'!$A:$A,0)),""))</f>
        <v/>
      </c>
      <c r="AE841" s="37" t="n">
        <f aca="false">IF(AND(AB841&lt;&gt;"",AC841="",COUNT($B841:$Z841)&gt;0,LEFT(AB841,5)&lt;&gt;"Total",AB841&lt;&gt;"Gross Profit",AB841&lt;&gt;"Net Profit",AB841&lt;&gt;"Operating Profit"),1,0)</f>
        <v>0</v>
      </c>
    </row>
    <row r="842" customFormat="false" ht="15" hidden="false" customHeight="false" outlineLevel="0" collapsed="false">
      <c r="B842" s="44"/>
      <c r="C842" s="44"/>
      <c r="D842" s="44"/>
      <c r="E842" s="44"/>
      <c r="F842" s="44"/>
      <c r="G842" s="44"/>
      <c r="H842" s="44"/>
      <c r="I842" s="44"/>
      <c r="J842" s="44"/>
      <c r="K842" s="44"/>
      <c r="L842" s="44"/>
      <c r="M842" s="44"/>
      <c r="N842" s="44"/>
      <c r="O842" s="44"/>
      <c r="P842" s="44"/>
      <c r="Q842" s="44"/>
      <c r="R842" s="44"/>
      <c r="S842" s="44"/>
      <c r="T842" s="44"/>
      <c r="U842" s="44"/>
      <c r="V842" s="44"/>
      <c r="W842" s="44"/>
      <c r="X842" s="44"/>
      <c r="Y842" s="44"/>
      <c r="Z842" s="44"/>
      <c r="AB842" s="37" t="str">
        <f aca="false">TRIM($A842&amp;"")</f>
        <v/>
      </c>
      <c r="AC842" s="37" t="str">
        <f aca="false">IF(AB842="","",IFERROR(INDEX('Account Map'!$B:$B,MATCH(AB842,'Account Map'!$A:$A,0)),""))</f>
        <v/>
      </c>
      <c r="AD842" s="37" t="str">
        <f aca="false">IF(AB842="","",IFERROR(INDEX('Account Map'!$C:$C,MATCH(AB842,'Account Map'!$A:$A,0)),""))</f>
        <v/>
      </c>
      <c r="AE842" s="37" t="n">
        <f aca="false">IF(AND(AB842&lt;&gt;"",AC842="",COUNT($B842:$Z842)&gt;0,LEFT(AB842,5)&lt;&gt;"Total",AB842&lt;&gt;"Gross Profit",AB842&lt;&gt;"Net Profit",AB842&lt;&gt;"Operating Profit"),1,0)</f>
        <v>0</v>
      </c>
    </row>
    <row r="843" customFormat="false" ht="15" hidden="false" customHeight="false" outlineLevel="0" collapsed="false">
      <c r="B843" s="44"/>
      <c r="C843" s="44"/>
      <c r="D843" s="44"/>
      <c r="E843" s="44"/>
      <c r="F843" s="44"/>
      <c r="G843" s="44"/>
      <c r="H843" s="44"/>
      <c r="I843" s="44"/>
      <c r="J843" s="44"/>
      <c r="K843" s="44"/>
      <c r="L843" s="44"/>
      <c r="M843" s="44"/>
      <c r="N843" s="44"/>
      <c r="O843" s="44"/>
      <c r="P843" s="44"/>
      <c r="Q843" s="44"/>
      <c r="R843" s="44"/>
      <c r="S843" s="44"/>
      <c r="T843" s="44"/>
      <c r="U843" s="44"/>
      <c r="V843" s="44"/>
      <c r="W843" s="44"/>
      <c r="X843" s="44"/>
      <c r="Y843" s="44"/>
      <c r="Z843" s="44"/>
      <c r="AB843" s="37" t="str">
        <f aca="false">TRIM($A843&amp;"")</f>
        <v/>
      </c>
      <c r="AC843" s="37" t="str">
        <f aca="false">IF(AB843="","",IFERROR(INDEX('Account Map'!$B:$B,MATCH(AB843,'Account Map'!$A:$A,0)),""))</f>
        <v/>
      </c>
      <c r="AD843" s="37" t="str">
        <f aca="false">IF(AB843="","",IFERROR(INDEX('Account Map'!$C:$C,MATCH(AB843,'Account Map'!$A:$A,0)),""))</f>
        <v/>
      </c>
      <c r="AE843" s="37" t="n">
        <f aca="false">IF(AND(AB843&lt;&gt;"",AC843="",COUNT($B843:$Z843)&gt;0,LEFT(AB843,5)&lt;&gt;"Total",AB843&lt;&gt;"Gross Profit",AB843&lt;&gt;"Net Profit",AB843&lt;&gt;"Operating Profit"),1,0)</f>
        <v>0</v>
      </c>
    </row>
    <row r="844" customFormat="false" ht="15" hidden="false" customHeight="false" outlineLevel="0" collapsed="false">
      <c r="B844" s="44"/>
      <c r="C844" s="44"/>
      <c r="D844" s="44"/>
      <c r="E844" s="44"/>
      <c r="F844" s="44"/>
      <c r="G844" s="44"/>
      <c r="H844" s="44"/>
      <c r="I844" s="44"/>
      <c r="J844" s="44"/>
      <c r="K844" s="44"/>
      <c r="L844" s="44"/>
      <c r="M844" s="44"/>
      <c r="N844" s="44"/>
      <c r="O844" s="44"/>
      <c r="P844" s="44"/>
      <c r="Q844" s="44"/>
      <c r="R844" s="44"/>
      <c r="S844" s="44"/>
      <c r="T844" s="44"/>
      <c r="U844" s="44"/>
      <c r="V844" s="44"/>
      <c r="W844" s="44"/>
      <c r="X844" s="44"/>
      <c r="Y844" s="44"/>
      <c r="Z844" s="44"/>
      <c r="AB844" s="37" t="str">
        <f aca="false">TRIM($A844&amp;"")</f>
        <v/>
      </c>
      <c r="AC844" s="37" t="str">
        <f aca="false">IF(AB844="","",IFERROR(INDEX('Account Map'!$B:$B,MATCH(AB844,'Account Map'!$A:$A,0)),""))</f>
        <v/>
      </c>
      <c r="AD844" s="37" t="str">
        <f aca="false">IF(AB844="","",IFERROR(INDEX('Account Map'!$C:$C,MATCH(AB844,'Account Map'!$A:$A,0)),""))</f>
        <v/>
      </c>
      <c r="AE844" s="37" t="n">
        <f aca="false">IF(AND(AB844&lt;&gt;"",AC844="",COUNT($B844:$Z844)&gt;0,LEFT(AB844,5)&lt;&gt;"Total",AB844&lt;&gt;"Gross Profit",AB844&lt;&gt;"Net Profit",AB844&lt;&gt;"Operating Profit"),1,0)</f>
        <v>0</v>
      </c>
    </row>
    <row r="845" customFormat="false" ht="15" hidden="false" customHeight="false" outlineLevel="0" collapsed="false">
      <c r="B845" s="44"/>
      <c r="C845" s="44"/>
      <c r="D845" s="44"/>
      <c r="E845" s="44"/>
      <c r="F845" s="44"/>
      <c r="G845" s="44"/>
      <c r="H845" s="44"/>
      <c r="I845" s="44"/>
      <c r="J845" s="44"/>
      <c r="K845" s="44"/>
      <c r="L845" s="44"/>
      <c r="M845" s="44"/>
      <c r="N845" s="44"/>
      <c r="O845" s="44"/>
      <c r="P845" s="44"/>
      <c r="Q845" s="44"/>
      <c r="R845" s="44"/>
      <c r="S845" s="44"/>
      <c r="T845" s="44"/>
      <c r="U845" s="44"/>
      <c r="V845" s="44"/>
      <c r="W845" s="44"/>
      <c r="X845" s="44"/>
      <c r="Y845" s="44"/>
      <c r="Z845" s="44"/>
      <c r="AB845" s="37" t="str">
        <f aca="false">TRIM($A845&amp;"")</f>
        <v/>
      </c>
      <c r="AC845" s="37" t="str">
        <f aca="false">IF(AB845="","",IFERROR(INDEX('Account Map'!$B:$B,MATCH(AB845,'Account Map'!$A:$A,0)),""))</f>
        <v/>
      </c>
      <c r="AD845" s="37" t="str">
        <f aca="false">IF(AB845="","",IFERROR(INDEX('Account Map'!$C:$C,MATCH(AB845,'Account Map'!$A:$A,0)),""))</f>
        <v/>
      </c>
      <c r="AE845" s="37" t="n">
        <f aca="false">IF(AND(AB845&lt;&gt;"",AC845="",COUNT($B845:$Z845)&gt;0,LEFT(AB845,5)&lt;&gt;"Total",AB845&lt;&gt;"Gross Profit",AB845&lt;&gt;"Net Profit",AB845&lt;&gt;"Operating Profit"),1,0)</f>
        <v>0</v>
      </c>
    </row>
    <row r="846" customFormat="false" ht="15" hidden="false" customHeight="false" outlineLevel="0" collapsed="false">
      <c r="B846" s="44"/>
      <c r="C846" s="44"/>
      <c r="D846" s="44"/>
      <c r="E846" s="44"/>
      <c r="F846" s="44"/>
      <c r="G846" s="44"/>
      <c r="H846" s="44"/>
      <c r="I846" s="44"/>
      <c r="J846" s="44"/>
      <c r="K846" s="44"/>
      <c r="L846" s="44"/>
      <c r="M846" s="44"/>
      <c r="N846" s="44"/>
      <c r="O846" s="44"/>
      <c r="P846" s="44"/>
      <c r="Q846" s="44"/>
      <c r="R846" s="44"/>
      <c r="S846" s="44"/>
      <c r="T846" s="44"/>
      <c r="U846" s="44"/>
      <c r="V846" s="44"/>
      <c r="W846" s="44"/>
      <c r="X846" s="44"/>
      <c r="Y846" s="44"/>
      <c r="Z846" s="44"/>
      <c r="AB846" s="37" t="str">
        <f aca="false">TRIM($A846&amp;"")</f>
        <v/>
      </c>
      <c r="AC846" s="37" t="str">
        <f aca="false">IF(AB846="","",IFERROR(INDEX('Account Map'!$B:$B,MATCH(AB846,'Account Map'!$A:$A,0)),""))</f>
        <v/>
      </c>
      <c r="AD846" s="37" t="str">
        <f aca="false">IF(AB846="","",IFERROR(INDEX('Account Map'!$C:$C,MATCH(AB846,'Account Map'!$A:$A,0)),""))</f>
        <v/>
      </c>
      <c r="AE846" s="37" t="n">
        <f aca="false">IF(AND(AB846&lt;&gt;"",AC846="",COUNT($B846:$Z846)&gt;0,LEFT(AB846,5)&lt;&gt;"Total",AB846&lt;&gt;"Gross Profit",AB846&lt;&gt;"Net Profit",AB846&lt;&gt;"Operating Profit"),1,0)</f>
        <v>0</v>
      </c>
    </row>
    <row r="847" customFormat="false" ht="15" hidden="false" customHeight="false" outlineLevel="0" collapsed="false">
      <c r="B847" s="44"/>
      <c r="C847" s="44"/>
      <c r="D847" s="44"/>
      <c r="E847" s="44"/>
      <c r="F847" s="44"/>
      <c r="G847" s="44"/>
      <c r="H847" s="44"/>
      <c r="I847" s="44"/>
      <c r="J847" s="44"/>
      <c r="K847" s="44"/>
      <c r="L847" s="44"/>
      <c r="M847" s="44"/>
      <c r="N847" s="44"/>
      <c r="O847" s="44"/>
      <c r="P847" s="44"/>
      <c r="Q847" s="44"/>
      <c r="R847" s="44"/>
      <c r="S847" s="44"/>
      <c r="T847" s="44"/>
      <c r="U847" s="44"/>
      <c r="V847" s="44"/>
      <c r="W847" s="44"/>
      <c r="X847" s="44"/>
      <c r="Y847" s="44"/>
      <c r="Z847" s="44"/>
      <c r="AB847" s="37" t="str">
        <f aca="false">TRIM($A847&amp;"")</f>
        <v/>
      </c>
      <c r="AC847" s="37" t="str">
        <f aca="false">IF(AB847="","",IFERROR(INDEX('Account Map'!$B:$B,MATCH(AB847,'Account Map'!$A:$A,0)),""))</f>
        <v/>
      </c>
      <c r="AD847" s="37" t="str">
        <f aca="false">IF(AB847="","",IFERROR(INDEX('Account Map'!$C:$C,MATCH(AB847,'Account Map'!$A:$A,0)),""))</f>
        <v/>
      </c>
      <c r="AE847" s="37" t="n">
        <f aca="false">IF(AND(AB847&lt;&gt;"",AC847="",COUNT($B847:$Z847)&gt;0,LEFT(AB847,5)&lt;&gt;"Total",AB847&lt;&gt;"Gross Profit",AB847&lt;&gt;"Net Profit",AB847&lt;&gt;"Operating Profit"),1,0)</f>
        <v>0</v>
      </c>
    </row>
    <row r="848" customFormat="false" ht="15" hidden="false" customHeight="false" outlineLevel="0" collapsed="false">
      <c r="B848" s="44"/>
      <c r="C848" s="44"/>
      <c r="D848" s="44"/>
      <c r="E848" s="44"/>
      <c r="F848" s="44"/>
      <c r="G848" s="44"/>
      <c r="H848" s="44"/>
      <c r="I848" s="44"/>
      <c r="J848" s="44"/>
      <c r="K848" s="44"/>
      <c r="L848" s="44"/>
      <c r="M848" s="44"/>
      <c r="N848" s="44"/>
      <c r="O848" s="44"/>
      <c r="P848" s="44"/>
      <c r="Q848" s="44"/>
      <c r="R848" s="44"/>
      <c r="S848" s="44"/>
      <c r="T848" s="44"/>
      <c r="U848" s="44"/>
      <c r="V848" s="44"/>
      <c r="W848" s="44"/>
      <c r="X848" s="44"/>
      <c r="Y848" s="44"/>
      <c r="Z848" s="44"/>
      <c r="AB848" s="37" t="str">
        <f aca="false">TRIM($A848&amp;"")</f>
        <v/>
      </c>
      <c r="AC848" s="37" t="str">
        <f aca="false">IF(AB848="","",IFERROR(INDEX('Account Map'!$B:$B,MATCH(AB848,'Account Map'!$A:$A,0)),""))</f>
        <v/>
      </c>
      <c r="AD848" s="37" t="str">
        <f aca="false">IF(AB848="","",IFERROR(INDEX('Account Map'!$C:$C,MATCH(AB848,'Account Map'!$A:$A,0)),""))</f>
        <v/>
      </c>
      <c r="AE848" s="37" t="n">
        <f aca="false">IF(AND(AB848&lt;&gt;"",AC848="",COUNT($B848:$Z848)&gt;0,LEFT(AB848,5)&lt;&gt;"Total",AB848&lt;&gt;"Gross Profit",AB848&lt;&gt;"Net Profit",AB848&lt;&gt;"Operating Profit"),1,0)</f>
        <v>0</v>
      </c>
    </row>
    <row r="849" customFormat="false" ht="15" hidden="false" customHeight="false" outlineLevel="0" collapsed="false">
      <c r="B849" s="44"/>
      <c r="C849" s="44"/>
      <c r="D849" s="44"/>
      <c r="E849" s="44"/>
      <c r="F849" s="44"/>
      <c r="G849" s="44"/>
      <c r="H849" s="44"/>
      <c r="I849" s="44"/>
      <c r="J849" s="44"/>
      <c r="K849" s="44"/>
      <c r="L849" s="44"/>
      <c r="M849" s="44"/>
      <c r="N849" s="44"/>
      <c r="O849" s="44"/>
      <c r="P849" s="44"/>
      <c r="Q849" s="44"/>
      <c r="R849" s="44"/>
      <c r="S849" s="44"/>
      <c r="T849" s="44"/>
      <c r="U849" s="44"/>
      <c r="V849" s="44"/>
      <c r="W849" s="44"/>
      <c r="X849" s="44"/>
      <c r="Y849" s="44"/>
      <c r="Z849" s="44"/>
      <c r="AB849" s="37" t="str">
        <f aca="false">TRIM($A849&amp;"")</f>
        <v/>
      </c>
      <c r="AC849" s="37" t="str">
        <f aca="false">IF(AB849="","",IFERROR(INDEX('Account Map'!$B:$B,MATCH(AB849,'Account Map'!$A:$A,0)),""))</f>
        <v/>
      </c>
      <c r="AD849" s="37" t="str">
        <f aca="false">IF(AB849="","",IFERROR(INDEX('Account Map'!$C:$C,MATCH(AB849,'Account Map'!$A:$A,0)),""))</f>
        <v/>
      </c>
      <c r="AE849" s="37" t="n">
        <f aca="false">IF(AND(AB849&lt;&gt;"",AC849="",COUNT($B849:$Z849)&gt;0,LEFT(AB849,5)&lt;&gt;"Total",AB849&lt;&gt;"Gross Profit",AB849&lt;&gt;"Net Profit",AB849&lt;&gt;"Operating Profit"),1,0)</f>
        <v>0</v>
      </c>
    </row>
    <row r="850" customFormat="false" ht="15" hidden="false" customHeight="false" outlineLevel="0" collapsed="false">
      <c r="B850" s="44"/>
      <c r="C850" s="44"/>
      <c r="D850" s="44"/>
      <c r="E850" s="44"/>
      <c r="F850" s="44"/>
      <c r="G850" s="44"/>
      <c r="H850" s="44"/>
      <c r="I850" s="44"/>
      <c r="J850" s="44"/>
      <c r="K850" s="44"/>
      <c r="L850" s="44"/>
      <c r="M850" s="44"/>
      <c r="N850" s="44"/>
      <c r="O850" s="44"/>
      <c r="P850" s="44"/>
      <c r="Q850" s="44"/>
      <c r="R850" s="44"/>
      <c r="S850" s="44"/>
      <c r="T850" s="44"/>
      <c r="U850" s="44"/>
      <c r="V850" s="44"/>
      <c r="W850" s="44"/>
      <c r="X850" s="44"/>
      <c r="Y850" s="44"/>
      <c r="Z850" s="44"/>
      <c r="AB850" s="37" t="str">
        <f aca="false">TRIM($A850&amp;"")</f>
        <v/>
      </c>
      <c r="AC850" s="37" t="str">
        <f aca="false">IF(AB850="","",IFERROR(INDEX('Account Map'!$B:$B,MATCH(AB850,'Account Map'!$A:$A,0)),""))</f>
        <v/>
      </c>
      <c r="AD850" s="37" t="str">
        <f aca="false">IF(AB850="","",IFERROR(INDEX('Account Map'!$C:$C,MATCH(AB850,'Account Map'!$A:$A,0)),""))</f>
        <v/>
      </c>
      <c r="AE850" s="37" t="n">
        <f aca="false">IF(AND(AB850&lt;&gt;"",AC850="",COUNT($B850:$Z850)&gt;0,LEFT(AB850,5)&lt;&gt;"Total",AB850&lt;&gt;"Gross Profit",AB850&lt;&gt;"Net Profit",AB850&lt;&gt;"Operating Profit"),1,0)</f>
        <v>0</v>
      </c>
    </row>
    <row r="851" customFormat="false" ht="15" hidden="false" customHeight="false" outlineLevel="0" collapsed="false">
      <c r="B851" s="44"/>
      <c r="C851" s="44"/>
      <c r="D851" s="44"/>
      <c r="E851" s="44"/>
      <c r="F851" s="44"/>
      <c r="G851" s="44"/>
      <c r="H851" s="44"/>
      <c r="I851" s="44"/>
      <c r="J851" s="44"/>
      <c r="K851" s="44"/>
      <c r="L851" s="44"/>
      <c r="M851" s="44"/>
      <c r="N851" s="44"/>
      <c r="O851" s="44"/>
      <c r="P851" s="44"/>
      <c r="Q851" s="44"/>
      <c r="R851" s="44"/>
      <c r="S851" s="44"/>
      <c r="T851" s="44"/>
      <c r="U851" s="44"/>
      <c r="V851" s="44"/>
      <c r="W851" s="44"/>
      <c r="X851" s="44"/>
      <c r="Y851" s="44"/>
      <c r="Z851" s="44"/>
      <c r="AB851" s="37" t="str">
        <f aca="false">TRIM($A851&amp;"")</f>
        <v/>
      </c>
      <c r="AC851" s="37" t="str">
        <f aca="false">IF(AB851="","",IFERROR(INDEX('Account Map'!$B:$B,MATCH(AB851,'Account Map'!$A:$A,0)),""))</f>
        <v/>
      </c>
      <c r="AD851" s="37" t="str">
        <f aca="false">IF(AB851="","",IFERROR(INDEX('Account Map'!$C:$C,MATCH(AB851,'Account Map'!$A:$A,0)),""))</f>
        <v/>
      </c>
      <c r="AE851" s="37" t="n">
        <f aca="false">IF(AND(AB851&lt;&gt;"",AC851="",COUNT($B851:$Z851)&gt;0,LEFT(AB851,5)&lt;&gt;"Total",AB851&lt;&gt;"Gross Profit",AB851&lt;&gt;"Net Profit",AB851&lt;&gt;"Operating Profit"),1,0)</f>
        <v>0</v>
      </c>
    </row>
    <row r="852" customFormat="false" ht="15" hidden="false" customHeight="false" outlineLevel="0" collapsed="false">
      <c r="B852" s="44"/>
      <c r="C852" s="44"/>
      <c r="D852" s="44"/>
      <c r="E852" s="44"/>
      <c r="F852" s="44"/>
      <c r="G852" s="44"/>
      <c r="H852" s="44"/>
      <c r="I852" s="44"/>
      <c r="J852" s="44"/>
      <c r="K852" s="44"/>
      <c r="L852" s="44"/>
      <c r="M852" s="44"/>
      <c r="N852" s="44"/>
      <c r="O852" s="44"/>
      <c r="P852" s="44"/>
      <c r="Q852" s="44"/>
      <c r="R852" s="44"/>
      <c r="S852" s="44"/>
      <c r="T852" s="44"/>
      <c r="U852" s="44"/>
      <c r="V852" s="44"/>
      <c r="W852" s="44"/>
      <c r="X852" s="44"/>
      <c r="Y852" s="44"/>
      <c r="Z852" s="44"/>
      <c r="AB852" s="37" t="str">
        <f aca="false">TRIM($A852&amp;"")</f>
        <v/>
      </c>
      <c r="AC852" s="37" t="str">
        <f aca="false">IF(AB852="","",IFERROR(INDEX('Account Map'!$B:$B,MATCH(AB852,'Account Map'!$A:$A,0)),""))</f>
        <v/>
      </c>
      <c r="AD852" s="37" t="str">
        <f aca="false">IF(AB852="","",IFERROR(INDEX('Account Map'!$C:$C,MATCH(AB852,'Account Map'!$A:$A,0)),""))</f>
        <v/>
      </c>
      <c r="AE852" s="37" t="n">
        <f aca="false">IF(AND(AB852&lt;&gt;"",AC852="",COUNT($B852:$Z852)&gt;0,LEFT(AB852,5)&lt;&gt;"Total",AB852&lt;&gt;"Gross Profit",AB852&lt;&gt;"Net Profit",AB852&lt;&gt;"Operating Profit"),1,0)</f>
        <v>0</v>
      </c>
    </row>
    <row r="853" customFormat="false" ht="15" hidden="false" customHeight="false" outlineLevel="0" collapsed="false">
      <c r="B853" s="44"/>
      <c r="C853" s="44"/>
      <c r="D853" s="44"/>
      <c r="E853" s="44"/>
      <c r="F853" s="44"/>
      <c r="G853" s="44"/>
      <c r="H853" s="44"/>
      <c r="I853" s="44"/>
      <c r="J853" s="44"/>
      <c r="K853" s="44"/>
      <c r="L853" s="44"/>
      <c r="M853" s="44"/>
      <c r="N853" s="44"/>
      <c r="O853" s="44"/>
      <c r="P853" s="44"/>
      <c r="Q853" s="44"/>
      <c r="R853" s="44"/>
      <c r="S853" s="44"/>
      <c r="T853" s="44"/>
      <c r="U853" s="44"/>
      <c r="V853" s="44"/>
      <c r="W853" s="44"/>
      <c r="X853" s="44"/>
      <c r="Y853" s="44"/>
      <c r="Z853" s="44"/>
      <c r="AB853" s="37" t="str">
        <f aca="false">TRIM($A853&amp;"")</f>
        <v/>
      </c>
      <c r="AC853" s="37" t="str">
        <f aca="false">IF(AB853="","",IFERROR(INDEX('Account Map'!$B:$B,MATCH(AB853,'Account Map'!$A:$A,0)),""))</f>
        <v/>
      </c>
      <c r="AD853" s="37" t="str">
        <f aca="false">IF(AB853="","",IFERROR(INDEX('Account Map'!$C:$C,MATCH(AB853,'Account Map'!$A:$A,0)),""))</f>
        <v/>
      </c>
      <c r="AE853" s="37" t="n">
        <f aca="false">IF(AND(AB853&lt;&gt;"",AC853="",COUNT($B853:$Z853)&gt;0,LEFT(AB853,5)&lt;&gt;"Total",AB853&lt;&gt;"Gross Profit",AB853&lt;&gt;"Net Profit",AB853&lt;&gt;"Operating Profit"),1,0)</f>
        <v>0</v>
      </c>
    </row>
    <row r="854" customFormat="false" ht="15" hidden="false" customHeight="false" outlineLevel="0" collapsed="false">
      <c r="B854" s="44"/>
      <c r="C854" s="44"/>
      <c r="D854" s="44"/>
      <c r="E854" s="44"/>
      <c r="F854" s="44"/>
      <c r="G854" s="44"/>
      <c r="H854" s="44"/>
      <c r="I854" s="44"/>
      <c r="J854" s="44"/>
      <c r="K854" s="44"/>
      <c r="L854" s="44"/>
      <c r="M854" s="44"/>
      <c r="N854" s="44"/>
      <c r="O854" s="44"/>
      <c r="P854" s="44"/>
      <c r="Q854" s="44"/>
      <c r="R854" s="44"/>
      <c r="S854" s="44"/>
      <c r="T854" s="44"/>
      <c r="U854" s="44"/>
      <c r="V854" s="44"/>
      <c r="W854" s="44"/>
      <c r="X854" s="44"/>
      <c r="Y854" s="44"/>
      <c r="Z854" s="44"/>
      <c r="AB854" s="37" t="str">
        <f aca="false">TRIM($A854&amp;"")</f>
        <v/>
      </c>
      <c r="AC854" s="37" t="str">
        <f aca="false">IF(AB854="","",IFERROR(INDEX('Account Map'!$B:$B,MATCH(AB854,'Account Map'!$A:$A,0)),""))</f>
        <v/>
      </c>
      <c r="AD854" s="37" t="str">
        <f aca="false">IF(AB854="","",IFERROR(INDEX('Account Map'!$C:$C,MATCH(AB854,'Account Map'!$A:$A,0)),""))</f>
        <v/>
      </c>
      <c r="AE854" s="37" t="n">
        <f aca="false">IF(AND(AB854&lt;&gt;"",AC854="",COUNT($B854:$Z854)&gt;0,LEFT(AB854,5)&lt;&gt;"Total",AB854&lt;&gt;"Gross Profit",AB854&lt;&gt;"Net Profit",AB854&lt;&gt;"Operating Profit"),1,0)</f>
        <v>0</v>
      </c>
    </row>
    <row r="855" customFormat="false" ht="15" hidden="false" customHeight="false" outlineLevel="0" collapsed="false">
      <c r="B855" s="44"/>
      <c r="C855" s="44"/>
      <c r="D855" s="44"/>
      <c r="E855" s="44"/>
      <c r="F855" s="44"/>
      <c r="G855" s="44"/>
      <c r="H855" s="44"/>
      <c r="I855" s="44"/>
      <c r="J855" s="44"/>
      <c r="K855" s="44"/>
      <c r="L855" s="44"/>
      <c r="M855" s="44"/>
      <c r="N855" s="44"/>
      <c r="O855" s="44"/>
      <c r="P855" s="44"/>
      <c r="Q855" s="44"/>
      <c r="R855" s="44"/>
      <c r="S855" s="44"/>
      <c r="T855" s="44"/>
      <c r="U855" s="44"/>
      <c r="V855" s="44"/>
      <c r="W855" s="44"/>
      <c r="X855" s="44"/>
      <c r="Y855" s="44"/>
      <c r="Z855" s="44"/>
      <c r="AB855" s="37" t="str">
        <f aca="false">TRIM($A855&amp;"")</f>
        <v/>
      </c>
      <c r="AC855" s="37" t="str">
        <f aca="false">IF(AB855="","",IFERROR(INDEX('Account Map'!$B:$B,MATCH(AB855,'Account Map'!$A:$A,0)),""))</f>
        <v/>
      </c>
      <c r="AD855" s="37" t="str">
        <f aca="false">IF(AB855="","",IFERROR(INDEX('Account Map'!$C:$C,MATCH(AB855,'Account Map'!$A:$A,0)),""))</f>
        <v/>
      </c>
      <c r="AE855" s="37" t="n">
        <f aca="false">IF(AND(AB855&lt;&gt;"",AC855="",COUNT($B855:$Z855)&gt;0,LEFT(AB855,5)&lt;&gt;"Total",AB855&lt;&gt;"Gross Profit",AB855&lt;&gt;"Net Profit",AB855&lt;&gt;"Operating Profit"),1,0)</f>
        <v>0</v>
      </c>
    </row>
    <row r="856" customFormat="false" ht="15" hidden="false" customHeight="false" outlineLevel="0" collapsed="false">
      <c r="B856" s="44"/>
      <c r="C856" s="44"/>
      <c r="D856" s="44"/>
      <c r="E856" s="44"/>
      <c r="F856" s="44"/>
      <c r="G856" s="44"/>
      <c r="H856" s="44"/>
      <c r="I856" s="44"/>
      <c r="J856" s="44"/>
      <c r="K856" s="44"/>
      <c r="L856" s="44"/>
      <c r="M856" s="44"/>
      <c r="N856" s="44"/>
      <c r="O856" s="44"/>
      <c r="P856" s="44"/>
      <c r="Q856" s="44"/>
      <c r="R856" s="44"/>
      <c r="S856" s="44"/>
      <c r="T856" s="44"/>
      <c r="U856" s="44"/>
      <c r="V856" s="44"/>
      <c r="W856" s="44"/>
      <c r="X856" s="44"/>
      <c r="Y856" s="44"/>
      <c r="Z856" s="44"/>
      <c r="AB856" s="37" t="str">
        <f aca="false">TRIM($A856&amp;"")</f>
        <v/>
      </c>
      <c r="AC856" s="37" t="str">
        <f aca="false">IF(AB856="","",IFERROR(INDEX('Account Map'!$B:$B,MATCH(AB856,'Account Map'!$A:$A,0)),""))</f>
        <v/>
      </c>
      <c r="AD856" s="37" t="str">
        <f aca="false">IF(AB856="","",IFERROR(INDEX('Account Map'!$C:$C,MATCH(AB856,'Account Map'!$A:$A,0)),""))</f>
        <v/>
      </c>
      <c r="AE856" s="37" t="n">
        <f aca="false">IF(AND(AB856&lt;&gt;"",AC856="",COUNT($B856:$Z856)&gt;0,LEFT(AB856,5)&lt;&gt;"Total",AB856&lt;&gt;"Gross Profit",AB856&lt;&gt;"Net Profit",AB856&lt;&gt;"Operating Profit"),1,0)</f>
        <v>0</v>
      </c>
    </row>
    <row r="857" customFormat="false" ht="15" hidden="false" customHeight="false" outlineLevel="0" collapsed="false">
      <c r="B857" s="44"/>
      <c r="C857" s="44"/>
      <c r="D857" s="44"/>
      <c r="E857" s="44"/>
      <c r="F857" s="44"/>
      <c r="G857" s="44"/>
      <c r="H857" s="44"/>
      <c r="I857" s="44"/>
      <c r="J857" s="44"/>
      <c r="K857" s="44"/>
      <c r="L857" s="44"/>
      <c r="M857" s="44"/>
      <c r="N857" s="44"/>
      <c r="O857" s="44"/>
      <c r="P857" s="44"/>
      <c r="Q857" s="44"/>
      <c r="R857" s="44"/>
      <c r="S857" s="44"/>
      <c r="T857" s="44"/>
      <c r="U857" s="44"/>
      <c r="V857" s="44"/>
      <c r="W857" s="44"/>
      <c r="X857" s="44"/>
      <c r="Y857" s="44"/>
      <c r="Z857" s="44"/>
      <c r="AB857" s="37" t="str">
        <f aca="false">TRIM($A857&amp;"")</f>
        <v/>
      </c>
      <c r="AC857" s="37" t="str">
        <f aca="false">IF(AB857="","",IFERROR(INDEX('Account Map'!$B:$B,MATCH(AB857,'Account Map'!$A:$A,0)),""))</f>
        <v/>
      </c>
      <c r="AD857" s="37" t="str">
        <f aca="false">IF(AB857="","",IFERROR(INDEX('Account Map'!$C:$C,MATCH(AB857,'Account Map'!$A:$A,0)),""))</f>
        <v/>
      </c>
      <c r="AE857" s="37" t="n">
        <f aca="false">IF(AND(AB857&lt;&gt;"",AC857="",COUNT($B857:$Z857)&gt;0,LEFT(AB857,5)&lt;&gt;"Total",AB857&lt;&gt;"Gross Profit",AB857&lt;&gt;"Net Profit",AB857&lt;&gt;"Operating Profit"),1,0)</f>
        <v>0</v>
      </c>
    </row>
    <row r="858" customFormat="false" ht="15" hidden="false" customHeight="false" outlineLevel="0" collapsed="false">
      <c r="B858" s="44"/>
      <c r="C858" s="44"/>
      <c r="D858" s="44"/>
      <c r="E858" s="44"/>
      <c r="F858" s="44"/>
      <c r="G858" s="44"/>
      <c r="H858" s="44"/>
      <c r="I858" s="44"/>
      <c r="J858" s="44"/>
      <c r="K858" s="44"/>
      <c r="L858" s="44"/>
      <c r="M858" s="44"/>
      <c r="N858" s="44"/>
      <c r="O858" s="44"/>
      <c r="P858" s="44"/>
      <c r="Q858" s="44"/>
      <c r="R858" s="44"/>
      <c r="S858" s="44"/>
      <c r="T858" s="44"/>
      <c r="U858" s="44"/>
      <c r="V858" s="44"/>
      <c r="W858" s="44"/>
      <c r="X858" s="44"/>
      <c r="Y858" s="44"/>
      <c r="Z858" s="44"/>
      <c r="AB858" s="37" t="str">
        <f aca="false">TRIM($A858&amp;"")</f>
        <v/>
      </c>
      <c r="AC858" s="37" t="str">
        <f aca="false">IF(AB858="","",IFERROR(INDEX('Account Map'!$B:$B,MATCH(AB858,'Account Map'!$A:$A,0)),""))</f>
        <v/>
      </c>
      <c r="AD858" s="37" t="str">
        <f aca="false">IF(AB858="","",IFERROR(INDEX('Account Map'!$C:$C,MATCH(AB858,'Account Map'!$A:$A,0)),""))</f>
        <v/>
      </c>
      <c r="AE858" s="37" t="n">
        <f aca="false">IF(AND(AB858&lt;&gt;"",AC858="",COUNT($B858:$Z858)&gt;0,LEFT(AB858,5)&lt;&gt;"Total",AB858&lt;&gt;"Gross Profit",AB858&lt;&gt;"Net Profit",AB858&lt;&gt;"Operating Profit"),1,0)</f>
        <v>0</v>
      </c>
    </row>
    <row r="859" customFormat="false" ht="15" hidden="false" customHeight="false" outlineLevel="0" collapsed="false">
      <c r="B859" s="44"/>
      <c r="C859" s="44"/>
      <c r="D859" s="44"/>
      <c r="E859" s="44"/>
      <c r="F859" s="44"/>
      <c r="G859" s="44"/>
      <c r="H859" s="44"/>
      <c r="I859" s="44"/>
      <c r="J859" s="44"/>
      <c r="K859" s="44"/>
      <c r="L859" s="44"/>
      <c r="M859" s="44"/>
      <c r="N859" s="44"/>
      <c r="O859" s="44"/>
      <c r="P859" s="44"/>
      <c r="Q859" s="44"/>
      <c r="R859" s="44"/>
      <c r="S859" s="44"/>
      <c r="T859" s="44"/>
      <c r="U859" s="44"/>
      <c r="V859" s="44"/>
      <c r="W859" s="44"/>
      <c r="X859" s="44"/>
      <c r="Y859" s="44"/>
      <c r="Z859" s="44"/>
      <c r="AB859" s="37" t="str">
        <f aca="false">TRIM($A859&amp;"")</f>
        <v/>
      </c>
      <c r="AC859" s="37" t="str">
        <f aca="false">IF(AB859="","",IFERROR(INDEX('Account Map'!$B:$B,MATCH(AB859,'Account Map'!$A:$A,0)),""))</f>
        <v/>
      </c>
      <c r="AD859" s="37" t="str">
        <f aca="false">IF(AB859="","",IFERROR(INDEX('Account Map'!$C:$C,MATCH(AB859,'Account Map'!$A:$A,0)),""))</f>
        <v/>
      </c>
      <c r="AE859" s="37" t="n">
        <f aca="false">IF(AND(AB859&lt;&gt;"",AC859="",COUNT($B859:$Z859)&gt;0,LEFT(AB859,5)&lt;&gt;"Total",AB859&lt;&gt;"Gross Profit",AB859&lt;&gt;"Net Profit",AB859&lt;&gt;"Operating Profit"),1,0)</f>
        <v>0</v>
      </c>
    </row>
    <row r="860" customFormat="false" ht="15" hidden="false" customHeight="false" outlineLevel="0" collapsed="false">
      <c r="B860" s="44"/>
      <c r="C860" s="44"/>
      <c r="D860" s="44"/>
      <c r="E860" s="44"/>
      <c r="F860" s="44"/>
      <c r="G860" s="44"/>
      <c r="H860" s="44"/>
      <c r="I860" s="44"/>
      <c r="J860" s="44"/>
      <c r="K860" s="44"/>
      <c r="L860" s="44"/>
      <c r="M860" s="44"/>
      <c r="N860" s="44"/>
      <c r="O860" s="44"/>
      <c r="P860" s="44"/>
      <c r="Q860" s="44"/>
      <c r="R860" s="44"/>
      <c r="S860" s="44"/>
      <c r="T860" s="44"/>
      <c r="U860" s="44"/>
      <c r="V860" s="44"/>
      <c r="W860" s="44"/>
      <c r="X860" s="44"/>
      <c r="Y860" s="44"/>
      <c r="Z860" s="44"/>
      <c r="AB860" s="37" t="str">
        <f aca="false">TRIM($A860&amp;"")</f>
        <v/>
      </c>
      <c r="AC860" s="37" t="str">
        <f aca="false">IF(AB860="","",IFERROR(INDEX('Account Map'!$B:$B,MATCH(AB860,'Account Map'!$A:$A,0)),""))</f>
        <v/>
      </c>
      <c r="AD860" s="37" t="str">
        <f aca="false">IF(AB860="","",IFERROR(INDEX('Account Map'!$C:$C,MATCH(AB860,'Account Map'!$A:$A,0)),""))</f>
        <v/>
      </c>
      <c r="AE860" s="37" t="n">
        <f aca="false">IF(AND(AB860&lt;&gt;"",AC860="",COUNT($B860:$Z860)&gt;0,LEFT(AB860,5)&lt;&gt;"Total",AB860&lt;&gt;"Gross Profit",AB860&lt;&gt;"Net Profit",AB860&lt;&gt;"Operating Profit"),1,0)</f>
        <v>0</v>
      </c>
    </row>
    <row r="861" customFormat="false" ht="15" hidden="false" customHeight="false" outlineLevel="0" collapsed="false">
      <c r="B861" s="44"/>
      <c r="C861" s="44"/>
      <c r="D861" s="44"/>
      <c r="E861" s="44"/>
      <c r="F861" s="44"/>
      <c r="G861" s="44"/>
      <c r="H861" s="44"/>
      <c r="I861" s="44"/>
      <c r="J861" s="44"/>
      <c r="K861" s="44"/>
      <c r="L861" s="44"/>
      <c r="M861" s="44"/>
      <c r="N861" s="44"/>
      <c r="O861" s="44"/>
      <c r="P861" s="44"/>
      <c r="Q861" s="44"/>
      <c r="R861" s="44"/>
      <c r="S861" s="44"/>
      <c r="T861" s="44"/>
      <c r="U861" s="44"/>
      <c r="V861" s="44"/>
      <c r="W861" s="44"/>
      <c r="X861" s="44"/>
      <c r="Y861" s="44"/>
      <c r="Z861" s="44"/>
      <c r="AB861" s="37" t="str">
        <f aca="false">TRIM($A861&amp;"")</f>
        <v/>
      </c>
      <c r="AC861" s="37" t="str">
        <f aca="false">IF(AB861="","",IFERROR(INDEX('Account Map'!$B:$B,MATCH(AB861,'Account Map'!$A:$A,0)),""))</f>
        <v/>
      </c>
      <c r="AD861" s="37" t="str">
        <f aca="false">IF(AB861="","",IFERROR(INDEX('Account Map'!$C:$C,MATCH(AB861,'Account Map'!$A:$A,0)),""))</f>
        <v/>
      </c>
      <c r="AE861" s="37" t="n">
        <f aca="false">IF(AND(AB861&lt;&gt;"",AC861="",COUNT($B861:$Z861)&gt;0,LEFT(AB861,5)&lt;&gt;"Total",AB861&lt;&gt;"Gross Profit",AB861&lt;&gt;"Net Profit",AB861&lt;&gt;"Operating Profit"),1,0)</f>
        <v>0</v>
      </c>
    </row>
    <row r="862" customFormat="false" ht="15" hidden="false" customHeight="false" outlineLevel="0" collapsed="false">
      <c r="B862" s="44"/>
      <c r="C862" s="44"/>
      <c r="D862" s="44"/>
      <c r="E862" s="44"/>
      <c r="F862" s="44"/>
      <c r="G862" s="44"/>
      <c r="H862" s="44"/>
      <c r="I862" s="44"/>
      <c r="J862" s="44"/>
      <c r="K862" s="44"/>
      <c r="L862" s="44"/>
      <c r="M862" s="44"/>
      <c r="N862" s="44"/>
      <c r="O862" s="44"/>
      <c r="P862" s="44"/>
      <c r="Q862" s="44"/>
      <c r="R862" s="44"/>
      <c r="S862" s="44"/>
      <c r="T862" s="44"/>
      <c r="U862" s="44"/>
      <c r="V862" s="44"/>
      <c r="W862" s="44"/>
      <c r="X862" s="44"/>
      <c r="Y862" s="44"/>
      <c r="Z862" s="44"/>
      <c r="AB862" s="37" t="str">
        <f aca="false">TRIM($A862&amp;"")</f>
        <v/>
      </c>
      <c r="AC862" s="37" t="str">
        <f aca="false">IF(AB862="","",IFERROR(INDEX('Account Map'!$B:$B,MATCH(AB862,'Account Map'!$A:$A,0)),""))</f>
        <v/>
      </c>
      <c r="AD862" s="37" t="str">
        <f aca="false">IF(AB862="","",IFERROR(INDEX('Account Map'!$C:$C,MATCH(AB862,'Account Map'!$A:$A,0)),""))</f>
        <v/>
      </c>
      <c r="AE862" s="37" t="n">
        <f aca="false">IF(AND(AB862&lt;&gt;"",AC862="",COUNT($B862:$Z862)&gt;0,LEFT(AB862,5)&lt;&gt;"Total",AB862&lt;&gt;"Gross Profit",AB862&lt;&gt;"Net Profit",AB862&lt;&gt;"Operating Profit"),1,0)</f>
        <v>0</v>
      </c>
    </row>
    <row r="863" customFormat="false" ht="15" hidden="false" customHeight="false" outlineLevel="0" collapsed="false">
      <c r="B863" s="44"/>
      <c r="C863" s="44"/>
      <c r="D863" s="44"/>
      <c r="E863" s="44"/>
      <c r="F863" s="44"/>
      <c r="G863" s="44"/>
      <c r="H863" s="44"/>
      <c r="I863" s="44"/>
      <c r="J863" s="44"/>
      <c r="K863" s="44"/>
      <c r="L863" s="44"/>
      <c r="M863" s="44"/>
      <c r="N863" s="44"/>
      <c r="O863" s="44"/>
      <c r="P863" s="44"/>
      <c r="Q863" s="44"/>
      <c r="R863" s="44"/>
      <c r="S863" s="44"/>
      <c r="T863" s="44"/>
      <c r="U863" s="44"/>
      <c r="V863" s="44"/>
      <c r="W863" s="44"/>
      <c r="X863" s="44"/>
      <c r="Y863" s="44"/>
      <c r="Z863" s="44"/>
      <c r="AB863" s="37" t="str">
        <f aca="false">TRIM($A863&amp;"")</f>
        <v/>
      </c>
      <c r="AC863" s="37" t="str">
        <f aca="false">IF(AB863="","",IFERROR(INDEX('Account Map'!$B:$B,MATCH(AB863,'Account Map'!$A:$A,0)),""))</f>
        <v/>
      </c>
      <c r="AD863" s="37" t="str">
        <f aca="false">IF(AB863="","",IFERROR(INDEX('Account Map'!$C:$C,MATCH(AB863,'Account Map'!$A:$A,0)),""))</f>
        <v/>
      </c>
      <c r="AE863" s="37" t="n">
        <f aca="false">IF(AND(AB863&lt;&gt;"",AC863="",COUNT($B863:$Z863)&gt;0,LEFT(AB863,5)&lt;&gt;"Total",AB863&lt;&gt;"Gross Profit",AB863&lt;&gt;"Net Profit",AB863&lt;&gt;"Operating Profit"),1,0)</f>
        <v>0</v>
      </c>
    </row>
    <row r="864" customFormat="false" ht="15" hidden="false" customHeight="false" outlineLevel="0" collapsed="false">
      <c r="B864" s="44"/>
      <c r="C864" s="44"/>
      <c r="D864" s="44"/>
      <c r="E864" s="44"/>
      <c r="F864" s="44"/>
      <c r="G864" s="44"/>
      <c r="H864" s="44"/>
      <c r="I864" s="44"/>
      <c r="J864" s="44"/>
      <c r="K864" s="44"/>
      <c r="L864" s="44"/>
      <c r="M864" s="44"/>
      <c r="N864" s="44"/>
      <c r="O864" s="44"/>
      <c r="P864" s="44"/>
      <c r="Q864" s="44"/>
      <c r="R864" s="44"/>
      <c r="S864" s="44"/>
      <c r="T864" s="44"/>
      <c r="U864" s="44"/>
      <c r="V864" s="44"/>
      <c r="W864" s="44"/>
      <c r="X864" s="44"/>
      <c r="Y864" s="44"/>
      <c r="Z864" s="44"/>
      <c r="AB864" s="37" t="str">
        <f aca="false">TRIM($A864&amp;"")</f>
        <v/>
      </c>
      <c r="AC864" s="37" t="str">
        <f aca="false">IF(AB864="","",IFERROR(INDEX('Account Map'!$B:$B,MATCH(AB864,'Account Map'!$A:$A,0)),""))</f>
        <v/>
      </c>
      <c r="AD864" s="37" t="str">
        <f aca="false">IF(AB864="","",IFERROR(INDEX('Account Map'!$C:$C,MATCH(AB864,'Account Map'!$A:$A,0)),""))</f>
        <v/>
      </c>
      <c r="AE864" s="37" t="n">
        <f aca="false">IF(AND(AB864&lt;&gt;"",AC864="",COUNT($B864:$Z864)&gt;0,LEFT(AB864,5)&lt;&gt;"Total",AB864&lt;&gt;"Gross Profit",AB864&lt;&gt;"Net Profit",AB864&lt;&gt;"Operating Profit"),1,0)</f>
        <v>0</v>
      </c>
    </row>
    <row r="865" customFormat="false" ht="15" hidden="false" customHeight="false" outlineLevel="0" collapsed="false">
      <c r="B865" s="44"/>
      <c r="C865" s="44"/>
      <c r="D865" s="44"/>
      <c r="E865" s="44"/>
      <c r="F865" s="44"/>
      <c r="G865" s="44"/>
      <c r="H865" s="44"/>
      <c r="I865" s="44"/>
      <c r="J865" s="44"/>
      <c r="K865" s="44"/>
      <c r="L865" s="44"/>
      <c r="M865" s="44"/>
      <c r="N865" s="44"/>
      <c r="O865" s="44"/>
      <c r="P865" s="44"/>
      <c r="Q865" s="44"/>
      <c r="R865" s="44"/>
      <c r="S865" s="44"/>
      <c r="T865" s="44"/>
      <c r="U865" s="44"/>
      <c r="V865" s="44"/>
      <c r="W865" s="44"/>
      <c r="X865" s="44"/>
      <c r="Y865" s="44"/>
      <c r="Z865" s="44"/>
      <c r="AB865" s="37" t="str">
        <f aca="false">TRIM($A865&amp;"")</f>
        <v/>
      </c>
      <c r="AC865" s="37" t="str">
        <f aca="false">IF(AB865="","",IFERROR(INDEX('Account Map'!$B:$B,MATCH(AB865,'Account Map'!$A:$A,0)),""))</f>
        <v/>
      </c>
      <c r="AD865" s="37" t="str">
        <f aca="false">IF(AB865="","",IFERROR(INDEX('Account Map'!$C:$C,MATCH(AB865,'Account Map'!$A:$A,0)),""))</f>
        <v/>
      </c>
      <c r="AE865" s="37" t="n">
        <f aca="false">IF(AND(AB865&lt;&gt;"",AC865="",COUNT($B865:$Z865)&gt;0,LEFT(AB865,5)&lt;&gt;"Total",AB865&lt;&gt;"Gross Profit",AB865&lt;&gt;"Net Profit",AB865&lt;&gt;"Operating Profit"),1,0)</f>
        <v>0</v>
      </c>
    </row>
    <row r="866" customFormat="false" ht="15" hidden="false" customHeight="false" outlineLevel="0" collapsed="false">
      <c r="B866" s="44"/>
      <c r="C866" s="44"/>
      <c r="D866" s="44"/>
      <c r="E866" s="44"/>
      <c r="F866" s="44"/>
      <c r="G866" s="44"/>
      <c r="H866" s="44"/>
      <c r="I866" s="44"/>
      <c r="J866" s="44"/>
      <c r="K866" s="44"/>
      <c r="L866" s="44"/>
      <c r="M866" s="44"/>
      <c r="N866" s="44"/>
      <c r="O866" s="44"/>
      <c r="P866" s="44"/>
      <c r="Q866" s="44"/>
      <c r="R866" s="44"/>
      <c r="S866" s="44"/>
      <c r="T866" s="44"/>
      <c r="U866" s="44"/>
      <c r="V866" s="44"/>
      <c r="W866" s="44"/>
      <c r="X866" s="44"/>
      <c r="Y866" s="44"/>
      <c r="Z866" s="44"/>
      <c r="AB866" s="37" t="str">
        <f aca="false">TRIM($A866&amp;"")</f>
        <v/>
      </c>
      <c r="AC866" s="37" t="str">
        <f aca="false">IF(AB866="","",IFERROR(INDEX('Account Map'!$B:$B,MATCH(AB866,'Account Map'!$A:$A,0)),""))</f>
        <v/>
      </c>
      <c r="AD866" s="37" t="str">
        <f aca="false">IF(AB866="","",IFERROR(INDEX('Account Map'!$C:$C,MATCH(AB866,'Account Map'!$A:$A,0)),""))</f>
        <v/>
      </c>
      <c r="AE866" s="37" t="n">
        <f aca="false">IF(AND(AB866&lt;&gt;"",AC866="",COUNT($B866:$Z866)&gt;0,LEFT(AB866,5)&lt;&gt;"Total",AB866&lt;&gt;"Gross Profit",AB866&lt;&gt;"Net Profit",AB866&lt;&gt;"Operating Profit"),1,0)</f>
        <v>0</v>
      </c>
    </row>
    <row r="867" customFormat="false" ht="15" hidden="false" customHeight="false" outlineLevel="0" collapsed="false">
      <c r="B867" s="44"/>
      <c r="C867" s="44"/>
      <c r="D867" s="44"/>
      <c r="E867" s="44"/>
      <c r="F867" s="44"/>
      <c r="G867" s="44"/>
      <c r="H867" s="44"/>
      <c r="I867" s="44"/>
      <c r="J867" s="44"/>
      <c r="K867" s="44"/>
      <c r="L867" s="44"/>
      <c r="M867" s="44"/>
      <c r="N867" s="44"/>
      <c r="O867" s="44"/>
      <c r="P867" s="44"/>
      <c r="Q867" s="44"/>
      <c r="R867" s="44"/>
      <c r="S867" s="44"/>
      <c r="T867" s="44"/>
      <c r="U867" s="44"/>
      <c r="V867" s="44"/>
      <c r="W867" s="44"/>
      <c r="X867" s="44"/>
      <c r="Y867" s="44"/>
      <c r="Z867" s="44"/>
      <c r="AB867" s="37" t="str">
        <f aca="false">TRIM($A867&amp;"")</f>
        <v/>
      </c>
      <c r="AC867" s="37" t="str">
        <f aca="false">IF(AB867="","",IFERROR(INDEX('Account Map'!$B:$B,MATCH(AB867,'Account Map'!$A:$A,0)),""))</f>
        <v/>
      </c>
      <c r="AD867" s="37" t="str">
        <f aca="false">IF(AB867="","",IFERROR(INDEX('Account Map'!$C:$C,MATCH(AB867,'Account Map'!$A:$A,0)),""))</f>
        <v/>
      </c>
      <c r="AE867" s="37" t="n">
        <f aca="false">IF(AND(AB867&lt;&gt;"",AC867="",COUNT($B867:$Z867)&gt;0,LEFT(AB867,5)&lt;&gt;"Total",AB867&lt;&gt;"Gross Profit",AB867&lt;&gt;"Net Profit",AB867&lt;&gt;"Operating Profit"),1,0)</f>
        <v>0</v>
      </c>
    </row>
    <row r="868" customFormat="false" ht="15" hidden="false" customHeight="false" outlineLevel="0" collapsed="false">
      <c r="B868" s="44"/>
      <c r="C868" s="44"/>
      <c r="D868" s="44"/>
      <c r="E868" s="44"/>
      <c r="F868" s="44"/>
      <c r="G868" s="44"/>
      <c r="H868" s="44"/>
      <c r="I868" s="44"/>
      <c r="J868" s="44"/>
      <c r="K868" s="44"/>
      <c r="L868" s="44"/>
      <c r="M868" s="44"/>
      <c r="N868" s="44"/>
      <c r="O868" s="44"/>
      <c r="P868" s="44"/>
      <c r="Q868" s="44"/>
      <c r="R868" s="44"/>
      <c r="S868" s="44"/>
      <c r="T868" s="44"/>
      <c r="U868" s="44"/>
      <c r="V868" s="44"/>
      <c r="W868" s="44"/>
      <c r="X868" s="44"/>
      <c r="Y868" s="44"/>
      <c r="Z868" s="44"/>
      <c r="AB868" s="37" t="str">
        <f aca="false">TRIM($A868&amp;"")</f>
        <v/>
      </c>
      <c r="AC868" s="37" t="str">
        <f aca="false">IF(AB868="","",IFERROR(INDEX('Account Map'!$B:$B,MATCH(AB868,'Account Map'!$A:$A,0)),""))</f>
        <v/>
      </c>
      <c r="AD868" s="37" t="str">
        <f aca="false">IF(AB868="","",IFERROR(INDEX('Account Map'!$C:$C,MATCH(AB868,'Account Map'!$A:$A,0)),""))</f>
        <v/>
      </c>
      <c r="AE868" s="37" t="n">
        <f aca="false">IF(AND(AB868&lt;&gt;"",AC868="",COUNT($B868:$Z868)&gt;0,LEFT(AB868,5)&lt;&gt;"Total",AB868&lt;&gt;"Gross Profit",AB868&lt;&gt;"Net Profit",AB868&lt;&gt;"Operating Profit"),1,0)</f>
        <v>0</v>
      </c>
    </row>
    <row r="869" customFormat="false" ht="15" hidden="false" customHeight="false" outlineLevel="0" collapsed="false">
      <c r="B869" s="44"/>
      <c r="C869" s="44"/>
      <c r="D869" s="44"/>
      <c r="E869" s="44"/>
      <c r="F869" s="44"/>
      <c r="G869" s="44"/>
      <c r="H869" s="44"/>
      <c r="I869" s="44"/>
      <c r="J869" s="44"/>
      <c r="K869" s="44"/>
      <c r="L869" s="44"/>
      <c r="M869" s="44"/>
      <c r="N869" s="44"/>
      <c r="O869" s="44"/>
      <c r="P869" s="44"/>
      <c r="Q869" s="44"/>
      <c r="R869" s="44"/>
      <c r="S869" s="44"/>
      <c r="T869" s="44"/>
      <c r="U869" s="44"/>
      <c r="V869" s="44"/>
      <c r="W869" s="44"/>
      <c r="X869" s="44"/>
      <c r="Y869" s="44"/>
      <c r="Z869" s="44"/>
      <c r="AB869" s="37" t="str">
        <f aca="false">TRIM($A869&amp;"")</f>
        <v/>
      </c>
      <c r="AC869" s="37" t="str">
        <f aca="false">IF(AB869="","",IFERROR(INDEX('Account Map'!$B:$B,MATCH(AB869,'Account Map'!$A:$A,0)),""))</f>
        <v/>
      </c>
      <c r="AD869" s="37" t="str">
        <f aca="false">IF(AB869="","",IFERROR(INDEX('Account Map'!$C:$C,MATCH(AB869,'Account Map'!$A:$A,0)),""))</f>
        <v/>
      </c>
      <c r="AE869" s="37" t="n">
        <f aca="false">IF(AND(AB869&lt;&gt;"",AC869="",COUNT($B869:$Z869)&gt;0,LEFT(AB869,5)&lt;&gt;"Total",AB869&lt;&gt;"Gross Profit",AB869&lt;&gt;"Net Profit",AB869&lt;&gt;"Operating Profit"),1,0)</f>
        <v>0</v>
      </c>
    </row>
    <row r="870" customFormat="false" ht="15" hidden="false" customHeight="false" outlineLevel="0" collapsed="false">
      <c r="B870" s="44"/>
      <c r="C870" s="44"/>
      <c r="D870" s="44"/>
      <c r="E870" s="44"/>
      <c r="F870" s="44"/>
      <c r="G870" s="44"/>
      <c r="H870" s="44"/>
      <c r="I870" s="44"/>
      <c r="J870" s="44"/>
      <c r="K870" s="44"/>
      <c r="L870" s="44"/>
      <c r="M870" s="44"/>
      <c r="N870" s="44"/>
      <c r="O870" s="44"/>
      <c r="P870" s="44"/>
      <c r="Q870" s="44"/>
      <c r="R870" s="44"/>
      <c r="S870" s="44"/>
      <c r="T870" s="44"/>
      <c r="U870" s="44"/>
      <c r="V870" s="44"/>
      <c r="W870" s="44"/>
      <c r="X870" s="44"/>
      <c r="Y870" s="44"/>
      <c r="Z870" s="44"/>
      <c r="AB870" s="37" t="str">
        <f aca="false">TRIM($A870&amp;"")</f>
        <v/>
      </c>
      <c r="AC870" s="37" t="str">
        <f aca="false">IF(AB870="","",IFERROR(INDEX('Account Map'!$B:$B,MATCH(AB870,'Account Map'!$A:$A,0)),""))</f>
        <v/>
      </c>
      <c r="AD870" s="37" t="str">
        <f aca="false">IF(AB870="","",IFERROR(INDEX('Account Map'!$C:$C,MATCH(AB870,'Account Map'!$A:$A,0)),""))</f>
        <v/>
      </c>
      <c r="AE870" s="37" t="n">
        <f aca="false">IF(AND(AB870&lt;&gt;"",AC870="",COUNT($B870:$Z870)&gt;0,LEFT(AB870,5)&lt;&gt;"Total",AB870&lt;&gt;"Gross Profit",AB870&lt;&gt;"Net Profit",AB870&lt;&gt;"Operating Profit"),1,0)</f>
        <v>0</v>
      </c>
    </row>
    <row r="871" customFormat="false" ht="15" hidden="false" customHeight="false" outlineLevel="0" collapsed="false">
      <c r="B871" s="44"/>
      <c r="C871" s="44"/>
      <c r="D871" s="44"/>
      <c r="E871" s="44"/>
      <c r="F871" s="44"/>
      <c r="G871" s="44"/>
      <c r="H871" s="44"/>
      <c r="I871" s="44"/>
      <c r="J871" s="44"/>
      <c r="K871" s="44"/>
      <c r="L871" s="44"/>
      <c r="M871" s="44"/>
      <c r="N871" s="44"/>
      <c r="O871" s="44"/>
      <c r="P871" s="44"/>
      <c r="Q871" s="44"/>
      <c r="R871" s="44"/>
      <c r="S871" s="44"/>
      <c r="T871" s="44"/>
      <c r="U871" s="44"/>
      <c r="V871" s="44"/>
      <c r="W871" s="44"/>
      <c r="X871" s="44"/>
      <c r="Y871" s="44"/>
      <c r="Z871" s="44"/>
      <c r="AB871" s="37" t="str">
        <f aca="false">TRIM($A871&amp;"")</f>
        <v/>
      </c>
      <c r="AC871" s="37" t="str">
        <f aca="false">IF(AB871="","",IFERROR(INDEX('Account Map'!$B:$B,MATCH(AB871,'Account Map'!$A:$A,0)),""))</f>
        <v/>
      </c>
      <c r="AD871" s="37" t="str">
        <f aca="false">IF(AB871="","",IFERROR(INDEX('Account Map'!$C:$C,MATCH(AB871,'Account Map'!$A:$A,0)),""))</f>
        <v/>
      </c>
      <c r="AE871" s="37" t="n">
        <f aca="false">IF(AND(AB871&lt;&gt;"",AC871="",COUNT($B871:$Z871)&gt;0,LEFT(AB871,5)&lt;&gt;"Total",AB871&lt;&gt;"Gross Profit",AB871&lt;&gt;"Net Profit",AB871&lt;&gt;"Operating Profit"),1,0)</f>
        <v>0</v>
      </c>
    </row>
    <row r="872" customFormat="false" ht="15" hidden="false" customHeight="false" outlineLevel="0" collapsed="false">
      <c r="B872" s="44"/>
      <c r="C872" s="44"/>
      <c r="D872" s="44"/>
      <c r="E872" s="44"/>
      <c r="F872" s="44"/>
      <c r="G872" s="44"/>
      <c r="H872" s="44"/>
      <c r="I872" s="44"/>
      <c r="J872" s="44"/>
      <c r="K872" s="44"/>
      <c r="L872" s="44"/>
      <c r="M872" s="44"/>
      <c r="N872" s="44"/>
      <c r="O872" s="44"/>
      <c r="P872" s="44"/>
      <c r="Q872" s="44"/>
      <c r="R872" s="44"/>
      <c r="S872" s="44"/>
      <c r="T872" s="44"/>
      <c r="U872" s="44"/>
      <c r="V872" s="44"/>
      <c r="W872" s="44"/>
      <c r="X872" s="44"/>
      <c r="Y872" s="44"/>
      <c r="Z872" s="44"/>
      <c r="AB872" s="37" t="str">
        <f aca="false">TRIM($A872&amp;"")</f>
        <v/>
      </c>
      <c r="AC872" s="37" t="str">
        <f aca="false">IF(AB872="","",IFERROR(INDEX('Account Map'!$B:$B,MATCH(AB872,'Account Map'!$A:$A,0)),""))</f>
        <v/>
      </c>
      <c r="AD872" s="37" t="str">
        <f aca="false">IF(AB872="","",IFERROR(INDEX('Account Map'!$C:$C,MATCH(AB872,'Account Map'!$A:$A,0)),""))</f>
        <v/>
      </c>
      <c r="AE872" s="37" t="n">
        <f aca="false">IF(AND(AB872&lt;&gt;"",AC872="",COUNT($B872:$Z872)&gt;0,LEFT(AB872,5)&lt;&gt;"Total",AB872&lt;&gt;"Gross Profit",AB872&lt;&gt;"Net Profit",AB872&lt;&gt;"Operating Profit"),1,0)</f>
        <v>0</v>
      </c>
    </row>
    <row r="873" customFormat="false" ht="15" hidden="false" customHeight="false" outlineLevel="0" collapsed="false">
      <c r="B873" s="44"/>
      <c r="C873" s="44"/>
      <c r="D873" s="44"/>
      <c r="E873" s="44"/>
      <c r="F873" s="44"/>
      <c r="G873" s="44"/>
      <c r="H873" s="44"/>
      <c r="I873" s="44"/>
      <c r="J873" s="44"/>
      <c r="K873" s="44"/>
      <c r="L873" s="44"/>
      <c r="M873" s="44"/>
      <c r="N873" s="44"/>
      <c r="O873" s="44"/>
      <c r="P873" s="44"/>
      <c r="Q873" s="44"/>
      <c r="R873" s="44"/>
      <c r="S873" s="44"/>
      <c r="T873" s="44"/>
      <c r="U873" s="44"/>
      <c r="V873" s="44"/>
      <c r="W873" s="44"/>
      <c r="X873" s="44"/>
      <c r="Y873" s="44"/>
      <c r="Z873" s="44"/>
      <c r="AB873" s="37" t="str">
        <f aca="false">TRIM($A873&amp;"")</f>
        <v/>
      </c>
      <c r="AC873" s="37" t="str">
        <f aca="false">IF(AB873="","",IFERROR(INDEX('Account Map'!$B:$B,MATCH(AB873,'Account Map'!$A:$A,0)),""))</f>
        <v/>
      </c>
      <c r="AD873" s="37" t="str">
        <f aca="false">IF(AB873="","",IFERROR(INDEX('Account Map'!$C:$C,MATCH(AB873,'Account Map'!$A:$A,0)),""))</f>
        <v/>
      </c>
      <c r="AE873" s="37" t="n">
        <f aca="false">IF(AND(AB873&lt;&gt;"",AC873="",COUNT($B873:$Z873)&gt;0,LEFT(AB873,5)&lt;&gt;"Total",AB873&lt;&gt;"Gross Profit",AB873&lt;&gt;"Net Profit",AB873&lt;&gt;"Operating Profit"),1,0)</f>
        <v>0</v>
      </c>
    </row>
    <row r="874" customFormat="false" ht="15" hidden="false" customHeight="false" outlineLevel="0" collapsed="false">
      <c r="B874" s="44"/>
      <c r="C874" s="44"/>
      <c r="D874" s="44"/>
      <c r="E874" s="44"/>
      <c r="F874" s="44"/>
      <c r="G874" s="44"/>
      <c r="H874" s="44"/>
      <c r="I874" s="44"/>
      <c r="J874" s="44"/>
      <c r="K874" s="44"/>
      <c r="L874" s="44"/>
      <c r="M874" s="44"/>
      <c r="N874" s="44"/>
      <c r="O874" s="44"/>
      <c r="P874" s="44"/>
      <c r="Q874" s="44"/>
      <c r="R874" s="44"/>
      <c r="S874" s="44"/>
      <c r="T874" s="44"/>
      <c r="U874" s="44"/>
      <c r="V874" s="44"/>
      <c r="W874" s="44"/>
      <c r="X874" s="44"/>
      <c r="Y874" s="44"/>
      <c r="Z874" s="44"/>
      <c r="AB874" s="37" t="str">
        <f aca="false">TRIM($A874&amp;"")</f>
        <v/>
      </c>
      <c r="AC874" s="37" t="str">
        <f aca="false">IF(AB874="","",IFERROR(INDEX('Account Map'!$B:$B,MATCH(AB874,'Account Map'!$A:$A,0)),""))</f>
        <v/>
      </c>
      <c r="AD874" s="37" t="str">
        <f aca="false">IF(AB874="","",IFERROR(INDEX('Account Map'!$C:$C,MATCH(AB874,'Account Map'!$A:$A,0)),""))</f>
        <v/>
      </c>
      <c r="AE874" s="37" t="n">
        <f aca="false">IF(AND(AB874&lt;&gt;"",AC874="",COUNT($B874:$Z874)&gt;0,LEFT(AB874,5)&lt;&gt;"Total",AB874&lt;&gt;"Gross Profit",AB874&lt;&gt;"Net Profit",AB874&lt;&gt;"Operating Profit"),1,0)</f>
        <v>0</v>
      </c>
    </row>
    <row r="875" customFormat="false" ht="15" hidden="false" customHeight="false" outlineLevel="0" collapsed="false">
      <c r="B875" s="44"/>
      <c r="C875" s="44"/>
      <c r="D875" s="44"/>
      <c r="E875" s="44"/>
      <c r="F875" s="44"/>
      <c r="G875" s="44"/>
      <c r="H875" s="44"/>
      <c r="I875" s="44"/>
      <c r="J875" s="44"/>
      <c r="K875" s="44"/>
      <c r="L875" s="44"/>
      <c r="M875" s="44"/>
      <c r="N875" s="44"/>
      <c r="O875" s="44"/>
      <c r="P875" s="44"/>
      <c r="Q875" s="44"/>
      <c r="R875" s="44"/>
      <c r="S875" s="44"/>
      <c r="T875" s="44"/>
      <c r="U875" s="44"/>
      <c r="V875" s="44"/>
      <c r="W875" s="44"/>
      <c r="X875" s="44"/>
      <c r="Y875" s="44"/>
      <c r="Z875" s="44"/>
      <c r="AB875" s="37" t="str">
        <f aca="false">TRIM($A875&amp;"")</f>
        <v/>
      </c>
      <c r="AC875" s="37" t="str">
        <f aca="false">IF(AB875="","",IFERROR(INDEX('Account Map'!$B:$B,MATCH(AB875,'Account Map'!$A:$A,0)),""))</f>
        <v/>
      </c>
      <c r="AD875" s="37" t="str">
        <f aca="false">IF(AB875="","",IFERROR(INDEX('Account Map'!$C:$C,MATCH(AB875,'Account Map'!$A:$A,0)),""))</f>
        <v/>
      </c>
      <c r="AE875" s="37" t="n">
        <f aca="false">IF(AND(AB875&lt;&gt;"",AC875="",COUNT($B875:$Z875)&gt;0,LEFT(AB875,5)&lt;&gt;"Total",AB875&lt;&gt;"Gross Profit",AB875&lt;&gt;"Net Profit",AB875&lt;&gt;"Operating Profit"),1,0)</f>
        <v>0</v>
      </c>
    </row>
    <row r="876" customFormat="false" ht="15" hidden="false" customHeight="false" outlineLevel="0" collapsed="false">
      <c r="B876" s="44"/>
      <c r="C876" s="44"/>
      <c r="D876" s="44"/>
      <c r="E876" s="44"/>
      <c r="F876" s="44"/>
      <c r="G876" s="44"/>
      <c r="H876" s="44"/>
      <c r="I876" s="44"/>
      <c r="J876" s="44"/>
      <c r="K876" s="44"/>
      <c r="L876" s="44"/>
      <c r="M876" s="44"/>
      <c r="N876" s="44"/>
      <c r="O876" s="44"/>
      <c r="P876" s="44"/>
      <c r="Q876" s="44"/>
      <c r="R876" s="44"/>
      <c r="S876" s="44"/>
      <c r="T876" s="44"/>
      <c r="U876" s="44"/>
      <c r="V876" s="44"/>
      <c r="W876" s="44"/>
      <c r="X876" s="44"/>
      <c r="Y876" s="44"/>
      <c r="Z876" s="44"/>
      <c r="AB876" s="37" t="str">
        <f aca="false">TRIM($A876&amp;"")</f>
        <v/>
      </c>
      <c r="AC876" s="37" t="str">
        <f aca="false">IF(AB876="","",IFERROR(INDEX('Account Map'!$B:$B,MATCH(AB876,'Account Map'!$A:$A,0)),""))</f>
        <v/>
      </c>
      <c r="AD876" s="37" t="str">
        <f aca="false">IF(AB876="","",IFERROR(INDEX('Account Map'!$C:$C,MATCH(AB876,'Account Map'!$A:$A,0)),""))</f>
        <v/>
      </c>
      <c r="AE876" s="37" t="n">
        <f aca="false">IF(AND(AB876&lt;&gt;"",AC876="",COUNT($B876:$Z876)&gt;0,LEFT(AB876,5)&lt;&gt;"Total",AB876&lt;&gt;"Gross Profit",AB876&lt;&gt;"Net Profit",AB876&lt;&gt;"Operating Profit"),1,0)</f>
        <v>0</v>
      </c>
    </row>
    <row r="877" customFormat="false" ht="15" hidden="false" customHeight="false" outlineLevel="0" collapsed="false">
      <c r="B877" s="44"/>
      <c r="C877" s="44"/>
      <c r="D877" s="44"/>
      <c r="E877" s="44"/>
      <c r="F877" s="44"/>
      <c r="G877" s="44"/>
      <c r="H877" s="44"/>
      <c r="I877" s="44"/>
      <c r="J877" s="44"/>
      <c r="K877" s="44"/>
      <c r="L877" s="44"/>
      <c r="M877" s="44"/>
      <c r="N877" s="44"/>
      <c r="O877" s="44"/>
      <c r="P877" s="44"/>
      <c r="Q877" s="44"/>
      <c r="R877" s="44"/>
      <c r="S877" s="44"/>
      <c r="T877" s="44"/>
      <c r="U877" s="44"/>
      <c r="V877" s="44"/>
      <c r="W877" s="44"/>
      <c r="X877" s="44"/>
      <c r="Y877" s="44"/>
      <c r="Z877" s="44"/>
      <c r="AB877" s="37" t="str">
        <f aca="false">TRIM($A877&amp;"")</f>
        <v/>
      </c>
      <c r="AC877" s="37" t="str">
        <f aca="false">IF(AB877="","",IFERROR(INDEX('Account Map'!$B:$B,MATCH(AB877,'Account Map'!$A:$A,0)),""))</f>
        <v/>
      </c>
      <c r="AD877" s="37" t="str">
        <f aca="false">IF(AB877="","",IFERROR(INDEX('Account Map'!$C:$C,MATCH(AB877,'Account Map'!$A:$A,0)),""))</f>
        <v/>
      </c>
      <c r="AE877" s="37" t="n">
        <f aca="false">IF(AND(AB877&lt;&gt;"",AC877="",COUNT($B877:$Z877)&gt;0,LEFT(AB877,5)&lt;&gt;"Total",AB877&lt;&gt;"Gross Profit",AB877&lt;&gt;"Net Profit",AB877&lt;&gt;"Operating Profit"),1,0)</f>
        <v>0</v>
      </c>
    </row>
    <row r="878" customFormat="false" ht="15" hidden="false" customHeight="false" outlineLevel="0" collapsed="false">
      <c r="B878" s="44"/>
      <c r="C878" s="44"/>
      <c r="D878" s="44"/>
      <c r="E878" s="44"/>
      <c r="F878" s="44"/>
      <c r="G878" s="44"/>
      <c r="H878" s="44"/>
      <c r="I878" s="44"/>
      <c r="J878" s="44"/>
      <c r="K878" s="44"/>
      <c r="L878" s="44"/>
      <c r="M878" s="44"/>
      <c r="N878" s="44"/>
      <c r="O878" s="44"/>
      <c r="P878" s="44"/>
      <c r="Q878" s="44"/>
      <c r="R878" s="44"/>
      <c r="S878" s="44"/>
      <c r="T878" s="44"/>
      <c r="U878" s="44"/>
      <c r="V878" s="44"/>
      <c r="W878" s="44"/>
      <c r="X878" s="44"/>
      <c r="Y878" s="44"/>
      <c r="Z878" s="44"/>
      <c r="AB878" s="37" t="str">
        <f aca="false">TRIM($A878&amp;"")</f>
        <v/>
      </c>
      <c r="AC878" s="37" t="str">
        <f aca="false">IF(AB878="","",IFERROR(INDEX('Account Map'!$B:$B,MATCH(AB878,'Account Map'!$A:$A,0)),""))</f>
        <v/>
      </c>
      <c r="AD878" s="37" t="str">
        <f aca="false">IF(AB878="","",IFERROR(INDEX('Account Map'!$C:$C,MATCH(AB878,'Account Map'!$A:$A,0)),""))</f>
        <v/>
      </c>
      <c r="AE878" s="37" t="n">
        <f aca="false">IF(AND(AB878&lt;&gt;"",AC878="",COUNT($B878:$Z878)&gt;0,LEFT(AB878,5)&lt;&gt;"Total",AB878&lt;&gt;"Gross Profit",AB878&lt;&gt;"Net Profit",AB878&lt;&gt;"Operating Profit"),1,0)</f>
        <v>0</v>
      </c>
    </row>
    <row r="879" customFormat="false" ht="15" hidden="false" customHeight="false" outlineLevel="0" collapsed="false">
      <c r="B879" s="44"/>
      <c r="C879" s="44"/>
      <c r="D879" s="44"/>
      <c r="E879" s="44"/>
      <c r="F879" s="44"/>
      <c r="G879" s="44"/>
      <c r="H879" s="44"/>
      <c r="I879" s="44"/>
      <c r="J879" s="44"/>
      <c r="K879" s="44"/>
      <c r="L879" s="44"/>
      <c r="M879" s="44"/>
      <c r="N879" s="44"/>
      <c r="O879" s="44"/>
      <c r="P879" s="44"/>
      <c r="Q879" s="44"/>
      <c r="R879" s="44"/>
      <c r="S879" s="44"/>
      <c r="T879" s="44"/>
      <c r="U879" s="44"/>
      <c r="V879" s="44"/>
      <c r="W879" s="44"/>
      <c r="X879" s="44"/>
      <c r="Y879" s="44"/>
      <c r="Z879" s="44"/>
      <c r="AB879" s="37" t="str">
        <f aca="false">TRIM($A879&amp;"")</f>
        <v/>
      </c>
      <c r="AC879" s="37" t="str">
        <f aca="false">IF(AB879="","",IFERROR(INDEX('Account Map'!$B:$B,MATCH(AB879,'Account Map'!$A:$A,0)),""))</f>
        <v/>
      </c>
      <c r="AD879" s="37" t="str">
        <f aca="false">IF(AB879="","",IFERROR(INDEX('Account Map'!$C:$C,MATCH(AB879,'Account Map'!$A:$A,0)),""))</f>
        <v/>
      </c>
      <c r="AE879" s="37" t="n">
        <f aca="false">IF(AND(AB879&lt;&gt;"",AC879="",COUNT($B879:$Z879)&gt;0,LEFT(AB879,5)&lt;&gt;"Total",AB879&lt;&gt;"Gross Profit",AB879&lt;&gt;"Net Profit",AB879&lt;&gt;"Operating Profit"),1,0)</f>
        <v>0</v>
      </c>
    </row>
    <row r="880" customFormat="false" ht="15" hidden="false" customHeight="false" outlineLevel="0" collapsed="false">
      <c r="B880" s="44"/>
      <c r="C880" s="44"/>
      <c r="D880" s="44"/>
      <c r="E880" s="44"/>
      <c r="F880" s="44"/>
      <c r="G880" s="44"/>
      <c r="H880" s="44"/>
      <c r="I880" s="44"/>
      <c r="J880" s="44"/>
      <c r="K880" s="44"/>
      <c r="L880" s="44"/>
      <c r="M880" s="44"/>
      <c r="N880" s="44"/>
      <c r="O880" s="44"/>
      <c r="P880" s="44"/>
      <c r="Q880" s="44"/>
      <c r="R880" s="44"/>
      <c r="S880" s="44"/>
      <c r="T880" s="44"/>
      <c r="U880" s="44"/>
      <c r="V880" s="44"/>
      <c r="W880" s="44"/>
      <c r="X880" s="44"/>
      <c r="Y880" s="44"/>
      <c r="Z880" s="44"/>
      <c r="AB880" s="37" t="str">
        <f aca="false">TRIM($A880&amp;"")</f>
        <v/>
      </c>
      <c r="AC880" s="37" t="str">
        <f aca="false">IF(AB880="","",IFERROR(INDEX('Account Map'!$B:$B,MATCH(AB880,'Account Map'!$A:$A,0)),""))</f>
        <v/>
      </c>
      <c r="AD880" s="37" t="str">
        <f aca="false">IF(AB880="","",IFERROR(INDEX('Account Map'!$C:$C,MATCH(AB880,'Account Map'!$A:$A,0)),""))</f>
        <v/>
      </c>
      <c r="AE880" s="37" t="n">
        <f aca="false">IF(AND(AB880&lt;&gt;"",AC880="",COUNT($B880:$Z880)&gt;0,LEFT(AB880,5)&lt;&gt;"Total",AB880&lt;&gt;"Gross Profit",AB880&lt;&gt;"Net Profit",AB880&lt;&gt;"Operating Profit"),1,0)</f>
        <v>0</v>
      </c>
    </row>
    <row r="881" customFormat="false" ht="15" hidden="false" customHeight="false" outlineLevel="0" collapsed="false">
      <c r="B881" s="44"/>
      <c r="C881" s="44"/>
      <c r="D881" s="44"/>
      <c r="E881" s="44"/>
      <c r="F881" s="44"/>
      <c r="G881" s="44"/>
      <c r="H881" s="44"/>
      <c r="I881" s="44"/>
      <c r="J881" s="44"/>
      <c r="K881" s="44"/>
      <c r="L881" s="44"/>
      <c r="M881" s="44"/>
      <c r="N881" s="44"/>
      <c r="O881" s="44"/>
      <c r="P881" s="44"/>
      <c r="Q881" s="44"/>
      <c r="R881" s="44"/>
      <c r="S881" s="44"/>
      <c r="T881" s="44"/>
      <c r="U881" s="44"/>
      <c r="V881" s="44"/>
      <c r="W881" s="44"/>
      <c r="X881" s="44"/>
      <c r="Y881" s="44"/>
      <c r="Z881" s="44"/>
      <c r="AB881" s="37" t="str">
        <f aca="false">TRIM($A881&amp;"")</f>
        <v/>
      </c>
      <c r="AC881" s="37" t="str">
        <f aca="false">IF(AB881="","",IFERROR(INDEX('Account Map'!$B:$B,MATCH(AB881,'Account Map'!$A:$A,0)),""))</f>
        <v/>
      </c>
      <c r="AD881" s="37" t="str">
        <f aca="false">IF(AB881="","",IFERROR(INDEX('Account Map'!$C:$C,MATCH(AB881,'Account Map'!$A:$A,0)),""))</f>
        <v/>
      </c>
      <c r="AE881" s="37" t="n">
        <f aca="false">IF(AND(AB881&lt;&gt;"",AC881="",COUNT($B881:$Z881)&gt;0,LEFT(AB881,5)&lt;&gt;"Total",AB881&lt;&gt;"Gross Profit",AB881&lt;&gt;"Net Profit",AB881&lt;&gt;"Operating Profit"),1,0)</f>
        <v>0</v>
      </c>
    </row>
    <row r="882" customFormat="false" ht="15" hidden="false" customHeight="false" outlineLevel="0" collapsed="false">
      <c r="B882" s="44"/>
      <c r="C882" s="44"/>
      <c r="D882" s="44"/>
      <c r="E882" s="44"/>
      <c r="F882" s="44"/>
      <c r="G882" s="44"/>
      <c r="H882" s="44"/>
      <c r="I882" s="44"/>
      <c r="J882" s="44"/>
      <c r="K882" s="44"/>
      <c r="L882" s="44"/>
      <c r="M882" s="44"/>
      <c r="N882" s="44"/>
      <c r="O882" s="44"/>
      <c r="P882" s="44"/>
      <c r="Q882" s="44"/>
      <c r="R882" s="44"/>
      <c r="S882" s="44"/>
      <c r="T882" s="44"/>
      <c r="U882" s="44"/>
      <c r="V882" s="44"/>
      <c r="W882" s="44"/>
      <c r="X882" s="44"/>
      <c r="Y882" s="44"/>
      <c r="Z882" s="44"/>
      <c r="AB882" s="37" t="str">
        <f aca="false">TRIM($A882&amp;"")</f>
        <v/>
      </c>
      <c r="AC882" s="37" t="str">
        <f aca="false">IF(AB882="","",IFERROR(INDEX('Account Map'!$B:$B,MATCH(AB882,'Account Map'!$A:$A,0)),""))</f>
        <v/>
      </c>
      <c r="AD882" s="37" t="str">
        <f aca="false">IF(AB882="","",IFERROR(INDEX('Account Map'!$C:$C,MATCH(AB882,'Account Map'!$A:$A,0)),""))</f>
        <v/>
      </c>
      <c r="AE882" s="37" t="n">
        <f aca="false">IF(AND(AB882&lt;&gt;"",AC882="",COUNT($B882:$Z882)&gt;0,LEFT(AB882,5)&lt;&gt;"Total",AB882&lt;&gt;"Gross Profit",AB882&lt;&gt;"Net Profit",AB882&lt;&gt;"Operating Profit"),1,0)</f>
        <v>0</v>
      </c>
    </row>
    <row r="883" customFormat="false" ht="15" hidden="false" customHeight="false" outlineLevel="0" collapsed="false">
      <c r="B883" s="44"/>
      <c r="C883" s="44"/>
      <c r="D883" s="44"/>
      <c r="E883" s="44"/>
      <c r="F883" s="44"/>
      <c r="G883" s="44"/>
      <c r="H883" s="44"/>
      <c r="I883" s="44"/>
      <c r="J883" s="44"/>
      <c r="K883" s="44"/>
      <c r="L883" s="44"/>
      <c r="M883" s="44"/>
      <c r="N883" s="44"/>
      <c r="O883" s="44"/>
      <c r="P883" s="44"/>
      <c r="Q883" s="44"/>
      <c r="R883" s="44"/>
      <c r="S883" s="44"/>
      <c r="T883" s="44"/>
      <c r="U883" s="44"/>
      <c r="V883" s="44"/>
      <c r="W883" s="44"/>
      <c r="X883" s="44"/>
      <c r="Y883" s="44"/>
      <c r="Z883" s="44"/>
      <c r="AB883" s="37" t="str">
        <f aca="false">TRIM($A883&amp;"")</f>
        <v/>
      </c>
      <c r="AC883" s="37" t="str">
        <f aca="false">IF(AB883="","",IFERROR(INDEX('Account Map'!$B:$B,MATCH(AB883,'Account Map'!$A:$A,0)),""))</f>
        <v/>
      </c>
      <c r="AD883" s="37" t="str">
        <f aca="false">IF(AB883="","",IFERROR(INDEX('Account Map'!$C:$C,MATCH(AB883,'Account Map'!$A:$A,0)),""))</f>
        <v/>
      </c>
      <c r="AE883" s="37" t="n">
        <f aca="false">IF(AND(AB883&lt;&gt;"",AC883="",COUNT($B883:$Z883)&gt;0,LEFT(AB883,5)&lt;&gt;"Total",AB883&lt;&gt;"Gross Profit",AB883&lt;&gt;"Net Profit",AB883&lt;&gt;"Operating Profit"),1,0)</f>
        <v>0</v>
      </c>
    </row>
    <row r="884" customFormat="false" ht="15" hidden="false" customHeight="false" outlineLevel="0" collapsed="false">
      <c r="B884" s="44"/>
      <c r="C884" s="44"/>
      <c r="D884" s="44"/>
      <c r="E884" s="44"/>
      <c r="F884" s="44"/>
      <c r="G884" s="44"/>
      <c r="H884" s="44"/>
      <c r="I884" s="44"/>
      <c r="J884" s="44"/>
      <c r="K884" s="44"/>
      <c r="L884" s="44"/>
      <c r="M884" s="44"/>
      <c r="N884" s="44"/>
      <c r="O884" s="44"/>
      <c r="P884" s="44"/>
      <c r="Q884" s="44"/>
      <c r="R884" s="44"/>
      <c r="S884" s="44"/>
      <c r="T884" s="44"/>
      <c r="U884" s="44"/>
      <c r="V884" s="44"/>
      <c r="W884" s="44"/>
      <c r="X884" s="44"/>
      <c r="Y884" s="44"/>
      <c r="Z884" s="44"/>
      <c r="AB884" s="37" t="str">
        <f aca="false">TRIM($A884&amp;"")</f>
        <v/>
      </c>
      <c r="AC884" s="37" t="str">
        <f aca="false">IF(AB884="","",IFERROR(INDEX('Account Map'!$B:$B,MATCH(AB884,'Account Map'!$A:$A,0)),""))</f>
        <v/>
      </c>
      <c r="AD884" s="37" t="str">
        <f aca="false">IF(AB884="","",IFERROR(INDEX('Account Map'!$C:$C,MATCH(AB884,'Account Map'!$A:$A,0)),""))</f>
        <v/>
      </c>
      <c r="AE884" s="37" t="n">
        <f aca="false">IF(AND(AB884&lt;&gt;"",AC884="",COUNT($B884:$Z884)&gt;0,LEFT(AB884,5)&lt;&gt;"Total",AB884&lt;&gt;"Gross Profit",AB884&lt;&gt;"Net Profit",AB884&lt;&gt;"Operating Profit"),1,0)</f>
        <v>0</v>
      </c>
    </row>
    <row r="885" customFormat="false" ht="15" hidden="false" customHeight="false" outlineLevel="0" collapsed="false">
      <c r="B885" s="44"/>
      <c r="C885" s="44"/>
      <c r="D885" s="44"/>
      <c r="E885" s="44"/>
      <c r="F885" s="44"/>
      <c r="G885" s="44"/>
      <c r="H885" s="44"/>
      <c r="I885" s="44"/>
      <c r="J885" s="44"/>
      <c r="K885" s="44"/>
      <c r="L885" s="44"/>
      <c r="M885" s="44"/>
      <c r="N885" s="44"/>
      <c r="O885" s="44"/>
      <c r="P885" s="44"/>
      <c r="Q885" s="44"/>
      <c r="R885" s="44"/>
      <c r="S885" s="44"/>
      <c r="T885" s="44"/>
      <c r="U885" s="44"/>
      <c r="V885" s="44"/>
      <c r="W885" s="44"/>
      <c r="X885" s="44"/>
      <c r="Y885" s="44"/>
      <c r="Z885" s="44"/>
      <c r="AB885" s="37" t="str">
        <f aca="false">TRIM($A885&amp;"")</f>
        <v/>
      </c>
      <c r="AC885" s="37" t="str">
        <f aca="false">IF(AB885="","",IFERROR(INDEX('Account Map'!$B:$B,MATCH(AB885,'Account Map'!$A:$A,0)),""))</f>
        <v/>
      </c>
      <c r="AD885" s="37" t="str">
        <f aca="false">IF(AB885="","",IFERROR(INDEX('Account Map'!$C:$C,MATCH(AB885,'Account Map'!$A:$A,0)),""))</f>
        <v/>
      </c>
      <c r="AE885" s="37" t="n">
        <f aca="false">IF(AND(AB885&lt;&gt;"",AC885="",COUNT($B885:$Z885)&gt;0,LEFT(AB885,5)&lt;&gt;"Total",AB885&lt;&gt;"Gross Profit",AB885&lt;&gt;"Net Profit",AB885&lt;&gt;"Operating Profit"),1,0)</f>
        <v>0</v>
      </c>
    </row>
    <row r="886" customFormat="false" ht="15" hidden="false" customHeight="false" outlineLevel="0" collapsed="false">
      <c r="B886" s="44"/>
      <c r="C886" s="44"/>
      <c r="D886" s="44"/>
      <c r="E886" s="44"/>
      <c r="F886" s="44"/>
      <c r="G886" s="44"/>
      <c r="H886" s="44"/>
      <c r="I886" s="44"/>
      <c r="J886" s="44"/>
      <c r="K886" s="44"/>
      <c r="L886" s="44"/>
      <c r="M886" s="44"/>
      <c r="N886" s="44"/>
      <c r="O886" s="44"/>
      <c r="P886" s="44"/>
      <c r="Q886" s="44"/>
      <c r="R886" s="44"/>
      <c r="S886" s="44"/>
      <c r="T886" s="44"/>
      <c r="U886" s="44"/>
      <c r="V886" s="44"/>
      <c r="W886" s="44"/>
      <c r="X886" s="44"/>
      <c r="Y886" s="44"/>
      <c r="Z886" s="44"/>
      <c r="AB886" s="37" t="str">
        <f aca="false">TRIM($A886&amp;"")</f>
        <v/>
      </c>
      <c r="AC886" s="37" t="str">
        <f aca="false">IF(AB886="","",IFERROR(INDEX('Account Map'!$B:$B,MATCH(AB886,'Account Map'!$A:$A,0)),""))</f>
        <v/>
      </c>
      <c r="AD886" s="37" t="str">
        <f aca="false">IF(AB886="","",IFERROR(INDEX('Account Map'!$C:$C,MATCH(AB886,'Account Map'!$A:$A,0)),""))</f>
        <v/>
      </c>
      <c r="AE886" s="37" t="n">
        <f aca="false">IF(AND(AB886&lt;&gt;"",AC886="",COUNT($B886:$Z886)&gt;0,LEFT(AB886,5)&lt;&gt;"Total",AB886&lt;&gt;"Gross Profit",AB886&lt;&gt;"Net Profit",AB886&lt;&gt;"Operating Profit"),1,0)</f>
        <v>0</v>
      </c>
    </row>
    <row r="887" customFormat="false" ht="15" hidden="false" customHeight="false" outlineLevel="0" collapsed="false">
      <c r="B887" s="44"/>
      <c r="C887" s="44"/>
      <c r="D887" s="44"/>
      <c r="E887" s="44"/>
      <c r="F887" s="44"/>
      <c r="G887" s="44"/>
      <c r="H887" s="44"/>
      <c r="I887" s="44"/>
      <c r="J887" s="44"/>
      <c r="K887" s="44"/>
      <c r="L887" s="44"/>
      <c r="M887" s="44"/>
      <c r="N887" s="44"/>
      <c r="O887" s="44"/>
      <c r="P887" s="44"/>
      <c r="Q887" s="44"/>
      <c r="R887" s="44"/>
      <c r="S887" s="44"/>
      <c r="T887" s="44"/>
      <c r="U887" s="44"/>
      <c r="V887" s="44"/>
      <c r="W887" s="44"/>
      <c r="X887" s="44"/>
      <c r="Y887" s="44"/>
      <c r="Z887" s="44"/>
      <c r="AB887" s="37" t="str">
        <f aca="false">TRIM($A887&amp;"")</f>
        <v/>
      </c>
      <c r="AC887" s="37" t="str">
        <f aca="false">IF(AB887="","",IFERROR(INDEX('Account Map'!$B:$B,MATCH(AB887,'Account Map'!$A:$A,0)),""))</f>
        <v/>
      </c>
      <c r="AD887" s="37" t="str">
        <f aca="false">IF(AB887="","",IFERROR(INDEX('Account Map'!$C:$C,MATCH(AB887,'Account Map'!$A:$A,0)),""))</f>
        <v/>
      </c>
      <c r="AE887" s="37" t="n">
        <f aca="false">IF(AND(AB887&lt;&gt;"",AC887="",COUNT($B887:$Z887)&gt;0,LEFT(AB887,5)&lt;&gt;"Total",AB887&lt;&gt;"Gross Profit",AB887&lt;&gt;"Net Profit",AB887&lt;&gt;"Operating Profit"),1,0)</f>
        <v>0</v>
      </c>
    </row>
    <row r="888" customFormat="false" ht="15" hidden="false" customHeight="false" outlineLevel="0" collapsed="false">
      <c r="B888" s="44"/>
      <c r="C888" s="44"/>
      <c r="D888" s="44"/>
      <c r="E888" s="44"/>
      <c r="F888" s="44"/>
      <c r="G888" s="44"/>
      <c r="H888" s="44"/>
      <c r="I888" s="44"/>
      <c r="J888" s="44"/>
      <c r="K888" s="44"/>
      <c r="L888" s="44"/>
      <c r="M888" s="44"/>
      <c r="N888" s="44"/>
      <c r="O888" s="44"/>
      <c r="P888" s="44"/>
      <c r="Q888" s="44"/>
      <c r="R888" s="44"/>
      <c r="S888" s="44"/>
      <c r="T888" s="44"/>
      <c r="U888" s="44"/>
      <c r="V888" s="44"/>
      <c r="W888" s="44"/>
      <c r="X888" s="44"/>
      <c r="Y888" s="44"/>
      <c r="Z888" s="44"/>
      <c r="AB888" s="37" t="str">
        <f aca="false">TRIM($A888&amp;"")</f>
        <v/>
      </c>
      <c r="AC888" s="37" t="str">
        <f aca="false">IF(AB888="","",IFERROR(INDEX('Account Map'!$B:$B,MATCH(AB888,'Account Map'!$A:$A,0)),""))</f>
        <v/>
      </c>
      <c r="AD888" s="37" t="str">
        <f aca="false">IF(AB888="","",IFERROR(INDEX('Account Map'!$C:$C,MATCH(AB888,'Account Map'!$A:$A,0)),""))</f>
        <v/>
      </c>
      <c r="AE888" s="37" t="n">
        <f aca="false">IF(AND(AB888&lt;&gt;"",AC888="",COUNT($B888:$Z888)&gt;0,LEFT(AB888,5)&lt;&gt;"Total",AB888&lt;&gt;"Gross Profit",AB888&lt;&gt;"Net Profit",AB888&lt;&gt;"Operating Profit"),1,0)</f>
        <v>0</v>
      </c>
    </row>
    <row r="889" customFormat="false" ht="15" hidden="false" customHeight="false" outlineLevel="0" collapsed="false">
      <c r="B889" s="44"/>
      <c r="C889" s="44"/>
      <c r="D889" s="44"/>
      <c r="E889" s="44"/>
      <c r="F889" s="44"/>
      <c r="G889" s="44"/>
      <c r="H889" s="44"/>
      <c r="I889" s="44"/>
      <c r="J889" s="44"/>
      <c r="K889" s="44"/>
      <c r="L889" s="44"/>
      <c r="M889" s="44"/>
      <c r="N889" s="44"/>
      <c r="O889" s="44"/>
      <c r="P889" s="44"/>
      <c r="Q889" s="44"/>
      <c r="R889" s="44"/>
      <c r="S889" s="44"/>
      <c r="T889" s="44"/>
      <c r="U889" s="44"/>
      <c r="V889" s="44"/>
      <c r="W889" s="44"/>
      <c r="X889" s="44"/>
      <c r="Y889" s="44"/>
      <c r="Z889" s="44"/>
      <c r="AB889" s="37" t="str">
        <f aca="false">TRIM($A889&amp;"")</f>
        <v/>
      </c>
      <c r="AC889" s="37" t="str">
        <f aca="false">IF(AB889="","",IFERROR(INDEX('Account Map'!$B:$B,MATCH(AB889,'Account Map'!$A:$A,0)),""))</f>
        <v/>
      </c>
      <c r="AD889" s="37" t="str">
        <f aca="false">IF(AB889="","",IFERROR(INDEX('Account Map'!$C:$C,MATCH(AB889,'Account Map'!$A:$A,0)),""))</f>
        <v/>
      </c>
      <c r="AE889" s="37" t="n">
        <f aca="false">IF(AND(AB889&lt;&gt;"",AC889="",COUNT($B889:$Z889)&gt;0,LEFT(AB889,5)&lt;&gt;"Total",AB889&lt;&gt;"Gross Profit",AB889&lt;&gt;"Net Profit",AB889&lt;&gt;"Operating Profit"),1,0)</f>
        <v>0</v>
      </c>
    </row>
    <row r="890" customFormat="false" ht="15" hidden="false" customHeight="false" outlineLevel="0" collapsed="false">
      <c r="B890" s="44"/>
      <c r="C890" s="44"/>
      <c r="D890" s="44"/>
      <c r="E890" s="44"/>
      <c r="F890" s="44"/>
      <c r="G890" s="44"/>
      <c r="H890" s="44"/>
      <c r="I890" s="44"/>
      <c r="J890" s="44"/>
      <c r="K890" s="44"/>
      <c r="L890" s="44"/>
      <c r="M890" s="44"/>
      <c r="N890" s="44"/>
      <c r="O890" s="44"/>
      <c r="P890" s="44"/>
      <c r="Q890" s="44"/>
      <c r="R890" s="44"/>
      <c r="S890" s="44"/>
      <c r="T890" s="44"/>
      <c r="U890" s="44"/>
      <c r="V890" s="44"/>
      <c r="W890" s="44"/>
      <c r="X890" s="44"/>
      <c r="Y890" s="44"/>
      <c r="Z890" s="44"/>
      <c r="AB890" s="37" t="str">
        <f aca="false">TRIM($A890&amp;"")</f>
        <v/>
      </c>
      <c r="AC890" s="37" t="str">
        <f aca="false">IF(AB890="","",IFERROR(INDEX('Account Map'!$B:$B,MATCH(AB890,'Account Map'!$A:$A,0)),""))</f>
        <v/>
      </c>
      <c r="AD890" s="37" t="str">
        <f aca="false">IF(AB890="","",IFERROR(INDEX('Account Map'!$C:$C,MATCH(AB890,'Account Map'!$A:$A,0)),""))</f>
        <v/>
      </c>
      <c r="AE890" s="37" t="n">
        <f aca="false">IF(AND(AB890&lt;&gt;"",AC890="",COUNT($B890:$Z890)&gt;0,LEFT(AB890,5)&lt;&gt;"Total",AB890&lt;&gt;"Gross Profit",AB890&lt;&gt;"Net Profit",AB890&lt;&gt;"Operating Profit"),1,0)</f>
        <v>0</v>
      </c>
    </row>
    <row r="891" customFormat="false" ht="15" hidden="false" customHeight="false" outlineLevel="0" collapsed="false">
      <c r="B891" s="44"/>
      <c r="C891" s="44"/>
      <c r="D891" s="44"/>
      <c r="E891" s="44"/>
      <c r="F891" s="44"/>
      <c r="G891" s="44"/>
      <c r="H891" s="44"/>
      <c r="I891" s="44"/>
      <c r="J891" s="44"/>
      <c r="K891" s="44"/>
      <c r="L891" s="44"/>
      <c r="M891" s="44"/>
      <c r="N891" s="44"/>
      <c r="O891" s="44"/>
      <c r="P891" s="44"/>
      <c r="Q891" s="44"/>
      <c r="R891" s="44"/>
      <c r="S891" s="44"/>
      <c r="T891" s="44"/>
      <c r="U891" s="44"/>
      <c r="V891" s="44"/>
      <c r="W891" s="44"/>
      <c r="X891" s="44"/>
      <c r="Y891" s="44"/>
      <c r="Z891" s="44"/>
      <c r="AB891" s="37" t="str">
        <f aca="false">TRIM($A891&amp;"")</f>
        <v/>
      </c>
      <c r="AC891" s="37" t="str">
        <f aca="false">IF(AB891="","",IFERROR(INDEX('Account Map'!$B:$B,MATCH(AB891,'Account Map'!$A:$A,0)),""))</f>
        <v/>
      </c>
      <c r="AD891" s="37" t="str">
        <f aca="false">IF(AB891="","",IFERROR(INDEX('Account Map'!$C:$C,MATCH(AB891,'Account Map'!$A:$A,0)),""))</f>
        <v/>
      </c>
      <c r="AE891" s="37" t="n">
        <f aca="false">IF(AND(AB891&lt;&gt;"",AC891="",COUNT($B891:$Z891)&gt;0,LEFT(AB891,5)&lt;&gt;"Total",AB891&lt;&gt;"Gross Profit",AB891&lt;&gt;"Net Profit",AB891&lt;&gt;"Operating Profit"),1,0)</f>
        <v>0</v>
      </c>
    </row>
    <row r="892" customFormat="false" ht="15" hidden="false" customHeight="false" outlineLevel="0" collapsed="false">
      <c r="B892" s="44"/>
      <c r="C892" s="44"/>
      <c r="D892" s="44"/>
      <c r="E892" s="44"/>
      <c r="F892" s="44"/>
      <c r="G892" s="44"/>
      <c r="H892" s="44"/>
      <c r="I892" s="44"/>
      <c r="J892" s="44"/>
      <c r="K892" s="44"/>
      <c r="L892" s="44"/>
      <c r="M892" s="44"/>
      <c r="N892" s="44"/>
      <c r="O892" s="44"/>
      <c r="P892" s="44"/>
      <c r="Q892" s="44"/>
      <c r="R892" s="44"/>
      <c r="S892" s="44"/>
      <c r="T892" s="44"/>
      <c r="U892" s="44"/>
      <c r="V892" s="44"/>
      <c r="W892" s="44"/>
      <c r="X892" s="44"/>
      <c r="Y892" s="44"/>
      <c r="Z892" s="44"/>
      <c r="AB892" s="37" t="str">
        <f aca="false">TRIM($A892&amp;"")</f>
        <v/>
      </c>
      <c r="AC892" s="37" t="str">
        <f aca="false">IF(AB892="","",IFERROR(INDEX('Account Map'!$B:$B,MATCH(AB892,'Account Map'!$A:$A,0)),""))</f>
        <v/>
      </c>
      <c r="AD892" s="37" t="str">
        <f aca="false">IF(AB892="","",IFERROR(INDEX('Account Map'!$C:$C,MATCH(AB892,'Account Map'!$A:$A,0)),""))</f>
        <v/>
      </c>
      <c r="AE892" s="37" t="n">
        <f aca="false">IF(AND(AB892&lt;&gt;"",AC892="",COUNT($B892:$Z892)&gt;0,LEFT(AB892,5)&lt;&gt;"Total",AB892&lt;&gt;"Gross Profit",AB892&lt;&gt;"Net Profit",AB892&lt;&gt;"Operating Profit"),1,0)</f>
        <v>0</v>
      </c>
    </row>
    <row r="893" customFormat="false" ht="15" hidden="false" customHeight="false" outlineLevel="0" collapsed="false">
      <c r="B893" s="44"/>
      <c r="C893" s="44"/>
      <c r="D893" s="44"/>
      <c r="E893" s="44"/>
      <c r="F893" s="44"/>
      <c r="G893" s="44"/>
      <c r="H893" s="44"/>
      <c r="I893" s="44"/>
      <c r="J893" s="44"/>
      <c r="K893" s="44"/>
      <c r="L893" s="44"/>
      <c r="M893" s="44"/>
      <c r="N893" s="44"/>
      <c r="O893" s="44"/>
      <c r="P893" s="44"/>
      <c r="Q893" s="44"/>
      <c r="R893" s="44"/>
      <c r="S893" s="44"/>
      <c r="T893" s="44"/>
      <c r="U893" s="44"/>
      <c r="V893" s="44"/>
      <c r="W893" s="44"/>
      <c r="X893" s="44"/>
      <c r="Y893" s="44"/>
      <c r="Z893" s="44"/>
      <c r="AB893" s="37" t="str">
        <f aca="false">TRIM($A893&amp;"")</f>
        <v/>
      </c>
      <c r="AC893" s="37" t="str">
        <f aca="false">IF(AB893="","",IFERROR(INDEX('Account Map'!$B:$B,MATCH(AB893,'Account Map'!$A:$A,0)),""))</f>
        <v/>
      </c>
      <c r="AD893" s="37" t="str">
        <f aca="false">IF(AB893="","",IFERROR(INDEX('Account Map'!$C:$C,MATCH(AB893,'Account Map'!$A:$A,0)),""))</f>
        <v/>
      </c>
      <c r="AE893" s="37" t="n">
        <f aca="false">IF(AND(AB893&lt;&gt;"",AC893="",COUNT($B893:$Z893)&gt;0,LEFT(AB893,5)&lt;&gt;"Total",AB893&lt;&gt;"Gross Profit",AB893&lt;&gt;"Net Profit",AB893&lt;&gt;"Operating Profit"),1,0)</f>
        <v>0</v>
      </c>
    </row>
    <row r="894" customFormat="false" ht="15" hidden="false" customHeight="false" outlineLevel="0" collapsed="false">
      <c r="B894" s="44"/>
      <c r="C894" s="44"/>
      <c r="D894" s="44"/>
      <c r="E894" s="44"/>
      <c r="F894" s="44"/>
      <c r="G894" s="44"/>
      <c r="H894" s="44"/>
      <c r="I894" s="44"/>
      <c r="J894" s="44"/>
      <c r="K894" s="44"/>
      <c r="L894" s="44"/>
      <c r="M894" s="44"/>
      <c r="N894" s="44"/>
      <c r="O894" s="44"/>
      <c r="P894" s="44"/>
      <c r="Q894" s="44"/>
      <c r="R894" s="44"/>
      <c r="S894" s="44"/>
      <c r="T894" s="44"/>
      <c r="U894" s="44"/>
      <c r="V894" s="44"/>
      <c r="W894" s="44"/>
      <c r="X894" s="44"/>
      <c r="Y894" s="44"/>
      <c r="Z894" s="44"/>
      <c r="AB894" s="37" t="str">
        <f aca="false">TRIM($A894&amp;"")</f>
        <v/>
      </c>
      <c r="AC894" s="37" t="str">
        <f aca="false">IF(AB894="","",IFERROR(INDEX('Account Map'!$B:$B,MATCH(AB894,'Account Map'!$A:$A,0)),""))</f>
        <v/>
      </c>
      <c r="AD894" s="37" t="str">
        <f aca="false">IF(AB894="","",IFERROR(INDEX('Account Map'!$C:$C,MATCH(AB894,'Account Map'!$A:$A,0)),""))</f>
        <v/>
      </c>
      <c r="AE894" s="37" t="n">
        <f aca="false">IF(AND(AB894&lt;&gt;"",AC894="",COUNT($B894:$Z894)&gt;0,LEFT(AB894,5)&lt;&gt;"Total",AB894&lt;&gt;"Gross Profit",AB894&lt;&gt;"Net Profit",AB894&lt;&gt;"Operating Profit"),1,0)</f>
        <v>0</v>
      </c>
    </row>
    <row r="895" customFormat="false" ht="15" hidden="false" customHeight="false" outlineLevel="0" collapsed="false">
      <c r="B895" s="44"/>
      <c r="C895" s="44"/>
      <c r="D895" s="44"/>
      <c r="E895" s="44"/>
      <c r="F895" s="44"/>
      <c r="G895" s="44"/>
      <c r="H895" s="44"/>
      <c r="I895" s="44"/>
      <c r="J895" s="44"/>
      <c r="K895" s="44"/>
      <c r="L895" s="44"/>
      <c r="M895" s="44"/>
      <c r="N895" s="44"/>
      <c r="O895" s="44"/>
      <c r="P895" s="44"/>
      <c r="Q895" s="44"/>
      <c r="R895" s="44"/>
      <c r="S895" s="44"/>
      <c r="T895" s="44"/>
      <c r="U895" s="44"/>
      <c r="V895" s="44"/>
      <c r="W895" s="44"/>
      <c r="X895" s="44"/>
      <c r="Y895" s="44"/>
      <c r="Z895" s="44"/>
      <c r="AB895" s="37" t="str">
        <f aca="false">TRIM($A895&amp;"")</f>
        <v/>
      </c>
      <c r="AC895" s="37" t="str">
        <f aca="false">IF(AB895="","",IFERROR(INDEX('Account Map'!$B:$B,MATCH(AB895,'Account Map'!$A:$A,0)),""))</f>
        <v/>
      </c>
      <c r="AD895" s="37" t="str">
        <f aca="false">IF(AB895="","",IFERROR(INDEX('Account Map'!$C:$C,MATCH(AB895,'Account Map'!$A:$A,0)),""))</f>
        <v/>
      </c>
      <c r="AE895" s="37" t="n">
        <f aca="false">IF(AND(AB895&lt;&gt;"",AC895="",COUNT($B895:$Z895)&gt;0,LEFT(AB895,5)&lt;&gt;"Total",AB895&lt;&gt;"Gross Profit",AB895&lt;&gt;"Net Profit",AB895&lt;&gt;"Operating Profit"),1,0)</f>
        <v>0</v>
      </c>
    </row>
    <row r="896" customFormat="false" ht="15" hidden="false" customHeight="false" outlineLevel="0" collapsed="false">
      <c r="B896" s="44"/>
      <c r="C896" s="44"/>
      <c r="D896" s="44"/>
      <c r="E896" s="44"/>
      <c r="F896" s="44"/>
      <c r="G896" s="44"/>
      <c r="H896" s="44"/>
      <c r="I896" s="44"/>
      <c r="J896" s="44"/>
      <c r="K896" s="44"/>
      <c r="L896" s="44"/>
      <c r="M896" s="44"/>
      <c r="N896" s="44"/>
      <c r="O896" s="44"/>
      <c r="P896" s="44"/>
      <c r="Q896" s="44"/>
      <c r="R896" s="44"/>
      <c r="S896" s="44"/>
      <c r="T896" s="44"/>
      <c r="U896" s="44"/>
      <c r="V896" s="44"/>
      <c r="W896" s="44"/>
      <c r="X896" s="44"/>
      <c r="Y896" s="44"/>
      <c r="Z896" s="44"/>
      <c r="AB896" s="37" t="str">
        <f aca="false">TRIM($A896&amp;"")</f>
        <v/>
      </c>
      <c r="AC896" s="37" t="str">
        <f aca="false">IF(AB896="","",IFERROR(INDEX('Account Map'!$B:$B,MATCH(AB896,'Account Map'!$A:$A,0)),""))</f>
        <v/>
      </c>
      <c r="AD896" s="37" t="str">
        <f aca="false">IF(AB896="","",IFERROR(INDEX('Account Map'!$C:$C,MATCH(AB896,'Account Map'!$A:$A,0)),""))</f>
        <v/>
      </c>
      <c r="AE896" s="37" t="n">
        <f aca="false">IF(AND(AB896&lt;&gt;"",AC896="",COUNT($B896:$Z896)&gt;0,LEFT(AB896,5)&lt;&gt;"Total",AB896&lt;&gt;"Gross Profit",AB896&lt;&gt;"Net Profit",AB896&lt;&gt;"Operating Profit"),1,0)</f>
        <v>0</v>
      </c>
    </row>
    <row r="897" customFormat="false" ht="15" hidden="false" customHeight="false" outlineLevel="0" collapsed="false">
      <c r="B897" s="44"/>
      <c r="C897" s="44"/>
      <c r="D897" s="44"/>
      <c r="E897" s="44"/>
      <c r="F897" s="44"/>
      <c r="G897" s="44"/>
      <c r="H897" s="44"/>
      <c r="I897" s="44"/>
      <c r="J897" s="44"/>
      <c r="K897" s="44"/>
      <c r="L897" s="44"/>
      <c r="M897" s="44"/>
      <c r="N897" s="44"/>
      <c r="O897" s="44"/>
      <c r="P897" s="44"/>
      <c r="Q897" s="44"/>
      <c r="R897" s="44"/>
      <c r="S897" s="44"/>
      <c r="T897" s="44"/>
      <c r="U897" s="44"/>
      <c r="V897" s="44"/>
      <c r="W897" s="44"/>
      <c r="X897" s="44"/>
      <c r="Y897" s="44"/>
      <c r="Z897" s="44"/>
      <c r="AB897" s="37" t="str">
        <f aca="false">TRIM($A897&amp;"")</f>
        <v/>
      </c>
      <c r="AC897" s="37" t="str">
        <f aca="false">IF(AB897="","",IFERROR(INDEX('Account Map'!$B:$B,MATCH(AB897,'Account Map'!$A:$A,0)),""))</f>
        <v/>
      </c>
      <c r="AD897" s="37" t="str">
        <f aca="false">IF(AB897="","",IFERROR(INDEX('Account Map'!$C:$C,MATCH(AB897,'Account Map'!$A:$A,0)),""))</f>
        <v/>
      </c>
      <c r="AE897" s="37" t="n">
        <f aca="false">IF(AND(AB897&lt;&gt;"",AC897="",COUNT($B897:$Z897)&gt;0,LEFT(AB897,5)&lt;&gt;"Total",AB897&lt;&gt;"Gross Profit",AB897&lt;&gt;"Net Profit",AB897&lt;&gt;"Operating Profit"),1,0)</f>
        <v>0</v>
      </c>
    </row>
    <row r="898" customFormat="false" ht="15" hidden="false" customHeight="false" outlineLevel="0" collapsed="false">
      <c r="B898" s="44"/>
      <c r="C898" s="44"/>
      <c r="D898" s="44"/>
      <c r="E898" s="44"/>
      <c r="F898" s="44"/>
      <c r="G898" s="44"/>
      <c r="H898" s="44"/>
      <c r="I898" s="44"/>
      <c r="J898" s="44"/>
      <c r="K898" s="44"/>
      <c r="L898" s="44"/>
      <c r="M898" s="44"/>
      <c r="N898" s="44"/>
      <c r="O898" s="44"/>
      <c r="P898" s="44"/>
      <c r="Q898" s="44"/>
      <c r="R898" s="44"/>
      <c r="S898" s="44"/>
      <c r="T898" s="44"/>
      <c r="U898" s="44"/>
      <c r="V898" s="44"/>
      <c r="W898" s="44"/>
      <c r="X898" s="44"/>
      <c r="Y898" s="44"/>
      <c r="Z898" s="44"/>
      <c r="AB898" s="37" t="str">
        <f aca="false">TRIM($A898&amp;"")</f>
        <v/>
      </c>
      <c r="AC898" s="37" t="str">
        <f aca="false">IF(AB898="","",IFERROR(INDEX('Account Map'!$B:$B,MATCH(AB898,'Account Map'!$A:$A,0)),""))</f>
        <v/>
      </c>
      <c r="AD898" s="37" t="str">
        <f aca="false">IF(AB898="","",IFERROR(INDEX('Account Map'!$C:$C,MATCH(AB898,'Account Map'!$A:$A,0)),""))</f>
        <v/>
      </c>
      <c r="AE898" s="37" t="n">
        <f aca="false">IF(AND(AB898&lt;&gt;"",AC898="",COUNT($B898:$Z898)&gt;0,LEFT(AB898,5)&lt;&gt;"Total",AB898&lt;&gt;"Gross Profit",AB898&lt;&gt;"Net Profit",AB898&lt;&gt;"Operating Profit"),1,0)</f>
        <v>0</v>
      </c>
    </row>
    <row r="899" customFormat="false" ht="15" hidden="false" customHeight="false" outlineLevel="0" collapsed="false">
      <c r="B899" s="44"/>
      <c r="C899" s="44"/>
      <c r="D899" s="44"/>
      <c r="E899" s="44"/>
      <c r="F899" s="44"/>
      <c r="G899" s="44"/>
      <c r="H899" s="44"/>
      <c r="I899" s="44"/>
      <c r="J899" s="44"/>
      <c r="K899" s="44"/>
      <c r="L899" s="44"/>
      <c r="M899" s="44"/>
      <c r="N899" s="44"/>
      <c r="O899" s="44"/>
      <c r="P899" s="44"/>
      <c r="Q899" s="44"/>
      <c r="R899" s="44"/>
      <c r="S899" s="44"/>
      <c r="T899" s="44"/>
      <c r="U899" s="44"/>
      <c r="V899" s="44"/>
      <c r="W899" s="44"/>
      <c r="X899" s="44"/>
      <c r="Y899" s="44"/>
      <c r="Z899" s="44"/>
      <c r="AB899" s="37" t="str">
        <f aca="false">TRIM($A899&amp;"")</f>
        <v/>
      </c>
      <c r="AC899" s="37" t="str">
        <f aca="false">IF(AB899="","",IFERROR(INDEX('Account Map'!$B:$B,MATCH(AB899,'Account Map'!$A:$A,0)),""))</f>
        <v/>
      </c>
      <c r="AD899" s="37" t="str">
        <f aca="false">IF(AB899="","",IFERROR(INDEX('Account Map'!$C:$C,MATCH(AB899,'Account Map'!$A:$A,0)),""))</f>
        <v/>
      </c>
      <c r="AE899" s="37" t="n">
        <f aca="false">IF(AND(AB899&lt;&gt;"",AC899="",COUNT($B899:$Z899)&gt;0,LEFT(AB899,5)&lt;&gt;"Total",AB899&lt;&gt;"Gross Profit",AB899&lt;&gt;"Net Profit",AB899&lt;&gt;"Operating Profit"),1,0)</f>
        <v>0</v>
      </c>
    </row>
    <row r="900" customFormat="false" ht="15" hidden="false" customHeight="false" outlineLevel="0" collapsed="false">
      <c r="B900" s="44"/>
      <c r="C900" s="44"/>
      <c r="D900" s="44"/>
      <c r="E900" s="44"/>
      <c r="F900" s="44"/>
      <c r="G900" s="44"/>
      <c r="H900" s="44"/>
      <c r="I900" s="44"/>
      <c r="J900" s="44"/>
      <c r="K900" s="44"/>
      <c r="L900" s="44"/>
      <c r="M900" s="44"/>
      <c r="N900" s="44"/>
      <c r="O900" s="44"/>
      <c r="P900" s="44"/>
      <c r="Q900" s="44"/>
      <c r="R900" s="44"/>
      <c r="S900" s="44"/>
      <c r="T900" s="44"/>
      <c r="U900" s="44"/>
      <c r="V900" s="44"/>
      <c r="W900" s="44"/>
      <c r="X900" s="44"/>
      <c r="Y900" s="44"/>
      <c r="Z900" s="44"/>
      <c r="AB900" s="37" t="str">
        <f aca="false">TRIM($A900&amp;"")</f>
        <v/>
      </c>
      <c r="AC900" s="37" t="str">
        <f aca="false">IF(AB900="","",IFERROR(INDEX('Account Map'!$B:$B,MATCH(AB900,'Account Map'!$A:$A,0)),""))</f>
        <v/>
      </c>
      <c r="AD900" s="37" t="str">
        <f aca="false">IF(AB900="","",IFERROR(INDEX('Account Map'!$C:$C,MATCH(AB900,'Account Map'!$A:$A,0)),""))</f>
        <v/>
      </c>
      <c r="AE900" s="37" t="n">
        <f aca="false">IF(AND(AB900&lt;&gt;"",AC900="",COUNT($B900:$Z900)&gt;0,LEFT(AB900,5)&lt;&gt;"Total",AB900&lt;&gt;"Gross Profit",AB900&lt;&gt;"Net Profit",AB900&lt;&gt;"Operating Profit"),1,0)</f>
        <v>0</v>
      </c>
    </row>
    <row r="901" customFormat="false" ht="15" hidden="false" customHeight="false" outlineLevel="0" collapsed="false">
      <c r="B901" s="44"/>
      <c r="C901" s="44"/>
      <c r="D901" s="44"/>
      <c r="E901" s="44"/>
      <c r="F901" s="44"/>
      <c r="G901" s="44"/>
      <c r="H901" s="44"/>
      <c r="I901" s="44"/>
      <c r="J901" s="44"/>
      <c r="K901" s="44"/>
      <c r="L901" s="44"/>
      <c r="M901" s="44"/>
      <c r="N901" s="44"/>
      <c r="O901" s="44"/>
      <c r="P901" s="44"/>
      <c r="Q901" s="44"/>
      <c r="R901" s="44"/>
      <c r="S901" s="44"/>
      <c r="T901" s="44"/>
      <c r="U901" s="44"/>
      <c r="V901" s="44"/>
      <c r="W901" s="44"/>
      <c r="X901" s="44"/>
      <c r="Y901" s="44"/>
      <c r="Z901" s="44"/>
      <c r="AB901" s="37" t="str">
        <f aca="false">TRIM($A901&amp;"")</f>
        <v/>
      </c>
      <c r="AC901" s="37" t="str">
        <f aca="false">IF(AB901="","",IFERROR(INDEX('Account Map'!$B:$B,MATCH(AB901,'Account Map'!$A:$A,0)),""))</f>
        <v/>
      </c>
      <c r="AD901" s="37" t="str">
        <f aca="false">IF(AB901="","",IFERROR(INDEX('Account Map'!$C:$C,MATCH(AB901,'Account Map'!$A:$A,0)),""))</f>
        <v/>
      </c>
      <c r="AE901" s="37" t="n">
        <f aca="false">IF(AND(AB901&lt;&gt;"",AC901="",COUNT($B901:$Z901)&gt;0,LEFT(AB901,5)&lt;&gt;"Total",AB901&lt;&gt;"Gross Profit",AB901&lt;&gt;"Net Profit",AB901&lt;&gt;"Operating Profit"),1,0)</f>
        <v>0</v>
      </c>
    </row>
    <row r="902" customFormat="false" ht="15" hidden="false" customHeight="false" outlineLevel="0" collapsed="false">
      <c r="B902" s="44"/>
      <c r="C902" s="44"/>
      <c r="D902" s="44"/>
      <c r="E902" s="44"/>
      <c r="F902" s="44"/>
      <c r="G902" s="44"/>
      <c r="H902" s="44"/>
      <c r="I902" s="44"/>
      <c r="J902" s="44"/>
      <c r="K902" s="44"/>
      <c r="L902" s="44"/>
      <c r="M902" s="44"/>
      <c r="N902" s="44"/>
      <c r="O902" s="44"/>
      <c r="P902" s="44"/>
      <c r="Q902" s="44"/>
      <c r="R902" s="44"/>
      <c r="S902" s="44"/>
      <c r="T902" s="44"/>
      <c r="U902" s="44"/>
      <c r="V902" s="44"/>
      <c r="W902" s="44"/>
      <c r="X902" s="44"/>
      <c r="Y902" s="44"/>
      <c r="Z902" s="44"/>
      <c r="AB902" s="37" t="str">
        <f aca="false">TRIM($A902&amp;"")</f>
        <v/>
      </c>
      <c r="AC902" s="37" t="str">
        <f aca="false">IF(AB902="","",IFERROR(INDEX('Account Map'!$B:$B,MATCH(AB902,'Account Map'!$A:$A,0)),""))</f>
        <v/>
      </c>
      <c r="AD902" s="37" t="str">
        <f aca="false">IF(AB902="","",IFERROR(INDEX('Account Map'!$C:$C,MATCH(AB902,'Account Map'!$A:$A,0)),""))</f>
        <v/>
      </c>
      <c r="AE902" s="37" t="n">
        <f aca="false">IF(AND(AB902&lt;&gt;"",AC902="",COUNT($B902:$Z902)&gt;0,LEFT(AB902,5)&lt;&gt;"Total",AB902&lt;&gt;"Gross Profit",AB902&lt;&gt;"Net Profit",AB902&lt;&gt;"Operating Profit"),1,0)</f>
        <v>0</v>
      </c>
    </row>
    <row r="903" customFormat="false" ht="15" hidden="false" customHeight="false" outlineLevel="0" collapsed="false">
      <c r="B903" s="44"/>
      <c r="C903" s="44"/>
      <c r="D903" s="44"/>
      <c r="E903" s="44"/>
      <c r="F903" s="44"/>
      <c r="G903" s="44"/>
      <c r="H903" s="44"/>
      <c r="I903" s="44"/>
      <c r="J903" s="44"/>
      <c r="K903" s="44"/>
      <c r="L903" s="44"/>
      <c r="M903" s="44"/>
      <c r="N903" s="44"/>
      <c r="O903" s="44"/>
      <c r="P903" s="44"/>
      <c r="Q903" s="44"/>
      <c r="R903" s="44"/>
      <c r="S903" s="44"/>
      <c r="T903" s="44"/>
      <c r="U903" s="44"/>
      <c r="V903" s="44"/>
      <c r="W903" s="44"/>
      <c r="X903" s="44"/>
      <c r="Y903" s="44"/>
      <c r="Z903" s="44"/>
      <c r="AB903" s="37" t="str">
        <f aca="false">TRIM($A903&amp;"")</f>
        <v/>
      </c>
      <c r="AC903" s="37" t="str">
        <f aca="false">IF(AB903="","",IFERROR(INDEX('Account Map'!$B:$B,MATCH(AB903,'Account Map'!$A:$A,0)),""))</f>
        <v/>
      </c>
      <c r="AD903" s="37" t="str">
        <f aca="false">IF(AB903="","",IFERROR(INDEX('Account Map'!$C:$C,MATCH(AB903,'Account Map'!$A:$A,0)),""))</f>
        <v/>
      </c>
      <c r="AE903" s="37" t="n">
        <f aca="false">IF(AND(AB903&lt;&gt;"",AC903="",COUNT($B903:$Z903)&gt;0,LEFT(AB903,5)&lt;&gt;"Total",AB903&lt;&gt;"Gross Profit",AB903&lt;&gt;"Net Profit",AB903&lt;&gt;"Operating Profit"),1,0)</f>
        <v>0</v>
      </c>
    </row>
    <row r="904" customFormat="false" ht="15" hidden="false" customHeight="false" outlineLevel="0" collapsed="false">
      <c r="B904" s="44"/>
      <c r="C904" s="44"/>
      <c r="D904" s="44"/>
      <c r="E904" s="44"/>
      <c r="F904" s="44"/>
      <c r="G904" s="44"/>
      <c r="H904" s="44"/>
      <c r="I904" s="44"/>
      <c r="J904" s="44"/>
      <c r="K904" s="44"/>
      <c r="L904" s="44"/>
      <c r="M904" s="44"/>
      <c r="N904" s="44"/>
      <c r="O904" s="44"/>
      <c r="P904" s="44"/>
      <c r="Q904" s="44"/>
      <c r="R904" s="44"/>
      <c r="S904" s="44"/>
      <c r="T904" s="44"/>
      <c r="U904" s="44"/>
      <c r="V904" s="44"/>
      <c r="W904" s="44"/>
      <c r="X904" s="44"/>
      <c r="Y904" s="44"/>
      <c r="Z904" s="44"/>
      <c r="AB904" s="37" t="str">
        <f aca="false">TRIM($A904&amp;"")</f>
        <v/>
      </c>
      <c r="AC904" s="37" t="str">
        <f aca="false">IF(AB904="","",IFERROR(INDEX('Account Map'!$B:$B,MATCH(AB904,'Account Map'!$A:$A,0)),""))</f>
        <v/>
      </c>
      <c r="AD904" s="37" t="str">
        <f aca="false">IF(AB904="","",IFERROR(INDEX('Account Map'!$C:$C,MATCH(AB904,'Account Map'!$A:$A,0)),""))</f>
        <v/>
      </c>
      <c r="AE904" s="37" t="n">
        <f aca="false">IF(AND(AB904&lt;&gt;"",AC904="",COUNT($B904:$Z904)&gt;0,LEFT(AB904,5)&lt;&gt;"Total",AB904&lt;&gt;"Gross Profit",AB904&lt;&gt;"Net Profit",AB904&lt;&gt;"Operating Profit"),1,0)</f>
        <v>0</v>
      </c>
    </row>
    <row r="905" customFormat="false" ht="15" hidden="false" customHeight="false" outlineLevel="0" collapsed="false">
      <c r="B905" s="44"/>
      <c r="C905" s="44"/>
      <c r="D905" s="44"/>
      <c r="E905" s="44"/>
      <c r="F905" s="44"/>
      <c r="G905" s="44"/>
      <c r="H905" s="44"/>
      <c r="I905" s="44"/>
      <c r="J905" s="44"/>
      <c r="K905" s="44"/>
      <c r="L905" s="44"/>
      <c r="M905" s="44"/>
      <c r="N905" s="44"/>
      <c r="O905" s="44"/>
      <c r="P905" s="44"/>
      <c r="Q905" s="44"/>
      <c r="R905" s="44"/>
      <c r="S905" s="44"/>
      <c r="T905" s="44"/>
      <c r="U905" s="44"/>
      <c r="V905" s="44"/>
      <c r="W905" s="44"/>
      <c r="X905" s="44"/>
      <c r="Y905" s="44"/>
      <c r="Z905" s="44"/>
      <c r="AB905" s="37" t="str">
        <f aca="false">TRIM($A905&amp;"")</f>
        <v/>
      </c>
      <c r="AC905" s="37" t="str">
        <f aca="false">IF(AB905="","",IFERROR(INDEX('Account Map'!$B:$B,MATCH(AB905,'Account Map'!$A:$A,0)),""))</f>
        <v/>
      </c>
      <c r="AD905" s="37" t="str">
        <f aca="false">IF(AB905="","",IFERROR(INDEX('Account Map'!$C:$C,MATCH(AB905,'Account Map'!$A:$A,0)),""))</f>
        <v/>
      </c>
      <c r="AE905" s="37" t="n">
        <f aca="false">IF(AND(AB905&lt;&gt;"",AC905="",COUNT($B905:$Z905)&gt;0,LEFT(AB905,5)&lt;&gt;"Total",AB905&lt;&gt;"Gross Profit",AB905&lt;&gt;"Net Profit",AB905&lt;&gt;"Operating Profit"),1,0)</f>
        <v>0</v>
      </c>
    </row>
    <row r="906" customFormat="false" ht="15" hidden="false" customHeight="false" outlineLevel="0" collapsed="false">
      <c r="B906" s="44"/>
      <c r="C906" s="44"/>
      <c r="D906" s="44"/>
      <c r="E906" s="44"/>
      <c r="F906" s="44"/>
      <c r="G906" s="44"/>
      <c r="H906" s="44"/>
      <c r="I906" s="44"/>
      <c r="J906" s="44"/>
      <c r="K906" s="44"/>
      <c r="L906" s="44"/>
      <c r="M906" s="44"/>
      <c r="N906" s="44"/>
      <c r="O906" s="44"/>
      <c r="P906" s="44"/>
      <c r="Q906" s="44"/>
      <c r="R906" s="44"/>
      <c r="S906" s="44"/>
      <c r="T906" s="44"/>
      <c r="U906" s="44"/>
      <c r="V906" s="44"/>
      <c r="W906" s="44"/>
      <c r="X906" s="44"/>
      <c r="Y906" s="44"/>
      <c r="Z906" s="44"/>
      <c r="AB906" s="37" t="str">
        <f aca="false">TRIM($A906&amp;"")</f>
        <v/>
      </c>
      <c r="AC906" s="37" t="str">
        <f aca="false">IF(AB906="","",IFERROR(INDEX('Account Map'!$B:$B,MATCH(AB906,'Account Map'!$A:$A,0)),""))</f>
        <v/>
      </c>
      <c r="AD906" s="37" t="str">
        <f aca="false">IF(AB906="","",IFERROR(INDEX('Account Map'!$C:$C,MATCH(AB906,'Account Map'!$A:$A,0)),""))</f>
        <v/>
      </c>
      <c r="AE906" s="37" t="n">
        <f aca="false">IF(AND(AB906&lt;&gt;"",AC906="",COUNT($B906:$Z906)&gt;0,LEFT(AB906,5)&lt;&gt;"Total",AB906&lt;&gt;"Gross Profit",AB906&lt;&gt;"Net Profit",AB906&lt;&gt;"Operating Profit"),1,0)</f>
        <v>0</v>
      </c>
    </row>
    <row r="907" customFormat="false" ht="15" hidden="false" customHeight="false" outlineLevel="0" collapsed="false">
      <c r="B907" s="44"/>
      <c r="C907" s="44"/>
      <c r="D907" s="44"/>
      <c r="E907" s="44"/>
      <c r="F907" s="44"/>
      <c r="G907" s="44"/>
      <c r="H907" s="44"/>
      <c r="I907" s="44"/>
      <c r="J907" s="44"/>
      <c r="K907" s="44"/>
      <c r="L907" s="44"/>
      <c r="M907" s="44"/>
      <c r="N907" s="44"/>
      <c r="O907" s="44"/>
      <c r="P907" s="44"/>
      <c r="Q907" s="44"/>
      <c r="R907" s="44"/>
      <c r="S907" s="44"/>
      <c r="T907" s="44"/>
      <c r="U907" s="44"/>
      <c r="V907" s="44"/>
      <c r="W907" s="44"/>
      <c r="X907" s="44"/>
      <c r="Y907" s="44"/>
      <c r="Z907" s="44"/>
      <c r="AB907" s="37" t="str">
        <f aca="false">TRIM($A907&amp;"")</f>
        <v/>
      </c>
      <c r="AC907" s="37" t="str">
        <f aca="false">IF(AB907="","",IFERROR(INDEX('Account Map'!$B:$B,MATCH(AB907,'Account Map'!$A:$A,0)),""))</f>
        <v/>
      </c>
      <c r="AD907" s="37" t="str">
        <f aca="false">IF(AB907="","",IFERROR(INDEX('Account Map'!$C:$C,MATCH(AB907,'Account Map'!$A:$A,0)),""))</f>
        <v/>
      </c>
      <c r="AE907" s="37" t="n">
        <f aca="false">IF(AND(AB907&lt;&gt;"",AC907="",COUNT($B907:$Z907)&gt;0,LEFT(AB907,5)&lt;&gt;"Total",AB907&lt;&gt;"Gross Profit",AB907&lt;&gt;"Net Profit",AB907&lt;&gt;"Operating Profit"),1,0)</f>
        <v>0</v>
      </c>
    </row>
    <row r="908" customFormat="false" ht="15" hidden="false" customHeight="false" outlineLevel="0" collapsed="false">
      <c r="B908" s="44"/>
      <c r="C908" s="44"/>
      <c r="D908" s="44"/>
      <c r="E908" s="44"/>
      <c r="F908" s="44"/>
      <c r="G908" s="44"/>
      <c r="H908" s="44"/>
      <c r="I908" s="44"/>
      <c r="J908" s="44"/>
      <c r="K908" s="44"/>
      <c r="L908" s="44"/>
      <c r="M908" s="44"/>
      <c r="N908" s="44"/>
      <c r="O908" s="44"/>
      <c r="P908" s="44"/>
      <c r="Q908" s="44"/>
      <c r="R908" s="44"/>
      <c r="S908" s="44"/>
      <c r="T908" s="44"/>
      <c r="U908" s="44"/>
      <c r="V908" s="44"/>
      <c r="W908" s="44"/>
      <c r="X908" s="44"/>
      <c r="Y908" s="44"/>
      <c r="Z908" s="44"/>
      <c r="AB908" s="37" t="str">
        <f aca="false">TRIM($A908&amp;"")</f>
        <v/>
      </c>
      <c r="AC908" s="37" t="str">
        <f aca="false">IF(AB908="","",IFERROR(INDEX('Account Map'!$B:$B,MATCH(AB908,'Account Map'!$A:$A,0)),""))</f>
        <v/>
      </c>
      <c r="AD908" s="37" t="str">
        <f aca="false">IF(AB908="","",IFERROR(INDEX('Account Map'!$C:$C,MATCH(AB908,'Account Map'!$A:$A,0)),""))</f>
        <v/>
      </c>
      <c r="AE908" s="37" t="n">
        <f aca="false">IF(AND(AB908&lt;&gt;"",AC908="",COUNT($B908:$Z908)&gt;0,LEFT(AB908,5)&lt;&gt;"Total",AB908&lt;&gt;"Gross Profit",AB908&lt;&gt;"Net Profit",AB908&lt;&gt;"Operating Profit"),1,0)</f>
        <v>0</v>
      </c>
    </row>
    <row r="909" customFormat="false" ht="15" hidden="false" customHeight="false" outlineLevel="0" collapsed="false">
      <c r="B909" s="44"/>
      <c r="C909" s="44"/>
      <c r="D909" s="44"/>
      <c r="E909" s="44"/>
      <c r="F909" s="44"/>
      <c r="G909" s="44"/>
      <c r="H909" s="44"/>
      <c r="I909" s="44"/>
      <c r="J909" s="44"/>
      <c r="K909" s="44"/>
      <c r="L909" s="44"/>
      <c r="M909" s="44"/>
      <c r="N909" s="44"/>
      <c r="O909" s="44"/>
      <c r="P909" s="44"/>
      <c r="Q909" s="44"/>
      <c r="R909" s="44"/>
      <c r="S909" s="44"/>
      <c r="T909" s="44"/>
      <c r="U909" s="44"/>
      <c r="V909" s="44"/>
      <c r="W909" s="44"/>
      <c r="X909" s="44"/>
      <c r="Y909" s="44"/>
      <c r="Z909" s="44"/>
      <c r="AB909" s="37" t="str">
        <f aca="false">TRIM($A909&amp;"")</f>
        <v/>
      </c>
      <c r="AC909" s="37" t="str">
        <f aca="false">IF(AB909="","",IFERROR(INDEX('Account Map'!$B:$B,MATCH(AB909,'Account Map'!$A:$A,0)),""))</f>
        <v/>
      </c>
      <c r="AD909" s="37" t="str">
        <f aca="false">IF(AB909="","",IFERROR(INDEX('Account Map'!$C:$C,MATCH(AB909,'Account Map'!$A:$A,0)),""))</f>
        <v/>
      </c>
      <c r="AE909" s="37" t="n">
        <f aca="false">IF(AND(AB909&lt;&gt;"",AC909="",COUNT($B909:$Z909)&gt;0,LEFT(AB909,5)&lt;&gt;"Total",AB909&lt;&gt;"Gross Profit",AB909&lt;&gt;"Net Profit",AB909&lt;&gt;"Operating Profit"),1,0)</f>
        <v>0</v>
      </c>
    </row>
    <row r="910" customFormat="false" ht="15" hidden="false" customHeight="false" outlineLevel="0" collapsed="false">
      <c r="B910" s="44"/>
      <c r="C910" s="44"/>
      <c r="D910" s="44"/>
      <c r="E910" s="44"/>
      <c r="F910" s="44"/>
      <c r="G910" s="44"/>
      <c r="H910" s="44"/>
      <c r="I910" s="44"/>
      <c r="J910" s="44"/>
      <c r="K910" s="44"/>
      <c r="L910" s="44"/>
      <c r="M910" s="44"/>
      <c r="N910" s="44"/>
      <c r="O910" s="44"/>
      <c r="P910" s="44"/>
      <c r="Q910" s="44"/>
      <c r="R910" s="44"/>
      <c r="S910" s="44"/>
      <c r="T910" s="44"/>
      <c r="U910" s="44"/>
      <c r="V910" s="44"/>
      <c r="W910" s="44"/>
      <c r="X910" s="44"/>
      <c r="Y910" s="44"/>
      <c r="Z910" s="44"/>
      <c r="AB910" s="37" t="str">
        <f aca="false">TRIM($A910&amp;"")</f>
        <v/>
      </c>
      <c r="AC910" s="37" t="str">
        <f aca="false">IF(AB910="","",IFERROR(INDEX('Account Map'!$B:$B,MATCH(AB910,'Account Map'!$A:$A,0)),""))</f>
        <v/>
      </c>
      <c r="AD910" s="37" t="str">
        <f aca="false">IF(AB910="","",IFERROR(INDEX('Account Map'!$C:$C,MATCH(AB910,'Account Map'!$A:$A,0)),""))</f>
        <v/>
      </c>
      <c r="AE910" s="37" t="n">
        <f aca="false">IF(AND(AB910&lt;&gt;"",AC910="",COUNT($B910:$Z910)&gt;0,LEFT(AB910,5)&lt;&gt;"Total",AB910&lt;&gt;"Gross Profit",AB910&lt;&gt;"Net Profit",AB910&lt;&gt;"Operating Profit"),1,0)</f>
        <v>0</v>
      </c>
    </row>
    <row r="911" customFormat="false" ht="15" hidden="false" customHeight="false" outlineLevel="0" collapsed="false">
      <c r="B911" s="44"/>
      <c r="C911" s="44"/>
      <c r="D911" s="44"/>
      <c r="E911" s="44"/>
      <c r="F911" s="44"/>
      <c r="G911" s="44"/>
      <c r="H911" s="44"/>
      <c r="I911" s="44"/>
      <c r="J911" s="44"/>
      <c r="K911" s="44"/>
      <c r="L911" s="44"/>
      <c r="M911" s="44"/>
      <c r="N911" s="44"/>
      <c r="O911" s="44"/>
      <c r="P911" s="44"/>
      <c r="Q911" s="44"/>
      <c r="R911" s="44"/>
      <c r="S911" s="44"/>
      <c r="T911" s="44"/>
      <c r="U911" s="44"/>
      <c r="V911" s="44"/>
      <c r="W911" s="44"/>
      <c r="X911" s="44"/>
      <c r="Y911" s="44"/>
      <c r="Z911" s="44"/>
      <c r="AB911" s="37" t="str">
        <f aca="false">TRIM($A911&amp;"")</f>
        <v/>
      </c>
      <c r="AC911" s="37" t="str">
        <f aca="false">IF(AB911="","",IFERROR(INDEX('Account Map'!$B:$B,MATCH(AB911,'Account Map'!$A:$A,0)),""))</f>
        <v/>
      </c>
      <c r="AD911" s="37" t="str">
        <f aca="false">IF(AB911="","",IFERROR(INDEX('Account Map'!$C:$C,MATCH(AB911,'Account Map'!$A:$A,0)),""))</f>
        <v/>
      </c>
      <c r="AE911" s="37" t="n">
        <f aca="false">IF(AND(AB911&lt;&gt;"",AC911="",COUNT($B911:$Z911)&gt;0,LEFT(AB911,5)&lt;&gt;"Total",AB911&lt;&gt;"Gross Profit",AB911&lt;&gt;"Net Profit",AB911&lt;&gt;"Operating Profit"),1,0)</f>
        <v>0</v>
      </c>
    </row>
    <row r="912" customFormat="false" ht="15" hidden="false" customHeight="false" outlineLevel="0" collapsed="false">
      <c r="B912" s="44"/>
      <c r="C912" s="44"/>
      <c r="D912" s="44"/>
      <c r="E912" s="44"/>
      <c r="F912" s="44"/>
      <c r="G912" s="44"/>
      <c r="H912" s="44"/>
      <c r="I912" s="44"/>
      <c r="J912" s="44"/>
      <c r="K912" s="44"/>
      <c r="L912" s="44"/>
      <c r="M912" s="44"/>
      <c r="N912" s="44"/>
      <c r="O912" s="44"/>
      <c r="P912" s="44"/>
      <c r="Q912" s="44"/>
      <c r="R912" s="44"/>
      <c r="S912" s="44"/>
      <c r="T912" s="44"/>
      <c r="U912" s="44"/>
      <c r="V912" s="44"/>
      <c r="W912" s="44"/>
      <c r="X912" s="44"/>
      <c r="Y912" s="44"/>
      <c r="Z912" s="44"/>
      <c r="AB912" s="37" t="str">
        <f aca="false">TRIM($A912&amp;"")</f>
        <v/>
      </c>
      <c r="AC912" s="37" t="str">
        <f aca="false">IF(AB912="","",IFERROR(INDEX('Account Map'!$B:$B,MATCH(AB912,'Account Map'!$A:$A,0)),""))</f>
        <v/>
      </c>
      <c r="AD912" s="37" t="str">
        <f aca="false">IF(AB912="","",IFERROR(INDEX('Account Map'!$C:$C,MATCH(AB912,'Account Map'!$A:$A,0)),""))</f>
        <v/>
      </c>
      <c r="AE912" s="37" t="n">
        <f aca="false">IF(AND(AB912&lt;&gt;"",AC912="",COUNT($B912:$Z912)&gt;0,LEFT(AB912,5)&lt;&gt;"Total",AB912&lt;&gt;"Gross Profit",AB912&lt;&gt;"Net Profit",AB912&lt;&gt;"Operating Profit"),1,0)</f>
        <v>0</v>
      </c>
    </row>
    <row r="913" customFormat="false" ht="15" hidden="false" customHeight="false" outlineLevel="0" collapsed="false">
      <c r="B913" s="44"/>
      <c r="C913" s="44"/>
      <c r="D913" s="44"/>
      <c r="E913" s="44"/>
      <c r="F913" s="44"/>
      <c r="G913" s="44"/>
      <c r="H913" s="44"/>
      <c r="I913" s="44"/>
      <c r="J913" s="44"/>
      <c r="K913" s="44"/>
      <c r="L913" s="44"/>
      <c r="M913" s="44"/>
      <c r="N913" s="44"/>
      <c r="O913" s="44"/>
      <c r="P913" s="44"/>
      <c r="Q913" s="44"/>
      <c r="R913" s="44"/>
      <c r="S913" s="44"/>
      <c r="T913" s="44"/>
      <c r="U913" s="44"/>
      <c r="V913" s="44"/>
      <c r="W913" s="44"/>
      <c r="X913" s="44"/>
      <c r="Y913" s="44"/>
      <c r="Z913" s="44"/>
      <c r="AB913" s="37" t="str">
        <f aca="false">TRIM($A913&amp;"")</f>
        <v/>
      </c>
      <c r="AC913" s="37" t="str">
        <f aca="false">IF(AB913="","",IFERROR(INDEX('Account Map'!$B:$B,MATCH(AB913,'Account Map'!$A:$A,0)),""))</f>
        <v/>
      </c>
      <c r="AD913" s="37" t="str">
        <f aca="false">IF(AB913="","",IFERROR(INDEX('Account Map'!$C:$C,MATCH(AB913,'Account Map'!$A:$A,0)),""))</f>
        <v/>
      </c>
      <c r="AE913" s="37" t="n">
        <f aca="false">IF(AND(AB913&lt;&gt;"",AC913="",COUNT($B913:$Z913)&gt;0,LEFT(AB913,5)&lt;&gt;"Total",AB913&lt;&gt;"Gross Profit",AB913&lt;&gt;"Net Profit",AB913&lt;&gt;"Operating Profit"),1,0)</f>
        <v>0</v>
      </c>
    </row>
    <row r="914" customFormat="false" ht="15" hidden="false" customHeight="false" outlineLevel="0" collapsed="false">
      <c r="B914" s="44"/>
      <c r="C914" s="44"/>
      <c r="D914" s="44"/>
      <c r="E914" s="44"/>
      <c r="F914" s="44"/>
      <c r="G914" s="44"/>
      <c r="H914" s="44"/>
      <c r="I914" s="44"/>
      <c r="J914" s="44"/>
      <c r="K914" s="44"/>
      <c r="L914" s="44"/>
      <c r="M914" s="44"/>
      <c r="N914" s="44"/>
      <c r="O914" s="44"/>
      <c r="P914" s="44"/>
      <c r="Q914" s="44"/>
      <c r="R914" s="44"/>
      <c r="S914" s="44"/>
      <c r="T914" s="44"/>
      <c r="U914" s="44"/>
      <c r="V914" s="44"/>
      <c r="W914" s="44"/>
      <c r="X914" s="44"/>
      <c r="Y914" s="44"/>
      <c r="Z914" s="44"/>
      <c r="AB914" s="37" t="str">
        <f aca="false">TRIM($A914&amp;"")</f>
        <v/>
      </c>
      <c r="AC914" s="37" t="str">
        <f aca="false">IF(AB914="","",IFERROR(INDEX('Account Map'!$B:$B,MATCH(AB914,'Account Map'!$A:$A,0)),""))</f>
        <v/>
      </c>
      <c r="AD914" s="37" t="str">
        <f aca="false">IF(AB914="","",IFERROR(INDEX('Account Map'!$C:$C,MATCH(AB914,'Account Map'!$A:$A,0)),""))</f>
        <v/>
      </c>
      <c r="AE914" s="37" t="n">
        <f aca="false">IF(AND(AB914&lt;&gt;"",AC914="",COUNT($B914:$Z914)&gt;0,LEFT(AB914,5)&lt;&gt;"Total",AB914&lt;&gt;"Gross Profit",AB914&lt;&gt;"Net Profit",AB914&lt;&gt;"Operating Profit"),1,0)</f>
        <v>0</v>
      </c>
    </row>
    <row r="915" customFormat="false" ht="15" hidden="false" customHeight="false" outlineLevel="0" collapsed="false">
      <c r="B915" s="44"/>
      <c r="C915" s="44"/>
      <c r="D915" s="44"/>
      <c r="E915" s="44"/>
      <c r="F915" s="44"/>
      <c r="G915" s="44"/>
      <c r="H915" s="44"/>
      <c r="I915" s="44"/>
      <c r="J915" s="44"/>
      <c r="K915" s="44"/>
      <c r="L915" s="44"/>
      <c r="M915" s="44"/>
      <c r="N915" s="44"/>
      <c r="O915" s="44"/>
      <c r="P915" s="44"/>
      <c r="Q915" s="44"/>
      <c r="R915" s="44"/>
      <c r="S915" s="44"/>
      <c r="T915" s="44"/>
      <c r="U915" s="44"/>
      <c r="V915" s="44"/>
      <c r="W915" s="44"/>
      <c r="X915" s="44"/>
      <c r="Y915" s="44"/>
      <c r="Z915" s="44"/>
      <c r="AB915" s="37" t="str">
        <f aca="false">TRIM($A915&amp;"")</f>
        <v/>
      </c>
      <c r="AC915" s="37" t="str">
        <f aca="false">IF(AB915="","",IFERROR(INDEX('Account Map'!$B:$B,MATCH(AB915,'Account Map'!$A:$A,0)),""))</f>
        <v/>
      </c>
      <c r="AD915" s="37" t="str">
        <f aca="false">IF(AB915="","",IFERROR(INDEX('Account Map'!$C:$C,MATCH(AB915,'Account Map'!$A:$A,0)),""))</f>
        <v/>
      </c>
      <c r="AE915" s="37" t="n">
        <f aca="false">IF(AND(AB915&lt;&gt;"",AC915="",COUNT($B915:$Z915)&gt;0,LEFT(AB915,5)&lt;&gt;"Total",AB915&lt;&gt;"Gross Profit",AB915&lt;&gt;"Net Profit",AB915&lt;&gt;"Operating Profit"),1,0)</f>
        <v>0</v>
      </c>
    </row>
    <row r="916" customFormat="false" ht="15" hidden="false" customHeight="false" outlineLevel="0" collapsed="false">
      <c r="B916" s="44"/>
      <c r="C916" s="44"/>
      <c r="D916" s="44"/>
      <c r="E916" s="44"/>
      <c r="F916" s="44"/>
      <c r="G916" s="44"/>
      <c r="H916" s="44"/>
      <c r="I916" s="44"/>
      <c r="J916" s="44"/>
      <c r="K916" s="44"/>
      <c r="L916" s="44"/>
      <c r="M916" s="44"/>
      <c r="N916" s="44"/>
      <c r="O916" s="44"/>
      <c r="P916" s="44"/>
      <c r="Q916" s="44"/>
      <c r="R916" s="44"/>
      <c r="S916" s="44"/>
      <c r="T916" s="44"/>
      <c r="U916" s="44"/>
      <c r="V916" s="44"/>
      <c r="W916" s="44"/>
      <c r="X916" s="44"/>
      <c r="Y916" s="44"/>
      <c r="Z916" s="44"/>
      <c r="AB916" s="37" t="str">
        <f aca="false">TRIM($A916&amp;"")</f>
        <v/>
      </c>
      <c r="AC916" s="37" t="str">
        <f aca="false">IF(AB916="","",IFERROR(INDEX('Account Map'!$B:$B,MATCH(AB916,'Account Map'!$A:$A,0)),""))</f>
        <v/>
      </c>
      <c r="AD916" s="37" t="str">
        <f aca="false">IF(AB916="","",IFERROR(INDEX('Account Map'!$C:$C,MATCH(AB916,'Account Map'!$A:$A,0)),""))</f>
        <v/>
      </c>
      <c r="AE916" s="37" t="n">
        <f aca="false">IF(AND(AB916&lt;&gt;"",AC916="",COUNT($B916:$Z916)&gt;0,LEFT(AB916,5)&lt;&gt;"Total",AB916&lt;&gt;"Gross Profit",AB916&lt;&gt;"Net Profit",AB916&lt;&gt;"Operating Profit"),1,0)</f>
        <v>0</v>
      </c>
    </row>
    <row r="917" customFormat="false" ht="15" hidden="false" customHeight="false" outlineLevel="0" collapsed="false">
      <c r="B917" s="44"/>
      <c r="C917" s="44"/>
      <c r="D917" s="44"/>
      <c r="E917" s="44"/>
      <c r="F917" s="44"/>
      <c r="G917" s="44"/>
      <c r="H917" s="44"/>
      <c r="I917" s="44"/>
      <c r="J917" s="44"/>
      <c r="K917" s="44"/>
      <c r="L917" s="44"/>
      <c r="M917" s="44"/>
      <c r="N917" s="44"/>
      <c r="O917" s="44"/>
      <c r="P917" s="44"/>
      <c r="Q917" s="44"/>
      <c r="R917" s="44"/>
      <c r="S917" s="44"/>
      <c r="T917" s="44"/>
      <c r="U917" s="44"/>
      <c r="V917" s="44"/>
      <c r="W917" s="44"/>
      <c r="X917" s="44"/>
      <c r="Y917" s="44"/>
      <c r="Z917" s="44"/>
      <c r="AB917" s="37" t="str">
        <f aca="false">TRIM($A917&amp;"")</f>
        <v/>
      </c>
      <c r="AC917" s="37" t="str">
        <f aca="false">IF(AB917="","",IFERROR(INDEX('Account Map'!$B:$B,MATCH(AB917,'Account Map'!$A:$A,0)),""))</f>
        <v/>
      </c>
      <c r="AD917" s="37" t="str">
        <f aca="false">IF(AB917="","",IFERROR(INDEX('Account Map'!$C:$C,MATCH(AB917,'Account Map'!$A:$A,0)),""))</f>
        <v/>
      </c>
      <c r="AE917" s="37" t="n">
        <f aca="false">IF(AND(AB917&lt;&gt;"",AC917="",COUNT($B917:$Z917)&gt;0,LEFT(AB917,5)&lt;&gt;"Total",AB917&lt;&gt;"Gross Profit",AB917&lt;&gt;"Net Profit",AB917&lt;&gt;"Operating Profit"),1,0)</f>
        <v>0</v>
      </c>
    </row>
    <row r="918" customFormat="false" ht="15" hidden="false" customHeight="false" outlineLevel="0" collapsed="false">
      <c r="B918" s="44"/>
      <c r="C918" s="44"/>
      <c r="D918" s="44"/>
      <c r="E918" s="44"/>
      <c r="F918" s="44"/>
      <c r="G918" s="44"/>
      <c r="H918" s="44"/>
      <c r="I918" s="44"/>
      <c r="J918" s="44"/>
      <c r="K918" s="44"/>
      <c r="L918" s="44"/>
      <c r="M918" s="44"/>
      <c r="N918" s="44"/>
      <c r="O918" s="44"/>
      <c r="P918" s="44"/>
      <c r="Q918" s="44"/>
      <c r="R918" s="44"/>
      <c r="S918" s="44"/>
      <c r="T918" s="44"/>
      <c r="U918" s="44"/>
      <c r="V918" s="44"/>
      <c r="W918" s="44"/>
      <c r="X918" s="44"/>
      <c r="Y918" s="44"/>
      <c r="Z918" s="44"/>
      <c r="AB918" s="37" t="str">
        <f aca="false">TRIM($A918&amp;"")</f>
        <v/>
      </c>
      <c r="AC918" s="37" t="str">
        <f aca="false">IF(AB918="","",IFERROR(INDEX('Account Map'!$B:$B,MATCH(AB918,'Account Map'!$A:$A,0)),""))</f>
        <v/>
      </c>
      <c r="AD918" s="37" t="str">
        <f aca="false">IF(AB918="","",IFERROR(INDEX('Account Map'!$C:$C,MATCH(AB918,'Account Map'!$A:$A,0)),""))</f>
        <v/>
      </c>
      <c r="AE918" s="37" t="n">
        <f aca="false">IF(AND(AB918&lt;&gt;"",AC918="",COUNT($B918:$Z918)&gt;0,LEFT(AB918,5)&lt;&gt;"Total",AB918&lt;&gt;"Gross Profit",AB918&lt;&gt;"Net Profit",AB918&lt;&gt;"Operating Profit"),1,0)</f>
        <v>0</v>
      </c>
    </row>
    <row r="919" customFormat="false" ht="15" hidden="false" customHeight="false" outlineLevel="0" collapsed="false">
      <c r="B919" s="44"/>
      <c r="C919" s="44"/>
      <c r="D919" s="44"/>
      <c r="E919" s="44"/>
      <c r="F919" s="44"/>
      <c r="G919" s="44"/>
      <c r="H919" s="44"/>
      <c r="I919" s="44"/>
      <c r="J919" s="44"/>
      <c r="K919" s="44"/>
      <c r="L919" s="44"/>
      <c r="M919" s="44"/>
      <c r="N919" s="44"/>
      <c r="O919" s="44"/>
      <c r="P919" s="44"/>
      <c r="Q919" s="44"/>
      <c r="R919" s="44"/>
      <c r="S919" s="44"/>
      <c r="T919" s="44"/>
      <c r="U919" s="44"/>
      <c r="V919" s="44"/>
      <c r="W919" s="44"/>
      <c r="X919" s="44"/>
      <c r="Y919" s="44"/>
      <c r="Z919" s="44"/>
      <c r="AB919" s="37" t="str">
        <f aca="false">TRIM($A919&amp;"")</f>
        <v/>
      </c>
      <c r="AC919" s="37" t="str">
        <f aca="false">IF(AB919="","",IFERROR(INDEX('Account Map'!$B:$B,MATCH(AB919,'Account Map'!$A:$A,0)),""))</f>
        <v/>
      </c>
      <c r="AD919" s="37" t="str">
        <f aca="false">IF(AB919="","",IFERROR(INDEX('Account Map'!$C:$C,MATCH(AB919,'Account Map'!$A:$A,0)),""))</f>
        <v/>
      </c>
      <c r="AE919" s="37" t="n">
        <f aca="false">IF(AND(AB919&lt;&gt;"",AC919="",COUNT($B919:$Z919)&gt;0,LEFT(AB919,5)&lt;&gt;"Total",AB919&lt;&gt;"Gross Profit",AB919&lt;&gt;"Net Profit",AB919&lt;&gt;"Operating Profit"),1,0)</f>
        <v>0</v>
      </c>
    </row>
    <row r="920" customFormat="false" ht="15" hidden="false" customHeight="false" outlineLevel="0" collapsed="false">
      <c r="B920" s="44"/>
      <c r="C920" s="44"/>
      <c r="D920" s="44"/>
      <c r="E920" s="44"/>
      <c r="F920" s="44"/>
      <c r="G920" s="44"/>
      <c r="H920" s="44"/>
      <c r="I920" s="44"/>
      <c r="J920" s="44"/>
      <c r="K920" s="44"/>
      <c r="L920" s="44"/>
      <c r="M920" s="44"/>
      <c r="N920" s="44"/>
      <c r="O920" s="44"/>
      <c r="P920" s="44"/>
      <c r="Q920" s="44"/>
      <c r="R920" s="44"/>
      <c r="S920" s="44"/>
      <c r="T920" s="44"/>
      <c r="U920" s="44"/>
      <c r="V920" s="44"/>
      <c r="W920" s="44"/>
      <c r="X920" s="44"/>
      <c r="Y920" s="44"/>
      <c r="Z920" s="44"/>
      <c r="AB920" s="37" t="str">
        <f aca="false">TRIM($A920&amp;"")</f>
        <v/>
      </c>
      <c r="AC920" s="37" t="str">
        <f aca="false">IF(AB920="","",IFERROR(INDEX('Account Map'!$B:$B,MATCH(AB920,'Account Map'!$A:$A,0)),""))</f>
        <v/>
      </c>
      <c r="AD920" s="37" t="str">
        <f aca="false">IF(AB920="","",IFERROR(INDEX('Account Map'!$C:$C,MATCH(AB920,'Account Map'!$A:$A,0)),""))</f>
        <v/>
      </c>
      <c r="AE920" s="37" t="n">
        <f aca="false">IF(AND(AB920&lt;&gt;"",AC920="",COUNT($B920:$Z920)&gt;0,LEFT(AB920,5)&lt;&gt;"Total",AB920&lt;&gt;"Gross Profit",AB920&lt;&gt;"Net Profit",AB920&lt;&gt;"Operating Profit"),1,0)</f>
        <v>0</v>
      </c>
    </row>
    <row r="921" customFormat="false" ht="15" hidden="false" customHeight="false" outlineLevel="0" collapsed="false">
      <c r="B921" s="44"/>
      <c r="C921" s="44"/>
      <c r="D921" s="44"/>
      <c r="E921" s="44"/>
      <c r="F921" s="44"/>
      <c r="G921" s="44"/>
      <c r="H921" s="44"/>
      <c r="I921" s="44"/>
      <c r="J921" s="44"/>
      <c r="K921" s="44"/>
      <c r="L921" s="44"/>
      <c r="M921" s="44"/>
      <c r="N921" s="44"/>
      <c r="O921" s="44"/>
      <c r="P921" s="44"/>
      <c r="Q921" s="44"/>
      <c r="R921" s="44"/>
      <c r="S921" s="44"/>
      <c r="T921" s="44"/>
      <c r="U921" s="44"/>
      <c r="V921" s="44"/>
      <c r="W921" s="44"/>
      <c r="X921" s="44"/>
      <c r="Y921" s="44"/>
      <c r="Z921" s="44"/>
      <c r="AB921" s="37" t="str">
        <f aca="false">TRIM($A921&amp;"")</f>
        <v/>
      </c>
      <c r="AC921" s="37" t="str">
        <f aca="false">IF(AB921="","",IFERROR(INDEX('Account Map'!$B:$B,MATCH(AB921,'Account Map'!$A:$A,0)),""))</f>
        <v/>
      </c>
      <c r="AD921" s="37" t="str">
        <f aca="false">IF(AB921="","",IFERROR(INDEX('Account Map'!$C:$C,MATCH(AB921,'Account Map'!$A:$A,0)),""))</f>
        <v/>
      </c>
      <c r="AE921" s="37" t="n">
        <f aca="false">IF(AND(AB921&lt;&gt;"",AC921="",COUNT($B921:$Z921)&gt;0,LEFT(AB921,5)&lt;&gt;"Total",AB921&lt;&gt;"Gross Profit",AB921&lt;&gt;"Net Profit",AB921&lt;&gt;"Operating Profit"),1,0)</f>
        <v>0</v>
      </c>
    </row>
    <row r="922" customFormat="false" ht="15" hidden="false" customHeight="false" outlineLevel="0" collapsed="false">
      <c r="B922" s="44"/>
      <c r="C922" s="44"/>
      <c r="D922" s="44"/>
      <c r="E922" s="44"/>
      <c r="F922" s="44"/>
      <c r="G922" s="44"/>
      <c r="H922" s="44"/>
      <c r="I922" s="44"/>
      <c r="J922" s="44"/>
      <c r="K922" s="44"/>
      <c r="L922" s="44"/>
      <c r="M922" s="44"/>
      <c r="N922" s="44"/>
      <c r="O922" s="44"/>
      <c r="P922" s="44"/>
      <c r="Q922" s="44"/>
      <c r="R922" s="44"/>
      <c r="S922" s="44"/>
      <c r="T922" s="44"/>
      <c r="U922" s="44"/>
      <c r="V922" s="44"/>
      <c r="W922" s="44"/>
      <c r="X922" s="44"/>
      <c r="Y922" s="44"/>
      <c r="Z922" s="44"/>
      <c r="AB922" s="37" t="str">
        <f aca="false">TRIM($A922&amp;"")</f>
        <v/>
      </c>
      <c r="AC922" s="37" t="str">
        <f aca="false">IF(AB922="","",IFERROR(INDEX('Account Map'!$B:$B,MATCH(AB922,'Account Map'!$A:$A,0)),""))</f>
        <v/>
      </c>
      <c r="AD922" s="37" t="str">
        <f aca="false">IF(AB922="","",IFERROR(INDEX('Account Map'!$C:$C,MATCH(AB922,'Account Map'!$A:$A,0)),""))</f>
        <v/>
      </c>
      <c r="AE922" s="37" t="n">
        <f aca="false">IF(AND(AB922&lt;&gt;"",AC922="",COUNT($B922:$Z922)&gt;0,LEFT(AB922,5)&lt;&gt;"Total",AB922&lt;&gt;"Gross Profit",AB922&lt;&gt;"Net Profit",AB922&lt;&gt;"Operating Profit"),1,0)</f>
        <v>0</v>
      </c>
    </row>
    <row r="923" customFormat="false" ht="15" hidden="false" customHeight="false" outlineLevel="0" collapsed="false">
      <c r="B923" s="44"/>
      <c r="C923" s="44"/>
      <c r="D923" s="44"/>
      <c r="E923" s="44"/>
      <c r="F923" s="44"/>
      <c r="G923" s="44"/>
      <c r="H923" s="44"/>
      <c r="I923" s="44"/>
      <c r="J923" s="44"/>
      <c r="K923" s="44"/>
      <c r="L923" s="44"/>
      <c r="M923" s="44"/>
      <c r="N923" s="44"/>
      <c r="O923" s="44"/>
      <c r="P923" s="44"/>
      <c r="Q923" s="44"/>
      <c r="R923" s="44"/>
      <c r="S923" s="44"/>
      <c r="T923" s="44"/>
      <c r="U923" s="44"/>
      <c r="V923" s="44"/>
      <c r="W923" s="44"/>
      <c r="X923" s="44"/>
      <c r="Y923" s="44"/>
      <c r="Z923" s="44"/>
      <c r="AB923" s="37" t="str">
        <f aca="false">TRIM($A923&amp;"")</f>
        <v/>
      </c>
      <c r="AC923" s="37" t="str">
        <f aca="false">IF(AB923="","",IFERROR(INDEX('Account Map'!$B:$B,MATCH(AB923,'Account Map'!$A:$A,0)),""))</f>
        <v/>
      </c>
      <c r="AD923" s="37" t="str">
        <f aca="false">IF(AB923="","",IFERROR(INDEX('Account Map'!$C:$C,MATCH(AB923,'Account Map'!$A:$A,0)),""))</f>
        <v/>
      </c>
      <c r="AE923" s="37" t="n">
        <f aca="false">IF(AND(AB923&lt;&gt;"",AC923="",COUNT($B923:$Z923)&gt;0,LEFT(AB923,5)&lt;&gt;"Total",AB923&lt;&gt;"Gross Profit",AB923&lt;&gt;"Net Profit",AB923&lt;&gt;"Operating Profit"),1,0)</f>
        <v>0</v>
      </c>
    </row>
    <row r="924" customFormat="false" ht="15" hidden="false" customHeight="false" outlineLevel="0" collapsed="false">
      <c r="B924" s="44"/>
      <c r="C924" s="44"/>
      <c r="D924" s="44"/>
      <c r="E924" s="44"/>
      <c r="F924" s="44"/>
      <c r="G924" s="44"/>
      <c r="H924" s="44"/>
      <c r="I924" s="44"/>
      <c r="J924" s="44"/>
      <c r="K924" s="44"/>
      <c r="L924" s="44"/>
      <c r="M924" s="44"/>
      <c r="N924" s="44"/>
      <c r="O924" s="44"/>
      <c r="P924" s="44"/>
      <c r="Q924" s="44"/>
      <c r="R924" s="44"/>
      <c r="S924" s="44"/>
      <c r="T924" s="44"/>
      <c r="U924" s="44"/>
      <c r="V924" s="44"/>
      <c r="W924" s="44"/>
      <c r="X924" s="44"/>
      <c r="Y924" s="44"/>
      <c r="Z924" s="44"/>
      <c r="AB924" s="37" t="str">
        <f aca="false">TRIM($A924&amp;"")</f>
        <v/>
      </c>
      <c r="AC924" s="37" t="str">
        <f aca="false">IF(AB924="","",IFERROR(INDEX('Account Map'!$B:$B,MATCH(AB924,'Account Map'!$A:$A,0)),""))</f>
        <v/>
      </c>
      <c r="AD924" s="37" t="str">
        <f aca="false">IF(AB924="","",IFERROR(INDEX('Account Map'!$C:$C,MATCH(AB924,'Account Map'!$A:$A,0)),""))</f>
        <v/>
      </c>
      <c r="AE924" s="37" t="n">
        <f aca="false">IF(AND(AB924&lt;&gt;"",AC924="",COUNT($B924:$Z924)&gt;0,LEFT(AB924,5)&lt;&gt;"Total",AB924&lt;&gt;"Gross Profit",AB924&lt;&gt;"Net Profit",AB924&lt;&gt;"Operating Profit"),1,0)</f>
        <v>0</v>
      </c>
    </row>
    <row r="925" customFormat="false" ht="15" hidden="false" customHeight="false" outlineLevel="0" collapsed="false">
      <c r="B925" s="44"/>
      <c r="C925" s="44"/>
      <c r="D925" s="44"/>
      <c r="E925" s="44"/>
      <c r="F925" s="44"/>
      <c r="G925" s="44"/>
      <c r="H925" s="44"/>
      <c r="I925" s="44"/>
      <c r="J925" s="44"/>
      <c r="K925" s="44"/>
      <c r="L925" s="44"/>
      <c r="M925" s="44"/>
      <c r="N925" s="44"/>
      <c r="O925" s="44"/>
      <c r="P925" s="44"/>
      <c r="Q925" s="44"/>
      <c r="R925" s="44"/>
      <c r="S925" s="44"/>
      <c r="T925" s="44"/>
      <c r="U925" s="44"/>
      <c r="V925" s="44"/>
      <c r="W925" s="44"/>
      <c r="X925" s="44"/>
      <c r="Y925" s="44"/>
      <c r="Z925" s="44"/>
      <c r="AB925" s="37" t="str">
        <f aca="false">TRIM($A925&amp;"")</f>
        <v/>
      </c>
      <c r="AC925" s="37" t="str">
        <f aca="false">IF(AB925="","",IFERROR(INDEX('Account Map'!$B:$B,MATCH(AB925,'Account Map'!$A:$A,0)),""))</f>
        <v/>
      </c>
      <c r="AD925" s="37" t="str">
        <f aca="false">IF(AB925="","",IFERROR(INDEX('Account Map'!$C:$C,MATCH(AB925,'Account Map'!$A:$A,0)),""))</f>
        <v/>
      </c>
      <c r="AE925" s="37" t="n">
        <f aca="false">IF(AND(AB925&lt;&gt;"",AC925="",COUNT($B925:$Z925)&gt;0,LEFT(AB925,5)&lt;&gt;"Total",AB925&lt;&gt;"Gross Profit",AB925&lt;&gt;"Net Profit",AB925&lt;&gt;"Operating Profit"),1,0)</f>
        <v>0</v>
      </c>
    </row>
    <row r="926" customFormat="false" ht="15" hidden="false" customHeight="false" outlineLevel="0" collapsed="false">
      <c r="B926" s="44"/>
      <c r="C926" s="44"/>
      <c r="D926" s="44"/>
      <c r="E926" s="44"/>
      <c r="F926" s="44"/>
      <c r="G926" s="44"/>
      <c r="H926" s="44"/>
      <c r="I926" s="44"/>
      <c r="J926" s="44"/>
      <c r="K926" s="44"/>
      <c r="L926" s="44"/>
      <c r="M926" s="44"/>
      <c r="N926" s="44"/>
      <c r="O926" s="44"/>
      <c r="P926" s="44"/>
      <c r="Q926" s="44"/>
      <c r="R926" s="44"/>
      <c r="S926" s="44"/>
      <c r="T926" s="44"/>
      <c r="U926" s="44"/>
      <c r="V926" s="44"/>
      <c r="W926" s="44"/>
      <c r="X926" s="44"/>
      <c r="Y926" s="44"/>
      <c r="Z926" s="44"/>
      <c r="AB926" s="37" t="str">
        <f aca="false">TRIM($A926&amp;"")</f>
        <v/>
      </c>
      <c r="AC926" s="37" t="str">
        <f aca="false">IF(AB926="","",IFERROR(INDEX('Account Map'!$B:$B,MATCH(AB926,'Account Map'!$A:$A,0)),""))</f>
        <v/>
      </c>
      <c r="AD926" s="37" t="str">
        <f aca="false">IF(AB926="","",IFERROR(INDEX('Account Map'!$C:$C,MATCH(AB926,'Account Map'!$A:$A,0)),""))</f>
        <v/>
      </c>
      <c r="AE926" s="37" t="n">
        <f aca="false">IF(AND(AB926&lt;&gt;"",AC926="",COUNT($B926:$Z926)&gt;0,LEFT(AB926,5)&lt;&gt;"Total",AB926&lt;&gt;"Gross Profit",AB926&lt;&gt;"Net Profit",AB926&lt;&gt;"Operating Profit"),1,0)</f>
        <v>0</v>
      </c>
    </row>
    <row r="927" customFormat="false" ht="15" hidden="false" customHeight="false" outlineLevel="0" collapsed="false">
      <c r="B927" s="44"/>
      <c r="C927" s="44"/>
      <c r="D927" s="44"/>
      <c r="E927" s="44"/>
      <c r="F927" s="44"/>
      <c r="G927" s="44"/>
      <c r="H927" s="44"/>
      <c r="I927" s="44"/>
      <c r="J927" s="44"/>
      <c r="K927" s="44"/>
      <c r="L927" s="44"/>
      <c r="M927" s="44"/>
      <c r="N927" s="44"/>
      <c r="O927" s="44"/>
      <c r="P927" s="44"/>
      <c r="Q927" s="44"/>
      <c r="R927" s="44"/>
      <c r="S927" s="44"/>
      <c r="T927" s="44"/>
      <c r="U927" s="44"/>
      <c r="V927" s="44"/>
      <c r="W927" s="44"/>
      <c r="X927" s="44"/>
      <c r="Y927" s="44"/>
      <c r="Z927" s="44"/>
      <c r="AB927" s="37" t="str">
        <f aca="false">TRIM($A927&amp;"")</f>
        <v/>
      </c>
      <c r="AC927" s="37" t="str">
        <f aca="false">IF(AB927="","",IFERROR(INDEX('Account Map'!$B:$B,MATCH(AB927,'Account Map'!$A:$A,0)),""))</f>
        <v/>
      </c>
      <c r="AD927" s="37" t="str">
        <f aca="false">IF(AB927="","",IFERROR(INDEX('Account Map'!$C:$C,MATCH(AB927,'Account Map'!$A:$A,0)),""))</f>
        <v/>
      </c>
      <c r="AE927" s="37" t="n">
        <f aca="false">IF(AND(AB927&lt;&gt;"",AC927="",COUNT($B927:$Z927)&gt;0,LEFT(AB927,5)&lt;&gt;"Total",AB927&lt;&gt;"Gross Profit",AB927&lt;&gt;"Net Profit",AB927&lt;&gt;"Operating Profit"),1,0)</f>
        <v>0</v>
      </c>
    </row>
    <row r="928" customFormat="false" ht="15" hidden="false" customHeight="false" outlineLevel="0" collapsed="false">
      <c r="B928" s="44"/>
      <c r="C928" s="44"/>
      <c r="D928" s="44"/>
      <c r="E928" s="44"/>
      <c r="F928" s="44"/>
      <c r="G928" s="44"/>
      <c r="H928" s="44"/>
      <c r="I928" s="44"/>
      <c r="J928" s="44"/>
      <c r="K928" s="44"/>
      <c r="L928" s="44"/>
      <c r="M928" s="44"/>
      <c r="N928" s="44"/>
      <c r="O928" s="44"/>
      <c r="P928" s="44"/>
      <c r="Q928" s="44"/>
      <c r="R928" s="44"/>
      <c r="S928" s="44"/>
      <c r="T928" s="44"/>
      <c r="U928" s="44"/>
      <c r="V928" s="44"/>
      <c r="W928" s="44"/>
      <c r="X928" s="44"/>
      <c r="Y928" s="44"/>
      <c r="Z928" s="44"/>
      <c r="AB928" s="37" t="str">
        <f aca="false">TRIM($A928&amp;"")</f>
        <v/>
      </c>
      <c r="AC928" s="37" t="str">
        <f aca="false">IF(AB928="","",IFERROR(INDEX('Account Map'!$B:$B,MATCH(AB928,'Account Map'!$A:$A,0)),""))</f>
        <v/>
      </c>
      <c r="AD928" s="37" t="str">
        <f aca="false">IF(AB928="","",IFERROR(INDEX('Account Map'!$C:$C,MATCH(AB928,'Account Map'!$A:$A,0)),""))</f>
        <v/>
      </c>
      <c r="AE928" s="37" t="n">
        <f aca="false">IF(AND(AB928&lt;&gt;"",AC928="",COUNT($B928:$Z928)&gt;0,LEFT(AB928,5)&lt;&gt;"Total",AB928&lt;&gt;"Gross Profit",AB928&lt;&gt;"Net Profit",AB928&lt;&gt;"Operating Profit"),1,0)</f>
        <v>0</v>
      </c>
    </row>
    <row r="929" customFormat="false" ht="15" hidden="false" customHeight="false" outlineLevel="0" collapsed="false">
      <c r="B929" s="44"/>
      <c r="C929" s="44"/>
      <c r="D929" s="44"/>
      <c r="E929" s="44"/>
      <c r="F929" s="44"/>
      <c r="G929" s="44"/>
      <c r="H929" s="44"/>
      <c r="I929" s="44"/>
      <c r="J929" s="44"/>
      <c r="K929" s="44"/>
      <c r="L929" s="44"/>
      <c r="M929" s="44"/>
      <c r="N929" s="44"/>
      <c r="O929" s="44"/>
      <c r="P929" s="44"/>
      <c r="Q929" s="44"/>
      <c r="R929" s="44"/>
      <c r="S929" s="44"/>
      <c r="T929" s="44"/>
      <c r="U929" s="44"/>
      <c r="V929" s="44"/>
      <c r="W929" s="44"/>
      <c r="X929" s="44"/>
      <c r="Y929" s="44"/>
      <c r="Z929" s="44"/>
      <c r="AB929" s="37" t="str">
        <f aca="false">TRIM($A929&amp;"")</f>
        <v/>
      </c>
      <c r="AC929" s="37" t="str">
        <f aca="false">IF(AB929="","",IFERROR(INDEX('Account Map'!$B:$B,MATCH(AB929,'Account Map'!$A:$A,0)),""))</f>
        <v/>
      </c>
      <c r="AD929" s="37" t="str">
        <f aca="false">IF(AB929="","",IFERROR(INDEX('Account Map'!$C:$C,MATCH(AB929,'Account Map'!$A:$A,0)),""))</f>
        <v/>
      </c>
      <c r="AE929" s="37" t="n">
        <f aca="false">IF(AND(AB929&lt;&gt;"",AC929="",COUNT($B929:$Z929)&gt;0,LEFT(AB929,5)&lt;&gt;"Total",AB929&lt;&gt;"Gross Profit",AB929&lt;&gt;"Net Profit",AB929&lt;&gt;"Operating Profit"),1,0)</f>
        <v>0</v>
      </c>
    </row>
    <row r="930" customFormat="false" ht="15" hidden="false" customHeight="false" outlineLevel="0" collapsed="false">
      <c r="B930" s="44"/>
      <c r="C930" s="44"/>
      <c r="D930" s="44"/>
      <c r="E930" s="44"/>
      <c r="F930" s="44"/>
      <c r="G930" s="44"/>
      <c r="H930" s="44"/>
      <c r="I930" s="44"/>
      <c r="J930" s="44"/>
      <c r="K930" s="44"/>
      <c r="L930" s="44"/>
      <c r="M930" s="44"/>
      <c r="N930" s="44"/>
      <c r="O930" s="44"/>
      <c r="P930" s="44"/>
      <c r="Q930" s="44"/>
      <c r="R930" s="44"/>
      <c r="S930" s="44"/>
      <c r="T930" s="44"/>
      <c r="U930" s="44"/>
      <c r="V930" s="44"/>
      <c r="W930" s="44"/>
      <c r="X930" s="44"/>
      <c r="Y930" s="44"/>
      <c r="Z930" s="44"/>
      <c r="AB930" s="37" t="str">
        <f aca="false">TRIM($A930&amp;"")</f>
        <v/>
      </c>
      <c r="AC930" s="37" t="str">
        <f aca="false">IF(AB930="","",IFERROR(INDEX('Account Map'!$B:$B,MATCH(AB930,'Account Map'!$A:$A,0)),""))</f>
        <v/>
      </c>
      <c r="AD930" s="37" t="str">
        <f aca="false">IF(AB930="","",IFERROR(INDEX('Account Map'!$C:$C,MATCH(AB930,'Account Map'!$A:$A,0)),""))</f>
        <v/>
      </c>
      <c r="AE930" s="37" t="n">
        <f aca="false">IF(AND(AB930&lt;&gt;"",AC930="",COUNT($B930:$Z930)&gt;0,LEFT(AB930,5)&lt;&gt;"Total",AB930&lt;&gt;"Gross Profit",AB930&lt;&gt;"Net Profit",AB930&lt;&gt;"Operating Profit"),1,0)</f>
        <v>0</v>
      </c>
    </row>
    <row r="931" customFormat="false" ht="15" hidden="false" customHeight="false" outlineLevel="0" collapsed="false">
      <c r="B931" s="44"/>
      <c r="C931" s="44"/>
      <c r="D931" s="44"/>
      <c r="E931" s="44"/>
      <c r="F931" s="44"/>
      <c r="G931" s="44"/>
      <c r="H931" s="44"/>
      <c r="I931" s="44"/>
      <c r="J931" s="44"/>
      <c r="K931" s="44"/>
      <c r="L931" s="44"/>
      <c r="M931" s="44"/>
      <c r="N931" s="44"/>
      <c r="O931" s="44"/>
      <c r="P931" s="44"/>
      <c r="Q931" s="44"/>
      <c r="R931" s="44"/>
      <c r="S931" s="44"/>
      <c r="T931" s="44"/>
      <c r="U931" s="44"/>
      <c r="V931" s="44"/>
      <c r="W931" s="44"/>
      <c r="X931" s="44"/>
      <c r="Y931" s="44"/>
      <c r="Z931" s="44"/>
      <c r="AB931" s="37" t="str">
        <f aca="false">TRIM($A931&amp;"")</f>
        <v/>
      </c>
      <c r="AC931" s="37" t="str">
        <f aca="false">IF(AB931="","",IFERROR(INDEX('Account Map'!$B:$B,MATCH(AB931,'Account Map'!$A:$A,0)),""))</f>
        <v/>
      </c>
      <c r="AD931" s="37" t="str">
        <f aca="false">IF(AB931="","",IFERROR(INDEX('Account Map'!$C:$C,MATCH(AB931,'Account Map'!$A:$A,0)),""))</f>
        <v/>
      </c>
      <c r="AE931" s="37" t="n">
        <f aca="false">IF(AND(AB931&lt;&gt;"",AC931="",COUNT($B931:$Z931)&gt;0,LEFT(AB931,5)&lt;&gt;"Total",AB931&lt;&gt;"Gross Profit",AB931&lt;&gt;"Net Profit",AB931&lt;&gt;"Operating Profit"),1,0)</f>
        <v>0</v>
      </c>
    </row>
    <row r="932" customFormat="false" ht="15" hidden="false" customHeight="false" outlineLevel="0" collapsed="false">
      <c r="B932" s="44"/>
      <c r="C932" s="44"/>
      <c r="D932" s="44"/>
      <c r="E932" s="44"/>
      <c r="F932" s="44"/>
      <c r="G932" s="44"/>
      <c r="H932" s="44"/>
      <c r="I932" s="44"/>
      <c r="J932" s="44"/>
      <c r="K932" s="44"/>
      <c r="L932" s="44"/>
      <c r="M932" s="44"/>
      <c r="N932" s="44"/>
      <c r="O932" s="44"/>
      <c r="P932" s="44"/>
      <c r="Q932" s="44"/>
      <c r="R932" s="44"/>
      <c r="S932" s="44"/>
      <c r="T932" s="44"/>
      <c r="U932" s="44"/>
      <c r="V932" s="44"/>
      <c r="W932" s="44"/>
      <c r="X932" s="44"/>
      <c r="Y932" s="44"/>
      <c r="Z932" s="44"/>
      <c r="AB932" s="37" t="str">
        <f aca="false">TRIM($A932&amp;"")</f>
        <v/>
      </c>
      <c r="AC932" s="37" t="str">
        <f aca="false">IF(AB932="","",IFERROR(INDEX('Account Map'!$B:$B,MATCH(AB932,'Account Map'!$A:$A,0)),""))</f>
        <v/>
      </c>
      <c r="AD932" s="37" t="str">
        <f aca="false">IF(AB932="","",IFERROR(INDEX('Account Map'!$C:$C,MATCH(AB932,'Account Map'!$A:$A,0)),""))</f>
        <v/>
      </c>
      <c r="AE932" s="37" t="n">
        <f aca="false">IF(AND(AB932&lt;&gt;"",AC932="",COUNT($B932:$Z932)&gt;0,LEFT(AB932,5)&lt;&gt;"Total",AB932&lt;&gt;"Gross Profit",AB932&lt;&gt;"Net Profit",AB932&lt;&gt;"Operating Profit"),1,0)</f>
        <v>0</v>
      </c>
    </row>
    <row r="933" customFormat="false" ht="15" hidden="false" customHeight="false" outlineLevel="0" collapsed="false">
      <c r="B933" s="44"/>
      <c r="C933" s="44"/>
      <c r="D933" s="44"/>
      <c r="E933" s="44"/>
      <c r="F933" s="44"/>
      <c r="G933" s="44"/>
      <c r="H933" s="44"/>
      <c r="I933" s="44"/>
      <c r="J933" s="44"/>
      <c r="K933" s="44"/>
      <c r="L933" s="44"/>
      <c r="M933" s="44"/>
      <c r="N933" s="44"/>
      <c r="O933" s="44"/>
      <c r="P933" s="44"/>
      <c r="Q933" s="44"/>
      <c r="R933" s="44"/>
      <c r="S933" s="44"/>
      <c r="T933" s="44"/>
      <c r="U933" s="44"/>
      <c r="V933" s="44"/>
      <c r="W933" s="44"/>
      <c r="X933" s="44"/>
      <c r="Y933" s="44"/>
      <c r="Z933" s="44"/>
      <c r="AB933" s="37" t="str">
        <f aca="false">TRIM($A933&amp;"")</f>
        <v/>
      </c>
      <c r="AC933" s="37" t="str">
        <f aca="false">IF(AB933="","",IFERROR(INDEX('Account Map'!$B:$B,MATCH(AB933,'Account Map'!$A:$A,0)),""))</f>
        <v/>
      </c>
      <c r="AD933" s="37" t="str">
        <f aca="false">IF(AB933="","",IFERROR(INDEX('Account Map'!$C:$C,MATCH(AB933,'Account Map'!$A:$A,0)),""))</f>
        <v/>
      </c>
      <c r="AE933" s="37" t="n">
        <f aca="false">IF(AND(AB933&lt;&gt;"",AC933="",COUNT($B933:$Z933)&gt;0,LEFT(AB933,5)&lt;&gt;"Total",AB933&lt;&gt;"Gross Profit",AB933&lt;&gt;"Net Profit",AB933&lt;&gt;"Operating Profit"),1,0)</f>
        <v>0</v>
      </c>
    </row>
    <row r="934" customFormat="false" ht="15" hidden="false" customHeight="false" outlineLevel="0" collapsed="false">
      <c r="B934" s="44"/>
      <c r="C934" s="44"/>
      <c r="D934" s="44"/>
      <c r="E934" s="44"/>
      <c r="F934" s="44"/>
      <c r="G934" s="44"/>
      <c r="H934" s="44"/>
      <c r="I934" s="44"/>
      <c r="J934" s="44"/>
      <c r="K934" s="44"/>
      <c r="L934" s="44"/>
      <c r="M934" s="44"/>
      <c r="N934" s="44"/>
      <c r="O934" s="44"/>
      <c r="P934" s="44"/>
      <c r="Q934" s="44"/>
      <c r="R934" s="44"/>
      <c r="S934" s="44"/>
      <c r="T934" s="44"/>
      <c r="U934" s="44"/>
      <c r="V934" s="44"/>
      <c r="W934" s="44"/>
      <c r="X934" s="44"/>
      <c r="Y934" s="44"/>
      <c r="Z934" s="44"/>
      <c r="AB934" s="37" t="str">
        <f aca="false">TRIM($A934&amp;"")</f>
        <v/>
      </c>
      <c r="AC934" s="37" t="str">
        <f aca="false">IF(AB934="","",IFERROR(INDEX('Account Map'!$B:$B,MATCH(AB934,'Account Map'!$A:$A,0)),""))</f>
        <v/>
      </c>
      <c r="AD934" s="37" t="str">
        <f aca="false">IF(AB934="","",IFERROR(INDEX('Account Map'!$C:$C,MATCH(AB934,'Account Map'!$A:$A,0)),""))</f>
        <v/>
      </c>
      <c r="AE934" s="37" t="n">
        <f aca="false">IF(AND(AB934&lt;&gt;"",AC934="",COUNT($B934:$Z934)&gt;0,LEFT(AB934,5)&lt;&gt;"Total",AB934&lt;&gt;"Gross Profit",AB934&lt;&gt;"Net Profit",AB934&lt;&gt;"Operating Profit"),1,0)</f>
        <v>0</v>
      </c>
    </row>
    <row r="935" customFormat="false" ht="15" hidden="false" customHeight="false" outlineLevel="0" collapsed="false">
      <c r="B935" s="44"/>
      <c r="C935" s="44"/>
      <c r="D935" s="44"/>
      <c r="E935" s="44"/>
      <c r="F935" s="44"/>
      <c r="G935" s="44"/>
      <c r="H935" s="44"/>
      <c r="I935" s="44"/>
      <c r="J935" s="44"/>
      <c r="K935" s="44"/>
      <c r="L935" s="44"/>
      <c r="M935" s="44"/>
      <c r="N935" s="44"/>
      <c r="O935" s="44"/>
      <c r="P935" s="44"/>
      <c r="Q935" s="44"/>
      <c r="R935" s="44"/>
      <c r="S935" s="44"/>
      <c r="T935" s="44"/>
      <c r="U935" s="44"/>
      <c r="V935" s="44"/>
      <c r="W935" s="44"/>
      <c r="X935" s="44"/>
      <c r="Y935" s="44"/>
      <c r="Z935" s="44"/>
      <c r="AB935" s="37" t="str">
        <f aca="false">TRIM($A935&amp;"")</f>
        <v/>
      </c>
      <c r="AC935" s="37" t="str">
        <f aca="false">IF(AB935="","",IFERROR(INDEX('Account Map'!$B:$B,MATCH(AB935,'Account Map'!$A:$A,0)),""))</f>
        <v/>
      </c>
      <c r="AD935" s="37" t="str">
        <f aca="false">IF(AB935="","",IFERROR(INDEX('Account Map'!$C:$C,MATCH(AB935,'Account Map'!$A:$A,0)),""))</f>
        <v/>
      </c>
      <c r="AE935" s="37" t="n">
        <f aca="false">IF(AND(AB935&lt;&gt;"",AC935="",COUNT($B935:$Z935)&gt;0,LEFT(AB935,5)&lt;&gt;"Total",AB935&lt;&gt;"Gross Profit",AB935&lt;&gt;"Net Profit",AB935&lt;&gt;"Operating Profit"),1,0)</f>
        <v>0</v>
      </c>
    </row>
    <row r="936" customFormat="false" ht="15" hidden="false" customHeight="false" outlineLevel="0" collapsed="false">
      <c r="B936" s="44"/>
      <c r="C936" s="44"/>
      <c r="D936" s="44"/>
      <c r="E936" s="44"/>
      <c r="F936" s="44"/>
      <c r="G936" s="44"/>
      <c r="H936" s="44"/>
      <c r="I936" s="44"/>
      <c r="J936" s="44"/>
      <c r="K936" s="44"/>
      <c r="L936" s="44"/>
      <c r="M936" s="44"/>
      <c r="N936" s="44"/>
      <c r="O936" s="44"/>
      <c r="P936" s="44"/>
      <c r="Q936" s="44"/>
      <c r="R936" s="44"/>
      <c r="S936" s="44"/>
      <c r="T936" s="44"/>
      <c r="U936" s="44"/>
      <c r="V936" s="44"/>
      <c r="W936" s="44"/>
      <c r="X936" s="44"/>
      <c r="Y936" s="44"/>
      <c r="Z936" s="44"/>
      <c r="AB936" s="37" t="str">
        <f aca="false">TRIM($A936&amp;"")</f>
        <v/>
      </c>
      <c r="AC936" s="37" t="str">
        <f aca="false">IF(AB936="","",IFERROR(INDEX('Account Map'!$B:$B,MATCH(AB936,'Account Map'!$A:$A,0)),""))</f>
        <v/>
      </c>
      <c r="AD936" s="37" t="str">
        <f aca="false">IF(AB936="","",IFERROR(INDEX('Account Map'!$C:$C,MATCH(AB936,'Account Map'!$A:$A,0)),""))</f>
        <v/>
      </c>
      <c r="AE936" s="37" t="n">
        <f aca="false">IF(AND(AB936&lt;&gt;"",AC936="",COUNT($B936:$Z936)&gt;0,LEFT(AB936,5)&lt;&gt;"Total",AB936&lt;&gt;"Gross Profit",AB936&lt;&gt;"Net Profit",AB936&lt;&gt;"Operating Profit"),1,0)</f>
        <v>0</v>
      </c>
    </row>
    <row r="937" customFormat="false" ht="15" hidden="false" customHeight="false" outlineLevel="0" collapsed="false">
      <c r="B937" s="44"/>
      <c r="C937" s="44"/>
      <c r="D937" s="44"/>
      <c r="E937" s="44"/>
      <c r="F937" s="44"/>
      <c r="G937" s="44"/>
      <c r="H937" s="44"/>
      <c r="I937" s="44"/>
      <c r="J937" s="44"/>
      <c r="K937" s="44"/>
      <c r="L937" s="44"/>
      <c r="M937" s="44"/>
      <c r="N937" s="44"/>
      <c r="O937" s="44"/>
      <c r="P937" s="44"/>
      <c r="Q937" s="44"/>
      <c r="R937" s="44"/>
      <c r="S937" s="44"/>
      <c r="T937" s="44"/>
      <c r="U937" s="44"/>
      <c r="V937" s="44"/>
      <c r="W937" s="44"/>
      <c r="X937" s="44"/>
      <c r="Y937" s="44"/>
      <c r="Z937" s="44"/>
      <c r="AB937" s="37" t="str">
        <f aca="false">TRIM($A937&amp;"")</f>
        <v/>
      </c>
      <c r="AC937" s="37" t="str">
        <f aca="false">IF(AB937="","",IFERROR(INDEX('Account Map'!$B:$B,MATCH(AB937,'Account Map'!$A:$A,0)),""))</f>
        <v/>
      </c>
      <c r="AD937" s="37" t="str">
        <f aca="false">IF(AB937="","",IFERROR(INDEX('Account Map'!$C:$C,MATCH(AB937,'Account Map'!$A:$A,0)),""))</f>
        <v/>
      </c>
      <c r="AE937" s="37" t="n">
        <f aca="false">IF(AND(AB937&lt;&gt;"",AC937="",COUNT($B937:$Z937)&gt;0,LEFT(AB937,5)&lt;&gt;"Total",AB937&lt;&gt;"Gross Profit",AB937&lt;&gt;"Net Profit",AB937&lt;&gt;"Operating Profit"),1,0)</f>
        <v>0</v>
      </c>
    </row>
    <row r="938" customFormat="false" ht="15" hidden="false" customHeight="false" outlineLevel="0" collapsed="false">
      <c r="B938" s="44"/>
      <c r="C938" s="44"/>
      <c r="D938" s="44"/>
      <c r="E938" s="44"/>
      <c r="F938" s="44"/>
      <c r="G938" s="44"/>
      <c r="H938" s="44"/>
      <c r="I938" s="44"/>
      <c r="J938" s="44"/>
      <c r="K938" s="44"/>
      <c r="L938" s="44"/>
      <c r="M938" s="44"/>
      <c r="N938" s="44"/>
      <c r="O938" s="44"/>
      <c r="P938" s="44"/>
      <c r="Q938" s="44"/>
      <c r="R938" s="44"/>
      <c r="S938" s="44"/>
      <c r="T938" s="44"/>
      <c r="U938" s="44"/>
      <c r="V938" s="44"/>
      <c r="W938" s="44"/>
      <c r="X938" s="44"/>
      <c r="Y938" s="44"/>
      <c r="Z938" s="44"/>
      <c r="AB938" s="37" t="str">
        <f aca="false">TRIM($A938&amp;"")</f>
        <v/>
      </c>
      <c r="AC938" s="37" t="str">
        <f aca="false">IF(AB938="","",IFERROR(INDEX('Account Map'!$B:$B,MATCH(AB938,'Account Map'!$A:$A,0)),""))</f>
        <v/>
      </c>
      <c r="AD938" s="37" t="str">
        <f aca="false">IF(AB938="","",IFERROR(INDEX('Account Map'!$C:$C,MATCH(AB938,'Account Map'!$A:$A,0)),""))</f>
        <v/>
      </c>
      <c r="AE938" s="37" t="n">
        <f aca="false">IF(AND(AB938&lt;&gt;"",AC938="",COUNT($B938:$Z938)&gt;0,LEFT(AB938,5)&lt;&gt;"Total",AB938&lt;&gt;"Gross Profit",AB938&lt;&gt;"Net Profit",AB938&lt;&gt;"Operating Profit"),1,0)</f>
        <v>0</v>
      </c>
    </row>
    <row r="939" customFormat="false" ht="15" hidden="false" customHeight="false" outlineLevel="0" collapsed="false">
      <c r="B939" s="44"/>
      <c r="C939" s="44"/>
      <c r="D939" s="44"/>
      <c r="E939" s="44"/>
      <c r="F939" s="44"/>
      <c r="G939" s="44"/>
      <c r="H939" s="44"/>
      <c r="I939" s="44"/>
      <c r="J939" s="44"/>
      <c r="K939" s="44"/>
      <c r="L939" s="44"/>
      <c r="M939" s="44"/>
      <c r="N939" s="44"/>
      <c r="O939" s="44"/>
      <c r="P939" s="44"/>
      <c r="Q939" s="44"/>
      <c r="R939" s="44"/>
      <c r="S939" s="44"/>
      <c r="T939" s="44"/>
      <c r="U939" s="44"/>
      <c r="V939" s="44"/>
      <c r="W939" s="44"/>
      <c r="X939" s="44"/>
      <c r="Y939" s="44"/>
      <c r="Z939" s="44"/>
      <c r="AB939" s="37" t="str">
        <f aca="false">TRIM($A939&amp;"")</f>
        <v/>
      </c>
      <c r="AC939" s="37" t="str">
        <f aca="false">IF(AB939="","",IFERROR(INDEX('Account Map'!$B:$B,MATCH(AB939,'Account Map'!$A:$A,0)),""))</f>
        <v/>
      </c>
      <c r="AD939" s="37" t="str">
        <f aca="false">IF(AB939="","",IFERROR(INDEX('Account Map'!$C:$C,MATCH(AB939,'Account Map'!$A:$A,0)),""))</f>
        <v/>
      </c>
      <c r="AE939" s="37" t="n">
        <f aca="false">IF(AND(AB939&lt;&gt;"",AC939="",COUNT($B939:$Z939)&gt;0,LEFT(AB939,5)&lt;&gt;"Total",AB939&lt;&gt;"Gross Profit",AB939&lt;&gt;"Net Profit",AB939&lt;&gt;"Operating Profit"),1,0)</f>
        <v>0</v>
      </c>
    </row>
    <row r="940" customFormat="false" ht="15" hidden="false" customHeight="false" outlineLevel="0" collapsed="false">
      <c r="B940" s="44"/>
      <c r="C940" s="44"/>
      <c r="D940" s="44"/>
      <c r="E940" s="44"/>
      <c r="F940" s="44"/>
      <c r="G940" s="44"/>
      <c r="H940" s="44"/>
      <c r="I940" s="44"/>
      <c r="J940" s="44"/>
      <c r="K940" s="44"/>
      <c r="L940" s="44"/>
      <c r="M940" s="44"/>
      <c r="N940" s="44"/>
      <c r="O940" s="44"/>
      <c r="P940" s="44"/>
      <c r="Q940" s="44"/>
      <c r="R940" s="44"/>
      <c r="S940" s="44"/>
      <c r="T940" s="44"/>
      <c r="U940" s="44"/>
      <c r="V940" s="44"/>
      <c r="W940" s="44"/>
      <c r="X940" s="44"/>
      <c r="Y940" s="44"/>
      <c r="Z940" s="44"/>
      <c r="AB940" s="37" t="str">
        <f aca="false">TRIM($A940&amp;"")</f>
        <v/>
      </c>
      <c r="AC940" s="37" t="str">
        <f aca="false">IF(AB940="","",IFERROR(INDEX('Account Map'!$B:$B,MATCH(AB940,'Account Map'!$A:$A,0)),""))</f>
        <v/>
      </c>
      <c r="AD940" s="37" t="str">
        <f aca="false">IF(AB940="","",IFERROR(INDEX('Account Map'!$C:$C,MATCH(AB940,'Account Map'!$A:$A,0)),""))</f>
        <v/>
      </c>
      <c r="AE940" s="37" t="n">
        <f aca="false">IF(AND(AB940&lt;&gt;"",AC940="",COUNT($B940:$Z940)&gt;0,LEFT(AB940,5)&lt;&gt;"Total",AB940&lt;&gt;"Gross Profit",AB940&lt;&gt;"Net Profit",AB940&lt;&gt;"Operating Profit"),1,0)</f>
        <v>0</v>
      </c>
    </row>
    <row r="941" customFormat="false" ht="15" hidden="false" customHeight="false" outlineLevel="0" collapsed="false">
      <c r="B941" s="44"/>
      <c r="C941" s="44"/>
      <c r="D941" s="44"/>
      <c r="E941" s="44"/>
      <c r="F941" s="44"/>
      <c r="G941" s="44"/>
      <c r="H941" s="44"/>
      <c r="I941" s="44"/>
      <c r="J941" s="44"/>
      <c r="K941" s="44"/>
      <c r="L941" s="44"/>
      <c r="M941" s="44"/>
      <c r="N941" s="44"/>
      <c r="O941" s="44"/>
      <c r="P941" s="44"/>
      <c r="Q941" s="44"/>
      <c r="R941" s="44"/>
      <c r="S941" s="44"/>
      <c r="T941" s="44"/>
      <c r="U941" s="44"/>
      <c r="V941" s="44"/>
      <c r="W941" s="44"/>
      <c r="X941" s="44"/>
      <c r="Y941" s="44"/>
      <c r="Z941" s="44"/>
      <c r="AB941" s="37" t="str">
        <f aca="false">TRIM($A941&amp;"")</f>
        <v/>
      </c>
      <c r="AC941" s="37" t="str">
        <f aca="false">IF(AB941="","",IFERROR(INDEX('Account Map'!$B:$B,MATCH(AB941,'Account Map'!$A:$A,0)),""))</f>
        <v/>
      </c>
      <c r="AD941" s="37" t="str">
        <f aca="false">IF(AB941="","",IFERROR(INDEX('Account Map'!$C:$C,MATCH(AB941,'Account Map'!$A:$A,0)),""))</f>
        <v/>
      </c>
      <c r="AE941" s="37" t="n">
        <f aca="false">IF(AND(AB941&lt;&gt;"",AC941="",COUNT($B941:$Z941)&gt;0,LEFT(AB941,5)&lt;&gt;"Total",AB941&lt;&gt;"Gross Profit",AB941&lt;&gt;"Net Profit",AB941&lt;&gt;"Operating Profit"),1,0)</f>
        <v>0</v>
      </c>
    </row>
    <row r="942" customFormat="false" ht="15" hidden="false" customHeight="false" outlineLevel="0" collapsed="false">
      <c r="B942" s="44"/>
      <c r="C942" s="44"/>
      <c r="D942" s="44"/>
      <c r="E942" s="44"/>
      <c r="F942" s="44"/>
      <c r="G942" s="44"/>
      <c r="H942" s="44"/>
      <c r="I942" s="44"/>
      <c r="J942" s="44"/>
      <c r="K942" s="44"/>
      <c r="L942" s="44"/>
      <c r="M942" s="44"/>
      <c r="N942" s="44"/>
      <c r="O942" s="44"/>
      <c r="P942" s="44"/>
      <c r="Q942" s="44"/>
      <c r="R942" s="44"/>
      <c r="S942" s="44"/>
      <c r="T942" s="44"/>
      <c r="U942" s="44"/>
      <c r="V942" s="44"/>
      <c r="W942" s="44"/>
      <c r="X942" s="44"/>
      <c r="Y942" s="44"/>
      <c r="Z942" s="44"/>
      <c r="AB942" s="37" t="str">
        <f aca="false">TRIM($A942&amp;"")</f>
        <v/>
      </c>
      <c r="AC942" s="37" t="str">
        <f aca="false">IF(AB942="","",IFERROR(INDEX('Account Map'!$B:$B,MATCH(AB942,'Account Map'!$A:$A,0)),""))</f>
        <v/>
      </c>
      <c r="AD942" s="37" t="str">
        <f aca="false">IF(AB942="","",IFERROR(INDEX('Account Map'!$C:$C,MATCH(AB942,'Account Map'!$A:$A,0)),""))</f>
        <v/>
      </c>
      <c r="AE942" s="37" t="n">
        <f aca="false">IF(AND(AB942&lt;&gt;"",AC942="",COUNT($B942:$Z942)&gt;0,LEFT(AB942,5)&lt;&gt;"Total",AB942&lt;&gt;"Gross Profit",AB942&lt;&gt;"Net Profit",AB942&lt;&gt;"Operating Profit"),1,0)</f>
        <v>0</v>
      </c>
    </row>
    <row r="943" customFormat="false" ht="15" hidden="false" customHeight="false" outlineLevel="0" collapsed="false">
      <c r="B943" s="44"/>
      <c r="C943" s="44"/>
      <c r="D943" s="44"/>
      <c r="E943" s="44"/>
      <c r="F943" s="44"/>
      <c r="G943" s="44"/>
      <c r="H943" s="44"/>
      <c r="I943" s="44"/>
      <c r="J943" s="44"/>
      <c r="K943" s="44"/>
      <c r="L943" s="44"/>
      <c r="M943" s="44"/>
      <c r="N943" s="44"/>
      <c r="O943" s="44"/>
      <c r="P943" s="44"/>
      <c r="Q943" s="44"/>
      <c r="R943" s="44"/>
      <c r="S943" s="44"/>
      <c r="T943" s="44"/>
      <c r="U943" s="44"/>
      <c r="V943" s="44"/>
      <c r="W943" s="44"/>
      <c r="X943" s="44"/>
      <c r="Y943" s="44"/>
      <c r="Z943" s="44"/>
      <c r="AB943" s="37" t="str">
        <f aca="false">TRIM($A943&amp;"")</f>
        <v/>
      </c>
      <c r="AC943" s="37" t="str">
        <f aca="false">IF(AB943="","",IFERROR(INDEX('Account Map'!$B:$B,MATCH(AB943,'Account Map'!$A:$A,0)),""))</f>
        <v/>
      </c>
      <c r="AD943" s="37" t="str">
        <f aca="false">IF(AB943="","",IFERROR(INDEX('Account Map'!$C:$C,MATCH(AB943,'Account Map'!$A:$A,0)),""))</f>
        <v/>
      </c>
      <c r="AE943" s="37" t="n">
        <f aca="false">IF(AND(AB943&lt;&gt;"",AC943="",COUNT($B943:$Z943)&gt;0,LEFT(AB943,5)&lt;&gt;"Total",AB943&lt;&gt;"Gross Profit",AB943&lt;&gt;"Net Profit",AB943&lt;&gt;"Operating Profit"),1,0)</f>
        <v>0</v>
      </c>
    </row>
    <row r="944" customFormat="false" ht="15" hidden="false" customHeight="false" outlineLevel="0" collapsed="false">
      <c r="B944" s="44"/>
      <c r="C944" s="44"/>
      <c r="D944" s="44"/>
      <c r="E944" s="44"/>
      <c r="F944" s="44"/>
      <c r="G944" s="44"/>
      <c r="H944" s="44"/>
      <c r="I944" s="44"/>
      <c r="J944" s="44"/>
      <c r="K944" s="44"/>
      <c r="L944" s="44"/>
      <c r="M944" s="44"/>
      <c r="N944" s="44"/>
      <c r="O944" s="44"/>
      <c r="P944" s="44"/>
      <c r="Q944" s="44"/>
      <c r="R944" s="44"/>
      <c r="S944" s="44"/>
      <c r="T944" s="44"/>
      <c r="U944" s="44"/>
      <c r="V944" s="44"/>
      <c r="W944" s="44"/>
      <c r="X944" s="44"/>
      <c r="Y944" s="44"/>
      <c r="Z944" s="44"/>
      <c r="AB944" s="37" t="str">
        <f aca="false">TRIM($A944&amp;"")</f>
        <v/>
      </c>
      <c r="AC944" s="37" t="str">
        <f aca="false">IF(AB944="","",IFERROR(INDEX('Account Map'!$B:$B,MATCH(AB944,'Account Map'!$A:$A,0)),""))</f>
        <v/>
      </c>
      <c r="AD944" s="37" t="str">
        <f aca="false">IF(AB944="","",IFERROR(INDEX('Account Map'!$C:$C,MATCH(AB944,'Account Map'!$A:$A,0)),""))</f>
        <v/>
      </c>
      <c r="AE944" s="37" t="n">
        <f aca="false">IF(AND(AB944&lt;&gt;"",AC944="",COUNT($B944:$Z944)&gt;0,LEFT(AB944,5)&lt;&gt;"Total",AB944&lt;&gt;"Gross Profit",AB944&lt;&gt;"Net Profit",AB944&lt;&gt;"Operating Profit"),1,0)</f>
        <v>0</v>
      </c>
    </row>
    <row r="945" customFormat="false" ht="15" hidden="false" customHeight="false" outlineLevel="0" collapsed="false">
      <c r="B945" s="44"/>
      <c r="C945" s="44"/>
      <c r="D945" s="44"/>
      <c r="E945" s="44"/>
      <c r="F945" s="44"/>
      <c r="G945" s="44"/>
      <c r="H945" s="44"/>
      <c r="I945" s="44"/>
      <c r="J945" s="44"/>
      <c r="K945" s="44"/>
      <c r="L945" s="44"/>
      <c r="M945" s="44"/>
      <c r="N945" s="44"/>
      <c r="O945" s="44"/>
      <c r="P945" s="44"/>
      <c r="Q945" s="44"/>
      <c r="R945" s="44"/>
      <c r="S945" s="44"/>
      <c r="T945" s="44"/>
      <c r="U945" s="44"/>
      <c r="V945" s="44"/>
      <c r="W945" s="44"/>
      <c r="X945" s="44"/>
      <c r="Y945" s="44"/>
      <c r="Z945" s="44"/>
      <c r="AB945" s="37" t="str">
        <f aca="false">TRIM($A945&amp;"")</f>
        <v/>
      </c>
      <c r="AC945" s="37" t="str">
        <f aca="false">IF(AB945="","",IFERROR(INDEX('Account Map'!$B:$B,MATCH(AB945,'Account Map'!$A:$A,0)),""))</f>
        <v/>
      </c>
      <c r="AD945" s="37" t="str">
        <f aca="false">IF(AB945="","",IFERROR(INDEX('Account Map'!$C:$C,MATCH(AB945,'Account Map'!$A:$A,0)),""))</f>
        <v/>
      </c>
      <c r="AE945" s="37" t="n">
        <f aca="false">IF(AND(AB945&lt;&gt;"",AC945="",COUNT($B945:$Z945)&gt;0,LEFT(AB945,5)&lt;&gt;"Total",AB945&lt;&gt;"Gross Profit",AB945&lt;&gt;"Net Profit",AB945&lt;&gt;"Operating Profit"),1,0)</f>
        <v>0</v>
      </c>
    </row>
    <row r="946" customFormat="false" ht="15" hidden="false" customHeight="false" outlineLevel="0" collapsed="false">
      <c r="B946" s="44"/>
      <c r="C946" s="44"/>
      <c r="D946" s="44"/>
      <c r="E946" s="44"/>
      <c r="F946" s="44"/>
      <c r="G946" s="44"/>
      <c r="H946" s="44"/>
      <c r="I946" s="44"/>
      <c r="J946" s="44"/>
      <c r="K946" s="44"/>
      <c r="L946" s="44"/>
      <c r="M946" s="44"/>
      <c r="N946" s="44"/>
      <c r="O946" s="44"/>
      <c r="P946" s="44"/>
      <c r="Q946" s="44"/>
      <c r="R946" s="44"/>
      <c r="S946" s="44"/>
      <c r="T946" s="44"/>
      <c r="U946" s="44"/>
      <c r="V946" s="44"/>
      <c r="W946" s="44"/>
      <c r="X946" s="44"/>
      <c r="Y946" s="44"/>
      <c r="Z946" s="44"/>
      <c r="AB946" s="37" t="str">
        <f aca="false">TRIM($A946&amp;"")</f>
        <v/>
      </c>
      <c r="AC946" s="37" t="str">
        <f aca="false">IF(AB946="","",IFERROR(INDEX('Account Map'!$B:$B,MATCH(AB946,'Account Map'!$A:$A,0)),""))</f>
        <v/>
      </c>
      <c r="AD946" s="37" t="str">
        <f aca="false">IF(AB946="","",IFERROR(INDEX('Account Map'!$C:$C,MATCH(AB946,'Account Map'!$A:$A,0)),""))</f>
        <v/>
      </c>
      <c r="AE946" s="37" t="n">
        <f aca="false">IF(AND(AB946&lt;&gt;"",AC946="",COUNT($B946:$Z946)&gt;0,LEFT(AB946,5)&lt;&gt;"Total",AB946&lt;&gt;"Gross Profit",AB946&lt;&gt;"Net Profit",AB946&lt;&gt;"Operating Profit"),1,0)</f>
        <v>0</v>
      </c>
    </row>
    <row r="947" customFormat="false" ht="15" hidden="false" customHeight="false" outlineLevel="0" collapsed="false">
      <c r="B947" s="44"/>
      <c r="C947" s="44"/>
      <c r="D947" s="44"/>
      <c r="E947" s="44"/>
      <c r="F947" s="44"/>
      <c r="G947" s="44"/>
      <c r="H947" s="44"/>
      <c r="I947" s="44"/>
      <c r="J947" s="44"/>
      <c r="K947" s="44"/>
      <c r="L947" s="44"/>
      <c r="M947" s="44"/>
      <c r="N947" s="44"/>
      <c r="O947" s="44"/>
      <c r="P947" s="44"/>
      <c r="Q947" s="44"/>
      <c r="R947" s="44"/>
      <c r="S947" s="44"/>
      <c r="T947" s="44"/>
      <c r="U947" s="44"/>
      <c r="V947" s="44"/>
      <c r="W947" s="44"/>
      <c r="X947" s="44"/>
      <c r="Y947" s="44"/>
      <c r="Z947" s="44"/>
      <c r="AB947" s="37" t="str">
        <f aca="false">TRIM($A947&amp;"")</f>
        <v/>
      </c>
      <c r="AC947" s="37" t="str">
        <f aca="false">IF(AB947="","",IFERROR(INDEX('Account Map'!$B:$B,MATCH(AB947,'Account Map'!$A:$A,0)),""))</f>
        <v/>
      </c>
      <c r="AD947" s="37" t="str">
        <f aca="false">IF(AB947="","",IFERROR(INDEX('Account Map'!$C:$C,MATCH(AB947,'Account Map'!$A:$A,0)),""))</f>
        <v/>
      </c>
      <c r="AE947" s="37" t="n">
        <f aca="false">IF(AND(AB947&lt;&gt;"",AC947="",COUNT($B947:$Z947)&gt;0,LEFT(AB947,5)&lt;&gt;"Total",AB947&lt;&gt;"Gross Profit",AB947&lt;&gt;"Net Profit",AB947&lt;&gt;"Operating Profit"),1,0)</f>
        <v>0</v>
      </c>
    </row>
    <row r="948" customFormat="false" ht="15" hidden="false" customHeight="false" outlineLevel="0" collapsed="false">
      <c r="B948" s="44"/>
      <c r="C948" s="44"/>
      <c r="D948" s="44"/>
      <c r="E948" s="44"/>
      <c r="F948" s="44"/>
      <c r="G948" s="44"/>
      <c r="H948" s="44"/>
      <c r="I948" s="44"/>
      <c r="J948" s="44"/>
      <c r="K948" s="44"/>
      <c r="L948" s="44"/>
      <c r="M948" s="44"/>
      <c r="N948" s="44"/>
      <c r="O948" s="44"/>
      <c r="P948" s="44"/>
      <c r="Q948" s="44"/>
      <c r="R948" s="44"/>
      <c r="S948" s="44"/>
      <c r="T948" s="44"/>
      <c r="U948" s="44"/>
      <c r="V948" s="44"/>
      <c r="W948" s="44"/>
      <c r="X948" s="44"/>
      <c r="Y948" s="44"/>
      <c r="Z948" s="44"/>
      <c r="AB948" s="37" t="str">
        <f aca="false">TRIM($A948&amp;"")</f>
        <v/>
      </c>
      <c r="AC948" s="37" t="str">
        <f aca="false">IF(AB948="","",IFERROR(INDEX('Account Map'!$B:$B,MATCH(AB948,'Account Map'!$A:$A,0)),""))</f>
        <v/>
      </c>
      <c r="AD948" s="37" t="str">
        <f aca="false">IF(AB948="","",IFERROR(INDEX('Account Map'!$C:$C,MATCH(AB948,'Account Map'!$A:$A,0)),""))</f>
        <v/>
      </c>
      <c r="AE948" s="37" t="n">
        <f aca="false">IF(AND(AB948&lt;&gt;"",AC948="",COUNT($B948:$Z948)&gt;0,LEFT(AB948,5)&lt;&gt;"Total",AB948&lt;&gt;"Gross Profit",AB948&lt;&gt;"Net Profit",AB948&lt;&gt;"Operating Profit"),1,0)</f>
        <v>0</v>
      </c>
    </row>
    <row r="949" customFormat="false" ht="15" hidden="false" customHeight="false" outlineLevel="0" collapsed="false">
      <c r="B949" s="44"/>
      <c r="C949" s="44"/>
      <c r="D949" s="44"/>
      <c r="E949" s="44"/>
      <c r="F949" s="44"/>
      <c r="G949" s="44"/>
      <c r="H949" s="44"/>
      <c r="I949" s="44"/>
      <c r="J949" s="44"/>
      <c r="K949" s="44"/>
      <c r="L949" s="44"/>
      <c r="M949" s="44"/>
      <c r="N949" s="44"/>
      <c r="O949" s="44"/>
      <c r="P949" s="44"/>
      <c r="Q949" s="44"/>
      <c r="R949" s="44"/>
      <c r="S949" s="44"/>
      <c r="T949" s="44"/>
      <c r="U949" s="44"/>
      <c r="V949" s="44"/>
      <c r="W949" s="44"/>
      <c r="X949" s="44"/>
      <c r="Y949" s="44"/>
      <c r="Z949" s="44"/>
      <c r="AB949" s="37" t="str">
        <f aca="false">TRIM($A949&amp;"")</f>
        <v/>
      </c>
      <c r="AC949" s="37" t="str">
        <f aca="false">IF(AB949="","",IFERROR(INDEX('Account Map'!$B:$B,MATCH(AB949,'Account Map'!$A:$A,0)),""))</f>
        <v/>
      </c>
      <c r="AD949" s="37" t="str">
        <f aca="false">IF(AB949="","",IFERROR(INDEX('Account Map'!$C:$C,MATCH(AB949,'Account Map'!$A:$A,0)),""))</f>
        <v/>
      </c>
      <c r="AE949" s="37" t="n">
        <f aca="false">IF(AND(AB949&lt;&gt;"",AC949="",COUNT($B949:$Z949)&gt;0,LEFT(AB949,5)&lt;&gt;"Total",AB949&lt;&gt;"Gross Profit",AB949&lt;&gt;"Net Profit",AB949&lt;&gt;"Operating Profit"),1,0)</f>
        <v>0</v>
      </c>
    </row>
    <row r="950" customFormat="false" ht="15" hidden="false" customHeight="false" outlineLevel="0" collapsed="false">
      <c r="B950" s="44"/>
      <c r="C950" s="44"/>
      <c r="D950" s="44"/>
      <c r="E950" s="44"/>
      <c r="F950" s="44"/>
      <c r="G950" s="44"/>
      <c r="H950" s="44"/>
      <c r="I950" s="44"/>
      <c r="J950" s="44"/>
      <c r="K950" s="44"/>
      <c r="L950" s="44"/>
      <c r="M950" s="44"/>
      <c r="N950" s="44"/>
      <c r="O950" s="44"/>
      <c r="P950" s="44"/>
      <c r="Q950" s="44"/>
      <c r="R950" s="44"/>
      <c r="S950" s="44"/>
      <c r="T950" s="44"/>
      <c r="U950" s="44"/>
      <c r="V950" s="44"/>
      <c r="W950" s="44"/>
      <c r="X950" s="44"/>
      <c r="Y950" s="44"/>
      <c r="Z950" s="44"/>
      <c r="AB950" s="37" t="str">
        <f aca="false">TRIM($A950&amp;"")</f>
        <v/>
      </c>
      <c r="AC950" s="37" t="str">
        <f aca="false">IF(AB950="","",IFERROR(INDEX('Account Map'!$B:$B,MATCH(AB950,'Account Map'!$A:$A,0)),""))</f>
        <v/>
      </c>
      <c r="AD950" s="37" t="str">
        <f aca="false">IF(AB950="","",IFERROR(INDEX('Account Map'!$C:$C,MATCH(AB950,'Account Map'!$A:$A,0)),""))</f>
        <v/>
      </c>
      <c r="AE950" s="37" t="n">
        <f aca="false">IF(AND(AB950&lt;&gt;"",AC950="",COUNT($B950:$Z950)&gt;0,LEFT(AB950,5)&lt;&gt;"Total",AB950&lt;&gt;"Gross Profit",AB950&lt;&gt;"Net Profit",AB950&lt;&gt;"Operating Profit"),1,0)</f>
        <v>0</v>
      </c>
    </row>
    <row r="951" customFormat="false" ht="15" hidden="false" customHeight="false" outlineLevel="0" collapsed="false">
      <c r="B951" s="44"/>
      <c r="C951" s="44"/>
      <c r="D951" s="44"/>
      <c r="E951" s="44"/>
      <c r="F951" s="44"/>
      <c r="G951" s="44"/>
      <c r="H951" s="44"/>
      <c r="I951" s="44"/>
      <c r="J951" s="44"/>
      <c r="K951" s="44"/>
      <c r="L951" s="44"/>
      <c r="M951" s="44"/>
      <c r="N951" s="44"/>
      <c r="O951" s="44"/>
      <c r="P951" s="44"/>
      <c r="Q951" s="44"/>
      <c r="R951" s="44"/>
      <c r="S951" s="44"/>
      <c r="T951" s="44"/>
      <c r="U951" s="44"/>
      <c r="V951" s="44"/>
      <c r="W951" s="44"/>
      <c r="X951" s="44"/>
      <c r="Y951" s="44"/>
      <c r="Z951" s="44"/>
      <c r="AB951" s="37" t="str">
        <f aca="false">TRIM($A951&amp;"")</f>
        <v/>
      </c>
      <c r="AC951" s="37" t="str">
        <f aca="false">IF(AB951="","",IFERROR(INDEX('Account Map'!$B:$B,MATCH(AB951,'Account Map'!$A:$A,0)),""))</f>
        <v/>
      </c>
      <c r="AD951" s="37" t="str">
        <f aca="false">IF(AB951="","",IFERROR(INDEX('Account Map'!$C:$C,MATCH(AB951,'Account Map'!$A:$A,0)),""))</f>
        <v/>
      </c>
      <c r="AE951" s="37" t="n">
        <f aca="false">IF(AND(AB951&lt;&gt;"",AC951="",COUNT($B951:$Z951)&gt;0,LEFT(AB951,5)&lt;&gt;"Total",AB951&lt;&gt;"Gross Profit",AB951&lt;&gt;"Net Profit",AB951&lt;&gt;"Operating Profit"),1,0)</f>
        <v>0</v>
      </c>
    </row>
    <row r="952" customFormat="false" ht="15" hidden="false" customHeight="false" outlineLevel="0" collapsed="false">
      <c r="B952" s="44"/>
      <c r="C952" s="44"/>
      <c r="D952" s="44"/>
      <c r="E952" s="44"/>
      <c r="F952" s="44"/>
      <c r="G952" s="44"/>
      <c r="H952" s="44"/>
      <c r="I952" s="44"/>
      <c r="J952" s="44"/>
      <c r="K952" s="44"/>
      <c r="L952" s="44"/>
      <c r="M952" s="44"/>
      <c r="N952" s="44"/>
      <c r="O952" s="44"/>
      <c r="P952" s="44"/>
      <c r="Q952" s="44"/>
      <c r="R952" s="44"/>
      <c r="S952" s="44"/>
      <c r="T952" s="44"/>
      <c r="U952" s="44"/>
      <c r="V952" s="44"/>
      <c r="W952" s="44"/>
      <c r="X952" s="44"/>
      <c r="Y952" s="44"/>
      <c r="Z952" s="44"/>
      <c r="AB952" s="37" t="str">
        <f aca="false">TRIM($A952&amp;"")</f>
        <v/>
      </c>
      <c r="AC952" s="37" t="str">
        <f aca="false">IF(AB952="","",IFERROR(INDEX('Account Map'!$B:$B,MATCH(AB952,'Account Map'!$A:$A,0)),""))</f>
        <v/>
      </c>
      <c r="AD952" s="37" t="str">
        <f aca="false">IF(AB952="","",IFERROR(INDEX('Account Map'!$C:$C,MATCH(AB952,'Account Map'!$A:$A,0)),""))</f>
        <v/>
      </c>
      <c r="AE952" s="37" t="n">
        <f aca="false">IF(AND(AB952&lt;&gt;"",AC952="",COUNT($B952:$Z952)&gt;0,LEFT(AB952,5)&lt;&gt;"Total",AB952&lt;&gt;"Gross Profit",AB952&lt;&gt;"Net Profit",AB952&lt;&gt;"Operating Profit"),1,0)</f>
        <v>0</v>
      </c>
    </row>
    <row r="953" customFormat="false" ht="15" hidden="false" customHeight="false" outlineLevel="0" collapsed="false">
      <c r="B953" s="44"/>
      <c r="C953" s="44"/>
      <c r="D953" s="44"/>
      <c r="E953" s="44"/>
      <c r="F953" s="44"/>
      <c r="G953" s="44"/>
      <c r="H953" s="44"/>
      <c r="I953" s="44"/>
      <c r="J953" s="44"/>
      <c r="K953" s="44"/>
      <c r="L953" s="44"/>
      <c r="M953" s="44"/>
      <c r="N953" s="44"/>
      <c r="O953" s="44"/>
      <c r="P953" s="44"/>
      <c r="Q953" s="44"/>
      <c r="R953" s="44"/>
      <c r="S953" s="44"/>
      <c r="T953" s="44"/>
      <c r="U953" s="44"/>
      <c r="V953" s="44"/>
      <c r="W953" s="44"/>
      <c r="X953" s="44"/>
      <c r="Y953" s="44"/>
      <c r="Z953" s="44"/>
      <c r="AB953" s="37" t="str">
        <f aca="false">TRIM($A953&amp;"")</f>
        <v/>
      </c>
      <c r="AC953" s="37" t="str">
        <f aca="false">IF(AB953="","",IFERROR(INDEX('Account Map'!$B:$B,MATCH(AB953,'Account Map'!$A:$A,0)),""))</f>
        <v/>
      </c>
      <c r="AD953" s="37" t="str">
        <f aca="false">IF(AB953="","",IFERROR(INDEX('Account Map'!$C:$C,MATCH(AB953,'Account Map'!$A:$A,0)),""))</f>
        <v/>
      </c>
      <c r="AE953" s="37" t="n">
        <f aca="false">IF(AND(AB953&lt;&gt;"",AC953="",COUNT($B953:$Z953)&gt;0,LEFT(AB953,5)&lt;&gt;"Total",AB953&lt;&gt;"Gross Profit",AB953&lt;&gt;"Net Profit",AB953&lt;&gt;"Operating Profit"),1,0)</f>
        <v>0</v>
      </c>
    </row>
    <row r="954" customFormat="false" ht="15" hidden="false" customHeight="false" outlineLevel="0" collapsed="false">
      <c r="B954" s="44"/>
      <c r="C954" s="44"/>
      <c r="D954" s="44"/>
      <c r="E954" s="44"/>
      <c r="F954" s="44"/>
      <c r="G954" s="44"/>
      <c r="H954" s="44"/>
      <c r="I954" s="44"/>
      <c r="J954" s="44"/>
      <c r="K954" s="44"/>
      <c r="L954" s="44"/>
      <c r="M954" s="44"/>
      <c r="N954" s="44"/>
      <c r="O954" s="44"/>
      <c r="P954" s="44"/>
      <c r="Q954" s="44"/>
      <c r="R954" s="44"/>
      <c r="S954" s="44"/>
      <c r="T954" s="44"/>
      <c r="U954" s="44"/>
      <c r="V954" s="44"/>
      <c r="W954" s="44"/>
      <c r="X954" s="44"/>
      <c r="Y954" s="44"/>
      <c r="Z954" s="44"/>
      <c r="AB954" s="37" t="str">
        <f aca="false">TRIM($A954&amp;"")</f>
        <v/>
      </c>
      <c r="AC954" s="37" t="str">
        <f aca="false">IF(AB954="","",IFERROR(INDEX('Account Map'!$B:$B,MATCH(AB954,'Account Map'!$A:$A,0)),""))</f>
        <v/>
      </c>
      <c r="AD954" s="37" t="str">
        <f aca="false">IF(AB954="","",IFERROR(INDEX('Account Map'!$C:$C,MATCH(AB954,'Account Map'!$A:$A,0)),""))</f>
        <v/>
      </c>
      <c r="AE954" s="37" t="n">
        <f aca="false">IF(AND(AB954&lt;&gt;"",AC954="",COUNT($B954:$Z954)&gt;0,LEFT(AB954,5)&lt;&gt;"Total",AB954&lt;&gt;"Gross Profit",AB954&lt;&gt;"Net Profit",AB954&lt;&gt;"Operating Profit"),1,0)</f>
        <v>0</v>
      </c>
    </row>
    <row r="955" customFormat="false" ht="15" hidden="false" customHeight="false" outlineLevel="0" collapsed="false">
      <c r="B955" s="44"/>
      <c r="C955" s="44"/>
      <c r="D955" s="44"/>
      <c r="E955" s="44"/>
      <c r="F955" s="44"/>
      <c r="G955" s="44"/>
      <c r="H955" s="44"/>
      <c r="I955" s="44"/>
      <c r="J955" s="44"/>
      <c r="K955" s="44"/>
      <c r="L955" s="44"/>
      <c r="M955" s="44"/>
      <c r="N955" s="44"/>
      <c r="O955" s="44"/>
      <c r="P955" s="44"/>
      <c r="Q955" s="44"/>
      <c r="R955" s="44"/>
      <c r="S955" s="44"/>
      <c r="T955" s="44"/>
      <c r="U955" s="44"/>
      <c r="V955" s="44"/>
      <c r="W955" s="44"/>
      <c r="X955" s="44"/>
      <c r="Y955" s="44"/>
      <c r="Z955" s="44"/>
      <c r="AB955" s="37" t="str">
        <f aca="false">TRIM($A955&amp;"")</f>
        <v/>
      </c>
      <c r="AC955" s="37" t="str">
        <f aca="false">IF(AB955="","",IFERROR(INDEX('Account Map'!$B:$B,MATCH(AB955,'Account Map'!$A:$A,0)),""))</f>
        <v/>
      </c>
      <c r="AD955" s="37" t="str">
        <f aca="false">IF(AB955="","",IFERROR(INDEX('Account Map'!$C:$C,MATCH(AB955,'Account Map'!$A:$A,0)),""))</f>
        <v/>
      </c>
      <c r="AE955" s="37" t="n">
        <f aca="false">IF(AND(AB955&lt;&gt;"",AC955="",COUNT($B955:$Z955)&gt;0,LEFT(AB955,5)&lt;&gt;"Total",AB955&lt;&gt;"Gross Profit",AB955&lt;&gt;"Net Profit",AB955&lt;&gt;"Operating Profit"),1,0)</f>
        <v>0</v>
      </c>
    </row>
    <row r="956" customFormat="false" ht="15" hidden="false" customHeight="false" outlineLevel="0" collapsed="false">
      <c r="B956" s="44"/>
      <c r="C956" s="44"/>
      <c r="D956" s="44"/>
      <c r="E956" s="44"/>
      <c r="F956" s="44"/>
      <c r="G956" s="44"/>
      <c r="H956" s="44"/>
      <c r="I956" s="44"/>
      <c r="J956" s="44"/>
      <c r="K956" s="44"/>
      <c r="L956" s="44"/>
      <c r="M956" s="44"/>
      <c r="N956" s="44"/>
      <c r="O956" s="44"/>
      <c r="P956" s="44"/>
      <c r="Q956" s="44"/>
      <c r="R956" s="44"/>
      <c r="S956" s="44"/>
      <c r="T956" s="44"/>
      <c r="U956" s="44"/>
      <c r="V956" s="44"/>
      <c r="W956" s="44"/>
      <c r="X956" s="44"/>
      <c r="Y956" s="44"/>
      <c r="Z956" s="44"/>
      <c r="AB956" s="37" t="str">
        <f aca="false">TRIM($A956&amp;"")</f>
        <v/>
      </c>
      <c r="AC956" s="37" t="str">
        <f aca="false">IF(AB956="","",IFERROR(INDEX('Account Map'!$B:$B,MATCH(AB956,'Account Map'!$A:$A,0)),""))</f>
        <v/>
      </c>
      <c r="AD956" s="37" t="str">
        <f aca="false">IF(AB956="","",IFERROR(INDEX('Account Map'!$C:$C,MATCH(AB956,'Account Map'!$A:$A,0)),""))</f>
        <v/>
      </c>
      <c r="AE956" s="37" t="n">
        <f aca="false">IF(AND(AB956&lt;&gt;"",AC956="",COUNT($B956:$Z956)&gt;0,LEFT(AB956,5)&lt;&gt;"Total",AB956&lt;&gt;"Gross Profit",AB956&lt;&gt;"Net Profit",AB956&lt;&gt;"Operating Profit"),1,0)</f>
        <v>0</v>
      </c>
    </row>
    <row r="957" customFormat="false" ht="15" hidden="false" customHeight="false" outlineLevel="0" collapsed="false">
      <c r="B957" s="44"/>
      <c r="C957" s="44"/>
      <c r="D957" s="44"/>
      <c r="E957" s="44"/>
      <c r="F957" s="44"/>
      <c r="G957" s="44"/>
      <c r="H957" s="44"/>
      <c r="I957" s="44"/>
      <c r="J957" s="44"/>
      <c r="K957" s="44"/>
      <c r="L957" s="44"/>
      <c r="M957" s="44"/>
      <c r="N957" s="44"/>
      <c r="O957" s="44"/>
      <c r="P957" s="44"/>
      <c r="Q957" s="44"/>
      <c r="R957" s="44"/>
      <c r="S957" s="44"/>
      <c r="T957" s="44"/>
      <c r="U957" s="44"/>
      <c r="V957" s="44"/>
      <c r="W957" s="44"/>
      <c r="X957" s="44"/>
      <c r="Y957" s="44"/>
      <c r="Z957" s="44"/>
      <c r="AB957" s="37" t="str">
        <f aca="false">TRIM($A957&amp;"")</f>
        <v/>
      </c>
      <c r="AC957" s="37" t="str">
        <f aca="false">IF(AB957="","",IFERROR(INDEX('Account Map'!$B:$B,MATCH(AB957,'Account Map'!$A:$A,0)),""))</f>
        <v/>
      </c>
      <c r="AD957" s="37" t="str">
        <f aca="false">IF(AB957="","",IFERROR(INDEX('Account Map'!$C:$C,MATCH(AB957,'Account Map'!$A:$A,0)),""))</f>
        <v/>
      </c>
      <c r="AE957" s="37" t="n">
        <f aca="false">IF(AND(AB957&lt;&gt;"",AC957="",COUNT($B957:$Z957)&gt;0,LEFT(AB957,5)&lt;&gt;"Total",AB957&lt;&gt;"Gross Profit",AB957&lt;&gt;"Net Profit",AB957&lt;&gt;"Operating Profit"),1,0)</f>
        <v>0</v>
      </c>
    </row>
    <row r="958" customFormat="false" ht="15" hidden="false" customHeight="false" outlineLevel="0" collapsed="false">
      <c r="B958" s="44"/>
      <c r="C958" s="44"/>
      <c r="D958" s="44"/>
      <c r="E958" s="44"/>
      <c r="F958" s="44"/>
      <c r="G958" s="44"/>
      <c r="H958" s="44"/>
      <c r="I958" s="44"/>
      <c r="J958" s="44"/>
      <c r="K958" s="44"/>
      <c r="L958" s="44"/>
      <c r="M958" s="44"/>
      <c r="N958" s="44"/>
      <c r="O958" s="44"/>
      <c r="P958" s="44"/>
      <c r="Q958" s="44"/>
      <c r="R958" s="44"/>
      <c r="S958" s="44"/>
      <c r="T958" s="44"/>
      <c r="U958" s="44"/>
      <c r="V958" s="44"/>
      <c r="W958" s="44"/>
      <c r="X958" s="44"/>
      <c r="Y958" s="44"/>
      <c r="Z958" s="44"/>
      <c r="AB958" s="37" t="str">
        <f aca="false">TRIM($A958&amp;"")</f>
        <v/>
      </c>
      <c r="AC958" s="37" t="str">
        <f aca="false">IF(AB958="","",IFERROR(INDEX('Account Map'!$B:$B,MATCH(AB958,'Account Map'!$A:$A,0)),""))</f>
        <v/>
      </c>
      <c r="AD958" s="37" t="str">
        <f aca="false">IF(AB958="","",IFERROR(INDEX('Account Map'!$C:$C,MATCH(AB958,'Account Map'!$A:$A,0)),""))</f>
        <v/>
      </c>
      <c r="AE958" s="37" t="n">
        <f aca="false">IF(AND(AB958&lt;&gt;"",AC958="",COUNT($B958:$Z958)&gt;0,LEFT(AB958,5)&lt;&gt;"Total",AB958&lt;&gt;"Gross Profit",AB958&lt;&gt;"Net Profit",AB958&lt;&gt;"Operating Profit"),1,0)</f>
        <v>0</v>
      </c>
    </row>
    <row r="959" customFormat="false" ht="15" hidden="false" customHeight="false" outlineLevel="0" collapsed="false">
      <c r="B959" s="44"/>
      <c r="C959" s="44"/>
      <c r="D959" s="44"/>
      <c r="E959" s="44"/>
      <c r="F959" s="44"/>
      <c r="G959" s="44"/>
      <c r="H959" s="44"/>
      <c r="I959" s="44"/>
      <c r="J959" s="44"/>
      <c r="K959" s="44"/>
      <c r="L959" s="44"/>
      <c r="M959" s="44"/>
      <c r="N959" s="44"/>
      <c r="O959" s="44"/>
      <c r="P959" s="44"/>
      <c r="Q959" s="44"/>
      <c r="R959" s="44"/>
      <c r="S959" s="44"/>
      <c r="T959" s="44"/>
      <c r="U959" s="44"/>
      <c r="V959" s="44"/>
      <c r="W959" s="44"/>
      <c r="X959" s="44"/>
      <c r="Y959" s="44"/>
      <c r="Z959" s="44"/>
      <c r="AB959" s="37" t="str">
        <f aca="false">TRIM($A959&amp;"")</f>
        <v/>
      </c>
      <c r="AC959" s="37" t="str">
        <f aca="false">IF(AB959="","",IFERROR(INDEX('Account Map'!$B:$B,MATCH(AB959,'Account Map'!$A:$A,0)),""))</f>
        <v/>
      </c>
      <c r="AD959" s="37" t="str">
        <f aca="false">IF(AB959="","",IFERROR(INDEX('Account Map'!$C:$C,MATCH(AB959,'Account Map'!$A:$A,0)),""))</f>
        <v/>
      </c>
      <c r="AE959" s="37" t="n">
        <f aca="false">IF(AND(AB959&lt;&gt;"",AC959="",COUNT($B959:$Z959)&gt;0,LEFT(AB959,5)&lt;&gt;"Total",AB959&lt;&gt;"Gross Profit",AB959&lt;&gt;"Net Profit",AB959&lt;&gt;"Operating Profit"),1,0)</f>
        <v>0</v>
      </c>
    </row>
    <row r="960" customFormat="false" ht="15" hidden="false" customHeight="false" outlineLevel="0" collapsed="false">
      <c r="B960" s="44"/>
      <c r="C960" s="44"/>
      <c r="D960" s="44"/>
      <c r="E960" s="44"/>
      <c r="F960" s="44"/>
      <c r="G960" s="44"/>
      <c r="H960" s="44"/>
      <c r="I960" s="44"/>
      <c r="J960" s="44"/>
      <c r="K960" s="44"/>
      <c r="L960" s="44"/>
      <c r="M960" s="44"/>
      <c r="N960" s="44"/>
      <c r="O960" s="44"/>
      <c r="P960" s="44"/>
      <c r="Q960" s="44"/>
      <c r="R960" s="44"/>
      <c r="S960" s="44"/>
      <c r="T960" s="44"/>
      <c r="U960" s="44"/>
      <c r="V960" s="44"/>
      <c r="W960" s="44"/>
      <c r="X960" s="44"/>
      <c r="Y960" s="44"/>
      <c r="Z960" s="44"/>
      <c r="AB960" s="37" t="str">
        <f aca="false">TRIM($A960&amp;"")</f>
        <v/>
      </c>
      <c r="AC960" s="37" t="str">
        <f aca="false">IF(AB960="","",IFERROR(INDEX('Account Map'!$B:$B,MATCH(AB960,'Account Map'!$A:$A,0)),""))</f>
        <v/>
      </c>
      <c r="AD960" s="37" t="str">
        <f aca="false">IF(AB960="","",IFERROR(INDEX('Account Map'!$C:$C,MATCH(AB960,'Account Map'!$A:$A,0)),""))</f>
        <v/>
      </c>
      <c r="AE960" s="37" t="n">
        <f aca="false">IF(AND(AB960&lt;&gt;"",AC960="",COUNT($B960:$Z960)&gt;0,LEFT(AB960,5)&lt;&gt;"Total",AB960&lt;&gt;"Gross Profit",AB960&lt;&gt;"Net Profit",AB960&lt;&gt;"Operating Profit"),1,0)</f>
        <v>0</v>
      </c>
    </row>
    <row r="961" customFormat="false" ht="15" hidden="false" customHeight="false" outlineLevel="0" collapsed="false">
      <c r="B961" s="44"/>
      <c r="C961" s="44"/>
      <c r="D961" s="44"/>
      <c r="E961" s="44"/>
      <c r="F961" s="44"/>
      <c r="G961" s="44"/>
      <c r="H961" s="44"/>
      <c r="I961" s="44"/>
      <c r="J961" s="44"/>
      <c r="K961" s="44"/>
      <c r="L961" s="44"/>
      <c r="M961" s="44"/>
      <c r="N961" s="44"/>
      <c r="O961" s="44"/>
      <c r="P961" s="44"/>
      <c r="Q961" s="44"/>
      <c r="R961" s="44"/>
      <c r="S961" s="44"/>
      <c r="T961" s="44"/>
      <c r="U961" s="44"/>
      <c r="V961" s="44"/>
      <c r="W961" s="44"/>
      <c r="X961" s="44"/>
      <c r="Y961" s="44"/>
      <c r="Z961" s="44"/>
      <c r="AB961" s="37" t="str">
        <f aca="false">TRIM($A961&amp;"")</f>
        <v/>
      </c>
      <c r="AC961" s="37" t="str">
        <f aca="false">IF(AB961="","",IFERROR(INDEX('Account Map'!$B:$B,MATCH(AB961,'Account Map'!$A:$A,0)),""))</f>
        <v/>
      </c>
      <c r="AD961" s="37" t="str">
        <f aca="false">IF(AB961="","",IFERROR(INDEX('Account Map'!$C:$C,MATCH(AB961,'Account Map'!$A:$A,0)),""))</f>
        <v/>
      </c>
      <c r="AE961" s="37" t="n">
        <f aca="false">IF(AND(AB961&lt;&gt;"",AC961="",COUNT($B961:$Z961)&gt;0,LEFT(AB961,5)&lt;&gt;"Total",AB961&lt;&gt;"Gross Profit",AB961&lt;&gt;"Net Profit",AB961&lt;&gt;"Operating Profit"),1,0)</f>
        <v>0</v>
      </c>
    </row>
    <row r="962" customFormat="false" ht="15" hidden="false" customHeight="false" outlineLevel="0" collapsed="false">
      <c r="B962" s="44"/>
      <c r="C962" s="44"/>
      <c r="D962" s="44"/>
      <c r="E962" s="44"/>
      <c r="F962" s="44"/>
      <c r="G962" s="44"/>
      <c r="H962" s="44"/>
      <c r="I962" s="44"/>
      <c r="J962" s="44"/>
      <c r="K962" s="44"/>
      <c r="L962" s="44"/>
      <c r="M962" s="44"/>
      <c r="N962" s="44"/>
      <c r="O962" s="44"/>
      <c r="P962" s="44"/>
      <c r="Q962" s="44"/>
      <c r="R962" s="44"/>
      <c r="S962" s="44"/>
      <c r="T962" s="44"/>
      <c r="U962" s="44"/>
      <c r="V962" s="44"/>
      <c r="W962" s="44"/>
      <c r="X962" s="44"/>
      <c r="Y962" s="44"/>
      <c r="Z962" s="44"/>
      <c r="AB962" s="37" t="str">
        <f aca="false">TRIM($A962&amp;"")</f>
        <v/>
      </c>
      <c r="AC962" s="37" t="str">
        <f aca="false">IF(AB962="","",IFERROR(INDEX('Account Map'!$B:$B,MATCH(AB962,'Account Map'!$A:$A,0)),""))</f>
        <v/>
      </c>
      <c r="AD962" s="37" t="str">
        <f aca="false">IF(AB962="","",IFERROR(INDEX('Account Map'!$C:$C,MATCH(AB962,'Account Map'!$A:$A,0)),""))</f>
        <v/>
      </c>
      <c r="AE962" s="37" t="n">
        <f aca="false">IF(AND(AB962&lt;&gt;"",AC962="",COUNT($B962:$Z962)&gt;0,LEFT(AB962,5)&lt;&gt;"Total",AB962&lt;&gt;"Gross Profit",AB962&lt;&gt;"Net Profit",AB962&lt;&gt;"Operating Profit"),1,0)</f>
        <v>0</v>
      </c>
    </row>
    <row r="963" customFormat="false" ht="15" hidden="false" customHeight="false" outlineLevel="0" collapsed="false">
      <c r="B963" s="44"/>
      <c r="C963" s="44"/>
      <c r="D963" s="44"/>
      <c r="E963" s="44"/>
      <c r="F963" s="44"/>
      <c r="G963" s="44"/>
      <c r="H963" s="44"/>
      <c r="I963" s="44"/>
      <c r="J963" s="44"/>
      <c r="K963" s="44"/>
      <c r="L963" s="44"/>
      <c r="M963" s="44"/>
      <c r="N963" s="44"/>
      <c r="O963" s="44"/>
      <c r="P963" s="44"/>
      <c r="Q963" s="44"/>
      <c r="R963" s="44"/>
      <c r="S963" s="44"/>
      <c r="T963" s="44"/>
      <c r="U963" s="44"/>
      <c r="V963" s="44"/>
      <c r="W963" s="44"/>
      <c r="X963" s="44"/>
      <c r="Y963" s="44"/>
      <c r="Z963" s="44"/>
      <c r="AB963" s="37" t="str">
        <f aca="false">TRIM($A963&amp;"")</f>
        <v/>
      </c>
      <c r="AC963" s="37" t="str">
        <f aca="false">IF(AB963="","",IFERROR(INDEX('Account Map'!$B:$B,MATCH(AB963,'Account Map'!$A:$A,0)),""))</f>
        <v/>
      </c>
      <c r="AD963" s="37" t="str">
        <f aca="false">IF(AB963="","",IFERROR(INDEX('Account Map'!$C:$C,MATCH(AB963,'Account Map'!$A:$A,0)),""))</f>
        <v/>
      </c>
      <c r="AE963" s="37" t="n">
        <f aca="false">IF(AND(AB963&lt;&gt;"",AC963="",COUNT($B963:$Z963)&gt;0,LEFT(AB963,5)&lt;&gt;"Total",AB963&lt;&gt;"Gross Profit",AB963&lt;&gt;"Net Profit",AB963&lt;&gt;"Operating Profit"),1,0)</f>
        <v>0</v>
      </c>
    </row>
    <row r="964" customFormat="false" ht="15" hidden="false" customHeight="false" outlineLevel="0" collapsed="false">
      <c r="B964" s="44"/>
      <c r="C964" s="44"/>
      <c r="D964" s="44"/>
      <c r="E964" s="44"/>
      <c r="F964" s="44"/>
      <c r="G964" s="44"/>
      <c r="H964" s="44"/>
      <c r="I964" s="44"/>
      <c r="J964" s="44"/>
      <c r="K964" s="44"/>
      <c r="L964" s="44"/>
      <c r="M964" s="44"/>
      <c r="N964" s="44"/>
      <c r="O964" s="44"/>
      <c r="P964" s="44"/>
      <c r="Q964" s="44"/>
      <c r="R964" s="44"/>
      <c r="S964" s="44"/>
      <c r="T964" s="44"/>
      <c r="U964" s="44"/>
      <c r="V964" s="44"/>
      <c r="W964" s="44"/>
      <c r="X964" s="44"/>
      <c r="Y964" s="44"/>
      <c r="Z964" s="44"/>
      <c r="AB964" s="37" t="str">
        <f aca="false">TRIM($A964&amp;"")</f>
        <v/>
      </c>
      <c r="AC964" s="37" t="str">
        <f aca="false">IF(AB964="","",IFERROR(INDEX('Account Map'!$B:$B,MATCH(AB964,'Account Map'!$A:$A,0)),""))</f>
        <v/>
      </c>
      <c r="AD964" s="37" t="str">
        <f aca="false">IF(AB964="","",IFERROR(INDEX('Account Map'!$C:$C,MATCH(AB964,'Account Map'!$A:$A,0)),""))</f>
        <v/>
      </c>
      <c r="AE964" s="37" t="n">
        <f aca="false">IF(AND(AB964&lt;&gt;"",AC964="",COUNT($B964:$Z964)&gt;0,LEFT(AB964,5)&lt;&gt;"Total",AB964&lt;&gt;"Gross Profit",AB964&lt;&gt;"Net Profit",AB964&lt;&gt;"Operating Profit"),1,0)</f>
        <v>0</v>
      </c>
    </row>
    <row r="965" customFormat="false" ht="15" hidden="false" customHeight="false" outlineLevel="0" collapsed="false">
      <c r="B965" s="44"/>
      <c r="C965" s="44"/>
      <c r="D965" s="44"/>
      <c r="E965" s="44"/>
      <c r="F965" s="44"/>
      <c r="G965" s="44"/>
      <c r="H965" s="44"/>
      <c r="I965" s="44"/>
      <c r="J965" s="44"/>
      <c r="K965" s="44"/>
      <c r="L965" s="44"/>
      <c r="M965" s="44"/>
      <c r="N965" s="44"/>
      <c r="O965" s="44"/>
      <c r="P965" s="44"/>
      <c r="Q965" s="44"/>
      <c r="R965" s="44"/>
      <c r="S965" s="44"/>
      <c r="T965" s="44"/>
      <c r="U965" s="44"/>
      <c r="V965" s="44"/>
      <c r="W965" s="44"/>
      <c r="X965" s="44"/>
      <c r="Y965" s="44"/>
      <c r="Z965" s="44"/>
      <c r="AB965" s="37" t="str">
        <f aca="false">TRIM($A965&amp;"")</f>
        <v/>
      </c>
      <c r="AC965" s="37" t="str">
        <f aca="false">IF(AB965="","",IFERROR(INDEX('Account Map'!$B:$B,MATCH(AB965,'Account Map'!$A:$A,0)),""))</f>
        <v/>
      </c>
      <c r="AD965" s="37" t="str">
        <f aca="false">IF(AB965="","",IFERROR(INDEX('Account Map'!$C:$C,MATCH(AB965,'Account Map'!$A:$A,0)),""))</f>
        <v/>
      </c>
      <c r="AE965" s="37" t="n">
        <f aca="false">IF(AND(AB965&lt;&gt;"",AC965="",COUNT($B965:$Z965)&gt;0,LEFT(AB965,5)&lt;&gt;"Total",AB965&lt;&gt;"Gross Profit",AB965&lt;&gt;"Net Profit",AB965&lt;&gt;"Operating Profit"),1,0)</f>
        <v>0</v>
      </c>
    </row>
    <row r="966" customFormat="false" ht="15" hidden="false" customHeight="false" outlineLevel="0" collapsed="false">
      <c r="B966" s="44"/>
      <c r="C966" s="44"/>
      <c r="D966" s="44"/>
      <c r="E966" s="44"/>
      <c r="F966" s="44"/>
      <c r="G966" s="44"/>
      <c r="H966" s="44"/>
      <c r="I966" s="44"/>
      <c r="J966" s="44"/>
      <c r="K966" s="44"/>
      <c r="L966" s="44"/>
      <c r="M966" s="44"/>
      <c r="N966" s="44"/>
      <c r="O966" s="44"/>
      <c r="P966" s="44"/>
      <c r="Q966" s="44"/>
      <c r="R966" s="44"/>
      <c r="S966" s="44"/>
      <c r="T966" s="44"/>
      <c r="U966" s="44"/>
      <c r="V966" s="44"/>
      <c r="W966" s="44"/>
      <c r="X966" s="44"/>
      <c r="Y966" s="44"/>
      <c r="Z966" s="44"/>
      <c r="AB966" s="37" t="str">
        <f aca="false">TRIM($A966&amp;"")</f>
        <v/>
      </c>
      <c r="AC966" s="37" t="str">
        <f aca="false">IF(AB966="","",IFERROR(INDEX('Account Map'!$B:$B,MATCH(AB966,'Account Map'!$A:$A,0)),""))</f>
        <v/>
      </c>
      <c r="AD966" s="37" t="str">
        <f aca="false">IF(AB966="","",IFERROR(INDEX('Account Map'!$C:$C,MATCH(AB966,'Account Map'!$A:$A,0)),""))</f>
        <v/>
      </c>
      <c r="AE966" s="37" t="n">
        <f aca="false">IF(AND(AB966&lt;&gt;"",AC966="",COUNT($B966:$Z966)&gt;0,LEFT(AB966,5)&lt;&gt;"Total",AB966&lt;&gt;"Gross Profit",AB966&lt;&gt;"Net Profit",AB966&lt;&gt;"Operating Profit"),1,0)</f>
        <v>0</v>
      </c>
    </row>
    <row r="967" customFormat="false" ht="15" hidden="false" customHeight="false" outlineLevel="0" collapsed="false">
      <c r="B967" s="44"/>
      <c r="C967" s="44"/>
      <c r="D967" s="44"/>
      <c r="E967" s="44"/>
      <c r="F967" s="44"/>
      <c r="G967" s="44"/>
      <c r="H967" s="44"/>
      <c r="I967" s="44"/>
      <c r="J967" s="44"/>
      <c r="K967" s="44"/>
      <c r="L967" s="44"/>
      <c r="M967" s="44"/>
      <c r="N967" s="44"/>
      <c r="O967" s="44"/>
      <c r="P967" s="44"/>
      <c r="Q967" s="44"/>
      <c r="R967" s="44"/>
      <c r="S967" s="44"/>
      <c r="T967" s="44"/>
      <c r="U967" s="44"/>
      <c r="V967" s="44"/>
      <c r="W967" s="44"/>
      <c r="X967" s="44"/>
      <c r="Y967" s="44"/>
      <c r="Z967" s="44"/>
      <c r="AB967" s="37" t="str">
        <f aca="false">TRIM($A967&amp;"")</f>
        <v/>
      </c>
      <c r="AC967" s="37" t="str">
        <f aca="false">IF(AB967="","",IFERROR(INDEX('Account Map'!$B:$B,MATCH(AB967,'Account Map'!$A:$A,0)),""))</f>
        <v/>
      </c>
      <c r="AD967" s="37" t="str">
        <f aca="false">IF(AB967="","",IFERROR(INDEX('Account Map'!$C:$C,MATCH(AB967,'Account Map'!$A:$A,0)),""))</f>
        <v/>
      </c>
      <c r="AE967" s="37" t="n">
        <f aca="false">IF(AND(AB967&lt;&gt;"",AC967="",COUNT($B967:$Z967)&gt;0,LEFT(AB967,5)&lt;&gt;"Total",AB967&lt;&gt;"Gross Profit",AB967&lt;&gt;"Net Profit",AB967&lt;&gt;"Operating Profit"),1,0)</f>
        <v>0</v>
      </c>
    </row>
    <row r="968" customFormat="false" ht="15" hidden="false" customHeight="false" outlineLevel="0" collapsed="false">
      <c r="B968" s="44"/>
      <c r="C968" s="44"/>
      <c r="D968" s="44"/>
      <c r="E968" s="44"/>
      <c r="F968" s="44"/>
      <c r="G968" s="44"/>
      <c r="H968" s="44"/>
      <c r="I968" s="44"/>
      <c r="J968" s="44"/>
      <c r="K968" s="44"/>
      <c r="L968" s="44"/>
      <c r="M968" s="44"/>
      <c r="N968" s="44"/>
      <c r="O968" s="44"/>
      <c r="P968" s="44"/>
      <c r="Q968" s="44"/>
      <c r="R968" s="44"/>
      <c r="S968" s="44"/>
      <c r="T968" s="44"/>
      <c r="U968" s="44"/>
      <c r="V968" s="44"/>
      <c r="W968" s="44"/>
      <c r="X968" s="44"/>
      <c r="Y968" s="44"/>
      <c r="Z968" s="44"/>
      <c r="AB968" s="37" t="str">
        <f aca="false">TRIM($A968&amp;"")</f>
        <v/>
      </c>
      <c r="AC968" s="37" t="str">
        <f aca="false">IF(AB968="","",IFERROR(INDEX('Account Map'!$B:$B,MATCH(AB968,'Account Map'!$A:$A,0)),""))</f>
        <v/>
      </c>
      <c r="AD968" s="37" t="str">
        <f aca="false">IF(AB968="","",IFERROR(INDEX('Account Map'!$C:$C,MATCH(AB968,'Account Map'!$A:$A,0)),""))</f>
        <v/>
      </c>
      <c r="AE968" s="37" t="n">
        <f aca="false">IF(AND(AB968&lt;&gt;"",AC968="",COUNT($B968:$Z968)&gt;0,LEFT(AB968,5)&lt;&gt;"Total",AB968&lt;&gt;"Gross Profit",AB968&lt;&gt;"Net Profit",AB968&lt;&gt;"Operating Profit"),1,0)</f>
        <v>0</v>
      </c>
    </row>
    <row r="969" customFormat="false" ht="15" hidden="false" customHeight="false" outlineLevel="0" collapsed="false">
      <c r="B969" s="44"/>
      <c r="C969" s="44"/>
      <c r="D969" s="44"/>
      <c r="E969" s="44"/>
      <c r="F969" s="44"/>
      <c r="G969" s="44"/>
      <c r="H969" s="44"/>
      <c r="I969" s="44"/>
      <c r="J969" s="44"/>
      <c r="K969" s="44"/>
      <c r="L969" s="44"/>
      <c r="M969" s="44"/>
      <c r="N969" s="44"/>
      <c r="O969" s="44"/>
      <c r="P969" s="44"/>
      <c r="Q969" s="44"/>
      <c r="R969" s="44"/>
      <c r="S969" s="44"/>
      <c r="T969" s="44"/>
      <c r="U969" s="44"/>
      <c r="V969" s="44"/>
      <c r="W969" s="44"/>
      <c r="X969" s="44"/>
      <c r="Y969" s="44"/>
      <c r="Z969" s="44"/>
      <c r="AB969" s="37" t="str">
        <f aca="false">TRIM($A969&amp;"")</f>
        <v/>
      </c>
      <c r="AC969" s="37" t="str">
        <f aca="false">IF(AB969="","",IFERROR(INDEX('Account Map'!$B:$B,MATCH(AB969,'Account Map'!$A:$A,0)),""))</f>
        <v/>
      </c>
      <c r="AD969" s="37" t="str">
        <f aca="false">IF(AB969="","",IFERROR(INDEX('Account Map'!$C:$C,MATCH(AB969,'Account Map'!$A:$A,0)),""))</f>
        <v/>
      </c>
      <c r="AE969" s="37" t="n">
        <f aca="false">IF(AND(AB969&lt;&gt;"",AC969="",COUNT($B969:$Z969)&gt;0,LEFT(AB969,5)&lt;&gt;"Total",AB969&lt;&gt;"Gross Profit",AB969&lt;&gt;"Net Profit",AB969&lt;&gt;"Operating Profit"),1,0)</f>
        <v>0</v>
      </c>
    </row>
    <row r="970" customFormat="false" ht="15" hidden="false" customHeight="false" outlineLevel="0" collapsed="false">
      <c r="B970" s="44"/>
      <c r="C970" s="44"/>
      <c r="D970" s="44"/>
      <c r="E970" s="44"/>
      <c r="F970" s="44"/>
      <c r="G970" s="44"/>
      <c r="H970" s="44"/>
      <c r="I970" s="44"/>
      <c r="J970" s="44"/>
      <c r="K970" s="44"/>
      <c r="L970" s="44"/>
      <c r="M970" s="44"/>
      <c r="N970" s="44"/>
      <c r="O970" s="44"/>
      <c r="P970" s="44"/>
      <c r="Q970" s="44"/>
      <c r="R970" s="44"/>
      <c r="S970" s="44"/>
      <c r="T970" s="44"/>
      <c r="U970" s="44"/>
      <c r="V970" s="44"/>
      <c r="W970" s="44"/>
      <c r="X970" s="44"/>
      <c r="Y970" s="44"/>
      <c r="Z970" s="44"/>
      <c r="AB970" s="37" t="str">
        <f aca="false">TRIM($A970&amp;"")</f>
        <v/>
      </c>
      <c r="AC970" s="37" t="str">
        <f aca="false">IF(AB970="","",IFERROR(INDEX('Account Map'!$B:$B,MATCH(AB970,'Account Map'!$A:$A,0)),""))</f>
        <v/>
      </c>
      <c r="AD970" s="37" t="str">
        <f aca="false">IF(AB970="","",IFERROR(INDEX('Account Map'!$C:$C,MATCH(AB970,'Account Map'!$A:$A,0)),""))</f>
        <v/>
      </c>
      <c r="AE970" s="37" t="n">
        <f aca="false">IF(AND(AB970&lt;&gt;"",AC970="",COUNT($B970:$Z970)&gt;0,LEFT(AB970,5)&lt;&gt;"Total",AB970&lt;&gt;"Gross Profit",AB970&lt;&gt;"Net Profit",AB970&lt;&gt;"Operating Profit"),1,0)</f>
        <v>0</v>
      </c>
    </row>
    <row r="971" customFormat="false" ht="15" hidden="false" customHeight="false" outlineLevel="0" collapsed="false">
      <c r="B971" s="44"/>
      <c r="C971" s="44"/>
      <c r="D971" s="44"/>
      <c r="E971" s="44"/>
      <c r="F971" s="44"/>
      <c r="G971" s="44"/>
      <c r="H971" s="44"/>
      <c r="I971" s="44"/>
      <c r="J971" s="44"/>
      <c r="K971" s="44"/>
      <c r="L971" s="44"/>
      <c r="M971" s="44"/>
      <c r="N971" s="44"/>
      <c r="O971" s="44"/>
      <c r="P971" s="44"/>
      <c r="Q971" s="44"/>
      <c r="R971" s="44"/>
      <c r="S971" s="44"/>
      <c r="T971" s="44"/>
      <c r="U971" s="44"/>
      <c r="V971" s="44"/>
      <c r="W971" s="44"/>
      <c r="X971" s="44"/>
      <c r="Y971" s="44"/>
      <c r="Z971" s="44"/>
      <c r="AB971" s="37" t="str">
        <f aca="false">TRIM($A971&amp;"")</f>
        <v/>
      </c>
      <c r="AC971" s="37" t="str">
        <f aca="false">IF(AB971="","",IFERROR(INDEX('Account Map'!$B:$B,MATCH(AB971,'Account Map'!$A:$A,0)),""))</f>
        <v/>
      </c>
      <c r="AD971" s="37" t="str">
        <f aca="false">IF(AB971="","",IFERROR(INDEX('Account Map'!$C:$C,MATCH(AB971,'Account Map'!$A:$A,0)),""))</f>
        <v/>
      </c>
      <c r="AE971" s="37" t="n">
        <f aca="false">IF(AND(AB971&lt;&gt;"",AC971="",COUNT($B971:$Z971)&gt;0,LEFT(AB971,5)&lt;&gt;"Total",AB971&lt;&gt;"Gross Profit",AB971&lt;&gt;"Net Profit",AB971&lt;&gt;"Operating Profit"),1,0)</f>
        <v>0</v>
      </c>
    </row>
    <row r="972" customFormat="false" ht="15" hidden="false" customHeight="false" outlineLevel="0" collapsed="false">
      <c r="B972" s="44"/>
      <c r="C972" s="44"/>
      <c r="D972" s="44"/>
      <c r="E972" s="44"/>
      <c r="F972" s="44"/>
      <c r="G972" s="44"/>
      <c r="H972" s="44"/>
      <c r="I972" s="44"/>
      <c r="J972" s="44"/>
      <c r="K972" s="44"/>
      <c r="L972" s="44"/>
      <c r="M972" s="44"/>
      <c r="N972" s="44"/>
      <c r="O972" s="44"/>
      <c r="P972" s="44"/>
      <c r="Q972" s="44"/>
      <c r="R972" s="44"/>
      <c r="S972" s="44"/>
      <c r="T972" s="44"/>
      <c r="U972" s="44"/>
      <c r="V972" s="44"/>
      <c r="W972" s="44"/>
      <c r="X972" s="44"/>
      <c r="Y972" s="44"/>
      <c r="Z972" s="44"/>
      <c r="AB972" s="37" t="str">
        <f aca="false">TRIM($A972&amp;"")</f>
        <v/>
      </c>
      <c r="AC972" s="37" t="str">
        <f aca="false">IF(AB972="","",IFERROR(INDEX('Account Map'!$B:$B,MATCH(AB972,'Account Map'!$A:$A,0)),""))</f>
        <v/>
      </c>
      <c r="AD972" s="37" t="str">
        <f aca="false">IF(AB972="","",IFERROR(INDEX('Account Map'!$C:$C,MATCH(AB972,'Account Map'!$A:$A,0)),""))</f>
        <v/>
      </c>
      <c r="AE972" s="37" t="n">
        <f aca="false">IF(AND(AB972&lt;&gt;"",AC972="",COUNT($B972:$Z972)&gt;0,LEFT(AB972,5)&lt;&gt;"Total",AB972&lt;&gt;"Gross Profit",AB972&lt;&gt;"Net Profit",AB972&lt;&gt;"Operating Profit"),1,0)</f>
        <v>0</v>
      </c>
    </row>
    <row r="973" customFormat="false" ht="15" hidden="false" customHeight="false" outlineLevel="0" collapsed="false">
      <c r="B973" s="44"/>
      <c r="C973" s="44"/>
      <c r="D973" s="44"/>
      <c r="E973" s="44"/>
      <c r="F973" s="44"/>
      <c r="G973" s="44"/>
      <c r="H973" s="44"/>
      <c r="I973" s="44"/>
      <c r="J973" s="44"/>
      <c r="K973" s="44"/>
      <c r="L973" s="44"/>
      <c r="M973" s="44"/>
      <c r="N973" s="44"/>
      <c r="O973" s="44"/>
      <c r="P973" s="44"/>
      <c r="Q973" s="44"/>
      <c r="R973" s="44"/>
      <c r="S973" s="44"/>
      <c r="T973" s="44"/>
      <c r="U973" s="44"/>
      <c r="V973" s="44"/>
      <c r="W973" s="44"/>
      <c r="X973" s="44"/>
      <c r="Y973" s="44"/>
      <c r="Z973" s="44"/>
      <c r="AB973" s="37" t="str">
        <f aca="false">TRIM($A973&amp;"")</f>
        <v/>
      </c>
      <c r="AC973" s="37" t="str">
        <f aca="false">IF(AB973="","",IFERROR(INDEX('Account Map'!$B:$B,MATCH(AB973,'Account Map'!$A:$A,0)),""))</f>
        <v/>
      </c>
      <c r="AD973" s="37" t="str">
        <f aca="false">IF(AB973="","",IFERROR(INDEX('Account Map'!$C:$C,MATCH(AB973,'Account Map'!$A:$A,0)),""))</f>
        <v/>
      </c>
      <c r="AE973" s="37" t="n">
        <f aca="false">IF(AND(AB973&lt;&gt;"",AC973="",COUNT($B973:$Z973)&gt;0,LEFT(AB973,5)&lt;&gt;"Total",AB973&lt;&gt;"Gross Profit",AB973&lt;&gt;"Net Profit",AB973&lt;&gt;"Operating Profit"),1,0)</f>
        <v>0</v>
      </c>
    </row>
    <row r="974" customFormat="false" ht="15" hidden="false" customHeight="false" outlineLevel="0" collapsed="false">
      <c r="B974" s="44"/>
      <c r="C974" s="44"/>
      <c r="D974" s="44"/>
      <c r="E974" s="44"/>
      <c r="F974" s="44"/>
      <c r="G974" s="44"/>
      <c r="H974" s="44"/>
      <c r="I974" s="44"/>
      <c r="J974" s="44"/>
      <c r="K974" s="44"/>
      <c r="L974" s="44"/>
      <c r="M974" s="44"/>
      <c r="N974" s="44"/>
      <c r="O974" s="44"/>
      <c r="P974" s="44"/>
      <c r="Q974" s="44"/>
      <c r="R974" s="44"/>
      <c r="S974" s="44"/>
      <c r="T974" s="44"/>
      <c r="U974" s="44"/>
      <c r="V974" s="44"/>
      <c r="W974" s="44"/>
      <c r="X974" s="44"/>
      <c r="Y974" s="44"/>
      <c r="Z974" s="44"/>
      <c r="AB974" s="37" t="str">
        <f aca="false">TRIM($A974&amp;"")</f>
        <v/>
      </c>
      <c r="AC974" s="37" t="str">
        <f aca="false">IF(AB974="","",IFERROR(INDEX('Account Map'!$B:$B,MATCH(AB974,'Account Map'!$A:$A,0)),""))</f>
        <v/>
      </c>
      <c r="AD974" s="37" t="str">
        <f aca="false">IF(AB974="","",IFERROR(INDEX('Account Map'!$C:$C,MATCH(AB974,'Account Map'!$A:$A,0)),""))</f>
        <v/>
      </c>
      <c r="AE974" s="37" t="n">
        <f aca="false">IF(AND(AB974&lt;&gt;"",AC974="",COUNT($B974:$Z974)&gt;0,LEFT(AB974,5)&lt;&gt;"Total",AB974&lt;&gt;"Gross Profit",AB974&lt;&gt;"Net Profit",AB974&lt;&gt;"Operating Profit"),1,0)</f>
        <v>0</v>
      </c>
    </row>
    <row r="975" customFormat="false" ht="15" hidden="false" customHeight="false" outlineLevel="0" collapsed="false">
      <c r="B975" s="44"/>
      <c r="C975" s="44"/>
      <c r="D975" s="44"/>
      <c r="E975" s="44"/>
      <c r="F975" s="44"/>
      <c r="G975" s="44"/>
      <c r="H975" s="44"/>
      <c r="I975" s="44"/>
      <c r="J975" s="44"/>
      <c r="K975" s="44"/>
      <c r="L975" s="44"/>
      <c r="M975" s="44"/>
      <c r="N975" s="44"/>
      <c r="O975" s="44"/>
      <c r="P975" s="44"/>
      <c r="Q975" s="44"/>
      <c r="R975" s="44"/>
      <c r="S975" s="44"/>
      <c r="T975" s="44"/>
      <c r="U975" s="44"/>
      <c r="V975" s="44"/>
      <c r="W975" s="44"/>
      <c r="X975" s="44"/>
      <c r="Y975" s="44"/>
      <c r="Z975" s="44"/>
      <c r="AB975" s="37" t="str">
        <f aca="false">TRIM($A975&amp;"")</f>
        <v/>
      </c>
      <c r="AC975" s="37" t="str">
        <f aca="false">IF(AB975="","",IFERROR(INDEX('Account Map'!$B:$B,MATCH(AB975,'Account Map'!$A:$A,0)),""))</f>
        <v/>
      </c>
      <c r="AD975" s="37" t="str">
        <f aca="false">IF(AB975="","",IFERROR(INDEX('Account Map'!$C:$C,MATCH(AB975,'Account Map'!$A:$A,0)),""))</f>
        <v/>
      </c>
      <c r="AE975" s="37" t="n">
        <f aca="false">IF(AND(AB975&lt;&gt;"",AC975="",COUNT($B975:$Z975)&gt;0,LEFT(AB975,5)&lt;&gt;"Total",AB975&lt;&gt;"Gross Profit",AB975&lt;&gt;"Net Profit",AB975&lt;&gt;"Operating Profit"),1,0)</f>
        <v>0</v>
      </c>
    </row>
    <row r="976" customFormat="false" ht="15" hidden="false" customHeight="false" outlineLevel="0" collapsed="false">
      <c r="B976" s="44"/>
      <c r="C976" s="44"/>
      <c r="D976" s="44"/>
      <c r="E976" s="44"/>
      <c r="F976" s="44"/>
      <c r="G976" s="44"/>
      <c r="H976" s="44"/>
      <c r="I976" s="44"/>
      <c r="J976" s="44"/>
      <c r="K976" s="44"/>
      <c r="L976" s="44"/>
      <c r="M976" s="44"/>
      <c r="N976" s="44"/>
      <c r="O976" s="44"/>
      <c r="P976" s="44"/>
      <c r="Q976" s="44"/>
      <c r="R976" s="44"/>
      <c r="S976" s="44"/>
      <c r="T976" s="44"/>
      <c r="U976" s="44"/>
      <c r="V976" s="44"/>
      <c r="W976" s="44"/>
      <c r="X976" s="44"/>
      <c r="Y976" s="44"/>
      <c r="Z976" s="44"/>
      <c r="AB976" s="37" t="str">
        <f aca="false">TRIM($A976&amp;"")</f>
        <v/>
      </c>
      <c r="AC976" s="37" t="str">
        <f aca="false">IF(AB976="","",IFERROR(INDEX('Account Map'!$B:$B,MATCH(AB976,'Account Map'!$A:$A,0)),""))</f>
        <v/>
      </c>
      <c r="AD976" s="37" t="str">
        <f aca="false">IF(AB976="","",IFERROR(INDEX('Account Map'!$C:$C,MATCH(AB976,'Account Map'!$A:$A,0)),""))</f>
        <v/>
      </c>
      <c r="AE976" s="37" t="n">
        <f aca="false">IF(AND(AB976&lt;&gt;"",AC976="",COUNT($B976:$Z976)&gt;0,LEFT(AB976,5)&lt;&gt;"Total",AB976&lt;&gt;"Gross Profit",AB976&lt;&gt;"Net Profit",AB976&lt;&gt;"Operating Profit"),1,0)</f>
        <v>0</v>
      </c>
    </row>
    <row r="977" customFormat="false" ht="15" hidden="false" customHeight="false" outlineLevel="0" collapsed="false">
      <c r="B977" s="44"/>
      <c r="C977" s="44"/>
      <c r="D977" s="44"/>
      <c r="E977" s="44"/>
      <c r="F977" s="44"/>
      <c r="G977" s="44"/>
      <c r="H977" s="44"/>
      <c r="I977" s="44"/>
      <c r="J977" s="44"/>
      <c r="K977" s="44"/>
      <c r="L977" s="44"/>
      <c r="M977" s="44"/>
      <c r="N977" s="44"/>
      <c r="O977" s="44"/>
      <c r="P977" s="44"/>
      <c r="Q977" s="44"/>
      <c r="R977" s="44"/>
      <c r="S977" s="44"/>
      <c r="T977" s="44"/>
      <c r="U977" s="44"/>
      <c r="V977" s="44"/>
      <c r="W977" s="44"/>
      <c r="X977" s="44"/>
      <c r="Y977" s="44"/>
      <c r="Z977" s="44"/>
      <c r="AB977" s="37" t="str">
        <f aca="false">TRIM($A977&amp;"")</f>
        <v/>
      </c>
      <c r="AC977" s="37" t="str">
        <f aca="false">IF(AB977="","",IFERROR(INDEX('Account Map'!$B:$B,MATCH(AB977,'Account Map'!$A:$A,0)),""))</f>
        <v/>
      </c>
      <c r="AD977" s="37" t="str">
        <f aca="false">IF(AB977="","",IFERROR(INDEX('Account Map'!$C:$C,MATCH(AB977,'Account Map'!$A:$A,0)),""))</f>
        <v/>
      </c>
      <c r="AE977" s="37" t="n">
        <f aca="false">IF(AND(AB977&lt;&gt;"",AC977="",COUNT($B977:$Z977)&gt;0,LEFT(AB977,5)&lt;&gt;"Total",AB977&lt;&gt;"Gross Profit",AB977&lt;&gt;"Net Profit",AB977&lt;&gt;"Operating Profit"),1,0)</f>
        <v>0</v>
      </c>
    </row>
    <row r="978" customFormat="false" ht="15" hidden="false" customHeight="false" outlineLevel="0" collapsed="false">
      <c r="B978" s="44"/>
      <c r="C978" s="44"/>
      <c r="D978" s="44"/>
      <c r="E978" s="44"/>
      <c r="F978" s="44"/>
      <c r="G978" s="44"/>
      <c r="H978" s="44"/>
      <c r="I978" s="44"/>
      <c r="J978" s="44"/>
      <c r="K978" s="44"/>
      <c r="L978" s="44"/>
      <c r="M978" s="44"/>
      <c r="N978" s="44"/>
      <c r="O978" s="44"/>
      <c r="P978" s="44"/>
      <c r="Q978" s="44"/>
      <c r="R978" s="44"/>
      <c r="S978" s="44"/>
      <c r="T978" s="44"/>
      <c r="U978" s="44"/>
      <c r="V978" s="44"/>
      <c r="W978" s="44"/>
      <c r="X978" s="44"/>
      <c r="Y978" s="44"/>
      <c r="Z978" s="44"/>
      <c r="AB978" s="37" t="str">
        <f aca="false">TRIM($A978&amp;"")</f>
        <v/>
      </c>
      <c r="AC978" s="37" t="str">
        <f aca="false">IF(AB978="","",IFERROR(INDEX('Account Map'!$B:$B,MATCH(AB978,'Account Map'!$A:$A,0)),""))</f>
        <v/>
      </c>
      <c r="AD978" s="37" t="str">
        <f aca="false">IF(AB978="","",IFERROR(INDEX('Account Map'!$C:$C,MATCH(AB978,'Account Map'!$A:$A,0)),""))</f>
        <v/>
      </c>
      <c r="AE978" s="37" t="n">
        <f aca="false">IF(AND(AB978&lt;&gt;"",AC978="",COUNT($B978:$Z978)&gt;0,LEFT(AB978,5)&lt;&gt;"Total",AB978&lt;&gt;"Gross Profit",AB978&lt;&gt;"Net Profit",AB978&lt;&gt;"Operating Profit"),1,0)</f>
        <v>0</v>
      </c>
    </row>
    <row r="979" customFormat="false" ht="15" hidden="false" customHeight="false" outlineLevel="0" collapsed="false">
      <c r="B979" s="44"/>
      <c r="C979" s="44"/>
      <c r="D979" s="44"/>
      <c r="E979" s="44"/>
      <c r="F979" s="44"/>
      <c r="G979" s="44"/>
      <c r="H979" s="44"/>
      <c r="I979" s="44"/>
      <c r="J979" s="44"/>
      <c r="K979" s="44"/>
      <c r="L979" s="44"/>
      <c r="M979" s="44"/>
      <c r="N979" s="44"/>
      <c r="O979" s="44"/>
      <c r="P979" s="44"/>
      <c r="Q979" s="44"/>
      <c r="R979" s="44"/>
      <c r="S979" s="44"/>
      <c r="T979" s="44"/>
      <c r="U979" s="44"/>
      <c r="V979" s="44"/>
      <c r="W979" s="44"/>
      <c r="X979" s="44"/>
      <c r="Y979" s="44"/>
      <c r="Z979" s="44"/>
      <c r="AB979" s="37" t="str">
        <f aca="false">TRIM($A979&amp;"")</f>
        <v/>
      </c>
      <c r="AC979" s="37" t="str">
        <f aca="false">IF(AB979="","",IFERROR(INDEX('Account Map'!$B:$B,MATCH(AB979,'Account Map'!$A:$A,0)),""))</f>
        <v/>
      </c>
      <c r="AD979" s="37" t="str">
        <f aca="false">IF(AB979="","",IFERROR(INDEX('Account Map'!$C:$C,MATCH(AB979,'Account Map'!$A:$A,0)),""))</f>
        <v/>
      </c>
      <c r="AE979" s="37" t="n">
        <f aca="false">IF(AND(AB979&lt;&gt;"",AC979="",COUNT($B979:$Z979)&gt;0,LEFT(AB979,5)&lt;&gt;"Total",AB979&lt;&gt;"Gross Profit",AB979&lt;&gt;"Net Profit",AB979&lt;&gt;"Operating Profit"),1,0)</f>
        <v>0</v>
      </c>
    </row>
    <row r="980" customFormat="false" ht="15" hidden="false" customHeight="false" outlineLevel="0" collapsed="false">
      <c r="B980" s="44"/>
      <c r="C980" s="44"/>
      <c r="D980" s="44"/>
      <c r="E980" s="44"/>
      <c r="F980" s="44"/>
      <c r="G980" s="44"/>
      <c r="H980" s="44"/>
      <c r="I980" s="44"/>
      <c r="J980" s="44"/>
      <c r="K980" s="44"/>
      <c r="L980" s="44"/>
      <c r="M980" s="44"/>
      <c r="N980" s="44"/>
      <c r="O980" s="44"/>
      <c r="P980" s="44"/>
      <c r="Q980" s="44"/>
      <c r="R980" s="44"/>
      <c r="S980" s="44"/>
      <c r="T980" s="44"/>
      <c r="U980" s="44"/>
      <c r="V980" s="44"/>
      <c r="W980" s="44"/>
      <c r="X980" s="44"/>
      <c r="Y980" s="44"/>
      <c r="Z980" s="44"/>
      <c r="AB980" s="37" t="str">
        <f aca="false">TRIM($A980&amp;"")</f>
        <v/>
      </c>
      <c r="AC980" s="37" t="str">
        <f aca="false">IF(AB980="","",IFERROR(INDEX('Account Map'!$B:$B,MATCH(AB980,'Account Map'!$A:$A,0)),""))</f>
        <v/>
      </c>
      <c r="AD980" s="37" t="str">
        <f aca="false">IF(AB980="","",IFERROR(INDEX('Account Map'!$C:$C,MATCH(AB980,'Account Map'!$A:$A,0)),""))</f>
        <v/>
      </c>
      <c r="AE980" s="37" t="n">
        <f aca="false">IF(AND(AB980&lt;&gt;"",AC980="",COUNT($B980:$Z980)&gt;0,LEFT(AB980,5)&lt;&gt;"Total",AB980&lt;&gt;"Gross Profit",AB980&lt;&gt;"Net Profit",AB980&lt;&gt;"Operating Profit"),1,0)</f>
        <v>0</v>
      </c>
    </row>
    <row r="981" customFormat="false" ht="15" hidden="false" customHeight="false" outlineLevel="0" collapsed="false">
      <c r="B981" s="44"/>
      <c r="C981" s="44"/>
      <c r="D981" s="44"/>
      <c r="E981" s="44"/>
      <c r="F981" s="44"/>
      <c r="G981" s="44"/>
      <c r="H981" s="44"/>
      <c r="I981" s="44"/>
      <c r="J981" s="44"/>
      <c r="K981" s="44"/>
      <c r="L981" s="44"/>
      <c r="M981" s="44"/>
      <c r="N981" s="44"/>
      <c r="O981" s="44"/>
      <c r="P981" s="44"/>
      <c r="Q981" s="44"/>
      <c r="R981" s="44"/>
      <c r="S981" s="44"/>
      <c r="T981" s="44"/>
      <c r="U981" s="44"/>
      <c r="V981" s="44"/>
      <c r="W981" s="44"/>
      <c r="X981" s="44"/>
      <c r="Y981" s="44"/>
      <c r="Z981" s="44"/>
      <c r="AB981" s="37" t="str">
        <f aca="false">TRIM($A981&amp;"")</f>
        <v/>
      </c>
      <c r="AC981" s="37" t="str">
        <f aca="false">IF(AB981="","",IFERROR(INDEX('Account Map'!$B:$B,MATCH(AB981,'Account Map'!$A:$A,0)),""))</f>
        <v/>
      </c>
      <c r="AD981" s="37" t="str">
        <f aca="false">IF(AB981="","",IFERROR(INDEX('Account Map'!$C:$C,MATCH(AB981,'Account Map'!$A:$A,0)),""))</f>
        <v/>
      </c>
      <c r="AE981" s="37" t="n">
        <f aca="false">IF(AND(AB981&lt;&gt;"",AC981="",COUNT($B981:$Z981)&gt;0,LEFT(AB981,5)&lt;&gt;"Total",AB981&lt;&gt;"Gross Profit",AB981&lt;&gt;"Net Profit",AB981&lt;&gt;"Operating Profit"),1,0)</f>
        <v>0</v>
      </c>
    </row>
    <row r="982" customFormat="false" ht="15" hidden="false" customHeight="false" outlineLevel="0" collapsed="false">
      <c r="B982" s="44"/>
      <c r="C982" s="44"/>
      <c r="D982" s="44"/>
      <c r="E982" s="44"/>
      <c r="F982" s="44"/>
      <c r="G982" s="44"/>
      <c r="H982" s="44"/>
      <c r="I982" s="44"/>
      <c r="J982" s="44"/>
      <c r="K982" s="44"/>
      <c r="L982" s="44"/>
      <c r="M982" s="44"/>
      <c r="N982" s="44"/>
      <c r="O982" s="44"/>
      <c r="P982" s="44"/>
      <c r="Q982" s="44"/>
      <c r="R982" s="44"/>
      <c r="S982" s="44"/>
      <c r="T982" s="44"/>
      <c r="U982" s="44"/>
      <c r="V982" s="44"/>
      <c r="W982" s="44"/>
      <c r="X982" s="44"/>
      <c r="Y982" s="44"/>
      <c r="Z982" s="44"/>
      <c r="AB982" s="37" t="str">
        <f aca="false">TRIM($A982&amp;"")</f>
        <v/>
      </c>
      <c r="AC982" s="37" t="str">
        <f aca="false">IF(AB982="","",IFERROR(INDEX('Account Map'!$B:$B,MATCH(AB982,'Account Map'!$A:$A,0)),""))</f>
        <v/>
      </c>
      <c r="AD982" s="37" t="str">
        <f aca="false">IF(AB982="","",IFERROR(INDEX('Account Map'!$C:$C,MATCH(AB982,'Account Map'!$A:$A,0)),""))</f>
        <v/>
      </c>
      <c r="AE982" s="37" t="n">
        <f aca="false">IF(AND(AB982&lt;&gt;"",AC982="",COUNT($B982:$Z982)&gt;0,LEFT(AB982,5)&lt;&gt;"Total",AB982&lt;&gt;"Gross Profit",AB982&lt;&gt;"Net Profit",AB982&lt;&gt;"Operating Profit"),1,0)</f>
        <v>0</v>
      </c>
    </row>
    <row r="983" customFormat="false" ht="15" hidden="false" customHeight="false" outlineLevel="0" collapsed="false">
      <c r="B983" s="44"/>
      <c r="C983" s="44"/>
      <c r="D983" s="44"/>
      <c r="E983" s="44"/>
      <c r="F983" s="44"/>
      <c r="G983" s="44"/>
      <c r="H983" s="44"/>
      <c r="I983" s="44"/>
      <c r="J983" s="44"/>
      <c r="K983" s="44"/>
      <c r="L983" s="44"/>
      <c r="M983" s="44"/>
      <c r="N983" s="44"/>
      <c r="O983" s="44"/>
      <c r="P983" s="44"/>
      <c r="Q983" s="44"/>
      <c r="R983" s="44"/>
      <c r="S983" s="44"/>
      <c r="T983" s="44"/>
      <c r="U983" s="44"/>
      <c r="V983" s="44"/>
      <c r="W983" s="44"/>
      <c r="X983" s="44"/>
      <c r="Y983" s="44"/>
      <c r="Z983" s="44"/>
      <c r="AB983" s="37" t="str">
        <f aca="false">TRIM($A983&amp;"")</f>
        <v/>
      </c>
      <c r="AC983" s="37" t="str">
        <f aca="false">IF(AB983="","",IFERROR(INDEX('Account Map'!$B:$B,MATCH(AB983,'Account Map'!$A:$A,0)),""))</f>
        <v/>
      </c>
      <c r="AD983" s="37" t="str">
        <f aca="false">IF(AB983="","",IFERROR(INDEX('Account Map'!$C:$C,MATCH(AB983,'Account Map'!$A:$A,0)),""))</f>
        <v/>
      </c>
      <c r="AE983" s="37" t="n">
        <f aca="false">IF(AND(AB983&lt;&gt;"",AC983="",COUNT($B983:$Z983)&gt;0,LEFT(AB983,5)&lt;&gt;"Total",AB983&lt;&gt;"Gross Profit",AB983&lt;&gt;"Net Profit",AB983&lt;&gt;"Operating Profit"),1,0)</f>
        <v>0</v>
      </c>
    </row>
    <row r="984" customFormat="false" ht="15" hidden="false" customHeight="false" outlineLevel="0" collapsed="false">
      <c r="B984" s="44"/>
      <c r="C984" s="44"/>
      <c r="D984" s="44"/>
      <c r="E984" s="44"/>
      <c r="F984" s="44"/>
      <c r="G984" s="44"/>
      <c r="H984" s="44"/>
      <c r="I984" s="44"/>
      <c r="J984" s="44"/>
      <c r="K984" s="44"/>
      <c r="L984" s="44"/>
      <c r="M984" s="44"/>
      <c r="N984" s="44"/>
      <c r="O984" s="44"/>
      <c r="P984" s="44"/>
      <c r="Q984" s="44"/>
      <c r="R984" s="44"/>
      <c r="S984" s="44"/>
      <c r="T984" s="44"/>
      <c r="U984" s="44"/>
      <c r="V984" s="44"/>
      <c r="W984" s="44"/>
      <c r="X984" s="44"/>
      <c r="Y984" s="44"/>
      <c r="Z984" s="44"/>
      <c r="AB984" s="37" t="str">
        <f aca="false">TRIM($A984&amp;"")</f>
        <v/>
      </c>
      <c r="AC984" s="37" t="str">
        <f aca="false">IF(AB984="","",IFERROR(INDEX('Account Map'!$B:$B,MATCH(AB984,'Account Map'!$A:$A,0)),""))</f>
        <v/>
      </c>
      <c r="AD984" s="37" t="str">
        <f aca="false">IF(AB984="","",IFERROR(INDEX('Account Map'!$C:$C,MATCH(AB984,'Account Map'!$A:$A,0)),""))</f>
        <v/>
      </c>
      <c r="AE984" s="37" t="n">
        <f aca="false">IF(AND(AB984&lt;&gt;"",AC984="",COUNT($B984:$Z984)&gt;0,LEFT(AB984,5)&lt;&gt;"Total",AB984&lt;&gt;"Gross Profit",AB984&lt;&gt;"Net Profit",AB984&lt;&gt;"Operating Profit"),1,0)</f>
        <v>0</v>
      </c>
    </row>
    <row r="985" customFormat="false" ht="15" hidden="false" customHeight="false" outlineLevel="0" collapsed="false">
      <c r="B985" s="44"/>
      <c r="C985" s="44"/>
      <c r="D985" s="44"/>
      <c r="E985" s="44"/>
      <c r="F985" s="44"/>
      <c r="G985" s="44"/>
      <c r="H985" s="44"/>
      <c r="I985" s="44"/>
      <c r="J985" s="44"/>
      <c r="K985" s="44"/>
      <c r="L985" s="44"/>
      <c r="M985" s="44"/>
      <c r="N985" s="44"/>
      <c r="O985" s="44"/>
      <c r="P985" s="44"/>
      <c r="Q985" s="44"/>
      <c r="R985" s="44"/>
      <c r="S985" s="44"/>
      <c r="T985" s="44"/>
      <c r="U985" s="44"/>
      <c r="V985" s="44"/>
      <c r="W985" s="44"/>
      <c r="X985" s="44"/>
      <c r="Y985" s="44"/>
      <c r="Z985" s="44"/>
      <c r="AB985" s="37" t="str">
        <f aca="false">TRIM($A985&amp;"")</f>
        <v/>
      </c>
      <c r="AC985" s="37" t="str">
        <f aca="false">IF(AB985="","",IFERROR(INDEX('Account Map'!$B:$B,MATCH(AB985,'Account Map'!$A:$A,0)),""))</f>
        <v/>
      </c>
      <c r="AD985" s="37" t="str">
        <f aca="false">IF(AB985="","",IFERROR(INDEX('Account Map'!$C:$C,MATCH(AB985,'Account Map'!$A:$A,0)),""))</f>
        <v/>
      </c>
      <c r="AE985" s="37" t="n">
        <f aca="false">IF(AND(AB985&lt;&gt;"",AC985="",COUNT($B985:$Z985)&gt;0,LEFT(AB985,5)&lt;&gt;"Total",AB985&lt;&gt;"Gross Profit",AB985&lt;&gt;"Net Profit",AB985&lt;&gt;"Operating Profit"),1,0)</f>
        <v>0</v>
      </c>
    </row>
    <row r="986" customFormat="false" ht="15" hidden="false" customHeight="false" outlineLevel="0" collapsed="false">
      <c r="B986" s="44"/>
      <c r="C986" s="44"/>
      <c r="D986" s="44"/>
      <c r="E986" s="44"/>
      <c r="F986" s="44"/>
      <c r="G986" s="44"/>
      <c r="H986" s="44"/>
      <c r="I986" s="44"/>
      <c r="J986" s="44"/>
      <c r="K986" s="44"/>
      <c r="L986" s="44"/>
      <c r="M986" s="44"/>
      <c r="N986" s="44"/>
      <c r="O986" s="44"/>
      <c r="P986" s="44"/>
      <c r="Q986" s="44"/>
      <c r="R986" s="44"/>
      <c r="S986" s="44"/>
      <c r="T986" s="44"/>
      <c r="U986" s="44"/>
      <c r="V986" s="44"/>
      <c r="W986" s="44"/>
      <c r="X986" s="44"/>
      <c r="Y986" s="44"/>
      <c r="Z986" s="44"/>
      <c r="AB986" s="37" t="str">
        <f aca="false">TRIM($A986&amp;"")</f>
        <v/>
      </c>
      <c r="AC986" s="37" t="str">
        <f aca="false">IF(AB986="","",IFERROR(INDEX('Account Map'!$B:$B,MATCH(AB986,'Account Map'!$A:$A,0)),""))</f>
        <v/>
      </c>
      <c r="AD986" s="37" t="str">
        <f aca="false">IF(AB986="","",IFERROR(INDEX('Account Map'!$C:$C,MATCH(AB986,'Account Map'!$A:$A,0)),""))</f>
        <v/>
      </c>
      <c r="AE986" s="37" t="n">
        <f aca="false">IF(AND(AB986&lt;&gt;"",AC986="",COUNT($B986:$Z986)&gt;0,LEFT(AB986,5)&lt;&gt;"Total",AB986&lt;&gt;"Gross Profit",AB986&lt;&gt;"Net Profit",AB986&lt;&gt;"Operating Profit"),1,0)</f>
        <v>0</v>
      </c>
    </row>
    <row r="987" customFormat="false" ht="15" hidden="false" customHeight="false" outlineLevel="0" collapsed="false">
      <c r="B987" s="44"/>
      <c r="C987" s="44"/>
      <c r="D987" s="44"/>
      <c r="E987" s="44"/>
      <c r="F987" s="44"/>
      <c r="G987" s="44"/>
      <c r="H987" s="44"/>
      <c r="I987" s="44"/>
      <c r="J987" s="44"/>
      <c r="K987" s="44"/>
      <c r="L987" s="44"/>
      <c r="M987" s="44"/>
      <c r="N987" s="44"/>
      <c r="O987" s="44"/>
      <c r="P987" s="44"/>
      <c r="Q987" s="44"/>
      <c r="R987" s="44"/>
      <c r="S987" s="44"/>
      <c r="T987" s="44"/>
      <c r="U987" s="44"/>
      <c r="V987" s="44"/>
      <c r="W987" s="44"/>
      <c r="X987" s="44"/>
      <c r="Y987" s="44"/>
      <c r="Z987" s="44"/>
      <c r="AB987" s="37" t="str">
        <f aca="false">TRIM($A987&amp;"")</f>
        <v/>
      </c>
      <c r="AC987" s="37" t="str">
        <f aca="false">IF(AB987="","",IFERROR(INDEX('Account Map'!$B:$B,MATCH(AB987,'Account Map'!$A:$A,0)),""))</f>
        <v/>
      </c>
      <c r="AD987" s="37" t="str">
        <f aca="false">IF(AB987="","",IFERROR(INDEX('Account Map'!$C:$C,MATCH(AB987,'Account Map'!$A:$A,0)),""))</f>
        <v/>
      </c>
      <c r="AE987" s="37" t="n">
        <f aca="false">IF(AND(AB987&lt;&gt;"",AC987="",COUNT($B987:$Z987)&gt;0,LEFT(AB987,5)&lt;&gt;"Total",AB987&lt;&gt;"Gross Profit",AB987&lt;&gt;"Net Profit",AB987&lt;&gt;"Operating Profit"),1,0)</f>
        <v>0</v>
      </c>
    </row>
    <row r="988" customFormat="false" ht="15" hidden="false" customHeight="false" outlineLevel="0" collapsed="false">
      <c r="B988" s="44"/>
      <c r="C988" s="44"/>
      <c r="D988" s="44"/>
      <c r="E988" s="44"/>
      <c r="F988" s="44"/>
      <c r="G988" s="44"/>
      <c r="H988" s="44"/>
      <c r="I988" s="44"/>
      <c r="J988" s="44"/>
      <c r="K988" s="44"/>
      <c r="L988" s="44"/>
      <c r="M988" s="44"/>
      <c r="N988" s="44"/>
      <c r="O988" s="44"/>
      <c r="P988" s="44"/>
      <c r="Q988" s="44"/>
      <c r="R988" s="44"/>
      <c r="S988" s="44"/>
      <c r="T988" s="44"/>
      <c r="U988" s="44"/>
      <c r="V988" s="44"/>
      <c r="W988" s="44"/>
      <c r="X988" s="44"/>
      <c r="Y988" s="44"/>
      <c r="Z988" s="44"/>
      <c r="AB988" s="37" t="str">
        <f aca="false">TRIM($A988&amp;"")</f>
        <v/>
      </c>
      <c r="AC988" s="37" t="str">
        <f aca="false">IF(AB988="","",IFERROR(INDEX('Account Map'!$B:$B,MATCH(AB988,'Account Map'!$A:$A,0)),""))</f>
        <v/>
      </c>
      <c r="AD988" s="37" t="str">
        <f aca="false">IF(AB988="","",IFERROR(INDEX('Account Map'!$C:$C,MATCH(AB988,'Account Map'!$A:$A,0)),""))</f>
        <v/>
      </c>
      <c r="AE988" s="37" t="n">
        <f aca="false">IF(AND(AB988&lt;&gt;"",AC988="",COUNT($B988:$Z988)&gt;0,LEFT(AB988,5)&lt;&gt;"Total",AB988&lt;&gt;"Gross Profit",AB988&lt;&gt;"Net Profit",AB988&lt;&gt;"Operating Profit"),1,0)</f>
        <v>0</v>
      </c>
    </row>
    <row r="989" customFormat="false" ht="15" hidden="false" customHeight="false" outlineLevel="0" collapsed="false">
      <c r="B989" s="44"/>
      <c r="C989" s="44"/>
      <c r="D989" s="44"/>
      <c r="E989" s="44"/>
      <c r="F989" s="44"/>
      <c r="G989" s="44"/>
      <c r="H989" s="44"/>
      <c r="I989" s="44"/>
      <c r="J989" s="44"/>
      <c r="K989" s="44"/>
      <c r="L989" s="44"/>
      <c r="M989" s="44"/>
      <c r="N989" s="44"/>
      <c r="O989" s="44"/>
      <c r="P989" s="44"/>
      <c r="Q989" s="44"/>
      <c r="R989" s="44"/>
      <c r="S989" s="44"/>
      <c r="T989" s="44"/>
      <c r="U989" s="44"/>
      <c r="V989" s="44"/>
      <c r="W989" s="44"/>
      <c r="X989" s="44"/>
      <c r="Y989" s="44"/>
      <c r="Z989" s="44"/>
      <c r="AB989" s="37" t="str">
        <f aca="false">TRIM($A989&amp;"")</f>
        <v/>
      </c>
      <c r="AC989" s="37" t="str">
        <f aca="false">IF(AB989="","",IFERROR(INDEX('Account Map'!$B:$B,MATCH(AB989,'Account Map'!$A:$A,0)),""))</f>
        <v/>
      </c>
      <c r="AD989" s="37" t="str">
        <f aca="false">IF(AB989="","",IFERROR(INDEX('Account Map'!$C:$C,MATCH(AB989,'Account Map'!$A:$A,0)),""))</f>
        <v/>
      </c>
      <c r="AE989" s="37" t="n">
        <f aca="false">IF(AND(AB989&lt;&gt;"",AC989="",COUNT($B989:$Z989)&gt;0,LEFT(AB989,5)&lt;&gt;"Total",AB989&lt;&gt;"Gross Profit",AB989&lt;&gt;"Net Profit",AB989&lt;&gt;"Operating Profit"),1,0)</f>
        <v>0</v>
      </c>
    </row>
    <row r="990" customFormat="false" ht="15" hidden="false" customHeight="false" outlineLevel="0" collapsed="false">
      <c r="B990" s="44"/>
      <c r="C990" s="44"/>
      <c r="D990" s="44"/>
      <c r="E990" s="44"/>
      <c r="F990" s="44"/>
      <c r="G990" s="44"/>
      <c r="H990" s="44"/>
      <c r="I990" s="44"/>
      <c r="J990" s="44"/>
      <c r="K990" s="44"/>
      <c r="L990" s="44"/>
      <c r="M990" s="44"/>
      <c r="N990" s="44"/>
      <c r="O990" s="44"/>
      <c r="P990" s="44"/>
      <c r="Q990" s="44"/>
      <c r="R990" s="44"/>
      <c r="S990" s="44"/>
      <c r="T990" s="44"/>
      <c r="U990" s="44"/>
      <c r="V990" s="44"/>
      <c r="W990" s="44"/>
      <c r="X990" s="44"/>
      <c r="Y990" s="44"/>
      <c r="Z990" s="44"/>
      <c r="AB990" s="37" t="str">
        <f aca="false">TRIM($A990&amp;"")</f>
        <v/>
      </c>
      <c r="AC990" s="37" t="str">
        <f aca="false">IF(AB990="","",IFERROR(INDEX('Account Map'!$B:$B,MATCH(AB990,'Account Map'!$A:$A,0)),""))</f>
        <v/>
      </c>
      <c r="AD990" s="37" t="str">
        <f aca="false">IF(AB990="","",IFERROR(INDEX('Account Map'!$C:$C,MATCH(AB990,'Account Map'!$A:$A,0)),""))</f>
        <v/>
      </c>
      <c r="AE990" s="37" t="n">
        <f aca="false">IF(AND(AB990&lt;&gt;"",AC990="",COUNT($B990:$Z990)&gt;0,LEFT(AB990,5)&lt;&gt;"Total",AB990&lt;&gt;"Gross Profit",AB990&lt;&gt;"Net Profit",AB990&lt;&gt;"Operating Profit"),1,0)</f>
        <v>0</v>
      </c>
    </row>
    <row r="991" customFormat="false" ht="15" hidden="false" customHeight="false" outlineLevel="0" collapsed="false">
      <c r="B991" s="44"/>
      <c r="C991" s="44"/>
      <c r="D991" s="44"/>
      <c r="E991" s="44"/>
      <c r="F991" s="44"/>
      <c r="G991" s="44"/>
      <c r="H991" s="44"/>
      <c r="I991" s="44"/>
      <c r="J991" s="44"/>
      <c r="K991" s="44"/>
      <c r="L991" s="44"/>
      <c r="M991" s="44"/>
      <c r="N991" s="44"/>
      <c r="O991" s="44"/>
      <c r="P991" s="44"/>
      <c r="Q991" s="44"/>
      <c r="R991" s="44"/>
      <c r="S991" s="44"/>
      <c r="T991" s="44"/>
      <c r="U991" s="44"/>
      <c r="V991" s="44"/>
      <c r="W991" s="44"/>
      <c r="X991" s="44"/>
      <c r="Y991" s="44"/>
      <c r="Z991" s="44"/>
      <c r="AB991" s="37" t="str">
        <f aca="false">TRIM($A991&amp;"")</f>
        <v/>
      </c>
      <c r="AC991" s="37" t="str">
        <f aca="false">IF(AB991="","",IFERROR(INDEX('Account Map'!$B:$B,MATCH(AB991,'Account Map'!$A:$A,0)),""))</f>
        <v/>
      </c>
      <c r="AD991" s="37" t="str">
        <f aca="false">IF(AB991="","",IFERROR(INDEX('Account Map'!$C:$C,MATCH(AB991,'Account Map'!$A:$A,0)),""))</f>
        <v/>
      </c>
      <c r="AE991" s="37" t="n">
        <f aca="false">IF(AND(AB991&lt;&gt;"",AC991="",COUNT($B991:$Z991)&gt;0,LEFT(AB991,5)&lt;&gt;"Total",AB991&lt;&gt;"Gross Profit",AB991&lt;&gt;"Net Profit",AB991&lt;&gt;"Operating Profit"),1,0)</f>
        <v>0</v>
      </c>
    </row>
    <row r="992" customFormat="false" ht="15" hidden="false" customHeight="false" outlineLevel="0" collapsed="false">
      <c r="B992" s="44"/>
      <c r="C992" s="44"/>
      <c r="D992" s="44"/>
      <c r="E992" s="44"/>
      <c r="F992" s="44"/>
      <c r="G992" s="44"/>
      <c r="H992" s="44"/>
      <c r="I992" s="44"/>
      <c r="J992" s="44"/>
      <c r="K992" s="44"/>
      <c r="L992" s="44"/>
      <c r="M992" s="44"/>
      <c r="N992" s="44"/>
      <c r="O992" s="44"/>
      <c r="P992" s="44"/>
      <c r="Q992" s="44"/>
      <c r="R992" s="44"/>
      <c r="S992" s="44"/>
      <c r="T992" s="44"/>
      <c r="U992" s="44"/>
      <c r="V992" s="44"/>
      <c r="W992" s="44"/>
      <c r="X992" s="44"/>
      <c r="Y992" s="44"/>
      <c r="Z992" s="44"/>
      <c r="AB992" s="37" t="str">
        <f aca="false">TRIM($A992&amp;"")</f>
        <v/>
      </c>
      <c r="AC992" s="37" t="str">
        <f aca="false">IF(AB992="","",IFERROR(INDEX('Account Map'!$B:$B,MATCH(AB992,'Account Map'!$A:$A,0)),""))</f>
        <v/>
      </c>
      <c r="AD992" s="37" t="str">
        <f aca="false">IF(AB992="","",IFERROR(INDEX('Account Map'!$C:$C,MATCH(AB992,'Account Map'!$A:$A,0)),""))</f>
        <v/>
      </c>
      <c r="AE992" s="37" t="n">
        <f aca="false">IF(AND(AB992&lt;&gt;"",AC992="",COUNT($B992:$Z992)&gt;0,LEFT(AB992,5)&lt;&gt;"Total",AB992&lt;&gt;"Gross Profit",AB992&lt;&gt;"Net Profit",AB992&lt;&gt;"Operating Profit"),1,0)</f>
        <v>0</v>
      </c>
    </row>
    <row r="993" customFormat="false" ht="15" hidden="false" customHeight="false" outlineLevel="0" collapsed="false">
      <c r="B993" s="44"/>
      <c r="C993" s="44"/>
      <c r="D993" s="44"/>
      <c r="E993" s="44"/>
      <c r="F993" s="44"/>
      <c r="G993" s="44"/>
      <c r="H993" s="44"/>
      <c r="I993" s="44"/>
      <c r="J993" s="44"/>
      <c r="K993" s="44"/>
      <c r="L993" s="44"/>
      <c r="M993" s="44"/>
      <c r="N993" s="44"/>
      <c r="O993" s="44"/>
      <c r="P993" s="44"/>
      <c r="Q993" s="44"/>
      <c r="R993" s="44"/>
      <c r="S993" s="44"/>
      <c r="T993" s="44"/>
      <c r="U993" s="44"/>
      <c r="V993" s="44"/>
      <c r="W993" s="44"/>
      <c r="X993" s="44"/>
      <c r="Y993" s="44"/>
      <c r="Z993" s="44"/>
      <c r="AB993" s="37" t="str">
        <f aca="false">TRIM($A993&amp;"")</f>
        <v/>
      </c>
      <c r="AC993" s="37" t="str">
        <f aca="false">IF(AB993="","",IFERROR(INDEX('Account Map'!$B:$B,MATCH(AB993,'Account Map'!$A:$A,0)),""))</f>
        <v/>
      </c>
      <c r="AD993" s="37" t="str">
        <f aca="false">IF(AB993="","",IFERROR(INDEX('Account Map'!$C:$C,MATCH(AB993,'Account Map'!$A:$A,0)),""))</f>
        <v/>
      </c>
      <c r="AE993" s="37" t="n">
        <f aca="false">IF(AND(AB993&lt;&gt;"",AC993="",COUNT($B993:$Z993)&gt;0,LEFT(AB993,5)&lt;&gt;"Total",AB993&lt;&gt;"Gross Profit",AB993&lt;&gt;"Net Profit",AB993&lt;&gt;"Operating Profit"),1,0)</f>
        <v>0</v>
      </c>
    </row>
    <row r="994" customFormat="false" ht="15" hidden="false" customHeight="false" outlineLevel="0" collapsed="false">
      <c r="B994" s="44"/>
      <c r="C994" s="44"/>
      <c r="D994" s="44"/>
      <c r="E994" s="44"/>
      <c r="F994" s="44"/>
      <c r="G994" s="44"/>
      <c r="H994" s="44"/>
      <c r="I994" s="44"/>
      <c r="J994" s="44"/>
      <c r="K994" s="44"/>
      <c r="L994" s="44"/>
      <c r="M994" s="44"/>
      <c r="N994" s="44"/>
      <c r="O994" s="44"/>
      <c r="P994" s="44"/>
      <c r="Q994" s="44"/>
      <c r="R994" s="44"/>
      <c r="S994" s="44"/>
      <c r="T994" s="44"/>
      <c r="U994" s="44"/>
      <c r="V994" s="44"/>
      <c r="W994" s="44"/>
      <c r="X994" s="44"/>
      <c r="Y994" s="44"/>
      <c r="Z994" s="44"/>
      <c r="AB994" s="37" t="str">
        <f aca="false">TRIM($A994&amp;"")</f>
        <v/>
      </c>
      <c r="AC994" s="37" t="str">
        <f aca="false">IF(AB994="","",IFERROR(INDEX('Account Map'!$B:$B,MATCH(AB994,'Account Map'!$A:$A,0)),""))</f>
        <v/>
      </c>
      <c r="AD994" s="37" t="str">
        <f aca="false">IF(AB994="","",IFERROR(INDEX('Account Map'!$C:$C,MATCH(AB994,'Account Map'!$A:$A,0)),""))</f>
        <v/>
      </c>
      <c r="AE994" s="37" t="n">
        <f aca="false">IF(AND(AB994&lt;&gt;"",AC994="",COUNT($B994:$Z994)&gt;0,LEFT(AB994,5)&lt;&gt;"Total",AB994&lt;&gt;"Gross Profit",AB994&lt;&gt;"Net Profit",AB994&lt;&gt;"Operating Profit"),1,0)</f>
        <v>0</v>
      </c>
    </row>
    <row r="995" customFormat="false" ht="15" hidden="false" customHeight="false" outlineLevel="0" collapsed="false">
      <c r="B995" s="44"/>
      <c r="C995" s="44"/>
      <c r="D995" s="44"/>
      <c r="E995" s="44"/>
      <c r="F995" s="44"/>
      <c r="G995" s="44"/>
      <c r="H995" s="44"/>
      <c r="I995" s="44"/>
      <c r="J995" s="44"/>
      <c r="K995" s="44"/>
      <c r="L995" s="44"/>
      <c r="M995" s="44"/>
      <c r="N995" s="44"/>
      <c r="O995" s="44"/>
      <c r="P995" s="44"/>
      <c r="Q995" s="44"/>
      <c r="R995" s="44"/>
      <c r="S995" s="44"/>
      <c r="T995" s="44"/>
      <c r="U995" s="44"/>
      <c r="V995" s="44"/>
      <c r="W995" s="44"/>
      <c r="X995" s="44"/>
      <c r="Y995" s="44"/>
      <c r="Z995" s="44"/>
      <c r="AB995" s="37" t="str">
        <f aca="false">TRIM($A995&amp;"")</f>
        <v/>
      </c>
      <c r="AC995" s="37" t="str">
        <f aca="false">IF(AB995="","",IFERROR(INDEX('Account Map'!$B:$B,MATCH(AB995,'Account Map'!$A:$A,0)),""))</f>
        <v/>
      </c>
      <c r="AD995" s="37" t="str">
        <f aca="false">IF(AB995="","",IFERROR(INDEX('Account Map'!$C:$C,MATCH(AB995,'Account Map'!$A:$A,0)),""))</f>
        <v/>
      </c>
      <c r="AE995" s="37" t="n">
        <f aca="false">IF(AND(AB995&lt;&gt;"",AC995="",COUNT($B995:$Z995)&gt;0,LEFT(AB995,5)&lt;&gt;"Total",AB995&lt;&gt;"Gross Profit",AB995&lt;&gt;"Net Profit",AB995&lt;&gt;"Operating Profit"),1,0)</f>
        <v>0</v>
      </c>
    </row>
    <row r="996" customFormat="false" ht="15" hidden="false" customHeight="false" outlineLevel="0" collapsed="false">
      <c r="B996" s="44"/>
      <c r="C996" s="44"/>
      <c r="D996" s="44"/>
      <c r="E996" s="44"/>
      <c r="F996" s="44"/>
      <c r="G996" s="44"/>
      <c r="H996" s="44"/>
      <c r="I996" s="44"/>
      <c r="J996" s="44"/>
      <c r="K996" s="44"/>
      <c r="L996" s="44"/>
      <c r="M996" s="44"/>
      <c r="N996" s="44"/>
      <c r="O996" s="44"/>
      <c r="P996" s="44"/>
      <c r="Q996" s="44"/>
      <c r="R996" s="44"/>
      <c r="S996" s="44"/>
      <c r="T996" s="44"/>
      <c r="U996" s="44"/>
      <c r="V996" s="44"/>
      <c r="W996" s="44"/>
      <c r="X996" s="44"/>
      <c r="Y996" s="44"/>
      <c r="Z996" s="44"/>
      <c r="AB996" s="37" t="str">
        <f aca="false">TRIM($A996&amp;"")</f>
        <v/>
      </c>
      <c r="AC996" s="37" t="str">
        <f aca="false">IF(AB996="","",IFERROR(INDEX('Account Map'!$B:$B,MATCH(AB996,'Account Map'!$A:$A,0)),""))</f>
        <v/>
      </c>
      <c r="AD996" s="37" t="str">
        <f aca="false">IF(AB996="","",IFERROR(INDEX('Account Map'!$C:$C,MATCH(AB996,'Account Map'!$A:$A,0)),""))</f>
        <v/>
      </c>
      <c r="AE996" s="37" t="n">
        <f aca="false">IF(AND(AB996&lt;&gt;"",AC996="",COUNT($B996:$Z996)&gt;0,LEFT(AB996,5)&lt;&gt;"Total",AB996&lt;&gt;"Gross Profit",AB996&lt;&gt;"Net Profit",AB996&lt;&gt;"Operating Profit"),1,0)</f>
        <v>0</v>
      </c>
    </row>
    <row r="997" customFormat="false" ht="15" hidden="false" customHeight="false" outlineLevel="0" collapsed="false">
      <c r="B997" s="44"/>
      <c r="C997" s="44"/>
      <c r="D997" s="44"/>
      <c r="E997" s="44"/>
      <c r="F997" s="44"/>
      <c r="G997" s="44"/>
      <c r="H997" s="44"/>
      <c r="I997" s="44"/>
      <c r="J997" s="44"/>
      <c r="K997" s="44"/>
      <c r="L997" s="44"/>
      <c r="M997" s="44"/>
      <c r="N997" s="44"/>
      <c r="O997" s="44"/>
      <c r="P997" s="44"/>
      <c r="Q997" s="44"/>
      <c r="R997" s="44"/>
      <c r="S997" s="44"/>
      <c r="T997" s="44"/>
      <c r="U997" s="44"/>
      <c r="V997" s="44"/>
      <c r="W997" s="44"/>
      <c r="X997" s="44"/>
      <c r="Y997" s="44"/>
      <c r="Z997" s="44"/>
      <c r="AB997" s="37" t="str">
        <f aca="false">TRIM($A997&amp;"")</f>
        <v/>
      </c>
      <c r="AC997" s="37" t="str">
        <f aca="false">IF(AB997="","",IFERROR(INDEX('Account Map'!$B:$B,MATCH(AB997,'Account Map'!$A:$A,0)),""))</f>
        <v/>
      </c>
      <c r="AD997" s="37" t="str">
        <f aca="false">IF(AB997="","",IFERROR(INDEX('Account Map'!$C:$C,MATCH(AB997,'Account Map'!$A:$A,0)),""))</f>
        <v/>
      </c>
      <c r="AE997" s="37" t="n">
        <f aca="false">IF(AND(AB997&lt;&gt;"",AC997="",COUNT($B997:$Z997)&gt;0,LEFT(AB997,5)&lt;&gt;"Total",AB997&lt;&gt;"Gross Profit",AB997&lt;&gt;"Net Profit",AB997&lt;&gt;"Operating Profit"),1,0)</f>
        <v>0</v>
      </c>
    </row>
    <row r="998" customFormat="false" ht="15" hidden="false" customHeight="false" outlineLevel="0" collapsed="false">
      <c r="B998" s="44"/>
      <c r="C998" s="44"/>
      <c r="D998" s="44"/>
      <c r="E998" s="44"/>
      <c r="F998" s="44"/>
      <c r="G998" s="44"/>
      <c r="H998" s="44"/>
      <c r="I998" s="44"/>
      <c r="J998" s="44"/>
      <c r="K998" s="44"/>
      <c r="L998" s="44"/>
      <c r="M998" s="44"/>
      <c r="N998" s="44"/>
      <c r="O998" s="44"/>
      <c r="P998" s="44"/>
      <c r="Q998" s="44"/>
      <c r="R998" s="44"/>
      <c r="S998" s="44"/>
      <c r="T998" s="44"/>
      <c r="U998" s="44"/>
      <c r="V998" s="44"/>
      <c r="W998" s="44"/>
      <c r="X998" s="44"/>
      <c r="Y998" s="44"/>
      <c r="Z998" s="44"/>
      <c r="AB998" s="37" t="str">
        <f aca="false">TRIM($A998&amp;"")</f>
        <v/>
      </c>
      <c r="AC998" s="37" t="str">
        <f aca="false">IF(AB998="","",IFERROR(INDEX('Account Map'!$B:$B,MATCH(AB998,'Account Map'!$A:$A,0)),""))</f>
        <v/>
      </c>
      <c r="AD998" s="37" t="str">
        <f aca="false">IF(AB998="","",IFERROR(INDEX('Account Map'!$C:$C,MATCH(AB998,'Account Map'!$A:$A,0)),""))</f>
        <v/>
      </c>
      <c r="AE998" s="37" t="n">
        <f aca="false">IF(AND(AB998&lt;&gt;"",AC998="",COUNT($B998:$Z998)&gt;0,LEFT(AB998,5)&lt;&gt;"Total",AB998&lt;&gt;"Gross Profit",AB998&lt;&gt;"Net Profit",AB998&lt;&gt;"Operating Profit"),1,0)</f>
        <v>0</v>
      </c>
    </row>
    <row r="999" customFormat="false" ht="15" hidden="false" customHeight="false" outlineLevel="0" collapsed="false">
      <c r="B999" s="44"/>
      <c r="C999" s="44"/>
      <c r="D999" s="44"/>
      <c r="E999" s="44"/>
      <c r="F999" s="44"/>
      <c r="G999" s="44"/>
      <c r="H999" s="44"/>
      <c r="I999" s="44"/>
      <c r="J999" s="44"/>
      <c r="K999" s="44"/>
      <c r="L999" s="44"/>
      <c r="M999" s="44"/>
      <c r="N999" s="44"/>
      <c r="O999" s="44"/>
      <c r="P999" s="44"/>
      <c r="Q999" s="44"/>
      <c r="R999" s="44"/>
      <c r="S999" s="44"/>
      <c r="T999" s="44"/>
      <c r="U999" s="44"/>
      <c r="V999" s="44"/>
      <c r="W999" s="44"/>
      <c r="X999" s="44"/>
      <c r="Y999" s="44"/>
      <c r="Z999" s="44"/>
      <c r="AB999" s="37" t="str">
        <f aca="false">TRIM($A999&amp;"")</f>
        <v/>
      </c>
      <c r="AC999" s="37" t="str">
        <f aca="false">IF(AB999="","",IFERROR(INDEX('Account Map'!$B:$B,MATCH(AB999,'Account Map'!$A:$A,0)),""))</f>
        <v/>
      </c>
      <c r="AD999" s="37" t="str">
        <f aca="false">IF(AB999="","",IFERROR(INDEX('Account Map'!$C:$C,MATCH(AB999,'Account Map'!$A:$A,0)),""))</f>
        <v/>
      </c>
      <c r="AE999" s="37" t="n">
        <f aca="false">IF(AND(AB999&lt;&gt;"",AC999="",COUNT($B999:$Z999)&gt;0,LEFT(AB999,5)&lt;&gt;"Total",AB999&lt;&gt;"Gross Profit",AB999&lt;&gt;"Net Profit",AB999&lt;&gt;"Operating Profit"),1,0)</f>
        <v>0</v>
      </c>
    </row>
    <row r="1000" customFormat="false" ht="15" hidden="false" customHeight="false" outlineLevel="0" collapsed="false">
      <c r="B1000" s="44"/>
      <c r="C1000" s="44"/>
      <c r="D1000" s="44"/>
      <c r="E1000" s="44"/>
      <c r="F1000" s="44"/>
      <c r="G1000" s="44"/>
      <c r="H1000" s="44"/>
      <c r="I1000" s="44"/>
      <c r="J1000" s="44"/>
      <c r="K1000" s="44"/>
      <c r="L1000" s="44"/>
      <c r="M1000" s="44"/>
      <c r="N1000" s="44"/>
      <c r="O1000" s="44"/>
      <c r="P1000" s="44"/>
      <c r="Q1000" s="44"/>
      <c r="R1000" s="44"/>
      <c r="S1000" s="44"/>
      <c r="T1000" s="44"/>
      <c r="U1000" s="44"/>
      <c r="V1000" s="44"/>
      <c r="W1000" s="44"/>
      <c r="X1000" s="44"/>
      <c r="Y1000" s="44"/>
      <c r="Z1000" s="44"/>
      <c r="AB1000" s="37" t="str">
        <f aca="false">TRIM($A1000&amp;"")</f>
        <v/>
      </c>
      <c r="AC1000" s="37" t="str">
        <f aca="false">IF(AB1000="","",IFERROR(INDEX('Account Map'!$B:$B,MATCH(AB1000,'Account Map'!$A:$A,0)),""))</f>
        <v/>
      </c>
      <c r="AD1000" s="37" t="str">
        <f aca="false">IF(AB1000="","",IFERROR(INDEX('Account Map'!$C:$C,MATCH(AB1000,'Account Map'!$A:$A,0)),""))</f>
        <v/>
      </c>
      <c r="AE1000" s="37" t="n">
        <f aca="false">IF(AND(AB1000&lt;&gt;"",AC1000="",COUNT($B1000:$Z1000)&gt;0,LEFT(AB1000,5)&lt;&gt;"Total",AB1000&lt;&gt;"Gross Profit",AB1000&lt;&gt;"Net Profit",AB1000&lt;&gt;"Operating Profit"),1,0)</f>
        <v>0</v>
      </c>
    </row>
    <row r="1001" customFormat="false" ht="15" hidden="false" customHeight="false" outlineLevel="0" collapsed="false">
      <c r="B1001" s="44"/>
      <c r="C1001" s="44"/>
      <c r="D1001" s="44"/>
      <c r="E1001" s="44"/>
      <c r="F1001" s="44"/>
      <c r="G1001" s="44"/>
      <c r="H1001" s="44"/>
      <c r="I1001" s="44"/>
      <c r="J1001" s="44"/>
      <c r="K1001" s="44"/>
      <c r="L1001" s="44"/>
      <c r="M1001" s="44"/>
      <c r="N1001" s="44"/>
      <c r="O1001" s="44"/>
      <c r="P1001" s="44"/>
      <c r="Q1001" s="44"/>
      <c r="R1001" s="44"/>
      <c r="S1001" s="44"/>
      <c r="T1001" s="44"/>
      <c r="U1001" s="44"/>
      <c r="V1001" s="44"/>
      <c r="W1001" s="44"/>
      <c r="X1001" s="44"/>
      <c r="Y1001" s="44"/>
      <c r="Z1001" s="44"/>
      <c r="AB1001" s="37" t="str">
        <f aca="false">TRIM($A1001&amp;"")</f>
        <v/>
      </c>
      <c r="AC1001" s="37" t="str">
        <f aca="false">IF(AB1001="","",IFERROR(INDEX('Account Map'!$B:$B,MATCH(AB1001,'Account Map'!$A:$A,0)),""))</f>
        <v/>
      </c>
      <c r="AD1001" s="37" t="str">
        <f aca="false">IF(AB1001="","",IFERROR(INDEX('Account Map'!$C:$C,MATCH(AB1001,'Account Map'!$A:$A,0)),""))</f>
        <v/>
      </c>
      <c r="AE1001" s="37" t="n">
        <f aca="false">IF(AND(AB1001&lt;&gt;"",AC1001="",COUNT($B1001:$Z1001)&gt;0,LEFT(AB1001,5)&lt;&gt;"Total",AB1001&lt;&gt;"Gross Profit",AB1001&lt;&gt;"Net Profit",AB1001&lt;&gt;"Operating Profit"),1,0)</f>
        <v>0</v>
      </c>
    </row>
    <row r="1002" customFormat="false" ht="15" hidden="false" customHeight="false" outlineLevel="0" collapsed="false">
      <c r="B1002" s="44"/>
      <c r="C1002" s="44"/>
      <c r="D1002" s="44"/>
      <c r="E1002" s="44"/>
      <c r="F1002" s="44"/>
      <c r="G1002" s="44"/>
      <c r="H1002" s="44"/>
      <c r="I1002" s="44"/>
      <c r="J1002" s="44"/>
      <c r="K1002" s="44"/>
      <c r="L1002" s="44"/>
      <c r="M1002" s="44"/>
      <c r="N1002" s="44"/>
      <c r="O1002" s="44"/>
      <c r="P1002" s="44"/>
      <c r="Q1002" s="44"/>
      <c r="R1002" s="44"/>
      <c r="S1002" s="44"/>
      <c r="T1002" s="44"/>
      <c r="U1002" s="44"/>
      <c r="V1002" s="44"/>
      <c r="W1002" s="44"/>
      <c r="X1002" s="44"/>
      <c r="Y1002" s="44"/>
      <c r="Z1002" s="44"/>
      <c r="AB1002" s="37" t="str">
        <f aca="false">TRIM($A1002&amp;"")</f>
        <v/>
      </c>
      <c r="AC1002" s="37" t="str">
        <f aca="false">IF(AB1002="","",IFERROR(INDEX('Account Map'!$B:$B,MATCH(AB1002,'Account Map'!$A:$A,0)),""))</f>
        <v/>
      </c>
      <c r="AD1002" s="37" t="str">
        <f aca="false">IF(AB1002="","",IFERROR(INDEX('Account Map'!$C:$C,MATCH(AB1002,'Account Map'!$A:$A,0)),""))</f>
        <v/>
      </c>
      <c r="AE1002" s="37" t="n">
        <f aca="false">IF(AND(AB1002&lt;&gt;"",AC1002="",COUNT($B1002:$Z1002)&gt;0,LEFT(AB1002,5)&lt;&gt;"Total",AB1002&lt;&gt;"Gross Profit",AB1002&lt;&gt;"Net Profit",AB1002&lt;&gt;"Operating Profit"),1,0)</f>
        <v>0</v>
      </c>
    </row>
    <row r="1003" customFormat="false" ht="15" hidden="false" customHeight="false" outlineLevel="0" collapsed="false">
      <c r="B1003" s="44"/>
      <c r="C1003" s="44"/>
      <c r="D1003" s="44"/>
      <c r="E1003" s="44"/>
      <c r="F1003" s="44"/>
      <c r="G1003" s="44"/>
      <c r="H1003" s="44"/>
      <c r="I1003" s="44"/>
      <c r="J1003" s="44"/>
      <c r="K1003" s="44"/>
      <c r="L1003" s="44"/>
      <c r="M1003" s="44"/>
      <c r="N1003" s="44"/>
      <c r="O1003" s="44"/>
      <c r="P1003" s="44"/>
      <c r="Q1003" s="44"/>
      <c r="R1003" s="44"/>
      <c r="S1003" s="44"/>
      <c r="T1003" s="44"/>
      <c r="U1003" s="44"/>
      <c r="V1003" s="44"/>
      <c r="W1003" s="44"/>
      <c r="X1003" s="44"/>
      <c r="Y1003" s="44"/>
      <c r="Z1003" s="44"/>
      <c r="AB1003" s="37" t="str">
        <f aca="false">TRIM($A1003&amp;"")</f>
        <v/>
      </c>
      <c r="AC1003" s="37" t="str">
        <f aca="false">IF(AB1003="","",IFERROR(INDEX('Account Map'!$B:$B,MATCH(AB1003,'Account Map'!$A:$A,0)),""))</f>
        <v/>
      </c>
      <c r="AD1003" s="37" t="str">
        <f aca="false">IF(AB1003="","",IFERROR(INDEX('Account Map'!$C:$C,MATCH(AB1003,'Account Map'!$A:$A,0)),""))</f>
        <v/>
      </c>
      <c r="AE1003" s="37" t="n">
        <f aca="false">IF(AND(AB1003&lt;&gt;"",AC1003="",COUNT($B1003:$Z1003)&gt;0,LEFT(AB1003,5)&lt;&gt;"Total",AB1003&lt;&gt;"Gross Profit",AB1003&lt;&gt;"Net Profit",AB1003&lt;&gt;"Operating Profit"),1,0)</f>
        <v>0</v>
      </c>
    </row>
    <row r="1004" customFormat="false" ht="15" hidden="false" customHeight="false" outlineLevel="0" collapsed="false">
      <c r="B1004" s="44"/>
      <c r="C1004" s="44"/>
      <c r="D1004" s="44"/>
      <c r="E1004" s="44"/>
      <c r="F1004" s="44"/>
      <c r="G1004" s="44"/>
      <c r="H1004" s="44"/>
      <c r="I1004" s="44"/>
      <c r="J1004" s="44"/>
      <c r="K1004" s="44"/>
      <c r="L1004" s="44"/>
      <c r="M1004" s="44"/>
      <c r="N1004" s="44"/>
      <c r="O1004" s="44"/>
      <c r="P1004" s="44"/>
      <c r="Q1004" s="44"/>
      <c r="R1004" s="44"/>
      <c r="S1004" s="44"/>
      <c r="T1004" s="44"/>
      <c r="U1004" s="44"/>
      <c r="V1004" s="44"/>
      <c r="W1004" s="44"/>
      <c r="X1004" s="44"/>
      <c r="Y1004" s="44"/>
      <c r="Z1004" s="44"/>
      <c r="AB1004" s="37" t="str">
        <f aca="false">TRIM($A1004&amp;"")</f>
        <v/>
      </c>
      <c r="AC1004" s="37" t="str">
        <f aca="false">IF(AB1004="","",IFERROR(INDEX('Account Map'!$B:$B,MATCH(AB1004,'Account Map'!$A:$A,0)),""))</f>
        <v/>
      </c>
      <c r="AD1004" s="37" t="str">
        <f aca="false">IF(AB1004="","",IFERROR(INDEX('Account Map'!$C:$C,MATCH(AB1004,'Account Map'!$A:$A,0)),""))</f>
        <v/>
      </c>
      <c r="AE1004" s="37" t="n">
        <f aca="false">IF(AND(AB1004&lt;&gt;"",AC1004="",COUNT($B1004:$Z1004)&gt;0,LEFT(AB1004,5)&lt;&gt;"Total",AB1004&lt;&gt;"Gross Profit",AB1004&lt;&gt;"Net Profit",AB1004&lt;&gt;"Operating Profit"),1,0)</f>
        <v>0</v>
      </c>
    </row>
    <row r="1005" customFormat="false" ht="15" hidden="false" customHeight="false" outlineLevel="0" collapsed="false">
      <c r="B1005" s="44"/>
      <c r="C1005" s="44"/>
      <c r="D1005" s="44"/>
      <c r="E1005" s="44"/>
      <c r="F1005" s="44"/>
      <c r="G1005" s="44"/>
      <c r="H1005" s="44"/>
      <c r="I1005" s="44"/>
      <c r="J1005" s="44"/>
      <c r="K1005" s="44"/>
      <c r="L1005" s="44"/>
      <c r="M1005" s="44"/>
      <c r="N1005" s="44"/>
      <c r="O1005" s="44"/>
      <c r="P1005" s="44"/>
      <c r="Q1005" s="44"/>
      <c r="R1005" s="44"/>
      <c r="S1005" s="44"/>
      <c r="T1005" s="44"/>
      <c r="U1005" s="44"/>
      <c r="V1005" s="44"/>
      <c r="W1005" s="44"/>
      <c r="X1005" s="44"/>
      <c r="Y1005" s="44"/>
      <c r="Z1005" s="44"/>
      <c r="AB1005" s="37" t="str">
        <f aca="false">TRIM($A1005&amp;"")</f>
        <v/>
      </c>
      <c r="AC1005" s="37" t="str">
        <f aca="false">IF(AB1005="","",IFERROR(INDEX('Account Map'!$B:$B,MATCH(AB1005,'Account Map'!$A:$A,0)),""))</f>
        <v/>
      </c>
      <c r="AD1005" s="37" t="str">
        <f aca="false">IF(AB1005="","",IFERROR(INDEX('Account Map'!$C:$C,MATCH(AB1005,'Account Map'!$A:$A,0)),""))</f>
        <v/>
      </c>
      <c r="AE1005" s="37" t="n">
        <f aca="false">IF(AND(AB1005&lt;&gt;"",AC1005="",COUNT($B1005:$Z1005)&gt;0,LEFT(AB1005,5)&lt;&gt;"Total",AB1005&lt;&gt;"Gross Profit",AB1005&lt;&gt;"Net Profit",AB1005&lt;&gt;"Operating Profit"),1,0)</f>
        <v>0</v>
      </c>
    </row>
    <row r="1006" customFormat="false" ht="15" hidden="false" customHeight="false" outlineLevel="0" collapsed="false">
      <c r="B1006" s="44"/>
      <c r="C1006" s="44"/>
      <c r="D1006" s="44"/>
      <c r="E1006" s="44"/>
      <c r="F1006" s="44"/>
      <c r="G1006" s="44"/>
      <c r="H1006" s="44"/>
      <c r="I1006" s="44"/>
      <c r="J1006" s="44"/>
      <c r="K1006" s="44"/>
      <c r="L1006" s="44"/>
      <c r="M1006" s="44"/>
      <c r="N1006" s="44"/>
      <c r="O1006" s="44"/>
      <c r="P1006" s="44"/>
      <c r="Q1006" s="44"/>
      <c r="R1006" s="44"/>
      <c r="S1006" s="44"/>
      <c r="T1006" s="44"/>
      <c r="U1006" s="44"/>
      <c r="V1006" s="44"/>
      <c r="W1006" s="44"/>
      <c r="X1006" s="44"/>
      <c r="Y1006" s="44"/>
      <c r="Z1006" s="44"/>
      <c r="AB1006" s="37" t="str">
        <f aca="false">TRIM($A1006&amp;"")</f>
        <v/>
      </c>
      <c r="AC1006" s="37" t="str">
        <f aca="false">IF(AB1006="","",IFERROR(INDEX('Account Map'!$B:$B,MATCH(AB1006,'Account Map'!$A:$A,0)),""))</f>
        <v/>
      </c>
      <c r="AD1006" s="37" t="str">
        <f aca="false">IF(AB1006="","",IFERROR(INDEX('Account Map'!$C:$C,MATCH(AB1006,'Account Map'!$A:$A,0)),""))</f>
        <v/>
      </c>
      <c r="AE1006" s="37" t="n">
        <f aca="false">IF(AND(AB1006&lt;&gt;"",AC1006="",COUNT($B1006:$Z1006)&gt;0,LEFT(AB1006,5)&lt;&gt;"Total",AB1006&lt;&gt;"Gross Profit",AB1006&lt;&gt;"Net Profit",AB1006&lt;&gt;"Operating Profit"),1,0)</f>
        <v>0</v>
      </c>
    </row>
  </sheetData>
  <dataValidations count="1">
    <dataValidation allowBlank="true" errorStyle="stop" operator="between" showDropDown="false" showErrorMessage="false" showInputMessage="false" sqref="B5:Z5" type="list">
      <formula1>Settings!$D$12:$D$23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N20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30"/>
    <col collapsed="false" customWidth="true" hidden="false" outlineLevel="0" max="3" min="3" style="0" width="34"/>
    <col collapsed="false" customWidth="true" hidden="false" outlineLevel="0" max="5" min="4" style="0" width="11"/>
    <col collapsed="false" customWidth="true" hidden="false" outlineLevel="0" max="6" min="6" style="0" width="12"/>
    <col collapsed="false" customWidth="true" hidden="false" outlineLevel="0" max="7" min="7" style="0" width="13"/>
    <col collapsed="false" customWidth="true" hidden="false" outlineLevel="0" max="8" min="8" style="0" width="11"/>
    <col collapsed="false" customWidth="true" hidden="false" outlineLevel="0" max="9" min="9" style="0" width="12"/>
    <col collapsed="false" customWidth="true" hidden="false" outlineLevel="0" max="10" min="10" style="0" width="11"/>
    <col collapsed="false" customWidth="true" hidden="false" outlineLevel="0" max="12" min="11" style="0" width="13"/>
    <col collapsed="false" customWidth="true" hidden="false" outlineLevel="0" max="13" min="13" style="0" width="12"/>
    <col collapsed="false" customWidth="true" hidden="false" outlineLevel="0" max="14" min="14" style="0" width="11"/>
  </cols>
  <sheetData>
    <row r="1" customFormat="false" ht="19.7" hidden="false" customHeight="false" outlineLevel="0" collapsed="false">
      <c r="A1" s="1" t="s">
        <v>1608</v>
      </c>
    </row>
    <row r="2" customFormat="false" ht="15" hidden="false" customHeight="false" outlineLevel="0" collapsed="false">
      <c r="A2" s="4" t="s">
        <v>1609</v>
      </c>
    </row>
    <row r="3" customFormat="false" ht="15" hidden="false" customHeight="false" outlineLevel="0" collapsed="false">
      <c r="A3" s="4" t="s">
        <v>1610</v>
      </c>
    </row>
    <row r="4" customFormat="false" ht="15" hidden="false" customHeight="false" outlineLevel="0" collapsed="false">
      <c r="A4" s="45" t="s">
        <v>1611</v>
      </c>
    </row>
    <row r="7" customFormat="false" ht="42" hidden="false" customHeight="true" outlineLevel="0" collapsed="false">
      <c r="A7" s="14" t="s">
        <v>1612</v>
      </c>
      <c r="B7" s="14" t="s">
        <v>58</v>
      </c>
      <c r="C7" s="14" t="s">
        <v>1613</v>
      </c>
      <c r="D7" s="14" t="s">
        <v>1614</v>
      </c>
      <c r="E7" s="14" t="s">
        <v>130</v>
      </c>
      <c r="F7" s="14" t="s">
        <v>80</v>
      </c>
      <c r="G7" s="14" t="s">
        <v>120</v>
      </c>
      <c r="H7" s="14" t="s">
        <v>129</v>
      </c>
      <c r="I7" s="14" t="s">
        <v>131</v>
      </c>
      <c r="J7" s="14" t="s">
        <v>132</v>
      </c>
      <c r="K7" s="14" t="s">
        <v>133</v>
      </c>
      <c r="L7" s="14" t="s">
        <v>134</v>
      </c>
      <c r="M7" s="14" t="s">
        <v>135</v>
      </c>
      <c r="N7" s="14" t="s">
        <v>136</v>
      </c>
    </row>
    <row r="8" customFormat="false" ht="15" hidden="false" customHeight="false" outlineLevel="0" collapsed="false">
      <c r="A8" s="13"/>
      <c r="B8" s="13"/>
      <c r="C8" s="13"/>
      <c r="D8" s="13"/>
      <c r="E8" s="10"/>
      <c r="F8" s="46"/>
      <c r="G8" s="47"/>
      <c r="H8" s="9" t="str">
        <f aca="false">IF(OR(G8="",A8=""),"",IF(NOT(ISNUMBER(F8)),"NO DATE",IF(D8="Backlog",IF(F8&gt;Settings!$B$5,"Backlog","Delivered"),IF(F8&gt;Settings!$B$5,"Pipeline","Overdue"))))</f>
        <v/>
      </c>
      <c r="I8" s="17" t="n">
        <f aca="false">IF(H8="",0,N(G8)*IF(D8="Backlog",1,N(E8)))</f>
        <v>0</v>
      </c>
      <c r="J8" s="48" t="str">
        <f aca="false">IF(OR(H8="",H8="NO DATE"),"",IF(H8="Overdue",IF(Settings!$B$8="Yes",Settings!$B$7,""),DATE(YEAR(F8),MONTH(F8),1)))</f>
        <v/>
      </c>
      <c r="K8" s="17" t="n">
        <f aca="false">IF(AND(OR(H8="Backlog",H8="Pipeline",H8="Overdue"),ISNUMBER(J8)),IF(J8&lt;=Settings!$B$6,I8,0),0)</f>
        <v>0</v>
      </c>
      <c r="L8" s="17" t="n">
        <f aca="false">IF(AND(OR(H8="Backlog",H8="Pipeline",H8="Overdue"),ISNUMBER(J8)),IF(J8&lt;=Settings!$B$6,N(G8),0),0)</f>
        <v>0</v>
      </c>
      <c r="M8" s="17" t="n">
        <f aca="false">IF(L8=0,0,IF(H8="Backlog",N(G8),N(G8)*Dashboard!$C$10))</f>
        <v>0</v>
      </c>
      <c r="N8" s="9" t="n">
        <f aca="false">IF(B8="",0,IF(COUNTIF(Dashboard!$C$13:$C$22,B8)&gt;0,1,0))</f>
        <v>0</v>
      </c>
    </row>
    <row r="9" customFormat="false" ht="15" hidden="false" customHeight="false" outlineLevel="0" collapsed="false">
      <c r="A9" s="13"/>
      <c r="B9" s="13"/>
      <c r="C9" s="13"/>
      <c r="D9" s="13"/>
      <c r="E9" s="10"/>
      <c r="F9" s="46"/>
      <c r="G9" s="47"/>
      <c r="H9" s="9" t="str">
        <f aca="false">IF(OR(G9="",A9=""),"",IF(NOT(ISNUMBER(F9)),"NO DATE",IF(D9="Backlog",IF(F9&gt;Settings!$B$5,"Backlog","Delivered"),IF(F9&gt;Settings!$B$5,"Pipeline","Overdue"))))</f>
        <v/>
      </c>
      <c r="I9" s="17" t="n">
        <f aca="false">IF(H9="",0,N(G9)*IF(D9="Backlog",1,N(E9)))</f>
        <v>0</v>
      </c>
      <c r="J9" s="48" t="str">
        <f aca="false">IF(OR(H9="",H9="NO DATE"),"",IF(H9="Overdue",IF(Settings!$B$8="Yes",Settings!$B$7,""),DATE(YEAR(F9),MONTH(F9),1)))</f>
        <v/>
      </c>
      <c r="K9" s="17" t="n">
        <f aca="false">IF(AND(OR(H9="Backlog",H9="Pipeline",H9="Overdue"),ISNUMBER(J9)),IF(J9&lt;=Settings!$B$6,I9,0),0)</f>
        <v>0</v>
      </c>
      <c r="L9" s="17" t="n">
        <f aca="false">IF(AND(OR(H9="Backlog",H9="Pipeline",H9="Overdue"),ISNUMBER(J9)),IF(J9&lt;=Settings!$B$6,N(G9),0),0)</f>
        <v>0</v>
      </c>
      <c r="M9" s="17" t="n">
        <f aca="false">IF(L9=0,0,IF(H9="Backlog",N(G9),N(G9)*Dashboard!$C$10))</f>
        <v>0</v>
      </c>
      <c r="N9" s="9" t="n">
        <f aca="false">IF(B9="",0,IF(COUNTIF(Dashboard!$C$13:$C$22,B9)&gt;0,1,0))</f>
        <v>0</v>
      </c>
    </row>
    <row r="10" customFormat="false" ht="15" hidden="false" customHeight="false" outlineLevel="0" collapsed="false">
      <c r="A10" s="13"/>
      <c r="B10" s="13"/>
      <c r="C10" s="13"/>
      <c r="D10" s="13"/>
      <c r="E10" s="10"/>
      <c r="F10" s="46"/>
      <c r="G10" s="47"/>
      <c r="H10" s="9" t="str">
        <f aca="false">IF(OR(G10="",A10=""),"",IF(NOT(ISNUMBER(F10)),"NO DATE",IF(D10="Backlog",IF(F10&gt;Settings!$B$5,"Backlog","Delivered"),IF(F10&gt;Settings!$B$5,"Pipeline","Overdue"))))</f>
        <v/>
      </c>
      <c r="I10" s="17" t="n">
        <f aca="false">IF(H10="",0,N(G10)*IF(D10="Backlog",1,N(E10)))</f>
        <v>0</v>
      </c>
      <c r="J10" s="48" t="str">
        <f aca="false">IF(OR(H10="",H10="NO DATE"),"",IF(H10="Overdue",IF(Settings!$B$8="Yes",Settings!$B$7,""),DATE(YEAR(F10),MONTH(F10),1)))</f>
        <v/>
      </c>
      <c r="K10" s="17" t="n">
        <f aca="false">IF(AND(OR(H10="Backlog",H10="Pipeline",H10="Overdue"),ISNUMBER(J10)),IF(J10&lt;=Settings!$B$6,I10,0),0)</f>
        <v>0</v>
      </c>
      <c r="L10" s="17" t="n">
        <f aca="false">IF(AND(OR(H10="Backlog",H10="Pipeline",H10="Overdue"),ISNUMBER(J10)),IF(J10&lt;=Settings!$B$6,N(G10),0),0)</f>
        <v>0</v>
      </c>
      <c r="M10" s="17" t="n">
        <f aca="false">IF(L10=0,0,IF(H10="Backlog",N(G10),N(G10)*Dashboard!$C$10))</f>
        <v>0</v>
      </c>
      <c r="N10" s="9" t="n">
        <f aca="false">IF(B10="",0,IF(COUNTIF(Dashboard!$C$13:$C$22,B10)&gt;0,1,0))</f>
        <v>0</v>
      </c>
    </row>
    <row r="11" customFormat="false" ht="15" hidden="false" customHeight="false" outlineLevel="0" collapsed="false">
      <c r="A11" s="13"/>
      <c r="B11" s="13"/>
      <c r="C11" s="13"/>
      <c r="D11" s="13"/>
      <c r="E11" s="10"/>
      <c r="F11" s="46"/>
      <c r="G11" s="47"/>
      <c r="H11" s="9" t="str">
        <f aca="false">IF(OR(G11="",A11=""),"",IF(NOT(ISNUMBER(F11)),"NO DATE",IF(D11="Backlog",IF(F11&gt;Settings!$B$5,"Backlog","Delivered"),IF(F11&gt;Settings!$B$5,"Pipeline","Overdue"))))</f>
        <v/>
      </c>
      <c r="I11" s="17" t="n">
        <f aca="false">IF(H11="",0,N(G11)*IF(D11="Backlog",1,N(E11)))</f>
        <v>0</v>
      </c>
      <c r="J11" s="48" t="str">
        <f aca="false">IF(OR(H11="",H11="NO DATE"),"",IF(H11="Overdue",IF(Settings!$B$8="Yes",Settings!$B$7,""),DATE(YEAR(F11),MONTH(F11),1)))</f>
        <v/>
      </c>
      <c r="K11" s="17" t="n">
        <f aca="false">IF(AND(OR(H11="Backlog",H11="Pipeline",H11="Overdue"),ISNUMBER(J11)),IF(J11&lt;=Settings!$B$6,I11,0),0)</f>
        <v>0</v>
      </c>
      <c r="L11" s="17" t="n">
        <f aca="false">IF(AND(OR(H11="Backlog",H11="Pipeline",H11="Overdue"),ISNUMBER(J11)),IF(J11&lt;=Settings!$B$6,N(G11),0),0)</f>
        <v>0</v>
      </c>
      <c r="M11" s="17" t="n">
        <f aca="false">IF(L11=0,0,IF(H11="Backlog",N(G11),N(G11)*Dashboard!$C$10))</f>
        <v>0</v>
      </c>
      <c r="N11" s="9" t="n">
        <f aca="false">IF(B11="",0,IF(COUNTIF(Dashboard!$C$13:$C$22,B11)&gt;0,1,0))</f>
        <v>0</v>
      </c>
    </row>
    <row r="12" customFormat="false" ht="15" hidden="false" customHeight="false" outlineLevel="0" collapsed="false">
      <c r="A12" s="13"/>
      <c r="B12" s="13"/>
      <c r="C12" s="13"/>
      <c r="D12" s="13"/>
      <c r="E12" s="10"/>
      <c r="F12" s="46"/>
      <c r="G12" s="47"/>
      <c r="H12" s="9" t="str">
        <f aca="false">IF(OR(G12="",A12=""),"",IF(NOT(ISNUMBER(F12)),"NO DATE",IF(D12="Backlog",IF(F12&gt;Settings!$B$5,"Backlog","Delivered"),IF(F12&gt;Settings!$B$5,"Pipeline","Overdue"))))</f>
        <v/>
      </c>
      <c r="I12" s="17" t="n">
        <f aca="false">IF(H12="",0,N(G12)*IF(D12="Backlog",1,N(E12)))</f>
        <v>0</v>
      </c>
      <c r="J12" s="48" t="str">
        <f aca="false">IF(OR(H12="",H12="NO DATE"),"",IF(H12="Overdue",IF(Settings!$B$8="Yes",Settings!$B$7,""),DATE(YEAR(F12),MONTH(F12),1)))</f>
        <v/>
      </c>
      <c r="K12" s="17" t="n">
        <f aca="false">IF(AND(OR(H12="Backlog",H12="Pipeline",H12="Overdue"),ISNUMBER(J12)),IF(J12&lt;=Settings!$B$6,I12,0),0)</f>
        <v>0</v>
      </c>
      <c r="L12" s="17" t="n">
        <f aca="false">IF(AND(OR(H12="Backlog",H12="Pipeline",H12="Overdue"),ISNUMBER(J12)),IF(J12&lt;=Settings!$B$6,N(G12),0),0)</f>
        <v>0</v>
      </c>
      <c r="M12" s="17" t="n">
        <f aca="false">IF(L12=0,0,IF(H12="Backlog",N(G12),N(G12)*Dashboard!$C$10))</f>
        <v>0</v>
      </c>
      <c r="N12" s="9" t="n">
        <f aca="false">IF(B12="",0,IF(COUNTIF(Dashboard!$C$13:$C$22,B12)&gt;0,1,0))</f>
        <v>0</v>
      </c>
    </row>
    <row r="13" customFormat="false" ht="15" hidden="false" customHeight="false" outlineLevel="0" collapsed="false">
      <c r="A13" s="13"/>
      <c r="B13" s="13"/>
      <c r="C13" s="13"/>
      <c r="D13" s="13"/>
      <c r="E13" s="10"/>
      <c r="F13" s="46"/>
      <c r="G13" s="47"/>
      <c r="H13" s="9" t="str">
        <f aca="false">IF(OR(G13="",A13=""),"",IF(NOT(ISNUMBER(F13)),"NO DATE",IF(D13="Backlog",IF(F13&gt;Settings!$B$5,"Backlog","Delivered"),IF(F13&gt;Settings!$B$5,"Pipeline","Overdue"))))</f>
        <v/>
      </c>
      <c r="I13" s="17" t="n">
        <f aca="false">IF(H13="",0,N(G13)*IF(D13="Backlog",1,N(E13)))</f>
        <v>0</v>
      </c>
      <c r="J13" s="48" t="str">
        <f aca="false">IF(OR(H13="",H13="NO DATE"),"",IF(H13="Overdue",IF(Settings!$B$8="Yes",Settings!$B$7,""),DATE(YEAR(F13),MONTH(F13),1)))</f>
        <v/>
      </c>
      <c r="K13" s="17" t="n">
        <f aca="false">IF(AND(OR(H13="Backlog",H13="Pipeline",H13="Overdue"),ISNUMBER(J13)),IF(J13&lt;=Settings!$B$6,I13,0),0)</f>
        <v>0</v>
      </c>
      <c r="L13" s="17" t="n">
        <f aca="false">IF(AND(OR(H13="Backlog",H13="Pipeline",H13="Overdue"),ISNUMBER(J13)),IF(J13&lt;=Settings!$B$6,N(G13),0),0)</f>
        <v>0</v>
      </c>
      <c r="M13" s="17" t="n">
        <f aca="false">IF(L13=0,0,IF(H13="Backlog",N(G13),N(G13)*Dashboard!$C$10))</f>
        <v>0</v>
      </c>
      <c r="N13" s="9" t="n">
        <f aca="false">IF(B13="",0,IF(COUNTIF(Dashboard!$C$13:$C$22,B13)&gt;0,1,0))</f>
        <v>0</v>
      </c>
    </row>
    <row r="14" customFormat="false" ht="15" hidden="false" customHeight="false" outlineLevel="0" collapsed="false">
      <c r="A14" s="13"/>
      <c r="B14" s="13"/>
      <c r="C14" s="13"/>
      <c r="D14" s="13"/>
      <c r="E14" s="10"/>
      <c r="F14" s="46"/>
      <c r="G14" s="47"/>
      <c r="H14" s="9" t="str">
        <f aca="false">IF(OR(G14="",A14=""),"",IF(NOT(ISNUMBER(F14)),"NO DATE",IF(D14="Backlog",IF(F14&gt;Settings!$B$5,"Backlog","Delivered"),IF(F14&gt;Settings!$B$5,"Pipeline","Overdue"))))</f>
        <v/>
      </c>
      <c r="I14" s="17" t="n">
        <f aca="false">IF(H14="",0,N(G14)*IF(D14="Backlog",1,N(E14)))</f>
        <v>0</v>
      </c>
      <c r="J14" s="48" t="str">
        <f aca="false">IF(OR(H14="",H14="NO DATE"),"",IF(H14="Overdue",IF(Settings!$B$8="Yes",Settings!$B$7,""),DATE(YEAR(F14),MONTH(F14),1)))</f>
        <v/>
      </c>
      <c r="K14" s="17" t="n">
        <f aca="false">IF(AND(OR(H14="Backlog",H14="Pipeline",H14="Overdue"),ISNUMBER(J14)),IF(J14&lt;=Settings!$B$6,I14,0),0)</f>
        <v>0</v>
      </c>
      <c r="L14" s="17" t="n">
        <f aca="false">IF(AND(OR(H14="Backlog",H14="Pipeline",H14="Overdue"),ISNUMBER(J14)),IF(J14&lt;=Settings!$B$6,N(G14),0),0)</f>
        <v>0</v>
      </c>
      <c r="M14" s="17" t="n">
        <f aca="false">IF(L14=0,0,IF(H14="Backlog",N(G14),N(G14)*Dashboard!$C$10))</f>
        <v>0</v>
      </c>
      <c r="N14" s="9" t="n">
        <f aca="false">IF(B14="",0,IF(COUNTIF(Dashboard!$C$13:$C$22,B14)&gt;0,1,0))</f>
        <v>0</v>
      </c>
    </row>
    <row r="15" customFormat="false" ht="15" hidden="false" customHeight="false" outlineLevel="0" collapsed="false">
      <c r="A15" s="13"/>
      <c r="B15" s="13"/>
      <c r="C15" s="13"/>
      <c r="D15" s="13"/>
      <c r="E15" s="10"/>
      <c r="F15" s="46"/>
      <c r="G15" s="47"/>
      <c r="H15" s="9" t="str">
        <f aca="false">IF(OR(G15="",A15=""),"",IF(NOT(ISNUMBER(F15)),"NO DATE",IF(D15="Backlog",IF(F15&gt;Settings!$B$5,"Backlog","Delivered"),IF(F15&gt;Settings!$B$5,"Pipeline","Overdue"))))</f>
        <v/>
      </c>
      <c r="I15" s="17" t="n">
        <f aca="false">IF(H15="",0,N(G15)*IF(D15="Backlog",1,N(E15)))</f>
        <v>0</v>
      </c>
      <c r="J15" s="48" t="str">
        <f aca="false">IF(OR(H15="",H15="NO DATE"),"",IF(H15="Overdue",IF(Settings!$B$8="Yes",Settings!$B$7,""),DATE(YEAR(F15),MONTH(F15),1)))</f>
        <v/>
      </c>
      <c r="K15" s="17" t="n">
        <f aca="false">IF(AND(OR(H15="Backlog",H15="Pipeline",H15="Overdue"),ISNUMBER(J15)),IF(J15&lt;=Settings!$B$6,I15,0),0)</f>
        <v>0</v>
      </c>
      <c r="L15" s="17" t="n">
        <f aca="false">IF(AND(OR(H15="Backlog",H15="Pipeline",H15="Overdue"),ISNUMBER(J15)),IF(J15&lt;=Settings!$B$6,N(G15),0),0)</f>
        <v>0</v>
      </c>
      <c r="M15" s="17" t="n">
        <f aca="false">IF(L15=0,0,IF(H15="Backlog",N(G15),N(G15)*Dashboard!$C$10))</f>
        <v>0</v>
      </c>
      <c r="N15" s="9" t="n">
        <f aca="false">IF(B15="",0,IF(COUNTIF(Dashboard!$C$13:$C$22,B15)&gt;0,1,0))</f>
        <v>0</v>
      </c>
    </row>
    <row r="16" customFormat="false" ht="15" hidden="false" customHeight="false" outlineLevel="0" collapsed="false">
      <c r="A16" s="13"/>
      <c r="B16" s="13"/>
      <c r="C16" s="13"/>
      <c r="D16" s="13"/>
      <c r="E16" s="10"/>
      <c r="F16" s="46"/>
      <c r="G16" s="47"/>
      <c r="H16" s="9" t="str">
        <f aca="false">IF(OR(G16="",A16=""),"",IF(NOT(ISNUMBER(F16)),"NO DATE",IF(D16="Backlog",IF(F16&gt;Settings!$B$5,"Backlog","Delivered"),IF(F16&gt;Settings!$B$5,"Pipeline","Overdue"))))</f>
        <v/>
      </c>
      <c r="I16" s="17" t="n">
        <f aca="false">IF(H16="",0,N(G16)*IF(D16="Backlog",1,N(E16)))</f>
        <v>0</v>
      </c>
      <c r="J16" s="48" t="str">
        <f aca="false">IF(OR(H16="",H16="NO DATE"),"",IF(H16="Overdue",IF(Settings!$B$8="Yes",Settings!$B$7,""),DATE(YEAR(F16),MONTH(F16),1)))</f>
        <v/>
      </c>
      <c r="K16" s="17" t="n">
        <f aca="false">IF(AND(OR(H16="Backlog",H16="Pipeline",H16="Overdue"),ISNUMBER(J16)),IF(J16&lt;=Settings!$B$6,I16,0),0)</f>
        <v>0</v>
      </c>
      <c r="L16" s="17" t="n">
        <f aca="false">IF(AND(OR(H16="Backlog",H16="Pipeline",H16="Overdue"),ISNUMBER(J16)),IF(J16&lt;=Settings!$B$6,N(G16),0),0)</f>
        <v>0</v>
      </c>
      <c r="M16" s="17" t="n">
        <f aca="false">IF(L16=0,0,IF(H16="Backlog",N(G16),N(G16)*Dashboard!$C$10))</f>
        <v>0</v>
      </c>
      <c r="N16" s="9" t="n">
        <f aca="false">IF(B16="",0,IF(COUNTIF(Dashboard!$C$13:$C$22,B16)&gt;0,1,0))</f>
        <v>0</v>
      </c>
    </row>
    <row r="17" customFormat="false" ht="15" hidden="false" customHeight="false" outlineLevel="0" collapsed="false">
      <c r="A17" s="13"/>
      <c r="B17" s="13"/>
      <c r="C17" s="13"/>
      <c r="D17" s="13"/>
      <c r="E17" s="10"/>
      <c r="F17" s="46"/>
      <c r="G17" s="47"/>
      <c r="H17" s="9" t="str">
        <f aca="false">IF(OR(G17="",A17=""),"",IF(NOT(ISNUMBER(F17)),"NO DATE",IF(D17="Backlog",IF(F17&gt;Settings!$B$5,"Backlog","Delivered"),IF(F17&gt;Settings!$B$5,"Pipeline","Overdue"))))</f>
        <v/>
      </c>
      <c r="I17" s="17" t="n">
        <f aca="false">IF(H17="",0,N(G17)*IF(D17="Backlog",1,N(E17)))</f>
        <v>0</v>
      </c>
      <c r="J17" s="48" t="str">
        <f aca="false">IF(OR(H17="",H17="NO DATE"),"",IF(H17="Overdue",IF(Settings!$B$8="Yes",Settings!$B$7,""),DATE(YEAR(F17),MONTH(F17),1)))</f>
        <v/>
      </c>
      <c r="K17" s="17" t="n">
        <f aca="false">IF(AND(OR(H17="Backlog",H17="Pipeline",H17="Overdue"),ISNUMBER(J17)),IF(J17&lt;=Settings!$B$6,I17,0),0)</f>
        <v>0</v>
      </c>
      <c r="L17" s="17" t="n">
        <f aca="false">IF(AND(OR(H17="Backlog",H17="Pipeline",H17="Overdue"),ISNUMBER(J17)),IF(J17&lt;=Settings!$B$6,N(G17),0),0)</f>
        <v>0</v>
      </c>
      <c r="M17" s="17" t="n">
        <f aca="false">IF(L17=0,0,IF(H17="Backlog",N(G17),N(G17)*Dashboard!$C$10))</f>
        <v>0</v>
      </c>
      <c r="N17" s="9" t="n">
        <f aca="false">IF(B17="",0,IF(COUNTIF(Dashboard!$C$13:$C$22,B17)&gt;0,1,0))</f>
        <v>0</v>
      </c>
    </row>
    <row r="18" customFormat="false" ht="15" hidden="false" customHeight="false" outlineLevel="0" collapsed="false">
      <c r="A18" s="13"/>
      <c r="B18" s="13"/>
      <c r="C18" s="13"/>
      <c r="D18" s="13"/>
      <c r="E18" s="10"/>
      <c r="F18" s="46"/>
      <c r="G18" s="47"/>
      <c r="H18" s="9" t="str">
        <f aca="false">IF(OR(G18="",A18=""),"",IF(NOT(ISNUMBER(F18)),"NO DATE",IF(D18="Backlog",IF(F18&gt;Settings!$B$5,"Backlog","Delivered"),IF(F18&gt;Settings!$B$5,"Pipeline","Overdue"))))</f>
        <v/>
      </c>
      <c r="I18" s="17" t="n">
        <f aca="false">IF(H18="",0,N(G18)*IF(D18="Backlog",1,N(E18)))</f>
        <v>0</v>
      </c>
      <c r="J18" s="48" t="str">
        <f aca="false">IF(OR(H18="",H18="NO DATE"),"",IF(H18="Overdue",IF(Settings!$B$8="Yes",Settings!$B$7,""),DATE(YEAR(F18),MONTH(F18),1)))</f>
        <v/>
      </c>
      <c r="K18" s="17" t="n">
        <f aca="false">IF(AND(OR(H18="Backlog",H18="Pipeline",H18="Overdue"),ISNUMBER(J18)),IF(J18&lt;=Settings!$B$6,I18,0),0)</f>
        <v>0</v>
      </c>
      <c r="L18" s="17" t="n">
        <f aca="false">IF(AND(OR(H18="Backlog",H18="Pipeline",H18="Overdue"),ISNUMBER(J18)),IF(J18&lt;=Settings!$B$6,N(G18),0),0)</f>
        <v>0</v>
      </c>
      <c r="M18" s="17" t="n">
        <f aca="false">IF(L18=0,0,IF(H18="Backlog",N(G18),N(G18)*Dashboard!$C$10))</f>
        <v>0</v>
      </c>
      <c r="N18" s="9" t="n">
        <f aca="false">IF(B18="",0,IF(COUNTIF(Dashboard!$C$13:$C$22,B18)&gt;0,1,0))</f>
        <v>0</v>
      </c>
    </row>
    <row r="19" customFormat="false" ht="15" hidden="false" customHeight="false" outlineLevel="0" collapsed="false">
      <c r="A19" s="13"/>
      <c r="B19" s="13"/>
      <c r="C19" s="13"/>
      <c r="D19" s="13"/>
      <c r="E19" s="10"/>
      <c r="F19" s="46"/>
      <c r="G19" s="47"/>
      <c r="H19" s="9" t="str">
        <f aca="false">IF(OR(G19="",A19=""),"",IF(NOT(ISNUMBER(F19)),"NO DATE",IF(D19="Backlog",IF(F19&gt;Settings!$B$5,"Backlog","Delivered"),IF(F19&gt;Settings!$B$5,"Pipeline","Overdue"))))</f>
        <v/>
      </c>
      <c r="I19" s="17" t="n">
        <f aca="false">IF(H19="",0,N(G19)*IF(D19="Backlog",1,N(E19)))</f>
        <v>0</v>
      </c>
      <c r="J19" s="48" t="str">
        <f aca="false">IF(OR(H19="",H19="NO DATE"),"",IF(H19="Overdue",IF(Settings!$B$8="Yes",Settings!$B$7,""),DATE(YEAR(F19),MONTH(F19),1)))</f>
        <v/>
      </c>
      <c r="K19" s="17" t="n">
        <f aca="false">IF(AND(OR(H19="Backlog",H19="Pipeline",H19="Overdue"),ISNUMBER(J19)),IF(J19&lt;=Settings!$B$6,I19,0),0)</f>
        <v>0</v>
      </c>
      <c r="L19" s="17" t="n">
        <f aca="false">IF(AND(OR(H19="Backlog",H19="Pipeline",H19="Overdue"),ISNUMBER(J19)),IF(J19&lt;=Settings!$B$6,N(G19),0),0)</f>
        <v>0</v>
      </c>
      <c r="M19" s="17" t="n">
        <f aca="false">IF(L19=0,0,IF(H19="Backlog",N(G19),N(G19)*Dashboard!$C$10))</f>
        <v>0</v>
      </c>
      <c r="N19" s="9" t="n">
        <f aca="false">IF(B19="",0,IF(COUNTIF(Dashboard!$C$13:$C$22,B19)&gt;0,1,0))</f>
        <v>0</v>
      </c>
    </row>
    <row r="20" customFormat="false" ht="15" hidden="false" customHeight="false" outlineLevel="0" collapsed="false">
      <c r="A20" s="13"/>
      <c r="B20" s="13"/>
      <c r="C20" s="13"/>
      <c r="D20" s="13"/>
      <c r="E20" s="10"/>
      <c r="F20" s="46"/>
      <c r="G20" s="47"/>
      <c r="H20" s="9" t="str">
        <f aca="false">IF(OR(G20="",A20=""),"",IF(NOT(ISNUMBER(F20)),"NO DATE",IF(D20="Backlog",IF(F20&gt;Settings!$B$5,"Backlog","Delivered"),IF(F20&gt;Settings!$B$5,"Pipeline","Overdue"))))</f>
        <v/>
      </c>
      <c r="I20" s="17" t="n">
        <f aca="false">IF(H20="",0,N(G20)*IF(D20="Backlog",1,N(E20)))</f>
        <v>0</v>
      </c>
      <c r="J20" s="48" t="str">
        <f aca="false">IF(OR(H20="",H20="NO DATE"),"",IF(H20="Overdue",IF(Settings!$B$8="Yes",Settings!$B$7,""),DATE(YEAR(F20),MONTH(F20),1)))</f>
        <v/>
      </c>
      <c r="K20" s="17" t="n">
        <f aca="false">IF(AND(OR(H20="Backlog",H20="Pipeline",H20="Overdue"),ISNUMBER(J20)),IF(J20&lt;=Settings!$B$6,I20,0),0)</f>
        <v>0</v>
      </c>
      <c r="L20" s="17" t="n">
        <f aca="false">IF(AND(OR(H20="Backlog",H20="Pipeline",H20="Overdue"),ISNUMBER(J20)),IF(J20&lt;=Settings!$B$6,N(G20),0),0)</f>
        <v>0</v>
      </c>
      <c r="M20" s="17" t="n">
        <f aca="false">IF(L20=0,0,IF(H20="Backlog",N(G20),N(G20)*Dashboard!$C$10))</f>
        <v>0</v>
      </c>
      <c r="N20" s="9" t="n">
        <f aca="false">IF(B20="",0,IF(COUNTIF(Dashboard!$C$13:$C$22,B20)&gt;0,1,0))</f>
        <v>0</v>
      </c>
    </row>
    <row r="21" customFormat="false" ht="15" hidden="false" customHeight="false" outlineLevel="0" collapsed="false">
      <c r="A21" s="13"/>
      <c r="B21" s="13"/>
      <c r="C21" s="13"/>
      <c r="D21" s="13"/>
      <c r="E21" s="10"/>
      <c r="F21" s="46"/>
      <c r="G21" s="47"/>
      <c r="H21" s="9" t="str">
        <f aca="false">IF(OR(G21="",A21=""),"",IF(NOT(ISNUMBER(F21)),"NO DATE",IF(D21="Backlog",IF(F21&gt;Settings!$B$5,"Backlog","Delivered"),IF(F21&gt;Settings!$B$5,"Pipeline","Overdue"))))</f>
        <v/>
      </c>
      <c r="I21" s="17" t="n">
        <f aca="false">IF(H21="",0,N(G21)*IF(D21="Backlog",1,N(E21)))</f>
        <v>0</v>
      </c>
      <c r="J21" s="48" t="str">
        <f aca="false">IF(OR(H21="",H21="NO DATE"),"",IF(H21="Overdue",IF(Settings!$B$8="Yes",Settings!$B$7,""),DATE(YEAR(F21),MONTH(F21),1)))</f>
        <v/>
      </c>
      <c r="K21" s="17" t="n">
        <f aca="false">IF(AND(OR(H21="Backlog",H21="Pipeline",H21="Overdue"),ISNUMBER(J21)),IF(J21&lt;=Settings!$B$6,I21,0),0)</f>
        <v>0</v>
      </c>
      <c r="L21" s="17" t="n">
        <f aca="false">IF(AND(OR(H21="Backlog",H21="Pipeline",H21="Overdue"),ISNUMBER(J21)),IF(J21&lt;=Settings!$B$6,N(G21),0),0)</f>
        <v>0</v>
      </c>
      <c r="M21" s="17" t="n">
        <f aca="false">IF(L21=0,0,IF(H21="Backlog",N(G21),N(G21)*Dashboard!$C$10))</f>
        <v>0</v>
      </c>
      <c r="N21" s="9" t="n">
        <f aca="false">IF(B21="",0,IF(COUNTIF(Dashboard!$C$13:$C$22,B21)&gt;0,1,0))</f>
        <v>0</v>
      </c>
    </row>
    <row r="22" customFormat="false" ht="15" hidden="false" customHeight="false" outlineLevel="0" collapsed="false">
      <c r="A22" s="13"/>
      <c r="B22" s="13"/>
      <c r="C22" s="13"/>
      <c r="D22" s="13"/>
      <c r="E22" s="10"/>
      <c r="F22" s="46"/>
      <c r="G22" s="47"/>
      <c r="H22" s="9" t="str">
        <f aca="false">IF(OR(G22="",A22=""),"",IF(NOT(ISNUMBER(F22)),"NO DATE",IF(D22="Backlog",IF(F22&gt;Settings!$B$5,"Backlog","Delivered"),IF(F22&gt;Settings!$B$5,"Pipeline","Overdue"))))</f>
        <v/>
      </c>
      <c r="I22" s="17" t="n">
        <f aca="false">IF(H22="",0,N(G22)*IF(D22="Backlog",1,N(E22)))</f>
        <v>0</v>
      </c>
      <c r="J22" s="48" t="str">
        <f aca="false">IF(OR(H22="",H22="NO DATE"),"",IF(H22="Overdue",IF(Settings!$B$8="Yes",Settings!$B$7,""),DATE(YEAR(F22),MONTH(F22),1)))</f>
        <v/>
      </c>
      <c r="K22" s="17" t="n">
        <f aca="false">IF(AND(OR(H22="Backlog",H22="Pipeline",H22="Overdue"),ISNUMBER(J22)),IF(J22&lt;=Settings!$B$6,I22,0),0)</f>
        <v>0</v>
      </c>
      <c r="L22" s="17" t="n">
        <f aca="false">IF(AND(OR(H22="Backlog",H22="Pipeline",H22="Overdue"),ISNUMBER(J22)),IF(J22&lt;=Settings!$B$6,N(G22),0),0)</f>
        <v>0</v>
      </c>
      <c r="M22" s="17" t="n">
        <f aca="false">IF(L22=0,0,IF(H22="Backlog",N(G22),N(G22)*Dashboard!$C$10))</f>
        <v>0</v>
      </c>
      <c r="N22" s="9" t="n">
        <f aca="false">IF(B22="",0,IF(COUNTIF(Dashboard!$C$13:$C$22,B22)&gt;0,1,0))</f>
        <v>0</v>
      </c>
    </row>
    <row r="23" customFormat="false" ht="15" hidden="false" customHeight="false" outlineLevel="0" collapsed="false">
      <c r="A23" s="13"/>
      <c r="B23" s="13"/>
      <c r="C23" s="13"/>
      <c r="D23" s="13"/>
      <c r="E23" s="10"/>
      <c r="F23" s="46"/>
      <c r="G23" s="47"/>
      <c r="H23" s="9" t="str">
        <f aca="false">IF(OR(G23="",A23=""),"",IF(NOT(ISNUMBER(F23)),"NO DATE",IF(D23="Backlog",IF(F23&gt;Settings!$B$5,"Backlog","Delivered"),IF(F23&gt;Settings!$B$5,"Pipeline","Overdue"))))</f>
        <v/>
      </c>
      <c r="I23" s="17" t="n">
        <f aca="false">IF(H23="",0,N(G23)*IF(D23="Backlog",1,N(E23)))</f>
        <v>0</v>
      </c>
      <c r="J23" s="48" t="str">
        <f aca="false">IF(OR(H23="",H23="NO DATE"),"",IF(H23="Overdue",IF(Settings!$B$8="Yes",Settings!$B$7,""),DATE(YEAR(F23),MONTH(F23),1)))</f>
        <v/>
      </c>
      <c r="K23" s="17" t="n">
        <f aca="false">IF(AND(OR(H23="Backlog",H23="Pipeline",H23="Overdue"),ISNUMBER(J23)),IF(J23&lt;=Settings!$B$6,I23,0),0)</f>
        <v>0</v>
      </c>
      <c r="L23" s="17" t="n">
        <f aca="false">IF(AND(OR(H23="Backlog",H23="Pipeline",H23="Overdue"),ISNUMBER(J23)),IF(J23&lt;=Settings!$B$6,N(G23),0),0)</f>
        <v>0</v>
      </c>
      <c r="M23" s="17" t="n">
        <f aca="false">IF(L23=0,0,IF(H23="Backlog",N(G23),N(G23)*Dashboard!$C$10))</f>
        <v>0</v>
      </c>
      <c r="N23" s="9" t="n">
        <f aca="false">IF(B23="",0,IF(COUNTIF(Dashboard!$C$13:$C$22,B23)&gt;0,1,0))</f>
        <v>0</v>
      </c>
    </row>
    <row r="24" customFormat="false" ht="15" hidden="false" customHeight="false" outlineLevel="0" collapsed="false">
      <c r="A24" s="13"/>
      <c r="B24" s="13"/>
      <c r="C24" s="13"/>
      <c r="D24" s="13"/>
      <c r="E24" s="10"/>
      <c r="F24" s="46"/>
      <c r="G24" s="47"/>
      <c r="H24" s="9" t="str">
        <f aca="false">IF(OR(G24="",A24=""),"",IF(NOT(ISNUMBER(F24)),"NO DATE",IF(D24="Backlog",IF(F24&gt;Settings!$B$5,"Backlog","Delivered"),IF(F24&gt;Settings!$B$5,"Pipeline","Overdue"))))</f>
        <v/>
      </c>
      <c r="I24" s="17" t="n">
        <f aca="false">IF(H24="",0,N(G24)*IF(D24="Backlog",1,N(E24)))</f>
        <v>0</v>
      </c>
      <c r="J24" s="48" t="str">
        <f aca="false">IF(OR(H24="",H24="NO DATE"),"",IF(H24="Overdue",IF(Settings!$B$8="Yes",Settings!$B$7,""),DATE(YEAR(F24),MONTH(F24),1)))</f>
        <v/>
      </c>
      <c r="K24" s="17" t="n">
        <f aca="false">IF(AND(OR(H24="Backlog",H24="Pipeline",H24="Overdue"),ISNUMBER(J24)),IF(J24&lt;=Settings!$B$6,I24,0),0)</f>
        <v>0</v>
      </c>
      <c r="L24" s="17" t="n">
        <f aca="false">IF(AND(OR(H24="Backlog",H24="Pipeline",H24="Overdue"),ISNUMBER(J24)),IF(J24&lt;=Settings!$B$6,N(G24),0),0)</f>
        <v>0</v>
      </c>
      <c r="M24" s="17" t="n">
        <f aca="false">IF(L24=0,0,IF(H24="Backlog",N(G24),N(G24)*Dashboard!$C$10))</f>
        <v>0</v>
      </c>
      <c r="N24" s="9" t="n">
        <f aca="false">IF(B24="",0,IF(COUNTIF(Dashboard!$C$13:$C$22,B24)&gt;0,1,0))</f>
        <v>0</v>
      </c>
    </row>
    <row r="25" customFormat="false" ht="15" hidden="false" customHeight="false" outlineLevel="0" collapsed="false">
      <c r="A25" s="13"/>
      <c r="B25" s="13"/>
      <c r="C25" s="13"/>
      <c r="D25" s="13"/>
      <c r="E25" s="10"/>
      <c r="F25" s="46"/>
      <c r="G25" s="47"/>
      <c r="H25" s="9" t="str">
        <f aca="false">IF(OR(G25="",A25=""),"",IF(NOT(ISNUMBER(F25)),"NO DATE",IF(D25="Backlog",IF(F25&gt;Settings!$B$5,"Backlog","Delivered"),IF(F25&gt;Settings!$B$5,"Pipeline","Overdue"))))</f>
        <v/>
      </c>
      <c r="I25" s="17" t="n">
        <f aca="false">IF(H25="",0,N(G25)*IF(D25="Backlog",1,N(E25)))</f>
        <v>0</v>
      </c>
      <c r="J25" s="48" t="str">
        <f aca="false">IF(OR(H25="",H25="NO DATE"),"",IF(H25="Overdue",IF(Settings!$B$8="Yes",Settings!$B$7,""),DATE(YEAR(F25),MONTH(F25),1)))</f>
        <v/>
      </c>
      <c r="K25" s="17" t="n">
        <f aca="false">IF(AND(OR(H25="Backlog",H25="Pipeline",H25="Overdue"),ISNUMBER(J25)),IF(J25&lt;=Settings!$B$6,I25,0),0)</f>
        <v>0</v>
      </c>
      <c r="L25" s="17" t="n">
        <f aca="false">IF(AND(OR(H25="Backlog",H25="Pipeline",H25="Overdue"),ISNUMBER(J25)),IF(J25&lt;=Settings!$B$6,N(G25),0),0)</f>
        <v>0</v>
      </c>
      <c r="M25" s="17" t="n">
        <f aca="false">IF(L25=0,0,IF(H25="Backlog",N(G25),N(G25)*Dashboard!$C$10))</f>
        <v>0</v>
      </c>
      <c r="N25" s="9" t="n">
        <f aca="false">IF(B25="",0,IF(COUNTIF(Dashboard!$C$13:$C$22,B25)&gt;0,1,0))</f>
        <v>0</v>
      </c>
    </row>
    <row r="26" customFormat="false" ht="15" hidden="false" customHeight="false" outlineLevel="0" collapsed="false">
      <c r="A26" s="13"/>
      <c r="B26" s="13"/>
      <c r="C26" s="13"/>
      <c r="D26" s="13"/>
      <c r="E26" s="10"/>
      <c r="F26" s="46"/>
      <c r="G26" s="47"/>
      <c r="H26" s="9" t="str">
        <f aca="false">IF(OR(G26="",A26=""),"",IF(NOT(ISNUMBER(F26)),"NO DATE",IF(D26="Backlog",IF(F26&gt;Settings!$B$5,"Backlog","Delivered"),IF(F26&gt;Settings!$B$5,"Pipeline","Overdue"))))</f>
        <v/>
      </c>
      <c r="I26" s="17" t="n">
        <f aca="false">IF(H26="",0,N(G26)*IF(D26="Backlog",1,N(E26)))</f>
        <v>0</v>
      </c>
      <c r="J26" s="48" t="str">
        <f aca="false">IF(OR(H26="",H26="NO DATE"),"",IF(H26="Overdue",IF(Settings!$B$8="Yes",Settings!$B$7,""),DATE(YEAR(F26),MONTH(F26),1)))</f>
        <v/>
      </c>
      <c r="K26" s="17" t="n">
        <f aca="false">IF(AND(OR(H26="Backlog",H26="Pipeline",H26="Overdue"),ISNUMBER(J26)),IF(J26&lt;=Settings!$B$6,I26,0),0)</f>
        <v>0</v>
      </c>
      <c r="L26" s="17" t="n">
        <f aca="false">IF(AND(OR(H26="Backlog",H26="Pipeline",H26="Overdue"),ISNUMBER(J26)),IF(J26&lt;=Settings!$B$6,N(G26),0),0)</f>
        <v>0</v>
      </c>
      <c r="M26" s="17" t="n">
        <f aca="false">IF(L26=0,0,IF(H26="Backlog",N(G26),N(G26)*Dashboard!$C$10))</f>
        <v>0</v>
      </c>
      <c r="N26" s="9" t="n">
        <f aca="false">IF(B26="",0,IF(COUNTIF(Dashboard!$C$13:$C$22,B26)&gt;0,1,0))</f>
        <v>0</v>
      </c>
    </row>
    <row r="27" customFormat="false" ht="15" hidden="false" customHeight="false" outlineLevel="0" collapsed="false">
      <c r="A27" s="13"/>
      <c r="B27" s="13"/>
      <c r="C27" s="13"/>
      <c r="D27" s="13"/>
      <c r="E27" s="10"/>
      <c r="F27" s="46"/>
      <c r="G27" s="47"/>
      <c r="H27" s="9" t="str">
        <f aca="false">IF(OR(G27="",A27=""),"",IF(NOT(ISNUMBER(F27)),"NO DATE",IF(D27="Backlog",IF(F27&gt;Settings!$B$5,"Backlog","Delivered"),IF(F27&gt;Settings!$B$5,"Pipeline","Overdue"))))</f>
        <v/>
      </c>
      <c r="I27" s="17" t="n">
        <f aca="false">IF(H27="",0,N(G27)*IF(D27="Backlog",1,N(E27)))</f>
        <v>0</v>
      </c>
      <c r="J27" s="48" t="str">
        <f aca="false">IF(OR(H27="",H27="NO DATE"),"",IF(H27="Overdue",IF(Settings!$B$8="Yes",Settings!$B$7,""),DATE(YEAR(F27),MONTH(F27),1)))</f>
        <v/>
      </c>
      <c r="K27" s="17" t="n">
        <f aca="false">IF(AND(OR(H27="Backlog",H27="Pipeline",H27="Overdue"),ISNUMBER(J27)),IF(J27&lt;=Settings!$B$6,I27,0),0)</f>
        <v>0</v>
      </c>
      <c r="L27" s="17" t="n">
        <f aca="false">IF(AND(OR(H27="Backlog",H27="Pipeline",H27="Overdue"),ISNUMBER(J27)),IF(J27&lt;=Settings!$B$6,N(G27),0),0)</f>
        <v>0</v>
      </c>
      <c r="M27" s="17" t="n">
        <f aca="false">IF(L27=0,0,IF(H27="Backlog",N(G27),N(G27)*Dashboard!$C$10))</f>
        <v>0</v>
      </c>
      <c r="N27" s="9" t="n">
        <f aca="false">IF(B27="",0,IF(COUNTIF(Dashboard!$C$13:$C$22,B27)&gt;0,1,0))</f>
        <v>0</v>
      </c>
    </row>
    <row r="28" customFormat="false" ht="15" hidden="false" customHeight="false" outlineLevel="0" collapsed="false">
      <c r="A28" s="13"/>
      <c r="B28" s="13"/>
      <c r="C28" s="13"/>
      <c r="D28" s="13"/>
      <c r="E28" s="10"/>
      <c r="F28" s="46"/>
      <c r="G28" s="47"/>
      <c r="H28" s="9" t="str">
        <f aca="false">IF(OR(G28="",A28=""),"",IF(NOT(ISNUMBER(F28)),"NO DATE",IF(D28="Backlog",IF(F28&gt;Settings!$B$5,"Backlog","Delivered"),IF(F28&gt;Settings!$B$5,"Pipeline","Overdue"))))</f>
        <v/>
      </c>
      <c r="I28" s="17" t="n">
        <f aca="false">IF(H28="",0,N(G28)*IF(D28="Backlog",1,N(E28)))</f>
        <v>0</v>
      </c>
      <c r="J28" s="48" t="str">
        <f aca="false">IF(OR(H28="",H28="NO DATE"),"",IF(H28="Overdue",IF(Settings!$B$8="Yes",Settings!$B$7,""),DATE(YEAR(F28),MONTH(F28),1)))</f>
        <v/>
      </c>
      <c r="K28" s="17" t="n">
        <f aca="false">IF(AND(OR(H28="Backlog",H28="Pipeline",H28="Overdue"),ISNUMBER(J28)),IF(J28&lt;=Settings!$B$6,I28,0),0)</f>
        <v>0</v>
      </c>
      <c r="L28" s="17" t="n">
        <f aca="false">IF(AND(OR(H28="Backlog",H28="Pipeline",H28="Overdue"),ISNUMBER(J28)),IF(J28&lt;=Settings!$B$6,N(G28),0),0)</f>
        <v>0</v>
      </c>
      <c r="M28" s="17" t="n">
        <f aca="false">IF(L28=0,0,IF(H28="Backlog",N(G28),N(G28)*Dashboard!$C$10))</f>
        <v>0</v>
      </c>
      <c r="N28" s="9" t="n">
        <f aca="false">IF(B28="",0,IF(COUNTIF(Dashboard!$C$13:$C$22,B28)&gt;0,1,0))</f>
        <v>0</v>
      </c>
    </row>
    <row r="29" customFormat="false" ht="15" hidden="false" customHeight="false" outlineLevel="0" collapsed="false">
      <c r="A29" s="13"/>
      <c r="B29" s="13"/>
      <c r="C29" s="13"/>
      <c r="D29" s="13"/>
      <c r="E29" s="10"/>
      <c r="F29" s="46"/>
      <c r="G29" s="47"/>
      <c r="H29" s="9" t="str">
        <f aca="false">IF(OR(G29="",A29=""),"",IF(NOT(ISNUMBER(F29)),"NO DATE",IF(D29="Backlog",IF(F29&gt;Settings!$B$5,"Backlog","Delivered"),IF(F29&gt;Settings!$B$5,"Pipeline","Overdue"))))</f>
        <v/>
      </c>
      <c r="I29" s="17" t="n">
        <f aca="false">IF(H29="",0,N(G29)*IF(D29="Backlog",1,N(E29)))</f>
        <v>0</v>
      </c>
      <c r="J29" s="48" t="str">
        <f aca="false">IF(OR(H29="",H29="NO DATE"),"",IF(H29="Overdue",IF(Settings!$B$8="Yes",Settings!$B$7,""),DATE(YEAR(F29),MONTH(F29),1)))</f>
        <v/>
      </c>
      <c r="K29" s="17" t="n">
        <f aca="false">IF(AND(OR(H29="Backlog",H29="Pipeline",H29="Overdue"),ISNUMBER(J29)),IF(J29&lt;=Settings!$B$6,I29,0),0)</f>
        <v>0</v>
      </c>
      <c r="L29" s="17" t="n">
        <f aca="false">IF(AND(OR(H29="Backlog",H29="Pipeline",H29="Overdue"),ISNUMBER(J29)),IF(J29&lt;=Settings!$B$6,N(G29),0),0)</f>
        <v>0</v>
      </c>
      <c r="M29" s="17" t="n">
        <f aca="false">IF(L29=0,0,IF(H29="Backlog",N(G29),N(G29)*Dashboard!$C$10))</f>
        <v>0</v>
      </c>
      <c r="N29" s="9" t="n">
        <f aca="false">IF(B29="",0,IF(COUNTIF(Dashboard!$C$13:$C$22,B29)&gt;0,1,0))</f>
        <v>0</v>
      </c>
    </row>
    <row r="30" customFormat="false" ht="15" hidden="false" customHeight="false" outlineLevel="0" collapsed="false">
      <c r="A30" s="13"/>
      <c r="B30" s="13"/>
      <c r="C30" s="13"/>
      <c r="D30" s="13"/>
      <c r="E30" s="10"/>
      <c r="F30" s="46"/>
      <c r="G30" s="47"/>
      <c r="H30" s="9" t="str">
        <f aca="false">IF(OR(G30="",A30=""),"",IF(NOT(ISNUMBER(F30)),"NO DATE",IF(D30="Backlog",IF(F30&gt;Settings!$B$5,"Backlog","Delivered"),IF(F30&gt;Settings!$B$5,"Pipeline","Overdue"))))</f>
        <v/>
      </c>
      <c r="I30" s="17" t="n">
        <f aca="false">IF(H30="",0,N(G30)*IF(D30="Backlog",1,N(E30)))</f>
        <v>0</v>
      </c>
      <c r="J30" s="48" t="str">
        <f aca="false">IF(OR(H30="",H30="NO DATE"),"",IF(H30="Overdue",IF(Settings!$B$8="Yes",Settings!$B$7,""),DATE(YEAR(F30),MONTH(F30),1)))</f>
        <v/>
      </c>
      <c r="K30" s="17" t="n">
        <f aca="false">IF(AND(OR(H30="Backlog",H30="Pipeline",H30="Overdue"),ISNUMBER(J30)),IF(J30&lt;=Settings!$B$6,I30,0),0)</f>
        <v>0</v>
      </c>
      <c r="L30" s="17" t="n">
        <f aca="false">IF(AND(OR(H30="Backlog",H30="Pipeline",H30="Overdue"),ISNUMBER(J30)),IF(J30&lt;=Settings!$B$6,N(G30),0),0)</f>
        <v>0</v>
      </c>
      <c r="M30" s="17" t="n">
        <f aca="false">IF(L30=0,0,IF(H30="Backlog",N(G30),N(G30)*Dashboard!$C$10))</f>
        <v>0</v>
      </c>
      <c r="N30" s="9" t="n">
        <f aca="false">IF(B30="",0,IF(COUNTIF(Dashboard!$C$13:$C$22,B30)&gt;0,1,0))</f>
        <v>0</v>
      </c>
    </row>
    <row r="31" customFormat="false" ht="15" hidden="false" customHeight="false" outlineLevel="0" collapsed="false">
      <c r="A31" s="13"/>
      <c r="B31" s="13"/>
      <c r="C31" s="13"/>
      <c r="D31" s="13"/>
      <c r="E31" s="10"/>
      <c r="F31" s="46"/>
      <c r="G31" s="47"/>
      <c r="H31" s="9" t="str">
        <f aca="false">IF(OR(G31="",A31=""),"",IF(NOT(ISNUMBER(F31)),"NO DATE",IF(D31="Backlog",IF(F31&gt;Settings!$B$5,"Backlog","Delivered"),IF(F31&gt;Settings!$B$5,"Pipeline","Overdue"))))</f>
        <v/>
      </c>
      <c r="I31" s="17" t="n">
        <f aca="false">IF(H31="",0,N(G31)*IF(D31="Backlog",1,N(E31)))</f>
        <v>0</v>
      </c>
      <c r="J31" s="48" t="str">
        <f aca="false">IF(OR(H31="",H31="NO DATE"),"",IF(H31="Overdue",IF(Settings!$B$8="Yes",Settings!$B$7,""),DATE(YEAR(F31),MONTH(F31),1)))</f>
        <v/>
      </c>
      <c r="K31" s="17" t="n">
        <f aca="false">IF(AND(OR(H31="Backlog",H31="Pipeline",H31="Overdue"),ISNUMBER(J31)),IF(J31&lt;=Settings!$B$6,I31,0),0)</f>
        <v>0</v>
      </c>
      <c r="L31" s="17" t="n">
        <f aca="false">IF(AND(OR(H31="Backlog",H31="Pipeline",H31="Overdue"),ISNUMBER(J31)),IF(J31&lt;=Settings!$B$6,N(G31),0),0)</f>
        <v>0</v>
      </c>
      <c r="M31" s="17" t="n">
        <f aca="false">IF(L31=0,0,IF(H31="Backlog",N(G31),N(G31)*Dashboard!$C$10))</f>
        <v>0</v>
      </c>
      <c r="N31" s="9" t="n">
        <f aca="false">IF(B31="",0,IF(COUNTIF(Dashboard!$C$13:$C$22,B31)&gt;0,1,0))</f>
        <v>0</v>
      </c>
    </row>
    <row r="32" customFormat="false" ht="15" hidden="false" customHeight="false" outlineLevel="0" collapsed="false">
      <c r="A32" s="13"/>
      <c r="B32" s="13"/>
      <c r="C32" s="13"/>
      <c r="D32" s="13"/>
      <c r="E32" s="10"/>
      <c r="F32" s="46"/>
      <c r="G32" s="47"/>
      <c r="H32" s="9" t="str">
        <f aca="false">IF(OR(G32="",A32=""),"",IF(NOT(ISNUMBER(F32)),"NO DATE",IF(D32="Backlog",IF(F32&gt;Settings!$B$5,"Backlog","Delivered"),IF(F32&gt;Settings!$B$5,"Pipeline","Overdue"))))</f>
        <v/>
      </c>
      <c r="I32" s="17" t="n">
        <f aca="false">IF(H32="",0,N(G32)*IF(D32="Backlog",1,N(E32)))</f>
        <v>0</v>
      </c>
      <c r="J32" s="48" t="str">
        <f aca="false">IF(OR(H32="",H32="NO DATE"),"",IF(H32="Overdue",IF(Settings!$B$8="Yes",Settings!$B$7,""),DATE(YEAR(F32),MONTH(F32),1)))</f>
        <v/>
      </c>
      <c r="K32" s="17" t="n">
        <f aca="false">IF(AND(OR(H32="Backlog",H32="Pipeline",H32="Overdue"),ISNUMBER(J32)),IF(J32&lt;=Settings!$B$6,I32,0),0)</f>
        <v>0</v>
      </c>
      <c r="L32" s="17" t="n">
        <f aca="false">IF(AND(OR(H32="Backlog",H32="Pipeline",H32="Overdue"),ISNUMBER(J32)),IF(J32&lt;=Settings!$B$6,N(G32),0),0)</f>
        <v>0</v>
      </c>
      <c r="M32" s="17" t="n">
        <f aca="false">IF(L32=0,0,IF(H32="Backlog",N(G32),N(G32)*Dashboard!$C$10))</f>
        <v>0</v>
      </c>
      <c r="N32" s="9" t="n">
        <f aca="false">IF(B32="",0,IF(COUNTIF(Dashboard!$C$13:$C$22,B32)&gt;0,1,0))</f>
        <v>0</v>
      </c>
    </row>
    <row r="33" customFormat="false" ht="15" hidden="false" customHeight="false" outlineLevel="0" collapsed="false">
      <c r="A33" s="13"/>
      <c r="B33" s="13"/>
      <c r="C33" s="13"/>
      <c r="D33" s="13"/>
      <c r="E33" s="10"/>
      <c r="F33" s="46"/>
      <c r="G33" s="47"/>
      <c r="H33" s="9" t="str">
        <f aca="false">IF(OR(G33="",A33=""),"",IF(NOT(ISNUMBER(F33)),"NO DATE",IF(D33="Backlog",IF(F33&gt;Settings!$B$5,"Backlog","Delivered"),IF(F33&gt;Settings!$B$5,"Pipeline","Overdue"))))</f>
        <v/>
      </c>
      <c r="I33" s="17" t="n">
        <f aca="false">IF(H33="",0,N(G33)*IF(D33="Backlog",1,N(E33)))</f>
        <v>0</v>
      </c>
      <c r="J33" s="48" t="str">
        <f aca="false">IF(OR(H33="",H33="NO DATE"),"",IF(H33="Overdue",IF(Settings!$B$8="Yes",Settings!$B$7,""),DATE(YEAR(F33),MONTH(F33),1)))</f>
        <v/>
      </c>
      <c r="K33" s="17" t="n">
        <f aca="false">IF(AND(OR(H33="Backlog",H33="Pipeline",H33="Overdue"),ISNUMBER(J33)),IF(J33&lt;=Settings!$B$6,I33,0),0)</f>
        <v>0</v>
      </c>
      <c r="L33" s="17" t="n">
        <f aca="false">IF(AND(OR(H33="Backlog",H33="Pipeline",H33="Overdue"),ISNUMBER(J33)),IF(J33&lt;=Settings!$B$6,N(G33),0),0)</f>
        <v>0</v>
      </c>
      <c r="M33" s="17" t="n">
        <f aca="false">IF(L33=0,0,IF(H33="Backlog",N(G33),N(G33)*Dashboard!$C$10))</f>
        <v>0</v>
      </c>
      <c r="N33" s="9" t="n">
        <f aca="false">IF(B33="",0,IF(COUNTIF(Dashboard!$C$13:$C$22,B33)&gt;0,1,0))</f>
        <v>0</v>
      </c>
    </row>
    <row r="34" customFormat="false" ht="15" hidden="false" customHeight="false" outlineLevel="0" collapsed="false">
      <c r="A34" s="13"/>
      <c r="B34" s="13"/>
      <c r="C34" s="13"/>
      <c r="D34" s="13"/>
      <c r="E34" s="10"/>
      <c r="F34" s="46"/>
      <c r="G34" s="47"/>
      <c r="H34" s="9" t="str">
        <f aca="false">IF(OR(G34="",A34=""),"",IF(NOT(ISNUMBER(F34)),"NO DATE",IF(D34="Backlog",IF(F34&gt;Settings!$B$5,"Backlog","Delivered"),IF(F34&gt;Settings!$B$5,"Pipeline","Overdue"))))</f>
        <v/>
      </c>
      <c r="I34" s="17" t="n">
        <f aca="false">IF(H34="",0,N(G34)*IF(D34="Backlog",1,N(E34)))</f>
        <v>0</v>
      </c>
      <c r="J34" s="48" t="str">
        <f aca="false">IF(OR(H34="",H34="NO DATE"),"",IF(H34="Overdue",IF(Settings!$B$8="Yes",Settings!$B$7,""),DATE(YEAR(F34),MONTH(F34),1)))</f>
        <v/>
      </c>
      <c r="K34" s="17" t="n">
        <f aca="false">IF(AND(OR(H34="Backlog",H34="Pipeline",H34="Overdue"),ISNUMBER(J34)),IF(J34&lt;=Settings!$B$6,I34,0),0)</f>
        <v>0</v>
      </c>
      <c r="L34" s="17" t="n">
        <f aca="false">IF(AND(OR(H34="Backlog",H34="Pipeline",H34="Overdue"),ISNUMBER(J34)),IF(J34&lt;=Settings!$B$6,N(G34),0),0)</f>
        <v>0</v>
      </c>
      <c r="M34" s="17" t="n">
        <f aca="false">IF(L34=0,0,IF(H34="Backlog",N(G34),N(G34)*Dashboard!$C$10))</f>
        <v>0</v>
      </c>
      <c r="N34" s="9" t="n">
        <f aca="false">IF(B34="",0,IF(COUNTIF(Dashboard!$C$13:$C$22,B34)&gt;0,1,0))</f>
        <v>0</v>
      </c>
    </row>
    <row r="35" customFormat="false" ht="15" hidden="false" customHeight="false" outlineLevel="0" collapsed="false">
      <c r="A35" s="13"/>
      <c r="B35" s="13"/>
      <c r="C35" s="13"/>
      <c r="D35" s="13"/>
      <c r="E35" s="10"/>
      <c r="F35" s="46"/>
      <c r="G35" s="47"/>
      <c r="H35" s="9" t="str">
        <f aca="false">IF(OR(G35="",A35=""),"",IF(NOT(ISNUMBER(F35)),"NO DATE",IF(D35="Backlog",IF(F35&gt;Settings!$B$5,"Backlog","Delivered"),IF(F35&gt;Settings!$B$5,"Pipeline","Overdue"))))</f>
        <v/>
      </c>
      <c r="I35" s="17" t="n">
        <f aca="false">IF(H35="",0,N(G35)*IF(D35="Backlog",1,N(E35)))</f>
        <v>0</v>
      </c>
      <c r="J35" s="48" t="str">
        <f aca="false">IF(OR(H35="",H35="NO DATE"),"",IF(H35="Overdue",IF(Settings!$B$8="Yes",Settings!$B$7,""),DATE(YEAR(F35),MONTH(F35),1)))</f>
        <v/>
      </c>
      <c r="K35" s="17" t="n">
        <f aca="false">IF(AND(OR(H35="Backlog",H35="Pipeline",H35="Overdue"),ISNUMBER(J35)),IF(J35&lt;=Settings!$B$6,I35,0),0)</f>
        <v>0</v>
      </c>
      <c r="L35" s="17" t="n">
        <f aca="false">IF(AND(OR(H35="Backlog",H35="Pipeline",H35="Overdue"),ISNUMBER(J35)),IF(J35&lt;=Settings!$B$6,N(G35),0),0)</f>
        <v>0</v>
      </c>
      <c r="M35" s="17" t="n">
        <f aca="false">IF(L35=0,0,IF(H35="Backlog",N(G35),N(G35)*Dashboard!$C$10))</f>
        <v>0</v>
      </c>
      <c r="N35" s="9" t="n">
        <f aca="false">IF(B35="",0,IF(COUNTIF(Dashboard!$C$13:$C$22,B35)&gt;0,1,0))</f>
        <v>0</v>
      </c>
    </row>
    <row r="36" customFormat="false" ht="15" hidden="false" customHeight="false" outlineLevel="0" collapsed="false">
      <c r="A36" s="13"/>
      <c r="B36" s="13"/>
      <c r="C36" s="13"/>
      <c r="D36" s="13"/>
      <c r="E36" s="10"/>
      <c r="F36" s="46"/>
      <c r="G36" s="47"/>
      <c r="H36" s="9" t="str">
        <f aca="false">IF(OR(G36="",A36=""),"",IF(NOT(ISNUMBER(F36)),"NO DATE",IF(D36="Backlog",IF(F36&gt;Settings!$B$5,"Backlog","Delivered"),IF(F36&gt;Settings!$B$5,"Pipeline","Overdue"))))</f>
        <v/>
      </c>
      <c r="I36" s="17" t="n">
        <f aca="false">IF(H36="",0,N(G36)*IF(D36="Backlog",1,N(E36)))</f>
        <v>0</v>
      </c>
      <c r="J36" s="48" t="str">
        <f aca="false">IF(OR(H36="",H36="NO DATE"),"",IF(H36="Overdue",IF(Settings!$B$8="Yes",Settings!$B$7,""),DATE(YEAR(F36),MONTH(F36),1)))</f>
        <v/>
      </c>
      <c r="K36" s="17" t="n">
        <f aca="false">IF(AND(OR(H36="Backlog",H36="Pipeline",H36="Overdue"),ISNUMBER(J36)),IF(J36&lt;=Settings!$B$6,I36,0),0)</f>
        <v>0</v>
      </c>
      <c r="L36" s="17" t="n">
        <f aca="false">IF(AND(OR(H36="Backlog",H36="Pipeline",H36="Overdue"),ISNUMBER(J36)),IF(J36&lt;=Settings!$B$6,N(G36),0),0)</f>
        <v>0</v>
      </c>
      <c r="M36" s="17" t="n">
        <f aca="false">IF(L36=0,0,IF(H36="Backlog",N(G36),N(G36)*Dashboard!$C$10))</f>
        <v>0</v>
      </c>
      <c r="N36" s="9" t="n">
        <f aca="false">IF(B36="",0,IF(COUNTIF(Dashboard!$C$13:$C$22,B36)&gt;0,1,0))</f>
        <v>0</v>
      </c>
    </row>
    <row r="37" customFormat="false" ht="15" hidden="false" customHeight="false" outlineLevel="0" collapsed="false">
      <c r="A37" s="13"/>
      <c r="B37" s="13"/>
      <c r="C37" s="13"/>
      <c r="D37" s="13"/>
      <c r="E37" s="10"/>
      <c r="F37" s="46"/>
      <c r="G37" s="47"/>
      <c r="H37" s="9" t="str">
        <f aca="false">IF(OR(G37="",A37=""),"",IF(NOT(ISNUMBER(F37)),"NO DATE",IF(D37="Backlog",IF(F37&gt;Settings!$B$5,"Backlog","Delivered"),IF(F37&gt;Settings!$B$5,"Pipeline","Overdue"))))</f>
        <v/>
      </c>
      <c r="I37" s="17" t="n">
        <f aca="false">IF(H37="",0,N(G37)*IF(D37="Backlog",1,N(E37)))</f>
        <v>0</v>
      </c>
      <c r="J37" s="48" t="str">
        <f aca="false">IF(OR(H37="",H37="NO DATE"),"",IF(H37="Overdue",IF(Settings!$B$8="Yes",Settings!$B$7,""),DATE(YEAR(F37),MONTH(F37),1)))</f>
        <v/>
      </c>
      <c r="K37" s="17" t="n">
        <f aca="false">IF(AND(OR(H37="Backlog",H37="Pipeline",H37="Overdue"),ISNUMBER(J37)),IF(J37&lt;=Settings!$B$6,I37,0),0)</f>
        <v>0</v>
      </c>
      <c r="L37" s="17" t="n">
        <f aca="false">IF(AND(OR(H37="Backlog",H37="Pipeline",H37="Overdue"),ISNUMBER(J37)),IF(J37&lt;=Settings!$B$6,N(G37),0),0)</f>
        <v>0</v>
      </c>
      <c r="M37" s="17" t="n">
        <f aca="false">IF(L37=0,0,IF(H37="Backlog",N(G37),N(G37)*Dashboard!$C$10))</f>
        <v>0</v>
      </c>
      <c r="N37" s="9" t="n">
        <f aca="false">IF(B37="",0,IF(COUNTIF(Dashboard!$C$13:$C$22,B37)&gt;0,1,0))</f>
        <v>0</v>
      </c>
    </row>
    <row r="38" customFormat="false" ht="15" hidden="false" customHeight="false" outlineLevel="0" collapsed="false">
      <c r="A38" s="13"/>
      <c r="B38" s="13"/>
      <c r="C38" s="13"/>
      <c r="D38" s="13"/>
      <c r="E38" s="10"/>
      <c r="F38" s="46"/>
      <c r="G38" s="47"/>
      <c r="H38" s="9" t="str">
        <f aca="false">IF(OR(G38="",A38=""),"",IF(NOT(ISNUMBER(F38)),"NO DATE",IF(D38="Backlog",IF(F38&gt;Settings!$B$5,"Backlog","Delivered"),IF(F38&gt;Settings!$B$5,"Pipeline","Overdue"))))</f>
        <v/>
      </c>
      <c r="I38" s="17" t="n">
        <f aca="false">IF(H38="",0,N(G38)*IF(D38="Backlog",1,N(E38)))</f>
        <v>0</v>
      </c>
      <c r="J38" s="48" t="str">
        <f aca="false">IF(OR(H38="",H38="NO DATE"),"",IF(H38="Overdue",IF(Settings!$B$8="Yes",Settings!$B$7,""),DATE(YEAR(F38),MONTH(F38),1)))</f>
        <v/>
      </c>
      <c r="K38" s="17" t="n">
        <f aca="false">IF(AND(OR(H38="Backlog",H38="Pipeline",H38="Overdue"),ISNUMBER(J38)),IF(J38&lt;=Settings!$B$6,I38,0),0)</f>
        <v>0</v>
      </c>
      <c r="L38" s="17" t="n">
        <f aca="false">IF(AND(OR(H38="Backlog",H38="Pipeline",H38="Overdue"),ISNUMBER(J38)),IF(J38&lt;=Settings!$B$6,N(G38),0),0)</f>
        <v>0</v>
      </c>
      <c r="M38" s="17" t="n">
        <f aca="false">IF(L38=0,0,IF(H38="Backlog",N(G38),N(G38)*Dashboard!$C$10))</f>
        <v>0</v>
      </c>
      <c r="N38" s="9" t="n">
        <f aca="false">IF(B38="",0,IF(COUNTIF(Dashboard!$C$13:$C$22,B38)&gt;0,1,0))</f>
        <v>0</v>
      </c>
    </row>
    <row r="39" customFormat="false" ht="15" hidden="false" customHeight="false" outlineLevel="0" collapsed="false">
      <c r="A39" s="13"/>
      <c r="B39" s="13"/>
      <c r="C39" s="13"/>
      <c r="D39" s="13"/>
      <c r="E39" s="10"/>
      <c r="F39" s="46"/>
      <c r="G39" s="47"/>
      <c r="H39" s="9" t="str">
        <f aca="false">IF(OR(G39="",A39=""),"",IF(NOT(ISNUMBER(F39)),"NO DATE",IF(D39="Backlog",IF(F39&gt;Settings!$B$5,"Backlog","Delivered"),IF(F39&gt;Settings!$B$5,"Pipeline","Overdue"))))</f>
        <v/>
      </c>
      <c r="I39" s="17" t="n">
        <f aca="false">IF(H39="",0,N(G39)*IF(D39="Backlog",1,N(E39)))</f>
        <v>0</v>
      </c>
      <c r="J39" s="48" t="str">
        <f aca="false">IF(OR(H39="",H39="NO DATE"),"",IF(H39="Overdue",IF(Settings!$B$8="Yes",Settings!$B$7,""),DATE(YEAR(F39),MONTH(F39),1)))</f>
        <v/>
      </c>
      <c r="K39" s="17" t="n">
        <f aca="false">IF(AND(OR(H39="Backlog",H39="Pipeline",H39="Overdue"),ISNUMBER(J39)),IF(J39&lt;=Settings!$B$6,I39,0),0)</f>
        <v>0</v>
      </c>
      <c r="L39" s="17" t="n">
        <f aca="false">IF(AND(OR(H39="Backlog",H39="Pipeline",H39="Overdue"),ISNUMBER(J39)),IF(J39&lt;=Settings!$B$6,N(G39),0),0)</f>
        <v>0</v>
      </c>
      <c r="M39" s="17" t="n">
        <f aca="false">IF(L39=0,0,IF(H39="Backlog",N(G39),N(G39)*Dashboard!$C$10))</f>
        <v>0</v>
      </c>
      <c r="N39" s="9" t="n">
        <f aca="false">IF(B39="",0,IF(COUNTIF(Dashboard!$C$13:$C$22,B39)&gt;0,1,0))</f>
        <v>0</v>
      </c>
    </row>
    <row r="40" customFormat="false" ht="15" hidden="false" customHeight="false" outlineLevel="0" collapsed="false">
      <c r="A40" s="13"/>
      <c r="B40" s="13"/>
      <c r="C40" s="13"/>
      <c r="D40" s="13"/>
      <c r="E40" s="10"/>
      <c r="F40" s="46"/>
      <c r="G40" s="47"/>
      <c r="H40" s="9" t="str">
        <f aca="false">IF(OR(G40="",A40=""),"",IF(NOT(ISNUMBER(F40)),"NO DATE",IF(D40="Backlog",IF(F40&gt;Settings!$B$5,"Backlog","Delivered"),IF(F40&gt;Settings!$B$5,"Pipeline","Overdue"))))</f>
        <v/>
      </c>
      <c r="I40" s="17" t="n">
        <f aca="false">IF(H40="",0,N(G40)*IF(D40="Backlog",1,N(E40)))</f>
        <v>0</v>
      </c>
      <c r="J40" s="48" t="str">
        <f aca="false">IF(OR(H40="",H40="NO DATE"),"",IF(H40="Overdue",IF(Settings!$B$8="Yes",Settings!$B$7,""),DATE(YEAR(F40),MONTH(F40),1)))</f>
        <v/>
      </c>
      <c r="K40" s="17" t="n">
        <f aca="false">IF(AND(OR(H40="Backlog",H40="Pipeline",H40="Overdue"),ISNUMBER(J40)),IF(J40&lt;=Settings!$B$6,I40,0),0)</f>
        <v>0</v>
      </c>
      <c r="L40" s="17" t="n">
        <f aca="false">IF(AND(OR(H40="Backlog",H40="Pipeline",H40="Overdue"),ISNUMBER(J40)),IF(J40&lt;=Settings!$B$6,N(G40),0),0)</f>
        <v>0</v>
      </c>
      <c r="M40" s="17" t="n">
        <f aca="false">IF(L40=0,0,IF(H40="Backlog",N(G40),N(G40)*Dashboard!$C$10))</f>
        <v>0</v>
      </c>
      <c r="N40" s="9" t="n">
        <f aca="false">IF(B40="",0,IF(COUNTIF(Dashboard!$C$13:$C$22,B40)&gt;0,1,0))</f>
        <v>0</v>
      </c>
    </row>
    <row r="41" customFormat="false" ht="15" hidden="false" customHeight="false" outlineLevel="0" collapsed="false">
      <c r="A41" s="13"/>
      <c r="B41" s="13"/>
      <c r="C41" s="13"/>
      <c r="D41" s="13"/>
      <c r="E41" s="10"/>
      <c r="F41" s="46"/>
      <c r="G41" s="47"/>
      <c r="H41" s="9" t="str">
        <f aca="false">IF(OR(G41="",A41=""),"",IF(NOT(ISNUMBER(F41)),"NO DATE",IF(D41="Backlog",IF(F41&gt;Settings!$B$5,"Backlog","Delivered"),IF(F41&gt;Settings!$B$5,"Pipeline","Overdue"))))</f>
        <v/>
      </c>
      <c r="I41" s="17" t="n">
        <f aca="false">IF(H41="",0,N(G41)*IF(D41="Backlog",1,N(E41)))</f>
        <v>0</v>
      </c>
      <c r="J41" s="48" t="str">
        <f aca="false">IF(OR(H41="",H41="NO DATE"),"",IF(H41="Overdue",IF(Settings!$B$8="Yes",Settings!$B$7,""),DATE(YEAR(F41),MONTH(F41),1)))</f>
        <v/>
      </c>
      <c r="K41" s="17" t="n">
        <f aca="false">IF(AND(OR(H41="Backlog",H41="Pipeline",H41="Overdue"),ISNUMBER(J41)),IF(J41&lt;=Settings!$B$6,I41,0),0)</f>
        <v>0</v>
      </c>
      <c r="L41" s="17" t="n">
        <f aca="false">IF(AND(OR(H41="Backlog",H41="Pipeline",H41="Overdue"),ISNUMBER(J41)),IF(J41&lt;=Settings!$B$6,N(G41),0),0)</f>
        <v>0</v>
      </c>
      <c r="M41" s="17" t="n">
        <f aca="false">IF(L41=0,0,IF(H41="Backlog",N(G41),N(G41)*Dashboard!$C$10))</f>
        <v>0</v>
      </c>
      <c r="N41" s="9" t="n">
        <f aca="false">IF(B41="",0,IF(COUNTIF(Dashboard!$C$13:$C$22,B41)&gt;0,1,0))</f>
        <v>0</v>
      </c>
    </row>
    <row r="42" customFormat="false" ht="15" hidden="false" customHeight="false" outlineLevel="0" collapsed="false">
      <c r="A42" s="13"/>
      <c r="B42" s="13"/>
      <c r="C42" s="13"/>
      <c r="D42" s="13"/>
      <c r="E42" s="10"/>
      <c r="F42" s="46"/>
      <c r="G42" s="47"/>
      <c r="H42" s="9" t="str">
        <f aca="false">IF(OR(G42="",A42=""),"",IF(NOT(ISNUMBER(F42)),"NO DATE",IF(D42="Backlog",IF(F42&gt;Settings!$B$5,"Backlog","Delivered"),IF(F42&gt;Settings!$B$5,"Pipeline","Overdue"))))</f>
        <v/>
      </c>
      <c r="I42" s="17" t="n">
        <f aca="false">IF(H42="",0,N(G42)*IF(D42="Backlog",1,N(E42)))</f>
        <v>0</v>
      </c>
      <c r="J42" s="48" t="str">
        <f aca="false">IF(OR(H42="",H42="NO DATE"),"",IF(H42="Overdue",IF(Settings!$B$8="Yes",Settings!$B$7,""),DATE(YEAR(F42),MONTH(F42),1)))</f>
        <v/>
      </c>
      <c r="K42" s="17" t="n">
        <f aca="false">IF(AND(OR(H42="Backlog",H42="Pipeline",H42="Overdue"),ISNUMBER(J42)),IF(J42&lt;=Settings!$B$6,I42,0),0)</f>
        <v>0</v>
      </c>
      <c r="L42" s="17" t="n">
        <f aca="false">IF(AND(OR(H42="Backlog",H42="Pipeline",H42="Overdue"),ISNUMBER(J42)),IF(J42&lt;=Settings!$B$6,N(G42),0),0)</f>
        <v>0</v>
      </c>
      <c r="M42" s="17" t="n">
        <f aca="false">IF(L42=0,0,IF(H42="Backlog",N(G42),N(G42)*Dashboard!$C$10))</f>
        <v>0</v>
      </c>
      <c r="N42" s="9" t="n">
        <f aca="false">IF(B42="",0,IF(COUNTIF(Dashboard!$C$13:$C$22,B42)&gt;0,1,0))</f>
        <v>0</v>
      </c>
    </row>
    <row r="43" customFormat="false" ht="15" hidden="false" customHeight="false" outlineLevel="0" collapsed="false">
      <c r="A43" s="13"/>
      <c r="B43" s="13"/>
      <c r="C43" s="13"/>
      <c r="D43" s="13"/>
      <c r="E43" s="10"/>
      <c r="F43" s="46"/>
      <c r="G43" s="47"/>
      <c r="H43" s="9" t="str">
        <f aca="false">IF(OR(G43="",A43=""),"",IF(NOT(ISNUMBER(F43)),"NO DATE",IF(D43="Backlog",IF(F43&gt;Settings!$B$5,"Backlog","Delivered"),IF(F43&gt;Settings!$B$5,"Pipeline","Overdue"))))</f>
        <v/>
      </c>
      <c r="I43" s="17" t="n">
        <f aca="false">IF(H43="",0,N(G43)*IF(D43="Backlog",1,N(E43)))</f>
        <v>0</v>
      </c>
      <c r="J43" s="48" t="str">
        <f aca="false">IF(OR(H43="",H43="NO DATE"),"",IF(H43="Overdue",IF(Settings!$B$8="Yes",Settings!$B$7,""),DATE(YEAR(F43),MONTH(F43),1)))</f>
        <v/>
      </c>
      <c r="K43" s="17" t="n">
        <f aca="false">IF(AND(OR(H43="Backlog",H43="Pipeline",H43="Overdue"),ISNUMBER(J43)),IF(J43&lt;=Settings!$B$6,I43,0),0)</f>
        <v>0</v>
      </c>
      <c r="L43" s="17" t="n">
        <f aca="false">IF(AND(OR(H43="Backlog",H43="Pipeline",H43="Overdue"),ISNUMBER(J43)),IF(J43&lt;=Settings!$B$6,N(G43),0),0)</f>
        <v>0</v>
      </c>
      <c r="M43" s="17" t="n">
        <f aca="false">IF(L43=0,0,IF(H43="Backlog",N(G43),N(G43)*Dashboard!$C$10))</f>
        <v>0</v>
      </c>
      <c r="N43" s="9" t="n">
        <f aca="false">IF(B43="",0,IF(COUNTIF(Dashboard!$C$13:$C$22,B43)&gt;0,1,0))</f>
        <v>0</v>
      </c>
    </row>
    <row r="44" customFormat="false" ht="15" hidden="false" customHeight="false" outlineLevel="0" collapsed="false">
      <c r="A44" s="13"/>
      <c r="B44" s="13"/>
      <c r="C44" s="13"/>
      <c r="D44" s="13"/>
      <c r="E44" s="10"/>
      <c r="F44" s="46"/>
      <c r="G44" s="47"/>
      <c r="H44" s="9" t="str">
        <f aca="false">IF(OR(G44="",A44=""),"",IF(NOT(ISNUMBER(F44)),"NO DATE",IF(D44="Backlog",IF(F44&gt;Settings!$B$5,"Backlog","Delivered"),IF(F44&gt;Settings!$B$5,"Pipeline","Overdue"))))</f>
        <v/>
      </c>
      <c r="I44" s="17" t="n">
        <f aca="false">IF(H44="",0,N(G44)*IF(D44="Backlog",1,N(E44)))</f>
        <v>0</v>
      </c>
      <c r="J44" s="48" t="str">
        <f aca="false">IF(OR(H44="",H44="NO DATE"),"",IF(H44="Overdue",IF(Settings!$B$8="Yes",Settings!$B$7,""),DATE(YEAR(F44),MONTH(F44),1)))</f>
        <v/>
      </c>
      <c r="K44" s="17" t="n">
        <f aca="false">IF(AND(OR(H44="Backlog",H44="Pipeline",H44="Overdue"),ISNUMBER(J44)),IF(J44&lt;=Settings!$B$6,I44,0),0)</f>
        <v>0</v>
      </c>
      <c r="L44" s="17" t="n">
        <f aca="false">IF(AND(OR(H44="Backlog",H44="Pipeline",H44="Overdue"),ISNUMBER(J44)),IF(J44&lt;=Settings!$B$6,N(G44),0),0)</f>
        <v>0</v>
      </c>
      <c r="M44" s="17" t="n">
        <f aca="false">IF(L44=0,0,IF(H44="Backlog",N(G44),N(G44)*Dashboard!$C$10))</f>
        <v>0</v>
      </c>
      <c r="N44" s="9" t="n">
        <f aca="false">IF(B44="",0,IF(COUNTIF(Dashboard!$C$13:$C$22,B44)&gt;0,1,0))</f>
        <v>0</v>
      </c>
    </row>
    <row r="45" customFormat="false" ht="15" hidden="false" customHeight="false" outlineLevel="0" collapsed="false">
      <c r="A45" s="13"/>
      <c r="B45" s="13"/>
      <c r="C45" s="13"/>
      <c r="D45" s="13"/>
      <c r="E45" s="10"/>
      <c r="F45" s="46"/>
      <c r="G45" s="47"/>
      <c r="H45" s="9" t="str">
        <f aca="false">IF(OR(G45="",A45=""),"",IF(NOT(ISNUMBER(F45)),"NO DATE",IF(D45="Backlog",IF(F45&gt;Settings!$B$5,"Backlog","Delivered"),IF(F45&gt;Settings!$B$5,"Pipeline","Overdue"))))</f>
        <v/>
      </c>
      <c r="I45" s="17" t="n">
        <f aca="false">IF(H45="",0,N(G45)*IF(D45="Backlog",1,N(E45)))</f>
        <v>0</v>
      </c>
      <c r="J45" s="48" t="str">
        <f aca="false">IF(OR(H45="",H45="NO DATE"),"",IF(H45="Overdue",IF(Settings!$B$8="Yes",Settings!$B$7,""),DATE(YEAR(F45),MONTH(F45),1)))</f>
        <v/>
      </c>
      <c r="K45" s="17" t="n">
        <f aca="false">IF(AND(OR(H45="Backlog",H45="Pipeline",H45="Overdue"),ISNUMBER(J45)),IF(J45&lt;=Settings!$B$6,I45,0),0)</f>
        <v>0</v>
      </c>
      <c r="L45" s="17" t="n">
        <f aca="false">IF(AND(OR(H45="Backlog",H45="Pipeline",H45="Overdue"),ISNUMBER(J45)),IF(J45&lt;=Settings!$B$6,N(G45),0),0)</f>
        <v>0</v>
      </c>
      <c r="M45" s="17" t="n">
        <f aca="false">IF(L45=0,0,IF(H45="Backlog",N(G45),N(G45)*Dashboard!$C$10))</f>
        <v>0</v>
      </c>
      <c r="N45" s="9" t="n">
        <f aca="false">IF(B45="",0,IF(COUNTIF(Dashboard!$C$13:$C$22,B45)&gt;0,1,0))</f>
        <v>0</v>
      </c>
    </row>
    <row r="46" customFormat="false" ht="15" hidden="false" customHeight="false" outlineLevel="0" collapsed="false">
      <c r="A46" s="13"/>
      <c r="B46" s="13"/>
      <c r="C46" s="13"/>
      <c r="D46" s="13"/>
      <c r="E46" s="10"/>
      <c r="F46" s="46"/>
      <c r="G46" s="47"/>
      <c r="H46" s="9" t="str">
        <f aca="false">IF(OR(G46="",A46=""),"",IF(NOT(ISNUMBER(F46)),"NO DATE",IF(D46="Backlog",IF(F46&gt;Settings!$B$5,"Backlog","Delivered"),IF(F46&gt;Settings!$B$5,"Pipeline","Overdue"))))</f>
        <v/>
      </c>
      <c r="I46" s="17" t="n">
        <f aca="false">IF(H46="",0,N(G46)*IF(D46="Backlog",1,N(E46)))</f>
        <v>0</v>
      </c>
      <c r="J46" s="48" t="str">
        <f aca="false">IF(OR(H46="",H46="NO DATE"),"",IF(H46="Overdue",IF(Settings!$B$8="Yes",Settings!$B$7,""),DATE(YEAR(F46),MONTH(F46),1)))</f>
        <v/>
      </c>
      <c r="K46" s="17" t="n">
        <f aca="false">IF(AND(OR(H46="Backlog",H46="Pipeline",H46="Overdue"),ISNUMBER(J46)),IF(J46&lt;=Settings!$B$6,I46,0),0)</f>
        <v>0</v>
      </c>
      <c r="L46" s="17" t="n">
        <f aca="false">IF(AND(OR(H46="Backlog",H46="Pipeline",H46="Overdue"),ISNUMBER(J46)),IF(J46&lt;=Settings!$B$6,N(G46),0),0)</f>
        <v>0</v>
      </c>
      <c r="M46" s="17" t="n">
        <f aca="false">IF(L46=0,0,IF(H46="Backlog",N(G46),N(G46)*Dashboard!$C$10))</f>
        <v>0</v>
      </c>
      <c r="N46" s="9" t="n">
        <f aca="false">IF(B46="",0,IF(COUNTIF(Dashboard!$C$13:$C$22,B46)&gt;0,1,0))</f>
        <v>0</v>
      </c>
    </row>
    <row r="47" customFormat="false" ht="15" hidden="false" customHeight="false" outlineLevel="0" collapsed="false">
      <c r="A47" s="13"/>
      <c r="B47" s="13"/>
      <c r="C47" s="13"/>
      <c r="D47" s="13"/>
      <c r="E47" s="10"/>
      <c r="F47" s="46"/>
      <c r="G47" s="47"/>
      <c r="H47" s="9" t="str">
        <f aca="false">IF(OR(G47="",A47=""),"",IF(NOT(ISNUMBER(F47)),"NO DATE",IF(D47="Backlog",IF(F47&gt;Settings!$B$5,"Backlog","Delivered"),IF(F47&gt;Settings!$B$5,"Pipeline","Overdue"))))</f>
        <v/>
      </c>
      <c r="I47" s="17" t="n">
        <f aca="false">IF(H47="",0,N(G47)*IF(D47="Backlog",1,N(E47)))</f>
        <v>0</v>
      </c>
      <c r="J47" s="48" t="str">
        <f aca="false">IF(OR(H47="",H47="NO DATE"),"",IF(H47="Overdue",IF(Settings!$B$8="Yes",Settings!$B$7,""),DATE(YEAR(F47),MONTH(F47),1)))</f>
        <v/>
      </c>
      <c r="K47" s="17" t="n">
        <f aca="false">IF(AND(OR(H47="Backlog",H47="Pipeline",H47="Overdue"),ISNUMBER(J47)),IF(J47&lt;=Settings!$B$6,I47,0),0)</f>
        <v>0</v>
      </c>
      <c r="L47" s="17" t="n">
        <f aca="false">IF(AND(OR(H47="Backlog",H47="Pipeline",H47="Overdue"),ISNUMBER(J47)),IF(J47&lt;=Settings!$B$6,N(G47),0),0)</f>
        <v>0</v>
      </c>
      <c r="M47" s="17" t="n">
        <f aca="false">IF(L47=0,0,IF(H47="Backlog",N(G47),N(G47)*Dashboard!$C$10))</f>
        <v>0</v>
      </c>
      <c r="N47" s="9" t="n">
        <f aca="false">IF(B47="",0,IF(COUNTIF(Dashboard!$C$13:$C$22,B47)&gt;0,1,0))</f>
        <v>0</v>
      </c>
    </row>
    <row r="48" customFormat="false" ht="15" hidden="false" customHeight="false" outlineLevel="0" collapsed="false">
      <c r="A48" s="13"/>
      <c r="B48" s="13"/>
      <c r="C48" s="13"/>
      <c r="D48" s="13"/>
      <c r="E48" s="10"/>
      <c r="F48" s="46"/>
      <c r="G48" s="47"/>
      <c r="H48" s="9" t="str">
        <f aca="false">IF(OR(G48="",A48=""),"",IF(NOT(ISNUMBER(F48)),"NO DATE",IF(D48="Backlog",IF(F48&gt;Settings!$B$5,"Backlog","Delivered"),IF(F48&gt;Settings!$B$5,"Pipeline","Overdue"))))</f>
        <v/>
      </c>
      <c r="I48" s="17" t="n">
        <f aca="false">IF(H48="",0,N(G48)*IF(D48="Backlog",1,N(E48)))</f>
        <v>0</v>
      </c>
      <c r="J48" s="48" t="str">
        <f aca="false">IF(OR(H48="",H48="NO DATE"),"",IF(H48="Overdue",IF(Settings!$B$8="Yes",Settings!$B$7,""),DATE(YEAR(F48),MONTH(F48),1)))</f>
        <v/>
      </c>
      <c r="K48" s="17" t="n">
        <f aca="false">IF(AND(OR(H48="Backlog",H48="Pipeline",H48="Overdue"),ISNUMBER(J48)),IF(J48&lt;=Settings!$B$6,I48,0),0)</f>
        <v>0</v>
      </c>
      <c r="L48" s="17" t="n">
        <f aca="false">IF(AND(OR(H48="Backlog",H48="Pipeline",H48="Overdue"),ISNUMBER(J48)),IF(J48&lt;=Settings!$B$6,N(G48),0),0)</f>
        <v>0</v>
      </c>
      <c r="M48" s="17" t="n">
        <f aca="false">IF(L48=0,0,IF(H48="Backlog",N(G48),N(G48)*Dashboard!$C$10))</f>
        <v>0</v>
      </c>
      <c r="N48" s="9" t="n">
        <f aca="false">IF(B48="",0,IF(COUNTIF(Dashboard!$C$13:$C$22,B48)&gt;0,1,0))</f>
        <v>0</v>
      </c>
    </row>
    <row r="49" customFormat="false" ht="15" hidden="false" customHeight="false" outlineLevel="0" collapsed="false">
      <c r="A49" s="13"/>
      <c r="B49" s="13"/>
      <c r="C49" s="13"/>
      <c r="D49" s="13"/>
      <c r="E49" s="10"/>
      <c r="F49" s="46"/>
      <c r="G49" s="47"/>
      <c r="H49" s="9" t="str">
        <f aca="false">IF(OR(G49="",A49=""),"",IF(NOT(ISNUMBER(F49)),"NO DATE",IF(D49="Backlog",IF(F49&gt;Settings!$B$5,"Backlog","Delivered"),IF(F49&gt;Settings!$B$5,"Pipeline","Overdue"))))</f>
        <v/>
      </c>
      <c r="I49" s="17" t="n">
        <f aca="false">IF(H49="",0,N(G49)*IF(D49="Backlog",1,N(E49)))</f>
        <v>0</v>
      </c>
      <c r="J49" s="48" t="str">
        <f aca="false">IF(OR(H49="",H49="NO DATE"),"",IF(H49="Overdue",IF(Settings!$B$8="Yes",Settings!$B$7,""),DATE(YEAR(F49),MONTH(F49),1)))</f>
        <v/>
      </c>
      <c r="K49" s="17" t="n">
        <f aca="false">IF(AND(OR(H49="Backlog",H49="Pipeline",H49="Overdue"),ISNUMBER(J49)),IF(J49&lt;=Settings!$B$6,I49,0),0)</f>
        <v>0</v>
      </c>
      <c r="L49" s="17" t="n">
        <f aca="false">IF(AND(OR(H49="Backlog",H49="Pipeline",H49="Overdue"),ISNUMBER(J49)),IF(J49&lt;=Settings!$B$6,N(G49),0),0)</f>
        <v>0</v>
      </c>
      <c r="M49" s="17" t="n">
        <f aca="false">IF(L49=0,0,IF(H49="Backlog",N(G49),N(G49)*Dashboard!$C$10))</f>
        <v>0</v>
      </c>
      <c r="N49" s="9" t="n">
        <f aca="false">IF(B49="",0,IF(COUNTIF(Dashboard!$C$13:$C$22,B49)&gt;0,1,0))</f>
        <v>0</v>
      </c>
    </row>
    <row r="50" customFormat="false" ht="15" hidden="false" customHeight="false" outlineLevel="0" collapsed="false">
      <c r="A50" s="13"/>
      <c r="B50" s="13"/>
      <c r="C50" s="13"/>
      <c r="D50" s="13"/>
      <c r="E50" s="10"/>
      <c r="F50" s="46"/>
      <c r="G50" s="47"/>
      <c r="H50" s="9" t="str">
        <f aca="false">IF(OR(G50="",A50=""),"",IF(NOT(ISNUMBER(F50)),"NO DATE",IF(D50="Backlog",IF(F50&gt;Settings!$B$5,"Backlog","Delivered"),IF(F50&gt;Settings!$B$5,"Pipeline","Overdue"))))</f>
        <v/>
      </c>
      <c r="I50" s="17" t="n">
        <f aca="false">IF(H50="",0,N(G50)*IF(D50="Backlog",1,N(E50)))</f>
        <v>0</v>
      </c>
      <c r="J50" s="48" t="str">
        <f aca="false">IF(OR(H50="",H50="NO DATE"),"",IF(H50="Overdue",IF(Settings!$B$8="Yes",Settings!$B$7,""),DATE(YEAR(F50),MONTH(F50),1)))</f>
        <v/>
      </c>
      <c r="K50" s="17" t="n">
        <f aca="false">IF(AND(OR(H50="Backlog",H50="Pipeline",H50="Overdue"),ISNUMBER(J50)),IF(J50&lt;=Settings!$B$6,I50,0),0)</f>
        <v>0</v>
      </c>
      <c r="L50" s="17" t="n">
        <f aca="false">IF(AND(OR(H50="Backlog",H50="Pipeline",H50="Overdue"),ISNUMBER(J50)),IF(J50&lt;=Settings!$B$6,N(G50),0),0)</f>
        <v>0</v>
      </c>
      <c r="M50" s="17" t="n">
        <f aca="false">IF(L50=0,0,IF(H50="Backlog",N(G50),N(G50)*Dashboard!$C$10))</f>
        <v>0</v>
      </c>
      <c r="N50" s="9" t="n">
        <f aca="false">IF(B50="",0,IF(COUNTIF(Dashboard!$C$13:$C$22,B50)&gt;0,1,0))</f>
        <v>0</v>
      </c>
    </row>
    <row r="51" customFormat="false" ht="15" hidden="false" customHeight="false" outlineLevel="0" collapsed="false">
      <c r="A51" s="13"/>
      <c r="B51" s="13"/>
      <c r="C51" s="13"/>
      <c r="D51" s="13"/>
      <c r="E51" s="10"/>
      <c r="F51" s="46"/>
      <c r="G51" s="47"/>
      <c r="H51" s="9" t="str">
        <f aca="false">IF(OR(G51="",A51=""),"",IF(NOT(ISNUMBER(F51)),"NO DATE",IF(D51="Backlog",IF(F51&gt;Settings!$B$5,"Backlog","Delivered"),IF(F51&gt;Settings!$B$5,"Pipeline","Overdue"))))</f>
        <v/>
      </c>
      <c r="I51" s="17" t="n">
        <f aca="false">IF(H51="",0,N(G51)*IF(D51="Backlog",1,N(E51)))</f>
        <v>0</v>
      </c>
      <c r="J51" s="48" t="str">
        <f aca="false">IF(OR(H51="",H51="NO DATE"),"",IF(H51="Overdue",IF(Settings!$B$8="Yes",Settings!$B$7,""),DATE(YEAR(F51),MONTH(F51),1)))</f>
        <v/>
      </c>
      <c r="K51" s="17" t="n">
        <f aca="false">IF(AND(OR(H51="Backlog",H51="Pipeline",H51="Overdue"),ISNUMBER(J51)),IF(J51&lt;=Settings!$B$6,I51,0),0)</f>
        <v>0</v>
      </c>
      <c r="L51" s="17" t="n">
        <f aca="false">IF(AND(OR(H51="Backlog",H51="Pipeline",H51="Overdue"),ISNUMBER(J51)),IF(J51&lt;=Settings!$B$6,N(G51),0),0)</f>
        <v>0</v>
      </c>
      <c r="M51" s="17" t="n">
        <f aca="false">IF(L51=0,0,IF(H51="Backlog",N(G51),N(G51)*Dashboard!$C$10))</f>
        <v>0</v>
      </c>
      <c r="N51" s="9" t="n">
        <f aca="false">IF(B51="",0,IF(COUNTIF(Dashboard!$C$13:$C$22,B51)&gt;0,1,0))</f>
        <v>0</v>
      </c>
    </row>
    <row r="52" customFormat="false" ht="15" hidden="false" customHeight="false" outlineLevel="0" collapsed="false">
      <c r="A52" s="13"/>
      <c r="B52" s="13"/>
      <c r="C52" s="13"/>
      <c r="D52" s="13"/>
      <c r="E52" s="10"/>
      <c r="F52" s="46"/>
      <c r="G52" s="47"/>
      <c r="H52" s="9" t="str">
        <f aca="false">IF(OR(G52="",A52=""),"",IF(NOT(ISNUMBER(F52)),"NO DATE",IF(D52="Backlog",IF(F52&gt;Settings!$B$5,"Backlog","Delivered"),IF(F52&gt;Settings!$B$5,"Pipeline","Overdue"))))</f>
        <v/>
      </c>
      <c r="I52" s="17" t="n">
        <f aca="false">IF(H52="",0,N(G52)*IF(D52="Backlog",1,N(E52)))</f>
        <v>0</v>
      </c>
      <c r="J52" s="48" t="str">
        <f aca="false">IF(OR(H52="",H52="NO DATE"),"",IF(H52="Overdue",IF(Settings!$B$8="Yes",Settings!$B$7,""),DATE(YEAR(F52),MONTH(F52),1)))</f>
        <v/>
      </c>
      <c r="K52" s="17" t="n">
        <f aca="false">IF(AND(OR(H52="Backlog",H52="Pipeline",H52="Overdue"),ISNUMBER(J52)),IF(J52&lt;=Settings!$B$6,I52,0),0)</f>
        <v>0</v>
      </c>
      <c r="L52" s="17" t="n">
        <f aca="false">IF(AND(OR(H52="Backlog",H52="Pipeline",H52="Overdue"),ISNUMBER(J52)),IF(J52&lt;=Settings!$B$6,N(G52),0),0)</f>
        <v>0</v>
      </c>
      <c r="M52" s="17" t="n">
        <f aca="false">IF(L52=0,0,IF(H52="Backlog",N(G52),N(G52)*Dashboard!$C$10))</f>
        <v>0</v>
      </c>
      <c r="N52" s="9" t="n">
        <f aca="false">IF(B52="",0,IF(COUNTIF(Dashboard!$C$13:$C$22,B52)&gt;0,1,0))</f>
        <v>0</v>
      </c>
    </row>
    <row r="53" customFormat="false" ht="15" hidden="false" customHeight="false" outlineLevel="0" collapsed="false">
      <c r="A53" s="13"/>
      <c r="B53" s="13"/>
      <c r="C53" s="13"/>
      <c r="D53" s="13"/>
      <c r="E53" s="10"/>
      <c r="F53" s="46"/>
      <c r="G53" s="47"/>
      <c r="H53" s="9" t="str">
        <f aca="false">IF(OR(G53="",A53=""),"",IF(NOT(ISNUMBER(F53)),"NO DATE",IF(D53="Backlog",IF(F53&gt;Settings!$B$5,"Backlog","Delivered"),IF(F53&gt;Settings!$B$5,"Pipeline","Overdue"))))</f>
        <v/>
      </c>
      <c r="I53" s="17" t="n">
        <f aca="false">IF(H53="",0,N(G53)*IF(D53="Backlog",1,N(E53)))</f>
        <v>0</v>
      </c>
      <c r="J53" s="48" t="str">
        <f aca="false">IF(OR(H53="",H53="NO DATE"),"",IF(H53="Overdue",IF(Settings!$B$8="Yes",Settings!$B$7,""),DATE(YEAR(F53),MONTH(F53),1)))</f>
        <v/>
      </c>
      <c r="K53" s="17" t="n">
        <f aca="false">IF(AND(OR(H53="Backlog",H53="Pipeline",H53="Overdue"),ISNUMBER(J53)),IF(J53&lt;=Settings!$B$6,I53,0),0)</f>
        <v>0</v>
      </c>
      <c r="L53" s="17" t="n">
        <f aca="false">IF(AND(OR(H53="Backlog",H53="Pipeline",H53="Overdue"),ISNUMBER(J53)),IF(J53&lt;=Settings!$B$6,N(G53),0),0)</f>
        <v>0</v>
      </c>
      <c r="M53" s="17" t="n">
        <f aca="false">IF(L53=0,0,IF(H53="Backlog",N(G53),N(G53)*Dashboard!$C$10))</f>
        <v>0</v>
      </c>
      <c r="N53" s="9" t="n">
        <f aca="false">IF(B53="",0,IF(COUNTIF(Dashboard!$C$13:$C$22,B53)&gt;0,1,0))</f>
        <v>0</v>
      </c>
    </row>
    <row r="54" customFormat="false" ht="15" hidden="false" customHeight="false" outlineLevel="0" collapsed="false">
      <c r="A54" s="13"/>
      <c r="B54" s="13"/>
      <c r="C54" s="13"/>
      <c r="D54" s="13"/>
      <c r="E54" s="10"/>
      <c r="F54" s="46"/>
      <c r="G54" s="47"/>
      <c r="H54" s="9" t="str">
        <f aca="false">IF(OR(G54="",A54=""),"",IF(NOT(ISNUMBER(F54)),"NO DATE",IF(D54="Backlog",IF(F54&gt;Settings!$B$5,"Backlog","Delivered"),IF(F54&gt;Settings!$B$5,"Pipeline","Overdue"))))</f>
        <v/>
      </c>
      <c r="I54" s="17" t="n">
        <f aca="false">IF(H54="",0,N(G54)*IF(D54="Backlog",1,N(E54)))</f>
        <v>0</v>
      </c>
      <c r="J54" s="48" t="str">
        <f aca="false">IF(OR(H54="",H54="NO DATE"),"",IF(H54="Overdue",IF(Settings!$B$8="Yes",Settings!$B$7,""),DATE(YEAR(F54),MONTH(F54),1)))</f>
        <v/>
      </c>
      <c r="K54" s="17" t="n">
        <f aca="false">IF(AND(OR(H54="Backlog",H54="Pipeline",H54="Overdue"),ISNUMBER(J54)),IF(J54&lt;=Settings!$B$6,I54,0),0)</f>
        <v>0</v>
      </c>
      <c r="L54" s="17" t="n">
        <f aca="false">IF(AND(OR(H54="Backlog",H54="Pipeline",H54="Overdue"),ISNUMBER(J54)),IF(J54&lt;=Settings!$B$6,N(G54),0),0)</f>
        <v>0</v>
      </c>
      <c r="M54" s="17" t="n">
        <f aca="false">IF(L54=0,0,IF(H54="Backlog",N(G54),N(G54)*Dashboard!$C$10))</f>
        <v>0</v>
      </c>
      <c r="N54" s="9" t="n">
        <f aca="false">IF(B54="",0,IF(COUNTIF(Dashboard!$C$13:$C$22,B54)&gt;0,1,0))</f>
        <v>0</v>
      </c>
    </row>
    <row r="55" customFormat="false" ht="15" hidden="false" customHeight="false" outlineLevel="0" collapsed="false">
      <c r="A55" s="13"/>
      <c r="B55" s="13"/>
      <c r="C55" s="13"/>
      <c r="D55" s="13"/>
      <c r="E55" s="10"/>
      <c r="F55" s="46"/>
      <c r="G55" s="47"/>
      <c r="H55" s="9" t="str">
        <f aca="false">IF(OR(G55="",A55=""),"",IF(NOT(ISNUMBER(F55)),"NO DATE",IF(D55="Backlog",IF(F55&gt;Settings!$B$5,"Backlog","Delivered"),IF(F55&gt;Settings!$B$5,"Pipeline","Overdue"))))</f>
        <v/>
      </c>
      <c r="I55" s="17" t="n">
        <f aca="false">IF(H55="",0,N(G55)*IF(D55="Backlog",1,N(E55)))</f>
        <v>0</v>
      </c>
      <c r="J55" s="48" t="str">
        <f aca="false">IF(OR(H55="",H55="NO DATE"),"",IF(H55="Overdue",IF(Settings!$B$8="Yes",Settings!$B$7,""),DATE(YEAR(F55),MONTH(F55),1)))</f>
        <v/>
      </c>
      <c r="K55" s="17" t="n">
        <f aca="false">IF(AND(OR(H55="Backlog",H55="Pipeline",H55="Overdue"),ISNUMBER(J55)),IF(J55&lt;=Settings!$B$6,I55,0),0)</f>
        <v>0</v>
      </c>
      <c r="L55" s="17" t="n">
        <f aca="false">IF(AND(OR(H55="Backlog",H55="Pipeline",H55="Overdue"),ISNUMBER(J55)),IF(J55&lt;=Settings!$B$6,N(G55),0),0)</f>
        <v>0</v>
      </c>
      <c r="M55" s="17" t="n">
        <f aca="false">IF(L55=0,0,IF(H55="Backlog",N(G55),N(G55)*Dashboard!$C$10))</f>
        <v>0</v>
      </c>
      <c r="N55" s="9" t="n">
        <f aca="false">IF(B55="",0,IF(COUNTIF(Dashboard!$C$13:$C$22,B55)&gt;0,1,0))</f>
        <v>0</v>
      </c>
    </row>
    <row r="56" customFormat="false" ht="15" hidden="false" customHeight="false" outlineLevel="0" collapsed="false">
      <c r="A56" s="13"/>
      <c r="B56" s="13"/>
      <c r="C56" s="13"/>
      <c r="D56" s="13"/>
      <c r="E56" s="10"/>
      <c r="F56" s="46"/>
      <c r="G56" s="47"/>
      <c r="H56" s="9" t="str">
        <f aca="false">IF(OR(G56="",A56=""),"",IF(NOT(ISNUMBER(F56)),"NO DATE",IF(D56="Backlog",IF(F56&gt;Settings!$B$5,"Backlog","Delivered"),IF(F56&gt;Settings!$B$5,"Pipeline","Overdue"))))</f>
        <v/>
      </c>
      <c r="I56" s="17" t="n">
        <f aca="false">IF(H56="",0,N(G56)*IF(D56="Backlog",1,N(E56)))</f>
        <v>0</v>
      </c>
      <c r="J56" s="48" t="str">
        <f aca="false">IF(OR(H56="",H56="NO DATE"),"",IF(H56="Overdue",IF(Settings!$B$8="Yes",Settings!$B$7,""),DATE(YEAR(F56),MONTH(F56),1)))</f>
        <v/>
      </c>
      <c r="K56" s="17" t="n">
        <f aca="false">IF(AND(OR(H56="Backlog",H56="Pipeline",H56="Overdue"),ISNUMBER(J56)),IF(J56&lt;=Settings!$B$6,I56,0),0)</f>
        <v>0</v>
      </c>
      <c r="L56" s="17" t="n">
        <f aca="false">IF(AND(OR(H56="Backlog",H56="Pipeline",H56="Overdue"),ISNUMBER(J56)),IF(J56&lt;=Settings!$B$6,N(G56),0),0)</f>
        <v>0</v>
      </c>
      <c r="M56" s="17" t="n">
        <f aca="false">IF(L56=0,0,IF(H56="Backlog",N(G56),N(G56)*Dashboard!$C$10))</f>
        <v>0</v>
      </c>
      <c r="N56" s="9" t="n">
        <f aca="false">IF(B56="",0,IF(COUNTIF(Dashboard!$C$13:$C$22,B56)&gt;0,1,0))</f>
        <v>0</v>
      </c>
    </row>
    <row r="57" customFormat="false" ht="15" hidden="false" customHeight="false" outlineLevel="0" collapsed="false">
      <c r="A57" s="13"/>
      <c r="B57" s="13"/>
      <c r="C57" s="13"/>
      <c r="D57" s="13"/>
      <c r="E57" s="10"/>
      <c r="F57" s="46"/>
      <c r="G57" s="47"/>
      <c r="H57" s="9" t="str">
        <f aca="false">IF(OR(G57="",A57=""),"",IF(NOT(ISNUMBER(F57)),"NO DATE",IF(D57="Backlog",IF(F57&gt;Settings!$B$5,"Backlog","Delivered"),IF(F57&gt;Settings!$B$5,"Pipeline","Overdue"))))</f>
        <v/>
      </c>
      <c r="I57" s="17" t="n">
        <f aca="false">IF(H57="",0,N(G57)*IF(D57="Backlog",1,N(E57)))</f>
        <v>0</v>
      </c>
      <c r="J57" s="48" t="str">
        <f aca="false">IF(OR(H57="",H57="NO DATE"),"",IF(H57="Overdue",IF(Settings!$B$8="Yes",Settings!$B$7,""),DATE(YEAR(F57),MONTH(F57),1)))</f>
        <v/>
      </c>
      <c r="K57" s="17" t="n">
        <f aca="false">IF(AND(OR(H57="Backlog",H57="Pipeline",H57="Overdue"),ISNUMBER(J57)),IF(J57&lt;=Settings!$B$6,I57,0),0)</f>
        <v>0</v>
      </c>
      <c r="L57" s="17" t="n">
        <f aca="false">IF(AND(OR(H57="Backlog",H57="Pipeline",H57="Overdue"),ISNUMBER(J57)),IF(J57&lt;=Settings!$B$6,N(G57),0),0)</f>
        <v>0</v>
      </c>
      <c r="M57" s="17" t="n">
        <f aca="false">IF(L57=0,0,IF(H57="Backlog",N(G57),N(G57)*Dashboard!$C$10))</f>
        <v>0</v>
      </c>
      <c r="N57" s="9" t="n">
        <f aca="false">IF(B57="",0,IF(COUNTIF(Dashboard!$C$13:$C$22,B57)&gt;0,1,0))</f>
        <v>0</v>
      </c>
    </row>
    <row r="58" customFormat="false" ht="15" hidden="false" customHeight="false" outlineLevel="0" collapsed="false">
      <c r="A58" s="13"/>
      <c r="B58" s="13"/>
      <c r="C58" s="13"/>
      <c r="D58" s="13"/>
      <c r="E58" s="10"/>
      <c r="F58" s="46"/>
      <c r="G58" s="47"/>
      <c r="H58" s="9" t="str">
        <f aca="false">IF(OR(G58="",A58=""),"",IF(NOT(ISNUMBER(F58)),"NO DATE",IF(D58="Backlog",IF(F58&gt;Settings!$B$5,"Backlog","Delivered"),IF(F58&gt;Settings!$B$5,"Pipeline","Overdue"))))</f>
        <v/>
      </c>
      <c r="I58" s="17" t="n">
        <f aca="false">IF(H58="",0,N(G58)*IF(D58="Backlog",1,N(E58)))</f>
        <v>0</v>
      </c>
      <c r="J58" s="48" t="str">
        <f aca="false">IF(OR(H58="",H58="NO DATE"),"",IF(H58="Overdue",IF(Settings!$B$8="Yes",Settings!$B$7,""),DATE(YEAR(F58),MONTH(F58),1)))</f>
        <v/>
      </c>
      <c r="K58" s="17" t="n">
        <f aca="false">IF(AND(OR(H58="Backlog",H58="Pipeline",H58="Overdue"),ISNUMBER(J58)),IF(J58&lt;=Settings!$B$6,I58,0),0)</f>
        <v>0</v>
      </c>
      <c r="L58" s="17" t="n">
        <f aca="false">IF(AND(OR(H58="Backlog",H58="Pipeline",H58="Overdue"),ISNUMBER(J58)),IF(J58&lt;=Settings!$B$6,N(G58),0),0)</f>
        <v>0</v>
      </c>
      <c r="M58" s="17" t="n">
        <f aca="false">IF(L58=0,0,IF(H58="Backlog",N(G58),N(G58)*Dashboard!$C$10))</f>
        <v>0</v>
      </c>
      <c r="N58" s="9" t="n">
        <f aca="false">IF(B58="",0,IF(COUNTIF(Dashboard!$C$13:$C$22,B58)&gt;0,1,0))</f>
        <v>0</v>
      </c>
    </row>
    <row r="59" customFormat="false" ht="15" hidden="false" customHeight="false" outlineLevel="0" collapsed="false">
      <c r="A59" s="13"/>
      <c r="B59" s="13"/>
      <c r="C59" s="13"/>
      <c r="D59" s="13"/>
      <c r="E59" s="10"/>
      <c r="F59" s="46"/>
      <c r="G59" s="47"/>
      <c r="H59" s="9" t="str">
        <f aca="false">IF(OR(G59="",A59=""),"",IF(NOT(ISNUMBER(F59)),"NO DATE",IF(D59="Backlog",IF(F59&gt;Settings!$B$5,"Backlog","Delivered"),IF(F59&gt;Settings!$B$5,"Pipeline","Overdue"))))</f>
        <v/>
      </c>
      <c r="I59" s="17" t="n">
        <f aca="false">IF(H59="",0,N(G59)*IF(D59="Backlog",1,N(E59)))</f>
        <v>0</v>
      </c>
      <c r="J59" s="48" t="str">
        <f aca="false">IF(OR(H59="",H59="NO DATE"),"",IF(H59="Overdue",IF(Settings!$B$8="Yes",Settings!$B$7,""),DATE(YEAR(F59),MONTH(F59),1)))</f>
        <v/>
      </c>
      <c r="K59" s="17" t="n">
        <f aca="false">IF(AND(OR(H59="Backlog",H59="Pipeline",H59="Overdue"),ISNUMBER(J59)),IF(J59&lt;=Settings!$B$6,I59,0),0)</f>
        <v>0</v>
      </c>
      <c r="L59" s="17" t="n">
        <f aca="false">IF(AND(OR(H59="Backlog",H59="Pipeline",H59="Overdue"),ISNUMBER(J59)),IF(J59&lt;=Settings!$B$6,N(G59),0),0)</f>
        <v>0</v>
      </c>
      <c r="M59" s="17" t="n">
        <f aca="false">IF(L59=0,0,IF(H59="Backlog",N(G59),N(G59)*Dashboard!$C$10))</f>
        <v>0</v>
      </c>
      <c r="N59" s="9" t="n">
        <f aca="false">IF(B59="",0,IF(COUNTIF(Dashboard!$C$13:$C$22,B59)&gt;0,1,0))</f>
        <v>0</v>
      </c>
    </row>
    <row r="60" customFormat="false" ht="15" hidden="false" customHeight="false" outlineLevel="0" collapsed="false">
      <c r="A60" s="13"/>
      <c r="B60" s="13"/>
      <c r="C60" s="13"/>
      <c r="D60" s="13"/>
      <c r="E60" s="10"/>
      <c r="F60" s="46"/>
      <c r="G60" s="47"/>
      <c r="H60" s="9" t="str">
        <f aca="false">IF(OR(G60="",A60=""),"",IF(NOT(ISNUMBER(F60)),"NO DATE",IF(D60="Backlog",IF(F60&gt;Settings!$B$5,"Backlog","Delivered"),IF(F60&gt;Settings!$B$5,"Pipeline","Overdue"))))</f>
        <v/>
      </c>
      <c r="I60" s="17" t="n">
        <f aca="false">IF(H60="",0,N(G60)*IF(D60="Backlog",1,N(E60)))</f>
        <v>0</v>
      </c>
      <c r="J60" s="48" t="str">
        <f aca="false">IF(OR(H60="",H60="NO DATE"),"",IF(H60="Overdue",IF(Settings!$B$8="Yes",Settings!$B$7,""),DATE(YEAR(F60),MONTH(F60),1)))</f>
        <v/>
      </c>
      <c r="K60" s="17" t="n">
        <f aca="false">IF(AND(OR(H60="Backlog",H60="Pipeline",H60="Overdue"),ISNUMBER(J60)),IF(J60&lt;=Settings!$B$6,I60,0),0)</f>
        <v>0</v>
      </c>
      <c r="L60" s="17" t="n">
        <f aca="false">IF(AND(OR(H60="Backlog",H60="Pipeline",H60="Overdue"),ISNUMBER(J60)),IF(J60&lt;=Settings!$B$6,N(G60),0),0)</f>
        <v>0</v>
      </c>
      <c r="M60" s="17" t="n">
        <f aca="false">IF(L60=0,0,IF(H60="Backlog",N(G60),N(G60)*Dashboard!$C$10))</f>
        <v>0</v>
      </c>
      <c r="N60" s="9" t="n">
        <f aca="false">IF(B60="",0,IF(COUNTIF(Dashboard!$C$13:$C$22,B60)&gt;0,1,0))</f>
        <v>0</v>
      </c>
    </row>
    <row r="61" customFormat="false" ht="15" hidden="false" customHeight="false" outlineLevel="0" collapsed="false">
      <c r="A61" s="13"/>
      <c r="B61" s="13"/>
      <c r="C61" s="13"/>
      <c r="D61" s="13"/>
      <c r="E61" s="10"/>
      <c r="F61" s="46"/>
      <c r="G61" s="47"/>
      <c r="H61" s="9" t="str">
        <f aca="false">IF(OR(G61="",A61=""),"",IF(NOT(ISNUMBER(F61)),"NO DATE",IF(D61="Backlog",IF(F61&gt;Settings!$B$5,"Backlog","Delivered"),IF(F61&gt;Settings!$B$5,"Pipeline","Overdue"))))</f>
        <v/>
      </c>
      <c r="I61" s="17" t="n">
        <f aca="false">IF(H61="",0,N(G61)*IF(D61="Backlog",1,N(E61)))</f>
        <v>0</v>
      </c>
      <c r="J61" s="48" t="str">
        <f aca="false">IF(OR(H61="",H61="NO DATE"),"",IF(H61="Overdue",IF(Settings!$B$8="Yes",Settings!$B$7,""),DATE(YEAR(F61),MONTH(F61),1)))</f>
        <v/>
      </c>
      <c r="K61" s="17" t="n">
        <f aca="false">IF(AND(OR(H61="Backlog",H61="Pipeline",H61="Overdue"),ISNUMBER(J61)),IF(J61&lt;=Settings!$B$6,I61,0),0)</f>
        <v>0</v>
      </c>
      <c r="L61" s="17" t="n">
        <f aca="false">IF(AND(OR(H61="Backlog",H61="Pipeline",H61="Overdue"),ISNUMBER(J61)),IF(J61&lt;=Settings!$B$6,N(G61),0),0)</f>
        <v>0</v>
      </c>
      <c r="M61" s="17" t="n">
        <f aca="false">IF(L61=0,0,IF(H61="Backlog",N(G61),N(G61)*Dashboard!$C$10))</f>
        <v>0</v>
      </c>
      <c r="N61" s="9" t="n">
        <f aca="false">IF(B61="",0,IF(COUNTIF(Dashboard!$C$13:$C$22,B61)&gt;0,1,0))</f>
        <v>0</v>
      </c>
    </row>
    <row r="62" customFormat="false" ht="15" hidden="false" customHeight="false" outlineLevel="0" collapsed="false">
      <c r="A62" s="13"/>
      <c r="B62" s="13"/>
      <c r="C62" s="13"/>
      <c r="D62" s="13"/>
      <c r="E62" s="10"/>
      <c r="F62" s="46"/>
      <c r="G62" s="47"/>
      <c r="H62" s="9" t="str">
        <f aca="false">IF(OR(G62="",A62=""),"",IF(NOT(ISNUMBER(F62)),"NO DATE",IF(D62="Backlog",IF(F62&gt;Settings!$B$5,"Backlog","Delivered"),IF(F62&gt;Settings!$B$5,"Pipeline","Overdue"))))</f>
        <v/>
      </c>
      <c r="I62" s="17" t="n">
        <f aca="false">IF(H62="",0,N(G62)*IF(D62="Backlog",1,N(E62)))</f>
        <v>0</v>
      </c>
      <c r="J62" s="48" t="str">
        <f aca="false">IF(OR(H62="",H62="NO DATE"),"",IF(H62="Overdue",IF(Settings!$B$8="Yes",Settings!$B$7,""),DATE(YEAR(F62),MONTH(F62),1)))</f>
        <v/>
      </c>
      <c r="K62" s="17" t="n">
        <f aca="false">IF(AND(OR(H62="Backlog",H62="Pipeline",H62="Overdue"),ISNUMBER(J62)),IF(J62&lt;=Settings!$B$6,I62,0),0)</f>
        <v>0</v>
      </c>
      <c r="L62" s="17" t="n">
        <f aca="false">IF(AND(OR(H62="Backlog",H62="Pipeline",H62="Overdue"),ISNUMBER(J62)),IF(J62&lt;=Settings!$B$6,N(G62),0),0)</f>
        <v>0</v>
      </c>
      <c r="M62" s="17" t="n">
        <f aca="false">IF(L62=0,0,IF(H62="Backlog",N(G62),N(G62)*Dashboard!$C$10))</f>
        <v>0</v>
      </c>
      <c r="N62" s="9" t="n">
        <f aca="false">IF(B62="",0,IF(COUNTIF(Dashboard!$C$13:$C$22,B62)&gt;0,1,0))</f>
        <v>0</v>
      </c>
    </row>
    <row r="63" customFormat="false" ht="15" hidden="false" customHeight="false" outlineLevel="0" collapsed="false">
      <c r="A63" s="13"/>
      <c r="B63" s="13"/>
      <c r="C63" s="13"/>
      <c r="D63" s="13"/>
      <c r="E63" s="10"/>
      <c r="F63" s="46"/>
      <c r="G63" s="47"/>
      <c r="H63" s="9" t="str">
        <f aca="false">IF(OR(G63="",A63=""),"",IF(NOT(ISNUMBER(F63)),"NO DATE",IF(D63="Backlog",IF(F63&gt;Settings!$B$5,"Backlog","Delivered"),IF(F63&gt;Settings!$B$5,"Pipeline","Overdue"))))</f>
        <v/>
      </c>
      <c r="I63" s="17" t="n">
        <f aca="false">IF(H63="",0,N(G63)*IF(D63="Backlog",1,N(E63)))</f>
        <v>0</v>
      </c>
      <c r="J63" s="48" t="str">
        <f aca="false">IF(OR(H63="",H63="NO DATE"),"",IF(H63="Overdue",IF(Settings!$B$8="Yes",Settings!$B$7,""),DATE(YEAR(F63),MONTH(F63),1)))</f>
        <v/>
      </c>
      <c r="K63" s="17" t="n">
        <f aca="false">IF(AND(OR(H63="Backlog",H63="Pipeline",H63="Overdue"),ISNUMBER(J63)),IF(J63&lt;=Settings!$B$6,I63,0),0)</f>
        <v>0</v>
      </c>
      <c r="L63" s="17" t="n">
        <f aca="false">IF(AND(OR(H63="Backlog",H63="Pipeline",H63="Overdue"),ISNUMBER(J63)),IF(J63&lt;=Settings!$B$6,N(G63),0),0)</f>
        <v>0</v>
      </c>
      <c r="M63" s="17" t="n">
        <f aca="false">IF(L63=0,0,IF(H63="Backlog",N(G63),N(G63)*Dashboard!$C$10))</f>
        <v>0</v>
      </c>
      <c r="N63" s="9" t="n">
        <f aca="false">IF(B63="",0,IF(COUNTIF(Dashboard!$C$13:$C$22,B63)&gt;0,1,0))</f>
        <v>0</v>
      </c>
    </row>
    <row r="64" customFormat="false" ht="15" hidden="false" customHeight="false" outlineLevel="0" collapsed="false">
      <c r="A64" s="13"/>
      <c r="B64" s="13"/>
      <c r="C64" s="13"/>
      <c r="D64" s="13"/>
      <c r="E64" s="10"/>
      <c r="F64" s="46"/>
      <c r="G64" s="47"/>
      <c r="H64" s="9" t="str">
        <f aca="false">IF(OR(G64="",A64=""),"",IF(NOT(ISNUMBER(F64)),"NO DATE",IF(D64="Backlog",IF(F64&gt;Settings!$B$5,"Backlog","Delivered"),IF(F64&gt;Settings!$B$5,"Pipeline","Overdue"))))</f>
        <v/>
      </c>
      <c r="I64" s="17" t="n">
        <f aca="false">IF(H64="",0,N(G64)*IF(D64="Backlog",1,N(E64)))</f>
        <v>0</v>
      </c>
      <c r="J64" s="48" t="str">
        <f aca="false">IF(OR(H64="",H64="NO DATE"),"",IF(H64="Overdue",IF(Settings!$B$8="Yes",Settings!$B$7,""),DATE(YEAR(F64),MONTH(F64),1)))</f>
        <v/>
      </c>
      <c r="K64" s="17" t="n">
        <f aca="false">IF(AND(OR(H64="Backlog",H64="Pipeline",H64="Overdue"),ISNUMBER(J64)),IF(J64&lt;=Settings!$B$6,I64,0),0)</f>
        <v>0</v>
      </c>
      <c r="L64" s="17" t="n">
        <f aca="false">IF(AND(OR(H64="Backlog",H64="Pipeline",H64="Overdue"),ISNUMBER(J64)),IF(J64&lt;=Settings!$B$6,N(G64),0),0)</f>
        <v>0</v>
      </c>
      <c r="M64" s="17" t="n">
        <f aca="false">IF(L64=0,0,IF(H64="Backlog",N(G64),N(G64)*Dashboard!$C$10))</f>
        <v>0</v>
      </c>
      <c r="N64" s="9" t="n">
        <f aca="false">IF(B64="",0,IF(COUNTIF(Dashboard!$C$13:$C$22,B64)&gt;0,1,0))</f>
        <v>0</v>
      </c>
    </row>
    <row r="65" customFormat="false" ht="15" hidden="false" customHeight="false" outlineLevel="0" collapsed="false">
      <c r="A65" s="13"/>
      <c r="B65" s="13"/>
      <c r="C65" s="13"/>
      <c r="D65" s="13"/>
      <c r="E65" s="10"/>
      <c r="F65" s="46"/>
      <c r="G65" s="47"/>
      <c r="H65" s="9" t="str">
        <f aca="false">IF(OR(G65="",A65=""),"",IF(NOT(ISNUMBER(F65)),"NO DATE",IF(D65="Backlog",IF(F65&gt;Settings!$B$5,"Backlog","Delivered"),IF(F65&gt;Settings!$B$5,"Pipeline","Overdue"))))</f>
        <v/>
      </c>
      <c r="I65" s="17" t="n">
        <f aca="false">IF(H65="",0,N(G65)*IF(D65="Backlog",1,N(E65)))</f>
        <v>0</v>
      </c>
      <c r="J65" s="48" t="str">
        <f aca="false">IF(OR(H65="",H65="NO DATE"),"",IF(H65="Overdue",IF(Settings!$B$8="Yes",Settings!$B$7,""),DATE(YEAR(F65),MONTH(F65),1)))</f>
        <v/>
      </c>
      <c r="K65" s="17" t="n">
        <f aca="false">IF(AND(OR(H65="Backlog",H65="Pipeline",H65="Overdue"),ISNUMBER(J65)),IF(J65&lt;=Settings!$B$6,I65,0),0)</f>
        <v>0</v>
      </c>
      <c r="L65" s="17" t="n">
        <f aca="false">IF(AND(OR(H65="Backlog",H65="Pipeline",H65="Overdue"),ISNUMBER(J65)),IF(J65&lt;=Settings!$B$6,N(G65),0),0)</f>
        <v>0</v>
      </c>
      <c r="M65" s="17" t="n">
        <f aca="false">IF(L65=0,0,IF(H65="Backlog",N(G65),N(G65)*Dashboard!$C$10))</f>
        <v>0</v>
      </c>
      <c r="N65" s="9" t="n">
        <f aca="false">IF(B65="",0,IF(COUNTIF(Dashboard!$C$13:$C$22,B65)&gt;0,1,0))</f>
        <v>0</v>
      </c>
    </row>
    <row r="66" customFormat="false" ht="15" hidden="false" customHeight="false" outlineLevel="0" collapsed="false">
      <c r="A66" s="13"/>
      <c r="B66" s="13"/>
      <c r="C66" s="13"/>
      <c r="D66" s="13"/>
      <c r="E66" s="10"/>
      <c r="F66" s="46"/>
      <c r="G66" s="47"/>
      <c r="H66" s="9" t="str">
        <f aca="false">IF(OR(G66="",A66=""),"",IF(NOT(ISNUMBER(F66)),"NO DATE",IF(D66="Backlog",IF(F66&gt;Settings!$B$5,"Backlog","Delivered"),IF(F66&gt;Settings!$B$5,"Pipeline","Overdue"))))</f>
        <v/>
      </c>
      <c r="I66" s="17" t="n">
        <f aca="false">IF(H66="",0,N(G66)*IF(D66="Backlog",1,N(E66)))</f>
        <v>0</v>
      </c>
      <c r="J66" s="48" t="str">
        <f aca="false">IF(OR(H66="",H66="NO DATE"),"",IF(H66="Overdue",IF(Settings!$B$8="Yes",Settings!$B$7,""),DATE(YEAR(F66),MONTH(F66),1)))</f>
        <v/>
      </c>
      <c r="K66" s="17" t="n">
        <f aca="false">IF(AND(OR(H66="Backlog",H66="Pipeline",H66="Overdue"),ISNUMBER(J66)),IF(J66&lt;=Settings!$B$6,I66,0),0)</f>
        <v>0</v>
      </c>
      <c r="L66" s="17" t="n">
        <f aca="false">IF(AND(OR(H66="Backlog",H66="Pipeline",H66="Overdue"),ISNUMBER(J66)),IF(J66&lt;=Settings!$B$6,N(G66),0),0)</f>
        <v>0</v>
      </c>
      <c r="M66" s="17" t="n">
        <f aca="false">IF(L66=0,0,IF(H66="Backlog",N(G66),N(G66)*Dashboard!$C$10))</f>
        <v>0</v>
      </c>
      <c r="N66" s="9" t="n">
        <f aca="false">IF(B66="",0,IF(COUNTIF(Dashboard!$C$13:$C$22,B66)&gt;0,1,0))</f>
        <v>0</v>
      </c>
    </row>
    <row r="67" customFormat="false" ht="15" hidden="false" customHeight="false" outlineLevel="0" collapsed="false">
      <c r="A67" s="13"/>
      <c r="B67" s="13"/>
      <c r="C67" s="13"/>
      <c r="D67" s="13"/>
      <c r="E67" s="10"/>
      <c r="F67" s="46"/>
      <c r="G67" s="47"/>
      <c r="H67" s="9" t="str">
        <f aca="false">IF(OR(G67="",A67=""),"",IF(NOT(ISNUMBER(F67)),"NO DATE",IF(D67="Backlog",IF(F67&gt;Settings!$B$5,"Backlog","Delivered"),IF(F67&gt;Settings!$B$5,"Pipeline","Overdue"))))</f>
        <v/>
      </c>
      <c r="I67" s="17" t="n">
        <f aca="false">IF(H67="",0,N(G67)*IF(D67="Backlog",1,N(E67)))</f>
        <v>0</v>
      </c>
      <c r="J67" s="48" t="str">
        <f aca="false">IF(OR(H67="",H67="NO DATE"),"",IF(H67="Overdue",IF(Settings!$B$8="Yes",Settings!$B$7,""),DATE(YEAR(F67),MONTH(F67),1)))</f>
        <v/>
      </c>
      <c r="K67" s="17" t="n">
        <f aca="false">IF(AND(OR(H67="Backlog",H67="Pipeline",H67="Overdue"),ISNUMBER(J67)),IF(J67&lt;=Settings!$B$6,I67,0),0)</f>
        <v>0</v>
      </c>
      <c r="L67" s="17" t="n">
        <f aca="false">IF(AND(OR(H67="Backlog",H67="Pipeline",H67="Overdue"),ISNUMBER(J67)),IF(J67&lt;=Settings!$B$6,N(G67),0),0)</f>
        <v>0</v>
      </c>
      <c r="M67" s="17" t="n">
        <f aca="false">IF(L67=0,0,IF(H67="Backlog",N(G67),N(G67)*Dashboard!$C$10))</f>
        <v>0</v>
      </c>
      <c r="N67" s="9" t="n">
        <f aca="false">IF(B67="",0,IF(COUNTIF(Dashboard!$C$13:$C$22,B67)&gt;0,1,0))</f>
        <v>0</v>
      </c>
    </row>
    <row r="68" customFormat="false" ht="15" hidden="false" customHeight="false" outlineLevel="0" collapsed="false">
      <c r="A68" s="13"/>
      <c r="B68" s="13"/>
      <c r="C68" s="13"/>
      <c r="D68" s="13"/>
      <c r="E68" s="10"/>
      <c r="F68" s="46"/>
      <c r="G68" s="47"/>
      <c r="H68" s="9" t="str">
        <f aca="false">IF(OR(G68="",A68=""),"",IF(NOT(ISNUMBER(F68)),"NO DATE",IF(D68="Backlog",IF(F68&gt;Settings!$B$5,"Backlog","Delivered"),IF(F68&gt;Settings!$B$5,"Pipeline","Overdue"))))</f>
        <v/>
      </c>
      <c r="I68" s="17" t="n">
        <f aca="false">IF(H68="",0,N(G68)*IF(D68="Backlog",1,N(E68)))</f>
        <v>0</v>
      </c>
      <c r="J68" s="48" t="str">
        <f aca="false">IF(OR(H68="",H68="NO DATE"),"",IF(H68="Overdue",IF(Settings!$B$8="Yes",Settings!$B$7,""),DATE(YEAR(F68),MONTH(F68),1)))</f>
        <v/>
      </c>
      <c r="K68" s="17" t="n">
        <f aca="false">IF(AND(OR(H68="Backlog",H68="Pipeline",H68="Overdue"),ISNUMBER(J68)),IF(J68&lt;=Settings!$B$6,I68,0),0)</f>
        <v>0</v>
      </c>
      <c r="L68" s="17" t="n">
        <f aca="false">IF(AND(OR(H68="Backlog",H68="Pipeline",H68="Overdue"),ISNUMBER(J68)),IF(J68&lt;=Settings!$B$6,N(G68),0),0)</f>
        <v>0</v>
      </c>
      <c r="M68" s="17" t="n">
        <f aca="false">IF(L68=0,0,IF(H68="Backlog",N(G68),N(G68)*Dashboard!$C$10))</f>
        <v>0</v>
      </c>
      <c r="N68" s="9" t="n">
        <f aca="false">IF(B68="",0,IF(COUNTIF(Dashboard!$C$13:$C$22,B68)&gt;0,1,0))</f>
        <v>0</v>
      </c>
    </row>
    <row r="69" customFormat="false" ht="15" hidden="false" customHeight="false" outlineLevel="0" collapsed="false">
      <c r="A69" s="13"/>
      <c r="B69" s="13"/>
      <c r="C69" s="13"/>
      <c r="D69" s="13"/>
      <c r="E69" s="10"/>
      <c r="F69" s="46"/>
      <c r="G69" s="47"/>
      <c r="H69" s="9" t="str">
        <f aca="false">IF(OR(G69="",A69=""),"",IF(NOT(ISNUMBER(F69)),"NO DATE",IF(D69="Backlog",IF(F69&gt;Settings!$B$5,"Backlog","Delivered"),IF(F69&gt;Settings!$B$5,"Pipeline","Overdue"))))</f>
        <v/>
      </c>
      <c r="I69" s="17" t="n">
        <f aca="false">IF(H69="",0,N(G69)*IF(D69="Backlog",1,N(E69)))</f>
        <v>0</v>
      </c>
      <c r="J69" s="48" t="str">
        <f aca="false">IF(OR(H69="",H69="NO DATE"),"",IF(H69="Overdue",IF(Settings!$B$8="Yes",Settings!$B$7,""),DATE(YEAR(F69),MONTH(F69),1)))</f>
        <v/>
      </c>
      <c r="K69" s="17" t="n">
        <f aca="false">IF(AND(OR(H69="Backlog",H69="Pipeline",H69="Overdue"),ISNUMBER(J69)),IF(J69&lt;=Settings!$B$6,I69,0),0)</f>
        <v>0</v>
      </c>
      <c r="L69" s="17" t="n">
        <f aca="false">IF(AND(OR(H69="Backlog",H69="Pipeline",H69="Overdue"),ISNUMBER(J69)),IF(J69&lt;=Settings!$B$6,N(G69),0),0)</f>
        <v>0</v>
      </c>
      <c r="M69" s="17" t="n">
        <f aca="false">IF(L69=0,0,IF(H69="Backlog",N(G69),N(G69)*Dashboard!$C$10))</f>
        <v>0</v>
      </c>
      <c r="N69" s="9" t="n">
        <f aca="false">IF(B69="",0,IF(COUNTIF(Dashboard!$C$13:$C$22,B69)&gt;0,1,0))</f>
        <v>0</v>
      </c>
    </row>
    <row r="70" customFormat="false" ht="15" hidden="false" customHeight="false" outlineLevel="0" collapsed="false">
      <c r="A70" s="13"/>
      <c r="B70" s="13"/>
      <c r="C70" s="13"/>
      <c r="D70" s="13"/>
      <c r="E70" s="10"/>
      <c r="F70" s="46"/>
      <c r="G70" s="47"/>
      <c r="H70" s="9" t="str">
        <f aca="false">IF(OR(G70="",A70=""),"",IF(NOT(ISNUMBER(F70)),"NO DATE",IF(D70="Backlog",IF(F70&gt;Settings!$B$5,"Backlog","Delivered"),IF(F70&gt;Settings!$B$5,"Pipeline","Overdue"))))</f>
        <v/>
      </c>
      <c r="I70" s="17" t="n">
        <f aca="false">IF(H70="",0,N(G70)*IF(D70="Backlog",1,N(E70)))</f>
        <v>0</v>
      </c>
      <c r="J70" s="48" t="str">
        <f aca="false">IF(OR(H70="",H70="NO DATE"),"",IF(H70="Overdue",IF(Settings!$B$8="Yes",Settings!$B$7,""),DATE(YEAR(F70),MONTH(F70),1)))</f>
        <v/>
      </c>
      <c r="K70" s="17" t="n">
        <f aca="false">IF(AND(OR(H70="Backlog",H70="Pipeline",H70="Overdue"),ISNUMBER(J70)),IF(J70&lt;=Settings!$B$6,I70,0),0)</f>
        <v>0</v>
      </c>
      <c r="L70" s="17" t="n">
        <f aca="false">IF(AND(OR(H70="Backlog",H70="Pipeline",H70="Overdue"),ISNUMBER(J70)),IF(J70&lt;=Settings!$B$6,N(G70),0),0)</f>
        <v>0</v>
      </c>
      <c r="M70" s="17" t="n">
        <f aca="false">IF(L70=0,0,IF(H70="Backlog",N(G70),N(G70)*Dashboard!$C$10))</f>
        <v>0</v>
      </c>
      <c r="N70" s="9" t="n">
        <f aca="false">IF(B70="",0,IF(COUNTIF(Dashboard!$C$13:$C$22,B70)&gt;0,1,0))</f>
        <v>0</v>
      </c>
    </row>
    <row r="71" customFormat="false" ht="15" hidden="false" customHeight="false" outlineLevel="0" collapsed="false">
      <c r="A71" s="13"/>
      <c r="B71" s="13"/>
      <c r="C71" s="13"/>
      <c r="D71" s="13"/>
      <c r="E71" s="10"/>
      <c r="F71" s="46"/>
      <c r="G71" s="47"/>
      <c r="H71" s="9" t="str">
        <f aca="false">IF(OR(G71="",A71=""),"",IF(NOT(ISNUMBER(F71)),"NO DATE",IF(D71="Backlog",IF(F71&gt;Settings!$B$5,"Backlog","Delivered"),IF(F71&gt;Settings!$B$5,"Pipeline","Overdue"))))</f>
        <v/>
      </c>
      <c r="I71" s="17" t="n">
        <f aca="false">IF(H71="",0,N(G71)*IF(D71="Backlog",1,N(E71)))</f>
        <v>0</v>
      </c>
      <c r="J71" s="48" t="str">
        <f aca="false">IF(OR(H71="",H71="NO DATE"),"",IF(H71="Overdue",IF(Settings!$B$8="Yes",Settings!$B$7,""),DATE(YEAR(F71),MONTH(F71),1)))</f>
        <v/>
      </c>
      <c r="K71" s="17" t="n">
        <f aca="false">IF(AND(OR(H71="Backlog",H71="Pipeline",H71="Overdue"),ISNUMBER(J71)),IF(J71&lt;=Settings!$B$6,I71,0),0)</f>
        <v>0</v>
      </c>
      <c r="L71" s="17" t="n">
        <f aca="false">IF(AND(OR(H71="Backlog",H71="Pipeline",H71="Overdue"),ISNUMBER(J71)),IF(J71&lt;=Settings!$B$6,N(G71),0),0)</f>
        <v>0</v>
      </c>
      <c r="M71" s="17" t="n">
        <f aca="false">IF(L71=0,0,IF(H71="Backlog",N(G71),N(G71)*Dashboard!$C$10))</f>
        <v>0</v>
      </c>
      <c r="N71" s="9" t="n">
        <f aca="false">IF(B71="",0,IF(COUNTIF(Dashboard!$C$13:$C$22,B71)&gt;0,1,0))</f>
        <v>0</v>
      </c>
    </row>
    <row r="72" customFormat="false" ht="15" hidden="false" customHeight="false" outlineLevel="0" collapsed="false">
      <c r="A72" s="13"/>
      <c r="B72" s="13"/>
      <c r="C72" s="13"/>
      <c r="D72" s="13"/>
      <c r="E72" s="10"/>
      <c r="F72" s="46"/>
      <c r="G72" s="47"/>
      <c r="H72" s="9" t="str">
        <f aca="false">IF(OR(G72="",A72=""),"",IF(NOT(ISNUMBER(F72)),"NO DATE",IF(D72="Backlog",IF(F72&gt;Settings!$B$5,"Backlog","Delivered"),IF(F72&gt;Settings!$B$5,"Pipeline","Overdue"))))</f>
        <v/>
      </c>
      <c r="I72" s="17" t="n">
        <f aca="false">IF(H72="",0,N(G72)*IF(D72="Backlog",1,N(E72)))</f>
        <v>0</v>
      </c>
      <c r="J72" s="48" t="str">
        <f aca="false">IF(OR(H72="",H72="NO DATE"),"",IF(H72="Overdue",IF(Settings!$B$8="Yes",Settings!$B$7,""),DATE(YEAR(F72),MONTH(F72),1)))</f>
        <v/>
      </c>
      <c r="K72" s="17" t="n">
        <f aca="false">IF(AND(OR(H72="Backlog",H72="Pipeline",H72="Overdue"),ISNUMBER(J72)),IF(J72&lt;=Settings!$B$6,I72,0),0)</f>
        <v>0</v>
      </c>
      <c r="L72" s="17" t="n">
        <f aca="false">IF(AND(OR(H72="Backlog",H72="Pipeline",H72="Overdue"),ISNUMBER(J72)),IF(J72&lt;=Settings!$B$6,N(G72),0),0)</f>
        <v>0</v>
      </c>
      <c r="M72" s="17" t="n">
        <f aca="false">IF(L72=0,0,IF(H72="Backlog",N(G72),N(G72)*Dashboard!$C$10))</f>
        <v>0</v>
      </c>
      <c r="N72" s="9" t="n">
        <f aca="false">IF(B72="",0,IF(COUNTIF(Dashboard!$C$13:$C$22,B72)&gt;0,1,0))</f>
        <v>0</v>
      </c>
    </row>
    <row r="73" customFormat="false" ht="15" hidden="false" customHeight="false" outlineLevel="0" collapsed="false">
      <c r="A73" s="13"/>
      <c r="B73" s="13"/>
      <c r="C73" s="13"/>
      <c r="D73" s="13"/>
      <c r="E73" s="10"/>
      <c r="F73" s="46"/>
      <c r="G73" s="47"/>
      <c r="H73" s="9" t="str">
        <f aca="false">IF(OR(G73="",A73=""),"",IF(NOT(ISNUMBER(F73)),"NO DATE",IF(D73="Backlog",IF(F73&gt;Settings!$B$5,"Backlog","Delivered"),IF(F73&gt;Settings!$B$5,"Pipeline","Overdue"))))</f>
        <v/>
      </c>
      <c r="I73" s="17" t="n">
        <f aca="false">IF(H73="",0,N(G73)*IF(D73="Backlog",1,N(E73)))</f>
        <v>0</v>
      </c>
      <c r="J73" s="48" t="str">
        <f aca="false">IF(OR(H73="",H73="NO DATE"),"",IF(H73="Overdue",IF(Settings!$B$8="Yes",Settings!$B$7,""),DATE(YEAR(F73),MONTH(F73),1)))</f>
        <v/>
      </c>
      <c r="K73" s="17" t="n">
        <f aca="false">IF(AND(OR(H73="Backlog",H73="Pipeline",H73="Overdue"),ISNUMBER(J73)),IF(J73&lt;=Settings!$B$6,I73,0),0)</f>
        <v>0</v>
      </c>
      <c r="L73" s="17" t="n">
        <f aca="false">IF(AND(OR(H73="Backlog",H73="Pipeline",H73="Overdue"),ISNUMBER(J73)),IF(J73&lt;=Settings!$B$6,N(G73),0),0)</f>
        <v>0</v>
      </c>
      <c r="M73" s="17" t="n">
        <f aca="false">IF(L73=0,0,IF(H73="Backlog",N(G73),N(G73)*Dashboard!$C$10))</f>
        <v>0</v>
      </c>
      <c r="N73" s="9" t="n">
        <f aca="false">IF(B73="",0,IF(COUNTIF(Dashboard!$C$13:$C$22,B73)&gt;0,1,0))</f>
        <v>0</v>
      </c>
    </row>
    <row r="74" customFormat="false" ht="15" hidden="false" customHeight="false" outlineLevel="0" collapsed="false">
      <c r="A74" s="13"/>
      <c r="B74" s="13"/>
      <c r="C74" s="13"/>
      <c r="D74" s="13"/>
      <c r="E74" s="10"/>
      <c r="F74" s="46"/>
      <c r="G74" s="47"/>
      <c r="H74" s="9" t="str">
        <f aca="false">IF(OR(G74="",A74=""),"",IF(NOT(ISNUMBER(F74)),"NO DATE",IF(D74="Backlog",IF(F74&gt;Settings!$B$5,"Backlog","Delivered"),IF(F74&gt;Settings!$B$5,"Pipeline","Overdue"))))</f>
        <v/>
      </c>
      <c r="I74" s="17" t="n">
        <f aca="false">IF(H74="",0,N(G74)*IF(D74="Backlog",1,N(E74)))</f>
        <v>0</v>
      </c>
      <c r="J74" s="48" t="str">
        <f aca="false">IF(OR(H74="",H74="NO DATE"),"",IF(H74="Overdue",IF(Settings!$B$8="Yes",Settings!$B$7,""),DATE(YEAR(F74),MONTH(F74),1)))</f>
        <v/>
      </c>
      <c r="K74" s="17" t="n">
        <f aca="false">IF(AND(OR(H74="Backlog",H74="Pipeline",H74="Overdue"),ISNUMBER(J74)),IF(J74&lt;=Settings!$B$6,I74,0),0)</f>
        <v>0</v>
      </c>
      <c r="L74" s="17" t="n">
        <f aca="false">IF(AND(OR(H74="Backlog",H74="Pipeline",H74="Overdue"),ISNUMBER(J74)),IF(J74&lt;=Settings!$B$6,N(G74),0),0)</f>
        <v>0</v>
      </c>
      <c r="M74" s="17" t="n">
        <f aca="false">IF(L74=0,0,IF(H74="Backlog",N(G74),N(G74)*Dashboard!$C$10))</f>
        <v>0</v>
      </c>
      <c r="N74" s="9" t="n">
        <f aca="false">IF(B74="",0,IF(COUNTIF(Dashboard!$C$13:$C$22,B74)&gt;0,1,0))</f>
        <v>0</v>
      </c>
    </row>
    <row r="75" customFormat="false" ht="15" hidden="false" customHeight="false" outlineLevel="0" collapsed="false">
      <c r="A75" s="13"/>
      <c r="B75" s="13"/>
      <c r="C75" s="13"/>
      <c r="D75" s="13"/>
      <c r="E75" s="10"/>
      <c r="F75" s="46"/>
      <c r="G75" s="47"/>
      <c r="H75" s="9" t="str">
        <f aca="false">IF(OR(G75="",A75=""),"",IF(NOT(ISNUMBER(F75)),"NO DATE",IF(D75="Backlog",IF(F75&gt;Settings!$B$5,"Backlog","Delivered"),IF(F75&gt;Settings!$B$5,"Pipeline","Overdue"))))</f>
        <v/>
      </c>
      <c r="I75" s="17" t="n">
        <f aca="false">IF(H75="",0,N(G75)*IF(D75="Backlog",1,N(E75)))</f>
        <v>0</v>
      </c>
      <c r="J75" s="48" t="str">
        <f aca="false">IF(OR(H75="",H75="NO DATE"),"",IF(H75="Overdue",IF(Settings!$B$8="Yes",Settings!$B$7,""),DATE(YEAR(F75),MONTH(F75),1)))</f>
        <v/>
      </c>
      <c r="K75" s="17" t="n">
        <f aca="false">IF(AND(OR(H75="Backlog",H75="Pipeline",H75="Overdue"),ISNUMBER(J75)),IF(J75&lt;=Settings!$B$6,I75,0),0)</f>
        <v>0</v>
      </c>
      <c r="L75" s="17" t="n">
        <f aca="false">IF(AND(OR(H75="Backlog",H75="Pipeline",H75="Overdue"),ISNUMBER(J75)),IF(J75&lt;=Settings!$B$6,N(G75),0),0)</f>
        <v>0</v>
      </c>
      <c r="M75" s="17" t="n">
        <f aca="false">IF(L75=0,0,IF(H75="Backlog",N(G75),N(G75)*Dashboard!$C$10))</f>
        <v>0</v>
      </c>
      <c r="N75" s="9" t="n">
        <f aca="false">IF(B75="",0,IF(COUNTIF(Dashboard!$C$13:$C$22,B75)&gt;0,1,0))</f>
        <v>0</v>
      </c>
    </row>
    <row r="76" customFormat="false" ht="15" hidden="false" customHeight="false" outlineLevel="0" collapsed="false">
      <c r="A76" s="13"/>
      <c r="B76" s="13"/>
      <c r="C76" s="13"/>
      <c r="D76" s="13"/>
      <c r="E76" s="10"/>
      <c r="F76" s="46"/>
      <c r="G76" s="47"/>
      <c r="H76" s="9" t="str">
        <f aca="false">IF(OR(G76="",A76=""),"",IF(NOT(ISNUMBER(F76)),"NO DATE",IF(D76="Backlog",IF(F76&gt;Settings!$B$5,"Backlog","Delivered"),IF(F76&gt;Settings!$B$5,"Pipeline","Overdue"))))</f>
        <v/>
      </c>
      <c r="I76" s="17" t="n">
        <f aca="false">IF(H76="",0,N(G76)*IF(D76="Backlog",1,N(E76)))</f>
        <v>0</v>
      </c>
      <c r="J76" s="48" t="str">
        <f aca="false">IF(OR(H76="",H76="NO DATE"),"",IF(H76="Overdue",IF(Settings!$B$8="Yes",Settings!$B$7,""),DATE(YEAR(F76),MONTH(F76),1)))</f>
        <v/>
      </c>
      <c r="K76" s="17" t="n">
        <f aca="false">IF(AND(OR(H76="Backlog",H76="Pipeline",H76="Overdue"),ISNUMBER(J76)),IF(J76&lt;=Settings!$B$6,I76,0),0)</f>
        <v>0</v>
      </c>
      <c r="L76" s="17" t="n">
        <f aca="false">IF(AND(OR(H76="Backlog",H76="Pipeline",H76="Overdue"),ISNUMBER(J76)),IF(J76&lt;=Settings!$B$6,N(G76),0),0)</f>
        <v>0</v>
      </c>
      <c r="M76" s="17" t="n">
        <f aca="false">IF(L76=0,0,IF(H76="Backlog",N(G76),N(G76)*Dashboard!$C$10))</f>
        <v>0</v>
      </c>
      <c r="N76" s="9" t="n">
        <f aca="false">IF(B76="",0,IF(COUNTIF(Dashboard!$C$13:$C$22,B76)&gt;0,1,0))</f>
        <v>0</v>
      </c>
    </row>
    <row r="77" customFormat="false" ht="15" hidden="false" customHeight="false" outlineLevel="0" collapsed="false">
      <c r="A77" s="13"/>
      <c r="B77" s="13"/>
      <c r="C77" s="13"/>
      <c r="D77" s="13"/>
      <c r="E77" s="10"/>
      <c r="F77" s="46"/>
      <c r="G77" s="47"/>
      <c r="H77" s="9" t="str">
        <f aca="false">IF(OR(G77="",A77=""),"",IF(NOT(ISNUMBER(F77)),"NO DATE",IF(D77="Backlog",IF(F77&gt;Settings!$B$5,"Backlog","Delivered"),IF(F77&gt;Settings!$B$5,"Pipeline","Overdue"))))</f>
        <v/>
      </c>
      <c r="I77" s="17" t="n">
        <f aca="false">IF(H77="",0,N(G77)*IF(D77="Backlog",1,N(E77)))</f>
        <v>0</v>
      </c>
      <c r="J77" s="48" t="str">
        <f aca="false">IF(OR(H77="",H77="NO DATE"),"",IF(H77="Overdue",IF(Settings!$B$8="Yes",Settings!$B$7,""),DATE(YEAR(F77),MONTH(F77),1)))</f>
        <v/>
      </c>
      <c r="K77" s="17" t="n">
        <f aca="false">IF(AND(OR(H77="Backlog",H77="Pipeline",H77="Overdue"),ISNUMBER(J77)),IF(J77&lt;=Settings!$B$6,I77,0),0)</f>
        <v>0</v>
      </c>
      <c r="L77" s="17" t="n">
        <f aca="false">IF(AND(OR(H77="Backlog",H77="Pipeline",H77="Overdue"),ISNUMBER(J77)),IF(J77&lt;=Settings!$B$6,N(G77),0),0)</f>
        <v>0</v>
      </c>
      <c r="M77" s="17" t="n">
        <f aca="false">IF(L77=0,0,IF(H77="Backlog",N(G77),N(G77)*Dashboard!$C$10))</f>
        <v>0</v>
      </c>
      <c r="N77" s="9" t="n">
        <f aca="false">IF(B77="",0,IF(COUNTIF(Dashboard!$C$13:$C$22,B77)&gt;0,1,0))</f>
        <v>0</v>
      </c>
    </row>
    <row r="78" customFormat="false" ht="15" hidden="false" customHeight="false" outlineLevel="0" collapsed="false">
      <c r="A78" s="13"/>
      <c r="B78" s="13"/>
      <c r="C78" s="13"/>
      <c r="D78" s="13"/>
      <c r="E78" s="10"/>
      <c r="F78" s="46"/>
      <c r="G78" s="47"/>
      <c r="H78" s="9" t="str">
        <f aca="false">IF(OR(G78="",A78=""),"",IF(NOT(ISNUMBER(F78)),"NO DATE",IF(D78="Backlog",IF(F78&gt;Settings!$B$5,"Backlog","Delivered"),IF(F78&gt;Settings!$B$5,"Pipeline","Overdue"))))</f>
        <v/>
      </c>
      <c r="I78" s="17" t="n">
        <f aca="false">IF(H78="",0,N(G78)*IF(D78="Backlog",1,N(E78)))</f>
        <v>0</v>
      </c>
      <c r="J78" s="48" t="str">
        <f aca="false">IF(OR(H78="",H78="NO DATE"),"",IF(H78="Overdue",IF(Settings!$B$8="Yes",Settings!$B$7,""),DATE(YEAR(F78),MONTH(F78),1)))</f>
        <v/>
      </c>
      <c r="K78" s="17" t="n">
        <f aca="false">IF(AND(OR(H78="Backlog",H78="Pipeline",H78="Overdue"),ISNUMBER(J78)),IF(J78&lt;=Settings!$B$6,I78,0),0)</f>
        <v>0</v>
      </c>
      <c r="L78" s="17" t="n">
        <f aca="false">IF(AND(OR(H78="Backlog",H78="Pipeline",H78="Overdue"),ISNUMBER(J78)),IF(J78&lt;=Settings!$B$6,N(G78),0),0)</f>
        <v>0</v>
      </c>
      <c r="M78" s="17" t="n">
        <f aca="false">IF(L78=0,0,IF(H78="Backlog",N(G78),N(G78)*Dashboard!$C$10))</f>
        <v>0</v>
      </c>
      <c r="N78" s="9" t="n">
        <f aca="false">IF(B78="",0,IF(COUNTIF(Dashboard!$C$13:$C$22,B78)&gt;0,1,0))</f>
        <v>0</v>
      </c>
    </row>
    <row r="79" customFormat="false" ht="15" hidden="false" customHeight="false" outlineLevel="0" collapsed="false">
      <c r="A79" s="13"/>
      <c r="B79" s="13"/>
      <c r="C79" s="13"/>
      <c r="D79" s="13"/>
      <c r="E79" s="10"/>
      <c r="F79" s="46"/>
      <c r="G79" s="47"/>
      <c r="H79" s="9" t="str">
        <f aca="false">IF(OR(G79="",A79=""),"",IF(NOT(ISNUMBER(F79)),"NO DATE",IF(D79="Backlog",IF(F79&gt;Settings!$B$5,"Backlog","Delivered"),IF(F79&gt;Settings!$B$5,"Pipeline","Overdue"))))</f>
        <v/>
      </c>
      <c r="I79" s="17" t="n">
        <f aca="false">IF(H79="",0,N(G79)*IF(D79="Backlog",1,N(E79)))</f>
        <v>0</v>
      </c>
      <c r="J79" s="48" t="str">
        <f aca="false">IF(OR(H79="",H79="NO DATE"),"",IF(H79="Overdue",IF(Settings!$B$8="Yes",Settings!$B$7,""),DATE(YEAR(F79),MONTH(F79),1)))</f>
        <v/>
      </c>
      <c r="K79" s="17" t="n">
        <f aca="false">IF(AND(OR(H79="Backlog",H79="Pipeline",H79="Overdue"),ISNUMBER(J79)),IF(J79&lt;=Settings!$B$6,I79,0),0)</f>
        <v>0</v>
      </c>
      <c r="L79" s="17" t="n">
        <f aca="false">IF(AND(OR(H79="Backlog",H79="Pipeline",H79="Overdue"),ISNUMBER(J79)),IF(J79&lt;=Settings!$B$6,N(G79),0),0)</f>
        <v>0</v>
      </c>
      <c r="M79" s="17" t="n">
        <f aca="false">IF(L79=0,0,IF(H79="Backlog",N(G79),N(G79)*Dashboard!$C$10))</f>
        <v>0</v>
      </c>
      <c r="N79" s="9" t="n">
        <f aca="false">IF(B79="",0,IF(COUNTIF(Dashboard!$C$13:$C$22,B79)&gt;0,1,0))</f>
        <v>0</v>
      </c>
    </row>
    <row r="80" customFormat="false" ht="15" hidden="false" customHeight="false" outlineLevel="0" collapsed="false">
      <c r="A80" s="13"/>
      <c r="B80" s="13"/>
      <c r="C80" s="13"/>
      <c r="D80" s="13"/>
      <c r="E80" s="10"/>
      <c r="F80" s="46"/>
      <c r="G80" s="47"/>
      <c r="H80" s="9" t="str">
        <f aca="false">IF(OR(G80="",A80=""),"",IF(NOT(ISNUMBER(F80)),"NO DATE",IF(D80="Backlog",IF(F80&gt;Settings!$B$5,"Backlog","Delivered"),IF(F80&gt;Settings!$B$5,"Pipeline","Overdue"))))</f>
        <v/>
      </c>
      <c r="I80" s="17" t="n">
        <f aca="false">IF(H80="",0,N(G80)*IF(D80="Backlog",1,N(E80)))</f>
        <v>0</v>
      </c>
      <c r="J80" s="48" t="str">
        <f aca="false">IF(OR(H80="",H80="NO DATE"),"",IF(H80="Overdue",IF(Settings!$B$8="Yes",Settings!$B$7,""),DATE(YEAR(F80),MONTH(F80),1)))</f>
        <v/>
      </c>
      <c r="K80" s="17" t="n">
        <f aca="false">IF(AND(OR(H80="Backlog",H80="Pipeline",H80="Overdue"),ISNUMBER(J80)),IF(J80&lt;=Settings!$B$6,I80,0),0)</f>
        <v>0</v>
      </c>
      <c r="L80" s="17" t="n">
        <f aca="false">IF(AND(OR(H80="Backlog",H80="Pipeline",H80="Overdue"),ISNUMBER(J80)),IF(J80&lt;=Settings!$B$6,N(G80),0),0)</f>
        <v>0</v>
      </c>
      <c r="M80" s="17" t="n">
        <f aca="false">IF(L80=0,0,IF(H80="Backlog",N(G80),N(G80)*Dashboard!$C$10))</f>
        <v>0</v>
      </c>
      <c r="N80" s="9" t="n">
        <f aca="false">IF(B80="",0,IF(COUNTIF(Dashboard!$C$13:$C$22,B80)&gt;0,1,0))</f>
        <v>0</v>
      </c>
    </row>
    <row r="81" customFormat="false" ht="15" hidden="false" customHeight="false" outlineLevel="0" collapsed="false">
      <c r="A81" s="13"/>
      <c r="B81" s="13"/>
      <c r="C81" s="13"/>
      <c r="D81" s="13"/>
      <c r="E81" s="10"/>
      <c r="F81" s="46"/>
      <c r="G81" s="47"/>
      <c r="H81" s="9" t="str">
        <f aca="false">IF(OR(G81="",A81=""),"",IF(NOT(ISNUMBER(F81)),"NO DATE",IF(D81="Backlog",IF(F81&gt;Settings!$B$5,"Backlog","Delivered"),IF(F81&gt;Settings!$B$5,"Pipeline","Overdue"))))</f>
        <v/>
      </c>
      <c r="I81" s="17" t="n">
        <f aca="false">IF(H81="",0,N(G81)*IF(D81="Backlog",1,N(E81)))</f>
        <v>0</v>
      </c>
      <c r="J81" s="48" t="str">
        <f aca="false">IF(OR(H81="",H81="NO DATE"),"",IF(H81="Overdue",IF(Settings!$B$8="Yes",Settings!$B$7,""),DATE(YEAR(F81),MONTH(F81),1)))</f>
        <v/>
      </c>
      <c r="K81" s="17" t="n">
        <f aca="false">IF(AND(OR(H81="Backlog",H81="Pipeline",H81="Overdue"),ISNUMBER(J81)),IF(J81&lt;=Settings!$B$6,I81,0),0)</f>
        <v>0</v>
      </c>
      <c r="L81" s="17" t="n">
        <f aca="false">IF(AND(OR(H81="Backlog",H81="Pipeline",H81="Overdue"),ISNUMBER(J81)),IF(J81&lt;=Settings!$B$6,N(G81),0),0)</f>
        <v>0</v>
      </c>
      <c r="M81" s="17" t="n">
        <f aca="false">IF(L81=0,0,IF(H81="Backlog",N(G81),N(G81)*Dashboard!$C$10))</f>
        <v>0</v>
      </c>
      <c r="N81" s="9" t="n">
        <f aca="false">IF(B81="",0,IF(COUNTIF(Dashboard!$C$13:$C$22,B81)&gt;0,1,0))</f>
        <v>0</v>
      </c>
    </row>
    <row r="82" customFormat="false" ht="15" hidden="false" customHeight="false" outlineLevel="0" collapsed="false">
      <c r="A82" s="13"/>
      <c r="B82" s="13"/>
      <c r="C82" s="13"/>
      <c r="D82" s="13"/>
      <c r="E82" s="10"/>
      <c r="F82" s="46"/>
      <c r="G82" s="47"/>
      <c r="H82" s="9" t="str">
        <f aca="false">IF(OR(G82="",A82=""),"",IF(NOT(ISNUMBER(F82)),"NO DATE",IF(D82="Backlog",IF(F82&gt;Settings!$B$5,"Backlog","Delivered"),IF(F82&gt;Settings!$B$5,"Pipeline","Overdue"))))</f>
        <v/>
      </c>
      <c r="I82" s="17" t="n">
        <f aca="false">IF(H82="",0,N(G82)*IF(D82="Backlog",1,N(E82)))</f>
        <v>0</v>
      </c>
      <c r="J82" s="48" t="str">
        <f aca="false">IF(OR(H82="",H82="NO DATE"),"",IF(H82="Overdue",IF(Settings!$B$8="Yes",Settings!$B$7,""),DATE(YEAR(F82),MONTH(F82),1)))</f>
        <v/>
      </c>
      <c r="K82" s="17" t="n">
        <f aca="false">IF(AND(OR(H82="Backlog",H82="Pipeline",H82="Overdue"),ISNUMBER(J82)),IF(J82&lt;=Settings!$B$6,I82,0),0)</f>
        <v>0</v>
      </c>
      <c r="L82" s="17" t="n">
        <f aca="false">IF(AND(OR(H82="Backlog",H82="Pipeline",H82="Overdue"),ISNUMBER(J82)),IF(J82&lt;=Settings!$B$6,N(G82),0),0)</f>
        <v>0</v>
      </c>
      <c r="M82" s="17" t="n">
        <f aca="false">IF(L82=0,0,IF(H82="Backlog",N(G82),N(G82)*Dashboard!$C$10))</f>
        <v>0</v>
      </c>
      <c r="N82" s="9" t="n">
        <f aca="false">IF(B82="",0,IF(COUNTIF(Dashboard!$C$13:$C$22,B82)&gt;0,1,0))</f>
        <v>0</v>
      </c>
    </row>
    <row r="83" customFormat="false" ht="15" hidden="false" customHeight="false" outlineLevel="0" collapsed="false">
      <c r="A83" s="13"/>
      <c r="B83" s="13"/>
      <c r="C83" s="13"/>
      <c r="D83" s="13"/>
      <c r="E83" s="10"/>
      <c r="F83" s="46"/>
      <c r="G83" s="47"/>
      <c r="H83" s="9" t="str">
        <f aca="false">IF(OR(G83="",A83=""),"",IF(NOT(ISNUMBER(F83)),"NO DATE",IF(D83="Backlog",IF(F83&gt;Settings!$B$5,"Backlog","Delivered"),IF(F83&gt;Settings!$B$5,"Pipeline","Overdue"))))</f>
        <v/>
      </c>
      <c r="I83" s="17" t="n">
        <f aca="false">IF(H83="",0,N(G83)*IF(D83="Backlog",1,N(E83)))</f>
        <v>0</v>
      </c>
      <c r="J83" s="48" t="str">
        <f aca="false">IF(OR(H83="",H83="NO DATE"),"",IF(H83="Overdue",IF(Settings!$B$8="Yes",Settings!$B$7,""),DATE(YEAR(F83),MONTH(F83),1)))</f>
        <v/>
      </c>
      <c r="K83" s="17" t="n">
        <f aca="false">IF(AND(OR(H83="Backlog",H83="Pipeline",H83="Overdue"),ISNUMBER(J83)),IF(J83&lt;=Settings!$B$6,I83,0),0)</f>
        <v>0</v>
      </c>
      <c r="L83" s="17" t="n">
        <f aca="false">IF(AND(OR(H83="Backlog",H83="Pipeline",H83="Overdue"),ISNUMBER(J83)),IF(J83&lt;=Settings!$B$6,N(G83),0),0)</f>
        <v>0</v>
      </c>
      <c r="M83" s="17" t="n">
        <f aca="false">IF(L83=0,0,IF(H83="Backlog",N(G83),N(G83)*Dashboard!$C$10))</f>
        <v>0</v>
      </c>
      <c r="N83" s="9" t="n">
        <f aca="false">IF(B83="",0,IF(COUNTIF(Dashboard!$C$13:$C$22,B83)&gt;0,1,0))</f>
        <v>0</v>
      </c>
    </row>
    <row r="84" customFormat="false" ht="15" hidden="false" customHeight="false" outlineLevel="0" collapsed="false">
      <c r="A84" s="13"/>
      <c r="B84" s="13"/>
      <c r="C84" s="13"/>
      <c r="D84" s="13"/>
      <c r="E84" s="10"/>
      <c r="F84" s="46"/>
      <c r="G84" s="47"/>
      <c r="H84" s="9" t="str">
        <f aca="false">IF(OR(G84="",A84=""),"",IF(NOT(ISNUMBER(F84)),"NO DATE",IF(D84="Backlog",IF(F84&gt;Settings!$B$5,"Backlog","Delivered"),IF(F84&gt;Settings!$B$5,"Pipeline","Overdue"))))</f>
        <v/>
      </c>
      <c r="I84" s="17" t="n">
        <f aca="false">IF(H84="",0,N(G84)*IF(D84="Backlog",1,N(E84)))</f>
        <v>0</v>
      </c>
      <c r="J84" s="48" t="str">
        <f aca="false">IF(OR(H84="",H84="NO DATE"),"",IF(H84="Overdue",IF(Settings!$B$8="Yes",Settings!$B$7,""),DATE(YEAR(F84),MONTH(F84),1)))</f>
        <v/>
      </c>
      <c r="K84" s="17" t="n">
        <f aca="false">IF(AND(OR(H84="Backlog",H84="Pipeline",H84="Overdue"),ISNUMBER(J84)),IF(J84&lt;=Settings!$B$6,I84,0),0)</f>
        <v>0</v>
      </c>
      <c r="L84" s="17" t="n">
        <f aca="false">IF(AND(OR(H84="Backlog",H84="Pipeline",H84="Overdue"),ISNUMBER(J84)),IF(J84&lt;=Settings!$B$6,N(G84),0),0)</f>
        <v>0</v>
      </c>
      <c r="M84" s="17" t="n">
        <f aca="false">IF(L84=0,0,IF(H84="Backlog",N(G84),N(G84)*Dashboard!$C$10))</f>
        <v>0</v>
      </c>
      <c r="N84" s="9" t="n">
        <f aca="false">IF(B84="",0,IF(COUNTIF(Dashboard!$C$13:$C$22,B84)&gt;0,1,0))</f>
        <v>0</v>
      </c>
    </row>
    <row r="85" customFormat="false" ht="15" hidden="false" customHeight="false" outlineLevel="0" collapsed="false">
      <c r="A85" s="13"/>
      <c r="B85" s="13"/>
      <c r="C85" s="13"/>
      <c r="D85" s="13"/>
      <c r="E85" s="10"/>
      <c r="F85" s="46"/>
      <c r="G85" s="47"/>
      <c r="H85" s="9" t="str">
        <f aca="false">IF(OR(G85="",A85=""),"",IF(NOT(ISNUMBER(F85)),"NO DATE",IF(D85="Backlog",IF(F85&gt;Settings!$B$5,"Backlog","Delivered"),IF(F85&gt;Settings!$B$5,"Pipeline","Overdue"))))</f>
        <v/>
      </c>
      <c r="I85" s="17" t="n">
        <f aca="false">IF(H85="",0,N(G85)*IF(D85="Backlog",1,N(E85)))</f>
        <v>0</v>
      </c>
      <c r="J85" s="48" t="str">
        <f aca="false">IF(OR(H85="",H85="NO DATE"),"",IF(H85="Overdue",IF(Settings!$B$8="Yes",Settings!$B$7,""),DATE(YEAR(F85),MONTH(F85),1)))</f>
        <v/>
      </c>
      <c r="K85" s="17" t="n">
        <f aca="false">IF(AND(OR(H85="Backlog",H85="Pipeline",H85="Overdue"),ISNUMBER(J85)),IF(J85&lt;=Settings!$B$6,I85,0),0)</f>
        <v>0</v>
      </c>
      <c r="L85" s="17" t="n">
        <f aca="false">IF(AND(OR(H85="Backlog",H85="Pipeline",H85="Overdue"),ISNUMBER(J85)),IF(J85&lt;=Settings!$B$6,N(G85),0),0)</f>
        <v>0</v>
      </c>
      <c r="M85" s="17" t="n">
        <f aca="false">IF(L85=0,0,IF(H85="Backlog",N(G85),N(G85)*Dashboard!$C$10))</f>
        <v>0</v>
      </c>
      <c r="N85" s="9" t="n">
        <f aca="false">IF(B85="",0,IF(COUNTIF(Dashboard!$C$13:$C$22,B85)&gt;0,1,0))</f>
        <v>0</v>
      </c>
    </row>
    <row r="86" customFormat="false" ht="15" hidden="false" customHeight="false" outlineLevel="0" collapsed="false">
      <c r="A86" s="13"/>
      <c r="B86" s="13"/>
      <c r="C86" s="13"/>
      <c r="D86" s="13"/>
      <c r="E86" s="10"/>
      <c r="F86" s="46"/>
      <c r="G86" s="47"/>
      <c r="H86" s="9" t="str">
        <f aca="false">IF(OR(G86="",A86=""),"",IF(NOT(ISNUMBER(F86)),"NO DATE",IF(D86="Backlog",IF(F86&gt;Settings!$B$5,"Backlog","Delivered"),IF(F86&gt;Settings!$B$5,"Pipeline","Overdue"))))</f>
        <v/>
      </c>
      <c r="I86" s="17" t="n">
        <f aca="false">IF(H86="",0,N(G86)*IF(D86="Backlog",1,N(E86)))</f>
        <v>0</v>
      </c>
      <c r="J86" s="48" t="str">
        <f aca="false">IF(OR(H86="",H86="NO DATE"),"",IF(H86="Overdue",IF(Settings!$B$8="Yes",Settings!$B$7,""),DATE(YEAR(F86),MONTH(F86),1)))</f>
        <v/>
      </c>
      <c r="K86" s="17" t="n">
        <f aca="false">IF(AND(OR(H86="Backlog",H86="Pipeline",H86="Overdue"),ISNUMBER(J86)),IF(J86&lt;=Settings!$B$6,I86,0),0)</f>
        <v>0</v>
      </c>
      <c r="L86" s="17" t="n">
        <f aca="false">IF(AND(OR(H86="Backlog",H86="Pipeline",H86="Overdue"),ISNUMBER(J86)),IF(J86&lt;=Settings!$B$6,N(G86),0),0)</f>
        <v>0</v>
      </c>
      <c r="M86" s="17" t="n">
        <f aca="false">IF(L86=0,0,IF(H86="Backlog",N(G86),N(G86)*Dashboard!$C$10))</f>
        <v>0</v>
      </c>
      <c r="N86" s="9" t="n">
        <f aca="false">IF(B86="",0,IF(COUNTIF(Dashboard!$C$13:$C$22,B86)&gt;0,1,0))</f>
        <v>0</v>
      </c>
    </row>
    <row r="87" customFormat="false" ht="15" hidden="false" customHeight="false" outlineLevel="0" collapsed="false">
      <c r="A87" s="13"/>
      <c r="B87" s="13"/>
      <c r="C87" s="13"/>
      <c r="D87" s="13"/>
      <c r="E87" s="10"/>
      <c r="F87" s="46"/>
      <c r="G87" s="47"/>
      <c r="H87" s="9" t="str">
        <f aca="false">IF(OR(G87="",A87=""),"",IF(NOT(ISNUMBER(F87)),"NO DATE",IF(D87="Backlog",IF(F87&gt;Settings!$B$5,"Backlog","Delivered"),IF(F87&gt;Settings!$B$5,"Pipeline","Overdue"))))</f>
        <v/>
      </c>
      <c r="I87" s="17" t="n">
        <f aca="false">IF(H87="",0,N(G87)*IF(D87="Backlog",1,N(E87)))</f>
        <v>0</v>
      </c>
      <c r="J87" s="48" t="str">
        <f aca="false">IF(OR(H87="",H87="NO DATE"),"",IF(H87="Overdue",IF(Settings!$B$8="Yes",Settings!$B$7,""),DATE(YEAR(F87),MONTH(F87),1)))</f>
        <v/>
      </c>
      <c r="K87" s="17" t="n">
        <f aca="false">IF(AND(OR(H87="Backlog",H87="Pipeline",H87="Overdue"),ISNUMBER(J87)),IF(J87&lt;=Settings!$B$6,I87,0),0)</f>
        <v>0</v>
      </c>
      <c r="L87" s="17" t="n">
        <f aca="false">IF(AND(OR(H87="Backlog",H87="Pipeline",H87="Overdue"),ISNUMBER(J87)),IF(J87&lt;=Settings!$B$6,N(G87),0),0)</f>
        <v>0</v>
      </c>
      <c r="M87" s="17" t="n">
        <f aca="false">IF(L87=0,0,IF(H87="Backlog",N(G87),N(G87)*Dashboard!$C$10))</f>
        <v>0</v>
      </c>
      <c r="N87" s="9" t="n">
        <f aca="false">IF(B87="",0,IF(COUNTIF(Dashboard!$C$13:$C$22,B87)&gt;0,1,0))</f>
        <v>0</v>
      </c>
    </row>
    <row r="88" customFormat="false" ht="15" hidden="false" customHeight="false" outlineLevel="0" collapsed="false">
      <c r="A88" s="13"/>
      <c r="B88" s="13"/>
      <c r="C88" s="13"/>
      <c r="D88" s="13"/>
      <c r="E88" s="10"/>
      <c r="F88" s="46"/>
      <c r="G88" s="47"/>
      <c r="H88" s="9" t="str">
        <f aca="false">IF(OR(G88="",A88=""),"",IF(NOT(ISNUMBER(F88)),"NO DATE",IF(D88="Backlog",IF(F88&gt;Settings!$B$5,"Backlog","Delivered"),IF(F88&gt;Settings!$B$5,"Pipeline","Overdue"))))</f>
        <v/>
      </c>
      <c r="I88" s="17" t="n">
        <f aca="false">IF(H88="",0,N(G88)*IF(D88="Backlog",1,N(E88)))</f>
        <v>0</v>
      </c>
      <c r="J88" s="48" t="str">
        <f aca="false">IF(OR(H88="",H88="NO DATE"),"",IF(H88="Overdue",IF(Settings!$B$8="Yes",Settings!$B$7,""),DATE(YEAR(F88),MONTH(F88),1)))</f>
        <v/>
      </c>
      <c r="K88" s="17" t="n">
        <f aca="false">IF(AND(OR(H88="Backlog",H88="Pipeline",H88="Overdue"),ISNUMBER(J88)),IF(J88&lt;=Settings!$B$6,I88,0),0)</f>
        <v>0</v>
      </c>
      <c r="L88" s="17" t="n">
        <f aca="false">IF(AND(OR(H88="Backlog",H88="Pipeline",H88="Overdue"),ISNUMBER(J88)),IF(J88&lt;=Settings!$B$6,N(G88),0),0)</f>
        <v>0</v>
      </c>
      <c r="M88" s="17" t="n">
        <f aca="false">IF(L88=0,0,IF(H88="Backlog",N(G88),N(G88)*Dashboard!$C$10))</f>
        <v>0</v>
      </c>
      <c r="N88" s="9" t="n">
        <f aca="false">IF(B88="",0,IF(COUNTIF(Dashboard!$C$13:$C$22,B88)&gt;0,1,0))</f>
        <v>0</v>
      </c>
    </row>
    <row r="89" customFormat="false" ht="15" hidden="false" customHeight="false" outlineLevel="0" collapsed="false">
      <c r="A89" s="13"/>
      <c r="B89" s="13"/>
      <c r="C89" s="13"/>
      <c r="D89" s="13"/>
      <c r="E89" s="10"/>
      <c r="F89" s="46"/>
      <c r="G89" s="47"/>
      <c r="H89" s="9" t="str">
        <f aca="false">IF(OR(G89="",A89=""),"",IF(NOT(ISNUMBER(F89)),"NO DATE",IF(D89="Backlog",IF(F89&gt;Settings!$B$5,"Backlog","Delivered"),IF(F89&gt;Settings!$B$5,"Pipeline","Overdue"))))</f>
        <v/>
      </c>
      <c r="I89" s="17" t="n">
        <f aca="false">IF(H89="",0,N(G89)*IF(D89="Backlog",1,N(E89)))</f>
        <v>0</v>
      </c>
      <c r="J89" s="48" t="str">
        <f aca="false">IF(OR(H89="",H89="NO DATE"),"",IF(H89="Overdue",IF(Settings!$B$8="Yes",Settings!$B$7,""),DATE(YEAR(F89),MONTH(F89),1)))</f>
        <v/>
      </c>
      <c r="K89" s="17" t="n">
        <f aca="false">IF(AND(OR(H89="Backlog",H89="Pipeline",H89="Overdue"),ISNUMBER(J89)),IF(J89&lt;=Settings!$B$6,I89,0),0)</f>
        <v>0</v>
      </c>
      <c r="L89" s="17" t="n">
        <f aca="false">IF(AND(OR(H89="Backlog",H89="Pipeline",H89="Overdue"),ISNUMBER(J89)),IF(J89&lt;=Settings!$B$6,N(G89),0),0)</f>
        <v>0</v>
      </c>
      <c r="M89" s="17" t="n">
        <f aca="false">IF(L89=0,0,IF(H89="Backlog",N(G89),N(G89)*Dashboard!$C$10))</f>
        <v>0</v>
      </c>
      <c r="N89" s="9" t="n">
        <f aca="false">IF(B89="",0,IF(COUNTIF(Dashboard!$C$13:$C$22,B89)&gt;0,1,0))</f>
        <v>0</v>
      </c>
    </row>
    <row r="90" customFormat="false" ht="15" hidden="false" customHeight="false" outlineLevel="0" collapsed="false">
      <c r="A90" s="13"/>
      <c r="B90" s="13"/>
      <c r="C90" s="13"/>
      <c r="D90" s="13"/>
      <c r="E90" s="10"/>
      <c r="F90" s="46"/>
      <c r="G90" s="47"/>
      <c r="H90" s="9" t="str">
        <f aca="false">IF(OR(G90="",A90=""),"",IF(NOT(ISNUMBER(F90)),"NO DATE",IF(D90="Backlog",IF(F90&gt;Settings!$B$5,"Backlog","Delivered"),IF(F90&gt;Settings!$B$5,"Pipeline","Overdue"))))</f>
        <v/>
      </c>
      <c r="I90" s="17" t="n">
        <f aca="false">IF(H90="",0,N(G90)*IF(D90="Backlog",1,N(E90)))</f>
        <v>0</v>
      </c>
      <c r="J90" s="48" t="str">
        <f aca="false">IF(OR(H90="",H90="NO DATE"),"",IF(H90="Overdue",IF(Settings!$B$8="Yes",Settings!$B$7,""),DATE(YEAR(F90),MONTH(F90),1)))</f>
        <v/>
      </c>
      <c r="K90" s="17" t="n">
        <f aca="false">IF(AND(OR(H90="Backlog",H90="Pipeline",H90="Overdue"),ISNUMBER(J90)),IF(J90&lt;=Settings!$B$6,I90,0),0)</f>
        <v>0</v>
      </c>
      <c r="L90" s="17" t="n">
        <f aca="false">IF(AND(OR(H90="Backlog",H90="Pipeline",H90="Overdue"),ISNUMBER(J90)),IF(J90&lt;=Settings!$B$6,N(G90),0),0)</f>
        <v>0</v>
      </c>
      <c r="M90" s="17" t="n">
        <f aca="false">IF(L90=0,0,IF(H90="Backlog",N(G90),N(G90)*Dashboard!$C$10))</f>
        <v>0</v>
      </c>
      <c r="N90" s="9" t="n">
        <f aca="false">IF(B90="",0,IF(COUNTIF(Dashboard!$C$13:$C$22,B90)&gt;0,1,0))</f>
        <v>0</v>
      </c>
    </row>
    <row r="91" customFormat="false" ht="15" hidden="false" customHeight="false" outlineLevel="0" collapsed="false">
      <c r="A91" s="13"/>
      <c r="B91" s="13"/>
      <c r="C91" s="13"/>
      <c r="D91" s="13"/>
      <c r="E91" s="10"/>
      <c r="F91" s="46"/>
      <c r="G91" s="47"/>
      <c r="H91" s="9" t="str">
        <f aca="false">IF(OR(G91="",A91=""),"",IF(NOT(ISNUMBER(F91)),"NO DATE",IF(D91="Backlog",IF(F91&gt;Settings!$B$5,"Backlog","Delivered"),IF(F91&gt;Settings!$B$5,"Pipeline","Overdue"))))</f>
        <v/>
      </c>
      <c r="I91" s="17" t="n">
        <f aca="false">IF(H91="",0,N(G91)*IF(D91="Backlog",1,N(E91)))</f>
        <v>0</v>
      </c>
      <c r="J91" s="48" t="str">
        <f aca="false">IF(OR(H91="",H91="NO DATE"),"",IF(H91="Overdue",IF(Settings!$B$8="Yes",Settings!$B$7,""),DATE(YEAR(F91),MONTH(F91),1)))</f>
        <v/>
      </c>
      <c r="K91" s="17" t="n">
        <f aca="false">IF(AND(OR(H91="Backlog",H91="Pipeline",H91="Overdue"),ISNUMBER(J91)),IF(J91&lt;=Settings!$B$6,I91,0),0)</f>
        <v>0</v>
      </c>
      <c r="L91" s="17" t="n">
        <f aca="false">IF(AND(OR(H91="Backlog",H91="Pipeline",H91="Overdue"),ISNUMBER(J91)),IF(J91&lt;=Settings!$B$6,N(G91),0),0)</f>
        <v>0</v>
      </c>
      <c r="M91" s="17" t="n">
        <f aca="false">IF(L91=0,0,IF(H91="Backlog",N(G91),N(G91)*Dashboard!$C$10))</f>
        <v>0</v>
      </c>
      <c r="N91" s="9" t="n">
        <f aca="false">IF(B91="",0,IF(COUNTIF(Dashboard!$C$13:$C$22,B91)&gt;0,1,0))</f>
        <v>0</v>
      </c>
    </row>
    <row r="92" customFormat="false" ht="15" hidden="false" customHeight="false" outlineLevel="0" collapsed="false">
      <c r="A92" s="13"/>
      <c r="B92" s="13"/>
      <c r="C92" s="13"/>
      <c r="D92" s="13"/>
      <c r="E92" s="10"/>
      <c r="F92" s="46"/>
      <c r="G92" s="47"/>
      <c r="H92" s="9" t="str">
        <f aca="false">IF(OR(G92="",A92=""),"",IF(NOT(ISNUMBER(F92)),"NO DATE",IF(D92="Backlog",IF(F92&gt;Settings!$B$5,"Backlog","Delivered"),IF(F92&gt;Settings!$B$5,"Pipeline","Overdue"))))</f>
        <v/>
      </c>
      <c r="I92" s="17" t="n">
        <f aca="false">IF(H92="",0,N(G92)*IF(D92="Backlog",1,N(E92)))</f>
        <v>0</v>
      </c>
      <c r="J92" s="48" t="str">
        <f aca="false">IF(OR(H92="",H92="NO DATE"),"",IF(H92="Overdue",IF(Settings!$B$8="Yes",Settings!$B$7,""),DATE(YEAR(F92),MONTH(F92),1)))</f>
        <v/>
      </c>
      <c r="K92" s="17" t="n">
        <f aca="false">IF(AND(OR(H92="Backlog",H92="Pipeline",H92="Overdue"),ISNUMBER(J92)),IF(J92&lt;=Settings!$B$6,I92,0),0)</f>
        <v>0</v>
      </c>
      <c r="L92" s="17" t="n">
        <f aca="false">IF(AND(OR(H92="Backlog",H92="Pipeline",H92="Overdue"),ISNUMBER(J92)),IF(J92&lt;=Settings!$B$6,N(G92),0),0)</f>
        <v>0</v>
      </c>
      <c r="M92" s="17" t="n">
        <f aca="false">IF(L92=0,0,IF(H92="Backlog",N(G92),N(G92)*Dashboard!$C$10))</f>
        <v>0</v>
      </c>
      <c r="N92" s="9" t="n">
        <f aca="false">IF(B92="",0,IF(COUNTIF(Dashboard!$C$13:$C$22,B92)&gt;0,1,0))</f>
        <v>0</v>
      </c>
    </row>
    <row r="93" customFormat="false" ht="15" hidden="false" customHeight="false" outlineLevel="0" collapsed="false">
      <c r="A93" s="13"/>
      <c r="B93" s="13"/>
      <c r="C93" s="13"/>
      <c r="D93" s="13"/>
      <c r="E93" s="10"/>
      <c r="F93" s="46"/>
      <c r="G93" s="47"/>
      <c r="H93" s="9" t="str">
        <f aca="false">IF(OR(G93="",A93=""),"",IF(NOT(ISNUMBER(F93)),"NO DATE",IF(D93="Backlog",IF(F93&gt;Settings!$B$5,"Backlog","Delivered"),IF(F93&gt;Settings!$B$5,"Pipeline","Overdue"))))</f>
        <v/>
      </c>
      <c r="I93" s="17" t="n">
        <f aca="false">IF(H93="",0,N(G93)*IF(D93="Backlog",1,N(E93)))</f>
        <v>0</v>
      </c>
      <c r="J93" s="48" t="str">
        <f aca="false">IF(OR(H93="",H93="NO DATE"),"",IF(H93="Overdue",IF(Settings!$B$8="Yes",Settings!$B$7,""),DATE(YEAR(F93),MONTH(F93),1)))</f>
        <v/>
      </c>
      <c r="K93" s="17" t="n">
        <f aca="false">IF(AND(OR(H93="Backlog",H93="Pipeline",H93="Overdue"),ISNUMBER(J93)),IF(J93&lt;=Settings!$B$6,I93,0),0)</f>
        <v>0</v>
      </c>
      <c r="L93" s="17" t="n">
        <f aca="false">IF(AND(OR(H93="Backlog",H93="Pipeline",H93="Overdue"),ISNUMBER(J93)),IF(J93&lt;=Settings!$B$6,N(G93),0),0)</f>
        <v>0</v>
      </c>
      <c r="M93" s="17" t="n">
        <f aca="false">IF(L93=0,0,IF(H93="Backlog",N(G93),N(G93)*Dashboard!$C$10))</f>
        <v>0</v>
      </c>
      <c r="N93" s="9" t="n">
        <f aca="false">IF(B93="",0,IF(COUNTIF(Dashboard!$C$13:$C$22,B93)&gt;0,1,0))</f>
        <v>0</v>
      </c>
    </row>
    <row r="94" customFormat="false" ht="15" hidden="false" customHeight="false" outlineLevel="0" collapsed="false">
      <c r="A94" s="13"/>
      <c r="B94" s="13"/>
      <c r="C94" s="13"/>
      <c r="D94" s="13"/>
      <c r="E94" s="10"/>
      <c r="F94" s="46"/>
      <c r="G94" s="47"/>
      <c r="H94" s="9" t="str">
        <f aca="false">IF(OR(G94="",A94=""),"",IF(NOT(ISNUMBER(F94)),"NO DATE",IF(D94="Backlog",IF(F94&gt;Settings!$B$5,"Backlog","Delivered"),IF(F94&gt;Settings!$B$5,"Pipeline","Overdue"))))</f>
        <v/>
      </c>
      <c r="I94" s="17" t="n">
        <f aca="false">IF(H94="",0,N(G94)*IF(D94="Backlog",1,N(E94)))</f>
        <v>0</v>
      </c>
      <c r="J94" s="48" t="str">
        <f aca="false">IF(OR(H94="",H94="NO DATE"),"",IF(H94="Overdue",IF(Settings!$B$8="Yes",Settings!$B$7,""),DATE(YEAR(F94),MONTH(F94),1)))</f>
        <v/>
      </c>
      <c r="K94" s="17" t="n">
        <f aca="false">IF(AND(OR(H94="Backlog",H94="Pipeline",H94="Overdue"),ISNUMBER(J94)),IF(J94&lt;=Settings!$B$6,I94,0),0)</f>
        <v>0</v>
      </c>
      <c r="L94" s="17" t="n">
        <f aca="false">IF(AND(OR(H94="Backlog",H94="Pipeline",H94="Overdue"),ISNUMBER(J94)),IF(J94&lt;=Settings!$B$6,N(G94),0),0)</f>
        <v>0</v>
      </c>
      <c r="M94" s="17" t="n">
        <f aca="false">IF(L94=0,0,IF(H94="Backlog",N(G94),N(G94)*Dashboard!$C$10))</f>
        <v>0</v>
      </c>
      <c r="N94" s="9" t="n">
        <f aca="false">IF(B94="",0,IF(COUNTIF(Dashboard!$C$13:$C$22,B94)&gt;0,1,0))</f>
        <v>0</v>
      </c>
    </row>
    <row r="95" customFormat="false" ht="15" hidden="false" customHeight="false" outlineLevel="0" collapsed="false">
      <c r="A95" s="13"/>
      <c r="B95" s="13"/>
      <c r="C95" s="13"/>
      <c r="D95" s="13"/>
      <c r="E95" s="10"/>
      <c r="F95" s="46"/>
      <c r="G95" s="47"/>
      <c r="H95" s="9" t="str">
        <f aca="false">IF(OR(G95="",A95=""),"",IF(NOT(ISNUMBER(F95)),"NO DATE",IF(D95="Backlog",IF(F95&gt;Settings!$B$5,"Backlog","Delivered"),IF(F95&gt;Settings!$B$5,"Pipeline","Overdue"))))</f>
        <v/>
      </c>
      <c r="I95" s="17" t="n">
        <f aca="false">IF(H95="",0,N(G95)*IF(D95="Backlog",1,N(E95)))</f>
        <v>0</v>
      </c>
      <c r="J95" s="48" t="str">
        <f aca="false">IF(OR(H95="",H95="NO DATE"),"",IF(H95="Overdue",IF(Settings!$B$8="Yes",Settings!$B$7,""),DATE(YEAR(F95),MONTH(F95),1)))</f>
        <v/>
      </c>
      <c r="K95" s="17" t="n">
        <f aca="false">IF(AND(OR(H95="Backlog",H95="Pipeline",H95="Overdue"),ISNUMBER(J95)),IF(J95&lt;=Settings!$B$6,I95,0),0)</f>
        <v>0</v>
      </c>
      <c r="L95" s="17" t="n">
        <f aca="false">IF(AND(OR(H95="Backlog",H95="Pipeline",H95="Overdue"),ISNUMBER(J95)),IF(J95&lt;=Settings!$B$6,N(G95),0),0)</f>
        <v>0</v>
      </c>
      <c r="M95" s="17" t="n">
        <f aca="false">IF(L95=0,0,IF(H95="Backlog",N(G95),N(G95)*Dashboard!$C$10))</f>
        <v>0</v>
      </c>
      <c r="N95" s="9" t="n">
        <f aca="false">IF(B95="",0,IF(COUNTIF(Dashboard!$C$13:$C$22,B95)&gt;0,1,0))</f>
        <v>0</v>
      </c>
    </row>
    <row r="96" customFormat="false" ht="15" hidden="false" customHeight="false" outlineLevel="0" collapsed="false">
      <c r="A96" s="13"/>
      <c r="B96" s="13"/>
      <c r="C96" s="13"/>
      <c r="D96" s="13"/>
      <c r="E96" s="10"/>
      <c r="F96" s="46"/>
      <c r="G96" s="47"/>
      <c r="H96" s="9" t="str">
        <f aca="false">IF(OR(G96="",A96=""),"",IF(NOT(ISNUMBER(F96)),"NO DATE",IF(D96="Backlog",IF(F96&gt;Settings!$B$5,"Backlog","Delivered"),IF(F96&gt;Settings!$B$5,"Pipeline","Overdue"))))</f>
        <v/>
      </c>
      <c r="I96" s="17" t="n">
        <f aca="false">IF(H96="",0,N(G96)*IF(D96="Backlog",1,N(E96)))</f>
        <v>0</v>
      </c>
      <c r="J96" s="48" t="str">
        <f aca="false">IF(OR(H96="",H96="NO DATE"),"",IF(H96="Overdue",IF(Settings!$B$8="Yes",Settings!$B$7,""),DATE(YEAR(F96),MONTH(F96),1)))</f>
        <v/>
      </c>
      <c r="K96" s="17" t="n">
        <f aca="false">IF(AND(OR(H96="Backlog",H96="Pipeline",H96="Overdue"),ISNUMBER(J96)),IF(J96&lt;=Settings!$B$6,I96,0),0)</f>
        <v>0</v>
      </c>
      <c r="L96" s="17" t="n">
        <f aca="false">IF(AND(OR(H96="Backlog",H96="Pipeline",H96="Overdue"),ISNUMBER(J96)),IF(J96&lt;=Settings!$B$6,N(G96),0),0)</f>
        <v>0</v>
      </c>
      <c r="M96" s="17" t="n">
        <f aca="false">IF(L96=0,0,IF(H96="Backlog",N(G96),N(G96)*Dashboard!$C$10))</f>
        <v>0</v>
      </c>
      <c r="N96" s="9" t="n">
        <f aca="false">IF(B96="",0,IF(COUNTIF(Dashboard!$C$13:$C$22,B96)&gt;0,1,0))</f>
        <v>0</v>
      </c>
    </row>
    <row r="97" customFormat="false" ht="15" hidden="false" customHeight="false" outlineLevel="0" collapsed="false">
      <c r="A97" s="13"/>
      <c r="B97" s="13"/>
      <c r="C97" s="13"/>
      <c r="D97" s="13"/>
      <c r="E97" s="10"/>
      <c r="F97" s="46"/>
      <c r="G97" s="47"/>
      <c r="H97" s="9" t="str">
        <f aca="false">IF(OR(G97="",A97=""),"",IF(NOT(ISNUMBER(F97)),"NO DATE",IF(D97="Backlog",IF(F97&gt;Settings!$B$5,"Backlog","Delivered"),IF(F97&gt;Settings!$B$5,"Pipeline","Overdue"))))</f>
        <v/>
      </c>
      <c r="I97" s="17" t="n">
        <f aca="false">IF(H97="",0,N(G97)*IF(D97="Backlog",1,N(E97)))</f>
        <v>0</v>
      </c>
      <c r="J97" s="48" t="str">
        <f aca="false">IF(OR(H97="",H97="NO DATE"),"",IF(H97="Overdue",IF(Settings!$B$8="Yes",Settings!$B$7,""),DATE(YEAR(F97),MONTH(F97),1)))</f>
        <v/>
      </c>
      <c r="K97" s="17" t="n">
        <f aca="false">IF(AND(OR(H97="Backlog",H97="Pipeline",H97="Overdue"),ISNUMBER(J97)),IF(J97&lt;=Settings!$B$6,I97,0),0)</f>
        <v>0</v>
      </c>
      <c r="L97" s="17" t="n">
        <f aca="false">IF(AND(OR(H97="Backlog",H97="Pipeline",H97="Overdue"),ISNUMBER(J97)),IF(J97&lt;=Settings!$B$6,N(G97),0),0)</f>
        <v>0</v>
      </c>
      <c r="M97" s="17" t="n">
        <f aca="false">IF(L97=0,0,IF(H97="Backlog",N(G97),N(G97)*Dashboard!$C$10))</f>
        <v>0</v>
      </c>
      <c r="N97" s="9" t="n">
        <f aca="false">IF(B97="",0,IF(COUNTIF(Dashboard!$C$13:$C$22,B97)&gt;0,1,0))</f>
        <v>0</v>
      </c>
    </row>
    <row r="98" customFormat="false" ht="15" hidden="false" customHeight="false" outlineLevel="0" collapsed="false">
      <c r="A98" s="13"/>
      <c r="B98" s="13"/>
      <c r="C98" s="13"/>
      <c r="D98" s="13"/>
      <c r="E98" s="10"/>
      <c r="F98" s="46"/>
      <c r="G98" s="47"/>
      <c r="H98" s="9" t="str">
        <f aca="false">IF(OR(G98="",A98=""),"",IF(NOT(ISNUMBER(F98)),"NO DATE",IF(D98="Backlog",IF(F98&gt;Settings!$B$5,"Backlog","Delivered"),IF(F98&gt;Settings!$B$5,"Pipeline","Overdue"))))</f>
        <v/>
      </c>
      <c r="I98" s="17" t="n">
        <f aca="false">IF(H98="",0,N(G98)*IF(D98="Backlog",1,N(E98)))</f>
        <v>0</v>
      </c>
      <c r="J98" s="48" t="str">
        <f aca="false">IF(OR(H98="",H98="NO DATE"),"",IF(H98="Overdue",IF(Settings!$B$8="Yes",Settings!$B$7,""),DATE(YEAR(F98),MONTH(F98),1)))</f>
        <v/>
      </c>
      <c r="K98" s="17" t="n">
        <f aca="false">IF(AND(OR(H98="Backlog",H98="Pipeline",H98="Overdue"),ISNUMBER(J98)),IF(J98&lt;=Settings!$B$6,I98,0),0)</f>
        <v>0</v>
      </c>
      <c r="L98" s="17" t="n">
        <f aca="false">IF(AND(OR(H98="Backlog",H98="Pipeline",H98="Overdue"),ISNUMBER(J98)),IF(J98&lt;=Settings!$B$6,N(G98),0),0)</f>
        <v>0</v>
      </c>
      <c r="M98" s="17" t="n">
        <f aca="false">IF(L98=0,0,IF(H98="Backlog",N(G98),N(G98)*Dashboard!$C$10))</f>
        <v>0</v>
      </c>
      <c r="N98" s="9" t="n">
        <f aca="false">IF(B98="",0,IF(COUNTIF(Dashboard!$C$13:$C$22,B98)&gt;0,1,0))</f>
        <v>0</v>
      </c>
    </row>
    <row r="99" customFormat="false" ht="15" hidden="false" customHeight="false" outlineLevel="0" collapsed="false">
      <c r="A99" s="13"/>
      <c r="B99" s="13"/>
      <c r="C99" s="13"/>
      <c r="D99" s="13"/>
      <c r="E99" s="10"/>
      <c r="F99" s="46"/>
      <c r="G99" s="47"/>
      <c r="H99" s="9" t="str">
        <f aca="false">IF(OR(G99="",A99=""),"",IF(NOT(ISNUMBER(F99)),"NO DATE",IF(D99="Backlog",IF(F99&gt;Settings!$B$5,"Backlog","Delivered"),IF(F99&gt;Settings!$B$5,"Pipeline","Overdue"))))</f>
        <v/>
      </c>
      <c r="I99" s="17" t="n">
        <f aca="false">IF(H99="",0,N(G99)*IF(D99="Backlog",1,N(E99)))</f>
        <v>0</v>
      </c>
      <c r="J99" s="48" t="str">
        <f aca="false">IF(OR(H99="",H99="NO DATE"),"",IF(H99="Overdue",IF(Settings!$B$8="Yes",Settings!$B$7,""),DATE(YEAR(F99),MONTH(F99),1)))</f>
        <v/>
      </c>
      <c r="K99" s="17" t="n">
        <f aca="false">IF(AND(OR(H99="Backlog",H99="Pipeline",H99="Overdue"),ISNUMBER(J99)),IF(J99&lt;=Settings!$B$6,I99,0),0)</f>
        <v>0</v>
      </c>
      <c r="L99" s="17" t="n">
        <f aca="false">IF(AND(OR(H99="Backlog",H99="Pipeline",H99="Overdue"),ISNUMBER(J99)),IF(J99&lt;=Settings!$B$6,N(G99),0),0)</f>
        <v>0</v>
      </c>
      <c r="M99" s="17" t="n">
        <f aca="false">IF(L99=0,0,IF(H99="Backlog",N(G99),N(G99)*Dashboard!$C$10))</f>
        <v>0</v>
      </c>
      <c r="N99" s="9" t="n">
        <f aca="false">IF(B99="",0,IF(COUNTIF(Dashboard!$C$13:$C$22,B99)&gt;0,1,0))</f>
        <v>0</v>
      </c>
    </row>
    <row r="100" customFormat="false" ht="15" hidden="false" customHeight="false" outlineLevel="0" collapsed="false">
      <c r="A100" s="13"/>
      <c r="B100" s="13"/>
      <c r="C100" s="13"/>
      <c r="D100" s="13"/>
      <c r="E100" s="10"/>
      <c r="F100" s="46"/>
      <c r="G100" s="47"/>
      <c r="H100" s="9" t="str">
        <f aca="false">IF(OR(G100="",A100=""),"",IF(NOT(ISNUMBER(F100)),"NO DATE",IF(D100="Backlog",IF(F100&gt;Settings!$B$5,"Backlog","Delivered"),IF(F100&gt;Settings!$B$5,"Pipeline","Overdue"))))</f>
        <v/>
      </c>
      <c r="I100" s="17" t="n">
        <f aca="false">IF(H100="",0,N(G100)*IF(D100="Backlog",1,N(E100)))</f>
        <v>0</v>
      </c>
      <c r="J100" s="48" t="str">
        <f aca="false">IF(OR(H100="",H100="NO DATE"),"",IF(H100="Overdue",IF(Settings!$B$8="Yes",Settings!$B$7,""),DATE(YEAR(F100),MONTH(F100),1)))</f>
        <v/>
      </c>
      <c r="K100" s="17" t="n">
        <f aca="false">IF(AND(OR(H100="Backlog",H100="Pipeline",H100="Overdue"),ISNUMBER(J100)),IF(J100&lt;=Settings!$B$6,I100,0),0)</f>
        <v>0</v>
      </c>
      <c r="L100" s="17" t="n">
        <f aca="false">IF(AND(OR(H100="Backlog",H100="Pipeline",H100="Overdue"),ISNUMBER(J100)),IF(J100&lt;=Settings!$B$6,N(G100),0),0)</f>
        <v>0</v>
      </c>
      <c r="M100" s="17" t="n">
        <f aca="false">IF(L100=0,0,IF(H100="Backlog",N(G100),N(G100)*Dashboard!$C$10))</f>
        <v>0</v>
      </c>
      <c r="N100" s="9" t="n">
        <f aca="false">IF(B100="",0,IF(COUNTIF(Dashboard!$C$13:$C$22,B100)&gt;0,1,0))</f>
        <v>0</v>
      </c>
    </row>
    <row r="101" customFormat="false" ht="15" hidden="false" customHeight="false" outlineLevel="0" collapsed="false">
      <c r="A101" s="13"/>
      <c r="B101" s="13"/>
      <c r="C101" s="13"/>
      <c r="D101" s="13"/>
      <c r="E101" s="10"/>
      <c r="F101" s="46"/>
      <c r="G101" s="47"/>
      <c r="H101" s="9" t="str">
        <f aca="false">IF(OR(G101="",A101=""),"",IF(NOT(ISNUMBER(F101)),"NO DATE",IF(D101="Backlog",IF(F101&gt;Settings!$B$5,"Backlog","Delivered"),IF(F101&gt;Settings!$B$5,"Pipeline","Overdue"))))</f>
        <v/>
      </c>
      <c r="I101" s="17" t="n">
        <f aca="false">IF(H101="",0,N(G101)*IF(D101="Backlog",1,N(E101)))</f>
        <v>0</v>
      </c>
      <c r="J101" s="48" t="str">
        <f aca="false">IF(OR(H101="",H101="NO DATE"),"",IF(H101="Overdue",IF(Settings!$B$8="Yes",Settings!$B$7,""),DATE(YEAR(F101),MONTH(F101),1)))</f>
        <v/>
      </c>
      <c r="K101" s="17" t="n">
        <f aca="false">IF(AND(OR(H101="Backlog",H101="Pipeline",H101="Overdue"),ISNUMBER(J101)),IF(J101&lt;=Settings!$B$6,I101,0),0)</f>
        <v>0</v>
      </c>
      <c r="L101" s="17" t="n">
        <f aca="false">IF(AND(OR(H101="Backlog",H101="Pipeline",H101="Overdue"),ISNUMBER(J101)),IF(J101&lt;=Settings!$B$6,N(G101),0),0)</f>
        <v>0</v>
      </c>
      <c r="M101" s="17" t="n">
        <f aca="false">IF(L101=0,0,IF(H101="Backlog",N(G101),N(G101)*Dashboard!$C$10))</f>
        <v>0</v>
      </c>
      <c r="N101" s="9" t="n">
        <f aca="false">IF(B101="",0,IF(COUNTIF(Dashboard!$C$13:$C$22,B101)&gt;0,1,0))</f>
        <v>0</v>
      </c>
    </row>
    <row r="102" customFormat="false" ht="15" hidden="false" customHeight="false" outlineLevel="0" collapsed="false">
      <c r="A102" s="13"/>
      <c r="B102" s="13"/>
      <c r="C102" s="13"/>
      <c r="D102" s="13"/>
      <c r="E102" s="10"/>
      <c r="F102" s="46"/>
      <c r="G102" s="47"/>
      <c r="H102" s="9" t="str">
        <f aca="false">IF(OR(G102="",A102=""),"",IF(NOT(ISNUMBER(F102)),"NO DATE",IF(D102="Backlog",IF(F102&gt;Settings!$B$5,"Backlog","Delivered"),IF(F102&gt;Settings!$B$5,"Pipeline","Overdue"))))</f>
        <v/>
      </c>
      <c r="I102" s="17" t="n">
        <f aca="false">IF(H102="",0,N(G102)*IF(D102="Backlog",1,N(E102)))</f>
        <v>0</v>
      </c>
      <c r="J102" s="48" t="str">
        <f aca="false">IF(OR(H102="",H102="NO DATE"),"",IF(H102="Overdue",IF(Settings!$B$8="Yes",Settings!$B$7,""),DATE(YEAR(F102),MONTH(F102),1)))</f>
        <v/>
      </c>
      <c r="K102" s="17" t="n">
        <f aca="false">IF(AND(OR(H102="Backlog",H102="Pipeline",H102="Overdue"),ISNUMBER(J102)),IF(J102&lt;=Settings!$B$6,I102,0),0)</f>
        <v>0</v>
      </c>
      <c r="L102" s="17" t="n">
        <f aca="false">IF(AND(OR(H102="Backlog",H102="Pipeline",H102="Overdue"),ISNUMBER(J102)),IF(J102&lt;=Settings!$B$6,N(G102),0),0)</f>
        <v>0</v>
      </c>
      <c r="M102" s="17" t="n">
        <f aca="false">IF(L102=0,0,IF(H102="Backlog",N(G102),N(G102)*Dashboard!$C$10))</f>
        <v>0</v>
      </c>
      <c r="N102" s="9" t="n">
        <f aca="false">IF(B102="",0,IF(COUNTIF(Dashboard!$C$13:$C$22,B102)&gt;0,1,0))</f>
        <v>0</v>
      </c>
    </row>
    <row r="103" customFormat="false" ht="15" hidden="false" customHeight="false" outlineLevel="0" collapsed="false">
      <c r="A103" s="13"/>
      <c r="B103" s="13"/>
      <c r="C103" s="13"/>
      <c r="D103" s="13"/>
      <c r="E103" s="10"/>
      <c r="F103" s="46"/>
      <c r="G103" s="47"/>
      <c r="H103" s="9" t="str">
        <f aca="false">IF(OR(G103="",A103=""),"",IF(NOT(ISNUMBER(F103)),"NO DATE",IF(D103="Backlog",IF(F103&gt;Settings!$B$5,"Backlog","Delivered"),IF(F103&gt;Settings!$B$5,"Pipeline","Overdue"))))</f>
        <v/>
      </c>
      <c r="I103" s="17" t="n">
        <f aca="false">IF(H103="",0,N(G103)*IF(D103="Backlog",1,N(E103)))</f>
        <v>0</v>
      </c>
      <c r="J103" s="48" t="str">
        <f aca="false">IF(OR(H103="",H103="NO DATE"),"",IF(H103="Overdue",IF(Settings!$B$8="Yes",Settings!$B$7,""),DATE(YEAR(F103),MONTH(F103),1)))</f>
        <v/>
      </c>
      <c r="K103" s="17" t="n">
        <f aca="false">IF(AND(OR(H103="Backlog",H103="Pipeline",H103="Overdue"),ISNUMBER(J103)),IF(J103&lt;=Settings!$B$6,I103,0),0)</f>
        <v>0</v>
      </c>
      <c r="L103" s="17" t="n">
        <f aca="false">IF(AND(OR(H103="Backlog",H103="Pipeline",H103="Overdue"),ISNUMBER(J103)),IF(J103&lt;=Settings!$B$6,N(G103),0),0)</f>
        <v>0</v>
      </c>
      <c r="M103" s="17" t="n">
        <f aca="false">IF(L103=0,0,IF(H103="Backlog",N(G103),N(G103)*Dashboard!$C$10))</f>
        <v>0</v>
      </c>
      <c r="N103" s="9" t="n">
        <f aca="false">IF(B103="",0,IF(COUNTIF(Dashboard!$C$13:$C$22,B103)&gt;0,1,0))</f>
        <v>0</v>
      </c>
    </row>
    <row r="104" customFormat="false" ht="15" hidden="false" customHeight="false" outlineLevel="0" collapsed="false">
      <c r="A104" s="13"/>
      <c r="B104" s="13"/>
      <c r="C104" s="13"/>
      <c r="D104" s="13"/>
      <c r="E104" s="10"/>
      <c r="F104" s="46"/>
      <c r="G104" s="47"/>
      <c r="H104" s="9" t="str">
        <f aca="false">IF(OR(G104="",A104=""),"",IF(NOT(ISNUMBER(F104)),"NO DATE",IF(D104="Backlog",IF(F104&gt;Settings!$B$5,"Backlog","Delivered"),IF(F104&gt;Settings!$B$5,"Pipeline","Overdue"))))</f>
        <v/>
      </c>
      <c r="I104" s="17" t="n">
        <f aca="false">IF(H104="",0,N(G104)*IF(D104="Backlog",1,N(E104)))</f>
        <v>0</v>
      </c>
      <c r="J104" s="48" t="str">
        <f aca="false">IF(OR(H104="",H104="NO DATE"),"",IF(H104="Overdue",IF(Settings!$B$8="Yes",Settings!$B$7,""),DATE(YEAR(F104),MONTH(F104),1)))</f>
        <v/>
      </c>
      <c r="K104" s="17" t="n">
        <f aca="false">IF(AND(OR(H104="Backlog",H104="Pipeline",H104="Overdue"),ISNUMBER(J104)),IF(J104&lt;=Settings!$B$6,I104,0),0)</f>
        <v>0</v>
      </c>
      <c r="L104" s="17" t="n">
        <f aca="false">IF(AND(OR(H104="Backlog",H104="Pipeline",H104="Overdue"),ISNUMBER(J104)),IF(J104&lt;=Settings!$B$6,N(G104),0),0)</f>
        <v>0</v>
      </c>
      <c r="M104" s="17" t="n">
        <f aca="false">IF(L104=0,0,IF(H104="Backlog",N(G104),N(G104)*Dashboard!$C$10))</f>
        <v>0</v>
      </c>
      <c r="N104" s="9" t="n">
        <f aca="false">IF(B104="",0,IF(COUNTIF(Dashboard!$C$13:$C$22,B104)&gt;0,1,0))</f>
        <v>0</v>
      </c>
    </row>
    <row r="105" customFormat="false" ht="15" hidden="false" customHeight="false" outlineLevel="0" collapsed="false">
      <c r="A105" s="13"/>
      <c r="B105" s="13"/>
      <c r="C105" s="13"/>
      <c r="D105" s="13"/>
      <c r="E105" s="10"/>
      <c r="F105" s="46"/>
      <c r="G105" s="47"/>
      <c r="H105" s="9" t="str">
        <f aca="false">IF(OR(G105="",A105=""),"",IF(NOT(ISNUMBER(F105)),"NO DATE",IF(D105="Backlog",IF(F105&gt;Settings!$B$5,"Backlog","Delivered"),IF(F105&gt;Settings!$B$5,"Pipeline","Overdue"))))</f>
        <v/>
      </c>
      <c r="I105" s="17" t="n">
        <f aca="false">IF(H105="",0,N(G105)*IF(D105="Backlog",1,N(E105)))</f>
        <v>0</v>
      </c>
      <c r="J105" s="48" t="str">
        <f aca="false">IF(OR(H105="",H105="NO DATE"),"",IF(H105="Overdue",IF(Settings!$B$8="Yes",Settings!$B$7,""),DATE(YEAR(F105),MONTH(F105),1)))</f>
        <v/>
      </c>
      <c r="K105" s="17" t="n">
        <f aca="false">IF(AND(OR(H105="Backlog",H105="Pipeline",H105="Overdue"),ISNUMBER(J105)),IF(J105&lt;=Settings!$B$6,I105,0),0)</f>
        <v>0</v>
      </c>
      <c r="L105" s="17" t="n">
        <f aca="false">IF(AND(OR(H105="Backlog",H105="Pipeline",H105="Overdue"),ISNUMBER(J105)),IF(J105&lt;=Settings!$B$6,N(G105),0),0)</f>
        <v>0</v>
      </c>
      <c r="M105" s="17" t="n">
        <f aca="false">IF(L105=0,0,IF(H105="Backlog",N(G105),N(G105)*Dashboard!$C$10))</f>
        <v>0</v>
      </c>
      <c r="N105" s="9" t="n">
        <f aca="false">IF(B105="",0,IF(COUNTIF(Dashboard!$C$13:$C$22,B105)&gt;0,1,0))</f>
        <v>0</v>
      </c>
    </row>
    <row r="106" customFormat="false" ht="15" hidden="false" customHeight="false" outlineLevel="0" collapsed="false">
      <c r="A106" s="13"/>
      <c r="B106" s="13"/>
      <c r="C106" s="13"/>
      <c r="D106" s="13"/>
      <c r="E106" s="10"/>
      <c r="F106" s="46"/>
      <c r="G106" s="47"/>
      <c r="H106" s="9" t="str">
        <f aca="false">IF(OR(G106="",A106=""),"",IF(NOT(ISNUMBER(F106)),"NO DATE",IF(D106="Backlog",IF(F106&gt;Settings!$B$5,"Backlog","Delivered"),IF(F106&gt;Settings!$B$5,"Pipeline","Overdue"))))</f>
        <v/>
      </c>
      <c r="I106" s="17" t="n">
        <f aca="false">IF(H106="",0,N(G106)*IF(D106="Backlog",1,N(E106)))</f>
        <v>0</v>
      </c>
      <c r="J106" s="48" t="str">
        <f aca="false">IF(OR(H106="",H106="NO DATE"),"",IF(H106="Overdue",IF(Settings!$B$8="Yes",Settings!$B$7,""),DATE(YEAR(F106),MONTH(F106),1)))</f>
        <v/>
      </c>
      <c r="K106" s="17" t="n">
        <f aca="false">IF(AND(OR(H106="Backlog",H106="Pipeline",H106="Overdue"),ISNUMBER(J106)),IF(J106&lt;=Settings!$B$6,I106,0),0)</f>
        <v>0</v>
      </c>
      <c r="L106" s="17" t="n">
        <f aca="false">IF(AND(OR(H106="Backlog",H106="Pipeline",H106="Overdue"),ISNUMBER(J106)),IF(J106&lt;=Settings!$B$6,N(G106),0),0)</f>
        <v>0</v>
      </c>
      <c r="M106" s="17" t="n">
        <f aca="false">IF(L106=0,0,IF(H106="Backlog",N(G106),N(G106)*Dashboard!$C$10))</f>
        <v>0</v>
      </c>
      <c r="N106" s="9" t="n">
        <f aca="false">IF(B106="",0,IF(COUNTIF(Dashboard!$C$13:$C$22,B106)&gt;0,1,0))</f>
        <v>0</v>
      </c>
    </row>
    <row r="107" customFormat="false" ht="15" hidden="false" customHeight="false" outlineLevel="0" collapsed="false">
      <c r="A107" s="13"/>
      <c r="B107" s="13"/>
      <c r="C107" s="13"/>
      <c r="D107" s="13"/>
      <c r="E107" s="10"/>
      <c r="F107" s="46"/>
      <c r="G107" s="47"/>
      <c r="H107" s="9" t="str">
        <f aca="false">IF(OR(G107="",A107=""),"",IF(NOT(ISNUMBER(F107)),"NO DATE",IF(D107="Backlog",IF(F107&gt;Settings!$B$5,"Backlog","Delivered"),IF(F107&gt;Settings!$B$5,"Pipeline","Overdue"))))</f>
        <v/>
      </c>
      <c r="I107" s="17" t="n">
        <f aca="false">IF(H107="",0,N(G107)*IF(D107="Backlog",1,N(E107)))</f>
        <v>0</v>
      </c>
      <c r="J107" s="48" t="str">
        <f aca="false">IF(OR(H107="",H107="NO DATE"),"",IF(H107="Overdue",IF(Settings!$B$8="Yes",Settings!$B$7,""),DATE(YEAR(F107),MONTH(F107),1)))</f>
        <v/>
      </c>
      <c r="K107" s="17" t="n">
        <f aca="false">IF(AND(OR(H107="Backlog",H107="Pipeline",H107="Overdue"),ISNUMBER(J107)),IF(J107&lt;=Settings!$B$6,I107,0),0)</f>
        <v>0</v>
      </c>
      <c r="L107" s="17" t="n">
        <f aca="false">IF(AND(OR(H107="Backlog",H107="Pipeline",H107="Overdue"),ISNUMBER(J107)),IF(J107&lt;=Settings!$B$6,N(G107),0),0)</f>
        <v>0</v>
      </c>
      <c r="M107" s="17" t="n">
        <f aca="false">IF(L107=0,0,IF(H107="Backlog",N(G107),N(G107)*Dashboard!$C$10))</f>
        <v>0</v>
      </c>
      <c r="N107" s="9" t="n">
        <f aca="false">IF(B107="",0,IF(COUNTIF(Dashboard!$C$13:$C$22,B107)&gt;0,1,0))</f>
        <v>0</v>
      </c>
    </row>
    <row r="108" customFormat="false" ht="15" hidden="false" customHeight="false" outlineLevel="0" collapsed="false">
      <c r="A108" s="13"/>
      <c r="B108" s="13"/>
      <c r="C108" s="13"/>
      <c r="D108" s="13"/>
      <c r="E108" s="10"/>
      <c r="F108" s="46"/>
      <c r="G108" s="47"/>
      <c r="H108" s="9" t="str">
        <f aca="false">IF(OR(G108="",A108=""),"",IF(NOT(ISNUMBER(F108)),"NO DATE",IF(D108="Backlog",IF(F108&gt;Settings!$B$5,"Backlog","Delivered"),IF(F108&gt;Settings!$B$5,"Pipeline","Overdue"))))</f>
        <v/>
      </c>
      <c r="I108" s="17" t="n">
        <f aca="false">IF(H108="",0,N(G108)*IF(D108="Backlog",1,N(E108)))</f>
        <v>0</v>
      </c>
      <c r="J108" s="48" t="str">
        <f aca="false">IF(OR(H108="",H108="NO DATE"),"",IF(H108="Overdue",IF(Settings!$B$8="Yes",Settings!$B$7,""),DATE(YEAR(F108),MONTH(F108),1)))</f>
        <v/>
      </c>
      <c r="K108" s="17" t="n">
        <f aca="false">IF(AND(OR(H108="Backlog",H108="Pipeline",H108="Overdue"),ISNUMBER(J108)),IF(J108&lt;=Settings!$B$6,I108,0),0)</f>
        <v>0</v>
      </c>
      <c r="L108" s="17" t="n">
        <f aca="false">IF(AND(OR(H108="Backlog",H108="Pipeline",H108="Overdue"),ISNUMBER(J108)),IF(J108&lt;=Settings!$B$6,N(G108),0),0)</f>
        <v>0</v>
      </c>
      <c r="M108" s="17" t="n">
        <f aca="false">IF(L108=0,0,IF(H108="Backlog",N(G108),N(G108)*Dashboard!$C$10))</f>
        <v>0</v>
      </c>
      <c r="N108" s="9" t="n">
        <f aca="false">IF(B108="",0,IF(COUNTIF(Dashboard!$C$13:$C$22,B108)&gt;0,1,0))</f>
        <v>0</v>
      </c>
    </row>
    <row r="109" customFormat="false" ht="15" hidden="false" customHeight="false" outlineLevel="0" collapsed="false">
      <c r="A109" s="13"/>
      <c r="B109" s="13"/>
      <c r="C109" s="13"/>
      <c r="D109" s="13"/>
      <c r="E109" s="10"/>
      <c r="F109" s="46"/>
      <c r="G109" s="47"/>
      <c r="H109" s="9" t="str">
        <f aca="false">IF(OR(G109="",A109=""),"",IF(NOT(ISNUMBER(F109)),"NO DATE",IF(D109="Backlog",IF(F109&gt;Settings!$B$5,"Backlog","Delivered"),IF(F109&gt;Settings!$B$5,"Pipeline","Overdue"))))</f>
        <v/>
      </c>
      <c r="I109" s="17" t="n">
        <f aca="false">IF(H109="",0,N(G109)*IF(D109="Backlog",1,N(E109)))</f>
        <v>0</v>
      </c>
      <c r="J109" s="48" t="str">
        <f aca="false">IF(OR(H109="",H109="NO DATE"),"",IF(H109="Overdue",IF(Settings!$B$8="Yes",Settings!$B$7,""),DATE(YEAR(F109),MONTH(F109),1)))</f>
        <v/>
      </c>
      <c r="K109" s="17" t="n">
        <f aca="false">IF(AND(OR(H109="Backlog",H109="Pipeline",H109="Overdue"),ISNUMBER(J109)),IF(J109&lt;=Settings!$B$6,I109,0),0)</f>
        <v>0</v>
      </c>
      <c r="L109" s="17" t="n">
        <f aca="false">IF(AND(OR(H109="Backlog",H109="Pipeline",H109="Overdue"),ISNUMBER(J109)),IF(J109&lt;=Settings!$B$6,N(G109),0),0)</f>
        <v>0</v>
      </c>
      <c r="M109" s="17" t="n">
        <f aca="false">IF(L109=0,0,IF(H109="Backlog",N(G109),N(G109)*Dashboard!$C$10))</f>
        <v>0</v>
      </c>
      <c r="N109" s="9" t="n">
        <f aca="false">IF(B109="",0,IF(COUNTIF(Dashboard!$C$13:$C$22,B109)&gt;0,1,0))</f>
        <v>0</v>
      </c>
    </row>
    <row r="110" customFormat="false" ht="15" hidden="false" customHeight="false" outlineLevel="0" collapsed="false">
      <c r="A110" s="13"/>
      <c r="B110" s="13"/>
      <c r="C110" s="13"/>
      <c r="D110" s="13"/>
      <c r="E110" s="10"/>
      <c r="F110" s="46"/>
      <c r="G110" s="47"/>
      <c r="H110" s="9" t="str">
        <f aca="false">IF(OR(G110="",A110=""),"",IF(NOT(ISNUMBER(F110)),"NO DATE",IF(D110="Backlog",IF(F110&gt;Settings!$B$5,"Backlog","Delivered"),IF(F110&gt;Settings!$B$5,"Pipeline","Overdue"))))</f>
        <v/>
      </c>
      <c r="I110" s="17" t="n">
        <f aca="false">IF(H110="",0,N(G110)*IF(D110="Backlog",1,N(E110)))</f>
        <v>0</v>
      </c>
      <c r="J110" s="48" t="str">
        <f aca="false">IF(OR(H110="",H110="NO DATE"),"",IF(H110="Overdue",IF(Settings!$B$8="Yes",Settings!$B$7,""),DATE(YEAR(F110),MONTH(F110),1)))</f>
        <v/>
      </c>
      <c r="K110" s="17" t="n">
        <f aca="false">IF(AND(OR(H110="Backlog",H110="Pipeline",H110="Overdue"),ISNUMBER(J110)),IF(J110&lt;=Settings!$B$6,I110,0),0)</f>
        <v>0</v>
      </c>
      <c r="L110" s="17" t="n">
        <f aca="false">IF(AND(OR(H110="Backlog",H110="Pipeline",H110="Overdue"),ISNUMBER(J110)),IF(J110&lt;=Settings!$B$6,N(G110),0),0)</f>
        <v>0</v>
      </c>
      <c r="M110" s="17" t="n">
        <f aca="false">IF(L110=0,0,IF(H110="Backlog",N(G110),N(G110)*Dashboard!$C$10))</f>
        <v>0</v>
      </c>
      <c r="N110" s="9" t="n">
        <f aca="false">IF(B110="",0,IF(COUNTIF(Dashboard!$C$13:$C$22,B110)&gt;0,1,0))</f>
        <v>0</v>
      </c>
    </row>
    <row r="111" customFormat="false" ht="15" hidden="false" customHeight="false" outlineLevel="0" collapsed="false">
      <c r="A111" s="13"/>
      <c r="B111" s="13"/>
      <c r="C111" s="13"/>
      <c r="D111" s="13"/>
      <c r="E111" s="10"/>
      <c r="F111" s="46"/>
      <c r="G111" s="47"/>
      <c r="H111" s="9" t="str">
        <f aca="false">IF(OR(G111="",A111=""),"",IF(NOT(ISNUMBER(F111)),"NO DATE",IF(D111="Backlog",IF(F111&gt;Settings!$B$5,"Backlog","Delivered"),IF(F111&gt;Settings!$B$5,"Pipeline","Overdue"))))</f>
        <v/>
      </c>
      <c r="I111" s="17" t="n">
        <f aca="false">IF(H111="",0,N(G111)*IF(D111="Backlog",1,N(E111)))</f>
        <v>0</v>
      </c>
      <c r="J111" s="48" t="str">
        <f aca="false">IF(OR(H111="",H111="NO DATE"),"",IF(H111="Overdue",IF(Settings!$B$8="Yes",Settings!$B$7,""),DATE(YEAR(F111),MONTH(F111),1)))</f>
        <v/>
      </c>
      <c r="K111" s="17" t="n">
        <f aca="false">IF(AND(OR(H111="Backlog",H111="Pipeline",H111="Overdue"),ISNUMBER(J111)),IF(J111&lt;=Settings!$B$6,I111,0),0)</f>
        <v>0</v>
      </c>
      <c r="L111" s="17" t="n">
        <f aca="false">IF(AND(OR(H111="Backlog",H111="Pipeline",H111="Overdue"),ISNUMBER(J111)),IF(J111&lt;=Settings!$B$6,N(G111),0),0)</f>
        <v>0</v>
      </c>
      <c r="M111" s="17" t="n">
        <f aca="false">IF(L111=0,0,IF(H111="Backlog",N(G111),N(G111)*Dashboard!$C$10))</f>
        <v>0</v>
      </c>
      <c r="N111" s="9" t="n">
        <f aca="false">IF(B111="",0,IF(COUNTIF(Dashboard!$C$13:$C$22,B111)&gt;0,1,0))</f>
        <v>0</v>
      </c>
    </row>
    <row r="112" customFormat="false" ht="15" hidden="false" customHeight="false" outlineLevel="0" collapsed="false">
      <c r="A112" s="13"/>
      <c r="B112" s="13"/>
      <c r="C112" s="13"/>
      <c r="D112" s="13"/>
      <c r="E112" s="10"/>
      <c r="F112" s="46"/>
      <c r="G112" s="47"/>
      <c r="H112" s="9" t="str">
        <f aca="false">IF(OR(G112="",A112=""),"",IF(NOT(ISNUMBER(F112)),"NO DATE",IF(D112="Backlog",IF(F112&gt;Settings!$B$5,"Backlog","Delivered"),IF(F112&gt;Settings!$B$5,"Pipeline","Overdue"))))</f>
        <v/>
      </c>
      <c r="I112" s="17" t="n">
        <f aca="false">IF(H112="",0,N(G112)*IF(D112="Backlog",1,N(E112)))</f>
        <v>0</v>
      </c>
      <c r="J112" s="48" t="str">
        <f aca="false">IF(OR(H112="",H112="NO DATE"),"",IF(H112="Overdue",IF(Settings!$B$8="Yes",Settings!$B$7,""),DATE(YEAR(F112),MONTH(F112),1)))</f>
        <v/>
      </c>
      <c r="K112" s="17" t="n">
        <f aca="false">IF(AND(OR(H112="Backlog",H112="Pipeline",H112="Overdue"),ISNUMBER(J112)),IF(J112&lt;=Settings!$B$6,I112,0),0)</f>
        <v>0</v>
      </c>
      <c r="L112" s="17" t="n">
        <f aca="false">IF(AND(OR(H112="Backlog",H112="Pipeline",H112="Overdue"),ISNUMBER(J112)),IF(J112&lt;=Settings!$B$6,N(G112),0),0)</f>
        <v>0</v>
      </c>
      <c r="M112" s="17" t="n">
        <f aca="false">IF(L112=0,0,IF(H112="Backlog",N(G112),N(G112)*Dashboard!$C$10))</f>
        <v>0</v>
      </c>
      <c r="N112" s="9" t="n">
        <f aca="false">IF(B112="",0,IF(COUNTIF(Dashboard!$C$13:$C$22,B112)&gt;0,1,0))</f>
        <v>0</v>
      </c>
    </row>
    <row r="113" customFormat="false" ht="15" hidden="false" customHeight="false" outlineLevel="0" collapsed="false">
      <c r="A113" s="13"/>
      <c r="B113" s="13"/>
      <c r="C113" s="13"/>
      <c r="D113" s="13"/>
      <c r="E113" s="10"/>
      <c r="F113" s="46"/>
      <c r="G113" s="47"/>
      <c r="H113" s="9" t="str">
        <f aca="false">IF(OR(G113="",A113=""),"",IF(NOT(ISNUMBER(F113)),"NO DATE",IF(D113="Backlog",IF(F113&gt;Settings!$B$5,"Backlog","Delivered"),IF(F113&gt;Settings!$B$5,"Pipeline","Overdue"))))</f>
        <v/>
      </c>
      <c r="I113" s="17" t="n">
        <f aca="false">IF(H113="",0,N(G113)*IF(D113="Backlog",1,N(E113)))</f>
        <v>0</v>
      </c>
      <c r="J113" s="48" t="str">
        <f aca="false">IF(OR(H113="",H113="NO DATE"),"",IF(H113="Overdue",IF(Settings!$B$8="Yes",Settings!$B$7,""),DATE(YEAR(F113),MONTH(F113),1)))</f>
        <v/>
      </c>
      <c r="K113" s="17" t="n">
        <f aca="false">IF(AND(OR(H113="Backlog",H113="Pipeline",H113="Overdue"),ISNUMBER(J113)),IF(J113&lt;=Settings!$B$6,I113,0),0)</f>
        <v>0</v>
      </c>
      <c r="L113" s="17" t="n">
        <f aca="false">IF(AND(OR(H113="Backlog",H113="Pipeline",H113="Overdue"),ISNUMBER(J113)),IF(J113&lt;=Settings!$B$6,N(G113),0),0)</f>
        <v>0</v>
      </c>
      <c r="M113" s="17" t="n">
        <f aca="false">IF(L113=0,0,IF(H113="Backlog",N(G113),N(G113)*Dashboard!$C$10))</f>
        <v>0</v>
      </c>
      <c r="N113" s="9" t="n">
        <f aca="false">IF(B113="",0,IF(COUNTIF(Dashboard!$C$13:$C$22,B113)&gt;0,1,0))</f>
        <v>0</v>
      </c>
    </row>
    <row r="114" customFormat="false" ht="15" hidden="false" customHeight="false" outlineLevel="0" collapsed="false">
      <c r="A114" s="13"/>
      <c r="B114" s="13"/>
      <c r="C114" s="13"/>
      <c r="D114" s="13"/>
      <c r="E114" s="10"/>
      <c r="F114" s="46"/>
      <c r="G114" s="47"/>
      <c r="H114" s="9" t="str">
        <f aca="false">IF(OR(G114="",A114=""),"",IF(NOT(ISNUMBER(F114)),"NO DATE",IF(D114="Backlog",IF(F114&gt;Settings!$B$5,"Backlog","Delivered"),IF(F114&gt;Settings!$B$5,"Pipeline","Overdue"))))</f>
        <v/>
      </c>
      <c r="I114" s="17" t="n">
        <f aca="false">IF(H114="",0,N(G114)*IF(D114="Backlog",1,N(E114)))</f>
        <v>0</v>
      </c>
      <c r="J114" s="48" t="str">
        <f aca="false">IF(OR(H114="",H114="NO DATE"),"",IF(H114="Overdue",IF(Settings!$B$8="Yes",Settings!$B$7,""),DATE(YEAR(F114),MONTH(F114),1)))</f>
        <v/>
      </c>
      <c r="K114" s="17" t="n">
        <f aca="false">IF(AND(OR(H114="Backlog",H114="Pipeline",H114="Overdue"),ISNUMBER(J114)),IF(J114&lt;=Settings!$B$6,I114,0),0)</f>
        <v>0</v>
      </c>
      <c r="L114" s="17" t="n">
        <f aca="false">IF(AND(OR(H114="Backlog",H114="Pipeline",H114="Overdue"),ISNUMBER(J114)),IF(J114&lt;=Settings!$B$6,N(G114),0),0)</f>
        <v>0</v>
      </c>
      <c r="M114" s="17" t="n">
        <f aca="false">IF(L114=0,0,IF(H114="Backlog",N(G114),N(G114)*Dashboard!$C$10))</f>
        <v>0</v>
      </c>
      <c r="N114" s="9" t="n">
        <f aca="false">IF(B114="",0,IF(COUNTIF(Dashboard!$C$13:$C$22,B114)&gt;0,1,0))</f>
        <v>0</v>
      </c>
    </row>
    <row r="115" customFormat="false" ht="15" hidden="false" customHeight="false" outlineLevel="0" collapsed="false">
      <c r="A115" s="13"/>
      <c r="B115" s="13"/>
      <c r="C115" s="13"/>
      <c r="D115" s="13"/>
      <c r="E115" s="10"/>
      <c r="F115" s="46"/>
      <c r="G115" s="47"/>
      <c r="H115" s="9" t="str">
        <f aca="false">IF(OR(G115="",A115=""),"",IF(NOT(ISNUMBER(F115)),"NO DATE",IF(D115="Backlog",IF(F115&gt;Settings!$B$5,"Backlog","Delivered"),IF(F115&gt;Settings!$B$5,"Pipeline","Overdue"))))</f>
        <v/>
      </c>
      <c r="I115" s="17" t="n">
        <f aca="false">IF(H115="",0,N(G115)*IF(D115="Backlog",1,N(E115)))</f>
        <v>0</v>
      </c>
      <c r="J115" s="48" t="str">
        <f aca="false">IF(OR(H115="",H115="NO DATE"),"",IF(H115="Overdue",IF(Settings!$B$8="Yes",Settings!$B$7,""),DATE(YEAR(F115),MONTH(F115),1)))</f>
        <v/>
      </c>
      <c r="K115" s="17" t="n">
        <f aca="false">IF(AND(OR(H115="Backlog",H115="Pipeline",H115="Overdue"),ISNUMBER(J115)),IF(J115&lt;=Settings!$B$6,I115,0),0)</f>
        <v>0</v>
      </c>
      <c r="L115" s="17" t="n">
        <f aca="false">IF(AND(OR(H115="Backlog",H115="Pipeline",H115="Overdue"),ISNUMBER(J115)),IF(J115&lt;=Settings!$B$6,N(G115),0),0)</f>
        <v>0</v>
      </c>
      <c r="M115" s="17" t="n">
        <f aca="false">IF(L115=0,0,IF(H115="Backlog",N(G115),N(G115)*Dashboard!$C$10))</f>
        <v>0</v>
      </c>
      <c r="N115" s="9" t="n">
        <f aca="false">IF(B115="",0,IF(COUNTIF(Dashboard!$C$13:$C$22,B115)&gt;0,1,0))</f>
        <v>0</v>
      </c>
    </row>
    <row r="116" customFormat="false" ht="15" hidden="false" customHeight="false" outlineLevel="0" collapsed="false">
      <c r="A116" s="13"/>
      <c r="B116" s="13"/>
      <c r="C116" s="13"/>
      <c r="D116" s="13"/>
      <c r="E116" s="10"/>
      <c r="F116" s="46"/>
      <c r="G116" s="47"/>
      <c r="H116" s="9" t="str">
        <f aca="false">IF(OR(G116="",A116=""),"",IF(NOT(ISNUMBER(F116)),"NO DATE",IF(D116="Backlog",IF(F116&gt;Settings!$B$5,"Backlog","Delivered"),IF(F116&gt;Settings!$B$5,"Pipeline","Overdue"))))</f>
        <v/>
      </c>
      <c r="I116" s="17" t="n">
        <f aca="false">IF(H116="",0,N(G116)*IF(D116="Backlog",1,N(E116)))</f>
        <v>0</v>
      </c>
      <c r="J116" s="48" t="str">
        <f aca="false">IF(OR(H116="",H116="NO DATE"),"",IF(H116="Overdue",IF(Settings!$B$8="Yes",Settings!$B$7,""),DATE(YEAR(F116),MONTH(F116),1)))</f>
        <v/>
      </c>
      <c r="K116" s="17" t="n">
        <f aca="false">IF(AND(OR(H116="Backlog",H116="Pipeline",H116="Overdue"),ISNUMBER(J116)),IF(J116&lt;=Settings!$B$6,I116,0),0)</f>
        <v>0</v>
      </c>
      <c r="L116" s="17" t="n">
        <f aca="false">IF(AND(OR(H116="Backlog",H116="Pipeline",H116="Overdue"),ISNUMBER(J116)),IF(J116&lt;=Settings!$B$6,N(G116),0),0)</f>
        <v>0</v>
      </c>
      <c r="M116" s="17" t="n">
        <f aca="false">IF(L116=0,0,IF(H116="Backlog",N(G116),N(G116)*Dashboard!$C$10))</f>
        <v>0</v>
      </c>
      <c r="N116" s="9" t="n">
        <f aca="false">IF(B116="",0,IF(COUNTIF(Dashboard!$C$13:$C$22,B116)&gt;0,1,0))</f>
        <v>0</v>
      </c>
    </row>
    <row r="117" customFormat="false" ht="15" hidden="false" customHeight="false" outlineLevel="0" collapsed="false">
      <c r="A117" s="13"/>
      <c r="B117" s="13"/>
      <c r="C117" s="13"/>
      <c r="D117" s="13"/>
      <c r="E117" s="10"/>
      <c r="F117" s="46"/>
      <c r="G117" s="47"/>
      <c r="H117" s="9" t="str">
        <f aca="false">IF(OR(G117="",A117=""),"",IF(NOT(ISNUMBER(F117)),"NO DATE",IF(D117="Backlog",IF(F117&gt;Settings!$B$5,"Backlog","Delivered"),IF(F117&gt;Settings!$B$5,"Pipeline","Overdue"))))</f>
        <v/>
      </c>
      <c r="I117" s="17" t="n">
        <f aca="false">IF(H117="",0,N(G117)*IF(D117="Backlog",1,N(E117)))</f>
        <v>0</v>
      </c>
      <c r="J117" s="48" t="str">
        <f aca="false">IF(OR(H117="",H117="NO DATE"),"",IF(H117="Overdue",IF(Settings!$B$8="Yes",Settings!$B$7,""),DATE(YEAR(F117),MONTH(F117),1)))</f>
        <v/>
      </c>
      <c r="K117" s="17" t="n">
        <f aca="false">IF(AND(OR(H117="Backlog",H117="Pipeline",H117="Overdue"),ISNUMBER(J117)),IF(J117&lt;=Settings!$B$6,I117,0),0)</f>
        <v>0</v>
      </c>
      <c r="L117" s="17" t="n">
        <f aca="false">IF(AND(OR(H117="Backlog",H117="Pipeline",H117="Overdue"),ISNUMBER(J117)),IF(J117&lt;=Settings!$B$6,N(G117),0),0)</f>
        <v>0</v>
      </c>
      <c r="M117" s="17" t="n">
        <f aca="false">IF(L117=0,0,IF(H117="Backlog",N(G117),N(G117)*Dashboard!$C$10))</f>
        <v>0</v>
      </c>
      <c r="N117" s="9" t="n">
        <f aca="false">IF(B117="",0,IF(COUNTIF(Dashboard!$C$13:$C$22,B117)&gt;0,1,0))</f>
        <v>0</v>
      </c>
    </row>
    <row r="118" customFormat="false" ht="15" hidden="false" customHeight="false" outlineLevel="0" collapsed="false">
      <c r="A118" s="13"/>
      <c r="B118" s="13"/>
      <c r="C118" s="13"/>
      <c r="D118" s="13"/>
      <c r="E118" s="10"/>
      <c r="F118" s="46"/>
      <c r="G118" s="47"/>
      <c r="H118" s="9" t="str">
        <f aca="false">IF(OR(G118="",A118=""),"",IF(NOT(ISNUMBER(F118)),"NO DATE",IF(D118="Backlog",IF(F118&gt;Settings!$B$5,"Backlog","Delivered"),IF(F118&gt;Settings!$B$5,"Pipeline","Overdue"))))</f>
        <v/>
      </c>
      <c r="I118" s="17" t="n">
        <f aca="false">IF(H118="",0,N(G118)*IF(D118="Backlog",1,N(E118)))</f>
        <v>0</v>
      </c>
      <c r="J118" s="48" t="str">
        <f aca="false">IF(OR(H118="",H118="NO DATE"),"",IF(H118="Overdue",IF(Settings!$B$8="Yes",Settings!$B$7,""),DATE(YEAR(F118),MONTH(F118),1)))</f>
        <v/>
      </c>
      <c r="K118" s="17" t="n">
        <f aca="false">IF(AND(OR(H118="Backlog",H118="Pipeline",H118="Overdue"),ISNUMBER(J118)),IF(J118&lt;=Settings!$B$6,I118,0),0)</f>
        <v>0</v>
      </c>
      <c r="L118" s="17" t="n">
        <f aca="false">IF(AND(OR(H118="Backlog",H118="Pipeline",H118="Overdue"),ISNUMBER(J118)),IF(J118&lt;=Settings!$B$6,N(G118),0),0)</f>
        <v>0</v>
      </c>
      <c r="M118" s="17" t="n">
        <f aca="false">IF(L118=0,0,IF(H118="Backlog",N(G118),N(G118)*Dashboard!$C$10))</f>
        <v>0</v>
      </c>
      <c r="N118" s="9" t="n">
        <f aca="false">IF(B118="",0,IF(COUNTIF(Dashboard!$C$13:$C$22,B118)&gt;0,1,0))</f>
        <v>0</v>
      </c>
    </row>
    <row r="119" customFormat="false" ht="15" hidden="false" customHeight="false" outlineLevel="0" collapsed="false">
      <c r="A119" s="13"/>
      <c r="B119" s="13"/>
      <c r="C119" s="13"/>
      <c r="D119" s="13"/>
      <c r="E119" s="10"/>
      <c r="F119" s="46"/>
      <c r="G119" s="47"/>
      <c r="H119" s="9" t="str">
        <f aca="false">IF(OR(G119="",A119=""),"",IF(NOT(ISNUMBER(F119)),"NO DATE",IF(D119="Backlog",IF(F119&gt;Settings!$B$5,"Backlog","Delivered"),IF(F119&gt;Settings!$B$5,"Pipeline","Overdue"))))</f>
        <v/>
      </c>
      <c r="I119" s="17" t="n">
        <f aca="false">IF(H119="",0,N(G119)*IF(D119="Backlog",1,N(E119)))</f>
        <v>0</v>
      </c>
      <c r="J119" s="48" t="str">
        <f aca="false">IF(OR(H119="",H119="NO DATE"),"",IF(H119="Overdue",IF(Settings!$B$8="Yes",Settings!$B$7,""),DATE(YEAR(F119),MONTH(F119),1)))</f>
        <v/>
      </c>
      <c r="K119" s="17" t="n">
        <f aca="false">IF(AND(OR(H119="Backlog",H119="Pipeline",H119="Overdue"),ISNUMBER(J119)),IF(J119&lt;=Settings!$B$6,I119,0),0)</f>
        <v>0</v>
      </c>
      <c r="L119" s="17" t="n">
        <f aca="false">IF(AND(OR(H119="Backlog",H119="Pipeline",H119="Overdue"),ISNUMBER(J119)),IF(J119&lt;=Settings!$B$6,N(G119),0),0)</f>
        <v>0</v>
      </c>
      <c r="M119" s="17" t="n">
        <f aca="false">IF(L119=0,0,IF(H119="Backlog",N(G119),N(G119)*Dashboard!$C$10))</f>
        <v>0</v>
      </c>
      <c r="N119" s="9" t="n">
        <f aca="false">IF(B119="",0,IF(COUNTIF(Dashboard!$C$13:$C$22,B119)&gt;0,1,0))</f>
        <v>0</v>
      </c>
    </row>
    <row r="120" customFormat="false" ht="15" hidden="false" customHeight="false" outlineLevel="0" collapsed="false">
      <c r="A120" s="13"/>
      <c r="B120" s="13"/>
      <c r="C120" s="13"/>
      <c r="D120" s="13"/>
      <c r="E120" s="10"/>
      <c r="F120" s="46"/>
      <c r="G120" s="47"/>
      <c r="H120" s="9" t="str">
        <f aca="false">IF(OR(G120="",A120=""),"",IF(NOT(ISNUMBER(F120)),"NO DATE",IF(D120="Backlog",IF(F120&gt;Settings!$B$5,"Backlog","Delivered"),IF(F120&gt;Settings!$B$5,"Pipeline","Overdue"))))</f>
        <v/>
      </c>
      <c r="I120" s="17" t="n">
        <f aca="false">IF(H120="",0,N(G120)*IF(D120="Backlog",1,N(E120)))</f>
        <v>0</v>
      </c>
      <c r="J120" s="48" t="str">
        <f aca="false">IF(OR(H120="",H120="NO DATE"),"",IF(H120="Overdue",IF(Settings!$B$8="Yes",Settings!$B$7,""),DATE(YEAR(F120),MONTH(F120),1)))</f>
        <v/>
      </c>
      <c r="K120" s="17" t="n">
        <f aca="false">IF(AND(OR(H120="Backlog",H120="Pipeline",H120="Overdue"),ISNUMBER(J120)),IF(J120&lt;=Settings!$B$6,I120,0),0)</f>
        <v>0</v>
      </c>
      <c r="L120" s="17" t="n">
        <f aca="false">IF(AND(OR(H120="Backlog",H120="Pipeline",H120="Overdue"),ISNUMBER(J120)),IF(J120&lt;=Settings!$B$6,N(G120),0),0)</f>
        <v>0</v>
      </c>
      <c r="M120" s="17" t="n">
        <f aca="false">IF(L120=0,0,IF(H120="Backlog",N(G120),N(G120)*Dashboard!$C$10))</f>
        <v>0</v>
      </c>
      <c r="N120" s="9" t="n">
        <f aca="false">IF(B120="",0,IF(COUNTIF(Dashboard!$C$13:$C$22,B120)&gt;0,1,0))</f>
        <v>0</v>
      </c>
    </row>
    <row r="121" customFormat="false" ht="15" hidden="false" customHeight="false" outlineLevel="0" collapsed="false">
      <c r="A121" s="13"/>
      <c r="B121" s="13"/>
      <c r="C121" s="13"/>
      <c r="D121" s="13"/>
      <c r="E121" s="10"/>
      <c r="F121" s="46"/>
      <c r="G121" s="47"/>
      <c r="H121" s="9" t="str">
        <f aca="false">IF(OR(G121="",A121=""),"",IF(NOT(ISNUMBER(F121)),"NO DATE",IF(D121="Backlog",IF(F121&gt;Settings!$B$5,"Backlog","Delivered"),IF(F121&gt;Settings!$B$5,"Pipeline","Overdue"))))</f>
        <v/>
      </c>
      <c r="I121" s="17" t="n">
        <f aca="false">IF(H121="",0,N(G121)*IF(D121="Backlog",1,N(E121)))</f>
        <v>0</v>
      </c>
      <c r="J121" s="48" t="str">
        <f aca="false">IF(OR(H121="",H121="NO DATE"),"",IF(H121="Overdue",IF(Settings!$B$8="Yes",Settings!$B$7,""),DATE(YEAR(F121),MONTH(F121),1)))</f>
        <v/>
      </c>
      <c r="K121" s="17" t="n">
        <f aca="false">IF(AND(OR(H121="Backlog",H121="Pipeline",H121="Overdue"),ISNUMBER(J121)),IF(J121&lt;=Settings!$B$6,I121,0),0)</f>
        <v>0</v>
      </c>
      <c r="L121" s="17" t="n">
        <f aca="false">IF(AND(OR(H121="Backlog",H121="Pipeline",H121="Overdue"),ISNUMBER(J121)),IF(J121&lt;=Settings!$B$6,N(G121),0),0)</f>
        <v>0</v>
      </c>
      <c r="M121" s="17" t="n">
        <f aca="false">IF(L121=0,0,IF(H121="Backlog",N(G121),N(G121)*Dashboard!$C$10))</f>
        <v>0</v>
      </c>
      <c r="N121" s="9" t="n">
        <f aca="false">IF(B121="",0,IF(COUNTIF(Dashboard!$C$13:$C$22,B121)&gt;0,1,0))</f>
        <v>0</v>
      </c>
    </row>
    <row r="122" customFormat="false" ht="15" hidden="false" customHeight="false" outlineLevel="0" collapsed="false">
      <c r="A122" s="13"/>
      <c r="B122" s="13"/>
      <c r="C122" s="13"/>
      <c r="D122" s="13"/>
      <c r="E122" s="10"/>
      <c r="F122" s="46"/>
      <c r="G122" s="47"/>
      <c r="H122" s="9" t="str">
        <f aca="false">IF(OR(G122="",A122=""),"",IF(NOT(ISNUMBER(F122)),"NO DATE",IF(D122="Backlog",IF(F122&gt;Settings!$B$5,"Backlog","Delivered"),IF(F122&gt;Settings!$B$5,"Pipeline","Overdue"))))</f>
        <v/>
      </c>
      <c r="I122" s="17" t="n">
        <f aca="false">IF(H122="",0,N(G122)*IF(D122="Backlog",1,N(E122)))</f>
        <v>0</v>
      </c>
      <c r="J122" s="48" t="str">
        <f aca="false">IF(OR(H122="",H122="NO DATE"),"",IF(H122="Overdue",IF(Settings!$B$8="Yes",Settings!$B$7,""),DATE(YEAR(F122),MONTH(F122),1)))</f>
        <v/>
      </c>
      <c r="K122" s="17" t="n">
        <f aca="false">IF(AND(OR(H122="Backlog",H122="Pipeline",H122="Overdue"),ISNUMBER(J122)),IF(J122&lt;=Settings!$B$6,I122,0),0)</f>
        <v>0</v>
      </c>
      <c r="L122" s="17" t="n">
        <f aca="false">IF(AND(OR(H122="Backlog",H122="Pipeline",H122="Overdue"),ISNUMBER(J122)),IF(J122&lt;=Settings!$B$6,N(G122),0),0)</f>
        <v>0</v>
      </c>
      <c r="M122" s="17" t="n">
        <f aca="false">IF(L122=0,0,IF(H122="Backlog",N(G122),N(G122)*Dashboard!$C$10))</f>
        <v>0</v>
      </c>
      <c r="N122" s="9" t="n">
        <f aca="false">IF(B122="",0,IF(COUNTIF(Dashboard!$C$13:$C$22,B122)&gt;0,1,0))</f>
        <v>0</v>
      </c>
    </row>
    <row r="123" customFormat="false" ht="15" hidden="false" customHeight="false" outlineLevel="0" collapsed="false">
      <c r="A123" s="13"/>
      <c r="B123" s="13"/>
      <c r="C123" s="13"/>
      <c r="D123" s="13"/>
      <c r="E123" s="10"/>
      <c r="F123" s="46"/>
      <c r="G123" s="47"/>
      <c r="H123" s="9" t="str">
        <f aca="false">IF(OR(G123="",A123=""),"",IF(NOT(ISNUMBER(F123)),"NO DATE",IF(D123="Backlog",IF(F123&gt;Settings!$B$5,"Backlog","Delivered"),IF(F123&gt;Settings!$B$5,"Pipeline","Overdue"))))</f>
        <v/>
      </c>
      <c r="I123" s="17" t="n">
        <f aca="false">IF(H123="",0,N(G123)*IF(D123="Backlog",1,N(E123)))</f>
        <v>0</v>
      </c>
      <c r="J123" s="48" t="str">
        <f aca="false">IF(OR(H123="",H123="NO DATE"),"",IF(H123="Overdue",IF(Settings!$B$8="Yes",Settings!$B$7,""),DATE(YEAR(F123),MONTH(F123),1)))</f>
        <v/>
      </c>
      <c r="K123" s="17" t="n">
        <f aca="false">IF(AND(OR(H123="Backlog",H123="Pipeline",H123="Overdue"),ISNUMBER(J123)),IF(J123&lt;=Settings!$B$6,I123,0),0)</f>
        <v>0</v>
      </c>
      <c r="L123" s="17" t="n">
        <f aca="false">IF(AND(OR(H123="Backlog",H123="Pipeline",H123="Overdue"),ISNUMBER(J123)),IF(J123&lt;=Settings!$B$6,N(G123),0),0)</f>
        <v>0</v>
      </c>
      <c r="M123" s="17" t="n">
        <f aca="false">IF(L123=0,0,IF(H123="Backlog",N(G123),N(G123)*Dashboard!$C$10))</f>
        <v>0</v>
      </c>
      <c r="N123" s="9" t="n">
        <f aca="false">IF(B123="",0,IF(COUNTIF(Dashboard!$C$13:$C$22,B123)&gt;0,1,0))</f>
        <v>0</v>
      </c>
    </row>
    <row r="124" customFormat="false" ht="15" hidden="false" customHeight="false" outlineLevel="0" collapsed="false">
      <c r="A124" s="13"/>
      <c r="B124" s="13"/>
      <c r="C124" s="13"/>
      <c r="D124" s="13"/>
      <c r="E124" s="10"/>
      <c r="F124" s="46"/>
      <c r="G124" s="47"/>
      <c r="H124" s="9" t="str">
        <f aca="false">IF(OR(G124="",A124=""),"",IF(NOT(ISNUMBER(F124)),"NO DATE",IF(D124="Backlog",IF(F124&gt;Settings!$B$5,"Backlog","Delivered"),IF(F124&gt;Settings!$B$5,"Pipeline","Overdue"))))</f>
        <v/>
      </c>
      <c r="I124" s="17" t="n">
        <f aca="false">IF(H124="",0,N(G124)*IF(D124="Backlog",1,N(E124)))</f>
        <v>0</v>
      </c>
      <c r="J124" s="48" t="str">
        <f aca="false">IF(OR(H124="",H124="NO DATE"),"",IF(H124="Overdue",IF(Settings!$B$8="Yes",Settings!$B$7,""),DATE(YEAR(F124),MONTH(F124),1)))</f>
        <v/>
      </c>
      <c r="K124" s="17" t="n">
        <f aca="false">IF(AND(OR(H124="Backlog",H124="Pipeline",H124="Overdue"),ISNUMBER(J124)),IF(J124&lt;=Settings!$B$6,I124,0),0)</f>
        <v>0</v>
      </c>
      <c r="L124" s="17" t="n">
        <f aca="false">IF(AND(OR(H124="Backlog",H124="Pipeline",H124="Overdue"),ISNUMBER(J124)),IF(J124&lt;=Settings!$B$6,N(G124),0),0)</f>
        <v>0</v>
      </c>
      <c r="M124" s="17" t="n">
        <f aca="false">IF(L124=0,0,IF(H124="Backlog",N(G124),N(G124)*Dashboard!$C$10))</f>
        <v>0</v>
      </c>
      <c r="N124" s="9" t="n">
        <f aca="false">IF(B124="",0,IF(COUNTIF(Dashboard!$C$13:$C$22,B124)&gt;0,1,0))</f>
        <v>0</v>
      </c>
    </row>
    <row r="125" customFormat="false" ht="15" hidden="false" customHeight="false" outlineLevel="0" collapsed="false">
      <c r="A125" s="13"/>
      <c r="B125" s="13"/>
      <c r="C125" s="13"/>
      <c r="D125" s="13"/>
      <c r="E125" s="10"/>
      <c r="F125" s="46"/>
      <c r="G125" s="47"/>
      <c r="H125" s="9" t="str">
        <f aca="false">IF(OR(G125="",A125=""),"",IF(NOT(ISNUMBER(F125)),"NO DATE",IF(D125="Backlog",IF(F125&gt;Settings!$B$5,"Backlog","Delivered"),IF(F125&gt;Settings!$B$5,"Pipeline","Overdue"))))</f>
        <v/>
      </c>
      <c r="I125" s="17" t="n">
        <f aca="false">IF(H125="",0,N(G125)*IF(D125="Backlog",1,N(E125)))</f>
        <v>0</v>
      </c>
      <c r="J125" s="48" t="str">
        <f aca="false">IF(OR(H125="",H125="NO DATE"),"",IF(H125="Overdue",IF(Settings!$B$8="Yes",Settings!$B$7,""),DATE(YEAR(F125),MONTH(F125),1)))</f>
        <v/>
      </c>
      <c r="K125" s="17" t="n">
        <f aca="false">IF(AND(OR(H125="Backlog",H125="Pipeline",H125="Overdue"),ISNUMBER(J125)),IF(J125&lt;=Settings!$B$6,I125,0),0)</f>
        <v>0</v>
      </c>
      <c r="L125" s="17" t="n">
        <f aca="false">IF(AND(OR(H125="Backlog",H125="Pipeline",H125="Overdue"),ISNUMBER(J125)),IF(J125&lt;=Settings!$B$6,N(G125),0),0)</f>
        <v>0</v>
      </c>
      <c r="M125" s="17" t="n">
        <f aca="false">IF(L125=0,0,IF(H125="Backlog",N(G125),N(G125)*Dashboard!$C$10))</f>
        <v>0</v>
      </c>
      <c r="N125" s="9" t="n">
        <f aca="false">IF(B125="",0,IF(COUNTIF(Dashboard!$C$13:$C$22,B125)&gt;0,1,0))</f>
        <v>0</v>
      </c>
    </row>
    <row r="126" customFormat="false" ht="15" hidden="false" customHeight="false" outlineLevel="0" collapsed="false">
      <c r="A126" s="13"/>
      <c r="B126" s="13"/>
      <c r="C126" s="13"/>
      <c r="D126" s="13"/>
      <c r="E126" s="10"/>
      <c r="F126" s="46"/>
      <c r="G126" s="47"/>
      <c r="H126" s="9" t="str">
        <f aca="false">IF(OR(G126="",A126=""),"",IF(NOT(ISNUMBER(F126)),"NO DATE",IF(D126="Backlog",IF(F126&gt;Settings!$B$5,"Backlog","Delivered"),IF(F126&gt;Settings!$B$5,"Pipeline","Overdue"))))</f>
        <v/>
      </c>
      <c r="I126" s="17" t="n">
        <f aca="false">IF(H126="",0,N(G126)*IF(D126="Backlog",1,N(E126)))</f>
        <v>0</v>
      </c>
      <c r="J126" s="48" t="str">
        <f aca="false">IF(OR(H126="",H126="NO DATE"),"",IF(H126="Overdue",IF(Settings!$B$8="Yes",Settings!$B$7,""),DATE(YEAR(F126),MONTH(F126),1)))</f>
        <v/>
      </c>
      <c r="K126" s="17" t="n">
        <f aca="false">IF(AND(OR(H126="Backlog",H126="Pipeline",H126="Overdue"),ISNUMBER(J126)),IF(J126&lt;=Settings!$B$6,I126,0),0)</f>
        <v>0</v>
      </c>
      <c r="L126" s="17" t="n">
        <f aca="false">IF(AND(OR(H126="Backlog",H126="Pipeline",H126="Overdue"),ISNUMBER(J126)),IF(J126&lt;=Settings!$B$6,N(G126),0),0)</f>
        <v>0</v>
      </c>
      <c r="M126" s="17" t="n">
        <f aca="false">IF(L126=0,0,IF(H126="Backlog",N(G126),N(G126)*Dashboard!$C$10))</f>
        <v>0</v>
      </c>
      <c r="N126" s="9" t="n">
        <f aca="false">IF(B126="",0,IF(COUNTIF(Dashboard!$C$13:$C$22,B126)&gt;0,1,0))</f>
        <v>0</v>
      </c>
    </row>
    <row r="127" customFormat="false" ht="15" hidden="false" customHeight="false" outlineLevel="0" collapsed="false">
      <c r="A127" s="13"/>
      <c r="B127" s="13"/>
      <c r="C127" s="13"/>
      <c r="D127" s="13"/>
      <c r="E127" s="10"/>
      <c r="F127" s="46"/>
      <c r="G127" s="47"/>
      <c r="H127" s="9" t="str">
        <f aca="false">IF(OR(G127="",A127=""),"",IF(NOT(ISNUMBER(F127)),"NO DATE",IF(D127="Backlog",IF(F127&gt;Settings!$B$5,"Backlog","Delivered"),IF(F127&gt;Settings!$B$5,"Pipeline","Overdue"))))</f>
        <v/>
      </c>
      <c r="I127" s="17" t="n">
        <f aca="false">IF(H127="",0,N(G127)*IF(D127="Backlog",1,N(E127)))</f>
        <v>0</v>
      </c>
      <c r="J127" s="48" t="str">
        <f aca="false">IF(OR(H127="",H127="NO DATE"),"",IF(H127="Overdue",IF(Settings!$B$8="Yes",Settings!$B$7,""),DATE(YEAR(F127),MONTH(F127),1)))</f>
        <v/>
      </c>
      <c r="K127" s="17" t="n">
        <f aca="false">IF(AND(OR(H127="Backlog",H127="Pipeline",H127="Overdue"),ISNUMBER(J127)),IF(J127&lt;=Settings!$B$6,I127,0),0)</f>
        <v>0</v>
      </c>
      <c r="L127" s="17" t="n">
        <f aca="false">IF(AND(OR(H127="Backlog",H127="Pipeline",H127="Overdue"),ISNUMBER(J127)),IF(J127&lt;=Settings!$B$6,N(G127),0),0)</f>
        <v>0</v>
      </c>
      <c r="M127" s="17" t="n">
        <f aca="false">IF(L127=0,0,IF(H127="Backlog",N(G127),N(G127)*Dashboard!$C$10))</f>
        <v>0</v>
      </c>
      <c r="N127" s="9" t="n">
        <f aca="false">IF(B127="",0,IF(COUNTIF(Dashboard!$C$13:$C$22,B127)&gt;0,1,0))</f>
        <v>0</v>
      </c>
    </row>
    <row r="128" customFormat="false" ht="15" hidden="false" customHeight="false" outlineLevel="0" collapsed="false">
      <c r="A128" s="13"/>
      <c r="B128" s="13"/>
      <c r="C128" s="13"/>
      <c r="D128" s="13"/>
      <c r="E128" s="10"/>
      <c r="F128" s="46"/>
      <c r="G128" s="47"/>
      <c r="H128" s="9" t="str">
        <f aca="false">IF(OR(G128="",A128=""),"",IF(NOT(ISNUMBER(F128)),"NO DATE",IF(D128="Backlog",IF(F128&gt;Settings!$B$5,"Backlog","Delivered"),IF(F128&gt;Settings!$B$5,"Pipeline","Overdue"))))</f>
        <v/>
      </c>
      <c r="I128" s="17" t="n">
        <f aca="false">IF(H128="",0,N(G128)*IF(D128="Backlog",1,N(E128)))</f>
        <v>0</v>
      </c>
      <c r="J128" s="48" t="str">
        <f aca="false">IF(OR(H128="",H128="NO DATE"),"",IF(H128="Overdue",IF(Settings!$B$8="Yes",Settings!$B$7,""),DATE(YEAR(F128),MONTH(F128),1)))</f>
        <v/>
      </c>
      <c r="K128" s="17" t="n">
        <f aca="false">IF(AND(OR(H128="Backlog",H128="Pipeline",H128="Overdue"),ISNUMBER(J128)),IF(J128&lt;=Settings!$B$6,I128,0),0)</f>
        <v>0</v>
      </c>
      <c r="L128" s="17" t="n">
        <f aca="false">IF(AND(OR(H128="Backlog",H128="Pipeline",H128="Overdue"),ISNUMBER(J128)),IF(J128&lt;=Settings!$B$6,N(G128),0),0)</f>
        <v>0</v>
      </c>
      <c r="M128" s="17" t="n">
        <f aca="false">IF(L128=0,0,IF(H128="Backlog",N(G128),N(G128)*Dashboard!$C$10))</f>
        <v>0</v>
      </c>
      <c r="N128" s="9" t="n">
        <f aca="false">IF(B128="",0,IF(COUNTIF(Dashboard!$C$13:$C$22,B128)&gt;0,1,0))</f>
        <v>0</v>
      </c>
    </row>
    <row r="129" customFormat="false" ht="15" hidden="false" customHeight="false" outlineLevel="0" collapsed="false">
      <c r="A129" s="13"/>
      <c r="B129" s="13"/>
      <c r="C129" s="13"/>
      <c r="D129" s="13"/>
      <c r="E129" s="10"/>
      <c r="F129" s="46"/>
      <c r="G129" s="47"/>
      <c r="H129" s="9" t="str">
        <f aca="false">IF(OR(G129="",A129=""),"",IF(NOT(ISNUMBER(F129)),"NO DATE",IF(D129="Backlog",IF(F129&gt;Settings!$B$5,"Backlog","Delivered"),IF(F129&gt;Settings!$B$5,"Pipeline","Overdue"))))</f>
        <v/>
      </c>
      <c r="I129" s="17" t="n">
        <f aca="false">IF(H129="",0,N(G129)*IF(D129="Backlog",1,N(E129)))</f>
        <v>0</v>
      </c>
      <c r="J129" s="48" t="str">
        <f aca="false">IF(OR(H129="",H129="NO DATE"),"",IF(H129="Overdue",IF(Settings!$B$8="Yes",Settings!$B$7,""),DATE(YEAR(F129),MONTH(F129),1)))</f>
        <v/>
      </c>
      <c r="K129" s="17" t="n">
        <f aca="false">IF(AND(OR(H129="Backlog",H129="Pipeline",H129="Overdue"),ISNUMBER(J129)),IF(J129&lt;=Settings!$B$6,I129,0),0)</f>
        <v>0</v>
      </c>
      <c r="L129" s="17" t="n">
        <f aca="false">IF(AND(OR(H129="Backlog",H129="Pipeline",H129="Overdue"),ISNUMBER(J129)),IF(J129&lt;=Settings!$B$6,N(G129),0),0)</f>
        <v>0</v>
      </c>
      <c r="M129" s="17" t="n">
        <f aca="false">IF(L129=0,0,IF(H129="Backlog",N(G129),N(G129)*Dashboard!$C$10))</f>
        <v>0</v>
      </c>
      <c r="N129" s="9" t="n">
        <f aca="false">IF(B129="",0,IF(COUNTIF(Dashboard!$C$13:$C$22,B129)&gt;0,1,0))</f>
        <v>0</v>
      </c>
    </row>
    <row r="130" customFormat="false" ht="15" hidden="false" customHeight="false" outlineLevel="0" collapsed="false">
      <c r="A130" s="13"/>
      <c r="B130" s="13"/>
      <c r="C130" s="13"/>
      <c r="D130" s="13"/>
      <c r="E130" s="10"/>
      <c r="F130" s="46"/>
      <c r="G130" s="47"/>
      <c r="H130" s="9" t="str">
        <f aca="false">IF(OR(G130="",A130=""),"",IF(NOT(ISNUMBER(F130)),"NO DATE",IF(D130="Backlog",IF(F130&gt;Settings!$B$5,"Backlog","Delivered"),IF(F130&gt;Settings!$B$5,"Pipeline","Overdue"))))</f>
        <v/>
      </c>
      <c r="I130" s="17" t="n">
        <f aca="false">IF(H130="",0,N(G130)*IF(D130="Backlog",1,N(E130)))</f>
        <v>0</v>
      </c>
      <c r="J130" s="48" t="str">
        <f aca="false">IF(OR(H130="",H130="NO DATE"),"",IF(H130="Overdue",IF(Settings!$B$8="Yes",Settings!$B$7,""),DATE(YEAR(F130),MONTH(F130),1)))</f>
        <v/>
      </c>
      <c r="K130" s="17" t="n">
        <f aca="false">IF(AND(OR(H130="Backlog",H130="Pipeline",H130="Overdue"),ISNUMBER(J130)),IF(J130&lt;=Settings!$B$6,I130,0),0)</f>
        <v>0</v>
      </c>
      <c r="L130" s="17" t="n">
        <f aca="false">IF(AND(OR(H130="Backlog",H130="Pipeline",H130="Overdue"),ISNUMBER(J130)),IF(J130&lt;=Settings!$B$6,N(G130),0),0)</f>
        <v>0</v>
      </c>
      <c r="M130" s="17" t="n">
        <f aca="false">IF(L130=0,0,IF(H130="Backlog",N(G130),N(G130)*Dashboard!$C$10))</f>
        <v>0</v>
      </c>
      <c r="N130" s="9" t="n">
        <f aca="false">IF(B130="",0,IF(COUNTIF(Dashboard!$C$13:$C$22,B130)&gt;0,1,0))</f>
        <v>0</v>
      </c>
    </row>
    <row r="131" customFormat="false" ht="15" hidden="false" customHeight="false" outlineLevel="0" collapsed="false">
      <c r="A131" s="13"/>
      <c r="B131" s="13"/>
      <c r="C131" s="13"/>
      <c r="D131" s="13"/>
      <c r="E131" s="10"/>
      <c r="F131" s="46"/>
      <c r="G131" s="47"/>
      <c r="H131" s="9" t="str">
        <f aca="false">IF(OR(G131="",A131=""),"",IF(NOT(ISNUMBER(F131)),"NO DATE",IF(D131="Backlog",IF(F131&gt;Settings!$B$5,"Backlog","Delivered"),IF(F131&gt;Settings!$B$5,"Pipeline","Overdue"))))</f>
        <v/>
      </c>
      <c r="I131" s="17" t="n">
        <f aca="false">IF(H131="",0,N(G131)*IF(D131="Backlog",1,N(E131)))</f>
        <v>0</v>
      </c>
      <c r="J131" s="48" t="str">
        <f aca="false">IF(OR(H131="",H131="NO DATE"),"",IF(H131="Overdue",IF(Settings!$B$8="Yes",Settings!$B$7,""),DATE(YEAR(F131),MONTH(F131),1)))</f>
        <v/>
      </c>
      <c r="K131" s="17" t="n">
        <f aca="false">IF(AND(OR(H131="Backlog",H131="Pipeline",H131="Overdue"),ISNUMBER(J131)),IF(J131&lt;=Settings!$B$6,I131,0),0)</f>
        <v>0</v>
      </c>
      <c r="L131" s="17" t="n">
        <f aca="false">IF(AND(OR(H131="Backlog",H131="Pipeline",H131="Overdue"),ISNUMBER(J131)),IF(J131&lt;=Settings!$B$6,N(G131),0),0)</f>
        <v>0</v>
      </c>
      <c r="M131" s="17" t="n">
        <f aca="false">IF(L131=0,0,IF(H131="Backlog",N(G131),N(G131)*Dashboard!$C$10))</f>
        <v>0</v>
      </c>
      <c r="N131" s="9" t="n">
        <f aca="false">IF(B131="",0,IF(COUNTIF(Dashboard!$C$13:$C$22,B131)&gt;0,1,0))</f>
        <v>0</v>
      </c>
    </row>
    <row r="132" customFormat="false" ht="15" hidden="false" customHeight="false" outlineLevel="0" collapsed="false">
      <c r="A132" s="13"/>
      <c r="B132" s="13"/>
      <c r="C132" s="13"/>
      <c r="D132" s="13"/>
      <c r="E132" s="10"/>
      <c r="F132" s="46"/>
      <c r="G132" s="47"/>
      <c r="H132" s="9" t="str">
        <f aca="false">IF(OR(G132="",A132=""),"",IF(NOT(ISNUMBER(F132)),"NO DATE",IF(D132="Backlog",IF(F132&gt;Settings!$B$5,"Backlog","Delivered"),IF(F132&gt;Settings!$B$5,"Pipeline","Overdue"))))</f>
        <v/>
      </c>
      <c r="I132" s="17" t="n">
        <f aca="false">IF(H132="",0,N(G132)*IF(D132="Backlog",1,N(E132)))</f>
        <v>0</v>
      </c>
      <c r="J132" s="48" t="str">
        <f aca="false">IF(OR(H132="",H132="NO DATE"),"",IF(H132="Overdue",IF(Settings!$B$8="Yes",Settings!$B$7,""),DATE(YEAR(F132),MONTH(F132),1)))</f>
        <v/>
      </c>
      <c r="K132" s="17" t="n">
        <f aca="false">IF(AND(OR(H132="Backlog",H132="Pipeline",H132="Overdue"),ISNUMBER(J132)),IF(J132&lt;=Settings!$B$6,I132,0),0)</f>
        <v>0</v>
      </c>
      <c r="L132" s="17" t="n">
        <f aca="false">IF(AND(OR(H132="Backlog",H132="Pipeline",H132="Overdue"),ISNUMBER(J132)),IF(J132&lt;=Settings!$B$6,N(G132),0),0)</f>
        <v>0</v>
      </c>
      <c r="M132" s="17" t="n">
        <f aca="false">IF(L132=0,0,IF(H132="Backlog",N(G132),N(G132)*Dashboard!$C$10))</f>
        <v>0</v>
      </c>
      <c r="N132" s="9" t="n">
        <f aca="false">IF(B132="",0,IF(COUNTIF(Dashboard!$C$13:$C$22,B132)&gt;0,1,0))</f>
        <v>0</v>
      </c>
    </row>
    <row r="133" customFormat="false" ht="15" hidden="false" customHeight="false" outlineLevel="0" collapsed="false">
      <c r="A133" s="13"/>
      <c r="B133" s="13"/>
      <c r="C133" s="13"/>
      <c r="D133" s="13"/>
      <c r="E133" s="10"/>
      <c r="F133" s="46"/>
      <c r="G133" s="47"/>
      <c r="H133" s="9" t="str">
        <f aca="false">IF(OR(G133="",A133=""),"",IF(NOT(ISNUMBER(F133)),"NO DATE",IF(D133="Backlog",IF(F133&gt;Settings!$B$5,"Backlog","Delivered"),IF(F133&gt;Settings!$B$5,"Pipeline","Overdue"))))</f>
        <v/>
      </c>
      <c r="I133" s="17" t="n">
        <f aca="false">IF(H133="",0,N(G133)*IF(D133="Backlog",1,N(E133)))</f>
        <v>0</v>
      </c>
      <c r="J133" s="48" t="str">
        <f aca="false">IF(OR(H133="",H133="NO DATE"),"",IF(H133="Overdue",IF(Settings!$B$8="Yes",Settings!$B$7,""),DATE(YEAR(F133),MONTH(F133),1)))</f>
        <v/>
      </c>
      <c r="K133" s="17" t="n">
        <f aca="false">IF(AND(OR(H133="Backlog",H133="Pipeline",H133="Overdue"),ISNUMBER(J133)),IF(J133&lt;=Settings!$B$6,I133,0),0)</f>
        <v>0</v>
      </c>
      <c r="L133" s="17" t="n">
        <f aca="false">IF(AND(OR(H133="Backlog",H133="Pipeline",H133="Overdue"),ISNUMBER(J133)),IF(J133&lt;=Settings!$B$6,N(G133),0),0)</f>
        <v>0</v>
      </c>
      <c r="M133" s="17" t="n">
        <f aca="false">IF(L133=0,0,IF(H133="Backlog",N(G133),N(G133)*Dashboard!$C$10))</f>
        <v>0</v>
      </c>
      <c r="N133" s="9" t="n">
        <f aca="false">IF(B133="",0,IF(COUNTIF(Dashboard!$C$13:$C$22,B133)&gt;0,1,0))</f>
        <v>0</v>
      </c>
    </row>
    <row r="134" customFormat="false" ht="15" hidden="false" customHeight="false" outlineLevel="0" collapsed="false">
      <c r="A134" s="13"/>
      <c r="B134" s="13"/>
      <c r="C134" s="13"/>
      <c r="D134" s="13"/>
      <c r="E134" s="10"/>
      <c r="F134" s="46"/>
      <c r="G134" s="47"/>
      <c r="H134" s="9" t="str">
        <f aca="false">IF(OR(G134="",A134=""),"",IF(NOT(ISNUMBER(F134)),"NO DATE",IF(D134="Backlog",IF(F134&gt;Settings!$B$5,"Backlog","Delivered"),IF(F134&gt;Settings!$B$5,"Pipeline","Overdue"))))</f>
        <v/>
      </c>
      <c r="I134" s="17" t="n">
        <f aca="false">IF(H134="",0,N(G134)*IF(D134="Backlog",1,N(E134)))</f>
        <v>0</v>
      </c>
      <c r="J134" s="48" t="str">
        <f aca="false">IF(OR(H134="",H134="NO DATE"),"",IF(H134="Overdue",IF(Settings!$B$8="Yes",Settings!$B$7,""),DATE(YEAR(F134),MONTH(F134),1)))</f>
        <v/>
      </c>
      <c r="K134" s="17" t="n">
        <f aca="false">IF(AND(OR(H134="Backlog",H134="Pipeline",H134="Overdue"),ISNUMBER(J134)),IF(J134&lt;=Settings!$B$6,I134,0),0)</f>
        <v>0</v>
      </c>
      <c r="L134" s="17" t="n">
        <f aca="false">IF(AND(OR(H134="Backlog",H134="Pipeline",H134="Overdue"),ISNUMBER(J134)),IF(J134&lt;=Settings!$B$6,N(G134),0),0)</f>
        <v>0</v>
      </c>
      <c r="M134" s="17" t="n">
        <f aca="false">IF(L134=0,0,IF(H134="Backlog",N(G134),N(G134)*Dashboard!$C$10))</f>
        <v>0</v>
      </c>
      <c r="N134" s="9" t="n">
        <f aca="false">IF(B134="",0,IF(COUNTIF(Dashboard!$C$13:$C$22,B134)&gt;0,1,0))</f>
        <v>0</v>
      </c>
    </row>
    <row r="135" customFormat="false" ht="15" hidden="false" customHeight="false" outlineLevel="0" collapsed="false">
      <c r="A135" s="13"/>
      <c r="B135" s="13"/>
      <c r="C135" s="13"/>
      <c r="D135" s="13"/>
      <c r="E135" s="10"/>
      <c r="F135" s="46"/>
      <c r="G135" s="47"/>
      <c r="H135" s="9" t="str">
        <f aca="false">IF(OR(G135="",A135=""),"",IF(NOT(ISNUMBER(F135)),"NO DATE",IF(D135="Backlog",IF(F135&gt;Settings!$B$5,"Backlog","Delivered"),IF(F135&gt;Settings!$B$5,"Pipeline","Overdue"))))</f>
        <v/>
      </c>
      <c r="I135" s="17" t="n">
        <f aca="false">IF(H135="",0,N(G135)*IF(D135="Backlog",1,N(E135)))</f>
        <v>0</v>
      </c>
      <c r="J135" s="48" t="str">
        <f aca="false">IF(OR(H135="",H135="NO DATE"),"",IF(H135="Overdue",IF(Settings!$B$8="Yes",Settings!$B$7,""),DATE(YEAR(F135),MONTH(F135),1)))</f>
        <v/>
      </c>
      <c r="K135" s="17" t="n">
        <f aca="false">IF(AND(OR(H135="Backlog",H135="Pipeline",H135="Overdue"),ISNUMBER(J135)),IF(J135&lt;=Settings!$B$6,I135,0),0)</f>
        <v>0</v>
      </c>
      <c r="L135" s="17" t="n">
        <f aca="false">IF(AND(OR(H135="Backlog",H135="Pipeline",H135="Overdue"),ISNUMBER(J135)),IF(J135&lt;=Settings!$B$6,N(G135),0),0)</f>
        <v>0</v>
      </c>
      <c r="M135" s="17" t="n">
        <f aca="false">IF(L135=0,0,IF(H135="Backlog",N(G135),N(G135)*Dashboard!$C$10))</f>
        <v>0</v>
      </c>
      <c r="N135" s="9" t="n">
        <f aca="false">IF(B135="",0,IF(COUNTIF(Dashboard!$C$13:$C$22,B135)&gt;0,1,0))</f>
        <v>0</v>
      </c>
    </row>
    <row r="136" customFormat="false" ht="15" hidden="false" customHeight="false" outlineLevel="0" collapsed="false">
      <c r="A136" s="13"/>
      <c r="B136" s="13"/>
      <c r="C136" s="13"/>
      <c r="D136" s="13"/>
      <c r="E136" s="10"/>
      <c r="F136" s="46"/>
      <c r="G136" s="47"/>
      <c r="H136" s="9" t="str">
        <f aca="false">IF(OR(G136="",A136=""),"",IF(NOT(ISNUMBER(F136)),"NO DATE",IF(D136="Backlog",IF(F136&gt;Settings!$B$5,"Backlog","Delivered"),IF(F136&gt;Settings!$B$5,"Pipeline","Overdue"))))</f>
        <v/>
      </c>
      <c r="I136" s="17" t="n">
        <f aca="false">IF(H136="",0,N(G136)*IF(D136="Backlog",1,N(E136)))</f>
        <v>0</v>
      </c>
      <c r="J136" s="48" t="str">
        <f aca="false">IF(OR(H136="",H136="NO DATE"),"",IF(H136="Overdue",IF(Settings!$B$8="Yes",Settings!$B$7,""),DATE(YEAR(F136),MONTH(F136),1)))</f>
        <v/>
      </c>
      <c r="K136" s="17" t="n">
        <f aca="false">IF(AND(OR(H136="Backlog",H136="Pipeline",H136="Overdue"),ISNUMBER(J136)),IF(J136&lt;=Settings!$B$6,I136,0),0)</f>
        <v>0</v>
      </c>
      <c r="L136" s="17" t="n">
        <f aca="false">IF(AND(OR(H136="Backlog",H136="Pipeline",H136="Overdue"),ISNUMBER(J136)),IF(J136&lt;=Settings!$B$6,N(G136),0),0)</f>
        <v>0</v>
      </c>
      <c r="M136" s="17" t="n">
        <f aca="false">IF(L136=0,0,IF(H136="Backlog",N(G136),N(G136)*Dashboard!$C$10))</f>
        <v>0</v>
      </c>
      <c r="N136" s="9" t="n">
        <f aca="false">IF(B136="",0,IF(COUNTIF(Dashboard!$C$13:$C$22,B136)&gt;0,1,0))</f>
        <v>0</v>
      </c>
    </row>
    <row r="137" customFormat="false" ht="15" hidden="false" customHeight="false" outlineLevel="0" collapsed="false">
      <c r="A137" s="13"/>
      <c r="B137" s="13"/>
      <c r="C137" s="13"/>
      <c r="D137" s="13"/>
      <c r="E137" s="10"/>
      <c r="F137" s="46"/>
      <c r="G137" s="47"/>
      <c r="H137" s="9" t="str">
        <f aca="false">IF(OR(G137="",A137=""),"",IF(NOT(ISNUMBER(F137)),"NO DATE",IF(D137="Backlog",IF(F137&gt;Settings!$B$5,"Backlog","Delivered"),IF(F137&gt;Settings!$B$5,"Pipeline","Overdue"))))</f>
        <v/>
      </c>
      <c r="I137" s="17" t="n">
        <f aca="false">IF(H137="",0,N(G137)*IF(D137="Backlog",1,N(E137)))</f>
        <v>0</v>
      </c>
      <c r="J137" s="48" t="str">
        <f aca="false">IF(OR(H137="",H137="NO DATE"),"",IF(H137="Overdue",IF(Settings!$B$8="Yes",Settings!$B$7,""),DATE(YEAR(F137),MONTH(F137),1)))</f>
        <v/>
      </c>
      <c r="K137" s="17" t="n">
        <f aca="false">IF(AND(OR(H137="Backlog",H137="Pipeline",H137="Overdue"),ISNUMBER(J137)),IF(J137&lt;=Settings!$B$6,I137,0),0)</f>
        <v>0</v>
      </c>
      <c r="L137" s="17" t="n">
        <f aca="false">IF(AND(OR(H137="Backlog",H137="Pipeline",H137="Overdue"),ISNUMBER(J137)),IF(J137&lt;=Settings!$B$6,N(G137),0),0)</f>
        <v>0</v>
      </c>
      <c r="M137" s="17" t="n">
        <f aca="false">IF(L137=0,0,IF(H137="Backlog",N(G137),N(G137)*Dashboard!$C$10))</f>
        <v>0</v>
      </c>
      <c r="N137" s="9" t="n">
        <f aca="false">IF(B137="",0,IF(COUNTIF(Dashboard!$C$13:$C$22,B137)&gt;0,1,0))</f>
        <v>0</v>
      </c>
    </row>
    <row r="138" customFormat="false" ht="15" hidden="false" customHeight="false" outlineLevel="0" collapsed="false">
      <c r="A138" s="13"/>
      <c r="B138" s="13"/>
      <c r="C138" s="13"/>
      <c r="D138" s="13"/>
      <c r="E138" s="10"/>
      <c r="F138" s="46"/>
      <c r="G138" s="47"/>
      <c r="H138" s="9" t="str">
        <f aca="false">IF(OR(G138="",A138=""),"",IF(NOT(ISNUMBER(F138)),"NO DATE",IF(D138="Backlog",IF(F138&gt;Settings!$B$5,"Backlog","Delivered"),IF(F138&gt;Settings!$B$5,"Pipeline","Overdue"))))</f>
        <v/>
      </c>
      <c r="I138" s="17" t="n">
        <f aca="false">IF(H138="",0,N(G138)*IF(D138="Backlog",1,N(E138)))</f>
        <v>0</v>
      </c>
      <c r="J138" s="48" t="str">
        <f aca="false">IF(OR(H138="",H138="NO DATE"),"",IF(H138="Overdue",IF(Settings!$B$8="Yes",Settings!$B$7,""),DATE(YEAR(F138),MONTH(F138),1)))</f>
        <v/>
      </c>
      <c r="K138" s="17" t="n">
        <f aca="false">IF(AND(OR(H138="Backlog",H138="Pipeline",H138="Overdue"),ISNUMBER(J138)),IF(J138&lt;=Settings!$B$6,I138,0),0)</f>
        <v>0</v>
      </c>
      <c r="L138" s="17" t="n">
        <f aca="false">IF(AND(OR(H138="Backlog",H138="Pipeline",H138="Overdue"),ISNUMBER(J138)),IF(J138&lt;=Settings!$B$6,N(G138),0),0)</f>
        <v>0</v>
      </c>
      <c r="M138" s="17" t="n">
        <f aca="false">IF(L138=0,0,IF(H138="Backlog",N(G138),N(G138)*Dashboard!$C$10))</f>
        <v>0</v>
      </c>
      <c r="N138" s="9" t="n">
        <f aca="false">IF(B138="",0,IF(COUNTIF(Dashboard!$C$13:$C$22,B138)&gt;0,1,0))</f>
        <v>0</v>
      </c>
    </row>
    <row r="139" customFormat="false" ht="15" hidden="false" customHeight="false" outlineLevel="0" collapsed="false">
      <c r="A139" s="13"/>
      <c r="B139" s="13"/>
      <c r="C139" s="13"/>
      <c r="D139" s="13"/>
      <c r="E139" s="10"/>
      <c r="F139" s="46"/>
      <c r="G139" s="47"/>
      <c r="H139" s="9" t="str">
        <f aca="false">IF(OR(G139="",A139=""),"",IF(NOT(ISNUMBER(F139)),"NO DATE",IF(D139="Backlog",IF(F139&gt;Settings!$B$5,"Backlog","Delivered"),IF(F139&gt;Settings!$B$5,"Pipeline","Overdue"))))</f>
        <v/>
      </c>
      <c r="I139" s="17" t="n">
        <f aca="false">IF(H139="",0,N(G139)*IF(D139="Backlog",1,N(E139)))</f>
        <v>0</v>
      </c>
      <c r="J139" s="48" t="str">
        <f aca="false">IF(OR(H139="",H139="NO DATE"),"",IF(H139="Overdue",IF(Settings!$B$8="Yes",Settings!$B$7,""),DATE(YEAR(F139),MONTH(F139),1)))</f>
        <v/>
      </c>
      <c r="K139" s="17" t="n">
        <f aca="false">IF(AND(OR(H139="Backlog",H139="Pipeline",H139="Overdue"),ISNUMBER(J139)),IF(J139&lt;=Settings!$B$6,I139,0),0)</f>
        <v>0</v>
      </c>
      <c r="L139" s="17" t="n">
        <f aca="false">IF(AND(OR(H139="Backlog",H139="Pipeline",H139="Overdue"),ISNUMBER(J139)),IF(J139&lt;=Settings!$B$6,N(G139),0),0)</f>
        <v>0</v>
      </c>
      <c r="M139" s="17" t="n">
        <f aca="false">IF(L139=0,0,IF(H139="Backlog",N(G139),N(G139)*Dashboard!$C$10))</f>
        <v>0</v>
      </c>
      <c r="N139" s="9" t="n">
        <f aca="false">IF(B139="",0,IF(COUNTIF(Dashboard!$C$13:$C$22,B139)&gt;0,1,0))</f>
        <v>0</v>
      </c>
    </row>
    <row r="140" customFormat="false" ht="15" hidden="false" customHeight="false" outlineLevel="0" collapsed="false">
      <c r="A140" s="13"/>
      <c r="B140" s="13"/>
      <c r="C140" s="13"/>
      <c r="D140" s="13"/>
      <c r="E140" s="10"/>
      <c r="F140" s="46"/>
      <c r="G140" s="47"/>
      <c r="H140" s="9" t="str">
        <f aca="false">IF(OR(G140="",A140=""),"",IF(NOT(ISNUMBER(F140)),"NO DATE",IF(D140="Backlog",IF(F140&gt;Settings!$B$5,"Backlog","Delivered"),IF(F140&gt;Settings!$B$5,"Pipeline","Overdue"))))</f>
        <v/>
      </c>
      <c r="I140" s="17" t="n">
        <f aca="false">IF(H140="",0,N(G140)*IF(D140="Backlog",1,N(E140)))</f>
        <v>0</v>
      </c>
      <c r="J140" s="48" t="str">
        <f aca="false">IF(OR(H140="",H140="NO DATE"),"",IF(H140="Overdue",IF(Settings!$B$8="Yes",Settings!$B$7,""),DATE(YEAR(F140),MONTH(F140),1)))</f>
        <v/>
      </c>
      <c r="K140" s="17" t="n">
        <f aca="false">IF(AND(OR(H140="Backlog",H140="Pipeline",H140="Overdue"),ISNUMBER(J140)),IF(J140&lt;=Settings!$B$6,I140,0),0)</f>
        <v>0</v>
      </c>
      <c r="L140" s="17" t="n">
        <f aca="false">IF(AND(OR(H140="Backlog",H140="Pipeline",H140="Overdue"),ISNUMBER(J140)),IF(J140&lt;=Settings!$B$6,N(G140),0),0)</f>
        <v>0</v>
      </c>
      <c r="M140" s="17" t="n">
        <f aca="false">IF(L140=0,0,IF(H140="Backlog",N(G140),N(G140)*Dashboard!$C$10))</f>
        <v>0</v>
      </c>
      <c r="N140" s="9" t="n">
        <f aca="false">IF(B140="",0,IF(COUNTIF(Dashboard!$C$13:$C$22,B140)&gt;0,1,0))</f>
        <v>0</v>
      </c>
    </row>
    <row r="141" customFormat="false" ht="15" hidden="false" customHeight="false" outlineLevel="0" collapsed="false">
      <c r="A141" s="13"/>
      <c r="B141" s="13"/>
      <c r="C141" s="13"/>
      <c r="D141" s="13"/>
      <c r="E141" s="10"/>
      <c r="F141" s="46"/>
      <c r="G141" s="47"/>
      <c r="H141" s="9" t="str">
        <f aca="false">IF(OR(G141="",A141=""),"",IF(NOT(ISNUMBER(F141)),"NO DATE",IF(D141="Backlog",IF(F141&gt;Settings!$B$5,"Backlog","Delivered"),IF(F141&gt;Settings!$B$5,"Pipeline","Overdue"))))</f>
        <v/>
      </c>
      <c r="I141" s="17" t="n">
        <f aca="false">IF(H141="",0,N(G141)*IF(D141="Backlog",1,N(E141)))</f>
        <v>0</v>
      </c>
      <c r="J141" s="48" t="str">
        <f aca="false">IF(OR(H141="",H141="NO DATE"),"",IF(H141="Overdue",IF(Settings!$B$8="Yes",Settings!$B$7,""),DATE(YEAR(F141),MONTH(F141),1)))</f>
        <v/>
      </c>
      <c r="K141" s="17" t="n">
        <f aca="false">IF(AND(OR(H141="Backlog",H141="Pipeline",H141="Overdue"),ISNUMBER(J141)),IF(J141&lt;=Settings!$B$6,I141,0),0)</f>
        <v>0</v>
      </c>
      <c r="L141" s="17" t="n">
        <f aca="false">IF(AND(OR(H141="Backlog",H141="Pipeline",H141="Overdue"),ISNUMBER(J141)),IF(J141&lt;=Settings!$B$6,N(G141),0),0)</f>
        <v>0</v>
      </c>
      <c r="M141" s="17" t="n">
        <f aca="false">IF(L141=0,0,IF(H141="Backlog",N(G141),N(G141)*Dashboard!$C$10))</f>
        <v>0</v>
      </c>
      <c r="N141" s="9" t="n">
        <f aca="false">IF(B141="",0,IF(COUNTIF(Dashboard!$C$13:$C$22,B141)&gt;0,1,0))</f>
        <v>0</v>
      </c>
    </row>
    <row r="142" customFormat="false" ht="15" hidden="false" customHeight="false" outlineLevel="0" collapsed="false">
      <c r="A142" s="13"/>
      <c r="B142" s="13"/>
      <c r="C142" s="13"/>
      <c r="D142" s="13"/>
      <c r="E142" s="10"/>
      <c r="F142" s="46"/>
      <c r="G142" s="47"/>
      <c r="H142" s="9" t="str">
        <f aca="false">IF(OR(G142="",A142=""),"",IF(NOT(ISNUMBER(F142)),"NO DATE",IF(D142="Backlog",IF(F142&gt;Settings!$B$5,"Backlog","Delivered"),IF(F142&gt;Settings!$B$5,"Pipeline","Overdue"))))</f>
        <v/>
      </c>
      <c r="I142" s="17" t="n">
        <f aca="false">IF(H142="",0,N(G142)*IF(D142="Backlog",1,N(E142)))</f>
        <v>0</v>
      </c>
      <c r="J142" s="48" t="str">
        <f aca="false">IF(OR(H142="",H142="NO DATE"),"",IF(H142="Overdue",IF(Settings!$B$8="Yes",Settings!$B$7,""),DATE(YEAR(F142),MONTH(F142),1)))</f>
        <v/>
      </c>
      <c r="K142" s="17" t="n">
        <f aca="false">IF(AND(OR(H142="Backlog",H142="Pipeline",H142="Overdue"),ISNUMBER(J142)),IF(J142&lt;=Settings!$B$6,I142,0),0)</f>
        <v>0</v>
      </c>
      <c r="L142" s="17" t="n">
        <f aca="false">IF(AND(OR(H142="Backlog",H142="Pipeline",H142="Overdue"),ISNUMBER(J142)),IF(J142&lt;=Settings!$B$6,N(G142),0),0)</f>
        <v>0</v>
      </c>
      <c r="M142" s="17" t="n">
        <f aca="false">IF(L142=0,0,IF(H142="Backlog",N(G142),N(G142)*Dashboard!$C$10))</f>
        <v>0</v>
      </c>
      <c r="N142" s="9" t="n">
        <f aca="false">IF(B142="",0,IF(COUNTIF(Dashboard!$C$13:$C$22,B142)&gt;0,1,0))</f>
        <v>0</v>
      </c>
    </row>
    <row r="143" customFormat="false" ht="15" hidden="false" customHeight="false" outlineLevel="0" collapsed="false">
      <c r="A143" s="13"/>
      <c r="B143" s="13"/>
      <c r="C143" s="13"/>
      <c r="D143" s="13"/>
      <c r="E143" s="10"/>
      <c r="F143" s="46"/>
      <c r="G143" s="47"/>
      <c r="H143" s="9" t="str">
        <f aca="false">IF(OR(G143="",A143=""),"",IF(NOT(ISNUMBER(F143)),"NO DATE",IF(D143="Backlog",IF(F143&gt;Settings!$B$5,"Backlog","Delivered"),IF(F143&gt;Settings!$B$5,"Pipeline","Overdue"))))</f>
        <v/>
      </c>
      <c r="I143" s="17" t="n">
        <f aca="false">IF(H143="",0,N(G143)*IF(D143="Backlog",1,N(E143)))</f>
        <v>0</v>
      </c>
      <c r="J143" s="48" t="str">
        <f aca="false">IF(OR(H143="",H143="NO DATE"),"",IF(H143="Overdue",IF(Settings!$B$8="Yes",Settings!$B$7,""),DATE(YEAR(F143),MONTH(F143),1)))</f>
        <v/>
      </c>
      <c r="K143" s="17" t="n">
        <f aca="false">IF(AND(OR(H143="Backlog",H143="Pipeline",H143="Overdue"),ISNUMBER(J143)),IF(J143&lt;=Settings!$B$6,I143,0),0)</f>
        <v>0</v>
      </c>
      <c r="L143" s="17" t="n">
        <f aca="false">IF(AND(OR(H143="Backlog",H143="Pipeline",H143="Overdue"),ISNUMBER(J143)),IF(J143&lt;=Settings!$B$6,N(G143),0),0)</f>
        <v>0</v>
      </c>
      <c r="M143" s="17" t="n">
        <f aca="false">IF(L143=0,0,IF(H143="Backlog",N(G143),N(G143)*Dashboard!$C$10))</f>
        <v>0</v>
      </c>
      <c r="N143" s="9" t="n">
        <f aca="false">IF(B143="",0,IF(COUNTIF(Dashboard!$C$13:$C$22,B143)&gt;0,1,0))</f>
        <v>0</v>
      </c>
    </row>
    <row r="144" customFormat="false" ht="15" hidden="false" customHeight="false" outlineLevel="0" collapsed="false">
      <c r="A144" s="13"/>
      <c r="B144" s="13"/>
      <c r="C144" s="13"/>
      <c r="D144" s="13"/>
      <c r="E144" s="10"/>
      <c r="F144" s="46"/>
      <c r="G144" s="47"/>
      <c r="H144" s="9" t="str">
        <f aca="false">IF(OR(G144="",A144=""),"",IF(NOT(ISNUMBER(F144)),"NO DATE",IF(D144="Backlog",IF(F144&gt;Settings!$B$5,"Backlog","Delivered"),IF(F144&gt;Settings!$B$5,"Pipeline","Overdue"))))</f>
        <v/>
      </c>
      <c r="I144" s="17" t="n">
        <f aca="false">IF(H144="",0,N(G144)*IF(D144="Backlog",1,N(E144)))</f>
        <v>0</v>
      </c>
      <c r="J144" s="48" t="str">
        <f aca="false">IF(OR(H144="",H144="NO DATE"),"",IF(H144="Overdue",IF(Settings!$B$8="Yes",Settings!$B$7,""),DATE(YEAR(F144),MONTH(F144),1)))</f>
        <v/>
      </c>
      <c r="K144" s="17" t="n">
        <f aca="false">IF(AND(OR(H144="Backlog",H144="Pipeline",H144="Overdue"),ISNUMBER(J144)),IF(J144&lt;=Settings!$B$6,I144,0),0)</f>
        <v>0</v>
      </c>
      <c r="L144" s="17" t="n">
        <f aca="false">IF(AND(OR(H144="Backlog",H144="Pipeline",H144="Overdue"),ISNUMBER(J144)),IF(J144&lt;=Settings!$B$6,N(G144),0),0)</f>
        <v>0</v>
      </c>
      <c r="M144" s="17" t="n">
        <f aca="false">IF(L144=0,0,IF(H144="Backlog",N(G144),N(G144)*Dashboard!$C$10))</f>
        <v>0</v>
      </c>
      <c r="N144" s="9" t="n">
        <f aca="false">IF(B144="",0,IF(COUNTIF(Dashboard!$C$13:$C$22,B144)&gt;0,1,0))</f>
        <v>0</v>
      </c>
    </row>
    <row r="145" customFormat="false" ht="15" hidden="false" customHeight="false" outlineLevel="0" collapsed="false">
      <c r="A145" s="13"/>
      <c r="B145" s="13"/>
      <c r="C145" s="13"/>
      <c r="D145" s="13"/>
      <c r="E145" s="10"/>
      <c r="F145" s="46"/>
      <c r="G145" s="47"/>
      <c r="H145" s="9" t="str">
        <f aca="false">IF(OR(G145="",A145=""),"",IF(NOT(ISNUMBER(F145)),"NO DATE",IF(D145="Backlog",IF(F145&gt;Settings!$B$5,"Backlog","Delivered"),IF(F145&gt;Settings!$B$5,"Pipeline","Overdue"))))</f>
        <v/>
      </c>
      <c r="I145" s="17" t="n">
        <f aca="false">IF(H145="",0,N(G145)*IF(D145="Backlog",1,N(E145)))</f>
        <v>0</v>
      </c>
      <c r="J145" s="48" t="str">
        <f aca="false">IF(OR(H145="",H145="NO DATE"),"",IF(H145="Overdue",IF(Settings!$B$8="Yes",Settings!$B$7,""),DATE(YEAR(F145),MONTH(F145),1)))</f>
        <v/>
      </c>
      <c r="K145" s="17" t="n">
        <f aca="false">IF(AND(OR(H145="Backlog",H145="Pipeline",H145="Overdue"),ISNUMBER(J145)),IF(J145&lt;=Settings!$B$6,I145,0),0)</f>
        <v>0</v>
      </c>
      <c r="L145" s="17" t="n">
        <f aca="false">IF(AND(OR(H145="Backlog",H145="Pipeline",H145="Overdue"),ISNUMBER(J145)),IF(J145&lt;=Settings!$B$6,N(G145),0),0)</f>
        <v>0</v>
      </c>
      <c r="M145" s="17" t="n">
        <f aca="false">IF(L145=0,0,IF(H145="Backlog",N(G145),N(G145)*Dashboard!$C$10))</f>
        <v>0</v>
      </c>
      <c r="N145" s="9" t="n">
        <f aca="false">IF(B145="",0,IF(COUNTIF(Dashboard!$C$13:$C$22,B145)&gt;0,1,0))</f>
        <v>0</v>
      </c>
    </row>
    <row r="146" customFormat="false" ht="15" hidden="false" customHeight="false" outlineLevel="0" collapsed="false">
      <c r="A146" s="13"/>
      <c r="B146" s="13"/>
      <c r="C146" s="13"/>
      <c r="D146" s="13"/>
      <c r="E146" s="10"/>
      <c r="F146" s="46"/>
      <c r="G146" s="47"/>
      <c r="H146" s="9" t="str">
        <f aca="false">IF(OR(G146="",A146=""),"",IF(NOT(ISNUMBER(F146)),"NO DATE",IF(D146="Backlog",IF(F146&gt;Settings!$B$5,"Backlog","Delivered"),IF(F146&gt;Settings!$B$5,"Pipeline","Overdue"))))</f>
        <v/>
      </c>
      <c r="I146" s="17" t="n">
        <f aca="false">IF(H146="",0,N(G146)*IF(D146="Backlog",1,N(E146)))</f>
        <v>0</v>
      </c>
      <c r="J146" s="48" t="str">
        <f aca="false">IF(OR(H146="",H146="NO DATE"),"",IF(H146="Overdue",IF(Settings!$B$8="Yes",Settings!$B$7,""),DATE(YEAR(F146),MONTH(F146),1)))</f>
        <v/>
      </c>
      <c r="K146" s="17" t="n">
        <f aca="false">IF(AND(OR(H146="Backlog",H146="Pipeline",H146="Overdue"),ISNUMBER(J146)),IF(J146&lt;=Settings!$B$6,I146,0),0)</f>
        <v>0</v>
      </c>
      <c r="L146" s="17" t="n">
        <f aca="false">IF(AND(OR(H146="Backlog",H146="Pipeline",H146="Overdue"),ISNUMBER(J146)),IF(J146&lt;=Settings!$B$6,N(G146),0),0)</f>
        <v>0</v>
      </c>
      <c r="M146" s="17" t="n">
        <f aca="false">IF(L146=0,0,IF(H146="Backlog",N(G146),N(G146)*Dashboard!$C$10))</f>
        <v>0</v>
      </c>
      <c r="N146" s="9" t="n">
        <f aca="false">IF(B146="",0,IF(COUNTIF(Dashboard!$C$13:$C$22,B146)&gt;0,1,0))</f>
        <v>0</v>
      </c>
    </row>
    <row r="147" customFormat="false" ht="15" hidden="false" customHeight="false" outlineLevel="0" collapsed="false">
      <c r="A147" s="13"/>
      <c r="B147" s="13"/>
      <c r="C147" s="13"/>
      <c r="D147" s="13"/>
      <c r="E147" s="10"/>
      <c r="F147" s="46"/>
      <c r="G147" s="47"/>
      <c r="H147" s="9" t="str">
        <f aca="false">IF(OR(G147="",A147=""),"",IF(NOT(ISNUMBER(F147)),"NO DATE",IF(D147="Backlog",IF(F147&gt;Settings!$B$5,"Backlog","Delivered"),IF(F147&gt;Settings!$B$5,"Pipeline","Overdue"))))</f>
        <v/>
      </c>
      <c r="I147" s="17" t="n">
        <f aca="false">IF(H147="",0,N(G147)*IF(D147="Backlog",1,N(E147)))</f>
        <v>0</v>
      </c>
      <c r="J147" s="48" t="str">
        <f aca="false">IF(OR(H147="",H147="NO DATE"),"",IF(H147="Overdue",IF(Settings!$B$8="Yes",Settings!$B$7,""),DATE(YEAR(F147),MONTH(F147),1)))</f>
        <v/>
      </c>
      <c r="K147" s="17" t="n">
        <f aca="false">IF(AND(OR(H147="Backlog",H147="Pipeline",H147="Overdue"),ISNUMBER(J147)),IF(J147&lt;=Settings!$B$6,I147,0),0)</f>
        <v>0</v>
      </c>
      <c r="L147" s="17" t="n">
        <f aca="false">IF(AND(OR(H147="Backlog",H147="Pipeline",H147="Overdue"),ISNUMBER(J147)),IF(J147&lt;=Settings!$B$6,N(G147),0),0)</f>
        <v>0</v>
      </c>
      <c r="M147" s="17" t="n">
        <f aca="false">IF(L147=0,0,IF(H147="Backlog",N(G147),N(G147)*Dashboard!$C$10))</f>
        <v>0</v>
      </c>
      <c r="N147" s="9" t="n">
        <f aca="false">IF(B147="",0,IF(COUNTIF(Dashboard!$C$13:$C$22,B147)&gt;0,1,0))</f>
        <v>0</v>
      </c>
    </row>
    <row r="148" customFormat="false" ht="15" hidden="false" customHeight="false" outlineLevel="0" collapsed="false">
      <c r="A148" s="13"/>
      <c r="B148" s="13"/>
      <c r="C148" s="13"/>
      <c r="D148" s="13"/>
      <c r="E148" s="10"/>
      <c r="F148" s="46"/>
      <c r="G148" s="47"/>
      <c r="H148" s="9" t="str">
        <f aca="false">IF(OR(G148="",A148=""),"",IF(NOT(ISNUMBER(F148)),"NO DATE",IF(D148="Backlog",IF(F148&gt;Settings!$B$5,"Backlog","Delivered"),IF(F148&gt;Settings!$B$5,"Pipeline","Overdue"))))</f>
        <v/>
      </c>
      <c r="I148" s="17" t="n">
        <f aca="false">IF(H148="",0,N(G148)*IF(D148="Backlog",1,N(E148)))</f>
        <v>0</v>
      </c>
      <c r="J148" s="48" t="str">
        <f aca="false">IF(OR(H148="",H148="NO DATE"),"",IF(H148="Overdue",IF(Settings!$B$8="Yes",Settings!$B$7,""),DATE(YEAR(F148),MONTH(F148),1)))</f>
        <v/>
      </c>
      <c r="K148" s="17" t="n">
        <f aca="false">IF(AND(OR(H148="Backlog",H148="Pipeline",H148="Overdue"),ISNUMBER(J148)),IF(J148&lt;=Settings!$B$6,I148,0),0)</f>
        <v>0</v>
      </c>
      <c r="L148" s="17" t="n">
        <f aca="false">IF(AND(OR(H148="Backlog",H148="Pipeline",H148="Overdue"),ISNUMBER(J148)),IF(J148&lt;=Settings!$B$6,N(G148),0),0)</f>
        <v>0</v>
      </c>
      <c r="M148" s="17" t="n">
        <f aca="false">IF(L148=0,0,IF(H148="Backlog",N(G148),N(G148)*Dashboard!$C$10))</f>
        <v>0</v>
      </c>
      <c r="N148" s="9" t="n">
        <f aca="false">IF(B148="",0,IF(COUNTIF(Dashboard!$C$13:$C$22,B148)&gt;0,1,0))</f>
        <v>0</v>
      </c>
    </row>
    <row r="149" customFormat="false" ht="15" hidden="false" customHeight="false" outlineLevel="0" collapsed="false">
      <c r="A149" s="13"/>
      <c r="B149" s="13"/>
      <c r="C149" s="13"/>
      <c r="D149" s="13"/>
      <c r="E149" s="10"/>
      <c r="F149" s="46"/>
      <c r="G149" s="47"/>
      <c r="H149" s="9" t="str">
        <f aca="false">IF(OR(G149="",A149=""),"",IF(NOT(ISNUMBER(F149)),"NO DATE",IF(D149="Backlog",IF(F149&gt;Settings!$B$5,"Backlog","Delivered"),IF(F149&gt;Settings!$B$5,"Pipeline","Overdue"))))</f>
        <v/>
      </c>
      <c r="I149" s="17" t="n">
        <f aca="false">IF(H149="",0,N(G149)*IF(D149="Backlog",1,N(E149)))</f>
        <v>0</v>
      </c>
      <c r="J149" s="48" t="str">
        <f aca="false">IF(OR(H149="",H149="NO DATE"),"",IF(H149="Overdue",IF(Settings!$B$8="Yes",Settings!$B$7,""),DATE(YEAR(F149),MONTH(F149),1)))</f>
        <v/>
      </c>
      <c r="K149" s="17" t="n">
        <f aca="false">IF(AND(OR(H149="Backlog",H149="Pipeline",H149="Overdue"),ISNUMBER(J149)),IF(J149&lt;=Settings!$B$6,I149,0),0)</f>
        <v>0</v>
      </c>
      <c r="L149" s="17" t="n">
        <f aca="false">IF(AND(OR(H149="Backlog",H149="Pipeline",H149="Overdue"),ISNUMBER(J149)),IF(J149&lt;=Settings!$B$6,N(G149),0),0)</f>
        <v>0</v>
      </c>
      <c r="M149" s="17" t="n">
        <f aca="false">IF(L149=0,0,IF(H149="Backlog",N(G149),N(G149)*Dashboard!$C$10))</f>
        <v>0</v>
      </c>
      <c r="N149" s="9" t="n">
        <f aca="false">IF(B149="",0,IF(COUNTIF(Dashboard!$C$13:$C$22,B149)&gt;0,1,0))</f>
        <v>0</v>
      </c>
    </row>
    <row r="150" customFormat="false" ht="15" hidden="false" customHeight="false" outlineLevel="0" collapsed="false">
      <c r="A150" s="13"/>
      <c r="B150" s="13"/>
      <c r="C150" s="13"/>
      <c r="D150" s="13"/>
      <c r="E150" s="10"/>
      <c r="F150" s="46"/>
      <c r="G150" s="47"/>
      <c r="H150" s="9" t="str">
        <f aca="false">IF(OR(G150="",A150=""),"",IF(NOT(ISNUMBER(F150)),"NO DATE",IF(D150="Backlog",IF(F150&gt;Settings!$B$5,"Backlog","Delivered"),IF(F150&gt;Settings!$B$5,"Pipeline","Overdue"))))</f>
        <v/>
      </c>
      <c r="I150" s="17" t="n">
        <f aca="false">IF(H150="",0,N(G150)*IF(D150="Backlog",1,N(E150)))</f>
        <v>0</v>
      </c>
      <c r="J150" s="48" t="str">
        <f aca="false">IF(OR(H150="",H150="NO DATE"),"",IF(H150="Overdue",IF(Settings!$B$8="Yes",Settings!$B$7,""),DATE(YEAR(F150),MONTH(F150),1)))</f>
        <v/>
      </c>
      <c r="K150" s="17" t="n">
        <f aca="false">IF(AND(OR(H150="Backlog",H150="Pipeline",H150="Overdue"),ISNUMBER(J150)),IF(J150&lt;=Settings!$B$6,I150,0),0)</f>
        <v>0</v>
      </c>
      <c r="L150" s="17" t="n">
        <f aca="false">IF(AND(OR(H150="Backlog",H150="Pipeline",H150="Overdue"),ISNUMBER(J150)),IF(J150&lt;=Settings!$B$6,N(G150),0),0)</f>
        <v>0</v>
      </c>
      <c r="M150" s="17" t="n">
        <f aca="false">IF(L150=0,0,IF(H150="Backlog",N(G150),N(G150)*Dashboard!$C$10))</f>
        <v>0</v>
      </c>
      <c r="N150" s="9" t="n">
        <f aca="false">IF(B150="",0,IF(COUNTIF(Dashboard!$C$13:$C$22,B150)&gt;0,1,0))</f>
        <v>0</v>
      </c>
    </row>
    <row r="151" customFormat="false" ht="15" hidden="false" customHeight="false" outlineLevel="0" collapsed="false">
      <c r="A151" s="13"/>
      <c r="B151" s="13"/>
      <c r="C151" s="13"/>
      <c r="D151" s="13"/>
      <c r="E151" s="10"/>
      <c r="F151" s="46"/>
      <c r="G151" s="47"/>
      <c r="H151" s="9" t="str">
        <f aca="false">IF(OR(G151="",A151=""),"",IF(NOT(ISNUMBER(F151)),"NO DATE",IF(D151="Backlog",IF(F151&gt;Settings!$B$5,"Backlog","Delivered"),IF(F151&gt;Settings!$B$5,"Pipeline","Overdue"))))</f>
        <v/>
      </c>
      <c r="I151" s="17" t="n">
        <f aca="false">IF(H151="",0,N(G151)*IF(D151="Backlog",1,N(E151)))</f>
        <v>0</v>
      </c>
      <c r="J151" s="48" t="str">
        <f aca="false">IF(OR(H151="",H151="NO DATE"),"",IF(H151="Overdue",IF(Settings!$B$8="Yes",Settings!$B$7,""),DATE(YEAR(F151),MONTH(F151),1)))</f>
        <v/>
      </c>
      <c r="K151" s="17" t="n">
        <f aca="false">IF(AND(OR(H151="Backlog",H151="Pipeline",H151="Overdue"),ISNUMBER(J151)),IF(J151&lt;=Settings!$B$6,I151,0),0)</f>
        <v>0</v>
      </c>
      <c r="L151" s="17" t="n">
        <f aca="false">IF(AND(OR(H151="Backlog",H151="Pipeline",H151="Overdue"),ISNUMBER(J151)),IF(J151&lt;=Settings!$B$6,N(G151),0),0)</f>
        <v>0</v>
      </c>
      <c r="M151" s="17" t="n">
        <f aca="false">IF(L151=0,0,IF(H151="Backlog",N(G151),N(G151)*Dashboard!$C$10))</f>
        <v>0</v>
      </c>
      <c r="N151" s="9" t="n">
        <f aca="false">IF(B151="",0,IF(COUNTIF(Dashboard!$C$13:$C$22,B151)&gt;0,1,0))</f>
        <v>0</v>
      </c>
    </row>
    <row r="152" customFormat="false" ht="15" hidden="false" customHeight="false" outlineLevel="0" collapsed="false">
      <c r="A152" s="13"/>
      <c r="B152" s="13"/>
      <c r="C152" s="13"/>
      <c r="D152" s="13"/>
      <c r="E152" s="10"/>
      <c r="F152" s="46"/>
      <c r="G152" s="47"/>
      <c r="H152" s="9" t="str">
        <f aca="false">IF(OR(G152="",A152=""),"",IF(NOT(ISNUMBER(F152)),"NO DATE",IF(D152="Backlog",IF(F152&gt;Settings!$B$5,"Backlog","Delivered"),IF(F152&gt;Settings!$B$5,"Pipeline","Overdue"))))</f>
        <v/>
      </c>
      <c r="I152" s="17" t="n">
        <f aca="false">IF(H152="",0,N(G152)*IF(D152="Backlog",1,N(E152)))</f>
        <v>0</v>
      </c>
      <c r="J152" s="48" t="str">
        <f aca="false">IF(OR(H152="",H152="NO DATE"),"",IF(H152="Overdue",IF(Settings!$B$8="Yes",Settings!$B$7,""),DATE(YEAR(F152),MONTH(F152),1)))</f>
        <v/>
      </c>
      <c r="K152" s="17" t="n">
        <f aca="false">IF(AND(OR(H152="Backlog",H152="Pipeline",H152="Overdue"),ISNUMBER(J152)),IF(J152&lt;=Settings!$B$6,I152,0),0)</f>
        <v>0</v>
      </c>
      <c r="L152" s="17" t="n">
        <f aca="false">IF(AND(OR(H152="Backlog",H152="Pipeline",H152="Overdue"),ISNUMBER(J152)),IF(J152&lt;=Settings!$B$6,N(G152),0),0)</f>
        <v>0</v>
      </c>
      <c r="M152" s="17" t="n">
        <f aca="false">IF(L152=0,0,IF(H152="Backlog",N(G152),N(G152)*Dashboard!$C$10))</f>
        <v>0</v>
      </c>
      <c r="N152" s="9" t="n">
        <f aca="false">IF(B152="",0,IF(COUNTIF(Dashboard!$C$13:$C$22,B152)&gt;0,1,0))</f>
        <v>0</v>
      </c>
    </row>
    <row r="153" customFormat="false" ht="15" hidden="false" customHeight="false" outlineLevel="0" collapsed="false">
      <c r="A153" s="13"/>
      <c r="B153" s="13"/>
      <c r="C153" s="13"/>
      <c r="D153" s="13"/>
      <c r="E153" s="10"/>
      <c r="F153" s="46"/>
      <c r="G153" s="47"/>
      <c r="H153" s="9" t="str">
        <f aca="false">IF(OR(G153="",A153=""),"",IF(NOT(ISNUMBER(F153)),"NO DATE",IF(D153="Backlog",IF(F153&gt;Settings!$B$5,"Backlog","Delivered"),IF(F153&gt;Settings!$B$5,"Pipeline","Overdue"))))</f>
        <v/>
      </c>
      <c r="I153" s="17" t="n">
        <f aca="false">IF(H153="",0,N(G153)*IF(D153="Backlog",1,N(E153)))</f>
        <v>0</v>
      </c>
      <c r="J153" s="48" t="str">
        <f aca="false">IF(OR(H153="",H153="NO DATE"),"",IF(H153="Overdue",IF(Settings!$B$8="Yes",Settings!$B$7,""),DATE(YEAR(F153),MONTH(F153),1)))</f>
        <v/>
      </c>
      <c r="K153" s="17" t="n">
        <f aca="false">IF(AND(OR(H153="Backlog",H153="Pipeline",H153="Overdue"),ISNUMBER(J153)),IF(J153&lt;=Settings!$B$6,I153,0),0)</f>
        <v>0</v>
      </c>
      <c r="L153" s="17" t="n">
        <f aca="false">IF(AND(OR(H153="Backlog",H153="Pipeline",H153="Overdue"),ISNUMBER(J153)),IF(J153&lt;=Settings!$B$6,N(G153),0),0)</f>
        <v>0</v>
      </c>
      <c r="M153" s="17" t="n">
        <f aca="false">IF(L153=0,0,IF(H153="Backlog",N(G153),N(G153)*Dashboard!$C$10))</f>
        <v>0</v>
      </c>
      <c r="N153" s="9" t="n">
        <f aca="false">IF(B153="",0,IF(COUNTIF(Dashboard!$C$13:$C$22,B153)&gt;0,1,0))</f>
        <v>0</v>
      </c>
    </row>
    <row r="154" customFormat="false" ht="15" hidden="false" customHeight="false" outlineLevel="0" collapsed="false">
      <c r="A154" s="13"/>
      <c r="B154" s="13"/>
      <c r="C154" s="13"/>
      <c r="D154" s="13"/>
      <c r="E154" s="10"/>
      <c r="F154" s="46"/>
      <c r="G154" s="47"/>
      <c r="H154" s="9" t="str">
        <f aca="false">IF(OR(G154="",A154=""),"",IF(NOT(ISNUMBER(F154)),"NO DATE",IF(D154="Backlog",IF(F154&gt;Settings!$B$5,"Backlog","Delivered"),IF(F154&gt;Settings!$B$5,"Pipeline","Overdue"))))</f>
        <v/>
      </c>
      <c r="I154" s="17" t="n">
        <f aca="false">IF(H154="",0,N(G154)*IF(D154="Backlog",1,N(E154)))</f>
        <v>0</v>
      </c>
      <c r="J154" s="48" t="str">
        <f aca="false">IF(OR(H154="",H154="NO DATE"),"",IF(H154="Overdue",IF(Settings!$B$8="Yes",Settings!$B$7,""),DATE(YEAR(F154),MONTH(F154),1)))</f>
        <v/>
      </c>
      <c r="K154" s="17" t="n">
        <f aca="false">IF(AND(OR(H154="Backlog",H154="Pipeline",H154="Overdue"),ISNUMBER(J154)),IF(J154&lt;=Settings!$B$6,I154,0),0)</f>
        <v>0</v>
      </c>
      <c r="L154" s="17" t="n">
        <f aca="false">IF(AND(OR(H154="Backlog",H154="Pipeline",H154="Overdue"),ISNUMBER(J154)),IF(J154&lt;=Settings!$B$6,N(G154),0),0)</f>
        <v>0</v>
      </c>
      <c r="M154" s="17" t="n">
        <f aca="false">IF(L154=0,0,IF(H154="Backlog",N(G154),N(G154)*Dashboard!$C$10))</f>
        <v>0</v>
      </c>
      <c r="N154" s="9" t="n">
        <f aca="false">IF(B154="",0,IF(COUNTIF(Dashboard!$C$13:$C$22,B154)&gt;0,1,0))</f>
        <v>0</v>
      </c>
    </row>
    <row r="155" customFormat="false" ht="15" hidden="false" customHeight="false" outlineLevel="0" collapsed="false">
      <c r="A155" s="13"/>
      <c r="B155" s="13"/>
      <c r="C155" s="13"/>
      <c r="D155" s="13"/>
      <c r="E155" s="10"/>
      <c r="F155" s="46"/>
      <c r="G155" s="47"/>
      <c r="H155" s="9" t="str">
        <f aca="false">IF(OR(G155="",A155=""),"",IF(NOT(ISNUMBER(F155)),"NO DATE",IF(D155="Backlog",IF(F155&gt;Settings!$B$5,"Backlog","Delivered"),IF(F155&gt;Settings!$B$5,"Pipeline","Overdue"))))</f>
        <v/>
      </c>
      <c r="I155" s="17" t="n">
        <f aca="false">IF(H155="",0,N(G155)*IF(D155="Backlog",1,N(E155)))</f>
        <v>0</v>
      </c>
      <c r="J155" s="48" t="str">
        <f aca="false">IF(OR(H155="",H155="NO DATE"),"",IF(H155="Overdue",IF(Settings!$B$8="Yes",Settings!$B$7,""),DATE(YEAR(F155),MONTH(F155),1)))</f>
        <v/>
      </c>
      <c r="K155" s="17" t="n">
        <f aca="false">IF(AND(OR(H155="Backlog",H155="Pipeline",H155="Overdue"),ISNUMBER(J155)),IF(J155&lt;=Settings!$B$6,I155,0),0)</f>
        <v>0</v>
      </c>
      <c r="L155" s="17" t="n">
        <f aca="false">IF(AND(OR(H155="Backlog",H155="Pipeline",H155="Overdue"),ISNUMBER(J155)),IF(J155&lt;=Settings!$B$6,N(G155),0),0)</f>
        <v>0</v>
      </c>
      <c r="M155" s="17" t="n">
        <f aca="false">IF(L155=0,0,IF(H155="Backlog",N(G155),N(G155)*Dashboard!$C$10))</f>
        <v>0</v>
      </c>
      <c r="N155" s="9" t="n">
        <f aca="false">IF(B155="",0,IF(COUNTIF(Dashboard!$C$13:$C$22,B155)&gt;0,1,0))</f>
        <v>0</v>
      </c>
    </row>
    <row r="156" customFormat="false" ht="15" hidden="false" customHeight="false" outlineLevel="0" collapsed="false">
      <c r="A156" s="13"/>
      <c r="B156" s="13"/>
      <c r="C156" s="13"/>
      <c r="D156" s="13"/>
      <c r="E156" s="10"/>
      <c r="F156" s="46"/>
      <c r="G156" s="47"/>
      <c r="H156" s="9" t="str">
        <f aca="false">IF(OR(G156="",A156=""),"",IF(NOT(ISNUMBER(F156)),"NO DATE",IF(D156="Backlog",IF(F156&gt;Settings!$B$5,"Backlog","Delivered"),IF(F156&gt;Settings!$B$5,"Pipeline","Overdue"))))</f>
        <v/>
      </c>
      <c r="I156" s="17" t="n">
        <f aca="false">IF(H156="",0,N(G156)*IF(D156="Backlog",1,N(E156)))</f>
        <v>0</v>
      </c>
      <c r="J156" s="48" t="str">
        <f aca="false">IF(OR(H156="",H156="NO DATE"),"",IF(H156="Overdue",IF(Settings!$B$8="Yes",Settings!$B$7,""),DATE(YEAR(F156),MONTH(F156),1)))</f>
        <v/>
      </c>
      <c r="K156" s="17" t="n">
        <f aca="false">IF(AND(OR(H156="Backlog",H156="Pipeline",H156="Overdue"),ISNUMBER(J156)),IF(J156&lt;=Settings!$B$6,I156,0),0)</f>
        <v>0</v>
      </c>
      <c r="L156" s="17" t="n">
        <f aca="false">IF(AND(OR(H156="Backlog",H156="Pipeline",H156="Overdue"),ISNUMBER(J156)),IF(J156&lt;=Settings!$B$6,N(G156),0),0)</f>
        <v>0</v>
      </c>
      <c r="M156" s="17" t="n">
        <f aca="false">IF(L156=0,0,IF(H156="Backlog",N(G156),N(G156)*Dashboard!$C$10))</f>
        <v>0</v>
      </c>
      <c r="N156" s="9" t="n">
        <f aca="false">IF(B156="",0,IF(COUNTIF(Dashboard!$C$13:$C$22,B156)&gt;0,1,0))</f>
        <v>0</v>
      </c>
    </row>
    <row r="157" customFormat="false" ht="15" hidden="false" customHeight="false" outlineLevel="0" collapsed="false">
      <c r="A157" s="13"/>
      <c r="B157" s="13"/>
      <c r="C157" s="13"/>
      <c r="D157" s="13"/>
      <c r="E157" s="10"/>
      <c r="F157" s="46"/>
      <c r="G157" s="47"/>
      <c r="H157" s="9" t="str">
        <f aca="false">IF(OR(G157="",A157=""),"",IF(NOT(ISNUMBER(F157)),"NO DATE",IF(D157="Backlog",IF(F157&gt;Settings!$B$5,"Backlog","Delivered"),IF(F157&gt;Settings!$B$5,"Pipeline","Overdue"))))</f>
        <v/>
      </c>
      <c r="I157" s="17" t="n">
        <f aca="false">IF(H157="",0,N(G157)*IF(D157="Backlog",1,N(E157)))</f>
        <v>0</v>
      </c>
      <c r="J157" s="48" t="str">
        <f aca="false">IF(OR(H157="",H157="NO DATE"),"",IF(H157="Overdue",IF(Settings!$B$8="Yes",Settings!$B$7,""),DATE(YEAR(F157),MONTH(F157),1)))</f>
        <v/>
      </c>
      <c r="K157" s="17" t="n">
        <f aca="false">IF(AND(OR(H157="Backlog",H157="Pipeline",H157="Overdue"),ISNUMBER(J157)),IF(J157&lt;=Settings!$B$6,I157,0),0)</f>
        <v>0</v>
      </c>
      <c r="L157" s="17" t="n">
        <f aca="false">IF(AND(OR(H157="Backlog",H157="Pipeline",H157="Overdue"),ISNUMBER(J157)),IF(J157&lt;=Settings!$B$6,N(G157),0),0)</f>
        <v>0</v>
      </c>
      <c r="M157" s="17" t="n">
        <f aca="false">IF(L157=0,0,IF(H157="Backlog",N(G157),N(G157)*Dashboard!$C$10))</f>
        <v>0</v>
      </c>
      <c r="N157" s="9" t="n">
        <f aca="false">IF(B157="",0,IF(COUNTIF(Dashboard!$C$13:$C$22,B157)&gt;0,1,0))</f>
        <v>0</v>
      </c>
    </row>
    <row r="158" customFormat="false" ht="15" hidden="false" customHeight="false" outlineLevel="0" collapsed="false">
      <c r="A158" s="13"/>
      <c r="B158" s="13"/>
      <c r="C158" s="13"/>
      <c r="D158" s="13"/>
      <c r="E158" s="10"/>
      <c r="F158" s="46"/>
      <c r="G158" s="47"/>
      <c r="H158" s="9" t="str">
        <f aca="false">IF(OR(G158="",A158=""),"",IF(NOT(ISNUMBER(F158)),"NO DATE",IF(D158="Backlog",IF(F158&gt;Settings!$B$5,"Backlog","Delivered"),IF(F158&gt;Settings!$B$5,"Pipeline","Overdue"))))</f>
        <v/>
      </c>
      <c r="I158" s="17" t="n">
        <f aca="false">IF(H158="",0,N(G158)*IF(D158="Backlog",1,N(E158)))</f>
        <v>0</v>
      </c>
      <c r="J158" s="48" t="str">
        <f aca="false">IF(OR(H158="",H158="NO DATE"),"",IF(H158="Overdue",IF(Settings!$B$8="Yes",Settings!$B$7,""),DATE(YEAR(F158),MONTH(F158),1)))</f>
        <v/>
      </c>
      <c r="K158" s="17" t="n">
        <f aca="false">IF(AND(OR(H158="Backlog",H158="Pipeline",H158="Overdue"),ISNUMBER(J158)),IF(J158&lt;=Settings!$B$6,I158,0),0)</f>
        <v>0</v>
      </c>
      <c r="L158" s="17" t="n">
        <f aca="false">IF(AND(OR(H158="Backlog",H158="Pipeline",H158="Overdue"),ISNUMBER(J158)),IF(J158&lt;=Settings!$B$6,N(G158),0),0)</f>
        <v>0</v>
      </c>
      <c r="M158" s="17" t="n">
        <f aca="false">IF(L158=0,0,IF(H158="Backlog",N(G158),N(G158)*Dashboard!$C$10))</f>
        <v>0</v>
      </c>
      <c r="N158" s="9" t="n">
        <f aca="false">IF(B158="",0,IF(COUNTIF(Dashboard!$C$13:$C$22,B158)&gt;0,1,0))</f>
        <v>0</v>
      </c>
    </row>
    <row r="159" customFormat="false" ht="15" hidden="false" customHeight="false" outlineLevel="0" collapsed="false">
      <c r="A159" s="13"/>
      <c r="B159" s="13"/>
      <c r="C159" s="13"/>
      <c r="D159" s="13"/>
      <c r="E159" s="10"/>
      <c r="F159" s="46"/>
      <c r="G159" s="47"/>
      <c r="H159" s="9" t="str">
        <f aca="false">IF(OR(G159="",A159=""),"",IF(NOT(ISNUMBER(F159)),"NO DATE",IF(D159="Backlog",IF(F159&gt;Settings!$B$5,"Backlog","Delivered"),IF(F159&gt;Settings!$B$5,"Pipeline","Overdue"))))</f>
        <v/>
      </c>
      <c r="I159" s="17" t="n">
        <f aca="false">IF(H159="",0,N(G159)*IF(D159="Backlog",1,N(E159)))</f>
        <v>0</v>
      </c>
      <c r="J159" s="48" t="str">
        <f aca="false">IF(OR(H159="",H159="NO DATE"),"",IF(H159="Overdue",IF(Settings!$B$8="Yes",Settings!$B$7,""),DATE(YEAR(F159),MONTH(F159),1)))</f>
        <v/>
      </c>
      <c r="K159" s="17" t="n">
        <f aca="false">IF(AND(OR(H159="Backlog",H159="Pipeline",H159="Overdue"),ISNUMBER(J159)),IF(J159&lt;=Settings!$B$6,I159,0),0)</f>
        <v>0</v>
      </c>
      <c r="L159" s="17" t="n">
        <f aca="false">IF(AND(OR(H159="Backlog",H159="Pipeline",H159="Overdue"),ISNUMBER(J159)),IF(J159&lt;=Settings!$B$6,N(G159),0),0)</f>
        <v>0</v>
      </c>
      <c r="M159" s="17" t="n">
        <f aca="false">IF(L159=0,0,IF(H159="Backlog",N(G159),N(G159)*Dashboard!$C$10))</f>
        <v>0</v>
      </c>
      <c r="N159" s="9" t="n">
        <f aca="false">IF(B159="",0,IF(COUNTIF(Dashboard!$C$13:$C$22,B159)&gt;0,1,0))</f>
        <v>0</v>
      </c>
    </row>
    <row r="160" customFormat="false" ht="15" hidden="false" customHeight="false" outlineLevel="0" collapsed="false">
      <c r="A160" s="13"/>
      <c r="B160" s="13"/>
      <c r="C160" s="13"/>
      <c r="D160" s="13"/>
      <c r="E160" s="10"/>
      <c r="F160" s="46"/>
      <c r="G160" s="47"/>
      <c r="H160" s="9" t="str">
        <f aca="false">IF(OR(G160="",A160=""),"",IF(NOT(ISNUMBER(F160)),"NO DATE",IF(D160="Backlog",IF(F160&gt;Settings!$B$5,"Backlog","Delivered"),IF(F160&gt;Settings!$B$5,"Pipeline","Overdue"))))</f>
        <v/>
      </c>
      <c r="I160" s="17" t="n">
        <f aca="false">IF(H160="",0,N(G160)*IF(D160="Backlog",1,N(E160)))</f>
        <v>0</v>
      </c>
      <c r="J160" s="48" t="str">
        <f aca="false">IF(OR(H160="",H160="NO DATE"),"",IF(H160="Overdue",IF(Settings!$B$8="Yes",Settings!$B$7,""),DATE(YEAR(F160),MONTH(F160),1)))</f>
        <v/>
      </c>
      <c r="K160" s="17" t="n">
        <f aca="false">IF(AND(OR(H160="Backlog",H160="Pipeline",H160="Overdue"),ISNUMBER(J160)),IF(J160&lt;=Settings!$B$6,I160,0),0)</f>
        <v>0</v>
      </c>
      <c r="L160" s="17" t="n">
        <f aca="false">IF(AND(OR(H160="Backlog",H160="Pipeline",H160="Overdue"),ISNUMBER(J160)),IF(J160&lt;=Settings!$B$6,N(G160),0),0)</f>
        <v>0</v>
      </c>
      <c r="M160" s="17" t="n">
        <f aca="false">IF(L160=0,0,IF(H160="Backlog",N(G160),N(G160)*Dashboard!$C$10))</f>
        <v>0</v>
      </c>
      <c r="N160" s="9" t="n">
        <f aca="false">IF(B160="",0,IF(COUNTIF(Dashboard!$C$13:$C$22,B160)&gt;0,1,0))</f>
        <v>0</v>
      </c>
    </row>
    <row r="161" customFormat="false" ht="15" hidden="false" customHeight="false" outlineLevel="0" collapsed="false">
      <c r="A161" s="13"/>
      <c r="B161" s="13"/>
      <c r="C161" s="13"/>
      <c r="D161" s="13"/>
      <c r="E161" s="10"/>
      <c r="F161" s="46"/>
      <c r="G161" s="47"/>
      <c r="H161" s="9" t="str">
        <f aca="false">IF(OR(G161="",A161=""),"",IF(NOT(ISNUMBER(F161)),"NO DATE",IF(D161="Backlog",IF(F161&gt;Settings!$B$5,"Backlog","Delivered"),IF(F161&gt;Settings!$B$5,"Pipeline","Overdue"))))</f>
        <v/>
      </c>
      <c r="I161" s="17" t="n">
        <f aca="false">IF(H161="",0,N(G161)*IF(D161="Backlog",1,N(E161)))</f>
        <v>0</v>
      </c>
      <c r="J161" s="48" t="str">
        <f aca="false">IF(OR(H161="",H161="NO DATE"),"",IF(H161="Overdue",IF(Settings!$B$8="Yes",Settings!$B$7,""),DATE(YEAR(F161),MONTH(F161),1)))</f>
        <v/>
      </c>
      <c r="K161" s="17" t="n">
        <f aca="false">IF(AND(OR(H161="Backlog",H161="Pipeline",H161="Overdue"),ISNUMBER(J161)),IF(J161&lt;=Settings!$B$6,I161,0),0)</f>
        <v>0</v>
      </c>
      <c r="L161" s="17" t="n">
        <f aca="false">IF(AND(OR(H161="Backlog",H161="Pipeline",H161="Overdue"),ISNUMBER(J161)),IF(J161&lt;=Settings!$B$6,N(G161),0),0)</f>
        <v>0</v>
      </c>
      <c r="M161" s="17" t="n">
        <f aca="false">IF(L161=0,0,IF(H161="Backlog",N(G161),N(G161)*Dashboard!$C$10))</f>
        <v>0</v>
      </c>
      <c r="N161" s="9" t="n">
        <f aca="false">IF(B161="",0,IF(COUNTIF(Dashboard!$C$13:$C$22,B161)&gt;0,1,0))</f>
        <v>0</v>
      </c>
    </row>
    <row r="162" customFormat="false" ht="15" hidden="false" customHeight="false" outlineLevel="0" collapsed="false">
      <c r="A162" s="13"/>
      <c r="B162" s="13"/>
      <c r="C162" s="13"/>
      <c r="D162" s="13"/>
      <c r="E162" s="10"/>
      <c r="F162" s="46"/>
      <c r="G162" s="47"/>
      <c r="H162" s="9" t="str">
        <f aca="false">IF(OR(G162="",A162=""),"",IF(NOT(ISNUMBER(F162)),"NO DATE",IF(D162="Backlog",IF(F162&gt;Settings!$B$5,"Backlog","Delivered"),IF(F162&gt;Settings!$B$5,"Pipeline","Overdue"))))</f>
        <v/>
      </c>
      <c r="I162" s="17" t="n">
        <f aca="false">IF(H162="",0,N(G162)*IF(D162="Backlog",1,N(E162)))</f>
        <v>0</v>
      </c>
      <c r="J162" s="48" t="str">
        <f aca="false">IF(OR(H162="",H162="NO DATE"),"",IF(H162="Overdue",IF(Settings!$B$8="Yes",Settings!$B$7,""),DATE(YEAR(F162),MONTH(F162),1)))</f>
        <v/>
      </c>
      <c r="K162" s="17" t="n">
        <f aca="false">IF(AND(OR(H162="Backlog",H162="Pipeline",H162="Overdue"),ISNUMBER(J162)),IF(J162&lt;=Settings!$B$6,I162,0),0)</f>
        <v>0</v>
      </c>
      <c r="L162" s="17" t="n">
        <f aca="false">IF(AND(OR(H162="Backlog",H162="Pipeline",H162="Overdue"),ISNUMBER(J162)),IF(J162&lt;=Settings!$B$6,N(G162),0),0)</f>
        <v>0</v>
      </c>
      <c r="M162" s="17" t="n">
        <f aca="false">IF(L162=0,0,IF(H162="Backlog",N(G162),N(G162)*Dashboard!$C$10))</f>
        <v>0</v>
      </c>
      <c r="N162" s="9" t="n">
        <f aca="false">IF(B162="",0,IF(COUNTIF(Dashboard!$C$13:$C$22,B162)&gt;0,1,0))</f>
        <v>0</v>
      </c>
    </row>
    <row r="163" customFormat="false" ht="15" hidden="false" customHeight="false" outlineLevel="0" collapsed="false">
      <c r="A163" s="13"/>
      <c r="B163" s="13"/>
      <c r="C163" s="13"/>
      <c r="D163" s="13"/>
      <c r="E163" s="10"/>
      <c r="F163" s="46"/>
      <c r="G163" s="47"/>
      <c r="H163" s="9" t="str">
        <f aca="false">IF(OR(G163="",A163=""),"",IF(NOT(ISNUMBER(F163)),"NO DATE",IF(D163="Backlog",IF(F163&gt;Settings!$B$5,"Backlog","Delivered"),IF(F163&gt;Settings!$B$5,"Pipeline","Overdue"))))</f>
        <v/>
      </c>
      <c r="I163" s="17" t="n">
        <f aca="false">IF(H163="",0,N(G163)*IF(D163="Backlog",1,N(E163)))</f>
        <v>0</v>
      </c>
      <c r="J163" s="48" t="str">
        <f aca="false">IF(OR(H163="",H163="NO DATE"),"",IF(H163="Overdue",IF(Settings!$B$8="Yes",Settings!$B$7,""),DATE(YEAR(F163),MONTH(F163),1)))</f>
        <v/>
      </c>
      <c r="K163" s="17" t="n">
        <f aca="false">IF(AND(OR(H163="Backlog",H163="Pipeline",H163="Overdue"),ISNUMBER(J163)),IF(J163&lt;=Settings!$B$6,I163,0),0)</f>
        <v>0</v>
      </c>
      <c r="L163" s="17" t="n">
        <f aca="false">IF(AND(OR(H163="Backlog",H163="Pipeline",H163="Overdue"),ISNUMBER(J163)),IF(J163&lt;=Settings!$B$6,N(G163),0),0)</f>
        <v>0</v>
      </c>
      <c r="M163" s="17" t="n">
        <f aca="false">IF(L163=0,0,IF(H163="Backlog",N(G163),N(G163)*Dashboard!$C$10))</f>
        <v>0</v>
      </c>
      <c r="N163" s="9" t="n">
        <f aca="false">IF(B163="",0,IF(COUNTIF(Dashboard!$C$13:$C$22,B163)&gt;0,1,0))</f>
        <v>0</v>
      </c>
    </row>
    <row r="164" customFormat="false" ht="15" hidden="false" customHeight="false" outlineLevel="0" collapsed="false">
      <c r="A164" s="13"/>
      <c r="B164" s="13"/>
      <c r="C164" s="13"/>
      <c r="D164" s="13"/>
      <c r="E164" s="10"/>
      <c r="F164" s="46"/>
      <c r="G164" s="47"/>
      <c r="H164" s="9" t="str">
        <f aca="false">IF(OR(G164="",A164=""),"",IF(NOT(ISNUMBER(F164)),"NO DATE",IF(D164="Backlog",IF(F164&gt;Settings!$B$5,"Backlog","Delivered"),IF(F164&gt;Settings!$B$5,"Pipeline","Overdue"))))</f>
        <v/>
      </c>
      <c r="I164" s="17" t="n">
        <f aca="false">IF(H164="",0,N(G164)*IF(D164="Backlog",1,N(E164)))</f>
        <v>0</v>
      </c>
      <c r="J164" s="48" t="str">
        <f aca="false">IF(OR(H164="",H164="NO DATE"),"",IF(H164="Overdue",IF(Settings!$B$8="Yes",Settings!$B$7,""),DATE(YEAR(F164),MONTH(F164),1)))</f>
        <v/>
      </c>
      <c r="K164" s="17" t="n">
        <f aca="false">IF(AND(OR(H164="Backlog",H164="Pipeline",H164="Overdue"),ISNUMBER(J164)),IF(J164&lt;=Settings!$B$6,I164,0),0)</f>
        <v>0</v>
      </c>
      <c r="L164" s="17" t="n">
        <f aca="false">IF(AND(OR(H164="Backlog",H164="Pipeline",H164="Overdue"),ISNUMBER(J164)),IF(J164&lt;=Settings!$B$6,N(G164),0),0)</f>
        <v>0</v>
      </c>
      <c r="M164" s="17" t="n">
        <f aca="false">IF(L164=0,0,IF(H164="Backlog",N(G164),N(G164)*Dashboard!$C$10))</f>
        <v>0</v>
      </c>
      <c r="N164" s="9" t="n">
        <f aca="false">IF(B164="",0,IF(COUNTIF(Dashboard!$C$13:$C$22,B164)&gt;0,1,0))</f>
        <v>0</v>
      </c>
    </row>
    <row r="165" customFormat="false" ht="15" hidden="false" customHeight="false" outlineLevel="0" collapsed="false">
      <c r="A165" s="13"/>
      <c r="B165" s="13"/>
      <c r="C165" s="13"/>
      <c r="D165" s="13"/>
      <c r="E165" s="10"/>
      <c r="F165" s="46"/>
      <c r="G165" s="47"/>
      <c r="H165" s="9" t="str">
        <f aca="false">IF(OR(G165="",A165=""),"",IF(NOT(ISNUMBER(F165)),"NO DATE",IF(D165="Backlog",IF(F165&gt;Settings!$B$5,"Backlog","Delivered"),IF(F165&gt;Settings!$B$5,"Pipeline","Overdue"))))</f>
        <v/>
      </c>
      <c r="I165" s="17" t="n">
        <f aca="false">IF(H165="",0,N(G165)*IF(D165="Backlog",1,N(E165)))</f>
        <v>0</v>
      </c>
      <c r="J165" s="48" t="str">
        <f aca="false">IF(OR(H165="",H165="NO DATE"),"",IF(H165="Overdue",IF(Settings!$B$8="Yes",Settings!$B$7,""),DATE(YEAR(F165),MONTH(F165),1)))</f>
        <v/>
      </c>
      <c r="K165" s="17" t="n">
        <f aca="false">IF(AND(OR(H165="Backlog",H165="Pipeline",H165="Overdue"),ISNUMBER(J165)),IF(J165&lt;=Settings!$B$6,I165,0),0)</f>
        <v>0</v>
      </c>
      <c r="L165" s="17" t="n">
        <f aca="false">IF(AND(OR(H165="Backlog",H165="Pipeline",H165="Overdue"),ISNUMBER(J165)),IF(J165&lt;=Settings!$B$6,N(G165),0),0)</f>
        <v>0</v>
      </c>
      <c r="M165" s="17" t="n">
        <f aca="false">IF(L165=0,0,IF(H165="Backlog",N(G165),N(G165)*Dashboard!$C$10))</f>
        <v>0</v>
      </c>
      <c r="N165" s="9" t="n">
        <f aca="false">IF(B165="",0,IF(COUNTIF(Dashboard!$C$13:$C$22,B165)&gt;0,1,0))</f>
        <v>0</v>
      </c>
    </row>
    <row r="166" customFormat="false" ht="15" hidden="false" customHeight="false" outlineLevel="0" collapsed="false">
      <c r="A166" s="13"/>
      <c r="B166" s="13"/>
      <c r="C166" s="13"/>
      <c r="D166" s="13"/>
      <c r="E166" s="10"/>
      <c r="F166" s="46"/>
      <c r="G166" s="47"/>
      <c r="H166" s="9" t="str">
        <f aca="false">IF(OR(G166="",A166=""),"",IF(NOT(ISNUMBER(F166)),"NO DATE",IF(D166="Backlog",IF(F166&gt;Settings!$B$5,"Backlog","Delivered"),IF(F166&gt;Settings!$B$5,"Pipeline","Overdue"))))</f>
        <v/>
      </c>
      <c r="I166" s="17" t="n">
        <f aca="false">IF(H166="",0,N(G166)*IF(D166="Backlog",1,N(E166)))</f>
        <v>0</v>
      </c>
      <c r="J166" s="48" t="str">
        <f aca="false">IF(OR(H166="",H166="NO DATE"),"",IF(H166="Overdue",IF(Settings!$B$8="Yes",Settings!$B$7,""),DATE(YEAR(F166),MONTH(F166),1)))</f>
        <v/>
      </c>
      <c r="K166" s="17" t="n">
        <f aca="false">IF(AND(OR(H166="Backlog",H166="Pipeline",H166="Overdue"),ISNUMBER(J166)),IF(J166&lt;=Settings!$B$6,I166,0),0)</f>
        <v>0</v>
      </c>
      <c r="L166" s="17" t="n">
        <f aca="false">IF(AND(OR(H166="Backlog",H166="Pipeline",H166="Overdue"),ISNUMBER(J166)),IF(J166&lt;=Settings!$B$6,N(G166),0),0)</f>
        <v>0</v>
      </c>
      <c r="M166" s="17" t="n">
        <f aca="false">IF(L166=0,0,IF(H166="Backlog",N(G166),N(G166)*Dashboard!$C$10))</f>
        <v>0</v>
      </c>
      <c r="N166" s="9" t="n">
        <f aca="false">IF(B166="",0,IF(COUNTIF(Dashboard!$C$13:$C$22,B166)&gt;0,1,0))</f>
        <v>0</v>
      </c>
    </row>
    <row r="167" customFormat="false" ht="15" hidden="false" customHeight="false" outlineLevel="0" collapsed="false">
      <c r="A167" s="13"/>
      <c r="B167" s="13"/>
      <c r="C167" s="13"/>
      <c r="D167" s="13"/>
      <c r="E167" s="10"/>
      <c r="F167" s="46"/>
      <c r="G167" s="47"/>
      <c r="H167" s="9" t="str">
        <f aca="false">IF(OR(G167="",A167=""),"",IF(NOT(ISNUMBER(F167)),"NO DATE",IF(D167="Backlog",IF(F167&gt;Settings!$B$5,"Backlog","Delivered"),IF(F167&gt;Settings!$B$5,"Pipeline","Overdue"))))</f>
        <v/>
      </c>
      <c r="I167" s="17" t="n">
        <f aca="false">IF(H167="",0,N(G167)*IF(D167="Backlog",1,N(E167)))</f>
        <v>0</v>
      </c>
      <c r="J167" s="48" t="str">
        <f aca="false">IF(OR(H167="",H167="NO DATE"),"",IF(H167="Overdue",IF(Settings!$B$8="Yes",Settings!$B$7,""),DATE(YEAR(F167),MONTH(F167),1)))</f>
        <v/>
      </c>
      <c r="K167" s="17" t="n">
        <f aca="false">IF(AND(OR(H167="Backlog",H167="Pipeline",H167="Overdue"),ISNUMBER(J167)),IF(J167&lt;=Settings!$B$6,I167,0),0)</f>
        <v>0</v>
      </c>
      <c r="L167" s="17" t="n">
        <f aca="false">IF(AND(OR(H167="Backlog",H167="Pipeline",H167="Overdue"),ISNUMBER(J167)),IF(J167&lt;=Settings!$B$6,N(G167),0),0)</f>
        <v>0</v>
      </c>
      <c r="M167" s="17" t="n">
        <f aca="false">IF(L167=0,0,IF(H167="Backlog",N(G167),N(G167)*Dashboard!$C$10))</f>
        <v>0</v>
      </c>
      <c r="N167" s="9" t="n">
        <f aca="false">IF(B167="",0,IF(COUNTIF(Dashboard!$C$13:$C$22,B167)&gt;0,1,0))</f>
        <v>0</v>
      </c>
    </row>
    <row r="168" customFormat="false" ht="15" hidden="false" customHeight="false" outlineLevel="0" collapsed="false">
      <c r="A168" s="13"/>
      <c r="B168" s="13"/>
      <c r="C168" s="13"/>
      <c r="D168" s="13"/>
      <c r="E168" s="10"/>
      <c r="F168" s="46"/>
      <c r="G168" s="47"/>
      <c r="H168" s="9" t="str">
        <f aca="false">IF(OR(G168="",A168=""),"",IF(NOT(ISNUMBER(F168)),"NO DATE",IF(D168="Backlog",IF(F168&gt;Settings!$B$5,"Backlog","Delivered"),IF(F168&gt;Settings!$B$5,"Pipeline","Overdue"))))</f>
        <v/>
      </c>
      <c r="I168" s="17" t="n">
        <f aca="false">IF(H168="",0,N(G168)*IF(D168="Backlog",1,N(E168)))</f>
        <v>0</v>
      </c>
      <c r="J168" s="48" t="str">
        <f aca="false">IF(OR(H168="",H168="NO DATE"),"",IF(H168="Overdue",IF(Settings!$B$8="Yes",Settings!$B$7,""),DATE(YEAR(F168),MONTH(F168),1)))</f>
        <v/>
      </c>
      <c r="K168" s="17" t="n">
        <f aca="false">IF(AND(OR(H168="Backlog",H168="Pipeline",H168="Overdue"),ISNUMBER(J168)),IF(J168&lt;=Settings!$B$6,I168,0),0)</f>
        <v>0</v>
      </c>
      <c r="L168" s="17" t="n">
        <f aca="false">IF(AND(OR(H168="Backlog",H168="Pipeline",H168="Overdue"),ISNUMBER(J168)),IF(J168&lt;=Settings!$B$6,N(G168),0),0)</f>
        <v>0</v>
      </c>
      <c r="M168" s="17" t="n">
        <f aca="false">IF(L168=0,0,IF(H168="Backlog",N(G168),N(G168)*Dashboard!$C$10))</f>
        <v>0</v>
      </c>
      <c r="N168" s="9" t="n">
        <f aca="false">IF(B168="",0,IF(COUNTIF(Dashboard!$C$13:$C$22,B168)&gt;0,1,0))</f>
        <v>0</v>
      </c>
    </row>
    <row r="169" customFormat="false" ht="15" hidden="false" customHeight="false" outlineLevel="0" collapsed="false">
      <c r="A169" s="13"/>
      <c r="B169" s="13"/>
      <c r="C169" s="13"/>
      <c r="D169" s="13"/>
      <c r="E169" s="10"/>
      <c r="F169" s="46"/>
      <c r="G169" s="47"/>
      <c r="H169" s="9" t="str">
        <f aca="false">IF(OR(G169="",A169=""),"",IF(NOT(ISNUMBER(F169)),"NO DATE",IF(D169="Backlog",IF(F169&gt;Settings!$B$5,"Backlog","Delivered"),IF(F169&gt;Settings!$B$5,"Pipeline","Overdue"))))</f>
        <v/>
      </c>
      <c r="I169" s="17" t="n">
        <f aca="false">IF(H169="",0,N(G169)*IF(D169="Backlog",1,N(E169)))</f>
        <v>0</v>
      </c>
      <c r="J169" s="48" t="str">
        <f aca="false">IF(OR(H169="",H169="NO DATE"),"",IF(H169="Overdue",IF(Settings!$B$8="Yes",Settings!$B$7,""),DATE(YEAR(F169),MONTH(F169),1)))</f>
        <v/>
      </c>
      <c r="K169" s="17" t="n">
        <f aca="false">IF(AND(OR(H169="Backlog",H169="Pipeline",H169="Overdue"),ISNUMBER(J169)),IF(J169&lt;=Settings!$B$6,I169,0),0)</f>
        <v>0</v>
      </c>
      <c r="L169" s="17" t="n">
        <f aca="false">IF(AND(OR(H169="Backlog",H169="Pipeline",H169="Overdue"),ISNUMBER(J169)),IF(J169&lt;=Settings!$B$6,N(G169),0),0)</f>
        <v>0</v>
      </c>
      <c r="M169" s="17" t="n">
        <f aca="false">IF(L169=0,0,IF(H169="Backlog",N(G169),N(G169)*Dashboard!$C$10))</f>
        <v>0</v>
      </c>
      <c r="N169" s="9" t="n">
        <f aca="false">IF(B169="",0,IF(COUNTIF(Dashboard!$C$13:$C$22,B169)&gt;0,1,0))</f>
        <v>0</v>
      </c>
    </row>
    <row r="170" customFormat="false" ht="15" hidden="false" customHeight="false" outlineLevel="0" collapsed="false">
      <c r="A170" s="13"/>
      <c r="B170" s="13"/>
      <c r="C170" s="13"/>
      <c r="D170" s="13"/>
      <c r="E170" s="10"/>
      <c r="F170" s="46"/>
      <c r="G170" s="47"/>
      <c r="H170" s="9" t="str">
        <f aca="false">IF(OR(G170="",A170=""),"",IF(NOT(ISNUMBER(F170)),"NO DATE",IF(D170="Backlog",IF(F170&gt;Settings!$B$5,"Backlog","Delivered"),IF(F170&gt;Settings!$B$5,"Pipeline","Overdue"))))</f>
        <v/>
      </c>
      <c r="I170" s="17" t="n">
        <f aca="false">IF(H170="",0,N(G170)*IF(D170="Backlog",1,N(E170)))</f>
        <v>0</v>
      </c>
      <c r="J170" s="48" t="str">
        <f aca="false">IF(OR(H170="",H170="NO DATE"),"",IF(H170="Overdue",IF(Settings!$B$8="Yes",Settings!$B$7,""),DATE(YEAR(F170),MONTH(F170),1)))</f>
        <v/>
      </c>
      <c r="K170" s="17" t="n">
        <f aca="false">IF(AND(OR(H170="Backlog",H170="Pipeline",H170="Overdue"),ISNUMBER(J170)),IF(J170&lt;=Settings!$B$6,I170,0),0)</f>
        <v>0</v>
      </c>
      <c r="L170" s="17" t="n">
        <f aca="false">IF(AND(OR(H170="Backlog",H170="Pipeline",H170="Overdue"),ISNUMBER(J170)),IF(J170&lt;=Settings!$B$6,N(G170),0),0)</f>
        <v>0</v>
      </c>
      <c r="M170" s="17" t="n">
        <f aca="false">IF(L170=0,0,IF(H170="Backlog",N(G170),N(G170)*Dashboard!$C$10))</f>
        <v>0</v>
      </c>
      <c r="N170" s="9" t="n">
        <f aca="false">IF(B170="",0,IF(COUNTIF(Dashboard!$C$13:$C$22,B170)&gt;0,1,0))</f>
        <v>0</v>
      </c>
    </row>
    <row r="171" customFormat="false" ht="15" hidden="false" customHeight="false" outlineLevel="0" collapsed="false">
      <c r="A171" s="13"/>
      <c r="B171" s="13"/>
      <c r="C171" s="13"/>
      <c r="D171" s="13"/>
      <c r="E171" s="10"/>
      <c r="F171" s="46"/>
      <c r="G171" s="47"/>
      <c r="H171" s="9" t="str">
        <f aca="false">IF(OR(G171="",A171=""),"",IF(NOT(ISNUMBER(F171)),"NO DATE",IF(D171="Backlog",IF(F171&gt;Settings!$B$5,"Backlog","Delivered"),IF(F171&gt;Settings!$B$5,"Pipeline","Overdue"))))</f>
        <v/>
      </c>
      <c r="I171" s="17" t="n">
        <f aca="false">IF(H171="",0,N(G171)*IF(D171="Backlog",1,N(E171)))</f>
        <v>0</v>
      </c>
      <c r="J171" s="48" t="str">
        <f aca="false">IF(OR(H171="",H171="NO DATE"),"",IF(H171="Overdue",IF(Settings!$B$8="Yes",Settings!$B$7,""),DATE(YEAR(F171),MONTH(F171),1)))</f>
        <v/>
      </c>
      <c r="K171" s="17" t="n">
        <f aca="false">IF(AND(OR(H171="Backlog",H171="Pipeline",H171="Overdue"),ISNUMBER(J171)),IF(J171&lt;=Settings!$B$6,I171,0),0)</f>
        <v>0</v>
      </c>
      <c r="L171" s="17" t="n">
        <f aca="false">IF(AND(OR(H171="Backlog",H171="Pipeline",H171="Overdue"),ISNUMBER(J171)),IF(J171&lt;=Settings!$B$6,N(G171),0),0)</f>
        <v>0</v>
      </c>
      <c r="M171" s="17" t="n">
        <f aca="false">IF(L171=0,0,IF(H171="Backlog",N(G171),N(G171)*Dashboard!$C$10))</f>
        <v>0</v>
      </c>
      <c r="N171" s="9" t="n">
        <f aca="false">IF(B171="",0,IF(COUNTIF(Dashboard!$C$13:$C$22,B171)&gt;0,1,0))</f>
        <v>0</v>
      </c>
    </row>
    <row r="172" customFormat="false" ht="15" hidden="false" customHeight="false" outlineLevel="0" collapsed="false">
      <c r="A172" s="13"/>
      <c r="B172" s="13"/>
      <c r="C172" s="13"/>
      <c r="D172" s="13"/>
      <c r="E172" s="10"/>
      <c r="F172" s="46"/>
      <c r="G172" s="47"/>
      <c r="H172" s="9" t="str">
        <f aca="false">IF(OR(G172="",A172=""),"",IF(NOT(ISNUMBER(F172)),"NO DATE",IF(D172="Backlog",IF(F172&gt;Settings!$B$5,"Backlog","Delivered"),IF(F172&gt;Settings!$B$5,"Pipeline","Overdue"))))</f>
        <v/>
      </c>
      <c r="I172" s="17" t="n">
        <f aca="false">IF(H172="",0,N(G172)*IF(D172="Backlog",1,N(E172)))</f>
        <v>0</v>
      </c>
      <c r="J172" s="48" t="str">
        <f aca="false">IF(OR(H172="",H172="NO DATE"),"",IF(H172="Overdue",IF(Settings!$B$8="Yes",Settings!$B$7,""),DATE(YEAR(F172),MONTH(F172),1)))</f>
        <v/>
      </c>
      <c r="K172" s="17" t="n">
        <f aca="false">IF(AND(OR(H172="Backlog",H172="Pipeline",H172="Overdue"),ISNUMBER(J172)),IF(J172&lt;=Settings!$B$6,I172,0),0)</f>
        <v>0</v>
      </c>
      <c r="L172" s="17" t="n">
        <f aca="false">IF(AND(OR(H172="Backlog",H172="Pipeline",H172="Overdue"),ISNUMBER(J172)),IF(J172&lt;=Settings!$B$6,N(G172),0),0)</f>
        <v>0</v>
      </c>
      <c r="M172" s="17" t="n">
        <f aca="false">IF(L172=0,0,IF(H172="Backlog",N(G172),N(G172)*Dashboard!$C$10))</f>
        <v>0</v>
      </c>
      <c r="N172" s="9" t="n">
        <f aca="false">IF(B172="",0,IF(COUNTIF(Dashboard!$C$13:$C$22,B172)&gt;0,1,0))</f>
        <v>0</v>
      </c>
    </row>
    <row r="173" customFormat="false" ht="15" hidden="false" customHeight="false" outlineLevel="0" collapsed="false">
      <c r="A173" s="13"/>
      <c r="B173" s="13"/>
      <c r="C173" s="13"/>
      <c r="D173" s="13"/>
      <c r="E173" s="10"/>
      <c r="F173" s="46"/>
      <c r="G173" s="47"/>
      <c r="H173" s="9" t="str">
        <f aca="false">IF(OR(G173="",A173=""),"",IF(NOT(ISNUMBER(F173)),"NO DATE",IF(D173="Backlog",IF(F173&gt;Settings!$B$5,"Backlog","Delivered"),IF(F173&gt;Settings!$B$5,"Pipeline","Overdue"))))</f>
        <v/>
      </c>
      <c r="I173" s="17" t="n">
        <f aca="false">IF(H173="",0,N(G173)*IF(D173="Backlog",1,N(E173)))</f>
        <v>0</v>
      </c>
      <c r="J173" s="48" t="str">
        <f aca="false">IF(OR(H173="",H173="NO DATE"),"",IF(H173="Overdue",IF(Settings!$B$8="Yes",Settings!$B$7,""),DATE(YEAR(F173),MONTH(F173),1)))</f>
        <v/>
      </c>
      <c r="K173" s="17" t="n">
        <f aca="false">IF(AND(OR(H173="Backlog",H173="Pipeline",H173="Overdue"),ISNUMBER(J173)),IF(J173&lt;=Settings!$B$6,I173,0),0)</f>
        <v>0</v>
      </c>
      <c r="L173" s="17" t="n">
        <f aca="false">IF(AND(OR(H173="Backlog",H173="Pipeline",H173="Overdue"),ISNUMBER(J173)),IF(J173&lt;=Settings!$B$6,N(G173),0),0)</f>
        <v>0</v>
      </c>
      <c r="M173" s="17" t="n">
        <f aca="false">IF(L173=0,0,IF(H173="Backlog",N(G173),N(G173)*Dashboard!$C$10))</f>
        <v>0</v>
      </c>
      <c r="N173" s="9" t="n">
        <f aca="false">IF(B173="",0,IF(COUNTIF(Dashboard!$C$13:$C$22,B173)&gt;0,1,0))</f>
        <v>0</v>
      </c>
    </row>
    <row r="174" customFormat="false" ht="15" hidden="false" customHeight="false" outlineLevel="0" collapsed="false">
      <c r="A174" s="13"/>
      <c r="B174" s="13"/>
      <c r="C174" s="13"/>
      <c r="D174" s="13"/>
      <c r="E174" s="10"/>
      <c r="F174" s="46"/>
      <c r="G174" s="47"/>
      <c r="H174" s="9" t="str">
        <f aca="false">IF(OR(G174="",A174=""),"",IF(NOT(ISNUMBER(F174)),"NO DATE",IF(D174="Backlog",IF(F174&gt;Settings!$B$5,"Backlog","Delivered"),IF(F174&gt;Settings!$B$5,"Pipeline","Overdue"))))</f>
        <v/>
      </c>
      <c r="I174" s="17" t="n">
        <f aca="false">IF(H174="",0,N(G174)*IF(D174="Backlog",1,N(E174)))</f>
        <v>0</v>
      </c>
      <c r="J174" s="48" t="str">
        <f aca="false">IF(OR(H174="",H174="NO DATE"),"",IF(H174="Overdue",IF(Settings!$B$8="Yes",Settings!$B$7,""),DATE(YEAR(F174),MONTH(F174),1)))</f>
        <v/>
      </c>
      <c r="K174" s="17" t="n">
        <f aca="false">IF(AND(OR(H174="Backlog",H174="Pipeline",H174="Overdue"),ISNUMBER(J174)),IF(J174&lt;=Settings!$B$6,I174,0),0)</f>
        <v>0</v>
      </c>
      <c r="L174" s="17" t="n">
        <f aca="false">IF(AND(OR(H174="Backlog",H174="Pipeline",H174="Overdue"),ISNUMBER(J174)),IF(J174&lt;=Settings!$B$6,N(G174),0),0)</f>
        <v>0</v>
      </c>
      <c r="M174" s="17" t="n">
        <f aca="false">IF(L174=0,0,IF(H174="Backlog",N(G174),N(G174)*Dashboard!$C$10))</f>
        <v>0</v>
      </c>
      <c r="N174" s="9" t="n">
        <f aca="false">IF(B174="",0,IF(COUNTIF(Dashboard!$C$13:$C$22,B174)&gt;0,1,0))</f>
        <v>0</v>
      </c>
    </row>
    <row r="175" customFormat="false" ht="15" hidden="false" customHeight="false" outlineLevel="0" collapsed="false">
      <c r="A175" s="13"/>
      <c r="B175" s="13"/>
      <c r="C175" s="13"/>
      <c r="D175" s="13"/>
      <c r="E175" s="10"/>
      <c r="F175" s="46"/>
      <c r="G175" s="47"/>
      <c r="H175" s="9" t="str">
        <f aca="false">IF(OR(G175="",A175=""),"",IF(NOT(ISNUMBER(F175)),"NO DATE",IF(D175="Backlog",IF(F175&gt;Settings!$B$5,"Backlog","Delivered"),IF(F175&gt;Settings!$B$5,"Pipeline","Overdue"))))</f>
        <v/>
      </c>
      <c r="I175" s="17" t="n">
        <f aca="false">IF(H175="",0,N(G175)*IF(D175="Backlog",1,N(E175)))</f>
        <v>0</v>
      </c>
      <c r="J175" s="48" t="str">
        <f aca="false">IF(OR(H175="",H175="NO DATE"),"",IF(H175="Overdue",IF(Settings!$B$8="Yes",Settings!$B$7,""),DATE(YEAR(F175),MONTH(F175),1)))</f>
        <v/>
      </c>
      <c r="K175" s="17" t="n">
        <f aca="false">IF(AND(OR(H175="Backlog",H175="Pipeline",H175="Overdue"),ISNUMBER(J175)),IF(J175&lt;=Settings!$B$6,I175,0),0)</f>
        <v>0</v>
      </c>
      <c r="L175" s="17" t="n">
        <f aca="false">IF(AND(OR(H175="Backlog",H175="Pipeline",H175="Overdue"),ISNUMBER(J175)),IF(J175&lt;=Settings!$B$6,N(G175),0),0)</f>
        <v>0</v>
      </c>
      <c r="M175" s="17" t="n">
        <f aca="false">IF(L175=0,0,IF(H175="Backlog",N(G175),N(G175)*Dashboard!$C$10))</f>
        <v>0</v>
      </c>
      <c r="N175" s="9" t="n">
        <f aca="false">IF(B175="",0,IF(COUNTIF(Dashboard!$C$13:$C$22,B175)&gt;0,1,0))</f>
        <v>0</v>
      </c>
    </row>
    <row r="176" customFormat="false" ht="15" hidden="false" customHeight="false" outlineLevel="0" collapsed="false">
      <c r="A176" s="13"/>
      <c r="B176" s="13"/>
      <c r="C176" s="13"/>
      <c r="D176" s="13"/>
      <c r="E176" s="10"/>
      <c r="F176" s="46"/>
      <c r="G176" s="47"/>
      <c r="H176" s="9" t="str">
        <f aca="false">IF(OR(G176="",A176=""),"",IF(NOT(ISNUMBER(F176)),"NO DATE",IF(D176="Backlog",IF(F176&gt;Settings!$B$5,"Backlog","Delivered"),IF(F176&gt;Settings!$B$5,"Pipeline","Overdue"))))</f>
        <v/>
      </c>
      <c r="I176" s="17" t="n">
        <f aca="false">IF(H176="",0,N(G176)*IF(D176="Backlog",1,N(E176)))</f>
        <v>0</v>
      </c>
      <c r="J176" s="48" t="str">
        <f aca="false">IF(OR(H176="",H176="NO DATE"),"",IF(H176="Overdue",IF(Settings!$B$8="Yes",Settings!$B$7,""),DATE(YEAR(F176),MONTH(F176),1)))</f>
        <v/>
      </c>
      <c r="K176" s="17" t="n">
        <f aca="false">IF(AND(OR(H176="Backlog",H176="Pipeline",H176="Overdue"),ISNUMBER(J176)),IF(J176&lt;=Settings!$B$6,I176,0),0)</f>
        <v>0</v>
      </c>
      <c r="L176" s="17" t="n">
        <f aca="false">IF(AND(OR(H176="Backlog",H176="Pipeline",H176="Overdue"),ISNUMBER(J176)),IF(J176&lt;=Settings!$B$6,N(G176),0),0)</f>
        <v>0</v>
      </c>
      <c r="M176" s="17" t="n">
        <f aca="false">IF(L176=0,0,IF(H176="Backlog",N(G176),N(G176)*Dashboard!$C$10))</f>
        <v>0</v>
      </c>
      <c r="N176" s="9" t="n">
        <f aca="false">IF(B176="",0,IF(COUNTIF(Dashboard!$C$13:$C$22,B176)&gt;0,1,0))</f>
        <v>0</v>
      </c>
    </row>
    <row r="177" customFormat="false" ht="15" hidden="false" customHeight="false" outlineLevel="0" collapsed="false">
      <c r="A177" s="13"/>
      <c r="B177" s="13"/>
      <c r="C177" s="13"/>
      <c r="D177" s="13"/>
      <c r="E177" s="10"/>
      <c r="F177" s="46"/>
      <c r="G177" s="47"/>
      <c r="H177" s="9" t="str">
        <f aca="false">IF(OR(G177="",A177=""),"",IF(NOT(ISNUMBER(F177)),"NO DATE",IF(D177="Backlog",IF(F177&gt;Settings!$B$5,"Backlog","Delivered"),IF(F177&gt;Settings!$B$5,"Pipeline","Overdue"))))</f>
        <v/>
      </c>
      <c r="I177" s="17" t="n">
        <f aca="false">IF(H177="",0,N(G177)*IF(D177="Backlog",1,N(E177)))</f>
        <v>0</v>
      </c>
      <c r="J177" s="48" t="str">
        <f aca="false">IF(OR(H177="",H177="NO DATE"),"",IF(H177="Overdue",IF(Settings!$B$8="Yes",Settings!$B$7,""),DATE(YEAR(F177),MONTH(F177),1)))</f>
        <v/>
      </c>
      <c r="K177" s="17" t="n">
        <f aca="false">IF(AND(OR(H177="Backlog",H177="Pipeline",H177="Overdue"),ISNUMBER(J177)),IF(J177&lt;=Settings!$B$6,I177,0),0)</f>
        <v>0</v>
      </c>
      <c r="L177" s="17" t="n">
        <f aca="false">IF(AND(OR(H177="Backlog",H177="Pipeline",H177="Overdue"),ISNUMBER(J177)),IF(J177&lt;=Settings!$B$6,N(G177),0),0)</f>
        <v>0</v>
      </c>
      <c r="M177" s="17" t="n">
        <f aca="false">IF(L177=0,0,IF(H177="Backlog",N(G177),N(G177)*Dashboard!$C$10))</f>
        <v>0</v>
      </c>
      <c r="N177" s="9" t="n">
        <f aca="false">IF(B177="",0,IF(COUNTIF(Dashboard!$C$13:$C$22,B177)&gt;0,1,0))</f>
        <v>0</v>
      </c>
    </row>
    <row r="178" customFormat="false" ht="15" hidden="false" customHeight="false" outlineLevel="0" collapsed="false">
      <c r="A178" s="13"/>
      <c r="B178" s="13"/>
      <c r="C178" s="13"/>
      <c r="D178" s="13"/>
      <c r="E178" s="10"/>
      <c r="F178" s="46"/>
      <c r="G178" s="47"/>
      <c r="H178" s="9" t="str">
        <f aca="false">IF(OR(G178="",A178=""),"",IF(NOT(ISNUMBER(F178)),"NO DATE",IF(D178="Backlog",IF(F178&gt;Settings!$B$5,"Backlog","Delivered"),IF(F178&gt;Settings!$B$5,"Pipeline","Overdue"))))</f>
        <v/>
      </c>
      <c r="I178" s="17" t="n">
        <f aca="false">IF(H178="",0,N(G178)*IF(D178="Backlog",1,N(E178)))</f>
        <v>0</v>
      </c>
      <c r="J178" s="48" t="str">
        <f aca="false">IF(OR(H178="",H178="NO DATE"),"",IF(H178="Overdue",IF(Settings!$B$8="Yes",Settings!$B$7,""),DATE(YEAR(F178),MONTH(F178),1)))</f>
        <v/>
      </c>
      <c r="K178" s="17" t="n">
        <f aca="false">IF(AND(OR(H178="Backlog",H178="Pipeline",H178="Overdue"),ISNUMBER(J178)),IF(J178&lt;=Settings!$B$6,I178,0),0)</f>
        <v>0</v>
      </c>
      <c r="L178" s="17" t="n">
        <f aca="false">IF(AND(OR(H178="Backlog",H178="Pipeline",H178="Overdue"),ISNUMBER(J178)),IF(J178&lt;=Settings!$B$6,N(G178),0),0)</f>
        <v>0</v>
      </c>
      <c r="M178" s="17" t="n">
        <f aca="false">IF(L178=0,0,IF(H178="Backlog",N(G178),N(G178)*Dashboard!$C$10))</f>
        <v>0</v>
      </c>
      <c r="N178" s="9" t="n">
        <f aca="false">IF(B178="",0,IF(COUNTIF(Dashboard!$C$13:$C$22,B178)&gt;0,1,0))</f>
        <v>0</v>
      </c>
    </row>
    <row r="179" customFormat="false" ht="15" hidden="false" customHeight="false" outlineLevel="0" collapsed="false">
      <c r="A179" s="13"/>
      <c r="B179" s="13"/>
      <c r="C179" s="13"/>
      <c r="D179" s="13"/>
      <c r="E179" s="10"/>
      <c r="F179" s="46"/>
      <c r="G179" s="47"/>
      <c r="H179" s="9" t="str">
        <f aca="false">IF(OR(G179="",A179=""),"",IF(NOT(ISNUMBER(F179)),"NO DATE",IF(D179="Backlog",IF(F179&gt;Settings!$B$5,"Backlog","Delivered"),IF(F179&gt;Settings!$B$5,"Pipeline","Overdue"))))</f>
        <v/>
      </c>
      <c r="I179" s="17" t="n">
        <f aca="false">IF(H179="",0,N(G179)*IF(D179="Backlog",1,N(E179)))</f>
        <v>0</v>
      </c>
      <c r="J179" s="48" t="str">
        <f aca="false">IF(OR(H179="",H179="NO DATE"),"",IF(H179="Overdue",IF(Settings!$B$8="Yes",Settings!$B$7,""),DATE(YEAR(F179),MONTH(F179),1)))</f>
        <v/>
      </c>
      <c r="K179" s="17" t="n">
        <f aca="false">IF(AND(OR(H179="Backlog",H179="Pipeline",H179="Overdue"),ISNUMBER(J179)),IF(J179&lt;=Settings!$B$6,I179,0),0)</f>
        <v>0</v>
      </c>
      <c r="L179" s="17" t="n">
        <f aca="false">IF(AND(OR(H179="Backlog",H179="Pipeline",H179="Overdue"),ISNUMBER(J179)),IF(J179&lt;=Settings!$B$6,N(G179),0),0)</f>
        <v>0</v>
      </c>
      <c r="M179" s="17" t="n">
        <f aca="false">IF(L179=0,0,IF(H179="Backlog",N(G179),N(G179)*Dashboard!$C$10))</f>
        <v>0</v>
      </c>
      <c r="N179" s="9" t="n">
        <f aca="false">IF(B179="",0,IF(COUNTIF(Dashboard!$C$13:$C$22,B179)&gt;0,1,0))</f>
        <v>0</v>
      </c>
    </row>
    <row r="180" customFormat="false" ht="15" hidden="false" customHeight="false" outlineLevel="0" collapsed="false">
      <c r="A180" s="13"/>
      <c r="B180" s="13"/>
      <c r="C180" s="13"/>
      <c r="D180" s="13"/>
      <c r="E180" s="10"/>
      <c r="F180" s="46"/>
      <c r="G180" s="47"/>
      <c r="H180" s="9" t="str">
        <f aca="false">IF(OR(G180="",A180=""),"",IF(NOT(ISNUMBER(F180)),"NO DATE",IF(D180="Backlog",IF(F180&gt;Settings!$B$5,"Backlog","Delivered"),IF(F180&gt;Settings!$B$5,"Pipeline","Overdue"))))</f>
        <v/>
      </c>
      <c r="I180" s="17" t="n">
        <f aca="false">IF(H180="",0,N(G180)*IF(D180="Backlog",1,N(E180)))</f>
        <v>0</v>
      </c>
      <c r="J180" s="48" t="str">
        <f aca="false">IF(OR(H180="",H180="NO DATE"),"",IF(H180="Overdue",IF(Settings!$B$8="Yes",Settings!$B$7,""),DATE(YEAR(F180),MONTH(F180),1)))</f>
        <v/>
      </c>
      <c r="K180" s="17" t="n">
        <f aca="false">IF(AND(OR(H180="Backlog",H180="Pipeline",H180="Overdue"),ISNUMBER(J180)),IF(J180&lt;=Settings!$B$6,I180,0),0)</f>
        <v>0</v>
      </c>
      <c r="L180" s="17" t="n">
        <f aca="false">IF(AND(OR(H180="Backlog",H180="Pipeline",H180="Overdue"),ISNUMBER(J180)),IF(J180&lt;=Settings!$B$6,N(G180),0),0)</f>
        <v>0</v>
      </c>
      <c r="M180" s="17" t="n">
        <f aca="false">IF(L180=0,0,IF(H180="Backlog",N(G180),N(G180)*Dashboard!$C$10))</f>
        <v>0</v>
      </c>
      <c r="N180" s="9" t="n">
        <f aca="false">IF(B180="",0,IF(COUNTIF(Dashboard!$C$13:$C$22,B180)&gt;0,1,0))</f>
        <v>0</v>
      </c>
    </row>
    <row r="181" customFormat="false" ht="15" hidden="false" customHeight="false" outlineLevel="0" collapsed="false">
      <c r="A181" s="13"/>
      <c r="B181" s="13"/>
      <c r="C181" s="13"/>
      <c r="D181" s="13"/>
      <c r="E181" s="10"/>
      <c r="F181" s="46"/>
      <c r="G181" s="47"/>
      <c r="H181" s="9" t="str">
        <f aca="false">IF(OR(G181="",A181=""),"",IF(NOT(ISNUMBER(F181)),"NO DATE",IF(D181="Backlog",IF(F181&gt;Settings!$B$5,"Backlog","Delivered"),IF(F181&gt;Settings!$B$5,"Pipeline","Overdue"))))</f>
        <v/>
      </c>
      <c r="I181" s="17" t="n">
        <f aca="false">IF(H181="",0,N(G181)*IF(D181="Backlog",1,N(E181)))</f>
        <v>0</v>
      </c>
      <c r="J181" s="48" t="str">
        <f aca="false">IF(OR(H181="",H181="NO DATE"),"",IF(H181="Overdue",IF(Settings!$B$8="Yes",Settings!$B$7,""),DATE(YEAR(F181),MONTH(F181),1)))</f>
        <v/>
      </c>
      <c r="K181" s="17" t="n">
        <f aca="false">IF(AND(OR(H181="Backlog",H181="Pipeline",H181="Overdue"),ISNUMBER(J181)),IF(J181&lt;=Settings!$B$6,I181,0),0)</f>
        <v>0</v>
      </c>
      <c r="L181" s="17" t="n">
        <f aca="false">IF(AND(OR(H181="Backlog",H181="Pipeline",H181="Overdue"),ISNUMBER(J181)),IF(J181&lt;=Settings!$B$6,N(G181),0),0)</f>
        <v>0</v>
      </c>
      <c r="M181" s="17" t="n">
        <f aca="false">IF(L181=0,0,IF(H181="Backlog",N(G181),N(G181)*Dashboard!$C$10))</f>
        <v>0</v>
      </c>
      <c r="N181" s="9" t="n">
        <f aca="false">IF(B181="",0,IF(COUNTIF(Dashboard!$C$13:$C$22,B181)&gt;0,1,0))</f>
        <v>0</v>
      </c>
    </row>
    <row r="182" customFormat="false" ht="15" hidden="false" customHeight="false" outlineLevel="0" collapsed="false">
      <c r="A182" s="13"/>
      <c r="B182" s="13"/>
      <c r="C182" s="13"/>
      <c r="D182" s="13"/>
      <c r="E182" s="10"/>
      <c r="F182" s="46"/>
      <c r="G182" s="47"/>
      <c r="H182" s="9" t="str">
        <f aca="false">IF(OR(G182="",A182=""),"",IF(NOT(ISNUMBER(F182)),"NO DATE",IF(D182="Backlog",IF(F182&gt;Settings!$B$5,"Backlog","Delivered"),IF(F182&gt;Settings!$B$5,"Pipeline","Overdue"))))</f>
        <v/>
      </c>
      <c r="I182" s="17" t="n">
        <f aca="false">IF(H182="",0,N(G182)*IF(D182="Backlog",1,N(E182)))</f>
        <v>0</v>
      </c>
      <c r="J182" s="48" t="str">
        <f aca="false">IF(OR(H182="",H182="NO DATE"),"",IF(H182="Overdue",IF(Settings!$B$8="Yes",Settings!$B$7,""),DATE(YEAR(F182),MONTH(F182),1)))</f>
        <v/>
      </c>
      <c r="K182" s="17" t="n">
        <f aca="false">IF(AND(OR(H182="Backlog",H182="Pipeline",H182="Overdue"),ISNUMBER(J182)),IF(J182&lt;=Settings!$B$6,I182,0),0)</f>
        <v>0</v>
      </c>
      <c r="L182" s="17" t="n">
        <f aca="false">IF(AND(OR(H182="Backlog",H182="Pipeline",H182="Overdue"),ISNUMBER(J182)),IF(J182&lt;=Settings!$B$6,N(G182),0),0)</f>
        <v>0</v>
      </c>
      <c r="M182" s="17" t="n">
        <f aca="false">IF(L182=0,0,IF(H182="Backlog",N(G182),N(G182)*Dashboard!$C$10))</f>
        <v>0</v>
      </c>
      <c r="N182" s="9" t="n">
        <f aca="false">IF(B182="",0,IF(COUNTIF(Dashboard!$C$13:$C$22,B182)&gt;0,1,0))</f>
        <v>0</v>
      </c>
    </row>
    <row r="183" customFormat="false" ht="15" hidden="false" customHeight="false" outlineLevel="0" collapsed="false">
      <c r="A183" s="13"/>
      <c r="B183" s="13"/>
      <c r="C183" s="13"/>
      <c r="D183" s="13"/>
      <c r="E183" s="10"/>
      <c r="F183" s="46"/>
      <c r="G183" s="47"/>
      <c r="H183" s="9" t="str">
        <f aca="false">IF(OR(G183="",A183=""),"",IF(NOT(ISNUMBER(F183)),"NO DATE",IF(D183="Backlog",IF(F183&gt;Settings!$B$5,"Backlog","Delivered"),IF(F183&gt;Settings!$B$5,"Pipeline","Overdue"))))</f>
        <v/>
      </c>
      <c r="I183" s="17" t="n">
        <f aca="false">IF(H183="",0,N(G183)*IF(D183="Backlog",1,N(E183)))</f>
        <v>0</v>
      </c>
      <c r="J183" s="48" t="str">
        <f aca="false">IF(OR(H183="",H183="NO DATE"),"",IF(H183="Overdue",IF(Settings!$B$8="Yes",Settings!$B$7,""),DATE(YEAR(F183),MONTH(F183),1)))</f>
        <v/>
      </c>
      <c r="K183" s="17" t="n">
        <f aca="false">IF(AND(OR(H183="Backlog",H183="Pipeline",H183="Overdue"),ISNUMBER(J183)),IF(J183&lt;=Settings!$B$6,I183,0),0)</f>
        <v>0</v>
      </c>
      <c r="L183" s="17" t="n">
        <f aca="false">IF(AND(OR(H183="Backlog",H183="Pipeline",H183="Overdue"),ISNUMBER(J183)),IF(J183&lt;=Settings!$B$6,N(G183),0),0)</f>
        <v>0</v>
      </c>
      <c r="M183" s="17" t="n">
        <f aca="false">IF(L183=0,0,IF(H183="Backlog",N(G183),N(G183)*Dashboard!$C$10))</f>
        <v>0</v>
      </c>
      <c r="N183" s="9" t="n">
        <f aca="false">IF(B183="",0,IF(COUNTIF(Dashboard!$C$13:$C$22,B183)&gt;0,1,0))</f>
        <v>0</v>
      </c>
    </row>
    <row r="184" customFormat="false" ht="15" hidden="false" customHeight="false" outlineLevel="0" collapsed="false">
      <c r="A184" s="13"/>
      <c r="B184" s="13"/>
      <c r="C184" s="13"/>
      <c r="D184" s="13"/>
      <c r="E184" s="10"/>
      <c r="F184" s="46"/>
      <c r="G184" s="47"/>
      <c r="H184" s="9" t="str">
        <f aca="false">IF(OR(G184="",A184=""),"",IF(NOT(ISNUMBER(F184)),"NO DATE",IF(D184="Backlog",IF(F184&gt;Settings!$B$5,"Backlog","Delivered"),IF(F184&gt;Settings!$B$5,"Pipeline","Overdue"))))</f>
        <v/>
      </c>
      <c r="I184" s="17" t="n">
        <f aca="false">IF(H184="",0,N(G184)*IF(D184="Backlog",1,N(E184)))</f>
        <v>0</v>
      </c>
      <c r="J184" s="48" t="str">
        <f aca="false">IF(OR(H184="",H184="NO DATE"),"",IF(H184="Overdue",IF(Settings!$B$8="Yes",Settings!$B$7,""),DATE(YEAR(F184),MONTH(F184),1)))</f>
        <v/>
      </c>
      <c r="K184" s="17" t="n">
        <f aca="false">IF(AND(OR(H184="Backlog",H184="Pipeline",H184="Overdue"),ISNUMBER(J184)),IF(J184&lt;=Settings!$B$6,I184,0),0)</f>
        <v>0</v>
      </c>
      <c r="L184" s="17" t="n">
        <f aca="false">IF(AND(OR(H184="Backlog",H184="Pipeline",H184="Overdue"),ISNUMBER(J184)),IF(J184&lt;=Settings!$B$6,N(G184),0),0)</f>
        <v>0</v>
      </c>
      <c r="M184" s="17" t="n">
        <f aca="false">IF(L184=0,0,IF(H184="Backlog",N(G184),N(G184)*Dashboard!$C$10))</f>
        <v>0</v>
      </c>
      <c r="N184" s="9" t="n">
        <f aca="false">IF(B184="",0,IF(COUNTIF(Dashboard!$C$13:$C$22,B184)&gt;0,1,0))</f>
        <v>0</v>
      </c>
    </row>
    <row r="185" customFormat="false" ht="15" hidden="false" customHeight="false" outlineLevel="0" collapsed="false">
      <c r="A185" s="13"/>
      <c r="B185" s="13"/>
      <c r="C185" s="13"/>
      <c r="D185" s="13"/>
      <c r="E185" s="10"/>
      <c r="F185" s="46"/>
      <c r="G185" s="47"/>
      <c r="H185" s="9" t="str">
        <f aca="false">IF(OR(G185="",A185=""),"",IF(NOT(ISNUMBER(F185)),"NO DATE",IF(D185="Backlog",IF(F185&gt;Settings!$B$5,"Backlog","Delivered"),IF(F185&gt;Settings!$B$5,"Pipeline","Overdue"))))</f>
        <v/>
      </c>
      <c r="I185" s="17" t="n">
        <f aca="false">IF(H185="",0,N(G185)*IF(D185="Backlog",1,N(E185)))</f>
        <v>0</v>
      </c>
      <c r="J185" s="48" t="str">
        <f aca="false">IF(OR(H185="",H185="NO DATE"),"",IF(H185="Overdue",IF(Settings!$B$8="Yes",Settings!$B$7,""),DATE(YEAR(F185),MONTH(F185),1)))</f>
        <v/>
      </c>
      <c r="K185" s="17" t="n">
        <f aca="false">IF(AND(OR(H185="Backlog",H185="Pipeline",H185="Overdue"),ISNUMBER(J185)),IF(J185&lt;=Settings!$B$6,I185,0),0)</f>
        <v>0</v>
      </c>
      <c r="L185" s="17" t="n">
        <f aca="false">IF(AND(OR(H185="Backlog",H185="Pipeline",H185="Overdue"),ISNUMBER(J185)),IF(J185&lt;=Settings!$B$6,N(G185),0),0)</f>
        <v>0</v>
      </c>
      <c r="M185" s="17" t="n">
        <f aca="false">IF(L185=0,0,IF(H185="Backlog",N(G185),N(G185)*Dashboard!$C$10))</f>
        <v>0</v>
      </c>
      <c r="N185" s="9" t="n">
        <f aca="false">IF(B185="",0,IF(COUNTIF(Dashboard!$C$13:$C$22,B185)&gt;0,1,0))</f>
        <v>0</v>
      </c>
    </row>
    <row r="186" customFormat="false" ht="15" hidden="false" customHeight="false" outlineLevel="0" collapsed="false">
      <c r="A186" s="13"/>
      <c r="B186" s="13"/>
      <c r="C186" s="13"/>
      <c r="D186" s="13"/>
      <c r="E186" s="10"/>
      <c r="F186" s="46"/>
      <c r="G186" s="47"/>
      <c r="H186" s="9" t="str">
        <f aca="false">IF(OR(G186="",A186=""),"",IF(NOT(ISNUMBER(F186)),"NO DATE",IF(D186="Backlog",IF(F186&gt;Settings!$B$5,"Backlog","Delivered"),IF(F186&gt;Settings!$B$5,"Pipeline","Overdue"))))</f>
        <v/>
      </c>
      <c r="I186" s="17" t="n">
        <f aca="false">IF(H186="",0,N(G186)*IF(D186="Backlog",1,N(E186)))</f>
        <v>0</v>
      </c>
      <c r="J186" s="48" t="str">
        <f aca="false">IF(OR(H186="",H186="NO DATE"),"",IF(H186="Overdue",IF(Settings!$B$8="Yes",Settings!$B$7,""),DATE(YEAR(F186),MONTH(F186),1)))</f>
        <v/>
      </c>
      <c r="K186" s="17" t="n">
        <f aca="false">IF(AND(OR(H186="Backlog",H186="Pipeline",H186="Overdue"),ISNUMBER(J186)),IF(J186&lt;=Settings!$B$6,I186,0),0)</f>
        <v>0</v>
      </c>
      <c r="L186" s="17" t="n">
        <f aca="false">IF(AND(OR(H186="Backlog",H186="Pipeline",H186="Overdue"),ISNUMBER(J186)),IF(J186&lt;=Settings!$B$6,N(G186),0),0)</f>
        <v>0</v>
      </c>
      <c r="M186" s="17" t="n">
        <f aca="false">IF(L186=0,0,IF(H186="Backlog",N(G186),N(G186)*Dashboard!$C$10))</f>
        <v>0</v>
      </c>
      <c r="N186" s="9" t="n">
        <f aca="false">IF(B186="",0,IF(COUNTIF(Dashboard!$C$13:$C$22,B186)&gt;0,1,0))</f>
        <v>0</v>
      </c>
    </row>
    <row r="187" customFormat="false" ht="15" hidden="false" customHeight="false" outlineLevel="0" collapsed="false">
      <c r="A187" s="13"/>
      <c r="B187" s="13"/>
      <c r="C187" s="13"/>
      <c r="D187" s="13"/>
      <c r="E187" s="10"/>
      <c r="F187" s="46"/>
      <c r="G187" s="47"/>
      <c r="H187" s="9" t="str">
        <f aca="false">IF(OR(G187="",A187=""),"",IF(NOT(ISNUMBER(F187)),"NO DATE",IF(D187="Backlog",IF(F187&gt;Settings!$B$5,"Backlog","Delivered"),IF(F187&gt;Settings!$B$5,"Pipeline","Overdue"))))</f>
        <v/>
      </c>
      <c r="I187" s="17" t="n">
        <f aca="false">IF(H187="",0,N(G187)*IF(D187="Backlog",1,N(E187)))</f>
        <v>0</v>
      </c>
      <c r="J187" s="48" t="str">
        <f aca="false">IF(OR(H187="",H187="NO DATE"),"",IF(H187="Overdue",IF(Settings!$B$8="Yes",Settings!$B$7,""),DATE(YEAR(F187),MONTH(F187),1)))</f>
        <v/>
      </c>
      <c r="K187" s="17" t="n">
        <f aca="false">IF(AND(OR(H187="Backlog",H187="Pipeline",H187="Overdue"),ISNUMBER(J187)),IF(J187&lt;=Settings!$B$6,I187,0),0)</f>
        <v>0</v>
      </c>
      <c r="L187" s="17" t="n">
        <f aca="false">IF(AND(OR(H187="Backlog",H187="Pipeline",H187="Overdue"),ISNUMBER(J187)),IF(J187&lt;=Settings!$B$6,N(G187),0),0)</f>
        <v>0</v>
      </c>
      <c r="M187" s="17" t="n">
        <f aca="false">IF(L187=0,0,IF(H187="Backlog",N(G187),N(G187)*Dashboard!$C$10))</f>
        <v>0</v>
      </c>
      <c r="N187" s="9" t="n">
        <f aca="false">IF(B187="",0,IF(COUNTIF(Dashboard!$C$13:$C$22,B187)&gt;0,1,0))</f>
        <v>0</v>
      </c>
    </row>
    <row r="188" customFormat="false" ht="15" hidden="false" customHeight="false" outlineLevel="0" collapsed="false">
      <c r="A188" s="13"/>
      <c r="B188" s="13"/>
      <c r="C188" s="13"/>
      <c r="D188" s="13"/>
      <c r="E188" s="10"/>
      <c r="F188" s="46"/>
      <c r="G188" s="47"/>
      <c r="H188" s="9" t="str">
        <f aca="false">IF(OR(G188="",A188=""),"",IF(NOT(ISNUMBER(F188)),"NO DATE",IF(D188="Backlog",IF(F188&gt;Settings!$B$5,"Backlog","Delivered"),IF(F188&gt;Settings!$B$5,"Pipeline","Overdue"))))</f>
        <v/>
      </c>
      <c r="I188" s="17" t="n">
        <f aca="false">IF(H188="",0,N(G188)*IF(D188="Backlog",1,N(E188)))</f>
        <v>0</v>
      </c>
      <c r="J188" s="48" t="str">
        <f aca="false">IF(OR(H188="",H188="NO DATE"),"",IF(H188="Overdue",IF(Settings!$B$8="Yes",Settings!$B$7,""),DATE(YEAR(F188),MONTH(F188),1)))</f>
        <v/>
      </c>
      <c r="K188" s="17" t="n">
        <f aca="false">IF(AND(OR(H188="Backlog",H188="Pipeline",H188="Overdue"),ISNUMBER(J188)),IF(J188&lt;=Settings!$B$6,I188,0),0)</f>
        <v>0</v>
      </c>
      <c r="L188" s="17" t="n">
        <f aca="false">IF(AND(OR(H188="Backlog",H188="Pipeline",H188="Overdue"),ISNUMBER(J188)),IF(J188&lt;=Settings!$B$6,N(G188),0),0)</f>
        <v>0</v>
      </c>
      <c r="M188" s="17" t="n">
        <f aca="false">IF(L188=0,0,IF(H188="Backlog",N(G188),N(G188)*Dashboard!$C$10))</f>
        <v>0</v>
      </c>
      <c r="N188" s="9" t="n">
        <f aca="false">IF(B188="",0,IF(COUNTIF(Dashboard!$C$13:$C$22,B188)&gt;0,1,0))</f>
        <v>0</v>
      </c>
    </row>
    <row r="189" customFormat="false" ht="15" hidden="false" customHeight="false" outlineLevel="0" collapsed="false">
      <c r="A189" s="13"/>
      <c r="B189" s="13"/>
      <c r="C189" s="13"/>
      <c r="D189" s="13"/>
      <c r="E189" s="10"/>
      <c r="F189" s="46"/>
      <c r="G189" s="47"/>
      <c r="H189" s="9" t="str">
        <f aca="false">IF(OR(G189="",A189=""),"",IF(NOT(ISNUMBER(F189)),"NO DATE",IF(D189="Backlog",IF(F189&gt;Settings!$B$5,"Backlog","Delivered"),IF(F189&gt;Settings!$B$5,"Pipeline","Overdue"))))</f>
        <v/>
      </c>
      <c r="I189" s="17" t="n">
        <f aca="false">IF(H189="",0,N(G189)*IF(D189="Backlog",1,N(E189)))</f>
        <v>0</v>
      </c>
      <c r="J189" s="48" t="str">
        <f aca="false">IF(OR(H189="",H189="NO DATE"),"",IF(H189="Overdue",IF(Settings!$B$8="Yes",Settings!$B$7,""),DATE(YEAR(F189),MONTH(F189),1)))</f>
        <v/>
      </c>
      <c r="K189" s="17" t="n">
        <f aca="false">IF(AND(OR(H189="Backlog",H189="Pipeline",H189="Overdue"),ISNUMBER(J189)),IF(J189&lt;=Settings!$B$6,I189,0),0)</f>
        <v>0</v>
      </c>
      <c r="L189" s="17" t="n">
        <f aca="false">IF(AND(OR(H189="Backlog",H189="Pipeline",H189="Overdue"),ISNUMBER(J189)),IF(J189&lt;=Settings!$B$6,N(G189),0),0)</f>
        <v>0</v>
      </c>
      <c r="M189" s="17" t="n">
        <f aca="false">IF(L189=0,0,IF(H189="Backlog",N(G189),N(G189)*Dashboard!$C$10))</f>
        <v>0</v>
      </c>
      <c r="N189" s="9" t="n">
        <f aca="false">IF(B189="",0,IF(COUNTIF(Dashboard!$C$13:$C$22,B189)&gt;0,1,0))</f>
        <v>0</v>
      </c>
    </row>
    <row r="190" customFormat="false" ht="15" hidden="false" customHeight="false" outlineLevel="0" collapsed="false">
      <c r="A190" s="13"/>
      <c r="B190" s="13"/>
      <c r="C190" s="13"/>
      <c r="D190" s="13"/>
      <c r="E190" s="10"/>
      <c r="F190" s="46"/>
      <c r="G190" s="47"/>
      <c r="H190" s="9" t="str">
        <f aca="false">IF(OR(G190="",A190=""),"",IF(NOT(ISNUMBER(F190)),"NO DATE",IF(D190="Backlog",IF(F190&gt;Settings!$B$5,"Backlog","Delivered"),IF(F190&gt;Settings!$B$5,"Pipeline","Overdue"))))</f>
        <v/>
      </c>
      <c r="I190" s="17" t="n">
        <f aca="false">IF(H190="",0,N(G190)*IF(D190="Backlog",1,N(E190)))</f>
        <v>0</v>
      </c>
      <c r="J190" s="48" t="str">
        <f aca="false">IF(OR(H190="",H190="NO DATE"),"",IF(H190="Overdue",IF(Settings!$B$8="Yes",Settings!$B$7,""),DATE(YEAR(F190),MONTH(F190),1)))</f>
        <v/>
      </c>
      <c r="K190" s="17" t="n">
        <f aca="false">IF(AND(OR(H190="Backlog",H190="Pipeline",H190="Overdue"),ISNUMBER(J190)),IF(J190&lt;=Settings!$B$6,I190,0),0)</f>
        <v>0</v>
      </c>
      <c r="L190" s="17" t="n">
        <f aca="false">IF(AND(OR(H190="Backlog",H190="Pipeline",H190="Overdue"),ISNUMBER(J190)),IF(J190&lt;=Settings!$B$6,N(G190),0),0)</f>
        <v>0</v>
      </c>
      <c r="M190" s="17" t="n">
        <f aca="false">IF(L190=0,0,IF(H190="Backlog",N(G190),N(G190)*Dashboard!$C$10))</f>
        <v>0</v>
      </c>
      <c r="N190" s="9" t="n">
        <f aca="false">IF(B190="",0,IF(COUNTIF(Dashboard!$C$13:$C$22,B190)&gt;0,1,0))</f>
        <v>0</v>
      </c>
    </row>
    <row r="191" customFormat="false" ht="15" hidden="false" customHeight="false" outlineLevel="0" collapsed="false">
      <c r="A191" s="13"/>
      <c r="B191" s="13"/>
      <c r="C191" s="13"/>
      <c r="D191" s="13"/>
      <c r="E191" s="10"/>
      <c r="F191" s="46"/>
      <c r="G191" s="47"/>
      <c r="H191" s="9" t="str">
        <f aca="false">IF(OR(G191="",A191=""),"",IF(NOT(ISNUMBER(F191)),"NO DATE",IF(D191="Backlog",IF(F191&gt;Settings!$B$5,"Backlog","Delivered"),IF(F191&gt;Settings!$B$5,"Pipeline","Overdue"))))</f>
        <v/>
      </c>
      <c r="I191" s="17" t="n">
        <f aca="false">IF(H191="",0,N(G191)*IF(D191="Backlog",1,N(E191)))</f>
        <v>0</v>
      </c>
      <c r="J191" s="48" t="str">
        <f aca="false">IF(OR(H191="",H191="NO DATE"),"",IF(H191="Overdue",IF(Settings!$B$8="Yes",Settings!$B$7,""),DATE(YEAR(F191),MONTH(F191),1)))</f>
        <v/>
      </c>
      <c r="K191" s="17" t="n">
        <f aca="false">IF(AND(OR(H191="Backlog",H191="Pipeline",H191="Overdue"),ISNUMBER(J191)),IF(J191&lt;=Settings!$B$6,I191,0),0)</f>
        <v>0</v>
      </c>
      <c r="L191" s="17" t="n">
        <f aca="false">IF(AND(OR(H191="Backlog",H191="Pipeline",H191="Overdue"),ISNUMBER(J191)),IF(J191&lt;=Settings!$B$6,N(G191),0),0)</f>
        <v>0</v>
      </c>
      <c r="M191" s="17" t="n">
        <f aca="false">IF(L191=0,0,IF(H191="Backlog",N(G191),N(G191)*Dashboard!$C$10))</f>
        <v>0</v>
      </c>
      <c r="N191" s="9" t="n">
        <f aca="false">IF(B191="",0,IF(COUNTIF(Dashboard!$C$13:$C$22,B191)&gt;0,1,0))</f>
        <v>0</v>
      </c>
    </row>
    <row r="192" customFormat="false" ht="15" hidden="false" customHeight="false" outlineLevel="0" collapsed="false">
      <c r="A192" s="13"/>
      <c r="B192" s="13"/>
      <c r="C192" s="13"/>
      <c r="D192" s="13"/>
      <c r="E192" s="10"/>
      <c r="F192" s="46"/>
      <c r="G192" s="47"/>
      <c r="H192" s="9" t="str">
        <f aca="false">IF(OR(G192="",A192=""),"",IF(NOT(ISNUMBER(F192)),"NO DATE",IF(D192="Backlog",IF(F192&gt;Settings!$B$5,"Backlog","Delivered"),IF(F192&gt;Settings!$B$5,"Pipeline","Overdue"))))</f>
        <v/>
      </c>
      <c r="I192" s="17" t="n">
        <f aca="false">IF(H192="",0,N(G192)*IF(D192="Backlog",1,N(E192)))</f>
        <v>0</v>
      </c>
      <c r="J192" s="48" t="str">
        <f aca="false">IF(OR(H192="",H192="NO DATE"),"",IF(H192="Overdue",IF(Settings!$B$8="Yes",Settings!$B$7,""),DATE(YEAR(F192),MONTH(F192),1)))</f>
        <v/>
      </c>
      <c r="K192" s="17" t="n">
        <f aca="false">IF(AND(OR(H192="Backlog",H192="Pipeline",H192="Overdue"),ISNUMBER(J192)),IF(J192&lt;=Settings!$B$6,I192,0),0)</f>
        <v>0</v>
      </c>
      <c r="L192" s="17" t="n">
        <f aca="false">IF(AND(OR(H192="Backlog",H192="Pipeline",H192="Overdue"),ISNUMBER(J192)),IF(J192&lt;=Settings!$B$6,N(G192),0),0)</f>
        <v>0</v>
      </c>
      <c r="M192" s="17" t="n">
        <f aca="false">IF(L192=0,0,IF(H192="Backlog",N(G192),N(G192)*Dashboard!$C$10))</f>
        <v>0</v>
      </c>
      <c r="N192" s="9" t="n">
        <f aca="false">IF(B192="",0,IF(COUNTIF(Dashboard!$C$13:$C$22,B192)&gt;0,1,0))</f>
        <v>0</v>
      </c>
    </row>
    <row r="193" customFormat="false" ht="15" hidden="false" customHeight="false" outlineLevel="0" collapsed="false">
      <c r="A193" s="13"/>
      <c r="B193" s="13"/>
      <c r="C193" s="13"/>
      <c r="D193" s="13"/>
      <c r="E193" s="10"/>
      <c r="F193" s="46"/>
      <c r="G193" s="47"/>
      <c r="H193" s="9" t="str">
        <f aca="false">IF(OR(G193="",A193=""),"",IF(NOT(ISNUMBER(F193)),"NO DATE",IF(D193="Backlog",IF(F193&gt;Settings!$B$5,"Backlog","Delivered"),IF(F193&gt;Settings!$B$5,"Pipeline","Overdue"))))</f>
        <v/>
      </c>
      <c r="I193" s="17" t="n">
        <f aca="false">IF(H193="",0,N(G193)*IF(D193="Backlog",1,N(E193)))</f>
        <v>0</v>
      </c>
      <c r="J193" s="48" t="str">
        <f aca="false">IF(OR(H193="",H193="NO DATE"),"",IF(H193="Overdue",IF(Settings!$B$8="Yes",Settings!$B$7,""),DATE(YEAR(F193),MONTH(F193),1)))</f>
        <v/>
      </c>
      <c r="K193" s="17" t="n">
        <f aca="false">IF(AND(OR(H193="Backlog",H193="Pipeline",H193="Overdue"),ISNUMBER(J193)),IF(J193&lt;=Settings!$B$6,I193,0),0)</f>
        <v>0</v>
      </c>
      <c r="L193" s="17" t="n">
        <f aca="false">IF(AND(OR(H193="Backlog",H193="Pipeline",H193="Overdue"),ISNUMBER(J193)),IF(J193&lt;=Settings!$B$6,N(G193),0),0)</f>
        <v>0</v>
      </c>
      <c r="M193" s="17" t="n">
        <f aca="false">IF(L193=0,0,IF(H193="Backlog",N(G193),N(G193)*Dashboard!$C$10))</f>
        <v>0</v>
      </c>
      <c r="N193" s="9" t="n">
        <f aca="false">IF(B193="",0,IF(COUNTIF(Dashboard!$C$13:$C$22,B193)&gt;0,1,0))</f>
        <v>0</v>
      </c>
    </row>
    <row r="194" customFormat="false" ht="15" hidden="false" customHeight="false" outlineLevel="0" collapsed="false">
      <c r="A194" s="13"/>
      <c r="B194" s="13"/>
      <c r="C194" s="13"/>
      <c r="D194" s="13"/>
      <c r="E194" s="10"/>
      <c r="F194" s="46"/>
      <c r="G194" s="47"/>
      <c r="H194" s="9" t="str">
        <f aca="false">IF(OR(G194="",A194=""),"",IF(NOT(ISNUMBER(F194)),"NO DATE",IF(D194="Backlog",IF(F194&gt;Settings!$B$5,"Backlog","Delivered"),IF(F194&gt;Settings!$B$5,"Pipeline","Overdue"))))</f>
        <v/>
      </c>
      <c r="I194" s="17" t="n">
        <f aca="false">IF(H194="",0,N(G194)*IF(D194="Backlog",1,N(E194)))</f>
        <v>0</v>
      </c>
      <c r="J194" s="48" t="str">
        <f aca="false">IF(OR(H194="",H194="NO DATE"),"",IF(H194="Overdue",IF(Settings!$B$8="Yes",Settings!$B$7,""),DATE(YEAR(F194),MONTH(F194),1)))</f>
        <v/>
      </c>
      <c r="K194" s="17" t="n">
        <f aca="false">IF(AND(OR(H194="Backlog",H194="Pipeline",H194="Overdue"),ISNUMBER(J194)),IF(J194&lt;=Settings!$B$6,I194,0),0)</f>
        <v>0</v>
      </c>
      <c r="L194" s="17" t="n">
        <f aca="false">IF(AND(OR(H194="Backlog",H194="Pipeline",H194="Overdue"),ISNUMBER(J194)),IF(J194&lt;=Settings!$B$6,N(G194),0),0)</f>
        <v>0</v>
      </c>
      <c r="M194" s="17" t="n">
        <f aca="false">IF(L194=0,0,IF(H194="Backlog",N(G194),N(G194)*Dashboard!$C$10))</f>
        <v>0</v>
      </c>
      <c r="N194" s="9" t="n">
        <f aca="false">IF(B194="",0,IF(COUNTIF(Dashboard!$C$13:$C$22,B194)&gt;0,1,0))</f>
        <v>0</v>
      </c>
    </row>
    <row r="195" customFormat="false" ht="15" hidden="false" customHeight="false" outlineLevel="0" collapsed="false">
      <c r="A195" s="13"/>
      <c r="B195" s="13"/>
      <c r="C195" s="13"/>
      <c r="D195" s="13"/>
      <c r="E195" s="10"/>
      <c r="F195" s="46"/>
      <c r="G195" s="47"/>
      <c r="H195" s="9" t="str">
        <f aca="false">IF(OR(G195="",A195=""),"",IF(NOT(ISNUMBER(F195)),"NO DATE",IF(D195="Backlog",IF(F195&gt;Settings!$B$5,"Backlog","Delivered"),IF(F195&gt;Settings!$B$5,"Pipeline","Overdue"))))</f>
        <v/>
      </c>
      <c r="I195" s="17" t="n">
        <f aca="false">IF(H195="",0,N(G195)*IF(D195="Backlog",1,N(E195)))</f>
        <v>0</v>
      </c>
      <c r="J195" s="48" t="str">
        <f aca="false">IF(OR(H195="",H195="NO DATE"),"",IF(H195="Overdue",IF(Settings!$B$8="Yes",Settings!$B$7,""),DATE(YEAR(F195),MONTH(F195),1)))</f>
        <v/>
      </c>
      <c r="K195" s="17" t="n">
        <f aca="false">IF(AND(OR(H195="Backlog",H195="Pipeline",H195="Overdue"),ISNUMBER(J195)),IF(J195&lt;=Settings!$B$6,I195,0),0)</f>
        <v>0</v>
      </c>
      <c r="L195" s="17" t="n">
        <f aca="false">IF(AND(OR(H195="Backlog",H195="Pipeline",H195="Overdue"),ISNUMBER(J195)),IF(J195&lt;=Settings!$B$6,N(G195),0),0)</f>
        <v>0</v>
      </c>
      <c r="M195" s="17" t="n">
        <f aca="false">IF(L195=0,0,IF(H195="Backlog",N(G195),N(G195)*Dashboard!$C$10))</f>
        <v>0</v>
      </c>
      <c r="N195" s="9" t="n">
        <f aca="false">IF(B195="",0,IF(COUNTIF(Dashboard!$C$13:$C$22,B195)&gt;0,1,0))</f>
        <v>0</v>
      </c>
    </row>
    <row r="196" customFormat="false" ht="15" hidden="false" customHeight="false" outlineLevel="0" collapsed="false">
      <c r="A196" s="13"/>
      <c r="B196" s="13"/>
      <c r="C196" s="13"/>
      <c r="D196" s="13"/>
      <c r="E196" s="10"/>
      <c r="F196" s="46"/>
      <c r="G196" s="47"/>
      <c r="H196" s="9" t="str">
        <f aca="false">IF(OR(G196="",A196=""),"",IF(NOT(ISNUMBER(F196)),"NO DATE",IF(D196="Backlog",IF(F196&gt;Settings!$B$5,"Backlog","Delivered"),IF(F196&gt;Settings!$B$5,"Pipeline","Overdue"))))</f>
        <v/>
      </c>
      <c r="I196" s="17" t="n">
        <f aca="false">IF(H196="",0,N(G196)*IF(D196="Backlog",1,N(E196)))</f>
        <v>0</v>
      </c>
      <c r="J196" s="48" t="str">
        <f aca="false">IF(OR(H196="",H196="NO DATE"),"",IF(H196="Overdue",IF(Settings!$B$8="Yes",Settings!$B$7,""),DATE(YEAR(F196),MONTH(F196),1)))</f>
        <v/>
      </c>
      <c r="K196" s="17" t="n">
        <f aca="false">IF(AND(OR(H196="Backlog",H196="Pipeline",H196="Overdue"),ISNUMBER(J196)),IF(J196&lt;=Settings!$B$6,I196,0),0)</f>
        <v>0</v>
      </c>
      <c r="L196" s="17" t="n">
        <f aca="false">IF(AND(OR(H196="Backlog",H196="Pipeline",H196="Overdue"),ISNUMBER(J196)),IF(J196&lt;=Settings!$B$6,N(G196),0),0)</f>
        <v>0</v>
      </c>
      <c r="M196" s="17" t="n">
        <f aca="false">IF(L196=0,0,IF(H196="Backlog",N(G196),N(G196)*Dashboard!$C$10))</f>
        <v>0</v>
      </c>
      <c r="N196" s="9" t="n">
        <f aca="false">IF(B196="",0,IF(COUNTIF(Dashboard!$C$13:$C$22,B196)&gt;0,1,0))</f>
        <v>0</v>
      </c>
    </row>
    <row r="197" customFormat="false" ht="15" hidden="false" customHeight="false" outlineLevel="0" collapsed="false">
      <c r="A197" s="13"/>
      <c r="B197" s="13"/>
      <c r="C197" s="13"/>
      <c r="D197" s="13"/>
      <c r="E197" s="10"/>
      <c r="F197" s="46"/>
      <c r="G197" s="47"/>
      <c r="H197" s="9" t="str">
        <f aca="false">IF(OR(G197="",A197=""),"",IF(NOT(ISNUMBER(F197)),"NO DATE",IF(D197="Backlog",IF(F197&gt;Settings!$B$5,"Backlog","Delivered"),IF(F197&gt;Settings!$B$5,"Pipeline","Overdue"))))</f>
        <v/>
      </c>
      <c r="I197" s="17" t="n">
        <f aca="false">IF(H197="",0,N(G197)*IF(D197="Backlog",1,N(E197)))</f>
        <v>0</v>
      </c>
      <c r="J197" s="48" t="str">
        <f aca="false">IF(OR(H197="",H197="NO DATE"),"",IF(H197="Overdue",IF(Settings!$B$8="Yes",Settings!$B$7,""),DATE(YEAR(F197),MONTH(F197),1)))</f>
        <v/>
      </c>
      <c r="K197" s="17" t="n">
        <f aca="false">IF(AND(OR(H197="Backlog",H197="Pipeline",H197="Overdue"),ISNUMBER(J197)),IF(J197&lt;=Settings!$B$6,I197,0),0)</f>
        <v>0</v>
      </c>
      <c r="L197" s="17" t="n">
        <f aca="false">IF(AND(OR(H197="Backlog",H197="Pipeline",H197="Overdue"),ISNUMBER(J197)),IF(J197&lt;=Settings!$B$6,N(G197),0),0)</f>
        <v>0</v>
      </c>
      <c r="M197" s="17" t="n">
        <f aca="false">IF(L197=0,0,IF(H197="Backlog",N(G197),N(G197)*Dashboard!$C$10))</f>
        <v>0</v>
      </c>
      <c r="N197" s="9" t="n">
        <f aca="false">IF(B197="",0,IF(COUNTIF(Dashboard!$C$13:$C$22,B197)&gt;0,1,0))</f>
        <v>0</v>
      </c>
    </row>
    <row r="198" customFormat="false" ht="15" hidden="false" customHeight="false" outlineLevel="0" collapsed="false">
      <c r="A198" s="13"/>
      <c r="B198" s="13"/>
      <c r="C198" s="13"/>
      <c r="D198" s="13"/>
      <c r="E198" s="10"/>
      <c r="F198" s="46"/>
      <c r="G198" s="47"/>
      <c r="H198" s="9" t="str">
        <f aca="false">IF(OR(G198="",A198=""),"",IF(NOT(ISNUMBER(F198)),"NO DATE",IF(D198="Backlog",IF(F198&gt;Settings!$B$5,"Backlog","Delivered"),IF(F198&gt;Settings!$B$5,"Pipeline","Overdue"))))</f>
        <v/>
      </c>
      <c r="I198" s="17" t="n">
        <f aca="false">IF(H198="",0,N(G198)*IF(D198="Backlog",1,N(E198)))</f>
        <v>0</v>
      </c>
      <c r="J198" s="48" t="str">
        <f aca="false">IF(OR(H198="",H198="NO DATE"),"",IF(H198="Overdue",IF(Settings!$B$8="Yes",Settings!$B$7,""),DATE(YEAR(F198),MONTH(F198),1)))</f>
        <v/>
      </c>
      <c r="K198" s="17" t="n">
        <f aca="false">IF(AND(OR(H198="Backlog",H198="Pipeline",H198="Overdue"),ISNUMBER(J198)),IF(J198&lt;=Settings!$B$6,I198,0),0)</f>
        <v>0</v>
      </c>
      <c r="L198" s="17" t="n">
        <f aca="false">IF(AND(OR(H198="Backlog",H198="Pipeline",H198="Overdue"),ISNUMBER(J198)),IF(J198&lt;=Settings!$B$6,N(G198),0),0)</f>
        <v>0</v>
      </c>
      <c r="M198" s="17" t="n">
        <f aca="false">IF(L198=0,0,IF(H198="Backlog",N(G198),N(G198)*Dashboard!$C$10))</f>
        <v>0</v>
      </c>
      <c r="N198" s="9" t="n">
        <f aca="false">IF(B198="",0,IF(COUNTIF(Dashboard!$C$13:$C$22,B198)&gt;0,1,0))</f>
        <v>0</v>
      </c>
    </row>
    <row r="199" customFormat="false" ht="15" hidden="false" customHeight="false" outlineLevel="0" collapsed="false">
      <c r="A199" s="13"/>
      <c r="B199" s="13"/>
      <c r="C199" s="13"/>
      <c r="D199" s="13"/>
      <c r="E199" s="10"/>
      <c r="F199" s="46"/>
      <c r="G199" s="47"/>
      <c r="H199" s="9" t="str">
        <f aca="false">IF(OR(G199="",A199=""),"",IF(NOT(ISNUMBER(F199)),"NO DATE",IF(D199="Backlog",IF(F199&gt;Settings!$B$5,"Backlog","Delivered"),IF(F199&gt;Settings!$B$5,"Pipeline","Overdue"))))</f>
        <v/>
      </c>
      <c r="I199" s="17" t="n">
        <f aca="false">IF(H199="",0,N(G199)*IF(D199="Backlog",1,N(E199)))</f>
        <v>0</v>
      </c>
      <c r="J199" s="48" t="str">
        <f aca="false">IF(OR(H199="",H199="NO DATE"),"",IF(H199="Overdue",IF(Settings!$B$8="Yes",Settings!$B$7,""),DATE(YEAR(F199),MONTH(F199),1)))</f>
        <v/>
      </c>
      <c r="K199" s="17" t="n">
        <f aca="false">IF(AND(OR(H199="Backlog",H199="Pipeline",H199="Overdue"),ISNUMBER(J199)),IF(J199&lt;=Settings!$B$6,I199,0),0)</f>
        <v>0</v>
      </c>
      <c r="L199" s="17" t="n">
        <f aca="false">IF(AND(OR(H199="Backlog",H199="Pipeline",H199="Overdue"),ISNUMBER(J199)),IF(J199&lt;=Settings!$B$6,N(G199),0),0)</f>
        <v>0</v>
      </c>
      <c r="M199" s="17" t="n">
        <f aca="false">IF(L199=0,0,IF(H199="Backlog",N(G199),N(G199)*Dashboard!$C$10))</f>
        <v>0</v>
      </c>
      <c r="N199" s="9" t="n">
        <f aca="false">IF(B199="",0,IF(COUNTIF(Dashboard!$C$13:$C$22,B199)&gt;0,1,0))</f>
        <v>0</v>
      </c>
    </row>
    <row r="200" customFormat="false" ht="15" hidden="false" customHeight="false" outlineLevel="0" collapsed="false">
      <c r="A200" s="13"/>
      <c r="B200" s="13"/>
      <c r="C200" s="13"/>
      <c r="D200" s="13"/>
      <c r="E200" s="10"/>
      <c r="F200" s="46"/>
      <c r="G200" s="47"/>
      <c r="H200" s="9" t="str">
        <f aca="false">IF(OR(G200="",A200=""),"",IF(NOT(ISNUMBER(F200)),"NO DATE",IF(D200="Backlog",IF(F200&gt;Settings!$B$5,"Backlog","Delivered"),IF(F200&gt;Settings!$B$5,"Pipeline","Overdue"))))</f>
        <v/>
      </c>
      <c r="I200" s="17" t="n">
        <f aca="false">IF(H200="",0,N(G200)*IF(D200="Backlog",1,N(E200)))</f>
        <v>0</v>
      </c>
      <c r="J200" s="48" t="str">
        <f aca="false">IF(OR(H200="",H200="NO DATE"),"",IF(H200="Overdue",IF(Settings!$B$8="Yes",Settings!$B$7,""),DATE(YEAR(F200),MONTH(F200),1)))</f>
        <v/>
      </c>
      <c r="K200" s="17" t="n">
        <f aca="false">IF(AND(OR(H200="Backlog",H200="Pipeline",H200="Overdue"),ISNUMBER(J200)),IF(J200&lt;=Settings!$B$6,I200,0),0)</f>
        <v>0</v>
      </c>
      <c r="L200" s="17" t="n">
        <f aca="false">IF(AND(OR(H200="Backlog",H200="Pipeline",H200="Overdue"),ISNUMBER(J200)),IF(J200&lt;=Settings!$B$6,N(G200),0),0)</f>
        <v>0</v>
      </c>
      <c r="M200" s="17" t="n">
        <f aca="false">IF(L200=0,0,IF(H200="Backlog",N(G200),N(G200)*Dashboard!$C$10))</f>
        <v>0</v>
      </c>
      <c r="N200" s="9" t="n">
        <f aca="false">IF(B200="",0,IF(COUNTIF(Dashboard!$C$13:$C$22,B200)&gt;0,1,0))</f>
        <v>0</v>
      </c>
    </row>
    <row r="201" customFormat="false" ht="15" hidden="false" customHeight="false" outlineLevel="0" collapsed="false">
      <c r="A201" s="13"/>
      <c r="B201" s="13"/>
      <c r="C201" s="13"/>
      <c r="D201" s="13"/>
      <c r="E201" s="10"/>
      <c r="F201" s="46"/>
      <c r="G201" s="47"/>
      <c r="H201" s="9" t="str">
        <f aca="false">IF(OR(G201="",A201=""),"",IF(NOT(ISNUMBER(F201)),"NO DATE",IF(D201="Backlog",IF(F201&gt;Settings!$B$5,"Backlog","Delivered"),IF(F201&gt;Settings!$B$5,"Pipeline","Overdue"))))</f>
        <v/>
      </c>
      <c r="I201" s="17" t="n">
        <f aca="false">IF(H201="",0,N(G201)*IF(D201="Backlog",1,N(E201)))</f>
        <v>0</v>
      </c>
      <c r="J201" s="48" t="str">
        <f aca="false">IF(OR(H201="",H201="NO DATE"),"",IF(H201="Overdue",IF(Settings!$B$8="Yes",Settings!$B$7,""),DATE(YEAR(F201),MONTH(F201),1)))</f>
        <v/>
      </c>
      <c r="K201" s="17" t="n">
        <f aca="false">IF(AND(OR(H201="Backlog",H201="Pipeline",H201="Overdue"),ISNUMBER(J201)),IF(J201&lt;=Settings!$B$6,I201,0),0)</f>
        <v>0</v>
      </c>
      <c r="L201" s="17" t="n">
        <f aca="false">IF(AND(OR(H201="Backlog",H201="Pipeline",H201="Overdue"),ISNUMBER(J201)),IF(J201&lt;=Settings!$B$6,N(G201),0),0)</f>
        <v>0</v>
      </c>
      <c r="M201" s="17" t="n">
        <f aca="false">IF(L201=0,0,IF(H201="Backlog",N(G201),N(G201)*Dashboard!$C$10))</f>
        <v>0</v>
      </c>
      <c r="N201" s="9" t="n">
        <f aca="false">IF(B201="",0,IF(COUNTIF(Dashboard!$C$13:$C$22,B201)&gt;0,1,0))</f>
        <v>0</v>
      </c>
    </row>
    <row r="202" customFormat="false" ht="15" hidden="false" customHeight="false" outlineLevel="0" collapsed="false">
      <c r="A202" s="13"/>
      <c r="B202" s="13"/>
      <c r="C202" s="13"/>
      <c r="D202" s="13"/>
      <c r="E202" s="10"/>
      <c r="F202" s="46"/>
      <c r="G202" s="47"/>
      <c r="H202" s="9" t="str">
        <f aca="false">IF(OR(G202="",A202=""),"",IF(NOT(ISNUMBER(F202)),"NO DATE",IF(D202="Backlog",IF(F202&gt;Settings!$B$5,"Backlog","Delivered"),IF(F202&gt;Settings!$B$5,"Pipeline","Overdue"))))</f>
        <v/>
      </c>
      <c r="I202" s="17" t="n">
        <f aca="false">IF(H202="",0,N(G202)*IF(D202="Backlog",1,N(E202)))</f>
        <v>0</v>
      </c>
      <c r="J202" s="48" t="str">
        <f aca="false">IF(OR(H202="",H202="NO DATE"),"",IF(H202="Overdue",IF(Settings!$B$8="Yes",Settings!$B$7,""),DATE(YEAR(F202),MONTH(F202),1)))</f>
        <v/>
      </c>
      <c r="K202" s="17" t="n">
        <f aca="false">IF(AND(OR(H202="Backlog",H202="Pipeline",H202="Overdue"),ISNUMBER(J202)),IF(J202&lt;=Settings!$B$6,I202,0),0)</f>
        <v>0</v>
      </c>
      <c r="L202" s="17" t="n">
        <f aca="false">IF(AND(OR(H202="Backlog",H202="Pipeline",H202="Overdue"),ISNUMBER(J202)),IF(J202&lt;=Settings!$B$6,N(G202),0),0)</f>
        <v>0</v>
      </c>
      <c r="M202" s="17" t="n">
        <f aca="false">IF(L202=0,0,IF(H202="Backlog",N(G202),N(G202)*Dashboard!$C$10))</f>
        <v>0</v>
      </c>
      <c r="N202" s="9" t="n">
        <f aca="false">IF(B202="",0,IF(COUNTIF(Dashboard!$C$13:$C$22,B202)&gt;0,1,0))</f>
        <v>0</v>
      </c>
    </row>
    <row r="203" customFormat="false" ht="15" hidden="false" customHeight="false" outlineLevel="0" collapsed="false">
      <c r="A203" s="13"/>
      <c r="B203" s="13"/>
      <c r="C203" s="13"/>
      <c r="D203" s="13"/>
      <c r="E203" s="10"/>
      <c r="F203" s="46"/>
      <c r="G203" s="47"/>
      <c r="H203" s="9" t="str">
        <f aca="false">IF(OR(G203="",A203=""),"",IF(NOT(ISNUMBER(F203)),"NO DATE",IF(D203="Backlog",IF(F203&gt;Settings!$B$5,"Backlog","Delivered"),IF(F203&gt;Settings!$B$5,"Pipeline","Overdue"))))</f>
        <v/>
      </c>
      <c r="I203" s="17" t="n">
        <f aca="false">IF(H203="",0,N(G203)*IF(D203="Backlog",1,N(E203)))</f>
        <v>0</v>
      </c>
      <c r="J203" s="48" t="str">
        <f aca="false">IF(OR(H203="",H203="NO DATE"),"",IF(H203="Overdue",IF(Settings!$B$8="Yes",Settings!$B$7,""),DATE(YEAR(F203),MONTH(F203),1)))</f>
        <v/>
      </c>
      <c r="K203" s="17" t="n">
        <f aca="false">IF(AND(OR(H203="Backlog",H203="Pipeline",H203="Overdue"),ISNUMBER(J203)),IF(J203&lt;=Settings!$B$6,I203,0),0)</f>
        <v>0</v>
      </c>
      <c r="L203" s="17" t="n">
        <f aca="false">IF(AND(OR(H203="Backlog",H203="Pipeline",H203="Overdue"),ISNUMBER(J203)),IF(J203&lt;=Settings!$B$6,N(G203),0),0)</f>
        <v>0</v>
      </c>
      <c r="M203" s="17" t="n">
        <f aca="false">IF(L203=0,0,IF(H203="Backlog",N(G203),N(G203)*Dashboard!$C$10))</f>
        <v>0</v>
      </c>
      <c r="N203" s="9" t="n">
        <f aca="false">IF(B203="",0,IF(COUNTIF(Dashboard!$C$13:$C$22,B203)&gt;0,1,0))</f>
        <v>0</v>
      </c>
    </row>
    <row r="204" customFormat="false" ht="15" hidden="false" customHeight="false" outlineLevel="0" collapsed="false">
      <c r="A204" s="13"/>
      <c r="B204" s="13"/>
      <c r="C204" s="13"/>
      <c r="D204" s="13"/>
      <c r="E204" s="10"/>
      <c r="F204" s="46"/>
      <c r="G204" s="47"/>
      <c r="H204" s="9" t="str">
        <f aca="false">IF(OR(G204="",A204=""),"",IF(NOT(ISNUMBER(F204)),"NO DATE",IF(D204="Backlog",IF(F204&gt;Settings!$B$5,"Backlog","Delivered"),IF(F204&gt;Settings!$B$5,"Pipeline","Overdue"))))</f>
        <v/>
      </c>
      <c r="I204" s="17" t="n">
        <f aca="false">IF(H204="",0,N(G204)*IF(D204="Backlog",1,N(E204)))</f>
        <v>0</v>
      </c>
      <c r="J204" s="48" t="str">
        <f aca="false">IF(OR(H204="",H204="NO DATE"),"",IF(H204="Overdue",IF(Settings!$B$8="Yes",Settings!$B$7,""),DATE(YEAR(F204),MONTH(F204),1)))</f>
        <v/>
      </c>
      <c r="K204" s="17" t="n">
        <f aca="false">IF(AND(OR(H204="Backlog",H204="Pipeline",H204="Overdue"),ISNUMBER(J204)),IF(J204&lt;=Settings!$B$6,I204,0),0)</f>
        <v>0</v>
      </c>
      <c r="L204" s="17" t="n">
        <f aca="false">IF(AND(OR(H204="Backlog",H204="Pipeline",H204="Overdue"),ISNUMBER(J204)),IF(J204&lt;=Settings!$B$6,N(G204),0),0)</f>
        <v>0</v>
      </c>
      <c r="M204" s="17" t="n">
        <f aca="false">IF(L204=0,0,IF(H204="Backlog",N(G204),N(G204)*Dashboard!$C$10))</f>
        <v>0</v>
      </c>
      <c r="N204" s="9" t="n">
        <f aca="false">IF(B204="",0,IF(COUNTIF(Dashboard!$C$13:$C$22,B204)&gt;0,1,0))</f>
        <v>0</v>
      </c>
    </row>
    <row r="205" customFormat="false" ht="15" hidden="false" customHeight="false" outlineLevel="0" collapsed="false">
      <c r="A205" s="13"/>
      <c r="B205" s="13"/>
      <c r="C205" s="13"/>
      <c r="D205" s="13"/>
      <c r="E205" s="10"/>
      <c r="F205" s="46"/>
      <c r="G205" s="47"/>
      <c r="H205" s="9" t="str">
        <f aca="false">IF(OR(G205="",A205=""),"",IF(NOT(ISNUMBER(F205)),"NO DATE",IF(D205="Backlog",IF(F205&gt;Settings!$B$5,"Backlog","Delivered"),IF(F205&gt;Settings!$B$5,"Pipeline","Overdue"))))</f>
        <v/>
      </c>
      <c r="I205" s="17" t="n">
        <f aca="false">IF(H205="",0,N(G205)*IF(D205="Backlog",1,N(E205)))</f>
        <v>0</v>
      </c>
      <c r="J205" s="48" t="str">
        <f aca="false">IF(OR(H205="",H205="NO DATE"),"",IF(H205="Overdue",IF(Settings!$B$8="Yes",Settings!$B$7,""),DATE(YEAR(F205),MONTH(F205),1)))</f>
        <v/>
      </c>
      <c r="K205" s="17" t="n">
        <f aca="false">IF(AND(OR(H205="Backlog",H205="Pipeline",H205="Overdue"),ISNUMBER(J205)),IF(J205&lt;=Settings!$B$6,I205,0),0)</f>
        <v>0</v>
      </c>
      <c r="L205" s="17" t="n">
        <f aca="false">IF(AND(OR(H205="Backlog",H205="Pipeline",H205="Overdue"),ISNUMBER(J205)),IF(J205&lt;=Settings!$B$6,N(G205),0),0)</f>
        <v>0</v>
      </c>
      <c r="M205" s="17" t="n">
        <f aca="false">IF(L205=0,0,IF(H205="Backlog",N(G205),N(G205)*Dashboard!$C$10))</f>
        <v>0</v>
      </c>
      <c r="N205" s="9" t="n">
        <f aca="false">IF(B205="",0,IF(COUNTIF(Dashboard!$C$13:$C$22,B205)&gt;0,1,0))</f>
        <v>0</v>
      </c>
    </row>
    <row r="206" customFormat="false" ht="15" hidden="false" customHeight="false" outlineLevel="0" collapsed="false">
      <c r="A206" s="13"/>
      <c r="B206" s="13"/>
      <c r="C206" s="13"/>
      <c r="D206" s="13"/>
      <c r="E206" s="10"/>
      <c r="F206" s="46"/>
      <c r="G206" s="47"/>
      <c r="H206" s="9" t="str">
        <f aca="false">IF(OR(G206="",A206=""),"",IF(NOT(ISNUMBER(F206)),"NO DATE",IF(D206="Backlog",IF(F206&gt;Settings!$B$5,"Backlog","Delivered"),IF(F206&gt;Settings!$B$5,"Pipeline","Overdue"))))</f>
        <v/>
      </c>
      <c r="I206" s="17" t="n">
        <f aca="false">IF(H206="",0,N(G206)*IF(D206="Backlog",1,N(E206)))</f>
        <v>0</v>
      </c>
      <c r="J206" s="48" t="str">
        <f aca="false">IF(OR(H206="",H206="NO DATE"),"",IF(H206="Overdue",IF(Settings!$B$8="Yes",Settings!$B$7,""),DATE(YEAR(F206),MONTH(F206),1)))</f>
        <v/>
      </c>
      <c r="K206" s="17" t="n">
        <f aca="false">IF(AND(OR(H206="Backlog",H206="Pipeline",H206="Overdue"),ISNUMBER(J206)),IF(J206&lt;=Settings!$B$6,I206,0),0)</f>
        <v>0</v>
      </c>
      <c r="L206" s="17" t="n">
        <f aca="false">IF(AND(OR(H206="Backlog",H206="Pipeline",H206="Overdue"),ISNUMBER(J206)),IF(J206&lt;=Settings!$B$6,N(G206),0),0)</f>
        <v>0</v>
      </c>
      <c r="M206" s="17" t="n">
        <f aca="false">IF(L206=0,0,IF(H206="Backlog",N(G206),N(G206)*Dashboard!$C$10))</f>
        <v>0</v>
      </c>
      <c r="N206" s="9" t="n">
        <f aca="false">IF(B206="",0,IF(COUNTIF(Dashboard!$C$13:$C$22,B206)&gt;0,1,0))</f>
        <v>0</v>
      </c>
    </row>
    <row r="207" customFormat="false" ht="15" hidden="false" customHeight="false" outlineLevel="0" collapsed="false">
      <c r="A207" s="13"/>
      <c r="B207" s="13"/>
      <c r="C207" s="13"/>
      <c r="D207" s="13"/>
      <c r="E207" s="10"/>
      <c r="F207" s="46"/>
      <c r="G207" s="47"/>
      <c r="H207" s="9" t="str">
        <f aca="false">IF(OR(G207="",A207=""),"",IF(NOT(ISNUMBER(F207)),"NO DATE",IF(D207="Backlog",IF(F207&gt;Settings!$B$5,"Backlog","Delivered"),IF(F207&gt;Settings!$B$5,"Pipeline","Overdue"))))</f>
        <v/>
      </c>
      <c r="I207" s="17" t="n">
        <f aca="false">IF(H207="",0,N(G207)*IF(D207="Backlog",1,N(E207)))</f>
        <v>0</v>
      </c>
      <c r="J207" s="48" t="str">
        <f aca="false">IF(OR(H207="",H207="NO DATE"),"",IF(H207="Overdue",IF(Settings!$B$8="Yes",Settings!$B$7,""),DATE(YEAR(F207),MONTH(F207),1)))</f>
        <v/>
      </c>
      <c r="K207" s="17" t="n">
        <f aca="false">IF(AND(OR(H207="Backlog",H207="Pipeline",H207="Overdue"),ISNUMBER(J207)),IF(J207&lt;=Settings!$B$6,I207,0),0)</f>
        <v>0</v>
      </c>
      <c r="L207" s="17" t="n">
        <f aca="false">IF(AND(OR(H207="Backlog",H207="Pipeline",H207="Overdue"),ISNUMBER(J207)),IF(J207&lt;=Settings!$B$6,N(G207),0),0)</f>
        <v>0</v>
      </c>
      <c r="M207" s="17" t="n">
        <f aca="false">IF(L207=0,0,IF(H207="Backlog",N(G207),N(G207)*Dashboard!$C$10))</f>
        <v>0</v>
      </c>
      <c r="N207" s="9" t="n">
        <f aca="false">IF(B207="",0,IF(COUNTIF(Dashboard!$C$13:$C$22,B207)&gt;0,1,0))</f>
        <v>0</v>
      </c>
    </row>
  </sheetData>
  <dataValidations count="2">
    <dataValidation allowBlank="true" errorStyle="stop" operator="between" showDropDown="false" showErrorMessage="false" showInputMessage="false" sqref="A8:A207" type="list">
      <formula1>Settings!$A$12:$A$18</formula1>
      <formula2>0</formula2>
    </dataValidation>
    <dataValidation allowBlank="true" errorStyle="stop" operator="between" showDropDown="false" showErrorMessage="false" showInputMessage="false" sqref="D8:D207" type="list">
      <formula1>"Backlog,Pipeline"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N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14" min="2" style="0" width="12"/>
  </cols>
  <sheetData>
    <row r="1" customFormat="false" ht="19.7" hidden="false" customHeight="false" outlineLevel="0" collapsed="false">
      <c r="A1" s="1" t="s">
        <v>1615</v>
      </c>
    </row>
    <row r="2" customFormat="false" ht="15" hidden="false" customHeight="false" outlineLevel="0" collapsed="false">
      <c r="A2" s="4" t="s">
        <v>1616</v>
      </c>
    </row>
    <row r="4" customFormat="false" ht="15" hidden="false" customHeight="false" outlineLevel="0" collapsed="false">
      <c r="A4" s="14" t="s">
        <v>32</v>
      </c>
      <c r="B4" s="49" t="n">
        <f aca="false">Settings!$D$12</f>
        <v>46204</v>
      </c>
      <c r="C4" s="49" t="n">
        <f aca="false">Settings!$D$13</f>
        <v>46235</v>
      </c>
      <c r="D4" s="49" t="n">
        <f aca="false">Settings!$D$14</f>
        <v>46266</v>
      </c>
      <c r="E4" s="49" t="n">
        <f aca="false">Settings!$D$15</f>
        <v>46296</v>
      </c>
      <c r="F4" s="49" t="n">
        <f aca="false">Settings!$D$16</f>
        <v>46327</v>
      </c>
      <c r="G4" s="49" t="n">
        <f aca="false">Settings!$D$17</f>
        <v>46357</v>
      </c>
      <c r="H4" s="49" t="n">
        <f aca="false">Settings!$D$18</f>
        <v>46388</v>
      </c>
      <c r="I4" s="49" t="n">
        <f aca="false">Settings!$D$19</f>
        <v>46419</v>
      </c>
      <c r="J4" s="49" t="n">
        <f aca="false">Settings!$D$20</f>
        <v>46447</v>
      </c>
      <c r="K4" s="49" t="n">
        <f aca="false">Settings!$D$21</f>
        <v>46478</v>
      </c>
      <c r="L4" s="49" t="n">
        <f aca="false">Settings!$D$22</f>
        <v>46508</v>
      </c>
      <c r="M4" s="49" t="n">
        <f aca="false">Settings!$D$23</f>
        <v>46539</v>
      </c>
      <c r="N4" s="14" t="s">
        <v>81</v>
      </c>
    </row>
    <row r="5" customFormat="false" ht="15" hidden="false" customHeight="false" outlineLevel="0" collapsed="false">
      <c r="A5" s="9" t="str">
        <f aca="false">Settings!$A$12</f>
        <v>Onsite</v>
      </c>
      <c r="B5" s="47"/>
      <c r="C5" s="47"/>
      <c r="D5" s="47"/>
      <c r="E5" s="47"/>
      <c r="F5" s="47"/>
      <c r="G5" s="47"/>
      <c r="H5" s="47"/>
      <c r="I5" s="47"/>
      <c r="J5" s="47"/>
      <c r="K5" s="47"/>
      <c r="L5" s="47"/>
      <c r="M5" s="47"/>
      <c r="N5" s="28" t="n">
        <f aca="false">SUM(B5:M5)</f>
        <v>0</v>
      </c>
    </row>
    <row r="6" customFormat="false" ht="15" hidden="false" customHeight="false" outlineLevel="0" collapsed="false">
      <c r="A6" s="9" t="str">
        <f aca="false">Settings!$A$13</f>
        <v>Production</v>
      </c>
      <c r="B6" s="47"/>
      <c r="C6" s="47"/>
      <c r="D6" s="47"/>
      <c r="E6" s="47"/>
      <c r="F6" s="47"/>
      <c r="G6" s="47"/>
      <c r="H6" s="47"/>
      <c r="I6" s="47"/>
      <c r="J6" s="47"/>
      <c r="K6" s="47"/>
      <c r="L6" s="47"/>
      <c r="M6" s="47"/>
      <c r="N6" s="28" t="n">
        <f aca="false">SUM(B6:M6)</f>
        <v>0</v>
      </c>
    </row>
    <row r="7" customFormat="false" ht="15" hidden="false" customHeight="false" outlineLevel="0" collapsed="false">
      <c r="A7" s="9" t="str">
        <f aca="false">Settings!$A$14</f>
        <v>Video</v>
      </c>
      <c r="B7" s="47"/>
      <c r="C7" s="47"/>
      <c r="D7" s="47"/>
      <c r="E7" s="47"/>
      <c r="F7" s="47"/>
      <c r="G7" s="47"/>
      <c r="H7" s="47"/>
      <c r="I7" s="47"/>
      <c r="J7" s="47"/>
      <c r="K7" s="47"/>
      <c r="L7" s="47"/>
      <c r="M7" s="47"/>
      <c r="N7" s="28" t="n">
        <f aca="false">SUM(B7:M7)</f>
        <v>0</v>
      </c>
    </row>
    <row r="8" customFormat="false" ht="15" hidden="false" customHeight="false" outlineLevel="0" collapsed="false">
      <c r="A8" s="9" t="str">
        <f aca="false">Settings!$A$15</f>
        <v>Consulting</v>
      </c>
      <c r="B8" s="47"/>
      <c r="C8" s="47"/>
      <c r="D8" s="47"/>
      <c r="E8" s="47"/>
      <c r="F8" s="47"/>
      <c r="G8" s="47"/>
      <c r="H8" s="47"/>
      <c r="I8" s="47"/>
      <c r="J8" s="47"/>
      <c r="K8" s="47"/>
      <c r="L8" s="47"/>
      <c r="M8" s="47"/>
      <c r="N8" s="28" t="n">
        <f aca="false">SUM(B8:M8)</f>
        <v>0</v>
      </c>
    </row>
    <row r="9" customFormat="false" ht="15" hidden="false" customHeight="false" outlineLevel="0" collapsed="false">
      <c r="A9" s="9" t="str">
        <f aca="false">Settings!$A$16</f>
        <v>Integration</v>
      </c>
      <c r="B9" s="47"/>
      <c r="C9" s="47"/>
      <c r="D9" s="47"/>
      <c r="E9" s="47"/>
      <c r="F9" s="47"/>
      <c r="G9" s="47"/>
      <c r="H9" s="47"/>
      <c r="I9" s="47"/>
      <c r="J9" s="47"/>
      <c r="K9" s="47"/>
      <c r="L9" s="47"/>
      <c r="M9" s="47"/>
      <c r="N9" s="28" t="n">
        <f aca="false">SUM(B9:M9)</f>
        <v>0</v>
      </c>
    </row>
    <row r="10" customFormat="false" ht="15" hidden="false" customHeight="false" outlineLevel="0" collapsed="false">
      <c r="A10" s="9" t="str">
        <f aca="false">Settings!$A$17</f>
        <v>Admin</v>
      </c>
      <c r="B10" s="47"/>
      <c r="C10" s="47"/>
      <c r="D10" s="47"/>
      <c r="E10" s="47"/>
      <c r="F10" s="47"/>
      <c r="G10" s="47"/>
      <c r="H10" s="47"/>
      <c r="I10" s="47"/>
      <c r="J10" s="47"/>
      <c r="K10" s="47"/>
      <c r="L10" s="47"/>
      <c r="M10" s="47"/>
      <c r="N10" s="28" t="n">
        <f aca="false">SUM(B10:M10)</f>
        <v>0</v>
      </c>
    </row>
    <row r="11" customFormat="false" ht="15" hidden="false" customHeight="false" outlineLevel="0" collapsed="false">
      <c r="A11" s="9" t="str">
        <f aca="false">Settings!$A$18</f>
        <v>Unallocated</v>
      </c>
      <c r="B11" s="47"/>
      <c r="C11" s="47"/>
      <c r="D11" s="47"/>
      <c r="E11" s="47"/>
      <c r="F11" s="47"/>
      <c r="G11" s="47"/>
      <c r="H11" s="47"/>
      <c r="I11" s="47"/>
      <c r="J11" s="47"/>
      <c r="K11" s="47"/>
      <c r="L11" s="47"/>
      <c r="M11" s="47"/>
      <c r="N11" s="28" t="n">
        <f aca="false">SUM(B11:M11)</f>
        <v>0</v>
      </c>
    </row>
    <row r="12" customFormat="false" ht="15" hidden="false" customHeight="false" outlineLevel="0" collapsed="false">
      <c r="A12" s="20" t="s">
        <v>55</v>
      </c>
      <c r="B12" s="21" t="n">
        <f aca="false">SUM(B5:B11)</f>
        <v>0</v>
      </c>
      <c r="C12" s="21" t="n">
        <f aca="false">SUM(C5:C11)</f>
        <v>0</v>
      </c>
      <c r="D12" s="21" t="n">
        <f aca="false">SUM(D5:D11)</f>
        <v>0</v>
      </c>
      <c r="E12" s="21" t="n">
        <f aca="false">SUM(E5:E11)</f>
        <v>0</v>
      </c>
      <c r="F12" s="21" t="n">
        <f aca="false">SUM(F5:F11)</f>
        <v>0</v>
      </c>
      <c r="G12" s="21" t="n">
        <f aca="false">SUM(G5:G11)</f>
        <v>0</v>
      </c>
      <c r="H12" s="21" t="n">
        <f aca="false">SUM(H5:H11)</f>
        <v>0</v>
      </c>
      <c r="I12" s="21" t="n">
        <f aca="false">SUM(I5:I11)</f>
        <v>0</v>
      </c>
      <c r="J12" s="21" t="n">
        <f aca="false">SUM(J5:J11)</f>
        <v>0</v>
      </c>
      <c r="K12" s="21" t="n">
        <f aca="false">SUM(K5:K11)</f>
        <v>0</v>
      </c>
      <c r="L12" s="21" t="n">
        <f aca="false">SUM(L5:L11)</f>
        <v>0</v>
      </c>
      <c r="M12" s="21" t="n">
        <f aca="false">SUM(M5:M11)</f>
        <v>0</v>
      </c>
      <c r="N12" s="21" t="n">
        <f aca="false">SUM(N5:N11)</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9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3" min="2" style="0" width="16"/>
  </cols>
  <sheetData>
    <row r="1" customFormat="false" ht="19.7" hidden="false" customHeight="false" outlineLevel="0" collapsed="false">
      <c r="A1" s="1" t="s">
        <v>1617</v>
      </c>
    </row>
    <row r="2" customFormat="false" ht="15" hidden="false" customHeight="false" outlineLevel="0" collapsed="false">
      <c r="A2" s="4" t="s">
        <v>1618</v>
      </c>
    </row>
    <row r="3" customFormat="false" ht="15" hidden="false" customHeight="false" outlineLevel="0" collapsed="false">
      <c r="A3" s="42" t="s">
        <v>1619</v>
      </c>
    </row>
    <row r="4" customFormat="false" ht="15" hidden="false" customHeight="false" outlineLevel="0" collapsed="false">
      <c r="A4" s="14" t="s">
        <v>1605</v>
      </c>
      <c r="B4" s="14" t="s">
        <v>1606</v>
      </c>
      <c r="C4" s="14" t="s">
        <v>32</v>
      </c>
    </row>
    <row r="5" customFormat="false" ht="15" hidden="false" customHeight="false" outlineLevel="0" collapsed="false">
      <c r="A5" s="9" t="s">
        <v>1620</v>
      </c>
      <c r="B5" s="9" t="s">
        <v>1621</v>
      </c>
      <c r="C5" s="13" t="s">
        <v>1622</v>
      </c>
    </row>
    <row r="6" customFormat="false" ht="15" hidden="false" customHeight="false" outlineLevel="0" collapsed="false">
      <c r="A6" s="9" t="s">
        <v>1623</v>
      </c>
      <c r="B6" s="9" t="s">
        <v>1621</v>
      </c>
      <c r="C6" s="13" t="s">
        <v>1622</v>
      </c>
    </row>
    <row r="7" customFormat="false" ht="15" hidden="false" customHeight="false" outlineLevel="0" collapsed="false">
      <c r="A7" s="9" t="s">
        <v>1624</v>
      </c>
      <c r="B7" s="9" t="s">
        <v>1621</v>
      </c>
      <c r="C7" s="13" t="s">
        <v>1622</v>
      </c>
    </row>
    <row r="8" customFormat="false" ht="15" hidden="false" customHeight="false" outlineLevel="0" collapsed="false">
      <c r="A8" s="9" t="s">
        <v>1625</v>
      </c>
      <c r="B8" s="9" t="s">
        <v>1621</v>
      </c>
      <c r="C8" s="13" t="s">
        <v>1622</v>
      </c>
    </row>
    <row r="9" customFormat="false" ht="15" hidden="false" customHeight="false" outlineLevel="0" collapsed="false">
      <c r="A9" s="9" t="s">
        <v>1626</v>
      </c>
      <c r="B9" s="9" t="s">
        <v>1621</v>
      </c>
      <c r="C9" s="13" t="s">
        <v>1622</v>
      </c>
    </row>
    <row r="10" customFormat="false" ht="15" hidden="false" customHeight="false" outlineLevel="0" collapsed="false">
      <c r="A10" s="9" t="s">
        <v>1627</v>
      </c>
      <c r="B10" s="9" t="s">
        <v>1621</v>
      </c>
      <c r="C10" s="13" t="s">
        <v>1622</v>
      </c>
    </row>
    <row r="11" customFormat="false" ht="15" hidden="false" customHeight="false" outlineLevel="0" collapsed="false">
      <c r="A11" s="9" t="s">
        <v>1628</v>
      </c>
      <c r="B11" s="9" t="s">
        <v>1621</v>
      </c>
      <c r="C11" s="13" t="s">
        <v>173</v>
      </c>
    </row>
    <row r="12" customFormat="false" ht="15" hidden="false" customHeight="false" outlineLevel="0" collapsed="false">
      <c r="A12" s="9" t="s">
        <v>1629</v>
      </c>
      <c r="B12" s="9" t="s">
        <v>1621</v>
      </c>
      <c r="C12" s="13" t="s">
        <v>1630</v>
      </c>
    </row>
    <row r="13" customFormat="false" ht="15" hidden="false" customHeight="false" outlineLevel="0" collapsed="false">
      <c r="A13" s="9" t="s">
        <v>1631</v>
      </c>
      <c r="B13" s="9" t="s">
        <v>1621</v>
      </c>
      <c r="C13" s="13" t="s">
        <v>1632</v>
      </c>
    </row>
    <row r="14" customFormat="false" ht="15" hidden="false" customHeight="false" outlineLevel="0" collapsed="false">
      <c r="A14" s="9" t="s">
        <v>1633</v>
      </c>
      <c r="B14" s="9" t="s">
        <v>1621</v>
      </c>
      <c r="C14" s="13" t="s">
        <v>1634</v>
      </c>
    </row>
    <row r="15" customFormat="false" ht="15" hidden="false" customHeight="false" outlineLevel="0" collapsed="false">
      <c r="A15" s="9" t="s">
        <v>1635</v>
      </c>
      <c r="B15" s="9" t="s">
        <v>1621</v>
      </c>
      <c r="C15" s="13" t="s">
        <v>141</v>
      </c>
    </row>
    <row r="16" customFormat="false" ht="15" hidden="false" customHeight="false" outlineLevel="0" collapsed="false">
      <c r="A16" s="9" t="s">
        <v>1636</v>
      </c>
      <c r="B16" s="9" t="s">
        <v>1621</v>
      </c>
      <c r="C16" s="13" t="s">
        <v>1637</v>
      </c>
    </row>
    <row r="17" customFormat="false" ht="15" hidden="false" customHeight="false" outlineLevel="0" collapsed="false">
      <c r="A17" s="9" t="s">
        <v>1638</v>
      </c>
      <c r="B17" s="9" t="s">
        <v>1621</v>
      </c>
      <c r="C17" s="13" t="s">
        <v>1622</v>
      </c>
    </row>
    <row r="18" customFormat="false" ht="15" hidden="false" customHeight="false" outlineLevel="0" collapsed="false">
      <c r="A18" s="9" t="s">
        <v>1639</v>
      </c>
      <c r="B18" s="9" t="s">
        <v>1621</v>
      </c>
      <c r="C18" s="13" t="s">
        <v>1622</v>
      </c>
    </row>
    <row r="19" customFormat="false" ht="15" hidden="false" customHeight="false" outlineLevel="0" collapsed="false">
      <c r="A19" s="9" t="s">
        <v>1640</v>
      </c>
      <c r="B19" s="9" t="s">
        <v>1621</v>
      </c>
      <c r="C19" s="13" t="s">
        <v>1637</v>
      </c>
    </row>
    <row r="20" customFormat="false" ht="15" hidden="false" customHeight="false" outlineLevel="0" collapsed="false">
      <c r="A20" s="9" t="s">
        <v>1641</v>
      </c>
      <c r="B20" s="9" t="s">
        <v>1621</v>
      </c>
      <c r="C20" s="13" t="s">
        <v>173</v>
      </c>
    </row>
    <row r="21" customFormat="false" ht="15" hidden="false" customHeight="false" outlineLevel="0" collapsed="false">
      <c r="A21" s="9" t="s">
        <v>1642</v>
      </c>
      <c r="B21" s="9" t="s">
        <v>1621</v>
      </c>
      <c r="C21" s="13" t="s">
        <v>141</v>
      </c>
    </row>
    <row r="22" customFormat="false" ht="15" hidden="false" customHeight="false" outlineLevel="0" collapsed="false">
      <c r="A22" s="9" t="s">
        <v>1643</v>
      </c>
      <c r="B22" s="9" t="s">
        <v>1621</v>
      </c>
      <c r="C22" s="13" t="s">
        <v>1630</v>
      </c>
    </row>
    <row r="23" customFormat="false" ht="15" hidden="false" customHeight="false" outlineLevel="0" collapsed="false">
      <c r="A23" s="9" t="s">
        <v>1644</v>
      </c>
      <c r="B23" s="9" t="s">
        <v>1621</v>
      </c>
      <c r="C23" s="13" t="s">
        <v>1632</v>
      </c>
    </row>
    <row r="24" customFormat="false" ht="15" hidden="false" customHeight="false" outlineLevel="0" collapsed="false">
      <c r="A24" s="9" t="s">
        <v>1645</v>
      </c>
      <c r="B24" s="9" t="s">
        <v>1621</v>
      </c>
      <c r="C24" s="13" t="s">
        <v>1634</v>
      </c>
    </row>
    <row r="25" customFormat="false" ht="15" hidden="false" customHeight="false" outlineLevel="0" collapsed="false">
      <c r="A25" s="9" t="s">
        <v>1646</v>
      </c>
      <c r="B25" s="9" t="s">
        <v>1621</v>
      </c>
      <c r="C25" s="13" t="s">
        <v>1622</v>
      </c>
    </row>
    <row r="26" customFormat="false" ht="15" hidden="false" customHeight="false" outlineLevel="0" collapsed="false">
      <c r="A26" s="9" t="s">
        <v>1647</v>
      </c>
      <c r="B26" s="9" t="s">
        <v>1621</v>
      </c>
      <c r="C26" s="13" t="s">
        <v>1637</v>
      </c>
    </row>
    <row r="27" customFormat="false" ht="15" hidden="false" customHeight="false" outlineLevel="0" collapsed="false">
      <c r="A27" s="9" t="s">
        <v>1648</v>
      </c>
      <c r="B27" s="9" t="s">
        <v>1621</v>
      </c>
      <c r="C27" s="13" t="s">
        <v>173</v>
      </c>
    </row>
    <row r="28" customFormat="false" ht="15" hidden="false" customHeight="false" outlineLevel="0" collapsed="false">
      <c r="A28" s="9" t="s">
        <v>1649</v>
      </c>
      <c r="B28" s="9" t="s">
        <v>1621</v>
      </c>
      <c r="C28" s="13" t="s">
        <v>141</v>
      </c>
    </row>
    <row r="29" customFormat="false" ht="15" hidden="false" customHeight="false" outlineLevel="0" collapsed="false">
      <c r="A29" s="9" t="s">
        <v>1650</v>
      </c>
      <c r="B29" s="9" t="s">
        <v>1621</v>
      </c>
      <c r="C29" s="13" t="s">
        <v>1630</v>
      </c>
    </row>
    <row r="30" customFormat="false" ht="15" hidden="false" customHeight="false" outlineLevel="0" collapsed="false">
      <c r="A30" s="9" t="s">
        <v>1651</v>
      </c>
      <c r="B30" s="9" t="s">
        <v>1621</v>
      </c>
      <c r="C30" s="13" t="s">
        <v>1632</v>
      </c>
    </row>
    <row r="31" customFormat="false" ht="15" hidden="false" customHeight="false" outlineLevel="0" collapsed="false">
      <c r="A31" s="9" t="s">
        <v>1652</v>
      </c>
      <c r="B31" s="9" t="s">
        <v>1621</v>
      </c>
      <c r="C31" s="13" t="s">
        <v>1634</v>
      </c>
    </row>
    <row r="32" customFormat="false" ht="15" hidden="false" customHeight="false" outlineLevel="0" collapsed="false">
      <c r="A32" s="9" t="s">
        <v>1653</v>
      </c>
      <c r="B32" s="9" t="s">
        <v>1621</v>
      </c>
      <c r="C32" s="13" t="s">
        <v>1622</v>
      </c>
    </row>
    <row r="33" customFormat="false" ht="15" hidden="false" customHeight="false" outlineLevel="0" collapsed="false">
      <c r="A33" s="9" t="s">
        <v>1654</v>
      </c>
      <c r="B33" s="9" t="s">
        <v>1621</v>
      </c>
      <c r="C33" s="13" t="s">
        <v>1622</v>
      </c>
    </row>
    <row r="34" customFormat="false" ht="15" hidden="false" customHeight="false" outlineLevel="0" collapsed="false">
      <c r="A34" s="9" t="s">
        <v>1655</v>
      </c>
      <c r="B34" s="9" t="s">
        <v>1621</v>
      </c>
      <c r="C34" s="13" t="s">
        <v>1622</v>
      </c>
    </row>
    <row r="35" customFormat="false" ht="15" hidden="false" customHeight="false" outlineLevel="0" collapsed="false">
      <c r="A35" s="9" t="s">
        <v>1656</v>
      </c>
      <c r="B35" s="9" t="s">
        <v>1621</v>
      </c>
      <c r="C35" s="13" t="s">
        <v>1622</v>
      </c>
    </row>
    <row r="36" customFormat="false" ht="15" hidden="false" customHeight="false" outlineLevel="0" collapsed="false">
      <c r="A36" s="9" t="s">
        <v>1657</v>
      </c>
      <c r="B36" s="9" t="s">
        <v>1621</v>
      </c>
      <c r="C36" s="13" t="s">
        <v>1622</v>
      </c>
    </row>
    <row r="37" customFormat="false" ht="15" hidden="false" customHeight="false" outlineLevel="0" collapsed="false">
      <c r="A37" s="9" t="s">
        <v>1658</v>
      </c>
      <c r="B37" s="9" t="s">
        <v>1621</v>
      </c>
      <c r="C37" s="13" t="s">
        <v>1622</v>
      </c>
    </row>
    <row r="38" customFormat="false" ht="15" hidden="false" customHeight="false" outlineLevel="0" collapsed="false">
      <c r="A38" s="9" t="s">
        <v>1659</v>
      </c>
      <c r="B38" s="9" t="s">
        <v>1621</v>
      </c>
      <c r="C38" s="13" t="s">
        <v>1622</v>
      </c>
    </row>
    <row r="39" customFormat="false" ht="15" hidden="false" customHeight="false" outlineLevel="0" collapsed="false">
      <c r="A39" s="9" t="s">
        <v>1660</v>
      </c>
      <c r="B39" s="9" t="s">
        <v>1621</v>
      </c>
      <c r="C39" s="13" t="s">
        <v>1622</v>
      </c>
    </row>
    <row r="40" customFormat="false" ht="15" hidden="false" customHeight="false" outlineLevel="0" collapsed="false">
      <c r="A40" s="9" t="s">
        <v>1661</v>
      </c>
      <c r="B40" s="9" t="s">
        <v>1662</v>
      </c>
      <c r="C40" s="9" t="s">
        <v>1637</v>
      </c>
    </row>
    <row r="41" customFormat="false" ht="15" hidden="false" customHeight="false" outlineLevel="0" collapsed="false">
      <c r="A41" s="9" t="s">
        <v>1663</v>
      </c>
      <c r="B41" s="9" t="s">
        <v>1662</v>
      </c>
      <c r="C41" s="9" t="s">
        <v>173</v>
      </c>
    </row>
    <row r="42" customFormat="false" ht="15" hidden="false" customHeight="false" outlineLevel="0" collapsed="false">
      <c r="A42" s="9" t="s">
        <v>1664</v>
      </c>
      <c r="B42" s="9" t="s">
        <v>1662</v>
      </c>
      <c r="C42" s="9" t="s">
        <v>141</v>
      </c>
    </row>
    <row r="43" customFormat="false" ht="15" hidden="false" customHeight="false" outlineLevel="0" collapsed="false">
      <c r="A43" s="9" t="s">
        <v>1665</v>
      </c>
      <c r="B43" s="9" t="s">
        <v>1662</v>
      </c>
      <c r="C43" s="9" t="s">
        <v>1630</v>
      </c>
    </row>
    <row r="44" customFormat="false" ht="15" hidden="false" customHeight="false" outlineLevel="0" collapsed="false">
      <c r="A44" s="9" t="s">
        <v>1666</v>
      </c>
      <c r="B44" s="9" t="s">
        <v>1662</v>
      </c>
      <c r="C44" s="9" t="s">
        <v>1632</v>
      </c>
    </row>
    <row r="45" customFormat="false" ht="15" hidden="false" customHeight="false" outlineLevel="0" collapsed="false">
      <c r="A45" s="9" t="s">
        <v>1667</v>
      </c>
      <c r="B45" s="9" t="s">
        <v>1662</v>
      </c>
      <c r="C45" s="9" t="s">
        <v>1634</v>
      </c>
    </row>
    <row r="46" customFormat="false" ht="15" hidden="false" customHeight="false" outlineLevel="0" collapsed="false">
      <c r="A46" s="9" t="s">
        <v>1668</v>
      </c>
      <c r="B46" s="9" t="s">
        <v>1662</v>
      </c>
      <c r="C46" s="9" t="s">
        <v>1622</v>
      </c>
    </row>
    <row r="47" customFormat="false" ht="15" hidden="false" customHeight="false" outlineLevel="0" collapsed="false">
      <c r="A47" s="9" t="s">
        <v>1669</v>
      </c>
      <c r="B47" s="9" t="s">
        <v>1662</v>
      </c>
      <c r="C47" s="9" t="s">
        <v>1637</v>
      </c>
    </row>
    <row r="48" customFormat="false" ht="15" hidden="false" customHeight="false" outlineLevel="0" collapsed="false">
      <c r="A48" s="9" t="s">
        <v>1670</v>
      </c>
      <c r="B48" s="9" t="s">
        <v>1662</v>
      </c>
      <c r="C48" s="9" t="s">
        <v>173</v>
      </c>
    </row>
    <row r="49" customFormat="false" ht="15" hidden="false" customHeight="false" outlineLevel="0" collapsed="false">
      <c r="A49" s="9" t="s">
        <v>1671</v>
      </c>
      <c r="B49" s="9" t="s">
        <v>1662</v>
      </c>
      <c r="C49" s="9" t="s">
        <v>141</v>
      </c>
    </row>
    <row r="50" customFormat="false" ht="15" hidden="false" customHeight="false" outlineLevel="0" collapsed="false">
      <c r="A50" s="9" t="s">
        <v>1672</v>
      </c>
      <c r="B50" s="9" t="s">
        <v>1662</v>
      </c>
      <c r="C50" s="9" t="s">
        <v>1630</v>
      </c>
    </row>
    <row r="51" customFormat="false" ht="15" hidden="false" customHeight="false" outlineLevel="0" collapsed="false">
      <c r="A51" s="9" t="s">
        <v>1673</v>
      </c>
      <c r="B51" s="9" t="s">
        <v>1662</v>
      </c>
      <c r="C51" s="9" t="s">
        <v>1632</v>
      </c>
    </row>
    <row r="52" customFormat="false" ht="15" hidden="false" customHeight="false" outlineLevel="0" collapsed="false">
      <c r="A52" s="9" t="s">
        <v>1674</v>
      </c>
      <c r="B52" s="9" t="s">
        <v>1662</v>
      </c>
      <c r="C52" s="9" t="s">
        <v>1634</v>
      </c>
    </row>
    <row r="53" customFormat="false" ht="15" hidden="false" customHeight="false" outlineLevel="0" collapsed="false">
      <c r="A53" s="9" t="s">
        <v>1675</v>
      </c>
      <c r="B53" s="9" t="s">
        <v>1662</v>
      </c>
      <c r="C53" s="9" t="s">
        <v>173</v>
      </c>
    </row>
    <row r="54" customFormat="false" ht="15" hidden="false" customHeight="false" outlineLevel="0" collapsed="false">
      <c r="A54" s="9" t="s">
        <v>1676</v>
      </c>
      <c r="B54" s="9" t="s">
        <v>1662</v>
      </c>
      <c r="C54" s="9" t="s">
        <v>141</v>
      </c>
    </row>
    <row r="55" customFormat="false" ht="15" hidden="false" customHeight="false" outlineLevel="0" collapsed="false">
      <c r="A55" s="9" t="s">
        <v>1677</v>
      </c>
      <c r="B55" s="9" t="s">
        <v>1662</v>
      </c>
      <c r="C55" s="9" t="s">
        <v>1630</v>
      </c>
    </row>
    <row r="56" customFormat="false" ht="15" hidden="false" customHeight="false" outlineLevel="0" collapsed="false">
      <c r="A56" s="9" t="s">
        <v>1678</v>
      </c>
      <c r="B56" s="9" t="s">
        <v>1662</v>
      </c>
      <c r="C56" s="9" t="s">
        <v>1632</v>
      </c>
    </row>
    <row r="57" customFormat="false" ht="15" hidden="false" customHeight="false" outlineLevel="0" collapsed="false">
      <c r="A57" s="9" t="s">
        <v>1679</v>
      </c>
      <c r="B57" s="9" t="s">
        <v>1662</v>
      </c>
      <c r="C57" s="9" t="s">
        <v>1634</v>
      </c>
    </row>
    <row r="58" customFormat="false" ht="15" hidden="false" customHeight="false" outlineLevel="0" collapsed="false">
      <c r="A58" s="9" t="s">
        <v>1680</v>
      </c>
      <c r="B58" s="9" t="s">
        <v>1662</v>
      </c>
      <c r="C58" s="9" t="s">
        <v>1637</v>
      </c>
    </row>
    <row r="59" customFormat="false" ht="15" hidden="false" customHeight="false" outlineLevel="0" collapsed="false">
      <c r="A59" s="9" t="s">
        <v>1681</v>
      </c>
      <c r="B59" s="9" t="s">
        <v>1662</v>
      </c>
      <c r="C59" s="9" t="s">
        <v>173</v>
      </c>
    </row>
    <row r="60" customFormat="false" ht="15" hidden="false" customHeight="false" outlineLevel="0" collapsed="false">
      <c r="A60" s="9" t="s">
        <v>1682</v>
      </c>
      <c r="B60" s="9" t="s">
        <v>1662</v>
      </c>
      <c r="C60" s="9" t="s">
        <v>141</v>
      </c>
    </row>
    <row r="61" customFormat="false" ht="15" hidden="false" customHeight="false" outlineLevel="0" collapsed="false">
      <c r="A61" s="9" t="s">
        <v>1683</v>
      </c>
      <c r="B61" s="9" t="s">
        <v>1662</v>
      </c>
      <c r="C61" s="9" t="s">
        <v>1630</v>
      </c>
    </row>
    <row r="62" customFormat="false" ht="15" hidden="false" customHeight="false" outlineLevel="0" collapsed="false">
      <c r="A62" s="9" t="s">
        <v>1684</v>
      </c>
      <c r="B62" s="9" t="s">
        <v>1662</v>
      </c>
      <c r="C62" s="9" t="s">
        <v>1632</v>
      </c>
    </row>
    <row r="63" customFormat="false" ht="15" hidden="false" customHeight="false" outlineLevel="0" collapsed="false">
      <c r="A63" s="9" t="s">
        <v>1685</v>
      </c>
      <c r="B63" s="9" t="s">
        <v>1662</v>
      </c>
      <c r="C63" s="9" t="s">
        <v>1634</v>
      </c>
    </row>
    <row r="64" customFormat="false" ht="15" hidden="false" customHeight="false" outlineLevel="0" collapsed="false">
      <c r="A64" s="9" t="s">
        <v>1686</v>
      </c>
      <c r="B64" s="9" t="s">
        <v>1662</v>
      </c>
      <c r="C64" s="9" t="s">
        <v>1637</v>
      </c>
    </row>
    <row r="65" customFormat="false" ht="15" hidden="false" customHeight="false" outlineLevel="0" collapsed="false">
      <c r="A65" s="9" t="s">
        <v>1687</v>
      </c>
      <c r="B65" s="9" t="s">
        <v>1662</v>
      </c>
      <c r="C65" s="9" t="s">
        <v>173</v>
      </c>
    </row>
    <row r="66" customFormat="false" ht="15" hidden="false" customHeight="false" outlineLevel="0" collapsed="false">
      <c r="A66" s="9" t="s">
        <v>1688</v>
      </c>
      <c r="B66" s="9" t="s">
        <v>1662</v>
      </c>
      <c r="C66" s="9" t="s">
        <v>1630</v>
      </c>
    </row>
    <row r="67" customFormat="false" ht="15" hidden="false" customHeight="false" outlineLevel="0" collapsed="false">
      <c r="A67" s="9" t="s">
        <v>1689</v>
      </c>
      <c r="B67" s="9" t="s">
        <v>1662</v>
      </c>
      <c r="C67" s="9" t="s">
        <v>1632</v>
      </c>
    </row>
    <row r="68" customFormat="false" ht="15" hidden="false" customHeight="false" outlineLevel="0" collapsed="false">
      <c r="A68" s="9" t="s">
        <v>1690</v>
      </c>
      <c r="B68" s="9" t="s">
        <v>1662</v>
      </c>
      <c r="C68" s="9" t="s">
        <v>1634</v>
      </c>
    </row>
    <row r="69" customFormat="false" ht="15" hidden="false" customHeight="false" outlineLevel="0" collapsed="false">
      <c r="A69" s="9" t="s">
        <v>1691</v>
      </c>
      <c r="B69" s="9" t="s">
        <v>1662</v>
      </c>
      <c r="C69" s="9" t="s">
        <v>141</v>
      </c>
    </row>
    <row r="70" customFormat="false" ht="15" hidden="false" customHeight="false" outlineLevel="0" collapsed="false">
      <c r="A70" s="9" t="s">
        <v>1692</v>
      </c>
      <c r="B70" s="9" t="s">
        <v>1662</v>
      </c>
      <c r="C70" s="9" t="s">
        <v>1637</v>
      </c>
    </row>
    <row r="71" customFormat="false" ht="15" hidden="false" customHeight="false" outlineLevel="0" collapsed="false">
      <c r="A71" s="9" t="s">
        <v>1693</v>
      </c>
      <c r="B71" s="9" t="s">
        <v>1662</v>
      </c>
      <c r="C71" s="9" t="s">
        <v>173</v>
      </c>
    </row>
    <row r="72" customFormat="false" ht="15" hidden="false" customHeight="false" outlineLevel="0" collapsed="false">
      <c r="A72" s="9" t="s">
        <v>1694</v>
      </c>
      <c r="B72" s="9" t="s">
        <v>1662</v>
      </c>
      <c r="C72" s="9" t="s">
        <v>141</v>
      </c>
    </row>
    <row r="73" customFormat="false" ht="15" hidden="false" customHeight="false" outlineLevel="0" collapsed="false">
      <c r="A73" s="9" t="s">
        <v>1695</v>
      </c>
      <c r="B73" s="9" t="s">
        <v>1662</v>
      </c>
      <c r="C73" s="9" t="s">
        <v>1630</v>
      </c>
    </row>
    <row r="74" customFormat="false" ht="15" hidden="false" customHeight="false" outlineLevel="0" collapsed="false">
      <c r="A74" s="9" t="s">
        <v>1696</v>
      </c>
      <c r="B74" s="9" t="s">
        <v>1662</v>
      </c>
      <c r="C74" s="9" t="s">
        <v>1632</v>
      </c>
    </row>
    <row r="75" customFormat="false" ht="15" hidden="false" customHeight="false" outlineLevel="0" collapsed="false">
      <c r="A75" s="9" t="s">
        <v>1697</v>
      </c>
      <c r="B75" s="9" t="s">
        <v>1662</v>
      </c>
      <c r="C75" s="9" t="s">
        <v>1634</v>
      </c>
    </row>
    <row r="76" customFormat="false" ht="15" hidden="false" customHeight="false" outlineLevel="0" collapsed="false">
      <c r="A76" s="9" t="s">
        <v>1698</v>
      </c>
      <c r="B76" s="9" t="s">
        <v>1662</v>
      </c>
      <c r="C76" s="9" t="s">
        <v>173</v>
      </c>
    </row>
    <row r="77" customFormat="false" ht="15" hidden="false" customHeight="false" outlineLevel="0" collapsed="false">
      <c r="A77" s="9" t="s">
        <v>1699</v>
      </c>
      <c r="B77" s="9" t="s">
        <v>1662</v>
      </c>
      <c r="C77" s="9" t="s">
        <v>141</v>
      </c>
    </row>
    <row r="78" customFormat="false" ht="15" hidden="false" customHeight="false" outlineLevel="0" collapsed="false">
      <c r="A78" s="9" t="s">
        <v>1700</v>
      </c>
      <c r="B78" s="9" t="s">
        <v>1662</v>
      </c>
      <c r="C78" s="9" t="s">
        <v>1630</v>
      </c>
    </row>
    <row r="79" customFormat="false" ht="15" hidden="false" customHeight="false" outlineLevel="0" collapsed="false">
      <c r="A79" s="9" t="s">
        <v>1701</v>
      </c>
      <c r="B79" s="9" t="s">
        <v>1662</v>
      </c>
      <c r="C79" s="9" t="s">
        <v>1632</v>
      </c>
    </row>
    <row r="80" customFormat="false" ht="15" hidden="false" customHeight="false" outlineLevel="0" collapsed="false">
      <c r="A80" s="9" t="s">
        <v>1702</v>
      </c>
      <c r="B80" s="9" t="s">
        <v>1662</v>
      </c>
      <c r="C80" s="9" t="s">
        <v>1634</v>
      </c>
    </row>
    <row r="81" customFormat="false" ht="15" hidden="false" customHeight="false" outlineLevel="0" collapsed="false">
      <c r="A81" s="9" t="s">
        <v>1703</v>
      </c>
      <c r="B81" s="9" t="s">
        <v>1662</v>
      </c>
      <c r="C81" s="9" t="s">
        <v>1637</v>
      </c>
    </row>
    <row r="82" customFormat="false" ht="15" hidden="false" customHeight="false" outlineLevel="0" collapsed="false">
      <c r="A82" s="9" t="s">
        <v>1704</v>
      </c>
      <c r="B82" s="9" t="s">
        <v>1662</v>
      </c>
      <c r="C82" s="9" t="s">
        <v>173</v>
      </c>
    </row>
    <row r="83" customFormat="false" ht="15" hidden="false" customHeight="false" outlineLevel="0" collapsed="false">
      <c r="A83" s="9" t="s">
        <v>1705</v>
      </c>
      <c r="B83" s="9" t="s">
        <v>1662</v>
      </c>
      <c r="C83" s="9" t="s">
        <v>141</v>
      </c>
    </row>
    <row r="84" customFormat="false" ht="15" hidden="false" customHeight="false" outlineLevel="0" collapsed="false">
      <c r="A84" s="9" t="s">
        <v>1706</v>
      </c>
      <c r="B84" s="9" t="s">
        <v>1662</v>
      </c>
      <c r="C84" s="9" t="s">
        <v>1630</v>
      </c>
    </row>
    <row r="85" customFormat="false" ht="15" hidden="false" customHeight="false" outlineLevel="0" collapsed="false">
      <c r="A85" s="9" t="s">
        <v>1707</v>
      </c>
      <c r="B85" s="9" t="s">
        <v>1662</v>
      </c>
      <c r="C85" s="9" t="s">
        <v>1632</v>
      </c>
    </row>
    <row r="86" customFormat="false" ht="15" hidden="false" customHeight="false" outlineLevel="0" collapsed="false">
      <c r="A86" s="9" t="s">
        <v>1708</v>
      </c>
      <c r="B86" s="9" t="s">
        <v>1662</v>
      </c>
      <c r="C86" s="9" t="s">
        <v>1634</v>
      </c>
    </row>
    <row r="87" customFormat="false" ht="15" hidden="false" customHeight="false" outlineLevel="0" collapsed="false">
      <c r="A87" s="9" t="s">
        <v>1709</v>
      </c>
      <c r="B87" s="9" t="s">
        <v>1662</v>
      </c>
      <c r="C87" s="9" t="s">
        <v>1622</v>
      </c>
    </row>
    <row r="88" customFormat="false" ht="15" hidden="false" customHeight="false" outlineLevel="0" collapsed="false">
      <c r="A88" s="9" t="s">
        <v>1710</v>
      </c>
      <c r="B88" s="9" t="s">
        <v>1662</v>
      </c>
      <c r="C88" s="9" t="s">
        <v>1622</v>
      </c>
    </row>
    <row r="89" customFormat="false" ht="15" hidden="false" customHeight="false" outlineLevel="0" collapsed="false">
      <c r="A89" s="9" t="s">
        <v>1711</v>
      </c>
      <c r="B89" s="9" t="s">
        <v>1662</v>
      </c>
      <c r="C89" s="9" t="s">
        <v>1622</v>
      </c>
    </row>
    <row r="90" customFormat="false" ht="15" hidden="false" customHeight="false" outlineLevel="0" collapsed="false">
      <c r="A90" s="9" t="s">
        <v>1712</v>
      </c>
      <c r="B90" s="9" t="s">
        <v>1662</v>
      </c>
      <c r="C90" s="9" t="s">
        <v>1622</v>
      </c>
    </row>
    <row r="91" customFormat="false" ht="15" hidden="false" customHeight="false" outlineLevel="0" collapsed="false">
      <c r="A91" s="9" t="s">
        <v>1713</v>
      </c>
      <c r="B91" s="9" t="s">
        <v>1662</v>
      </c>
      <c r="C91" s="9" t="s">
        <v>1622</v>
      </c>
    </row>
    <row r="92" customFormat="false" ht="15" hidden="false" customHeight="false" outlineLevel="0" collapsed="false">
      <c r="A92" s="9" t="s">
        <v>1714</v>
      </c>
      <c r="B92" s="9" t="s">
        <v>1662</v>
      </c>
      <c r="C92" s="9" t="s">
        <v>1622</v>
      </c>
    </row>
    <row r="93" customFormat="false" ht="15" hidden="false" customHeight="false" outlineLevel="0" collapsed="false">
      <c r="A93" s="9" t="s">
        <v>1715</v>
      </c>
      <c r="B93" s="9" t="s">
        <v>1662</v>
      </c>
      <c r="C93" s="9" t="s">
        <v>1637</v>
      </c>
    </row>
    <row r="94" customFormat="false" ht="15" hidden="false" customHeight="false" outlineLevel="0" collapsed="false">
      <c r="A94" s="9" t="s">
        <v>1716</v>
      </c>
      <c r="B94" s="9" t="s">
        <v>1662</v>
      </c>
      <c r="C94" s="9" t="s">
        <v>173</v>
      </c>
    </row>
    <row r="95" customFormat="false" ht="15" hidden="false" customHeight="false" outlineLevel="0" collapsed="false">
      <c r="A95" s="9" t="s">
        <v>1717</v>
      </c>
      <c r="B95" s="9" t="s">
        <v>1662</v>
      </c>
      <c r="C95" s="9" t="s">
        <v>141</v>
      </c>
    </row>
    <row r="96" customFormat="false" ht="15" hidden="false" customHeight="false" outlineLevel="0" collapsed="false">
      <c r="A96" s="9" t="s">
        <v>1718</v>
      </c>
      <c r="B96" s="9" t="s">
        <v>1662</v>
      </c>
      <c r="C96" s="9" t="s">
        <v>1630</v>
      </c>
    </row>
    <row r="97" customFormat="false" ht="15" hidden="false" customHeight="false" outlineLevel="0" collapsed="false">
      <c r="A97" s="9" t="s">
        <v>1719</v>
      </c>
      <c r="B97" s="9" t="s">
        <v>1662</v>
      </c>
      <c r="C97" s="9" t="s">
        <v>1632</v>
      </c>
    </row>
    <row r="98" customFormat="false" ht="15" hidden="false" customHeight="false" outlineLevel="0" collapsed="false">
      <c r="A98" s="9" t="s">
        <v>1720</v>
      </c>
      <c r="B98" s="9" t="s">
        <v>1662</v>
      </c>
      <c r="C98" s="9" t="s">
        <v>1634</v>
      </c>
    </row>
    <row r="99" customFormat="false" ht="15" hidden="false" customHeight="false" outlineLevel="0" collapsed="false">
      <c r="A99" s="9" t="s">
        <v>1721</v>
      </c>
      <c r="B99" s="9" t="s">
        <v>1662</v>
      </c>
      <c r="C99" s="9" t="s">
        <v>1622</v>
      </c>
    </row>
    <row r="100" customFormat="false" ht="15" hidden="false" customHeight="false" outlineLevel="0" collapsed="false">
      <c r="A100" s="9" t="s">
        <v>1722</v>
      </c>
      <c r="B100" s="9" t="s">
        <v>1662</v>
      </c>
      <c r="C100" s="9" t="s">
        <v>1637</v>
      </c>
    </row>
    <row r="101" customFormat="false" ht="15" hidden="false" customHeight="false" outlineLevel="0" collapsed="false">
      <c r="A101" s="9" t="s">
        <v>1723</v>
      </c>
      <c r="B101" s="9" t="s">
        <v>1662</v>
      </c>
      <c r="C101" s="9" t="s">
        <v>173</v>
      </c>
    </row>
    <row r="102" customFormat="false" ht="15" hidden="false" customHeight="false" outlineLevel="0" collapsed="false">
      <c r="A102" s="9" t="s">
        <v>1724</v>
      </c>
      <c r="B102" s="9" t="s">
        <v>1662</v>
      </c>
      <c r="C102" s="9" t="s">
        <v>141</v>
      </c>
    </row>
    <row r="103" customFormat="false" ht="15" hidden="false" customHeight="false" outlineLevel="0" collapsed="false">
      <c r="A103" s="9" t="s">
        <v>1725</v>
      </c>
      <c r="B103" s="9" t="s">
        <v>1662</v>
      </c>
      <c r="C103" s="9" t="s">
        <v>1630</v>
      </c>
    </row>
    <row r="104" customFormat="false" ht="15" hidden="false" customHeight="false" outlineLevel="0" collapsed="false">
      <c r="A104" s="9" t="s">
        <v>1726</v>
      </c>
      <c r="B104" s="9" t="s">
        <v>1662</v>
      </c>
      <c r="C104" s="9" t="s">
        <v>1632</v>
      </c>
    </row>
    <row r="105" customFormat="false" ht="15" hidden="false" customHeight="false" outlineLevel="0" collapsed="false">
      <c r="A105" s="9" t="s">
        <v>1727</v>
      </c>
      <c r="B105" s="9" t="s">
        <v>1662</v>
      </c>
      <c r="C105" s="9" t="s">
        <v>1634</v>
      </c>
    </row>
    <row r="106" customFormat="false" ht="15" hidden="false" customHeight="false" outlineLevel="0" collapsed="false">
      <c r="A106" s="9" t="s">
        <v>1728</v>
      </c>
      <c r="B106" s="9" t="s">
        <v>1729</v>
      </c>
      <c r="C106" s="9" t="s">
        <v>1622</v>
      </c>
    </row>
    <row r="107" customFormat="false" ht="15" hidden="false" customHeight="false" outlineLevel="0" collapsed="false">
      <c r="A107" s="9" t="s">
        <v>1730</v>
      </c>
      <c r="B107" s="9" t="s">
        <v>1729</v>
      </c>
      <c r="C107" s="9" t="s">
        <v>1622</v>
      </c>
    </row>
    <row r="108" customFormat="false" ht="15" hidden="false" customHeight="false" outlineLevel="0" collapsed="false">
      <c r="A108" s="9" t="s">
        <v>1731</v>
      </c>
      <c r="B108" s="9" t="s">
        <v>1729</v>
      </c>
      <c r="C108" s="9" t="s">
        <v>1622</v>
      </c>
    </row>
    <row r="109" customFormat="false" ht="15" hidden="false" customHeight="false" outlineLevel="0" collapsed="false">
      <c r="A109" s="9" t="s">
        <v>1732</v>
      </c>
      <c r="B109" s="9" t="s">
        <v>1729</v>
      </c>
      <c r="C109" s="9" t="s">
        <v>1622</v>
      </c>
    </row>
    <row r="110" customFormat="false" ht="15" hidden="false" customHeight="false" outlineLevel="0" collapsed="false">
      <c r="A110" s="9" t="s">
        <v>1733</v>
      </c>
      <c r="B110" s="9" t="s">
        <v>1729</v>
      </c>
      <c r="C110" s="9" t="s">
        <v>1622</v>
      </c>
    </row>
    <row r="111" customFormat="false" ht="15" hidden="false" customHeight="false" outlineLevel="0" collapsed="false">
      <c r="A111" s="9" t="s">
        <v>1734</v>
      </c>
      <c r="B111" s="9" t="s">
        <v>1729</v>
      </c>
      <c r="C111" s="9" t="s">
        <v>1622</v>
      </c>
    </row>
    <row r="112" customFormat="false" ht="15" hidden="false" customHeight="false" outlineLevel="0" collapsed="false">
      <c r="A112" s="9" t="s">
        <v>1735</v>
      </c>
      <c r="B112" s="9" t="s">
        <v>1729</v>
      </c>
      <c r="C112" s="9" t="s">
        <v>1622</v>
      </c>
    </row>
    <row r="113" customFormat="false" ht="15" hidden="false" customHeight="false" outlineLevel="0" collapsed="false">
      <c r="A113" s="9" t="s">
        <v>1736</v>
      </c>
      <c r="B113" s="9" t="s">
        <v>1729</v>
      </c>
      <c r="C113" s="9" t="s">
        <v>1622</v>
      </c>
    </row>
    <row r="114" customFormat="false" ht="15" hidden="false" customHeight="false" outlineLevel="0" collapsed="false">
      <c r="A114" s="9" t="s">
        <v>1737</v>
      </c>
      <c r="B114" s="9" t="s">
        <v>1729</v>
      </c>
      <c r="C114" s="9" t="s">
        <v>1622</v>
      </c>
    </row>
    <row r="115" customFormat="false" ht="15" hidden="false" customHeight="false" outlineLevel="0" collapsed="false">
      <c r="A115" s="9" t="s">
        <v>1738</v>
      </c>
      <c r="B115" s="9" t="s">
        <v>1739</v>
      </c>
      <c r="C115" s="9" t="s">
        <v>1622</v>
      </c>
    </row>
    <row r="116" customFormat="false" ht="15" hidden="false" customHeight="false" outlineLevel="0" collapsed="false">
      <c r="A116" s="9" t="s">
        <v>1740</v>
      </c>
      <c r="B116" s="9" t="s">
        <v>1739</v>
      </c>
      <c r="C116" s="9" t="s">
        <v>1622</v>
      </c>
    </row>
    <row r="117" customFormat="false" ht="15" hidden="false" customHeight="false" outlineLevel="0" collapsed="false">
      <c r="A117" s="9" t="s">
        <v>1741</v>
      </c>
      <c r="B117" s="9" t="s">
        <v>1739</v>
      </c>
      <c r="C117" s="9" t="s">
        <v>1622</v>
      </c>
    </row>
    <row r="118" customFormat="false" ht="15" hidden="false" customHeight="false" outlineLevel="0" collapsed="false">
      <c r="A118" s="9" t="s">
        <v>1742</v>
      </c>
      <c r="B118" s="9" t="s">
        <v>1739</v>
      </c>
      <c r="C118" s="9" t="s">
        <v>1622</v>
      </c>
    </row>
    <row r="119" customFormat="false" ht="15" hidden="false" customHeight="false" outlineLevel="0" collapsed="false">
      <c r="A119" s="9" t="s">
        <v>1743</v>
      </c>
      <c r="B119" s="9" t="s">
        <v>1739</v>
      </c>
      <c r="C119" s="9" t="s">
        <v>1622</v>
      </c>
    </row>
    <row r="120" customFormat="false" ht="15" hidden="false" customHeight="false" outlineLevel="0" collapsed="false">
      <c r="A120" s="9" t="s">
        <v>1744</v>
      </c>
      <c r="B120" s="9" t="s">
        <v>1739</v>
      </c>
      <c r="C120" s="9" t="s">
        <v>1622</v>
      </c>
    </row>
    <row r="121" customFormat="false" ht="15" hidden="false" customHeight="false" outlineLevel="0" collapsed="false">
      <c r="A121" s="9" t="s">
        <v>1745</v>
      </c>
      <c r="B121" s="9" t="s">
        <v>1739</v>
      </c>
      <c r="C121" s="9" t="s">
        <v>1622</v>
      </c>
    </row>
    <row r="122" customFormat="false" ht="15" hidden="false" customHeight="false" outlineLevel="0" collapsed="false">
      <c r="A122" s="9" t="s">
        <v>1746</v>
      </c>
      <c r="B122" s="9" t="s">
        <v>1739</v>
      </c>
      <c r="C122" s="9" t="s">
        <v>1622</v>
      </c>
    </row>
    <row r="123" customFormat="false" ht="15" hidden="false" customHeight="false" outlineLevel="0" collapsed="false">
      <c r="A123" s="9" t="s">
        <v>1747</v>
      </c>
      <c r="B123" s="9" t="s">
        <v>1739</v>
      </c>
      <c r="C123" s="9" t="s">
        <v>1622</v>
      </c>
    </row>
    <row r="124" customFormat="false" ht="15" hidden="false" customHeight="false" outlineLevel="0" collapsed="false">
      <c r="A124" s="9" t="s">
        <v>1748</v>
      </c>
      <c r="B124" s="9" t="s">
        <v>1739</v>
      </c>
      <c r="C124" s="9" t="s">
        <v>1622</v>
      </c>
    </row>
    <row r="125" customFormat="false" ht="15" hidden="false" customHeight="false" outlineLevel="0" collapsed="false">
      <c r="A125" s="9" t="s">
        <v>1749</v>
      </c>
      <c r="B125" s="9" t="s">
        <v>1739</v>
      </c>
      <c r="C125" s="9" t="s">
        <v>1622</v>
      </c>
    </row>
    <row r="126" customFormat="false" ht="15" hidden="false" customHeight="false" outlineLevel="0" collapsed="false">
      <c r="A126" s="9" t="s">
        <v>1750</v>
      </c>
      <c r="B126" s="9" t="s">
        <v>1739</v>
      </c>
      <c r="C126" s="9" t="s">
        <v>1622</v>
      </c>
    </row>
    <row r="127" customFormat="false" ht="15" hidden="false" customHeight="false" outlineLevel="0" collapsed="false">
      <c r="A127" s="9" t="s">
        <v>1751</v>
      </c>
      <c r="B127" s="9" t="s">
        <v>1739</v>
      </c>
      <c r="C127" s="9" t="s">
        <v>1622</v>
      </c>
    </row>
    <row r="128" customFormat="false" ht="15" hidden="false" customHeight="false" outlineLevel="0" collapsed="false">
      <c r="A128" s="9" t="s">
        <v>1752</v>
      </c>
      <c r="B128" s="9" t="s">
        <v>1739</v>
      </c>
      <c r="C128" s="9" t="s">
        <v>1622</v>
      </c>
    </row>
    <row r="129" customFormat="false" ht="15" hidden="false" customHeight="false" outlineLevel="0" collapsed="false">
      <c r="A129" s="9" t="s">
        <v>1753</v>
      </c>
      <c r="B129" s="9" t="s">
        <v>1739</v>
      </c>
      <c r="C129" s="9" t="s">
        <v>1622</v>
      </c>
    </row>
    <row r="130" customFormat="false" ht="15" hidden="false" customHeight="false" outlineLevel="0" collapsed="false">
      <c r="A130" s="9" t="s">
        <v>1754</v>
      </c>
      <c r="B130" s="9" t="s">
        <v>1739</v>
      </c>
      <c r="C130" s="9" t="s">
        <v>1622</v>
      </c>
    </row>
    <row r="131" customFormat="false" ht="15" hidden="false" customHeight="false" outlineLevel="0" collapsed="false">
      <c r="A131" s="9" t="s">
        <v>1755</v>
      </c>
      <c r="B131" s="9" t="s">
        <v>1739</v>
      </c>
      <c r="C131" s="9" t="s">
        <v>1622</v>
      </c>
    </row>
    <row r="132" customFormat="false" ht="15" hidden="false" customHeight="false" outlineLevel="0" collapsed="false">
      <c r="A132" s="9" t="s">
        <v>1756</v>
      </c>
      <c r="B132" s="9" t="s">
        <v>1739</v>
      </c>
      <c r="C132" s="9" t="s">
        <v>1622</v>
      </c>
    </row>
    <row r="133" customFormat="false" ht="15" hidden="false" customHeight="false" outlineLevel="0" collapsed="false">
      <c r="A133" s="9" t="s">
        <v>1757</v>
      </c>
      <c r="B133" s="9" t="s">
        <v>1739</v>
      </c>
      <c r="C133" s="9" t="s">
        <v>1622</v>
      </c>
    </row>
    <row r="134" customFormat="false" ht="15" hidden="false" customHeight="false" outlineLevel="0" collapsed="false">
      <c r="A134" s="9" t="s">
        <v>1758</v>
      </c>
      <c r="B134" s="9" t="s">
        <v>1739</v>
      </c>
      <c r="C134" s="9" t="s">
        <v>1622</v>
      </c>
    </row>
    <row r="135" customFormat="false" ht="15" hidden="false" customHeight="false" outlineLevel="0" collapsed="false">
      <c r="A135" s="9" t="s">
        <v>1759</v>
      </c>
      <c r="B135" s="9" t="s">
        <v>1739</v>
      </c>
      <c r="C135" s="9" t="s">
        <v>1622</v>
      </c>
    </row>
    <row r="136" customFormat="false" ht="15" hidden="false" customHeight="false" outlineLevel="0" collapsed="false">
      <c r="A136" s="9" t="s">
        <v>1760</v>
      </c>
      <c r="B136" s="9" t="s">
        <v>1739</v>
      </c>
      <c r="C136" s="9" t="s">
        <v>1622</v>
      </c>
    </row>
    <row r="137" customFormat="false" ht="15" hidden="false" customHeight="false" outlineLevel="0" collapsed="false">
      <c r="A137" s="9" t="s">
        <v>1761</v>
      </c>
      <c r="B137" s="9" t="s">
        <v>1739</v>
      </c>
      <c r="C137" s="9" t="s">
        <v>1622</v>
      </c>
    </row>
    <row r="138" customFormat="false" ht="15" hidden="false" customHeight="false" outlineLevel="0" collapsed="false">
      <c r="A138" s="9" t="s">
        <v>1762</v>
      </c>
      <c r="B138" s="9" t="s">
        <v>1739</v>
      </c>
      <c r="C138" s="9" t="s">
        <v>1622</v>
      </c>
    </row>
    <row r="139" customFormat="false" ht="15" hidden="false" customHeight="false" outlineLevel="0" collapsed="false">
      <c r="A139" s="9" t="s">
        <v>1763</v>
      </c>
      <c r="B139" s="9" t="s">
        <v>1739</v>
      </c>
      <c r="C139" s="9" t="s">
        <v>1622</v>
      </c>
    </row>
    <row r="140" customFormat="false" ht="15" hidden="false" customHeight="false" outlineLevel="0" collapsed="false">
      <c r="A140" s="9" t="s">
        <v>1764</v>
      </c>
      <c r="B140" s="9" t="s">
        <v>1739</v>
      </c>
      <c r="C140" s="9" t="s">
        <v>1622</v>
      </c>
    </row>
    <row r="141" customFormat="false" ht="15" hidden="false" customHeight="false" outlineLevel="0" collapsed="false">
      <c r="A141" s="9" t="s">
        <v>1765</v>
      </c>
      <c r="B141" s="9" t="s">
        <v>1739</v>
      </c>
      <c r="C141" s="9" t="s">
        <v>1637</v>
      </c>
    </row>
    <row r="142" customFormat="false" ht="15" hidden="false" customHeight="false" outlineLevel="0" collapsed="false">
      <c r="A142" s="9" t="s">
        <v>1766</v>
      </c>
      <c r="B142" s="9" t="s">
        <v>1739</v>
      </c>
      <c r="C142" s="9" t="s">
        <v>173</v>
      </c>
    </row>
    <row r="143" customFormat="false" ht="15" hidden="false" customHeight="false" outlineLevel="0" collapsed="false">
      <c r="A143" s="9" t="s">
        <v>1767</v>
      </c>
      <c r="B143" s="9" t="s">
        <v>1739</v>
      </c>
      <c r="C143" s="9" t="s">
        <v>141</v>
      </c>
    </row>
    <row r="144" customFormat="false" ht="15" hidden="false" customHeight="false" outlineLevel="0" collapsed="false">
      <c r="A144" s="9" t="s">
        <v>1768</v>
      </c>
      <c r="B144" s="9" t="s">
        <v>1739</v>
      </c>
      <c r="C144" s="9" t="s">
        <v>1630</v>
      </c>
    </row>
    <row r="145" customFormat="false" ht="15" hidden="false" customHeight="false" outlineLevel="0" collapsed="false">
      <c r="A145" s="9" t="s">
        <v>1769</v>
      </c>
      <c r="B145" s="9" t="s">
        <v>1739</v>
      </c>
      <c r="C145" s="9" t="s">
        <v>1632</v>
      </c>
    </row>
    <row r="146" customFormat="false" ht="15" hidden="false" customHeight="false" outlineLevel="0" collapsed="false">
      <c r="A146" s="9" t="s">
        <v>1770</v>
      </c>
      <c r="B146" s="9" t="s">
        <v>1739</v>
      </c>
      <c r="C146" s="9" t="s">
        <v>1634</v>
      </c>
    </row>
    <row r="147" customFormat="false" ht="15" hidden="false" customHeight="false" outlineLevel="0" collapsed="false">
      <c r="A147" s="9" t="s">
        <v>1771</v>
      </c>
      <c r="B147" s="9" t="s">
        <v>1739</v>
      </c>
      <c r="C147" s="9" t="s">
        <v>1637</v>
      </c>
    </row>
    <row r="148" customFormat="false" ht="15" hidden="false" customHeight="false" outlineLevel="0" collapsed="false">
      <c r="A148" s="9" t="s">
        <v>1772</v>
      </c>
      <c r="B148" s="9" t="s">
        <v>1739</v>
      </c>
      <c r="C148" s="9" t="s">
        <v>173</v>
      </c>
    </row>
    <row r="149" customFormat="false" ht="15" hidden="false" customHeight="false" outlineLevel="0" collapsed="false">
      <c r="A149" s="9" t="s">
        <v>1773</v>
      </c>
      <c r="B149" s="9" t="s">
        <v>1739</v>
      </c>
      <c r="C149" s="9" t="s">
        <v>141</v>
      </c>
    </row>
    <row r="150" customFormat="false" ht="15" hidden="false" customHeight="false" outlineLevel="0" collapsed="false">
      <c r="A150" s="9" t="s">
        <v>1774</v>
      </c>
      <c r="B150" s="9" t="s">
        <v>1739</v>
      </c>
      <c r="C150" s="9" t="s">
        <v>1630</v>
      </c>
    </row>
    <row r="151" customFormat="false" ht="15" hidden="false" customHeight="false" outlineLevel="0" collapsed="false">
      <c r="A151" s="9" t="s">
        <v>1775</v>
      </c>
      <c r="B151" s="9" t="s">
        <v>1739</v>
      </c>
      <c r="C151" s="9" t="s">
        <v>1632</v>
      </c>
    </row>
    <row r="152" customFormat="false" ht="15" hidden="false" customHeight="false" outlineLevel="0" collapsed="false">
      <c r="A152" s="9" t="s">
        <v>1776</v>
      </c>
      <c r="B152" s="9" t="s">
        <v>1739</v>
      </c>
      <c r="C152" s="9" t="s">
        <v>1634</v>
      </c>
    </row>
    <row r="153" customFormat="false" ht="15" hidden="false" customHeight="false" outlineLevel="0" collapsed="false">
      <c r="A153" s="9" t="s">
        <v>1777</v>
      </c>
      <c r="B153" s="9" t="s">
        <v>1739</v>
      </c>
      <c r="C153" s="9" t="s">
        <v>1622</v>
      </c>
    </row>
    <row r="154" customFormat="false" ht="15" hidden="false" customHeight="false" outlineLevel="0" collapsed="false">
      <c r="A154" s="9" t="s">
        <v>1778</v>
      </c>
      <c r="B154" s="9" t="s">
        <v>1739</v>
      </c>
      <c r="C154" s="9" t="s">
        <v>1622</v>
      </c>
    </row>
    <row r="155" customFormat="false" ht="15" hidden="false" customHeight="false" outlineLevel="0" collapsed="false">
      <c r="A155" s="9" t="s">
        <v>1779</v>
      </c>
      <c r="B155" s="9" t="s">
        <v>1739</v>
      </c>
      <c r="C155" s="9" t="s">
        <v>1622</v>
      </c>
    </row>
    <row r="156" customFormat="false" ht="15" hidden="false" customHeight="false" outlineLevel="0" collapsed="false">
      <c r="A156" s="9" t="s">
        <v>1780</v>
      </c>
      <c r="B156" s="9" t="s">
        <v>1739</v>
      </c>
      <c r="C156" s="9" t="s">
        <v>1622</v>
      </c>
    </row>
    <row r="157" customFormat="false" ht="15" hidden="false" customHeight="false" outlineLevel="0" collapsed="false">
      <c r="A157" s="9" t="s">
        <v>1781</v>
      </c>
      <c r="B157" s="9" t="s">
        <v>1739</v>
      </c>
      <c r="C157" s="9" t="s">
        <v>1622</v>
      </c>
    </row>
    <row r="158" customFormat="false" ht="15" hidden="false" customHeight="false" outlineLevel="0" collapsed="false">
      <c r="A158" s="9" t="s">
        <v>1782</v>
      </c>
      <c r="B158" s="9" t="s">
        <v>1739</v>
      </c>
      <c r="C158" s="9" t="s">
        <v>1622</v>
      </c>
    </row>
    <row r="159" customFormat="false" ht="15" hidden="false" customHeight="false" outlineLevel="0" collapsed="false">
      <c r="A159" s="9" t="s">
        <v>1783</v>
      </c>
      <c r="B159" s="9" t="s">
        <v>1739</v>
      </c>
      <c r="C159" s="9" t="s">
        <v>1622</v>
      </c>
    </row>
    <row r="160" customFormat="false" ht="15" hidden="false" customHeight="false" outlineLevel="0" collapsed="false">
      <c r="A160" s="9" t="s">
        <v>1784</v>
      </c>
      <c r="B160" s="9" t="s">
        <v>1739</v>
      </c>
      <c r="C160" s="9" t="s">
        <v>1622</v>
      </c>
    </row>
    <row r="161" customFormat="false" ht="15" hidden="false" customHeight="false" outlineLevel="0" collapsed="false">
      <c r="A161" s="9" t="s">
        <v>1785</v>
      </c>
      <c r="B161" s="9" t="s">
        <v>1739</v>
      </c>
      <c r="C161" s="9" t="s">
        <v>1622</v>
      </c>
    </row>
    <row r="162" customFormat="false" ht="15" hidden="false" customHeight="false" outlineLevel="0" collapsed="false">
      <c r="A162" s="9" t="s">
        <v>1786</v>
      </c>
      <c r="B162" s="9" t="s">
        <v>1739</v>
      </c>
      <c r="C162" s="9" t="s">
        <v>1622</v>
      </c>
    </row>
    <row r="163" customFormat="false" ht="15" hidden="false" customHeight="false" outlineLevel="0" collapsed="false">
      <c r="A163" s="9" t="s">
        <v>1787</v>
      </c>
      <c r="B163" s="9" t="s">
        <v>1739</v>
      </c>
      <c r="C163" s="9" t="s">
        <v>1622</v>
      </c>
    </row>
    <row r="164" customFormat="false" ht="15" hidden="false" customHeight="false" outlineLevel="0" collapsed="false">
      <c r="A164" s="9" t="s">
        <v>1788</v>
      </c>
      <c r="B164" s="9" t="s">
        <v>1739</v>
      </c>
      <c r="C164" s="9" t="s">
        <v>1622</v>
      </c>
    </row>
    <row r="165" customFormat="false" ht="15" hidden="false" customHeight="false" outlineLevel="0" collapsed="false">
      <c r="A165" s="9" t="s">
        <v>1789</v>
      </c>
      <c r="B165" s="9" t="s">
        <v>1739</v>
      </c>
      <c r="C165" s="9" t="s">
        <v>1622</v>
      </c>
    </row>
    <row r="166" customFormat="false" ht="15" hidden="false" customHeight="false" outlineLevel="0" collapsed="false">
      <c r="A166" s="9" t="s">
        <v>1790</v>
      </c>
      <c r="B166" s="9" t="s">
        <v>1739</v>
      </c>
      <c r="C166" s="9" t="s">
        <v>1622</v>
      </c>
    </row>
    <row r="167" customFormat="false" ht="15" hidden="false" customHeight="false" outlineLevel="0" collapsed="false">
      <c r="A167" s="9" t="s">
        <v>1791</v>
      </c>
      <c r="B167" s="9" t="s">
        <v>1739</v>
      </c>
      <c r="C167" s="9" t="s">
        <v>1622</v>
      </c>
    </row>
    <row r="168" customFormat="false" ht="15" hidden="false" customHeight="false" outlineLevel="0" collapsed="false">
      <c r="A168" s="9" t="s">
        <v>1792</v>
      </c>
      <c r="B168" s="9" t="s">
        <v>1739</v>
      </c>
      <c r="C168" s="9" t="s">
        <v>1622</v>
      </c>
    </row>
    <row r="169" customFormat="false" ht="15" hidden="false" customHeight="false" outlineLevel="0" collapsed="false">
      <c r="A169" s="9" t="s">
        <v>1793</v>
      </c>
      <c r="B169" s="9" t="s">
        <v>1739</v>
      </c>
      <c r="C169" s="9" t="s">
        <v>1622</v>
      </c>
    </row>
    <row r="170" customFormat="false" ht="15" hidden="false" customHeight="false" outlineLevel="0" collapsed="false">
      <c r="A170" s="9" t="s">
        <v>1794</v>
      </c>
      <c r="B170" s="9" t="s">
        <v>1739</v>
      </c>
      <c r="C170" s="9" t="s">
        <v>1622</v>
      </c>
    </row>
    <row r="171" customFormat="false" ht="15" hidden="false" customHeight="false" outlineLevel="0" collapsed="false">
      <c r="A171" s="9" t="s">
        <v>1795</v>
      </c>
      <c r="B171" s="9" t="s">
        <v>1739</v>
      </c>
      <c r="C171" s="9" t="s">
        <v>1622</v>
      </c>
    </row>
    <row r="172" customFormat="false" ht="15" hidden="false" customHeight="false" outlineLevel="0" collapsed="false">
      <c r="A172" s="9" t="s">
        <v>1796</v>
      </c>
      <c r="B172" s="9" t="s">
        <v>1739</v>
      </c>
      <c r="C172" s="9" t="s">
        <v>1622</v>
      </c>
    </row>
    <row r="173" customFormat="false" ht="15" hidden="false" customHeight="false" outlineLevel="0" collapsed="false">
      <c r="A173" s="9" t="s">
        <v>1797</v>
      </c>
      <c r="B173" s="9" t="s">
        <v>1739</v>
      </c>
      <c r="C173" s="9" t="s">
        <v>1622</v>
      </c>
    </row>
    <row r="174" customFormat="false" ht="15" hidden="false" customHeight="false" outlineLevel="0" collapsed="false">
      <c r="A174" s="9" t="s">
        <v>1798</v>
      </c>
      <c r="B174" s="9" t="s">
        <v>1739</v>
      </c>
      <c r="C174" s="9" t="s">
        <v>1622</v>
      </c>
    </row>
    <row r="175" customFormat="false" ht="15" hidden="false" customHeight="false" outlineLevel="0" collapsed="false">
      <c r="A175" s="9" t="s">
        <v>1799</v>
      </c>
      <c r="B175" s="9" t="s">
        <v>1739</v>
      </c>
      <c r="C175" s="9" t="s">
        <v>1622</v>
      </c>
    </row>
    <row r="176" customFormat="false" ht="15" hidden="false" customHeight="false" outlineLevel="0" collapsed="false">
      <c r="A176" s="9" t="s">
        <v>1800</v>
      </c>
      <c r="B176" s="9" t="s">
        <v>1739</v>
      </c>
      <c r="C176" s="9" t="s">
        <v>1622</v>
      </c>
    </row>
    <row r="177" customFormat="false" ht="15" hidden="false" customHeight="false" outlineLevel="0" collapsed="false">
      <c r="A177" s="9" t="s">
        <v>1801</v>
      </c>
      <c r="B177" s="9" t="s">
        <v>1739</v>
      </c>
      <c r="C177" s="9" t="s">
        <v>1622</v>
      </c>
    </row>
    <row r="178" customFormat="false" ht="15" hidden="false" customHeight="false" outlineLevel="0" collapsed="false">
      <c r="A178" s="9" t="s">
        <v>1802</v>
      </c>
      <c r="B178" s="9" t="s">
        <v>1739</v>
      </c>
      <c r="C178" s="9" t="s">
        <v>1622</v>
      </c>
    </row>
    <row r="179" customFormat="false" ht="15" hidden="false" customHeight="false" outlineLevel="0" collapsed="false">
      <c r="A179" s="9" t="s">
        <v>1803</v>
      </c>
      <c r="B179" s="9" t="s">
        <v>1739</v>
      </c>
      <c r="C179" s="9" t="s">
        <v>1622</v>
      </c>
    </row>
    <row r="180" customFormat="false" ht="15" hidden="false" customHeight="false" outlineLevel="0" collapsed="false">
      <c r="A180" s="9" t="s">
        <v>1804</v>
      </c>
      <c r="B180" s="9" t="s">
        <v>1739</v>
      </c>
      <c r="C180" s="9" t="s">
        <v>1622</v>
      </c>
    </row>
    <row r="181" customFormat="false" ht="15" hidden="false" customHeight="false" outlineLevel="0" collapsed="false">
      <c r="A181" s="9" t="s">
        <v>1805</v>
      </c>
      <c r="B181" s="9" t="s">
        <v>1739</v>
      </c>
      <c r="C181" s="9" t="s">
        <v>1622</v>
      </c>
    </row>
    <row r="182" customFormat="false" ht="15" hidden="false" customHeight="false" outlineLevel="0" collapsed="false">
      <c r="A182" s="9" t="s">
        <v>1806</v>
      </c>
      <c r="B182" s="9" t="s">
        <v>1739</v>
      </c>
      <c r="C182" s="9" t="s">
        <v>1622</v>
      </c>
    </row>
    <row r="183" customFormat="false" ht="15" hidden="false" customHeight="false" outlineLevel="0" collapsed="false">
      <c r="A183" s="9" t="s">
        <v>1807</v>
      </c>
      <c r="B183" s="9" t="s">
        <v>1739</v>
      </c>
      <c r="C183" s="9" t="s">
        <v>1622</v>
      </c>
    </row>
    <row r="184" customFormat="false" ht="15" hidden="false" customHeight="false" outlineLevel="0" collapsed="false">
      <c r="A184" s="9" t="s">
        <v>1808</v>
      </c>
      <c r="B184" s="9" t="s">
        <v>1739</v>
      </c>
      <c r="C184" s="9" t="s">
        <v>1622</v>
      </c>
    </row>
    <row r="185" customFormat="false" ht="15" hidden="false" customHeight="false" outlineLevel="0" collapsed="false">
      <c r="A185" s="9" t="s">
        <v>1809</v>
      </c>
      <c r="B185" s="9" t="s">
        <v>1739</v>
      </c>
      <c r="C185" s="9" t="s">
        <v>1622</v>
      </c>
    </row>
    <row r="186" customFormat="false" ht="15" hidden="false" customHeight="false" outlineLevel="0" collapsed="false">
      <c r="A186" s="9" t="s">
        <v>1810</v>
      </c>
      <c r="B186" s="9" t="s">
        <v>1739</v>
      </c>
      <c r="C186" s="9" t="s">
        <v>1622</v>
      </c>
    </row>
    <row r="187" customFormat="false" ht="15" hidden="false" customHeight="false" outlineLevel="0" collapsed="false">
      <c r="A187" s="9" t="s">
        <v>1811</v>
      </c>
      <c r="B187" s="9" t="s">
        <v>1739</v>
      </c>
      <c r="C187" s="9" t="s">
        <v>1622</v>
      </c>
    </row>
    <row r="188" customFormat="false" ht="15" hidden="false" customHeight="false" outlineLevel="0" collapsed="false">
      <c r="A188" s="9" t="s">
        <v>1812</v>
      </c>
      <c r="B188" s="9" t="s">
        <v>1739</v>
      </c>
      <c r="C188" s="9" t="s">
        <v>1622</v>
      </c>
    </row>
    <row r="189" customFormat="false" ht="15" hidden="false" customHeight="false" outlineLevel="0" collapsed="false">
      <c r="A189" s="9" t="s">
        <v>1813</v>
      </c>
      <c r="B189" s="9" t="s">
        <v>1739</v>
      </c>
      <c r="C189" s="9" t="s">
        <v>1622</v>
      </c>
    </row>
    <row r="190" customFormat="false" ht="15" hidden="false" customHeight="false" outlineLevel="0" collapsed="false">
      <c r="A190" s="9" t="s">
        <v>1814</v>
      </c>
      <c r="B190" s="9" t="s">
        <v>1739</v>
      </c>
      <c r="C190" s="9" t="s">
        <v>1622</v>
      </c>
    </row>
    <row r="191" customFormat="false" ht="15" hidden="false" customHeight="false" outlineLevel="0" collapsed="false">
      <c r="A191" s="9" t="s">
        <v>1815</v>
      </c>
      <c r="B191" s="9" t="s">
        <v>1739</v>
      </c>
      <c r="C191" s="9" t="s">
        <v>1622</v>
      </c>
    </row>
    <row r="192" customFormat="false" ht="15" hidden="false" customHeight="false" outlineLevel="0" collapsed="false">
      <c r="A192" s="9" t="s">
        <v>1816</v>
      </c>
      <c r="B192" s="9" t="s">
        <v>1739</v>
      </c>
      <c r="C192" s="9" t="s">
        <v>1622</v>
      </c>
    </row>
    <row r="193" customFormat="false" ht="15" hidden="false" customHeight="false" outlineLevel="0" collapsed="false">
      <c r="A193" s="9" t="s">
        <v>1817</v>
      </c>
      <c r="B193" s="9" t="s">
        <v>1739</v>
      </c>
      <c r="C193" s="9" t="s">
        <v>1622</v>
      </c>
    </row>
    <row r="194" customFormat="false" ht="15" hidden="false" customHeight="false" outlineLevel="0" collapsed="false">
      <c r="A194" s="9" t="s">
        <v>1818</v>
      </c>
      <c r="B194" s="9" t="s">
        <v>1739</v>
      </c>
      <c r="C194" s="9" t="s">
        <v>1622</v>
      </c>
    </row>
  </sheetData>
  <dataValidations count="1">
    <dataValidation allowBlank="true" errorStyle="stop" operator="between" showDropDown="false" showErrorMessage="false" showInputMessage="false" sqref="C5:C245" type="list">
      <formula1>Settings!$A$12:$A$18</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8"/>
    <col collapsed="false" customWidth="true" hidden="false" outlineLevel="0" max="3" min="3" style="0" width="70"/>
    <col collapsed="false" customWidth="true" hidden="false" outlineLevel="0" max="4" min="4" style="0" width="14"/>
  </cols>
  <sheetData>
    <row r="1" customFormat="false" ht="19.7" hidden="false" customHeight="false" outlineLevel="0" collapsed="false">
      <c r="A1" s="1" t="s">
        <v>1819</v>
      </c>
    </row>
    <row r="2" customFormat="false" ht="15" hidden="false" customHeight="false" outlineLevel="0" collapsed="false">
      <c r="A2" s="4" t="s">
        <v>1820</v>
      </c>
    </row>
    <row r="3" customFormat="false" ht="15" hidden="false" customHeight="false" outlineLevel="0" collapsed="false">
      <c r="A3" s="14" t="s">
        <v>1821</v>
      </c>
      <c r="B3" s="14" t="s">
        <v>1822</v>
      </c>
      <c r="C3" s="14" t="s">
        <v>1823</v>
      </c>
    </row>
    <row r="4" customFormat="false" ht="15" hidden="false" customHeight="false" outlineLevel="0" collapsed="false">
      <c r="A4" s="9" t="s">
        <v>1824</v>
      </c>
      <c r="B4" s="46" t="n">
        <v>46204</v>
      </c>
      <c r="C4" s="50" t="s">
        <v>1825</v>
      </c>
    </row>
    <row r="5" customFormat="false" ht="15" hidden="false" customHeight="false" outlineLevel="0" collapsed="false">
      <c r="A5" s="9" t="s">
        <v>1826</v>
      </c>
      <c r="B5" s="46" t="n">
        <v>46295</v>
      </c>
      <c r="C5" s="50" t="s">
        <v>1827</v>
      </c>
    </row>
    <row r="6" customFormat="false" ht="15" hidden="false" customHeight="false" outlineLevel="0" collapsed="false">
      <c r="A6" s="9" t="s">
        <v>1828</v>
      </c>
      <c r="B6" s="51" t="n">
        <f aca="false">EDATE(B4,12)-1</f>
        <v>46568</v>
      </c>
      <c r="C6" s="50" t="s">
        <v>1829</v>
      </c>
    </row>
    <row r="7" customFormat="false" ht="15" hidden="false" customHeight="false" outlineLevel="0" collapsed="false">
      <c r="A7" s="9" t="s">
        <v>1830</v>
      </c>
      <c r="B7" s="51" t="n">
        <f aca="false">EOMONTH(B5,0)+1</f>
        <v>46296</v>
      </c>
      <c r="C7" s="50" t="s">
        <v>1829</v>
      </c>
    </row>
    <row r="8" customFormat="false" ht="15" hidden="false" customHeight="false" outlineLevel="0" collapsed="false">
      <c r="A8" s="9" t="s">
        <v>1831</v>
      </c>
      <c r="B8" s="13" t="s">
        <v>1832</v>
      </c>
      <c r="C8" s="50" t="s">
        <v>1833</v>
      </c>
    </row>
    <row r="11" customFormat="false" ht="23.85" hidden="false" customHeight="false" outlineLevel="0" collapsed="false">
      <c r="A11" s="14" t="s">
        <v>1834</v>
      </c>
      <c r="D11" s="14" t="s">
        <v>1835</v>
      </c>
    </row>
    <row r="12" customFormat="false" ht="15" hidden="false" customHeight="false" outlineLevel="0" collapsed="false">
      <c r="A12" s="9" t="s">
        <v>1630</v>
      </c>
      <c r="D12" s="48" t="n">
        <f aca="false">EDATE($B$4,0)</f>
        <v>46204</v>
      </c>
    </row>
    <row r="13" customFormat="false" ht="15" hidden="false" customHeight="false" outlineLevel="0" collapsed="false">
      <c r="A13" s="9" t="s">
        <v>1632</v>
      </c>
      <c r="D13" s="48" t="n">
        <f aca="false">EDATE($B$4,1)</f>
        <v>46235</v>
      </c>
    </row>
    <row r="14" customFormat="false" ht="15" hidden="false" customHeight="false" outlineLevel="0" collapsed="false">
      <c r="A14" s="9" t="s">
        <v>1634</v>
      </c>
      <c r="D14" s="48" t="n">
        <f aca="false">EDATE($B$4,2)</f>
        <v>46266</v>
      </c>
    </row>
    <row r="15" customFormat="false" ht="15" hidden="false" customHeight="false" outlineLevel="0" collapsed="false">
      <c r="A15" s="9" t="s">
        <v>173</v>
      </c>
      <c r="D15" s="48" t="n">
        <f aca="false">EDATE($B$4,3)</f>
        <v>46296</v>
      </c>
    </row>
    <row r="16" customFormat="false" ht="15" hidden="false" customHeight="false" outlineLevel="0" collapsed="false">
      <c r="A16" s="9" t="s">
        <v>141</v>
      </c>
      <c r="D16" s="48" t="n">
        <f aca="false">EDATE($B$4,4)</f>
        <v>46327</v>
      </c>
    </row>
    <row r="17" customFormat="false" ht="15" hidden="false" customHeight="false" outlineLevel="0" collapsed="false">
      <c r="A17" s="9" t="s">
        <v>1637</v>
      </c>
      <c r="D17" s="48" t="n">
        <f aca="false">EDATE($B$4,5)</f>
        <v>46357</v>
      </c>
    </row>
    <row r="18" customFormat="false" ht="15" hidden="false" customHeight="false" outlineLevel="0" collapsed="false">
      <c r="A18" s="9" t="s">
        <v>1622</v>
      </c>
      <c r="D18" s="48" t="n">
        <f aca="false">EDATE($B$4,6)</f>
        <v>46388</v>
      </c>
    </row>
    <row r="19" customFormat="false" ht="15" hidden="false" customHeight="false" outlineLevel="0" collapsed="false">
      <c r="D19" s="48" t="n">
        <f aca="false">EDATE($B$4,7)</f>
        <v>46419</v>
      </c>
    </row>
    <row r="20" customFormat="false" ht="15" hidden="false" customHeight="false" outlineLevel="0" collapsed="false">
      <c r="D20" s="48" t="n">
        <f aca="false">EDATE($B$4,8)</f>
        <v>46447</v>
      </c>
    </row>
    <row r="21" customFormat="false" ht="15" hidden="false" customHeight="false" outlineLevel="0" collapsed="false">
      <c r="D21" s="48" t="n">
        <f aca="false">EDATE($B$4,9)</f>
        <v>46478</v>
      </c>
    </row>
    <row r="22" customFormat="false" ht="15" hidden="false" customHeight="false" outlineLevel="0" collapsed="false">
      <c r="D22" s="48" t="n">
        <f aca="false">EDATE($B$4,10)</f>
        <v>46508</v>
      </c>
    </row>
    <row r="23" customFormat="false" ht="15" hidden="false" customHeight="false" outlineLevel="0" collapsed="false">
      <c r="D23" s="48" t="n">
        <f aca="false">EDATE($B$4,11)</f>
        <v>46539</v>
      </c>
    </row>
    <row r="25" customFormat="false" ht="15" hidden="false" customHeight="false" outlineLevel="0" collapsed="false">
      <c r="A25" s="42" t="s">
        <v>1836</v>
      </c>
    </row>
    <row r="26" customFormat="false" ht="15" hidden="false" customHeight="false" outlineLevel="0" collapsed="false">
      <c r="A26" s="14" t="s">
        <v>1837</v>
      </c>
      <c r="B26" s="14" t="s">
        <v>1614</v>
      </c>
      <c r="C26" s="14" t="s">
        <v>130</v>
      </c>
    </row>
    <row r="27" customFormat="false" ht="15" hidden="false" customHeight="false" outlineLevel="0" collapsed="false">
      <c r="A27" s="13" t="s">
        <v>1838</v>
      </c>
      <c r="B27" s="13" t="s">
        <v>1839</v>
      </c>
      <c r="C27" s="10"/>
    </row>
    <row r="28" customFormat="false" ht="15" hidden="false" customHeight="false" outlineLevel="0" collapsed="false">
      <c r="A28" s="13" t="s">
        <v>1840</v>
      </c>
      <c r="B28" s="13" t="s">
        <v>1841</v>
      </c>
      <c r="C28" s="10"/>
    </row>
    <row r="29" customFormat="false" ht="15" hidden="false" customHeight="false" outlineLevel="0" collapsed="false">
      <c r="A29" s="13" t="s">
        <v>1842</v>
      </c>
      <c r="B29" s="13" t="s">
        <v>1843</v>
      </c>
      <c r="C29" s="10" t="n">
        <v>0.9</v>
      </c>
    </row>
    <row r="30" customFormat="false" ht="15" hidden="false" customHeight="false" outlineLevel="0" collapsed="false">
      <c r="A30" s="13" t="s">
        <v>1844</v>
      </c>
      <c r="B30" s="13" t="s">
        <v>1843</v>
      </c>
      <c r="C30" s="10" t="n">
        <v>0.7</v>
      </c>
    </row>
    <row r="31" customFormat="false" ht="15" hidden="false" customHeight="false" outlineLevel="0" collapsed="false">
      <c r="A31" s="13" t="s">
        <v>1845</v>
      </c>
      <c r="B31" s="13" t="s">
        <v>1843</v>
      </c>
      <c r="C31" s="10" t="n">
        <v>0.5</v>
      </c>
    </row>
    <row r="32" customFormat="false" ht="15" hidden="false" customHeight="false" outlineLevel="0" collapsed="false">
      <c r="A32" s="13" t="s">
        <v>1846</v>
      </c>
      <c r="B32" s="13" t="s">
        <v>1843</v>
      </c>
      <c r="C32" s="10" t="n">
        <v>0.2</v>
      </c>
    </row>
    <row r="33" customFormat="false" ht="15" hidden="false" customHeight="false" outlineLevel="0" collapsed="false">
      <c r="A33" s="13"/>
      <c r="B33" s="13"/>
      <c r="C33" s="10"/>
    </row>
    <row r="34" customFormat="false" ht="15" hidden="false" customHeight="false" outlineLevel="0" collapsed="false">
      <c r="A34" s="13"/>
      <c r="B34" s="13"/>
      <c r="C34" s="10"/>
    </row>
    <row r="35" customFormat="false" ht="15" hidden="false" customHeight="false" outlineLevel="0" collapsed="false">
      <c r="A35" s="13"/>
      <c r="B35" s="13"/>
      <c r="C35" s="10"/>
    </row>
    <row r="36" customFormat="false" ht="15" hidden="false" customHeight="false" outlineLevel="0" collapsed="false">
      <c r="A36" s="13"/>
      <c r="B36" s="13"/>
      <c r="C36" s="10"/>
    </row>
    <row r="37" customFormat="false" ht="15" hidden="false" customHeight="false" outlineLevel="0" collapsed="false">
      <c r="A37" s="4" t="s">
        <v>1847</v>
      </c>
    </row>
    <row r="40" customFormat="false" ht="15" hidden="false" customHeight="false" outlineLevel="0" collapsed="false">
      <c r="A40" s="14" t="s">
        <v>1848</v>
      </c>
      <c r="B40" s="14" t="s">
        <v>1612</v>
      </c>
      <c r="C40" s="14" t="s">
        <v>66</v>
      </c>
    </row>
    <row r="41" customFormat="false" ht="15" hidden="false" customHeight="false" outlineLevel="0" collapsed="false">
      <c r="A41" s="13" t="s">
        <v>145</v>
      </c>
      <c r="B41" s="13" t="s">
        <v>1632</v>
      </c>
      <c r="C41" s="50" t="s">
        <v>1849</v>
      </c>
    </row>
    <row r="42" customFormat="false" ht="15" hidden="false" customHeight="false" outlineLevel="0" collapsed="false">
      <c r="A42" s="13" t="s">
        <v>208</v>
      </c>
      <c r="B42" s="13" t="s">
        <v>1634</v>
      </c>
      <c r="C42" s="50" t="s">
        <v>1849</v>
      </c>
    </row>
    <row r="43" customFormat="false" ht="15" hidden="false" customHeight="false" outlineLevel="0" collapsed="false">
      <c r="A43" s="13" t="s">
        <v>173</v>
      </c>
      <c r="B43" s="13" t="s">
        <v>173</v>
      </c>
      <c r="C43" s="50" t="s">
        <v>1850</v>
      </c>
    </row>
    <row r="44" customFormat="false" ht="15" hidden="false" customHeight="false" outlineLevel="0" collapsed="false">
      <c r="A44" s="13" t="s">
        <v>141</v>
      </c>
      <c r="B44" s="13" t="s">
        <v>141</v>
      </c>
      <c r="C44" s="50" t="s">
        <v>1850</v>
      </c>
    </row>
    <row r="45" customFormat="false" ht="15" hidden="false" customHeight="false" outlineLevel="0" collapsed="false">
      <c r="A45" s="13" t="s">
        <v>180</v>
      </c>
      <c r="B45" s="13" t="s">
        <v>1630</v>
      </c>
      <c r="C45" s="52" t="s">
        <v>1851</v>
      </c>
    </row>
    <row r="46" customFormat="false" ht="15" hidden="false" customHeight="false" outlineLevel="0" collapsed="false">
      <c r="A46" s="13" t="s">
        <v>262</v>
      </c>
      <c r="B46" s="13" t="s">
        <v>1622</v>
      </c>
      <c r="C46" s="52" t="s">
        <v>1851</v>
      </c>
    </row>
    <row r="47" customFormat="false" ht="15" hidden="false" customHeight="false" outlineLevel="0" collapsed="false">
      <c r="A47" s="13"/>
      <c r="B47" s="13"/>
      <c r="C47" s="50"/>
    </row>
    <row r="48" customFormat="false" ht="15" hidden="false" customHeight="false" outlineLevel="0" collapsed="false">
      <c r="A48" s="13"/>
      <c r="B48" s="13"/>
      <c r="C48" s="50"/>
    </row>
    <row r="49" customFormat="false" ht="15" hidden="false" customHeight="false" outlineLevel="0" collapsed="false">
      <c r="A49" s="13"/>
      <c r="B49" s="13"/>
      <c r="C49" s="50"/>
    </row>
    <row r="50" customFormat="false" ht="15" hidden="false" customHeight="false" outlineLevel="0" collapsed="false">
      <c r="A50" s="13"/>
      <c r="B50" s="13"/>
      <c r="C50" s="50"/>
    </row>
    <row r="52" customFormat="false" ht="15" hidden="false" customHeight="false" outlineLevel="0" collapsed="false">
      <c r="A52" s="42" t="s">
        <v>1852</v>
      </c>
    </row>
    <row r="53" customFormat="false" ht="15" hidden="false" customHeight="false" outlineLevel="0" collapsed="false">
      <c r="A53" s="14" t="s">
        <v>1853</v>
      </c>
      <c r="B53" s="14" t="s">
        <v>1854</v>
      </c>
      <c r="C53" s="14" t="s">
        <v>1855</v>
      </c>
    </row>
    <row r="54" customFormat="false" ht="15" hidden="false" customHeight="false" outlineLevel="0" collapsed="false">
      <c r="A54" s="9" t="s">
        <v>1856</v>
      </c>
      <c r="B54" s="10" t="n">
        <v>0</v>
      </c>
      <c r="C54" s="10" t="n">
        <v>0.1</v>
      </c>
    </row>
    <row r="55" customFormat="false" ht="15" hidden="false" customHeight="false" outlineLevel="0" collapsed="false">
      <c r="A55" s="9" t="s">
        <v>1857</v>
      </c>
      <c r="B55" s="10" t="n">
        <v>0.25</v>
      </c>
      <c r="C55" s="10" t="n">
        <v>0.4</v>
      </c>
    </row>
    <row r="56" customFormat="false" ht="15" hidden="false" customHeight="false" outlineLevel="0" collapsed="false">
      <c r="A56" s="9" t="s">
        <v>1858</v>
      </c>
      <c r="B56" s="10" t="n">
        <v>0.3</v>
      </c>
      <c r="C56" s="10" t="n">
        <v>0.5</v>
      </c>
    </row>
    <row r="58" customFormat="false" ht="15" hidden="false" customHeight="false" outlineLevel="0" collapsed="false">
      <c r="A58" s="4" t="s">
        <v>1859</v>
      </c>
    </row>
  </sheetData>
  <dataValidations count="3">
    <dataValidation allowBlank="false" errorStyle="stop" operator="between" showDropDown="false" showErrorMessage="false" showInputMessage="false" sqref="B8" type="list">
      <formula1>"Yes,No"</formula1>
      <formula2>0</formula2>
    </dataValidation>
    <dataValidation allowBlank="true" errorStyle="stop" operator="between" showDropDown="false" showErrorMessage="false" showInputMessage="false" sqref="B27:B36" type="list">
      <formula1>"Won,Open,Lost"</formula1>
      <formula2>0</formula2>
    </dataValidation>
    <dataValidation allowBlank="true" errorStyle="stop" operator="between" showDropDown="false" showErrorMessage="false" showInputMessage="false" sqref="B41:B50" type="list">
      <formula1>Settings!$A$12:$A$18</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2026-10-13T04:08:32Z</dcterms:created>
  <dc:creator>openpyxl</dc:creator>
  <dc:description/>
  <dc:language>en-US</dc:language>
  <cp:lastModifiedBy/>
  <dcterms:modified xsi:type="dcterms:W3CDTF">2026-10-13T04:08:35Z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